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c13b200b1044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a0828acb3044675"/>
    <x:sheet xmlns:r="http://schemas.openxmlformats.org/officeDocument/2006/relationships" name="Data &amp; Reporting" sheetId="2" r:id="R0c08c39106944648"/>
    <x:sheet xmlns:r="http://schemas.openxmlformats.org/officeDocument/2006/relationships" name="Research &amp; Analysis" sheetId="3" r:id="Rbf4f138c8817488d"/>
    <x:sheet xmlns:r="http://schemas.openxmlformats.org/officeDocument/2006/relationships" name="Design &amp; Insights" sheetId="4" r:id="Ra2f11917b8a74dfe"/>
    <x:sheet xmlns:r="http://schemas.openxmlformats.org/officeDocument/2006/relationships" name="Tasks" sheetId="5" r:id="Rb2809636f7514ce6"/>
    <x:sheet xmlns:r="http://schemas.openxmlformats.org/officeDocument/2006/relationships" name="Cycles &amp; Guide" sheetId="6" r:id="Red56de9788eb4a99"/>
  </x:sheets>
  <x:definedNames>
    <x:definedName name="TrackerYears">'Cycles &amp; Guide'!$B$54:$B$55</x:definedName>
  </x:definedName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/dd/yy"/>
    <x:numFmt numFmtId="201" formatCode="0%"/>
    <x:numFmt numFmtId="202" formatCode="#,##0"/>
  </x:numFmts>
  <x:fonts count="14">
    <x:font>
      <x:sz val="11"/>
      <x:name val="Carlito"/>
    </x:font>
    <x:font>
      <x:sz val="10"/>
      <x:color rgb="FF182F49"/>
      <x:name val="Arial"/>
    </x:font>
    <x:font>
      <x:b/>
      <x:sz val="10"/>
      <x:color rgb="FF2866B0"/>
      <x:name val="Arial"/>
    </x:font>
    <x:font>
      <x:b/>
      <x:sz val="16"/>
      <x:color rgb="FF182F49"/>
      <x:name val="Arial"/>
    </x:font>
    <x:font>
      <x:b/>
      <x:sz val="10"/>
      <x:color rgb="FF182F49"/>
      <x:name val="Arial"/>
    </x:font>
    <x:font>
      <x:b/>
      <x:sz val="10"/>
      <x:color rgb="FFFFFFFF"/>
      <x:name val="Arial"/>
    </x:font>
    <x:font>
      <x:b/>
      <x:sz val="12"/>
      <x:color rgb="FF182F49"/>
      <x:name val="Arial"/>
    </x:font>
    <x:font>
      <x:sz val="10"/>
      <x:color rgb="FF60758B"/>
      <x:name val="Arial"/>
    </x:font>
    <x:font>
      <x:sz val="10"/>
      <x:color rgb="FF62758B"/>
      <x:name val="Arial"/>
    </x:font>
    <x:font>
      <x:b/>
      <x:sz val="10"/>
      <x:color rgb="FF62758B"/>
      <x:name val="Arial"/>
    </x:font>
    <x:font>
      <x:b/>
      <x:sz val="11"/>
      <x:color rgb="FF182F49"/>
      <x:name val="Arial"/>
    </x:font>
    <x:font>
      <x:b/>
      <x:sz val="10"/>
      <x:color rgb="FF24785C"/>
      <x:name val="Arial"/>
    </x:font>
    <x:font>
      <x:b/>
      <x:sz val="10"/>
      <x:color rgb="FFA73F57"/>
      <x:name val="Arial"/>
    </x:font>
    <x:font>
      <x:b/>
      <x:sz val="11"/>
      <x:color rgb="FF2866B0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FFF1CE"/>
      </x:patternFill>
    </x:fill>
    <x:fill>
      <x:patternFill patternType="solid">
        <x:fgColor rgb="FF182F49"/>
      </x:patternFill>
    </x:fill>
    <x:fill>
      <x:patternFill patternType="solid">
        <x:fgColor rgb="FFEFF4F9"/>
      </x:patternFill>
    </x:fill>
    <x:fill>
      <x:patternFill patternType="solid">
        <x:fgColor rgb="FF2866B0"/>
      </x:patternFill>
    </x:fill>
    <x:fill>
      <x:patternFill patternType="solid">
        <x:fgColor rgb="FFDDEAF8"/>
      </x:patternFill>
    </x:fill>
    <x:fill>
      <x:patternFill patternType="solid">
        <x:fgColor rgb="FFF3F6FA"/>
      </x:patternFill>
    </x:fill>
    <x:fill>
      <x:patternFill patternType="solid">
        <x:fgColor rgb="FF24785C"/>
      </x:patternFill>
    </x:fill>
    <x:fill>
      <x:patternFill patternType="solid">
        <x:fgColor rgb="FFA73F57"/>
      </x:patternFill>
    </x:fill>
    <x:fill>
      <x:patternFill patternType="solid">
        <x:fgColor rgb="FFF0F5FA"/>
      </x:patternFill>
    </x:fill>
    <x:fill>
      <x:patternFill patternType="solid">
        <x:fgColor rgb="FFFFFFFF"/>
      </x:patternFill>
    </x:fill>
    <x:fill>
      <x:patternFill patternType="solid">
        <x:fgColor rgb="FF182F49"/>
      </x:patternFill>
    </x:fill>
  </x:fills>
  <x:borders count="1">
    <x:border/>
  </x:borders>
  <x:cellStyleXfs count="1">
    <x:xf numFmtId="0" fontId="0" fillId="0" borderId="0"/>
  </x:cellStyleXfs>
  <x:cellXfs count="8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5" fillId="9" borderId="0" xfId="0" applyNumberFormat="1" applyFont="1" applyFill="1" applyBorder="1" applyAlignment="1">
      <x:alignment vertical="center"/>
    </x:xf>
    <x:xf numFmtId="0" fontId="5" fillId="9" borderId="0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left" vertical="center"/>
    </x:xf>
    <x:xf numFmtId="201" fontId="3" fillId="4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 wrapText="1"/>
    </x:xf>
    <x:xf numFmtId="0" fontId="2" fillId="10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 wrapText="1"/>
    </x:xf>
    <x:xf numFmtId="0" fontId="2" fillId="11" borderId="0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horizontal="center" vertic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/>
    </x:xf>
    <x:xf numFmtId="201" fontId="3" fillId="4" borderId="0" xfId="0" applyNumberFormat="1" applyFont="1" applyFill="1" applyBorder="1" applyAlignment="1">
      <x:alignment horizontal="center" vertical="center"/>
    </x:xf>
    <x:xf numFmtId="202" fontId="3" fillId="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13" fillId="0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horizontal="center" wrapText="1"/>
    </x:xf>
    <x:xf numFmtId="0" fontId="5" fillId="1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6">
    <x:dxf>
      <x:font>
        <x:color rgb="FF24785C"/>
      </x:font>
      <x:fill>
        <x:patternFill>
          <x:bgColor rgb="FFE4F2E9"/>
        </x:patternFill>
      </x:fill>
    </x:dxf>
    <x:dxf>
      <x:font>
        <x:color rgb="FF915500"/>
      </x:font>
      <x:fill>
        <x:patternFill>
          <x:bgColor rgb="FFFFF0CF"/>
        </x:patternFill>
      </x:fill>
    </x:dxf>
    <x:dxf>
      <x:font>
        <x:color rgb="FFA0374B"/>
      </x:font>
      <x:fill>
        <x:patternFill>
          <x:bgColor rgb="FFFCE8EA"/>
        </x:patternFill>
      </x:fill>
    </x:dxf>
    <x:dxf>
      <x:font>
        <x:color rgb="FF915500"/>
      </x:font>
      <x:fill>
        <x:patternFill>
          <x:bgColor rgb="FFFFF0CF"/>
        </x:patternFill>
      </x:fill>
    </x:dxf>
    <x:dxf>
      <x:font>
        <x:color rgb="FF24785C"/>
      </x:font>
      <x:fill>
        <x:patternFill>
          <x:bgColor rgb="FFE4F2E9"/>
        </x:patternFill>
      </x:fill>
    </x:dxf>
    <x:dxf>
      <x:font>
        <x:color rgb="FF915500"/>
      </x:font>
      <x:fill>
        <x:patternFill>
          <x:bgColor rgb="FFFFF0CF"/>
        </x:patternFill>
      </x:fill>
    </x:dxf>
    <x:dxf>
      <x:font>
        <x:color rgb="FFA0374B"/>
      </x:font>
      <x:fill>
        <x:patternFill>
          <x:bgColor rgb="FFFCE8EA"/>
        </x:patternFill>
      </x:fill>
    </x:dxf>
    <x:dxf>
      <x:font>
        <x:color rgb="FF915500"/>
      </x:font>
      <x:fill>
        <x:patternFill>
          <x:bgColor rgb="FFFFF0CF"/>
        </x:patternFill>
      </x:fill>
    </x:dxf>
    <x:dxf>
      <x:font>
        <x:color rgb="FF24785C"/>
      </x:font>
      <x:fill>
        <x:patternFill>
          <x:bgColor rgb="FFE4F2E9"/>
        </x:patternFill>
      </x:fill>
    </x:dxf>
    <x:dxf>
      <x:font>
        <x:color rgb="FF915500"/>
      </x:font>
      <x:fill>
        <x:patternFill>
          <x:bgColor rgb="FFFFF0CF"/>
        </x:patternFill>
      </x:fill>
    </x:dxf>
    <x:dxf>
      <x:font>
        <x:color rgb="FFA0374B"/>
      </x:font>
      <x:fill>
        <x:patternFill>
          <x:bgColor rgb="FFFCE8EA"/>
        </x:patternFill>
      </x:fill>
    </x:dxf>
    <x:dxf>
      <x:font>
        <x:color rgb="FF915500"/>
      </x:font>
      <x:fill>
        <x:patternFill>
          <x:bgColor rgb="FFFFF0CF"/>
        </x:patternFill>
      </x:fill>
    </x:dxf>
    <x:dxf>
      <x:font>
        <x:color rgb="FF60758B"/>
      </x:font>
      <x:fill>
        <x:patternFill>
          <x:bgColor rgb="FFF3F6FA"/>
        </x:patternFill>
      </x:fill>
    </x:dxf>
    <x:dxf>
      <x:font>
        <x:color rgb="FF24785C"/>
      </x:font>
      <x:fill>
        <x:patternFill>
          <x:bgColor rgb="FFE4F2E9"/>
        </x:patternFill>
      </x:fill>
    </x:dxf>
    <x:dxf>
      <x:fill>
        <x:patternFill patternType="solid">
          <x:bgColor rgb="FFF0F5FA"/>
        </x:patternFill>
      </x:fill>
    </x:dxf>
    <x:dxf>
      <x:font>
        <x:color rgb="FF24785C"/>
      </x:font>
      <x:fill>
        <x:patternFill patternType="solid">
          <x:bgColor rgb="FFE4F2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b56de9feb24163" /><Relationship Type="http://schemas.openxmlformats.org/officeDocument/2006/relationships/theme" Target="/xl/theme/theme1.xml" Id="Rbed626e0453949a1" /><Relationship Type="http://schemas.microsoft.com/office/2022/11/relationships/FeaturePropertyBag" Target="/xl/featurePropertyBag/featurePropertyBag.xml" Id="R4f7c61cd5a5c4f1c" /><Relationship Type="http://schemas.openxmlformats.org/officeDocument/2006/relationships/sharedStrings" Target="/xl/sharedStrings.xml" Id="Re0faa9fc03cd4513" /><Relationship Type="http://schemas.openxmlformats.org/officeDocument/2006/relationships/worksheet" Target="/xl/worksheets/sheet1.xml" Id="R4a0828acb3044675" /><Relationship Type="http://schemas.openxmlformats.org/officeDocument/2006/relationships/worksheet" Target="/xl/worksheets/sheet2.xml" Id="R0c08c39106944648" /><Relationship Type="http://schemas.openxmlformats.org/officeDocument/2006/relationships/worksheet" Target="/xl/worksheets/sheet3.xml" Id="Rbf4f138c8817488d" /><Relationship Type="http://schemas.openxmlformats.org/officeDocument/2006/relationships/worksheet" Target="/xl/worksheets/sheet4.xml" Id="Ra2f11917b8a74dfe" /><Relationship Type="http://schemas.openxmlformats.org/officeDocument/2006/relationships/worksheet" Target="/xl/worksheets/sheet5.xml" Id="Rb2809636f7514ce6" /><Relationship Type="http://schemas.openxmlformats.org/officeDocument/2006/relationships/worksheet" Target="/xl/worksheets/sheet6.xml" Id="Red56de9788eb4a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" name="TeamTasksDR" displayName="TeamTasksDR" ref="A9:S737" headerRowCount="1" totalsRowCount="0" totalsRowShown="0">
  <x:autoFilter ref="A9:S737"/>
  <x:tableColumns count="19">
    <x:tableColumn id="1" name="Done"/>
    <x:tableColumn id="2" name="Cycle"/>
    <x:tableColumn id="3" name="Phase"/>
    <x:tableColumn id="4" name="Business Group"/>
    <x:tableColumn id="5" name="Task ID"/>
    <x:tableColumn id="6" name="Task Description / Checklist"/>
    <x:tableColumn id="7" name="Assigned To"/>
    <x:tableColumn id="8" name="Start Date"/>
    <x:tableColumn id="9" name="Due Date"/>
    <x:tableColumn id="10" name="Completed Date"/>
    <x:tableColumn id="11" name="Comments"/>
    <x:tableColumn id="12" name="Status"/>
    <x:tableColumn id="13" name="Row Type"/>
    <x:tableColumn id="14" name="Cycle Record ID"/>
    <x:tableColumn id="15" name="Complete Flag"/>
    <x:tableColumn id="16" name="Parent Cycle Record ID"/>
    <x:tableColumn id="17" name="Parent Flag"/>
    <x:tableColumn id="18" name="Checked Flag"/>
    <x:tableColumn id="19" name="Visible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3" name="TeamTasksRA" displayName="TeamTasksRA" ref="A9:S653" headerRowCount="1" totalsRowCount="0" totalsRowShown="0">
  <x:autoFilter ref="A9:S653"/>
  <x:tableColumns count="19">
    <x:tableColumn id="1" name="Done"/>
    <x:tableColumn id="2" name="Cycle"/>
    <x:tableColumn id="3" name="Phase"/>
    <x:tableColumn id="4" name="Business Group"/>
    <x:tableColumn id="5" name="Task ID"/>
    <x:tableColumn id="6" name="Task Description / Checklist"/>
    <x:tableColumn id="7" name="Assigned To"/>
    <x:tableColumn id="8" name="Start Date"/>
    <x:tableColumn id="9" name="Due Date"/>
    <x:tableColumn id="10" name="Completed Date"/>
    <x:tableColumn id="11" name="Comments"/>
    <x:tableColumn id="12" name="Status"/>
    <x:tableColumn id="13" name="Row Type"/>
    <x:tableColumn id="14" name="Cycle Record ID"/>
    <x:tableColumn id="15" name="Complete Flag"/>
    <x:tableColumn id="16" name="Parent Cycle Record ID"/>
    <x:tableColumn id="17" name="Parent Flag"/>
    <x:tableColumn id="18" name="Checked Flag"/>
    <x:tableColumn id="19" name="Visible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4" name="TeamTasksDI" displayName="TeamTasksDI" ref="A9:S569" headerRowCount="1" totalsRowCount="0" totalsRowShown="0">
  <x:autoFilter ref="A9:S569"/>
  <x:tableColumns count="19">
    <x:tableColumn id="1" name="Done"/>
    <x:tableColumn id="2" name="Cycle"/>
    <x:tableColumn id="3" name="Phase"/>
    <x:tableColumn id="4" name="Business Group"/>
    <x:tableColumn id="5" name="Task ID"/>
    <x:tableColumn id="6" name="Task Description / Checklist"/>
    <x:tableColumn id="7" name="Assigned To"/>
    <x:tableColumn id="8" name="Start Date"/>
    <x:tableColumn id="9" name="Due Date"/>
    <x:tableColumn id="10" name="Completed Date"/>
    <x:tableColumn id="11" name="Comments"/>
    <x:tableColumn id="12" name="Status"/>
    <x:tableColumn id="13" name="Row Type"/>
    <x:tableColumn id="14" name="Cycle Record ID"/>
    <x:tableColumn id="15" name="Complete Flag"/>
    <x:tableColumn id="16" name="Parent Cycle Record ID"/>
    <x:tableColumn id="17" name="Parent Flag"/>
    <x:tableColumn id="18" name="Checked Flag"/>
    <x:tableColumn id="19" name="Visible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5" name="AllTaskView" displayName="AllTaskView" ref="A9:W1941" headerRowCount="1" totalsRowCount="0" totalsRowShown="0">
  <x:autoFilter ref="A9:W1941"/>
  <x:tableColumns count="23">
    <x:tableColumn id="1" name="Open"/>
    <x:tableColumn id="2" name="Cycle"/>
    <x:tableColumn id="3" name="Phase"/>
    <x:tableColumn id="4" name="Business Group"/>
    <x:tableColumn id="5" name="Team"/>
    <x:tableColumn id="6" name="Task ID"/>
    <x:tableColumn id="7" name="Task Description / Checklist"/>
    <x:tableColumn id="8" name="Assigned To"/>
    <x:tableColumn id="9" name="Start Date"/>
    <x:tableColumn id="10" name="Due Date"/>
    <x:tableColumn id="11" name="Completed Date"/>
    <x:tableColumn id="12" name="Comments"/>
    <x:tableColumn id="13" name="Parent Flag"/>
    <x:tableColumn id="14" name="Status"/>
    <x:tableColumn id="15" name="Cycle Record ID"/>
    <x:tableColumn id="16" name="Complete Flag"/>
    <x:tableColumn id="17" name="Visible"/>
    <x:tableColumn id="18" name="Dashboard Match"/>
    <x:tableColumn id="19" name="Match Order"/>
    <x:tableColumn id="20" name="Source Sheet"/>
    <x:tableColumn id="21" name="Source Row"/>
    <x:tableColumn id="22" name="Overdue Flag"/>
    <x:tableColumn id="23" name="Row Type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1" name="ForumDates" displayName="ForumDates" ref="B22:D50" headerRowCount="1" totalsRowCount="0" totalsRowShown="0">
  <x:autoFilter ref="B22:D50"/>
  <x:tableColumns count="3">
    <x:tableColumn id="1" name="Cycle"/>
    <x:tableColumn id="2" name="Business Group"/>
    <x:tableColumn id="3" name="Forum Dat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e33a78dea542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303bb9714e47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bcc53a47c143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9139a5abb84f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4a9cb67473451e" /></Relationships>
</file>

<file path=xl/worksheets/sheet1.xml><?xml version="1.0" encoding="utf-8"?>
<x:worksheet xmlns:x="http://schemas.openxmlformats.org/spreadsheetml/2006/main">
  <x:sheetPr>
    <x:tabColor rgb="FF182F4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3" hidden="0" customWidth="1"/>
    <x:col min="16" max="16" width="13" hidden="1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0" customHeight="1">
      <x:c r="A2" s="2"/>
      <x:c r="B2" s="4" t="str">
        <x:v>RCA task dashboard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/>
    </x:row>
    <x:row r="3" ht="29" customHeight="1">
      <x:c r="A3" s="2"/>
      <x:c r="B3" s="21" t="str">
        <x:f>HYPERLINK("#'Dashboard'!A1","Dashboard")</x:f>
        <x:v>Dashboard</x:v>
      </x:c>
      <x:c r="C3" s="21"/>
      <x:c r="D3" s="19" t="str">
        <x:f>HYPERLINK("#'Data &amp; Reporting'!A1","Data &amp; Reporting")</x:f>
        <x:v>Data &amp; Reporting</x:v>
      </x:c>
      <x:c r="E3" s="19"/>
      <x:c r="F3" s="19"/>
      <x:c r="G3" s="19" t="str">
        <x:f>HYPERLINK("#'Research &amp; Analysis'!A1","Research &amp; Analysis")</x:f>
        <x:v>Research &amp; Analysis</x:v>
      </x:c>
      <x:c r="H3" s="19"/>
      <x:c r="I3" s="19"/>
      <x:c r="J3" s="19"/>
      <x:c r="K3" s="19" t="str">
        <x:f>HYPERLINK("#'Design &amp; Insights'!A1","Design &amp; Insights")</x:f>
        <x:v>Design &amp; Insights</x:v>
      </x:c>
      <x:c r="L3" s="19"/>
      <x:c r="M3" s="19"/>
      <x:c r="N3" s="19"/>
      <x:c r="O3" s="2"/>
      <x:c r="P3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6" customHeight="1">
      <x:c r="A5" s="2"/>
      <x:c r="B5" s="46" t="str">
        <x:v>Choose Year, Cycle, Phase, Business Group, and Team below. Select All to remove a filter.</x:v>
      </x:c>
      <x:c r="C5" s="46"/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  <x:c r="O5" s="2"/>
      <x:c r="P5" s="2"/>
    </x:row>
    <x:row r="6" ht="20" customHeight="1">
      <x:c r="A6" s="2"/>
      <x:c r="B6" s="70" t="str">
        <x:v>Year</x:v>
      </x:c>
      <x:c r="C6" s="70"/>
      <x:c r="D6" s="70" t="str">
        <x:v>Cycle</x:v>
      </x:c>
      <x:c r="E6" s="70"/>
      <x:c r="F6" s="70" t="str">
        <x:v>Phase</x:v>
      </x:c>
      <x:c r="G6" s="70"/>
      <x:c r="H6" s="70" t="str">
        <x:v>Business Group</x:v>
      </x:c>
      <x:c r="I6" s="70"/>
      <x:c r="J6" s="70"/>
      <x:c r="K6" s="70" t="str">
        <x:v>Team</x:v>
      </x:c>
      <x:c r="L6" s="70"/>
      <x:c r="M6" s="70"/>
      <x:c r="N6" s="70"/>
      <x:c r="O6" s="2"/>
      <x:c r="P6" s="2"/>
    </x:row>
    <x:row r="7" ht="34" customHeight="1">
      <x:c r="A7" s="2"/>
      <x:c r="B7" s="71" t="str">
        <x:v>All</x:v>
      </x:c>
      <x:c r="C7" s="71"/>
      <x:c r="D7" s="71" t="str">
        <x:v>All</x:v>
      </x:c>
      <x:c r="E7" s="71"/>
      <x:c r="F7" s="71" t="str">
        <x:v>All</x:v>
      </x:c>
      <x:c r="G7" s="71"/>
      <x:c r="H7" s="71" t="str">
        <x:v>All</x:v>
      </x:c>
      <x:c r="I7" s="71"/>
      <x:c r="J7" s="71"/>
      <x:c r="K7" s="71" t="str">
        <x:v>All</x:v>
      </x:c>
      <x:c r="L7" s="71"/>
      <x:c r="M7" s="71"/>
      <x:c r="N7" s="71"/>
      <x:c r="O7" s="2"/>
      <x:c r="P7" s="2"/>
    </x:row>
    <x:row r="8" ht="22" customHeight="1">
      <x:c r="A8" s="2"/>
      <x:c r="B8" s="56"/>
      <x:c r="C8" s="56"/>
      <x:c r="D8" s="56"/>
      <x:c r="E8" s="56"/>
      <x:c r="F8" s="56"/>
      <x:c r="G8" s="56"/>
      <x:c r="H8" s="56"/>
      <x:c r="I8" s="56"/>
      <x:c r="J8" s="56"/>
      <x:c r="K8" s="56"/>
      <x:c r="L8" s="56"/>
      <x:c r="M8" s="56"/>
      <x:c r="N8" s="56"/>
      <x:c r="O8" s="2"/>
      <x:c r="P8" s="2"/>
    </x:row>
    <x:row r="9" ht="22" customHeight="1">
      <x:c r="A9" s="2"/>
      <x:c r="B9" s="72" t="str">
        <x:v>Matching tasks</x:v>
      </x:c>
      <x:c r="C9" s="72"/>
      <x:c r="D9" s="72"/>
      <x:c r="E9" s="72" t="str">
        <x:v>Complete</x:v>
      </x:c>
      <x:c r="F9" s="72"/>
      <x:c r="G9" s="72"/>
      <x:c r="H9" s="72" t="str">
        <x:v>Remaining</x:v>
      </x:c>
      <x:c r="I9" s="72"/>
      <x:c r="J9" s="72"/>
      <x:c r="K9" s="72" t="str">
        <x:v>Completion</x:v>
      </x:c>
      <x:c r="L9" s="72"/>
      <x:c r="M9" s="72"/>
      <x:c r="N9" s="72"/>
      <x:c r="O9" s="2"/>
      <x:c r="P9" s="2"/>
    </x:row>
    <x:row r="10" ht="22" customHeight="1">
      <x:c r="A10" s="2"/>
      <x:c r="B10" s="75" t="n">
        <x:f>SUM(Tasks!$R$10:$R$1941)</x:f>
        <x:v>1568</x:v>
      </x:c>
      <x:c r="C10" s="75"/>
      <x:c r="D10" s="75"/>
      <x:c r="E10" s="75" t="n">
        <x:f>SUMIFS(Tasks!$P$10:$P$1941,Tasks!$R$10:$R$1941,1)</x:f>
        <x:v>0</x:v>
      </x:c>
      <x:c r="F10" s="75"/>
      <x:c r="G10" s="75"/>
      <x:c r="H10" s="75" t="n">
        <x:f>B10-E10</x:f>
        <x:v>1568</x:v>
      </x:c>
      <x:c r="I10" s="75"/>
      <x:c r="J10" s="75"/>
      <x:c r="K10" s="74" t="n">
        <x:f>IF(B10=0,"",E10/B10)</x:f>
        <x:v>0</x:v>
      </x:c>
      <x:c r="L10" s="73"/>
      <x:c r="M10" s="73"/>
      <x:c r="N10" s="73"/>
      <x:c r="O10" s="2"/>
      <x:c r="P10" s="2"/>
    </x:row>
    <x:row r="11" ht="22" customHeight="1">
      <x:c r="A11" s="2"/>
      <x:c r="B11" s="75"/>
      <x:c r="C11" s="75"/>
      <x:c r="D11" s="75"/>
      <x:c r="E11" s="75"/>
      <x:c r="F11" s="75"/>
      <x:c r="G11" s="75"/>
      <x:c r="H11" s="75"/>
      <x:c r="I11" s="75"/>
      <x:c r="J11" s="75"/>
      <x:c r="K11" s="73"/>
      <x:c r="L11" s="73"/>
      <x:c r="M11" s="73"/>
      <x:c r="N11" s="73"/>
      <x:c r="O11" s="2"/>
      <x:c r="P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22" customHeight="1">
      <x:c r="A13" s="2"/>
      <x:c r="B13" s="13" t="str">
        <x:v>Progress by team</x:v>
      </x:c>
      <x:c r="C13" s="13"/>
      <x:c r="D13" s="13"/>
      <x:c r="E13" s="13"/>
      <x:c r="F13" s="56" t="str">
        <x:v>Done</x:v>
      </x:c>
      <x:c r="G13" s="56" t="str">
        <x:v>Total</x:v>
      </x:c>
      <x:c r="H13" s="57" t="str">
        <x:v>Progress by phase</x:v>
      </x:c>
      <x:c r="I13" s="57"/>
      <x:c r="J13" s="57"/>
      <x:c r="K13" s="56" t="str">
        <x:v>Done</x:v>
      </x:c>
      <x:c r="L13" s="56" t="str">
        <x:v>Total</x:v>
      </x:c>
      <x:c r="M13" s="56" t="str">
        <x:v>% Done</x:v>
      </x:c>
      <x:c r="N13" s="56"/>
      <x:c r="O13" s="2"/>
      <x:c r="P13" s="2"/>
    </x:row>
    <x:row r="14" ht="22" customHeight="1">
      <x:c r="A14" s="2"/>
      <x:c r="B14" s="3" t="str">
        <x:v>Data &amp; Reporting</x:v>
      </x:c>
      <x:c r="C14" s="3"/>
      <x:c r="D14" s="3"/>
      <x:c r="E14" s="3"/>
      <x:c r="F14" s="56" t="n">
        <x:f>SUMIFS(Tasks!$P$10:$P$1941,Tasks!$E$10:$E$1941,B14,Tasks!$R$10:$R$1941,1)</x:f>
        <x:v>0</x:v>
      </x:c>
      <x:c r="G14" s="56" t="n">
        <x:f>COUNTIFS(Tasks!$E$10:$E$1941,B14,Tasks!$R$10:$R$1941,1)</x:f>
        <x:v>364</x:v>
      </x:c>
      <x:c r="H14" s="56" t="str">
        <x:v>Phase 1</x:v>
      </x:c>
      <x:c r="I14" s="56"/>
      <x:c r="J14" s="56"/>
      <x:c r="K14" s="56" t="n">
        <x:f>SUMIFS(Tasks!$P$10:$P$1941,Tasks!$C$10:$C$1941,H14,Tasks!$R$10:$R$1941,1)</x:f>
        <x:v>0</x:v>
      </x:c>
      <x:c r="L14" s="56" t="n">
        <x:f>COUNTIFS(Tasks!$C$10:$C$1941,H14,Tasks!$R$10:$R$1941,1)</x:f>
        <x:v>504</x:v>
      </x:c>
      <x:c r="M14" s="58" t="n">
        <x:f>IF(L14=0,"",K14/L14)</x:f>
        <x:v>0</x:v>
      </x:c>
      <x:c r="N14" s="56"/>
      <x:c r="O14" s="2"/>
      <x:c r="P14" s="2"/>
    </x:row>
    <x:row r="15" ht="22" customHeight="1">
      <x:c r="A15" s="2"/>
      <x:c r="B15" s="54" t="str">
        <x:v>Research &amp; Analysis</x:v>
      </x:c>
      <x:c r="C15" s="54"/>
      <x:c r="D15" s="54"/>
      <x:c r="E15" s="54"/>
      <x:c r="F15" s="56" t="n">
        <x:f>SUMIFS(Tasks!$P$10:$P$1941,Tasks!$E$10:$E$1941,B15,Tasks!$R$10:$R$1941,1)</x:f>
        <x:v>0</x:v>
      </x:c>
      <x:c r="G15" s="56" t="n">
        <x:f>COUNTIFS(Tasks!$E$10:$E$1941,B15,Tasks!$R$10:$R$1941,1)</x:f>
        <x:v>644</x:v>
      </x:c>
      <x:c r="H15" s="56" t="str">
        <x:v>Phase 2</x:v>
      </x:c>
      <x:c r="I15" s="56"/>
      <x:c r="J15" s="56"/>
      <x:c r="K15" s="56" t="n">
        <x:f>SUMIFS(Tasks!$P$10:$P$1941,Tasks!$C$10:$C$1941,H15,Tasks!$R$10:$R$1941,1)</x:f>
        <x:v>0</x:v>
      </x:c>
      <x:c r="L15" s="56" t="n">
        <x:f>COUNTIFS(Tasks!$C$10:$C$1941,H15,Tasks!$R$10:$R$1941,1)</x:f>
        <x:v>644</x:v>
      </x:c>
      <x:c r="M15" s="58" t="n">
        <x:f>IF(L15=0,"",K15/L15)</x:f>
        <x:v>0</x:v>
      </x:c>
      <x:c r="N15" s="56"/>
      <x:c r="O15" s="2"/>
      <x:c r="P15" s="2"/>
    </x:row>
    <x:row r="16" ht="22" customHeight="1">
      <x:c r="A16" s="2"/>
      <x:c r="B16" s="55" t="str">
        <x:v>Design &amp; Insights</x:v>
      </x:c>
      <x:c r="C16" s="55"/>
      <x:c r="D16" s="55"/>
      <x:c r="E16" s="55"/>
      <x:c r="F16" s="56" t="n">
        <x:f>SUMIFS(Tasks!$P$10:$P$1941,Tasks!$E$10:$E$1941,B16,Tasks!$R$10:$R$1941,1)</x:f>
        <x:v>0</x:v>
      </x:c>
      <x:c r="G16" s="56" t="n">
        <x:f>COUNTIFS(Tasks!$E$10:$E$1941,B16,Tasks!$R$10:$R$1941,1)</x:f>
        <x:v>560</x:v>
      </x:c>
      <x:c r="H16" s="56" t="str">
        <x:v>Phase 3</x:v>
      </x:c>
      <x:c r="I16" s="56"/>
      <x:c r="J16" s="56"/>
      <x:c r="K16" s="56" t="n">
        <x:f>SUMIFS(Tasks!$P$10:$P$1941,Tasks!$C$10:$C$1941,H16,Tasks!$R$10:$R$1941,1)</x:f>
        <x:v>0</x:v>
      </x:c>
      <x:c r="L16" s="56" t="n">
        <x:f>COUNTIFS(Tasks!$C$10:$C$1941,H16,Tasks!$R$10:$R$1941,1)</x:f>
        <x:v>420</x:v>
      </x:c>
      <x:c r="M16" s="58" t="n">
        <x:f>IF(L16=0,"",K16/L16)</x:f>
        <x:v>0</x:v>
      </x:c>
      <x:c r="N16" s="56"/>
      <x:c r="O16" s="2"/>
      <x:c r="P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27" customHeight="1">
      <x:c r="A18" s="2"/>
      <x:c r="B18" s="13" t="str">
        <x:v>Matching tasks</x:v>
      </x:c>
      <x:c r="C18" s="13"/>
      <x:c r="D18" s="13"/>
      <x:c r="E18" s="13"/>
      <x:c r="F18" s="13"/>
      <x:c r="G18" s="13"/>
      <x:c r="H18" s="13"/>
      <x:c r="I18" s="13"/>
      <x:c r="J18" s="13"/>
      <x:c r="K18" s="77" t="str">
        <x:f>HYPERLINK("#'Cycles &amp; Guide'!A1","Calendar and ID key")</x:f>
        <x:v>Calendar and ID key</x:v>
      </x:c>
      <x:c r="L18" s="77"/>
      <x:c r="M18" s="77"/>
      <x:c r="N18" s="77"/>
      <x:c r="O18" s="2"/>
      <x:c r="P18" s="2"/>
    </x:row>
    <x:row r="19" ht="22" customHeight="1">
      <x:c r="A19" s="2"/>
      <x:c r="B19" s="46" t="str">
        <x:f>"Showing all "&amp;TEXT(B10,"#,##0")&amp;" matching tasks. Scroll the list; click Open to update a task on its team tab."</x:f>
        <x:v>Showing all 1,568 matching tasks. Scroll the list; click Open to update a task on its team tab.</x:v>
      </x:c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  <x:c r="O19" s="2"/>
      <x:c r="P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32" customHeight="1">
      <x:c r="A21" s="2"/>
      <x:c r="B21" s="82" t="str">
        <x:v>Cycle</x:v>
      </x:c>
      <x:c r="C21" s="82" t="str">
        <x:v>Phase</x:v>
      </x:c>
      <x:c r="D21" s="82" t="str">
        <x:v>Business Group</x:v>
      </x:c>
      <x:c r="E21" s="82"/>
      <x:c r="F21" s="82" t="str">
        <x:v>Team</x:v>
      </x:c>
      <x:c r="G21" s="82"/>
      <x:c r="H21" s="82" t="str">
        <x:v>Task ID / description</x:v>
      </x:c>
      <x:c r="I21" s="82"/>
      <x:c r="J21" s="82"/>
      <x:c r="K21" s="82"/>
      <x:c r="L21" s="82" t="str">
        <x:v>Status</x:v>
      </x:c>
      <x:c r="M21" s="82" t="str">
        <x:v>Due Date</x:v>
      </x:c>
      <x:c r="N21" s="82" t="str">
        <x:v>Update</x:v>
      </x:c>
      <x:c r="O21"/>
      <x:c r="P21"/>
    </x:row>
    <x:row r="22" ht="58" customHeight="1">
      <x:c r="A22" s="2"/>
      <x:c r="B22" s="86" t="str">
        <x:f>IF($P22="","",INDEX(Tasks!$B$10:$B$1941,$P22))</x:f>
        <x:v>Cycle 1</x:v>
      </x:c>
      <x:c r="C22" s="86" t="str">
        <x:f>IF($P22="","",INDEX(Tasks!$C$10:$C$1941,$P22))</x:f>
        <x:v>Phase 1</x:v>
      </x:c>
      <x:c r="D22" s="86" t="str">
        <x:f>IF($P22="","",INDEX(Tasks!$D$10:$D$1941,$P22))</x:f>
        <x:v>Auto</x:v>
      </x:c>
      <x:c r="E22" s="86"/>
      <x:c r="F22" s="86" t="str">
        <x:f>IF($P22="","",INDEX(Tasks!$E$10:$E$1941,$P22))</x:f>
        <x:v>Data &amp; Reporting</x:v>
      </x:c>
      <x:c r="G22" s="86"/>
      <x:c r="H22" s="14" t="str">
        <x:f>IF($P22="","",INDEX(Tasks!$F$10:$F$1941,$P22)&amp;CHAR(10)&amp;INDEX(Tasks!$G$10:$G$1941,$P22))</x:f>
        <x:v>DR.AU.1.1
Review data sources 3 weeks prior to Cycle start (Complaints, Gen AI, Loudspeaker, NPS, etc.)</x:v>
      </x:c>
      <x:c r="I22" s="14"/>
      <x:c r="J22" s="14"/>
      <x:c r="K22" s="14"/>
      <x:c r="L22" s="86" t="str">
        <x:f>IF($P22="","",INDEX(Tasks!$N$10:$N$1941,$P22))</x:f>
        <x:v>Not started</x:v>
      </x:c>
      <x:c r="M22" s="87" t="n">
        <x:f>IF($P22="","",INDEX(Tasks!$J$10:$J$1941,$P22))</x:f>
        <x:v>46002</x:v>
      </x:c>
      <x:c r="N22" s="85" t="str">
        <x:f>IF($P22="","",HYPERLINK("#'"&amp;INDEX(Tasks!$T$10:$T$1941,$P22)&amp;"'!A"&amp;INDEX(Tasks!$U$10:$U$1941,$P22),"Open"))</x:f>
        <x:v>Open</x:v>
      </x:c>
      <x:c r="O22" s="14"/>
      <x:c r="P22" s="14" t="n">
        <x:f>IF(1&gt;$B$10,"",MATCH(1,Tasks!$S$10:$S$1941,0))</x:f>
        <x:v>1</x:v>
      </x:c>
    </x:row>
    <x:row r="23" ht="58" customHeight="1">
      <x:c r="A23" s="2"/>
      <x:c r="B23" s="86" t="str">
        <x:f>IF($P23="","",INDEX(Tasks!$B$10:$B$1941,$P23))</x:f>
        <x:v>Cycle 1</x:v>
      </x:c>
      <x:c r="C23" s="86" t="str">
        <x:f>IF($P23="","",INDEX(Tasks!$C$10:$C$1941,$P23))</x:f>
        <x:v>Phase 1</x:v>
      </x:c>
      <x:c r="D23" s="86" t="str">
        <x:f>IF($P23="","",INDEX(Tasks!$D$10:$D$1941,$P23))</x:f>
        <x:v>Auto</x:v>
      </x:c>
      <x:c r="E23" s="86"/>
      <x:c r="F23" s="86" t="str">
        <x:f>IF($P23="","",INDEX(Tasks!$E$10:$E$1941,$P23))</x:f>
        <x:v>Data &amp; Reporting</x:v>
      </x:c>
      <x:c r="G23" s="86"/>
      <x:c r="H23" s="14" t="str">
        <x:f>IF($P23="","",INDEX(Tasks!$F$10:$F$1941,$P23)&amp;CHAR(10)&amp;INDEX(Tasks!$G$10:$G$1941,$P23))</x:f>
        <x:v>DR.AU.1.2
Identify two potential topics for the upcoming Cycle</x:v>
      </x:c>
      <x:c r="I23" s="14"/>
      <x:c r="J23" s="14"/>
      <x:c r="K23" s="14"/>
      <x:c r="L23" s="86" t="str">
        <x:f>IF($P23="","",INDEX(Tasks!$N$10:$N$1941,$P23))</x:f>
        <x:v>Not started</x:v>
      </x:c>
      <x:c r="M23" s="87" t="n">
        <x:f>IF($P23="","",INDEX(Tasks!$J$10:$J$1941,$P23))</x:f>
        <x:v>46112</x:v>
      </x:c>
      <x:c r="N23" s="85" t="str">
        <x:f>IF($P23="","",HYPERLINK("#'"&amp;INDEX(Tasks!$T$10:$T$1941,$P23)&amp;"'!A"&amp;INDEX(Tasks!$U$10:$U$1941,$P23),"Open"))</x:f>
        <x:v>Open</x:v>
      </x:c>
      <x:c r="O23" s="14"/>
      <x:c r="P23" s="14" t="n">
        <x:f>IF(2&gt;$B$10,"",MATCH(2,Tasks!$S$10:$S$1941,0))</x:f>
        <x:v>2</x:v>
      </x:c>
    </x:row>
    <x:row r="24" ht="58" customHeight="1">
      <x:c r="A24" s="2"/>
      <x:c r="B24" s="86" t="str">
        <x:f>IF($P24="","",INDEX(Tasks!$B$10:$B$1941,$P24))</x:f>
        <x:v>Cycle 1</x:v>
      </x:c>
      <x:c r="C24" s="86" t="str">
        <x:f>IF($P24="","",INDEX(Tasks!$C$10:$C$1941,$P24))</x:f>
        <x:v>Phase 1</x:v>
      </x:c>
      <x:c r="D24" s="86" t="str">
        <x:f>IF($P24="","",INDEX(Tasks!$D$10:$D$1941,$P24))</x:f>
        <x:v>Auto</x:v>
      </x:c>
      <x:c r="E24" s="86"/>
      <x:c r="F24" s="86" t="str">
        <x:f>IF($P24="","",INDEX(Tasks!$E$10:$E$1941,$P24))</x:f>
        <x:v>Data &amp; Reporting</x:v>
      </x:c>
      <x:c r="G24" s="86"/>
      <x:c r="H24" s="14" t="str">
        <x:f>IF($P24="","",INDEX(Tasks!$F$10:$F$1941,$P24)&amp;CHAR(10)&amp;INDEX(Tasks!$G$10:$G$1941,$P24))</x:f>
        <x:v>DR.AU.1.3
Extract data for both potential topics, ensuring all checklist items below are included/completed</x:v>
      </x:c>
      <x:c r="I24" s="14"/>
      <x:c r="J24" s="14"/>
      <x:c r="K24" s="14"/>
      <x:c r="L24" s="86" t="str">
        <x:f>IF($P24="","",INDEX(Tasks!$N$10:$N$1941,$P24))</x:f>
        <x:v>Not started</x:v>
      </x:c>
      <x:c r="M24" s="87" t="n">
        <x:f>IF($P24="","",INDEX(Tasks!$J$10:$J$1941,$P24))</x:f>
        <x:v>46112</x:v>
      </x:c>
      <x:c r="N24" s="85" t="str">
        <x:f>IF($P24="","",HYPERLINK("#'"&amp;INDEX(Tasks!$T$10:$T$1941,$P24)&amp;"'!A"&amp;INDEX(Tasks!$U$10:$U$1941,$P24),"Open"))</x:f>
        <x:v>Open</x:v>
      </x:c>
      <x:c r="O24" s="14"/>
      <x:c r="P24" s="14" t="n">
        <x:f>IF(3&gt;$B$10,"",MATCH(3,Tasks!$S$10:$S$1941,0))</x:f>
        <x:v>3</x:v>
      </x:c>
    </x:row>
    <x:row r="25" ht="58" customHeight="1">
      <x:c r="A25" s="2"/>
      <x:c r="B25" s="86" t="str">
        <x:f>IF($P25="","",INDEX(Tasks!$B$10:$B$1941,$P25))</x:f>
        <x:v>Cycle 1</x:v>
      </x:c>
      <x:c r="C25" s="86" t="str">
        <x:f>IF($P25="","",INDEX(Tasks!$C$10:$C$1941,$P25))</x:f>
        <x:v>Phase 2</x:v>
      </x:c>
      <x:c r="D25" s="86" t="str">
        <x:f>IF($P25="","",INDEX(Tasks!$D$10:$D$1941,$P25))</x:f>
        <x:v>Auto</x:v>
      </x:c>
      <x:c r="E25" s="86"/>
      <x:c r="F25" s="86" t="str">
        <x:f>IF($P25="","",INDEX(Tasks!$E$10:$E$1941,$P25))</x:f>
        <x:v>Data &amp; Reporting</x:v>
      </x:c>
      <x:c r="G25" s="86"/>
      <x:c r="H25" s="14" t="str">
        <x:f>IF($P25="","",INDEX(Tasks!$F$10:$F$1941,$P25)&amp;CHAR(10)&amp;INDEX(Tasks!$G$10:$G$1941,$P25))</x:f>
        <x:v>DR.AU.2.1
Ensure data is clean, structured, and usable without manipulation needed</x:v>
      </x:c>
      <x:c r="I25" s="14"/>
      <x:c r="J25" s="14"/>
      <x:c r="K25" s="14"/>
      <x:c r="L25" s="86" t="str">
        <x:f>IF($P25="","",INDEX(Tasks!$N$10:$N$1941,$P25))</x:f>
        <x:v>Not started</x:v>
      </x:c>
      <x:c r="M25" s="87" t="n">
        <x:f>IF($P25="","",INDEX(Tasks!$J$10:$J$1941,$P25))</x:f>
        <x:v>46112</x:v>
      </x:c>
      <x:c r="N25" s="85" t="str">
        <x:f>IF($P25="","",HYPERLINK("#'"&amp;INDEX(Tasks!$T$10:$T$1941,$P25)&amp;"'!A"&amp;INDEX(Tasks!$U$10:$U$1941,$P25),"Open"))</x:f>
        <x:v>Open</x:v>
      </x:c>
      <x:c r="O25" s="14"/>
      <x:c r="P25" s="14" t="n">
        <x:f>IF(4&gt;$B$10,"",MATCH(4,Tasks!$S$10:$S$1941,0))</x:f>
        <x:v>17</x:v>
      </x:c>
    </x:row>
    <x:row r="26" ht="58" customHeight="1">
      <x:c r="A26" s="2"/>
      <x:c r="B26" s="86" t="str">
        <x:f>IF($P26="","",INDEX(Tasks!$B$10:$B$1941,$P26))</x:f>
        <x:v>Cycle 1</x:v>
      </x:c>
      <x:c r="C26" s="86" t="str">
        <x:f>IF($P26="","",INDEX(Tasks!$C$10:$C$1941,$P26))</x:f>
        <x:v>Phase 2</x:v>
      </x:c>
      <x:c r="D26" s="86" t="str">
        <x:f>IF($P26="","",INDEX(Tasks!$D$10:$D$1941,$P26))</x:f>
        <x:v>Auto</x:v>
      </x:c>
      <x:c r="E26" s="86"/>
      <x:c r="F26" s="86" t="str">
        <x:f>IF($P26="","",INDEX(Tasks!$E$10:$E$1941,$P26))</x:f>
        <x:v>Data &amp; Reporting</x:v>
      </x:c>
      <x:c r="G26" s="86"/>
      <x:c r="H26" s="14" t="str">
        <x:f>IF($P26="","",INDEX(Tasks!$F$10:$F$1941,$P26)&amp;CHAR(10)&amp;INDEX(Tasks!$G$10:$G$1941,$P26))</x:f>
        <x:v>DR.AU.2.2
Clearly document rationale for each topic recommendation within the SharePoint list</x:v>
      </x:c>
      <x:c r="I26" s="14"/>
      <x:c r="J26" s="14"/>
      <x:c r="K26" s="14"/>
      <x:c r="L26" s="86" t="str">
        <x:f>IF($P26="","",INDEX(Tasks!$N$10:$N$1941,$P26))</x:f>
        <x:v>Not started</x:v>
      </x:c>
      <x:c r="M26" s="87" t="n">
        <x:f>IF($P26="","",INDEX(Tasks!$J$10:$J$1941,$P26))</x:f>
        <x:v>46112</x:v>
      </x:c>
      <x:c r="N26" s="85" t="str">
        <x:f>IF($P26="","",HYPERLINK("#'"&amp;INDEX(Tasks!$T$10:$T$1941,$P26)&amp;"'!A"&amp;INDEX(Tasks!$U$10:$U$1941,$P26),"Open"))</x:f>
        <x:v>Open</x:v>
      </x:c>
      <x:c r="O26" s="14"/>
      <x:c r="P26" s="14" t="n">
        <x:f>IF(5&gt;$B$10,"",MATCH(5,Tasks!$S$10:$S$1941,0))</x:f>
        <x:v>18</x:v>
      </x:c>
    </x:row>
    <x:row r="27" ht="58" customHeight="1">
      <x:c r="A27" s="2"/>
      <x:c r="B27" s="86" t="str">
        <x:f>IF($P27="","",INDEX(Tasks!$B$10:$B$1941,$P27))</x:f>
        <x:v>Cycle 1</x:v>
      </x:c>
      <x:c r="C27" s="86" t="str">
        <x:f>IF($P27="","",INDEX(Tasks!$C$10:$C$1941,$P27))</x:f>
        <x:v>Phase 2</x:v>
      </x:c>
      <x:c r="D27" s="86" t="str">
        <x:f>IF($P27="","",INDEX(Tasks!$D$10:$D$1941,$P27))</x:f>
        <x:v>Auto</x:v>
      </x:c>
      <x:c r="E27" s="86"/>
      <x:c r="F27" s="86" t="str">
        <x:f>IF($P27="","",INDEX(Tasks!$E$10:$E$1941,$P27))</x:f>
        <x:v>Data &amp; Reporting</x:v>
      </x:c>
      <x:c r="G27" s="86"/>
      <x:c r="H27" s="14" t="str">
        <x:f>IF($P27="","",INDEX(Tasks!$F$10:$F$1941,$P27)&amp;CHAR(10)&amp;INDEX(Tasks!$G$10:$G$1941,$P27))</x:f>
        <x:v>DR.AU.2.3
Verify topic is eligible for RCA and does not conflict with Attorney Client Privilege</x:v>
      </x:c>
      <x:c r="I27" s="14"/>
      <x:c r="J27" s="14"/>
      <x:c r="K27" s="14"/>
      <x:c r="L27" s="86" t="str">
        <x:f>IF($P27="","",INDEX(Tasks!$N$10:$N$1941,$P27))</x:f>
        <x:v>Not started</x:v>
      </x:c>
      <x:c r="M27" s="87" t="n">
        <x:f>IF($P27="","",INDEX(Tasks!$J$10:$J$1941,$P27))</x:f>
        <x:v>46112</x:v>
      </x:c>
      <x:c r="N27" s="85" t="str">
        <x:f>IF($P27="","",HYPERLINK("#'"&amp;INDEX(Tasks!$T$10:$T$1941,$P27)&amp;"'!A"&amp;INDEX(Tasks!$U$10:$U$1941,$P27),"Open"))</x:f>
        <x:v>Open</x:v>
      </x:c>
      <x:c r="O27" s="14"/>
      <x:c r="P27" s="14" t="n">
        <x:f>IF(6&gt;$B$10,"",MATCH(6,Tasks!$S$10:$S$1941,0))</x:f>
        <x:v>19</x:v>
      </x:c>
    </x:row>
    <x:row r="28" ht="58" customHeight="1">
      <x:c r="A28" s="2"/>
      <x:c r="B28" s="86" t="str">
        <x:f>IF($P28="","",INDEX(Tasks!$B$10:$B$1941,$P28))</x:f>
        <x:v>Cycle 1</x:v>
      </x:c>
      <x:c r="C28" s="86" t="str">
        <x:f>IF($P28="","",INDEX(Tasks!$C$10:$C$1941,$P28))</x:f>
        <x:v>Phase 2</x:v>
      </x:c>
      <x:c r="D28" s="86" t="str">
        <x:f>IF($P28="","",INDEX(Tasks!$D$10:$D$1941,$P28))</x:f>
        <x:v>Auto</x:v>
      </x:c>
      <x:c r="E28" s="86"/>
      <x:c r="F28" s="86" t="str">
        <x:f>IF($P28="","",INDEX(Tasks!$E$10:$E$1941,$P28))</x:f>
        <x:v>Data &amp; Reporting</x:v>
      </x:c>
      <x:c r="G28" s="86"/>
      <x:c r="H28" s="14" t="str">
        <x:f>IF($P28="","",INDEX(Tasks!$F$10:$F$1941,$P28)&amp;CHAR(10)&amp;INDEX(Tasks!$G$10:$G$1941,$P28))</x:f>
        <x:v>DR.AU.2.4
Ensure data is free of errors and anomalies prior to hand-off to Research</x:v>
      </x:c>
      <x:c r="I28" s="14"/>
      <x:c r="J28" s="14"/>
      <x:c r="K28" s="14"/>
      <x:c r="L28" s="86" t="str">
        <x:f>IF($P28="","",INDEX(Tasks!$N$10:$N$1941,$P28))</x:f>
        <x:v>Not started</x:v>
      </x:c>
      <x:c r="M28" s="87" t="n">
        <x:f>IF($P28="","",INDEX(Tasks!$J$10:$J$1941,$P28))</x:f>
        <x:v>46112</x:v>
      </x:c>
      <x:c r="N28" s="85" t="str">
        <x:f>IF($P28="","",HYPERLINK("#'"&amp;INDEX(Tasks!$T$10:$T$1941,$P28)&amp;"'!A"&amp;INDEX(Tasks!$U$10:$U$1941,$P28),"Open"))</x:f>
        <x:v>Open</x:v>
      </x:c>
      <x:c r="O28" s="14"/>
      <x:c r="P28" s="14" t="n">
        <x:f>IF(7&gt;$B$10,"",MATCH(7,Tasks!$S$10:$S$1941,0))</x:f>
        <x:v>20</x:v>
      </x:c>
    </x:row>
    <x:row r="29" ht="58" customHeight="1">
      <x:c r="A29" s="2"/>
      <x:c r="B29" s="86" t="str">
        <x:f>IF($P29="","",INDEX(Tasks!$B$10:$B$1941,$P29))</x:f>
        <x:v>Cycle 1</x:v>
      </x:c>
      <x:c r="C29" s="86" t="str">
        <x:f>IF($P29="","",INDEX(Tasks!$C$10:$C$1941,$P29))</x:f>
        <x:v>Phase 2</x:v>
      </x:c>
      <x:c r="D29" s="86" t="str">
        <x:f>IF($P29="","",INDEX(Tasks!$D$10:$D$1941,$P29))</x:f>
        <x:v>Auto</x:v>
      </x:c>
      <x:c r="E29" s="86"/>
      <x:c r="F29" s="86" t="str">
        <x:f>IF($P29="","",INDEX(Tasks!$E$10:$E$1941,$P29))</x:f>
        <x:v>Data &amp; Reporting</x:v>
      </x:c>
      <x:c r="G29" s="86"/>
      <x:c r="H29" s="14" t="str">
        <x:f>IF($P29="","",INDEX(Tasks!$F$10:$F$1941,$P29)&amp;CHAR(10)&amp;INDEX(Tasks!$G$10:$G$1941,$P29))</x:f>
        <x:v>DR.AU.2.5
Ensure topic is not a duplicate from a previous Cycle</x:v>
      </x:c>
      <x:c r="I29" s="14"/>
      <x:c r="J29" s="14"/>
      <x:c r="K29" s="14"/>
      <x:c r="L29" s="86" t="str">
        <x:f>IF($P29="","",INDEX(Tasks!$N$10:$N$1941,$P29))</x:f>
        <x:v>Not started</x:v>
      </x:c>
      <x:c r="M29" s="87" t="n">
        <x:f>IF($P29="","",INDEX(Tasks!$J$10:$J$1941,$P29))</x:f>
        <x:v>46112</x:v>
      </x:c>
      <x:c r="N29" s="85" t="str">
        <x:f>IF($P29="","",HYPERLINK("#'"&amp;INDEX(Tasks!$T$10:$T$1941,$P29)&amp;"'!A"&amp;INDEX(Tasks!$U$10:$U$1941,$P29),"Open"))</x:f>
        <x:v>Open</x:v>
      </x:c>
      <x:c r="O29" s="14"/>
      <x:c r="P29" s="14" t="n">
        <x:f>IF(8&gt;$B$10,"",MATCH(8,Tasks!$S$10:$S$1941,0))</x:f>
        <x:v>21</x:v>
      </x:c>
    </x:row>
    <x:row r="30" ht="58" customHeight="1">
      <x:c r="A30" s="2"/>
      <x:c r="B30" s="86" t="str">
        <x:f>IF($P30="","",INDEX(Tasks!$B$10:$B$1941,$P30))</x:f>
        <x:v>Cycle 1</x:v>
      </x:c>
      <x:c r="C30" s="86" t="str">
        <x:f>IF($P30="","",INDEX(Tasks!$C$10:$C$1941,$P30))</x:f>
        <x:v>Phase 2</x:v>
      </x:c>
      <x:c r="D30" s="86" t="str">
        <x:f>IF($P30="","",INDEX(Tasks!$D$10:$D$1941,$P30))</x:f>
        <x:v>Auto</x:v>
      </x:c>
      <x:c r="E30" s="86"/>
      <x:c r="F30" s="86" t="str">
        <x:f>IF($P30="","",INDEX(Tasks!$E$10:$E$1941,$P30))</x:f>
        <x:v>Data &amp; Reporting</x:v>
      </x:c>
      <x:c r="G30" s="86"/>
      <x:c r="H30" s="14" t="str">
        <x:f>IF($P30="","",INDEX(Tasks!$F$10:$F$1941,$P30)&amp;CHAR(10)&amp;INDEX(Tasks!$G$10:$G$1941,$P30))</x:f>
        <x:v>DR.AU.2.6
Document clear distinctions between facts, assumptions, and hypotheses within the data package</x:v>
      </x:c>
      <x:c r="I30" s="14"/>
      <x:c r="J30" s="14"/>
      <x:c r="K30" s="14"/>
      <x:c r="L30" s="86" t="str">
        <x:f>IF($P30="","",INDEX(Tasks!$N$10:$N$1941,$P30))</x:f>
        <x:v>Not started</x:v>
      </x:c>
      <x:c r="M30" s="87" t="n">
        <x:f>IF($P30="","",INDEX(Tasks!$J$10:$J$1941,$P30))</x:f>
        <x:v>46112</x:v>
      </x:c>
      <x:c r="N30" s="85" t="str">
        <x:f>IF($P30="","",HYPERLINK("#'"&amp;INDEX(Tasks!$T$10:$T$1941,$P30)&amp;"'!A"&amp;INDEX(Tasks!$U$10:$U$1941,$P30),"Open"))</x:f>
        <x:v>Open</x:v>
      </x:c>
      <x:c r="O30" s="14"/>
      <x:c r="P30" s="14" t="n">
        <x:f>IF(9&gt;$B$10,"",MATCH(9,Tasks!$S$10:$S$1941,0))</x:f>
        <x:v>22</x:v>
      </x:c>
    </x:row>
    <x:row r="31" ht="58" customHeight="1">
      <x:c r="A31" s="2"/>
      <x:c r="B31" s="86" t="str">
        <x:f>IF($P31="","",INDEX(Tasks!$B$10:$B$1941,$P31))</x:f>
        <x:v>Cycle 1</x:v>
      </x:c>
      <x:c r="C31" s="86" t="str">
        <x:f>IF($P31="","",INDEX(Tasks!$C$10:$C$1941,$P31))</x:f>
        <x:v>Phase 3</x:v>
      </x:c>
      <x:c r="D31" s="86" t="str">
        <x:f>IF($P31="","",INDEX(Tasks!$D$10:$D$1941,$P31))</x:f>
        <x:v>Auto</x:v>
      </x:c>
      <x:c r="E31" s="86"/>
      <x:c r="F31" s="86" t="str">
        <x:f>IF($P31="","",INDEX(Tasks!$E$10:$E$1941,$P31))</x:f>
        <x:v>Data &amp; Reporting</x:v>
      </x:c>
      <x:c r="G31" s="86"/>
      <x:c r="H31" s="14" t="str">
        <x:f>IF($P31="","",INDEX(Tasks!$F$10:$F$1941,$P31)&amp;CHAR(10)&amp;INDEX(Tasks!$G$10:$G$1941,$P31))</x:f>
        <x:v>DR.AU.3.1
Clearly document rationale for each topic recommendation within the SharePoint list item</x:v>
      </x:c>
      <x:c r="I31" s="14"/>
      <x:c r="J31" s="14"/>
      <x:c r="K31" s="14"/>
      <x:c r="L31" s="86" t="str">
        <x:f>IF($P31="","",INDEX(Tasks!$N$10:$N$1941,$P31))</x:f>
        <x:v>Not started</x:v>
      </x:c>
      <x:c r="M31" s="87" t="n">
        <x:f>IF($P31="","",INDEX(Tasks!$J$10:$J$1941,$P31))</x:f>
        <x:v>46112</x:v>
      </x:c>
      <x:c r="N31" s="85" t="str">
        <x:f>IF($P31="","",HYPERLINK("#'"&amp;INDEX(Tasks!$T$10:$T$1941,$P31)&amp;"'!A"&amp;INDEX(Tasks!$U$10:$U$1941,$P31),"Open"))</x:f>
        <x:v>Open</x:v>
      </x:c>
      <x:c r="O31" s="14"/>
      <x:c r="P31" s="14" t="n">
        <x:f>IF(10&gt;$B$10,"",MATCH(10,Tasks!$S$10:$S$1941,0))</x:f>
        <x:v>23</x:v>
      </x:c>
    </x:row>
    <x:row r="32" ht="58" customHeight="1">
      <x:c r="A32" s="2"/>
      <x:c r="B32" s="86" t="str">
        <x:f>IF($P32="","",INDEX(Tasks!$B$10:$B$1941,$P32))</x:f>
        <x:v>Cycle 1</x:v>
      </x:c>
      <x:c r="C32" s="86" t="str">
        <x:f>IF($P32="","",INDEX(Tasks!$C$10:$C$1941,$P32))</x:f>
        <x:v>Phase 3</x:v>
      </x:c>
      <x:c r="D32" s="86" t="str">
        <x:f>IF($P32="","",INDEX(Tasks!$D$10:$D$1941,$P32))</x:f>
        <x:v>Auto</x:v>
      </x:c>
      <x:c r="E32" s="86"/>
      <x:c r="F32" s="86" t="str">
        <x:f>IF($P32="","",INDEX(Tasks!$E$10:$E$1941,$P32))</x:f>
        <x:v>Data &amp; Reporting</x:v>
      </x:c>
      <x:c r="G32" s="86"/>
      <x:c r="H32" s="14" t="str">
        <x:f>IF($P32="","",INDEX(Tasks!$F$10:$F$1941,$P32)&amp;CHAR(10)&amp;INDEX(Tasks!$G$10:$G$1941,$P32))</x:f>
        <x:v>DR.AU.3.2
Attach the data package for each topic recommendation within the SharePoint list item</x:v>
      </x:c>
      <x:c r="I32" s="14"/>
      <x:c r="J32" s="14"/>
      <x:c r="K32" s="14"/>
      <x:c r="L32" s="86" t="str">
        <x:f>IF($P32="","",INDEX(Tasks!$N$10:$N$1941,$P32))</x:f>
        <x:v>Not started</x:v>
      </x:c>
      <x:c r="M32" s="87" t="n">
        <x:f>IF($P32="","",INDEX(Tasks!$J$10:$J$1941,$P32))</x:f>
        <x:v>46112</x:v>
      </x:c>
      <x:c r="N32" s="85" t="str">
        <x:f>IF($P32="","",HYPERLINK("#'"&amp;INDEX(Tasks!$T$10:$T$1941,$P32)&amp;"'!A"&amp;INDEX(Tasks!$U$10:$U$1941,$P32),"Open"))</x:f>
        <x:v>Open</x:v>
      </x:c>
      <x:c r="O32" s="14"/>
      <x:c r="P32" s="14" t="n">
        <x:f>IF(11&gt;$B$10,"",MATCH(11,Tasks!$S$10:$S$1941,0))</x:f>
        <x:v>24</x:v>
      </x:c>
    </x:row>
    <x:row r="33" ht="58" customHeight="1">
      <x:c r="A33" s="2"/>
      <x:c r="B33" s="86" t="str">
        <x:f>IF($P33="","",INDEX(Tasks!$B$10:$B$1941,$P33))</x:f>
        <x:v>Cycle 1</x:v>
      </x:c>
      <x:c r="C33" s="86" t="str">
        <x:f>IF($P33="","",INDEX(Tasks!$C$10:$C$1941,$P33))</x:f>
        <x:v>Phase 3</x:v>
      </x:c>
      <x:c r="D33" s="86" t="str">
        <x:f>IF($P33="","",INDEX(Tasks!$D$10:$D$1941,$P33))</x:f>
        <x:v>Auto</x:v>
      </x:c>
      <x:c r="E33" s="86"/>
      <x:c r="F33" s="86" t="str">
        <x:f>IF($P33="","",INDEX(Tasks!$E$10:$E$1941,$P33))</x:f>
        <x:v>Data &amp; Reporting</x:v>
      </x:c>
      <x:c r="G33" s="86"/>
      <x:c r="H33" s="14" t="str">
        <x:f>IF($P33="","",INDEX(Tasks!$F$10:$F$1941,$P33)&amp;CHAR(10)&amp;INDEX(Tasks!$G$10:$G$1941,$P33))</x:f>
        <x:v>DR.AU.3.3
Confirm data privileges have been granted, ensuring each pillar can access</x:v>
      </x:c>
      <x:c r="I33" s="14"/>
      <x:c r="J33" s="14"/>
      <x:c r="K33" s="14"/>
      <x:c r="L33" s="86" t="str">
        <x:f>IF($P33="","",INDEX(Tasks!$N$10:$N$1941,$P33))</x:f>
        <x:v>Not started</x:v>
      </x:c>
      <x:c r="M33" s="87" t="n">
        <x:f>IF($P33="","",INDEX(Tasks!$J$10:$J$1941,$P33))</x:f>
        <x:v>46112</x:v>
      </x:c>
      <x:c r="N33" s="85" t="str">
        <x:f>IF($P33="","",HYPERLINK("#'"&amp;INDEX(Tasks!$T$10:$T$1941,$P33)&amp;"'!A"&amp;INDEX(Tasks!$U$10:$U$1941,$P33),"Open"))</x:f>
        <x:v>Open</x:v>
      </x:c>
      <x:c r="O33" s="14"/>
      <x:c r="P33" s="14" t="n">
        <x:f>IF(12&gt;$B$10,"",MATCH(12,Tasks!$S$10:$S$1941,0))</x:f>
        <x:v>25</x:v>
      </x:c>
    </x:row>
    <x:row r="34" ht="58" customHeight="1">
      <x:c r="A34" s="2"/>
      <x:c r="B34" s="86" t="str">
        <x:f>IF($P34="","",INDEX(Tasks!$B$10:$B$1941,$P34))</x:f>
        <x:v>Cycle 1</x:v>
      </x:c>
      <x:c r="C34" s="86" t="str">
        <x:f>IF($P34="","",INDEX(Tasks!$C$10:$C$1941,$P34))</x:f>
        <x:v>Phase 3</x:v>
      </x:c>
      <x:c r="D34" s="86" t="str">
        <x:f>IF($P34="","",INDEX(Tasks!$D$10:$D$1941,$P34))</x:f>
        <x:v>Auto</x:v>
      </x:c>
      <x:c r="E34" s="86"/>
      <x:c r="F34" s="86" t="str">
        <x:f>IF($P34="","",INDEX(Tasks!$E$10:$E$1941,$P34))</x:f>
        <x:v>Data &amp; Reporting</x:v>
      </x:c>
      <x:c r="G34" s="86"/>
      <x:c r="H34" s="14" t="str">
        <x:f>IF($P34="","",INDEX(Tasks!$F$10:$F$1941,$P34)&amp;CHAR(10)&amp;INDEX(Tasks!$G$10:$G$1941,$P34))</x:f>
        <x:v>DR.AU.3.4
Ensure Power Automate notifications were correctly triggered within Microsoft Teams</x:v>
      </x:c>
      <x:c r="I34" s="14"/>
      <x:c r="J34" s="14"/>
      <x:c r="K34" s="14"/>
      <x:c r="L34" s="86" t="str">
        <x:f>IF($P34="","",INDEX(Tasks!$N$10:$N$1941,$P34))</x:f>
        <x:v>Not started</x:v>
      </x:c>
      <x:c r="M34" s="87" t="n">
        <x:f>IF($P34="","",INDEX(Tasks!$J$10:$J$1941,$P34))</x:f>
        <x:v>46112</x:v>
      </x:c>
      <x:c r="N34" s="85" t="str">
        <x:f>IF($P34="","",HYPERLINK("#'"&amp;INDEX(Tasks!$T$10:$T$1941,$P34)&amp;"'!A"&amp;INDEX(Tasks!$U$10:$U$1941,$P34),"Open"))</x:f>
        <x:v>Open</x:v>
      </x:c>
      <x:c r="O34" s="14"/>
      <x:c r="P34" s="14" t="n">
        <x:f>IF(13&gt;$B$10,"",MATCH(13,Tasks!$S$10:$S$1941,0))</x:f>
        <x:v>26</x:v>
      </x:c>
    </x:row>
    <x:row r="35" ht="58" customHeight="1">
      <x:c r="A35" s="2"/>
      <x:c r="B35" s="86" t="str">
        <x:f>IF($P35="","",INDEX(Tasks!$B$10:$B$1941,$P35))</x:f>
        <x:v>Cycle 1</x:v>
      </x:c>
      <x:c r="C35" s="86" t="str">
        <x:f>IF($P35="","",INDEX(Tasks!$C$10:$C$1941,$P35))</x:f>
        <x:v>Phase 1</x:v>
      </x:c>
      <x:c r="D35" s="86" t="str">
        <x:f>IF($P35="","",INDEX(Tasks!$D$10:$D$1941,$P35))</x:f>
        <x:v>Cards</x:v>
      </x:c>
      <x:c r="E35" s="86"/>
      <x:c r="F35" s="86" t="str">
        <x:f>IF($P35="","",INDEX(Tasks!$E$10:$E$1941,$P35))</x:f>
        <x:v>Data &amp; Reporting</x:v>
      </x:c>
      <x:c r="G35" s="86"/>
      <x:c r="H35" s="14" t="str">
        <x:f>IF($P35="","",INDEX(Tasks!$F$10:$F$1941,$P35)&amp;CHAR(10)&amp;INDEX(Tasks!$G$10:$G$1941,$P35))</x:f>
        <x:v>DR.CA.1.1
Review data sources 3 weeks prior to Cycle start (Complaints, Gen AI, Loudspeaker, NPS, etc.)</x:v>
      </x:c>
      <x:c r="I35" s="14"/>
      <x:c r="J35" s="14"/>
      <x:c r="K35" s="14"/>
      <x:c r="L35" s="86" t="str">
        <x:f>IF($P35="","",INDEX(Tasks!$N$10:$N$1941,$P35))</x:f>
        <x:v>Not started</x:v>
      </x:c>
      <x:c r="M35" s="87" t="n">
        <x:f>IF($P35="","",INDEX(Tasks!$J$10:$J$1941,$P35))</x:f>
        <x:v>46002</x:v>
      </x:c>
      <x:c r="N35" s="85" t="str">
        <x:f>IF($P35="","",HYPERLINK("#'"&amp;INDEX(Tasks!$T$10:$T$1941,$P35)&amp;"'!A"&amp;INDEX(Tasks!$U$10:$U$1941,$P35),"Open"))</x:f>
        <x:v>Open</x:v>
      </x:c>
      <x:c r="O35" s="14"/>
      <x:c r="P35" s="14" t="n">
        <x:f>IF(14&gt;$B$10,"",MATCH(14,Tasks!$S$10:$S$1941,0))</x:f>
        <x:v>27</x:v>
      </x:c>
    </x:row>
    <x:row r="36" ht="58" customHeight="1">
      <x:c r="A36" s="2"/>
      <x:c r="B36" s="86" t="str">
        <x:f>IF($P36="","",INDEX(Tasks!$B$10:$B$1941,$P36))</x:f>
        <x:v>Cycle 1</x:v>
      </x:c>
      <x:c r="C36" s="86" t="str">
        <x:f>IF($P36="","",INDEX(Tasks!$C$10:$C$1941,$P36))</x:f>
        <x:v>Phase 1</x:v>
      </x:c>
      <x:c r="D36" s="86" t="str">
        <x:f>IF($P36="","",INDEX(Tasks!$D$10:$D$1941,$P36))</x:f>
        <x:v>Cards</x:v>
      </x:c>
      <x:c r="E36" s="86"/>
      <x:c r="F36" s="86" t="str">
        <x:f>IF($P36="","",INDEX(Tasks!$E$10:$E$1941,$P36))</x:f>
        <x:v>Data &amp; Reporting</x:v>
      </x:c>
      <x:c r="G36" s="86"/>
      <x:c r="H36" s="14" t="str">
        <x:f>IF($P36="","",INDEX(Tasks!$F$10:$F$1941,$P36)&amp;CHAR(10)&amp;INDEX(Tasks!$G$10:$G$1941,$P36))</x:f>
        <x:v>DR.CA.1.2
Identify two potential topics for the upcoming Cycle</x:v>
      </x:c>
      <x:c r="I36" s="14"/>
      <x:c r="J36" s="14"/>
      <x:c r="K36" s="14"/>
      <x:c r="L36" s="86" t="str">
        <x:f>IF($P36="","",INDEX(Tasks!$N$10:$N$1941,$P36))</x:f>
        <x:v>Not started</x:v>
      </x:c>
      <x:c r="M36" s="87" t="n">
        <x:f>IF($P36="","",INDEX(Tasks!$J$10:$J$1941,$P36))</x:f>
        <x:v>46112</x:v>
      </x:c>
      <x:c r="N36" s="85" t="str">
        <x:f>IF($P36="","",HYPERLINK("#'"&amp;INDEX(Tasks!$T$10:$T$1941,$P36)&amp;"'!A"&amp;INDEX(Tasks!$U$10:$U$1941,$P36),"Open"))</x:f>
        <x:v>Open</x:v>
      </x:c>
      <x:c r="O36" s="14"/>
      <x:c r="P36" s="14" t="n">
        <x:f>IF(15&gt;$B$10,"",MATCH(15,Tasks!$S$10:$S$1941,0))</x:f>
        <x:v>28</x:v>
      </x:c>
    </x:row>
    <x:row r="37" ht="58" customHeight="1">
      <x:c r="A37" s="2"/>
      <x:c r="B37" s="86" t="str">
        <x:f>IF($P37="","",INDEX(Tasks!$B$10:$B$1941,$P37))</x:f>
        <x:v>Cycle 1</x:v>
      </x:c>
      <x:c r="C37" s="86" t="str">
        <x:f>IF($P37="","",INDEX(Tasks!$C$10:$C$1941,$P37))</x:f>
        <x:v>Phase 1</x:v>
      </x:c>
      <x:c r="D37" s="86" t="str">
        <x:f>IF($P37="","",INDEX(Tasks!$D$10:$D$1941,$P37))</x:f>
        <x:v>Cards</x:v>
      </x:c>
      <x:c r="E37" s="86"/>
      <x:c r="F37" s="86" t="str">
        <x:f>IF($P37="","",INDEX(Tasks!$E$10:$E$1941,$P37))</x:f>
        <x:v>Data &amp; Reporting</x:v>
      </x:c>
      <x:c r="G37" s="86"/>
      <x:c r="H37" s="14" t="str">
        <x:f>IF($P37="","",INDEX(Tasks!$F$10:$F$1941,$P37)&amp;CHAR(10)&amp;INDEX(Tasks!$G$10:$G$1941,$P37))</x:f>
        <x:v>DR.CA.1.3
Extract data for both potential topics, ensuring all checklist items below are included/completed</x:v>
      </x:c>
      <x:c r="I37" s="14"/>
      <x:c r="J37" s="14"/>
      <x:c r="K37" s="14"/>
      <x:c r="L37" s="86" t="str">
        <x:f>IF($P37="","",INDEX(Tasks!$N$10:$N$1941,$P37))</x:f>
        <x:v>Not started</x:v>
      </x:c>
      <x:c r="M37" s="87" t="n">
        <x:f>IF($P37="","",INDEX(Tasks!$J$10:$J$1941,$P37))</x:f>
        <x:v>46112</x:v>
      </x:c>
      <x:c r="N37" s="85" t="str">
        <x:f>IF($P37="","",HYPERLINK("#'"&amp;INDEX(Tasks!$T$10:$T$1941,$P37)&amp;"'!A"&amp;INDEX(Tasks!$U$10:$U$1941,$P37),"Open"))</x:f>
        <x:v>Open</x:v>
      </x:c>
      <x:c r="O37" s="14"/>
      <x:c r="P37" s="14" t="n">
        <x:f>IF(16&gt;$B$10,"",MATCH(16,Tasks!$S$10:$S$1941,0))</x:f>
        <x:v>29</x:v>
      </x:c>
    </x:row>
    <x:row r="38" ht="58" customHeight="1">
      <x:c r="A38" s="2"/>
      <x:c r="B38" s="86" t="str">
        <x:f>IF($P38="","",INDEX(Tasks!$B$10:$B$1941,$P38))</x:f>
        <x:v>Cycle 1</x:v>
      </x:c>
      <x:c r="C38" s="86" t="str">
        <x:f>IF($P38="","",INDEX(Tasks!$C$10:$C$1941,$P38))</x:f>
        <x:v>Phase 2</x:v>
      </x:c>
      <x:c r="D38" s="86" t="str">
        <x:f>IF($P38="","",INDEX(Tasks!$D$10:$D$1941,$P38))</x:f>
        <x:v>Cards</x:v>
      </x:c>
      <x:c r="E38" s="86"/>
      <x:c r="F38" s="86" t="str">
        <x:f>IF($P38="","",INDEX(Tasks!$E$10:$E$1941,$P38))</x:f>
        <x:v>Data &amp; Reporting</x:v>
      </x:c>
      <x:c r="G38" s="86"/>
      <x:c r="H38" s="14" t="str">
        <x:f>IF($P38="","",INDEX(Tasks!$F$10:$F$1941,$P38)&amp;CHAR(10)&amp;INDEX(Tasks!$G$10:$G$1941,$P38))</x:f>
        <x:v>DR.CA.2.1
Ensure data is clean, structured, and usable without manipulation needed</x:v>
      </x:c>
      <x:c r="I38" s="14"/>
      <x:c r="J38" s="14"/>
      <x:c r="K38" s="14"/>
      <x:c r="L38" s="86" t="str">
        <x:f>IF($P38="","",INDEX(Tasks!$N$10:$N$1941,$P38))</x:f>
        <x:v>Not started</x:v>
      </x:c>
      <x:c r="M38" s="87" t="n">
        <x:f>IF($P38="","",INDEX(Tasks!$J$10:$J$1941,$P38))</x:f>
        <x:v>46112</x:v>
      </x:c>
      <x:c r="N38" s="85" t="str">
        <x:f>IF($P38="","",HYPERLINK("#'"&amp;INDEX(Tasks!$T$10:$T$1941,$P38)&amp;"'!A"&amp;INDEX(Tasks!$U$10:$U$1941,$P38),"Open"))</x:f>
        <x:v>Open</x:v>
      </x:c>
      <x:c r="O38" s="14"/>
      <x:c r="P38" s="14" t="n">
        <x:f>IF(17&gt;$B$10,"",MATCH(17,Tasks!$S$10:$S$1941,0))</x:f>
        <x:v>43</x:v>
      </x:c>
    </x:row>
    <x:row r="39" ht="58" customHeight="1">
      <x:c r="A39" s="2"/>
      <x:c r="B39" s="86" t="str">
        <x:f>IF($P39="","",INDEX(Tasks!$B$10:$B$1941,$P39))</x:f>
        <x:v>Cycle 1</x:v>
      </x:c>
      <x:c r="C39" s="86" t="str">
        <x:f>IF($P39="","",INDEX(Tasks!$C$10:$C$1941,$P39))</x:f>
        <x:v>Phase 2</x:v>
      </x:c>
      <x:c r="D39" s="86" t="str">
        <x:f>IF($P39="","",INDEX(Tasks!$D$10:$D$1941,$P39))</x:f>
        <x:v>Cards</x:v>
      </x:c>
      <x:c r="E39" s="86"/>
      <x:c r="F39" s="86" t="str">
        <x:f>IF($P39="","",INDEX(Tasks!$E$10:$E$1941,$P39))</x:f>
        <x:v>Data &amp; Reporting</x:v>
      </x:c>
      <x:c r="G39" s="86"/>
      <x:c r="H39" s="14" t="str">
        <x:f>IF($P39="","",INDEX(Tasks!$F$10:$F$1941,$P39)&amp;CHAR(10)&amp;INDEX(Tasks!$G$10:$G$1941,$P39))</x:f>
        <x:v>DR.CA.2.2
Clearly document rationale for each topic recommendation within the SharePoint list</x:v>
      </x:c>
      <x:c r="I39" s="14"/>
      <x:c r="J39" s="14"/>
      <x:c r="K39" s="14"/>
      <x:c r="L39" s="86" t="str">
        <x:f>IF($P39="","",INDEX(Tasks!$N$10:$N$1941,$P39))</x:f>
        <x:v>Not started</x:v>
      </x:c>
      <x:c r="M39" s="87" t="n">
        <x:f>IF($P39="","",INDEX(Tasks!$J$10:$J$1941,$P39))</x:f>
        <x:v>46112</x:v>
      </x:c>
      <x:c r="N39" s="85" t="str">
        <x:f>IF($P39="","",HYPERLINK("#'"&amp;INDEX(Tasks!$T$10:$T$1941,$P39)&amp;"'!A"&amp;INDEX(Tasks!$U$10:$U$1941,$P39),"Open"))</x:f>
        <x:v>Open</x:v>
      </x:c>
      <x:c r="O39" s="14"/>
      <x:c r="P39" s="14" t="n">
        <x:f>IF(18&gt;$B$10,"",MATCH(18,Tasks!$S$10:$S$1941,0))</x:f>
        <x:v>44</x:v>
      </x:c>
    </x:row>
    <x:row r="40" ht="58" customHeight="1">
      <x:c r="A40" s="2"/>
      <x:c r="B40" s="86" t="str">
        <x:f>IF($P40="","",INDEX(Tasks!$B$10:$B$1941,$P40))</x:f>
        <x:v>Cycle 1</x:v>
      </x:c>
      <x:c r="C40" s="86" t="str">
        <x:f>IF($P40="","",INDEX(Tasks!$C$10:$C$1941,$P40))</x:f>
        <x:v>Phase 2</x:v>
      </x:c>
      <x:c r="D40" s="86" t="str">
        <x:f>IF($P40="","",INDEX(Tasks!$D$10:$D$1941,$P40))</x:f>
        <x:v>Cards</x:v>
      </x:c>
      <x:c r="E40" s="86"/>
      <x:c r="F40" s="86" t="str">
        <x:f>IF($P40="","",INDEX(Tasks!$E$10:$E$1941,$P40))</x:f>
        <x:v>Data &amp; Reporting</x:v>
      </x:c>
      <x:c r="G40" s="86"/>
      <x:c r="H40" s="14" t="str">
        <x:f>IF($P40="","",INDEX(Tasks!$F$10:$F$1941,$P40)&amp;CHAR(10)&amp;INDEX(Tasks!$G$10:$G$1941,$P40))</x:f>
        <x:v>DR.CA.2.3
Verify topic is eligible for RCA and does not conflict with Attorney Client Privilege</x:v>
      </x:c>
      <x:c r="I40" s="14"/>
      <x:c r="J40" s="14"/>
      <x:c r="K40" s="14"/>
      <x:c r="L40" s="86" t="str">
        <x:f>IF($P40="","",INDEX(Tasks!$N$10:$N$1941,$P40))</x:f>
        <x:v>Not started</x:v>
      </x:c>
      <x:c r="M40" s="87" t="n">
        <x:f>IF($P40="","",INDEX(Tasks!$J$10:$J$1941,$P40))</x:f>
        <x:v>46112</x:v>
      </x:c>
      <x:c r="N40" s="85" t="str">
        <x:f>IF($P40="","",HYPERLINK("#'"&amp;INDEX(Tasks!$T$10:$T$1941,$P40)&amp;"'!A"&amp;INDEX(Tasks!$U$10:$U$1941,$P40),"Open"))</x:f>
        <x:v>Open</x:v>
      </x:c>
      <x:c r="O40" s="14"/>
      <x:c r="P40" s="14" t="n">
        <x:f>IF(19&gt;$B$10,"",MATCH(19,Tasks!$S$10:$S$1941,0))</x:f>
        <x:v>45</x:v>
      </x:c>
    </x:row>
    <x:row r="41" ht="58" customHeight="1">
      <x:c r="A41" s="2"/>
      <x:c r="B41" s="86" t="str">
        <x:f>IF($P41="","",INDEX(Tasks!$B$10:$B$1941,$P41))</x:f>
        <x:v>Cycle 1</x:v>
      </x:c>
      <x:c r="C41" s="86" t="str">
        <x:f>IF($P41="","",INDEX(Tasks!$C$10:$C$1941,$P41))</x:f>
        <x:v>Phase 2</x:v>
      </x:c>
      <x:c r="D41" s="86" t="str">
        <x:f>IF($P41="","",INDEX(Tasks!$D$10:$D$1941,$P41))</x:f>
        <x:v>Cards</x:v>
      </x:c>
      <x:c r="E41" s="86"/>
      <x:c r="F41" s="86" t="str">
        <x:f>IF($P41="","",INDEX(Tasks!$E$10:$E$1941,$P41))</x:f>
        <x:v>Data &amp; Reporting</x:v>
      </x:c>
      <x:c r="G41" s="86"/>
      <x:c r="H41" s="14" t="str">
        <x:f>IF($P41="","",INDEX(Tasks!$F$10:$F$1941,$P41)&amp;CHAR(10)&amp;INDEX(Tasks!$G$10:$G$1941,$P41))</x:f>
        <x:v>DR.CA.2.4
Ensure data is free of errors and anomalies prior to hand-off to Research</x:v>
      </x:c>
      <x:c r="I41" s="14"/>
      <x:c r="J41" s="14"/>
      <x:c r="K41" s="14"/>
      <x:c r="L41" s="86" t="str">
        <x:f>IF($P41="","",INDEX(Tasks!$N$10:$N$1941,$P41))</x:f>
        <x:v>Not started</x:v>
      </x:c>
      <x:c r="M41" s="87" t="n">
        <x:f>IF($P41="","",INDEX(Tasks!$J$10:$J$1941,$P41))</x:f>
        <x:v>46112</x:v>
      </x:c>
      <x:c r="N41" s="85" t="str">
        <x:f>IF($P41="","",HYPERLINK("#'"&amp;INDEX(Tasks!$T$10:$T$1941,$P41)&amp;"'!A"&amp;INDEX(Tasks!$U$10:$U$1941,$P41),"Open"))</x:f>
        <x:v>Open</x:v>
      </x:c>
      <x:c r="O41" s="14"/>
      <x:c r="P41" s="14" t="n">
        <x:f>IF(20&gt;$B$10,"",MATCH(20,Tasks!$S$10:$S$1941,0))</x:f>
        <x:v>46</x:v>
      </x:c>
    </x:row>
    <x:row r="42" ht="58" customHeight="1">
      <x:c r="A42" s="2"/>
      <x:c r="B42" s="86" t="str">
        <x:f>IF($P42="","",INDEX(Tasks!$B$10:$B$1941,$P42))</x:f>
        <x:v>Cycle 1</x:v>
      </x:c>
      <x:c r="C42" s="86" t="str">
        <x:f>IF($P42="","",INDEX(Tasks!$C$10:$C$1941,$P42))</x:f>
        <x:v>Phase 2</x:v>
      </x:c>
      <x:c r="D42" s="86" t="str">
        <x:f>IF($P42="","",INDEX(Tasks!$D$10:$D$1941,$P42))</x:f>
        <x:v>Cards</x:v>
      </x:c>
      <x:c r="E42" s="86"/>
      <x:c r="F42" s="86" t="str">
        <x:f>IF($P42="","",INDEX(Tasks!$E$10:$E$1941,$P42))</x:f>
        <x:v>Data &amp; Reporting</x:v>
      </x:c>
      <x:c r="G42" s="86"/>
      <x:c r="H42" s="14" t="str">
        <x:f>IF($P42="","",INDEX(Tasks!$F$10:$F$1941,$P42)&amp;CHAR(10)&amp;INDEX(Tasks!$G$10:$G$1941,$P42))</x:f>
        <x:v>DR.CA.2.5
Ensure topic is not a duplicate from a previous Cycle</x:v>
      </x:c>
      <x:c r="I42" s="14"/>
      <x:c r="J42" s="14"/>
      <x:c r="K42" s="14"/>
      <x:c r="L42" s="86" t="str">
        <x:f>IF($P42="","",INDEX(Tasks!$N$10:$N$1941,$P42))</x:f>
        <x:v>Not started</x:v>
      </x:c>
      <x:c r="M42" s="87" t="n">
        <x:f>IF($P42="","",INDEX(Tasks!$J$10:$J$1941,$P42))</x:f>
        <x:v>46112</x:v>
      </x:c>
      <x:c r="N42" s="85" t="str">
        <x:f>IF($P42="","",HYPERLINK("#'"&amp;INDEX(Tasks!$T$10:$T$1941,$P42)&amp;"'!A"&amp;INDEX(Tasks!$U$10:$U$1941,$P42),"Open"))</x:f>
        <x:v>Open</x:v>
      </x:c>
      <x:c r="O42" s="14"/>
      <x:c r="P42" s="14" t="n">
        <x:f>IF(21&gt;$B$10,"",MATCH(21,Tasks!$S$10:$S$1941,0))</x:f>
        <x:v>47</x:v>
      </x:c>
    </x:row>
    <x:row r="43" ht="58" customHeight="1">
      <x:c r="A43" s="2"/>
      <x:c r="B43" s="86" t="str">
        <x:f>IF($P43="","",INDEX(Tasks!$B$10:$B$1941,$P43))</x:f>
        <x:v>Cycle 1</x:v>
      </x:c>
      <x:c r="C43" s="86" t="str">
        <x:f>IF($P43="","",INDEX(Tasks!$C$10:$C$1941,$P43))</x:f>
        <x:v>Phase 2</x:v>
      </x:c>
      <x:c r="D43" s="86" t="str">
        <x:f>IF($P43="","",INDEX(Tasks!$D$10:$D$1941,$P43))</x:f>
        <x:v>Cards</x:v>
      </x:c>
      <x:c r="E43" s="86"/>
      <x:c r="F43" s="86" t="str">
        <x:f>IF($P43="","",INDEX(Tasks!$E$10:$E$1941,$P43))</x:f>
        <x:v>Data &amp; Reporting</x:v>
      </x:c>
      <x:c r="G43" s="86"/>
      <x:c r="H43" s="14" t="str">
        <x:f>IF($P43="","",INDEX(Tasks!$F$10:$F$1941,$P43)&amp;CHAR(10)&amp;INDEX(Tasks!$G$10:$G$1941,$P43))</x:f>
        <x:v>DR.CA.2.6
Document clear distinctions between facts, assumptions, and hypotheses within the data package</x:v>
      </x:c>
      <x:c r="I43" s="14"/>
      <x:c r="J43" s="14"/>
      <x:c r="K43" s="14"/>
      <x:c r="L43" s="86" t="str">
        <x:f>IF($P43="","",INDEX(Tasks!$N$10:$N$1941,$P43))</x:f>
        <x:v>Not started</x:v>
      </x:c>
      <x:c r="M43" s="87" t="n">
        <x:f>IF($P43="","",INDEX(Tasks!$J$10:$J$1941,$P43))</x:f>
        <x:v>46112</x:v>
      </x:c>
      <x:c r="N43" s="85" t="str">
        <x:f>IF($P43="","",HYPERLINK("#'"&amp;INDEX(Tasks!$T$10:$T$1941,$P43)&amp;"'!A"&amp;INDEX(Tasks!$U$10:$U$1941,$P43),"Open"))</x:f>
        <x:v>Open</x:v>
      </x:c>
      <x:c r="O43" s="14"/>
      <x:c r="P43" s="14" t="n">
        <x:f>IF(22&gt;$B$10,"",MATCH(22,Tasks!$S$10:$S$1941,0))</x:f>
        <x:v>48</x:v>
      </x:c>
    </x:row>
    <x:row r="44" ht="58" customHeight="1">
      <x:c r="A44" s="2"/>
      <x:c r="B44" s="86" t="str">
        <x:f>IF($P44="","",INDEX(Tasks!$B$10:$B$1941,$P44))</x:f>
        <x:v>Cycle 1</x:v>
      </x:c>
      <x:c r="C44" s="86" t="str">
        <x:f>IF($P44="","",INDEX(Tasks!$C$10:$C$1941,$P44))</x:f>
        <x:v>Phase 3</x:v>
      </x:c>
      <x:c r="D44" s="86" t="str">
        <x:f>IF($P44="","",INDEX(Tasks!$D$10:$D$1941,$P44))</x:f>
        <x:v>Cards</x:v>
      </x:c>
      <x:c r="E44" s="86"/>
      <x:c r="F44" s="86" t="str">
        <x:f>IF($P44="","",INDEX(Tasks!$E$10:$E$1941,$P44))</x:f>
        <x:v>Data &amp; Reporting</x:v>
      </x:c>
      <x:c r="G44" s="86"/>
      <x:c r="H44" s="14" t="str">
        <x:f>IF($P44="","",INDEX(Tasks!$F$10:$F$1941,$P44)&amp;CHAR(10)&amp;INDEX(Tasks!$G$10:$G$1941,$P44))</x:f>
        <x:v>DR.CA.3.1
Clearly document rationale for each topic recommendation within the SharePoint list item</x:v>
      </x:c>
      <x:c r="I44" s="14"/>
      <x:c r="J44" s="14"/>
      <x:c r="K44" s="14"/>
      <x:c r="L44" s="86" t="str">
        <x:f>IF($P44="","",INDEX(Tasks!$N$10:$N$1941,$P44))</x:f>
        <x:v>Not started</x:v>
      </x:c>
      <x:c r="M44" s="87" t="n">
        <x:f>IF($P44="","",INDEX(Tasks!$J$10:$J$1941,$P44))</x:f>
        <x:v>46112</x:v>
      </x:c>
      <x:c r="N44" s="85" t="str">
        <x:f>IF($P44="","",HYPERLINK("#'"&amp;INDEX(Tasks!$T$10:$T$1941,$P44)&amp;"'!A"&amp;INDEX(Tasks!$U$10:$U$1941,$P44),"Open"))</x:f>
        <x:v>Open</x:v>
      </x:c>
      <x:c r="O44" s="14"/>
      <x:c r="P44" s="14" t="n">
        <x:f>IF(23&gt;$B$10,"",MATCH(23,Tasks!$S$10:$S$1941,0))</x:f>
        <x:v>49</x:v>
      </x:c>
    </x:row>
    <x:row r="45" ht="58" customHeight="1">
      <x:c r="A45" s="2"/>
      <x:c r="B45" s="86" t="str">
        <x:f>IF($P45="","",INDEX(Tasks!$B$10:$B$1941,$P45))</x:f>
        <x:v>Cycle 1</x:v>
      </x:c>
      <x:c r="C45" s="86" t="str">
        <x:f>IF($P45="","",INDEX(Tasks!$C$10:$C$1941,$P45))</x:f>
        <x:v>Phase 3</x:v>
      </x:c>
      <x:c r="D45" s="86" t="str">
        <x:f>IF($P45="","",INDEX(Tasks!$D$10:$D$1941,$P45))</x:f>
        <x:v>Cards</x:v>
      </x:c>
      <x:c r="E45" s="86"/>
      <x:c r="F45" s="86" t="str">
        <x:f>IF($P45="","",INDEX(Tasks!$E$10:$E$1941,$P45))</x:f>
        <x:v>Data &amp; Reporting</x:v>
      </x:c>
      <x:c r="G45" s="86"/>
      <x:c r="H45" s="14" t="str">
        <x:f>IF($P45="","",INDEX(Tasks!$F$10:$F$1941,$P45)&amp;CHAR(10)&amp;INDEX(Tasks!$G$10:$G$1941,$P45))</x:f>
        <x:v>DR.CA.3.2
Attach the data package for each topic recommendation within the SharePoint list item</x:v>
      </x:c>
      <x:c r="I45" s="14"/>
      <x:c r="J45" s="14"/>
      <x:c r="K45" s="14"/>
      <x:c r="L45" s="86" t="str">
        <x:f>IF($P45="","",INDEX(Tasks!$N$10:$N$1941,$P45))</x:f>
        <x:v>Not started</x:v>
      </x:c>
      <x:c r="M45" s="87" t="n">
        <x:f>IF($P45="","",INDEX(Tasks!$J$10:$J$1941,$P45))</x:f>
        <x:v>46112</x:v>
      </x:c>
      <x:c r="N45" s="85" t="str">
        <x:f>IF($P45="","",HYPERLINK("#'"&amp;INDEX(Tasks!$T$10:$T$1941,$P45)&amp;"'!A"&amp;INDEX(Tasks!$U$10:$U$1941,$P45),"Open"))</x:f>
        <x:v>Open</x:v>
      </x:c>
      <x:c r="O45" s="14"/>
      <x:c r="P45" s="14" t="n">
        <x:f>IF(24&gt;$B$10,"",MATCH(24,Tasks!$S$10:$S$1941,0))</x:f>
        <x:v>50</x:v>
      </x:c>
    </x:row>
    <x:row r="46" ht="58" customHeight="1">
      <x:c r="A46" s="2"/>
      <x:c r="B46" s="86" t="str">
        <x:f>IF($P46="","",INDEX(Tasks!$B$10:$B$1941,$P46))</x:f>
        <x:v>Cycle 1</x:v>
      </x:c>
      <x:c r="C46" s="86" t="str">
        <x:f>IF($P46="","",INDEX(Tasks!$C$10:$C$1941,$P46))</x:f>
        <x:v>Phase 3</x:v>
      </x:c>
      <x:c r="D46" s="86" t="str">
        <x:f>IF($P46="","",INDEX(Tasks!$D$10:$D$1941,$P46))</x:f>
        <x:v>Cards</x:v>
      </x:c>
      <x:c r="E46" s="86"/>
      <x:c r="F46" s="86" t="str">
        <x:f>IF($P46="","",INDEX(Tasks!$E$10:$E$1941,$P46))</x:f>
        <x:v>Data &amp; Reporting</x:v>
      </x:c>
      <x:c r="G46" s="86"/>
      <x:c r="H46" s="14" t="str">
        <x:f>IF($P46="","",INDEX(Tasks!$F$10:$F$1941,$P46)&amp;CHAR(10)&amp;INDEX(Tasks!$G$10:$G$1941,$P46))</x:f>
        <x:v>DR.CA.3.3
Confirm data privileges have been granted, ensuring each pillar can access</x:v>
      </x:c>
      <x:c r="I46" s="14"/>
      <x:c r="J46" s="14"/>
      <x:c r="K46" s="14"/>
      <x:c r="L46" s="86" t="str">
        <x:f>IF($P46="","",INDEX(Tasks!$N$10:$N$1941,$P46))</x:f>
        <x:v>Not started</x:v>
      </x:c>
      <x:c r="M46" s="87" t="n">
        <x:f>IF($P46="","",INDEX(Tasks!$J$10:$J$1941,$P46))</x:f>
        <x:v>46112</x:v>
      </x:c>
      <x:c r="N46" s="85" t="str">
        <x:f>IF($P46="","",HYPERLINK("#'"&amp;INDEX(Tasks!$T$10:$T$1941,$P46)&amp;"'!A"&amp;INDEX(Tasks!$U$10:$U$1941,$P46),"Open"))</x:f>
        <x:v>Open</x:v>
      </x:c>
      <x:c r="O46" s="14"/>
      <x:c r="P46" s="14" t="n">
        <x:f>IF(25&gt;$B$10,"",MATCH(25,Tasks!$S$10:$S$1941,0))</x:f>
        <x:v>51</x:v>
      </x:c>
    </x:row>
    <x:row r="47" ht="58" customHeight="1">
      <x:c r="A47" s="2"/>
      <x:c r="B47" s="86" t="str">
        <x:f>IF($P47="","",INDEX(Tasks!$B$10:$B$1941,$P47))</x:f>
        <x:v>Cycle 1</x:v>
      </x:c>
      <x:c r="C47" s="86" t="str">
        <x:f>IF($P47="","",INDEX(Tasks!$C$10:$C$1941,$P47))</x:f>
        <x:v>Phase 3</x:v>
      </x:c>
      <x:c r="D47" s="86" t="str">
        <x:f>IF($P47="","",INDEX(Tasks!$D$10:$D$1941,$P47))</x:f>
        <x:v>Cards</x:v>
      </x:c>
      <x:c r="E47" s="86"/>
      <x:c r="F47" s="86" t="str">
        <x:f>IF($P47="","",INDEX(Tasks!$E$10:$E$1941,$P47))</x:f>
        <x:v>Data &amp; Reporting</x:v>
      </x:c>
      <x:c r="G47" s="86"/>
      <x:c r="H47" s="14" t="str">
        <x:f>IF($P47="","",INDEX(Tasks!$F$10:$F$1941,$P47)&amp;CHAR(10)&amp;INDEX(Tasks!$G$10:$G$1941,$P47))</x:f>
        <x:v>DR.CA.3.4
Ensure Power Automate notifications were correctly triggered within Microsoft Teams</x:v>
      </x:c>
      <x:c r="I47" s="14"/>
      <x:c r="J47" s="14"/>
      <x:c r="K47" s="14"/>
      <x:c r="L47" s="86" t="str">
        <x:f>IF($P47="","",INDEX(Tasks!$N$10:$N$1941,$P47))</x:f>
        <x:v>Not started</x:v>
      </x:c>
      <x:c r="M47" s="87" t="n">
        <x:f>IF($P47="","",INDEX(Tasks!$J$10:$J$1941,$P47))</x:f>
        <x:v>46112</x:v>
      </x:c>
      <x:c r="N47" s="85" t="str">
        <x:f>IF($P47="","",HYPERLINK("#'"&amp;INDEX(Tasks!$T$10:$T$1941,$P47)&amp;"'!A"&amp;INDEX(Tasks!$U$10:$U$1941,$P47),"Open"))</x:f>
        <x:v>Open</x:v>
      </x:c>
      <x:c r="O47" s="14"/>
      <x:c r="P47" s="14" t="n">
        <x:f>IF(26&gt;$B$10,"",MATCH(26,Tasks!$S$10:$S$1941,0))</x:f>
        <x:v>52</x:v>
      </x:c>
    </x:row>
    <x:row r="48" ht="58" customHeight="1">
      <x:c r="A48" s="2"/>
      <x:c r="B48" s="86" t="str">
        <x:f>IF($P48="","",INDEX(Tasks!$B$10:$B$1941,$P48))</x:f>
        <x:v>Cycle 1</x:v>
      </x:c>
      <x:c r="C48" s="86" t="str">
        <x:f>IF($P48="","",INDEX(Tasks!$C$10:$C$1941,$P48))</x:f>
        <x:v>Phase 1</x:v>
      </x:c>
      <x:c r="D48" s="86" t="str">
        <x:f>IF($P48="","",INDEX(Tasks!$D$10:$D$1941,$P48))</x:f>
        <x:v>CSBBO - Banking Ops</x:v>
      </x:c>
      <x:c r="E48" s="86"/>
      <x:c r="F48" s="86" t="str">
        <x:f>IF($P48="","",INDEX(Tasks!$E$10:$E$1941,$P48))</x:f>
        <x:v>Data &amp; Reporting</x:v>
      </x:c>
      <x:c r="G48" s="86"/>
      <x:c r="H48" s="14" t="str">
        <x:f>IF($P48="","",INDEX(Tasks!$F$10:$F$1941,$P48)&amp;CHAR(10)&amp;INDEX(Tasks!$G$10:$G$1941,$P48))</x:f>
        <x:v>DR.BO.1.1
Review data sources 3 weeks prior to Cycle start (Complaints, Gen AI, Loudspeaker, NPS, etc.)</x:v>
      </x:c>
      <x:c r="I48" s="14"/>
      <x:c r="J48" s="14"/>
      <x:c r="K48" s="14"/>
      <x:c r="L48" s="86" t="str">
        <x:f>IF($P48="","",INDEX(Tasks!$N$10:$N$1941,$P48))</x:f>
        <x:v>Not started</x:v>
      </x:c>
      <x:c r="M48" s="87" t="n">
        <x:f>IF($P48="","",INDEX(Tasks!$J$10:$J$1941,$P48))</x:f>
        <x:v>46002</x:v>
      </x:c>
      <x:c r="N48" s="85" t="str">
        <x:f>IF($P48="","",HYPERLINK("#'"&amp;INDEX(Tasks!$T$10:$T$1941,$P48)&amp;"'!A"&amp;INDEX(Tasks!$U$10:$U$1941,$P48),"Open"))</x:f>
        <x:v>Open</x:v>
      </x:c>
      <x:c r="O48" s="14"/>
      <x:c r="P48" s="14" t="n">
        <x:f>IF(27&gt;$B$10,"",MATCH(27,Tasks!$S$10:$S$1941,0))</x:f>
        <x:v>53</x:v>
      </x:c>
    </x:row>
    <x:row r="49" ht="58" customHeight="1">
      <x:c r="A49" s="2"/>
      <x:c r="B49" s="86" t="str">
        <x:f>IF($P49="","",INDEX(Tasks!$B$10:$B$1941,$P49))</x:f>
        <x:v>Cycle 1</x:v>
      </x:c>
      <x:c r="C49" s="86" t="str">
        <x:f>IF($P49="","",INDEX(Tasks!$C$10:$C$1941,$P49))</x:f>
        <x:v>Phase 1</x:v>
      </x:c>
      <x:c r="D49" s="86" t="str">
        <x:f>IF($P49="","",INDEX(Tasks!$D$10:$D$1941,$P49))</x:f>
        <x:v>CSBBO - Banking Ops</x:v>
      </x:c>
      <x:c r="E49" s="86"/>
      <x:c r="F49" s="86" t="str">
        <x:f>IF($P49="","",INDEX(Tasks!$E$10:$E$1941,$P49))</x:f>
        <x:v>Data &amp; Reporting</x:v>
      </x:c>
      <x:c r="G49" s="86"/>
      <x:c r="H49" s="14" t="str">
        <x:f>IF($P49="","",INDEX(Tasks!$F$10:$F$1941,$P49)&amp;CHAR(10)&amp;INDEX(Tasks!$G$10:$G$1941,$P49))</x:f>
        <x:v>DR.BO.1.2
Identify two potential topics for the upcoming Cycle</x:v>
      </x:c>
      <x:c r="I49" s="14"/>
      <x:c r="J49" s="14"/>
      <x:c r="K49" s="14"/>
      <x:c r="L49" s="86" t="str">
        <x:f>IF($P49="","",INDEX(Tasks!$N$10:$N$1941,$P49))</x:f>
        <x:v>Not started</x:v>
      </x:c>
      <x:c r="M49" s="87" t="n">
        <x:f>IF($P49="","",INDEX(Tasks!$J$10:$J$1941,$P49))</x:f>
        <x:v>46112</x:v>
      </x:c>
      <x:c r="N49" s="85" t="str">
        <x:f>IF($P49="","",HYPERLINK("#'"&amp;INDEX(Tasks!$T$10:$T$1941,$P49)&amp;"'!A"&amp;INDEX(Tasks!$U$10:$U$1941,$P49),"Open"))</x:f>
        <x:v>Open</x:v>
      </x:c>
      <x:c r="O49" s="14"/>
      <x:c r="P49" s="14" t="n">
        <x:f>IF(28&gt;$B$10,"",MATCH(28,Tasks!$S$10:$S$1941,0))</x:f>
        <x:v>54</x:v>
      </x:c>
    </x:row>
    <x:row r="50" ht="58" customHeight="1">
      <x:c r="A50" s="2"/>
      <x:c r="B50" s="86" t="str">
        <x:f>IF($P50="","",INDEX(Tasks!$B$10:$B$1941,$P50))</x:f>
        <x:v>Cycle 1</x:v>
      </x:c>
      <x:c r="C50" s="86" t="str">
        <x:f>IF($P50="","",INDEX(Tasks!$C$10:$C$1941,$P50))</x:f>
        <x:v>Phase 1</x:v>
      </x:c>
      <x:c r="D50" s="86" t="str">
        <x:f>IF($P50="","",INDEX(Tasks!$D$10:$D$1941,$P50))</x:f>
        <x:v>CSBBO - Banking Ops</x:v>
      </x:c>
      <x:c r="E50" s="86"/>
      <x:c r="F50" s="86" t="str">
        <x:f>IF($P50="","",INDEX(Tasks!$E$10:$E$1941,$P50))</x:f>
        <x:v>Data &amp; Reporting</x:v>
      </x:c>
      <x:c r="G50" s="86"/>
      <x:c r="H50" s="14" t="str">
        <x:f>IF($P50="","",INDEX(Tasks!$F$10:$F$1941,$P50)&amp;CHAR(10)&amp;INDEX(Tasks!$G$10:$G$1941,$P50))</x:f>
        <x:v>DR.BO.1.3
Extract data for both potential topics, ensuring all checklist items below are included/completed</x:v>
      </x:c>
      <x:c r="I50" s="14"/>
      <x:c r="J50" s="14"/>
      <x:c r="K50" s="14"/>
      <x:c r="L50" s="86" t="str">
        <x:f>IF($P50="","",INDEX(Tasks!$N$10:$N$1941,$P50))</x:f>
        <x:v>Not started</x:v>
      </x:c>
      <x:c r="M50" s="87" t="n">
        <x:f>IF($P50="","",INDEX(Tasks!$J$10:$J$1941,$P50))</x:f>
        <x:v>46112</x:v>
      </x:c>
      <x:c r="N50" s="85" t="str">
        <x:f>IF($P50="","",HYPERLINK("#'"&amp;INDEX(Tasks!$T$10:$T$1941,$P50)&amp;"'!A"&amp;INDEX(Tasks!$U$10:$U$1941,$P50),"Open"))</x:f>
        <x:v>Open</x:v>
      </x:c>
      <x:c r="O50" s="14"/>
      <x:c r="P50" s="14" t="n">
        <x:f>IF(29&gt;$B$10,"",MATCH(29,Tasks!$S$10:$S$1941,0))</x:f>
        <x:v>55</x:v>
      </x:c>
    </x:row>
    <x:row r="51" ht="58" customHeight="1">
      <x:c r="A51" s="2"/>
      <x:c r="B51" s="86" t="str">
        <x:f>IF($P51="","",INDEX(Tasks!$B$10:$B$1941,$P51))</x:f>
        <x:v>Cycle 1</x:v>
      </x:c>
      <x:c r="C51" s="86" t="str">
        <x:f>IF($P51="","",INDEX(Tasks!$C$10:$C$1941,$P51))</x:f>
        <x:v>Phase 2</x:v>
      </x:c>
      <x:c r="D51" s="86" t="str">
        <x:f>IF($P51="","",INDEX(Tasks!$D$10:$D$1941,$P51))</x:f>
        <x:v>CSBBO - Banking Ops</x:v>
      </x:c>
      <x:c r="E51" s="86"/>
      <x:c r="F51" s="86" t="str">
        <x:f>IF($P51="","",INDEX(Tasks!$E$10:$E$1941,$P51))</x:f>
        <x:v>Data &amp; Reporting</x:v>
      </x:c>
      <x:c r="G51" s="86"/>
      <x:c r="H51" s="14" t="str">
        <x:f>IF($P51="","",INDEX(Tasks!$F$10:$F$1941,$P51)&amp;CHAR(10)&amp;INDEX(Tasks!$G$10:$G$1941,$P51))</x:f>
        <x:v>DR.BO.2.1
Ensure data is clean, structured, and usable without manipulation needed</x:v>
      </x:c>
      <x:c r="I51" s="14"/>
      <x:c r="J51" s="14"/>
      <x:c r="K51" s="14"/>
      <x:c r="L51" s="86" t="str">
        <x:f>IF($P51="","",INDEX(Tasks!$N$10:$N$1941,$P51))</x:f>
        <x:v>Not started</x:v>
      </x:c>
      <x:c r="M51" s="87" t="n">
        <x:f>IF($P51="","",INDEX(Tasks!$J$10:$J$1941,$P51))</x:f>
        <x:v>46112</x:v>
      </x:c>
      <x:c r="N51" s="85" t="str">
        <x:f>IF($P51="","",HYPERLINK("#'"&amp;INDEX(Tasks!$T$10:$T$1941,$P51)&amp;"'!A"&amp;INDEX(Tasks!$U$10:$U$1941,$P51),"Open"))</x:f>
        <x:v>Open</x:v>
      </x:c>
      <x:c r="O51" s="14"/>
      <x:c r="P51" s="14" t="n">
        <x:f>IF(30&gt;$B$10,"",MATCH(30,Tasks!$S$10:$S$1941,0))</x:f>
        <x:v>69</x:v>
      </x:c>
    </x:row>
    <x:row r="52" ht="58" customHeight="1">
      <x:c r="A52" s="2"/>
      <x:c r="B52" s="86" t="str">
        <x:f>IF($P52="","",INDEX(Tasks!$B$10:$B$1941,$P52))</x:f>
        <x:v>Cycle 1</x:v>
      </x:c>
      <x:c r="C52" s="86" t="str">
        <x:f>IF($P52="","",INDEX(Tasks!$C$10:$C$1941,$P52))</x:f>
        <x:v>Phase 2</x:v>
      </x:c>
      <x:c r="D52" s="86" t="str">
        <x:f>IF($P52="","",INDEX(Tasks!$D$10:$D$1941,$P52))</x:f>
        <x:v>CSBBO - Banking Ops</x:v>
      </x:c>
      <x:c r="E52" s="86"/>
      <x:c r="F52" s="86" t="str">
        <x:f>IF($P52="","",INDEX(Tasks!$E$10:$E$1941,$P52))</x:f>
        <x:v>Data &amp; Reporting</x:v>
      </x:c>
      <x:c r="G52" s="86"/>
      <x:c r="H52" s="14" t="str">
        <x:f>IF($P52="","",INDEX(Tasks!$F$10:$F$1941,$P52)&amp;CHAR(10)&amp;INDEX(Tasks!$G$10:$G$1941,$P52))</x:f>
        <x:v>DR.BO.2.2
Clearly document rationale for each topic recommendation within the SharePoint list</x:v>
      </x:c>
      <x:c r="I52" s="14"/>
      <x:c r="J52" s="14"/>
      <x:c r="K52" s="14"/>
      <x:c r="L52" s="86" t="str">
        <x:f>IF($P52="","",INDEX(Tasks!$N$10:$N$1941,$P52))</x:f>
        <x:v>Not started</x:v>
      </x:c>
      <x:c r="M52" s="87" t="n">
        <x:f>IF($P52="","",INDEX(Tasks!$J$10:$J$1941,$P52))</x:f>
        <x:v>46112</x:v>
      </x:c>
      <x:c r="N52" s="85" t="str">
        <x:f>IF($P52="","",HYPERLINK("#'"&amp;INDEX(Tasks!$T$10:$T$1941,$P52)&amp;"'!A"&amp;INDEX(Tasks!$U$10:$U$1941,$P52),"Open"))</x:f>
        <x:v>Open</x:v>
      </x:c>
      <x:c r="O52" s="14"/>
      <x:c r="P52" s="14" t="n">
        <x:f>IF(31&gt;$B$10,"",MATCH(31,Tasks!$S$10:$S$1941,0))</x:f>
        <x:v>70</x:v>
      </x:c>
    </x:row>
    <x:row r="53" ht="58" customHeight="1">
      <x:c r="A53" s="2"/>
      <x:c r="B53" s="86" t="str">
        <x:f>IF($P53="","",INDEX(Tasks!$B$10:$B$1941,$P53))</x:f>
        <x:v>Cycle 1</x:v>
      </x:c>
      <x:c r="C53" s="86" t="str">
        <x:f>IF($P53="","",INDEX(Tasks!$C$10:$C$1941,$P53))</x:f>
        <x:v>Phase 2</x:v>
      </x:c>
      <x:c r="D53" s="86" t="str">
        <x:f>IF($P53="","",INDEX(Tasks!$D$10:$D$1941,$P53))</x:f>
        <x:v>CSBBO - Banking Ops</x:v>
      </x:c>
      <x:c r="E53" s="86"/>
      <x:c r="F53" s="86" t="str">
        <x:f>IF($P53="","",INDEX(Tasks!$E$10:$E$1941,$P53))</x:f>
        <x:v>Data &amp; Reporting</x:v>
      </x:c>
      <x:c r="G53" s="86"/>
      <x:c r="H53" s="14" t="str">
        <x:f>IF($P53="","",INDEX(Tasks!$F$10:$F$1941,$P53)&amp;CHAR(10)&amp;INDEX(Tasks!$G$10:$G$1941,$P53))</x:f>
        <x:v>DR.BO.2.3
Verify topic is eligible for RCA and does not conflict with Attorney Client Privilege</x:v>
      </x:c>
      <x:c r="I53" s="14"/>
      <x:c r="J53" s="14"/>
      <x:c r="K53" s="14"/>
      <x:c r="L53" s="86" t="str">
        <x:f>IF($P53="","",INDEX(Tasks!$N$10:$N$1941,$P53))</x:f>
        <x:v>Not started</x:v>
      </x:c>
      <x:c r="M53" s="87" t="n">
        <x:f>IF($P53="","",INDEX(Tasks!$J$10:$J$1941,$P53))</x:f>
        <x:v>46112</x:v>
      </x:c>
      <x:c r="N53" s="85" t="str">
        <x:f>IF($P53="","",HYPERLINK("#'"&amp;INDEX(Tasks!$T$10:$T$1941,$P53)&amp;"'!A"&amp;INDEX(Tasks!$U$10:$U$1941,$P53),"Open"))</x:f>
        <x:v>Open</x:v>
      </x:c>
      <x:c r="O53" s="14"/>
      <x:c r="P53" s="14" t="n">
        <x:f>IF(32&gt;$B$10,"",MATCH(32,Tasks!$S$10:$S$1941,0))</x:f>
        <x:v>71</x:v>
      </x:c>
    </x:row>
    <x:row r="54" ht="58" customHeight="1">
      <x:c r="A54" s="2"/>
      <x:c r="B54" s="86" t="str">
        <x:f>IF($P54="","",INDEX(Tasks!$B$10:$B$1941,$P54))</x:f>
        <x:v>Cycle 1</x:v>
      </x:c>
      <x:c r="C54" s="86" t="str">
        <x:f>IF($P54="","",INDEX(Tasks!$C$10:$C$1941,$P54))</x:f>
        <x:v>Phase 2</x:v>
      </x:c>
      <x:c r="D54" s="86" t="str">
        <x:f>IF($P54="","",INDEX(Tasks!$D$10:$D$1941,$P54))</x:f>
        <x:v>CSBBO - Banking Ops</x:v>
      </x:c>
      <x:c r="E54" s="86"/>
      <x:c r="F54" s="86" t="str">
        <x:f>IF($P54="","",INDEX(Tasks!$E$10:$E$1941,$P54))</x:f>
        <x:v>Data &amp; Reporting</x:v>
      </x:c>
      <x:c r="G54" s="86"/>
      <x:c r="H54" s="14" t="str">
        <x:f>IF($P54="","",INDEX(Tasks!$F$10:$F$1941,$P54)&amp;CHAR(10)&amp;INDEX(Tasks!$G$10:$G$1941,$P54))</x:f>
        <x:v>DR.BO.2.4
Ensure data is free of errors and anomalies prior to hand-off to Research</x:v>
      </x:c>
      <x:c r="I54" s="14"/>
      <x:c r="J54" s="14"/>
      <x:c r="K54" s="14"/>
      <x:c r="L54" s="86" t="str">
        <x:f>IF($P54="","",INDEX(Tasks!$N$10:$N$1941,$P54))</x:f>
        <x:v>Not started</x:v>
      </x:c>
      <x:c r="M54" s="87" t="n">
        <x:f>IF($P54="","",INDEX(Tasks!$J$10:$J$1941,$P54))</x:f>
        <x:v>46112</x:v>
      </x:c>
      <x:c r="N54" s="85" t="str">
        <x:f>IF($P54="","",HYPERLINK("#'"&amp;INDEX(Tasks!$T$10:$T$1941,$P54)&amp;"'!A"&amp;INDEX(Tasks!$U$10:$U$1941,$P54),"Open"))</x:f>
        <x:v>Open</x:v>
      </x:c>
      <x:c r="O54" s="14"/>
      <x:c r="P54" s="14" t="n">
        <x:f>IF(33&gt;$B$10,"",MATCH(33,Tasks!$S$10:$S$1941,0))</x:f>
        <x:v>72</x:v>
      </x:c>
    </x:row>
    <x:row r="55" ht="58" customHeight="1">
      <x:c r="A55" s="2"/>
      <x:c r="B55" s="86" t="str">
        <x:f>IF($P55="","",INDEX(Tasks!$B$10:$B$1941,$P55))</x:f>
        <x:v>Cycle 1</x:v>
      </x:c>
      <x:c r="C55" s="86" t="str">
        <x:f>IF($P55="","",INDEX(Tasks!$C$10:$C$1941,$P55))</x:f>
        <x:v>Phase 2</x:v>
      </x:c>
      <x:c r="D55" s="86" t="str">
        <x:f>IF($P55="","",INDEX(Tasks!$D$10:$D$1941,$P55))</x:f>
        <x:v>CSBBO - Banking Ops</x:v>
      </x:c>
      <x:c r="E55" s="86"/>
      <x:c r="F55" s="86" t="str">
        <x:f>IF($P55="","",INDEX(Tasks!$E$10:$E$1941,$P55))</x:f>
        <x:v>Data &amp; Reporting</x:v>
      </x:c>
      <x:c r="G55" s="86"/>
      <x:c r="H55" s="14" t="str">
        <x:f>IF($P55="","",INDEX(Tasks!$F$10:$F$1941,$P55)&amp;CHAR(10)&amp;INDEX(Tasks!$G$10:$G$1941,$P55))</x:f>
        <x:v>DR.BO.2.5
Ensure topic is not a duplicate from a previous Cycle</x:v>
      </x:c>
      <x:c r="I55" s="14"/>
      <x:c r="J55" s="14"/>
      <x:c r="K55" s="14"/>
      <x:c r="L55" s="86" t="str">
        <x:f>IF($P55="","",INDEX(Tasks!$N$10:$N$1941,$P55))</x:f>
        <x:v>Not started</x:v>
      </x:c>
      <x:c r="M55" s="87" t="n">
        <x:f>IF($P55="","",INDEX(Tasks!$J$10:$J$1941,$P55))</x:f>
        <x:v>46112</x:v>
      </x:c>
      <x:c r="N55" s="85" t="str">
        <x:f>IF($P55="","",HYPERLINK("#'"&amp;INDEX(Tasks!$T$10:$T$1941,$P55)&amp;"'!A"&amp;INDEX(Tasks!$U$10:$U$1941,$P55),"Open"))</x:f>
        <x:v>Open</x:v>
      </x:c>
      <x:c r="O55" s="14"/>
      <x:c r="P55" s="14" t="n">
        <x:f>IF(34&gt;$B$10,"",MATCH(34,Tasks!$S$10:$S$1941,0))</x:f>
        <x:v>73</x:v>
      </x:c>
    </x:row>
    <x:row r="56" ht="58" customHeight="1">
      <x:c r="A56" s="2"/>
      <x:c r="B56" s="86" t="str">
        <x:f>IF($P56="","",INDEX(Tasks!$B$10:$B$1941,$P56))</x:f>
        <x:v>Cycle 1</x:v>
      </x:c>
      <x:c r="C56" s="86" t="str">
        <x:f>IF($P56="","",INDEX(Tasks!$C$10:$C$1941,$P56))</x:f>
        <x:v>Phase 2</x:v>
      </x:c>
      <x:c r="D56" s="86" t="str">
        <x:f>IF($P56="","",INDEX(Tasks!$D$10:$D$1941,$P56))</x:f>
        <x:v>CSBBO - Banking Ops</x:v>
      </x:c>
      <x:c r="E56" s="86"/>
      <x:c r="F56" s="86" t="str">
        <x:f>IF($P56="","",INDEX(Tasks!$E$10:$E$1941,$P56))</x:f>
        <x:v>Data &amp; Reporting</x:v>
      </x:c>
      <x:c r="G56" s="86"/>
      <x:c r="H56" s="14" t="str">
        <x:f>IF($P56="","",INDEX(Tasks!$F$10:$F$1941,$P56)&amp;CHAR(10)&amp;INDEX(Tasks!$G$10:$G$1941,$P56))</x:f>
        <x:v>DR.BO.2.6
Document clear distinctions between facts, assumptions, and hypotheses within the data package</x:v>
      </x:c>
      <x:c r="I56" s="14"/>
      <x:c r="J56" s="14"/>
      <x:c r="K56" s="14"/>
      <x:c r="L56" s="86" t="str">
        <x:f>IF($P56="","",INDEX(Tasks!$N$10:$N$1941,$P56))</x:f>
        <x:v>Not started</x:v>
      </x:c>
      <x:c r="M56" s="87" t="n">
        <x:f>IF($P56="","",INDEX(Tasks!$J$10:$J$1941,$P56))</x:f>
        <x:v>46112</x:v>
      </x:c>
      <x:c r="N56" s="85" t="str">
        <x:f>IF($P56="","",HYPERLINK("#'"&amp;INDEX(Tasks!$T$10:$T$1941,$P56)&amp;"'!A"&amp;INDEX(Tasks!$U$10:$U$1941,$P56),"Open"))</x:f>
        <x:v>Open</x:v>
      </x:c>
      <x:c r="O56" s="14"/>
      <x:c r="P56" s="14" t="n">
        <x:f>IF(35&gt;$B$10,"",MATCH(35,Tasks!$S$10:$S$1941,0))</x:f>
        <x:v>74</x:v>
      </x:c>
    </x:row>
    <x:row r="57" ht="58" customHeight="1">
      <x:c r="A57" s="2"/>
      <x:c r="B57" s="86" t="str">
        <x:f>IF($P57="","",INDEX(Tasks!$B$10:$B$1941,$P57))</x:f>
        <x:v>Cycle 1</x:v>
      </x:c>
      <x:c r="C57" s="86" t="str">
        <x:f>IF($P57="","",INDEX(Tasks!$C$10:$C$1941,$P57))</x:f>
        <x:v>Phase 3</x:v>
      </x:c>
      <x:c r="D57" s="86" t="str">
        <x:f>IF($P57="","",INDEX(Tasks!$D$10:$D$1941,$P57))</x:f>
        <x:v>CSBBO - Banking Ops</x:v>
      </x:c>
      <x:c r="E57" s="86"/>
      <x:c r="F57" s="86" t="str">
        <x:f>IF($P57="","",INDEX(Tasks!$E$10:$E$1941,$P57))</x:f>
        <x:v>Data &amp; Reporting</x:v>
      </x:c>
      <x:c r="G57" s="86"/>
      <x:c r="H57" s="14" t="str">
        <x:f>IF($P57="","",INDEX(Tasks!$F$10:$F$1941,$P57)&amp;CHAR(10)&amp;INDEX(Tasks!$G$10:$G$1941,$P57))</x:f>
        <x:v>DR.BO.3.1
Clearly document rationale for each topic recommendation within the SharePoint list item</x:v>
      </x:c>
      <x:c r="I57" s="14"/>
      <x:c r="J57" s="14"/>
      <x:c r="K57" s="14"/>
      <x:c r="L57" s="86" t="str">
        <x:f>IF($P57="","",INDEX(Tasks!$N$10:$N$1941,$P57))</x:f>
        <x:v>Not started</x:v>
      </x:c>
      <x:c r="M57" s="87" t="n">
        <x:f>IF($P57="","",INDEX(Tasks!$J$10:$J$1941,$P57))</x:f>
        <x:v>46112</x:v>
      </x:c>
      <x:c r="N57" s="85" t="str">
        <x:f>IF($P57="","",HYPERLINK("#'"&amp;INDEX(Tasks!$T$10:$T$1941,$P57)&amp;"'!A"&amp;INDEX(Tasks!$U$10:$U$1941,$P57),"Open"))</x:f>
        <x:v>Open</x:v>
      </x:c>
      <x:c r="O57" s="14"/>
      <x:c r="P57" s="14" t="n">
        <x:f>IF(36&gt;$B$10,"",MATCH(36,Tasks!$S$10:$S$1941,0))</x:f>
        <x:v>75</x:v>
      </x:c>
    </x:row>
    <x:row r="58" ht="58" customHeight="1">
      <x:c r="A58" s="2"/>
      <x:c r="B58" s="86" t="str">
        <x:f>IF($P58="","",INDEX(Tasks!$B$10:$B$1941,$P58))</x:f>
        <x:v>Cycle 1</x:v>
      </x:c>
      <x:c r="C58" s="86" t="str">
        <x:f>IF($P58="","",INDEX(Tasks!$C$10:$C$1941,$P58))</x:f>
        <x:v>Phase 3</x:v>
      </x:c>
      <x:c r="D58" s="86" t="str">
        <x:f>IF($P58="","",INDEX(Tasks!$D$10:$D$1941,$P58))</x:f>
        <x:v>CSBBO - Banking Ops</x:v>
      </x:c>
      <x:c r="E58" s="86"/>
      <x:c r="F58" s="86" t="str">
        <x:f>IF($P58="","",INDEX(Tasks!$E$10:$E$1941,$P58))</x:f>
        <x:v>Data &amp; Reporting</x:v>
      </x:c>
      <x:c r="G58" s="86"/>
      <x:c r="H58" s="14" t="str">
        <x:f>IF($P58="","",INDEX(Tasks!$F$10:$F$1941,$P58)&amp;CHAR(10)&amp;INDEX(Tasks!$G$10:$G$1941,$P58))</x:f>
        <x:v>DR.BO.3.2
Attach the data package for each topic recommendation within the SharePoint list item</x:v>
      </x:c>
      <x:c r="I58" s="14"/>
      <x:c r="J58" s="14"/>
      <x:c r="K58" s="14"/>
      <x:c r="L58" s="86" t="str">
        <x:f>IF($P58="","",INDEX(Tasks!$N$10:$N$1941,$P58))</x:f>
        <x:v>Not started</x:v>
      </x:c>
      <x:c r="M58" s="87" t="n">
        <x:f>IF($P58="","",INDEX(Tasks!$J$10:$J$1941,$P58))</x:f>
        <x:v>46112</x:v>
      </x:c>
      <x:c r="N58" s="85" t="str">
        <x:f>IF($P58="","",HYPERLINK("#'"&amp;INDEX(Tasks!$T$10:$T$1941,$P58)&amp;"'!A"&amp;INDEX(Tasks!$U$10:$U$1941,$P58),"Open"))</x:f>
        <x:v>Open</x:v>
      </x:c>
      <x:c r="O58" s="14"/>
      <x:c r="P58" s="14" t="n">
        <x:f>IF(37&gt;$B$10,"",MATCH(37,Tasks!$S$10:$S$1941,0))</x:f>
        <x:v>76</x:v>
      </x:c>
    </x:row>
    <x:row r="59" ht="58" customHeight="1">
      <x:c r="B59" s="86" t="str">
        <x:f>IF($P59="","",INDEX(Tasks!$B$10:$B$1941,$P59))</x:f>
        <x:v>Cycle 1</x:v>
      </x:c>
      <x:c r="C59" s="86" t="str">
        <x:f>IF($P59="","",INDEX(Tasks!$C$10:$C$1941,$P59))</x:f>
        <x:v>Phase 3</x:v>
      </x:c>
      <x:c r="D59" s="86" t="str">
        <x:f>IF($P59="","",INDEX(Tasks!$D$10:$D$1941,$P59))</x:f>
        <x:v>CSBBO - Banking Ops</x:v>
      </x:c>
      <x:c r="E59" s="86"/>
      <x:c r="F59" s="86" t="str">
        <x:f>IF($P59="","",INDEX(Tasks!$E$10:$E$1941,$P59))</x:f>
        <x:v>Data &amp; Reporting</x:v>
      </x:c>
      <x:c r="G59" s="86"/>
      <x:c r="H59" s="14" t="str">
        <x:f>IF($P59="","",INDEX(Tasks!$F$10:$F$1941,$P59)&amp;CHAR(10)&amp;INDEX(Tasks!$G$10:$G$1941,$P59))</x:f>
        <x:v>DR.BO.3.3
Confirm data privileges have been granted, ensuring each pillar can access</x:v>
      </x:c>
      <x:c r="I59" s="14"/>
      <x:c r="J59" s="14"/>
      <x:c r="K59" s="14"/>
      <x:c r="L59" s="86" t="str">
        <x:f>IF($P59="","",INDEX(Tasks!$N$10:$N$1941,$P59))</x:f>
        <x:v>Not started</x:v>
      </x:c>
      <x:c r="M59" s="87" t="n">
        <x:f>IF($P59="","",INDEX(Tasks!$J$10:$J$1941,$P59))</x:f>
        <x:v>46112</x:v>
      </x:c>
      <x:c r="N59" s="85" t="str">
        <x:f>IF($P59="","",HYPERLINK("#'"&amp;INDEX(Tasks!$T$10:$T$1941,$P59)&amp;"'!A"&amp;INDEX(Tasks!$U$10:$U$1941,$P59),"Open"))</x:f>
        <x:v>Open</x:v>
      </x:c>
      <x:c r="O59" s="14"/>
      <x:c r="P59" s="14" t="n">
        <x:f>IF(38&gt;$B$10,"",MATCH(38,Tasks!$S$10:$S$1941,0))</x:f>
        <x:v>77</x:v>
      </x:c>
    </x:row>
    <x:row r="60" ht="58" customHeight="1">
      <x:c r="B60" s="86" t="str">
        <x:f>IF($P60="","",INDEX(Tasks!$B$10:$B$1941,$P60))</x:f>
        <x:v>Cycle 1</x:v>
      </x:c>
      <x:c r="C60" s="86" t="str">
        <x:f>IF($P60="","",INDEX(Tasks!$C$10:$C$1941,$P60))</x:f>
        <x:v>Phase 3</x:v>
      </x:c>
      <x:c r="D60" s="86" t="str">
        <x:f>IF($P60="","",INDEX(Tasks!$D$10:$D$1941,$P60))</x:f>
        <x:v>CSBBO - Banking Ops</x:v>
      </x:c>
      <x:c r="E60" s="86"/>
      <x:c r="F60" s="86" t="str">
        <x:f>IF($P60="","",INDEX(Tasks!$E$10:$E$1941,$P60))</x:f>
        <x:v>Data &amp; Reporting</x:v>
      </x:c>
      <x:c r="G60" s="86"/>
      <x:c r="H60" s="14" t="str">
        <x:f>IF($P60="","",INDEX(Tasks!$F$10:$F$1941,$P60)&amp;CHAR(10)&amp;INDEX(Tasks!$G$10:$G$1941,$P60))</x:f>
        <x:v>DR.BO.3.4
Ensure Power Automate notifications were correctly triggered within Microsoft Teams</x:v>
      </x:c>
      <x:c r="I60" s="14"/>
      <x:c r="J60" s="14"/>
      <x:c r="K60" s="14"/>
      <x:c r="L60" s="86" t="str">
        <x:f>IF($P60="","",INDEX(Tasks!$N$10:$N$1941,$P60))</x:f>
        <x:v>Not started</x:v>
      </x:c>
      <x:c r="M60" s="87" t="n">
        <x:f>IF($P60="","",INDEX(Tasks!$J$10:$J$1941,$P60))</x:f>
        <x:v>46112</x:v>
      </x:c>
      <x:c r="N60" s="85" t="str">
        <x:f>IF($P60="","",HYPERLINK("#'"&amp;INDEX(Tasks!$T$10:$T$1941,$P60)&amp;"'!A"&amp;INDEX(Tasks!$U$10:$U$1941,$P60),"Open"))</x:f>
        <x:v>Open</x:v>
      </x:c>
      <x:c r="O60" s="14"/>
      <x:c r="P60" s="14" t="n">
        <x:f>IF(39&gt;$B$10,"",MATCH(39,Tasks!$S$10:$S$1941,0))</x:f>
        <x:v>78</x:v>
      </x:c>
    </x:row>
    <x:row r="61" ht="58" customHeight="1">
      <x:c r="B61" s="86" t="str">
        <x:f>IF($P61="","",INDEX(Tasks!$B$10:$B$1941,$P61))</x:f>
        <x:v>Cycle 1</x:v>
      </x:c>
      <x:c r="C61" s="86" t="str">
        <x:f>IF($P61="","",INDEX(Tasks!$C$10:$C$1941,$P61))</x:f>
        <x:v>Phase 1</x:v>
      </x:c>
      <x:c r="D61" s="86" t="str">
        <x:f>IF($P61="","",INDEX(Tasks!$D$10:$D$1941,$P61))</x:f>
        <x:v>CSBBO - Customer Service</x:v>
      </x:c>
      <x:c r="E61" s="86"/>
      <x:c r="F61" s="86" t="str">
        <x:f>IF($P61="","",INDEX(Tasks!$E$10:$E$1941,$P61))</x:f>
        <x:v>Data &amp; Reporting</x:v>
      </x:c>
      <x:c r="G61" s="86"/>
      <x:c r="H61" s="14" t="str">
        <x:f>IF($P61="","",INDEX(Tasks!$F$10:$F$1941,$P61)&amp;CHAR(10)&amp;INDEX(Tasks!$G$10:$G$1941,$P61))</x:f>
        <x:v>DR.CS.1.1
Review data sources 3 weeks prior to Cycle start (Complaints, Gen AI, Loudspeaker, NPS, etc.)</x:v>
      </x:c>
      <x:c r="I61" s="14"/>
      <x:c r="J61" s="14"/>
      <x:c r="K61" s="14"/>
      <x:c r="L61" s="86" t="str">
        <x:f>IF($P61="","",INDEX(Tasks!$N$10:$N$1941,$P61))</x:f>
        <x:v>Not started</x:v>
      </x:c>
      <x:c r="M61" s="87" t="n">
        <x:f>IF($P61="","",INDEX(Tasks!$J$10:$J$1941,$P61))</x:f>
        <x:v>46002</x:v>
      </x:c>
      <x:c r="N61" s="85" t="str">
        <x:f>IF($P61="","",HYPERLINK("#'"&amp;INDEX(Tasks!$T$10:$T$1941,$P61)&amp;"'!A"&amp;INDEX(Tasks!$U$10:$U$1941,$P61),"Open"))</x:f>
        <x:v>Open</x:v>
      </x:c>
      <x:c r="O61" s="14"/>
      <x:c r="P61" s="14" t="n">
        <x:f>IF(40&gt;$B$10,"",MATCH(40,Tasks!$S$10:$S$1941,0))</x:f>
        <x:v>79</x:v>
      </x:c>
    </x:row>
    <x:row r="62" ht="58" customHeight="1">
      <x:c r="B62" s="86" t="str">
        <x:f>IF($P62="","",INDEX(Tasks!$B$10:$B$1941,$P62))</x:f>
        <x:v>Cycle 1</x:v>
      </x:c>
      <x:c r="C62" s="86" t="str">
        <x:f>IF($P62="","",INDEX(Tasks!$C$10:$C$1941,$P62))</x:f>
        <x:v>Phase 1</x:v>
      </x:c>
      <x:c r="D62" s="86" t="str">
        <x:f>IF($P62="","",INDEX(Tasks!$D$10:$D$1941,$P62))</x:f>
        <x:v>CSBBO - Customer Service</x:v>
      </x:c>
      <x:c r="E62" s="86"/>
      <x:c r="F62" s="86" t="str">
        <x:f>IF($P62="","",INDEX(Tasks!$E$10:$E$1941,$P62))</x:f>
        <x:v>Data &amp; Reporting</x:v>
      </x:c>
      <x:c r="G62" s="86"/>
      <x:c r="H62" s="14" t="str">
        <x:f>IF($P62="","",INDEX(Tasks!$F$10:$F$1941,$P62)&amp;CHAR(10)&amp;INDEX(Tasks!$G$10:$G$1941,$P62))</x:f>
        <x:v>DR.CS.1.2
Identify two potential topics for the upcoming Cycle</x:v>
      </x:c>
      <x:c r="I62" s="14"/>
      <x:c r="J62" s="14"/>
      <x:c r="K62" s="14"/>
      <x:c r="L62" s="86" t="str">
        <x:f>IF($P62="","",INDEX(Tasks!$N$10:$N$1941,$P62))</x:f>
        <x:v>Not started</x:v>
      </x:c>
      <x:c r="M62" s="87" t="n">
        <x:f>IF($P62="","",INDEX(Tasks!$J$10:$J$1941,$P62))</x:f>
        <x:v>46112</x:v>
      </x:c>
      <x:c r="N62" s="85" t="str">
        <x:f>IF($P62="","",HYPERLINK("#'"&amp;INDEX(Tasks!$T$10:$T$1941,$P62)&amp;"'!A"&amp;INDEX(Tasks!$U$10:$U$1941,$P62),"Open"))</x:f>
        <x:v>Open</x:v>
      </x:c>
      <x:c r="O62" s="14"/>
      <x:c r="P62" s="14" t="n">
        <x:f>IF(41&gt;$B$10,"",MATCH(41,Tasks!$S$10:$S$1941,0))</x:f>
        <x:v>80</x:v>
      </x:c>
    </x:row>
    <x:row r="63" ht="58" customHeight="1">
      <x:c r="B63" s="86" t="str">
        <x:f>IF($P63="","",INDEX(Tasks!$B$10:$B$1941,$P63))</x:f>
        <x:v>Cycle 1</x:v>
      </x:c>
      <x:c r="C63" s="86" t="str">
        <x:f>IF($P63="","",INDEX(Tasks!$C$10:$C$1941,$P63))</x:f>
        <x:v>Phase 1</x:v>
      </x:c>
      <x:c r="D63" s="86" t="str">
        <x:f>IF($P63="","",INDEX(Tasks!$D$10:$D$1941,$P63))</x:f>
        <x:v>CSBBO - Customer Service</x:v>
      </x:c>
      <x:c r="E63" s="86"/>
      <x:c r="F63" s="86" t="str">
        <x:f>IF($P63="","",INDEX(Tasks!$E$10:$E$1941,$P63))</x:f>
        <x:v>Data &amp; Reporting</x:v>
      </x:c>
      <x:c r="G63" s="86"/>
      <x:c r="H63" s="14" t="str">
        <x:f>IF($P63="","",INDEX(Tasks!$F$10:$F$1941,$P63)&amp;CHAR(10)&amp;INDEX(Tasks!$G$10:$G$1941,$P63))</x:f>
        <x:v>DR.CS.1.3
Extract data for both potential topics, ensuring all checklist items below are included/completed</x:v>
      </x:c>
      <x:c r="I63" s="14"/>
      <x:c r="J63" s="14"/>
      <x:c r="K63" s="14"/>
      <x:c r="L63" s="86" t="str">
        <x:f>IF($P63="","",INDEX(Tasks!$N$10:$N$1941,$P63))</x:f>
        <x:v>Not started</x:v>
      </x:c>
      <x:c r="M63" s="87" t="n">
        <x:f>IF($P63="","",INDEX(Tasks!$J$10:$J$1941,$P63))</x:f>
        <x:v>46112</x:v>
      </x:c>
      <x:c r="N63" s="85" t="str">
        <x:f>IF($P63="","",HYPERLINK("#'"&amp;INDEX(Tasks!$T$10:$T$1941,$P63)&amp;"'!A"&amp;INDEX(Tasks!$U$10:$U$1941,$P63),"Open"))</x:f>
        <x:v>Open</x:v>
      </x:c>
      <x:c r="O63" s="14"/>
      <x:c r="P63" s="14" t="n">
        <x:f>IF(42&gt;$B$10,"",MATCH(42,Tasks!$S$10:$S$1941,0))</x:f>
        <x:v>81</x:v>
      </x:c>
    </x:row>
    <x:row r="64" ht="58" customHeight="1">
      <x:c r="B64" s="86" t="str">
        <x:f>IF($P64="","",INDEX(Tasks!$B$10:$B$1941,$P64))</x:f>
        <x:v>Cycle 1</x:v>
      </x:c>
      <x:c r="C64" s="86" t="str">
        <x:f>IF($P64="","",INDEX(Tasks!$C$10:$C$1941,$P64))</x:f>
        <x:v>Phase 2</x:v>
      </x:c>
      <x:c r="D64" s="86" t="str">
        <x:f>IF($P64="","",INDEX(Tasks!$D$10:$D$1941,$P64))</x:f>
        <x:v>CSBBO - Customer Service</x:v>
      </x:c>
      <x:c r="E64" s="86"/>
      <x:c r="F64" s="86" t="str">
        <x:f>IF($P64="","",INDEX(Tasks!$E$10:$E$1941,$P64))</x:f>
        <x:v>Data &amp; Reporting</x:v>
      </x:c>
      <x:c r="G64" s="86"/>
      <x:c r="H64" s="14" t="str">
        <x:f>IF($P64="","",INDEX(Tasks!$F$10:$F$1941,$P64)&amp;CHAR(10)&amp;INDEX(Tasks!$G$10:$G$1941,$P64))</x:f>
        <x:v>DR.CS.2.1
Ensure data is clean, structured, and usable without manipulation needed</x:v>
      </x:c>
      <x:c r="I64" s="14"/>
      <x:c r="J64" s="14"/>
      <x:c r="K64" s="14"/>
      <x:c r="L64" s="86" t="str">
        <x:f>IF($P64="","",INDEX(Tasks!$N$10:$N$1941,$P64))</x:f>
        <x:v>Not started</x:v>
      </x:c>
      <x:c r="M64" s="87" t="n">
        <x:f>IF($P64="","",INDEX(Tasks!$J$10:$J$1941,$P64))</x:f>
        <x:v>46112</x:v>
      </x:c>
      <x:c r="N64" s="85" t="str">
        <x:f>IF($P64="","",HYPERLINK("#'"&amp;INDEX(Tasks!$T$10:$T$1941,$P64)&amp;"'!A"&amp;INDEX(Tasks!$U$10:$U$1941,$P64),"Open"))</x:f>
        <x:v>Open</x:v>
      </x:c>
      <x:c r="O64" s="14"/>
      <x:c r="P64" s="14" t="n">
        <x:f>IF(43&gt;$B$10,"",MATCH(43,Tasks!$S$10:$S$1941,0))</x:f>
        <x:v>95</x:v>
      </x:c>
    </x:row>
    <x:row r="65" ht="58" customHeight="1">
      <x:c r="B65" s="86" t="str">
        <x:f>IF($P65="","",INDEX(Tasks!$B$10:$B$1941,$P65))</x:f>
        <x:v>Cycle 1</x:v>
      </x:c>
      <x:c r="C65" s="86" t="str">
        <x:f>IF($P65="","",INDEX(Tasks!$C$10:$C$1941,$P65))</x:f>
        <x:v>Phase 2</x:v>
      </x:c>
      <x:c r="D65" s="86" t="str">
        <x:f>IF($P65="","",INDEX(Tasks!$D$10:$D$1941,$P65))</x:f>
        <x:v>CSBBO - Customer Service</x:v>
      </x:c>
      <x:c r="E65" s="86"/>
      <x:c r="F65" s="86" t="str">
        <x:f>IF($P65="","",INDEX(Tasks!$E$10:$E$1941,$P65))</x:f>
        <x:v>Data &amp; Reporting</x:v>
      </x:c>
      <x:c r="G65" s="86"/>
      <x:c r="H65" s="14" t="str">
        <x:f>IF($P65="","",INDEX(Tasks!$F$10:$F$1941,$P65)&amp;CHAR(10)&amp;INDEX(Tasks!$G$10:$G$1941,$P65))</x:f>
        <x:v>DR.CS.2.2
Clearly document rationale for each topic recommendation within the SharePoint list</x:v>
      </x:c>
      <x:c r="I65" s="14"/>
      <x:c r="J65" s="14"/>
      <x:c r="K65" s="14"/>
      <x:c r="L65" s="86" t="str">
        <x:f>IF($P65="","",INDEX(Tasks!$N$10:$N$1941,$P65))</x:f>
        <x:v>Not started</x:v>
      </x:c>
      <x:c r="M65" s="87" t="n">
        <x:f>IF($P65="","",INDEX(Tasks!$J$10:$J$1941,$P65))</x:f>
        <x:v>46112</x:v>
      </x:c>
      <x:c r="N65" s="85" t="str">
        <x:f>IF($P65="","",HYPERLINK("#'"&amp;INDEX(Tasks!$T$10:$T$1941,$P65)&amp;"'!A"&amp;INDEX(Tasks!$U$10:$U$1941,$P65),"Open"))</x:f>
        <x:v>Open</x:v>
      </x:c>
      <x:c r="O65" s="14"/>
      <x:c r="P65" s="14" t="n">
        <x:f>IF(44&gt;$B$10,"",MATCH(44,Tasks!$S$10:$S$1941,0))</x:f>
        <x:v>96</x:v>
      </x:c>
    </x:row>
    <x:row r="66" ht="58" customHeight="1">
      <x:c r="B66" s="86" t="str">
        <x:f>IF($P66="","",INDEX(Tasks!$B$10:$B$1941,$P66))</x:f>
        <x:v>Cycle 1</x:v>
      </x:c>
      <x:c r="C66" s="86" t="str">
        <x:f>IF($P66="","",INDEX(Tasks!$C$10:$C$1941,$P66))</x:f>
        <x:v>Phase 2</x:v>
      </x:c>
      <x:c r="D66" s="86" t="str">
        <x:f>IF($P66="","",INDEX(Tasks!$D$10:$D$1941,$P66))</x:f>
        <x:v>CSBBO - Customer Service</x:v>
      </x:c>
      <x:c r="E66" s="86"/>
      <x:c r="F66" s="86" t="str">
        <x:f>IF($P66="","",INDEX(Tasks!$E$10:$E$1941,$P66))</x:f>
        <x:v>Data &amp; Reporting</x:v>
      </x:c>
      <x:c r="G66" s="86"/>
      <x:c r="H66" s="14" t="str">
        <x:f>IF($P66="","",INDEX(Tasks!$F$10:$F$1941,$P66)&amp;CHAR(10)&amp;INDEX(Tasks!$G$10:$G$1941,$P66))</x:f>
        <x:v>DR.CS.2.3
Verify topic is eligible for RCA and does not conflict with Attorney Client Privilege</x:v>
      </x:c>
      <x:c r="I66" s="14"/>
      <x:c r="J66" s="14"/>
      <x:c r="K66" s="14"/>
      <x:c r="L66" s="86" t="str">
        <x:f>IF($P66="","",INDEX(Tasks!$N$10:$N$1941,$P66))</x:f>
        <x:v>Not started</x:v>
      </x:c>
      <x:c r="M66" s="87" t="n">
        <x:f>IF($P66="","",INDEX(Tasks!$J$10:$J$1941,$P66))</x:f>
        <x:v>46112</x:v>
      </x:c>
      <x:c r="N66" s="85" t="str">
        <x:f>IF($P66="","",HYPERLINK("#'"&amp;INDEX(Tasks!$T$10:$T$1941,$P66)&amp;"'!A"&amp;INDEX(Tasks!$U$10:$U$1941,$P66),"Open"))</x:f>
        <x:v>Open</x:v>
      </x:c>
      <x:c r="O66" s="14"/>
      <x:c r="P66" s="14" t="n">
        <x:f>IF(45&gt;$B$10,"",MATCH(45,Tasks!$S$10:$S$1941,0))</x:f>
        <x:v>97</x:v>
      </x:c>
    </x:row>
    <x:row r="67" ht="58" customHeight="1">
      <x:c r="B67" s="86" t="str">
        <x:f>IF($P67="","",INDEX(Tasks!$B$10:$B$1941,$P67))</x:f>
        <x:v>Cycle 1</x:v>
      </x:c>
      <x:c r="C67" s="86" t="str">
        <x:f>IF($P67="","",INDEX(Tasks!$C$10:$C$1941,$P67))</x:f>
        <x:v>Phase 2</x:v>
      </x:c>
      <x:c r="D67" s="86" t="str">
        <x:f>IF($P67="","",INDEX(Tasks!$D$10:$D$1941,$P67))</x:f>
        <x:v>CSBBO - Customer Service</x:v>
      </x:c>
      <x:c r="E67" s="86"/>
      <x:c r="F67" s="86" t="str">
        <x:f>IF($P67="","",INDEX(Tasks!$E$10:$E$1941,$P67))</x:f>
        <x:v>Data &amp; Reporting</x:v>
      </x:c>
      <x:c r="G67" s="86"/>
      <x:c r="H67" s="14" t="str">
        <x:f>IF($P67="","",INDEX(Tasks!$F$10:$F$1941,$P67)&amp;CHAR(10)&amp;INDEX(Tasks!$G$10:$G$1941,$P67))</x:f>
        <x:v>DR.CS.2.4
Ensure data is free of errors and anomalies prior to hand-off to Research</x:v>
      </x:c>
      <x:c r="I67" s="14"/>
      <x:c r="J67" s="14"/>
      <x:c r="K67" s="14"/>
      <x:c r="L67" s="86" t="str">
        <x:f>IF($P67="","",INDEX(Tasks!$N$10:$N$1941,$P67))</x:f>
        <x:v>Not started</x:v>
      </x:c>
      <x:c r="M67" s="87" t="n">
        <x:f>IF($P67="","",INDEX(Tasks!$J$10:$J$1941,$P67))</x:f>
        <x:v>46112</x:v>
      </x:c>
      <x:c r="N67" s="85" t="str">
        <x:f>IF($P67="","",HYPERLINK("#'"&amp;INDEX(Tasks!$T$10:$T$1941,$P67)&amp;"'!A"&amp;INDEX(Tasks!$U$10:$U$1941,$P67),"Open"))</x:f>
        <x:v>Open</x:v>
      </x:c>
      <x:c r="O67" s="14"/>
      <x:c r="P67" s="14" t="n">
        <x:f>IF(46&gt;$B$10,"",MATCH(46,Tasks!$S$10:$S$1941,0))</x:f>
        <x:v>98</x:v>
      </x:c>
    </x:row>
    <x:row r="68" ht="58" customHeight="1">
      <x:c r="B68" s="86" t="str">
        <x:f>IF($P68="","",INDEX(Tasks!$B$10:$B$1941,$P68))</x:f>
        <x:v>Cycle 1</x:v>
      </x:c>
      <x:c r="C68" s="86" t="str">
        <x:f>IF($P68="","",INDEX(Tasks!$C$10:$C$1941,$P68))</x:f>
        <x:v>Phase 2</x:v>
      </x:c>
      <x:c r="D68" s="86" t="str">
        <x:f>IF($P68="","",INDEX(Tasks!$D$10:$D$1941,$P68))</x:f>
        <x:v>CSBBO - Customer Service</x:v>
      </x:c>
      <x:c r="E68" s="86"/>
      <x:c r="F68" s="86" t="str">
        <x:f>IF($P68="","",INDEX(Tasks!$E$10:$E$1941,$P68))</x:f>
        <x:v>Data &amp; Reporting</x:v>
      </x:c>
      <x:c r="G68" s="86"/>
      <x:c r="H68" s="14" t="str">
        <x:f>IF($P68="","",INDEX(Tasks!$F$10:$F$1941,$P68)&amp;CHAR(10)&amp;INDEX(Tasks!$G$10:$G$1941,$P68))</x:f>
        <x:v>DR.CS.2.5
Ensure topic is not a duplicate from a previous Cycle</x:v>
      </x:c>
      <x:c r="I68" s="14"/>
      <x:c r="J68" s="14"/>
      <x:c r="K68" s="14"/>
      <x:c r="L68" s="86" t="str">
        <x:f>IF($P68="","",INDEX(Tasks!$N$10:$N$1941,$P68))</x:f>
        <x:v>Not started</x:v>
      </x:c>
      <x:c r="M68" s="87" t="n">
        <x:f>IF($P68="","",INDEX(Tasks!$J$10:$J$1941,$P68))</x:f>
        <x:v>46112</x:v>
      </x:c>
      <x:c r="N68" s="85" t="str">
        <x:f>IF($P68="","",HYPERLINK("#'"&amp;INDEX(Tasks!$T$10:$T$1941,$P68)&amp;"'!A"&amp;INDEX(Tasks!$U$10:$U$1941,$P68),"Open"))</x:f>
        <x:v>Open</x:v>
      </x:c>
      <x:c r="O68" s="14"/>
      <x:c r="P68" s="14" t="n">
        <x:f>IF(47&gt;$B$10,"",MATCH(47,Tasks!$S$10:$S$1941,0))</x:f>
        <x:v>99</x:v>
      </x:c>
    </x:row>
    <x:row r="69" ht="58" customHeight="1">
      <x:c r="B69" s="86" t="str">
        <x:f>IF($P69="","",INDEX(Tasks!$B$10:$B$1941,$P69))</x:f>
        <x:v>Cycle 1</x:v>
      </x:c>
      <x:c r="C69" s="86" t="str">
        <x:f>IF($P69="","",INDEX(Tasks!$C$10:$C$1941,$P69))</x:f>
        <x:v>Phase 2</x:v>
      </x:c>
      <x:c r="D69" s="86" t="str">
        <x:f>IF($P69="","",INDEX(Tasks!$D$10:$D$1941,$P69))</x:f>
        <x:v>CSBBO - Customer Service</x:v>
      </x:c>
      <x:c r="E69" s="86"/>
      <x:c r="F69" s="86" t="str">
        <x:f>IF($P69="","",INDEX(Tasks!$E$10:$E$1941,$P69))</x:f>
        <x:v>Data &amp; Reporting</x:v>
      </x:c>
      <x:c r="G69" s="86"/>
      <x:c r="H69" s="14" t="str">
        <x:f>IF($P69="","",INDEX(Tasks!$F$10:$F$1941,$P69)&amp;CHAR(10)&amp;INDEX(Tasks!$G$10:$G$1941,$P69))</x:f>
        <x:v>DR.CS.2.6
Document clear distinctions between facts, assumptions, and hypotheses within the data package</x:v>
      </x:c>
      <x:c r="I69" s="14"/>
      <x:c r="J69" s="14"/>
      <x:c r="K69" s="14"/>
      <x:c r="L69" s="86" t="str">
        <x:f>IF($P69="","",INDEX(Tasks!$N$10:$N$1941,$P69))</x:f>
        <x:v>Not started</x:v>
      </x:c>
      <x:c r="M69" s="87" t="n">
        <x:f>IF($P69="","",INDEX(Tasks!$J$10:$J$1941,$P69))</x:f>
        <x:v>46112</x:v>
      </x:c>
      <x:c r="N69" s="85" t="str">
        <x:f>IF($P69="","",HYPERLINK("#'"&amp;INDEX(Tasks!$T$10:$T$1941,$P69)&amp;"'!A"&amp;INDEX(Tasks!$U$10:$U$1941,$P69),"Open"))</x:f>
        <x:v>Open</x:v>
      </x:c>
      <x:c r="O69" s="14"/>
      <x:c r="P69" s="14" t="n">
        <x:f>IF(48&gt;$B$10,"",MATCH(48,Tasks!$S$10:$S$1941,0))</x:f>
        <x:v>100</x:v>
      </x:c>
    </x:row>
    <x:row r="70" ht="58" customHeight="1">
      <x:c r="B70" s="86" t="str">
        <x:f>IF($P70="","",INDEX(Tasks!$B$10:$B$1941,$P70))</x:f>
        <x:v>Cycle 1</x:v>
      </x:c>
      <x:c r="C70" s="86" t="str">
        <x:f>IF($P70="","",INDEX(Tasks!$C$10:$C$1941,$P70))</x:f>
        <x:v>Phase 3</x:v>
      </x:c>
      <x:c r="D70" s="86" t="str">
        <x:f>IF($P70="","",INDEX(Tasks!$D$10:$D$1941,$P70))</x:f>
        <x:v>CSBBO - Customer Service</x:v>
      </x:c>
      <x:c r="E70" s="86"/>
      <x:c r="F70" s="86" t="str">
        <x:f>IF($P70="","",INDEX(Tasks!$E$10:$E$1941,$P70))</x:f>
        <x:v>Data &amp; Reporting</x:v>
      </x:c>
      <x:c r="G70" s="86"/>
      <x:c r="H70" s="14" t="str">
        <x:f>IF($P70="","",INDEX(Tasks!$F$10:$F$1941,$P70)&amp;CHAR(10)&amp;INDEX(Tasks!$G$10:$G$1941,$P70))</x:f>
        <x:v>DR.CS.3.1
Clearly document rationale for each topic recommendation within the SharePoint list item</x:v>
      </x:c>
      <x:c r="I70" s="14"/>
      <x:c r="J70" s="14"/>
      <x:c r="K70" s="14"/>
      <x:c r="L70" s="86" t="str">
        <x:f>IF($P70="","",INDEX(Tasks!$N$10:$N$1941,$P70))</x:f>
        <x:v>Not started</x:v>
      </x:c>
      <x:c r="M70" s="87" t="n">
        <x:f>IF($P70="","",INDEX(Tasks!$J$10:$J$1941,$P70))</x:f>
        <x:v>46112</x:v>
      </x:c>
      <x:c r="N70" s="85" t="str">
        <x:f>IF($P70="","",HYPERLINK("#'"&amp;INDEX(Tasks!$T$10:$T$1941,$P70)&amp;"'!A"&amp;INDEX(Tasks!$U$10:$U$1941,$P70),"Open"))</x:f>
        <x:v>Open</x:v>
      </x:c>
      <x:c r="O70" s="14"/>
      <x:c r="P70" s="14" t="n">
        <x:f>IF(49&gt;$B$10,"",MATCH(49,Tasks!$S$10:$S$1941,0))</x:f>
        <x:v>101</x:v>
      </x:c>
    </x:row>
    <x:row r="71" ht="58" customHeight="1">
      <x:c r="B71" s="86" t="str">
        <x:f>IF($P71="","",INDEX(Tasks!$B$10:$B$1941,$P71))</x:f>
        <x:v>Cycle 1</x:v>
      </x:c>
      <x:c r="C71" s="86" t="str">
        <x:f>IF($P71="","",INDEX(Tasks!$C$10:$C$1941,$P71))</x:f>
        <x:v>Phase 3</x:v>
      </x:c>
      <x:c r="D71" s="86" t="str">
        <x:f>IF($P71="","",INDEX(Tasks!$D$10:$D$1941,$P71))</x:f>
        <x:v>CSBBO - Customer Service</x:v>
      </x:c>
      <x:c r="E71" s="86"/>
      <x:c r="F71" s="86" t="str">
        <x:f>IF($P71="","",INDEX(Tasks!$E$10:$E$1941,$P71))</x:f>
        <x:v>Data &amp; Reporting</x:v>
      </x:c>
      <x:c r="G71" s="86"/>
      <x:c r="H71" s="14" t="str">
        <x:f>IF($P71="","",INDEX(Tasks!$F$10:$F$1941,$P71)&amp;CHAR(10)&amp;INDEX(Tasks!$G$10:$G$1941,$P71))</x:f>
        <x:v>DR.CS.3.2
Attach the data package for each topic recommendation within the SharePoint list item</x:v>
      </x:c>
      <x:c r="I71" s="14"/>
      <x:c r="J71" s="14"/>
      <x:c r="K71" s="14"/>
      <x:c r="L71" s="86" t="str">
        <x:f>IF($P71="","",INDEX(Tasks!$N$10:$N$1941,$P71))</x:f>
        <x:v>Not started</x:v>
      </x:c>
      <x:c r="M71" s="87" t="n">
        <x:f>IF($P71="","",INDEX(Tasks!$J$10:$J$1941,$P71))</x:f>
        <x:v>46112</x:v>
      </x:c>
      <x:c r="N71" s="85" t="str">
        <x:f>IF($P71="","",HYPERLINK("#'"&amp;INDEX(Tasks!$T$10:$T$1941,$P71)&amp;"'!A"&amp;INDEX(Tasks!$U$10:$U$1941,$P71),"Open"))</x:f>
        <x:v>Open</x:v>
      </x:c>
      <x:c r="O71" s="14"/>
      <x:c r="P71" s="14" t="n">
        <x:f>IF(50&gt;$B$10,"",MATCH(50,Tasks!$S$10:$S$1941,0))</x:f>
        <x:v>102</x:v>
      </x:c>
    </x:row>
    <x:row r="72" ht="58" customHeight="1">
      <x:c r="B72" s="86" t="str">
        <x:f>IF($P72="","",INDEX(Tasks!$B$10:$B$1941,$P72))</x:f>
        <x:v>Cycle 1</x:v>
      </x:c>
      <x:c r="C72" s="86" t="str">
        <x:f>IF($P72="","",INDEX(Tasks!$C$10:$C$1941,$P72))</x:f>
        <x:v>Phase 3</x:v>
      </x:c>
      <x:c r="D72" s="86" t="str">
        <x:f>IF($P72="","",INDEX(Tasks!$D$10:$D$1941,$P72))</x:f>
        <x:v>CSBBO - Customer Service</x:v>
      </x:c>
      <x:c r="E72" s="86"/>
      <x:c r="F72" s="86" t="str">
        <x:f>IF($P72="","",INDEX(Tasks!$E$10:$E$1941,$P72))</x:f>
        <x:v>Data &amp; Reporting</x:v>
      </x:c>
      <x:c r="G72" s="86"/>
      <x:c r="H72" s="14" t="str">
        <x:f>IF($P72="","",INDEX(Tasks!$F$10:$F$1941,$P72)&amp;CHAR(10)&amp;INDEX(Tasks!$G$10:$G$1941,$P72))</x:f>
        <x:v>DR.CS.3.3
Confirm data privileges have been granted, ensuring each pillar can access</x:v>
      </x:c>
      <x:c r="I72" s="14"/>
      <x:c r="J72" s="14"/>
      <x:c r="K72" s="14"/>
      <x:c r="L72" s="86" t="str">
        <x:f>IF($P72="","",INDEX(Tasks!$N$10:$N$1941,$P72))</x:f>
        <x:v>Not started</x:v>
      </x:c>
      <x:c r="M72" s="87" t="n">
        <x:f>IF($P72="","",INDEX(Tasks!$J$10:$J$1941,$P72))</x:f>
        <x:v>46112</x:v>
      </x:c>
      <x:c r="N72" s="85" t="str">
        <x:f>IF($P72="","",HYPERLINK("#'"&amp;INDEX(Tasks!$T$10:$T$1941,$P72)&amp;"'!A"&amp;INDEX(Tasks!$U$10:$U$1941,$P72),"Open"))</x:f>
        <x:v>Open</x:v>
      </x:c>
      <x:c r="O72" s="14"/>
      <x:c r="P72" s="14" t="n">
        <x:f>IF(51&gt;$B$10,"",MATCH(51,Tasks!$S$10:$S$1941,0))</x:f>
        <x:v>103</x:v>
      </x:c>
    </x:row>
    <x:row r="73" ht="58" customHeight="1">
      <x:c r="B73" s="86" t="str">
        <x:f>IF($P73="","",INDEX(Tasks!$B$10:$B$1941,$P73))</x:f>
        <x:v>Cycle 1</x:v>
      </x:c>
      <x:c r="C73" s="86" t="str">
        <x:f>IF($P73="","",INDEX(Tasks!$C$10:$C$1941,$P73))</x:f>
        <x:v>Phase 3</x:v>
      </x:c>
      <x:c r="D73" s="86" t="str">
        <x:f>IF($P73="","",INDEX(Tasks!$D$10:$D$1941,$P73))</x:f>
        <x:v>CSBBO - Customer Service</x:v>
      </x:c>
      <x:c r="E73" s="86"/>
      <x:c r="F73" s="86" t="str">
        <x:f>IF($P73="","",INDEX(Tasks!$E$10:$E$1941,$P73))</x:f>
        <x:v>Data &amp; Reporting</x:v>
      </x:c>
      <x:c r="G73" s="86"/>
      <x:c r="H73" s="14" t="str">
        <x:f>IF($P73="","",INDEX(Tasks!$F$10:$F$1941,$P73)&amp;CHAR(10)&amp;INDEX(Tasks!$G$10:$G$1941,$P73))</x:f>
        <x:v>DR.CS.3.4
Ensure Power Automate notifications were correctly triggered within Microsoft Teams</x:v>
      </x:c>
      <x:c r="I73" s="14"/>
      <x:c r="J73" s="14"/>
      <x:c r="K73" s="14"/>
      <x:c r="L73" s="86" t="str">
        <x:f>IF($P73="","",INDEX(Tasks!$N$10:$N$1941,$P73))</x:f>
        <x:v>Not started</x:v>
      </x:c>
      <x:c r="M73" s="87" t="n">
        <x:f>IF($P73="","",INDEX(Tasks!$J$10:$J$1941,$P73))</x:f>
        <x:v>46112</x:v>
      </x:c>
      <x:c r="N73" s="85" t="str">
        <x:f>IF($P73="","",HYPERLINK("#'"&amp;INDEX(Tasks!$T$10:$T$1941,$P73)&amp;"'!A"&amp;INDEX(Tasks!$U$10:$U$1941,$P73),"Open"))</x:f>
        <x:v>Open</x:v>
      </x:c>
      <x:c r="O73" s="14"/>
      <x:c r="P73" s="14" t="n">
        <x:f>IF(52&gt;$B$10,"",MATCH(52,Tasks!$S$10:$S$1941,0))</x:f>
        <x:v>104</x:v>
      </x:c>
    </x:row>
    <x:row r="74" ht="58" customHeight="1">
      <x:c r="B74" s="86" t="str">
        <x:f>IF($P74="","",INDEX(Tasks!$B$10:$B$1941,$P74))</x:f>
        <x:v>Cycle 1</x:v>
      </x:c>
      <x:c r="C74" s="86" t="str">
        <x:f>IF($P74="","",INDEX(Tasks!$C$10:$C$1941,$P74))</x:f>
        <x:v>Phase 1</x:v>
      </x:c>
      <x:c r="D74" s="86" t="str">
        <x:f>IF($P74="","",INDEX(Tasks!$D$10:$D$1941,$P74))</x:f>
        <x:v>FCM</x:v>
      </x:c>
      <x:c r="E74" s="86"/>
      <x:c r="F74" s="86" t="str">
        <x:f>IF($P74="","",INDEX(Tasks!$E$10:$E$1941,$P74))</x:f>
        <x:v>Data &amp; Reporting</x:v>
      </x:c>
      <x:c r="G74" s="86"/>
      <x:c r="H74" s="14" t="str">
        <x:f>IF($P74="","",INDEX(Tasks!$F$10:$F$1941,$P74)&amp;CHAR(10)&amp;INDEX(Tasks!$G$10:$G$1941,$P74))</x:f>
        <x:v>DR.FC.1.1
Review data sources 3 weeks prior to Cycle start (Complaints, Gen AI, Loudspeaker, NPS, etc.)</x:v>
      </x:c>
      <x:c r="I74" s="14"/>
      <x:c r="J74" s="14"/>
      <x:c r="K74" s="14"/>
      <x:c r="L74" s="86" t="str">
        <x:f>IF($P74="","",INDEX(Tasks!$N$10:$N$1941,$P74))</x:f>
        <x:v>Not started</x:v>
      </x:c>
      <x:c r="M74" s="87" t="n">
        <x:f>IF($P74="","",INDEX(Tasks!$J$10:$J$1941,$P74))</x:f>
        <x:v>46002</x:v>
      </x:c>
      <x:c r="N74" s="85" t="str">
        <x:f>IF($P74="","",HYPERLINK("#'"&amp;INDEX(Tasks!$T$10:$T$1941,$P74)&amp;"'!A"&amp;INDEX(Tasks!$U$10:$U$1941,$P74),"Open"))</x:f>
        <x:v>Open</x:v>
      </x:c>
      <x:c r="O74" s="14"/>
      <x:c r="P74" s="14" t="n">
        <x:f>IF(53&gt;$B$10,"",MATCH(53,Tasks!$S$10:$S$1941,0))</x:f>
        <x:v>105</x:v>
      </x:c>
    </x:row>
    <x:row r="75" ht="58" customHeight="1">
      <x:c r="B75" s="86" t="str">
        <x:f>IF($P75="","",INDEX(Tasks!$B$10:$B$1941,$P75))</x:f>
        <x:v>Cycle 1</x:v>
      </x:c>
      <x:c r="C75" s="86" t="str">
        <x:f>IF($P75="","",INDEX(Tasks!$C$10:$C$1941,$P75))</x:f>
        <x:v>Phase 1</x:v>
      </x:c>
      <x:c r="D75" s="86" t="str">
        <x:f>IF($P75="","",INDEX(Tasks!$D$10:$D$1941,$P75))</x:f>
        <x:v>FCM</x:v>
      </x:c>
      <x:c r="E75" s="86"/>
      <x:c r="F75" s="86" t="str">
        <x:f>IF($P75="","",INDEX(Tasks!$E$10:$E$1941,$P75))</x:f>
        <x:v>Data &amp; Reporting</x:v>
      </x:c>
      <x:c r="G75" s="86"/>
      <x:c r="H75" s="14" t="str">
        <x:f>IF($P75="","",INDEX(Tasks!$F$10:$F$1941,$P75)&amp;CHAR(10)&amp;INDEX(Tasks!$G$10:$G$1941,$P75))</x:f>
        <x:v>DR.FC.1.2
Identify two potential topics for the upcoming Cycle</x:v>
      </x:c>
      <x:c r="I75" s="14"/>
      <x:c r="J75" s="14"/>
      <x:c r="K75" s="14"/>
      <x:c r="L75" s="86" t="str">
        <x:f>IF($P75="","",INDEX(Tasks!$N$10:$N$1941,$P75))</x:f>
        <x:v>Not started</x:v>
      </x:c>
      <x:c r="M75" s="87" t="n">
        <x:f>IF($P75="","",INDEX(Tasks!$J$10:$J$1941,$P75))</x:f>
        <x:v>46112</x:v>
      </x:c>
      <x:c r="N75" s="85" t="str">
        <x:f>IF($P75="","",HYPERLINK("#'"&amp;INDEX(Tasks!$T$10:$T$1941,$P75)&amp;"'!A"&amp;INDEX(Tasks!$U$10:$U$1941,$P75),"Open"))</x:f>
        <x:v>Open</x:v>
      </x:c>
      <x:c r="O75" s="14"/>
      <x:c r="P75" s="14" t="n">
        <x:f>IF(54&gt;$B$10,"",MATCH(54,Tasks!$S$10:$S$1941,0))</x:f>
        <x:v>106</x:v>
      </x:c>
    </x:row>
    <x:row r="76" ht="58" customHeight="1">
      <x:c r="B76" s="86" t="str">
        <x:f>IF($P76="","",INDEX(Tasks!$B$10:$B$1941,$P76))</x:f>
        <x:v>Cycle 1</x:v>
      </x:c>
      <x:c r="C76" s="86" t="str">
        <x:f>IF($P76="","",INDEX(Tasks!$C$10:$C$1941,$P76))</x:f>
        <x:v>Phase 1</x:v>
      </x:c>
      <x:c r="D76" s="86" t="str">
        <x:f>IF($P76="","",INDEX(Tasks!$D$10:$D$1941,$P76))</x:f>
        <x:v>FCM</x:v>
      </x:c>
      <x:c r="E76" s="86"/>
      <x:c r="F76" s="86" t="str">
        <x:f>IF($P76="","",INDEX(Tasks!$E$10:$E$1941,$P76))</x:f>
        <x:v>Data &amp; Reporting</x:v>
      </x:c>
      <x:c r="G76" s="86"/>
      <x:c r="H76" s="14" t="str">
        <x:f>IF($P76="","",INDEX(Tasks!$F$10:$F$1941,$P76)&amp;CHAR(10)&amp;INDEX(Tasks!$G$10:$G$1941,$P76))</x:f>
        <x:v>DR.FC.1.3
Extract data for both potential topics, ensuring all checklist items below are included/completed</x:v>
      </x:c>
      <x:c r="I76" s="14"/>
      <x:c r="J76" s="14"/>
      <x:c r="K76" s="14"/>
      <x:c r="L76" s="86" t="str">
        <x:f>IF($P76="","",INDEX(Tasks!$N$10:$N$1941,$P76))</x:f>
        <x:v>Not started</x:v>
      </x:c>
      <x:c r="M76" s="87" t="n">
        <x:f>IF($P76="","",INDEX(Tasks!$J$10:$J$1941,$P76))</x:f>
        <x:v>46112</x:v>
      </x:c>
      <x:c r="N76" s="85" t="str">
        <x:f>IF($P76="","",HYPERLINK("#'"&amp;INDEX(Tasks!$T$10:$T$1941,$P76)&amp;"'!A"&amp;INDEX(Tasks!$U$10:$U$1941,$P76),"Open"))</x:f>
        <x:v>Open</x:v>
      </x:c>
      <x:c r="O76" s="14"/>
      <x:c r="P76" s="14" t="n">
        <x:f>IF(55&gt;$B$10,"",MATCH(55,Tasks!$S$10:$S$1941,0))</x:f>
        <x:v>107</x:v>
      </x:c>
    </x:row>
    <x:row r="77" ht="58" customHeight="1">
      <x:c r="B77" s="86" t="str">
        <x:f>IF($P77="","",INDEX(Tasks!$B$10:$B$1941,$P77))</x:f>
        <x:v>Cycle 1</x:v>
      </x:c>
      <x:c r="C77" s="86" t="str">
        <x:f>IF($P77="","",INDEX(Tasks!$C$10:$C$1941,$P77))</x:f>
        <x:v>Phase 2</x:v>
      </x:c>
      <x:c r="D77" s="86" t="str">
        <x:f>IF($P77="","",INDEX(Tasks!$D$10:$D$1941,$P77))</x:f>
        <x:v>FCM</x:v>
      </x:c>
      <x:c r="E77" s="86"/>
      <x:c r="F77" s="86" t="str">
        <x:f>IF($P77="","",INDEX(Tasks!$E$10:$E$1941,$P77))</x:f>
        <x:v>Data &amp; Reporting</x:v>
      </x:c>
      <x:c r="G77" s="86"/>
      <x:c r="H77" s="14" t="str">
        <x:f>IF($P77="","",INDEX(Tasks!$F$10:$F$1941,$P77)&amp;CHAR(10)&amp;INDEX(Tasks!$G$10:$G$1941,$P77))</x:f>
        <x:v>DR.FC.2.1
Ensure data is clean, structured, and usable without manipulation needed</x:v>
      </x:c>
      <x:c r="I77" s="14"/>
      <x:c r="J77" s="14"/>
      <x:c r="K77" s="14"/>
      <x:c r="L77" s="86" t="str">
        <x:f>IF($P77="","",INDEX(Tasks!$N$10:$N$1941,$P77))</x:f>
        <x:v>Not started</x:v>
      </x:c>
      <x:c r="M77" s="87" t="n">
        <x:f>IF($P77="","",INDEX(Tasks!$J$10:$J$1941,$P77))</x:f>
        <x:v>46112</x:v>
      </x:c>
      <x:c r="N77" s="85" t="str">
        <x:f>IF($P77="","",HYPERLINK("#'"&amp;INDEX(Tasks!$T$10:$T$1941,$P77)&amp;"'!A"&amp;INDEX(Tasks!$U$10:$U$1941,$P77),"Open"))</x:f>
        <x:v>Open</x:v>
      </x:c>
      <x:c r="O77" s="14"/>
      <x:c r="P77" s="14" t="n">
        <x:f>IF(56&gt;$B$10,"",MATCH(56,Tasks!$S$10:$S$1941,0))</x:f>
        <x:v>121</x:v>
      </x:c>
    </x:row>
    <x:row r="78" ht="58" customHeight="1">
      <x:c r="B78" s="86" t="str">
        <x:f>IF($P78="","",INDEX(Tasks!$B$10:$B$1941,$P78))</x:f>
        <x:v>Cycle 1</x:v>
      </x:c>
      <x:c r="C78" s="86" t="str">
        <x:f>IF($P78="","",INDEX(Tasks!$C$10:$C$1941,$P78))</x:f>
        <x:v>Phase 2</x:v>
      </x:c>
      <x:c r="D78" s="86" t="str">
        <x:f>IF($P78="","",INDEX(Tasks!$D$10:$D$1941,$P78))</x:f>
        <x:v>FCM</x:v>
      </x:c>
      <x:c r="E78" s="86"/>
      <x:c r="F78" s="86" t="str">
        <x:f>IF($P78="","",INDEX(Tasks!$E$10:$E$1941,$P78))</x:f>
        <x:v>Data &amp; Reporting</x:v>
      </x:c>
      <x:c r="G78" s="86"/>
      <x:c r="H78" s="14" t="str">
        <x:f>IF($P78="","",INDEX(Tasks!$F$10:$F$1941,$P78)&amp;CHAR(10)&amp;INDEX(Tasks!$G$10:$G$1941,$P78))</x:f>
        <x:v>DR.FC.2.2
Clearly document rationale for each topic recommendation within the SharePoint list</x:v>
      </x:c>
      <x:c r="I78" s="14"/>
      <x:c r="J78" s="14"/>
      <x:c r="K78" s="14"/>
      <x:c r="L78" s="86" t="str">
        <x:f>IF($P78="","",INDEX(Tasks!$N$10:$N$1941,$P78))</x:f>
        <x:v>Not started</x:v>
      </x:c>
      <x:c r="M78" s="87" t="n">
        <x:f>IF($P78="","",INDEX(Tasks!$J$10:$J$1941,$P78))</x:f>
        <x:v>46112</x:v>
      </x:c>
      <x:c r="N78" s="85" t="str">
        <x:f>IF($P78="","",HYPERLINK("#'"&amp;INDEX(Tasks!$T$10:$T$1941,$P78)&amp;"'!A"&amp;INDEX(Tasks!$U$10:$U$1941,$P78),"Open"))</x:f>
        <x:v>Open</x:v>
      </x:c>
      <x:c r="O78" s="14"/>
      <x:c r="P78" s="14" t="n">
        <x:f>IF(57&gt;$B$10,"",MATCH(57,Tasks!$S$10:$S$1941,0))</x:f>
        <x:v>122</x:v>
      </x:c>
    </x:row>
    <x:row r="79" ht="58" customHeight="1">
      <x:c r="B79" s="86" t="str">
        <x:f>IF($P79="","",INDEX(Tasks!$B$10:$B$1941,$P79))</x:f>
        <x:v>Cycle 1</x:v>
      </x:c>
      <x:c r="C79" s="86" t="str">
        <x:f>IF($P79="","",INDEX(Tasks!$C$10:$C$1941,$P79))</x:f>
        <x:v>Phase 2</x:v>
      </x:c>
      <x:c r="D79" s="86" t="str">
        <x:f>IF($P79="","",INDEX(Tasks!$D$10:$D$1941,$P79))</x:f>
        <x:v>FCM</x:v>
      </x:c>
      <x:c r="E79" s="86"/>
      <x:c r="F79" s="86" t="str">
        <x:f>IF($P79="","",INDEX(Tasks!$E$10:$E$1941,$P79))</x:f>
        <x:v>Data &amp; Reporting</x:v>
      </x:c>
      <x:c r="G79" s="86"/>
      <x:c r="H79" s="14" t="str">
        <x:f>IF($P79="","",INDEX(Tasks!$F$10:$F$1941,$P79)&amp;CHAR(10)&amp;INDEX(Tasks!$G$10:$G$1941,$P79))</x:f>
        <x:v>DR.FC.2.3
Verify topic is eligible for RCA and does not conflict with Attorney Client Privilege</x:v>
      </x:c>
      <x:c r="I79" s="14"/>
      <x:c r="J79" s="14"/>
      <x:c r="K79" s="14"/>
      <x:c r="L79" s="86" t="str">
        <x:f>IF($P79="","",INDEX(Tasks!$N$10:$N$1941,$P79))</x:f>
        <x:v>Not started</x:v>
      </x:c>
      <x:c r="M79" s="87" t="n">
        <x:f>IF($P79="","",INDEX(Tasks!$J$10:$J$1941,$P79))</x:f>
        <x:v>46112</x:v>
      </x:c>
      <x:c r="N79" s="85" t="str">
        <x:f>IF($P79="","",HYPERLINK("#'"&amp;INDEX(Tasks!$T$10:$T$1941,$P79)&amp;"'!A"&amp;INDEX(Tasks!$U$10:$U$1941,$P79),"Open"))</x:f>
        <x:v>Open</x:v>
      </x:c>
      <x:c r="O79" s="14"/>
      <x:c r="P79" s="14" t="n">
        <x:f>IF(58&gt;$B$10,"",MATCH(58,Tasks!$S$10:$S$1941,0))</x:f>
        <x:v>123</x:v>
      </x:c>
    </x:row>
    <x:row r="80" ht="58" customHeight="1">
      <x:c r="B80" s="86" t="str">
        <x:f>IF($P80="","",INDEX(Tasks!$B$10:$B$1941,$P80))</x:f>
        <x:v>Cycle 1</x:v>
      </x:c>
      <x:c r="C80" s="86" t="str">
        <x:f>IF($P80="","",INDEX(Tasks!$C$10:$C$1941,$P80))</x:f>
        <x:v>Phase 2</x:v>
      </x:c>
      <x:c r="D80" s="86" t="str">
        <x:f>IF($P80="","",INDEX(Tasks!$D$10:$D$1941,$P80))</x:f>
        <x:v>FCM</x:v>
      </x:c>
      <x:c r="E80" s="86"/>
      <x:c r="F80" s="86" t="str">
        <x:f>IF($P80="","",INDEX(Tasks!$E$10:$E$1941,$P80))</x:f>
        <x:v>Data &amp; Reporting</x:v>
      </x:c>
      <x:c r="G80" s="86"/>
      <x:c r="H80" s="14" t="str">
        <x:f>IF($P80="","",INDEX(Tasks!$F$10:$F$1941,$P80)&amp;CHAR(10)&amp;INDEX(Tasks!$G$10:$G$1941,$P80))</x:f>
        <x:v>DR.FC.2.4
Ensure data is free of errors and anomalies prior to hand-off to Research</x:v>
      </x:c>
      <x:c r="I80" s="14"/>
      <x:c r="J80" s="14"/>
      <x:c r="K80" s="14"/>
      <x:c r="L80" s="86" t="str">
        <x:f>IF($P80="","",INDEX(Tasks!$N$10:$N$1941,$P80))</x:f>
        <x:v>Not started</x:v>
      </x:c>
      <x:c r="M80" s="87" t="n">
        <x:f>IF($P80="","",INDEX(Tasks!$J$10:$J$1941,$P80))</x:f>
        <x:v>46112</x:v>
      </x:c>
      <x:c r="N80" s="85" t="str">
        <x:f>IF($P80="","",HYPERLINK("#'"&amp;INDEX(Tasks!$T$10:$T$1941,$P80)&amp;"'!A"&amp;INDEX(Tasks!$U$10:$U$1941,$P80),"Open"))</x:f>
        <x:v>Open</x:v>
      </x:c>
      <x:c r="O80" s="14"/>
      <x:c r="P80" s="14" t="n">
        <x:f>IF(59&gt;$B$10,"",MATCH(59,Tasks!$S$10:$S$1941,0))</x:f>
        <x:v>124</x:v>
      </x:c>
    </x:row>
    <x:row r="81" ht="58" customHeight="1">
      <x:c r="B81" s="86" t="str">
        <x:f>IF($P81="","",INDEX(Tasks!$B$10:$B$1941,$P81))</x:f>
        <x:v>Cycle 1</x:v>
      </x:c>
      <x:c r="C81" s="86" t="str">
        <x:f>IF($P81="","",INDEX(Tasks!$C$10:$C$1941,$P81))</x:f>
        <x:v>Phase 2</x:v>
      </x:c>
      <x:c r="D81" s="86" t="str">
        <x:f>IF($P81="","",INDEX(Tasks!$D$10:$D$1941,$P81))</x:f>
        <x:v>FCM</x:v>
      </x:c>
      <x:c r="E81" s="86"/>
      <x:c r="F81" s="86" t="str">
        <x:f>IF($P81="","",INDEX(Tasks!$E$10:$E$1941,$P81))</x:f>
        <x:v>Data &amp; Reporting</x:v>
      </x:c>
      <x:c r="G81" s="86"/>
      <x:c r="H81" s="14" t="str">
        <x:f>IF($P81="","",INDEX(Tasks!$F$10:$F$1941,$P81)&amp;CHAR(10)&amp;INDEX(Tasks!$G$10:$G$1941,$P81))</x:f>
        <x:v>DR.FC.2.5
Ensure topic is not a duplicate from a previous Cycle</x:v>
      </x:c>
      <x:c r="I81" s="14"/>
      <x:c r="J81" s="14"/>
      <x:c r="K81" s="14"/>
      <x:c r="L81" s="86" t="str">
        <x:f>IF($P81="","",INDEX(Tasks!$N$10:$N$1941,$P81))</x:f>
        <x:v>Not started</x:v>
      </x:c>
      <x:c r="M81" s="87" t="n">
        <x:f>IF($P81="","",INDEX(Tasks!$J$10:$J$1941,$P81))</x:f>
        <x:v>46112</x:v>
      </x:c>
      <x:c r="N81" s="85" t="str">
        <x:f>IF($P81="","",HYPERLINK("#'"&amp;INDEX(Tasks!$T$10:$T$1941,$P81)&amp;"'!A"&amp;INDEX(Tasks!$U$10:$U$1941,$P81),"Open"))</x:f>
        <x:v>Open</x:v>
      </x:c>
      <x:c r="O81" s="14"/>
      <x:c r="P81" s="14" t="n">
        <x:f>IF(60&gt;$B$10,"",MATCH(60,Tasks!$S$10:$S$1941,0))</x:f>
        <x:v>125</x:v>
      </x:c>
    </x:row>
    <x:row r="82" ht="58" customHeight="1">
      <x:c r="B82" s="86" t="str">
        <x:f>IF($P82="","",INDEX(Tasks!$B$10:$B$1941,$P82))</x:f>
        <x:v>Cycle 1</x:v>
      </x:c>
      <x:c r="C82" s="86" t="str">
        <x:f>IF($P82="","",INDEX(Tasks!$C$10:$C$1941,$P82))</x:f>
        <x:v>Phase 2</x:v>
      </x:c>
      <x:c r="D82" s="86" t="str">
        <x:f>IF($P82="","",INDEX(Tasks!$D$10:$D$1941,$P82))</x:f>
        <x:v>FCM</x:v>
      </x:c>
      <x:c r="E82" s="86"/>
      <x:c r="F82" s="86" t="str">
        <x:f>IF($P82="","",INDEX(Tasks!$E$10:$E$1941,$P82))</x:f>
        <x:v>Data &amp; Reporting</x:v>
      </x:c>
      <x:c r="G82" s="86"/>
      <x:c r="H82" s="14" t="str">
        <x:f>IF($P82="","",INDEX(Tasks!$F$10:$F$1941,$P82)&amp;CHAR(10)&amp;INDEX(Tasks!$G$10:$G$1941,$P82))</x:f>
        <x:v>DR.FC.2.6
Document clear distinctions between facts, assumptions, and hypotheses within the data package</x:v>
      </x:c>
      <x:c r="I82" s="14"/>
      <x:c r="J82" s="14"/>
      <x:c r="K82" s="14"/>
      <x:c r="L82" s="86" t="str">
        <x:f>IF($P82="","",INDEX(Tasks!$N$10:$N$1941,$P82))</x:f>
        <x:v>Not started</x:v>
      </x:c>
      <x:c r="M82" s="87" t="n">
        <x:f>IF($P82="","",INDEX(Tasks!$J$10:$J$1941,$P82))</x:f>
        <x:v>46112</x:v>
      </x:c>
      <x:c r="N82" s="85" t="str">
        <x:f>IF($P82="","",HYPERLINK("#'"&amp;INDEX(Tasks!$T$10:$T$1941,$P82)&amp;"'!A"&amp;INDEX(Tasks!$U$10:$U$1941,$P82),"Open"))</x:f>
        <x:v>Open</x:v>
      </x:c>
      <x:c r="O82" s="14"/>
      <x:c r="P82" s="14" t="n">
        <x:f>IF(61&gt;$B$10,"",MATCH(61,Tasks!$S$10:$S$1941,0))</x:f>
        <x:v>126</x:v>
      </x:c>
    </x:row>
    <x:row r="83" ht="58" customHeight="1">
      <x:c r="B83" s="86" t="str">
        <x:f>IF($P83="","",INDEX(Tasks!$B$10:$B$1941,$P83))</x:f>
        <x:v>Cycle 1</x:v>
      </x:c>
      <x:c r="C83" s="86" t="str">
        <x:f>IF($P83="","",INDEX(Tasks!$C$10:$C$1941,$P83))</x:f>
        <x:v>Phase 3</x:v>
      </x:c>
      <x:c r="D83" s="86" t="str">
        <x:f>IF($P83="","",INDEX(Tasks!$D$10:$D$1941,$P83))</x:f>
        <x:v>FCM</x:v>
      </x:c>
      <x:c r="E83" s="86"/>
      <x:c r="F83" s="86" t="str">
        <x:f>IF($P83="","",INDEX(Tasks!$E$10:$E$1941,$P83))</x:f>
        <x:v>Data &amp; Reporting</x:v>
      </x:c>
      <x:c r="G83" s="86"/>
      <x:c r="H83" s="14" t="str">
        <x:f>IF($P83="","",INDEX(Tasks!$F$10:$F$1941,$P83)&amp;CHAR(10)&amp;INDEX(Tasks!$G$10:$G$1941,$P83))</x:f>
        <x:v>DR.FC.3.1
Clearly document rationale for each topic recommendation within the SharePoint list item</x:v>
      </x:c>
      <x:c r="I83" s="14"/>
      <x:c r="J83" s="14"/>
      <x:c r="K83" s="14"/>
      <x:c r="L83" s="86" t="str">
        <x:f>IF($P83="","",INDEX(Tasks!$N$10:$N$1941,$P83))</x:f>
        <x:v>Not started</x:v>
      </x:c>
      <x:c r="M83" s="87" t="n">
        <x:f>IF($P83="","",INDEX(Tasks!$J$10:$J$1941,$P83))</x:f>
        <x:v>46112</x:v>
      </x:c>
      <x:c r="N83" s="85" t="str">
        <x:f>IF($P83="","",HYPERLINK("#'"&amp;INDEX(Tasks!$T$10:$T$1941,$P83)&amp;"'!A"&amp;INDEX(Tasks!$U$10:$U$1941,$P83),"Open"))</x:f>
        <x:v>Open</x:v>
      </x:c>
      <x:c r="O83" s="14"/>
      <x:c r="P83" s="14" t="n">
        <x:f>IF(62&gt;$B$10,"",MATCH(62,Tasks!$S$10:$S$1941,0))</x:f>
        <x:v>127</x:v>
      </x:c>
    </x:row>
    <x:row r="84" ht="58" customHeight="1">
      <x:c r="B84" s="86" t="str">
        <x:f>IF($P84="","",INDEX(Tasks!$B$10:$B$1941,$P84))</x:f>
        <x:v>Cycle 1</x:v>
      </x:c>
      <x:c r="C84" s="86" t="str">
        <x:f>IF($P84="","",INDEX(Tasks!$C$10:$C$1941,$P84))</x:f>
        <x:v>Phase 3</x:v>
      </x:c>
      <x:c r="D84" s="86" t="str">
        <x:f>IF($P84="","",INDEX(Tasks!$D$10:$D$1941,$P84))</x:f>
        <x:v>FCM</x:v>
      </x:c>
      <x:c r="E84" s="86"/>
      <x:c r="F84" s="86" t="str">
        <x:f>IF($P84="","",INDEX(Tasks!$E$10:$E$1941,$P84))</x:f>
        <x:v>Data &amp; Reporting</x:v>
      </x:c>
      <x:c r="G84" s="86"/>
      <x:c r="H84" s="14" t="str">
        <x:f>IF($P84="","",INDEX(Tasks!$F$10:$F$1941,$P84)&amp;CHAR(10)&amp;INDEX(Tasks!$G$10:$G$1941,$P84))</x:f>
        <x:v>DR.FC.3.2
Attach the data package for each topic recommendation within the SharePoint list item</x:v>
      </x:c>
      <x:c r="I84" s="14"/>
      <x:c r="J84" s="14"/>
      <x:c r="K84" s="14"/>
      <x:c r="L84" s="86" t="str">
        <x:f>IF($P84="","",INDEX(Tasks!$N$10:$N$1941,$P84))</x:f>
        <x:v>Not started</x:v>
      </x:c>
      <x:c r="M84" s="87" t="n">
        <x:f>IF($P84="","",INDEX(Tasks!$J$10:$J$1941,$P84))</x:f>
        <x:v>46112</x:v>
      </x:c>
      <x:c r="N84" s="85" t="str">
        <x:f>IF($P84="","",HYPERLINK("#'"&amp;INDEX(Tasks!$T$10:$T$1941,$P84)&amp;"'!A"&amp;INDEX(Tasks!$U$10:$U$1941,$P84),"Open"))</x:f>
        <x:v>Open</x:v>
      </x:c>
      <x:c r="O84" s="14"/>
      <x:c r="P84" s="14" t="n">
        <x:f>IF(63&gt;$B$10,"",MATCH(63,Tasks!$S$10:$S$1941,0))</x:f>
        <x:v>128</x:v>
      </x:c>
    </x:row>
    <x:row r="85" ht="58" customHeight="1">
      <x:c r="B85" s="86" t="str">
        <x:f>IF($P85="","",INDEX(Tasks!$B$10:$B$1941,$P85))</x:f>
        <x:v>Cycle 1</x:v>
      </x:c>
      <x:c r="C85" s="86" t="str">
        <x:f>IF($P85="","",INDEX(Tasks!$C$10:$C$1941,$P85))</x:f>
        <x:v>Phase 3</x:v>
      </x:c>
      <x:c r="D85" s="86" t="str">
        <x:f>IF($P85="","",INDEX(Tasks!$D$10:$D$1941,$P85))</x:f>
        <x:v>FCM</x:v>
      </x:c>
      <x:c r="E85" s="86"/>
      <x:c r="F85" s="86" t="str">
        <x:f>IF($P85="","",INDEX(Tasks!$E$10:$E$1941,$P85))</x:f>
        <x:v>Data &amp; Reporting</x:v>
      </x:c>
      <x:c r="G85" s="86"/>
      <x:c r="H85" s="14" t="str">
        <x:f>IF($P85="","",INDEX(Tasks!$F$10:$F$1941,$P85)&amp;CHAR(10)&amp;INDEX(Tasks!$G$10:$G$1941,$P85))</x:f>
        <x:v>DR.FC.3.3
Confirm data privileges have been granted, ensuring each pillar can access</x:v>
      </x:c>
      <x:c r="I85" s="14"/>
      <x:c r="J85" s="14"/>
      <x:c r="K85" s="14"/>
      <x:c r="L85" s="86" t="str">
        <x:f>IF($P85="","",INDEX(Tasks!$N$10:$N$1941,$P85))</x:f>
        <x:v>Not started</x:v>
      </x:c>
      <x:c r="M85" s="87" t="n">
        <x:f>IF($P85="","",INDEX(Tasks!$J$10:$J$1941,$P85))</x:f>
        <x:v>46112</x:v>
      </x:c>
      <x:c r="N85" s="85" t="str">
        <x:f>IF($P85="","",HYPERLINK("#'"&amp;INDEX(Tasks!$T$10:$T$1941,$P85)&amp;"'!A"&amp;INDEX(Tasks!$U$10:$U$1941,$P85),"Open"))</x:f>
        <x:v>Open</x:v>
      </x:c>
      <x:c r="O85" s="14"/>
      <x:c r="P85" s="14" t="n">
        <x:f>IF(64&gt;$B$10,"",MATCH(64,Tasks!$S$10:$S$1941,0))</x:f>
        <x:v>129</x:v>
      </x:c>
    </x:row>
    <x:row r="86" ht="58" customHeight="1">
      <x:c r="B86" s="86" t="str">
        <x:f>IF($P86="","",INDEX(Tasks!$B$10:$B$1941,$P86))</x:f>
        <x:v>Cycle 1</x:v>
      </x:c>
      <x:c r="C86" s="86" t="str">
        <x:f>IF($P86="","",INDEX(Tasks!$C$10:$C$1941,$P86))</x:f>
        <x:v>Phase 3</x:v>
      </x:c>
      <x:c r="D86" s="86" t="str">
        <x:f>IF($P86="","",INDEX(Tasks!$D$10:$D$1941,$P86))</x:f>
        <x:v>FCM</x:v>
      </x:c>
      <x:c r="E86" s="86"/>
      <x:c r="F86" s="86" t="str">
        <x:f>IF($P86="","",INDEX(Tasks!$E$10:$E$1941,$P86))</x:f>
        <x:v>Data &amp; Reporting</x:v>
      </x:c>
      <x:c r="G86" s="86"/>
      <x:c r="H86" s="14" t="str">
        <x:f>IF($P86="","",INDEX(Tasks!$F$10:$F$1941,$P86)&amp;CHAR(10)&amp;INDEX(Tasks!$G$10:$G$1941,$P86))</x:f>
        <x:v>DR.FC.3.4
Ensure Power Automate notifications were correctly triggered within Microsoft Teams</x:v>
      </x:c>
      <x:c r="I86" s="14"/>
      <x:c r="J86" s="14"/>
      <x:c r="K86" s="14"/>
      <x:c r="L86" s="86" t="str">
        <x:f>IF($P86="","",INDEX(Tasks!$N$10:$N$1941,$P86))</x:f>
        <x:v>Not started</x:v>
      </x:c>
      <x:c r="M86" s="87" t="n">
        <x:f>IF($P86="","",INDEX(Tasks!$J$10:$J$1941,$P86))</x:f>
        <x:v>46112</x:v>
      </x:c>
      <x:c r="N86" s="85" t="str">
        <x:f>IF($P86="","",HYPERLINK("#'"&amp;INDEX(Tasks!$T$10:$T$1941,$P86)&amp;"'!A"&amp;INDEX(Tasks!$U$10:$U$1941,$P86),"Open"))</x:f>
        <x:v>Open</x:v>
      </x:c>
      <x:c r="O86" s="14"/>
      <x:c r="P86" s="14" t="n">
        <x:f>IF(65&gt;$B$10,"",MATCH(65,Tasks!$S$10:$S$1941,0))</x:f>
        <x:v>130</x:v>
      </x:c>
    </x:row>
    <x:row r="87" ht="58" customHeight="1">
      <x:c r="B87" s="86" t="str">
        <x:f>IF($P87="","",INDEX(Tasks!$B$10:$B$1941,$P87))</x:f>
        <x:v>Cycle 1</x:v>
      </x:c>
      <x:c r="C87" s="86" t="str">
        <x:f>IF($P87="","",INDEX(Tasks!$C$10:$C$1941,$P87))</x:f>
        <x:v>Phase 1</x:v>
      </x:c>
      <x:c r="D87" s="86" t="str">
        <x:f>IF($P87="","",INDEX(Tasks!$D$10:$D$1941,$P87))</x:f>
        <x:v>PLL</x:v>
      </x:c>
      <x:c r="E87" s="86"/>
      <x:c r="F87" s="86" t="str">
        <x:f>IF($P87="","",INDEX(Tasks!$E$10:$E$1941,$P87))</x:f>
        <x:v>Data &amp; Reporting</x:v>
      </x:c>
      <x:c r="G87" s="86"/>
      <x:c r="H87" s="14" t="str">
        <x:f>IF($P87="","",INDEX(Tasks!$F$10:$F$1941,$P87)&amp;CHAR(10)&amp;INDEX(Tasks!$G$10:$G$1941,$P87))</x:f>
        <x:v>DR.PL.1.1
Review data sources 3 weeks prior to Cycle start (Complaints, Gen AI, Loudspeaker, NPS, etc.)</x:v>
      </x:c>
      <x:c r="I87" s="14"/>
      <x:c r="J87" s="14"/>
      <x:c r="K87" s="14"/>
      <x:c r="L87" s="86" t="str">
        <x:f>IF($P87="","",INDEX(Tasks!$N$10:$N$1941,$P87))</x:f>
        <x:v>Not started</x:v>
      </x:c>
      <x:c r="M87" s="87" t="n">
        <x:f>IF($P87="","",INDEX(Tasks!$J$10:$J$1941,$P87))</x:f>
        <x:v>46002</x:v>
      </x:c>
      <x:c r="N87" s="85" t="str">
        <x:f>IF($P87="","",HYPERLINK("#'"&amp;INDEX(Tasks!$T$10:$T$1941,$P87)&amp;"'!A"&amp;INDEX(Tasks!$U$10:$U$1941,$P87),"Open"))</x:f>
        <x:v>Open</x:v>
      </x:c>
      <x:c r="O87" s="14"/>
      <x:c r="P87" s="14" t="n">
        <x:f>IF(66&gt;$B$10,"",MATCH(66,Tasks!$S$10:$S$1941,0))</x:f>
        <x:v>131</x:v>
      </x:c>
    </x:row>
    <x:row r="88" ht="58" customHeight="1">
      <x:c r="B88" s="86" t="str">
        <x:f>IF($P88="","",INDEX(Tasks!$B$10:$B$1941,$P88))</x:f>
        <x:v>Cycle 1</x:v>
      </x:c>
      <x:c r="C88" s="86" t="str">
        <x:f>IF($P88="","",INDEX(Tasks!$C$10:$C$1941,$P88))</x:f>
        <x:v>Phase 1</x:v>
      </x:c>
      <x:c r="D88" s="86" t="str">
        <x:f>IF($P88="","",INDEX(Tasks!$D$10:$D$1941,$P88))</x:f>
        <x:v>PLL</x:v>
      </x:c>
      <x:c r="E88" s="86"/>
      <x:c r="F88" s="86" t="str">
        <x:f>IF($P88="","",INDEX(Tasks!$E$10:$E$1941,$P88))</x:f>
        <x:v>Data &amp; Reporting</x:v>
      </x:c>
      <x:c r="G88" s="86"/>
      <x:c r="H88" s="14" t="str">
        <x:f>IF($P88="","",INDEX(Tasks!$F$10:$F$1941,$P88)&amp;CHAR(10)&amp;INDEX(Tasks!$G$10:$G$1941,$P88))</x:f>
        <x:v>DR.PL.1.2
Identify two potential topics for the upcoming Cycle</x:v>
      </x:c>
      <x:c r="I88" s="14"/>
      <x:c r="J88" s="14"/>
      <x:c r="K88" s="14"/>
      <x:c r="L88" s="86" t="str">
        <x:f>IF($P88="","",INDEX(Tasks!$N$10:$N$1941,$P88))</x:f>
        <x:v>Not started</x:v>
      </x:c>
      <x:c r="M88" s="87" t="n">
        <x:f>IF($P88="","",INDEX(Tasks!$J$10:$J$1941,$P88))</x:f>
        <x:v>46112</x:v>
      </x:c>
      <x:c r="N88" s="85" t="str">
        <x:f>IF($P88="","",HYPERLINK("#'"&amp;INDEX(Tasks!$T$10:$T$1941,$P88)&amp;"'!A"&amp;INDEX(Tasks!$U$10:$U$1941,$P88),"Open"))</x:f>
        <x:v>Open</x:v>
      </x:c>
      <x:c r="O88" s="14"/>
      <x:c r="P88" s="14" t="n">
        <x:f>IF(67&gt;$B$10,"",MATCH(67,Tasks!$S$10:$S$1941,0))</x:f>
        <x:v>132</x:v>
      </x:c>
    </x:row>
    <x:row r="89" ht="58" customHeight="1">
      <x:c r="B89" s="86" t="str">
        <x:f>IF($P89="","",INDEX(Tasks!$B$10:$B$1941,$P89))</x:f>
        <x:v>Cycle 1</x:v>
      </x:c>
      <x:c r="C89" s="86" t="str">
        <x:f>IF($P89="","",INDEX(Tasks!$C$10:$C$1941,$P89))</x:f>
        <x:v>Phase 1</x:v>
      </x:c>
      <x:c r="D89" s="86" t="str">
        <x:f>IF($P89="","",INDEX(Tasks!$D$10:$D$1941,$P89))</x:f>
        <x:v>PLL</x:v>
      </x:c>
      <x:c r="E89" s="86"/>
      <x:c r="F89" s="86" t="str">
        <x:f>IF($P89="","",INDEX(Tasks!$E$10:$E$1941,$P89))</x:f>
        <x:v>Data &amp; Reporting</x:v>
      </x:c>
      <x:c r="G89" s="86"/>
      <x:c r="H89" s="14" t="str">
        <x:f>IF($P89="","",INDEX(Tasks!$F$10:$F$1941,$P89)&amp;CHAR(10)&amp;INDEX(Tasks!$G$10:$G$1941,$P89))</x:f>
        <x:v>DR.PL.1.3
Extract data for both potential topics, ensuring all checklist items below are included/completed</x:v>
      </x:c>
      <x:c r="I89" s="14"/>
      <x:c r="J89" s="14"/>
      <x:c r="K89" s="14"/>
      <x:c r="L89" s="86" t="str">
        <x:f>IF($P89="","",INDEX(Tasks!$N$10:$N$1941,$P89))</x:f>
        <x:v>Not started</x:v>
      </x:c>
      <x:c r="M89" s="87" t="n">
        <x:f>IF($P89="","",INDEX(Tasks!$J$10:$J$1941,$P89))</x:f>
        <x:v>46112</x:v>
      </x:c>
      <x:c r="N89" s="85" t="str">
        <x:f>IF($P89="","",HYPERLINK("#'"&amp;INDEX(Tasks!$T$10:$T$1941,$P89)&amp;"'!A"&amp;INDEX(Tasks!$U$10:$U$1941,$P89),"Open"))</x:f>
        <x:v>Open</x:v>
      </x:c>
      <x:c r="O89" s="14"/>
      <x:c r="P89" s="14" t="n">
        <x:f>IF(68&gt;$B$10,"",MATCH(68,Tasks!$S$10:$S$1941,0))</x:f>
        <x:v>133</x:v>
      </x:c>
    </x:row>
    <x:row r="90" ht="58" customHeight="1">
      <x:c r="B90" s="86" t="str">
        <x:f>IF($P90="","",INDEX(Tasks!$B$10:$B$1941,$P90))</x:f>
        <x:v>Cycle 1</x:v>
      </x:c>
      <x:c r="C90" s="86" t="str">
        <x:f>IF($P90="","",INDEX(Tasks!$C$10:$C$1941,$P90))</x:f>
        <x:v>Phase 2</x:v>
      </x:c>
      <x:c r="D90" s="86" t="str">
        <x:f>IF($P90="","",INDEX(Tasks!$D$10:$D$1941,$P90))</x:f>
        <x:v>PLL</x:v>
      </x:c>
      <x:c r="E90" s="86"/>
      <x:c r="F90" s="86" t="str">
        <x:f>IF($P90="","",INDEX(Tasks!$E$10:$E$1941,$P90))</x:f>
        <x:v>Data &amp; Reporting</x:v>
      </x:c>
      <x:c r="G90" s="86"/>
      <x:c r="H90" s="14" t="str">
        <x:f>IF($P90="","",INDEX(Tasks!$F$10:$F$1941,$P90)&amp;CHAR(10)&amp;INDEX(Tasks!$G$10:$G$1941,$P90))</x:f>
        <x:v>DR.PL.2.1
Ensure data is clean, structured, and usable without manipulation needed</x:v>
      </x:c>
      <x:c r="I90" s="14"/>
      <x:c r="J90" s="14"/>
      <x:c r="K90" s="14"/>
      <x:c r="L90" s="86" t="str">
        <x:f>IF($P90="","",INDEX(Tasks!$N$10:$N$1941,$P90))</x:f>
        <x:v>Not started</x:v>
      </x:c>
      <x:c r="M90" s="87" t="n">
        <x:f>IF($P90="","",INDEX(Tasks!$J$10:$J$1941,$P90))</x:f>
        <x:v>46112</x:v>
      </x:c>
      <x:c r="N90" s="85" t="str">
        <x:f>IF($P90="","",HYPERLINK("#'"&amp;INDEX(Tasks!$T$10:$T$1941,$P90)&amp;"'!A"&amp;INDEX(Tasks!$U$10:$U$1941,$P90),"Open"))</x:f>
        <x:v>Open</x:v>
      </x:c>
      <x:c r="O90" s="14"/>
      <x:c r="P90" s="14" t="n">
        <x:f>IF(69&gt;$B$10,"",MATCH(69,Tasks!$S$10:$S$1941,0))</x:f>
        <x:v>147</x:v>
      </x:c>
    </x:row>
    <x:row r="91" ht="58" customHeight="1">
      <x:c r="B91" s="86" t="str">
        <x:f>IF($P91="","",INDEX(Tasks!$B$10:$B$1941,$P91))</x:f>
        <x:v>Cycle 1</x:v>
      </x:c>
      <x:c r="C91" s="86" t="str">
        <x:f>IF($P91="","",INDEX(Tasks!$C$10:$C$1941,$P91))</x:f>
        <x:v>Phase 2</x:v>
      </x:c>
      <x:c r="D91" s="86" t="str">
        <x:f>IF($P91="","",INDEX(Tasks!$D$10:$D$1941,$P91))</x:f>
        <x:v>PLL</x:v>
      </x:c>
      <x:c r="E91" s="86"/>
      <x:c r="F91" s="86" t="str">
        <x:f>IF($P91="","",INDEX(Tasks!$E$10:$E$1941,$P91))</x:f>
        <x:v>Data &amp; Reporting</x:v>
      </x:c>
      <x:c r="G91" s="86"/>
      <x:c r="H91" s="14" t="str">
        <x:f>IF($P91="","",INDEX(Tasks!$F$10:$F$1941,$P91)&amp;CHAR(10)&amp;INDEX(Tasks!$G$10:$G$1941,$P91))</x:f>
        <x:v>DR.PL.2.2
Clearly document rationale for each topic recommendation within the SharePoint list</x:v>
      </x:c>
      <x:c r="I91" s="14"/>
      <x:c r="J91" s="14"/>
      <x:c r="K91" s="14"/>
      <x:c r="L91" s="86" t="str">
        <x:f>IF($P91="","",INDEX(Tasks!$N$10:$N$1941,$P91))</x:f>
        <x:v>Not started</x:v>
      </x:c>
      <x:c r="M91" s="87" t="n">
        <x:f>IF($P91="","",INDEX(Tasks!$J$10:$J$1941,$P91))</x:f>
        <x:v>46112</x:v>
      </x:c>
      <x:c r="N91" s="85" t="str">
        <x:f>IF($P91="","",HYPERLINK("#'"&amp;INDEX(Tasks!$T$10:$T$1941,$P91)&amp;"'!A"&amp;INDEX(Tasks!$U$10:$U$1941,$P91),"Open"))</x:f>
        <x:v>Open</x:v>
      </x:c>
      <x:c r="O91" s="14"/>
      <x:c r="P91" s="14" t="n">
        <x:f>IF(70&gt;$B$10,"",MATCH(70,Tasks!$S$10:$S$1941,0))</x:f>
        <x:v>148</x:v>
      </x:c>
    </x:row>
    <x:row r="92" ht="58" customHeight="1">
      <x:c r="B92" s="86" t="str">
        <x:f>IF($P92="","",INDEX(Tasks!$B$10:$B$1941,$P92))</x:f>
        <x:v>Cycle 1</x:v>
      </x:c>
      <x:c r="C92" s="86" t="str">
        <x:f>IF($P92="","",INDEX(Tasks!$C$10:$C$1941,$P92))</x:f>
        <x:v>Phase 2</x:v>
      </x:c>
      <x:c r="D92" s="86" t="str">
        <x:f>IF($P92="","",INDEX(Tasks!$D$10:$D$1941,$P92))</x:f>
        <x:v>PLL</x:v>
      </x:c>
      <x:c r="E92" s="86"/>
      <x:c r="F92" s="86" t="str">
        <x:f>IF($P92="","",INDEX(Tasks!$E$10:$E$1941,$P92))</x:f>
        <x:v>Data &amp; Reporting</x:v>
      </x:c>
      <x:c r="G92" s="86"/>
      <x:c r="H92" s="14" t="str">
        <x:f>IF($P92="","",INDEX(Tasks!$F$10:$F$1941,$P92)&amp;CHAR(10)&amp;INDEX(Tasks!$G$10:$G$1941,$P92))</x:f>
        <x:v>DR.PL.2.3
Verify topic is eligible for RCA and does not conflict with Attorney Client Privilege</x:v>
      </x:c>
      <x:c r="I92" s="14"/>
      <x:c r="J92" s="14"/>
      <x:c r="K92" s="14"/>
      <x:c r="L92" s="86" t="str">
        <x:f>IF($P92="","",INDEX(Tasks!$N$10:$N$1941,$P92))</x:f>
        <x:v>Not started</x:v>
      </x:c>
      <x:c r="M92" s="87" t="n">
        <x:f>IF($P92="","",INDEX(Tasks!$J$10:$J$1941,$P92))</x:f>
        <x:v>46112</x:v>
      </x:c>
      <x:c r="N92" s="85" t="str">
        <x:f>IF($P92="","",HYPERLINK("#'"&amp;INDEX(Tasks!$T$10:$T$1941,$P92)&amp;"'!A"&amp;INDEX(Tasks!$U$10:$U$1941,$P92),"Open"))</x:f>
        <x:v>Open</x:v>
      </x:c>
      <x:c r="O92" s="14"/>
      <x:c r="P92" s="14" t="n">
        <x:f>IF(71&gt;$B$10,"",MATCH(71,Tasks!$S$10:$S$1941,0))</x:f>
        <x:v>149</x:v>
      </x:c>
    </x:row>
    <x:row r="93" ht="58" customHeight="1">
      <x:c r="B93" s="86" t="str">
        <x:f>IF($P93="","",INDEX(Tasks!$B$10:$B$1941,$P93))</x:f>
        <x:v>Cycle 1</x:v>
      </x:c>
      <x:c r="C93" s="86" t="str">
        <x:f>IF($P93="","",INDEX(Tasks!$C$10:$C$1941,$P93))</x:f>
        <x:v>Phase 2</x:v>
      </x:c>
      <x:c r="D93" s="86" t="str">
        <x:f>IF($P93="","",INDEX(Tasks!$D$10:$D$1941,$P93))</x:f>
        <x:v>PLL</x:v>
      </x:c>
      <x:c r="E93" s="86"/>
      <x:c r="F93" s="86" t="str">
        <x:f>IF($P93="","",INDEX(Tasks!$E$10:$E$1941,$P93))</x:f>
        <x:v>Data &amp; Reporting</x:v>
      </x:c>
      <x:c r="G93" s="86"/>
      <x:c r="H93" s="14" t="str">
        <x:f>IF($P93="","",INDEX(Tasks!$F$10:$F$1941,$P93)&amp;CHAR(10)&amp;INDEX(Tasks!$G$10:$G$1941,$P93))</x:f>
        <x:v>DR.PL.2.4
Ensure data is free of errors and anomalies prior to hand-off to Research</x:v>
      </x:c>
      <x:c r="I93" s="14"/>
      <x:c r="J93" s="14"/>
      <x:c r="K93" s="14"/>
      <x:c r="L93" s="86" t="str">
        <x:f>IF($P93="","",INDEX(Tasks!$N$10:$N$1941,$P93))</x:f>
        <x:v>Not started</x:v>
      </x:c>
      <x:c r="M93" s="87" t="n">
        <x:f>IF($P93="","",INDEX(Tasks!$J$10:$J$1941,$P93))</x:f>
        <x:v>46112</x:v>
      </x:c>
      <x:c r="N93" s="85" t="str">
        <x:f>IF($P93="","",HYPERLINK("#'"&amp;INDEX(Tasks!$T$10:$T$1941,$P93)&amp;"'!A"&amp;INDEX(Tasks!$U$10:$U$1941,$P93),"Open"))</x:f>
        <x:v>Open</x:v>
      </x:c>
      <x:c r="O93" s="14"/>
      <x:c r="P93" s="14" t="n">
        <x:f>IF(72&gt;$B$10,"",MATCH(72,Tasks!$S$10:$S$1941,0))</x:f>
        <x:v>150</x:v>
      </x:c>
    </x:row>
    <x:row r="94" ht="58" customHeight="1">
      <x:c r="B94" s="86" t="str">
        <x:f>IF($P94="","",INDEX(Tasks!$B$10:$B$1941,$P94))</x:f>
        <x:v>Cycle 1</x:v>
      </x:c>
      <x:c r="C94" s="86" t="str">
        <x:f>IF($P94="","",INDEX(Tasks!$C$10:$C$1941,$P94))</x:f>
        <x:v>Phase 2</x:v>
      </x:c>
      <x:c r="D94" s="86" t="str">
        <x:f>IF($P94="","",INDEX(Tasks!$D$10:$D$1941,$P94))</x:f>
        <x:v>PLL</x:v>
      </x:c>
      <x:c r="E94" s="86"/>
      <x:c r="F94" s="86" t="str">
        <x:f>IF($P94="","",INDEX(Tasks!$E$10:$E$1941,$P94))</x:f>
        <x:v>Data &amp; Reporting</x:v>
      </x:c>
      <x:c r="G94" s="86"/>
      <x:c r="H94" s="14" t="str">
        <x:f>IF($P94="","",INDEX(Tasks!$F$10:$F$1941,$P94)&amp;CHAR(10)&amp;INDEX(Tasks!$G$10:$G$1941,$P94))</x:f>
        <x:v>DR.PL.2.5
Ensure topic is not a duplicate from a previous Cycle</x:v>
      </x:c>
      <x:c r="I94" s="14"/>
      <x:c r="J94" s="14"/>
      <x:c r="K94" s="14"/>
      <x:c r="L94" s="86" t="str">
        <x:f>IF($P94="","",INDEX(Tasks!$N$10:$N$1941,$P94))</x:f>
        <x:v>Not started</x:v>
      </x:c>
      <x:c r="M94" s="87" t="n">
        <x:f>IF($P94="","",INDEX(Tasks!$J$10:$J$1941,$P94))</x:f>
        <x:v>46112</x:v>
      </x:c>
      <x:c r="N94" s="85" t="str">
        <x:f>IF($P94="","",HYPERLINK("#'"&amp;INDEX(Tasks!$T$10:$T$1941,$P94)&amp;"'!A"&amp;INDEX(Tasks!$U$10:$U$1941,$P94),"Open"))</x:f>
        <x:v>Open</x:v>
      </x:c>
      <x:c r="O94" s="14"/>
      <x:c r="P94" s="14" t="n">
        <x:f>IF(73&gt;$B$10,"",MATCH(73,Tasks!$S$10:$S$1941,0))</x:f>
        <x:v>151</x:v>
      </x:c>
    </x:row>
    <x:row r="95" ht="58" customHeight="1">
      <x:c r="B95" s="86" t="str">
        <x:f>IF($P95="","",INDEX(Tasks!$B$10:$B$1941,$P95))</x:f>
        <x:v>Cycle 1</x:v>
      </x:c>
      <x:c r="C95" s="86" t="str">
        <x:f>IF($P95="","",INDEX(Tasks!$C$10:$C$1941,$P95))</x:f>
        <x:v>Phase 2</x:v>
      </x:c>
      <x:c r="D95" s="86" t="str">
        <x:f>IF($P95="","",INDEX(Tasks!$D$10:$D$1941,$P95))</x:f>
        <x:v>PLL</x:v>
      </x:c>
      <x:c r="E95" s="86"/>
      <x:c r="F95" s="86" t="str">
        <x:f>IF($P95="","",INDEX(Tasks!$E$10:$E$1941,$P95))</x:f>
        <x:v>Data &amp; Reporting</x:v>
      </x:c>
      <x:c r="G95" s="86"/>
      <x:c r="H95" s="14" t="str">
        <x:f>IF($P95="","",INDEX(Tasks!$F$10:$F$1941,$P95)&amp;CHAR(10)&amp;INDEX(Tasks!$G$10:$G$1941,$P95))</x:f>
        <x:v>DR.PL.2.6
Document clear distinctions between facts, assumptions, and hypotheses within the data package</x:v>
      </x:c>
      <x:c r="I95" s="14"/>
      <x:c r="J95" s="14"/>
      <x:c r="K95" s="14"/>
      <x:c r="L95" s="86" t="str">
        <x:f>IF($P95="","",INDEX(Tasks!$N$10:$N$1941,$P95))</x:f>
        <x:v>Not started</x:v>
      </x:c>
      <x:c r="M95" s="87" t="n">
        <x:f>IF($P95="","",INDEX(Tasks!$J$10:$J$1941,$P95))</x:f>
        <x:v>46112</x:v>
      </x:c>
      <x:c r="N95" s="85" t="str">
        <x:f>IF($P95="","",HYPERLINK("#'"&amp;INDEX(Tasks!$T$10:$T$1941,$P95)&amp;"'!A"&amp;INDEX(Tasks!$U$10:$U$1941,$P95),"Open"))</x:f>
        <x:v>Open</x:v>
      </x:c>
      <x:c r="O95" s="14"/>
      <x:c r="P95" s="14" t="n">
        <x:f>IF(74&gt;$B$10,"",MATCH(74,Tasks!$S$10:$S$1941,0))</x:f>
        <x:v>152</x:v>
      </x:c>
    </x:row>
    <x:row r="96" ht="58" customHeight="1">
      <x:c r="B96" s="86" t="str">
        <x:f>IF($P96="","",INDEX(Tasks!$B$10:$B$1941,$P96))</x:f>
        <x:v>Cycle 1</x:v>
      </x:c>
      <x:c r="C96" s="86" t="str">
        <x:f>IF($P96="","",INDEX(Tasks!$C$10:$C$1941,$P96))</x:f>
        <x:v>Phase 3</x:v>
      </x:c>
      <x:c r="D96" s="86" t="str">
        <x:f>IF($P96="","",INDEX(Tasks!$D$10:$D$1941,$P96))</x:f>
        <x:v>PLL</x:v>
      </x:c>
      <x:c r="E96" s="86"/>
      <x:c r="F96" s="86" t="str">
        <x:f>IF($P96="","",INDEX(Tasks!$E$10:$E$1941,$P96))</x:f>
        <x:v>Data &amp; Reporting</x:v>
      </x:c>
      <x:c r="G96" s="86"/>
      <x:c r="H96" s="14" t="str">
        <x:f>IF($P96="","",INDEX(Tasks!$F$10:$F$1941,$P96)&amp;CHAR(10)&amp;INDEX(Tasks!$G$10:$G$1941,$P96))</x:f>
        <x:v>DR.PL.3.1
Clearly document rationale for each topic recommendation within the SharePoint list item</x:v>
      </x:c>
      <x:c r="I96" s="14"/>
      <x:c r="J96" s="14"/>
      <x:c r="K96" s="14"/>
      <x:c r="L96" s="86" t="str">
        <x:f>IF($P96="","",INDEX(Tasks!$N$10:$N$1941,$P96))</x:f>
        <x:v>Not started</x:v>
      </x:c>
      <x:c r="M96" s="87" t="n">
        <x:f>IF($P96="","",INDEX(Tasks!$J$10:$J$1941,$P96))</x:f>
        <x:v>46112</x:v>
      </x:c>
      <x:c r="N96" s="85" t="str">
        <x:f>IF($P96="","",HYPERLINK("#'"&amp;INDEX(Tasks!$T$10:$T$1941,$P96)&amp;"'!A"&amp;INDEX(Tasks!$U$10:$U$1941,$P96),"Open"))</x:f>
        <x:v>Open</x:v>
      </x:c>
      <x:c r="O96" s="14"/>
      <x:c r="P96" s="14" t="n">
        <x:f>IF(75&gt;$B$10,"",MATCH(75,Tasks!$S$10:$S$1941,0))</x:f>
        <x:v>153</x:v>
      </x:c>
    </x:row>
    <x:row r="97" ht="58" customHeight="1">
      <x:c r="B97" s="86" t="str">
        <x:f>IF($P97="","",INDEX(Tasks!$B$10:$B$1941,$P97))</x:f>
        <x:v>Cycle 1</x:v>
      </x:c>
      <x:c r="C97" s="86" t="str">
        <x:f>IF($P97="","",INDEX(Tasks!$C$10:$C$1941,$P97))</x:f>
        <x:v>Phase 3</x:v>
      </x:c>
      <x:c r="D97" s="86" t="str">
        <x:f>IF($P97="","",INDEX(Tasks!$D$10:$D$1941,$P97))</x:f>
        <x:v>PLL</x:v>
      </x:c>
      <x:c r="E97" s="86"/>
      <x:c r="F97" s="86" t="str">
        <x:f>IF($P97="","",INDEX(Tasks!$E$10:$E$1941,$P97))</x:f>
        <x:v>Data &amp; Reporting</x:v>
      </x:c>
      <x:c r="G97" s="86"/>
      <x:c r="H97" s="14" t="str">
        <x:f>IF($P97="","",INDEX(Tasks!$F$10:$F$1941,$P97)&amp;CHAR(10)&amp;INDEX(Tasks!$G$10:$G$1941,$P97))</x:f>
        <x:v>DR.PL.3.2
Attach the data package for each topic recommendation within the SharePoint list item</x:v>
      </x:c>
      <x:c r="I97" s="14"/>
      <x:c r="J97" s="14"/>
      <x:c r="K97" s="14"/>
      <x:c r="L97" s="86" t="str">
        <x:f>IF($P97="","",INDEX(Tasks!$N$10:$N$1941,$P97))</x:f>
        <x:v>Not started</x:v>
      </x:c>
      <x:c r="M97" s="87" t="n">
        <x:f>IF($P97="","",INDEX(Tasks!$J$10:$J$1941,$P97))</x:f>
        <x:v>46112</x:v>
      </x:c>
      <x:c r="N97" s="85" t="str">
        <x:f>IF($P97="","",HYPERLINK("#'"&amp;INDEX(Tasks!$T$10:$T$1941,$P97)&amp;"'!A"&amp;INDEX(Tasks!$U$10:$U$1941,$P97),"Open"))</x:f>
        <x:v>Open</x:v>
      </x:c>
      <x:c r="O97" s="14"/>
      <x:c r="P97" s="14" t="n">
        <x:f>IF(76&gt;$B$10,"",MATCH(76,Tasks!$S$10:$S$1941,0))</x:f>
        <x:v>154</x:v>
      </x:c>
    </x:row>
    <x:row r="98" ht="58" customHeight="1">
      <x:c r="B98" s="86" t="str">
        <x:f>IF($P98="","",INDEX(Tasks!$B$10:$B$1941,$P98))</x:f>
        <x:v>Cycle 1</x:v>
      </x:c>
      <x:c r="C98" s="86" t="str">
        <x:f>IF($P98="","",INDEX(Tasks!$C$10:$C$1941,$P98))</x:f>
        <x:v>Phase 3</x:v>
      </x:c>
      <x:c r="D98" s="86" t="str">
        <x:f>IF($P98="","",INDEX(Tasks!$D$10:$D$1941,$P98))</x:f>
        <x:v>PLL</x:v>
      </x:c>
      <x:c r="E98" s="86"/>
      <x:c r="F98" s="86" t="str">
        <x:f>IF($P98="","",INDEX(Tasks!$E$10:$E$1941,$P98))</x:f>
        <x:v>Data &amp; Reporting</x:v>
      </x:c>
      <x:c r="G98" s="86"/>
      <x:c r="H98" s="14" t="str">
        <x:f>IF($P98="","",INDEX(Tasks!$F$10:$F$1941,$P98)&amp;CHAR(10)&amp;INDEX(Tasks!$G$10:$G$1941,$P98))</x:f>
        <x:v>DR.PL.3.3
Confirm data privileges have been granted, ensuring each pillar can access</x:v>
      </x:c>
      <x:c r="I98" s="14"/>
      <x:c r="J98" s="14"/>
      <x:c r="K98" s="14"/>
      <x:c r="L98" s="86" t="str">
        <x:f>IF($P98="","",INDEX(Tasks!$N$10:$N$1941,$P98))</x:f>
        <x:v>Not started</x:v>
      </x:c>
      <x:c r="M98" s="87" t="n">
        <x:f>IF($P98="","",INDEX(Tasks!$J$10:$J$1941,$P98))</x:f>
        <x:v>46112</x:v>
      </x:c>
      <x:c r="N98" s="85" t="str">
        <x:f>IF($P98="","",HYPERLINK("#'"&amp;INDEX(Tasks!$T$10:$T$1941,$P98)&amp;"'!A"&amp;INDEX(Tasks!$U$10:$U$1941,$P98),"Open"))</x:f>
        <x:v>Open</x:v>
      </x:c>
      <x:c r="O98" s="14"/>
      <x:c r="P98" s="14" t="n">
        <x:f>IF(77&gt;$B$10,"",MATCH(77,Tasks!$S$10:$S$1941,0))</x:f>
        <x:v>155</x:v>
      </x:c>
    </x:row>
    <x:row r="99" ht="58" customHeight="1">
      <x:c r="B99" s="86" t="str">
        <x:f>IF($P99="","",INDEX(Tasks!$B$10:$B$1941,$P99))</x:f>
        <x:v>Cycle 1</x:v>
      </x:c>
      <x:c r="C99" s="86" t="str">
        <x:f>IF($P99="","",INDEX(Tasks!$C$10:$C$1941,$P99))</x:f>
        <x:v>Phase 3</x:v>
      </x:c>
      <x:c r="D99" s="86" t="str">
        <x:f>IF($P99="","",INDEX(Tasks!$D$10:$D$1941,$P99))</x:f>
        <x:v>PLL</x:v>
      </x:c>
      <x:c r="E99" s="86"/>
      <x:c r="F99" s="86" t="str">
        <x:f>IF($P99="","",INDEX(Tasks!$E$10:$E$1941,$P99))</x:f>
        <x:v>Data &amp; Reporting</x:v>
      </x:c>
      <x:c r="G99" s="86"/>
      <x:c r="H99" s="14" t="str">
        <x:f>IF($P99="","",INDEX(Tasks!$F$10:$F$1941,$P99)&amp;CHAR(10)&amp;INDEX(Tasks!$G$10:$G$1941,$P99))</x:f>
        <x:v>DR.PL.3.4
Ensure Power Automate notifications were correctly triggered within Microsoft Teams</x:v>
      </x:c>
      <x:c r="I99" s="14"/>
      <x:c r="J99" s="14"/>
      <x:c r="K99" s="14"/>
      <x:c r="L99" s="86" t="str">
        <x:f>IF($P99="","",INDEX(Tasks!$N$10:$N$1941,$P99))</x:f>
        <x:v>Not started</x:v>
      </x:c>
      <x:c r="M99" s="87" t="n">
        <x:f>IF($P99="","",INDEX(Tasks!$J$10:$J$1941,$P99))</x:f>
        <x:v>46112</x:v>
      </x:c>
      <x:c r="N99" s="85" t="str">
        <x:f>IF($P99="","",HYPERLINK("#'"&amp;INDEX(Tasks!$T$10:$T$1941,$P99)&amp;"'!A"&amp;INDEX(Tasks!$U$10:$U$1941,$P99),"Open"))</x:f>
        <x:v>Open</x:v>
      </x:c>
      <x:c r="O99" s="14"/>
      <x:c r="P99" s="14" t="n">
        <x:f>IF(78&gt;$B$10,"",MATCH(78,Tasks!$S$10:$S$1941,0))</x:f>
        <x:v>156</x:v>
      </x:c>
    </x:row>
    <x:row r="100" ht="58" customHeight="1">
      <x:c r="B100" s="86" t="str">
        <x:f>IF($P100="","",INDEX(Tasks!$B$10:$B$1941,$P100))</x:f>
        <x:v>Cycle 1</x:v>
      </x:c>
      <x:c r="C100" s="86" t="str">
        <x:f>IF($P100="","",INDEX(Tasks!$C$10:$C$1941,$P100))</x:f>
        <x:v>Phase 1</x:v>
      </x:c>
      <x:c r="D100" s="86" t="str">
        <x:f>IF($P100="","",INDEX(Tasks!$D$10:$D$1941,$P100))</x:f>
        <x:v>Retail Services</x:v>
      </x:c>
      <x:c r="E100" s="86"/>
      <x:c r="F100" s="86" t="str">
        <x:f>IF($P100="","",INDEX(Tasks!$E$10:$E$1941,$P100))</x:f>
        <x:v>Data &amp; Reporting</x:v>
      </x:c>
      <x:c r="G100" s="86"/>
      <x:c r="H100" s="14" t="str">
        <x:f>IF($P100="","",INDEX(Tasks!$F$10:$F$1941,$P100)&amp;CHAR(10)&amp;INDEX(Tasks!$G$10:$G$1941,$P100))</x:f>
        <x:v>DR.RS.1.1
Review data sources 3 weeks prior to Cycle start (Complaints, Gen AI, Loudspeaker, NPS, etc.)</x:v>
      </x:c>
      <x:c r="I100" s="14"/>
      <x:c r="J100" s="14"/>
      <x:c r="K100" s="14"/>
      <x:c r="L100" s="86" t="str">
        <x:f>IF($P100="","",INDEX(Tasks!$N$10:$N$1941,$P100))</x:f>
        <x:v>Not started</x:v>
      </x:c>
      <x:c r="M100" s="87" t="n">
        <x:f>IF($P100="","",INDEX(Tasks!$J$10:$J$1941,$P100))</x:f>
        <x:v>46002</x:v>
      </x:c>
      <x:c r="N100" s="85" t="str">
        <x:f>IF($P100="","",HYPERLINK("#'"&amp;INDEX(Tasks!$T$10:$T$1941,$P100)&amp;"'!A"&amp;INDEX(Tasks!$U$10:$U$1941,$P100),"Open"))</x:f>
        <x:v>Open</x:v>
      </x:c>
      <x:c r="O100" s="14"/>
      <x:c r="P100" s="14" t="n">
        <x:f>IF(79&gt;$B$10,"",MATCH(79,Tasks!$S$10:$S$1941,0))</x:f>
        <x:v>157</x:v>
      </x:c>
    </x:row>
    <x:row r="101" ht="58" customHeight="1">
      <x:c r="B101" s="86" t="str">
        <x:f>IF($P101="","",INDEX(Tasks!$B$10:$B$1941,$P101))</x:f>
        <x:v>Cycle 1</x:v>
      </x:c>
      <x:c r="C101" s="86" t="str">
        <x:f>IF($P101="","",INDEX(Tasks!$C$10:$C$1941,$P101))</x:f>
        <x:v>Phase 1</x:v>
      </x:c>
      <x:c r="D101" s="86" t="str">
        <x:f>IF($P101="","",INDEX(Tasks!$D$10:$D$1941,$P101))</x:f>
        <x:v>Retail Services</x:v>
      </x:c>
      <x:c r="E101" s="86"/>
      <x:c r="F101" s="86" t="str">
        <x:f>IF($P101="","",INDEX(Tasks!$E$10:$E$1941,$P101))</x:f>
        <x:v>Data &amp; Reporting</x:v>
      </x:c>
      <x:c r="G101" s="86"/>
      <x:c r="H101" s="14" t="str">
        <x:f>IF($P101="","",INDEX(Tasks!$F$10:$F$1941,$P101)&amp;CHAR(10)&amp;INDEX(Tasks!$G$10:$G$1941,$P101))</x:f>
        <x:v>DR.RS.1.2
Identify two potential topics for the upcoming Cycle</x:v>
      </x:c>
      <x:c r="I101" s="14"/>
      <x:c r="J101" s="14"/>
      <x:c r="K101" s="14"/>
      <x:c r="L101" s="86" t="str">
        <x:f>IF($P101="","",INDEX(Tasks!$N$10:$N$1941,$P101))</x:f>
        <x:v>Not started</x:v>
      </x:c>
      <x:c r="M101" s="87" t="n">
        <x:f>IF($P101="","",INDEX(Tasks!$J$10:$J$1941,$P101))</x:f>
        <x:v>46112</x:v>
      </x:c>
      <x:c r="N101" s="85" t="str">
        <x:f>IF($P101="","",HYPERLINK("#'"&amp;INDEX(Tasks!$T$10:$T$1941,$P101)&amp;"'!A"&amp;INDEX(Tasks!$U$10:$U$1941,$P101),"Open"))</x:f>
        <x:v>Open</x:v>
      </x:c>
      <x:c r="O101" s="14"/>
      <x:c r="P101" s="14" t="n">
        <x:f>IF(80&gt;$B$10,"",MATCH(80,Tasks!$S$10:$S$1941,0))</x:f>
        <x:v>158</x:v>
      </x:c>
    </x:row>
    <x:row r="102" ht="58" customHeight="1">
      <x:c r="B102" s="86" t="str">
        <x:f>IF($P102="","",INDEX(Tasks!$B$10:$B$1941,$P102))</x:f>
        <x:v>Cycle 1</x:v>
      </x:c>
      <x:c r="C102" s="86" t="str">
        <x:f>IF($P102="","",INDEX(Tasks!$C$10:$C$1941,$P102))</x:f>
        <x:v>Phase 1</x:v>
      </x:c>
      <x:c r="D102" s="86" t="str">
        <x:f>IF($P102="","",INDEX(Tasks!$D$10:$D$1941,$P102))</x:f>
        <x:v>Retail Services</x:v>
      </x:c>
      <x:c r="E102" s="86"/>
      <x:c r="F102" s="86" t="str">
        <x:f>IF($P102="","",INDEX(Tasks!$E$10:$E$1941,$P102))</x:f>
        <x:v>Data &amp; Reporting</x:v>
      </x:c>
      <x:c r="G102" s="86"/>
      <x:c r="H102" s="14" t="str">
        <x:f>IF($P102="","",INDEX(Tasks!$F$10:$F$1941,$P102)&amp;CHAR(10)&amp;INDEX(Tasks!$G$10:$G$1941,$P102))</x:f>
        <x:v>DR.RS.1.3
Extract data for both potential topics, ensuring all checklist items below are included/completed</x:v>
      </x:c>
      <x:c r="I102" s="14"/>
      <x:c r="J102" s="14"/>
      <x:c r="K102" s="14"/>
      <x:c r="L102" s="86" t="str">
        <x:f>IF($P102="","",INDEX(Tasks!$N$10:$N$1941,$P102))</x:f>
        <x:v>Not started</x:v>
      </x:c>
      <x:c r="M102" s="87" t="n">
        <x:f>IF($P102="","",INDEX(Tasks!$J$10:$J$1941,$P102))</x:f>
        <x:v>46112</x:v>
      </x:c>
      <x:c r="N102" s="85" t="str">
        <x:f>IF($P102="","",HYPERLINK("#'"&amp;INDEX(Tasks!$T$10:$T$1941,$P102)&amp;"'!A"&amp;INDEX(Tasks!$U$10:$U$1941,$P102),"Open"))</x:f>
        <x:v>Open</x:v>
      </x:c>
      <x:c r="O102" s="14"/>
      <x:c r="P102" s="14" t="n">
        <x:f>IF(81&gt;$B$10,"",MATCH(81,Tasks!$S$10:$S$1941,0))</x:f>
        <x:v>159</x:v>
      </x:c>
    </x:row>
    <x:row r="103" ht="58" customHeight="1">
      <x:c r="B103" s="86" t="str">
        <x:f>IF($P103="","",INDEX(Tasks!$B$10:$B$1941,$P103))</x:f>
        <x:v>Cycle 1</x:v>
      </x:c>
      <x:c r="C103" s="86" t="str">
        <x:f>IF($P103="","",INDEX(Tasks!$C$10:$C$1941,$P103))</x:f>
        <x:v>Phase 2</x:v>
      </x:c>
      <x:c r="D103" s="86" t="str">
        <x:f>IF($P103="","",INDEX(Tasks!$D$10:$D$1941,$P103))</x:f>
        <x:v>Retail Services</x:v>
      </x:c>
      <x:c r="E103" s="86"/>
      <x:c r="F103" s="86" t="str">
        <x:f>IF($P103="","",INDEX(Tasks!$E$10:$E$1941,$P103))</x:f>
        <x:v>Data &amp; Reporting</x:v>
      </x:c>
      <x:c r="G103" s="86"/>
      <x:c r="H103" s="14" t="str">
        <x:f>IF($P103="","",INDEX(Tasks!$F$10:$F$1941,$P103)&amp;CHAR(10)&amp;INDEX(Tasks!$G$10:$G$1941,$P103))</x:f>
        <x:v>DR.RS.2.1
Ensure data is clean, structured, and usable without manipulation needed</x:v>
      </x:c>
      <x:c r="I103" s="14"/>
      <x:c r="J103" s="14"/>
      <x:c r="K103" s="14"/>
      <x:c r="L103" s="86" t="str">
        <x:f>IF($P103="","",INDEX(Tasks!$N$10:$N$1941,$P103))</x:f>
        <x:v>Not started</x:v>
      </x:c>
      <x:c r="M103" s="87" t="n">
        <x:f>IF($P103="","",INDEX(Tasks!$J$10:$J$1941,$P103))</x:f>
        <x:v>46112</x:v>
      </x:c>
      <x:c r="N103" s="85" t="str">
        <x:f>IF($P103="","",HYPERLINK("#'"&amp;INDEX(Tasks!$T$10:$T$1941,$P103)&amp;"'!A"&amp;INDEX(Tasks!$U$10:$U$1941,$P103),"Open"))</x:f>
        <x:v>Open</x:v>
      </x:c>
      <x:c r="O103" s="14"/>
      <x:c r="P103" s="14" t="n">
        <x:f>IF(82&gt;$B$10,"",MATCH(82,Tasks!$S$10:$S$1941,0))</x:f>
        <x:v>173</x:v>
      </x:c>
    </x:row>
    <x:row r="104" ht="58" customHeight="1">
      <x:c r="B104" s="86" t="str">
        <x:f>IF($P104="","",INDEX(Tasks!$B$10:$B$1941,$P104))</x:f>
        <x:v>Cycle 1</x:v>
      </x:c>
      <x:c r="C104" s="86" t="str">
        <x:f>IF($P104="","",INDEX(Tasks!$C$10:$C$1941,$P104))</x:f>
        <x:v>Phase 2</x:v>
      </x:c>
      <x:c r="D104" s="86" t="str">
        <x:f>IF($P104="","",INDEX(Tasks!$D$10:$D$1941,$P104))</x:f>
        <x:v>Retail Services</x:v>
      </x:c>
      <x:c r="E104" s="86"/>
      <x:c r="F104" s="86" t="str">
        <x:f>IF($P104="","",INDEX(Tasks!$E$10:$E$1941,$P104))</x:f>
        <x:v>Data &amp; Reporting</x:v>
      </x:c>
      <x:c r="G104" s="86"/>
      <x:c r="H104" s="14" t="str">
        <x:f>IF($P104="","",INDEX(Tasks!$F$10:$F$1941,$P104)&amp;CHAR(10)&amp;INDEX(Tasks!$G$10:$G$1941,$P104))</x:f>
        <x:v>DR.RS.2.2
Clearly document rationale for each topic recommendation within the SharePoint list</x:v>
      </x:c>
      <x:c r="I104" s="14"/>
      <x:c r="J104" s="14"/>
      <x:c r="K104" s="14"/>
      <x:c r="L104" s="86" t="str">
        <x:f>IF($P104="","",INDEX(Tasks!$N$10:$N$1941,$P104))</x:f>
        <x:v>Not started</x:v>
      </x:c>
      <x:c r="M104" s="87" t="n">
        <x:f>IF($P104="","",INDEX(Tasks!$J$10:$J$1941,$P104))</x:f>
        <x:v>46112</x:v>
      </x:c>
      <x:c r="N104" s="85" t="str">
        <x:f>IF($P104="","",HYPERLINK("#'"&amp;INDEX(Tasks!$T$10:$T$1941,$P104)&amp;"'!A"&amp;INDEX(Tasks!$U$10:$U$1941,$P104),"Open"))</x:f>
        <x:v>Open</x:v>
      </x:c>
      <x:c r="O104" s="14"/>
      <x:c r="P104" s="14" t="n">
        <x:f>IF(83&gt;$B$10,"",MATCH(83,Tasks!$S$10:$S$1941,0))</x:f>
        <x:v>174</x:v>
      </x:c>
    </x:row>
    <x:row r="105" ht="58" customHeight="1">
      <x:c r="B105" s="86" t="str">
        <x:f>IF($P105="","",INDEX(Tasks!$B$10:$B$1941,$P105))</x:f>
        <x:v>Cycle 1</x:v>
      </x:c>
      <x:c r="C105" s="86" t="str">
        <x:f>IF($P105="","",INDEX(Tasks!$C$10:$C$1941,$P105))</x:f>
        <x:v>Phase 2</x:v>
      </x:c>
      <x:c r="D105" s="86" t="str">
        <x:f>IF($P105="","",INDEX(Tasks!$D$10:$D$1941,$P105))</x:f>
        <x:v>Retail Services</x:v>
      </x:c>
      <x:c r="E105" s="86"/>
      <x:c r="F105" s="86" t="str">
        <x:f>IF($P105="","",INDEX(Tasks!$E$10:$E$1941,$P105))</x:f>
        <x:v>Data &amp; Reporting</x:v>
      </x:c>
      <x:c r="G105" s="86"/>
      <x:c r="H105" s="14" t="str">
        <x:f>IF($P105="","",INDEX(Tasks!$F$10:$F$1941,$P105)&amp;CHAR(10)&amp;INDEX(Tasks!$G$10:$G$1941,$P105))</x:f>
        <x:v>DR.RS.2.3
Verify topic is eligible for RCA and does not conflict with Attorney Client Privilege</x:v>
      </x:c>
      <x:c r="I105" s="14"/>
      <x:c r="J105" s="14"/>
      <x:c r="K105" s="14"/>
      <x:c r="L105" s="86" t="str">
        <x:f>IF($P105="","",INDEX(Tasks!$N$10:$N$1941,$P105))</x:f>
        <x:v>Not started</x:v>
      </x:c>
      <x:c r="M105" s="87" t="n">
        <x:f>IF($P105="","",INDEX(Tasks!$J$10:$J$1941,$P105))</x:f>
        <x:v>46112</x:v>
      </x:c>
      <x:c r="N105" s="85" t="str">
        <x:f>IF($P105="","",HYPERLINK("#'"&amp;INDEX(Tasks!$T$10:$T$1941,$P105)&amp;"'!A"&amp;INDEX(Tasks!$U$10:$U$1941,$P105),"Open"))</x:f>
        <x:v>Open</x:v>
      </x:c>
      <x:c r="O105" s="14"/>
      <x:c r="P105" s="14" t="n">
        <x:f>IF(84&gt;$B$10,"",MATCH(84,Tasks!$S$10:$S$1941,0))</x:f>
        <x:v>175</x:v>
      </x:c>
    </x:row>
    <x:row r="106" ht="58" customHeight="1">
      <x:c r="B106" s="86" t="str">
        <x:f>IF($P106="","",INDEX(Tasks!$B$10:$B$1941,$P106))</x:f>
        <x:v>Cycle 1</x:v>
      </x:c>
      <x:c r="C106" s="86" t="str">
        <x:f>IF($P106="","",INDEX(Tasks!$C$10:$C$1941,$P106))</x:f>
        <x:v>Phase 2</x:v>
      </x:c>
      <x:c r="D106" s="86" t="str">
        <x:f>IF($P106="","",INDEX(Tasks!$D$10:$D$1941,$P106))</x:f>
        <x:v>Retail Services</x:v>
      </x:c>
      <x:c r="E106" s="86"/>
      <x:c r="F106" s="86" t="str">
        <x:f>IF($P106="","",INDEX(Tasks!$E$10:$E$1941,$P106))</x:f>
        <x:v>Data &amp; Reporting</x:v>
      </x:c>
      <x:c r="G106" s="86"/>
      <x:c r="H106" s="14" t="str">
        <x:f>IF($P106="","",INDEX(Tasks!$F$10:$F$1941,$P106)&amp;CHAR(10)&amp;INDEX(Tasks!$G$10:$G$1941,$P106))</x:f>
        <x:v>DR.RS.2.4
Ensure data is free of errors and anomalies prior to hand-off to Research</x:v>
      </x:c>
      <x:c r="I106" s="14"/>
      <x:c r="J106" s="14"/>
      <x:c r="K106" s="14"/>
      <x:c r="L106" s="86" t="str">
        <x:f>IF($P106="","",INDEX(Tasks!$N$10:$N$1941,$P106))</x:f>
        <x:v>Not started</x:v>
      </x:c>
      <x:c r="M106" s="87" t="n">
        <x:f>IF($P106="","",INDEX(Tasks!$J$10:$J$1941,$P106))</x:f>
        <x:v>46112</x:v>
      </x:c>
      <x:c r="N106" s="85" t="str">
        <x:f>IF($P106="","",HYPERLINK("#'"&amp;INDEX(Tasks!$T$10:$T$1941,$P106)&amp;"'!A"&amp;INDEX(Tasks!$U$10:$U$1941,$P106),"Open"))</x:f>
        <x:v>Open</x:v>
      </x:c>
      <x:c r="O106" s="14"/>
      <x:c r="P106" s="14" t="n">
        <x:f>IF(85&gt;$B$10,"",MATCH(85,Tasks!$S$10:$S$1941,0))</x:f>
        <x:v>176</x:v>
      </x:c>
    </x:row>
    <x:row r="107" ht="58" customHeight="1">
      <x:c r="B107" s="86" t="str">
        <x:f>IF($P107="","",INDEX(Tasks!$B$10:$B$1941,$P107))</x:f>
        <x:v>Cycle 1</x:v>
      </x:c>
      <x:c r="C107" s="86" t="str">
        <x:f>IF($P107="","",INDEX(Tasks!$C$10:$C$1941,$P107))</x:f>
        <x:v>Phase 2</x:v>
      </x:c>
      <x:c r="D107" s="86" t="str">
        <x:f>IF($P107="","",INDEX(Tasks!$D$10:$D$1941,$P107))</x:f>
        <x:v>Retail Services</x:v>
      </x:c>
      <x:c r="E107" s="86"/>
      <x:c r="F107" s="86" t="str">
        <x:f>IF($P107="","",INDEX(Tasks!$E$10:$E$1941,$P107))</x:f>
        <x:v>Data &amp; Reporting</x:v>
      </x:c>
      <x:c r="G107" s="86"/>
      <x:c r="H107" s="14" t="str">
        <x:f>IF($P107="","",INDEX(Tasks!$F$10:$F$1941,$P107)&amp;CHAR(10)&amp;INDEX(Tasks!$G$10:$G$1941,$P107))</x:f>
        <x:v>DR.RS.2.5
Ensure topic is not a duplicate from a previous Cycle</x:v>
      </x:c>
      <x:c r="I107" s="14"/>
      <x:c r="J107" s="14"/>
      <x:c r="K107" s="14"/>
      <x:c r="L107" s="86" t="str">
        <x:f>IF($P107="","",INDEX(Tasks!$N$10:$N$1941,$P107))</x:f>
        <x:v>Not started</x:v>
      </x:c>
      <x:c r="M107" s="87" t="n">
        <x:f>IF($P107="","",INDEX(Tasks!$J$10:$J$1941,$P107))</x:f>
        <x:v>46112</x:v>
      </x:c>
      <x:c r="N107" s="85" t="str">
        <x:f>IF($P107="","",HYPERLINK("#'"&amp;INDEX(Tasks!$T$10:$T$1941,$P107)&amp;"'!A"&amp;INDEX(Tasks!$U$10:$U$1941,$P107),"Open"))</x:f>
        <x:v>Open</x:v>
      </x:c>
      <x:c r="O107" s="14"/>
      <x:c r="P107" s="14" t="n">
        <x:f>IF(86&gt;$B$10,"",MATCH(86,Tasks!$S$10:$S$1941,0))</x:f>
        <x:v>177</x:v>
      </x:c>
    </x:row>
    <x:row r="108" ht="58" customHeight="1">
      <x:c r="B108" s="86" t="str">
        <x:f>IF($P108="","",INDEX(Tasks!$B$10:$B$1941,$P108))</x:f>
        <x:v>Cycle 1</x:v>
      </x:c>
      <x:c r="C108" s="86" t="str">
        <x:f>IF($P108="","",INDEX(Tasks!$C$10:$C$1941,$P108))</x:f>
        <x:v>Phase 2</x:v>
      </x:c>
      <x:c r="D108" s="86" t="str">
        <x:f>IF($P108="","",INDEX(Tasks!$D$10:$D$1941,$P108))</x:f>
        <x:v>Retail Services</x:v>
      </x:c>
      <x:c r="E108" s="86"/>
      <x:c r="F108" s="86" t="str">
        <x:f>IF($P108="","",INDEX(Tasks!$E$10:$E$1941,$P108))</x:f>
        <x:v>Data &amp; Reporting</x:v>
      </x:c>
      <x:c r="G108" s="86"/>
      <x:c r="H108" s="14" t="str">
        <x:f>IF($P108="","",INDEX(Tasks!$F$10:$F$1941,$P108)&amp;CHAR(10)&amp;INDEX(Tasks!$G$10:$G$1941,$P108))</x:f>
        <x:v>DR.RS.2.6
Document clear distinctions between facts, assumptions, and hypotheses within the data package</x:v>
      </x:c>
      <x:c r="I108" s="14"/>
      <x:c r="J108" s="14"/>
      <x:c r="K108" s="14"/>
      <x:c r="L108" s="86" t="str">
        <x:f>IF($P108="","",INDEX(Tasks!$N$10:$N$1941,$P108))</x:f>
        <x:v>Not started</x:v>
      </x:c>
      <x:c r="M108" s="87" t="n">
        <x:f>IF($P108="","",INDEX(Tasks!$J$10:$J$1941,$P108))</x:f>
        <x:v>46112</x:v>
      </x:c>
      <x:c r="N108" s="85" t="str">
        <x:f>IF($P108="","",HYPERLINK("#'"&amp;INDEX(Tasks!$T$10:$T$1941,$P108)&amp;"'!A"&amp;INDEX(Tasks!$U$10:$U$1941,$P108),"Open"))</x:f>
        <x:v>Open</x:v>
      </x:c>
      <x:c r="O108" s="14"/>
      <x:c r="P108" s="14" t="n">
        <x:f>IF(87&gt;$B$10,"",MATCH(87,Tasks!$S$10:$S$1941,0))</x:f>
        <x:v>178</x:v>
      </x:c>
    </x:row>
    <x:row r="109" ht="58" customHeight="1">
      <x:c r="B109" s="86" t="str">
        <x:f>IF($P109="","",INDEX(Tasks!$B$10:$B$1941,$P109))</x:f>
        <x:v>Cycle 1</x:v>
      </x:c>
      <x:c r="C109" s="86" t="str">
        <x:f>IF($P109="","",INDEX(Tasks!$C$10:$C$1941,$P109))</x:f>
        <x:v>Phase 3</x:v>
      </x:c>
      <x:c r="D109" s="86" t="str">
        <x:f>IF($P109="","",INDEX(Tasks!$D$10:$D$1941,$P109))</x:f>
        <x:v>Retail Services</x:v>
      </x:c>
      <x:c r="E109" s="86"/>
      <x:c r="F109" s="86" t="str">
        <x:f>IF($P109="","",INDEX(Tasks!$E$10:$E$1941,$P109))</x:f>
        <x:v>Data &amp; Reporting</x:v>
      </x:c>
      <x:c r="G109" s="86"/>
      <x:c r="H109" s="14" t="str">
        <x:f>IF($P109="","",INDEX(Tasks!$F$10:$F$1941,$P109)&amp;CHAR(10)&amp;INDEX(Tasks!$G$10:$G$1941,$P109))</x:f>
        <x:v>DR.RS.3.1
Clearly document rationale for each topic recommendation within the SharePoint list item</x:v>
      </x:c>
      <x:c r="I109" s="14"/>
      <x:c r="J109" s="14"/>
      <x:c r="K109" s="14"/>
      <x:c r="L109" s="86" t="str">
        <x:f>IF($P109="","",INDEX(Tasks!$N$10:$N$1941,$P109))</x:f>
        <x:v>Not started</x:v>
      </x:c>
      <x:c r="M109" s="87" t="n">
        <x:f>IF($P109="","",INDEX(Tasks!$J$10:$J$1941,$P109))</x:f>
        <x:v>46112</x:v>
      </x:c>
      <x:c r="N109" s="85" t="str">
        <x:f>IF($P109="","",HYPERLINK("#'"&amp;INDEX(Tasks!$T$10:$T$1941,$P109)&amp;"'!A"&amp;INDEX(Tasks!$U$10:$U$1941,$P109),"Open"))</x:f>
        <x:v>Open</x:v>
      </x:c>
      <x:c r="O109" s="14"/>
      <x:c r="P109" s="14" t="n">
        <x:f>IF(88&gt;$B$10,"",MATCH(88,Tasks!$S$10:$S$1941,0))</x:f>
        <x:v>179</x:v>
      </x:c>
    </x:row>
    <x:row r="110" ht="58" customHeight="1">
      <x:c r="B110" s="86" t="str">
        <x:f>IF($P110="","",INDEX(Tasks!$B$10:$B$1941,$P110))</x:f>
        <x:v>Cycle 1</x:v>
      </x:c>
      <x:c r="C110" s="86" t="str">
        <x:f>IF($P110="","",INDEX(Tasks!$C$10:$C$1941,$P110))</x:f>
        <x:v>Phase 3</x:v>
      </x:c>
      <x:c r="D110" s="86" t="str">
        <x:f>IF($P110="","",INDEX(Tasks!$D$10:$D$1941,$P110))</x:f>
        <x:v>Retail Services</x:v>
      </x:c>
      <x:c r="E110" s="86"/>
      <x:c r="F110" s="86" t="str">
        <x:f>IF($P110="","",INDEX(Tasks!$E$10:$E$1941,$P110))</x:f>
        <x:v>Data &amp; Reporting</x:v>
      </x:c>
      <x:c r="G110" s="86"/>
      <x:c r="H110" s="14" t="str">
        <x:f>IF($P110="","",INDEX(Tasks!$F$10:$F$1941,$P110)&amp;CHAR(10)&amp;INDEX(Tasks!$G$10:$G$1941,$P110))</x:f>
        <x:v>DR.RS.3.2
Attach the data package for each topic recommendation within the SharePoint list item</x:v>
      </x:c>
      <x:c r="I110" s="14"/>
      <x:c r="J110" s="14"/>
      <x:c r="K110" s="14"/>
      <x:c r="L110" s="86" t="str">
        <x:f>IF($P110="","",INDEX(Tasks!$N$10:$N$1941,$P110))</x:f>
        <x:v>Not started</x:v>
      </x:c>
      <x:c r="M110" s="87" t="n">
        <x:f>IF($P110="","",INDEX(Tasks!$J$10:$J$1941,$P110))</x:f>
        <x:v>46112</x:v>
      </x:c>
      <x:c r="N110" s="85" t="str">
        <x:f>IF($P110="","",HYPERLINK("#'"&amp;INDEX(Tasks!$T$10:$T$1941,$P110)&amp;"'!A"&amp;INDEX(Tasks!$U$10:$U$1941,$P110),"Open"))</x:f>
        <x:v>Open</x:v>
      </x:c>
      <x:c r="O110" s="14"/>
      <x:c r="P110" s="14" t="n">
        <x:f>IF(89&gt;$B$10,"",MATCH(89,Tasks!$S$10:$S$1941,0))</x:f>
        <x:v>180</x:v>
      </x:c>
    </x:row>
    <x:row r="111" ht="58" customHeight="1">
      <x:c r="B111" s="86" t="str">
        <x:f>IF($P111="","",INDEX(Tasks!$B$10:$B$1941,$P111))</x:f>
        <x:v>Cycle 1</x:v>
      </x:c>
      <x:c r="C111" s="86" t="str">
        <x:f>IF($P111="","",INDEX(Tasks!$C$10:$C$1941,$P111))</x:f>
        <x:v>Phase 3</x:v>
      </x:c>
      <x:c r="D111" s="86" t="str">
        <x:f>IF($P111="","",INDEX(Tasks!$D$10:$D$1941,$P111))</x:f>
        <x:v>Retail Services</x:v>
      </x:c>
      <x:c r="E111" s="86"/>
      <x:c r="F111" s="86" t="str">
        <x:f>IF($P111="","",INDEX(Tasks!$E$10:$E$1941,$P111))</x:f>
        <x:v>Data &amp; Reporting</x:v>
      </x:c>
      <x:c r="G111" s="86"/>
      <x:c r="H111" s="14" t="str">
        <x:f>IF($P111="","",INDEX(Tasks!$F$10:$F$1941,$P111)&amp;CHAR(10)&amp;INDEX(Tasks!$G$10:$G$1941,$P111))</x:f>
        <x:v>DR.RS.3.3
Confirm data privileges have been granted, ensuring each pillar can access</x:v>
      </x:c>
      <x:c r="I111" s="14"/>
      <x:c r="J111" s="14"/>
      <x:c r="K111" s="14"/>
      <x:c r="L111" s="86" t="str">
        <x:f>IF($P111="","",INDEX(Tasks!$N$10:$N$1941,$P111))</x:f>
        <x:v>Not started</x:v>
      </x:c>
      <x:c r="M111" s="87" t="n">
        <x:f>IF($P111="","",INDEX(Tasks!$J$10:$J$1941,$P111))</x:f>
        <x:v>46112</x:v>
      </x:c>
      <x:c r="N111" s="85" t="str">
        <x:f>IF($P111="","",HYPERLINK("#'"&amp;INDEX(Tasks!$T$10:$T$1941,$P111)&amp;"'!A"&amp;INDEX(Tasks!$U$10:$U$1941,$P111),"Open"))</x:f>
        <x:v>Open</x:v>
      </x:c>
      <x:c r="O111" s="14"/>
      <x:c r="P111" s="14" t="n">
        <x:f>IF(90&gt;$B$10,"",MATCH(90,Tasks!$S$10:$S$1941,0))</x:f>
        <x:v>181</x:v>
      </x:c>
    </x:row>
    <x:row r="112" ht="58" customHeight="1">
      <x:c r="B112" s="86" t="str">
        <x:f>IF($P112="","",INDEX(Tasks!$B$10:$B$1941,$P112))</x:f>
        <x:v>Cycle 1</x:v>
      </x:c>
      <x:c r="C112" s="86" t="str">
        <x:f>IF($P112="","",INDEX(Tasks!$C$10:$C$1941,$P112))</x:f>
        <x:v>Phase 3</x:v>
      </x:c>
      <x:c r="D112" s="86" t="str">
        <x:f>IF($P112="","",INDEX(Tasks!$D$10:$D$1941,$P112))</x:f>
        <x:v>Retail Services</x:v>
      </x:c>
      <x:c r="E112" s="86"/>
      <x:c r="F112" s="86" t="str">
        <x:f>IF($P112="","",INDEX(Tasks!$E$10:$E$1941,$P112))</x:f>
        <x:v>Data &amp; Reporting</x:v>
      </x:c>
      <x:c r="G112" s="86"/>
      <x:c r="H112" s="14" t="str">
        <x:f>IF($P112="","",INDEX(Tasks!$F$10:$F$1941,$P112)&amp;CHAR(10)&amp;INDEX(Tasks!$G$10:$G$1941,$P112))</x:f>
        <x:v>DR.RS.3.4
Ensure Power Automate notifications were correctly triggered within Microsoft Teams</x:v>
      </x:c>
      <x:c r="I112" s="14"/>
      <x:c r="J112" s="14"/>
      <x:c r="K112" s="14"/>
      <x:c r="L112" s="86" t="str">
        <x:f>IF($P112="","",INDEX(Tasks!$N$10:$N$1941,$P112))</x:f>
        <x:v>Not started</x:v>
      </x:c>
      <x:c r="M112" s="87" t="n">
        <x:f>IF($P112="","",INDEX(Tasks!$J$10:$J$1941,$P112))</x:f>
        <x:v>46112</x:v>
      </x:c>
      <x:c r="N112" s="85" t="str">
        <x:f>IF($P112="","",HYPERLINK("#'"&amp;INDEX(Tasks!$T$10:$T$1941,$P112)&amp;"'!A"&amp;INDEX(Tasks!$U$10:$U$1941,$P112),"Open"))</x:f>
        <x:v>Open</x:v>
      </x:c>
      <x:c r="O112" s="14"/>
      <x:c r="P112" s="14" t="n">
        <x:f>IF(91&gt;$B$10,"",MATCH(91,Tasks!$S$10:$S$1941,0))</x:f>
        <x:v>182</x:v>
      </x:c>
    </x:row>
    <x:row r="113" ht="58" customHeight="1">
      <x:c r="B113" s="86" t="str">
        <x:f>IF($P113="","",INDEX(Tasks!$B$10:$B$1941,$P113))</x:f>
        <x:v>Cycle 2</x:v>
      </x:c>
      <x:c r="C113" s="86" t="str">
        <x:f>IF($P113="","",INDEX(Tasks!$C$10:$C$1941,$P113))</x:f>
        <x:v>Phase 1</x:v>
      </x:c>
      <x:c r="D113" s="86" t="str">
        <x:f>IF($P113="","",INDEX(Tasks!$D$10:$D$1941,$P113))</x:f>
        <x:v>Auto</x:v>
      </x:c>
      <x:c r="E113" s="86"/>
      <x:c r="F113" s="86" t="str">
        <x:f>IF($P113="","",INDEX(Tasks!$E$10:$E$1941,$P113))</x:f>
        <x:v>Data &amp; Reporting</x:v>
      </x:c>
      <x:c r="G113" s="86"/>
      <x:c r="H113" s="14" t="str">
        <x:f>IF($P113="","",INDEX(Tasks!$F$10:$F$1941,$P113)&amp;CHAR(10)&amp;INDEX(Tasks!$G$10:$G$1941,$P113))</x:f>
        <x:v>DR.AU.1.1
Review data sources 3 weeks prior to Cycle start (Complaints, Gen AI, Loudspeaker, NPS, etc.)</x:v>
      </x:c>
      <x:c r="I113" s="14"/>
      <x:c r="J113" s="14"/>
      <x:c r="K113" s="14"/>
      <x:c r="L113" s="86" t="str">
        <x:f>IF($P113="","",INDEX(Tasks!$N$10:$N$1941,$P113))</x:f>
        <x:v>Not started</x:v>
      </x:c>
      <x:c r="M113" s="87" t="n">
        <x:f>IF($P113="","",INDEX(Tasks!$J$10:$J$1941,$P113))</x:f>
        <x:v>46092</x:v>
      </x:c>
      <x:c r="N113" s="85" t="str">
        <x:f>IF($P113="","",HYPERLINK("#'"&amp;INDEX(Tasks!$T$10:$T$1941,$P113)&amp;"'!A"&amp;INDEX(Tasks!$U$10:$U$1941,$P113),"Open"))</x:f>
        <x:v>Open</x:v>
      </x:c>
      <x:c r="O113" s="14"/>
      <x:c r="P113" s="14" t="n">
        <x:f>IF(92&gt;$B$10,"",MATCH(92,Tasks!$S$10:$S$1941,0))</x:f>
        <x:v>183</x:v>
      </x:c>
    </x:row>
    <x:row r="114" ht="58" customHeight="1">
      <x:c r="B114" s="86" t="str">
        <x:f>IF($P114="","",INDEX(Tasks!$B$10:$B$1941,$P114))</x:f>
        <x:v>Cycle 2</x:v>
      </x:c>
      <x:c r="C114" s="86" t="str">
        <x:f>IF($P114="","",INDEX(Tasks!$C$10:$C$1941,$P114))</x:f>
        <x:v>Phase 1</x:v>
      </x:c>
      <x:c r="D114" s="86" t="str">
        <x:f>IF($P114="","",INDEX(Tasks!$D$10:$D$1941,$P114))</x:f>
        <x:v>Auto</x:v>
      </x:c>
      <x:c r="E114" s="86"/>
      <x:c r="F114" s="86" t="str">
        <x:f>IF($P114="","",INDEX(Tasks!$E$10:$E$1941,$P114))</x:f>
        <x:v>Data &amp; Reporting</x:v>
      </x:c>
      <x:c r="G114" s="86"/>
      <x:c r="H114" s="14" t="str">
        <x:f>IF($P114="","",INDEX(Tasks!$F$10:$F$1941,$P114)&amp;CHAR(10)&amp;INDEX(Tasks!$G$10:$G$1941,$P114))</x:f>
        <x:v>DR.AU.1.2
Identify two potential topics for the upcoming Cycle</x:v>
      </x:c>
      <x:c r="I114" s="14"/>
      <x:c r="J114" s="14"/>
      <x:c r="K114" s="14"/>
      <x:c r="L114" s="86" t="str">
        <x:f>IF($P114="","",INDEX(Tasks!$N$10:$N$1941,$P114))</x:f>
        <x:v>Not started</x:v>
      </x:c>
      <x:c r="M114" s="87" t="n">
        <x:f>IF($P114="","",INDEX(Tasks!$J$10:$J$1941,$P114))</x:f>
        <x:v>46203</x:v>
      </x:c>
      <x:c r="N114" s="85" t="str">
        <x:f>IF($P114="","",HYPERLINK("#'"&amp;INDEX(Tasks!$T$10:$T$1941,$P114)&amp;"'!A"&amp;INDEX(Tasks!$U$10:$U$1941,$P114),"Open"))</x:f>
        <x:v>Open</x:v>
      </x:c>
      <x:c r="O114" s="14"/>
      <x:c r="P114" s="14" t="n">
        <x:f>IF(93&gt;$B$10,"",MATCH(93,Tasks!$S$10:$S$1941,0))</x:f>
        <x:v>184</x:v>
      </x:c>
    </x:row>
    <x:row r="115" ht="58" customHeight="1">
      <x:c r="B115" s="86" t="str">
        <x:f>IF($P115="","",INDEX(Tasks!$B$10:$B$1941,$P115))</x:f>
        <x:v>Cycle 2</x:v>
      </x:c>
      <x:c r="C115" s="86" t="str">
        <x:f>IF($P115="","",INDEX(Tasks!$C$10:$C$1941,$P115))</x:f>
        <x:v>Phase 1</x:v>
      </x:c>
      <x:c r="D115" s="86" t="str">
        <x:f>IF($P115="","",INDEX(Tasks!$D$10:$D$1941,$P115))</x:f>
        <x:v>Auto</x:v>
      </x:c>
      <x:c r="E115" s="86"/>
      <x:c r="F115" s="86" t="str">
        <x:f>IF($P115="","",INDEX(Tasks!$E$10:$E$1941,$P115))</x:f>
        <x:v>Data &amp; Reporting</x:v>
      </x:c>
      <x:c r="G115" s="86"/>
      <x:c r="H115" s="14" t="str">
        <x:f>IF($P115="","",INDEX(Tasks!$F$10:$F$1941,$P115)&amp;CHAR(10)&amp;INDEX(Tasks!$G$10:$G$1941,$P115))</x:f>
        <x:v>DR.AU.1.3
Extract data for both potential topics, ensuring all checklist items below are included/completed</x:v>
      </x:c>
      <x:c r="I115" s="14"/>
      <x:c r="J115" s="14"/>
      <x:c r="K115" s="14"/>
      <x:c r="L115" s="86" t="str">
        <x:f>IF($P115="","",INDEX(Tasks!$N$10:$N$1941,$P115))</x:f>
        <x:v>Not started</x:v>
      </x:c>
      <x:c r="M115" s="87" t="n">
        <x:f>IF($P115="","",INDEX(Tasks!$J$10:$J$1941,$P115))</x:f>
        <x:v>46203</x:v>
      </x:c>
      <x:c r="N115" s="85" t="str">
        <x:f>IF($P115="","",HYPERLINK("#'"&amp;INDEX(Tasks!$T$10:$T$1941,$P115)&amp;"'!A"&amp;INDEX(Tasks!$U$10:$U$1941,$P115),"Open"))</x:f>
        <x:v>Open</x:v>
      </x:c>
      <x:c r="O115" s="14"/>
      <x:c r="P115" s="14" t="n">
        <x:f>IF(94&gt;$B$10,"",MATCH(94,Tasks!$S$10:$S$1941,0))</x:f>
        <x:v>185</x:v>
      </x:c>
    </x:row>
    <x:row r="116" ht="58" customHeight="1">
      <x:c r="B116" s="86" t="str">
        <x:f>IF($P116="","",INDEX(Tasks!$B$10:$B$1941,$P116))</x:f>
        <x:v>Cycle 2</x:v>
      </x:c>
      <x:c r="C116" s="86" t="str">
        <x:f>IF($P116="","",INDEX(Tasks!$C$10:$C$1941,$P116))</x:f>
        <x:v>Phase 2</x:v>
      </x:c>
      <x:c r="D116" s="86" t="str">
        <x:f>IF($P116="","",INDEX(Tasks!$D$10:$D$1941,$P116))</x:f>
        <x:v>Auto</x:v>
      </x:c>
      <x:c r="E116" s="86"/>
      <x:c r="F116" s="86" t="str">
        <x:f>IF($P116="","",INDEX(Tasks!$E$10:$E$1941,$P116))</x:f>
        <x:v>Data &amp; Reporting</x:v>
      </x:c>
      <x:c r="G116" s="86"/>
      <x:c r="H116" s="14" t="str">
        <x:f>IF($P116="","",INDEX(Tasks!$F$10:$F$1941,$P116)&amp;CHAR(10)&amp;INDEX(Tasks!$G$10:$G$1941,$P116))</x:f>
        <x:v>DR.AU.2.1
Ensure data is clean, structured, and usable without manipulation needed</x:v>
      </x:c>
      <x:c r="I116" s="14"/>
      <x:c r="J116" s="14"/>
      <x:c r="K116" s="14"/>
      <x:c r="L116" s="86" t="str">
        <x:f>IF($P116="","",INDEX(Tasks!$N$10:$N$1941,$P116))</x:f>
        <x:v>Not started</x:v>
      </x:c>
      <x:c r="M116" s="87" t="n">
        <x:f>IF($P116="","",INDEX(Tasks!$J$10:$J$1941,$P116))</x:f>
        <x:v>46203</x:v>
      </x:c>
      <x:c r="N116" s="85" t="str">
        <x:f>IF($P116="","",HYPERLINK("#'"&amp;INDEX(Tasks!$T$10:$T$1941,$P116)&amp;"'!A"&amp;INDEX(Tasks!$U$10:$U$1941,$P116),"Open"))</x:f>
        <x:v>Open</x:v>
      </x:c>
      <x:c r="O116" s="14"/>
      <x:c r="P116" s="14" t="n">
        <x:f>IF(95&gt;$B$10,"",MATCH(95,Tasks!$S$10:$S$1941,0))</x:f>
        <x:v>199</x:v>
      </x:c>
    </x:row>
    <x:row r="117" ht="58" customHeight="1">
      <x:c r="B117" s="86" t="str">
        <x:f>IF($P117="","",INDEX(Tasks!$B$10:$B$1941,$P117))</x:f>
        <x:v>Cycle 2</x:v>
      </x:c>
      <x:c r="C117" s="86" t="str">
        <x:f>IF($P117="","",INDEX(Tasks!$C$10:$C$1941,$P117))</x:f>
        <x:v>Phase 2</x:v>
      </x:c>
      <x:c r="D117" s="86" t="str">
        <x:f>IF($P117="","",INDEX(Tasks!$D$10:$D$1941,$P117))</x:f>
        <x:v>Auto</x:v>
      </x:c>
      <x:c r="E117" s="86"/>
      <x:c r="F117" s="86" t="str">
        <x:f>IF($P117="","",INDEX(Tasks!$E$10:$E$1941,$P117))</x:f>
        <x:v>Data &amp; Reporting</x:v>
      </x:c>
      <x:c r="G117" s="86"/>
      <x:c r="H117" s="14" t="str">
        <x:f>IF($P117="","",INDEX(Tasks!$F$10:$F$1941,$P117)&amp;CHAR(10)&amp;INDEX(Tasks!$G$10:$G$1941,$P117))</x:f>
        <x:v>DR.AU.2.2
Clearly document rationale for each topic recommendation within the SharePoint list</x:v>
      </x:c>
      <x:c r="I117" s="14"/>
      <x:c r="J117" s="14"/>
      <x:c r="K117" s="14"/>
      <x:c r="L117" s="86" t="str">
        <x:f>IF($P117="","",INDEX(Tasks!$N$10:$N$1941,$P117))</x:f>
        <x:v>Not started</x:v>
      </x:c>
      <x:c r="M117" s="87" t="n">
        <x:f>IF($P117="","",INDEX(Tasks!$J$10:$J$1941,$P117))</x:f>
        <x:v>46203</x:v>
      </x:c>
      <x:c r="N117" s="85" t="str">
        <x:f>IF($P117="","",HYPERLINK("#'"&amp;INDEX(Tasks!$T$10:$T$1941,$P117)&amp;"'!A"&amp;INDEX(Tasks!$U$10:$U$1941,$P117),"Open"))</x:f>
        <x:v>Open</x:v>
      </x:c>
      <x:c r="O117" s="14"/>
      <x:c r="P117" s="14" t="n">
        <x:f>IF(96&gt;$B$10,"",MATCH(96,Tasks!$S$10:$S$1941,0))</x:f>
        <x:v>200</x:v>
      </x:c>
    </x:row>
    <x:row r="118" ht="58" customHeight="1">
      <x:c r="B118" s="86" t="str">
        <x:f>IF($P118="","",INDEX(Tasks!$B$10:$B$1941,$P118))</x:f>
        <x:v>Cycle 2</x:v>
      </x:c>
      <x:c r="C118" s="86" t="str">
        <x:f>IF($P118="","",INDEX(Tasks!$C$10:$C$1941,$P118))</x:f>
        <x:v>Phase 2</x:v>
      </x:c>
      <x:c r="D118" s="86" t="str">
        <x:f>IF($P118="","",INDEX(Tasks!$D$10:$D$1941,$P118))</x:f>
        <x:v>Auto</x:v>
      </x:c>
      <x:c r="E118" s="86"/>
      <x:c r="F118" s="86" t="str">
        <x:f>IF($P118="","",INDEX(Tasks!$E$10:$E$1941,$P118))</x:f>
        <x:v>Data &amp; Reporting</x:v>
      </x:c>
      <x:c r="G118" s="86"/>
      <x:c r="H118" s="14" t="str">
        <x:f>IF($P118="","",INDEX(Tasks!$F$10:$F$1941,$P118)&amp;CHAR(10)&amp;INDEX(Tasks!$G$10:$G$1941,$P118))</x:f>
        <x:v>DR.AU.2.3
Verify topic is eligible for RCA and does not conflict with Attorney Client Privilege</x:v>
      </x:c>
      <x:c r="I118" s="14"/>
      <x:c r="J118" s="14"/>
      <x:c r="K118" s="14"/>
      <x:c r="L118" s="86" t="str">
        <x:f>IF($P118="","",INDEX(Tasks!$N$10:$N$1941,$P118))</x:f>
        <x:v>Not started</x:v>
      </x:c>
      <x:c r="M118" s="87" t="n">
        <x:f>IF($P118="","",INDEX(Tasks!$J$10:$J$1941,$P118))</x:f>
        <x:v>46203</x:v>
      </x:c>
      <x:c r="N118" s="85" t="str">
        <x:f>IF($P118="","",HYPERLINK("#'"&amp;INDEX(Tasks!$T$10:$T$1941,$P118)&amp;"'!A"&amp;INDEX(Tasks!$U$10:$U$1941,$P118),"Open"))</x:f>
        <x:v>Open</x:v>
      </x:c>
      <x:c r="O118" s="14"/>
      <x:c r="P118" s="14" t="n">
        <x:f>IF(97&gt;$B$10,"",MATCH(97,Tasks!$S$10:$S$1941,0))</x:f>
        <x:v>201</x:v>
      </x:c>
    </x:row>
    <x:row r="119" ht="58" customHeight="1">
      <x:c r="B119" s="86" t="str">
        <x:f>IF($P119="","",INDEX(Tasks!$B$10:$B$1941,$P119))</x:f>
        <x:v>Cycle 2</x:v>
      </x:c>
      <x:c r="C119" s="86" t="str">
        <x:f>IF($P119="","",INDEX(Tasks!$C$10:$C$1941,$P119))</x:f>
        <x:v>Phase 2</x:v>
      </x:c>
      <x:c r="D119" s="86" t="str">
        <x:f>IF($P119="","",INDEX(Tasks!$D$10:$D$1941,$P119))</x:f>
        <x:v>Auto</x:v>
      </x:c>
      <x:c r="E119" s="86"/>
      <x:c r="F119" s="86" t="str">
        <x:f>IF($P119="","",INDEX(Tasks!$E$10:$E$1941,$P119))</x:f>
        <x:v>Data &amp; Reporting</x:v>
      </x:c>
      <x:c r="G119" s="86"/>
      <x:c r="H119" s="14" t="str">
        <x:f>IF($P119="","",INDEX(Tasks!$F$10:$F$1941,$P119)&amp;CHAR(10)&amp;INDEX(Tasks!$G$10:$G$1941,$P119))</x:f>
        <x:v>DR.AU.2.4
Ensure data is free of errors and anomalies prior to hand-off to Research</x:v>
      </x:c>
      <x:c r="I119" s="14"/>
      <x:c r="J119" s="14"/>
      <x:c r="K119" s="14"/>
      <x:c r="L119" s="86" t="str">
        <x:f>IF($P119="","",INDEX(Tasks!$N$10:$N$1941,$P119))</x:f>
        <x:v>Not started</x:v>
      </x:c>
      <x:c r="M119" s="87" t="n">
        <x:f>IF($P119="","",INDEX(Tasks!$J$10:$J$1941,$P119))</x:f>
        <x:v>46203</x:v>
      </x:c>
      <x:c r="N119" s="85" t="str">
        <x:f>IF($P119="","",HYPERLINK("#'"&amp;INDEX(Tasks!$T$10:$T$1941,$P119)&amp;"'!A"&amp;INDEX(Tasks!$U$10:$U$1941,$P119),"Open"))</x:f>
        <x:v>Open</x:v>
      </x:c>
      <x:c r="O119" s="14"/>
      <x:c r="P119" s="14" t="n">
        <x:f>IF(98&gt;$B$10,"",MATCH(98,Tasks!$S$10:$S$1941,0))</x:f>
        <x:v>202</x:v>
      </x:c>
    </x:row>
    <x:row r="120" ht="58" customHeight="1">
      <x:c r="B120" s="86" t="str">
        <x:f>IF($P120="","",INDEX(Tasks!$B$10:$B$1941,$P120))</x:f>
        <x:v>Cycle 2</x:v>
      </x:c>
      <x:c r="C120" s="86" t="str">
        <x:f>IF($P120="","",INDEX(Tasks!$C$10:$C$1941,$P120))</x:f>
        <x:v>Phase 2</x:v>
      </x:c>
      <x:c r="D120" s="86" t="str">
        <x:f>IF($P120="","",INDEX(Tasks!$D$10:$D$1941,$P120))</x:f>
        <x:v>Auto</x:v>
      </x:c>
      <x:c r="E120" s="86"/>
      <x:c r="F120" s="86" t="str">
        <x:f>IF($P120="","",INDEX(Tasks!$E$10:$E$1941,$P120))</x:f>
        <x:v>Data &amp; Reporting</x:v>
      </x:c>
      <x:c r="G120" s="86"/>
      <x:c r="H120" s="14" t="str">
        <x:f>IF($P120="","",INDEX(Tasks!$F$10:$F$1941,$P120)&amp;CHAR(10)&amp;INDEX(Tasks!$G$10:$G$1941,$P120))</x:f>
        <x:v>DR.AU.2.5
Ensure topic is not a duplicate from a previous Cycle</x:v>
      </x:c>
      <x:c r="I120" s="14"/>
      <x:c r="J120" s="14"/>
      <x:c r="K120" s="14"/>
      <x:c r="L120" s="86" t="str">
        <x:f>IF($P120="","",INDEX(Tasks!$N$10:$N$1941,$P120))</x:f>
        <x:v>Not started</x:v>
      </x:c>
      <x:c r="M120" s="87" t="n">
        <x:f>IF($P120="","",INDEX(Tasks!$J$10:$J$1941,$P120))</x:f>
        <x:v>46203</x:v>
      </x:c>
      <x:c r="N120" s="85" t="str">
        <x:f>IF($P120="","",HYPERLINK("#'"&amp;INDEX(Tasks!$T$10:$T$1941,$P120)&amp;"'!A"&amp;INDEX(Tasks!$U$10:$U$1941,$P120),"Open"))</x:f>
        <x:v>Open</x:v>
      </x:c>
      <x:c r="O120" s="14"/>
      <x:c r="P120" s="14" t="n">
        <x:f>IF(99&gt;$B$10,"",MATCH(99,Tasks!$S$10:$S$1941,0))</x:f>
        <x:v>203</x:v>
      </x:c>
    </x:row>
    <x:row r="121" ht="58" customHeight="1">
      <x:c r="B121" s="86" t="str">
        <x:f>IF($P121="","",INDEX(Tasks!$B$10:$B$1941,$P121))</x:f>
        <x:v>Cycle 2</x:v>
      </x:c>
      <x:c r="C121" s="86" t="str">
        <x:f>IF($P121="","",INDEX(Tasks!$C$10:$C$1941,$P121))</x:f>
        <x:v>Phase 2</x:v>
      </x:c>
      <x:c r="D121" s="86" t="str">
        <x:f>IF($P121="","",INDEX(Tasks!$D$10:$D$1941,$P121))</x:f>
        <x:v>Auto</x:v>
      </x:c>
      <x:c r="E121" s="86"/>
      <x:c r="F121" s="86" t="str">
        <x:f>IF($P121="","",INDEX(Tasks!$E$10:$E$1941,$P121))</x:f>
        <x:v>Data &amp; Reporting</x:v>
      </x:c>
      <x:c r="G121" s="86"/>
      <x:c r="H121" s="14" t="str">
        <x:f>IF($P121="","",INDEX(Tasks!$F$10:$F$1941,$P121)&amp;CHAR(10)&amp;INDEX(Tasks!$G$10:$G$1941,$P121))</x:f>
        <x:v>DR.AU.2.6
Document clear distinctions between facts, assumptions, and hypotheses within the data package</x:v>
      </x:c>
      <x:c r="I121" s="14"/>
      <x:c r="J121" s="14"/>
      <x:c r="K121" s="14"/>
      <x:c r="L121" s="86" t="str">
        <x:f>IF($P121="","",INDEX(Tasks!$N$10:$N$1941,$P121))</x:f>
        <x:v>Not started</x:v>
      </x:c>
      <x:c r="M121" s="87" t="n">
        <x:f>IF($P121="","",INDEX(Tasks!$J$10:$J$1941,$P121))</x:f>
        <x:v>46203</x:v>
      </x:c>
      <x:c r="N121" s="85" t="str">
        <x:f>IF($P121="","",HYPERLINK("#'"&amp;INDEX(Tasks!$T$10:$T$1941,$P121)&amp;"'!A"&amp;INDEX(Tasks!$U$10:$U$1941,$P121),"Open"))</x:f>
        <x:v>Open</x:v>
      </x:c>
      <x:c r="O121" s="14"/>
      <x:c r="P121" s="14" t="n">
        <x:f>IF(100&gt;$B$10,"",MATCH(100,Tasks!$S$10:$S$1941,0))</x:f>
        <x:v>204</x:v>
      </x:c>
    </x:row>
    <x:row r="122" ht="58" customHeight="1">
      <x:c r="B122" s="86" t="str">
        <x:f>IF($P122="","",INDEX(Tasks!$B$10:$B$1941,$P122))</x:f>
        <x:v>Cycle 2</x:v>
      </x:c>
      <x:c r="C122" s="86" t="str">
        <x:f>IF($P122="","",INDEX(Tasks!$C$10:$C$1941,$P122))</x:f>
        <x:v>Phase 3</x:v>
      </x:c>
      <x:c r="D122" s="86" t="str">
        <x:f>IF($P122="","",INDEX(Tasks!$D$10:$D$1941,$P122))</x:f>
        <x:v>Auto</x:v>
      </x:c>
      <x:c r="E122" s="86"/>
      <x:c r="F122" s="86" t="str">
        <x:f>IF($P122="","",INDEX(Tasks!$E$10:$E$1941,$P122))</x:f>
        <x:v>Data &amp; Reporting</x:v>
      </x:c>
      <x:c r="G122" s="86"/>
      <x:c r="H122" s="14" t="str">
        <x:f>IF($P122="","",INDEX(Tasks!$F$10:$F$1941,$P122)&amp;CHAR(10)&amp;INDEX(Tasks!$G$10:$G$1941,$P122))</x:f>
        <x:v>DR.AU.3.1
Clearly document rationale for each topic recommendation within the SharePoint list item</x:v>
      </x:c>
      <x:c r="I122" s="14"/>
      <x:c r="J122" s="14"/>
      <x:c r="K122" s="14"/>
      <x:c r="L122" s="86" t="str">
        <x:f>IF($P122="","",INDEX(Tasks!$N$10:$N$1941,$P122))</x:f>
        <x:v>Not started</x:v>
      </x:c>
      <x:c r="M122" s="87" t="n">
        <x:f>IF($P122="","",INDEX(Tasks!$J$10:$J$1941,$P122))</x:f>
        <x:v>46203</x:v>
      </x:c>
      <x:c r="N122" s="85" t="str">
        <x:f>IF($P122="","",HYPERLINK("#'"&amp;INDEX(Tasks!$T$10:$T$1941,$P122)&amp;"'!A"&amp;INDEX(Tasks!$U$10:$U$1941,$P122),"Open"))</x:f>
        <x:v>Open</x:v>
      </x:c>
      <x:c r="O122" s="14"/>
      <x:c r="P122" s="14" t="n">
        <x:f>IF(101&gt;$B$10,"",MATCH(101,Tasks!$S$10:$S$1941,0))</x:f>
        <x:v>205</x:v>
      </x:c>
    </x:row>
    <x:row r="123" ht="58" customHeight="1">
      <x:c r="B123" s="86" t="str">
        <x:f>IF($P123="","",INDEX(Tasks!$B$10:$B$1941,$P123))</x:f>
        <x:v>Cycle 2</x:v>
      </x:c>
      <x:c r="C123" s="86" t="str">
        <x:f>IF($P123="","",INDEX(Tasks!$C$10:$C$1941,$P123))</x:f>
        <x:v>Phase 3</x:v>
      </x:c>
      <x:c r="D123" s="86" t="str">
        <x:f>IF($P123="","",INDEX(Tasks!$D$10:$D$1941,$P123))</x:f>
        <x:v>Auto</x:v>
      </x:c>
      <x:c r="E123" s="86"/>
      <x:c r="F123" s="86" t="str">
        <x:f>IF($P123="","",INDEX(Tasks!$E$10:$E$1941,$P123))</x:f>
        <x:v>Data &amp; Reporting</x:v>
      </x:c>
      <x:c r="G123" s="86"/>
      <x:c r="H123" s="14" t="str">
        <x:f>IF($P123="","",INDEX(Tasks!$F$10:$F$1941,$P123)&amp;CHAR(10)&amp;INDEX(Tasks!$G$10:$G$1941,$P123))</x:f>
        <x:v>DR.AU.3.2
Attach the data package for each topic recommendation within the SharePoint list item</x:v>
      </x:c>
      <x:c r="I123" s="14"/>
      <x:c r="J123" s="14"/>
      <x:c r="K123" s="14"/>
      <x:c r="L123" s="86" t="str">
        <x:f>IF($P123="","",INDEX(Tasks!$N$10:$N$1941,$P123))</x:f>
        <x:v>Not started</x:v>
      </x:c>
      <x:c r="M123" s="87" t="n">
        <x:f>IF($P123="","",INDEX(Tasks!$J$10:$J$1941,$P123))</x:f>
        <x:v>46203</x:v>
      </x:c>
      <x:c r="N123" s="85" t="str">
        <x:f>IF($P123="","",HYPERLINK("#'"&amp;INDEX(Tasks!$T$10:$T$1941,$P123)&amp;"'!A"&amp;INDEX(Tasks!$U$10:$U$1941,$P123),"Open"))</x:f>
        <x:v>Open</x:v>
      </x:c>
      <x:c r="O123" s="14"/>
      <x:c r="P123" s="14" t="n">
        <x:f>IF(102&gt;$B$10,"",MATCH(102,Tasks!$S$10:$S$1941,0))</x:f>
        <x:v>206</x:v>
      </x:c>
    </x:row>
    <x:row r="124" ht="58" customHeight="1">
      <x:c r="B124" s="86" t="str">
        <x:f>IF($P124="","",INDEX(Tasks!$B$10:$B$1941,$P124))</x:f>
        <x:v>Cycle 2</x:v>
      </x:c>
      <x:c r="C124" s="86" t="str">
        <x:f>IF($P124="","",INDEX(Tasks!$C$10:$C$1941,$P124))</x:f>
        <x:v>Phase 3</x:v>
      </x:c>
      <x:c r="D124" s="86" t="str">
        <x:f>IF($P124="","",INDEX(Tasks!$D$10:$D$1941,$P124))</x:f>
        <x:v>Auto</x:v>
      </x:c>
      <x:c r="E124" s="86"/>
      <x:c r="F124" s="86" t="str">
        <x:f>IF($P124="","",INDEX(Tasks!$E$10:$E$1941,$P124))</x:f>
        <x:v>Data &amp; Reporting</x:v>
      </x:c>
      <x:c r="G124" s="86"/>
      <x:c r="H124" s="14" t="str">
        <x:f>IF($P124="","",INDEX(Tasks!$F$10:$F$1941,$P124)&amp;CHAR(10)&amp;INDEX(Tasks!$G$10:$G$1941,$P124))</x:f>
        <x:v>DR.AU.3.3
Confirm data privileges have been granted, ensuring each pillar can access</x:v>
      </x:c>
      <x:c r="I124" s="14"/>
      <x:c r="J124" s="14"/>
      <x:c r="K124" s="14"/>
      <x:c r="L124" s="86" t="str">
        <x:f>IF($P124="","",INDEX(Tasks!$N$10:$N$1941,$P124))</x:f>
        <x:v>Not started</x:v>
      </x:c>
      <x:c r="M124" s="87" t="n">
        <x:f>IF($P124="","",INDEX(Tasks!$J$10:$J$1941,$P124))</x:f>
        <x:v>46203</x:v>
      </x:c>
      <x:c r="N124" s="85" t="str">
        <x:f>IF($P124="","",HYPERLINK("#'"&amp;INDEX(Tasks!$T$10:$T$1941,$P124)&amp;"'!A"&amp;INDEX(Tasks!$U$10:$U$1941,$P124),"Open"))</x:f>
        <x:v>Open</x:v>
      </x:c>
      <x:c r="O124" s="14"/>
      <x:c r="P124" s="14" t="n">
        <x:f>IF(103&gt;$B$10,"",MATCH(103,Tasks!$S$10:$S$1941,0))</x:f>
        <x:v>207</x:v>
      </x:c>
    </x:row>
    <x:row r="125" ht="58" customHeight="1">
      <x:c r="B125" s="86" t="str">
        <x:f>IF($P125="","",INDEX(Tasks!$B$10:$B$1941,$P125))</x:f>
        <x:v>Cycle 2</x:v>
      </x:c>
      <x:c r="C125" s="86" t="str">
        <x:f>IF($P125="","",INDEX(Tasks!$C$10:$C$1941,$P125))</x:f>
        <x:v>Phase 3</x:v>
      </x:c>
      <x:c r="D125" s="86" t="str">
        <x:f>IF($P125="","",INDEX(Tasks!$D$10:$D$1941,$P125))</x:f>
        <x:v>Auto</x:v>
      </x:c>
      <x:c r="E125" s="86"/>
      <x:c r="F125" s="86" t="str">
        <x:f>IF($P125="","",INDEX(Tasks!$E$10:$E$1941,$P125))</x:f>
        <x:v>Data &amp; Reporting</x:v>
      </x:c>
      <x:c r="G125" s="86"/>
      <x:c r="H125" s="14" t="str">
        <x:f>IF($P125="","",INDEX(Tasks!$F$10:$F$1941,$P125)&amp;CHAR(10)&amp;INDEX(Tasks!$G$10:$G$1941,$P125))</x:f>
        <x:v>DR.AU.3.4
Ensure Power Automate notifications were correctly triggered within Microsoft Teams</x:v>
      </x:c>
      <x:c r="I125" s="14"/>
      <x:c r="J125" s="14"/>
      <x:c r="K125" s="14"/>
      <x:c r="L125" s="86" t="str">
        <x:f>IF($P125="","",INDEX(Tasks!$N$10:$N$1941,$P125))</x:f>
        <x:v>Not started</x:v>
      </x:c>
      <x:c r="M125" s="87" t="n">
        <x:f>IF($P125="","",INDEX(Tasks!$J$10:$J$1941,$P125))</x:f>
        <x:v>46203</x:v>
      </x:c>
      <x:c r="N125" s="85" t="str">
        <x:f>IF($P125="","",HYPERLINK("#'"&amp;INDEX(Tasks!$T$10:$T$1941,$P125)&amp;"'!A"&amp;INDEX(Tasks!$U$10:$U$1941,$P125),"Open"))</x:f>
        <x:v>Open</x:v>
      </x:c>
      <x:c r="O125" s="14"/>
      <x:c r="P125" s="14" t="n">
        <x:f>IF(104&gt;$B$10,"",MATCH(104,Tasks!$S$10:$S$1941,0))</x:f>
        <x:v>208</x:v>
      </x:c>
    </x:row>
    <x:row r="126" ht="58" customHeight="1">
      <x:c r="B126" s="86" t="str">
        <x:f>IF($P126="","",INDEX(Tasks!$B$10:$B$1941,$P126))</x:f>
        <x:v>Cycle 2</x:v>
      </x:c>
      <x:c r="C126" s="86" t="str">
        <x:f>IF($P126="","",INDEX(Tasks!$C$10:$C$1941,$P126))</x:f>
        <x:v>Phase 1</x:v>
      </x:c>
      <x:c r="D126" s="86" t="str">
        <x:f>IF($P126="","",INDEX(Tasks!$D$10:$D$1941,$P126))</x:f>
        <x:v>Cards</x:v>
      </x:c>
      <x:c r="E126" s="86"/>
      <x:c r="F126" s="86" t="str">
        <x:f>IF($P126="","",INDEX(Tasks!$E$10:$E$1941,$P126))</x:f>
        <x:v>Data &amp; Reporting</x:v>
      </x:c>
      <x:c r="G126" s="86"/>
      <x:c r="H126" s="14" t="str">
        <x:f>IF($P126="","",INDEX(Tasks!$F$10:$F$1941,$P126)&amp;CHAR(10)&amp;INDEX(Tasks!$G$10:$G$1941,$P126))</x:f>
        <x:v>DR.CA.1.1
Review data sources 3 weeks prior to Cycle start (Complaints, Gen AI, Loudspeaker, NPS, etc.)</x:v>
      </x:c>
      <x:c r="I126" s="14"/>
      <x:c r="J126" s="14"/>
      <x:c r="K126" s="14"/>
      <x:c r="L126" s="86" t="str">
        <x:f>IF($P126="","",INDEX(Tasks!$N$10:$N$1941,$P126))</x:f>
        <x:v>Not started</x:v>
      </x:c>
      <x:c r="M126" s="87" t="n">
        <x:f>IF($P126="","",INDEX(Tasks!$J$10:$J$1941,$P126))</x:f>
        <x:v>46092</x:v>
      </x:c>
      <x:c r="N126" s="85" t="str">
        <x:f>IF($P126="","",HYPERLINK("#'"&amp;INDEX(Tasks!$T$10:$T$1941,$P126)&amp;"'!A"&amp;INDEX(Tasks!$U$10:$U$1941,$P126),"Open"))</x:f>
        <x:v>Open</x:v>
      </x:c>
      <x:c r="O126" s="14"/>
      <x:c r="P126" s="14" t="n">
        <x:f>IF(105&gt;$B$10,"",MATCH(105,Tasks!$S$10:$S$1941,0))</x:f>
        <x:v>209</x:v>
      </x:c>
    </x:row>
    <x:row r="127" ht="58" customHeight="1">
      <x:c r="B127" s="86" t="str">
        <x:f>IF($P127="","",INDEX(Tasks!$B$10:$B$1941,$P127))</x:f>
        <x:v>Cycle 2</x:v>
      </x:c>
      <x:c r="C127" s="86" t="str">
        <x:f>IF($P127="","",INDEX(Tasks!$C$10:$C$1941,$P127))</x:f>
        <x:v>Phase 1</x:v>
      </x:c>
      <x:c r="D127" s="86" t="str">
        <x:f>IF($P127="","",INDEX(Tasks!$D$10:$D$1941,$P127))</x:f>
        <x:v>Cards</x:v>
      </x:c>
      <x:c r="E127" s="86"/>
      <x:c r="F127" s="86" t="str">
        <x:f>IF($P127="","",INDEX(Tasks!$E$10:$E$1941,$P127))</x:f>
        <x:v>Data &amp; Reporting</x:v>
      </x:c>
      <x:c r="G127" s="86"/>
      <x:c r="H127" s="14" t="str">
        <x:f>IF($P127="","",INDEX(Tasks!$F$10:$F$1941,$P127)&amp;CHAR(10)&amp;INDEX(Tasks!$G$10:$G$1941,$P127))</x:f>
        <x:v>DR.CA.1.2
Identify two potential topics for the upcoming Cycle</x:v>
      </x:c>
      <x:c r="I127" s="14"/>
      <x:c r="J127" s="14"/>
      <x:c r="K127" s="14"/>
      <x:c r="L127" s="86" t="str">
        <x:f>IF($P127="","",INDEX(Tasks!$N$10:$N$1941,$P127))</x:f>
        <x:v>Not started</x:v>
      </x:c>
      <x:c r="M127" s="87" t="n">
        <x:f>IF($P127="","",INDEX(Tasks!$J$10:$J$1941,$P127))</x:f>
        <x:v>46203</x:v>
      </x:c>
      <x:c r="N127" s="85" t="str">
        <x:f>IF($P127="","",HYPERLINK("#'"&amp;INDEX(Tasks!$T$10:$T$1941,$P127)&amp;"'!A"&amp;INDEX(Tasks!$U$10:$U$1941,$P127),"Open"))</x:f>
        <x:v>Open</x:v>
      </x:c>
      <x:c r="O127" s="14"/>
      <x:c r="P127" s="14" t="n">
        <x:f>IF(106&gt;$B$10,"",MATCH(106,Tasks!$S$10:$S$1941,0))</x:f>
        <x:v>210</x:v>
      </x:c>
    </x:row>
    <x:row r="128" ht="58" customHeight="1">
      <x:c r="B128" s="86" t="str">
        <x:f>IF($P128="","",INDEX(Tasks!$B$10:$B$1941,$P128))</x:f>
        <x:v>Cycle 2</x:v>
      </x:c>
      <x:c r="C128" s="86" t="str">
        <x:f>IF($P128="","",INDEX(Tasks!$C$10:$C$1941,$P128))</x:f>
        <x:v>Phase 1</x:v>
      </x:c>
      <x:c r="D128" s="86" t="str">
        <x:f>IF($P128="","",INDEX(Tasks!$D$10:$D$1941,$P128))</x:f>
        <x:v>Cards</x:v>
      </x:c>
      <x:c r="E128" s="86"/>
      <x:c r="F128" s="86" t="str">
        <x:f>IF($P128="","",INDEX(Tasks!$E$10:$E$1941,$P128))</x:f>
        <x:v>Data &amp; Reporting</x:v>
      </x:c>
      <x:c r="G128" s="86"/>
      <x:c r="H128" s="14" t="str">
        <x:f>IF($P128="","",INDEX(Tasks!$F$10:$F$1941,$P128)&amp;CHAR(10)&amp;INDEX(Tasks!$G$10:$G$1941,$P128))</x:f>
        <x:v>DR.CA.1.3
Extract data for both potential topics, ensuring all checklist items below are included/completed</x:v>
      </x:c>
      <x:c r="I128" s="14"/>
      <x:c r="J128" s="14"/>
      <x:c r="K128" s="14"/>
      <x:c r="L128" s="86" t="str">
        <x:f>IF($P128="","",INDEX(Tasks!$N$10:$N$1941,$P128))</x:f>
        <x:v>Not started</x:v>
      </x:c>
      <x:c r="M128" s="87" t="n">
        <x:f>IF($P128="","",INDEX(Tasks!$J$10:$J$1941,$P128))</x:f>
        <x:v>46203</x:v>
      </x:c>
      <x:c r="N128" s="85" t="str">
        <x:f>IF($P128="","",HYPERLINK("#'"&amp;INDEX(Tasks!$T$10:$T$1941,$P128)&amp;"'!A"&amp;INDEX(Tasks!$U$10:$U$1941,$P128),"Open"))</x:f>
        <x:v>Open</x:v>
      </x:c>
      <x:c r="O128" s="14"/>
      <x:c r="P128" s="14" t="n">
        <x:f>IF(107&gt;$B$10,"",MATCH(107,Tasks!$S$10:$S$1941,0))</x:f>
        <x:v>211</x:v>
      </x:c>
    </x:row>
    <x:row r="129" ht="58" customHeight="1">
      <x:c r="B129" s="86" t="str">
        <x:f>IF($P129="","",INDEX(Tasks!$B$10:$B$1941,$P129))</x:f>
        <x:v>Cycle 2</x:v>
      </x:c>
      <x:c r="C129" s="86" t="str">
        <x:f>IF($P129="","",INDEX(Tasks!$C$10:$C$1941,$P129))</x:f>
        <x:v>Phase 2</x:v>
      </x:c>
      <x:c r="D129" s="86" t="str">
        <x:f>IF($P129="","",INDEX(Tasks!$D$10:$D$1941,$P129))</x:f>
        <x:v>Cards</x:v>
      </x:c>
      <x:c r="E129" s="86"/>
      <x:c r="F129" s="86" t="str">
        <x:f>IF($P129="","",INDEX(Tasks!$E$10:$E$1941,$P129))</x:f>
        <x:v>Data &amp; Reporting</x:v>
      </x:c>
      <x:c r="G129" s="86"/>
      <x:c r="H129" s="14" t="str">
        <x:f>IF($P129="","",INDEX(Tasks!$F$10:$F$1941,$P129)&amp;CHAR(10)&amp;INDEX(Tasks!$G$10:$G$1941,$P129))</x:f>
        <x:v>DR.CA.2.1
Ensure data is clean, structured, and usable without manipulation needed</x:v>
      </x:c>
      <x:c r="I129" s="14"/>
      <x:c r="J129" s="14"/>
      <x:c r="K129" s="14"/>
      <x:c r="L129" s="86" t="str">
        <x:f>IF($P129="","",INDEX(Tasks!$N$10:$N$1941,$P129))</x:f>
        <x:v>Not started</x:v>
      </x:c>
      <x:c r="M129" s="87" t="n">
        <x:f>IF($P129="","",INDEX(Tasks!$J$10:$J$1941,$P129))</x:f>
        <x:v>46203</x:v>
      </x:c>
      <x:c r="N129" s="85" t="str">
        <x:f>IF($P129="","",HYPERLINK("#'"&amp;INDEX(Tasks!$T$10:$T$1941,$P129)&amp;"'!A"&amp;INDEX(Tasks!$U$10:$U$1941,$P129),"Open"))</x:f>
        <x:v>Open</x:v>
      </x:c>
      <x:c r="O129" s="14"/>
      <x:c r="P129" s="14" t="n">
        <x:f>IF(108&gt;$B$10,"",MATCH(108,Tasks!$S$10:$S$1941,0))</x:f>
        <x:v>225</x:v>
      </x:c>
    </x:row>
    <x:row r="130" ht="58" customHeight="1">
      <x:c r="B130" s="86" t="str">
        <x:f>IF($P130="","",INDEX(Tasks!$B$10:$B$1941,$P130))</x:f>
        <x:v>Cycle 2</x:v>
      </x:c>
      <x:c r="C130" s="86" t="str">
        <x:f>IF($P130="","",INDEX(Tasks!$C$10:$C$1941,$P130))</x:f>
        <x:v>Phase 2</x:v>
      </x:c>
      <x:c r="D130" s="86" t="str">
        <x:f>IF($P130="","",INDEX(Tasks!$D$10:$D$1941,$P130))</x:f>
        <x:v>Cards</x:v>
      </x:c>
      <x:c r="E130" s="86"/>
      <x:c r="F130" s="86" t="str">
        <x:f>IF($P130="","",INDEX(Tasks!$E$10:$E$1941,$P130))</x:f>
        <x:v>Data &amp; Reporting</x:v>
      </x:c>
      <x:c r="G130" s="86"/>
      <x:c r="H130" s="14" t="str">
        <x:f>IF($P130="","",INDEX(Tasks!$F$10:$F$1941,$P130)&amp;CHAR(10)&amp;INDEX(Tasks!$G$10:$G$1941,$P130))</x:f>
        <x:v>DR.CA.2.2
Clearly document rationale for each topic recommendation within the SharePoint list</x:v>
      </x:c>
      <x:c r="I130" s="14"/>
      <x:c r="J130" s="14"/>
      <x:c r="K130" s="14"/>
      <x:c r="L130" s="86" t="str">
        <x:f>IF($P130="","",INDEX(Tasks!$N$10:$N$1941,$P130))</x:f>
        <x:v>Not started</x:v>
      </x:c>
      <x:c r="M130" s="87" t="n">
        <x:f>IF($P130="","",INDEX(Tasks!$J$10:$J$1941,$P130))</x:f>
        <x:v>46203</x:v>
      </x:c>
      <x:c r="N130" s="85" t="str">
        <x:f>IF($P130="","",HYPERLINK("#'"&amp;INDEX(Tasks!$T$10:$T$1941,$P130)&amp;"'!A"&amp;INDEX(Tasks!$U$10:$U$1941,$P130),"Open"))</x:f>
        <x:v>Open</x:v>
      </x:c>
      <x:c r="O130" s="14"/>
      <x:c r="P130" s="14" t="n">
        <x:f>IF(109&gt;$B$10,"",MATCH(109,Tasks!$S$10:$S$1941,0))</x:f>
        <x:v>226</x:v>
      </x:c>
    </x:row>
    <x:row r="131" ht="58" customHeight="1">
      <x:c r="B131" s="86" t="str">
        <x:f>IF($P131="","",INDEX(Tasks!$B$10:$B$1941,$P131))</x:f>
        <x:v>Cycle 2</x:v>
      </x:c>
      <x:c r="C131" s="86" t="str">
        <x:f>IF($P131="","",INDEX(Tasks!$C$10:$C$1941,$P131))</x:f>
        <x:v>Phase 2</x:v>
      </x:c>
      <x:c r="D131" s="86" t="str">
        <x:f>IF($P131="","",INDEX(Tasks!$D$10:$D$1941,$P131))</x:f>
        <x:v>Cards</x:v>
      </x:c>
      <x:c r="E131" s="86"/>
      <x:c r="F131" s="86" t="str">
        <x:f>IF($P131="","",INDEX(Tasks!$E$10:$E$1941,$P131))</x:f>
        <x:v>Data &amp; Reporting</x:v>
      </x:c>
      <x:c r="G131" s="86"/>
      <x:c r="H131" s="14" t="str">
        <x:f>IF($P131="","",INDEX(Tasks!$F$10:$F$1941,$P131)&amp;CHAR(10)&amp;INDEX(Tasks!$G$10:$G$1941,$P131))</x:f>
        <x:v>DR.CA.2.3
Verify topic is eligible for RCA and does not conflict with Attorney Client Privilege</x:v>
      </x:c>
      <x:c r="I131" s="14"/>
      <x:c r="J131" s="14"/>
      <x:c r="K131" s="14"/>
      <x:c r="L131" s="86" t="str">
        <x:f>IF($P131="","",INDEX(Tasks!$N$10:$N$1941,$P131))</x:f>
        <x:v>Not started</x:v>
      </x:c>
      <x:c r="M131" s="87" t="n">
        <x:f>IF($P131="","",INDEX(Tasks!$J$10:$J$1941,$P131))</x:f>
        <x:v>46203</x:v>
      </x:c>
      <x:c r="N131" s="85" t="str">
        <x:f>IF($P131="","",HYPERLINK("#'"&amp;INDEX(Tasks!$T$10:$T$1941,$P131)&amp;"'!A"&amp;INDEX(Tasks!$U$10:$U$1941,$P131),"Open"))</x:f>
        <x:v>Open</x:v>
      </x:c>
      <x:c r="O131" s="14"/>
      <x:c r="P131" s="14" t="n">
        <x:f>IF(110&gt;$B$10,"",MATCH(110,Tasks!$S$10:$S$1941,0))</x:f>
        <x:v>227</x:v>
      </x:c>
    </x:row>
    <x:row r="132" ht="58" customHeight="1">
      <x:c r="B132" s="86" t="str">
        <x:f>IF($P132="","",INDEX(Tasks!$B$10:$B$1941,$P132))</x:f>
        <x:v>Cycle 2</x:v>
      </x:c>
      <x:c r="C132" s="86" t="str">
        <x:f>IF($P132="","",INDEX(Tasks!$C$10:$C$1941,$P132))</x:f>
        <x:v>Phase 2</x:v>
      </x:c>
      <x:c r="D132" s="86" t="str">
        <x:f>IF($P132="","",INDEX(Tasks!$D$10:$D$1941,$P132))</x:f>
        <x:v>Cards</x:v>
      </x:c>
      <x:c r="E132" s="86"/>
      <x:c r="F132" s="86" t="str">
        <x:f>IF($P132="","",INDEX(Tasks!$E$10:$E$1941,$P132))</x:f>
        <x:v>Data &amp; Reporting</x:v>
      </x:c>
      <x:c r="G132" s="86"/>
      <x:c r="H132" s="14" t="str">
        <x:f>IF($P132="","",INDEX(Tasks!$F$10:$F$1941,$P132)&amp;CHAR(10)&amp;INDEX(Tasks!$G$10:$G$1941,$P132))</x:f>
        <x:v>DR.CA.2.4
Ensure data is free of errors and anomalies prior to hand-off to Research</x:v>
      </x:c>
      <x:c r="I132" s="14"/>
      <x:c r="J132" s="14"/>
      <x:c r="K132" s="14"/>
      <x:c r="L132" s="86" t="str">
        <x:f>IF($P132="","",INDEX(Tasks!$N$10:$N$1941,$P132))</x:f>
        <x:v>Not started</x:v>
      </x:c>
      <x:c r="M132" s="87" t="n">
        <x:f>IF($P132="","",INDEX(Tasks!$J$10:$J$1941,$P132))</x:f>
        <x:v>46203</x:v>
      </x:c>
      <x:c r="N132" s="85" t="str">
        <x:f>IF($P132="","",HYPERLINK("#'"&amp;INDEX(Tasks!$T$10:$T$1941,$P132)&amp;"'!A"&amp;INDEX(Tasks!$U$10:$U$1941,$P132),"Open"))</x:f>
        <x:v>Open</x:v>
      </x:c>
      <x:c r="O132" s="14"/>
      <x:c r="P132" s="14" t="n">
        <x:f>IF(111&gt;$B$10,"",MATCH(111,Tasks!$S$10:$S$1941,0))</x:f>
        <x:v>228</x:v>
      </x:c>
    </x:row>
    <x:row r="133" ht="58" customHeight="1">
      <x:c r="B133" s="86" t="str">
        <x:f>IF($P133="","",INDEX(Tasks!$B$10:$B$1941,$P133))</x:f>
        <x:v>Cycle 2</x:v>
      </x:c>
      <x:c r="C133" s="86" t="str">
        <x:f>IF($P133="","",INDEX(Tasks!$C$10:$C$1941,$P133))</x:f>
        <x:v>Phase 2</x:v>
      </x:c>
      <x:c r="D133" s="86" t="str">
        <x:f>IF($P133="","",INDEX(Tasks!$D$10:$D$1941,$P133))</x:f>
        <x:v>Cards</x:v>
      </x:c>
      <x:c r="E133" s="86"/>
      <x:c r="F133" s="86" t="str">
        <x:f>IF($P133="","",INDEX(Tasks!$E$10:$E$1941,$P133))</x:f>
        <x:v>Data &amp; Reporting</x:v>
      </x:c>
      <x:c r="G133" s="86"/>
      <x:c r="H133" s="14" t="str">
        <x:f>IF($P133="","",INDEX(Tasks!$F$10:$F$1941,$P133)&amp;CHAR(10)&amp;INDEX(Tasks!$G$10:$G$1941,$P133))</x:f>
        <x:v>DR.CA.2.5
Ensure topic is not a duplicate from a previous Cycle</x:v>
      </x:c>
      <x:c r="I133" s="14"/>
      <x:c r="J133" s="14"/>
      <x:c r="K133" s="14"/>
      <x:c r="L133" s="86" t="str">
        <x:f>IF($P133="","",INDEX(Tasks!$N$10:$N$1941,$P133))</x:f>
        <x:v>Not started</x:v>
      </x:c>
      <x:c r="M133" s="87" t="n">
        <x:f>IF($P133="","",INDEX(Tasks!$J$10:$J$1941,$P133))</x:f>
        <x:v>46203</x:v>
      </x:c>
      <x:c r="N133" s="85" t="str">
        <x:f>IF($P133="","",HYPERLINK("#'"&amp;INDEX(Tasks!$T$10:$T$1941,$P133)&amp;"'!A"&amp;INDEX(Tasks!$U$10:$U$1941,$P133),"Open"))</x:f>
        <x:v>Open</x:v>
      </x:c>
      <x:c r="O133" s="14"/>
      <x:c r="P133" s="14" t="n">
        <x:f>IF(112&gt;$B$10,"",MATCH(112,Tasks!$S$10:$S$1941,0))</x:f>
        <x:v>229</x:v>
      </x:c>
    </x:row>
    <x:row r="134" ht="58" customHeight="1">
      <x:c r="B134" s="86" t="str">
        <x:f>IF($P134="","",INDEX(Tasks!$B$10:$B$1941,$P134))</x:f>
        <x:v>Cycle 2</x:v>
      </x:c>
      <x:c r="C134" s="86" t="str">
        <x:f>IF($P134="","",INDEX(Tasks!$C$10:$C$1941,$P134))</x:f>
        <x:v>Phase 2</x:v>
      </x:c>
      <x:c r="D134" s="86" t="str">
        <x:f>IF($P134="","",INDEX(Tasks!$D$10:$D$1941,$P134))</x:f>
        <x:v>Cards</x:v>
      </x:c>
      <x:c r="E134" s="86"/>
      <x:c r="F134" s="86" t="str">
        <x:f>IF($P134="","",INDEX(Tasks!$E$10:$E$1941,$P134))</x:f>
        <x:v>Data &amp; Reporting</x:v>
      </x:c>
      <x:c r="G134" s="86"/>
      <x:c r="H134" s="14" t="str">
        <x:f>IF($P134="","",INDEX(Tasks!$F$10:$F$1941,$P134)&amp;CHAR(10)&amp;INDEX(Tasks!$G$10:$G$1941,$P134))</x:f>
        <x:v>DR.CA.2.6
Document clear distinctions between facts, assumptions, and hypotheses within the data package</x:v>
      </x:c>
      <x:c r="I134" s="14"/>
      <x:c r="J134" s="14"/>
      <x:c r="K134" s="14"/>
      <x:c r="L134" s="86" t="str">
        <x:f>IF($P134="","",INDEX(Tasks!$N$10:$N$1941,$P134))</x:f>
        <x:v>Not started</x:v>
      </x:c>
      <x:c r="M134" s="87" t="n">
        <x:f>IF($P134="","",INDEX(Tasks!$J$10:$J$1941,$P134))</x:f>
        <x:v>46203</x:v>
      </x:c>
      <x:c r="N134" s="85" t="str">
        <x:f>IF($P134="","",HYPERLINK("#'"&amp;INDEX(Tasks!$T$10:$T$1941,$P134)&amp;"'!A"&amp;INDEX(Tasks!$U$10:$U$1941,$P134),"Open"))</x:f>
        <x:v>Open</x:v>
      </x:c>
      <x:c r="O134" s="14"/>
      <x:c r="P134" s="14" t="n">
        <x:f>IF(113&gt;$B$10,"",MATCH(113,Tasks!$S$10:$S$1941,0))</x:f>
        <x:v>230</x:v>
      </x:c>
    </x:row>
    <x:row r="135" ht="58" customHeight="1">
      <x:c r="B135" s="86" t="str">
        <x:f>IF($P135="","",INDEX(Tasks!$B$10:$B$1941,$P135))</x:f>
        <x:v>Cycle 2</x:v>
      </x:c>
      <x:c r="C135" s="86" t="str">
        <x:f>IF($P135="","",INDEX(Tasks!$C$10:$C$1941,$P135))</x:f>
        <x:v>Phase 3</x:v>
      </x:c>
      <x:c r="D135" s="86" t="str">
        <x:f>IF($P135="","",INDEX(Tasks!$D$10:$D$1941,$P135))</x:f>
        <x:v>Cards</x:v>
      </x:c>
      <x:c r="E135" s="86"/>
      <x:c r="F135" s="86" t="str">
        <x:f>IF($P135="","",INDEX(Tasks!$E$10:$E$1941,$P135))</x:f>
        <x:v>Data &amp; Reporting</x:v>
      </x:c>
      <x:c r="G135" s="86"/>
      <x:c r="H135" s="14" t="str">
        <x:f>IF($P135="","",INDEX(Tasks!$F$10:$F$1941,$P135)&amp;CHAR(10)&amp;INDEX(Tasks!$G$10:$G$1941,$P135))</x:f>
        <x:v>DR.CA.3.1
Clearly document rationale for each topic recommendation within the SharePoint list item</x:v>
      </x:c>
      <x:c r="I135" s="14"/>
      <x:c r="J135" s="14"/>
      <x:c r="K135" s="14"/>
      <x:c r="L135" s="86" t="str">
        <x:f>IF($P135="","",INDEX(Tasks!$N$10:$N$1941,$P135))</x:f>
        <x:v>Not started</x:v>
      </x:c>
      <x:c r="M135" s="87" t="n">
        <x:f>IF($P135="","",INDEX(Tasks!$J$10:$J$1941,$P135))</x:f>
        <x:v>46203</x:v>
      </x:c>
      <x:c r="N135" s="85" t="str">
        <x:f>IF($P135="","",HYPERLINK("#'"&amp;INDEX(Tasks!$T$10:$T$1941,$P135)&amp;"'!A"&amp;INDEX(Tasks!$U$10:$U$1941,$P135),"Open"))</x:f>
        <x:v>Open</x:v>
      </x:c>
      <x:c r="O135" s="14"/>
      <x:c r="P135" s="14" t="n">
        <x:f>IF(114&gt;$B$10,"",MATCH(114,Tasks!$S$10:$S$1941,0))</x:f>
        <x:v>231</x:v>
      </x:c>
    </x:row>
    <x:row r="136" ht="58" customHeight="1">
      <x:c r="B136" s="86" t="str">
        <x:f>IF($P136="","",INDEX(Tasks!$B$10:$B$1941,$P136))</x:f>
        <x:v>Cycle 2</x:v>
      </x:c>
      <x:c r="C136" s="86" t="str">
        <x:f>IF($P136="","",INDEX(Tasks!$C$10:$C$1941,$P136))</x:f>
        <x:v>Phase 3</x:v>
      </x:c>
      <x:c r="D136" s="86" t="str">
        <x:f>IF($P136="","",INDEX(Tasks!$D$10:$D$1941,$P136))</x:f>
        <x:v>Cards</x:v>
      </x:c>
      <x:c r="E136" s="86"/>
      <x:c r="F136" s="86" t="str">
        <x:f>IF($P136="","",INDEX(Tasks!$E$10:$E$1941,$P136))</x:f>
        <x:v>Data &amp; Reporting</x:v>
      </x:c>
      <x:c r="G136" s="86"/>
      <x:c r="H136" s="14" t="str">
        <x:f>IF($P136="","",INDEX(Tasks!$F$10:$F$1941,$P136)&amp;CHAR(10)&amp;INDEX(Tasks!$G$10:$G$1941,$P136))</x:f>
        <x:v>DR.CA.3.2
Attach the data package for each topic recommendation within the SharePoint list item</x:v>
      </x:c>
      <x:c r="I136" s="14"/>
      <x:c r="J136" s="14"/>
      <x:c r="K136" s="14"/>
      <x:c r="L136" s="86" t="str">
        <x:f>IF($P136="","",INDEX(Tasks!$N$10:$N$1941,$P136))</x:f>
        <x:v>Not started</x:v>
      </x:c>
      <x:c r="M136" s="87" t="n">
        <x:f>IF($P136="","",INDEX(Tasks!$J$10:$J$1941,$P136))</x:f>
        <x:v>46203</x:v>
      </x:c>
      <x:c r="N136" s="85" t="str">
        <x:f>IF($P136="","",HYPERLINK("#'"&amp;INDEX(Tasks!$T$10:$T$1941,$P136)&amp;"'!A"&amp;INDEX(Tasks!$U$10:$U$1941,$P136),"Open"))</x:f>
        <x:v>Open</x:v>
      </x:c>
      <x:c r="O136" s="14"/>
      <x:c r="P136" s="14" t="n">
        <x:f>IF(115&gt;$B$10,"",MATCH(115,Tasks!$S$10:$S$1941,0))</x:f>
        <x:v>232</x:v>
      </x:c>
    </x:row>
    <x:row r="137" ht="58" customHeight="1">
      <x:c r="B137" s="86" t="str">
        <x:f>IF($P137="","",INDEX(Tasks!$B$10:$B$1941,$P137))</x:f>
        <x:v>Cycle 2</x:v>
      </x:c>
      <x:c r="C137" s="86" t="str">
        <x:f>IF($P137="","",INDEX(Tasks!$C$10:$C$1941,$P137))</x:f>
        <x:v>Phase 3</x:v>
      </x:c>
      <x:c r="D137" s="86" t="str">
        <x:f>IF($P137="","",INDEX(Tasks!$D$10:$D$1941,$P137))</x:f>
        <x:v>Cards</x:v>
      </x:c>
      <x:c r="E137" s="86"/>
      <x:c r="F137" s="86" t="str">
        <x:f>IF($P137="","",INDEX(Tasks!$E$10:$E$1941,$P137))</x:f>
        <x:v>Data &amp; Reporting</x:v>
      </x:c>
      <x:c r="G137" s="86"/>
      <x:c r="H137" s="14" t="str">
        <x:f>IF($P137="","",INDEX(Tasks!$F$10:$F$1941,$P137)&amp;CHAR(10)&amp;INDEX(Tasks!$G$10:$G$1941,$P137))</x:f>
        <x:v>DR.CA.3.3
Confirm data privileges have been granted, ensuring each pillar can access</x:v>
      </x:c>
      <x:c r="I137" s="14"/>
      <x:c r="J137" s="14"/>
      <x:c r="K137" s="14"/>
      <x:c r="L137" s="86" t="str">
        <x:f>IF($P137="","",INDEX(Tasks!$N$10:$N$1941,$P137))</x:f>
        <x:v>Not started</x:v>
      </x:c>
      <x:c r="M137" s="87" t="n">
        <x:f>IF($P137="","",INDEX(Tasks!$J$10:$J$1941,$P137))</x:f>
        <x:v>46203</x:v>
      </x:c>
      <x:c r="N137" s="85" t="str">
        <x:f>IF($P137="","",HYPERLINK("#'"&amp;INDEX(Tasks!$T$10:$T$1941,$P137)&amp;"'!A"&amp;INDEX(Tasks!$U$10:$U$1941,$P137),"Open"))</x:f>
        <x:v>Open</x:v>
      </x:c>
      <x:c r="O137" s="14"/>
      <x:c r="P137" s="14" t="n">
        <x:f>IF(116&gt;$B$10,"",MATCH(116,Tasks!$S$10:$S$1941,0))</x:f>
        <x:v>233</x:v>
      </x:c>
    </x:row>
    <x:row r="138" ht="58" customHeight="1">
      <x:c r="B138" s="86" t="str">
        <x:f>IF($P138="","",INDEX(Tasks!$B$10:$B$1941,$P138))</x:f>
        <x:v>Cycle 2</x:v>
      </x:c>
      <x:c r="C138" s="86" t="str">
        <x:f>IF($P138="","",INDEX(Tasks!$C$10:$C$1941,$P138))</x:f>
        <x:v>Phase 3</x:v>
      </x:c>
      <x:c r="D138" s="86" t="str">
        <x:f>IF($P138="","",INDEX(Tasks!$D$10:$D$1941,$P138))</x:f>
        <x:v>Cards</x:v>
      </x:c>
      <x:c r="E138" s="86"/>
      <x:c r="F138" s="86" t="str">
        <x:f>IF($P138="","",INDEX(Tasks!$E$10:$E$1941,$P138))</x:f>
        <x:v>Data &amp; Reporting</x:v>
      </x:c>
      <x:c r="G138" s="86"/>
      <x:c r="H138" s="14" t="str">
        <x:f>IF($P138="","",INDEX(Tasks!$F$10:$F$1941,$P138)&amp;CHAR(10)&amp;INDEX(Tasks!$G$10:$G$1941,$P138))</x:f>
        <x:v>DR.CA.3.4
Ensure Power Automate notifications were correctly triggered within Microsoft Teams</x:v>
      </x:c>
      <x:c r="I138" s="14"/>
      <x:c r="J138" s="14"/>
      <x:c r="K138" s="14"/>
      <x:c r="L138" s="86" t="str">
        <x:f>IF($P138="","",INDEX(Tasks!$N$10:$N$1941,$P138))</x:f>
        <x:v>Not started</x:v>
      </x:c>
      <x:c r="M138" s="87" t="n">
        <x:f>IF($P138="","",INDEX(Tasks!$J$10:$J$1941,$P138))</x:f>
        <x:v>46203</x:v>
      </x:c>
      <x:c r="N138" s="85" t="str">
        <x:f>IF($P138="","",HYPERLINK("#'"&amp;INDEX(Tasks!$T$10:$T$1941,$P138)&amp;"'!A"&amp;INDEX(Tasks!$U$10:$U$1941,$P138),"Open"))</x:f>
        <x:v>Open</x:v>
      </x:c>
      <x:c r="O138" s="14"/>
      <x:c r="P138" s="14" t="n">
        <x:f>IF(117&gt;$B$10,"",MATCH(117,Tasks!$S$10:$S$1941,0))</x:f>
        <x:v>234</x:v>
      </x:c>
    </x:row>
    <x:row r="139" ht="58" customHeight="1">
      <x:c r="B139" s="86" t="str">
        <x:f>IF($P139="","",INDEX(Tasks!$B$10:$B$1941,$P139))</x:f>
        <x:v>Cycle 2</x:v>
      </x:c>
      <x:c r="C139" s="86" t="str">
        <x:f>IF($P139="","",INDEX(Tasks!$C$10:$C$1941,$P139))</x:f>
        <x:v>Phase 1</x:v>
      </x:c>
      <x:c r="D139" s="86" t="str">
        <x:f>IF($P139="","",INDEX(Tasks!$D$10:$D$1941,$P139))</x:f>
        <x:v>CSBBO - Banking Ops</x:v>
      </x:c>
      <x:c r="E139" s="86"/>
      <x:c r="F139" s="86" t="str">
        <x:f>IF($P139="","",INDEX(Tasks!$E$10:$E$1941,$P139))</x:f>
        <x:v>Data &amp; Reporting</x:v>
      </x:c>
      <x:c r="G139" s="86"/>
      <x:c r="H139" s="14" t="str">
        <x:f>IF($P139="","",INDEX(Tasks!$F$10:$F$1941,$P139)&amp;CHAR(10)&amp;INDEX(Tasks!$G$10:$G$1941,$P139))</x:f>
        <x:v>DR.BO.1.1
Review data sources 3 weeks prior to Cycle start (Complaints, Gen AI, Loudspeaker, NPS, etc.)</x:v>
      </x:c>
      <x:c r="I139" s="14"/>
      <x:c r="J139" s="14"/>
      <x:c r="K139" s="14"/>
      <x:c r="L139" s="86" t="str">
        <x:f>IF($P139="","",INDEX(Tasks!$N$10:$N$1941,$P139))</x:f>
        <x:v>Not started</x:v>
      </x:c>
      <x:c r="M139" s="87" t="n">
        <x:f>IF($P139="","",INDEX(Tasks!$J$10:$J$1941,$P139))</x:f>
        <x:v>46092</x:v>
      </x:c>
      <x:c r="N139" s="85" t="str">
        <x:f>IF($P139="","",HYPERLINK("#'"&amp;INDEX(Tasks!$T$10:$T$1941,$P139)&amp;"'!A"&amp;INDEX(Tasks!$U$10:$U$1941,$P139),"Open"))</x:f>
        <x:v>Open</x:v>
      </x:c>
      <x:c r="O139" s="14"/>
      <x:c r="P139" s="14" t="n">
        <x:f>IF(118&gt;$B$10,"",MATCH(118,Tasks!$S$10:$S$1941,0))</x:f>
        <x:v>235</x:v>
      </x:c>
    </x:row>
    <x:row r="140" ht="58" customHeight="1">
      <x:c r="B140" s="86" t="str">
        <x:f>IF($P140="","",INDEX(Tasks!$B$10:$B$1941,$P140))</x:f>
        <x:v>Cycle 2</x:v>
      </x:c>
      <x:c r="C140" s="86" t="str">
        <x:f>IF($P140="","",INDEX(Tasks!$C$10:$C$1941,$P140))</x:f>
        <x:v>Phase 1</x:v>
      </x:c>
      <x:c r="D140" s="86" t="str">
        <x:f>IF($P140="","",INDEX(Tasks!$D$10:$D$1941,$P140))</x:f>
        <x:v>CSBBO - Banking Ops</x:v>
      </x:c>
      <x:c r="E140" s="86"/>
      <x:c r="F140" s="86" t="str">
        <x:f>IF($P140="","",INDEX(Tasks!$E$10:$E$1941,$P140))</x:f>
        <x:v>Data &amp; Reporting</x:v>
      </x:c>
      <x:c r="G140" s="86"/>
      <x:c r="H140" s="14" t="str">
        <x:f>IF($P140="","",INDEX(Tasks!$F$10:$F$1941,$P140)&amp;CHAR(10)&amp;INDEX(Tasks!$G$10:$G$1941,$P140))</x:f>
        <x:v>DR.BO.1.2
Identify two potential topics for the upcoming Cycle</x:v>
      </x:c>
      <x:c r="I140" s="14"/>
      <x:c r="J140" s="14"/>
      <x:c r="K140" s="14"/>
      <x:c r="L140" s="86" t="str">
        <x:f>IF($P140="","",INDEX(Tasks!$N$10:$N$1941,$P140))</x:f>
        <x:v>Not started</x:v>
      </x:c>
      <x:c r="M140" s="87" t="n">
        <x:f>IF($P140="","",INDEX(Tasks!$J$10:$J$1941,$P140))</x:f>
        <x:v>46203</x:v>
      </x:c>
      <x:c r="N140" s="85" t="str">
        <x:f>IF($P140="","",HYPERLINK("#'"&amp;INDEX(Tasks!$T$10:$T$1941,$P140)&amp;"'!A"&amp;INDEX(Tasks!$U$10:$U$1941,$P140),"Open"))</x:f>
        <x:v>Open</x:v>
      </x:c>
      <x:c r="O140" s="14"/>
      <x:c r="P140" s="14" t="n">
        <x:f>IF(119&gt;$B$10,"",MATCH(119,Tasks!$S$10:$S$1941,0))</x:f>
        <x:v>236</x:v>
      </x:c>
    </x:row>
    <x:row r="141" ht="58" customHeight="1">
      <x:c r="B141" s="86" t="str">
        <x:f>IF($P141="","",INDEX(Tasks!$B$10:$B$1941,$P141))</x:f>
        <x:v>Cycle 2</x:v>
      </x:c>
      <x:c r="C141" s="86" t="str">
        <x:f>IF($P141="","",INDEX(Tasks!$C$10:$C$1941,$P141))</x:f>
        <x:v>Phase 1</x:v>
      </x:c>
      <x:c r="D141" s="86" t="str">
        <x:f>IF($P141="","",INDEX(Tasks!$D$10:$D$1941,$P141))</x:f>
        <x:v>CSBBO - Banking Ops</x:v>
      </x:c>
      <x:c r="E141" s="86"/>
      <x:c r="F141" s="86" t="str">
        <x:f>IF($P141="","",INDEX(Tasks!$E$10:$E$1941,$P141))</x:f>
        <x:v>Data &amp; Reporting</x:v>
      </x:c>
      <x:c r="G141" s="86"/>
      <x:c r="H141" s="14" t="str">
        <x:f>IF($P141="","",INDEX(Tasks!$F$10:$F$1941,$P141)&amp;CHAR(10)&amp;INDEX(Tasks!$G$10:$G$1941,$P141))</x:f>
        <x:v>DR.BO.1.3
Extract data for both potential topics, ensuring all checklist items below are included/completed</x:v>
      </x:c>
      <x:c r="I141" s="14"/>
      <x:c r="J141" s="14"/>
      <x:c r="K141" s="14"/>
      <x:c r="L141" s="86" t="str">
        <x:f>IF($P141="","",INDEX(Tasks!$N$10:$N$1941,$P141))</x:f>
        <x:v>Not started</x:v>
      </x:c>
      <x:c r="M141" s="87" t="n">
        <x:f>IF($P141="","",INDEX(Tasks!$J$10:$J$1941,$P141))</x:f>
        <x:v>46203</x:v>
      </x:c>
      <x:c r="N141" s="85" t="str">
        <x:f>IF($P141="","",HYPERLINK("#'"&amp;INDEX(Tasks!$T$10:$T$1941,$P141)&amp;"'!A"&amp;INDEX(Tasks!$U$10:$U$1941,$P141),"Open"))</x:f>
        <x:v>Open</x:v>
      </x:c>
      <x:c r="O141" s="14"/>
      <x:c r="P141" s="14" t="n">
        <x:f>IF(120&gt;$B$10,"",MATCH(120,Tasks!$S$10:$S$1941,0))</x:f>
        <x:v>237</x:v>
      </x:c>
    </x:row>
    <x:row r="142" ht="58" customHeight="1">
      <x:c r="B142" s="86" t="str">
        <x:f>IF($P142="","",INDEX(Tasks!$B$10:$B$1941,$P142))</x:f>
        <x:v>Cycle 2</x:v>
      </x:c>
      <x:c r="C142" s="86" t="str">
        <x:f>IF($P142="","",INDEX(Tasks!$C$10:$C$1941,$P142))</x:f>
        <x:v>Phase 2</x:v>
      </x:c>
      <x:c r="D142" s="86" t="str">
        <x:f>IF($P142="","",INDEX(Tasks!$D$10:$D$1941,$P142))</x:f>
        <x:v>CSBBO - Banking Ops</x:v>
      </x:c>
      <x:c r="E142" s="86"/>
      <x:c r="F142" s="86" t="str">
        <x:f>IF($P142="","",INDEX(Tasks!$E$10:$E$1941,$P142))</x:f>
        <x:v>Data &amp; Reporting</x:v>
      </x:c>
      <x:c r="G142" s="86"/>
      <x:c r="H142" s="14" t="str">
        <x:f>IF($P142="","",INDEX(Tasks!$F$10:$F$1941,$P142)&amp;CHAR(10)&amp;INDEX(Tasks!$G$10:$G$1941,$P142))</x:f>
        <x:v>DR.BO.2.1
Ensure data is clean, structured, and usable without manipulation needed</x:v>
      </x:c>
      <x:c r="I142" s="14"/>
      <x:c r="J142" s="14"/>
      <x:c r="K142" s="14"/>
      <x:c r="L142" s="86" t="str">
        <x:f>IF($P142="","",INDEX(Tasks!$N$10:$N$1941,$P142))</x:f>
        <x:v>Not started</x:v>
      </x:c>
      <x:c r="M142" s="87" t="n">
        <x:f>IF($P142="","",INDEX(Tasks!$J$10:$J$1941,$P142))</x:f>
        <x:v>46203</x:v>
      </x:c>
      <x:c r="N142" s="85" t="str">
        <x:f>IF($P142="","",HYPERLINK("#'"&amp;INDEX(Tasks!$T$10:$T$1941,$P142)&amp;"'!A"&amp;INDEX(Tasks!$U$10:$U$1941,$P142),"Open"))</x:f>
        <x:v>Open</x:v>
      </x:c>
      <x:c r="O142" s="14"/>
      <x:c r="P142" s="14" t="n">
        <x:f>IF(121&gt;$B$10,"",MATCH(121,Tasks!$S$10:$S$1941,0))</x:f>
        <x:v>251</x:v>
      </x:c>
    </x:row>
    <x:row r="143" ht="58" customHeight="1">
      <x:c r="B143" s="86" t="str">
        <x:f>IF($P143="","",INDEX(Tasks!$B$10:$B$1941,$P143))</x:f>
        <x:v>Cycle 2</x:v>
      </x:c>
      <x:c r="C143" s="86" t="str">
        <x:f>IF($P143="","",INDEX(Tasks!$C$10:$C$1941,$P143))</x:f>
        <x:v>Phase 2</x:v>
      </x:c>
      <x:c r="D143" s="86" t="str">
        <x:f>IF($P143="","",INDEX(Tasks!$D$10:$D$1941,$P143))</x:f>
        <x:v>CSBBO - Banking Ops</x:v>
      </x:c>
      <x:c r="E143" s="86"/>
      <x:c r="F143" s="86" t="str">
        <x:f>IF($P143="","",INDEX(Tasks!$E$10:$E$1941,$P143))</x:f>
        <x:v>Data &amp; Reporting</x:v>
      </x:c>
      <x:c r="G143" s="86"/>
      <x:c r="H143" s="14" t="str">
        <x:f>IF($P143="","",INDEX(Tasks!$F$10:$F$1941,$P143)&amp;CHAR(10)&amp;INDEX(Tasks!$G$10:$G$1941,$P143))</x:f>
        <x:v>DR.BO.2.2
Clearly document rationale for each topic recommendation within the SharePoint list</x:v>
      </x:c>
      <x:c r="I143" s="14"/>
      <x:c r="J143" s="14"/>
      <x:c r="K143" s="14"/>
      <x:c r="L143" s="86" t="str">
        <x:f>IF($P143="","",INDEX(Tasks!$N$10:$N$1941,$P143))</x:f>
        <x:v>Not started</x:v>
      </x:c>
      <x:c r="M143" s="87" t="n">
        <x:f>IF($P143="","",INDEX(Tasks!$J$10:$J$1941,$P143))</x:f>
        <x:v>46203</x:v>
      </x:c>
      <x:c r="N143" s="85" t="str">
        <x:f>IF($P143="","",HYPERLINK("#'"&amp;INDEX(Tasks!$T$10:$T$1941,$P143)&amp;"'!A"&amp;INDEX(Tasks!$U$10:$U$1941,$P143),"Open"))</x:f>
        <x:v>Open</x:v>
      </x:c>
      <x:c r="O143" s="14"/>
      <x:c r="P143" s="14" t="n">
        <x:f>IF(122&gt;$B$10,"",MATCH(122,Tasks!$S$10:$S$1941,0))</x:f>
        <x:v>252</x:v>
      </x:c>
    </x:row>
    <x:row r="144" ht="58" customHeight="1">
      <x:c r="B144" s="86" t="str">
        <x:f>IF($P144="","",INDEX(Tasks!$B$10:$B$1941,$P144))</x:f>
        <x:v>Cycle 2</x:v>
      </x:c>
      <x:c r="C144" s="86" t="str">
        <x:f>IF($P144="","",INDEX(Tasks!$C$10:$C$1941,$P144))</x:f>
        <x:v>Phase 2</x:v>
      </x:c>
      <x:c r="D144" s="86" t="str">
        <x:f>IF($P144="","",INDEX(Tasks!$D$10:$D$1941,$P144))</x:f>
        <x:v>CSBBO - Banking Ops</x:v>
      </x:c>
      <x:c r="E144" s="86"/>
      <x:c r="F144" s="86" t="str">
        <x:f>IF($P144="","",INDEX(Tasks!$E$10:$E$1941,$P144))</x:f>
        <x:v>Data &amp; Reporting</x:v>
      </x:c>
      <x:c r="G144" s="86"/>
      <x:c r="H144" s="14" t="str">
        <x:f>IF($P144="","",INDEX(Tasks!$F$10:$F$1941,$P144)&amp;CHAR(10)&amp;INDEX(Tasks!$G$10:$G$1941,$P144))</x:f>
        <x:v>DR.BO.2.3
Verify topic is eligible for RCA and does not conflict with Attorney Client Privilege</x:v>
      </x:c>
      <x:c r="I144" s="14"/>
      <x:c r="J144" s="14"/>
      <x:c r="K144" s="14"/>
      <x:c r="L144" s="86" t="str">
        <x:f>IF($P144="","",INDEX(Tasks!$N$10:$N$1941,$P144))</x:f>
        <x:v>Not started</x:v>
      </x:c>
      <x:c r="M144" s="87" t="n">
        <x:f>IF($P144="","",INDEX(Tasks!$J$10:$J$1941,$P144))</x:f>
        <x:v>46203</x:v>
      </x:c>
      <x:c r="N144" s="85" t="str">
        <x:f>IF($P144="","",HYPERLINK("#'"&amp;INDEX(Tasks!$T$10:$T$1941,$P144)&amp;"'!A"&amp;INDEX(Tasks!$U$10:$U$1941,$P144),"Open"))</x:f>
        <x:v>Open</x:v>
      </x:c>
      <x:c r="O144" s="14"/>
      <x:c r="P144" s="14" t="n">
        <x:f>IF(123&gt;$B$10,"",MATCH(123,Tasks!$S$10:$S$1941,0))</x:f>
        <x:v>253</x:v>
      </x:c>
    </x:row>
    <x:row r="145" ht="58" customHeight="1">
      <x:c r="B145" s="86" t="str">
        <x:f>IF($P145="","",INDEX(Tasks!$B$10:$B$1941,$P145))</x:f>
        <x:v>Cycle 2</x:v>
      </x:c>
      <x:c r="C145" s="86" t="str">
        <x:f>IF($P145="","",INDEX(Tasks!$C$10:$C$1941,$P145))</x:f>
        <x:v>Phase 2</x:v>
      </x:c>
      <x:c r="D145" s="86" t="str">
        <x:f>IF($P145="","",INDEX(Tasks!$D$10:$D$1941,$P145))</x:f>
        <x:v>CSBBO - Banking Ops</x:v>
      </x:c>
      <x:c r="E145" s="86"/>
      <x:c r="F145" s="86" t="str">
        <x:f>IF($P145="","",INDEX(Tasks!$E$10:$E$1941,$P145))</x:f>
        <x:v>Data &amp; Reporting</x:v>
      </x:c>
      <x:c r="G145" s="86"/>
      <x:c r="H145" s="14" t="str">
        <x:f>IF($P145="","",INDEX(Tasks!$F$10:$F$1941,$P145)&amp;CHAR(10)&amp;INDEX(Tasks!$G$10:$G$1941,$P145))</x:f>
        <x:v>DR.BO.2.4
Ensure data is free of errors and anomalies prior to hand-off to Research</x:v>
      </x:c>
      <x:c r="I145" s="14"/>
      <x:c r="J145" s="14"/>
      <x:c r="K145" s="14"/>
      <x:c r="L145" s="86" t="str">
        <x:f>IF($P145="","",INDEX(Tasks!$N$10:$N$1941,$P145))</x:f>
        <x:v>Not started</x:v>
      </x:c>
      <x:c r="M145" s="87" t="n">
        <x:f>IF($P145="","",INDEX(Tasks!$J$10:$J$1941,$P145))</x:f>
        <x:v>46203</x:v>
      </x:c>
      <x:c r="N145" s="85" t="str">
        <x:f>IF($P145="","",HYPERLINK("#'"&amp;INDEX(Tasks!$T$10:$T$1941,$P145)&amp;"'!A"&amp;INDEX(Tasks!$U$10:$U$1941,$P145),"Open"))</x:f>
        <x:v>Open</x:v>
      </x:c>
      <x:c r="O145" s="14"/>
      <x:c r="P145" s="14" t="n">
        <x:f>IF(124&gt;$B$10,"",MATCH(124,Tasks!$S$10:$S$1941,0))</x:f>
        <x:v>254</x:v>
      </x:c>
    </x:row>
    <x:row r="146" ht="58" customHeight="1">
      <x:c r="B146" s="86" t="str">
        <x:f>IF($P146="","",INDEX(Tasks!$B$10:$B$1941,$P146))</x:f>
        <x:v>Cycle 2</x:v>
      </x:c>
      <x:c r="C146" s="86" t="str">
        <x:f>IF($P146="","",INDEX(Tasks!$C$10:$C$1941,$P146))</x:f>
        <x:v>Phase 2</x:v>
      </x:c>
      <x:c r="D146" s="86" t="str">
        <x:f>IF($P146="","",INDEX(Tasks!$D$10:$D$1941,$P146))</x:f>
        <x:v>CSBBO - Banking Ops</x:v>
      </x:c>
      <x:c r="E146" s="86"/>
      <x:c r="F146" s="86" t="str">
        <x:f>IF($P146="","",INDEX(Tasks!$E$10:$E$1941,$P146))</x:f>
        <x:v>Data &amp; Reporting</x:v>
      </x:c>
      <x:c r="G146" s="86"/>
      <x:c r="H146" s="14" t="str">
        <x:f>IF($P146="","",INDEX(Tasks!$F$10:$F$1941,$P146)&amp;CHAR(10)&amp;INDEX(Tasks!$G$10:$G$1941,$P146))</x:f>
        <x:v>DR.BO.2.5
Ensure topic is not a duplicate from a previous Cycle</x:v>
      </x:c>
      <x:c r="I146" s="14"/>
      <x:c r="J146" s="14"/>
      <x:c r="K146" s="14"/>
      <x:c r="L146" s="86" t="str">
        <x:f>IF($P146="","",INDEX(Tasks!$N$10:$N$1941,$P146))</x:f>
        <x:v>Not started</x:v>
      </x:c>
      <x:c r="M146" s="87" t="n">
        <x:f>IF($P146="","",INDEX(Tasks!$J$10:$J$1941,$P146))</x:f>
        <x:v>46203</x:v>
      </x:c>
      <x:c r="N146" s="85" t="str">
        <x:f>IF($P146="","",HYPERLINK("#'"&amp;INDEX(Tasks!$T$10:$T$1941,$P146)&amp;"'!A"&amp;INDEX(Tasks!$U$10:$U$1941,$P146),"Open"))</x:f>
        <x:v>Open</x:v>
      </x:c>
      <x:c r="O146" s="14"/>
      <x:c r="P146" s="14" t="n">
        <x:f>IF(125&gt;$B$10,"",MATCH(125,Tasks!$S$10:$S$1941,0))</x:f>
        <x:v>255</x:v>
      </x:c>
    </x:row>
    <x:row r="147" ht="58" customHeight="1">
      <x:c r="B147" s="86" t="str">
        <x:f>IF($P147="","",INDEX(Tasks!$B$10:$B$1941,$P147))</x:f>
        <x:v>Cycle 2</x:v>
      </x:c>
      <x:c r="C147" s="86" t="str">
        <x:f>IF($P147="","",INDEX(Tasks!$C$10:$C$1941,$P147))</x:f>
        <x:v>Phase 2</x:v>
      </x:c>
      <x:c r="D147" s="86" t="str">
        <x:f>IF($P147="","",INDEX(Tasks!$D$10:$D$1941,$P147))</x:f>
        <x:v>CSBBO - Banking Ops</x:v>
      </x:c>
      <x:c r="E147" s="86"/>
      <x:c r="F147" s="86" t="str">
        <x:f>IF($P147="","",INDEX(Tasks!$E$10:$E$1941,$P147))</x:f>
        <x:v>Data &amp; Reporting</x:v>
      </x:c>
      <x:c r="G147" s="86"/>
      <x:c r="H147" s="14" t="str">
        <x:f>IF($P147="","",INDEX(Tasks!$F$10:$F$1941,$P147)&amp;CHAR(10)&amp;INDEX(Tasks!$G$10:$G$1941,$P147))</x:f>
        <x:v>DR.BO.2.6
Document clear distinctions between facts, assumptions, and hypotheses within the data package</x:v>
      </x:c>
      <x:c r="I147" s="14"/>
      <x:c r="J147" s="14"/>
      <x:c r="K147" s="14"/>
      <x:c r="L147" s="86" t="str">
        <x:f>IF($P147="","",INDEX(Tasks!$N$10:$N$1941,$P147))</x:f>
        <x:v>Not started</x:v>
      </x:c>
      <x:c r="M147" s="87" t="n">
        <x:f>IF($P147="","",INDEX(Tasks!$J$10:$J$1941,$P147))</x:f>
        <x:v>46203</x:v>
      </x:c>
      <x:c r="N147" s="85" t="str">
        <x:f>IF($P147="","",HYPERLINK("#'"&amp;INDEX(Tasks!$T$10:$T$1941,$P147)&amp;"'!A"&amp;INDEX(Tasks!$U$10:$U$1941,$P147),"Open"))</x:f>
        <x:v>Open</x:v>
      </x:c>
      <x:c r="O147" s="14"/>
      <x:c r="P147" s="14" t="n">
        <x:f>IF(126&gt;$B$10,"",MATCH(126,Tasks!$S$10:$S$1941,0))</x:f>
        <x:v>256</x:v>
      </x:c>
    </x:row>
    <x:row r="148" ht="58" customHeight="1">
      <x:c r="B148" s="86" t="str">
        <x:f>IF($P148="","",INDEX(Tasks!$B$10:$B$1941,$P148))</x:f>
        <x:v>Cycle 2</x:v>
      </x:c>
      <x:c r="C148" s="86" t="str">
        <x:f>IF($P148="","",INDEX(Tasks!$C$10:$C$1941,$P148))</x:f>
        <x:v>Phase 3</x:v>
      </x:c>
      <x:c r="D148" s="86" t="str">
        <x:f>IF($P148="","",INDEX(Tasks!$D$10:$D$1941,$P148))</x:f>
        <x:v>CSBBO - Banking Ops</x:v>
      </x:c>
      <x:c r="E148" s="86"/>
      <x:c r="F148" s="86" t="str">
        <x:f>IF($P148="","",INDEX(Tasks!$E$10:$E$1941,$P148))</x:f>
        <x:v>Data &amp; Reporting</x:v>
      </x:c>
      <x:c r="G148" s="86"/>
      <x:c r="H148" s="14" t="str">
        <x:f>IF($P148="","",INDEX(Tasks!$F$10:$F$1941,$P148)&amp;CHAR(10)&amp;INDEX(Tasks!$G$10:$G$1941,$P148))</x:f>
        <x:v>DR.BO.3.1
Clearly document rationale for each topic recommendation within the SharePoint list item</x:v>
      </x:c>
      <x:c r="I148" s="14"/>
      <x:c r="J148" s="14"/>
      <x:c r="K148" s="14"/>
      <x:c r="L148" s="86" t="str">
        <x:f>IF($P148="","",INDEX(Tasks!$N$10:$N$1941,$P148))</x:f>
        <x:v>Not started</x:v>
      </x:c>
      <x:c r="M148" s="87" t="n">
        <x:f>IF($P148="","",INDEX(Tasks!$J$10:$J$1941,$P148))</x:f>
        <x:v>46203</x:v>
      </x:c>
      <x:c r="N148" s="85" t="str">
        <x:f>IF($P148="","",HYPERLINK("#'"&amp;INDEX(Tasks!$T$10:$T$1941,$P148)&amp;"'!A"&amp;INDEX(Tasks!$U$10:$U$1941,$P148),"Open"))</x:f>
        <x:v>Open</x:v>
      </x:c>
      <x:c r="O148" s="14"/>
      <x:c r="P148" s="14" t="n">
        <x:f>IF(127&gt;$B$10,"",MATCH(127,Tasks!$S$10:$S$1941,0))</x:f>
        <x:v>257</x:v>
      </x:c>
    </x:row>
    <x:row r="149" ht="58" customHeight="1">
      <x:c r="B149" s="86" t="str">
        <x:f>IF($P149="","",INDEX(Tasks!$B$10:$B$1941,$P149))</x:f>
        <x:v>Cycle 2</x:v>
      </x:c>
      <x:c r="C149" s="86" t="str">
        <x:f>IF($P149="","",INDEX(Tasks!$C$10:$C$1941,$P149))</x:f>
        <x:v>Phase 3</x:v>
      </x:c>
      <x:c r="D149" s="86" t="str">
        <x:f>IF($P149="","",INDEX(Tasks!$D$10:$D$1941,$P149))</x:f>
        <x:v>CSBBO - Banking Ops</x:v>
      </x:c>
      <x:c r="E149" s="86"/>
      <x:c r="F149" s="86" t="str">
        <x:f>IF($P149="","",INDEX(Tasks!$E$10:$E$1941,$P149))</x:f>
        <x:v>Data &amp; Reporting</x:v>
      </x:c>
      <x:c r="G149" s="86"/>
      <x:c r="H149" s="14" t="str">
        <x:f>IF($P149="","",INDEX(Tasks!$F$10:$F$1941,$P149)&amp;CHAR(10)&amp;INDEX(Tasks!$G$10:$G$1941,$P149))</x:f>
        <x:v>DR.BO.3.2
Attach the data package for each topic recommendation within the SharePoint list item</x:v>
      </x:c>
      <x:c r="I149" s="14"/>
      <x:c r="J149" s="14"/>
      <x:c r="K149" s="14"/>
      <x:c r="L149" s="86" t="str">
        <x:f>IF($P149="","",INDEX(Tasks!$N$10:$N$1941,$P149))</x:f>
        <x:v>Not started</x:v>
      </x:c>
      <x:c r="M149" s="87" t="n">
        <x:f>IF($P149="","",INDEX(Tasks!$J$10:$J$1941,$P149))</x:f>
        <x:v>46203</x:v>
      </x:c>
      <x:c r="N149" s="85" t="str">
        <x:f>IF($P149="","",HYPERLINK("#'"&amp;INDEX(Tasks!$T$10:$T$1941,$P149)&amp;"'!A"&amp;INDEX(Tasks!$U$10:$U$1941,$P149),"Open"))</x:f>
        <x:v>Open</x:v>
      </x:c>
      <x:c r="O149" s="14"/>
      <x:c r="P149" s="14" t="n">
        <x:f>IF(128&gt;$B$10,"",MATCH(128,Tasks!$S$10:$S$1941,0))</x:f>
        <x:v>258</x:v>
      </x:c>
    </x:row>
    <x:row r="150" ht="58" customHeight="1">
      <x:c r="B150" s="86" t="str">
        <x:f>IF($P150="","",INDEX(Tasks!$B$10:$B$1941,$P150))</x:f>
        <x:v>Cycle 2</x:v>
      </x:c>
      <x:c r="C150" s="86" t="str">
        <x:f>IF($P150="","",INDEX(Tasks!$C$10:$C$1941,$P150))</x:f>
        <x:v>Phase 3</x:v>
      </x:c>
      <x:c r="D150" s="86" t="str">
        <x:f>IF($P150="","",INDEX(Tasks!$D$10:$D$1941,$P150))</x:f>
        <x:v>CSBBO - Banking Ops</x:v>
      </x:c>
      <x:c r="E150" s="86"/>
      <x:c r="F150" s="86" t="str">
        <x:f>IF($P150="","",INDEX(Tasks!$E$10:$E$1941,$P150))</x:f>
        <x:v>Data &amp; Reporting</x:v>
      </x:c>
      <x:c r="G150" s="86"/>
      <x:c r="H150" s="14" t="str">
        <x:f>IF($P150="","",INDEX(Tasks!$F$10:$F$1941,$P150)&amp;CHAR(10)&amp;INDEX(Tasks!$G$10:$G$1941,$P150))</x:f>
        <x:v>DR.BO.3.3
Confirm data privileges have been granted, ensuring each pillar can access</x:v>
      </x:c>
      <x:c r="I150" s="14"/>
      <x:c r="J150" s="14"/>
      <x:c r="K150" s="14"/>
      <x:c r="L150" s="86" t="str">
        <x:f>IF($P150="","",INDEX(Tasks!$N$10:$N$1941,$P150))</x:f>
        <x:v>Not started</x:v>
      </x:c>
      <x:c r="M150" s="87" t="n">
        <x:f>IF($P150="","",INDEX(Tasks!$J$10:$J$1941,$P150))</x:f>
        <x:v>46203</x:v>
      </x:c>
      <x:c r="N150" s="85" t="str">
        <x:f>IF($P150="","",HYPERLINK("#'"&amp;INDEX(Tasks!$T$10:$T$1941,$P150)&amp;"'!A"&amp;INDEX(Tasks!$U$10:$U$1941,$P150),"Open"))</x:f>
        <x:v>Open</x:v>
      </x:c>
      <x:c r="O150" s="14"/>
      <x:c r="P150" s="14" t="n">
        <x:f>IF(129&gt;$B$10,"",MATCH(129,Tasks!$S$10:$S$1941,0))</x:f>
        <x:v>259</x:v>
      </x:c>
    </x:row>
    <x:row r="151" ht="58" customHeight="1">
      <x:c r="B151" s="86" t="str">
        <x:f>IF($P151="","",INDEX(Tasks!$B$10:$B$1941,$P151))</x:f>
        <x:v>Cycle 2</x:v>
      </x:c>
      <x:c r="C151" s="86" t="str">
        <x:f>IF($P151="","",INDEX(Tasks!$C$10:$C$1941,$P151))</x:f>
        <x:v>Phase 3</x:v>
      </x:c>
      <x:c r="D151" s="86" t="str">
        <x:f>IF($P151="","",INDEX(Tasks!$D$10:$D$1941,$P151))</x:f>
        <x:v>CSBBO - Banking Ops</x:v>
      </x:c>
      <x:c r="E151" s="86"/>
      <x:c r="F151" s="86" t="str">
        <x:f>IF($P151="","",INDEX(Tasks!$E$10:$E$1941,$P151))</x:f>
        <x:v>Data &amp; Reporting</x:v>
      </x:c>
      <x:c r="G151" s="86"/>
      <x:c r="H151" s="14" t="str">
        <x:f>IF($P151="","",INDEX(Tasks!$F$10:$F$1941,$P151)&amp;CHAR(10)&amp;INDEX(Tasks!$G$10:$G$1941,$P151))</x:f>
        <x:v>DR.BO.3.4
Ensure Power Automate notifications were correctly triggered within Microsoft Teams</x:v>
      </x:c>
      <x:c r="I151" s="14"/>
      <x:c r="J151" s="14"/>
      <x:c r="K151" s="14"/>
      <x:c r="L151" s="86" t="str">
        <x:f>IF($P151="","",INDEX(Tasks!$N$10:$N$1941,$P151))</x:f>
        <x:v>Not started</x:v>
      </x:c>
      <x:c r="M151" s="87" t="n">
        <x:f>IF($P151="","",INDEX(Tasks!$J$10:$J$1941,$P151))</x:f>
        <x:v>46203</x:v>
      </x:c>
      <x:c r="N151" s="85" t="str">
        <x:f>IF($P151="","",HYPERLINK("#'"&amp;INDEX(Tasks!$T$10:$T$1941,$P151)&amp;"'!A"&amp;INDEX(Tasks!$U$10:$U$1941,$P151),"Open"))</x:f>
        <x:v>Open</x:v>
      </x:c>
      <x:c r="O151" s="14"/>
      <x:c r="P151" s="14" t="n">
        <x:f>IF(130&gt;$B$10,"",MATCH(130,Tasks!$S$10:$S$1941,0))</x:f>
        <x:v>260</x:v>
      </x:c>
    </x:row>
    <x:row r="152" ht="58" customHeight="1">
      <x:c r="B152" s="86" t="str">
        <x:f>IF($P152="","",INDEX(Tasks!$B$10:$B$1941,$P152))</x:f>
        <x:v>Cycle 2</x:v>
      </x:c>
      <x:c r="C152" s="86" t="str">
        <x:f>IF($P152="","",INDEX(Tasks!$C$10:$C$1941,$P152))</x:f>
        <x:v>Phase 1</x:v>
      </x:c>
      <x:c r="D152" s="86" t="str">
        <x:f>IF($P152="","",INDEX(Tasks!$D$10:$D$1941,$P152))</x:f>
        <x:v>CSBBO - Customer Service</x:v>
      </x:c>
      <x:c r="E152" s="86"/>
      <x:c r="F152" s="86" t="str">
        <x:f>IF($P152="","",INDEX(Tasks!$E$10:$E$1941,$P152))</x:f>
        <x:v>Data &amp; Reporting</x:v>
      </x:c>
      <x:c r="G152" s="86"/>
      <x:c r="H152" s="14" t="str">
        <x:f>IF($P152="","",INDEX(Tasks!$F$10:$F$1941,$P152)&amp;CHAR(10)&amp;INDEX(Tasks!$G$10:$G$1941,$P152))</x:f>
        <x:v>DR.CS.1.1
Review data sources 3 weeks prior to Cycle start (Complaints, Gen AI, Loudspeaker, NPS, etc.)</x:v>
      </x:c>
      <x:c r="I152" s="14"/>
      <x:c r="J152" s="14"/>
      <x:c r="K152" s="14"/>
      <x:c r="L152" s="86" t="str">
        <x:f>IF($P152="","",INDEX(Tasks!$N$10:$N$1941,$P152))</x:f>
        <x:v>Not started</x:v>
      </x:c>
      <x:c r="M152" s="87" t="n">
        <x:f>IF($P152="","",INDEX(Tasks!$J$10:$J$1941,$P152))</x:f>
        <x:v>46092</x:v>
      </x:c>
      <x:c r="N152" s="85" t="str">
        <x:f>IF($P152="","",HYPERLINK("#'"&amp;INDEX(Tasks!$T$10:$T$1941,$P152)&amp;"'!A"&amp;INDEX(Tasks!$U$10:$U$1941,$P152),"Open"))</x:f>
        <x:v>Open</x:v>
      </x:c>
      <x:c r="O152" s="14"/>
      <x:c r="P152" s="14" t="n">
        <x:f>IF(131&gt;$B$10,"",MATCH(131,Tasks!$S$10:$S$1941,0))</x:f>
        <x:v>261</x:v>
      </x:c>
    </x:row>
    <x:row r="153" ht="58" customHeight="1">
      <x:c r="B153" s="86" t="str">
        <x:f>IF($P153="","",INDEX(Tasks!$B$10:$B$1941,$P153))</x:f>
        <x:v>Cycle 2</x:v>
      </x:c>
      <x:c r="C153" s="86" t="str">
        <x:f>IF($P153="","",INDEX(Tasks!$C$10:$C$1941,$P153))</x:f>
        <x:v>Phase 1</x:v>
      </x:c>
      <x:c r="D153" s="86" t="str">
        <x:f>IF($P153="","",INDEX(Tasks!$D$10:$D$1941,$P153))</x:f>
        <x:v>CSBBO - Customer Service</x:v>
      </x:c>
      <x:c r="E153" s="86"/>
      <x:c r="F153" s="86" t="str">
        <x:f>IF($P153="","",INDEX(Tasks!$E$10:$E$1941,$P153))</x:f>
        <x:v>Data &amp; Reporting</x:v>
      </x:c>
      <x:c r="G153" s="86"/>
      <x:c r="H153" s="14" t="str">
        <x:f>IF($P153="","",INDEX(Tasks!$F$10:$F$1941,$P153)&amp;CHAR(10)&amp;INDEX(Tasks!$G$10:$G$1941,$P153))</x:f>
        <x:v>DR.CS.1.2
Identify two potential topics for the upcoming Cycle</x:v>
      </x:c>
      <x:c r="I153" s="14"/>
      <x:c r="J153" s="14"/>
      <x:c r="K153" s="14"/>
      <x:c r="L153" s="86" t="str">
        <x:f>IF($P153="","",INDEX(Tasks!$N$10:$N$1941,$P153))</x:f>
        <x:v>Not started</x:v>
      </x:c>
      <x:c r="M153" s="87" t="n">
        <x:f>IF($P153="","",INDEX(Tasks!$J$10:$J$1941,$P153))</x:f>
        <x:v>46203</x:v>
      </x:c>
      <x:c r="N153" s="85" t="str">
        <x:f>IF($P153="","",HYPERLINK("#'"&amp;INDEX(Tasks!$T$10:$T$1941,$P153)&amp;"'!A"&amp;INDEX(Tasks!$U$10:$U$1941,$P153),"Open"))</x:f>
        <x:v>Open</x:v>
      </x:c>
      <x:c r="O153" s="14"/>
      <x:c r="P153" s="14" t="n">
        <x:f>IF(132&gt;$B$10,"",MATCH(132,Tasks!$S$10:$S$1941,0))</x:f>
        <x:v>262</x:v>
      </x:c>
    </x:row>
    <x:row r="154" ht="58" customHeight="1">
      <x:c r="B154" s="86" t="str">
        <x:f>IF($P154="","",INDEX(Tasks!$B$10:$B$1941,$P154))</x:f>
        <x:v>Cycle 2</x:v>
      </x:c>
      <x:c r="C154" s="86" t="str">
        <x:f>IF($P154="","",INDEX(Tasks!$C$10:$C$1941,$P154))</x:f>
        <x:v>Phase 1</x:v>
      </x:c>
      <x:c r="D154" s="86" t="str">
        <x:f>IF($P154="","",INDEX(Tasks!$D$10:$D$1941,$P154))</x:f>
        <x:v>CSBBO - Customer Service</x:v>
      </x:c>
      <x:c r="E154" s="86"/>
      <x:c r="F154" s="86" t="str">
        <x:f>IF($P154="","",INDEX(Tasks!$E$10:$E$1941,$P154))</x:f>
        <x:v>Data &amp; Reporting</x:v>
      </x:c>
      <x:c r="G154" s="86"/>
      <x:c r="H154" s="14" t="str">
        <x:f>IF($P154="","",INDEX(Tasks!$F$10:$F$1941,$P154)&amp;CHAR(10)&amp;INDEX(Tasks!$G$10:$G$1941,$P154))</x:f>
        <x:v>DR.CS.1.3
Extract data for both potential topics, ensuring all checklist items below are included/completed</x:v>
      </x:c>
      <x:c r="I154" s="14"/>
      <x:c r="J154" s="14"/>
      <x:c r="K154" s="14"/>
      <x:c r="L154" s="86" t="str">
        <x:f>IF($P154="","",INDEX(Tasks!$N$10:$N$1941,$P154))</x:f>
        <x:v>Not started</x:v>
      </x:c>
      <x:c r="M154" s="87" t="n">
        <x:f>IF($P154="","",INDEX(Tasks!$J$10:$J$1941,$P154))</x:f>
        <x:v>46203</x:v>
      </x:c>
      <x:c r="N154" s="85" t="str">
        <x:f>IF($P154="","",HYPERLINK("#'"&amp;INDEX(Tasks!$T$10:$T$1941,$P154)&amp;"'!A"&amp;INDEX(Tasks!$U$10:$U$1941,$P154),"Open"))</x:f>
        <x:v>Open</x:v>
      </x:c>
      <x:c r="O154" s="14"/>
      <x:c r="P154" s="14" t="n">
        <x:f>IF(133&gt;$B$10,"",MATCH(133,Tasks!$S$10:$S$1941,0))</x:f>
        <x:v>263</x:v>
      </x:c>
    </x:row>
    <x:row r="155" ht="58" customHeight="1">
      <x:c r="B155" s="86" t="str">
        <x:f>IF($P155="","",INDEX(Tasks!$B$10:$B$1941,$P155))</x:f>
        <x:v>Cycle 2</x:v>
      </x:c>
      <x:c r="C155" s="86" t="str">
        <x:f>IF($P155="","",INDEX(Tasks!$C$10:$C$1941,$P155))</x:f>
        <x:v>Phase 2</x:v>
      </x:c>
      <x:c r="D155" s="86" t="str">
        <x:f>IF($P155="","",INDEX(Tasks!$D$10:$D$1941,$P155))</x:f>
        <x:v>CSBBO - Customer Service</x:v>
      </x:c>
      <x:c r="E155" s="86"/>
      <x:c r="F155" s="86" t="str">
        <x:f>IF($P155="","",INDEX(Tasks!$E$10:$E$1941,$P155))</x:f>
        <x:v>Data &amp; Reporting</x:v>
      </x:c>
      <x:c r="G155" s="86"/>
      <x:c r="H155" s="14" t="str">
        <x:f>IF($P155="","",INDEX(Tasks!$F$10:$F$1941,$P155)&amp;CHAR(10)&amp;INDEX(Tasks!$G$10:$G$1941,$P155))</x:f>
        <x:v>DR.CS.2.1
Ensure data is clean, structured, and usable without manipulation needed</x:v>
      </x:c>
      <x:c r="I155" s="14"/>
      <x:c r="J155" s="14"/>
      <x:c r="K155" s="14"/>
      <x:c r="L155" s="86" t="str">
        <x:f>IF($P155="","",INDEX(Tasks!$N$10:$N$1941,$P155))</x:f>
        <x:v>Not started</x:v>
      </x:c>
      <x:c r="M155" s="87" t="n">
        <x:f>IF($P155="","",INDEX(Tasks!$J$10:$J$1941,$P155))</x:f>
        <x:v>46203</x:v>
      </x:c>
      <x:c r="N155" s="85" t="str">
        <x:f>IF($P155="","",HYPERLINK("#'"&amp;INDEX(Tasks!$T$10:$T$1941,$P155)&amp;"'!A"&amp;INDEX(Tasks!$U$10:$U$1941,$P155),"Open"))</x:f>
        <x:v>Open</x:v>
      </x:c>
      <x:c r="O155" s="14"/>
      <x:c r="P155" s="14" t="n">
        <x:f>IF(134&gt;$B$10,"",MATCH(134,Tasks!$S$10:$S$1941,0))</x:f>
        <x:v>277</x:v>
      </x:c>
    </x:row>
    <x:row r="156" ht="58" customHeight="1">
      <x:c r="B156" s="86" t="str">
        <x:f>IF($P156="","",INDEX(Tasks!$B$10:$B$1941,$P156))</x:f>
        <x:v>Cycle 2</x:v>
      </x:c>
      <x:c r="C156" s="86" t="str">
        <x:f>IF($P156="","",INDEX(Tasks!$C$10:$C$1941,$P156))</x:f>
        <x:v>Phase 2</x:v>
      </x:c>
      <x:c r="D156" s="86" t="str">
        <x:f>IF($P156="","",INDEX(Tasks!$D$10:$D$1941,$P156))</x:f>
        <x:v>CSBBO - Customer Service</x:v>
      </x:c>
      <x:c r="E156" s="86"/>
      <x:c r="F156" s="86" t="str">
        <x:f>IF($P156="","",INDEX(Tasks!$E$10:$E$1941,$P156))</x:f>
        <x:v>Data &amp; Reporting</x:v>
      </x:c>
      <x:c r="G156" s="86"/>
      <x:c r="H156" s="14" t="str">
        <x:f>IF($P156="","",INDEX(Tasks!$F$10:$F$1941,$P156)&amp;CHAR(10)&amp;INDEX(Tasks!$G$10:$G$1941,$P156))</x:f>
        <x:v>DR.CS.2.2
Clearly document rationale for each topic recommendation within the SharePoint list</x:v>
      </x:c>
      <x:c r="I156" s="14"/>
      <x:c r="J156" s="14"/>
      <x:c r="K156" s="14"/>
      <x:c r="L156" s="86" t="str">
        <x:f>IF($P156="","",INDEX(Tasks!$N$10:$N$1941,$P156))</x:f>
        <x:v>Not started</x:v>
      </x:c>
      <x:c r="M156" s="87" t="n">
        <x:f>IF($P156="","",INDEX(Tasks!$J$10:$J$1941,$P156))</x:f>
        <x:v>46203</x:v>
      </x:c>
      <x:c r="N156" s="85" t="str">
        <x:f>IF($P156="","",HYPERLINK("#'"&amp;INDEX(Tasks!$T$10:$T$1941,$P156)&amp;"'!A"&amp;INDEX(Tasks!$U$10:$U$1941,$P156),"Open"))</x:f>
        <x:v>Open</x:v>
      </x:c>
      <x:c r="O156" s="14"/>
      <x:c r="P156" s="14" t="n">
        <x:f>IF(135&gt;$B$10,"",MATCH(135,Tasks!$S$10:$S$1941,0))</x:f>
        <x:v>278</x:v>
      </x:c>
    </x:row>
    <x:row r="157" ht="58" customHeight="1">
      <x:c r="B157" s="86" t="str">
        <x:f>IF($P157="","",INDEX(Tasks!$B$10:$B$1941,$P157))</x:f>
        <x:v>Cycle 2</x:v>
      </x:c>
      <x:c r="C157" s="86" t="str">
        <x:f>IF($P157="","",INDEX(Tasks!$C$10:$C$1941,$P157))</x:f>
        <x:v>Phase 2</x:v>
      </x:c>
      <x:c r="D157" s="86" t="str">
        <x:f>IF($P157="","",INDEX(Tasks!$D$10:$D$1941,$P157))</x:f>
        <x:v>CSBBO - Customer Service</x:v>
      </x:c>
      <x:c r="E157" s="86"/>
      <x:c r="F157" s="86" t="str">
        <x:f>IF($P157="","",INDEX(Tasks!$E$10:$E$1941,$P157))</x:f>
        <x:v>Data &amp; Reporting</x:v>
      </x:c>
      <x:c r="G157" s="86"/>
      <x:c r="H157" s="14" t="str">
        <x:f>IF($P157="","",INDEX(Tasks!$F$10:$F$1941,$P157)&amp;CHAR(10)&amp;INDEX(Tasks!$G$10:$G$1941,$P157))</x:f>
        <x:v>DR.CS.2.3
Verify topic is eligible for RCA and does not conflict with Attorney Client Privilege</x:v>
      </x:c>
      <x:c r="I157" s="14"/>
      <x:c r="J157" s="14"/>
      <x:c r="K157" s="14"/>
      <x:c r="L157" s="86" t="str">
        <x:f>IF($P157="","",INDEX(Tasks!$N$10:$N$1941,$P157))</x:f>
        <x:v>Not started</x:v>
      </x:c>
      <x:c r="M157" s="87" t="n">
        <x:f>IF($P157="","",INDEX(Tasks!$J$10:$J$1941,$P157))</x:f>
        <x:v>46203</x:v>
      </x:c>
      <x:c r="N157" s="85" t="str">
        <x:f>IF($P157="","",HYPERLINK("#'"&amp;INDEX(Tasks!$T$10:$T$1941,$P157)&amp;"'!A"&amp;INDEX(Tasks!$U$10:$U$1941,$P157),"Open"))</x:f>
        <x:v>Open</x:v>
      </x:c>
      <x:c r="O157" s="14"/>
      <x:c r="P157" s="14" t="n">
        <x:f>IF(136&gt;$B$10,"",MATCH(136,Tasks!$S$10:$S$1941,0))</x:f>
        <x:v>279</x:v>
      </x:c>
    </x:row>
    <x:row r="158" ht="58" customHeight="1">
      <x:c r="B158" s="86" t="str">
        <x:f>IF($P158="","",INDEX(Tasks!$B$10:$B$1941,$P158))</x:f>
        <x:v>Cycle 2</x:v>
      </x:c>
      <x:c r="C158" s="86" t="str">
        <x:f>IF($P158="","",INDEX(Tasks!$C$10:$C$1941,$P158))</x:f>
        <x:v>Phase 2</x:v>
      </x:c>
      <x:c r="D158" s="86" t="str">
        <x:f>IF($P158="","",INDEX(Tasks!$D$10:$D$1941,$P158))</x:f>
        <x:v>CSBBO - Customer Service</x:v>
      </x:c>
      <x:c r="E158" s="86"/>
      <x:c r="F158" s="86" t="str">
        <x:f>IF($P158="","",INDEX(Tasks!$E$10:$E$1941,$P158))</x:f>
        <x:v>Data &amp; Reporting</x:v>
      </x:c>
      <x:c r="G158" s="86"/>
      <x:c r="H158" s="14" t="str">
        <x:f>IF($P158="","",INDEX(Tasks!$F$10:$F$1941,$P158)&amp;CHAR(10)&amp;INDEX(Tasks!$G$10:$G$1941,$P158))</x:f>
        <x:v>DR.CS.2.4
Ensure data is free of errors and anomalies prior to hand-off to Research</x:v>
      </x:c>
      <x:c r="I158" s="14"/>
      <x:c r="J158" s="14"/>
      <x:c r="K158" s="14"/>
      <x:c r="L158" s="86" t="str">
        <x:f>IF($P158="","",INDEX(Tasks!$N$10:$N$1941,$P158))</x:f>
        <x:v>Not started</x:v>
      </x:c>
      <x:c r="M158" s="87" t="n">
        <x:f>IF($P158="","",INDEX(Tasks!$J$10:$J$1941,$P158))</x:f>
        <x:v>46203</x:v>
      </x:c>
      <x:c r="N158" s="85" t="str">
        <x:f>IF($P158="","",HYPERLINK("#'"&amp;INDEX(Tasks!$T$10:$T$1941,$P158)&amp;"'!A"&amp;INDEX(Tasks!$U$10:$U$1941,$P158),"Open"))</x:f>
        <x:v>Open</x:v>
      </x:c>
      <x:c r="O158" s="14"/>
      <x:c r="P158" s="14" t="n">
        <x:f>IF(137&gt;$B$10,"",MATCH(137,Tasks!$S$10:$S$1941,0))</x:f>
        <x:v>280</x:v>
      </x:c>
    </x:row>
    <x:row r="159" ht="58" customHeight="1">
      <x:c r="B159" s="86" t="str">
        <x:f>IF($P159="","",INDEX(Tasks!$B$10:$B$1941,$P159))</x:f>
        <x:v>Cycle 2</x:v>
      </x:c>
      <x:c r="C159" s="86" t="str">
        <x:f>IF($P159="","",INDEX(Tasks!$C$10:$C$1941,$P159))</x:f>
        <x:v>Phase 2</x:v>
      </x:c>
      <x:c r="D159" s="86" t="str">
        <x:f>IF($P159="","",INDEX(Tasks!$D$10:$D$1941,$P159))</x:f>
        <x:v>CSBBO - Customer Service</x:v>
      </x:c>
      <x:c r="E159" s="86"/>
      <x:c r="F159" s="86" t="str">
        <x:f>IF($P159="","",INDEX(Tasks!$E$10:$E$1941,$P159))</x:f>
        <x:v>Data &amp; Reporting</x:v>
      </x:c>
      <x:c r="G159" s="86"/>
      <x:c r="H159" s="14" t="str">
        <x:f>IF($P159="","",INDEX(Tasks!$F$10:$F$1941,$P159)&amp;CHAR(10)&amp;INDEX(Tasks!$G$10:$G$1941,$P159))</x:f>
        <x:v>DR.CS.2.5
Ensure topic is not a duplicate from a previous Cycle</x:v>
      </x:c>
      <x:c r="I159" s="14"/>
      <x:c r="J159" s="14"/>
      <x:c r="K159" s="14"/>
      <x:c r="L159" s="86" t="str">
        <x:f>IF($P159="","",INDEX(Tasks!$N$10:$N$1941,$P159))</x:f>
        <x:v>Not started</x:v>
      </x:c>
      <x:c r="M159" s="87" t="n">
        <x:f>IF($P159="","",INDEX(Tasks!$J$10:$J$1941,$P159))</x:f>
        <x:v>46203</x:v>
      </x:c>
      <x:c r="N159" s="85" t="str">
        <x:f>IF($P159="","",HYPERLINK("#'"&amp;INDEX(Tasks!$T$10:$T$1941,$P159)&amp;"'!A"&amp;INDEX(Tasks!$U$10:$U$1941,$P159),"Open"))</x:f>
        <x:v>Open</x:v>
      </x:c>
      <x:c r="O159" s="14"/>
      <x:c r="P159" s="14" t="n">
        <x:f>IF(138&gt;$B$10,"",MATCH(138,Tasks!$S$10:$S$1941,0))</x:f>
        <x:v>281</x:v>
      </x:c>
    </x:row>
    <x:row r="160" ht="58" customHeight="1">
      <x:c r="B160" s="86" t="str">
        <x:f>IF($P160="","",INDEX(Tasks!$B$10:$B$1941,$P160))</x:f>
        <x:v>Cycle 2</x:v>
      </x:c>
      <x:c r="C160" s="86" t="str">
        <x:f>IF($P160="","",INDEX(Tasks!$C$10:$C$1941,$P160))</x:f>
        <x:v>Phase 2</x:v>
      </x:c>
      <x:c r="D160" s="86" t="str">
        <x:f>IF($P160="","",INDEX(Tasks!$D$10:$D$1941,$P160))</x:f>
        <x:v>CSBBO - Customer Service</x:v>
      </x:c>
      <x:c r="E160" s="86"/>
      <x:c r="F160" s="86" t="str">
        <x:f>IF($P160="","",INDEX(Tasks!$E$10:$E$1941,$P160))</x:f>
        <x:v>Data &amp; Reporting</x:v>
      </x:c>
      <x:c r="G160" s="86"/>
      <x:c r="H160" s="14" t="str">
        <x:f>IF($P160="","",INDEX(Tasks!$F$10:$F$1941,$P160)&amp;CHAR(10)&amp;INDEX(Tasks!$G$10:$G$1941,$P160))</x:f>
        <x:v>DR.CS.2.6
Document clear distinctions between facts, assumptions, and hypotheses within the data package</x:v>
      </x:c>
      <x:c r="I160" s="14"/>
      <x:c r="J160" s="14"/>
      <x:c r="K160" s="14"/>
      <x:c r="L160" s="86" t="str">
        <x:f>IF($P160="","",INDEX(Tasks!$N$10:$N$1941,$P160))</x:f>
        <x:v>Not started</x:v>
      </x:c>
      <x:c r="M160" s="87" t="n">
        <x:f>IF($P160="","",INDEX(Tasks!$J$10:$J$1941,$P160))</x:f>
        <x:v>46203</x:v>
      </x:c>
      <x:c r="N160" s="85" t="str">
        <x:f>IF($P160="","",HYPERLINK("#'"&amp;INDEX(Tasks!$T$10:$T$1941,$P160)&amp;"'!A"&amp;INDEX(Tasks!$U$10:$U$1941,$P160),"Open"))</x:f>
        <x:v>Open</x:v>
      </x:c>
      <x:c r="O160" s="14"/>
      <x:c r="P160" s="14" t="n">
        <x:f>IF(139&gt;$B$10,"",MATCH(139,Tasks!$S$10:$S$1941,0))</x:f>
        <x:v>282</x:v>
      </x:c>
    </x:row>
    <x:row r="161" ht="58" customHeight="1">
      <x:c r="B161" s="86" t="str">
        <x:f>IF($P161="","",INDEX(Tasks!$B$10:$B$1941,$P161))</x:f>
        <x:v>Cycle 2</x:v>
      </x:c>
      <x:c r="C161" s="86" t="str">
        <x:f>IF($P161="","",INDEX(Tasks!$C$10:$C$1941,$P161))</x:f>
        <x:v>Phase 3</x:v>
      </x:c>
      <x:c r="D161" s="86" t="str">
        <x:f>IF($P161="","",INDEX(Tasks!$D$10:$D$1941,$P161))</x:f>
        <x:v>CSBBO - Customer Service</x:v>
      </x:c>
      <x:c r="E161" s="86"/>
      <x:c r="F161" s="86" t="str">
        <x:f>IF($P161="","",INDEX(Tasks!$E$10:$E$1941,$P161))</x:f>
        <x:v>Data &amp; Reporting</x:v>
      </x:c>
      <x:c r="G161" s="86"/>
      <x:c r="H161" s="14" t="str">
        <x:f>IF($P161="","",INDEX(Tasks!$F$10:$F$1941,$P161)&amp;CHAR(10)&amp;INDEX(Tasks!$G$10:$G$1941,$P161))</x:f>
        <x:v>DR.CS.3.1
Clearly document rationale for each topic recommendation within the SharePoint list item</x:v>
      </x:c>
      <x:c r="I161" s="14"/>
      <x:c r="J161" s="14"/>
      <x:c r="K161" s="14"/>
      <x:c r="L161" s="86" t="str">
        <x:f>IF($P161="","",INDEX(Tasks!$N$10:$N$1941,$P161))</x:f>
        <x:v>Not started</x:v>
      </x:c>
      <x:c r="M161" s="87" t="n">
        <x:f>IF($P161="","",INDEX(Tasks!$J$10:$J$1941,$P161))</x:f>
        <x:v>46203</x:v>
      </x:c>
      <x:c r="N161" s="85" t="str">
        <x:f>IF($P161="","",HYPERLINK("#'"&amp;INDEX(Tasks!$T$10:$T$1941,$P161)&amp;"'!A"&amp;INDEX(Tasks!$U$10:$U$1941,$P161),"Open"))</x:f>
        <x:v>Open</x:v>
      </x:c>
      <x:c r="O161" s="14"/>
      <x:c r="P161" s="14" t="n">
        <x:f>IF(140&gt;$B$10,"",MATCH(140,Tasks!$S$10:$S$1941,0))</x:f>
        <x:v>283</x:v>
      </x:c>
    </x:row>
    <x:row r="162" ht="58" customHeight="1">
      <x:c r="B162" s="86" t="str">
        <x:f>IF($P162="","",INDEX(Tasks!$B$10:$B$1941,$P162))</x:f>
        <x:v>Cycle 2</x:v>
      </x:c>
      <x:c r="C162" s="86" t="str">
        <x:f>IF($P162="","",INDEX(Tasks!$C$10:$C$1941,$P162))</x:f>
        <x:v>Phase 3</x:v>
      </x:c>
      <x:c r="D162" s="86" t="str">
        <x:f>IF($P162="","",INDEX(Tasks!$D$10:$D$1941,$P162))</x:f>
        <x:v>CSBBO - Customer Service</x:v>
      </x:c>
      <x:c r="E162" s="86"/>
      <x:c r="F162" s="86" t="str">
        <x:f>IF($P162="","",INDEX(Tasks!$E$10:$E$1941,$P162))</x:f>
        <x:v>Data &amp; Reporting</x:v>
      </x:c>
      <x:c r="G162" s="86"/>
      <x:c r="H162" s="14" t="str">
        <x:f>IF($P162="","",INDEX(Tasks!$F$10:$F$1941,$P162)&amp;CHAR(10)&amp;INDEX(Tasks!$G$10:$G$1941,$P162))</x:f>
        <x:v>DR.CS.3.2
Attach the data package for each topic recommendation within the SharePoint list item</x:v>
      </x:c>
      <x:c r="I162" s="14"/>
      <x:c r="J162" s="14"/>
      <x:c r="K162" s="14"/>
      <x:c r="L162" s="86" t="str">
        <x:f>IF($P162="","",INDEX(Tasks!$N$10:$N$1941,$P162))</x:f>
        <x:v>Not started</x:v>
      </x:c>
      <x:c r="M162" s="87" t="n">
        <x:f>IF($P162="","",INDEX(Tasks!$J$10:$J$1941,$P162))</x:f>
        <x:v>46203</x:v>
      </x:c>
      <x:c r="N162" s="85" t="str">
        <x:f>IF($P162="","",HYPERLINK("#'"&amp;INDEX(Tasks!$T$10:$T$1941,$P162)&amp;"'!A"&amp;INDEX(Tasks!$U$10:$U$1941,$P162),"Open"))</x:f>
        <x:v>Open</x:v>
      </x:c>
      <x:c r="O162" s="14"/>
      <x:c r="P162" s="14" t="n">
        <x:f>IF(141&gt;$B$10,"",MATCH(141,Tasks!$S$10:$S$1941,0))</x:f>
        <x:v>284</x:v>
      </x:c>
    </x:row>
    <x:row r="163" ht="58" customHeight="1">
      <x:c r="B163" s="86" t="str">
        <x:f>IF($P163="","",INDEX(Tasks!$B$10:$B$1941,$P163))</x:f>
        <x:v>Cycle 2</x:v>
      </x:c>
      <x:c r="C163" s="86" t="str">
        <x:f>IF($P163="","",INDEX(Tasks!$C$10:$C$1941,$P163))</x:f>
        <x:v>Phase 3</x:v>
      </x:c>
      <x:c r="D163" s="86" t="str">
        <x:f>IF($P163="","",INDEX(Tasks!$D$10:$D$1941,$P163))</x:f>
        <x:v>CSBBO - Customer Service</x:v>
      </x:c>
      <x:c r="E163" s="86"/>
      <x:c r="F163" s="86" t="str">
        <x:f>IF($P163="","",INDEX(Tasks!$E$10:$E$1941,$P163))</x:f>
        <x:v>Data &amp; Reporting</x:v>
      </x:c>
      <x:c r="G163" s="86"/>
      <x:c r="H163" s="14" t="str">
        <x:f>IF($P163="","",INDEX(Tasks!$F$10:$F$1941,$P163)&amp;CHAR(10)&amp;INDEX(Tasks!$G$10:$G$1941,$P163))</x:f>
        <x:v>DR.CS.3.3
Confirm data privileges have been granted, ensuring each pillar can access</x:v>
      </x:c>
      <x:c r="I163" s="14"/>
      <x:c r="J163" s="14"/>
      <x:c r="K163" s="14"/>
      <x:c r="L163" s="86" t="str">
        <x:f>IF($P163="","",INDEX(Tasks!$N$10:$N$1941,$P163))</x:f>
        <x:v>Not started</x:v>
      </x:c>
      <x:c r="M163" s="87" t="n">
        <x:f>IF($P163="","",INDEX(Tasks!$J$10:$J$1941,$P163))</x:f>
        <x:v>46203</x:v>
      </x:c>
      <x:c r="N163" s="85" t="str">
        <x:f>IF($P163="","",HYPERLINK("#'"&amp;INDEX(Tasks!$T$10:$T$1941,$P163)&amp;"'!A"&amp;INDEX(Tasks!$U$10:$U$1941,$P163),"Open"))</x:f>
        <x:v>Open</x:v>
      </x:c>
      <x:c r="O163" s="14"/>
      <x:c r="P163" s="14" t="n">
        <x:f>IF(142&gt;$B$10,"",MATCH(142,Tasks!$S$10:$S$1941,0))</x:f>
        <x:v>285</x:v>
      </x:c>
    </x:row>
    <x:row r="164" ht="58" customHeight="1">
      <x:c r="B164" s="86" t="str">
        <x:f>IF($P164="","",INDEX(Tasks!$B$10:$B$1941,$P164))</x:f>
        <x:v>Cycle 2</x:v>
      </x:c>
      <x:c r="C164" s="86" t="str">
        <x:f>IF($P164="","",INDEX(Tasks!$C$10:$C$1941,$P164))</x:f>
        <x:v>Phase 3</x:v>
      </x:c>
      <x:c r="D164" s="86" t="str">
        <x:f>IF($P164="","",INDEX(Tasks!$D$10:$D$1941,$P164))</x:f>
        <x:v>CSBBO - Customer Service</x:v>
      </x:c>
      <x:c r="E164" s="86"/>
      <x:c r="F164" s="86" t="str">
        <x:f>IF($P164="","",INDEX(Tasks!$E$10:$E$1941,$P164))</x:f>
        <x:v>Data &amp; Reporting</x:v>
      </x:c>
      <x:c r="G164" s="86"/>
      <x:c r="H164" s="14" t="str">
        <x:f>IF($P164="","",INDEX(Tasks!$F$10:$F$1941,$P164)&amp;CHAR(10)&amp;INDEX(Tasks!$G$10:$G$1941,$P164))</x:f>
        <x:v>DR.CS.3.4
Ensure Power Automate notifications were correctly triggered within Microsoft Teams</x:v>
      </x:c>
      <x:c r="I164" s="14"/>
      <x:c r="J164" s="14"/>
      <x:c r="K164" s="14"/>
      <x:c r="L164" s="86" t="str">
        <x:f>IF($P164="","",INDEX(Tasks!$N$10:$N$1941,$P164))</x:f>
        <x:v>Not started</x:v>
      </x:c>
      <x:c r="M164" s="87" t="n">
        <x:f>IF($P164="","",INDEX(Tasks!$J$10:$J$1941,$P164))</x:f>
        <x:v>46203</x:v>
      </x:c>
      <x:c r="N164" s="85" t="str">
        <x:f>IF($P164="","",HYPERLINK("#'"&amp;INDEX(Tasks!$T$10:$T$1941,$P164)&amp;"'!A"&amp;INDEX(Tasks!$U$10:$U$1941,$P164),"Open"))</x:f>
        <x:v>Open</x:v>
      </x:c>
      <x:c r="O164" s="14"/>
      <x:c r="P164" s="14" t="n">
        <x:f>IF(143&gt;$B$10,"",MATCH(143,Tasks!$S$10:$S$1941,0))</x:f>
        <x:v>286</x:v>
      </x:c>
    </x:row>
    <x:row r="165" ht="58" customHeight="1">
      <x:c r="B165" s="86" t="str">
        <x:f>IF($P165="","",INDEX(Tasks!$B$10:$B$1941,$P165))</x:f>
        <x:v>Cycle 2</x:v>
      </x:c>
      <x:c r="C165" s="86" t="str">
        <x:f>IF($P165="","",INDEX(Tasks!$C$10:$C$1941,$P165))</x:f>
        <x:v>Phase 1</x:v>
      </x:c>
      <x:c r="D165" s="86" t="str">
        <x:f>IF($P165="","",INDEX(Tasks!$D$10:$D$1941,$P165))</x:f>
        <x:v>FCM</x:v>
      </x:c>
      <x:c r="E165" s="86"/>
      <x:c r="F165" s="86" t="str">
        <x:f>IF($P165="","",INDEX(Tasks!$E$10:$E$1941,$P165))</x:f>
        <x:v>Data &amp; Reporting</x:v>
      </x:c>
      <x:c r="G165" s="86"/>
      <x:c r="H165" s="14" t="str">
        <x:f>IF($P165="","",INDEX(Tasks!$F$10:$F$1941,$P165)&amp;CHAR(10)&amp;INDEX(Tasks!$G$10:$G$1941,$P165))</x:f>
        <x:v>DR.FC.1.1
Review data sources 3 weeks prior to Cycle start (Complaints, Gen AI, Loudspeaker, NPS, etc.)</x:v>
      </x:c>
      <x:c r="I165" s="14"/>
      <x:c r="J165" s="14"/>
      <x:c r="K165" s="14"/>
      <x:c r="L165" s="86" t="str">
        <x:f>IF($P165="","",INDEX(Tasks!$N$10:$N$1941,$P165))</x:f>
        <x:v>Not started</x:v>
      </x:c>
      <x:c r="M165" s="87" t="n">
        <x:f>IF($P165="","",INDEX(Tasks!$J$10:$J$1941,$P165))</x:f>
        <x:v>46092</x:v>
      </x:c>
      <x:c r="N165" s="85" t="str">
        <x:f>IF($P165="","",HYPERLINK("#'"&amp;INDEX(Tasks!$T$10:$T$1941,$P165)&amp;"'!A"&amp;INDEX(Tasks!$U$10:$U$1941,$P165),"Open"))</x:f>
        <x:v>Open</x:v>
      </x:c>
      <x:c r="O165" s="14"/>
      <x:c r="P165" s="14" t="n">
        <x:f>IF(144&gt;$B$10,"",MATCH(144,Tasks!$S$10:$S$1941,0))</x:f>
        <x:v>287</x:v>
      </x:c>
    </x:row>
    <x:row r="166" ht="58" customHeight="1">
      <x:c r="B166" s="86" t="str">
        <x:f>IF($P166="","",INDEX(Tasks!$B$10:$B$1941,$P166))</x:f>
        <x:v>Cycle 2</x:v>
      </x:c>
      <x:c r="C166" s="86" t="str">
        <x:f>IF($P166="","",INDEX(Tasks!$C$10:$C$1941,$P166))</x:f>
        <x:v>Phase 1</x:v>
      </x:c>
      <x:c r="D166" s="86" t="str">
        <x:f>IF($P166="","",INDEX(Tasks!$D$10:$D$1941,$P166))</x:f>
        <x:v>FCM</x:v>
      </x:c>
      <x:c r="E166" s="86"/>
      <x:c r="F166" s="86" t="str">
        <x:f>IF($P166="","",INDEX(Tasks!$E$10:$E$1941,$P166))</x:f>
        <x:v>Data &amp; Reporting</x:v>
      </x:c>
      <x:c r="G166" s="86"/>
      <x:c r="H166" s="14" t="str">
        <x:f>IF($P166="","",INDEX(Tasks!$F$10:$F$1941,$P166)&amp;CHAR(10)&amp;INDEX(Tasks!$G$10:$G$1941,$P166))</x:f>
        <x:v>DR.FC.1.2
Identify two potential topics for the upcoming Cycle</x:v>
      </x:c>
      <x:c r="I166" s="14"/>
      <x:c r="J166" s="14"/>
      <x:c r="K166" s="14"/>
      <x:c r="L166" s="86" t="str">
        <x:f>IF($P166="","",INDEX(Tasks!$N$10:$N$1941,$P166))</x:f>
        <x:v>Not started</x:v>
      </x:c>
      <x:c r="M166" s="87" t="n">
        <x:f>IF($P166="","",INDEX(Tasks!$J$10:$J$1941,$P166))</x:f>
        <x:v>46203</x:v>
      </x:c>
      <x:c r="N166" s="85" t="str">
        <x:f>IF($P166="","",HYPERLINK("#'"&amp;INDEX(Tasks!$T$10:$T$1941,$P166)&amp;"'!A"&amp;INDEX(Tasks!$U$10:$U$1941,$P166),"Open"))</x:f>
        <x:v>Open</x:v>
      </x:c>
      <x:c r="O166" s="14"/>
      <x:c r="P166" s="14" t="n">
        <x:f>IF(145&gt;$B$10,"",MATCH(145,Tasks!$S$10:$S$1941,0))</x:f>
        <x:v>288</x:v>
      </x:c>
    </x:row>
    <x:row r="167" ht="58" customHeight="1">
      <x:c r="B167" s="86" t="str">
        <x:f>IF($P167="","",INDEX(Tasks!$B$10:$B$1941,$P167))</x:f>
        <x:v>Cycle 2</x:v>
      </x:c>
      <x:c r="C167" s="86" t="str">
        <x:f>IF($P167="","",INDEX(Tasks!$C$10:$C$1941,$P167))</x:f>
        <x:v>Phase 1</x:v>
      </x:c>
      <x:c r="D167" s="86" t="str">
        <x:f>IF($P167="","",INDEX(Tasks!$D$10:$D$1941,$P167))</x:f>
        <x:v>FCM</x:v>
      </x:c>
      <x:c r="E167" s="86"/>
      <x:c r="F167" s="86" t="str">
        <x:f>IF($P167="","",INDEX(Tasks!$E$10:$E$1941,$P167))</x:f>
        <x:v>Data &amp; Reporting</x:v>
      </x:c>
      <x:c r="G167" s="86"/>
      <x:c r="H167" s="14" t="str">
        <x:f>IF($P167="","",INDEX(Tasks!$F$10:$F$1941,$P167)&amp;CHAR(10)&amp;INDEX(Tasks!$G$10:$G$1941,$P167))</x:f>
        <x:v>DR.FC.1.3
Extract data for both potential topics, ensuring all checklist items below are included/completed</x:v>
      </x:c>
      <x:c r="I167" s="14"/>
      <x:c r="J167" s="14"/>
      <x:c r="K167" s="14"/>
      <x:c r="L167" s="86" t="str">
        <x:f>IF($P167="","",INDEX(Tasks!$N$10:$N$1941,$P167))</x:f>
        <x:v>Not started</x:v>
      </x:c>
      <x:c r="M167" s="87" t="n">
        <x:f>IF($P167="","",INDEX(Tasks!$J$10:$J$1941,$P167))</x:f>
        <x:v>46203</x:v>
      </x:c>
      <x:c r="N167" s="85" t="str">
        <x:f>IF($P167="","",HYPERLINK("#'"&amp;INDEX(Tasks!$T$10:$T$1941,$P167)&amp;"'!A"&amp;INDEX(Tasks!$U$10:$U$1941,$P167),"Open"))</x:f>
        <x:v>Open</x:v>
      </x:c>
      <x:c r="O167" s="14"/>
      <x:c r="P167" s="14" t="n">
        <x:f>IF(146&gt;$B$10,"",MATCH(146,Tasks!$S$10:$S$1941,0))</x:f>
        <x:v>289</x:v>
      </x:c>
    </x:row>
    <x:row r="168" ht="58" customHeight="1">
      <x:c r="B168" s="86" t="str">
        <x:f>IF($P168="","",INDEX(Tasks!$B$10:$B$1941,$P168))</x:f>
        <x:v>Cycle 2</x:v>
      </x:c>
      <x:c r="C168" s="86" t="str">
        <x:f>IF($P168="","",INDEX(Tasks!$C$10:$C$1941,$P168))</x:f>
        <x:v>Phase 2</x:v>
      </x:c>
      <x:c r="D168" s="86" t="str">
        <x:f>IF($P168="","",INDEX(Tasks!$D$10:$D$1941,$P168))</x:f>
        <x:v>FCM</x:v>
      </x:c>
      <x:c r="E168" s="86"/>
      <x:c r="F168" s="86" t="str">
        <x:f>IF($P168="","",INDEX(Tasks!$E$10:$E$1941,$P168))</x:f>
        <x:v>Data &amp; Reporting</x:v>
      </x:c>
      <x:c r="G168" s="86"/>
      <x:c r="H168" s="14" t="str">
        <x:f>IF($P168="","",INDEX(Tasks!$F$10:$F$1941,$P168)&amp;CHAR(10)&amp;INDEX(Tasks!$G$10:$G$1941,$P168))</x:f>
        <x:v>DR.FC.2.1
Ensure data is clean, structured, and usable without manipulation needed</x:v>
      </x:c>
      <x:c r="I168" s="14"/>
      <x:c r="J168" s="14"/>
      <x:c r="K168" s="14"/>
      <x:c r="L168" s="86" t="str">
        <x:f>IF($P168="","",INDEX(Tasks!$N$10:$N$1941,$P168))</x:f>
        <x:v>Not started</x:v>
      </x:c>
      <x:c r="M168" s="87" t="n">
        <x:f>IF($P168="","",INDEX(Tasks!$J$10:$J$1941,$P168))</x:f>
        <x:v>46203</x:v>
      </x:c>
      <x:c r="N168" s="85" t="str">
        <x:f>IF($P168="","",HYPERLINK("#'"&amp;INDEX(Tasks!$T$10:$T$1941,$P168)&amp;"'!A"&amp;INDEX(Tasks!$U$10:$U$1941,$P168),"Open"))</x:f>
        <x:v>Open</x:v>
      </x:c>
      <x:c r="O168" s="14"/>
      <x:c r="P168" s="14" t="n">
        <x:f>IF(147&gt;$B$10,"",MATCH(147,Tasks!$S$10:$S$1941,0))</x:f>
        <x:v>303</x:v>
      </x:c>
    </x:row>
    <x:row r="169" ht="58" customHeight="1">
      <x:c r="B169" s="86" t="str">
        <x:f>IF($P169="","",INDEX(Tasks!$B$10:$B$1941,$P169))</x:f>
        <x:v>Cycle 2</x:v>
      </x:c>
      <x:c r="C169" s="86" t="str">
        <x:f>IF($P169="","",INDEX(Tasks!$C$10:$C$1941,$P169))</x:f>
        <x:v>Phase 2</x:v>
      </x:c>
      <x:c r="D169" s="86" t="str">
        <x:f>IF($P169="","",INDEX(Tasks!$D$10:$D$1941,$P169))</x:f>
        <x:v>FCM</x:v>
      </x:c>
      <x:c r="E169" s="86"/>
      <x:c r="F169" s="86" t="str">
        <x:f>IF($P169="","",INDEX(Tasks!$E$10:$E$1941,$P169))</x:f>
        <x:v>Data &amp; Reporting</x:v>
      </x:c>
      <x:c r="G169" s="86"/>
      <x:c r="H169" s="14" t="str">
        <x:f>IF($P169="","",INDEX(Tasks!$F$10:$F$1941,$P169)&amp;CHAR(10)&amp;INDEX(Tasks!$G$10:$G$1941,$P169))</x:f>
        <x:v>DR.FC.2.2
Clearly document rationale for each topic recommendation within the SharePoint list</x:v>
      </x:c>
      <x:c r="I169" s="14"/>
      <x:c r="J169" s="14"/>
      <x:c r="K169" s="14"/>
      <x:c r="L169" s="86" t="str">
        <x:f>IF($P169="","",INDEX(Tasks!$N$10:$N$1941,$P169))</x:f>
        <x:v>Not started</x:v>
      </x:c>
      <x:c r="M169" s="87" t="n">
        <x:f>IF($P169="","",INDEX(Tasks!$J$10:$J$1941,$P169))</x:f>
        <x:v>46203</x:v>
      </x:c>
      <x:c r="N169" s="85" t="str">
        <x:f>IF($P169="","",HYPERLINK("#'"&amp;INDEX(Tasks!$T$10:$T$1941,$P169)&amp;"'!A"&amp;INDEX(Tasks!$U$10:$U$1941,$P169),"Open"))</x:f>
        <x:v>Open</x:v>
      </x:c>
      <x:c r="O169" s="14"/>
      <x:c r="P169" s="14" t="n">
        <x:f>IF(148&gt;$B$10,"",MATCH(148,Tasks!$S$10:$S$1941,0))</x:f>
        <x:v>304</x:v>
      </x:c>
    </x:row>
    <x:row r="170" ht="58" customHeight="1">
      <x:c r="B170" s="86" t="str">
        <x:f>IF($P170="","",INDEX(Tasks!$B$10:$B$1941,$P170))</x:f>
        <x:v>Cycle 2</x:v>
      </x:c>
      <x:c r="C170" s="86" t="str">
        <x:f>IF($P170="","",INDEX(Tasks!$C$10:$C$1941,$P170))</x:f>
        <x:v>Phase 2</x:v>
      </x:c>
      <x:c r="D170" s="86" t="str">
        <x:f>IF($P170="","",INDEX(Tasks!$D$10:$D$1941,$P170))</x:f>
        <x:v>FCM</x:v>
      </x:c>
      <x:c r="E170" s="86"/>
      <x:c r="F170" s="86" t="str">
        <x:f>IF($P170="","",INDEX(Tasks!$E$10:$E$1941,$P170))</x:f>
        <x:v>Data &amp; Reporting</x:v>
      </x:c>
      <x:c r="G170" s="86"/>
      <x:c r="H170" s="14" t="str">
        <x:f>IF($P170="","",INDEX(Tasks!$F$10:$F$1941,$P170)&amp;CHAR(10)&amp;INDEX(Tasks!$G$10:$G$1941,$P170))</x:f>
        <x:v>DR.FC.2.3
Verify topic is eligible for RCA and does not conflict with Attorney Client Privilege</x:v>
      </x:c>
      <x:c r="I170" s="14"/>
      <x:c r="J170" s="14"/>
      <x:c r="K170" s="14"/>
      <x:c r="L170" s="86" t="str">
        <x:f>IF($P170="","",INDEX(Tasks!$N$10:$N$1941,$P170))</x:f>
        <x:v>Not started</x:v>
      </x:c>
      <x:c r="M170" s="87" t="n">
        <x:f>IF($P170="","",INDEX(Tasks!$J$10:$J$1941,$P170))</x:f>
        <x:v>46203</x:v>
      </x:c>
      <x:c r="N170" s="85" t="str">
        <x:f>IF($P170="","",HYPERLINK("#'"&amp;INDEX(Tasks!$T$10:$T$1941,$P170)&amp;"'!A"&amp;INDEX(Tasks!$U$10:$U$1941,$P170),"Open"))</x:f>
        <x:v>Open</x:v>
      </x:c>
      <x:c r="O170" s="14"/>
      <x:c r="P170" s="14" t="n">
        <x:f>IF(149&gt;$B$10,"",MATCH(149,Tasks!$S$10:$S$1941,0))</x:f>
        <x:v>305</x:v>
      </x:c>
    </x:row>
    <x:row r="171" ht="58" customHeight="1">
      <x:c r="B171" s="86" t="str">
        <x:f>IF($P171="","",INDEX(Tasks!$B$10:$B$1941,$P171))</x:f>
        <x:v>Cycle 2</x:v>
      </x:c>
      <x:c r="C171" s="86" t="str">
        <x:f>IF($P171="","",INDEX(Tasks!$C$10:$C$1941,$P171))</x:f>
        <x:v>Phase 2</x:v>
      </x:c>
      <x:c r="D171" s="86" t="str">
        <x:f>IF($P171="","",INDEX(Tasks!$D$10:$D$1941,$P171))</x:f>
        <x:v>FCM</x:v>
      </x:c>
      <x:c r="E171" s="86"/>
      <x:c r="F171" s="86" t="str">
        <x:f>IF($P171="","",INDEX(Tasks!$E$10:$E$1941,$P171))</x:f>
        <x:v>Data &amp; Reporting</x:v>
      </x:c>
      <x:c r="G171" s="86"/>
      <x:c r="H171" s="14" t="str">
        <x:f>IF($P171="","",INDEX(Tasks!$F$10:$F$1941,$P171)&amp;CHAR(10)&amp;INDEX(Tasks!$G$10:$G$1941,$P171))</x:f>
        <x:v>DR.FC.2.4
Ensure data is free of errors and anomalies prior to hand-off to Research</x:v>
      </x:c>
      <x:c r="I171" s="14"/>
      <x:c r="J171" s="14"/>
      <x:c r="K171" s="14"/>
      <x:c r="L171" s="86" t="str">
        <x:f>IF($P171="","",INDEX(Tasks!$N$10:$N$1941,$P171))</x:f>
        <x:v>Not started</x:v>
      </x:c>
      <x:c r="M171" s="87" t="n">
        <x:f>IF($P171="","",INDEX(Tasks!$J$10:$J$1941,$P171))</x:f>
        <x:v>46203</x:v>
      </x:c>
      <x:c r="N171" s="85" t="str">
        <x:f>IF($P171="","",HYPERLINK("#'"&amp;INDEX(Tasks!$T$10:$T$1941,$P171)&amp;"'!A"&amp;INDEX(Tasks!$U$10:$U$1941,$P171),"Open"))</x:f>
        <x:v>Open</x:v>
      </x:c>
      <x:c r="O171" s="14"/>
      <x:c r="P171" s="14" t="n">
        <x:f>IF(150&gt;$B$10,"",MATCH(150,Tasks!$S$10:$S$1941,0))</x:f>
        <x:v>306</x:v>
      </x:c>
    </x:row>
    <x:row r="172" ht="58" customHeight="1">
      <x:c r="B172" s="86" t="str">
        <x:f>IF($P172="","",INDEX(Tasks!$B$10:$B$1941,$P172))</x:f>
        <x:v>Cycle 2</x:v>
      </x:c>
      <x:c r="C172" s="86" t="str">
        <x:f>IF($P172="","",INDEX(Tasks!$C$10:$C$1941,$P172))</x:f>
        <x:v>Phase 2</x:v>
      </x:c>
      <x:c r="D172" s="86" t="str">
        <x:f>IF($P172="","",INDEX(Tasks!$D$10:$D$1941,$P172))</x:f>
        <x:v>FCM</x:v>
      </x:c>
      <x:c r="E172" s="86"/>
      <x:c r="F172" s="86" t="str">
        <x:f>IF($P172="","",INDEX(Tasks!$E$10:$E$1941,$P172))</x:f>
        <x:v>Data &amp; Reporting</x:v>
      </x:c>
      <x:c r="G172" s="86"/>
      <x:c r="H172" s="14" t="str">
        <x:f>IF($P172="","",INDEX(Tasks!$F$10:$F$1941,$P172)&amp;CHAR(10)&amp;INDEX(Tasks!$G$10:$G$1941,$P172))</x:f>
        <x:v>DR.FC.2.5
Ensure topic is not a duplicate from a previous Cycle</x:v>
      </x:c>
      <x:c r="I172" s="14"/>
      <x:c r="J172" s="14"/>
      <x:c r="K172" s="14"/>
      <x:c r="L172" s="86" t="str">
        <x:f>IF($P172="","",INDEX(Tasks!$N$10:$N$1941,$P172))</x:f>
        <x:v>Not started</x:v>
      </x:c>
      <x:c r="M172" s="87" t="n">
        <x:f>IF($P172="","",INDEX(Tasks!$J$10:$J$1941,$P172))</x:f>
        <x:v>46203</x:v>
      </x:c>
      <x:c r="N172" s="85" t="str">
        <x:f>IF($P172="","",HYPERLINK("#'"&amp;INDEX(Tasks!$T$10:$T$1941,$P172)&amp;"'!A"&amp;INDEX(Tasks!$U$10:$U$1941,$P172),"Open"))</x:f>
        <x:v>Open</x:v>
      </x:c>
      <x:c r="O172" s="14"/>
      <x:c r="P172" s="14" t="n">
        <x:f>IF(151&gt;$B$10,"",MATCH(151,Tasks!$S$10:$S$1941,0))</x:f>
        <x:v>307</x:v>
      </x:c>
    </x:row>
    <x:row r="173" ht="58" customHeight="1">
      <x:c r="B173" s="86" t="str">
        <x:f>IF($P173="","",INDEX(Tasks!$B$10:$B$1941,$P173))</x:f>
        <x:v>Cycle 2</x:v>
      </x:c>
      <x:c r="C173" s="86" t="str">
        <x:f>IF($P173="","",INDEX(Tasks!$C$10:$C$1941,$P173))</x:f>
        <x:v>Phase 2</x:v>
      </x:c>
      <x:c r="D173" s="86" t="str">
        <x:f>IF($P173="","",INDEX(Tasks!$D$10:$D$1941,$P173))</x:f>
        <x:v>FCM</x:v>
      </x:c>
      <x:c r="E173" s="86"/>
      <x:c r="F173" s="86" t="str">
        <x:f>IF($P173="","",INDEX(Tasks!$E$10:$E$1941,$P173))</x:f>
        <x:v>Data &amp; Reporting</x:v>
      </x:c>
      <x:c r="G173" s="86"/>
      <x:c r="H173" s="14" t="str">
        <x:f>IF($P173="","",INDEX(Tasks!$F$10:$F$1941,$P173)&amp;CHAR(10)&amp;INDEX(Tasks!$G$10:$G$1941,$P173))</x:f>
        <x:v>DR.FC.2.6
Document clear distinctions between facts, assumptions, and hypotheses within the data package</x:v>
      </x:c>
      <x:c r="I173" s="14"/>
      <x:c r="J173" s="14"/>
      <x:c r="K173" s="14"/>
      <x:c r="L173" s="86" t="str">
        <x:f>IF($P173="","",INDEX(Tasks!$N$10:$N$1941,$P173))</x:f>
        <x:v>Not started</x:v>
      </x:c>
      <x:c r="M173" s="87" t="n">
        <x:f>IF($P173="","",INDEX(Tasks!$J$10:$J$1941,$P173))</x:f>
        <x:v>46203</x:v>
      </x:c>
      <x:c r="N173" s="85" t="str">
        <x:f>IF($P173="","",HYPERLINK("#'"&amp;INDEX(Tasks!$T$10:$T$1941,$P173)&amp;"'!A"&amp;INDEX(Tasks!$U$10:$U$1941,$P173),"Open"))</x:f>
        <x:v>Open</x:v>
      </x:c>
      <x:c r="O173" s="14"/>
      <x:c r="P173" s="14" t="n">
        <x:f>IF(152&gt;$B$10,"",MATCH(152,Tasks!$S$10:$S$1941,0))</x:f>
        <x:v>308</x:v>
      </x:c>
    </x:row>
    <x:row r="174" ht="58" customHeight="1">
      <x:c r="B174" s="86" t="str">
        <x:f>IF($P174="","",INDEX(Tasks!$B$10:$B$1941,$P174))</x:f>
        <x:v>Cycle 2</x:v>
      </x:c>
      <x:c r="C174" s="86" t="str">
        <x:f>IF($P174="","",INDEX(Tasks!$C$10:$C$1941,$P174))</x:f>
        <x:v>Phase 3</x:v>
      </x:c>
      <x:c r="D174" s="86" t="str">
        <x:f>IF($P174="","",INDEX(Tasks!$D$10:$D$1941,$P174))</x:f>
        <x:v>FCM</x:v>
      </x:c>
      <x:c r="E174" s="86"/>
      <x:c r="F174" s="86" t="str">
        <x:f>IF($P174="","",INDEX(Tasks!$E$10:$E$1941,$P174))</x:f>
        <x:v>Data &amp; Reporting</x:v>
      </x:c>
      <x:c r="G174" s="86"/>
      <x:c r="H174" s="14" t="str">
        <x:f>IF($P174="","",INDEX(Tasks!$F$10:$F$1941,$P174)&amp;CHAR(10)&amp;INDEX(Tasks!$G$10:$G$1941,$P174))</x:f>
        <x:v>DR.FC.3.1
Clearly document rationale for each topic recommendation within the SharePoint list item</x:v>
      </x:c>
      <x:c r="I174" s="14"/>
      <x:c r="J174" s="14"/>
      <x:c r="K174" s="14"/>
      <x:c r="L174" s="86" t="str">
        <x:f>IF($P174="","",INDEX(Tasks!$N$10:$N$1941,$P174))</x:f>
        <x:v>Not started</x:v>
      </x:c>
      <x:c r="M174" s="87" t="n">
        <x:f>IF($P174="","",INDEX(Tasks!$J$10:$J$1941,$P174))</x:f>
        <x:v>46203</x:v>
      </x:c>
      <x:c r="N174" s="85" t="str">
        <x:f>IF($P174="","",HYPERLINK("#'"&amp;INDEX(Tasks!$T$10:$T$1941,$P174)&amp;"'!A"&amp;INDEX(Tasks!$U$10:$U$1941,$P174),"Open"))</x:f>
        <x:v>Open</x:v>
      </x:c>
      <x:c r="O174" s="14"/>
      <x:c r="P174" s="14" t="n">
        <x:f>IF(153&gt;$B$10,"",MATCH(153,Tasks!$S$10:$S$1941,0))</x:f>
        <x:v>309</x:v>
      </x:c>
    </x:row>
    <x:row r="175" ht="58" customHeight="1">
      <x:c r="B175" s="86" t="str">
        <x:f>IF($P175="","",INDEX(Tasks!$B$10:$B$1941,$P175))</x:f>
        <x:v>Cycle 2</x:v>
      </x:c>
      <x:c r="C175" s="86" t="str">
        <x:f>IF($P175="","",INDEX(Tasks!$C$10:$C$1941,$P175))</x:f>
        <x:v>Phase 3</x:v>
      </x:c>
      <x:c r="D175" s="86" t="str">
        <x:f>IF($P175="","",INDEX(Tasks!$D$10:$D$1941,$P175))</x:f>
        <x:v>FCM</x:v>
      </x:c>
      <x:c r="E175" s="86"/>
      <x:c r="F175" s="86" t="str">
        <x:f>IF($P175="","",INDEX(Tasks!$E$10:$E$1941,$P175))</x:f>
        <x:v>Data &amp; Reporting</x:v>
      </x:c>
      <x:c r="G175" s="86"/>
      <x:c r="H175" s="14" t="str">
        <x:f>IF($P175="","",INDEX(Tasks!$F$10:$F$1941,$P175)&amp;CHAR(10)&amp;INDEX(Tasks!$G$10:$G$1941,$P175))</x:f>
        <x:v>DR.FC.3.2
Attach the data package for each topic recommendation within the SharePoint list item</x:v>
      </x:c>
      <x:c r="I175" s="14"/>
      <x:c r="J175" s="14"/>
      <x:c r="K175" s="14"/>
      <x:c r="L175" s="86" t="str">
        <x:f>IF($P175="","",INDEX(Tasks!$N$10:$N$1941,$P175))</x:f>
        <x:v>Not started</x:v>
      </x:c>
      <x:c r="M175" s="87" t="n">
        <x:f>IF($P175="","",INDEX(Tasks!$J$10:$J$1941,$P175))</x:f>
        <x:v>46203</x:v>
      </x:c>
      <x:c r="N175" s="85" t="str">
        <x:f>IF($P175="","",HYPERLINK("#'"&amp;INDEX(Tasks!$T$10:$T$1941,$P175)&amp;"'!A"&amp;INDEX(Tasks!$U$10:$U$1941,$P175),"Open"))</x:f>
        <x:v>Open</x:v>
      </x:c>
      <x:c r="O175" s="14"/>
      <x:c r="P175" s="14" t="n">
        <x:f>IF(154&gt;$B$10,"",MATCH(154,Tasks!$S$10:$S$1941,0))</x:f>
        <x:v>310</x:v>
      </x:c>
    </x:row>
    <x:row r="176" ht="58" customHeight="1">
      <x:c r="B176" s="86" t="str">
        <x:f>IF($P176="","",INDEX(Tasks!$B$10:$B$1941,$P176))</x:f>
        <x:v>Cycle 2</x:v>
      </x:c>
      <x:c r="C176" s="86" t="str">
        <x:f>IF($P176="","",INDEX(Tasks!$C$10:$C$1941,$P176))</x:f>
        <x:v>Phase 3</x:v>
      </x:c>
      <x:c r="D176" s="86" t="str">
        <x:f>IF($P176="","",INDEX(Tasks!$D$10:$D$1941,$P176))</x:f>
        <x:v>FCM</x:v>
      </x:c>
      <x:c r="E176" s="86"/>
      <x:c r="F176" s="86" t="str">
        <x:f>IF($P176="","",INDEX(Tasks!$E$10:$E$1941,$P176))</x:f>
        <x:v>Data &amp; Reporting</x:v>
      </x:c>
      <x:c r="G176" s="86"/>
      <x:c r="H176" s="14" t="str">
        <x:f>IF($P176="","",INDEX(Tasks!$F$10:$F$1941,$P176)&amp;CHAR(10)&amp;INDEX(Tasks!$G$10:$G$1941,$P176))</x:f>
        <x:v>DR.FC.3.3
Confirm data privileges have been granted, ensuring each pillar can access</x:v>
      </x:c>
      <x:c r="I176" s="14"/>
      <x:c r="J176" s="14"/>
      <x:c r="K176" s="14"/>
      <x:c r="L176" s="86" t="str">
        <x:f>IF($P176="","",INDEX(Tasks!$N$10:$N$1941,$P176))</x:f>
        <x:v>Not started</x:v>
      </x:c>
      <x:c r="M176" s="87" t="n">
        <x:f>IF($P176="","",INDEX(Tasks!$J$10:$J$1941,$P176))</x:f>
        <x:v>46203</x:v>
      </x:c>
      <x:c r="N176" s="85" t="str">
        <x:f>IF($P176="","",HYPERLINK("#'"&amp;INDEX(Tasks!$T$10:$T$1941,$P176)&amp;"'!A"&amp;INDEX(Tasks!$U$10:$U$1941,$P176),"Open"))</x:f>
        <x:v>Open</x:v>
      </x:c>
      <x:c r="O176" s="14"/>
      <x:c r="P176" s="14" t="n">
        <x:f>IF(155&gt;$B$10,"",MATCH(155,Tasks!$S$10:$S$1941,0))</x:f>
        <x:v>311</x:v>
      </x:c>
    </x:row>
    <x:row r="177" ht="58" customHeight="1">
      <x:c r="B177" s="86" t="str">
        <x:f>IF($P177="","",INDEX(Tasks!$B$10:$B$1941,$P177))</x:f>
        <x:v>Cycle 2</x:v>
      </x:c>
      <x:c r="C177" s="86" t="str">
        <x:f>IF($P177="","",INDEX(Tasks!$C$10:$C$1941,$P177))</x:f>
        <x:v>Phase 3</x:v>
      </x:c>
      <x:c r="D177" s="86" t="str">
        <x:f>IF($P177="","",INDEX(Tasks!$D$10:$D$1941,$P177))</x:f>
        <x:v>FCM</x:v>
      </x:c>
      <x:c r="E177" s="86"/>
      <x:c r="F177" s="86" t="str">
        <x:f>IF($P177="","",INDEX(Tasks!$E$10:$E$1941,$P177))</x:f>
        <x:v>Data &amp; Reporting</x:v>
      </x:c>
      <x:c r="G177" s="86"/>
      <x:c r="H177" s="14" t="str">
        <x:f>IF($P177="","",INDEX(Tasks!$F$10:$F$1941,$P177)&amp;CHAR(10)&amp;INDEX(Tasks!$G$10:$G$1941,$P177))</x:f>
        <x:v>DR.FC.3.4
Ensure Power Automate notifications were correctly triggered within Microsoft Teams</x:v>
      </x:c>
      <x:c r="I177" s="14"/>
      <x:c r="J177" s="14"/>
      <x:c r="K177" s="14"/>
      <x:c r="L177" s="86" t="str">
        <x:f>IF($P177="","",INDEX(Tasks!$N$10:$N$1941,$P177))</x:f>
        <x:v>Not started</x:v>
      </x:c>
      <x:c r="M177" s="87" t="n">
        <x:f>IF($P177="","",INDEX(Tasks!$J$10:$J$1941,$P177))</x:f>
        <x:v>46203</x:v>
      </x:c>
      <x:c r="N177" s="85" t="str">
        <x:f>IF($P177="","",HYPERLINK("#'"&amp;INDEX(Tasks!$T$10:$T$1941,$P177)&amp;"'!A"&amp;INDEX(Tasks!$U$10:$U$1941,$P177),"Open"))</x:f>
        <x:v>Open</x:v>
      </x:c>
      <x:c r="O177" s="14"/>
      <x:c r="P177" s="14" t="n">
        <x:f>IF(156&gt;$B$10,"",MATCH(156,Tasks!$S$10:$S$1941,0))</x:f>
        <x:v>312</x:v>
      </x:c>
    </x:row>
    <x:row r="178" ht="58" customHeight="1">
      <x:c r="B178" s="86" t="str">
        <x:f>IF($P178="","",INDEX(Tasks!$B$10:$B$1941,$P178))</x:f>
        <x:v>Cycle 2</x:v>
      </x:c>
      <x:c r="C178" s="86" t="str">
        <x:f>IF($P178="","",INDEX(Tasks!$C$10:$C$1941,$P178))</x:f>
        <x:v>Phase 1</x:v>
      </x:c>
      <x:c r="D178" s="86" t="str">
        <x:f>IF($P178="","",INDEX(Tasks!$D$10:$D$1941,$P178))</x:f>
        <x:v>PLL</x:v>
      </x:c>
      <x:c r="E178" s="86"/>
      <x:c r="F178" s="86" t="str">
        <x:f>IF($P178="","",INDEX(Tasks!$E$10:$E$1941,$P178))</x:f>
        <x:v>Data &amp; Reporting</x:v>
      </x:c>
      <x:c r="G178" s="86"/>
      <x:c r="H178" s="14" t="str">
        <x:f>IF($P178="","",INDEX(Tasks!$F$10:$F$1941,$P178)&amp;CHAR(10)&amp;INDEX(Tasks!$G$10:$G$1941,$P178))</x:f>
        <x:v>DR.PL.1.1
Review data sources 3 weeks prior to Cycle start (Complaints, Gen AI, Loudspeaker, NPS, etc.)</x:v>
      </x:c>
      <x:c r="I178" s="14"/>
      <x:c r="J178" s="14"/>
      <x:c r="K178" s="14"/>
      <x:c r="L178" s="86" t="str">
        <x:f>IF($P178="","",INDEX(Tasks!$N$10:$N$1941,$P178))</x:f>
        <x:v>Not started</x:v>
      </x:c>
      <x:c r="M178" s="87" t="n">
        <x:f>IF($P178="","",INDEX(Tasks!$J$10:$J$1941,$P178))</x:f>
        <x:v>46092</x:v>
      </x:c>
      <x:c r="N178" s="85" t="str">
        <x:f>IF($P178="","",HYPERLINK("#'"&amp;INDEX(Tasks!$T$10:$T$1941,$P178)&amp;"'!A"&amp;INDEX(Tasks!$U$10:$U$1941,$P178),"Open"))</x:f>
        <x:v>Open</x:v>
      </x:c>
      <x:c r="O178" s="14"/>
      <x:c r="P178" s="14" t="n">
        <x:f>IF(157&gt;$B$10,"",MATCH(157,Tasks!$S$10:$S$1941,0))</x:f>
        <x:v>313</x:v>
      </x:c>
    </x:row>
    <x:row r="179" ht="58" customHeight="1">
      <x:c r="B179" s="86" t="str">
        <x:f>IF($P179="","",INDEX(Tasks!$B$10:$B$1941,$P179))</x:f>
        <x:v>Cycle 2</x:v>
      </x:c>
      <x:c r="C179" s="86" t="str">
        <x:f>IF($P179="","",INDEX(Tasks!$C$10:$C$1941,$P179))</x:f>
        <x:v>Phase 1</x:v>
      </x:c>
      <x:c r="D179" s="86" t="str">
        <x:f>IF($P179="","",INDEX(Tasks!$D$10:$D$1941,$P179))</x:f>
        <x:v>PLL</x:v>
      </x:c>
      <x:c r="E179" s="86"/>
      <x:c r="F179" s="86" t="str">
        <x:f>IF($P179="","",INDEX(Tasks!$E$10:$E$1941,$P179))</x:f>
        <x:v>Data &amp; Reporting</x:v>
      </x:c>
      <x:c r="G179" s="86"/>
      <x:c r="H179" s="14" t="str">
        <x:f>IF($P179="","",INDEX(Tasks!$F$10:$F$1941,$P179)&amp;CHAR(10)&amp;INDEX(Tasks!$G$10:$G$1941,$P179))</x:f>
        <x:v>DR.PL.1.2
Identify two potential topics for the upcoming Cycle</x:v>
      </x:c>
      <x:c r="I179" s="14"/>
      <x:c r="J179" s="14"/>
      <x:c r="K179" s="14"/>
      <x:c r="L179" s="86" t="str">
        <x:f>IF($P179="","",INDEX(Tasks!$N$10:$N$1941,$P179))</x:f>
        <x:v>Not started</x:v>
      </x:c>
      <x:c r="M179" s="87" t="n">
        <x:f>IF($P179="","",INDEX(Tasks!$J$10:$J$1941,$P179))</x:f>
        <x:v>46203</x:v>
      </x:c>
      <x:c r="N179" s="85" t="str">
        <x:f>IF($P179="","",HYPERLINK("#'"&amp;INDEX(Tasks!$T$10:$T$1941,$P179)&amp;"'!A"&amp;INDEX(Tasks!$U$10:$U$1941,$P179),"Open"))</x:f>
        <x:v>Open</x:v>
      </x:c>
      <x:c r="O179" s="14"/>
      <x:c r="P179" s="14" t="n">
        <x:f>IF(158&gt;$B$10,"",MATCH(158,Tasks!$S$10:$S$1941,0))</x:f>
        <x:v>314</x:v>
      </x:c>
    </x:row>
    <x:row r="180" ht="58" customHeight="1">
      <x:c r="B180" s="86" t="str">
        <x:f>IF($P180="","",INDEX(Tasks!$B$10:$B$1941,$P180))</x:f>
        <x:v>Cycle 2</x:v>
      </x:c>
      <x:c r="C180" s="86" t="str">
        <x:f>IF($P180="","",INDEX(Tasks!$C$10:$C$1941,$P180))</x:f>
        <x:v>Phase 1</x:v>
      </x:c>
      <x:c r="D180" s="86" t="str">
        <x:f>IF($P180="","",INDEX(Tasks!$D$10:$D$1941,$P180))</x:f>
        <x:v>PLL</x:v>
      </x:c>
      <x:c r="E180" s="86"/>
      <x:c r="F180" s="86" t="str">
        <x:f>IF($P180="","",INDEX(Tasks!$E$10:$E$1941,$P180))</x:f>
        <x:v>Data &amp; Reporting</x:v>
      </x:c>
      <x:c r="G180" s="86"/>
      <x:c r="H180" s="14" t="str">
        <x:f>IF($P180="","",INDEX(Tasks!$F$10:$F$1941,$P180)&amp;CHAR(10)&amp;INDEX(Tasks!$G$10:$G$1941,$P180))</x:f>
        <x:v>DR.PL.1.3
Extract data for both potential topics, ensuring all checklist items below are included/completed</x:v>
      </x:c>
      <x:c r="I180" s="14"/>
      <x:c r="J180" s="14"/>
      <x:c r="K180" s="14"/>
      <x:c r="L180" s="86" t="str">
        <x:f>IF($P180="","",INDEX(Tasks!$N$10:$N$1941,$P180))</x:f>
        <x:v>Not started</x:v>
      </x:c>
      <x:c r="M180" s="87" t="n">
        <x:f>IF($P180="","",INDEX(Tasks!$J$10:$J$1941,$P180))</x:f>
        <x:v>46203</x:v>
      </x:c>
      <x:c r="N180" s="85" t="str">
        <x:f>IF($P180="","",HYPERLINK("#'"&amp;INDEX(Tasks!$T$10:$T$1941,$P180)&amp;"'!A"&amp;INDEX(Tasks!$U$10:$U$1941,$P180),"Open"))</x:f>
        <x:v>Open</x:v>
      </x:c>
      <x:c r="O180" s="14"/>
      <x:c r="P180" s="14" t="n">
        <x:f>IF(159&gt;$B$10,"",MATCH(159,Tasks!$S$10:$S$1941,0))</x:f>
        <x:v>315</x:v>
      </x:c>
    </x:row>
    <x:row r="181" ht="58" customHeight="1">
      <x:c r="B181" s="86" t="str">
        <x:f>IF($P181="","",INDEX(Tasks!$B$10:$B$1941,$P181))</x:f>
        <x:v>Cycle 2</x:v>
      </x:c>
      <x:c r="C181" s="86" t="str">
        <x:f>IF($P181="","",INDEX(Tasks!$C$10:$C$1941,$P181))</x:f>
        <x:v>Phase 2</x:v>
      </x:c>
      <x:c r="D181" s="86" t="str">
        <x:f>IF($P181="","",INDEX(Tasks!$D$10:$D$1941,$P181))</x:f>
        <x:v>PLL</x:v>
      </x:c>
      <x:c r="E181" s="86"/>
      <x:c r="F181" s="86" t="str">
        <x:f>IF($P181="","",INDEX(Tasks!$E$10:$E$1941,$P181))</x:f>
        <x:v>Data &amp; Reporting</x:v>
      </x:c>
      <x:c r="G181" s="86"/>
      <x:c r="H181" s="14" t="str">
        <x:f>IF($P181="","",INDEX(Tasks!$F$10:$F$1941,$P181)&amp;CHAR(10)&amp;INDEX(Tasks!$G$10:$G$1941,$P181))</x:f>
        <x:v>DR.PL.2.1
Ensure data is clean, structured, and usable without manipulation needed</x:v>
      </x:c>
      <x:c r="I181" s="14"/>
      <x:c r="J181" s="14"/>
      <x:c r="K181" s="14"/>
      <x:c r="L181" s="86" t="str">
        <x:f>IF($P181="","",INDEX(Tasks!$N$10:$N$1941,$P181))</x:f>
        <x:v>Not started</x:v>
      </x:c>
      <x:c r="M181" s="87" t="n">
        <x:f>IF($P181="","",INDEX(Tasks!$J$10:$J$1941,$P181))</x:f>
        <x:v>46203</x:v>
      </x:c>
      <x:c r="N181" s="85" t="str">
        <x:f>IF($P181="","",HYPERLINK("#'"&amp;INDEX(Tasks!$T$10:$T$1941,$P181)&amp;"'!A"&amp;INDEX(Tasks!$U$10:$U$1941,$P181),"Open"))</x:f>
        <x:v>Open</x:v>
      </x:c>
      <x:c r="O181" s="14"/>
      <x:c r="P181" s="14" t="n">
        <x:f>IF(160&gt;$B$10,"",MATCH(160,Tasks!$S$10:$S$1941,0))</x:f>
        <x:v>329</x:v>
      </x:c>
    </x:row>
    <x:row r="182" ht="58" customHeight="1">
      <x:c r="B182" s="86" t="str">
        <x:f>IF($P182="","",INDEX(Tasks!$B$10:$B$1941,$P182))</x:f>
        <x:v>Cycle 2</x:v>
      </x:c>
      <x:c r="C182" s="86" t="str">
        <x:f>IF($P182="","",INDEX(Tasks!$C$10:$C$1941,$P182))</x:f>
        <x:v>Phase 2</x:v>
      </x:c>
      <x:c r="D182" s="86" t="str">
        <x:f>IF($P182="","",INDEX(Tasks!$D$10:$D$1941,$P182))</x:f>
        <x:v>PLL</x:v>
      </x:c>
      <x:c r="E182" s="86"/>
      <x:c r="F182" s="86" t="str">
        <x:f>IF($P182="","",INDEX(Tasks!$E$10:$E$1941,$P182))</x:f>
        <x:v>Data &amp; Reporting</x:v>
      </x:c>
      <x:c r="G182" s="86"/>
      <x:c r="H182" s="14" t="str">
        <x:f>IF($P182="","",INDEX(Tasks!$F$10:$F$1941,$P182)&amp;CHAR(10)&amp;INDEX(Tasks!$G$10:$G$1941,$P182))</x:f>
        <x:v>DR.PL.2.2
Clearly document rationale for each topic recommendation within the SharePoint list</x:v>
      </x:c>
      <x:c r="I182" s="14"/>
      <x:c r="J182" s="14"/>
      <x:c r="K182" s="14"/>
      <x:c r="L182" s="86" t="str">
        <x:f>IF($P182="","",INDEX(Tasks!$N$10:$N$1941,$P182))</x:f>
        <x:v>Not started</x:v>
      </x:c>
      <x:c r="M182" s="87" t="n">
        <x:f>IF($P182="","",INDEX(Tasks!$J$10:$J$1941,$P182))</x:f>
        <x:v>46203</x:v>
      </x:c>
      <x:c r="N182" s="85" t="str">
        <x:f>IF($P182="","",HYPERLINK("#'"&amp;INDEX(Tasks!$T$10:$T$1941,$P182)&amp;"'!A"&amp;INDEX(Tasks!$U$10:$U$1941,$P182),"Open"))</x:f>
        <x:v>Open</x:v>
      </x:c>
      <x:c r="O182" s="14"/>
      <x:c r="P182" s="14" t="n">
        <x:f>IF(161&gt;$B$10,"",MATCH(161,Tasks!$S$10:$S$1941,0))</x:f>
        <x:v>330</x:v>
      </x:c>
    </x:row>
    <x:row r="183" ht="58" customHeight="1">
      <x:c r="B183" s="86" t="str">
        <x:f>IF($P183="","",INDEX(Tasks!$B$10:$B$1941,$P183))</x:f>
        <x:v>Cycle 2</x:v>
      </x:c>
      <x:c r="C183" s="86" t="str">
        <x:f>IF($P183="","",INDEX(Tasks!$C$10:$C$1941,$P183))</x:f>
        <x:v>Phase 2</x:v>
      </x:c>
      <x:c r="D183" s="86" t="str">
        <x:f>IF($P183="","",INDEX(Tasks!$D$10:$D$1941,$P183))</x:f>
        <x:v>PLL</x:v>
      </x:c>
      <x:c r="E183" s="86"/>
      <x:c r="F183" s="86" t="str">
        <x:f>IF($P183="","",INDEX(Tasks!$E$10:$E$1941,$P183))</x:f>
        <x:v>Data &amp; Reporting</x:v>
      </x:c>
      <x:c r="G183" s="86"/>
      <x:c r="H183" s="14" t="str">
        <x:f>IF($P183="","",INDEX(Tasks!$F$10:$F$1941,$P183)&amp;CHAR(10)&amp;INDEX(Tasks!$G$10:$G$1941,$P183))</x:f>
        <x:v>DR.PL.2.3
Verify topic is eligible for RCA and does not conflict with Attorney Client Privilege</x:v>
      </x:c>
      <x:c r="I183" s="14"/>
      <x:c r="J183" s="14"/>
      <x:c r="K183" s="14"/>
      <x:c r="L183" s="86" t="str">
        <x:f>IF($P183="","",INDEX(Tasks!$N$10:$N$1941,$P183))</x:f>
        <x:v>Not started</x:v>
      </x:c>
      <x:c r="M183" s="87" t="n">
        <x:f>IF($P183="","",INDEX(Tasks!$J$10:$J$1941,$P183))</x:f>
        <x:v>46203</x:v>
      </x:c>
      <x:c r="N183" s="85" t="str">
        <x:f>IF($P183="","",HYPERLINK("#'"&amp;INDEX(Tasks!$T$10:$T$1941,$P183)&amp;"'!A"&amp;INDEX(Tasks!$U$10:$U$1941,$P183),"Open"))</x:f>
        <x:v>Open</x:v>
      </x:c>
      <x:c r="O183" s="14"/>
      <x:c r="P183" s="14" t="n">
        <x:f>IF(162&gt;$B$10,"",MATCH(162,Tasks!$S$10:$S$1941,0))</x:f>
        <x:v>331</x:v>
      </x:c>
    </x:row>
    <x:row r="184" ht="58" customHeight="1">
      <x:c r="B184" s="86" t="str">
        <x:f>IF($P184="","",INDEX(Tasks!$B$10:$B$1941,$P184))</x:f>
        <x:v>Cycle 2</x:v>
      </x:c>
      <x:c r="C184" s="86" t="str">
        <x:f>IF($P184="","",INDEX(Tasks!$C$10:$C$1941,$P184))</x:f>
        <x:v>Phase 2</x:v>
      </x:c>
      <x:c r="D184" s="86" t="str">
        <x:f>IF($P184="","",INDEX(Tasks!$D$10:$D$1941,$P184))</x:f>
        <x:v>PLL</x:v>
      </x:c>
      <x:c r="E184" s="86"/>
      <x:c r="F184" s="86" t="str">
        <x:f>IF($P184="","",INDEX(Tasks!$E$10:$E$1941,$P184))</x:f>
        <x:v>Data &amp; Reporting</x:v>
      </x:c>
      <x:c r="G184" s="86"/>
      <x:c r="H184" s="14" t="str">
        <x:f>IF($P184="","",INDEX(Tasks!$F$10:$F$1941,$P184)&amp;CHAR(10)&amp;INDEX(Tasks!$G$10:$G$1941,$P184))</x:f>
        <x:v>DR.PL.2.4
Ensure data is free of errors and anomalies prior to hand-off to Research</x:v>
      </x:c>
      <x:c r="I184" s="14"/>
      <x:c r="J184" s="14"/>
      <x:c r="K184" s="14"/>
      <x:c r="L184" s="86" t="str">
        <x:f>IF($P184="","",INDEX(Tasks!$N$10:$N$1941,$P184))</x:f>
        <x:v>Not started</x:v>
      </x:c>
      <x:c r="M184" s="87" t="n">
        <x:f>IF($P184="","",INDEX(Tasks!$J$10:$J$1941,$P184))</x:f>
        <x:v>46203</x:v>
      </x:c>
      <x:c r="N184" s="85" t="str">
        <x:f>IF($P184="","",HYPERLINK("#'"&amp;INDEX(Tasks!$T$10:$T$1941,$P184)&amp;"'!A"&amp;INDEX(Tasks!$U$10:$U$1941,$P184),"Open"))</x:f>
        <x:v>Open</x:v>
      </x:c>
      <x:c r="O184" s="14"/>
      <x:c r="P184" s="14" t="n">
        <x:f>IF(163&gt;$B$10,"",MATCH(163,Tasks!$S$10:$S$1941,0))</x:f>
        <x:v>332</x:v>
      </x:c>
    </x:row>
    <x:row r="185" ht="58" customHeight="1">
      <x:c r="B185" s="86" t="str">
        <x:f>IF($P185="","",INDEX(Tasks!$B$10:$B$1941,$P185))</x:f>
        <x:v>Cycle 2</x:v>
      </x:c>
      <x:c r="C185" s="86" t="str">
        <x:f>IF($P185="","",INDEX(Tasks!$C$10:$C$1941,$P185))</x:f>
        <x:v>Phase 2</x:v>
      </x:c>
      <x:c r="D185" s="86" t="str">
        <x:f>IF($P185="","",INDEX(Tasks!$D$10:$D$1941,$P185))</x:f>
        <x:v>PLL</x:v>
      </x:c>
      <x:c r="E185" s="86"/>
      <x:c r="F185" s="86" t="str">
        <x:f>IF($P185="","",INDEX(Tasks!$E$10:$E$1941,$P185))</x:f>
        <x:v>Data &amp; Reporting</x:v>
      </x:c>
      <x:c r="G185" s="86"/>
      <x:c r="H185" s="14" t="str">
        <x:f>IF($P185="","",INDEX(Tasks!$F$10:$F$1941,$P185)&amp;CHAR(10)&amp;INDEX(Tasks!$G$10:$G$1941,$P185))</x:f>
        <x:v>DR.PL.2.5
Ensure topic is not a duplicate from a previous Cycle</x:v>
      </x:c>
      <x:c r="I185" s="14"/>
      <x:c r="J185" s="14"/>
      <x:c r="K185" s="14"/>
      <x:c r="L185" s="86" t="str">
        <x:f>IF($P185="","",INDEX(Tasks!$N$10:$N$1941,$P185))</x:f>
        <x:v>Not started</x:v>
      </x:c>
      <x:c r="M185" s="87" t="n">
        <x:f>IF($P185="","",INDEX(Tasks!$J$10:$J$1941,$P185))</x:f>
        <x:v>46203</x:v>
      </x:c>
      <x:c r="N185" s="85" t="str">
        <x:f>IF($P185="","",HYPERLINK("#'"&amp;INDEX(Tasks!$T$10:$T$1941,$P185)&amp;"'!A"&amp;INDEX(Tasks!$U$10:$U$1941,$P185),"Open"))</x:f>
        <x:v>Open</x:v>
      </x:c>
      <x:c r="O185" s="14"/>
      <x:c r="P185" s="14" t="n">
        <x:f>IF(164&gt;$B$10,"",MATCH(164,Tasks!$S$10:$S$1941,0))</x:f>
        <x:v>333</x:v>
      </x:c>
    </x:row>
    <x:row r="186" ht="58" customHeight="1">
      <x:c r="B186" s="86" t="str">
        <x:f>IF($P186="","",INDEX(Tasks!$B$10:$B$1941,$P186))</x:f>
        <x:v>Cycle 2</x:v>
      </x:c>
      <x:c r="C186" s="86" t="str">
        <x:f>IF($P186="","",INDEX(Tasks!$C$10:$C$1941,$P186))</x:f>
        <x:v>Phase 2</x:v>
      </x:c>
      <x:c r="D186" s="86" t="str">
        <x:f>IF($P186="","",INDEX(Tasks!$D$10:$D$1941,$P186))</x:f>
        <x:v>PLL</x:v>
      </x:c>
      <x:c r="E186" s="86"/>
      <x:c r="F186" s="86" t="str">
        <x:f>IF($P186="","",INDEX(Tasks!$E$10:$E$1941,$P186))</x:f>
        <x:v>Data &amp; Reporting</x:v>
      </x:c>
      <x:c r="G186" s="86"/>
      <x:c r="H186" s="14" t="str">
        <x:f>IF($P186="","",INDEX(Tasks!$F$10:$F$1941,$P186)&amp;CHAR(10)&amp;INDEX(Tasks!$G$10:$G$1941,$P186))</x:f>
        <x:v>DR.PL.2.6
Document clear distinctions between facts, assumptions, and hypotheses within the data package</x:v>
      </x:c>
      <x:c r="I186" s="14"/>
      <x:c r="J186" s="14"/>
      <x:c r="K186" s="14"/>
      <x:c r="L186" s="86" t="str">
        <x:f>IF($P186="","",INDEX(Tasks!$N$10:$N$1941,$P186))</x:f>
        <x:v>Not started</x:v>
      </x:c>
      <x:c r="M186" s="87" t="n">
        <x:f>IF($P186="","",INDEX(Tasks!$J$10:$J$1941,$P186))</x:f>
        <x:v>46203</x:v>
      </x:c>
      <x:c r="N186" s="85" t="str">
        <x:f>IF($P186="","",HYPERLINK("#'"&amp;INDEX(Tasks!$T$10:$T$1941,$P186)&amp;"'!A"&amp;INDEX(Tasks!$U$10:$U$1941,$P186),"Open"))</x:f>
        <x:v>Open</x:v>
      </x:c>
      <x:c r="O186" s="14"/>
      <x:c r="P186" s="14" t="n">
        <x:f>IF(165&gt;$B$10,"",MATCH(165,Tasks!$S$10:$S$1941,0))</x:f>
        <x:v>334</x:v>
      </x:c>
    </x:row>
    <x:row r="187" ht="58" customHeight="1">
      <x:c r="B187" s="86" t="str">
        <x:f>IF($P187="","",INDEX(Tasks!$B$10:$B$1941,$P187))</x:f>
        <x:v>Cycle 2</x:v>
      </x:c>
      <x:c r="C187" s="86" t="str">
        <x:f>IF($P187="","",INDEX(Tasks!$C$10:$C$1941,$P187))</x:f>
        <x:v>Phase 3</x:v>
      </x:c>
      <x:c r="D187" s="86" t="str">
        <x:f>IF($P187="","",INDEX(Tasks!$D$10:$D$1941,$P187))</x:f>
        <x:v>PLL</x:v>
      </x:c>
      <x:c r="E187" s="86"/>
      <x:c r="F187" s="86" t="str">
        <x:f>IF($P187="","",INDEX(Tasks!$E$10:$E$1941,$P187))</x:f>
        <x:v>Data &amp; Reporting</x:v>
      </x:c>
      <x:c r="G187" s="86"/>
      <x:c r="H187" s="14" t="str">
        <x:f>IF($P187="","",INDEX(Tasks!$F$10:$F$1941,$P187)&amp;CHAR(10)&amp;INDEX(Tasks!$G$10:$G$1941,$P187))</x:f>
        <x:v>DR.PL.3.1
Clearly document rationale for each topic recommendation within the SharePoint list item</x:v>
      </x:c>
      <x:c r="I187" s="14"/>
      <x:c r="J187" s="14"/>
      <x:c r="K187" s="14"/>
      <x:c r="L187" s="86" t="str">
        <x:f>IF($P187="","",INDEX(Tasks!$N$10:$N$1941,$P187))</x:f>
        <x:v>Not started</x:v>
      </x:c>
      <x:c r="M187" s="87" t="n">
        <x:f>IF($P187="","",INDEX(Tasks!$J$10:$J$1941,$P187))</x:f>
        <x:v>46203</x:v>
      </x:c>
      <x:c r="N187" s="85" t="str">
        <x:f>IF($P187="","",HYPERLINK("#'"&amp;INDEX(Tasks!$T$10:$T$1941,$P187)&amp;"'!A"&amp;INDEX(Tasks!$U$10:$U$1941,$P187),"Open"))</x:f>
        <x:v>Open</x:v>
      </x:c>
      <x:c r="O187" s="14"/>
      <x:c r="P187" s="14" t="n">
        <x:f>IF(166&gt;$B$10,"",MATCH(166,Tasks!$S$10:$S$1941,0))</x:f>
        <x:v>335</x:v>
      </x:c>
    </x:row>
    <x:row r="188" ht="58" customHeight="1">
      <x:c r="B188" s="86" t="str">
        <x:f>IF($P188="","",INDEX(Tasks!$B$10:$B$1941,$P188))</x:f>
        <x:v>Cycle 2</x:v>
      </x:c>
      <x:c r="C188" s="86" t="str">
        <x:f>IF($P188="","",INDEX(Tasks!$C$10:$C$1941,$P188))</x:f>
        <x:v>Phase 3</x:v>
      </x:c>
      <x:c r="D188" s="86" t="str">
        <x:f>IF($P188="","",INDEX(Tasks!$D$10:$D$1941,$P188))</x:f>
        <x:v>PLL</x:v>
      </x:c>
      <x:c r="E188" s="86"/>
      <x:c r="F188" s="86" t="str">
        <x:f>IF($P188="","",INDEX(Tasks!$E$10:$E$1941,$P188))</x:f>
        <x:v>Data &amp; Reporting</x:v>
      </x:c>
      <x:c r="G188" s="86"/>
      <x:c r="H188" s="14" t="str">
        <x:f>IF($P188="","",INDEX(Tasks!$F$10:$F$1941,$P188)&amp;CHAR(10)&amp;INDEX(Tasks!$G$10:$G$1941,$P188))</x:f>
        <x:v>DR.PL.3.2
Attach the data package for each topic recommendation within the SharePoint list item</x:v>
      </x:c>
      <x:c r="I188" s="14"/>
      <x:c r="J188" s="14"/>
      <x:c r="K188" s="14"/>
      <x:c r="L188" s="86" t="str">
        <x:f>IF($P188="","",INDEX(Tasks!$N$10:$N$1941,$P188))</x:f>
        <x:v>Not started</x:v>
      </x:c>
      <x:c r="M188" s="87" t="n">
        <x:f>IF($P188="","",INDEX(Tasks!$J$10:$J$1941,$P188))</x:f>
        <x:v>46203</x:v>
      </x:c>
      <x:c r="N188" s="85" t="str">
        <x:f>IF($P188="","",HYPERLINK("#'"&amp;INDEX(Tasks!$T$10:$T$1941,$P188)&amp;"'!A"&amp;INDEX(Tasks!$U$10:$U$1941,$P188),"Open"))</x:f>
        <x:v>Open</x:v>
      </x:c>
      <x:c r="O188" s="14"/>
      <x:c r="P188" s="14" t="n">
        <x:f>IF(167&gt;$B$10,"",MATCH(167,Tasks!$S$10:$S$1941,0))</x:f>
        <x:v>336</x:v>
      </x:c>
    </x:row>
    <x:row r="189" ht="58" customHeight="1">
      <x:c r="B189" s="86" t="str">
        <x:f>IF($P189="","",INDEX(Tasks!$B$10:$B$1941,$P189))</x:f>
        <x:v>Cycle 2</x:v>
      </x:c>
      <x:c r="C189" s="86" t="str">
        <x:f>IF($P189="","",INDEX(Tasks!$C$10:$C$1941,$P189))</x:f>
        <x:v>Phase 3</x:v>
      </x:c>
      <x:c r="D189" s="86" t="str">
        <x:f>IF($P189="","",INDEX(Tasks!$D$10:$D$1941,$P189))</x:f>
        <x:v>PLL</x:v>
      </x:c>
      <x:c r="E189" s="86"/>
      <x:c r="F189" s="86" t="str">
        <x:f>IF($P189="","",INDEX(Tasks!$E$10:$E$1941,$P189))</x:f>
        <x:v>Data &amp; Reporting</x:v>
      </x:c>
      <x:c r="G189" s="86"/>
      <x:c r="H189" s="14" t="str">
        <x:f>IF($P189="","",INDEX(Tasks!$F$10:$F$1941,$P189)&amp;CHAR(10)&amp;INDEX(Tasks!$G$10:$G$1941,$P189))</x:f>
        <x:v>DR.PL.3.3
Confirm data privileges have been granted, ensuring each pillar can access</x:v>
      </x:c>
      <x:c r="I189" s="14"/>
      <x:c r="J189" s="14"/>
      <x:c r="K189" s="14"/>
      <x:c r="L189" s="86" t="str">
        <x:f>IF($P189="","",INDEX(Tasks!$N$10:$N$1941,$P189))</x:f>
        <x:v>Not started</x:v>
      </x:c>
      <x:c r="M189" s="87" t="n">
        <x:f>IF($P189="","",INDEX(Tasks!$J$10:$J$1941,$P189))</x:f>
        <x:v>46203</x:v>
      </x:c>
      <x:c r="N189" s="85" t="str">
        <x:f>IF($P189="","",HYPERLINK("#'"&amp;INDEX(Tasks!$T$10:$T$1941,$P189)&amp;"'!A"&amp;INDEX(Tasks!$U$10:$U$1941,$P189),"Open"))</x:f>
        <x:v>Open</x:v>
      </x:c>
      <x:c r="O189" s="14"/>
      <x:c r="P189" s="14" t="n">
        <x:f>IF(168&gt;$B$10,"",MATCH(168,Tasks!$S$10:$S$1941,0))</x:f>
        <x:v>337</x:v>
      </x:c>
    </x:row>
    <x:row r="190" ht="58" customHeight="1">
      <x:c r="B190" s="86" t="str">
        <x:f>IF($P190="","",INDEX(Tasks!$B$10:$B$1941,$P190))</x:f>
        <x:v>Cycle 2</x:v>
      </x:c>
      <x:c r="C190" s="86" t="str">
        <x:f>IF($P190="","",INDEX(Tasks!$C$10:$C$1941,$P190))</x:f>
        <x:v>Phase 3</x:v>
      </x:c>
      <x:c r="D190" s="86" t="str">
        <x:f>IF($P190="","",INDEX(Tasks!$D$10:$D$1941,$P190))</x:f>
        <x:v>PLL</x:v>
      </x:c>
      <x:c r="E190" s="86"/>
      <x:c r="F190" s="86" t="str">
        <x:f>IF($P190="","",INDEX(Tasks!$E$10:$E$1941,$P190))</x:f>
        <x:v>Data &amp; Reporting</x:v>
      </x:c>
      <x:c r="G190" s="86"/>
      <x:c r="H190" s="14" t="str">
        <x:f>IF($P190="","",INDEX(Tasks!$F$10:$F$1941,$P190)&amp;CHAR(10)&amp;INDEX(Tasks!$G$10:$G$1941,$P190))</x:f>
        <x:v>DR.PL.3.4
Ensure Power Automate notifications were correctly triggered within Microsoft Teams</x:v>
      </x:c>
      <x:c r="I190" s="14"/>
      <x:c r="J190" s="14"/>
      <x:c r="K190" s="14"/>
      <x:c r="L190" s="86" t="str">
        <x:f>IF($P190="","",INDEX(Tasks!$N$10:$N$1941,$P190))</x:f>
        <x:v>Not started</x:v>
      </x:c>
      <x:c r="M190" s="87" t="n">
        <x:f>IF($P190="","",INDEX(Tasks!$J$10:$J$1941,$P190))</x:f>
        <x:v>46203</x:v>
      </x:c>
      <x:c r="N190" s="85" t="str">
        <x:f>IF($P190="","",HYPERLINK("#'"&amp;INDEX(Tasks!$T$10:$T$1941,$P190)&amp;"'!A"&amp;INDEX(Tasks!$U$10:$U$1941,$P190),"Open"))</x:f>
        <x:v>Open</x:v>
      </x:c>
      <x:c r="O190" s="14"/>
      <x:c r="P190" s="14" t="n">
        <x:f>IF(169&gt;$B$10,"",MATCH(169,Tasks!$S$10:$S$1941,0))</x:f>
        <x:v>338</x:v>
      </x:c>
    </x:row>
    <x:row r="191" ht="58" customHeight="1">
      <x:c r="B191" s="86" t="str">
        <x:f>IF($P191="","",INDEX(Tasks!$B$10:$B$1941,$P191))</x:f>
        <x:v>Cycle 2</x:v>
      </x:c>
      <x:c r="C191" s="86" t="str">
        <x:f>IF($P191="","",INDEX(Tasks!$C$10:$C$1941,$P191))</x:f>
        <x:v>Phase 1</x:v>
      </x:c>
      <x:c r="D191" s="86" t="str">
        <x:f>IF($P191="","",INDEX(Tasks!$D$10:$D$1941,$P191))</x:f>
        <x:v>Retail Services</x:v>
      </x:c>
      <x:c r="E191" s="86"/>
      <x:c r="F191" s="86" t="str">
        <x:f>IF($P191="","",INDEX(Tasks!$E$10:$E$1941,$P191))</x:f>
        <x:v>Data &amp; Reporting</x:v>
      </x:c>
      <x:c r="G191" s="86"/>
      <x:c r="H191" s="14" t="str">
        <x:f>IF($P191="","",INDEX(Tasks!$F$10:$F$1941,$P191)&amp;CHAR(10)&amp;INDEX(Tasks!$G$10:$G$1941,$P191))</x:f>
        <x:v>DR.RS.1.1
Review data sources 3 weeks prior to Cycle start (Complaints, Gen AI, Loudspeaker, NPS, etc.)</x:v>
      </x:c>
      <x:c r="I191" s="14"/>
      <x:c r="J191" s="14"/>
      <x:c r="K191" s="14"/>
      <x:c r="L191" s="86" t="str">
        <x:f>IF($P191="","",INDEX(Tasks!$N$10:$N$1941,$P191))</x:f>
        <x:v>Not started</x:v>
      </x:c>
      <x:c r="M191" s="87" t="n">
        <x:f>IF($P191="","",INDEX(Tasks!$J$10:$J$1941,$P191))</x:f>
        <x:v>46092</x:v>
      </x:c>
      <x:c r="N191" s="85" t="str">
        <x:f>IF($P191="","",HYPERLINK("#'"&amp;INDEX(Tasks!$T$10:$T$1941,$P191)&amp;"'!A"&amp;INDEX(Tasks!$U$10:$U$1941,$P191),"Open"))</x:f>
        <x:v>Open</x:v>
      </x:c>
      <x:c r="O191" s="14"/>
      <x:c r="P191" s="14" t="n">
        <x:f>IF(170&gt;$B$10,"",MATCH(170,Tasks!$S$10:$S$1941,0))</x:f>
        <x:v>339</x:v>
      </x:c>
    </x:row>
    <x:row r="192" ht="58" customHeight="1">
      <x:c r="B192" s="86" t="str">
        <x:f>IF($P192="","",INDEX(Tasks!$B$10:$B$1941,$P192))</x:f>
        <x:v>Cycle 2</x:v>
      </x:c>
      <x:c r="C192" s="86" t="str">
        <x:f>IF($P192="","",INDEX(Tasks!$C$10:$C$1941,$P192))</x:f>
        <x:v>Phase 1</x:v>
      </x:c>
      <x:c r="D192" s="86" t="str">
        <x:f>IF($P192="","",INDEX(Tasks!$D$10:$D$1941,$P192))</x:f>
        <x:v>Retail Services</x:v>
      </x:c>
      <x:c r="E192" s="86"/>
      <x:c r="F192" s="86" t="str">
        <x:f>IF($P192="","",INDEX(Tasks!$E$10:$E$1941,$P192))</x:f>
        <x:v>Data &amp; Reporting</x:v>
      </x:c>
      <x:c r="G192" s="86"/>
      <x:c r="H192" s="14" t="str">
        <x:f>IF($P192="","",INDEX(Tasks!$F$10:$F$1941,$P192)&amp;CHAR(10)&amp;INDEX(Tasks!$G$10:$G$1941,$P192))</x:f>
        <x:v>DR.RS.1.2
Identify two potential topics for the upcoming Cycle</x:v>
      </x:c>
      <x:c r="I192" s="14"/>
      <x:c r="J192" s="14"/>
      <x:c r="K192" s="14"/>
      <x:c r="L192" s="86" t="str">
        <x:f>IF($P192="","",INDEX(Tasks!$N$10:$N$1941,$P192))</x:f>
        <x:v>Not started</x:v>
      </x:c>
      <x:c r="M192" s="87" t="n">
        <x:f>IF($P192="","",INDEX(Tasks!$J$10:$J$1941,$P192))</x:f>
        <x:v>46203</x:v>
      </x:c>
      <x:c r="N192" s="85" t="str">
        <x:f>IF($P192="","",HYPERLINK("#'"&amp;INDEX(Tasks!$T$10:$T$1941,$P192)&amp;"'!A"&amp;INDEX(Tasks!$U$10:$U$1941,$P192),"Open"))</x:f>
        <x:v>Open</x:v>
      </x:c>
      <x:c r="O192" s="14"/>
      <x:c r="P192" s="14" t="n">
        <x:f>IF(171&gt;$B$10,"",MATCH(171,Tasks!$S$10:$S$1941,0))</x:f>
        <x:v>340</x:v>
      </x:c>
    </x:row>
    <x:row r="193" ht="58" customHeight="1">
      <x:c r="B193" s="86" t="str">
        <x:f>IF($P193="","",INDEX(Tasks!$B$10:$B$1941,$P193))</x:f>
        <x:v>Cycle 2</x:v>
      </x:c>
      <x:c r="C193" s="86" t="str">
        <x:f>IF($P193="","",INDEX(Tasks!$C$10:$C$1941,$P193))</x:f>
        <x:v>Phase 1</x:v>
      </x:c>
      <x:c r="D193" s="86" t="str">
        <x:f>IF($P193="","",INDEX(Tasks!$D$10:$D$1941,$P193))</x:f>
        <x:v>Retail Services</x:v>
      </x:c>
      <x:c r="E193" s="86"/>
      <x:c r="F193" s="86" t="str">
        <x:f>IF($P193="","",INDEX(Tasks!$E$10:$E$1941,$P193))</x:f>
        <x:v>Data &amp; Reporting</x:v>
      </x:c>
      <x:c r="G193" s="86"/>
      <x:c r="H193" s="14" t="str">
        <x:f>IF($P193="","",INDEX(Tasks!$F$10:$F$1941,$P193)&amp;CHAR(10)&amp;INDEX(Tasks!$G$10:$G$1941,$P193))</x:f>
        <x:v>DR.RS.1.3
Extract data for both potential topics, ensuring all checklist items below are included/completed</x:v>
      </x:c>
      <x:c r="I193" s="14"/>
      <x:c r="J193" s="14"/>
      <x:c r="K193" s="14"/>
      <x:c r="L193" s="86" t="str">
        <x:f>IF($P193="","",INDEX(Tasks!$N$10:$N$1941,$P193))</x:f>
        <x:v>Not started</x:v>
      </x:c>
      <x:c r="M193" s="87" t="n">
        <x:f>IF($P193="","",INDEX(Tasks!$J$10:$J$1941,$P193))</x:f>
        <x:v>46203</x:v>
      </x:c>
      <x:c r="N193" s="85" t="str">
        <x:f>IF($P193="","",HYPERLINK("#'"&amp;INDEX(Tasks!$T$10:$T$1941,$P193)&amp;"'!A"&amp;INDEX(Tasks!$U$10:$U$1941,$P193),"Open"))</x:f>
        <x:v>Open</x:v>
      </x:c>
      <x:c r="O193" s="14"/>
      <x:c r="P193" s="14" t="n">
        <x:f>IF(172&gt;$B$10,"",MATCH(172,Tasks!$S$10:$S$1941,0))</x:f>
        <x:v>341</x:v>
      </x:c>
    </x:row>
    <x:row r="194" ht="58" customHeight="1">
      <x:c r="B194" s="86" t="str">
        <x:f>IF($P194="","",INDEX(Tasks!$B$10:$B$1941,$P194))</x:f>
        <x:v>Cycle 2</x:v>
      </x:c>
      <x:c r="C194" s="86" t="str">
        <x:f>IF($P194="","",INDEX(Tasks!$C$10:$C$1941,$P194))</x:f>
        <x:v>Phase 2</x:v>
      </x:c>
      <x:c r="D194" s="86" t="str">
        <x:f>IF($P194="","",INDEX(Tasks!$D$10:$D$1941,$P194))</x:f>
        <x:v>Retail Services</x:v>
      </x:c>
      <x:c r="E194" s="86"/>
      <x:c r="F194" s="86" t="str">
        <x:f>IF($P194="","",INDEX(Tasks!$E$10:$E$1941,$P194))</x:f>
        <x:v>Data &amp; Reporting</x:v>
      </x:c>
      <x:c r="G194" s="86"/>
      <x:c r="H194" s="14" t="str">
        <x:f>IF($P194="","",INDEX(Tasks!$F$10:$F$1941,$P194)&amp;CHAR(10)&amp;INDEX(Tasks!$G$10:$G$1941,$P194))</x:f>
        <x:v>DR.RS.2.1
Ensure data is clean, structured, and usable without manipulation needed</x:v>
      </x:c>
      <x:c r="I194" s="14"/>
      <x:c r="J194" s="14"/>
      <x:c r="K194" s="14"/>
      <x:c r="L194" s="86" t="str">
        <x:f>IF($P194="","",INDEX(Tasks!$N$10:$N$1941,$P194))</x:f>
        <x:v>Not started</x:v>
      </x:c>
      <x:c r="M194" s="87" t="n">
        <x:f>IF($P194="","",INDEX(Tasks!$J$10:$J$1941,$P194))</x:f>
        <x:v>46203</x:v>
      </x:c>
      <x:c r="N194" s="85" t="str">
        <x:f>IF($P194="","",HYPERLINK("#'"&amp;INDEX(Tasks!$T$10:$T$1941,$P194)&amp;"'!A"&amp;INDEX(Tasks!$U$10:$U$1941,$P194),"Open"))</x:f>
        <x:v>Open</x:v>
      </x:c>
      <x:c r="O194" s="14"/>
      <x:c r="P194" s="14" t="n">
        <x:f>IF(173&gt;$B$10,"",MATCH(173,Tasks!$S$10:$S$1941,0))</x:f>
        <x:v>355</x:v>
      </x:c>
    </x:row>
    <x:row r="195" ht="58" customHeight="1">
      <x:c r="B195" s="86" t="str">
        <x:f>IF($P195="","",INDEX(Tasks!$B$10:$B$1941,$P195))</x:f>
        <x:v>Cycle 2</x:v>
      </x:c>
      <x:c r="C195" s="86" t="str">
        <x:f>IF($P195="","",INDEX(Tasks!$C$10:$C$1941,$P195))</x:f>
        <x:v>Phase 2</x:v>
      </x:c>
      <x:c r="D195" s="86" t="str">
        <x:f>IF($P195="","",INDEX(Tasks!$D$10:$D$1941,$P195))</x:f>
        <x:v>Retail Services</x:v>
      </x:c>
      <x:c r="E195" s="86"/>
      <x:c r="F195" s="86" t="str">
        <x:f>IF($P195="","",INDEX(Tasks!$E$10:$E$1941,$P195))</x:f>
        <x:v>Data &amp; Reporting</x:v>
      </x:c>
      <x:c r="G195" s="86"/>
      <x:c r="H195" s="14" t="str">
        <x:f>IF($P195="","",INDEX(Tasks!$F$10:$F$1941,$P195)&amp;CHAR(10)&amp;INDEX(Tasks!$G$10:$G$1941,$P195))</x:f>
        <x:v>DR.RS.2.2
Clearly document rationale for each topic recommendation within the SharePoint list</x:v>
      </x:c>
      <x:c r="I195" s="14"/>
      <x:c r="J195" s="14"/>
      <x:c r="K195" s="14"/>
      <x:c r="L195" s="86" t="str">
        <x:f>IF($P195="","",INDEX(Tasks!$N$10:$N$1941,$P195))</x:f>
        <x:v>Not started</x:v>
      </x:c>
      <x:c r="M195" s="87" t="n">
        <x:f>IF($P195="","",INDEX(Tasks!$J$10:$J$1941,$P195))</x:f>
        <x:v>46203</x:v>
      </x:c>
      <x:c r="N195" s="85" t="str">
        <x:f>IF($P195="","",HYPERLINK("#'"&amp;INDEX(Tasks!$T$10:$T$1941,$P195)&amp;"'!A"&amp;INDEX(Tasks!$U$10:$U$1941,$P195),"Open"))</x:f>
        <x:v>Open</x:v>
      </x:c>
      <x:c r="O195" s="14"/>
      <x:c r="P195" s="14" t="n">
        <x:f>IF(174&gt;$B$10,"",MATCH(174,Tasks!$S$10:$S$1941,0))</x:f>
        <x:v>356</x:v>
      </x:c>
    </x:row>
    <x:row r="196" ht="58" customHeight="1">
      <x:c r="B196" s="86" t="str">
        <x:f>IF($P196="","",INDEX(Tasks!$B$10:$B$1941,$P196))</x:f>
        <x:v>Cycle 2</x:v>
      </x:c>
      <x:c r="C196" s="86" t="str">
        <x:f>IF($P196="","",INDEX(Tasks!$C$10:$C$1941,$P196))</x:f>
        <x:v>Phase 2</x:v>
      </x:c>
      <x:c r="D196" s="86" t="str">
        <x:f>IF($P196="","",INDEX(Tasks!$D$10:$D$1941,$P196))</x:f>
        <x:v>Retail Services</x:v>
      </x:c>
      <x:c r="E196" s="86"/>
      <x:c r="F196" s="86" t="str">
        <x:f>IF($P196="","",INDEX(Tasks!$E$10:$E$1941,$P196))</x:f>
        <x:v>Data &amp; Reporting</x:v>
      </x:c>
      <x:c r="G196" s="86"/>
      <x:c r="H196" s="14" t="str">
        <x:f>IF($P196="","",INDEX(Tasks!$F$10:$F$1941,$P196)&amp;CHAR(10)&amp;INDEX(Tasks!$G$10:$G$1941,$P196))</x:f>
        <x:v>DR.RS.2.3
Verify topic is eligible for RCA and does not conflict with Attorney Client Privilege</x:v>
      </x:c>
      <x:c r="I196" s="14"/>
      <x:c r="J196" s="14"/>
      <x:c r="K196" s="14"/>
      <x:c r="L196" s="86" t="str">
        <x:f>IF($P196="","",INDEX(Tasks!$N$10:$N$1941,$P196))</x:f>
        <x:v>Not started</x:v>
      </x:c>
      <x:c r="M196" s="87" t="n">
        <x:f>IF($P196="","",INDEX(Tasks!$J$10:$J$1941,$P196))</x:f>
        <x:v>46203</x:v>
      </x:c>
      <x:c r="N196" s="85" t="str">
        <x:f>IF($P196="","",HYPERLINK("#'"&amp;INDEX(Tasks!$T$10:$T$1941,$P196)&amp;"'!A"&amp;INDEX(Tasks!$U$10:$U$1941,$P196),"Open"))</x:f>
        <x:v>Open</x:v>
      </x:c>
      <x:c r="O196" s="14"/>
      <x:c r="P196" s="14" t="n">
        <x:f>IF(175&gt;$B$10,"",MATCH(175,Tasks!$S$10:$S$1941,0))</x:f>
        <x:v>357</x:v>
      </x:c>
    </x:row>
    <x:row r="197" ht="58" customHeight="1">
      <x:c r="B197" s="86" t="str">
        <x:f>IF($P197="","",INDEX(Tasks!$B$10:$B$1941,$P197))</x:f>
        <x:v>Cycle 2</x:v>
      </x:c>
      <x:c r="C197" s="86" t="str">
        <x:f>IF($P197="","",INDEX(Tasks!$C$10:$C$1941,$P197))</x:f>
        <x:v>Phase 2</x:v>
      </x:c>
      <x:c r="D197" s="86" t="str">
        <x:f>IF($P197="","",INDEX(Tasks!$D$10:$D$1941,$P197))</x:f>
        <x:v>Retail Services</x:v>
      </x:c>
      <x:c r="E197" s="86"/>
      <x:c r="F197" s="86" t="str">
        <x:f>IF($P197="","",INDEX(Tasks!$E$10:$E$1941,$P197))</x:f>
        <x:v>Data &amp; Reporting</x:v>
      </x:c>
      <x:c r="G197" s="86"/>
      <x:c r="H197" s="14" t="str">
        <x:f>IF($P197="","",INDEX(Tasks!$F$10:$F$1941,$P197)&amp;CHAR(10)&amp;INDEX(Tasks!$G$10:$G$1941,$P197))</x:f>
        <x:v>DR.RS.2.4
Ensure data is free of errors and anomalies prior to hand-off to Research</x:v>
      </x:c>
      <x:c r="I197" s="14"/>
      <x:c r="J197" s="14"/>
      <x:c r="K197" s="14"/>
      <x:c r="L197" s="86" t="str">
        <x:f>IF($P197="","",INDEX(Tasks!$N$10:$N$1941,$P197))</x:f>
        <x:v>Not started</x:v>
      </x:c>
      <x:c r="M197" s="87" t="n">
        <x:f>IF($P197="","",INDEX(Tasks!$J$10:$J$1941,$P197))</x:f>
        <x:v>46203</x:v>
      </x:c>
      <x:c r="N197" s="85" t="str">
        <x:f>IF($P197="","",HYPERLINK("#'"&amp;INDEX(Tasks!$T$10:$T$1941,$P197)&amp;"'!A"&amp;INDEX(Tasks!$U$10:$U$1941,$P197),"Open"))</x:f>
        <x:v>Open</x:v>
      </x:c>
      <x:c r="O197" s="14"/>
      <x:c r="P197" s="14" t="n">
        <x:f>IF(176&gt;$B$10,"",MATCH(176,Tasks!$S$10:$S$1941,0))</x:f>
        <x:v>358</x:v>
      </x:c>
    </x:row>
    <x:row r="198" ht="58" customHeight="1">
      <x:c r="B198" s="86" t="str">
        <x:f>IF($P198="","",INDEX(Tasks!$B$10:$B$1941,$P198))</x:f>
        <x:v>Cycle 2</x:v>
      </x:c>
      <x:c r="C198" s="86" t="str">
        <x:f>IF($P198="","",INDEX(Tasks!$C$10:$C$1941,$P198))</x:f>
        <x:v>Phase 2</x:v>
      </x:c>
      <x:c r="D198" s="86" t="str">
        <x:f>IF($P198="","",INDEX(Tasks!$D$10:$D$1941,$P198))</x:f>
        <x:v>Retail Services</x:v>
      </x:c>
      <x:c r="E198" s="86"/>
      <x:c r="F198" s="86" t="str">
        <x:f>IF($P198="","",INDEX(Tasks!$E$10:$E$1941,$P198))</x:f>
        <x:v>Data &amp; Reporting</x:v>
      </x:c>
      <x:c r="G198" s="86"/>
      <x:c r="H198" s="14" t="str">
        <x:f>IF($P198="","",INDEX(Tasks!$F$10:$F$1941,$P198)&amp;CHAR(10)&amp;INDEX(Tasks!$G$10:$G$1941,$P198))</x:f>
        <x:v>DR.RS.2.5
Ensure topic is not a duplicate from a previous Cycle</x:v>
      </x:c>
      <x:c r="I198" s="14"/>
      <x:c r="J198" s="14"/>
      <x:c r="K198" s="14"/>
      <x:c r="L198" s="86" t="str">
        <x:f>IF($P198="","",INDEX(Tasks!$N$10:$N$1941,$P198))</x:f>
        <x:v>Not started</x:v>
      </x:c>
      <x:c r="M198" s="87" t="n">
        <x:f>IF($P198="","",INDEX(Tasks!$J$10:$J$1941,$P198))</x:f>
        <x:v>46203</x:v>
      </x:c>
      <x:c r="N198" s="85" t="str">
        <x:f>IF($P198="","",HYPERLINK("#'"&amp;INDEX(Tasks!$T$10:$T$1941,$P198)&amp;"'!A"&amp;INDEX(Tasks!$U$10:$U$1941,$P198),"Open"))</x:f>
        <x:v>Open</x:v>
      </x:c>
      <x:c r="O198" s="14"/>
      <x:c r="P198" s="14" t="n">
        <x:f>IF(177&gt;$B$10,"",MATCH(177,Tasks!$S$10:$S$1941,0))</x:f>
        <x:v>359</x:v>
      </x:c>
    </x:row>
    <x:row r="199" ht="58" customHeight="1">
      <x:c r="B199" s="86" t="str">
        <x:f>IF($P199="","",INDEX(Tasks!$B$10:$B$1941,$P199))</x:f>
        <x:v>Cycle 2</x:v>
      </x:c>
      <x:c r="C199" s="86" t="str">
        <x:f>IF($P199="","",INDEX(Tasks!$C$10:$C$1941,$P199))</x:f>
        <x:v>Phase 2</x:v>
      </x:c>
      <x:c r="D199" s="86" t="str">
        <x:f>IF($P199="","",INDEX(Tasks!$D$10:$D$1941,$P199))</x:f>
        <x:v>Retail Services</x:v>
      </x:c>
      <x:c r="E199" s="86"/>
      <x:c r="F199" s="86" t="str">
        <x:f>IF($P199="","",INDEX(Tasks!$E$10:$E$1941,$P199))</x:f>
        <x:v>Data &amp; Reporting</x:v>
      </x:c>
      <x:c r="G199" s="86"/>
      <x:c r="H199" s="14" t="str">
        <x:f>IF($P199="","",INDEX(Tasks!$F$10:$F$1941,$P199)&amp;CHAR(10)&amp;INDEX(Tasks!$G$10:$G$1941,$P199))</x:f>
        <x:v>DR.RS.2.6
Document clear distinctions between facts, assumptions, and hypotheses within the data package</x:v>
      </x:c>
      <x:c r="I199" s="14"/>
      <x:c r="J199" s="14"/>
      <x:c r="K199" s="14"/>
      <x:c r="L199" s="86" t="str">
        <x:f>IF($P199="","",INDEX(Tasks!$N$10:$N$1941,$P199))</x:f>
        <x:v>Not started</x:v>
      </x:c>
      <x:c r="M199" s="87" t="n">
        <x:f>IF($P199="","",INDEX(Tasks!$J$10:$J$1941,$P199))</x:f>
        <x:v>46203</x:v>
      </x:c>
      <x:c r="N199" s="85" t="str">
        <x:f>IF($P199="","",HYPERLINK("#'"&amp;INDEX(Tasks!$T$10:$T$1941,$P199)&amp;"'!A"&amp;INDEX(Tasks!$U$10:$U$1941,$P199),"Open"))</x:f>
        <x:v>Open</x:v>
      </x:c>
      <x:c r="O199" s="14"/>
      <x:c r="P199" s="14" t="n">
        <x:f>IF(178&gt;$B$10,"",MATCH(178,Tasks!$S$10:$S$1941,0))</x:f>
        <x:v>360</x:v>
      </x:c>
    </x:row>
    <x:row r="200" ht="58" customHeight="1">
      <x:c r="B200" s="86" t="str">
        <x:f>IF($P200="","",INDEX(Tasks!$B$10:$B$1941,$P200))</x:f>
        <x:v>Cycle 2</x:v>
      </x:c>
      <x:c r="C200" s="86" t="str">
        <x:f>IF($P200="","",INDEX(Tasks!$C$10:$C$1941,$P200))</x:f>
        <x:v>Phase 3</x:v>
      </x:c>
      <x:c r="D200" s="86" t="str">
        <x:f>IF($P200="","",INDEX(Tasks!$D$10:$D$1941,$P200))</x:f>
        <x:v>Retail Services</x:v>
      </x:c>
      <x:c r="E200" s="86"/>
      <x:c r="F200" s="86" t="str">
        <x:f>IF($P200="","",INDEX(Tasks!$E$10:$E$1941,$P200))</x:f>
        <x:v>Data &amp; Reporting</x:v>
      </x:c>
      <x:c r="G200" s="86"/>
      <x:c r="H200" s="14" t="str">
        <x:f>IF($P200="","",INDEX(Tasks!$F$10:$F$1941,$P200)&amp;CHAR(10)&amp;INDEX(Tasks!$G$10:$G$1941,$P200))</x:f>
        <x:v>DR.RS.3.1
Clearly document rationale for each topic recommendation within the SharePoint list item</x:v>
      </x:c>
      <x:c r="I200" s="14"/>
      <x:c r="J200" s="14"/>
      <x:c r="K200" s="14"/>
      <x:c r="L200" s="86" t="str">
        <x:f>IF($P200="","",INDEX(Tasks!$N$10:$N$1941,$P200))</x:f>
        <x:v>Not started</x:v>
      </x:c>
      <x:c r="M200" s="87" t="n">
        <x:f>IF($P200="","",INDEX(Tasks!$J$10:$J$1941,$P200))</x:f>
        <x:v>46203</x:v>
      </x:c>
      <x:c r="N200" s="85" t="str">
        <x:f>IF($P200="","",HYPERLINK("#'"&amp;INDEX(Tasks!$T$10:$T$1941,$P200)&amp;"'!A"&amp;INDEX(Tasks!$U$10:$U$1941,$P200),"Open"))</x:f>
        <x:v>Open</x:v>
      </x:c>
      <x:c r="O200" s="14"/>
      <x:c r="P200" s="14" t="n">
        <x:f>IF(179&gt;$B$10,"",MATCH(179,Tasks!$S$10:$S$1941,0))</x:f>
        <x:v>361</x:v>
      </x:c>
    </x:row>
    <x:row r="201" ht="58" customHeight="1">
      <x:c r="B201" s="86" t="str">
        <x:f>IF($P201="","",INDEX(Tasks!$B$10:$B$1941,$P201))</x:f>
        <x:v>Cycle 2</x:v>
      </x:c>
      <x:c r="C201" s="86" t="str">
        <x:f>IF($P201="","",INDEX(Tasks!$C$10:$C$1941,$P201))</x:f>
        <x:v>Phase 3</x:v>
      </x:c>
      <x:c r="D201" s="86" t="str">
        <x:f>IF($P201="","",INDEX(Tasks!$D$10:$D$1941,$P201))</x:f>
        <x:v>Retail Services</x:v>
      </x:c>
      <x:c r="E201" s="86"/>
      <x:c r="F201" s="86" t="str">
        <x:f>IF($P201="","",INDEX(Tasks!$E$10:$E$1941,$P201))</x:f>
        <x:v>Data &amp; Reporting</x:v>
      </x:c>
      <x:c r="G201" s="86"/>
      <x:c r="H201" s="14" t="str">
        <x:f>IF($P201="","",INDEX(Tasks!$F$10:$F$1941,$P201)&amp;CHAR(10)&amp;INDEX(Tasks!$G$10:$G$1941,$P201))</x:f>
        <x:v>DR.RS.3.2
Attach the data package for each topic recommendation within the SharePoint list item</x:v>
      </x:c>
      <x:c r="I201" s="14"/>
      <x:c r="J201" s="14"/>
      <x:c r="K201" s="14"/>
      <x:c r="L201" s="86" t="str">
        <x:f>IF($P201="","",INDEX(Tasks!$N$10:$N$1941,$P201))</x:f>
        <x:v>Not started</x:v>
      </x:c>
      <x:c r="M201" s="87" t="n">
        <x:f>IF($P201="","",INDEX(Tasks!$J$10:$J$1941,$P201))</x:f>
        <x:v>46203</x:v>
      </x:c>
      <x:c r="N201" s="85" t="str">
        <x:f>IF($P201="","",HYPERLINK("#'"&amp;INDEX(Tasks!$T$10:$T$1941,$P201)&amp;"'!A"&amp;INDEX(Tasks!$U$10:$U$1941,$P201),"Open"))</x:f>
        <x:v>Open</x:v>
      </x:c>
      <x:c r="O201" s="14"/>
      <x:c r="P201" s="14" t="n">
        <x:f>IF(180&gt;$B$10,"",MATCH(180,Tasks!$S$10:$S$1941,0))</x:f>
        <x:v>362</x:v>
      </x:c>
    </x:row>
    <x:row r="202" ht="58" customHeight="1">
      <x:c r="B202" s="86" t="str">
        <x:f>IF($P202="","",INDEX(Tasks!$B$10:$B$1941,$P202))</x:f>
        <x:v>Cycle 2</x:v>
      </x:c>
      <x:c r="C202" s="86" t="str">
        <x:f>IF($P202="","",INDEX(Tasks!$C$10:$C$1941,$P202))</x:f>
        <x:v>Phase 3</x:v>
      </x:c>
      <x:c r="D202" s="86" t="str">
        <x:f>IF($P202="","",INDEX(Tasks!$D$10:$D$1941,$P202))</x:f>
        <x:v>Retail Services</x:v>
      </x:c>
      <x:c r="E202" s="86"/>
      <x:c r="F202" s="86" t="str">
        <x:f>IF($P202="","",INDEX(Tasks!$E$10:$E$1941,$P202))</x:f>
        <x:v>Data &amp; Reporting</x:v>
      </x:c>
      <x:c r="G202" s="86"/>
      <x:c r="H202" s="14" t="str">
        <x:f>IF($P202="","",INDEX(Tasks!$F$10:$F$1941,$P202)&amp;CHAR(10)&amp;INDEX(Tasks!$G$10:$G$1941,$P202))</x:f>
        <x:v>DR.RS.3.3
Confirm data privileges have been granted, ensuring each pillar can access</x:v>
      </x:c>
      <x:c r="I202" s="14"/>
      <x:c r="J202" s="14"/>
      <x:c r="K202" s="14"/>
      <x:c r="L202" s="86" t="str">
        <x:f>IF($P202="","",INDEX(Tasks!$N$10:$N$1941,$P202))</x:f>
        <x:v>Not started</x:v>
      </x:c>
      <x:c r="M202" s="87" t="n">
        <x:f>IF($P202="","",INDEX(Tasks!$J$10:$J$1941,$P202))</x:f>
        <x:v>46203</x:v>
      </x:c>
      <x:c r="N202" s="85" t="str">
        <x:f>IF($P202="","",HYPERLINK("#'"&amp;INDEX(Tasks!$T$10:$T$1941,$P202)&amp;"'!A"&amp;INDEX(Tasks!$U$10:$U$1941,$P202),"Open"))</x:f>
        <x:v>Open</x:v>
      </x:c>
      <x:c r="O202" s="14"/>
      <x:c r="P202" s="14" t="n">
        <x:f>IF(181&gt;$B$10,"",MATCH(181,Tasks!$S$10:$S$1941,0))</x:f>
        <x:v>363</x:v>
      </x:c>
    </x:row>
    <x:row r="203" ht="58" customHeight="1">
      <x:c r="B203" s="86" t="str">
        <x:f>IF($P203="","",INDEX(Tasks!$B$10:$B$1941,$P203))</x:f>
        <x:v>Cycle 2</x:v>
      </x:c>
      <x:c r="C203" s="86" t="str">
        <x:f>IF($P203="","",INDEX(Tasks!$C$10:$C$1941,$P203))</x:f>
        <x:v>Phase 3</x:v>
      </x:c>
      <x:c r="D203" s="86" t="str">
        <x:f>IF($P203="","",INDEX(Tasks!$D$10:$D$1941,$P203))</x:f>
        <x:v>Retail Services</x:v>
      </x:c>
      <x:c r="E203" s="86"/>
      <x:c r="F203" s="86" t="str">
        <x:f>IF($P203="","",INDEX(Tasks!$E$10:$E$1941,$P203))</x:f>
        <x:v>Data &amp; Reporting</x:v>
      </x:c>
      <x:c r="G203" s="86"/>
      <x:c r="H203" s="14" t="str">
        <x:f>IF($P203="","",INDEX(Tasks!$F$10:$F$1941,$P203)&amp;CHAR(10)&amp;INDEX(Tasks!$G$10:$G$1941,$P203))</x:f>
        <x:v>DR.RS.3.4
Ensure Power Automate notifications were correctly triggered within Microsoft Teams</x:v>
      </x:c>
      <x:c r="I203" s="14"/>
      <x:c r="J203" s="14"/>
      <x:c r="K203" s="14"/>
      <x:c r="L203" s="86" t="str">
        <x:f>IF($P203="","",INDEX(Tasks!$N$10:$N$1941,$P203))</x:f>
        <x:v>Not started</x:v>
      </x:c>
      <x:c r="M203" s="87" t="n">
        <x:f>IF($P203="","",INDEX(Tasks!$J$10:$J$1941,$P203))</x:f>
        <x:v>46203</x:v>
      </x:c>
      <x:c r="N203" s="85" t="str">
        <x:f>IF($P203="","",HYPERLINK("#'"&amp;INDEX(Tasks!$T$10:$T$1941,$P203)&amp;"'!A"&amp;INDEX(Tasks!$U$10:$U$1941,$P203),"Open"))</x:f>
        <x:v>Open</x:v>
      </x:c>
      <x:c r="O203" s="14"/>
      <x:c r="P203" s="14" t="n">
        <x:f>IF(182&gt;$B$10,"",MATCH(182,Tasks!$S$10:$S$1941,0))</x:f>
        <x:v>364</x:v>
      </x:c>
    </x:row>
    <x:row r="204" ht="58" customHeight="1">
      <x:c r="B204" s="86" t="str">
        <x:f>IF($P204="","",INDEX(Tasks!$B$10:$B$1941,$P204))</x:f>
        <x:v>Cycle 3</x:v>
      </x:c>
      <x:c r="C204" s="86" t="str">
        <x:f>IF($P204="","",INDEX(Tasks!$C$10:$C$1941,$P204))</x:f>
        <x:v>Phase 1</x:v>
      </x:c>
      <x:c r="D204" s="86" t="str">
        <x:f>IF($P204="","",INDEX(Tasks!$D$10:$D$1941,$P204))</x:f>
        <x:v>Auto</x:v>
      </x:c>
      <x:c r="E204" s="86"/>
      <x:c r="F204" s="86" t="str">
        <x:f>IF($P204="","",INDEX(Tasks!$E$10:$E$1941,$P204))</x:f>
        <x:v>Data &amp; Reporting</x:v>
      </x:c>
      <x:c r="G204" s="86"/>
      <x:c r="H204" s="14" t="str">
        <x:f>IF($P204="","",INDEX(Tasks!$F$10:$F$1941,$P204)&amp;CHAR(10)&amp;INDEX(Tasks!$G$10:$G$1941,$P204))</x:f>
        <x:v>DR.AU.1.1
Review data sources 3 weeks prior to Cycle start (Complaints, Gen AI, Loudspeaker, NPS, etc.)</x:v>
      </x:c>
      <x:c r="I204" s="14"/>
      <x:c r="J204" s="14"/>
      <x:c r="K204" s="14"/>
      <x:c r="L204" s="86" t="str">
        <x:f>IF($P204="","",INDEX(Tasks!$N$10:$N$1941,$P204))</x:f>
        <x:v>Not started</x:v>
      </x:c>
      <x:c r="M204" s="87" t="n">
        <x:f>IF($P204="","",INDEX(Tasks!$J$10:$J$1941,$P204))</x:f>
        <x:v>46183</x:v>
      </x:c>
      <x:c r="N204" s="85" t="str">
        <x:f>IF($P204="","",HYPERLINK("#'"&amp;INDEX(Tasks!$T$10:$T$1941,$P204)&amp;"'!A"&amp;INDEX(Tasks!$U$10:$U$1941,$P204),"Open"))</x:f>
        <x:v>Open</x:v>
      </x:c>
      <x:c r="O204" s="14"/>
      <x:c r="P204" s="14" t="n">
        <x:f>IF(183&gt;$B$10,"",MATCH(183,Tasks!$S$10:$S$1941,0))</x:f>
        <x:v>365</x:v>
      </x:c>
    </x:row>
    <x:row r="205" ht="58" customHeight="1">
      <x:c r="B205" s="86" t="str">
        <x:f>IF($P205="","",INDEX(Tasks!$B$10:$B$1941,$P205))</x:f>
        <x:v>Cycle 3</x:v>
      </x:c>
      <x:c r="C205" s="86" t="str">
        <x:f>IF($P205="","",INDEX(Tasks!$C$10:$C$1941,$P205))</x:f>
        <x:v>Phase 1</x:v>
      </x:c>
      <x:c r="D205" s="86" t="str">
        <x:f>IF($P205="","",INDEX(Tasks!$D$10:$D$1941,$P205))</x:f>
        <x:v>Auto</x:v>
      </x:c>
      <x:c r="E205" s="86"/>
      <x:c r="F205" s="86" t="str">
        <x:f>IF($P205="","",INDEX(Tasks!$E$10:$E$1941,$P205))</x:f>
        <x:v>Data &amp; Reporting</x:v>
      </x:c>
      <x:c r="G205" s="86"/>
      <x:c r="H205" s="14" t="str">
        <x:f>IF($P205="","",INDEX(Tasks!$F$10:$F$1941,$P205)&amp;CHAR(10)&amp;INDEX(Tasks!$G$10:$G$1941,$P205))</x:f>
        <x:v>DR.AU.1.2
Identify two potential topics for the upcoming Cycle</x:v>
      </x:c>
      <x:c r="I205" s="14"/>
      <x:c r="J205" s="14"/>
      <x:c r="K205" s="14"/>
      <x:c r="L205" s="86" t="str">
        <x:f>IF($P205="","",INDEX(Tasks!$N$10:$N$1941,$P205))</x:f>
        <x:v>Not started</x:v>
      </x:c>
      <x:c r="M205" s="87" t="n">
        <x:f>IF($P205="","",INDEX(Tasks!$J$10:$J$1941,$P205))</x:f>
        <x:v>46295</x:v>
      </x:c>
      <x:c r="N205" s="85" t="str">
        <x:f>IF($P205="","",HYPERLINK("#'"&amp;INDEX(Tasks!$T$10:$T$1941,$P205)&amp;"'!A"&amp;INDEX(Tasks!$U$10:$U$1941,$P205),"Open"))</x:f>
        <x:v>Open</x:v>
      </x:c>
      <x:c r="O205" s="14"/>
      <x:c r="P205" s="14" t="n">
        <x:f>IF(184&gt;$B$10,"",MATCH(184,Tasks!$S$10:$S$1941,0))</x:f>
        <x:v>366</x:v>
      </x:c>
    </x:row>
    <x:row r="206" ht="58" customHeight="1">
      <x:c r="B206" s="86" t="str">
        <x:f>IF($P206="","",INDEX(Tasks!$B$10:$B$1941,$P206))</x:f>
        <x:v>Cycle 3</x:v>
      </x:c>
      <x:c r="C206" s="86" t="str">
        <x:f>IF($P206="","",INDEX(Tasks!$C$10:$C$1941,$P206))</x:f>
        <x:v>Phase 1</x:v>
      </x:c>
      <x:c r="D206" s="86" t="str">
        <x:f>IF($P206="","",INDEX(Tasks!$D$10:$D$1941,$P206))</x:f>
        <x:v>Auto</x:v>
      </x:c>
      <x:c r="E206" s="86"/>
      <x:c r="F206" s="86" t="str">
        <x:f>IF($P206="","",INDEX(Tasks!$E$10:$E$1941,$P206))</x:f>
        <x:v>Data &amp; Reporting</x:v>
      </x:c>
      <x:c r="G206" s="86"/>
      <x:c r="H206" s="14" t="str">
        <x:f>IF($P206="","",INDEX(Tasks!$F$10:$F$1941,$P206)&amp;CHAR(10)&amp;INDEX(Tasks!$G$10:$G$1941,$P206))</x:f>
        <x:v>DR.AU.1.3
Extract data for both potential topics, ensuring all checklist items below are included/completed</x:v>
      </x:c>
      <x:c r="I206" s="14"/>
      <x:c r="J206" s="14"/>
      <x:c r="K206" s="14"/>
      <x:c r="L206" s="86" t="str">
        <x:f>IF($P206="","",INDEX(Tasks!$N$10:$N$1941,$P206))</x:f>
        <x:v>Not started</x:v>
      </x:c>
      <x:c r="M206" s="87" t="n">
        <x:f>IF($P206="","",INDEX(Tasks!$J$10:$J$1941,$P206))</x:f>
        <x:v>46295</x:v>
      </x:c>
      <x:c r="N206" s="85" t="str">
        <x:f>IF($P206="","",HYPERLINK("#'"&amp;INDEX(Tasks!$T$10:$T$1941,$P206)&amp;"'!A"&amp;INDEX(Tasks!$U$10:$U$1941,$P206),"Open"))</x:f>
        <x:v>Open</x:v>
      </x:c>
      <x:c r="O206" s="14"/>
      <x:c r="P206" s="14" t="n">
        <x:f>IF(185&gt;$B$10,"",MATCH(185,Tasks!$S$10:$S$1941,0))</x:f>
        <x:v>367</x:v>
      </x:c>
    </x:row>
    <x:row r="207" ht="58" customHeight="1">
      <x:c r="B207" s="86" t="str">
        <x:f>IF($P207="","",INDEX(Tasks!$B$10:$B$1941,$P207))</x:f>
        <x:v>Cycle 3</x:v>
      </x:c>
      <x:c r="C207" s="86" t="str">
        <x:f>IF($P207="","",INDEX(Tasks!$C$10:$C$1941,$P207))</x:f>
        <x:v>Phase 2</x:v>
      </x:c>
      <x:c r="D207" s="86" t="str">
        <x:f>IF($P207="","",INDEX(Tasks!$D$10:$D$1941,$P207))</x:f>
        <x:v>Auto</x:v>
      </x:c>
      <x:c r="E207" s="86"/>
      <x:c r="F207" s="86" t="str">
        <x:f>IF($P207="","",INDEX(Tasks!$E$10:$E$1941,$P207))</x:f>
        <x:v>Data &amp; Reporting</x:v>
      </x:c>
      <x:c r="G207" s="86"/>
      <x:c r="H207" s="14" t="str">
        <x:f>IF($P207="","",INDEX(Tasks!$F$10:$F$1941,$P207)&amp;CHAR(10)&amp;INDEX(Tasks!$G$10:$G$1941,$P207))</x:f>
        <x:v>DR.AU.2.1
Ensure data is clean, structured, and usable without manipulation needed</x:v>
      </x:c>
      <x:c r="I207" s="14"/>
      <x:c r="J207" s="14"/>
      <x:c r="K207" s="14"/>
      <x:c r="L207" s="86" t="str">
        <x:f>IF($P207="","",INDEX(Tasks!$N$10:$N$1941,$P207))</x:f>
        <x:v>Not started</x:v>
      </x:c>
      <x:c r="M207" s="87" t="n">
        <x:f>IF($P207="","",INDEX(Tasks!$J$10:$J$1941,$P207))</x:f>
        <x:v>46295</x:v>
      </x:c>
      <x:c r="N207" s="85" t="str">
        <x:f>IF($P207="","",HYPERLINK("#'"&amp;INDEX(Tasks!$T$10:$T$1941,$P207)&amp;"'!A"&amp;INDEX(Tasks!$U$10:$U$1941,$P207),"Open"))</x:f>
        <x:v>Open</x:v>
      </x:c>
      <x:c r="O207" s="14"/>
      <x:c r="P207" s="14" t="n">
        <x:f>IF(186&gt;$B$10,"",MATCH(186,Tasks!$S$10:$S$1941,0))</x:f>
        <x:v>381</x:v>
      </x:c>
    </x:row>
    <x:row r="208" ht="58" customHeight="1">
      <x:c r="B208" s="86" t="str">
        <x:f>IF($P208="","",INDEX(Tasks!$B$10:$B$1941,$P208))</x:f>
        <x:v>Cycle 3</x:v>
      </x:c>
      <x:c r="C208" s="86" t="str">
        <x:f>IF($P208="","",INDEX(Tasks!$C$10:$C$1941,$P208))</x:f>
        <x:v>Phase 2</x:v>
      </x:c>
      <x:c r="D208" s="86" t="str">
        <x:f>IF($P208="","",INDEX(Tasks!$D$10:$D$1941,$P208))</x:f>
        <x:v>Auto</x:v>
      </x:c>
      <x:c r="E208" s="86"/>
      <x:c r="F208" s="86" t="str">
        <x:f>IF($P208="","",INDEX(Tasks!$E$10:$E$1941,$P208))</x:f>
        <x:v>Data &amp; Reporting</x:v>
      </x:c>
      <x:c r="G208" s="86"/>
      <x:c r="H208" s="14" t="str">
        <x:f>IF($P208="","",INDEX(Tasks!$F$10:$F$1941,$P208)&amp;CHAR(10)&amp;INDEX(Tasks!$G$10:$G$1941,$P208))</x:f>
        <x:v>DR.AU.2.2
Clearly document rationale for each topic recommendation within the SharePoint list</x:v>
      </x:c>
      <x:c r="I208" s="14"/>
      <x:c r="J208" s="14"/>
      <x:c r="K208" s="14"/>
      <x:c r="L208" s="86" t="str">
        <x:f>IF($P208="","",INDEX(Tasks!$N$10:$N$1941,$P208))</x:f>
        <x:v>Not started</x:v>
      </x:c>
      <x:c r="M208" s="87" t="n">
        <x:f>IF($P208="","",INDEX(Tasks!$J$10:$J$1941,$P208))</x:f>
        <x:v>46295</x:v>
      </x:c>
      <x:c r="N208" s="85" t="str">
        <x:f>IF($P208="","",HYPERLINK("#'"&amp;INDEX(Tasks!$T$10:$T$1941,$P208)&amp;"'!A"&amp;INDEX(Tasks!$U$10:$U$1941,$P208),"Open"))</x:f>
        <x:v>Open</x:v>
      </x:c>
      <x:c r="O208" s="14"/>
      <x:c r="P208" s="14" t="n">
        <x:f>IF(187&gt;$B$10,"",MATCH(187,Tasks!$S$10:$S$1941,0))</x:f>
        <x:v>382</x:v>
      </x:c>
    </x:row>
    <x:row r="209" ht="58" customHeight="1">
      <x:c r="B209" s="86" t="str">
        <x:f>IF($P209="","",INDEX(Tasks!$B$10:$B$1941,$P209))</x:f>
        <x:v>Cycle 3</x:v>
      </x:c>
      <x:c r="C209" s="86" t="str">
        <x:f>IF($P209="","",INDEX(Tasks!$C$10:$C$1941,$P209))</x:f>
        <x:v>Phase 2</x:v>
      </x:c>
      <x:c r="D209" s="86" t="str">
        <x:f>IF($P209="","",INDEX(Tasks!$D$10:$D$1941,$P209))</x:f>
        <x:v>Auto</x:v>
      </x:c>
      <x:c r="E209" s="86"/>
      <x:c r="F209" s="86" t="str">
        <x:f>IF($P209="","",INDEX(Tasks!$E$10:$E$1941,$P209))</x:f>
        <x:v>Data &amp; Reporting</x:v>
      </x:c>
      <x:c r="G209" s="86"/>
      <x:c r="H209" s="14" t="str">
        <x:f>IF($P209="","",INDEX(Tasks!$F$10:$F$1941,$P209)&amp;CHAR(10)&amp;INDEX(Tasks!$G$10:$G$1941,$P209))</x:f>
        <x:v>DR.AU.2.3
Verify topic is eligible for RCA and does not conflict with Attorney Client Privilege</x:v>
      </x:c>
      <x:c r="I209" s="14"/>
      <x:c r="J209" s="14"/>
      <x:c r="K209" s="14"/>
      <x:c r="L209" s="86" t="str">
        <x:f>IF($P209="","",INDEX(Tasks!$N$10:$N$1941,$P209))</x:f>
        <x:v>Not started</x:v>
      </x:c>
      <x:c r="M209" s="87" t="n">
        <x:f>IF($P209="","",INDEX(Tasks!$J$10:$J$1941,$P209))</x:f>
        <x:v>46295</x:v>
      </x:c>
      <x:c r="N209" s="85" t="str">
        <x:f>IF($P209="","",HYPERLINK("#'"&amp;INDEX(Tasks!$T$10:$T$1941,$P209)&amp;"'!A"&amp;INDEX(Tasks!$U$10:$U$1941,$P209),"Open"))</x:f>
        <x:v>Open</x:v>
      </x:c>
      <x:c r="O209" s="14"/>
      <x:c r="P209" s="14" t="n">
        <x:f>IF(188&gt;$B$10,"",MATCH(188,Tasks!$S$10:$S$1941,0))</x:f>
        <x:v>383</x:v>
      </x:c>
    </x:row>
    <x:row r="210" ht="58" customHeight="1">
      <x:c r="B210" s="86" t="str">
        <x:f>IF($P210="","",INDEX(Tasks!$B$10:$B$1941,$P210))</x:f>
        <x:v>Cycle 3</x:v>
      </x:c>
      <x:c r="C210" s="86" t="str">
        <x:f>IF($P210="","",INDEX(Tasks!$C$10:$C$1941,$P210))</x:f>
        <x:v>Phase 2</x:v>
      </x:c>
      <x:c r="D210" s="86" t="str">
        <x:f>IF($P210="","",INDEX(Tasks!$D$10:$D$1941,$P210))</x:f>
        <x:v>Auto</x:v>
      </x:c>
      <x:c r="E210" s="86"/>
      <x:c r="F210" s="86" t="str">
        <x:f>IF($P210="","",INDEX(Tasks!$E$10:$E$1941,$P210))</x:f>
        <x:v>Data &amp; Reporting</x:v>
      </x:c>
      <x:c r="G210" s="86"/>
      <x:c r="H210" s="14" t="str">
        <x:f>IF($P210="","",INDEX(Tasks!$F$10:$F$1941,$P210)&amp;CHAR(10)&amp;INDEX(Tasks!$G$10:$G$1941,$P210))</x:f>
        <x:v>DR.AU.2.4
Ensure data is free of errors and anomalies prior to hand-off to Research</x:v>
      </x:c>
      <x:c r="I210" s="14"/>
      <x:c r="J210" s="14"/>
      <x:c r="K210" s="14"/>
      <x:c r="L210" s="86" t="str">
        <x:f>IF($P210="","",INDEX(Tasks!$N$10:$N$1941,$P210))</x:f>
        <x:v>Not started</x:v>
      </x:c>
      <x:c r="M210" s="87" t="n">
        <x:f>IF($P210="","",INDEX(Tasks!$J$10:$J$1941,$P210))</x:f>
        <x:v>46295</x:v>
      </x:c>
      <x:c r="N210" s="85" t="str">
        <x:f>IF($P210="","",HYPERLINK("#'"&amp;INDEX(Tasks!$T$10:$T$1941,$P210)&amp;"'!A"&amp;INDEX(Tasks!$U$10:$U$1941,$P210),"Open"))</x:f>
        <x:v>Open</x:v>
      </x:c>
      <x:c r="O210" s="14"/>
      <x:c r="P210" s="14" t="n">
        <x:f>IF(189&gt;$B$10,"",MATCH(189,Tasks!$S$10:$S$1941,0))</x:f>
        <x:v>384</x:v>
      </x:c>
    </x:row>
    <x:row r="211" ht="58" customHeight="1">
      <x:c r="B211" s="86" t="str">
        <x:f>IF($P211="","",INDEX(Tasks!$B$10:$B$1941,$P211))</x:f>
        <x:v>Cycle 3</x:v>
      </x:c>
      <x:c r="C211" s="86" t="str">
        <x:f>IF($P211="","",INDEX(Tasks!$C$10:$C$1941,$P211))</x:f>
        <x:v>Phase 2</x:v>
      </x:c>
      <x:c r="D211" s="86" t="str">
        <x:f>IF($P211="","",INDEX(Tasks!$D$10:$D$1941,$P211))</x:f>
        <x:v>Auto</x:v>
      </x:c>
      <x:c r="E211" s="86"/>
      <x:c r="F211" s="86" t="str">
        <x:f>IF($P211="","",INDEX(Tasks!$E$10:$E$1941,$P211))</x:f>
        <x:v>Data &amp; Reporting</x:v>
      </x:c>
      <x:c r="G211" s="86"/>
      <x:c r="H211" s="14" t="str">
        <x:f>IF($P211="","",INDEX(Tasks!$F$10:$F$1941,$P211)&amp;CHAR(10)&amp;INDEX(Tasks!$G$10:$G$1941,$P211))</x:f>
        <x:v>DR.AU.2.5
Ensure topic is not a duplicate from a previous Cycle</x:v>
      </x:c>
      <x:c r="I211" s="14"/>
      <x:c r="J211" s="14"/>
      <x:c r="K211" s="14"/>
      <x:c r="L211" s="86" t="str">
        <x:f>IF($P211="","",INDEX(Tasks!$N$10:$N$1941,$P211))</x:f>
        <x:v>Not started</x:v>
      </x:c>
      <x:c r="M211" s="87" t="n">
        <x:f>IF($P211="","",INDEX(Tasks!$J$10:$J$1941,$P211))</x:f>
        <x:v>46295</x:v>
      </x:c>
      <x:c r="N211" s="85" t="str">
        <x:f>IF($P211="","",HYPERLINK("#'"&amp;INDEX(Tasks!$T$10:$T$1941,$P211)&amp;"'!A"&amp;INDEX(Tasks!$U$10:$U$1941,$P211),"Open"))</x:f>
        <x:v>Open</x:v>
      </x:c>
      <x:c r="O211" s="14"/>
      <x:c r="P211" s="14" t="n">
        <x:f>IF(190&gt;$B$10,"",MATCH(190,Tasks!$S$10:$S$1941,0))</x:f>
        <x:v>385</x:v>
      </x:c>
    </x:row>
    <x:row r="212" ht="58" customHeight="1">
      <x:c r="B212" s="86" t="str">
        <x:f>IF($P212="","",INDEX(Tasks!$B$10:$B$1941,$P212))</x:f>
        <x:v>Cycle 3</x:v>
      </x:c>
      <x:c r="C212" s="86" t="str">
        <x:f>IF($P212="","",INDEX(Tasks!$C$10:$C$1941,$P212))</x:f>
        <x:v>Phase 2</x:v>
      </x:c>
      <x:c r="D212" s="86" t="str">
        <x:f>IF($P212="","",INDEX(Tasks!$D$10:$D$1941,$P212))</x:f>
        <x:v>Auto</x:v>
      </x:c>
      <x:c r="E212" s="86"/>
      <x:c r="F212" s="86" t="str">
        <x:f>IF($P212="","",INDEX(Tasks!$E$10:$E$1941,$P212))</x:f>
        <x:v>Data &amp; Reporting</x:v>
      </x:c>
      <x:c r="G212" s="86"/>
      <x:c r="H212" s="14" t="str">
        <x:f>IF($P212="","",INDEX(Tasks!$F$10:$F$1941,$P212)&amp;CHAR(10)&amp;INDEX(Tasks!$G$10:$G$1941,$P212))</x:f>
        <x:v>DR.AU.2.6
Document clear distinctions between facts, assumptions, and hypotheses within the data package</x:v>
      </x:c>
      <x:c r="I212" s="14"/>
      <x:c r="J212" s="14"/>
      <x:c r="K212" s="14"/>
      <x:c r="L212" s="86" t="str">
        <x:f>IF($P212="","",INDEX(Tasks!$N$10:$N$1941,$P212))</x:f>
        <x:v>Not started</x:v>
      </x:c>
      <x:c r="M212" s="87" t="n">
        <x:f>IF($P212="","",INDEX(Tasks!$J$10:$J$1941,$P212))</x:f>
        <x:v>46295</x:v>
      </x:c>
      <x:c r="N212" s="85" t="str">
        <x:f>IF($P212="","",HYPERLINK("#'"&amp;INDEX(Tasks!$T$10:$T$1941,$P212)&amp;"'!A"&amp;INDEX(Tasks!$U$10:$U$1941,$P212),"Open"))</x:f>
        <x:v>Open</x:v>
      </x:c>
      <x:c r="O212" s="14"/>
      <x:c r="P212" s="14" t="n">
        <x:f>IF(191&gt;$B$10,"",MATCH(191,Tasks!$S$10:$S$1941,0))</x:f>
        <x:v>386</x:v>
      </x:c>
    </x:row>
    <x:row r="213" ht="58" customHeight="1">
      <x:c r="B213" s="86" t="str">
        <x:f>IF($P213="","",INDEX(Tasks!$B$10:$B$1941,$P213))</x:f>
        <x:v>Cycle 3</x:v>
      </x:c>
      <x:c r="C213" s="86" t="str">
        <x:f>IF($P213="","",INDEX(Tasks!$C$10:$C$1941,$P213))</x:f>
        <x:v>Phase 3</x:v>
      </x:c>
      <x:c r="D213" s="86" t="str">
        <x:f>IF($P213="","",INDEX(Tasks!$D$10:$D$1941,$P213))</x:f>
        <x:v>Auto</x:v>
      </x:c>
      <x:c r="E213" s="86"/>
      <x:c r="F213" s="86" t="str">
        <x:f>IF($P213="","",INDEX(Tasks!$E$10:$E$1941,$P213))</x:f>
        <x:v>Data &amp; Reporting</x:v>
      </x:c>
      <x:c r="G213" s="86"/>
      <x:c r="H213" s="14" t="str">
        <x:f>IF($P213="","",INDEX(Tasks!$F$10:$F$1941,$P213)&amp;CHAR(10)&amp;INDEX(Tasks!$G$10:$G$1941,$P213))</x:f>
        <x:v>DR.AU.3.1
Clearly document rationale for each topic recommendation within the SharePoint list item</x:v>
      </x:c>
      <x:c r="I213" s="14"/>
      <x:c r="J213" s="14"/>
      <x:c r="K213" s="14"/>
      <x:c r="L213" s="86" t="str">
        <x:f>IF($P213="","",INDEX(Tasks!$N$10:$N$1941,$P213))</x:f>
        <x:v>Not started</x:v>
      </x:c>
      <x:c r="M213" s="87" t="n">
        <x:f>IF($P213="","",INDEX(Tasks!$J$10:$J$1941,$P213))</x:f>
        <x:v>46295</x:v>
      </x:c>
      <x:c r="N213" s="85" t="str">
        <x:f>IF($P213="","",HYPERLINK("#'"&amp;INDEX(Tasks!$T$10:$T$1941,$P213)&amp;"'!A"&amp;INDEX(Tasks!$U$10:$U$1941,$P213),"Open"))</x:f>
        <x:v>Open</x:v>
      </x:c>
      <x:c r="O213" s="14"/>
      <x:c r="P213" s="14" t="n">
        <x:f>IF(192&gt;$B$10,"",MATCH(192,Tasks!$S$10:$S$1941,0))</x:f>
        <x:v>387</x:v>
      </x:c>
    </x:row>
    <x:row r="214" ht="58" customHeight="1">
      <x:c r="B214" s="86" t="str">
        <x:f>IF($P214="","",INDEX(Tasks!$B$10:$B$1941,$P214))</x:f>
        <x:v>Cycle 3</x:v>
      </x:c>
      <x:c r="C214" s="86" t="str">
        <x:f>IF($P214="","",INDEX(Tasks!$C$10:$C$1941,$P214))</x:f>
        <x:v>Phase 3</x:v>
      </x:c>
      <x:c r="D214" s="86" t="str">
        <x:f>IF($P214="","",INDEX(Tasks!$D$10:$D$1941,$P214))</x:f>
        <x:v>Auto</x:v>
      </x:c>
      <x:c r="E214" s="86"/>
      <x:c r="F214" s="86" t="str">
        <x:f>IF($P214="","",INDEX(Tasks!$E$10:$E$1941,$P214))</x:f>
        <x:v>Data &amp; Reporting</x:v>
      </x:c>
      <x:c r="G214" s="86"/>
      <x:c r="H214" s="14" t="str">
        <x:f>IF($P214="","",INDEX(Tasks!$F$10:$F$1941,$P214)&amp;CHAR(10)&amp;INDEX(Tasks!$G$10:$G$1941,$P214))</x:f>
        <x:v>DR.AU.3.2
Attach the data package for each topic recommendation within the SharePoint list item</x:v>
      </x:c>
      <x:c r="I214" s="14"/>
      <x:c r="J214" s="14"/>
      <x:c r="K214" s="14"/>
      <x:c r="L214" s="86" t="str">
        <x:f>IF($P214="","",INDEX(Tasks!$N$10:$N$1941,$P214))</x:f>
        <x:v>Not started</x:v>
      </x:c>
      <x:c r="M214" s="87" t="n">
        <x:f>IF($P214="","",INDEX(Tasks!$J$10:$J$1941,$P214))</x:f>
        <x:v>46295</x:v>
      </x:c>
      <x:c r="N214" s="85" t="str">
        <x:f>IF($P214="","",HYPERLINK("#'"&amp;INDEX(Tasks!$T$10:$T$1941,$P214)&amp;"'!A"&amp;INDEX(Tasks!$U$10:$U$1941,$P214),"Open"))</x:f>
        <x:v>Open</x:v>
      </x:c>
      <x:c r="O214" s="14"/>
      <x:c r="P214" s="14" t="n">
        <x:f>IF(193&gt;$B$10,"",MATCH(193,Tasks!$S$10:$S$1941,0))</x:f>
        <x:v>388</x:v>
      </x:c>
    </x:row>
    <x:row r="215" ht="58" customHeight="1">
      <x:c r="B215" s="86" t="str">
        <x:f>IF($P215="","",INDEX(Tasks!$B$10:$B$1941,$P215))</x:f>
        <x:v>Cycle 3</x:v>
      </x:c>
      <x:c r="C215" s="86" t="str">
        <x:f>IF($P215="","",INDEX(Tasks!$C$10:$C$1941,$P215))</x:f>
        <x:v>Phase 3</x:v>
      </x:c>
      <x:c r="D215" s="86" t="str">
        <x:f>IF($P215="","",INDEX(Tasks!$D$10:$D$1941,$P215))</x:f>
        <x:v>Auto</x:v>
      </x:c>
      <x:c r="E215" s="86"/>
      <x:c r="F215" s="86" t="str">
        <x:f>IF($P215="","",INDEX(Tasks!$E$10:$E$1941,$P215))</x:f>
        <x:v>Data &amp; Reporting</x:v>
      </x:c>
      <x:c r="G215" s="86"/>
      <x:c r="H215" s="14" t="str">
        <x:f>IF($P215="","",INDEX(Tasks!$F$10:$F$1941,$P215)&amp;CHAR(10)&amp;INDEX(Tasks!$G$10:$G$1941,$P215))</x:f>
        <x:v>DR.AU.3.3
Confirm data privileges have been granted, ensuring each pillar can access</x:v>
      </x:c>
      <x:c r="I215" s="14"/>
      <x:c r="J215" s="14"/>
      <x:c r="K215" s="14"/>
      <x:c r="L215" s="86" t="str">
        <x:f>IF($P215="","",INDEX(Tasks!$N$10:$N$1941,$P215))</x:f>
        <x:v>Not started</x:v>
      </x:c>
      <x:c r="M215" s="87" t="n">
        <x:f>IF($P215="","",INDEX(Tasks!$J$10:$J$1941,$P215))</x:f>
        <x:v>46295</x:v>
      </x:c>
      <x:c r="N215" s="85" t="str">
        <x:f>IF($P215="","",HYPERLINK("#'"&amp;INDEX(Tasks!$T$10:$T$1941,$P215)&amp;"'!A"&amp;INDEX(Tasks!$U$10:$U$1941,$P215),"Open"))</x:f>
        <x:v>Open</x:v>
      </x:c>
      <x:c r="O215" s="14"/>
      <x:c r="P215" s="14" t="n">
        <x:f>IF(194&gt;$B$10,"",MATCH(194,Tasks!$S$10:$S$1941,0))</x:f>
        <x:v>389</x:v>
      </x:c>
    </x:row>
    <x:row r="216" ht="58" customHeight="1">
      <x:c r="B216" s="86" t="str">
        <x:f>IF($P216="","",INDEX(Tasks!$B$10:$B$1941,$P216))</x:f>
        <x:v>Cycle 3</x:v>
      </x:c>
      <x:c r="C216" s="86" t="str">
        <x:f>IF($P216="","",INDEX(Tasks!$C$10:$C$1941,$P216))</x:f>
        <x:v>Phase 3</x:v>
      </x:c>
      <x:c r="D216" s="86" t="str">
        <x:f>IF($P216="","",INDEX(Tasks!$D$10:$D$1941,$P216))</x:f>
        <x:v>Auto</x:v>
      </x:c>
      <x:c r="E216" s="86"/>
      <x:c r="F216" s="86" t="str">
        <x:f>IF($P216="","",INDEX(Tasks!$E$10:$E$1941,$P216))</x:f>
        <x:v>Data &amp; Reporting</x:v>
      </x:c>
      <x:c r="G216" s="86"/>
      <x:c r="H216" s="14" t="str">
        <x:f>IF($P216="","",INDEX(Tasks!$F$10:$F$1941,$P216)&amp;CHAR(10)&amp;INDEX(Tasks!$G$10:$G$1941,$P216))</x:f>
        <x:v>DR.AU.3.4
Ensure Power Automate notifications were correctly triggered within Microsoft Teams</x:v>
      </x:c>
      <x:c r="I216" s="14"/>
      <x:c r="J216" s="14"/>
      <x:c r="K216" s="14"/>
      <x:c r="L216" s="86" t="str">
        <x:f>IF($P216="","",INDEX(Tasks!$N$10:$N$1941,$P216))</x:f>
        <x:v>Not started</x:v>
      </x:c>
      <x:c r="M216" s="87" t="n">
        <x:f>IF($P216="","",INDEX(Tasks!$J$10:$J$1941,$P216))</x:f>
        <x:v>46295</x:v>
      </x:c>
      <x:c r="N216" s="85" t="str">
        <x:f>IF($P216="","",HYPERLINK("#'"&amp;INDEX(Tasks!$T$10:$T$1941,$P216)&amp;"'!A"&amp;INDEX(Tasks!$U$10:$U$1941,$P216),"Open"))</x:f>
        <x:v>Open</x:v>
      </x:c>
      <x:c r="O216" s="14"/>
      <x:c r="P216" s="14" t="n">
        <x:f>IF(195&gt;$B$10,"",MATCH(195,Tasks!$S$10:$S$1941,0))</x:f>
        <x:v>390</x:v>
      </x:c>
    </x:row>
    <x:row r="217" ht="58" customHeight="1">
      <x:c r="B217" s="86" t="str">
        <x:f>IF($P217="","",INDEX(Tasks!$B$10:$B$1941,$P217))</x:f>
        <x:v>Cycle 3</x:v>
      </x:c>
      <x:c r="C217" s="86" t="str">
        <x:f>IF($P217="","",INDEX(Tasks!$C$10:$C$1941,$P217))</x:f>
        <x:v>Phase 1</x:v>
      </x:c>
      <x:c r="D217" s="86" t="str">
        <x:f>IF($P217="","",INDEX(Tasks!$D$10:$D$1941,$P217))</x:f>
        <x:v>Cards</x:v>
      </x:c>
      <x:c r="E217" s="86"/>
      <x:c r="F217" s="86" t="str">
        <x:f>IF($P217="","",INDEX(Tasks!$E$10:$E$1941,$P217))</x:f>
        <x:v>Data &amp; Reporting</x:v>
      </x:c>
      <x:c r="G217" s="86"/>
      <x:c r="H217" s="14" t="str">
        <x:f>IF($P217="","",INDEX(Tasks!$F$10:$F$1941,$P217)&amp;CHAR(10)&amp;INDEX(Tasks!$G$10:$G$1941,$P217))</x:f>
        <x:v>DR.CA.1.1
Review data sources 3 weeks prior to Cycle start (Complaints, Gen AI, Loudspeaker, NPS, etc.)</x:v>
      </x:c>
      <x:c r="I217" s="14"/>
      <x:c r="J217" s="14"/>
      <x:c r="K217" s="14"/>
      <x:c r="L217" s="86" t="str">
        <x:f>IF($P217="","",INDEX(Tasks!$N$10:$N$1941,$P217))</x:f>
        <x:v>Not started</x:v>
      </x:c>
      <x:c r="M217" s="87" t="n">
        <x:f>IF($P217="","",INDEX(Tasks!$J$10:$J$1941,$P217))</x:f>
        <x:v>46183</x:v>
      </x:c>
      <x:c r="N217" s="85" t="str">
        <x:f>IF($P217="","",HYPERLINK("#'"&amp;INDEX(Tasks!$T$10:$T$1941,$P217)&amp;"'!A"&amp;INDEX(Tasks!$U$10:$U$1941,$P217),"Open"))</x:f>
        <x:v>Open</x:v>
      </x:c>
      <x:c r="O217" s="14"/>
      <x:c r="P217" s="14" t="n">
        <x:f>IF(196&gt;$B$10,"",MATCH(196,Tasks!$S$10:$S$1941,0))</x:f>
        <x:v>391</x:v>
      </x:c>
    </x:row>
    <x:row r="218" ht="58" customHeight="1">
      <x:c r="B218" s="86" t="str">
        <x:f>IF($P218="","",INDEX(Tasks!$B$10:$B$1941,$P218))</x:f>
        <x:v>Cycle 3</x:v>
      </x:c>
      <x:c r="C218" s="86" t="str">
        <x:f>IF($P218="","",INDEX(Tasks!$C$10:$C$1941,$P218))</x:f>
        <x:v>Phase 1</x:v>
      </x:c>
      <x:c r="D218" s="86" t="str">
        <x:f>IF($P218="","",INDEX(Tasks!$D$10:$D$1941,$P218))</x:f>
        <x:v>Cards</x:v>
      </x:c>
      <x:c r="E218" s="86"/>
      <x:c r="F218" s="86" t="str">
        <x:f>IF($P218="","",INDEX(Tasks!$E$10:$E$1941,$P218))</x:f>
        <x:v>Data &amp; Reporting</x:v>
      </x:c>
      <x:c r="G218" s="86"/>
      <x:c r="H218" s="14" t="str">
        <x:f>IF($P218="","",INDEX(Tasks!$F$10:$F$1941,$P218)&amp;CHAR(10)&amp;INDEX(Tasks!$G$10:$G$1941,$P218))</x:f>
        <x:v>DR.CA.1.2
Identify two potential topics for the upcoming Cycle</x:v>
      </x:c>
      <x:c r="I218" s="14"/>
      <x:c r="J218" s="14"/>
      <x:c r="K218" s="14"/>
      <x:c r="L218" s="86" t="str">
        <x:f>IF($P218="","",INDEX(Tasks!$N$10:$N$1941,$P218))</x:f>
        <x:v>Not started</x:v>
      </x:c>
      <x:c r="M218" s="87" t="n">
        <x:f>IF($P218="","",INDEX(Tasks!$J$10:$J$1941,$P218))</x:f>
        <x:v>46295</x:v>
      </x:c>
      <x:c r="N218" s="85" t="str">
        <x:f>IF($P218="","",HYPERLINK("#'"&amp;INDEX(Tasks!$T$10:$T$1941,$P218)&amp;"'!A"&amp;INDEX(Tasks!$U$10:$U$1941,$P218),"Open"))</x:f>
        <x:v>Open</x:v>
      </x:c>
      <x:c r="O218" s="14"/>
      <x:c r="P218" s="14" t="n">
        <x:f>IF(197&gt;$B$10,"",MATCH(197,Tasks!$S$10:$S$1941,0))</x:f>
        <x:v>392</x:v>
      </x:c>
    </x:row>
    <x:row r="219" ht="58" customHeight="1">
      <x:c r="B219" s="86" t="str">
        <x:f>IF($P219="","",INDEX(Tasks!$B$10:$B$1941,$P219))</x:f>
        <x:v>Cycle 3</x:v>
      </x:c>
      <x:c r="C219" s="86" t="str">
        <x:f>IF($P219="","",INDEX(Tasks!$C$10:$C$1941,$P219))</x:f>
        <x:v>Phase 1</x:v>
      </x:c>
      <x:c r="D219" s="86" t="str">
        <x:f>IF($P219="","",INDEX(Tasks!$D$10:$D$1941,$P219))</x:f>
        <x:v>Cards</x:v>
      </x:c>
      <x:c r="E219" s="86"/>
      <x:c r="F219" s="86" t="str">
        <x:f>IF($P219="","",INDEX(Tasks!$E$10:$E$1941,$P219))</x:f>
        <x:v>Data &amp; Reporting</x:v>
      </x:c>
      <x:c r="G219" s="86"/>
      <x:c r="H219" s="14" t="str">
        <x:f>IF($P219="","",INDEX(Tasks!$F$10:$F$1941,$P219)&amp;CHAR(10)&amp;INDEX(Tasks!$G$10:$G$1941,$P219))</x:f>
        <x:v>DR.CA.1.3
Extract data for both potential topics, ensuring all checklist items below are included/completed</x:v>
      </x:c>
      <x:c r="I219" s="14"/>
      <x:c r="J219" s="14"/>
      <x:c r="K219" s="14"/>
      <x:c r="L219" s="86" t="str">
        <x:f>IF($P219="","",INDEX(Tasks!$N$10:$N$1941,$P219))</x:f>
        <x:v>Not started</x:v>
      </x:c>
      <x:c r="M219" s="87" t="n">
        <x:f>IF($P219="","",INDEX(Tasks!$J$10:$J$1941,$P219))</x:f>
        <x:v>46295</x:v>
      </x:c>
      <x:c r="N219" s="85" t="str">
        <x:f>IF($P219="","",HYPERLINK("#'"&amp;INDEX(Tasks!$T$10:$T$1941,$P219)&amp;"'!A"&amp;INDEX(Tasks!$U$10:$U$1941,$P219),"Open"))</x:f>
        <x:v>Open</x:v>
      </x:c>
      <x:c r="O219" s="14"/>
      <x:c r="P219" s="14" t="n">
        <x:f>IF(198&gt;$B$10,"",MATCH(198,Tasks!$S$10:$S$1941,0))</x:f>
        <x:v>393</x:v>
      </x:c>
    </x:row>
    <x:row r="220" ht="58" customHeight="1">
      <x:c r="B220" s="86" t="str">
        <x:f>IF($P220="","",INDEX(Tasks!$B$10:$B$1941,$P220))</x:f>
        <x:v>Cycle 3</x:v>
      </x:c>
      <x:c r="C220" s="86" t="str">
        <x:f>IF($P220="","",INDEX(Tasks!$C$10:$C$1941,$P220))</x:f>
        <x:v>Phase 2</x:v>
      </x:c>
      <x:c r="D220" s="86" t="str">
        <x:f>IF($P220="","",INDEX(Tasks!$D$10:$D$1941,$P220))</x:f>
        <x:v>Cards</x:v>
      </x:c>
      <x:c r="E220" s="86"/>
      <x:c r="F220" s="86" t="str">
        <x:f>IF($P220="","",INDEX(Tasks!$E$10:$E$1941,$P220))</x:f>
        <x:v>Data &amp; Reporting</x:v>
      </x:c>
      <x:c r="G220" s="86"/>
      <x:c r="H220" s="14" t="str">
        <x:f>IF($P220="","",INDEX(Tasks!$F$10:$F$1941,$P220)&amp;CHAR(10)&amp;INDEX(Tasks!$G$10:$G$1941,$P220))</x:f>
        <x:v>DR.CA.2.1
Ensure data is clean, structured, and usable without manipulation needed</x:v>
      </x:c>
      <x:c r="I220" s="14"/>
      <x:c r="J220" s="14"/>
      <x:c r="K220" s="14"/>
      <x:c r="L220" s="86" t="str">
        <x:f>IF($P220="","",INDEX(Tasks!$N$10:$N$1941,$P220))</x:f>
        <x:v>Not started</x:v>
      </x:c>
      <x:c r="M220" s="87" t="n">
        <x:f>IF($P220="","",INDEX(Tasks!$J$10:$J$1941,$P220))</x:f>
        <x:v>46295</x:v>
      </x:c>
      <x:c r="N220" s="85" t="str">
        <x:f>IF($P220="","",HYPERLINK("#'"&amp;INDEX(Tasks!$T$10:$T$1941,$P220)&amp;"'!A"&amp;INDEX(Tasks!$U$10:$U$1941,$P220),"Open"))</x:f>
        <x:v>Open</x:v>
      </x:c>
      <x:c r="O220" s="14"/>
      <x:c r="P220" s="14" t="n">
        <x:f>IF(199&gt;$B$10,"",MATCH(199,Tasks!$S$10:$S$1941,0))</x:f>
        <x:v>407</x:v>
      </x:c>
    </x:row>
    <x:row r="221" ht="58" customHeight="1">
      <x:c r="B221" s="86" t="str">
        <x:f>IF($P221="","",INDEX(Tasks!$B$10:$B$1941,$P221))</x:f>
        <x:v>Cycle 3</x:v>
      </x:c>
      <x:c r="C221" s="86" t="str">
        <x:f>IF($P221="","",INDEX(Tasks!$C$10:$C$1941,$P221))</x:f>
        <x:v>Phase 2</x:v>
      </x:c>
      <x:c r="D221" s="86" t="str">
        <x:f>IF($P221="","",INDEX(Tasks!$D$10:$D$1941,$P221))</x:f>
        <x:v>Cards</x:v>
      </x:c>
      <x:c r="E221" s="86"/>
      <x:c r="F221" s="86" t="str">
        <x:f>IF($P221="","",INDEX(Tasks!$E$10:$E$1941,$P221))</x:f>
        <x:v>Data &amp; Reporting</x:v>
      </x:c>
      <x:c r="G221" s="86"/>
      <x:c r="H221" s="14" t="str">
        <x:f>IF($P221="","",INDEX(Tasks!$F$10:$F$1941,$P221)&amp;CHAR(10)&amp;INDEX(Tasks!$G$10:$G$1941,$P221))</x:f>
        <x:v>DR.CA.2.2
Clearly document rationale for each topic recommendation within the SharePoint list</x:v>
      </x:c>
      <x:c r="I221" s="14"/>
      <x:c r="J221" s="14"/>
      <x:c r="K221" s="14"/>
      <x:c r="L221" s="86" t="str">
        <x:f>IF($P221="","",INDEX(Tasks!$N$10:$N$1941,$P221))</x:f>
        <x:v>Not started</x:v>
      </x:c>
      <x:c r="M221" s="87" t="n">
        <x:f>IF($P221="","",INDEX(Tasks!$J$10:$J$1941,$P221))</x:f>
        <x:v>46295</x:v>
      </x:c>
      <x:c r="N221" s="85" t="str">
        <x:f>IF($P221="","",HYPERLINK("#'"&amp;INDEX(Tasks!$T$10:$T$1941,$P221)&amp;"'!A"&amp;INDEX(Tasks!$U$10:$U$1941,$P221),"Open"))</x:f>
        <x:v>Open</x:v>
      </x:c>
      <x:c r="O221" s="14"/>
      <x:c r="P221" s="14" t="n">
        <x:f>IF(200&gt;$B$10,"",MATCH(200,Tasks!$S$10:$S$1941,0))</x:f>
        <x:v>408</x:v>
      </x:c>
    </x:row>
    <x:row r="222" ht="58" customHeight="1">
      <x:c r="B222" s="86" t="str">
        <x:f>IF($P222="","",INDEX(Tasks!$B$10:$B$1941,$P222))</x:f>
        <x:v>Cycle 3</x:v>
      </x:c>
      <x:c r="C222" s="86" t="str">
        <x:f>IF($P222="","",INDEX(Tasks!$C$10:$C$1941,$P222))</x:f>
        <x:v>Phase 2</x:v>
      </x:c>
      <x:c r="D222" s="86" t="str">
        <x:f>IF($P222="","",INDEX(Tasks!$D$10:$D$1941,$P222))</x:f>
        <x:v>Cards</x:v>
      </x:c>
      <x:c r="E222" s="86"/>
      <x:c r="F222" s="86" t="str">
        <x:f>IF($P222="","",INDEX(Tasks!$E$10:$E$1941,$P222))</x:f>
        <x:v>Data &amp; Reporting</x:v>
      </x:c>
      <x:c r="G222" s="86"/>
      <x:c r="H222" s="14" t="str">
        <x:f>IF($P222="","",INDEX(Tasks!$F$10:$F$1941,$P222)&amp;CHAR(10)&amp;INDEX(Tasks!$G$10:$G$1941,$P222))</x:f>
        <x:v>DR.CA.2.3
Verify topic is eligible for RCA and does not conflict with Attorney Client Privilege</x:v>
      </x:c>
      <x:c r="I222" s="14"/>
      <x:c r="J222" s="14"/>
      <x:c r="K222" s="14"/>
      <x:c r="L222" s="86" t="str">
        <x:f>IF($P222="","",INDEX(Tasks!$N$10:$N$1941,$P222))</x:f>
        <x:v>Not started</x:v>
      </x:c>
      <x:c r="M222" s="87" t="n">
        <x:f>IF($P222="","",INDEX(Tasks!$J$10:$J$1941,$P222))</x:f>
        <x:v>46295</x:v>
      </x:c>
      <x:c r="N222" s="85" t="str">
        <x:f>IF($P222="","",HYPERLINK("#'"&amp;INDEX(Tasks!$T$10:$T$1941,$P222)&amp;"'!A"&amp;INDEX(Tasks!$U$10:$U$1941,$P222),"Open"))</x:f>
        <x:v>Open</x:v>
      </x:c>
      <x:c r="O222" s="14"/>
      <x:c r="P222" s="14" t="n">
        <x:f>IF(201&gt;$B$10,"",MATCH(201,Tasks!$S$10:$S$1941,0))</x:f>
        <x:v>409</x:v>
      </x:c>
    </x:row>
    <x:row r="223" ht="58" customHeight="1">
      <x:c r="B223" s="86" t="str">
        <x:f>IF($P223="","",INDEX(Tasks!$B$10:$B$1941,$P223))</x:f>
        <x:v>Cycle 3</x:v>
      </x:c>
      <x:c r="C223" s="86" t="str">
        <x:f>IF($P223="","",INDEX(Tasks!$C$10:$C$1941,$P223))</x:f>
        <x:v>Phase 2</x:v>
      </x:c>
      <x:c r="D223" s="86" t="str">
        <x:f>IF($P223="","",INDEX(Tasks!$D$10:$D$1941,$P223))</x:f>
        <x:v>Cards</x:v>
      </x:c>
      <x:c r="E223" s="86"/>
      <x:c r="F223" s="86" t="str">
        <x:f>IF($P223="","",INDEX(Tasks!$E$10:$E$1941,$P223))</x:f>
        <x:v>Data &amp; Reporting</x:v>
      </x:c>
      <x:c r="G223" s="86"/>
      <x:c r="H223" s="14" t="str">
        <x:f>IF($P223="","",INDEX(Tasks!$F$10:$F$1941,$P223)&amp;CHAR(10)&amp;INDEX(Tasks!$G$10:$G$1941,$P223))</x:f>
        <x:v>DR.CA.2.4
Ensure data is free of errors and anomalies prior to hand-off to Research</x:v>
      </x:c>
      <x:c r="I223" s="14"/>
      <x:c r="J223" s="14"/>
      <x:c r="K223" s="14"/>
      <x:c r="L223" s="86" t="str">
        <x:f>IF($P223="","",INDEX(Tasks!$N$10:$N$1941,$P223))</x:f>
        <x:v>Not started</x:v>
      </x:c>
      <x:c r="M223" s="87" t="n">
        <x:f>IF($P223="","",INDEX(Tasks!$J$10:$J$1941,$P223))</x:f>
        <x:v>46295</x:v>
      </x:c>
      <x:c r="N223" s="85" t="str">
        <x:f>IF($P223="","",HYPERLINK("#'"&amp;INDEX(Tasks!$T$10:$T$1941,$P223)&amp;"'!A"&amp;INDEX(Tasks!$U$10:$U$1941,$P223),"Open"))</x:f>
        <x:v>Open</x:v>
      </x:c>
      <x:c r="O223" s="14"/>
      <x:c r="P223" s="14" t="n">
        <x:f>IF(202&gt;$B$10,"",MATCH(202,Tasks!$S$10:$S$1941,0))</x:f>
        <x:v>410</x:v>
      </x:c>
    </x:row>
    <x:row r="224" ht="58" customHeight="1">
      <x:c r="B224" s="86" t="str">
        <x:f>IF($P224="","",INDEX(Tasks!$B$10:$B$1941,$P224))</x:f>
        <x:v>Cycle 3</x:v>
      </x:c>
      <x:c r="C224" s="86" t="str">
        <x:f>IF($P224="","",INDEX(Tasks!$C$10:$C$1941,$P224))</x:f>
        <x:v>Phase 2</x:v>
      </x:c>
      <x:c r="D224" s="86" t="str">
        <x:f>IF($P224="","",INDEX(Tasks!$D$10:$D$1941,$P224))</x:f>
        <x:v>Cards</x:v>
      </x:c>
      <x:c r="E224" s="86"/>
      <x:c r="F224" s="86" t="str">
        <x:f>IF($P224="","",INDEX(Tasks!$E$10:$E$1941,$P224))</x:f>
        <x:v>Data &amp; Reporting</x:v>
      </x:c>
      <x:c r="G224" s="86"/>
      <x:c r="H224" s="14" t="str">
        <x:f>IF($P224="","",INDEX(Tasks!$F$10:$F$1941,$P224)&amp;CHAR(10)&amp;INDEX(Tasks!$G$10:$G$1941,$P224))</x:f>
        <x:v>DR.CA.2.5
Ensure topic is not a duplicate from a previous Cycle</x:v>
      </x:c>
      <x:c r="I224" s="14"/>
      <x:c r="J224" s="14"/>
      <x:c r="K224" s="14"/>
      <x:c r="L224" s="86" t="str">
        <x:f>IF($P224="","",INDEX(Tasks!$N$10:$N$1941,$P224))</x:f>
        <x:v>Not started</x:v>
      </x:c>
      <x:c r="M224" s="87" t="n">
        <x:f>IF($P224="","",INDEX(Tasks!$J$10:$J$1941,$P224))</x:f>
        <x:v>46295</x:v>
      </x:c>
      <x:c r="N224" s="85" t="str">
        <x:f>IF($P224="","",HYPERLINK("#'"&amp;INDEX(Tasks!$T$10:$T$1941,$P224)&amp;"'!A"&amp;INDEX(Tasks!$U$10:$U$1941,$P224),"Open"))</x:f>
        <x:v>Open</x:v>
      </x:c>
      <x:c r="O224" s="14"/>
      <x:c r="P224" s="14" t="n">
        <x:f>IF(203&gt;$B$10,"",MATCH(203,Tasks!$S$10:$S$1941,0))</x:f>
        <x:v>411</x:v>
      </x:c>
    </x:row>
    <x:row r="225" ht="58" customHeight="1">
      <x:c r="B225" s="86" t="str">
        <x:f>IF($P225="","",INDEX(Tasks!$B$10:$B$1941,$P225))</x:f>
        <x:v>Cycle 3</x:v>
      </x:c>
      <x:c r="C225" s="86" t="str">
        <x:f>IF($P225="","",INDEX(Tasks!$C$10:$C$1941,$P225))</x:f>
        <x:v>Phase 2</x:v>
      </x:c>
      <x:c r="D225" s="86" t="str">
        <x:f>IF($P225="","",INDEX(Tasks!$D$10:$D$1941,$P225))</x:f>
        <x:v>Cards</x:v>
      </x:c>
      <x:c r="E225" s="86"/>
      <x:c r="F225" s="86" t="str">
        <x:f>IF($P225="","",INDEX(Tasks!$E$10:$E$1941,$P225))</x:f>
        <x:v>Data &amp; Reporting</x:v>
      </x:c>
      <x:c r="G225" s="86"/>
      <x:c r="H225" s="14" t="str">
        <x:f>IF($P225="","",INDEX(Tasks!$F$10:$F$1941,$P225)&amp;CHAR(10)&amp;INDEX(Tasks!$G$10:$G$1941,$P225))</x:f>
        <x:v>DR.CA.2.6
Document clear distinctions between facts, assumptions, and hypotheses within the data package</x:v>
      </x:c>
      <x:c r="I225" s="14"/>
      <x:c r="J225" s="14"/>
      <x:c r="K225" s="14"/>
      <x:c r="L225" s="86" t="str">
        <x:f>IF($P225="","",INDEX(Tasks!$N$10:$N$1941,$P225))</x:f>
        <x:v>Not started</x:v>
      </x:c>
      <x:c r="M225" s="87" t="n">
        <x:f>IF($P225="","",INDEX(Tasks!$J$10:$J$1941,$P225))</x:f>
        <x:v>46295</x:v>
      </x:c>
      <x:c r="N225" s="85" t="str">
        <x:f>IF($P225="","",HYPERLINK("#'"&amp;INDEX(Tasks!$T$10:$T$1941,$P225)&amp;"'!A"&amp;INDEX(Tasks!$U$10:$U$1941,$P225),"Open"))</x:f>
        <x:v>Open</x:v>
      </x:c>
      <x:c r="O225" s="14"/>
      <x:c r="P225" s="14" t="n">
        <x:f>IF(204&gt;$B$10,"",MATCH(204,Tasks!$S$10:$S$1941,0))</x:f>
        <x:v>412</x:v>
      </x:c>
    </x:row>
    <x:row r="226" ht="58" customHeight="1">
      <x:c r="B226" s="86" t="str">
        <x:f>IF($P226="","",INDEX(Tasks!$B$10:$B$1941,$P226))</x:f>
        <x:v>Cycle 3</x:v>
      </x:c>
      <x:c r="C226" s="86" t="str">
        <x:f>IF($P226="","",INDEX(Tasks!$C$10:$C$1941,$P226))</x:f>
        <x:v>Phase 3</x:v>
      </x:c>
      <x:c r="D226" s="86" t="str">
        <x:f>IF($P226="","",INDEX(Tasks!$D$10:$D$1941,$P226))</x:f>
        <x:v>Cards</x:v>
      </x:c>
      <x:c r="E226" s="86"/>
      <x:c r="F226" s="86" t="str">
        <x:f>IF($P226="","",INDEX(Tasks!$E$10:$E$1941,$P226))</x:f>
        <x:v>Data &amp; Reporting</x:v>
      </x:c>
      <x:c r="G226" s="86"/>
      <x:c r="H226" s="14" t="str">
        <x:f>IF($P226="","",INDEX(Tasks!$F$10:$F$1941,$P226)&amp;CHAR(10)&amp;INDEX(Tasks!$G$10:$G$1941,$P226))</x:f>
        <x:v>DR.CA.3.1
Clearly document rationale for each topic recommendation within the SharePoint list item</x:v>
      </x:c>
      <x:c r="I226" s="14"/>
      <x:c r="J226" s="14"/>
      <x:c r="K226" s="14"/>
      <x:c r="L226" s="86" t="str">
        <x:f>IF($P226="","",INDEX(Tasks!$N$10:$N$1941,$P226))</x:f>
        <x:v>Not started</x:v>
      </x:c>
      <x:c r="M226" s="87" t="n">
        <x:f>IF($P226="","",INDEX(Tasks!$J$10:$J$1941,$P226))</x:f>
        <x:v>46295</x:v>
      </x:c>
      <x:c r="N226" s="85" t="str">
        <x:f>IF($P226="","",HYPERLINK("#'"&amp;INDEX(Tasks!$T$10:$T$1941,$P226)&amp;"'!A"&amp;INDEX(Tasks!$U$10:$U$1941,$P226),"Open"))</x:f>
        <x:v>Open</x:v>
      </x:c>
      <x:c r="O226" s="14"/>
      <x:c r="P226" s="14" t="n">
        <x:f>IF(205&gt;$B$10,"",MATCH(205,Tasks!$S$10:$S$1941,0))</x:f>
        <x:v>413</x:v>
      </x:c>
    </x:row>
    <x:row r="227" ht="58" customHeight="1">
      <x:c r="B227" s="86" t="str">
        <x:f>IF($P227="","",INDEX(Tasks!$B$10:$B$1941,$P227))</x:f>
        <x:v>Cycle 3</x:v>
      </x:c>
      <x:c r="C227" s="86" t="str">
        <x:f>IF($P227="","",INDEX(Tasks!$C$10:$C$1941,$P227))</x:f>
        <x:v>Phase 3</x:v>
      </x:c>
      <x:c r="D227" s="86" t="str">
        <x:f>IF($P227="","",INDEX(Tasks!$D$10:$D$1941,$P227))</x:f>
        <x:v>Cards</x:v>
      </x:c>
      <x:c r="E227" s="86"/>
      <x:c r="F227" s="86" t="str">
        <x:f>IF($P227="","",INDEX(Tasks!$E$10:$E$1941,$P227))</x:f>
        <x:v>Data &amp; Reporting</x:v>
      </x:c>
      <x:c r="G227" s="86"/>
      <x:c r="H227" s="14" t="str">
        <x:f>IF($P227="","",INDEX(Tasks!$F$10:$F$1941,$P227)&amp;CHAR(10)&amp;INDEX(Tasks!$G$10:$G$1941,$P227))</x:f>
        <x:v>DR.CA.3.2
Attach the data package for each topic recommendation within the SharePoint list item</x:v>
      </x:c>
      <x:c r="I227" s="14"/>
      <x:c r="J227" s="14"/>
      <x:c r="K227" s="14"/>
      <x:c r="L227" s="86" t="str">
        <x:f>IF($P227="","",INDEX(Tasks!$N$10:$N$1941,$P227))</x:f>
        <x:v>Not started</x:v>
      </x:c>
      <x:c r="M227" s="87" t="n">
        <x:f>IF($P227="","",INDEX(Tasks!$J$10:$J$1941,$P227))</x:f>
        <x:v>46295</x:v>
      </x:c>
      <x:c r="N227" s="85" t="str">
        <x:f>IF($P227="","",HYPERLINK("#'"&amp;INDEX(Tasks!$T$10:$T$1941,$P227)&amp;"'!A"&amp;INDEX(Tasks!$U$10:$U$1941,$P227),"Open"))</x:f>
        <x:v>Open</x:v>
      </x:c>
      <x:c r="O227" s="14"/>
      <x:c r="P227" s="14" t="n">
        <x:f>IF(206&gt;$B$10,"",MATCH(206,Tasks!$S$10:$S$1941,0))</x:f>
        <x:v>414</x:v>
      </x:c>
    </x:row>
    <x:row r="228" ht="58" customHeight="1">
      <x:c r="B228" s="86" t="str">
        <x:f>IF($P228="","",INDEX(Tasks!$B$10:$B$1941,$P228))</x:f>
        <x:v>Cycle 3</x:v>
      </x:c>
      <x:c r="C228" s="86" t="str">
        <x:f>IF($P228="","",INDEX(Tasks!$C$10:$C$1941,$P228))</x:f>
        <x:v>Phase 3</x:v>
      </x:c>
      <x:c r="D228" s="86" t="str">
        <x:f>IF($P228="","",INDEX(Tasks!$D$10:$D$1941,$P228))</x:f>
        <x:v>Cards</x:v>
      </x:c>
      <x:c r="E228" s="86"/>
      <x:c r="F228" s="86" t="str">
        <x:f>IF($P228="","",INDEX(Tasks!$E$10:$E$1941,$P228))</x:f>
        <x:v>Data &amp; Reporting</x:v>
      </x:c>
      <x:c r="G228" s="86"/>
      <x:c r="H228" s="14" t="str">
        <x:f>IF($P228="","",INDEX(Tasks!$F$10:$F$1941,$P228)&amp;CHAR(10)&amp;INDEX(Tasks!$G$10:$G$1941,$P228))</x:f>
        <x:v>DR.CA.3.3
Confirm data privileges have been granted, ensuring each pillar can access</x:v>
      </x:c>
      <x:c r="I228" s="14"/>
      <x:c r="J228" s="14"/>
      <x:c r="K228" s="14"/>
      <x:c r="L228" s="86" t="str">
        <x:f>IF($P228="","",INDEX(Tasks!$N$10:$N$1941,$P228))</x:f>
        <x:v>Not started</x:v>
      </x:c>
      <x:c r="M228" s="87" t="n">
        <x:f>IF($P228="","",INDEX(Tasks!$J$10:$J$1941,$P228))</x:f>
        <x:v>46295</x:v>
      </x:c>
      <x:c r="N228" s="85" t="str">
        <x:f>IF($P228="","",HYPERLINK("#'"&amp;INDEX(Tasks!$T$10:$T$1941,$P228)&amp;"'!A"&amp;INDEX(Tasks!$U$10:$U$1941,$P228),"Open"))</x:f>
        <x:v>Open</x:v>
      </x:c>
      <x:c r="O228" s="14"/>
      <x:c r="P228" s="14" t="n">
        <x:f>IF(207&gt;$B$10,"",MATCH(207,Tasks!$S$10:$S$1941,0))</x:f>
        <x:v>415</x:v>
      </x:c>
    </x:row>
    <x:row r="229" ht="58" customHeight="1">
      <x:c r="B229" s="86" t="str">
        <x:f>IF($P229="","",INDEX(Tasks!$B$10:$B$1941,$P229))</x:f>
        <x:v>Cycle 3</x:v>
      </x:c>
      <x:c r="C229" s="86" t="str">
        <x:f>IF($P229="","",INDEX(Tasks!$C$10:$C$1941,$P229))</x:f>
        <x:v>Phase 3</x:v>
      </x:c>
      <x:c r="D229" s="86" t="str">
        <x:f>IF($P229="","",INDEX(Tasks!$D$10:$D$1941,$P229))</x:f>
        <x:v>Cards</x:v>
      </x:c>
      <x:c r="E229" s="86"/>
      <x:c r="F229" s="86" t="str">
        <x:f>IF($P229="","",INDEX(Tasks!$E$10:$E$1941,$P229))</x:f>
        <x:v>Data &amp; Reporting</x:v>
      </x:c>
      <x:c r="G229" s="86"/>
      <x:c r="H229" s="14" t="str">
        <x:f>IF($P229="","",INDEX(Tasks!$F$10:$F$1941,$P229)&amp;CHAR(10)&amp;INDEX(Tasks!$G$10:$G$1941,$P229))</x:f>
        <x:v>DR.CA.3.4
Ensure Power Automate notifications were correctly triggered within Microsoft Teams</x:v>
      </x:c>
      <x:c r="I229" s="14"/>
      <x:c r="J229" s="14"/>
      <x:c r="K229" s="14"/>
      <x:c r="L229" s="86" t="str">
        <x:f>IF($P229="","",INDEX(Tasks!$N$10:$N$1941,$P229))</x:f>
        <x:v>Not started</x:v>
      </x:c>
      <x:c r="M229" s="87" t="n">
        <x:f>IF($P229="","",INDEX(Tasks!$J$10:$J$1941,$P229))</x:f>
        <x:v>46295</x:v>
      </x:c>
      <x:c r="N229" s="85" t="str">
        <x:f>IF($P229="","",HYPERLINK("#'"&amp;INDEX(Tasks!$T$10:$T$1941,$P229)&amp;"'!A"&amp;INDEX(Tasks!$U$10:$U$1941,$P229),"Open"))</x:f>
        <x:v>Open</x:v>
      </x:c>
      <x:c r="O229" s="14"/>
      <x:c r="P229" s="14" t="n">
        <x:f>IF(208&gt;$B$10,"",MATCH(208,Tasks!$S$10:$S$1941,0))</x:f>
        <x:v>416</x:v>
      </x:c>
    </x:row>
    <x:row r="230" ht="58" customHeight="1">
      <x:c r="B230" s="86" t="str">
        <x:f>IF($P230="","",INDEX(Tasks!$B$10:$B$1941,$P230))</x:f>
        <x:v>Cycle 3</x:v>
      </x:c>
      <x:c r="C230" s="86" t="str">
        <x:f>IF($P230="","",INDEX(Tasks!$C$10:$C$1941,$P230))</x:f>
        <x:v>Phase 1</x:v>
      </x:c>
      <x:c r="D230" s="86" t="str">
        <x:f>IF($P230="","",INDEX(Tasks!$D$10:$D$1941,$P230))</x:f>
        <x:v>CSBBO - Banking Ops</x:v>
      </x:c>
      <x:c r="E230" s="86"/>
      <x:c r="F230" s="86" t="str">
        <x:f>IF($P230="","",INDEX(Tasks!$E$10:$E$1941,$P230))</x:f>
        <x:v>Data &amp; Reporting</x:v>
      </x:c>
      <x:c r="G230" s="86"/>
      <x:c r="H230" s="14" t="str">
        <x:f>IF($P230="","",INDEX(Tasks!$F$10:$F$1941,$P230)&amp;CHAR(10)&amp;INDEX(Tasks!$G$10:$G$1941,$P230))</x:f>
        <x:v>DR.BO.1.1
Review data sources 3 weeks prior to Cycle start (Complaints, Gen AI, Loudspeaker, NPS, etc.)</x:v>
      </x:c>
      <x:c r="I230" s="14"/>
      <x:c r="J230" s="14"/>
      <x:c r="K230" s="14"/>
      <x:c r="L230" s="86" t="str">
        <x:f>IF($P230="","",INDEX(Tasks!$N$10:$N$1941,$P230))</x:f>
        <x:v>Not started</x:v>
      </x:c>
      <x:c r="M230" s="87" t="n">
        <x:f>IF($P230="","",INDEX(Tasks!$J$10:$J$1941,$P230))</x:f>
        <x:v>46183</x:v>
      </x:c>
      <x:c r="N230" s="85" t="str">
        <x:f>IF($P230="","",HYPERLINK("#'"&amp;INDEX(Tasks!$T$10:$T$1941,$P230)&amp;"'!A"&amp;INDEX(Tasks!$U$10:$U$1941,$P230),"Open"))</x:f>
        <x:v>Open</x:v>
      </x:c>
      <x:c r="O230" s="14"/>
      <x:c r="P230" s="14" t="n">
        <x:f>IF(209&gt;$B$10,"",MATCH(209,Tasks!$S$10:$S$1941,0))</x:f>
        <x:v>417</x:v>
      </x:c>
    </x:row>
    <x:row r="231" ht="58" customHeight="1">
      <x:c r="B231" s="86" t="str">
        <x:f>IF($P231="","",INDEX(Tasks!$B$10:$B$1941,$P231))</x:f>
        <x:v>Cycle 3</x:v>
      </x:c>
      <x:c r="C231" s="86" t="str">
        <x:f>IF($P231="","",INDEX(Tasks!$C$10:$C$1941,$P231))</x:f>
        <x:v>Phase 1</x:v>
      </x:c>
      <x:c r="D231" s="86" t="str">
        <x:f>IF($P231="","",INDEX(Tasks!$D$10:$D$1941,$P231))</x:f>
        <x:v>CSBBO - Banking Ops</x:v>
      </x:c>
      <x:c r="E231" s="86"/>
      <x:c r="F231" s="86" t="str">
        <x:f>IF($P231="","",INDEX(Tasks!$E$10:$E$1941,$P231))</x:f>
        <x:v>Data &amp; Reporting</x:v>
      </x:c>
      <x:c r="G231" s="86"/>
      <x:c r="H231" s="14" t="str">
        <x:f>IF($P231="","",INDEX(Tasks!$F$10:$F$1941,$P231)&amp;CHAR(10)&amp;INDEX(Tasks!$G$10:$G$1941,$P231))</x:f>
        <x:v>DR.BO.1.2
Identify two potential topics for the upcoming Cycle</x:v>
      </x:c>
      <x:c r="I231" s="14"/>
      <x:c r="J231" s="14"/>
      <x:c r="K231" s="14"/>
      <x:c r="L231" s="86" t="str">
        <x:f>IF($P231="","",INDEX(Tasks!$N$10:$N$1941,$P231))</x:f>
        <x:v>Not started</x:v>
      </x:c>
      <x:c r="M231" s="87" t="n">
        <x:f>IF($P231="","",INDEX(Tasks!$J$10:$J$1941,$P231))</x:f>
        <x:v>46295</x:v>
      </x:c>
      <x:c r="N231" s="85" t="str">
        <x:f>IF($P231="","",HYPERLINK("#'"&amp;INDEX(Tasks!$T$10:$T$1941,$P231)&amp;"'!A"&amp;INDEX(Tasks!$U$10:$U$1941,$P231),"Open"))</x:f>
        <x:v>Open</x:v>
      </x:c>
      <x:c r="O231" s="14"/>
      <x:c r="P231" s="14" t="n">
        <x:f>IF(210&gt;$B$10,"",MATCH(210,Tasks!$S$10:$S$1941,0))</x:f>
        <x:v>418</x:v>
      </x:c>
    </x:row>
    <x:row r="232" ht="58" customHeight="1">
      <x:c r="B232" s="86" t="str">
        <x:f>IF($P232="","",INDEX(Tasks!$B$10:$B$1941,$P232))</x:f>
        <x:v>Cycle 3</x:v>
      </x:c>
      <x:c r="C232" s="86" t="str">
        <x:f>IF($P232="","",INDEX(Tasks!$C$10:$C$1941,$P232))</x:f>
        <x:v>Phase 1</x:v>
      </x:c>
      <x:c r="D232" s="86" t="str">
        <x:f>IF($P232="","",INDEX(Tasks!$D$10:$D$1941,$P232))</x:f>
        <x:v>CSBBO - Banking Ops</x:v>
      </x:c>
      <x:c r="E232" s="86"/>
      <x:c r="F232" s="86" t="str">
        <x:f>IF($P232="","",INDEX(Tasks!$E$10:$E$1941,$P232))</x:f>
        <x:v>Data &amp; Reporting</x:v>
      </x:c>
      <x:c r="G232" s="86"/>
      <x:c r="H232" s="14" t="str">
        <x:f>IF($P232="","",INDEX(Tasks!$F$10:$F$1941,$P232)&amp;CHAR(10)&amp;INDEX(Tasks!$G$10:$G$1941,$P232))</x:f>
        <x:v>DR.BO.1.3
Extract data for both potential topics, ensuring all checklist items below are included/completed</x:v>
      </x:c>
      <x:c r="I232" s="14"/>
      <x:c r="J232" s="14"/>
      <x:c r="K232" s="14"/>
      <x:c r="L232" s="86" t="str">
        <x:f>IF($P232="","",INDEX(Tasks!$N$10:$N$1941,$P232))</x:f>
        <x:v>Not started</x:v>
      </x:c>
      <x:c r="M232" s="87" t="n">
        <x:f>IF($P232="","",INDEX(Tasks!$J$10:$J$1941,$P232))</x:f>
        <x:v>46295</x:v>
      </x:c>
      <x:c r="N232" s="85" t="str">
        <x:f>IF($P232="","",HYPERLINK("#'"&amp;INDEX(Tasks!$T$10:$T$1941,$P232)&amp;"'!A"&amp;INDEX(Tasks!$U$10:$U$1941,$P232),"Open"))</x:f>
        <x:v>Open</x:v>
      </x:c>
      <x:c r="O232" s="14"/>
      <x:c r="P232" s="14" t="n">
        <x:f>IF(211&gt;$B$10,"",MATCH(211,Tasks!$S$10:$S$1941,0))</x:f>
        <x:v>419</x:v>
      </x:c>
    </x:row>
    <x:row r="233" ht="58" customHeight="1">
      <x:c r="B233" s="86" t="str">
        <x:f>IF($P233="","",INDEX(Tasks!$B$10:$B$1941,$P233))</x:f>
        <x:v>Cycle 3</x:v>
      </x:c>
      <x:c r="C233" s="86" t="str">
        <x:f>IF($P233="","",INDEX(Tasks!$C$10:$C$1941,$P233))</x:f>
        <x:v>Phase 2</x:v>
      </x:c>
      <x:c r="D233" s="86" t="str">
        <x:f>IF($P233="","",INDEX(Tasks!$D$10:$D$1941,$P233))</x:f>
        <x:v>CSBBO - Banking Ops</x:v>
      </x:c>
      <x:c r="E233" s="86"/>
      <x:c r="F233" s="86" t="str">
        <x:f>IF($P233="","",INDEX(Tasks!$E$10:$E$1941,$P233))</x:f>
        <x:v>Data &amp; Reporting</x:v>
      </x:c>
      <x:c r="G233" s="86"/>
      <x:c r="H233" s="14" t="str">
        <x:f>IF($P233="","",INDEX(Tasks!$F$10:$F$1941,$P233)&amp;CHAR(10)&amp;INDEX(Tasks!$G$10:$G$1941,$P233))</x:f>
        <x:v>DR.BO.2.1
Ensure data is clean, structured, and usable without manipulation needed</x:v>
      </x:c>
      <x:c r="I233" s="14"/>
      <x:c r="J233" s="14"/>
      <x:c r="K233" s="14"/>
      <x:c r="L233" s="86" t="str">
        <x:f>IF($P233="","",INDEX(Tasks!$N$10:$N$1941,$P233))</x:f>
        <x:v>Not started</x:v>
      </x:c>
      <x:c r="M233" s="87" t="n">
        <x:f>IF($P233="","",INDEX(Tasks!$J$10:$J$1941,$P233))</x:f>
        <x:v>46295</x:v>
      </x:c>
      <x:c r="N233" s="85" t="str">
        <x:f>IF($P233="","",HYPERLINK("#'"&amp;INDEX(Tasks!$T$10:$T$1941,$P233)&amp;"'!A"&amp;INDEX(Tasks!$U$10:$U$1941,$P233),"Open"))</x:f>
        <x:v>Open</x:v>
      </x:c>
      <x:c r="O233" s="14"/>
      <x:c r="P233" s="14" t="n">
        <x:f>IF(212&gt;$B$10,"",MATCH(212,Tasks!$S$10:$S$1941,0))</x:f>
        <x:v>433</x:v>
      </x:c>
    </x:row>
    <x:row r="234" ht="58" customHeight="1">
      <x:c r="B234" s="86" t="str">
        <x:f>IF($P234="","",INDEX(Tasks!$B$10:$B$1941,$P234))</x:f>
        <x:v>Cycle 3</x:v>
      </x:c>
      <x:c r="C234" s="86" t="str">
        <x:f>IF($P234="","",INDEX(Tasks!$C$10:$C$1941,$P234))</x:f>
        <x:v>Phase 2</x:v>
      </x:c>
      <x:c r="D234" s="86" t="str">
        <x:f>IF($P234="","",INDEX(Tasks!$D$10:$D$1941,$P234))</x:f>
        <x:v>CSBBO - Banking Ops</x:v>
      </x:c>
      <x:c r="E234" s="86"/>
      <x:c r="F234" s="86" t="str">
        <x:f>IF($P234="","",INDEX(Tasks!$E$10:$E$1941,$P234))</x:f>
        <x:v>Data &amp; Reporting</x:v>
      </x:c>
      <x:c r="G234" s="86"/>
      <x:c r="H234" s="14" t="str">
        <x:f>IF($P234="","",INDEX(Tasks!$F$10:$F$1941,$P234)&amp;CHAR(10)&amp;INDEX(Tasks!$G$10:$G$1941,$P234))</x:f>
        <x:v>DR.BO.2.2
Clearly document rationale for each topic recommendation within the SharePoint list</x:v>
      </x:c>
      <x:c r="I234" s="14"/>
      <x:c r="J234" s="14"/>
      <x:c r="K234" s="14"/>
      <x:c r="L234" s="86" t="str">
        <x:f>IF($P234="","",INDEX(Tasks!$N$10:$N$1941,$P234))</x:f>
        <x:v>Not started</x:v>
      </x:c>
      <x:c r="M234" s="87" t="n">
        <x:f>IF($P234="","",INDEX(Tasks!$J$10:$J$1941,$P234))</x:f>
        <x:v>46295</x:v>
      </x:c>
      <x:c r="N234" s="85" t="str">
        <x:f>IF($P234="","",HYPERLINK("#'"&amp;INDEX(Tasks!$T$10:$T$1941,$P234)&amp;"'!A"&amp;INDEX(Tasks!$U$10:$U$1941,$P234),"Open"))</x:f>
        <x:v>Open</x:v>
      </x:c>
      <x:c r="O234" s="14"/>
      <x:c r="P234" s="14" t="n">
        <x:f>IF(213&gt;$B$10,"",MATCH(213,Tasks!$S$10:$S$1941,0))</x:f>
        <x:v>434</x:v>
      </x:c>
    </x:row>
    <x:row r="235" ht="58" customHeight="1">
      <x:c r="B235" s="86" t="str">
        <x:f>IF($P235="","",INDEX(Tasks!$B$10:$B$1941,$P235))</x:f>
        <x:v>Cycle 3</x:v>
      </x:c>
      <x:c r="C235" s="86" t="str">
        <x:f>IF($P235="","",INDEX(Tasks!$C$10:$C$1941,$P235))</x:f>
        <x:v>Phase 2</x:v>
      </x:c>
      <x:c r="D235" s="86" t="str">
        <x:f>IF($P235="","",INDEX(Tasks!$D$10:$D$1941,$P235))</x:f>
        <x:v>CSBBO - Banking Ops</x:v>
      </x:c>
      <x:c r="E235" s="86"/>
      <x:c r="F235" s="86" t="str">
        <x:f>IF($P235="","",INDEX(Tasks!$E$10:$E$1941,$P235))</x:f>
        <x:v>Data &amp; Reporting</x:v>
      </x:c>
      <x:c r="G235" s="86"/>
      <x:c r="H235" s="14" t="str">
        <x:f>IF($P235="","",INDEX(Tasks!$F$10:$F$1941,$P235)&amp;CHAR(10)&amp;INDEX(Tasks!$G$10:$G$1941,$P235))</x:f>
        <x:v>DR.BO.2.3
Verify topic is eligible for RCA and does not conflict with Attorney Client Privilege</x:v>
      </x:c>
      <x:c r="I235" s="14"/>
      <x:c r="J235" s="14"/>
      <x:c r="K235" s="14"/>
      <x:c r="L235" s="86" t="str">
        <x:f>IF($P235="","",INDEX(Tasks!$N$10:$N$1941,$P235))</x:f>
        <x:v>Not started</x:v>
      </x:c>
      <x:c r="M235" s="87" t="n">
        <x:f>IF($P235="","",INDEX(Tasks!$J$10:$J$1941,$P235))</x:f>
        <x:v>46295</x:v>
      </x:c>
      <x:c r="N235" s="85" t="str">
        <x:f>IF($P235="","",HYPERLINK("#'"&amp;INDEX(Tasks!$T$10:$T$1941,$P235)&amp;"'!A"&amp;INDEX(Tasks!$U$10:$U$1941,$P235),"Open"))</x:f>
        <x:v>Open</x:v>
      </x:c>
      <x:c r="O235" s="14"/>
      <x:c r="P235" s="14" t="n">
        <x:f>IF(214&gt;$B$10,"",MATCH(214,Tasks!$S$10:$S$1941,0))</x:f>
        <x:v>435</x:v>
      </x:c>
    </x:row>
    <x:row r="236" ht="58" customHeight="1">
      <x:c r="B236" s="86" t="str">
        <x:f>IF($P236="","",INDEX(Tasks!$B$10:$B$1941,$P236))</x:f>
        <x:v>Cycle 3</x:v>
      </x:c>
      <x:c r="C236" s="86" t="str">
        <x:f>IF($P236="","",INDEX(Tasks!$C$10:$C$1941,$P236))</x:f>
        <x:v>Phase 2</x:v>
      </x:c>
      <x:c r="D236" s="86" t="str">
        <x:f>IF($P236="","",INDEX(Tasks!$D$10:$D$1941,$P236))</x:f>
        <x:v>CSBBO - Banking Ops</x:v>
      </x:c>
      <x:c r="E236" s="86"/>
      <x:c r="F236" s="86" t="str">
        <x:f>IF($P236="","",INDEX(Tasks!$E$10:$E$1941,$P236))</x:f>
        <x:v>Data &amp; Reporting</x:v>
      </x:c>
      <x:c r="G236" s="86"/>
      <x:c r="H236" s="14" t="str">
        <x:f>IF($P236="","",INDEX(Tasks!$F$10:$F$1941,$P236)&amp;CHAR(10)&amp;INDEX(Tasks!$G$10:$G$1941,$P236))</x:f>
        <x:v>DR.BO.2.4
Ensure data is free of errors and anomalies prior to hand-off to Research</x:v>
      </x:c>
      <x:c r="I236" s="14"/>
      <x:c r="J236" s="14"/>
      <x:c r="K236" s="14"/>
      <x:c r="L236" s="86" t="str">
        <x:f>IF($P236="","",INDEX(Tasks!$N$10:$N$1941,$P236))</x:f>
        <x:v>Not started</x:v>
      </x:c>
      <x:c r="M236" s="87" t="n">
        <x:f>IF($P236="","",INDEX(Tasks!$J$10:$J$1941,$P236))</x:f>
        <x:v>46295</x:v>
      </x:c>
      <x:c r="N236" s="85" t="str">
        <x:f>IF($P236="","",HYPERLINK("#'"&amp;INDEX(Tasks!$T$10:$T$1941,$P236)&amp;"'!A"&amp;INDEX(Tasks!$U$10:$U$1941,$P236),"Open"))</x:f>
        <x:v>Open</x:v>
      </x:c>
      <x:c r="O236" s="14"/>
      <x:c r="P236" s="14" t="n">
        <x:f>IF(215&gt;$B$10,"",MATCH(215,Tasks!$S$10:$S$1941,0))</x:f>
        <x:v>436</x:v>
      </x:c>
    </x:row>
    <x:row r="237" ht="58" customHeight="1">
      <x:c r="B237" s="86" t="str">
        <x:f>IF($P237="","",INDEX(Tasks!$B$10:$B$1941,$P237))</x:f>
        <x:v>Cycle 3</x:v>
      </x:c>
      <x:c r="C237" s="86" t="str">
        <x:f>IF($P237="","",INDEX(Tasks!$C$10:$C$1941,$P237))</x:f>
        <x:v>Phase 2</x:v>
      </x:c>
      <x:c r="D237" s="86" t="str">
        <x:f>IF($P237="","",INDEX(Tasks!$D$10:$D$1941,$P237))</x:f>
        <x:v>CSBBO - Banking Ops</x:v>
      </x:c>
      <x:c r="E237" s="86"/>
      <x:c r="F237" s="86" t="str">
        <x:f>IF($P237="","",INDEX(Tasks!$E$10:$E$1941,$P237))</x:f>
        <x:v>Data &amp; Reporting</x:v>
      </x:c>
      <x:c r="G237" s="86"/>
      <x:c r="H237" s="14" t="str">
        <x:f>IF($P237="","",INDEX(Tasks!$F$10:$F$1941,$P237)&amp;CHAR(10)&amp;INDEX(Tasks!$G$10:$G$1941,$P237))</x:f>
        <x:v>DR.BO.2.5
Ensure topic is not a duplicate from a previous Cycle</x:v>
      </x:c>
      <x:c r="I237" s="14"/>
      <x:c r="J237" s="14"/>
      <x:c r="K237" s="14"/>
      <x:c r="L237" s="86" t="str">
        <x:f>IF($P237="","",INDEX(Tasks!$N$10:$N$1941,$P237))</x:f>
        <x:v>Not started</x:v>
      </x:c>
      <x:c r="M237" s="87" t="n">
        <x:f>IF($P237="","",INDEX(Tasks!$J$10:$J$1941,$P237))</x:f>
        <x:v>46295</x:v>
      </x:c>
      <x:c r="N237" s="85" t="str">
        <x:f>IF($P237="","",HYPERLINK("#'"&amp;INDEX(Tasks!$T$10:$T$1941,$P237)&amp;"'!A"&amp;INDEX(Tasks!$U$10:$U$1941,$P237),"Open"))</x:f>
        <x:v>Open</x:v>
      </x:c>
      <x:c r="O237" s="14"/>
      <x:c r="P237" s="14" t="n">
        <x:f>IF(216&gt;$B$10,"",MATCH(216,Tasks!$S$10:$S$1941,0))</x:f>
        <x:v>437</x:v>
      </x:c>
    </x:row>
    <x:row r="238" ht="58" customHeight="1">
      <x:c r="B238" s="86" t="str">
        <x:f>IF($P238="","",INDEX(Tasks!$B$10:$B$1941,$P238))</x:f>
        <x:v>Cycle 3</x:v>
      </x:c>
      <x:c r="C238" s="86" t="str">
        <x:f>IF($P238="","",INDEX(Tasks!$C$10:$C$1941,$P238))</x:f>
        <x:v>Phase 2</x:v>
      </x:c>
      <x:c r="D238" s="86" t="str">
        <x:f>IF($P238="","",INDEX(Tasks!$D$10:$D$1941,$P238))</x:f>
        <x:v>CSBBO - Banking Ops</x:v>
      </x:c>
      <x:c r="E238" s="86"/>
      <x:c r="F238" s="86" t="str">
        <x:f>IF($P238="","",INDEX(Tasks!$E$10:$E$1941,$P238))</x:f>
        <x:v>Data &amp; Reporting</x:v>
      </x:c>
      <x:c r="G238" s="86"/>
      <x:c r="H238" s="14" t="str">
        <x:f>IF($P238="","",INDEX(Tasks!$F$10:$F$1941,$P238)&amp;CHAR(10)&amp;INDEX(Tasks!$G$10:$G$1941,$P238))</x:f>
        <x:v>DR.BO.2.6
Document clear distinctions between facts, assumptions, and hypotheses within the data package</x:v>
      </x:c>
      <x:c r="I238" s="14"/>
      <x:c r="J238" s="14"/>
      <x:c r="K238" s="14"/>
      <x:c r="L238" s="86" t="str">
        <x:f>IF($P238="","",INDEX(Tasks!$N$10:$N$1941,$P238))</x:f>
        <x:v>Not started</x:v>
      </x:c>
      <x:c r="M238" s="87" t="n">
        <x:f>IF($P238="","",INDEX(Tasks!$J$10:$J$1941,$P238))</x:f>
        <x:v>46295</x:v>
      </x:c>
      <x:c r="N238" s="85" t="str">
        <x:f>IF($P238="","",HYPERLINK("#'"&amp;INDEX(Tasks!$T$10:$T$1941,$P238)&amp;"'!A"&amp;INDEX(Tasks!$U$10:$U$1941,$P238),"Open"))</x:f>
        <x:v>Open</x:v>
      </x:c>
      <x:c r="O238" s="14"/>
      <x:c r="P238" s="14" t="n">
        <x:f>IF(217&gt;$B$10,"",MATCH(217,Tasks!$S$10:$S$1941,0))</x:f>
        <x:v>438</x:v>
      </x:c>
    </x:row>
    <x:row r="239" ht="58" customHeight="1">
      <x:c r="B239" s="86" t="str">
        <x:f>IF($P239="","",INDEX(Tasks!$B$10:$B$1941,$P239))</x:f>
        <x:v>Cycle 3</x:v>
      </x:c>
      <x:c r="C239" s="86" t="str">
        <x:f>IF($P239="","",INDEX(Tasks!$C$10:$C$1941,$P239))</x:f>
        <x:v>Phase 3</x:v>
      </x:c>
      <x:c r="D239" s="86" t="str">
        <x:f>IF($P239="","",INDEX(Tasks!$D$10:$D$1941,$P239))</x:f>
        <x:v>CSBBO - Banking Ops</x:v>
      </x:c>
      <x:c r="E239" s="86"/>
      <x:c r="F239" s="86" t="str">
        <x:f>IF($P239="","",INDEX(Tasks!$E$10:$E$1941,$P239))</x:f>
        <x:v>Data &amp; Reporting</x:v>
      </x:c>
      <x:c r="G239" s="86"/>
      <x:c r="H239" s="14" t="str">
        <x:f>IF($P239="","",INDEX(Tasks!$F$10:$F$1941,$P239)&amp;CHAR(10)&amp;INDEX(Tasks!$G$10:$G$1941,$P239))</x:f>
        <x:v>DR.BO.3.1
Clearly document rationale for each topic recommendation within the SharePoint list item</x:v>
      </x:c>
      <x:c r="I239" s="14"/>
      <x:c r="J239" s="14"/>
      <x:c r="K239" s="14"/>
      <x:c r="L239" s="86" t="str">
        <x:f>IF($P239="","",INDEX(Tasks!$N$10:$N$1941,$P239))</x:f>
        <x:v>Not started</x:v>
      </x:c>
      <x:c r="M239" s="87" t="n">
        <x:f>IF($P239="","",INDEX(Tasks!$J$10:$J$1941,$P239))</x:f>
        <x:v>46295</x:v>
      </x:c>
      <x:c r="N239" s="85" t="str">
        <x:f>IF($P239="","",HYPERLINK("#'"&amp;INDEX(Tasks!$T$10:$T$1941,$P239)&amp;"'!A"&amp;INDEX(Tasks!$U$10:$U$1941,$P239),"Open"))</x:f>
        <x:v>Open</x:v>
      </x:c>
      <x:c r="O239" s="14"/>
      <x:c r="P239" s="14" t="n">
        <x:f>IF(218&gt;$B$10,"",MATCH(218,Tasks!$S$10:$S$1941,0))</x:f>
        <x:v>439</x:v>
      </x:c>
    </x:row>
    <x:row r="240" ht="58" customHeight="1">
      <x:c r="B240" s="86" t="str">
        <x:f>IF($P240="","",INDEX(Tasks!$B$10:$B$1941,$P240))</x:f>
        <x:v>Cycle 3</x:v>
      </x:c>
      <x:c r="C240" s="86" t="str">
        <x:f>IF($P240="","",INDEX(Tasks!$C$10:$C$1941,$P240))</x:f>
        <x:v>Phase 3</x:v>
      </x:c>
      <x:c r="D240" s="86" t="str">
        <x:f>IF($P240="","",INDEX(Tasks!$D$10:$D$1941,$P240))</x:f>
        <x:v>CSBBO - Banking Ops</x:v>
      </x:c>
      <x:c r="E240" s="86"/>
      <x:c r="F240" s="86" t="str">
        <x:f>IF($P240="","",INDEX(Tasks!$E$10:$E$1941,$P240))</x:f>
        <x:v>Data &amp; Reporting</x:v>
      </x:c>
      <x:c r="G240" s="86"/>
      <x:c r="H240" s="14" t="str">
        <x:f>IF($P240="","",INDEX(Tasks!$F$10:$F$1941,$P240)&amp;CHAR(10)&amp;INDEX(Tasks!$G$10:$G$1941,$P240))</x:f>
        <x:v>DR.BO.3.2
Attach the data package for each topic recommendation within the SharePoint list item</x:v>
      </x:c>
      <x:c r="I240" s="14"/>
      <x:c r="J240" s="14"/>
      <x:c r="K240" s="14"/>
      <x:c r="L240" s="86" t="str">
        <x:f>IF($P240="","",INDEX(Tasks!$N$10:$N$1941,$P240))</x:f>
        <x:v>Not started</x:v>
      </x:c>
      <x:c r="M240" s="87" t="n">
        <x:f>IF($P240="","",INDEX(Tasks!$J$10:$J$1941,$P240))</x:f>
        <x:v>46295</x:v>
      </x:c>
      <x:c r="N240" s="85" t="str">
        <x:f>IF($P240="","",HYPERLINK("#'"&amp;INDEX(Tasks!$T$10:$T$1941,$P240)&amp;"'!A"&amp;INDEX(Tasks!$U$10:$U$1941,$P240),"Open"))</x:f>
        <x:v>Open</x:v>
      </x:c>
      <x:c r="O240" s="14"/>
      <x:c r="P240" s="14" t="n">
        <x:f>IF(219&gt;$B$10,"",MATCH(219,Tasks!$S$10:$S$1941,0))</x:f>
        <x:v>440</x:v>
      </x:c>
    </x:row>
    <x:row r="241" ht="58" customHeight="1">
      <x:c r="B241" s="86" t="str">
        <x:f>IF($P241="","",INDEX(Tasks!$B$10:$B$1941,$P241))</x:f>
        <x:v>Cycle 3</x:v>
      </x:c>
      <x:c r="C241" s="86" t="str">
        <x:f>IF($P241="","",INDEX(Tasks!$C$10:$C$1941,$P241))</x:f>
        <x:v>Phase 3</x:v>
      </x:c>
      <x:c r="D241" s="86" t="str">
        <x:f>IF($P241="","",INDEX(Tasks!$D$10:$D$1941,$P241))</x:f>
        <x:v>CSBBO - Banking Ops</x:v>
      </x:c>
      <x:c r="E241" s="86"/>
      <x:c r="F241" s="86" t="str">
        <x:f>IF($P241="","",INDEX(Tasks!$E$10:$E$1941,$P241))</x:f>
        <x:v>Data &amp; Reporting</x:v>
      </x:c>
      <x:c r="G241" s="86"/>
      <x:c r="H241" s="14" t="str">
        <x:f>IF($P241="","",INDEX(Tasks!$F$10:$F$1941,$P241)&amp;CHAR(10)&amp;INDEX(Tasks!$G$10:$G$1941,$P241))</x:f>
        <x:v>DR.BO.3.3
Confirm data privileges have been granted, ensuring each pillar can access</x:v>
      </x:c>
      <x:c r="I241" s="14"/>
      <x:c r="J241" s="14"/>
      <x:c r="K241" s="14"/>
      <x:c r="L241" s="86" t="str">
        <x:f>IF($P241="","",INDEX(Tasks!$N$10:$N$1941,$P241))</x:f>
        <x:v>Not started</x:v>
      </x:c>
      <x:c r="M241" s="87" t="n">
        <x:f>IF($P241="","",INDEX(Tasks!$J$10:$J$1941,$P241))</x:f>
        <x:v>46295</x:v>
      </x:c>
      <x:c r="N241" s="85" t="str">
        <x:f>IF($P241="","",HYPERLINK("#'"&amp;INDEX(Tasks!$T$10:$T$1941,$P241)&amp;"'!A"&amp;INDEX(Tasks!$U$10:$U$1941,$P241),"Open"))</x:f>
        <x:v>Open</x:v>
      </x:c>
      <x:c r="O241" s="14"/>
      <x:c r="P241" s="14" t="n">
        <x:f>IF(220&gt;$B$10,"",MATCH(220,Tasks!$S$10:$S$1941,0))</x:f>
        <x:v>441</x:v>
      </x:c>
    </x:row>
    <x:row r="242" ht="58" customHeight="1">
      <x:c r="B242" s="86" t="str">
        <x:f>IF($P242="","",INDEX(Tasks!$B$10:$B$1941,$P242))</x:f>
        <x:v>Cycle 3</x:v>
      </x:c>
      <x:c r="C242" s="86" t="str">
        <x:f>IF($P242="","",INDEX(Tasks!$C$10:$C$1941,$P242))</x:f>
        <x:v>Phase 3</x:v>
      </x:c>
      <x:c r="D242" s="86" t="str">
        <x:f>IF($P242="","",INDEX(Tasks!$D$10:$D$1941,$P242))</x:f>
        <x:v>CSBBO - Banking Ops</x:v>
      </x:c>
      <x:c r="E242" s="86"/>
      <x:c r="F242" s="86" t="str">
        <x:f>IF($P242="","",INDEX(Tasks!$E$10:$E$1941,$P242))</x:f>
        <x:v>Data &amp; Reporting</x:v>
      </x:c>
      <x:c r="G242" s="86"/>
      <x:c r="H242" s="14" t="str">
        <x:f>IF($P242="","",INDEX(Tasks!$F$10:$F$1941,$P242)&amp;CHAR(10)&amp;INDEX(Tasks!$G$10:$G$1941,$P242))</x:f>
        <x:v>DR.BO.3.4
Ensure Power Automate notifications were correctly triggered within Microsoft Teams</x:v>
      </x:c>
      <x:c r="I242" s="14"/>
      <x:c r="J242" s="14"/>
      <x:c r="K242" s="14"/>
      <x:c r="L242" s="86" t="str">
        <x:f>IF($P242="","",INDEX(Tasks!$N$10:$N$1941,$P242))</x:f>
        <x:v>Not started</x:v>
      </x:c>
      <x:c r="M242" s="87" t="n">
        <x:f>IF($P242="","",INDEX(Tasks!$J$10:$J$1941,$P242))</x:f>
        <x:v>46295</x:v>
      </x:c>
      <x:c r="N242" s="85" t="str">
        <x:f>IF($P242="","",HYPERLINK("#'"&amp;INDEX(Tasks!$T$10:$T$1941,$P242)&amp;"'!A"&amp;INDEX(Tasks!$U$10:$U$1941,$P242),"Open"))</x:f>
        <x:v>Open</x:v>
      </x:c>
      <x:c r="O242" s="14"/>
      <x:c r="P242" s="14" t="n">
        <x:f>IF(221&gt;$B$10,"",MATCH(221,Tasks!$S$10:$S$1941,0))</x:f>
        <x:v>442</x:v>
      </x:c>
    </x:row>
    <x:row r="243" ht="58" customHeight="1">
      <x:c r="B243" s="86" t="str">
        <x:f>IF($P243="","",INDEX(Tasks!$B$10:$B$1941,$P243))</x:f>
        <x:v>Cycle 3</x:v>
      </x:c>
      <x:c r="C243" s="86" t="str">
        <x:f>IF($P243="","",INDEX(Tasks!$C$10:$C$1941,$P243))</x:f>
        <x:v>Phase 1</x:v>
      </x:c>
      <x:c r="D243" s="86" t="str">
        <x:f>IF($P243="","",INDEX(Tasks!$D$10:$D$1941,$P243))</x:f>
        <x:v>CSBBO - Customer Service</x:v>
      </x:c>
      <x:c r="E243" s="86"/>
      <x:c r="F243" s="86" t="str">
        <x:f>IF($P243="","",INDEX(Tasks!$E$10:$E$1941,$P243))</x:f>
        <x:v>Data &amp; Reporting</x:v>
      </x:c>
      <x:c r="G243" s="86"/>
      <x:c r="H243" s="14" t="str">
        <x:f>IF($P243="","",INDEX(Tasks!$F$10:$F$1941,$P243)&amp;CHAR(10)&amp;INDEX(Tasks!$G$10:$G$1941,$P243))</x:f>
        <x:v>DR.CS.1.1
Review data sources 3 weeks prior to Cycle start (Complaints, Gen AI, Loudspeaker, NPS, etc.)</x:v>
      </x:c>
      <x:c r="I243" s="14"/>
      <x:c r="J243" s="14"/>
      <x:c r="K243" s="14"/>
      <x:c r="L243" s="86" t="str">
        <x:f>IF($P243="","",INDEX(Tasks!$N$10:$N$1941,$P243))</x:f>
        <x:v>Not started</x:v>
      </x:c>
      <x:c r="M243" s="87" t="n">
        <x:f>IF($P243="","",INDEX(Tasks!$J$10:$J$1941,$P243))</x:f>
        <x:v>46183</x:v>
      </x:c>
      <x:c r="N243" s="85" t="str">
        <x:f>IF($P243="","",HYPERLINK("#'"&amp;INDEX(Tasks!$T$10:$T$1941,$P243)&amp;"'!A"&amp;INDEX(Tasks!$U$10:$U$1941,$P243),"Open"))</x:f>
        <x:v>Open</x:v>
      </x:c>
      <x:c r="O243" s="14"/>
      <x:c r="P243" s="14" t="n">
        <x:f>IF(222&gt;$B$10,"",MATCH(222,Tasks!$S$10:$S$1941,0))</x:f>
        <x:v>443</x:v>
      </x:c>
    </x:row>
    <x:row r="244" ht="58" customHeight="1">
      <x:c r="B244" s="86" t="str">
        <x:f>IF($P244="","",INDEX(Tasks!$B$10:$B$1941,$P244))</x:f>
        <x:v>Cycle 3</x:v>
      </x:c>
      <x:c r="C244" s="86" t="str">
        <x:f>IF($P244="","",INDEX(Tasks!$C$10:$C$1941,$P244))</x:f>
        <x:v>Phase 1</x:v>
      </x:c>
      <x:c r="D244" s="86" t="str">
        <x:f>IF($P244="","",INDEX(Tasks!$D$10:$D$1941,$P244))</x:f>
        <x:v>CSBBO - Customer Service</x:v>
      </x:c>
      <x:c r="E244" s="86"/>
      <x:c r="F244" s="86" t="str">
        <x:f>IF($P244="","",INDEX(Tasks!$E$10:$E$1941,$P244))</x:f>
        <x:v>Data &amp; Reporting</x:v>
      </x:c>
      <x:c r="G244" s="86"/>
      <x:c r="H244" s="14" t="str">
        <x:f>IF($P244="","",INDEX(Tasks!$F$10:$F$1941,$P244)&amp;CHAR(10)&amp;INDEX(Tasks!$G$10:$G$1941,$P244))</x:f>
        <x:v>DR.CS.1.2
Identify two potential topics for the upcoming Cycle</x:v>
      </x:c>
      <x:c r="I244" s="14"/>
      <x:c r="J244" s="14"/>
      <x:c r="K244" s="14"/>
      <x:c r="L244" s="86" t="str">
        <x:f>IF($P244="","",INDEX(Tasks!$N$10:$N$1941,$P244))</x:f>
        <x:v>Not started</x:v>
      </x:c>
      <x:c r="M244" s="87" t="n">
        <x:f>IF($P244="","",INDEX(Tasks!$J$10:$J$1941,$P244))</x:f>
        <x:v>46295</x:v>
      </x:c>
      <x:c r="N244" s="85" t="str">
        <x:f>IF($P244="","",HYPERLINK("#'"&amp;INDEX(Tasks!$T$10:$T$1941,$P244)&amp;"'!A"&amp;INDEX(Tasks!$U$10:$U$1941,$P244),"Open"))</x:f>
        <x:v>Open</x:v>
      </x:c>
      <x:c r="O244" s="14"/>
      <x:c r="P244" s="14" t="n">
        <x:f>IF(223&gt;$B$10,"",MATCH(223,Tasks!$S$10:$S$1941,0))</x:f>
        <x:v>444</x:v>
      </x:c>
    </x:row>
    <x:row r="245" ht="58" customHeight="1">
      <x:c r="B245" s="86" t="str">
        <x:f>IF($P245="","",INDEX(Tasks!$B$10:$B$1941,$P245))</x:f>
        <x:v>Cycle 3</x:v>
      </x:c>
      <x:c r="C245" s="86" t="str">
        <x:f>IF($P245="","",INDEX(Tasks!$C$10:$C$1941,$P245))</x:f>
        <x:v>Phase 1</x:v>
      </x:c>
      <x:c r="D245" s="86" t="str">
        <x:f>IF($P245="","",INDEX(Tasks!$D$10:$D$1941,$P245))</x:f>
        <x:v>CSBBO - Customer Service</x:v>
      </x:c>
      <x:c r="E245" s="86"/>
      <x:c r="F245" s="86" t="str">
        <x:f>IF($P245="","",INDEX(Tasks!$E$10:$E$1941,$P245))</x:f>
        <x:v>Data &amp; Reporting</x:v>
      </x:c>
      <x:c r="G245" s="86"/>
      <x:c r="H245" s="14" t="str">
        <x:f>IF($P245="","",INDEX(Tasks!$F$10:$F$1941,$P245)&amp;CHAR(10)&amp;INDEX(Tasks!$G$10:$G$1941,$P245))</x:f>
        <x:v>DR.CS.1.3
Extract data for both potential topics, ensuring all checklist items below are included/completed</x:v>
      </x:c>
      <x:c r="I245" s="14"/>
      <x:c r="J245" s="14"/>
      <x:c r="K245" s="14"/>
      <x:c r="L245" s="86" t="str">
        <x:f>IF($P245="","",INDEX(Tasks!$N$10:$N$1941,$P245))</x:f>
        <x:v>Not started</x:v>
      </x:c>
      <x:c r="M245" s="87" t="n">
        <x:f>IF($P245="","",INDEX(Tasks!$J$10:$J$1941,$P245))</x:f>
        <x:v>46295</x:v>
      </x:c>
      <x:c r="N245" s="85" t="str">
        <x:f>IF($P245="","",HYPERLINK("#'"&amp;INDEX(Tasks!$T$10:$T$1941,$P245)&amp;"'!A"&amp;INDEX(Tasks!$U$10:$U$1941,$P245),"Open"))</x:f>
        <x:v>Open</x:v>
      </x:c>
      <x:c r="O245" s="14"/>
      <x:c r="P245" s="14" t="n">
        <x:f>IF(224&gt;$B$10,"",MATCH(224,Tasks!$S$10:$S$1941,0))</x:f>
        <x:v>445</x:v>
      </x:c>
    </x:row>
    <x:row r="246" ht="58" customHeight="1">
      <x:c r="B246" s="86" t="str">
        <x:f>IF($P246="","",INDEX(Tasks!$B$10:$B$1941,$P246))</x:f>
        <x:v>Cycle 3</x:v>
      </x:c>
      <x:c r="C246" s="86" t="str">
        <x:f>IF($P246="","",INDEX(Tasks!$C$10:$C$1941,$P246))</x:f>
        <x:v>Phase 2</x:v>
      </x:c>
      <x:c r="D246" s="86" t="str">
        <x:f>IF($P246="","",INDEX(Tasks!$D$10:$D$1941,$P246))</x:f>
        <x:v>CSBBO - Customer Service</x:v>
      </x:c>
      <x:c r="E246" s="86"/>
      <x:c r="F246" s="86" t="str">
        <x:f>IF($P246="","",INDEX(Tasks!$E$10:$E$1941,$P246))</x:f>
        <x:v>Data &amp; Reporting</x:v>
      </x:c>
      <x:c r="G246" s="86"/>
      <x:c r="H246" s="14" t="str">
        <x:f>IF($P246="","",INDEX(Tasks!$F$10:$F$1941,$P246)&amp;CHAR(10)&amp;INDEX(Tasks!$G$10:$G$1941,$P246))</x:f>
        <x:v>DR.CS.2.1
Ensure data is clean, structured, and usable without manipulation needed</x:v>
      </x:c>
      <x:c r="I246" s="14"/>
      <x:c r="J246" s="14"/>
      <x:c r="K246" s="14"/>
      <x:c r="L246" s="86" t="str">
        <x:f>IF($P246="","",INDEX(Tasks!$N$10:$N$1941,$P246))</x:f>
        <x:v>Not started</x:v>
      </x:c>
      <x:c r="M246" s="87" t="n">
        <x:f>IF($P246="","",INDEX(Tasks!$J$10:$J$1941,$P246))</x:f>
        <x:v>46295</x:v>
      </x:c>
      <x:c r="N246" s="85" t="str">
        <x:f>IF($P246="","",HYPERLINK("#'"&amp;INDEX(Tasks!$T$10:$T$1941,$P246)&amp;"'!A"&amp;INDEX(Tasks!$U$10:$U$1941,$P246),"Open"))</x:f>
        <x:v>Open</x:v>
      </x:c>
      <x:c r="O246" s="14"/>
      <x:c r="P246" s="14" t="n">
        <x:f>IF(225&gt;$B$10,"",MATCH(225,Tasks!$S$10:$S$1941,0))</x:f>
        <x:v>459</x:v>
      </x:c>
    </x:row>
    <x:row r="247" ht="58" customHeight="1">
      <x:c r="B247" s="86" t="str">
        <x:f>IF($P247="","",INDEX(Tasks!$B$10:$B$1941,$P247))</x:f>
        <x:v>Cycle 3</x:v>
      </x:c>
      <x:c r="C247" s="86" t="str">
        <x:f>IF($P247="","",INDEX(Tasks!$C$10:$C$1941,$P247))</x:f>
        <x:v>Phase 2</x:v>
      </x:c>
      <x:c r="D247" s="86" t="str">
        <x:f>IF($P247="","",INDEX(Tasks!$D$10:$D$1941,$P247))</x:f>
        <x:v>CSBBO - Customer Service</x:v>
      </x:c>
      <x:c r="E247" s="86"/>
      <x:c r="F247" s="86" t="str">
        <x:f>IF($P247="","",INDEX(Tasks!$E$10:$E$1941,$P247))</x:f>
        <x:v>Data &amp; Reporting</x:v>
      </x:c>
      <x:c r="G247" s="86"/>
      <x:c r="H247" s="14" t="str">
        <x:f>IF($P247="","",INDEX(Tasks!$F$10:$F$1941,$P247)&amp;CHAR(10)&amp;INDEX(Tasks!$G$10:$G$1941,$P247))</x:f>
        <x:v>DR.CS.2.2
Clearly document rationale for each topic recommendation within the SharePoint list</x:v>
      </x:c>
      <x:c r="I247" s="14"/>
      <x:c r="J247" s="14"/>
      <x:c r="K247" s="14"/>
      <x:c r="L247" s="86" t="str">
        <x:f>IF($P247="","",INDEX(Tasks!$N$10:$N$1941,$P247))</x:f>
        <x:v>Not started</x:v>
      </x:c>
      <x:c r="M247" s="87" t="n">
        <x:f>IF($P247="","",INDEX(Tasks!$J$10:$J$1941,$P247))</x:f>
        <x:v>46295</x:v>
      </x:c>
      <x:c r="N247" s="85" t="str">
        <x:f>IF($P247="","",HYPERLINK("#'"&amp;INDEX(Tasks!$T$10:$T$1941,$P247)&amp;"'!A"&amp;INDEX(Tasks!$U$10:$U$1941,$P247),"Open"))</x:f>
        <x:v>Open</x:v>
      </x:c>
      <x:c r="O247" s="14"/>
      <x:c r="P247" s="14" t="n">
        <x:f>IF(226&gt;$B$10,"",MATCH(226,Tasks!$S$10:$S$1941,0))</x:f>
        <x:v>460</x:v>
      </x:c>
    </x:row>
    <x:row r="248" ht="58" customHeight="1">
      <x:c r="B248" s="86" t="str">
        <x:f>IF($P248="","",INDEX(Tasks!$B$10:$B$1941,$P248))</x:f>
        <x:v>Cycle 3</x:v>
      </x:c>
      <x:c r="C248" s="86" t="str">
        <x:f>IF($P248="","",INDEX(Tasks!$C$10:$C$1941,$P248))</x:f>
        <x:v>Phase 2</x:v>
      </x:c>
      <x:c r="D248" s="86" t="str">
        <x:f>IF($P248="","",INDEX(Tasks!$D$10:$D$1941,$P248))</x:f>
        <x:v>CSBBO - Customer Service</x:v>
      </x:c>
      <x:c r="E248" s="86"/>
      <x:c r="F248" s="86" t="str">
        <x:f>IF($P248="","",INDEX(Tasks!$E$10:$E$1941,$P248))</x:f>
        <x:v>Data &amp; Reporting</x:v>
      </x:c>
      <x:c r="G248" s="86"/>
      <x:c r="H248" s="14" t="str">
        <x:f>IF($P248="","",INDEX(Tasks!$F$10:$F$1941,$P248)&amp;CHAR(10)&amp;INDEX(Tasks!$G$10:$G$1941,$P248))</x:f>
        <x:v>DR.CS.2.3
Verify topic is eligible for RCA and does not conflict with Attorney Client Privilege</x:v>
      </x:c>
      <x:c r="I248" s="14"/>
      <x:c r="J248" s="14"/>
      <x:c r="K248" s="14"/>
      <x:c r="L248" s="86" t="str">
        <x:f>IF($P248="","",INDEX(Tasks!$N$10:$N$1941,$P248))</x:f>
        <x:v>Not started</x:v>
      </x:c>
      <x:c r="M248" s="87" t="n">
        <x:f>IF($P248="","",INDEX(Tasks!$J$10:$J$1941,$P248))</x:f>
        <x:v>46295</x:v>
      </x:c>
      <x:c r="N248" s="85" t="str">
        <x:f>IF($P248="","",HYPERLINK("#'"&amp;INDEX(Tasks!$T$10:$T$1941,$P248)&amp;"'!A"&amp;INDEX(Tasks!$U$10:$U$1941,$P248),"Open"))</x:f>
        <x:v>Open</x:v>
      </x:c>
      <x:c r="O248" s="14"/>
      <x:c r="P248" s="14" t="n">
        <x:f>IF(227&gt;$B$10,"",MATCH(227,Tasks!$S$10:$S$1941,0))</x:f>
        <x:v>461</x:v>
      </x:c>
    </x:row>
    <x:row r="249" ht="58" customHeight="1">
      <x:c r="B249" s="86" t="str">
        <x:f>IF($P249="","",INDEX(Tasks!$B$10:$B$1941,$P249))</x:f>
        <x:v>Cycle 3</x:v>
      </x:c>
      <x:c r="C249" s="86" t="str">
        <x:f>IF($P249="","",INDEX(Tasks!$C$10:$C$1941,$P249))</x:f>
        <x:v>Phase 2</x:v>
      </x:c>
      <x:c r="D249" s="86" t="str">
        <x:f>IF($P249="","",INDEX(Tasks!$D$10:$D$1941,$P249))</x:f>
        <x:v>CSBBO - Customer Service</x:v>
      </x:c>
      <x:c r="E249" s="86"/>
      <x:c r="F249" s="86" t="str">
        <x:f>IF($P249="","",INDEX(Tasks!$E$10:$E$1941,$P249))</x:f>
        <x:v>Data &amp; Reporting</x:v>
      </x:c>
      <x:c r="G249" s="86"/>
      <x:c r="H249" s="14" t="str">
        <x:f>IF($P249="","",INDEX(Tasks!$F$10:$F$1941,$P249)&amp;CHAR(10)&amp;INDEX(Tasks!$G$10:$G$1941,$P249))</x:f>
        <x:v>DR.CS.2.4
Ensure data is free of errors and anomalies prior to hand-off to Research</x:v>
      </x:c>
      <x:c r="I249" s="14"/>
      <x:c r="J249" s="14"/>
      <x:c r="K249" s="14"/>
      <x:c r="L249" s="86" t="str">
        <x:f>IF($P249="","",INDEX(Tasks!$N$10:$N$1941,$P249))</x:f>
        <x:v>Not started</x:v>
      </x:c>
      <x:c r="M249" s="87" t="n">
        <x:f>IF($P249="","",INDEX(Tasks!$J$10:$J$1941,$P249))</x:f>
        <x:v>46295</x:v>
      </x:c>
      <x:c r="N249" s="85" t="str">
        <x:f>IF($P249="","",HYPERLINK("#'"&amp;INDEX(Tasks!$T$10:$T$1941,$P249)&amp;"'!A"&amp;INDEX(Tasks!$U$10:$U$1941,$P249),"Open"))</x:f>
        <x:v>Open</x:v>
      </x:c>
      <x:c r="O249" s="14"/>
      <x:c r="P249" s="14" t="n">
        <x:f>IF(228&gt;$B$10,"",MATCH(228,Tasks!$S$10:$S$1941,0))</x:f>
        <x:v>462</x:v>
      </x:c>
    </x:row>
    <x:row r="250" ht="58" customHeight="1">
      <x:c r="B250" s="86" t="str">
        <x:f>IF($P250="","",INDEX(Tasks!$B$10:$B$1941,$P250))</x:f>
        <x:v>Cycle 3</x:v>
      </x:c>
      <x:c r="C250" s="86" t="str">
        <x:f>IF($P250="","",INDEX(Tasks!$C$10:$C$1941,$P250))</x:f>
        <x:v>Phase 2</x:v>
      </x:c>
      <x:c r="D250" s="86" t="str">
        <x:f>IF($P250="","",INDEX(Tasks!$D$10:$D$1941,$P250))</x:f>
        <x:v>CSBBO - Customer Service</x:v>
      </x:c>
      <x:c r="E250" s="86"/>
      <x:c r="F250" s="86" t="str">
        <x:f>IF($P250="","",INDEX(Tasks!$E$10:$E$1941,$P250))</x:f>
        <x:v>Data &amp; Reporting</x:v>
      </x:c>
      <x:c r="G250" s="86"/>
      <x:c r="H250" s="14" t="str">
        <x:f>IF($P250="","",INDEX(Tasks!$F$10:$F$1941,$P250)&amp;CHAR(10)&amp;INDEX(Tasks!$G$10:$G$1941,$P250))</x:f>
        <x:v>DR.CS.2.5
Ensure topic is not a duplicate from a previous Cycle</x:v>
      </x:c>
      <x:c r="I250" s="14"/>
      <x:c r="J250" s="14"/>
      <x:c r="K250" s="14"/>
      <x:c r="L250" s="86" t="str">
        <x:f>IF($P250="","",INDEX(Tasks!$N$10:$N$1941,$P250))</x:f>
        <x:v>Not started</x:v>
      </x:c>
      <x:c r="M250" s="87" t="n">
        <x:f>IF($P250="","",INDEX(Tasks!$J$10:$J$1941,$P250))</x:f>
        <x:v>46295</x:v>
      </x:c>
      <x:c r="N250" s="85" t="str">
        <x:f>IF($P250="","",HYPERLINK("#'"&amp;INDEX(Tasks!$T$10:$T$1941,$P250)&amp;"'!A"&amp;INDEX(Tasks!$U$10:$U$1941,$P250),"Open"))</x:f>
        <x:v>Open</x:v>
      </x:c>
      <x:c r="O250" s="14"/>
      <x:c r="P250" s="14" t="n">
        <x:f>IF(229&gt;$B$10,"",MATCH(229,Tasks!$S$10:$S$1941,0))</x:f>
        <x:v>463</x:v>
      </x:c>
    </x:row>
    <x:row r="251" ht="58" customHeight="1">
      <x:c r="B251" s="86" t="str">
        <x:f>IF($P251="","",INDEX(Tasks!$B$10:$B$1941,$P251))</x:f>
        <x:v>Cycle 3</x:v>
      </x:c>
      <x:c r="C251" s="86" t="str">
        <x:f>IF($P251="","",INDEX(Tasks!$C$10:$C$1941,$P251))</x:f>
        <x:v>Phase 2</x:v>
      </x:c>
      <x:c r="D251" s="86" t="str">
        <x:f>IF($P251="","",INDEX(Tasks!$D$10:$D$1941,$P251))</x:f>
        <x:v>CSBBO - Customer Service</x:v>
      </x:c>
      <x:c r="E251" s="86"/>
      <x:c r="F251" s="86" t="str">
        <x:f>IF($P251="","",INDEX(Tasks!$E$10:$E$1941,$P251))</x:f>
        <x:v>Data &amp; Reporting</x:v>
      </x:c>
      <x:c r="G251" s="86"/>
      <x:c r="H251" s="14" t="str">
        <x:f>IF($P251="","",INDEX(Tasks!$F$10:$F$1941,$P251)&amp;CHAR(10)&amp;INDEX(Tasks!$G$10:$G$1941,$P251))</x:f>
        <x:v>DR.CS.2.6
Document clear distinctions between facts, assumptions, and hypotheses within the data package</x:v>
      </x:c>
      <x:c r="I251" s="14"/>
      <x:c r="J251" s="14"/>
      <x:c r="K251" s="14"/>
      <x:c r="L251" s="86" t="str">
        <x:f>IF($P251="","",INDEX(Tasks!$N$10:$N$1941,$P251))</x:f>
        <x:v>Not started</x:v>
      </x:c>
      <x:c r="M251" s="87" t="n">
        <x:f>IF($P251="","",INDEX(Tasks!$J$10:$J$1941,$P251))</x:f>
        <x:v>46295</x:v>
      </x:c>
      <x:c r="N251" s="85" t="str">
        <x:f>IF($P251="","",HYPERLINK("#'"&amp;INDEX(Tasks!$T$10:$T$1941,$P251)&amp;"'!A"&amp;INDEX(Tasks!$U$10:$U$1941,$P251),"Open"))</x:f>
        <x:v>Open</x:v>
      </x:c>
      <x:c r="O251" s="14"/>
      <x:c r="P251" s="14" t="n">
        <x:f>IF(230&gt;$B$10,"",MATCH(230,Tasks!$S$10:$S$1941,0))</x:f>
        <x:v>464</x:v>
      </x:c>
    </x:row>
    <x:row r="252" ht="58" customHeight="1">
      <x:c r="B252" s="86" t="str">
        <x:f>IF($P252="","",INDEX(Tasks!$B$10:$B$1941,$P252))</x:f>
        <x:v>Cycle 3</x:v>
      </x:c>
      <x:c r="C252" s="86" t="str">
        <x:f>IF($P252="","",INDEX(Tasks!$C$10:$C$1941,$P252))</x:f>
        <x:v>Phase 3</x:v>
      </x:c>
      <x:c r="D252" s="86" t="str">
        <x:f>IF($P252="","",INDEX(Tasks!$D$10:$D$1941,$P252))</x:f>
        <x:v>CSBBO - Customer Service</x:v>
      </x:c>
      <x:c r="E252" s="86"/>
      <x:c r="F252" s="86" t="str">
        <x:f>IF($P252="","",INDEX(Tasks!$E$10:$E$1941,$P252))</x:f>
        <x:v>Data &amp; Reporting</x:v>
      </x:c>
      <x:c r="G252" s="86"/>
      <x:c r="H252" s="14" t="str">
        <x:f>IF($P252="","",INDEX(Tasks!$F$10:$F$1941,$P252)&amp;CHAR(10)&amp;INDEX(Tasks!$G$10:$G$1941,$P252))</x:f>
        <x:v>DR.CS.3.1
Clearly document rationale for each topic recommendation within the SharePoint list item</x:v>
      </x:c>
      <x:c r="I252" s="14"/>
      <x:c r="J252" s="14"/>
      <x:c r="K252" s="14"/>
      <x:c r="L252" s="86" t="str">
        <x:f>IF($P252="","",INDEX(Tasks!$N$10:$N$1941,$P252))</x:f>
        <x:v>Not started</x:v>
      </x:c>
      <x:c r="M252" s="87" t="n">
        <x:f>IF($P252="","",INDEX(Tasks!$J$10:$J$1941,$P252))</x:f>
        <x:v>46295</x:v>
      </x:c>
      <x:c r="N252" s="85" t="str">
        <x:f>IF($P252="","",HYPERLINK("#'"&amp;INDEX(Tasks!$T$10:$T$1941,$P252)&amp;"'!A"&amp;INDEX(Tasks!$U$10:$U$1941,$P252),"Open"))</x:f>
        <x:v>Open</x:v>
      </x:c>
      <x:c r="O252" s="14"/>
      <x:c r="P252" s="14" t="n">
        <x:f>IF(231&gt;$B$10,"",MATCH(231,Tasks!$S$10:$S$1941,0))</x:f>
        <x:v>465</x:v>
      </x:c>
    </x:row>
    <x:row r="253" ht="58" customHeight="1">
      <x:c r="B253" s="86" t="str">
        <x:f>IF($P253="","",INDEX(Tasks!$B$10:$B$1941,$P253))</x:f>
        <x:v>Cycle 3</x:v>
      </x:c>
      <x:c r="C253" s="86" t="str">
        <x:f>IF($P253="","",INDEX(Tasks!$C$10:$C$1941,$P253))</x:f>
        <x:v>Phase 3</x:v>
      </x:c>
      <x:c r="D253" s="86" t="str">
        <x:f>IF($P253="","",INDEX(Tasks!$D$10:$D$1941,$P253))</x:f>
        <x:v>CSBBO - Customer Service</x:v>
      </x:c>
      <x:c r="E253" s="86"/>
      <x:c r="F253" s="86" t="str">
        <x:f>IF($P253="","",INDEX(Tasks!$E$10:$E$1941,$P253))</x:f>
        <x:v>Data &amp; Reporting</x:v>
      </x:c>
      <x:c r="G253" s="86"/>
      <x:c r="H253" s="14" t="str">
        <x:f>IF($P253="","",INDEX(Tasks!$F$10:$F$1941,$P253)&amp;CHAR(10)&amp;INDEX(Tasks!$G$10:$G$1941,$P253))</x:f>
        <x:v>DR.CS.3.2
Attach the data package for each topic recommendation within the SharePoint list item</x:v>
      </x:c>
      <x:c r="I253" s="14"/>
      <x:c r="J253" s="14"/>
      <x:c r="K253" s="14"/>
      <x:c r="L253" s="86" t="str">
        <x:f>IF($P253="","",INDEX(Tasks!$N$10:$N$1941,$P253))</x:f>
        <x:v>Not started</x:v>
      </x:c>
      <x:c r="M253" s="87" t="n">
        <x:f>IF($P253="","",INDEX(Tasks!$J$10:$J$1941,$P253))</x:f>
        <x:v>46295</x:v>
      </x:c>
      <x:c r="N253" s="85" t="str">
        <x:f>IF($P253="","",HYPERLINK("#'"&amp;INDEX(Tasks!$T$10:$T$1941,$P253)&amp;"'!A"&amp;INDEX(Tasks!$U$10:$U$1941,$P253),"Open"))</x:f>
        <x:v>Open</x:v>
      </x:c>
      <x:c r="O253" s="14"/>
      <x:c r="P253" s="14" t="n">
        <x:f>IF(232&gt;$B$10,"",MATCH(232,Tasks!$S$10:$S$1941,0))</x:f>
        <x:v>466</x:v>
      </x:c>
    </x:row>
    <x:row r="254" ht="58" customHeight="1">
      <x:c r="B254" s="86" t="str">
        <x:f>IF($P254="","",INDEX(Tasks!$B$10:$B$1941,$P254))</x:f>
        <x:v>Cycle 3</x:v>
      </x:c>
      <x:c r="C254" s="86" t="str">
        <x:f>IF($P254="","",INDEX(Tasks!$C$10:$C$1941,$P254))</x:f>
        <x:v>Phase 3</x:v>
      </x:c>
      <x:c r="D254" s="86" t="str">
        <x:f>IF($P254="","",INDEX(Tasks!$D$10:$D$1941,$P254))</x:f>
        <x:v>CSBBO - Customer Service</x:v>
      </x:c>
      <x:c r="E254" s="86"/>
      <x:c r="F254" s="86" t="str">
        <x:f>IF($P254="","",INDEX(Tasks!$E$10:$E$1941,$P254))</x:f>
        <x:v>Data &amp; Reporting</x:v>
      </x:c>
      <x:c r="G254" s="86"/>
      <x:c r="H254" s="14" t="str">
        <x:f>IF($P254="","",INDEX(Tasks!$F$10:$F$1941,$P254)&amp;CHAR(10)&amp;INDEX(Tasks!$G$10:$G$1941,$P254))</x:f>
        <x:v>DR.CS.3.3
Confirm data privileges have been granted, ensuring each pillar can access</x:v>
      </x:c>
      <x:c r="I254" s="14"/>
      <x:c r="J254" s="14"/>
      <x:c r="K254" s="14"/>
      <x:c r="L254" s="86" t="str">
        <x:f>IF($P254="","",INDEX(Tasks!$N$10:$N$1941,$P254))</x:f>
        <x:v>Not started</x:v>
      </x:c>
      <x:c r="M254" s="87" t="n">
        <x:f>IF($P254="","",INDEX(Tasks!$J$10:$J$1941,$P254))</x:f>
        <x:v>46295</x:v>
      </x:c>
      <x:c r="N254" s="85" t="str">
        <x:f>IF($P254="","",HYPERLINK("#'"&amp;INDEX(Tasks!$T$10:$T$1941,$P254)&amp;"'!A"&amp;INDEX(Tasks!$U$10:$U$1941,$P254),"Open"))</x:f>
        <x:v>Open</x:v>
      </x:c>
      <x:c r="O254" s="14"/>
      <x:c r="P254" s="14" t="n">
        <x:f>IF(233&gt;$B$10,"",MATCH(233,Tasks!$S$10:$S$1941,0))</x:f>
        <x:v>467</x:v>
      </x:c>
    </x:row>
    <x:row r="255" ht="58" customHeight="1">
      <x:c r="B255" s="86" t="str">
        <x:f>IF($P255="","",INDEX(Tasks!$B$10:$B$1941,$P255))</x:f>
        <x:v>Cycle 3</x:v>
      </x:c>
      <x:c r="C255" s="86" t="str">
        <x:f>IF($P255="","",INDEX(Tasks!$C$10:$C$1941,$P255))</x:f>
        <x:v>Phase 3</x:v>
      </x:c>
      <x:c r="D255" s="86" t="str">
        <x:f>IF($P255="","",INDEX(Tasks!$D$10:$D$1941,$P255))</x:f>
        <x:v>CSBBO - Customer Service</x:v>
      </x:c>
      <x:c r="E255" s="86"/>
      <x:c r="F255" s="86" t="str">
        <x:f>IF($P255="","",INDEX(Tasks!$E$10:$E$1941,$P255))</x:f>
        <x:v>Data &amp; Reporting</x:v>
      </x:c>
      <x:c r="G255" s="86"/>
      <x:c r="H255" s="14" t="str">
        <x:f>IF($P255="","",INDEX(Tasks!$F$10:$F$1941,$P255)&amp;CHAR(10)&amp;INDEX(Tasks!$G$10:$G$1941,$P255))</x:f>
        <x:v>DR.CS.3.4
Ensure Power Automate notifications were correctly triggered within Microsoft Teams</x:v>
      </x:c>
      <x:c r="I255" s="14"/>
      <x:c r="J255" s="14"/>
      <x:c r="K255" s="14"/>
      <x:c r="L255" s="86" t="str">
        <x:f>IF($P255="","",INDEX(Tasks!$N$10:$N$1941,$P255))</x:f>
        <x:v>Not started</x:v>
      </x:c>
      <x:c r="M255" s="87" t="n">
        <x:f>IF($P255="","",INDEX(Tasks!$J$10:$J$1941,$P255))</x:f>
        <x:v>46295</x:v>
      </x:c>
      <x:c r="N255" s="85" t="str">
        <x:f>IF($P255="","",HYPERLINK("#'"&amp;INDEX(Tasks!$T$10:$T$1941,$P255)&amp;"'!A"&amp;INDEX(Tasks!$U$10:$U$1941,$P255),"Open"))</x:f>
        <x:v>Open</x:v>
      </x:c>
      <x:c r="O255" s="14"/>
      <x:c r="P255" s="14" t="n">
        <x:f>IF(234&gt;$B$10,"",MATCH(234,Tasks!$S$10:$S$1941,0))</x:f>
        <x:v>468</x:v>
      </x:c>
    </x:row>
    <x:row r="256" ht="58" customHeight="1">
      <x:c r="B256" s="86" t="str">
        <x:f>IF($P256="","",INDEX(Tasks!$B$10:$B$1941,$P256))</x:f>
        <x:v>Cycle 3</x:v>
      </x:c>
      <x:c r="C256" s="86" t="str">
        <x:f>IF($P256="","",INDEX(Tasks!$C$10:$C$1941,$P256))</x:f>
        <x:v>Phase 1</x:v>
      </x:c>
      <x:c r="D256" s="86" t="str">
        <x:f>IF($P256="","",INDEX(Tasks!$D$10:$D$1941,$P256))</x:f>
        <x:v>FCM</x:v>
      </x:c>
      <x:c r="E256" s="86"/>
      <x:c r="F256" s="86" t="str">
        <x:f>IF($P256="","",INDEX(Tasks!$E$10:$E$1941,$P256))</x:f>
        <x:v>Data &amp; Reporting</x:v>
      </x:c>
      <x:c r="G256" s="86"/>
      <x:c r="H256" s="14" t="str">
        <x:f>IF($P256="","",INDEX(Tasks!$F$10:$F$1941,$P256)&amp;CHAR(10)&amp;INDEX(Tasks!$G$10:$G$1941,$P256))</x:f>
        <x:v>DR.FC.1.1
Review data sources 3 weeks prior to Cycle start (Complaints, Gen AI, Loudspeaker, NPS, etc.)</x:v>
      </x:c>
      <x:c r="I256" s="14"/>
      <x:c r="J256" s="14"/>
      <x:c r="K256" s="14"/>
      <x:c r="L256" s="86" t="str">
        <x:f>IF($P256="","",INDEX(Tasks!$N$10:$N$1941,$P256))</x:f>
        <x:v>Not started</x:v>
      </x:c>
      <x:c r="M256" s="87" t="n">
        <x:f>IF($P256="","",INDEX(Tasks!$J$10:$J$1941,$P256))</x:f>
        <x:v>46183</x:v>
      </x:c>
      <x:c r="N256" s="85" t="str">
        <x:f>IF($P256="","",HYPERLINK("#'"&amp;INDEX(Tasks!$T$10:$T$1941,$P256)&amp;"'!A"&amp;INDEX(Tasks!$U$10:$U$1941,$P256),"Open"))</x:f>
        <x:v>Open</x:v>
      </x:c>
      <x:c r="O256" s="14"/>
      <x:c r="P256" s="14" t="n">
        <x:f>IF(235&gt;$B$10,"",MATCH(235,Tasks!$S$10:$S$1941,0))</x:f>
        <x:v>469</x:v>
      </x:c>
    </x:row>
    <x:row r="257" ht="58" customHeight="1">
      <x:c r="B257" s="86" t="str">
        <x:f>IF($P257="","",INDEX(Tasks!$B$10:$B$1941,$P257))</x:f>
        <x:v>Cycle 3</x:v>
      </x:c>
      <x:c r="C257" s="86" t="str">
        <x:f>IF($P257="","",INDEX(Tasks!$C$10:$C$1941,$P257))</x:f>
        <x:v>Phase 1</x:v>
      </x:c>
      <x:c r="D257" s="86" t="str">
        <x:f>IF($P257="","",INDEX(Tasks!$D$10:$D$1941,$P257))</x:f>
        <x:v>FCM</x:v>
      </x:c>
      <x:c r="E257" s="86"/>
      <x:c r="F257" s="86" t="str">
        <x:f>IF($P257="","",INDEX(Tasks!$E$10:$E$1941,$P257))</x:f>
        <x:v>Data &amp; Reporting</x:v>
      </x:c>
      <x:c r="G257" s="86"/>
      <x:c r="H257" s="14" t="str">
        <x:f>IF($P257="","",INDEX(Tasks!$F$10:$F$1941,$P257)&amp;CHAR(10)&amp;INDEX(Tasks!$G$10:$G$1941,$P257))</x:f>
        <x:v>DR.FC.1.2
Identify two potential topics for the upcoming Cycle</x:v>
      </x:c>
      <x:c r="I257" s="14"/>
      <x:c r="J257" s="14"/>
      <x:c r="K257" s="14"/>
      <x:c r="L257" s="86" t="str">
        <x:f>IF($P257="","",INDEX(Tasks!$N$10:$N$1941,$P257))</x:f>
        <x:v>Not started</x:v>
      </x:c>
      <x:c r="M257" s="87" t="n">
        <x:f>IF($P257="","",INDEX(Tasks!$J$10:$J$1941,$P257))</x:f>
        <x:v>46295</x:v>
      </x:c>
      <x:c r="N257" s="85" t="str">
        <x:f>IF($P257="","",HYPERLINK("#'"&amp;INDEX(Tasks!$T$10:$T$1941,$P257)&amp;"'!A"&amp;INDEX(Tasks!$U$10:$U$1941,$P257),"Open"))</x:f>
        <x:v>Open</x:v>
      </x:c>
      <x:c r="O257" s="14"/>
      <x:c r="P257" s="14" t="n">
        <x:f>IF(236&gt;$B$10,"",MATCH(236,Tasks!$S$10:$S$1941,0))</x:f>
        <x:v>470</x:v>
      </x:c>
    </x:row>
    <x:row r="258" ht="58" customHeight="1">
      <x:c r="B258" s="86" t="str">
        <x:f>IF($P258="","",INDEX(Tasks!$B$10:$B$1941,$P258))</x:f>
        <x:v>Cycle 3</x:v>
      </x:c>
      <x:c r="C258" s="86" t="str">
        <x:f>IF($P258="","",INDEX(Tasks!$C$10:$C$1941,$P258))</x:f>
        <x:v>Phase 1</x:v>
      </x:c>
      <x:c r="D258" s="86" t="str">
        <x:f>IF($P258="","",INDEX(Tasks!$D$10:$D$1941,$P258))</x:f>
        <x:v>FCM</x:v>
      </x:c>
      <x:c r="E258" s="86"/>
      <x:c r="F258" s="86" t="str">
        <x:f>IF($P258="","",INDEX(Tasks!$E$10:$E$1941,$P258))</x:f>
        <x:v>Data &amp; Reporting</x:v>
      </x:c>
      <x:c r="G258" s="86"/>
      <x:c r="H258" s="14" t="str">
        <x:f>IF($P258="","",INDEX(Tasks!$F$10:$F$1941,$P258)&amp;CHAR(10)&amp;INDEX(Tasks!$G$10:$G$1941,$P258))</x:f>
        <x:v>DR.FC.1.3
Extract data for both potential topics, ensuring all checklist items below are included/completed</x:v>
      </x:c>
      <x:c r="I258" s="14"/>
      <x:c r="J258" s="14"/>
      <x:c r="K258" s="14"/>
      <x:c r="L258" s="86" t="str">
        <x:f>IF($P258="","",INDEX(Tasks!$N$10:$N$1941,$P258))</x:f>
        <x:v>Not started</x:v>
      </x:c>
      <x:c r="M258" s="87" t="n">
        <x:f>IF($P258="","",INDEX(Tasks!$J$10:$J$1941,$P258))</x:f>
        <x:v>46295</x:v>
      </x:c>
      <x:c r="N258" s="85" t="str">
        <x:f>IF($P258="","",HYPERLINK("#'"&amp;INDEX(Tasks!$T$10:$T$1941,$P258)&amp;"'!A"&amp;INDEX(Tasks!$U$10:$U$1941,$P258),"Open"))</x:f>
        <x:v>Open</x:v>
      </x:c>
      <x:c r="O258" s="14"/>
      <x:c r="P258" s="14" t="n">
        <x:f>IF(237&gt;$B$10,"",MATCH(237,Tasks!$S$10:$S$1941,0))</x:f>
        <x:v>471</x:v>
      </x:c>
    </x:row>
    <x:row r="259" ht="58" customHeight="1">
      <x:c r="B259" s="86" t="str">
        <x:f>IF($P259="","",INDEX(Tasks!$B$10:$B$1941,$P259))</x:f>
        <x:v>Cycle 3</x:v>
      </x:c>
      <x:c r="C259" s="86" t="str">
        <x:f>IF($P259="","",INDEX(Tasks!$C$10:$C$1941,$P259))</x:f>
        <x:v>Phase 2</x:v>
      </x:c>
      <x:c r="D259" s="86" t="str">
        <x:f>IF($P259="","",INDEX(Tasks!$D$10:$D$1941,$P259))</x:f>
        <x:v>FCM</x:v>
      </x:c>
      <x:c r="E259" s="86"/>
      <x:c r="F259" s="86" t="str">
        <x:f>IF($P259="","",INDEX(Tasks!$E$10:$E$1941,$P259))</x:f>
        <x:v>Data &amp; Reporting</x:v>
      </x:c>
      <x:c r="G259" s="86"/>
      <x:c r="H259" s="14" t="str">
        <x:f>IF($P259="","",INDEX(Tasks!$F$10:$F$1941,$P259)&amp;CHAR(10)&amp;INDEX(Tasks!$G$10:$G$1941,$P259))</x:f>
        <x:v>DR.FC.2.1
Ensure data is clean, structured, and usable without manipulation needed</x:v>
      </x:c>
      <x:c r="I259" s="14"/>
      <x:c r="J259" s="14"/>
      <x:c r="K259" s="14"/>
      <x:c r="L259" s="86" t="str">
        <x:f>IF($P259="","",INDEX(Tasks!$N$10:$N$1941,$P259))</x:f>
        <x:v>Not started</x:v>
      </x:c>
      <x:c r="M259" s="87" t="n">
        <x:f>IF($P259="","",INDEX(Tasks!$J$10:$J$1941,$P259))</x:f>
        <x:v>46295</x:v>
      </x:c>
      <x:c r="N259" s="85" t="str">
        <x:f>IF($P259="","",HYPERLINK("#'"&amp;INDEX(Tasks!$T$10:$T$1941,$P259)&amp;"'!A"&amp;INDEX(Tasks!$U$10:$U$1941,$P259),"Open"))</x:f>
        <x:v>Open</x:v>
      </x:c>
      <x:c r="O259" s="14"/>
      <x:c r="P259" s="14" t="n">
        <x:f>IF(238&gt;$B$10,"",MATCH(238,Tasks!$S$10:$S$1941,0))</x:f>
        <x:v>485</x:v>
      </x:c>
    </x:row>
    <x:row r="260" ht="58" customHeight="1">
      <x:c r="B260" s="86" t="str">
        <x:f>IF($P260="","",INDEX(Tasks!$B$10:$B$1941,$P260))</x:f>
        <x:v>Cycle 3</x:v>
      </x:c>
      <x:c r="C260" s="86" t="str">
        <x:f>IF($P260="","",INDEX(Tasks!$C$10:$C$1941,$P260))</x:f>
        <x:v>Phase 2</x:v>
      </x:c>
      <x:c r="D260" s="86" t="str">
        <x:f>IF($P260="","",INDEX(Tasks!$D$10:$D$1941,$P260))</x:f>
        <x:v>FCM</x:v>
      </x:c>
      <x:c r="E260" s="86"/>
      <x:c r="F260" s="86" t="str">
        <x:f>IF($P260="","",INDEX(Tasks!$E$10:$E$1941,$P260))</x:f>
        <x:v>Data &amp; Reporting</x:v>
      </x:c>
      <x:c r="G260" s="86"/>
      <x:c r="H260" s="14" t="str">
        <x:f>IF($P260="","",INDEX(Tasks!$F$10:$F$1941,$P260)&amp;CHAR(10)&amp;INDEX(Tasks!$G$10:$G$1941,$P260))</x:f>
        <x:v>DR.FC.2.2
Clearly document rationale for each topic recommendation within the SharePoint list</x:v>
      </x:c>
      <x:c r="I260" s="14"/>
      <x:c r="J260" s="14"/>
      <x:c r="K260" s="14"/>
      <x:c r="L260" s="86" t="str">
        <x:f>IF($P260="","",INDEX(Tasks!$N$10:$N$1941,$P260))</x:f>
        <x:v>Not started</x:v>
      </x:c>
      <x:c r="M260" s="87" t="n">
        <x:f>IF($P260="","",INDEX(Tasks!$J$10:$J$1941,$P260))</x:f>
        <x:v>46295</x:v>
      </x:c>
      <x:c r="N260" s="85" t="str">
        <x:f>IF($P260="","",HYPERLINK("#'"&amp;INDEX(Tasks!$T$10:$T$1941,$P260)&amp;"'!A"&amp;INDEX(Tasks!$U$10:$U$1941,$P260),"Open"))</x:f>
        <x:v>Open</x:v>
      </x:c>
      <x:c r="O260" s="14"/>
      <x:c r="P260" s="14" t="n">
        <x:f>IF(239&gt;$B$10,"",MATCH(239,Tasks!$S$10:$S$1941,0))</x:f>
        <x:v>486</x:v>
      </x:c>
    </x:row>
    <x:row r="261" ht="58" customHeight="1">
      <x:c r="B261" s="86" t="str">
        <x:f>IF($P261="","",INDEX(Tasks!$B$10:$B$1941,$P261))</x:f>
        <x:v>Cycle 3</x:v>
      </x:c>
      <x:c r="C261" s="86" t="str">
        <x:f>IF($P261="","",INDEX(Tasks!$C$10:$C$1941,$P261))</x:f>
        <x:v>Phase 2</x:v>
      </x:c>
      <x:c r="D261" s="86" t="str">
        <x:f>IF($P261="","",INDEX(Tasks!$D$10:$D$1941,$P261))</x:f>
        <x:v>FCM</x:v>
      </x:c>
      <x:c r="E261" s="86"/>
      <x:c r="F261" s="86" t="str">
        <x:f>IF($P261="","",INDEX(Tasks!$E$10:$E$1941,$P261))</x:f>
        <x:v>Data &amp; Reporting</x:v>
      </x:c>
      <x:c r="G261" s="86"/>
      <x:c r="H261" s="14" t="str">
        <x:f>IF($P261="","",INDEX(Tasks!$F$10:$F$1941,$P261)&amp;CHAR(10)&amp;INDEX(Tasks!$G$10:$G$1941,$P261))</x:f>
        <x:v>DR.FC.2.3
Verify topic is eligible for RCA and does not conflict with Attorney Client Privilege</x:v>
      </x:c>
      <x:c r="I261" s="14"/>
      <x:c r="J261" s="14"/>
      <x:c r="K261" s="14"/>
      <x:c r="L261" s="86" t="str">
        <x:f>IF($P261="","",INDEX(Tasks!$N$10:$N$1941,$P261))</x:f>
        <x:v>Not started</x:v>
      </x:c>
      <x:c r="M261" s="87" t="n">
        <x:f>IF($P261="","",INDEX(Tasks!$J$10:$J$1941,$P261))</x:f>
        <x:v>46295</x:v>
      </x:c>
      <x:c r="N261" s="85" t="str">
        <x:f>IF($P261="","",HYPERLINK("#'"&amp;INDEX(Tasks!$T$10:$T$1941,$P261)&amp;"'!A"&amp;INDEX(Tasks!$U$10:$U$1941,$P261),"Open"))</x:f>
        <x:v>Open</x:v>
      </x:c>
      <x:c r="O261" s="14"/>
      <x:c r="P261" s="14" t="n">
        <x:f>IF(240&gt;$B$10,"",MATCH(240,Tasks!$S$10:$S$1941,0))</x:f>
        <x:v>487</x:v>
      </x:c>
    </x:row>
    <x:row r="262" ht="58" customHeight="1">
      <x:c r="B262" s="86" t="str">
        <x:f>IF($P262="","",INDEX(Tasks!$B$10:$B$1941,$P262))</x:f>
        <x:v>Cycle 3</x:v>
      </x:c>
      <x:c r="C262" s="86" t="str">
        <x:f>IF($P262="","",INDEX(Tasks!$C$10:$C$1941,$P262))</x:f>
        <x:v>Phase 2</x:v>
      </x:c>
      <x:c r="D262" s="86" t="str">
        <x:f>IF($P262="","",INDEX(Tasks!$D$10:$D$1941,$P262))</x:f>
        <x:v>FCM</x:v>
      </x:c>
      <x:c r="E262" s="86"/>
      <x:c r="F262" s="86" t="str">
        <x:f>IF($P262="","",INDEX(Tasks!$E$10:$E$1941,$P262))</x:f>
        <x:v>Data &amp; Reporting</x:v>
      </x:c>
      <x:c r="G262" s="86"/>
      <x:c r="H262" s="14" t="str">
        <x:f>IF($P262="","",INDEX(Tasks!$F$10:$F$1941,$P262)&amp;CHAR(10)&amp;INDEX(Tasks!$G$10:$G$1941,$P262))</x:f>
        <x:v>DR.FC.2.4
Ensure data is free of errors and anomalies prior to hand-off to Research</x:v>
      </x:c>
      <x:c r="I262" s="14"/>
      <x:c r="J262" s="14"/>
      <x:c r="K262" s="14"/>
      <x:c r="L262" s="86" t="str">
        <x:f>IF($P262="","",INDEX(Tasks!$N$10:$N$1941,$P262))</x:f>
        <x:v>Not started</x:v>
      </x:c>
      <x:c r="M262" s="87" t="n">
        <x:f>IF($P262="","",INDEX(Tasks!$J$10:$J$1941,$P262))</x:f>
        <x:v>46295</x:v>
      </x:c>
      <x:c r="N262" s="85" t="str">
        <x:f>IF($P262="","",HYPERLINK("#'"&amp;INDEX(Tasks!$T$10:$T$1941,$P262)&amp;"'!A"&amp;INDEX(Tasks!$U$10:$U$1941,$P262),"Open"))</x:f>
        <x:v>Open</x:v>
      </x:c>
      <x:c r="O262" s="14"/>
      <x:c r="P262" s="14" t="n">
        <x:f>IF(241&gt;$B$10,"",MATCH(241,Tasks!$S$10:$S$1941,0))</x:f>
        <x:v>488</x:v>
      </x:c>
    </x:row>
    <x:row r="263" ht="58" customHeight="1">
      <x:c r="B263" s="86" t="str">
        <x:f>IF($P263="","",INDEX(Tasks!$B$10:$B$1941,$P263))</x:f>
        <x:v>Cycle 3</x:v>
      </x:c>
      <x:c r="C263" s="86" t="str">
        <x:f>IF($P263="","",INDEX(Tasks!$C$10:$C$1941,$P263))</x:f>
        <x:v>Phase 2</x:v>
      </x:c>
      <x:c r="D263" s="86" t="str">
        <x:f>IF($P263="","",INDEX(Tasks!$D$10:$D$1941,$P263))</x:f>
        <x:v>FCM</x:v>
      </x:c>
      <x:c r="E263" s="86"/>
      <x:c r="F263" s="86" t="str">
        <x:f>IF($P263="","",INDEX(Tasks!$E$10:$E$1941,$P263))</x:f>
        <x:v>Data &amp; Reporting</x:v>
      </x:c>
      <x:c r="G263" s="86"/>
      <x:c r="H263" s="14" t="str">
        <x:f>IF($P263="","",INDEX(Tasks!$F$10:$F$1941,$P263)&amp;CHAR(10)&amp;INDEX(Tasks!$G$10:$G$1941,$P263))</x:f>
        <x:v>DR.FC.2.5
Ensure topic is not a duplicate from a previous Cycle</x:v>
      </x:c>
      <x:c r="I263" s="14"/>
      <x:c r="J263" s="14"/>
      <x:c r="K263" s="14"/>
      <x:c r="L263" s="86" t="str">
        <x:f>IF($P263="","",INDEX(Tasks!$N$10:$N$1941,$P263))</x:f>
        <x:v>Not started</x:v>
      </x:c>
      <x:c r="M263" s="87" t="n">
        <x:f>IF($P263="","",INDEX(Tasks!$J$10:$J$1941,$P263))</x:f>
        <x:v>46295</x:v>
      </x:c>
      <x:c r="N263" s="85" t="str">
        <x:f>IF($P263="","",HYPERLINK("#'"&amp;INDEX(Tasks!$T$10:$T$1941,$P263)&amp;"'!A"&amp;INDEX(Tasks!$U$10:$U$1941,$P263),"Open"))</x:f>
        <x:v>Open</x:v>
      </x:c>
      <x:c r="O263" s="14"/>
      <x:c r="P263" s="14" t="n">
        <x:f>IF(242&gt;$B$10,"",MATCH(242,Tasks!$S$10:$S$1941,0))</x:f>
        <x:v>489</x:v>
      </x:c>
    </x:row>
    <x:row r="264" ht="58" customHeight="1">
      <x:c r="B264" s="86" t="str">
        <x:f>IF($P264="","",INDEX(Tasks!$B$10:$B$1941,$P264))</x:f>
        <x:v>Cycle 3</x:v>
      </x:c>
      <x:c r="C264" s="86" t="str">
        <x:f>IF($P264="","",INDEX(Tasks!$C$10:$C$1941,$P264))</x:f>
        <x:v>Phase 2</x:v>
      </x:c>
      <x:c r="D264" s="86" t="str">
        <x:f>IF($P264="","",INDEX(Tasks!$D$10:$D$1941,$P264))</x:f>
        <x:v>FCM</x:v>
      </x:c>
      <x:c r="E264" s="86"/>
      <x:c r="F264" s="86" t="str">
        <x:f>IF($P264="","",INDEX(Tasks!$E$10:$E$1941,$P264))</x:f>
        <x:v>Data &amp; Reporting</x:v>
      </x:c>
      <x:c r="G264" s="86"/>
      <x:c r="H264" s="14" t="str">
        <x:f>IF($P264="","",INDEX(Tasks!$F$10:$F$1941,$P264)&amp;CHAR(10)&amp;INDEX(Tasks!$G$10:$G$1941,$P264))</x:f>
        <x:v>DR.FC.2.6
Document clear distinctions between facts, assumptions, and hypotheses within the data package</x:v>
      </x:c>
      <x:c r="I264" s="14"/>
      <x:c r="J264" s="14"/>
      <x:c r="K264" s="14"/>
      <x:c r="L264" s="86" t="str">
        <x:f>IF($P264="","",INDEX(Tasks!$N$10:$N$1941,$P264))</x:f>
        <x:v>Not started</x:v>
      </x:c>
      <x:c r="M264" s="87" t="n">
        <x:f>IF($P264="","",INDEX(Tasks!$J$10:$J$1941,$P264))</x:f>
        <x:v>46295</x:v>
      </x:c>
      <x:c r="N264" s="85" t="str">
        <x:f>IF($P264="","",HYPERLINK("#'"&amp;INDEX(Tasks!$T$10:$T$1941,$P264)&amp;"'!A"&amp;INDEX(Tasks!$U$10:$U$1941,$P264),"Open"))</x:f>
        <x:v>Open</x:v>
      </x:c>
      <x:c r="O264" s="14"/>
      <x:c r="P264" s="14" t="n">
        <x:f>IF(243&gt;$B$10,"",MATCH(243,Tasks!$S$10:$S$1941,0))</x:f>
        <x:v>490</x:v>
      </x:c>
    </x:row>
    <x:row r="265" ht="58" customHeight="1">
      <x:c r="B265" s="86" t="str">
        <x:f>IF($P265="","",INDEX(Tasks!$B$10:$B$1941,$P265))</x:f>
        <x:v>Cycle 3</x:v>
      </x:c>
      <x:c r="C265" s="86" t="str">
        <x:f>IF($P265="","",INDEX(Tasks!$C$10:$C$1941,$P265))</x:f>
        <x:v>Phase 3</x:v>
      </x:c>
      <x:c r="D265" s="86" t="str">
        <x:f>IF($P265="","",INDEX(Tasks!$D$10:$D$1941,$P265))</x:f>
        <x:v>FCM</x:v>
      </x:c>
      <x:c r="E265" s="86"/>
      <x:c r="F265" s="86" t="str">
        <x:f>IF($P265="","",INDEX(Tasks!$E$10:$E$1941,$P265))</x:f>
        <x:v>Data &amp; Reporting</x:v>
      </x:c>
      <x:c r="G265" s="86"/>
      <x:c r="H265" s="14" t="str">
        <x:f>IF($P265="","",INDEX(Tasks!$F$10:$F$1941,$P265)&amp;CHAR(10)&amp;INDEX(Tasks!$G$10:$G$1941,$P265))</x:f>
        <x:v>DR.FC.3.1
Clearly document rationale for each topic recommendation within the SharePoint list item</x:v>
      </x:c>
      <x:c r="I265" s="14"/>
      <x:c r="J265" s="14"/>
      <x:c r="K265" s="14"/>
      <x:c r="L265" s="86" t="str">
        <x:f>IF($P265="","",INDEX(Tasks!$N$10:$N$1941,$P265))</x:f>
        <x:v>Not started</x:v>
      </x:c>
      <x:c r="M265" s="87" t="n">
        <x:f>IF($P265="","",INDEX(Tasks!$J$10:$J$1941,$P265))</x:f>
        <x:v>46295</x:v>
      </x:c>
      <x:c r="N265" s="85" t="str">
        <x:f>IF($P265="","",HYPERLINK("#'"&amp;INDEX(Tasks!$T$10:$T$1941,$P265)&amp;"'!A"&amp;INDEX(Tasks!$U$10:$U$1941,$P265),"Open"))</x:f>
        <x:v>Open</x:v>
      </x:c>
      <x:c r="O265" s="14"/>
      <x:c r="P265" s="14" t="n">
        <x:f>IF(244&gt;$B$10,"",MATCH(244,Tasks!$S$10:$S$1941,0))</x:f>
        <x:v>491</x:v>
      </x:c>
    </x:row>
    <x:row r="266" ht="58" customHeight="1">
      <x:c r="B266" s="86" t="str">
        <x:f>IF($P266="","",INDEX(Tasks!$B$10:$B$1941,$P266))</x:f>
        <x:v>Cycle 3</x:v>
      </x:c>
      <x:c r="C266" s="86" t="str">
        <x:f>IF($P266="","",INDEX(Tasks!$C$10:$C$1941,$P266))</x:f>
        <x:v>Phase 3</x:v>
      </x:c>
      <x:c r="D266" s="86" t="str">
        <x:f>IF($P266="","",INDEX(Tasks!$D$10:$D$1941,$P266))</x:f>
        <x:v>FCM</x:v>
      </x:c>
      <x:c r="E266" s="86"/>
      <x:c r="F266" s="86" t="str">
        <x:f>IF($P266="","",INDEX(Tasks!$E$10:$E$1941,$P266))</x:f>
        <x:v>Data &amp; Reporting</x:v>
      </x:c>
      <x:c r="G266" s="86"/>
      <x:c r="H266" s="14" t="str">
        <x:f>IF($P266="","",INDEX(Tasks!$F$10:$F$1941,$P266)&amp;CHAR(10)&amp;INDEX(Tasks!$G$10:$G$1941,$P266))</x:f>
        <x:v>DR.FC.3.2
Attach the data package for each topic recommendation within the SharePoint list item</x:v>
      </x:c>
      <x:c r="I266" s="14"/>
      <x:c r="J266" s="14"/>
      <x:c r="K266" s="14"/>
      <x:c r="L266" s="86" t="str">
        <x:f>IF($P266="","",INDEX(Tasks!$N$10:$N$1941,$P266))</x:f>
        <x:v>Not started</x:v>
      </x:c>
      <x:c r="M266" s="87" t="n">
        <x:f>IF($P266="","",INDEX(Tasks!$J$10:$J$1941,$P266))</x:f>
        <x:v>46295</x:v>
      </x:c>
      <x:c r="N266" s="85" t="str">
        <x:f>IF($P266="","",HYPERLINK("#'"&amp;INDEX(Tasks!$T$10:$T$1941,$P266)&amp;"'!A"&amp;INDEX(Tasks!$U$10:$U$1941,$P266),"Open"))</x:f>
        <x:v>Open</x:v>
      </x:c>
      <x:c r="O266" s="14"/>
      <x:c r="P266" s="14" t="n">
        <x:f>IF(245&gt;$B$10,"",MATCH(245,Tasks!$S$10:$S$1941,0))</x:f>
        <x:v>492</x:v>
      </x:c>
    </x:row>
    <x:row r="267" ht="58" customHeight="1">
      <x:c r="B267" s="86" t="str">
        <x:f>IF($P267="","",INDEX(Tasks!$B$10:$B$1941,$P267))</x:f>
        <x:v>Cycle 3</x:v>
      </x:c>
      <x:c r="C267" s="86" t="str">
        <x:f>IF($P267="","",INDEX(Tasks!$C$10:$C$1941,$P267))</x:f>
        <x:v>Phase 3</x:v>
      </x:c>
      <x:c r="D267" s="86" t="str">
        <x:f>IF($P267="","",INDEX(Tasks!$D$10:$D$1941,$P267))</x:f>
        <x:v>FCM</x:v>
      </x:c>
      <x:c r="E267" s="86"/>
      <x:c r="F267" s="86" t="str">
        <x:f>IF($P267="","",INDEX(Tasks!$E$10:$E$1941,$P267))</x:f>
        <x:v>Data &amp; Reporting</x:v>
      </x:c>
      <x:c r="G267" s="86"/>
      <x:c r="H267" s="14" t="str">
        <x:f>IF($P267="","",INDEX(Tasks!$F$10:$F$1941,$P267)&amp;CHAR(10)&amp;INDEX(Tasks!$G$10:$G$1941,$P267))</x:f>
        <x:v>DR.FC.3.3
Confirm data privileges have been granted, ensuring each pillar can access</x:v>
      </x:c>
      <x:c r="I267" s="14"/>
      <x:c r="J267" s="14"/>
      <x:c r="K267" s="14"/>
      <x:c r="L267" s="86" t="str">
        <x:f>IF($P267="","",INDEX(Tasks!$N$10:$N$1941,$P267))</x:f>
        <x:v>Not started</x:v>
      </x:c>
      <x:c r="M267" s="87" t="n">
        <x:f>IF($P267="","",INDEX(Tasks!$J$10:$J$1941,$P267))</x:f>
        <x:v>46295</x:v>
      </x:c>
      <x:c r="N267" s="85" t="str">
        <x:f>IF($P267="","",HYPERLINK("#'"&amp;INDEX(Tasks!$T$10:$T$1941,$P267)&amp;"'!A"&amp;INDEX(Tasks!$U$10:$U$1941,$P267),"Open"))</x:f>
        <x:v>Open</x:v>
      </x:c>
      <x:c r="O267" s="14"/>
      <x:c r="P267" s="14" t="n">
        <x:f>IF(246&gt;$B$10,"",MATCH(246,Tasks!$S$10:$S$1941,0))</x:f>
        <x:v>493</x:v>
      </x:c>
    </x:row>
    <x:row r="268" ht="58" customHeight="1">
      <x:c r="B268" s="86" t="str">
        <x:f>IF($P268="","",INDEX(Tasks!$B$10:$B$1941,$P268))</x:f>
        <x:v>Cycle 3</x:v>
      </x:c>
      <x:c r="C268" s="86" t="str">
        <x:f>IF($P268="","",INDEX(Tasks!$C$10:$C$1941,$P268))</x:f>
        <x:v>Phase 3</x:v>
      </x:c>
      <x:c r="D268" s="86" t="str">
        <x:f>IF($P268="","",INDEX(Tasks!$D$10:$D$1941,$P268))</x:f>
        <x:v>FCM</x:v>
      </x:c>
      <x:c r="E268" s="86"/>
      <x:c r="F268" s="86" t="str">
        <x:f>IF($P268="","",INDEX(Tasks!$E$10:$E$1941,$P268))</x:f>
        <x:v>Data &amp; Reporting</x:v>
      </x:c>
      <x:c r="G268" s="86"/>
      <x:c r="H268" s="14" t="str">
        <x:f>IF($P268="","",INDEX(Tasks!$F$10:$F$1941,$P268)&amp;CHAR(10)&amp;INDEX(Tasks!$G$10:$G$1941,$P268))</x:f>
        <x:v>DR.FC.3.4
Ensure Power Automate notifications were correctly triggered within Microsoft Teams</x:v>
      </x:c>
      <x:c r="I268" s="14"/>
      <x:c r="J268" s="14"/>
      <x:c r="K268" s="14"/>
      <x:c r="L268" s="86" t="str">
        <x:f>IF($P268="","",INDEX(Tasks!$N$10:$N$1941,$P268))</x:f>
        <x:v>Not started</x:v>
      </x:c>
      <x:c r="M268" s="87" t="n">
        <x:f>IF($P268="","",INDEX(Tasks!$J$10:$J$1941,$P268))</x:f>
        <x:v>46295</x:v>
      </x:c>
      <x:c r="N268" s="85" t="str">
        <x:f>IF($P268="","",HYPERLINK("#'"&amp;INDEX(Tasks!$T$10:$T$1941,$P268)&amp;"'!A"&amp;INDEX(Tasks!$U$10:$U$1941,$P268),"Open"))</x:f>
        <x:v>Open</x:v>
      </x:c>
      <x:c r="O268" s="14"/>
      <x:c r="P268" s="14" t="n">
        <x:f>IF(247&gt;$B$10,"",MATCH(247,Tasks!$S$10:$S$1941,0))</x:f>
        <x:v>494</x:v>
      </x:c>
    </x:row>
    <x:row r="269" ht="58" customHeight="1">
      <x:c r="B269" s="86" t="str">
        <x:f>IF($P269="","",INDEX(Tasks!$B$10:$B$1941,$P269))</x:f>
        <x:v>Cycle 3</x:v>
      </x:c>
      <x:c r="C269" s="86" t="str">
        <x:f>IF($P269="","",INDEX(Tasks!$C$10:$C$1941,$P269))</x:f>
        <x:v>Phase 1</x:v>
      </x:c>
      <x:c r="D269" s="86" t="str">
        <x:f>IF($P269="","",INDEX(Tasks!$D$10:$D$1941,$P269))</x:f>
        <x:v>PLL</x:v>
      </x:c>
      <x:c r="E269" s="86"/>
      <x:c r="F269" s="86" t="str">
        <x:f>IF($P269="","",INDEX(Tasks!$E$10:$E$1941,$P269))</x:f>
        <x:v>Data &amp; Reporting</x:v>
      </x:c>
      <x:c r="G269" s="86"/>
      <x:c r="H269" s="14" t="str">
        <x:f>IF($P269="","",INDEX(Tasks!$F$10:$F$1941,$P269)&amp;CHAR(10)&amp;INDEX(Tasks!$G$10:$G$1941,$P269))</x:f>
        <x:v>DR.PL.1.1
Review data sources 3 weeks prior to Cycle start (Complaints, Gen AI, Loudspeaker, NPS, etc.)</x:v>
      </x:c>
      <x:c r="I269" s="14"/>
      <x:c r="J269" s="14"/>
      <x:c r="K269" s="14"/>
      <x:c r="L269" s="86" t="str">
        <x:f>IF($P269="","",INDEX(Tasks!$N$10:$N$1941,$P269))</x:f>
        <x:v>Not started</x:v>
      </x:c>
      <x:c r="M269" s="87" t="n">
        <x:f>IF($P269="","",INDEX(Tasks!$J$10:$J$1941,$P269))</x:f>
        <x:v>46183</x:v>
      </x:c>
      <x:c r="N269" s="85" t="str">
        <x:f>IF($P269="","",HYPERLINK("#'"&amp;INDEX(Tasks!$T$10:$T$1941,$P269)&amp;"'!A"&amp;INDEX(Tasks!$U$10:$U$1941,$P269),"Open"))</x:f>
        <x:v>Open</x:v>
      </x:c>
      <x:c r="O269" s="14"/>
      <x:c r="P269" s="14" t="n">
        <x:f>IF(248&gt;$B$10,"",MATCH(248,Tasks!$S$10:$S$1941,0))</x:f>
        <x:v>495</x:v>
      </x:c>
    </x:row>
    <x:row r="270" ht="58" customHeight="1">
      <x:c r="B270" s="86" t="str">
        <x:f>IF($P270="","",INDEX(Tasks!$B$10:$B$1941,$P270))</x:f>
        <x:v>Cycle 3</x:v>
      </x:c>
      <x:c r="C270" s="86" t="str">
        <x:f>IF($P270="","",INDEX(Tasks!$C$10:$C$1941,$P270))</x:f>
        <x:v>Phase 1</x:v>
      </x:c>
      <x:c r="D270" s="86" t="str">
        <x:f>IF($P270="","",INDEX(Tasks!$D$10:$D$1941,$P270))</x:f>
        <x:v>PLL</x:v>
      </x:c>
      <x:c r="E270" s="86"/>
      <x:c r="F270" s="86" t="str">
        <x:f>IF($P270="","",INDEX(Tasks!$E$10:$E$1941,$P270))</x:f>
        <x:v>Data &amp; Reporting</x:v>
      </x:c>
      <x:c r="G270" s="86"/>
      <x:c r="H270" s="14" t="str">
        <x:f>IF($P270="","",INDEX(Tasks!$F$10:$F$1941,$P270)&amp;CHAR(10)&amp;INDEX(Tasks!$G$10:$G$1941,$P270))</x:f>
        <x:v>DR.PL.1.2
Identify two potential topics for the upcoming Cycle</x:v>
      </x:c>
      <x:c r="I270" s="14"/>
      <x:c r="J270" s="14"/>
      <x:c r="K270" s="14"/>
      <x:c r="L270" s="86" t="str">
        <x:f>IF($P270="","",INDEX(Tasks!$N$10:$N$1941,$P270))</x:f>
        <x:v>Not started</x:v>
      </x:c>
      <x:c r="M270" s="87" t="n">
        <x:f>IF($P270="","",INDEX(Tasks!$J$10:$J$1941,$P270))</x:f>
        <x:v>46295</x:v>
      </x:c>
      <x:c r="N270" s="85" t="str">
        <x:f>IF($P270="","",HYPERLINK("#'"&amp;INDEX(Tasks!$T$10:$T$1941,$P270)&amp;"'!A"&amp;INDEX(Tasks!$U$10:$U$1941,$P270),"Open"))</x:f>
        <x:v>Open</x:v>
      </x:c>
      <x:c r="O270" s="14"/>
      <x:c r="P270" s="14" t="n">
        <x:f>IF(249&gt;$B$10,"",MATCH(249,Tasks!$S$10:$S$1941,0))</x:f>
        <x:v>496</x:v>
      </x:c>
    </x:row>
    <x:row r="271" ht="58" customHeight="1">
      <x:c r="B271" s="86" t="str">
        <x:f>IF($P271="","",INDEX(Tasks!$B$10:$B$1941,$P271))</x:f>
        <x:v>Cycle 3</x:v>
      </x:c>
      <x:c r="C271" s="86" t="str">
        <x:f>IF($P271="","",INDEX(Tasks!$C$10:$C$1941,$P271))</x:f>
        <x:v>Phase 1</x:v>
      </x:c>
      <x:c r="D271" s="86" t="str">
        <x:f>IF($P271="","",INDEX(Tasks!$D$10:$D$1941,$P271))</x:f>
        <x:v>PLL</x:v>
      </x:c>
      <x:c r="E271" s="86"/>
      <x:c r="F271" s="86" t="str">
        <x:f>IF($P271="","",INDEX(Tasks!$E$10:$E$1941,$P271))</x:f>
        <x:v>Data &amp; Reporting</x:v>
      </x:c>
      <x:c r="G271" s="86"/>
      <x:c r="H271" s="14" t="str">
        <x:f>IF($P271="","",INDEX(Tasks!$F$10:$F$1941,$P271)&amp;CHAR(10)&amp;INDEX(Tasks!$G$10:$G$1941,$P271))</x:f>
        <x:v>DR.PL.1.3
Extract data for both potential topics, ensuring all checklist items below are included/completed</x:v>
      </x:c>
      <x:c r="I271" s="14"/>
      <x:c r="J271" s="14"/>
      <x:c r="K271" s="14"/>
      <x:c r="L271" s="86" t="str">
        <x:f>IF($P271="","",INDEX(Tasks!$N$10:$N$1941,$P271))</x:f>
        <x:v>Not started</x:v>
      </x:c>
      <x:c r="M271" s="87" t="n">
        <x:f>IF($P271="","",INDEX(Tasks!$J$10:$J$1941,$P271))</x:f>
        <x:v>46295</x:v>
      </x:c>
      <x:c r="N271" s="85" t="str">
        <x:f>IF($P271="","",HYPERLINK("#'"&amp;INDEX(Tasks!$T$10:$T$1941,$P271)&amp;"'!A"&amp;INDEX(Tasks!$U$10:$U$1941,$P271),"Open"))</x:f>
        <x:v>Open</x:v>
      </x:c>
      <x:c r="O271" s="14"/>
      <x:c r="P271" s="14" t="n">
        <x:f>IF(250&gt;$B$10,"",MATCH(250,Tasks!$S$10:$S$1941,0))</x:f>
        <x:v>497</x:v>
      </x:c>
    </x:row>
    <x:row r="272" ht="58" customHeight="1">
      <x:c r="B272" s="86" t="str">
        <x:f>IF($P272="","",INDEX(Tasks!$B$10:$B$1941,$P272))</x:f>
        <x:v>Cycle 3</x:v>
      </x:c>
      <x:c r="C272" s="86" t="str">
        <x:f>IF($P272="","",INDEX(Tasks!$C$10:$C$1941,$P272))</x:f>
        <x:v>Phase 2</x:v>
      </x:c>
      <x:c r="D272" s="86" t="str">
        <x:f>IF($P272="","",INDEX(Tasks!$D$10:$D$1941,$P272))</x:f>
        <x:v>PLL</x:v>
      </x:c>
      <x:c r="E272" s="86"/>
      <x:c r="F272" s="86" t="str">
        <x:f>IF($P272="","",INDEX(Tasks!$E$10:$E$1941,$P272))</x:f>
        <x:v>Data &amp; Reporting</x:v>
      </x:c>
      <x:c r="G272" s="86"/>
      <x:c r="H272" s="14" t="str">
        <x:f>IF($P272="","",INDEX(Tasks!$F$10:$F$1941,$P272)&amp;CHAR(10)&amp;INDEX(Tasks!$G$10:$G$1941,$P272))</x:f>
        <x:v>DR.PL.2.1
Ensure data is clean, structured, and usable without manipulation needed</x:v>
      </x:c>
      <x:c r="I272" s="14"/>
      <x:c r="J272" s="14"/>
      <x:c r="K272" s="14"/>
      <x:c r="L272" s="86" t="str">
        <x:f>IF($P272="","",INDEX(Tasks!$N$10:$N$1941,$P272))</x:f>
        <x:v>Not started</x:v>
      </x:c>
      <x:c r="M272" s="87" t="n">
        <x:f>IF($P272="","",INDEX(Tasks!$J$10:$J$1941,$P272))</x:f>
        <x:v>46295</x:v>
      </x:c>
      <x:c r="N272" s="85" t="str">
        <x:f>IF($P272="","",HYPERLINK("#'"&amp;INDEX(Tasks!$T$10:$T$1941,$P272)&amp;"'!A"&amp;INDEX(Tasks!$U$10:$U$1941,$P272),"Open"))</x:f>
        <x:v>Open</x:v>
      </x:c>
      <x:c r="O272" s="14"/>
      <x:c r="P272" s="14" t="n">
        <x:f>IF(251&gt;$B$10,"",MATCH(251,Tasks!$S$10:$S$1941,0))</x:f>
        <x:v>511</x:v>
      </x:c>
    </x:row>
    <x:row r="273" ht="58" customHeight="1">
      <x:c r="B273" s="86" t="str">
        <x:f>IF($P273="","",INDEX(Tasks!$B$10:$B$1941,$P273))</x:f>
        <x:v>Cycle 3</x:v>
      </x:c>
      <x:c r="C273" s="86" t="str">
        <x:f>IF($P273="","",INDEX(Tasks!$C$10:$C$1941,$P273))</x:f>
        <x:v>Phase 2</x:v>
      </x:c>
      <x:c r="D273" s="86" t="str">
        <x:f>IF($P273="","",INDEX(Tasks!$D$10:$D$1941,$P273))</x:f>
        <x:v>PLL</x:v>
      </x:c>
      <x:c r="E273" s="86"/>
      <x:c r="F273" s="86" t="str">
        <x:f>IF($P273="","",INDEX(Tasks!$E$10:$E$1941,$P273))</x:f>
        <x:v>Data &amp; Reporting</x:v>
      </x:c>
      <x:c r="G273" s="86"/>
      <x:c r="H273" s="14" t="str">
        <x:f>IF($P273="","",INDEX(Tasks!$F$10:$F$1941,$P273)&amp;CHAR(10)&amp;INDEX(Tasks!$G$10:$G$1941,$P273))</x:f>
        <x:v>DR.PL.2.2
Clearly document rationale for each topic recommendation within the SharePoint list</x:v>
      </x:c>
      <x:c r="I273" s="14"/>
      <x:c r="J273" s="14"/>
      <x:c r="K273" s="14"/>
      <x:c r="L273" s="86" t="str">
        <x:f>IF($P273="","",INDEX(Tasks!$N$10:$N$1941,$P273))</x:f>
        <x:v>Not started</x:v>
      </x:c>
      <x:c r="M273" s="87" t="n">
        <x:f>IF($P273="","",INDEX(Tasks!$J$10:$J$1941,$P273))</x:f>
        <x:v>46295</x:v>
      </x:c>
      <x:c r="N273" s="85" t="str">
        <x:f>IF($P273="","",HYPERLINK("#'"&amp;INDEX(Tasks!$T$10:$T$1941,$P273)&amp;"'!A"&amp;INDEX(Tasks!$U$10:$U$1941,$P273),"Open"))</x:f>
        <x:v>Open</x:v>
      </x:c>
      <x:c r="O273" s="14"/>
      <x:c r="P273" s="14" t="n">
        <x:f>IF(252&gt;$B$10,"",MATCH(252,Tasks!$S$10:$S$1941,0))</x:f>
        <x:v>512</x:v>
      </x:c>
    </x:row>
    <x:row r="274" ht="58" customHeight="1">
      <x:c r="B274" s="86" t="str">
        <x:f>IF($P274="","",INDEX(Tasks!$B$10:$B$1941,$P274))</x:f>
        <x:v>Cycle 3</x:v>
      </x:c>
      <x:c r="C274" s="86" t="str">
        <x:f>IF($P274="","",INDEX(Tasks!$C$10:$C$1941,$P274))</x:f>
        <x:v>Phase 2</x:v>
      </x:c>
      <x:c r="D274" s="86" t="str">
        <x:f>IF($P274="","",INDEX(Tasks!$D$10:$D$1941,$P274))</x:f>
        <x:v>PLL</x:v>
      </x:c>
      <x:c r="E274" s="86"/>
      <x:c r="F274" s="86" t="str">
        <x:f>IF($P274="","",INDEX(Tasks!$E$10:$E$1941,$P274))</x:f>
        <x:v>Data &amp; Reporting</x:v>
      </x:c>
      <x:c r="G274" s="86"/>
      <x:c r="H274" s="14" t="str">
        <x:f>IF($P274="","",INDEX(Tasks!$F$10:$F$1941,$P274)&amp;CHAR(10)&amp;INDEX(Tasks!$G$10:$G$1941,$P274))</x:f>
        <x:v>DR.PL.2.3
Verify topic is eligible for RCA and does not conflict with Attorney Client Privilege</x:v>
      </x:c>
      <x:c r="I274" s="14"/>
      <x:c r="J274" s="14"/>
      <x:c r="K274" s="14"/>
      <x:c r="L274" s="86" t="str">
        <x:f>IF($P274="","",INDEX(Tasks!$N$10:$N$1941,$P274))</x:f>
        <x:v>Not started</x:v>
      </x:c>
      <x:c r="M274" s="87" t="n">
        <x:f>IF($P274="","",INDEX(Tasks!$J$10:$J$1941,$P274))</x:f>
        <x:v>46295</x:v>
      </x:c>
      <x:c r="N274" s="85" t="str">
        <x:f>IF($P274="","",HYPERLINK("#'"&amp;INDEX(Tasks!$T$10:$T$1941,$P274)&amp;"'!A"&amp;INDEX(Tasks!$U$10:$U$1941,$P274),"Open"))</x:f>
        <x:v>Open</x:v>
      </x:c>
      <x:c r="O274" s="14"/>
      <x:c r="P274" s="14" t="n">
        <x:f>IF(253&gt;$B$10,"",MATCH(253,Tasks!$S$10:$S$1941,0))</x:f>
        <x:v>513</x:v>
      </x:c>
    </x:row>
    <x:row r="275" ht="58" customHeight="1">
      <x:c r="B275" s="86" t="str">
        <x:f>IF($P275="","",INDEX(Tasks!$B$10:$B$1941,$P275))</x:f>
        <x:v>Cycle 3</x:v>
      </x:c>
      <x:c r="C275" s="86" t="str">
        <x:f>IF($P275="","",INDEX(Tasks!$C$10:$C$1941,$P275))</x:f>
        <x:v>Phase 2</x:v>
      </x:c>
      <x:c r="D275" s="86" t="str">
        <x:f>IF($P275="","",INDEX(Tasks!$D$10:$D$1941,$P275))</x:f>
        <x:v>PLL</x:v>
      </x:c>
      <x:c r="E275" s="86"/>
      <x:c r="F275" s="86" t="str">
        <x:f>IF($P275="","",INDEX(Tasks!$E$10:$E$1941,$P275))</x:f>
        <x:v>Data &amp; Reporting</x:v>
      </x:c>
      <x:c r="G275" s="86"/>
      <x:c r="H275" s="14" t="str">
        <x:f>IF($P275="","",INDEX(Tasks!$F$10:$F$1941,$P275)&amp;CHAR(10)&amp;INDEX(Tasks!$G$10:$G$1941,$P275))</x:f>
        <x:v>DR.PL.2.4
Ensure data is free of errors and anomalies prior to hand-off to Research</x:v>
      </x:c>
      <x:c r="I275" s="14"/>
      <x:c r="J275" s="14"/>
      <x:c r="K275" s="14"/>
      <x:c r="L275" s="86" t="str">
        <x:f>IF($P275="","",INDEX(Tasks!$N$10:$N$1941,$P275))</x:f>
        <x:v>Not started</x:v>
      </x:c>
      <x:c r="M275" s="87" t="n">
        <x:f>IF($P275="","",INDEX(Tasks!$J$10:$J$1941,$P275))</x:f>
        <x:v>46295</x:v>
      </x:c>
      <x:c r="N275" s="85" t="str">
        <x:f>IF($P275="","",HYPERLINK("#'"&amp;INDEX(Tasks!$T$10:$T$1941,$P275)&amp;"'!A"&amp;INDEX(Tasks!$U$10:$U$1941,$P275),"Open"))</x:f>
        <x:v>Open</x:v>
      </x:c>
      <x:c r="O275" s="14"/>
      <x:c r="P275" s="14" t="n">
        <x:f>IF(254&gt;$B$10,"",MATCH(254,Tasks!$S$10:$S$1941,0))</x:f>
        <x:v>514</x:v>
      </x:c>
    </x:row>
    <x:row r="276" ht="58" customHeight="1">
      <x:c r="B276" s="86" t="str">
        <x:f>IF($P276="","",INDEX(Tasks!$B$10:$B$1941,$P276))</x:f>
        <x:v>Cycle 3</x:v>
      </x:c>
      <x:c r="C276" s="86" t="str">
        <x:f>IF($P276="","",INDEX(Tasks!$C$10:$C$1941,$P276))</x:f>
        <x:v>Phase 2</x:v>
      </x:c>
      <x:c r="D276" s="86" t="str">
        <x:f>IF($P276="","",INDEX(Tasks!$D$10:$D$1941,$P276))</x:f>
        <x:v>PLL</x:v>
      </x:c>
      <x:c r="E276" s="86"/>
      <x:c r="F276" s="86" t="str">
        <x:f>IF($P276="","",INDEX(Tasks!$E$10:$E$1941,$P276))</x:f>
        <x:v>Data &amp; Reporting</x:v>
      </x:c>
      <x:c r="G276" s="86"/>
      <x:c r="H276" s="14" t="str">
        <x:f>IF($P276="","",INDEX(Tasks!$F$10:$F$1941,$P276)&amp;CHAR(10)&amp;INDEX(Tasks!$G$10:$G$1941,$P276))</x:f>
        <x:v>DR.PL.2.5
Ensure topic is not a duplicate from a previous Cycle</x:v>
      </x:c>
      <x:c r="I276" s="14"/>
      <x:c r="J276" s="14"/>
      <x:c r="K276" s="14"/>
      <x:c r="L276" s="86" t="str">
        <x:f>IF($P276="","",INDEX(Tasks!$N$10:$N$1941,$P276))</x:f>
        <x:v>Not started</x:v>
      </x:c>
      <x:c r="M276" s="87" t="n">
        <x:f>IF($P276="","",INDEX(Tasks!$J$10:$J$1941,$P276))</x:f>
        <x:v>46295</x:v>
      </x:c>
      <x:c r="N276" s="85" t="str">
        <x:f>IF($P276="","",HYPERLINK("#'"&amp;INDEX(Tasks!$T$10:$T$1941,$P276)&amp;"'!A"&amp;INDEX(Tasks!$U$10:$U$1941,$P276),"Open"))</x:f>
        <x:v>Open</x:v>
      </x:c>
      <x:c r="O276" s="14"/>
      <x:c r="P276" s="14" t="n">
        <x:f>IF(255&gt;$B$10,"",MATCH(255,Tasks!$S$10:$S$1941,0))</x:f>
        <x:v>515</x:v>
      </x:c>
    </x:row>
    <x:row r="277" ht="58" customHeight="1">
      <x:c r="B277" s="86" t="str">
        <x:f>IF($P277="","",INDEX(Tasks!$B$10:$B$1941,$P277))</x:f>
        <x:v>Cycle 3</x:v>
      </x:c>
      <x:c r="C277" s="86" t="str">
        <x:f>IF($P277="","",INDEX(Tasks!$C$10:$C$1941,$P277))</x:f>
        <x:v>Phase 2</x:v>
      </x:c>
      <x:c r="D277" s="86" t="str">
        <x:f>IF($P277="","",INDEX(Tasks!$D$10:$D$1941,$P277))</x:f>
        <x:v>PLL</x:v>
      </x:c>
      <x:c r="E277" s="86"/>
      <x:c r="F277" s="86" t="str">
        <x:f>IF($P277="","",INDEX(Tasks!$E$10:$E$1941,$P277))</x:f>
        <x:v>Data &amp; Reporting</x:v>
      </x:c>
      <x:c r="G277" s="86"/>
      <x:c r="H277" s="14" t="str">
        <x:f>IF($P277="","",INDEX(Tasks!$F$10:$F$1941,$P277)&amp;CHAR(10)&amp;INDEX(Tasks!$G$10:$G$1941,$P277))</x:f>
        <x:v>DR.PL.2.6
Document clear distinctions between facts, assumptions, and hypotheses within the data package</x:v>
      </x:c>
      <x:c r="I277" s="14"/>
      <x:c r="J277" s="14"/>
      <x:c r="K277" s="14"/>
      <x:c r="L277" s="86" t="str">
        <x:f>IF($P277="","",INDEX(Tasks!$N$10:$N$1941,$P277))</x:f>
        <x:v>Not started</x:v>
      </x:c>
      <x:c r="M277" s="87" t="n">
        <x:f>IF($P277="","",INDEX(Tasks!$J$10:$J$1941,$P277))</x:f>
        <x:v>46295</x:v>
      </x:c>
      <x:c r="N277" s="85" t="str">
        <x:f>IF($P277="","",HYPERLINK("#'"&amp;INDEX(Tasks!$T$10:$T$1941,$P277)&amp;"'!A"&amp;INDEX(Tasks!$U$10:$U$1941,$P277),"Open"))</x:f>
        <x:v>Open</x:v>
      </x:c>
      <x:c r="O277" s="14"/>
      <x:c r="P277" s="14" t="n">
        <x:f>IF(256&gt;$B$10,"",MATCH(256,Tasks!$S$10:$S$1941,0))</x:f>
        <x:v>516</x:v>
      </x:c>
    </x:row>
    <x:row r="278" ht="58" customHeight="1">
      <x:c r="B278" s="86" t="str">
        <x:f>IF($P278="","",INDEX(Tasks!$B$10:$B$1941,$P278))</x:f>
        <x:v>Cycle 3</x:v>
      </x:c>
      <x:c r="C278" s="86" t="str">
        <x:f>IF($P278="","",INDEX(Tasks!$C$10:$C$1941,$P278))</x:f>
        <x:v>Phase 3</x:v>
      </x:c>
      <x:c r="D278" s="86" t="str">
        <x:f>IF($P278="","",INDEX(Tasks!$D$10:$D$1941,$P278))</x:f>
        <x:v>PLL</x:v>
      </x:c>
      <x:c r="E278" s="86"/>
      <x:c r="F278" s="86" t="str">
        <x:f>IF($P278="","",INDEX(Tasks!$E$10:$E$1941,$P278))</x:f>
        <x:v>Data &amp; Reporting</x:v>
      </x:c>
      <x:c r="G278" s="86"/>
      <x:c r="H278" s="14" t="str">
        <x:f>IF($P278="","",INDEX(Tasks!$F$10:$F$1941,$P278)&amp;CHAR(10)&amp;INDEX(Tasks!$G$10:$G$1941,$P278))</x:f>
        <x:v>DR.PL.3.1
Clearly document rationale for each topic recommendation within the SharePoint list item</x:v>
      </x:c>
      <x:c r="I278" s="14"/>
      <x:c r="J278" s="14"/>
      <x:c r="K278" s="14"/>
      <x:c r="L278" s="86" t="str">
        <x:f>IF($P278="","",INDEX(Tasks!$N$10:$N$1941,$P278))</x:f>
        <x:v>Not started</x:v>
      </x:c>
      <x:c r="M278" s="87" t="n">
        <x:f>IF($P278="","",INDEX(Tasks!$J$10:$J$1941,$P278))</x:f>
        <x:v>46295</x:v>
      </x:c>
      <x:c r="N278" s="85" t="str">
        <x:f>IF($P278="","",HYPERLINK("#'"&amp;INDEX(Tasks!$T$10:$T$1941,$P278)&amp;"'!A"&amp;INDEX(Tasks!$U$10:$U$1941,$P278),"Open"))</x:f>
        <x:v>Open</x:v>
      </x:c>
      <x:c r="O278" s="14"/>
      <x:c r="P278" s="14" t="n">
        <x:f>IF(257&gt;$B$10,"",MATCH(257,Tasks!$S$10:$S$1941,0))</x:f>
        <x:v>517</x:v>
      </x:c>
    </x:row>
    <x:row r="279" ht="58" customHeight="1">
      <x:c r="B279" s="86" t="str">
        <x:f>IF($P279="","",INDEX(Tasks!$B$10:$B$1941,$P279))</x:f>
        <x:v>Cycle 3</x:v>
      </x:c>
      <x:c r="C279" s="86" t="str">
        <x:f>IF($P279="","",INDEX(Tasks!$C$10:$C$1941,$P279))</x:f>
        <x:v>Phase 3</x:v>
      </x:c>
      <x:c r="D279" s="86" t="str">
        <x:f>IF($P279="","",INDEX(Tasks!$D$10:$D$1941,$P279))</x:f>
        <x:v>PLL</x:v>
      </x:c>
      <x:c r="E279" s="86"/>
      <x:c r="F279" s="86" t="str">
        <x:f>IF($P279="","",INDEX(Tasks!$E$10:$E$1941,$P279))</x:f>
        <x:v>Data &amp; Reporting</x:v>
      </x:c>
      <x:c r="G279" s="86"/>
      <x:c r="H279" s="14" t="str">
        <x:f>IF($P279="","",INDEX(Tasks!$F$10:$F$1941,$P279)&amp;CHAR(10)&amp;INDEX(Tasks!$G$10:$G$1941,$P279))</x:f>
        <x:v>DR.PL.3.2
Attach the data package for each topic recommendation within the SharePoint list item</x:v>
      </x:c>
      <x:c r="I279" s="14"/>
      <x:c r="J279" s="14"/>
      <x:c r="K279" s="14"/>
      <x:c r="L279" s="86" t="str">
        <x:f>IF($P279="","",INDEX(Tasks!$N$10:$N$1941,$P279))</x:f>
        <x:v>Not started</x:v>
      </x:c>
      <x:c r="M279" s="87" t="n">
        <x:f>IF($P279="","",INDEX(Tasks!$J$10:$J$1941,$P279))</x:f>
        <x:v>46295</x:v>
      </x:c>
      <x:c r="N279" s="85" t="str">
        <x:f>IF($P279="","",HYPERLINK("#'"&amp;INDEX(Tasks!$T$10:$T$1941,$P279)&amp;"'!A"&amp;INDEX(Tasks!$U$10:$U$1941,$P279),"Open"))</x:f>
        <x:v>Open</x:v>
      </x:c>
      <x:c r="O279" s="14"/>
      <x:c r="P279" s="14" t="n">
        <x:f>IF(258&gt;$B$10,"",MATCH(258,Tasks!$S$10:$S$1941,0))</x:f>
        <x:v>518</x:v>
      </x:c>
    </x:row>
    <x:row r="280" ht="58" customHeight="1">
      <x:c r="B280" s="86" t="str">
        <x:f>IF($P280="","",INDEX(Tasks!$B$10:$B$1941,$P280))</x:f>
        <x:v>Cycle 3</x:v>
      </x:c>
      <x:c r="C280" s="86" t="str">
        <x:f>IF($P280="","",INDEX(Tasks!$C$10:$C$1941,$P280))</x:f>
        <x:v>Phase 3</x:v>
      </x:c>
      <x:c r="D280" s="86" t="str">
        <x:f>IF($P280="","",INDEX(Tasks!$D$10:$D$1941,$P280))</x:f>
        <x:v>PLL</x:v>
      </x:c>
      <x:c r="E280" s="86"/>
      <x:c r="F280" s="86" t="str">
        <x:f>IF($P280="","",INDEX(Tasks!$E$10:$E$1941,$P280))</x:f>
        <x:v>Data &amp; Reporting</x:v>
      </x:c>
      <x:c r="G280" s="86"/>
      <x:c r="H280" s="14" t="str">
        <x:f>IF($P280="","",INDEX(Tasks!$F$10:$F$1941,$P280)&amp;CHAR(10)&amp;INDEX(Tasks!$G$10:$G$1941,$P280))</x:f>
        <x:v>DR.PL.3.3
Confirm data privileges have been granted, ensuring each pillar can access</x:v>
      </x:c>
      <x:c r="I280" s="14"/>
      <x:c r="J280" s="14"/>
      <x:c r="K280" s="14"/>
      <x:c r="L280" s="86" t="str">
        <x:f>IF($P280="","",INDEX(Tasks!$N$10:$N$1941,$P280))</x:f>
        <x:v>Not started</x:v>
      </x:c>
      <x:c r="M280" s="87" t="n">
        <x:f>IF($P280="","",INDEX(Tasks!$J$10:$J$1941,$P280))</x:f>
        <x:v>46295</x:v>
      </x:c>
      <x:c r="N280" s="85" t="str">
        <x:f>IF($P280="","",HYPERLINK("#'"&amp;INDEX(Tasks!$T$10:$T$1941,$P280)&amp;"'!A"&amp;INDEX(Tasks!$U$10:$U$1941,$P280),"Open"))</x:f>
        <x:v>Open</x:v>
      </x:c>
      <x:c r="O280" s="14"/>
      <x:c r="P280" s="14" t="n">
        <x:f>IF(259&gt;$B$10,"",MATCH(259,Tasks!$S$10:$S$1941,0))</x:f>
        <x:v>519</x:v>
      </x:c>
    </x:row>
    <x:row r="281" ht="58" customHeight="1">
      <x:c r="B281" s="86" t="str">
        <x:f>IF($P281="","",INDEX(Tasks!$B$10:$B$1941,$P281))</x:f>
        <x:v>Cycle 3</x:v>
      </x:c>
      <x:c r="C281" s="86" t="str">
        <x:f>IF($P281="","",INDEX(Tasks!$C$10:$C$1941,$P281))</x:f>
        <x:v>Phase 3</x:v>
      </x:c>
      <x:c r="D281" s="86" t="str">
        <x:f>IF($P281="","",INDEX(Tasks!$D$10:$D$1941,$P281))</x:f>
        <x:v>PLL</x:v>
      </x:c>
      <x:c r="E281" s="86"/>
      <x:c r="F281" s="86" t="str">
        <x:f>IF($P281="","",INDEX(Tasks!$E$10:$E$1941,$P281))</x:f>
        <x:v>Data &amp; Reporting</x:v>
      </x:c>
      <x:c r="G281" s="86"/>
      <x:c r="H281" s="14" t="str">
        <x:f>IF($P281="","",INDEX(Tasks!$F$10:$F$1941,$P281)&amp;CHAR(10)&amp;INDEX(Tasks!$G$10:$G$1941,$P281))</x:f>
        <x:v>DR.PL.3.4
Ensure Power Automate notifications were correctly triggered within Microsoft Teams</x:v>
      </x:c>
      <x:c r="I281" s="14"/>
      <x:c r="J281" s="14"/>
      <x:c r="K281" s="14"/>
      <x:c r="L281" s="86" t="str">
        <x:f>IF($P281="","",INDEX(Tasks!$N$10:$N$1941,$P281))</x:f>
        <x:v>Not started</x:v>
      </x:c>
      <x:c r="M281" s="87" t="n">
        <x:f>IF($P281="","",INDEX(Tasks!$J$10:$J$1941,$P281))</x:f>
        <x:v>46295</x:v>
      </x:c>
      <x:c r="N281" s="85" t="str">
        <x:f>IF($P281="","",HYPERLINK("#'"&amp;INDEX(Tasks!$T$10:$T$1941,$P281)&amp;"'!A"&amp;INDEX(Tasks!$U$10:$U$1941,$P281),"Open"))</x:f>
        <x:v>Open</x:v>
      </x:c>
      <x:c r="O281" s="14"/>
      <x:c r="P281" s="14" t="n">
        <x:f>IF(260&gt;$B$10,"",MATCH(260,Tasks!$S$10:$S$1941,0))</x:f>
        <x:v>520</x:v>
      </x:c>
    </x:row>
    <x:row r="282" ht="58" customHeight="1">
      <x:c r="B282" s="86" t="str">
        <x:f>IF($P282="","",INDEX(Tasks!$B$10:$B$1941,$P282))</x:f>
        <x:v>Cycle 3</x:v>
      </x:c>
      <x:c r="C282" s="86" t="str">
        <x:f>IF($P282="","",INDEX(Tasks!$C$10:$C$1941,$P282))</x:f>
        <x:v>Phase 1</x:v>
      </x:c>
      <x:c r="D282" s="86" t="str">
        <x:f>IF($P282="","",INDEX(Tasks!$D$10:$D$1941,$P282))</x:f>
        <x:v>Retail Services</x:v>
      </x:c>
      <x:c r="E282" s="86"/>
      <x:c r="F282" s="86" t="str">
        <x:f>IF($P282="","",INDEX(Tasks!$E$10:$E$1941,$P282))</x:f>
        <x:v>Data &amp; Reporting</x:v>
      </x:c>
      <x:c r="G282" s="86"/>
      <x:c r="H282" s="14" t="str">
        <x:f>IF($P282="","",INDEX(Tasks!$F$10:$F$1941,$P282)&amp;CHAR(10)&amp;INDEX(Tasks!$G$10:$G$1941,$P282))</x:f>
        <x:v>DR.RS.1.1
Review data sources 3 weeks prior to Cycle start (Complaints, Gen AI, Loudspeaker, NPS, etc.)</x:v>
      </x:c>
      <x:c r="I282" s="14"/>
      <x:c r="J282" s="14"/>
      <x:c r="K282" s="14"/>
      <x:c r="L282" s="86" t="str">
        <x:f>IF($P282="","",INDEX(Tasks!$N$10:$N$1941,$P282))</x:f>
        <x:v>Not started</x:v>
      </x:c>
      <x:c r="M282" s="87" t="n">
        <x:f>IF($P282="","",INDEX(Tasks!$J$10:$J$1941,$P282))</x:f>
        <x:v>46183</x:v>
      </x:c>
      <x:c r="N282" s="85" t="str">
        <x:f>IF($P282="","",HYPERLINK("#'"&amp;INDEX(Tasks!$T$10:$T$1941,$P282)&amp;"'!A"&amp;INDEX(Tasks!$U$10:$U$1941,$P282),"Open"))</x:f>
        <x:v>Open</x:v>
      </x:c>
      <x:c r="O282" s="14"/>
      <x:c r="P282" s="14" t="n">
        <x:f>IF(261&gt;$B$10,"",MATCH(261,Tasks!$S$10:$S$1941,0))</x:f>
        <x:v>521</x:v>
      </x:c>
    </x:row>
    <x:row r="283" ht="58" customHeight="1">
      <x:c r="B283" s="86" t="str">
        <x:f>IF($P283="","",INDEX(Tasks!$B$10:$B$1941,$P283))</x:f>
        <x:v>Cycle 3</x:v>
      </x:c>
      <x:c r="C283" s="86" t="str">
        <x:f>IF($P283="","",INDEX(Tasks!$C$10:$C$1941,$P283))</x:f>
        <x:v>Phase 1</x:v>
      </x:c>
      <x:c r="D283" s="86" t="str">
        <x:f>IF($P283="","",INDEX(Tasks!$D$10:$D$1941,$P283))</x:f>
        <x:v>Retail Services</x:v>
      </x:c>
      <x:c r="E283" s="86"/>
      <x:c r="F283" s="86" t="str">
        <x:f>IF($P283="","",INDEX(Tasks!$E$10:$E$1941,$P283))</x:f>
        <x:v>Data &amp; Reporting</x:v>
      </x:c>
      <x:c r="G283" s="86"/>
      <x:c r="H283" s="14" t="str">
        <x:f>IF($P283="","",INDEX(Tasks!$F$10:$F$1941,$P283)&amp;CHAR(10)&amp;INDEX(Tasks!$G$10:$G$1941,$P283))</x:f>
        <x:v>DR.RS.1.2
Identify two potential topics for the upcoming Cycle</x:v>
      </x:c>
      <x:c r="I283" s="14"/>
      <x:c r="J283" s="14"/>
      <x:c r="K283" s="14"/>
      <x:c r="L283" s="86" t="str">
        <x:f>IF($P283="","",INDEX(Tasks!$N$10:$N$1941,$P283))</x:f>
        <x:v>Not started</x:v>
      </x:c>
      <x:c r="M283" s="87" t="n">
        <x:f>IF($P283="","",INDEX(Tasks!$J$10:$J$1941,$P283))</x:f>
        <x:v>46295</x:v>
      </x:c>
      <x:c r="N283" s="85" t="str">
        <x:f>IF($P283="","",HYPERLINK("#'"&amp;INDEX(Tasks!$T$10:$T$1941,$P283)&amp;"'!A"&amp;INDEX(Tasks!$U$10:$U$1941,$P283),"Open"))</x:f>
        <x:v>Open</x:v>
      </x:c>
      <x:c r="O283" s="14"/>
      <x:c r="P283" s="14" t="n">
        <x:f>IF(262&gt;$B$10,"",MATCH(262,Tasks!$S$10:$S$1941,0))</x:f>
        <x:v>522</x:v>
      </x:c>
    </x:row>
    <x:row r="284" ht="58" customHeight="1">
      <x:c r="B284" s="86" t="str">
        <x:f>IF($P284="","",INDEX(Tasks!$B$10:$B$1941,$P284))</x:f>
        <x:v>Cycle 3</x:v>
      </x:c>
      <x:c r="C284" s="86" t="str">
        <x:f>IF($P284="","",INDEX(Tasks!$C$10:$C$1941,$P284))</x:f>
        <x:v>Phase 1</x:v>
      </x:c>
      <x:c r="D284" s="86" t="str">
        <x:f>IF($P284="","",INDEX(Tasks!$D$10:$D$1941,$P284))</x:f>
        <x:v>Retail Services</x:v>
      </x:c>
      <x:c r="E284" s="86"/>
      <x:c r="F284" s="86" t="str">
        <x:f>IF($P284="","",INDEX(Tasks!$E$10:$E$1941,$P284))</x:f>
        <x:v>Data &amp; Reporting</x:v>
      </x:c>
      <x:c r="G284" s="86"/>
      <x:c r="H284" s="14" t="str">
        <x:f>IF($P284="","",INDEX(Tasks!$F$10:$F$1941,$P284)&amp;CHAR(10)&amp;INDEX(Tasks!$G$10:$G$1941,$P284))</x:f>
        <x:v>DR.RS.1.3
Extract data for both potential topics, ensuring all checklist items below are included/completed</x:v>
      </x:c>
      <x:c r="I284" s="14"/>
      <x:c r="J284" s="14"/>
      <x:c r="K284" s="14"/>
      <x:c r="L284" s="86" t="str">
        <x:f>IF($P284="","",INDEX(Tasks!$N$10:$N$1941,$P284))</x:f>
        <x:v>Not started</x:v>
      </x:c>
      <x:c r="M284" s="87" t="n">
        <x:f>IF($P284="","",INDEX(Tasks!$J$10:$J$1941,$P284))</x:f>
        <x:v>46295</x:v>
      </x:c>
      <x:c r="N284" s="85" t="str">
        <x:f>IF($P284="","",HYPERLINK("#'"&amp;INDEX(Tasks!$T$10:$T$1941,$P284)&amp;"'!A"&amp;INDEX(Tasks!$U$10:$U$1941,$P284),"Open"))</x:f>
        <x:v>Open</x:v>
      </x:c>
      <x:c r="O284" s="14"/>
      <x:c r="P284" s="14" t="n">
        <x:f>IF(263&gt;$B$10,"",MATCH(263,Tasks!$S$10:$S$1941,0))</x:f>
        <x:v>523</x:v>
      </x:c>
    </x:row>
    <x:row r="285" ht="58" customHeight="1">
      <x:c r="B285" s="86" t="str">
        <x:f>IF($P285="","",INDEX(Tasks!$B$10:$B$1941,$P285))</x:f>
        <x:v>Cycle 3</x:v>
      </x:c>
      <x:c r="C285" s="86" t="str">
        <x:f>IF($P285="","",INDEX(Tasks!$C$10:$C$1941,$P285))</x:f>
        <x:v>Phase 2</x:v>
      </x:c>
      <x:c r="D285" s="86" t="str">
        <x:f>IF($P285="","",INDEX(Tasks!$D$10:$D$1941,$P285))</x:f>
        <x:v>Retail Services</x:v>
      </x:c>
      <x:c r="E285" s="86"/>
      <x:c r="F285" s="86" t="str">
        <x:f>IF($P285="","",INDEX(Tasks!$E$10:$E$1941,$P285))</x:f>
        <x:v>Data &amp; Reporting</x:v>
      </x:c>
      <x:c r="G285" s="86"/>
      <x:c r="H285" s="14" t="str">
        <x:f>IF($P285="","",INDEX(Tasks!$F$10:$F$1941,$P285)&amp;CHAR(10)&amp;INDEX(Tasks!$G$10:$G$1941,$P285))</x:f>
        <x:v>DR.RS.2.1
Ensure data is clean, structured, and usable without manipulation needed</x:v>
      </x:c>
      <x:c r="I285" s="14"/>
      <x:c r="J285" s="14"/>
      <x:c r="K285" s="14"/>
      <x:c r="L285" s="86" t="str">
        <x:f>IF($P285="","",INDEX(Tasks!$N$10:$N$1941,$P285))</x:f>
        <x:v>Not started</x:v>
      </x:c>
      <x:c r="M285" s="87" t="n">
        <x:f>IF($P285="","",INDEX(Tasks!$J$10:$J$1941,$P285))</x:f>
        <x:v>46295</x:v>
      </x:c>
      <x:c r="N285" s="85" t="str">
        <x:f>IF($P285="","",HYPERLINK("#'"&amp;INDEX(Tasks!$T$10:$T$1941,$P285)&amp;"'!A"&amp;INDEX(Tasks!$U$10:$U$1941,$P285),"Open"))</x:f>
        <x:v>Open</x:v>
      </x:c>
      <x:c r="O285" s="14"/>
      <x:c r="P285" s="14" t="n">
        <x:f>IF(264&gt;$B$10,"",MATCH(264,Tasks!$S$10:$S$1941,0))</x:f>
        <x:v>537</x:v>
      </x:c>
    </x:row>
    <x:row r="286" ht="58" customHeight="1">
      <x:c r="B286" s="86" t="str">
        <x:f>IF($P286="","",INDEX(Tasks!$B$10:$B$1941,$P286))</x:f>
        <x:v>Cycle 3</x:v>
      </x:c>
      <x:c r="C286" s="86" t="str">
        <x:f>IF($P286="","",INDEX(Tasks!$C$10:$C$1941,$P286))</x:f>
        <x:v>Phase 2</x:v>
      </x:c>
      <x:c r="D286" s="86" t="str">
        <x:f>IF($P286="","",INDEX(Tasks!$D$10:$D$1941,$P286))</x:f>
        <x:v>Retail Services</x:v>
      </x:c>
      <x:c r="E286" s="86"/>
      <x:c r="F286" s="86" t="str">
        <x:f>IF($P286="","",INDEX(Tasks!$E$10:$E$1941,$P286))</x:f>
        <x:v>Data &amp; Reporting</x:v>
      </x:c>
      <x:c r="G286" s="86"/>
      <x:c r="H286" s="14" t="str">
        <x:f>IF($P286="","",INDEX(Tasks!$F$10:$F$1941,$P286)&amp;CHAR(10)&amp;INDEX(Tasks!$G$10:$G$1941,$P286))</x:f>
        <x:v>DR.RS.2.2
Clearly document rationale for each topic recommendation within the SharePoint list</x:v>
      </x:c>
      <x:c r="I286" s="14"/>
      <x:c r="J286" s="14"/>
      <x:c r="K286" s="14"/>
      <x:c r="L286" s="86" t="str">
        <x:f>IF($P286="","",INDEX(Tasks!$N$10:$N$1941,$P286))</x:f>
        <x:v>Not started</x:v>
      </x:c>
      <x:c r="M286" s="87" t="n">
        <x:f>IF($P286="","",INDEX(Tasks!$J$10:$J$1941,$P286))</x:f>
        <x:v>46295</x:v>
      </x:c>
      <x:c r="N286" s="85" t="str">
        <x:f>IF($P286="","",HYPERLINK("#'"&amp;INDEX(Tasks!$T$10:$T$1941,$P286)&amp;"'!A"&amp;INDEX(Tasks!$U$10:$U$1941,$P286),"Open"))</x:f>
        <x:v>Open</x:v>
      </x:c>
      <x:c r="O286" s="14"/>
      <x:c r="P286" s="14" t="n">
        <x:f>IF(265&gt;$B$10,"",MATCH(265,Tasks!$S$10:$S$1941,0))</x:f>
        <x:v>538</x:v>
      </x:c>
    </x:row>
    <x:row r="287" ht="58" customHeight="1">
      <x:c r="B287" s="86" t="str">
        <x:f>IF($P287="","",INDEX(Tasks!$B$10:$B$1941,$P287))</x:f>
        <x:v>Cycle 3</x:v>
      </x:c>
      <x:c r="C287" s="86" t="str">
        <x:f>IF($P287="","",INDEX(Tasks!$C$10:$C$1941,$P287))</x:f>
        <x:v>Phase 2</x:v>
      </x:c>
      <x:c r="D287" s="86" t="str">
        <x:f>IF($P287="","",INDEX(Tasks!$D$10:$D$1941,$P287))</x:f>
        <x:v>Retail Services</x:v>
      </x:c>
      <x:c r="E287" s="86"/>
      <x:c r="F287" s="86" t="str">
        <x:f>IF($P287="","",INDEX(Tasks!$E$10:$E$1941,$P287))</x:f>
        <x:v>Data &amp; Reporting</x:v>
      </x:c>
      <x:c r="G287" s="86"/>
      <x:c r="H287" s="14" t="str">
        <x:f>IF($P287="","",INDEX(Tasks!$F$10:$F$1941,$P287)&amp;CHAR(10)&amp;INDEX(Tasks!$G$10:$G$1941,$P287))</x:f>
        <x:v>DR.RS.2.3
Verify topic is eligible for RCA and does not conflict with Attorney Client Privilege</x:v>
      </x:c>
      <x:c r="I287" s="14"/>
      <x:c r="J287" s="14"/>
      <x:c r="K287" s="14"/>
      <x:c r="L287" s="86" t="str">
        <x:f>IF($P287="","",INDEX(Tasks!$N$10:$N$1941,$P287))</x:f>
        <x:v>Not started</x:v>
      </x:c>
      <x:c r="M287" s="87" t="n">
        <x:f>IF($P287="","",INDEX(Tasks!$J$10:$J$1941,$P287))</x:f>
        <x:v>46295</x:v>
      </x:c>
      <x:c r="N287" s="85" t="str">
        <x:f>IF($P287="","",HYPERLINK("#'"&amp;INDEX(Tasks!$T$10:$T$1941,$P287)&amp;"'!A"&amp;INDEX(Tasks!$U$10:$U$1941,$P287),"Open"))</x:f>
        <x:v>Open</x:v>
      </x:c>
      <x:c r="O287" s="14"/>
      <x:c r="P287" s="14" t="n">
        <x:f>IF(266&gt;$B$10,"",MATCH(266,Tasks!$S$10:$S$1941,0))</x:f>
        <x:v>539</x:v>
      </x:c>
    </x:row>
    <x:row r="288" ht="58" customHeight="1">
      <x:c r="B288" s="86" t="str">
        <x:f>IF($P288="","",INDEX(Tasks!$B$10:$B$1941,$P288))</x:f>
        <x:v>Cycle 3</x:v>
      </x:c>
      <x:c r="C288" s="86" t="str">
        <x:f>IF($P288="","",INDEX(Tasks!$C$10:$C$1941,$P288))</x:f>
        <x:v>Phase 2</x:v>
      </x:c>
      <x:c r="D288" s="86" t="str">
        <x:f>IF($P288="","",INDEX(Tasks!$D$10:$D$1941,$P288))</x:f>
        <x:v>Retail Services</x:v>
      </x:c>
      <x:c r="E288" s="86"/>
      <x:c r="F288" s="86" t="str">
        <x:f>IF($P288="","",INDEX(Tasks!$E$10:$E$1941,$P288))</x:f>
        <x:v>Data &amp; Reporting</x:v>
      </x:c>
      <x:c r="G288" s="86"/>
      <x:c r="H288" s="14" t="str">
        <x:f>IF($P288="","",INDEX(Tasks!$F$10:$F$1941,$P288)&amp;CHAR(10)&amp;INDEX(Tasks!$G$10:$G$1941,$P288))</x:f>
        <x:v>DR.RS.2.4
Ensure data is free of errors and anomalies prior to hand-off to Research</x:v>
      </x:c>
      <x:c r="I288" s="14"/>
      <x:c r="J288" s="14"/>
      <x:c r="K288" s="14"/>
      <x:c r="L288" s="86" t="str">
        <x:f>IF($P288="","",INDEX(Tasks!$N$10:$N$1941,$P288))</x:f>
        <x:v>Not started</x:v>
      </x:c>
      <x:c r="M288" s="87" t="n">
        <x:f>IF($P288="","",INDEX(Tasks!$J$10:$J$1941,$P288))</x:f>
        <x:v>46295</x:v>
      </x:c>
      <x:c r="N288" s="85" t="str">
        <x:f>IF($P288="","",HYPERLINK("#'"&amp;INDEX(Tasks!$T$10:$T$1941,$P288)&amp;"'!A"&amp;INDEX(Tasks!$U$10:$U$1941,$P288),"Open"))</x:f>
        <x:v>Open</x:v>
      </x:c>
      <x:c r="O288" s="14"/>
      <x:c r="P288" s="14" t="n">
        <x:f>IF(267&gt;$B$10,"",MATCH(267,Tasks!$S$10:$S$1941,0))</x:f>
        <x:v>540</x:v>
      </x:c>
    </x:row>
    <x:row r="289" ht="58" customHeight="1">
      <x:c r="B289" s="86" t="str">
        <x:f>IF($P289="","",INDEX(Tasks!$B$10:$B$1941,$P289))</x:f>
        <x:v>Cycle 3</x:v>
      </x:c>
      <x:c r="C289" s="86" t="str">
        <x:f>IF($P289="","",INDEX(Tasks!$C$10:$C$1941,$P289))</x:f>
        <x:v>Phase 2</x:v>
      </x:c>
      <x:c r="D289" s="86" t="str">
        <x:f>IF($P289="","",INDEX(Tasks!$D$10:$D$1941,$P289))</x:f>
        <x:v>Retail Services</x:v>
      </x:c>
      <x:c r="E289" s="86"/>
      <x:c r="F289" s="86" t="str">
        <x:f>IF($P289="","",INDEX(Tasks!$E$10:$E$1941,$P289))</x:f>
        <x:v>Data &amp; Reporting</x:v>
      </x:c>
      <x:c r="G289" s="86"/>
      <x:c r="H289" s="14" t="str">
        <x:f>IF($P289="","",INDEX(Tasks!$F$10:$F$1941,$P289)&amp;CHAR(10)&amp;INDEX(Tasks!$G$10:$G$1941,$P289))</x:f>
        <x:v>DR.RS.2.5
Ensure topic is not a duplicate from a previous Cycle</x:v>
      </x:c>
      <x:c r="I289" s="14"/>
      <x:c r="J289" s="14"/>
      <x:c r="K289" s="14"/>
      <x:c r="L289" s="86" t="str">
        <x:f>IF($P289="","",INDEX(Tasks!$N$10:$N$1941,$P289))</x:f>
        <x:v>Not started</x:v>
      </x:c>
      <x:c r="M289" s="87" t="n">
        <x:f>IF($P289="","",INDEX(Tasks!$J$10:$J$1941,$P289))</x:f>
        <x:v>46295</x:v>
      </x:c>
      <x:c r="N289" s="85" t="str">
        <x:f>IF($P289="","",HYPERLINK("#'"&amp;INDEX(Tasks!$T$10:$T$1941,$P289)&amp;"'!A"&amp;INDEX(Tasks!$U$10:$U$1941,$P289),"Open"))</x:f>
        <x:v>Open</x:v>
      </x:c>
      <x:c r="O289" s="14"/>
      <x:c r="P289" s="14" t="n">
        <x:f>IF(268&gt;$B$10,"",MATCH(268,Tasks!$S$10:$S$1941,0))</x:f>
        <x:v>541</x:v>
      </x:c>
    </x:row>
    <x:row r="290" ht="58" customHeight="1">
      <x:c r="B290" s="86" t="str">
        <x:f>IF($P290="","",INDEX(Tasks!$B$10:$B$1941,$P290))</x:f>
        <x:v>Cycle 3</x:v>
      </x:c>
      <x:c r="C290" s="86" t="str">
        <x:f>IF($P290="","",INDEX(Tasks!$C$10:$C$1941,$P290))</x:f>
        <x:v>Phase 2</x:v>
      </x:c>
      <x:c r="D290" s="86" t="str">
        <x:f>IF($P290="","",INDEX(Tasks!$D$10:$D$1941,$P290))</x:f>
        <x:v>Retail Services</x:v>
      </x:c>
      <x:c r="E290" s="86"/>
      <x:c r="F290" s="86" t="str">
        <x:f>IF($P290="","",INDEX(Tasks!$E$10:$E$1941,$P290))</x:f>
        <x:v>Data &amp; Reporting</x:v>
      </x:c>
      <x:c r="G290" s="86"/>
      <x:c r="H290" s="14" t="str">
        <x:f>IF($P290="","",INDEX(Tasks!$F$10:$F$1941,$P290)&amp;CHAR(10)&amp;INDEX(Tasks!$G$10:$G$1941,$P290))</x:f>
        <x:v>DR.RS.2.6
Document clear distinctions between facts, assumptions, and hypotheses within the data package</x:v>
      </x:c>
      <x:c r="I290" s="14"/>
      <x:c r="J290" s="14"/>
      <x:c r="K290" s="14"/>
      <x:c r="L290" s="86" t="str">
        <x:f>IF($P290="","",INDEX(Tasks!$N$10:$N$1941,$P290))</x:f>
        <x:v>Not started</x:v>
      </x:c>
      <x:c r="M290" s="87" t="n">
        <x:f>IF($P290="","",INDEX(Tasks!$J$10:$J$1941,$P290))</x:f>
        <x:v>46295</x:v>
      </x:c>
      <x:c r="N290" s="85" t="str">
        <x:f>IF($P290="","",HYPERLINK("#'"&amp;INDEX(Tasks!$T$10:$T$1941,$P290)&amp;"'!A"&amp;INDEX(Tasks!$U$10:$U$1941,$P290),"Open"))</x:f>
        <x:v>Open</x:v>
      </x:c>
      <x:c r="O290" s="14"/>
      <x:c r="P290" s="14" t="n">
        <x:f>IF(269&gt;$B$10,"",MATCH(269,Tasks!$S$10:$S$1941,0))</x:f>
        <x:v>542</x:v>
      </x:c>
    </x:row>
    <x:row r="291" ht="58" customHeight="1">
      <x:c r="B291" s="86" t="str">
        <x:f>IF($P291="","",INDEX(Tasks!$B$10:$B$1941,$P291))</x:f>
        <x:v>Cycle 3</x:v>
      </x:c>
      <x:c r="C291" s="86" t="str">
        <x:f>IF($P291="","",INDEX(Tasks!$C$10:$C$1941,$P291))</x:f>
        <x:v>Phase 3</x:v>
      </x:c>
      <x:c r="D291" s="86" t="str">
        <x:f>IF($P291="","",INDEX(Tasks!$D$10:$D$1941,$P291))</x:f>
        <x:v>Retail Services</x:v>
      </x:c>
      <x:c r="E291" s="86"/>
      <x:c r="F291" s="86" t="str">
        <x:f>IF($P291="","",INDEX(Tasks!$E$10:$E$1941,$P291))</x:f>
        <x:v>Data &amp; Reporting</x:v>
      </x:c>
      <x:c r="G291" s="86"/>
      <x:c r="H291" s="14" t="str">
        <x:f>IF($P291="","",INDEX(Tasks!$F$10:$F$1941,$P291)&amp;CHAR(10)&amp;INDEX(Tasks!$G$10:$G$1941,$P291))</x:f>
        <x:v>DR.RS.3.1
Clearly document rationale for each topic recommendation within the SharePoint list item</x:v>
      </x:c>
      <x:c r="I291" s="14"/>
      <x:c r="J291" s="14"/>
      <x:c r="K291" s="14"/>
      <x:c r="L291" s="86" t="str">
        <x:f>IF($P291="","",INDEX(Tasks!$N$10:$N$1941,$P291))</x:f>
        <x:v>Not started</x:v>
      </x:c>
      <x:c r="M291" s="87" t="n">
        <x:f>IF($P291="","",INDEX(Tasks!$J$10:$J$1941,$P291))</x:f>
        <x:v>46295</x:v>
      </x:c>
      <x:c r="N291" s="85" t="str">
        <x:f>IF($P291="","",HYPERLINK("#'"&amp;INDEX(Tasks!$T$10:$T$1941,$P291)&amp;"'!A"&amp;INDEX(Tasks!$U$10:$U$1941,$P291),"Open"))</x:f>
        <x:v>Open</x:v>
      </x:c>
      <x:c r="O291" s="14"/>
      <x:c r="P291" s="14" t="n">
        <x:f>IF(270&gt;$B$10,"",MATCH(270,Tasks!$S$10:$S$1941,0))</x:f>
        <x:v>543</x:v>
      </x:c>
    </x:row>
    <x:row r="292" ht="58" customHeight="1">
      <x:c r="B292" s="86" t="str">
        <x:f>IF($P292="","",INDEX(Tasks!$B$10:$B$1941,$P292))</x:f>
        <x:v>Cycle 3</x:v>
      </x:c>
      <x:c r="C292" s="86" t="str">
        <x:f>IF($P292="","",INDEX(Tasks!$C$10:$C$1941,$P292))</x:f>
        <x:v>Phase 3</x:v>
      </x:c>
      <x:c r="D292" s="86" t="str">
        <x:f>IF($P292="","",INDEX(Tasks!$D$10:$D$1941,$P292))</x:f>
        <x:v>Retail Services</x:v>
      </x:c>
      <x:c r="E292" s="86"/>
      <x:c r="F292" s="86" t="str">
        <x:f>IF($P292="","",INDEX(Tasks!$E$10:$E$1941,$P292))</x:f>
        <x:v>Data &amp; Reporting</x:v>
      </x:c>
      <x:c r="G292" s="86"/>
      <x:c r="H292" s="14" t="str">
        <x:f>IF($P292="","",INDEX(Tasks!$F$10:$F$1941,$P292)&amp;CHAR(10)&amp;INDEX(Tasks!$G$10:$G$1941,$P292))</x:f>
        <x:v>DR.RS.3.2
Attach the data package for each topic recommendation within the SharePoint list item</x:v>
      </x:c>
      <x:c r="I292" s="14"/>
      <x:c r="J292" s="14"/>
      <x:c r="K292" s="14"/>
      <x:c r="L292" s="86" t="str">
        <x:f>IF($P292="","",INDEX(Tasks!$N$10:$N$1941,$P292))</x:f>
        <x:v>Not started</x:v>
      </x:c>
      <x:c r="M292" s="87" t="n">
        <x:f>IF($P292="","",INDEX(Tasks!$J$10:$J$1941,$P292))</x:f>
        <x:v>46295</x:v>
      </x:c>
      <x:c r="N292" s="85" t="str">
        <x:f>IF($P292="","",HYPERLINK("#'"&amp;INDEX(Tasks!$T$10:$T$1941,$P292)&amp;"'!A"&amp;INDEX(Tasks!$U$10:$U$1941,$P292),"Open"))</x:f>
        <x:v>Open</x:v>
      </x:c>
      <x:c r="O292" s="14"/>
      <x:c r="P292" s="14" t="n">
        <x:f>IF(271&gt;$B$10,"",MATCH(271,Tasks!$S$10:$S$1941,0))</x:f>
        <x:v>544</x:v>
      </x:c>
    </x:row>
    <x:row r="293" ht="58" customHeight="1">
      <x:c r="B293" s="86" t="str">
        <x:f>IF($P293="","",INDEX(Tasks!$B$10:$B$1941,$P293))</x:f>
        <x:v>Cycle 3</x:v>
      </x:c>
      <x:c r="C293" s="86" t="str">
        <x:f>IF($P293="","",INDEX(Tasks!$C$10:$C$1941,$P293))</x:f>
        <x:v>Phase 3</x:v>
      </x:c>
      <x:c r="D293" s="86" t="str">
        <x:f>IF($P293="","",INDEX(Tasks!$D$10:$D$1941,$P293))</x:f>
        <x:v>Retail Services</x:v>
      </x:c>
      <x:c r="E293" s="86"/>
      <x:c r="F293" s="86" t="str">
        <x:f>IF($P293="","",INDEX(Tasks!$E$10:$E$1941,$P293))</x:f>
        <x:v>Data &amp; Reporting</x:v>
      </x:c>
      <x:c r="G293" s="86"/>
      <x:c r="H293" s="14" t="str">
        <x:f>IF($P293="","",INDEX(Tasks!$F$10:$F$1941,$P293)&amp;CHAR(10)&amp;INDEX(Tasks!$G$10:$G$1941,$P293))</x:f>
        <x:v>DR.RS.3.3
Confirm data privileges have been granted, ensuring each pillar can access</x:v>
      </x:c>
      <x:c r="I293" s="14"/>
      <x:c r="J293" s="14"/>
      <x:c r="K293" s="14"/>
      <x:c r="L293" s="86" t="str">
        <x:f>IF($P293="","",INDEX(Tasks!$N$10:$N$1941,$P293))</x:f>
        <x:v>Not started</x:v>
      </x:c>
      <x:c r="M293" s="87" t="n">
        <x:f>IF($P293="","",INDEX(Tasks!$J$10:$J$1941,$P293))</x:f>
        <x:v>46295</x:v>
      </x:c>
      <x:c r="N293" s="85" t="str">
        <x:f>IF($P293="","",HYPERLINK("#'"&amp;INDEX(Tasks!$T$10:$T$1941,$P293)&amp;"'!A"&amp;INDEX(Tasks!$U$10:$U$1941,$P293),"Open"))</x:f>
        <x:v>Open</x:v>
      </x:c>
      <x:c r="O293" s="14"/>
      <x:c r="P293" s="14" t="n">
        <x:f>IF(272&gt;$B$10,"",MATCH(272,Tasks!$S$10:$S$1941,0))</x:f>
        <x:v>545</x:v>
      </x:c>
    </x:row>
    <x:row r="294" ht="58" customHeight="1">
      <x:c r="B294" s="86" t="str">
        <x:f>IF($P294="","",INDEX(Tasks!$B$10:$B$1941,$P294))</x:f>
        <x:v>Cycle 3</x:v>
      </x:c>
      <x:c r="C294" s="86" t="str">
        <x:f>IF($P294="","",INDEX(Tasks!$C$10:$C$1941,$P294))</x:f>
        <x:v>Phase 3</x:v>
      </x:c>
      <x:c r="D294" s="86" t="str">
        <x:f>IF($P294="","",INDEX(Tasks!$D$10:$D$1941,$P294))</x:f>
        <x:v>Retail Services</x:v>
      </x:c>
      <x:c r="E294" s="86"/>
      <x:c r="F294" s="86" t="str">
        <x:f>IF($P294="","",INDEX(Tasks!$E$10:$E$1941,$P294))</x:f>
        <x:v>Data &amp; Reporting</x:v>
      </x:c>
      <x:c r="G294" s="86"/>
      <x:c r="H294" s="14" t="str">
        <x:f>IF($P294="","",INDEX(Tasks!$F$10:$F$1941,$P294)&amp;CHAR(10)&amp;INDEX(Tasks!$G$10:$G$1941,$P294))</x:f>
        <x:v>DR.RS.3.4
Ensure Power Automate notifications were correctly triggered within Microsoft Teams</x:v>
      </x:c>
      <x:c r="I294" s="14"/>
      <x:c r="J294" s="14"/>
      <x:c r="K294" s="14"/>
      <x:c r="L294" s="86" t="str">
        <x:f>IF($P294="","",INDEX(Tasks!$N$10:$N$1941,$P294))</x:f>
        <x:v>Not started</x:v>
      </x:c>
      <x:c r="M294" s="87" t="n">
        <x:f>IF($P294="","",INDEX(Tasks!$J$10:$J$1941,$P294))</x:f>
        <x:v>46295</x:v>
      </x:c>
      <x:c r="N294" s="85" t="str">
        <x:f>IF($P294="","",HYPERLINK("#'"&amp;INDEX(Tasks!$T$10:$T$1941,$P294)&amp;"'!A"&amp;INDEX(Tasks!$U$10:$U$1941,$P294),"Open"))</x:f>
        <x:v>Open</x:v>
      </x:c>
      <x:c r="O294" s="14"/>
      <x:c r="P294" s="14" t="n">
        <x:f>IF(273&gt;$B$10,"",MATCH(273,Tasks!$S$10:$S$1941,0))</x:f>
        <x:v>546</x:v>
      </x:c>
    </x:row>
    <x:row r="295" ht="58" customHeight="1">
      <x:c r="B295" s="86" t="str">
        <x:f>IF($P295="","",INDEX(Tasks!$B$10:$B$1941,$P295))</x:f>
        <x:v>Cycle 4</x:v>
      </x:c>
      <x:c r="C295" s="86" t="str">
        <x:f>IF($P295="","",INDEX(Tasks!$C$10:$C$1941,$P295))</x:f>
        <x:v>Phase 1</x:v>
      </x:c>
      <x:c r="D295" s="86" t="str">
        <x:f>IF($P295="","",INDEX(Tasks!$D$10:$D$1941,$P295))</x:f>
        <x:v>Auto</x:v>
      </x:c>
      <x:c r="E295" s="86"/>
      <x:c r="F295" s="86" t="str">
        <x:f>IF($P295="","",INDEX(Tasks!$E$10:$E$1941,$P295))</x:f>
        <x:v>Data &amp; Reporting</x:v>
      </x:c>
      <x:c r="G295" s="86"/>
      <x:c r="H295" s="14" t="str">
        <x:f>IF($P295="","",INDEX(Tasks!$F$10:$F$1941,$P295)&amp;CHAR(10)&amp;INDEX(Tasks!$G$10:$G$1941,$P295))</x:f>
        <x:v>DR.AU.1.1
Review data sources 3 weeks prior to Cycle start (Complaints, Gen AI, Loudspeaker, NPS, etc.)</x:v>
      </x:c>
      <x:c r="I295" s="14"/>
      <x:c r="J295" s="14"/>
      <x:c r="K295" s="14"/>
      <x:c r="L295" s="86" t="str">
        <x:f>IF($P295="","",INDEX(Tasks!$N$10:$N$1941,$P295))</x:f>
        <x:v>Not started</x:v>
      </x:c>
      <x:c r="M295" s="87" t="n">
        <x:f>IF($P295="","",INDEX(Tasks!$J$10:$J$1941,$P295))</x:f>
        <x:v>46275</x:v>
      </x:c>
      <x:c r="N295" s="85" t="str">
        <x:f>IF($P295="","",HYPERLINK("#'"&amp;INDEX(Tasks!$T$10:$T$1941,$P295)&amp;"'!A"&amp;INDEX(Tasks!$U$10:$U$1941,$P295),"Open"))</x:f>
        <x:v>Open</x:v>
      </x:c>
      <x:c r="O295" s="14"/>
      <x:c r="P295" s="14" t="n">
        <x:f>IF(274&gt;$B$10,"",MATCH(274,Tasks!$S$10:$S$1941,0))</x:f>
        <x:v>547</x:v>
      </x:c>
    </x:row>
    <x:row r="296" ht="58" customHeight="1">
      <x:c r="B296" s="86" t="str">
        <x:f>IF($P296="","",INDEX(Tasks!$B$10:$B$1941,$P296))</x:f>
        <x:v>Cycle 4</x:v>
      </x:c>
      <x:c r="C296" s="86" t="str">
        <x:f>IF($P296="","",INDEX(Tasks!$C$10:$C$1941,$P296))</x:f>
        <x:v>Phase 1</x:v>
      </x:c>
      <x:c r="D296" s="86" t="str">
        <x:f>IF($P296="","",INDEX(Tasks!$D$10:$D$1941,$P296))</x:f>
        <x:v>Auto</x:v>
      </x:c>
      <x:c r="E296" s="86"/>
      <x:c r="F296" s="86" t="str">
        <x:f>IF($P296="","",INDEX(Tasks!$E$10:$E$1941,$P296))</x:f>
        <x:v>Data &amp; Reporting</x:v>
      </x:c>
      <x:c r="G296" s="86"/>
      <x:c r="H296" s="14" t="str">
        <x:f>IF($P296="","",INDEX(Tasks!$F$10:$F$1941,$P296)&amp;CHAR(10)&amp;INDEX(Tasks!$G$10:$G$1941,$P296))</x:f>
        <x:v>DR.AU.1.2
Identify two potential topics for the upcoming Cycle</x:v>
      </x:c>
      <x:c r="I296" s="14"/>
      <x:c r="J296" s="14"/>
      <x:c r="K296" s="14"/>
      <x:c r="L296" s="86" t="str">
        <x:f>IF($P296="","",INDEX(Tasks!$N$10:$N$1941,$P296))</x:f>
        <x:v>Not started</x:v>
      </x:c>
      <x:c r="M296" s="87" t="n">
        <x:f>IF($P296="","",INDEX(Tasks!$J$10:$J$1941,$P296))</x:f>
        <x:v>46387</x:v>
      </x:c>
      <x:c r="N296" s="85" t="str">
        <x:f>IF($P296="","",HYPERLINK("#'"&amp;INDEX(Tasks!$T$10:$T$1941,$P296)&amp;"'!A"&amp;INDEX(Tasks!$U$10:$U$1941,$P296),"Open"))</x:f>
        <x:v>Open</x:v>
      </x:c>
      <x:c r="O296" s="14"/>
      <x:c r="P296" s="14" t="n">
        <x:f>IF(275&gt;$B$10,"",MATCH(275,Tasks!$S$10:$S$1941,0))</x:f>
        <x:v>548</x:v>
      </x:c>
    </x:row>
    <x:row r="297" ht="58" customHeight="1">
      <x:c r="B297" s="86" t="str">
        <x:f>IF($P297="","",INDEX(Tasks!$B$10:$B$1941,$P297))</x:f>
        <x:v>Cycle 4</x:v>
      </x:c>
      <x:c r="C297" s="86" t="str">
        <x:f>IF($P297="","",INDEX(Tasks!$C$10:$C$1941,$P297))</x:f>
        <x:v>Phase 1</x:v>
      </x:c>
      <x:c r="D297" s="86" t="str">
        <x:f>IF($P297="","",INDEX(Tasks!$D$10:$D$1941,$P297))</x:f>
        <x:v>Auto</x:v>
      </x:c>
      <x:c r="E297" s="86"/>
      <x:c r="F297" s="86" t="str">
        <x:f>IF($P297="","",INDEX(Tasks!$E$10:$E$1941,$P297))</x:f>
        <x:v>Data &amp; Reporting</x:v>
      </x:c>
      <x:c r="G297" s="86"/>
      <x:c r="H297" s="14" t="str">
        <x:f>IF($P297="","",INDEX(Tasks!$F$10:$F$1941,$P297)&amp;CHAR(10)&amp;INDEX(Tasks!$G$10:$G$1941,$P297))</x:f>
        <x:v>DR.AU.1.3
Extract data for both potential topics, ensuring all checklist items below are included/completed</x:v>
      </x:c>
      <x:c r="I297" s="14"/>
      <x:c r="J297" s="14"/>
      <x:c r="K297" s="14"/>
      <x:c r="L297" s="86" t="str">
        <x:f>IF($P297="","",INDEX(Tasks!$N$10:$N$1941,$P297))</x:f>
        <x:v>Not started</x:v>
      </x:c>
      <x:c r="M297" s="87" t="n">
        <x:f>IF($P297="","",INDEX(Tasks!$J$10:$J$1941,$P297))</x:f>
        <x:v>46387</x:v>
      </x:c>
      <x:c r="N297" s="85" t="str">
        <x:f>IF($P297="","",HYPERLINK("#'"&amp;INDEX(Tasks!$T$10:$T$1941,$P297)&amp;"'!A"&amp;INDEX(Tasks!$U$10:$U$1941,$P297),"Open"))</x:f>
        <x:v>Open</x:v>
      </x:c>
      <x:c r="O297" s="14"/>
      <x:c r="P297" s="14" t="n">
        <x:f>IF(276&gt;$B$10,"",MATCH(276,Tasks!$S$10:$S$1941,0))</x:f>
        <x:v>549</x:v>
      </x:c>
    </x:row>
    <x:row r="298" ht="58" customHeight="1">
      <x:c r="B298" s="86" t="str">
        <x:f>IF($P298="","",INDEX(Tasks!$B$10:$B$1941,$P298))</x:f>
        <x:v>Cycle 4</x:v>
      </x:c>
      <x:c r="C298" s="86" t="str">
        <x:f>IF($P298="","",INDEX(Tasks!$C$10:$C$1941,$P298))</x:f>
        <x:v>Phase 2</x:v>
      </x:c>
      <x:c r="D298" s="86" t="str">
        <x:f>IF($P298="","",INDEX(Tasks!$D$10:$D$1941,$P298))</x:f>
        <x:v>Auto</x:v>
      </x:c>
      <x:c r="E298" s="86"/>
      <x:c r="F298" s="86" t="str">
        <x:f>IF($P298="","",INDEX(Tasks!$E$10:$E$1941,$P298))</x:f>
        <x:v>Data &amp; Reporting</x:v>
      </x:c>
      <x:c r="G298" s="86"/>
      <x:c r="H298" s="14" t="str">
        <x:f>IF($P298="","",INDEX(Tasks!$F$10:$F$1941,$P298)&amp;CHAR(10)&amp;INDEX(Tasks!$G$10:$G$1941,$P298))</x:f>
        <x:v>DR.AU.2.1
Ensure data is clean, structured, and usable without manipulation needed</x:v>
      </x:c>
      <x:c r="I298" s="14"/>
      <x:c r="J298" s="14"/>
      <x:c r="K298" s="14"/>
      <x:c r="L298" s="86" t="str">
        <x:f>IF($P298="","",INDEX(Tasks!$N$10:$N$1941,$P298))</x:f>
        <x:v>Not started</x:v>
      </x:c>
      <x:c r="M298" s="87" t="n">
        <x:f>IF($P298="","",INDEX(Tasks!$J$10:$J$1941,$P298))</x:f>
        <x:v>46387</x:v>
      </x:c>
      <x:c r="N298" s="85" t="str">
        <x:f>IF($P298="","",HYPERLINK("#'"&amp;INDEX(Tasks!$T$10:$T$1941,$P298)&amp;"'!A"&amp;INDEX(Tasks!$U$10:$U$1941,$P298),"Open"))</x:f>
        <x:v>Open</x:v>
      </x:c>
      <x:c r="O298" s="14"/>
      <x:c r="P298" s="14" t="n">
        <x:f>IF(277&gt;$B$10,"",MATCH(277,Tasks!$S$10:$S$1941,0))</x:f>
        <x:v>563</x:v>
      </x:c>
    </x:row>
    <x:row r="299" ht="58" customHeight="1">
      <x:c r="B299" s="86" t="str">
        <x:f>IF($P299="","",INDEX(Tasks!$B$10:$B$1941,$P299))</x:f>
        <x:v>Cycle 4</x:v>
      </x:c>
      <x:c r="C299" s="86" t="str">
        <x:f>IF($P299="","",INDEX(Tasks!$C$10:$C$1941,$P299))</x:f>
        <x:v>Phase 2</x:v>
      </x:c>
      <x:c r="D299" s="86" t="str">
        <x:f>IF($P299="","",INDEX(Tasks!$D$10:$D$1941,$P299))</x:f>
        <x:v>Auto</x:v>
      </x:c>
      <x:c r="E299" s="86"/>
      <x:c r="F299" s="86" t="str">
        <x:f>IF($P299="","",INDEX(Tasks!$E$10:$E$1941,$P299))</x:f>
        <x:v>Data &amp; Reporting</x:v>
      </x:c>
      <x:c r="G299" s="86"/>
      <x:c r="H299" s="14" t="str">
        <x:f>IF($P299="","",INDEX(Tasks!$F$10:$F$1941,$P299)&amp;CHAR(10)&amp;INDEX(Tasks!$G$10:$G$1941,$P299))</x:f>
        <x:v>DR.AU.2.2
Clearly document rationale for each topic recommendation within the SharePoint list</x:v>
      </x:c>
      <x:c r="I299" s="14"/>
      <x:c r="J299" s="14"/>
      <x:c r="K299" s="14"/>
      <x:c r="L299" s="86" t="str">
        <x:f>IF($P299="","",INDEX(Tasks!$N$10:$N$1941,$P299))</x:f>
        <x:v>Not started</x:v>
      </x:c>
      <x:c r="M299" s="87" t="n">
        <x:f>IF($P299="","",INDEX(Tasks!$J$10:$J$1941,$P299))</x:f>
        <x:v>46387</x:v>
      </x:c>
      <x:c r="N299" s="85" t="str">
        <x:f>IF($P299="","",HYPERLINK("#'"&amp;INDEX(Tasks!$T$10:$T$1941,$P299)&amp;"'!A"&amp;INDEX(Tasks!$U$10:$U$1941,$P299),"Open"))</x:f>
        <x:v>Open</x:v>
      </x:c>
      <x:c r="O299" s="14"/>
      <x:c r="P299" s="14" t="n">
        <x:f>IF(278&gt;$B$10,"",MATCH(278,Tasks!$S$10:$S$1941,0))</x:f>
        <x:v>564</x:v>
      </x:c>
    </x:row>
    <x:row r="300" ht="58" customHeight="1">
      <x:c r="B300" s="86" t="str">
        <x:f>IF($P300="","",INDEX(Tasks!$B$10:$B$1941,$P300))</x:f>
        <x:v>Cycle 4</x:v>
      </x:c>
      <x:c r="C300" s="86" t="str">
        <x:f>IF($P300="","",INDEX(Tasks!$C$10:$C$1941,$P300))</x:f>
        <x:v>Phase 2</x:v>
      </x:c>
      <x:c r="D300" s="86" t="str">
        <x:f>IF($P300="","",INDEX(Tasks!$D$10:$D$1941,$P300))</x:f>
        <x:v>Auto</x:v>
      </x:c>
      <x:c r="E300" s="86"/>
      <x:c r="F300" s="86" t="str">
        <x:f>IF($P300="","",INDEX(Tasks!$E$10:$E$1941,$P300))</x:f>
        <x:v>Data &amp; Reporting</x:v>
      </x:c>
      <x:c r="G300" s="86"/>
      <x:c r="H300" s="14" t="str">
        <x:f>IF($P300="","",INDEX(Tasks!$F$10:$F$1941,$P300)&amp;CHAR(10)&amp;INDEX(Tasks!$G$10:$G$1941,$P300))</x:f>
        <x:v>DR.AU.2.3
Verify topic is eligible for RCA and does not conflict with Attorney Client Privilege</x:v>
      </x:c>
      <x:c r="I300" s="14"/>
      <x:c r="J300" s="14"/>
      <x:c r="K300" s="14"/>
      <x:c r="L300" s="86" t="str">
        <x:f>IF($P300="","",INDEX(Tasks!$N$10:$N$1941,$P300))</x:f>
        <x:v>Not started</x:v>
      </x:c>
      <x:c r="M300" s="87" t="n">
        <x:f>IF($P300="","",INDEX(Tasks!$J$10:$J$1941,$P300))</x:f>
        <x:v>46387</x:v>
      </x:c>
      <x:c r="N300" s="85" t="str">
        <x:f>IF($P300="","",HYPERLINK("#'"&amp;INDEX(Tasks!$T$10:$T$1941,$P300)&amp;"'!A"&amp;INDEX(Tasks!$U$10:$U$1941,$P300),"Open"))</x:f>
        <x:v>Open</x:v>
      </x:c>
      <x:c r="O300" s="14"/>
      <x:c r="P300" s="14" t="n">
        <x:f>IF(279&gt;$B$10,"",MATCH(279,Tasks!$S$10:$S$1941,0))</x:f>
        <x:v>565</x:v>
      </x:c>
    </x:row>
    <x:row r="301" ht="58" customHeight="1">
      <x:c r="B301" s="86" t="str">
        <x:f>IF($P301="","",INDEX(Tasks!$B$10:$B$1941,$P301))</x:f>
        <x:v>Cycle 4</x:v>
      </x:c>
      <x:c r="C301" s="86" t="str">
        <x:f>IF($P301="","",INDEX(Tasks!$C$10:$C$1941,$P301))</x:f>
        <x:v>Phase 2</x:v>
      </x:c>
      <x:c r="D301" s="86" t="str">
        <x:f>IF($P301="","",INDEX(Tasks!$D$10:$D$1941,$P301))</x:f>
        <x:v>Auto</x:v>
      </x:c>
      <x:c r="E301" s="86"/>
      <x:c r="F301" s="86" t="str">
        <x:f>IF($P301="","",INDEX(Tasks!$E$10:$E$1941,$P301))</x:f>
        <x:v>Data &amp; Reporting</x:v>
      </x:c>
      <x:c r="G301" s="86"/>
      <x:c r="H301" s="14" t="str">
        <x:f>IF($P301="","",INDEX(Tasks!$F$10:$F$1941,$P301)&amp;CHAR(10)&amp;INDEX(Tasks!$G$10:$G$1941,$P301))</x:f>
        <x:v>DR.AU.2.4
Ensure data is free of errors and anomalies prior to hand-off to Research</x:v>
      </x:c>
      <x:c r="I301" s="14"/>
      <x:c r="J301" s="14"/>
      <x:c r="K301" s="14"/>
      <x:c r="L301" s="86" t="str">
        <x:f>IF($P301="","",INDEX(Tasks!$N$10:$N$1941,$P301))</x:f>
        <x:v>Not started</x:v>
      </x:c>
      <x:c r="M301" s="87" t="n">
        <x:f>IF($P301="","",INDEX(Tasks!$J$10:$J$1941,$P301))</x:f>
        <x:v>46387</x:v>
      </x:c>
      <x:c r="N301" s="85" t="str">
        <x:f>IF($P301="","",HYPERLINK("#'"&amp;INDEX(Tasks!$T$10:$T$1941,$P301)&amp;"'!A"&amp;INDEX(Tasks!$U$10:$U$1941,$P301),"Open"))</x:f>
        <x:v>Open</x:v>
      </x:c>
      <x:c r="O301" s="14"/>
      <x:c r="P301" s="14" t="n">
        <x:f>IF(280&gt;$B$10,"",MATCH(280,Tasks!$S$10:$S$1941,0))</x:f>
        <x:v>566</x:v>
      </x:c>
    </x:row>
    <x:row r="302" ht="58" customHeight="1">
      <x:c r="B302" s="86" t="str">
        <x:f>IF($P302="","",INDEX(Tasks!$B$10:$B$1941,$P302))</x:f>
        <x:v>Cycle 4</x:v>
      </x:c>
      <x:c r="C302" s="86" t="str">
        <x:f>IF($P302="","",INDEX(Tasks!$C$10:$C$1941,$P302))</x:f>
        <x:v>Phase 2</x:v>
      </x:c>
      <x:c r="D302" s="86" t="str">
        <x:f>IF($P302="","",INDEX(Tasks!$D$10:$D$1941,$P302))</x:f>
        <x:v>Auto</x:v>
      </x:c>
      <x:c r="E302" s="86"/>
      <x:c r="F302" s="86" t="str">
        <x:f>IF($P302="","",INDEX(Tasks!$E$10:$E$1941,$P302))</x:f>
        <x:v>Data &amp; Reporting</x:v>
      </x:c>
      <x:c r="G302" s="86"/>
      <x:c r="H302" s="14" t="str">
        <x:f>IF($P302="","",INDEX(Tasks!$F$10:$F$1941,$P302)&amp;CHAR(10)&amp;INDEX(Tasks!$G$10:$G$1941,$P302))</x:f>
        <x:v>DR.AU.2.5
Ensure topic is not a duplicate from a previous Cycle</x:v>
      </x:c>
      <x:c r="I302" s="14"/>
      <x:c r="J302" s="14"/>
      <x:c r="K302" s="14"/>
      <x:c r="L302" s="86" t="str">
        <x:f>IF($P302="","",INDEX(Tasks!$N$10:$N$1941,$P302))</x:f>
        <x:v>Not started</x:v>
      </x:c>
      <x:c r="M302" s="87" t="n">
        <x:f>IF($P302="","",INDEX(Tasks!$J$10:$J$1941,$P302))</x:f>
        <x:v>46387</x:v>
      </x:c>
      <x:c r="N302" s="85" t="str">
        <x:f>IF($P302="","",HYPERLINK("#'"&amp;INDEX(Tasks!$T$10:$T$1941,$P302)&amp;"'!A"&amp;INDEX(Tasks!$U$10:$U$1941,$P302),"Open"))</x:f>
        <x:v>Open</x:v>
      </x:c>
      <x:c r="O302" s="14"/>
      <x:c r="P302" s="14" t="n">
        <x:f>IF(281&gt;$B$10,"",MATCH(281,Tasks!$S$10:$S$1941,0))</x:f>
        <x:v>567</x:v>
      </x:c>
    </x:row>
    <x:row r="303" ht="58" customHeight="1">
      <x:c r="B303" s="86" t="str">
        <x:f>IF($P303="","",INDEX(Tasks!$B$10:$B$1941,$P303))</x:f>
        <x:v>Cycle 4</x:v>
      </x:c>
      <x:c r="C303" s="86" t="str">
        <x:f>IF($P303="","",INDEX(Tasks!$C$10:$C$1941,$P303))</x:f>
        <x:v>Phase 2</x:v>
      </x:c>
      <x:c r="D303" s="86" t="str">
        <x:f>IF($P303="","",INDEX(Tasks!$D$10:$D$1941,$P303))</x:f>
        <x:v>Auto</x:v>
      </x:c>
      <x:c r="E303" s="86"/>
      <x:c r="F303" s="86" t="str">
        <x:f>IF($P303="","",INDEX(Tasks!$E$10:$E$1941,$P303))</x:f>
        <x:v>Data &amp; Reporting</x:v>
      </x:c>
      <x:c r="G303" s="86"/>
      <x:c r="H303" s="14" t="str">
        <x:f>IF($P303="","",INDEX(Tasks!$F$10:$F$1941,$P303)&amp;CHAR(10)&amp;INDEX(Tasks!$G$10:$G$1941,$P303))</x:f>
        <x:v>DR.AU.2.6
Document clear distinctions between facts, assumptions, and hypotheses within the data package</x:v>
      </x:c>
      <x:c r="I303" s="14"/>
      <x:c r="J303" s="14"/>
      <x:c r="K303" s="14"/>
      <x:c r="L303" s="86" t="str">
        <x:f>IF($P303="","",INDEX(Tasks!$N$10:$N$1941,$P303))</x:f>
        <x:v>Not started</x:v>
      </x:c>
      <x:c r="M303" s="87" t="n">
        <x:f>IF($P303="","",INDEX(Tasks!$J$10:$J$1941,$P303))</x:f>
        <x:v>46387</x:v>
      </x:c>
      <x:c r="N303" s="85" t="str">
        <x:f>IF($P303="","",HYPERLINK("#'"&amp;INDEX(Tasks!$T$10:$T$1941,$P303)&amp;"'!A"&amp;INDEX(Tasks!$U$10:$U$1941,$P303),"Open"))</x:f>
        <x:v>Open</x:v>
      </x:c>
      <x:c r="O303" s="14"/>
      <x:c r="P303" s="14" t="n">
        <x:f>IF(282&gt;$B$10,"",MATCH(282,Tasks!$S$10:$S$1941,0))</x:f>
        <x:v>568</x:v>
      </x:c>
    </x:row>
    <x:row r="304" ht="58" customHeight="1">
      <x:c r="B304" s="86" t="str">
        <x:f>IF($P304="","",INDEX(Tasks!$B$10:$B$1941,$P304))</x:f>
        <x:v>Cycle 4</x:v>
      </x:c>
      <x:c r="C304" s="86" t="str">
        <x:f>IF($P304="","",INDEX(Tasks!$C$10:$C$1941,$P304))</x:f>
        <x:v>Phase 3</x:v>
      </x:c>
      <x:c r="D304" s="86" t="str">
        <x:f>IF($P304="","",INDEX(Tasks!$D$10:$D$1941,$P304))</x:f>
        <x:v>Auto</x:v>
      </x:c>
      <x:c r="E304" s="86"/>
      <x:c r="F304" s="86" t="str">
        <x:f>IF($P304="","",INDEX(Tasks!$E$10:$E$1941,$P304))</x:f>
        <x:v>Data &amp; Reporting</x:v>
      </x:c>
      <x:c r="G304" s="86"/>
      <x:c r="H304" s="14" t="str">
        <x:f>IF($P304="","",INDEX(Tasks!$F$10:$F$1941,$P304)&amp;CHAR(10)&amp;INDEX(Tasks!$G$10:$G$1941,$P304))</x:f>
        <x:v>DR.AU.3.1
Clearly document rationale for each topic recommendation within the SharePoint list item</x:v>
      </x:c>
      <x:c r="I304" s="14"/>
      <x:c r="J304" s="14"/>
      <x:c r="K304" s="14"/>
      <x:c r="L304" s="86" t="str">
        <x:f>IF($P304="","",INDEX(Tasks!$N$10:$N$1941,$P304))</x:f>
        <x:v>Not started</x:v>
      </x:c>
      <x:c r="M304" s="87" t="n">
        <x:f>IF($P304="","",INDEX(Tasks!$J$10:$J$1941,$P304))</x:f>
        <x:v>46387</x:v>
      </x:c>
      <x:c r="N304" s="85" t="str">
        <x:f>IF($P304="","",HYPERLINK("#'"&amp;INDEX(Tasks!$T$10:$T$1941,$P304)&amp;"'!A"&amp;INDEX(Tasks!$U$10:$U$1941,$P304),"Open"))</x:f>
        <x:v>Open</x:v>
      </x:c>
      <x:c r="O304" s="14"/>
      <x:c r="P304" s="14" t="n">
        <x:f>IF(283&gt;$B$10,"",MATCH(283,Tasks!$S$10:$S$1941,0))</x:f>
        <x:v>569</x:v>
      </x:c>
    </x:row>
    <x:row r="305" ht="58" customHeight="1">
      <x:c r="B305" s="86" t="str">
        <x:f>IF($P305="","",INDEX(Tasks!$B$10:$B$1941,$P305))</x:f>
        <x:v>Cycle 4</x:v>
      </x:c>
      <x:c r="C305" s="86" t="str">
        <x:f>IF($P305="","",INDEX(Tasks!$C$10:$C$1941,$P305))</x:f>
        <x:v>Phase 3</x:v>
      </x:c>
      <x:c r="D305" s="86" t="str">
        <x:f>IF($P305="","",INDEX(Tasks!$D$10:$D$1941,$P305))</x:f>
        <x:v>Auto</x:v>
      </x:c>
      <x:c r="E305" s="86"/>
      <x:c r="F305" s="86" t="str">
        <x:f>IF($P305="","",INDEX(Tasks!$E$10:$E$1941,$P305))</x:f>
        <x:v>Data &amp; Reporting</x:v>
      </x:c>
      <x:c r="G305" s="86"/>
      <x:c r="H305" s="14" t="str">
        <x:f>IF($P305="","",INDEX(Tasks!$F$10:$F$1941,$P305)&amp;CHAR(10)&amp;INDEX(Tasks!$G$10:$G$1941,$P305))</x:f>
        <x:v>DR.AU.3.2
Attach the data package for each topic recommendation within the SharePoint list item</x:v>
      </x:c>
      <x:c r="I305" s="14"/>
      <x:c r="J305" s="14"/>
      <x:c r="K305" s="14"/>
      <x:c r="L305" s="86" t="str">
        <x:f>IF($P305="","",INDEX(Tasks!$N$10:$N$1941,$P305))</x:f>
        <x:v>Not started</x:v>
      </x:c>
      <x:c r="M305" s="87" t="n">
        <x:f>IF($P305="","",INDEX(Tasks!$J$10:$J$1941,$P305))</x:f>
        <x:v>46387</x:v>
      </x:c>
      <x:c r="N305" s="85" t="str">
        <x:f>IF($P305="","",HYPERLINK("#'"&amp;INDEX(Tasks!$T$10:$T$1941,$P305)&amp;"'!A"&amp;INDEX(Tasks!$U$10:$U$1941,$P305),"Open"))</x:f>
        <x:v>Open</x:v>
      </x:c>
      <x:c r="O305" s="14"/>
      <x:c r="P305" s="14" t="n">
        <x:f>IF(284&gt;$B$10,"",MATCH(284,Tasks!$S$10:$S$1941,0))</x:f>
        <x:v>570</x:v>
      </x:c>
    </x:row>
    <x:row r="306" ht="58" customHeight="1">
      <x:c r="B306" s="86" t="str">
        <x:f>IF($P306="","",INDEX(Tasks!$B$10:$B$1941,$P306))</x:f>
        <x:v>Cycle 4</x:v>
      </x:c>
      <x:c r="C306" s="86" t="str">
        <x:f>IF($P306="","",INDEX(Tasks!$C$10:$C$1941,$P306))</x:f>
        <x:v>Phase 3</x:v>
      </x:c>
      <x:c r="D306" s="86" t="str">
        <x:f>IF($P306="","",INDEX(Tasks!$D$10:$D$1941,$P306))</x:f>
        <x:v>Auto</x:v>
      </x:c>
      <x:c r="E306" s="86"/>
      <x:c r="F306" s="86" t="str">
        <x:f>IF($P306="","",INDEX(Tasks!$E$10:$E$1941,$P306))</x:f>
        <x:v>Data &amp; Reporting</x:v>
      </x:c>
      <x:c r="G306" s="86"/>
      <x:c r="H306" s="14" t="str">
        <x:f>IF($P306="","",INDEX(Tasks!$F$10:$F$1941,$P306)&amp;CHAR(10)&amp;INDEX(Tasks!$G$10:$G$1941,$P306))</x:f>
        <x:v>DR.AU.3.3
Confirm data privileges have been granted, ensuring each pillar can access</x:v>
      </x:c>
      <x:c r="I306" s="14"/>
      <x:c r="J306" s="14"/>
      <x:c r="K306" s="14"/>
      <x:c r="L306" s="86" t="str">
        <x:f>IF($P306="","",INDEX(Tasks!$N$10:$N$1941,$P306))</x:f>
        <x:v>Not started</x:v>
      </x:c>
      <x:c r="M306" s="87" t="n">
        <x:f>IF($P306="","",INDEX(Tasks!$J$10:$J$1941,$P306))</x:f>
        <x:v>46387</x:v>
      </x:c>
      <x:c r="N306" s="85" t="str">
        <x:f>IF($P306="","",HYPERLINK("#'"&amp;INDEX(Tasks!$T$10:$T$1941,$P306)&amp;"'!A"&amp;INDEX(Tasks!$U$10:$U$1941,$P306),"Open"))</x:f>
        <x:v>Open</x:v>
      </x:c>
      <x:c r="O306" s="14"/>
      <x:c r="P306" s="14" t="n">
        <x:f>IF(285&gt;$B$10,"",MATCH(285,Tasks!$S$10:$S$1941,0))</x:f>
        <x:v>571</x:v>
      </x:c>
    </x:row>
    <x:row r="307" ht="58" customHeight="1">
      <x:c r="B307" s="86" t="str">
        <x:f>IF($P307="","",INDEX(Tasks!$B$10:$B$1941,$P307))</x:f>
        <x:v>Cycle 4</x:v>
      </x:c>
      <x:c r="C307" s="86" t="str">
        <x:f>IF($P307="","",INDEX(Tasks!$C$10:$C$1941,$P307))</x:f>
        <x:v>Phase 3</x:v>
      </x:c>
      <x:c r="D307" s="86" t="str">
        <x:f>IF($P307="","",INDEX(Tasks!$D$10:$D$1941,$P307))</x:f>
        <x:v>Auto</x:v>
      </x:c>
      <x:c r="E307" s="86"/>
      <x:c r="F307" s="86" t="str">
        <x:f>IF($P307="","",INDEX(Tasks!$E$10:$E$1941,$P307))</x:f>
        <x:v>Data &amp; Reporting</x:v>
      </x:c>
      <x:c r="G307" s="86"/>
      <x:c r="H307" s="14" t="str">
        <x:f>IF($P307="","",INDEX(Tasks!$F$10:$F$1941,$P307)&amp;CHAR(10)&amp;INDEX(Tasks!$G$10:$G$1941,$P307))</x:f>
        <x:v>DR.AU.3.4
Ensure Power Automate notifications were correctly triggered within Microsoft Teams</x:v>
      </x:c>
      <x:c r="I307" s="14"/>
      <x:c r="J307" s="14"/>
      <x:c r="K307" s="14"/>
      <x:c r="L307" s="86" t="str">
        <x:f>IF($P307="","",INDEX(Tasks!$N$10:$N$1941,$P307))</x:f>
        <x:v>Not started</x:v>
      </x:c>
      <x:c r="M307" s="87" t="n">
        <x:f>IF($P307="","",INDEX(Tasks!$J$10:$J$1941,$P307))</x:f>
        <x:v>46387</x:v>
      </x:c>
      <x:c r="N307" s="85" t="str">
        <x:f>IF($P307="","",HYPERLINK("#'"&amp;INDEX(Tasks!$T$10:$T$1941,$P307)&amp;"'!A"&amp;INDEX(Tasks!$U$10:$U$1941,$P307),"Open"))</x:f>
        <x:v>Open</x:v>
      </x:c>
      <x:c r="O307" s="14"/>
      <x:c r="P307" s="14" t="n">
        <x:f>IF(286&gt;$B$10,"",MATCH(286,Tasks!$S$10:$S$1941,0))</x:f>
        <x:v>572</x:v>
      </x:c>
    </x:row>
    <x:row r="308" ht="58" customHeight="1">
      <x:c r="B308" s="86" t="str">
        <x:f>IF($P308="","",INDEX(Tasks!$B$10:$B$1941,$P308))</x:f>
        <x:v>Cycle 4</x:v>
      </x:c>
      <x:c r="C308" s="86" t="str">
        <x:f>IF($P308="","",INDEX(Tasks!$C$10:$C$1941,$P308))</x:f>
        <x:v>Phase 1</x:v>
      </x:c>
      <x:c r="D308" s="86" t="str">
        <x:f>IF($P308="","",INDEX(Tasks!$D$10:$D$1941,$P308))</x:f>
        <x:v>Cards</x:v>
      </x:c>
      <x:c r="E308" s="86"/>
      <x:c r="F308" s="86" t="str">
        <x:f>IF($P308="","",INDEX(Tasks!$E$10:$E$1941,$P308))</x:f>
        <x:v>Data &amp; Reporting</x:v>
      </x:c>
      <x:c r="G308" s="86"/>
      <x:c r="H308" s="14" t="str">
        <x:f>IF($P308="","",INDEX(Tasks!$F$10:$F$1941,$P308)&amp;CHAR(10)&amp;INDEX(Tasks!$G$10:$G$1941,$P308))</x:f>
        <x:v>DR.CA.1.1
Review data sources 3 weeks prior to Cycle start (Complaints, Gen AI, Loudspeaker, NPS, etc.)</x:v>
      </x:c>
      <x:c r="I308" s="14"/>
      <x:c r="J308" s="14"/>
      <x:c r="K308" s="14"/>
      <x:c r="L308" s="86" t="str">
        <x:f>IF($P308="","",INDEX(Tasks!$N$10:$N$1941,$P308))</x:f>
        <x:v>Not started</x:v>
      </x:c>
      <x:c r="M308" s="87" t="n">
        <x:f>IF($P308="","",INDEX(Tasks!$J$10:$J$1941,$P308))</x:f>
        <x:v>46275</x:v>
      </x:c>
      <x:c r="N308" s="85" t="str">
        <x:f>IF($P308="","",HYPERLINK("#'"&amp;INDEX(Tasks!$T$10:$T$1941,$P308)&amp;"'!A"&amp;INDEX(Tasks!$U$10:$U$1941,$P308),"Open"))</x:f>
        <x:v>Open</x:v>
      </x:c>
      <x:c r="O308" s="14"/>
      <x:c r="P308" s="14" t="n">
        <x:f>IF(287&gt;$B$10,"",MATCH(287,Tasks!$S$10:$S$1941,0))</x:f>
        <x:v>573</x:v>
      </x:c>
    </x:row>
    <x:row r="309" ht="58" customHeight="1">
      <x:c r="B309" s="86" t="str">
        <x:f>IF($P309="","",INDEX(Tasks!$B$10:$B$1941,$P309))</x:f>
        <x:v>Cycle 4</x:v>
      </x:c>
      <x:c r="C309" s="86" t="str">
        <x:f>IF($P309="","",INDEX(Tasks!$C$10:$C$1941,$P309))</x:f>
        <x:v>Phase 1</x:v>
      </x:c>
      <x:c r="D309" s="86" t="str">
        <x:f>IF($P309="","",INDEX(Tasks!$D$10:$D$1941,$P309))</x:f>
        <x:v>Cards</x:v>
      </x:c>
      <x:c r="E309" s="86"/>
      <x:c r="F309" s="86" t="str">
        <x:f>IF($P309="","",INDEX(Tasks!$E$10:$E$1941,$P309))</x:f>
        <x:v>Data &amp; Reporting</x:v>
      </x:c>
      <x:c r="G309" s="86"/>
      <x:c r="H309" s="14" t="str">
        <x:f>IF($P309="","",INDEX(Tasks!$F$10:$F$1941,$P309)&amp;CHAR(10)&amp;INDEX(Tasks!$G$10:$G$1941,$P309))</x:f>
        <x:v>DR.CA.1.2
Identify two potential topics for the upcoming Cycle</x:v>
      </x:c>
      <x:c r="I309" s="14"/>
      <x:c r="J309" s="14"/>
      <x:c r="K309" s="14"/>
      <x:c r="L309" s="86" t="str">
        <x:f>IF($P309="","",INDEX(Tasks!$N$10:$N$1941,$P309))</x:f>
        <x:v>Not started</x:v>
      </x:c>
      <x:c r="M309" s="87" t="n">
        <x:f>IF($P309="","",INDEX(Tasks!$J$10:$J$1941,$P309))</x:f>
        <x:v>46387</x:v>
      </x:c>
      <x:c r="N309" s="85" t="str">
        <x:f>IF($P309="","",HYPERLINK("#'"&amp;INDEX(Tasks!$T$10:$T$1941,$P309)&amp;"'!A"&amp;INDEX(Tasks!$U$10:$U$1941,$P309),"Open"))</x:f>
        <x:v>Open</x:v>
      </x:c>
      <x:c r="O309" s="14"/>
      <x:c r="P309" s="14" t="n">
        <x:f>IF(288&gt;$B$10,"",MATCH(288,Tasks!$S$10:$S$1941,0))</x:f>
        <x:v>574</x:v>
      </x:c>
    </x:row>
    <x:row r="310" ht="58" customHeight="1">
      <x:c r="B310" s="86" t="str">
        <x:f>IF($P310="","",INDEX(Tasks!$B$10:$B$1941,$P310))</x:f>
        <x:v>Cycle 4</x:v>
      </x:c>
      <x:c r="C310" s="86" t="str">
        <x:f>IF($P310="","",INDEX(Tasks!$C$10:$C$1941,$P310))</x:f>
        <x:v>Phase 1</x:v>
      </x:c>
      <x:c r="D310" s="86" t="str">
        <x:f>IF($P310="","",INDEX(Tasks!$D$10:$D$1941,$P310))</x:f>
        <x:v>Cards</x:v>
      </x:c>
      <x:c r="E310" s="86"/>
      <x:c r="F310" s="86" t="str">
        <x:f>IF($P310="","",INDEX(Tasks!$E$10:$E$1941,$P310))</x:f>
        <x:v>Data &amp; Reporting</x:v>
      </x:c>
      <x:c r="G310" s="86"/>
      <x:c r="H310" s="14" t="str">
        <x:f>IF($P310="","",INDEX(Tasks!$F$10:$F$1941,$P310)&amp;CHAR(10)&amp;INDEX(Tasks!$G$10:$G$1941,$P310))</x:f>
        <x:v>DR.CA.1.3
Extract data for both potential topics, ensuring all checklist items below are included/completed</x:v>
      </x:c>
      <x:c r="I310" s="14"/>
      <x:c r="J310" s="14"/>
      <x:c r="K310" s="14"/>
      <x:c r="L310" s="86" t="str">
        <x:f>IF($P310="","",INDEX(Tasks!$N$10:$N$1941,$P310))</x:f>
        <x:v>Not started</x:v>
      </x:c>
      <x:c r="M310" s="87" t="n">
        <x:f>IF($P310="","",INDEX(Tasks!$J$10:$J$1941,$P310))</x:f>
        <x:v>46387</x:v>
      </x:c>
      <x:c r="N310" s="85" t="str">
        <x:f>IF($P310="","",HYPERLINK("#'"&amp;INDEX(Tasks!$T$10:$T$1941,$P310)&amp;"'!A"&amp;INDEX(Tasks!$U$10:$U$1941,$P310),"Open"))</x:f>
        <x:v>Open</x:v>
      </x:c>
      <x:c r="O310" s="14"/>
      <x:c r="P310" s="14" t="n">
        <x:f>IF(289&gt;$B$10,"",MATCH(289,Tasks!$S$10:$S$1941,0))</x:f>
        <x:v>575</x:v>
      </x:c>
    </x:row>
    <x:row r="311" ht="58" customHeight="1">
      <x:c r="B311" s="86" t="str">
        <x:f>IF($P311="","",INDEX(Tasks!$B$10:$B$1941,$P311))</x:f>
        <x:v>Cycle 4</x:v>
      </x:c>
      <x:c r="C311" s="86" t="str">
        <x:f>IF($P311="","",INDEX(Tasks!$C$10:$C$1941,$P311))</x:f>
        <x:v>Phase 2</x:v>
      </x:c>
      <x:c r="D311" s="86" t="str">
        <x:f>IF($P311="","",INDEX(Tasks!$D$10:$D$1941,$P311))</x:f>
        <x:v>Cards</x:v>
      </x:c>
      <x:c r="E311" s="86"/>
      <x:c r="F311" s="86" t="str">
        <x:f>IF($P311="","",INDEX(Tasks!$E$10:$E$1941,$P311))</x:f>
        <x:v>Data &amp; Reporting</x:v>
      </x:c>
      <x:c r="G311" s="86"/>
      <x:c r="H311" s="14" t="str">
        <x:f>IF($P311="","",INDEX(Tasks!$F$10:$F$1941,$P311)&amp;CHAR(10)&amp;INDEX(Tasks!$G$10:$G$1941,$P311))</x:f>
        <x:v>DR.CA.2.1
Ensure data is clean, structured, and usable without manipulation needed</x:v>
      </x:c>
      <x:c r="I311" s="14"/>
      <x:c r="J311" s="14"/>
      <x:c r="K311" s="14"/>
      <x:c r="L311" s="86" t="str">
        <x:f>IF($P311="","",INDEX(Tasks!$N$10:$N$1941,$P311))</x:f>
        <x:v>Not started</x:v>
      </x:c>
      <x:c r="M311" s="87" t="n">
        <x:f>IF($P311="","",INDEX(Tasks!$J$10:$J$1941,$P311))</x:f>
        <x:v>46387</x:v>
      </x:c>
      <x:c r="N311" s="85" t="str">
        <x:f>IF($P311="","",HYPERLINK("#'"&amp;INDEX(Tasks!$T$10:$T$1941,$P311)&amp;"'!A"&amp;INDEX(Tasks!$U$10:$U$1941,$P311),"Open"))</x:f>
        <x:v>Open</x:v>
      </x:c>
      <x:c r="O311" s="14"/>
      <x:c r="P311" s="14" t="n">
        <x:f>IF(290&gt;$B$10,"",MATCH(290,Tasks!$S$10:$S$1941,0))</x:f>
        <x:v>589</x:v>
      </x:c>
    </x:row>
    <x:row r="312" ht="58" customHeight="1">
      <x:c r="B312" s="86" t="str">
        <x:f>IF($P312="","",INDEX(Tasks!$B$10:$B$1941,$P312))</x:f>
        <x:v>Cycle 4</x:v>
      </x:c>
      <x:c r="C312" s="86" t="str">
        <x:f>IF($P312="","",INDEX(Tasks!$C$10:$C$1941,$P312))</x:f>
        <x:v>Phase 2</x:v>
      </x:c>
      <x:c r="D312" s="86" t="str">
        <x:f>IF($P312="","",INDEX(Tasks!$D$10:$D$1941,$P312))</x:f>
        <x:v>Cards</x:v>
      </x:c>
      <x:c r="E312" s="86"/>
      <x:c r="F312" s="86" t="str">
        <x:f>IF($P312="","",INDEX(Tasks!$E$10:$E$1941,$P312))</x:f>
        <x:v>Data &amp; Reporting</x:v>
      </x:c>
      <x:c r="G312" s="86"/>
      <x:c r="H312" s="14" t="str">
        <x:f>IF($P312="","",INDEX(Tasks!$F$10:$F$1941,$P312)&amp;CHAR(10)&amp;INDEX(Tasks!$G$10:$G$1941,$P312))</x:f>
        <x:v>DR.CA.2.2
Clearly document rationale for each topic recommendation within the SharePoint list</x:v>
      </x:c>
      <x:c r="I312" s="14"/>
      <x:c r="J312" s="14"/>
      <x:c r="K312" s="14"/>
      <x:c r="L312" s="86" t="str">
        <x:f>IF($P312="","",INDEX(Tasks!$N$10:$N$1941,$P312))</x:f>
        <x:v>Not started</x:v>
      </x:c>
      <x:c r="M312" s="87" t="n">
        <x:f>IF($P312="","",INDEX(Tasks!$J$10:$J$1941,$P312))</x:f>
        <x:v>46387</x:v>
      </x:c>
      <x:c r="N312" s="85" t="str">
        <x:f>IF($P312="","",HYPERLINK("#'"&amp;INDEX(Tasks!$T$10:$T$1941,$P312)&amp;"'!A"&amp;INDEX(Tasks!$U$10:$U$1941,$P312),"Open"))</x:f>
        <x:v>Open</x:v>
      </x:c>
      <x:c r="O312" s="14"/>
      <x:c r="P312" s="14" t="n">
        <x:f>IF(291&gt;$B$10,"",MATCH(291,Tasks!$S$10:$S$1941,0))</x:f>
        <x:v>590</x:v>
      </x:c>
    </x:row>
    <x:row r="313" ht="58" customHeight="1">
      <x:c r="B313" s="86" t="str">
        <x:f>IF($P313="","",INDEX(Tasks!$B$10:$B$1941,$P313))</x:f>
        <x:v>Cycle 4</x:v>
      </x:c>
      <x:c r="C313" s="86" t="str">
        <x:f>IF($P313="","",INDEX(Tasks!$C$10:$C$1941,$P313))</x:f>
        <x:v>Phase 2</x:v>
      </x:c>
      <x:c r="D313" s="86" t="str">
        <x:f>IF($P313="","",INDEX(Tasks!$D$10:$D$1941,$P313))</x:f>
        <x:v>Cards</x:v>
      </x:c>
      <x:c r="E313" s="86"/>
      <x:c r="F313" s="86" t="str">
        <x:f>IF($P313="","",INDEX(Tasks!$E$10:$E$1941,$P313))</x:f>
        <x:v>Data &amp; Reporting</x:v>
      </x:c>
      <x:c r="G313" s="86"/>
      <x:c r="H313" s="14" t="str">
        <x:f>IF($P313="","",INDEX(Tasks!$F$10:$F$1941,$P313)&amp;CHAR(10)&amp;INDEX(Tasks!$G$10:$G$1941,$P313))</x:f>
        <x:v>DR.CA.2.3
Verify topic is eligible for RCA and does not conflict with Attorney Client Privilege</x:v>
      </x:c>
      <x:c r="I313" s="14"/>
      <x:c r="J313" s="14"/>
      <x:c r="K313" s="14"/>
      <x:c r="L313" s="86" t="str">
        <x:f>IF($P313="","",INDEX(Tasks!$N$10:$N$1941,$P313))</x:f>
        <x:v>Not started</x:v>
      </x:c>
      <x:c r="M313" s="87" t="n">
        <x:f>IF($P313="","",INDEX(Tasks!$J$10:$J$1941,$P313))</x:f>
        <x:v>46387</x:v>
      </x:c>
      <x:c r="N313" s="85" t="str">
        <x:f>IF($P313="","",HYPERLINK("#'"&amp;INDEX(Tasks!$T$10:$T$1941,$P313)&amp;"'!A"&amp;INDEX(Tasks!$U$10:$U$1941,$P313),"Open"))</x:f>
        <x:v>Open</x:v>
      </x:c>
      <x:c r="O313" s="14"/>
      <x:c r="P313" s="14" t="n">
        <x:f>IF(292&gt;$B$10,"",MATCH(292,Tasks!$S$10:$S$1941,0))</x:f>
        <x:v>591</x:v>
      </x:c>
    </x:row>
    <x:row r="314" ht="58" customHeight="1">
      <x:c r="B314" s="86" t="str">
        <x:f>IF($P314="","",INDEX(Tasks!$B$10:$B$1941,$P314))</x:f>
        <x:v>Cycle 4</x:v>
      </x:c>
      <x:c r="C314" s="86" t="str">
        <x:f>IF($P314="","",INDEX(Tasks!$C$10:$C$1941,$P314))</x:f>
        <x:v>Phase 2</x:v>
      </x:c>
      <x:c r="D314" s="86" t="str">
        <x:f>IF($P314="","",INDEX(Tasks!$D$10:$D$1941,$P314))</x:f>
        <x:v>Cards</x:v>
      </x:c>
      <x:c r="E314" s="86"/>
      <x:c r="F314" s="86" t="str">
        <x:f>IF($P314="","",INDEX(Tasks!$E$10:$E$1941,$P314))</x:f>
        <x:v>Data &amp; Reporting</x:v>
      </x:c>
      <x:c r="G314" s="86"/>
      <x:c r="H314" s="14" t="str">
        <x:f>IF($P314="","",INDEX(Tasks!$F$10:$F$1941,$P314)&amp;CHAR(10)&amp;INDEX(Tasks!$G$10:$G$1941,$P314))</x:f>
        <x:v>DR.CA.2.4
Ensure data is free of errors and anomalies prior to hand-off to Research</x:v>
      </x:c>
      <x:c r="I314" s="14"/>
      <x:c r="J314" s="14"/>
      <x:c r="K314" s="14"/>
      <x:c r="L314" s="86" t="str">
        <x:f>IF($P314="","",INDEX(Tasks!$N$10:$N$1941,$P314))</x:f>
        <x:v>Not started</x:v>
      </x:c>
      <x:c r="M314" s="87" t="n">
        <x:f>IF($P314="","",INDEX(Tasks!$J$10:$J$1941,$P314))</x:f>
        <x:v>46387</x:v>
      </x:c>
      <x:c r="N314" s="85" t="str">
        <x:f>IF($P314="","",HYPERLINK("#'"&amp;INDEX(Tasks!$T$10:$T$1941,$P314)&amp;"'!A"&amp;INDEX(Tasks!$U$10:$U$1941,$P314),"Open"))</x:f>
        <x:v>Open</x:v>
      </x:c>
      <x:c r="O314" s="14"/>
      <x:c r="P314" s="14" t="n">
        <x:f>IF(293&gt;$B$10,"",MATCH(293,Tasks!$S$10:$S$1941,0))</x:f>
        <x:v>592</x:v>
      </x:c>
    </x:row>
    <x:row r="315" ht="58" customHeight="1">
      <x:c r="B315" s="86" t="str">
        <x:f>IF($P315="","",INDEX(Tasks!$B$10:$B$1941,$P315))</x:f>
        <x:v>Cycle 4</x:v>
      </x:c>
      <x:c r="C315" s="86" t="str">
        <x:f>IF($P315="","",INDEX(Tasks!$C$10:$C$1941,$P315))</x:f>
        <x:v>Phase 2</x:v>
      </x:c>
      <x:c r="D315" s="86" t="str">
        <x:f>IF($P315="","",INDEX(Tasks!$D$10:$D$1941,$P315))</x:f>
        <x:v>Cards</x:v>
      </x:c>
      <x:c r="E315" s="86"/>
      <x:c r="F315" s="86" t="str">
        <x:f>IF($P315="","",INDEX(Tasks!$E$10:$E$1941,$P315))</x:f>
        <x:v>Data &amp; Reporting</x:v>
      </x:c>
      <x:c r="G315" s="86"/>
      <x:c r="H315" s="14" t="str">
        <x:f>IF($P315="","",INDEX(Tasks!$F$10:$F$1941,$P315)&amp;CHAR(10)&amp;INDEX(Tasks!$G$10:$G$1941,$P315))</x:f>
        <x:v>DR.CA.2.5
Ensure topic is not a duplicate from a previous Cycle</x:v>
      </x:c>
      <x:c r="I315" s="14"/>
      <x:c r="J315" s="14"/>
      <x:c r="K315" s="14"/>
      <x:c r="L315" s="86" t="str">
        <x:f>IF($P315="","",INDEX(Tasks!$N$10:$N$1941,$P315))</x:f>
        <x:v>Not started</x:v>
      </x:c>
      <x:c r="M315" s="87" t="n">
        <x:f>IF($P315="","",INDEX(Tasks!$J$10:$J$1941,$P315))</x:f>
        <x:v>46387</x:v>
      </x:c>
      <x:c r="N315" s="85" t="str">
        <x:f>IF($P315="","",HYPERLINK("#'"&amp;INDEX(Tasks!$T$10:$T$1941,$P315)&amp;"'!A"&amp;INDEX(Tasks!$U$10:$U$1941,$P315),"Open"))</x:f>
        <x:v>Open</x:v>
      </x:c>
      <x:c r="O315" s="14"/>
      <x:c r="P315" s="14" t="n">
        <x:f>IF(294&gt;$B$10,"",MATCH(294,Tasks!$S$10:$S$1941,0))</x:f>
        <x:v>593</x:v>
      </x:c>
    </x:row>
    <x:row r="316" ht="58" customHeight="1">
      <x:c r="B316" s="86" t="str">
        <x:f>IF($P316="","",INDEX(Tasks!$B$10:$B$1941,$P316))</x:f>
        <x:v>Cycle 4</x:v>
      </x:c>
      <x:c r="C316" s="86" t="str">
        <x:f>IF($P316="","",INDEX(Tasks!$C$10:$C$1941,$P316))</x:f>
        <x:v>Phase 2</x:v>
      </x:c>
      <x:c r="D316" s="86" t="str">
        <x:f>IF($P316="","",INDEX(Tasks!$D$10:$D$1941,$P316))</x:f>
        <x:v>Cards</x:v>
      </x:c>
      <x:c r="E316" s="86"/>
      <x:c r="F316" s="86" t="str">
        <x:f>IF($P316="","",INDEX(Tasks!$E$10:$E$1941,$P316))</x:f>
        <x:v>Data &amp; Reporting</x:v>
      </x:c>
      <x:c r="G316" s="86"/>
      <x:c r="H316" s="14" t="str">
        <x:f>IF($P316="","",INDEX(Tasks!$F$10:$F$1941,$P316)&amp;CHAR(10)&amp;INDEX(Tasks!$G$10:$G$1941,$P316))</x:f>
        <x:v>DR.CA.2.6
Document clear distinctions between facts, assumptions, and hypotheses within the data package</x:v>
      </x:c>
      <x:c r="I316" s="14"/>
      <x:c r="J316" s="14"/>
      <x:c r="K316" s="14"/>
      <x:c r="L316" s="86" t="str">
        <x:f>IF($P316="","",INDEX(Tasks!$N$10:$N$1941,$P316))</x:f>
        <x:v>Not started</x:v>
      </x:c>
      <x:c r="M316" s="87" t="n">
        <x:f>IF($P316="","",INDEX(Tasks!$J$10:$J$1941,$P316))</x:f>
        <x:v>46387</x:v>
      </x:c>
      <x:c r="N316" s="85" t="str">
        <x:f>IF($P316="","",HYPERLINK("#'"&amp;INDEX(Tasks!$T$10:$T$1941,$P316)&amp;"'!A"&amp;INDEX(Tasks!$U$10:$U$1941,$P316),"Open"))</x:f>
        <x:v>Open</x:v>
      </x:c>
      <x:c r="O316" s="14"/>
      <x:c r="P316" s="14" t="n">
        <x:f>IF(295&gt;$B$10,"",MATCH(295,Tasks!$S$10:$S$1941,0))</x:f>
        <x:v>594</x:v>
      </x:c>
    </x:row>
    <x:row r="317" ht="58" customHeight="1">
      <x:c r="B317" s="86" t="str">
        <x:f>IF($P317="","",INDEX(Tasks!$B$10:$B$1941,$P317))</x:f>
        <x:v>Cycle 4</x:v>
      </x:c>
      <x:c r="C317" s="86" t="str">
        <x:f>IF($P317="","",INDEX(Tasks!$C$10:$C$1941,$P317))</x:f>
        <x:v>Phase 3</x:v>
      </x:c>
      <x:c r="D317" s="86" t="str">
        <x:f>IF($P317="","",INDEX(Tasks!$D$10:$D$1941,$P317))</x:f>
        <x:v>Cards</x:v>
      </x:c>
      <x:c r="E317" s="86"/>
      <x:c r="F317" s="86" t="str">
        <x:f>IF($P317="","",INDEX(Tasks!$E$10:$E$1941,$P317))</x:f>
        <x:v>Data &amp; Reporting</x:v>
      </x:c>
      <x:c r="G317" s="86"/>
      <x:c r="H317" s="14" t="str">
        <x:f>IF($P317="","",INDEX(Tasks!$F$10:$F$1941,$P317)&amp;CHAR(10)&amp;INDEX(Tasks!$G$10:$G$1941,$P317))</x:f>
        <x:v>DR.CA.3.1
Clearly document rationale for each topic recommendation within the SharePoint list item</x:v>
      </x:c>
      <x:c r="I317" s="14"/>
      <x:c r="J317" s="14"/>
      <x:c r="K317" s="14"/>
      <x:c r="L317" s="86" t="str">
        <x:f>IF($P317="","",INDEX(Tasks!$N$10:$N$1941,$P317))</x:f>
        <x:v>Not started</x:v>
      </x:c>
      <x:c r="M317" s="87" t="n">
        <x:f>IF($P317="","",INDEX(Tasks!$J$10:$J$1941,$P317))</x:f>
        <x:v>46387</x:v>
      </x:c>
      <x:c r="N317" s="85" t="str">
        <x:f>IF($P317="","",HYPERLINK("#'"&amp;INDEX(Tasks!$T$10:$T$1941,$P317)&amp;"'!A"&amp;INDEX(Tasks!$U$10:$U$1941,$P317),"Open"))</x:f>
        <x:v>Open</x:v>
      </x:c>
      <x:c r="O317" s="14"/>
      <x:c r="P317" s="14" t="n">
        <x:f>IF(296&gt;$B$10,"",MATCH(296,Tasks!$S$10:$S$1941,0))</x:f>
        <x:v>595</x:v>
      </x:c>
    </x:row>
    <x:row r="318" ht="58" customHeight="1">
      <x:c r="B318" s="86" t="str">
        <x:f>IF($P318="","",INDEX(Tasks!$B$10:$B$1941,$P318))</x:f>
        <x:v>Cycle 4</x:v>
      </x:c>
      <x:c r="C318" s="86" t="str">
        <x:f>IF($P318="","",INDEX(Tasks!$C$10:$C$1941,$P318))</x:f>
        <x:v>Phase 3</x:v>
      </x:c>
      <x:c r="D318" s="86" t="str">
        <x:f>IF($P318="","",INDEX(Tasks!$D$10:$D$1941,$P318))</x:f>
        <x:v>Cards</x:v>
      </x:c>
      <x:c r="E318" s="86"/>
      <x:c r="F318" s="86" t="str">
        <x:f>IF($P318="","",INDEX(Tasks!$E$10:$E$1941,$P318))</x:f>
        <x:v>Data &amp; Reporting</x:v>
      </x:c>
      <x:c r="G318" s="86"/>
      <x:c r="H318" s="14" t="str">
        <x:f>IF($P318="","",INDEX(Tasks!$F$10:$F$1941,$P318)&amp;CHAR(10)&amp;INDEX(Tasks!$G$10:$G$1941,$P318))</x:f>
        <x:v>DR.CA.3.2
Attach the data package for each topic recommendation within the SharePoint list item</x:v>
      </x:c>
      <x:c r="I318" s="14"/>
      <x:c r="J318" s="14"/>
      <x:c r="K318" s="14"/>
      <x:c r="L318" s="86" t="str">
        <x:f>IF($P318="","",INDEX(Tasks!$N$10:$N$1941,$P318))</x:f>
        <x:v>Not started</x:v>
      </x:c>
      <x:c r="M318" s="87" t="n">
        <x:f>IF($P318="","",INDEX(Tasks!$J$10:$J$1941,$P318))</x:f>
        <x:v>46387</x:v>
      </x:c>
      <x:c r="N318" s="85" t="str">
        <x:f>IF($P318="","",HYPERLINK("#'"&amp;INDEX(Tasks!$T$10:$T$1941,$P318)&amp;"'!A"&amp;INDEX(Tasks!$U$10:$U$1941,$P318),"Open"))</x:f>
        <x:v>Open</x:v>
      </x:c>
      <x:c r="O318" s="14"/>
      <x:c r="P318" s="14" t="n">
        <x:f>IF(297&gt;$B$10,"",MATCH(297,Tasks!$S$10:$S$1941,0))</x:f>
        <x:v>596</x:v>
      </x:c>
    </x:row>
    <x:row r="319" ht="58" customHeight="1">
      <x:c r="B319" s="86" t="str">
        <x:f>IF($P319="","",INDEX(Tasks!$B$10:$B$1941,$P319))</x:f>
        <x:v>Cycle 4</x:v>
      </x:c>
      <x:c r="C319" s="86" t="str">
        <x:f>IF($P319="","",INDEX(Tasks!$C$10:$C$1941,$P319))</x:f>
        <x:v>Phase 3</x:v>
      </x:c>
      <x:c r="D319" s="86" t="str">
        <x:f>IF($P319="","",INDEX(Tasks!$D$10:$D$1941,$P319))</x:f>
        <x:v>Cards</x:v>
      </x:c>
      <x:c r="E319" s="86"/>
      <x:c r="F319" s="86" t="str">
        <x:f>IF($P319="","",INDEX(Tasks!$E$10:$E$1941,$P319))</x:f>
        <x:v>Data &amp; Reporting</x:v>
      </x:c>
      <x:c r="G319" s="86"/>
      <x:c r="H319" s="14" t="str">
        <x:f>IF($P319="","",INDEX(Tasks!$F$10:$F$1941,$P319)&amp;CHAR(10)&amp;INDEX(Tasks!$G$10:$G$1941,$P319))</x:f>
        <x:v>DR.CA.3.3
Confirm data privileges have been granted, ensuring each pillar can access</x:v>
      </x:c>
      <x:c r="I319" s="14"/>
      <x:c r="J319" s="14"/>
      <x:c r="K319" s="14"/>
      <x:c r="L319" s="86" t="str">
        <x:f>IF($P319="","",INDEX(Tasks!$N$10:$N$1941,$P319))</x:f>
        <x:v>Not started</x:v>
      </x:c>
      <x:c r="M319" s="87" t="n">
        <x:f>IF($P319="","",INDEX(Tasks!$J$10:$J$1941,$P319))</x:f>
        <x:v>46387</x:v>
      </x:c>
      <x:c r="N319" s="85" t="str">
        <x:f>IF($P319="","",HYPERLINK("#'"&amp;INDEX(Tasks!$T$10:$T$1941,$P319)&amp;"'!A"&amp;INDEX(Tasks!$U$10:$U$1941,$P319),"Open"))</x:f>
        <x:v>Open</x:v>
      </x:c>
      <x:c r="O319" s="14"/>
      <x:c r="P319" s="14" t="n">
        <x:f>IF(298&gt;$B$10,"",MATCH(298,Tasks!$S$10:$S$1941,0))</x:f>
        <x:v>597</x:v>
      </x:c>
    </x:row>
    <x:row r="320" ht="58" customHeight="1">
      <x:c r="B320" s="86" t="str">
        <x:f>IF($P320="","",INDEX(Tasks!$B$10:$B$1941,$P320))</x:f>
        <x:v>Cycle 4</x:v>
      </x:c>
      <x:c r="C320" s="86" t="str">
        <x:f>IF($P320="","",INDEX(Tasks!$C$10:$C$1941,$P320))</x:f>
        <x:v>Phase 3</x:v>
      </x:c>
      <x:c r="D320" s="86" t="str">
        <x:f>IF($P320="","",INDEX(Tasks!$D$10:$D$1941,$P320))</x:f>
        <x:v>Cards</x:v>
      </x:c>
      <x:c r="E320" s="86"/>
      <x:c r="F320" s="86" t="str">
        <x:f>IF($P320="","",INDEX(Tasks!$E$10:$E$1941,$P320))</x:f>
        <x:v>Data &amp; Reporting</x:v>
      </x:c>
      <x:c r="G320" s="86"/>
      <x:c r="H320" s="14" t="str">
        <x:f>IF($P320="","",INDEX(Tasks!$F$10:$F$1941,$P320)&amp;CHAR(10)&amp;INDEX(Tasks!$G$10:$G$1941,$P320))</x:f>
        <x:v>DR.CA.3.4
Ensure Power Automate notifications were correctly triggered within Microsoft Teams</x:v>
      </x:c>
      <x:c r="I320" s="14"/>
      <x:c r="J320" s="14"/>
      <x:c r="K320" s="14"/>
      <x:c r="L320" s="86" t="str">
        <x:f>IF($P320="","",INDEX(Tasks!$N$10:$N$1941,$P320))</x:f>
        <x:v>Not started</x:v>
      </x:c>
      <x:c r="M320" s="87" t="n">
        <x:f>IF($P320="","",INDEX(Tasks!$J$10:$J$1941,$P320))</x:f>
        <x:v>46387</x:v>
      </x:c>
      <x:c r="N320" s="85" t="str">
        <x:f>IF($P320="","",HYPERLINK("#'"&amp;INDEX(Tasks!$T$10:$T$1941,$P320)&amp;"'!A"&amp;INDEX(Tasks!$U$10:$U$1941,$P320),"Open"))</x:f>
        <x:v>Open</x:v>
      </x:c>
      <x:c r="O320" s="14"/>
      <x:c r="P320" s="14" t="n">
        <x:f>IF(299&gt;$B$10,"",MATCH(299,Tasks!$S$10:$S$1941,0))</x:f>
        <x:v>598</x:v>
      </x:c>
    </x:row>
    <x:row r="321" ht="58" customHeight="1">
      <x:c r="B321" s="86" t="str">
        <x:f>IF($P321="","",INDEX(Tasks!$B$10:$B$1941,$P321))</x:f>
        <x:v>Cycle 4</x:v>
      </x:c>
      <x:c r="C321" s="86" t="str">
        <x:f>IF($P321="","",INDEX(Tasks!$C$10:$C$1941,$P321))</x:f>
        <x:v>Phase 1</x:v>
      </x:c>
      <x:c r="D321" s="86" t="str">
        <x:f>IF($P321="","",INDEX(Tasks!$D$10:$D$1941,$P321))</x:f>
        <x:v>CSBBO - Banking Ops</x:v>
      </x:c>
      <x:c r="E321" s="86"/>
      <x:c r="F321" s="86" t="str">
        <x:f>IF($P321="","",INDEX(Tasks!$E$10:$E$1941,$P321))</x:f>
        <x:v>Data &amp; Reporting</x:v>
      </x:c>
      <x:c r="G321" s="86"/>
      <x:c r="H321" s="14" t="str">
        <x:f>IF($P321="","",INDEX(Tasks!$F$10:$F$1941,$P321)&amp;CHAR(10)&amp;INDEX(Tasks!$G$10:$G$1941,$P321))</x:f>
        <x:v>DR.BO.1.1
Review data sources 3 weeks prior to Cycle start (Complaints, Gen AI, Loudspeaker, NPS, etc.)</x:v>
      </x:c>
      <x:c r="I321" s="14"/>
      <x:c r="J321" s="14"/>
      <x:c r="K321" s="14"/>
      <x:c r="L321" s="86" t="str">
        <x:f>IF($P321="","",INDEX(Tasks!$N$10:$N$1941,$P321))</x:f>
        <x:v>Not started</x:v>
      </x:c>
      <x:c r="M321" s="87" t="n">
        <x:f>IF($P321="","",INDEX(Tasks!$J$10:$J$1941,$P321))</x:f>
        <x:v>46275</x:v>
      </x:c>
      <x:c r="N321" s="85" t="str">
        <x:f>IF($P321="","",HYPERLINK("#'"&amp;INDEX(Tasks!$T$10:$T$1941,$P321)&amp;"'!A"&amp;INDEX(Tasks!$U$10:$U$1941,$P321),"Open"))</x:f>
        <x:v>Open</x:v>
      </x:c>
      <x:c r="O321" s="14"/>
      <x:c r="P321" s="14" t="n">
        <x:f>IF(300&gt;$B$10,"",MATCH(300,Tasks!$S$10:$S$1941,0))</x:f>
        <x:v>599</x:v>
      </x:c>
    </x:row>
    <x:row r="322" ht="58" customHeight="1">
      <x:c r="B322" s="86" t="str">
        <x:f>IF($P322="","",INDEX(Tasks!$B$10:$B$1941,$P322))</x:f>
        <x:v>Cycle 4</x:v>
      </x:c>
      <x:c r="C322" s="86" t="str">
        <x:f>IF($P322="","",INDEX(Tasks!$C$10:$C$1941,$P322))</x:f>
        <x:v>Phase 1</x:v>
      </x:c>
      <x:c r="D322" s="86" t="str">
        <x:f>IF($P322="","",INDEX(Tasks!$D$10:$D$1941,$P322))</x:f>
        <x:v>CSBBO - Banking Ops</x:v>
      </x:c>
      <x:c r="E322" s="86"/>
      <x:c r="F322" s="86" t="str">
        <x:f>IF($P322="","",INDEX(Tasks!$E$10:$E$1941,$P322))</x:f>
        <x:v>Data &amp; Reporting</x:v>
      </x:c>
      <x:c r="G322" s="86"/>
      <x:c r="H322" s="14" t="str">
        <x:f>IF($P322="","",INDEX(Tasks!$F$10:$F$1941,$P322)&amp;CHAR(10)&amp;INDEX(Tasks!$G$10:$G$1941,$P322))</x:f>
        <x:v>DR.BO.1.2
Identify two potential topics for the upcoming Cycle</x:v>
      </x:c>
      <x:c r="I322" s="14"/>
      <x:c r="J322" s="14"/>
      <x:c r="K322" s="14"/>
      <x:c r="L322" s="86" t="str">
        <x:f>IF($P322="","",INDEX(Tasks!$N$10:$N$1941,$P322))</x:f>
        <x:v>Not started</x:v>
      </x:c>
      <x:c r="M322" s="87" t="n">
        <x:f>IF($P322="","",INDEX(Tasks!$J$10:$J$1941,$P322))</x:f>
        <x:v>46387</x:v>
      </x:c>
      <x:c r="N322" s="85" t="str">
        <x:f>IF($P322="","",HYPERLINK("#'"&amp;INDEX(Tasks!$T$10:$T$1941,$P322)&amp;"'!A"&amp;INDEX(Tasks!$U$10:$U$1941,$P322),"Open"))</x:f>
        <x:v>Open</x:v>
      </x:c>
      <x:c r="O322" s="14"/>
      <x:c r="P322" s="14" t="n">
        <x:f>IF(301&gt;$B$10,"",MATCH(301,Tasks!$S$10:$S$1941,0))</x:f>
        <x:v>600</x:v>
      </x:c>
    </x:row>
    <x:row r="323" ht="58" customHeight="1">
      <x:c r="B323" s="86" t="str">
        <x:f>IF($P323="","",INDEX(Tasks!$B$10:$B$1941,$P323))</x:f>
        <x:v>Cycle 4</x:v>
      </x:c>
      <x:c r="C323" s="86" t="str">
        <x:f>IF($P323="","",INDEX(Tasks!$C$10:$C$1941,$P323))</x:f>
        <x:v>Phase 1</x:v>
      </x:c>
      <x:c r="D323" s="86" t="str">
        <x:f>IF($P323="","",INDEX(Tasks!$D$10:$D$1941,$P323))</x:f>
        <x:v>CSBBO - Banking Ops</x:v>
      </x:c>
      <x:c r="E323" s="86"/>
      <x:c r="F323" s="86" t="str">
        <x:f>IF($P323="","",INDEX(Tasks!$E$10:$E$1941,$P323))</x:f>
        <x:v>Data &amp; Reporting</x:v>
      </x:c>
      <x:c r="G323" s="86"/>
      <x:c r="H323" s="14" t="str">
        <x:f>IF($P323="","",INDEX(Tasks!$F$10:$F$1941,$P323)&amp;CHAR(10)&amp;INDEX(Tasks!$G$10:$G$1941,$P323))</x:f>
        <x:v>DR.BO.1.3
Extract data for both potential topics, ensuring all checklist items below are included/completed</x:v>
      </x:c>
      <x:c r="I323" s="14"/>
      <x:c r="J323" s="14"/>
      <x:c r="K323" s="14"/>
      <x:c r="L323" s="86" t="str">
        <x:f>IF($P323="","",INDEX(Tasks!$N$10:$N$1941,$P323))</x:f>
        <x:v>Not started</x:v>
      </x:c>
      <x:c r="M323" s="87" t="n">
        <x:f>IF($P323="","",INDEX(Tasks!$J$10:$J$1941,$P323))</x:f>
        <x:v>46387</x:v>
      </x:c>
      <x:c r="N323" s="85" t="str">
        <x:f>IF($P323="","",HYPERLINK("#'"&amp;INDEX(Tasks!$T$10:$T$1941,$P323)&amp;"'!A"&amp;INDEX(Tasks!$U$10:$U$1941,$P323),"Open"))</x:f>
        <x:v>Open</x:v>
      </x:c>
      <x:c r="O323" s="14"/>
      <x:c r="P323" s="14" t="n">
        <x:f>IF(302&gt;$B$10,"",MATCH(302,Tasks!$S$10:$S$1941,0))</x:f>
        <x:v>601</x:v>
      </x:c>
    </x:row>
    <x:row r="324" ht="58" customHeight="1">
      <x:c r="B324" s="86" t="str">
        <x:f>IF($P324="","",INDEX(Tasks!$B$10:$B$1941,$P324))</x:f>
        <x:v>Cycle 4</x:v>
      </x:c>
      <x:c r="C324" s="86" t="str">
        <x:f>IF($P324="","",INDEX(Tasks!$C$10:$C$1941,$P324))</x:f>
        <x:v>Phase 2</x:v>
      </x:c>
      <x:c r="D324" s="86" t="str">
        <x:f>IF($P324="","",INDEX(Tasks!$D$10:$D$1941,$P324))</x:f>
        <x:v>CSBBO - Banking Ops</x:v>
      </x:c>
      <x:c r="E324" s="86"/>
      <x:c r="F324" s="86" t="str">
        <x:f>IF($P324="","",INDEX(Tasks!$E$10:$E$1941,$P324))</x:f>
        <x:v>Data &amp; Reporting</x:v>
      </x:c>
      <x:c r="G324" s="86"/>
      <x:c r="H324" s="14" t="str">
        <x:f>IF($P324="","",INDEX(Tasks!$F$10:$F$1941,$P324)&amp;CHAR(10)&amp;INDEX(Tasks!$G$10:$G$1941,$P324))</x:f>
        <x:v>DR.BO.2.1
Ensure data is clean, structured, and usable without manipulation needed</x:v>
      </x:c>
      <x:c r="I324" s="14"/>
      <x:c r="J324" s="14"/>
      <x:c r="K324" s="14"/>
      <x:c r="L324" s="86" t="str">
        <x:f>IF($P324="","",INDEX(Tasks!$N$10:$N$1941,$P324))</x:f>
        <x:v>Not started</x:v>
      </x:c>
      <x:c r="M324" s="87" t="n">
        <x:f>IF($P324="","",INDEX(Tasks!$J$10:$J$1941,$P324))</x:f>
        <x:v>46387</x:v>
      </x:c>
      <x:c r="N324" s="85" t="str">
        <x:f>IF($P324="","",HYPERLINK("#'"&amp;INDEX(Tasks!$T$10:$T$1941,$P324)&amp;"'!A"&amp;INDEX(Tasks!$U$10:$U$1941,$P324),"Open"))</x:f>
        <x:v>Open</x:v>
      </x:c>
      <x:c r="O324" s="14"/>
      <x:c r="P324" s="14" t="n">
        <x:f>IF(303&gt;$B$10,"",MATCH(303,Tasks!$S$10:$S$1941,0))</x:f>
        <x:v>615</x:v>
      </x:c>
    </x:row>
    <x:row r="325" ht="58" customHeight="1">
      <x:c r="B325" s="86" t="str">
        <x:f>IF($P325="","",INDEX(Tasks!$B$10:$B$1941,$P325))</x:f>
        <x:v>Cycle 4</x:v>
      </x:c>
      <x:c r="C325" s="86" t="str">
        <x:f>IF($P325="","",INDEX(Tasks!$C$10:$C$1941,$P325))</x:f>
        <x:v>Phase 2</x:v>
      </x:c>
      <x:c r="D325" s="86" t="str">
        <x:f>IF($P325="","",INDEX(Tasks!$D$10:$D$1941,$P325))</x:f>
        <x:v>CSBBO - Banking Ops</x:v>
      </x:c>
      <x:c r="E325" s="86"/>
      <x:c r="F325" s="86" t="str">
        <x:f>IF($P325="","",INDEX(Tasks!$E$10:$E$1941,$P325))</x:f>
        <x:v>Data &amp; Reporting</x:v>
      </x:c>
      <x:c r="G325" s="86"/>
      <x:c r="H325" s="14" t="str">
        <x:f>IF($P325="","",INDEX(Tasks!$F$10:$F$1941,$P325)&amp;CHAR(10)&amp;INDEX(Tasks!$G$10:$G$1941,$P325))</x:f>
        <x:v>DR.BO.2.2
Clearly document rationale for each topic recommendation within the SharePoint list</x:v>
      </x:c>
      <x:c r="I325" s="14"/>
      <x:c r="J325" s="14"/>
      <x:c r="K325" s="14"/>
      <x:c r="L325" s="86" t="str">
        <x:f>IF($P325="","",INDEX(Tasks!$N$10:$N$1941,$P325))</x:f>
        <x:v>Not started</x:v>
      </x:c>
      <x:c r="M325" s="87" t="n">
        <x:f>IF($P325="","",INDEX(Tasks!$J$10:$J$1941,$P325))</x:f>
        <x:v>46387</x:v>
      </x:c>
      <x:c r="N325" s="85" t="str">
        <x:f>IF($P325="","",HYPERLINK("#'"&amp;INDEX(Tasks!$T$10:$T$1941,$P325)&amp;"'!A"&amp;INDEX(Tasks!$U$10:$U$1941,$P325),"Open"))</x:f>
        <x:v>Open</x:v>
      </x:c>
      <x:c r="O325" s="14"/>
      <x:c r="P325" s="14" t="n">
        <x:f>IF(304&gt;$B$10,"",MATCH(304,Tasks!$S$10:$S$1941,0))</x:f>
        <x:v>616</x:v>
      </x:c>
    </x:row>
    <x:row r="326" ht="58" customHeight="1">
      <x:c r="B326" s="86" t="str">
        <x:f>IF($P326="","",INDEX(Tasks!$B$10:$B$1941,$P326))</x:f>
        <x:v>Cycle 4</x:v>
      </x:c>
      <x:c r="C326" s="86" t="str">
        <x:f>IF($P326="","",INDEX(Tasks!$C$10:$C$1941,$P326))</x:f>
        <x:v>Phase 2</x:v>
      </x:c>
      <x:c r="D326" s="86" t="str">
        <x:f>IF($P326="","",INDEX(Tasks!$D$10:$D$1941,$P326))</x:f>
        <x:v>CSBBO - Banking Ops</x:v>
      </x:c>
      <x:c r="E326" s="86"/>
      <x:c r="F326" s="86" t="str">
        <x:f>IF($P326="","",INDEX(Tasks!$E$10:$E$1941,$P326))</x:f>
        <x:v>Data &amp; Reporting</x:v>
      </x:c>
      <x:c r="G326" s="86"/>
      <x:c r="H326" s="14" t="str">
        <x:f>IF($P326="","",INDEX(Tasks!$F$10:$F$1941,$P326)&amp;CHAR(10)&amp;INDEX(Tasks!$G$10:$G$1941,$P326))</x:f>
        <x:v>DR.BO.2.3
Verify topic is eligible for RCA and does not conflict with Attorney Client Privilege</x:v>
      </x:c>
      <x:c r="I326" s="14"/>
      <x:c r="J326" s="14"/>
      <x:c r="K326" s="14"/>
      <x:c r="L326" s="86" t="str">
        <x:f>IF($P326="","",INDEX(Tasks!$N$10:$N$1941,$P326))</x:f>
        <x:v>Not started</x:v>
      </x:c>
      <x:c r="M326" s="87" t="n">
        <x:f>IF($P326="","",INDEX(Tasks!$J$10:$J$1941,$P326))</x:f>
        <x:v>46387</x:v>
      </x:c>
      <x:c r="N326" s="85" t="str">
        <x:f>IF($P326="","",HYPERLINK("#'"&amp;INDEX(Tasks!$T$10:$T$1941,$P326)&amp;"'!A"&amp;INDEX(Tasks!$U$10:$U$1941,$P326),"Open"))</x:f>
        <x:v>Open</x:v>
      </x:c>
      <x:c r="O326" s="14"/>
      <x:c r="P326" s="14" t="n">
        <x:f>IF(305&gt;$B$10,"",MATCH(305,Tasks!$S$10:$S$1941,0))</x:f>
        <x:v>617</x:v>
      </x:c>
    </x:row>
    <x:row r="327" ht="58" customHeight="1">
      <x:c r="B327" s="86" t="str">
        <x:f>IF($P327="","",INDEX(Tasks!$B$10:$B$1941,$P327))</x:f>
        <x:v>Cycle 4</x:v>
      </x:c>
      <x:c r="C327" s="86" t="str">
        <x:f>IF($P327="","",INDEX(Tasks!$C$10:$C$1941,$P327))</x:f>
        <x:v>Phase 2</x:v>
      </x:c>
      <x:c r="D327" s="86" t="str">
        <x:f>IF($P327="","",INDEX(Tasks!$D$10:$D$1941,$P327))</x:f>
        <x:v>CSBBO - Banking Ops</x:v>
      </x:c>
      <x:c r="E327" s="86"/>
      <x:c r="F327" s="86" t="str">
        <x:f>IF($P327="","",INDEX(Tasks!$E$10:$E$1941,$P327))</x:f>
        <x:v>Data &amp; Reporting</x:v>
      </x:c>
      <x:c r="G327" s="86"/>
      <x:c r="H327" s="14" t="str">
        <x:f>IF($P327="","",INDEX(Tasks!$F$10:$F$1941,$P327)&amp;CHAR(10)&amp;INDEX(Tasks!$G$10:$G$1941,$P327))</x:f>
        <x:v>DR.BO.2.4
Ensure data is free of errors and anomalies prior to hand-off to Research</x:v>
      </x:c>
      <x:c r="I327" s="14"/>
      <x:c r="J327" s="14"/>
      <x:c r="K327" s="14"/>
      <x:c r="L327" s="86" t="str">
        <x:f>IF($P327="","",INDEX(Tasks!$N$10:$N$1941,$P327))</x:f>
        <x:v>Not started</x:v>
      </x:c>
      <x:c r="M327" s="87" t="n">
        <x:f>IF($P327="","",INDEX(Tasks!$J$10:$J$1941,$P327))</x:f>
        <x:v>46387</x:v>
      </x:c>
      <x:c r="N327" s="85" t="str">
        <x:f>IF($P327="","",HYPERLINK("#'"&amp;INDEX(Tasks!$T$10:$T$1941,$P327)&amp;"'!A"&amp;INDEX(Tasks!$U$10:$U$1941,$P327),"Open"))</x:f>
        <x:v>Open</x:v>
      </x:c>
      <x:c r="O327" s="14"/>
      <x:c r="P327" s="14" t="n">
        <x:f>IF(306&gt;$B$10,"",MATCH(306,Tasks!$S$10:$S$1941,0))</x:f>
        <x:v>618</x:v>
      </x:c>
    </x:row>
    <x:row r="328" ht="58" customHeight="1">
      <x:c r="B328" s="86" t="str">
        <x:f>IF($P328="","",INDEX(Tasks!$B$10:$B$1941,$P328))</x:f>
        <x:v>Cycle 4</x:v>
      </x:c>
      <x:c r="C328" s="86" t="str">
        <x:f>IF($P328="","",INDEX(Tasks!$C$10:$C$1941,$P328))</x:f>
        <x:v>Phase 2</x:v>
      </x:c>
      <x:c r="D328" s="86" t="str">
        <x:f>IF($P328="","",INDEX(Tasks!$D$10:$D$1941,$P328))</x:f>
        <x:v>CSBBO - Banking Ops</x:v>
      </x:c>
      <x:c r="E328" s="86"/>
      <x:c r="F328" s="86" t="str">
        <x:f>IF($P328="","",INDEX(Tasks!$E$10:$E$1941,$P328))</x:f>
        <x:v>Data &amp; Reporting</x:v>
      </x:c>
      <x:c r="G328" s="86"/>
      <x:c r="H328" s="14" t="str">
        <x:f>IF($P328="","",INDEX(Tasks!$F$10:$F$1941,$P328)&amp;CHAR(10)&amp;INDEX(Tasks!$G$10:$G$1941,$P328))</x:f>
        <x:v>DR.BO.2.5
Ensure topic is not a duplicate from a previous Cycle</x:v>
      </x:c>
      <x:c r="I328" s="14"/>
      <x:c r="J328" s="14"/>
      <x:c r="K328" s="14"/>
      <x:c r="L328" s="86" t="str">
        <x:f>IF($P328="","",INDEX(Tasks!$N$10:$N$1941,$P328))</x:f>
        <x:v>Not started</x:v>
      </x:c>
      <x:c r="M328" s="87" t="n">
        <x:f>IF($P328="","",INDEX(Tasks!$J$10:$J$1941,$P328))</x:f>
        <x:v>46387</x:v>
      </x:c>
      <x:c r="N328" s="85" t="str">
        <x:f>IF($P328="","",HYPERLINK("#'"&amp;INDEX(Tasks!$T$10:$T$1941,$P328)&amp;"'!A"&amp;INDEX(Tasks!$U$10:$U$1941,$P328),"Open"))</x:f>
        <x:v>Open</x:v>
      </x:c>
      <x:c r="O328" s="14"/>
      <x:c r="P328" s="14" t="n">
        <x:f>IF(307&gt;$B$10,"",MATCH(307,Tasks!$S$10:$S$1941,0))</x:f>
        <x:v>619</x:v>
      </x:c>
    </x:row>
    <x:row r="329" ht="58" customHeight="1">
      <x:c r="B329" s="86" t="str">
        <x:f>IF($P329="","",INDEX(Tasks!$B$10:$B$1941,$P329))</x:f>
        <x:v>Cycle 4</x:v>
      </x:c>
      <x:c r="C329" s="86" t="str">
        <x:f>IF($P329="","",INDEX(Tasks!$C$10:$C$1941,$P329))</x:f>
        <x:v>Phase 2</x:v>
      </x:c>
      <x:c r="D329" s="86" t="str">
        <x:f>IF($P329="","",INDEX(Tasks!$D$10:$D$1941,$P329))</x:f>
        <x:v>CSBBO - Banking Ops</x:v>
      </x:c>
      <x:c r="E329" s="86"/>
      <x:c r="F329" s="86" t="str">
        <x:f>IF($P329="","",INDEX(Tasks!$E$10:$E$1941,$P329))</x:f>
        <x:v>Data &amp; Reporting</x:v>
      </x:c>
      <x:c r="G329" s="86"/>
      <x:c r="H329" s="14" t="str">
        <x:f>IF($P329="","",INDEX(Tasks!$F$10:$F$1941,$P329)&amp;CHAR(10)&amp;INDEX(Tasks!$G$10:$G$1941,$P329))</x:f>
        <x:v>DR.BO.2.6
Document clear distinctions between facts, assumptions, and hypotheses within the data package</x:v>
      </x:c>
      <x:c r="I329" s="14"/>
      <x:c r="J329" s="14"/>
      <x:c r="K329" s="14"/>
      <x:c r="L329" s="86" t="str">
        <x:f>IF($P329="","",INDEX(Tasks!$N$10:$N$1941,$P329))</x:f>
        <x:v>Not started</x:v>
      </x:c>
      <x:c r="M329" s="87" t="n">
        <x:f>IF($P329="","",INDEX(Tasks!$J$10:$J$1941,$P329))</x:f>
        <x:v>46387</x:v>
      </x:c>
      <x:c r="N329" s="85" t="str">
        <x:f>IF($P329="","",HYPERLINK("#'"&amp;INDEX(Tasks!$T$10:$T$1941,$P329)&amp;"'!A"&amp;INDEX(Tasks!$U$10:$U$1941,$P329),"Open"))</x:f>
        <x:v>Open</x:v>
      </x:c>
      <x:c r="O329" s="14"/>
      <x:c r="P329" s="14" t="n">
        <x:f>IF(308&gt;$B$10,"",MATCH(308,Tasks!$S$10:$S$1941,0))</x:f>
        <x:v>620</x:v>
      </x:c>
    </x:row>
    <x:row r="330" ht="58" customHeight="1">
      <x:c r="B330" s="86" t="str">
        <x:f>IF($P330="","",INDEX(Tasks!$B$10:$B$1941,$P330))</x:f>
        <x:v>Cycle 4</x:v>
      </x:c>
      <x:c r="C330" s="86" t="str">
        <x:f>IF($P330="","",INDEX(Tasks!$C$10:$C$1941,$P330))</x:f>
        <x:v>Phase 3</x:v>
      </x:c>
      <x:c r="D330" s="86" t="str">
        <x:f>IF($P330="","",INDEX(Tasks!$D$10:$D$1941,$P330))</x:f>
        <x:v>CSBBO - Banking Ops</x:v>
      </x:c>
      <x:c r="E330" s="86"/>
      <x:c r="F330" s="86" t="str">
        <x:f>IF($P330="","",INDEX(Tasks!$E$10:$E$1941,$P330))</x:f>
        <x:v>Data &amp; Reporting</x:v>
      </x:c>
      <x:c r="G330" s="86"/>
      <x:c r="H330" s="14" t="str">
        <x:f>IF($P330="","",INDEX(Tasks!$F$10:$F$1941,$P330)&amp;CHAR(10)&amp;INDEX(Tasks!$G$10:$G$1941,$P330))</x:f>
        <x:v>DR.BO.3.1
Clearly document rationale for each topic recommendation within the SharePoint list item</x:v>
      </x:c>
      <x:c r="I330" s="14"/>
      <x:c r="J330" s="14"/>
      <x:c r="K330" s="14"/>
      <x:c r="L330" s="86" t="str">
        <x:f>IF($P330="","",INDEX(Tasks!$N$10:$N$1941,$P330))</x:f>
        <x:v>Not started</x:v>
      </x:c>
      <x:c r="M330" s="87" t="n">
        <x:f>IF($P330="","",INDEX(Tasks!$J$10:$J$1941,$P330))</x:f>
        <x:v>46387</x:v>
      </x:c>
      <x:c r="N330" s="85" t="str">
        <x:f>IF($P330="","",HYPERLINK("#'"&amp;INDEX(Tasks!$T$10:$T$1941,$P330)&amp;"'!A"&amp;INDEX(Tasks!$U$10:$U$1941,$P330),"Open"))</x:f>
        <x:v>Open</x:v>
      </x:c>
      <x:c r="O330" s="14"/>
      <x:c r="P330" s="14" t="n">
        <x:f>IF(309&gt;$B$10,"",MATCH(309,Tasks!$S$10:$S$1941,0))</x:f>
        <x:v>621</x:v>
      </x:c>
    </x:row>
    <x:row r="331" ht="58" customHeight="1">
      <x:c r="B331" s="86" t="str">
        <x:f>IF($P331="","",INDEX(Tasks!$B$10:$B$1941,$P331))</x:f>
        <x:v>Cycle 4</x:v>
      </x:c>
      <x:c r="C331" s="86" t="str">
        <x:f>IF($P331="","",INDEX(Tasks!$C$10:$C$1941,$P331))</x:f>
        <x:v>Phase 3</x:v>
      </x:c>
      <x:c r="D331" s="86" t="str">
        <x:f>IF($P331="","",INDEX(Tasks!$D$10:$D$1941,$P331))</x:f>
        <x:v>CSBBO - Banking Ops</x:v>
      </x:c>
      <x:c r="E331" s="86"/>
      <x:c r="F331" s="86" t="str">
        <x:f>IF($P331="","",INDEX(Tasks!$E$10:$E$1941,$P331))</x:f>
        <x:v>Data &amp; Reporting</x:v>
      </x:c>
      <x:c r="G331" s="86"/>
      <x:c r="H331" s="14" t="str">
        <x:f>IF($P331="","",INDEX(Tasks!$F$10:$F$1941,$P331)&amp;CHAR(10)&amp;INDEX(Tasks!$G$10:$G$1941,$P331))</x:f>
        <x:v>DR.BO.3.2
Attach the data package for each topic recommendation within the SharePoint list item</x:v>
      </x:c>
      <x:c r="I331" s="14"/>
      <x:c r="J331" s="14"/>
      <x:c r="K331" s="14"/>
      <x:c r="L331" s="86" t="str">
        <x:f>IF($P331="","",INDEX(Tasks!$N$10:$N$1941,$P331))</x:f>
        <x:v>Not started</x:v>
      </x:c>
      <x:c r="M331" s="87" t="n">
        <x:f>IF($P331="","",INDEX(Tasks!$J$10:$J$1941,$P331))</x:f>
        <x:v>46387</x:v>
      </x:c>
      <x:c r="N331" s="85" t="str">
        <x:f>IF($P331="","",HYPERLINK("#'"&amp;INDEX(Tasks!$T$10:$T$1941,$P331)&amp;"'!A"&amp;INDEX(Tasks!$U$10:$U$1941,$P331),"Open"))</x:f>
        <x:v>Open</x:v>
      </x:c>
      <x:c r="O331" s="14"/>
      <x:c r="P331" s="14" t="n">
        <x:f>IF(310&gt;$B$10,"",MATCH(310,Tasks!$S$10:$S$1941,0))</x:f>
        <x:v>622</x:v>
      </x:c>
    </x:row>
    <x:row r="332" ht="58" customHeight="1">
      <x:c r="B332" s="86" t="str">
        <x:f>IF($P332="","",INDEX(Tasks!$B$10:$B$1941,$P332))</x:f>
        <x:v>Cycle 4</x:v>
      </x:c>
      <x:c r="C332" s="86" t="str">
        <x:f>IF($P332="","",INDEX(Tasks!$C$10:$C$1941,$P332))</x:f>
        <x:v>Phase 3</x:v>
      </x:c>
      <x:c r="D332" s="86" t="str">
        <x:f>IF($P332="","",INDEX(Tasks!$D$10:$D$1941,$P332))</x:f>
        <x:v>CSBBO - Banking Ops</x:v>
      </x:c>
      <x:c r="E332" s="86"/>
      <x:c r="F332" s="86" t="str">
        <x:f>IF($P332="","",INDEX(Tasks!$E$10:$E$1941,$P332))</x:f>
        <x:v>Data &amp; Reporting</x:v>
      </x:c>
      <x:c r="G332" s="86"/>
      <x:c r="H332" s="14" t="str">
        <x:f>IF($P332="","",INDEX(Tasks!$F$10:$F$1941,$P332)&amp;CHAR(10)&amp;INDEX(Tasks!$G$10:$G$1941,$P332))</x:f>
        <x:v>DR.BO.3.3
Confirm data privileges have been granted, ensuring each pillar can access</x:v>
      </x:c>
      <x:c r="I332" s="14"/>
      <x:c r="J332" s="14"/>
      <x:c r="K332" s="14"/>
      <x:c r="L332" s="86" t="str">
        <x:f>IF($P332="","",INDEX(Tasks!$N$10:$N$1941,$P332))</x:f>
        <x:v>Not started</x:v>
      </x:c>
      <x:c r="M332" s="87" t="n">
        <x:f>IF($P332="","",INDEX(Tasks!$J$10:$J$1941,$P332))</x:f>
        <x:v>46387</x:v>
      </x:c>
      <x:c r="N332" s="85" t="str">
        <x:f>IF($P332="","",HYPERLINK("#'"&amp;INDEX(Tasks!$T$10:$T$1941,$P332)&amp;"'!A"&amp;INDEX(Tasks!$U$10:$U$1941,$P332),"Open"))</x:f>
        <x:v>Open</x:v>
      </x:c>
      <x:c r="O332" s="14"/>
      <x:c r="P332" s="14" t="n">
        <x:f>IF(311&gt;$B$10,"",MATCH(311,Tasks!$S$10:$S$1941,0))</x:f>
        <x:v>623</x:v>
      </x:c>
    </x:row>
    <x:row r="333" ht="58" customHeight="1">
      <x:c r="B333" s="86" t="str">
        <x:f>IF($P333="","",INDEX(Tasks!$B$10:$B$1941,$P333))</x:f>
        <x:v>Cycle 4</x:v>
      </x:c>
      <x:c r="C333" s="86" t="str">
        <x:f>IF($P333="","",INDEX(Tasks!$C$10:$C$1941,$P333))</x:f>
        <x:v>Phase 3</x:v>
      </x:c>
      <x:c r="D333" s="86" t="str">
        <x:f>IF($P333="","",INDEX(Tasks!$D$10:$D$1941,$P333))</x:f>
        <x:v>CSBBO - Banking Ops</x:v>
      </x:c>
      <x:c r="E333" s="86"/>
      <x:c r="F333" s="86" t="str">
        <x:f>IF($P333="","",INDEX(Tasks!$E$10:$E$1941,$P333))</x:f>
        <x:v>Data &amp; Reporting</x:v>
      </x:c>
      <x:c r="G333" s="86"/>
      <x:c r="H333" s="14" t="str">
        <x:f>IF($P333="","",INDEX(Tasks!$F$10:$F$1941,$P333)&amp;CHAR(10)&amp;INDEX(Tasks!$G$10:$G$1941,$P333))</x:f>
        <x:v>DR.BO.3.4
Ensure Power Automate notifications were correctly triggered within Microsoft Teams</x:v>
      </x:c>
      <x:c r="I333" s="14"/>
      <x:c r="J333" s="14"/>
      <x:c r="K333" s="14"/>
      <x:c r="L333" s="86" t="str">
        <x:f>IF($P333="","",INDEX(Tasks!$N$10:$N$1941,$P333))</x:f>
        <x:v>Not started</x:v>
      </x:c>
      <x:c r="M333" s="87" t="n">
        <x:f>IF($P333="","",INDEX(Tasks!$J$10:$J$1941,$P333))</x:f>
        <x:v>46387</x:v>
      </x:c>
      <x:c r="N333" s="85" t="str">
        <x:f>IF($P333="","",HYPERLINK("#'"&amp;INDEX(Tasks!$T$10:$T$1941,$P333)&amp;"'!A"&amp;INDEX(Tasks!$U$10:$U$1941,$P333),"Open"))</x:f>
        <x:v>Open</x:v>
      </x:c>
      <x:c r="O333" s="14"/>
      <x:c r="P333" s="14" t="n">
        <x:f>IF(312&gt;$B$10,"",MATCH(312,Tasks!$S$10:$S$1941,0))</x:f>
        <x:v>624</x:v>
      </x:c>
    </x:row>
    <x:row r="334" ht="58" customHeight="1">
      <x:c r="B334" s="86" t="str">
        <x:f>IF($P334="","",INDEX(Tasks!$B$10:$B$1941,$P334))</x:f>
        <x:v>Cycle 4</x:v>
      </x:c>
      <x:c r="C334" s="86" t="str">
        <x:f>IF($P334="","",INDEX(Tasks!$C$10:$C$1941,$P334))</x:f>
        <x:v>Phase 1</x:v>
      </x:c>
      <x:c r="D334" s="86" t="str">
        <x:f>IF($P334="","",INDEX(Tasks!$D$10:$D$1941,$P334))</x:f>
        <x:v>CSBBO - Customer Service</x:v>
      </x:c>
      <x:c r="E334" s="86"/>
      <x:c r="F334" s="86" t="str">
        <x:f>IF($P334="","",INDEX(Tasks!$E$10:$E$1941,$P334))</x:f>
        <x:v>Data &amp; Reporting</x:v>
      </x:c>
      <x:c r="G334" s="86"/>
      <x:c r="H334" s="14" t="str">
        <x:f>IF($P334="","",INDEX(Tasks!$F$10:$F$1941,$P334)&amp;CHAR(10)&amp;INDEX(Tasks!$G$10:$G$1941,$P334))</x:f>
        <x:v>DR.CS.1.1
Review data sources 3 weeks prior to Cycle start (Complaints, Gen AI, Loudspeaker, NPS, etc.)</x:v>
      </x:c>
      <x:c r="I334" s="14"/>
      <x:c r="J334" s="14"/>
      <x:c r="K334" s="14"/>
      <x:c r="L334" s="86" t="str">
        <x:f>IF($P334="","",INDEX(Tasks!$N$10:$N$1941,$P334))</x:f>
        <x:v>Not started</x:v>
      </x:c>
      <x:c r="M334" s="87" t="n">
        <x:f>IF($P334="","",INDEX(Tasks!$J$10:$J$1941,$P334))</x:f>
        <x:v>46275</x:v>
      </x:c>
      <x:c r="N334" s="85" t="str">
        <x:f>IF($P334="","",HYPERLINK("#'"&amp;INDEX(Tasks!$T$10:$T$1941,$P334)&amp;"'!A"&amp;INDEX(Tasks!$U$10:$U$1941,$P334),"Open"))</x:f>
        <x:v>Open</x:v>
      </x:c>
      <x:c r="O334" s="14"/>
      <x:c r="P334" s="14" t="n">
        <x:f>IF(313&gt;$B$10,"",MATCH(313,Tasks!$S$10:$S$1941,0))</x:f>
        <x:v>625</x:v>
      </x:c>
    </x:row>
    <x:row r="335" ht="58" customHeight="1">
      <x:c r="B335" s="86" t="str">
        <x:f>IF($P335="","",INDEX(Tasks!$B$10:$B$1941,$P335))</x:f>
        <x:v>Cycle 4</x:v>
      </x:c>
      <x:c r="C335" s="86" t="str">
        <x:f>IF($P335="","",INDEX(Tasks!$C$10:$C$1941,$P335))</x:f>
        <x:v>Phase 1</x:v>
      </x:c>
      <x:c r="D335" s="86" t="str">
        <x:f>IF($P335="","",INDEX(Tasks!$D$10:$D$1941,$P335))</x:f>
        <x:v>CSBBO - Customer Service</x:v>
      </x:c>
      <x:c r="E335" s="86"/>
      <x:c r="F335" s="86" t="str">
        <x:f>IF($P335="","",INDEX(Tasks!$E$10:$E$1941,$P335))</x:f>
        <x:v>Data &amp; Reporting</x:v>
      </x:c>
      <x:c r="G335" s="86"/>
      <x:c r="H335" s="14" t="str">
        <x:f>IF($P335="","",INDEX(Tasks!$F$10:$F$1941,$P335)&amp;CHAR(10)&amp;INDEX(Tasks!$G$10:$G$1941,$P335))</x:f>
        <x:v>DR.CS.1.2
Identify two potential topics for the upcoming Cycle</x:v>
      </x:c>
      <x:c r="I335" s="14"/>
      <x:c r="J335" s="14"/>
      <x:c r="K335" s="14"/>
      <x:c r="L335" s="86" t="str">
        <x:f>IF($P335="","",INDEX(Tasks!$N$10:$N$1941,$P335))</x:f>
        <x:v>Not started</x:v>
      </x:c>
      <x:c r="M335" s="87" t="n">
        <x:f>IF($P335="","",INDEX(Tasks!$J$10:$J$1941,$P335))</x:f>
        <x:v>46387</x:v>
      </x:c>
      <x:c r="N335" s="85" t="str">
        <x:f>IF($P335="","",HYPERLINK("#'"&amp;INDEX(Tasks!$T$10:$T$1941,$P335)&amp;"'!A"&amp;INDEX(Tasks!$U$10:$U$1941,$P335),"Open"))</x:f>
        <x:v>Open</x:v>
      </x:c>
      <x:c r="O335" s="14"/>
      <x:c r="P335" s="14" t="n">
        <x:f>IF(314&gt;$B$10,"",MATCH(314,Tasks!$S$10:$S$1941,0))</x:f>
        <x:v>626</x:v>
      </x:c>
    </x:row>
    <x:row r="336" ht="58" customHeight="1">
      <x:c r="B336" s="86" t="str">
        <x:f>IF($P336="","",INDEX(Tasks!$B$10:$B$1941,$P336))</x:f>
        <x:v>Cycle 4</x:v>
      </x:c>
      <x:c r="C336" s="86" t="str">
        <x:f>IF($P336="","",INDEX(Tasks!$C$10:$C$1941,$P336))</x:f>
        <x:v>Phase 1</x:v>
      </x:c>
      <x:c r="D336" s="86" t="str">
        <x:f>IF($P336="","",INDEX(Tasks!$D$10:$D$1941,$P336))</x:f>
        <x:v>CSBBO - Customer Service</x:v>
      </x:c>
      <x:c r="E336" s="86"/>
      <x:c r="F336" s="86" t="str">
        <x:f>IF($P336="","",INDEX(Tasks!$E$10:$E$1941,$P336))</x:f>
        <x:v>Data &amp; Reporting</x:v>
      </x:c>
      <x:c r="G336" s="86"/>
      <x:c r="H336" s="14" t="str">
        <x:f>IF($P336="","",INDEX(Tasks!$F$10:$F$1941,$P336)&amp;CHAR(10)&amp;INDEX(Tasks!$G$10:$G$1941,$P336))</x:f>
        <x:v>DR.CS.1.3
Extract data for both potential topics, ensuring all checklist items below are included/completed</x:v>
      </x:c>
      <x:c r="I336" s="14"/>
      <x:c r="J336" s="14"/>
      <x:c r="K336" s="14"/>
      <x:c r="L336" s="86" t="str">
        <x:f>IF($P336="","",INDEX(Tasks!$N$10:$N$1941,$P336))</x:f>
        <x:v>Not started</x:v>
      </x:c>
      <x:c r="M336" s="87" t="n">
        <x:f>IF($P336="","",INDEX(Tasks!$J$10:$J$1941,$P336))</x:f>
        <x:v>46387</x:v>
      </x:c>
      <x:c r="N336" s="85" t="str">
        <x:f>IF($P336="","",HYPERLINK("#'"&amp;INDEX(Tasks!$T$10:$T$1941,$P336)&amp;"'!A"&amp;INDEX(Tasks!$U$10:$U$1941,$P336),"Open"))</x:f>
        <x:v>Open</x:v>
      </x:c>
      <x:c r="O336" s="14"/>
      <x:c r="P336" s="14" t="n">
        <x:f>IF(315&gt;$B$10,"",MATCH(315,Tasks!$S$10:$S$1941,0))</x:f>
        <x:v>627</x:v>
      </x:c>
    </x:row>
    <x:row r="337" ht="58" customHeight="1">
      <x:c r="B337" s="86" t="str">
        <x:f>IF($P337="","",INDEX(Tasks!$B$10:$B$1941,$P337))</x:f>
        <x:v>Cycle 4</x:v>
      </x:c>
      <x:c r="C337" s="86" t="str">
        <x:f>IF($P337="","",INDEX(Tasks!$C$10:$C$1941,$P337))</x:f>
        <x:v>Phase 2</x:v>
      </x:c>
      <x:c r="D337" s="86" t="str">
        <x:f>IF($P337="","",INDEX(Tasks!$D$10:$D$1941,$P337))</x:f>
        <x:v>CSBBO - Customer Service</x:v>
      </x:c>
      <x:c r="E337" s="86"/>
      <x:c r="F337" s="86" t="str">
        <x:f>IF($P337="","",INDEX(Tasks!$E$10:$E$1941,$P337))</x:f>
        <x:v>Data &amp; Reporting</x:v>
      </x:c>
      <x:c r="G337" s="86"/>
      <x:c r="H337" s="14" t="str">
        <x:f>IF($P337="","",INDEX(Tasks!$F$10:$F$1941,$P337)&amp;CHAR(10)&amp;INDEX(Tasks!$G$10:$G$1941,$P337))</x:f>
        <x:v>DR.CS.2.1
Ensure data is clean, structured, and usable without manipulation needed</x:v>
      </x:c>
      <x:c r="I337" s="14"/>
      <x:c r="J337" s="14"/>
      <x:c r="K337" s="14"/>
      <x:c r="L337" s="86" t="str">
        <x:f>IF($P337="","",INDEX(Tasks!$N$10:$N$1941,$P337))</x:f>
        <x:v>Not started</x:v>
      </x:c>
      <x:c r="M337" s="87" t="n">
        <x:f>IF($P337="","",INDEX(Tasks!$J$10:$J$1941,$P337))</x:f>
        <x:v>46387</x:v>
      </x:c>
      <x:c r="N337" s="85" t="str">
        <x:f>IF($P337="","",HYPERLINK("#'"&amp;INDEX(Tasks!$T$10:$T$1941,$P337)&amp;"'!A"&amp;INDEX(Tasks!$U$10:$U$1941,$P337),"Open"))</x:f>
        <x:v>Open</x:v>
      </x:c>
      <x:c r="O337" s="14"/>
      <x:c r="P337" s="14" t="n">
        <x:f>IF(316&gt;$B$10,"",MATCH(316,Tasks!$S$10:$S$1941,0))</x:f>
        <x:v>641</x:v>
      </x:c>
    </x:row>
    <x:row r="338" ht="58" customHeight="1">
      <x:c r="B338" s="86" t="str">
        <x:f>IF($P338="","",INDEX(Tasks!$B$10:$B$1941,$P338))</x:f>
        <x:v>Cycle 4</x:v>
      </x:c>
      <x:c r="C338" s="86" t="str">
        <x:f>IF($P338="","",INDEX(Tasks!$C$10:$C$1941,$P338))</x:f>
        <x:v>Phase 2</x:v>
      </x:c>
      <x:c r="D338" s="86" t="str">
        <x:f>IF($P338="","",INDEX(Tasks!$D$10:$D$1941,$P338))</x:f>
        <x:v>CSBBO - Customer Service</x:v>
      </x:c>
      <x:c r="E338" s="86"/>
      <x:c r="F338" s="86" t="str">
        <x:f>IF($P338="","",INDEX(Tasks!$E$10:$E$1941,$P338))</x:f>
        <x:v>Data &amp; Reporting</x:v>
      </x:c>
      <x:c r="G338" s="86"/>
      <x:c r="H338" s="14" t="str">
        <x:f>IF($P338="","",INDEX(Tasks!$F$10:$F$1941,$P338)&amp;CHAR(10)&amp;INDEX(Tasks!$G$10:$G$1941,$P338))</x:f>
        <x:v>DR.CS.2.2
Clearly document rationale for each topic recommendation within the SharePoint list</x:v>
      </x:c>
      <x:c r="I338" s="14"/>
      <x:c r="J338" s="14"/>
      <x:c r="K338" s="14"/>
      <x:c r="L338" s="86" t="str">
        <x:f>IF($P338="","",INDEX(Tasks!$N$10:$N$1941,$P338))</x:f>
        <x:v>Not started</x:v>
      </x:c>
      <x:c r="M338" s="87" t="n">
        <x:f>IF($P338="","",INDEX(Tasks!$J$10:$J$1941,$P338))</x:f>
        <x:v>46387</x:v>
      </x:c>
      <x:c r="N338" s="85" t="str">
        <x:f>IF($P338="","",HYPERLINK("#'"&amp;INDEX(Tasks!$T$10:$T$1941,$P338)&amp;"'!A"&amp;INDEX(Tasks!$U$10:$U$1941,$P338),"Open"))</x:f>
        <x:v>Open</x:v>
      </x:c>
      <x:c r="O338" s="14"/>
      <x:c r="P338" s="14" t="n">
        <x:f>IF(317&gt;$B$10,"",MATCH(317,Tasks!$S$10:$S$1941,0))</x:f>
        <x:v>642</x:v>
      </x:c>
    </x:row>
    <x:row r="339" ht="58" customHeight="1">
      <x:c r="B339" s="86" t="str">
        <x:f>IF($P339="","",INDEX(Tasks!$B$10:$B$1941,$P339))</x:f>
        <x:v>Cycle 4</x:v>
      </x:c>
      <x:c r="C339" s="86" t="str">
        <x:f>IF($P339="","",INDEX(Tasks!$C$10:$C$1941,$P339))</x:f>
        <x:v>Phase 2</x:v>
      </x:c>
      <x:c r="D339" s="86" t="str">
        <x:f>IF($P339="","",INDEX(Tasks!$D$10:$D$1941,$P339))</x:f>
        <x:v>CSBBO - Customer Service</x:v>
      </x:c>
      <x:c r="E339" s="86"/>
      <x:c r="F339" s="86" t="str">
        <x:f>IF($P339="","",INDEX(Tasks!$E$10:$E$1941,$P339))</x:f>
        <x:v>Data &amp; Reporting</x:v>
      </x:c>
      <x:c r="G339" s="86"/>
      <x:c r="H339" s="14" t="str">
        <x:f>IF($P339="","",INDEX(Tasks!$F$10:$F$1941,$P339)&amp;CHAR(10)&amp;INDEX(Tasks!$G$10:$G$1941,$P339))</x:f>
        <x:v>DR.CS.2.3
Verify topic is eligible for RCA and does not conflict with Attorney Client Privilege</x:v>
      </x:c>
      <x:c r="I339" s="14"/>
      <x:c r="J339" s="14"/>
      <x:c r="K339" s="14"/>
      <x:c r="L339" s="86" t="str">
        <x:f>IF($P339="","",INDEX(Tasks!$N$10:$N$1941,$P339))</x:f>
        <x:v>Not started</x:v>
      </x:c>
      <x:c r="M339" s="87" t="n">
        <x:f>IF($P339="","",INDEX(Tasks!$J$10:$J$1941,$P339))</x:f>
        <x:v>46387</x:v>
      </x:c>
      <x:c r="N339" s="85" t="str">
        <x:f>IF($P339="","",HYPERLINK("#'"&amp;INDEX(Tasks!$T$10:$T$1941,$P339)&amp;"'!A"&amp;INDEX(Tasks!$U$10:$U$1941,$P339),"Open"))</x:f>
        <x:v>Open</x:v>
      </x:c>
      <x:c r="O339" s="14"/>
      <x:c r="P339" s="14" t="n">
        <x:f>IF(318&gt;$B$10,"",MATCH(318,Tasks!$S$10:$S$1941,0))</x:f>
        <x:v>643</x:v>
      </x:c>
    </x:row>
    <x:row r="340" ht="58" customHeight="1">
      <x:c r="B340" s="86" t="str">
        <x:f>IF($P340="","",INDEX(Tasks!$B$10:$B$1941,$P340))</x:f>
        <x:v>Cycle 4</x:v>
      </x:c>
      <x:c r="C340" s="86" t="str">
        <x:f>IF($P340="","",INDEX(Tasks!$C$10:$C$1941,$P340))</x:f>
        <x:v>Phase 2</x:v>
      </x:c>
      <x:c r="D340" s="86" t="str">
        <x:f>IF($P340="","",INDEX(Tasks!$D$10:$D$1941,$P340))</x:f>
        <x:v>CSBBO - Customer Service</x:v>
      </x:c>
      <x:c r="E340" s="86"/>
      <x:c r="F340" s="86" t="str">
        <x:f>IF($P340="","",INDEX(Tasks!$E$10:$E$1941,$P340))</x:f>
        <x:v>Data &amp; Reporting</x:v>
      </x:c>
      <x:c r="G340" s="86"/>
      <x:c r="H340" s="14" t="str">
        <x:f>IF($P340="","",INDEX(Tasks!$F$10:$F$1941,$P340)&amp;CHAR(10)&amp;INDEX(Tasks!$G$10:$G$1941,$P340))</x:f>
        <x:v>DR.CS.2.4
Ensure data is free of errors and anomalies prior to hand-off to Research</x:v>
      </x:c>
      <x:c r="I340" s="14"/>
      <x:c r="J340" s="14"/>
      <x:c r="K340" s="14"/>
      <x:c r="L340" s="86" t="str">
        <x:f>IF($P340="","",INDEX(Tasks!$N$10:$N$1941,$P340))</x:f>
        <x:v>Not started</x:v>
      </x:c>
      <x:c r="M340" s="87" t="n">
        <x:f>IF($P340="","",INDEX(Tasks!$J$10:$J$1941,$P340))</x:f>
        <x:v>46387</x:v>
      </x:c>
      <x:c r="N340" s="85" t="str">
        <x:f>IF($P340="","",HYPERLINK("#'"&amp;INDEX(Tasks!$T$10:$T$1941,$P340)&amp;"'!A"&amp;INDEX(Tasks!$U$10:$U$1941,$P340),"Open"))</x:f>
        <x:v>Open</x:v>
      </x:c>
      <x:c r="O340" s="14"/>
      <x:c r="P340" s="14" t="n">
        <x:f>IF(319&gt;$B$10,"",MATCH(319,Tasks!$S$10:$S$1941,0))</x:f>
        <x:v>644</x:v>
      </x:c>
    </x:row>
    <x:row r="341" ht="58" customHeight="1">
      <x:c r="B341" s="86" t="str">
        <x:f>IF($P341="","",INDEX(Tasks!$B$10:$B$1941,$P341))</x:f>
        <x:v>Cycle 4</x:v>
      </x:c>
      <x:c r="C341" s="86" t="str">
        <x:f>IF($P341="","",INDEX(Tasks!$C$10:$C$1941,$P341))</x:f>
        <x:v>Phase 2</x:v>
      </x:c>
      <x:c r="D341" s="86" t="str">
        <x:f>IF($P341="","",INDEX(Tasks!$D$10:$D$1941,$P341))</x:f>
        <x:v>CSBBO - Customer Service</x:v>
      </x:c>
      <x:c r="E341" s="86"/>
      <x:c r="F341" s="86" t="str">
        <x:f>IF($P341="","",INDEX(Tasks!$E$10:$E$1941,$P341))</x:f>
        <x:v>Data &amp; Reporting</x:v>
      </x:c>
      <x:c r="G341" s="86"/>
      <x:c r="H341" s="14" t="str">
        <x:f>IF($P341="","",INDEX(Tasks!$F$10:$F$1941,$P341)&amp;CHAR(10)&amp;INDEX(Tasks!$G$10:$G$1941,$P341))</x:f>
        <x:v>DR.CS.2.5
Ensure topic is not a duplicate from a previous Cycle</x:v>
      </x:c>
      <x:c r="I341" s="14"/>
      <x:c r="J341" s="14"/>
      <x:c r="K341" s="14"/>
      <x:c r="L341" s="86" t="str">
        <x:f>IF($P341="","",INDEX(Tasks!$N$10:$N$1941,$P341))</x:f>
        <x:v>Not started</x:v>
      </x:c>
      <x:c r="M341" s="87" t="n">
        <x:f>IF($P341="","",INDEX(Tasks!$J$10:$J$1941,$P341))</x:f>
        <x:v>46387</x:v>
      </x:c>
      <x:c r="N341" s="85" t="str">
        <x:f>IF($P341="","",HYPERLINK("#'"&amp;INDEX(Tasks!$T$10:$T$1941,$P341)&amp;"'!A"&amp;INDEX(Tasks!$U$10:$U$1941,$P341),"Open"))</x:f>
        <x:v>Open</x:v>
      </x:c>
      <x:c r="O341" s="14"/>
      <x:c r="P341" s="14" t="n">
        <x:f>IF(320&gt;$B$10,"",MATCH(320,Tasks!$S$10:$S$1941,0))</x:f>
        <x:v>645</x:v>
      </x:c>
    </x:row>
    <x:row r="342" ht="58" customHeight="1">
      <x:c r="B342" s="86" t="str">
        <x:f>IF($P342="","",INDEX(Tasks!$B$10:$B$1941,$P342))</x:f>
        <x:v>Cycle 4</x:v>
      </x:c>
      <x:c r="C342" s="86" t="str">
        <x:f>IF($P342="","",INDEX(Tasks!$C$10:$C$1941,$P342))</x:f>
        <x:v>Phase 2</x:v>
      </x:c>
      <x:c r="D342" s="86" t="str">
        <x:f>IF($P342="","",INDEX(Tasks!$D$10:$D$1941,$P342))</x:f>
        <x:v>CSBBO - Customer Service</x:v>
      </x:c>
      <x:c r="E342" s="86"/>
      <x:c r="F342" s="86" t="str">
        <x:f>IF($P342="","",INDEX(Tasks!$E$10:$E$1941,$P342))</x:f>
        <x:v>Data &amp; Reporting</x:v>
      </x:c>
      <x:c r="G342" s="86"/>
      <x:c r="H342" s="14" t="str">
        <x:f>IF($P342="","",INDEX(Tasks!$F$10:$F$1941,$P342)&amp;CHAR(10)&amp;INDEX(Tasks!$G$10:$G$1941,$P342))</x:f>
        <x:v>DR.CS.2.6
Document clear distinctions between facts, assumptions, and hypotheses within the data package</x:v>
      </x:c>
      <x:c r="I342" s="14"/>
      <x:c r="J342" s="14"/>
      <x:c r="K342" s="14"/>
      <x:c r="L342" s="86" t="str">
        <x:f>IF($P342="","",INDEX(Tasks!$N$10:$N$1941,$P342))</x:f>
        <x:v>Not started</x:v>
      </x:c>
      <x:c r="M342" s="87" t="n">
        <x:f>IF($P342="","",INDEX(Tasks!$J$10:$J$1941,$P342))</x:f>
        <x:v>46387</x:v>
      </x:c>
      <x:c r="N342" s="85" t="str">
        <x:f>IF($P342="","",HYPERLINK("#'"&amp;INDEX(Tasks!$T$10:$T$1941,$P342)&amp;"'!A"&amp;INDEX(Tasks!$U$10:$U$1941,$P342),"Open"))</x:f>
        <x:v>Open</x:v>
      </x:c>
      <x:c r="O342" s="14"/>
      <x:c r="P342" s="14" t="n">
        <x:f>IF(321&gt;$B$10,"",MATCH(321,Tasks!$S$10:$S$1941,0))</x:f>
        <x:v>646</x:v>
      </x:c>
    </x:row>
    <x:row r="343" ht="58" customHeight="1">
      <x:c r="B343" s="86" t="str">
        <x:f>IF($P343="","",INDEX(Tasks!$B$10:$B$1941,$P343))</x:f>
        <x:v>Cycle 4</x:v>
      </x:c>
      <x:c r="C343" s="86" t="str">
        <x:f>IF($P343="","",INDEX(Tasks!$C$10:$C$1941,$P343))</x:f>
        <x:v>Phase 3</x:v>
      </x:c>
      <x:c r="D343" s="86" t="str">
        <x:f>IF($P343="","",INDEX(Tasks!$D$10:$D$1941,$P343))</x:f>
        <x:v>CSBBO - Customer Service</x:v>
      </x:c>
      <x:c r="E343" s="86"/>
      <x:c r="F343" s="86" t="str">
        <x:f>IF($P343="","",INDEX(Tasks!$E$10:$E$1941,$P343))</x:f>
        <x:v>Data &amp; Reporting</x:v>
      </x:c>
      <x:c r="G343" s="86"/>
      <x:c r="H343" s="14" t="str">
        <x:f>IF($P343="","",INDEX(Tasks!$F$10:$F$1941,$P343)&amp;CHAR(10)&amp;INDEX(Tasks!$G$10:$G$1941,$P343))</x:f>
        <x:v>DR.CS.3.1
Clearly document rationale for each topic recommendation within the SharePoint list item</x:v>
      </x:c>
      <x:c r="I343" s="14"/>
      <x:c r="J343" s="14"/>
      <x:c r="K343" s="14"/>
      <x:c r="L343" s="86" t="str">
        <x:f>IF($P343="","",INDEX(Tasks!$N$10:$N$1941,$P343))</x:f>
        <x:v>Not started</x:v>
      </x:c>
      <x:c r="M343" s="87" t="n">
        <x:f>IF($P343="","",INDEX(Tasks!$J$10:$J$1941,$P343))</x:f>
        <x:v>46387</x:v>
      </x:c>
      <x:c r="N343" s="85" t="str">
        <x:f>IF($P343="","",HYPERLINK("#'"&amp;INDEX(Tasks!$T$10:$T$1941,$P343)&amp;"'!A"&amp;INDEX(Tasks!$U$10:$U$1941,$P343),"Open"))</x:f>
        <x:v>Open</x:v>
      </x:c>
      <x:c r="O343" s="14"/>
      <x:c r="P343" s="14" t="n">
        <x:f>IF(322&gt;$B$10,"",MATCH(322,Tasks!$S$10:$S$1941,0))</x:f>
        <x:v>647</x:v>
      </x:c>
    </x:row>
    <x:row r="344" ht="58" customHeight="1">
      <x:c r="B344" s="86" t="str">
        <x:f>IF($P344="","",INDEX(Tasks!$B$10:$B$1941,$P344))</x:f>
        <x:v>Cycle 4</x:v>
      </x:c>
      <x:c r="C344" s="86" t="str">
        <x:f>IF($P344="","",INDEX(Tasks!$C$10:$C$1941,$P344))</x:f>
        <x:v>Phase 3</x:v>
      </x:c>
      <x:c r="D344" s="86" t="str">
        <x:f>IF($P344="","",INDEX(Tasks!$D$10:$D$1941,$P344))</x:f>
        <x:v>CSBBO - Customer Service</x:v>
      </x:c>
      <x:c r="E344" s="86"/>
      <x:c r="F344" s="86" t="str">
        <x:f>IF($P344="","",INDEX(Tasks!$E$10:$E$1941,$P344))</x:f>
        <x:v>Data &amp; Reporting</x:v>
      </x:c>
      <x:c r="G344" s="86"/>
      <x:c r="H344" s="14" t="str">
        <x:f>IF($P344="","",INDEX(Tasks!$F$10:$F$1941,$P344)&amp;CHAR(10)&amp;INDEX(Tasks!$G$10:$G$1941,$P344))</x:f>
        <x:v>DR.CS.3.2
Attach the data package for each topic recommendation within the SharePoint list item</x:v>
      </x:c>
      <x:c r="I344" s="14"/>
      <x:c r="J344" s="14"/>
      <x:c r="K344" s="14"/>
      <x:c r="L344" s="86" t="str">
        <x:f>IF($P344="","",INDEX(Tasks!$N$10:$N$1941,$P344))</x:f>
        <x:v>Not started</x:v>
      </x:c>
      <x:c r="M344" s="87" t="n">
        <x:f>IF($P344="","",INDEX(Tasks!$J$10:$J$1941,$P344))</x:f>
        <x:v>46387</x:v>
      </x:c>
      <x:c r="N344" s="85" t="str">
        <x:f>IF($P344="","",HYPERLINK("#'"&amp;INDEX(Tasks!$T$10:$T$1941,$P344)&amp;"'!A"&amp;INDEX(Tasks!$U$10:$U$1941,$P344),"Open"))</x:f>
        <x:v>Open</x:v>
      </x:c>
      <x:c r="O344" s="14"/>
      <x:c r="P344" s="14" t="n">
        <x:f>IF(323&gt;$B$10,"",MATCH(323,Tasks!$S$10:$S$1941,0))</x:f>
        <x:v>648</x:v>
      </x:c>
    </x:row>
    <x:row r="345" ht="58" customHeight="1">
      <x:c r="B345" s="86" t="str">
        <x:f>IF($P345="","",INDEX(Tasks!$B$10:$B$1941,$P345))</x:f>
        <x:v>Cycle 4</x:v>
      </x:c>
      <x:c r="C345" s="86" t="str">
        <x:f>IF($P345="","",INDEX(Tasks!$C$10:$C$1941,$P345))</x:f>
        <x:v>Phase 3</x:v>
      </x:c>
      <x:c r="D345" s="86" t="str">
        <x:f>IF($P345="","",INDEX(Tasks!$D$10:$D$1941,$P345))</x:f>
        <x:v>CSBBO - Customer Service</x:v>
      </x:c>
      <x:c r="E345" s="86"/>
      <x:c r="F345" s="86" t="str">
        <x:f>IF($P345="","",INDEX(Tasks!$E$10:$E$1941,$P345))</x:f>
        <x:v>Data &amp; Reporting</x:v>
      </x:c>
      <x:c r="G345" s="86"/>
      <x:c r="H345" s="14" t="str">
        <x:f>IF($P345="","",INDEX(Tasks!$F$10:$F$1941,$P345)&amp;CHAR(10)&amp;INDEX(Tasks!$G$10:$G$1941,$P345))</x:f>
        <x:v>DR.CS.3.3
Confirm data privileges have been granted, ensuring each pillar can access</x:v>
      </x:c>
      <x:c r="I345" s="14"/>
      <x:c r="J345" s="14"/>
      <x:c r="K345" s="14"/>
      <x:c r="L345" s="86" t="str">
        <x:f>IF($P345="","",INDEX(Tasks!$N$10:$N$1941,$P345))</x:f>
        <x:v>Not started</x:v>
      </x:c>
      <x:c r="M345" s="87" t="n">
        <x:f>IF($P345="","",INDEX(Tasks!$J$10:$J$1941,$P345))</x:f>
        <x:v>46387</x:v>
      </x:c>
      <x:c r="N345" s="85" t="str">
        <x:f>IF($P345="","",HYPERLINK("#'"&amp;INDEX(Tasks!$T$10:$T$1941,$P345)&amp;"'!A"&amp;INDEX(Tasks!$U$10:$U$1941,$P345),"Open"))</x:f>
        <x:v>Open</x:v>
      </x:c>
      <x:c r="O345" s="14"/>
      <x:c r="P345" s="14" t="n">
        <x:f>IF(324&gt;$B$10,"",MATCH(324,Tasks!$S$10:$S$1941,0))</x:f>
        <x:v>649</x:v>
      </x:c>
    </x:row>
    <x:row r="346" ht="58" customHeight="1">
      <x:c r="B346" s="86" t="str">
        <x:f>IF($P346="","",INDEX(Tasks!$B$10:$B$1941,$P346))</x:f>
        <x:v>Cycle 4</x:v>
      </x:c>
      <x:c r="C346" s="86" t="str">
        <x:f>IF($P346="","",INDEX(Tasks!$C$10:$C$1941,$P346))</x:f>
        <x:v>Phase 3</x:v>
      </x:c>
      <x:c r="D346" s="86" t="str">
        <x:f>IF($P346="","",INDEX(Tasks!$D$10:$D$1941,$P346))</x:f>
        <x:v>CSBBO - Customer Service</x:v>
      </x:c>
      <x:c r="E346" s="86"/>
      <x:c r="F346" s="86" t="str">
        <x:f>IF($P346="","",INDEX(Tasks!$E$10:$E$1941,$P346))</x:f>
        <x:v>Data &amp; Reporting</x:v>
      </x:c>
      <x:c r="G346" s="86"/>
      <x:c r="H346" s="14" t="str">
        <x:f>IF($P346="","",INDEX(Tasks!$F$10:$F$1941,$P346)&amp;CHAR(10)&amp;INDEX(Tasks!$G$10:$G$1941,$P346))</x:f>
        <x:v>DR.CS.3.4
Ensure Power Automate notifications were correctly triggered within Microsoft Teams</x:v>
      </x:c>
      <x:c r="I346" s="14"/>
      <x:c r="J346" s="14"/>
      <x:c r="K346" s="14"/>
      <x:c r="L346" s="86" t="str">
        <x:f>IF($P346="","",INDEX(Tasks!$N$10:$N$1941,$P346))</x:f>
        <x:v>Not started</x:v>
      </x:c>
      <x:c r="M346" s="87" t="n">
        <x:f>IF($P346="","",INDEX(Tasks!$J$10:$J$1941,$P346))</x:f>
        <x:v>46387</x:v>
      </x:c>
      <x:c r="N346" s="85" t="str">
        <x:f>IF($P346="","",HYPERLINK("#'"&amp;INDEX(Tasks!$T$10:$T$1941,$P346)&amp;"'!A"&amp;INDEX(Tasks!$U$10:$U$1941,$P346),"Open"))</x:f>
        <x:v>Open</x:v>
      </x:c>
      <x:c r="O346" s="14"/>
      <x:c r="P346" s="14" t="n">
        <x:f>IF(325&gt;$B$10,"",MATCH(325,Tasks!$S$10:$S$1941,0))</x:f>
        <x:v>650</x:v>
      </x:c>
    </x:row>
    <x:row r="347" ht="58" customHeight="1">
      <x:c r="B347" s="86" t="str">
        <x:f>IF($P347="","",INDEX(Tasks!$B$10:$B$1941,$P347))</x:f>
        <x:v>Cycle 4</x:v>
      </x:c>
      <x:c r="C347" s="86" t="str">
        <x:f>IF($P347="","",INDEX(Tasks!$C$10:$C$1941,$P347))</x:f>
        <x:v>Phase 1</x:v>
      </x:c>
      <x:c r="D347" s="86" t="str">
        <x:f>IF($P347="","",INDEX(Tasks!$D$10:$D$1941,$P347))</x:f>
        <x:v>FCM</x:v>
      </x:c>
      <x:c r="E347" s="86"/>
      <x:c r="F347" s="86" t="str">
        <x:f>IF($P347="","",INDEX(Tasks!$E$10:$E$1941,$P347))</x:f>
        <x:v>Data &amp; Reporting</x:v>
      </x:c>
      <x:c r="G347" s="86"/>
      <x:c r="H347" s="14" t="str">
        <x:f>IF($P347="","",INDEX(Tasks!$F$10:$F$1941,$P347)&amp;CHAR(10)&amp;INDEX(Tasks!$G$10:$G$1941,$P347))</x:f>
        <x:v>DR.FC.1.1
Review data sources 3 weeks prior to Cycle start (Complaints, Gen AI, Loudspeaker, NPS, etc.)</x:v>
      </x:c>
      <x:c r="I347" s="14"/>
      <x:c r="J347" s="14"/>
      <x:c r="K347" s="14"/>
      <x:c r="L347" s="86" t="str">
        <x:f>IF($P347="","",INDEX(Tasks!$N$10:$N$1941,$P347))</x:f>
        <x:v>Not started</x:v>
      </x:c>
      <x:c r="M347" s="87" t="n">
        <x:f>IF($P347="","",INDEX(Tasks!$J$10:$J$1941,$P347))</x:f>
        <x:v>46275</x:v>
      </x:c>
      <x:c r="N347" s="85" t="str">
        <x:f>IF($P347="","",HYPERLINK("#'"&amp;INDEX(Tasks!$T$10:$T$1941,$P347)&amp;"'!A"&amp;INDEX(Tasks!$U$10:$U$1941,$P347),"Open"))</x:f>
        <x:v>Open</x:v>
      </x:c>
      <x:c r="O347" s="14"/>
      <x:c r="P347" s="14" t="n">
        <x:f>IF(326&gt;$B$10,"",MATCH(326,Tasks!$S$10:$S$1941,0))</x:f>
        <x:v>651</x:v>
      </x:c>
    </x:row>
    <x:row r="348" ht="58" customHeight="1">
      <x:c r="B348" s="86" t="str">
        <x:f>IF($P348="","",INDEX(Tasks!$B$10:$B$1941,$P348))</x:f>
        <x:v>Cycle 4</x:v>
      </x:c>
      <x:c r="C348" s="86" t="str">
        <x:f>IF($P348="","",INDEX(Tasks!$C$10:$C$1941,$P348))</x:f>
        <x:v>Phase 1</x:v>
      </x:c>
      <x:c r="D348" s="86" t="str">
        <x:f>IF($P348="","",INDEX(Tasks!$D$10:$D$1941,$P348))</x:f>
        <x:v>FCM</x:v>
      </x:c>
      <x:c r="E348" s="86"/>
      <x:c r="F348" s="86" t="str">
        <x:f>IF($P348="","",INDEX(Tasks!$E$10:$E$1941,$P348))</x:f>
        <x:v>Data &amp; Reporting</x:v>
      </x:c>
      <x:c r="G348" s="86"/>
      <x:c r="H348" s="14" t="str">
        <x:f>IF($P348="","",INDEX(Tasks!$F$10:$F$1941,$P348)&amp;CHAR(10)&amp;INDEX(Tasks!$G$10:$G$1941,$P348))</x:f>
        <x:v>DR.FC.1.2
Identify two potential topics for the upcoming Cycle</x:v>
      </x:c>
      <x:c r="I348" s="14"/>
      <x:c r="J348" s="14"/>
      <x:c r="K348" s="14"/>
      <x:c r="L348" s="86" t="str">
        <x:f>IF($P348="","",INDEX(Tasks!$N$10:$N$1941,$P348))</x:f>
        <x:v>Not started</x:v>
      </x:c>
      <x:c r="M348" s="87" t="n">
        <x:f>IF($P348="","",INDEX(Tasks!$J$10:$J$1941,$P348))</x:f>
        <x:v>46387</x:v>
      </x:c>
      <x:c r="N348" s="85" t="str">
        <x:f>IF($P348="","",HYPERLINK("#'"&amp;INDEX(Tasks!$T$10:$T$1941,$P348)&amp;"'!A"&amp;INDEX(Tasks!$U$10:$U$1941,$P348),"Open"))</x:f>
        <x:v>Open</x:v>
      </x:c>
      <x:c r="O348" s="14"/>
      <x:c r="P348" s="14" t="n">
        <x:f>IF(327&gt;$B$10,"",MATCH(327,Tasks!$S$10:$S$1941,0))</x:f>
        <x:v>652</x:v>
      </x:c>
    </x:row>
    <x:row r="349" ht="58" customHeight="1">
      <x:c r="B349" s="86" t="str">
        <x:f>IF($P349="","",INDEX(Tasks!$B$10:$B$1941,$P349))</x:f>
        <x:v>Cycle 4</x:v>
      </x:c>
      <x:c r="C349" s="86" t="str">
        <x:f>IF($P349="","",INDEX(Tasks!$C$10:$C$1941,$P349))</x:f>
        <x:v>Phase 1</x:v>
      </x:c>
      <x:c r="D349" s="86" t="str">
        <x:f>IF($P349="","",INDEX(Tasks!$D$10:$D$1941,$P349))</x:f>
        <x:v>FCM</x:v>
      </x:c>
      <x:c r="E349" s="86"/>
      <x:c r="F349" s="86" t="str">
        <x:f>IF($P349="","",INDEX(Tasks!$E$10:$E$1941,$P349))</x:f>
        <x:v>Data &amp; Reporting</x:v>
      </x:c>
      <x:c r="G349" s="86"/>
      <x:c r="H349" s="14" t="str">
        <x:f>IF($P349="","",INDEX(Tasks!$F$10:$F$1941,$P349)&amp;CHAR(10)&amp;INDEX(Tasks!$G$10:$G$1941,$P349))</x:f>
        <x:v>DR.FC.1.3
Extract data for both potential topics, ensuring all checklist items below are included/completed</x:v>
      </x:c>
      <x:c r="I349" s="14"/>
      <x:c r="J349" s="14"/>
      <x:c r="K349" s="14"/>
      <x:c r="L349" s="86" t="str">
        <x:f>IF($P349="","",INDEX(Tasks!$N$10:$N$1941,$P349))</x:f>
        <x:v>Not started</x:v>
      </x:c>
      <x:c r="M349" s="87" t="n">
        <x:f>IF($P349="","",INDEX(Tasks!$J$10:$J$1941,$P349))</x:f>
        <x:v>46387</x:v>
      </x:c>
      <x:c r="N349" s="85" t="str">
        <x:f>IF($P349="","",HYPERLINK("#'"&amp;INDEX(Tasks!$T$10:$T$1941,$P349)&amp;"'!A"&amp;INDEX(Tasks!$U$10:$U$1941,$P349),"Open"))</x:f>
        <x:v>Open</x:v>
      </x:c>
      <x:c r="O349" s="14"/>
      <x:c r="P349" s="14" t="n">
        <x:f>IF(328&gt;$B$10,"",MATCH(328,Tasks!$S$10:$S$1941,0))</x:f>
        <x:v>653</x:v>
      </x:c>
    </x:row>
    <x:row r="350" ht="58" customHeight="1">
      <x:c r="B350" s="86" t="str">
        <x:f>IF($P350="","",INDEX(Tasks!$B$10:$B$1941,$P350))</x:f>
        <x:v>Cycle 4</x:v>
      </x:c>
      <x:c r="C350" s="86" t="str">
        <x:f>IF($P350="","",INDEX(Tasks!$C$10:$C$1941,$P350))</x:f>
        <x:v>Phase 2</x:v>
      </x:c>
      <x:c r="D350" s="86" t="str">
        <x:f>IF($P350="","",INDEX(Tasks!$D$10:$D$1941,$P350))</x:f>
        <x:v>FCM</x:v>
      </x:c>
      <x:c r="E350" s="86"/>
      <x:c r="F350" s="86" t="str">
        <x:f>IF($P350="","",INDEX(Tasks!$E$10:$E$1941,$P350))</x:f>
        <x:v>Data &amp; Reporting</x:v>
      </x:c>
      <x:c r="G350" s="86"/>
      <x:c r="H350" s="14" t="str">
        <x:f>IF($P350="","",INDEX(Tasks!$F$10:$F$1941,$P350)&amp;CHAR(10)&amp;INDEX(Tasks!$G$10:$G$1941,$P350))</x:f>
        <x:v>DR.FC.2.1
Ensure data is clean, structured, and usable without manipulation needed</x:v>
      </x:c>
      <x:c r="I350" s="14"/>
      <x:c r="J350" s="14"/>
      <x:c r="K350" s="14"/>
      <x:c r="L350" s="86" t="str">
        <x:f>IF($P350="","",INDEX(Tasks!$N$10:$N$1941,$P350))</x:f>
        <x:v>Not started</x:v>
      </x:c>
      <x:c r="M350" s="87" t="n">
        <x:f>IF($P350="","",INDEX(Tasks!$J$10:$J$1941,$P350))</x:f>
        <x:v>46387</x:v>
      </x:c>
      <x:c r="N350" s="85" t="str">
        <x:f>IF($P350="","",HYPERLINK("#'"&amp;INDEX(Tasks!$T$10:$T$1941,$P350)&amp;"'!A"&amp;INDEX(Tasks!$U$10:$U$1941,$P350),"Open"))</x:f>
        <x:v>Open</x:v>
      </x:c>
      <x:c r="O350" s="14"/>
      <x:c r="P350" s="14" t="n">
        <x:f>IF(329&gt;$B$10,"",MATCH(329,Tasks!$S$10:$S$1941,0))</x:f>
        <x:v>667</x:v>
      </x:c>
    </x:row>
    <x:row r="351" ht="58" customHeight="1">
      <x:c r="B351" s="86" t="str">
        <x:f>IF($P351="","",INDEX(Tasks!$B$10:$B$1941,$P351))</x:f>
        <x:v>Cycle 4</x:v>
      </x:c>
      <x:c r="C351" s="86" t="str">
        <x:f>IF($P351="","",INDEX(Tasks!$C$10:$C$1941,$P351))</x:f>
        <x:v>Phase 2</x:v>
      </x:c>
      <x:c r="D351" s="86" t="str">
        <x:f>IF($P351="","",INDEX(Tasks!$D$10:$D$1941,$P351))</x:f>
        <x:v>FCM</x:v>
      </x:c>
      <x:c r="E351" s="86"/>
      <x:c r="F351" s="86" t="str">
        <x:f>IF($P351="","",INDEX(Tasks!$E$10:$E$1941,$P351))</x:f>
        <x:v>Data &amp; Reporting</x:v>
      </x:c>
      <x:c r="G351" s="86"/>
      <x:c r="H351" s="14" t="str">
        <x:f>IF($P351="","",INDEX(Tasks!$F$10:$F$1941,$P351)&amp;CHAR(10)&amp;INDEX(Tasks!$G$10:$G$1941,$P351))</x:f>
        <x:v>DR.FC.2.2
Clearly document rationale for each topic recommendation within the SharePoint list</x:v>
      </x:c>
      <x:c r="I351" s="14"/>
      <x:c r="J351" s="14"/>
      <x:c r="K351" s="14"/>
      <x:c r="L351" s="86" t="str">
        <x:f>IF($P351="","",INDEX(Tasks!$N$10:$N$1941,$P351))</x:f>
        <x:v>Not started</x:v>
      </x:c>
      <x:c r="M351" s="87" t="n">
        <x:f>IF($P351="","",INDEX(Tasks!$J$10:$J$1941,$P351))</x:f>
        <x:v>46387</x:v>
      </x:c>
      <x:c r="N351" s="85" t="str">
        <x:f>IF($P351="","",HYPERLINK("#'"&amp;INDEX(Tasks!$T$10:$T$1941,$P351)&amp;"'!A"&amp;INDEX(Tasks!$U$10:$U$1941,$P351),"Open"))</x:f>
        <x:v>Open</x:v>
      </x:c>
      <x:c r="O351" s="14"/>
      <x:c r="P351" s="14" t="n">
        <x:f>IF(330&gt;$B$10,"",MATCH(330,Tasks!$S$10:$S$1941,0))</x:f>
        <x:v>668</x:v>
      </x:c>
    </x:row>
    <x:row r="352" ht="58" customHeight="1">
      <x:c r="B352" s="86" t="str">
        <x:f>IF($P352="","",INDEX(Tasks!$B$10:$B$1941,$P352))</x:f>
        <x:v>Cycle 4</x:v>
      </x:c>
      <x:c r="C352" s="86" t="str">
        <x:f>IF($P352="","",INDEX(Tasks!$C$10:$C$1941,$P352))</x:f>
        <x:v>Phase 2</x:v>
      </x:c>
      <x:c r="D352" s="86" t="str">
        <x:f>IF($P352="","",INDEX(Tasks!$D$10:$D$1941,$P352))</x:f>
        <x:v>FCM</x:v>
      </x:c>
      <x:c r="E352" s="86"/>
      <x:c r="F352" s="86" t="str">
        <x:f>IF($P352="","",INDEX(Tasks!$E$10:$E$1941,$P352))</x:f>
        <x:v>Data &amp; Reporting</x:v>
      </x:c>
      <x:c r="G352" s="86"/>
      <x:c r="H352" s="14" t="str">
        <x:f>IF($P352="","",INDEX(Tasks!$F$10:$F$1941,$P352)&amp;CHAR(10)&amp;INDEX(Tasks!$G$10:$G$1941,$P352))</x:f>
        <x:v>DR.FC.2.3
Verify topic is eligible for RCA and does not conflict with Attorney Client Privilege</x:v>
      </x:c>
      <x:c r="I352" s="14"/>
      <x:c r="J352" s="14"/>
      <x:c r="K352" s="14"/>
      <x:c r="L352" s="86" t="str">
        <x:f>IF($P352="","",INDEX(Tasks!$N$10:$N$1941,$P352))</x:f>
        <x:v>Not started</x:v>
      </x:c>
      <x:c r="M352" s="87" t="n">
        <x:f>IF($P352="","",INDEX(Tasks!$J$10:$J$1941,$P352))</x:f>
        <x:v>46387</x:v>
      </x:c>
      <x:c r="N352" s="85" t="str">
        <x:f>IF($P352="","",HYPERLINK("#'"&amp;INDEX(Tasks!$T$10:$T$1941,$P352)&amp;"'!A"&amp;INDEX(Tasks!$U$10:$U$1941,$P352),"Open"))</x:f>
        <x:v>Open</x:v>
      </x:c>
      <x:c r="O352" s="14"/>
      <x:c r="P352" s="14" t="n">
        <x:f>IF(331&gt;$B$10,"",MATCH(331,Tasks!$S$10:$S$1941,0))</x:f>
        <x:v>669</x:v>
      </x:c>
    </x:row>
    <x:row r="353" ht="58" customHeight="1">
      <x:c r="B353" s="86" t="str">
        <x:f>IF($P353="","",INDEX(Tasks!$B$10:$B$1941,$P353))</x:f>
        <x:v>Cycle 4</x:v>
      </x:c>
      <x:c r="C353" s="86" t="str">
        <x:f>IF($P353="","",INDEX(Tasks!$C$10:$C$1941,$P353))</x:f>
        <x:v>Phase 2</x:v>
      </x:c>
      <x:c r="D353" s="86" t="str">
        <x:f>IF($P353="","",INDEX(Tasks!$D$10:$D$1941,$P353))</x:f>
        <x:v>FCM</x:v>
      </x:c>
      <x:c r="E353" s="86"/>
      <x:c r="F353" s="86" t="str">
        <x:f>IF($P353="","",INDEX(Tasks!$E$10:$E$1941,$P353))</x:f>
        <x:v>Data &amp; Reporting</x:v>
      </x:c>
      <x:c r="G353" s="86"/>
      <x:c r="H353" s="14" t="str">
        <x:f>IF($P353="","",INDEX(Tasks!$F$10:$F$1941,$P353)&amp;CHAR(10)&amp;INDEX(Tasks!$G$10:$G$1941,$P353))</x:f>
        <x:v>DR.FC.2.4
Ensure data is free of errors and anomalies prior to hand-off to Research</x:v>
      </x:c>
      <x:c r="I353" s="14"/>
      <x:c r="J353" s="14"/>
      <x:c r="K353" s="14"/>
      <x:c r="L353" s="86" t="str">
        <x:f>IF($P353="","",INDEX(Tasks!$N$10:$N$1941,$P353))</x:f>
        <x:v>Not started</x:v>
      </x:c>
      <x:c r="M353" s="87" t="n">
        <x:f>IF($P353="","",INDEX(Tasks!$J$10:$J$1941,$P353))</x:f>
        <x:v>46387</x:v>
      </x:c>
      <x:c r="N353" s="85" t="str">
        <x:f>IF($P353="","",HYPERLINK("#'"&amp;INDEX(Tasks!$T$10:$T$1941,$P353)&amp;"'!A"&amp;INDEX(Tasks!$U$10:$U$1941,$P353),"Open"))</x:f>
        <x:v>Open</x:v>
      </x:c>
      <x:c r="O353" s="14"/>
      <x:c r="P353" s="14" t="n">
        <x:f>IF(332&gt;$B$10,"",MATCH(332,Tasks!$S$10:$S$1941,0))</x:f>
        <x:v>670</x:v>
      </x:c>
    </x:row>
    <x:row r="354" ht="58" customHeight="1">
      <x:c r="B354" s="86" t="str">
        <x:f>IF($P354="","",INDEX(Tasks!$B$10:$B$1941,$P354))</x:f>
        <x:v>Cycle 4</x:v>
      </x:c>
      <x:c r="C354" s="86" t="str">
        <x:f>IF($P354="","",INDEX(Tasks!$C$10:$C$1941,$P354))</x:f>
        <x:v>Phase 2</x:v>
      </x:c>
      <x:c r="D354" s="86" t="str">
        <x:f>IF($P354="","",INDEX(Tasks!$D$10:$D$1941,$P354))</x:f>
        <x:v>FCM</x:v>
      </x:c>
      <x:c r="E354" s="86"/>
      <x:c r="F354" s="86" t="str">
        <x:f>IF($P354="","",INDEX(Tasks!$E$10:$E$1941,$P354))</x:f>
        <x:v>Data &amp; Reporting</x:v>
      </x:c>
      <x:c r="G354" s="86"/>
      <x:c r="H354" s="14" t="str">
        <x:f>IF($P354="","",INDEX(Tasks!$F$10:$F$1941,$P354)&amp;CHAR(10)&amp;INDEX(Tasks!$G$10:$G$1941,$P354))</x:f>
        <x:v>DR.FC.2.5
Ensure topic is not a duplicate from a previous Cycle</x:v>
      </x:c>
      <x:c r="I354" s="14"/>
      <x:c r="J354" s="14"/>
      <x:c r="K354" s="14"/>
      <x:c r="L354" s="86" t="str">
        <x:f>IF($P354="","",INDEX(Tasks!$N$10:$N$1941,$P354))</x:f>
        <x:v>Not started</x:v>
      </x:c>
      <x:c r="M354" s="87" t="n">
        <x:f>IF($P354="","",INDEX(Tasks!$J$10:$J$1941,$P354))</x:f>
        <x:v>46387</x:v>
      </x:c>
      <x:c r="N354" s="85" t="str">
        <x:f>IF($P354="","",HYPERLINK("#'"&amp;INDEX(Tasks!$T$10:$T$1941,$P354)&amp;"'!A"&amp;INDEX(Tasks!$U$10:$U$1941,$P354),"Open"))</x:f>
        <x:v>Open</x:v>
      </x:c>
      <x:c r="O354" s="14"/>
      <x:c r="P354" s="14" t="n">
        <x:f>IF(333&gt;$B$10,"",MATCH(333,Tasks!$S$10:$S$1941,0))</x:f>
        <x:v>671</x:v>
      </x:c>
    </x:row>
    <x:row r="355" ht="58" customHeight="1">
      <x:c r="B355" s="86" t="str">
        <x:f>IF($P355="","",INDEX(Tasks!$B$10:$B$1941,$P355))</x:f>
        <x:v>Cycle 4</x:v>
      </x:c>
      <x:c r="C355" s="86" t="str">
        <x:f>IF($P355="","",INDEX(Tasks!$C$10:$C$1941,$P355))</x:f>
        <x:v>Phase 2</x:v>
      </x:c>
      <x:c r="D355" s="86" t="str">
        <x:f>IF($P355="","",INDEX(Tasks!$D$10:$D$1941,$P355))</x:f>
        <x:v>FCM</x:v>
      </x:c>
      <x:c r="E355" s="86"/>
      <x:c r="F355" s="86" t="str">
        <x:f>IF($P355="","",INDEX(Tasks!$E$10:$E$1941,$P355))</x:f>
        <x:v>Data &amp; Reporting</x:v>
      </x:c>
      <x:c r="G355" s="86"/>
      <x:c r="H355" s="14" t="str">
        <x:f>IF($P355="","",INDEX(Tasks!$F$10:$F$1941,$P355)&amp;CHAR(10)&amp;INDEX(Tasks!$G$10:$G$1941,$P355))</x:f>
        <x:v>DR.FC.2.6
Document clear distinctions between facts, assumptions, and hypotheses within the data package</x:v>
      </x:c>
      <x:c r="I355" s="14"/>
      <x:c r="J355" s="14"/>
      <x:c r="K355" s="14"/>
      <x:c r="L355" s="86" t="str">
        <x:f>IF($P355="","",INDEX(Tasks!$N$10:$N$1941,$P355))</x:f>
        <x:v>Not started</x:v>
      </x:c>
      <x:c r="M355" s="87" t="n">
        <x:f>IF($P355="","",INDEX(Tasks!$J$10:$J$1941,$P355))</x:f>
        <x:v>46387</x:v>
      </x:c>
      <x:c r="N355" s="85" t="str">
        <x:f>IF($P355="","",HYPERLINK("#'"&amp;INDEX(Tasks!$T$10:$T$1941,$P355)&amp;"'!A"&amp;INDEX(Tasks!$U$10:$U$1941,$P355),"Open"))</x:f>
        <x:v>Open</x:v>
      </x:c>
      <x:c r="O355" s="14"/>
      <x:c r="P355" s="14" t="n">
        <x:f>IF(334&gt;$B$10,"",MATCH(334,Tasks!$S$10:$S$1941,0))</x:f>
        <x:v>672</x:v>
      </x:c>
    </x:row>
    <x:row r="356" ht="58" customHeight="1">
      <x:c r="B356" s="86" t="str">
        <x:f>IF($P356="","",INDEX(Tasks!$B$10:$B$1941,$P356))</x:f>
        <x:v>Cycle 4</x:v>
      </x:c>
      <x:c r="C356" s="86" t="str">
        <x:f>IF($P356="","",INDEX(Tasks!$C$10:$C$1941,$P356))</x:f>
        <x:v>Phase 3</x:v>
      </x:c>
      <x:c r="D356" s="86" t="str">
        <x:f>IF($P356="","",INDEX(Tasks!$D$10:$D$1941,$P356))</x:f>
        <x:v>FCM</x:v>
      </x:c>
      <x:c r="E356" s="86"/>
      <x:c r="F356" s="86" t="str">
        <x:f>IF($P356="","",INDEX(Tasks!$E$10:$E$1941,$P356))</x:f>
        <x:v>Data &amp; Reporting</x:v>
      </x:c>
      <x:c r="G356" s="86"/>
      <x:c r="H356" s="14" t="str">
        <x:f>IF($P356="","",INDEX(Tasks!$F$10:$F$1941,$P356)&amp;CHAR(10)&amp;INDEX(Tasks!$G$10:$G$1941,$P356))</x:f>
        <x:v>DR.FC.3.1
Clearly document rationale for each topic recommendation within the SharePoint list item</x:v>
      </x:c>
      <x:c r="I356" s="14"/>
      <x:c r="J356" s="14"/>
      <x:c r="K356" s="14"/>
      <x:c r="L356" s="86" t="str">
        <x:f>IF($P356="","",INDEX(Tasks!$N$10:$N$1941,$P356))</x:f>
        <x:v>Not started</x:v>
      </x:c>
      <x:c r="M356" s="87" t="n">
        <x:f>IF($P356="","",INDEX(Tasks!$J$10:$J$1941,$P356))</x:f>
        <x:v>46387</x:v>
      </x:c>
      <x:c r="N356" s="85" t="str">
        <x:f>IF($P356="","",HYPERLINK("#'"&amp;INDEX(Tasks!$T$10:$T$1941,$P356)&amp;"'!A"&amp;INDEX(Tasks!$U$10:$U$1941,$P356),"Open"))</x:f>
        <x:v>Open</x:v>
      </x:c>
      <x:c r="O356" s="14"/>
      <x:c r="P356" s="14" t="n">
        <x:f>IF(335&gt;$B$10,"",MATCH(335,Tasks!$S$10:$S$1941,0))</x:f>
        <x:v>673</x:v>
      </x:c>
    </x:row>
    <x:row r="357" ht="58" customHeight="1">
      <x:c r="B357" s="86" t="str">
        <x:f>IF($P357="","",INDEX(Tasks!$B$10:$B$1941,$P357))</x:f>
        <x:v>Cycle 4</x:v>
      </x:c>
      <x:c r="C357" s="86" t="str">
        <x:f>IF($P357="","",INDEX(Tasks!$C$10:$C$1941,$P357))</x:f>
        <x:v>Phase 3</x:v>
      </x:c>
      <x:c r="D357" s="86" t="str">
        <x:f>IF($P357="","",INDEX(Tasks!$D$10:$D$1941,$P357))</x:f>
        <x:v>FCM</x:v>
      </x:c>
      <x:c r="E357" s="86"/>
      <x:c r="F357" s="86" t="str">
        <x:f>IF($P357="","",INDEX(Tasks!$E$10:$E$1941,$P357))</x:f>
        <x:v>Data &amp; Reporting</x:v>
      </x:c>
      <x:c r="G357" s="86"/>
      <x:c r="H357" s="14" t="str">
        <x:f>IF($P357="","",INDEX(Tasks!$F$10:$F$1941,$P357)&amp;CHAR(10)&amp;INDEX(Tasks!$G$10:$G$1941,$P357))</x:f>
        <x:v>DR.FC.3.2
Attach the data package for each topic recommendation within the SharePoint list item</x:v>
      </x:c>
      <x:c r="I357" s="14"/>
      <x:c r="J357" s="14"/>
      <x:c r="K357" s="14"/>
      <x:c r="L357" s="86" t="str">
        <x:f>IF($P357="","",INDEX(Tasks!$N$10:$N$1941,$P357))</x:f>
        <x:v>Not started</x:v>
      </x:c>
      <x:c r="M357" s="87" t="n">
        <x:f>IF($P357="","",INDEX(Tasks!$J$10:$J$1941,$P357))</x:f>
        <x:v>46387</x:v>
      </x:c>
      <x:c r="N357" s="85" t="str">
        <x:f>IF($P357="","",HYPERLINK("#'"&amp;INDEX(Tasks!$T$10:$T$1941,$P357)&amp;"'!A"&amp;INDEX(Tasks!$U$10:$U$1941,$P357),"Open"))</x:f>
        <x:v>Open</x:v>
      </x:c>
      <x:c r="O357" s="14"/>
      <x:c r="P357" s="14" t="n">
        <x:f>IF(336&gt;$B$10,"",MATCH(336,Tasks!$S$10:$S$1941,0))</x:f>
        <x:v>674</x:v>
      </x:c>
    </x:row>
    <x:row r="358" ht="58" customHeight="1">
      <x:c r="B358" s="86" t="str">
        <x:f>IF($P358="","",INDEX(Tasks!$B$10:$B$1941,$P358))</x:f>
        <x:v>Cycle 4</x:v>
      </x:c>
      <x:c r="C358" s="86" t="str">
        <x:f>IF($P358="","",INDEX(Tasks!$C$10:$C$1941,$P358))</x:f>
        <x:v>Phase 3</x:v>
      </x:c>
      <x:c r="D358" s="86" t="str">
        <x:f>IF($P358="","",INDEX(Tasks!$D$10:$D$1941,$P358))</x:f>
        <x:v>FCM</x:v>
      </x:c>
      <x:c r="E358" s="86"/>
      <x:c r="F358" s="86" t="str">
        <x:f>IF($P358="","",INDEX(Tasks!$E$10:$E$1941,$P358))</x:f>
        <x:v>Data &amp; Reporting</x:v>
      </x:c>
      <x:c r="G358" s="86"/>
      <x:c r="H358" s="14" t="str">
        <x:f>IF($P358="","",INDEX(Tasks!$F$10:$F$1941,$P358)&amp;CHAR(10)&amp;INDEX(Tasks!$G$10:$G$1941,$P358))</x:f>
        <x:v>DR.FC.3.3
Confirm data privileges have been granted, ensuring each pillar can access</x:v>
      </x:c>
      <x:c r="I358" s="14"/>
      <x:c r="J358" s="14"/>
      <x:c r="K358" s="14"/>
      <x:c r="L358" s="86" t="str">
        <x:f>IF($P358="","",INDEX(Tasks!$N$10:$N$1941,$P358))</x:f>
        <x:v>Not started</x:v>
      </x:c>
      <x:c r="M358" s="87" t="n">
        <x:f>IF($P358="","",INDEX(Tasks!$J$10:$J$1941,$P358))</x:f>
        <x:v>46387</x:v>
      </x:c>
      <x:c r="N358" s="85" t="str">
        <x:f>IF($P358="","",HYPERLINK("#'"&amp;INDEX(Tasks!$T$10:$T$1941,$P358)&amp;"'!A"&amp;INDEX(Tasks!$U$10:$U$1941,$P358),"Open"))</x:f>
        <x:v>Open</x:v>
      </x:c>
      <x:c r="O358" s="14"/>
      <x:c r="P358" s="14" t="n">
        <x:f>IF(337&gt;$B$10,"",MATCH(337,Tasks!$S$10:$S$1941,0))</x:f>
        <x:v>675</x:v>
      </x:c>
    </x:row>
    <x:row r="359" ht="58" customHeight="1">
      <x:c r="B359" s="86" t="str">
        <x:f>IF($P359="","",INDEX(Tasks!$B$10:$B$1941,$P359))</x:f>
        <x:v>Cycle 4</x:v>
      </x:c>
      <x:c r="C359" s="86" t="str">
        <x:f>IF($P359="","",INDEX(Tasks!$C$10:$C$1941,$P359))</x:f>
        <x:v>Phase 3</x:v>
      </x:c>
      <x:c r="D359" s="86" t="str">
        <x:f>IF($P359="","",INDEX(Tasks!$D$10:$D$1941,$P359))</x:f>
        <x:v>FCM</x:v>
      </x:c>
      <x:c r="E359" s="86"/>
      <x:c r="F359" s="86" t="str">
        <x:f>IF($P359="","",INDEX(Tasks!$E$10:$E$1941,$P359))</x:f>
        <x:v>Data &amp; Reporting</x:v>
      </x:c>
      <x:c r="G359" s="86"/>
      <x:c r="H359" s="14" t="str">
        <x:f>IF($P359="","",INDEX(Tasks!$F$10:$F$1941,$P359)&amp;CHAR(10)&amp;INDEX(Tasks!$G$10:$G$1941,$P359))</x:f>
        <x:v>DR.FC.3.4
Ensure Power Automate notifications were correctly triggered within Microsoft Teams</x:v>
      </x:c>
      <x:c r="I359" s="14"/>
      <x:c r="J359" s="14"/>
      <x:c r="K359" s="14"/>
      <x:c r="L359" s="86" t="str">
        <x:f>IF($P359="","",INDEX(Tasks!$N$10:$N$1941,$P359))</x:f>
        <x:v>Not started</x:v>
      </x:c>
      <x:c r="M359" s="87" t="n">
        <x:f>IF($P359="","",INDEX(Tasks!$J$10:$J$1941,$P359))</x:f>
        <x:v>46387</x:v>
      </x:c>
      <x:c r="N359" s="85" t="str">
        <x:f>IF($P359="","",HYPERLINK("#'"&amp;INDEX(Tasks!$T$10:$T$1941,$P359)&amp;"'!A"&amp;INDEX(Tasks!$U$10:$U$1941,$P359),"Open"))</x:f>
        <x:v>Open</x:v>
      </x:c>
      <x:c r="O359" s="14"/>
      <x:c r="P359" s="14" t="n">
        <x:f>IF(338&gt;$B$10,"",MATCH(338,Tasks!$S$10:$S$1941,0))</x:f>
        <x:v>676</x:v>
      </x:c>
    </x:row>
    <x:row r="360" ht="58" customHeight="1">
      <x:c r="B360" s="86" t="str">
        <x:f>IF($P360="","",INDEX(Tasks!$B$10:$B$1941,$P360))</x:f>
        <x:v>Cycle 4</x:v>
      </x:c>
      <x:c r="C360" s="86" t="str">
        <x:f>IF($P360="","",INDEX(Tasks!$C$10:$C$1941,$P360))</x:f>
        <x:v>Phase 1</x:v>
      </x:c>
      <x:c r="D360" s="86" t="str">
        <x:f>IF($P360="","",INDEX(Tasks!$D$10:$D$1941,$P360))</x:f>
        <x:v>PLL</x:v>
      </x:c>
      <x:c r="E360" s="86"/>
      <x:c r="F360" s="86" t="str">
        <x:f>IF($P360="","",INDEX(Tasks!$E$10:$E$1941,$P360))</x:f>
        <x:v>Data &amp; Reporting</x:v>
      </x:c>
      <x:c r="G360" s="86"/>
      <x:c r="H360" s="14" t="str">
        <x:f>IF($P360="","",INDEX(Tasks!$F$10:$F$1941,$P360)&amp;CHAR(10)&amp;INDEX(Tasks!$G$10:$G$1941,$P360))</x:f>
        <x:v>DR.PL.1.1
Review data sources 3 weeks prior to Cycle start (Complaints, Gen AI, Loudspeaker, NPS, etc.)</x:v>
      </x:c>
      <x:c r="I360" s="14"/>
      <x:c r="J360" s="14"/>
      <x:c r="K360" s="14"/>
      <x:c r="L360" s="86" t="str">
        <x:f>IF($P360="","",INDEX(Tasks!$N$10:$N$1941,$P360))</x:f>
        <x:v>Not started</x:v>
      </x:c>
      <x:c r="M360" s="87" t="n">
        <x:f>IF($P360="","",INDEX(Tasks!$J$10:$J$1941,$P360))</x:f>
        <x:v>46275</x:v>
      </x:c>
      <x:c r="N360" s="85" t="str">
        <x:f>IF($P360="","",HYPERLINK("#'"&amp;INDEX(Tasks!$T$10:$T$1941,$P360)&amp;"'!A"&amp;INDEX(Tasks!$U$10:$U$1941,$P360),"Open"))</x:f>
        <x:v>Open</x:v>
      </x:c>
      <x:c r="O360" s="14"/>
      <x:c r="P360" s="14" t="n">
        <x:f>IF(339&gt;$B$10,"",MATCH(339,Tasks!$S$10:$S$1941,0))</x:f>
        <x:v>677</x:v>
      </x:c>
    </x:row>
    <x:row r="361" ht="58" customHeight="1">
      <x:c r="B361" s="86" t="str">
        <x:f>IF($P361="","",INDEX(Tasks!$B$10:$B$1941,$P361))</x:f>
        <x:v>Cycle 4</x:v>
      </x:c>
      <x:c r="C361" s="86" t="str">
        <x:f>IF($P361="","",INDEX(Tasks!$C$10:$C$1941,$P361))</x:f>
        <x:v>Phase 1</x:v>
      </x:c>
      <x:c r="D361" s="86" t="str">
        <x:f>IF($P361="","",INDEX(Tasks!$D$10:$D$1941,$P361))</x:f>
        <x:v>PLL</x:v>
      </x:c>
      <x:c r="E361" s="86"/>
      <x:c r="F361" s="86" t="str">
        <x:f>IF($P361="","",INDEX(Tasks!$E$10:$E$1941,$P361))</x:f>
        <x:v>Data &amp; Reporting</x:v>
      </x:c>
      <x:c r="G361" s="86"/>
      <x:c r="H361" s="14" t="str">
        <x:f>IF($P361="","",INDEX(Tasks!$F$10:$F$1941,$P361)&amp;CHAR(10)&amp;INDEX(Tasks!$G$10:$G$1941,$P361))</x:f>
        <x:v>DR.PL.1.2
Identify two potential topics for the upcoming Cycle</x:v>
      </x:c>
      <x:c r="I361" s="14"/>
      <x:c r="J361" s="14"/>
      <x:c r="K361" s="14"/>
      <x:c r="L361" s="86" t="str">
        <x:f>IF($P361="","",INDEX(Tasks!$N$10:$N$1941,$P361))</x:f>
        <x:v>Not started</x:v>
      </x:c>
      <x:c r="M361" s="87" t="n">
        <x:f>IF($P361="","",INDEX(Tasks!$J$10:$J$1941,$P361))</x:f>
        <x:v>46387</x:v>
      </x:c>
      <x:c r="N361" s="85" t="str">
        <x:f>IF($P361="","",HYPERLINK("#'"&amp;INDEX(Tasks!$T$10:$T$1941,$P361)&amp;"'!A"&amp;INDEX(Tasks!$U$10:$U$1941,$P361),"Open"))</x:f>
        <x:v>Open</x:v>
      </x:c>
      <x:c r="O361" s="14"/>
      <x:c r="P361" s="14" t="n">
        <x:f>IF(340&gt;$B$10,"",MATCH(340,Tasks!$S$10:$S$1941,0))</x:f>
        <x:v>678</x:v>
      </x:c>
    </x:row>
    <x:row r="362" ht="58" customHeight="1">
      <x:c r="B362" s="86" t="str">
        <x:f>IF($P362="","",INDEX(Tasks!$B$10:$B$1941,$P362))</x:f>
        <x:v>Cycle 4</x:v>
      </x:c>
      <x:c r="C362" s="86" t="str">
        <x:f>IF($P362="","",INDEX(Tasks!$C$10:$C$1941,$P362))</x:f>
        <x:v>Phase 1</x:v>
      </x:c>
      <x:c r="D362" s="86" t="str">
        <x:f>IF($P362="","",INDEX(Tasks!$D$10:$D$1941,$P362))</x:f>
        <x:v>PLL</x:v>
      </x:c>
      <x:c r="E362" s="86"/>
      <x:c r="F362" s="86" t="str">
        <x:f>IF($P362="","",INDEX(Tasks!$E$10:$E$1941,$P362))</x:f>
        <x:v>Data &amp; Reporting</x:v>
      </x:c>
      <x:c r="G362" s="86"/>
      <x:c r="H362" s="14" t="str">
        <x:f>IF($P362="","",INDEX(Tasks!$F$10:$F$1941,$P362)&amp;CHAR(10)&amp;INDEX(Tasks!$G$10:$G$1941,$P362))</x:f>
        <x:v>DR.PL.1.3
Extract data for both potential topics, ensuring all checklist items below are included/completed</x:v>
      </x:c>
      <x:c r="I362" s="14"/>
      <x:c r="J362" s="14"/>
      <x:c r="K362" s="14"/>
      <x:c r="L362" s="86" t="str">
        <x:f>IF($P362="","",INDEX(Tasks!$N$10:$N$1941,$P362))</x:f>
        <x:v>Not started</x:v>
      </x:c>
      <x:c r="M362" s="87" t="n">
        <x:f>IF($P362="","",INDEX(Tasks!$J$10:$J$1941,$P362))</x:f>
        <x:v>46387</x:v>
      </x:c>
      <x:c r="N362" s="85" t="str">
        <x:f>IF($P362="","",HYPERLINK("#'"&amp;INDEX(Tasks!$T$10:$T$1941,$P362)&amp;"'!A"&amp;INDEX(Tasks!$U$10:$U$1941,$P362),"Open"))</x:f>
        <x:v>Open</x:v>
      </x:c>
      <x:c r="O362" s="14"/>
      <x:c r="P362" s="14" t="n">
        <x:f>IF(341&gt;$B$10,"",MATCH(341,Tasks!$S$10:$S$1941,0))</x:f>
        <x:v>679</x:v>
      </x:c>
    </x:row>
    <x:row r="363" ht="58" customHeight="1">
      <x:c r="B363" s="86" t="str">
        <x:f>IF($P363="","",INDEX(Tasks!$B$10:$B$1941,$P363))</x:f>
        <x:v>Cycle 4</x:v>
      </x:c>
      <x:c r="C363" s="86" t="str">
        <x:f>IF($P363="","",INDEX(Tasks!$C$10:$C$1941,$P363))</x:f>
        <x:v>Phase 2</x:v>
      </x:c>
      <x:c r="D363" s="86" t="str">
        <x:f>IF($P363="","",INDEX(Tasks!$D$10:$D$1941,$P363))</x:f>
        <x:v>PLL</x:v>
      </x:c>
      <x:c r="E363" s="86"/>
      <x:c r="F363" s="86" t="str">
        <x:f>IF($P363="","",INDEX(Tasks!$E$10:$E$1941,$P363))</x:f>
        <x:v>Data &amp; Reporting</x:v>
      </x:c>
      <x:c r="G363" s="86"/>
      <x:c r="H363" s="14" t="str">
        <x:f>IF($P363="","",INDEX(Tasks!$F$10:$F$1941,$P363)&amp;CHAR(10)&amp;INDEX(Tasks!$G$10:$G$1941,$P363))</x:f>
        <x:v>DR.PL.2.1
Ensure data is clean, structured, and usable without manipulation needed</x:v>
      </x:c>
      <x:c r="I363" s="14"/>
      <x:c r="J363" s="14"/>
      <x:c r="K363" s="14"/>
      <x:c r="L363" s="86" t="str">
        <x:f>IF($P363="","",INDEX(Tasks!$N$10:$N$1941,$P363))</x:f>
        <x:v>Not started</x:v>
      </x:c>
      <x:c r="M363" s="87" t="n">
        <x:f>IF($P363="","",INDEX(Tasks!$J$10:$J$1941,$P363))</x:f>
        <x:v>46387</x:v>
      </x:c>
      <x:c r="N363" s="85" t="str">
        <x:f>IF($P363="","",HYPERLINK("#'"&amp;INDEX(Tasks!$T$10:$T$1941,$P363)&amp;"'!A"&amp;INDEX(Tasks!$U$10:$U$1941,$P363),"Open"))</x:f>
        <x:v>Open</x:v>
      </x:c>
      <x:c r="O363" s="14"/>
      <x:c r="P363" s="14" t="n">
        <x:f>IF(342&gt;$B$10,"",MATCH(342,Tasks!$S$10:$S$1941,0))</x:f>
        <x:v>693</x:v>
      </x:c>
    </x:row>
    <x:row r="364" ht="58" customHeight="1">
      <x:c r="B364" s="86" t="str">
        <x:f>IF($P364="","",INDEX(Tasks!$B$10:$B$1941,$P364))</x:f>
        <x:v>Cycle 4</x:v>
      </x:c>
      <x:c r="C364" s="86" t="str">
        <x:f>IF($P364="","",INDEX(Tasks!$C$10:$C$1941,$P364))</x:f>
        <x:v>Phase 2</x:v>
      </x:c>
      <x:c r="D364" s="86" t="str">
        <x:f>IF($P364="","",INDEX(Tasks!$D$10:$D$1941,$P364))</x:f>
        <x:v>PLL</x:v>
      </x:c>
      <x:c r="E364" s="86"/>
      <x:c r="F364" s="86" t="str">
        <x:f>IF($P364="","",INDEX(Tasks!$E$10:$E$1941,$P364))</x:f>
        <x:v>Data &amp; Reporting</x:v>
      </x:c>
      <x:c r="G364" s="86"/>
      <x:c r="H364" s="14" t="str">
        <x:f>IF($P364="","",INDEX(Tasks!$F$10:$F$1941,$P364)&amp;CHAR(10)&amp;INDEX(Tasks!$G$10:$G$1941,$P364))</x:f>
        <x:v>DR.PL.2.2
Clearly document rationale for each topic recommendation within the SharePoint list</x:v>
      </x:c>
      <x:c r="I364" s="14"/>
      <x:c r="J364" s="14"/>
      <x:c r="K364" s="14"/>
      <x:c r="L364" s="86" t="str">
        <x:f>IF($P364="","",INDEX(Tasks!$N$10:$N$1941,$P364))</x:f>
        <x:v>Not started</x:v>
      </x:c>
      <x:c r="M364" s="87" t="n">
        <x:f>IF($P364="","",INDEX(Tasks!$J$10:$J$1941,$P364))</x:f>
        <x:v>46387</x:v>
      </x:c>
      <x:c r="N364" s="85" t="str">
        <x:f>IF($P364="","",HYPERLINK("#'"&amp;INDEX(Tasks!$T$10:$T$1941,$P364)&amp;"'!A"&amp;INDEX(Tasks!$U$10:$U$1941,$P364),"Open"))</x:f>
        <x:v>Open</x:v>
      </x:c>
      <x:c r="O364" s="14"/>
      <x:c r="P364" s="14" t="n">
        <x:f>IF(343&gt;$B$10,"",MATCH(343,Tasks!$S$10:$S$1941,0))</x:f>
        <x:v>694</x:v>
      </x:c>
    </x:row>
    <x:row r="365" ht="58" customHeight="1">
      <x:c r="B365" s="86" t="str">
        <x:f>IF($P365="","",INDEX(Tasks!$B$10:$B$1941,$P365))</x:f>
        <x:v>Cycle 4</x:v>
      </x:c>
      <x:c r="C365" s="86" t="str">
        <x:f>IF($P365="","",INDEX(Tasks!$C$10:$C$1941,$P365))</x:f>
        <x:v>Phase 2</x:v>
      </x:c>
      <x:c r="D365" s="86" t="str">
        <x:f>IF($P365="","",INDEX(Tasks!$D$10:$D$1941,$P365))</x:f>
        <x:v>PLL</x:v>
      </x:c>
      <x:c r="E365" s="86"/>
      <x:c r="F365" s="86" t="str">
        <x:f>IF($P365="","",INDEX(Tasks!$E$10:$E$1941,$P365))</x:f>
        <x:v>Data &amp; Reporting</x:v>
      </x:c>
      <x:c r="G365" s="86"/>
      <x:c r="H365" s="14" t="str">
        <x:f>IF($P365="","",INDEX(Tasks!$F$10:$F$1941,$P365)&amp;CHAR(10)&amp;INDEX(Tasks!$G$10:$G$1941,$P365))</x:f>
        <x:v>DR.PL.2.3
Verify topic is eligible for RCA and does not conflict with Attorney Client Privilege</x:v>
      </x:c>
      <x:c r="I365" s="14"/>
      <x:c r="J365" s="14"/>
      <x:c r="K365" s="14"/>
      <x:c r="L365" s="86" t="str">
        <x:f>IF($P365="","",INDEX(Tasks!$N$10:$N$1941,$P365))</x:f>
        <x:v>Not started</x:v>
      </x:c>
      <x:c r="M365" s="87" t="n">
        <x:f>IF($P365="","",INDEX(Tasks!$J$10:$J$1941,$P365))</x:f>
        <x:v>46387</x:v>
      </x:c>
      <x:c r="N365" s="85" t="str">
        <x:f>IF($P365="","",HYPERLINK("#'"&amp;INDEX(Tasks!$T$10:$T$1941,$P365)&amp;"'!A"&amp;INDEX(Tasks!$U$10:$U$1941,$P365),"Open"))</x:f>
        <x:v>Open</x:v>
      </x:c>
      <x:c r="O365" s="14"/>
      <x:c r="P365" s="14" t="n">
        <x:f>IF(344&gt;$B$10,"",MATCH(344,Tasks!$S$10:$S$1941,0))</x:f>
        <x:v>695</x:v>
      </x:c>
    </x:row>
    <x:row r="366" ht="58" customHeight="1">
      <x:c r="B366" s="86" t="str">
        <x:f>IF($P366="","",INDEX(Tasks!$B$10:$B$1941,$P366))</x:f>
        <x:v>Cycle 4</x:v>
      </x:c>
      <x:c r="C366" s="86" t="str">
        <x:f>IF($P366="","",INDEX(Tasks!$C$10:$C$1941,$P366))</x:f>
        <x:v>Phase 2</x:v>
      </x:c>
      <x:c r="D366" s="86" t="str">
        <x:f>IF($P366="","",INDEX(Tasks!$D$10:$D$1941,$P366))</x:f>
        <x:v>PLL</x:v>
      </x:c>
      <x:c r="E366" s="86"/>
      <x:c r="F366" s="86" t="str">
        <x:f>IF($P366="","",INDEX(Tasks!$E$10:$E$1941,$P366))</x:f>
        <x:v>Data &amp; Reporting</x:v>
      </x:c>
      <x:c r="G366" s="86"/>
      <x:c r="H366" s="14" t="str">
        <x:f>IF($P366="","",INDEX(Tasks!$F$10:$F$1941,$P366)&amp;CHAR(10)&amp;INDEX(Tasks!$G$10:$G$1941,$P366))</x:f>
        <x:v>DR.PL.2.4
Ensure data is free of errors and anomalies prior to hand-off to Research</x:v>
      </x:c>
      <x:c r="I366" s="14"/>
      <x:c r="J366" s="14"/>
      <x:c r="K366" s="14"/>
      <x:c r="L366" s="86" t="str">
        <x:f>IF($P366="","",INDEX(Tasks!$N$10:$N$1941,$P366))</x:f>
        <x:v>Not started</x:v>
      </x:c>
      <x:c r="M366" s="87" t="n">
        <x:f>IF($P366="","",INDEX(Tasks!$J$10:$J$1941,$P366))</x:f>
        <x:v>46387</x:v>
      </x:c>
      <x:c r="N366" s="85" t="str">
        <x:f>IF($P366="","",HYPERLINK("#'"&amp;INDEX(Tasks!$T$10:$T$1941,$P366)&amp;"'!A"&amp;INDEX(Tasks!$U$10:$U$1941,$P366),"Open"))</x:f>
        <x:v>Open</x:v>
      </x:c>
      <x:c r="O366" s="14"/>
      <x:c r="P366" s="14" t="n">
        <x:f>IF(345&gt;$B$10,"",MATCH(345,Tasks!$S$10:$S$1941,0))</x:f>
        <x:v>696</x:v>
      </x:c>
    </x:row>
    <x:row r="367" ht="58" customHeight="1">
      <x:c r="B367" s="86" t="str">
        <x:f>IF($P367="","",INDEX(Tasks!$B$10:$B$1941,$P367))</x:f>
        <x:v>Cycle 4</x:v>
      </x:c>
      <x:c r="C367" s="86" t="str">
        <x:f>IF($P367="","",INDEX(Tasks!$C$10:$C$1941,$P367))</x:f>
        <x:v>Phase 2</x:v>
      </x:c>
      <x:c r="D367" s="86" t="str">
        <x:f>IF($P367="","",INDEX(Tasks!$D$10:$D$1941,$P367))</x:f>
        <x:v>PLL</x:v>
      </x:c>
      <x:c r="E367" s="86"/>
      <x:c r="F367" s="86" t="str">
        <x:f>IF($P367="","",INDEX(Tasks!$E$10:$E$1941,$P367))</x:f>
        <x:v>Data &amp; Reporting</x:v>
      </x:c>
      <x:c r="G367" s="86"/>
      <x:c r="H367" s="14" t="str">
        <x:f>IF($P367="","",INDEX(Tasks!$F$10:$F$1941,$P367)&amp;CHAR(10)&amp;INDEX(Tasks!$G$10:$G$1941,$P367))</x:f>
        <x:v>DR.PL.2.5
Ensure topic is not a duplicate from a previous Cycle</x:v>
      </x:c>
      <x:c r="I367" s="14"/>
      <x:c r="J367" s="14"/>
      <x:c r="K367" s="14"/>
      <x:c r="L367" s="86" t="str">
        <x:f>IF($P367="","",INDEX(Tasks!$N$10:$N$1941,$P367))</x:f>
        <x:v>Not started</x:v>
      </x:c>
      <x:c r="M367" s="87" t="n">
        <x:f>IF($P367="","",INDEX(Tasks!$J$10:$J$1941,$P367))</x:f>
        <x:v>46387</x:v>
      </x:c>
      <x:c r="N367" s="85" t="str">
        <x:f>IF($P367="","",HYPERLINK("#'"&amp;INDEX(Tasks!$T$10:$T$1941,$P367)&amp;"'!A"&amp;INDEX(Tasks!$U$10:$U$1941,$P367),"Open"))</x:f>
        <x:v>Open</x:v>
      </x:c>
      <x:c r="O367" s="14"/>
      <x:c r="P367" s="14" t="n">
        <x:f>IF(346&gt;$B$10,"",MATCH(346,Tasks!$S$10:$S$1941,0))</x:f>
        <x:v>697</x:v>
      </x:c>
    </x:row>
    <x:row r="368" ht="58" customHeight="1">
      <x:c r="B368" s="86" t="str">
        <x:f>IF($P368="","",INDEX(Tasks!$B$10:$B$1941,$P368))</x:f>
        <x:v>Cycle 4</x:v>
      </x:c>
      <x:c r="C368" s="86" t="str">
        <x:f>IF($P368="","",INDEX(Tasks!$C$10:$C$1941,$P368))</x:f>
        <x:v>Phase 2</x:v>
      </x:c>
      <x:c r="D368" s="86" t="str">
        <x:f>IF($P368="","",INDEX(Tasks!$D$10:$D$1941,$P368))</x:f>
        <x:v>PLL</x:v>
      </x:c>
      <x:c r="E368" s="86"/>
      <x:c r="F368" s="86" t="str">
        <x:f>IF($P368="","",INDEX(Tasks!$E$10:$E$1941,$P368))</x:f>
        <x:v>Data &amp; Reporting</x:v>
      </x:c>
      <x:c r="G368" s="86"/>
      <x:c r="H368" s="14" t="str">
        <x:f>IF($P368="","",INDEX(Tasks!$F$10:$F$1941,$P368)&amp;CHAR(10)&amp;INDEX(Tasks!$G$10:$G$1941,$P368))</x:f>
        <x:v>DR.PL.2.6
Document clear distinctions between facts, assumptions, and hypotheses within the data package</x:v>
      </x:c>
      <x:c r="I368" s="14"/>
      <x:c r="J368" s="14"/>
      <x:c r="K368" s="14"/>
      <x:c r="L368" s="86" t="str">
        <x:f>IF($P368="","",INDEX(Tasks!$N$10:$N$1941,$P368))</x:f>
        <x:v>Not started</x:v>
      </x:c>
      <x:c r="M368" s="87" t="n">
        <x:f>IF($P368="","",INDEX(Tasks!$J$10:$J$1941,$P368))</x:f>
        <x:v>46387</x:v>
      </x:c>
      <x:c r="N368" s="85" t="str">
        <x:f>IF($P368="","",HYPERLINK("#'"&amp;INDEX(Tasks!$T$10:$T$1941,$P368)&amp;"'!A"&amp;INDEX(Tasks!$U$10:$U$1941,$P368),"Open"))</x:f>
        <x:v>Open</x:v>
      </x:c>
      <x:c r="O368" s="14"/>
      <x:c r="P368" s="14" t="n">
        <x:f>IF(347&gt;$B$10,"",MATCH(347,Tasks!$S$10:$S$1941,0))</x:f>
        <x:v>698</x:v>
      </x:c>
    </x:row>
    <x:row r="369" ht="58" customHeight="1">
      <x:c r="B369" s="86" t="str">
        <x:f>IF($P369="","",INDEX(Tasks!$B$10:$B$1941,$P369))</x:f>
        <x:v>Cycle 4</x:v>
      </x:c>
      <x:c r="C369" s="86" t="str">
        <x:f>IF($P369="","",INDEX(Tasks!$C$10:$C$1941,$P369))</x:f>
        <x:v>Phase 3</x:v>
      </x:c>
      <x:c r="D369" s="86" t="str">
        <x:f>IF($P369="","",INDEX(Tasks!$D$10:$D$1941,$P369))</x:f>
        <x:v>PLL</x:v>
      </x:c>
      <x:c r="E369" s="86"/>
      <x:c r="F369" s="86" t="str">
        <x:f>IF($P369="","",INDEX(Tasks!$E$10:$E$1941,$P369))</x:f>
        <x:v>Data &amp; Reporting</x:v>
      </x:c>
      <x:c r="G369" s="86"/>
      <x:c r="H369" s="14" t="str">
        <x:f>IF($P369="","",INDEX(Tasks!$F$10:$F$1941,$P369)&amp;CHAR(10)&amp;INDEX(Tasks!$G$10:$G$1941,$P369))</x:f>
        <x:v>DR.PL.3.1
Clearly document rationale for each topic recommendation within the SharePoint list item</x:v>
      </x:c>
      <x:c r="I369" s="14"/>
      <x:c r="J369" s="14"/>
      <x:c r="K369" s="14"/>
      <x:c r="L369" s="86" t="str">
        <x:f>IF($P369="","",INDEX(Tasks!$N$10:$N$1941,$P369))</x:f>
        <x:v>Not started</x:v>
      </x:c>
      <x:c r="M369" s="87" t="n">
        <x:f>IF($P369="","",INDEX(Tasks!$J$10:$J$1941,$P369))</x:f>
        <x:v>46387</x:v>
      </x:c>
      <x:c r="N369" s="85" t="str">
        <x:f>IF($P369="","",HYPERLINK("#'"&amp;INDEX(Tasks!$T$10:$T$1941,$P369)&amp;"'!A"&amp;INDEX(Tasks!$U$10:$U$1941,$P369),"Open"))</x:f>
        <x:v>Open</x:v>
      </x:c>
      <x:c r="O369" s="14"/>
      <x:c r="P369" s="14" t="n">
        <x:f>IF(348&gt;$B$10,"",MATCH(348,Tasks!$S$10:$S$1941,0))</x:f>
        <x:v>699</x:v>
      </x:c>
    </x:row>
    <x:row r="370" ht="58" customHeight="1">
      <x:c r="B370" s="86" t="str">
        <x:f>IF($P370="","",INDEX(Tasks!$B$10:$B$1941,$P370))</x:f>
        <x:v>Cycle 4</x:v>
      </x:c>
      <x:c r="C370" s="86" t="str">
        <x:f>IF($P370="","",INDEX(Tasks!$C$10:$C$1941,$P370))</x:f>
        <x:v>Phase 3</x:v>
      </x:c>
      <x:c r="D370" s="86" t="str">
        <x:f>IF($P370="","",INDEX(Tasks!$D$10:$D$1941,$P370))</x:f>
        <x:v>PLL</x:v>
      </x:c>
      <x:c r="E370" s="86"/>
      <x:c r="F370" s="86" t="str">
        <x:f>IF($P370="","",INDEX(Tasks!$E$10:$E$1941,$P370))</x:f>
        <x:v>Data &amp; Reporting</x:v>
      </x:c>
      <x:c r="G370" s="86"/>
      <x:c r="H370" s="14" t="str">
        <x:f>IF($P370="","",INDEX(Tasks!$F$10:$F$1941,$P370)&amp;CHAR(10)&amp;INDEX(Tasks!$G$10:$G$1941,$P370))</x:f>
        <x:v>DR.PL.3.2
Attach the data package for each topic recommendation within the SharePoint list item</x:v>
      </x:c>
      <x:c r="I370" s="14"/>
      <x:c r="J370" s="14"/>
      <x:c r="K370" s="14"/>
      <x:c r="L370" s="86" t="str">
        <x:f>IF($P370="","",INDEX(Tasks!$N$10:$N$1941,$P370))</x:f>
        <x:v>Not started</x:v>
      </x:c>
      <x:c r="M370" s="87" t="n">
        <x:f>IF($P370="","",INDEX(Tasks!$J$10:$J$1941,$P370))</x:f>
        <x:v>46387</x:v>
      </x:c>
      <x:c r="N370" s="85" t="str">
        <x:f>IF($P370="","",HYPERLINK("#'"&amp;INDEX(Tasks!$T$10:$T$1941,$P370)&amp;"'!A"&amp;INDEX(Tasks!$U$10:$U$1941,$P370),"Open"))</x:f>
        <x:v>Open</x:v>
      </x:c>
      <x:c r="O370" s="14"/>
      <x:c r="P370" s="14" t="n">
        <x:f>IF(349&gt;$B$10,"",MATCH(349,Tasks!$S$10:$S$1941,0))</x:f>
        <x:v>700</x:v>
      </x:c>
    </x:row>
    <x:row r="371" ht="58" customHeight="1">
      <x:c r="B371" s="86" t="str">
        <x:f>IF($P371="","",INDEX(Tasks!$B$10:$B$1941,$P371))</x:f>
        <x:v>Cycle 4</x:v>
      </x:c>
      <x:c r="C371" s="86" t="str">
        <x:f>IF($P371="","",INDEX(Tasks!$C$10:$C$1941,$P371))</x:f>
        <x:v>Phase 3</x:v>
      </x:c>
      <x:c r="D371" s="86" t="str">
        <x:f>IF($P371="","",INDEX(Tasks!$D$10:$D$1941,$P371))</x:f>
        <x:v>PLL</x:v>
      </x:c>
      <x:c r="E371" s="86"/>
      <x:c r="F371" s="86" t="str">
        <x:f>IF($P371="","",INDEX(Tasks!$E$10:$E$1941,$P371))</x:f>
        <x:v>Data &amp; Reporting</x:v>
      </x:c>
      <x:c r="G371" s="86"/>
      <x:c r="H371" s="14" t="str">
        <x:f>IF($P371="","",INDEX(Tasks!$F$10:$F$1941,$P371)&amp;CHAR(10)&amp;INDEX(Tasks!$G$10:$G$1941,$P371))</x:f>
        <x:v>DR.PL.3.3
Confirm data privileges have been granted, ensuring each pillar can access</x:v>
      </x:c>
      <x:c r="I371" s="14"/>
      <x:c r="J371" s="14"/>
      <x:c r="K371" s="14"/>
      <x:c r="L371" s="86" t="str">
        <x:f>IF($P371="","",INDEX(Tasks!$N$10:$N$1941,$P371))</x:f>
        <x:v>Not started</x:v>
      </x:c>
      <x:c r="M371" s="87" t="n">
        <x:f>IF($P371="","",INDEX(Tasks!$J$10:$J$1941,$P371))</x:f>
        <x:v>46387</x:v>
      </x:c>
      <x:c r="N371" s="85" t="str">
        <x:f>IF($P371="","",HYPERLINK("#'"&amp;INDEX(Tasks!$T$10:$T$1941,$P371)&amp;"'!A"&amp;INDEX(Tasks!$U$10:$U$1941,$P371),"Open"))</x:f>
        <x:v>Open</x:v>
      </x:c>
      <x:c r="O371" s="14"/>
      <x:c r="P371" s="14" t="n">
        <x:f>IF(350&gt;$B$10,"",MATCH(350,Tasks!$S$10:$S$1941,0))</x:f>
        <x:v>701</x:v>
      </x:c>
    </x:row>
    <x:row r="372" ht="58" customHeight="1">
      <x:c r="B372" s="86" t="str">
        <x:f>IF($P372="","",INDEX(Tasks!$B$10:$B$1941,$P372))</x:f>
        <x:v>Cycle 4</x:v>
      </x:c>
      <x:c r="C372" s="86" t="str">
        <x:f>IF($P372="","",INDEX(Tasks!$C$10:$C$1941,$P372))</x:f>
        <x:v>Phase 3</x:v>
      </x:c>
      <x:c r="D372" s="86" t="str">
        <x:f>IF($P372="","",INDEX(Tasks!$D$10:$D$1941,$P372))</x:f>
        <x:v>PLL</x:v>
      </x:c>
      <x:c r="E372" s="86"/>
      <x:c r="F372" s="86" t="str">
        <x:f>IF($P372="","",INDEX(Tasks!$E$10:$E$1941,$P372))</x:f>
        <x:v>Data &amp; Reporting</x:v>
      </x:c>
      <x:c r="G372" s="86"/>
      <x:c r="H372" s="14" t="str">
        <x:f>IF($P372="","",INDEX(Tasks!$F$10:$F$1941,$P372)&amp;CHAR(10)&amp;INDEX(Tasks!$G$10:$G$1941,$P372))</x:f>
        <x:v>DR.PL.3.4
Ensure Power Automate notifications were correctly triggered within Microsoft Teams</x:v>
      </x:c>
      <x:c r="I372" s="14"/>
      <x:c r="J372" s="14"/>
      <x:c r="K372" s="14"/>
      <x:c r="L372" s="86" t="str">
        <x:f>IF($P372="","",INDEX(Tasks!$N$10:$N$1941,$P372))</x:f>
        <x:v>Not started</x:v>
      </x:c>
      <x:c r="M372" s="87" t="n">
        <x:f>IF($P372="","",INDEX(Tasks!$J$10:$J$1941,$P372))</x:f>
        <x:v>46387</x:v>
      </x:c>
      <x:c r="N372" s="85" t="str">
        <x:f>IF($P372="","",HYPERLINK("#'"&amp;INDEX(Tasks!$T$10:$T$1941,$P372)&amp;"'!A"&amp;INDEX(Tasks!$U$10:$U$1941,$P372),"Open"))</x:f>
        <x:v>Open</x:v>
      </x:c>
      <x:c r="O372" s="14"/>
      <x:c r="P372" s="14" t="n">
        <x:f>IF(351&gt;$B$10,"",MATCH(351,Tasks!$S$10:$S$1941,0))</x:f>
        <x:v>702</x:v>
      </x:c>
    </x:row>
    <x:row r="373" ht="58" customHeight="1">
      <x:c r="B373" s="86" t="str">
        <x:f>IF($P373="","",INDEX(Tasks!$B$10:$B$1941,$P373))</x:f>
        <x:v>Cycle 4</x:v>
      </x:c>
      <x:c r="C373" s="86" t="str">
        <x:f>IF($P373="","",INDEX(Tasks!$C$10:$C$1941,$P373))</x:f>
        <x:v>Phase 1</x:v>
      </x:c>
      <x:c r="D373" s="86" t="str">
        <x:f>IF($P373="","",INDEX(Tasks!$D$10:$D$1941,$P373))</x:f>
        <x:v>Retail Services</x:v>
      </x:c>
      <x:c r="E373" s="86"/>
      <x:c r="F373" s="86" t="str">
        <x:f>IF($P373="","",INDEX(Tasks!$E$10:$E$1941,$P373))</x:f>
        <x:v>Data &amp; Reporting</x:v>
      </x:c>
      <x:c r="G373" s="86"/>
      <x:c r="H373" s="14" t="str">
        <x:f>IF($P373="","",INDEX(Tasks!$F$10:$F$1941,$P373)&amp;CHAR(10)&amp;INDEX(Tasks!$G$10:$G$1941,$P373))</x:f>
        <x:v>DR.RS.1.1
Review data sources 3 weeks prior to Cycle start (Complaints, Gen AI, Loudspeaker, NPS, etc.)</x:v>
      </x:c>
      <x:c r="I373" s="14"/>
      <x:c r="J373" s="14"/>
      <x:c r="K373" s="14"/>
      <x:c r="L373" s="86" t="str">
        <x:f>IF($P373="","",INDEX(Tasks!$N$10:$N$1941,$P373))</x:f>
        <x:v>Not started</x:v>
      </x:c>
      <x:c r="M373" s="87" t="n">
        <x:f>IF($P373="","",INDEX(Tasks!$J$10:$J$1941,$P373))</x:f>
        <x:v>46275</x:v>
      </x:c>
      <x:c r="N373" s="85" t="str">
        <x:f>IF($P373="","",HYPERLINK("#'"&amp;INDEX(Tasks!$T$10:$T$1941,$P373)&amp;"'!A"&amp;INDEX(Tasks!$U$10:$U$1941,$P373),"Open"))</x:f>
        <x:v>Open</x:v>
      </x:c>
      <x:c r="O373" s="14"/>
      <x:c r="P373" s="14" t="n">
        <x:f>IF(352&gt;$B$10,"",MATCH(352,Tasks!$S$10:$S$1941,0))</x:f>
        <x:v>703</x:v>
      </x:c>
    </x:row>
    <x:row r="374" ht="58" customHeight="1">
      <x:c r="B374" s="86" t="str">
        <x:f>IF($P374="","",INDEX(Tasks!$B$10:$B$1941,$P374))</x:f>
        <x:v>Cycle 4</x:v>
      </x:c>
      <x:c r="C374" s="86" t="str">
        <x:f>IF($P374="","",INDEX(Tasks!$C$10:$C$1941,$P374))</x:f>
        <x:v>Phase 1</x:v>
      </x:c>
      <x:c r="D374" s="86" t="str">
        <x:f>IF($P374="","",INDEX(Tasks!$D$10:$D$1941,$P374))</x:f>
        <x:v>Retail Services</x:v>
      </x:c>
      <x:c r="E374" s="86"/>
      <x:c r="F374" s="86" t="str">
        <x:f>IF($P374="","",INDEX(Tasks!$E$10:$E$1941,$P374))</x:f>
        <x:v>Data &amp; Reporting</x:v>
      </x:c>
      <x:c r="G374" s="86"/>
      <x:c r="H374" s="14" t="str">
        <x:f>IF($P374="","",INDEX(Tasks!$F$10:$F$1941,$P374)&amp;CHAR(10)&amp;INDEX(Tasks!$G$10:$G$1941,$P374))</x:f>
        <x:v>DR.RS.1.2
Identify two potential topics for the upcoming Cycle</x:v>
      </x:c>
      <x:c r="I374" s="14"/>
      <x:c r="J374" s="14"/>
      <x:c r="K374" s="14"/>
      <x:c r="L374" s="86" t="str">
        <x:f>IF($P374="","",INDEX(Tasks!$N$10:$N$1941,$P374))</x:f>
        <x:v>Not started</x:v>
      </x:c>
      <x:c r="M374" s="87" t="n">
        <x:f>IF($P374="","",INDEX(Tasks!$J$10:$J$1941,$P374))</x:f>
        <x:v>46387</x:v>
      </x:c>
      <x:c r="N374" s="85" t="str">
        <x:f>IF($P374="","",HYPERLINK("#'"&amp;INDEX(Tasks!$T$10:$T$1941,$P374)&amp;"'!A"&amp;INDEX(Tasks!$U$10:$U$1941,$P374),"Open"))</x:f>
        <x:v>Open</x:v>
      </x:c>
      <x:c r="O374" s="14"/>
      <x:c r="P374" s="14" t="n">
        <x:f>IF(353&gt;$B$10,"",MATCH(353,Tasks!$S$10:$S$1941,0))</x:f>
        <x:v>704</x:v>
      </x:c>
    </x:row>
    <x:row r="375" ht="58" customHeight="1">
      <x:c r="B375" s="86" t="str">
        <x:f>IF($P375="","",INDEX(Tasks!$B$10:$B$1941,$P375))</x:f>
        <x:v>Cycle 4</x:v>
      </x:c>
      <x:c r="C375" s="86" t="str">
        <x:f>IF($P375="","",INDEX(Tasks!$C$10:$C$1941,$P375))</x:f>
        <x:v>Phase 1</x:v>
      </x:c>
      <x:c r="D375" s="86" t="str">
        <x:f>IF($P375="","",INDEX(Tasks!$D$10:$D$1941,$P375))</x:f>
        <x:v>Retail Services</x:v>
      </x:c>
      <x:c r="E375" s="86"/>
      <x:c r="F375" s="86" t="str">
        <x:f>IF($P375="","",INDEX(Tasks!$E$10:$E$1941,$P375))</x:f>
        <x:v>Data &amp; Reporting</x:v>
      </x:c>
      <x:c r="G375" s="86"/>
      <x:c r="H375" s="14" t="str">
        <x:f>IF($P375="","",INDEX(Tasks!$F$10:$F$1941,$P375)&amp;CHAR(10)&amp;INDEX(Tasks!$G$10:$G$1941,$P375))</x:f>
        <x:v>DR.RS.1.3
Extract data for both potential topics, ensuring all checklist items below are included/completed</x:v>
      </x:c>
      <x:c r="I375" s="14"/>
      <x:c r="J375" s="14"/>
      <x:c r="K375" s="14"/>
      <x:c r="L375" s="86" t="str">
        <x:f>IF($P375="","",INDEX(Tasks!$N$10:$N$1941,$P375))</x:f>
        <x:v>Not started</x:v>
      </x:c>
      <x:c r="M375" s="87" t="n">
        <x:f>IF($P375="","",INDEX(Tasks!$J$10:$J$1941,$P375))</x:f>
        <x:v>46387</x:v>
      </x:c>
      <x:c r="N375" s="85" t="str">
        <x:f>IF($P375="","",HYPERLINK("#'"&amp;INDEX(Tasks!$T$10:$T$1941,$P375)&amp;"'!A"&amp;INDEX(Tasks!$U$10:$U$1941,$P375),"Open"))</x:f>
        <x:v>Open</x:v>
      </x:c>
      <x:c r="O375" s="14"/>
      <x:c r="P375" s="14" t="n">
        <x:f>IF(354&gt;$B$10,"",MATCH(354,Tasks!$S$10:$S$1941,0))</x:f>
        <x:v>705</x:v>
      </x:c>
    </x:row>
    <x:row r="376" ht="58" customHeight="1">
      <x:c r="B376" s="86" t="str">
        <x:f>IF($P376="","",INDEX(Tasks!$B$10:$B$1941,$P376))</x:f>
        <x:v>Cycle 4</x:v>
      </x:c>
      <x:c r="C376" s="86" t="str">
        <x:f>IF($P376="","",INDEX(Tasks!$C$10:$C$1941,$P376))</x:f>
        <x:v>Phase 2</x:v>
      </x:c>
      <x:c r="D376" s="86" t="str">
        <x:f>IF($P376="","",INDEX(Tasks!$D$10:$D$1941,$P376))</x:f>
        <x:v>Retail Services</x:v>
      </x:c>
      <x:c r="E376" s="86"/>
      <x:c r="F376" s="86" t="str">
        <x:f>IF($P376="","",INDEX(Tasks!$E$10:$E$1941,$P376))</x:f>
        <x:v>Data &amp; Reporting</x:v>
      </x:c>
      <x:c r="G376" s="86"/>
      <x:c r="H376" s="14" t="str">
        <x:f>IF($P376="","",INDEX(Tasks!$F$10:$F$1941,$P376)&amp;CHAR(10)&amp;INDEX(Tasks!$G$10:$G$1941,$P376))</x:f>
        <x:v>DR.RS.2.1
Ensure data is clean, structured, and usable without manipulation needed</x:v>
      </x:c>
      <x:c r="I376" s="14"/>
      <x:c r="J376" s="14"/>
      <x:c r="K376" s="14"/>
      <x:c r="L376" s="86" t="str">
        <x:f>IF($P376="","",INDEX(Tasks!$N$10:$N$1941,$P376))</x:f>
        <x:v>Not started</x:v>
      </x:c>
      <x:c r="M376" s="87" t="n">
        <x:f>IF($P376="","",INDEX(Tasks!$J$10:$J$1941,$P376))</x:f>
        <x:v>46387</x:v>
      </x:c>
      <x:c r="N376" s="85" t="str">
        <x:f>IF($P376="","",HYPERLINK("#'"&amp;INDEX(Tasks!$T$10:$T$1941,$P376)&amp;"'!A"&amp;INDEX(Tasks!$U$10:$U$1941,$P376),"Open"))</x:f>
        <x:v>Open</x:v>
      </x:c>
      <x:c r="O376" s="14"/>
      <x:c r="P376" s="14" t="n">
        <x:f>IF(355&gt;$B$10,"",MATCH(355,Tasks!$S$10:$S$1941,0))</x:f>
        <x:v>719</x:v>
      </x:c>
    </x:row>
    <x:row r="377" ht="58" customHeight="1">
      <x:c r="B377" s="86" t="str">
        <x:f>IF($P377="","",INDEX(Tasks!$B$10:$B$1941,$P377))</x:f>
        <x:v>Cycle 4</x:v>
      </x:c>
      <x:c r="C377" s="86" t="str">
        <x:f>IF($P377="","",INDEX(Tasks!$C$10:$C$1941,$P377))</x:f>
        <x:v>Phase 2</x:v>
      </x:c>
      <x:c r="D377" s="86" t="str">
        <x:f>IF($P377="","",INDEX(Tasks!$D$10:$D$1941,$P377))</x:f>
        <x:v>Retail Services</x:v>
      </x:c>
      <x:c r="E377" s="86"/>
      <x:c r="F377" s="86" t="str">
        <x:f>IF($P377="","",INDEX(Tasks!$E$10:$E$1941,$P377))</x:f>
        <x:v>Data &amp; Reporting</x:v>
      </x:c>
      <x:c r="G377" s="86"/>
      <x:c r="H377" s="14" t="str">
        <x:f>IF($P377="","",INDEX(Tasks!$F$10:$F$1941,$P377)&amp;CHAR(10)&amp;INDEX(Tasks!$G$10:$G$1941,$P377))</x:f>
        <x:v>DR.RS.2.2
Clearly document rationale for each topic recommendation within the SharePoint list</x:v>
      </x:c>
      <x:c r="I377" s="14"/>
      <x:c r="J377" s="14"/>
      <x:c r="K377" s="14"/>
      <x:c r="L377" s="86" t="str">
        <x:f>IF($P377="","",INDEX(Tasks!$N$10:$N$1941,$P377))</x:f>
        <x:v>Not started</x:v>
      </x:c>
      <x:c r="M377" s="87" t="n">
        <x:f>IF($P377="","",INDEX(Tasks!$J$10:$J$1941,$P377))</x:f>
        <x:v>46387</x:v>
      </x:c>
      <x:c r="N377" s="85" t="str">
        <x:f>IF($P377="","",HYPERLINK("#'"&amp;INDEX(Tasks!$T$10:$T$1941,$P377)&amp;"'!A"&amp;INDEX(Tasks!$U$10:$U$1941,$P377),"Open"))</x:f>
        <x:v>Open</x:v>
      </x:c>
      <x:c r="O377" s="14"/>
      <x:c r="P377" s="14" t="n">
        <x:f>IF(356&gt;$B$10,"",MATCH(356,Tasks!$S$10:$S$1941,0))</x:f>
        <x:v>720</x:v>
      </x:c>
    </x:row>
    <x:row r="378" ht="58" customHeight="1">
      <x:c r="B378" s="86" t="str">
        <x:f>IF($P378="","",INDEX(Tasks!$B$10:$B$1941,$P378))</x:f>
        <x:v>Cycle 4</x:v>
      </x:c>
      <x:c r="C378" s="86" t="str">
        <x:f>IF($P378="","",INDEX(Tasks!$C$10:$C$1941,$P378))</x:f>
        <x:v>Phase 2</x:v>
      </x:c>
      <x:c r="D378" s="86" t="str">
        <x:f>IF($P378="","",INDEX(Tasks!$D$10:$D$1941,$P378))</x:f>
        <x:v>Retail Services</x:v>
      </x:c>
      <x:c r="E378" s="86"/>
      <x:c r="F378" s="86" t="str">
        <x:f>IF($P378="","",INDEX(Tasks!$E$10:$E$1941,$P378))</x:f>
        <x:v>Data &amp; Reporting</x:v>
      </x:c>
      <x:c r="G378" s="86"/>
      <x:c r="H378" s="14" t="str">
        <x:f>IF($P378="","",INDEX(Tasks!$F$10:$F$1941,$P378)&amp;CHAR(10)&amp;INDEX(Tasks!$G$10:$G$1941,$P378))</x:f>
        <x:v>DR.RS.2.3
Verify topic is eligible for RCA and does not conflict with Attorney Client Privilege</x:v>
      </x:c>
      <x:c r="I378" s="14"/>
      <x:c r="J378" s="14"/>
      <x:c r="K378" s="14"/>
      <x:c r="L378" s="86" t="str">
        <x:f>IF($P378="","",INDEX(Tasks!$N$10:$N$1941,$P378))</x:f>
        <x:v>Not started</x:v>
      </x:c>
      <x:c r="M378" s="87" t="n">
        <x:f>IF($P378="","",INDEX(Tasks!$J$10:$J$1941,$P378))</x:f>
        <x:v>46387</x:v>
      </x:c>
      <x:c r="N378" s="85" t="str">
        <x:f>IF($P378="","",HYPERLINK("#'"&amp;INDEX(Tasks!$T$10:$T$1941,$P378)&amp;"'!A"&amp;INDEX(Tasks!$U$10:$U$1941,$P378),"Open"))</x:f>
        <x:v>Open</x:v>
      </x:c>
      <x:c r="O378" s="14"/>
      <x:c r="P378" s="14" t="n">
        <x:f>IF(357&gt;$B$10,"",MATCH(357,Tasks!$S$10:$S$1941,0))</x:f>
        <x:v>721</x:v>
      </x:c>
    </x:row>
    <x:row r="379" ht="58" customHeight="1">
      <x:c r="B379" s="86" t="str">
        <x:f>IF($P379="","",INDEX(Tasks!$B$10:$B$1941,$P379))</x:f>
        <x:v>Cycle 4</x:v>
      </x:c>
      <x:c r="C379" s="86" t="str">
        <x:f>IF($P379="","",INDEX(Tasks!$C$10:$C$1941,$P379))</x:f>
        <x:v>Phase 2</x:v>
      </x:c>
      <x:c r="D379" s="86" t="str">
        <x:f>IF($P379="","",INDEX(Tasks!$D$10:$D$1941,$P379))</x:f>
        <x:v>Retail Services</x:v>
      </x:c>
      <x:c r="E379" s="86"/>
      <x:c r="F379" s="86" t="str">
        <x:f>IF($P379="","",INDEX(Tasks!$E$10:$E$1941,$P379))</x:f>
        <x:v>Data &amp; Reporting</x:v>
      </x:c>
      <x:c r="G379" s="86"/>
      <x:c r="H379" s="14" t="str">
        <x:f>IF($P379="","",INDEX(Tasks!$F$10:$F$1941,$P379)&amp;CHAR(10)&amp;INDEX(Tasks!$G$10:$G$1941,$P379))</x:f>
        <x:v>DR.RS.2.4
Ensure data is free of errors and anomalies prior to hand-off to Research</x:v>
      </x:c>
      <x:c r="I379" s="14"/>
      <x:c r="J379" s="14"/>
      <x:c r="K379" s="14"/>
      <x:c r="L379" s="86" t="str">
        <x:f>IF($P379="","",INDEX(Tasks!$N$10:$N$1941,$P379))</x:f>
        <x:v>Not started</x:v>
      </x:c>
      <x:c r="M379" s="87" t="n">
        <x:f>IF($P379="","",INDEX(Tasks!$J$10:$J$1941,$P379))</x:f>
        <x:v>46387</x:v>
      </x:c>
      <x:c r="N379" s="85" t="str">
        <x:f>IF($P379="","",HYPERLINK("#'"&amp;INDEX(Tasks!$T$10:$T$1941,$P379)&amp;"'!A"&amp;INDEX(Tasks!$U$10:$U$1941,$P379),"Open"))</x:f>
        <x:v>Open</x:v>
      </x:c>
      <x:c r="O379" s="14"/>
      <x:c r="P379" s="14" t="n">
        <x:f>IF(358&gt;$B$10,"",MATCH(358,Tasks!$S$10:$S$1941,0))</x:f>
        <x:v>722</x:v>
      </x:c>
    </x:row>
    <x:row r="380" ht="58" customHeight="1">
      <x:c r="B380" s="86" t="str">
        <x:f>IF($P380="","",INDEX(Tasks!$B$10:$B$1941,$P380))</x:f>
        <x:v>Cycle 4</x:v>
      </x:c>
      <x:c r="C380" s="86" t="str">
        <x:f>IF($P380="","",INDEX(Tasks!$C$10:$C$1941,$P380))</x:f>
        <x:v>Phase 2</x:v>
      </x:c>
      <x:c r="D380" s="86" t="str">
        <x:f>IF($P380="","",INDEX(Tasks!$D$10:$D$1941,$P380))</x:f>
        <x:v>Retail Services</x:v>
      </x:c>
      <x:c r="E380" s="86"/>
      <x:c r="F380" s="86" t="str">
        <x:f>IF($P380="","",INDEX(Tasks!$E$10:$E$1941,$P380))</x:f>
        <x:v>Data &amp; Reporting</x:v>
      </x:c>
      <x:c r="G380" s="86"/>
      <x:c r="H380" s="14" t="str">
        <x:f>IF($P380="","",INDEX(Tasks!$F$10:$F$1941,$P380)&amp;CHAR(10)&amp;INDEX(Tasks!$G$10:$G$1941,$P380))</x:f>
        <x:v>DR.RS.2.5
Ensure topic is not a duplicate from a previous Cycle</x:v>
      </x:c>
      <x:c r="I380" s="14"/>
      <x:c r="J380" s="14"/>
      <x:c r="K380" s="14"/>
      <x:c r="L380" s="86" t="str">
        <x:f>IF($P380="","",INDEX(Tasks!$N$10:$N$1941,$P380))</x:f>
        <x:v>Not started</x:v>
      </x:c>
      <x:c r="M380" s="87" t="n">
        <x:f>IF($P380="","",INDEX(Tasks!$J$10:$J$1941,$P380))</x:f>
        <x:v>46387</x:v>
      </x:c>
      <x:c r="N380" s="85" t="str">
        <x:f>IF($P380="","",HYPERLINK("#'"&amp;INDEX(Tasks!$T$10:$T$1941,$P380)&amp;"'!A"&amp;INDEX(Tasks!$U$10:$U$1941,$P380),"Open"))</x:f>
        <x:v>Open</x:v>
      </x:c>
      <x:c r="O380" s="14"/>
      <x:c r="P380" s="14" t="n">
        <x:f>IF(359&gt;$B$10,"",MATCH(359,Tasks!$S$10:$S$1941,0))</x:f>
        <x:v>723</x:v>
      </x:c>
    </x:row>
    <x:row r="381" ht="58" customHeight="1">
      <x:c r="B381" s="86" t="str">
        <x:f>IF($P381="","",INDEX(Tasks!$B$10:$B$1941,$P381))</x:f>
        <x:v>Cycle 4</x:v>
      </x:c>
      <x:c r="C381" s="86" t="str">
        <x:f>IF($P381="","",INDEX(Tasks!$C$10:$C$1941,$P381))</x:f>
        <x:v>Phase 2</x:v>
      </x:c>
      <x:c r="D381" s="86" t="str">
        <x:f>IF($P381="","",INDEX(Tasks!$D$10:$D$1941,$P381))</x:f>
        <x:v>Retail Services</x:v>
      </x:c>
      <x:c r="E381" s="86"/>
      <x:c r="F381" s="86" t="str">
        <x:f>IF($P381="","",INDEX(Tasks!$E$10:$E$1941,$P381))</x:f>
        <x:v>Data &amp; Reporting</x:v>
      </x:c>
      <x:c r="G381" s="86"/>
      <x:c r="H381" s="14" t="str">
        <x:f>IF($P381="","",INDEX(Tasks!$F$10:$F$1941,$P381)&amp;CHAR(10)&amp;INDEX(Tasks!$G$10:$G$1941,$P381))</x:f>
        <x:v>DR.RS.2.6
Document clear distinctions between facts, assumptions, and hypotheses within the data package</x:v>
      </x:c>
      <x:c r="I381" s="14"/>
      <x:c r="J381" s="14"/>
      <x:c r="K381" s="14"/>
      <x:c r="L381" s="86" t="str">
        <x:f>IF($P381="","",INDEX(Tasks!$N$10:$N$1941,$P381))</x:f>
        <x:v>Not started</x:v>
      </x:c>
      <x:c r="M381" s="87" t="n">
        <x:f>IF($P381="","",INDEX(Tasks!$J$10:$J$1941,$P381))</x:f>
        <x:v>46387</x:v>
      </x:c>
      <x:c r="N381" s="85" t="str">
        <x:f>IF($P381="","",HYPERLINK("#'"&amp;INDEX(Tasks!$T$10:$T$1941,$P381)&amp;"'!A"&amp;INDEX(Tasks!$U$10:$U$1941,$P381),"Open"))</x:f>
        <x:v>Open</x:v>
      </x:c>
      <x:c r="O381" s="14"/>
      <x:c r="P381" s="14" t="n">
        <x:f>IF(360&gt;$B$10,"",MATCH(360,Tasks!$S$10:$S$1941,0))</x:f>
        <x:v>724</x:v>
      </x:c>
    </x:row>
    <x:row r="382" ht="58" customHeight="1">
      <x:c r="B382" s="86" t="str">
        <x:f>IF($P382="","",INDEX(Tasks!$B$10:$B$1941,$P382))</x:f>
        <x:v>Cycle 4</x:v>
      </x:c>
      <x:c r="C382" s="86" t="str">
        <x:f>IF($P382="","",INDEX(Tasks!$C$10:$C$1941,$P382))</x:f>
        <x:v>Phase 3</x:v>
      </x:c>
      <x:c r="D382" s="86" t="str">
        <x:f>IF($P382="","",INDEX(Tasks!$D$10:$D$1941,$P382))</x:f>
        <x:v>Retail Services</x:v>
      </x:c>
      <x:c r="E382" s="86"/>
      <x:c r="F382" s="86" t="str">
        <x:f>IF($P382="","",INDEX(Tasks!$E$10:$E$1941,$P382))</x:f>
        <x:v>Data &amp; Reporting</x:v>
      </x:c>
      <x:c r="G382" s="86"/>
      <x:c r="H382" s="14" t="str">
        <x:f>IF($P382="","",INDEX(Tasks!$F$10:$F$1941,$P382)&amp;CHAR(10)&amp;INDEX(Tasks!$G$10:$G$1941,$P382))</x:f>
        <x:v>DR.RS.3.1
Clearly document rationale for each topic recommendation within the SharePoint list item</x:v>
      </x:c>
      <x:c r="I382" s="14"/>
      <x:c r="J382" s="14"/>
      <x:c r="K382" s="14"/>
      <x:c r="L382" s="86" t="str">
        <x:f>IF($P382="","",INDEX(Tasks!$N$10:$N$1941,$P382))</x:f>
        <x:v>Not started</x:v>
      </x:c>
      <x:c r="M382" s="87" t="n">
        <x:f>IF($P382="","",INDEX(Tasks!$J$10:$J$1941,$P382))</x:f>
        <x:v>46387</x:v>
      </x:c>
      <x:c r="N382" s="85" t="str">
        <x:f>IF($P382="","",HYPERLINK("#'"&amp;INDEX(Tasks!$T$10:$T$1941,$P382)&amp;"'!A"&amp;INDEX(Tasks!$U$10:$U$1941,$P382),"Open"))</x:f>
        <x:v>Open</x:v>
      </x:c>
      <x:c r="O382" s="14"/>
      <x:c r="P382" s="14" t="n">
        <x:f>IF(361&gt;$B$10,"",MATCH(361,Tasks!$S$10:$S$1941,0))</x:f>
        <x:v>725</x:v>
      </x:c>
    </x:row>
    <x:row r="383" ht="58" customHeight="1">
      <x:c r="B383" s="86" t="str">
        <x:f>IF($P383="","",INDEX(Tasks!$B$10:$B$1941,$P383))</x:f>
        <x:v>Cycle 4</x:v>
      </x:c>
      <x:c r="C383" s="86" t="str">
        <x:f>IF($P383="","",INDEX(Tasks!$C$10:$C$1941,$P383))</x:f>
        <x:v>Phase 3</x:v>
      </x:c>
      <x:c r="D383" s="86" t="str">
        <x:f>IF($P383="","",INDEX(Tasks!$D$10:$D$1941,$P383))</x:f>
        <x:v>Retail Services</x:v>
      </x:c>
      <x:c r="E383" s="86"/>
      <x:c r="F383" s="86" t="str">
        <x:f>IF($P383="","",INDEX(Tasks!$E$10:$E$1941,$P383))</x:f>
        <x:v>Data &amp; Reporting</x:v>
      </x:c>
      <x:c r="G383" s="86"/>
      <x:c r="H383" s="14" t="str">
        <x:f>IF($P383="","",INDEX(Tasks!$F$10:$F$1941,$P383)&amp;CHAR(10)&amp;INDEX(Tasks!$G$10:$G$1941,$P383))</x:f>
        <x:v>DR.RS.3.2
Attach the data package for each topic recommendation within the SharePoint list item</x:v>
      </x:c>
      <x:c r="I383" s="14"/>
      <x:c r="J383" s="14"/>
      <x:c r="K383" s="14"/>
      <x:c r="L383" s="86" t="str">
        <x:f>IF($P383="","",INDEX(Tasks!$N$10:$N$1941,$P383))</x:f>
        <x:v>Not started</x:v>
      </x:c>
      <x:c r="M383" s="87" t="n">
        <x:f>IF($P383="","",INDEX(Tasks!$J$10:$J$1941,$P383))</x:f>
        <x:v>46387</x:v>
      </x:c>
      <x:c r="N383" s="85" t="str">
        <x:f>IF($P383="","",HYPERLINK("#'"&amp;INDEX(Tasks!$T$10:$T$1941,$P383)&amp;"'!A"&amp;INDEX(Tasks!$U$10:$U$1941,$P383),"Open"))</x:f>
        <x:v>Open</x:v>
      </x:c>
      <x:c r="O383" s="14"/>
      <x:c r="P383" s="14" t="n">
        <x:f>IF(362&gt;$B$10,"",MATCH(362,Tasks!$S$10:$S$1941,0))</x:f>
        <x:v>726</x:v>
      </x:c>
    </x:row>
    <x:row r="384" ht="58" customHeight="1">
      <x:c r="B384" s="86" t="str">
        <x:f>IF($P384="","",INDEX(Tasks!$B$10:$B$1941,$P384))</x:f>
        <x:v>Cycle 4</x:v>
      </x:c>
      <x:c r="C384" s="86" t="str">
        <x:f>IF($P384="","",INDEX(Tasks!$C$10:$C$1941,$P384))</x:f>
        <x:v>Phase 3</x:v>
      </x:c>
      <x:c r="D384" s="86" t="str">
        <x:f>IF($P384="","",INDEX(Tasks!$D$10:$D$1941,$P384))</x:f>
        <x:v>Retail Services</x:v>
      </x:c>
      <x:c r="E384" s="86"/>
      <x:c r="F384" s="86" t="str">
        <x:f>IF($P384="","",INDEX(Tasks!$E$10:$E$1941,$P384))</x:f>
        <x:v>Data &amp; Reporting</x:v>
      </x:c>
      <x:c r="G384" s="86"/>
      <x:c r="H384" s="14" t="str">
        <x:f>IF($P384="","",INDEX(Tasks!$F$10:$F$1941,$P384)&amp;CHAR(10)&amp;INDEX(Tasks!$G$10:$G$1941,$P384))</x:f>
        <x:v>DR.RS.3.3
Confirm data privileges have been granted, ensuring each pillar can access</x:v>
      </x:c>
      <x:c r="I384" s="14"/>
      <x:c r="J384" s="14"/>
      <x:c r="K384" s="14"/>
      <x:c r="L384" s="86" t="str">
        <x:f>IF($P384="","",INDEX(Tasks!$N$10:$N$1941,$P384))</x:f>
        <x:v>Not started</x:v>
      </x:c>
      <x:c r="M384" s="87" t="n">
        <x:f>IF($P384="","",INDEX(Tasks!$J$10:$J$1941,$P384))</x:f>
        <x:v>46387</x:v>
      </x:c>
      <x:c r="N384" s="85" t="str">
        <x:f>IF($P384="","",HYPERLINK("#'"&amp;INDEX(Tasks!$T$10:$T$1941,$P384)&amp;"'!A"&amp;INDEX(Tasks!$U$10:$U$1941,$P384),"Open"))</x:f>
        <x:v>Open</x:v>
      </x:c>
      <x:c r="O384" s="14"/>
      <x:c r="P384" s="14" t="n">
        <x:f>IF(363&gt;$B$10,"",MATCH(363,Tasks!$S$10:$S$1941,0))</x:f>
        <x:v>727</x:v>
      </x:c>
    </x:row>
    <x:row r="385" ht="58" customHeight="1">
      <x:c r="B385" s="86" t="str">
        <x:f>IF($P385="","",INDEX(Tasks!$B$10:$B$1941,$P385))</x:f>
        <x:v>Cycle 4</x:v>
      </x:c>
      <x:c r="C385" s="86" t="str">
        <x:f>IF($P385="","",INDEX(Tasks!$C$10:$C$1941,$P385))</x:f>
        <x:v>Phase 3</x:v>
      </x:c>
      <x:c r="D385" s="86" t="str">
        <x:f>IF($P385="","",INDEX(Tasks!$D$10:$D$1941,$P385))</x:f>
        <x:v>Retail Services</x:v>
      </x:c>
      <x:c r="E385" s="86"/>
      <x:c r="F385" s="86" t="str">
        <x:f>IF($P385="","",INDEX(Tasks!$E$10:$E$1941,$P385))</x:f>
        <x:v>Data &amp; Reporting</x:v>
      </x:c>
      <x:c r="G385" s="86"/>
      <x:c r="H385" s="14" t="str">
        <x:f>IF($P385="","",INDEX(Tasks!$F$10:$F$1941,$P385)&amp;CHAR(10)&amp;INDEX(Tasks!$G$10:$G$1941,$P385))</x:f>
        <x:v>DR.RS.3.4
Ensure Power Automate notifications were correctly triggered within Microsoft Teams</x:v>
      </x:c>
      <x:c r="I385" s="14"/>
      <x:c r="J385" s="14"/>
      <x:c r="K385" s="14"/>
      <x:c r="L385" s="86" t="str">
        <x:f>IF($P385="","",INDEX(Tasks!$N$10:$N$1941,$P385))</x:f>
        <x:v>Not started</x:v>
      </x:c>
      <x:c r="M385" s="87" t="n">
        <x:f>IF($P385="","",INDEX(Tasks!$J$10:$J$1941,$P385))</x:f>
        <x:v>46387</x:v>
      </x:c>
      <x:c r="N385" s="85" t="str">
        <x:f>IF($P385="","",HYPERLINK("#'"&amp;INDEX(Tasks!$T$10:$T$1941,$P385)&amp;"'!A"&amp;INDEX(Tasks!$U$10:$U$1941,$P385),"Open"))</x:f>
        <x:v>Open</x:v>
      </x:c>
      <x:c r="O385" s="14"/>
      <x:c r="P385" s="14" t="n">
        <x:f>IF(364&gt;$B$10,"",MATCH(364,Tasks!$S$10:$S$1941,0))</x:f>
        <x:v>728</x:v>
      </x:c>
    </x:row>
    <x:row r="386" ht="58" customHeight="1">
      <x:c r="B386" s="86" t="str">
        <x:f>IF($P386="","",INDEX(Tasks!$B$10:$B$1941,$P386))</x:f>
        <x:v>Cycle 1</x:v>
      </x:c>
      <x:c r="C386" s="86" t="str">
        <x:f>IF($P386="","",INDEX(Tasks!$C$10:$C$1941,$P386))</x:f>
        <x:v>Phase 1</x:v>
      </x:c>
      <x:c r="D386" s="86" t="str">
        <x:f>IF($P386="","",INDEX(Tasks!$D$10:$D$1941,$P386))</x:f>
        <x:v>Auto</x:v>
      </x:c>
      <x:c r="E386" s="86"/>
      <x:c r="F386" s="86" t="str">
        <x:f>IF($P386="","",INDEX(Tasks!$E$10:$E$1941,$P386))</x:f>
        <x:v>Research &amp; Analysis</x:v>
      </x:c>
      <x:c r="G386" s="86"/>
      <x:c r="H386" s="14" t="str">
        <x:f>IF($P386="","",INDEX(Tasks!$F$10:$F$1941,$P386)&amp;CHAR(10)&amp;INDEX(Tasks!$G$10:$G$1941,$P386))</x:f>
        <x:v>RA.AU.1.1
Begin Research process 2 weeks prior to Cycle start</x:v>
      </x:c>
      <x:c r="I386" s="14"/>
      <x:c r="J386" s="14"/>
      <x:c r="K386" s="14"/>
      <x:c r="L386" s="86" t="str">
        <x:f>IF($P386="","",INDEX(Tasks!$N$10:$N$1941,$P386))</x:f>
        <x:v>Not started</x:v>
      </x:c>
      <x:c r="M386" s="87" t="n">
        <x:f>IF($P386="","",INDEX(Tasks!$J$10:$J$1941,$P386))</x:f>
        <x:v>46009</x:v>
      </x:c>
      <x:c r="N386" s="85" t="str">
        <x:f>IF($P386="","",HYPERLINK("#'"&amp;INDEX(Tasks!$T$10:$T$1941,$P386)&amp;"'!A"&amp;INDEX(Tasks!$U$10:$U$1941,$P386),"Open"))</x:f>
        <x:v>Open</x:v>
      </x:c>
      <x:c r="O386" s="14"/>
      <x:c r="P386" s="14" t="n">
        <x:f>IF(365&gt;$B$10,"",MATCH(365,Tasks!$S$10:$S$1941,0))</x:f>
        <x:v>729</x:v>
      </x:c>
    </x:row>
    <x:row r="387" ht="58" customHeight="1">
      <x:c r="B387" s="86" t="str">
        <x:f>IF($P387="","",INDEX(Tasks!$B$10:$B$1941,$P387))</x:f>
        <x:v>Cycle 1</x:v>
      </x:c>
      <x:c r="C387" s="86" t="str">
        <x:f>IF($P387="","",INDEX(Tasks!$C$10:$C$1941,$P387))</x:f>
        <x:v>Phase 1</x:v>
      </x:c>
      <x:c r="D387" s="86" t="str">
        <x:f>IF($P387="","",INDEX(Tasks!$D$10:$D$1941,$P387))</x:f>
        <x:v>Auto</x:v>
      </x:c>
      <x:c r="E387" s="86"/>
      <x:c r="F387" s="86" t="str">
        <x:f>IF($P387="","",INDEX(Tasks!$E$10:$E$1941,$P387))</x:f>
        <x:v>Research &amp; Analysis</x:v>
      </x:c>
      <x:c r="G387" s="86"/>
      <x:c r="H387" s="14" t="str">
        <x:f>IF($P387="","",INDEX(Tasks!$F$10:$F$1941,$P387)&amp;CHAR(10)&amp;INDEX(Tasks!$G$10:$G$1941,$P387))</x:f>
        <x:v>RA.AU.1.2
Conduct initial assessment of each topic recommendation from SharePoint list</x:v>
      </x:c>
      <x:c r="I387" s="14"/>
      <x:c r="J387" s="14"/>
      <x:c r="K387" s="14"/>
      <x:c r="L387" s="86" t="str">
        <x:f>IF($P387="","",INDEX(Tasks!$N$10:$N$1941,$P387))</x:f>
        <x:v>Not started</x:v>
      </x:c>
      <x:c r="M387" s="87" t="n">
        <x:f>IF($P387="","",INDEX(Tasks!$J$10:$J$1941,$P387))</x:f>
        <x:v>46112</x:v>
      </x:c>
      <x:c r="N387" s="85" t="str">
        <x:f>IF($P387="","",HYPERLINK("#'"&amp;INDEX(Tasks!$T$10:$T$1941,$P387)&amp;"'!A"&amp;INDEX(Tasks!$U$10:$U$1941,$P387),"Open"))</x:f>
        <x:v>Open</x:v>
      </x:c>
      <x:c r="O387" s="14"/>
      <x:c r="P387" s="14" t="n">
        <x:f>IF(366&gt;$B$10,"",MATCH(366,Tasks!$S$10:$S$1941,0))</x:f>
        <x:v>730</x:v>
      </x:c>
    </x:row>
    <x:row r="388" ht="58" customHeight="1">
      <x:c r="B388" s="86" t="str">
        <x:f>IF($P388="","",INDEX(Tasks!$B$10:$B$1941,$P388))</x:f>
        <x:v>Cycle 1</x:v>
      </x:c>
      <x:c r="C388" s="86" t="str">
        <x:f>IF($P388="","",INDEX(Tasks!$C$10:$C$1941,$P388))</x:f>
        <x:v>Phase 1</x:v>
      </x:c>
      <x:c r="D388" s="86" t="str">
        <x:f>IF($P388="","",INDEX(Tasks!$D$10:$D$1941,$P388))</x:f>
        <x:v>Auto</x:v>
      </x:c>
      <x:c r="E388" s="86"/>
      <x:c r="F388" s="86" t="str">
        <x:f>IF($P388="","",INDEX(Tasks!$E$10:$E$1941,$P388))</x:f>
        <x:v>Research &amp; Analysis</x:v>
      </x:c>
      <x:c r="G388" s="86"/>
      <x:c r="H388" s="14" t="str">
        <x:f>IF($P388="","",INDEX(Tasks!$F$10:$F$1941,$P388)&amp;CHAR(10)&amp;INDEX(Tasks!$G$10:$G$1941,$P388))</x:f>
        <x:v>RA.AU.1.3
Identify best topic for Cycle</x:v>
      </x:c>
      <x:c r="I388" s="14"/>
      <x:c r="J388" s="14"/>
      <x:c r="K388" s="14"/>
      <x:c r="L388" s="86" t="str">
        <x:f>IF($P388="","",INDEX(Tasks!$N$10:$N$1941,$P388))</x:f>
        <x:v>Not started</x:v>
      </x:c>
      <x:c r="M388" s="87" t="n">
        <x:f>IF($P388="","",INDEX(Tasks!$J$10:$J$1941,$P388))</x:f>
        <x:v>46112</x:v>
      </x:c>
      <x:c r="N388" s="85" t="str">
        <x:f>IF($P388="","",HYPERLINK("#'"&amp;INDEX(Tasks!$T$10:$T$1941,$P388)&amp;"'!A"&amp;INDEX(Tasks!$U$10:$U$1941,$P388),"Open"))</x:f>
        <x:v>Open</x:v>
      </x:c>
      <x:c r="O388" s="14"/>
      <x:c r="P388" s="14" t="n">
        <x:f>IF(367&gt;$B$10,"",MATCH(367,Tasks!$S$10:$S$1941,0))</x:f>
        <x:v>731</x:v>
      </x:c>
    </x:row>
    <x:row r="389" ht="58" customHeight="1">
      <x:c r="B389" s="86" t="str">
        <x:f>IF($P389="","",INDEX(Tasks!$B$10:$B$1941,$P389))</x:f>
        <x:v>Cycle 1</x:v>
      </x:c>
      <x:c r="C389" s="86" t="str">
        <x:f>IF($P389="","",INDEX(Tasks!$C$10:$C$1941,$P389))</x:f>
        <x:v>Phase 1</x:v>
      </x:c>
      <x:c r="D389" s="86" t="str">
        <x:f>IF($P389="","",INDEX(Tasks!$D$10:$D$1941,$P389))</x:f>
        <x:v>Auto</x:v>
      </x:c>
      <x:c r="E389" s="86"/>
      <x:c r="F389" s="86" t="str">
        <x:f>IF($P389="","",INDEX(Tasks!$E$10:$E$1941,$P389))</x:f>
        <x:v>Research &amp; Analysis</x:v>
      </x:c>
      <x:c r="G389" s="86"/>
      <x:c r="H389" s="14" t="str">
        <x:f>IF($P389="","",INDEX(Tasks!$F$10:$F$1941,$P389)&amp;CHAR(10)&amp;INDEX(Tasks!$G$10:$G$1941,$P389))</x:f>
        <x:v>RA.AU.1.4
Identify backup topic for Cycle</x:v>
      </x:c>
      <x:c r="I389" s="14"/>
      <x:c r="J389" s="14"/>
      <x:c r="K389" s="14"/>
      <x:c r="L389" s="86" t="str">
        <x:f>IF($P389="","",INDEX(Tasks!$N$10:$N$1941,$P389))</x:f>
        <x:v>Not started</x:v>
      </x:c>
      <x:c r="M389" s="87" t="n">
        <x:f>IF($P389="","",INDEX(Tasks!$J$10:$J$1941,$P389))</x:f>
        <x:v>46112</x:v>
      </x:c>
      <x:c r="N389" s="85" t="str">
        <x:f>IF($P389="","",HYPERLINK("#'"&amp;INDEX(Tasks!$T$10:$T$1941,$P389)&amp;"'!A"&amp;INDEX(Tasks!$U$10:$U$1941,$P389),"Open"))</x:f>
        <x:v>Open</x:v>
      </x:c>
      <x:c r="O389" s="14"/>
      <x:c r="P389" s="14" t="n">
        <x:f>IF(368&gt;$B$10,"",MATCH(368,Tasks!$S$10:$S$1941,0))</x:f>
        <x:v>732</x:v>
      </x:c>
    </x:row>
    <x:row r="390" ht="58" customHeight="1">
      <x:c r="B390" s="86" t="str">
        <x:f>IF($P390="","",INDEX(Tasks!$B$10:$B$1941,$P390))</x:f>
        <x:v>Cycle 1</x:v>
      </x:c>
      <x:c r="C390" s="86" t="str">
        <x:f>IF($P390="","",INDEX(Tasks!$C$10:$C$1941,$P390))</x:f>
        <x:v>Phase 1</x:v>
      </x:c>
      <x:c r="D390" s="86" t="str">
        <x:f>IF($P390="","",INDEX(Tasks!$D$10:$D$1941,$P390))</x:f>
        <x:v>Auto</x:v>
      </x:c>
      <x:c r="E390" s="86"/>
      <x:c r="F390" s="86" t="str">
        <x:f>IF($P390="","",INDEX(Tasks!$E$10:$E$1941,$P390))</x:f>
        <x:v>Research &amp; Analysis</x:v>
      </x:c>
      <x:c r="G390" s="86"/>
      <x:c r="H390" s="14" t="str">
        <x:f>IF($P390="","",INDEX(Tasks!$F$10:$F$1941,$P390)&amp;CHAR(10)&amp;INDEX(Tasks!$G$10:$G$1941,$P390))</x:f>
        <x:v>RA.AU.1.5
Schedule topic approval meeting with D&amp;I and management</x:v>
      </x:c>
      <x:c r="I390" s="14"/>
      <x:c r="J390" s="14"/>
      <x:c r="K390" s="14"/>
      <x:c r="L390" s="86" t="str">
        <x:f>IF($P390="","",INDEX(Tasks!$N$10:$N$1941,$P390))</x:f>
        <x:v>Not started</x:v>
      </x:c>
      <x:c r="M390" s="87" t="n">
        <x:f>IF($P390="","",INDEX(Tasks!$J$10:$J$1941,$P390))</x:f>
        <x:v>46112</x:v>
      </x:c>
      <x:c r="N390" s="85" t="str">
        <x:f>IF($P390="","",HYPERLINK("#'"&amp;INDEX(Tasks!$T$10:$T$1941,$P390)&amp;"'!A"&amp;INDEX(Tasks!$U$10:$U$1941,$P390),"Open"))</x:f>
        <x:v>Open</x:v>
      </x:c>
      <x:c r="O390" s="14"/>
      <x:c r="P390" s="14" t="n">
        <x:f>IF(369&gt;$B$10,"",MATCH(369,Tasks!$S$10:$S$1941,0))</x:f>
        <x:v>733</x:v>
      </x:c>
    </x:row>
    <x:row r="391" ht="58" customHeight="1">
      <x:c r="B391" s="86" t="str">
        <x:f>IF($P391="","",INDEX(Tasks!$B$10:$B$1941,$P391))</x:f>
        <x:v>Cycle 1</x:v>
      </x:c>
      <x:c r="C391" s="86" t="str">
        <x:f>IF($P391="","",INDEX(Tasks!$C$10:$C$1941,$P391))</x:f>
        <x:v>Phase 1</x:v>
      </x:c>
      <x:c r="D391" s="86" t="str">
        <x:f>IF($P391="","",INDEX(Tasks!$D$10:$D$1941,$P391))</x:f>
        <x:v>Auto</x:v>
      </x:c>
      <x:c r="E391" s="86"/>
      <x:c r="F391" s="86" t="str">
        <x:f>IF($P391="","",INDEX(Tasks!$E$10:$E$1941,$P391))</x:f>
        <x:v>Research &amp; Analysis</x:v>
      </x:c>
      <x:c r="G391" s="86"/>
      <x:c r="H391" s="14" t="str">
        <x:f>IF($P391="","",INDEX(Tasks!$F$10:$F$1941,$P391)&amp;CHAR(10)&amp;INDEX(Tasks!$G$10:$G$1941,$P391))</x:f>
        <x:v>RA.AU.1.6
Present recommended topic to D&amp;I and management for approval</x:v>
      </x:c>
      <x:c r="I391" s="14"/>
      <x:c r="J391" s="14"/>
      <x:c r="K391" s="14"/>
      <x:c r="L391" s="86" t="str">
        <x:f>IF($P391="","",INDEX(Tasks!$N$10:$N$1941,$P391))</x:f>
        <x:v>Not started</x:v>
      </x:c>
      <x:c r="M391" s="87" t="n">
        <x:f>IF($P391="","",INDEX(Tasks!$J$10:$J$1941,$P391))</x:f>
        <x:v>46112</x:v>
      </x:c>
      <x:c r="N391" s="85" t="str">
        <x:f>IF($P391="","",HYPERLINK("#'"&amp;INDEX(Tasks!$T$10:$T$1941,$P391)&amp;"'!A"&amp;INDEX(Tasks!$U$10:$U$1941,$P391),"Open"))</x:f>
        <x:v>Open</x:v>
      </x:c>
      <x:c r="O391" s="14"/>
      <x:c r="P391" s="14" t="n">
        <x:f>IF(370&gt;$B$10,"",MATCH(370,Tasks!$S$10:$S$1941,0))</x:f>
        <x:v>734</x:v>
      </x:c>
    </x:row>
    <x:row r="392" ht="58" customHeight="1">
      <x:c r="B392" s="86" t="str">
        <x:f>IF($P392="","",INDEX(Tasks!$B$10:$B$1941,$P392))</x:f>
        <x:v>Cycle 1</x:v>
      </x:c>
      <x:c r="C392" s="86" t="str">
        <x:f>IF($P392="","",INDEX(Tasks!$C$10:$C$1941,$P392))</x:f>
        <x:v>Phase 1</x:v>
      </x:c>
      <x:c r="D392" s="86" t="str">
        <x:f>IF($P392="","",INDEX(Tasks!$D$10:$D$1941,$P392))</x:f>
        <x:v>Auto</x:v>
      </x:c>
      <x:c r="E392" s="86"/>
      <x:c r="F392" s="86" t="str">
        <x:f>IF($P392="","",INDEX(Tasks!$E$10:$E$1941,$P392))</x:f>
        <x:v>Research &amp; Analysis</x:v>
      </x:c>
      <x:c r="G392" s="86"/>
      <x:c r="H392" s="14" t="str">
        <x:f>IF($P392="","",INDEX(Tasks!$F$10:$F$1941,$P392)&amp;CHAR(10)&amp;INDEX(Tasks!$G$10:$G$1941,$P392))</x:f>
        <x:v>RA.AU.1.7
Obtain formal topic selection approval from management via SharePoint</x:v>
      </x:c>
      <x:c r="I392" s="14"/>
      <x:c r="J392" s="14"/>
      <x:c r="K392" s="14"/>
      <x:c r="L392" s="86" t="str">
        <x:f>IF($P392="","",INDEX(Tasks!$N$10:$N$1941,$P392))</x:f>
        <x:v>Not started</x:v>
      </x:c>
      <x:c r="M392" s="87" t="n">
        <x:f>IF($P392="","",INDEX(Tasks!$J$10:$J$1941,$P392))</x:f>
        <x:v>46112</x:v>
      </x:c>
      <x:c r="N392" s="85" t="str">
        <x:f>IF($P392="","",HYPERLINK("#'"&amp;INDEX(Tasks!$T$10:$T$1941,$P392)&amp;"'!A"&amp;INDEX(Tasks!$U$10:$U$1941,$P392),"Open"))</x:f>
        <x:v>Open</x:v>
      </x:c>
      <x:c r="O392" s="14"/>
      <x:c r="P392" s="14" t="n">
        <x:f>IF(371&gt;$B$10,"",MATCH(371,Tasks!$S$10:$S$1941,0))</x:f>
        <x:v>735</x:v>
      </x:c>
    </x:row>
    <x:row r="393" ht="58" customHeight="1">
      <x:c r="B393" s="86" t="str">
        <x:f>IF($P393="","",INDEX(Tasks!$B$10:$B$1941,$P393))</x:f>
        <x:v>Cycle 1</x:v>
      </x:c>
      <x:c r="C393" s="86" t="str">
        <x:f>IF($P393="","",INDEX(Tasks!$C$10:$C$1941,$P393))</x:f>
        <x:v>Phase 1</x:v>
      </x:c>
      <x:c r="D393" s="86" t="str">
        <x:f>IF($P393="","",INDEX(Tasks!$D$10:$D$1941,$P393))</x:f>
        <x:v>Auto</x:v>
      </x:c>
      <x:c r="E393" s="86"/>
      <x:c r="F393" s="86" t="str">
        <x:f>IF($P393="","",INDEX(Tasks!$E$10:$E$1941,$P393))</x:f>
        <x:v>Research &amp; Analysis</x:v>
      </x:c>
      <x:c r="G393" s="86"/>
      <x:c r="H393" s="14" t="str">
        <x:f>IF($P393="","",INDEX(Tasks!$F$10:$F$1941,$P393)&amp;CHAR(10)&amp;INDEX(Tasks!$G$10:$G$1941,$P393))</x:f>
        <x:v>RA.AU.1.8
Socialize topic selection with product owners and subject matter experts (if known)</x:v>
      </x:c>
      <x:c r="I393" s="14"/>
      <x:c r="J393" s="14"/>
      <x:c r="K393" s="14"/>
      <x:c r="L393" s="86" t="str">
        <x:f>IF($P393="","",INDEX(Tasks!$N$10:$N$1941,$P393))</x:f>
        <x:v>Not started</x:v>
      </x:c>
      <x:c r="M393" s="87" t="n">
        <x:f>IF($P393="","",INDEX(Tasks!$J$10:$J$1941,$P393))</x:f>
        <x:v>46112</x:v>
      </x:c>
      <x:c r="N393" s="85" t="str">
        <x:f>IF($P393="","",HYPERLINK("#'"&amp;INDEX(Tasks!$T$10:$T$1941,$P393)&amp;"'!A"&amp;INDEX(Tasks!$U$10:$U$1941,$P393),"Open"))</x:f>
        <x:v>Open</x:v>
      </x:c>
      <x:c r="O393" s="14"/>
      <x:c r="P393" s="14" t="n">
        <x:f>IF(372&gt;$B$10,"",MATCH(372,Tasks!$S$10:$S$1941,0))</x:f>
        <x:v>736</x:v>
      </x:c>
    </x:row>
    <x:row r="394" ht="58" customHeight="1">
      <x:c r="B394" s="86" t="str">
        <x:f>IF($P394="","",INDEX(Tasks!$B$10:$B$1941,$P394))</x:f>
        <x:v>Cycle 1</x:v>
      </x:c>
      <x:c r="C394" s="86" t="str">
        <x:f>IF($P394="","",INDEX(Tasks!$C$10:$C$1941,$P394))</x:f>
        <x:v>Phase 1</x:v>
      </x:c>
      <x:c r="D394" s="86" t="str">
        <x:f>IF($P394="","",INDEX(Tasks!$D$10:$D$1941,$P394))</x:f>
        <x:v>Auto</x:v>
      </x:c>
      <x:c r="E394" s="86"/>
      <x:c r="F394" s="86" t="str">
        <x:f>IF($P394="","",INDEX(Tasks!$E$10:$E$1941,$P394))</x:f>
        <x:v>Research &amp; Analysis</x:v>
      </x:c>
      <x:c r="G394" s="86"/>
      <x:c r="H394" s="14" t="str">
        <x:f>IF($P394="","",INDEX(Tasks!$F$10:$F$1941,$P394)&amp;CHAR(10)&amp;INDEX(Tasks!$G$10:$G$1941,$P394))</x:f>
        <x:v>RA.AU.1.9
Assign topic researchers</x:v>
      </x:c>
      <x:c r="I394" s="14"/>
      <x:c r="J394" s="14"/>
      <x:c r="K394" s="14"/>
      <x:c r="L394" s="86" t="str">
        <x:f>IF($P394="","",INDEX(Tasks!$N$10:$N$1941,$P394))</x:f>
        <x:v>Not started</x:v>
      </x:c>
      <x:c r="M394" s="87" t="n">
        <x:f>IF($P394="","",INDEX(Tasks!$J$10:$J$1941,$P394))</x:f>
        <x:v>46112</x:v>
      </x:c>
      <x:c r="N394" s="85" t="str">
        <x:f>IF($P394="","",HYPERLINK("#'"&amp;INDEX(Tasks!$T$10:$T$1941,$P394)&amp;"'!A"&amp;INDEX(Tasks!$U$10:$U$1941,$P394),"Open"))</x:f>
        <x:v>Open</x:v>
      </x:c>
      <x:c r="O394" s="14"/>
      <x:c r="P394" s="14" t="n">
        <x:f>IF(373&gt;$B$10,"",MATCH(373,Tasks!$S$10:$S$1941,0))</x:f>
        <x:v>737</x:v>
      </x:c>
    </x:row>
    <x:row r="395" ht="58" customHeight="1">
      <x:c r="B395" s="86" t="str">
        <x:f>IF($P395="","",INDEX(Tasks!$B$10:$B$1941,$P395))</x:f>
        <x:v>Cycle 1</x:v>
      </x:c>
      <x:c r="C395" s="86" t="str">
        <x:f>IF($P395="","",INDEX(Tasks!$C$10:$C$1941,$P395))</x:f>
        <x:v>Phase 2</x:v>
      </x:c>
      <x:c r="D395" s="86" t="str">
        <x:f>IF($P395="","",INDEX(Tasks!$D$10:$D$1941,$P395))</x:f>
        <x:v>Auto</x:v>
      </x:c>
      <x:c r="E395" s="86"/>
      <x:c r="F395" s="86" t="str">
        <x:f>IF($P395="","",INDEX(Tasks!$E$10:$E$1941,$P395))</x:f>
        <x:v>Research &amp; Analysis</x:v>
      </x:c>
      <x:c r="G395" s="86"/>
      <x:c r="H395" s="14" t="str">
        <x:f>IF($P395="","",INDEX(Tasks!$F$10:$F$1941,$P395)&amp;CHAR(10)&amp;INDEX(Tasks!$G$10:$G$1941,$P395))</x:f>
        <x:v>RA.AU.2.1
Review data sources</x:v>
      </x:c>
      <x:c r="I395" s="14"/>
      <x:c r="J395" s="14"/>
      <x:c r="K395" s="14"/>
      <x:c r="L395" s="86" t="str">
        <x:f>IF($P395="","",INDEX(Tasks!$N$10:$N$1941,$P395))</x:f>
        <x:v>Not started</x:v>
      </x:c>
      <x:c r="M395" s="87" t="n">
        <x:f>IF($P395="","",INDEX(Tasks!$J$10:$J$1941,$P395))</x:f>
        <x:v>46112</x:v>
      </x:c>
      <x:c r="N395" s="85" t="str">
        <x:f>IF($P395="","",HYPERLINK("#'"&amp;INDEX(Tasks!$T$10:$T$1941,$P395)&amp;"'!A"&amp;INDEX(Tasks!$U$10:$U$1941,$P395),"Open"))</x:f>
        <x:v>Open</x:v>
      </x:c>
      <x:c r="O395" s="14"/>
      <x:c r="P395" s="14" t="n">
        <x:f>IF(374&gt;$B$10,"",MATCH(374,Tasks!$S$10:$S$1941,0))</x:f>
        <x:v>738</x:v>
      </x:c>
    </x:row>
    <x:row r="396" ht="58" customHeight="1">
      <x:c r="B396" s="86" t="str">
        <x:f>IF($P396="","",INDEX(Tasks!$B$10:$B$1941,$P396))</x:f>
        <x:v>Cycle 1</x:v>
      </x:c>
      <x:c r="C396" s="86" t="str">
        <x:f>IF($P396="","",INDEX(Tasks!$C$10:$C$1941,$P396))</x:f>
        <x:v>Phase 2</x:v>
      </x:c>
      <x:c r="D396" s="86" t="str">
        <x:f>IF($P396="","",INDEX(Tasks!$D$10:$D$1941,$P396))</x:f>
        <x:v>Auto</x:v>
      </x:c>
      <x:c r="E396" s="86"/>
      <x:c r="F396" s="86" t="str">
        <x:f>IF($P396="","",INDEX(Tasks!$E$10:$E$1941,$P396))</x:f>
        <x:v>Research &amp; Analysis</x:v>
      </x:c>
      <x:c r="G396" s="86"/>
      <x:c r="H396" s="14" t="str">
        <x:f>IF($P396="","",INDEX(Tasks!$F$10:$F$1941,$P396)&amp;CHAR(10)&amp;INDEX(Tasks!$G$10:$G$1941,$P396))</x:f>
        <x:v>RA.AU.2.2
Review relevant policies and procedures</x:v>
      </x:c>
      <x:c r="I396" s="14"/>
      <x:c r="J396" s="14"/>
      <x:c r="K396" s="14"/>
      <x:c r="L396" s="86" t="str">
        <x:f>IF($P396="","",INDEX(Tasks!$N$10:$N$1941,$P396))</x:f>
        <x:v>Not started</x:v>
      </x:c>
      <x:c r="M396" s="87" t="n">
        <x:f>IF($P396="","",INDEX(Tasks!$J$10:$J$1941,$P396))</x:f>
        <x:v>46112</x:v>
      </x:c>
      <x:c r="N396" s="85" t="str">
        <x:f>IF($P396="","",HYPERLINK("#'"&amp;INDEX(Tasks!$T$10:$T$1941,$P396)&amp;"'!A"&amp;INDEX(Tasks!$U$10:$U$1941,$P396),"Open"))</x:f>
        <x:v>Open</x:v>
      </x:c>
      <x:c r="O396" s="14"/>
      <x:c r="P396" s="14" t="n">
        <x:f>IF(375&gt;$B$10,"",MATCH(375,Tasks!$S$10:$S$1941,0))</x:f>
        <x:v>739</x:v>
      </x:c>
    </x:row>
    <x:row r="397" ht="58" customHeight="1">
      <x:c r="B397" s="86" t="str">
        <x:f>IF($P397="","",INDEX(Tasks!$B$10:$B$1941,$P397))</x:f>
        <x:v>Cycle 1</x:v>
      </x:c>
      <x:c r="C397" s="86" t="str">
        <x:f>IF($P397="","",INDEX(Tasks!$C$10:$C$1941,$P397))</x:f>
        <x:v>Phase 2</x:v>
      </x:c>
      <x:c r="D397" s="86" t="str">
        <x:f>IF($P397="","",INDEX(Tasks!$D$10:$D$1941,$P397))</x:f>
        <x:v>Auto</x:v>
      </x:c>
      <x:c r="E397" s="86"/>
      <x:c r="F397" s="86" t="str">
        <x:f>IF($P397="","",INDEX(Tasks!$E$10:$E$1941,$P397))</x:f>
        <x:v>Research &amp; Analysis</x:v>
      </x:c>
      <x:c r="G397" s="86"/>
      <x:c r="H397" s="14" t="str">
        <x:f>IF($P397="","",INDEX(Tasks!$F$10:$F$1941,$P397)&amp;CHAR(10)&amp;INDEX(Tasks!$G$10:$G$1941,$P397))</x:f>
        <x:v>RA.AU.2.3
Meet with SMEs to gain business insight and clarify questions</x:v>
      </x:c>
      <x:c r="I397" s="14"/>
      <x:c r="J397" s="14"/>
      <x:c r="K397" s="14"/>
      <x:c r="L397" s="86" t="str">
        <x:f>IF($P397="","",INDEX(Tasks!$N$10:$N$1941,$P397))</x:f>
        <x:v>Not started</x:v>
      </x:c>
      <x:c r="M397" s="87" t="n">
        <x:f>IF($P397="","",INDEX(Tasks!$J$10:$J$1941,$P397))</x:f>
        <x:v>46112</x:v>
      </x:c>
      <x:c r="N397" s="85" t="str">
        <x:f>IF($P397="","",HYPERLINK("#'"&amp;INDEX(Tasks!$T$10:$T$1941,$P397)&amp;"'!A"&amp;INDEX(Tasks!$U$10:$U$1941,$P397),"Open"))</x:f>
        <x:v>Open</x:v>
      </x:c>
      <x:c r="O397" s="14"/>
      <x:c r="P397" s="14" t="n">
        <x:f>IF(376&gt;$B$10,"",MATCH(376,Tasks!$S$10:$S$1941,0))</x:f>
        <x:v>740</x:v>
      </x:c>
    </x:row>
    <x:row r="398" ht="58" customHeight="1">
      <x:c r="B398" s="86" t="str">
        <x:f>IF($P398="","",INDEX(Tasks!$B$10:$B$1941,$P398))</x:f>
        <x:v>Cycle 1</x:v>
      </x:c>
      <x:c r="C398" s="86" t="str">
        <x:f>IF($P398="","",INDEX(Tasks!$C$10:$C$1941,$P398))</x:f>
        <x:v>Phase 2</x:v>
      </x:c>
      <x:c r="D398" s="86" t="str">
        <x:f>IF($P398="","",INDEX(Tasks!$D$10:$D$1941,$P398))</x:f>
        <x:v>Auto</x:v>
      </x:c>
      <x:c r="E398" s="86"/>
      <x:c r="F398" s="86" t="str">
        <x:f>IF($P398="","",INDEX(Tasks!$E$10:$E$1941,$P398))</x:f>
        <x:v>Research &amp; Analysis</x:v>
      </x:c>
      <x:c r="G398" s="86"/>
      <x:c r="H398" s="14" t="str">
        <x:f>IF($P398="","",INDEX(Tasks!$F$10:$F$1941,$P398)&amp;CHAR(10)&amp;INDEX(Tasks!$G$10:$G$1941,$P398))</x:f>
        <x:v>RA.AU.2.4
Establish and maintain a recurring meeting with D&amp;I to discuss Cycle progress</x:v>
      </x:c>
      <x:c r="I398" s="14"/>
      <x:c r="J398" s="14"/>
      <x:c r="K398" s="14"/>
      <x:c r="L398" s="86" t="str">
        <x:f>IF($P398="","",INDEX(Tasks!$N$10:$N$1941,$P398))</x:f>
        <x:v>Not started</x:v>
      </x:c>
      <x:c r="M398" s="87" t="n">
        <x:f>IF($P398="","",INDEX(Tasks!$J$10:$J$1941,$P398))</x:f>
        <x:v>46112</x:v>
      </x:c>
      <x:c r="N398" s="85" t="str">
        <x:f>IF($P398="","",HYPERLINK("#'"&amp;INDEX(Tasks!$T$10:$T$1941,$P398)&amp;"'!A"&amp;INDEX(Tasks!$U$10:$U$1941,$P398),"Open"))</x:f>
        <x:v>Open</x:v>
      </x:c>
      <x:c r="O398" s="14"/>
      <x:c r="P398" s="14" t="n">
        <x:f>IF(377&gt;$B$10,"",MATCH(377,Tasks!$S$10:$S$1941,0))</x:f>
        <x:v>741</x:v>
      </x:c>
    </x:row>
    <x:row r="399" ht="58" customHeight="1">
      <x:c r="B399" s="86" t="str">
        <x:f>IF($P399="","",INDEX(Tasks!$B$10:$B$1941,$P399))</x:f>
        <x:v>Cycle 1</x:v>
      </x:c>
      <x:c r="C399" s="86" t="str">
        <x:f>IF($P399="","",INDEX(Tasks!$C$10:$C$1941,$P399))</x:f>
        <x:v>Phase 2</x:v>
      </x:c>
      <x:c r="D399" s="86" t="str">
        <x:f>IF($P399="","",INDEX(Tasks!$D$10:$D$1941,$P399))</x:f>
        <x:v>Auto</x:v>
      </x:c>
      <x:c r="E399" s="86"/>
      <x:c r="F399" s="86" t="str">
        <x:f>IF($P399="","",INDEX(Tasks!$E$10:$E$1941,$P399))</x:f>
        <x:v>Research &amp; Analysis</x:v>
      </x:c>
      <x:c r="G399" s="86"/>
      <x:c r="H399" s="14" t="str">
        <x:f>IF($P399="","",INDEX(Tasks!$F$10:$F$1941,$P399)&amp;CHAR(10)&amp;INDEX(Tasks!$G$10:$G$1941,$P399))</x:f>
        <x:v>RA.AU.2.5
Perform data testing and sampling</x:v>
      </x:c>
      <x:c r="I399" s="14"/>
      <x:c r="J399" s="14"/>
      <x:c r="K399" s="14"/>
      <x:c r="L399" s="86" t="str">
        <x:f>IF($P399="","",INDEX(Tasks!$N$10:$N$1941,$P399))</x:f>
        <x:v>Not started</x:v>
      </x:c>
      <x:c r="M399" s="87" t="n">
        <x:f>IF($P399="","",INDEX(Tasks!$J$10:$J$1941,$P399))</x:f>
        <x:v>46112</x:v>
      </x:c>
      <x:c r="N399" s="85" t="str">
        <x:f>IF($P399="","",HYPERLINK("#'"&amp;INDEX(Tasks!$T$10:$T$1941,$P399)&amp;"'!A"&amp;INDEX(Tasks!$U$10:$U$1941,$P399),"Open"))</x:f>
        <x:v>Open</x:v>
      </x:c>
      <x:c r="O399" s="14"/>
      <x:c r="P399" s="14" t="n">
        <x:f>IF(378&gt;$B$10,"",MATCH(378,Tasks!$S$10:$S$1941,0))</x:f>
        <x:v>742</x:v>
      </x:c>
    </x:row>
    <x:row r="400" ht="58" customHeight="1">
      <x:c r="B400" s="86" t="str">
        <x:f>IF($P400="","",INDEX(Tasks!$B$10:$B$1941,$P400))</x:f>
        <x:v>Cycle 1</x:v>
      </x:c>
      <x:c r="C400" s="86" t="str">
        <x:f>IF($P400="","",INDEX(Tasks!$C$10:$C$1941,$P400))</x:f>
        <x:v>Phase 2</x:v>
      </x:c>
      <x:c r="D400" s="86" t="str">
        <x:f>IF($P400="","",INDEX(Tasks!$D$10:$D$1941,$P400))</x:f>
        <x:v>Auto</x:v>
      </x:c>
      <x:c r="E400" s="86"/>
      <x:c r="F400" s="86" t="str">
        <x:f>IF($P400="","",INDEX(Tasks!$E$10:$E$1941,$P400))</x:f>
        <x:v>Research &amp; Analysis</x:v>
      </x:c>
      <x:c r="G400" s="86"/>
      <x:c r="H400" s="14" t="str">
        <x:f>IF($P400="","",INDEX(Tasks!$F$10:$F$1941,$P400)&amp;CHAR(10)&amp;INDEX(Tasks!$G$10:$G$1941,$P400))</x:f>
        <x:v>RA.AU.2.6
Complete Positive Testing</x:v>
      </x:c>
      <x:c r="I400" s="14"/>
      <x:c r="J400" s="14"/>
      <x:c r="K400" s="14"/>
      <x:c r="L400" s="86" t="str">
        <x:f>IF($P400="","",INDEX(Tasks!$N$10:$N$1941,$P400))</x:f>
        <x:v>Not started</x:v>
      </x:c>
      <x:c r="M400" s="87" t="n">
        <x:f>IF($P400="","",INDEX(Tasks!$J$10:$J$1941,$P400))</x:f>
        <x:v>46112</x:v>
      </x:c>
      <x:c r="N400" s="85" t="str">
        <x:f>IF($P400="","",HYPERLINK("#'"&amp;INDEX(Tasks!$T$10:$T$1941,$P400)&amp;"'!A"&amp;INDEX(Tasks!$U$10:$U$1941,$P400),"Open"))</x:f>
        <x:v>Open</x:v>
      </x:c>
      <x:c r="O400" s="14"/>
      <x:c r="P400" s="14" t="n">
        <x:f>IF(379&gt;$B$10,"",MATCH(379,Tasks!$S$10:$S$1941,0))</x:f>
        <x:v>743</x:v>
      </x:c>
    </x:row>
    <x:row r="401" ht="58" customHeight="1">
      <x:c r="B401" s="86" t="str">
        <x:f>IF($P401="","",INDEX(Tasks!$B$10:$B$1941,$P401))</x:f>
        <x:v>Cycle 1</x:v>
      </x:c>
      <x:c r="C401" s="86" t="str">
        <x:f>IF($P401="","",INDEX(Tasks!$C$10:$C$1941,$P401))</x:f>
        <x:v>Phase 2</x:v>
      </x:c>
      <x:c r="D401" s="86" t="str">
        <x:f>IF($P401="","",INDEX(Tasks!$D$10:$D$1941,$P401))</x:f>
        <x:v>Auto</x:v>
      </x:c>
      <x:c r="E401" s="86"/>
      <x:c r="F401" s="86" t="str">
        <x:f>IF($P401="","",INDEX(Tasks!$E$10:$E$1941,$P401))</x:f>
        <x:v>Research &amp; Analysis</x:v>
      </x:c>
      <x:c r="G401" s="86"/>
      <x:c r="H401" s="14" t="str">
        <x:f>IF($P401="","",INDEX(Tasks!$F$10:$F$1941,$P401)&amp;CHAR(10)&amp;INDEX(Tasks!$G$10:$G$1941,$P401))</x:f>
        <x:v>RA.AU.2.7
Complete Negative Testing</x:v>
      </x:c>
      <x:c r="I401" s="14"/>
      <x:c r="J401" s="14"/>
      <x:c r="K401" s="14"/>
      <x:c r="L401" s="86" t="str">
        <x:f>IF($P401="","",INDEX(Tasks!$N$10:$N$1941,$P401))</x:f>
        <x:v>Not started</x:v>
      </x:c>
      <x:c r="M401" s="87" t="n">
        <x:f>IF($P401="","",INDEX(Tasks!$J$10:$J$1941,$P401))</x:f>
        <x:v>46112</x:v>
      </x:c>
      <x:c r="N401" s="85" t="str">
        <x:f>IF($P401="","",HYPERLINK("#'"&amp;INDEX(Tasks!$T$10:$T$1941,$P401)&amp;"'!A"&amp;INDEX(Tasks!$U$10:$U$1941,$P401),"Open"))</x:f>
        <x:v>Open</x:v>
      </x:c>
      <x:c r="O401" s="14"/>
      <x:c r="P401" s="14" t="n">
        <x:f>IF(380&gt;$B$10,"",MATCH(380,Tasks!$S$10:$S$1941,0))</x:f>
        <x:v>744</x:v>
      </x:c>
    </x:row>
    <x:row r="402" ht="58" customHeight="1">
      <x:c r="B402" s="86" t="str">
        <x:f>IF($P402="","",INDEX(Tasks!$B$10:$B$1941,$P402))</x:f>
        <x:v>Cycle 1</x:v>
      </x:c>
      <x:c r="C402" s="86" t="str">
        <x:f>IF($P402="","",INDEX(Tasks!$C$10:$C$1941,$P402))</x:f>
        <x:v>Phase 2</x:v>
      </x:c>
      <x:c r="D402" s="86" t="str">
        <x:f>IF($P402="","",INDEX(Tasks!$D$10:$D$1941,$P402))</x:f>
        <x:v>Auto</x:v>
      </x:c>
      <x:c r="E402" s="86"/>
      <x:c r="F402" s="86" t="str">
        <x:f>IF($P402="","",INDEX(Tasks!$E$10:$E$1941,$P402))</x:f>
        <x:v>Research &amp; Analysis</x:v>
      </x:c>
      <x:c r="G402" s="86"/>
      <x:c r="H402" s="14" t="str">
        <x:f>IF($P402="","",INDEX(Tasks!$F$10:$F$1941,$P402)&amp;CHAR(10)&amp;INDEX(Tasks!$G$10:$G$1941,$P402))</x:f>
        <x:v>RA.AU.2.8
Request additional data (as needed)</x:v>
      </x:c>
      <x:c r="I402" s="14"/>
      <x:c r="J402" s="14"/>
      <x:c r="K402" s="14"/>
      <x:c r="L402" s="86" t="str">
        <x:f>IF($P402="","",INDEX(Tasks!$N$10:$N$1941,$P402))</x:f>
        <x:v>Not started</x:v>
      </x:c>
      <x:c r="M402" s="87" t="n">
        <x:f>IF($P402="","",INDEX(Tasks!$J$10:$J$1941,$P402))</x:f>
        <x:v>46112</x:v>
      </x:c>
      <x:c r="N402" s="85" t="str">
        <x:f>IF($P402="","",HYPERLINK("#'"&amp;INDEX(Tasks!$T$10:$T$1941,$P402)&amp;"'!A"&amp;INDEX(Tasks!$U$10:$U$1941,$P402),"Open"))</x:f>
        <x:v>Open</x:v>
      </x:c>
      <x:c r="O402" s="14"/>
      <x:c r="P402" s="14" t="n">
        <x:f>IF(381&gt;$B$10,"",MATCH(381,Tasks!$S$10:$S$1941,0))</x:f>
        <x:v>745</x:v>
      </x:c>
    </x:row>
    <x:row r="403" ht="58" customHeight="1">
      <x:c r="B403" s="86" t="str">
        <x:f>IF($P403="","",INDEX(Tasks!$B$10:$B$1941,$P403))</x:f>
        <x:v>Cycle 1</x:v>
      </x:c>
      <x:c r="C403" s="86" t="str">
        <x:f>IF($P403="","",INDEX(Tasks!$C$10:$C$1941,$P403))</x:f>
        <x:v>Phase 2</x:v>
      </x:c>
      <x:c r="D403" s="86" t="str">
        <x:f>IF($P403="","",INDEX(Tasks!$D$10:$D$1941,$P403))</x:f>
        <x:v>Auto</x:v>
      </x:c>
      <x:c r="E403" s="86"/>
      <x:c r="F403" s="86" t="str">
        <x:f>IF($P403="","",INDEX(Tasks!$E$10:$E$1941,$P403))</x:f>
        <x:v>Research &amp; Analysis</x:v>
      </x:c>
      <x:c r="G403" s="86"/>
      <x:c r="H403" s="14" t="str">
        <x:f>IF($P403="","",INDEX(Tasks!$F$10:$F$1941,$P403)&amp;CHAR(10)&amp;INDEX(Tasks!$G$10:$G$1941,$P403))</x:f>
        <x:v>RA.AU.2.9
Validate or disprove initial hypothesis assumptions</x:v>
      </x:c>
      <x:c r="I403" s="14"/>
      <x:c r="J403" s="14"/>
      <x:c r="K403" s="14"/>
      <x:c r="L403" s="86" t="str">
        <x:f>IF($P403="","",INDEX(Tasks!$N$10:$N$1941,$P403))</x:f>
        <x:v>Not started</x:v>
      </x:c>
      <x:c r="M403" s="87" t="n">
        <x:f>IF($P403="","",INDEX(Tasks!$J$10:$J$1941,$P403))</x:f>
        <x:v>46112</x:v>
      </x:c>
      <x:c r="N403" s="85" t="str">
        <x:f>IF($P403="","",HYPERLINK("#'"&amp;INDEX(Tasks!$T$10:$T$1941,$P403)&amp;"'!A"&amp;INDEX(Tasks!$U$10:$U$1941,$P403),"Open"))</x:f>
        <x:v>Open</x:v>
      </x:c>
      <x:c r="O403" s="14"/>
      <x:c r="P403" s="14" t="n">
        <x:f>IF(382&gt;$B$10,"",MATCH(382,Tasks!$S$10:$S$1941,0))</x:f>
        <x:v>746</x:v>
      </x:c>
    </x:row>
    <x:row r="404" ht="58" customHeight="1">
      <x:c r="B404" s="86" t="str">
        <x:f>IF($P404="","",INDEX(Tasks!$B$10:$B$1941,$P404))</x:f>
        <x:v>Cycle 1</x:v>
      </x:c>
      <x:c r="C404" s="86" t="str">
        <x:f>IF($P404="","",INDEX(Tasks!$C$10:$C$1941,$P404))</x:f>
        <x:v>Phase 2</x:v>
      </x:c>
      <x:c r="D404" s="86" t="str">
        <x:f>IF($P404="","",INDEX(Tasks!$D$10:$D$1941,$P404))</x:f>
        <x:v>Auto</x:v>
      </x:c>
      <x:c r="E404" s="86"/>
      <x:c r="F404" s="86" t="str">
        <x:f>IF($P404="","",INDEX(Tasks!$E$10:$E$1941,$P404))</x:f>
        <x:v>Research &amp; Analysis</x:v>
      </x:c>
      <x:c r="G404" s="86"/>
      <x:c r="H404" s="14" t="str">
        <x:f>IF($P404="","",INDEX(Tasks!$F$10:$F$1941,$P404)&amp;CHAR(10)&amp;INDEX(Tasks!$G$10:$G$1941,$P404))</x:f>
        <x:v>RA.AU.2.10
Identify and confirm root cause</x:v>
      </x:c>
      <x:c r="I404" s="14"/>
      <x:c r="J404" s="14"/>
      <x:c r="K404" s="14"/>
      <x:c r="L404" s="86" t="str">
        <x:f>IF($P404="","",INDEX(Tasks!$N$10:$N$1941,$P404))</x:f>
        <x:v>Not started</x:v>
      </x:c>
      <x:c r="M404" s="87" t="n">
        <x:f>IF($P404="","",INDEX(Tasks!$J$10:$J$1941,$P404))</x:f>
        <x:v>46112</x:v>
      </x:c>
      <x:c r="N404" s="85" t="str">
        <x:f>IF($P404="","",HYPERLINK("#'"&amp;INDEX(Tasks!$T$10:$T$1941,$P404)&amp;"'!A"&amp;INDEX(Tasks!$U$10:$U$1941,$P404),"Open"))</x:f>
        <x:v>Open</x:v>
      </x:c>
      <x:c r="O404" s="14"/>
      <x:c r="P404" s="14" t="n">
        <x:f>IF(383&gt;$B$10,"",MATCH(383,Tasks!$S$10:$S$1941,0))</x:f>
        <x:v>747</x:v>
      </x:c>
    </x:row>
    <x:row r="405" ht="58" customHeight="1">
      <x:c r="B405" s="86" t="str">
        <x:f>IF($P405="","",INDEX(Tasks!$B$10:$B$1941,$P405))</x:f>
        <x:v>Cycle 1</x:v>
      </x:c>
      <x:c r="C405" s="86" t="str">
        <x:f>IF($P405="","",INDEX(Tasks!$C$10:$C$1941,$P405))</x:f>
        <x:v>Phase 3</x:v>
      </x:c>
      <x:c r="D405" s="86" t="str">
        <x:f>IF($P405="","",INDEX(Tasks!$D$10:$D$1941,$P405))</x:f>
        <x:v>Auto</x:v>
      </x:c>
      <x:c r="E405" s="86"/>
      <x:c r="F405" s="86" t="str">
        <x:f>IF($P405="","",INDEX(Tasks!$E$10:$E$1941,$P405))</x:f>
        <x:v>Research &amp; Analysis</x:v>
      </x:c>
      <x:c r="G405" s="86"/>
      <x:c r="H405" s="14" t="str">
        <x:f>IF($P405="","",INDEX(Tasks!$F$10:$F$1941,$P405)&amp;CHAR(10)&amp;INDEX(Tasks!$G$10:$G$1941,$P405))</x:f>
        <x:v>RA.AU.3.1
Finalize results and supporting documentation</x:v>
      </x:c>
      <x:c r="I405" s="14"/>
      <x:c r="J405" s="14"/>
      <x:c r="K405" s="14"/>
      <x:c r="L405" s="86" t="str">
        <x:f>IF($P405="","",INDEX(Tasks!$N$10:$N$1941,$P405))</x:f>
        <x:v>Not started</x:v>
      </x:c>
      <x:c r="M405" s="87" t="n">
        <x:f>IF($P405="","",INDEX(Tasks!$J$10:$J$1941,$P405))</x:f>
        <x:v>46112</x:v>
      </x:c>
      <x:c r="N405" s="85" t="str">
        <x:f>IF($P405="","",HYPERLINK("#'"&amp;INDEX(Tasks!$T$10:$T$1941,$P405)&amp;"'!A"&amp;INDEX(Tasks!$U$10:$U$1941,$P405),"Open"))</x:f>
        <x:v>Open</x:v>
      </x:c>
      <x:c r="O405" s="14"/>
      <x:c r="P405" s="14" t="n">
        <x:f>IF(384&gt;$B$10,"",MATCH(384,Tasks!$S$10:$S$1941,0))</x:f>
        <x:v>748</x:v>
      </x:c>
    </x:row>
    <x:row r="406" ht="58" customHeight="1">
      <x:c r="B406" s="86" t="str">
        <x:f>IF($P406="","",INDEX(Tasks!$B$10:$B$1941,$P406))</x:f>
        <x:v>Cycle 1</x:v>
      </x:c>
      <x:c r="C406" s="86" t="str">
        <x:f>IF($P406="","",INDEX(Tasks!$C$10:$C$1941,$P406))</x:f>
        <x:v>Phase 3</x:v>
      </x:c>
      <x:c r="D406" s="86" t="str">
        <x:f>IF($P406="","",INDEX(Tasks!$D$10:$D$1941,$P406))</x:f>
        <x:v>Auto</x:v>
      </x:c>
      <x:c r="E406" s="86"/>
      <x:c r="F406" s="86" t="str">
        <x:f>IF($P406="","",INDEX(Tasks!$E$10:$E$1941,$P406))</x:f>
        <x:v>Research &amp; Analysis</x:v>
      </x:c>
      <x:c r="G406" s="86"/>
      <x:c r="H406" s="14" t="str">
        <x:f>IF($P406="","",INDEX(Tasks!$F$10:$F$1941,$P406)&amp;CHAR(10)&amp;INDEX(Tasks!$G$10:$G$1941,$P406))</x:f>
        <x:v>RA.AU.3.2
Maintain and update the evidence package prior to handoff to D&amp;I</x:v>
      </x:c>
      <x:c r="I406" s="14"/>
      <x:c r="J406" s="14"/>
      <x:c r="K406" s="14"/>
      <x:c r="L406" s="86" t="str">
        <x:f>IF($P406="","",INDEX(Tasks!$N$10:$N$1941,$P406))</x:f>
        <x:v>Not started</x:v>
      </x:c>
      <x:c r="M406" s="87" t="n">
        <x:f>IF($P406="","",INDEX(Tasks!$J$10:$J$1941,$P406))</x:f>
        <x:v>46112</x:v>
      </x:c>
      <x:c r="N406" s="85" t="str">
        <x:f>IF($P406="","",HYPERLINK("#'"&amp;INDEX(Tasks!$T$10:$T$1941,$P406)&amp;"'!A"&amp;INDEX(Tasks!$U$10:$U$1941,$P406),"Open"))</x:f>
        <x:v>Open</x:v>
      </x:c>
      <x:c r="O406" s="14"/>
      <x:c r="P406" s="14" t="n">
        <x:f>IF(385&gt;$B$10,"",MATCH(385,Tasks!$S$10:$S$1941,0))</x:f>
        <x:v>749</x:v>
      </x:c>
    </x:row>
    <x:row r="407" ht="58" customHeight="1">
      <x:c r="B407" s="86" t="str">
        <x:f>IF($P407="","",INDEX(Tasks!$B$10:$B$1941,$P407))</x:f>
        <x:v>Cycle 1</x:v>
      </x:c>
      <x:c r="C407" s="86" t="str">
        <x:f>IF($P407="","",INDEX(Tasks!$C$10:$C$1941,$P407))</x:f>
        <x:v>Phase 3</x:v>
      </x:c>
      <x:c r="D407" s="86" t="str">
        <x:f>IF($P407="","",INDEX(Tasks!$D$10:$D$1941,$P407))</x:f>
        <x:v>Auto</x:v>
      </x:c>
      <x:c r="E407" s="86"/>
      <x:c r="F407" s="86" t="str">
        <x:f>IF($P407="","",INDEX(Tasks!$E$10:$E$1941,$P407))</x:f>
        <x:v>Research &amp; Analysis</x:v>
      </x:c>
      <x:c r="G407" s="86"/>
      <x:c r="H407" s="14" t="str">
        <x:f>IF($P407="","",INDEX(Tasks!$F$10:$F$1941,$P407)&amp;CHAR(10)&amp;INDEX(Tasks!$G$10:$G$1941,$P407))</x:f>
        <x:v>RA.AU.3.3
Address any outstanding questions or requests from D&amp;I</x:v>
      </x:c>
      <x:c r="I407" s="14"/>
      <x:c r="J407" s="14"/>
      <x:c r="K407" s="14"/>
      <x:c r="L407" s="86" t="str">
        <x:f>IF($P407="","",INDEX(Tasks!$N$10:$N$1941,$P407))</x:f>
        <x:v>Not started</x:v>
      </x:c>
      <x:c r="M407" s="87" t="n">
        <x:f>IF($P407="","",INDEX(Tasks!$J$10:$J$1941,$P407))</x:f>
        <x:v>46112</x:v>
      </x:c>
      <x:c r="N407" s="85" t="str">
        <x:f>IF($P407="","",HYPERLINK("#'"&amp;INDEX(Tasks!$T$10:$T$1941,$P407)&amp;"'!A"&amp;INDEX(Tasks!$U$10:$U$1941,$P407),"Open"))</x:f>
        <x:v>Open</x:v>
      </x:c>
      <x:c r="O407" s="14"/>
      <x:c r="P407" s="14" t="n">
        <x:f>IF(386&gt;$B$10,"",MATCH(386,Tasks!$S$10:$S$1941,0))</x:f>
        <x:v>750</x:v>
      </x:c>
    </x:row>
    <x:row r="408" ht="58" customHeight="1">
      <x:c r="B408" s="86" t="str">
        <x:f>IF($P408="","",INDEX(Tasks!$B$10:$B$1941,$P408))</x:f>
        <x:v>Cycle 1</x:v>
      </x:c>
      <x:c r="C408" s="86" t="str">
        <x:f>IF($P408="","",INDEX(Tasks!$C$10:$C$1941,$P408))</x:f>
        <x:v>Phase 3</x:v>
      </x:c>
      <x:c r="D408" s="86" t="str">
        <x:f>IF($P408="","",INDEX(Tasks!$D$10:$D$1941,$P408))</x:f>
        <x:v>Auto</x:v>
      </x:c>
      <x:c r="E408" s="86"/>
      <x:c r="F408" s="86" t="str">
        <x:f>IF($P408="","",INDEX(Tasks!$E$10:$E$1941,$P408))</x:f>
        <x:v>Research &amp; Analysis</x:v>
      </x:c>
      <x:c r="G408" s="86"/>
      <x:c r="H408" s="14" t="str">
        <x:f>IF($P408="","",INDEX(Tasks!$F$10:$F$1941,$P408)&amp;CHAR(10)&amp;INDEX(Tasks!$G$10:$G$1941,$P408))</x:f>
        <x:v>RA.AU.3.4
Attend Forum meeting with D&amp;I to assist with answering stakeholder questions (as needed)</x:v>
      </x:c>
      <x:c r="I408" s="14"/>
      <x:c r="J408" s="14"/>
      <x:c r="K408" s="14"/>
      <x:c r="L408" s="86" t="str">
        <x:f>IF($P408="","",INDEX(Tasks!$N$10:$N$1941,$P408))</x:f>
        <x:v>Not started</x:v>
      </x:c>
      <x:c r="M408" s="87" t="str">
        <x:f>IF($P408="","",INDEX(Tasks!$J$10:$J$1941,$P408))</x:f>
      </x:c>
      <x:c r="N408" s="85" t="str">
        <x:f>IF($P408="","",HYPERLINK("#'"&amp;INDEX(Tasks!$T$10:$T$1941,$P408)&amp;"'!A"&amp;INDEX(Tasks!$U$10:$U$1941,$P408),"Open"))</x:f>
        <x:v>Open</x:v>
      </x:c>
      <x:c r="O408" s="14"/>
      <x:c r="P408" s="14" t="n">
        <x:f>IF(387&gt;$B$10,"",MATCH(387,Tasks!$S$10:$S$1941,0))</x:f>
        <x:v>751</x:v>
      </x:c>
    </x:row>
    <x:row r="409" ht="58" customHeight="1">
      <x:c r="B409" s="86" t="str">
        <x:f>IF($P409="","",INDEX(Tasks!$B$10:$B$1941,$P409))</x:f>
        <x:v>Cycle 1</x:v>
      </x:c>
      <x:c r="C409" s="86" t="str">
        <x:f>IF($P409="","",INDEX(Tasks!$C$10:$C$1941,$P409))</x:f>
        <x:v>Phase 1</x:v>
      </x:c>
      <x:c r="D409" s="86" t="str">
        <x:f>IF($P409="","",INDEX(Tasks!$D$10:$D$1941,$P409))</x:f>
        <x:v>Cards</x:v>
      </x:c>
      <x:c r="E409" s="86"/>
      <x:c r="F409" s="86" t="str">
        <x:f>IF($P409="","",INDEX(Tasks!$E$10:$E$1941,$P409))</x:f>
        <x:v>Research &amp; Analysis</x:v>
      </x:c>
      <x:c r="G409" s="86"/>
      <x:c r="H409" s="14" t="str">
        <x:f>IF($P409="","",INDEX(Tasks!$F$10:$F$1941,$P409)&amp;CHAR(10)&amp;INDEX(Tasks!$G$10:$G$1941,$P409))</x:f>
        <x:v>RA.CA.1.1
Begin Research process 2 weeks prior to Cycle start</x:v>
      </x:c>
      <x:c r="I409" s="14"/>
      <x:c r="J409" s="14"/>
      <x:c r="K409" s="14"/>
      <x:c r="L409" s="86" t="str">
        <x:f>IF($P409="","",INDEX(Tasks!$N$10:$N$1941,$P409))</x:f>
        <x:v>Not started</x:v>
      </x:c>
      <x:c r="M409" s="87" t="n">
        <x:f>IF($P409="","",INDEX(Tasks!$J$10:$J$1941,$P409))</x:f>
        <x:v>46009</x:v>
      </x:c>
      <x:c r="N409" s="85" t="str">
        <x:f>IF($P409="","",HYPERLINK("#'"&amp;INDEX(Tasks!$T$10:$T$1941,$P409)&amp;"'!A"&amp;INDEX(Tasks!$U$10:$U$1941,$P409),"Open"))</x:f>
        <x:v>Open</x:v>
      </x:c>
      <x:c r="O409" s="14"/>
      <x:c r="P409" s="14" t="n">
        <x:f>IF(388&gt;$B$10,"",MATCH(388,Tasks!$S$10:$S$1941,0))</x:f>
        <x:v>752</x:v>
      </x:c>
    </x:row>
    <x:row r="410" ht="58" customHeight="1">
      <x:c r="B410" s="86" t="str">
        <x:f>IF($P410="","",INDEX(Tasks!$B$10:$B$1941,$P410))</x:f>
        <x:v>Cycle 1</x:v>
      </x:c>
      <x:c r="C410" s="86" t="str">
        <x:f>IF($P410="","",INDEX(Tasks!$C$10:$C$1941,$P410))</x:f>
        <x:v>Phase 1</x:v>
      </x:c>
      <x:c r="D410" s="86" t="str">
        <x:f>IF($P410="","",INDEX(Tasks!$D$10:$D$1941,$P410))</x:f>
        <x:v>Cards</x:v>
      </x:c>
      <x:c r="E410" s="86"/>
      <x:c r="F410" s="86" t="str">
        <x:f>IF($P410="","",INDEX(Tasks!$E$10:$E$1941,$P410))</x:f>
        <x:v>Research &amp; Analysis</x:v>
      </x:c>
      <x:c r="G410" s="86"/>
      <x:c r="H410" s="14" t="str">
        <x:f>IF($P410="","",INDEX(Tasks!$F$10:$F$1941,$P410)&amp;CHAR(10)&amp;INDEX(Tasks!$G$10:$G$1941,$P410))</x:f>
        <x:v>RA.CA.1.2
Conduct initial assessment of each topic recommendation from SharePoint list</x:v>
      </x:c>
      <x:c r="I410" s="14"/>
      <x:c r="J410" s="14"/>
      <x:c r="K410" s="14"/>
      <x:c r="L410" s="86" t="str">
        <x:f>IF($P410="","",INDEX(Tasks!$N$10:$N$1941,$P410))</x:f>
        <x:v>Not started</x:v>
      </x:c>
      <x:c r="M410" s="87" t="n">
        <x:f>IF($P410="","",INDEX(Tasks!$J$10:$J$1941,$P410))</x:f>
        <x:v>46112</x:v>
      </x:c>
      <x:c r="N410" s="85" t="str">
        <x:f>IF($P410="","",HYPERLINK("#'"&amp;INDEX(Tasks!$T$10:$T$1941,$P410)&amp;"'!A"&amp;INDEX(Tasks!$U$10:$U$1941,$P410),"Open"))</x:f>
        <x:v>Open</x:v>
      </x:c>
      <x:c r="O410" s="14"/>
      <x:c r="P410" s="14" t="n">
        <x:f>IF(389&gt;$B$10,"",MATCH(389,Tasks!$S$10:$S$1941,0))</x:f>
        <x:v>753</x:v>
      </x:c>
    </x:row>
    <x:row r="411" ht="58" customHeight="1">
      <x:c r="B411" s="86" t="str">
        <x:f>IF($P411="","",INDEX(Tasks!$B$10:$B$1941,$P411))</x:f>
        <x:v>Cycle 1</x:v>
      </x:c>
      <x:c r="C411" s="86" t="str">
        <x:f>IF($P411="","",INDEX(Tasks!$C$10:$C$1941,$P411))</x:f>
        <x:v>Phase 1</x:v>
      </x:c>
      <x:c r="D411" s="86" t="str">
        <x:f>IF($P411="","",INDEX(Tasks!$D$10:$D$1941,$P411))</x:f>
        <x:v>Cards</x:v>
      </x:c>
      <x:c r="E411" s="86"/>
      <x:c r="F411" s="86" t="str">
        <x:f>IF($P411="","",INDEX(Tasks!$E$10:$E$1941,$P411))</x:f>
        <x:v>Research &amp; Analysis</x:v>
      </x:c>
      <x:c r="G411" s="86"/>
      <x:c r="H411" s="14" t="str">
        <x:f>IF($P411="","",INDEX(Tasks!$F$10:$F$1941,$P411)&amp;CHAR(10)&amp;INDEX(Tasks!$G$10:$G$1941,$P411))</x:f>
        <x:v>RA.CA.1.3
Identify best topic for Cycle</x:v>
      </x:c>
      <x:c r="I411" s="14"/>
      <x:c r="J411" s="14"/>
      <x:c r="K411" s="14"/>
      <x:c r="L411" s="86" t="str">
        <x:f>IF($P411="","",INDEX(Tasks!$N$10:$N$1941,$P411))</x:f>
        <x:v>Not started</x:v>
      </x:c>
      <x:c r="M411" s="87" t="n">
        <x:f>IF($P411="","",INDEX(Tasks!$J$10:$J$1941,$P411))</x:f>
        <x:v>46112</x:v>
      </x:c>
      <x:c r="N411" s="85" t="str">
        <x:f>IF($P411="","",HYPERLINK("#'"&amp;INDEX(Tasks!$T$10:$T$1941,$P411)&amp;"'!A"&amp;INDEX(Tasks!$U$10:$U$1941,$P411),"Open"))</x:f>
        <x:v>Open</x:v>
      </x:c>
      <x:c r="O411" s="14"/>
      <x:c r="P411" s="14" t="n">
        <x:f>IF(390&gt;$B$10,"",MATCH(390,Tasks!$S$10:$S$1941,0))</x:f>
        <x:v>754</x:v>
      </x:c>
    </x:row>
    <x:row r="412" ht="58" customHeight="1">
      <x:c r="B412" s="86" t="str">
        <x:f>IF($P412="","",INDEX(Tasks!$B$10:$B$1941,$P412))</x:f>
        <x:v>Cycle 1</x:v>
      </x:c>
      <x:c r="C412" s="86" t="str">
        <x:f>IF($P412="","",INDEX(Tasks!$C$10:$C$1941,$P412))</x:f>
        <x:v>Phase 1</x:v>
      </x:c>
      <x:c r="D412" s="86" t="str">
        <x:f>IF($P412="","",INDEX(Tasks!$D$10:$D$1941,$P412))</x:f>
        <x:v>Cards</x:v>
      </x:c>
      <x:c r="E412" s="86"/>
      <x:c r="F412" s="86" t="str">
        <x:f>IF($P412="","",INDEX(Tasks!$E$10:$E$1941,$P412))</x:f>
        <x:v>Research &amp; Analysis</x:v>
      </x:c>
      <x:c r="G412" s="86"/>
      <x:c r="H412" s="14" t="str">
        <x:f>IF($P412="","",INDEX(Tasks!$F$10:$F$1941,$P412)&amp;CHAR(10)&amp;INDEX(Tasks!$G$10:$G$1941,$P412))</x:f>
        <x:v>RA.CA.1.4
Identify backup topic for Cycle</x:v>
      </x:c>
      <x:c r="I412" s="14"/>
      <x:c r="J412" s="14"/>
      <x:c r="K412" s="14"/>
      <x:c r="L412" s="86" t="str">
        <x:f>IF($P412="","",INDEX(Tasks!$N$10:$N$1941,$P412))</x:f>
        <x:v>Not started</x:v>
      </x:c>
      <x:c r="M412" s="87" t="n">
        <x:f>IF($P412="","",INDEX(Tasks!$J$10:$J$1941,$P412))</x:f>
        <x:v>46112</x:v>
      </x:c>
      <x:c r="N412" s="85" t="str">
        <x:f>IF($P412="","",HYPERLINK("#'"&amp;INDEX(Tasks!$T$10:$T$1941,$P412)&amp;"'!A"&amp;INDEX(Tasks!$U$10:$U$1941,$P412),"Open"))</x:f>
        <x:v>Open</x:v>
      </x:c>
      <x:c r="O412" s="14"/>
      <x:c r="P412" s="14" t="n">
        <x:f>IF(391&gt;$B$10,"",MATCH(391,Tasks!$S$10:$S$1941,0))</x:f>
        <x:v>755</x:v>
      </x:c>
    </x:row>
    <x:row r="413" ht="58" customHeight="1">
      <x:c r="B413" s="86" t="str">
        <x:f>IF($P413="","",INDEX(Tasks!$B$10:$B$1941,$P413))</x:f>
        <x:v>Cycle 1</x:v>
      </x:c>
      <x:c r="C413" s="86" t="str">
        <x:f>IF($P413="","",INDEX(Tasks!$C$10:$C$1941,$P413))</x:f>
        <x:v>Phase 1</x:v>
      </x:c>
      <x:c r="D413" s="86" t="str">
        <x:f>IF($P413="","",INDEX(Tasks!$D$10:$D$1941,$P413))</x:f>
        <x:v>Cards</x:v>
      </x:c>
      <x:c r="E413" s="86"/>
      <x:c r="F413" s="86" t="str">
        <x:f>IF($P413="","",INDEX(Tasks!$E$10:$E$1941,$P413))</x:f>
        <x:v>Research &amp; Analysis</x:v>
      </x:c>
      <x:c r="G413" s="86"/>
      <x:c r="H413" s="14" t="str">
        <x:f>IF($P413="","",INDEX(Tasks!$F$10:$F$1941,$P413)&amp;CHAR(10)&amp;INDEX(Tasks!$G$10:$G$1941,$P413))</x:f>
        <x:v>RA.CA.1.5
Schedule topic approval meeting with D&amp;I and management</x:v>
      </x:c>
      <x:c r="I413" s="14"/>
      <x:c r="J413" s="14"/>
      <x:c r="K413" s="14"/>
      <x:c r="L413" s="86" t="str">
        <x:f>IF($P413="","",INDEX(Tasks!$N$10:$N$1941,$P413))</x:f>
        <x:v>Not started</x:v>
      </x:c>
      <x:c r="M413" s="87" t="n">
        <x:f>IF($P413="","",INDEX(Tasks!$J$10:$J$1941,$P413))</x:f>
        <x:v>46112</x:v>
      </x:c>
      <x:c r="N413" s="85" t="str">
        <x:f>IF($P413="","",HYPERLINK("#'"&amp;INDEX(Tasks!$T$10:$T$1941,$P413)&amp;"'!A"&amp;INDEX(Tasks!$U$10:$U$1941,$P413),"Open"))</x:f>
        <x:v>Open</x:v>
      </x:c>
      <x:c r="O413" s="14"/>
      <x:c r="P413" s="14" t="n">
        <x:f>IF(392&gt;$B$10,"",MATCH(392,Tasks!$S$10:$S$1941,0))</x:f>
        <x:v>756</x:v>
      </x:c>
    </x:row>
    <x:row r="414" ht="58" customHeight="1">
      <x:c r="B414" s="86" t="str">
        <x:f>IF($P414="","",INDEX(Tasks!$B$10:$B$1941,$P414))</x:f>
        <x:v>Cycle 1</x:v>
      </x:c>
      <x:c r="C414" s="86" t="str">
        <x:f>IF($P414="","",INDEX(Tasks!$C$10:$C$1941,$P414))</x:f>
        <x:v>Phase 1</x:v>
      </x:c>
      <x:c r="D414" s="86" t="str">
        <x:f>IF($P414="","",INDEX(Tasks!$D$10:$D$1941,$P414))</x:f>
        <x:v>Cards</x:v>
      </x:c>
      <x:c r="E414" s="86"/>
      <x:c r="F414" s="86" t="str">
        <x:f>IF($P414="","",INDEX(Tasks!$E$10:$E$1941,$P414))</x:f>
        <x:v>Research &amp; Analysis</x:v>
      </x:c>
      <x:c r="G414" s="86"/>
      <x:c r="H414" s="14" t="str">
        <x:f>IF($P414="","",INDEX(Tasks!$F$10:$F$1941,$P414)&amp;CHAR(10)&amp;INDEX(Tasks!$G$10:$G$1941,$P414))</x:f>
        <x:v>RA.CA.1.6
Present recommended topic to D&amp;I and management for approval</x:v>
      </x:c>
      <x:c r="I414" s="14"/>
      <x:c r="J414" s="14"/>
      <x:c r="K414" s="14"/>
      <x:c r="L414" s="86" t="str">
        <x:f>IF($P414="","",INDEX(Tasks!$N$10:$N$1941,$P414))</x:f>
        <x:v>Not started</x:v>
      </x:c>
      <x:c r="M414" s="87" t="n">
        <x:f>IF($P414="","",INDEX(Tasks!$J$10:$J$1941,$P414))</x:f>
        <x:v>46112</x:v>
      </x:c>
      <x:c r="N414" s="85" t="str">
        <x:f>IF($P414="","",HYPERLINK("#'"&amp;INDEX(Tasks!$T$10:$T$1941,$P414)&amp;"'!A"&amp;INDEX(Tasks!$U$10:$U$1941,$P414),"Open"))</x:f>
        <x:v>Open</x:v>
      </x:c>
      <x:c r="O414" s="14"/>
      <x:c r="P414" s="14" t="n">
        <x:f>IF(393&gt;$B$10,"",MATCH(393,Tasks!$S$10:$S$1941,0))</x:f>
        <x:v>757</x:v>
      </x:c>
    </x:row>
    <x:row r="415" ht="58" customHeight="1">
      <x:c r="B415" s="86" t="str">
        <x:f>IF($P415="","",INDEX(Tasks!$B$10:$B$1941,$P415))</x:f>
        <x:v>Cycle 1</x:v>
      </x:c>
      <x:c r="C415" s="86" t="str">
        <x:f>IF($P415="","",INDEX(Tasks!$C$10:$C$1941,$P415))</x:f>
        <x:v>Phase 1</x:v>
      </x:c>
      <x:c r="D415" s="86" t="str">
        <x:f>IF($P415="","",INDEX(Tasks!$D$10:$D$1941,$P415))</x:f>
        <x:v>Cards</x:v>
      </x:c>
      <x:c r="E415" s="86"/>
      <x:c r="F415" s="86" t="str">
        <x:f>IF($P415="","",INDEX(Tasks!$E$10:$E$1941,$P415))</x:f>
        <x:v>Research &amp; Analysis</x:v>
      </x:c>
      <x:c r="G415" s="86"/>
      <x:c r="H415" s="14" t="str">
        <x:f>IF($P415="","",INDEX(Tasks!$F$10:$F$1941,$P415)&amp;CHAR(10)&amp;INDEX(Tasks!$G$10:$G$1941,$P415))</x:f>
        <x:v>RA.CA.1.7
Obtain formal topic selection approval from management via SharePoint</x:v>
      </x:c>
      <x:c r="I415" s="14"/>
      <x:c r="J415" s="14"/>
      <x:c r="K415" s="14"/>
      <x:c r="L415" s="86" t="str">
        <x:f>IF($P415="","",INDEX(Tasks!$N$10:$N$1941,$P415))</x:f>
        <x:v>Not started</x:v>
      </x:c>
      <x:c r="M415" s="87" t="n">
        <x:f>IF($P415="","",INDEX(Tasks!$J$10:$J$1941,$P415))</x:f>
        <x:v>46112</x:v>
      </x:c>
      <x:c r="N415" s="85" t="str">
        <x:f>IF($P415="","",HYPERLINK("#'"&amp;INDEX(Tasks!$T$10:$T$1941,$P415)&amp;"'!A"&amp;INDEX(Tasks!$U$10:$U$1941,$P415),"Open"))</x:f>
        <x:v>Open</x:v>
      </x:c>
      <x:c r="O415" s="14"/>
      <x:c r="P415" s="14" t="n">
        <x:f>IF(394&gt;$B$10,"",MATCH(394,Tasks!$S$10:$S$1941,0))</x:f>
        <x:v>758</x:v>
      </x:c>
    </x:row>
    <x:row r="416" ht="58" customHeight="1">
      <x:c r="B416" s="86" t="str">
        <x:f>IF($P416="","",INDEX(Tasks!$B$10:$B$1941,$P416))</x:f>
        <x:v>Cycle 1</x:v>
      </x:c>
      <x:c r="C416" s="86" t="str">
        <x:f>IF($P416="","",INDEX(Tasks!$C$10:$C$1941,$P416))</x:f>
        <x:v>Phase 1</x:v>
      </x:c>
      <x:c r="D416" s="86" t="str">
        <x:f>IF($P416="","",INDEX(Tasks!$D$10:$D$1941,$P416))</x:f>
        <x:v>Cards</x:v>
      </x:c>
      <x:c r="E416" s="86"/>
      <x:c r="F416" s="86" t="str">
        <x:f>IF($P416="","",INDEX(Tasks!$E$10:$E$1941,$P416))</x:f>
        <x:v>Research &amp; Analysis</x:v>
      </x:c>
      <x:c r="G416" s="86"/>
      <x:c r="H416" s="14" t="str">
        <x:f>IF($P416="","",INDEX(Tasks!$F$10:$F$1941,$P416)&amp;CHAR(10)&amp;INDEX(Tasks!$G$10:$G$1941,$P416))</x:f>
        <x:v>RA.CA.1.8
Socialize topic selection with product owners and subject matter experts (if known)</x:v>
      </x:c>
      <x:c r="I416" s="14"/>
      <x:c r="J416" s="14"/>
      <x:c r="K416" s="14"/>
      <x:c r="L416" s="86" t="str">
        <x:f>IF($P416="","",INDEX(Tasks!$N$10:$N$1941,$P416))</x:f>
        <x:v>Not started</x:v>
      </x:c>
      <x:c r="M416" s="87" t="n">
        <x:f>IF($P416="","",INDEX(Tasks!$J$10:$J$1941,$P416))</x:f>
        <x:v>46112</x:v>
      </x:c>
      <x:c r="N416" s="85" t="str">
        <x:f>IF($P416="","",HYPERLINK("#'"&amp;INDEX(Tasks!$T$10:$T$1941,$P416)&amp;"'!A"&amp;INDEX(Tasks!$U$10:$U$1941,$P416),"Open"))</x:f>
        <x:v>Open</x:v>
      </x:c>
      <x:c r="O416" s="14"/>
      <x:c r="P416" s="14" t="n">
        <x:f>IF(395&gt;$B$10,"",MATCH(395,Tasks!$S$10:$S$1941,0))</x:f>
        <x:v>759</x:v>
      </x:c>
    </x:row>
    <x:row r="417" ht="58" customHeight="1">
      <x:c r="B417" s="86" t="str">
        <x:f>IF($P417="","",INDEX(Tasks!$B$10:$B$1941,$P417))</x:f>
        <x:v>Cycle 1</x:v>
      </x:c>
      <x:c r="C417" s="86" t="str">
        <x:f>IF($P417="","",INDEX(Tasks!$C$10:$C$1941,$P417))</x:f>
        <x:v>Phase 1</x:v>
      </x:c>
      <x:c r="D417" s="86" t="str">
        <x:f>IF($P417="","",INDEX(Tasks!$D$10:$D$1941,$P417))</x:f>
        <x:v>Cards</x:v>
      </x:c>
      <x:c r="E417" s="86"/>
      <x:c r="F417" s="86" t="str">
        <x:f>IF($P417="","",INDEX(Tasks!$E$10:$E$1941,$P417))</x:f>
        <x:v>Research &amp; Analysis</x:v>
      </x:c>
      <x:c r="G417" s="86"/>
      <x:c r="H417" s="14" t="str">
        <x:f>IF($P417="","",INDEX(Tasks!$F$10:$F$1941,$P417)&amp;CHAR(10)&amp;INDEX(Tasks!$G$10:$G$1941,$P417))</x:f>
        <x:v>RA.CA.1.9
Assign topic researchers</x:v>
      </x:c>
      <x:c r="I417" s="14"/>
      <x:c r="J417" s="14"/>
      <x:c r="K417" s="14"/>
      <x:c r="L417" s="86" t="str">
        <x:f>IF($P417="","",INDEX(Tasks!$N$10:$N$1941,$P417))</x:f>
        <x:v>Not started</x:v>
      </x:c>
      <x:c r="M417" s="87" t="n">
        <x:f>IF($P417="","",INDEX(Tasks!$J$10:$J$1941,$P417))</x:f>
        <x:v>46112</x:v>
      </x:c>
      <x:c r="N417" s="85" t="str">
        <x:f>IF($P417="","",HYPERLINK("#'"&amp;INDEX(Tasks!$T$10:$T$1941,$P417)&amp;"'!A"&amp;INDEX(Tasks!$U$10:$U$1941,$P417),"Open"))</x:f>
        <x:v>Open</x:v>
      </x:c>
      <x:c r="O417" s="14"/>
      <x:c r="P417" s="14" t="n">
        <x:f>IF(396&gt;$B$10,"",MATCH(396,Tasks!$S$10:$S$1941,0))</x:f>
        <x:v>760</x:v>
      </x:c>
    </x:row>
    <x:row r="418" ht="58" customHeight="1">
      <x:c r="B418" s="86" t="str">
        <x:f>IF($P418="","",INDEX(Tasks!$B$10:$B$1941,$P418))</x:f>
        <x:v>Cycle 1</x:v>
      </x:c>
      <x:c r="C418" s="86" t="str">
        <x:f>IF($P418="","",INDEX(Tasks!$C$10:$C$1941,$P418))</x:f>
        <x:v>Phase 2</x:v>
      </x:c>
      <x:c r="D418" s="86" t="str">
        <x:f>IF($P418="","",INDEX(Tasks!$D$10:$D$1941,$P418))</x:f>
        <x:v>Cards</x:v>
      </x:c>
      <x:c r="E418" s="86"/>
      <x:c r="F418" s="86" t="str">
        <x:f>IF($P418="","",INDEX(Tasks!$E$10:$E$1941,$P418))</x:f>
        <x:v>Research &amp; Analysis</x:v>
      </x:c>
      <x:c r="G418" s="86"/>
      <x:c r="H418" s="14" t="str">
        <x:f>IF($P418="","",INDEX(Tasks!$F$10:$F$1941,$P418)&amp;CHAR(10)&amp;INDEX(Tasks!$G$10:$G$1941,$P418))</x:f>
        <x:v>RA.CA.2.1
Review data sources</x:v>
      </x:c>
      <x:c r="I418" s="14"/>
      <x:c r="J418" s="14"/>
      <x:c r="K418" s="14"/>
      <x:c r="L418" s="86" t="str">
        <x:f>IF($P418="","",INDEX(Tasks!$N$10:$N$1941,$P418))</x:f>
        <x:v>Not started</x:v>
      </x:c>
      <x:c r="M418" s="87" t="n">
        <x:f>IF($P418="","",INDEX(Tasks!$J$10:$J$1941,$P418))</x:f>
        <x:v>46112</x:v>
      </x:c>
      <x:c r="N418" s="85" t="str">
        <x:f>IF($P418="","",HYPERLINK("#'"&amp;INDEX(Tasks!$T$10:$T$1941,$P418)&amp;"'!A"&amp;INDEX(Tasks!$U$10:$U$1941,$P418),"Open"))</x:f>
        <x:v>Open</x:v>
      </x:c>
      <x:c r="O418" s="14"/>
      <x:c r="P418" s="14" t="n">
        <x:f>IF(397&gt;$B$10,"",MATCH(397,Tasks!$S$10:$S$1941,0))</x:f>
        <x:v>761</x:v>
      </x:c>
    </x:row>
    <x:row r="419" ht="58" customHeight="1">
      <x:c r="B419" s="86" t="str">
        <x:f>IF($P419="","",INDEX(Tasks!$B$10:$B$1941,$P419))</x:f>
        <x:v>Cycle 1</x:v>
      </x:c>
      <x:c r="C419" s="86" t="str">
        <x:f>IF($P419="","",INDEX(Tasks!$C$10:$C$1941,$P419))</x:f>
        <x:v>Phase 2</x:v>
      </x:c>
      <x:c r="D419" s="86" t="str">
        <x:f>IF($P419="","",INDEX(Tasks!$D$10:$D$1941,$P419))</x:f>
        <x:v>Cards</x:v>
      </x:c>
      <x:c r="E419" s="86"/>
      <x:c r="F419" s="86" t="str">
        <x:f>IF($P419="","",INDEX(Tasks!$E$10:$E$1941,$P419))</x:f>
        <x:v>Research &amp; Analysis</x:v>
      </x:c>
      <x:c r="G419" s="86"/>
      <x:c r="H419" s="14" t="str">
        <x:f>IF($P419="","",INDEX(Tasks!$F$10:$F$1941,$P419)&amp;CHAR(10)&amp;INDEX(Tasks!$G$10:$G$1941,$P419))</x:f>
        <x:v>RA.CA.2.2
Review relevant policies and procedures</x:v>
      </x:c>
      <x:c r="I419" s="14"/>
      <x:c r="J419" s="14"/>
      <x:c r="K419" s="14"/>
      <x:c r="L419" s="86" t="str">
        <x:f>IF($P419="","",INDEX(Tasks!$N$10:$N$1941,$P419))</x:f>
        <x:v>Not started</x:v>
      </x:c>
      <x:c r="M419" s="87" t="n">
        <x:f>IF($P419="","",INDEX(Tasks!$J$10:$J$1941,$P419))</x:f>
        <x:v>46112</x:v>
      </x:c>
      <x:c r="N419" s="85" t="str">
        <x:f>IF($P419="","",HYPERLINK("#'"&amp;INDEX(Tasks!$T$10:$T$1941,$P419)&amp;"'!A"&amp;INDEX(Tasks!$U$10:$U$1941,$P419),"Open"))</x:f>
        <x:v>Open</x:v>
      </x:c>
      <x:c r="O419" s="14"/>
      <x:c r="P419" s="14" t="n">
        <x:f>IF(398&gt;$B$10,"",MATCH(398,Tasks!$S$10:$S$1941,0))</x:f>
        <x:v>762</x:v>
      </x:c>
    </x:row>
    <x:row r="420" ht="58" customHeight="1">
      <x:c r="B420" s="86" t="str">
        <x:f>IF($P420="","",INDEX(Tasks!$B$10:$B$1941,$P420))</x:f>
        <x:v>Cycle 1</x:v>
      </x:c>
      <x:c r="C420" s="86" t="str">
        <x:f>IF($P420="","",INDEX(Tasks!$C$10:$C$1941,$P420))</x:f>
        <x:v>Phase 2</x:v>
      </x:c>
      <x:c r="D420" s="86" t="str">
        <x:f>IF($P420="","",INDEX(Tasks!$D$10:$D$1941,$P420))</x:f>
        <x:v>Cards</x:v>
      </x:c>
      <x:c r="E420" s="86"/>
      <x:c r="F420" s="86" t="str">
        <x:f>IF($P420="","",INDEX(Tasks!$E$10:$E$1941,$P420))</x:f>
        <x:v>Research &amp; Analysis</x:v>
      </x:c>
      <x:c r="G420" s="86"/>
      <x:c r="H420" s="14" t="str">
        <x:f>IF($P420="","",INDEX(Tasks!$F$10:$F$1941,$P420)&amp;CHAR(10)&amp;INDEX(Tasks!$G$10:$G$1941,$P420))</x:f>
        <x:v>RA.CA.2.3
Meet with SMEs to gain business insight and clarify questions</x:v>
      </x:c>
      <x:c r="I420" s="14"/>
      <x:c r="J420" s="14"/>
      <x:c r="K420" s="14"/>
      <x:c r="L420" s="86" t="str">
        <x:f>IF($P420="","",INDEX(Tasks!$N$10:$N$1941,$P420))</x:f>
        <x:v>Not started</x:v>
      </x:c>
      <x:c r="M420" s="87" t="n">
        <x:f>IF($P420="","",INDEX(Tasks!$J$10:$J$1941,$P420))</x:f>
        <x:v>46112</x:v>
      </x:c>
      <x:c r="N420" s="85" t="str">
        <x:f>IF($P420="","",HYPERLINK("#'"&amp;INDEX(Tasks!$T$10:$T$1941,$P420)&amp;"'!A"&amp;INDEX(Tasks!$U$10:$U$1941,$P420),"Open"))</x:f>
        <x:v>Open</x:v>
      </x:c>
      <x:c r="O420" s="14"/>
      <x:c r="P420" s="14" t="n">
        <x:f>IF(399&gt;$B$10,"",MATCH(399,Tasks!$S$10:$S$1941,0))</x:f>
        <x:v>763</x:v>
      </x:c>
    </x:row>
    <x:row r="421" ht="58" customHeight="1">
      <x:c r="B421" s="86" t="str">
        <x:f>IF($P421="","",INDEX(Tasks!$B$10:$B$1941,$P421))</x:f>
        <x:v>Cycle 1</x:v>
      </x:c>
      <x:c r="C421" s="86" t="str">
        <x:f>IF($P421="","",INDEX(Tasks!$C$10:$C$1941,$P421))</x:f>
        <x:v>Phase 2</x:v>
      </x:c>
      <x:c r="D421" s="86" t="str">
        <x:f>IF($P421="","",INDEX(Tasks!$D$10:$D$1941,$P421))</x:f>
        <x:v>Cards</x:v>
      </x:c>
      <x:c r="E421" s="86"/>
      <x:c r="F421" s="86" t="str">
        <x:f>IF($P421="","",INDEX(Tasks!$E$10:$E$1941,$P421))</x:f>
        <x:v>Research &amp; Analysis</x:v>
      </x:c>
      <x:c r="G421" s="86"/>
      <x:c r="H421" s="14" t="str">
        <x:f>IF($P421="","",INDEX(Tasks!$F$10:$F$1941,$P421)&amp;CHAR(10)&amp;INDEX(Tasks!$G$10:$G$1941,$P421))</x:f>
        <x:v>RA.CA.2.4
Establish and maintain a recurring meeting with D&amp;I to discuss Cycle progress</x:v>
      </x:c>
      <x:c r="I421" s="14"/>
      <x:c r="J421" s="14"/>
      <x:c r="K421" s="14"/>
      <x:c r="L421" s="86" t="str">
        <x:f>IF($P421="","",INDEX(Tasks!$N$10:$N$1941,$P421))</x:f>
        <x:v>Not started</x:v>
      </x:c>
      <x:c r="M421" s="87" t="n">
        <x:f>IF($P421="","",INDEX(Tasks!$J$10:$J$1941,$P421))</x:f>
        <x:v>46112</x:v>
      </x:c>
      <x:c r="N421" s="85" t="str">
        <x:f>IF($P421="","",HYPERLINK("#'"&amp;INDEX(Tasks!$T$10:$T$1941,$P421)&amp;"'!A"&amp;INDEX(Tasks!$U$10:$U$1941,$P421),"Open"))</x:f>
        <x:v>Open</x:v>
      </x:c>
      <x:c r="O421" s="14"/>
      <x:c r="P421" s="14" t="n">
        <x:f>IF(400&gt;$B$10,"",MATCH(400,Tasks!$S$10:$S$1941,0))</x:f>
        <x:v>764</x:v>
      </x:c>
    </x:row>
    <x:row r="422" ht="58" customHeight="1">
      <x:c r="B422" s="86" t="str">
        <x:f>IF($P422="","",INDEX(Tasks!$B$10:$B$1941,$P422))</x:f>
        <x:v>Cycle 1</x:v>
      </x:c>
      <x:c r="C422" s="86" t="str">
        <x:f>IF($P422="","",INDEX(Tasks!$C$10:$C$1941,$P422))</x:f>
        <x:v>Phase 2</x:v>
      </x:c>
      <x:c r="D422" s="86" t="str">
        <x:f>IF($P422="","",INDEX(Tasks!$D$10:$D$1941,$P422))</x:f>
        <x:v>Cards</x:v>
      </x:c>
      <x:c r="E422" s="86"/>
      <x:c r="F422" s="86" t="str">
        <x:f>IF($P422="","",INDEX(Tasks!$E$10:$E$1941,$P422))</x:f>
        <x:v>Research &amp; Analysis</x:v>
      </x:c>
      <x:c r="G422" s="86"/>
      <x:c r="H422" s="14" t="str">
        <x:f>IF($P422="","",INDEX(Tasks!$F$10:$F$1941,$P422)&amp;CHAR(10)&amp;INDEX(Tasks!$G$10:$G$1941,$P422))</x:f>
        <x:v>RA.CA.2.5
Perform data testing and sampling</x:v>
      </x:c>
      <x:c r="I422" s="14"/>
      <x:c r="J422" s="14"/>
      <x:c r="K422" s="14"/>
      <x:c r="L422" s="86" t="str">
        <x:f>IF($P422="","",INDEX(Tasks!$N$10:$N$1941,$P422))</x:f>
        <x:v>Not started</x:v>
      </x:c>
      <x:c r="M422" s="87" t="n">
        <x:f>IF($P422="","",INDEX(Tasks!$J$10:$J$1941,$P422))</x:f>
        <x:v>46112</x:v>
      </x:c>
      <x:c r="N422" s="85" t="str">
        <x:f>IF($P422="","",HYPERLINK("#'"&amp;INDEX(Tasks!$T$10:$T$1941,$P422)&amp;"'!A"&amp;INDEX(Tasks!$U$10:$U$1941,$P422),"Open"))</x:f>
        <x:v>Open</x:v>
      </x:c>
      <x:c r="O422" s="14"/>
      <x:c r="P422" s="14" t="n">
        <x:f>IF(401&gt;$B$10,"",MATCH(401,Tasks!$S$10:$S$1941,0))</x:f>
        <x:v>765</x:v>
      </x:c>
    </x:row>
    <x:row r="423" ht="58" customHeight="1">
      <x:c r="B423" s="86" t="str">
        <x:f>IF($P423="","",INDEX(Tasks!$B$10:$B$1941,$P423))</x:f>
        <x:v>Cycle 1</x:v>
      </x:c>
      <x:c r="C423" s="86" t="str">
        <x:f>IF($P423="","",INDEX(Tasks!$C$10:$C$1941,$P423))</x:f>
        <x:v>Phase 2</x:v>
      </x:c>
      <x:c r="D423" s="86" t="str">
        <x:f>IF($P423="","",INDEX(Tasks!$D$10:$D$1941,$P423))</x:f>
        <x:v>Cards</x:v>
      </x:c>
      <x:c r="E423" s="86"/>
      <x:c r="F423" s="86" t="str">
        <x:f>IF($P423="","",INDEX(Tasks!$E$10:$E$1941,$P423))</x:f>
        <x:v>Research &amp; Analysis</x:v>
      </x:c>
      <x:c r="G423" s="86"/>
      <x:c r="H423" s="14" t="str">
        <x:f>IF($P423="","",INDEX(Tasks!$F$10:$F$1941,$P423)&amp;CHAR(10)&amp;INDEX(Tasks!$G$10:$G$1941,$P423))</x:f>
        <x:v>RA.CA.2.6
Complete Positive Testing</x:v>
      </x:c>
      <x:c r="I423" s="14"/>
      <x:c r="J423" s="14"/>
      <x:c r="K423" s="14"/>
      <x:c r="L423" s="86" t="str">
        <x:f>IF($P423="","",INDEX(Tasks!$N$10:$N$1941,$P423))</x:f>
        <x:v>Not started</x:v>
      </x:c>
      <x:c r="M423" s="87" t="n">
        <x:f>IF($P423="","",INDEX(Tasks!$J$10:$J$1941,$P423))</x:f>
        <x:v>46112</x:v>
      </x:c>
      <x:c r="N423" s="85" t="str">
        <x:f>IF($P423="","",HYPERLINK("#'"&amp;INDEX(Tasks!$T$10:$T$1941,$P423)&amp;"'!A"&amp;INDEX(Tasks!$U$10:$U$1941,$P423),"Open"))</x:f>
        <x:v>Open</x:v>
      </x:c>
      <x:c r="O423" s="14"/>
      <x:c r="P423" s="14" t="n">
        <x:f>IF(402&gt;$B$10,"",MATCH(402,Tasks!$S$10:$S$1941,0))</x:f>
        <x:v>766</x:v>
      </x:c>
    </x:row>
    <x:row r="424" ht="58" customHeight="1">
      <x:c r="B424" s="86" t="str">
        <x:f>IF($P424="","",INDEX(Tasks!$B$10:$B$1941,$P424))</x:f>
        <x:v>Cycle 1</x:v>
      </x:c>
      <x:c r="C424" s="86" t="str">
        <x:f>IF($P424="","",INDEX(Tasks!$C$10:$C$1941,$P424))</x:f>
        <x:v>Phase 2</x:v>
      </x:c>
      <x:c r="D424" s="86" t="str">
        <x:f>IF($P424="","",INDEX(Tasks!$D$10:$D$1941,$P424))</x:f>
        <x:v>Cards</x:v>
      </x:c>
      <x:c r="E424" s="86"/>
      <x:c r="F424" s="86" t="str">
        <x:f>IF($P424="","",INDEX(Tasks!$E$10:$E$1941,$P424))</x:f>
        <x:v>Research &amp; Analysis</x:v>
      </x:c>
      <x:c r="G424" s="86"/>
      <x:c r="H424" s="14" t="str">
        <x:f>IF($P424="","",INDEX(Tasks!$F$10:$F$1941,$P424)&amp;CHAR(10)&amp;INDEX(Tasks!$G$10:$G$1941,$P424))</x:f>
        <x:v>RA.CA.2.7
Complete Negative Testing</x:v>
      </x:c>
      <x:c r="I424" s="14"/>
      <x:c r="J424" s="14"/>
      <x:c r="K424" s="14"/>
      <x:c r="L424" s="86" t="str">
        <x:f>IF($P424="","",INDEX(Tasks!$N$10:$N$1941,$P424))</x:f>
        <x:v>Not started</x:v>
      </x:c>
      <x:c r="M424" s="87" t="n">
        <x:f>IF($P424="","",INDEX(Tasks!$J$10:$J$1941,$P424))</x:f>
        <x:v>46112</x:v>
      </x:c>
      <x:c r="N424" s="85" t="str">
        <x:f>IF($P424="","",HYPERLINK("#'"&amp;INDEX(Tasks!$T$10:$T$1941,$P424)&amp;"'!A"&amp;INDEX(Tasks!$U$10:$U$1941,$P424),"Open"))</x:f>
        <x:v>Open</x:v>
      </x:c>
      <x:c r="O424" s="14"/>
      <x:c r="P424" s="14" t="n">
        <x:f>IF(403&gt;$B$10,"",MATCH(403,Tasks!$S$10:$S$1941,0))</x:f>
        <x:v>767</x:v>
      </x:c>
    </x:row>
    <x:row r="425" ht="58" customHeight="1">
      <x:c r="B425" s="86" t="str">
        <x:f>IF($P425="","",INDEX(Tasks!$B$10:$B$1941,$P425))</x:f>
        <x:v>Cycle 1</x:v>
      </x:c>
      <x:c r="C425" s="86" t="str">
        <x:f>IF($P425="","",INDEX(Tasks!$C$10:$C$1941,$P425))</x:f>
        <x:v>Phase 2</x:v>
      </x:c>
      <x:c r="D425" s="86" t="str">
        <x:f>IF($P425="","",INDEX(Tasks!$D$10:$D$1941,$P425))</x:f>
        <x:v>Cards</x:v>
      </x:c>
      <x:c r="E425" s="86"/>
      <x:c r="F425" s="86" t="str">
        <x:f>IF($P425="","",INDEX(Tasks!$E$10:$E$1941,$P425))</x:f>
        <x:v>Research &amp; Analysis</x:v>
      </x:c>
      <x:c r="G425" s="86"/>
      <x:c r="H425" s="14" t="str">
        <x:f>IF($P425="","",INDEX(Tasks!$F$10:$F$1941,$P425)&amp;CHAR(10)&amp;INDEX(Tasks!$G$10:$G$1941,$P425))</x:f>
        <x:v>RA.CA.2.8
Request additional data (as needed)</x:v>
      </x:c>
      <x:c r="I425" s="14"/>
      <x:c r="J425" s="14"/>
      <x:c r="K425" s="14"/>
      <x:c r="L425" s="86" t="str">
        <x:f>IF($P425="","",INDEX(Tasks!$N$10:$N$1941,$P425))</x:f>
        <x:v>Not started</x:v>
      </x:c>
      <x:c r="M425" s="87" t="n">
        <x:f>IF($P425="","",INDEX(Tasks!$J$10:$J$1941,$P425))</x:f>
        <x:v>46112</x:v>
      </x:c>
      <x:c r="N425" s="85" t="str">
        <x:f>IF($P425="","",HYPERLINK("#'"&amp;INDEX(Tasks!$T$10:$T$1941,$P425)&amp;"'!A"&amp;INDEX(Tasks!$U$10:$U$1941,$P425),"Open"))</x:f>
        <x:v>Open</x:v>
      </x:c>
      <x:c r="O425" s="14"/>
      <x:c r="P425" s="14" t="n">
        <x:f>IF(404&gt;$B$10,"",MATCH(404,Tasks!$S$10:$S$1941,0))</x:f>
        <x:v>768</x:v>
      </x:c>
    </x:row>
    <x:row r="426" ht="58" customHeight="1">
      <x:c r="B426" s="86" t="str">
        <x:f>IF($P426="","",INDEX(Tasks!$B$10:$B$1941,$P426))</x:f>
        <x:v>Cycle 1</x:v>
      </x:c>
      <x:c r="C426" s="86" t="str">
        <x:f>IF($P426="","",INDEX(Tasks!$C$10:$C$1941,$P426))</x:f>
        <x:v>Phase 2</x:v>
      </x:c>
      <x:c r="D426" s="86" t="str">
        <x:f>IF($P426="","",INDEX(Tasks!$D$10:$D$1941,$P426))</x:f>
        <x:v>Cards</x:v>
      </x:c>
      <x:c r="E426" s="86"/>
      <x:c r="F426" s="86" t="str">
        <x:f>IF($P426="","",INDEX(Tasks!$E$10:$E$1941,$P426))</x:f>
        <x:v>Research &amp; Analysis</x:v>
      </x:c>
      <x:c r="G426" s="86"/>
      <x:c r="H426" s="14" t="str">
        <x:f>IF($P426="","",INDEX(Tasks!$F$10:$F$1941,$P426)&amp;CHAR(10)&amp;INDEX(Tasks!$G$10:$G$1941,$P426))</x:f>
        <x:v>RA.CA.2.9
Validate or disprove initial hypothesis assumptions</x:v>
      </x:c>
      <x:c r="I426" s="14"/>
      <x:c r="J426" s="14"/>
      <x:c r="K426" s="14"/>
      <x:c r="L426" s="86" t="str">
        <x:f>IF($P426="","",INDEX(Tasks!$N$10:$N$1941,$P426))</x:f>
        <x:v>Not started</x:v>
      </x:c>
      <x:c r="M426" s="87" t="n">
        <x:f>IF($P426="","",INDEX(Tasks!$J$10:$J$1941,$P426))</x:f>
        <x:v>46112</x:v>
      </x:c>
      <x:c r="N426" s="85" t="str">
        <x:f>IF($P426="","",HYPERLINK("#'"&amp;INDEX(Tasks!$T$10:$T$1941,$P426)&amp;"'!A"&amp;INDEX(Tasks!$U$10:$U$1941,$P426),"Open"))</x:f>
        <x:v>Open</x:v>
      </x:c>
      <x:c r="O426" s="14"/>
      <x:c r="P426" s="14" t="n">
        <x:f>IF(405&gt;$B$10,"",MATCH(405,Tasks!$S$10:$S$1941,0))</x:f>
        <x:v>769</x:v>
      </x:c>
    </x:row>
    <x:row r="427" ht="58" customHeight="1">
      <x:c r="B427" s="86" t="str">
        <x:f>IF($P427="","",INDEX(Tasks!$B$10:$B$1941,$P427))</x:f>
        <x:v>Cycle 1</x:v>
      </x:c>
      <x:c r="C427" s="86" t="str">
        <x:f>IF($P427="","",INDEX(Tasks!$C$10:$C$1941,$P427))</x:f>
        <x:v>Phase 2</x:v>
      </x:c>
      <x:c r="D427" s="86" t="str">
        <x:f>IF($P427="","",INDEX(Tasks!$D$10:$D$1941,$P427))</x:f>
        <x:v>Cards</x:v>
      </x:c>
      <x:c r="E427" s="86"/>
      <x:c r="F427" s="86" t="str">
        <x:f>IF($P427="","",INDEX(Tasks!$E$10:$E$1941,$P427))</x:f>
        <x:v>Research &amp; Analysis</x:v>
      </x:c>
      <x:c r="G427" s="86"/>
      <x:c r="H427" s="14" t="str">
        <x:f>IF($P427="","",INDEX(Tasks!$F$10:$F$1941,$P427)&amp;CHAR(10)&amp;INDEX(Tasks!$G$10:$G$1941,$P427))</x:f>
        <x:v>RA.CA.2.10
Identify and confirm root cause</x:v>
      </x:c>
      <x:c r="I427" s="14"/>
      <x:c r="J427" s="14"/>
      <x:c r="K427" s="14"/>
      <x:c r="L427" s="86" t="str">
        <x:f>IF($P427="","",INDEX(Tasks!$N$10:$N$1941,$P427))</x:f>
        <x:v>Not started</x:v>
      </x:c>
      <x:c r="M427" s="87" t="n">
        <x:f>IF($P427="","",INDEX(Tasks!$J$10:$J$1941,$P427))</x:f>
        <x:v>46112</x:v>
      </x:c>
      <x:c r="N427" s="85" t="str">
        <x:f>IF($P427="","",HYPERLINK("#'"&amp;INDEX(Tasks!$T$10:$T$1941,$P427)&amp;"'!A"&amp;INDEX(Tasks!$U$10:$U$1941,$P427),"Open"))</x:f>
        <x:v>Open</x:v>
      </x:c>
      <x:c r="O427" s="14"/>
      <x:c r="P427" s="14" t="n">
        <x:f>IF(406&gt;$B$10,"",MATCH(406,Tasks!$S$10:$S$1941,0))</x:f>
        <x:v>770</x:v>
      </x:c>
    </x:row>
    <x:row r="428" ht="58" customHeight="1">
      <x:c r="B428" s="86" t="str">
        <x:f>IF($P428="","",INDEX(Tasks!$B$10:$B$1941,$P428))</x:f>
        <x:v>Cycle 1</x:v>
      </x:c>
      <x:c r="C428" s="86" t="str">
        <x:f>IF($P428="","",INDEX(Tasks!$C$10:$C$1941,$P428))</x:f>
        <x:v>Phase 3</x:v>
      </x:c>
      <x:c r="D428" s="86" t="str">
        <x:f>IF($P428="","",INDEX(Tasks!$D$10:$D$1941,$P428))</x:f>
        <x:v>Cards</x:v>
      </x:c>
      <x:c r="E428" s="86"/>
      <x:c r="F428" s="86" t="str">
        <x:f>IF($P428="","",INDEX(Tasks!$E$10:$E$1941,$P428))</x:f>
        <x:v>Research &amp; Analysis</x:v>
      </x:c>
      <x:c r="G428" s="86"/>
      <x:c r="H428" s="14" t="str">
        <x:f>IF($P428="","",INDEX(Tasks!$F$10:$F$1941,$P428)&amp;CHAR(10)&amp;INDEX(Tasks!$G$10:$G$1941,$P428))</x:f>
        <x:v>RA.CA.3.1
Finalize results and supporting documentation</x:v>
      </x:c>
      <x:c r="I428" s="14"/>
      <x:c r="J428" s="14"/>
      <x:c r="K428" s="14"/>
      <x:c r="L428" s="86" t="str">
        <x:f>IF($P428="","",INDEX(Tasks!$N$10:$N$1941,$P428))</x:f>
        <x:v>Not started</x:v>
      </x:c>
      <x:c r="M428" s="87" t="n">
        <x:f>IF($P428="","",INDEX(Tasks!$J$10:$J$1941,$P428))</x:f>
        <x:v>46112</x:v>
      </x:c>
      <x:c r="N428" s="85" t="str">
        <x:f>IF($P428="","",HYPERLINK("#'"&amp;INDEX(Tasks!$T$10:$T$1941,$P428)&amp;"'!A"&amp;INDEX(Tasks!$U$10:$U$1941,$P428),"Open"))</x:f>
        <x:v>Open</x:v>
      </x:c>
      <x:c r="O428" s="14"/>
      <x:c r="P428" s="14" t="n">
        <x:f>IF(407&gt;$B$10,"",MATCH(407,Tasks!$S$10:$S$1941,0))</x:f>
        <x:v>771</x:v>
      </x:c>
    </x:row>
    <x:row r="429" ht="58" customHeight="1">
      <x:c r="B429" s="86" t="str">
        <x:f>IF($P429="","",INDEX(Tasks!$B$10:$B$1941,$P429))</x:f>
        <x:v>Cycle 1</x:v>
      </x:c>
      <x:c r="C429" s="86" t="str">
        <x:f>IF($P429="","",INDEX(Tasks!$C$10:$C$1941,$P429))</x:f>
        <x:v>Phase 3</x:v>
      </x:c>
      <x:c r="D429" s="86" t="str">
        <x:f>IF($P429="","",INDEX(Tasks!$D$10:$D$1941,$P429))</x:f>
        <x:v>Cards</x:v>
      </x:c>
      <x:c r="E429" s="86"/>
      <x:c r="F429" s="86" t="str">
        <x:f>IF($P429="","",INDEX(Tasks!$E$10:$E$1941,$P429))</x:f>
        <x:v>Research &amp; Analysis</x:v>
      </x:c>
      <x:c r="G429" s="86"/>
      <x:c r="H429" s="14" t="str">
        <x:f>IF($P429="","",INDEX(Tasks!$F$10:$F$1941,$P429)&amp;CHAR(10)&amp;INDEX(Tasks!$G$10:$G$1941,$P429))</x:f>
        <x:v>RA.CA.3.2
Maintain and update the evidence package prior to handoff to D&amp;I</x:v>
      </x:c>
      <x:c r="I429" s="14"/>
      <x:c r="J429" s="14"/>
      <x:c r="K429" s="14"/>
      <x:c r="L429" s="86" t="str">
        <x:f>IF($P429="","",INDEX(Tasks!$N$10:$N$1941,$P429))</x:f>
        <x:v>Not started</x:v>
      </x:c>
      <x:c r="M429" s="87" t="n">
        <x:f>IF($P429="","",INDEX(Tasks!$J$10:$J$1941,$P429))</x:f>
        <x:v>46112</x:v>
      </x:c>
      <x:c r="N429" s="85" t="str">
        <x:f>IF($P429="","",HYPERLINK("#'"&amp;INDEX(Tasks!$T$10:$T$1941,$P429)&amp;"'!A"&amp;INDEX(Tasks!$U$10:$U$1941,$P429),"Open"))</x:f>
        <x:v>Open</x:v>
      </x:c>
      <x:c r="O429" s="14"/>
      <x:c r="P429" s="14" t="n">
        <x:f>IF(408&gt;$B$10,"",MATCH(408,Tasks!$S$10:$S$1941,0))</x:f>
        <x:v>772</x:v>
      </x:c>
    </x:row>
    <x:row r="430" ht="58" customHeight="1">
      <x:c r="B430" s="86" t="str">
        <x:f>IF($P430="","",INDEX(Tasks!$B$10:$B$1941,$P430))</x:f>
        <x:v>Cycle 1</x:v>
      </x:c>
      <x:c r="C430" s="86" t="str">
        <x:f>IF($P430="","",INDEX(Tasks!$C$10:$C$1941,$P430))</x:f>
        <x:v>Phase 3</x:v>
      </x:c>
      <x:c r="D430" s="86" t="str">
        <x:f>IF($P430="","",INDEX(Tasks!$D$10:$D$1941,$P430))</x:f>
        <x:v>Cards</x:v>
      </x:c>
      <x:c r="E430" s="86"/>
      <x:c r="F430" s="86" t="str">
        <x:f>IF($P430="","",INDEX(Tasks!$E$10:$E$1941,$P430))</x:f>
        <x:v>Research &amp; Analysis</x:v>
      </x:c>
      <x:c r="G430" s="86"/>
      <x:c r="H430" s="14" t="str">
        <x:f>IF($P430="","",INDEX(Tasks!$F$10:$F$1941,$P430)&amp;CHAR(10)&amp;INDEX(Tasks!$G$10:$G$1941,$P430))</x:f>
        <x:v>RA.CA.3.3
Address any outstanding questions or requests from D&amp;I</x:v>
      </x:c>
      <x:c r="I430" s="14"/>
      <x:c r="J430" s="14"/>
      <x:c r="K430" s="14"/>
      <x:c r="L430" s="86" t="str">
        <x:f>IF($P430="","",INDEX(Tasks!$N$10:$N$1941,$P430))</x:f>
        <x:v>Not started</x:v>
      </x:c>
      <x:c r="M430" s="87" t="n">
        <x:f>IF($P430="","",INDEX(Tasks!$J$10:$J$1941,$P430))</x:f>
        <x:v>46112</x:v>
      </x:c>
      <x:c r="N430" s="85" t="str">
        <x:f>IF($P430="","",HYPERLINK("#'"&amp;INDEX(Tasks!$T$10:$T$1941,$P430)&amp;"'!A"&amp;INDEX(Tasks!$U$10:$U$1941,$P430),"Open"))</x:f>
        <x:v>Open</x:v>
      </x:c>
      <x:c r="O430" s="14"/>
      <x:c r="P430" s="14" t="n">
        <x:f>IF(409&gt;$B$10,"",MATCH(409,Tasks!$S$10:$S$1941,0))</x:f>
        <x:v>773</x:v>
      </x:c>
    </x:row>
    <x:row r="431" ht="58" customHeight="1">
      <x:c r="B431" s="86" t="str">
        <x:f>IF($P431="","",INDEX(Tasks!$B$10:$B$1941,$P431))</x:f>
        <x:v>Cycle 1</x:v>
      </x:c>
      <x:c r="C431" s="86" t="str">
        <x:f>IF($P431="","",INDEX(Tasks!$C$10:$C$1941,$P431))</x:f>
        <x:v>Phase 3</x:v>
      </x:c>
      <x:c r="D431" s="86" t="str">
        <x:f>IF($P431="","",INDEX(Tasks!$D$10:$D$1941,$P431))</x:f>
        <x:v>Cards</x:v>
      </x:c>
      <x:c r="E431" s="86"/>
      <x:c r="F431" s="86" t="str">
        <x:f>IF($P431="","",INDEX(Tasks!$E$10:$E$1941,$P431))</x:f>
        <x:v>Research &amp; Analysis</x:v>
      </x:c>
      <x:c r="G431" s="86"/>
      <x:c r="H431" s="14" t="str">
        <x:f>IF($P431="","",INDEX(Tasks!$F$10:$F$1941,$P431)&amp;CHAR(10)&amp;INDEX(Tasks!$G$10:$G$1941,$P431))</x:f>
        <x:v>RA.CA.3.4
Attend Forum meeting with D&amp;I to assist with answering stakeholder questions (as needed)</x:v>
      </x:c>
      <x:c r="I431" s="14"/>
      <x:c r="J431" s="14"/>
      <x:c r="K431" s="14"/>
      <x:c r="L431" s="86" t="str">
        <x:f>IF($P431="","",INDEX(Tasks!$N$10:$N$1941,$P431))</x:f>
        <x:v>Not started</x:v>
      </x:c>
      <x:c r="M431" s="87" t="str">
        <x:f>IF($P431="","",INDEX(Tasks!$J$10:$J$1941,$P431))</x:f>
      </x:c>
      <x:c r="N431" s="85" t="str">
        <x:f>IF($P431="","",HYPERLINK("#'"&amp;INDEX(Tasks!$T$10:$T$1941,$P431)&amp;"'!A"&amp;INDEX(Tasks!$U$10:$U$1941,$P431),"Open"))</x:f>
        <x:v>Open</x:v>
      </x:c>
      <x:c r="O431" s="14"/>
      <x:c r="P431" s="14" t="n">
        <x:f>IF(410&gt;$B$10,"",MATCH(410,Tasks!$S$10:$S$1941,0))</x:f>
        <x:v>774</x:v>
      </x:c>
    </x:row>
    <x:row r="432" ht="58" customHeight="1">
      <x:c r="B432" s="86" t="str">
        <x:f>IF($P432="","",INDEX(Tasks!$B$10:$B$1941,$P432))</x:f>
        <x:v>Cycle 1</x:v>
      </x:c>
      <x:c r="C432" s="86" t="str">
        <x:f>IF($P432="","",INDEX(Tasks!$C$10:$C$1941,$P432))</x:f>
        <x:v>Phase 1</x:v>
      </x:c>
      <x:c r="D432" s="86" t="str">
        <x:f>IF($P432="","",INDEX(Tasks!$D$10:$D$1941,$P432))</x:f>
        <x:v>CSBBO - Banking Ops</x:v>
      </x:c>
      <x:c r="E432" s="86"/>
      <x:c r="F432" s="86" t="str">
        <x:f>IF($P432="","",INDEX(Tasks!$E$10:$E$1941,$P432))</x:f>
        <x:v>Research &amp; Analysis</x:v>
      </x:c>
      <x:c r="G432" s="86"/>
      <x:c r="H432" s="14" t="str">
        <x:f>IF($P432="","",INDEX(Tasks!$F$10:$F$1941,$P432)&amp;CHAR(10)&amp;INDEX(Tasks!$G$10:$G$1941,$P432))</x:f>
        <x:v>RA.BO.1.1
Begin Research process 2 weeks prior to Cycle start</x:v>
      </x:c>
      <x:c r="I432" s="14"/>
      <x:c r="J432" s="14"/>
      <x:c r="K432" s="14"/>
      <x:c r="L432" s="86" t="str">
        <x:f>IF($P432="","",INDEX(Tasks!$N$10:$N$1941,$P432))</x:f>
        <x:v>Not started</x:v>
      </x:c>
      <x:c r="M432" s="87" t="n">
        <x:f>IF($P432="","",INDEX(Tasks!$J$10:$J$1941,$P432))</x:f>
        <x:v>46009</x:v>
      </x:c>
      <x:c r="N432" s="85" t="str">
        <x:f>IF($P432="","",HYPERLINK("#'"&amp;INDEX(Tasks!$T$10:$T$1941,$P432)&amp;"'!A"&amp;INDEX(Tasks!$U$10:$U$1941,$P432),"Open"))</x:f>
        <x:v>Open</x:v>
      </x:c>
      <x:c r="O432" s="14"/>
      <x:c r="P432" s="14" t="n">
        <x:f>IF(411&gt;$B$10,"",MATCH(411,Tasks!$S$10:$S$1941,0))</x:f>
        <x:v>775</x:v>
      </x:c>
    </x:row>
    <x:row r="433" ht="58" customHeight="1">
      <x:c r="B433" s="86" t="str">
        <x:f>IF($P433="","",INDEX(Tasks!$B$10:$B$1941,$P433))</x:f>
        <x:v>Cycle 1</x:v>
      </x:c>
      <x:c r="C433" s="86" t="str">
        <x:f>IF($P433="","",INDEX(Tasks!$C$10:$C$1941,$P433))</x:f>
        <x:v>Phase 1</x:v>
      </x:c>
      <x:c r="D433" s="86" t="str">
        <x:f>IF($P433="","",INDEX(Tasks!$D$10:$D$1941,$P433))</x:f>
        <x:v>CSBBO - Banking Ops</x:v>
      </x:c>
      <x:c r="E433" s="86"/>
      <x:c r="F433" s="86" t="str">
        <x:f>IF($P433="","",INDEX(Tasks!$E$10:$E$1941,$P433))</x:f>
        <x:v>Research &amp; Analysis</x:v>
      </x:c>
      <x:c r="G433" s="86"/>
      <x:c r="H433" s="14" t="str">
        <x:f>IF($P433="","",INDEX(Tasks!$F$10:$F$1941,$P433)&amp;CHAR(10)&amp;INDEX(Tasks!$G$10:$G$1941,$P433))</x:f>
        <x:v>RA.BO.1.2
Conduct initial assessment of each topic recommendation from SharePoint list</x:v>
      </x:c>
      <x:c r="I433" s="14"/>
      <x:c r="J433" s="14"/>
      <x:c r="K433" s="14"/>
      <x:c r="L433" s="86" t="str">
        <x:f>IF($P433="","",INDEX(Tasks!$N$10:$N$1941,$P433))</x:f>
        <x:v>Not started</x:v>
      </x:c>
      <x:c r="M433" s="87" t="n">
        <x:f>IF($P433="","",INDEX(Tasks!$J$10:$J$1941,$P433))</x:f>
        <x:v>46112</x:v>
      </x:c>
      <x:c r="N433" s="85" t="str">
        <x:f>IF($P433="","",HYPERLINK("#'"&amp;INDEX(Tasks!$T$10:$T$1941,$P433)&amp;"'!A"&amp;INDEX(Tasks!$U$10:$U$1941,$P433),"Open"))</x:f>
        <x:v>Open</x:v>
      </x:c>
      <x:c r="O433" s="14"/>
      <x:c r="P433" s="14" t="n">
        <x:f>IF(412&gt;$B$10,"",MATCH(412,Tasks!$S$10:$S$1941,0))</x:f>
        <x:v>776</x:v>
      </x:c>
    </x:row>
    <x:row r="434" ht="58" customHeight="1">
      <x:c r="B434" s="86" t="str">
        <x:f>IF($P434="","",INDEX(Tasks!$B$10:$B$1941,$P434))</x:f>
        <x:v>Cycle 1</x:v>
      </x:c>
      <x:c r="C434" s="86" t="str">
        <x:f>IF($P434="","",INDEX(Tasks!$C$10:$C$1941,$P434))</x:f>
        <x:v>Phase 1</x:v>
      </x:c>
      <x:c r="D434" s="86" t="str">
        <x:f>IF($P434="","",INDEX(Tasks!$D$10:$D$1941,$P434))</x:f>
        <x:v>CSBBO - Banking Ops</x:v>
      </x:c>
      <x:c r="E434" s="86"/>
      <x:c r="F434" s="86" t="str">
        <x:f>IF($P434="","",INDEX(Tasks!$E$10:$E$1941,$P434))</x:f>
        <x:v>Research &amp; Analysis</x:v>
      </x:c>
      <x:c r="G434" s="86"/>
      <x:c r="H434" s="14" t="str">
        <x:f>IF($P434="","",INDEX(Tasks!$F$10:$F$1941,$P434)&amp;CHAR(10)&amp;INDEX(Tasks!$G$10:$G$1941,$P434))</x:f>
        <x:v>RA.BO.1.3
Identify best topic for Cycle</x:v>
      </x:c>
      <x:c r="I434" s="14"/>
      <x:c r="J434" s="14"/>
      <x:c r="K434" s="14"/>
      <x:c r="L434" s="86" t="str">
        <x:f>IF($P434="","",INDEX(Tasks!$N$10:$N$1941,$P434))</x:f>
        <x:v>Not started</x:v>
      </x:c>
      <x:c r="M434" s="87" t="n">
        <x:f>IF($P434="","",INDEX(Tasks!$J$10:$J$1941,$P434))</x:f>
        <x:v>46112</x:v>
      </x:c>
      <x:c r="N434" s="85" t="str">
        <x:f>IF($P434="","",HYPERLINK("#'"&amp;INDEX(Tasks!$T$10:$T$1941,$P434)&amp;"'!A"&amp;INDEX(Tasks!$U$10:$U$1941,$P434),"Open"))</x:f>
        <x:v>Open</x:v>
      </x:c>
      <x:c r="O434" s="14"/>
      <x:c r="P434" s="14" t="n">
        <x:f>IF(413&gt;$B$10,"",MATCH(413,Tasks!$S$10:$S$1941,0))</x:f>
        <x:v>777</x:v>
      </x:c>
    </x:row>
    <x:row r="435" ht="58" customHeight="1">
      <x:c r="B435" s="86" t="str">
        <x:f>IF($P435="","",INDEX(Tasks!$B$10:$B$1941,$P435))</x:f>
        <x:v>Cycle 1</x:v>
      </x:c>
      <x:c r="C435" s="86" t="str">
        <x:f>IF($P435="","",INDEX(Tasks!$C$10:$C$1941,$P435))</x:f>
        <x:v>Phase 1</x:v>
      </x:c>
      <x:c r="D435" s="86" t="str">
        <x:f>IF($P435="","",INDEX(Tasks!$D$10:$D$1941,$P435))</x:f>
        <x:v>CSBBO - Banking Ops</x:v>
      </x:c>
      <x:c r="E435" s="86"/>
      <x:c r="F435" s="86" t="str">
        <x:f>IF($P435="","",INDEX(Tasks!$E$10:$E$1941,$P435))</x:f>
        <x:v>Research &amp; Analysis</x:v>
      </x:c>
      <x:c r="G435" s="86"/>
      <x:c r="H435" s="14" t="str">
        <x:f>IF($P435="","",INDEX(Tasks!$F$10:$F$1941,$P435)&amp;CHAR(10)&amp;INDEX(Tasks!$G$10:$G$1941,$P435))</x:f>
        <x:v>RA.BO.1.4
Identify backup topic for Cycle</x:v>
      </x:c>
      <x:c r="I435" s="14"/>
      <x:c r="J435" s="14"/>
      <x:c r="K435" s="14"/>
      <x:c r="L435" s="86" t="str">
        <x:f>IF($P435="","",INDEX(Tasks!$N$10:$N$1941,$P435))</x:f>
        <x:v>Not started</x:v>
      </x:c>
      <x:c r="M435" s="87" t="n">
        <x:f>IF($P435="","",INDEX(Tasks!$J$10:$J$1941,$P435))</x:f>
        <x:v>46112</x:v>
      </x:c>
      <x:c r="N435" s="85" t="str">
        <x:f>IF($P435="","",HYPERLINK("#'"&amp;INDEX(Tasks!$T$10:$T$1941,$P435)&amp;"'!A"&amp;INDEX(Tasks!$U$10:$U$1941,$P435),"Open"))</x:f>
        <x:v>Open</x:v>
      </x:c>
      <x:c r="O435" s="14"/>
      <x:c r="P435" s="14" t="n">
        <x:f>IF(414&gt;$B$10,"",MATCH(414,Tasks!$S$10:$S$1941,0))</x:f>
        <x:v>778</x:v>
      </x:c>
    </x:row>
    <x:row r="436" ht="58" customHeight="1">
      <x:c r="B436" s="86" t="str">
        <x:f>IF($P436="","",INDEX(Tasks!$B$10:$B$1941,$P436))</x:f>
        <x:v>Cycle 1</x:v>
      </x:c>
      <x:c r="C436" s="86" t="str">
        <x:f>IF($P436="","",INDEX(Tasks!$C$10:$C$1941,$P436))</x:f>
        <x:v>Phase 1</x:v>
      </x:c>
      <x:c r="D436" s="86" t="str">
        <x:f>IF($P436="","",INDEX(Tasks!$D$10:$D$1941,$P436))</x:f>
        <x:v>CSBBO - Banking Ops</x:v>
      </x:c>
      <x:c r="E436" s="86"/>
      <x:c r="F436" s="86" t="str">
        <x:f>IF($P436="","",INDEX(Tasks!$E$10:$E$1941,$P436))</x:f>
        <x:v>Research &amp; Analysis</x:v>
      </x:c>
      <x:c r="G436" s="86"/>
      <x:c r="H436" s="14" t="str">
        <x:f>IF($P436="","",INDEX(Tasks!$F$10:$F$1941,$P436)&amp;CHAR(10)&amp;INDEX(Tasks!$G$10:$G$1941,$P436))</x:f>
        <x:v>RA.BO.1.5
Schedule topic approval meeting with D&amp;I and management</x:v>
      </x:c>
      <x:c r="I436" s="14"/>
      <x:c r="J436" s="14"/>
      <x:c r="K436" s="14"/>
      <x:c r="L436" s="86" t="str">
        <x:f>IF($P436="","",INDEX(Tasks!$N$10:$N$1941,$P436))</x:f>
        <x:v>Not started</x:v>
      </x:c>
      <x:c r="M436" s="87" t="n">
        <x:f>IF($P436="","",INDEX(Tasks!$J$10:$J$1941,$P436))</x:f>
        <x:v>46112</x:v>
      </x:c>
      <x:c r="N436" s="85" t="str">
        <x:f>IF($P436="","",HYPERLINK("#'"&amp;INDEX(Tasks!$T$10:$T$1941,$P436)&amp;"'!A"&amp;INDEX(Tasks!$U$10:$U$1941,$P436),"Open"))</x:f>
        <x:v>Open</x:v>
      </x:c>
      <x:c r="O436" s="14"/>
      <x:c r="P436" s="14" t="n">
        <x:f>IF(415&gt;$B$10,"",MATCH(415,Tasks!$S$10:$S$1941,0))</x:f>
        <x:v>779</x:v>
      </x:c>
    </x:row>
    <x:row r="437" ht="58" customHeight="1">
      <x:c r="B437" s="86" t="str">
        <x:f>IF($P437="","",INDEX(Tasks!$B$10:$B$1941,$P437))</x:f>
        <x:v>Cycle 1</x:v>
      </x:c>
      <x:c r="C437" s="86" t="str">
        <x:f>IF($P437="","",INDEX(Tasks!$C$10:$C$1941,$P437))</x:f>
        <x:v>Phase 1</x:v>
      </x:c>
      <x:c r="D437" s="86" t="str">
        <x:f>IF($P437="","",INDEX(Tasks!$D$10:$D$1941,$P437))</x:f>
        <x:v>CSBBO - Banking Ops</x:v>
      </x:c>
      <x:c r="E437" s="86"/>
      <x:c r="F437" s="86" t="str">
        <x:f>IF($P437="","",INDEX(Tasks!$E$10:$E$1941,$P437))</x:f>
        <x:v>Research &amp; Analysis</x:v>
      </x:c>
      <x:c r="G437" s="86"/>
      <x:c r="H437" s="14" t="str">
        <x:f>IF($P437="","",INDEX(Tasks!$F$10:$F$1941,$P437)&amp;CHAR(10)&amp;INDEX(Tasks!$G$10:$G$1941,$P437))</x:f>
        <x:v>RA.BO.1.6
Present recommended topic to D&amp;I and management for approval</x:v>
      </x:c>
      <x:c r="I437" s="14"/>
      <x:c r="J437" s="14"/>
      <x:c r="K437" s="14"/>
      <x:c r="L437" s="86" t="str">
        <x:f>IF($P437="","",INDEX(Tasks!$N$10:$N$1941,$P437))</x:f>
        <x:v>Not started</x:v>
      </x:c>
      <x:c r="M437" s="87" t="n">
        <x:f>IF($P437="","",INDEX(Tasks!$J$10:$J$1941,$P437))</x:f>
        <x:v>46112</x:v>
      </x:c>
      <x:c r="N437" s="85" t="str">
        <x:f>IF($P437="","",HYPERLINK("#'"&amp;INDEX(Tasks!$T$10:$T$1941,$P437)&amp;"'!A"&amp;INDEX(Tasks!$U$10:$U$1941,$P437),"Open"))</x:f>
        <x:v>Open</x:v>
      </x:c>
      <x:c r="O437" s="14"/>
      <x:c r="P437" s="14" t="n">
        <x:f>IF(416&gt;$B$10,"",MATCH(416,Tasks!$S$10:$S$1941,0))</x:f>
        <x:v>780</x:v>
      </x:c>
    </x:row>
    <x:row r="438" ht="58" customHeight="1">
      <x:c r="B438" s="86" t="str">
        <x:f>IF($P438="","",INDEX(Tasks!$B$10:$B$1941,$P438))</x:f>
        <x:v>Cycle 1</x:v>
      </x:c>
      <x:c r="C438" s="86" t="str">
        <x:f>IF($P438="","",INDEX(Tasks!$C$10:$C$1941,$P438))</x:f>
        <x:v>Phase 1</x:v>
      </x:c>
      <x:c r="D438" s="86" t="str">
        <x:f>IF($P438="","",INDEX(Tasks!$D$10:$D$1941,$P438))</x:f>
        <x:v>CSBBO - Banking Ops</x:v>
      </x:c>
      <x:c r="E438" s="86"/>
      <x:c r="F438" s="86" t="str">
        <x:f>IF($P438="","",INDEX(Tasks!$E$10:$E$1941,$P438))</x:f>
        <x:v>Research &amp; Analysis</x:v>
      </x:c>
      <x:c r="G438" s="86"/>
      <x:c r="H438" s="14" t="str">
        <x:f>IF($P438="","",INDEX(Tasks!$F$10:$F$1941,$P438)&amp;CHAR(10)&amp;INDEX(Tasks!$G$10:$G$1941,$P438))</x:f>
        <x:v>RA.BO.1.7
Obtain formal topic selection approval from management via SharePoint</x:v>
      </x:c>
      <x:c r="I438" s="14"/>
      <x:c r="J438" s="14"/>
      <x:c r="K438" s="14"/>
      <x:c r="L438" s="86" t="str">
        <x:f>IF($P438="","",INDEX(Tasks!$N$10:$N$1941,$P438))</x:f>
        <x:v>Not started</x:v>
      </x:c>
      <x:c r="M438" s="87" t="n">
        <x:f>IF($P438="","",INDEX(Tasks!$J$10:$J$1941,$P438))</x:f>
        <x:v>46112</x:v>
      </x:c>
      <x:c r="N438" s="85" t="str">
        <x:f>IF($P438="","",HYPERLINK("#'"&amp;INDEX(Tasks!$T$10:$T$1941,$P438)&amp;"'!A"&amp;INDEX(Tasks!$U$10:$U$1941,$P438),"Open"))</x:f>
        <x:v>Open</x:v>
      </x:c>
      <x:c r="O438" s="14"/>
      <x:c r="P438" s="14" t="n">
        <x:f>IF(417&gt;$B$10,"",MATCH(417,Tasks!$S$10:$S$1941,0))</x:f>
        <x:v>781</x:v>
      </x:c>
    </x:row>
    <x:row r="439" ht="58" customHeight="1">
      <x:c r="B439" s="86" t="str">
        <x:f>IF($P439="","",INDEX(Tasks!$B$10:$B$1941,$P439))</x:f>
        <x:v>Cycle 1</x:v>
      </x:c>
      <x:c r="C439" s="86" t="str">
        <x:f>IF($P439="","",INDEX(Tasks!$C$10:$C$1941,$P439))</x:f>
        <x:v>Phase 1</x:v>
      </x:c>
      <x:c r="D439" s="86" t="str">
        <x:f>IF($P439="","",INDEX(Tasks!$D$10:$D$1941,$P439))</x:f>
        <x:v>CSBBO - Banking Ops</x:v>
      </x:c>
      <x:c r="E439" s="86"/>
      <x:c r="F439" s="86" t="str">
        <x:f>IF($P439="","",INDEX(Tasks!$E$10:$E$1941,$P439))</x:f>
        <x:v>Research &amp; Analysis</x:v>
      </x:c>
      <x:c r="G439" s="86"/>
      <x:c r="H439" s="14" t="str">
        <x:f>IF($P439="","",INDEX(Tasks!$F$10:$F$1941,$P439)&amp;CHAR(10)&amp;INDEX(Tasks!$G$10:$G$1941,$P439))</x:f>
        <x:v>RA.BO.1.8
Socialize topic selection with product owners and subject matter experts (if known)</x:v>
      </x:c>
      <x:c r="I439" s="14"/>
      <x:c r="J439" s="14"/>
      <x:c r="K439" s="14"/>
      <x:c r="L439" s="86" t="str">
        <x:f>IF($P439="","",INDEX(Tasks!$N$10:$N$1941,$P439))</x:f>
        <x:v>Not started</x:v>
      </x:c>
      <x:c r="M439" s="87" t="n">
        <x:f>IF($P439="","",INDEX(Tasks!$J$10:$J$1941,$P439))</x:f>
        <x:v>46112</x:v>
      </x:c>
      <x:c r="N439" s="85" t="str">
        <x:f>IF($P439="","",HYPERLINK("#'"&amp;INDEX(Tasks!$T$10:$T$1941,$P439)&amp;"'!A"&amp;INDEX(Tasks!$U$10:$U$1941,$P439),"Open"))</x:f>
        <x:v>Open</x:v>
      </x:c>
      <x:c r="O439" s="14"/>
      <x:c r="P439" s="14" t="n">
        <x:f>IF(418&gt;$B$10,"",MATCH(418,Tasks!$S$10:$S$1941,0))</x:f>
        <x:v>782</x:v>
      </x:c>
    </x:row>
    <x:row r="440" ht="58" customHeight="1">
      <x:c r="B440" s="86" t="str">
        <x:f>IF($P440="","",INDEX(Tasks!$B$10:$B$1941,$P440))</x:f>
        <x:v>Cycle 1</x:v>
      </x:c>
      <x:c r="C440" s="86" t="str">
        <x:f>IF($P440="","",INDEX(Tasks!$C$10:$C$1941,$P440))</x:f>
        <x:v>Phase 1</x:v>
      </x:c>
      <x:c r="D440" s="86" t="str">
        <x:f>IF($P440="","",INDEX(Tasks!$D$10:$D$1941,$P440))</x:f>
        <x:v>CSBBO - Banking Ops</x:v>
      </x:c>
      <x:c r="E440" s="86"/>
      <x:c r="F440" s="86" t="str">
        <x:f>IF($P440="","",INDEX(Tasks!$E$10:$E$1941,$P440))</x:f>
        <x:v>Research &amp; Analysis</x:v>
      </x:c>
      <x:c r="G440" s="86"/>
      <x:c r="H440" s="14" t="str">
        <x:f>IF($P440="","",INDEX(Tasks!$F$10:$F$1941,$P440)&amp;CHAR(10)&amp;INDEX(Tasks!$G$10:$G$1941,$P440))</x:f>
        <x:v>RA.BO.1.9
Assign topic researchers</x:v>
      </x:c>
      <x:c r="I440" s="14"/>
      <x:c r="J440" s="14"/>
      <x:c r="K440" s="14"/>
      <x:c r="L440" s="86" t="str">
        <x:f>IF($P440="","",INDEX(Tasks!$N$10:$N$1941,$P440))</x:f>
        <x:v>Not started</x:v>
      </x:c>
      <x:c r="M440" s="87" t="n">
        <x:f>IF($P440="","",INDEX(Tasks!$J$10:$J$1941,$P440))</x:f>
        <x:v>46112</x:v>
      </x:c>
      <x:c r="N440" s="85" t="str">
        <x:f>IF($P440="","",HYPERLINK("#'"&amp;INDEX(Tasks!$T$10:$T$1941,$P440)&amp;"'!A"&amp;INDEX(Tasks!$U$10:$U$1941,$P440),"Open"))</x:f>
        <x:v>Open</x:v>
      </x:c>
      <x:c r="O440" s="14"/>
      <x:c r="P440" s="14" t="n">
        <x:f>IF(419&gt;$B$10,"",MATCH(419,Tasks!$S$10:$S$1941,0))</x:f>
        <x:v>783</x:v>
      </x:c>
    </x:row>
    <x:row r="441" ht="58" customHeight="1">
      <x:c r="B441" s="86" t="str">
        <x:f>IF($P441="","",INDEX(Tasks!$B$10:$B$1941,$P441))</x:f>
        <x:v>Cycle 1</x:v>
      </x:c>
      <x:c r="C441" s="86" t="str">
        <x:f>IF($P441="","",INDEX(Tasks!$C$10:$C$1941,$P441))</x:f>
        <x:v>Phase 2</x:v>
      </x:c>
      <x:c r="D441" s="86" t="str">
        <x:f>IF($P441="","",INDEX(Tasks!$D$10:$D$1941,$P441))</x:f>
        <x:v>CSBBO - Banking Ops</x:v>
      </x:c>
      <x:c r="E441" s="86"/>
      <x:c r="F441" s="86" t="str">
        <x:f>IF($P441="","",INDEX(Tasks!$E$10:$E$1941,$P441))</x:f>
        <x:v>Research &amp; Analysis</x:v>
      </x:c>
      <x:c r="G441" s="86"/>
      <x:c r="H441" s="14" t="str">
        <x:f>IF($P441="","",INDEX(Tasks!$F$10:$F$1941,$P441)&amp;CHAR(10)&amp;INDEX(Tasks!$G$10:$G$1941,$P441))</x:f>
        <x:v>RA.BO.2.1
Review data sources</x:v>
      </x:c>
      <x:c r="I441" s="14"/>
      <x:c r="J441" s="14"/>
      <x:c r="K441" s="14"/>
      <x:c r="L441" s="86" t="str">
        <x:f>IF($P441="","",INDEX(Tasks!$N$10:$N$1941,$P441))</x:f>
        <x:v>Not started</x:v>
      </x:c>
      <x:c r="M441" s="87" t="n">
        <x:f>IF($P441="","",INDEX(Tasks!$J$10:$J$1941,$P441))</x:f>
        <x:v>46112</x:v>
      </x:c>
      <x:c r="N441" s="85" t="str">
        <x:f>IF($P441="","",HYPERLINK("#'"&amp;INDEX(Tasks!$T$10:$T$1941,$P441)&amp;"'!A"&amp;INDEX(Tasks!$U$10:$U$1941,$P441),"Open"))</x:f>
        <x:v>Open</x:v>
      </x:c>
      <x:c r="O441" s="14"/>
      <x:c r="P441" s="14" t="n">
        <x:f>IF(420&gt;$B$10,"",MATCH(420,Tasks!$S$10:$S$1941,0))</x:f>
        <x:v>784</x:v>
      </x:c>
    </x:row>
    <x:row r="442" ht="58" customHeight="1">
      <x:c r="B442" s="86" t="str">
        <x:f>IF($P442="","",INDEX(Tasks!$B$10:$B$1941,$P442))</x:f>
        <x:v>Cycle 1</x:v>
      </x:c>
      <x:c r="C442" s="86" t="str">
        <x:f>IF($P442="","",INDEX(Tasks!$C$10:$C$1941,$P442))</x:f>
        <x:v>Phase 2</x:v>
      </x:c>
      <x:c r="D442" s="86" t="str">
        <x:f>IF($P442="","",INDEX(Tasks!$D$10:$D$1941,$P442))</x:f>
        <x:v>CSBBO - Banking Ops</x:v>
      </x:c>
      <x:c r="E442" s="86"/>
      <x:c r="F442" s="86" t="str">
        <x:f>IF($P442="","",INDEX(Tasks!$E$10:$E$1941,$P442))</x:f>
        <x:v>Research &amp; Analysis</x:v>
      </x:c>
      <x:c r="G442" s="86"/>
      <x:c r="H442" s="14" t="str">
        <x:f>IF($P442="","",INDEX(Tasks!$F$10:$F$1941,$P442)&amp;CHAR(10)&amp;INDEX(Tasks!$G$10:$G$1941,$P442))</x:f>
        <x:v>RA.BO.2.2
Review relevant policies and procedures</x:v>
      </x:c>
      <x:c r="I442" s="14"/>
      <x:c r="J442" s="14"/>
      <x:c r="K442" s="14"/>
      <x:c r="L442" s="86" t="str">
        <x:f>IF($P442="","",INDEX(Tasks!$N$10:$N$1941,$P442))</x:f>
        <x:v>Not started</x:v>
      </x:c>
      <x:c r="M442" s="87" t="n">
        <x:f>IF($P442="","",INDEX(Tasks!$J$10:$J$1941,$P442))</x:f>
        <x:v>46112</x:v>
      </x:c>
      <x:c r="N442" s="85" t="str">
        <x:f>IF($P442="","",HYPERLINK("#'"&amp;INDEX(Tasks!$T$10:$T$1941,$P442)&amp;"'!A"&amp;INDEX(Tasks!$U$10:$U$1941,$P442),"Open"))</x:f>
        <x:v>Open</x:v>
      </x:c>
      <x:c r="O442" s="14"/>
      <x:c r="P442" s="14" t="n">
        <x:f>IF(421&gt;$B$10,"",MATCH(421,Tasks!$S$10:$S$1941,0))</x:f>
        <x:v>785</x:v>
      </x:c>
    </x:row>
    <x:row r="443" ht="58" customHeight="1">
      <x:c r="B443" s="86" t="str">
        <x:f>IF($P443="","",INDEX(Tasks!$B$10:$B$1941,$P443))</x:f>
        <x:v>Cycle 1</x:v>
      </x:c>
      <x:c r="C443" s="86" t="str">
        <x:f>IF($P443="","",INDEX(Tasks!$C$10:$C$1941,$P443))</x:f>
        <x:v>Phase 2</x:v>
      </x:c>
      <x:c r="D443" s="86" t="str">
        <x:f>IF($P443="","",INDEX(Tasks!$D$10:$D$1941,$P443))</x:f>
        <x:v>CSBBO - Banking Ops</x:v>
      </x:c>
      <x:c r="E443" s="86"/>
      <x:c r="F443" s="86" t="str">
        <x:f>IF($P443="","",INDEX(Tasks!$E$10:$E$1941,$P443))</x:f>
        <x:v>Research &amp; Analysis</x:v>
      </x:c>
      <x:c r="G443" s="86"/>
      <x:c r="H443" s="14" t="str">
        <x:f>IF($P443="","",INDEX(Tasks!$F$10:$F$1941,$P443)&amp;CHAR(10)&amp;INDEX(Tasks!$G$10:$G$1941,$P443))</x:f>
        <x:v>RA.BO.2.3
Meet with SMEs to gain business insight and clarify questions</x:v>
      </x:c>
      <x:c r="I443" s="14"/>
      <x:c r="J443" s="14"/>
      <x:c r="K443" s="14"/>
      <x:c r="L443" s="86" t="str">
        <x:f>IF($P443="","",INDEX(Tasks!$N$10:$N$1941,$P443))</x:f>
        <x:v>Not started</x:v>
      </x:c>
      <x:c r="M443" s="87" t="n">
        <x:f>IF($P443="","",INDEX(Tasks!$J$10:$J$1941,$P443))</x:f>
        <x:v>46112</x:v>
      </x:c>
      <x:c r="N443" s="85" t="str">
        <x:f>IF($P443="","",HYPERLINK("#'"&amp;INDEX(Tasks!$T$10:$T$1941,$P443)&amp;"'!A"&amp;INDEX(Tasks!$U$10:$U$1941,$P443),"Open"))</x:f>
        <x:v>Open</x:v>
      </x:c>
      <x:c r="O443" s="14"/>
      <x:c r="P443" s="14" t="n">
        <x:f>IF(422&gt;$B$10,"",MATCH(422,Tasks!$S$10:$S$1941,0))</x:f>
        <x:v>786</x:v>
      </x:c>
    </x:row>
    <x:row r="444" ht="58" customHeight="1">
      <x:c r="B444" s="86" t="str">
        <x:f>IF($P444="","",INDEX(Tasks!$B$10:$B$1941,$P444))</x:f>
        <x:v>Cycle 1</x:v>
      </x:c>
      <x:c r="C444" s="86" t="str">
        <x:f>IF($P444="","",INDEX(Tasks!$C$10:$C$1941,$P444))</x:f>
        <x:v>Phase 2</x:v>
      </x:c>
      <x:c r="D444" s="86" t="str">
        <x:f>IF($P444="","",INDEX(Tasks!$D$10:$D$1941,$P444))</x:f>
        <x:v>CSBBO - Banking Ops</x:v>
      </x:c>
      <x:c r="E444" s="86"/>
      <x:c r="F444" s="86" t="str">
        <x:f>IF($P444="","",INDEX(Tasks!$E$10:$E$1941,$P444))</x:f>
        <x:v>Research &amp; Analysis</x:v>
      </x:c>
      <x:c r="G444" s="86"/>
      <x:c r="H444" s="14" t="str">
        <x:f>IF($P444="","",INDEX(Tasks!$F$10:$F$1941,$P444)&amp;CHAR(10)&amp;INDEX(Tasks!$G$10:$G$1941,$P444))</x:f>
        <x:v>RA.BO.2.4
Establish and maintain a recurring meeting with D&amp;I to discuss Cycle progress</x:v>
      </x:c>
      <x:c r="I444" s="14"/>
      <x:c r="J444" s="14"/>
      <x:c r="K444" s="14"/>
      <x:c r="L444" s="86" t="str">
        <x:f>IF($P444="","",INDEX(Tasks!$N$10:$N$1941,$P444))</x:f>
        <x:v>Not started</x:v>
      </x:c>
      <x:c r="M444" s="87" t="n">
        <x:f>IF($P444="","",INDEX(Tasks!$J$10:$J$1941,$P444))</x:f>
        <x:v>46112</x:v>
      </x:c>
      <x:c r="N444" s="85" t="str">
        <x:f>IF($P444="","",HYPERLINK("#'"&amp;INDEX(Tasks!$T$10:$T$1941,$P444)&amp;"'!A"&amp;INDEX(Tasks!$U$10:$U$1941,$P444),"Open"))</x:f>
        <x:v>Open</x:v>
      </x:c>
      <x:c r="O444" s="14"/>
      <x:c r="P444" s="14" t="n">
        <x:f>IF(423&gt;$B$10,"",MATCH(423,Tasks!$S$10:$S$1941,0))</x:f>
        <x:v>787</x:v>
      </x:c>
    </x:row>
    <x:row r="445" ht="58" customHeight="1">
      <x:c r="B445" s="86" t="str">
        <x:f>IF($P445="","",INDEX(Tasks!$B$10:$B$1941,$P445))</x:f>
        <x:v>Cycle 1</x:v>
      </x:c>
      <x:c r="C445" s="86" t="str">
        <x:f>IF($P445="","",INDEX(Tasks!$C$10:$C$1941,$P445))</x:f>
        <x:v>Phase 2</x:v>
      </x:c>
      <x:c r="D445" s="86" t="str">
        <x:f>IF($P445="","",INDEX(Tasks!$D$10:$D$1941,$P445))</x:f>
        <x:v>CSBBO - Banking Ops</x:v>
      </x:c>
      <x:c r="E445" s="86"/>
      <x:c r="F445" s="86" t="str">
        <x:f>IF($P445="","",INDEX(Tasks!$E$10:$E$1941,$P445))</x:f>
        <x:v>Research &amp; Analysis</x:v>
      </x:c>
      <x:c r="G445" s="86"/>
      <x:c r="H445" s="14" t="str">
        <x:f>IF($P445="","",INDEX(Tasks!$F$10:$F$1941,$P445)&amp;CHAR(10)&amp;INDEX(Tasks!$G$10:$G$1941,$P445))</x:f>
        <x:v>RA.BO.2.5
Perform data testing and sampling</x:v>
      </x:c>
      <x:c r="I445" s="14"/>
      <x:c r="J445" s="14"/>
      <x:c r="K445" s="14"/>
      <x:c r="L445" s="86" t="str">
        <x:f>IF($P445="","",INDEX(Tasks!$N$10:$N$1941,$P445))</x:f>
        <x:v>Not started</x:v>
      </x:c>
      <x:c r="M445" s="87" t="n">
        <x:f>IF($P445="","",INDEX(Tasks!$J$10:$J$1941,$P445))</x:f>
        <x:v>46112</x:v>
      </x:c>
      <x:c r="N445" s="85" t="str">
        <x:f>IF($P445="","",HYPERLINK("#'"&amp;INDEX(Tasks!$T$10:$T$1941,$P445)&amp;"'!A"&amp;INDEX(Tasks!$U$10:$U$1941,$P445),"Open"))</x:f>
        <x:v>Open</x:v>
      </x:c>
      <x:c r="O445" s="14"/>
      <x:c r="P445" s="14" t="n">
        <x:f>IF(424&gt;$B$10,"",MATCH(424,Tasks!$S$10:$S$1941,0))</x:f>
        <x:v>788</x:v>
      </x:c>
    </x:row>
    <x:row r="446" ht="58" customHeight="1">
      <x:c r="B446" s="86" t="str">
        <x:f>IF($P446="","",INDEX(Tasks!$B$10:$B$1941,$P446))</x:f>
        <x:v>Cycle 1</x:v>
      </x:c>
      <x:c r="C446" s="86" t="str">
        <x:f>IF($P446="","",INDEX(Tasks!$C$10:$C$1941,$P446))</x:f>
        <x:v>Phase 2</x:v>
      </x:c>
      <x:c r="D446" s="86" t="str">
        <x:f>IF($P446="","",INDEX(Tasks!$D$10:$D$1941,$P446))</x:f>
        <x:v>CSBBO - Banking Ops</x:v>
      </x:c>
      <x:c r="E446" s="86"/>
      <x:c r="F446" s="86" t="str">
        <x:f>IF($P446="","",INDEX(Tasks!$E$10:$E$1941,$P446))</x:f>
        <x:v>Research &amp; Analysis</x:v>
      </x:c>
      <x:c r="G446" s="86"/>
      <x:c r="H446" s="14" t="str">
        <x:f>IF($P446="","",INDEX(Tasks!$F$10:$F$1941,$P446)&amp;CHAR(10)&amp;INDEX(Tasks!$G$10:$G$1941,$P446))</x:f>
        <x:v>RA.BO.2.6
Complete Positive Testing</x:v>
      </x:c>
      <x:c r="I446" s="14"/>
      <x:c r="J446" s="14"/>
      <x:c r="K446" s="14"/>
      <x:c r="L446" s="86" t="str">
        <x:f>IF($P446="","",INDEX(Tasks!$N$10:$N$1941,$P446))</x:f>
        <x:v>Not started</x:v>
      </x:c>
      <x:c r="M446" s="87" t="n">
        <x:f>IF($P446="","",INDEX(Tasks!$J$10:$J$1941,$P446))</x:f>
        <x:v>46112</x:v>
      </x:c>
      <x:c r="N446" s="85" t="str">
        <x:f>IF($P446="","",HYPERLINK("#'"&amp;INDEX(Tasks!$T$10:$T$1941,$P446)&amp;"'!A"&amp;INDEX(Tasks!$U$10:$U$1941,$P446),"Open"))</x:f>
        <x:v>Open</x:v>
      </x:c>
      <x:c r="O446" s="14"/>
      <x:c r="P446" s="14" t="n">
        <x:f>IF(425&gt;$B$10,"",MATCH(425,Tasks!$S$10:$S$1941,0))</x:f>
        <x:v>789</x:v>
      </x:c>
    </x:row>
    <x:row r="447" ht="58" customHeight="1">
      <x:c r="B447" s="86" t="str">
        <x:f>IF($P447="","",INDEX(Tasks!$B$10:$B$1941,$P447))</x:f>
        <x:v>Cycle 1</x:v>
      </x:c>
      <x:c r="C447" s="86" t="str">
        <x:f>IF($P447="","",INDEX(Tasks!$C$10:$C$1941,$P447))</x:f>
        <x:v>Phase 2</x:v>
      </x:c>
      <x:c r="D447" s="86" t="str">
        <x:f>IF($P447="","",INDEX(Tasks!$D$10:$D$1941,$P447))</x:f>
        <x:v>CSBBO - Banking Ops</x:v>
      </x:c>
      <x:c r="E447" s="86"/>
      <x:c r="F447" s="86" t="str">
        <x:f>IF($P447="","",INDEX(Tasks!$E$10:$E$1941,$P447))</x:f>
        <x:v>Research &amp; Analysis</x:v>
      </x:c>
      <x:c r="G447" s="86"/>
      <x:c r="H447" s="14" t="str">
        <x:f>IF($P447="","",INDEX(Tasks!$F$10:$F$1941,$P447)&amp;CHAR(10)&amp;INDEX(Tasks!$G$10:$G$1941,$P447))</x:f>
        <x:v>RA.BO.2.7
Complete Negative Testing</x:v>
      </x:c>
      <x:c r="I447" s="14"/>
      <x:c r="J447" s="14"/>
      <x:c r="K447" s="14"/>
      <x:c r="L447" s="86" t="str">
        <x:f>IF($P447="","",INDEX(Tasks!$N$10:$N$1941,$P447))</x:f>
        <x:v>Not started</x:v>
      </x:c>
      <x:c r="M447" s="87" t="n">
        <x:f>IF($P447="","",INDEX(Tasks!$J$10:$J$1941,$P447))</x:f>
        <x:v>46112</x:v>
      </x:c>
      <x:c r="N447" s="85" t="str">
        <x:f>IF($P447="","",HYPERLINK("#'"&amp;INDEX(Tasks!$T$10:$T$1941,$P447)&amp;"'!A"&amp;INDEX(Tasks!$U$10:$U$1941,$P447),"Open"))</x:f>
        <x:v>Open</x:v>
      </x:c>
      <x:c r="O447" s="14"/>
      <x:c r="P447" s="14" t="n">
        <x:f>IF(426&gt;$B$10,"",MATCH(426,Tasks!$S$10:$S$1941,0))</x:f>
        <x:v>790</x:v>
      </x:c>
    </x:row>
    <x:row r="448" ht="58" customHeight="1">
      <x:c r="B448" s="86" t="str">
        <x:f>IF($P448="","",INDEX(Tasks!$B$10:$B$1941,$P448))</x:f>
        <x:v>Cycle 1</x:v>
      </x:c>
      <x:c r="C448" s="86" t="str">
        <x:f>IF($P448="","",INDEX(Tasks!$C$10:$C$1941,$P448))</x:f>
        <x:v>Phase 2</x:v>
      </x:c>
      <x:c r="D448" s="86" t="str">
        <x:f>IF($P448="","",INDEX(Tasks!$D$10:$D$1941,$P448))</x:f>
        <x:v>CSBBO - Banking Ops</x:v>
      </x:c>
      <x:c r="E448" s="86"/>
      <x:c r="F448" s="86" t="str">
        <x:f>IF($P448="","",INDEX(Tasks!$E$10:$E$1941,$P448))</x:f>
        <x:v>Research &amp; Analysis</x:v>
      </x:c>
      <x:c r="G448" s="86"/>
      <x:c r="H448" s="14" t="str">
        <x:f>IF($P448="","",INDEX(Tasks!$F$10:$F$1941,$P448)&amp;CHAR(10)&amp;INDEX(Tasks!$G$10:$G$1941,$P448))</x:f>
        <x:v>RA.BO.2.8
Request additional data (as needed)</x:v>
      </x:c>
      <x:c r="I448" s="14"/>
      <x:c r="J448" s="14"/>
      <x:c r="K448" s="14"/>
      <x:c r="L448" s="86" t="str">
        <x:f>IF($P448="","",INDEX(Tasks!$N$10:$N$1941,$P448))</x:f>
        <x:v>Not started</x:v>
      </x:c>
      <x:c r="M448" s="87" t="n">
        <x:f>IF($P448="","",INDEX(Tasks!$J$10:$J$1941,$P448))</x:f>
        <x:v>46112</x:v>
      </x:c>
      <x:c r="N448" s="85" t="str">
        <x:f>IF($P448="","",HYPERLINK("#'"&amp;INDEX(Tasks!$T$10:$T$1941,$P448)&amp;"'!A"&amp;INDEX(Tasks!$U$10:$U$1941,$P448),"Open"))</x:f>
        <x:v>Open</x:v>
      </x:c>
      <x:c r="O448" s="14"/>
      <x:c r="P448" s="14" t="n">
        <x:f>IF(427&gt;$B$10,"",MATCH(427,Tasks!$S$10:$S$1941,0))</x:f>
        <x:v>791</x:v>
      </x:c>
    </x:row>
    <x:row r="449" ht="58" customHeight="1">
      <x:c r="B449" s="86" t="str">
        <x:f>IF($P449="","",INDEX(Tasks!$B$10:$B$1941,$P449))</x:f>
        <x:v>Cycle 1</x:v>
      </x:c>
      <x:c r="C449" s="86" t="str">
        <x:f>IF($P449="","",INDEX(Tasks!$C$10:$C$1941,$P449))</x:f>
        <x:v>Phase 2</x:v>
      </x:c>
      <x:c r="D449" s="86" t="str">
        <x:f>IF($P449="","",INDEX(Tasks!$D$10:$D$1941,$P449))</x:f>
        <x:v>CSBBO - Banking Ops</x:v>
      </x:c>
      <x:c r="E449" s="86"/>
      <x:c r="F449" s="86" t="str">
        <x:f>IF($P449="","",INDEX(Tasks!$E$10:$E$1941,$P449))</x:f>
        <x:v>Research &amp; Analysis</x:v>
      </x:c>
      <x:c r="G449" s="86"/>
      <x:c r="H449" s="14" t="str">
        <x:f>IF($P449="","",INDEX(Tasks!$F$10:$F$1941,$P449)&amp;CHAR(10)&amp;INDEX(Tasks!$G$10:$G$1941,$P449))</x:f>
        <x:v>RA.BO.2.9
Validate or disprove initial hypothesis assumptions</x:v>
      </x:c>
      <x:c r="I449" s="14"/>
      <x:c r="J449" s="14"/>
      <x:c r="K449" s="14"/>
      <x:c r="L449" s="86" t="str">
        <x:f>IF($P449="","",INDEX(Tasks!$N$10:$N$1941,$P449))</x:f>
        <x:v>Not started</x:v>
      </x:c>
      <x:c r="M449" s="87" t="n">
        <x:f>IF($P449="","",INDEX(Tasks!$J$10:$J$1941,$P449))</x:f>
        <x:v>46112</x:v>
      </x:c>
      <x:c r="N449" s="85" t="str">
        <x:f>IF($P449="","",HYPERLINK("#'"&amp;INDEX(Tasks!$T$10:$T$1941,$P449)&amp;"'!A"&amp;INDEX(Tasks!$U$10:$U$1941,$P449),"Open"))</x:f>
        <x:v>Open</x:v>
      </x:c>
      <x:c r="O449" s="14"/>
      <x:c r="P449" s="14" t="n">
        <x:f>IF(428&gt;$B$10,"",MATCH(428,Tasks!$S$10:$S$1941,0))</x:f>
        <x:v>792</x:v>
      </x:c>
    </x:row>
    <x:row r="450" ht="58" customHeight="1">
      <x:c r="B450" s="86" t="str">
        <x:f>IF($P450="","",INDEX(Tasks!$B$10:$B$1941,$P450))</x:f>
        <x:v>Cycle 1</x:v>
      </x:c>
      <x:c r="C450" s="86" t="str">
        <x:f>IF($P450="","",INDEX(Tasks!$C$10:$C$1941,$P450))</x:f>
        <x:v>Phase 2</x:v>
      </x:c>
      <x:c r="D450" s="86" t="str">
        <x:f>IF($P450="","",INDEX(Tasks!$D$10:$D$1941,$P450))</x:f>
        <x:v>CSBBO - Banking Ops</x:v>
      </x:c>
      <x:c r="E450" s="86"/>
      <x:c r="F450" s="86" t="str">
        <x:f>IF($P450="","",INDEX(Tasks!$E$10:$E$1941,$P450))</x:f>
        <x:v>Research &amp; Analysis</x:v>
      </x:c>
      <x:c r="G450" s="86"/>
      <x:c r="H450" s="14" t="str">
        <x:f>IF($P450="","",INDEX(Tasks!$F$10:$F$1941,$P450)&amp;CHAR(10)&amp;INDEX(Tasks!$G$10:$G$1941,$P450))</x:f>
        <x:v>RA.BO.2.10
Identify and confirm root cause</x:v>
      </x:c>
      <x:c r="I450" s="14"/>
      <x:c r="J450" s="14"/>
      <x:c r="K450" s="14"/>
      <x:c r="L450" s="86" t="str">
        <x:f>IF($P450="","",INDEX(Tasks!$N$10:$N$1941,$P450))</x:f>
        <x:v>Not started</x:v>
      </x:c>
      <x:c r="M450" s="87" t="n">
        <x:f>IF($P450="","",INDEX(Tasks!$J$10:$J$1941,$P450))</x:f>
        <x:v>46112</x:v>
      </x:c>
      <x:c r="N450" s="85" t="str">
        <x:f>IF($P450="","",HYPERLINK("#'"&amp;INDEX(Tasks!$T$10:$T$1941,$P450)&amp;"'!A"&amp;INDEX(Tasks!$U$10:$U$1941,$P450),"Open"))</x:f>
        <x:v>Open</x:v>
      </x:c>
      <x:c r="O450" s="14"/>
      <x:c r="P450" s="14" t="n">
        <x:f>IF(429&gt;$B$10,"",MATCH(429,Tasks!$S$10:$S$1941,0))</x:f>
        <x:v>793</x:v>
      </x:c>
    </x:row>
    <x:row r="451" ht="58" customHeight="1">
      <x:c r="B451" s="86" t="str">
        <x:f>IF($P451="","",INDEX(Tasks!$B$10:$B$1941,$P451))</x:f>
        <x:v>Cycle 1</x:v>
      </x:c>
      <x:c r="C451" s="86" t="str">
        <x:f>IF($P451="","",INDEX(Tasks!$C$10:$C$1941,$P451))</x:f>
        <x:v>Phase 3</x:v>
      </x:c>
      <x:c r="D451" s="86" t="str">
        <x:f>IF($P451="","",INDEX(Tasks!$D$10:$D$1941,$P451))</x:f>
        <x:v>CSBBO - Banking Ops</x:v>
      </x:c>
      <x:c r="E451" s="86"/>
      <x:c r="F451" s="86" t="str">
        <x:f>IF($P451="","",INDEX(Tasks!$E$10:$E$1941,$P451))</x:f>
        <x:v>Research &amp; Analysis</x:v>
      </x:c>
      <x:c r="G451" s="86"/>
      <x:c r="H451" s="14" t="str">
        <x:f>IF($P451="","",INDEX(Tasks!$F$10:$F$1941,$P451)&amp;CHAR(10)&amp;INDEX(Tasks!$G$10:$G$1941,$P451))</x:f>
        <x:v>RA.BO.3.1
Finalize results and supporting documentation</x:v>
      </x:c>
      <x:c r="I451" s="14"/>
      <x:c r="J451" s="14"/>
      <x:c r="K451" s="14"/>
      <x:c r="L451" s="86" t="str">
        <x:f>IF($P451="","",INDEX(Tasks!$N$10:$N$1941,$P451))</x:f>
        <x:v>Not started</x:v>
      </x:c>
      <x:c r="M451" s="87" t="n">
        <x:f>IF($P451="","",INDEX(Tasks!$J$10:$J$1941,$P451))</x:f>
        <x:v>46112</x:v>
      </x:c>
      <x:c r="N451" s="85" t="str">
        <x:f>IF($P451="","",HYPERLINK("#'"&amp;INDEX(Tasks!$T$10:$T$1941,$P451)&amp;"'!A"&amp;INDEX(Tasks!$U$10:$U$1941,$P451),"Open"))</x:f>
        <x:v>Open</x:v>
      </x:c>
      <x:c r="O451" s="14"/>
      <x:c r="P451" s="14" t="n">
        <x:f>IF(430&gt;$B$10,"",MATCH(430,Tasks!$S$10:$S$1941,0))</x:f>
        <x:v>794</x:v>
      </x:c>
    </x:row>
    <x:row r="452" ht="58" customHeight="1">
      <x:c r="B452" s="86" t="str">
        <x:f>IF($P452="","",INDEX(Tasks!$B$10:$B$1941,$P452))</x:f>
        <x:v>Cycle 1</x:v>
      </x:c>
      <x:c r="C452" s="86" t="str">
        <x:f>IF($P452="","",INDEX(Tasks!$C$10:$C$1941,$P452))</x:f>
        <x:v>Phase 3</x:v>
      </x:c>
      <x:c r="D452" s="86" t="str">
        <x:f>IF($P452="","",INDEX(Tasks!$D$10:$D$1941,$P452))</x:f>
        <x:v>CSBBO - Banking Ops</x:v>
      </x:c>
      <x:c r="E452" s="86"/>
      <x:c r="F452" s="86" t="str">
        <x:f>IF($P452="","",INDEX(Tasks!$E$10:$E$1941,$P452))</x:f>
        <x:v>Research &amp; Analysis</x:v>
      </x:c>
      <x:c r="G452" s="86"/>
      <x:c r="H452" s="14" t="str">
        <x:f>IF($P452="","",INDEX(Tasks!$F$10:$F$1941,$P452)&amp;CHAR(10)&amp;INDEX(Tasks!$G$10:$G$1941,$P452))</x:f>
        <x:v>RA.BO.3.2
Maintain and update the evidence package prior to handoff to D&amp;I</x:v>
      </x:c>
      <x:c r="I452" s="14"/>
      <x:c r="J452" s="14"/>
      <x:c r="K452" s="14"/>
      <x:c r="L452" s="86" t="str">
        <x:f>IF($P452="","",INDEX(Tasks!$N$10:$N$1941,$P452))</x:f>
        <x:v>Not started</x:v>
      </x:c>
      <x:c r="M452" s="87" t="n">
        <x:f>IF($P452="","",INDEX(Tasks!$J$10:$J$1941,$P452))</x:f>
        <x:v>46112</x:v>
      </x:c>
      <x:c r="N452" s="85" t="str">
        <x:f>IF($P452="","",HYPERLINK("#'"&amp;INDEX(Tasks!$T$10:$T$1941,$P452)&amp;"'!A"&amp;INDEX(Tasks!$U$10:$U$1941,$P452),"Open"))</x:f>
        <x:v>Open</x:v>
      </x:c>
      <x:c r="O452" s="14"/>
      <x:c r="P452" s="14" t="n">
        <x:f>IF(431&gt;$B$10,"",MATCH(431,Tasks!$S$10:$S$1941,0))</x:f>
        <x:v>795</x:v>
      </x:c>
    </x:row>
    <x:row r="453" ht="58" customHeight="1">
      <x:c r="B453" s="86" t="str">
        <x:f>IF($P453="","",INDEX(Tasks!$B$10:$B$1941,$P453))</x:f>
        <x:v>Cycle 1</x:v>
      </x:c>
      <x:c r="C453" s="86" t="str">
        <x:f>IF($P453="","",INDEX(Tasks!$C$10:$C$1941,$P453))</x:f>
        <x:v>Phase 3</x:v>
      </x:c>
      <x:c r="D453" s="86" t="str">
        <x:f>IF($P453="","",INDEX(Tasks!$D$10:$D$1941,$P453))</x:f>
        <x:v>CSBBO - Banking Ops</x:v>
      </x:c>
      <x:c r="E453" s="86"/>
      <x:c r="F453" s="86" t="str">
        <x:f>IF($P453="","",INDEX(Tasks!$E$10:$E$1941,$P453))</x:f>
        <x:v>Research &amp; Analysis</x:v>
      </x:c>
      <x:c r="G453" s="86"/>
      <x:c r="H453" s="14" t="str">
        <x:f>IF($P453="","",INDEX(Tasks!$F$10:$F$1941,$P453)&amp;CHAR(10)&amp;INDEX(Tasks!$G$10:$G$1941,$P453))</x:f>
        <x:v>RA.BO.3.3
Address any outstanding questions or requests from D&amp;I</x:v>
      </x:c>
      <x:c r="I453" s="14"/>
      <x:c r="J453" s="14"/>
      <x:c r="K453" s="14"/>
      <x:c r="L453" s="86" t="str">
        <x:f>IF($P453="","",INDEX(Tasks!$N$10:$N$1941,$P453))</x:f>
        <x:v>Not started</x:v>
      </x:c>
      <x:c r="M453" s="87" t="n">
        <x:f>IF($P453="","",INDEX(Tasks!$J$10:$J$1941,$P453))</x:f>
        <x:v>46112</x:v>
      </x:c>
      <x:c r="N453" s="85" t="str">
        <x:f>IF($P453="","",HYPERLINK("#'"&amp;INDEX(Tasks!$T$10:$T$1941,$P453)&amp;"'!A"&amp;INDEX(Tasks!$U$10:$U$1941,$P453),"Open"))</x:f>
        <x:v>Open</x:v>
      </x:c>
      <x:c r="O453" s="14"/>
      <x:c r="P453" s="14" t="n">
        <x:f>IF(432&gt;$B$10,"",MATCH(432,Tasks!$S$10:$S$1941,0))</x:f>
        <x:v>796</x:v>
      </x:c>
    </x:row>
    <x:row r="454" ht="58" customHeight="1">
      <x:c r="B454" s="86" t="str">
        <x:f>IF($P454="","",INDEX(Tasks!$B$10:$B$1941,$P454))</x:f>
        <x:v>Cycle 1</x:v>
      </x:c>
      <x:c r="C454" s="86" t="str">
        <x:f>IF($P454="","",INDEX(Tasks!$C$10:$C$1941,$P454))</x:f>
        <x:v>Phase 3</x:v>
      </x:c>
      <x:c r="D454" s="86" t="str">
        <x:f>IF($P454="","",INDEX(Tasks!$D$10:$D$1941,$P454))</x:f>
        <x:v>CSBBO - Banking Ops</x:v>
      </x:c>
      <x:c r="E454" s="86"/>
      <x:c r="F454" s="86" t="str">
        <x:f>IF($P454="","",INDEX(Tasks!$E$10:$E$1941,$P454))</x:f>
        <x:v>Research &amp; Analysis</x:v>
      </x:c>
      <x:c r="G454" s="86"/>
      <x:c r="H454" s="14" t="str">
        <x:f>IF($P454="","",INDEX(Tasks!$F$10:$F$1941,$P454)&amp;CHAR(10)&amp;INDEX(Tasks!$G$10:$G$1941,$P454))</x:f>
        <x:v>RA.BO.3.4
Attend Forum meeting with D&amp;I to assist with answering stakeholder questions (as needed)</x:v>
      </x:c>
      <x:c r="I454" s="14"/>
      <x:c r="J454" s="14"/>
      <x:c r="K454" s="14"/>
      <x:c r="L454" s="86" t="str">
        <x:f>IF($P454="","",INDEX(Tasks!$N$10:$N$1941,$P454))</x:f>
        <x:v>Not started</x:v>
      </x:c>
      <x:c r="M454" s="87" t="str">
        <x:f>IF($P454="","",INDEX(Tasks!$J$10:$J$1941,$P454))</x:f>
      </x:c>
      <x:c r="N454" s="85" t="str">
        <x:f>IF($P454="","",HYPERLINK("#'"&amp;INDEX(Tasks!$T$10:$T$1941,$P454)&amp;"'!A"&amp;INDEX(Tasks!$U$10:$U$1941,$P454),"Open"))</x:f>
        <x:v>Open</x:v>
      </x:c>
      <x:c r="O454" s="14"/>
      <x:c r="P454" s="14" t="n">
        <x:f>IF(433&gt;$B$10,"",MATCH(433,Tasks!$S$10:$S$1941,0))</x:f>
        <x:v>797</x:v>
      </x:c>
    </x:row>
    <x:row r="455" ht="58" customHeight="1">
      <x:c r="B455" s="86" t="str">
        <x:f>IF($P455="","",INDEX(Tasks!$B$10:$B$1941,$P455))</x:f>
        <x:v>Cycle 1</x:v>
      </x:c>
      <x:c r="C455" s="86" t="str">
        <x:f>IF($P455="","",INDEX(Tasks!$C$10:$C$1941,$P455))</x:f>
        <x:v>Phase 1</x:v>
      </x:c>
      <x:c r="D455" s="86" t="str">
        <x:f>IF($P455="","",INDEX(Tasks!$D$10:$D$1941,$P455))</x:f>
        <x:v>CSBBO - Customer Service</x:v>
      </x:c>
      <x:c r="E455" s="86"/>
      <x:c r="F455" s="86" t="str">
        <x:f>IF($P455="","",INDEX(Tasks!$E$10:$E$1941,$P455))</x:f>
        <x:v>Research &amp; Analysis</x:v>
      </x:c>
      <x:c r="G455" s="86"/>
      <x:c r="H455" s="14" t="str">
        <x:f>IF($P455="","",INDEX(Tasks!$F$10:$F$1941,$P455)&amp;CHAR(10)&amp;INDEX(Tasks!$G$10:$G$1941,$P455))</x:f>
        <x:v>RA.CS.1.1
Begin Research process 2 weeks prior to Cycle start</x:v>
      </x:c>
      <x:c r="I455" s="14"/>
      <x:c r="J455" s="14"/>
      <x:c r="K455" s="14"/>
      <x:c r="L455" s="86" t="str">
        <x:f>IF($P455="","",INDEX(Tasks!$N$10:$N$1941,$P455))</x:f>
        <x:v>Not started</x:v>
      </x:c>
      <x:c r="M455" s="87" t="n">
        <x:f>IF($P455="","",INDEX(Tasks!$J$10:$J$1941,$P455))</x:f>
        <x:v>46009</x:v>
      </x:c>
      <x:c r="N455" s="85" t="str">
        <x:f>IF($P455="","",HYPERLINK("#'"&amp;INDEX(Tasks!$T$10:$T$1941,$P455)&amp;"'!A"&amp;INDEX(Tasks!$U$10:$U$1941,$P455),"Open"))</x:f>
        <x:v>Open</x:v>
      </x:c>
      <x:c r="O455" s="14"/>
      <x:c r="P455" s="14" t="n">
        <x:f>IF(434&gt;$B$10,"",MATCH(434,Tasks!$S$10:$S$1941,0))</x:f>
        <x:v>798</x:v>
      </x:c>
    </x:row>
    <x:row r="456" ht="58" customHeight="1">
      <x:c r="B456" s="86" t="str">
        <x:f>IF($P456="","",INDEX(Tasks!$B$10:$B$1941,$P456))</x:f>
        <x:v>Cycle 1</x:v>
      </x:c>
      <x:c r="C456" s="86" t="str">
        <x:f>IF($P456="","",INDEX(Tasks!$C$10:$C$1941,$P456))</x:f>
        <x:v>Phase 1</x:v>
      </x:c>
      <x:c r="D456" s="86" t="str">
        <x:f>IF($P456="","",INDEX(Tasks!$D$10:$D$1941,$P456))</x:f>
        <x:v>CSBBO - Customer Service</x:v>
      </x:c>
      <x:c r="E456" s="86"/>
      <x:c r="F456" s="86" t="str">
        <x:f>IF($P456="","",INDEX(Tasks!$E$10:$E$1941,$P456))</x:f>
        <x:v>Research &amp; Analysis</x:v>
      </x:c>
      <x:c r="G456" s="86"/>
      <x:c r="H456" s="14" t="str">
        <x:f>IF($P456="","",INDEX(Tasks!$F$10:$F$1941,$P456)&amp;CHAR(10)&amp;INDEX(Tasks!$G$10:$G$1941,$P456))</x:f>
        <x:v>RA.CS.1.2
Conduct initial assessment of each topic recommendation from SharePoint list</x:v>
      </x:c>
      <x:c r="I456" s="14"/>
      <x:c r="J456" s="14"/>
      <x:c r="K456" s="14"/>
      <x:c r="L456" s="86" t="str">
        <x:f>IF($P456="","",INDEX(Tasks!$N$10:$N$1941,$P456))</x:f>
        <x:v>Not started</x:v>
      </x:c>
      <x:c r="M456" s="87" t="n">
        <x:f>IF($P456="","",INDEX(Tasks!$J$10:$J$1941,$P456))</x:f>
        <x:v>46112</x:v>
      </x:c>
      <x:c r="N456" s="85" t="str">
        <x:f>IF($P456="","",HYPERLINK("#'"&amp;INDEX(Tasks!$T$10:$T$1941,$P456)&amp;"'!A"&amp;INDEX(Tasks!$U$10:$U$1941,$P456),"Open"))</x:f>
        <x:v>Open</x:v>
      </x:c>
      <x:c r="O456" s="14"/>
      <x:c r="P456" s="14" t="n">
        <x:f>IF(435&gt;$B$10,"",MATCH(435,Tasks!$S$10:$S$1941,0))</x:f>
        <x:v>799</x:v>
      </x:c>
    </x:row>
    <x:row r="457" ht="58" customHeight="1">
      <x:c r="B457" s="86" t="str">
        <x:f>IF($P457="","",INDEX(Tasks!$B$10:$B$1941,$P457))</x:f>
        <x:v>Cycle 1</x:v>
      </x:c>
      <x:c r="C457" s="86" t="str">
        <x:f>IF($P457="","",INDEX(Tasks!$C$10:$C$1941,$P457))</x:f>
        <x:v>Phase 1</x:v>
      </x:c>
      <x:c r="D457" s="86" t="str">
        <x:f>IF($P457="","",INDEX(Tasks!$D$10:$D$1941,$P457))</x:f>
        <x:v>CSBBO - Customer Service</x:v>
      </x:c>
      <x:c r="E457" s="86"/>
      <x:c r="F457" s="86" t="str">
        <x:f>IF($P457="","",INDEX(Tasks!$E$10:$E$1941,$P457))</x:f>
        <x:v>Research &amp; Analysis</x:v>
      </x:c>
      <x:c r="G457" s="86"/>
      <x:c r="H457" s="14" t="str">
        <x:f>IF($P457="","",INDEX(Tasks!$F$10:$F$1941,$P457)&amp;CHAR(10)&amp;INDEX(Tasks!$G$10:$G$1941,$P457))</x:f>
        <x:v>RA.CS.1.3
Identify best topic for Cycle</x:v>
      </x:c>
      <x:c r="I457" s="14"/>
      <x:c r="J457" s="14"/>
      <x:c r="K457" s="14"/>
      <x:c r="L457" s="86" t="str">
        <x:f>IF($P457="","",INDEX(Tasks!$N$10:$N$1941,$P457))</x:f>
        <x:v>Not started</x:v>
      </x:c>
      <x:c r="M457" s="87" t="n">
        <x:f>IF($P457="","",INDEX(Tasks!$J$10:$J$1941,$P457))</x:f>
        <x:v>46112</x:v>
      </x:c>
      <x:c r="N457" s="85" t="str">
        <x:f>IF($P457="","",HYPERLINK("#'"&amp;INDEX(Tasks!$T$10:$T$1941,$P457)&amp;"'!A"&amp;INDEX(Tasks!$U$10:$U$1941,$P457),"Open"))</x:f>
        <x:v>Open</x:v>
      </x:c>
      <x:c r="O457" s="14"/>
      <x:c r="P457" s="14" t="n">
        <x:f>IF(436&gt;$B$10,"",MATCH(436,Tasks!$S$10:$S$1941,0))</x:f>
        <x:v>800</x:v>
      </x:c>
    </x:row>
    <x:row r="458" ht="58" customHeight="1">
      <x:c r="B458" s="86" t="str">
        <x:f>IF($P458="","",INDEX(Tasks!$B$10:$B$1941,$P458))</x:f>
        <x:v>Cycle 1</x:v>
      </x:c>
      <x:c r="C458" s="86" t="str">
        <x:f>IF($P458="","",INDEX(Tasks!$C$10:$C$1941,$P458))</x:f>
        <x:v>Phase 1</x:v>
      </x:c>
      <x:c r="D458" s="86" t="str">
        <x:f>IF($P458="","",INDEX(Tasks!$D$10:$D$1941,$P458))</x:f>
        <x:v>CSBBO - Customer Service</x:v>
      </x:c>
      <x:c r="E458" s="86"/>
      <x:c r="F458" s="86" t="str">
        <x:f>IF($P458="","",INDEX(Tasks!$E$10:$E$1941,$P458))</x:f>
        <x:v>Research &amp; Analysis</x:v>
      </x:c>
      <x:c r="G458" s="86"/>
      <x:c r="H458" s="14" t="str">
        <x:f>IF($P458="","",INDEX(Tasks!$F$10:$F$1941,$P458)&amp;CHAR(10)&amp;INDEX(Tasks!$G$10:$G$1941,$P458))</x:f>
        <x:v>RA.CS.1.4
Identify backup topic for Cycle</x:v>
      </x:c>
      <x:c r="I458" s="14"/>
      <x:c r="J458" s="14"/>
      <x:c r="K458" s="14"/>
      <x:c r="L458" s="86" t="str">
        <x:f>IF($P458="","",INDEX(Tasks!$N$10:$N$1941,$P458))</x:f>
        <x:v>Not started</x:v>
      </x:c>
      <x:c r="M458" s="87" t="n">
        <x:f>IF($P458="","",INDEX(Tasks!$J$10:$J$1941,$P458))</x:f>
        <x:v>46112</x:v>
      </x:c>
      <x:c r="N458" s="85" t="str">
        <x:f>IF($P458="","",HYPERLINK("#'"&amp;INDEX(Tasks!$T$10:$T$1941,$P458)&amp;"'!A"&amp;INDEX(Tasks!$U$10:$U$1941,$P458),"Open"))</x:f>
        <x:v>Open</x:v>
      </x:c>
      <x:c r="O458" s="14"/>
      <x:c r="P458" s="14" t="n">
        <x:f>IF(437&gt;$B$10,"",MATCH(437,Tasks!$S$10:$S$1941,0))</x:f>
        <x:v>801</x:v>
      </x:c>
    </x:row>
    <x:row r="459" ht="58" customHeight="1">
      <x:c r="B459" s="86" t="str">
        <x:f>IF($P459="","",INDEX(Tasks!$B$10:$B$1941,$P459))</x:f>
        <x:v>Cycle 1</x:v>
      </x:c>
      <x:c r="C459" s="86" t="str">
        <x:f>IF($P459="","",INDEX(Tasks!$C$10:$C$1941,$P459))</x:f>
        <x:v>Phase 1</x:v>
      </x:c>
      <x:c r="D459" s="86" t="str">
        <x:f>IF($P459="","",INDEX(Tasks!$D$10:$D$1941,$P459))</x:f>
        <x:v>CSBBO - Customer Service</x:v>
      </x:c>
      <x:c r="E459" s="86"/>
      <x:c r="F459" s="86" t="str">
        <x:f>IF($P459="","",INDEX(Tasks!$E$10:$E$1941,$P459))</x:f>
        <x:v>Research &amp; Analysis</x:v>
      </x:c>
      <x:c r="G459" s="86"/>
      <x:c r="H459" s="14" t="str">
        <x:f>IF($P459="","",INDEX(Tasks!$F$10:$F$1941,$P459)&amp;CHAR(10)&amp;INDEX(Tasks!$G$10:$G$1941,$P459))</x:f>
        <x:v>RA.CS.1.5
Schedule topic approval meeting with D&amp;I and management</x:v>
      </x:c>
      <x:c r="I459" s="14"/>
      <x:c r="J459" s="14"/>
      <x:c r="K459" s="14"/>
      <x:c r="L459" s="86" t="str">
        <x:f>IF($P459="","",INDEX(Tasks!$N$10:$N$1941,$P459))</x:f>
        <x:v>Not started</x:v>
      </x:c>
      <x:c r="M459" s="87" t="n">
        <x:f>IF($P459="","",INDEX(Tasks!$J$10:$J$1941,$P459))</x:f>
        <x:v>46112</x:v>
      </x:c>
      <x:c r="N459" s="85" t="str">
        <x:f>IF($P459="","",HYPERLINK("#'"&amp;INDEX(Tasks!$T$10:$T$1941,$P459)&amp;"'!A"&amp;INDEX(Tasks!$U$10:$U$1941,$P459),"Open"))</x:f>
        <x:v>Open</x:v>
      </x:c>
      <x:c r="O459" s="14"/>
      <x:c r="P459" s="14" t="n">
        <x:f>IF(438&gt;$B$10,"",MATCH(438,Tasks!$S$10:$S$1941,0))</x:f>
        <x:v>802</x:v>
      </x:c>
    </x:row>
    <x:row r="460" ht="58" customHeight="1">
      <x:c r="B460" s="86" t="str">
        <x:f>IF($P460="","",INDEX(Tasks!$B$10:$B$1941,$P460))</x:f>
        <x:v>Cycle 1</x:v>
      </x:c>
      <x:c r="C460" s="86" t="str">
        <x:f>IF($P460="","",INDEX(Tasks!$C$10:$C$1941,$P460))</x:f>
        <x:v>Phase 1</x:v>
      </x:c>
      <x:c r="D460" s="86" t="str">
        <x:f>IF($P460="","",INDEX(Tasks!$D$10:$D$1941,$P460))</x:f>
        <x:v>CSBBO - Customer Service</x:v>
      </x:c>
      <x:c r="E460" s="86"/>
      <x:c r="F460" s="86" t="str">
        <x:f>IF($P460="","",INDEX(Tasks!$E$10:$E$1941,$P460))</x:f>
        <x:v>Research &amp; Analysis</x:v>
      </x:c>
      <x:c r="G460" s="86"/>
      <x:c r="H460" s="14" t="str">
        <x:f>IF($P460="","",INDEX(Tasks!$F$10:$F$1941,$P460)&amp;CHAR(10)&amp;INDEX(Tasks!$G$10:$G$1941,$P460))</x:f>
        <x:v>RA.CS.1.6
Present recommended topic to D&amp;I and management for approval</x:v>
      </x:c>
      <x:c r="I460" s="14"/>
      <x:c r="J460" s="14"/>
      <x:c r="K460" s="14"/>
      <x:c r="L460" s="86" t="str">
        <x:f>IF($P460="","",INDEX(Tasks!$N$10:$N$1941,$P460))</x:f>
        <x:v>Not started</x:v>
      </x:c>
      <x:c r="M460" s="87" t="n">
        <x:f>IF($P460="","",INDEX(Tasks!$J$10:$J$1941,$P460))</x:f>
        <x:v>46112</x:v>
      </x:c>
      <x:c r="N460" s="85" t="str">
        <x:f>IF($P460="","",HYPERLINK("#'"&amp;INDEX(Tasks!$T$10:$T$1941,$P460)&amp;"'!A"&amp;INDEX(Tasks!$U$10:$U$1941,$P460),"Open"))</x:f>
        <x:v>Open</x:v>
      </x:c>
      <x:c r="O460" s="14"/>
      <x:c r="P460" s="14" t="n">
        <x:f>IF(439&gt;$B$10,"",MATCH(439,Tasks!$S$10:$S$1941,0))</x:f>
        <x:v>803</x:v>
      </x:c>
    </x:row>
    <x:row r="461" ht="58" customHeight="1">
      <x:c r="B461" s="86" t="str">
        <x:f>IF($P461="","",INDEX(Tasks!$B$10:$B$1941,$P461))</x:f>
        <x:v>Cycle 1</x:v>
      </x:c>
      <x:c r="C461" s="86" t="str">
        <x:f>IF($P461="","",INDEX(Tasks!$C$10:$C$1941,$P461))</x:f>
        <x:v>Phase 1</x:v>
      </x:c>
      <x:c r="D461" s="86" t="str">
        <x:f>IF($P461="","",INDEX(Tasks!$D$10:$D$1941,$P461))</x:f>
        <x:v>CSBBO - Customer Service</x:v>
      </x:c>
      <x:c r="E461" s="86"/>
      <x:c r="F461" s="86" t="str">
        <x:f>IF($P461="","",INDEX(Tasks!$E$10:$E$1941,$P461))</x:f>
        <x:v>Research &amp; Analysis</x:v>
      </x:c>
      <x:c r="G461" s="86"/>
      <x:c r="H461" s="14" t="str">
        <x:f>IF($P461="","",INDEX(Tasks!$F$10:$F$1941,$P461)&amp;CHAR(10)&amp;INDEX(Tasks!$G$10:$G$1941,$P461))</x:f>
        <x:v>RA.CS.1.7
Obtain formal topic selection approval from management via SharePoint</x:v>
      </x:c>
      <x:c r="I461" s="14"/>
      <x:c r="J461" s="14"/>
      <x:c r="K461" s="14"/>
      <x:c r="L461" s="86" t="str">
        <x:f>IF($P461="","",INDEX(Tasks!$N$10:$N$1941,$P461))</x:f>
        <x:v>Not started</x:v>
      </x:c>
      <x:c r="M461" s="87" t="n">
        <x:f>IF($P461="","",INDEX(Tasks!$J$10:$J$1941,$P461))</x:f>
        <x:v>46112</x:v>
      </x:c>
      <x:c r="N461" s="85" t="str">
        <x:f>IF($P461="","",HYPERLINK("#'"&amp;INDEX(Tasks!$T$10:$T$1941,$P461)&amp;"'!A"&amp;INDEX(Tasks!$U$10:$U$1941,$P461),"Open"))</x:f>
        <x:v>Open</x:v>
      </x:c>
      <x:c r="O461" s="14"/>
      <x:c r="P461" s="14" t="n">
        <x:f>IF(440&gt;$B$10,"",MATCH(440,Tasks!$S$10:$S$1941,0))</x:f>
        <x:v>804</x:v>
      </x:c>
    </x:row>
    <x:row r="462" ht="58" customHeight="1">
      <x:c r="B462" s="86" t="str">
        <x:f>IF($P462="","",INDEX(Tasks!$B$10:$B$1941,$P462))</x:f>
        <x:v>Cycle 1</x:v>
      </x:c>
      <x:c r="C462" s="86" t="str">
        <x:f>IF($P462="","",INDEX(Tasks!$C$10:$C$1941,$P462))</x:f>
        <x:v>Phase 1</x:v>
      </x:c>
      <x:c r="D462" s="86" t="str">
        <x:f>IF($P462="","",INDEX(Tasks!$D$10:$D$1941,$P462))</x:f>
        <x:v>CSBBO - Customer Service</x:v>
      </x:c>
      <x:c r="E462" s="86"/>
      <x:c r="F462" s="86" t="str">
        <x:f>IF($P462="","",INDEX(Tasks!$E$10:$E$1941,$P462))</x:f>
        <x:v>Research &amp; Analysis</x:v>
      </x:c>
      <x:c r="G462" s="86"/>
      <x:c r="H462" s="14" t="str">
        <x:f>IF($P462="","",INDEX(Tasks!$F$10:$F$1941,$P462)&amp;CHAR(10)&amp;INDEX(Tasks!$G$10:$G$1941,$P462))</x:f>
        <x:v>RA.CS.1.8
Socialize topic selection with product owners and subject matter experts (if known)</x:v>
      </x:c>
      <x:c r="I462" s="14"/>
      <x:c r="J462" s="14"/>
      <x:c r="K462" s="14"/>
      <x:c r="L462" s="86" t="str">
        <x:f>IF($P462="","",INDEX(Tasks!$N$10:$N$1941,$P462))</x:f>
        <x:v>Not started</x:v>
      </x:c>
      <x:c r="M462" s="87" t="n">
        <x:f>IF($P462="","",INDEX(Tasks!$J$10:$J$1941,$P462))</x:f>
        <x:v>46112</x:v>
      </x:c>
      <x:c r="N462" s="85" t="str">
        <x:f>IF($P462="","",HYPERLINK("#'"&amp;INDEX(Tasks!$T$10:$T$1941,$P462)&amp;"'!A"&amp;INDEX(Tasks!$U$10:$U$1941,$P462),"Open"))</x:f>
        <x:v>Open</x:v>
      </x:c>
      <x:c r="O462" s="14"/>
      <x:c r="P462" s="14" t="n">
        <x:f>IF(441&gt;$B$10,"",MATCH(441,Tasks!$S$10:$S$1941,0))</x:f>
        <x:v>805</x:v>
      </x:c>
    </x:row>
    <x:row r="463" ht="58" customHeight="1">
      <x:c r="B463" s="86" t="str">
        <x:f>IF($P463="","",INDEX(Tasks!$B$10:$B$1941,$P463))</x:f>
        <x:v>Cycle 1</x:v>
      </x:c>
      <x:c r="C463" s="86" t="str">
        <x:f>IF($P463="","",INDEX(Tasks!$C$10:$C$1941,$P463))</x:f>
        <x:v>Phase 1</x:v>
      </x:c>
      <x:c r="D463" s="86" t="str">
        <x:f>IF($P463="","",INDEX(Tasks!$D$10:$D$1941,$P463))</x:f>
        <x:v>CSBBO - Customer Service</x:v>
      </x:c>
      <x:c r="E463" s="86"/>
      <x:c r="F463" s="86" t="str">
        <x:f>IF($P463="","",INDEX(Tasks!$E$10:$E$1941,$P463))</x:f>
        <x:v>Research &amp; Analysis</x:v>
      </x:c>
      <x:c r="G463" s="86"/>
      <x:c r="H463" s="14" t="str">
        <x:f>IF($P463="","",INDEX(Tasks!$F$10:$F$1941,$P463)&amp;CHAR(10)&amp;INDEX(Tasks!$G$10:$G$1941,$P463))</x:f>
        <x:v>RA.CS.1.9
Assign topic researchers</x:v>
      </x:c>
      <x:c r="I463" s="14"/>
      <x:c r="J463" s="14"/>
      <x:c r="K463" s="14"/>
      <x:c r="L463" s="86" t="str">
        <x:f>IF($P463="","",INDEX(Tasks!$N$10:$N$1941,$P463))</x:f>
        <x:v>Not started</x:v>
      </x:c>
      <x:c r="M463" s="87" t="n">
        <x:f>IF($P463="","",INDEX(Tasks!$J$10:$J$1941,$P463))</x:f>
        <x:v>46112</x:v>
      </x:c>
      <x:c r="N463" s="85" t="str">
        <x:f>IF($P463="","",HYPERLINK("#'"&amp;INDEX(Tasks!$T$10:$T$1941,$P463)&amp;"'!A"&amp;INDEX(Tasks!$U$10:$U$1941,$P463),"Open"))</x:f>
        <x:v>Open</x:v>
      </x:c>
      <x:c r="O463" s="14"/>
      <x:c r="P463" s="14" t="n">
        <x:f>IF(442&gt;$B$10,"",MATCH(442,Tasks!$S$10:$S$1941,0))</x:f>
        <x:v>806</x:v>
      </x:c>
    </x:row>
    <x:row r="464" ht="58" customHeight="1">
      <x:c r="B464" s="86" t="str">
        <x:f>IF($P464="","",INDEX(Tasks!$B$10:$B$1941,$P464))</x:f>
        <x:v>Cycle 1</x:v>
      </x:c>
      <x:c r="C464" s="86" t="str">
        <x:f>IF($P464="","",INDEX(Tasks!$C$10:$C$1941,$P464))</x:f>
        <x:v>Phase 2</x:v>
      </x:c>
      <x:c r="D464" s="86" t="str">
        <x:f>IF($P464="","",INDEX(Tasks!$D$10:$D$1941,$P464))</x:f>
        <x:v>CSBBO - Customer Service</x:v>
      </x:c>
      <x:c r="E464" s="86"/>
      <x:c r="F464" s="86" t="str">
        <x:f>IF($P464="","",INDEX(Tasks!$E$10:$E$1941,$P464))</x:f>
        <x:v>Research &amp; Analysis</x:v>
      </x:c>
      <x:c r="G464" s="86"/>
      <x:c r="H464" s="14" t="str">
        <x:f>IF($P464="","",INDEX(Tasks!$F$10:$F$1941,$P464)&amp;CHAR(10)&amp;INDEX(Tasks!$G$10:$G$1941,$P464))</x:f>
        <x:v>RA.CS.2.1
Review data sources</x:v>
      </x:c>
      <x:c r="I464" s="14"/>
      <x:c r="J464" s="14"/>
      <x:c r="K464" s="14"/>
      <x:c r="L464" s="86" t="str">
        <x:f>IF($P464="","",INDEX(Tasks!$N$10:$N$1941,$P464))</x:f>
        <x:v>Not started</x:v>
      </x:c>
      <x:c r="M464" s="87" t="n">
        <x:f>IF($P464="","",INDEX(Tasks!$J$10:$J$1941,$P464))</x:f>
        <x:v>46112</x:v>
      </x:c>
      <x:c r="N464" s="85" t="str">
        <x:f>IF($P464="","",HYPERLINK("#'"&amp;INDEX(Tasks!$T$10:$T$1941,$P464)&amp;"'!A"&amp;INDEX(Tasks!$U$10:$U$1941,$P464),"Open"))</x:f>
        <x:v>Open</x:v>
      </x:c>
      <x:c r="O464" s="14"/>
      <x:c r="P464" s="14" t="n">
        <x:f>IF(443&gt;$B$10,"",MATCH(443,Tasks!$S$10:$S$1941,0))</x:f>
        <x:v>807</x:v>
      </x:c>
    </x:row>
    <x:row r="465" ht="58" customHeight="1">
      <x:c r="B465" s="86" t="str">
        <x:f>IF($P465="","",INDEX(Tasks!$B$10:$B$1941,$P465))</x:f>
        <x:v>Cycle 1</x:v>
      </x:c>
      <x:c r="C465" s="86" t="str">
        <x:f>IF($P465="","",INDEX(Tasks!$C$10:$C$1941,$P465))</x:f>
        <x:v>Phase 2</x:v>
      </x:c>
      <x:c r="D465" s="86" t="str">
        <x:f>IF($P465="","",INDEX(Tasks!$D$10:$D$1941,$P465))</x:f>
        <x:v>CSBBO - Customer Service</x:v>
      </x:c>
      <x:c r="E465" s="86"/>
      <x:c r="F465" s="86" t="str">
        <x:f>IF($P465="","",INDEX(Tasks!$E$10:$E$1941,$P465))</x:f>
        <x:v>Research &amp; Analysis</x:v>
      </x:c>
      <x:c r="G465" s="86"/>
      <x:c r="H465" s="14" t="str">
        <x:f>IF($P465="","",INDEX(Tasks!$F$10:$F$1941,$P465)&amp;CHAR(10)&amp;INDEX(Tasks!$G$10:$G$1941,$P465))</x:f>
        <x:v>RA.CS.2.2
Review relevant policies and procedures</x:v>
      </x:c>
      <x:c r="I465" s="14"/>
      <x:c r="J465" s="14"/>
      <x:c r="K465" s="14"/>
      <x:c r="L465" s="86" t="str">
        <x:f>IF($P465="","",INDEX(Tasks!$N$10:$N$1941,$P465))</x:f>
        <x:v>Not started</x:v>
      </x:c>
      <x:c r="M465" s="87" t="n">
        <x:f>IF($P465="","",INDEX(Tasks!$J$10:$J$1941,$P465))</x:f>
        <x:v>46112</x:v>
      </x:c>
      <x:c r="N465" s="85" t="str">
        <x:f>IF($P465="","",HYPERLINK("#'"&amp;INDEX(Tasks!$T$10:$T$1941,$P465)&amp;"'!A"&amp;INDEX(Tasks!$U$10:$U$1941,$P465),"Open"))</x:f>
        <x:v>Open</x:v>
      </x:c>
      <x:c r="O465" s="14"/>
      <x:c r="P465" s="14" t="n">
        <x:f>IF(444&gt;$B$10,"",MATCH(444,Tasks!$S$10:$S$1941,0))</x:f>
        <x:v>808</x:v>
      </x:c>
    </x:row>
    <x:row r="466" ht="58" customHeight="1">
      <x:c r="B466" s="86" t="str">
        <x:f>IF($P466="","",INDEX(Tasks!$B$10:$B$1941,$P466))</x:f>
        <x:v>Cycle 1</x:v>
      </x:c>
      <x:c r="C466" s="86" t="str">
        <x:f>IF($P466="","",INDEX(Tasks!$C$10:$C$1941,$P466))</x:f>
        <x:v>Phase 2</x:v>
      </x:c>
      <x:c r="D466" s="86" t="str">
        <x:f>IF($P466="","",INDEX(Tasks!$D$10:$D$1941,$P466))</x:f>
        <x:v>CSBBO - Customer Service</x:v>
      </x:c>
      <x:c r="E466" s="86"/>
      <x:c r="F466" s="86" t="str">
        <x:f>IF($P466="","",INDEX(Tasks!$E$10:$E$1941,$P466))</x:f>
        <x:v>Research &amp; Analysis</x:v>
      </x:c>
      <x:c r="G466" s="86"/>
      <x:c r="H466" s="14" t="str">
        <x:f>IF($P466="","",INDEX(Tasks!$F$10:$F$1941,$P466)&amp;CHAR(10)&amp;INDEX(Tasks!$G$10:$G$1941,$P466))</x:f>
        <x:v>RA.CS.2.3
Meet with SMEs to gain business insight and clarify questions</x:v>
      </x:c>
      <x:c r="I466" s="14"/>
      <x:c r="J466" s="14"/>
      <x:c r="K466" s="14"/>
      <x:c r="L466" s="86" t="str">
        <x:f>IF($P466="","",INDEX(Tasks!$N$10:$N$1941,$P466))</x:f>
        <x:v>Not started</x:v>
      </x:c>
      <x:c r="M466" s="87" t="n">
        <x:f>IF($P466="","",INDEX(Tasks!$J$10:$J$1941,$P466))</x:f>
        <x:v>46112</x:v>
      </x:c>
      <x:c r="N466" s="85" t="str">
        <x:f>IF($P466="","",HYPERLINK("#'"&amp;INDEX(Tasks!$T$10:$T$1941,$P466)&amp;"'!A"&amp;INDEX(Tasks!$U$10:$U$1941,$P466),"Open"))</x:f>
        <x:v>Open</x:v>
      </x:c>
      <x:c r="O466" s="14"/>
      <x:c r="P466" s="14" t="n">
        <x:f>IF(445&gt;$B$10,"",MATCH(445,Tasks!$S$10:$S$1941,0))</x:f>
        <x:v>809</x:v>
      </x:c>
    </x:row>
    <x:row r="467" ht="58" customHeight="1">
      <x:c r="B467" s="86" t="str">
        <x:f>IF($P467="","",INDEX(Tasks!$B$10:$B$1941,$P467))</x:f>
        <x:v>Cycle 1</x:v>
      </x:c>
      <x:c r="C467" s="86" t="str">
        <x:f>IF($P467="","",INDEX(Tasks!$C$10:$C$1941,$P467))</x:f>
        <x:v>Phase 2</x:v>
      </x:c>
      <x:c r="D467" s="86" t="str">
        <x:f>IF($P467="","",INDEX(Tasks!$D$10:$D$1941,$P467))</x:f>
        <x:v>CSBBO - Customer Service</x:v>
      </x:c>
      <x:c r="E467" s="86"/>
      <x:c r="F467" s="86" t="str">
        <x:f>IF($P467="","",INDEX(Tasks!$E$10:$E$1941,$P467))</x:f>
        <x:v>Research &amp; Analysis</x:v>
      </x:c>
      <x:c r="G467" s="86"/>
      <x:c r="H467" s="14" t="str">
        <x:f>IF($P467="","",INDEX(Tasks!$F$10:$F$1941,$P467)&amp;CHAR(10)&amp;INDEX(Tasks!$G$10:$G$1941,$P467))</x:f>
        <x:v>RA.CS.2.4
Establish and maintain a recurring meeting with D&amp;I to discuss Cycle progress</x:v>
      </x:c>
      <x:c r="I467" s="14"/>
      <x:c r="J467" s="14"/>
      <x:c r="K467" s="14"/>
      <x:c r="L467" s="86" t="str">
        <x:f>IF($P467="","",INDEX(Tasks!$N$10:$N$1941,$P467))</x:f>
        <x:v>Not started</x:v>
      </x:c>
      <x:c r="M467" s="87" t="n">
        <x:f>IF($P467="","",INDEX(Tasks!$J$10:$J$1941,$P467))</x:f>
        <x:v>46112</x:v>
      </x:c>
      <x:c r="N467" s="85" t="str">
        <x:f>IF($P467="","",HYPERLINK("#'"&amp;INDEX(Tasks!$T$10:$T$1941,$P467)&amp;"'!A"&amp;INDEX(Tasks!$U$10:$U$1941,$P467),"Open"))</x:f>
        <x:v>Open</x:v>
      </x:c>
      <x:c r="O467" s="14"/>
      <x:c r="P467" s="14" t="n">
        <x:f>IF(446&gt;$B$10,"",MATCH(446,Tasks!$S$10:$S$1941,0))</x:f>
        <x:v>810</x:v>
      </x:c>
    </x:row>
    <x:row r="468" ht="58" customHeight="1">
      <x:c r="B468" s="86" t="str">
        <x:f>IF($P468="","",INDEX(Tasks!$B$10:$B$1941,$P468))</x:f>
        <x:v>Cycle 1</x:v>
      </x:c>
      <x:c r="C468" s="86" t="str">
        <x:f>IF($P468="","",INDEX(Tasks!$C$10:$C$1941,$P468))</x:f>
        <x:v>Phase 2</x:v>
      </x:c>
      <x:c r="D468" s="86" t="str">
        <x:f>IF($P468="","",INDEX(Tasks!$D$10:$D$1941,$P468))</x:f>
        <x:v>CSBBO - Customer Service</x:v>
      </x:c>
      <x:c r="E468" s="86"/>
      <x:c r="F468" s="86" t="str">
        <x:f>IF($P468="","",INDEX(Tasks!$E$10:$E$1941,$P468))</x:f>
        <x:v>Research &amp; Analysis</x:v>
      </x:c>
      <x:c r="G468" s="86"/>
      <x:c r="H468" s="14" t="str">
        <x:f>IF($P468="","",INDEX(Tasks!$F$10:$F$1941,$P468)&amp;CHAR(10)&amp;INDEX(Tasks!$G$10:$G$1941,$P468))</x:f>
        <x:v>RA.CS.2.5
Perform data testing and sampling</x:v>
      </x:c>
      <x:c r="I468" s="14"/>
      <x:c r="J468" s="14"/>
      <x:c r="K468" s="14"/>
      <x:c r="L468" s="86" t="str">
        <x:f>IF($P468="","",INDEX(Tasks!$N$10:$N$1941,$P468))</x:f>
        <x:v>Not started</x:v>
      </x:c>
      <x:c r="M468" s="87" t="n">
        <x:f>IF($P468="","",INDEX(Tasks!$J$10:$J$1941,$P468))</x:f>
        <x:v>46112</x:v>
      </x:c>
      <x:c r="N468" s="85" t="str">
        <x:f>IF($P468="","",HYPERLINK("#'"&amp;INDEX(Tasks!$T$10:$T$1941,$P468)&amp;"'!A"&amp;INDEX(Tasks!$U$10:$U$1941,$P468),"Open"))</x:f>
        <x:v>Open</x:v>
      </x:c>
      <x:c r="O468" s="14"/>
      <x:c r="P468" s="14" t="n">
        <x:f>IF(447&gt;$B$10,"",MATCH(447,Tasks!$S$10:$S$1941,0))</x:f>
        <x:v>811</x:v>
      </x:c>
    </x:row>
    <x:row r="469" ht="58" customHeight="1">
      <x:c r="B469" s="86" t="str">
        <x:f>IF($P469="","",INDEX(Tasks!$B$10:$B$1941,$P469))</x:f>
        <x:v>Cycle 1</x:v>
      </x:c>
      <x:c r="C469" s="86" t="str">
        <x:f>IF($P469="","",INDEX(Tasks!$C$10:$C$1941,$P469))</x:f>
        <x:v>Phase 2</x:v>
      </x:c>
      <x:c r="D469" s="86" t="str">
        <x:f>IF($P469="","",INDEX(Tasks!$D$10:$D$1941,$P469))</x:f>
        <x:v>CSBBO - Customer Service</x:v>
      </x:c>
      <x:c r="E469" s="86"/>
      <x:c r="F469" s="86" t="str">
        <x:f>IF($P469="","",INDEX(Tasks!$E$10:$E$1941,$P469))</x:f>
        <x:v>Research &amp; Analysis</x:v>
      </x:c>
      <x:c r="G469" s="86"/>
      <x:c r="H469" s="14" t="str">
        <x:f>IF($P469="","",INDEX(Tasks!$F$10:$F$1941,$P469)&amp;CHAR(10)&amp;INDEX(Tasks!$G$10:$G$1941,$P469))</x:f>
        <x:v>RA.CS.2.6
Complete Positive Testing</x:v>
      </x:c>
      <x:c r="I469" s="14"/>
      <x:c r="J469" s="14"/>
      <x:c r="K469" s="14"/>
      <x:c r="L469" s="86" t="str">
        <x:f>IF($P469="","",INDEX(Tasks!$N$10:$N$1941,$P469))</x:f>
        <x:v>Not started</x:v>
      </x:c>
      <x:c r="M469" s="87" t="n">
        <x:f>IF($P469="","",INDEX(Tasks!$J$10:$J$1941,$P469))</x:f>
        <x:v>46112</x:v>
      </x:c>
      <x:c r="N469" s="85" t="str">
        <x:f>IF($P469="","",HYPERLINK("#'"&amp;INDEX(Tasks!$T$10:$T$1941,$P469)&amp;"'!A"&amp;INDEX(Tasks!$U$10:$U$1941,$P469),"Open"))</x:f>
        <x:v>Open</x:v>
      </x:c>
      <x:c r="O469" s="14"/>
      <x:c r="P469" s="14" t="n">
        <x:f>IF(448&gt;$B$10,"",MATCH(448,Tasks!$S$10:$S$1941,0))</x:f>
        <x:v>812</x:v>
      </x:c>
    </x:row>
    <x:row r="470" ht="58" customHeight="1">
      <x:c r="B470" s="86" t="str">
        <x:f>IF($P470="","",INDEX(Tasks!$B$10:$B$1941,$P470))</x:f>
        <x:v>Cycle 1</x:v>
      </x:c>
      <x:c r="C470" s="86" t="str">
        <x:f>IF($P470="","",INDEX(Tasks!$C$10:$C$1941,$P470))</x:f>
        <x:v>Phase 2</x:v>
      </x:c>
      <x:c r="D470" s="86" t="str">
        <x:f>IF($P470="","",INDEX(Tasks!$D$10:$D$1941,$P470))</x:f>
        <x:v>CSBBO - Customer Service</x:v>
      </x:c>
      <x:c r="E470" s="86"/>
      <x:c r="F470" s="86" t="str">
        <x:f>IF($P470="","",INDEX(Tasks!$E$10:$E$1941,$P470))</x:f>
        <x:v>Research &amp; Analysis</x:v>
      </x:c>
      <x:c r="G470" s="86"/>
      <x:c r="H470" s="14" t="str">
        <x:f>IF($P470="","",INDEX(Tasks!$F$10:$F$1941,$P470)&amp;CHAR(10)&amp;INDEX(Tasks!$G$10:$G$1941,$P470))</x:f>
        <x:v>RA.CS.2.7
Complete Negative Testing</x:v>
      </x:c>
      <x:c r="I470" s="14"/>
      <x:c r="J470" s="14"/>
      <x:c r="K470" s="14"/>
      <x:c r="L470" s="86" t="str">
        <x:f>IF($P470="","",INDEX(Tasks!$N$10:$N$1941,$P470))</x:f>
        <x:v>Not started</x:v>
      </x:c>
      <x:c r="M470" s="87" t="n">
        <x:f>IF($P470="","",INDEX(Tasks!$J$10:$J$1941,$P470))</x:f>
        <x:v>46112</x:v>
      </x:c>
      <x:c r="N470" s="85" t="str">
        <x:f>IF($P470="","",HYPERLINK("#'"&amp;INDEX(Tasks!$T$10:$T$1941,$P470)&amp;"'!A"&amp;INDEX(Tasks!$U$10:$U$1941,$P470),"Open"))</x:f>
        <x:v>Open</x:v>
      </x:c>
      <x:c r="O470" s="14"/>
      <x:c r="P470" s="14" t="n">
        <x:f>IF(449&gt;$B$10,"",MATCH(449,Tasks!$S$10:$S$1941,0))</x:f>
        <x:v>813</x:v>
      </x:c>
    </x:row>
    <x:row r="471" ht="58" customHeight="1">
      <x:c r="B471" s="86" t="str">
        <x:f>IF($P471="","",INDEX(Tasks!$B$10:$B$1941,$P471))</x:f>
        <x:v>Cycle 1</x:v>
      </x:c>
      <x:c r="C471" s="86" t="str">
        <x:f>IF($P471="","",INDEX(Tasks!$C$10:$C$1941,$P471))</x:f>
        <x:v>Phase 2</x:v>
      </x:c>
      <x:c r="D471" s="86" t="str">
        <x:f>IF($P471="","",INDEX(Tasks!$D$10:$D$1941,$P471))</x:f>
        <x:v>CSBBO - Customer Service</x:v>
      </x:c>
      <x:c r="E471" s="86"/>
      <x:c r="F471" s="86" t="str">
        <x:f>IF($P471="","",INDEX(Tasks!$E$10:$E$1941,$P471))</x:f>
        <x:v>Research &amp; Analysis</x:v>
      </x:c>
      <x:c r="G471" s="86"/>
      <x:c r="H471" s="14" t="str">
        <x:f>IF($P471="","",INDEX(Tasks!$F$10:$F$1941,$P471)&amp;CHAR(10)&amp;INDEX(Tasks!$G$10:$G$1941,$P471))</x:f>
        <x:v>RA.CS.2.8
Request additional data (as needed)</x:v>
      </x:c>
      <x:c r="I471" s="14"/>
      <x:c r="J471" s="14"/>
      <x:c r="K471" s="14"/>
      <x:c r="L471" s="86" t="str">
        <x:f>IF($P471="","",INDEX(Tasks!$N$10:$N$1941,$P471))</x:f>
        <x:v>Not started</x:v>
      </x:c>
      <x:c r="M471" s="87" t="n">
        <x:f>IF($P471="","",INDEX(Tasks!$J$10:$J$1941,$P471))</x:f>
        <x:v>46112</x:v>
      </x:c>
      <x:c r="N471" s="85" t="str">
        <x:f>IF($P471="","",HYPERLINK("#'"&amp;INDEX(Tasks!$T$10:$T$1941,$P471)&amp;"'!A"&amp;INDEX(Tasks!$U$10:$U$1941,$P471),"Open"))</x:f>
        <x:v>Open</x:v>
      </x:c>
      <x:c r="O471" s="14"/>
      <x:c r="P471" s="14" t="n">
        <x:f>IF(450&gt;$B$10,"",MATCH(450,Tasks!$S$10:$S$1941,0))</x:f>
        <x:v>814</x:v>
      </x:c>
    </x:row>
    <x:row r="472" ht="58" customHeight="1">
      <x:c r="B472" s="86" t="str">
        <x:f>IF($P472="","",INDEX(Tasks!$B$10:$B$1941,$P472))</x:f>
        <x:v>Cycle 1</x:v>
      </x:c>
      <x:c r="C472" s="86" t="str">
        <x:f>IF($P472="","",INDEX(Tasks!$C$10:$C$1941,$P472))</x:f>
        <x:v>Phase 2</x:v>
      </x:c>
      <x:c r="D472" s="86" t="str">
        <x:f>IF($P472="","",INDEX(Tasks!$D$10:$D$1941,$P472))</x:f>
        <x:v>CSBBO - Customer Service</x:v>
      </x:c>
      <x:c r="E472" s="86"/>
      <x:c r="F472" s="86" t="str">
        <x:f>IF($P472="","",INDEX(Tasks!$E$10:$E$1941,$P472))</x:f>
        <x:v>Research &amp; Analysis</x:v>
      </x:c>
      <x:c r="G472" s="86"/>
      <x:c r="H472" s="14" t="str">
        <x:f>IF($P472="","",INDEX(Tasks!$F$10:$F$1941,$P472)&amp;CHAR(10)&amp;INDEX(Tasks!$G$10:$G$1941,$P472))</x:f>
        <x:v>RA.CS.2.9
Validate or disprove initial hypothesis assumptions</x:v>
      </x:c>
      <x:c r="I472" s="14"/>
      <x:c r="J472" s="14"/>
      <x:c r="K472" s="14"/>
      <x:c r="L472" s="86" t="str">
        <x:f>IF($P472="","",INDEX(Tasks!$N$10:$N$1941,$P472))</x:f>
        <x:v>Not started</x:v>
      </x:c>
      <x:c r="M472" s="87" t="n">
        <x:f>IF($P472="","",INDEX(Tasks!$J$10:$J$1941,$P472))</x:f>
        <x:v>46112</x:v>
      </x:c>
      <x:c r="N472" s="85" t="str">
        <x:f>IF($P472="","",HYPERLINK("#'"&amp;INDEX(Tasks!$T$10:$T$1941,$P472)&amp;"'!A"&amp;INDEX(Tasks!$U$10:$U$1941,$P472),"Open"))</x:f>
        <x:v>Open</x:v>
      </x:c>
      <x:c r="O472" s="14"/>
      <x:c r="P472" s="14" t="n">
        <x:f>IF(451&gt;$B$10,"",MATCH(451,Tasks!$S$10:$S$1941,0))</x:f>
        <x:v>815</x:v>
      </x:c>
    </x:row>
    <x:row r="473" ht="58" customHeight="1">
      <x:c r="B473" s="86" t="str">
        <x:f>IF($P473="","",INDEX(Tasks!$B$10:$B$1941,$P473))</x:f>
        <x:v>Cycle 1</x:v>
      </x:c>
      <x:c r="C473" s="86" t="str">
        <x:f>IF($P473="","",INDEX(Tasks!$C$10:$C$1941,$P473))</x:f>
        <x:v>Phase 2</x:v>
      </x:c>
      <x:c r="D473" s="86" t="str">
        <x:f>IF($P473="","",INDEX(Tasks!$D$10:$D$1941,$P473))</x:f>
        <x:v>CSBBO - Customer Service</x:v>
      </x:c>
      <x:c r="E473" s="86"/>
      <x:c r="F473" s="86" t="str">
        <x:f>IF($P473="","",INDEX(Tasks!$E$10:$E$1941,$P473))</x:f>
        <x:v>Research &amp; Analysis</x:v>
      </x:c>
      <x:c r="G473" s="86"/>
      <x:c r="H473" s="14" t="str">
        <x:f>IF($P473="","",INDEX(Tasks!$F$10:$F$1941,$P473)&amp;CHAR(10)&amp;INDEX(Tasks!$G$10:$G$1941,$P473))</x:f>
        <x:v>RA.CS.2.10
Identify and confirm root cause</x:v>
      </x:c>
      <x:c r="I473" s="14"/>
      <x:c r="J473" s="14"/>
      <x:c r="K473" s="14"/>
      <x:c r="L473" s="86" t="str">
        <x:f>IF($P473="","",INDEX(Tasks!$N$10:$N$1941,$P473))</x:f>
        <x:v>Not started</x:v>
      </x:c>
      <x:c r="M473" s="87" t="n">
        <x:f>IF($P473="","",INDEX(Tasks!$J$10:$J$1941,$P473))</x:f>
        <x:v>46112</x:v>
      </x:c>
      <x:c r="N473" s="85" t="str">
        <x:f>IF($P473="","",HYPERLINK("#'"&amp;INDEX(Tasks!$T$10:$T$1941,$P473)&amp;"'!A"&amp;INDEX(Tasks!$U$10:$U$1941,$P473),"Open"))</x:f>
        <x:v>Open</x:v>
      </x:c>
      <x:c r="O473" s="14"/>
      <x:c r="P473" s="14" t="n">
        <x:f>IF(452&gt;$B$10,"",MATCH(452,Tasks!$S$10:$S$1941,0))</x:f>
        <x:v>816</x:v>
      </x:c>
    </x:row>
    <x:row r="474" ht="58" customHeight="1">
      <x:c r="B474" s="86" t="str">
        <x:f>IF($P474="","",INDEX(Tasks!$B$10:$B$1941,$P474))</x:f>
        <x:v>Cycle 1</x:v>
      </x:c>
      <x:c r="C474" s="86" t="str">
        <x:f>IF($P474="","",INDEX(Tasks!$C$10:$C$1941,$P474))</x:f>
        <x:v>Phase 3</x:v>
      </x:c>
      <x:c r="D474" s="86" t="str">
        <x:f>IF($P474="","",INDEX(Tasks!$D$10:$D$1941,$P474))</x:f>
        <x:v>CSBBO - Customer Service</x:v>
      </x:c>
      <x:c r="E474" s="86"/>
      <x:c r="F474" s="86" t="str">
        <x:f>IF($P474="","",INDEX(Tasks!$E$10:$E$1941,$P474))</x:f>
        <x:v>Research &amp; Analysis</x:v>
      </x:c>
      <x:c r="G474" s="86"/>
      <x:c r="H474" s="14" t="str">
        <x:f>IF($P474="","",INDEX(Tasks!$F$10:$F$1941,$P474)&amp;CHAR(10)&amp;INDEX(Tasks!$G$10:$G$1941,$P474))</x:f>
        <x:v>RA.CS.3.1
Finalize results and supporting documentation</x:v>
      </x:c>
      <x:c r="I474" s="14"/>
      <x:c r="J474" s="14"/>
      <x:c r="K474" s="14"/>
      <x:c r="L474" s="86" t="str">
        <x:f>IF($P474="","",INDEX(Tasks!$N$10:$N$1941,$P474))</x:f>
        <x:v>Not started</x:v>
      </x:c>
      <x:c r="M474" s="87" t="n">
        <x:f>IF($P474="","",INDEX(Tasks!$J$10:$J$1941,$P474))</x:f>
        <x:v>46112</x:v>
      </x:c>
      <x:c r="N474" s="85" t="str">
        <x:f>IF($P474="","",HYPERLINK("#'"&amp;INDEX(Tasks!$T$10:$T$1941,$P474)&amp;"'!A"&amp;INDEX(Tasks!$U$10:$U$1941,$P474),"Open"))</x:f>
        <x:v>Open</x:v>
      </x:c>
      <x:c r="O474" s="14"/>
      <x:c r="P474" s="14" t="n">
        <x:f>IF(453&gt;$B$10,"",MATCH(453,Tasks!$S$10:$S$1941,0))</x:f>
        <x:v>817</x:v>
      </x:c>
    </x:row>
    <x:row r="475" ht="58" customHeight="1">
      <x:c r="B475" s="86" t="str">
        <x:f>IF($P475="","",INDEX(Tasks!$B$10:$B$1941,$P475))</x:f>
        <x:v>Cycle 1</x:v>
      </x:c>
      <x:c r="C475" s="86" t="str">
        <x:f>IF($P475="","",INDEX(Tasks!$C$10:$C$1941,$P475))</x:f>
        <x:v>Phase 3</x:v>
      </x:c>
      <x:c r="D475" s="86" t="str">
        <x:f>IF($P475="","",INDEX(Tasks!$D$10:$D$1941,$P475))</x:f>
        <x:v>CSBBO - Customer Service</x:v>
      </x:c>
      <x:c r="E475" s="86"/>
      <x:c r="F475" s="86" t="str">
        <x:f>IF($P475="","",INDEX(Tasks!$E$10:$E$1941,$P475))</x:f>
        <x:v>Research &amp; Analysis</x:v>
      </x:c>
      <x:c r="G475" s="86"/>
      <x:c r="H475" s="14" t="str">
        <x:f>IF($P475="","",INDEX(Tasks!$F$10:$F$1941,$P475)&amp;CHAR(10)&amp;INDEX(Tasks!$G$10:$G$1941,$P475))</x:f>
        <x:v>RA.CS.3.2
Maintain and update the evidence package prior to handoff to D&amp;I</x:v>
      </x:c>
      <x:c r="I475" s="14"/>
      <x:c r="J475" s="14"/>
      <x:c r="K475" s="14"/>
      <x:c r="L475" s="86" t="str">
        <x:f>IF($P475="","",INDEX(Tasks!$N$10:$N$1941,$P475))</x:f>
        <x:v>Not started</x:v>
      </x:c>
      <x:c r="M475" s="87" t="n">
        <x:f>IF($P475="","",INDEX(Tasks!$J$10:$J$1941,$P475))</x:f>
        <x:v>46112</x:v>
      </x:c>
      <x:c r="N475" s="85" t="str">
        <x:f>IF($P475="","",HYPERLINK("#'"&amp;INDEX(Tasks!$T$10:$T$1941,$P475)&amp;"'!A"&amp;INDEX(Tasks!$U$10:$U$1941,$P475),"Open"))</x:f>
        <x:v>Open</x:v>
      </x:c>
      <x:c r="O475" s="14"/>
      <x:c r="P475" s="14" t="n">
        <x:f>IF(454&gt;$B$10,"",MATCH(454,Tasks!$S$10:$S$1941,0))</x:f>
        <x:v>818</x:v>
      </x:c>
    </x:row>
    <x:row r="476" ht="58" customHeight="1">
      <x:c r="B476" s="86" t="str">
        <x:f>IF($P476="","",INDEX(Tasks!$B$10:$B$1941,$P476))</x:f>
        <x:v>Cycle 1</x:v>
      </x:c>
      <x:c r="C476" s="86" t="str">
        <x:f>IF($P476="","",INDEX(Tasks!$C$10:$C$1941,$P476))</x:f>
        <x:v>Phase 3</x:v>
      </x:c>
      <x:c r="D476" s="86" t="str">
        <x:f>IF($P476="","",INDEX(Tasks!$D$10:$D$1941,$P476))</x:f>
        <x:v>CSBBO - Customer Service</x:v>
      </x:c>
      <x:c r="E476" s="86"/>
      <x:c r="F476" s="86" t="str">
        <x:f>IF($P476="","",INDEX(Tasks!$E$10:$E$1941,$P476))</x:f>
        <x:v>Research &amp; Analysis</x:v>
      </x:c>
      <x:c r="G476" s="86"/>
      <x:c r="H476" s="14" t="str">
        <x:f>IF($P476="","",INDEX(Tasks!$F$10:$F$1941,$P476)&amp;CHAR(10)&amp;INDEX(Tasks!$G$10:$G$1941,$P476))</x:f>
        <x:v>RA.CS.3.3
Address any outstanding questions or requests from D&amp;I</x:v>
      </x:c>
      <x:c r="I476" s="14"/>
      <x:c r="J476" s="14"/>
      <x:c r="K476" s="14"/>
      <x:c r="L476" s="86" t="str">
        <x:f>IF($P476="","",INDEX(Tasks!$N$10:$N$1941,$P476))</x:f>
        <x:v>Not started</x:v>
      </x:c>
      <x:c r="M476" s="87" t="n">
        <x:f>IF($P476="","",INDEX(Tasks!$J$10:$J$1941,$P476))</x:f>
        <x:v>46112</x:v>
      </x:c>
      <x:c r="N476" s="85" t="str">
        <x:f>IF($P476="","",HYPERLINK("#'"&amp;INDEX(Tasks!$T$10:$T$1941,$P476)&amp;"'!A"&amp;INDEX(Tasks!$U$10:$U$1941,$P476),"Open"))</x:f>
        <x:v>Open</x:v>
      </x:c>
      <x:c r="O476" s="14"/>
      <x:c r="P476" s="14" t="n">
        <x:f>IF(455&gt;$B$10,"",MATCH(455,Tasks!$S$10:$S$1941,0))</x:f>
        <x:v>819</x:v>
      </x:c>
    </x:row>
    <x:row r="477" ht="58" customHeight="1">
      <x:c r="B477" s="86" t="str">
        <x:f>IF($P477="","",INDEX(Tasks!$B$10:$B$1941,$P477))</x:f>
        <x:v>Cycle 1</x:v>
      </x:c>
      <x:c r="C477" s="86" t="str">
        <x:f>IF($P477="","",INDEX(Tasks!$C$10:$C$1941,$P477))</x:f>
        <x:v>Phase 3</x:v>
      </x:c>
      <x:c r="D477" s="86" t="str">
        <x:f>IF($P477="","",INDEX(Tasks!$D$10:$D$1941,$P477))</x:f>
        <x:v>CSBBO - Customer Service</x:v>
      </x:c>
      <x:c r="E477" s="86"/>
      <x:c r="F477" s="86" t="str">
        <x:f>IF($P477="","",INDEX(Tasks!$E$10:$E$1941,$P477))</x:f>
        <x:v>Research &amp; Analysis</x:v>
      </x:c>
      <x:c r="G477" s="86"/>
      <x:c r="H477" s="14" t="str">
        <x:f>IF($P477="","",INDEX(Tasks!$F$10:$F$1941,$P477)&amp;CHAR(10)&amp;INDEX(Tasks!$G$10:$G$1941,$P477))</x:f>
        <x:v>RA.CS.3.4
Attend Forum meeting with D&amp;I to assist with answering stakeholder questions (as needed)</x:v>
      </x:c>
      <x:c r="I477" s="14"/>
      <x:c r="J477" s="14"/>
      <x:c r="K477" s="14"/>
      <x:c r="L477" s="86" t="str">
        <x:f>IF($P477="","",INDEX(Tasks!$N$10:$N$1941,$P477))</x:f>
        <x:v>Not started</x:v>
      </x:c>
      <x:c r="M477" s="87" t="str">
        <x:f>IF($P477="","",INDEX(Tasks!$J$10:$J$1941,$P477))</x:f>
      </x:c>
      <x:c r="N477" s="85" t="str">
        <x:f>IF($P477="","",HYPERLINK("#'"&amp;INDEX(Tasks!$T$10:$T$1941,$P477)&amp;"'!A"&amp;INDEX(Tasks!$U$10:$U$1941,$P477),"Open"))</x:f>
        <x:v>Open</x:v>
      </x:c>
      <x:c r="O477" s="14"/>
      <x:c r="P477" s="14" t="n">
        <x:f>IF(456&gt;$B$10,"",MATCH(456,Tasks!$S$10:$S$1941,0))</x:f>
        <x:v>820</x:v>
      </x:c>
    </x:row>
    <x:row r="478" ht="58" customHeight="1">
      <x:c r="B478" s="86" t="str">
        <x:f>IF($P478="","",INDEX(Tasks!$B$10:$B$1941,$P478))</x:f>
        <x:v>Cycle 1</x:v>
      </x:c>
      <x:c r="C478" s="86" t="str">
        <x:f>IF($P478="","",INDEX(Tasks!$C$10:$C$1941,$P478))</x:f>
        <x:v>Phase 1</x:v>
      </x:c>
      <x:c r="D478" s="86" t="str">
        <x:f>IF($P478="","",INDEX(Tasks!$D$10:$D$1941,$P478))</x:f>
        <x:v>FCM</x:v>
      </x:c>
      <x:c r="E478" s="86"/>
      <x:c r="F478" s="86" t="str">
        <x:f>IF($P478="","",INDEX(Tasks!$E$10:$E$1941,$P478))</x:f>
        <x:v>Research &amp; Analysis</x:v>
      </x:c>
      <x:c r="G478" s="86"/>
      <x:c r="H478" s="14" t="str">
        <x:f>IF($P478="","",INDEX(Tasks!$F$10:$F$1941,$P478)&amp;CHAR(10)&amp;INDEX(Tasks!$G$10:$G$1941,$P478))</x:f>
        <x:v>RA.FC.1.1
Begin Research process 2 weeks prior to Cycle start</x:v>
      </x:c>
      <x:c r="I478" s="14"/>
      <x:c r="J478" s="14"/>
      <x:c r="K478" s="14"/>
      <x:c r="L478" s="86" t="str">
        <x:f>IF($P478="","",INDEX(Tasks!$N$10:$N$1941,$P478))</x:f>
        <x:v>Not started</x:v>
      </x:c>
      <x:c r="M478" s="87" t="n">
        <x:f>IF($P478="","",INDEX(Tasks!$J$10:$J$1941,$P478))</x:f>
        <x:v>46009</x:v>
      </x:c>
      <x:c r="N478" s="85" t="str">
        <x:f>IF($P478="","",HYPERLINK("#'"&amp;INDEX(Tasks!$T$10:$T$1941,$P478)&amp;"'!A"&amp;INDEX(Tasks!$U$10:$U$1941,$P478),"Open"))</x:f>
        <x:v>Open</x:v>
      </x:c>
      <x:c r="O478" s="14"/>
      <x:c r="P478" s="14" t="n">
        <x:f>IF(457&gt;$B$10,"",MATCH(457,Tasks!$S$10:$S$1941,0))</x:f>
        <x:v>821</x:v>
      </x:c>
    </x:row>
    <x:row r="479" ht="58" customHeight="1">
      <x:c r="B479" s="86" t="str">
        <x:f>IF($P479="","",INDEX(Tasks!$B$10:$B$1941,$P479))</x:f>
        <x:v>Cycle 1</x:v>
      </x:c>
      <x:c r="C479" s="86" t="str">
        <x:f>IF($P479="","",INDEX(Tasks!$C$10:$C$1941,$P479))</x:f>
        <x:v>Phase 1</x:v>
      </x:c>
      <x:c r="D479" s="86" t="str">
        <x:f>IF($P479="","",INDEX(Tasks!$D$10:$D$1941,$P479))</x:f>
        <x:v>FCM</x:v>
      </x:c>
      <x:c r="E479" s="86"/>
      <x:c r="F479" s="86" t="str">
        <x:f>IF($P479="","",INDEX(Tasks!$E$10:$E$1941,$P479))</x:f>
        <x:v>Research &amp; Analysis</x:v>
      </x:c>
      <x:c r="G479" s="86"/>
      <x:c r="H479" s="14" t="str">
        <x:f>IF($P479="","",INDEX(Tasks!$F$10:$F$1941,$P479)&amp;CHAR(10)&amp;INDEX(Tasks!$G$10:$G$1941,$P479))</x:f>
        <x:v>RA.FC.1.2
Conduct initial assessment of each topic recommendation from SharePoint list</x:v>
      </x:c>
      <x:c r="I479" s="14"/>
      <x:c r="J479" s="14"/>
      <x:c r="K479" s="14"/>
      <x:c r="L479" s="86" t="str">
        <x:f>IF($P479="","",INDEX(Tasks!$N$10:$N$1941,$P479))</x:f>
        <x:v>Not started</x:v>
      </x:c>
      <x:c r="M479" s="87" t="n">
        <x:f>IF($P479="","",INDEX(Tasks!$J$10:$J$1941,$P479))</x:f>
        <x:v>46112</x:v>
      </x:c>
      <x:c r="N479" s="85" t="str">
        <x:f>IF($P479="","",HYPERLINK("#'"&amp;INDEX(Tasks!$T$10:$T$1941,$P479)&amp;"'!A"&amp;INDEX(Tasks!$U$10:$U$1941,$P479),"Open"))</x:f>
        <x:v>Open</x:v>
      </x:c>
      <x:c r="O479" s="14"/>
      <x:c r="P479" s="14" t="n">
        <x:f>IF(458&gt;$B$10,"",MATCH(458,Tasks!$S$10:$S$1941,0))</x:f>
        <x:v>822</x:v>
      </x:c>
    </x:row>
    <x:row r="480" ht="58" customHeight="1">
      <x:c r="B480" s="86" t="str">
        <x:f>IF($P480="","",INDEX(Tasks!$B$10:$B$1941,$P480))</x:f>
        <x:v>Cycle 1</x:v>
      </x:c>
      <x:c r="C480" s="86" t="str">
        <x:f>IF($P480="","",INDEX(Tasks!$C$10:$C$1941,$P480))</x:f>
        <x:v>Phase 1</x:v>
      </x:c>
      <x:c r="D480" s="86" t="str">
        <x:f>IF($P480="","",INDEX(Tasks!$D$10:$D$1941,$P480))</x:f>
        <x:v>FCM</x:v>
      </x:c>
      <x:c r="E480" s="86"/>
      <x:c r="F480" s="86" t="str">
        <x:f>IF($P480="","",INDEX(Tasks!$E$10:$E$1941,$P480))</x:f>
        <x:v>Research &amp; Analysis</x:v>
      </x:c>
      <x:c r="G480" s="86"/>
      <x:c r="H480" s="14" t="str">
        <x:f>IF($P480="","",INDEX(Tasks!$F$10:$F$1941,$P480)&amp;CHAR(10)&amp;INDEX(Tasks!$G$10:$G$1941,$P480))</x:f>
        <x:v>RA.FC.1.3
Identify best topic for Cycle</x:v>
      </x:c>
      <x:c r="I480" s="14"/>
      <x:c r="J480" s="14"/>
      <x:c r="K480" s="14"/>
      <x:c r="L480" s="86" t="str">
        <x:f>IF($P480="","",INDEX(Tasks!$N$10:$N$1941,$P480))</x:f>
        <x:v>Not started</x:v>
      </x:c>
      <x:c r="M480" s="87" t="n">
        <x:f>IF($P480="","",INDEX(Tasks!$J$10:$J$1941,$P480))</x:f>
        <x:v>46112</x:v>
      </x:c>
      <x:c r="N480" s="85" t="str">
        <x:f>IF($P480="","",HYPERLINK("#'"&amp;INDEX(Tasks!$T$10:$T$1941,$P480)&amp;"'!A"&amp;INDEX(Tasks!$U$10:$U$1941,$P480),"Open"))</x:f>
        <x:v>Open</x:v>
      </x:c>
      <x:c r="O480" s="14"/>
      <x:c r="P480" s="14" t="n">
        <x:f>IF(459&gt;$B$10,"",MATCH(459,Tasks!$S$10:$S$1941,0))</x:f>
        <x:v>823</x:v>
      </x:c>
    </x:row>
    <x:row r="481" ht="58" customHeight="1">
      <x:c r="B481" s="86" t="str">
        <x:f>IF($P481="","",INDEX(Tasks!$B$10:$B$1941,$P481))</x:f>
        <x:v>Cycle 1</x:v>
      </x:c>
      <x:c r="C481" s="86" t="str">
        <x:f>IF($P481="","",INDEX(Tasks!$C$10:$C$1941,$P481))</x:f>
        <x:v>Phase 1</x:v>
      </x:c>
      <x:c r="D481" s="86" t="str">
        <x:f>IF($P481="","",INDEX(Tasks!$D$10:$D$1941,$P481))</x:f>
        <x:v>FCM</x:v>
      </x:c>
      <x:c r="E481" s="86"/>
      <x:c r="F481" s="86" t="str">
        <x:f>IF($P481="","",INDEX(Tasks!$E$10:$E$1941,$P481))</x:f>
        <x:v>Research &amp; Analysis</x:v>
      </x:c>
      <x:c r="G481" s="86"/>
      <x:c r="H481" s="14" t="str">
        <x:f>IF($P481="","",INDEX(Tasks!$F$10:$F$1941,$P481)&amp;CHAR(10)&amp;INDEX(Tasks!$G$10:$G$1941,$P481))</x:f>
        <x:v>RA.FC.1.4
Identify backup topic for Cycle</x:v>
      </x:c>
      <x:c r="I481" s="14"/>
      <x:c r="J481" s="14"/>
      <x:c r="K481" s="14"/>
      <x:c r="L481" s="86" t="str">
        <x:f>IF($P481="","",INDEX(Tasks!$N$10:$N$1941,$P481))</x:f>
        <x:v>Not started</x:v>
      </x:c>
      <x:c r="M481" s="87" t="n">
        <x:f>IF($P481="","",INDEX(Tasks!$J$10:$J$1941,$P481))</x:f>
        <x:v>46112</x:v>
      </x:c>
      <x:c r="N481" s="85" t="str">
        <x:f>IF($P481="","",HYPERLINK("#'"&amp;INDEX(Tasks!$T$10:$T$1941,$P481)&amp;"'!A"&amp;INDEX(Tasks!$U$10:$U$1941,$P481),"Open"))</x:f>
        <x:v>Open</x:v>
      </x:c>
      <x:c r="O481" s="14"/>
      <x:c r="P481" s="14" t="n">
        <x:f>IF(460&gt;$B$10,"",MATCH(460,Tasks!$S$10:$S$1941,0))</x:f>
        <x:v>824</x:v>
      </x:c>
    </x:row>
    <x:row r="482" ht="58" customHeight="1">
      <x:c r="B482" s="86" t="str">
        <x:f>IF($P482="","",INDEX(Tasks!$B$10:$B$1941,$P482))</x:f>
        <x:v>Cycle 1</x:v>
      </x:c>
      <x:c r="C482" s="86" t="str">
        <x:f>IF($P482="","",INDEX(Tasks!$C$10:$C$1941,$P482))</x:f>
        <x:v>Phase 1</x:v>
      </x:c>
      <x:c r="D482" s="86" t="str">
        <x:f>IF($P482="","",INDEX(Tasks!$D$10:$D$1941,$P482))</x:f>
        <x:v>FCM</x:v>
      </x:c>
      <x:c r="E482" s="86"/>
      <x:c r="F482" s="86" t="str">
        <x:f>IF($P482="","",INDEX(Tasks!$E$10:$E$1941,$P482))</x:f>
        <x:v>Research &amp; Analysis</x:v>
      </x:c>
      <x:c r="G482" s="86"/>
      <x:c r="H482" s="14" t="str">
        <x:f>IF($P482="","",INDEX(Tasks!$F$10:$F$1941,$P482)&amp;CHAR(10)&amp;INDEX(Tasks!$G$10:$G$1941,$P482))</x:f>
        <x:v>RA.FC.1.5
Schedule topic approval meeting with D&amp;I and management</x:v>
      </x:c>
      <x:c r="I482" s="14"/>
      <x:c r="J482" s="14"/>
      <x:c r="K482" s="14"/>
      <x:c r="L482" s="86" t="str">
        <x:f>IF($P482="","",INDEX(Tasks!$N$10:$N$1941,$P482))</x:f>
        <x:v>Not started</x:v>
      </x:c>
      <x:c r="M482" s="87" t="n">
        <x:f>IF($P482="","",INDEX(Tasks!$J$10:$J$1941,$P482))</x:f>
        <x:v>46112</x:v>
      </x:c>
      <x:c r="N482" s="85" t="str">
        <x:f>IF($P482="","",HYPERLINK("#'"&amp;INDEX(Tasks!$T$10:$T$1941,$P482)&amp;"'!A"&amp;INDEX(Tasks!$U$10:$U$1941,$P482),"Open"))</x:f>
        <x:v>Open</x:v>
      </x:c>
      <x:c r="O482" s="14"/>
      <x:c r="P482" s="14" t="n">
        <x:f>IF(461&gt;$B$10,"",MATCH(461,Tasks!$S$10:$S$1941,0))</x:f>
        <x:v>825</x:v>
      </x:c>
    </x:row>
    <x:row r="483" ht="58" customHeight="1">
      <x:c r="B483" s="86" t="str">
        <x:f>IF($P483="","",INDEX(Tasks!$B$10:$B$1941,$P483))</x:f>
        <x:v>Cycle 1</x:v>
      </x:c>
      <x:c r="C483" s="86" t="str">
        <x:f>IF($P483="","",INDEX(Tasks!$C$10:$C$1941,$P483))</x:f>
        <x:v>Phase 1</x:v>
      </x:c>
      <x:c r="D483" s="86" t="str">
        <x:f>IF($P483="","",INDEX(Tasks!$D$10:$D$1941,$P483))</x:f>
        <x:v>FCM</x:v>
      </x:c>
      <x:c r="E483" s="86"/>
      <x:c r="F483" s="86" t="str">
        <x:f>IF($P483="","",INDEX(Tasks!$E$10:$E$1941,$P483))</x:f>
        <x:v>Research &amp; Analysis</x:v>
      </x:c>
      <x:c r="G483" s="86"/>
      <x:c r="H483" s="14" t="str">
        <x:f>IF($P483="","",INDEX(Tasks!$F$10:$F$1941,$P483)&amp;CHAR(10)&amp;INDEX(Tasks!$G$10:$G$1941,$P483))</x:f>
        <x:v>RA.FC.1.6
Present recommended topic to D&amp;I and management for approval</x:v>
      </x:c>
      <x:c r="I483" s="14"/>
      <x:c r="J483" s="14"/>
      <x:c r="K483" s="14"/>
      <x:c r="L483" s="86" t="str">
        <x:f>IF($P483="","",INDEX(Tasks!$N$10:$N$1941,$P483))</x:f>
        <x:v>Not started</x:v>
      </x:c>
      <x:c r="M483" s="87" t="n">
        <x:f>IF($P483="","",INDEX(Tasks!$J$10:$J$1941,$P483))</x:f>
        <x:v>46112</x:v>
      </x:c>
      <x:c r="N483" s="85" t="str">
        <x:f>IF($P483="","",HYPERLINK("#'"&amp;INDEX(Tasks!$T$10:$T$1941,$P483)&amp;"'!A"&amp;INDEX(Tasks!$U$10:$U$1941,$P483),"Open"))</x:f>
        <x:v>Open</x:v>
      </x:c>
      <x:c r="O483" s="14"/>
      <x:c r="P483" s="14" t="n">
        <x:f>IF(462&gt;$B$10,"",MATCH(462,Tasks!$S$10:$S$1941,0))</x:f>
        <x:v>826</x:v>
      </x:c>
    </x:row>
    <x:row r="484" ht="58" customHeight="1">
      <x:c r="B484" s="86" t="str">
        <x:f>IF($P484="","",INDEX(Tasks!$B$10:$B$1941,$P484))</x:f>
        <x:v>Cycle 1</x:v>
      </x:c>
      <x:c r="C484" s="86" t="str">
        <x:f>IF($P484="","",INDEX(Tasks!$C$10:$C$1941,$P484))</x:f>
        <x:v>Phase 1</x:v>
      </x:c>
      <x:c r="D484" s="86" t="str">
        <x:f>IF($P484="","",INDEX(Tasks!$D$10:$D$1941,$P484))</x:f>
        <x:v>FCM</x:v>
      </x:c>
      <x:c r="E484" s="86"/>
      <x:c r="F484" s="86" t="str">
        <x:f>IF($P484="","",INDEX(Tasks!$E$10:$E$1941,$P484))</x:f>
        <x:v>Research &amp; Analysis</x:v>
      </x:c>
      <x:c r="G484" s="86"/>
      <x:c r="H484" s="14" t="str">
        <x:f>IF($P484="","",INDEX(Tasks!$F$10:$F$1941,$P484)&amp;CHAR(10)&amp;INDEX(Tasks!$G$10:$G$1941,$P484))</x:f>
        <x:v>RA.FC.1.7
Obtain formal topic selection approval from management via SharePoint</x:v>
      </x:c>
      <x:c r="I484" s="14"/>
      <x:c r="J484" s="14"/>
      <x:c r="K484" s="14"/>
      <x:c r="L484" s="86" t="str">
        <x:f>IF($P484="","",INDEX(Tasks!$N$10:$N$1941,$P484))</x:f>
        <x:v>Not started</x:v>
      </x:c>
      <x:c r="M484" s="87" t="n">
        <x:f>IF($P484="","",INDEX(Tasks!$J$10:$J$1941,$P484))</x:f>
        <x:v>46112</x:v>
      </x:c>
      <x:c r="N484" s="85" t="str">
        <x:f>IF($P484="","",HYPERLINK("#'"&amp;INDEX(Tasks!$T$10:$T$1941,$P484)&amp;"'!A"&amp;INDEX(Tasks!$U$10:$U$1941,$P484),"Open"))</x:f>
        <x:v>Open</x:v>
      </x:c>
      <x:c r="O484" s="14"/>
      <x:c r="P484" s="14" t="n">
        <x:f>IF(463&gt;$B$10,"",MATCH(463,Tasks!$S$10:$S$1941,0))</x:f>
        <x:v>827</x:v>
      </x:c>
    </x:row>
    <x:row r="485" ht="58" customHeight="1">
      <x:c r="B485" s="86" t="str">
        <x:f>IF($P485="","",INDEX(Tasks!$B$10:$B$1941,$P485))</x:f>
        <x:v>Cycle 1</x:v>
      </x:c>
      <x:c r="C485" s="86" t="str">
        <x:f>IF($P485="","",INDEX(Tasks!$C$10:$C$1941,$P485))</x:f>
        <x:v>Phase 1</x:v>
      </x:c>
      <x:c r="D485" s="86" t="str">
        <x:f>IF($P485="","",INDEX(Tasks!$D$10:$D$1941,$P485))</x:f>
        <x:v>FCM</x:v>
      </x:c>
      <x:c r="E485" s="86"/>
      <x:c r="F485" s="86" t="str">
        <x:f>IF($P485="","",INDEX(Tasks!$E$10:$E$1941,$P485))</x:f>
        <x:v>Research &amp; Analysis</x:v>
      </x:c>
      <x:c r="G485" s="86"/>
      <x:c r="H485" s="14" t="str">
        <x:f>IF($P485="","",INDEX(Tasks!$F$10:$F$1941,$P485)&amp;CHAR(10)&amp;INDEX(Tasks!$G$10:$G$1941,$P485))</x:f>
        <x:v>RA.FC.1.8
Socialize topic selection with product owners and subject matter experts (if known)</x:v>
      </x:c>
      <x:c r="I485" s="14"/>
      <x:c r="J485" s="14"/>
      <x:c r="K485" s="14"/>
      <x:c r="L485" s="86" t="str">
        <x:f>IF($P485="","",INDEX(Tasks!$N$10:$N$1941,$P485))</x:f>
        <x:v>Not started</x:v>
      </x:c>
      <x:c r="M485" s="87" t="n">
        <x:f>IF($P485="","",INDEX(Tasks!$J$10:$J$1941,$P485))</x:f>
        <x:v>46112</x:v>
      </x:c>
      <x:c r="N485" s="85" t="str">
        <x:f>IF($P485="","",HYPERLINK("#'"&amp;INDEX(Tasks!$T$10:$T$1941,$P485)&amp;"'!A"&amp;INDEX(Tasks!$U$10:$U$1941,$P485),"Open"))</x:f>
        <x:v>Open</x:v>
      </x:c>
      <x:c r="O485" s="14"/>
      <x:c r="P485" s="14" t="n">
        <x:f>IF(464&gt;$B$10,"",MATCH(464,Tasks!$S$10:$S$1941,0))</x:f>
        <x:v>828</x:v>
      </x:c>
    </x:row>
    <x:row r="486" ht="58" customHeight="1">
      <x:c r="B486" s="86" t="str">
        <x:f>IF($P486="","",INDEX(Tasks!$B$10:$B$1941,$P486))</x:f>
        <x:v>Cycle 1</x:v>
      </x:c>
      <x:c r="C486" s="86" t="str">
        <x:f>IF($P486="","",INDEX(Tasks!$C$10:$C$1941,$P486))</x:f>
        <x:v>Phase 1</x:v>
      </x:c>
      <x:c r="D486" s="86" t="str">
        <x:f>IF($P486="","",INDEX(Tasks!$D$10:$D$1941,$P486))</x:f>
        <x:v>FCM</x:v>
      </x:c>
      <x:c r="E486" s="86"/>
      <x:c r="F486" s="86" t="str">
        <x:f>IF($P486="","",INDEX(Tasks!$E$10:$E$1941,$P486))</x:f>
        <x:v>Research &amp; Analysis</x:v>
      </x:c>
      <x:c r="G486" s="86"/>
      <x:c r="H486" s="14" t="str">
        <x:f>IF($P486="","",INDEX(Tasks!$F$10:$F$1941,$P486)&amp;CHAR(10)&amp;INDEX(Tasks!$G$10:$G$1941,$P486))</x:f>
        <x:v>RA.FC.1.9
Assign topic researchers</x:v>
      </x:c>
      <x:c r="I486" s="14"/>
      <x:c r="J486" s="14"/>
      <x:c r="K486" s="14"/>
      <x:c r="L486" s="86" t="str">
        <x:f>IF($P486="","",INDEX(Tasks!$N$10:$N$1941,$P486))</x:f>
        <x:v>Not started</x:v>
      </x:c>
      <x:c r="M486" s="87" t="n">
        <x:f>IF($P486="","",INDEX(Tasks!$J$10:$J$1941,$P486))</x:f>
        <x:v>46112</x:v>
      </x:c>
      <x:c r="N486" s="85" t="str">
        <x:f>IF($P486="","",HYPERLINK("#'"&amp;INDEX(Tasks!$T$10:$T$1941,$P486)&amp;"'!A"&amp;INDEX(Tasks!$U$10:$U$1941,$P486),"Open"))</x:f>
        <x:v>Open</x:v>
      </x:c>
      <x:c r="O486" s="14"/>
      <x:c r="P486" s="14" t="n">
        <x:f>IF(465&gt;$B$10,"",MATCH(465,Tasks!$S$10:$S$1941,0))</x:f>
        <x:v>829</x:v>
      </x:c>
    </x:row>
    <x:row r="487" ht="58" customHeight="1">
      <x:c r="B487" s="86" t="str">
        <x:f>IF($P487="","",INDEX(Tasks!$B$10:$B$1941,$P487))</x:f>
        <x:v>Cycle 1</x:v>
      </x:c>
      <x:c r="C487" s="86" t="str">
        <x:f>IF($P487="","",INDEX(Tasks!$C$10:$C$1941,$P487))</x:f>
        <x:v>Phase 2</x:v>
      </x:c>
      <x:c r="D487" s="86" t="str">
        <x:f>IF($P487="","",INDEX(Tasks!$D$10:$D$1941,$P487))</x:f>
        <x:v>FCM</x:v>
      </x:c>
      <x:c r="E487" s="86"/>
      <x:c r="F487" s="86" t="str">
        <x:f>IF($P487="","",INDEX(Tasks!$E$10:$E$1941,$P487))</x:f>
        <x:v>Research &amp; Analysis</x:v>
      </x:c>
      <x:c r="G487" s="86"/>
      <x:c r="H487" s="14" t="str">
        <x:f>IF($P487="","",INDEX(Tasks!$F$10:$F$1941,$P487)&amp;CHAR(10)&amp;INDEX(Tasks!$G$10:$G$1941,$P487))</x:f>
        <x:v>RA.FC.2.1
Review data sources</x:v>
      </x:c>
      <x:c r="I487" s="14"/>
      <x:c r="J487" s="14"/>
      <x:c r="K487" s="14"/>
      <x:c r="L487" s="86" t="str">
        <x:f>IF($P487="","",INDEX(Tasks!$N$10:$N$1941,$P487))</x:f>
        <x:v>Not started</x:v>
      </x:c>
      <x:c r="M487" s="87" t="n">
        <x:f>IF($P487="","",INDEX(Tasks!$J$10:$J$1941,$P487))</x:f>
        <x:v>46112</x:v>
      </x:c>
      <x:c r="N487" s="85" t="str">
        <x:f>IF($P487="","",HYPERLINK("#'"&amp;INDEX(Tasks!$T$10:$T$1941,$P487)&amp;"'!A"&amp;INDEX(Tasks!$U$10:$U$1941,$P487),"Open"))</x:f>
        <x:v>Open</x:v>
      </x:c>
      <x:c r="O487" s="14"/>
      <x:c r="P487" s="14" t="n">
        <x:f>IF(466&gt;$B$10,"",MATCH(466,Tasks!$S$10:$S$1941,0))</x:f>
        <x:v>830</x:v>
      </x:c>
    </x:row>
    <x:row r="488" ht="58" customHeight="1">
      <x:c r="B488" s="86" t="str">
        <x:f>IF($P488="","",INDEX(Tasks!$B$10:$B$1941,$P488))</x:f>
        <x:v>Cycle 1</x:v>
      </x:c>
      <x:c r="C488" s="86" t="str">
        <x:f>IF($P488="","",INDEX(Tasks!$C$10:$C$1941,$P488))</x:f>
        <x:v>Phase 2</x:v>
      </x:c>
      <x:c r="D488" s="86" t="str">
        <x:f>IF($P488="","",INDEX(Tasks!$D$10:$D$1941,$P488))</x:f>
        <x:v>FCM</x:v>
      </x:c>
      <x:c r="E488" s="86"/>
      <x:c r="F488" s="86" t="str">
        <x:f>IF($P488="","",INDEX(Tasks!$E$10:$E$1941,$P488))</x:f>
        <x:v>Research &amp; Analysis</x:v>
      </x:c>
      <x:c r="G488" s="86"/>
      <x:c r="H488" s="14" t="str">
        <x:f>IF($P488="","",INDEX(Tasks!$F$10:$F$1941,$P488)&amp;CHAR(10)&amp;INDEX(Tasks!$G$10:$G$1941,$P488))</x:f>
        <x:v>RA.FC.2.2
Review relevant policies and procedures</x:v>
      </x:c>
      <x:c r="I488" s="14"/>
      <x:c r="J488" s="14"/>
      <x:c r="K488" s="14"/>
      <x:c r="L488" s="86" t="str">
        <x:f>IF($P488="","",INDEX(Tasks!$N$10:$N$1941,$P488))</x:f>
        <x:v>Not started</x:v>
      </x:c>
      <x:c r="M488" s="87" t="n">
        <x:f>IF($P488="","",INDEX(Tasks!$J$10:$J$1941,$P488))</x:f>
        <x:v>46112</x:v>
      </x:c>
      <x:c r="N488" s="85" t="str">
        <x:f>IF($P488="","",HYPERLINK("#'"&amp;INDEX(Tasks!$T$10:$T$1941,$P488)&amp;"'!A"&amp;INDEX(Tasks!$U$10:$U$1941,$P488),"Open"))</x:f>
        <x:v>Open</x:v>
      </x:c>
      <x:c r="O488" s="14"/>
      <x:c r="P488" s="14" t="n">
        <x:f>IF(467&gt;$B$10,"",MATCH(467,Tasks!$S$10:$S$1941,0))</x:f>
        <x:v>831</x:v>
      </x:c>
    </x:row>
    <x:row r="489" ht="58" customHeight="1">
      <x:c r="B489" s="86" t="str">
        <x:f>IF($P489="","",INDEX(Tasks!$B$10:$B$1941,$P489))</x:f>
        <x:v>Cycle 1</x:v>
      </x:c>
      <x:c r="C489" s="86" t="str">
        <x:f>IF($P489="","",INDEX(Tasks!$C$10:$C$1941,$P489))</x:f>
        <x:v>Phase 2</x:v>
      </x:c>
      <x:c r="D489" s="86" t="str">
        <x:f>IF($P489="","",INDEX(Tasks!$D$10:$D$1941,$P489))</x:f>
        <x:v>FCM</x:v>
      </x:c>
      <x:c r="E489" s="86"/>
      <x:c r="F489" s="86" t="str">
        <x:f>IF($P489="","",INDEX(Tasks!$E$10:$E$1941,$P489))</x:f>
        <x:v>Research &amp; Analysis</x:v>
      </x:c>
      <x:c r="G489" s="86"/>
      <x:c r="H489" s="14" t="str">
        <x:f>IF($P489="","",INDEX(Tasks!$F$10:$F$1941,$P489)&amp;CHAR(10)&amp;INDEX(Tasks!$G$10:$G$1941,$P489))</x:f>
        <x:v>RA.FC.2.3
Meet with SMEs to gain business insight and clarify questions</x:v>
      </x:c>
      <x:c r="I489" s="14"/>
      <x:c r="J489" s="14"/>
      <x:c r="K489" s="14"/>
      <x:c r="L489" s="86" t="str">
        <x:f>IF($P489="","",INDEX(Tasks!$N$10:$N$1941,$P489))</x:f>
        <x:v>Not started</x:v>
      </x:c>
      <x:c r="M489" s="87" t="n">
        <x:f>IF($P489="","",INDEX(Tasks!$J$10:$J$1941,$P489))</x:f>
        <x:v>46112</x:v>
      </x:c>
      <x:c r="N489" s="85" t="str">
        <x:f>IF($P489="","",HYPERLINK("#'"&amp;INDEX(Tasks!$T$10:$T$1941,$P489)&amp;"'!A"&amp;INDEX(Tasks!$U$10:$U$1941,$P489),"Open"))</x:f>
        <x:v>Open</x:v>
      </x:c>
      <x:c r="O489" s="14"/>
      <x:c r="P489" s="14" t="n">
        <x:f>IF(468&gt;$B$10,"",MATCH(468,Tasks!$S$10:$S$1941,0))</x:f>
        <x:v>832</x:v>
      </x:c>
    </x:row>
    <x:row r="490" ht="58" customHeight="1">
      <x:c r="B490" s="86" t="str">
        <x:f>IF($P490="","",INDEX(Tasks!$B$10:$B$1941,$P490))</x:f>
        <x:v>Cycle 1</x:v>
      </x:c>
      <x:c r="C490" s="86" t="str">
        <x:f>IF($P490="","",INDEX(Tasks!$C$10:$C$1941,$P490))</x:f>
        <x:v>Phase 2</x:v>
      </x:c>
      <x:c r="D490" s="86" t="str">
        <x:f>IF($P490="","",INDEX(Tasks!$D$10:$D$1941,$P490))</x:f>
        <x:v>FCM</x:v>
      </x:c>
      <x:c r="E490" s="86"/>
      <x:c r="F490" s="86" t="str">
        <x:f>IF($P490="","",INDEX(Tasks!$E$10:$E$1941,$P490))</x:f>
        <x:v>Research &amp; Analysis</x:v>
      </x:c>
      <x:c r="G490" s="86"/>
      <x:c r="H490" s="14" t="str">
        <x:f>IF($P490="","",INDEX(Tasks!$F$10:$F$1941,$P490)&amp;CHAR(10)&amp;INDEX(Tasks!$G$10:$G$1941,$P490))</x:f>
        <x:v>RA.FC.2.4
Establish and maintain a recurring meeting with D&amp;I to discuss Cycle progress</x:v>
      </x:c>
      <x:c r="I490" s="14"/>
      <x:c r="J490" s="14"/>
      <x:c r="K490" s="14"/>
      <x:c r="L490" s="86" t="str">
        <x:f>IF($P490="","",INDEX(Tasks!$N$10:$N$1941,$P490))</x:f>
        <x:v>Not started</x:v>
      </x:c>
      <x:c r="M490" s="87" t="n">
        <x:f>IF($P490="","",INDEX(Tasks!$J$10:$J$1941,$P490))</x:f>
        <x:v>46112</x:v>
      </x:c>
      <x:c r="N490" s="85" t="str">
        <x:f>IF($P490="","",HYPERLINK("#'"&amp;INDEX(Tasks!$T$10:$T$1941,$P490)&amp;"'!A"&amp;INDEX(Tasks!$U$10:$U$1941,$P490),"Open"))</x:f>
        <x:v>Open</x:v>
      </x:c>
      <x:c r="O490" s="14"/>
      <x:c r="P490" s="14" t="n">
        <x:f>IF(469&gt;$B$10,"",MATCH(469,Tasks!$S$10:$S$1941,0))</x:f>
        <x:v>833</x:v>
      </x:c>
    </x:row>
    <x:row r="491" ht="58" customHeight="1">
      <x:c r="B491" s="86" t="str">
        <x:f>IF($P491="","",INDEX(Tasks!$B$10:$B$1941,$P491))</x:f>
        <x:v>Cycle 1</x:v>
      </x:c>
      <x:c r="C491" s="86" t="str">
        <x:f>IF($P491="","",INDEX(Tasks!$C$10:$C$1941,$P491))</x:f>
        <x:v>Phase 2</x:v>
      </x:c>
      <x:c r="D491" s="86" t="str">
        <x:f>IF($P491="","",INDEX(Tasks!$D$10:$D$1941,$P491))</x:f>
        <x:v>FCM</x:v>
      </x:c>
      <x:c r="E491" s="86"/>
      <x:c r="F491" s="86" t="str">
        <x:f>IF($P491="","",INDEX(Tasks!$E$10:$E$1941,$P491))</x:f>
        <x:v>Research &amp; Analysis</x:v>
      </x:c>
      <x:c r="G491" s="86"/>
      <x:c r="H491" s="14" t="str">
        <x:f>IF($P491="","",INDEX(Tasks!$F$10:$F$1941,$P491)&amp;CHAR(10)&amp;INDEX(Tasks!$G$10:$G$1941,$P491))</x:f>
        <x:v>RA.FC.2.5
Perform data testing and sampling</x:v>
      </x:c>
      <x:c r="I491" s="14"/>
      <x:c r="J491" s="14"/>
      <x:c r="K491" s="14"/>
      <x:c r="L491" s="86" t="str">
        <x:f>IF($P491="","",INDEX(Tasks!$N$10:$N$1941,$P491))</x:f>
        <x:v>Not started</x:v>
      </x:c>
      <x:c r="M491" s="87" t="n">
        <x:f>IF($P491="","",INDEX(Tasks!$J$10:$J$1941,$P491))</x:f>
        <x:v>46112</x:v>
      </x:c>
      <x:c r="N491" s="85" t="str">
        <x:f>IF($P491="","",HYPERLINK("#'"&amp;INDEX(Tasks!$T$10:$T$1941,$P491)&amp;"'!A"&amp;INDEX(Tasks!$U$10:$U$1941,$P491),"Open"))</x:f>
        <x:v>Open</x:v>
      </x:c>
      <x:c r="O491" s="14"/>
      <x:c r="P491" s="14" t="n">
        <x:f>IF(470&gt;$B$10,"",MATCH(470,Tasks!$S$10:$S$1941,0))</x:f>
        <x:v>834</x:v>
      </x:c>
    </x:row>
    <x:row r="492" ht="58" customHeight="1">
      <x:c r="B492" s="86" t="str">
        <x:f>IF($P492="","",INDEX(Tasks!$B$10:$B$1941,$P492))</x:f>
        <x:v>Cycle 1</x:v>
      </x:c>
      <x:c r="C492" s="86" t="str">
        <x:f>IF($P492="","",INDEX(Tasks!$C$10:$C$1941,$P492))</x:f>
        <x:v>Phase 2</x:v>
      </x:c>
      <x:c r="D492" s="86" t="str">
        <x:f>IF($P492="","",INDEX(Tasks!$D$10:$D$1941,$P492))</x:f>
        <x:v>FCM</x:v>
      </x:c>
      <x:c r="E492" s="86"/>
      <x:c r="F492" s="86" t="str">
        <x:f>IF($P492="","",INDEX(Tasks!$E$10:$E$1941,$P492))</x:f>
        <x:v>Research &amp; Analysis</x:v>
      </x:c>
      <x:c r="G492" s="86"/>
      <x:c r="H492" s="14" t="str">
        <x:f>IF($P492="","",INDEX(Tasks!$F$10:$F$1941,$P492)&amp;CHAR(10)&amp;INDEX(Tasks!$G$10:$G$1941,$P492))</x:f>
        <x:v>RA.FC.2.6
Complete Positive Testing</x:v>
      </x:c>
      <x:c r="I492" s="14"/>
      <x:c r="J492" s="14"/>
      <x:c r="K492" s="14"/>
      <x:c r="L492" s="86" t="str">
        <x:f>IF($P492="","",INDEX(Tasks!$N$10:$N$1941,$P492))</x:f>
        <x:v>Not started</x:v>
      </x:c>
      <x:c r="M492" s="87" t="n">
        <x:f>IF($P492="","",INDEX(Tasks!$J$10:$J$1941,$P492))</x:f>
        <x:v>46112</x:v>
      </x:c>
      <x:c r="N492" s="85" t="str">
        <x:f>IF($P492="","",HYPERLINK("#'"&amp;INDEX(Tasks!$T$10:$T$1941,$P492)&amp;"'!A"&amp;INDEX(Tasks!$U$10:$U$1941,$P492),"Open"))</x:f>
        <x:v>Open</x:v>
      </x:c>
      <x:c r="O492" s="14"/>
      <x:c r="P492" s="14" t="n">
        <x:f>IF(471&gt;$B$10,"",MATCH(471,Tasks!$S$10:$S$1941,0))</x:f>
        <x:v>835</x:v>
      </x:c>
    </x:row>
    <x:row r="493" ht="58" customHeight="1">
      <x:c r="B493" s="86" t="str">
        <x:f>IF($P493="","",INDEX(Tasks!$B$10:$B$1941,$P493))</x:f>
        <x:v>Cycle 1</x:v>
      </x:c>
      <x:c r="C493" s="86" t="str">
        <x:f>IF($P493="","",INDEX(Tasks!$C$10:$C$1941,$P493))</x:f>
        <x:v>Phase 2</x:v>
      </x:c>
      <x:c r="D493" s="86" t="str">
        <x:f>IF($P493="","",INDEX(Tasks!$D$10:$D$1941,$P493))</x:f>
        <x:v>FCM</x:v>
      </x:c>
      <x:c r="E493" s="86"/>
      <x:c r="F493" s="86" t="str">
        <x:f>IF($P493="","",INDEX(Tasks!$E$10:$E$1941,$P493))</x:f>
        <x:v>Research &amp; Analysis</x:v>
      </x:c>
      <x:c r="G493" s="86"/>
      <x:c r="H493" s="14" t="str">
        <x:f>IF($P493="","",INDEX(Tasks!$F$10:$F$1941,$P493)&amp;CHAR(10)&amp;INDEX(Tasks!$G$10:$G$1941,$P493))</x:f>
        <x:v>RA.FC.2.7
Complete Negative Testing</x:v>
      </x:c>
      <x:c r="I493" s="14"/>
      <x:c r="J493" s="14"/>
      <x:c r="K493" s="14"/>
      <x:c r="L493" s="86" t="str">
        <x:f>IF($P493="","",INDEX(Tasks!$N$10:$N$1941,$P493))</x:f>
        <x:v>Not started</x:v>
      </x:c>
      <x:c r="M493" s="87" t="n">
        <x:f>IF($P493="","",INDEX(Tasks!$J$10:$J$1941,$P493))</x:f>
        <x:v>46112</x:v>
      </x:c>
      <x:c r="N493" s="85" t="str">
        <x:f>IF($P493="","",HYPERLINK("#'"&amp;INDEX(Tasks!$T$10:$T$1941,$P493)&amp;"'!A"&amp;INDEX(Tasks!$U$10:$U$1941,$P493),"Open"))</x:f>
        <x:v>Open</x:v>
      </x:c>
      <x:c r="O493" s="14"/>
      <x:c r="P493" s="14" t="n">
        <x:f>IF(472&gt;$B$10,"",MATCH(472,Tasks!$S$10:$S$1941,0))</x:f>
        <x:v>836</x:v>
      </x:c>
    </x:row>
    <x:row r="494" ht="58" customHeight="1">
      <x:c r="B494" s="86" t="str">
        <x:f>IF($P494="","",INDEX(Tasks!$B$10:$B$1941,$P494))</x:f>
        <x:v>Cycle 1</x:v>
      </x:c>
      <x:c r="C494" s="86" t="str">
        <x:f>IF($P494="","",INDEX(Tasks!$C$10:$C$1941,$P494))</x:f>
        <x:v>Phase 2</x:v>
      </x:c>
      <x:c r="D494" s="86" t="str">
        <x:f>IF($P494="","",INDEX(Tasks!$D$10:$D$1941,$P494))</x:f>
        <x:v>FCM</x:v>
      </x:c>
      <x:c r="E494" s="86"/>
      <x:c r="F494" s="86" t="str">
        <x:f>IF($P494="","",INDEX(Tasks!$E$10:$E$1941,$P494))</x:f>
        <x:v>Research &amp; Analysis</x:v>
      </x:c>
      <x:c r="G494" s="86"/>
      <x:c r="H494" s="14" t="str">
        <x:f>IF($P494="","",INDEX(Tasks!$F$10:$F$1941,$P494)&amp;CHAR(10)&amp;INDEX(Tasks!$G$10:$G$1941,$P494))</x:f>
        <x:v>RA.FC.2.8
Request additional data (as needed)</x:v>
      </x:c>
      <x:c r="I494" s="14"/>
      <x:c r="J494" s="14"/>
      <x:c r="K494" s="14"/>
      <x:c r="L494" s="86" t="str">
        <x:f>IF($P494="","",INDEX(Tasks!$N$10:$N$1941,$P494))</x:f>
        <x:v>Not started</x:v>
      </x:c>
      <x:c r="M494" s="87" t="n">
        <x:f>IF($P494="","",INDEX(Tasks!$J$10:$J$1941,$P494))</x:f>
        <x:v>46112</x:v>
      </x:c>
      <x:c r="N494" s="85" t="str">
        <x:f>IF($P494="","",HYPERLINK("#'"&amp;INDEX(Tasks!$T$10:$T$1941,$P494)&amp;"'!A"&amp;INDEX(Tasks!$U$10:$U$1941,$P494),"Open"))</x:f>
        <x:v>Open</x:v>
      </x:c>
      <x:c r="O494" s="14"/>
      <x:c r="P494" s="14" t="n">
        <x:f>IF(473&gt;$B$10,"",MATCH(473,Tasks!$S$10:$S$1941,0))</x:f>
        <x:v>837</x:v>
      </x:c>
    </x:row>
    <x:row r="495" ht="58" customHeight="1">
      <x:c r="B495" s="86" t="str">
        <x:f>IF($P495="","",INDEX(Tasks!$B$10:$B$1941,$P495))</x:f>
        <x:v>Cycle 1</x:v>
      </x:c>
      <x:c r="C495" s="86" t="str">
        <x:f>IF($P495="","",INDEX(Tasks!$C$10:$C$1941,$P495))</x:f>
        <x:v>Phase 2</x:v>
      </x:c>
      <x:c r="D495" s="86" t="str">
        <x:f>IF($P495="","",INDEX(Tasks!$D$10:$D$1941,$P495))</x:f>
        <x:v>FCM</x:v>
      </x:c>
      <x:c r="E495" s="86"/>
      <x:c r="F495" s="86" t="str">
        <x:f>IF($P495="","",INDEX(Tasks!$E$10:$E$1941,$P495))</x:f>
        <x:v>Research &amp; Analysis</x:v>
      </x:c>
      <x:c r="G495" s="86"/>
      <x:c r="H495" s="14" t="str">
        <x:f>IF($P495="","",INDEX(Tasks!$F$10:$F$1941,$P495)&amp;CHAR(10)&amp;INDEX(Tasks!$G$10:$G$1941,$P495))</x:f>
        <x:v>RA.FC.2.9
Validate or disprove initial hypothesis assumptions</x:v>
      </x:c>
      <x:c r="I495" s="14"/>
      <x:c r="J495" s="14"/>
      <x:c r="K495" s="14"/>
      <x:c r="L495" s="86" t="str">
        <x:f>IF($P495="","",INDEX(Tasks!$N$10:$N$1941,$P495))</x:f>
        <x:v>Not started</x:v>
      </x:c>
      <x:c r="M495" s="87" t="n">
        <x:f>IF($P495="","",INDEX(Tasks!$J$10:$J$1941,$P495))</x:f>
        <x:v>46112</x:v>
      </x:c>
      <x:c r="N495" s="85" t="str">
        <x:f>IF($P495="","",HYPERLINK("#'"&amp;INDEX(Tasks!$T$10:$T$1941,$P495)&amp;"'!A"&amp;INDEX(Tasks!$U$10:$U$1941,$P495),"Open"))</x:f>
        <x:v>Open</x:v>
      </x:c>
      <x:c r="O495" s="14"/>
      <x:c r="P495" s="14" t="n">
        <x:f>IF(474&gt;$B$10,"",MATCH(474,Tasks!$S$10:$S$1941,0))</x:f>
        <x:v>838</x:v>
      </x:c>
    </x:row>
    <x:row r="496" ht="58" customHeight="1">
      <x:c r="B496" s="86" t="str">
        <x:f>IF($P496="","",INDEX(Tasks!$B$10:$B$1941,$P496))</x:f>
        <x:v>Cycle 1</x:v>
      </x:c>
      <x:c r="C496" s="86" t="str">
        <x:f>IF($P496="","",INDEX(Tasks!$C$10:$C$1941,$P496))</x:f>
        <x:v>Phase 2</x:v>
      </x:c>
      <x:c r="D496" s="86" t="str">
        <x:f>IF($P496="","",INDEX(Tasks!$D$10:$D$1941,$P496))</x:f>
        <x:v>FCM</x:v>
      </x:c>
      <x:c r="E496" s="86"/>
      <x:c r="F496" s="86" t="str">
        <x:f>IF($P496="","",INDEX(Tasks!$E$10:$E$1941,$P496))</x:f>
        <x:v>Research &amp; Analysis</x:v>
      </x:c>
      <x:c r="G496" s="86"/>
      <x:c r="H496" s="14" t="str">
        <x:f>IF($P496="","",INDEX(Tasks!$F$10:$F$1941,$P496)&amp;CHAR(10)&amp;INDEX(Tasks!$G$10:$G$1941,$P496))</x:f>
        <x:v>RA.FC.2.10
Identify and confirm root cause</x:v>
      </x:c>
      <x:c r="I496" s="14"/>
      <x:c r="J496" s="14"/>
      <x:c r="K496" s="14"/>
      <x:c r="L496" s="86" t="str">
        <x:f>IF($P496="","",INDEX(Tasks!$N$10:$N$1941,$P496))</x:f>
        <x:v>Not started</x:v>
      </x:c>
      <x:c r="M496" s="87" t="n">
        <x:f>IF($P496="","",INDEX(Tasks!$J$10:$J$1941,$P496))</x:f>
        <x:v>46112</x:v>
      </x:c>
      <x:c r="N496" s="85" t="str">
        <x:f>IF($P496="","",HYPERLINK("#'"&amp;INDEX(Tasks!$T$10:$T$1941,$P496)&amp;"'!A"&amp;INDEX(Tasks!$U$10:$U$1941,$P496),"Open"))</x:f>
        <x:v>Open</x:v>
      </x:c>
      <x:c r="O496" s="14"/>
      <x:c r="P496" s="14" t="n">
        <x:f>IF(475&gt;$B$10,"",MATCH(475,Tasks!$S$10:$S$1941,0))</x:f>
        <x:v>839</x:v>
      </x:c>
    </x:row>
    <x:row r="497" ht="58" customHeight="1">
      <x:c r="B497" s="86" t="str">
        <x:f>IF($P497="","",INDEX(Tasks!$B$10:$B$1941,$P497))</x:f>
        <x:v>Cycle 1</x:v>
      </x:c>
      <x:c r="C497" s="86" t="str">
        <x:f>IF($P497="","",INDEX(Tasks!$C$10:$C$1941,$P497))</x:f>
        <x:v>Phase 3</x:v>
      </x:c>
      <x:c r="D497" s="86" t="str">
        <x:f>IF($P497="","",INDEX(Tasks!$D$10:$D$1941,$P497))</x:f>
        <x:v>FCM</x:v>
      </x:c>
      <x:c r="E497" s="86"/>
      <x:c r="F497" s="86" t="str">
        <x:f>IF($P497="","",INDEX(Tasks!$E$10:$E$1941,$P497))</x:f>
        <x:v>Research &amp; Analysis</x:v>
      </x:c>
      <x:c r="G497" s="86"/>
      <x:c r="H497" s="14" t="str">
        <x:f>IF($P497="","",INDEX(Tasks!$F$10:$F$1941,$P497)&amp;CHAR(10)&amp;INDEX(Tasks!$G$10:$G$1941,$P497))</x:f>
        <x:v>RA.FC.3.1
Finalize results and supporting documentation</x:v>
      </x:c>
      <x:c r="I497" s="14"/>
      <x:c r="J497" s="14"/>
      <x:c r="K497" s="14"/>
      <x:c r="L497" s="86" t="str">
        <x:f>IF($P497="","",INDEX(Tasks!$N$10:$N$1941,$P497))</x:f>
        <x:v>Not started</x:v>
      </x:c>
      <x:c r="M497" s="87" t="n">
        <x:f>IF($P497="","",INDEX(Tasks!$J$10:$J$1941,$P497))</x:f>
        <x:v>46112</x:v>
      </x:c>
      <x:c r="N497" s="85" t="str">
        <x:f>IF($P497="","",HYPERLINK("#'"&amp;INDEX(Tasks!$T$10:$T$1941,$P497)&amp;"'!A"&amp;INDEX(Tasks!$U$10:$U$1941,$P497),"Open"))</x:f>
        <x:v>Open</x:v>
      </x:c>
      <x:c r="O497" s="14"/>
      <x:c r="P497" s="14" t="n">
        <x:f>IF(476&gt;$B$10,"",MATCH(476,Tasks!$S$10:$S$1941,0))</x:f>
        <x:v>840</x:v>
      </x:c>
    </x:row>
    <x:row r="498" ht="58" customHeight="1">
      <x:c r="B498" s="86" t="str">
        <x:f>IF($P498="","",INDEX(Tasks!$B$10:$B$1941,$P498))</x:f>
        <x:v>Cycle 1</x:v>
      </x:c>
      <x:c r="C498" s="86" t="str">
        <x:f>IF($P498="","",INDEX(Tasks!$C$10:$C$1941,$P498))</x:f>
        <x:v>Phase 3</x:v>
      </x:c>
      <x:c r="D498" s="86" t="str">
        <x:f>IF($P498="","",INDEX(Tasks!$D$10:$D$1941,$P498))</x:f>
        <x:v>FCM</x:v>
      </x:c>
      <x:c r="E498" s="86"/>
      <x:c r="F498" s="86" t="str">
        <x:f>IF($P498="","",INDEX(Tasks!$E$10:$E$1941,$P498))</x:f>
        <x:v>Research &amp; Analysis</x:v>
      </x:c>
      <x:c r="G498" s="86"/>
      <x:c r="H498" s="14" t="str">
        <x:f>IF($P498="","",INDEX(Tasks!$F$10:$F$1941,$P498)&amp;CHAR(10)&amp;INDEX(Tasks!$G$10:$G$1941,$P498))</x:f>
        <x:v>RA.FC.3.2
Maintain and update the evidence package prior to handoff to D&amp;I</x:v>
      </x:c>
      <x:c r="I498" s="14"/>
      <x:c r="J498" s="14"/>
      <x:c r="K498" s="14"/>
      <x:c r="L498" s="86" t="str">
        <x:f>IF($P498="","",INDEX(Tasks!$N$10:$N$1941,$P498))</x:f>
        <x:v>Not started</x:v>
      </x:c>
      <x:c r="M498" s="87" t="n">
        <x:f>IF($P498="","",INDEX(Tasks!$J$10:$J$1941,$P498))</x:f>
        <x:v>46112</x:v>
      </x:c>
      <x:c r="N498" s="85" t="str">
        <x:f>IF($P498="","",HYPERLINK("#'"&amp;INDEX(Tasks!$T$10:$T$1941,$P498)&amp;"'!A"&amp;INDEX(Tasks!$U$10:$U$1941,$P498),"Open"))</x:f>
        <x:v>Open</x:v>
      </x:c>
      <x:c r="O498" s="14"/>
      <x:c r="P498" s="14" t="n">
        <x:f>IF(477&gt;$B$10,"",MATCH(477,Tasks!$S$10:$S$1941,0))</x:f>
        <x:v>841</x:v>
      </x:c>
    </x:row>
    <x:row r="499" ht="58" customHeight="1">
      <x:c r="B499" s="86" t="str">
        <x:f>IF($P499="","",INDEX(Tasks!$B$10:$B$1941,$P499))</x:f>
        <x:v>Cycle 1</x:v>
      </x:c>
      <x:c r="C499" s="86" t="str">
        <x:f>IF($P499="","",INDEX(Tasks!$C$10:$C$1941,$P499))</x:f>
        <x:v>Phase 3</x:v>
      </x:c>
      <x:c r="D499" s="86" t="str">
        <x:f>IF($P499="","",INDEX(Tasks!$D$10:$D$1941,$P499))</x:f>
        <x:v>FCM</x:v>
      </x:c>
      <x:c r="E499" s="86"/>
      <x:c r="F499" s="86" t="str">
        <x:f>IF($P499="","",INDEX(Tasks!$E$10:$E$1941,$P499))</x:f>
        <x:v>Research &amp; Analysis</x:v>
      </x:c>
      <x:c r="G499" s="86"/>
      <x:c r="H499" s="14" t="str">
        <x:f>IF($P499="","",INDEX(Tasks!$F$10:$F$1941,$P499)&amp;CHAR(10)&amp;INDEX(Tasks!$G$10:$G$1941,$P499))</x:f>
        <x:v>RA.FC.3.3
Address any outstanding questions or requests from D&amp;I</x:v>
      </x:c>
      <x:c r="I499" s="14"/>
      <x:c r="J499" s="14"/>
      <x:c r="K499" s="14"/>
      <x:c r="L499" s="86" t="str">
        <x:f>IF($P499="","",INDEX(Tasks!$N$10:$N$1941,$P499))</x:f>
        <x:v>Not started</x:v>
      </x:c>
      <x:c r="M499" s="87" t="n">
        <x:f>IF($P499="","",INDEX(Tasks!$J$10:$J$1941,$P499))</x:f>
        <x:v>46112</x:v>
      </x:c>
      <x:c r="N499" s="85" t="str">
        <x:f>IF($P499="","",HYPERLINK("#'"&amp;INDEX(Tasks!$T$10:$T$1941,$P499)&amp;"'!A"&amp;INDEX(Tasks!$U$10:$U$1941,$P499),"Open"))</x:f>
        <x:v>Open</x:v>
      </x:c>
      <x:c r="O499" s="14"/>
      <x:c r="P499" s="14" t="n">
        <x:f>IF(478&gt;$B$10,"",MATCH(478,Tasks!$S$10:$S$1941,0))</x:f>
        <x:v>842</x:v>
      </x:c>
    </x:row>
    <x:row r="500" ht="58" customHeight="1">
      <x:c r="B500" s="86" t="str">
        <x:f>IF($P500="","",INDEX(Tasks!$B$10:$B$1941,$P500))</x:f>
        <x:v>Cycle 1</x:v>
      </x:c>
      <x:c r="C500" s="86" t="str">
        <x:f>IF($P500="","",INDEX(Tasks!$C$10:$C$1941,$P500))</x:f>
        <x:v>Phase 3</x:v>
      </x:c>
      <x:c r="D500" s="86" t="str">
        <x:f>IF($P500="","",INDEX(Tasks!$D$10:$D$1941,$P500))</x:f>
        <x:v>FCM</x:v>
      </x:c>
      <x:c r="E500" s="86"/>
      <x:c r="F500" s="86" t="str">
        <x:f>IF($P500="","",INDEX(Tasks!$E$10:$E$1941,$P500))</x:f>
        <x:v>Research &amp; Analysis</x:v>
      </x:c>
      <x:c r="G500" s="86"/>
      <x:c r="H500" s="14" t="str">
        <x:f>IF($P500="","",INDEX(Tasks!$F$10:$F$1941,$P500)&amp;CHAR(10)&amp;INDEX(Tasks!$G$10:$G$1941,$P500))</x:f>
        <x:v>RA.FC.3.4
Attend Forum meeting with D&amp;I to assist with answering stakeholder questions (as needed)</x:v>
      </x:c>
      <x:c r="I500" s="14"/>
      <x:c r="J500" s="14"/>
      <x:c r="K500" s="14"/>
      <x:c r="L500" s="86" t="str">
        <x:f>IF($P500="","",INDEX(Tasks!$N$10:$N$1941,$P500))</x:f>
        <x:v>Not started</x:v>
      </x:c>
      <x:c r="M500" s="87" t="str">
        <x:f>IF($P500="","",INDEX(Tasks!$J$10:$J$1941,$P500))</x:f>
      </x:c>
      <x:c r="N500" s="85" t="str">
        <x:f>IF($P500="","",HYPERLINK("#'"&amp;INDEX(Tasks!$T$10:$T$1941,$P500)&amp;"'!A"&amp;INDEX(Tasks!$U$10:$U$1941,$P500),"Open"))</x:f>
        <x:v>Open</x:v>
      </x:c>
      <x:c r="O500" s="14"/>
      <x:c r="P500" s="14" t="n">
        <x:f>IF(479&gt;$B$10,"",MATCH(479,Tasks!$S$10:$S$1941,0))</x:f>
        <x:v>843</x:v>
      </x:c>
    </x:row>
    <x:row r="501" ht="58" customHeight="1">
      <x:c r="B501" s="86" t="str">
        <x:f>IF($P501="","",INDEX(Tasks!$B$10:$B$1941,$P501))</x:f>
        <x:v>Cycle 1</x:v>
      </x:c>
      <x:c r="C501" s="86" t="str">
        <x:f>IF($P501="","",INDEX(Tasks!$C$10:$C$1941,$P501))</x:f>
        <x:v>Phase 1</x:v>
      </x:c>
      <x:c r="D501" s="86" t="str">
        <x:f>IF($P501="","",INDEX(Tasks!$D$10:$D$1941,$P501))</x:f>
        <x:v>PLL</x:v>
      </x:c>
      <x:c r="E501" s="86"/>
      <x:c r="F501" s="86" t="str">
        <x:f>IF($P501="","",INDEX(Tasks!$E$10:$E$1941,$P501))</x:f>
        <x:v>Research &amp; Analysis</x:v>
      </x:c>
      <x:c r="G501" s="86"/>
      <x:c r="H501" s="14" t="str">
        <x:f>IF($P501="","",INDEX(Tasks!$F$10:$F$1941,$P501)&amp;CHAR(10)&amp;INDEX(Tasks!$G$10:$G$1941,$P501))</x:f>
        <x:v>RA.PL.1.1
Begin Research process 2 weeks prior to Cycle start</x:v>
      </x:c>
      <x:c r="I501" s="14"/>
      <x:c r="J501" s="14"/>
      <x:c r="K501" s="14"/>
      <x:c r="L501" s="86" t="str">
        <x:f>IF($P501="","",INDEX(Tasks!$N$10:$N$1941,$P501))</x:f>
        <x:v>Not started</x:v>
      </x:c>
      <x:c r="M501" s="87" t="n">
        <x:f>IF($P501="","",INDEX(Tasks!$J$10:$J$1941,$P501))</x:f>
        <x:v>46009</x:v>
      </x:c>
      <x:c r="N501" s="85" t="str">
        <x:f>IF($P501="","",HYPERLINK("#'"&amp;INDEX(Tasks!$T$10:$T$1941,$P501)&amp;"'!A"&amp;INDEX(Tasks!$U$10:$U$1941,$P501),"Open"))</x:f>
        <x:v>Open</x:v>
      </x:c>
      <x:c r="O501" s="14"/>
      <x:c r="P501" s="14" t="n">
        <x:f>IF(480&gt;$B$10,"",MATCH(480,Tasks!$S$10:$S$1941,0))</x:f>
        <x:v>844</x:v>
      </x:c>
    </x:row>
    <x:row r="502" ht="58" customHeight="1">
      <x:c r="B502" s="86" t="str">
        <x:f>IF($P502="","",INDEX(Tasks!$B$10:$B$1941,$P502))</x:f>
        <x:v>Cycle 1</x:v>
      </x:c>
      <x:c r="C502" s="86" t="str">
        <x:f>IF($P502="","",INDEX(Tasks!$C$10:$C$1941,$P502))</x:f>
        <x:v>Phase 1</x:v>
      </x:c>
      <x:c r="D502" s="86" t="str">
        <x:f>IF($P502="","",INDEX(Tasks!$D$10:$D$1941,$P502))</x:f>
        <x:v>PLL</x:v>
      </x:c>
      <x:c r="E502" s="86"/>
      <x:c r="F502" s="86" t="str">
        <x:f>IF($P502="","",INDEX(Tasks!$E$10:$E$1941,$P502))</x:f>
        <x:v>Research &amp; Analysis</x:v>
      </x:c>
      <x:c r="G502" s="86"/>
      <x:c r="H502" s="14" t="str">
        <x:f>IF($P502="","",INDEX(Tasks!$F$10:$F$1941,$P502)&amp;CHAR(10)&amp;INDEX(Tasks!$G$10:$G$1941,$P502))</x:f>
        <x:v>RA.PL.1.2
Conduct initial assessment of each topic recommendation from SharePoint list</x:v>
      </x:c>
      <x:c r="I502" s="14"/>
      <x:c r="J502" s="14"/>
      <x:c r="K502" s="14"/>
      <x:c r="L502" s="86" t="str">
        <x:f>IF($P502="","",INDEX(Tasks!$N$10:$N$1941,$P502))</x:f>
        <x:v>Not started</x:v>
      </x:c>
      <x:c r="M502" s="87" t="n">
        <x:f>IF($P502="","",INDEX(Tasks!$J$10:$J$1941,$P502))</x:f>
        <x:v>46112</x:v>
      </x:c>
      <x:c r="N502" s="85" t="str">
        <x:f>IF($P502="","",HYPERLINK("#'"&amp;INDEX(Tasks!$T$10:$T$1941,$P502)&amp;"'!A"&amp;INDEX(Tasks!$U$10:$U$1941,$P502),"Open"))</x:f>
        <x:v>Open</x:v>
      </x:c>
      <x:c r="O502" s="14"/>
      <x:c r="P502" s="14" t="n">
        <x:f>IF(481&gt;$B$10,"",MATCH(481,Tasks!$S$10:$S$1941,0))</x:f>
        <x:v>845</x:v>
      </x:c>
    </x:row>
    <x:row r="503" ht="58" customHeight="1">
      <x:c r="B503" s="86" t="str">
        <x:f>IF($P503="","",INDEX(Tasks!$B$10:$B$1941,$P503))</x:f>
        <x:v>Cycle 1</x:v>
      </x:c>
      <x:c r="C503" s="86" t="str">
        <x:f>IF($P503="","",INDEX(Tasks!$C$10:$C$1941,$P503))</x:f>
        <x:v>Phase 1</x:v>
      </x:c>
      <x:c r="D503" s="86" t="str">
        <x:f>IF($P503="","",INDEX(Tasks!$D$10:$D$1941,$P503))</x:f>
        <x:v>PLL</x:v>
      </x:c>
      <x:c r="E503" s="86"/>
      <x:c r="F503" s="86" t="str">
        <x:f>IF($P503="","",INDEX(Tasks!$E$10:$E$1941,$P503))</x:f>
        <x:v>Research &amp; Analysis</x:v>
      </x:c>
      <x:c r="G503" s="86"/>
      <x:c r="H503" s="14" t="str">
        <x:f>IF($P503="","",INDEX(Tasks!$F$10:$F$1941,$P503)&amp;CHAR(10)&amp;INDEX(Tasks!$G$10:$G$1941,$P503))</x:f>
        <x:v>RA.PL.1.3
Identify best topic for Cycle</x:v>
      </x:c>
      <x:c r="I503" s="14"/>
      <x:c r="J503" s="14"/>
      <x:c r="K503" s="14"/>
      <x:c r="L503" s="86" t="str">
        <x:f>IF($P503="","",INDEX(Tasks!$N$10:$N$1941,$P503))</x:f>
        <x:v>Not started</x:v>
      </x:c>
      <x:c r="M503" s="87" t="n">
        <x:f>IF($P503="","",INDEX(Tasks!$J$10:$J$1941,$P503))</x:f>
        <x:v>46112</x:v>
      </x:c>
      <x:c r="N503" s="85" t="str">
        <x:f>IF($P503="","",HYPERLINK("#'"&amp;INDEX(Tasks!$T$10:$T$1941,$P503)&amp;"'!A"&amp;INDEX(Tasks!$U$10:$U$1941,$P503),"Open"))</x:f>
        <x:v>Open</x:v>
      </x:c>
      <x:c r="O503" s="14"/>
      <x:c r="P503" s="14" t="n">
        <x:f>IF(482&gt;$B$10,"",MATCH(482,Tasks!$S$10:$S$1941,0))</x:f>
        <x:v>846</x:v>
      </x:c>
    </x:row>
    <x:row r="504" ht="58" customHeight="1">
      <x:c r="B504" s="86" t="str">
        <x:f>IF($P504="","",INDEX(Tasks!$B$10:$B$1941,$P504))</x:f>
        <x:v>Cycle 1</x:v>
      </x:c>
      <x:c r="C504" s="86" t="str">
        <x:f>IF($P504="","",INDEX(Tasks!$C$10:$C$1941,$P504))</x:f>
        <x:v>Phase 1</x:v>
      </x:c>
      <x:c r="D504" s="86" t="str">
        <x:f>IF($P504="","",INDEX(Tasks!$D$10:$D$1941,$P504))</x:f>
        <x:v>PLL</x:v>
      </x:c>
      <x:c r="E504" s="86"/>
      <x:c r="F504" s="86" t="str">
        <x:f>IF($P504="","",INDEX(Tasks!$E$10:$E$1941,$P504))</x:f>
        <x:v>Research &amp; Analysis</x:v>
      </x:c>
      <x:c r="G504" s="86"/>
      <x:c r="H504" s="14" t="str">
        <x:f>IF($P504="","",INDEX(Tasks!$F$10:$F$1941,$P504)&amp;CHAR(10)&amp;INDEX(Tasks!$G$10:$G$1941,$P504))</x:f>
        <x:v>RA.PL.1.4
Identify backup topic for Cycle</x:v>
      </x:c>
      <x:c r="I504" s="14"/>
      <x:c r="J504" s="14"/>
      <x:c r="K504" s="14"/>
      <x:c r="L504" s="86" t="str">
        <x:f>IF($P504="","",INDEX(Tasks!$N$10:$N$1941,$P504))</x:f>
        <x:v>Not started</x:v>
      </x:c>
      <x:c r="M504" s="87" t="n">
        <x:f>IF($P504="","",INDEX(Tasks!$J$10:$J$1941,$P504))</x:f>
        <x:v>46112</x:v>
      </x:c>
      <x:c r="N504" s="85" t="str">
        <x:f>IF($P504="","",HYPERLINK("#'"&amp;INDEX(Tasks!$T$10:$T$1941,$P504)&amp;"'!A"&amp;INDEX(Tasks!$U$10:$U$1941,$P504),"Open"))</x:f>
        <x:v>Open</x:v>
      </x:c>
      <x:c r="O504" s="14"/>
      <x:c r="P504" s="14" t="n">
        <x:f>IF(483&gt;$B$10,"",MATCH(483,Tasks!$S$10:$S$1941,0))</x:f>
        <x:v>847</x:v>
      </x:c>
    </x:row>
    <x:row r="505" ht="58" customHeight="1">
      <x:c r="B505" s="86" t="str">
        <x:f>IF($P505="","",INDEX(Tasks!$B$10:$B$1941,$P505))</x:f>
        <x:v>Cycle 1</x:v>
      </x:c>
      <x:c r="C505" s="86" t="str">
        <x:f>IF($P505="","",INDEX(Tasks!$C$10:$C$1941,$P505))</x:f>
        <x:v>Phase 1</x:v>
      </x:c>
      <x:c r="D505" s="86" t="str">
        <x:f>IF($P505="","",INDEX(Tasks!$D$10:$D$1941,$P505))</x:f>
        <x:v>PLL</x:v>
      </x:c>
      <x:c r="E505" s="86"/>
      <x:c r="F505" s="86" t="str">
        <x:f>IF($P505="","",INDEX(Tasks!$E$10:$E$1941,$P505))</x:f>
        <x:v>Research &amp; Analysis</x:v>
      </x:c>
      <x:c r="G505" s="86"/>
      <x:c r="H505" s="14" t="str">
        <x:f>IF($P505="","",INDEX(Tasks!$F$10:$F$1941,$P505)&amp;CHAR(10)&amp;INDEX(Tasks!$G$10:$G$1941,$P505))</x:f>
        <x:v>RA.PL.1.5
Schedule topic approval meeting with D&amp;I and management</x:v>
      </x:c>
      <x:c r="I505" s="14"/>
      <x:c r="J505" s="14"/>
      <x:c r="K505" s="14"/>
      <x:c r="L505" s="86" t="str">
        <x:f>IF($P505="","",INDEX(Tasks!$N$10:$N$1941,$P505))</x:f>
        <x:v>Not started</x:v>
      </x:c>
      <x:c r="M505" s="87" t="n">
        <x:f>IF($P505="","",INDEX(Tasks!$J$10:$J$1941,$P505))</x:f>
        <x:v>46112</x:v>
      </x:c>
      <x:c r="N505" s="85" t="str">
        <x:f>IF($P505="","",HYPERLINK("#'"&amp;INDEX(Tasks!$T$10:$T$1941,$P505)&amp;"'!A"&amp;INDEX(Tasks!$U$10:$U$1941,$P505),"Open"))</x:f>
        <x:v>Open</x:v>
      </x:c>
      <x:c r="O505" s="14"/>
      <x:c r="P505" s="14" t="n">
        <x:f>IF(484&gt;$B$10,"",MATCH(484,Tasks!$S$10:$S$1941,0))</x:f>
        <x:v>848</x:v>
      </x:c>
    </x:row>
    <x:row r="506" ht="58" customHeight="1">
      <x:c r="B506" s="86" t="str">
        <x:f>IF($P506="","",INDEX(Tasks!$B$10:$B$1941,$P506))</x:f>
        <x:v>Cycle 1</x:v>
      </x:c>
      <x:c r="C506" s="86" t="str">
        <x:f>IF($P506="","",INDEX(Tasks!$C$10:$C$1941,$P506))</x:f>
        <x:v>Phase 1</x:v>
      </x:c>
      <x:c r="D506" s="86" t="str">
        <x:f>IF($P506="","",INDEX(Tasks!$D$10:$D$1941,$P506))</x:f>
        <x:v>PLL</x:v>
      </x:c>
      <x:c r="E506" s="86"/>
      <x:c r="F506" s="86" t="str">
        <x:f>IF($P506="","",INDEX(Tasks!$E$10:$E$1941,$P506))</x:f>
        <x:v>Research &amp; Analysis</x:v>
      </x:c>
      <x:c r="G506" s="86"/>
      <x:c r="H506" s="14" t="str">
        <x:f>IF($P506="","",INDEX(Tasks!$F$10:$F$1941,$P506)&amp;CHAR(10)&amp;INDEX(Tasks!$G$10:$G$1941,$P506))</x:f>
        <x:v>RA.PL.1.6
Present recommended topic to D&amp;I and management for approval</x:v>
      </x:c>
      <x:c r="I506" s="14"/>
      <x:c r="J506" s="14"/>
      <x:c r="K506" s="14"/>
      <x:c r="L506" s="86" t="str">
        <x:f>IF($P506="","",INDEX(Tasks!$N$10:$N$1941,$P506))</x:f>
        <x:v>Not started</x:v>
      </x:c>
      <x:c r="M506" s="87" t="n">
        <x:f>IF($P506="","",INDEX(Tasks!$J$10:$J$1941,$P506))</x:f>
        <x:v>46112</x:v>
      </x:c>
      <x:c r="N506" s="85" t="str">
        <x:f>IF($P506="","",HYPERLINK("#'"&amp;INDEX(Tasks!$T$10:$T$1941,$P506)&amp;"'!A"&amp;INDEX(Tasks!$U$10:$U$1941,$P506),"Open"))</x:f>
        <x:v>Open</x:v>
      </x:c>
      <x:c r="O506" s="14"/>
      <x:c r="P506" s="14" t="n">
        <x:f>IF(485&gt;$B$10,"",MATCH(485,Tasks!$S$10:$S$1941,0))</x:f>
        <x:v>849</x:v>
      </x:c>
    </x:row>
    <x:row r="507" ht="58" customHeight="1">
      <x:c r="B507" s="86" t="str">
        <x:f>IF($P507="","",INDEX(Tasks!$B$10:$B$1941,$P507))</x:f>
        <x:v>Cycle 1</x:v>
      </x:c>
      <x:c r="C507" s="86" t="str">
        <x:f>IF($P507="","",INDEX(Tasks!$C$10:$C$1941,$P507))</x:f>
        <x:v>Phase 1</x:v>
      </x:c>
      <x:c r="D507" s="86" t="str">
        <x:f>IF($P507="","",INDEX(Tasks!$D$10:$D$1941,$P507))</x:f>
        <x:v>PLL</x:v>
      </x:c>
      <x:c r="E507" s="86"/>
      <x:c r="F507" s="86" t="str">
        <x:f>IF($P507="","",INDEX(Tasks!$E$10:$E$1941,$P507))</x:f>
        <x:v>Research &amp; Analysis</x:v>
      </x:c>
      <x:c r="G507" s="86"/>
      <x:c r="H507" s="14" t="str">
        <x:f>IF($P507="","",INDEX(Tasks!$F$10:$F$1941,$P507)&amp;CHAR(10)&amp;INDEX(Tasks!$G$10:$G$1941,$P507))</x:f>
        <x:v>RA.PL.1.7
Obtain formal topic selection approval from management via SharePoint</x:v>
      </x:c>
      <x:c r="I507" s="14"/>
      <x:c r="J507" s="14"/>
      <x:c r="K507" s="14"/>
      <x:c r="L507" s="86" t="str">
        <x:f>IF($P507="","",INDEX(Tasks!$N$10:$N$1941,$P507))</x:f>
        <x:v>Not started</x:v>
      </x:c>
      <x:c r="M507" s="87" t="n">
        <x:f>IF($P507="","",INDEX(Tasks!$J$10:$J$1941,$P507))</x:f>
        <x:v>46112</x:v>
      </x:c>
      <x:c r="N507" s="85" t="str">
        <x:f>IF($P507="","",HYPERLINK("#'"&amp;INDEX(Tasks!$T$10:$T$1941,$P507)&amp;"'!A"&amp;INDEX(Tasks!$U$10:$U$1941,$P507),"Open"))</x:f>
        <x:v>Open</x:v>
      </x:c>
      <x:c r="O507" s="14"/>
      <x:c r="P507" s="14" t="n">
        <x:f>IF(486&gt;$B$10,"",MATCH(486,Tasks!$S$10:$S$1941,0))</x:f>
        <x:v>850</x:v>
      </x:c>
    </x:row>
    <x:row r="508" ht="58" customHeight="1">
      <x:c r="B508" s="86" t="str">
        <x:f>IF($P508="","",INDEX(Tasks!$B$10:$B$1941,$P508))</x:f>
        <x:v>Cycle 1</x:v>
      </x:c>
      <x:c r="C508" s="86" t="str">
        <x:f>IF($P508="","",INDEX(Tasks!$C$10:$C$1941,$P508))</x:f>
        <x:v>Phase 1</x:v>
      </x:c>
      <x:c r="D508" s="86" t="str">
        <x:f>IF($P508="","",INDEX(Tasks!$D$10:$D$1941,$P508))</x:f>
        <x:v>PLL</x:v>
      </x:c>
      <x:c r="E508" s="86"/>
      <x:c r="F508" s="86" t="str">
        <x:f>IF($P508="","",INDEX(Tasks!$E$10:$E$1941,$P508))</x:f>
        <x:v>Research &amp; Analysis</x:v>
      </x:c>
      <x:c r="G508" s="86"/>
      <x:c r="H508" s="14" t="str">
        <x:f>IF($P508="","",INDEX(Tasks!$F$10:$F$1941,$P508)&amp;CHAR(10)&amp;INDEX(Tasks!$G$10:$G$1941,$P508))</x:f>
        <x:v>RA.PL.1.8
Socialize topic selection with product owners and subject matter experts (if known)</x:v>
      </x:c>
      <x:c r="I508" s="14"/>
      <x:c r="J508" s="14"/>
      <x:c r="K508" s="14"/>
      <x:c r="L508" s="86" t="str">
        <x:f>IF($P508="","",INDEX(Tasks!$N$10:$N$1941,$P508))</x:f>
        <x:v>Not started</x:v>
      </x:c>
      <x:c r="M508" s="87" t="n">
        <x:f>IF($P508="","",INDEX(Tasks!$J$10:$J$1941,$P508))</x:f>
        <x:v>46112</x:v>
      </x:c>
      <x:c r="N508" s="85" t="str">
        <x:f>IF($P508="","",HYPERLINK("#'"&amp;INDEX(Tasks!$T$10:$T$1941,$P508)&amp;"'!A"&amp;INDEX(Tasks!$U$10:$U$1941,$P508),"Open"))</x:f>
        <x:v>Open</x:v>
      </x:c>
      <x:c r="O508" s="14"/>
      <x:c r="P508" s="14" t="n">
        <x:f>IF(487&gt;$B$10,"",MATCH(487,Tasks!$S$10:$S$1941,0))</x:f>
        <x:v>851</x:v>
      </x:c>
    </x:row>
    <x:row r="509" ht="58" customHeight="1">
      <x:c r="B509" s="86" t="str">
        <x:f>IF($P509="","",INDEX(Tasks!$B$10:$B$1941,$P509))</x:f>
        <x:v>Cycle 1</x:v>
      </x:c>
      <x:c r="C509" s="86" t="str">
        <x:f>IF($P509="","",INDEX(Tasks!$C$10:$C$1941,$P509))</x:f>
        <x:v>Phase 1</x:v>
      </x:c>
      <x:c r="D509" s="86" t="str">
        <x:f>IF($P509="","",INDEX(Tasks!$D$10:$D$1941,$P509))</x:f>
        <x:v>PLL</x:v>
      </x:c>
      <x:c r="E509" s="86"/>
      <x:c r="F509" s="86" t="str">
        <x:f>IF($P509="","",INDEX(Tasks!$E$10:$E$1941,$P509))</x:f>
        <x:v>Research &amp; Analysis</x:v>
      </x:c>
      <x:c r="G509" s="86"/>
      <x:c r="H509" s="14" t="str">
        <x:f>IF($P509="","",INDEX(Tasks!$F$10:$F$1941,$P509)&amp;CHAR(10)&amp;INDEX(Tasks!$G$10:$G$1941,$P509))</x:f>
        <x:v>RA.PL.1.9
Assign topic researchers</x:v>
      </x:c>
      <x:c r="I509" s="14"/>
      <x:c r="J509" s="14"/>
      <x:c r="K509" s="14"/>
      <x:c r="L509" s="86" t="str">
        <x:f>IF($P509="","",INDEX(Tasks!$N$10:$N$1941,$P509))</x:f>
        <x:v>Not started</x:v>
      </x:c>
      <x:c r="M509" s="87" t="n">
        <x:f>IF($P509="","",INDEX(Tasks!$J$10:$J$1941,$P509))</x:f>
        <x:v>46112</x:v>
      </x:c>
      <x:c r="N509" s="85" t="str">
        <x:f>IF($P509="","",HYPERLINK("#'"&amp;INDEX(Tasks!$T$10:$T$1941,$P509)&amp;"'!A"&amp;INDEX(Tasks!$U$10:$U$1941,$P509),"Open"))</x:f>
        <x:v>Open</x:v>
      </x:c>
      <x:c r="O509" s="14"/>
      <x:c r="P509" s="14" t="n">
        <x:f>IF(488&gt;$B$10,"",MATCH(488,Tasks!$S$10:$S$1941,0))</x:f>
        <x:v>852</x:v>
      </x:c>
    </x:row>
    <x:row r="510" ht="58" customHeight="1">
      <x:c r="B510" s="86" t="str">
        <x:f>IF($P510="","",INDEX(Tasks!$B$10:$B$1941,$P510))</x:f>
        <x:v>Cycle 1</x:v>
      </x:c>
      <x:c r="C510" s="86" t="str">
        <x:f>IF($P510="","",INDEX(Tasks!$C$10:$C$1941,$P510))</x:f>
        <x:v>Phase 2</x:v>
      </x:c>
      <x:c r="D510" s="86" t="str">
        <x:f>IF($P510="","",INDEX(Tasks!$D$10:$D$1941,$P510))</x:f>
        <x:v>PLL</x:v>
      </x:c>
      <x:c r="E510" s="86"/>
      <x:c r="F510" s="86" t="str">
        <x:f>IF($P510="","",INDEX(Tasks!$E$10:$E$1941,$P510))</x:f>
        <x:v>Research &amp; Analysis</x:v>
      </x:c>
      <x:c r="G510" s="86"/>
      <x:c r="H510" s="14" t="str">
        <x:f>IF($P510="","",INDEX(Tasks!$F$10:$F$1941,$P510)&amp;CHAR(10)&amp;INDEX(Tasks!$G$10:$G$1941,$P510))</x:f>
        <x:v>RA.PL.2.1
Review data sources</x:v>
      </x:c>
      <x:c r="I510" s="14"/>
      <x:c r="J510" s="14"/>
      <x:c r="K510" s="14"/>
      <x:c r="L510" s="86" t="str">
        <x:f>IF($P510="","",INDEX(Tasks!$N$10:$N$1941,$P510))</x:f>
        <x:v>Not started</x:v>
      </x:c>
      <x:c r="M510" s="87" t="n">
        <x:f>IF($P510="","",INDEX(Tasks!$J$10:$J$1941,$P510))</x:f>
        <x:v>46112</x:v>
      </x:c>
      <x:c r="N510" s="85" t="str">
        <x:f>IF($P510="","",HYPERLINK("#'"&amp;INDEX(Tasks!$T$10:$T$1941,$P510)&amp;"'!A"&amp;INDEX(Tasks!$U$10:$U$1941,$P510),"Open"))</x:f>
        <x:v>Open</x:v>
      </x:c>
      <x:c r="O510" s="14"/>
      <x:c r="P510" s="14" t="n">
        <x:f>IF(489&gt;$B$10,"",MATCH(489,Tasks!$S$10:$S$1941,0))</x:f>
        <x:v>853</x:v>
      </x:c>
    </x:row>
    <x:row r="511" ht="58" customHeight="1">
      <x:c r="B511" s="86" t="str">
        <x:f>IF($P511="","",INDEX(Tasks!$B$10:$B$1941,$P511))</x:f>
        <x:v>Cycle 1</x:v>
      </x:c>
      <x:c r="C511" s="86" t="str">
        <x:f>IF($P511="","",INDEX(Tasks!$C$10:$C$1941,$P511))</x:f>
        <x:v>Phase 2</x:v>
      </x:c>
      <x:c r="D511" s="86" t="str">
        <x:f>IF($P511="","",INDEX(Tasks!$D$10:$D$1941,$P511))</x:f>
        <x:v>PLL</x:v>
      </x:c>
      <x:c r="E511" s="86"/>
      <x:c r="F511" s="86" t="str">
        <x:f>IF($P511="","",INDEX(Tasks!$E$10:$E$1941,$P511))</x:f>
        <x:v>Research &amp; Analysis</x:v>
      </x:c>
      <x:c r="G511" s="86"/>
      <x:c r="H511" s="14" t="str">
        <x:f>IF($P511="","",INDEX(Tasks!$F$10:$F$1941,$P511)&amp;CHAR(10)&amp;INDEX(Tasks!$G$10:$G$1941,$P511))</x:f>
        <x:v>RA.PL.2.2
Review relevant policies and procedures</x:v>
      </x:c>
      <x:c r="I511" s="14"/>
      <x:c r="J511" s="14"/>
      <x:c r="K511" s="14"/>
      <x:c r="L511" s="86" t="str">
        <x:f>IF($P511="","",INDEX(Tasks!$N$10:$N$1941,$P511))</x:f>
        <x:v>Not started</x:v>
      </x:c>
      <x:c r="M511" s="87" t="n">
        <x:f>IF($P511="","",INDEX(Tasks!$J$10:$J$1941,$P511))</x:f>
        <x:v>46112</x:v>
      </x:c>
      <x:c r="N511" s="85" t="str">
        <x:f>IF($P511="","",HYPERLINK("#'"&amp;INDEX(Tasks!$T$10:$T$1941,$P511)&amp;"'!A"&amp;INDEX(Tasks!$U$10:$U$1941,$P511),"Open"))</x:f>
        <x:v>Open</x:v>
      </x:c>
      <x:c r="O511" s="14"/>
      <x:c r="P511" s="14" t="n">
        <x:f>IF(490&gt;$B$10,"",MATCH(490,Tasks!$S$10:$S$1941,0))</x:f>
        <x:v>854</x:v>
      </x:c>
    </x:row>
    <x:row r="512" ht="58" customHeight="1">
      <x:c r="B512" s="86" t="str">
        <x:f>IF($P512="","",INDEX(Tasks!$B$10:$B$1941,$P512))</x:f>
        <x:v>Cycle 1</x:v>
      </x:c>
      <x:c r="C512" s="86" t="str">
        <x:f>IF($P512="","",INDEX(Tasks!$C$10:$C$1941,$P512))</x:f>
        <x:v>Phase 2</x:v>
      </x:c>
      <x:c r="D512" s="86" t="str">
        <x:f>IF($P512="","",INDEX(Tasks!$D$10:$D$1941,$P512))</x:f>
        <x:v>PLL</x:v>
      </x:c>
      <x:c r="E512" s="86"/>
      <x:c r="F512" s="86" t="str">
        <x:f>IF($P512="","",INDEX(Tasks!$E$10:$E$1941,$P512))</x:f>
        <x:v>Research &amp; Analysis</x:v>
      </x:c>
      <x:c r="G512" s="86"/>
      <x:c r="H512" s="14" t="str">
        <x:f>IF($P512="","",INDEX(Tasks!$F$10:$F$1941,$P512)&amp;CHAR(10)&amp;INDEX(Tasks!$G$10:$G$1941,$P512))</x:f>
        <x:v>RA.PL.2.3
Meet with SMEs to gain business insight and clarify questions</x:v>
      </x:c>
      <x:c r="I512" s="14"/>
      <x:c r="J512" s="14"/>
      <x:c r="K512" s="14"/>
      <x:c r="L512" s="86" t="str">
        <x:f>IF($P512="","",INDEX(Tasks!$N$10:$N$1941,$P512))</x:f>
        <x:v>Not started</x:v>
      </x:c>
      <x:c r="M512" s="87" t="n">
        <x:f>IF($P512="","",INDEX(Tasks!$J$10:$J$1941,$P512))</x:f>
        <x:v>46112</x:v>
      </x:c>
      <x:c r="N512" s="85" t="str">
        <x:f>IF($P512="","",HYPERLINK("#'"&amp;INDEX(Tasks!$T$10:$T$1941,$P512)&amp;"'!A"&amp;INDEX(Tasks!$U$10:$U$1941,$P512),"Open"))</x:f>
        <x:v>Open</x:v>
      </x:c>
      <x:c r="O512" s="14"/>
      <x:c r="P512" s="14" t="n">
        <x:f>IF(491&gt;$B$10,"",MATCH(491,Tasks!$S$10:$S$1941,0))</x:f>
        <x:v>855</x:v>
      </x:c>
    </x:row>
    <x:row r="513" ht="58" customHeight="1">
      <x:c r="B513" s="86" t="str">
        <x:f>IF($P513="","",INDEX(Tasks!$B$10:$B$1941,$P513))</x:f>
        <x:v>Cycle 1</x:v>
      </x:c>
      <x:c r="C513" s="86" t="str">
        <x:f>IF($P513="","",INDEX(Tasks!$C$10:$C$1941,$P513))</x:f>
        <x:v>Phase 2</x:v>
      </x:c>
      <x:c r="D513" s="86" t="str">
        <x:f>IF($P513="","",INDEX(Tasks!$D$10:$D$1941,$P513))</x:f>
        <x:v>PLL</x:v>
      </x:c>
      <x:c r="E513" s="86"/>
      <x:c r="F513" s="86" t="str">
        <x:f>IF($P513="","",INDEX(Tasks!$E$10:$E$1941,$P513))</x:f>
        <x:v>Research &amp; Analysis</x:v>
      </x:c>
      <x:c r="G513" s="86"/>
      <x:c r="H513" s="14" t="str">
        <x:f>IF($P513="","",INDEX(Tasks!$F$10:$F$1941,$P513)&amp;CHAR(10)&amp;INDEX(Tasks!$G$10:$G$1941,$P513))</x:f>
        <x:v>RA.PL.2.4
Establish and maintain a recurring meeting with D&amp;I to discuss Cycle progress</x:v>
      </x:c>
      <x:c r="I513" s="14"/>
      <x:c r="J513" s="14"/>
      <x:c r="K513" s="14"/>
      <x:c r="L513" s="86" t="str">
        <x:f>IF($P513="","",INDEX(Tasks!$N$10:$N$1941,$P513))</x:f>
        <x:v>Not started</x:v>
      </x:c>
      <x:c r="M513" s="87" t="n">
        <x:f>IF($P513="","",INDEX(Tasks!$J$10:$J$1941,$P513))</x:f>
        <x:v>46112</x:v>
      </x:c>
      <x:c r="N513" s="85" t="str">
        <x:f>IF($P513="","",HYPERLINK("#'"&amp;INDEX(Tasks!$T$10:$T$1941,$P513)&amp;"'!A"&amp;INDEX(Tasks!$U$10:$U$1941,$P513),"Open"))</x:f>
        <x:v>Open</x:v>
      </x:c>
      <x:c r="O513" s="14"/>
      <x:c r="P513" s="14" t="n">
        <x:f>IF(492&gt;$B$10,"",MATCH(492,Tasks!$S$10:$S$1941,0))</x:f>
        <x:v>856</x:v>
      </x:c>
    </x:row>
    <x:row r="514" ht="58" customHeight="1">
      <x:c r="B514" s="86" t="str">
        <x:f>IF($P514="","",INDEX(Tasks!$B$10:$B$1941,$P514))</x:f>
        <x:v>Cycle 1</x:v>
      </x:c>
      <x:c r="C514" s="86" t="str">
        <x:f>IF($P514="","",INDEX(Tasks!$C$10:$C$1941,$P514))</x:f>
        <x:v>Phase 2</x:v>
      </x:c>
      <x:c r="D514" s="86" t="str">
        <x:f>IF($P514="","",INDEX(Tasks!$D$10:$D$1941,$P514))</x:f>
        <x:v>PLL</x:v>
      </x:c>
      <x:c r="E514" s="86"/>
      <x:c r="F514" s="86" t="str">
        <x:f>IF($P514="","",INDEX(Tasks!$E$10:$E$1941,$P514))</x:f>
        <x:v>Research &amp; Analysis</x:v>
      </x:c>
      <x:c r="G514" s="86"/>
      <x:c r="H514" s="14" t="str">
        <x:f>IF($P514="","",INDEX(Tasks!$F$10:$F$1941,$P514)&amp;CHAR(10)&amp;INDEX(Tasks!$G$10:$G$1941,$P514))</x:f>
        <x:v>RA.PL.2.5
Perform data testing and sampling</x:v>
      </x:c>
      <x:c r="I514" s="14"/>
      <x:c r="J514" s="14"/>
      <x:c r="K514" s="14"/>
      <x:c r="L514" s="86" t="str">
        <x:f>IF($P514="","",INDEX(Tasks!$N$10:$N$1941,$P514))</x:f>
        <x:v>Not started</x:v>
      </x:c>
      <x:c r="M514" s="87" t="n">
        <x:f>IF($P514="","",INDEX(Tasks!$J$10:$J$1941,$P514))</x:f>
        <x:v>46112</x:v>
      </x:c>
      <x:c r="N514" s="85" t="str">
        <x:f>IF($P514="","",HYPERLINK("#'"&amp;INDEX(Tasks!$T$10:$T$1941,$P514)&amp;"'!A"&amp;INDEX(Tasks!$U$10:$U$1941,$P514),"Open"))</x:f>
        <x:v>Open</x:v>
      </x:c>
      <x:c r="O514" s="14"/>
      <x:c r="P514" s="14" t="n">
        <x:f>IF(493&gt;$B$10,"",MATCH(493,Tasks!$S$10:$S$1941,0))</x:f>
        <x:v>857</x:v>
      </x:c>
    </x:row>
    <x:row r="515" ht="58" customHeight="1">
      <x:c r="B515" s="86" t="str">
        <x:f>IF($P515="","",INDEX(Tasks!$B$10:$B$1941,$P515))</x:f>
        <x:v>Cycle 1</x:v>
      </x:c>
      <x:c r="C515" s="86" t="str">
        <x:f>IF($P515="","",INDEX(Tasks!$C$10:$C$1941,$P515))</x:f>
        <x:v>Phase 2</x:v>
      </x:c>
      <x:c r="D515" s="86" t="str">
        <x:f>IF($P515="","",INDEX(Tasks!$D$10:$D$1941,$P515))</x:f>
        <x:v>PLL</x:v>
      </x:c>
      <x:c r="E515" s="86"/>
      <x:c r="F515" s="86" t="str">
        <x:f>IF($P515="","",INDEX(Tasks!$E$10:$E$1941,$P515))</x:f>
        <x:v>Research &amp; Analysis</x:v>
      </x:c>
      <x:c r="G515" s="86"/>
      <x:c r="H515" s="14" t="str">
        <x:f>IF($P515="","",INDEX(Tasks!$F$10:$F$1941,$P515)&amp;CHAR(10)&amp;INDEX(Tasks!$G$10:$G$1941,$P515))</x:f>
        <x:v>RA.PL.2.6
Complete Positive Testing</x:v>
      </x:c>
      <x:c r="I515" s="14"/>
      <x:c r="J515" s="14"/>
      <x:c r="K515" s="14"/>
      <x:c r="L515" s="86" t="str">
        <x:f>IF($P515="","",INDEX(Tasks!$N$10:$N$1941,$P515))</x:f>
        <x:v>Not started</x:v>
      </x:c>
      <x:c r="M515" s="87" t="n">
        <x:f>IF($P515="","",INDEX(Tasks!$J$10:$J$1941,$P515))</x:f>
        <x:v>46112</x:v>
      </x:c>
      <x:c r="N515" s="85" t="str">
        <x:f>IF($P515="","",HYPERLINK("#'"&amp;INDEX(Tasks!$T$10:$T$1941,$P515)&amp;"'!A"&amp;INDEX(Tasks!$U$10:$U$1941,$P515),"Open"))</x:f>
        <x:v>Open</x:v>
      </x:c>
      <x:c r="O515" s="14"/>
      <x:c r="P515" s="14" t="n">
        <x:f>IF(494&gt;$B$10,"",MATCH(494,Tasks!$S$10:$S$1941,0))</x:f>
        <x:v>858</x:v>
      </x:c>
    </x:row>
    <x:row r="516" ht="58" customHeight="1">
      <x:c r="B516" s="86" t="str">
        <x:f>IF($P516="","",INDEX(Tasks!$B$10:$B$1941,$P516))</x:f>
        <x:v>Cycle 1</x:v>
      </x:c>
      <x:c r="C516" s="86" t="str">
        <x:f>IF($P516="","",INDEX(Tasks!$C$10:$C$1941,$P516))</x:f>
        <x:v>Phase 2</x:v>
      </x:c>
      <x:c r="D516" s="86" t="str">
        <x:f>IF($P516="","",INDEX(Tasks!$D$10:$D$1941,$P516))</x:f>
        <x:v>PLL</x:v>
      </x:c>
      <x:c r="E516" s="86"/>
      <x:c r="F516" s="86" t="str">
        <x:f>IF($P516="","",INDEX(Tasks!$E$10:$E$1941,$P516))</x:f>
        <x:v>Research &amp; Analysis</x:v>
      </x:c>
      <x:c r="G516" s="86"/>
      <x:c r="H516" s="14" t="str">
        <x:f>IF($P516="","",INDEX(Tasks!$F$10:$F$1941,$P516)&amp;CHAR(10)&amp;INDEX(Tasks!$G$10:$G$1941,$P516))</x:f>
        <x:v>RA.PL.2.7
Complete Negative Testing</x:v>
      </x:c>
      <x:c r="I516" s="14"/>
      <x:c r="J516" s="14"/>
      <x:c r="K516" s="14"/>
      <x:c r="L516" s="86" t="str">
        <x:f>IF($P516="","",INDEX(Tasks!$N$10:$N$1941,$P516))</x:f>
        <x:v>Not started</x:v>
      </x:c>
      <x:c r="M516" s="87" t="n">
        <x:f>IF($P516="","",INDEX(Tasks!$J$10:$J$1941,$P516))</x:f>
        <x:v>46112</x:v>
      </x:c>
      <x:c r="N516" s="85" t="str">
        <x:f>IF($P516="","",HYPERLINK("#'"&amp;INDEX(Tasks!$T$10:$T$1941,$P516)&amp;"'!A"&amp;INDEX(Tasks!$U$10:$U$1941,$P516),"Open"))</x:f>
        <x:v>Open</x:v>
      </x:c>
      <x:c r="O516" s="14"/>
      <x:c r="P516" s="14" t="n">
        <x:f>IF(495&gt;$B$10,"",MATCH(495,Tasks!$S$10:$S$1941,0))</x:f>
        <x:v>859</x:v>
      </x:c>
    </x:row>
    <x:row r="517" ht="58" customHeight="1">
      <x:c r="B517" s="86" t="str">
        <x:f>IF($P517="","",INDEX(Tasks!$B$10:$B$1941,$P517))</x:f>
        <x:v>Cycle 1</x:v>
      </x:c>
      <x:c r="C517" s="86" t="str">
        <x:f>IF($P517="","",INDEX(Tasks!$C$10:$C$1941,$P517))</x:f>
        <x:v>Phase 2</x:v>
      </x:c>
      <x:c r="D517" s="86" t="str">
        <x:f>IF($P517="","",INDEX(Tasks!$D$10:$D$1941,$P517))</x:f>
        <x:v>PLL</x:v>
      </x:c>
      <x:c r="E517" s="86"/>
      <x:c r="F517" s="86" t="str">
        <x:f>IF($P517="","",INDEX(Tasks!$E$10:$E$1941,$P517))</x:f>
        <x:v>Research &amp; Analysis</x:v>
      </x:c>
      <x:c r="G517" s="86"/>
      <x:c r="H517" s="14" t="str">
        <x:f>IF($P517="","",INDEX(Tasks!$F$10:$F$1941,$P517)&amp;CHAR(10)&amp;INDEX(Tasks!$G$10:$G$1941,$P517))</x:f>
        <x:v>RA.PL.2.8
Request additional data (as needed)</x:v>
      </x:c>
      <x:c r="I517" s="14"/>
      <x:c r="J517" s="14"/>
      <x:c r="K517" s="14"/>
      <x:c r="L517" s="86" t="str">
        <x:f>IF($P517="","",INDEX(Tasks!$N$10:$N$1941,$P517))</x:f>
        <x:v>Not started</x:v>
      </x:c>
      <x:c r="M517" s="87" t="n">
        <x:f>IF($P517="","",INDEX(Tasks!$J$10:$J$1941,$P517))</x:f>
        <x:v>46112</x:v>
      </x:c>
      <x:c r="N517" s="85" t="str">
        <x:f>IF($P517="","",HYPERLINK("#'"&amp;INDEX(Tasks!$T$10:$T$1941,$P517)&amp;"'!A"&amp;INDEX(Tasks!$U$10:$U$1941,$P517),"Open"))</x:f>
        <x:v>Open</x:v>
      </x:c>
      <x:c r="O517" s="14"/>
      <x:c r="P517" s="14" t="n">
        <x:f>IF(496&gt;$B$10,"",MATCH(496,Tasks!$S$10:$S$1941,0))</x:f>
        <x:v>860</x:v>
      </x:c>
    </x:row>
    <x:row r="518" ht="58" customHeight="1">
      <x:c r="B518" s="86" t="str">
        <x:f>IF($P518="","",INDEX(Tasks!$B$10:$B$1941,$P518))</x:f>
        <x:v>Cycle 1</x:v>
      </x:c>
      <x:c r="C518" s="86" t="str">
        <x:f>IF($P518="","",INDEX(Tasks!$C$10:$C$1941,$P518))</x:f>
        <x:v>Phase 2</x:v>
      </x:c>
      <x:c r="D518" s="86" t="str">
        <x:f>IF($P518="","",INDEX(Tasks!$D$10:$D$1941,$P518))</x:f>
        <x:v>PLL</x:v>
      </x:c>
      <x:c r="E518" s="86"/>
      <x:c r="F518" s="86" t="str">
        <x:f>IF($P518="","",INDEX(Tasks!$E$10:$E$1941,$P518))</x:f>
        <x:v>Research &amp; Analysis</x:v>
      </x:c>
      <x:c r="G518" s="86"/>
      <x:c r="H518" s="14" t="str">
        <x:f>IF($P518="","",INDEX(Tasks!$F$10:$F$1941,$P518)&amp;CHAR(10)&amp;INDEX(Tasks!$G$10:$G$1941,$P518))</x:f>
        <x:v>RA.PL.2.9
Validate or disprove initial hypothesis assumptions</x:v>
      </x:c>
      <x:c r="I518" s="14"/>
      <x:c r="J518" s="14"/>
      <x:c r="K518" s="14"/>
      <x:c r="L518" s="86" t="str">
        <x:f>IF($P518="","",INDEX(Tasks!$N$10:$N$1941,$P518))</x:f>
        <x:v>Not started</x:v>
      </x:c>
      <x:c r="M518" s="87" t="n">
        <x:f>IF($P518="","",INDEX(Tasks!$J$10:$J$1941,$P518))</x:f>
        <x:v>46112</x:v>
      </x:c>
      <x:c r="N518" s="85" t="str">
        <x:f>IF($P518="","",HYPERLINK("#'"&amp;INDEX(Tasks!$T$10:$T$1941,$P518)&amp;"'!A"&amp;INDEX(Tasks!$U$10:$U$1941,$P518),"Open"))</x:f>
        <x:v>Open</x:v>
      </x:c>
      <x:c r="O518" s="14"/>
      <x:c r="P518" s="14" t="n">
        <x:f>IF(497&gt;$B$10,"",MATCH(497,Tasks!$S$10:$S$1941,0))</x:f>
        <x:v>861</x:v>
      </x:c>
    </x:row>
    <x:row r="519" ht="58" customHeight="1">
      <x:c r="B519" s="86" t="str">
        <x:f>IF($P519="","",INDEX(Tasks!$B$10:$B$1941,$P519))</x:f>
        <x:v>Cycle 1</x:v>
      </x:c>
      <x:c r="C519" s="86" t="str">
        <x:f>IF($P519="","",INDEX(Tasks!$C$10:$C$1941,$P519))</x:f>
        <x:v>Phase 2</x:v>
      </x:c>
      <x:c r="D519" s="86" t="str">
        <x:f>IF($P519="","",INDEX(Tasks!$D$10:$D$1941,$P519))</x:f>
        <x:v>PLL</x:v>
      </x:c>
      <x:c r="E519" s="86"/>
      <x:c r="F519" s="86" t="str">
        <x:f>IF($P519="","",INDEX(Tasks!$E$10:$E$1941,$P519))</x:f>
        <x:v>Research &amp; Analysis</x:v>
      </x:c>
      <x:c r="G519" s="86"/>
      <x:c r="H519" s="14" t="str">
        <x:f>IF($P519="","",INDEX(Tasks!$F$10:$F$1941,$P519)&amp;CHAR(10)&amp;INDEX(Tasks!$G$10:$G$1941,$P519))</x:f>
        <x:v>RA.PL.2.10
Identify and confirm root cause</x:v>
      </x:c>
      <x:c r="I519" s="14"/>
      <x:c r="J519" s="14"/>
      <x:c r="K519" s="14"/>
      <x:c r="L519" s="86" t="str">
        <x:f>IF($P519="","",INDEX(Tasks!$N$10:$N$1941,$P519))</x:f>
        <x:v>Not started</x:v>
      </x:c>
      <x:c r="M519" s="87" t="n">
        <x:f>IF($P519="","",INDEX(Tasks!$J$10:$J$1941,$P519))</x:f>
        <x:v>46112</x:v>
      </x:c>
      <x:c r="N519" s="85" t="str">
        <x:f>IF($P519="","",HYPERLINK("#'"&amp;INDEX(Tasks!$T$10:$T$1941,$P519)&amp;"'!A"&amp;INDEX(Tasks!$U$10:$U$1941,$P519),"Open"))</x:f>
        <x:v>Open</x:v>
      </x:c>
      <x:c r="O519" s="14"/>
      <x:c r="P519" s="14" t="n">
        <x:f>IF(498&gt;$B$10,"",MATCH(498,Tasks!$S$10:$S$1941,0))</x:f>
        <x:v>862</x:v>
      </x:c>
    </x:row>
    <x:row r="520" ht="58" customHeight="1">
      <x:c r="B520" s="86" t="str">
        <x:f>IF($P520="","",INDEX(Tasks!$B$10:$B$1941,$P520))</x:f>
        <x:v>Cycle 1</x:v>
      </x:c>
      <x:c r="C520" s="86" t="str">
        <x:f>IF($P520="","",INDEX(Tasks!$C$10:$C$1941,$P520))</x:f>
        <x:v>Phase 3</x:v>
      </x:c>
      <x:c r="D520" s="86" t="str">
        <x:f>IF($P520="","",INDEX(Tasks!$D$10:$D$1941,$P520))</x:f>
        <x:v>PLL</x:v>
      </x:c>
      <x:c r="E520" s="86"/>
      <x:c r="F520" s="86" t="str">
        <x:f>IF($P520="","",INDEX(Tasks!$E$10:$E$1941,$P520))</x:f>
        <x:v>Research &amp; Analysis</x:v>
      </x:c>
      <x:c r="G520" s="86"/>
      <x:c r="H520" s="14" t="str">
        <x:f>IF($P520="","",INDEX(Tasks!$F$10:$F$1941,$P520)&amp;CHAR(10)&amp;INDEX(Tasks!$G$10:$G$1941,$P520))</x:f>
        <x:v>RA.PL.3.1
Finalize results and supporting documentation</x:v>
      </x:c>
      <x:c r="I520" s="14"/>
      <x:c r="J520" s="14"/>
      <x:c r="K520" s="14"/>
      <x:c r="L520" s="86" t="str">
        <x:f>IF($P520="","",INDEX(Tasks!$N$10:$N$1941,$P520))</x:f>
        <x:v>Not started</x:v>
      </x:c>
      <x:c r="M520" s="87" t="n">
        <x:f>IF($P520="","",INDEX(Tasks!$J$10:$J$1941,$P520))</x:f>
        <x:v>46112</x:v>
      </x:c>
      <x:c r="N520" s="85" t="str">
        <x:f>IF($P520="","",HYPERLINK("#'"&amp;INDEX(Tasks!$T$10:$T$1941,$P520)&amp;"'!A"&amp;INDEX(Tasks!$U$10:$U$1941,$P520),"Open"))</x:f>
        <x:v>Open</x:v>
      </x:c>
      <x:c r="O520" s="14"/>
      <x:c r="P520" s="14" t="n">
        <x:f>IF(499&gt;$B$10,"",MATCH(499,Tasks!$S$10:$S$1941,0))</x:f>
        <x:v>863</x:v>
      </x:c>
    </x:row>
    <x:row r="521" ht="58" customHeight="1">
      <x:c r="B521" s="86" t="str">
        <x:f>IF($P521="","",INDEX(Tasks!$B$10:$B$1941,$P521))</x:f>
        <x:v>Cycle 1</x:v>
      </x:c>
      <x:c r="C521" s="86" t="str">
        <x:f>IF($P521="","",INDEX(Tasks!$C$10:$C$1941,$P521))</x:f>
        <x:v>Phase 3</x:v>
      </x:c>
      <x:c r="D521" s="86" t="str">
        <x:f>IF($P521="","",INDEX(Tasks!$D$10:$D$1941,$P521))</x:f>
        <x:v>PLL</x:v>
      </x:c>
      <x:c r="E521" s="86"/>
      <x:c r="F521" s="86" t="str">
        <x:f>IF($P521="","",INDEX(Tasks!$E$10:$E$1941,$P521))</x:f>
        <x:v>Research &amp; Analysis</x:v>
      </x:c>
      <x:c r="G521" s="86"/>
      <x:c r="H521" s="14" t="str">
        <x:f>IF($P521="","",INDEX(Tasks!$F$10:$F$1941,$P521)&amp;CHAR(10)&amp;INDEX(Tasks!$G$10:$G$1941,$P521))</x:f>
        <x:v>RA.PL.3.2
Maintain and update the evidence package prior to handoff to D&amp;I</x:v>
      </x:c>
      <x:c r="I521" s="14"/>
      <x:c r="J521" s="14"/>
      <x:c r="K521" s="14"/>
      <x:c r="L521" s="86" t="str">
        <x:f>IF($P521="","",INDEX(Tasks!$N$10:$N$1941,$P521))</x:f>
        <x:v>Not started</x:v>
      </x:c>
      <x:c r="M521" s="87" t="n">
        <x:f>IF($P521="","",INDEX(Tasks!$J$10:$J$1941,$P521))</x:f>
        <x:v>46112</x:v>
      </x:c>
      <x:c r="N521" s="85" t="str">
        <x:f>IF($P521="","",HYPERLINK("#'"&amp;INDEX(Tasks!$T$10:$T$1941,$P521)&amp;"'!A"&amp;INDEX(Tasks!$U$10:$U$1941,$P521),"Open"))</x:f>
        <x:v>Open</x:v>
      </x:c>
      <x:c r="O521" s="14"/>
      <x:c r="P521" s="14" t="n">
        <x:f>IF(500&gt;$B$10,"",MATCH(500,Tasks!$S$10:$S$1941,0))</x:f>
        <x:v>864</x:v>
      </x:c>
    </x:row>
    <x:row r="522" ht="58" customHeight="1">
      <x:c r="B522" s="86" t="str">
        <x:f>IF($P522="","",INDEX(Tasks!$B$10:$B$1941,$P522))</x:f>
        <x:v>Cycle 1</x:v>
      </x:c>
      <x:c r="C522" s="86" t="str">
        <x:f>IF($P522="","",INDEX(Tasks!$C$10:$C$1941,$P522))</x:f>
        <x:v>Phase 3</x:v>
      </x:c>
      <x:c r="D522" s="86" t="str">
        <x:f>IF($P522="","",INDEX(Tasks!$D$10:$D$1941,$P522))</x:f>
        <x:v>PLL</x:v>
      </x:c>
      <x:c r="E522" s="86"/>
      <x:c r="F522" s="86" t="str">
        <x:f>IF($P522="","",INDEX(Tasks!$E$10:$E$1941,$P522))</x:f>
        <x:v>Research &amp; Analysis</x:v>
      </x:c>
      <x:c r="G522" s="86"/>
      <x:c r="H522" s="14" t="str">
        <x:f>IF($P522="","",INDEX(Tasks!$F$10:$F$1941,$P522)&amp;CHAR(10)&amp;INDEX(Tasks!$G$10:$G$1941,$P522))</x:f>
        <x:v>RA.PL.3.3
Address any outstanding questions or requests from D&amp;I</x:v>
      </x:c>
      <x:c r="I522" s="14"/>
      <x:c r="J522" s="14"/>
      <x:c r="K522" s="14"/>
      <x:c r="L522" s="86" t="str">
        <x:f>IF($P522="","",INDEX(Tasks!$N$10:$N$1941,$P522))</x:f>
        <x:v>Not started</x:v>
      </x:c>
      <x:c r="M522" s="87" t="n">
        <x:f>IF($P522="","",INDEX(Tasks!$J$10:$J$1941,$P522))</x:f>
        <x:v>46112</x:v>
      </x:c>
      <x:c r="N522" s="85" t="str">
        <x:f>IF($P522="","",HYPERLINK("#'"&amp;INDEX(Tasks!$T$10:$T$1941,$P522)&amp;"'!A"&amp;INDEX(Tasks!$U$10:$U$1941,$P522),"Open"))</x:f>
        <x:v>Open</x:v>
      </x:c>
      <x:c r="O522" s="14"/>
      <x:c r="P522" s="14" t="n">
        <x:f>IF(501&gt;$B$10,"",MATCH(501,Tasks!$S$10:$S$1941,0))</x:f>
        <x:v>865</x:v>
      </x:c>
    </x:row>
    <x:row r="523" ht="58" customHeight="1">
      <x:c r="B523" s="86" t="str">
        <x:f>IF($P523="","",INDEX(Tasks!$B$10:$B$1941,$P523))</x:f>
        <x:v>Cycle 1</x:v>
      </x:c>
      <x:c r="C523" s="86" t="str">
        <x:f>IF($P523="","",INDEX(Tasks!$C$10:$C$1941,$P523))</x:f>
        <x:v>Phase 3</x:v>
      </x:c>
      <x:c r="D523" s="86" t="str">
        <x:f>IF($P523="","",INDEX(Tasks!$D$10:$D$1941,$P523))</x:f>
        <x:v>PLL</x:v>
      </x:c>
      <x:c r="E523" s="86"/>
      <x:c r="F523" s="86" t="str">
        <x:f>IF($P523="","",INDEX(Tasks!$E$10:$E$1941,$P523))</x:f>
        <x:v>Research &amp; Analysis</x:v>
      </x:c>
      <x:c r="G523" s="86"/>
      <x:c r="H523" s="14" t="str">
        <x:f>IF($P523="","",INDEX(Tasks!$F$10:$F$1941,$P523)&amp;CHAR(10)&amp;INDEX(Tasks!$G$10:$G$1941,$P523))</x:f>
        <x:v>RA.PL.3.4
Attend Forum meeting with D&amp;I to assist with answering stakeholder questions (as needed)</x:v>
      </x:c>
      <x:c r="I523" s="14"/>
      <x:c r="J523" s="14"/>
      <x:c r="K523" s="14"/>
      <x:c r="L523" s="86" t="str">
        <x:f>IF($P523="","",INDEX(Tasks!$N$10:$N$1941,$P523))</x:f>
        <x:v>Not started</x:v>
      </x:c>
      <x:c r="M523" s="87" t="str">
        <x:f>IF($P523="","",INDEX(Tasks!$J$10:$J$1941,$P523))</x:f>
      </x:c>
      <x:c r="N523" s="85" t="str">
        <x:f>IF($P523="","",HYPERLINK("#'"&amp;INDEX(Tasks!$T$10:$T$1941,$P523)&amp;"'!A"&amp;INDEX(Tasks!$U$10:$U$1941,$P523),"Open"))</x:f>
        <x:v>Open</x:v>
      </x:c>
      <x:c r="O523" s="14"/>
      <x:c r="P523" s="14" t="n">
        <x:f>IF(502&gt;$B$10,"",MATCH(502,Tasks!$S$10:$S$1941,0))</x:f>
        <x:v>866</x:v>
      </x:c>
    </x:row>
    <x:row r="524" ht="58" customHeight="1">
      <x:c r="B524" s="86" t="str">
        <x:f>IF($P524="","",INDEX(Tasks!$B$10:$B$1941,$P524))</x:f>
        <x:v>Cycle 1</x:v>
      </x:c>
      <x:c r="C524" s="86" t="str">
        <x:f>IF($P524="","",INDEX(Tasks!$C$10:$C$1941,$P524))</x:f>
        <x:v>Phase 1</x:v>
      </x:c>
      <x:c r="D524" s="86" t="str">
        <x:f>IF($P524="","",INDEX(Tasks!$D$10:$D$1941,$P524))</x:f>
        <x:v>Retail Services</x:v>
      </x:c>
      <x:c r="E524" s="86"/>
      <x:c r="F524" s="86" t="str">
        <x:f>IF($P524="","",INDEX(Tasks!$E$10:$E$1941,$P524))</x:f>
        <x:v>Research &amp; Analysis</x:v>
      </x:c>
      <x:c r="G524" s="86"/>
      <x:c r="H524" s="14" t="str">
        <x:f>IF($P524="","",INDEX(Tasks!$F$10:$F$1941,$P524)&amp;CHAR(10)&amp;INDEX(Tasks!$G$10:$G$1941,$P524))</x:f>
        <x:v>RA.RS.1.1
Begin Research process 2 weeks prior to Cycle start</x:v>
      </x:c>
      <x:c r="I524" s="14"/>
      <x:c r="J524" s="14"/>
      <x:c r="K524" s="14"/>
      <x:c r="L524" s="86" t="str">
        <x:f>IF($P524="","",INDEX(Tasks!$N$10:$N$1941,$P524))</x:f>
        <x:v>Not started</x:v>
      </x:c>
      <x:c r="M524" s="87" t="n">
        <x:f>IF($P524="","",INDEX(Tasks!$J$10:$J$1941,$P524))</x:f>
        <x:v>46009</x:v>
      </x:c>
      <x:c r="N524" s="85" t="str">
        <x:f>IF($P524="","",HYPERLINK("#'"&amp;INDEX(Tasks!$T$10:$T$1941,$P524)&amp;"'!A"&amp;INDEX(Tasks!$U$10:$U$1941,$P524),"Open"))</x:f>
        <x:v>Open</x:v>
      </x:c>
      <x:c r="O524" s="14"/>
      <x:c r="P524" s="14" t="n">
        <x:f>IF(503&gt;$B$10,"",MATCH(503,Tasks!$S$10:$S$1941,0))</x:f>
        <x:v>867</x:v>
      </x:c>
    </x:row>
    <x:row r="525" ht="58" customHeight="1">
      <x:c r="B525" s="86" t="str">
        <x:f>IF($P525="","",INDEX(Tasks!$B$10:$B$1941,$P525))</x:f>
        <x:v>Cycle 1</x:v>
      </x:c>
      <x:c r="C525" s="86" t="str">
        <x:f>IF($P525="","",INDEX(Tasks!$C$10:$C$1941,$P525))</x:f>
        <x:v>Phase 1</x:v>
      </x:c>
      <x:c r="D525" s="86" t="str">
        <x:f>IF($P525="","",INDEX(Tasks!$D$10:$D$1941,$P525))</x:f>
        <x:v>Retail Services</x:v>
      </x:c>
      <x:c r="E525" s="86"/>
      <x:c r="F525" s="86" t="str">
        <x:f>IF($P525="","",INDEX(Tasks!$E$10:$E$1941,$P525))</x:f>
        <x:v>Research &amp; Analysis</x:v>
      </x:c>
      <x:c r="G525" s="86"/>
      <x:c r="H525" s="14" t="str">
        <x:f>IF($P525="","",INDEX(Tasks!$F$10:$F$1941,$P525)&amp;CHAR(10)&amp;INDEX(Tasks!$G$10:$G$1941,$P525))</x:f>
        <x:v>RA.RS.1.2
Conduct initial assessment of each topic recommendation from SharePoint list</x:v>
      </x:c>
      <x:c r="I525" s="14"/>
      <x:c r="J525" s="14"/>
      <x:c r="K525" s="14"/>
      <x:c r="L525" s="86" t="str">
        <x:f>IF($P525="","",INDEX(Tasks!$N$10:$N$1941,$P525))</x:f>
        <x:v>Not started</x:v>
      </x:c>
      <x:c r="M525" s="87" t="n">
        <x:f>IF($P525="","",INDEX(Tasks!$J$10:$J$1941,$P525))</x:f>
        <x:v>46112</x:v>
      </x:c>
      <x:c r="N525" s="85" t="str">
        <x:f>IF($P525="","",HYPERLINK("#'"&amp;INDEX(Tasks!$T$10:$T$1941,$P525)&amp;"'!A"&amp;INDEX(Tasks!$U$10:$U$1941,$P525),"Open"))</x:f>
        <x:v>Open</x:v>
      </x:c>
      <x:c r="O525" s="14"/>
      <x:c r="P525" s="14" t="n">
        <x:f>IF(504&gt;$B$10,"",MATCH(504,Tasks!$S$10:$S$1941,0))</x:f>
        <x:v>868</x:v>
      </x:c>
    </x:row>
    <x:row r="526" ht="58" customHeight="1">
      <x:c r="B526" s="86" t="str">
        <x:f>IF($P526="","",INDEX(Tasks!$B$10:$B$1941,$P526))</x:f>
        <x:v>Cycle 1</x:v>
      </x:c>
      <x:c r="C526" s="86" t="str">
        <x:f>IF($P526="","",INDEX(Tasks!$C$10:$C$1941,$P526))</x:f>
        <x:v>Phase 1</x:v>
      </x:c>
      <x:c r="D526" s="86" t="str">
        <x:f>IF($P526="","",INDEX(Tasks!$D$10:$D$1941,$P526))</x:f>
        <x:v>Retail Services</x:v>
      </x:c>
      <x:c r="E526" s="86"/>
      <x:c r="F526" s="86" t="str">
        <x:f>IF($P526="","",INDEX(Tasks!$E$10:$E$1941,$P526))</x:f>
        <x:v>Research &amp; Analysis</x:v>
      </x:c>
      <x:c r="G526" s="86"/>
      <x:c r="H526" s="14" t="str">
        <x:f>IF($P526="","",INDEX(Tasks!$F$10:$F$1941,$P526)&amp;CHAR(10)&amp;INDEX(Tasks!$G$10:$G$1941,$P526))</x:f>
        <x:v>RA.RS.1.3
Identify best topic for Cycle</x:v>
      </x:c>
      <x:c r="I526" s="14"/>
      <x:c r="J526" s="14"/>
      <x:c r="K526" s="14"/>
      <x:c r="L526" s="86" t="str">
        <x:f>IF($P526="","",INDEX(Tasks!$N$10:$N$1941,$P526))</x:f>
        <x:v>Not started</x:v>
      </x:c>
      <x:c r="M526" s="87" t="n">
        <x:f>IF($P526="","",INDEX(Tasks!$J$10:$J$1941,$P526))</x:f>
        <x:v>46112</x:v>
      </x:c>
      <x:c r="N526" s="85" t="str">
        <x:f>IF($P526="","",HYPERLINK("#'"&amp;INDEX(Tasks!$T$10:$T$1941,$P526)&amp;"'!A"&amp;INDEX(Tasks!$U$10:$U$1941,$P526),"Open"))</x:f>
        <x:v>Open</x:v>
      </x:c>
      <x:c r="O526" s="14"/>
      <x:c r="P526" s="14" t="n">
        <x:f>IF(505&gt;$B$10,"",MATCH(505,Tasks!$S$10:$S$1941,0))</x:f>
        <x:v>869</x:v>
      </x:c>
    </x:row>
    <x:row r="527" ht="58" customHeight="1">
      <x:c r="B527" s="86" t="str">
        <x:f>IF($P527="","",INDEX(Tasks!$B$10:$B$1941,$P527))</x:f>
        <x:v>Cycle 1</x:v>
      </x:c>
      <x:c r="C527" s="86" t="str">
        <x:f>IF($P527="","",INDEX(Tasks!$C$10:$C$1941,$P527))</x:f>
        <x:v>Phase 1</x:v>
      </x:c>
      <x:c r="D527" s="86" t="str">
        <x:f>IF($P527="","",INDEX(Tasks!$D$10:$D$1941,$P527))</x:f>
        <x:v>Retail Services</x:v>
      </x:c>
      <x:c r="E527" s="86"/>
      <x:c r="F527" s="86" t="str">
        <x:f>IF($P527="","",INDEX(Tasks!$E$10:$E$1941,$P527))</x:f>
        <x:v>Research &amp; Analysis</x:v>
      </x:c>
      <x:c r="G527" s="86"/>
      <x:c r="H527" s="14" t="str">
        <x:f>IF($P527="","",INDEX(Tasks!$F$10:$F$1941,$P527)&amp;CHAR(10)&amp;INDEX(Tasks!$G$10:$G$1941,$P527))</x:f>
        <x:v>RA.RS.1.4
Identify backup topic for Cycle</x:v>
      </x:c>
      <x:c r="I527" s="14"/>
      <x:c r="J527" s="14"/>
      <x:c r="K527" s="14"/>
      <x:c r="L527" s="86" t="str">
        <x:f>IF($P527="","",INDEX(Tasks!$N$10:$N$1941,$P527))</x:f>
        <x:v>Not started</x:v>
      </x:c>
      <x:c r="M527" s="87" t="n">
        <x:f>IF($P527="","",INDEX(Tasks!$J$10:$J$1941,$P527))</x:f>
        <x:v>46112</x:v>
      </x:c>
      <x:c r="N527" s="85" t="str">
        <x:f>IF($P527="","",HYPERLINK("#'"&amp;INDEX(Tasks!$T$10:$T$1941,$P527)&amp;"'!A"&amp;INDEX(Tasks!$U$10:$U$1941,$P527),"Open"))</x:f>
        <x:v>Open</x:v>
      </x:c>
      <x:c r="O527" s="14"/>
      <x:c r="P527" s="14" t="n">
        <x:f>IF(506&gt;$B$10,"",MATCH(506,Tasks!$S$10:$S$1941,0))</x:f>
        <x:v>870</x:v>
      </x:c>
    </x:row>
    <x:row r="528" ht="58" customHeight="1">
      <x:c r="B528" s="86" t="str">
        <x:f>IF($P528="","",INDEX(Tasks!$B$10:$B$1941,$P528))</x:f>
        <x:v>Cycle 1</x:v>
      </x:c>
      <x:c r="C528" s="86" t="str">
        <x:f>IF($P528="","",INDEX(Tasks!$C$10:$C$1941,$P528))</x:f>
        <x:v>Phase 1</x:v>
      </x:c>
      <x:c r="D528" s="86" t="str">
        <x:f>IF($P528="","",INDEX(Tasks!$D$10:$D$1941,$P528))</x:f>
        <x:v>Retail Services</x:v>
      </x:c>
      <x:c r="E528" s="86"/>
      <x:c r="F528" s="86" t="str">
        <x:f>IF($P528="","",INDEX(Tasks!$E$10:$E$1941,$P528))</x:f>
        <x:v>Research &amp; Analysis</x:v>
      </x:c>
      <x:c r="G528" s="86"/>
      <x:c r="H528" s="14" t="str">
        <x:f>IF($P528="","",INDEX(Tasks!$F$10:$F$1941,$P528)&amp;CHAR(10)&amp;INDEX(Tasks!$G$10:$G$1941,$P528))</x:f>
        <x:v>RA.RS.1.5
Schedule topic approval meeting with D&amp;I and management</x:v>
      </x:c>
      <x:c r="I528" s="14"/>
      <x:c r="J528" s="14"/>
      <x:c r="K528" s="14"/>
      <x:c r="L528" s="86" t="str">
        <x:f>IF($P528="","",INDEX(Tasks!$N$10:$N$1941,$P528))</x:f>
        <x:v>Not started</x:v>
      </x:c>
      <x:c r="M528" s="87" t="n">
        <x:f>IF($P528="","",INDEX(Tasks!$J$10:$J$1941,$P528))</x:f>
        <x:v>46112</x:v>
      </x:c>
      <x:c r="N528" s="85" t="str">
        <x:f>IF($P528="","",HYPERLINK("#'"&amp;INDEX(Tasks!$T$10:$T$1941,$P528)&amp;"'!A"&amp;INDEX(Tasks!$U$10:$U$1941,$P528),"Open"))</x:f>
        <x:v>Open</x:v>
      </x:c>
      <x:c r="O528" s="14"/>
      <x:c r="P528" s="14" t="n">
        <x:f>IF(507&gt;$B$10,"",MATCH(507,Tasks!$S$10:$S$1941,0))</x:f>
        <x:v>871</x:v>
      </x:c>
    </x:row>
    <x:row r="529" ht="58" customHeight="1">
      <x:c r="B529" s="86" t="str">
        <x:f>IF($P529="","",INDEX(Tasks!$B$10:$B$1941,$P529))</x:f>
        <x:v>Cycle 1</x:v>
      </x:c>
      <x:c r="C529" s="86" t="str">
        <x:f>IF($P529="","",INDEX(Tasks!$C$10:$C$1941,$P529))</x:f>
        <x:v>Phase 1</x:v>
      </x:c>
      <x:c r="D529" s="86" t="str">
        <x:f>IF($P529="","",INDEX(Tasks!$D$10:$D$1941,$P529))</x:f>
        <x:v>Retail Services</x:v>
      </x:c>
      <x:c r="E529" s="86"/>
      <x:c r="F529" s="86" t="str">
        <x:f>IF($P529="","",INDEX(Tasks!$E$10:$E$1941,$P529))</x:f>
        <x:v>Research &amp; Analysis</x:v>
      </x:c>
      <x:c r="G529" s="86"/>
      <x:c r="H529" s="14" t="str">
        <x:f>IF($P529="","",INDEX(Tasks!$F$10:$F$1941,$P529)&amp;CHAR(10)&amp;INDEX(Tasks!$G$10:$G$1941,$P529))</x:f>
        <x:v>RA.RS.1.6
Present recommended topic to D&amp;I and management for approval</x:v>
      </x:c>
      <x:c r="I529" s="14"/>
      <x:c r="J529" s="14"/>
      <x:c r="K529" s="14"/>
      <x:c r="L529" s="86" t="str">
        <x:f>IF($P529="","",INDEX(Tasks!$N$10:$N$1941,$P529))</x:f>
        <x:v>Not started</x:v>
      </x:c>
      <x:c r="M529" s="87" t="n">
        <x:f>IF($P529="","",INDEX(Tasks!$J$10:$J$1941,$P529))</x:f>
        <x:v>46112</x:v>
      </x:c>
      <x:c r="N529" s="85" t="str">
        <x:f>IF($P529="","",HYPERLINK("#'"&amp;INDEX(Tasks!$T$10:$T$1941,$P529)&amp;"'!A"&amp;INDEX(Tasks!$U$10:$U$1941,$P529),"Open"))</x:f>
        <x:v>Open</x:v>
      </x:c>
      <x:c r="O529" s="14"/>
      <x:c r="P529" s="14" t="n">
        <x:f>IF(508&gt;$B$10,"",MATCH(508,Tasks!$S$10:$S$1941,0))</x:f>
        <x:v>872</x:v>
      </x:c>
    </x:row>
    <x:row r="530" ht="58" customHeight="1">
      <x:c r="B530" s="86" t="str">
        <x:f>IF($P530="","",INDEX(Tasks!$B$10:$B$1941,$P530))</x:f>
        <x:v>Cycle 1</x:v>
      </x:c>
      <x:c r="C530" s="86" t="str">
        <x:f>IF($P530="","",INDEX(Tasks!$C$10:$C$1941,$P530))</x:f>
        <x:v>Phase 1</x:v>
      </x:c>
      <x:c r="D530" s="86" t="str">
        <x:f>IF($P530="","",INDEX(Tasks!$D$10:$D$1941,$P530))</x:f>
        <x:v>Retail Services</x:v>
      </x:c>
      <x:c r="E530" s="86"/>
      <x:c r="F530" s="86" t="str">
        <x:f>IF($P530="","",INDEX(Tasks!$E$10:$E$1941,$P530))</x:f>
        <x:v>Research &amp; Analysis</x:v>
      </x:c>
      <x:c r="G530" s="86"/>
      <x:c r="H530" s="14" t="str">
        <x:f>IF($P530="","",INDEX(Tasks!$F$10:$F$1941,$P530)&amp;CHAR(10)&amp;INDEX(Tasks!$G$10:$G$1941,$P530))</x:f>
        <x:v>RA.RS.1.7
Obtain formal topic selection approval from management via SharePoint</x:v>
      </x:c>
      <x:c r="I530" s="14"/>
      <x:c r="J530" s="14"/>
      <x:c r="K530" s="14"/>
      <x:c r="L530" s="86" t="str">
        <x:f>IF($P530="","",INDEX(Tasks!$N$10:$N$1941,$P530))</x:f>
        <x:v>Not started</x:v>
      </x:c>
      <x:c r="M530" s="87" t="n">
        <x:f>IF($P530="","",INDEX(Tasks!$J$10:$J$1941,$P530))</x:f>
        <x:v>46112</x:v>
      </x:c>
      <x:c r="N530" s="85" t="str">
        <x:f>IF($P530="","",HYPERLINK("#'"&amp;INDEX(Tasks!$T$10:$T$1941,$P530)&amp;"'!A"&amp;INDEX(Tasks!$U$10:$U$1941,$P530),"Open"))</x:f>
        <x:v>Open</x:v>
      </x:c>
      <x:c r="O530" s="14"/>
      <x:c r="P530" s="14" t="n">
        <x:f>IF(509&gt;$B$10,"",MATCH(509,Tasks!$S$10:$S$1941,0))</x:f>
        <x:v>873</x:v>
      </x:c>
    </x:row>
    <x:row r="531" ht="58" customHeight="1">
      <x:c r="B531" s="86" t="str">
        <x:f>IF($P531="","",INDEX(Tasks!$B$10:$B$1941,$P531))</x:f>
        <x:v>Cycle 1</x:v>
      </x:c>
      <x:c r="C531" s="86" t="str">
        <x:f>IF($P531="","",INDEX(Tasks!$C$10:$C$1941,$P531))</x:f>
        <x:v>Phase 1</x:v>
      </x:c>
      <x:c r="D531" s="86" t="str">
        <x:f>IF($P531="","",INDEX(Tasks!$D$10:$D$1941,$P531))</x:f>
        <x:v>Retail Services</x:v>
      </x:c>
      <x:c r="E531" s="86"/>
      <x:c r="F531" s="86" t="str">
        <x:f>IF($P531="","",INDEX(Tasks!$E$10:$E$1941,$P531))</x:f>
        <x:v>Research &amp; Analysis</x:v>
      </x:c>
      <x:c r="G531" s="86"/>
      <x:c r="H531" s="14" t="str">
        <x:f>IF($P531="","",INDEX(Tasks!$F$10:$F$1941,$P531)&amp;CHAR(10)&amp;INDEX(Tasks!$G$10:$G$1941,$P531))</x:f>
        <x:v>RA.RS.1.8
Socialize topic selection with product owners and subject matter experts (if known)</x:v>
      </x:c>
      <x:c r="I531" s="14"/>
      <x:c r="J531" s="14"/>
      <x:c r="K531" s="14"/>
      <x:c r="L531" s="86" t="str">
        <x:f>IF($P531="","",INDEX(Tasks!$N$10:$N$1941,$P531))</x:f>
        <x:v>Not started</x:v>
      </x:c>
      <x:c r="M531" s="87" t="n">
        <x:f>IF($P531="","",INDEX(Tasks!$J$10:$J$1941,$P531))</x:f>
        <x:v>46112</x:v>
      </x:c>
      <x:c r="N531" s="85" t="str">
        <x:f>IF($P531="","",HYPERLINK("#'"&amp;INDEX(Tasks!$T$10:$T$1941,$P531)&amp;"'!A"&amp;INDEX(Tasks!$U$10:$U$1941,$P531),"Open"))</x:f>
        <x:v>Open</x:v>
      </x:c>
      <x:c r="O531" s="14"/>
      <x:c r="P531" s="14" t="n">
        <x:f>IF(510&gt;$B$10,"",MATCH(510,Tasks!$S$10:$S$1941,0))</x:f>
        <x:v>874</x:v>
      </x:c>
    </x:row>
    <x:row r="532" ht="58" customHeight="1">
      <x:c r="B532" s="86" t="str">
        <x:f>IF($P532="","",INDEX(Tasks!$B$10:$B$1941,$P532))</x:f>
        <x:v>Cycle 1</x:v>
      </x:c>
      <x:c r="C532" s="86" t="str">
        <x:f>IF($P532="","",INDEX(Tasks!$C$10:$C$1941,$P532))</x:f>
        <x:v>Phase 1</x:v>
      </x:c>
      <x:c r="D532" s="86" t="str">
        <x:f>IF($P532="","",INDEX(Tasks!$D$10:$D$1941,$P532))</x:f>
        <x:v>Retail Services</x:v>
      </x:c>
      <x:c r="E532" s="86"/>
      <x:c r="F532" s="86" t="str">
        <x:f>IF($P532="","",INDEX(Tasks!$E$10:$E$1941,$P532))</x:f>
        <x:v>Research &amp; Analysis</x:v>
      </x:c>
      <x:c r="G532" s="86"/>
      <x:c r="H532" s="14" t="str">
        <x:f>IF($P532="","",INDEX(Tasks!$F$10:$F$1941,$P532)&amp;CHAR(10)&amp;INDEX(Tasks!$G$10:$G$1941,$P532))</x:f>
        <x:v>RA.RS.1.9
Assign topic researchers</x:v>
      </x:c>
      <x:c r="I532" s="14"/>
      <x:c r="J532" s="14"/>
      <x:c r="K532" s="14"/>
      <x:c r="L532" s="86" t="str">
        <x:f>IF($P532="","",INDEX(Tasks!$N$10:$N$1941,$P532))</x:f>
        <x:v>Not started</x:v>
      </x:c>
      <x:c r="M532" s="87" t="n">
        <x:f>IF($P532="","",INDEX(Tasks!$J$10:$J$1941,$P532))</x:f>
        <x:v>46112</x:v>
      </x:c>
      <x:c r="N532" s="85" t="str">
        <x:f>IF($P532="","",HYPERLINK("#'"&amp;INDEX(Tasks!$T$10:$T$1941,$P532)&amp;"'!A"&amp;INDEX(Tasks!$U$10:$U$1941,$P532),"Open"))</x:f>
        <x:v>Open</x:v>
      </x:c>
      <x:c r="O532" s="14"/>
      <x:c r="P532" s="14" t="n">
        <x:f>IF(511&gt;$B$10,"",MATCH(511,Tasks!$S$10:$S$1941,0))</x:f>
        <x:v>875</x:v>
      </x:c>
    </x:row>
    <x:row r="533" ht="58" customHeight="1">
      <x:c r="B533" s="86" t="str">
        <x:f>IF($P533="","",INDEX(Tasks!$B$10:$B$1941,$P533))</x:f>
        <x:v>Cycle 1</x:v>
      </x:c>
      <x:c r="C533" s="86" t="str">
        <x:f>IF($P533="","",INDEX(Tasks!$C$10:$C$1941,$P533))</x:f>
        <x:v>Phase 2</x:v>
      </x:c>
      <x:c r="D533" s="86" t="str">
        <x:f>IF($P533="","",INDEX(Tasks!$D$10:$D$1941,$P533))</x:f>
        <x:v>Retail Services</x:v>
      </x:c>
      <x:c r="E533" s="86"/>
      <x:c r="F533" s="86" t="str">
        <x:f>IF($P533="","",INDEX(Tasks!$E$10:$E$1941,$P533))</x:f>
        <x:v>Research &amp; Analysis</x:v>
      </x:c>
      <x:c r="G533" s="86"/>
      <x:c r="H533" s="14" t="str">
        <x:f>IF($P533="","",INDEX(Tasks!$F$10:$F$1941,$P533)&amp;CHAR(10)&amp;INDEX(Tasks!$G$10:$G$1941,$P533))</x:f>
        <x:v>RA.RS.2.1
Review data sources</x:v>
      </x:c>
      <x:c r="I533" s="14"/>
      <x:c r="J533" s="14"/>
      <x:c r="K533" s="14"/>
      <x:c r="L533" s="86" t="str">
        <x:f>IF($P533="","",INDEX(Tasks!$N$10:$N$1941,$P533))</x:f>
        <x:v>Not started</x:v>
      </x:c>
      <x:c r="M533" s="87" t="n">
        <x:f>IF($P533="","",INDEX(Tasks!$J$10:$J$1941,$P533))</x:f>
        <x:v>46112</x:v>
      </x:c>
      <x:c r="N533" s="85" t="str">
        <x:f>IF($P533="","",HYPERLINK("#'"&amp;INDEX(Tasks!$T$10:$T$1941,$P533)&amp;"'!A"&amp;INDEX(Tasks!$U$10:$U$1941,$P533),"Open"))</x:f>
        <x:v>Open</x:v>
      </x:c>
      <x:c r="O533" s="14"/>
      <x:c r="P533" s="14" t="n">
        <x:f>IF(512&gt;$B$10,"",MATCH(512,Tasks!$S$10:$S$1941,0))</x:f>
        <x:v>876</x:v>
      </x:c>
    </x:row>
    <x:row r="534" ht="58" customHeight="1">
      <x:c r="B534" s="86" t="str">
        <x:f>IF($P534="","",INDEX(Tasks!$B$10:$B$1941,$P534))</x:f>
        <x:v>Cycle 1</x:v>
      </x:c>
      <x:c r="C534" s="86" t="str">
        <x:f>IF($P534="","",INDEX(Tasks!$C$10:$C$1941,$P534))</x:f>
        <x:v>Phase 2</x:v>
      </x:c>
      <x:c r="D534" s="86" t="str">
        <x:f>IF($P534="","",INDEX(Tasks!$D$10:$D$1941,$P534))</x:f>
        <x:v>Retail Services</x:v>
      </x:c>
      <x:c r="E534" s="86"/>
      <x:c r="F534" s="86" t="str">
        <x:f>IF($P534="","",INDEX(Tasks!$E$10:$E$1941,$P534))</x:f>
        <x:v>Research &amp; Analysis</x:v>
      </x:c>
      <x:c r="G534" s="86"/>
      <x:c r="H534" s="14" t="str">
        <x:f>IF($P534="","",INDEX(Tasks!$F$10:$F$1941,$P534)&amp;CHAR(10)&amp;INDEX(Tasks!$G$10:$G$1941,$P534))</x:f>
        <x:v>RA.RS.2.2
Review relevant policies and procedures</x:v>
      </x:c>
      <x:c r="I534" s="14"/>
      <x:c r="J534" s="14"/>
      <x:c r="K534" s="14"/>
      <x:c r="L534" s="86" t="str">
        <x:f>IF($P534="","",INDEX(Tasks!$N$10:$N$1941,$P534))</x:f>
        <x:v>Not started</x:v>
      </x:c>
      <x:c r="M534" s="87" t="n">
        <x:f>IF($P534="","",INDEX(Tasks!$J$10:$J$1941,$P534))</x:f>
        <x:v>46112</x:v>
      </x:c>
      <x:c r="N534" s="85" t="str">
        <x:f>IF($P534="","",HYPERLINK("#'"&amp;INDEX(Tasks!$T$10:$T$1941,$P534)&amp;"'!A"&amp;INDEX(Tasks!$U$10:$U$1941,$P534),"Open"))</x:f>
        <x:v>Open</x:v>
      </x:c>
      <x:c r="O534" s="14"/>
      <x:c r="P534" s="14" t="n">
        <x:f>IF(513&gt;$B$10,"",MATCH(513,Tasks!$S$10:$S$1941,0))</x:f>
        <x:v>877</x:v>
      </x:c>
    </x:row>
    <x:row r="535" ht="58" customHeight="1">
      <x:c r="B535" s="86" t="str">
        <x:f>IF($P535="","",INDEX(Tasks!$B$10:$B$1941,$P535))</x:f>
        <x:v>Cycle 1</x:v>
      </x:c>
      <x:c r="C535" s="86" t="str">
        <x:f>IF($P535="","",INDEX(Tasks!$C$10:$C$1941,$P535))</x:f>
        <x:v>Phase 2</x:v>
      </x:c>
      <x:c r="D535" s="86" t="str">
        <x:f>IF($P535="","",INDEX(Tasks!$D$10:$D$1941,$P535))</x:f>
        <x:v>Retail Services</x:v>
      </x:c>
      <x:c r="E535" s="86"/>
      <x:c r="F535" s="86" t="str">
        <x:f>IF($P535="","",INDEX(Tasks!$E$10:$E$1941,$P535))</x:f>
        <x:v>Research &amp; Analysis</x:v>
      </x:c>
      <x:c r="G535" s="86"/>
      <x:c r="H535" s="14" t="str">
        <x:f>IF($P535="","",INDEX(Tasks!$F$10:$F$1941,$P535)&amp;CHAR(10)&amp;INDEX(Tasks!$G$10:$G$1941,$P535))</x:f>
        <x:v>RA.RS.2.3
Meet with SMEs to gain business insight and clarify questions</x:v>
      </x:c>
      <x:c r="I535" s="14"/>
      <x:c r="J535" s="14"/>
      <x:c r="K535" s="14"/>
      <x:c r="L535" s="86" t="str">
        <x:f>IF($P535="","",INDEX(Tasks!$N$10:$N$1941,$P535))</x:f>
        <x:v>Not started</x:v>
      </x:c>
      <x:c r="M535" s="87" t="n">
        <x:f>IF($P535="","",INDEX(Tasks!$J$10:$J$1941,$P535))</x:f>
        <x:v>46112</x:v>
      </x:c>
      <x:c r="N535" s="85" t="str">
        <x:f>IF($P535="","",HYPERLINK("#'"&amp;INDEX(Tasks!$T$10:$T$1941,$P535)&amp;"'!A"&amp;INDEX(Tasks!$U$10:$U$1941,$P535),"Open"))</x:f>
        <x:v>Open</x:v>
      </x:c>
      <x:c r="O535" s="14"/>
      <x:c r="P535" s="14" t="n">
        <x:f>IF(514&gt;$B$10,"",MATCH(514,Tasks!$S$10:$S$1941,0))</x:f>
        <x:v>878</x:v>
      </x:c>
    </x:row>
    <x:row r="536" ht="58" customHeight="1">
      <x:c r="B536" s="86" t="str">
        <x:f>IF($P536="","",INDEX(Tasks!$B$10:$B$1941,$P536))</x:f>
        <x:v>Cycle 1</x:v>
      </x:c>
      <x:c r="C536" s="86" t="str">
        <x:f>IF($P536="","",INDEX(Tasks!$C$10:$C$1941,$P536))</x:f>
        <x:v>Phase 2</x:v>
      </x:c>
      <x:c r="D536" s="86" t="str">
        <x:f>IF($P536="","",INDEX(Tasks!$D$10:$D$1941,$P536))</x:f>
        <x:v>Retail Services</x:v>
      </x:c>
      <x:c r="E536" s="86"/>
      <x:c r="F536" s="86" t="str">
        <x:f>IF($P536="","",INDEX(Tasks!$E$10:$E$1941,$P536))</x:f>
        <x:v>Research &amp; Analysis</x:v>
      </x:c>
      <x:c r="G536" s="86"/>
      <x:c r="H536" s="14" t="str">
        <x:f>IF($P536="","",INDEX(Tasks!$F$10:$F$1941,$P536)&amp;CHAR(10)&amp;INDEX(Tasks!$G$10:$G$1941,$P536))</x:f>
        <x:v>RA.RS.2.4
Establish and maintain a recurring meeting with D&amp;I to discuss Cycle progress</x:v>
      </x:c>
      <x:c r="I536" s="14"/>
      <x:c r="J536" s="14"/>
      <x:c r="K536" s="14"/>
      <x:c r="L536" s="86" t="str">
        <x:f>IF($P536="","",INDEX(Tasks!$N$10:$N$1941,$P536))</x:f>
        <x:v>Not started</x:v>
      </x:c>
      <x:c r="M536" s="87" t="n">
        <x:f>IF($P536="","",INDEX(Tasks!$J$10:$J$1941,$P536))</x:f>
        <x:v>46112</x:v>
      </x:c>
      <x:c r="N536" s="85" t="str">
        <x:f>IF($P536="","",HYPERLINK("#'"&amp;INDEX(Tasks!$T$10:$T$1941,$P536)&amp;"'!A"&amp;INDEX(Tasks!$U$10:$U$1941,$P536),"Open"))</x:f>
        <x:v>Open</x:v>
      </x:c>
      <x:c r="O536" s="14"/>
      <x:c r="P536" s="14" t="n">
        <x:f>IF(515&gt;$B$10,"",MATCH(515,Tasks!$S$10:$S$1941,0))</x:f>
        <x:v>879</x:v>
      </x:c>
    </x:row>
    <x:row r="537" ht="58" customHeight="1">
      <x:c r="B537" s="86" t="str">
        <x:f>IF($P537="","",INDEX(Tasks!$B$10:$B$1941,$P537))</x:f>
        <x:v>Cycle 1</x:v>
      </x:c>
      <x:c r="C537" s="86" t="str">
        <x:f>IF($P537="","",INDEX(Tasks!$C$10:$C$1941,$P537))</x:f>
        <x:v>Phase 2</x:v>
      </x:c>
      <x:c r="D537" s="86" t="str">
        <x:f>IF($P537="","",INDEX(Tasks!$D$10:$D$1941,$P537))</x:f>
        <x:v>Retail Services</x:v>
      </x:c>
      <x:c r="E537" s="86"/>
      <x:c r="F537" s="86" t="str">
        <x:f>IF($P537="","",INDEX(Tasks!$E$10:$E$1941,$P537))</x:f>
        <x:v>Research &amp; Analysis</x:v>
      </x:c>
      <x:c r="G537" s="86"/>
      <x:c r="H537" s="14" t="str">
        <x:f>IF($P537="","",INDEX(Tasks!$F$10:$F$1941,$P537)&amp;CHAR(10)&amp;INDEX(Tasks!$G$10:$G$1941,$P537))</x:f>
        <x:v>RA.RS.2.5
Perform data testing and sampling</x:v>
      </x:c>
      <x:c r="I537" s="14"/>
      <x:c r="J537" s="14"/>
      <x:c r="K537" s="14"/>
      <x:c r="L537" s="86" t="str">
        <x:f>IF($P537="","",INDEX(Tasks!$N$10:$N$1941,$P537))</x:f>
        <x:v>Not started</x:v>
      </x:c>
      <x:c r="M537" s="87" t="n">
        <x:f>IF($P537="","",INDEX(Tasks!$J$10:$J$1941,$P537))</x:f>
        <x:v>46112</x:v>
      </x:c>
      <x:c r="N537" s="85" t="str">
        <x:f>IF($P537="","",HYPERLINK("#'"&amp;INDEX(Tasks!$T$10:$T$1941,$P537)&amp;"'!A"&amp;INDEX(Tasks!$U$10:$U$1941,$P537),"Open"))</x:f>
        <x:v>Open</x:v>
      </x:c>
      <x:c r="O537" s="14"/>
      <x:c r="P537" s="14" t="n">
        <x:f>IF(516&gt;$B$10,"",MATCH(516,Tasks!$S$10:$S$1941,0))</x:f>
        <x:v>880</x:v>
      </x:c>
    </x:row>
    <x:row r="538" ht="58" customHeight="1">
      <x:c r="B538" s="86" t="str">
        <x:f>IF($P538="","",INDEX(Tasks!$B$10:$B$1941,$P538))</x:f>
        <x:v>Cycle 1</x:v>
      </x:c>
      <x:c r="C538" s="86" t="str">
        <x:f>IF($P538="","",INDEX(Tasks!$C$10:$C$1941,$P538))</x:f>
        <x:v>Phase 2</x:v>
      </x:c>
      <x:c r="D538" s="86" t="str">
        <x:f>IF($P538="","",INDEX(Tasks!$D$10:$D$1941,$P538))</x:f>
        <x:v>Retail Services</x:v>
      </x:c>
      <x:c r="E538" s="86"/>
      <x:c r="F538" s="86" t="str">
        <x:f>IF($P538="","",INDEX(Tasks!$E$10:$E$1941,$P538))</x:f>
        <x:v>Research &amp; Analysis</x:v>
      </x:c>
      <x:c r="G538" s="86"/>
      <x:c r="H538" s="14" t="str">
        <x:f>IF($P538="","",INDEX(Tasks!$F$10:$F$1941,$P538)&amp;CHAR(10)&amp;INDEX(Tasks!$G$10:$G$1941,$P538))</x:f>
        <x:v>RA.RS.2.6
Complete Positive Testing</x:v>
      </x:c>
      <x:c r="I538" s="14"/>
      <x:c r="J538" s="14"/>
      <x:c r="K538" s="14"/>
      <x:c r="L538" s="86" t="str">
        <x:f>IF($P538="","",INDEX(Tasks!$N$10:$N$1941,$P538))</x:f>
        <x:v>Not started</x:v>
      </x:c>
      <x:c r="M538" s="87" t="n">
        <x:f>IF($P538="","",INDEX(Tasks!$J$10:$J$1941,$P538))</x:f>
        <x:v>46112</x:v>
      </x:c>
      <x:c r="N538" s="85" t="str">
        <x:f>IF($P538="","",HYPERLINK("#'"&amp;INDEX(Tasks!$T$10:$T$1941,$P538)&amp;"'!A"&amp;INDEX(Tasks!$U$10:$U$1941,$P538),"Open"))</x:f>
        <x:v>Open</x:v>
      </x:c>
      <x:c r="O538" s="14"/>
      <x:c r="P538" s="14" t="n">
        <x:f>IF(517&gt;$B$10,"",MATCH(517,Tasks!$S$10:$S$1941,0))</x:f>
        <x:v>881</x:v>
      </x:c>
    </x:row>
    <x:row r="539" ht="58" customHeight="1">
      <x:c r="B539" s="86" t="str">
        <x:f>IF($P539="","",INDEX(Tasks!$B$10:$B$1941,$P539))</x:f>
        <x:v>Cycle 1</x:v>
      </x:c>
      <x:c r="C539" s="86" t="str">
        <x:f>IF($P539="","",INDEX(Tasks!$C$10:$C$1941,$P539))</x:f>
        <x:v>Phase 2</x:v>
      </x:c>
      <x:c r="D539" s="86" t="str">
        <x:f>IF($P539="","",INDEX(Tasks!$D$10:$D$1941,$P539))</x:f>
        <x:v>Retail Services</x:v>
      </x:c>
      <x:c r="E539" s="86"/>
      <x:c r="F539" s="86" t="str">
        <x:f>IF($P539="","",INDEX(Tasks!$E$10:$E$1941,$P539))</x:f>
        <x:v>Research &amp; Analysis</x:v>
      </x:c>
      <x:c r="G539" s="86"/>
      <x:c r="H539" s="14" t="str">
        <x:f>IF($P539="","",INDEX(Tasks!$F$10:$F$1941,$P539)&amp;CHAR(10)&amp;INDEX(Tasks!$G$10:$G$1941,$P539))</x:f>
        <x:v>RA.RS.2.7
Complete Negative Testing</x:v>
      </x:c>
      <x:c r="I539" s="14"/>
      <x:c r="J539" s="14"/>
      <x:c r="K539" s="14"/>
      <x:c r="L539" s="86" t="str">
        <x:f>IF($P539="","",INDEX(Tasks!$N$10:$N$1941,$P539))</x:f>
        <x:v>Not started</x:v>
      </x:c>
      <x:c r="M539" s="87" t="n">
        <x:f>IF($P539="","",INDEX(Tasks!$J$10:$J$1941,$P539))</x:f>
        <x:v>46112</x:v>
      </x:c>
      <x:c r="N539" s="85" t="str">
        <x:f>IF($P539="","",HYPERLINK("#'"&amp;INDEX(Tasks!$T$10:$T$1941,$P539)&amp;"'!A"&amp;INDEX(Tasks!$U$10:$U$1941,$P539),"Open"))</x:f>
        <x:v>Open</x:v>
      </x:c>
      <x:c r="O539" s="14"/>
      <x:c r="P539" s="14" t="n">
        <x:f>IF(518&gt;$B$10,"",MATCH(518,Tasks!$S$10:$S$1941,0))</x:f>
        <x:v>882</x:v>
      </x:c>
    </x:row>
    <x:row r="540" ht="58" customHeight="1">
      <x:c r="B540" s="86" t="str">
        <x:f>IF($P540="","",INDEX(Tasks!$B$10:$B$1941,$P540))</x:f>
        <x:v>Cycle 1</x:v>
      </x:c>
      <x:c r="C540" s="86" t="str">
        <x:f>IF($P540="","",INDEX(Tasks!$C$10:$C$1941,$P540))</x:f>
        <x:v>Phase 2</x:v>
      </x:c>
      <x:c r="D540" s="86" t="str">
        <x:f>IF($P540="","",INDEX(Tasks!$D$10:$D$1941,$P540))</x:f>
        <x:v>Retail Services</x:v>
      </x:c>
      <x:c r="E540" s="86"/>
      <x:c r="F540" s="86" t="str">
        <x:f>IF($P540="","",INDEX(Tasks!$E$10:$E$1941,$P540))</x:f>
        <x:v>Research &amp; Analysis</x:v>
      </x:c>
      <x:c r="G540" s="86"/>
      <x:c r="H540" s="14" t="str">
        <x:f>IF($P540="","",INDEX(Tasks!$F$10:$F$1941,$P540)&amp;CHAR(10)&amp;INDEX(Tasks!$G$10:$G$1941,$P540))</x:f>
        <x:v>RA.RS.2.8
Request additional data (as needed)</x:v>
      </x:c>
      <x:c r="I540" s="14"/>
      <x:c r="J540" s="14"/>
      <x:c r="K540" s="14"/>
      <x:c r="L540" s="86" t="str">
        <x:f>IF($P540="","",INDEX(Tasks!$N$10:$N$1941,$P540))</x:f>
        <x:v>Not started</x:v>
      </x:c>
      <x:c r="M540" s="87" t="n">
        <x:f>IF($P540="","",INDEX(Tasks!$J$10:$J$1941,$P540))</x:f>
        <x:v>46112</x:v>
      </x:c>
      <x:c r="N540" s="85" t="str">
        <x:f>IF($P540="","",HYPERLINK("#'"&amp;INDEX(Tasks!$T$10:$T$1941,$P540)&amp;"'!A"&amp;INDEX(Tasks!$U$10:$U$1941,$P540),"Open"))</x:f>
        <x:v>Open</x:v>
      </x:c>
      <x:c r="O540" s="14"/>
      <x:c r="P540" s="14" t="n">
        <x:f>IF(519&gt;$B$10,"",MATCH(519,Tasks!$S$10:$S$1941,0))</x:f>
        <x:v>883</x:v>
      </x:c>
    </x:row>
    <x:row r="541" ht="58" customHeight="1">
      <x:c r="B541" s="86" t="str">
        <x:f>IF($P541="","",INDEX(Tasks!$B$10:$B$1941,$P541))</x:f>
        <x:v>Cycle 1</x:v>
      </x:c>
      <x:c r="C541" s="86" t="str">
        <x:f>IF($P541="","",INDEX(Tasks!$C$10:$C$1941,$P541))</x:f>
        <x:v>Phase 2</x:v>
      </x:c>
      <x:c r="D541" s="86" t="str">
        <x:f>IF($P541="","",INDEX(Tasks!$D$10:$D$1941,$P541))</x:f>
        <x:v>Retail Services</x:v>
      </x:c>
      <x:c r="E541" s="86"/>
      <x:c r="F541" s="86" t="str">
        <x:f>IF($P541="","",INDEX(Tasks!$E$10:$E$1941,$P541))</x:f>
        <x:v>Research &amp; Analysis</x:v>
      </x:c>
      <x:c r="G541" s="86"/>
      <x:c r="H541" s="14" t="str">
        <x:f>IF($P541="","",INDEX(Tasks!$F$10:$F$1941,$P541)&amp;CHAR(10)&amp;INDEX(Tasks!$G$10:$G$1941,$P541))</x:f>
        <x:v>RA.RS.2.9
Validate or disprove initial hypothesis assumptions</x:v>
      </x:c>
      <x:c r="I541" s="14"/>
      <x:c r="J541" s="14"/>
      <x:c r="K541" s="14"/>
      <x:c r="L541" s="86" t="str">
        <x:f>IF($P541="","",INDEX(Tasks!$N$10:$N$1941,$P541))</x:f>
        <x:v>Not started</x:v>
      </x:c>
      <x:c r="M541" s="87" t="n">
        <x:f>IF($P541="","",INDEX(Tasks!$J$10:$J$1941,$P541))</x:f>
        <x:v>46112</x:v>
      </x:c>
      <x:c r="N541" s="85" t="str">
        <x:f>IF($P541="","",HYPERLINK("#'"&amp;INDEX(Tasks!$T$10:$T$1941,$P541)&amp;"'!A"&amp;INDEX(Tasks!$U$10:$U$1941,$P541),"Open"))</x:f>
        <x:v>Open</x:v>
      </x:c>
      <x:c r="O541" s="14"/>
      <x:c r="P541" s="14" t="n">
        <x:f>IF(520&gt;$B$10,"",MATCH(520,Tasks!$S$10:$S$1941,0))</x:f>
        <x:v>884</x:v>
      </x:c>
    </x:row>
    <x:row r="542" ht="58" customHeight="1">
      <x:c r="B542" s="86" t="str">
        <x:f>IF($P542="","",INDEX(Tasks!$B$10:$B$1941,$P542))</x:f>
        <x:v>Cycle 1</x:v>
      </x:c>
      <x:c r="C542" s="86" t="str">
        <x:f>IF($P542="","",INDEX(Tasks!$C$10:$C$1941,$P542))</x:f>
        <x:v>Phase 2</x:v>
      </x:c>
      <x:c r="D542" s="86" t="str">
        <x:f>IF($P542="","",INDEX(Tasks!$D$10:$D$1941,$P542))</x:f>
        <x:v>Retail Services</x:v>
      </x:c>
      <x:c r="E542" s="86"/>
      <x:c r="F542" s="86" t="str">
        <x:f>IF($P542="","",INDEX(Tasks!$E$10:$E$1941,$P542))</x:f>
        <x:v>Research &amp; Analysis</x:v>
      </x:c>
      <x:c r="G542" s="86"/>
      <x:c r="H542" s="14" t="str">
        <x:f>IF($P542="","",INDEX(Tasks!$F$10:$F$1941,$P542)&amp;CHAR(10)&amp;INDEX(Tasks!$G$10:$G$1941,$P542))</x:f>
        <x:v>RA.RS.2.10
Identify and confirm root cause</x:v>
      </x:c>
      <x:c r="I542" s="14"/>
      <x:c r="J542" s="14"/>
      <x:c r="K542" s="14"/>
      <x:c r="L542" s="86" t="str">
        <x:f>IF($P542="","",INDEX(Tasks!$N$10:$N$1941,$P542))</x:f>
        <x:v>Not started</x:v>
      </x:c>
      <x:c r="M542" s="87" t="n">
        <x:f>IF($P542="","",INDEX(Tasks!$J$10:$J$1941,$P542))</x:f>
        <x:v>46112</x:v>
      </x:c>
      <x:c r="N542" s="85" t="str">
        <x:f>IF($P542="","",HYPERLINK("#'"&amp;INDEX(Tasks!$T$10:$T$1941,$P542)&amp;"'!A"&amp;INDEX(Tasks!$U$10:$U$1941,$P542),"Open"))</x:f>
        <x:v>Open</x:v>
      </x:c>
      <x:c r="O542" s="14"/>
      <x:c r="P542" s="14" t="n">
        <x:f>IF(521&gt;$B$10,"",MATCH(521,Tasks!$S$10:$S$1941,0))</x:f>
        <x:v>885</x:v>
      </x:c>
    </x:row>
    <x:row r="543" ht="58" customHeight="1">
      <x:c r="B543" s="86" t="str">
        <x:f>IF($P543="","",INDEX(Tasks!$B$10:$B$1941,$P543))</x:f>
        <x:v>Cycle 1</x:v>
      </x:c>
      <x:c r="C543" s="86" t="str">
        <x:f>IF($P543="","",INDEX(Tasks!$C$10:$C$1941,$P543))</x:f>
        <x:v>Phase 3</x:v>
      </x:c>
      <x:c r="D543" s="86" t="str">
        <x:f>IF($P543="","",INDEX(Tasks!$D$10:$D$1941,$P543))</x:f>
        <x:v>Retail Services</x:v>
      </x:c>
      <x:c r="E543" s="86"/>
      <x:c r="F543" s="86" t="str">
        <x:f>IF($P543="","",INDEX(Tasks!$E$10:$E$1941,$P543))</x:f>
        <x:v>Research &amp; Analysis</x:v>
      </x:c>
      <x:c r="G543" s="86"/>
      <x:c r="H543" s="14" t="str">
        <x:f>IF($P543="","",INDEX(Tasks!$F$10:$F$1941,$P543)&amp;CHAR(10)&amp;INDEX(Tasks!$G$10:$G$1941,$P543))</x:f>
        <x:v>RA.RS.3.1
Finalize results and supporting documentation</x:v>
      </x:c>
      <x:c r="I543" s="14"/>
      <x:c r="J543" s="14"/>
      <x:c r="K543" s="14"/>
      <x:c r="L543" s="86" t="str">
        <x:f>IF($P543="","",INDEX(Tasks!$N$10:$N$1941,$P543))</x:f>
        <x:v>Not started</x:v>
      </x:c>
      <x:c r="M543" s="87" t="n">
        <x:f>IF($P543="","",INDEX(Tasks!$J$10:$J$1941,$P543))</x:f>
        <x:v>46112</x:v>
      </x:c>
      <x:c r="N543" s="85" t="str">
        <x:f>IF($P543="","",HYPERLINK("#'"&amp;INDEX(Tasks!$T$10:$T$1941,$P543)&amp;"'!A"&amp;INDEX(Tasks!$U$10:$U$1941,$P543),"Open"))</x:f>
        <x:v>Open</x:v>
      </x:c>
      <x:c r="O543" s="14"/>
      <x:c r="P543" s="14" t="n">
        <x:f>IF(522&gt;$B$10,"",MATCH(522,Tasks!$S$10:$S$1941,0))</x:f>
        <x:v>886</x:v>
      </x:c>
    </x:row>
    <x:row r="544" ht="58" customHeight="1">
      <x:c r="B544" s="86" t="str">
        <x:f>IF($P544="","",INDEX(Tasks!$B$10:$B$1941,$P544))</x:f>
        <x:v>Cycle 1</x:v>
      </x:c>
      <x:c r="C544" s="86" t="str">
        <x:f>IF($P544="","",INDEX(Tasks!$C$10:$C$1941,$P544))</x:f>
        <x:v>Phase 3</x:v>
      </x:c>
      <x:c r="D544" s="86" t="str">
        <x:f>IF($P544="","",INDEX(Tasks!$D$10:$D$1941,$P544))</x:f>
        <x:v>Retail Services</x:v>
      </x:c>
      <x:c r="E544" s="86"/>
      <x:c r="F544" s="86" t="str">
        <x:f>IF($P544="","",INDEX(Tasks!$E$10:$E$1941,$P544))</x:f>
        <x:v>Research &amp; Analysis</x:v>
      </x:c>
      <x:c r="G544" s="86"/>
      <x:c r="H544" s="14" t="str">
        <x:f>IF($P544="","",INDEX(Tasks!$F$10:$F$1941,$P544)&amp;CHAR(10)&amp;INDEX(Tasks!$G$10:$G$1941,$P544))</x:f>
        <x:v>RA.RS.3.2
Maintain and update the evidence package prior to handoff to D&amp;I</x:v>
      </x:c>
      <x:c r="I544" s="14"/>
      <x:c r="J544" s="14"/>
      <x:c r="K544" s="14"/>
      <x:c r="L544" s="86" t="str">
        <x:f>IF($P544="","",INDEX(Tasks!$N$10:$N$1941,$P544))</x:f>
        <x:v>Not started</x:v>
      </x:c>
      <x:c r="M544" s="87" t="n">
        <x:f>IF($P544="","",INDEX(Tasks!$J$10:$J$1941,$P544))</x:f>
        <x:v>46112</x:v>
      </x:c>
      <x:c r="N544" s="85" t="str">
        <x:f>IF($P544="","",HYPERLINK("#'"&amp;INDEX(Tasks!$T$10:$T$1941,$P544)&amp;"'!A"&amp;INDEX(Tasks!$U$10:$U$1941,$P544),"Open"))</x:f>
        <x:v>Open</x:v>
      </x:c>
      <x:c r="O544" s="14"/>
      <x:c r="P544" s="14" t="n">
        <x:f>IF(523&gt;$B$10,"",MATCH(523,Tasks!$S$10:$S$1941,0))</x:f>
        <x:v>887</x:v>
      </x:c>
    </x:row>
    <x:row r="545" ht="58" customHeight="1">
      <x:c r="B545" s="86" t="str">
        <x:f>IF($P545="","",INDEX(Tasks!$B$10:$B$1941,$P545))</x:f>
        <x:v>Cycle 1</x:v>
      </x:c>
      <x:c r="C545" s="86" t="str">
        <x:f>IF($P545="","",INDEX(Tasks!$C$10:$C$1941,$P545))</x:f>
        <x:v>Phase 3</x:v>
      </x:c>
      <x:c r="D545" s="86" t="str">
        <x:f>IF($P545="","",INDEX(Tasks!$D$10:$D$1941,$P545))</x:f>
        <x:v>Retail Services</x:v>
      </x:c>
      <x:c r="E545" s="86"/>
      <x:c r="F545" s="86" t="str">
        <x:f>IF($P545="","",INDEX(Tasks!$E$10:$E$1941,$P545))</x:f>
        <x:v>Research &amp; Analysis</x:v>
      </x:c>
      <x:c r="G545" s="86"/>
      <x:c r="H545" s="14" t="str">
        <x:f>IF($P545="","",INDEX(Tasks!$F$10:$F$1941,$P545)&amp;CHAR(10)&amp;INDEX(Tasks!$G$10:$G$1941,$P545))</x:f>
        <x:v>RA.RS.3.3
Address any outstanding questions or requests from D&amp;I</x:v>
      </x:c>
      <x:c r="I545" s="14"/>
      <x:c r="J545" s="14"/>
      <x:c r="K545" s="14"/>
      <x:c r="L545" s="86" t="str">
        <x:f>IF($P545="","",INDEX(Tasks!$N$10:$N$1941,$P545))</x:f>
        <x:v>Not started</x:v>
      </x:c>
      <x:c r="M545" s="87" t="n">
        <x:f>IF($P545="","",INDEX(Tasks!$J$10:$J$1941,$P545))</x:f>
        <x:v>46112</x:v>
      </x:c>
      <x:c r="N545" s="85" t="str">
        <x:f>IF($P545="","",HYPERLINK("#'"&amp;INDEX(Tasks!$T$10:$T$1941,$P545)&amp;"'!A"&amp;INDEX(Tasks!$U$10:$U$1941,$P545),"Open"))</x:f>
        <x:v>Open</x:v>
      </x:c>
      <x:c r="O545" s="14"/>
      <x:c r="P545" s="14" t="n">
        <x:f>IF(524&gt;$B$10,"",MATCH(524,Tasks!$S$10:$S$1941,0))</x:f>
        <x:v>888</x:v>
      </x:c>
    </x:row>
    <x:row r="546" ht="58" customHeight="1">
      <x:c r="B546" s="86" t="str">
        <x:f>IF($P546="","",INDEX(Tasks!$B$10:$B$1941,$P546))</x:f>
        <x:v>Cycle 1</x:v>
      </x:c>
      <x:c r="C546" s="86" t="str">
        <x:f>IF($P546="","",INDEX(Tasks!$C$10:$C$1941,$P546))</x:f>
        <x:v>Phase 3</x:v>
      </x:c>
      <x:c r="D546" s="86" t="str">
        <x:f>IF($P546="","",INDEX(Tasks!$D$10:$D$1941,$P546))</x:f>
        <x:v>Retail Services</x:v>
      </x:c>
      <x:c r="E546" s="86"/>
      <x:c r="F546" s="86" t="str">
        <x:f>IF($P546="","",INDEX(Tasks!$E$10:$E$1941,$P546))</x:f>
        <x:v>Research &amp; Analysis</x:v>
      </x:c>
      <x:c r="G546" s="86"/>
      <x:c r="H546" s="14" t="str">
        <x:f>IF($P546="","",INDEX(Tasks!$F$10:$F$1941,$P546)&amp;CHAR(10)&amp;INDEX(Tasks!$G$10:$G$1941,$P546))</x:f>
        <x:v>RA.RS.3.4
Attend Forum meeting with D&amp;I to assist with answering stakeholder questions (as needed)</x:v>
      </x:c>
      <x:c r="I546" s="14"/>
      <x:c r="J546" s="14"/>
      <x:c r="K546" s="14"/>
      <x:c r="L546" s="86" t="str">
        <x:f>IF($P546="","",INDEX(Tasks!$N$10:$N$1941,$P546))</x:f>
        <x:v>Not started</x:v>
      </x:c>
      <x:c r="M546" s="87" t="str">
        <x:f>IF($P546="","",INDEX(Tasks!$J$10:$J$1941,$P546))</x:f>
      </x:c>
      <x:c r="N546" s="85" t="str">
        <x:f>IF($P546="","",HYPERLINK("#'"&amp;INDEX(Tasks!$T$10:$T$1941,$P546)&amp;"'!A"&amp;INDEX(Tasks!$U$10:$U$1941,$P546),"Open"))</x:f>
        <x:v>Open</x:v>
      </x:c>
      <x:c r="O546" s="14"/>
      <x:c r="P546" s="14" t="n">
        <x:f>IF(525&gt;$B$10,"",MATCH(525,Tasks!$S$10:$S$1941,0))</x:f>
        <x:v>889</x:v>
      </x:c>
    </x:row>
    <x:row r="547" ht="58" customHeight="1">
      <x:c r="B547" s="86" t="str">
        <x:f>IF($P547="","",INDEX(Tasks!$B$10:$B$1941,$P547))</x:f>
        <x:v>Cycle 2</x:v>
      </x:c>
      <x:c r="C547" s="86" t="str">
        <x:f>IF($P547="","",INDEX(Tasks!$C$10:$C$1941,$P547))</x:f>
        <x:v>Phase 1</x:v>
      </x:c>
      <x:c r="D547" s="86" t="str">
        <x:f>IF($P547="","",INDEX(Tasks!$D$10:$D$1941,$P547))</x:f>
        <x:v>Auto</x:v>
      </x:c>
      <x:c r="E547" s="86"/>
      <x:c r="F547" s="86" t="str">
        <x:f>IF($P547="","",INDEX(Tasks!$E$10:$E$1941,$P547))</x:f>
        <x:v>Research &amp; Analysis</x:v>
      </x:c>
      <x:c r="G547" s="86"/>
      <x:c r="H547" s="14" t="str">
        <x:f>IF($P547="","",INDEX(Tasks!$F$10:$F$1941,$P547)&amp;CHAR(10)&amp;INDEX(Tasks!$G$10:$G$1941,$P547))</x:f>
        <x:v>RA.AU.1.1
Begin Research process 2 weeks prior to Cycle start</x:v>
      </x:c>
      <x:c r="I547" s="14"/>
      <x:c r="J547" s="14"/>
      <x:c r="K547" s="14"/>
      <x:c r="L547" s="86" t="str">
        <x:f>IF($P547="","",INDEX(Tasks!$N$10:$N$1941,$P547))</x:f>
        <x:v>Not started</x:v>
      </x:c>
      <x:c r="M547" s="87" t="n">
        <x:f>IF($P547="","",INDEX(Tasks!$J$10:$J$1941,$P547))</x:f>
        <x:v>46099</x:v>
      </x:c>
      <x:c r="N547" s="85" t="str">
        <x:f>IF($P547="","",HYPERLINK("#'"&amp;INDEX(Tasks!$T$10:$T$1941,$P547)&amp;"'!A"&amp;INDEX(Tasks!$U$10:$U$1941,$P547),"Open"))</x:f>
        <x:v>Open</x:v>
      </x:c>
      <x:c r="O547" s="14"/>
      <x:c r="P547" s="14" t="n">
        <x:f>IF(526&gt;$B$10,"",MATCH(526,Tasks!$S$10:$S$1941,0))</x:f>
        <x:v>890</x:v>
      </x:c>
    </x:row>
    <x:row r="548" ht="58" customHeight="1">
      <x:c r="B548" s="86" t="str">
        <x:f>IF($P548="","",INDEX(Tasks!$B$10:$B$1941,$P548))</x:f>
        <x:v>Cycle 2</x:v>
      </x:c>
      <x:c r="C548" s="86" t="str">
        <x:f>IF($P548="","",INDEX(Tasks!$C$10:$C$1941,$P548))</x:f>
        <x:v>Phase 1</x:v>
      </x:c>
      <x:c r="D548" s="86" t="str">
        <x:f>IF($P548="","",INDEX(Tasks!$D$10:$D$1941,$P548))</x:f>
        <x:v>Auto</x:v>
      </x:c>
      <x:c r="E548" s="86"/>
      <x:c r="F548" s="86" t="str">
        <x:f>IF($P548="","",INDEX(Tasks!$E$10:$E$1941,$P548))</x:f>
        <x:v>Research &amp; Analysis</x:v>
      </x:c>
      <x:c r="G548" s="86"/>
      <x:c r="H548" s="14" t="str">
        <x:f>IF($P548="","",INDEX(Tasks!$F$10:$F$1941,$P548)&amp;CHAR(10)&amp;INDEX(Tasks!$G$10:$G$1941,$P548))</x:f>
        <x:v>RA.AU.1.2
Conduct initial assessment of each topic recommendation from SharePoint list</x:v>
      </x:c>
      <x:c r="I548" s="14"/>
      <x:c r="J548" s="14"/>
      <x:c r="K548" s="14"/>
      <x:c r="L548" s="86" t="str">
        <x:f>IF($P548="","",INDEX(Tasks!$N$10:$N$1941,$P548))</x:f>
        <x:v>Not started</x:v>
      </x:c>
      <x:c r="M548" s="87" t="n">
        <x:f>IF($P548="","",INDEX(Tasks!$J$10:$J$1941,$P548))</x:f>
        <x:v>46203</x:v>
      </x:c>
      <x:c r="N548" s="85" t="str">
        <x:f>IF($P548="","",HYPERLINK("#'"&amp;INDEX(Tasks!$T$10:$T$1941,$P548)&amp;"'!A"&amp;INDEX(Tasks!$U$10:$U$1941,$P548),"Open"))</x:f>
        <x:v>Open</x:v>
      </x:c>
      <x:c r="O548" s="14"/>
      <x:c r="P548" s="14" t="n">
        <x:f>IF(527&gt;$B$10,"",MATCH(527,Tasks!$S$10:$S$1941,0))</x:f>
        <x:v>891</x:v>
      </x:c>
    </x:row>
    <x:row r="549" ht="58" customHeight="1">
      <x:c r="B549" s="86" t="str">
        <x:f>IF($P549="","",INDEX(Tasks!$B$10:$B$1941,$P549))</x:f>
        <x:v>Cycle 2</x:v>
      </x:c>
      <x:c r="C549" s="86" t="str">
        <x:f>IF($P549="","",INDEX(Tasks!$C$10:$C$1941,$P549))</x:f>
        <x:v>Phase 1</x:v>
      </x:c>
      <x:c r="D549" s="86" t="str">
        <x:f>IF($P549="","",INDEX(Tasks!$D$10:$D$1941,$P549))</x:f>
        <x:v>Auto</x:v>
      </x:c>
      <x:c r="E549" s="86"/>
      <x:c r="F549" s="86" t="str">
        <x:f>IF($P549="","",INDEX(Tasks!$E$10:$E$1941,$P549))</x:f>
        <x:v>Research &amp; Analysis</x:v>
      </x:c>
      <x:c r="G549" s="86"/>
      <x:c r="H549" s="14" t="str">
        <x:f>IF($P549="","",INDEX(Tasks!$F$10:$F$1941,$P549)&amp;CHAR(10)&amp;INDEX(Tasks!$G$10:$G$1941,$P549))</x:f>
        <x:v>RA.AU.1.3
Identify best topic for Cycle</x:v>
      </x:c>
      <x:c r="I549" s="14"/>
      <x:c r="J549" s="14"/>
      <x:c r="K549" s="14"/>
      <x:c r="L549" s="86" t="str">
        <x:f>IF($P549="","",INDEX(Tasks!$N$10:$N$1941,$P549))</x:f>
        <x:v>Not started</x:v>
      </x:c>
      <x:c r="M549" s="87" t="n">
        <x:f>IF($P549="","",INDEX(Tasks!$J$10:$J$1941,$P549))</x:f>
        <x:v>46203</x:v>
      </x:c>
      <x:c r="N549" s="85" t="str">
        <x:f>IF($P549="","",HYPERLINK("#'"&amp;INDEX(Tasks!$T$10:$T$1941,$P549)&amp;"'!A"&amp;INDEX(Tasks!$U$10:$U$1941,$P549),"Open"))</x:f>
        <x:v>Open</x:v>
      </x:c>
      <x:c r="O549" s="14"/>
      <x:c r="P549" s="14" t="n">
        <x:f>IF(528&gt;$B$10,"",MATCH(528,Tasks!$S$10:$S$1941,0))</x:f>
        <x:v>892</x:v>
      </x:c>
    </x:row>
    <x:row r="550" ht="58" customHeight="1">
      <x:c r="B550" s="86" t="str">
        <x:f>IF($P550="","",INDEX(Tasks!$B$10:$B$1941,$P550))</x:f>
        <x:v>Cycle 2</x:v>
      </x:c>
      <x:c r="C550" s="86" t="str">
        <x:f>IF($P550="","",INDEX(Tasks!$C$10:$C$1941,$P550))</x:f>
        <x:v>Phase 1</x:v>
      </x:c>
      <x:c r="D550" s="86" t="str">
        <x:f>IF($P550="","",INDEX(Tasks!$D$10:$D$1941,$P550))</x:f>
        <x:v>Auto</x:v>
      </x:c>
      <x:c r="E550" s="86"/>
      <x:c r="F550" s="86" t="str">
        <x:f>IF($P550="","",INDEX(Tasks!$E$10:$E$1941,$P550))</x:f>
        <x:v>Research &amp; Analysis</x:v>
      </x:c>
      <x:c r="G550" s="86"/>
      <x:c r="H550" s="14" t="str">
        <x:f>IF($P550="","",INDEX(Tasks!$F$10:$F$1941,$P550)&amp;CHAR(10)&amp;INDEX(Tasks!$G$10:$G$1941,$P550))</x:f>
        <x:v>RA.AU.1.4
Identify backup topic for Cycle</x:v>
      </x:c>
      <x:c r="I550" s="14"/>
      <x:c r="J550" s="14"/>
      <x:c r="K550" s="14"/>
      <x:c r="L550" s="86" t="str">
        <x:f>IF($P550="","",INDEX(Tasks!$N$10:$N$1941,$P550))</x:f>
        <x:v>Not started</x:v>
      </x:c>
      <x:c r="M550" s="87" t="n">
        <x:f>IF($P550="","",INDEX(Tasks!$J$10:$J$1941,$P550))</x:f>
        <x:v>46203</x:v>
      </x:c>
      <x:c r="N550" s="85" t="str">
        <x:f>IF($P550="","",HYPERLINK("#'"&amp;INDEX(Tasks!$T$10:$T$1941,$P550)&amp;"'!A"&amp;INDEX(Tasks!$U$10:$U$1941,$P550),"Open"))</x:f>
        <x:v>Open</x:v>
      </x:c>
      <x:c r="O550" s="14"/>
      <x:c r="P550" s="14" t="n">
        <x:f>IF(529&gt;$B$10,"",MATCH(529,Tasks!$S$10:$S$1941,0))</x:f>
        <x:v>893</x:v>
      </x:c>
    </x:row>
    <x:row r="551" ht="58" customHeight="1">
      <x:c r="B551" s="86" t="str">
        <x:f>IF($P551="","",INDEX(Tasks!$B$10:$B$1941,$P551))</x:f>
        <x:v>Cycle 2</x:v>
      </x:c>
      <x:c r="C551" s="86" t="str">
        <x:f>IF($P551="","",INDEX(Tasks!$C$10:$C$1941,$P551))</x:f>
        <x:v>Phase 1</x:v>
      </x:c>
      <x:c r="D551" s="86" t="str">
        <x:f>IF($P551="","",INDEX(Tasks!$D$10:$D$1941,$P551))</x:f>
        <x:v>Auto</x:v>
      </x:c>
      <x:c r="E551" s="86"/>
      <x:c r="F551" s="86" t="str">
        <x:f>IF($P551="","",INDEX(Tasks!$E$10:$E$1941,$P551))</x:f>
        <x:v>Research &amp; Analysis</x:v>
      </x:c>
      <x:c r="G551" s="86"/>
      <x:c r="H551" s="14" t="str">
        <x:f>IF($P551="","",INDEX(Tasks!$F$10:$F$1941,$P551)&amp;CHAR(10)&amp;INDEX(Tasks!$G$10:$G$1941,$P551))</x:f>
        <x:v>RA.AU.1.5
Schedule topic approval meeting with D&amp;I and management</x:v>
      </x:c>
      <x:c r="I551" s="14"/>
      <x:c r="J551" s="14"/>
      <x:c r="K551" s="14"/>
      <x:c r="L551" s="86" t="str">
        <x:f>IF($P551="","",INDEX(Tasks!$N$10:$N$1941,$P551))</x:f>
        <x:v>Not started</x:v>
      </x:c>
      <x:c r="M551" s="87" t="n">
        <x:f>IF($P551="","",INDEX(Tasks!$J$10:$J$1941,$P551))</x:f>
        <x:v>46203</x:v>
      </x:c>
      <x:c r="N551" s="85" t="str">
        <x:f>IF($P551="","",HYPERLINK("#'"&amp;INDEX(Tasks!$T$10:$T$1941,$P551)&amp;"'!A"&amp;INDEX(Tasks!$U$10:$U$1941,$P551),"Open"))</x:f>
        <x:v>Open</x:v>
      </x:c>
      <x:c r="O551" s="14"/>
      <x:c r="P551" s="14" t="n">
        <x:f>IF(530&gt;$B$10,"",MATCH(530,Tasks!$S$10:$S$1941,0))</x:f>
        <x:v>894</x:v>
      </x:c>
    </x:row>
    <x:row r="552" ht="58" customHeight="1">
      <x:c r="B552" s="86" t="str">
        <x:f>IF($P552="","",INDEX(Tasks!$B$10:$B$1941,$P552))</x:f>
        <x:v>Cycle 2</x:v>
      </x:c>
      <x:c r="C552" s="86" t="str">
        <x:f>IF($P552="","",INDEX(Tasks!$C$10:$C$1941,$P552))</x:f>
        <x:v>Phase 1</x:v>
      </x:c>
      <x:c r="D552" s="86" t="str">
        <x:f>IF($P552="","",INDEX(Tasks!$D$10:$D$1941,$P552))</x:f>
        <x:v>Auto</x:v>
      </x:c>
      <x:c r="E552" s="86"/>
      <x:c r="F552" s="86" t="str">
        <x:f>IF($P552="","",INDEX(Tasks!$E$10:$E$1941,$P552))</x:f>
        <x:v>Research &amp; Analysis</x:v>
      </x:c>
      <x:c r="G552" s="86"/>
      <x:c r="H552" s="14" t="str">
        <x:f>IF($P552="","",INDEX(Tasks!$F$10:$F$1941,$P552)&amp;CHAR(10)&amp;INDEX(Tasks!$G$10:$G$1941,$P552))</x:f>
        <x:v>RA.AU.1.6
Present recommended topic to D&amp;I and management for approval</x:v>
      </x:c>
      <x:c r="I552" s="14"/>
      <x:c r="J552" s="14"/>
      <x:c r="K552" s="14"/>
      <x:c r="L552" s="86" t="str">
        <x:f>IF($P552="","",INDEX(Tasks!$N$10:$N$1941,$P552))</x:f>
        <x:v>Not started</x:v>
      </x:c>
      <x:c r="M552" s="87" t="n">
        <x:f>IF($P552="","",INDEX(Tasks!$J$10:$J$1941,$P552))</x:f>
        <x:v>46203</x:v>
      </x:c>
      <x:c r="N552" s="85" t="str">
        <x:f>IF($P552="","",HYPERLINK("#'"&amp;INDEX(Tasks!$T$10:$T$1941,$P552)&amp;"'!A"&amp;INDEX(Tasks!$U$10:$U$1941,$P552),"Open"))</x:f>
        <x:v>Open</x:v>
      </x:c>
      <x:c r="O552" s="14"/>
      <x:c r="P552" s="14" t="n">
        <x:f>IF(531&gt;$B$10,"",MATCH(531,Tasks!$S$10:$S$1941,0))</x:f>
        <x:v>895</x:v>
      </x:c>
    </x:row>
    <x:row r="553" ht="58" customHeight="1">
      <x:c r="B553" s="86" t="str">
        <x:f>IF($P553="","",INDEX(Tasks!$B$10:$B$1941,$P553))</x:f>
        <x:v>Cycle 2</x:v>
      </x:c>
      <x:c r="C553" s="86" t="str">
        <x:f>IF($P553="","",INDEX(Tasks!$C$10:$C$1941,$P553))</x:f>
        <x:v>Phase 1</x:v>
      </x:c>
      <x:c r="D553" s="86" t="str">
        <x:f>IF($P553="","",INDEX(Tasks!$D$10:$D$1941,$P553))</x:f>
        <x:v>Auto</x:v>
      </x:c>
      <x:c r="E553" s="86"/>
      <x:c r="F553" s="86" t="str">
        <x:f>IF($P553="","",INDEX(Tasks!$E$10:$E$1941,$P553))</x:f>
        <x:v>Research &amp; Analysis</x:v>
      </x:c>
      <x:c r="G553" s="86"/>
      <x:c r="H553" s="14" t="str">
        <x:f>IF($P553="","",INDEX(Tasks!$F$10:$F$1941,$P553)&amp;CHAR(10)&amp;INDEX(Tasks!$G$10:$G$1941,$P553))</x:f>
        <x:v>RA.AU.1.7
Obtain formal topic selection approval from management via SharePoint</x:v>
      </x:c>
      <x:c r="I553" s="14"/>
      <x:c r="J553" s="14"/>
      <x:c r="K553" s="14"/>
      <x:c r="L553" s="86" t="str">
        <x:f>IF($P553="","",INDEX(Tasks!$N$10:$N$1941,$P553))</x:f>
        <x:v>Not started</x:v>
      </x:c>
      <x:c r="M553" s="87" t="n">
        <x:f>IF($P553="","",INDEX(Tasks!$J$10:$J$1941,$P553))</x:f>
        <x:v>46203</x:v>
      </x:c>
      <x:c r="N553" s="85" t="str">
        <x:f>IF($P553="","",HYPERLINK("#'"&amp;INDEX(Tasks!$T$10:$T$1941,$P553)&amp;"'!A"&amp;INDEX(Tasks!$U$10:$U$1941,$P553),"Open"))</x:f>
        <x:v>Open</x:v>
      </x:c>
      <x:c r="O553" s="14"/>
      <x:c r="P553" s="14" t="n">
        <x:f>IF(532&gt;$B$10,"",MATCH(532,Tasks!$S$10:$S$1941,0))</x:f>
        <x:v>896</x:v>
      </x:c>
    </x:row>
    <x:row r="554" ht="58" customHeight="1">
      <x:c r="B554" s="86" t="str">
        <x:f>IF($P554="","",INDEX(Tasks!$B$10:$B$1941,$P554))</x:f>
        <x:v>Cycle 2</x:v>
      </x:c>
      <x:c r="C554" s="86" t="str">
        <x:f>IF($P554="","",INDEX(Tasks!$C$10:$C$1941,$P554))</x:f>
        <x:v>Phase 1</x:v>
      </x:c>
      <x:c r="D554" s="86" t="str">
        <x:f>IF($P554="","",INDEX(Tasks!$D$10:$D$1941,$P554))</x:f>
        <x:v>Auto</x:v>
      </x:c>
      <x:c r="E554" s="86"/>
      <x:c r="F554" s="86" t="str">
        <x:f>IF($P554="","",INDEX(Tasks!$E$10:$E$1941,$P554))</x:f>
        <x:v>Research &amp; Analysis</x:v>
      </x:c>
      <x:c r="G554" s="86"/>
      <x:c r="H554" s="14" t="str">
        <x:f>IF($P554="","",INDEX(Tasks!$F$10:$F$1941,$P554)&amp;CHAR(10)&amp;INDEX(Tasks!$G$10:$G$1941,$P554))</x:f>
        <x:v>RA.AU.1.8
Socialize topic selection with product owners and subject matter experts (if known)</x:v>
      </x:c>
      <x:c r="I554" s="14"/>
      <x:c r="J554" s="14"/>
      <x:c r="K554" s="14"/>
      <x:c r="L554" s="86" t="str">
        <x:f>IF($P554="","",INDEX(Tasks!$N$10:$N$1941,$P554))</x:f>
        <x:v>Not started</x:v>
      </x:c>
      <x:c r="M554" s="87" t="n">
        <x:f>IF($P554="","",INDEX(Tasks!$J$10:$J$1941,$P554))</x:f>
        <x:v>46203</x:v>
      </x:c>
      <x:c r="N554" s="85" t="str">
        <x:f>IF($P554="","",HYPERLINK("#'"&amp;INDEX(Tasks!$T$10:$T$1941,$P554)&amp;"'!A"&amp;INDEX(Tasks!$U$10:$U$1941,$P554),"Open"))</x:f>
        <x:v>Open</x:v>
      </x:c>
      <x:c r="O554" s="14"/>
      <x:c r="P554" s="14" t="n">
        <x:f>IF(533&gt;$B$10,"",MATCH(533,Tasks!$S$10:$S$1941,0))</x:f>
        <x:v>897</x:v>
      </x:c>
    </x:row>
    <x:row r="555" ht="58" customHeight="1">
      <x:c r="B555" s="86" t="str">
        <x:f>IF($P555="","",INDEX(Tasks!$B$10:$B$1941,$P555))</x:f>
        <x:v>Cycle 2</x:v>
      </x:c>
      <x:c r="C555" s="86" t="str">
        <x:f>IF($P555="","",INDEX(Tasks!$C$10:$C$1941,$P555))</x:f>
        <x:v>Phase 1</x:v>
      </x:c>
      <x:c r="D555" s="86" t="str">
        <x:f>IF($P555="","",INDEX(Tasks!$D$10:$D$1941,$P555))</x:f>
        <x:v>Auto</x:v>
      </x:c>
      <x:c r="E555" s="86"/>
      <x:c r="F555" s="86" t="str">
        <x:f>IF($P555="","",INDEX(Tasks!$E$10:$E$1941,$P555))</x:f>
        <x:v>Research &amp; Analysis</x:v>
      </x:c>
      <x:c r="G555" s="86"/>
      <x:c r="H555" s="14" t="str">
        <x:f>IF($P555="","",INDEX(Tasks!$F$10:$F$1941,$P555)&amp;CHAR(10)&amp;INDEX(Tasks!$G$10:$G$1941,$P555))</x:f>
        <x:v>RA.AU.1.9
Assign topic researchers</x:v>
      </x:c>
      <x:c r="I555" s="14"/>
      <x:c r="J555" s="14"/>
      <x:c r="K555" s="14"/>
      <x:c r="L555" s="86" t="str">
        <x:f>IF($P555="","",INDEX(Tasks!$N$10:$N$1941,$P555))</x:f>
        <x:v>Not started</x:v>
      </x:c>
      <x:c r="M555" s="87" t="n">
        <x:f>IF($P555="","",INDEX(Tasks!$J$10:$J$1941,$P555))</x:f>
        <x:v>46203</x:v>
      </x:c>
      <x:c r="N555" s="85" t="str">
        <x:f>IF($P555="","",HYPERLINK("#'"&amp;INDEX(Tasks!$T$10:$T$1941,$P555)&amp;"'!A"&amp;INDEX(Tasks!$U$10:$U$1941,$P555),"Open"))</x:f>
        <x:v>Open</x:v>
      </x:c>
      <x:c r="O555" s="14"/>
      <x:c r="P555" s="14" t="n">
        <x:f>IF(534&gt;$B$10,"",MATCH(534,Tasks!$S$10:$S$1941,0))</x:f>
        <x:v>898</x:v>
      </x:c>
    </x:row>
    <x:row r="556" ht="58" customHeight="1">
      <x:c r="B556" s="86" t="str">
        <x:f>IF($P556="","",INDEX(Tasks!$B$10:$B$1941,$P556))</x:f>
        <x:v>Cycle 2</x:v>
      </x:c>
      <x:c r="C556" s="86" t="str">
        <x:f>IF($P556="","",INDEX(Tasks!$C$10:$C$1941,$P556))</x:f>
        <x:v>Phase 2</x:v>
      </x:c>
      <x:c r="D556" s="86" t="str">
        <x:f>IF($P556="","",INDEX(Tasks!$D$10:$D$1941,$P556))</x:f>
        <x:v>Auto</x:v>
      </x:c>
      <x:c r="E556" s="86"/>
      <x:c r="F556" s="86" t="str">
        <x:f>IF($P556="","",INDEX(Tasks!$E$10:$E$1941,$P556))</x:f>
        <x:v>Research &amp; Analysis</x:v>
      </x:c>
      <x:c r="G556" s="86"/>
      <x:c r="H556" s="14" t="str">
        <x:f>IF($P556="","",INDEX(Tasks!$F$10:$F$1941,$P556)&amp;CHAR(10)&amp;INDEX(Tasks!$G$10:$G$1941,$P556))</x:f>
        <x:v>RA.AU.2.1
Review data sources</x:v>
      </x:c>
      <x:c r="I556" s="14"/>
      <x:c r="J556" s="14"/>
      <x:c r="K556" s="14"/>
      <x:c r="L556" s="86" t="str">
        <x:f>IF($P556="","",INDEX(Tasks!$N$10:$N$1941,$P556))</x:f>
        <x:v>Not started</x:v>
      </x:c>
      <x:c r="M556" s="87" t="n">
        <x:f>IF($P556="","",INDEX(Tasks!$J$10:$J$1941,$P556))</x:f>
        <x:v>46203</x:v>
      </x:c>
      <x:c r="N556" s="85" t="str">
        <x:f>IF($P556="","",HYPERLINK("#'"&amp;INDEX(Tasks!$T$10:$T$1941,$P556)&amp;"'!A"&amp;INDEX(Tasks!$U$10:$U$1941,$P556),"Open"))</x:f>
        <x:v>Open</x:v>
      </x:c>
      <x:c r="O556" s="14"/>
      <x:c r="P556" s="14" t="n">
        <x:f>IF(535&gt;$B$10,"",MATCH(535,Tasks!$S$10:$S$1941,0))</x:f>
        <x:v>899</x:v>
      </x:c>
    </x:row>
    <x:row r="557" ht="58" customHeight="1">
      <x:c r="B557" s="86" t="str">
        <x:f>IF($P557="","",INDEX(Tasks!$B$10:$B$1941,$P557))</x:f>
        <x:v>Cycle 2</x:v>
      </x:c>
      <x:c r="C557" s="86" t="str">
        <x:f>IF($P557="","",INDEX(Tasks!$C$10:$C$1941,$P557))</x:f>
        <x:v>Phase 2</x:v>
      </x:c>
      <x:c r="D557" s="86" t="str">
        <x:f>IF($P557="","",INDEX(Tasks!$D$10:$D$1941,$P557))</x:f>
        <x:v>Auto</x:v>
      </x:c>
      <x:c r="E557" s="86"/>
      <x:c r="F557" s="86" t="str">
        <x:f>IF($P557="","",INDEX(Tasks!$E$10:$E$1941,$P557))</x:f>
        <x:v>Research &amp; Analysis</x:v>
      </x:c>
      <x:c r="G557" s="86"/>
      <x:c r="H557" s="14" t="str">
        <x:f>IF($P557="","",INDEX(Tasks!$F$10:$F$1941,$P557)&amp;CHAR(10)&amp;INDEX(Tasks!$G$10:$G$1941,$P557))</x:f>
        <x:v>RA.AU.2.2
Review relevant policies and procedures</x:v>
      </x:c>
      <x:c r="I557" s="14"/>
      <x:c r="J557" s="14"/>
      <x:c r="K557" s="14"/>
      <x:c r="L557" s="86" t="str">
        <x:f>IF($P557="","",INDEX(Tasks!$N$10:$N$1941,$P557))</x:f>
        <x:v>Not started</x:v>
      </x:c>
      <x:c r="M557" s="87" t="n">
        <x:f>IF($P557="","",INDEX(Tasks!$J$10:$J$1941,$P557))</x:f>
        <x:v>46203</x:v>
      </x:c>
      <x:c r="N557" s="85" t="str">
        <x:f>IF($P557="","",HYPERLINK("#'"&amp;INDEX(Tasks!$T$10:$T$1941,$P557)&amp;"'!A"&amp;INDEX(Tasks!$U$10:$U$1941,$P557),"Open"))</x:f>
        <x:v>Open</x:v>
      </x:c>
      <x:c r="O557" s="14"/>
      <x:c r="P557" s="14" t="n">
        <x:f>IF(536&gt;$B$10,"",MATCH(536,Tasks!$S$10:$S$1941,0))</x:f>
        <x:v>900</x:v>
      </x:c>
    </x:row>
    <x:row r="558" ht="58" customHeight="1">
      <x:c r="B558" s="86" t="str">
        <x:f>IF($P558="","",INDEX(Tasks!$B$10:$B$1941,$P558))</x:f>
        <x:v>Cycle 2</x:v>
      </x:c>
      <x:c r="C558" s="86" t="str">
        <x:f>IF($P558="","",INDEX(Tasks!$C$10:$C$1941,$P558))</x:f>
        <x:v>Phase 2</x:v>
      </x:c>
      <x:c r="D558" s="86" t="str">
        <x:f>IF($P558="","",INDEX(Tasks!$D$10:$D$1941,$P558))</x:f>
        <x:v>Auto</x:v>
      </x:c>
      <x:c r="E558" s="86"/>
      <x:c r="F558" s="86" t="str">
        <x:f>IF($P558="","",INDEX(Tasks!$E$10:$E$1941,$P558))</x:f>
        <x:v>Research &amp; Analysis</x:v>
      </x:c>
      <x:c r="G558" s="86"/>
      <x:c r="H558" s="14" t="str">
        <x:f>IF($P558="","",INDEX(Tasks!$F$10:$F$1941,$P558)&amp;CHAR(10)&amp;INDEX(Tasks!$G$10:$G$1941,$P558))</x:f>
        <x:v>RA.AU.2.3
Meet with SMEs to gain business insight and clarify questions</x:v>
      </x:c>
      <x:c r="I558" s="14"/>
      <x:c r="J558" s="14"/>
      <x:c r="K558" s="14"/>
      <x:c r="L558" s="86" t="str">
        <x:f>IF($P558="","",INDEX(Tasks!$N$10:$N$1941,$P558))</x:f>
        <x:v>Not started</x:v>
      </x:c>
      <x:c r="M558" s="87" t="n">
        <x:f>IF($P558="","",INDEX(Tasks!$J$10:$J$1941,$P558))</x:f>
        <x:v>46203</x:v>
      </x:c>
      <x:c r="N558" s="85" t="str">
        <x:f>IF($P558="","",HYPERLINK("#'"&amp;INDEX(Tasks!$T$10:$T$1941,$P558)&amp;"'!A"&amp;INDEX(Tasks!$U$10:$U$1941,$P558),"Open"))</x:f>
        <x:v>Open</x:v>
      </x:c>
      <x:c r="O558" s="14"/>
      <x:c r="P558" s="14" t="n">
        <x:f>IF(537&gt;$B$10,"",MATCH(537,Tasks!$S$10:$S$1941,0))</x:f>
        <x:v>901</x:v>
      </x:c>
    </x:row>
    <x:row r="559" ht="58" customHeight="1">
      <x:c r="B559" s="86" t="str">
        <x:f>IF($P559="","",INDEX(Tasks!$B$10:$B$1941,$P559))</x:f>
        <x:v>Cycle 2</x:v>
      </x:c>
      <x:c r="C559" s="86" t="str">
        <x:f>IF($P559="","",INDEX(Tasks!$C$10:$C$1941,$P559))</x:f>
        <x:v>Phase 2</x:v>
      </x:c>
      <x:c r="D559" s="86" t="str">
        <x:f>IF($P559="","",INDEX(Tasks!$D$10:$D$1941,$P559))</x:f>
        <x:v>Auto</x:v>
      </x:c>
      <x:c r="E559" s="86"/>
      <x:c r="F559" s="86" t="str">
        <x:f>IF($P559="","",INDEX(Tasks!$E$10:$E$1941,$P559))</x:f>
        <x:v>Research &amp; Analysis</x:v>
      </x:c>
      <x:c r="G559" s="86"/>
      <x:c r="H559" s="14" t="str">
        <x:f>IF($P559="","",INDEX(Tasks!$F$10:$F$1941,$P559)&amp;CHAR(10)&amp;INDEX(Tasks!$G$10:$G$1941,$P559))</x:f>
        <x:v>RA.AU.2.4
Establish and maintain a recurring meeting with D&amp;I to discuss Cycle progress</x:v>
      </x:c>
      <x:c r="I559" s="14"/>
      <x:c r="J559" s="14"/>
      <x:c r="K559" s="14"/>
      <x:c r="L559" s="86" t="str">
        <x:f>IF($P559="","",INDEX(Tasks!$N$10:$N$1941,$P559))</x:f>
        <x:v>Not started</x:v>
      </x:c>
      <x:c r="M559" s="87" t="n">
        <x:f>IF($P559="","",INDEX(Tasks!$J$10:$J$1941,$P559))</x:f>
        <x:v>46203</x:v>
      </x:c>
      <x:c r="N559" s="85" t="str">
        <x:f>IF($P559="","",HYPERLINK("#'"&amp;INDEX(Tasks!$T$10:$T$1941,$P559)&amp;"'!A"&amp;INDEX(Tasks!$U$10:$U$1941,$P559),"Open"))</x:f>
        <x:v>Open</x:v>
      </x:c>
      <x:c r="O559" s="14"/>
      <x:c r="P559" s="14" t="n">
        <x:f>IF(538&gt;$B$10,"",MATCH(538,Tasks!$S$10:$S$1941,0))</x:f>
        <x:v>902</x:v>
      </x:c>
    </x:row>
    <x:row r="560" ht="58" customHeight="1">
      <x:c r="B560" s="86" t="str">
        <x:f>IF($P560="","",INDEX(Tasks!$B$10:$B$1941,$P560))</x:f>
        <x:v>Cycle 2</x:v>
      </x:c>
      <x:c r="C560" s="86" t="str">
        <x:f>IF($P560="","",INDEX(Tasks!$C$10:$C$1941,$P560))</x:f>
        <x:v>Phase 2</x:v>
      </x:c>
      <x:c r="D560" s="86" t="str">
        <x:f>IF($P560="","",INDEX(Tasks!$D$10:$D$1941,$P560))</x:f>
        <x:v>Auto</x:v>
      </x:c>
      <x:c r="E560" s="86"/>
      <x:c r="F560" s="86" t="str">
        <x:f>IF($P560="","",INDEX(Tasks!$E$10:$E$1941,$P560))</x:f>
        <x:v>Research &amp; Analysis</x:v>
      </x:c>
      <x:c r="G560" s="86"/>
      <x:c r="H560" s="14" t="str">
        <x:f>IF($P560="","",INDEX(Tasks!$F$10:$F$1941,$P560)&amp;CHAR(10)&amp;INDEX(Tasks!$G$10:$G$1941,$P560))</x:f>
        <x:v>RA.AU.2.5
Perform data testing and sampling</x:v>
      </x:c>
      <x:c r="I560" s="14"/>
      <x:c r="J560" s="14"/>
      <x:c r="K560" s="14"/>
      <x:c r="L560" s="86" t="str">
        <x:f>IF($P560="","",INDEX(Tasks!$N$10:$N$1941,$P560))</x:f>
        <x:v>Not started</x:v>
      </x:c>
      <x:c r="M560" s="87" t="n">
        <x:f>IF($P560="","",INDEX(Tasks!$J$10:$J$1941,$P560))</x:f>
        <x:v>46203</x:v>
      </x:c>
      <x:c r="N560" s="85" t="str">
        <x:f>IF($P560="","",HYPERLINK("#'"&amp;INDEX(Tasks!$T$10:$T$1941,$P560)&amp;"'!A"&amp;INDEX(Tasks!$U$10:$U$1941,$P560),"Open"))</x:f>
        <x:v>Open</x:v>
      </x:c>
      <x:c r="O560" s="14"/>
      <x:c r="P560" s="14" t="n">
        <x:f>IF(539&gt;$B$10,"",MATCH(539,Tasks!$S$10:$S$1941,0))</x:f>
        <x:v>903</x:v>
      </x:c>
    </x:row>
    <x:row r="561" ht="58" customHeight="1">
      <x:c r="B561" s="86" t="str">
        <x:f>IF($P561="","",INDEX(Tasks!$B$10:$B$1941,$P561))</x:f>
        <x:v>Cycle 2</x:v>
      </x:c>
      <x:c r="C561" s="86" t="str">
        <x:f>IF($P561="","",INDEX(Tasks!$C$10:$C$1941,$P561))</x:f>
        <x:v>Phase 2</x:v>
      </x:c>
      <x:c r="D561" s="86" t="str">
        <x:f>IF($P561="","",INDEX(Tasks!$D$10:$D$1941,$P561))</x:f>
        <x:v>Auto</x:v>
      </x:c>
      <x:c r="E561" s="86"/>
      <x:c r="F561" s="86" t="str">
        <x:f>IF($P561="","",INDEX(Tasks!$E$10:$E$1941,$P561))</x:f>
        <x:v>Research &amp; Analysis</x:v>
      </x:c>
      <x:c r="G561" s="86"/>
      <x:c r="H561" s="14" t="str">
        <x:f>IF($P561="","",INDEX(Tasks!$F$10:$F$1941,$P561)&amp;CHAR(10)&amp;INDEX(Tasks!$G$10:$G$1941,$P561))</x:f>
        <x:v>RA.AU.2.6
Complete Positive Testing</x:v>
      </x:c>
      <x:c r="I561" s="14"/>
      <x:c r="J561" s="14"/>
      <x:c r="K561" s="14"/>
      <x:c r="L561" s="86" t="str">
        <x:f>IF($P561="","",INDEX(Tasks!$N$10:$N$1941,$P561))</x:f>
        <x:v>Not started</x:v>
      </x:c>
      <x:c r="M561" s="87" t="n">
        <x:f>IF($P561="","",INDEX(Tasks!$J$10:$J$1941,$P561))</x:f>
        <x:v>46203</x:v>
      </x:c>
      <x:c r="N561" s="85" t="str">
        <x:f>IF($P561="","",HYPERLINK("#'"&amp;INDEX(Tasks!$T$10:$T$1941,$P561)&amp;"'!A"&amp;INDEX(Tasks!$U$10:$U$1941,$P561),"Open"))</x:f>
        <x:v>Open</x:v>
      </x:c>
      <x:c r="O561" s="14"/>
      <x:c r="P561" s="14" t="n">
        <x:f>IF(540&gt;$B$10,"",MATCH(540,Tasks!$S$10:$S$1941,0))</x:f>
        <x:v>904</x:v>
      </x:c>
    </x:row>
    <x:row r="562" ht="58" customHeight="1">
      <x:c r="B562" s="86" t="str">
        <x:f>IF($P562="","",INDEX(Tasks!$B$10:$B$1941,$P562))</x:f>
        <x:v>Cycle 2</x:v>
      </x:c>
      <x:c r="C562" s="86" t="str">
        <x:f>IF($P562="","",INDEX(Tasks!$C$10:$C$1941,$P562))</x:f>
        <x:v>Phase 2</x:v>
      </x:c>
      <x:c r="D562" s="86" t="str">
        <x:f>IF($P562="","",INDEX(Tasks!$D$10:$D$1941,$P562))</x:f>
        <x:v>Auto</x:v>
      </x:c>
      <x:c r="E562" s="86"/>
      <x:c r="F562" s="86" t="str">
        <x:f>IF($P562="","",INDEX(Tasks!$E$10:$E$1941,$P562))</x:f>
        <x:v>Research &amp; Analysis</x:v>
      </x:c>
      <x:c r="G562" s="86"/>
      <x:c r="H562" s="14" t="str">
        <x:f>IF($P562="","",INDEX(Tasks!$F$10:$F$1941,$P562)&amp;CHAR(10)&amp;INDEX(Tasks!$G$10:$G$1941,$P562))</x:f>
        <x:v>RA.AU.2.7
Complete Negative Testing</x:v>
      </x:c>
      <x:c r="I562" s="14"/>
      <x:c r="J562" s="14"/>
      <x:c r="K562" s="14"/>
      <x:c r="L562" s="86" t="str">
        <x:f>IF($P562="","",INDEX(Tasks!$N$10:$N$1941,$P562))</x:f>
        <x:v>Not started</x:v>
      </x:c>
      <x:c r="M562" s="87" t="n">
        <x:f>IF($P562="","",INDEX(Tasks!$J$10:$J$1941,$P562))</x:f>
        <x:v>46203</x:v>
      </x:c>
      <x:c r="N562" s="85" t="str">
        <x:f>IF($P562="","",HYPERLINK("#'"&amp;INDEX(Tasks!$T$10:$T$1941,$P562)&amp;"'!A"&amp;INDEX(Tasks!$U$10:$U$1941,$P562),"Open"))</x:f>
        <x:v>Open</x:v>
      </x:c>
      <x:c r="O562" s="14"/>
      <x:c r="P562" s="14" t="n">
        <x:f>IF(541&gt;$B$10,"",MATCH(541,Tasks!$S$10:$S$1941,0))</x:f>
        <x:v>905</x:v>
      </x:c>
    </x:row>
    <x:row r="563" ht="58" customHeight="1">
      <x:c r="B563" s="86" t="str">
        <x:f>IF($P563="","",INDEX(Tasks!$B$10:$B$1941,$P563))</x:f>
        <x:v>Cycle 2</x:v>
      </x:c>
      <x:c r="C563" s="86" t="str">
        <x:f>IF($P563="","",INDEX(Tasks!$C$10:$C$1941,$P563))</x:f>
        <x:v>Phase 2</x:v>
      </x:c>
      <x:c r="D563" s="86" t="str">
        <x:f>IF($P563="","",INDEX(Tasks!$D$10:$D$1941,$P563))</x:f>
        <x:v>Auto</x:v>
      </x:c>
      <x:c r="E563" s="86"/>
      <x:c r="F563" s="86" t="str">
        <x:f>IF($P563="","",INDEX(Tasks!$E$10:$E$1941,$P563))</x:f>
        <x:v>Research &amp; Analysis</x:v>
      </x:c>
      <x:c r="G563" s="86"/>
      <x:c r="H563" s="14" t="str">
        <x:f>IF($P563="","",INDEX(Tasks!$F$10:$F$1941,$P563)&amp;CHAR(10)&amp;INDEX(Tasks!$G$10:$G$1941,$P563))</x:f>
        <x:v>RA.AU.2.8
Request additional data (as needed)</x:v>
      </x:c>
      <x:c r="I563" s="14"/>
      <x:c r="J563" s="14"/>
      <x:c r="K563" s="14"/>
      <x:c r="L563" s="86" t="str">
        <x:f>IF($P563="","",INDEX(Tasks!$N$10:$N$1941,$P563))</x:f>
        <x:v>Not started</x:v>
      </x:c>
      <x:c r="M563" s="87" t="n">
        <x:f>IF($P563="","",INDEX(Tasks!$J$10:$J$1941,$P563))</x:f>
        <x:v>46203</x:v>
      </x:c>
      <x:c r="N563" s="85" t="str">
        <x:f>IF($P563="","",HYPERLINK("#'"&amp;INDEX(Tasks!$T$10:$T$1941,$P563)&amp;"'!A"&amp;INDEX(Tasks!$U$10:$U$1941,$P563),"Open"))</x:f>
        <x:v>Open</x:v>
      </x:c>
      <x:c r="O563" s="14"/>
      <x:c r="P563" s="14" t="n">
        <x:f>IF(542&gt;$B$10,"",MATCH(542,Tasks!$S$10:$S$1941,0))</x:f>
        <x:v>906</x:v>
      </x:c>
    </x:row>
    <x:row r="564" ht="58" customHeight="1">
      <x:c r="B564" s="86" t="str">
        <x:f>IF($P564="","",INDEX(Tasks!$B$10:$B$1941,$P564))</x:f>
        <x:v>Cycle 2</x:v>
      </x:c>
      <x:c r="C564" s="86" t="str">
        <x:f>IF($P564="","",INDEX(Tasks!$C$10:$C$1941,$P564))</x:f>
        <x:v>Phase 2</x:v>
      </x:c>
      <x:c r="D564" s="86" t="str">
        <x:f>IF($P564="","",INDEX(Tasks!$D$10:$D$1941,$P564))</x:f>
        <x:v>Auto</x:v>
      </x:c>
      <x:c r="E564" s="86"/>
      <x:c r="F564" s="86" t="str">
        <x:f>IF($P564="","",INDEX(Tasks!$E$10:$E$1941,$P564))</x:f>
        <x:v>Research &amp; Analysis</x:v>
      </x:c>
      <x:c r="G564" s="86"/>
      <x:c r="H564" s="14" t="str">
        <x:f>IF($P564="","",INDEX(Tasks!$F$10:$F$1941,$P564)&amp;CHAR(10)&amp;INDEX(Tasks!$G$10:$G$1941,$P564))</x:f>
        <x:v>RA.AU.2.9
Validate or disprove initial hypothesis assumptions</x:v>
      </x:c>
      <x:c r="I564" s="14"/>
      <x:c r="J564" s="14"/>
      <x:c r="K564" s="14"/>
      <x:c r="L564" s="86" t="str">
        <x:f>IF($P564="","",INDEX(Tasks!$N$10:$N$1941,$P564))</x:f>
        <x:v>Not started</x:v>
      </x:c>
      <x:c r="M564" s="87" t="n">
        <x:f>IF($P564="","",INDEX(Tasks!$J$10:$J$1941,$P564))</x:f>
        <x:v>46203</x:v>
      </x:c>
      <x:c r="N564" s="85" t="str">
        <x:f>IF($P564="","",HYPERLINK("#'"&amp;INDEX(Tasks!$T$10:$T$1941,$P564)&amp;"'!A"&amp;INDEX(Tasks!$U$10:$U$1941,$P564),"Open"))</x:f>
        <x:v>Open</x:v>
      </x:c>
      <x:c r="O564" s="14"/>
      <x:c r="P564" s="14" t="n">
        <x:f>IF(543&gt;$B$10,"",MATCH(543,Tasks!$S$10:$S$1941,0))</x:f>
        <x:v>907</x:v>
      </x:c>
    </x:row>
    <x:row r="565" ht="58" customHeight="1">
      <x:c r="B565" s="86" t="str">
        <x:f>IF($P565="","",INDEX(Tasks!$B$10:$B$1941,$P565))</x:f>
        <x:v>Cycle 2</x:v>
      </x:c>
      <x:c r="C565" s="86" t="str">
        <x:f>IF($P565="","",INDEX(Tasks!$C$10:$C$1941,$P565))</x:f>
        <x:v>Phase 2</x:v>
      </x:c>
      <x:c r="D565" s="86" t="str">
        <x:f>IF($P565="","",INDEX(Tasks!$D$10:$D$1941,$P565))</x:f>
        <x:v>Auto</x:v>
      </x:c>
      <x:c r="E565" s="86"/>
      <x:c r="F565" s="86" t="str">
        <x:f>IF($P565="","",INDEX(Tasks!$E$10:$E$1941,$P565))</x:f>
        <x:v>Research &amp; Analysis</x:v>
      </x:c>
      <x:c r="G565" s="86"/>
      <x:c r="H565" s="14" t="str">
        <x:f>IF($P565="","",INDEX(Tasks!$F$10:$F$1941,$P565)&amp;CHAR(10)&amp;INDEX(Tasks!$G$10:$G$1941,$P565))</x:f>
        <x:v>RA.AU.2.10
Identify and confirm root cause</x:v>
      </x:c>
      <x:c r="I565" s="14"/>
      <x:c r="J565" s="14"/>
      <x:c r="K565" s="14"/>
      <x:c r="L565" s="86" t="str">
        <x:f>IF($P565="","",INDEX(Tasks!$N$10:$N$1941,$P565))</x:f>
        <x:v>Not started</x:v>
      </x:c>
      <x:c r="M565" s="87" t="n">
        <x:f>IF($P565="","",INDEX(Tasks!$J$10:$J$1941,$P565))</x:f>
        <x:v>46203</x:v>
      </x:c>
      <x:c r="N565" s="85" t="str">
        <x:f>IF($P565="","",HYPERLINK("#'"&amp;INDEX(Tasks!$T$10:$T$1941,$P565)&amp;"'!A"&amp;INDEX(Tasks!$U$10:$U$1941,$P565),"Open"))</x:f>
        <x:v>Open</x:v>
      </x:c>
      <x:c r="O565" s="14"/>
      <x:c r="P565" s="14" t="n">
        <x:f>IF(544&gt;$B$10,"",MATCH(544,Tasks!$S$10:$S$1941,0))</x:f>
        <x:v>908</x:v>
      </x:c>
    </x:row>
    <x:row r="566" ht="58" customHeight="1">
      <x:c r="B566" s="86" t="str">
        <x:f>IF($P566="","",INDEX(Tasks!$B$10:$B$1941,$P566))</x:f>
        <x:v>Cycle 2</x:v>
      </x:c>
      <x:c r="C566" s="86" t="str">
        <x:f>IF($P566="","",INDEX(Tasks!$C$10:$C$1941,$P566))</x:f>
        <x:v>Phase 3</x:v>
      </x:c>
      <x:c r="D566" s="86" t="str">
        <x:f>IF($P566="","",INDEX(Tasks!$D$10:$D$1941,$P566))</x:f>
        <x:v>Auto</x:v>
      </x:c>
      <x:c r="E566" s="86"/>
      <x:c r="F566" s="86" t="str">
        <x:f>IF($P566="","",INDEX(Tasks!$E$10:$E$1941,$P566))</x:f>
        <x:v>Research &amp; Analysis</x:v>
      </x:c>
      <x:c r="G566" s="86"/>
      <x:c r="H566" s="14" t="str">
        <x:f>IF($P566="","",INDEX(Tasks!$F$10:$F$1941,$P566)&amp;CHAR(10)&amp;INDEX(Tasks!$G$10:$G$1941,$P566))</x:f>
        <x:v>RA.AU.3.1
Finalize results and supporting documentation</x:v>
      </x:c>
      <x:c r="I566" s="14"/>
      <x:c r="J566" s="14"/>
      <x:c r="K566" s="14"/>
      <x:c r="L566" s="86" t="str">
        <x:f>IF($P566="","",INDEX(Tasks!$N$10:$N$1941,$P566))</x:f>
        <x:v>Not started</x:v>
      </x:c>
      <x:c r="M566" s="87" t="n">
        <x:f>IF($P566="","",INDEX(Tasks!$J$10:$J$1941,$P566))</x:f>
        <x:v>46203</x:v>
      </x:c>
      <x:c r="N566" s="85" t="str">
        <x:f>IF($P566="","",HYPERLINK("#'"&amp;INDEX(Tasks!$T$10:$T$1941,$P566)&amp;"'!A"&amp;INDEX(Tasks!$U$10:$U$1941,$P566),"Open"))</x:f>
        <x:v>Open</x:v>
      </x:c>
      <x:c r="O566" s="14"/>
      <x:c r="P566" s="14" t="n">
        <x:f>IF(545&gt;$B$10,"",MATCH(545,Tasks!$S$10:$S$1941,0))</x:f>
        <x:v>909</x:v>
      </x:c>
    </x:row>
    <x:row r="567" ht="58" customHeight="1">
      <x:c r="B567" s="86" t="str">
        <x:f>IF($P567="","",INDEX(Tasks!$B$10:$B$1941,$P567))</x:f>
        <x:v>Cycle 2</x:v>
      </x:c>
      <x:c r="C567" s="86" t="str">
        <x:f>IF($P567="","",INDEX(Tasks!$C$10:$C$1941,$P567))</x:f>
        <x:v>Phase 3</x:v>
      </x:c>
      <x:c r="D567" s="86" t="str">
        <x:f>IF($P567="","",INDEX(Tasks!$D$10:$D$1941,$P567))</x:f>
        <x:v>Auto</x:v>
      </x:c>
      <x:c r="E567" s="86"/>
      <x:c r="F567" s="86" t="str">
        <x:f>IF($P567="","",INDEX(Tasks!$E$10:$E$1941,$P567))</x:f>
        <x:v>Research &amp; Analysis</x:v>
      </x:c>
      <x:c r="G567" s="86"/>
      <x:c r="H567" s="14" t="str">
        <x:f>IF($P567="","",INDEX(Tasks!$F$10:$F$1941,$P567)&amp;CHAR(10)&amp;INDEX(Tasks!$G$10:$G$1941,$P567))</x:f>
        <x:v>RA.AU.3.2
Maintain and update the evidence package prior to handoff to D&amp;I</x:v>
      </x:c>
      <x:c r="I567" s="14"/>
      <x:c r="J567" s="14"/>
      <x:c r="K567" s="14"/>
      <x:c r="L567" s="86" t="str">
        <x:f>IF($P567="","",INDEX(Tasks!$N$10:$N$1941,$P567))</x:f>
        <x:v>Not started</x:v>
      </x:c>
      <x:c r="M567" s="87" t="n">
        <x:f>IF($P567="","",INDEX(Tasks!$J$10:$J$1941,$P567))</x:f>
        <x:v>46203</x:v>
      </x:c>
      <x:c r="N567" s="85" t="str">
        <x:f>IF($P567="","",HYPERLINK("#'"&amp;INDEX(Tasks!$T$10:$T$1941,$P567)&amp;"'!A"&amp;INDEX(Tasks!$U$10:$U$1941,$P567),"Open"))</x:f>
        <x:v>Open</x:v>
      </x:c>
      <x:c r="O567" s="14"/>
      <x:c r="P567" s="14" t="n">
        <x:f>IF(546&gt;$B$10,"",MATCH(546,Tasks!$S$10:$S$1941,0))</x:f>
        <x:v>910</x:v>
      </x:c>
    </x:row>
    <x:row r="568" ht="58" customHeight="1">
      <x:c r="B568" s="86" t="str">
        <x:f>IF($P568="","",INDEX(Tasks!$B$10:$B$1941,$P568))</x:f>
        <x:v>Cycle 2</x:v>
      </x:c>
      <x:c r="C568" s="86" t="str">
        <x:f>IF($P568="","",INDEX(Tasks!$C$10:$C$1941,$P568))</x:f>
        <x:v>Phase 3</x:v>
      </x:c>
      <x:c r="D568" s="86" t="str">
        <x:f>IF($P568="","",INDEX(Tasks!$D$10:$D$1941,$P568))</x:f>
        <x:v>Auto</x:v>
      </x:c>
      <x:c r="E568" s="86"/>
      <x:c r="F568" s="86" t="str">
        <x:f>IF($P568="","",INDEX(Tasks!$E$10:$E$1941,$P568))</x:f>
        <x:v>Research &amp; Analysis</x:v>
      </x:c>
      <x:c r="G568" s="86"/>
      <x:c r="H568" s="14" t="str">
        <x:f>IF($P568="","",INDEX(Tasks!$F$10:$F$1941,$P568)&amp;CHAR(10)&amp;INDEX(Tasks!$G$10:$G$1941,$P568))</x:f>
        <x:v>RA.AU.3.3
Address any outstanding questions or requests from D&amp;I</x:v>
      </x:c>
      <x:c r="I568" s="14"/>
      <x:c r="J568" s="14"/>
      <x:c r="K568" s="14"/>
      <x:c r="L568" s="86" t="str">
        <x:f>IF($P568="","",INDEX(Tasks!$N$10:$N$1941,$P568))</x:f>
        <x:v>Not started</x:v>
      </x:c>
      <x:c r="M568" s="87" t="n">
        <x:f>IF($P568="","",INDEX(Tasks!$J$10:$J$1941,$P568))</x:f>
        <x:v>46203</x:v>
      </x:c>
      <x:c r="N568" s="85" t="str">
        <x:f>IF($P568="","",HYPERLINK("#'"&amp;INDEX(Tasks!$T$10:$T$1941,$P568)&amp;"'!A"&amp;INDEX(Tasks!$U$10:$U$1941,$P568),"Open"))</x:f>
        <x:v>Open</x:v>
      </x:c>
      <x:c r="O568" s="14"/>
      <x:c r="P568" s="14" t="n">
        <x:f>IF(547&gt;$B$10,"",MATCH(547,Tasks!$S$10:$S$1941,0))</x:f>
        <x:v>911</x:v>
      </x:c>
    </x:row>
    <x:row r="569" ht="58" customHeight="1">
      <x:c r="B569" s="86" t="str">
        <x:f>IF($P569="","",INDEX(Tasks!$B$10:$B$1941,$P569))</x:f>
        <x:v>Cycle 2</x:v>
      </x:c>
      <x:c r="C569" s="86" t="str">
        <x:f>IF($P569="","",INDEX(Tasks!$C$10:$C$1941,$P569))</x:f>
        <x:v>Phase 3</x:v>
      </x:c>
      <x:c r="D569" s="86" t="str">
        <x:f>IF($P569="","",INDEX(Tasks!$D$10:$D$1941,$P569))</x:f>
        <x:v>Auto</x:v>
      </x:c>
      <x:c r="E569" s="86"/>
      <x:c r="F569" s="86" t="str">
        <x:f>IF($P569="","",INDEX(Tasks!$E$10:$E$1941,$P569))</x:f>
        <x:v>Research &amp; Analysis</x:v>
      </x:c>
      <x:c r="G569" s="86"/>
      <x:c r="H569" s="14" t="str">
        <x:f>IF($P569="","",INDEX(Tasks!$F$10:$F$1941,$P569)&amp;CHAR(10)&amp;INDEX(Tasks!$G$10:$G$1941,$P569))</x:f>
        <x:v>RA.AU.3.4
Attend Forum meeting with D&amp;I to assist with answering stakeholder questions (as needed)</x:v>
      </x:c>
      <x:c r="I569" s="14"/>
      <x:c r="J569" s="14"/>
      <x:c r="K569" s="14"/>
      <x:c r="L569" s="86" t="str">
        <x:f>IF($P569="","",INDEX(Tasks!$N$10:$N$1941,$P569))</x:f>
        <x:v>Not started</x:v>
      </x:c>
      <x:c r="M569" s="87" t="str">
        <x:f>IF($P569="","",INDEX(Tasks!$J$10:$J$1941,$P569))</x:f>
      </x:c>
      <x:c r="N569" s="85" t="str">
        <x:f>IF($P569="","",HYPERLINK("#'"&amp;INDEX(Tasks!$T$10:$T$1941,$P569)&amp;"'!A"&amp;INDEX(Tasks!$U$10:$U$1941,$P569),"Open"))</x:f>
        <x:v>Open</x:v>
      </x:c>
      <x:c r="O569" s="14"/>
      <x:c r="P569" s="14" t="n">
        <x:f>IF(548&gt;$B$10,"",MATCH(548,Tasks!$S$10:$S$1941,0))</x:f>
        <x:v>912</x:v>
      </x:c>
    </x:row>
    <x:row r="570" ht="58" customHeight="1">
      <x:c r="B570" s="86" t="str">
        <x:f>IF($P570="","",INDEX(Tasks!$B$10:$B$1941,$P570))</x:f>
        <x:v>Cycle 2</x:v>
      </x:c>
      <x:c r="C570" s="86" t="str">
        <x:f>IF($P570="","",INDEX(Tasks!$C$10:$C$1941,$P570))</x:f>
        <x:v>Phase 1</x:v>
      </x:c>
      <x:c r="D570" s="86" t="str">
        <x:f>IF($P570="","",INDEX(Tasks!$D$10:$D$1941,$P570))</x:f>
        <x:v>Cards</x:v>
      </x:c>
      <x:c r="E570" s="86"/>
      <x:c r="F570" s="86" t="str">
        <x:f>IF($P570="","",INDEX(Tasks!$E$10:$E$1941,$P570))</x:f>
        <x:v>Research &amp; Analysis</x:v>
      </x:c>
      <x:c r="G570" s="86"/>
      <x:c r="H570" s="14" t="str">
        <x:f>IF($P570="","",INDEX(Tasks!$F$10:$F$1941,$P570)&amp;CHAR(10)&amp;INDEX(Tasks!$G$10:$G$1941,$P570))</x:f>
        <x:v>RA.CA.1.1
Begin Research process 2 weeks prior to Cycle start</x:v>
      </x:c>
      <x:c r="I570" s="14"/>
      <x:c r="J570" s="14"/>
      <x:c r="K570" s="14"/>
      <x:c r="L570" s="86" t="str">
        <x:f>IF($P570="","",INDEX(Tasks!$N$10:$N$1941,$P570))</x:f>
        <x:v>Not started</x:v>
      </x:c>
      <x:c r="M570" s="87" t="n">
        <x:f>IF($P570="","",INDEX(Tasks!$J$10:$J$1941,$P570))</x:f>
        <x:v>46099</x:v>
      </x:c>
      <x:c r="N570" s="85" t="str">
        <x:f>IF($P570="","",HYPERLINK("#'"&amp;INDEX(Tasks!$T$10:$T$1941,$P570)&amp;"'!A"&amp;INDEX(Tasks!$U$10:$U$1941,$P570),"Open"))</x:f>
        <x:v>Open</x:v>
      </x:c>
      <x:c r="O570" s="14"/>
      <x:c r="P570" s="14" t="n">
        <x:f>IF(549&gt;$B$10,"",MATCH(549,Tasks!$S$10:$S$1941,0))</x:f>
        <x:v>913</x:v>
      </x:c>
    </x:row>
    <x:row r="571" ht="58" customHeight="1">
      <x:c r="B571" s="86" t="str">
        <x:f>IF($P571="","",INDEX(Tasks!$B$10:$B$1941,$P571))</x:f>
        <x:v>Cycle 2</x:v>
      </x:c>
      <x:c r="C571" s="86" t="str">
        <x:f>IF($P571="","",INDEX(Tasks!$C$10:$C$1941,$P571))</x:f>
        <x:v>Phase 1</x:v>
      </x:c>
      <x:c r="D571" s="86" t="str">
        <x:f>IF($P571="","",INDEX(Tasks!$D$10:$D$1941,$P571))</x:f>
        <x:v>Cards</x:v>
      </x:c>
      <x:c r="E571" s="86"/>
      <x:c r="F571" s="86" t="str">
        <x:f>IF($P571="","",INDEX(Tasks!$E$10:$E$1941,$P571))</x:f>
        <x:v>Research &amp; Analysis</x:v>
      </x:c>
      <x:c r="G571" s="86"/>
      <x:c r="H571" s="14" t="str">
        <x:f>IF($P571="","",INDEX(Tasks!$F$10:$F$1941,$P571)&amp;CHAR(10)&amp;INDEX(Tasks!$G$10:$G$1941,$P571))</x:f>
        <x:v>RA.CA.1.2
Conduct initial assessment of each topic recommendation from SharePoint list</x:v>
      </x:c>
      <x:c r="I571" s="14"/>
      <x:c r="J571" s="14"/>
      <x:c r="K571" s="14"/>
      <x:c r="L571" s="86" t="str">
        <x:f>IF($P571="","",INDEX(Tasks!$N$10:$N$1941,$P571))</x:f>
        <x:v>Not started</x:v>
      </x:c>
      <x:c r="M571" s="87" t="n">
        <x:f>IF($P571="","",INDEX(Tasks!$J$10:$J$1941,$P571))</x:f>
        <x:v>46203</x:v>
      </x:c>
      <x:c r="N571" s="85" t="str">
        <x:f>IF($P571="","",HYPERLINK("#'"&amp;INDEX(Tasks!$T$10:$T$1941,$P571)&amp;"'!A"&amp;INDEX(Tasks!$U$10:$U$1941,$P571),"Open"))</x:f>
        <x:v>Open</x:v>
      </x:c>
      <x:c r="O571" s="14"/>
      <x:c r="P571" s="14" t="n">
        <x:f>IF(550&gt;$B$10,"",MATCH(550,Tasks!$S$10:$S$1941,0))</x:f>
        <x:v>914</x:v>
      </x:c>
    </x:row>
    <x:row r="572" ht="58" customHeight="1">
      <x:c r="B572" s="86" t="str">
        <x:f>IF($P572="","",INDEX(Tasks!$B$10:$B$1941,$P572))</x:f>
        <x:v>Cycle 2</x:v>
      </x:c>
      <x:c r="C572" s="86" t="str">
        <x:f>IF($P572="","",INDEX(Tasks!$C$10:$C$1941,$P572))</x:f>
        <x:v>Phase 1</x:v>
      </x:c>
      <x:c r="D572" s="86" t="str">
        <x:f>IF($P572="","",INDEX(Tasks!$D$10:$D$1941,$P572))</x:f>
        <x:v>Cards</x:v>
      </x:c>
      <x:c r="E572" s="86"/>
      <x:c r="F572" s="86" t="str">
        <x:f>IF($P572="","",INDEX(Tasks!$E$10:$E$1941,$P572))</x:f>
        <x:v>Research &amp; Analysis</x:v>
      </x:c>
      <x:c r="G572" s="86"/>
      <x:c r="H572" s="14" t="str">
        <x:f>IF($P572="","",INDEX(Tasks!$F$10:$F$1941,$P572)&amp;CHAR(10)&amp;INDEX(Tasks!$G$10:$G$1941,$P572))</x:f>
        <x:v>RA.CA.1.3
Identify best topic for Cycle</x:v>
      </x:c>
      <x:c r="I572" s="14"/>
      <x:c r="J572" s="14"/>
      <x:c r="K572" s="14"/>
      <x:c r="L572" s="86" t="str">
        <x:f>IF($P572="","",INDEX(Tasks!$N$10:$N$1941,$P572))</x:f>
        <x:v>Not started</x:v>
      </x:c>
      <x:c r="M572" s="87" t="n">
        <x:f>IF($P572="","",INDEX(Tasks!$J$10:$J$1941,$P572))</x:f>
        <x:v>46203</x:v>
      </x:c>
      <x:c r="N572" s="85" t="str">
        <x:f>IF($P572="","",HYPERLINK("#'"&amp;INDEX(Tasks!$T$10:$T$1941,$P572)&amp;"'!A"&amp;INDEX(Tasks!$U$10:$U$1941,$P572),"Open"))</x:f>
        <x:v>Open</x:v>
      </x:c>
      <x:c r="O572" s="14"/>
      <x:c r="P572" s="14" t="n">
        <x:f>IF(551&gt;$B$10,"",MATCH(551,Tasks!$S$10:$S$1941,0))</x:f>
        <x:v>915</x:v>
      </x:c>
    </x:row>
    <x:row r="573" ht="58" customHeight="1">
      <x:c r="B573" s="86" t="str">
        <x:f>IF($P573="","",INDEX(Tasks!$B$10:$B$1941,$P573))</x:f>
        <x:v>Cycle 2</x:v>
      </x:c>
      <x:c r="C573" s="86" t="str">
        <x:f>IF($P573="","",INDEX(Tasks!$C$10:$C$1941,$P573))</x:f>
        <x:v>Phase 1</x:v>
      </x:c>
      <x:c r="D573" s="86" t="str">
        <x:f>IF($P573="","",INDEX(Tasks!$D$10:$D$1941,$P573))</x:f>
        <x:v>Cards</x:v>
      </x:c>
      <x:c r="E573" s="86"/>
      <x:c r="F573" s="86" t="str">
        <x:f>IF($P573="","",INDEX(Tasks!$E$10:$E$1941,$P573))</x:f>
        <x:v>Research &amp; Analysis</x:v>
      </x:c>
      <x:c r="G573" s="86"/>
      <x:c r="H573" s="14" t="str">
        <x:f>IF($P573="","",INDEX(Tasks!$F$10:$F$1941,$P573)&amp;CHAR(10)&amp;INDEX(Tasks!$G$10:$G$1941,$P573))</x:f>
        <x:v>RA.CA.1.4
Identify backup topic for Cycle</x:v>
      </x:c>
      <x:c r="I573" s="14"/>
      <x:c r="J573" s="14"/>
      <x:c r="K573" s="14"/>
      <x:c r="L573" s="86" t="str">
        <x:f>IF($P573="","",INDEX(Tasks!$N$10:$N$1941,$P573))</x:f>
        <x:v>Not started</x:v>
      </x:c>
      <x:c r="M573" s="87" t="n">
        <x:f>IF($P573="","",INDEX(Tasks!$J$10:$J$1941,$P573))</x:f>
        <x:v>46203</x:v>
      </x:c>
      <x:c r="N573" s="85" t="str">
        <x:f>IF($P573="","",HYPERLINK("#'"&amp;INDEX(Tasks!$T$10:$T$1941,$P573)&amp;"'!A"&amp;INDEX(Tasks!$U$10:$U$1941,$P573),"Open"))</x:f>
        <x:v>Open</x:v>
      </x:c>
      <x:c r="O573" s="14"/>
      <x:c r="P573" s="14" t="n">
        <x:f>IF(552&gt;$B$10,"",MATCH(552,Tasks!$S$10:$S$1941,0))</x:f>
        <x:v>916</x:v>
      </x:c>
    </x:row>
    <x:row r="574" ht="58" customHeight="1">
      <x:c r="B574" s="86" t="str">
        <x:f>IF($P574="","",INDEX(Tasks!$B$10:$B$1941,$P574))</x:f>
        <x:v>Cycle 2</x:v>
      </x:c>
      <x:c r="C574" s="86" t="str">
        <x:f>IF($P574="","",INDEX(Tasks!$C$10:$C$1941,$P574))</x:f>
        <x:v>Phase 1</x:v>
      </x:c>
      <x:c r="D574" s="86" t="str">
        <x:f>IF($P574="","",INDEX(Tasks!$D$10:$D$1941,$P574))</x:f>
        <x:v>Cards</x:v>
      </x:c>
      <x:c r="E574" s="86"/>
      <x:c r="F574" s="86" t="str">
        <x:f>IF($P574="","",INDEX(Tasks!$E$10:$E$1941,$P574))</x:f>
        <x:v>Research &amp; Analysis</x:v>
      </x:c>
      <x:c r="G574" s="86"/>
      <x:c r="H574" s="14" t="str">
        <x:f>IF($P574="","",INDEX(Tasks!$F$10:$F$1941,$P574)&amp;CHAR(10)&amp;INDEX(Tasks!$G$10:$G$1941,$P574))</x:f>
        <x:v>RA.CA.1.5
Schedule topic approval meeting with D&amp;I and management</x:v>
      </x:c>
      <x:c r="I574" s="14"/>
      <x:c r="J574" s="14"/>
      <x:c r="K574" s="14"/>
      <x:c r="L574" s="86" t="str">
        <x:f>IF($P574="","",INDEX(Tasks!$N$10:$N$1941,$P574))</x:f>
        <x:v>Not started</x:v>
      </x:c>
      <x:c r="M574" s="87" t="n">
        <x:f>IF($P574="","",INDEX(Tasks!$J$10:$J$1941,$P574))</x:f>
        <x:v>46203</x:v>
      </x:c>
      <x:c r="N574" s="85" t="str">
        <x:f>IF($P574="","",HYPERLINK("#'"&amp;INDEX(Tasks!$T$10:$T$1941,$P574)&amp;"'!A"&amp;INDEX(Tasks!$U$10:$U$1941,$P574),"Open"))</x:f>
        <x:v>Open</x:v>
      </x:c>
      <x:c r="O574" s="14"/>
      <x:c r="P574" s="14" t="n">
        <x:f>IF(553&gt;$B$10,"",MATCH(553,Tasks!$S$10:$S$1941,0))</x:f>
        <x:v>917</x:v>
      </x:c>
    </x:row>
    <x:row r="575" ht="58" customHeight="1">
      <x:c r="B575" s="86" t="str">
        <x:f>IF($P575="","",INDEX(Tasks!$B$10:$B$1941,$P575))</x:f>
        <x:v>Cycle 2</x:v>
      </x:c>
      <x:c r="C575" s="86" t="str">
        <x:f>IF($P575="","",INDEX(Tasks!$C$10:$C$1941,$P575))</x:f>
        <x:v>Phase 1</x:v>
      </x:c>
      <x:c r="D575" s="86" t="str">
        <x:f>IF($P575="","",INDEX(Tasks!$D$10:$D$1941,$P575))</x:f>
        <x:v>Cards</x:v>
      </x:c>
      <x:c r="E575" s="86"/>
      <x:c r="F575" s="86" t="str">
        <x:f>IF($P575="","",INDEX(Tasks!$E$10:$E$1941,$P575))</x:f>
        <x:v>Research &amp; Analysis</x:v>
      </x:c>
      <x:c r="G575" s="86"/>
      <x:c r="H575" s="14" t="str">
        <x:f>IF($P575="","",INDEX(Tasks!$F$10:$F$1941,$P575)&amp;CHAR(10)&amp;INDEX(Tasks!$G$10:$G$1941,$P575))</x:f>
        <x:v>RA.CA.1.6
Present recommended topic to D&amp;I and management for approval</x:v>
      </x:c>
      <x:c r="I575" s="14"/>
      <x:c r="J575" s="14"/>
      <x:c r="K575" s="14"/>
      <x:c r="L575" s="86" t="str">
        <x:f>IF($P575="","",INDEX(Tasks!$N$10:$N$1941,$P575))</x:f>
        <x:v>Not started</x:v>
      </x:c>
      <x:c r="M575" s="87" t="n">
        <x:f>IF($P575="","",INDEX(Tasks!$J$10:$J$1941,$P575))</x:f>
        <x:v>46203</x:v>
      </x:c>
      <x:c r="N575" s="85" t="str">
        <x:f>IF($P575="","",HYPERLINK("#'"&amp;INDEX(Tasks!$T$10:$T$1941,$P575)&amp;"'!A"&amp;INDEX(Tasks!$U$10:$U$1941,$P575),"Open"))</x:f>
        <x:v>Open</x:v>
      </x:c>
      <x:c r="O575" s="14"/>
      <x:c r="P575" s="14" t="n">
        <x:f>IF(554&gt;$B$10,"",MATCH(554,Tasks!$S$10:$S$1941,0))</x:f>
        <x:v>918</x:v>
      </x:c>
    </x:row>
    <x:row r="576" ht="58" customHeight="1">
      <x:c r="B576" s="86" t="str">
        <x:f>IF($P576="","",INDEX(Tasks!$B$10:$B$1941,$P576))</x:f>
        <x:v>Cycle 2</x:v>
      </x:c>
      <x:c r="C576" s="86" t="str">
        <x:f>IF($P576="","",INDEX(Tasks!$C$10:$C$1941,$P576))</x:f>
        <x:v>Phase 1</x:v>
      </x:c>
      <x:c r="D576" s="86" t="str">
        <x:f>IF($P576="","",INDEX(Tasks!$D$10:$D$1941,$P576))</x:f>
        <x:v>Cards</x:v>
      </x:c>
      <x:c r="E576" s="86"/>
      <x:c r="F576" s="86" t="str">
        <x:f>IF($P576="","",INDEX(Tasks!$E$10:$E$1941,$P576))</x:f>
        <x:v>Research &amp; Analysis</x:v>
      </x:c>
      <x:c r="G576" s="86"/>
      <x:c r="H576" s="14" t="str">
        <x:f>IF($P576="","",INDEX(Tasks!$F$10:$F$1941,$P576)&amp;CHAR(10)&amp;INDEX(Tasks!$G$10:$G$1941,$P576))</x:f>
        <x:v>RA.CA.1.7
Obtain formal topic selection approval from management via SharePoint</x:v>
      </x:c>
      <x:c r="I576" s="14"/>
      <x:c r="J576" s="14"/>
      <x:c r="K576" s="14"/>
      <x:c r="L576" s="86" t="str">
        <x:f>IF($P576="","",INDEX(Tasks!$N$10:$N$1941,$P576))</x:f>
        <x:v>Not started</x:v>
      </x:c>
      <x:c r="M576" s="87" t="n">
        <x:f>IF($P576="","",INDEX(Tasks!$J$10:$J$1941,$P576))</x:f>
        <x:v>46203</x:v>
      </x:c>
      <x:c r="N576" s="85" t="str">
        <x:f>IF($P576="","",HYPERLINK("#'"&amp;INDEX(Tasks!$T$10:$T$1941,$P576)&amp;"'!A"&amp;INDEX(Tasks!$U$10:$U$1941,$P576),"Open"))</x:f>
        <x:v>Open</x:v>
      </x:c>
      <x:c r="O576" s="14"/>
      <x:c r="P576" s="14" t="n">
        <x:f>IF(555&gt;$B$10,"",MATCH(555,Tasks!$S$10:$S$1941,0))</x:f>
        <x:v>919</x:v>
      </x:c>
    </x:row>
    <x:row r="577" ht="58" customHeight="1">
      <x:c r="B577" s="86" t="str">
        <x:f>IF($P577="","",INDEX(Tasks!$B$10:$B$1941,$P577))</x:f>
        <x:v>Cycle 2</x:v>
      </x:c>
      <x:c r="C577" s="86" t="str">
        <x:f>IF($P577="","",INDEX(Tasks!$C$10:$C$1941,$P577))</x:f>
        <x:v>Phase 1</x:v>
      </x:c>
      <x:c r="D577" s="86" t="str">
        <x:f>IF($P577="","",INDEX(Tasks!$D$10:$D$1941,$P577))</x:f>
        <x:v>Cards</x:v>
      </x:c>
      <x:c r="E577" s="86"/>
      <x:c r="F577" s="86" t="str">
        <x:f>IF($P577="","",INDEX(Tasks!$E$10:$E$1941,$P577))</x:f>
        <x:v>Research &amp; Analysis</x:v>
      </x:c>
      <x:c r="G577" s="86"/>
      <x:c r="H577" s="14" t="str">
        <x:f>IF($P577="","",INDEX(Tasks!$F$10:$F$1941,$P577)&amp;CHAR(10)&amp;INDEX(Tasks!$G$10:$G$1941,$P577))</x:f>
        <x:v>RA.CA.1.8
Socialize topic selection with product owners and subject matter experts (if known)</x:v>
      </x:c>
      <x:c r="I577" s="14"/>
      <x:c r="J577" s="14"/>
      <x:c r="K577" s="14"/>
      <x:c r="L577" s="86" t="str">
        <x:f>IF($P577="","",INDEX(Tasks!$N$10:$N$1941,$P577))</x:f>
        <x:v>Not started</x:v>
      </x:c>
      <x:c r="M577" s="87" t="n">
        <x:f>IF($P577="","",INDEX(Tasks!$J$10:$J$1941,$P577))</x:f>
        <x:v>46203</x:v>
      </x:c>
      <x:c r="N577" s="85" t="str">
        <x:f>IF($P577="","",HYPERLINK("#'"&amp;INDEX(Tasks!$T$10:$T$1941,$P577)&amp;"'!A"&amp;INDEX(Tasks!$U$10:$U$1941,$P577),"Open"))</x:f>
        <x:v>Open</x:v>
      </x:c>
      <x:c r="O577" s="14"/>
      <x:c r="P577" s="14" t="n">
        <x:f>IF(556&gt;$B$10,"",MATCH(556,Tasks!$S$10:$S$1941,0))</x:f>
        <x:v>920</x:v>
      </x:c>
    </x:row>
    <x:row r="578" ht="58" customHeight="1">
      <x:c r="B578" s="86" t="str">
        <x:f>IF($P578="","",INDEX(Tasks!$B$10:$B$1941,$P578))</x:f>
        <x:v>Cycle 2</x:v>
      </x:c>
      <x:c r="C578" s="86" t="str">
        <x:f>IF($P578="","",INDEX(Tasks!$C$10:$C$1941,$P578))</x:f>
        <x:v>Phase 1</x:v>
      </x:c>
      <x:c r="D578" s="86" t="str">
        <x:f>IF($P578="","",INDEX(Tasks!$D$10:$D$1941,$P578))</x:f>
        <x:v>Cards</x:v>
      </x:c>
      <x:c r="E578" s="86"/>
      <x:c r="F578" s="86" t="str">
        <x:f>IF($P578="","",INDEX(Tasks!$E$10:$E$1941,$P578))</x:f>
        <x:v>Research &amp; Analysis</x:v>
      </x:c>
      <x:c r="G578" s="86"/>
      <x:c r="H578" s="14" t="str">
        <x:f>IF($P578="","",INDEX(Tasks!$F$10:$F$1941,$P578)&amp;CHAR(10)&amp;INDEX(Tasks!$G$10:$G$1941,$P578))</x:f>
        <x:v>RA.CA.1.9
Assign topic researchers</x:v>
      </x:c>
      <x:c r="I578" s="14"/>
      <x:c r="J578" s="14"/>
      <x:c r="K578" s="14"/>
      <x:c r="L578" s="86" t="str">
        <x:f>IF($P578="","",INDEX(Tasks!$N$10:$N$1941,$P578))</x:f>
        <x:v>Not started</x:v>
      </x:c>
      <x:c r="M578" s="87" t="n">
        <x:f>IF($P578="","",INDEX(Tasks!$J$10:$J$1941,$P578))</x:f>
        <x:v>46203</x:v>
      </x:c>
      <x:c r="N578" s="85" t="str">
        <x:f>IF($P578="","",HYPERLINK("#'"&amp;INDEX(Tasks!$T$10:$T$1941,$P578)&amp;"'!A"&amp;INDEX(Tasks!$U$10:$U$1941,$P578),"Open"))</x:f>
        <x:v>Open</x:v>
      </x:c>
      <x:c r="O578" s="14"/>
      <x:c r="P578" s="14" t="n">
        <x:f>IF(557&gt;$B$10,"",MATCH(557,Tasks!$S$10:$S$1941,0))</x:f>
        <x:v>921</x:v>
      </x:c>
    </x:row>
    <x:row r="579" ht="58" customHeight="1">
      <x:c r="B579" s="86" t="str">
        <x:f>IF($P579="","",INDEX(Tasks!$B$10:$B$1941,$P579))</x:f>
        <x:v>Cycle 2</x:v>
      </x:c>
      <x:c r="C579" s="86" t="str">
        <x:f>IF($P579="","",INDEX(Tasks!$C$10:$C$1941,$P579))</x:f>
        <x:v>Phase 2</x:v>
      </x:c>
      <x:c r="D579" s="86" t="str">
        <x:f>IF($P579="","",INDEX(Tasks!$D$10:$D$1941,$P579))</x:f>
        <x:v>Cards</x:v>
      </x:c>
      <x:c r="E579" s="86"/>
      <x:c r="F579" s="86" t="str">
        <x:f>IF($P579="","",INDEX(Tasks!$E$10:$E$1941,$P579))</x:f>
        <x:v>Research &amp; Analysis</x:v>
      </x:c>
      <x:c r="G579" s="86"/>
      <x:c r="H579" s="14" t="str">
        <x:f>IF($P579="","",INDEX(Tasks!$F$10:$F$1941,$P579)&amp;CHAR(10)&amp;INDEX(Tasks!$G$10:$G$1941,$P579))</x:f>
        <x:v>RA.CA.2.1
Review data sources</x:v>
      </x:c>
      <x:c r="I579" s="14"/>
      <x:c r="J579" s="14"/>
      <x:c r="K579" s="14"/>
      <x:c r="L579" s="86" t="str">
        <x:f>IF($P579="","",INDEX(Tasks!$N$10:$N$1941,$P579))</x:f>
        <x:v>Not started</x:v>
      </x:c>
      <x:c r="M579" s="87" t="n">
        <x:f>IF($P579="","",INDEX(Tasks!$J$10:$J$1941,$P579))</x:f>
        <x:v>46203</x:v>
      </x:c>
      <x:c r="N579" s="85" t="str">
        <x:f>IF($P579="","",HYPERLINK("#'"&amp;INDEX(Tasks!$T$10:$T$1941,$P579)&amp;"'!A"&amp;INDEX(Tasks!$U$10:$U$1941,$P579),"Open"))</x:f>
        <x:v>Open</x:v>
      </x:c>
      <x:c r="O579" s="14"/>
      <x:c r="P579" s="14" t="n">
        <x:f>IF(558&gt;$B$10,"",MATCH(558,Tasks!$S$10:$S$1941,0))</x:f>
        <x:v>922</x:v>
      </x:c>
    </x:row>
    <x:row r="580" ht="58" customHeight="1">
      <x:c r="B580" s="86" t="str">
        <x:f>IF($P580="","",INDEX(Tasks!$B$10:$B$1941,$P580))</x:f>
        <x:v>Cycle 2</x:v>
      </x:c>
      <x:c r="C580" s="86" t="str">
        <x:f>IF($P580="","",INDEX(Tasks!$C$10:$C$1941,$P580))</x:f>
        <x:v>Phase 2</x:v>
      </x:c>
      <x:c r="D580" s="86" t="str">
        <x:f>IF($P580="","",INDEX(Tasks!$D$10:$D$1941,$P580))</x:f>
        <x:v>Cards</x:v>
      </x:c>
      <x:c r="E580" s="86"/>
      <x:c r="F580" s="86" t="str">
        <x:f>IF($P580="","",INDEX(Tasks!$E$10:$E$1941,$P580))</x:f>
        <x:v>Research &amp; Analysis</x:v>
      </x:c>
      <x:c r="G580" s="86"/>
      <x:c r="H580" s="14" t="str">
        <x:f>IF($P580="","",INDEX(Tasks!$F$10:$F$1941,$P580)&amp;CHAR(10)&amp;INDEX(Tasks!$G$10:$G$1941,$P580))</x:f>
        <x:v>RA.CA.2.2
Review relevant policies and procedures</x:v>
      </x:c>
      <x:c r="I580" s="14"/>
      <x:c r="J580" s="14"/>
      <x:c r="K580" s="14"/>
      <x:c r="L580" s="86" t="str">
        <x:f>IF($P580="","",INDEX(Tasks!$N$10:$N$1941,$P580))</x:f>
        <x:v>Not started</x:v>
      </x:c>
      <x:c r="M580" s="87" t="n">
        <x:f>IF($P580="","",INDEX(Tasks!$J$10:$J$1941,$P580))</x:f>
        <x:v>46203</x:v>
      </x:c>
      <x:c r="N580" s="85" t="str">
        <x:f>IF($P580="","",HYPERLINK("#'"&amp;INDEX(Tasks!$T$10:$T$1941,$P580)&amp;"'!A"&amp;INDEX(Tasks!$U$10:$U$1941,$P580),"Open"))</x:f>
        <x:v>Open</x:v>
      </x:c>
      <x:c r="O580" s="14"/>
      <x:c r="P580" s="14" t="n">
        <x:f>IF(559&gt;$B$10,"",MATCH(559,Tasks!$S$10:$S$1941,0))</x:f>
        <x:v>923</x:v>
      </x:c>
    </x:row>
    <x:row r="581" ht="58" customHeight="1">
      <x:c r="B581" s="86" t="str">
        <x:f>IF($P581="","",INDEX(Tasks!$B$10:$B$1941,$P581))</x:f>
        <x:v>Cycle 2</x:v>
      </x:c>
      <x:c r="C581" s="86" t="str">
        <x:f>IF($P581="","",INDEX(Tasks!$C$10:$C$1941,$P581))</x:f>
        <x:v>Phase 2</x:v>
      </x:c>
      <x:c r="D581" s="86" t="str">
        <x:f>IF($P581="","",INDEX(Tasks!$D$10:$D$1941,$P581))</x:f>
        <x:v>Cards</x:v>
      </x:c>
      <x:c r="E581" s="86"/>
      <x:c r="F581" s="86" t="str">
        <x:f>IF($P581="","",INDEX(Tasks!$E$10:$E$1941,$P581))</x:f>
        <x:v>Research &amp; Analysis</x:v>
      </x:c>
      <x:c r="G581" s="86"/>
      <x:c r="H581" s="14" t="str">
        <x:f>IF($P581="","",INDEX(Tasks!$F$10:$F$1941,$P581)&amp;CHAR(10)&amp;INDEX(Tasks!$G$10:$G$1941,$P581))</x:f>
        <x:v>RA.CA.2.3
Meet with SMEs to gain business insight and clarify questions</x:v>
      </x:c>
      <x:c r="I581" s="14"/>
      <x:c r="J581" s="14"/>
      <x:c r="K581" s="14"/>
      <x:c r="L581" s="86" t="str">
        <x:f>IF($P581="","",INDEX(Tasks!$N$10:$N$1941,$P581))</x:f>
        <x:v>Not started</x:v>
      </x:c>
      <x:c r="M581" s="87" t="n">
        <x:f>IF($P581="","",INDEX(Tasks!$J$10:$J$1941,$P581))</x:f>
        <x:v>46203</x:v>
      </x:c>
      <x:c r="N581" s="85" t="str">
        <x:f>IF($P581="","",HYPERLINK("#'"&amp;INDEX(Tasks!$T$10:$T$1941,$P581)&amp;"'!A"&amp;INDEX(Tasks!$U$10:$U$1941,$P581),"Open"))</x:f>
        <x:v>Open</x:v>
      </x:c>
      <x:c r="O581" s="14"/>
      <x:c r="P581" s="14" t="n">
        <x:f>IF(560&gt;$B$10,"",MATCH(560,Tasks!$S$10:$S$1941,0))</x:f>
        <x:v>924</x:v>
      </x:c>
    </x:row>
    <x:row r="582" ht="58" customHeight="1">
      <x:c r="B582" s="86" t="str">
        <x:f>IF($P582="","",INDEX(Tasks!$B$10:$B$1941,$P582))</x:f>
        <x:v>Cycle 2</x:v>
      </x:c>
      <x:c r="C582" s="86" t="str">
        <x:f>IF($P582="","",INDEX(Tasks!$C$10:$C$1941,$P582))</x:f>
        <x:v>Phase 2</x:v>
      </x:c>
      <x:c r="D582" s="86" t="str">
        <x:f>IF($P582="","",INDEX(Tasks!$D$10:$D$1941,$P582))</x:f>
        <x:v>Cards</x:v>
      </x:c>
      <x:c r="E582" s="86"/>
      <x:c r="F582" s="86" t="str">
        <x:f>IF($P582="","",INDEX(Tasks!$E$10:$E$1941,$P582))</x:f>
        <x:v>Research &amp; Analysis</x:v>
      </x:c>
      <x:c r="G582" s="86"/>
      <x:c r="H582" s="14" t="str">
        <x:f>IF($P582="","",INDEX(Tasks!$F$10:$F$1941,$P582)&amp;CHAR(10)&amp;INDEX(Tasks!$G$10:$G$1941,$P582))</x:f>
        <x:v>RA.CA.2.4
Establish and maintain a recurring meeting with D&amp;I to discuss Cycle progress</x:v>
      </x:c>
      <x:c r="I582" s="14"/>
      <x:c r="J582" s="14"/>
      <x:c r="K582" s="14"/>
      <x:c r="L582" s="86" t="str">
        <x:f>IF($P582="","",INDEX(Tasks!$N$10:$N$1941,$P582))</x:f>
        <x:v>Not started</x:v>
      </x:c>
      <x:c r="M582" s="87" t="n">
        <x:f>IF($P582="","",INDEX(Tasks!$J$10:$J$1941,$P582))</x:f>
        <x:v>46203</x:v>
      </x:c>
      <x:c r="N582" s="85" t="str">
        <x:f>IF($P582="","",HYPERLINK("#'"&amp;INDEX(Tasks!$T$10:$T$1941,$P582)&amp;"'!A"&amp;INDEX(Tasks!$U$10:$U$1941,$P582),"Open"))</x:f>
        <x:v>Open</x:v>
      </x:c>
      <x:c r="O582" s="14"/>
      <x:c r="P582" s="14" t="n">
        <x:f>IF(561&gt;$B$10,"",MATCH(561,Tasks!$S$10:$S$1941,0))</x:f>
        <x:v>925</x:v>
      </x:c>
    </x:row>
    <x:row r="583" ht="58" customHeight="1">
      <x:c r="B583" s="86" t="str">
        <x:f>IF($P583="","",INDEX(Tasks!$B$10:$B$1941,$P583))</x:f>
        <x:v>Cycle 2</x:v>
      </x:c>
      <x:c r="C583" s="86" t="str">
        <x:f>IF($P583="","",INDEX(Tasks!$C$10:$C$1941,$P583))</x:f>
        <x:v>Phase 2</x:v>
      </x:c>
      <x:c r="D583" s="86" t="str">
        <x:f>IF($P583="","",INDEX(Tasks!$D$10:$D$1941,$P583))</x:f>
        <x:v>Cards</x:v>
      </x:c>
      <x:c r="E583" s="86"/>
      <x:c r="F583" s="86" t="str">
        <x:f>IF($P583="","",INDEX(Tasks!$E$10:$E$1941,$P583))</x:f>
        <x:v>Research &amp; Analysis</x:v>
      </x:c>
      <x:c r="G583" s="86"/>
      <x:c r="H583" s="14" t="str">
        <x:f>IF($P583="","",INDEX(Tasks!$F$10:$F$1941,$P583)&amp;CHAR(10)&amp;INDEX(Tasks!$G$10:$G$1941,$P583))</x:f>
        <x:v>RA.CA.2.5
Perform data testing and sampling</x:v>
      </x:c>
      <x:c r="I583" s="14"/>
      <x:c r="J583" s="14"/>
      <x:c r="K583" s="14"/>
      <x:c r="L583" s="86" t="str">
        <x:f>IF($P583="","",INDEX(Tasks!$N$10:$N$1941,$P583))</x:f>
        <x:v>Not started</x:v>
      </x:c>
      <x:c r="M583" s="87" t="n">
        <x:f>IF($P583="","",INDEX(Tasks!$J$10:$J$1941,$P583))</x:f>
        <x:v>46203</x:v>
      </x:c>
      <x:c r="N583" s="85" t="str">
        <x:f>IF($P583="","",HYPERLINK("#'"&amp;INDEX(Tasks!$T$10:$T$1941,$P583)&amp;"'!A"&amp;INDEX(Tasks!$U$10:$U$1941,$P583),"Open"))</x:f>
        <x:v>Open</x:v>
      </x:c>
      <x:c r="O583" s="14"/>
      <x:c r="P583" s="14" t="n">
        <x:f>IF(562&gt;$B$10,"",MATCH(562,Tasks!$S$10:$S$1941,0))</x:f>
        <x:v>926</x:v>
      </x:c>
    </x:row>
    <x:row r="584" ht="58" customHeight="1">
      <x:c r="B584" s="86" t="str">
        <x:f>IF($P584="","",INDEX(Tasks!$B$10:$B$1941,$P584))</x:f>
        <x:v>Cycle 2</x:v>
      </x:c>
      <x:c r="C584" s="86" t="str">
        <x:f>IF($P584="","",INDEX(Tasks!$C$10:$C$1941,$P584))</x:f>
        <x:v>Phase 2</x:v>
      </x:c>
      <x:c r="D584" s="86" t="str">
        <x:f>IF($P584="","",INDEX(Tasks!$D$10:$D$1941,$P584))</x:f>
        <x:v>Cards</x:v>
      </x:c>
      <x:c r="E584" s="86"/>
      <x:c r="F584" s="86" t="str">
        <x:f>IF($P584="","",INDEX(Tasks!$E$10:$E$1941,$P584))</x:f>
        <x:v>Research &amp; Analysis</x:v>
      </x:c>
      <x:c r="G584" s="86"/>
      <x:c r="H584" s="14" t="str">
        <x:f>IF($P584="","",INDEX(Tasks!$F$10:$F$1941,$P584)&amp;CHAR(10)&amp;INDEX(Tasks!$G$10:$G$1941,$P584))</x:f>
        <x:v>RA.CA.2.6
Complete Positive Testing</x:v>
      </x:c>
      <x:c r="I584" s="14"/>
      <x:c r="J584" s="14"/>
      <x:c r="K584" s="14"/>
      <x:c r="L584" s="86" t="str">
        <x:f>IF($P584="","",INDEX(Tasks!$N$10:$N$1941,$P584))</x:f>
        <x:v>Not started</x:v>
      </x:c>
      <x:c r="M584" s="87" t="n">
        <x:f>IF($P584="","",INDEX(Tasks!$J$10:$J$1941,$P584))</x:f>
        <x:v>46203</x:v>
      </x:c>
      <x:c r="N584" s="85" t="str">
        <x:f>IF($P584="","",HYPERLINK("#'"&amp;INDEX(Tasks!$T$10:$T$1941,$P584)&amp;"'!A"&amp;INDEX(Tasks!$U$10:$U$1941,$P584),"Open"))</x:f>
        <x:v>Open</x:v>
      </x:c>
      <x:c r="O584" s="14"/>
      <x:c r="P584" s="14" t="n">
        <x:f>IF(563&gt;$B$10,"",MATCH(563,Tasks!$S$10:$S$1941,0))</x:f>
        <x:v>927</x:v>
      </x:c>
    </x:row>
    <x:row r="585" ht="58" customHeight="1">
      <x:c r="B585" s="86" t="str">
        <x:f>IF($P585="","",INDEX(Tasks!$B$10:$B$1941,$P585))</x:f>
        <x:v>Cycle 2</x:v>
      </x:c>
      <x:c r="C585" s="86" t="str">
        <x:f>IF($P585="","",INDEX(Tasks!$C$10:$C$1941,$P585))</x:f>
        <x:v>Phase 2</x:v>
      </x:c>
      <x:c r="D585" s="86" t="str">
        <x:f>IF($P585="","",INDEX(Tasks!$D$10:$D$1941,$P585))</x:f>
        <x:v>Cards</x:v>
      </x:c>
      <x:c r="E585" s="86"/>
      <x:c r="F585" s="86" t="str">
        <x:f>IF($P585="","",INDEX(Tasks!$E$10:$E$1941,$P585))</x:f>
        <x:v>Research &amp; Analysis</x:v>
      </x:c>
      <x:c r="G585" s="86"/>
      <x:c r="H585" s="14" t="str">
        <x:f>IF($P585="","",INDEX(Tasks!$F$10:$F$1941,$P585)&amp;CHAR(10)&amp;INDEX(Tasks!$G$10:$G$1941,$P585))</x:f>
        <x:v>RA.CA.2.7
Complete Negative Testing</x:v>
      </x:c>
      <x:c r="I585" s="14"/>
      <x:c r="J585" s="14"/>
      <x:c r="K585" s="14"/>
      <x:c r="L585" s="86" t="str">
        <x:f>IF($P585="","",INDEX(Tasks!$N$10:$N$1941,$P585))</x:f>
        <x:v>Not started</x:v>
      </x:c>
      <x:c r="M585" s="87" t="n">
        <x:f>IF($P585="","",INDEX(Tasks!$J$10:$J$1941,$P585))</x:f>
        <x:v>46203</x:v>
      </x:c>
      <x:c r="N585" s="85" t="str">
        <x:f>IF($P585="","",HYPERLINK("#'"&amp;INDEX(Tasks!$T$10:$T$1941,$P585)&amp;"'!A"&amp;INDEX(Tasks!$U$10:$U$1941,$P585),"Open"))</x:f>
        <x:v>Open</x:v>
      </x:c>
      <x:c r="O585" s="14"/>
      <x:c r="P585" s="14" t="n">
        <x:f>IF(564&gt;$B$10,"",MATCH(564,Tasks!$S$10:$S$1941,0))</x:f>
        <x:v>928</x:v>
      </x:c>
    </x:row>
    <x:row r="586" ht="58" customHeight="1">
      <x:c r="B586" s="86" t="str">
        <x:f>IF($P586="","",INDEX(Tasks!$B$10:$B$1941,$P586))</x:f>
        <x:v>Cycle 2</x:v>
      </x:c>
      <x:c r="C586" s="86" t="str">
        <x:f>IF($P586="","",INDEX(Tasks!$C$10:$C$1941,$P586))</x:f>
        <x:v>Phase 2</x:v>
      </x:c>
      <x:c r="D586" s="86" t="str">
        <x:f>IF($P586="","",INDEX(Tasks!$D$10:$D$1941,$P586))</x:f>
        <x:v>Cards</x:v>
      </x:c>
      <x:c r="E586" s="86"/>
      <x:c r="F586" s="86" t="str">
        <x:f>IF($P586="","",INDEX(Tasks!$E$10:$E$1941,$P586))</x:f>
        <x:v>Research &amp; Analysis</x:v>
      </x:c>
      <x:c r="G586" s="86"/>
      <x:c r="H586" s="14" t="str">
        <x:f>IF($P586="","",INDEX(Tasks!$F$10:$F$1941,$P586)&amp;CHAR(10)&amp;INDEX(Tasks!$G$10:$G$1941,$P586))</x:f>
        <x:v>RA.CA.2.8
Request additional data (as needed)</x:v>
      </x:c>
      <x:c r="I586" s="14"/>
      <x:c r="J586" s="14"/>
      <x:c r="K586" s="14"/>
      <x:c r="L586" s="86" t="str">
        <x:f>IF($P586="","",INDEX(Tasks!$N$10:$N$1941,$P586))</x:f>
        <x:v>Not started</x:v>
      </x:c>
      <x:c r="M586" s="87" t="n">
        <x:f>IF($P586="","",INDEX(Tasks!$J$10:$J$1941,$P586))</x:f>
        <x:v>46203</x:v>
      </x:c>
      <x:c r="N586" s="85" t="str">
        <x:f>IF($P586="","",HYPERLINK("#'"&amp;INDEX(Tasks!$T$10:$T$1941,$P586)&amp;"'!A"&amp;INDEX(Tasks!$U$10:$U$1941,$P586),"Open"))</x:f>
        <x:v>Open</x:v>
      </x:c>
      <x:c r="O586" s="14"/>
      <x:c r="P586" s="14" t="n">
        <x:f>IF(565&gt;$B$10,"",MATCH(565,Tasks!$S$10:$S$1941,0))</x:f>
        <x:v>929</x:v>
      </x:c>
    </x:row>
    <x:row r="587" ht="58" customHeight="1">
      <x:c r="B587" s="86" t="str">
        <x:f>IF($P587="","",INDEX(Tasks!$B$10:$B$1941,$P587))</x:f>
        <x:v>Cycle 2</x:v>
      </x:c>
      <x:c r="C587" s="86" t="str">
        <x:f>IF($P587="","",INDEX(Tasks!$C$10:$C$1941,$P587))</x:f>
        <x:v>Phase 2</x:v>
      </x:c>
      <x:c r="D587" s="86" t="str">
        <x:f>IF($P587="","",INDEX(Tasks!$D$10:$D$1941,$P587))</x:f>
        <x:v>Cards</x:v>
      </x:c>
      <x:c r="E587" s="86"/>
      <x:c r="F587" s="86" t="str">
        <x:f>IF($P587="","",INDEX(Tasks!$E$10:$E$1941,$P587))</x:f>
        <x:v>Research &amp; Analysis</x:v>
      </x:c>
      <x:c r="G587" s="86"/>
      <x:c r="H587" s="14" t="str">
        <x:f>IF($P587="","",INDEX(Tasks!$F$10:$F$1941,$P587)&amp;CHAR(10)&amp;INDEX(Tasks!$G$10:$G$1941,$P587))</x:f>
        <x:v>RA.CA.2.9
Validate or disprove initial hypothesis assumptions</x:v>
      </x:c>
      <x:c r="I587" s="14"/>
      <x:c r="J587" s="14"/>
      <x:c r="K587" s="14"/>
      <x:c r="L587" s="86" t="str">
        <x:f>IF($P587="","",INDEX(Tasks!$N$10:$N$1941,$P587))</x:f>
        <x:v>Not started</x:v>
      </x:c>
      <x:c r="M587" s="87" t="n">
        <x:f>IF($P587="","",INDEX(Tasks!$J$10:$J$1941,$P587))</x:f>
        <x:v>46203</x:v>
      </x:c>
      <x:c r="N587" s="85" t="str">
        <x:f>IF($P587="","",HYPERLINK("#'"&amp;INDEX(Tasks!$T$10:$T$1941,$P587)&amp;"'!A"&amp;INDEX(Tasks!$U$10:$U$1941,$P587),"Open"))</x:f>
        <x:v>Open</x:v>
      </x:c>
      <x:c r="O587" s="14"/>
      <x:c r="P587" s="14" t="n">
        <x:f>IF(566&gt;$B$10,"",MATCH(566,Tasks!$S$10:$S$1941,0))</x:f>
        <x:v>930</x:v>
      </x:c>
    </x:row>
    <x:row r="588" ht="58" customHeight="1">
      <x:c r="B588" s="86" t="str">
        <x:f>IF($P588="","",INDEX(Tasks!$B$10:$B$1941,$P588))</x:f>
        <x:v>Cycle 2</x:v>
      </x:c>
      <x:c r="C588" s="86" t="str">
        <x:f>IF($P588="","",INDEX(Tasks!$C$10:$C$1941,$P588))</x:f>
        <x:v>Phase 2</x:v>
      </x:c>
      <x:c r="D588" s="86" t="str">
        <x:f>IF($P588="","",INDEX(Tasks!$D$10:$D$1941,$P588))</x:f>
        <x:v>Cards</x:v>
      </x:c>
      <x:c r="E588" s="86"/>
      <x:c r="F588" s="86" t="str">
        <x:f>IF($P588="","",INDEX(Tasks!$E$10:$E$1941,$P588))</x:f>
        <x:v>Research &amp; Analysis</x:v>
      </x:c>
      <x:c r="G588" s="86"/>
      <x:c r="H588" s="14" t="str">
        <x:f>IF($P588="","",INDEX(Tasks!$F$10:$F$1941,$P588)&amp;CHAR(10)&amp;INDEX(Tasks!$G$10:$G$1941,$P588))</x:f>
        <x:v>RA.CA.2.10
Identify and confirm root cause</x:v>
      </x:c>
      <x:c r="I588" s="14"/>
      <x:c r="J588" s="14"/>
      <x:c r="K588" s="14"/>
      <x:c r="L588" s="86" t="str">
        <x:f>IF($P588="","",INDEX(Tasks!$N$10:$N$1941,$P588))</x:f>
        <x:v>Not started</x:v>
      </x:c>
      <x:c r="M588" s="87" t="n">
        <x:f>IF($P588="","",INDEX(Tasks!$J$10:$J$1941,$P588))</x:f>
        <x:v>46203</x:v>
      </x:c>
      <x:c r="N588" s="85" t="str">
        <x:f>IF($P588="","",HYPERLINK("#'"&amp;INDEX(Tasks!$T$10:$T$1941,$P588)&amp;"'!A"&amp;INDEX(Tasks!$U$10:$U$1941,$P588),"Open"))</x:f>
        <x:v>Open</x:v>
      </x:c>
      <x:c r="O588" s="14"/>
      <x:c r="P588" s="14" t="n">
        <x:f>IF(567&gt;$B$10,"",MATCH(567,Tasks!$S$10:$S$1941,0))</x:f>
        <x:v>931</x:v>
      </x:c>
    </x:row>
    <x:row r="589" ht="58" customHeight="1">
      <x:c r="B589" s="86" t="str">
        <x:f>IF($P589="","",INDEX(Tasks!$B$10:$B$1941,$P589))</x:f>
        <x:v>Cycle 2</x:v>
      </x:c>
      <x:c r="C589" s="86" t="str">
        <x:f>IF($P589="","",INDEX(Tasks!$C$10:$C$1941,$P589))</x:f>
        <x:v>Phase 3</x:v>
      </x:c>
      <x:c r="D589" s="86" t="str">
        <x:f>IF($P589="","",INDEX(Tasks!$D$10:$D$1941,$P589))</x:f>
        <x:v>Cards</x:v>
      </x:c>
      <x:c r="E589" s="86"/>
      <x:c r="F589" s="86" t="str">
        <x:f>IF($P589="","",INDEX(Tasks!$E$10:$E$1941,$P589))</x:f>
        <x:v>Research &amp; Analysis</x:v>
      </x:c>
      <x:c r="G589" s="86"/>
      <x:c r="H589" s="14" t="str">
        <x:f>IF($P589="","",INDEX(Tasks!$F$10:$F$1941,$P589)&amp;CHAR(10)&amp;INDEX(Tasks!$G$10:$G$1941,$P589))</x:f>
        <x:v>RA.CA.3.1
Finalize results and supporting documentation</x:v>
      </x:c>
      <x:c r="I589" s="14"/>
      <x:c r="J589" s="14"/>
      <x:c r="K589" s="14"/>
      <x:c r="L589" s="86" t="str">
        <x:f>IF($P589="","",INDEX(Tasks!$N$10:$N$1941,$P589))</x:f>
        <x:v>Not started</x:v>
      </x:c>
      <x:c r="M589" s="87" t="n">
        <x:f>IF($P589="","",INDEX(Tasks!$J$10:$J$1941,$P589))</x:f>
        <x:v>46203</x:v>
      </x:c>
      <x:c r="N589" s="85" t="str">
        <x:f>IF($P589="","",HYPERLINK("#'"&amp;INDEX(Tasks!$T$10:$T$1941,$P589)&amp;"'!A"&amp;INDEX(Tasks!$U$10:$U$1941,$P589),"Open"))</x:f>
        <x:v>Open</x:v>
      </x:c>
      <x:c r="O589" s="14"/>
      <x:c r="P589" s="14" t="n">
        <x:f>IF(568&gt;$B$10,"",MATCH(568,Tasks!$S$10:$S$1941,0))</x:f>
        <x:v>932</x:v>
      </x:c>
    </x:row>
    <x:row r="590" ht="58" customHeight="1">
      <x:c r="B590" s="86" t="str">
        <x:f>IF($P590="","",INDEX(Tasks!$B$10:$B$1941,$P590))</x:f>
        <x:v>Cycle 2</x:v>
      </x:c>
      <x:c r="C590" s="86" t="str">
        <x:f>IF($P590="","",INDEX(Tasks!$C$10:$C$1941,$P590))</x:f>
        <x:v>Phase 3</x:v>
      </x:c>
      <x:c r="D590" s="86" t="str">
        <x:f>IF($P590="","",INDEX(Tasks!$D$10:$D$1941,$P590))</x:f>
        <x:v>Cards</x:v>
      </x:c>
      <x:c r="E590" s="86"/>
      <x:c r="F590" s="86" t="str">
        <x:f>IF($P590="","",INDEX(Tasks!$E$10:$E$1941,$P590))</x:f>
        <x:v>Research &amp; Analysis</x:v>
      </x:c>
      <x:c r="G590" s="86"/>
      <x:c r="H590" s="14" t="str">
        <x:f>IF($P590="","",INDEX(Tasks!$F$10:$F$1941,$P590)&amp;CHAR(10)&amp;INDEX(Tasks!$G$10:$G$1941,$P590))</x:f>
        <x:v>RA.CA.3.2
Maintain and update the evidence package prior to handoff to D&amp;I</x:v>
      </x:c>
      <x:c r="I590" s="14"/>
      <x:c r="J590" s="14"/>
      <x:c r="K590" s="14"/>
      <x:c r="L590" s="86" t="str">
        <x:f>IF($P590="","",INDEX(Tasks!$N$10:$N$1941,$P590))</x:f>
        <x:v>Not started</x:v>
      </x:c>
      <x:c r="M590" s="87" t="n">
        <x:f>IF($P590="","",INDEX(Tasks!$J$10:$J$1941,$P590))</x:f>
        <x:v>46203</x:v>
      </x:c>
      <x:c r="N590" s="85" t="str">
        <x:f>IF($P590="","",HYPERLINK("#'"&amp;INDEX(Tasks!$T$10:$T$1941,$P590)&amp;"'!A"&amp;INDEX(Tasks!$U$10:$U$1941,$P590),"Open"))</x:f>
        <x:v>Open</x:v>
      </x:c>
      <x:c r="O590" s="14"/>
      <x:c r="P590" s="14" t="n">
        <x:f>IF(569&gt;$B$10,"",MATCH(569,Tasks!$S$10:$S$1941,0))</x:f>
        <x:v>933</x:v>
      </x:c>
    </x:row>
    <x:row r="591" ht="58" customHeight="1">
      <x:c r="B591" s="86" t="str">
        <x:f>IF($P591="","",INDEX(Tasks!$B$10:$B$1941,$P591))</x:f>
        <x:v>Cycle 2</x:v>
      </x:c>
      <x:c r="C591" s="86" t="str">
        <x:f>IF($P591="","",INDEX(Tasks!$C$10:$C$1941,$P591))</x:f>
        <x:v>Phase 3</x:v>
      </x:c>
      <x:c r="D591" s="86" t="str">
        <x:f>IF($P591="","",INDEX(Tasks!$D$10:$D$1941,$P591))</x:f>
        <x:v>Cards</x:v>
      </x:c>
      <x:c r="E591" s="86"/>
      <x:c r="F591" s="86" t="str">
        <x:f>IF($P591="","",INDEX(Tasks!$E$10:$E$1941,$P591))</x:f>
        <x:v>Research &amp; Analysis</x:v>
      </x:c>
      <x:c r="G591" s="86"/>
      <x:c r="H591" s="14" t="str">
        <x:f>IF($P591="","",INDEX(Tasks!$F$10:$F$1941,$P591)&amp;CHAR(10)&amp;INDEX(Tasks!$G$10:$G$1941,$P591))</x:f>
        <x:v>RA.CA.3.3
Address any outstanding questions or requests from D&amp;I</x:v>
      </x:c>
      <x:c r="I591" s="14"/>
      <x:c r="J591" s="14"/>
      <x:c r="K591" s="14"/>
      <x:c r="L591" s="86" t="str">
        <x:f>IF($P591="","",INDEX(Tasks!$N$10:$N$1941,$P591))</x:f>
        <x:v>Not started</x:v>
      </x:c>
      <x:c r="M591" s="87" t="n">
        <x:f>IF($P591="","",INDEX(Tasks!$J$10:$J$1941,$P591))</x:f>
        <x:v>46203</x:v>
      </x:c>
      <x:c r="N591" s="85" t="str">
        <x:f>IF($P591="","",HYPERLINK("#'"&amp;INDEX(Tasks!$T$10:$T$1941,$P591)&amp;"'!A"&amp;INDEX(Tasks!$U$10:$U$1941,$P591),"Open"))</x:f>
        <x:v>Open</x:v>
      </x:c>
      <x:c r="O591" s="14"/>
      <x:c r="P591" s="14" t="n">
        <x:f>IF(570&gt;$B$10,"",MATCH(570,Tasks!$S$10:$S$1941,0))</x:f>
        <x:v>934</x:v>
      </x:c>
    </x:row>
    <x:row r="592" ht="58" customHeight="1">
      <x:c r="B592" s="86" t="str">
        <x:f>IF($P592="","",INDEX(Tasks!$B$10:$B$1941,$P592))</x:f>
        <x:v>Cycle 2</x:v>
      </x:c>
      <x:c r="C592" s="86" t="str">
        <x:f>IF($P592="","",INDEX(Tasks!$C$10:$C$1941,$P592))</x:f>
        <x:v>Phase 3</x:v>
      </x:c>
      <x:c r="D592" s="86" t="str">
        <x:f>IF($P592="","",INDEX(Tasks!$D$10:$D$1941,$P592))</x:f>
        <x:v>Cards</x:v>
      </x:c>
      <x:c r="E592" s="86"/>
      <x:c r="F592" s="86" t="str">
        <x:f>IF($P592="","",INDEX(Tasks!$E$10:$E$1941,$P592))</x:f>
        <x:v>Research &amp; Analysis</x:v>
      </x:c>
      <x:c r="G592" s="86"/>
      <x:c r="H592" s="14" t="str">
        <x:f>IF($P592="","",INDEX(Tasks!$F$10:$F$1941,$P592)&amp;CHAR(10)&amp;INDEX(Tasks!$G$10:$G$1941,$P592))</x:f>
        <x:v>RA.CA.3.4
Attend Forum meeting with D&amp;I to assist with answering stakeholder questions (as needed)</x:v>
      </x:c>
      <x:c r="I592" s="14"/>
      <x:c r="J592" s="14"/>
      <x:c r="K592" s="14"/>
      <x:c r="L592" s="86" t="str">
        <x:f>IF($P592="","",INDEX(Tasks!$N$10:$N$1941,$P592))</x:f>
        <x:v>Not started</x:v>
      </x:c>
      <x:c r="M592" s="87" t="str">
        <x:f>IF($P592="","",INDEX(Tasks!$J$10:$J$1941,$P592))</x:f>
      </x:c>
      <x:c r="N592" s="85" t="str">
        <x:f>IF($P592="","",HYPERLINK("#'"&amp;INDEX(Tasks!$T$10:$T$1941,$P592)&amp;"'!A"&amp;INDEX(Tasks!$U$10:$U$1941,$P592),"Open"))</x:f>
        <x:v>Open</x:v>
      </x:c>
      <x:c r="O592" s="14"/>
      <x:c r="P592" s="14" t="n">
        <x:f>IF(571&gt;$B$10,"",MATCH(571,Tasks!$S$10:$S$1941,0))</x:f>
        <x:v>935</x:v>
      </x:c>
    </x:row>
    <x:row r="593" ht="58" customHeight="1">
      <x:c r="B593" s="86" t="str">
        <x:f>IF($P593="","",INDEX(Tasks!$B$10:$B$1941,$P593))</x:f>
        <x:v>Cycle 2</x:v>
      </x:c>
      <x:c r="C593" s="86" t="str">
        <x:f>IF($P593="","",INDEX(Tasks!$C$10:$C$1941,$P593))</x:f>
        <x:v>Phase 1</x:v>
      </x:c>
      <x:c r="D593" s="86" t="str">
        <x:f>IF($P593="","",INDEX(Tasks!$D$10:$D$1941,$P593))</x:f>
        <x:v>CSBBO - Banking Ops</x:v>
      </x:c>
      <x:c r="E593" s="86"/>
      <x:c r="F593" s="86" t="str">
        <x:f>IF($P593="","",INDEX(Tasks!$E$10:$E$1941,$P593))</x:f>
        <x:v>Research &amp; Analysis</x:v>
      </x:c>
      <x:c r="G593" s="86"/>
      <x:c r="H593" s="14" t="str">
        <x:f>IF($P593="","",INDEX(Tasks!$F$10:$F$1941,$P593)&amp;CHAR(10)&amp;INDEX(Tasks!$G$10:$G$1941,$P593))</x:f>
        <x:v>RA.BO.1.1
Begin Research process 2 weeks prior to Cycle start</x:v>
      </x:c>
      <x:c r="I593" s="14"/>
      <x:c r="J593" s="14"/>
      <x:c r="K593" s="14"/>
      <x:c r="L593" s="86" t="str">
        <x:f>IF($P593="","",INDEX(Tasks!$N$10:$N$1941,$P593))</x:f>
        <x:v>Not started</x:v>
      </x:c>
      <x:c r="M593" s="87" t="n">
        <x:f>IF($P593="","",INDEX(Tasks!$J$10:$J$1941,$P593))</x:f>
        <x:v>46099</x:v>
      </x:c>
      <x:c r="N593" s="85" t="str">
        <x:f>IF($P593="","",HYPERLINK("#'"&amp;INDEX(Tasks!$T$10:$T$1941,$P593)&amp;"'!A"&amp;INDEX(Tasks!$U$10:$U$1941,$P593),"Open"))</x:f>
        <x:v>Open</x:v>
      </x:c>
      <x:c r="O593" s="14"/>
      <x:c r="P593" s="14" t="n">
        <x:f>IF(572&gt;$B$10,"",MATCH(572,Tasks!$S$10:$S$1941,0))</x:f>
        <x:v>936</x:v>
      </x:c>
    </x:row>
    <x:row r="594" ht="58" customHeight="1">
      <x:c r="B594" s="86" t="str">
        <x:f>IF($P594="","",INDEX(Tasks!$B$10:$B$1941,$P594))</x:f>
        <x:v>Cycle 2</x:v>
      </x:c>
      <x:c r="C594" s="86" t="str">
        <x:f>IF($P594="","",INDEX(Tasks!$C$10:$C$1941,$P594))</x:f>
        <x:v>Phase 1</x:v>
      </x:c>
      <x:c r="D594" s="86" t="str">
        <x:f>IF($P594="","",INDEX(Tasks!$D$10:$D$1941,$P594))</x:f>
        <x:v>CSBBO - Banking Ops</x:v>
      </x:c>
      <x:c r="E594" s="86"/>
      <x:c r="F594" s="86" t="str">
        <x:f>IF($P594="","",INDEX(Tasks!$E$10:$E$1941,$P594))</x:f>
        <x:v>Research &amp; Analysis</x:v>
      </x:c>
      <x:c r="G594" s="86"/>
      <x:c r="H594" s="14" t="str">
        <x:f>IF($P594="","",INDEX(Tasks!$F$10:$F$1941,$P594)&amp;CHAR(10)&amp;INDEX(Tasks!$G$10:$G$1941,$P594))</x:f>
        <x:v>RA.BO.1.2
Conduct initial assessment of each topic recommendation from SharePoint list</x:v>
      </x:c>
      <x:c r="I594" s="14"/>
      <x:c r="J594" s="14"/>
      <x:c r="K594" s="14"/>
      <x:c r="L594" s="86" t="str">
        <x:f>IF($P594="","",INDEX(Tasks!$N$10:$N$1941,$P594))</x:f>
        <x:v>Not started</x:v>
      </x:c>
      <x:c r="M594" s="87" t="n">
        <x:f>IF($P594="","",INDEX(Tasks!$J$10:$J$1941,$P594))</x:f>
        <x:v>46203</x:v>
      </x:c>
      <x:c r="N594" s="85" t="str">
        <x:f>IF($P594="","",HYPERLINK("#'"&amp;INDEX(Tasks!$T$10:$T$1941,$P594)&amp;"'!A"&amp;INDEX(Tasks!$U$10:$U$1941,$P594),"Open"))</x:f>
        <x:v>Open</x:v>
      </x:c>
      <x:c r="O594" s="14"/>
      <x:c r="P594" s="14" t="n">
        <x:f>IF(573&gt;$B$10,"",MATCH(573,Tasks!$S$10:$S$1941,0))</x:f>
        <x:v>937</x:v>
      </x:c>
    </x:row>
    <x:row r="595" ht="58" customHeight="1">
      <x:c r="B595" s="86" t="str">
        <x:f>IF($P595="","",INDEX(Tasks!$B$10:$B$1941,$P595))</x:f>
        <x:v>Cycle 2</x:v>
      </x:c>
      <x:c r="C595" s="86" t="str">
        <x:f>IF($P595="","",INDEX(Tasks!$C$10:$C$1941,$P595))</x:f>
        <x:v>Phase 1</x:v>
      </x:c>
      <x:c r="D595" s="86" t="str">
        <x:f>IF($P595="","",INDEX(Tasks!$D$10:$D$1941,$P595))</x:f>
        <x:v>CSBBO - Banking Ops</x:v>
      </x:c>
      <x:c r="E595" s="86"/>
      <x:c r="F595" s="86" t="str">
        <x:f>IF($P595="","",INDEX(Tasks!$E$10:$E$1941,$P595))</x:f>
        <x:v>Research &amp; Analysis</x:v>
      </x:c>
      <x:c r="G595" s="86"/>
      <x:c r="H595" s="14" t="str">
        <x:f>IF($P595="","",INDEX(Tasks!$F$10:$F$1941,$P595)&amp;CHAR(10)&amp;INDEX(Tasks!$G$10:$G$1941,$P595))</x:f>
        <x:v>RA.BO.1.3
Identify best topic for Cycle</x:v>
      </x:c>
      <x:c r="I595" s="14"/>
      <x:c r="J595" s="14"/>
      <x:c r="K595" s="14"/>
      <x:c r="L595" s="86" t="str">
        <x:f>IF($P595="","",INDEX(Tasks!$N$10:$N$1941,$P595))</x:f>
        <x:v>Not started</x:v>
      </x:c>
      <x:c r="M595" s="87" t="n">
        <x:f>IF($P595="","",INDEX(Tasks!$J$10:$J$1941,$P595))</x:f>
        <x:v>46203</x:v>
      </x:c>
      <x:c r="N595" s="85" t="str">
        <x:f>IF($P595="","",HYPERLINK("#'"&amp;INDEX(Tasks!$T$10:$T$1941,$P595)&amp;"'!A"&amp;INDEX(Tasks!$U$10:$U$1941,$P595),"Open"))</x:f>
        <x:v>Open</x:v>
      </x:c>
      <x:c r="O595" s="14"/>
      <x:c r="P595" s="14" t="n">
        <x:f>IF(574&gt;$B$10,"",MATCH(574,Tasks!$S$10:$S$1941,0))</x:f>
        <x:v>938</x:v>
      </x:c>
    </x:row>
    <x:row r="596" ht="58" customHeight="1">
      <x:c r="B596" s="86" t="str">
        <x:f>IF($P596="","",INDEX(Tasks!$B$10:$B$1941,$P596))</x:f>
        <x:v>Cycle 2</x:v>
      </x:c>
      <x:c r="C596" s="86" t="str">
        <x:f>IF($P596="","",INDEX(Tasks!$C$10:$C$1941,$P596))</x:f>
        <x:v>Phase 1</x:v>
      </x:c>
      <x:c r="D596" s="86" t="str">
        <x:f>IF($P596="","",INDEX(Tasks!$D$10:$D$1941,$P596))</x:f>
        <x:v>CSBBO - Banking Ops</x:v>
      </x:c>
      <x:c r="E596" s="86"/>
      <x:c r="F596" s="86" t="str">
        <x:f>IF($P596="","",INDEX(Tasks!$E$10:$E$1941,$P596))</x:f>
        <x:v>Research &amp; Analysis</x:v>
      </x:c>
      <x:c r="G596" s="86"/>
      <x:c r="H596" s="14" t="str">
        <x:f>IF($P596="","",INDEX(Tasks!$F$10:$F$1941,$P596)&amp;CHAR(10)&amp;INDEX(Tasks!$G$10:$G$1941,$P596))</x:f>
        <x:v>RA.BO.1.4
Identify backup topic for Cycle</x:v>
      </x:c>
      <x:c r="I596" s="14"/>
      <x:c r="J596" s="14"/>
      <x:c r="K596" s="14"/>
      <x:c r="L596" s="86" t="str">
        <x:f>IF($P596="","",INDEX(Tasks!$N$10:$N$1941,$P596))</x:f>
        <x:v>Not started</x:v>
      </x:c>
      <x:c r="M596" s="87" t="n">
        <x:f>IF($P596="","",INDEX(Tasks!$J$10:$J$1941,$P596))</x:f>
        <x:v>46203</x:v>
      </x:c>
      <x:c r="N596" s="85" t="str">
        <x:f>IF($P596="","",HYPERLINK("#'"&amp;INDEX(Tasks!$T$10:$T$1941,$P596)&amp;"'!A"&amp;INDEX(Tasks!$U$10:$U$1941,$P596),"Open"))</x:f>
        <x:v>Open</x:v>
      </x:c>
      <x:c r="O596" s="14"/>
      <x:c r="P596" s="14" t="n">
        <x:f>IF(575&gt;$B$10,"",MATCH(575,Tasks!$S$10:$S$1941,0))</x:f>
        <x:v>939</x:v>
      </x:c>
    </x:row>
    <x:row r="597" ht="58" customHeight="1">
      <x:c r="B597" s="86" t="str">
        <x:f>IF($P597="","",INDEX(Tasks!$B$10:$B$1941,$P597))</x:f>
        <x:v>Cycle 2</x:v>
      </x:c>
      <x:c r="C597" s="86" t="str">
        <x:f>IF($P597="","",INDEX(Tasks!$C$10:$C$1941,$P597))</x:f>
        <x:v>Phase 1</x:v>
      </x:c>
      <x:c r="D597" s="86" t="str">
        <x:f>IF($P597="","",INDEX(Tasks!$D$10:$D$1941,$P597))</x:f>
        <x:v>CSBBO - Banking Ops</x:v>
      </x:c>
      <x:c r="E597" s="86"/>
      <x:c r="F597" s="86" t="str">
        <x:f>IF($P597="","",INDEX(Tasks!$E$10:$E$1941,$P597))</x:f>
        <x:v>Research &amp; Analysis</x:v>
      </x:c>
      <x:c r="G597" s="86"/>
      <x:c r="H597" s="14" t="str">
        <x:f>IF($P597="","",INDEX(Tasks!$F$10:$F$1941,$P597)&amp;CHAR(10)&amp;INDEX(Tasks!$G$10:$G$1941,$P597))</x:f>
        <x:v>RA.BO.1.5
Schedule topic approval meeting with D&amp;I and management</x:v>
      </x:c>
      <x:c r="I597" s="14"/>
      <x:c r="J597" s="14"/>
      <x:c r="K597" s="14"/>
      <x:c r="L597" s="86" t="str">
        <x:f>IF($P597="","",INDEX(Tasks!$N$10:$N$1941,$P597))</x:f>
        <x:v>Not started</x:v>
      </x:c>
      <x:c r="M597" s="87" t="n">
        <x:f>IF($P597="","",INDEX(Tasks!$J$10:$J$1941,$P597))</x:f>
        <x:v>46203</x:v>
      </x:c>
      <x:c r="N597" s="85" t="str">
        <x:f>IF($P597="","",HYPERLINK("#'"&amp;INDEX(Tasks!$T$10:$T$1941,$P597)&amp;"'!A"&amp;INDEX(Tasks!$U$10:$U$1941,$P597),"Open"))</x:f>
        <x:v>Open</x:v>
      </x:c>
      <x:c r="O597" s="14"/>
      <x:c r="P597" s="14" t="n">
        <x:f>IF(576&gt;$B$10,"",MATCH(576,Tasks!$S$10:$S$1941,0))</x:f>
        <x:v>940</x:v>
      </x:c>
    </x:row>
    <x:row r="598" ht="58" customHeight="1">
      <x:c r="B598" s="86" t="str">
        <x:f>IF($P598="","",INDEX(Tasks!$B$10:$B$1941,$P598))</x:f>
        <x:v>Cycle 2</x:v>
      </x:c>
      <x:c r="C598" s="86" t="str">
        <x:f>IF($P598="","",INDEX(Tasks!$C$10:$C$1941,$P598))</x:f>
        <x:v>Phase 1</x:v>
      </x:c>
      <x:c r="D598" s="86" t="str">
        <x:f>IF($P598="","",INDEX(Tasks!$D$10:$D$1941,$P598))</x:f>
        <x:v>CSBBO - Banking Ops</x:v>
      </x:c>
      <x:c r="E598" s="86"/>
      <x:c r="F598" s="86" t="str">
        <x:f>IF($P598="","",INDEX(Tasks!$E$10:$E$1941,$P598))</x:f>
        <x:v>Research &amp; Analysis</x:v>
      </x:c>
      <x:c r="G598" s="86"/>
      <x:c r="H598" s="14" t="str">
        <x:f>IF($P598="","",INDEX(Tasks!$F$10:$F$1941,$P598)&amp;CHAR(10)&amp;INDEX(Tasks!$G$10:$G$1941,$P598))</x:f>
        <x:v>RA.BO.1.6
Present recommended topic to D&amp;I and management for approval</x:v>
      </x:c>
      <x:c r="I598" s="14"/>
      <x:c r="J598" s="14"/>
      <x:c r="K598" s="14"/>
      <x:c r="L598" s="86" t="str">
        <x:f>IF($P598="","",INDEX(Tasks!$N$10:$N$1941,$P598))</x:f>
        <x:v>Not started</x:v>
      </x:c>
      <x:c r="M598" s="87" t="n">
        <x:f>IF($P598="","",INDEX(Tasks!$J$10:$J$1941,$P598))</x:f>
        <x:v>46203</x:v>
      </x:c>
      <x:c r="N598" s="85" t="str">
        <x:f>IF($P598="","",HYPERLINK("#'"&amp;INDEX(Tasks!$T$10:$T$1941,$P598)&amp;"'!A"&amp;INDEX(Tasks!$U$10:$U$1941,$P598),"Open"))</x:f>
        <x:v>Open</x:v>
      </x:c>
      <x:c r="O598" s="14"/>
      <x:c r="P598" s="14" t="n">
        <x:f>IF(577&gt;$B$10,"",MATCH(577,Tasks!$S$10:$S$1941,0))</x:f>
        <x:v>941</x:v>
      </x:c>
    </x:row>
    <x:row r="599" ht="58" customHeight="1">
      <x:c r="B599" s="86" t="str">
        <x:f>IF($P599="","",INDEX(Tasks!$B$10:$B$1941,$P599))</x:f>
        <x:v>Cycle 2</x:v>
      </x:c>
      <x:c r="C599" s="86" t="str">
        <x:f>IF($P599="","",INDEX(Tasks!$C$10:$C$1941,$P599))</x:f>
        <x:v>Phase 1</x:v>
      </x:c>
      <x:c r="D599" s="86" t="str">
        <x:f>IF($P599="","",INDEX(Tasks!$D$10:$D$1941,$P599))</x:f>
        <x:v>CSBBO - Banking Ops</x:v>
      </x:c>
      <x:c r="E599" s="86"/>
      <x:c r="F599" s="86" t="str">
        <x:f>IF($P599="","",INDEX(Tasks!$E$10:$E$1941,$P599))</x:f>
        <x:v>Research &amp; Analysis</x:v>
      </x:c>
      <x:c r="G599" s="86"/>
      <x:c r="H599" s="14" t="str">
        <x:f>IF($P599="","",INDEX(Tasks!$F$10:$F$1941,$P599)&amp;CHAR(10)&amp;INDEX(Tasks!$G$10:$G$1941,$P599))</x:f>
        <x:v>RA.BO.1.7
Obtain formal topic selection approval from management via SharePoint</x:v>
      </x:c>
      <x:c r="I599" s="14"/>
      <x:c r="J599" s="14"/>
      <x:c r="K599" s="14"/>
      <x:c r="L599" s="86" t="str">
        <x:f>IF($P599="","",INDEX(Tasks!$N$10:$N$1941,$P599))</x:f>
        <x:v>Not started</x:v>
      </x:c>
      <x:c r="M599" s="87" t="n">
        <x:f>IF($P599="","",INDEX(Tasks!$J$10:$J$1941,$P599))</x:f>
        <x:v>46203</x:v>
      </x:c>
      <x:c r="N599" s="85" t="str">
        <x:f>IF($P599="","",HYPERLINK("#'"&amp;INDEX(Tasks!$T$10:$T$1941,$P599)&amp;"'!A"&amp;INDEX(Tasks!$U$10:$U$1941,$P599),"Open"))</x:f>
        <x:v>Open</x:v>
      </x:c>
      <x:c r="O599" s="14"/>
      <x:c r="P599" s="14" t="n">
        <x:f>IF(578&gt;$B$10,"",MATCH(578,Tasks!$S$10:$S$1941,0))</x:f>
        <x:v>942</x:v>
      </x:c>
    </x:row>
    <x:row r="600" ht="58" customHeight="1">
      <x:c r="B600" s="86" t="str">
        <x:f>IF($P600="","",INDEX(Tasks!$B$10:$B$1941,$P600))</x:f>
        <x:v>Cycle 2</x:v>
      </x:c>
      <x:c r="C600" s="86" t="str">
        <x:f>IF($P600="","",INDEX(Tasks!$C$10:$C$1941,$P600))</x:f>
        <x:v>Phase 1</x:v>
      </x:c>
      <x:c r="D600" s="86" t="str">
        <x:f>IF($P600="","",INDEX(Tasks!$D$10:$D$1941,$P600))</x:f>
        <x:v>CSBBO - Banking Ops</x:v>
      </x:c>
      <x:c r="E600" s="86"/>
      <x:c r="F600" s="86" t="str">
        <x:f>IF($P600="","",INDEX(Tasks!$E$10:$E$1941,$P600))</x:f>
        <x:v>Research &amp; Analysis</x:v>
      </x:c>
      <x:c r="G600" s="86"/>
      <x:c r="H600" s="14" t="str">
        <x:f>IF($P600="","",INDEX(Tasks!$F$10:$F$1941,$P600)&amp;CHAR(10)&amp;INDEX(Tasks!$G$10:$G$1941,$P600))</x:f>
        <x:v>RA.BO.1.8
Socialize topic selection with product owners and subject matter experts (if known)</x:v>
      </x:c>
      <x:c r="I600" s="14"/>
      <x:c r="J600" s="14"/>
      <x:c r="K600" s="14"/>
      <x:c r="L600" s="86" t="str">
        <x:f>IF($P600="","",INDEX(Tasks!$N$10:$N$1941,$P600))</x:f>
        <x:v>Not started</x:v>
      </x:c>
      <x:c r="M600" s="87" t="n">
        <x:f>IF($P600="","",INDEX(Tasks!$J$10:$J$1941,$P600))</x:f>
        <x:v>46203</x:v>
      </x:c>
      <x:c r="N600" s="85" t="str">
        <x:f>IF($P600="","",HYPERLINK("#'"&amp;INDEX(Tasks!$T$10:$T$1941,$P600)&amp;"'!A"&amp;INDEX(Tasks!$U$10:$U$1941,$P600),"Open"))</x:f>
        <x:v>Open</x:v>
      </x:c>
      <x:c r="O600" s="14"/>
      <x:c r="P600" s="14" t="n">
        <x:f>IF(579&gt;$B$10,"",MATCH(579,Tasks!$S$10:$S$1941,0))</x:f>
        <x:v>943</x:v>
      </x:c>
    </x:row>
    <x:row r="601" ht="58" customHeight="1">
      <x:c r="B601" s="86" t="str">
        <x:f>IF($P601="","",INDEX(Tasks!$B$10:$B$1941,$P601))</x:f>
        <x:v>Cycle 2</x:v>
      </x:c>
      <x:c r="C601" s="86" t="str">
        <x:f>IF($P601="","",INDEX(Tasks!$C$10:$C$1941,$P601))</x:f>
        <x:v>Phase 1</x:v>
      </x:c>
      <x:c r="D601" s="86" t="str">
        <x:f>IF($P601="","",INDEX(Tasks!$D$10:$D$1941,$P601))</x:f>
        <x:v>CSBBO - Banking Ops</x:v>
      </x:c>
      <x:c r="E601" s="86"/>
      <x:c r="F601" s="86" t="str">
        <x:f>IF($P601="","",INDEX(Tasks!$E$10:$E$1941,$P601))</x:f>
        <x:v>Research &amp; Analysis</x:v>
      </x:c>
      <x:c r="G601" s="86"/>
      <x:c r="H601" s="14" t="str">
        <x:f>IF($P601="","",INDEX(Tasks!$F$10:$F$1941,$P601)&amp;CHAR(10)&amp;INDEX(Tasks!$G$10:$G$1941,$P601))</x:f>
        <x:v>RA.BO.1.9
Assign topic researchers</x:v>
      </x:c>
      <x:c r="I601" s="14"/>
      <x:c r="J601" s="14"/>
      <x:c r="K601" s="14"/>
      <x:c r="L601" s="86" t="str">
        <x:f>IF($P601="","",INDEX(Tasks!$N$10:$N$1941,$P601))</x:f>
        <x:v>Not started</x:v>
      </x:c>
      <x:c r="M601" s="87" t="n">
        <x:f>IF($P601="","",INDEX(Tasks!$J$10:$J$1941,$P601))</x:f>
        <x:v>46203</x:v>
      </x:c>
      <x:c r="N601" s="85" t="str">
        <x:f>IF($P601="","",HYPERLINK("#'"&amp;INDEX(Tasks!$T$10:$T$1941,$P601)&amp;"'!A"&amp;INDEX(Tasks!$U$10:$U$1941,$P601),"Open"))</x:f>
        <x:v>Open</x:v>
      </x:c>
      <x:c r="O601" s="14"/>
      <x:c r="P601" s="14" t="n">
        <x:f>IF(580&gt;$B$10,"",MATCH(580,Tasks!$S$10:$S$1941,0))</x:f>
        <x:v>944</x:v>
      </x:c>
    </x:row>
    <x:row r="602" ht="58" customHeight="1">
      <x:c r="B602" s="86" t="str">
        <x:f>IF($P602="","",INDEX(Tasks!$B$10:$B$1941,$P602))</x:f>
        <x:v>Cycle 2</x:v>
      </x:c>
      <x:c r="C602" s="86" t="str">
        <x:f>IF($P602="","",INDEX(Tasks!$C$10:$C$1941,$P602))</x:f>
        <x:v>Phase 2</x:v>
      </x:c>
      <x:c r="D602" s="86" t="str">
        <x:f>IF($P602="","",INDEX(Tasks!$D$10:$D$1941,$P602))</x:f>
        <x:v>CSBBO - Banking Ops</x:v>
      </x:c>
      <x:c r="E602" s="86"/>
      <x:c r="F602" s="86" t="str">
        <x:f>IF($P602="","",INDEX(Tasks!$E$10:$E$1941,$P602))</x:f>
        <x:v>Research &amp; Analysis</x:v>
      </x:c>
      <x:c r="G602" s="86"/>
      <x:c r="H602" s="14" t="str">
        <x:f>IF($P602="","",INDEX(Tasks!$F$10:$F$1941,$P602)&amp;CHAR(10)&amp;INDEX(Tasks!$G$10:$G$1941,$P602))</x:f>
        <x:v>RA.BO.2.1
Review data sources</x:v>
      </x:c>
      <x:c r="I602" s="14"/>
      <x:c r="J602" s="14"/>
      <x:c r="K602" s="14"/>
      <x:c r="L602" s="86" t="str">
        <x:f>IF($P602="","",INDEX(Tasks!$N$10:$N$1941,$P602))</x:f>
        <x:v>Not started</x:v>
      </x:c>
      <x:c r="M602" s="87" t="n">
        <x:f>IF($P602="","",INDEX(Tasks!$J$10:$J$1941,$P602))</x:f>
        <x:v>46203</x:v>
      </x:c>
      <x:c r="N602" s="85" t="str">
        <x:f>IF($P602="","",HYPERLINK("#'"&amp;INDEX(Tasks!$T$10:$T$1941,$P602)&amp;"'!A"&amp;INDEX(Tasks!$U$10:$U$1941,$P602),"Open"))</x:f>
        <x:v>Open</x:v>
      </x:c>
      <x:c r="O602" s="14"/>
      <x:c r="P602" s="14" t="n">
        <x:f>IF(581&gt;$B$10,"",MATCH(581,Tasks!$S$10:$S$1941,0))</x:f>
        <x:v>945</x:v>
      </x:c>
    </x:row>
    <x:row r="603" ht="58" customHeight="1">
      <x:c r="B603" s="86" t="str">
        <x:f>IF($P603="","",INDEX(Tasks!$B$10:$B$1941,$P603))</x:f>
        <x:v>Cycle 2</x:v>
      </x:c>
      <x:c r="C603" s="86" t="str">
        <x:f>IF($P603="","",INDEX(Tasks!$C$10:$C$1941,$P603))</x:f>
        <x:v>Phase 2</x:v>
      </x:c>
      <x:c r="D603" s="86" t="str">
        <x:f>IF($P603="","",INDEX(Tasks!$D$10:$D$1941,$P603))</x:f>
        <x:v>CSBBO - Banking Ops</x:v>
      </x:c>
      <x:c r="E603" s="86"/>
      <x:c r="F603" s="86" t="str">
        <x:f>IF($P603="","",INDEX(Tasks!$E$10:$E$1941,$P603))</x:f>
        <x:v>Research &amp; Analysis</x:v>
      </x:c>
      <x:c r="G603" s="86"/>
      <x:c r="H603" s="14" t="str">
        <x:f>IF($P603="","",INDEX(Tasks!$F$10:$F$1941,$P603)&amp;CHAR(10)&amp;INDEX(Tasks!$G$10:$G$1941,$P603))</x:f>
        <x:v>RA.BO.2.2
Review relevant policies and procedures</x:v>
      </x:c>
      <x:c r="I603" s="14"/>
      <x:c r="J603" s="14"/>
      <x:c r="K603" s="14"/>
      <x:c r="L603" s="86" t="str">
        <x:f>IF($P603="","",INDEX(Tasks!$N$10:$N$1941,$P603))</x:f>
        <x:v>Not started</x:v>
      </x:c>
      <x:c r="M603" s="87" t="n">
        <x:f>IF($P603="","",INDEX(Tasks!$J$10:$J$1941,$P603))</x:f>
        <x:v>46203</x:v>
      </x:c>
      <x:c r="N603" s="85" t="str">
        <x:f>IF($P603="","",HYPERLINK("#'"&amp;INDEX(Tasks!$T$10:$T$1941,$P603)&amp;"'!A"&amp;INDEX(Tasks!$U$10:$U$1941,$P603),"Open"))</x:f>
        <x:v>Open</x:v>
      </x:c>
      <x:c r="O603" s="14"/>
      <x:c r="P603" s="14" t="n">
        <x:f>IF(582&gt;$B$10,"",MATCH(582,Tasks!$S$10:$S$1941,0))</x:f>
        <x:v>946</x:v>
      </x:c>
    </x:row>
    <x:row r="604" ht="58" customHeight="1">
      <x:c r="B604" s="86" t="str">
        <x:f>IF($P604="","",INDEX(Tasks!$B$10:$B$1941,$P604))</x:f>
        <x:v>Cycle 2</x:v>
      </x:c>
      <x:c r="C604" s="86" t="str">
        <x:f>IF($P604="","",INDEX(Tasks!$C$10:$C$1941,$P604))</x:f>
        <x:v>Phase 2</x:v>
      </x:c>
      <x:c r="D604" s="86" t="str">
        <x:f>IF($P604="","",INDEX(Tasks!$D$10:$D$1941,$P604))</x:f>
        <x:v>CSBBO - Banking Ops</x:v>
      </x:c>
      <x:c r="E604" s="86"/>
      <x:c r="F604" s="86" t="str">
        <x:f>IF($P604="","",INDEX(Tasks!$E$10:$E$1941,$P604))</x:f>
        <x:v>Research &amp; Analysis</x:v>
      </x:c>
      <x:c r="G604" s="86"/>
      <x:c r="H604" s="14" t="str">
        <x:f>IF($P604="","",INDEX(Tasks!$F$10:$F$1941,$P604)&amp;CHAR(10)&amp;INDEX(Tasks!$G$10:$G$1941,$P604))</x:f>
        <x:v>RA.BO.2.3
Meet with SMEs to gain business insight and clarify questions</x:v>
      </x:c>
      <x:c r="I604" s="14"/>
      <x:c r="J604" s="14"/>
      <x:c r="K604" s="14"/>
      <x:c r="L604" s="86" t="str">
        <x:f>IF($P604="","",INDEX(Tasks!$N$10:$N$1941,$P604))</x:f>
        <x:v>Not started</x:v>
      </x:c>
      <x:c r="M604" s="87" t="n">
        <x:f>IF($P604="","",INDEX(Tasks!$J$10:$J$1941,$P604))</x:f>
        <x:v>46203</x:v>
      </x:c>
      <x:c r="N604" s="85" t="str">
        <x:f>IF($P604="","",HYPERLINK("#'"&amp;INDEX(Tasks!$T$10:$T$1941,$P604)&amp;"'!A"&amp;INDEX(Tasks!$U$10:$U$1941,$P604),"Open"))</x:f>
        <x:v>Open</x:v>
      </x:c>
      <x:c r="O604" s="14"/>
      <x:c r="P604" s="14" t="n">
        <x:f>IF(583&gt;$B$10,"",MATCH(583,Tasks!$S$10:$S$1941,0))</x:f>
        <x:v>947</x:v>
      </x:c>
    </x:row>
    <x:row r="605" ht="58" customHeight="1">
      <x:c r="B605" s="86" t="str">
        <x:f>IF($P605="","",INDEX(Tasks!$B$10:$B$1941,$P605))</x:f>
        <x:v>Cycle 2</x:v>
      </x:c>
      <x:c r="C605" s="86" t="str">
        <x:f>IF($P605="","",INDEX(Tasks!$C$10:$C$1941,$P605))</x:f>
        <x:v>Phase 2</x:v>
      </x:c>
      <x:c r="D605" s="86" t="str">
        <x:f>IF($P605="","",INDEX(Tasks!$D$10:$D$1941,$P605))</x:f>
        <x:v>CSBBO - Banking Ops</x:v>
      </x:c>
      <x:c r="E605" s="86"/>
      <x:c r="F605" s="86" t="str">
        <x:f>IF($P605="","",INDEX(Tasks!$E$10:$E$1941,$P605))</x:f>
        <x:v>Research &amp; Analysis</x:v>
      </x:c>
      <x:c r="G605" s="86"/>
      <x:c r="H605" s="14" t="str">
        <x:f>IF($P605="","",INDEX(Tasks!$F$10:$F$1941,$P605)&amp;CHAR(10)&amp;INDEX(Tasks!$G$10:$G$1941,$P605))</x:f>
        <x:v>RA.BO.2.4
Establish and maintain a recurring meeting with D&amp;I to discuss Cycle progress</x:v>
      </x:c>
      <x:c r="I605" s="14"/>
      <x:c r="J605" s="14"/>
      <x:c r="K605" s="14"/>
      <x:c r="L605" s="86" t="str">
        <x:f>IF($P605="","",INDEX(Tasks!$N$10:$N$1941,$P605))</x:f>
        <x:v>Not started</x:v>
      </x:c>
      <x:c r="M605" s="87" t="n">
        <x:f>IF($P605="","",INDEX(Tasks!$J$10:$J$1941,$P605))</x:f>
        <x:v>46203</x:v>
      </x:c>
      <x:c r="N605" s="85" t="str">
        <x:f>IF($P605="","",HYPERLINK("#'"&amp;INDEX(Tasks!$T$10:$T$1941,$P605)&amp;"'!A"&amp;INDEX(Tasks!$U$10:$U$1941,$P605),"Open"))</x:f>
        <x:v>Open</x:v>
      </x:c>
      <x:c r="O605" s="14"/>
      <x:c r="P605" s="14" t="n">
        <x:f>IF(584&gt;$B$10,"",MATCH(584,Tasks!$S$10:$S$1941,0))</x:f>
        <x:v>948</x:v>
      </x:c>
    </x:row>
    <x:row r="606" ht="58" customHeight="1">
      <x:c r="B606" s="86" t="str">
        <x:f>IF($P606="","",INDEX(Tasks!$B$10:$B$1941,$P606))</x:f>
        <x:v>Cycle 2</x:v>
      </x:c>
      <x:c r="C606" s="86" t="str">
        <x:f>IF($P606="","",INDEX(Tasks!$C$10:$C$1941,$P606))</x:f>
        <x:v>Phase 2</x:v>
      </x:c>
      <x:c r="D606" s="86" t="str">
        <x:f>IF($P606="","",INDEX(Tasks!$D$10:$D$1941,$P606))</x:f>
        <x:v>CSBBO - Banking Ops</x:v>
      </x:c>
      <x:c r="E606" s="86"/>
      <x:c r="F606" s="86" t="str">
        <x:f>IF($P606="","",INDEX(Tasks!$E$10:$E$1941,$P606))</x:f>
        <x:v>Research &amp; Analysis</x:v>
      </x:c>
      <x:c r="G606" s="86"/>
      <x:c r="H606" s="14" t="str">
        <x:f>IF($P606="","",INDEX(Tasks!$F$10:$F$1941,$P606)&amp;CHAR(10)&amp;INDEX(Tasks!$G$10:$G$1941,$P606))</x:f>
        <x:v>RA.BO.2.5
Perform data testing and sampling</x:v>
      </x:c>
      <x:c r="I606" s="14"/>
      <x:c r="J606" s="14"/>
      <x:c r="K606" s="14"/>
      <x:c r="L606" s="86" t="str">
        <x:f>IF($P606="","",INDEX(Tasks!$N$10:$N$1941,$P606))</x:f>
        <x:v>Not started</x:v>
      </x:c>
      <x:c r="M606" s="87" t="n">
        <x:f>IF($P606="","",INDEX(Tasks!$J$10:$J$1941,$P606))</x:f>
        <x:v>46203</x:v>
      </x:c>
      <x:c r="N606" s="85" t="str">
        <x:f>IF($P606="","",HYPERLINK("#'"&amp;INDEX(Tasks!$T$10:$T$1941,$P606)&amp;"'!A"&amp;INDEX(Tasks!$U$10:$U$1941,$P606),"Open"))</x:f>
        <x:v>Open</x:v>
      </x:c>
      <x:c r="O606" s="14"/>
      <x:c r="P606" s="14" t="n">
        <x:f>IF(585&gt;$B$10,"",MATCH(585,Tasks!$S$10:$S$1941,0))</x:f>
        <x:v>949</x:v>
      </x:c>
    </x:row>
    <x:row r="607" ht="58" customHeight="1">
      <x:c r="B607" s="86" t="str">
        <x:f>IF($P607="","",INDEX(Tasks!$B$10:$B$1941,$P607))</x:f>
        <x:v>Cycle 2</x:v>
      </x:c>
      <x:c r="C607" s="86" t="str">
        <x:f>IF($P607="","",INDEX(Tasks!$C$10:$C$1941,$P607))</x:f>
        <x:v>Phase 2</x:v>
      </x:c>
      <x:c r="D607" s="86" t="str">
        <x:f>IF($P607="","",INDEX(Tasks!$D$10:$D$1941,$P607))</x:f>
        <x:v>CSBBO - Banking Ops</x:v>
      </x:c>
      <x:c r="E607" s="86"/>
      <x:c r="F607" s="86" t="str">
        <x:f>IF($P607="","",INDEX(Tasks!$E$10:$E$1941,$P607))</x:f>
        <x:v>Research &amp; Analysis</x:v>
      </x:c>
      <x:c r="G607" s="86"/>
      <x:c r="H607" s="14" t="str">
        <x:f>IF($P607="","",INDEX(Tasks!$F$10:$F$1941,$P607)&amp;CHAR(10)&amp;INDEX(Tasks!$G$10:$G$1941,$P607))</x:f>
        <x:v>RA.BO.2.6
Complete Positive Testing</x:v>
      </x:c>
      <x:c r="I607" s="14"/>
      <x:c r="J607" s="14"/>
      <x:c r="K607" s="14"/>
      <x:c r="L607" s="86" t="str">
        <x:f>IF($P607="","",INDEX(Tasks!$N$10:$N$1941,$P607))</x:f>
        <x:v>Not started</x:v>
      </x:c>
      <x:c r="M607" s="87" t="n">
        <x:f>IF($P607="","",INDEX(Tasks!$J$10:$J$1941,$P607))</x:f>
        <x:v>46203</x:v>
      </x:c>
      <x:c r="N607" s="85" t="str">
        <x:f>IF($P607="","",HYPERLINK("#'"&amp;INDEX(Tasks!$T$10:$T$1941,$P607)&amp;"'!A"&amp;INDEX(Tasks!$U$10:$U$1941,$P607),"Open"))</x:f>
        <x:v>Open</x:v>
      </x:c>
      <x:c r="O607" s="14"/>
      <x:c r="P607" s="14" t="n">
        <x:f>IF(586&gt;$B$10,"",MATCH(586,Tasks!$S$10:$S$1941,0))</x:f>
        <x:v>950</x:v>
      </x:c>
    </x:row>
    <x:row r="608" ht="58" customHeight="1">
      <x:c r="B608" s="86" t="str">
        <x:f>IF($P608="","",INDEX(Tasks!$B$10:$B$1941,$P608))</x:f>
        <x:v>Cycle 2</x:v>
      </x:c>
      <x:c r="C608" s="86" t="str">
        <x:f>IF($P608="","",INDEX(Tasks!$C$10:$C$1941,$P608))</x:f>
        <x:v>Phase 2</x:v>
      </x:c>
      <x:c r="D608" s="86" t="str">
        <x:f>IF($P608="","",INDEX(Tasks!$D$10:$D$1941,$P608))</x:f>
        <x:v>CSBBO - Banking Ops</x:v>
      </x:c>
      <x:c r="E608" s="86"/>
      <x:c r="F608" s="86" t="str">
        <x:f>IF($P608="","",INDEX(Tasks!$E$10:$E$1941,$P608))</x:f>
        <x:v>Research &amp; Analysis</x:v>
      </x:c>
      <x:c r="G608" s="86"/>
      <x:c r="H608" s="14" t="str">
        <x:f>IF($P608="","",INDEX(Tasks!$F$10:$F$1941,$P608)&amp;CHAR(10)&amp;INDEX(Tasks!$G$10:$G$1941,$P608))</x:f>
        <x:v>RA.BO.2.7
Complete Negative Testing</x:v>
      </x:c>
      <x:c r="I608" s="14"/>
      <x:c r="J608" s="14"/>
      <x:c r="K608" s="14"/>
      <x:c r="L608" s="86" t="str">
        <x:f>IF($P608="","",INDEX(Tasks!$N$10:$N$1941,$P608))</x:f>
        <x:v>Not started</x:v>
      </x:c>
      <x:c r="M608" s="87" t="n">
        <x:f>IF($P608="","",INDEX(Tasks!$J$10:$J$1941,$P608))</x:f>
        <x:v>46203</x:v>
      </x:c>
      <x:c r="N608" s="85" t="str">
        <x:f>IF($P608="","",HYPERLINK("#'"&amp;INDEX(Tasks!$T$10:$T$1941,$P608)&amp;"'!A"&amp;INDEX(Tasks!$U$10:$U$1941,$P608),"Open"))</x:f>
        <x:v>Open</x:v>
      </x:c>
      <x:c r="O608" s="14"/>
      <x:c r="P608" s="14" t="n">
        <x:f>IF(587&gt;$B$10,"",MATCH(587,Tasks!$S$10:$S$1941,0))</x:f>
        <x:v>951</x:v>
      </x:c>
    </x:row>
    <x:row r="609" ht="58" customHeight="1">
      <x:c r="B609" s="86" t="str">
        <x:f>IF($P609="","",INDEX(Tasks!$B$10:$B$1941,$P609))</x:f>
        <x:v>Cycle 2</x:v>
      </x:c>
      <x:c r="C609" s="86" t="str">
        <x:f>IF($P609="","",INDEX(Tasks!$C$10:$C$1941,$P609))</x:f>
        <x:v>Phase 2</x:v>
      </x:c>
      <x:c r="D609" s="86" t="str">
        <x:f>IF($P609="","",INDEX(Tasks!$D$10:$D$1941,$P609))</x:f>
        <x:v>CSBBO - Banking Ops</x:v>
      </x:c>
      <x:c r="E609" s="86"/>
      <x:c r="F609" s="86" t="str">
        <x:f>IF($P609="","",INDEX(Tasks!$E$10:$E$1941,$P609))</x:f>
        <x:v>Research &amp; Analysis</x:v>
      </x:c>
      <x:c r="G609" s="86"/>
      <x:c r="H609" s="14" t="str">
        <x:f>IF($P609="","",INDEX(Tasks!$F$10:$F$1941,$P609)&amp;CHAR(10)&amp;INDEX(Tasks!$G$10:$G$1941,$P609))</x:f>
        <x:v>RA.BO.2.8
Request additional data (as needed)</x:v>
      </x:c>
      <x:c r="I609" s="14"/>
      <x:c r="J609" s="14"/>
      <x:c r="K609" s="14"/>
      <x:c r="L609" s="86" t="str">
        <x:f>IF($P609="","",INDEX(Tasks!$N$10:$N$1941,$P609))</x:f>
        <x:v>Not started</x:v>
      </x:c>
      <x:c r="M609" s="87" t="n">
        <x:f>IF($P609="","",INDEX(Tasks!$J$10:$J$1941,$P609))</x:f>
        <x:v>46203</x:v>
      </x:c>
      <x:c r="N609" s="85" t="str">
        <x:f>IF($P609="","",HYPERLINK("#'"&amp;INDEX(Tasks!$T$10:$T$1941,$P609)&amp;"'!A"&amp;INDEX(Tasks!$U$10:$U$1941,$P609),"Open"))</x:f>
        <x:v>Open</x:v>
      </x:c>
      <x:c r="O609" s="14"/>
      <x:c r="P609" s="14" t="n">
        <x:f>IF(588&gt;$B$10,"",MATCH(588,Tasks!$S$10:$S$1941,0))</x:f>
        <x:v>952</x:v>
      </x:c>
    </x:row>
    <x:row r="610" ht="58" customHeight="1">
      <x:c r="B610" s="86" t="str">
        <x:f>IF($P610="","",INDEX(Tasks!$B$10:$B$1941,$P610))</x:f>
        <x:v>Cycle 2</x:v>
      </x:c>
      <x:c r="C610" s="86" t="str">
        <x:f>IF($P610="","",INDEX(Tasks!$C$10:$C$1941,$P610))</x:f>
        <x:v>Phase 2</x:v>
      </x:c>
      <x:c r="D610" s="86" t="str">
        <x:f>IF($P610="","",INDEX(Tasks!$D$10:$D$1941,$P610))</x:f>
        <x:v>CSBBO - Banking Ops</x:v>
      </x:c>
      <x:c r="E610" s="86"/>
      <x:c r="F610" s="86" t="str">
        <x:f>IF($P610="","",INDEX(Tasks!$E$10:$E$1941,$P610))</x:f>
        <x:v>Research &amp; Analysis</x:v>
      </x:c>
      <x:c r="G610" s="86"/>
      <x:c r="H610" s="14" t="str">
        <x:f>IF($P610="","",INDEX(Tasks!$F$10:$F$1941,$P610)&amp;CHAR(10)&amp;INDEX(Tasks!$G$10:$G$1941,$P610))</x:f>
        <x:v>RA.BO.2.9
Validate or disprove initial hypothesis assumptions</x:v>
      </x:c>
      <x:c r="I610" s="14"/>
      <x:c r="J610" s="14"/>
      <x:c r="K610" s="14"/>
      <x:c r="L610" s="86" t="str">
        <x:f>IF($P610="","",INDEX(Tasks!$N$10:$N$1941,$P610))</x:f>
        <x:v>Not started</x:v>
      </x:c>
      <x:c r="M610" s="87" t="n">
        <x:f>IF($P610="","",INDEX(Tasks!$J$10:$J$1941,$P610))</x:f>
        <x:v>46203</x:v>
      </x:c>
      <x:c r="N610" s="85" t="str">
        <x:f>IF($P610="","",HYPERLINK("#'"&amp;INDEX(Tasks!$T$10:$T$1941,$P610)&amp;"'!A"&amp;INDEX(Tasks!$U$10:$U$1941,$P610),"Open"))</x:f>
        <x:v>Open</x:v>
      </x:c>
      <x:c r="O610" s="14"/>
      <x:c r="P610" s="14" t="n">
        <x:f>IF(589&gt;$B$10,"",MATCH(589,Tasks!$S$10:$S$1941,0))</x:f>
        <x:v>953</x:v>
      </x:c>
    </x:row>
    <x:row r="611" ht="58" customHeight="1">
      <x:c r="B611" s="86" t="str">
        <x:f>IF($P611="","",INDEX(Tasks!$B$10:$B$1941,$P611))</x:f>
        <x:v>Cycle 2</x:v>
      </x:c>
      <x:c r="C611" s="86" t="str">
        <x:f>IF($P611="","",INDEX(Tasks!$C$10:$C$1941,$P611))</x:f>
        <x:v>Phase 2</x:v>
      </x:c>
      <x:c r="D611" s="86" t="str">
        <x:f>IF($P611="","",INDEX(Tasks!$D$10:$D$1941,$P611))</x:f>
        <x:v>CSBBO - Banking Ops</x:v>
      </x:c>
      <x:c r="E611" s="86"/>
      <x:c r="F611" s="86" t="str">
        <x:f>IF($P611="","",INDEX(Tasks!$E$10:$E$1941,$P611))</x:f>
        <x:v>Research &amp; Analysis</x:v>
      </x:c>
      <x:c r="G611" s="86"/>
      <x:c r="H611" s="14" t="str">
        <x:f>IF($P611="","",INDEX(Tasks!$F$10:$F$1941,$P611)&amp;CHAR(10)&amp;INDEX(Tasks!$G$10:$G$1941,$P611))</x:f>
        <x:v>RA.BO.2.10
Identify and confirm root cause</x:v>
      </x:c>
      <x:c r="I611" s="14"/>
      <x:c r="J611" s="14"/>
      <x:c r="K611" s="14"/>
      <x:c r="L611" s="86" t="str">
        <x:f>IF($P611="","",INDEX(Tasks!$N$10:$N$1941,$P611))</x:f>
        <x:v>Not started</x:v>
      </x:c>
      <x:c r="M611" s="87" t="n">
        <x:f>IF($P611="","",INDEX(Tasks!$J$10:$J$1941,$P611))</x:f>
        <x:v>46203</x:v>
      </x:c>
      <x:c r="N611" s="85" t="str">
        <x:f>IF($P611="","",HYPERLINK("#'"&amp;INDEX(Tasks!$T$10:$T$1941,$P611)&amp;"'!A"&amp;INDEX(Tasks!$U$10:$U$1941,$P611),"Open"))</x:f>
        <x:v>Open</x:v>
      </x:c>
      <x:c r="O611" s="14"/>
      <x:c r="P611" s="14" t="n">
        <x:f>IF(590&gt;$B$10,"",MATCH(590,Tasks!$S$10:$S$1941,0))</x:f>
        <x:v>954</x:v>
      </x:c>
    </x:row>
    <x:row r="612" ht="58" customHeight="1">
      <x:c r="B612" s="86" t="str">
        <x:f>IF($P612="","",INDEX(Tasks!$B$10:$B$1941,$P612))</x:f>
        <x:v>Cycle 2</x:v>
      </x:c>
      <x:c r="C612" s="86" t="str">
        <x:f>IF($P612="","",INDEX(Tasks!$C$10:$C$1941,$P612))</x:f>
        <x:v>Phase 3</x:v>
      </x:c>
      <x:c r="D612" s="86" t="str">
        <x:f>IF($P612="","",INDEX(Tasks!$D$10:$D$1941,$P612))</x:f>
        <x:v>CSBBO - Banking Ops</x:v>
      </x:c>
      <x:c r="E612" s="86"/>
      <x:c r="F612" s="86" t="str">
        <x:f>IF($P612="","",INDEX(Tasks!$E$10:$E$1941,$P612))</x:f>
        <x:v>Research &amp; Analysis</x:v>
      </x:c>
      <x:c r="G612" s="86"/>
      <x:c r="H612" s="14" t="str">
        <x:f>IF($P612="","",INDEX(Tasks!$F$10:$F$1941,$P612)&amp;CHAR(10)&amp;INDEX(Tasks!$G$10:$G$1941,$P612))</x:f>
        <x:v>RA.BO.3.1
Finalize results and supporting documentation</x:v>
      </x:c>
      <x:c r="I612" s="14"/>
      <x:c r="J612" s="14"/>
      <x:c r="K612" s="14"/>
      <x:c r="L612" s="86" t="str">
        <x:f>IF($P612="","",INDEX(Tasks!$N$10:$N$1941,$P612))</x:f>
        <x:v>Not started</x:v>
      </x:c>
      <x:c r="M612" s="87" t="n">
        <x:f>IF($P612="","",INDEX(Tasks!$J$10:$J$1941,$P612))</x:f>
        <x:v>46203</x:v>
      </x:c>
      <x:c r="N612" s="85" t="str">
        <x:f>IF($P612="","",HYPERLINK("#'"&amp;INDEX(Tasks!$T$10:$T$1941,$P612)&amp;"'!A"&amp;INDEX(Tasks!$U$10:$U$1941,$P612),"Open"))</x:f>
        <x:v>Open</x:v>
      </x:c>
      <x:c r="O612" s="14"/>
      <x:c r="P612" s="14" t="n">
        <x:f>IF(591&gt;$B$10,"",MATCH(591,Tasks!$S$10:$S$1941,0))</x:f>
        <x:v>955</x:v>
      </x:c>
    </x:row>
    <x:row r="613" ht="58" customHeight="1">
      <x:c r="B613" s="86" t="str">
        <x:f>IF($P613="","",INDEX(Tasks!$B$10:$B$1941,$P613))</x:f>
        <x:v>Cycle 2</x:v>
      </x:c>
      <x:c r="C613" s="86" t="str">
        <x:f>IF($P613="","",INDEX(Tasks!$C$10:$C$1941,$P613))</x:f>
        <x:v>Phase 3</x:v>
      </x:c>
      <x:c r="D613" s="86" t="str">
        <x:f>IF($P613="","",INDEX(Tasks!$D$10:$D$1941,$P613))</x:f>
        <x:v>CSBBO - Banking Ops</x:v>
      </x:c>
      <x:c r="E613" s="86"/>
      <x:c r="F613" s="86" t="str">
        <x:f>IF($P613="","",INDEX(Tasks!$E$10:$E$1941,$P613))</x:f>
        <x:v>Research &amp; Analysis</x:v>
      </x:c>
      <x:c r="G613" s="86"/>
      <x:c r="H613" s="14" t="str">
        <x:f>IF($P613="","",INDEX(Tasks!$F$10:$F$1941,$P613)&amp;CHAR(10)&amp;INDEX(Tasks!$G$10:$G$1941,$P613))</x:f>
        <x:v>RA.BO.3.2
Maintain and update the evidence package prior to handoff to D&amp;I</x:v>
      </x:c>
      <x:c r="I613" s="14"/>
      <x:c r="J613" s="14"/>
      <x:c r="K613" s="14"/>
      <x:c r="L613" s="86" t="str">
        <x:f>IF($P613="","",INDEX(Tasks!$N$10:$N$1941,$P613))</x:f>
        <x:v>Not started</x:v>
      </x:c>
      <x:c r="M613" s="87" t="n">
        <x:f>IF($P613="","",INDEX(Tasks!$J$10:$J$1941,$P613))</x:f>
        <x:v>46203</x:v>
      </x:c>
      <x:c r="N613" s="85" t="str">
        <x:f>IF($P613="","",HYPERLINK("#'"&amp;INDEX(Tasks!$T$10:$T$1941,$P613)&amp;"'!A"&amp;INDEX(Tasks!$U$10:$U$1941,$P613),"Open"))</x:f>
        <x:v>Open</x:v>
      </x:c>
      <x:c r="O613" s="14"/>
      <x:c r="P613" s="14" t="n">
        <x:f>IF(592&gt;$B$10,"",MATCH(592,Tasks!$S$10:$S$1941,0))</x:f>
        <x:v>956</x:v>
      </x:c>
    </x:row>
    <x:row r="614" ht="58" customHeight="1">
      <x:c r="B614" s="86" t="str">
        <x:f>IF($P614="","",INDEX(Tasks!$B$10:$B$1941,$P614))</x:f>
        <x:v>Cycle 2</x:v>
      </x:c>
      <x:c r="C614" s="86" t="str">
        <x:f>IF($P614="","",INDEX(Tasks!$C$10:$C$1941,$P614))</x:f>
        <x:v>Phase 3</x:v>
      </x:c>
      <x:c r="D614" s="86" t="str">
        <x:f>IF($P614="","",INDEX(Tasks!$D$10:$D$1941,$P614))</x:f>
        <x:v>CSBBO - Banking Ops</x:v>
      </x:c>
      <x:c r="E614" s="86"/>
      <x:c r="F614" s="86" t="str">
        <x:f>IF($P614="","",INDEX(Tasks!$E$10:$E$1941,$P614))</x:f>
        <x:v>Research &amp; Analysis</x:v>
      </x:c>
      <x:c r="G614" s="86"/>
      <x:c r="H614" s="14" t="str">
        <x:f>IF($P614="","",INDEX(Tasks!$F$10:$F$1941,$P614)&amp;CHAR(10)&amp;INDEX(Tasks!$G$10:$G$1941,$P614))</x:f>
        <x:v>RA.BO.3.3
Address any outstanding questions or requests from D&amp;I</x:v>
      </x:c>
      <x:c r="I614" s="14"/>
      <x:c r="J614" s="14"/>
      <x:c r="K614" s="14"/>
      <x:c r="L614" s="86" t="str">
        <x:f>IF($P614="","",INDEX(Tasks!$N$10:$N$1941,$P614))</x:f>
        <x:v>Not started</x:v>
      </x:c>
      <x:c r="M614" s="87" t="n">
        <x:f>IF($P614="","",INDEX(Tasks!$J$10:$J$1941,$P614))</x:f>
        <x:v>46203</x:v>
      </x:c>
      <x:c r="N614" s="85" t="str">
        <x:f>IF($P614="","",HYPERLINK("#'"&amp;INDEX(Tasks!$T$10:$T$1941,$P614)&amp;"'!A"&amp;INDEX(Tasks!$U$10:$U$1941,$P614),"Open"))</x:f>
        <x:v>Open</x:v>
      </x:c>
      <x:c r="O614" s="14"/>
      <x:c r="P614" s="14" t="n">
        <x:f>IF(593&gt;$B$10,"",MATCH(593,Tasks!$S$10:$S$1941,0))</x:f>
        <x:v>957</x:v>
      </x:c>
    </x:row>
    <x:row r="615" ht="58" customHeight="1">
      <x:c r="B615" s="86" t="str">
        <x:f>IF($P615="","",INDEX(Tasks!$B$10:$B$1941,$P615))</x:f>
        <x:v>Cycle 2</x:v>
      </x:c>
      <x:c r="C615" s="86" t="str">
        <x:f>IF($P615="","",INDEX(Tasks!$C$10:$C$1941,$P615))</x:f>
        <x:v>Phase 3</x:v>
      </x:c>
      <x:c r="D615" s="86" t="str">
        <x:f>IF($P615="","",INDEX(Tasks!$D$10:$D$1941,$P615))</x:f>
        <x:v>CSBBO - Banking Ops</x:v>
      </x:c>
      <x:c r="E615" s="86"/>
      <x:c r="F615" s="86" t="str">
        <x:f>IF($P615="","",INDEX(Tasks!$E$10:$E$1941,$P615))</x:f>
        <x:v>Research &amp; Analysis</x:v>
      </x:c>
      <x:c r="G615" s="86"/>
      <x:c r="H615" s="14" t="str">
        <x:f>IF($P615="","",INDEX(Tasks!$F$10:$F$1941,$P615)&amp;CHAR(10)&amp;INDEX(Tasks!$G$10:$G$1941,$P615))</x:f>
        <x:v>RA.BO.3.4
Attend Forum meeting with D&amp;I to assist with answering stakeholder questions (as needed)</x:v>
      </x:c>
      <x:c r="I615" s="14"/>
      <x:c r="J615" s="14"/>
      <x:c r="K615" s="14"/>
      <x:c r="L615" s="86" t="str">
        <x:f>IF($P615="","",INDEX(Tasks!$N$10:$N$1941,$P615))</x:f>
        <x:v>Not started</x:v>
      </x:c>
      <x:c r="M615" s="87" t="str">
        <x:f>IF($P615="","",INDEX(Tasks!$J$10:$J$1941,$P615))</x:f>
      </x:c>
      <x:c r="N615" s="85" t="str">
        <x:f>IF($P615="","",HYPERLINK("#'"&amp;INDEX(Tasks!$T$10:$T$1941,$P615)&amp;"'!A"&amp;INDEX(Tasks!$U$10:$U$1941,$P615),"Open"))</x:f>
        <x:v>Open</x:v>
      </x:c>
      <x:c r="O615" s="14"/>
      <x:c r="P615" s="14" t="n">
        <x:f>IF(594&gt;$B$10,"",MATCH(594,Tasks!$S$10:$S$1941,0))</x:f>
        <x:v>958</x:v>
      </x:c>
    </x:row>
    <x:row r="616" ht="58" customHeight="1">
      <x:c r="B616" s="86" t="str">
        <x:f>IF($P616="","",INDEX(Tasks!$B$10:$B$1941,$P616))</x:f>
        <x:v>Cycle 2</x:v>
      </x:c>
      <x:c r="C616" s="86" t="str">
        <x:f>IF($P616="","",INDEX(Tasks!$C$10:$C$1941,$P616))</x:f>
        <x:v>Phase 1</x:v>
      </x:c>
      <x:c r="D616" s="86" t="str">
        <x:f>IF($P616="","",INDEX(Tasks!$D$10:$D$1941,$P616))</x:f>
        <x:v>CSBBO - Customer Service</x:v>
      </x:c>
      <x:c r="E616" s="86"/>
      <x:c r="F616" s="86" t="str">
        <x:f>IF($P616="","",INDEX(Tasks!$E$10:$E$1941,$P616))</x:f>
        <x:v>Research &amp; Analysis</x:v>
      </x:c>
      <x:c r="G616" s="86"/>
      <x:c r="H616" s="14" t="str">
        <x:f>IF($P616="","",INDEX(Tasks!$F$10:$F$1941,$P616)&amp;CHAR(10)&amp;INDEX(Tasks!$G$10:$G$1941,$P616))</x:f>
        <x:v>RA.CS.1.1
Begin Research process 2 weeks prior to Cycle start</x:v>
      </x:c>
      <x:c r="I616" s="14"/>
      <x:c r="J616" s="14"/>
      <x:c r="K616" s="14"/>
      <x:c r="L616" s="86" t="str">
        <x:f>IF($P616="","",INDEX(Tasks!$N$10:$N$1941,$P616))</x:f>
        <x:v>Not started</x:v>
      </x:c>
      <x:c r="M616" s="87" t="n">
        <x:f>IF($P616="","",INDEX(Tasks!$J$10:$J$1941,$P616))</x:f>
        <x:v>46099</x:v>
      </x:c>
      <x:c r="N616" s="85" t="str">
        <x:f>IF($P616="","",HYPERLINK("#'"&amp;INDEX(Tasks!$T$10:$T$1941,$P616)&amp;"'!A"&amp;INDEX(Tasks!$U$10:$U$1941,$P616),"Open"))</x:f>
        <x:v>Open</x:v>
      </x:c>
      <x:c r="O616" s="14"/>
      <x:c r="P616" s="14" t="n">
        <x:f>IF(595&gt;$B$10,"",MATCH(595,Tasks!$S$10:$S$1941,0))</x:f>
        <x:v>959</x:v>
      </x:c>
    </x:row>
    <x:row r="617" ht="58" customHeight="1">
      <x:c r="B617" s="86" t="str">
        <x:f>IF($P617="","",INDEX(Tasks!$B$10:$B$1941,$P617))</x:f>
        <x:v>Cycle 2</x:v>
      </x:c>
      <x:c r="C617" s="86" t="str">
        <x:f>IF($P617="","",INDEX(Tasks!$C$10:$C$1941,$P617))</x:f>
        <x:v>Phase 1</x:v>
      </x:c>
      <x:c r="D617" s="86" t="str">
        <x:f>IF($P617="","",INDEX(Tasks!$D$10:$D$1941,$P617))</x:f>
        <x:v>CSBBO - Customer Service</x:v>
      </x:c>
      <x:c r="E617" s="86"/>
      <x:c r="F617" s="86" t="str">
        <x:f>IF($P617="","",INDEX(Tasks!$E$10:$E$1941,$P617))</x:f>
        <x:v>Research &amp; Analysis</x:v>
      </x:c>
      <x:c r="G617" s="86"/>
      <x:c r="H617" s="14" t="str">
        <x:f>IF($P617="","",INDEX(Tasks!$F$10:$F$1941,$P617)&amp;CHAR(10)&amp;INDEX(Tasks!$G$10:$G$1941,$P617))</x:f>
        <x:v>RA.CS.1.2
Conduct initial assessment of each topic recommendation from SharePoint list</x:v>
      </x:c>
      <x:c r="I617" s="14"/>
      <x:c r="J617" s="14"/>
      <x:c r="K617" s="14"/>
      <x:c r="L617" s="86" t="str">
        <x:f>IF($P617="","",INDEX(Tasks!$N$10:$N$1941,$P617))</x:f>
        <x:v>Not started</x:v>
      </x:c>
      <x:c r="M617" s="87" t="n">
        <x:f>IF($P617="","",INDEX(Tasks!$J$10:$J$1941,$P617))</x:f>
        <x:v>46203</x:v>
      </x:c>
      <x:c r="N617" s="85" t="str">
        <x:f>IF($P617="","",HYPERLINK("#'"&amp;INDEX(Tasks!$T$10:$T$1941,$P617)&amp;"'!A"&amp;INDEX(Tasks!$U$10:$U$1941,$P617),"Open"))</x:f>
        <x:v>Open</x:v>
      </x:c>
      <x:c r="O617" s="14"/>
      <x:c r="P617" s="14" t="n">
        <x:f>IF(596&gt;$B$10,"",MATCH(596,Tasks!$S$10:$S$1941,0))</x:f>
        <x:v>960</x:v>
      </x:c>
    </x:row>
    <x:row r="618" ht="58" customHeight="1">
      <x:c r="B618" s="86" t="str">
        <x:f>IF($P618="","",INDEX(Tasks!$B$10:$B$1941,$P618))</x:f>
        <x:v>Cycle 2</x:v>
      </x:c>
      <x:c r="C618" s="86" t="str">
        <x:f>IF($P618="","",INDEX(Tasks!$C$10:$C$1941,$P618))</x:f>
        <x:v>Phase 1</x:v>
      </x:c>
      <x:c r="D618" s="86" t="str">
        <x:f>IF($P618="","",INDEX(Tasks!$D$10:$D$1941,$P618))</x:f>
        <x:v>CSBBO - Customer Service</x:v>
      </x:c>
      <x:c r="E618" s="86"/>
      <x:c r="F618" s="86" t="str">
        <x:f>IF($P618="","",INDEX(Tasks!$E$10:$E$1941,$P618))</x:f>
        <x:v>Research &amp; Analysis</x:v>
      </x:c>
      <x:c r="G618" s="86"/>
      <x:c r="H618" s="14" t="str">
        <x:f>IF($P618="","",INDEX(Tasks!$F$10:$F$1941,$P618)&amp;CHAR(10)&amp;INDEX(Tasks!$G$10:$G$1941,$P618))</x:f>
        <x:v>RA.CS.1.3
Identify best topic for Cycle</x:v>
      </x:c>
      <x:c r="I618" s="14"/>
      <x:c r="J618" s="14"/>
      <x:c r="K618" s="14"/>
      <x:c r="L618" s="86" t="str">
        <x:f>IF($P618="","",INDEX(Tasks!$N$10:$N$1941,$P618))</x:f>
        <x:v>Not started</x:v>
      </x:c>
      <x:c r="M618" s="87" t="n">
        <x:f>IF($P618="","",INDEX(Tasks!$J$10:$J$1941,$P618))</x:f>
        <x:v>46203</x:v>
      </x:c>
      <x:c r="N618" s="85" t="str">
        <x:f>IF($P618="","",HYPERLINK("#'"&amp;INDEX(Tasks!$T$10:$T$1941,$P618)&amp;"'!A"&amp;INDEX(Tasks!$U$10:$U$1941,$P618),"Open"))</x:f>
        <x:v>Open</x:v>
      </x:c>
      <x:c r="O618" s="14"/>
      <x:c r="P618" s="14" t="n">
        <x:f>IF(597&gt;$B$10,"",MATCH(597,Tasks!$S$10:$S$1941,0))</x:f>
        <x:v>961</x:v>
      </x:c>
    </x:row>
    <x:row r="619" ht="58" customHeight="1">
      <x:c r="B619" s="86" t="str">
        <x:f>IF($P619="","",INDEX(Tasks!$B$10:$B$1941,$P619))</x:f>
        <x:v>Cycle 2</x:v>
      </x:c>
      <x:c r="C619" s="86" t="str">
        <x:f>IF($P619="","",INDEX(Tasks!$C$10:$C$1941,$P619))</x:f>
        <x:v>Phase 1</x:v>
      </x:c>
      <x:c r="D619" s="86" t="str">
        <x:f>IF($P619="","",INDEX(Tasks!$D$10:$D$1941,$P619))</x:f>
        <x:v>CSBBO - Customer Service</x:v>
      </x:c>
      <x:c r="E619" s="86"/>
      <x:c r="F619" s="86" t="str">
        <x:f>IF($P619="","",INDEX(Tasks!$E$10:$E$1941,$P619))</x:f>
        <x:v>Research &amp; Analysis</x:v>
      </x:c>
      <x:c r="G619" s="86"/>
      <x:c r="H619" s="14" t="str">
        <x:f>IF($P619="","",INDEX(Tasks!$F$10:$F$1941,$P619)&amp;CHAR(10)&amp;INDEX(Tasks!$G$10:$G$1941,$P619))</x:f>
        <x:v>RA.CS.1.4
Identify backup topic for Cycle</x:v>
      </x:c>
      <x:c r="I619" s="14"/>
      <x:c r="J619" s="14"/>
      <x:c r="K619" s="14"/>
      <x:c r="L619" s="86" t="str">
        <x:f>IF($P619="","",INDEX(Tasks!$N$10:$N$1941,$P619))</x:f>
        <x:v>Not started</x:v>
      </x:c>
      <x:c r="M619" s="87" t="n">
        <x:f>IF($P619="","",INDEX(Tasks!$J$10:$J$1941,$P619))</x:f>
        <x:v>46203</x:v>
      </x:c>
      <x:c r="N619" s="85" t="str">
        <x:f>IF($P619="","",HYPERLINK("#'"&amp;INDEX(Tasks!$T$10:$T$1941,$P619)&amp;"'!A"&amp;INDEX(Tasks!$U$10:$U$1941,$P619),"Open"))</x:f>
        <x:v>Open</x:v>
      </x:c>
      <x:c r="O619" s="14"/>
      <x:c r="P619" s="14" t="n">
        <x:f>IF(598&gt;$B$10,"",MATCH(598,Tasks!$S$10:$S$1941,0))</x:f>
        <x:v>962</x:v>
      </x:c>
    </x:row>
    <x:row r="620" ht="58" customHeight="1">
      <x:c r="B620" s="86" t="str">
        <x:f>IF($P620="","",INDEX(Tasks!$B$10:$B$1941,$P620))</x:f>
        <x:v>Cycle 2</x:v>
      </x:c>
      <x:c r="C620" s="86" t="str">
        <x:f>IF($P620="","",INDEX(Tasks!$C$10:$C$1941,$P620))</x:f>
        <x:v>Phase 1</x:v>
      </x:c>
      <x:c r="D620" s="86" t="str">
        <x:f>IF($P620="","",INDEX(Tasks!$D$10:$D$1941,$P620))</x:f>
        <x:v>CSBBO - Customer Service</x:v>
      </x:c>
      <x:c r="E620" s="86"/>
      <x:c r="F620" s="86" t="str">
        <x:f>IF($P620="","",INDEX(Tasks!$E$10:$E$1941,$P620))</x:f>
        <x:v>Research &amp; Analysis</x:v>
      </x:c>
      <x:c r="G620" s="86"/>
      <x:c r="H620" s="14" t="str">
        <x:f>IF($P620="","",INDEX(Tasks!$F$10:$F$1941,$P620)&amp;CHAR(10)&amp;INDEX(Tasks!$G$10:$G$1941,$P620))</x:f>
        <x:v>RA.CS.1.5
Schedule topic approval meeting with D&amp;I and management</x:v>
      </x:c>
      <x:c r="I620" s="14"/>
      <x:c r="J620" s="14"/>
      <x:c r="K620" s="14"/>
      <x:c r="L620" s="86" t="str">
        <x:f>IF($P620="","",INDEX(Tasks!$N$10:$N$1941,$P620))</x:f>
        <x:v>Not started</x:v>
      </x:c>
      <x:c r="M620" s="87" t="n">
        <x:f>IF($P620="","",INDEX(Tasks!$J$10:$J$1941,$P620))</x:f>
        <x:v>46203</x:v>
      </x:c>
      <x:c r="N620" s="85" t="str">
        <x:f>IF($P620="","",HYPERLINK("#'"&amp;INDEX(Tasks!$T$10:$T$1941,$P620)&amp;"'!A"&amp;INDEX(Tasks!$U$10:$U$1941,$P620),"Open"))</x:f>
        <x:v>Open</x:v>
      </x:c>
      <x:c r="O620" s="14"/>
      <x:c r="P620" s="14" t="n">
        <x:f>IF(599&gt;$B$10,"",MATCH(599,Tasks!$S$10:$S$1941,0))</x:f>
        <x:v>963</x:v>
      </x:c>
    </x:row>
    <x:row r="621" ht="58" customHeight="1">
      <x:c r="B621" s="86" t="str">
        <x:f>IF($P621="","",INDEX(Tasks!$B$10:$B$1941,$P621))</x:f>
        <x:v>Cycle 2</x:v>
      </x:c>
      <x:c r="C621" s="86" t="str">
        <x:f>IF($P621="","",INDEX(Tasks!$C$10:$C$1941,$P621))</x:f>
        <x:v>Phase 1</x:v>
      </x:c>
      <x:c r="D621" s="86" t="str">
        <x:f>IF($P621="","",INDEX(Tasks!$D$10:$D$1941,$P621))</x:f>
        <x:v>CSBBO - Customer Service</x:v>
      </x:c>
      <x:c r="E621" s="86"/>
      <x:c r="F621" s="86" t="str">
        <x:f>IF($P621="","",INDEX(Tasks!$E$10:$E$1941,$P621))</x:f>
        <x:v>Research &amp; Analysis</x:v>
      </x:c>
      <x:c r="G621" s="86"/>
      <x:c r="H621" s="14" t="str">
        <x:f>IF($P621="","",INDEX(Tasks!$F$10:$F$1941,$P621)&amp;CHAR(10)&amp;INDEX(Tasks!$G$10:$G$1941,$P621))</x:f>
        <x:v>RA.CS.1.6
Present recommended topic to D&amp;I and management for approval</x:v>
      </x:c>
      <x:c r="I621" s="14"/>
      <x:c r="J621" s="14"/>
      <x:c r="K621" s="14"/>
      <x:c r="L621" s="86" t="str">
        <x:f>IF($P621="","",INDEX(Tasks!$N$10:$N$1941,$P621))</x:f>
        <x:v>Not started</x:v>
      </x:c>
      <x:c r="M621" s="87" t="n">
        <x:f>IF($P621="","",INDEX(Tasks!$J$10:$J$1941,$P621))</x:f>
        <x:v>46203</x:v>
      </x:c>
      <x:c r="N621" s="85" t="str">
        <x:f>IF($P621="","",HYPERLINK("#'"&amp;INDEX(Tasks!$T$10:$T$1941,$P621)&amp;"'!A"&amp;INDEX(Tasks!$U$10:$U$1941,$P621),"Open"))</x:f>
        <x:v>Open</x:v>
      </x:c>
      <x:c r="O621" s="14"/>
      <x:c r="P621" s="14" t="n">
        <x:f>IF(600&gt;$B$10,"",MATCH(600,Tasks!$S$10:$S$1941,0))</x:f>
        <x:v>964</x:v>
      </x:c>
    </x:row>
    <x:row r="622" ht="58" customHeight="1">
      <x:c r="B622" s="86" t="str">
        <x:f>IF($P622="","",INDEX(Tasks!$B$10:$B$1941,$P622))</x:f>
        <x:v>Cycle 2</x:v>
      </x:c>
      <x:c r="C622" s="86" t="str">
        <x:f>IF($P622="","",INDEX(Tasks!$C$10:$C$1941,$P622))</x:f>
        <x:v>Phase 1</x:v>
      </x:c>
      <x:c r="D622" s="86" t="str">
        <x:f>IF($P622="","",INDEX(Tasks!$D$10:$D$1941,$P622))</x:f>
        <x:v>CSBBO - Customer Service</x:v>
      </x:c>
      <x:c r="E622" s="86"/>
      <x:c r="F622" s="86" t="str">
        <x:f>IF($P622="","",INDEX(Tasks!$E$10:$E$1941,$P622))</x:f>
        <x:v>Research &amp; Analysis</x:v>
      </x:c>
      <x:c r="G622" s="86"/>
      <x:c r="H622" s="14" t="str">
        <x:f>IF($P622="","",INDEX(Tasks!$F$10:$F$1941,$P622)&amp;CHAR(10)&amp;INDEX(Tasks!$G$10:$G$1941,$P622))</x:f>
        <x:v>RA.CS.1.7
Obtain formal topic selection approval from management via SharePoint</x:v>
      </x:c>
      <x:c r="I622" s="14"/>
      <x:c r="J622" s="14"/>
      <x:c r="K622" s="14"/>
      <x:c r="L622" s="86" t="str">
        <x:f>IF($P622="","",INDEX(Tasks!$N$10:$N$1941,$P622))</x:f>
        <x:v>Not started</x:v>
      </x:c>
      <x:c r="M622" s="87" t="n">
        <x:f>IF($P622="","",INDEX(Tasks!$J$10:$J$1941,$P622))</x:f>
        <x:v>46203</x:v>
      </x:c>
      <x:c r="N622" s="85" t="str">
        <x:f>IF($P622="","",HYPERLINK("#'"&amp;INDEX(Tasks!$T$10:$T$1941,$P622)&amp;"'!A"&amp;INDEX(Tasks!$U$10:$U$1941,$P622),"Open"))</x:f>
        <x:v>Open</x:v>
      </x:c>
      <x:c r="O622" s="14"/>
      <x:c r="P622" s="14" t="n">
        <x:f>IF(601&gt;$B$10,"",MATCH(601,Tasks!$S$10:$S$1941,0))</x:f>
        <x:v>965</x:v>
      </x:c>
    </x:row>
    <x:row r="623" ht="58" customHeight="1">
      <x:c r="B623" s="86" t="str">
        <x:f>IF($P623="","",INDEX(Tasks!$B$10:$B$1941,$P623))</x:f>
        <x:v>Cycle 2</x:v>
      </x:c>
      <x:c r="C623" s="86" t="str">
        <x:f>IF($P623="","",INDEX(Tasks!$C$10:$C$1941,$P623))</x:f>
        <x:v>Phase 1</x:v>
      </x:c>
      <x:c r="D623" s="86" t="str">
        <x:f>IF($P623="","",INDEX(Tasks!$D$10:$D$1941,$P623))</x:f>
        <x:v>CSBBO - Customer Service</x:v>
      </x:c>
      <x:c r="E623" s="86"/>
      <x:c r="F623" s="86" t="str">
        <x:f>IF($P623="","",INDEX(Tasks!$E$10:$E$1941,$P623))</x:f>
        <x:v>Research &amp; Analysis</x:v>
      </x:c>
      <x:c r="G623" s="86"/>
      <x:c r="H623" s="14" t="str">
        <x:f>IF($P623="","",INDEX(Tasks!$F$10:$F$1941,$P623)&amp;CHAR(10)&amp;INDEX(Tasks!$G$10:$G$1941,$P623))</x:f>
        <x:v>RA.CS.1.8
Socialize topic selection with product owners and subject matter experts (if known)</x:v>
      </x:c>
      <x:c r="I623" s="14"/>
      <x:c r="J623" s="14"/>
      <x:c r="K623" s="14"/>
      <x:c r="L623" s="86" t="str">
        <x:f>IF($P623="","",INDEX(Tasks!$N$10:$N$1941,$P623))</x:f>
        <x:v>Not started</x:v>
      </x:c>
      <x:c r="M623" s="87" t="n">
        <x:f>IF($P623="","",INDEX(Tasks!$J$10:$J$1941,$P623))</x:f>
        <x:v>46203</x:v>
      </x:c>
      <x:c r="N623" s="85" t="str">
        <x:f>IF($P623="","",HYPERLINK("#'"&amp;INDEX(Tasks!$T$10:$T$1941,$P623)&amp;"'!A"&amp;INDEX(Tasks!$U$10:$U$1941,$P623),"Open"))</x:f>
        <x:v>Open</x:v>
      </x:c>
      <x:c r="O623" s="14"/>
      <x:c r="P623" s="14" t="n">
        <x:f>IF(602&gt;$B$10,"",MATCH(602,Tasks!$S$10:$S$1941,0))</x:f>
        <x:v>966</x:v>
      </x:c>
    </x:row>
    <x:row r="624" ht="58" customHeight="1">
      <x:c r="B624" s="86" t="str">
        <x:f>IF($P624="","",INDEX(Tasks!$B$10:$B$1941,$P624))</x:f>
        <x:v>Cycle 2</x:v>
      </x:c>
      <x:c r="C624" s="86" t="str">
        <x:f>IF($P624="","",INDEX(Tasks!$C$10:$C$1941,$P624))</x:f>
        <x:v>Phase 1</x:v>
      </x:c>
      <x:c r="D624" s="86" t="str">
        <x:f>IF($P624="","",INDEX(Tasks!$D$10:$D$1941,$P624))</x:f>
        <x:v>CSBBO - Customer Service</x:v>
      </x:c>
      <x:c r="E624" s="86"/>
      <x:c r="F624" s="86" t="str">
        <x:f>IF($P624="","",INDEX(Tasks!$E$10:$E$1941,$P624))</x:f>
        <x:v>Research &amp; Analysis</x:v>
      </x:c>
      <x:c r="G624" s="86"/>
      <x:c r="H624" s="14" t="str">
        <x:f>IF($P624="","",INDEX(Tasks!$F$10:$F$1941,$P624)&amp;CHAR(10)&amp;INDEX(Tasks!$G$10:$G$1941,$P624))</x:f>
        <x:v>RA.CS.1.9
Assign topic researchers</x:v>
      </x:c>
      <x:c r="I624" s="14"/>
      <x:c r="J624" s="14"/>
      <x:c r="K624" s="14"/>
      <x:c r="L624" s="86" t="str">
        <x:f>IF($P624="","",INDEX(Tasks!$N$10:$N$1941,$P624))</x:f>
        <x:v>Not started</x:v>
      </x:c>
      <x:c r="M624" s="87" t="n">
        <x:f>IF($P624="","",INDEX(Tasks!$J$10:$J$1941,$P624))</x:f>
        <x:v>46203</x:v>
      </x:c>
      <x:c r="N624" s="85" t="str">
        <x:f>IF($P624="","",HYPERLINK("#'"&amp;INDEX(Tasks!$T$10:$T$1941,$P624)&amp;"'!A"&amp;INDEX(Tasks!$U$10:$U$1941,$P624),"Open"))</x:f>
        <x:v>Open</x:v>
      </x:c>
      <x:c r="O624" s="14"/>
      <x:c r="P624" s="14" t="n">
        <x:f>IF(603&gt;$B$10,"",MATCH(603,Tasks!$S$10:$S$1941,0))</x:f>
        <x:v>967</x:v>
      </x:c>
    </x:row>
    <x:row r="625" ht="58" customHeight="1">
      <x:c r="B625" s="86" t="str">
        <x:f>IF($P625="","",INDEX(Tasks!$B$10:$B$1941,$P625))</x:f>
        <x:v>Cycle 2</x:v>
      </x:c>
      <x:c r="C625" s="86" t="str">
        <x:f>IF($P625="","",INDEX(Tasks!$C$10:$C$1941,$P625))</x:f>
        <x:v>Phase 2</x:v>
      </x:c>
      <x:c r="D625" s="86" t="str">
        <x:f>IF($P625="","",INDEX(Tasks!$D$10:$D$1941,$P625))</x:f>
        <x:v>CSBBO - Customer Service</x:v>
      </x:c>
      <x:c r="E625" s="86"/>
      <x:c r="F625" s="86" t="str">
        <x:f>IF($P625="","",INDEX(Tasks!$E$10:$E$1941,$P625))</x:f>
        <x:v>Research &amp; Analysis</x:v>
      </x:c>
      <x:c r="G625" s="86"/>
      <x:c r="H625" s="14" t="str">
        <x:f>IF($P625="","",INDEX(Tasks!$F$10:$F$1941,$P625)&amp;CHAR(10)&amp;INDEX(Tasks!$G$10:$G$1941,$P625))</x:f>
        <x:v>RA.CS.2.1
Review data sources</x:v>
      </x:c>
      <x:c r="I625" s="14"/>
      <x:c r="J625" s="14"/>
      <x:c r="K625" s="14"/>
      <x:c r="L625" s="86" t="str">
        <x:f>IF($P625="","",INDEX(Tasks!$N$10:$N$1941,$P625))</x:f>
        <x:v>Not started</x:v>
      </x:c>
      <x:c r="M625" s="87" t="n">
        <x:f>IF($P625="","",INDEX(Tasks!$J$10:$J$1941,$P625))</x:f>
        <x:v>46203</x:v>
      </x:c>
      <x:c r="N625" s="85" t="str">
        <x:f>IF($P625="","",HYPERLINK("#'"&amp;INDEX(Tasks!$T$10:$T$1941,$P625)&amp;"'!A"&amp;INDEX(Tasks!$U$10:$U$1941,$P625),"Open"))</x:f>
        <x:v>Open</x:v>
      </x:c>
      <x:c r="O625" s="14"/>
      <x:c r="P625" s="14" t="n">
        <x:f>IF(604&gt;$B$10,"",MATCH(604,Tasks!$S$10:$S$1941,0))</x:f>
        <x:v>968</x:v>
      </x:c>
    </x:row>
    <x:row r="626" ht="58" customHeight="1">
      <x:c r="B626" s="86" t="str">
        <x:f>IF($P626="","",INDEX(Tasks!$B$10:$B$1941,$P626))</x:f>
        <x:v>Cycle 2</x:v>
      </x:c>
      <x:c r="C626" s="86" t="str">
        <x:f>IF($P626="","",INDEX(Tasks!$C$10:$C$1941,$P626))</x:f>
        <x:v>Phase 2</x:v>
      </x:c>
      <x:c r="D626" s="86" t="str">
        <x:f>IF($P626="","",INDEX(Tasks!$D$10:$D$1941,$P626))</x:f>
        <x:v>CSBBO - Customer Service</x:v>
      </x:c>
      <x:c r="E626" s="86"/>
      <x:c r="F626" s="86" t="str">
        <x:f>IF($P626="","",INDEX(Tasks!$E$10:$E$1941,$P626))</x:f>
        <x:v>Research &amp; Analysis</x:v>
      </x:c>
      <x:c r="G626" s="86"/>
      <x:c r="H626" s="14" t="str">
        <x:f>IF($P626="","",INDEX(Tasks!$F$10:$F$1941,$P626)&amp;CHAR(10)&amp;INDEX(Tasks!$G$10:$G$1941,$P626))</x:f>
        <x:v>RA.CS.2.2
Review relevant policies and procedures</x:v>
      </x:c>
      <x:c r="I626" s="14"/>
      <x:c r="J626" s="14"/>
      <x:c r="K626" s="14"/>
      <x:c r="L626" s="86" t="str">
        <x:f>IF($P626="","",INDEX(Tasks!$N$10:$N$1941,$P626))</x:f>
        <x:v>Not started</x:v>
      </x:c>
      <x:c r="M626" s="87" t="n">
        <x:f>IF($P626="","",INDEX(Tasks!$J$10:$J$1941,$P626))</x:f>
        <x:v>46203</x:v>
      </x:c>
      <x:c r="N626" s="85" t="str">
        <x:f>IF($P626="","",HYPERLINK("#'"&amp;INDEX(Tasks!$T$10:$T$1941,$P626)&amp;"'!A"&amp;INDEX(Tasks!$U$10:$U$1941,$P626),"Open"))</x:f>
        <x:v>Open</x:v>
      </x:c>
      <x:c r="O626" s="14"/>
      <x:c r="P626" s="14" t="n">
        <x:f>IF(605&gt;$B$10,"",MATCH(605,Tasks!$S$10:$S$1941,0))</x:f>
        <x:v>969</x:v>
      </x:c>
    </x:row>
    <x:row r="627" ht="58" customHeight="1">
      <x:c r="B627" s="86" t="str">
        <x:f>IF($P627="","",INDEX(Tasks!$B$10:$B$1941,$P627))</x:f>
        <x:v>Cycle 2</x:v>
      </x:c>
      <x:c r="C627" s="86" t="str">
        <x:f>IF($P627="","",INDEX(Tasks!$C$10:$C$1941,$P627))</x:f>
        <x:v>Phase 2</x:v>
      </x:c>
      <x:c r="D627" s="86" t="str">
        <x:f>IF($P627="","",INDEX(Tasks!$D$10:$D$1941,$P627))</x:f>
        <x:v>CSBBO - Customer Service</x:v>
      </x:c>
      <x:c r="E627" s="86"/>
      <x:c r="F627" s="86" t="str">
        <x:f>IF($P627="","",INDEX(Tasks!$E$10:$E$1941,$P627))</x:f>
        <x:v>Research &amp; Analysis</x:v>
      </x:c>
      <x:c r="G627" s="86"/>
      <x:c r="H627" s="14" t="str">
        <x:f>IF($P627="","",INDEX(Tasks!$F$10:$F$1941,$P627)&amp;CHAR(10)&amp;INDEX(Tasks!$G$10:$G$1941,$P627))</x:f>
        <x:v>RA.CS.2.3
Meet with SMEs to gain business insight and clarify questions</x:v>
      </x:c>
      <x:c r="I627" s="14"/>
      <x:c r="J627" s="14"/>
      <x:c r="K627" s="14"/>
      <x:c r="L627" s="86" t="str">
        <x:f>IF($P627="","",INDEX(Tasks!$N$10:$N$1941,$P627))</x:f>
        <x:v>Not started</x:v>
      </x:c>
      <x:c r="M627" s="87" t="n">
        <x:f>IF($P627="","",INDEX(Tasks!$J$10:$J$1941,$P627))</x:f>
        <x:v>46203</x:v>
      </x:c>
      <x:c r="N627" s="85" t="str">
        <x:f>IF($P627="","",HYPERLINK("#'"&amp;INDEX(Tasks!$T$10:$T$1941,$P627)&amp;"'!A"&amp;INDEX(Tasks!$U$10:$U$1941,$P627),"Open"))</x:f>
        <x:v>Open</x:v>
      </x:c>
      <x:c r="O627" s="14"/>
      <x:c r="P627" s="14" t="n">
        <x:f>IF(606&gt;$B$10,"",MATCH(606,Tasks!$S$10:$S$1941,0))</x:f>
        <x:v>970</x:v>
      </x:c>
    </x:row>
    <x:row r="628" ht="58" customHeight="1">
      <x:c r="B628" s="86" t="str">
        <x:f>IF($P628="","",INDEX(Tasks!$B$10:$B$1941,$P628))</x:f>
        <x:v>Cycle 2</x:v>
      </x:c>
      <x:c r="C628" s="86" t="str">
        <x:f>IF($P628="","",INDEX(Tasks!$C$10:$C$1941,$P628))</x:f>
        <x:v>Phase 2</x:v>
      </x:c>
      <x:c r="D628" s="86" t="str">
        <x:f>IF($P628="","",INDEX(Tasks!$D$10:$D$1941,$P628))</x:f>
        <x:v>CSBBO - Customer Service</x:v>
      </x:c>
      <x:c r="E628" s="86"/>
      <x:c r="F628" s="86" t="str">
        <x:f>IF($P628="","",INDEX(Tasks!$E$10:$E$1941,$P628))</x:f>
        <x:v>Research &amp; Analysis</x:v>
      </x:c>
      <x:c r="G628" s="86"/>
      <x:c r="H628" s="14" t="str">
        <x:f>IF($P628="","",INDEX(Tasks!$F$10:$F$1941,$P628)&amp;CHAR(10)&amp;INDEX(Tasks!$G$10:$G$1941,$P628))</x:f>
        <x:v>RA.CS.2.4
Establish and maintain a recurring meeting with D&amp;I to discuss Cycle progress</x:v>
      </x:c>
      <x:c r="I628" s="14"/>
      <x:c r="J628" s="14"/>
      <x:c r="K628" s="14"/>
      <x:c r="L628" s="86" t="str">
        <x:f>IF($P628="","",INDEX(Tasks!$N$10:$N$1941,$P628))</x:f>
        <x:v>Not started</x:v>
      </x:c>
      <x:c r="M628" s="87" t="n">
        <x:f>IF($P628="","",INDEX(Tasks!$J$10:$J$1941,$P628))</x:f>
        <x:v>46203</x:v>
      </x:c>
      <x:c r="N628" s="85" t="str">
        <x:f>IF($P628="","",HYPERLINK("#'"&amp;INDEX(Tasks!$T$10:$T$1941,$P628)&amp;"'!A"&amp;INDEX(Tasks!$U$10:$U$1941,$P628),"Open"))</x:f>
        <x:v>Open</x:v>
      </x:c>
      <x:c r="O628" s="14"/>
      <x:c r="P628" s="14" t="n">
        <x:f>IF(607&gt;$B$10,"",MATCH(607,Tasks!$S$10:$S$1941,0))</x:f>
        <x:v>971</x:v>
      </x:c>
    </x:row>
    <x:row r="629" ht="58" customHeight="1">
      <x:c r="B629" s="86" t="str">
        <x:f>IF($P629="","",INDEX(Tasks!$B$10:$B$1941,$P629))</x:f>
        <x:v>Cycle 2</x:v>
      </x:c>
      <x:c r="C629" s="86" t="str">
        <x:f>IF($P629="","",INDEX(Tasks!$C$10:$C$1941,$P629))</x:f>
        <x:v>Phase 2</x:v>
      </x:c>
      <x:c r="D629" s="86" t="str">
        <x:f>IF($P629="","",INDEX(Tasks!$D$10:$D$1941,$P629))</x:f>
        <x:v>CSBBO - Customer Service</x:v>
      </x:c>
      <x:c r="E629" s="86"/>
      <x:c r="F629" s="86" t="str">
        <x:f>IF($P629="","",INDEX(Tasks!$E$10:$E$1941,$P629))</x:f>
        <x:v>Research &amp; Analysis</x:v>
      </x:c>
      <x:c r="G629" s="86"/>
      <x:c r="H629" s="14" t="str">
        <x:f>IF($P629="","",INDEX(Tasks!$F$10:$F$1941,$P629)&amp;CHAR(10)&amp;INDEX(Tasks!$G$10:$G$1941,$P629))</x:f>
        <x:v>RA.CS.2.5
Perform data testing and sampling</x:v>
      </x:c>
      <x:c r="I629" s="14"/>
      <x:c r="J629" s="14"/>
      <x:c r="K629" s="14"/>
      <x:c r="L629" s="86" t="str">
        <x:f>IF($P629="","",INDEX(Tasks!$N$10:$N$1941,$P629))</x:f>
        <x:v>Not started</x:v>
      </x:c>
      <x:c r="M629" s="87" t="n">
        <x:f>IF($P629="","",INDEX(Tasks!$J$10:$J$1941,$P629))</x:f>
        <x:v>46203</x:v>
      </x:c>
      <x:c r="N629" s="85" t="str">
        <x:f>IF($P629="","",HYPERLINK("#'"&amp;INDEX(Tasks!$T$10:$T$1941,$P629)&amp;"'!A"&amp;INDEX(Tasks!$U$10:$U$1941,$P629),"Open"))</x:f>
        <x:v>Open</x:v>
      </x:c>
      <x:c r="O629" s="14"/>
      <x:c r="P629" s="14" t="n">
        <x:f>IF(608&gt;$B$10,"",MATCH(608,Tasks!$S$10:$S$1941,0))</x:f>
        <x:v>972</x:v>
      </x:c>
    </x:row>
    <x:row r="630" ht="58" customHeight="1">
      <x:c r="B630" s="86" t="str">
        <x:f>IF($P630="","",INDEX(Tasks!$B$10:$B$1941,$P630))</x:f>
        <x:v>Cycle 2</x:v>
      </x:c>
      <x:c r="C630" s="86" t="str">
        <x:f>IF($P630="","",INDEX(Tasks!$C$10:$C$1941,$P630))</x:f>
        <x:v>Phase 2</x:v>
      </x:c>
      <x:c r="D630" s="86" t="str">
        <x:f>IF($P630="","",INDEX(Tasks!$D$10:$D$1941,$P630))</x:f>
        <x:v>CSBBO - Customer Service</x:v>
      </x:c>
      <x:c r="E630" s="86"/>
      <x:c r="F630" s="86" t="str">
        <x:f>IF($P630="","",INDEX(Tasks!$E$10:$E$1941,$P630))</x:f>
        <x:v>Research &amp; Analysis</x:v>
      </x:c>
      <x:c r="G630" s="86"/>
      <x:c r="H630" s="14" t="str">
        <x:f>IF($P630="","",INDEX(Tasks!$F$10:$F$1941,$P630)&amp;CHAR(10)&amp;INDEX(Tasks!$G$10:$G$1941,$P630))</x:f>
        <x:v>RA.CS.2.6
Complete Positive Testing</x:v>
      </x:c>
      <x:c r="I630" s="14"/>
      <x:c r="J630" s="14"/>
      <x:c r="K630" s="14"/>
      <x:c r="L630" s="86" t="str">
        <x:f>IF($P630="","",INDEX(Tasks!$N$10:$N$1941,$P630))</x:f>
        <x:v>Not started</x:v>
      </x:c>
      <x:c r="M630" s="87" t="n">
        <x:f>IF($P630="","",INDEX(Tasks!$J$10:$J$1941,$P630))</x:f>
        <x:v>46203</x:v>
      </x:c>
      <x:c r="N630" s="85" t="str">
        <x:f>IF($P630="","",HYPERLINK("#'"&amp;INDEX(Tasks!$T$10:$T$1941,$P630)&amp;"'!A"&amp;INDEX(Tasks!$U$10:$U$1941,$P630),"Open"))</x:f>
        <x:v>Open</x:v>
      </x:c>
      <x:c r="O630" s="14"/>
      <x:c r="P630" s="14" t="n">
        <x:f>IF(609&gt;$B$10,"",MATCH(609,Tasks!$S$10:$S$1941,0))</x:f>
        <x:v>973</x:v>
      </x:c>
    </x:row>
    <x:row r="631" ht="58" customHeight="1">
      <x:c r="B631" s="86" t="str">
        <x:f>IF($P631="","",INDEX(Tasks!$B$10:$B$1941,$P631))</x:f>
        <x:v>Cycle 2</x:v>
      </x:c>
      <x:c r="C631" s="86" t="str">
        <x:f>IF($P631="","",INDEX(Tasks!$C$10:$C$1941,$P631))</x:f>
        <x:v>Phase 2</x:v>
      </x:c>
      <x:c r="D631" s="86" t="str">
        <x:f>IF($P631="","",INDEX(Tasks!$D$10:$D$1941,$P631))</x:f>
        <x:v>CSBBO - Customer Service</x:v>
      </x:c>
      <x:c r="E631" s="86"/>
      <x:c r="F631" s="86" t="str">
        <x:f>IF($P631="","",INDEX(Tasks!$E$10:$E$1941,$P631))</x:f>
        <x:v>Research &amp; Analysis</x:v>
      </x:c>
      <x:c r="G631" s="86"/>
      <x:c r="H631" s="14" t="str">
        <x:f>IF($P631="","",INDEX(Tasks!$F$10:$F$1941,$P631)&amp;CHAR(10)&amp;INDEX(Tasks!$G$10:$G$1941,$P631))</x:f>
        <x:v>RA.CS.2.7
Complete Negative Testing</x:v>
      </x:c>
      <x:c r="I631" s="14"/>
      <x:c r="J631" s="14"/>
      <x:c r="K631" s="14"/>
      <x:c r="L631" s="86" t="str">
        <x:f>IF($P631="","",INDEX(Tasks!$N$10:$N$1941,$P631))</x:f>
        <x:v>Not started</x:v>
      </x:c>
      <x:c r="M631" s="87" t="n">
        <x:f>IF($P631="","",INDEX(Tasks!$J$10:$J$1941,$P631))</x:f>
        <x:v>46203</x:v>
      </x:c>
      <x:c r="N631" s="85" t="str">
        <x:f>IF($P631="","",HYPERLINK("#'"&amp;INDEX(Tasks!$T$10:$T$1941,$P631)&amp;"'!A"&amp;INDEX(Tasks!$U$10:$U$1941,$P631),"Open"))</x:f>
        <x:v>Open</x:v>
      </x:c>
      <x:c r="O631" s="14"/>
      <x:c r="P631" s="14" t="n">
        <x:f>IF(610&gt;$B$10,"",MATCH(610,Tasks!$S$10:$S$1941,0))</x:f>
        <x:v>974</x:v>
      </x:c>
    </x:row>
    <x:row r="632" ht="58" customHeight="1">
      <x:c r="B632" s="86" t="str">
        <x:f>IF($P632="","",INDEX(Tasks!$B$10:$B$1941,$P632))</x:f>
        <x:v>Cycle 2</x:v>
      </x:c>
      <x:c r="C632" s="86" t="str">
        <x:f>IF($P632="","",INDEX(Tasks!$C$10:$C$1941,$P632))</x:f>
        <x:v>Phase 2</x:v>
      </x:c>
      <x:c r="D632" s="86" t="str">
        <x:f>IF($P632="","",INDEX(Tasks!$D$10:$D$1941,$P632))</x:f>
        <x:v>CSBBO - Customer Service</x:v>
      </x:c>
      <x:c r="E632" s="86"/>
      <x:c r="F632" s="86" t="str">
        <x:f>IF($P632="","",INDEX(Tasks!$E$10:$E$1941,$P632))</x:f>
        <x:v>Research &amp; Analysis</x:v>
      </x:c>
      <x:c r="G632" s="86"/>
      <x:c r="H632" s="14" t="str">
        <x:f>IF($P632="","",INDEX(Tasks!$F$10:$F$1941,$P632)&amp;CHAR(10)&amp;INDEX(Tasks!$G$10:$G$1941,$P632))</x:f>
        <x:v>RA.CS.2.8
Request additional data (as needed)</x:v>
      </x:c>
      <x:c r="I632" s="14"/>
      <x:c r="J632" s="14"/>
      <x:c r="K632" s="14"/>
      <x:c r="L632" s="86" t="str">
        <x:f>IF($P632="","",INDEX(Tasks!$N$10:$N$1941,$P632))</x:f>
        <x:v>Not started</x:v>
      </x:c>
      <x:c r="M632" s="87" t="n">
        <x:f>IF($P632="","",INDEX(Tasks!$J$10:$J$1941,$P632))</x:f>
        <x:v>46203</x:v>
      </x:c>
      <x:c r="N632" s="85" t="str">
        <x:f>IF($P632="","",HYPERLINK("#'"&amp;INDEX(Tasks!$T$10:$T$1941,$P632)&amp;"'!A"&amp;INDEX(Tasks!$U$10:$U$1941,$P632),"Open"))</x:f>
        <x:v>Open</x:v>
      </x:c>
      <x:c r="O632" s="14"/>
      <x:c r="P632" s="14" t="n">
        <x:f>IF(611&gt;$B$10,"",MATCH(611,Tasks!$S$10:$S$1941,0))</x:f>
        <x:v>975</x:v>
      </x:c>
    </x:row>
    <x:row r="633" ht="58" customHeight="1">
      <x:c r="B633" s="86" t="str">
        <x:f>IF($P633="","",INDEX(Tasks!$B$10:$B$1941,$P633))</x:f>
        <x:v>Cycle 2</x:v>
      </x:c>
      <x:c r="C633" s="86" t="str">
        <x:f>IF($P633="","",INDEX(Tasks!$C$10:$C$1941,$P633))</x:f>
        <x:v>Phase 2</x:v>
      </x:c>
      <x:c r="D633" s="86" t="str">
        <x:f>IF($P633="","",INDEX(Tasks!$D$10:$D$1941,$P633))</x:f>
        <x:v>CSBBO - Customer Service</x:v>
      </x:c>
      <x:c r="E633" s="86"/>
      <x:c r="F633" s="86" t="str">
        <x:f>IF($P633="","",INDEX(Tasks!$E$10:$E$1941,$P633))</x:f>
        <x:v>Research &amp; Analysis</x:v>
      </x:c>
      <x:c r="G633" s="86"/>
      <x:c r="H633" s="14" t="str">
        <x:f>IF($P633="","",INDEX(Tasks!$F$10:$F$1941,$P633)&amp;CHAR(10)&amp;INDEX(Tasks!$G$10:$G$1941,$P633))</x:f>
        <x:v>RA.CS.2.9
Validate or disprove initial hypothesis assumptions</x:v>
      </x:c>
      <x:c r="I633" s="14"/>
      <x:c r="J633" s="14"/>
      <x:c r="K633" s="14"/>
      <x:c r="L633" s="86" t="str">
        <x:f>IF($P633="","",INDEX(Tasks!$N$10:$N$1941,$P633))</x:f>
        <x:v>Not started</x:v>
      </x:c>
      <x:c r="M633" s="87" t="n">
        <x:f>IF($P633="","",INDEX(Tasks!$J$10:$J$1941,$P633))</x:f>
        <x:v>46203</x:v>
      </x:c>
      <x:c r="N633" s="85" t="str">
        <x:f>IF($P633="","",HYPERLINK("#'"&amp;INDEX(Tasks!$T$10:$T$1941,$P633)&amp;"'!A"&amp;INDEX(Tasks!$U$10:$U$1941,$P633),"Open"))</x:f>
        <x:v>Open</x:v>
      </x:c>
      <x:c r="O633" s="14"/>
      <x:c r="P633" s="14" t="n">
        <x:f>IF(612&gt;$B$10,"",MATCH(612,Tasks!$S$10:$S$1941,0))</x:f>
        <x:v>976</x:v>
      </x:c>
    </x:row>
    <x:row r="634" ht="58" customHeight="1">
      <x:c r="B634" s="86" t="str">
        <x:f>IF($P634="","",INDEX(Tasks!$B$10:$B$1941,$P634))</x:f>
        <x:v>Cycle 2</x:v>
      </x:c>
      <x:c r="C634" s="86" t="str">
        <x:f>IF($P634="","",INDEX(Tasks!$C$10:$C$1941,$P634))</x:f>
        <x:v>Phase 2</x:v>
      </x:c>
      <x:c r="D634" s="86" t="str">
        <x:f>IF($P634="","",INDEX(Tasks!$D$10:$D$1941,$P634))</x:f>
        <x:v>CSBBO - Customer Service</x:v>
      </x:c>
      <x:c r="E634" s="86"/>
      <x:c r="F634" s="86" t="str">
        <x:f>IF($P634="","",INDEX(Tasks!$E$10:$E$1941,$P634))</x:f>
        <x:v>Research &amp; Analysis</x:v>
      </x:c>
      <x:c r="G634" s="86"/>
      <x:c r="H634" s="14" t="str">
        <x:f>IF($P634="","",INDEX(Tasks!$F$10:$F$1941,$P634)&amp;CHAR(10)&amp;INDEX(Tasks!$G$10:$G$1941,$P634))</x:f>
        <x:v>RA.CS.2.10
Identify and confirm root cause</x:v>
      </x:c>
      <x:c r="I634" s="14"/>
      <x:c r="J634" s="14"/>
      <x:c r="K634" s="14"/>
      <x:c r="L634" s="86" t="str">
        <x:f>IF($P634="","",INDEX(Tasks!$N$10:$N$1941,$P634))</x:f>
        <x:v>Not started</x:v>
      </x:c>
      <x:c r="M634" s="87" t="n">
        <x:f>IF($P634="","",INDEX(Tasks!$J$10:$J$1941,$P634))</x:f>
        <x:v>46203</x:v>
      </x:c>
      <x:c r="N634" s="85" t="str">
        <x:f>IF($P634="","",HYPERLINK("#'"&amp;INDEX(Tasks!$T$10:$T$1941,$P634)&amp;"'!A"&amp;INDEX(Tasks!$U$10:$U$1941,$P634),"Open"))</x:f>
        <x:v>Open</x:v>
      </x:c>
      <x:c r="O634" s="14"/>
      <x:c r="P634" s="14" t="n">
        <x:f>IF(613&gt;$B$10,"",MATCH(613,Tasks!$S$10:$S$1941,0))</x:f>
        <x:v>977</x:v>
      </x:c>
    </x:row>
    <x:row r="635" ht="58" customHeight="1">
      <x:c r="B635" s="86" t="str">
        <x:f>IF($P635="","",INDEX(Tasks!$B$10:$B$1941,$P635))</x:f>
        <x:v>Cycle 2</x:v>
      </x:c>
      <x:c r="C635" s="86" t="str">
        <x:f>IF($P635="","",INDEX(Tasks!$C$10:$C$1941,$P635))</x:f>
        <x:v>Phase 3</x:v>
      </x:c>
      <x:c r="D635" s="86" t="str">
        <x:f>IF($P635="","",INDEX(Tasks!$D$10:$D$1941,$P635))</x:f>
        <x:v>CSBBO - Customer Service</x:v>
      </x:c>
      <x:c r="E635" s="86"/>
      <x:c r="F635" s="86" t="str">
        <x:f>IF($P635="","",INDEX(Tasks!$E$10:$E$1941,$P635))</x:f>
        <x:v>Research &amp; Analysis</x:v>
      </x:c>
      <x:c r="G635" s="86"/>
      <x:c r="H635" s="14" t="str">
        <x:f>IF($P635="","",INDEX(Tasks!$F$10:$F$1941,$P635)&amp;CHAR(10)&amp;INDEX(Tasks!$G$10:$G$1941,$P635))</x:f>
        <x:v>RA.CS.3.1
Finalize results and supporting documentation</x:v>
      </x:c>
      <x:c r="I635" s="14"/>
      <x:c r="J635" s="14"/>
      <x:c r="K635" s="14"/>
      <x:c r="L635" s="86" t="str">
        <x:f>IF($P635="","",INDEX(Tasks!$N$10:$N$1941,$P635))</x:f>
        <x:v>Not started</x:v>
      </x:c>
      <x:c r="M635" s="87" t="n">
        <x:f>IF($P635="","",INDEX(Tasks!$J$10:$J$1941,$P635))</x:f>
        <x:v>46203</x:v>
      </x:c>
      <x:c r="N635" s="85" t="str">
        <x:f>IF($P635="","",HYPERLINK("#'"&amp;INDEX(Tasks!$T$10:$T$1941,$P635)&amp;"'!A"&amp;INDEX(Tasks!$U$10:$U$1941,$P635),"Open"))</x:f>
        <x:v>Open</x:v>
      </x:c>
      <x:c r="O635" s="14"/>
      <x:c r="P635" s="14" t="n">
        <x:f>IF(614&gt;$B$10,"",MATCH(614,Tasks!$S$10:$S$1941,0))</x:f>
        <x:v>978</x:v>
      </x:c>
    </x:row>
    <x:row r="636" ht="58" customHeight="1">
      <x:c r="B636" s="86" t="str">
        <x:f>IF($P636="","",INDEX(Tasks!$B$10:$B$1941,$P636))</x:f>
        <x:v>Cycle 2</x:v>
      </x:c>
      <x:c r="C636" s="86" t="str">
        <x:f>IF($P636="","",INDEX(Tasks!$C$10:$C$1941,$P636))</x:f>
        <x:v>Phase 3</x:v>
      </x:c>
      <x:c r="D636" s="86" t="str">
        <x:f>IF($P636="","",INDEX(Tasks!$D$10:$D$1941,$P636))</x:f>
        <x:v>CSBBO - Customer Service</x:v>
      </x:c>
      <x:c r="E636" s="86"/>
      <x:c r="F636" s="86" t="str">
        <x:f>IF($P636="","",INDEX(Tasks!$E$10:$E$1941,$P636))</x:f>
        <x:v>Research &amp; Analysis</x:v>
      </x:c>
      <x:c r="G636" s="86"/>
      <x:c r="H636" s="14" t="str">
        <x:f>IF($P636="","",INDEX(Tasks!$F$10:$F$1941,$P636)&amp;CHAR(10)&amp;INDEX(Tasks!$G$10:$G$1941,$P636))</x:f>
        <x:v>RA.CS.3.2
Maintain and update the evidence package prior to handoff to D&amp;I</x:v>
      </x:c>
      <x:c r="I636" s="14"/>
      <x:c r="J636" s="14"/>
      <x:c r="K636" s="14"/>
      <x:c r="L636" s="86" t="str">
        <x:f>IF($P636="","",INDEX(Tasks!$N$10:$N$1941,$P636))</x:f>
        <x:v>Not started</x:v>
      </x:c>
      <x:c r="M636" s="87" t="n">
        <x:f>IF($P636="","",INDEX(Tasks!$J$10:$J$1941,$P636))</x:f>
        <x:v>46203</x:v>
      </x:c>
      <x:c r="N636" s="85" t="str">
        <x:f>IF($P636="","",HYPERLINK("#'"&amp;INDEX(Tasks!$T$10:$T$1941,$P636)&amp;"'!A"&amp;INDEX(Tasks!$U$10:$U$1941,$P636),"Open"))</x:f>
        <x:v>Open</x:v>
      </x:c>
      <x:c r="O636" s="14"/>
      <x:c r="P636" s="14" t="n">
        <x:f>IF(615&gt;$B$10,"",MATCH(615,Tasks!$S$10:$S$1941,0))</x:f>
        <x:v>979</x:v>
      </x:c>
    </x:row>
    <x:row r="637" ht="58" customHeight="1">
      <x:c r="B637" s="86" t="str">
        <x:f>IF($P637="","",INDEX(Tasks!$B$10:$B$1941,$P637))</x:f>
        <x:v>Cycle 2</x:v>
      </x:c>
      <x:c r="C637" s="86" t="str">
        <x:f>IF($P637="","",INDEX(Tasks!$C$10:$C$1941,$P637))</x:f>
        <x:v>Phase 3</x:v>
      </x:c>
      <x:c r="D637" s="86" t="str">
        <x:f>IF($P637="","",INDEX(Tasks!$D$10:$D$1941,$P637))</x:f>
        <x:v>CSBBO - Customer Service</x:v>
      </x:c>
      <x:c r="E637" s="86"/>
      <x:c r="F637" s="86" t="str">
        <x:f>IF($P637="","",INDEX(Tasks!$E$10:$E$1941,$P637))</x:f>
        <x:v>Research &amp; Analysis</x:v>
      </x:c>
      <x:c r="G637" s="86"/>
      <x:c r="H637" s="14" t="str">
        <x:f>IF($P637="","",INDEX(Tasks!$F$10:$F$1941,$P637)&amp;CHAR(10)&amp;INDEX(Tasks!$G$10:$G$1941,$P637))</x:f>
        <x:v>RA.CS.3.3
Address any outstanding questions or requests from D&amp;I</x:v>
      </x:c>
      <x:c r="I637" s="14"/>
      <x:c r="J637" s="14"/>
      <x:c r="K637" s="14"/>
      <x:c r="L637" s="86" t="str">
        <x:f>IF($P637="","",INDEX(Tasks!$N$10:$N$1941,$P637))</x:f>
        <x:v>Not started</x:v>
      </x:c>
      <x:c r="M637" s="87" t="n">
        <x:f>IF($P637="","",INDEX(Tasks!$J$10:$J$1941,$P637))</x:f>
        <x:v>46203</x:v>
      </x:c>
      <x:c r="N637" s="85" t="str">
        <x:f>IF($P637="","",HYPERLINK("#'"&amp;INDEX(Tasks!$T$10:$T$1941,$P637)&amp;"'!A"&amp;INDEX(Tasks!$U$10:$U$1941,$P637),"Open"))</x:f>
        <x:v>Open</x:v>
      </x:c>
      <x:c r="O637" s="14"/>
      <x:c r="P637" s="14" t="n">
        <x:f>IF(616&gt;$B$10,"",MATCH(616,Tasks!$S$10:$S$1941,0))</x:f>
        <x:v>980</x:v>
      </x:c>
    </x:row>
    <x:row r="638" ht="58" customHeight="1">
      <x:c r="B638" s="86" t="str">
        <x:f>IF($P638="","",INDEX(Tasks!$B$10:$B$1941,$P638))</x:f>
        <x:v>Cycle 2</x:v>
      </x:c>
      <x:c r="C638" s="86" t="str">
        <x:f>IF($P638="","",INDEX(Tasks!$C$10:$C$1941,$P638))</x:f>
        <x:v>Phase 3</x:v>
      </x:c>
      <x:c r="D638" s="86" t="str">
        <x:f>IF($P638="","",INDEX(Tasks!$D$10:$D$1941,$P638))</x:f>
        <x:v>CSBBO - Customer Service</x:v>
      </x:c>
      <x:c r="E638" s="86"/>
      <x:c r="F638" s="86" t="str">
        <x:f>IF($P638="","",INDEX(Tasks!$E$10:$E$1941,$P638))</x:f>
        <x:v>Research &amp; Analysis</x:v>
      </x:c>
      <x:c r="G638" s="86"/>
      <x:c r="H638" s="14" t="str">
        <x:f>IF($P638="","",INDEX(Tasks!$F$10:$F$1941,$P638)&amp;CHAR(10)&amp;INDEX(Tasks!$G$10:$G$1941,$P638))</x:f>
        <x:v>RA.CS.3.4
Attend Forum meeting with D&amp;I to assist with answering stakeholder questions (as needed)</x:v>
      </x:c>
      <x:c r="I638" s="14"/>
      <x:c r="J638" s="14"/>
      <x:c r="K638" s="14"/>
      <x:c r="L638" s="86" t="str">
        <x:f>IF($P638="","",INDEX(Tasks!$N$10:$N$1941,$P638))</x:f>
        <x:v>Not started</x:v>
      </x:c>
      <x:c r="M638" s="87" t="str">
        <x:f>IF($P638="","",INDEX(Tasks!$J$10:$J$1941,$P638))</x:f>
      </x:c>
      <x:c r="N638" s="85" t="str">
        <x:f>IF($P638="","",HYPERLINK("#'"&amp;INDEX(Tasks!$T$10:$T$1941,$P638)&amp;"'!A"&amp;INDEX(Tasks!$U$10:$U$1941,$P638),"Open"))</x:f>
        <x:v>Open</x:v>
      </x:c>
      <x:c r="O638" s="14"/>
      <x:c r="P638" s="14" t="n">
        <x:f>IF(617&gt;$B$10,"",MATCH(617,Tasks!$S$10:$S$1941,0))</x:f>
        <x:v>981</x:v>
      </x:c>
    </x:row>
    <x:row r="639" ht="58" customHeight="1">
      <x:c r="B639" s="86" t="str">
        <x:f>IF($P639="","",INDEX(Tasks!$B$10:$B$1941,$P639))</x:f>
        <x:v>Cycle 2</x:v>
      </x:c>
      <x:c r="C639" s="86" t="str">
        <x:f>IF($P639="","",INDEX(Tasks!$C$10:$C$1941,$P639))</x:f>
        <x:v>Phase 1</x:v>
      </x:c>
      <x:c r="D639" s="86" t="str">
        <x:f>IF($P639="","",INDEX(Tasks!$D$10:$D$1941,$P639))</x:f>
        <x:v>FCM</x:v>
      </x:c>
      <x:c r="E639" s="86"/>
      <x:c r="F639" s="86" t="str">
        <x:f>IF($P639="","",INDEX(Tasks!$E$10:$E$1941,$P639))</x:f>
        <x:v>Research &amp; Analysis</x:v>
      </x:c>
      <x:c r="G639" s="86"/>
      <x:c r="H639" s="14" t="str">
        <x:f>IF($P639="","",INDEX(Tasks!$F$10:$F$1941,$P639)&amp;CHAR(10)&amp;INDEX(Tasks!$G$10:$G$1941,$P639))</x:f>
        <x:v>RA.FC.1.1
Begin Research process 2 weeks prior to Cycle start</x:v>
      </x:c>
      <x:c r="I639" s="14"/>
      <x:c r="J639" s="14"/>
      <x:c r="K639" s="14"/>
      <x:c r="L639" s="86" t="str">
        <x:f>IF($P639="","",INDEX(Tasks!$N$10:$N$1941,$P639))</x:f>
        <x:v>Not started</x:v>
      </x:c>
      <x:c r="M639" s="87" t="n">
        <x:f>IF($P639="","",INDEX(Tasks!$J$10:$J$1941,$P639))</x:f>
        <x:v>46099</x:v>
      </x:c>
      <x:c r="N639" s="85" t="str">
        <x:f>IF($P639="","",HYPERLINK("#'"&amp;INDEX(Tasks!$T$10:$T$1941,$P639)&amp;"'!A"&amp;INDEX(Tasks!$U$10:$U$1941,$P639),"Open"))</x:f>
        <x:v>Open</x:v>
      </x:c>
      <x:c r="O639" s="14"/>
      <x:c r="P639" s="14" t="n">
        <x:f>IF(618&gt;$B$10,"",MATCH(618,Tasks!$S$10:$S$1941,0))</x:f>
        <x:v>982</x:v>
      </x:c>
    </x:row>
    <x:row r="640" ht="58" customHeight="1">
      <x:c r="B640" s="86" t="str">
        <x:f>IF($P640="","",INDEX(Tasks!$B$10:$B$1941,$P640))</x:f>
        <x:v>Cycle 2</x:v>
      </x:c>
      <x:c r="C640" s="86" t="str">
        <x:f>IF($P640="","",INDEX(Tasks!$C$10:$C$1941,$P640))</x:f>
        <x:v>Phase 1</x:v>
      </x:c>
      <x:c r="D640" s="86" t="str">
        <x:f>IF($P640="","",INDEX(Tasks!$D$10:$D$1941,$P640))</x:f>
        <x:v>FCM</x:v>
      </x:c>
      <x:c r="E640" s="86"/>
      <x:c r="F640" s="86" t="str">
        <x:f>IF($P640="","",INDEX(Tasks!$E$10:$E$1941,$P640))</x:f>
        <x:v>Research &amp; Analysis</x:v>
      </x:c>
      <x:c r="G640" s="86"/>
      <x:c r="H640" s="14" t="str">
        <x:f>IF($P640="","",INDEX(Tasks!$F$10:$F$1941,$P640)&amp;CHAR(10)&amp;INDEX(Tasks!$G$10:$G$1941,$P640))</x:f>
        <x:v>RA.FC.1.2
Conduct initial assessment of each topic recommendation from SharePoint list</x:v>
      </x:c>
      <x:c r="I640" s="14"/>
      <x:c r="J640" s="14"/>
      <x:c r="K640" s="14"/>
      <x:c r="L640" s="86" t="str">
        <x:f>IF($P640="","",INDEX(Tasks!$N$10:$N$1941,$P640))</x:f>
        <x:v>Not started</x:v>
      </x:c>
      <x:c r="M640" s="87" t="n">
        <x:f>IF($P640="","",INDEX(Tasks!$J$10:$J$1941,$P640))</x:f>
        <x:v>46203</x:v>
      </x:c>
      <x:c r="N640" s="85" t="str">
        <x:f>IF($P640="","",HYPERLINK("#'"&amp;INDEX(Tasks!$T$10:$T$1941,$P640)&amp;"'!A"&amp;INDEX(Tasks!$U$10:$U$1941,$P640),"Open"))</x:f>
        <x:v>Open</x:v>
      </x:c>
      <x:c r="O640" s="14"/>
      <x:c r="P640" s="14" t="n">
        <x:f>IF(619&gt;$B$10,"",MATCH(619,Tasks!$S$10:$S$1941,0))</x:f>
        <x:v>983</x:v>
      </x:c>
    </x:row>
    <x:row r="641" ht="58" customHeight="1">
      <x:c r="B641" s="86" t="str">
        <x:f>IF($P641="","",INDEX(Tasks!$B$10:$B$1941,$P641))</x:f>
        <x:v>Cycle 2</x:v>
      </x:c>
      <x:c r="C641" s="86" t="str">
        <x:f>IF($P641="","",INDEX(Tasks!$C$10:$C$1941,$P641))</x:f>
        <x:v>Phase 1</x:v>
      </x:c>
      <x:c r="D641" s="86" t="str">
        <x:f>IF($P641="","",INDEX(Tasks!$D$10:$D$1941,$P641))</x:f>
        <x:v>FCM</x:v>
      </x:c>
      <x:c r="E641" s="86"/>
      <x:c r="F641" s="86" t="str">
        <x:f>IF($P641="","",INDEX(Tasks!$E$10:$E$1941,$P641))</x:f>
        <x:v>Research &amp; Analysis</x:v>
      </x:c>
      <x:c r="G641" s="86"/>
      <x:c r="H641" s="14" t="str">
        <x:f>IF($P641="","",INDEX(Tasks!$F$10:$F$1941,$P641)&amp;CHAR(10)&amp;INDEX(Tasks!$G$10:$G$1941,$P641))</x:f>
        <x:v>RA.FC.1.3
Identify best topic for Cycle</x:v>
      </x:c>
      <x:c r="I641" s="14"/>
      <x:c r="J641" s="14"/>
      <x:c r="K641" s="14"/>
      <x:c r="L641" s="86" t="str">
        <x:f>IF($P641="","",INDEX(Tasks!$N$10:$N$1941,$P641))</x:f>
        <x:v>Not started</x:v>
      </x:c>
      <x:c r="M641" s="87" t="n">
        <x:f>IF($P641="","",INDEX(Tasks!$J$10:$J$1941,$P641))</x:f>
        <x:v>46203</x:v>
      </x:c>
      <x:c r="N641" s="85" t="str">
        <x:f>IF($P641="","",HYPERLINK("#'"&amp;INDEX(Tasks!$T$10:$T$1941,$P641)&amp;"'!A"&amp;INDEX(Tasks!$U$10:$U$1941,$P641),"Open"))</x:f>
        <x:v>Open</x:v>
      </x:c>
      <x:c r="O641" s="14"/>
      <x:c r="P641" s="14" t="n">
        <x:f>IF(620&gt;$B$10,"",MATCH(620,Tasks!$S$10:$S$1941,0))</x:f>
        <x:v>984</x:v>
      </x:c>
    </x:row>
    <x:row r="642" ht="58" customHeight="1">
      <x:c r="B642" s="86" t="str">
        <x:f>IF($P642="","",INDEX(Tasks!$B$10:$B$1941,$P642))</x:f>
        <x:v>Cycle 2</x:v>
      </x:c>
      <x:c r="C642" s="86" t="str">
        <x:f>IF($P642="","",INDEX(Tasks!$C$10:$C$1941,$P642))</x:f>
        <x:v>Phase 1</x:v>
      </x:c>
      <x:c r="D642" s="86" t="str">
        <x:f>IF($P642="","",INDEX(Tasks!$D$10:$D$1941,$P642))</x:f>
        <x:v>FCM</x:v>
      </x:c>
      <x:c r="E642" s="86"/>
      <x:c r="F642" s="86" t="str">
        <x:f>IF($P642="","",INDEX(Tasks!$E$10:$E$1941,$P642))</x:f>
        <x:v>Research &amp; Analysis</x:v>
      </x:c>
      <x:c r="G642" s="86"/>
      <x:c r="H642" s="14" t="str">
        <x:f>IF($P642="","",INDEX(Tasks!$F$10:$F$1941,$P642)&amp;CHAR(10)&amp;INDEX(Tasks!$G$10:$G$1941,$P642))</x:f>
        <x:v>RA.FC.1.4
Identify backup topic for Cycle</x:v>
      </x:c>
      <x:c r="I642" s="14"/>
      <x:c r="J642" s="14"/>
      <x:c r="K642" s="14"/>
      <x:c r="L642" s="86" t="str">
        <x:f>IF($P642="","",INDEX(Tasks!$N$10:$N$1941,$P642))</x:f>
        <x:v>Not started</x:v>
      </x:c>
      <x:c r="M642" s="87" t="n">
        <x:f>IF($P642="","",INDEX(Tasks!$J$10:$J$1941,$P642))</x:f>
        <x:v>46203</x:v>
      </x:c>
      <x:c r="N642" s="85" t="str">
        <x:f>IF($P642="","",HYPERLINK("#'"&amp;INDEX(Tasks!$T$10:$T$1941,$P642)&amp;"'!A"&amp;INDEX(Tasks!$U$10:$U$1941,$P642),"Open"))</x:f>
        <x:v>Open</x:v>
      </x:c>
      <x:c r="O642" s="14"/>
      <x:c r="P642" s="14" t="n">
        <x:f>IF(621&gt;$B$10,"",MATCH(621,Tasks!$S$10:$S$1941,0))</x:f>
        <x:v>985</x:v>
      </x:c>
    </x:row>
    <x:row r="643" ht="58" customHeight="1">
      <x:c r="B643" s="86" t="str">
        <x:f>IF($P643="","",INDEX(Tasks!$B$10:$B$1941,$P643))</x:f>
        <x:v>Cycle 2</x:v>
      </x:c>
      <x:c r="C643" s="86" t="str">
        <x:f>IF($P643="","",INDEX(Tasks!$C$10:$C$1941,$P643))</x:f>
        <x:v>Phase 1</x:v>
      </x:c>
      <x:c r="D643" s="86" t="str">
        <x:f>IF($P643="","",INDEX(Tasks!$D$10:$D$1941,$P643))</x:f>
        <x:v>FCM</x:v>
      </x:c>
      <x:c r="E643" s="86"/>
      <x:c r="F643" s="86" t="str">
        <x:f>IF($P643="","",INDEX(Tasks!$E$10:$E$1941,$P643))</x:f>
        <x:v>Research &amp; Analysis</x:v>
      </x:c>
      <x:c r="G643" s="86"/>
      <x:c r="H643" s="14" t="str">
        <x:f>IF($P643="","",INDEX(Tasks!$F$10:$F$1941,$P643)&amp;CHAR(10)&amp;INDEX(Tasks!$G$10:$G$1941,$P643))</x:f>
        <x:v>RA.FC.1.5
Schedule topic approval meeting with D&amp;I and management</x:v>
      </x:c>
      <x:c r="I643" s="14"/>
      <x:c r="J643" s="14"/>
      <x:c r="K643" s="14"/>
      <x:c r="L643" s="86" t="str">
        <x:f>IF($P643="","",INDEX(Tasks!$N$10:$N$1941,$P643))</x:f>
        <x:v>Not started</x:v>
      </x:c>
      <x:c r="M643" s="87" t="n">
        <x:f>IF($P643="","",INDEX(Tasks!$J$10:$J$1941,$P643))</x:f>
        <x:v>46203</x:v>
      </x:c>
      <x:c r="N643" s="85" t="str">
        <x:f>IF($P643="","",HYPERLINK("#'"&amp;INDEX(Tasks!$T$10:$T$1941,$P643)&amp;"'!A"&amp;INDEX(Tasks!$U$10:$U$1941,$P643),"Open"))</x:f>
        <x:v>Open</x:v>
      </x:c>
      <x:c r="O643" s="14"/>
      <x:c r="P643" s="14" t="n">
        <x:f>IF(622&gt;$B$10,"",MATCH(622,Tasks!$S$10:$S$1941,0))</x:f>
        <x:v>986</x:v>
      </x:c>
    </x:row>
    <x:row r="644" ht="58" customHeight="1">
      <x:c r="B644" s="86" t="str">
        <x:f>IF($P644="","",INDEX(Tasks!$B$10:$B$1941,$P644))</x:f>
        <x:v>Cycle 2</x:v>
      </x:c>
      <x:c r="C644" s="86" t="str">
        <x:f>IF($P644="","",INDEX(Tasks!$C$10:$C$1941,$P644))</x:f>
        <x:v>Phase 1</x:v>
      </x:c>
      <x:c r="D644" s="86" t="str">
        <x:f>IF($P644="","",INDEX(Tasks!$D$10:$D$1941,$P644))</x:f>
        <x:v>FCM</x:v>
      </x:c>
      <x:c r="E644" s="86"/>
      <x:c r="F644" s="86" t="str">
        <x:f>IF($P644="","",INDEX(Tasks!$E$10:$E$1941,$P644))</x:f>
        <x:v>Research &amp; Analysis</x:v>
      </x:c>
      <x:c r="G644" s="86"/>
      <x:c r="H644" s="14" t="str">
        <x:f>IF($P644="","",INDEX(Tasks!$F$10:$F$1941,$P644)&amp;CHAR(10)&amp;INDEX(Tasks!$G$10:$G$1941,$P644))</x:f>
        <x:v>RA.FC.1.6
Present recommended topic to D&amp;I and management for approval</x:v>
      </x:c>
      <x:c r="I644" s="14"/>
      <x:c r="J644" s="14"/>
      <x:c r="K644" s="14"/>
      <x:c r="L644" s="86" t="str">
        <x:f>IF($P644="","",INDEX(Tasks!$N$10:$N$1941,$P644))</x:f>
        <x:v>Not started</x:v>
      </x:c>
      <x:c r="M644" s="87" t="n">
        <x:f>IF($P644="","",INDEX(Tasks!$J$10:$J$1941,$P644))</x:f>
        <x:v>46203</x:v>
      </x:c>
      <x:c r="N644" s="85" t="str">
        <x:f>IF($P644="","",HYPERLINK("#'"&amp;INDEX(Tasks!$T$10:$T$1941,$P644)&amp;"'!A"&amp;INDEX(Tasks!$U$10:$U$1941,$P644),"Open"))</x:f>
        <x:v>Open</x:v>
      </x:c>
      <x:c r="O644" s="14"/>
      <x:c r="P644" s="14" t="n">
        <x:f>IF(623&gt;$B$10,"",MATCH(623,Tasks!$S$10:$S$1941,0))</x:f>
        <x:v>987</x:v>
      </x:c>
    </x:row>
    <x:row r="645" ht="58" customHeight="1">
      <x:c r="B645" s="86" t="str">
        <x:f>IF($P645="","",INDEX(Tasks!$B$10:$B$1941,$P645))</x:f>
        <x:v>Cycle 2</x:v>
      </x:c>
      <x:c r="C645" s="86" t="str">
        <x:f>IF($P645="","",INDEX(Tasks!$C$10:$C$1941,$P645))</x:f>
        <x:v>Phase 1</x:v>
      </x:c>
      <x:c r="D645" s="86" t="str">
        <x:f>IF($P645="","",INDEX(Tasks!$D$10:$D$1941,$P645))</x:f>
        <x:v>FCM</x:v>
      </x:c>
      <x:c r="E645" s="86"/>
      <x:c r="F645" s="86" t="str">
        <x:f>IF($P645="","",INDEX(Tasks!$E$10:$E$1941,$P645))</x:f>
        <x:v>Research &amp; Analysis</x:v>
      </x:c>
      <x:c r="G645" s="86"/>
      <x:c r="H645" s="14" t="str">
        <x:f>IF($P645="","",INDEX(Tasks!$F$10:$F$1941,$P645)&amp;CHAR(10)&amp;INDEX(Tasks!$G$10:$G$1941,$P645))</x:f>
        <x:v>RA.FC.1.7
Obtain formal topic selection approval from management via SharePoint</x:v>
      </x:c>
      <x:c r="I645" s="14"/>
      <x:c r="J645" s="14"/>
      <x:c r="K645" s="14"/>
      <x:c r="L645" s="86" t="str">
        <x:f>IF($P645="","",INDEX(Tasks!$N$10:$N$1941,$P645))</x:f>
        <x:v>Not started</x:v>
      </x:c>
      <x:c r="M645" s="87" t="n">
        <x:f>IF($P645="","",INDEX(Tasks!$J$10:$J$1941,$P645))</x:f>
        <x:v>46203</x:v>
      </x:c>
      <x:c r="N645" s="85" t="str">
        <x:f>IF($P645="","",HYPERLINK("#'"&amp;INDEX(Tasks!$T$10:$T$1941,$P645)&amp;"'!A"&amp;INDEX(Tasks!$U$10:$U$1941,$P645),"Open"))</x:f>
        <x:v>Open</x:v>
      </x:c>
      <x:c r="O645" s="14"/>
      <x:c r="P645" s="14" t="n">
        <x:f>IF(624&gt;$B$10,"",MATCH(624,Tasks!$S$10:$S$1941,0))</x:f>
        <x:v>988</x:v>
      </x:c>
    </x:row>
    <x:row r="646" ht="58" customHeight="1">
      <x:c r="B646" s="86" t="str">
        <x:f>IF($P646="","",INDEX(Tasks!$B$10:$B$1941,$P646))</x:f>
        <x:v>Cycle 2</x:v>
      </x:c>
      <x:c r="C646" s="86" t="str">
        <x:f>IF($P646="","",INDEX(Tasks!$C$10:$C$1941,$P646))</x:f>
        <x:v>Phase 1</x:v>
      </x:c>
      <x:c r="D646" s="86" t="str">
        <x:f>IF($P646="","",INDEX(Tasks!$D$10:$D$1941,$P646))</x:f>
        <x:v>FCM</x:v>
      </x:c>
      <x:c r="E646" s="86"/>
      <x:c r="F646" s="86" t="str">
        <x:f>IF($P646="","",INDEX(Tasks!$E$10:$E$1941,$P646))</x:f>
        <x:v>Research &amp; Analysis</x:v>
      </x:c>
      <x:c r="G646" s="86"/>
      <x:c r="H646" s="14" t="str">
        <x:f>IF($P646="","",INDEX(Tasks!$F$10:$F$1941,$P646)&amp;CHAR(10)&amp;INDEX(Tasks!$G$10:$G$1941,$P646))</x:f>
        <x:v>RA.FC.1.8
Socialize topic selection with product owners and subject matter experts (if known)</x:v>
      </x:c>
      <x:c r="I646" s="14"/>
      <x:c r="J646" s="14"/>
      <x:c r="K646" s="14"/>
      <x:c r="L646" s="86" t="str">
        <x:f>IF($P646="","",INDEX(Tasks!$N$10:$N$1941,$P646))</x:f>
        <x:v>Not started</x:v>
      </x:c>
      <x:c r="M646" s="87" t="n">
        <x:f>IF($P646="","",INDEX(Tasks!$J$10:$J$1941,$P646))</x:f>
        <x:v>46203</x:v>
      </x:c>
      <x:c r="N646" s="85" t="str">
        <x:f>IF($P646="","",HYPERLINK("#'"&amp;INDEX(Tasks!$T$10:$T$1941,$P646)&amp;"'!A"&amp;INDEX(Tasks!$U$10:$U$1941,$P646),"Open"))</x:f>
        <x:v>Open</x:v>
      </x:c>
      <x:c r="O646" s="14"/>
      <x:c r="P646" s="14" t="n">
        <x:f>IF(625&gt;$B$10,"",MATCH(625,Tasks!$S$10:$S$1941,0))</x:f>
        <x:v>989</x:v>
      </x:c>
    </x:row>
    <x:row r="647" ht="58" customHeight="1">
      <x:c r="B647" s="86" t="str">
        <x:f>IF($P647="","",INDEX(Tasks!$B$10:$B$1941,$P647))</x:f>
        <x:v>Cycle 2</x:v>
      </x:c>
      <x:c r="C647" s="86" t="str">
        <x:f>IF($P647="","",INDEX(Tasks!$C$10:$C$1941,$P647))</x:f>
        <x:v>Phase 1</x:v>
      </x:c>
      <x:c r="D647" s="86" t="str">
        <x:f>IF($P647="","",INDEX(Tasks!$D$10:$D$1941,$P647))</x:f>
        <x:v>FCM</x:v>
      </x:c>
      <x:c r="E647" s="86"/>
      <x:c r="F647" s="86" t="str">
        <x:f>IF($P647="","",INDEX(Tasks!$E$10:$E$1941,$P647))</x:f>
        <x:v>Research &amp; Analysis</x:v>
      </x:c>
      <x:c r="G647" s="86"/>
      <x:c r="H647" s="14" t="str">
        <x:f>IF($P647="","",INDEX(Tasks!$F$10:$F$1941,$P647)&amp;CHAR(10)&amp;INDEX(Tasks!$G$10:$G$1941,$P647))</x:f>
        <x:v>RA.FC.1.9
Assign topic researchers</x:v>
      </x:c>
      <x:c r="I647" s="14"/>
      <x:c r="J647" s="14"/>
      <x:c r="K647" s="14"/>
      <x:c r="L647" s="86" t="str">
        <x:f>IF($P647="","",INDEX(Tasks!$N$10:$N$1941,$P647))</x:f>
        <x:v>Not started</x:v>
      </x:c>
      <x:c r="M647" s="87" t="n">
        <x:f>IF($P647="","",INDEX(Tasks!$J$10:$J$1941,$P647))</x:f>
        <x:v>46203</x:v>
      </x:c>
      <x:c r="N647" s="85" t="str">
        <x:f>IF($P647="","",HYPERLINK("#'"&amp;INDEX(Tasks!$T$10:$T$1941,$P647)&amp;"'!A"&amp;INDEX(Tasks!$U$10:$U$1941,$P647),"Open"))</x:f>
        <x:v>Open</x:v>
      </x:c>
      <x:c r="O647" s="14"/>
      <x:c r="P647" s="14" t="n">
        <x:f>IF(626&gt;$B$10,"",MATCH(626,Tasks!$S$10:$S$1941,0))</x:f>
        <x:v>990</x:v>
      </x:c>
    </x:row>
    <x:row r="648" ht="58" customHeight="1">
      <x:c r="B648" s="86" t="str">
        <x:f>IF($P648="","",INDEX(Tasks!$B$10:$B$1941,$P648))</x:f>
        <x:v>Cycle 2</x:v>
      </x:c>
      <x:c r="C648" s="86" t="str">
        <x:f>IF($P648="","",INDEX(Tasks!$C$10:$C$1941,$P648))</x:f>
        <x:v>Phase 2</x:v>
      </x:c>
      <x:c r="D648" s="86" t="str">
        <x:f>IF($P648="","",INDEX(Tasks!$D$10:$D$1941,$P648))</x:f>
        <x:v>FCM</x:v>
      </x:c>
      <x:c r="E648" s="86"/>
      <x:c r="F648" s="86" t="str">
        <x:f>IF($P648="","",INDEX(Tasks!$E$10:$E$1941,$P648))</x:f>
        <x:v>Research &amp; Analysis</x:v>
      </x:c>
      <x:c r="G648" s="86"/>
      <x:c r="H648" s="14" t="str">
        <x:f>IF($P648="","",INDEX(Tasks!$F$10:$F$1941,$P648)&amp;CHAR(10)&amp;INDEX(Tasks!$G$10:$G$1941,$P648))</x:f>
        <x:v>RA.FC.2.1
Review data sources</x:v>
      </x:c>
      <x:c r="I648" s="14"/>
      <x:c r="J648" s="14"/>
      <x:c r="K648" s="14"/>
      <x:c r="L648" s="86" t="str">
        <x:f>IF($P648="","",INDEX(Tasks!$N$10:$N$1941,$P648))</x:f>
        <x:v>Not started</x:v>
      </x:c>
      <x:c r="M648" s="87" t="n">
        <x:f>IF($P648="","",INDEX(Tasks!$J$10:$J$1941,$P648))</x:f>
        <x:v>46203</x:v>
      </x:c>
      <x:c r="N648" s="85" t="str">
        <x:f>IF($P648="","",HYPERLINK("#'"&amp;INDEX(Tasks!$T$10:$T$1941,$P648)&amp;"'!A"&amp;INDEX(Tasks!$U$10:$U$1941,$P648),"Open"))</x:f>
        <x:v>Open</x:v>
      </x:c>
      <x:c r="O648" s="14"/>
      <x:c r="P648" s="14" t="n">
        <x:f>IF(627&gt;$B$10,"",MATCH(627,Tasks!$S$10:$S$1941,0))</x:f>
        <x:v>991</x:v>
      </x:c>
    </x:row>
    <x:row r="649" ht="58" customHeight="1">
      <x:c r="B649" s="86" t="str">
        <x:f>IF($P649="","",INDEX(Tasks!$B$10:$B$1941,$P649))</x:f>
        <x:v>Cycle 2</x:v>
      </x:c>
      <x:c r="C649" s="86" t="str">
        <x:f>IF($P649="","",INDEX(Tasks!$C$10:$C$1941,$P649))</x:f>
        <x:v>Phase 2</x:v>
      </x:c>
      <x:c r="D649" s="86" t="str">
        <x:f>IF($P649="","",INDEX(Tasks!$D$10:$D$1941,$P649))</x:f>
        <x:v>FCM</x:v>
      </x:c>
      <x:c r="E649" s="86"/>
      <x:c r="F649" s="86" t="str">
        <x:f>IF($P649="","",INDEX(Tasks!$E$10:$E$1941,$P649))</x:f>
        <x:v>Research &amp; Analysis</x:v>
      </x:c>
      <x:c r="G649" s="86"/>
      <x:c r="H649" s="14" t="str">
        <x:f>IF($P649="","",INDEX(Tasks!$F$10:$F$1941,$P649)&amp;CHAR(10)&amp;INDEX(Tasks!$G$10:$G$1941,$P649))</x:f>
        <x:v>RA.FC.2.2
Review relevant policies and procedures</x:v>
      </x:c>
      <x:c r="I649" s="14"/>
      <x:c r="J649" s="14"/>
      <x:c r="K649" s="14"/>
      <x:c r="L649" s="86" t="str">
        <x:f>IF($P649="","",INDEX(Tasks!$N$10:$N$1941,$P649))</x:f>
        <x:v>Not started</x:v>
      </x:c>
      <x:c r="M649" s="87" t="n">
        <x:f>IF($P649="","",INDEX(Tasks!$J$10:$J$1941,$P649))</x:f>
        <x:v>46203</x:v>
      </x:c>
      <x:c r="N649" s="85" t="str">
        <x:f>IF($P649="","",HYPERLINK("#'"&amp;INDEX(Tasks!$T$10:$T$1941,$P649)&amp;"'!A"&amp;INDEX(Tasks!$U$10:$U$1941,$P649),"Open"))</x:f>
        <x:v>Open</x:v>
      </x:c>
      <x:c r="O649" s="14"/>
      <x:c r="P649" s="14" t="n">
        <x:f>IF(628&gt;$B$10,"",MATCH(628,Tasks!$S$10:$S$1941,0))</x:f>
        <x:v>992</x:v>
      </x:c>
    </x:row>
    <x:row r="650" ht="58" customHeight="1">
      <x:c r="B650" s="86" t="str">
        <x:f>IF($P650="","",INDEX(Tasks!$B$10:$B$1941,$P650))</x:f>
        <x:v>Cycle 2</x:v>
      </x:c>
      <x:c r="C650" s="86" t="str">
        <x:f>IF($P650="","",INDEX(Tasks!$C$10:$C$1941,$P650))</x:f>
        <x:v>Phase 2</x:v>
      </x:c>
      <x:c r="D650" s="86" t="str">
        <x:f>IF($P650="","",INDEX(Tasks!$D$10:$D$1941,$P650))</x:f>
        <x:v>FCM</x:v>
      </x:c>
      <x:c r="E650" s="86"/>
      <x:c r="F650" s="86" t="str">
        <x:f>IF($P650="","",INDEX(Tasks!$E$10:$E$1941,$P650))</x:f>
        <x:v>Research &amp; Analysis</x:v>
      </x:c>
      <x:c r="G650" s="86"/>
      <x:c r="H650" s="14" t="str">
        <x:f>IF($P650="","",INDEX(Tasks!$F$10:$F$1941,$P650)&amp;CHAR(10)&amp;INDEX(Tasks!$G$10:$G$1941,$P650))</x:f>
        <x:v>RA.FC.2.3
Meet with SMEs to gain business insight and clarify questions</x:v>
      </x:c>
      <x:c r="I650" s="14"/>
      <x:c r="J650" s="14"/>
      <x:c r="K650" s="14"/>
      <x:c r="L650" s="86" t="str">
        <x:f>IF($P650="","",INDEX(Tasks!$N$10:$N$1941,$P650))</x:f>
        <x:v>Not started</x:v>
      </x:c>
      <x:c r="M650" s="87" t="n">
        <x:f>IF($P650="","",INDEX(Tasks!$J$10:$J$1941,$P650))</x:f>
        <x:v>46203</x:v>
      </x:c>
      <x:c r="N650" s="85" t="str">
        <x:f>IF($P650="","",HYPERLINK("#'"&amp;INDEX(Tasks!$T$10:$T$1941,$P650)&amp;"'!A"&amp;INDEX(Tasks!$U$10:$U$1941,$P650),"Open"))</x:f>
        <x:v>Open</x:v>
      </x:c>
      <x:c r="O650" s="14"/>
      <x:c r="P650" s="14" t="n">
        <x:f>IF(629&gt;$B$10,"",MATCH(629,Tasks!$S$10:$S$1941,0))</x:f>
        <x:v>993</x:v>
      </x:c>
    </x:row>
    <x:row r="651" ht="58" customHeight="1">
      <x:c r="B651" s="86" t="str">
        <x:f>IF($P651="","",INDEX(Tasks!$B$10:$B$1941,$P651))</x:f>
        <x:v>Cycle 2</x:v>
      </x:c>
      <x:c r="C651" s="86" t="str">
        <x:f>IF($P651="","",INDEX(Tasks!$C$10:$C$1941,$P651))</x:f>
        <x:v>Phase 2</x:v>
      </x:c>
      <x:c r="D651" s="86" t="str">
        <x:f>IF($P651="","",INDEX(Tasks!$D$10:$D$1941,$P651))</x:f>
        <x:v>FCM</x:v>
      </x:c>
      <x:c r="E651" s="86"/>
      <x:c r="F651" s="86" t="str">
        <x:f>IF($P651="","",INDEX(Tasks!$E$10:$E$1941,$P651))</x:f>
        <x:v>Research &amp; Analysis</x:v>
      </x:c>
      <x:c r="G651" s="86"/>
      <x:c r="H651" s="14" t="str">
        <x:f>IF($P651="","",INDEX(Tasks!$F$10:$F$1941,$P651)&amp;CHAR(10)&amp;INDEX(Tasks!$G$10:$G$1941,$P651))</x:f>
        <x:v>RA.FC.2.4
Establish and maintain a recurring meeting with D&amp;I to discuss Cycle progress</x:v>
      </x:c>
      <x:c r="I651" s="14"/>
      <x:c r="J651" s="14"/>
      <x:c r="K651" s="14"/>
      <x:c r="L651" s="86" t="str">
        <x:f>IF($P651="","",INDEX(Tasks!$N$10:$N$1941,$P651))</x:f>
        <x:v>Not started</x:v>
      </x:c>
      <x:c r="M651" s="87" t="n">
        <x:f>IF($P651="","",INDEX(Tasks!$J$10:$J$1941,$P651))</x:f>
        <x:v>46203</x:v>
      </x:c>
      <x:c r="N651" s="85" t="str">
        <x:f>IF($P651="","",HYPERLINK("#'"&amp;INDEX(Tasks!$T$10:$T$1941,$P651)&amp;"'!A"&amp;INDEX(Tasks!$U$10:$U$1941,$P651),"Open"))</x:f>
        <x:v>Open</x:v>
      </x:c>
      <x:c r="O651" s="14"/>
      <x:c r="P651" s="14" t="n">
        <x:f>IF(630&gt;$B$10,"",MATCH(630,Tasks!$S$10:$S$1941,0))</x:f>
        <x:v>994</x:v>
      </x:c>
    </x:row>
    <x:row r="652" ht="58" customHeight="1">
      <x:c r="B652" s="86" t="str">
        <x:f>IF($P652="","",INDEX(Tasks!$B$10:$B$1941,$P652))</x:f>
        <x:v>Cycle 2</x:v>
      </x:c>
      <x:c r="C652" s="86" t="str">
        <x:f>IF($P652="","",INDEX(Tasks!$C$10:$C$1941,$P652))</x:f>
        <x:v>Phase 2</x:v>
      </x:c>
      <x:c r="D652" s="86" t="str">
        <x:f>IF($P652="","",INDEX(Tasks!$D$10:$D$1941,$P652))</x:f>
        <x:v>FCM</x:v>
      </x:c>
      <x:c r="E652" s="86"/>
      <x:c r="F652" s="86" t="str">
        <x:f>IF($P652="","",INDEX(Tasks!$E$10:$E$1941,$P652))</x:f>
        <x:v>Research &amp; Analysis</x:v>
      </x:c>
      <x:c r="G652" s="86"/>
      <x:c r="H652" s="14" t="str">
        <x:f>IF($P652="","",INDEX(Tasks!$F$10:$F$1941,$P652)&amp;CHAR(10)&amp;INDEX(Tasks!$G$10:$G$1941,$P652))</x:f>
        <x:v>RA.FC.2.5
Perform data testing and sampling</x:v>
      </x:c>
      <x:c r="I652" s="14"/>
      <x:c r="J652" s="14"/>
      <x:c r="K652" s="14"/>
      <x:c r="L652" s="86" t="str">
        <x:f>IF($P652="","",INDEX(Tasks!$N$10:$N$1941,$P652))</x:f>
        <x:v>Not started</x:v>
      </x:c>
      <x:c r="M652" s="87" t="n">
        <x:f>IF($P652="","",INDEX(Tasks!$J$10:$J$1941,$P652))</x:f>
        <x:v>46203</x:v>
      </x:c>
      <x:c r="N652" s="85" t="str">
        <x:f>IF($P652="","",HYPERLINK("#'"&amp;INDEX(Tasks!$T$10:$T$1941,$P652)&amp;"'!A"&amp;INDEX(Tasks!$U$10:$U$1941,$P652),"Open"))</x:f>
        <x:v>Open</x:v>
      </x:c>
      <x:c r="O652" s="14"/>
      <x:c r="P652" s="14" t="n">
        <x:f>IF(631&gt;$B$10,"",MATCH(631,Tasks!$S$10:$S$1941,0))</x:f>
        <x:v>995</x:v>
      </x:c>
    </x:row>
    <x:row r="653" ht="58" customHeight="1">
      <x:c r="B653" s="86" t="str">
        <x:f>IF($P653="","",INDEX(Tasks!$B$10:$B$1941,$P653))</x:f>
        <x:v>Cycle 2</x:v>
      </x:c>
      <x:c r="C653" s="86" t="str">
        <x:f>IF($P653="","",INDEX(Tasks!$C$10:$C$1941,$P653))</x:f>
        <x:v>Phase 2</x:v>
      </x:c>
      <x:c r="D653" s="86" t="str">
        <x:f>IF($P653="","",INDEX(Tasks!$D$10:$D$1941,$P653))</x:f>
        <x:v>FCM</x:v>
      </x:c>
      <x:c r="E653" s="86"/>
      <x:c r="F653" s="86" t="str">
        <x:f>IF($P653="","",INDEX(Tasks!$E$10:$E$1941,$P653))</x:f>
        <x:v>Research &amp; Analysis</x:v>
      </x:c>
      <x:c r="G653" s="86"/>
      <x:c r="H653" s="14" t="str">
        <x:f>IF($P653="","",INDEX(Tasks!$F$10:$F$1941,$P653)&amp;CHAR(10)&amp;INDEX(Tasks!$G$10:$G$1941,$P653))</x:f>
        <x:v>RA.FC.2.6
Complete Positive Testing</x:v>
      </x:c>
      <x:c r="I653" s="14"/>
      <x:c r="J653" s="14"/>
      <x:c r="K653" s="14"/>
      <x:c r="L653" s="86" t="str">
        <x:f>IF($P653="","",INDEX(Tasks!$N$10:$N$1941,$P653))</x:f>
        <x:v>Not started</x:v>
      </x:c>
      <x:c r="M653" s="87" t="n">
        <x:f>IF($P653="","",INDEX(Tasks!$J$10:$J$1941,$P653))</x:f>
        <x:v>46203</x:v>
      </x:c>
      <x:c r="N653" s="85" t="str">
        <x:f>IF($P653="","",HYPERLINK("#'"&amp;INDEX(Tasks!$T$10:$T$1941,$P653)&amp;"'!A"&amp;INDEX(Tasks!$U$10:$U$1941,$P653),"Open"))</x:f>
        <x:v>Open</x:v>
      </x:c>
      <x:c r="O653" s="14"/>
      <x:c r="P653" s="14" t="n">
        <x:f>IF(632&gt;$B$10,"",MATCH(632,Tasks!$S$10:$S$1941,0))</x:f>
        <x:v>996</x:v>
      </x:c>
    </x:row>
    <x:row r="654" ht="58" customHeight="1">
      <x:c r="B654" s="86" t="str">
        <x:f>IF($P654="","",INDEX(Tasks!$B$10:$B$1941,$P654))</x:f>
        <x:v>Cycle 2</x:v>
      </x:c>
      <x:c r="C654" s="86" t="str">
        <x:f>IF($P654="","",INDEX(Tasks!$C$10:$C$1941,$P654))</x:f>
        <x:v>Phase 2</x:v>
      </x:c>
      <x:c r="D654" s="86" t="str">
        <x:f>IF($P654="","",INDEX(Tasks!$D$10:$D$1941,$P654))</x:f>
        <x:v>FCM</x:v>
      </x:c>
      <x:c r="E654" s="86"/>
      <x:c r="F654" s="86" t="str">
        <x:f>IF($P654="","",INDEX(Tasks!$E$10:$E$1941,$P654))</x:f>
        <x:v>Research &amp; Analysis</x:v>
      </x:c>
      <x:c r="G654" s="86"/>
      <x:c r="H654" s="14" t="str">
        <x:f>IF($P654="","",INDEX(Tasks!$F$10:$F$1941,$P654)&amp;CHAR(10)&amp;INDEX(Tasks!$G$10:$G$1941,$P654))</x:f>
        <x:v>RA.FC.2.7
Complete Negative Testing</x:v>
      </x:c>
      <x:c r="I654" s="14"/>
      <x:c r="J654" s="14"/>
      <x:c r="K654" s="14"/>
      <x:c r="L654" s="86" t="str">
        <x:f>IF($P654="","",INDEX(Tasks!$N$10:$N$1941,$P654))</x:f>
        <x:v>Not started</x:v>
      </x:c>
      <x:c r="M654" s="87" t="n">
        <x:f>IF($P654="","",INDEX(Tasks!$J$10:$J$1941,$P654))</x:f>
        <x:v>46203</x:v>
      </x:c>
      <x:c r="N654" s="85" t="str">
        <x:f>IF($P654="","",HYPERLINK("#'"&amp;INDEX(Tasks!$T$10:$T$1941,$P654)&amp;"'!A"&amp;INDEX(Tasks!$U$10:$U$1941,$P654),"Open"))</x:f>
        <x:v>Open</x:v>
      </x:c>
      <x:c r="O654" s="14"/>
      <x:c r="P654" s="14" t="n">
        <x:f>IF(633&gt;$B$10,"",MATCH(633,Tasks!$S$10:$S$1941,0))</x:f>
        <x:v>997</x:v>
      </x:c>
    </x:row>
    <x:row r="655" ht="58" customHeight="1">
      <x:c r="B655" s="86" t="str">
        <x:f>IF($P655="","",INDEX(Tasks!$B$10:$B$1941,$P655))</x:f>
        <x:v>Cycle 2</x:v>
      </x:c>
      <x:c r="C655" s="86" t="str">
        <x:f>IF($P655="","",INDEX(Tasks!$C$10:$C$1941,$P655))</x:f>
        <x:v>Phase 2</x:v>
      </x:c>
      <x:c r="D655" s="86" t="str">
        <x:f>IF($P655="","",INDEX(Tasks!$D$10:$D$1941,$P655))</x:f>
        <x:v>FCM</x:v>
      </x:c>
      <x:c r="E655" s="86"/>
      <x:c r="F655" s="86" t="str">
        <x:f>IF($P655="","",INDEX(Tasks!$E$10:$E$1941,$P655))</x:f>
        <x:v>Research &amp; Analysis</x:v>
      </x:c>
      <x:c r="G655" s="86"/>
      <x:c r="H655" s="14" t="str">
        <x:f>IF($P655="","",INDEX(Tasks!$F$10:$F$1941,$P655)&amp;CHAR(10)&amp;INDEX(Tasks!$G$10:$G$1941,$P655))</x:f>
        <x:v>RA.FC.2.8
Request additional data (as needed)</x:v>
      </x:c>
      <x:c r="I655" s="14"/>
      <x:c r="J655" s="14"/>
      <x:c r="K655" s="14"/>
      <x:c r="L655" s="86" t="str">
        <x:f>IF($P655="","",INDEX(Tasks!$N$10:$N$1941,$P655))</x:f>
        <x:v>Not started</x:v>
      </x:c>
      <x:c r="M655" s="87" t="n">
        <x:f>IF($P655="","",INDEX(Tasks!$J$10:$J$1941,$P655))</x:f>
        <x:v>46203</x:v>
      </x:c>
      <x:c r="N655" s="85" t="str">
        <x:f>IF($P655="","",HYPERLINK("#'"&amp;INDEX(Tasks!$T$10:$T$1941,$P655)&amp;"'!A"&amp;INDEX(Tasks!$U$10:$U$1941,$P655),"Open"))</x:f>
        <x:v>Open</x:v>
      </x:c>
      <x:c r="O655" s="14"/>
      <x:c r="P655" s="14" t="n">
        <x:f>IF(634&gt;$B$10,"",MATCH(634,Tasks!$S$10:$S$1941,0))</x:f>
        <x:v>998</x:v>
      </x:c>
    </x:row>
    <x:row r="656" ht="58" customHeight="1">
      <x:c r="B656" s="86" t="str">
        <x:f>IF($P656="","",INDEX(Tasks!$B$10:$B$1941,$P656))</x:f>
        <x:v>Cycle 2</x:v>
      </x:c>
      <x:c r="C656" s="86" t="str">
        <x:f>IF($P656="","",INDEX(Tasks!$C$10:$C$1941,$P656))</x:f>
        <x:v>Phase 2</x:v>
      </x:c>
      <x:c r="D656" s="86" t="str">
        <x:f>IF($P656="","",INDEX(Tasks!$D$10:$D$1941,$P656))</x:f>
        <x:v>FCM</x:v>
      </x:c>
      <x:c r="E656" s="86"/>
      <x:c r="F656" s="86" t="str">
        <x:f>IF($P656="","",INDEX(Tasks!$E$10:$E$1941,$P656))</x:f>
        <x:v>Research &amp; Analysis</x:v>
      </x:c>
      <x:c r="G656" s="86"/>
      <x:c r="H656" s="14" t="str">
        <x:f>IF($P656="","",INDEX(Tasks!$F$10:$F$1941,$P656)&amp;CHAR(10)&amp;INDEX(Tasks!$G$10:$G$1941,$P656))</x:f>
        <x:v>RA.FC.2.9
Validate or disprove initial hypothesis assumptions</x:v>
      </x:c>
      <x:c r="I656" s="14"/>
      <x:c r="J656" s="14"/>
      <x:c r="K656" s="14"/>
      <x:c r="L656" s="86" t="str">
        <x:f>IF($P656="","",INDEX(Tasks!$N$10:$N$1941,$P656))</x:f>
        <x:v>Not started</x:v>
      </x:c>
      <x:c r="M656" s="87" t="n">
        <x:f>IF($P656="","",INDEX(Tasks!$J$10:$J$1941,$P656))</x:f>
        <x:v>46203</x:v>
      </x:c>
      <x:c r="N656" s="85" t="str">
        <x:f>IF($P656="","",HYPERLINK("#'"&amp;INDEX(Tasks!$T$10:$T$1941,$P656)&amp;"'!A"&amp;INDEX(Tasks!$U$10:$U$1941,$P656),"Open"))</x:f>
        <x:v>Open</x:v>
      </x:c>
      <x:c r="O656" s="14"/>
      <x:c r="P656" s="14" t="n">
        <x:f>IF(635&gt;$B$10,"",MATCH(635,Tasks!$S$10:$S$1941,0))</x:f>
        <x:v>999</x:v>
      </x:c>
    </x:row>
    <x:row r="657" ht="58" customHeight="1">
      <x:c r="B657" s="86" t="str">
        <x:f>IF($P657="","",INDEX(Tasks!$B$10:$B$1941,$P657))</x:f>
        <x:v>Cycle 2</x:v>
      </x:c>
      <x:c r="C657" s="86" t="str">
        <x:f>IF($P657="","",INDEX(Tasks!$C$10:$C$1941,$P657))</x:f>
        <x:v>Phase 2</x:v>
      </x:c>
      <x:c r="D657" s="86" t="str">
        <x:f>IF($P657="","",INDEX(Tasks!$D$10:$D$1941,$P657))</x:f>
        <x:v>FCM</x:v>
      </x:c>
      <x:c r="E657" s="86"/>
      <x:c r="F657" s="86" t="str">
        <x:f>IF($P657="","",INDEX(Tasks!$E$10:$E$1941,$P657))</x:f>
        <x:v>Research &amp; Analysis</x:v>
      </x:c>
      <x:c r="G657" s="86"/>
      <x:c r="H657" s="14" t="str">
        <x:f>IF($P657="","",INDEX(Tasks!$F$10:$F$1941,$P657)&amp;CHAR(10)&amp;INDEX(Tasks!$G$10:$G$1941,$P657))</x:f>
        <x:v>RA.FC.2.10
Identify and confirm root cause</x:v>
      </x:c>
      <x:c r="I657" s="14"/>
      <x:c r="J657" s="14"/>
      <x:c r="K657" s="14"/>
      <x:c r="L657" s="86" t="str">
        <x:f>IF($P657="","",INDEX(Tasks!$N$10:$N$1941,$P657))</x:f>
        <x:v>Not started</x:v>
      </x:c>
      <x:c r="M657" s="87" t="n">
        <x:f>IF($P657="","",INDEX(Tasks!$J$10:$J$1941,$P657))</x:f>
        <x:v>46203</x:v>
      </x:c>
      <x:c r="N657" s="85" t="str">
        <x:f>IF($P657="","",HYPERLINK("#'"&amp;INDEX(Tasks!$T$10:$T$1941,$P657)&amp;"'!A"&amp;INDEX(Tasks!$U$10:$U$1941,$P657),"Open"))</x:f>
        <x:v>Open</x:v>
      </x:c>
      <x:c r="O657" s="14"/>
      <x:c r="P657" s="14" t="n">
        <x:f>IF(636&gt;$B$10,"",MATCH(636,Tasks!$S$10:$S$1941,0))</x:f>
        <x:v>1000</x:v>
      </x:c>
    </x:row>
    <x:row r="658" ht="58" customHeight="1">
      <x:c r="B658" s="86" t="str">
        <x:f>IF($P658="","",INDEX(Tasks!$B$10:$B$1941,$P658))</x:f>
        <x:v>Cycle 2</x:v>
      </x:c>
      <x:c r="C658" s="86" t="str">
        <x:f>IF($P658="","",INDEX(Tasks!$C$10:$C$1941,$P658))</x:f>
        <x:v>Phase 3</x:v>
      </x:c>
      <x:c r="D658" s="86" t="str">
        <x:f>IF($P658="","",INDEX(Tasks!$D$10:$D$1941,$P658))</x:f>
        <x:v>FCM</x:v>
      </x:c>
      <x:c r="E658" s="86"/>
      <x:c r="F658" s="86" t="str">
        <x:f>IF($P658="","",INDEX(Tasks!$E$10:$E$1941,$P658))</x:f>
        <x:v>Research &amp; Analysis</x:v>
      </x:c>
      <x:c r="G658" s="86"/>
      <x:c r="H658" s="14" t="str">
        <x:f>IF($P658="","",INDEX(Tasks!$F$10:$F$1941,$P658)&amp;CHAR(10)&amp;INDEX(Tasks!$G$10:$G$1941,$P658))</x:f>
        <x:v>RA.FC.3.1
Finalize results and supporting documentation</x:v>
      </x:c>
      <x:c r="I658" s="14"/>
      <x:c r="J658" s="14"/>
      <x:c r="K658" s="14"/>
      <x:c r="L658" s="86" t="str">
        <x:f>IF($P658="","",INDEX(Tasks!$N$10:$N$1941,$P658))</x:f>
        <x:v>Not started</x:v>
      </x:c>
      <x:c r="M658" s="87" t="n">
        <x:f>IF($P658="","",INDEX(Tasks!$J$10:$J$1941,$P658))</x:f>
        <x:v>46203</x:v>
      </x:c>
      <x:c r="N658" s="85" t="str">
        <x:f>IF($P658="","",HYPERLINK("#'"&amp;INDEX(Tasks!$T$10:$T$1941,$P658)&amp;"'!A"&amp;INDEX(Tasks!$U$10:$U$1941,$P658),"Open"))</x:f>
        <x:v>Open</x:v>
      </x:c>
      <x:c r="O658" s="14"/>
      <x:c r="P658" s="14" t="n">
        <x:f>IF(637&gt;$B$10,"",MATCH(637,Tasks!$S$10:$S$1941,0))</x:f>
        <x:v>1001</x:v>
      </x:c>
    </x:row>
    <x:row r="659" ht="58" customHeight="1">
      <x:c r="B659" s="86" t="str">
        <x:f>IF($P659="","",INDEX(Tasks!$B$10:$B$1941,$P659))</x:f>
        <x:v>Cycle 2</x:v>
      </x:c>
      <x:c r="C659" s="86" t="str">
        <x:f>IF($P659="","",INDEX(Tasks!$C$10:$C$1941,$P659))</x:f>
        <x:v>Phase 3</x:v>
      </x:c>
      <x:c r="D659" s="86" t="str">
        <x:f>IF($P659="","",INDEX(Tasks!$D$10:$D$1941,$P659))</x:f>
        <x:v>FCM</x:v>
      </x:c>
      <x:c r="E659" s="86"/>
      <x:c r="F659" s="86" t="str">
        <x:f>IF($P659="","",INDEX(Tasks!$E$10:$E$1941,$P659))</x:f>
        <x:v>Research &amp; Analysis</x:v>
      </x:c>
      <x:c r="G659" s="86"/>
      <x:c r="H659" s="14" t="str">
        <x:f>IF($P659="","",INDEX(Tasks!$F$10:$F$1941,$P659)&amp;CHAR(10)&amp;INDEX(Tasks!$G$10:$G$1941,$P659))</x:f>
        <x:v>RA.FC.3.2
Maintain and update the evidence package prior to handoff to D&amp;I</x:v>
      </x:c>
      <x:c r="I659" s="14"/>
      <x:c r="J659" s="14"/>
      <x:c r="K659" s="14"/>
      <x:c r="L659" s="86" t="str">
        <x:f>IF($P659="","",INDEX(Tasks!$N$10:$N$1941,$P659))</x:f>
        <x:v>Not started</x:v>
      </x:c>
      <x:c r="M659" s="87" t="n">
        <x:f>IF($P659="","",INDEX(Tasks!$J$10:$J$1941,$P659))</x:f>
        <x:v>46203</x:v>
      </x:c>
      <x:c r="N659" s="85" t="str">
        <x:f>IF($P659="","",HYPERLINK("#'"&amp;INDEX(Tasks!$T$10:$T$1941,$P659)&amp;"'!A"&amp;INDEX(Tasks!$U$10:$U$1941,$P659),"Open"))</x:f>
        <x:v>Open</x:v>
      </x:c>
      <x:c r="O659" s="14"/>
      <x:c r="P659" s="14" t="n">
        <x:f>IF(638&gt;$B$10,"",MATCH(638,Tasks!$S$10:$S$1941,0))</x:f>
        <x:v>1002</x:v>
      </x:c>
    </x:row>
    <x:row r="660" ht="58" customHeight="1">
      <x:c r="B660" s="86" t="str">
        <x:f>IF($P660="","",INDEX(Tasks!$B$10:$B$1941,$P660))</x:f>
        <x:v>Cycle 2</x:v>
      </x:c>
      <x:c r="C660" s="86" t="str">
        <x:f>IF($P660="","",INDEX(Tasks!$C$10:$C$1941,$P660))</x:f>
        <x:v>Phase 3</x:v>
      </x:c>
      <x:c r="D660" s="86" t="str">
        <x:f>IF($P660="","",INDEX(Tasks!$D$10:$D$1941,$P660))</x:f>
        <x:v>FCM</x:v>
      </x:c>
      <x:c r="E660" s="86"/>
      <x:c r="F660" s="86" t="str">
        <x:f>IF($P660="","",INDEX(Tasks!$E$10:$E$1941,$P660))</x:f>
        <x:v>Research &amp; Analysis</x:v>
      </x:c>
      <x:c r="G660" s="86"/>
      <x:c r="H660" s="14" t="str">
        <x:f>IF($P660="","",INDEX(Tasks!$F$10:$F$1941,$P660)&amp;CHAR(10)&amp;INDEX(Tasks!$G$10:$G$1941,$P660))</x:f>
        <x:v>RA.FC.3.3
Address any outstanding questions or requests from D&amp;I</x:v>
      </x:c>
      <x:c r="I660" s="14"/>
      <x:c r="J660" s="14"/>
      <x:c r="K660" s="14"/>
      <x:c r="L660" s="86" t="str">
        <x:f>IF($P660="","",INDEX(Tasks!$N$10:$N$1941,$P660))</x:f>
        <x:v>Not started</x:v>
      </x:c>
      <x:c r="M660" s="87" t="n">
        <x:f>IF($P660="","",INDEX(Tasks!$J$10:$J$1941,$P660))</x:f>
        <x:v>46203</x:v>
      </x:c>
      <x:c r="N660" s="85" t="str">
        <x:f>IF($P660="","",HYPERLINK("#'"&amp;INDEX(Tasks!$T$10:$T$1941,$P660)&amp;"'!A"&amp;INDEX(Tasks!$U$10:$U$1941,$P660),"Open"))</x:f>
        <x:v>Open</x:v>
      </x:c>
      <x:c r="O660" s="14"/>
      <x:c r="P660" s="14" t="n">
        <x:f>IF(639&gt;$B$10,"",MATCH(639,Tasks!$S$10:$S$1941,0))</x:f>
        <x:v>1003</x:v>
      </x:c>
    </x:row>
    <x:row r="661" ht="58" customHeight="1">
      <x:c r="B661" s="86" t="str">
        <x:f>IF($P661="","",INDEX(Tasks!$B$10:$B$1941,$P661))</x:f>
        <x:v>Cycle 2</x:v>
      </x:c>
      <x:c r="C661" s="86" t="str">
        <x:f>IF($P661="","",INDEX(Tasks!$C$10:$C$1941,$P661))</x:f>
        <x:v>Phase 3</x:v>
      </x:c>
      <x:c r="D661" s="86" t="str">
        <x:f>IF($P661="","",INDEX(Tasks!$D$10:$D$1941,$P661))</x:f>
        <x:v>FCM</x:v>
      </x:c>
      <x:c r="E661" s="86"/>
      <x:c r="F661" s="86" t="str">
        <x:f>IF($P661="","",INDEX(Tasks!$E$10:$E$1941,$P661))</x:f>
        <x:v>Research &amp; Analysis</x:v>
      </x:c>
      <x:c r="G661" s="86"/>
      <x:c r="H661" s="14" t="str">
        <x:f>IF($P661="","",INDEX(Tasks!$F$10:$F$1941,$P661)&amp;CHAR(10)&amp;INDEX(Tasks!$G$10:$G$1941,$P661))</x:f>
        <x:v>RA.FC.3.4
Attend Forum meeting with D&amp;I to assist with answering stakeholder questions (as needed)</x:v>
      </x:c>
      <x:c r="I661" s="14"/>
      <x:c r="J661" s="14"/>
      <x:c r="K661" s="14"/>
      <x:c r="L661" s="86" t="str">
        <x:f>IF($P661="","",INDEX(Tasks!$N$10:$N$1941,$P661))</x:f>
        <x:v>Not started</x:v>
      </x:c>
      <x:c r="M661" s="87" t="str">
        <x:f>IF($P661="","",INDEX(Tasks!$J$10:$J$1941,$P661))</x:f>
      </x:c>
      <x:c r="N661" s="85" t="str">
        <x:f>IF($P661="","",HYPERLINK("#'"&amp;INDEX(Tasks!$T$10:$T$1941,$P661)&amp;"'!A"&amp;INDEX(Tasks!$U$10:$U$1941,$P661),"Open"))</x:f>
        <x:v>Open</x:v>
      </x:c>
      <x:c r="O661" s="14"/>
      <x:c r="P661" s="14" t="n">
        <x:f>IF(640&gt;$B$10,"",MATCH(640,Tasks!$S$10:$S$1941,0))</x:f>
        <x:v>1004</x:v>
      </x:c>
    </x:row>
    <x:row r="662" ht="58" customHeight="1">
      <x:c r="B662" s="86" t="str">
        <x:f>IF($P662="","",INDEX(Tasks!$B$10:$B$1941,$P662))</x:f>
        <x:v>Cycle 2</x:v>
      </x:c>
      <x:c r="C662" s="86" t="str">
        <x:f>IF($P662="","",INDEX(Tasks!$C$10:$C$1941,$P662))</x:f>
        <x:v>Phase 1</x:v>
      </x:c>
      <x:c r="D662" s="86" t="str">
        <x:f>IF($P662="","",INDEX(Tasks!$D$10:$D$1941,$P662))</x:f>
        <x:v>PLL</x:v>
      </x:c>
      <x:c r="E662" s="86"/>
      <x:c r="F662" s="86" t="str">
        <x:f>IF($P662="","",INDEX(Tasks!$E$10:$E$1941,$P662))</x:f>
        <x:v>Research &amp; Analysis</x:v>
      </x:c>
      <x:c r="G662" s="86"/>
      <x:c r="H662" s="14" t="str">
        <x:f>IF($P662="","",INDEX(Tasks!$F$10:$F$1941,$P662)&amp;CHAR(10)&amp;INDEX(Tasks!$G$10:$G$1941,$P662))</x:f>
        <x:v>RA.PL.1.1
Begin Research process 2 weeks prior to Cycle start</x:v>
      </x:c>
      <x:c r="I662" s="14"/>
      <x:c r="J662" s="14"/>
      <x:c r="K662" s="14"/>
      <x:c r="L662" s="86" t="str">
        <x:f>IF($P662="","",INDEX(Tasks!$N$10:$N$1941,$P662))</x:f>
        <x:v>Not started</x:v>
      </x:c>
      <x:c r="M662" s="87" t="n">
        <x:f>IF($P662="","",INDEX(Tasks!$J$10:$J$1941,$P662))</x:f>
        <x:v>46099</x:v>
      </x:c>
      <x:c r="N662" s="85" t="str">
        <x:f>IF($P662="","",HYPERLINK("#'"&amp;INDEX(Tasks!$T$10:$T$1941,$P662)&amp;"'!A"&amp;INDEX(Tasks!$U$10:$U$1941,$P662),"Open"))</x:f>
        <x:v>Open</x:v>
      </x:c>
      <x:c r="O662" s="14"/>
      <x:c r="P662" s="14" t="n">
        <x:f>IF(641&gt;$B$10,"",MATCH(641,Tasks!$S$10:$S$1941,0))</x:f>
        <x:v>1005</x:v>
      </x:c>
    </x:row>
    <x:row r="663" ht="58" customHeight="1">
      <x:c r="B663" s="86" t="str">
        <x:f>IF($P663="","",INDEX(Tasks!$B$10:$B$1941,$P663))</x:f>
        <x:v>Cycle 2</x:v>
      </x:c>
      <x:c r="C663" s="86" t="str">
        <x:f>IF($P663="","",INDEX(Tasks!$C$10:$C$1941,$P663))</x:f>
        <x:v>Phase 1</x:v>
      </x:c>
      <x:c r="D663" s="86" t="str">
        <x:f>IF($P663="","",INDEX(Tasks!$D$10:$D$1941,$P663))</x:f>
        <x:v>PLL</x:v>
      </x:c>
      <x:c r="E663" s="86"/>
      <x:c r="F663" s="86" t="str">
        <x:f>IF($P663="","",INDEX(Tasks!$E$10:$E$1941,$P663))</x:f>
        <x:v>Research &amp; Analysis</x:v>
      </x:c>
      <x:c r="G663" s="86"/>
      <x:c r="H663" s="14" t="str">
        <x:f>IF($P663="","",INDEX(Tasks!$F$10:$F$1941,$P663)&amp;CHAR(10)&amp;INDEX(Tasks!$G$10:$G$1941,$P663))</x:f>
        <x:v>RA.PL.1.2
Conduct initial assessment of each topic recommendation from SharePoint list</x:v>
      </x:c>
      <x:c r="I663" s="14"/>
      <x:c r="J663" s="14"/>
      <x:c r="K663" s="14"/>
      <x:c r="L663" s="86" t="str">
        <x:f>IF($P663="","",INDEX(Tasks!$N$10:$N$1941,$P663))</x:f>
        <x:v>Not started</x:v>
      </x:c>
      <x:c r="M663" s="87" t="n">
        <x:f>IF($P663="","",INDEX(Tasks!$J$10:$J$1941,$P663))</x:f>
        <x:v>46203</x:v>
      </x:c>
      <x:c r="N663" s="85" t="str">
        <x:f>IF($P663="","",HYPERLINK("#'"&amp;INDEX(Tasks!$T$10:$T$1941,$P663)&amp;"'!A"&amp;INDEX(Tasks!$U$10:$U$1941,$P663),"Open"))</x:f>
        <x:v>Open</x:v>
      </x:c>
      <x:c r="O663" s="14"/>
      <x:c r="P663" s="14" t="n">
        <x:f>IF(642&gt;$B$10,"",MATCH(642,Tasks!$S$10:$S$1941,0))</x:f>
        <x:v>1006</x:v>
      </x:c>
    </x:row>
    <x:row r="664" ht="58" customHeight="1">
      <x:c r="B664" s="86" t="str">
        <x:f>IF($P664="","",INDEX(Tasks!$B$10:$B$1941,$P664))</x:f>
        <x:v>Cycle 2</x:v>
      </x:c>
      <x:c r="C664" s="86" t="str">
        <x:f>IF($P664="","",INDEX(Tasks!$C$10:$C$1941,$P664))</x:f>
        <x:v>Phase 1</x:v>
      </x:c>
      <x:c r="D664" s="86" t="str">
        <x:f>IF($P664="","",INDEX(Tasks!$D$10:$D$1941,$P664))</x:f>
        <x:v>PLL</x:v>
      </x:c>
      <x:c r="E664" s="86"/>
      <x:c r="F664" s="86" t="str">
        <x:f>IF($P664="","",INDEX(Tasks!$E$10:$E$1941,$P664))</x:f>
        <x:v>Research &amp; Analysis</x:v>
      </x:c>
      <x:c r="G664" s="86"/>
      <x:c r="H664" s="14" t="str">
        <x:f>IF($P664="","",INDEX(Tasks!$F$10:$F$1941,$P664)&amp;CHAR(10)&amp;INDEX(Tasks!$G$10:$G$1941,$P664))</x:f>
        <x:v>RA.PL.1.3
Identify best topic for Cycle</x:v>
      </x:c>
      <x:c r="I664" s="14"/>
      <x:c r="J664" s="14"/>
      <x:c r="K664" s="14"/>
      <x:c r="L664" s="86" t="str">
        <x:f>IF($P664="","",INDEX(Tasks!$N$10:$N$1941,$P664))</x:f>
        <x:v>Not started</x:v>
      </x:c>
      <x:c r="M664" s="87" t="n">
        <x:f>IF($P664="","",INDEX(Tasks!$J$10:$J$1941,$P664))</x:f>
        <x:v>46203</x:v>
      </x:c>
      <x:c r="N664" s="85" t="str">
        <x:f>IF($P664="","",HYPERLINK("#'"&amp;INDEX(Tasks!$T$10:$T$1941,$P664)&amp;"'!A"&amp;INDEX(Tasks!$U$10:$U$1941,$P664),"Open"))</x:f>
        <x:v>Open</x:v>
      </x:c>
      <x:c r="O664" s="14"/>
      <x:c r="P664" s="14" t="n">
        <x:f>IF(643&gt;$B$10,"",MATCH(643,Tasks!$S$10:$S$1941,0))</x:f>
        <x:v>1007</x:v>
      </x:c>
    </x:row>
    <x:row r="665" ht="58" customHeight="1">
      <x:c r="B665" s="86" t="str">
        <x:f>IF($P665="","",INDEX(Tasks!$B$10:$B$1941,$P665))</x:f>
        <x:v>Cycle 2</x:v>
      </x:c>
      <x:c r="C665" s="86" t="str">
        <x:f>IF($P665="","",INDEX(Tasks!$C$10:$C$1941,$P665))</x:f>
        <x:v>Phase 1</x:v>
      </x:c>
      <x:c r="D665" s="86" t="str">
        <x:f>IF($P665="","",INDEX(Tasks!$D$10:$D$1941,$P665))</x:f>
        <x:v>PLL</x:v>
      </x:c>
      <x:c r="E665" s="86"/>
      <x:c r="F665" s="86" t="str">
        <x:f>IF($P665="","",INDEX(Tasks!$E$10:$E$1941,$P665))</x:f>
        <x:v>Research &amp; Analysis</x:v>
      </x:c>
      <x:c r="G665" s="86"/>
      <x:c r="H665" s="14" t="str">
        <x:f>IF($P665="","",INDEX(Tasks!$F$10:$F$1941,$P665)&amp;CHAR(10)&amp;INDEX(Tasks!$G$10:$G$1941,$P665))</x:f>
        <x:v>RA.PL.1.4
Identify backup topic for Cycle</x:v>
      </x:c>
      <x:c r="I665" s="14"/>
      <x:c r="J665" s="14"/>
      <x:c r="K665" s="14"/>
      <x:c r="L665" s="86" t="str">
        <x:f>IF($P665="","",INDEX(Tasks!$N$10:$N$1941,$P665))</x:f>
        <x:v>Not started</x:v>
      </x:c>
      <x:c r="M665" s="87" t="n">
        <x:f>IF($P665="","",INDEX(Tasks!$J$10:$J$1941,$P665))</x:f>
        <x:v>46203</x:v>
      </x:c>
      <x:c r="N665" s="85" t="str">
        <x:f>IF($P665="","",HYPERLINK("#'"&amp;INDEX(Tasks!$T$10:$T$1941,$P665)&amp;"'!A"&amp;INDEX(Tasks!$U$10:$U$1941,$P665),"Open"))</x:f>
        <x:v>Open</x:v>
      </x:c>
      <x:c r="O665" s="14"/>
      <x:c r="P665" s="14" t="n">
        <x:f>IF(644&gt;$B$10,"",MATCH(644,Tasks!$S$10:$S$1941,0))</x:f>
        <x:v>1008</x:v>
      </x:c>
    </x:row>
    <x:row r="666" ht="58" customHeight="1">
      <x:c r="B666" s="86" t="str">
        <x:f>IF($P666="","",INDEX(Tasks!$B$10:$B$1941,$P666))</x:f>
        <x:v>Cycle 2</x:v>
      </x:c>
      <x:c r="C666" s="86" t="str">
        <x:f>IF($P666="","",INDEX(Tasks!$C$10:$C$1941,$P666))</x:f>
        <x:v>Phase 1</x:v>
      </x:c>
      <x:c r="D666" s="86" t="str">
        <x:f>IF($P666="","",INDEX(Tasks!$D$10:$D$1941,$P666))</x:f>
        <x:v>PLL</x:v>
      </x:c>
      <x:c r="E666" s="86"/>
      <x:c r="F666" s="86" t="str">
        <x:f>IF($P666="","",INDEX(Tasks!$E$10:$E$1941,$P666))</x:f>
        <x:v>Research &amp; Analysis</x:v>
      </x:c>
      <x:c r="G666" s="86"/>
      <x:c r="H666" s="14" t="str">
        <x:f>IF($P666="","",INDEX(Tasks!$F$10:$F$1941,$P666)&amp;CHAR(10)&amp;INDEX(Tasks!$G$10:$G$1941,$P666))</x:f>
        <x:v>RA.PL.1.5
Schedule topic approval meeting with D&amp;I and management</x:v>
      </x:c>
      <x:c r="I666" s="14"/>
      <x:c r="J666" s="14"/>
      <x:c r="K666" s="14"/>
      <x:c r="L666" s="86" t="str">
        <x:f>IF($P666="","",INDEX(Tasks!$N$10:$N$1941,$P666))</x:f>
        <x:v>Not started</x:v>
      </x:c>
      <x:c r="M666" s="87" t="n">
        <x:f>IF($P666="","",INDEX(Tasks!$J$10:$J$1941,$P666))</x:f>
        <x:v>46203</x:v>
      </x:c>
      <x:c r="N666" s="85" t="str">
        <x:f>IF($P666="","",HYPERLINK("#'"&amp;INDEX(Tasks!$T$10:$T$1941,$P666)&amp;"'!A"&amp;INDEX(Tasks!$U$10:$U$1941,$P666),"Open"))</x:f>
        <x:v>Open</x:v>
      </x:c>
      <x:c r="O666" s="14"/>
      <x:c r="P666" s="14" t="n">
        <x:f>IF(645&gt;$B$10,"",MATCH(645,Tasks!$S$10:$S$1941,0))</x:f>
        <x:v>1009</x:v>
      </x:c>
    </x:row>
    <x:row r="667" ht="58" customHeight="1">
      <x:c r="B667" s="86" t="str">
        <x:f>IF($P667="","",INDEX(Tasks!$B$10:$B$1941,$P667))</x:f>
        <x:v>Cycle 2</x:v>
      </x:c>
      <x:c r="C667" s="86" t="str">
        <x:f>IF($P667="","",INDEX(Tasks!$C$10:$C$1941,$P667))</x:f>
        <x:v>Phase 1</x:v>
      </x:c>
      <x:c r="D667" s="86" t="str">
        <x:f>IF($P667="","",INDEX(Tasks!$D$10:$D$1941,$P667))</x:f>
        <x:v>PLL</x:v>
      </x:c>
      <x:c r="E667" s="86"/>
      <x:c r="F667" s="86" t="str">
        <x:f>IF($P667="","",INDEX(Tasks!$E$10:$E$1941,$P667))</x:f>
        <x:v>Research &amp; Analysis</x:v>
      </x:c>
      <x:c r="G667" s="86"/>
      <x:c r="H667" s="14" t="str">
        <x:f>IF($P667="","",INDEX(Tasks!$F$10:$F$1941,$P667)&amp;CHAR(10)&amp;INDEX(Tasks!$G$10:$G$1941,$P667))</x:f>
        <x:v>RA.PL.1.6
Present recommended topic to D&amp;I and management for approval</x:v>
      </x:c>
      <x:c r="I667" s="14"/>
      <x:c r="J667" s="14"/>
      <x:c r="K667" s="14"/>
      <x:c r="L667" s="86" t="str">
        <x:f>IF($P667="","",INDEX(Tasks!$N$10:$N$1941,$P667))</x:f>
        <x:v>Not started</x:v>
      </x:c>
      <x:c r="M667" s="87" t="n">
        <x:f>IF($P667="","",INDEX(Tasks!$J$10:$J$1941,$P667))</x:f>
        <x:v>46203</x:v>
      </x:c>
      <x:c r="N667" s="85" t="str">
        <x:f>IF($P667="","",HYPERLINK("#'"&amp;INDEX(Tasks!$T$10:$T$1941,$P667)&amp;"'!A"&amp;INDEX(Tasks!$U$10:$U$1941,$P667),"Open"))</x:f>
        <x:v>Open</x:v>
      </x:c>
      <x:c r="O667" s="14"/>
      <x:c r="P667" s="14" t="n">
        <x:f>IF(646&gt;$B$10,"",MATCH(646,Tasks!$S$10:$S$1941,0))</x:f>
        <x:v>1010</x:v>
      </x:c>
    </x:row>
    <x:row r="668" ht="58" customHeight="1">
      <x:c r="B668" s="86" t="str">
        <x:f>IF($P668="","",INDEX(Tasks!$B$10:$B$1941,$P668))</x:f>
        <x:v>Cycle 2</x:v>
      </x:c>
      <x:c r="C668" s="86" t="str">
        <x:f>IF($P668="","",INDEX(Tasks!$C$10:$C$1941,$P668))</x:f>
        <x:v>Phase 1</x:v>
      </x:c>
      <x:c r="D668" s="86" t="str">
        <x:f>IF($P668="","",INDEX(Tasks!$D$10:$D$1941,$P668))</x:f>
        <x:v>PLL</x:v>
      </x:c>
      <x:c r="E668" s="86"/>
      <x:c r="F668" s="86" t="str">
        <x:f>IF($P668="","",INDEX(Tasks!$E$10:$E$1941,$P668))</x:f>
        <x:v>Research &amp; Analysis</x:v>
      </x:c>
      <x:c r="G668" s="86"/>
      <x:c r="H668" s="14" t="str">
        <x:f>IF($P668="","",INDEX(Tasks!$F$10:$F$1941,$P668)&amp;CHAR(10)&amp;INDEX(Tasks!$G$10:$G$1941,$P668))</x:f>
        <x:v>RA.PL.1.7
Obtain formal topic selection approval from management via SharePoint</x:v>
      </x:c>
      <x:c r="I668" s="14"/>
      <x:c r="J668" s="14"/>
      <x:c r="K668" s="14"/>
      <x:c r="L668" s="86" t="str">
        <x:f>IF($P668="","",INDEX(Tasks!$N$10:$N$1941,$P668))</x:f>
        <x:v>Not started</x:v>
      </x:c>
      <x:c r="M668" s="87" t="n">
        <x:f>IF($P668="","",INDEX(Tasks!$J$10:$J$1941,$P668))</x:f>
        <x:v>46203</x:v>
      </x:c>
      <x:c r="N668" s="85" t="str">
        <x:f>IF($P668="","",HYPERLINK("#'"&amp;INDEX(Tasks!$T$10:$T$1941,$P668)&amp;"'!A"&amp;INDEX(Tasks!$U$10:$U$1941,$P668),"Open"))</x:f>
        <x:v>Open</x:v>
      </x:c>
      <x:c r="O668" s="14"/>
      <x:c r="P668" s="14" t="n">
        <x:f>IF(647&gt;$B$10,"",MATCH(647,Tasks!$S$10:$S$1941,0))</x:f>
        <x:v>1011</x:v>
      </x:c>
    </x:row>
    <x:row r="669" ht="58" customHeight="1">
      <x:c r="B669" s="86" t="str">
        <x:f>IF($P669="","",INDEX(Tasks!$B$10:$B$1941,$P669))</x:f>
        <x:v>Cycle 2</x:v>
      </x:c>
      <x:c r="C669" s="86" t="str">
        <x:f>IF($P669="","",INDEX(Tasks!$C$10:$C$1941,$P669))</x:f>
        <x:v>Phase 1</x:v>
      </x:c>
      <x:c r="D669" s="86" t="str">
        <x:f>IF($P669="","",INDEX(Tasks!$D$10:$D$1941,$P669))</x:f>
        <x:v>PLL</x:v>
      </x:c>
      <x:c r="E669" s="86"/>
      <x:c r="F669" s="86" t="str">
        <x:f>IF($P669="","",INDEX(Tasks!$E$10:$E$1941,$P669))</x:f>
        <x:v>Research &amp; Analysis</x:v>
      </x:c>
      <x:c r="G669" s="86"/>
      <x:c r="H669" s="14" t="str">
        <x:f>IF($P669="","",INDEX(Tasks!$F$10:$F$1941,$P669)&amp;CHAR(10)&amp;INDEX(Tasks!$G$10:$G$1941,$P669))</x:f>
        <x:v>RA.PL.1.8
Socialize topic selection with product owners and subject matter experts (if known)</x:v>
      </x:c>
      <x:c r="I669" s="14"/>
      <x:c r="J669" s="14"/>
      <x:c r="K669" s="14"/>
      <x:c r="L669" s="86" t="str">
        <x:f>IF($P669="","",INDEX(Tasks!$N$10:$N$1941,$P669))</x:f>
        <x:v>Not started</x:v>
      </x:c>
      <x:c r="M669" s="87" t="n">
        <x:f>IF($P669="","",INDEX(Tasks!$J$10:$J$1941,$P669))</x:f>
        <x:v>46203</x:v>
      </x:c>
      <x:c r="N669" s="85" t="str">
        <x:f>IF($P669="","",HYPERLINK("#'"&amp;INDEX(Tasks!$T$10:$T$1941,$P669)&amp;"'!A"&amp;INDEX(Tasks!$U$10:$U$1941,$P669),"Open"))</x:f>
        <x:v>Open</x:v>
      </x:c>
      <x:c r="O669" s="14"/>
      <x:c r="P669" s="14" t="n">
        <x:f>IF(648&gt;$B$10,"",MATCH(648,Tasks!$S$10:$S$1941,0))</x:f>
        <x:v>1012</x:v>
      </x:c>
    </x:row>
    <x:row r="670" ht="58" customHeight="1">
      <x:c r="B670" s="86" t="str">
        <x:f>IF($P670="","",INDEX(Tasks!$B$10:$B$1941,$P670))</x:f>
        <x:v>Cycle 2</x:v>
      </x:c>
      <x:c r="C670" s="86" t="str">
        <x:f>IF($P670="","",INDEX(Tasks!$C$10:$C$1941,$P670))</x:f>
        <x:v>Phase 1</x:v>
      </x:c>
      <x:c r="D670" s="86" t="str">
        <x:f>IF($P670="","",INDEX(Tasks!$D$10:$D$1941,$P670))</x:f>
        <x:v>PLL</x:v>
      </x:c>
      <x:c r="E670" s="86"/>
      <x:c r="F670" s="86" t="str">
        <x:f>IF($P670="","",INDEX(Tasks!$E$10:$E$1941,$P670))</x:f>
        <x:v>Research &amp; Analysis</x:v>
      </x:c>
      <x:c r="G670" s="86"/>
      <x:c r="H670" s="14" t="str">
        <x:f>IF($P670="","",INDEX(Tasks!$F$10:$F$1941,$P670)&amp;CHAR(10)&amp;INDEX(Tasks!$G$10:$G$1941,$P670))</x:f>
        <x:v>RA.PL.1.9
Assign topic researchers</x:v>
      </x:c>
      <x:c r="I670" s="14"/>
      <x:c r="J670" s="14"/>
      <x:c r="K670" s="14"/>
      <x:c r="L670" s="86" t="str">
        <x:f>IF($P670="","",INDEX(Tasks!$N$10:$N$1941,$P670))</x:f>
        <x:v>Not started</x:v>
      </x:c>
      <x:c r="M670" s="87" t="n">
        <x:f>IF($P670="","",INDEX(Tasks!$J$10:$J$1941,$P670))</x:f>
        <x:v>46203</x:v>
      </x:c>
      <x:c r="N670" s="85" t="str">
        <x:f>IF($P670="","",HYPERLINK("#'"&amp;INDEX(Tasks!$T$10:$T$1941,$P670)&amp;"'!A"&amp;INDEX(Tasks!$U$10:$U$1941,$P670),"Open"))</x:f>
        <x:v>Open</x:v>
      </x:c>
      <x:c r="O670" s="14"/>
      <x:c r="P670" s="14" t="n">
        <x:f>IF(649&gt;$B$10,"",MATCH(649,Tasks!$S$10:$S$1941,0))</x:f>
        <x:v>1013</x:v>
      </x:c>
    </x:row>
    <x:row r="671" ht="58" customHeight="1">
      <x:c r="B671" s="86" t="str">
        <x:f>IF($P671="","",INDEX(Tasks!$B$10:$B$1941,$P671))</x:f>
        <x:v>Cycle 2</x:v>
      </x:c>
      <x:c r="C671" s="86" t="str">
        <x:f>IF($P671="","",INDEX(Tasks!$C$10:$C$1941,$P671))</x:f>
        <x:v>Phase 2</x:v>
      </x:c>
      <x:c r="D671" s="86" t="str">
        <x:f>IF($P671="","",INDEX(Tasks!$D$10:$D$1941,$P671))</x:f>
        <x:v>PLL</x:v>
      </x:c>
      <x:c r="E671" s="86"/>
      <x:c r="F671" s="86" t="str">
        <x:f>IF($P671="","",INDEX(Tasks!$E$10:$E$1941,$P671))</x:f>
        <x:v>Research &amp; Analysis</x:v>
      </x:c>
      <x:c r="G671" s="86"/>
      <x:c r="H671" s="14" t="str">
        <x:f>IF($P671="","",INDEX(Tasks!$F$10:$F$1941,$P671)&amp;CHAR(10)&amp;INDEX(Tasks!$G$10:$G$1941,$P671))</x:f>
        <x:v>RA.PL.2.1
Review data sources</x:v>
      </x:c>
      <x:c r="I671" s="14"/>
      <x:c r="J671" s="14"/>
      <x:c r="K671" s="14"/>
      <x:c r="L671" s="86" t="str">
        <x:f>IF($P671="","",INDEX(Tasks!$N$10:$N$1941,$P671))</x:f>
        <x:v>Not started</x:v>
      </x:c>
      <x:c r="M671" s="87" t="n">
        <x:f>IF($P671="","",INDEX(Tasks!$J$10:$J$1941,$P671))</x:f>
        <x:v>46203</x:v>
      </x:c>
      <x:c r="N671" s="85" t="str">
        <x:f>IF($P671="","",HYPERLINK("#'"&amp;INDEX(Tasks!$T$10:$T$1941,$P671)&amp;"'!A"&amp;INDEX(Tasks!$U$10:$U$1941,$P671),"Open"))</x:f>
        <x:v>Open</x:v>
      </x:c>
      <x:c r="O671" s="14"/>
      <x:c r="P671" s="14" t="n">
        <x:f>IF(650&gt;$B$10,"",MATCH(650,Tasks!$S$10:$S$1941,0))</x:f>
        <x:v>1014</x:v>
      </x:c>
    </x:row>
    <x:row r="672" ht="58" customHeight="1">
      <x:c r="B672" s="86" t="str">
        <x:f>IF($P672="","",INDEX(Tasks!$B$10:$B$1941,$P672))</x:f>
        <x:v>Cycle 2</x:v>
      </x:c>
      <x:c r="C672" s="86" t="str">
        <x:f>IF($P672="","",INDEX(Tasks!$C$10:$C$1941,$P672))</x:f>
        <x:v>Phase 2</x:v>
      </x:c>
      <x:c r="D672" s="86" t="str">
        <x:f>IF($P672="","",INDEX(Tasks!$D$10:$D$1941,$P672))</x:f>
        <x:v>PLL</x:v>
      </x:c>
      <x:c r="E672" s="86"/>
      <x:c r="F672" s="86" t="str">
        <x:f>IF($P672="","",INDEX(Tasks!$E$10:$E$1941,$P672))</x:f>
        <x:v>Research &amp; Analysis</x:v>
      </x:c>
      <x:c r="G672" s="86"/>
      <x:c r="H672" s="14" t="str">
        <x:f>IF($P672="","",INDEX(Tasks!$F$10:$F$1941,$P672)&amp;CHAR(10)&amp;INDEX(Tasks!$G$10:$G$1941,$P672))</x:f>
        <x:v>RA.PL.2.2
Review relevant policies and procedures</x:v>
      </x:c>
      <x:c r="I672" s="14"/>
      <x:c r="J672" s="14"/>
      <x:c r="K672" s="14"/>
      <x:c r="L672" s="86" t="str">
        <x:f>IF($P672="","",INDEX(Tasks!$N$10:$N$1941,$P672))</x:f>
        <x:v>Not started</x:v>
      </x:c>
      <x:c r="M672" s="87" t="n">
        <x:f>IF($P672="","",INDEX(Tasks!$J$10:$J$1941,$P672))</x:f>
        <x:v>46203</x:v>
      </x:c>
      <x:c r="N672" s="85" t="str">
        <x:f>IF($P672="","",HYPERLINK("#'"&amp;INDEX(Tasks!$T$10:$T$1941,$P672)&amp;"'!A"&amp;INDEX(Tasks!$U$10:$U$1941,$P672),"Open"))</x:f>
        <x:v>Open</x:v>
      </x:c>
      <x:c r="O672" s="14"/>
      <x:c r="P672" s="14" t="n">
        <x:f>IF(651&gt;$B$10,"",MATCH(651,Tasks!$S$10:$S$1941,0))</x:f>
        <x:v>1015</x:v>
      </x:c>
    </x:row>
    <x:row r="673" ht="58" customHeight="1">
      <x:c r="B673" s="86" t="str">
        <x:f>IF($P673="","",INDEX(Tasks!$B$10:$B$1941,$P673))</x:f>
        <x:v>Cycle 2</x:v>
      </x:c>
      <x:c r="C673" s="86" t="str">
        <x:f>IF($P673="","",INDEX(Tasks!$C$10:$C$1941,$P673))</x:f>
        <x:v>Phase 2</x:v>
      </x:c>
      <x:c r="D673" s="86" t="str">
        <x:f>IF($P673="","",INDEX(Tasks!$D$10:$D$1941,$P673))</x:f>
        <x:v>PLL</x:v>
      </x:c>
      <x:c r="E673" s="86"/>
      <x:c r="F673" s="86" t="str">
        <x:f>IF($P673="","",INDEX(Tasks!$E$10:$E$1941,$P673))</x:f>
        <x:v>Research &amp; Analysis</x:v>
      </x:c>
      <x:c r="G673" s="86"/>
      <x:c r="H673" s="14" t="str">
        <x:f>IF($P673="","",INDEX(Tasks!$F$10:$F$1941,$P673)&amp;CHAR(10)&amp;INDEX(Tasks!$G$10:$G$1941,$P673))</x:f>
        <x:v>RA.PL.2.3
Meet with SMEs to gain business insight and clarify questions</x:v>
      </x:c>
      <x:c r="I673" s="14"/>
      <x:c r="J673" s="14"/>
      <x:c r="K673" s="14"/>
      <x:c r="L673" s="86" t="str">
        <x:f>IF($P673="","",INDEX(Tasks!$N$10:$N$1941,$P673))</x:f>
        <x:v>Not started</x:v>
      </x:c>
      <x:c r="M673" s="87" t="n">
        <x:f>IF($P673="","",INDEX(Tasks!$J$10:$J$1941,$P673))</x:f>
        <x:v>46203</x:v>
      </x:c>
      <x:c r="N673" s="85" t="str">
        <x:f>IF($P673="","",HYPERLINK("#'"&amp;INDEX(Tasks!$T$10:$T$1941,$P673)&amp;"'!A"&amp;INDEX(Tasks!$U$10:$U$1941,$P673),"Open"))</x:f>
        <x:v>Open</x:v>
      </x:c>
      <x:c r="O673" s="14"/>
      <x:c r="P673" s="14" t="n">
        <x:f>IF(652&gt;$B$10,"",MATCH(652,Tasks!$S$10:$S$1941,0))</x:f>
        <x:v>1016</x:v>
      </x:c>
    </x:row>
    <x:row r="674" ht="58" customHeight="1">
      <x:c r="B674" s="86" t="str">
        <x:f>IF($P674="","",INDEX(Tasks!$B$10:$B$1941,$P674))</x:f>
        <x:v>Cycle 2</x:v>
      </x:c>
      <x:c r="C674" s="86" t="str">
        <x:f>IF($P674="","",INDEX(Tasks!$C$10:$C$1941,$P674))</x:f>
        <x:v>Phase 2</x:v>
      </x:c>
      <x:c r="D674" s="86" t="str">
        <x:f>IF($P674="","",INDEX(Tasks!$D$10:$D$1941,$P674))</x:f>
        <x:v>PLL</x:v>
      </x:c>
      <x:c r="E674" s="86"/>
      <x:c r="F674" s="86" t="str">
        <x:f>IF($P674="","",INDEX(Tasks!$E$10:$E$1941,$P674))</x:f>
        <x:v>Research &amp; Analysis</x:v>
      </x:c>
      <x:c r="G674" s="86"/>
      <x:c r="H674" s="14" t="str">
        <x:f>IF($P674="","",INDEX(Tasks!$F$10:$F$1941,$P674)&amp;CHAR(10)&amp;INDEX(Tasks!$G$10:$G$1941,$P674))</x:f>
        <x:v>RA.PL.2.4
Establish and maintain a recurring meeting with D&amp;I to discuss Cycle progress</x:v>
      </x:c>
      <x:c r="I674" s="14"/>
      <x:c r="J674" s="14"/>
      <x:c r="K674" s="14"/>
      <x:c r="L674" s="86" t="str">
        <x:f>IF($P674="","",INDEX(Tasks!$N$10:$N$1941,$P674))</x:f>
        <x:v>Not started</x:v>
      </x:c>
      <x:c r="M674" s="87" t="n">
        <x:f>IF($P674="","",INDEX(Tasks!$J$10:$J$1941,$P674))</x:f>
        <x:v>46203</x:v>
      </x:c>
      <x:c r="N674" s="85" t="str">
        <x:f>IF($P674="","",HYPERLINK("#'"&amp;INDEX(Tasks!$T$10:$T$1941,$P674)&amp;"'!A"&amp;INDEX(Tasks!$U$10:$U$1941,$P674),"Open"))</x:f>
        <x:v>Open</x:v>
      </x:c>
      <x:c r="O674" s="14"/>
      <x:c r="P674" s="14" t="n">
        <x:f>IF(653&gt;$B$10,"",MATCH(653,Tasks!$S$10:$S$1941,0))</x:f>
        <x:v>1017</x:v>
      </x:c>
    </x:row>
    <x:row r="675" ht="58" customHeight="1">
      <x:c r="B675" s="86" t="str">
        <x:f>IF($P675="","",INDEX(Tasks!$B$10:$B$1941,$P675))</x:f>
        <x:v>Cycle 2</x:v>
      </x:c>
      <x:c r="C675" s="86" t="str">
        <x:f>IF($P675="","",INDEX(Tasks!$C$10:$C$1941,$P675))</x:f>
        <x:v>Phase 2</x:v>
      </x:c>
      <x:c r="D675" s="86" t="str">
        <x:f>IF($P675="","",INDEX(Tasks!$D$10:$D$1941,$P675))</x:f>
        <x:v>PLL</x:v>
      </x:c>
      <x:c r="E675" s="86"/>
      <x:c r="F675" s="86" t="str">
        <x:f>IF($P675="","",INDEX(Tasks!$E$10:$E$1941,$P675))</x:f>
        <x:v>Research &amp; Analysis</x:v>
      </x:c>
      <x:c r="G675" s="86"/>
      <x:c r="H675" s="14" t="str">
        <x:f>IF($P675="","",INDEX(Tasks!$F$10:$F$1941,$P675)&amp;CHAR(10)&amp;INDEX(Tasks!$G$10:$G$1941,$P675))</x:f>
        <x:v>RA.PL.2.5
Perform data testing and sampling</x:v>
      </x:c>
      <x:c r="I675" s="14"/>
      <x:c r="J675" s="14"/>
      <x:c r="K675" s="14"/>
      <x:c r="L675" s="86" t="str">
        <x:f>IF($P675="","",INDEX(Tasks!$N$10:$N$1941,$P675))</x:f>
        <x:v>Not started</x:v>
      </x:c>
      <x:c r="M675" s="87" t="n">
        <x:f>IF($P675="","",INDEX(Tasks!$J$10:$J$1941,$P675))</x:f>
        <x:v>46203</x:v>
      </x:c>
      <x:c r="N675" s="85" t="str">
        <x:f>IF($P675="","",HYPERLINK("#'"&amp;INDEX(Tasks!$T$10:$T$1941,$P675)&amp;"'!A"&amp;INDEX(Tasks!$U$10:$U$1941,$P675),"Open"))</x:f>
        <x:v>Open</x:v>
      </x:c>
      <x:c r="O675" s="14"/>
      <x:c r="P675" s="14" t="n">
        <x:f>IF(654&gt;$B$10,"",MATCH(654,Tasks!$S$10:$S$1941,0))</x:f>
        <x:v>1018</x:v>
      </x:c>
    </x:row>
    <x:row r="676" ht="58" customHeight="1">
      <x:c r="B676" s="86" t="str">
        <x:f>IF($P676="","",INDEX(Tasks!$B$10:$B$1941,$P676))</x:f>
        <x:v>Cycle 2</x:v>
      </x:c>
      <x:c r="C676" s="86" t="str">
        <x:f>IF($P676="","",INDEX(Tasks!$C$10:$C$1941,$P676))</x:f>
        <x:v>Phase 2</x:v>
      </x:c>
      <x:c r="D676" s="86" t="str">
        <x:f>IF($P676="","",INDEX(Tasks!$D$10:$D$1941,$P676))</x:f>
        <x:v>PLL</x:v>
      </x:c>
      <x:c r="E676" s="86"/>
      <x:c r="F676" s="86" t="str">
        <x:f>IF($P676="","",INDEX(Tasks!$E$10:$E$1941,$P676))</x:f>
        <x:v>Research &amp; Analysis</x:v>
      </x:c>
      <x:c r="G676" s="86"/>
      <x:c r="H676" s="14" t="str">
        <x:f>IF($P676="","",INDEX(Tasks!$F$10:$F$1941,$P676)&amp;CHAR(10)&amp;INDEX(Tasks!$G$10:$G$1941,$P676))</x:f>
        <x:v>RA.PL.2.6
Complete Positive Testing</x:v>
      </x:c>
      <x:c r="I676" s="14"/>
      <x:c r="J676" s="14"/>
      <x:c r="K676" s="14"/>
      <x:c r="L676" s="86" t="str">
        <x:f>IF($P676="","",INDEX(Tasks!$N$10:$N$1941,$P676))</x:f>
        <x:v>Not started</x:v>
      </x:c>
      <x:c r="M676" s="87" t="n">
        <x:f>IF($P676="","",INDEX(Tasks!$J$10:$J$1941,$P676))</x:f>
        <x:v>46203</x:v>
      </x:c>
      <x:c r="N676" s="85" t="str">
        <x:f>IF($P676="","",HYPERLINK("#'"&amp;INDEX(Tasks!$T$10:$T$1941,$P676)&amp;"'!A"&amp;INDEX(Tasks!$U$10:$U$1941,$P676),"Open"))</x:f>
        <x:v>Open</x:v>
      </x:c>
      <x:c r="O676" s="14"/>
      <x:c r="P676" s="14" t="n">
        <x:f>IF(655&gt;$B$10,"",MATCH(655,Tasks!$S$10:$S$1941,0))</x:f>
        <x:v>1019</x:v>
      </x:c>
    </x:row>
    <x:row r="677" ht="58" customHeight="1">
      <x:c r="B677" s="86" t="str">
        <x:f>IF($P677="","",INDEX(Tasks!$B$10:$B$1941,$P677))</x:f>
        <x:v>Cycle 2</x:v>
      </x:c>
      <x:c r="C677" s="86" t="str">
        <x:f>IF($P677="","",INDEX(Tasks!$C$10:$C$1941,$P677))</x:f>
        <x:v>Phase 2</x:v>
      </x:c>
      <x:c r="D677" s="86" t="str">
        <x:f>IF($P677="","",INDEX(Tasks!$D$10:$D$1941,$P677))</x:f>
        <x:v>PLL</x:v>
      </x:c>
      <x:c r="E677" s="86"/>
      <x:c r="F677" s="86" t="str">
        <x:f>IF($P677="","",INDEX(Tasks!$E$10:$E$1941,$P677))</x:f>
        <x:v>Research &amp; Analysis</x:v>
      </x:c>
      <x:c r="G677" s="86"/>
      <x:c r="H677" s="14" t="str">
        <x:f>IF($P677="","",INDEX(Tasks!$F$10:$F$1941,$P677)&amp;CHAR(10)&amp;INDEX(Tasks!$G$10:$G$1941,$P677))</x:f>
        <x:v>RA.PL.2.7
Complete Negative Testing</x:v>
      </x:c>
      <x:c r="I677" s="14"/>
      <x:c r="J677" s="14"/>
      <x:c r="K677" s="14"/>
      <x:c r="L677" s="86" t="str">
        <x:f>IF($P677="","",INDEX(Tasks!$N$10:$N$1941,$P677))</x:f>
        <x:v>Not started</x:v>
      </x:c>
      <x:c r="M677" s="87" t="n">
        <x:f>IF($P677="","",INDEX(Tasks!$J$10:$J$1941,$P677))</x:f>
        <x:v>46203</x:v>
      </x:c>
      <x:c r="N677" s="85" t="str">
        <x:f>IF($P677="","",HYPERLINK("#'"&amp;INDEX(Tasks!$T$10:$T$1941,$P677)&amp;"'!A"&amp;INDEX(Tasks!$U$10:$U$1941,$P677),"Open"))</x:f>
        <x:v>Open</x:v>
      </x:c>
      <x:c r="O677" s="14"/>
      <x:c r="P677" s="14" t="n">
        <x:f>IF(656&gt;$B$10,"",MATCH(656,Tasks!$S$10:$S$1941,0))</x:f>
        <x:v>1020</x:v>
      </x:c>
    </x:row>
    <x:row r="678" ht="58" customHeight="1">
      <x:c r="B678" s="86" t="str">
        <x:f>IF($P678="","",INDEX(Tasks!$B$10:$B$1941,$P678))</x:f>
        <x:v>Cycle 2</x:v>
      </x:c>
      <x:c r="C678" s="86" t="str">
        <x:f>IF($P678="","",INDEX(Tasks!$C$10:$C$1941,$P678))</x:f>
        <x:v>Phase 2</x:v>
      </x:c>
      <x:c r="D678" s="86" t="str">
        <x:f>IF($P678="","",INDEX(Tasks!$D$10:$D$1941,$P678))</x:f>
        <x:v>PLL</x:v>
      </x:c>
      <x:c r="E678" s="86"/>
      <x:c r="F678" s="86" t="str">
        <x:f>IF($P678="","",INDEX(Tasks!$E$10:$E$1941,$P678))</x:f>
        <x:v>Research &amp; Analysis</x:v>
      </x:c>
      <x:c r="G678" s="86"/>
      <x:c r="H678" s="14" t="str">
        <x:f>IF($P678="","",INDEX(Tasks!$F$10:$F$1941,$P678)&amp;CHAR(10)&amp;INDEX(Tasks!$G$10:$G$1941,$P678))</x:f>
        <x:v>RA.PL.2.8
Request additional data (as needed)</x:v>
      </x:c>
      <x:c r="I678" s="14"/>
      <x:c r="J678" s="14"/>
      <x:c r="K678" s="14"/>
      <x:c r="L678" s="86" t="str">
        <x:f>IF($P678="","",INDEX(Tasks!$N$10:$N$1941,$P678))</x:f>
        <x:v>Not started</x:v>
      </x:c>
      <x:c r="M678" s="87" t="n">
        <x:f>IF($P678="","",INDEX(Tasks!$J$10:$J$1941,$P678))</x:f>
        <x:v>46203</x:v>
      </x:c>
      <x:c r="N678" s="85" t="str">
        <x:f>IF($P678="","",HYPERLINK("#'"&amp;INDEX(Tasks!$T$10:$T$1941,$P678)&amp;"'!A"&amp;INDEX(Tasks!$U$10:$U$1941,$P678),"Open"))</x:f>
        <x:v>Open</x:v>
      </x:c>
      <x:c r="O678" s="14"/>
      <x:c r="P678" s="14" t="n">
        <x:f>IF(657&gt;$B$10,"",MATCH(657,Tasks!$S$10:$S$1941,0))</x:f>
        <x:v>1021</x:v>
      </x:c>
    </x:row>
    <x:row r="679" ht="58" customHeight="1">
      <x:c r="B679" s="86" t="str">
        <x:f>IF($P679="","",INDEX(Tasks!$B$10:$B$1941,$P679))</x:f>
        <x:v>Cycle 2</x:v>
      </x:c>
      <x:c r="C679" s="86" t="str">
        <x:f>IF($P679="","",INDEX(Tasks!$C$10:$C$1941,$P679))</x:f>
        <x:v>Phase 2</x:v>
      </x:c>
      <x:c r="D679" s="86" t="str">
        <x:f>IF($P679="","",INDEX(Tasks!$D$10:$D$1941,$P679))</x:f>
        <x:v>PLL</x:v>
      </x:c>
      <x:c r="E679" s="86"/>
      <x:c r="F679" s="86" t="str">
        <x:f>IF($P679="","",INDEX(Tasks!$E$10:$E$1941,$P679))</x:f>
        <x:v>Research &amp; Analysis</x:v>
      </x:c>
      <x:c r="G679" s="86"/>
      <x:c r="H679" s="14" t="str">
        <x:f>IF($P679="","",INDEX(Tasks!$F$10:$F$1941,$P679)&amp;CHAR(10)&amp;INDEX(Tasks!$G$10:$G$1941,$P679))</x:f>
        <x:v>RA.PL.2.9
Validate or disprove initial hypothesis assumptions</x:v>
      </x:c>
      <x:c r="I679" s="14"/>
      <x:c r="J679" s="14"/>
      <x:c r="K679" s="14"/>
      <x:c r="L679" s="86" t="str">
        <x:f>IF($P679="","",INDEX(Tasks!$N$10:$N$1941,$P679))</x:f>
        <x:v>Not started</x:v>
      </x:c>
      <x:c r="M679" s="87" t="n">
        <x:f>IF($P679="","",INDEX(Tasks!$J$10:$J$1941,$P679))</x:f>
        <x:v>46203</x:v>
      </x:c>
      <x:c r="N679" s="85" t="str">
        <x:f>IF($P679="","",HYPERLINK("#'"&amp;INDEX(Tasks!$T$10:$T$1941,$P679)&amp;"'!A"&amp;INDEX(Tasks!$U$10:$U$1941,$P679),"Open"))</x:f>
        <x:v>Open</x:v>
      </x:c>
      <x:c r="O679" s="14"/>
      <x:c r="P679" s="14" t="n">
        <x:f>IF(658&gt;$B$10,"",MATCH(658,Tasks!$S$10:$S$1941,0))</x:f>
        <x:v>1022</x:v>
      </x:c>
    </x:row>
    <x:row r="680" ht="58" customHeight="1">
      <x:c r="B680" s="86" t="str">
        <x:f>IF($P680="","",INDEX(Tasks!$B$10:$B$1941,$P680))</x:f>
        <x:v>Cycle 2</x:v>
      </x:c>
      <x:c r="C680" s="86" t="str">
        <x:f>IF($P680="","",INDEX(Tasks!$C$10:$C$1941,$P680))</x:f>
        <x:v>Phase 2</x:v>
      </x:c>
      <x:c r="D680" s="86" t="str">
        <x:f>IF($P680="","",INDEX(Tasks!$D$10:$D$1941,$P680))</x:f>
        <x:v>PLL</x:v>
      </x:c>
      <x:c r="E680" s="86"/>
      <x:c r="F680" s="86" t="str">
        <x:f>IF($P680="","",INDEX(Tasks!$E$10:$E$1941,$P680))</x:f>
        <x:v>Research &amp; Analysis</x:v>
      </x:c>
      <x:c r="G680" s="86"/>
      <x:c r="H680" s="14" t="str">
        <x:f>IF($P680="","",INDEX(Tasks!$F$10:$F$1941,$P680)&amp;CHAR(10)&amp;INDEX(Tasks!$G$10:$G$1941,$P680))</x:f>
        <x:v>RA.PL.2.10
Identify and confirm root cause</x:v>
      </x:c>
      <x:c r="I680" s="14"/>
      <x:c r="J680" s="14"/>
      <x:c r="K680" s="14"/>
      <x:c r="L680" s="86" t="str">
        <x:f>IF($P680="","",INDEX(Tasks!$N$10:$N$1941,$P680))</x:f>
        <x:v>Not started</x:v>
      </x:c>
      <x:c r="M680" s="87" t="n">
        <x:f>IF($P680="","",INDEX(Tasks!$J$10:$J$1941,$P680))</x:f>
        <x:v>46203</x:v>
      </x:c>
      <x:c r="N680" s="85" t="str">
        <x:f>IF($P680="","",HYPERLINK("#'"&amp;INDEX(Tasks!$T$10:$T$1941,$P680)&amp;"'!A"&amp;INDEX(Tasks!$U$10:$U$1941,$P680),"Open"))</x:f>
        <x:v>Open</x:v>
      </x:c>
      <x:c r="O680" s="14"/>
      <x:c r="P680" s="14" t="n">
        <x:f>IF(659&gt;$B$10,"",MATCH(659,Tasks!$S$10:$S$1941,0))</x:f>
        <x:v>1023</x:v>
      </x:c>
    </x:row>
    <x:row r="681" ht="58" customHeight="1">
      <x:c r="B681" s="86" t="str">
        <x:f>IF($P681="","",INDEX(Tasks!$B$10:$B$1941,$P681))</x:f>
        <x:v>Cycle 2</x:v>
      </x:c>
      <x:c r="C681" s="86" t="str">
        <x:f>IF($P681="","",INDEX(Tasks!$C$10:$C$1941,$P681))</x:f>
        <x:v>Phase 3</x:v>
      </x:c>
      <x:c r="D681" s="86" t="str">
        <x:f>IF($P681="","",INDEX(Tasks!$D$10:$D$1941,$P681))</x:f>
        <x:v>PLL</x:v>
      </x:c>
      <x:c r="E681" s="86"/>
      <x:c r="F681" s="86" t="str">
        <x:f>IF($P681="","",INDEX(Tasks!$E$10:$E$1941,$P681))</x:f>
        <x:v>Research &amp; Analysis</x:v>
      </x:c>
      <x:c r="G681" s="86"/>
      <x:c r="H681" s="14" t="str">
        <x:f>IF($P681="","",INDEX(Tasks!$F$10:$F$1941,$P681)&amp;CHAR(10)&amp;INDEX(Tasks!$G$10:$G$1941,$P681))</x:f>
        <x:v>RA.PL.3.1
Finalize results and supporting documentation</x:v>
      </x:c>
      <x:c r="I681" s="14"/>
      <x:c r="J681" s="14"/>
      <x:c r="K681" s="14"/>
      <x:c r="L681" s="86" t="str">
        <x:f>IF($P681="","",INDEX(Tasks!$N$10:$N$1941,$P681))</x:f>
        <x:v>Not started</x:v>
      </x:c>
      <x:c r="M681" s="87" t="n">
        <x:f>IF($P681="","",INDEX(Tasks!$J$10:$J$1941,$P681))</x:f>
        <x:v>46203</x:v>
      </x:c>
      <x:c r="N681" s="85" t="str">
        <x:f>IF($P681="","",HYPERLINK("#'"&amp;INDEX(Tasks!$T$10:$T$1941,$P681)&amp;"'!A"&amp;INDEX(Tasks!$U$10:$U$1941,$P681),"Open"))</x:f>
        <x:v>Open</x:v>
      </x:c>
      <x:c r="O681" s="14"/>
      <x:c r="P681" s="14" t="n">
        <x:f>IF(660&gt;$B$10,"",MATCH(660,Tasks!$S$10:$S$1941,0))</x:f>
        <x:v>1024</x:v>
      </x:c>
    </x:row>
    <x:row r="682" ht="58" customHeight="1">
      <x:c r="B682" s="86" t="str">
        <x:f>IF($P682="","",INDEX(Tasks!$B$10:$B$1941,$P682))</x:f>
        <x:v>Cycle 2</x:v>
      </x:c>
      <x:c r="C682" s="86" t="str">
        <x:f>IF($P682="","",INDEX(Tasks!$C$10:$C$1941,$P682))</x:f>
        <x:v>Phase 3</x:v>
      </x:c>
      <x:c r="D682" s="86" t="str">
        <x:f>IF($P682="","",INDEX(Tasks!$D$10:$D$1941,$P682))</x:f>
        <x:v>PLL</x:v>
      </x:c>
      <x:c r="E682" s="86"/>
      <x:c r="F682" s="86" t="str">
        <x:f>IF($P682="","",INDEX(Tasks!$E$10:$E$1941,$P682))</x:f>
        <x:v>Research &amp; Analysis</x:v>
      </x:c>
      <x:c r="G682" s="86"/>
      <x:c r="H682" s="14" t="str">
        <x:f>IF($P682="","",INDEX(Tasks!$F$10:$F$1941,$P682)&amp;CHAR(10)&amp;INDEX(Tasks!$G$10:$G$1941,$P682))</x:f>
        <x:v>RA.PL.3.2
Maintain and update the evidence package prior to handoff to D&amp;I</x:v>
      </x:c>
      <x:c r="I682" s="14"/>
      <x:c r="J682" s="14"/>
      <x:c r="K682" s="14"/>
      <x:c r="L682" s="86" t="str">
        <x:f>IF($P682="","",INDEX(Tasks!$N$10:$N$1941,$P682))</x:f>
        <x:v>Not started</x:v>
      </x:c>
      <x:c r="M682" s="87" t="n">
        <x:f>IF($P682="","",INDEX(Tasks!$J$10:$J$1941,$P682))</x:f>
        <x:v>46203</x:v>
      </x:c>
      <x:c r="N682" s="85" t="str">
        <x:f>IF($P682="","",HYPERLINK("#'"&amp;INDEX(Tasks!$T$10:$T$1941,$P682)&amp;"'!A"&amp;INDEX(Tasks!$U$10:$U$1941,$P682),"Open"))</x:f>
        <x:v>Open</x:v>
      </x:c>
      <x:c r="O682" s="14"/>
      <x:c r="P682" s="14" t="n">
        <x:f>IF(661&gt;$B$10,"",MATCH(661,Tasks!$S$10:$S$1941,0))</x:f>
        <x:v>1025</x:v>
      </x:c>
    </x:row>
    <x:row r="683" ht="58" customHeight="1">
      <x:c r="B683" s="86" t="str">
        <x:f>IF($P683="","",INDEX(Tasks!$B$10:$B$1941,$P683))</x:f>
        <x:v>Cycle 2</x:v>
      </x:c>
      <x:c r="C683" s="86" t="str">
        <x:f>IF($P683="","",INDEX(Tasks!$C$10:$C$1941,$P683))</x:f>
        <x:v>Phase 3</x:v>
      </x:c>
      <x:c r="D683" s="86" t="str">
        <x:f>IF($P683="","",INDEX(Tasks!$D$10:$D$1941,$P683))</x:f>
        <x:v>PLL</x:v>
      </x:c>
      <x:c r="E683" s="86"/>
      <x:c r="F683" s="86" t="str">
        <x:f>IF($P683="","",INDEX(Tasks!$E$10:$E$1941,$P683))</x:f>
        <x:v>Research &amp; Analysis</x:v>
      </x:c>
      <x:c r="G683" s="86"/>
      <x:c r="H683" s="14" t="str">
        <x:f>IF($P683="","",INDEX(Tasks!$F$10:$F$1941,$P683)&amp;CHAR(10)&amp;INDEX(Tasks!$G$10:$G$1941,$P683))</x:f>
        <x:v>RA.PL.3.3
Address any outstanding questions or requests from D&amp;I</x:v>
      </x:c>
      <x:c r="I683" s="14"/>
      <x:c r="J683" s="14"/>
      <x:c r="K683" s="14"/>
      <x:c r="L683" s="86" t="str">
        <x:f>IF($P683="","",INDEX(Tasks!$N$10:$N$1941,$P683))</x:f>
        <x:v>Not started</x:v>
      </x:c>
      <x:c r="M683" s="87" t="n">
        <x:f>IF($P683="","",INDEX(Tasks!$J$10:$J$1941,$P683))</x:f>
        <x:v>46203</x:v>
      </x:c>
      <x:c r="N683" s="85" t="str">
        <x:f>IF($P683="","",HYPERLINK("#'"&amp;INDEX(Tasks!$T$10:$T$1941,$P683)&amp;"'!A"&amp;INDEX(Tasks!$U$10:$U$1941,$P683),"Open"))</x:f>
        <x:v>Open</x:v>
      </x:c>
      <x:c r="O683" s="14"/>
      <x:c r="P683" s="14" t="n">
        <x:f>IF(662&gt;$B$10,"",MATCH(662,Tasks!$S$10:$S$1941,0))</x:f>
        <x:v>1026</x:v>
      </x:c>
    </x:row>
    <x:row r="684" ht="58" customHeight="1">
      <x:c r="B684" s="86" t="str">
        <x:f>IF($P684="","",INDEX(Tasks!$B$10:$B$1941,$P684))</x:f>
        <x:v>Cycle 2</x:v>
      </x:c>
      <x:c r="C684" s="86" t="str">
        <x:f>IF($P684="","",INDEX(Tasks!$C$10:$C$1941,$P684))</x:f>
        <x:v>Phase 3</x:v>
      </x:c>
      <x:c r="D684" s="86" t="str">
        <x:f>IF($P684="","",INDEX(Tasks!$D$10:$D$1941,$P684))</x:f>
        <x:v>PLL</x:v>
      </x:c>
      <x:c r="E684" s="86"/>
      <x:c r="F684" s="86" t="str">
        <x:f>IF($P684="","",INDEX(Tasks!$E$10:$E$1941,$P684))</x:f>
        <x:v>Research &amp; Analysis</x:v>
      </x:c>
      <x:c r="G684" s="86"/>
      <x:c r="H684" s="14" t="str">
        <x:f>IF($P684="","",INDEX(Tasks!$F$10:$F$1941,$P684)&amp;CHAR(10)&amp;INDEX(Tasks!$G$10:$G$1941,$P684))</x:f>
        <x:v>RA.PL.3.4
Attend Forum meeting with D&amp;I to assist with answering stakeholder questions (as needed)</x:v>
      </x:c>
      <x:c r="I684" s="14"/>
      <x:c r="J684" s="14"/>
      <x:c r="K684" s="14"/>
      <x:c r="L684" s="86" t="str">
        <x:f>IF($P684="","",INDEX(Tasks!$N$10:$N$1941,$P684))</x:f>
        <x:v>Not started</x:v>
      </x:c>
      <x:c r="M684" s="87" t="str">
        <x:f>IF($P684="","",INDEX(Tasks!$J$10:$J$1941,$P684))</x:f>
      </x:c>
      <x:c r="N684" s="85" t="str">
        <x:f>IF($P684="","",HYPERLINK("#'"&amp;INDEX(Tasks!$T$10:$T$1941,$P684)&amp;"'!A"&amp;INDEX(Tasks!$U$10:$U$1941,$P684),"Open"))</x:f>
        <x:v>Open</x:v>
      </x:c>
      <x:c r="O684" s="14"/>
      <x:c r="P684" s="14" t="n">
        <x:f>IF(663&gt;$B$10,"",MATCH(663,Tasks!$S$10:$S$1941,0))</x:f>
        <x:v>1027</x:v>
      </x:c>
    </x:row>
    <x:row r="685" ht="58" customHeight="1">
      <x:c r="B685" s="86" t="str">
        <x:f>IF($P685="","",INDEX(Tasks!$B$10:$B$1941,$P685))</x:f>
        <x:v>Cycle 2</x:v>
      </x:c>
      <x:c r="C685" s="86" t="str">
        <x:f>IF($P685="","",INDEX(Tasks!$C$10:$C$1941,$P685))</x:f>
        <x:v>Phase 1</x:v>
      </x:c>
      <x:c r="D685" s="86" t="str">
        <x:f>IF($P685="","",INDEX(Tasks!$D$10:$D$1941,$P685))</x:f>
        <x:v>Retail Services</x:v>
      </x:c>
      <x:c r="E685" s="86"/>
      <x:c r="F685" s="86" t="str">
        <x:f>IF($P685="","",INDEX(Tasks!$E$10:$E$1941,$P685))</x:f>
        <x:v>Research &amp; Analysis</x:v>
      </x:c>
      <x:c r="G685" s="86"/>
      <x:c r="H685" s="14" t="str">
        <x:f>IF($P685="","",INDEX(Tasks!$F$10:$F$1941,$P685)&amp;CHAR(10)&amp;INDEX(Tasks!$G$10:$G$1941,$P685))</x:f>
        <x:v>RA.RS.1.1
Begin Research process 2 weeks prior to Cycle start</x:v>
      </x:c>
      <x:c r="I685" s="14"/>
      <x:c r="J685" s="14"/>
      <x:c r="K685" s="14"/>
      <x:c r="L685" s="86" t="str">
        <x:f>IF($P685="","",INDEX(Tasks!$N$10:$N$1941,$P685))</x:f>
        <x:v>Not started</x:v>
      </x:c>
      <x:c r="M685" s="87" t="n">
        <x:f>IF($P685="","",INDEX(Tasks!$J$10:$J$1941,$P685))</x:f>
        <x:v>46099</x:v>
      </x:c>
      <x:c r="N685" s="85" t="str">
        <x:f>IF($P685="","",HYPERLINK("#'"&amp;INDEX(Tasks!$T$10:$T$1941,$P685)&amp;"'!A"&amp;INDEX(Tasks!$U$10:$U$1941,$P685),"Open"))</x:f>
        <x:v>Open</x:v>
      </x:c>
      <x:c r="O685" s="14"/>
      <x:c r="P685" s="14" t="n">
        <x:f>IF(664&gt;$B$10,"",MATCH(664,Tasks!$S$10:$S$1941,0))</x:f>
        <x:v>1028</x:v>
      </x:c>
    </x:row>
    <x:row r="686" ht="58" customHeight="1">
      <x:c r="B686" s="86" t="str">
        <x:f>IF($P686="","",INDEX(Tasks!$B$10:$B$1941,$P686))</x:f>
        <x:v>Cycle 2</x:v>
      </x:c>
      <x:c r="C686" s="86" t="str">
        <x:f>IF($P686="","",INDEX(Tasks!$C$10:$C$1941,$P686))</x:f>
        <x:v>Phase 1</x:v>
      </x:c>
      <x:c r="D686" s="86" t="str">
        <x:f>IF($P686="","",INDEX(Tasks!$D$10:$D$1941,$P686))</x:f>
        <x:v>Retail Services</x:v>
      </x:c>
      <x:c r="E686" s="86"/>
      <x:c r="F686" s="86" t="str">
        <x:f>IF($P686="","",INDEX(Tasks!$E$10:$E$1941,$P686))</x:f>
        <x:v>Research &amp; Analysis</x:v>
      </x:c>
      <x:c r="G686" s="86"/>
      <x:c r="H686" s="14" t="str">
        <x:f>IF($P686="","",INDEX(Tasks!$F$10:$F$1941,$P686)&amp;CHAR(10)&amp;INDEX(Tasks!$G$10:$G$1941,$P686))</x:f>
        <x:v>RA.RS.1.2
Conduct initial assessment of each topic recommendation from SharePoint list</x:v>
      </x:c>
      <x:c r="I686" s="14"/>
      <x:c r="J686" s="14"/>
      <x:c r="K686" s="14"/>
      <x:c r="L686" s="86" t="str">
        <x:f>IF($P686="","",INDEX(Tasks!$N$10:$N$1941,$P686))</x:f>
        <x:v>Not started</x:v>
      </x:c>
      <x:c r="M686" s="87" t="n">
        <x:f>IF($P686="","",INDEX(Tasks!$J$10:$J$1941,$P686))</x:f>
        <x:v>46203</x:v>
      </x:c>
      <x:c r="N686" s="85" t="str">
        <x:f>IF($P686="","",HYPERLINK("#'"&amp;INDEX(Tasks!$T$10:$T$1941,$P686)&amp;"'!A"&amp;INDEX(Tasks!$U$10:$U$1941,$P686),"Open"))</x:f>
        <x:v>Open</x:v>
      </x:c>
      <x:c r="O686" s="14"/>
      <x:c r="P686" s="14" t="n">
        <x:f>IF(665&gt;$B$10,"",MATCH(665,Tasks!$S$10:$S$1941,0))</x:f>
        <x:v>1029</x:v>
      </x:c>
    </x:row>
    <x:row r="687" ht="58" customHeight="1">
      <x:c r="B687" s="86" t="str">
        <x:f>IF($P687="","",INDEX(Tasks!$B$10:$B$1941,$P687))</x:f>
        <x:v>Cycle 2</x:v>
      </x:c>
      <x:c r="C687" s="86" t="str">
        <x:f>IF($P687="","",INDEX(Tasks!$C$10:$C$1941,$P687))</x:f>
        <x:v>Phase 1</x:v>
      </x:c>
      <x:c r="D687" s="86" t="str">
        <x:f>IF($P687="","",INDEX(Tasks!$D$10:$D$1941,$P687))</x:f>
        <x:v>Retail Services</x:v>
      </x:c>
      <x:c r="E687" s="86"/>
      <x:c r="F687" s="86" t="str">
        <x:f>IF($P687="","",INDEX(Tasks!$E$10:$E$1941,$P687))</x:f>
        <x:v>Research &amp; Analysis</x:v>
      </x:c>
      <x:c r="G687" s="86"/>
      <x:c r="H687" s="14" t="str">
        <x:f>IF($P687="","",INDEX(Tasks!$F$10:$F$1941,$P687)&amp;CHAR(10)&amp;INDEX(Tasks!$G$10:$G$1941,$P687))</x:f>
        <x:v>RA.RS.1.3
Identify best topic for Cycle</x:v>
      </x:c>
      <x:c r="I687" s="14"/>
      <x:c r="J687" s="14"/>
      <x:c r="K687" s="14"/>
      <x:c r="L687" s="86" t="str">
        <x:f>IF($P687="","",INDEX(Tasks!$N$10:$N$1941,$P687))</x:f>
        <x:v>Not started</x:v>
      </x:c>
      <x:c r="M687" s="87" t="n">
        <x:f>IF($P687="","",INDEX(Tasks!$J$10:$J$1941,$P687))</x:f>
        <x:v>46203</x:v>
      </x:c>
      <x:c r="N687" s="85" t="str">
        <x:f>IF($P687="","",HYPERLINK("#'"&amp;INDEX(Tasks!$T$10:$T$1941,$P687)&amp;"'!A"&amp;INDEX(Tasks!$U$10:$U$1941,$P687),"Open"))</x:f>
        <x:v>Open</x:v>
      </x:c>
      <x:c r="O687" s="14"/>
      <x:c r="P687" s="14" t="n">
        <x:f>IF(666&gt;$B$10,"",MATCH(666,Tasks!$S$10:$S$1941,0))</x:f>
        <x:v>1030</x:v>
      </x:c>
    </x:row>
    <x:row r="688" ht="58" customHeight="1">
      <x:c r="B688" s="86" t="str">
        <x:f>IF($P688="","",INDEX(Tasks!$B$10:$B$1941,$P688))</x:f>
        <x:v>Cycle 2</x:v>
      </x:c>
      <x:c r="C688" s="86" t="str">
        <x:f>IF($P688="","",INDEX(Tasks!$C$10:$C$1941,$P688))</x:f>
        <x:v>Phase 1</x:v>
      </x:c>
      <x:c r="D688" s="86" t="str">
        <x:f>IF($P688="","",INDEX(Tasks!$D$10:$D$1941,$P688))</x:f>
        <x:v>Retail Services</x:v>
      </x:c>
      <x:c r="E688" s="86"/>
      <x:c r="F688" s="86" t="str">
        <x:f>IF($P688="","",INDEX(Tasks!$E$10:$E$1941,$P688))</x:f>
        <x:v>Research &amp; Analysis</x:v>
      </x:c>
      <x:c r="G688" s="86"/>
      <x:c r="H688" s="14" t="str">
        <x:f>IF($P688="","",INDEX(Tasks!$F$10:$F$1941,$P688)&amp;CHAR(10)&amp;INDEX(Tasks!$G$10:$G$1941,$P688))</x:f>
        <x:v>RA.RS.1.4
Identify backup topic for Cycle</x:v>
      </x:c>
      <x:c r="I688" s="14"/>
      <x:c r="J688" s="14"/>
      <x:c r="K688" s="14"/>
      <x:c r="L688" s="86" t="str">
        <x:f>IF($P688="","",INDEX(Tasks!$N$10:$N$1941,$P688))</x:f>
        <x:v>Not started</x:v>
      </x:c>
      <x:c r="M688" s="87" t="n">
        <x:f>IF($P688="","",INDEX(Tasks!$J$10:$J$1941,$P688))</x:f>
        <x:v>46203</x:v>
      </x:c>
      <x:c r="N688" s="85" t="str">
        <x:f>IF($P688="","",HYPERLINK("#'"&amp;INDEX(Tasks!$T$10:$T$1941,$P688)&amp;"'!A"&amp;INDEX(Tasks!$U$10:$U$1941,$P688),"Open"))</x:f>
        <x:v>Open</x:v>
      </x:c>
      <x:c r="O688" s="14"/>
      <x:c r="P688" s="14" t="n">
        <x:f>IF(667&gt;$B$10,"",MATCH(667,Tasks!$S$10:$S$1941,0))</x:f>
        <x:v>1031</x:v>
      </x:c>
    </x:row>
    <x:row r="689" ht="58" customHeight="1">
      <x:c r="B689" s="86" t="str">
        <x:f>IF($P689="","",INDEX(Tasks!$B$10:$B$1941,$P689))</x:f>
        <x:v>Cycle 2</x:v>
      </x:c>
      <x:c r="C689" s="86" t="str">
        <x:f>IF($P689="","",INDEX(Tasks!$C$10:$C$1941,$P689))</x:f>
        <x:v>Phase 1</x:v>
      </x:c>
      <x:c r="D689" s="86" t="str">
        <x:f>IF($P689="","",INDEX(Tasks!$D$10:$D$1941,$P689))</x:f>
        <x:v>Retail Services</x:v>
      </x:c>
      <x:c r="E689" s="86"/>
      <x:c r="F689" s="86" t="str">
        <x:f>IF($P689="","",INDEX(Tasks!$E$10:$E$1941,$P689))</x:f>
        <x:v>Research &amp; Analysis</x:v>
      </x:c>
      <x:c r="G689" s="86"/>
      <x:c r="H689" s="14" t="str">
        <x:f>IF($P689="","",INDEX(Tasks!$F$10:$F$1941,$P689)&amp;CHAR(10)&amp;INDEX(Tasks!$G$10:$G$1941,$P689))</x:f>
        <x:v>RA.RS.1.5
Schedule topic approval meeting with D&amp;I and management</x:v>
      </x:c>
      <x:c r="I689" s="14"/>
      <x:c r="J689" s="14"/>
      <x:c r="K689" s="14"/>
      <x:c r="L689" s="86" t="str">
        <x:f>IF($P689="","",INDEX(Tasks!$N$10:$N$1941,$P689))</x:f>
        <x:v>Not started</x:v>
      </x:c>
      <x:c r="M689" s="87" t="n">
        <x:f>IF($P689="","",INDEX(Tasks!$J$10:$J$1941,$P689))</x:f>
        <x:v>46203</x:v>
      </x:c>
      <x:c r="N689" s="85" t="str">
        <x:f>IF($P689="","",HYPERLINK("#'"&amp;INDEX(Tasks!$T$10:$T$1941,$P689)&amp;"'!A"&amp;INDEX(Tasks!$U$10:$U$1941,$P689),"Open"))</x:f>
        <x:v>Open</x:v>
      </x:c>
      <x:c r="O689" s="14"/>
      <x:c r="P689" s="14" t="n">
        <x:f>IF(668&gt;$B$10,"",MATCH(668,Tasks!$S$10:$S$1941,0))</x:f>
        <x:v>1032</x:v>
      </x:c>
    </x:row>
    <x:row r="690" ht="58" customHeight="1">
      <x:c r="B690" s="86" t="str">
        <x:f>IF($P690="","",INDEX(Tasks!$B$10:$B$1941,$P690))</x:f>
        <x:v>Cycle 2</x:v>
      </x:c>
      <x:c r="C690" s="86" t="str">
        <x:f>IF($P690="","",INDEX(Tasks!$C$10:$C$1941,$P690))</x:f>
        <x:v>Phase 1</x:v>
      </x:c>
      <x:c r="D690" s="86" t="str">
        <x:f>IF($P690="","",INDEX(Tasks!$D$10:$D$1941,$P690))</x:f>
        <x:v>Retail Services</x:v>
      </x:c>
      <x:c r="E690" s="86"/>
      <x:c r="F690" s="86" t="str">
        <x:f>IF($P690="","",INDEX(Tasks!$E$10:$E$1941,$P690))</x:f>
        <x:v>Research &amp; Analysis</x:v>
      </x:c>
      <x:c r="G690" s="86"/>
      <x:c r="H690" s="14" t="str">
        <x:f>IF($P690="","",INDEX(Tasks!$F$10:$F$1941,$P690)&amp;CHAR(10)&amp;INDEX(Tasks!$G$10:$G$1941,$P690))</x:f>
        <x:v>RA.RS.1.6
Present recommended topic to D&amp;I and management for approval</x:v>
      </x:c>
      <x:c r="I690" s="14"/>
      <x:c r="J690" s="14"/>
      <x:c r="K690" s="14"/>
      <x:c r="L690" s="86" t="str">
        <x:f>IF($P690="","",INDEX(Tasks!$N$10:$N$1941,$P690))</x:f>
        <x:v>Not started</x:v>
      </x:c>
      <x:c r="M690" s="87" t="n">
        <x:f>IF($P690="","",INDEX(Tasks!$J$10:$J$1941,$P690))</x:f>
        <x:v>46203</x:v>
      </x:c>
      <x:c r="N690" s="85" t="str">
        <x:f>IF($P690="","",HYPERLINK("#'"&amp;INDEX(Tasks!$T$10:$T$1941,$P690)&amp;"'!A"&amp;INDEX(Tasks!$U$10:$U$1941,$P690),"Open"))</x:f>
        <x:v>Open</x:v>
      </x:c>
      <x:c r="O690" s="14"/>
      <x:c r="P690" s="14" t="n">
        <x:f>IF(669&gt;$B$10,"",MATCH(669,Tasks!$S$10:$S$1941,0))</x:f>
        <x:v>1033</x:v>
      </x:c>
    </x:row>
    <x:row r="691" ht="58" customHeight="1">
      <x:c r="B691" s="86" t="str">
        <x:f>IF($P691="","",INDEX(Tasks!$B$10:$B$1941,$P691))</x:f>
        <x:v>Cycle 2</x:v>
      </x:c>
      <x:c r="C691" s="86" t="str">
        <x:f>IF($P691="","",INDEX(Tasks!$C$10:$C$1941,$P691))</x:f>
        <x:v>Phase 1</x:v>
      </x:c>
      <x:c r="D691" s="86" t="str">
        <x:f>IF($P691="","",INDEX(Tasks!$D$10:$D$1941,$P691))</x:f>
        <x:v>Retail Services</x:v>
      </x:c>
      <x:c r="E691" s="86"/>
      <x:c r="F691" s="86" t="str">
        <x:f>IF($P691="","",INDEX(Tasks!$E$10:$E$1941,$P691))</x:f>
        <x:v>Research &amp; Analysis</x:v>
      </x:c>
      <x:c r="G691" s="86"/>
      <x:c r="H691" s="14" t="str">
        <x:f>IF($P691="","",INDEX(Tasks!$F$10:$F$1941,$P691)&amp;CHAR(10)&amp;INDEX(Tasks!$G$10:$G$1941,$P691))</x:f>
        <x:v>RA.RS.1.7
Obtain formal topic selection approval from management via SharePoint</x:v>
      </x:c>
      <x:c r="I691" s="14"/>
      <x:c r="J691" s="14"/>
      <x:c r="K691" s="14"/>
      <x:c r="L691" s="86" t="str">
        <x:f>IF($P691="","",INDEX(Tasks!$N$10:$N$1941,$P691))</x:f>
        <x:v>Not started</x:v>
      </x:c>
      <x:c r="M691" s="87" t="n">
        <x:f>IF($P691="","",INDEX(Tasks!$J$10:$J$1941,$P691))</x:f>
        <x:v>46203</x:v>
      </x:c>
      <x:c r="N691" s="85" t="str">
        <x:f>IF($P691="","",HYPERLINK("#'"&amp;INDEX(Tasks!$T$10:$T$1941,$P691)&amp;"'!A"&amp;INDEX(Tasks!$U$10:$U$1941,$P691),"Open"))</x:f>
        <x:v>Open</x:v>
      </x:c>
      <x:c r="O691" s="14"/>
      <x:c r="P691" s="14" t="n">
        <x:f>IF(670&gt;$B$10,"",MATCH(670,Tasks!$S$10:$S$1941,0))</x:f>
        <x:v>1034</x:v>
      </x:c>
    </x:row>
    <x:row r="692" ht="58" customHeight="1">
      <x:c r="B692" s="86" t="str">
        <x:f>IF($P692="","",INDEX(Tasks!$B$10:$B$1941,$P692))</x:f>
        <x:v>Cycle 2</x:v>
      </x:c>
      <x:c r="C692" s="86" t="str">
        <x:f>IF($P692="","",INDEX(Tasks!$C$10:$C$1941,$P692))</x:f>
        <x:v>Phase 1</x:v>
      </x:c>
      <x:c r="D692" s="86" t="str">
        <x:f>IF($P692="","",INDEX(Tasks!$D$10:$D$1941,$P692))</x:f>
        <x:v>Retail Services</x:v>
      </x:c>
      <x:c r="E692" s="86"/>
      <x:c r="F692" s="86" t="str">
        <x:f>IF($P692="","",INDEX(Tasks!$E$10:$E$1941,$P692))</x:f>
        <x:v>Research &amp; Analysis</x:v>
      </x:c>
      <x:c r="G692" s="86"/>
      <x:c r="H692" s="14" t="str">
        <x:f>IF($P692="","",INDEX(Tasks!$F$10:$F$1941,$P692)&amp;CHAR(10)&amp;INDEX(Tasks!$G$10:$G$1941,$P692))</x:f>
        <x:v>RA.RS.1.8
Socialize topic selection with product owners and subject matter experts (if known)</x:v>
      </x:c>
      <x:c r="I692" s="14"/>
      <x:c r="J692" s="14"/>
      <x:c r="K692" s="14"/>
      <x:c r="L692" s="86" t="str">
        <x:f>IF($P692="","",INDEX(Tasks!$N$10:$N$1941,$P692))</x:f>
        <x:v>Not started</x:v>
      </x:c>
      <x:c r="M692" s="87" t="n">
        <x:f>IF($P692="","",INDEX(Tasks!$J$10:$J$1941,$P692))</x:f>
        <x:v>46203</x:v>
      </x:c>
      <x:c r="N692" s="85" t="str">
        <x:f>IF($P692="","",HYPERLINK("#'"&amp;INDEX(Tasks!$T$10:$T$1941,$P692)&amp;"'!A"&amp;INDEX(Tasks!$U$10:$U$1941,$P692),"Open"))</x:f>
        <x:v>Open</x:v>
      </x:c>
      <x:c r="O692" s="14"/>
      <x:c r="P692" s="14" t="n">
        <x:f>IF(671&gt;$B$10,"",MATCH(671,Tasks!$S$10:$S$1941,0))</x:f>
        <x:v>1035</x:v>
      </x:c>
    </x:row>
    <x:row r="693" ht="58" customHeight="1">
      <x:c r="B693" s="86" t="str">
        <x:f>IF($P693="","",INDEX(Tasks!$B$10:$B$1941,$P693))</x:f>
        <x:v>Cycle 2</x:v>
      </x:c>
      <x:c r="C693" s="86" t="str">
        <x:f>IF($P693="","",INDEX(Tasks!$C$10:$C$1941,$P693))</x:f>
        <x:v>Phase 1</x:v>
      </x:c>
      <x:c r="D693" s="86" t="str">
        <x:f>IF($P693="","",INDEX(Tasks!$D$10:$D$1941,$P693))</x:f>
        <x:v>Retail Services</x:v>
      </x:c>
      <x:c r="E693" s="86"/>
      <x:c r="F693" s="86" t="str">
        <x:f>IF($P693="","",INDEX(Tasks!$E$10:$E$1941,$P693))</x:f>
        <x:v>Research &amp; Analysis</x:v>
      </x:c>
      <x:c r="G693" s="86"/>
      <x:c r="H693" s="14" t="str">
        <x:f>IF($P693="","",INDEX(Tasks!$F$10:$F$1941,$P693)&amp;CHAR(10)&amp;INDEX(Tasks!$G$10:$G$1941,$P693))</x:f>
        <x:v>RA.RS.1.9
Assign topic researchers</x:v>
      </x:c>
      <x:c r="I693" s="14"/>
      <x:c r="J693" s="14"/>
      <x:c r="K693" s="14"/>
      <x:c r="L693" s="86" t="str">
        <x:f>IF($P693="","",INDEX(Tasks!$N$10:$N$1941,$P693))</x:f>
        <x:v>Not started</x:v>
      </x:c>
      <x:c r="M693" s="87" t="n">
        <x:f>IF($P693="","",INDEX(Tasks!$J$10:$J$1941,$P693))</x:f>
        <x:v>46203</x:v>
      </x:c>
      <x:c r="N693" s="85" t="str">
        <x:f>IF($P693="","",HYPERLINK("#'"&amp;INDEX(Tasks!$T$10:$T$1941,$P693)&amp;"'!A"&amp;INDEX(Tasks!$U$10:$U$1941,$P693),"Open"))</x:f>
        <x:v>Open</x:v>
      </x:c>
      <x:c r="O693" s="14"/>
      <x:c r="P693" s="14" t="n">
        <x:f>IF(672&gt;$B$10,"",MATCH(672,Tasks!$S$10:$S$1941,0))</x:f>
        <x:v>1036</x:v>
      </x:c>
    </x:row>
    <x:row r="694" ht="58" customHeight="1">
      <x:c r="B694" s="86" t="str">
        <x:f>IF($P694="","",INDEX(Tasks!$B$10:$B$1941,$P694))</x:f>
        <x:v>Cycle 2</x:v>
      </x:c>
      <x:c r="C694" s="86" t="str">
        <x:f>IF($P694="","",INDEX(Tasks!$C$10:$C$1941,$P694))</x:f>
        <x:v>Phase 2</x:v>
      </x:c>
      <x:c r="D694" s="86" t="str">
        <x:f>IF($P694="","",INDEX(Tasks!$D$10:$D$1941,$P694))</x:f>
        <x:v>Retail Services</x:v>
      </x:c>
      <x:c r="E694" s="86"/>
      <x:c r="F694" s="86" t="str">
        <x:f>IF($P694="","",INDEX(Tasks!$E$10:$E$1941,$P694))</x:f>
        <x:v>Research &amp; Analysis</x:v>
      </x:c>
      <x:c r="G694" s="86"/>
      <x:c r="H694" s="14" t="str">
        <x:f>IF($P694="","",INDEX(Tasks!$F$10:$F$1941,$P694)&amp;CHAR(10)&amp;INDEX(Tasks!$G$10:$G$1941,$P694))</x:f>
        <x:v>RA.RS.2.1
Review data sources</x:v>
      </x:c>
      <x:c r="I694" s="14"/>
      <x:c r="J694" s="14"/>
      <x:c r="K694" s="14"/>
      <x:c r="L694" s="86" t="str">
        <x:f>IF($P694="","",INDEX(Tasks!$N$10:$N$1941,$P694))</x:f>
        <x:v>Not started</x:v>
      </x:c>
      <x:c r="M694" s="87" t="n">
        <x:f>IF($P694="","",INDEX(Tasks!$J$10:$J$1941,$P694))</x:f>
        <x:v>46203</x:v>
      </x:c>
      <x:c r="N694" s="85" t="str">
        <x:f>IF($P694="","",HYPERLINK("#'"&amp;INDEX(Tasks!$T$10:$T$1941,$P694)&amp;"'!A"&amp;INDEX(Tasks!$U$10:$U$1941,$P694),"Open"))</x:f>
        <x:v>Open</x:v>
      </x:c>
      <x:c r="O694" s="14"/>
      <x:c r="P694" s="14" t="n">
        <x:f>IF(673&gt;$B$10,"",MATCH(673,Tasks!$S$10:$S$1941,0))</x:f>
        <x:v>1037</x:v>
      </x:c>
    </x:row>
    <x:row r="695" ht="58" customHeight="1">
      <x:c r="B695" s="86" t="str">
        <x:f>IF($P695="","",INDEX(Tasks!$B$10:$B$1941,$P695))</x:f>
        <x:v>Cycle 2</x:v>
      </x:c>
      <x:c r="C695" s="86" t="str">
        <x:f>IF($P695="","",INDEX(Tasks!$C$10:$C$1941,$P695))</x:f>
        <x:v>Phase 2</x:v>
      </x:c>
      <x:c r="D695" s="86" t="str">
        <x:f>IF($P695="","",INDEX(Tasks!$D$10:$D$1941,$P695))</x:f>
        <x:v>Retail Services</x:v>
      </x:c>
      <x:c r="E695" s="86"/>
      <x:c r="F695" s="86" t="str">
        <x:f>IF($P695="","",INDEX(Tasks!$E$10:$E$1941,$P695))</x:f>
        <x:v>Research &amp; Analysis</x:v>
      </x:c>
      <x:c r="G695" s="86"/>
      <x:c r="H695" s="14" t="str">
        <x:f>IF($P695="","",INDEX(Tasks!$F$10:$F$1941,$P695)&amp;CHAR(10)&amp;INDEX(Tasks!$G$10:$G$1941,$P695))</x:f>
        <x:v>RA.RS.2.2
Review relevant policies and procedures</x:v>
      </x:c>
      <x:c r="I695" s="14"/>
      <x:c r="J695" s="14"/>
      <x:c r="K695" s="14"/>
      <x:c r="L695" s="86" t="str">
        <x:f>IF($P695="","",INDEX(Tasks!$N$10:$N$1941,$P695))</x:f>
        <x:v>Not started</x:v>
      </x:c>
      <x:c r="M695" s="87" t="n">
        <x:f>IF($P695="","",INDEX(Tasks!$J$10:$J$1941,$P695))</x:f>
        <x:v>46203</x:v>
      </x:c>
      <x:c r="N695" s="85" t="str">
        <x:f>IF($P695="","",HYPERLINK("#'"&amp;INDEX(Tasks!$T$10:$T$1941,$P695)&amp;"'!A"&amp;INDEX(Tasks!$U$10:$U$1941,$P695),"Open"))</x:f>
        <x:v>Open</x:v>
      </x:c>
      <x:c r="O695" s="14"/>
      <x:c r="P695" s="14" t="n">
        <x:f>IF(674&gt;$B$10,"",MATCH(674,Tasks!$S$10:$S$1941,0))</x:f>
        <x:v>1038</x:v>
      </x:c>
    </x:row>
    <x:row r="696" ht="58" customHeight="1">
      <x:c r="B696" s="86" t="str">
        <x:f>IF($P696="","",INDEX(Tasks!$B$10:$B$1941,$P696))</x:f>
        <x:v>Cycle 2</x:v>
      </x:c>
      <x:c r="C696" s="86" t="str">
        <x:f>IF($P696="","",INDEX(Tasks!$C$10:$C$1941,$P696))</x:f>
        <x:v>Phase 2</x:v>
      </x:c>
      <x:c r="D696" s="86" t="str">
        <x:f>IF($P696="","",INDEX(Tasks!$D$10:$D$1941,$P696))</x:f>
        <x:v>Retail Services</x:v>
      </x:c>
      <x:c r="E696" s="86"/>
      <x:c r="F696" s="86" t="str">
        <x:f>IF($P696="","",INDEX(Tasks!$E$10:$E$1941,$P696))</x:f>
        <x:v>Research &amp; Analysis</x:v>
      </x:c>
      <x:c r="G696" s="86"/>
      <x:c r="H696" s="14" t="str">
        <x:f>IF($P696="","",INDEX(Tasks!$F$10:$F$1941,$P696)&amp;CHAR(10)&amp;INDEX(Tasks!$G$10:$G$1941,$P696))</x:f>
        <x:v>RA.RS.2.3
Meet with SMEs to gain business insight and clarify questions</x:v>
      </x:c>
      <x:c r="I696" s="14"/>
      <x:c r="J696" s="14"/>
      <x:c r="K696" s="14"/>
      <x:c r="L696" s="86" t="str">
        <x:f>IF($P696="","",INDEX(Tasks!$N$10:$N$1941,$P696))</x:f>
        <x:v>Not started</x:v>
      </x:c>
      <x:c r="M696" s="87" t="n">
        <x:f>IF($P696="","",INDEX(Tasks!$J$10:$J$1941,$P696))</x:f>
        <x:v>46203</x:v>
      </x:c>
      <x:c r="N696" s="85" t="str">
        <x:f>IF($P696="","",HYPERLINK("#'"&amp;INDEX(Tasks!$T$10:$T$1941,$P696)&amp;"'!A"&amp;INDEX(Tasks!$U$10:$U$1941,$P696),"Open"))</x:f>
        <x:v>Open</x:v>
      </x:c>
      <x:c r="O696" s="14"/>
      <x:c r="P696" s="14" t="n">
        <x:f>IF(675&gt;$B$10,"",MATCH(675,Tasks!$S$10:$S$1941,0))</x:f>
        <x:v>1039</x:v>
      </x:c>
    </x:row>
    <x:row r="697" ht="58" customHeight="1">
      <x:c r="B697" s="86" t="str">
        <x:f>IF($P697="","",INDEX(Tasks!$B$10:$B$1941,$P697))</x:f>
        <x:v>Cycle 2</x:v>
      </x:c>
      <x:c r="C697" s="86" t="str">
        <x:f>IF($P697="","",INDEX(Tasks!$C$10:$C$1941,$P697))</x:f>
        <x:v>Phase 2</x:v>
      </x:c>
      <x:c r="D697" s="86" t="str">
        <x:f>IF($P697="","",INDEX(Tasks!$D$10:$D$1941,$P697))</x:f>
        <x:v>Retail Services</x:v>
      </x:c>
      <x:c r="E697" s="86"/>
      <x:c r="F697" s="86" t="str">
        <x:f>IF($P697="","",INDEX(Tasks!$E$10:$E$1941,$P697))</x:f>
        <x:v>Research &amp; Analysis</x:v>
      </x:c>
      <x:c r="G697" s="86"/>
      <x:c r="H697" s="14" t="str">
        <x:f>IF($P697="","",INDEX(Tasks!$F$10:$F$1941,$P697)&amp;CHAR(10)&amp;INDEX(Tasks!$G$10:$G$1941,$P697))</x:f>
        <x:v>RA.RS.2.4
Establish and maintain a recurring meeting with D&amp;I to discuss Cycle progress</x:v>
      </x:c>
      <x:c r="I697" s="14"/>
      <x:c r="J697" s="14"/>
      <x:c r="K697" s="14"/>
      <x:c r="L697" s="86" t="str">
        <x:f>IF($P697="","",INDEX(Tasks!$N$10:$N$1941,$P697))</x:f>
        <x:v>Not started</x:v>
      </x:c>
      <x:c r="M697" s="87" t="n">
        <x:f>IF($P697="","",INDEX(Tasks!$J$10:$J$1941,$P697))</x:f>
        <x:v>46203</x:v>
      </x:c>
      <x:c r="N697" s="85" t="str">
        <x:f>IF($P697="","",HYPERLINK("#'"&amp;INDEX(Tasks!$T$10:$T$1941,$P697)&amp;"'!A"&amp;INDEX(Tasks!$U$10:$U$1941,$P697),"Open"))</x:f>
        <x:v>Open</x:v>
      </x:c>
      <x:c r="O697" s="14"/>
      <x:c r="P697" s="14" t="n">
        <x:f>IF(676&gt;$B$10,"",MATCH(676,Tasks!$S$10:$S$1941,0))</x:f>
        <x:v>1040</x:v>
      </x:c>
    </x:row>
    <x:row r="698" ht="58" customHeight="1">
      <x:c r="B698" s="86" t="str">
        <x:f>IF($P698="","",INDEX(Tasks!$B$10:$B$1941,$P698))</x:f>
        <x:v>Cycle 2</x:v>
      </x:c>
      <x:c r="C698" s="86" t="str">
        <x:f>IF($P698="","",INDEX(Tasks!$C$10:$C$1941,$P698))</x:f>
        <x:v>Phase 2</x:v>
      </x:c>
      <x:c r="D698" s="86" t="str">
        <x:f>IF($P698="","",INDEX(Tasks!$D$10:$D$1941,$P698))</x:f>
        <x:v>Retail Services</x:v>
      </x:c>
      <x:c r="E698" s="86"/>
      <x:c r="F698" s="86" t="str">
        <x:f>IF($P698="","",INDEX(Tasks!$E$10:$E$1941,$P698))</x:f>
        <x:v>Research &amp; Analysis</x:v>
      </x:c>
      <x:c r="G698" s="86"/>
      <x:c r="H698" s="14" t="str">
        <x:f>IF($P698="","",INDEX(Tasks!$F$10:$F$1941,$P698)&amp;CHAR(10)&amp;INDEX(Tasks!$G$10:$G$1941,$P698))</x:f>
        <x:v>RA.RS.2.5
Perform data testing and sampling</x:v>
      </x:c>
      <x:c r="I698" s="14"/>
      <x:c r="J698" s="14"/>
      <x:c r="K698" s="14"/>
      <x:c r="L698" s="86" t="str">
        <x:f>IF($P698="","",INDEX(Tasks!$N$10:$N$1941,$P698))</x:f>
        <x:v>Not started</x:v>
      </x:c>
      <x:c r="M698" s="87" t="n">
        <x:f>IF($P698="","",INDEX(Tasks!$J$10:$J$1941,$P698))</x:f>
        <x:v>46203</x:v>
      </x:c>
      <x:c r="N698" s="85" t="str">
        <x:f>IF($P698="","",HYPERLINK("#'"&amp;INDEX(Tasks!$T$10:$T$1941,$P698)&amp;"'!A"&amp;INDEX(Tasks!$U$10:$U$1941,$P698),"Open"))</x:f>
        <x:v>Open</x:v>
      </x:c>
      <x:c r="O698" s="14"/>
      <x:c r="P698" s="14" t="n">
        <x:f>IF(677&gt;$B$10,"",MATCH(677,Tasks!$S$10:$S$1941,0))</x:f>
        <x:v>1041</x:v>
      </x:c>
    </x:row>
    <x:row r="699" ht="58" customHeight="1">
      <x:c r="B699" s="86" t="str">
        <x:f>IF($P699="","",INDEX(Tasks!$B$10:$B$1941,$P699))</x:f>
        <x:v>Cycle 2</x:v>
      </x:c>
      <x:c r="C699" s="86" t="str">
        <x:f>IF($P699="","",INDEX(Tasks!$C$10:$C$1941,$P699))</x:f>
        <x:v>Phase 2</x:v>
      </x:c>
      <x:c r="D699" s="86" t="str">
        <x:f>IF($P699="","",INDEX(Tasks!$D$10:$D$1941,$P699))</x:f>
        <x:v>Retail Services</x:v>
      </x:c>
      <x:c r="E699" s="86"/>
      <x:c r="F699" s="86" t="str">
        <x:f>IF($P699="","",INDEX(Tasks!$E$10:$E$1941,$P699))</x:f>
        <x:v>Research &amp; Analysis</x:v>
      </x:c>
      <x:c r="G699" s="86"/>
      <x:c r="H699" s="14" t="str">
        <x:f>IF($P699="","",INDEX(Tasks!$F$10:$F$1941,$P699)&amp;CHAR(10)&amp;INDEX(Tasks!$G$10:$G$1941,$P699))</x:f>
        <x:v>RA.RS.2.6
Complete Positive Testing</x:v>
      </x:c>
      <x:c r="I699" s="14"/>
      <x:c r="J699" s="14"/>
      <x:c r="K699" s="14"/>
      <x:c r="L699" s="86" t="str">
        <x:f>IF($P699="","",INDEX(Tasks!$N$10:$N$1941,$P699))</x:f>
        <x:v>Not started</x:v>
      </x:c>
      <x:c r="M699" s="87" t="n">
        <x:f>IF($P699="","",INDEX(Tasks!$J$10:$J$1941,$P699))</x:f>
        <x:v>46203</x:v>
      </x:c>
      <x:c r="N699" s="85" t="str">
        <x:f>IF($P699="","",HYPERLINK("#'"&amp;INDEX(Tasks!$T$10:$T$1941,$P699)&amp;"'!A"&amp;INDEX(Tasks!$U$10:$U$1941,$P699),"Open"))</x:f>
        <x:v>Open</x:v>
      </x:c>
      <x:c r="O699" s="14"/>
      <x:c r="P699" s="14" t="n">
        <x:f>IF(678&gt;$B$10,"",MATCH(678,Tasks!$S$10:$S$1941,0))</x:f>
        <x:v>1042</x:v>
      </x:c>
    </x:row>
    <x:row r="700" ht="58" customHeight="1">
      <x:c r="B700" s="86" t="str">
        <x:f>IF($P700="","",INDEX(Tasks!$B$10:$B$1941,$P700))</x:f>
        <x:v>Cycle 2</x:v>
      </x:c>
      <x:c r="C700" s="86" t="str">
        <x:f>IF($P700="","",INDEX(Tasks!$C$10:$C$1941,$P700))</x:f>
        <x:v>Phase 2</x:v>
      </x:c>
      <x:c r="D700" s="86" t="str">
        <x:f>IF($P700="","",INDEX(Tasks!$D$10:$D$1941,$P700))</x:f>
        <x:v>Retail Services</x:v>
      </x:c>
      <x:c r="E700" s="86"/>
      <x:c r="F700" s="86" t="str">
        <x:f>IF($P700="","",INDEX(Tasks!$E$10:$E$1941,$P700))</x:f>
        <x:v>Research &amp; Analysis</x:v>
      </x:c>
      <x:c r="G700" s="86"/>
      <x:c r="H700" s="14" t="str">
        <x:f>IF($P700="","",INDEX(Tasks!$F$10:$F$1941,$P700)&amp;CHAR(10)&amp;INDEX(Tasks!$G$10:$G$1941,$P700))</x:f>
        <x:v>RA.RS.2.7
Complete Negative Testing</x:v>
      </x:c>
      <x:c r="I700" s="14"/>
      <x:c r="J700" s="14"/>
      <x:c r="K700" s="14"/>
      <x:c r="L700" s="86" t="str">
        <x:f>IF($P700="","",INDEX(Tasks!$N$10:$N$1941,$P700))</x:f>
        <x:v>Not started</x:v>
      </x:c>
      <x:c r="M700" s="87" t="n">
        <x:f>IF($P700="","",INDEX(Tasks!$J$10:$J$1941,$P700))</x:f>
        <x:v>46203</x:v>
      </x:c>
      <x:c r="N700" s="85" t="str">
        <x:f>IF($P700="","",HYPERLINK("#'"&amp;INDEX(Tasks!$T$10:$T$1941,$P700)&amp;"'!A"&amp;INDEX(Tasks!$U$10:$U$1941,$P700),"Open"))</x:f>
        <x:v>Open</x:v>
      </x:c>
      <x:c r="O700" s="14"/>
      <x:c r="P700" s="14" t="n">
        <x:f>IF(679&gt;$B$10,"",MATCH(679,Tasks!$S$10:$S$1941,0))</x:f>
        <x:v>1043</x:v>
      </x:c>
    </x:row>
    <x:row r="701" ht="58" customHeight="1">
      <x:c r="B701" s="86" t="str">
        <x:f>IF($P701="","",INDEX(Tasks!$B$10:$B$1941,$P701))</x:f>
        <x:v>Cycle 2</x:v>
      </x:c>
      <x:c r="C701" s="86" t="str">
        <x:f>IF($P701="","",INDEX(Tasks!$C$10:$C$1941,$P701))</x:f>
        <x:v>Phase 2</x:v>
      </x:c>
      <x:c r="D701" s="86" t="str">
        <x:f>IF($P701="","",INDEX(Tasks!$D$10:$D$1941,$P701))</x:f>
        <x:v>Retail Services</x:v>
      </x:c>
      <x:c r="E701" s="86"/>
      <x:c r="F701" s="86" t="str">
        <x:f>IF($P701="","",INDEX(Tasks!$E$10:$E$1941,$P701))</x:f>
        <x:v>Research &amp; Analysis</x:v>
      </x:c>
      <x:c r="G701" s="86"/>
      <x:c r="H701" s="14" t="str">
        <x:f>IF($P701="","",INDEX(Tasks!$F$10:$F$1941,$P701)&amp;CHAR(10)&amp;INDEX(Tasks!$G$10:$G$1941,$P701))</x:f>
        <x:v>RA.RS.2.8
Request additional data (as needed)</x:v>
      </x:c>
      <x:c r="I701" s="14"/>
      <x:c r="J701" s="14"/>
      <x:c r="K701" s="14"/>
      <x:c r="L701" s="86" t="str">
        <x:f>IF($P701="","",INDEX(Tasks!$N$10:$N$1941,$P701))</x:f>
        <x:v>Not started</x:v>
      </x:c>
      <x:c r="M701" s="87" t="n">
        <x:f>IF($P701="","",INDEX(Tasks!$J$10:$J$1941,$P701))</x:f>
        <x:v>46203</x:v>
      </x:c>
      <x:c r="N701" s="85" t="str">
        <x:f>IF($P701="","",HYPERLINK("#'"&amp;INDEX(Tasks!$T$10:$T$1941,$P701)&amp;"'!A"&amp;INDEX(Tasks!$U$10:$U$1941,$P701),"Open"))</x:f>
        <x:v>Open</x:v>
      </x:c>
      <x:c r="O701" s="14"/>
      <x:c r="P701" s="14" t="n">
        <x:f>IF(680&gt;$B$10,"",MATCH(680,Tasks!$S$10:$S$1941,0))</x:f>
        <x:v>1044</x:v>
      </x:c>
    </x:row>
    <x:row r="702" ht="58" customHeight="1">
      <x:c r="B702" s="86" t="str">
        <x:f>IF($P702="","",INDEX(Tasks!$B$10:$B$1941,$P702))</x:f>
        <x:v>Cycle 2</x:v>
      </x:c>
      <x:c r="C702" s="86" t="str">
        <x:f>IF($P702="","",INDEX(Tasks!$C$10:$C$1941,$P702))</x:f>
        <x:v>Phase 2</x:v>
      </x:c>
      <x:c r="D702" s="86" t="str">
        <x:f>IF($P702="","",INDEX(Tasks!$D$10:$D$1941,$P702))</x:f>
        <x:v>Retail Services</x:v>
      </x:c>
      <x:c r="E702" s="86"/>
      <x:c r="F702" s="86" t="str">
        <x:f>IF($P702="","",INDEX(Tasks!$E$10:$E$1941,$P702))</x:f>
        <x:v>Research &amp; Analysis</x:v>
      </x:c>
      <x:c r="G702" s="86"/>
      <x:c r="H702" s="14" t="str">
        <x:f>IF($P702="","",INDEX(Tasks!$F$10:$F$1941,$P702)&amp;CHAR(10)&amp;INDEX(Tasks!$G$10:$G$1941,$P702))</x:f>
        <x:v>RA.RS.2.9
Validate or disprove initial hypothesis assumptions</x:v>
      </x:c>
      <x:c r="I702" s="14"/>
      <x:c r="J702" s="14"/>
      <x:c r="K702" s="14"/>
      <x:c r="L702" s="86" t="str">
        <x:f>IF($P702="","",INDEX(Tasks!$N$10:$N$1941,$P702))</x:f>
        <x:v>Not started</x:v>
      </x:c>
      <x:c r="M702" s="87" t="n">
        <x:f>IF($P702="","",INDEX(Tasks!$J$10:$J$1941,$P702))</x:f>
        <x:v>46203</x:v>
      </x:c>
      <x:c r="N702" s="85" t="str">
        <x:f>IF($P702="","",HYPERLINK("#'"&amp;INDEX(Tasks!$T$10:$T$1941,$P702)&amp;"'!A"&amp;INDEX(Tasks!$U$10:$U$1941,$P702),"Open"))</x:f>
        <x:v>Open</x:v>
      </x:c>
      <x:c r="O702" s="14"/>
      <x:c r="P702" s="14" t="n">
        <x:f>IF(681&gt;$B$10,"",MATCH(681,Tasks!$S$10:$S$1941,0))</x:f>
        <x:v>1045</x:v>
      </x:c>
    </x:row>
    <x:row r="703" ht="58" customHeight="1">
      <x:c r="B703" s="86" t="str">
        <x:f>IF($P703="","",INDEX(Tasks!$B$10:$B$1941,$P703))</x:f>
        <x:v>Cycle 2</x:v>
      </x:c>
      <x:c r="C703" s="86" t="str">
        <x:f>IF($P703="","",INDEX(Tasks!$C$10:$C$1941,$P703))</x:f>
        <x:v>Phase 2</x:v>
      </x:c>
      <x:c r="D703" s="86" t="str">
        <x:f>IF($P703="","",INDEX(Tasks!$D$10:$D$1941,$P703))</x:f>
        <x:v>Retail Services</x:v>
      </x:c>
      <x:c r="E703" s="86"/>
      <x:c r="F703" s="86" t="str">
        <x:f>IF($P703="","",INDEX(Tasks!$E$10:$E$1941,$P703))</x:f>
        <x:v>Research &amp; Analysis</x:v>
      </x:c>
      <x:c r="G703" s="86"/>
      <x:c r="H703" s="14" t="str">
        <x:f>IF($P703="","",INDEX(Tasks!$F$10:$F$1941,$P703)&amp;CHAR(10)&amp;INDEX(Tasks!$G$10:$G$1941,$P703))</x:f>
        <x:v>RA.RS.2.10
Identify and confirm root cause</x:v>
      </x:c>
      <x:c r="I703" s="14"/>
      <x:c r="J703" s="14"/>
      <x:c r="K703" s="14"/>
      <x:c r="L703" s="86" t="str">
        <x:f>IF($P703="","",INDEX(Tasks!$N$10:$N$1941,$P703))</x:f>
        <x:v>Not started</x:v>
      </x:c>
      <x:c r="M703" s="87" t="n">
        <x:f>IF($P703="","",INDEX(Tasks!$J$10:$J$1941,$P703))</x:f>
        <x:v>46203</x:v>
      </x:c>
      <x:c r="N703" s="85" t="str">
        <x:f>IF($P703="","",HYPERLINK("#'"&amp;INDEX(Tasks!$T$10:$T$1941,$P703)&amp;"'!A"&amp;INDEX(Tasks!$U$10:$U$1941,$P703),"Open"))</x:f>
        <x:v>Open</x:v>
      </x:c>
      <x:c r="O703" s="14"/>
      <x:c r="P703" s="14" t="n">
        <x:f>IF(682&gt;$B$10,"",MATCH(682,Tasks!$S$10:$S$1941,0))</x:f>
        <x:v>1046</x:v>
      </x:c>
    </x:row>
    <x:row r="704" ht="58" customHeight="1">
      <x:c r="B704" s="86" t="str">
        <x:f>IF($P704="","",INDEX(Tasks!$B$10:$B$1941,$P704))</x:f>
        <x:v>Cycle 2</x:v>
      </x:c>
      <x:c r="C704" s="86" t="str">
        <x:f>IF($P704="","",INDEX(Tasks!$C$10:$C$1941,$P704))</x:f>
        <x:v>Phase 3</x:v>
      </x:c>
      <x:c r="D704" s="86" t="str">
        <x:f>IF($P704="","",INDEX(Tasks!$D$10:$D$1941,$P704))</x:f>
        <x:v>Retail Services</x:v>
      </x:c>
      <x:c r="E704" s="86"/>
      <x:c r="F704" s="86" t="str">
        <x:f>IF($P704="","",INDEX(Tasks!$E$10:$E$1941,$P704))</x:f>
        <x:v>Research &amp; Analysis</x:v>
      </x:c>
      <x:c r="G704" s="86"/>
      <x:c r="H704" s="14" t="str">
        <x:f>IF($P704="","",INDEX(Tasks!$F$10:$F$1941,$P704)&amp;CHAR(10)&amp;INDEX(Tasks!$G$10:$G$1941,$P704))</x:f>
        <x:v>RA.RS.3.1
Finalize results and supporting documentation</x:v>
      </x:c>
      <x:c r="I704" s="14"/>
      <x:c r="J704" s="14"/>
      <x:c r="K704" s="14"/>
      <x:c r="L704" s="86" t="str">
        <x:f>IF($P704="","",INDEX(Tasks!$N$10:$N$1941,$P704))</x:f>
        <x:v>Not started</x:v>
      </x:c>
      <x:c r="M704" s="87" t="n">
        <x:f>IF($P704="","",INDEX(Tasks!$J$10:$J$1941,$P704))</x:f>
        <x:v>46203</x:v>
      </x:c>
      <x:c r="N704" s="85" t="str">
        <x:f>IF($P704="","",HYPERLINK("#'"&amp;INDEX(Tasks!$T$10:$T$1941,$P704)&amp;"'!A"&amp;INDEX(Tasks!$U$10:$U$1941,$P704),"Open"))</x:f>
        <x:v>Open</x:v>
      </x:c>
      <x:c r="O704" s="14"/>
      <x:c r="P704" s="14" t="n">
        <x:f>IF(683&gt;$B$10,"",MATCH(683,Tasks!$S$10:$S$1941,0))</x:f>
        <x:v>1047</x:v>
      </x:c>
    </x:row>
    <x:row r="705" ht="58" customHeight="1">
      <x:c r="B705" s="86" t="str">
        <x:f>IF($P705="","",INDEX(Tasks!$B$10:$B$1941,$P705))</x:f>
        <x:v>Cycle 2</x:v>
      </x:c>
      <x:c r="C705" s="86" t="str">
        <x:f>IF($P705="","",INDEX(Tasks!$C$10:$C$1941,$P705))</x:f>
        <x:v>Phase 3</x:v>
      </x:c>
      <x:c r="D705" s="86" t="str">
        <x:f>IF($P705="","",INDEX(Tasks!$D$10:$D$1941,$P705))</x:f>
        <x:v>Retail Services</x:v>
      </x:c>
      <x:c r="E705" s="86"/>
      <x:c r="F705" s="86" t="str">
        <x:f>IF($P705="","",INDEX(Tasks!$E$10:$E$1941,$P705))</x:f>
        <x:v>Research &amp; Analysis</x:v>
      </x:c>
      <x:c r="G705" s="86"/>
      <x:c r="H705" s="14" t="str">
        <x:f>IF($P705="","",INDEX(Tasks!$F$10:$F$1941,$P705)&amp;CHAR(10)&amp;INDEX(Tasks!$G$10:$G$1941,$P705))</x:f>
        <x:v>RA.RS.3.2
Maintain and update the evidence package prior to handoff to D&amp;I</x:v>
      </x:c>
      <x:c r="I705" s="14"/>
      <x:c r="J705" s="14"/>
      <x:c r="K705" s="14"/>
      <x:c r="L705" s="86" t="str">
        <x:f>IF($P705="","",INDEX(Tasks!$N$10:$N$1941,$P705))</x:f>
        <x:v>Not started</x:v>
      </x:c>
      <x:c r="M705" s="87" t="n">
        <x:f>IF($P705="","",INDEX(Tasks!$J$10:$J$1941,$P705))</x:f>
        <x:v>46203</x:v>
      </x:c>
      <x:c r="N705" s="85" t="str">
        <x:f>IF($P705="","",HYPERLINK("#'"&amp;INDEX(Tasks!$T$10:$T$1941,$P705)&amp;"'!A"&amp;INDEX(Tasks!$U$10:$U$1941,$P705),"Open"))</x:f>
        <x:v>Open</x:v>
      </x:c>
      <x:c r="O705" s="14"/>
      <x:c r="P705" s="14" t="n">
        <x:f>IF(684&gt;$B$10,"",MATCH(684,Tasks!$S$10:$S$1941,0))</x:f>
        <x:v>1048</x:v>
      </x:c>
    </x:row>
    <x:row r="706" ht="58" customHeight="1">
      <x:c r="B706" s="86" t="str">
        <x:f>IF($P706="","",INDEX(Tasks!$B$10:$B$1941,$P706))</x:f>
        <x:v>Cycle 2</x:v>
      </x:c>
      <x:c r="C706" s="86" t="str">
        <x:f>IF($P706="","",INDEX(Tasks!$C$10:$C$1941,$P706))</x:f>
        <x:v>Phase 3</x:v>
      </x:c>
      <x:c r="D706" s="86" t="str">
        <x:f>IF($P706="","",INDEX(Tasks!$D$10:$D$1941,$P706))</x:f>
        <x:v>Retail Services</x:v>
      </x:c>
      <x:c r="E706" s="86"/>
      <x:c r="F706" s="86" t="str">
        <x:f>IF($P706="","",INDEX(Tasks!$E$10:$E$1941,$P706))</x:f>
        <x:v>Research &amp; Analysis</x:v>
      </x:c>
      <x:c r="G706" s="86"/>
      <x:c r="H706" s="14" t="str">
        <x:f>IF($P706="","",INDEX(Tasks!$F$10:$F$1941,$P706)&amp;CHAR(10)&amp;INDEX(Tasks!$G$10:$G$1941,$P706))</x:f>
        <x:v>RA.RS.3.3
Address any outstanding questions or requests from D&amp;I</x:v>
      </x:c>
      <x:c r="I706" s="14"/>
      <x:c r="J706" s="14"/>
      <x:c r="K706" s="14"/>
      <x:c r="L706" s="86" t="str">
        <x:f>IF($P706="","",INDEX(Tasks!$N$10:$N$1941,$P706))</x:f>
        <x:v>Not started</x:v>
      </x:c>
      <x:c r="M706" s="87" t="n">
        <x:f>IF($P706="","",INDEX(Tasks!$J$10:$J$1941,$P706))</x:f>
        <x:v>46203</x:v>
      </x:c>
      <x:c r="N706" s="85" t="str">
        <x:f>IF($P706="","",HYPERLINK("#'"&amp;INDEX(Tasks!$T$10:$T$1941,$P706)&amp;"'!A"&amp;INDEX(Tasks!$U$10:$U$1941,$P706),"Open"))</x:f>
        <x:v>Open</x:v>
      </x:c>
      <x:c r="O706" s="14"/>
      <x:c r="P706" s="14" t="n">
        <x:f>IF(685&gt;$B$10,"",MATCH(685,Tasks!$S$10:$S$1941,0))</x:f>
        <x:v>1049</x:v>
      </x:c>
    </x:row>
    <x:row r="707" ht="58" customHeight="1">
      <x:c r="B707" s="86" t="str">
        <x:f>IF($P707="","",INDEX(Tasks!$B$10:$B$1941,$P707))</x:f>
        <x:v>Cycle 2</x:v>
      </x:c>
      <x:c r="C707" s="86" t="str">
        <x:f>IF($P707="","",INDEX(Tasks!$C$10:$C$1941,$P707))</x:f>
        <x:v>Phase 3</x:v>
      </x:c>
      <x:c r="D707" s="86" t="str">
        <x:f>IF($P707="","",INDEX(Tasks!$D$10:$D$1941,$P707))</x:f>
        <x:v>Retail Services</x:v>
      </x:c>
      <x:c r="E707" s="86"/>
      <x:c r="F707" s="86" t="str">
        <x:f>IF($P707="","",INDEX(Tasks!$E$10:$E$1941,$P707))</x:f>
        <x:v>Research &amp; Analysis</x:v>
      </x:c>
      <x:c r="G707" s="86"/>
      <x:c r="H707" s="14" t="str">
        <x:f>IF($P707="","",INDEX(Tasks!$F$10:$F$1941,$P707)&amp;CHAR(10)&amp;INDEX(Tasks!$G$10:$G$1941,$P707))</x:f>
        <x:v>RA.RS.3.4
Attend Forum meeting with D&amp;I to assist with answering stakeholder questions (as needed)</x:v>
      </x:c>
      <x:c r="I707" s="14"/>
      <x:c r="J707" s="14"/>
      <x:c r="K707" s="14"/>
      <x:c r="L707" s="86" t="str">
        <x:f>IF($P707="","",INDEX(Tasks!$N$10:$N$1941,$P707))</x:f>
        <x:v>Not started</x:v>
      </x:c>
      <x:c r="M707" s="87" t="str">
        <x:f>IF($P707="","",INDEX(Tasks!$J$10:$J$1941,$P707))</x:f>
      </x:c>
      <x:c r="N707" s="85" t="str">
        <x:f>IF($P707="","",HYPERLINK("#'"&amp;INDEX(Tasks!$T$10:$T$1941,$P707)&amp;"'!A"&amp;INDEX(Tasks!$U$10:$U$1941,$P707),"Open"))</x:f>
        <x:v>Open</x:v>
      </x:c>
      <x:c r="O707" s="14"/>
      <x:c r="P707" s="14" t="n">
        <x:f>IF(686&gt;$B$10,"",MATCH(686,Tasks!$S$10:$S$1941,0))</x:f>
        <x:v>1050</x:v>
      </x:c>
    </x:row>
    <x:row r="708" ht="58" customHeight="1">
      <x:c r="B708" s="86" t="str">
        <x:f>IF($P708="","",INDEX(Tasks!$B$10:$B$1941,$P708))</x:f>
        <x:v>Cycle 3</x:v>
      </x:c>
      <x:c r="C708" s="86" t="str">
        <x:f>IF($P708="","",INDEX(Tasks!$C$10:$C$1941,$P708))</x:f>
        <x:v>Phase 1</x:v>
      </x:c>
      <x:c r="D708" s="86" t="str">
        <x:f>IF($P708="","",INDEX(Tasks!$D$10:$D$1941,$P708))</x:f>
        <x:v>Auto</x:v>
      </x:c>
      <x:c r="E708" s="86"/>
      <x:c r="F708" s="86" t="str">
        <x:f>IF($P708="","",INDEX(Tasks!$E$10:$E$1941,$P708))</x:f>
        <x:v>Research &amp; Analysis</x:v>
      </x:c>
      <x:c r="G708" s="86"/>
      <x:c r="H708" s="14" t="str">
        <x:f>IF($P708="","",INDEX(Tasks!$F$10:$F$1941,$P708)&amp;CHAR(10)&amp;INDEX(Tasks!$G$10:$G$1941,$P708))</x:f>
        <x:v>RA.AU.1.1
Begin Research process 2 weeks prior to Cycle start</x:v>
      </x:c>
      <x:c r="I708" s="14"/>
      <x:c r="J708" s="14"/>
      <x:c r="K708" s="14"/>
      <x:c r="L708" s="86" t="str">
        <x:f>IF($P708="","",INDEX(Tasks!$N$10:$N$1941,$P708))</x:f>
        <x:v>Not started</x:v>
      </x:c>
      <x:c r="M708" s="87" t="n">
        <x:f>IF($P708="","",INDEX(Tasks!$J$10:$J$1941,$P708))</x:f>
        <x:v>46190</x:v>
      </x:c>
      <x:c r="N708" s="85" t="str">
        <x:f>IF($P708="","",HYPERLINK("#'"&amp;INDEX(Tasks!$T$10:$T$1941,$P708)&amp;"'!A"&amp;INDEX(Tasks!$U$10:$U$1941,$P708),"Open"))</x:f>
        <x:v>Open</x:v>
      </x:c>
      <x:c r="O708" s="14"/>
      <x:c r="P708" s="14" t="n">
        <x:f>IF(687&gt;$B$10,"",MATCH(687,Tasks!$S$10:$S$1941,0))</x:f>
        <x:v>1051</x:v>
      </x:c>
    </x:row>
    <x:row r="709" ht="58" customHeight="1">
      <x:c r="B709" s="86" t="str">
        <x:f>IF($P709="","",INDEX(Tasks!$B$10:$B$1941,$P709))</x:f>
        <x:v>Cycle 3</x:v>
      </x:c>
      <x:c r="C709" s="86" t="str">
        <x:f>IF($P709="","",INDEX(Tasks!$C$10:$C$1941,$P709))</x:f>
        <x:v>Phase 1</x:v>
      </x:c>
      <x:c r="D709" s="86" t="str">
        <x:f>IF($P709="","",INDEX(Tasks!$D$10:$D$1941,$P709))</x:f>
        <x:v>Auto</x:v>
      </x:c>
      <x:c r="E709" s="86"/>
      <x:c r="F709" s="86" t="str">
        <x:f>IF($P709="","",INDEX(Tasks!$E$10:$E$1941,$P709))</x:f>
        <x:v>Research &amp; Analysis</x:v>
      </x:c>
      <x:c r="G709" s="86"/>
      <x:c r="H709" s="14" t="str">
        <x:f>IF($P709="","",INDEX(Tasks!$F$10:$F$1941,$P709)&amp;CHAR(10)&amp;INDEX(Tasks!$G$10:$G$1941,$P709))</x:f>
        <x:v>RA.AU.1.2
Conduct initial assessment of each topic recommendation from SharePoint list</x:v>
      </x:c>
      <x:c r="I709" s="14"/>
      <x:c r="J709" s="14"/>
      <x:c r="K709" s="14"/>
      <x:c r="L709" s="86" t="str">
        <x:f>IF($P709="","",INDEX(Tasks!$N$10:$N$1941,$P709))</x:f>
        <x:v>Not started</x:v>
      </x:c>
      <x:c r="M709" s="87" t="n">
        <x:f>IF($P709="","",INDEX(Tasks!$J$10:$J$1941,$P709))</x:f>
        <x:v>46295</x:v>
      </x:c>
      <x:c r="N709" s="85" t="str">
        <x:f>IF($P709="","",HYPERLINK("#'"&amp;INDEX(Tasks!$T$10:$T$1941,$P709)&amp;"'!A"&amp;INDEX(Tasks!$U$10:$U$1941,$P709),"Open"))</x:f>
        <x:v>Open</x:v>
      </x:c>
      <x:c r="O709" s="14"/>
      <x:c r="P709" s="14" t="n">
        <x:f>IF(688&gt;$B$10,"",MATCH(688,Tasks!$S$10:$S$1941,0))</x:f>
        <x:v>1052</x:v>
      </x:c>
    </x:row>
    <x:row r="710" ht="58" customHeight="1">
      <x:c r="B710" s="86" t="str">
        <x:f>IF($P710="","",INDEX(Tasks!$B$10:$B$1941,$P710))</x:f>
        <x:v>Cycle 3</x:v>
      </x:c>
      <x:c r="C710" s="86" t="str">
        <x:f>IF($P710="","",INDEX(Tasks!$C$10:$C$1941,$P710))</x:f>
        <x:v>Phase 1</x:v>
      </x:c>
      <x:c r="D710" s="86" t="str">
        <x:f>IF($P710="","",INDEX(Tasks!$D$10:$D$1941,$P710))</x:f>
        <x:v>Auto</x:v>
      </x:c>
      <x:c r="E710" s="86"/>
      <x:c r="F710" s="86" t="str">
        <x:f>IF($P710="","",INDEX(Tasks!$E$10:$E$1941,$P710))</x:f>
        <x:v>Research &amp; Analysis</x:v>
      </x:c>
      <x:c r="G710" s="86"/>
      <x:c r="H710" s="14" t="str">
        <x:f>IF($P710="","",INDEX(Tasks!$F$10:$F$1941,$P710)&amp;CHAR(10)&amp;INDEX(Tasks!$G$10:$G$1941,$P710))</x:f>
        <x:v>RA.AU.1.3
Identify best topic for Cycle</x:v>
      </x:c>
      <x:c r="I710" s="14"/>
      <x:c r="J710" s="14"/>
      <x:c r="K710" s="14"/>
      <x:c r="L710" s="86" t="str">
        <x:f>IF($P710="","",INDEX(Tasks!$N$10:$N$1941,$P710))</x:f>
        <x:v>Not started</x:v>
      </x:c>
      <x:c r="M710" s="87" t="n">
        <x:f>IF($P710="","",INDEX(Tasks!$J$10:$J$1941,$P710))</x:f>
        <x:v>46295</x:v>
      </x:c>
      <x:c r="N710" s="85" t="str">
        <x:f>IF($P710="","",HYPERLINK("#'"&amp;INDEX(Tasks!$T$10:$T$1941,$P710)&amp;"'!A"&amp;INDEX(Tasks!$U$10:$U$1941,$P710),"Open"))</x:f>
        <x:v>Open</x:v>
      </x:c>
      <x:c r="O710" s="14"/>
      <x:c r="P710" s="14" t="n">
        <x:f>IF(689&gt;$B$10,"",MATCH(689,Tasks!$S$10:$S$1941,0))</x:f>
        <x:v>1053</x:v>
      </x:c>
    </x:row>
    <x:row r="711" ht="58" customHeight="1">
      <x:c r="B711" s="86" t="str">
        <x:f>IF($P711="","",INDEX(Tasks!$B$10:$B$1941,$P711))</x:f>
        <x:v>Cycle 3</x:v>
      </x:c>
      <x:c r="C711" s="86" t="str">
        <x:f>IF($P711="","",INDEX(Tasks!$C$10:$C$1941,$P711))</x:f>
        <x:v>Phase 1</x:v>
      </x:c>
      <x:c r="D711" s="86" t="str">
        <x:f>IF($P711="","",INDEX(Tasks!$D$10:$D$1941,$P711))</x:f>
        <x:v>Auto</x:v>
      </x:c>
      <x:c r="E711" s="86"/>
      <x:c r="F711" s="86" t="str">
        <x:f>IF($P711="","",INDEX(Tasks!$E$10:$E$1941,$P711))</x:f>
        <x:v>Research &amp; Analysis</x:v>
      </x:c>
      <x:c r="G711" s="86"/>
      <x:c r="H711" s="14" t="str">
        <x:f>IF($P711="","",INDEX(Tasks!$F$10:$F$1941,$P711)&amp;CHAR(10)&amp;INDEX(Tasks!$G$10:$G$1941,$P711))</x:f>
        <x:v>RA.AU.1.4
Identify backup topic for Cycle</x:v>
      </x:c>
      <x:c r="I711" s="14"/>
      <x:c r="J711" s="14"/>
      <x:c r="K711" s="14"/>
      <x:c r="L711" s="86" t="str">
        <x:f>IF($P711="","",INDEX(Tasks!$N$10:$N$1941,$P711))</x:f>
        <x:v>Not started</x:v>
      </x:c>
      <x:c r="M711" s="87" t="n">
        <x:f>IF($P711="","",INDEX(Tasks!$J$10:$J$1941,$P711))</x:f>
        <x:v>46295</x:v>
      </x:c>
      <x:c r="N711" s="85" t="str">
        <x:f>IF($P711="","",HYPERLINK("#'"&amp;INDEX(Tasks!$T$10:$T$1941,$P711)&amp;"'!A"&amp;INDEX(Tasks!$U$10:$U$1941,$P711),"Open"))</x:f>
        <x:v>Open</x:v>
      </x:c>
      <x:c r="O711" s="14"/>
      <x:c r="P711" s="14" t="n">
        <x:f>IF(690&gt;$B$10,"",MATCH(690,Tasks!$S$10:$S$1941,0))</x:f>
        <x:v>1054</x:v>
      </x:c>
    </x:row>
    <x:row r="712" ht="58" customHeight="1">
      <x:c r="B712" s="86" t="str">
        <x:f>IF($P712="","",INDEX(Tasks!$B$10:$B$1941,$P712))</x:f>
        <x:v>Cycle 3</x:v>
      </x:c>
      <x:c r="C712" s="86" t="str">
        <x:f>IF($P712="","",INDEX(Tasks!$C$10:$C$1941,$P712))</x:f>
        <x:v>Phase 1</x:v>
      </x:c>
      <x:c r="D712" s="86" t="str">
        <x:f>IF($P712="","",INDEX(Tasks!$D$10:$D$1941,$P712))</x:f>
        <x:v>Auto</x:v>
      </x:c>
      <x:c r="E712" s="86"/>
      <x:c r="F712" s="86" t="str">
        <x:f>IF($P712="","",INDEX(Tasks!$E$10:$E$1941,$P712))</x:f>
        <x:v>Research &amp; Analysis</x:v>
      </x:c>
      <x:c r="G712" s="86"/>
      <x:c r="H712" s="14" t="str">
        <x:f>IF($P712="","",INDEX(Tasks!$F$10:$F$1941,$P712)&amp;CHAR(10)&amp;INDEX(Tasks!$G$10:$G$1941,$P712))</x:f>
        <x:v>RA.AU.1.5
Schedule topic approval meeting with D&amp;I and management</x:v>
      </x:c>
      <x:c r="I712" s="14"/>
      <x:c r="J712" s="14"/>
      <x:c r="K712" s="14"/>
      <x:c r="L712" s="86" t="str">
        <x:f>IF($P712="","",INDEX(Tasks!$N$10:$N$1941,$P712))</x:f>
        <x:v>Not started</x:v>
      </x:c>
      <x:c r="M712" s="87" t="n">
        <x:f>IF($P712="","",INDEX(Tasks!$J$10:$J$1941,$P712))</x:f>
        <x:v>46295</x:v>
      </x:c>
      <x:c r="N712" s="85" t="str">
        <x:f>IF($P712="","",HYPERLINK("#'"&amp;INDEX(Tasks!$T$10:$T$1941,$P712)&amp;"'!A"&amp;INDEX(Tasks!$U$10:$U$1941,$P712),"Open"))</x:f>
        <x:v>Open</x:v>
      </x:c>
      <x:c r="O712" s="14"/>
      <x:c r="P712" s="14" t="n">
        <x:f>IF(691&gt;$B$10,"",MATCH(691,Tasks!$S$10:$S$1941,0))</x:f>
        <x:v>1055</x:v>
      </x:c>
    </x:row>
    <x:row r="713" ht="58" customHeight="1">
      <x:c r="B713" s="86" t="str">
        <x:f>IF($P713="","",INDEX(Tasks!$B$10:$B$1941,$P713))</x:f>
        <x:v>Cycle 3</x:v>
      </x:c>
      <x:c r="C713" s="86" t="str">
        <x:f>IF($P713="","",INDEX(Tasks!$C$10:$C$1941,$P713))</x:f>
        <x:v>Phase 1</x:v>
      </x:c>
      <x:c r="D713" s="86" t="str">
        <x:f>IF($P713="","",INDEX(Tasks!$D$10:$D$1941,$P713))</x:f>
        <x:v>Auto</x:v>
      </x:c>
      <x:c r="E713" s="86"/>
      <x:c r="F713" s="86" t="str">
        <x:f>IF($P713="","",INDEX(Tasks!$E$10:$E$1941,$P713))</x:f>
        <x:v>Research &amp; Analysis</x:v>
      </x:c>
      <x:c r="G713" s="86"/>
      <x:c r="H713" s="14" t="str">
        <x:f>IF($P713="","",INDEX(Tasks!$F$10:$F$1941,$P713)&amp;CHAR(10)&amp;INDEX(Tasks!$G$10:$G$1941,$P713))</x:f>
        <x:v>RA.AU.1.6
Present recommended topic to D&amp;I and management for approval</x:v>
      </x:c>
      <x:c r="I713" s="14"/>
      <x:c r="J713" s="14"/>
      <x:c r="K713" s="14"/>
      <x:c r="L713" s="86" t="str">
        <x:f>IF($P713="","",INDEX(Tasks!$N$10:$N$1941,$P713))</x:f>
        <x:v>Not started</x:v>
      </x:c>
      <x:c r="M713" s="87" t="n">
        <x:f>IF($P713="","",INDEX(Tasks!$J$10:$J$1941,$P713))</x:f>
        <x:v>46295</x:v>
      </x:c>
      <x:c r="N713" s="85" t="str">
        <x:f>IF($P713="","",HYPERLINK("#'"&amp;INDEX(Tasks!$T$10:$T$1941,$P713)&amp;"'!A"&amp;INDEX(Tasks!$U$10:$U$1941,$P713),"Open"))</x:f>
        <x:v>Open</x:v>
      </x:c>
      <x:c r="O713" s="14"/>
      <x:c r="P713" s="14" t="n">
        <x:f>IF(692&gt;$B$10,"",MATCH(692,Tasks!$S$10:$S$1941,0))</x:f>
        <x:v>1056</x:v>
      </x:c>
    </x:row>
    <x:row r="714" ht="58" customHeight="1">
      <x:c r="B714" s="86" t="str">
        <x:f>IF($P714="","",INDEX(Tasks!$B$10:$B$1941,$P714))</x:f>
        <x:v>Cycle 3</x:v>
      </x:c>
      <x:c r="C714" s="86" t="str">
        <x:f>IF($P714="","",INDEX(Tasks!$C$10:$C$1941,$P714))</x:f>
        <x:v>Phase 1</x:v>
      </x:c>
      <x:c r="D714" s="86" t="str">
        <x:f>IF($P714="","",INDEX(Tasks!$D$10:$D$1941,$P714))</x:f>
        <x:v>Auto</x:v>
      </x:c>
      <x:c r="E714" s="86"/>
      <x:c r="F714" s="86" t="str">
        <x:f>IF($P714="","",INDEX(Tasks!$E$10:$E$1941,$P714))</x:f>
        <x:v>Research &amp; Analysis</x:v>
      </x:c>
      <x:c r="G714" s="86"/>
      <x:c r="H714" s="14" t="str">
        <x:f>IF($P714="","",INDEX(Tasks!$F$10:$F$1941,$P714)&amp;CHAR(10)&amp;INDEX(Tasks!$G$10:$G$1941,$P714))</x:f>
        <x:v>RA.AU.1.7
Obtain formal topic selection approval from management via SharePoint</x:v>
      </x:c>
      <x:c r="I714" s="14"/>
      <x:c r="J714" s="14"/>
      <x:c r="K714" s="14"/>
      <x:c r="L714" s="86" t="str">
        <x:f>IF($P714="","",INDEX(Tasks!$N$10:$N$1941,$P714))</x:f>
        <x:v>Not started</x:v>
      </x:c>
      <x:c r="M714" s="87" t="n">
        <x:f>IF($P714="","",INDEX(Tasks!$J$10:$J$1941,$P714))</x:f>
        <x:v>46295</x:v>
      </x:c>
      <x:c r="N714" s="85" t="str">
        <x:f>IF($P714="","",HYPERLINK("#'"&amp;INDEX(Tasks!$T$10:$T$1941,$P714)&amp;"'!A"&amp;INDEX(Tasks!$U$10:$U$1941,$P714),"Open"))</x:f>
        <x:v>Open</x:v>
      </x:c>
      <x:c r="O714" s="14"/>
      <x:c r="P714" s="14" t="n">
        <x:f>IF(693&gt;$B$10,"",MATCH(693,Tasks!$S$10:$S$1941,0))</x:f>
        <x:v>1057</x:v>
      </x:c>
    </x:row>
    <x:row r="715" ht="58" customHeight="1">
      <x:c r="B715" s="86" t="str">
        <x:f>IF($P715="","",INDEX(Tasks!$B$10:$B$1941,$P715))</x:f>
        <x:v>Cycle 3</x:v>
      </x:c>
      <x:c r="C715" s="86" t="str">
        <x:f>IF($P715="","",INDEX(Tasks!$C$10:$C$1941,$P715))</x:f>
        <x:v>Phase 1</x:v>
      </x:c>
      <x:c r="D715" s="86" t="str">
        <x:f>IF($P715="","",INDEX(Tasks!$D$10:$D$1941,$P715))</x:f>
        <x:v>Auto</x:v>
      </x:c>
      <x:c r="E715" s="86"/>
      <x:c r="F715" s="86" t="str">
        <x:f>IF($P715="","",INDEX(Tasks!$E$10:$E$1941,$P715))</x:f>
        <x:v>Research &amp; Analysis</x:v>
      </x:c>
      <x:c r="G715" s="86"/>
      <x:c r="H715" s="14" t="str">
        <x:f>IF($P715="","",INDEX(Tasks!$F$10:$F$1941,$P715)&amp;CHAR(10)&amp;INDEX(Tasks!$G$10:$G$1941,$P715))</x:f>
        <x:v>RA.AU.1.8
Socialize topic selection with product owners and subject matter experts (if known)</x:v>
      </x:c>
      <x:c r="I715" s="14"/>
      <x:c r="J715" s="14"/>
      <x:c r="K715" s="14"/>
      <x:c r="L715" s="86" t="str">
        <x:f>IF($P715="","",INDEX(Tasks!$N$10:$N$1941,$P715))</x:f>
        <x:v>Not started</x:v>
      </x:c>
      <x:c r="M715" s="87" t="n">
        <x:f>IF($P715="","",INDEX(Tasks!$J$10:$J$1941,$P715))</x:f>
        <x:v>46295</x:v>
      </x:c>
      <x:c r="N715" s="85" t="str">
        <x:f>IF($P715="","",HYPERLINK("#'"&amp;INDEX(Tasks!$T$10:$T$1941,$P715)&amp;"'!A"&amp;INDEX(Tasks!$U$10:$U$1941,$P715),"Open"))</x:f>
        <x:v>Open</x:v>
      </x:c>
      <x:c r="O715" s="14"/>
      <x:c r="P715" s="14" t="n">
        <x:f>IF(694&gt;$B$10,"",MATCH(694,Tasks!$S$10:$S$1941,0))</x:f>
        <x:v>1058</x:v>
      </x:c>
    </x:row>
    <x:row r="716" ht="58" customHeight="1">
      <x:c r="B716" s="86" t="str">
        <x:f>IF($P716="","",INDEX(Tasks!$B$10:$B$1941,$P716))</x:f>
        <x:v>Cycle 3</x:v>
      </x:c>
      <x:c r="C716" s="86" t="str">
        <x:f>IF($P716="","",INDEX(Tasks!$C$10:$C$1941,$P716))</x:f>
        <x:v>Phase 1</x:v>
      </x:c>
      <x:c r="D716" s="86" t="str">
        <x:f>IF($P716="","",INDEX(Tasks!$D$10:$D$1941,$P716))</x:f>
        <x:v>Auto</x:v>
      </x:c>
      <x:c r="E716" s="86"/>
      <x:c r="F716" s="86" t="str">
        <x:f>IF($P716="","",INDEX(Tasks!$E$10:$E$1941,$P716))</x:f>
        <x:v>Research &amp; Analysis</x:v>
      </x:c>
      <x:c r="G716" s="86"/>
      <x:c r="H716" s="14" t="str">
        <x:f>IF($P716="","",INDEX(Tasks!$F$10:$F$1941,$P716)&amp;CHAR(10)&amp;INDEX(Tasks!$G$10:$G$1941,$P716))</x:f>
        <x:v>RA.AU.1.9
Assign topic researchers</x:v>
      </x:c>
      <x:c r="I716" s="14"/>
      <x:c r="J716" s="14"/>
      <x:c r="K716" s="14"/>
      <x:c r="L716" s="86" t="str">
        <x:f>IF($P716="","",INDEX(Tasks!$N$10:$N$1941,$P716))</x:f>
        <x:v>Not started</x:v>
      </x:c>
      <x:c r="M716" s="87" t="n">
        <x:f>IF($P716="","",INDEX(Tasks!$J$10:$J$1941,$P716))</x:f>
        <x:v>46295</x:v>
      </x:c>
      <x:c r="N716" s="85" t="str">
        <x:f>IF($P716="","",HYPERLINK("#'"&amp;INDEX(Tasks!$T$10:$T$1941,$P716)&amp;"'!A"&amp;INDEX(Tasks!$U$10:$U$1941,$P716),"Open"))</x:f>
        <x:v>Open</x:v>
      </x:c>
      <x:c r="O716" s="14"/>
      <x:c r="P716" s="14" t="n">
        <x:f>IF(695&gt;$B$10,"",MATCH(695,Tasks!$S$10:$S$1941,0))</x:f>
        <x:v>1059</x:v>
      </x:c>
    </x:row>
    <x:row r="717" ht="58" customHeight="1">
      <x:c r="B717" s="86" t="str">
        <x:f>IF($P717="","",INDEX(Tasks!$B$10:$B$1941,$P717))</x:f>
        <x:v>Cycle 3</x:v>
      </x:c>
      <x:c r="C717" s="86" t="str">
        <x:f>IF($P717="","",INDEX(Tasks!$C$10:$C$1941,$P717))</x:f>
        <x:v>Phase 2</x:v>
      </x:c>
      <x:c r="D717" s="86" t="str">
        <x:f>IF($P717="","",INDEX(Tasks!$D$10:$D$1941,$P717))</x:f>
        <x:v>Auto</x:v>
      </x:c>
      <x:c r="E717" s="86"/>
      <x:c r="F717" s="86" t="str">
        <x:f>IF($P717="","",INDEX(Tasks!$E$10:$E$1941,$P717))</x:f>
        <x:v>Research &amp; Analysis</x:v>
      </x:c>
      <x:c r="G717" s="86"/>
      <x:c r="H717" s="14" t="str">
        <x:f>IF($P717="","",INDEX(Tasks!$F$10:$F$1941,$P717)&amp;CHAR(10)&amp;INDEX(Tasks!$G$10:$G$1941,$P717))</x:f>
        <x:v>RA.AU.2.1
Review data sources</x:v>
      </x:c>
      <x:c r="I717" s="14"/>
      <x:c r="J717" s="14"/>
      <x:c r="K717" s="14"/>
      <x:c r="L717" s="86" t="str">
        <x:f>IF($P717="","",INDEX(Tasks!$N$10:$N$1941,$P717))</x:f>
        <x:v>Not started</x:v>
      </x:c>
      <x:c r="M717" s="87" t="n">
        <x:f>IF($P717="","",INDEX(Tasks!$J$10:$J$1941,$P717))</x:f>
        <x:v>46295</x:v>
      </x:c>
      <x:c r="N717" s="85" t="str">
        <x:f>IF($P717="","",HYPERLINK("#'"&amp;INDEX(Tasks!$T$10:$T$1941,$P717)&amp;"'!A"&amp;INDEX(Tasks!$U$10:$U$1941,$P717),"Open"))</x:f>
        <x:v>Open</x:v>
      </x:c>
      <x:c r="O717" s="14"/>
      <x:c r="P717" s="14" t="n">
        <x:f>IF(696&gt;$B$10,"",MATCH(696,Tasks!$S$10:$S$1941,0))</x:f>
        <x:v>1060</x:v>
      </x:c>
    </x:row>
    <x:row r="718" ht="58" customHeight="1">
      <x:c r="B718" s="86" t="str">
        <x:f>IF($P718="","",INDEX(Tasks!$B$10:$B$1941,$P718))</x:f>
        <x:v>Cycle 3</x:v>
      </x:c>
      <x:c r="C718" s="86" t="str">
        <x:f>IF($P718="","",INDEX(Tasks!$C$10:$C$1941,$P718))</x:f>
        <x:v>Phase 2</x:v>
      </x:c>
      <x:c r="D718" s="86" t="str">
        <x:f>IF($P718="","",INDEX(Tasks!$D$10:$D$1941,$P718))</x:f>
        <x:v>Auto</x:v>
      </x:c>
      <x:c r="E718" s="86"/>
      <x:c r="F718" s="86" t="str">
        <x:f>IF($P718="","",INDEX(Tasks!$E$10:$E$1941,$P718))</x:f>
        <x:v>Research &amp; Analysis</x:v>
      </x:c>
      <x:c r="G718" s="86"/>
      <x:c r="H718" s="14" t="str">
        <x:f>IF($P718="","",INDEX(Tasks!$F$10:$F$1941,$P718)&amp;CHAR(10)&amp;INDEX(Tasks!$G$10:$G$1941,$P718))</x:f>
        <x:v>RA.AU.2.2
Review relevant policies and procedures</x:v>
      </x:c>
      <x:c r="I718" s="14"/>
      <x:c r="J718" s="14"/>
      <x:c r="K718" s="14"/>
      <x:c r="L718" s="86" t="str">
        <x:f>IF($P718="","",INDEX(Tasks!$N$10:$N$1941,$P718))</x:f>
        <x:v>Not started</x:v>
      </x:c>
      <x:c r="M718" s="87" t="n">
        <x:f>IF($P718="","",INDEX(Tasks!$J$10:$J$1941,$P718))</x:f>
        <x:v>46295</x:v>
      </x:c>
      <x:c r="N718" s="85" t="str">
        <x:f>IF($P718="","",HYPERLINK("#'"&amp;INDEX(Tasks!$T$10:$T$1941,$P718)&amp;"'!A"&amp;INDEX(Tasks!$U$10:$U$1941,$P718),"Open"))</x:f>
        <x:v>Open</x:v>
      </x:c>
      <x:c r="O718" s="14"/>
      <x:c r="P718" s="14" t="n">
        <x:f>IF(697&gt;$B$10,"",MATCH(697,Tasks!$S$10:$S$1941,0))</x:f>
        <x:v>1061</x:v>
      </x:c>
    </x:row>
    <x:row r="719" ht="58" customHeight="1">
      <x:c r="B719" s="86" t="str">
        <x:f>IF($P719="","",INDEX(Tasks!$B$10:$B$1941,$P719))</x:f>
        <x:v>Cycle 3</x:v>
      </x:c>
      <x:c r="C719" s="86" t="str">
        <x:f>IF($P719="","",INDEX(Tasks!$C$10:$C$1941,$P719))</x:f>
        <x:v>Phase 2</x:v>
      </x:c>
      <x:c r="D719" s="86" t="str">
        <x:f>IF($P719="","",INDEX(Tasks!$D$10:$D$1941,$P719))</x:f>
        <x:v>Auto</x:v>
      </x:c>
      <x:c r="E719" s="86"/>
      <x:c r="F719" s="86" t="str">
        <x:f>IF($P719="","",INDEX(Tasks!$E$10:$E$1941,$P719))</x:f>
        <x:v>Research &amp; Analysis</x:v>
      </x:c>
      <x:c r="G719" s="86"/>
      <x:c r="H719" s="14" t="str">
        <x:f>IF($P719="","",INDEX(Tasks!$F$10:$F$1941,$P719)&amp;CHAR(10)&amp;INDEX(Tasks!$G$10:$G$1941,$P719))</x:f>
        <x:v>RA.AU.2.3
Meet with SMEs to gain business insight and clarify questions</x:v>
      </x:c>
      <x:c r="I719" s="14"/>
      <x:c r="J719" s="14"/>
      <x:c r="K719" s="14"/>
      <x:c r="L719" s="86" t="str">
        <x:f>IF($P719="","",INDEX(Tasks!$N$10:$N$1941,$P719))</x:f>
        <x:v>Not started</x:v>
      </x:c>
      <x:c r="M719" s="87" t="n">
        <x:f>IF($P719="","",INDEX(Tasks!$J$10:$J$1941,$P719))</x:f>
        <x:v>46295</x:v>
      </x:c>
      <x:c r="N719" s="85" t="str">
        <x:f>IF($P719="","",HYPERLINK("#'"&amp;INDEX(Tasks!$T$10:$T$1941,$P719)&amp;"'!A"&amp;INDEX(Tasks!$U$10:$U$1941,$P719),"Open"))</x:f>
        <x:v>Open</x:v>
      </x:c>
      <x:c r="O719" s="14"/>
      <x:c r="P719" s="14" t="n">
        <x:f>IF(698&gt;$B$10,"",MATCH(698,Tasks!$S$10:$S$1941,0))</x:f>
        <x:v>1062</x:v>
      </x:c>
    </x:row>
    <x:row r="720" ht="58" customHeight="1">
      <x:c r="B720" s="86" t="str">
        <x:f>IF($P720="","",INDEX(Tasks!$B$10:$B$1941,$P720))</x:f>
        <x:v>Cycle 3</x:v>
      </x:c>
      <x:c r="C720" s="86" t="str">
        <x:f>IF($P720="","",INDEX(Tasks!$C$10:$C$1941,$P720))</x:f>
        <x:v>Phase 2</x:v>
      </x:c>
      <x:c r="D720" s="86" t="str">
        <x:f>IF($P720="","",INDEX(Tasks!$D$10:$D$1941,$P720))</x:f>
        <x:v>Auto</x:v>
      </x:c>
      <x:c r="E720" s="86"/>
      <x:c r="F720" s="86" t="str">
        <x:f>IF($P720="","",INDEX(Tasks!$E$10:$E$1941,$P720))</x:f>
        <x:v>Research &amp; Analysis</x:v>
      </x:c>
      <x:c r="G720" s="86"/>
      <x:c r="H720" s="14" t="str">
        <x:f>IF($P720="","",INDEX(Tasks!$F$10:$F$1941,$P720)&amp;CHAR(10)&amp;INDEX(Tasks!$G$10:$G$1941,$P720))</x:f>
        <x:v>RA.AU.2.4
Establish and maintain a recurring meeting with D&amp;I to discuss Cycle progress</x:v>
      </x:c>
      <x:c r="I720" s="14"/>
      <x:c r="J720" s="14"/>
      <x:c r="K720" s="14"/>
      <x:c r="L720" s="86" t="str">
        <x:f>IF($P720="","",INDEX(Tasks!$N$10:$N$1941,$P720))</x:f>
        <x:v>Not started</x:v>
      </x:c>
      <x:c r="M720" s="87" t="n">
        <x:f>IF($P720="","",INDEX(Tasks!$J$10:$J$1941,$P720))</x:f>
        <x:v>46295</x:v>
      </x:c>
      <x:c r="N720" s="85" t="str">
        <x:f>IF($P720="","",HYPERLINK("#'"&amp;INDEX(Tasks!$T$10:$T$1941,$P720)&amp;"'!A"&amp;INDEX(Tasks!$U$10:$U$1941,$P720),"Open"))</x:f>
        <x:v>Open</x:v>
      </x:c>
      <x:c r="O720" s="14"/>
      <x:c r="P720" s="14" t="n">
        <x:f>IF(699&gt;$B$10,"",MATCH(699,Tasks!$S$10:$S$1941,0))</x:f>
        <x:v>1063</x:v>
      </x:c>
    </x:row>
    <x:row r="721" ht="58" customHeight="1">
      <x:c r="B721" s="86" t="str">
        <x:f>IF($P721="","",INDEX(Tasks!$B$10:$B$1941,$P721))</x:f>
        <x:v>Cycle 3</x:v>
      </x:c>
      <x:c r="C721" s="86" t="str">
        <x:f>IF($P721="","",INDEX(Tasks!$C$10:$C$1941,$P721))</x:f>
        <x:v>Phase 2</x:v>
      </x:c>
      <x:c r="D721" s="86" t="str">
        <x:f>IF($P721="","",INDEX(Tasks!$D$10:$D$1941,$P721))</x:f>
        <x:v>Auto</x:v>
      </x:c>
      <x:c r="E721" s="86"/>
      <x:c r="F721" s="86" t="str">
        <x:f>IF($P721="","",INDEX(Tasks!$E$10:$E$1941,$P721))</x:f>
        <x:v>Research &amp; Analysis</x:v>
      </x:c>
      <x:c r="G721" s="86"/>
      <x:c r="H721" s="14" t="str">
        <x:f>IF($P721="","",INDEX(Tasks!$F$10:$F$1941,$P721)&amp;CHAR(10)&amp;INDEX(Tasks!$G$10:$G$1941,$P721))</x:f>
        <x:v>RA.AU.2.5
Perform data testing and sampling</x:v>
      </x:c>
      <x:c r="I721" s="14"/>
      <x:c r="J721" s="14"/>
      <x:c r="K721" s="14"/>
      <x:c r="L721" s="86" t="str">
        <x:f>IF($P721="","",INDEX(Tasks!$N$10:$N$1941,$P721))</x:f>
        <x:v>Not started</x:v>
      </x:c>
      <x:c r="M721" s="87" t="n">
        <x:f>IF($P721="","",INDEX(Tasks!$J$10:$J$1941,$P721))</x:f>
        <x:v>46295</x:v>
      </x:c>
      <x:c r="N721" s="85" t="str">
        <x:f>IF($P721="","",HYPERLINK("#'"&amp;INDEX(Tasks!$T$10:$T$1941,$P721)&amp;"'!A"&amp;INDEX(Tasks!$U$10:$U$1941,$P721),"Open"))</x:f>
        <x:v>Open</x:v>
      </x:c>
      <x:c r="O721" s="14"/>
      <x:c r="P721" s="14" t="n">
        <x:f>IF(700&gt;$B$10,"",MATCH(700,Tasks!$S$10:$S$1941,0))</x:f>
        <x:v>1064</x:v>
      </x:c>
    </x:row>
    <x:row r="722" ht="58" customHeight="1">
      <x:c r="B722" s="86" t="str">
        <x:f>IF($P722="","",INDEX(Tasks!$B$10:$B$1941,$P722))</x:f>
        <x:v>Cycle 3</x:v>
      </x:c>
      <x:c r="C722" s="86" t="str">
        <x:f>IF($P722="","",INDEX(Tasks!$C$10:$C$1941,$P722))</x:f>
        <x:v>Phase 2</x:v>
      </x:c>
      <x:c r="D722" s="86" t="str">
        <x:f>IF($P722="","",INDEX(Tasks!$D$10:$D$1941,$P722))</x:f>
        <x:v>Auto</x:v>
      </x:c>
      <x:c r="E722" s="86"/>
      <x:c r="F722" s="86" t="str">
        <x:f>IF($P722="","",INDEX(Tasks!$E$10:$E$1941,$P722))</x:f>
        <x:v>Research &amp; Analysis</x:v>
      </x:c>
      <x:c r="G722" s="86"/>
      <x:c r="H722" s="14" t="str">
        <x:f>IF($P722="","",INDEX(Tasks!$F$10:$F$1941,$P722)&amp;CHAR(10)&amp;INDEX(Tasks!$G$10:$G$1941,$P722))</x:f>
        <x:v>RA.AU.2.6
Complete Positive Testing</x:v>
      </x:c>
      <x:c r="I722" s="14"/>
      <x:c r="J722" s="14"/>
      <x:c r="K722" s="14"/>
      <x:c r="L722" s="86" t="str">
        <x:f>IF($P722="","",INDEX(Tasks!$N$10:$N$1941,$P722))</x:f>
        <x:v>Not started</x:v>
      </x:c>
      <x:c r="M722" s="87" t="n">
        <x:f>IF($P722="","",INDEX(Tasks!$J$10:$J$1941,$P722))</x:f>
        <x:v>46295</x:v>
      </x:c>
      <x:c r="N722" s="85" t="str">
        <x:f>IF($P722="","",HYPERLINK("#'"&amp;INDEX(Tasks!$T$10:$T$1941,$P722)&amp;"'!A"&amp;INDEX(Tasks!$U$10:$U$1941,$P722),"Open"))</x:f>
        <x:v>Open</x:v>
      </x:c>
      <x:c r="O722" s="14"/>
      <x:c r="P722" s="14" t="n">
        <x:f>IF(701&gt;$B$10,"",MATCH(701,Tasks!$S$10:$S$1941,0))</x:f>
        <x:v>1065</x:v>
      </x:c>
    </x:row>
    <x:row r="723" ht="58" customHeight="1">
      <x:c r="B723" s="86" t="str">
        <x:f>IF($P723="","",INDEX(Tasks!$B$10:$B$1941,$P723))</x:f>
        <x:v>Cycle 3</x:v>
      </x:c>
      <x:c r="C723" s="86" t="str">
        <x:f>IF($P723="","",INDEX(Tasks!$C$10:$C$1941,$P723))</x:f>
        <x:v>Phase 2</x:v>
      </x:c>
      <x:c r="D723" s="86" t="str">
        <x:f>IF($P723="","",INDEX(Tasks!$D$10:$D$1941,$P723))</x:f>
        <x:v>Auto</x:v>
      </x:c>
      <x:c r="E723" s="86"/>
      <x:c r="F723" s="86" t="str">
        <x:f>IF($P723="","",INDEX(Tasks!$E$10:$E$1941,$P723))</x:f>
        <x:v>Research &amp; Analysis</x:v>
      </x:c>
      <x:c r="G723" s="86"/>
      <x:c r="H723" s="14" t="str">
        <x:f>IF($P723="","",INDEX(Tasks!$F$10:$F$1941,$P723)&amp;CHAR(10)&amp;INDEX(Tasks!$G$10:$G$1941,$P723))</x:f>
        <x:v>RA.AU.2.7
Complete Negative Testing</x:v>
      </x:c>
      <x:c r="I723" s="14"/>
      <x:c r="J723" s="14"/>
      <x:c r="K723" s="14"/>
      <x:c r="L723" s="86" t="str">
        <x:f>IF($P723="","",INDEX(Tasks!$N$10:$N$1941,$P723))</x:f>
        <x:v>Not started</x:v>
      </x:c>
      <x:c r="M723" s="87" t="n">
        <x:f>IF($P723="","",INDEX(Tasks!$J$10:$J$1941,$P723))</x:f>
        <x:v>46295</x:v>
      </x:c>
      <x:c r="N723" s="85" t="str">
        <x:f>IF($P723="","",HYPERLINK("#'"&amp;INDEX(Tasks!$T$10:$T$1941,$P723)&amp;"'!A"&amp;INDEX(Tasks!$U$10:$U$1941,$P723),"Open"))</x:f>
        <x:v>Open</x:v>
      </x:c>
      <x:c r="O723" s="14"/>
      <x:c r="P723" s="14" t="n">
        <x:f>IF(702&gt;$B$10,"",MATCH(702,Tasks!$S$10:$S$1941,0))</x:f>
        <x:v>1066</x:v>
      </x:c>
    </x:row>
    <x:row r="724" ht="58" customHeight="1">
      <x:c r="B724" s="86" t="str">
        <x:f>IF($P724="","",INDEX(Tasks!$B$10:$B$1941,$P724))</x:f>
        <x:v>Cycle 3</x:v>
      </x:c>
      <x:c r="C724" s="86" t="str">
        <x:f>IF($P724="","",INDEX(Tasks!$C$10:$C$1941,$P724))</x:f>
        <x:v>Phase 2</x:v>
      </x:c>
      <x:c r="D724" s="86" t="str">
        <x:f>IF($P724="","",INDEX(Tasks!$D$10:$D$1941,$P724))</x:f>
        <x:v>Auto</x:v>
      </x:c>
      <x:c r="E724" s="86"/>
      <x:c r="F724" s="86" t="str">
        <x:f>IF($P724="","",INDEX(Tasks!$E$10:$E$1941,$P724))</x:f>
        <x:v>Research &amp; Analysis</x:v>
      </x:c>
      <x:c r="G724" s="86"/>
      <x:c r="H724" s="14" t="str">
        <x:f>IF($P724="","",INDEX(Tasks!$F$10:$F$1941,$P724)&amp;CHAR(10)&amp;INDEX(Tasks!$G$10:$G$1941,$P724))</x:f>
        <x:v>RA.AU.2.8
Request additional data (as needed)</x:v>
      </x:c>
      <x:c r="I724" s="14"/>
      <x:c r="J724" s="14"/>
      <x:c r="K724" s="14"/>
      <x:c r="L724" s="86" t="str">
        <x:f>IF($P724="","",INDEX(Tasks!$N$10:$N$1941,$P724))</x:f>
        <x:v>Not started</x:v>
      </x:c>
      <x:c r="M724" s="87" t="n">
        <x:f>IF($P724="","",INDEX(Tasks!$J$10:$J$1941,$P724))</x:f>
        <x:v>46295</x:v>
      </x:c>
      <x:c r="N724" s="85" t="str">
        <x:f>IF($P724="","",HYPERLINK("#'"&amp;INDEX(Tasks!$T$10:$T$1941,$P724)&amp;"'!A"&amp;INDEX(Tasks!$U$10:$U$1941,$P724),"Open"))</x:f>
        <x:v>Open</x:v>
      </x:c>
      <x:c r="O724" s="14"/>
      <x:c r="P724" s="14" t="n">
        <x:f>IF(703&gt;$B$10,"",MATCH(703,Tasks!$S$10:$S$1941,0))</x:f>
        <x:v>1067</x:v>
      </x:c>
    </x:row>
    <x:row r="725" ht="58" customHeight="1">
      <x:c r="B725" s="86" t="str">
        <x:f>IF($P725="","",INDEX(Tasks!$B$10:$B$1941,$P725))</x:f>
        <x:v>Cycle 3</x:v>
      </x:c>
      <x:c r="C725" s="86" t="str">
        <x:f>IF($P725="","",INDEX(Tasks!$C$10:$C$1941,$P725))</x:f>
        <x:v>Phase 2</x:v>
      </x:c>
      <x:c r="D725" s="86" t="str">
        <x:f>IF($P725="","",INDEX(Tasks!$D$10:$D$1941,$P725))</x:f>
        <x:v>Auto</x:v>
      </x:c>
      <x:c r="E725" s="86"/>
      <x:c r="F725" s="86" t="str">
        <x:f>IF($P725="","",INDEX(Tasks!$E$10:$E$1941,$P725))</x:f>
        <x:v>Research &amp; Analysis</x:v>
      </x:c>
      <x:c r="G725" s="86"/>
      <x:c r="H725" s="14" t="str">
        <x:f>IF($P725="","",INDEX(Tasks!$F$10:$F$1941,$P725)&amp;CHAR(10)&amp;INDEX(Tasks!$G$10:$G$1941,$P725))</x:f>
        <x:v>RA.AU.2.9
Validate or disprove initial hypothesis assumptions</x:v>
      </x:c>
      <x:c r="I725" s="14"/>
      <x:c r="J725" s="14"/>
      <x:c r="K725" s="14"/>
      <x:c r="L725" s="86" t="str">
        <x:f>IF($P725="","",INDEX(Tasks!$N$10:$N$1941,$P725))</x:f>
        <x:v>Not started</x:v>
      </x:c>
      <x:c r="M725" s="87" t="n">
        <x:f>IF($P725="","",INDEX(Tasks!$J$10:$J$1941,$P725))</x:f>
        <x:v>46295</x:v>
      </x:c>
      <x:c r="N725" s="85" t="str">
        <x:f>IF($P725="","",HYPERLINK("#'"&amp;INDEX(Tasks!$T$10:$T$1941,$P725)&amp;"'!A"&amp;INDEX(Tasks!$U$10:$U$1941,$P725),"Open"))</x:f>
        <x:v>Open</x:v>
      </x:c>
      <x:c r="O725" s="14"/>
      <x:c r="P725" s="14" t="n">
        <x:f>IF(704&gt;$B$10,"",MATCH(704,Tasks!$S$10:$S$1941,0))</x:f>
        <x:v>1068</x:v>
      </x:c>
    </x:row>
    <x:row r="726" ht="58" customHeight="1">
      <x:c r="B726" s="86" t="str">
        <x:f>IF($P726="","",INDEX(Tasks!$B$10:$B$1941,$P726))</x:f>
        <x:v>Cycle 3</x:v>
      </x:c>
      <x:c r="C726" s="86" t="str">
        <x:f>IF($P726="","",INDEX(Tasks!$C$10:$C$1941,$P726))</x:f>
        <x:v>Phase 2</x:v>
      </x:c>
      <x:c r="D726" s="86" t="str">
        <x:f>IF($P726="","",INDEX(Tasks!$D$10:$D$1941,$P726))</x:f>
        <x:v>Auto</x:v>
      </x:c>
      <x:c r="E726" s="86"/>
      <x:c r="F726" s="86" t="str">
        <x:f>IF($P726="","",INDEX(Tasks!$E$10:$E$1941,$P726))</x:f>
        <x:v>Research &amp; Analysis</x:v>
      </x:c>
      <x:c r="G726" s="86"/>
      <x:c r="H726" s="14" t="str">
        <x:f>IF($P726="","",INDEX(Tasks!$F$10:$F$1941,$P726)&amp;CHAR(10)&amp;INDEX(Tasks!$G$10:$G$1941,$P726))</x:f>
        <x:v>RA.AU.2.10
Identify and confirm root cause</x:v>
      </x:c>
      <x:c r="I726" s="14"/>
      <x:c r="J726" s="14"/>
      <x:c r="K726" s="14"/>
      <x:c r="L726" s="86" t="str">
        <x:f>IF($P726="","",INDEX(Tasks!$N$10:$N$1941,$P726))</x:f>
        <x:v>Not started</x:v>
      </x:c>
      <x:c r="M726" s="87" t="n">
        <x:f>IF($P726="","",INDEX(Tasks!$J$10:$J$1941,$P726))</x:f>
        <x:v>46295</x:v>
      </x:c>
      <x:c r="N726" s="85" t="str">
        <x:f>IF($P726="","",HYPERLINK("#'"&amp;INDEX(Tasks!$T$10:$T$1941,$P726)&amp;"'!A"&amp;INDEX(Tasks!$U$10:$U$1941,$P726),"Open"))</x:f>
        <x:v>Open</x:v>
      </x:c>
      <x:c r="O726" s="14"/>
      <x:c r="P726" s="14" t="n">
        <x:f>IF(705&gt;$B$10,"",MATCH(705,Tasks!$S$10:$S$1941,0))</x:f>
        <x:v>1069</x:v>
      </x:c>
    </x:row>
    <x:row r="727" ht="58" customHeight="1">
      <x:c r="B727" s="86" t="str">
        <x:f>IF($P727="","",INDEX(Tasks!$B$10:$B$1941,$P727))</x:f>
        <x:v>Cycle 3</x:v>
      </x:c>
      <x:c r="C727" s="86" t="str">
        <x:f>IF($P727="","",INDEX(Tasks!$C$10:$C$1941,$P727))</x:f>
        <x:v>Phase 3</x:v>
      </x:c>
      <x:c r="D727" s="86" t="str">
        <x:f>IF($P727="","",INDEX(Tasks!$D$10:$D$1941,$P727))</x:f>
        <x:v>Auto</x:v>
      </x:c>
      <x:c r="E727" s="86"/>
      <x:c r="F727" s="86" t="str">
        <x:f>IF($P727="","",INDEX(Tasks!$E$10:$E$1941,$P727))</x:f>
        <x:v>Research &amp; Analysis</x:v>
      </x:c>
      <x:c r="G727" s="86"/>
      <x:c r="H727" s="14" t="str">
        <x:f>IF($P727="","",INDEX(Tasks!$F$10:$F$1941,$P727)&amp;CHAR(10)&amp;INDEX(Tasks!$G$10:$G$1941,$P727))</x:f>
        <x:v>RA.AU.3.1
Finalize results and supporting documentation</x:v>
      </x:c>
      <x:c r="I727" s="14"/>
      <x:c r="J727" s="14"/>
      <x:c r="K727" s="14"/>
      <x:c r="L727" s="86" t="str">
        <x:f>IF($P727="","",INDEX(Tasks!$N$10:$N$1941,$P727))</x:f>
        <x:v>Not started</x:v>
      </x:c>
      <x:c r="M727" s="87" t="n">
        <x:f>IF($P727="","",INDEX(Tasks!$J$10:$J$1941,$P727))</x:f>
        <x:v>46295</x:v>
      </x:c>
      <x:c r="N727" s="85" t="str">
        <x:f>IF($P727="","",HYPERLINK("#'"&amp;INDEX(Tasks!$T$10:$T$1941,$P727)&amp;"'!A"&amp;INDEX(Tasks!$U$10:$U$1941,$P727),"Open"))</x:f>
        <x:v>Open</x:v>
      </x:c>
      <x:c r="O727" s="14"/>
      <x:c r="P727" s="14" t="n">
        <x:f>IF(706&gt;$B$10,"",MATCH(706,Tasks!$S$10:$S$1941,0))</x:f>
        <x:v>1070</x:v>
      </x:c>
    </x:row>
    <x:row r="728" ht="58" customHeight="1">
      <x:c r="B728" s="86" t="str">
        <x:f>IF($P728="","",INDEX(Tasks!$B$10:$B$1941,$P728))</x:f>
        <x:v>Cycle 3</x:v>
      </x:c>
      <x:c r="C728" s="86" t="str">
        <x:f>IF($P728="","",INDEX(Tasks!$C$10:$C$1941,$P728))</x:f>
        <x:v>Phase 3</x:v>
      </x:c>
      <x:c r="D728" s="86" t="str">
        <x:f>IF($P728="","",INDEX(Tasks!$D$10:$D$1941,$P728))</x:f>
        <x:v>Auto</x:v>
      </x:c>
      <x:c r="E728" s="86"/>
      <x:c r="F728" s="86" t="str">
        <x:f>IF($P728="","",INDEX(Tasks!$E$10:$E$1941,$P728))</x:f>
        <x:v>Research &amp; Analysis</x:v>
      </x:c>
      <x:c r="G728" s="86"/>
      <x:c r="H728" s="14" t="str">
        <x:f>IF($P728="","",INDEX(Tasks!$F$10:$F$1941,$P728)&amp;CHAR(10)&amp;INDEX(Tasks!$G$10:$G$1941,$P728))</x:f>
        <x:v>RA.AU.3.2
Maintain and update the evidence package prior to handoff to D&amp;I</x:v>
      </x:c>
      <x:c r="I728" s="14"/>
      <x:c r="J728" s="14"/>
      <x:c r="K728" s="14"/>
      <x:c r="L728" s="86" t="str">
        <x:f>IF($P728="","",INDEX(Tasks!$N$10:$N$1941,$P728))</x:f>
        <x:v>Not started</x:v>
      </x:c>
      <x:c r="M728" s="87" t="n">
        <x:f>IF($P728="","",INDEX(Tasks!$J$10:$J$1941,$P728))</x:f>
        <x:v>46295</x:v>
      </x:c>
      <x:c r="N728" s="85" t="str">
        <x:f>IF($P728="","",HYPERLINK("#'"&amp;INDEX(Tasks!$T$10:$T$1941,$P728)&amp;"'!A"&amp;INDEX(Tasks!$U$10:$U$1941,$P728),"Open"))</x:f>
        <x:v>Open</x:v>
      </x:c>
      <x:c r="O728" s="14"/>
      <x:c r="P728" s="14" t="n">
        <x:f>IF(707&gt;$B$10,"",MATCH(707,Tasks!$S$10:$S$1941,0))</x:f>
        <x:v>1071</x:v>
      </x:c>
    </x:row>
    <x:row r="729" ht="58" customHeight="1">
      <x:c r="B729" s="86" t="str">
        <x:f>IF($P729="","",INDEX(Tasks!$B$10:$B$1941,$P729))</x:f>
        <x:v>Cycle 3</x:v>
      </x:c>
      <x:c r="C729" s="86" t="str">
        <x:f>IF($P729="","",INDEX(Tasks!$C$10:$C$1941,$P729))</x:f>
        <x:v>Phase 3</x:v>
      </x:c>
      <x:c r="D729" s="86" t="str">
        <x:f>IF($P729="","",INDEX(Tasks!$D$10:$D$1941,$P729))</x:f>
        <x:v>Auto</x:v>
      </x:c>
      <x:c r="E729" s="86"/>
      <x:c r="F729" s="86" t="str">
        <x:f>IF($P729="","",INDEX(Tasks!$E$10:$E$1941,$P729))</x:f>
        <x:v>Research &amp; Analysis</x:v>
      </x:c>
      <x:c r="G729" s="86"/>
      <x:c r="H729" s="14" t="str">
        <x:f>IF($P729="","",INDEX(Tasks!$F$10:$F$1941,$P729)&amp;CHAR(10)&amp;INDEX(Tasks!$G$10:$G$1941,$P729))</x:f>
        <x:v>RA.AU.3.3
Address any outstanding questions or requests from D&amp;I</x:v>
      </x:c>
      <x:c r="I729" s="14"/>
      <x:c r="J729" s="14"/>
      <x:c r="K729" s="14"/>
      <x:c r="L729" s="86" t="str">
        <x:f>IF($P729="","",INDEX(Tasks!$N$10:$N$1941,$P729))</x:f>
        <x:v>Not started</x:v>
      </x:c>
      <x:c r="M729" s="87" t="n">
        <x:f>IF($P729="","",INDEX(Tasks!$J$10:$J$1941,$P729))</x:f>
        <x:v>46295</x:v>
      </x:c>
      <x:c r="N729" s="85" t="str">
        <x:f>IF($P729="","",HYPERLINK("#'"&amp;INDEX(Tasks!$T$10:$T$1941,$P729)&amp;"'!A"&amp;INDEX(Tasks!$U$10:$U$1941,$P729),"Open"))</x:f>
        <x:v>Open</x:v>
      </x:c>
      <x:c r="O729" s="14"/>
      <x:c r="P729" s="14" t="n">
        <x:f>IF(708&gt;$B$10,"",MATCH(708,Tasks!$S$10:$S$1941,0))</x:f>
        <x:v>1072</x:v>
      </x:c>
    </x:row>
    <x:row r="730" ht="58" customHeight="1">
      <x:c r="B730" s="86" t="str">
        <x:f>IF($P730="","",INDEX(Tasks!$B$10:$B$1941,$P730))</x:f>
        <x:v>Cycle 3</x:v>
      </x:c>
      <x:c r="C730" s="86" t="str">
        <x:f>IF($P730="","",INDEX(Tasks!$C$10:$C$1941,$P730))</x:f>
        <x:v>Phase 3</x:v>
      </x:c>
      <x:c r="D730" s="86" t="str">
        <x:f>IF($P730="","",INDEX(Tasks!$D$10:$D$1941,$P730))</x:f>
        <x:v>Auto</x:v>
      </x:c>
      <x:c r="E730" s="86"/>
      <x:c r="F730" s="86" t="str">
        <x:f>IF($P730="","",INDEX(Tasks!$E$10:$E$1941,$P730))</x:f>
        <x:v>Research &amp; Analysis</x:v>
      </x:c>
      <x:c r="G730" s="86"/>
      <x:c r="H730" s="14" t="str">
        <x:f>IF($P730="","",INDEX(Tasks!$F$10:$F$1941,$P730)&amp;CHAR(10)&amp;INDEX(Tasks!$G$10:$G$1941,$P730))</x:f>
        <x:v>RA.AU.3.4
Attend Forum meeting with D&amp;I to assist with answering stakeholder questions (as needed)</x:v>
      </x:c>
      <x:c r="I730" s="14"/>
      <x:c r="J730" s="14"/>
      <x:c r="K730" s="14"/>
      <x:c r="L730" s="86" t="str">
        <x:f>IF($P730="","",INDEX(Tasks!$N$10:$N$1941,$P730))</x:f>
        <x:v>Not started</x:v>
      </x:c>
      <x:c r="M730" s="87" t="str">
        <x:f>IF($P730="","",INDEX(Tasks!$J$10:$J$1941,$P730))</x:f>
      </x:c>
      <x:c r="N730" s="85" t="str">
        <x:f>IF($P730="","",HYPERLINK("#'"&amp;INDEX(Tasks!$T$10:$T$1941,$P730)&amp;"'!A"&amp;INDEX(Tasks!$U$10:$U$1941,$P730),"Open"))</x:f>
        <x:v>Open</x:v>
      </x:c>
      <x:c r="O730" s="14"/>
      <x:c r="P730" s="14" t="n">
        <x:f>IF(709&gt;$B$10,"",MATCH(709,Tasks!$S$10:$S$1941,0))</x:f>
        <x:v>1073</x:v>
      </x:c>
    </x:row>
    <x:row r="731" ht="58" customHeight="1">
      <x:c r="B731" s="86" t="str">
        <x:f>IF($P731="","",INDEX(Tasks!$B$10:$B$1941,$P731))</x:f>
        <x:v>Cycle 3</x:v>
      </x:c>
      <x:c r="C731" s="86" t="str">
        <x:f>IF($P731="","",INDEX(Tasks!$C$10:$C$1941,$P731))</x:f>
        <x:v>Phase 1</x:v>
      </x:c>
      <x:c r="D731" s="86" t="str">
        <x:f>IF($P731="","",INDEX(Tasks!$D$10:$D$1941,$P731))</x:f>
        <x:v>Cards</x:v>
      </x:c>
      <x:c r="E731" s="86"/>
      <x:c r="F731" s="86" t="str">
        <x:f>IF($P731="","",INDEX(Tasks!$E$10:$E$1941,$P731))</x:f>
        <x:v>Research &amp; Analysis</x:v>
      </x:c>
      <x:c r="G731" s="86"/>
      <x:c r="H731" s="14" t="str">
        <x:f>IF($P731="","",INDEX(Tasks!$F$10:$F$1941,$P731)&amp;CHAR(10)&amp;INDEX(Tasks!$G$10:$G$1941,$P731))</x:f>
        <x:v>RA.CA.1.1
Begin Research process 2 weeks prior to Cycle start</x:v>
      </x:c>
      <x:c r="I731" s="14"/>
      <x:c r="J731" s="14"/>
      <x:c r="K731" s="14"/>
      <x:c r="L731" s="86" t="str">
        <x:f>IF($P731="","",INDEX(Tasks!$N$10:$N$1941,$P731))</x:f>
        <x:v>Not started</x:v>
      </x:c>
      <x:c r="M731" s="87" t="n">
        <x:f>IF($P731="","",INDEX(Tasks!$J$10:$J$1941,$P731))</x:f>
        <x:v>46190</x:v>
      </x:c>
      <x:c r="N731" s="85" t="str">
        <x:f>IF($P731="","",HYPERLINK("#'"&amp;INDEX(Tasks!$T$10:$T$1941,$P731)&amp;"'!A"&amp;INDEX(Tasks!$U$10:$U$1941,$P731),"Open"))</x:f>
        <x:v>Open</x:v>
      </x:c>
      <x:c r="O731" s="14"/>
      <x:c r="P731" s="14" t="n">
        <x:f>IF(710&gt;$B$10,"",MATCH(710,Tasks!$S$10:$S$1941,0))</x:f>
        <x:v>1074</x:v>
      </x:c>
    </x:row>
    <x:row r="732" ht="58" customHeight="1">
      <x:c r="B732" s="86" t="str">
        <x:f>IF($P732="","",INDEX(Tasks!$B$10:$B$1941,$P732))</x:f>
        <x:v>Cycle 3</x:v>
      </x:c>
      <x:c r="C732" s="86" t="str">
        <x:f>IF($P732="","",INDEX(Tasks!$C$10:$C$1941,$P732))</x:f>
        <x:v>Phase 1</x:v>
      </x:c>
      <x:c r="D732" s="86" t="str">
        <x:f>IF($P732="","",INDEX(Tasks!$D$10:$D$1941,$P732))</x:f>
        <x:v>Cards</x:v>
      </x:c>
      <x:c r="E732" s="86"/>
      <x:c r="F732" s="86" t="str">
        <x:f>IF($P732="","",INDEX(Tasks!$E$10:$E$1941,$P732))</x:f>
        <x:v>Research &amp; Analysis</x:v>
      </x:c>
      <x:c r="G732" s="86"/>
      <x:c r="H732" s="14" t="str">
        <x:f>IF($P732="","",INDEX(Tasks!$F$10:$F$1941,$P732)&amp;CHAR(10)&amp;INDEX(Tasks!$G$10:$G$1941,$P732))</x:f>
        <x:v>RA.CA.1.2
Conduct initial assessment of each topic recommendation from SharePoint list</x:v>
      </x:c>
      <x:c r="I732" s="14"/>
      <x:c r="J732" s="14"/>
      <x:c r="K732" s="14"/>
      <x:c r="L732" s="86" t="str">
        <x:f>IF($P732="","",INDEX(Tasks!$N$10:$N$1941,$P732))</x:f>
        <x:v>Not started</x:v>
      </x:c>
      <x:c r="M732" s="87" t="n">
        <x:f>IF($P732="","",INDEX(Tasks!$J$10:$J$1941,$P732))</x:f>
        <x:v>46295</x:v>
      </x:c>
      <x:c r="N732" s="85" t="str">
        <x:f>IF($P732="","",HYPERLINK("#'"&amp;INDEX(Tasks!$T$10:$T$1941,$P732)&amp;"'!A"&amp;INDEX(Tasks!$U$10:$U$1941,$P732),"Open"))</x:f>
        <x:v>Open</x:v>
      </x:c>
      <x:c r="O732" s="14"/>
      <x:c r="P732" s="14" t="n">
        <x:f>IF(711&gt;$B$10,"",MATCH(711,Tasks!$S$10:$S$1941,0))</x:f>
        <x:v>1075</x:v>
      </x:c>
    </x:row>
    <x:row r="733" ht="58" customHeight="1">
      <x:c r="B733" s="86" t="str">
        <x:f>IF($P733="","",INDEX(Tasks!$B$10:$B$1941,$P733))</x:f>
        <x:v>Cycle 3</x:v>
      </x:c>
      <x:c r="C733" s="86" t="str">
        <x:f>IF($P733="","",INDEX(Tasks!$C$10:$C$1941,$P733))</x:f>
        <x:v>Phase 1</x:v>
      </x:c>
      <x:c r="D733" s="86" t="str">
        <x:f>IF($P733="","",INDEX(Tasks!$D$10:$D$1941,$P733))</x:f>
        <x:v>Cards</x:v>
      </x:c>
      <x:c r="E733" s="86"/>
      <x:c r="F733" s="86" t="str">
        <x:f>IF($P733="","",INDEX(Tasks!$E$10:$E$1941,$P733))</x:f>
        <x:v>Research &amp; Analysis</x:v>
      </x:c>
      <x:c r="G733" s="86"/>
      <x:c r="H733" s="14" t="str">
        <x:f>IF($P733="","",INDEX(Tasks!$F$10:$F$1941,$P733)&amp;CHAR(10)&amp;INDEX(Tasks!$G$10:$G$1941,$P733))</x:f>
        <x:v>RA.CA.1.3
Identify best topic for Cycle</x:v>
      </x:c>
      <x:c r="I733" s="14"/>
      <x:c r="J733" s="14"/>
      <x:c r="K733" s="14"/>
      <x:c r="L733" s="86" t="str">
        <x:f>IF($P733="","",INDEX(Tasks!$N$10:$N$1941,$P733))</x:f>
        <x:v>Not started</x:v>
      </x:c>
      <x:c r="M733" s="87" t="n">
        <x:f>IF($P733="","",INDEX(Tasks!$J$10:$J$1941,$P733))</x:f>
        <x:v>46295</x:v>
      </x:c>
      <x:c r="N733" s="85" t="str">
        <x:f>IF($P733="","",HYPERLINK("#'"&amp;INDEX(Tasks!$T$10:$T$1941,$P733)&amp;"'!A"&amp;INDEX(Tasks!$U$10:$U$1941,$P733),"Open"))</x:f>
        <x:v>Open</x:v>
      </x:c>
      <x:c r="O733" s="14"/>
      <x:c r="P733" s="14" t="n">
        <x:f>IF(712&gt;$B$10,"",MATCH(712,Tasks!$S$10:$S$1941,0))</x:f>
        <x:v>1076</x:v>
      </x:c>
    </x:row>
    <x:row r="734" ht="58" customHeight="1">
      <x:c r="B734" s="86" t="str">
        <x:f>IF($P734="","",INDEX(Tasks!$B$10:$B$1941,$P734))</x:f>
        <x:v>Cycle 3</x:v>
      </x:c>
      <x:c r="C734" s="86" t="str">
        <x:f>IF($P734="","",INDEX(Tasks!$C$10:$C$1941,$P734))</x:f>
        <x:v>Phase 1</x:v>
      </x:c>
      <x:c r="D734" s="86" t="str">
        <x:f>IF($P734="","",INDEX(Tasks!$D$10:$D$1941,$P734))</x:f>
        <x:v>Cards</x:v>
      </x:c>
      <x:c r="E734" s="86"/>
      <x:c r="F734" s="86" t="str">
        <x:f>IF($P734="","",INDEX(Tasks!$E$10:$E$1941,$P734))</x:f>
        <x:v>Research &amp; Analysis</x:v>
      </x:c>
      <x:c r="G734" s="86"/>
      <x:c r="H734" s="14" t="str">
        <x:f>IF($P734="","",INDEX(Tasks!$F$10:$F$1941,$P734)&amp;CHAR(10)&amp;INDEX(Tasks!$G$10:$G$1941,$P734))</x:f>
        <x:v>RA.CA.1.4
Identify backup topic for Cycle</x:v>
      </x:c>
      <x:c r="I734" s="14"/>
      <x:c r="J734" s="14"/>
      <x:c r="K734" s="14"/>
      <x:c r="L734" s="86" t="str">
        <x:f>IF($P734="","",INDEX(Tasks!$N$10:$N$1941,$P734))</x:f>
        <x:v>Not started</x:v>
      </x:c>
      <x:c r="M734" s="87" t="n">
        <x:f>IF($P734="","",INDEX(Tasks!$J$10:$J$1941,$P734))</x:f>
        <x:v>46295</x:v>
      </x:c>
      <x:c r="N734" s="85" t="str">
        <x:f>IF($P734="","",HYPERLINK("#'"&amp;INDEX(Tasks!$T$10:$T$1941,$P734)&amp;"'!A"&amp;INDEX(Tasks!$U$10:$U$1941,$P734),"Open"))</x:f>
        <x:v>Open</x:v>
      </x:c>
      <x:c r="O734" s="14"/>
      <x:c r="P734" s="14" t="n">
        <x:f>IF(713&gt;$B$10,"",MATCH(713,Tasks!$S$10:$S$1941,0))</x:f>
        <x:v>1077</x:v>
      </x:c>
    </x:row>
    <x:row r="735" ht="58" customHeight="1">
      <x:c r="B735" s="86" t="str">
        <x:f>IF($P735="","",INDEX(Tasks!$B$10:$B$1941,$P735))</x:f>
        <x:v>Cycle 3</x:v>
      </x:c>
      <x:c r="C735" s="86" t="str">
        <x:f>IF($P735="","",INDEX(Tasks!$C$10:$C$1941,$P735))</x:f>
        <x:v>Phase 1</x:v>
      </x:c>
      <x:c r="D735" s="86" t="str">
        <x:f>IF($P735="","",INDEX(Tasks!$D$10:$D$1941,$P735))</x:f>
        <x:v>Cards</x:v>
      </x:c>
      <x:c r="E735" s="86"/>
      <x:c r="F735" s="86" t="str">
        <x:f>IF($P735="","",INDEX(Tasks!$E$10:$E$1941,$P735))</x:f>
        <x:v>Research &amp; Analysis</x:v>
      </x:c>
      <x:c r="G735" s="86"/>
      <x:c r="H735" s="14" t="str">
        <x:f>IF($P735="","",INDEX(Tasks!$F$10:$F$1941,$P735)&amp;CHAR(10)&amp;INDEX(Tasks!$G$10:$G$1941,$P735))</x:f>
        <x:v>RA.CA.1.5
Schedule topic approval meeting with D&amp;I and management</x:v>
      </x:c>
      <x:c r="I735" s="14"/>
      <x:c r="J735" s="14"/>
      <x:c r="K735" s="14"/>
      <x:c r="L735" s="86" t="str">
        <x:f>IF($P735="","",INDEX(Tasks!$N$10:$N$1941,$P735))</x:f>
        <x:v>Not started</x:v>
      </x:c>
      <x:c r="M735" s="87" t="n">
        <x:f>IF($P735="","",INDEX(Tasks!$J$10:$J$1941,$P735))</x:f>
        <x:v>46295</x:v>
      </x:c>
      <x:c r="N735" s="85" t="str">
        <x:f>IF($P735="","",HYPERLINK("#'"&amp;INDEX(Tasks!$T$10:$T$1941,$P735)&amp;"'!A"&amp;INDEX(Tasks!$U$10:$U$1941,$P735),"Open"))</x:f>
        <x:v>Open</x:v>
      </x:c>
      <x:c r="O735" s="14"/>
      <x:c r="P735" s="14" t="n">
        <x:f>IF(714&gt;$B$10,"",MATCH(714,Tasks!$S$10:$S$1941,0))</x:f>
        <x:v>1078</x:v>
      </x:c>
    </x:row>
    <x:row r="736" ht="58" customHeight="1">
      <x:c r="B736" s="86" t="str">
        <x:f>IF($P736="","",INDEX(Tasks!$B$10:$B$1941,$P736))</x:f>
        <x:v>Cycle 3</x:v>
      </x:c>
      <x:c r="C736" s="86" t="str">
        <x:f>IF($P736="","",INDEX(Tasks!$C$10:$C$1941,$P736))</x:f>
        <x:v>Phase 1</x:v>
      </x:c>
      <x:c r="D736" s="86" t="str">
        <x:f>IF($P736="","",INDEX(Tasks!$D$10:$D$1941,$P736))</x:f>
        <x:v>Cards</x:v>
      </x:c>
      <x:c r="E736" s="86"/>
      <x:c r="F736" s="86" t="str">
        <x:f>IF($P736="","",INDEX(Tasks!$E$10:$E$1941,$P736))</x:f>
        <x:v>Research &amp; Analysis</x:v>
      </x:c>
      <x:c r="G736" s="86"/>
      <x:c r="H736" s="14" t="str">
        <x:f>IF($P736="","",INDEX(Tasks!$F$10:$F$1941,$P736)&amp;CHAR(10)&amp;INDEX(Tasks!$G$10:$G$1941,$P736))</x:f>
        <x:v>RA.CA.1.6
Present recommended topic to D&amp;I and management for approval</x:v>
      </x:c>
      <x:c r="I736" s="14"/>
      <x:c r="J736" s="14"/>
      <x:c r="K736" s="14"/>
      <x:c r="L736" s="86" t="str">
        <x:f>IF($P736="","",INDEX(Tasks!$N$10:$N$1941,$P736))</x:f>
        <x:v>Not started</x:v>
      </x:c>
      <x:c r="M736" s="87" t="n">
        <x:f>IF($P736="","",INDEX(Tasks!$J$10:$J$1941,$P736))</x:f>
        <x:v>46295</x:v>
      </x:c>
      <x:c r="N736" s="85" t="str">
        <x:f>IF($P736="","",HYPERLINK("#'"&amp;INDEX(Tasks!$T$10:$T$1941,$P736)&amp;"'!A"&amp;INDEX(Tasks!$U$10:$U$1941,$P736),"Open"))</x:f>
        <x:v>Open</x:v>
      </x:c>
      <x:c r="O736" s="14"/>
      <x:c r="P736" s="14" t="n">
        <x:f>IF(715&gt;$B$10,"",MATCH(715,Tasks!$S$10:$S$1941,0))</x:f>
        <x:v>1079</x:v>
      </x:c>
    </x:row>
    <x:row r="737" ht="58" customHeight="1">
      <x:c r="B737" s="86" t="str">
        <x:f>IF($P737="","",INDEX(Tasks!$B$10:$B$1941,$P737))</x:f>
        <x:v>Cycle 3</x:v>
      </x:c>
      <x:c r="C737" s="86" t="str">
        <x:f>IF($P737="","",INDEX(Tasks!$C$10:$C$1941,$P737))</x:f>
        <x:v>Phase 1</x:v>
      </x:c>
      <x:c r="D737" s="86" t="str">
        <x:f>IF($P737="","",INDEX(Tasks!$D$10:$D$1941,$P737))</x:f>
        <x:v>Cards</x:v>
      </x:c>
      <x:c r="E737" s="86"/>
      <x:c r="F737" s="86" t="str">
        <x:f>IF($P737="","",INDEX(Tasks!$E$10:$E$1941,$P737))</x:f>
        <x:v>Research &amp; Analysis</x:v>
      </x:c>
      <x:c r="G737" s="86"/>
      <x:c r="H737" s="14" t="str">
        <x:f>IF($P737="","",INDEX(Tasks!$F$10:$F$1941,$P737)&amp;CHAR(10)&amp;INDEX(Tasks!$G$10:$G$1941,$P737))</x:f>
        <x:v>RA.CA.1.7
Obtain formal topic selection approval from management via SharePoint</x:v>
      </x:c>
      <x:c r="I737" s="14"/>
      <x:c r="J737" s="14"/>
      <x:c r="K737" s="14"/>
      <x:c r="L737" s="86" t="str">
        <x:f>IF($P737="","",INDEX(Tasks!$N$10:$N$1941,$P737))</x:f>
        <x:v>Not started</x:v>
      </x:c>
      <x:c r="M737" s="87" t="n">
        <x:f>IF($P737="","",INDEX(Tasks!$J$10:$J$1941,$P737))</x:f>
        <x:v>46295</x:v>
      </x:c>
      <x:c r="N737" s="85" t="str">
        <x:f>IF($P737="","",HYPERLINK("#'"&amp;INDEX(Tasks!$T$10:$T$1941,$P737)&amp;"'!A"&amp;INDEX(Tasks!$U$10:$U$1941,$P737),"Open"))</x:f>
        <x:v>Open</x:v>
      </x:c>
      <x:c r="O737" s="14"/>
      <x:c r="P737" s="14" t="n">
        <x:f>IF(716&gt;$B$10,"",MATCH(716,Tasks!$S$10:$S$1941,0))</x:f>
        <x:v>1080</x:v>
      </x:c>
    </x:row>
    <x:row r="738" ht="58" customHeight="1">
      <x:c r="B738" s="86" t="str">
        <x:f>IF($P738="","",INDEX(Tasks!$B$10:$B$1941,$P738))</x:f>
        <x:v>Cycle 3</x:v>
      </x:c>
      <x:c r="C738" s="86" t="str">
        <x:f>IF($P738="","",INDEX(Tasks!$C$10:$C$1941,$P738))</x:f>
        <x:v>Phase 1</x:v>
      </x:c>
      <x:c r="D738" s="86" t="str">
        <x:f>IF($P738="","",INDEX(Tasks!$D$10:$D$1941,$P738))</x:f>
        <x:v>Cards</x:v>
      </x:c>
      <x:c r="E738" s="86"/>
      <x:c r="F738" s="86" t="str">
        <x:f>IF($P738="","",INDEX(Tasks!$E$10:$E$1941,$P738))</x:f>
        <x:v>Research &amp; Analysis</x:v>
      </x:c>
      <x:c r="G738" s="86"/>
      <x:c r="H738" s="14" t="str">
        <x:f>IF($P738="","",INDEX(Tasks!$F$10:$F$1941,$P738)&amp;CHAR(10)&amp;INDEX(Tasks!$G$10:$G$1941,$P738))</x:f>
        <x:v>RA.CA.1.8
Socialize topic selection with product owners and subject matter experts (if known)</x:v>
      </x:c>
      <x:c r="I738" s="14"/>
      <x:c r="J738" s="14"/>
      <x:c r="K738" s="14"/>
      <x:c r="L738" s="86" t="str">
        <x:f>IF($P738="","",INDEX(Tasks!$N$10:$N$1941,$P738))</x:f>
        <x:v>Not started</x:v>
      </x:c>
      <x:c r="M738" s="87" t="n">
        <x:f>IF($P738="","",INDEX(Tasks!$J$10:$J$1941,$P738))</x:f>
        <x:v>46295</x:v>
      </x:c>
      <x:c r="N738" s="85" t="str">
        <x:f>IF($P738="","",HYPERLINK("#'"&amp;INDEX(Tasks!$T$10:$T$1941,$P738)&amp;"'!A"&amp;INDEX(Tasks!$U$10:$U$1941,$P738),"Open"))</x:f>
        <x:v>Open</x:v>
      </x:c>
      <x:c r="O738" s="14"/>
      <x:c r="P738" s="14" t="n">
        <x:f>IF(717&gt;$B$10,"",MATCH(717,Tasks!$S$10:$S$1941,0))</x:f>
        <x:v>1081</x:v>
      </x:c>
    </x:row>
    <x:row r="739" ht="58" customHeight="1">
      <x:c r="B739" s="86" t="str">
        <x:f>IF($P739="","",INDEX(Tasks!$B$10:$B$1941,$P739))</x:f>
        <x:v>Cycle 3</x:v>
      </x:c>
      <x:c r="C739" s="86" t="str">
        <x:f>IF($P739="","",INDEX(Tasks!$C$10:$C$1941,$P739))</x:f>
        <x:v>Phase 1</x:v>
      </x:c>
      <x:c r="D739" s="86" t="str">
        <x:f>IF($P739="","",INDEX(Tasks!$D$10:$D$1941,$P739))</x:f>
        <x:v>Cards</x:v>
      </x:c>
      <x:c r="E739" s="86"/>
      <x:c r="F739" s="86" t="str">
        <x:f>IF($P739="","",INDEX(Tasks!$E$10:$E$1941,$P739))</x:f>
        <x:v>Research &amp; Analysis</x:v>
      </x:c>
      <x:c r="G739" s="86"/>
      <x:c r="H739" s="14" t="str">
        <x:f>IF($P739="","",INDEX(Tasks!$F$10:$F$1941,$P739)&amp;CHAR(10)&amp;INDEX(Tasks!$G$10:$G$1941,$P739))</x:f>
        <x:v>RA.CA.1.9
Assign topic researchers</x:v>
      </x:c>
      <x:c r="I739" s="14"/>
      <x:c r="J739" s="14"/>
      <x:c r="K739" s="14"/>
      <x:c r="L739" s="86" t="str">
        <x:f>IF($P739="","",INDEX(Tasks!$N$10:$N$1941,$P739))</x:f>
        <x:v>Not started</x:v>
      </x:c>
      <x:c r="M739" s="87" t="n">
        <x:f>IF($P739="","",INDEX(Tasks!$J$10:$J$1941,$P739))</x:f>
        <x:v>46295</x:v>
      </x:c>
      <x:c r="N739" s="85" t="str">
        <x:f>IF($P739="","",HYPERLINK("#'"&amp;INDEX(Tasks!$T$10:$T$1941,$P739)&amp;"'!A"&amp;INDEX(Tasks!$U$10:$U$1941,$P739),"Open"))</x:f>
        <x:v>Open</x:v>
      </x:c>
      <x:c r="O739" s="14"/>
      <x:c r="P739" s="14" t="n">
        <x:f>IF(718&gt;$B$10,"",MATCH(718,Tasks!$S$10:$S$1941,0))</x:f>
        <x:v>1082</x:v>
      </x:c>
    </x:row>
    <x:row r="740" ht="58" customHeight="1">
      <x:c r="B740" s="86" t="str">
        <x:f>IF($P740="","",INDEX(Tasks!$B$10:$B$1941,$P740))</x:f>
        <x:v>Cycle 3</x:v>
      </x:c>
      <x:c r="C740" s="86" t="str">
        <x:f>IF($P740="","",INDEX(Tasks!$C$10:$C$1941,$P740))</x:f>
        <x:v>Phase 2</x:v>
      </x:c>
      <x:c r="D740" s="86" t="str">
        <x:f>IF($P740="","",INDEX(Tasks!$D$10:$D$1941,$P740))</x:f>
        <x:v>Cards</x:v>
      </x:c>
      <x:c r="E740" s="86"/>
      <x:c r="F740" s="86" t="str">
        <x:f>IF($P740="","",INDEX(Tasks!$E$10:$E$1941,$P740))</x:f>
        <x:v>Research &amp; Analysis</x:v>
      </x:c>
      <x:c r="G740" s="86"/>
      <x:c r="H740" s="14" t="str">
        <x:f>IF($P740="","",INDEX(Tasks!$F$10:$F$1941,$P740)&amp;CHAR(10)&amp;INDEX(Tasks!$G$10:$G$1941,$P740))</x:f>
        <x:v>RA.CA.2.1
Review data sources</x:v>
      </x:c>
      <x:c r="I740" s="14"/>
      <x:c r="J740" s="14"/>
      <x:c r="K740" s="14"/>
      <x:c r="L740" s="86" t="str">
        <x:f>IF($P740="","",INDEX(Tasks!$N$10:$N$1941,$P740))</x:f>
        <x:v>Not started</x:v>
      </x:c>
      <x:c r="M740" s="87" t="n">
        <x:f>IF($P740="","",INDEX(Tasks!$J$10:$J$1941,$P740))</x:f>
        <x:v>46295</x:v>
      </x:c>
      <x:c r="N740" s="85" t="str">
        <x:f>IF($P740="","",HYPERLINK("#'"&amp;INDEX(Tasks!$T$10:$T$1941,$P740)&amp;"'!A"&amp;INDEX(Tasks!$U$10:$U$1941,$P740),"Open"))</x:f>
        <x:v>Open</x:v>
      </x:c>
      <x:c r="O740" s="14"/>
      <x:c r="P740" s="14" t="n">
        <x:f>IF(719&gt;$B$10,"",MATCH(719,Tasks!$S$10:$S$1941,0))</x:f>
        <x:v>1083</x:v>
      </x:c>
    </x:row>
    <x:row r="741" ht="58" customHeight="1">
      <x:c r="B741" s="86" t="str">
        <x:f>IF($P741="","",INDEX(Tasks!$B$10:$B$1941,$P741))</x:f>
        <x:v>Cycle 3</x:v>
      </x:c>
      <x:c r="C741" s="86" t="str">
        <x:f>IF($P741="","",INDEX(Tasks!$C$10:$C$1941,$P741))</x:f>
        <x:v>Phase 2</x:v>
      </x:c>
      <x:c r="D741" s="86" t="str">
        <x:f>IF($P741="","",INDEX(Tasks!$D$10:$D$1941,$P741))</x:f>
        <x:v>Cards</x:v>
      </x:c>
      <x:c r="E741" s="86"/>
      <x:c r="F741" s="86" t="str">
        <x:f>IF($P741="","",INDEX(Tasks!$E$10:$E$1941,$P741))</x:f>
        <x:v>Research &amp; Analysis</x:v>
      </x:c>
      <x:c r="G741" s="86"/>
      <x:c r="H741" s="14" t="str">
        <x:f>IF($P741="","",INDEX(Tasks!$F$10:$F$1941,$P741)&amp;CHAR(10)&amp;INDEX(Tasks!$G$10:$G$1941,$P741))</x:f>
        <x:v>RA.CA.2.2
Review relevant policies and procedures</x:v>
      </x:c>
      <x:c r="I741" s="14"/>
      <x:c r="J741" s="14"/>
      <x:c r="K741" s="14"/>
      <x:c r="L741" s="86" t="str">
        <x:f>IF($P741="","",INDEX(Tasks!$N$10:$N$1941,$P741))</x:f>
        <x:v>Not started</x:v>
      </x:c>
      <x:c r="M741" s="87" t="n">
        <x:f>IF($P741="","",INDEX(Tasks!$J$10:$J$1941,$P741))</x:f>
        <x:v>46295</x:v>
      </x:c>
      <x:c r="N741" s="85" t="str">
        <x:f>IF($P741="","",HYPERLINK("#'"&amp;INDEX(Tasks!$T$10:$T$1941,$P741)&amp;"'!A"&amp;INDEX(Tasks!$U$10:$U$1941,$P741),"Open"))</x:f>
        <x:v>Open</x:v>
      </x:c>
      <x:c r="O741" s="14"/>
      <x:c r="P741" s="14" t="n">
        <x:f>IF(720&gt;$B$10,"",MATCH(720,Tasks!$S$10:$S$1941,0))</x:f>
        <x:v>1084</x:v>
      </x:c>
    </x:row>
    <x:row r="742" ht="58" customHeight="1">
      <x:c r="B742" s="86" t="str">
        <x:f>IF($P742="","",INDEX(Tasks!$B$10:$B$1941,$P742))</x:f>
        <x:v>Cycle 3</x:v>
      </x:c>
      <x:c r="C742" s="86" t="str">
        <x:f>IF($P742="","",INDEX(Tasks!$C$10:$C$1941,$P742))</x:f>
        <x:v>Phase 2</x:v>
      </x:c>
      <x:c r="D742" s="86" t="str">
        <x:f>IF($P742="","",INDEX(Tasks!$D$10:$D$1941,$P742))</x:f>
        <x:v>Cards</x:v>
      </x:c>
      <x:c r="E742" s="86"/>
      <x:c r="F742" s="86" t="str">
        <x:f>IF($P742="","",INDEX(Tasks!$E$10:$E$1941,$P742))</x:f>
        <x:v>Research &amp; Analysis</x:v>
      </x:c>
      <x:c r="G742" s="86"/>
      <x:c r="H742" s="14" t="str">
        <x:f>IF($P742="","",INDEX(Tasks!$F$10:$F$1941,$P742)&amp;CHAR(10)&amp;INDEX(Tasks!$G$10:$G$1941,$P742))</x:f>
        <x:v>RA.CA.2.3
Meet with SMEs to gain business insight and clarify questions</x:v>
      </x:c>
      <x:c r="I742" s="14"/>
      <x:c r="J742" s="14"/>
      <x:c r="K742" s="14"/>
      <x:c r="L742" s="86" t="str">
        <x:f>IF($P742="","",INDEX(Tasks!$N$10:$N$1941,$P742))</x:f>
        <x:v>Not started</x:v>
      </x:c>
      <x:c r="M742" s="87" t="n">
        <x:f>IF($P742="","",INDEX(Tasks!$J$10:$J$1941,$P742))</x:f>
        <x:v>46295</x:v>
      </x:c>
      <x:c r="N742" s="85" t="str">
        <x:f>IF($P742="","",HYPERLINK("#'"&amp;INDEX(Tasks!$T$10:$T$1941,$P742)&amp;"'!A"&amp;INDEX(Tasks!$U$10:$U$1941,$P742),"Open"))</x:f>
        <x:v>Open</x:v>
      </x:c>
      <x:c r="O742" s="14"/>
      <x:c r="P742" s="14" t="n">
        <x:f>IF(721&gt;$B$10,"",MATCH(721,Tasks!$S$10:$S$1941,0))</x:f>
        <x:v>1085</x:v>
      </x:c>
    </x:row>
    <x:row r="743" ht="58" customHeight="1">
      <x:c r="B743" s="86" t="str">
        <x:f>IF($P743="","",INDEX(Tasks!$B$10:$B$1941,$P743))</x:f>
        <x:v>Cycle 3</x:v>
      </x:c>
      <x:c r="C743" s="86" t="str">
        <x:f>IF($P743="","",INDEX(Tasks!$C$10:$C$1941,$P743))</x:f>
        <x:v>Phase 2</x:v>
      </x:c>
      <x:c r="D743" s="86" t="str">
        <x:f>IF($P743="","",INDEX(Tasks!$D$10:$D$1941,$P743))</x:f>
        <x:v>Cards</x:v>
      </x:c>
      <x:c r="E743" s="86"/>
      <x:c r="F743" s="86" t="str">
        <x:f>IF($P743="","",INDEX(Tasks!$E$10:$E$1941,$P743))</x:f>
        <x:v>Research &amp; Analysis</x:v>
      </x:c>
      <x:c r="G743" s="86"/>
      <x:c r="H743" s="14" t="str">
        <x:f>IF($P743="","",INDEX(Tasks!$F$10:$F$1941,$P743)&amp;CHAR(10)&amp;INDEX(Tasks!$G$10:$G$1941,$P743))</x:f>
        <x:v>RA.CA.2.4
Establish and maintain a recurring meeting with D&amp;I to discuss Cycle progress</x:v>
      </x:c>
      <x:c r="I743" s="14"/>
      <x:c r="J743" s="14"/>
      <x:c r="K743" s="14"/>
      <x:c r="L743" s="86" t="str">
        <x:f>IF($P743="","",INDEX(Tasks!$N$10:$N$1941,$P743))</x:f>
        <x:v>Not started</x:v>
      </x:c>
      <x:c r="M743" s="87" t="n">
        <x:f>IF($P743="","",INDEX(Tasks!$J$10:$J$1941,$P743))</x:f>
        <x:v>46295</x:v>
      </x:c>
      <x:c r="N743" s="85" t="str">
        <x:f>IF($P743="","",HYPERLINK("#'"&amp;INDEX(Tasks!$T$10:$T$1941,$P743)&amp;"'!A"&amp;INDEX(Tasks!$U$10:$U$1941,$P743),"Open"))</x:f>
        <x:v>Open</x:v>
      </x:c>
      <x:c r="O743" s="14"/>
      <x:c r="P743" s="14" t="n">
        <x:f>IF(722&gt;$B$10,"",MATCH(722,Tasks!$S$10:$S$1941,0))</x:f>
        <x:v>1086</x:v>
      </x:c>
    </x:row>
    <x:row r="744" ht="58" customHeight="1">
      <x:c r="B744" s="86" t="str">
        <x:f>IF($P744="","",INDEX(Tasks!$B$10:$B$1941,$P744))</x:f>
        <x:v>Cycle 3</x:v>
      </x:c>
      <x:c r="C744" s="86" t="str">
        <x:f>IF($P744="","",INDEX(Tasks!$C$10:$C$1941,$P744))</x:f>
        <x:v>Phase 2</x:v>
      </x:c>
      <x:c r="D744" s="86" t="str">
        <x:f>IF($P744="","",INDEX(Tasks!$D$10:$D$1941,$P744))</x:f>
        <x:v>Cards</x:v>
      </x:c>
      <x:c r="E744" s="86"/>
      <x:c r="F744" s="86" t="str">
        <x:f>IF($P744="","",INDEX(Tasks!$E$10:$E$1941,$P744))</x:f>
        <x:v>Research &amp; Analysis</x:v>
      </x:c>
      <x:c r="G744" s="86"/>
      <x:c r="H744" s="14" t="str">
        <x:f>IF($P744="","",INDEX(Tasks!$F$10:$F$1941,$P744)&amp;CHAR(10)&amp;INDEX(Tasks!$G$10:$G$1941,$P744))</x:f>
        <x:v>RA.CA.2.5
Perform data testing and sampling</x:v>
      </x:c>
      <x:c r="I744" s="14"/>
      <x:c r="J744" s="14"/>
      <x:c r="K744" s="14"/>
      <x:c r="L744" s="86" t="str">
        <x:f>IF($P744="","",INDEX(Tasks!$N$10:$N$1941,$P744))</x:f>
        <x:v>Not started</x:v>
      </x:c>
      <x:c r="M744" s="87" t="n">
        <x:f>IF($P744="","",INDEX(Tasks!$J$10:$J$1941,$P744))</x:f>
        <x:v>46295</x:v>
      </x:c>
      <x:c r="N744" s="85" t="str">
        <x:f>IF($P744="","",HYPERLINK("#'"&amp;INDEX(Tasks!$T$10:$T$1941,$P744)&amp;"'!A"&amp;INDEX(Tasks!$U$10:$U$1941,$P744),"Open"))</x:f>
        <x:v>Open</x:v>
      </x:c>
      <x:c r="O744" s="14"/>
      <x:c r="P744" s="14" t="n">
        <x:f>IF(723&gt;$B$10,"",MATCH(723,Tasks!$S$10:$S$1941,0))</x:f>
        <x:v>1087</x:v>
      </x:c>
    </x:row>
    <x:row r="745" ht="58" customHeight="1">
      <x:c r="B745" s="86" t="str">
        <x:f>IF($P745="","",INDEX(Tasks!$B$10:$B$1941,$P745))</x:f>
        <x:v>Cycle 3</x:v>
      </x:c>
      <x:c r="C745" s="86" t="str">
        <x:f>IF($P745="","",INDEX(Tasks!$C$10:$C$1941,$P745))</x:f>
        <x:v>Phase 2</x:v>
      </x:c>
      <x:c r="D745" s="86" t="str">
        <x:f>IF($P745="","",INDEX(Tasks!$D$10:$D$1941,$P745))</x:f>
        <x:v>Cards</x:v>
      </x:c>
      <x:c r="E745" s="86"/>
      <x:c r="F745" s="86" t="str">
        <x:f>IF($P745="","",INDEX(Tasks!$E$10:$E$1941,$P745))</x:f>
        <x:v>Research &amp; Analysis</x:v>
      </x:c>
      <x:c r="G745" s="86"/>
      <x:c r="H745" s="14" t="str">
        <x:f>IF($P745="","",INDEX(Tasks!$F$10:$F$1941,$P745)&amp;CHAR(10)&amp;INDEX(Tasks!$G$10:$G$1941,$P745))</x:f>
        <x:v>RA.CA.2.6
Complete Positive Testing</x:v>
      </x:c>
      <x:c r="I745" s="14"/>
      <x:c r="J745" s="14"/>
      <x:c r="K745" s="14"/>
      <x:c r="L745" s="86" t="str">
        <x:f>IF($P745="","",INDEX(Tasks!$N$10:$N$1941,$P745))</x:f>
        <x:v>Not started</x:v>
      </x:c>
      <x:c r="M745" s="87" t="n">
        <x:f>IF($P745="","",INDEX(Tasks!$J$10:$J$1941,$P745))</x:f>
        <x:v>46295</x:v>
      </x:c>
      <x:c r="N745" s="85" t="str">
        <x:f>IF($P745="","",HYPERLINK("#'"&amp;INDEX(Tasks!$T$10:$T$1941,$P745)&amp;"'!A"&amp;INDEX(Tasks!$U$10:$U$1941,$P745),"Open"))</x:f>
        <x:v>Open</x:v>
      </x:c>
      <x:c r="O745" s="14"/>
      <x:c r="P745" s="14" t="n">
        <x:f>IF(724&gt;$B$10,"",MATCH(724,Tasks!$S$10:$S$1941,0))</x:f>
        <x:v>1088</x:v>
      </x:c>
    </x:row>
    <x:row r="746" ht="58" customHeight="1">
      <x:c r="B746" s="86" t="str">
        <x:f>IF($P746="","",INDEX(Tasks!$B$10:$B$1941,$P746))</x:f>
        <x:v>Cycle 3</x:v>
      </x:c>
      <x:c r="C746" s="86" t="str">
        <x:f>IF($P746="","",INDEX(Tasks!$C$10:$C$1941,$P746))</x:f>
        <x:v>Phase 2</x:v>
      </x:c>
      <x:c r="D746" s="86" t="str">
        <x:f>IF($P746="","",INDEX(Tasks!$D$10:$D$1941,$P746))</x:f>
        <x:v>Cards</x:v>
      </x:c>
      <x:c r="E746" s="86"/>
      <x:c r="F746" s="86" t="str">
        <x:f>IF($P746="","",INDEX(Tasks!$E$10:$E$1941,$P746))</x:f>
        <x:v>Research &amp; Analysis</x:v>
      </x:c>
      <x:c r="G746" s="86"/>
      <x:c r="H746" s="14" t="str">
        <x:f>IF($P746="","",INDEX(Tasks!$F$10:$F$1941,$P746)&amp;CHAR(10)&amp;INDEX(Tasks!$G$10:$G$1941,$P746))</x:f>
        <x:v>RA.CA.2.7
Complete Negative Testing</x:v>
      </x:c>
      <x:c r="I746" s="14"/>
      <x:c r="J746" s="14"/>
      <x:c r="K746" s="14"/>
      <x:c r="L746" s="86" t="str">
        <x:f>IF($P746="","",INDEX(Tasks!$N$10:$N$1941,$P746))</x:f>
        <x:v>Not started</x:v>
      </x:c>
      <x:c r="M746" s="87" t="n">
        <x:f>IF($P746="","",INDEX(Tasks!$J$10:$J$1941,$P746))</x:f>
        <x:v>46295</x:v>
      </x:c>
      <x:c r="N746" s="85" t="str">
        <x:f>IF($P746="","",HYPERLINK("#'"&amp;INDEX(Tasks!$T$10:$T$1941,$P746)&amp;"'!A"&amp;INDEX(Tasks!$U$10:$U$1941,$P746),"Open"))</x:f>
        <x:v>Open</x:v>
      </x:c>
      <x:c r="O746" s="14"/>
      <x:c r="P746" s="14" t="n">
        <x:f>IF(725&gt;$B$10,"",MATCH(725,Tasks!$S$10:$S$1941,0))</x:f>
        <x:v>1089</x:v>
      </x:c>
    </x:row>
    <x:row r="747" ht="58" customHeight="1">
      <x:c r="B747" s="86" t="str">
        <x:f>IF($P747="","",INDEX(Tasks!$B$10:$B$1941,$P747))</x:f>
        <x:v>Cycle 3</x:v>
      </x:c>
      <x:c r="C747" s="86" t="str">
        <x:f>IF($P747="","",INDEX(Tasks!$C$10:$C$1941,$P747))</x:f>
        <x:v>Phase 2</x:v>
      </x:c>
      <x:c r="D747" s="86" t="str">
        <x:f>IF($P747="","",INDEX(Tasks!$D$10:$D$1941,$P747))</x:f>
        <x:v>Cards</x:v>
      </x:c>
      <x:c r="E747" s="86"/>
      <x:c r="F747" s="86" t="str">
        <x:f>IF($P747="","",INDEX(Tasks!$E$10:$E$1941,$P747))</x:f>
        <x:v>Research &amp; Analysis</x:v>
      </x:c>
      <x:c r="G747" s="86"/>
      <x:c r="H747" s="14" t="str">
        <x:f>IF($P747="","",INDEX(Tasks!$F$10:$F$1941,$P747)&amp;CHAR(10)&amp;INDEX(Tasks!$G$10:$G$1941,$P747))</x:f>
        <x:v>RA.CA.2.8
Request additional data (as needed)</x:v>
      </x:c>
      <x:c r="I747" s="14"/>
      <x:c r="J747" s="14"/>
      <x:c r="K747" s="14"/>
      <x:c r="L747" s="86" t="str">
        <x:f>IF($P747="","",INDEX(Tasks!$N$10:$N$1941,$P747))</x:f>
        <x:v>Not started</x:v>
      </x:c>
      <x:c r="M747" s="87" t="n">
        <x:f>IF($P747="","",INDEX(Tasks!$J$10:$J$1941,$P747))</x:f>
        <x:v>46295</x:v>
      </x:c>
      <x:c r="N747" s="85" t="str">
        <x:f>IF($P747="","",HYPERLINK("#'"&amp;INDEX(Tasks!$T$10:$T$1941,$P747)&amp;"'!A"&amp;INDEX(Tasks!$U$10:$U$1941,$P747),"Open"))</x:f>
        <x:v>Open</x:v>
      </x:c>
      <x:c r="O747" s="14"/>
      <x:c r="P747" s="14" t="n">
        <x:f>IF(726&gt;$B$10,"",MATCH(726,Tasks!$S$10:$S$1941,0))</x:f>
        <x:v>1090</x:v>
      </x:c>
    </x:row>
    <x:row r="748" ht="58" customHeight="1">
      <x:c r="B748" s="86" t="str">
        <x:f>IF($P748="","",INDEX(Tasks!$B$10:$B$1941,$P748))</x:f>
        <x:v>Cycle 3</x:v>
      </x:c>
      <x:c r="C748" s="86" t="str">
        <x:f>IF($P748="","",INDEX(Tasks!$C$10:$C$1941,$P748))</x:f>
        <x:v>Phase 2</x:v>
      </x:c>
      <x:c r="D748" s="86" t="str">
        <x:f>IF($P748="","",INDEX(Tasks!$D$10:$D$1941,$P748))</x:f>
        <x:v>Cards</x:v>
      </x:c>
      <x:c r="E748" s="86"/>
      <x:c r="F748" s="86" t="str">
        <x:f>IF($P748="","",INDEX(Tasks!$E$10:$E$1941,$P748))</x:f>
        <x:v>Research &amp; Analysis</x:v>
      </x:c>
      <x:c r="G748" s="86"/>
      <x:c r="H748" s="14" t="str">
        <x:f>IF($P748="","",INDEX(Tasks!$F$10:$F$1941,$P748)&amp;CHAR(10)&amp;INDEX(Tasks!$G$10:$G$1941,$P748))</x:f>
        <x:v>RA.CA.2.9
Validate or disprove initial hypothesis assumptions</x:v>
      </x:c>
      <x:c r="I748" s="14"/>
      <x:c r="J748" s="14"/>
      <x:c r="K748" s="14"/>
      <x:c r="L748" s="86" t="str">
        <x:f>IF($P748="","",INDEX(Tasks!$N$10:$N$1941,$P748))</x:f>
        <x:v>Not started</x:v>
      </x:c>
      <x:c r="M748" s="87" t="n">
        <x:f>IF($P748="","",INDEX(Tasks!$J$10:$J$1941,$P748))</x:f>
        <x:v>46295</x:v>
      </x:c>
      <x:c r="N748" s="85" t="str">
        <x:f>IF($P748="","",HYPERLINK("#'"&amp;INDEX(Tasks!$T$10:$T$1941,$P748)&amp;"'!A"&amp;INDEX(Tasks!$U$10:$U$1941,$P748),"Open"))</x:f>
        <x:v>Open</x:v>
      </x:c>
      <x:c r="O748" s="14"/>
      <x:c r="P748" s="14" t="n">
        <x:f>IF(727&gt;$B$10,"",MATCH(727,Tasks!$S$10:$S$1941,0))</x:f>
        <x:v>1091</x:v>
      </x:c>
    </x:row>
    <x:row r="749" ht="58" customHeight="1">
      <x:c r="B749" s="86" t="str">
        <x:f>IF($P749="","",INDEX(Tasks!$B$10:$B$1941,$P749))</x:f>
        <x:v>Cycle 3</x:v>
      </x:c>
      <x:c r="C749" s="86" t="str">
        <x:f>IF($P749="","",INDEX(Tasks!$C$10:$C$1941,$P749))</x:f>
        <x:v>Phase 2</x:v>
      </x:c>
      <x:c r="D749" s="86" t="str">
        <x:f>IF($P749="","",INDEX(Tasks!$D$10:$D$1941,$P749))</x:f>
        <x:v>Cards</x:v>
      </x:c>
      <x:c r="E749" s="86"/>
      <x:c r="F749" s="86" t="str">
        <x:f>IF($P749="","",INDEX(Tasks!$E$10:$E$1941,$P749))</x:f>
        <x:v>Research &amp; Analysis</x:v>
      </x:c>
      <x:c r="G749" s="86"/>
      <x:c r="H749" s="14" t="str">
        <x:f>IF($P749="","",INDEX(Tasks!$F$10:$F$1941,$P749)&amp;CHAR(10)&amp;INDEX(Tasks!$G$10:$G$1941,$P749))</x:f>
        <x:v>RA.CA.2.10
Identify and confirm root cause</x:v>
      </x:c>
      <x:c r="I749" s="14"/>
      <x:c r="J749" s="14"/>
      <x:c r="K749" s="14"/>
      <x:c r="L749" s="86" t="str">
        <x:f>IF($P749="","",INDEX(Tasks!$N$10:$N$1941,$P749))</x:f>
        <x:v>Not started</x:v>
      </x:c>
      <x:c r="M749" s="87" t="n">
        <x:f>IF($P749="","",INDEX(Tasks!$J$10:$J$1941,$P749))</x:f>
        <x:v>46295</x:v>
      </x:c>
      <x:c r="N749" s="85" t="str">
        <x:f>IF($P749="","",HYPERLINK("#'"&amp;INDEX(Tasks!$T$10:$T$1941,$P749)&amp;"'!A"&amp;INDEX(Tasks!$U$10:$U$1941,$P749),"Open"))</x:f>
        <x:v>Open</x:v>
      </x:c>
      <x:c r="O749" s="14"/>
      <x:c r="P749" s="14" t="n">
        <x:f>IF(728&gt;$B$10,"",MATCH(728,Tasks!$S$10:$S$1941,0))</x:f>
        <x:v>1092</x:v>
      </x:c>
    </x:row>
    <x:row r="750" ht="58" customHeight="1">
      <x:c r="B750" s="86" t="str">
        <x:f>IF($P750="","",INDEX(Tasks!$B$10:$B$1941,$P750))</x:f>
        <x:v>Cycle 3</x:v>
      </x:c>
      <x:c r="C750" s="86" t="str">
        <x:f>IF($P750="","",INDEX(Tasks!$C$10:$C$1941,$P750))</x:f>
        <x:v>Phase 3</x:v>
      </x:c>
      <x:c r="D750" s="86" t="str">
        <x:f>IF($P750="","",INDEX(Tasks!$D$10:$D$1941,$P750))</x:f>
        <x:v>Cards</x:v>
      </x:c>
      <x:c r="E750" s="86"/>
      <x:c r="F750" s="86" t="str">
        <x:f>IF($P750="","",INDEX(Tasks!$E$10:$E$1941,$P750))</x:f>
        <x:v>Research &amp; Analysis</x:v>
      </x:c>
      <x:c r="G750" s="86"/>
      <x:c r="H750" s="14" t="str">
        <x:f>IF($P750="","",INDEX(Tasks!$F$10:$F$1941,$P750)&amp;CHAR(10)&amp;INDEX(Tasks!$G$10:$G$1941,$P750))</x:f>
        <x:v>RA.CA.3.1
Finalize results and supporting documentation</x:v>
      </x:c>
      <x:c r="I750" s="14"/>
      <x:c r="J750" s="14"/>
      <x:c r="K750" s="14"/>
      <x:c r="L750" s="86" t="str">
        <x:f>IF($P750="","",INDEX(Tasks!$N$10:$N$1941,$P750))</x:f>
        <x:v>Not started</x:v>
      </x:c>
      <x:c r="M750" s="87" t="n">
        <x:f>IF($P750="","",INDEX(Tasks!$J$10:$J$1941,$P750))</x:f>
        <x:v>46295</x:v>
      </x:c>
      <x:c r="N750" s="85" t="str">
        <x:f>IF($P750="","",HYPERLINK("#'"&amp;INDEX(Tasks!$T$10:$T$1941,$P750)&amp;"'!A"&amp;INDEX(Tasks!$U$10:$U$1941,$P750),"Open"))</x:f>
        <x:v>Open</x:v>
      </x:c>
      <x:c r="O750" s="14"/>
      <x:c r="P750" s="14" t="n">
        <x:f>IF(729&gt;$B$10,"",MATCH(729,Tasks!$S$10:$S$1941,0))</x:f>
        <x:v>1093</x:v>
      </x:c>
    </x:row>
    <x:row r="751" ht="58" customHeight="1">
      <x:c r="B751" s="86" t="str">
        <x:f>IF($P751="","",INDEX(Tasks!$B$10:$B$1941,$P751))</x:f>
        <x:v>Cycle 3</x:v>
      </x:c>
      <x:c r="C751" s="86" t="str">
        <x:f>IF($P751="","",INDEX(Tasks!$C$10:$C$1941,$P751))</x:f>
        <x:v>Phase 3</x:v>
      </x:c>
      <x:c r="D751" s="86" t="str">
        <x:f>IF($P751="","",INDEX(Tasks!$D$10:$D$1941,$P751))</x:f>
        <x:v>Cards</x:v>
      </x:c>
      <x:c r="E751" s="86"/>
      <x:c r="F751" s="86" t="str">
        <x:f>IF($P751="","",INDEX(Tasks!$E$10:$E$1941,$P751))</x:f>
        <x:v>Research &amp; Analysis</x:v>
      </x:c>
      <x:c r="G751" s="86"/>
      <x:c r="H751" s="14" t="str">
        <x:f>IF($P751="","",INDEX(Tasks!$F$10:$F$1941,$P751)&amp;CHAR(10)&amp;INDEX(Tasks!$G$10:$G$1941,$P751))</x:f>
        <x:v>RA.CA.3.2
Maintain and update the evidence package prior to handoff to D&amp;I</x:v>
      </x:c>
      <x:c r="I751" s="14"/>
      <x:c r="J751" s="14"/>
      <x:c r="K751" s="14"/>
      <x:c r="L751" s="86" t="str">
        <x:f>IF($P751="","",INDEX(Tasks!$N$10:$N$1941,$P751))</x:f>
        <x:v>Not started</x:v>
      </x:c>
      <x:c r="M751" s="87" t="n">
        <x:f>IF($P751="","",INDEX(Tasks!$J$10:$J$1941,$P751))</x:f>
        <x:v>46295</x:v>
      </x:c>
      <x:c r="N751" s="85" t="str">
        <x:f>IF($P751="","",HYPERLINK("#'"&amp;INDEX(Tasks!$T$10:$T$1941,$P751)&amp;"'!A"&amp;INDEX(Tasks!$U$10:$U$1941,$P751),"Open"))</x:f>
        <x:v>Open</x:v>
      </x:c>
      <x:c r="O751" s="14"/>
      <x:c r="P751" s="14" t="n">
        <x:f>IF(730&gt;$B$10,"",MATCH(730,Tasks!$S$10:$S$1941,0))</x:f>
        <x:v>1094</x:v>
      </x:c>
    </x:row>
    <x:row r="752" ht="58" customHeight="1">
      <x:c r="B752" s="86" t="str">
        <x:f>IF($P752="","",INDEX(Tasks!$B$10:$B$1941,$P752))</x:f>
        <x:v>Cycle 3</x:v>
      </x:c>
      <x:c r="C752" s="86" t="str">
        <x:f>IF($P752="","",INDEX(Tasks!$C$10:$C$1941,$P752))</x:f>
        <x:v>Phase 3</x:v>
      </x:c>
      <x:c r="D752" s="86" t="str">
        <x:f>IF($P752="","",INDEX(Tasks!$D$10:$D$1941,$P752))</x:f>
        <x:v>Cards</x:v>
      </x:c>
      <x:c r="E752" s="86"/>
      <x:c r="F752" s="86" t="str">
        <x:f>IF($P752="","",INDEX(Tasks!$E$10:$E$1941,$P752))</x:f>
        <x:v>Research &amp; Analysis</x:v>
      </x:c>
      <x:c r="G752" s="86"/>
      <x:c r="H752" s="14" t="str">
        <x:f>IF($P752="","",INDEX(Tasks!$F$10:$F$1941,$P752)&amp;CHAR(10)&amp;INDEX(Tasks!$G$10:$G$1941,$P752))</x:f>
        <x:v>RA.CA.3.3
Address any outstanding questions or requests from D&amp;I</x:v>
      </x:c>
      <x:c r="I752" s="14"/>
      <x:c r="J752" s="14"/>
      <x:c r="K752" s="14"/>
      <x:c r="L752" s="86" t="str">
        <x:f>IF($P752="","",INDEX(Tasks!$N$10:$N$1941,$P752))</x:f>
        <x:v>Not started</x:v>
      </x:c>
      <x:c r="M752" s="87" t="n">
        <x:f>IF($P752="","",INDEX(Tasks!$J$10:$J$1941,$P752))</x:f>
        <x:v>46295</x:v>
      </x:c>
      <x:c r="N752" s="85" t="str">
        <x:f>IF($P752="","",HYPERLINK("#'"&amp;INDEX(Tasks!$T$10:$T$1941,$P752)&amp;"'!A"&amp;INDEX(Tasks!$U$10:$U$1941,$P752),"Open"))</x:f>
        <x:v>Open</x:v>
      </x:c>
      <x:c r="O752" s="14"/>
      <x:c r="P752" s="14" t="n">
        <x:f>IF(731&gt;$B$10,"",MATCH(731,Tasks!$S$10:$S$1941,0))</x:f>
        <x:v>1095</x:v>
      </x:c>
    </x:row>
    <x:row r="753" ht="58" customHeight="1">
      <x:c r="B753" s="86" t="str">
        <x:f>IF($P753="","",INDEX(Tasks!$B$10:$B$1941,$P753))</x:f>
        <x:v>Cycle 3</x:v>
      </x:c>
      <x:c r="C753" s="86" t="str">
        <x:f>IF($P753="","",INDEX(Tasks!$C$10:$C$1941,$P753))</x:f>
        <x:v>Phase 3</x:v>
      </x:c>
      <x:c r="D753" s="86" t="str">
        <x:f>IF($P753="","",INDEX(Tasks!$D$10:$D$1941,$P753))</x:f>
        <x:v>Cards</x:v>
      </x:c>
      <x:c r="E753" s="86"/>
      <x:c r="F753" s="86" t="str">
        <x:f>IF($P753="","",INDEX(Tasks!$E$10:$E$1941,$P753))</x:f>
        <x:v>Research &amp; Analysis</x:v>
      </x:c>
      <x:c r="G753" s="86"/>
      <x:c r="H753" s="14" t="str">
        <x:f>IF($P753="","",INDEX(Tasks!$F$10:$F$1941,$P753)&amp;CHAR(10)&amp;INDEX(Tasks!$G$10:$G$1941,$P753))</x:f>
        <x:v>RA.CA.3.4
Attend Forum meeting with D&amp;I to assist with answering stakeholder questions (as needed)</x:v>
      </x:c>
      <x:c r="I753" s="14"/>
      <x:c r="J753" s="14"/>
      <x:c r="K753" s="14"/>
      <x:c r="L753" s="86" t="str">
        <x:f>IF($P753="","",INDEX(Tasks!$N$10:$N$1941,$P753))</x:f>
        <x:v>Not started</x:v>
      </x:c>
      <x:c r="M753" s="87" t="str">
        <x:f>IF($P753="","",INDEX(Tasks!$J$10:$J$1941,$P753))</x:f>
      </x:c>
      <x:c r="N753" s="85" t="str">
        <x:f>IF($P753="","",HYPERLINK("#'"&amp;INDEX(Tasks!$T$10:$T$1941,$P753)&amp;"'!A"&amp;INDEX(Tasks!$U$10:$U$1941,$P753),"Open"))</x:f>
        <x:v>Open</x:v>
      </x:c>
      <x:c r="O753" s="14"/>
      <x:c r="P753" s="14" t="n">
        <x:f>IF(732&gt;$B$10,"",MATCH(732,Tasks!$S$10:$S$1941,0))</x:f>
        <x:v>1096</x:v>
      </x:c>
    </x:row>
    <x:row r="754" ht="58" customHeight="1">
      <x:c r="B754" s="86" t="str">
        <x:f>IF($P754="","",INDEX(Tasks!$B$10:$B$1941,$P754))</x:f>
        <x:v>Cycle 3</x:v>
      </x:c>
      <x:c r="C754" s="86" t="str">
        <x:f>IF($P754="","",INDEX(Tasks!$C$10:$C$1941,$P754))</x:f>
        <x:v>Phase 1</x:v>
      </x:c>
      <x:c r="D754" s="86" t="str">
        <x:f>IF($P754="","",INDEX(Tasks!$D$10:$D$1941,$P754))</x:f>
        <x:v>CSBBO - Banking Ops</x:v>
      </x:c>
      <x:c r="E754" s="86"/>
      <x:c r="F754" s="86" t="str">
        <x:f>IF($P754="","",INDEX(Tasks!$E$10:$E$1941,$P754))</x:f>
        <x:v>Research &amp; Analysis</x:v>
      </x:c>
      <x:c r="G754" s="86"/>
      <x:c r="H754" s="14" t="str">
        <x:f>IF($P754="","",INDEX(Tasks!$F$10:$F$1941,$P754)&amp;CHAR(10)&amp;INDEX(Tasks!$G$10:$G$1941,$P754))</x:f>
        <x:v>RA.BO.1.1
Begin Research process 2 weeks prior to Cycle start</x:v>
      </x:c>
      <x:c r="I754" s="14"/>
      <x:c r="J754" s="14"/>
      <x:c r="K754" s="14"/>
      <x:c r="L754" s="86" t="str">
        <x:f>IF($P754="","",INDEX(Tasks!$N$10:$N$1941,$P754))</x:f>
        <x:v>Not started</x:v>
      </x:c>
      <x:c r="M754" s="87" t="n">
        <x:f>IF($P754="","",INDEX(Tasks!$J$10:$J$1941,$P754))</x:f>
        <x:v>46190</x:v>
      </x:c>
      <x:c r="N754" s="85" t="str">
        <x:f>IF($P754="","",HYPERLINK("#'"&amp;INDEX(Tasks!$T$10:$T$1941,$P754)&amp;"'!A"&amp;INDEX(Tasks!$U$10:$U$1941,$P754),"Open"))</x:f>
        <x:v>Open</x:v>
      </x:c>
      <x:c r="O754" s="14"/>
      <x:c r="P754" s="14" t="n">
        <x:f>IF(733&gt;$B$10,"",MATCH(733,Tasks!$S$10:$S$1941,0))</x:f>
        <x:v>1097</x:v>
      </x:c>
    </x:row>
    <x:row r="755" ht="58" customHeight="1">
      <x:c r="B755" s="86" t="str">
        <x:f>IF($P755="","",INDEX(Tasks!$B$10:$B$1941,$P755))</x:f>
        <x:v>Cycle 3</x:v>
      </x:c>
      <x:c r="C755" s="86" t="str">
        <x:f>IF($P755="","",INDEX(Tasks!$C$10:$C$1941,$P755))</x:f>
        <x:v>Phase 1</x:v>
      </x:c>
      <x:c r="D755" s="86" t="str">
        <x:f>IF($P755="","",INDEX(Tasks!$D$10:$D$1941,$P755))</x:f>
        <x:v>CSBBO - Banking Ops</x:v>
      </x:c>
      <x:c r="E755" s="86"/>
      <x:c r="F755" s="86" t="str">
        <x:f>IF($P755="","",INDEX(Tasks!$E$10:$E$1941,$P755))</x:f>
        <x:v>Research &amp; Analysis</x:v>
      </x:c>
      <x:c r="G755" s="86"/>
      <x:c r="H755" s="14" t="str">
        <x:f>IF($P755="","",INDEX(Tasks!$F$10:$F$1941,$P755)&amp;CHAR(10)&amp;INDEX(Tasks!$G$10:$G$1941,$P755))</x:f>
        <x:v>RA.BO.1.2
Conduct initial assessment of each topic recommendation from SharePoint list</x:v>
      </x:c>
      <x:c r="I755" s="14"/>
      <x:c r="J755" s="14"/>
      <x:c r="K755" s="14"/>
      <x:c r="L755" s="86" t="str">
        <x:f>IF($P755="","",INDEX(Tasks!$N$10:$N$1941,$P755))</x:f>
        <x:v>Not started</x:v>
      </x:c>
      <x:c r="M755" s="87" t="n">
        <x:f>IF($P755="","",INDEX(Tasks!$J$10:$J$1941,$P755))</x:f>
        <x:v>46295</x:v>
      </x:c>
      <x:c r="N755" s="85" t="str">
        <x:f>IF($P755="","",HYPERLINK("#'"&amp;INDEX(Tasks!$T$10:$T$1941,$P755)&amp;"'!A"&amp;INDEX(Tasks!$U$10:$U$1941,$P755),"Open"))</x:f>
        <x:v>Open</x:v>
      </x:c>
      <x:c r="O755" s="14"/>
      <x:c r="P755" s="14" t="n">
        <x:f>IF(734&gt;$B$10,"",MATCH(734,Tasks!$S$10:$S$1941,0))</x:f>
        <x:v>1098</x:v>
      </x:c>
    </x:row>
    <x:row r="756" ht="58" customHeight="1">
      <x:c r="B756" s="86" t="str">
        <x:f>IF($P756="","",INDEX(Tasks!$B$10:$B$1941,$P756))</x:f>
        <x:v>Cycle 3</x:v>
      </x:c>
      <x:c r="C756" s="86" t="str">
        <x:f>IF($P756="","",INDEX(Tasks!$C$10:$C$1941,$P756))</x:f>
        <x:v>Phase 1</x:v>
      </x:c>
      <x:c r="D756" s="86" t="str">
        <x:f>IF($P756="","",INDEX(Tasks!$D$10:$D$1941,$P756))</x:f>
        <x:v>CSBBO - Banking Ops</x:v>
      </x:c>
      <x:c r="E756" s="86"/>
      <x:c r="F756" s="86" t="str">
        <x:f>IF($P756="","",INDEX(Tasks!$E$10:$E$1941,$P756))</x:f>
        <x:v>Research &amp; Analysis</x:v>
      </x:c>
      <x:c r="G756" s="86"/>
      <x:c r="H756" s="14" t="str">
        <x:f>IF($P756="","",INDEX(Tasks!$F$10:$F$1941,$P756)&amp;CHAR(10)&amp;INDEX(Tasks!$G$10:$G$1941,$P756))</x:f>
        <x:v>RA.BO.1.3
Identify best topic for Cycle</x:v>
      </x:c>
      <x:c r="I756" s="14"/>
      <x:c r="J756" s="14"/>
      <x:c r="K756" s="14"/>
      <x:c r="L756" s="86" t="str">
        <x:f>IF($P756="","",INDEX(Tasks!$N$10:$N$1941,$P756))</x:f>
        <x:v>Not started</x:v>
      </x:c>
      <x:c r="M756" s="87" t="n">
        <x:f>IF($P756="","",INDEX(Tasks!$J$10:$J$1941,$P756))</x:f>
        <x:v>46295</x:v>
      </x:c>
      <x:c r="N756" s="85" t="str">
        <x:f>IF($P756="","",HYPERLINK("#'"&amp;INDEX(Tasks!$T$10:$T$1941,$P756)&amp;"'!A"&amp;INDEX(Tasks!$U$10:$U$1941,$P756),"Open"))</x:f>
        <x:v>Open</x:v>
      </x:c>
      <x:c r="O756" s="14"/>
      <x:c r="P756" s="14" t="n">
        <x:f>IF(735&gt;$B$10,"",MATCH(735,Tasks!$S$10:$S$1941,0))</x:f>
        <x:v>1099</x:v>
      </x:c>
    </x:row>
    <x:row r="757" ht="58" customHeight="1">
      <x:c r="B757" s="86" t="str">
        <x:f>IF($P757="","",INDEX(Tasks!$B$10:$B$1941,$P757))</x:f>
        <x:v>Cycle 3</x:v>
      </x:c>
      <x:c r="C757" s="86" t="str">
        <x:f>IF($P757="","",INDEX(Tasks!$C$10:$C$1941,$P757))</x:f>
        <x:v>Phase 1</x:v>
      </x:c>
      <x:c r="D757" s="86" t="str">
        <x:f>IF($P757="","",INDEX(Tasks!$D$10:$D$1941,$P757))</x:f>
        <x:v>CSBBO - Banking Ops</x:v>
      </x:c>
      <x:c r="E757" s="86"/>
      <x:c r="F757" s="86" t="str">
        <x:f>IF($P757="","",INDEX(Tasks!$E$10:$E$1941,$P757))</x:f>
        <x:v>Research &amp; Analysis</x:v>
      </x:c>
      <x:c r="G757" s="86"/>
      <x:c r="H757" s="14" t="str">
        <x:f>IF($P757="","",INDEX(Tasks!$F$10:$F$1941,$P757)&amp;CHAR(10)&amp;INDEX(Tasks!$G$10:$G$1941,$P757))</x:f>
        <x:v>RA.BO.1.4
Identify backup topic for Cycle</x:v>
      </x:c>
      <x:c r="I757" s="14"/>
      <x:c r="J757" s="14"/>
      <x:c r="K757" s="14"/>
      <x:c r="L757" s="86" t="str">
        <x:f>IF($P757="","",INDEX(Tasks!$N$10:$N$1941,$P757))</x:f>
        <x:v>Not started</x:v>
      </x:c>
      <x:c r="M757" s="87" t="n">
        <x:f>IF($P757="","",INDEX(Tasks!$J$10:$J$1941,$P757))</x:f>
        <x:v>46295</x:v>
      </x:c>
      <x:c r="N757" s="85" t="str">
        <x:f>IF($P757="","",HYPERLINK("#'"&amp;INDEX(Tasks!$T$10:$T$1941,$P757)&amp;"'!A"&amp;INDEX(Tasks!$U$10:$U$1941,$P757),"Open"))</x:f>
        <x:v>Open</x:v>
      </x:c>
      <x:c r="O757" s="14"/>
      <x:c r="P757" s="14" t="n">
        <x:f>IF(736&gt;$B$10,"",MATCH(736,Tasks!$S$10:$S$1941,0))</x:f>
        <x:v>1100</x:v>
      </x:c>
    </x:row>
    <x:row r="758" ht="58" customHeight="1">
      <x:c r="B758" s="86" t="str">
        <x:f>IF($P758="","",INDEX(Tasks!$B$10:$B$1941,$P758))</x:f>
        <x:v>Cycle 3</x:v>
      </x:c>
      <x:c r="C758" s="86" t="str">
        <x:f>IF($P758="","",INDEX(Tasks!$C$10:$C$1941,$P758))</x:f>
        <x:v>Phase 1</x:v>
      </x:c>
      <x:c r="D758" s="86" t="str">
        <x:f>IF($P758="","",INDEX(Tasks!$D$10:$D$1941,$P758))</x:f>
        <x:v>CSBBO - Banking Ops</x:v>
      </x:c>
      <x:c r="E758" s="86"/>
      <x:c r="F758" s="86" t="str">
        <x:f>IF($P758="","",INDEX(Tasks!$E$10:$E$1941,$P758))</x:f>
        <x:v>Research &amp; Analysis</x:v>
      </x:c>
      <x:c r="G758" s="86"/>
      <x:c r="H758" s="14" t="str">
        <x:f>IF($P758="","",INDEX(Tasks!$F$10:$F$1941,$P758)&amp;CHAR(10)&amp;INDEX(Tasks!$G$10:$G$1941,$P758))</x:f>
        <x:v>RA.BO.1.5
Schedule topic approval meeting with D&amp;I and management</x:v>
      </x:c>
      <x:c r="I758" s="14"/>
      <x:c r="J758" s="14"/>
      <x:c r="K758" s="14"/>
      <x:c r="L758" s="86" t="str">
        <x:f>IF($P758="","",INDEX(Tasks!$N$10:$N$1941,$P758))</x:f>
        <x:v>Not started</x:v>
      </x:c>
      <x:c r="M758" s="87" t="n">
        <x:f>IF($P758="","",INDEX(Tasks!$J$10:$J$1941,$P758))</x:f>
        <x:v>46295</x:v>
      </x:c>
      <x:c r="N758" s="85" t="str">
        <x:f>IF($P758="","",HYPERLINK("#'"&amp;INDEX(Tasks!$T$10:$T$1941,$P758)&amp;"'!A"&amp;INDEX(Tasks!$U$10:$U$1941,$P758),"Open"))</x:f>
        <x:v>Open</x:v>
      </x:c>
      <x:c r="O758" s="14"/>
      <x:c r="P758" s="14" t="n">
        <x:f>IF(737&gt;$B$10,"",MATCH(737,Tasks!$S$10:$S$1941,0))</x:f>
        <x:v>1101</x:v>
      </x:c>
    </x:row>
    <x:row r="759" ht="58" customHeight="1">
      <x:c r="B759" s="86" t="str">
        <x:f>IF($P759="","",INDEX(Tasks!$B$10:$B$1941,$P759))</x:f>
        <x:v>Cycle 3</x:v>
      </x:c>
      <x:c r="C759" s="86" t="str">
        <x:f>IF($P759="","",INDEX(Tasks!$C$10:$C$1941,$P759))</x:f>
        <x:v>Phase 1</x:v>
      </x:c>
      <x:c r="D759" s="86" t="str">
        <x:f>IF($P759="","",INDEX(Tasks!$D$10:$D$1941,$P759))</x:f>
        <x:v>CSBBO - Banking Ops</x:v>
      </x:c>
      <x:c r="E759" s="86"/>
      <x:c r="F759" s="86" t="str">
        <x:f>IF($P759="","",INDEX(Tasks!$E$10:$E$1941,$P759))</x:f>
        <x:v>Research &amp; Analysis</x:v>
      </x:c>
      <x:c r="G759" s="86"/>
      <x:c r="H759" s="14" t="str">
        <x:f>IF($P759="","",INDEX(Tasks!$F$10:$F$1941,$P759)&amp;CHAR(10)&amp;INDEX(Tasks!$G$10:$G$1941,$P759))</x:f>
        <x:v>RA.BO.1.6
Present recommended topic to D&amp;I and management for approval</x:v>
      </x:c>
      <x:c r="I759" s="14"/>
      <x:c r="J759" s="14"/>
      <x:c r="K759" s="14"/>
      <x:c r="L759" s="86" t="str">
        <x:f>IF($P759="","",INDEX(Tasks!$N$10:$N$1941,$P759))</x:f>
        <x:v>Not started</x:v>
      </x:c>
      <x:c r="M759" s="87" t="n">
        <x:f>IF($P759="","",INDEX(Tasks!$J$10:$J$1941,$P759))</x:f>
        <x:v>46295</x:v>
      </x:c>
      <x:c r="N759" s="85" t="str">
        <x:f>IF($P759="","",HYPERLINK("#'"&amp;INDEX(Tasks!$T$10:$T$1941,$P759)&amp;"'!A"&amp;INDEX(Tasks!$U$10:$U$1941,$P759),"Open"))</x:f>
        <x:v>Open</x:v>
      </x:c>
      <x:c r="O759" s="14"/>
      <x:c r="P759" s="14" t="n">
        <x:f>IF(738&gt;$B$10,"",MATCH(738,Tasks!$S$10:$S$1941,0))</x:f>
        <x:v>1102</x:v>
      </x:c>
    </x:row>
    <x:row r="760" ht="58" customHeight="1">
      <x:c r="B760" s="86" t="str">
        <x:f>IF($P760="","",INDEX(Tasks!$B$10:$B$1941,$P760))</x:f>
        <x:v>Cycle 3</x:v>
      </x:c>
      <x:c r="C760" s="86" t="str">
        <x:f>IF($P760="","",INDEX(Tasks!$C$10:$C$1941,$P760))</x:f>
        <x:v>Phase 1</x:v>
      </x:c>
      <x:c r="D760" s="86" t="str">
        <x:f>IF($P760="","",INDEX(Tasks!$D$10:$D$1941,$P760))</x:f>
        <x:v>CSBBO - Banking Ops</x:v>
      </x:c>
      <x:c r="E760" s="86"/>
      <x:c r="F760" s="86" t="str">
        <x:f>IF($P760="","",INDEX(Tasks!$E$10:$E$1941,$P760))</x:f>
        <x:v>Research &amp; Analysis</x:v>
      </x:c>
      <x:c r="G760" s="86"/>
      <x:c r="H760" s="14" t="str">
        <x:f>IF($P760="","",INDEX(Tasks!$F$10:$F$1941,$P760)&amp;CHAR(10)&amp;INDEX(Tasks!$G$10:$G$1941,$P760))</x:f>
        <x:v>RA.BO.1.7
Obtain formal topic selection approval from management via SharePoint</x:v>
      </x:c>
      <x:c r="I760" s="14"/>
      <x:c r="J760" s="14"/>
      <x:c r="K760" s="14"/>
      <x:c r="L760" s="86" t="str">
        <x:f>IF($P760="","",INDEX(Tasks!$N$10:$N$1941,$P760))</x:f>
        <x:v>Not started</x:v>
      </x:c>
      <x:c r="M760" s="87" t="n">
        <x:f>IF($P760="","",INDEX(Tasks!$J$10:$J$1941,$P760))</x:f>
        <x:v>46295</x:v>
      </x:c>
      <x:c r="N760" s="85" t="str">
        <x:f>IF($P760="","",HYPERLINK("#'"&amp;INDEX(Tasks!$T$10:$T$1941,$P760)&amp;"'!A"&amp;INDEX(Tasks!$U$10:$U$1941,$P760),"Open"))</x:f>
        <x:v>Open</x:v>
      </x:c>
      <x:c r="O760" s="14"/>
      <x:c r="P760" s="14" t="n">
        <x:f>IF(739&gt;$B$10,"",MATCH(739,Tasks!$S$10:$S$1941,0))</x:f>
        <x:v>1103</x:v>
      </x:c>
    </x:row>
    <x:row r="761" ht="58" customHeight="1">
      <x:c r="B761" s="86" t="str">
        <x:f>IF($P761="","",INDEX(Tasks!$B$10:$B$1941,$P761))</x:f>
        <x:v>Cycle 3</x:v>
      </x:c>
      <x:c r="C761" s="86" t="str">
        <x:f>IF($P761="","",INDEX(Tasks!$C$10:$C$1941,$P761))</x:f>
        <x:v>Phase 1</x:v>
      </x:c>
      <x:c r="D761" s="86" t="str">
        <x:f>IF($P761="","",INDEX(Tasks!$D$10:$D$1941,$P761))</x:f>
        <x:v>CSBBO - Banking Ops</x:v>
      </x:c>
      <x:c r="E761" s="86"/>
      <x:c r="F761" s="86" t="str">
        <x:f>IF($P761="","",INDEX(Tasks!$E$10:$E$1941,$P761))</x:f>
        <x:v>Research &amp; Analysis</x:v>
      </x:c>
      <x:c r="G761" s="86"/>
      <x:c r="H761" s="14" t="str">
        <x:f>IF($P761="","",INDEX(Tasks!$F$10:$F$1941,$P761)&amp;CHAR(10)&amp;INDEX(Tasks!$G$10:$G$1941,$P761))</x:f>
        <x:v>RA.BO.1.8
Socialize topic selection with product owners and subject matter experts (if known)</x:v>
      </x:c>
      <x:c r="I761" s="14"/>
      <x:c r="J761" s="14"/>
      <x:c r="K761" s="14"/>
      <x:c r="L761" s="86" t="str">
        <x:f>IF($P761="","",INDEX(Tasks!$N$10:$N$1941,$P761))</x:f>
        <x:v>Not started</x:v>
      </x:c>
      <x:c r="M761" s="87" t="n">
        <x:f>IF($P761="","",INDEX(Tasks!$J$10:$J$1941,$P761))</x:f>
        <x:v>46295</x:v>
      </x:c>
      <x:c r="N761" s="85" t="str">
        <x:f>IF($P761="","",HYPERLINK("#'"&amp;INDEX(Tasks!$T$10:$T$1941,$P761)&amp;"'!A"&amp;INDEX(Tasks!$U$10:$U$1941,$P761),"Open"))</x:f>
        <x:v>Open</x:v>
      </x:c>
      <x:c r="O761" s="14"/>
      <x:c r="P761" s="14" t="n">
        <x:f>IF(740&gt;$B$10,"",MATCH(740,Tasks!$S$10:$S$1941,0))</x:f>
        <x:v>1104</x:v>
      </x:c>
    </x:row>
    <x:row r="762" ht="58" customHeight="1">
      <x:c r="B762" s="86" t="str">
        <x:f>IF($P762="","",INDEX(Tasks!$B$10:$B$1941,$P762))</x:f>
        <x:v>Cycle 3</x:v>
      </x:c>
      <x:c r="C762" s="86" t="str">
        <x:f>IF($P762="","",INDEX(Tasks!$C$10:$C$1941,$P762))</x:f>
        <x:v>Phase 1</x:v>
      </x:c>
      <x:c r="D762" s="86" t="str">
        <x:f>IF($P762="","",INDEX(Tasks!$D$10:$D$1941,$P762))</x:f>
        <x:v>CSBBO - Banking Ops</x:v>
      </x:c>
      <x:c r="E762" s="86"/>
      <x:c r="F762" s="86" t="str">
        <x:f>IF($P762="","",INDEX(Tasks!$E$10:$E$1941,$P762))</x:f>
        <x:v>Research &amp; Analysis</x:v>
      </x:c>
      <x:c r="G762" s="86"/>
      <x:c r="H762" s="14" t="str">
        <x:f>IF($P762="","",INDEX(Tasks!$F$10:$F$1941,$P762)&amp;CHAR(10)&amp;INDEX(Tasks!$G$10:$G$1941,$P762))</x:f>
        <x:v>RA.BO.1.9
Assign topic researchers</x:v>
      </x:c>
      <x:c r="I762" s="14"/>
      <x:c r="J762" s="14"/>
      <x:c r="K762" s="14"/>
      <x:c r="L762" s="86" t="str">
        <x:f>IF($P762="","",INDEX(Tasks!$N$10:$N$1941,$P762))</x:f>
        <x:v>Not started</x:v>
      </x:c>
      <x:c r="M762" s="87" t="n">
        <x:f>IF($P762="","",INDEX(Tasks!$J$10:$J$1941,$P762))</x:f>
        <x:v>46295</x:v>
      </x:c>
      <x:c r="N762" s="85" t="str">
        <x:f>IF($P762="","",HYPERLINK("#'"&amp;INDEX(Tasks!$T$10:$T$1941,$P762)&amp;"'!A"&amp;INDEX(Tasks!$U$10:$U$1941,$P762),"Open"))</x:f>
        <x:v>Open</x:v>
      </x:c>
      <x:c r="O762" s="14"/>
      <x:c r="P762" s="14" t="n">
        <x:f>IF(741&gt;$B$10,"",MATCH(741,Tasks!$S$10:$S$1941,0))</x:f>
        <x:v>1105</x:v>
      </x:c>
    </x:row>
    <x:row r="763" ht="58" customHeight="1">
      <x:c r="B763" s="86" t="str">
        <x:f>IF($P763="","",INDEX(Tasks!$B$10:$B$1941,$P763))</x:f>
        <x:v>Cycle 3</x:v>
      </x:c>
      <x:c r="C763" s="86" t="str">
        <x:f>IF($P763="","",INDEX(Tasks!$C$10:$C$1941,$P763))</x:f>
        <x:v>Phase 2</x:v>
      </x:c>
      <x:c r="D763" s="86" t="str">
        <x:f>IF($P763="","",INDEX(Tasks!$D$10:$D$1941,$P763))</x:f>
        <x:v>CSBBO - Banking Ops</x:v>
      </x:c>
      <x:c r="E763" s="86"/>
      <x:c r="F763" s="86" t="str">
        <x:f>IF($P763="","",INDEX(Tasks!$E$10:$E$1941,$P763))</x:f>
        <x:v>Research &amp; Analysis</x:v>
      </x:c>
      <x:c r="G763" s="86"/>
      <x:c r="H763" s="14" t="str">
        <x:f>IF($P763="","",INDEX(Tasks!$F$10:$F$1941,$P763)&amp;CHAR(10)&amp;INDEX(Tasks!$G$10:$G$1941,$P763))</x:f>
        <x:v>RA.BO.2.1
Review data sources</x:v>
      </x:c>
      <x:c r="I763" s="14"/>
      <x:c r="J763" s="14"/>
      <x:c r="K763" s="14"/>
      <x:c r="L763" s="86" t="str">
        <x:f>IF($P763="","",INDEX(Tasks!$N$10:$N$1941,$P763))</x:f>
        <x:v>Not started</x:v>
      </x:c>
      <x:c r="M763" s="87" t="n">
        <x:f>IF($P763="","",INDEX(Tasks!$J$10:$J$1941,$P763))</x:f>
        <x:v>46295</x:v>
      </x:c>
      <x:c r="N763" s="85" t="str">
        <x:f>IF($P763="","",HYPERLINK("#'"&amp;INDEX(Tasks!$T$10:$T$1941,$P763)&amp;"'!A"&amp;INDEX(Tasks!$U$10:$U$1941,$P763),"Open"))</x:f>
        <x:v>Open</x:v>
      </x:c>
      <x:c r="O763" s="14"/>
      <x:c r="P763" s="14" t="n">
        <x:f>IF(742&gt;$B$10,"",MATCH(742,Tasks!$S$10:$S$1941,0))</x:f>
        <x:v>1106</x:v>
      </x:c>
    </x:row>
    <x:row r="764" ht="58" customHeight="1">
      <x:c r="B764" s="86" t="str">
        <x:f>IF($P764="","",INDEX(Tasks!$B$10:$B$1941,$P764))</x:f>
        <x:v>Cycle 3</x:v>
      </x:c>
      <x:c r="C764" s="86" t="str">
        <x:f>IF($P764="","",INDEX(Tasks!$C$10:$C$1941,$P764))</x:f>
        <x:v>Phase 2</x:v>
      </x:c>
      <x:c r="D764" s="86" t="str">
        <x:f>IF($P764="","",INDEX(Tasks!$D$10:$D$1941,$P764))</x:f>
        <x:v>CSBBO - Banking Ops</x:v>
      </x:c>
      <x:c r="E764" s="86"/>
      <x:c r="F764" s="86" t="str">
        <x:f>IF($P764="","",INDEX(Tasks!$E$10:$E$1941,$P764))</x:f>
        <x:v>Research &amp; Analysis</x:v>
      </x:c>
      <x:c r="G764" s="86"/>
      <x:c r="H764" s="14" t="str">
        <x:f>IF($P764="","",INDEX(Tasks!$F$10:$F$1941,$P764)&amp;CHAR(10)&amp;INDEX(Tasks!$G$10:$G$1941,$P764))</x:f>
        <x:v>RA.BO.2.2
Review relevant policies and procedures</x:v>
      </x:c>
      <x:c r="I764" s="14"/>
      <x:c r="J764" s="14"/>
      <x:c r="K764" s="14"/>
      <x:c r="L764" s="86" t="str">
        <x:f>IF($P764="","",INDEX(Tasks!$N$10:$N$1941,$P764))</x:f>
        <x:v>Not started</x:v>
      </x:c>
      <x:c r="M764" s="87" t="n">
        <x:f>IF($P764="","",INDEX(Tasks!$J$10:$J$1941,$P764))</x:f>
        <x:v>46295</x:v>
      </x:c>
      <x:c r="N764" s="85" t="str">
        <x:f>IF($P764="","",HYPERLINK("#'"&amp;INDEX(Tasks!$T$10:$T$1941,$P764)&amp;"'!A"&amp;INDEX(Tasks!$U$10:$U$1941,$P764),"Open"))</x:f>
        <x:v>Open</x:v>
      </x:c>
      <x:c r="O764" s="14"/>
      <x:c r="P764" s="14" t="n">
        <x:f>IF(743&gt;$B$10,"",MATCH(743,Tasks!$S$10:$S$1941,0))</x:f>
        <x:v>1107</x:v>
      </x:c>
    </x:row>
    <x:row r="765" ht="58" customHeight="1">
      <x:c r="B765" s="86" t="str">
        <x:f>IF($P765="","",INDEX(Tasks!$B$10:$B$1941,$P765))</x:f>
        <x:v>Cycle 3</x:v>
      </x:c>
      <x:c r="C765" s="86" t="str">
        <x:f>IF($P765="","",INDEX(Tasks!$C$10:$C$1941,$P765))</x:f>
        <x:v>Phase 2</x:v>
      </x:c>
      <x:c r="D765" s="86" t="str">
        <x:f>IF($P765="","",INDEX(Tasks!$D$10:$D$1941,$P765))</x:f>
        <x:v>CSBBO - Banking Ops</x:v>
      </x:c>
      <x:c r="E765" s="86"/>
      <x:c r="F765" s="86" t="str">
        <x:f>IF($P765="","",INDEX(Tasks!$E$10:$E$1941,$P765))</x:f>
        <x:v>Research &amp; Analysis</x:v>
      </x:c>
      <x:c r="G765" s="86"/>
      <x:c r="H765" s="14" t="str">
        <x:f>IF($P765="","",INDEX(Tasks!$F$10:$F$1941,$P765)&amp;CHAR(10)&amp;INDEX(Tasks!$G$10:$G$1941,$P765))</x:f>
        <x:v>RA.BO.2.3
Meet with SMEs to gain business insight and clarify questions</x:v>
      </x:c>
      <x:c r="I765" s="14"/>
      <x:c r="J765" s="14"/>
      <x:c r="K765" s="14"/>
      <x:c r="L765" s="86" t="str">
        <x:f>IF($P765="","",INDEX(Tasks!$N$10:$N$1941,$P765))</x:f>
        <x:v>Not started</x:v>
      </x:c>
      <x:c r="M765" s="87" t="n">
        <x:f>IF($P765="","",INDEX(Tasks!$J$10:$J$1941,$P765))</x:f>
        <x:v>46295</x:v>
      </x:c>
      <x:c r="N765" s="85" t="str">
        <x:f>IF($P765="","",HYPERLINK("#'"&amp;INDEX(Tasks!$T$10:$T$1941,$P765)&amp;"'!A"&amp;INDEX(Tasks!$U$10:$U$1941,$P765),"Open"))</x:f>
        <x:v>Open</x:v>
      </x:c>
      <x:c r="O765" s="14"/>
      <x:c r="P765" s="14" t="n">
        <x:f>IF(744&gt;$B$10,"",MATCH(744,Tasks!$S$10:$S$1941,0))</x:f>
        <x:v>1108</x:v>
      </x:c>
    </x:row>
    <x:row r="766" ht="58" customHeight="1">
      <x:c r="B766" s="86" t="str">
        <x:f>IF($P766="","",INDEX(Tasks!$B$10:$B$1941,$P766))</x:f>
        <x:v>Cycle 3</x:v>
      </x:c>
      <x:c r="C766" s="86" t="str">
        <x:f>IF($P766="","",INDEX(Tasks!$C$10:$C$1941,$P766))</x:f>
        <x:v>Phase 2</x:v>
      </x:c>
      <x:c r="D766" s="86" t="str">
        <x:f>IF($P766="","",INDEX(Tasks!$D$10:$D$1941,$P766))</x:f>
        <x:v>CSBBO - Banking Ops</x:v>
      </x:c>
      <x:c r="E766" s="86"/>
      <x:c r="F766" s="86" t="str">
        <x:f>IF($P766="","",INDEX(Tasks!$E$10:$E$1941,$P766))</x:f>
        <x:v>Research &amp; Analysis</x:v>
      </x:c>
      <x:c r="G766" s="86"/>
      <x:c r="H766" s="14" t="str">
        <x:f>IF($P766="","",INDEX(Tasks!$F$10:$F$1941,$P766)&amp;CHAR(10)&amp;INDEX(Tasks!$G$10:$G$1941,$P766))</x:f>
        <x:v>RA.BO.2.4
Establish and maintain a recurring meeting with D&amp;I to discuss Cycle progress</x:v>
      </x:c>
      <x:c r="I766" s="14"/>
      <x:c r="J766" s="14"/>
      <x:c r="K766" s="14"/>
      <x:c r="L766" s="86" t="str">
        <x:f>IF($P766="","",INDEX(Tasks!$N$10:$N$1941,$P766))</x:f>
        <x:v>Not started</x:v>
      </x:c>
      <x:c r="M766" s="87" t="n">
        <x:f>IF($P766="","",INDEX(Tasks!$J$10:$J$1941,$P766))</x:f>
        <x:v>46295</x:v>
      </x:c>
      <x:c r="N766" s="85" t="str">
        <x:f>IF($P766="","",HYPERLINK("#'"&amp;INDEX(Tasks!$T$10:$T$1941,$P766)&amp;"'!A"&amp;INDEX(Tasks!$U$10:$U$1941,$P766),"Open"))</x:f>
        <x:v>Open</x:v>
      </x:c>
      <x:c r="O766" s="14"/>
      <x:c r="P766" s="14" t="n">
        <x:f>IF(745&gt;$B$10,"",MATCH(745,Tasks!$S$10:$S$1941,0))</x:f>
        <x:v>1109</x:v>
      </x:c>
    </x:row>
    <x:row r="767" ht="58" customHeight="1">
      <x:c r="B767" s="86" t="str">
        <x:f>IF($P767="","",INDEX(Tasks!$B$10:$B$1941,$P767))</x:f>
        <x:v>Cycle 3</x:v>
      </x:c>
      <x:c r="C767" s="86" t="str">
        <x:f>IF($P767="","",INDEX(Tasks!$C$10:$C$1941,$P767))</x:f>
        <x:v>Phase 2</x:v>
      </x:c>
      <x:c r="D767" s="86" t="str">
        <x:f>IF($P767="","",INDEX(Tasks!$D$10:$D$1941,$P767))</x:f>
        <x:v>CSBBO - Banking Ops</x:v>
      </x:c>
      <x:c r="E767" s="86"/>
      <x:c r="F767" s="86" t="str">
        <x:f>IF($P767="","",INDEX(Tasks!$E$10:$E$1941,$P767))</x:f>
        <x:v>Research &amp; Analysis</x:v>
      </x:c>
      <x:c r="G767" s="86"/>
      <x:c r="H767" s="14" t="str">
        <x:f>IF($P767="","",INDEX(Tasks!$F$10:$F$1941,$P767)&amp;CHAR(10)&amp;INDEX(Tasks!$G$10:$G$1941,$P767))</x:f>
        <x:v>RA.BO.2.5
Perform data testing and sampling</x:v>
      </x:c>
      <x:c r="I767" s="14"/>
      <x:c r="J767" s="14"/>
      <x:c r="K767" s="14"/>
      <x:c r="L767" s="86" t="str">
        <x:f>IF($P767="","",INDEX(Tasks!$N$10:$N$1941,$P767))</x:f>
        <x:v>Not started</x:v>
      </x:c>
      <x:c r="M767" s="87" t="n">
        <x:f>IF($P767="","",INDEX(Tasks!$J$10:$J$1941,$P767))</x:f>
        <x:v>46295</x:v>
      </x:c>
      <x:c r="N767" s="85" t="str">
        <x:f>IF($P767="","",HYPERLINK("#'"&amp;INDEX(Tasks!$T$10:$T$1941,$P767)&amp;"'!A"&amp;INDEX(Tasks!$U$10:$U$1941,$P767),"Open"))</x:f>
        <x:v>Open</x:v>
      </x:c>
      <x:c r="O767" s="14"/>
      <x:c r="P767" s="14" t="n">
        <x:f>IF(746&gt;$B$10,"",MATCH(746,Tasks!$S$10:$S$1941,0))</x:f>
        <x:v>1110</x:v>
      </x:c>
    </x:row>
    <x:row r="768" ht="58" customHeight="1">
      <x:c r="B768" s="86" t="str">
        <x:f>IF($P768="","",INDEX(Tasks!$B$10:$B$1941,$P768))</x:f>
        <x:v>Cycle 3</x:v>
      </x:c>
      <x:c r="C768" s="86" t="str">
        <x:f>IF($P768="","",INDEX(Tasks!$C$10:$C$1941,$P768))</x:f>
        <x:v>Phase 2</x:v>
      </x:c>
      <x:c r="D768" s="86" t="str">
        <x:f>IF($P768="","",INDEX(Tasks!$D$10:$D$1941,$P768))</x:f>
        <x:v>CSBBO - Banking Ops</x:v>
      </x:c>
      <x:c r="E768" s="86"/>
      <x:c r="F768" s="86" t="str">
        <x:f>IF($P768="","",INDEX(Tasks!$E$10:$E$1941,$P768))</x:f>
        <x:v>Research &amp; Analysis</x:v>
      </x:c>
      <x:c r="G768" s="86"/>
      <x:c r="H768" s="14" t="str">
        <x:f>IF($P768="","",INDEX(Tasks!$F$10:$F$1941,$P768)&amp;CHAR(10)&amp;INDEX(Tasks!$G$10:$G$1941,$P768))</x:f>
        <x:v>RA.BO.2.6
Complete Positive Testing</x:v>
      </x:c>
      <x:c r="I768" s="14"/>
      <x:c r="J768" s="14"/>
      <x:c r="K768" s="14"/>
      <x:c r="L768" s="86" t="str">
        <x:f>IF($P768="","",INDEX(Tasks!$N$10:$N$1941,$P768))</x:f>
        <x:v>Not started</x:v>
      </x:c>
      <x:c r="M768" s="87" t="n">
        <x:f>IF($P768="","",INDEX(Tasks!$J$10:$J$1941,$P768))</x:f>
        <x:v>46295</x:v>
      </x:c>
      <x:c r="N768" s="85" t="str">
        <x:f>IF($P768="","",HYPERLINK("#'"&amp;INDEX(Tasks!$T$10:$T$1941,$P768)&amp;"'!A"&amp;INDEX(Tasks!$U$10:$U$1941,$P768),"Open"))</x:f>
        <x:v>Open</x:v>
      </x:c>
      <x:c r="O768" s="14"/>
      <x:c r="P768" s="14" t="n">
        <x:f>IF(747&gt;$B$10,"",MATCH(747,Tasks!$S$10:$S$1941,0))</x:f>
        <x:v>1111</x:v>
      </x:c>
    </x:row>
    <x:row r="769" ht="58" customHeight="1">
      <x:c r="B769" s="86" t="str">
        <x:f>IF($P769="","",INDEX(Tasks!$B$10:$B$1941,$P769))</x:f>
        <x:v>Cycle 3</x:v>
      </x:c>
      <x:c r="C769" s="86" t="str">
        <x:f>IF($P769="","",INDEX(Tasks!$C$10:$C$1941,$P769))</x:f>
        <x:v>Phase 2</x:v>
      </x:c>
      <x:c r="D769" s="86" t="str">
        <x:f>IF($P769="","",INDEX(Tasks!$D$10:$D$1941,$P769))</x:f>
        <x:v>CSBBO - Banking Ops</x:v>
      </x:c>
      <x:c r="E769" s="86"/>
      <x:c r="F769" s="86" t="str">
        <x:f>IF($P769="","",INDEX(Tasks!$E$10:$E$1941,$P769))</x:f>
        <x:v>Research &amp; Analysis</x:v>
      </x:c>
      <x:c r="G769" s="86"/>
      <x:c r="H769" s="14" t="str">
        <x:f>IF($P769="","",INDEX(Tasks!$F$10:$F$1941,$P769)&amp;CHAR(10)&amp;INDEX(Tasks!$G$10:$G$1941,$P769))</x:f>
        <x:v>RA.BO.2.7
Complete Negative Testing</x:v>
      </x:c>
      <x:c r="I769" s="14"/>
      <x:c r="J769" s="14"/>
      <x:c r="K769" s="14"/>
      <x:c r="L769" s="86" t="str">
        <x:f>IF($P769="","",INDEX(Tasks!$N$10:$N$1941,$P769))</x:f>
        <x:v>Not started</x:v>
      </x:c>
      <x:c r="M769" s="87" t="n">
        <x:f>IF($P769="","",INDEX(Tasks!$J$10:$J$1941,$P769))</x:f>
        <x:v>46295</x:v>
      </x:c>
      <x:c r="N769" s="85" t="str">
        <x:f>IF($P769="","",HYPERLINK("#'"&amp;INDEX(Tasks!$T$10:$T$1941,$P769)&amp;"'!A"&amp;INDEX(Tasks!$U$10:$U$1941,$P769),"Open"))</x:f>
        <x:v>Open</x:v>
      </x:c>
      <x:c r="O769" s="14"/>
      <x:c r="P769" s="14" t="n">
        <x:f>IF(748&gt;$B$10,"",MATCH(748,Tasks!$S$10:$S$1941,0))</x:f>
        <x:v>1112</x:v>
      </x:c>
    </x:row>
    <x:row r="770" ht="58" customHeight="1">
      <x:c r="B770" s="86" t="str">
        <x:f>IF($P770="","",INDEX(Tasks!$B$10:$B$1941,$P770))</x:f>
        <x:v>Cycle 3</x:v>
      </x:c>
      <x:c r="C770" s="86" t="str">
        <x:f>IF($P770="","",INDEX(Tasks!$C$10:$C$1941,$P770))</x:f>
        <x:v>Phase 2</x:v>
      </x:c>
      <x:c r="D770" s="86" t="str">
        <x:f>IF($P770="","",INDEX(Tasks!$D$10:$D$1941,$P770))</x:f>
        <x:v>CSBBO - Banking Ops</x:v>
      </x:c>
      <x:c r="E770" s="86"/>
      <x:c r="F770" s="86" t="str">
        <x:f>IF($P770="","",INDEX(Tasks!$E$10:$E$1941,$P770))</x:f>
        <x:v>Research &amp; Analysis</x:v>
      </x:c>
      <x:c r="G770" s="86"/>
      <x:c r="H770" s="14" t="str">
        <x:f>IF($P770="","",INDEX(Tasks!$F$10:$F$1941,$P770)&amp;CHAR(10)&amp;INDEX(Tasks!$G$10:$G$1941,$P770))</x:f>
        <x:v>RA.BO.2.8
Request additional data (as needed)</x:v>
      </x:c>
      <x:c r="I770" s="14"/>
      <x:c r="J770" s="14"/>
      <x:c r="K770" s="14"/>
      <x:c r="L770" s="86" t="str">
        <x:f>IF($P770="","",INDEX(Tasks!$N$10:$N$1941,$P770))</x:f>
        <x:v>Not started</x:v>
      </x:c>
      <x:c r="M770" s="87" t="n">
        <x:f>IF($P770="","",INDEX(Tasks!$J$10:$J$1941,$P770))</x:f>
        <x:v>46295</x:v>
      </x:c>
      <x:c r="N770" s="85" t="str">
        <x:f>IF($P770="","",HYPERLINK("#'"&amp;INDEX(Tasks!$T$10:$T$1941,$P770)&amp;"'!A"&amp;INDEX(Tasks!$U$10:$U$1941,$P770),"Open"))</x:f>
        <x:v>Open</x:v>
      </x:c>
      <x:c r="O770" s="14"/>
      <x:c r="P770" s="14" t="n">
        <x:f>IF(749&gt;$B$10,"",MATCH(749,Tasks!$S$10:$S$1941,0))</x:f>
        <x:v>1113</x:v>
      </x:c>
    </x:row>
    <x:row r="771" ht="58" customHeight="1">
      <x:c r="B771" s="86" t="str">
        <x:f>IF($P771="","",INDEX(Tasks!$B$10:$B$1941,$P771))</x:f>
        <x:v>Cycle 3</x:v>
      </x:c>
      <x:c r="C771" s="86" t="str">
        <x:f>IF($P771="","",INDEX(Tasks!$C$10:$C$1941,$P771))</x:f>
        <x:v>Phase 2</x:v>
      </x:c>
      <x:c r="D771" s="86" t="str">
        <x:f>IF($P771="","",INDEX(Tasks!$D$10:$D$1941,$P771))</x:f>
        <x:v>CSBBO - Banking Ops</x:v>
      </x:c>
      <x:c r="E771" s="86"/>
      <x:c r="F771" s="86" t="str">
        <x:f>IF($P771="","",INDEX(Tasks!$E$10:$E$1941,$P771))</x:f>
        <x:v>Research &amp; Analysis</x:v>
      </x:c>
      <x:c r="G771" s="86"/>
      <x:c r="H771" s="14" t="str">
        <x:f>IF($P771="","",INDEX(Tasks!$F$10:$F$1941,$P771)&amp;CHAR(10)&amp;INDEX(Tasks!$G$10:$G$1941,$P771))</x:f>
        <x:v>RA.BO.2.9
Validate or disprove initial hypothesis assumptions</x:v>
      </x:c>
      <x:c r="I771" s="14"/>
      <x:c r="J771" s="14"/>
      <x:c r="K771" s="14"/>
      <x:c r="L771" s="86" t="str">
        <x:f>IF($P771="","",INDEX(Tasks!$N$10:$N$1941,$P771))</x:f>
        <x:v>Not started</x:v>
      </x:c>
      <x:c r="M771" s="87" t="n">
        <x:f>IF($P771="","",INDEX(Tasks!$J$10:$J$1941,$P771))</x:f>
        <x:v>46295</x:v>
      </x:c>
      <x:c r="N771" s="85" t="str">
        <x:f>IF($P771="","",HYPERLINK("#'"&amp;INDEX(Tasks!$T$10:$T$1941,$P771)&amp;"'!A"&amp;INDEX(Tasks!$U$10:$U$1941,$P771),"Open"))</x:f>
        <x:v>Open</x:v>
      </x:c>
      <x:c r="O771" s="14"/>
      <x:c r="P771" s="14" t="n">
        <x:f>IF(750&gt;$B$10,"",MATCH(750,Tasks!$S$10:$S$1941,0))</x:f>
        <x:v>1114</x:v>
      </x:c>
    </x:row>
    <x:row r="772" ht="58" customHeight="1">
      <x:c r="B772" s="86" t="str">
        <x:f>IF($P772="","",INDEX(Tasks!$B$10:$B$1941,$P772))</x:f>
        <x:v>Cycle 3</x:v>
      </x:c>
      <x:c r="C772" s="86" t="str">
        <x:f>IF($P772="","",INDEX(Tasks!$C$10:$C$1941,$P772))</x:f>
        <x:v>Phase 2</x:v>
      </x:c>
      <x:c r="D772" s="86" t="str">
        <x:f>IF($P772="","",INDEX(Tasks!$D$10:$D$1941,$P772))</x:f>
        <x:v>CSBBO - Banking Ops</x:v>
      </x:c>
      <x:c r="E772" s="86"/>
      <x:c r="F772" s="86" t="str">
        <x:f>IF($P772="","",INDEX(Tasks!$E$10:$E$1941,$P772))</x:f>
        <x:v>Research &amp; Analysis</x:v>
      </x:c>
      <x:c r="G772" s="86"/>
      <x:c r="H772" s="14" t="str">
        <x:f>IF($P772="","",INDEX(Tasks!$F$10:$F$1941,$P772)&amp;CHAR(10)&amp;INDEX(Tasks!$G$10:$G$1941,$P772))</x:f>
        <x:v>RA.BO.2.10
Identify and confirm root cause</x:v>
      </x:c>
      <x:c r="I772" s="14"/>
      <x:c r="J772" s="14"/>
      <x:c r="K772" s="14"/>
      <x:c r="L772" s="86" t="str">
        <x:f>IF($P772="","",INDEX(Tasks!$N$10:$N$1941,$P772))</x:f>
        <x:v>Not started</x:v>
      </x:c>
      <x:c r="M772" s="87" t="n">
        <x:f>IF($P772="","",INDEX(Tasks!$J$10:$J$1941,$P772))</x:f>
        <x:v>46295</x:v>
      </x:c>
      <x:c r="N772" s="85" t="str">
        <x:f>IF($P772="","",HYPERLINK("#'"&amp;INDEX(Tasks!$T$10:$T$1941,$P772)&amp;"'!A"&amp;INDEX(Tasks!$U$10:$U$1941,$P772),"Open"))</x:f>
        <x:v>Open</x:v>
      </x:c>
      <x:c r="O772" s="14"/>
      <x:c r="P772" s="14" t="n">
        <x:f>IF(751&gt;$B$10,"",MATCH(751,Tasks!$S$10:$S$1941,0))</x:f>
        <x:v>1115</x:v>
      </x:c>
    </x:row>
    <x:row r="773" ht="58" customHeight="1">
      <x:c r="B773" s="86" t="str">
        <x:f>IF($P773="","",INDEX(Tasks!$B$10:$B$1941,$P773))</x:f>
        <x:v>Cycle 3</x:v>
      </x:c>
      <x:c r="C773" s="86" t="str">
        <x:f>IF($P773="","",INDEX(Tasks!$C$10:$C$1941,$P773))</x:f>
        <x:v>Phase 3</x:v>
      </x:c>
      <x:c r="D773" s="86" t="str">
        <x:f>IF($P773="","",INDEX(Tasks!$D$10:$D$1941,$P773))</x:f>
        <x:v>CSBBO - Banking Ops</x:v>
      </x:c>
      <x:c r="E773" s="86"/>
      <x:c r="F773" s="86" t="str">
        <x:f>IF($P773="","",INDEX(Tasks!$E$10:$E$1941,$P773))</x:f>
        <x:v>Research &amp; Analysis</x:v>
      </x:c>
      <x:c r="G773" s="86"/>
      <x:c r="H773" s="14" t="str">
        <x:f>IF($P773="","",INDEX(Tasks!$F$10:$F$1941,$P773)&amp;CHAR(10)&amp;INDEX(Tasks!$G$10:$G$1941,$P773))</x:f>
        <x:v>RA.BO.3.1
Finalize results and supporting documentation</x:v>
      </x:c>
      <x:c r="I773" s="14"/>
      <x:c r="J773" s="14"/>
      <x:c r="K773" s="14"/>
      <x:c r="L773" s="86" t="str">
        <x:f>IF($P773="","",INDEX(Tasks!$N$10:$N$1941,$P773))</x:f>
        <x:v>Not started</x:v>
      </x:c>
      <x:c r="M773" s="87" t="n">
        <x:f>IF($P773="","",INDEX(Tasks!$J$10:$J$1941,$P773))</x:f>
        <x:v>46295</x:v>
      </x:c>
      <x:c r="N773" s="85" t="str">
        <x:f>IF($P773="","",HYPERLINK("#'"&amp;INDEX(Tasks!$T$10:$T$1941,$P773)&amp;"'!A"&amp;INDEX(Tasks!$U$10:$U$1941,$P773),"Open"))</x:f>
        <x:v>Open</x:v>
      </x:c>
      <x:c r="O773" s="14"/>
      <x:c r="P773" s="14" t="n">
        <x:f>IF(752&gt;$B$10,"",MATCH(752,Tasks!$S$10:$S$1941,0))</x:f>
        <x:v>1116</x:v>
      </x:c>
    </x:row>
    <x:row r="774" ht="58" customHeight="1">
      <x:c r="B774" s="86" t="str">
        <x:f>IF($P774="","",INDEX(Tasks!$B$10:$B$1941,$P774))</x:f>
        <x:v>Cycle 3</x:v>
      </x:c>
      <x:c r="C774" s="86" t="str">
        <x:f>IF($P774="","",INDEX(Tasks!$C$10:$C$1941,$P774))</x:f>
        <x:v>Phase 3</x:v>
      </x:c>
      <x:c r="D774" s="86" t="str">
        <x:f>IF($P774="","",INDEX(Tasks!$D$10:$D$1941,$P774))</x:f>
        <x:v>CSBBO - Banking Ops</x:v>
      </x:c>
      <x:c r="E774" s="86"/>
      <x:c r="F774" s="86" t="str">
        <x:f>IF($P774="","",INDEX(Tasks!$E$10:$E$1941,$P774))</x:f>
        <x:v>Research &amp; Analysis</x:v>
      </x:c>
      <x:c r="G774" s="86"/>
      <x:c r="H774" s="14" t="str">
        <x:f>IF($P774="","",INDEX(Tasks!$F$10:$F$1941,$P774)&amp;CHAR(10)&amp;INDEX(Tasks!$G$10:$G$1941,$P774))</x:f>
        <x:v>RA.BO.3.2
Maintain and update the evidence package prior to handoff to D&amp;I</x:v>
      </x:c>
      <x:c r="I774" s="14"/>
      <x:c r="J774" s="14"/>
      <x:c r="K774" s="14"/>
      <x:c r="L774" s="86" t="str">
        <x:f>IF($P774="","",INDEX(Tasks!$N$10:$N$1941,$P774))</x:f>
        <x:v>Not started</x:v>
      </x:c>
      <x:c r="M774" s="87" t="n">
        <x:f>IF($P774="","",INDEX(Tasks!$J$10:$J$1941,$P774))</x:f>
        <x:v>46295</x:v>
      </x:c>
      <x:c r="N774" s="85" t="str">
        <x:f>IF($P774="","",HYPERLINK("#'"&amp;INDEX(Tasks!$T$10:$T$1941,$P774)&amp;"'!A"&amp;INDEX(Tasks!$U$10:$U$1941,$P774),"Open"))</x:f>
        <x:v>Open</x:v>
      </x:c>
      <x:c r="O774" s="14"/>
      <x:c r="P774" s="14" t="n">
        <x:f>IF(753&gt;$B$10,"",MATCH(753,Tasks!$S$10:$S$1941,0))</x:f>
        <x:v>1117</x:v>
      </x:c>
    </x:row>
    <x:row r="775" ht="58" customHeight="1">
      <x:c r="B775" s="86" t="str">
        <x:f>IF($P775="","",INDEX(Tasks!$B$10:$B$1941,$P775))</x:f>
        <x:v>Cycle 3</x:v>
      </x:c>
      <x:c r="C775" s="86" t="str">
        <x:f>IF($P775="","",INDEX(Tasks!$C$10:$C$1941,$P775))</x:f>
        <x:v>Phase 3</x:v>
      </x:c>
      <x:c r="D775" s="86" t="str">
        <x:f>IF($P775="","",INDEX(Tasks!$D$10:$D$1941,$P775))</x:f>
        <x:v>CSBBO - Banking Ops</x:v>
      </x:c>
      <x:c r="E775" s="86"/>
      <x:c r="F775" s="86" t="str">
        <x:f>IF($P775="","",INDEX(Tasks!$E$10:$E$1941,$P775))</x:f>
        <x:v>Research &amp; Analysis</x:v>
      </x:c>
      <x:c r="G775" s="86"/>
      <x:c r="H775" s="14" t="str">
        <x:f>IF($P775="","",INDEX(Tasks!$F$10:$F$1941,$P775)&amp;CHAR(10)&amp;INDEX(Tasks!$G$10:$G$1941,$P775))</x:f>
        <x:v>RA.BO.3.3
Address any outstanding questions or requests from D&amp;I</x:v>
      </x:c>
      <x:c r="I775" s="14"/>
      <x:c r="J775" s="14"/>
      <x:c r="K775" s="14"/>
      <x:c r="L775" s="86" t="str">
        <x:f>IF($P775="","",INDEX(Tasks!$N$10:$N$1941,$P775))</x:f>
        <x:v>Not started</x:v>
      </x:c>
      <x:c r="M775" s="87" t="n">
        <x:f>IF($P775="","",INDEX(Tasks!$J$10:$J$1941,$P775))</x:f>
        <x:v>46295</x:v>
      </x:c>
      <x:c r="N775" s="85" t="str">
        <x:f>IF($P775="","",HYPERLINK("#'"&amp;INDEX(Tasks!$T$10:$T$1941,$P775)&amp;"'!A"&amp;INDEX(Tasks!$U$10:$U$1941,$P775),"Open"))</x:f>
        <x:v>Open</x:v>
      </x:c>
      <x:c r="O775" s="14"/>
      <x:c r="P775" s="14" t="n">
        <x:f>IF(754&gt;$B$10,"",MATCH(754,Tasks!$S$10:$S$1941,0))</x:f>
        <x:v>1118</x:v>
      </x:c>
    </x:row>
    <x:row r="776" ht="58" customHeight="1">
      <x:c r="B776" s="86" t="str">
        <x:f>IF($P776="","",INDEX(Tasks!$B$10:$B$1941,$P776))</x:f>
        <x:v>Cycle 3</x:v>
      </x:c>
      <x:c r="C776" s="86" t="str">
        <x:f>IF($P776="","",INDEX(Tasks!$C$10:$C$1941,$P776))</x:f>
        <x:v>Phase 3</x:v>
      </x:c>
      <x:c r="D776" s="86" t="str">
        <x:f>IF($P776="","",INDEX(Tasks!$D$10:$D$1941,$P776))</x:f>
        <x:v>CSBBO - Banking Ops</x:v>
      </x:c>
      <x:c r="E776" s="86"/>
      <x:c r="F776" s="86" t="str">
        <x:f>IF($P776="","",INDEX(Tasks!$E$10:$E$1941,$P776))</x:f>
        <x:v>Research &amp; Analysis</x:v>
      </x:c>
      <x:c r="G776" s="86"/>
      <x:c r="H776" s="14" t="str">
        <x:f>IF($P776="","",INDEX(Tasks!$F$10:$F$1941,$P776)&amp;CHAR(10)&amp;INDEX(Tasks!$G$10:$G$1941,$P776))</x:f>
        <x:v>RA.BO.3.4
Attend Forum meeting with D&amp;I to assist with answering stakeholder questions (as needed)</x:v>
      </x:c>
      <x:c r="I776" s="14"/>
      <x:c r="J776" s="14"/>
      <x:c r="K776" s="14"/>
      <x:c r="L776" s="86" t="str">
        <x:f>IF($P776="","",INDEX(Tasks!$N$10:$N$1941,$P776))</x:f>
        <x:v>Not started</x:v>
      </x:c>
      <x:c r="M776" s="87" t="str">
        <x:f>IF($P776="","",INDEX(Tasks!$J$10:$J$1941,$P776))</x:f>
      </x:c>
      <x:c r="N776" s="85" t="str">
        <x:f>IF($P776="","",HYPERLINK("#'"&amp;INDEX(Tasks!$T$10:$T$1941,$P776)&amp;"'!A"&amp;INDEX(Tasks!$U$10:$U$1941,$P776),"Open"))</x:f>
        <x:v>Open</x:v>
      </x:c>
      <x:c r="O776" s="14"/>
      <x:c r="P776" s="14" t="n">
        <x:f>IF(755&gt;$B$10,"",MATCH(755,Tasks!$S$10:$S$1941,0))</x:f>
        <x:v>1119</x:v>
      </x:c>
    </x:row>
    <x:row r="777" ht="58" customHeight="1">
      <x:c r="B777" s="86" t="str">
        <x:f>IF($P777="","",INDEX(Tasks!$B$10:$B$1941,$P777))</x:f>
        <x:v>Cycle 3</x:v>
      </x:c>
      <x:c r="C777" s="86" t="str">
        <x:f>IF($P777="","",INDEX(Tasks!$C$10:$C$1941,$P777))</x:f>
        <x:v>Phase 1</x:v>
      </x:c>
      <x:c r="D777" s="86" t="str">
        <x:f>IF($P777="","",INDEX(Tasks!$D$10:$D$1941,$P777))</x:f>
        <x:v>CSBBO - Customer Service</x:v>
      </x:c>
      <x:c r="E777" s="86"/>
      <x:c r="F777" s="86" t="str">
        <x:f>IF($P777="","",INDEX(Tasks!$E$10:$E$1941,$P777))</x:f>
        <x:v>Research &amp; Analysis</x:v>
      </x:c>
      <x:c r="G777" s="86"/>
      <x:c r="H777" s="14" t="str">
        <x:f>IF($P777="","",INDEX(Tasks!$F$10:$F$1941,$P777)&amp;CHAR(10)&amp;INDEX(Tasks!$G$10:$G$1941,$P777))</x:f>
        <x:v>RA.CS.1.1
Begin Research process 2 weeks prior to Cycle start</x:v>
      </x:c>
      <x:c r="I777" s="14"/>
      <x:c r="J777" s="14"/>
      <x:c r="K777" s="14"/>
      <x:c r="L777" s="86" t="str">
        <x:f>IF($P777="","",INDEX(Tasks!$N$10:$N$1941,$P777))</x:f>
        <x:v>Not started</x:v>
      </x:c>
      <x:c r="M777" s="87" t="n">
        <x:f>IF($P777="","",INDEX(Tasks!$J$10:$J$1941,$P777))</x:f>
        <x:v>46190</x:v>
      </x:c>
      <x:c r="N777" s="85" t="str">
        <x:f>IF($P777="","",HYPERLINK("#'"&amp;INDEX(Tasks!$T$10:$T$1941,$P777)&amp;"'!A"&amp;INDEX(Tasks!$U$10:$U$1941,$P777),"Open"))</x:f>
        <x:v>Open</x:v>
      </x:c>
      <x:c r="O777" s="14"/>
      <x:c r="P777" s="14" t="n">
        <x:f>IF(756&gt;$B$10,"",MATCH(756,Tasks!$S$10:$S$1941,0))</x:f>
        <x:v>1120</x:v>
      </x:c>
    </x:row>
    <x:row r="778" ht="58" customHeight="1">
      <x:c r="B778" s="86" t="str">
        <x:f>IF($P778="","",INDEX(Tasks!$B$10:$B$1941,$P778))</x:f>
        <x:v>Cycle 3</x:v>
      </x:c>
      <x:c r="C778" s="86" t="str">
        <x:f>IF($P778="","",INDEX(Tasks!$C$10:$C$1941,$P778))</x:f>
        <x:v>Phase 1</x:v>
      </x:c>
      <x:c r="D778" s="86" t="str">
        <x:f>IF($P778="","",INDEX(Tasks!$D$10:$D$1941,$P778))</x:f>
        <x:v>CSBBO - Customer Service</x:v>
      </x:c>
      <x:c r="E778" s="86"/>
      <x:c r="F778" s="86" t="str">
        <x:f>IF($P778="","",INDEX(Tasks!$E$10:$E$1941,$P778))</x:f>
        <x:v>Research &amp; Analysis</x:v>
      </x:c>
      <x:c r="G778" s="86"/>
      <x:c r="H778" s="14" t="str">
        <x:f>IF($P778="","",INDEX(Tasks!$F$10:$F$1941,$P778)&amp;CHAR(10)&amp;INDEX(Tasks!$G$10:$G$1941,$P778))</x:f>
        <x:v>RA.CS.1.2
Conduct initial assessment of each topic recommendation from SharePoint list</x:v>
      </x:c>
      <x:c r="I778" s="14"/>
      <x:c r="J778" s="14"/>
      <x:c r="K778" s="14"/>
      <x:c r="L778" s="86" t="str">
        <x:f>IF($P778="","",INDEX(Tasks!$N$10:$N$1941,$P778))</x:f>
        <x:v>Not started</x:v>
      </x:c>
      <x:c r="M778" s="87" t="n">
        <x:f>IF($P778="","",INDEX(Tasks!$J$10:$J$1941,$P778))</x:f>
        <x:v>46295</x:v>
      </x:c>
      <x:c r="N778" s="85" t="str">
        <x:f>IF($P778="","",HYPERLINK("#'"&amp;INDEX(Tasks!$T$10:$T$1941,$P778)&amp;"'!A"&amp;INDEX(Tasks!$U$10:$U$1941,$P778),"Open"))</x:f>
        <x:v>Open</x:v>
      </x:c>
      <x:c r="O778" s="14"/>
      <x:c r="P778" s="14" t="n">
        <x:f>IF(757&gt;$B$10,"",MATCH(757,Tasks!$S$10:$S$1941,0))</x:f>
        <x:v>1121</x:v>
      </x:c>
    </x:row>
    <x:row r="779" ht="58" customHeight="1">
      <x:c r="B779" s="86" t="str">
        <x:f>IF($P779="","",INDEX(Tasks!$B$10:$B$1941,$P779))</x:f>
        <x:v>Cycle 3</x:v>
      </x:c>
      <x:c r="C779" s="86" t="str">
        <x:f>IF($P779="","",INDEX(Tasks!$C$10:$C$1941,$P779))</x:f>
        <x:v>Phase 1</x:v>
      </x:c>
      <x:c r="D779" s="86" t="str">
        <x:f>IF($P779="","",INDEX(Tasks!$D$10:$D$1941,$P779))</x:f>
        <x:v>CSBBO - Customer Service</x:v>
      </x:c>
      <x:c r="E779" s="86"/>
      <x:c r="F779" s="86" t="str">
        <x:f>IF($P779="","",INDEX(Tasks!$E$10:$E$1941,$P779))</x:f>
        <x:v>Research &amp; Analysis</x:v>
      </x:c>
      <x:c r="G779" s="86"/>
      <x:c r="H779" s="14" t="str">
        <x:f>IF($P779="","",INDEX(Tasks!$F$10:$F$1941,$P779)&amp;CHAR(10)&amp;INDEX(Tasks!$G$10:$G$1941,$P779))</x:f>
        <x:v>RA.CS.1.3
Identify best topic for Cycle</x:v>
      </x:c>
      <x:c r="I779" s="14"/>
      <x:c r="J779" s="14"/>
      <x:c r="K779" s="14"/>
      <x:c r="L779" s="86" t="str">
        <x:f>IF($P779="","",INDEX(Tasks!$N$10:$N$1941,$P779))</x:f>
        <x:v>Not started</x:v>
      </x:c>
      <x:c r="M779" s="87" t="n">
        <x:f>IF($P779="","",INDEX(Tasks!$J$10:$J$1941,$P779))</x:f>
        <x:v>46295</x:v>
      </x:c>
      <x:c r="N779" s="85" t="str">
        <x:f>IF($P779="","",HYPERLINK("#'"&amp;INDEX(Tasks!$T$10:$T$1941,$P779)&amp;"'!A"&amp;INDEX(Tasks!$U$10:$U$1941,$P779),"Open"))</x:f>
        <x:v>Open</x:v>
      </x:c>
      <x:c r="O779" s="14"/>
      <x:c r="P779" s="14" t="n">
        <x:f>IF(758&gt;$B$10,"",MATCH(758,Tasks!$S$10:$S$1941,0))</x:f>
        <x:v>1122</x:v>
      </x:c>
    </x:row>
    <x:row r="780" ht="58" customHeight="1">
      <x:c r="B780" s="86" t="str">
        <x:f>IF($P780="","",INDEX(Tasks!$B$10:$B$1941,$P780))</x:f>
        <x:v>Cycle 3</x:v>
      </x:c>
      <x:c r="C780" s="86" t="str">
        <x:f>IF($P780="","",INDEX(Tasks!$C$10:$C$1941,$P780))</x:f>
        <x:v>Phase 1</x:v>
      </x:c>
      <x:c r="D780" s="86" t="str">
        <x:f>IF($P780="","",INDEX(Tasks!$D$10:$D$1941,$P780))</x:f>
        <x:v>CSBBO - Customer Service</x:v>
      </x:c>
      <x:c r="E780" s="86"/>
      <x:c r="F780" s="86" t="str">
        <x:f>IF($P780="","",INDEX(Tasks!$E$10:$E$1941,$P780))</x:f>
        <x:v>Research &amp; Analysis</x:v>
      </x:c>
      <x:c r="G780" s="86"/>
      <x:c r="H780" s="14" t="str">
        <x:f>IF($P780="","",INDEX(Tasks!$F$10:$F$1941,$P780)&amp;CHAR(10)&amp;INDEX(Tasks!$G$10:$G$1941,$P780))</x:f>
        <x:v>RA.CS.1.4
Identify backup topic for Cycle</x:v>
      </x:c>
      <x:c r="I780" s="14"/>
      <x:c r="J780" s="14"/>
      <x:c r="K780" s="14"/>
      <x:c r="L780" s="86" t="str">
        <x:f>IF($P780="","",INDEX(Tasks!$N$10:$N$1941,$P780))</x:f>
        <x:v>Not started</x:v>
      </x:c>
      <x:c r="M780" s="87" t="n">
        <x:f>IF($P780="","",INDEX(Tasks!$J$10:$J$1941,$P780))</x:f>
        <x:v>46295</x:v>
      </x:c>
      <x:c r="N780" s="85" t="str">
        <x:f>IF($P780="","",HYPERLINK("#'"&amp;INDEX(Tasks!$T$10:$T$1941,$P780)&amp;"'!A"&amp;INDEX(Tasks!$U$10:$U$1941,$P780),"Open"))</x:f>
        <x:v>Open</x:v>
      </x:c>
      <x:c r="O780" s="14"/>
      <x:c r="P780" s="14" t="n">
        <x:f>IF(759&gt;$B$10,"",MATCH(759,Tasks!$S$10:$S$1941,0))</x:f>
        <x:v>1123</x:v>
      </x:c>
    </x:row>
    <x:row r="781" ht="58" customHeight="1">
      <x:c r="B781" s="86" t="str">
        <x:f>IF($P781="","",INDEX(Tasks!$B$10:$B$1941,$P781))</x:f>
        <x:v>Cycle 3</x:v>
      </x:c>
      <x:c r="C781" s="86" t="str">
        <x:f>IF($P781="","",INDEX(Tasks!$C$10:$C$1941,$P781))</x:f>
        <x:v>Phase 1</x:v>
      </x:c>
      <x:c r="D781" s="86" t="str">
        <x:f>IF($P781="","",INDEX(Tasks!$D$10:$D$1941,$P781))</x:f>
        <x:v>CSBBO - Customer Service</x:v>
      </x:c>
      <x:c r="E781" s="86"/>
      <x:c r="F781" s="86" t="str">
        <x:f>IF($P781="","",INDEX(Tasks!$E$10:$E$1941,$P781))</x:f>
        <x:v>Research &amp; Analysis</x:v>
      </x:c>
      <x:c r="G781" s="86"/>
      <x:c r="H781" s="14" t="str">
        <x:f>IF($P781="","",INDEX(Tasks!$F$10:$F$1941,$P781)&amp;CHAR(10)&amp;INDEX(Tasks!$G$10:$G$1941,$P781))</x:f>
        <x:v>RA.CS.1.5
Schedule topic approval meeting with D&amp;I and management</x:v>
      </x:c>
      <x:c r="I781" s="14"/>
      <x:c r="J781" s="14"/>
      <x:c r="K781" s="14"/>
      <x:c r="L781" s="86" t="str">
        <x:f>IF($P781="","",INDEX(Tasks!$N$10:$N$1941,$P781))</x:f>
        <x:v>Not started</x:v>
      </x:c>
      <x:c r="M781" s="87" t="n">
        <x:f>IF($P781="","",INDEX(Tasks!$J$10:$J$1941,$P781))</x:f>
        <x:v>46295</x:v>
      </x:c>
      <x:c r="N781" s="85" t="str">
        <x:f>IF($P781="","",HYPERLINK("#'"&amp;INDEX(Tasks!$T$10:$T$1941,$P781)&amp;"'!A"&amp;INDEX(Tasks!$U$10:$U$1941,$P781),"Open"))</x:f>
        <x:v>Open</x:v>
      </x:c>
      <x:c r="O781" s="14"/>
      <x:c r="P781" s="14" t="n">
        <x:f>IF(760&gt;$B$10,"",MATCH(760,Tasks!$S$10:$S$1941,0))</x:f>
        <x:v>1124</x:v>
      </x:c>
    </x:row>
    <x:row r="782" ht="58" customHeight="1">
      <x:c r="B782" s="86" t="str">
        <x:f>IF($P782="","",INDEX(Tasks!$B$10:$B$1941,$P782))</x:f>
        <x:v>Cycle 3</x:v>
      </x:c>
      <x:c r="C782" s="86" t="str">
        <x:f>IF($P782="","",INDEX(Tasks!$C$10:$C$1941,$P782))</x:f>
        <x:v>Phase 1</x:v>
      </x:c>
      <x:c r="D782" s="86" t="str">
        <x:f>IF($P782="","",INDEX(Tasks!$D$10:$D$1941,$P782))</x:f>
        <x:v>CSBBO - Customer Service</x:v>
      </x:c>
      <x:c r="E782" s="86"/>
      <x:c r="F782" s="86" t="str">
        <x:f>IF($P782="","",INDEX(Tasks!$E$10:$E$1941,$P782))</x:f>
        <x:v>Research &amp; Analysis</x:v>
      </x:c>
      <x:c r="G782" s="86"/>
      <x:c r="H782" s="14" t="str">
        <x:f>IF($P782="","",INDEX(Tasks!$F$10:$F$1941,$P782)&amp;CHAR(10)&amp;INDEX(Tasks!$G$10:$G$1941,$P782))</x:f>
        <x:v>RA.CS.1.6
Present recommended topic to D&amp;I and management for approval</x:v>
      </x:c>
      <x:c r="I782" s="14"/>
      <x:c r="J782" s="14"/>
      <x:c r="K782" s="14"/>
      <x:c r="L782" s="86" t="str">
        <x:f>IF($P782="","",INDEX(Tasks!$N$10:$N$1941,$P782))</x:f>
        <x:v>Not started</x:v>
      </x:c>
      <x:c r="M782" s="87" t="n">
        <x:f>IF($P782="","",INDEX(Tasks!$J$10:$J$1941,$P782))</x:f>
        <x:v>46295</x:v>
      </x:c>
      <x:c r="N782" s="85" t="str">
        <x:f>IF($P782="","",HYPERLINK("#'"&amp;INDEX(Tasks!$T$10:$T$1941,$P782)&amp;"'!A"&amp;INDEX(Tasks!$U$10:$U$1941,$P782),"Open"))</x:f>
        <x:v>Open</x:v>
      </x:c>
      <x:c r="O782" s="14"/>
      <x:c r="P782" s="14" t="n">
        <x:f>IF(761&gt;$B$10,"",MATCH(761,Tasks!$S$10:$S$1941,0))</x:f>
        <x:v>1125</x:v>
      </x:c>
    </x:row>
    <x:row r="783" ht="58" customHeight="1">
      <x:c r="B783" s="86" t="str">
        <x:f>IF($P783="","",INDEX(Tasks!$B$10:$B$1941,$P783))</x:f>
        <x:v>Cycle 3</x:v>
      </x:c>
      <x:c r="C783" s="86" t="str">
        <x:f>IF($P783="","",INDEX(Tasks!$C$10:$C$1941,$P783))</x:f>
        <x:v>Phase 1</x:v>
      </x:c>
      <x:c r="D783" s="86" t="str">
        <x:f>IF($P783="","",INDEX(Tasks!$D$10:$D$1941,$P783))</x:f>
        <x:v>CSBBO - Customer Service</x:v>
      </x:c>
      <x:c r="E783" s="86"/>
      <x:c r="F783" s="86" t="str">
        <x:f>IF($P783="","",INDEX(Tasks!$E$10:$E$1941,$P783))</x:f>
        <x:v>Research &amp; Analysis</x:v>
      </x:c>
      <x:c r="G783" s="86"/>
      <x:c r="H783" s="14" t="str">
        <x:f>IF($P783="","",INDEX(Tasks!$F$10:$F$1941,$P783)&amp;CHAR(10)&amp;INDEX(Tasks!$G$10:$G$1941,$P783))</x:f>
        <x:v>RA.CS.1.7
Obtain formal topic selection approval from management via SharePoint</x:v>
      </x:c>
      <x:c r="I783" s="14"/>
      <x:c r="J783" s="14"/>
      <x:c r="K783" s="14"/>
      <x:c r="L783" s="86" t="str">
        <x:f>IF($P783="","",INDEX(Tasks!$N$10:$N$1941,$P783))</x:f>
        <x:v>Not started</x:v>
      </x:c>
      <x:c r="M783" s="87" t="n">
        <x:f>IF($P783="","",INDEX(Tasks!$J$10:$J$1941,$P783))</x:f>
        <x:v>46295</x:v>
      </x:c>
      <x:c r="N783" s="85" t="str">
        <x:f>IF($P783="","",HYPERLINK("#'"&amp;INDEX(Tasks!$T$10:$T$1941,$P783)&amp;"'!A"&amp;INDEX(Tasks!$U$10:$U$1941,$P783),"Open"))</x:f>
        <x:v>Open</x:v>
      </x:c>
      <x:c r="O783" s="14"/>
      <x:c r="P783" s="14" t="n">
        <x:f>IF(762&gt;$B$10,"",MATCH(762,Tasks!$S$10:$S$1941,0))</x:f>
        <x:v>1126</x:v>
      </x:c>
    </x:row>
    <x:row r="784" ht="58" customHeight="1">
      <x:c r="B784" s="86" t="str">
        <x:f>IF($P784="","",INDEX(Tasks!$B$10:$B$1941,$P784))</x:f>
        <x:v>Cycle 3</x:v>
      </x:c>
      <x:c r="C784" s="86" t="str">
        <x:f>IF($P784="","",INDEX(Tasks!$C$10:$C$1941,$P784))</x:f>
        <x:v>Phase 1</x:v>
      </x:c>
      <x:c r="D784" s="86" t="str">
        <x:f>IF($P784="","",INDEX(Tasks!$D$10:$D$1941,$P784))</x:f>
        <x:v>CSBBO - Customer Service</x:v>
      </x:c>
      <x:c r="E784" s="86"/>
      <x:c r="F784" s="86" t="str">
        <x:f>IF($P784="","",INDEX(Tasks!$E$10:$E$1941,$P784))</x:f>
        <x:v>Research &amp; Analysis</x:v>
      </x:c>
      <x:c r="G784" s="86"/>
      <x:c r="H784" s="14" t="str">
        <x:f>IF($P784="","",INDEX(Tasks!$F$10:$F$1941,$P784)&amp;CHAR(10)&amp;INDEX(Tasks!$G$10:$G$1941,$P784))</x:f>
        <x:v>RA.CS.1.8
Socialize topic selection with product owners and subject matter experts (if known)</x:v>
      </x:c>
      <x:c r="I784" s="14"/>
      <x:c r="J784" s="14"/>
      <x:c r="K784" s="14"/>
      <x:c r="L784" s="86" t="str">
        <x:f>IF($P784="","",INDEX(Tasks!$N$10:$N$1941,$P784))</x:f>
        <x:v>Not started</x:v>
      </x:c>
      <x:c r="M784" s="87" t="n">
        <x:f>IF($P784="","",INDEX(Tasks!$J$10:$J$1941,$P784))</x:f>
        <x:v>46295</x:v>
      </x:c>
      <x:c r="N784" s="85" t="str">
        <x:f>IF($P784="","",HYPERLINK("#'"&amp;INDEX(Tasks!$T$10:$T$1941,$P784)&amp;"'!A"&amp;INDEX(Tasks!$U$10:$U$1941,$P784),"Open"))</x:f>
        <x:v>Open</x:v>
      </x:c>
      <x:c r="O784" s="14"/>
      <x:c r="P784" s="14" t="n">
        <x:f>IF(763&gt;$B$10,"",MATCH(763,Tasks!$S$10:$S$1941,0))</x:f>
        <x:v>1127</x:v>
      </x:c>
    </x:row>
    <x:row r="785" ht="58" customHeight="1">
      <x:c r="B785" s="86" t="str">
        <x:f>IF($P785="","",INDEX(Tasks!$B$10:$B$1941,$P785))</x:f>
        <x:v>Cycle 3</x:v>
      </x:c>
      <x:c r="C785" s="86" t="str">
        <x:f>IF($P785="","",INDEX(Tasks!$C$10:$C$1941,$P785))</x:f>
        <x:v>Phase 1</x:v>
      </x:c>
      <x:c r="D785" s="86" t="str">
        <x:f>IF($P785="","",INDEX(Tasks!$D$10:$D$1941,$P785))</x:f>
        <x:v>CSBBO - Customer Service</x:v>
      </x:c>
      <x:c r="E785" s="86"/>
      <x:c r="F785" s="86" t="str">
        <x:f>IF($P785="","",INDEX(Tasks!$E$10:$E$1941,$P785))</x:f>
        <x:v>Research &amp; Analysis</x:v>
      </x:c>
      <x:c r="G785" s="86"/>
      <x:c r="H785" s="14" t="str">
        <x:f>IF($P785="","",INDEX(Tasks!$F$10:$F$1941,$P785)&amp;CHAR(10)&amp;INDEX(Tasks!$G$10:$G$1941,$P785))</x:f>
        <x:v>RA.CS.1.9
Assign topic researchers</x:v>
      </x:c>
      <x:c r="I785" s="14"/>
      <x:c r="J785" s="14"/>
      <x:c r="K785" s="14"/>
      <x:c r="L785" s="86" t="str">
        <x:f>IF($P785="","",INDEX(Tasks!$N$10:$N$1941,$P785))</x:f>
        <x:v>Not started</x:v>
      </x:c>
      <x:c r="M785" s="87" t="n">
        <x:f>IF($P785="","",INDEX(Tasks!$J$10:$J$1941,$P785))</x:f>
        <x:v>46295</x:v>
      </x:c>
      <x:c r="N785" s="85" t="str">
        <x:f>IF($P785="","",HYPERLINK("#'"&amp;INDEX(Tasks!$T$10:$T$1941,$P785)&amp;"'!A"&amp;INDEX(Tasks!$U$10:$U$1941,$P785),"Open"))</x:f>
        <x:v>Open</x:v>
      </x:c>
      <x:c r="O785" s="14"/>
      <x:c r="P785" s="14" t="n">
        <x:f>IF(764&gt;$B$10,"",MATCH(764,Tasks!$S$10:$S$1941,0))</x:f>
        <x:v>1128</x:v>
      </x:c>
    </x:row>
    <x:row r="786" ht="58" customHeight="1">
      <x:c r="B786" s="86" t="str">
        <x:f>IF($P786="","",INDEX(Tasks!$B$10:$B$1941,$P786))</x:f>
        <x:v>Cycle 3</x:v>
      </x:c>
      <x:c r="C786" s="86" t="str">
        <x:f>IF($P786="","",INDEX(Tasks!$C$10:$C$1941,$P786))</x:f>
        <x:v>Phase 2</x:v>
      </x:c>
      <x:c r="D786" s="86" t="str">
        <x:f>IF($P786="","",INDEX(Tasks!$D$10:$D$1941,$P786))</x:f>
        <x:v>CSBBO - Customer Service</x:v>
      </x:c>
      <x:c r="E786" s="86"/>
      <x:c r="F786" s="86" t="str">
        <x:f>IF($P786="","",INDEX(Tasks!$E$10:$E$1941,$P786))</x:f>
        <x:v>Research &amp; Analysis</x:v>
      </x:c>
      <x:c r="G786" s="86"/>
      <x:c r="H786" s="14" t="str">
        <x:f>IF($P786="","",INDEX(Tasks!$F$10:$F$1941,$P786)&amp;CHAR(10)&amp;INDEX(Tasks!$G$10:$G$1941,$P786))</x:f>
        <x:v>RA.CS.2.1
Review data sources</x:v>
      </x:c>
      <x:c r="I786" s="14"/>
      <x:c r="J786" s="14"/>
      <x:c r="K786" s="14"/>
      <x:c r="L786" s="86" t="str">
        <x:f>IF($P786="","",INDEX(Tasks!$N$10:$N$1941,$P786))</x:f>
        <x:v>Not started</x:v>
      </x:c>
      <x:c r="M786" s="87" t="n">
        <x:f>IF($P786="","",INDEX(Tasks!$J$10:$J$1941,$P786))</x:f>
        <x:v>46295</x:v>
      </x:c>
      <x:c r="N786" s="85" t="str">
        <x:f>IF($P786="","",HYPERLINK("#'"&amp;INDEX(Tasks!$T$10:$T$1941,$P786)&amp;"'!A"&amp;INDEX(Tasks!$U$10:$U$1941,$P786),"Open"))</x:f>
        <x:v>Open</x:v>
      </x:c>
      <x:c r="O786" s="14"/>
      <x:c r="P786" s="14" t="n">
        <x:f>IF(765&gt;$B$10,"",MATCH(765,Tasks!$S$10:$S$1941,0))</x:f>
        <x:v>1129</x:v>
      </x:c>
    </x:row>
    <x:row r="787" ht="58" customHeight="1">
      <x:c r="B787" s="86" t="str">
        <x:f>IF($P787="","",INDEX(Tasks!$B$10:$B$1941,$P787))</x:f>
        <x:v>Cycle 3</x:v>
      </x:c>
      <x:c r="C787" s="86" t="str">
        <x:f>IF($P787="","",INDEX(Tasks!$C$10:$C$1941,$P787))</x:f>
        <x:v>Phase 2</x:v>
      </x:c>
      <x:c r="D787" s="86" t="str">
        <x:f>IF($P787="","",INDEX(Tasks!$D$10:$D$1941,$P787))</x:f>
        <x:v>CSBBO - Customer Service</x:v>
      </x:c>
      <x:c r="E787" s="86"/>
      <x:c r="F787" s="86" t="str">
        <x:f>IF($P787="","",INDEX(Tasks!$E$10:$E$1941,$P787))</x:f>
        <x:v>Research &amp; Analysis</x:v>
      </x:c>
      <x:c r="G787" s="86"/>
      <x:c r="H787" s="14" t="str">
        <x:f>IF($P787="","",INDEX(Tasks!$F$10:$F$1941,$P787)&amp;CHAR(10)&amp;INDEX(Tasks!$G$10:$G$1941,$P787))</x:f>
        <x:v>RA.CS.2.2
Review relevant policies and procedures</x:v>
      </x:c>
      <x:c r="I787" s="14"/>
      <x:c r="J787" s="14"/>
      <x:c r="K787" s="14"/>
      <x:c r="L787" s="86" t="str">
        <x:f>IF($P787="","",INDEX(Tasks!$N$10:$N$1941,$P787))</x:f>
        <x:v>Not started</x:v>
      </x:c>
      <x:c r="M787" s="87" t="n">
        <x:f>IF($P787="","",INDEX(Tasks!$J$10:$J$1941,$P787))</x:f>
        <x:v>46295</x:v>
      </x:c>
      <x:c r="N787" s="85" t="str">
        <x:f>IF($P787="","",HYPERLINK("#'"&amp;INDEX(Tasks!$T$10:$T$1941,$P787)&amp;"'!A"&amp;INDEX(Tasks!$U$10:$U$1941,$P787),"Open"))</x:f>
        <x:v>Open</x:v>
      </x:c>
      <x:c r="O787" s="14"/>
      <x:c r="P787" s="14" t="n">
        <x:f>IF(766&gt;$B$10,"",MATCH(766,Tasks!$S$10:$S$1941,0))</x:f>
        <x:v>1130</x:v>
      </x:c>
    </x:row>
    <x:row r="788" ht="58" customHeight="1">
      <x:c r="B788" s="86" t="str">
        <x:f>IF($P788="","",INDEX(Tasks!$B$10:$B$1941,$P788))</x:f>
        <x:v>Cycle 3</x:v>
      </x:c>
      <x:c r="C788" s="86" t="str">
        <x:f>IF($P788="","",INDEX(Tasks!$C$10:$C$1941,$P788))</x:f>
        <x:v>Phase 2</x:v>
      </x:c>
      <x:c r="D788" s="86" t="str">
        <x:f>IF($P788="","",INDEX(Tasks!$D$10:$D$1941,$P788))</x:f>
        <x:v>CSBBO - Customer Service</x:v>
      </x:c>
      <x:c r="E788" s="86"/>
      <x:c r="F788" s="86" t="str">
        <x:f>IF($P788="","",INDEX(Tasks!$E$10:$E$1941,$P788))</x:f>
        <x:v>Research &amp; Analysis</x:v>
      </x:c>
      <x:c r="G788" s="86"/>
      <x:c r="H788" s="14" t="str">
        <x:f>IF($P788="","",INDEX(Tasks!$F$10:$F$1941,$P788)&amp;CHAR(10)&amp;INDEX(Tasks!$G$10:$G$1941,$P788))</x:f>
        <x:v>RA.CS.2.3
Meet with SMEs to gain business insight and clarify questions</x:v>
      </x:c>
      <x:c r="I788" s="14"/>
      <x:c r="J788" s="14"/>
      <x:c r="K788" s="14"/>
      <x:c r="L788" s="86" t="str">
        <x:f>IF($P788="","",INDEX(Tasks!$N$10:$N$1941,$P788))</x:f>
        <x:v>Not started</x:v>
      </x:c>
      <x:c r="M788" s="87" t="n">
        <x:f>IF($P788="","",INDEX(Tasks!$J$10:$J$1941,$P788))</x:f>
        <x:v>46295</x:v>
      </x:c>
      <x:c r="N788" s="85" t="str">
        <x:f>IF($P788="","",HYPERLINK("#'"&amp;INDEX(Tasks!$T$10:$T$1941,$P788)&amp;"'!A"&amp;INDEX(Tasks!$U$10:$U$1941,$P788),"Open"))</x:f>
        <x:v>Open</x:v>
      </x:c>
      <x:c r="O788" s="14"/>
      <x:c r="P788" s="14" t="n">
        <x:f>IF(767&gt;$B$10,"",MATCH(767,Tasks!$S$10:$S$1941,0))</x:f>
        <x:v>1131</x:v>
      </x:c>
    </x:row>
    <x:row r="789" ht="58" customHeight="1">
      <x:c r="B789" s="86" t="str">
        <x:f>IF($P789="","",INDEX(Tasks!$B$10:$B$1941,$P789))</x:f>
        <x:v>Cycle 3</x:v>
      </x:c>
      <x:c r="C789" s="86" t="str">
        <x:f>IF($P789="","",INDEX(Tasks!$C$10:$C$1941,$P789))</x:f>
        <x:v>Phase 2</x:v>
      </x:c>
      <x:c r="D789" s="86" t="str">
        <x:f>IF($P789="","",INDEX(Tasks!$D$10:$D$1941,$P789))</x:f>
        <x:v>CSBBO - Customer Service</x:v>
      </x:c>
      <x:c r="E789" s="86"/>
      <x:c r="F789" s="86" t="str">
        <x:f>IF($P789="","",INDEX(Tasks!$E$10:$E$1941,$P789))</x:f>
        <x:v>Research &amp; Analysis</x:v>
      </x:c>
      <x:c r="G789" s="86"/>
      <x:c r="H789" s="14" t="str">
        <x:f>IF($P789="","",INDEX(Tasks!$F$10:$F$1941,$P789)&amp;CHAR(10)&amp;INDEX(Tasks!$G$10:$G$1941,$P789))</x:f>
        <x:v>RA.CS.2.4
Establish and maintain a recurring meeting with D&amp;I to discuss Cycle progress</x:v>
      </x:c>
      <x:c r="I789" s="14"/>
      <x:c r="J789" s="14"/>
      <x:c r="K789" s="14"/>
      <x:c r="L789" s="86" t="str">
        <x:f>IF($P789="","",INDEX(Tasks!$N$10:$N$1941,$P789))</x:f>
        <x:v>Not started</x:v>
      </x:c>
      <x:c r="M789" s="87" t="n">
        <x:f>IF($P789="","",INDEX(Tasks!$J$10:$J$1941,$P789))</x:f>
        <x:v>46295</x:v>
      </x:c>
      <x:c r="N789" s="85" t="str">
        <x:f>IF($P789="","",HYPERLINK("#'"&amp;INDEX(Tasks!$T$10:$T$1941,$P789)&amp;"'!A"&amp;INDEX(Tasks!$U$10:$U$1941,$P789),"Open"))</x:f>
        <x:v>Open</x:v>
      </x:c>
      <x:c r="O789" s="14"/>
      <x:c r="P789" s="14" t="n">
        <x:f>IF(768&gt;$B$10,"",MATCH(768,Tasks!$S$10:$S$1941,0))</x:f>
        <x:v>1132</x:v>
      </x:c>
    </x:row>
    <x:row r="790" ht="58" customHeight="1">
      <x:c r="B790" s="86" t="str">
        <x:f>IF($P790="","",INDEX(Tasks!$B$10:$B$1941,$P790))</x:f>
        <x:v>Cycle 3</x:v>
      </x:c>
      <x:c r="C790" s="86" t="str">
        <x:f>IF($P790="","",INDEX(Tasks!$C$10:$C$1941,$P790))</x:f>
        <x:v>Phase 2</x:v>
      </x:c>
      <x:c r="D790" s="86" t="str">
        <x:f>IF($P790="","",INDEX(Tasks!$D$10:$D$1941,$P790))</x:f>
        <x:v>CSBBO - Customer Service</x:v>
      </x:c>
      <x:c r="E790" s="86"/>
      <x:c r="F790" s="86" t="str">
        <x:f>IF($P790="","",INDEX(Tasks!$E$10:$E$1941,$P790))</x:f>
        <x:v>Research &amp; Analysis</x:v>
      </x:c>
      <x:c r="G790" s="86"/>
      <x:c r="H790" s="14" t="str">
        <x:f>IF($P790="","",INDEX(Tasks!$F$10:$F$1941,$P790)&amp;CHAR(10)&amp;INDEX(Tasks!$G$10:$G$1941,$P790))</x:f>
        <x:v>RA.CS.2.5
Perform data testing and sampling</x:v>
      </x:c>
      <x:c r="I790" s="14"/>
      <x:c r="J790" s="14"/>
      <x:c r="K790" s="14"/>
      <x:c r="L790" s="86" t="str">
        <x:f>IF($P790="","",INDEX(Tasks!$N$10:$N$1941,$P790))</x:f>
        <x:v>Not started</x:v>
      </x:c>
      <x:c r="M790" s="87" t="n">
        <x:f>IF($P790="","",INDEX(Tasks!$J$10:$J$1941,$P790))</x:f>
        <x:v>46295</x:v>
      </x:c>
      <x:c r="N790" s="85" t="str">
        <x:f>IF($P790="","",HYPERLINK("#'"&amp;INDEX(Tasks!$T$10:$T$1941,$P790)&amp;"'!A"&amp;INDEX(Tasks!$U$10:$U$1941,$P790),"Open"))</x:f>
        <x:v>Open</x:v>
      </x:c>
      <x:c r="O790" s="14"/>
      <x:c r="P790" s="14" t="n">
        <x:f>IF(769&gt;$B$10,"",MATCH(769,Tasks!$S$10:$S$1941,0))</x:f>
        <x:v>1133</x:v>
      </x:c>
    </x:row>
    <x:row r="791" ht="58" customHeight="1">
      <x:c r="B791" s="86" t="str">
        <x:f>IF($P791="","",INDEX(Tasks!$B$10:$B$1941,$P791))</x:f>
        <x:v>Cycle 3</x:v>
      </x:c>
      <x:c r="C791" s="86" t="str">
        <x:f>IF($P791="","",INDEX(Tasks!$C$10:$C$1941,$P791))</x:f>
        <x:v>Phase 2</x:v>
      </x:c>
      <x:c r="D791" s="86" t="str">
        <x:f>IF($P791="","",INDEX(Tasks!$D$10:$D$1941,$P791))</x:f>
        <x:v>CSBBO - Customer Service</x:v>
      </x:c>
      <x:c r="E791" s="86"/>
      <x:c r="F791" s="86" t="str">
        <x:f>IF($P791="","",INDEX(Tasks!$E$10:$E$1941,$P791))</x:f>
        <x:v>Research &amp; Analysis</x:v>
      </x:c>
      <x:c r="G791" s="86"/>
      <x:c r="H791" s="14" t="str">
        <x:f>IF($P791="","",INDEX(Tasks!$F$10:$F$1941,$P791)&amp;CHAR(10)&amp;INDEX(Tasks!$G$10:$G$1941,$P791))</x:f>
        <x:v>RA.CS.2.6
Complete Positive Testing</x:v>
      </x:c>
      <x:c r="I791" s="14"/>
      <x:c r="J791" s="14"/>
      <x:c r="K791" s="14"/>
      <x:c r="L791" s="86" t="str">
        <x:f>IF($P791="","",INDEX(Tasks!$N$10:$N$1941,$P791))</x:f>
        <x:v>Not started</x:v>
      </x:c>
      <x:c r="M791" s="87" t="n">
        <x:f>IF($P791="","",INDEX(Tasks!$J$10:$J$1941,$P791))</x:f>
        <x:v>46295</x:v>
      </x:c>
      <x:c r="N791" s="85" t="str">
        <x:f>IF($P791="","",HYPERLINK("#'"&amp;INDEX(Tasks!$T$10:$T$1941,$P791)&amp;"'!A"&amp;INDEX(Tasks!$U$10:$U$1941,$P791),"Open"))</x:f>
        <x:v>Open</x:v>
      </x:c>
      <x:c r="O791" s="14"/>
      <x:c r="P791" s="14" t="n">
        <x:f>IF(770&gt;$B$10,"",MATCH(770,Tasks!$S$10:$S$1941,0))</x:f>
        <x:v>1134</x:v>
      </x:c>
    </x:row>
    <x:row r="792" ht="58" customHeight="1">
      <x:c r="B792" s="86" t="str">
        <x:f>IF($P792="","",INDEX(Tasks!$B$10:$B$1941,$P792))</x:f>
        <x:v>Cycle 3</x:v>
      </x:c>
      <x:c r="C792" s="86" t="str">
        <x:f>IF($P792="","",INDEX(Tasks!$C$10:$C$1941,$P792))</x:f>
        <x:v>Phase 2</x:v>
      </x:c>
      <x:c r="D792" s="86" t="str">
        <x:f>IF($P792="","",INDEX(Tasks!$D$10:$D$1941,$P792))</x:f>
        <x:v>CSBBO - Customer Service</x:v>
      </x:c>
      <x:c r="E792" s="86"/>
      <x:c r="F792" s="86" t="str">
        <x:f>IF($P792="","",INDEX(Tasks!$E$10:$E$1941,$P792))</x:f>
        <x:v>Research &amp; Analysis</x:v>
      </x:c>
      <x:c r="G792" s="86"/>
      <x:c r="H792" s="14" t="str">
        <x:f>IF($P792="","",INDEX(Tasks!$F$10:$F$1941,$P792)&amp;CHAR(10)&amp;INDEX(Tasks!$G$10:$G$1941,$P792))</x:f>
        <x:v>RA.CS.2.7
Complete Negative Testing</x:v>
      </x:c>
      <x:c r="I792" s="14"/>
      <x:c r="J792" s="14"/>
      <x:c r="K792" s="14"/>
      <x:c r="L792" s="86" t="str">
        <x:f>IF($P792="","",INDEX(Tasks!$N$10:$N$1941,$P792))</x:f>
        <x:v>Not started</x:v>
      </x:c>
      <x:c r="M792" s="87" t="n">
        <x:f>IF($P792="","",INDEX(Tasks!$J$10:$J$1941,$P792))</x:f>
        <x:v>46295</x:v>
      </x:c>
      <x:c r="N792" s="85" t="str">
        <x:f>IF($P792="","",HYPERLINK("#'"&amp;INDEX(Tasks!$T$10:$T$1941,$P792)&amp;"'!A"&amp;INDEX(Tasks!$U$10:$U$1941,$P792),"Open"))</x:f>
        <x:v>Open</x:v>
      </x:c>
      <x:c r="O792" s="14"/>
      <x:c r="P792" s="14" t="n">
        <x:f>IF(771&gt;$B$10,"",MATCH(771,Tasks!$S$10:$S$1941,0))</x:f>
        <x:v>1135</x:v>
      </x:c>
    </x:row>
    <x:row r="793" ht="58" customHeight="1">
      <x:c r="B793" s="86" t="str">
        <x:f>IF($P793="","",INDEX(Tasks!$B$10:$B$1941,$P793))</x:f>
        <x:v>Cycle 3</x:v>
      </x:c>
      <x:c r="C793" s="86" t="str">
        <x:f>IF($P793="","",INDEX(Tasks!$C$10:$C$1941,$P793))</x:f>
        <x:v>Phase 2</x:v>
      </x:c>
      <x:c r="D793" s="86" t="str">
        <x:f>IF($P793="","",INDEX(Tasks!$D$10:$D$1941,$P793))</x:f>
        <x:v>CSBBO - Customer Service</x:v>
      </x:c>
      <x:c r="E793" s="86"/>
      <x:c r="F793" s="86" t="str">
        <x:f>IF($P793="","",INDEX(Tasks!$E$10:$E$1941,$P793))</x:f>
        <x:v>Research &amp; Analysis</x:v>
      </x:c>
      <x:c r="G793" s="86"/>
      <x:c r="H793" s="14" t="str">
        <x:f>IF($P793="","",INDEX(Tasks!$F$10:$F$1941,$P793)&amp;CHAR(10)&amp;INDEX(Tasks!$G$10:$G$1941,$P793))</x:f>
        <x:v>RA.CS.2.8
Request additional data (as needed)</x:v>
      </x:c>
      <x:c r="I793" s="14"/>
      <x:c r="J793" s="14"/>
      <x:c r="K793" s="14"/>
      <x:c r="L793" s="86" t="str">
        <x:f>IF($P793="","",INDEX(Tasks!$N$10:$N$1941,$P793))</x:f>
        <x:v>Not started</x:v>
      </x:c>
      <x:c r="M793" s="87" t="n">
        <x:f>IF($P793="","",INDEX(Tasks!$J$10:$J$1941,$P793))</x:f>
        <x:v>46295</x:v>
      </x:c>
      <x:c r="N793" s="85" t="str">
        <x:f>IF($P793="","",HYPERLINK("#'"&amp;INDEX(Tasks!$T$10:$T$1941,$P793)&amp;"'!A"&amp;INDEX(Tasks!$U$10:$U$1941,$P793),"Open"))</x:f>
        <x:v>Open</x:v>
      </x:c>
      <x:c r="O793" s="14"/>
      <x:c r="P793" s="14" t="n">
        <x:f>IF(772&gt;$B$10,"",MATCH(772,Tasks!$S$10:$S$1941,0))</x:f>
        <x:v>1136</x:v>
      </x:c>
    </x:row>
    <x:row r="794" ht="58" customHeight="1">
      <x:c r="B794" s="86" t="str">
        <x:f>IF($P794="","",INDEX(Tasks!$B$10:$B$1941,$P794))</x:f>
        <x:v>Cycle 3</x:v>
      </x:c>
      <x:c r="C794" s="86" t="str">
        <x:f>IF($P794="","",INDEX(Tasks!$C$10:$C$1941,$P794))</x:f>
        <x:v>Phase 2</x:v>
      </x:c>
      <x:c r="D794" s="86" t="str">
        <x:f>IF($P794="","",INDEX(Tasks!$D$10:$D$1941,$P794))</x:f>
        <x:v>CSBBO - Customer Service</x:v>
      </x:c>
      <x:c r="E794" s="86"/>
      <x:c r="F794" s="86" t="str">
        <x:f>IF($P794="","",INDEX(Tasks!$E$10:$E$1941,$P794))</x:f>
        <x:v>Research &amp; Analysis</x:v>
      </x:c>
      <x:c r="G794" s="86"/>
      <x:c r="H794" s="14" t="str">
        <x:f>IF($P794="","",INDEX(Tasks!$F$10:$F$1941,$P794)&amp;CHAR(10)&amp;INDEX(Tasks!$G$10:$G$1941,$P794))</x:f>
        <x:v>RA.CS.2.9
Validate or disprove initial hypothesis assumptions</x:v>
      </x:c>
      <x:c r="I794" s="14"/>
      <x:c r="J794" s="14"/>
      <x:c r="K794" s="14"/>
      <x:c r="L794" s="86" t="str">
        <x:f>IF($P794="","",INDEX(Tasks!$N$10:$N$1941,$P794))</x:f>
        <x:v>Not started</x:v>
      </x:c>
      <x:c r="M794" s="87" t="n">
        <x:f>IF($P794="","",INDEX(Tasks!$J$10:$J$1941,$P794))</x:f>
        <x:v>46295</x:v>
      </x:c>
      <x:c r="N794" s="85" t="str">
        <x:f>IF($P794="","",HYPERLINK("#'"&amp;INDEX(Tasks!$T$10:$T$1941,$P794)&amp;"'!A"&amp;INDEX(Tasks!$U$10:$U$1941,$P794),"Open"))</x:f>
        <x:v>Open</x:v>
      </x:c>
      <x:c r="O794" s="14"/>
      <x:c r="P794" s="14" t="n">
        <x:f>IF(773&gt;$B$10,"",MATCH(773,Tasks!$S$10:$S$1941,0))</x:f>
        <x:v>1137</x:v>
      </x:c>
    </x:row>
    <x:row r="795" ht="58" customHeight="1">
      <x:c r="B795" s="86" t="str">
        <x:f>IF($P795="","",INDEX(Tasks!$B$10:$B$1941,$P795))</x:f>
        <x:v>Cycle 3</x:v>
      </x:c>
      <x:c r="C795" s="86" t="str">
        <x:f>IF($P795="","",INDEX(Tasks!$C$10:$C$1941,$P795))</x:f>
        <x:v>Phase 2</x:v>
      </x:c>
      <x:c r="D795" s="86" t="str">
        <x:f>IF($P795="","",INDEX(Tasks!$D$10:$D$1941,$P795))</x:f>
        <x:v>CSBBO - Customer Service</x:v>
      </x:c>
      <x:c r="E795" s="86"/>
      <x:c r="F795" s="86" t="str">
        <x:f>IF($P795="","",INDEX(Tasks!$E$10:$E$1941,$P795))</x:f>
        <x:v>Research &amp; Analysis</x:v>
      </x:c>
      <x:c r="G795" s="86"/>
      <x:c r="H795" s="14" t="str">
        <x:f>IF($P795="","",INDEX(Tasks!$F$10:$F$1941,$P795)&amp;CHAR(10)&amp;INDEX(Tasks!$G$10:$G$1941,$P795))</x:f>
        <x:v>RA.CS.2.10
Identify and confirm root cause</x:v>
      </x:c>
      <x:c r="I795" s="14"/>
      <x:c r="J795" s="14"/>
      <x:c r="K795" s="14"/>
      <x:c r="L795" s="86" t="str">
        <x:f>IF($P795="","",INDEX(Tasks!$N$10:$N$1941,$P795))</x:f>
        <x:v>Not started</x:v>
      </x:c>
      <x:c r="M795" s="87" t="n">
        <x:f>IF($P795="","",INDEX(Tasks!$J$10:$J$1941,$P795))</x:f>
        <x:v>46295</x:v>
      </x:c>
      <x:c r="N795" s="85" t="str">
        <x:f>IF($P795="","",HYPERLINK("#'"&amp;INDEX(Tasks!$T$10:$T$1941,$P795)&amp;"'!A"&amp;INDEX(Tasks!$U$10:$U$1941,$P795),"Open"))</x:f>
        <x:v>Open</x:v>
      </x:c>
      <x:c r="O795" s="14"/>
      <x:c r="P795" s="14" t="n">
        <x:f>IF(774&gt;$B$10,"",MATCH(774,Tasks!$S$10:$S$1941,0))</x:f>
        <x:v>1138</x:v>
      </x:c>
    </x:row>
    <x:row r="796" ht="58" customHeight="1">
      <x:c r="B796" s="86" t="str">
        <x:f>IF($P796="","",INDEX(Tasks!$B$10:$B$1941,$P796))</x:f>
        <x:v>Cycle 3</x:v>
      </x:c>
      <x:c r="C796" s="86" t="str">
        <x:f>IF($P796="","",INDEX(Tasks!$C$10:$C$1941,$P796))</x:f>
        <x:v>Phase 3</x:v>
      </x:c>
      <x:c r="D796" s="86" t="str">
        <x:f>IF($P796="","",INDEX(Tasks!$D$10:$D$1941,$P796))</x:f>
        <x:v>CSBBO - Customer Service</x:v>
      </x:c>
      <x:c r="E796" s="86"/>
      <x:c r="F796" s="86" t="str">
        <x:f>IF($P796="","",INDEX(Tasks!$E$10:$E$1941,$P796))</x:f>
        <x:v>Research &amp; Analysis</x:v>
      </x:c>
      <x:c r="G796" s="86"/>
      <x:c r="H796" s="14" t="str">
        <x:f>IF($P796="","",INDEX(Tasks!$F$10:$F$1941,$P796)&amp;CHAR(10)&amp;INDEX(Tasks!$G$10:$G$1941,$P796))</x:f>
        <x:v>RA.CS.3.1
Finalize results and supporting documentation</x:v>
      </x:c>
      <x:c r="I796" s="14"/>
      <x:c r="J796" s="14"/>
      <x:c r="K796" s="14"/>
      <x:c r="L796" s="86" t="str">
        <x:f>IF($P796="","",INDEX(Tasks!$N$10:$N$1941,$P796))</x:f>
        <x:v>Not started</x:v>
      </x:c>
      <x:c r="M796" s="87" t="n">
        <x:f>IF($P796="","",INDEX(Tasks!$J$10:$J$1941,$P796))</x:f>
        <x:v>46295</x:v>
      </x:c>
      <x:c r="N796" s="85" t="str">
        <x:f>IF($P796="","",HYPERLINK("#'"&amp;INDEX(Tasks!$T$10:$T$1941,$P796)&amp;"'!A"&amp;INDEX(Tasks!$U$10:$U$1941,$P796),"Open"))</x:f>
        <x:v>Open</x:v>
      </x:c>
      <x:c r="O796" s="14"/>
      <x:c r="P796" s="14" t="n">
        <x:f>IF(775&gt;$B$10,"",MATCH(775,Tasks!$S$10:$S$1941,0))</x:f>
        <x:v>1139</x:v>
      </x:c>
    </x:row>
    <x:row r="797" ht="58" customHeight="1">
      <x:c r="B797" s="86" t="str">
        <x:f>IF($P797="","",INDEX(Tasks!$B$10:$B$1941,$P797))</x:f>
        <x:v>Cycle 3</x:v>
      </x:c>
      <x:c r="C797" s="86" t="str">
        <x:f>IF($P797="","",INDEX(Tasks!$C$10:$C$1941,$P797))</x:f>
        <x:v>Phase 3</x:v>
      </x:c>
      <x:c r="D797" s="86" t="str">
        <x:f>IF($P797="","",INDEX(Tasks!$D$10:$D$1941,$P797))</x:f>
        <x:v>CSBBO - Customer Service</x:v>
      </x:c>
      <x:c r="E797" s="86"/>
      <x:c r="F797" s="86" t="str">
        <x:f>IF($P797="","",INDEX(Tasks!$E$10:$E$1941,$P797))</x:f>
        <x:v>Research &amp; Analysis</x:v>
      </x:c>
      <x:c r="G797" s="86"/>
      <x:c r="H797" s="14" t="str">
        <x:f>IF($P797="","",INDEX(Tasks!$F$10:$F$1941,$P797)&amp;CHAR(10)&amp;INDEX(Tasks!$G$10:$G$1941,$P797))</x:f>
        <x:v>RA.CS.3.2
Maintain and update the evidence package prior to handoff to D&amp;I</x:v>
      </x:c>
      <x:c r="I797" s="14"/>
      <x:c r="J797" s="14"/>
      <x:c r="K797" s="14"/>
      <x:c r="L797" s="86" t="str">
        <x:f>IF($P797="","",INDEX(Tasks!$N$10:$N$1941,$P797))</x:f>
        <x:v>Not started</x:v>
      </x:c>
      <x:c r="M797" s="87" t="n">
        <x:f>IF($P797="","",INDEX(Tasks!$J$10:$J$1941,$P797))</x:f>
        <x:v>46295</x:v>
      </x:c>
      <x:c r="N797" s="85" t="str">
        <x:f>IF($P797="","",HYPERLINK("#'"&amp;INDEX(Tasks!$T$10:$T$1941,$P797)&amp;"'!A"&amp;INDEX(Tasks!$U$10:$U$1941,$P797),"Open"))</x:f>
        <x:v>Open</x:v>
      </x:c>
      <x:c r="O797" s="14"/>
      <x:c r="P797" s="14" t="n">
        <x:f>IF(776&gt;$B$10,"",MATCH(776,Tasks!$S$10:$S$1941,0))</x:f>
        <x:v>1140</x:v>
      </x:c>
    </x:row>
    <x:row r="798" ht="58" customHeight="1">
      <x:c r="B798" s="86" t="str">
        <x:f>IF($P798="","",INDEX(Tasks!$B$10:$B$1941,$P798))</x:f>
        <x:v>Cycle 3</x:v>
      </x:c>
      <x:c r="C798" s="86" t="str">
        <x:f>IF($P798="","",INDEX(Tasks!$C$10:$C$1941,$P798))</x:f>
        <x:v>Phase 3</x:v>
      </x:c>
      <x:c r="D798" s="86" t="str">
        <x:f>IF($P798="","",INDEX(Tasks!$D$10:$D$1941,$P798))</x:f>
        <x:v>CSBBO - Customer Service</x:v>
      </x:c>
      <x:c r="E798" s="86"/>
      <x:c r="F798" s="86" t="str">
        <x:f>IF($P798="","",INDEX(Tasks!$E$10:$E$1941,$P798))</x:f>
        <x:v>Research &amp; Analysis</x:v>
      </x:c>
      <x:c r="G798" s="86"/>
      <x:c r="H798" s="14" t="str">
        <x:f>IF($P798="","",INDEX(Tasks!$F$10:$F$1941,$P798)&amp;CHAR(10)&amp;INDEX(Tasks!$G$10:$G$1941,$P798))</x:f>
        <x:v>RA.CS.3.3
Address any outstanding questions or requests from D&amp;I</x:v>
      </x:c>
      <x:c r="I798" s="14"/>
      <x:c r="J798" s="14"/>
      <x:c r="K798" s="14"/>
      <x:c r="L798" s="86" t="str">
        <x:f>IF($P798="","",INDEX(Tasks!$N$10:$N$1941,$P798))</x:f>
        <x:v>Not started</x:v>
      </x:c>
      <x:c r="M798" s="87" t="n">
        <x:f>IF($P798="","",INDEX(Tasks!$J$10:$J$1941,$P798))</x:f>
        <x:v>46295</x:v>
      </x:c>
      <x:c r="N798" s="85" t="str">
        <x:f>IF($P798="","",HYPERLINK("#'"&amp;INDEX(Tasks!$T$10:$T$1941,$P798)&amp;"'!A"&amp;INDEX(Tasks!$U$10:$U$1941,$P798),"Open"))</x:f>
        <x:v>Open</x:v>
      </x:c>
      <x:c r="O798" s="14"/>
      <x:c r="P798" s="14" t="n">
        <x:f>IF(777&gt;$B$10,"",MATCH(777,Tasks!$S$10:$S$1941,0))</x:f>
        <x:v>1141</x:v>
      </x:c>
    </x:row>
    <x:row r="799" ht="58" customHeight="1">
      <x:c r="B799" s="86" t="str">
        <x:f>IF($P799="","",INDEX(Tasks!$B$10:$B$1941,$P799))</x:f>
        <x:v>Cycle 3</x:v>
      </x:c>
      <x:c r="C799" s="86" t="str">
        <x:f>IF($P799="","",INDEX(Tasks!$C$10:$C$1941,$P799))</x:f>
        <x:v>Phase 3</x:v>
      </x:c>
      <x:c r="D799" s="86" t="str">
        <x:f>IF($P799="","",INDEX(Tasks!$D$10:$D$1941,$P799))</x:f>
        <x:v>CSBBO - Customer Service</x:v>
      </x:c>
      <x:c r="E799" s="86"/>
      <x:c r="F799" s="86" t="str">
        <x:f>IF($P799="","",INDEX(Tasks!$E$10:$E$1941,$P799))</x:f>
        <x:v>Research &amp; Analysis</x:v>
      </x:c>
      <x:c r="G799" s="86"/>
      <x:c r="H799" s="14" t="str">
        <x:f>IF($P799="","",INDEX(Tasks!$F$10:$F$1941,$P799)&amp;CHAR(10)&amp;INDEX(Tasks!$G$10:$G$1941,$P799))</x:f>
        <x:v>RA.CS.3.4
Attend Forum meeting with D&amp;I to assist with answering stakeholder questions (as needed)</x:v>
      </x:c>
      <x:c r="I799" s="14"/>
      <x:c r="J799" s="14"/>
      <x:c r="K799" s="14"/>
      <x:c r="L799" s="86" t="str">
        <x:f>IF($P799="","",INDEX(Tasks!$N$10:$N$1941,$P799))</x:f>
        <x:v>Not started</x:v>
      </x:c>
      <x:c r="M799" s="87" t="str">
        <x:f>IF($P799="","",INDEX(Tasks!$J$10:$J$1941,$P799))</x:f>
      </x:c>
      <x:c r="N799" s="85" t="str">
        <x:f>IF($P799="","",HYPERLINK("#'"&amp;INDEX(Tasks!$T$10:$T$1941,$P799)&amp;"'!A"&amp;INDEX(Tasks!$U$10:$U$1941,$P799),"Open"))</x:f>
        <x:v>Open</x:v>
      </x:c>
      <x:c r="O799" s="14"/>
      <x:c r="P799" s="14" t="n">
        <x:f>IF(778&gt;$B$10,"",MATCH(778,Tasks!$S$10:$S$1941,0))</x:f>
        <x:v>1142</x:v>
      </x:c>
    </x:row>
    <x:row r="800" ht="58" customHeight="1">
      <x:c r="B800" s="86" t="str">
        <x:f>IF($P800="","",INDEX(Tasks!$B$10:$B$1941,$P800))</x:f>
        <x:v>Cycle 3</x:v>
      </x:c>
      <x:c r="C800" s="86" t="str">
        <x:f>IF($P800="","",INDEX(Tasks!$C$10:$C$1941,$P800))</x:f>
        <x:v>Phase 1</x:v>
      </x:c>
      <x:c r="D800" s="86" t="str">
        <x:f>IF($P800="","",INDEX(Tasks!$D$10:$D$1941,$P800))</x:f>
        <x:v>FCM</x:v>
      </x:c>
      <x:c r="E800" s="86"/>
      <x:c r="F800" s="86" t="str">
        <x:f>IF($P800="","",INDEX(Tasks!$E$10:$E$1941,$P800))</x:f>
        <x:v>Research &amp; Analysis</x:v>
      </x:c>
      <x:c r="G800" s="86"/>
      <x:c r="H800" s="14" t="str">
        <x:f>IF($P800="","",INDEX(Tasks!$F$10:$F$1941,$P800)&amp;CHAR(10)&amp;INDEX(Tasks!$G$10:$G$1941,$P800))</x:f>
        <x:v>RA.FC.1.1
Begin Research process 2 weeks prior to Cycle start</x:v>
      </x:c>
      <x:c r="I800" s="14"/>
      <x:c r="J800" s="14"/>
      <x:c r="K800" s="14"/>
      <x:c r="L800" s="86" t="str">
        <x:f>IF($P800="","",INDEX(Tasks!$N$10:$N$1941,$P800))</x:f>
        <x:v>Not started</x:v>
      </x:c>
      <x:c r="M800" s="87" t="n">
        <x:f>IF($P800="","",INDEX(Tasks!$J$10:$J$1941,$P800))</x:f>
        <x:v>46190</x:v>
      </x:c>
      <x:c r="N800" s="85" t="str">
        <x:f>IF($P800="","",HYPERLINK("#'"&amp;INDEX(Tasks!$T$10:$T$1941,$P800)&amp;"'!A"&amp;INDEX(Tasks!$U$10:$U$1941,$P800),"Open"))</x:f>
        <x:v>Open</x:v>
      </x:c>
      <x:c r="O800" s="14"/>
      <x:c r="P800" s="14" t="n">
        <x:f>IF(779&gt;$B$10,"",MATCH(779,Tasks!$S$10:$S$1941,0))</x:f>
        <x:v>1143</x:v>
      </x:c>
    </x:row>
    <x:row r="801" ht="58" customHeight="1">
      <x:c r="B801" s="86" t="str">
        <x:f>IF($P801="","",INDEX(Tasks!$B$10:$B$1941,$P801))</x:f>
        <x:v>Cycle 3</x:v>
      </x:c>
      <x:c r="C801" s="86" t="str">
        <x:f>IF($P801="","",INDEX(Tasks!$C$10:$C$1941,$P801))</x:f>
        <x:v>Phase 1</x:v>
      </x:c>
      <x:c r="D801" s="86" t="str">
        <x:f>IF($P801="","",INDEX(Tasks!$D$10:$D$1941,$P801))</x:f>
        <x:v>FCM</x:v>
      </x:c>
      <x:c r="E801" s="86"/>
      <x:c r="F801" s="86" t="str">
        <x:f>IF($P801="","",INDEX(Tasks!$E$10:$E$1941,$P801))</x:f>
        <x:v>Research &amp; Analysis</x:v>
      </x:c>
      <x:c r="G801" s="86"/>
      <x:c r="H801" s="14" t="str">
        <x:f>IF($P801="","",INDEX(Tasks!$F$10:$F$1941,$P801)&amp;CHAR(10)&amp;INDEX(Tasks!$G$10:$G$1941,$P801))</x:f>
        <x:v>RA.FC.1.2
Conduct initial assessment of each topic recommendation from SharePoint list</x:v>
      </x:c>
      <x:c r="I801" s="14"/>
      <x:c r="J801" s="14"/>
      <x:c r="K801" s="14"/>
      <x:c r="L801" s="86" t="str">
        <x:f>IF($P801="","",INDEX(Tasks!$N$10:$N$1941,$P801))</x:f>
        <x:v>Not started</x:v>
      </x:c>
      <x:c r="M801" s="87" t="n">
        <x:f>IF($P801="","",INDEX(Tasks!$J$10:$J$1941,$P801))</x:f>
        <x:v>46295</x:v>
      </x:c>
      <x:c r="N801" s="85" t="str">
        <x:f>IF($P801="","",HYPERLINK("#'"&amp;INDEX(Tasks!$T$10:$T$1941,$P801)&amp;"'!A"&amp;INDEX(Tasks!$U$10:$U$1941,$P801),"Open"))</x:f>
        <x:v>Open</x:v>
      </x:c>
      <x:c r="O801" s="14"/>
      <x:c r="P801" s="14" t="n">
        <x:f>IF(780&gt;$B$10,"",MATCH(780,Tasks!$S$10:$S$1941,0))</x:f>
        <x:v>1144</x:v>
      </x:c>
    </x:row>
    <x:row r="802" ht="58" customHeight="1">
      <x:c r="B802" s="86" t="str">
        <x:f>IF($P802="","",INDEX(Tasks!$B$10:$B$1941,$P802))</x:f>
        <x:v>Cycle 3</x:v>
      </x:c>
      <x:c r="C802" s="86" t="str">
        <x:f>IF($P802="","",INDEX(Tasks!$C$10:$C$1941,$P802))</x:f>
        <x:v>Phase 1</x:v>
      </x:c>
      <x:c r="D802" s="86" t="str">
        <x:f>IF($P802="","",INDEX(Tasks!$D$10:$D$1941,$P802))</x:f>
        <x:v>FCM</x:v>
      </x:c>
      <x:c r="E802" s="86"/>
      <x:c r="F802" s="86" t="str">
        <x:f>IF($P802="","",INDEX(Tasks!$E$10:$E$1941,$P802))</x:f>
        <x:v>Research &amp; Analysis</x:v>
      </x:c>
      <x:c r="G802" s="86"/>
      <x:c r="H802" s="14" t="str">
        <x:f>IF($P802="","",INDEX(Tasks!$F$10:$F$1941,$P802)&amp;CHAR(10)&amp;INDEX(Tasks!$G$10:$G$1941,$P802))</x:f>
        <x:v>RA.FC.1.3
Identify best topic for Cycle</x:v>
      </x:c>
      <x:c r="I802" s="14"/>
      <x:c r="J802" s="14"/>
      <x:c r="K802" s="14"/>
      <x:c r="L802" s="86" t="str">
        <x:f>IF($P802="","",INDEX(Tasks!$N$10:$N$1941,$P802))</x:f>
        <x:v>Not started</x:v>
      </x:c>
      <x:c r="M802" s="87" t="n">
        <x:f>IF($P802="","",INDEX(Tasks!$J$10:$J$1941,$P802))</x:f>
        <x:v>46295</x:v>
      </x:c>
      <x:c r="N802" s="85" t="str">
        <x:f>IF($P802="","",HYPERLINK("#'"&amp;INDEX(Tasks!$T$10:$T$1941,$P802)&amp;"'!A"&amp;INDEX(Tasks!$U$10:$U$1941,$P802),"Open"))</x:f>
        <x:v>Open</x:v>
      </x:c>
      <x:c r="O802" s="14"/>
      <x:c r="P802" s="14" t="n">
        <x:f>IF(781&gt;$B$10,"",MATCH(781,Tasks!$S$10:$S$1941,0))</x:f>
        <x:v>1145</x:v>
      </x:c>
    </x:row>
    <x:row r="803" ht="58" customHeight="1">
      <x:c r="B803" s="86" t="str">
        <x:f>IF($P803="","",INDEX(Tasks!$B$10:$B$1941,$P803))</x:f>
        <x:v>Cycle 3</x:v>
      </x:c>
      <x:c r="C803" s="86" t="str">
        <x:f>IF($P803="","",INDEX(Tasks!$C$10:$C$1941,$P803))</x:f>
        <x:v>Phase 1</x:v>
      </x:c>
      <x:c r="D803" s="86" t="str">
        <x:f>IF($P803="","",INDEX(Tasks!$D$10:$D$1941,$P803))</x:f>
        <x:v>FCM</x:v>
      </x:c>
      <x:c r="E803" s="86"/>
      <x:c r="F803" s="86" t="str">
        <x:f>IF($P803="","",INDEX(Tasks!$E$10:$E$1941,$P803))</x:f>
        <x:v>Research &amp; Analysis</x:v>
      </x:c>
      <x:c r="G803" s="86"/>
      <x:c r="H803" s="14" t="str">
        <x:f>IF($P803="","",INDEX(Tasks!$F$10:$F$1941,$P803)&amp;CHAR(10)&amp;INDEX(Tasks!$G$10:$G$1941,$P803))</x:f>
        <x:v>RA.FC.1.4
Identify backup topic for Cycle</x:v>
      </x:c>
      <x:c r="I803" s="14"/>
      <x:c r="J803" s="14"/>
      <x:c r="K803" s="14"/>
      <x:c r="L803" s="86" t="str">
        <x:f>IF($P803="","",INDEX(Tasks!$N$10:$N$1941,$P803))</x:f>
        <x:v>Not started</x:v>
      </x:c>
      <x:c r="M803" s="87" t="n">
        <x:f>IF($P803="","",INDEX(Tasks!$J$10:$J$1941,$P803))</x:f>
        <x:v>46295</x:v>
      </x:c>
      <x:c r="N803" s="85" t="str">
        <x:f>IF($P803="","",HYPERLINK("#'"&amp;INDEX(Tasks!$T$10:$T$1941,$P803)&amp;"'!A"&amp;INDEX(Tasks!$U$10:$U$1941,$P803),"Open"))</x:f>
        <x:v>Open</x:v>
      </x:c>
      <x:c r="O803" s="14"/>
      <x:c r="P803" s="14" t="n">
        <x:f>IF(782&gt;$B$10,"",MATCH(782,Tasks!$S$10:$S$1941,0))</x:f>
        <x:v>1146</x:v>
      </x:c>
    </x:row>
    <x:row r="804" ht="58" customHeight="1">
      <x:c r="B804" s="86" t="str">
        <x:f>IF($P804="","",INDEX(Tasks!$B$10:$B$1941,$P804))</x:f>
        <x:v>Cycle 3</x:v>
      </x:c>
      <x:c r="C804" s="86" t="str">
        <x:f>IF($P804="","",INDEX(Tasks!$C$10:$C$1941,$P804))</x:f>
        <x:v>Phase 1</x:v>
      </x:c>
      <x:c r="D804" s="86" t="str">
        <x:f>IF($P804="","",INDEX(Tasks!$D$10:$D$1941,$P804))</x:f>
        <x:v>FCM</x:v>
      </x:c>
      <x:c r="E804" s="86"/>
      <x:c r="F804" s="86" t="str">
        <x:f>IF($P804="","",INDEX(Tasks!$E$10:$E$1941,$P804))</x:f>
        <x:v>Research &amp; Analysis</x:v>
      </x:c>
      <x:c r="G804" s="86"/>
      <x:c r="H804" s="14" t="str">
        <x:f>IF($P804="","",INDEX(Tasks!$F$10:$F$1941,$P804)&amp;CHAR(10)&amp;INDEX(Tasks!$G$10:$G$1941,$P804))</x:f>
        <x:v>RA.FC.1.5
Schedule topic approval meeting with D&amp;I and management</x:v>
      </x:c>
      <x:c r="I804" s="14"/>
      <x:c r="J804" s="14"/>
      <x:c r="K804" s="14"/>
      <x:c r="L804" s="86" t="str">
        <x:f>IF($P804="","",INDEX(Tasks!$N$10:$N$1941,$P804))</x:f>
        <x:v>Not started</x:v>
      </x:c>
      <x:c r="M804" s="87" t="n">
        <x:f>IF($P804="","",INDEX(Tasks!$J$10:$J$1941,$P804))</x:f>
        <x:v>46295</x:v>
      </x:c>
      <x:c r="N804" s="85" t="str">
        <x:f>IF($P804="","",HYPERLINK("#'"&amp;INDEX(Tasks!$T$10:$T$1941,$P804)&amp;"'!A"&amp;INDEX(Tasks!$U$10:$U$1941,$P804),"Open"))</x:f>
        <x:v>Open</x:v>
      </x:c>
      <x:c r="O804" s="14"/>
      <x:c r="P804" s="14" t="n">
        <x:f>IF(783&gt;$B$10,"",MATCH(783,Tasks!$S$10:$S$1941,0))</x:f>
        <x:v>1147</x:v>
      </x:c>
    </x:row>
    <x:row r="805" ht="58" customHeight="1">
      <x:c r="B805" s="86" t="str">
        <x:f>IF($P805="","",INDEX(Tasks!$B$10:$B$1941,$P805))</x:f>
        <x:v>Cycle 3</x:v>
      </x:c>
      <x:c r="C805" s="86" t="str">
        <x:f>IF($P805="","",INDEX(Tasks!$C$10:$C$1941,$P805))</x:f>
        <x:v>Phase 1</x:v>
      </x:c>
      <x:c r="D805" s="86" t="str">
        <x:f>IF($P805="","",INDEX(Tasks!$D$10:$D$1941,$P805))</x:f>
        <x:v>FCM</x:v>
      </x:c>
      <x:c r="E805" s="86"/>
      <x:c r="F805" s="86" t="str">
        <x:f>IF($P805="","",INDEX(Tasks!$E$10:$E$1941,$P805))</x:f>
        <x:v>Research &amp; Analysis</x:v>
      </x:c>
      <x:c r="G805" s="86"/>
      <x:c r="H805" s="14" t="str">
        <x:f>IF($P805="","",INDEX(Tasks!$F$10:$F$1941,$P805)&amp;CHAR(10)&amp;INDEX(Tasks!$G$10:$G$1941,$P805))</x:f>
        <x:v>RA.FC.1.6
Present recommended topic to D&amp;I and management for approval</x:v>
      </x:c>
      <x:c r="I805" s="14"/>
      <x:c r="J805" s="14"/>
      <x:c r="K805" s="14"/>
      <x:c r="L805" s="86" t="str">
        <x:f>IF($P805="","",INDEX(Tasks!$N$10:$N$1941,$P805))</x:f>
        <x:v>Not started</x:v>
      </x:c>
      <x:c r="M805" s="87" t="n">
        <x:f>IF($P805="","",INDEX(Tasks!$J$10:$J$1941,$P805))</x:f>
        <x:v>46295</x:v>
      </x:c>
      <x:c r="N805" s="85" t="str">
        <x:f>IF($P805="","",HYPERLINK("#'"&amp;INDEX(Tasks!$T$10:$T$1941,$P805)&amp;"'!A"&amp;INDEX(Tasks!$U$10:$U$1941,$P805),"Open"))</x:f>
        <x:v>Open</x:v>
      </x:c>
      <x:c r="O805" s="14"/>
      <x:c r="P805" s="14" t="n">
        <x:f>IF(784&gt;$B$10,"",MATCH(784,Tasks!$S$10:$S$1941,0))</x:f>
        <x:v>1148</x:v>
      </x:c>
    </x:row>
    <x:row r="806" ht="58" customHeight="1">
      <x:c r="B806" s="86" t="str">
        <x:f>IF($P806="","",INDEX(Tasks!$B$10:$B$1941,$P806))</x:f>
        <x:v>Cycle 3</x:v>
      </x:c>
      <x:c r="C806" s="86" t="str">
        <x:f>IF($P806="","",INDEX(Tasks!$C$10:$C$1941,$P806))</x:f>
        <x:v>Phase 1</x:v>
      </x:c>
      <x:c r="D806" s="86" t="str">
        <x:f>IF($P806="","",INDEX(Tasks!$D$10:$D$1941,$P806))</x:f>
        <x:v>FCM</x:v>
      </x:c>
      <x:c r="E806" s="86"/>
      <x:c r="F806" s="86" t="str">
        <x:f>IF($P806="","",INDEX(Tasks!$E$10:$E$1941,$P806))</x:f>
        <x:v>Research &amp; Analysis</x:v>
      </x:c>
      <x:c r="G806" s="86"/>
      <x:c r="H806" s="14" t="str">
        <x:f>IF($P806="","",INDEX(Tasks!$F$10:$F$1941,$P806)&amp;CHAR(10)&amp;INDEX(Tasks!$G$10:$G$1941,$P806))</x:f>
        <x:v>RA.FC.1.7
Obtain formal topic selection approval from management via SharePoint</x:v>
      </x:c>
      <x:c r="I806" s="14"/>
      <x:c r="J806" s="14"/>
      <x:c r="K806" s="14"/>
      <x:c r="L806" s="86" t="str">
        <x:f>IF($P806="","",INDEX(Tasks!$N$10:$N$1941,$P806))</x:f>
        <x:v>Not started</x:v>
      </x:c>
      <x:c r="M806" s="87" t="n">
        <x:f>IF($P806="","",INDEX(Tasks!$J$10:$J$1941,$P806))</x:f>
        <x:v>46295</x:v>
      </x:c>
      <x:c r="N806" s="85" t="str">
        <x:f>IF($P806="","",HYPERLINK("#'"&amp;INDEX(Tasks!$T$10:$T$1941,$P806)&amp;"'!A"&amp;INDEX(Tasks!$U$10:$U$1941,$P806),"Open"))</x:f>
        <x:v>Open</x:v>
      </x:c>
      <x:c r="O806" s="14"/>
      <x:c r="P806" s="14" t="n">
        <x:f>IF(785&gt;$B$10,"",MATCH(785,Tasks!$S$10:$S$1941,0))</x:f>
        <x:v>1149</x:v>
      </x:c>
    </x:row>
    <x:row r="807" ht="58" customHeight="1">
      <x:c r="B807" s="86" t="str">
        <x:f>IF($P807="","",INDEX(Tasks!$B$10:$B$1941,$P807))</x:f>
        <x:v>Cycle 3</x:v>
      </x:c>
      <x:c r="C807" s="86" t="str">
        <x:f>IF($P807="","",INDEX(Tasks!$C$10:$C$1941,$P807))</x:f>
        <x:v>Phase 1</x:v>
      </x:c>
      <x:c r="D807" s="86" t="str">
        <x:f>IF($P807="","",INDEX(Tasks!$D$10:$D$1941,$P807))</x:f>
        <x:v>FCM</x:v>
      </x:c>
      <x:c r="E807" s="86"/>
      <x:c r="F807" s="86" t="str">
        <x:f>IF($P807="","",INDEX(Tasks!$E$10:$E$1941,$P807))</x:f>
        <x:v>Research &amp; Analysis</x:v>
      </x:c>
      <x:c r="G807" s="86"/>
      <x:c r="H807" s="14" t="str">
        <x:f>IF($P807="","",INDEX(Tasks!$F$10:$F$1941,$P807)&amp;CHAR(10)&amp;INDEX(Tasks!$G$10:$G$1941,$P807))</x:f>
        <x:v>RA.FC.1.8
Socialize topic selection with product owners and subject matter experts (if known)</x:v>
      </x:c>
      <x:c r="I807" s="14"/>
      <x:c r="J807" s="14"/>
      <x:c r="K807" s="14"/>
      <x:c r="L807" s="86" t="str">
        <x:f>IF($P807="","",INDEX(Tasks!$N$10:$N$1941,$P807))</x:f>
        <x:v>Not started</x:v>
      </x:c>
      <x:c r="M807" s="87" t="n">
        <x:f>IF($P807="","",INDEX(Tasks!$J$10:$J$1941,$P807))</x:f>
        <x:v>46295</x:v>
      </x:c>
      <x:c r="N807" s="85" t="str">
        <x:f>IF($P807="","",HYPERLINK("#'"&amp;INDEX(Tasks!$T$10:$T$1941,$P807)&amp;"'!A"&amp;INDEX(Tasks!$U$10:$U$1941,$P807),"Open"))</x:f>
        <x:v>Open</x:v>
      </x:c>
      <x:c r="O807" s="14"/>
      <x:c r="P807" s="14" t="n">
        <x:f>IF(786&gt;$B$10,"",MATCH(786,Tasks!$S$10:$S$1941,0))</x:f>
        <x:v>1150</x:v>
      </x:c>
    </x:row>
    <x:row r="808" ht="58" customHeight="1">
      <x:c r="B808" s="86" t="str">
        <x:f>IF($P808="","",INDEX(Tasks!$B$10:$B$1941,$P808))</x:f>
        <x:v>Cycle 3</x:v>
      </x:c>
      <x:c r="C808" s="86" t="str">
        <x:f>IF($P808="","",INDEX(Tasks!$C$10:$C$1941,$P808))</x:f>
        <x:v>Phase 1</x:v>
      </x:c>
      <x:c r="D808" s="86" t="str">
        <x:f>IF($P808="","",INDEX(Tasks!$D$10:$D$1941,$P808))</x:f>
        <x:v>FCM</x:v>
      </x:c>
      <x:c r="E808" s="86"/>
      <x:c r="F808" s="86" t="str">
        <x:f>IF($P808="","",INDEX(Tasks!$E$10:$E$1941,$P808))</x:f>
        <x:v>Research &amp; Analysis</x:v>
      </x:c>
      <x:c r="G808" s="86"/>
      <x:c r="H808" s="14" t="str">
        <x:f>IF($P808="","",INDEX(Tasks!$F$10:$F$1941,$P808)&amp;CHAR(10)&amp;INDEX(Tasks!$G$10:$G$1941,$P808))</x:f>
        <x:v>RA.FC.1.9
Assign topic researchers</x:v>
      </x:c>
      <x:c r="I808" s="14"/>
      <x:c r="J808" s="14"/>
      <x:c r="K808" s="14"/>
      <x:c r="L808" s="86" t="str">
        <x:f>IF($P808="","",INDEX(Tasks!$N$10:$N$1941,$P808))</x:f>
        <x:v>Not started</x:v>
      </x:c>
      <x:c r="M808" s="87" t="n">
        <x:f>IF($P808="","",INDEX(Tasks!$J$10:$J$1941,$P808))</x:f>
        <x:v>46295</x:v>
      </x:c>
      <x:c r="N808" s="85" t="str">
        <x:f>IF($P808="","",HYPERLINK("#'"&amp;INDEX(Tasks!$T$10:$T$1941,$P808)&amp;"'!A"&amp;INDEX(Tasks!$U$10:$U$1941,$P808),"Open"))</x:f>
        <x:v>Open</x:v>
      </x:c>
      <x:c r="O808" s="14"/>
      <x:c r="P808" s="14" t="n">
        <x:f>IF(787&gt;$B$10,"",MATCH(787,Tasks!$S$10:$S$1941,0))</x:f>
        <x:v>1151</x:v>
      </x:c>
    </x:row>
    <x:row r="809" ht="58" customHeight="1">
      <x:c r="B809" s="86" t="str">
        <x:f>IF($P809="","",INDEX(Tasks!$B$10:$B$1941,$P809))</x:f>
        <x:v>Cycle 3</x:v>
      </x:c>
      <x:c r="C809" s="86" t="str">
        <x:f>IF($P809="","",INDEX(Tasks!$C$10:$C$1941,$P809))</x:f>
        <x:v>Phase 2</x:v>
      </x:c>
      <x:c r="D809" s="86" t="str">
        <x:f>IF($P809="","",INDEX(Tasks!$D$10:$D$1941,$P809))</x:f>
        <x:v>FCM</x:v>
      </x:c>
      <x:c r="E809" s="86"/>
      <x:c r="F809" s="86" t="str">
        <x:f>IF($P809="","",INDEX(Tasks!$E$10:$E$1941,$P809))</x:f>
        <x:v>Research &amp; Analysis</x:v>
      </x:c>
      <x:c r="G809" s="86"/>
      <x:c r="H809" s="14" t="str">
        <x:f>IF($P809="","",INDEX(Tasks!$F$10:$F$1941,$P809)&amp;CHAR(10)&amp;INDEX(Tasks!$G$10:$G$1941,$P809))</x:f>
        <x:v>RA.FC.2.1
Review data sources</x:v>
      </x:c>
      <x:c r="I809" s="14"/>
      <x:c r="J809" s="14"/>
      <x:c r="K809" s="14"/>
      <x:c r="L809" s="86" t="str">
        <x:f>IF($P809="","",INDEX(Tasks!$N$10:$N$1941,$P809))</x:f>
        <x:v>Not started</x:v>
      </x:c>
      <x:c r="M809" s="87" t="n">
        <x:f>IF($P809="","",INDEX(Tasks!$J$10:$J$1941,$P809))</x:f>
        <x:v>46295</x:v>
      </x:c>
      <x:c r="N809" s="85" t="str">
        <x:f>IF($P809="","",HYPERLINK("#'"&amp;INDEX(Tasks!$T$10:$T$1941,$P809)&amp;"'!A"&amp;INDEX(Tasks!$U$10:$U$1941,$P809),"Open"))</x:f>
        <x:v>Open</x:v>
      </x:c>
      <x:c r="O809" s="14"/>
      <x:c r="P809" s="14" t="n">
        <x:f>IF(788&gt;$B$10,"",MATCH(788,Tasks!$S$10:$S$1941,0))</x:f>
        <x:v>1152</x:v>
      </x:c>
    </x:row>
    <x:row r="810" ht="58" customHeight="1">
      <x:c r="B810" s="86" t="str">
        <x:f>IF($P810="","",INDEX(Tasks!$B$10:$B$1941,$P810))</x:f>
        <x:v>Cycle 3</x:v>
      </x:c>
      <x:c r="C810" s="86" t="str">
        <x:f>IF($P810="","",INDEX(Tasks!$C$10:$C$1941,$P810))</x:f>
        <x:v>Phase 2</x:v>
      </x:c>
      <x:c r="D810" s="86" t="str">
        <x:f>IF($P810="","",INDEX(Tasks!$D$10:$D$1941,$P810))</x:f>
        <x:v>FCM</x:v>
      </x:c>
      <x:c r="E810" s="86"/>
      <x:c r="F810" s="86" t="str">
        <x:f>IF($P810="","",INDEX(Tasks!$E$10:$E$1941,$P810))</x:f>
        <x:v>Research &amp; Analysis</x:v>
      </x:c>
      <x:c r="G810" s="86"/>
      <x:c r="H810" s="14" t="str">
        <x:f>IF($P810="","",INDEX(Tasks!$F$10:$F$1941,$P810)&amp;CHAR(10)&amp;INDEX(Tasks!$G$10:$G$1941,$P810))</x:f>
        <x:v>RA.FC.2.2
Review relevant policies and procedures</x:v>
      </x:c>
      <x:c r="I810" s="14"/>
      <x:c r="J810" s="14"/>
      <x:c r="K810" s="14"/>
      <x:c r="L810" s="86" t="str">
        <x:f>IF($P810="","",INDEX(Tasks!$N$10:$N$1941,$P810))</x:f>
        <x:v>Not started</x:v>
      </x:c>
      <x:c r="M810" s="87" t="n">
        <x:f>IF($P810="","",INDEX(Tasks!$J$10:$J$1941,$P810))</x:f>
        <x:v>46295</x:v>
      </x:c>
      <x:c r="N810" s="85" t="str">
        <x:f>IF($P810="","",HYPERLINK("#'"&amp;INDEX(Tasks!$T$10:$T$1941,$P810)&amp;"'!A"&amp;INDEX(Tasks!$U$10:$U$1941,$P810),"Open"))</x:f>
        <x:v>Open</x:v>
      </x:c>
      <x:c r="O810" s="14"/>
      <x:c r="P810" s="14" t="n">
        <x:f>IF(789&gt;$B$10,"",MATCH(789,Tasks!$S$10:$S$1941,0))</x:f>
        <x:v>1153</x:v>
      </x:c>
    </x:row>
    <x:row r="811" ht="58" customHeight="1">
      <x:c r="B811" s="86" t="str">
        <x:f>IF($P811="","",INDEX(Tasks!$B$10:$B$1941,$P811))</x:f>
        <x:v>Cycle 3</x:v>
      </x:c>
      <x:c r="C811" s="86" t="str">
        <x:f>IF($P811="","",INDEX(Tasks!$C$10:$C$1941,$P811))</x:f>
        <x:v>Phase 2</x:v>
      </x:c>
      <x:c r="D811" s="86" t="str">
        <x:f>IF($P811="","",INDEX(Tasks!$D$10:$D$1941,$P811))</x:f>
        <x:v>FCM</x:v>
      </x:c>
      <x:c r="E811" s="86"/>
      <x:c r="F811" s="86" t="str">
        <x:f>IF($P811="","",INDEX(Tasks!$E$10:$E$1941,$P811))</x:f>
        <x:v>Research &amp; Analysis</x:v>
      </x:c>
      <x:c r="G811" s="86"/>
      <x:c r="H811" s="14" t="str">
        <x:f>IF($P811="","",INDEX(Tasks!$F$10:$F$1941,$P811)&amp;CHAR(10)&amp;INDEX(Tasks!$G$10:$G$1941,$P811))</x:f>
        <x:v>RA.FC.2.3
Meet with SMEs to gain business insight and clarify questions</x:v>
      </x:c>
      <x:c r="I811" s="14"/>
      <x:c r="J811" s="14"/>
      <x:c r="K811" s="14"/>
      <x:c r="L811" s="86" t="str">
        <x:f>IF($P811="","",INDEX(Tasks!$N$10:$N$1941,$P811))</x:f>
        <x:v>Not started</x:v>
      </x:c>
      <x:c r="M811" s="87" t="n">
        <x:f>IF($P811="","",INDEX(Tasks!$J$10:$J$1941,$P811))</x:f>
        <x:v>46295</x:v>
      </x:c>
      <x:c r="N811" s="85" t="str">
        <x:f>IF($P811="","",HYPERLINK("#'"&amp;INDEX(Tasks!$T$10:$T$1941,$P811)&amp;"'!A"&amp;INDEX(Tasks!$U$10:$U$1941,$P811),"Open"))</x:f>
        <x:v>Open</x:v>
      </x:c>
      <x:c r="O811" s="14"/>
      <x:c r="P811" s="14" t="n">
        <x:f>IF(790&gt;$B$10,"",MATCH(790,Tasks!$S$10:$S$1941,0))</x:f>
        <x:v>1154</x:v>
      </x:c>
    </x:row>
    <x:row r="812" ht="58" customHeight="1">
      <x:c r="B812" s="86" t="str">
        <x:f>IF($P812="","",INDEX(Tasks!$B$10:$B$1941,$P812))</x:f>
        <x:v>Cycle 3</x:v>
      </x:c>
      <x:c r="C812" s="86" t="str">
        <x:f>IF($P812="","",INDEX(Tasks!$C$10:$C$1941,$P812))</x:f>
        <x:v>Phase 2</x:v>
      </x:c>
      <x:c r="D812" s="86" t="str">
        <x:f>IF($P812="","",INDEX(Tasks!$D$10:$D$1941,$P812))</x:f>
        <x:v>FCM</x:v>
      </x:c>
      <x:c r="E812" s="86"/>
      <x:c r="F812" s="86" t="str">
        <x:f>IF($P812="","",INDEX(Tasks!$E$10:$E$1941,$P812))</x:f>
        <x:v>Research &amp; Analysis</x:v>
      </x:c>
      <x:c r="G812" s="86"/>
      <x:c r="H812" s="14" t="str">
        <x:f>IF($P812="","",INDEX(Tasks!$F$10:$F$1941,$P812)&amp;CHAR(10)&amp;INDEX(Tasks!$G$10:$G$1941,$P812))</x:f>
        <x:v>RA.FC.2.4
Establish and maintain a recurring meeting with D&amp;I to discuss Cycle progress</x:v>
      </x:c>
      <x:c r="I812" s="14"/>
      <x:c r="J812" s="14"/>
      <x:c r="K812" s="14"/>
      <x:c r="L812" s="86" t="str">
        <x:f>IF($P812="","",INDEX(Tasks!$N$10:$N$1941,$P812))</x:f>
        <x:v>Not started</x:v>
      </x:c>
      <x:c r="M812" s="87" t="n">
        <x:f>IF($P812="","",INDEX(Tasks!$J$10:$J$1941,$P812))</x:f>
        <x:v>46295</x:v>
      </x:c>
      <x:c r="N812" s="85" t="str">
        <x:f>IF($P812="","",HYPERLINK("#'"&amp;INDEX(Tasks!$T$10:$T$1941,$P812)&amp;"'!A"&amp;INDEX(Tasks!$U$10:$U$1941,$P812),"Open"))</x:f>
        <x:v>Open</x:v>
      </x:c>
      <x:c r="O812" s="14"/>
      <x:c r="P812" s="14" t="n">
        <x:f>IF(791&gt;$B$10,"",MATCH(791,Tasks!$S$10:$S$1941,0))</x:f>
        <x:v>1155</x:v>
      </x:c>
    </x:row>
    <x:row r="813" ht="58" customHeight="1">
      <x:c r="B813" s="86" t="str">
        <x:f>IF($P813="","",INDEX(Tasks!$B$10:$B$1941,$P813))</x:f>
        <x:v>Cycle 3</x:v>
      </x:c>
      <x:c r="C813" s="86" t="str">
        <x:f>IF($P813="","",INDEX(Tasks!$C$10:$C$1941,$P813))</x:f>
        <x:v>Phase 2</x:v>
      </x:c>
      <x:c r="D813" s="86" t="str">
        <x:f>IF($P813="","",INDEX(Tasks!$D$10:$D$1941,$P813))</x:f>
        <x:v>FCM</x:v>
      </x:c>
      <x:c r="E813" s="86"/>
      <x:c r="F813" s="86" t="str">
        <x:f>IF($P813="","",INDEX(Tasks!$E$10:$E$1941,$P813))</x:f>
        <x:v>Research &amp; Analysis</x:v>
      </x:c>
      <x:c r="G813" s="86"/>
      <x:c r="H813" s="14" t="str">
        <x:f>IF($P813="","",INDEX(Tasks!$F$10:$F$1941,$P813)&amp;CHAR(10)&amp;INDEX(Tasks!$G$10:$G$1941,$P813))</x:f>
        <x:v>RA.FC.2.5
Perform data testing and sampling</x:v>
      </x:c>
      <x:c r="I813" s="14"/>
      <x:c r="J813" s="14"/>
      <x:c r="K813" s="14"/>
      <x:c r="L813" s="86" t="str">
        <x:f>IF($P813="","",INDEX(Tasks!$N$10:$N$1941,$P813))</x:f>
        <x:v>Not started</x:v>
      </x:c>
      <x:c r="M813" s="87" t="n">
        <x:f>IF($P813="","",INDEX(Tasks!$J$10:$J$1941,$P813))</x:f>
        <x:v>46295</x:v>
      </x:c>
      <x:c r="N813" s="85" t="str">
        <x:f>IF($P813="","",HYPERLINK("#'"&amp;INDEX(Tasks!$T$10:$T$1941,$P813)&amp;"'!A"&amp;INDEX(Tasks!$U$10:$U$1941,$P813),"Open"))</x:f>
        <x:v>Open</x:v>
      </x:c>
      <x:c r="O813" s="14"/>
      <x:c r="P813" s="14" t="n">
        <x:f>IF(792&gt;$B$10,"",MATCH(792,Tasks!$S$10:$S$1941,0))</x:f>
        <x:v>1156</x:v>
      </x:c>
    </x:row>
    <x:row r="814" ht="58" customHeight="1">
      <x:c r="B814" s="86" t="str">
        <x:f>IF($P814="","",INDEX(Tasks!$B$10:$B$1941,$P814))</x:f>
        <x:v>Cycle 3</x:v>
      </x:c>
      <x:c r="C814" s="86" t="str">
        <x:f>IF($P814="","",INDEX(Tasks!$C$10:$C$1941,$P814))</x:f>
        <x:v>Phase 2</x:v>
      </x:c>
      <x:c r="D814" s="86" t="str">
        <x:f>IF($P814="","",INDEX(Tasks!$D$10:$D$1941,$P814))</x:f>
        <x:v>FCM</x:v>
      </x:c>
      <x:c r="E814" s="86"/>
      <x:c r="F814" s="86" t="str">
        <x:f>IF($P814="","",INDEX(Tasks!$E$10:$E$1941,$P814))</x:f>
        <x:v>Research &amp; Analysis</x:v>
      </x:c>
      <x:c r="G814" s="86"/>
      <x:c r="H814" s="14" t="str">
        <x:f>IF($P814="","",INDEX(Tasks!$F$10:$F$1941,$P814)&amp;CHAR(10)&amp;INDEX(Tasks!$G$10:$G$1941,$P814))</x:f>
        <x:v>RA.FC.2.6
Complete Positive Testing</x:v>
      </x:c>
      <x:c r="I814" s="14"/>
      <x:c r="J814" s="14"/>
      <x:c r="K814" s="14"/>
      <x:c r="L814" s="86" t="str">
        <x:f>IF($P814="","",INDEX(Tasks!$N$10:$N$1941,$P814))</x:f>
        <x:v>Not started</x:v>
      </x:c>
      <x:c r="M814" s="87" t="n">
        <x:f>IF($P814="","",INDEX(Tasks!$J$10:$J$1941,$P814))</x:f>
        <x:v>46295</x:v>
      </x:c>
      <x:c r="N814" s="85" t="str">
        <x:f>IF($P814="","",HYPERLINK("#'"&amp;INDEX(Tasks!$T$10:$T$1941,$P814)&amp;"'!A"&amp;INDEX(Tasks!$U$10:$U$1941,$P814),"Open"))</x:f>
        <x:v>Open</x:v>
      </x:c>
      <x:c r="O814" s="14"/>
      <x:c r="P814" s="14" t="n">
        <x:f>IF(793&gt;$B$10,"",MATCH(793,Tasks!$S$10:$S$1941,0))</x:f>
        <x:v>1157</x:v>
      </x:c>
    </x:row>
    <x:row r="815" ht="58" customHeight="1">
      <x:c r="B815" s="86" t="str">
        <x:f>IF($P815="","",INDEX(Tasks!$B$10:$B$1941,$P815))</x:f>
        <x:v>Cycle 3</x:v>
      </x:c>
      <x:c r="C815" s="86" t="str">
        <x:f>IF($P815="","",INDEX(Tasks!$C$10:$C$1941,$P815))</x:f>
        <x:v>Phase 2</x:v>
      </x:c>
      <x:c r="D815" s="86" t="str">
        <x:f>IF($P815="","",INDEX(Tasks!$D$10:$D$1941,$P815))</x:f>
        <x:v>FCM</x:v>
      </x:c>
      <x:c r="E815" s="86"/>
      <x:c r="F815" s="86" t="str">
        <x:f>IF($P815="","",INDEX(Tasks!$E$10:$E$1941,$P815))</x:f>
        <x:v>Research &amp; Analysis</x:v>
      </x:c>
      <x:c r="G815" s="86"/>
      <x:c r="H815" s="14" t="str">
        <x:f>IF($P815="","",INDEX(Tasks!$F$10:$F$1941,$P815)&amp;CHAR(10)&amp;INDEX(Tasks!$G$10:$G$1941,$P815))</x:f>
        <x:v>RA.FC.2.7
Complete Negative Testing</x:v>
      </x:c>
      <x:c r="I815" s="14"/>
      <x:c r="J815" s="14"/>
      <x:c r="K815" s="14"/>
      <x:c r="L815" s="86" t="str">
        <x:f>IF($P815="","",INDEX(Tasks!$N$10:$N$1941,$P815))</x:f>
        <x:v>Not started</x:v>
      </x:c>
      <x:c r="M815" s="87" t="n">
        <x:f>IF($P815="","",INDEX(Tasks!$J$10:$J$1941,$P815))</x:f>
        <x:v>46295</x:v>
      </x:c>
      <x:c r="N815" s="85" t="str">
        <x:f>IF($P815="","",HYPERLINK("#'"&amp;INDEX(Tasks!$T$10:$T$1941,$P815)&amp;"'!A"&amp;INDEX(Tasks!$U$10:$U$1941,$P815),"Open"))</x:f>
        <x:v>Open</x:v>
      </x:c>
      <x:c r="O815" s="14"/>
      <x:c r="P815" s="14" t="n">
        <x:f>IF(794&gt;$B$10,"",MATCH(794,Tasks!$S$10:$S$1941,0))</x:f>
        <x:v>1158</x:v>
      </x:c>
    </x:row>
    <x:row r="816" ht="58" customHeight="1">
      <x:c r="B816" s="86" t="str">
        <x:f>IF($P816="","",INDEX(Tasks!$B$10:$B$1941,$P816))</x:f>
        <x:v>Cycle 3</x:v>
      </x:c>
      <x:c r="C816" s="86" t="str">
        <x:f>IF($P816="","",INDEX(Tasks!$C$10:$C$1941,$P816))</x:f>
        <x:v>Phase 2</x:v>
      </x:c>
      <x:c r="D816" s="86" t="str">
        <x:f>IF($P816="","",INDEX(Tasks!$D$10:$D$1941,$P816))</x:f>
        <x:v>FCM</x:v>
      </x:c>
      <x:c r="E816" s="86"/>
      <x:c r="F816" s="86" t="str">
        <x:f>IF($P816="","",INDEX(Tasks!$E$10:$E$1941,$P816))</x:f>
        <x:v>Research &amp; Analysis</x:v>
      </x:c>
      <x:c r="G816" s="86"/>
      <x:c r="H816" s="14" t="str">
        <x:f>IF($P816="","",INDEX(Tasks!$F$10:$F$1941,$P816)&amp;CHAR(10)&amp;INDEX(Tasks!$G$10:$G$1941,$P816))</x:f>
        <x:v>RA.FC.2.8
Request additional data (as needed)</x:v>
      </x:c>
      <x:c r="I816" s="14"/>
      <x:c r="J816" s="14"/>
      <x:c r="K816" s="14"/>
      <x:c r="L816" s="86" t="str">
        <x:f>IF($P816="","",INDEX(Tasks!$N$10:$N$1941,$P816))</x:f>
        <x:v>Not started</x:v>
      </x:c>
      <x:c r="M816" s="87" t="n">
        <x:f>IF($P816="","",INDEX(Tasks!$J$10:$J$1941,$P816))</x:f>
        <x:v>46295</x:v>
      </x:c>
      <x:c r="N816" s="85" t="str">
        <x:f>IF($P816="","",HYPERLINK("#'"&amp;INDEX(Tasks!$T$10:$T$1941,$P816)&amp;"'!A"&amp;INDEX(Tasks!$U$10:$U$1941,$P816),"Open"))</x:f>
        <x:v>Open</x:v>
      </x:c>
      <x:c r="O816" s="14"/>
      <x:c r="P816" s="14" t="n">
        <x:f>IF(795&gt;$B$10,"",MATCH(795,Tasks!$S$10:$S$1941,0))</x:f>
        <x:v>1159</x:v>
      </x:c>
    </x:row>
    <x:row r="817" ht="58" customHeight="1">
      <x:c r="B817" s="86" t="str">
        <x:f>IF($P817="","",INDEX(Tasks!$B$10:$B$1941,$P817))</x:f>
        <x:v>Cycle 3</x:v>
      </x:c>
      <x:c r="C817" s="86" t="str">
        <x:f>IF($P817="","",INDEX(Tasks!$C$10:$C$1941,$P817))</x:f>
        <x:v>Phase 2</x:v>
      </x:c>
      <x:c r="D817" s="86" t="str">
        <x:f>IF($P817="","",INDEX(Tasks!$D$10:$D$1941,$P817))</x:f>
        <x:v>FCM</x:v>
      </x:c>
      <x:c r="E817" s="86"/>
      <x:c r="F817" s="86" t="str">
        <x:f>IF($P817="","",INDEX(Tasks!$E$10:$E$1941,$P817))</x:f>
        <x:v>Research &amp; Analysis</x:v>
      </x:c>
      <x:c r="G817" s="86"/>
      <x:c r="H817" s="14" t="str">
        <x:f>IF($P817="","",INDEX(Tasks!$F$10:$F$1941,$P817)&amp;CHAR(10)&amp;INDEX(Tasks!$G$10:$G$1941,$P817))</x:f>
        <x:v>RA.FC.2.9
Validate or disprove initial hypothesis assumptions</x:v>
      </x:c>
      <x:c r="I817" s="14"/>
      <x:c r="J817" s="14"/>
      <x:c r="K817" s="14"/>
      <x:c r="L817" s="86" t="str">
        <x:f>IF($P817="","",INDEX(Tasks!$N$10:$N$1941,$P817))</x:f>
        <x:v>Not started</x:v>
      </x:c>
      <x:c r="M817" s="87" t="n">
        <x:f>IF($P817="","",INDEX(Tasks!$J$10:$J$1941,$P817))</x:f>
        <x:v>46295</x:v>
      </x:c>
      <x:c r="N817" s="85" t="str">
        <x:f>IF($P817="","",HYPERLINK("#'"&amp;INDEX(Tasks!$T$10:$T$1941,$P817)&amp;"'!A"&amp;INDEX(Tasks!$U$10:$U$1941,$P817),"Open"))</x:f>
        <x:v>Open</x:v>
      </x:c>
      <x:c r="O817" s="14"/>
      <x:c r="P817" s="14" t="n">
        <x:f>IF(796&gt;$B$10,"",MATCH(796,Tasks!$S$10:$S$1941,0))</x:f>
        <x:v>1160</x:v>
      </x:c>
    </x:row>
    <x:row r="818" ht="58" customHeight="1">
      <x:c r="B818" s="86" t="str">
        <x:f>IF($P818="","",INDEX(Tasks!$B$10:$B$1941,$P818))</x:f>
        <x:v>Cycle 3</x:v>
      </x:c>
      <x:c r="C818" s="86" t="str">
        <x:f>IF($P818="","",INDEX(Tasks!$C$10:$C$1941,$P818))</x:f>
        <x:v>Phase 2</x:v>
      </x:c>
      <x:c r="D818" s="86" t="str">
        <x:f>IF($P818="","",INDEX(Tasks!$D$10:$D$1941,$P818))</x:f>
        <x:v>FCM</x:v>
      </x:c>
      <x:c r="E818" s="86"/>
      <x:c r="F818" s="86" t="str">
        <x:f>IF($P818="","",INDEX(Tasks!$E$10:$E$1941,$P818))</x:f>
        <x:v>Research &amp; Analysis</x:v>
      </x:c>
      <x:c r="G818" s="86"/>
      <x:c r="H818" s="14" t="str">
        <x:f>IF($P818="","",INDEX(Tasks!$F$10:$F$1941,$P818)&amp;CHAR(10)&amp;INDEX(Tasks!$G$10:$G$1941,$P818))</x:f>
        <x:v>RA.FC.2.10
Identify and confirm root cause</x:v>
      </x:c>
      <x:c r="I818" s="14"/>
      <x:c r="J818" s="14"/>
      <x:c r="K818" s="14"/>
      <x:c r="L818" s="86" t="str">
        <x:f>IF($P818="","",INDEX(Tasks!$N$10:$N$1941,$P818))</x:f>
        <x:v>Not started</x:v>
      </x:c>
      <x:c r="M818" s="87" t="n">
        <x:f>IF($P818="","",INDEX(Tasks!$J$10:$J$1941,$P818))</x:f>
        <x:v>46295</x:v>
      </x:c>
      <x:c r="N818" s="85" t="str">
        <x:f>IF($P818="","",HYPERLINK("#'"&amp;INDEX(Tasks!$T$10:$T$1941,$P818)&amp;"'!A"&amp;INDEX(Tasks!$U$10:$U$1941,$P818),"Open"))</x:f>
        <x:v>Open</x:v>
      </x:c>
      <x:c r="O818" s="14"/>
      <x:c r="P818" s="14" t="n">
        <x:f>IF(797&gt;$B$10,"",MATCH(797,Tasks!$S$10:$S$1941,0))</x:f>
        <x:v>1161</x:v>
      </x:c>
    </x:row>
    <x:row r="819" ht="58" customHeight="1">
      <x:c r="B819" s="86" t="str">
        <x:f>IF($P819="","",INDEX(Tasks!$B$10:$B$1941,$P819))</x:f>
        <x:v>Cycle 3</x:v>
      </x:c>
      <x:c r="C819" s="86" t="str">
        <x:f>IF($P819="","",INDEX(Tasks!$C$10:$C$1941,$P819))</x:f>
        <x:v>Phase 3</x:v>
      </x:c>
      <x:c r="D819" s="86" t="str">
        <x:f>IF($P819="","",INDEX(Tasks!$D$10:$D$1941,$P819))</x:f>
        <x:v>FCM</x:v>
      </x:c>
      <x:c r="E819" s="86"/>
      <x:c r="F819" s="86" t="str">
        <x:f>IF($P819="","",INDEX(Tasks!$E$10:$E$1941,$P819))</x:f>
        <x:v>Research &amp; Analysis</x:v>
      </x:c>
      <x:c r="G819" s="86"/>
      <x:c r="H819" s="14" t="str">
        <x:f>IF($P819="","",INDEX(Tasks!$F$10:$F$1941,$P819)&amp;CHAR(10)&amp;INDEX(Tasks!$G$10:$G$1941,$P819))</x:f>
        <x:v>RA.FC.3.1
Finalize results and supporting documentation</x:v>
      </x:c>
      <x:c r="I819" s="14"/>
      <x:c r="J819" s="14"/>
      <x:c r="K819" s="14"/>
      <x:c r="L819" s="86" t="str">
        <x:f>IF($P819="","",INDEX(Tasks!$N$10:$N$1941,$P819))</x:f>
        <x:v>Not started</x:v>
      </x:c>
      <x:c r="M819" s="87" t="n">
        <x:f>IF($P819="","",INDEX(Tasks!$J$10:$J$1941,$P819))</x:f>
        <x:v>46295</x:v>
      </x:c>
      <x:c r="N819" s="85" t="str">
        <x:f>IF($P819="","",HYPERLINK("#'"&amp;INDEX(Tasks!$T$10:$T$1941,$P819)&amp;"'!A"&amp;INDEX(Tasks!$U$10:$U$1941,$P819),"Open"))</x:f>
        <x:v>Open</x:v>
      </x:c>
      <x:c r="O819" s="14"/>
      <x:c r="P819" s="14" t="n">
        <x:f>IF(798&gt;$B$10,"",MATCH(798,Tasks!$S$10:$S$1941,0))</x:f>
        <x:v>1162</x:v>
      </x:c>
    </x:row>
    <x:row r="820" ht="58" customHeight="1">
      <x:c r="B820" s="86" t="str">
        <x:f>IF($P820="","",INDEX(Tasks!$B$10:$B$1941,$P820))</x:f>
        <x:v>Cycle 3</x:v>
      </x:c>
      <x:c r="C820" s="86" t="str">
        <x:f>IF($P820="","",INDEX(Tasks!$C$10:$C$1941,$P820))</x:f>
        <x:v>Phase 3</x:v>
      </x:c>
      <x:c r="D820" s="86" t="str">
        <x:f>IF($P820="","",INDEX(Tasks!$D$10:$D$1941,$P820))</x:f>
        <x:v>FCM</x:v>
      </x:c>
      <x:c r="E820" s="86"/>
      <x:c r="F820" s="86" t="str">
        <x:f>IF($P820="","",INDEX(Tasks!$E$10:$E$1941,$P820))</x:f>
        <x:v>Research &amp; Analysis</x:v>
      </x:c>
      <x:c r="G820" s="86"/>
      <x:c r="H820" s="14" t="str">
        <x:f>IF($P820="","",INDEX(Tasks!$F$10:$F$1941,$P820)&amp;CHAR(10)&amp;INDEX(Tasks!$G$10:$G$1941,$P820))</x:f>
        <x:v>RA.FC.3.2
Maintain and update the evidence package prior to handoff to D&amp;I</x:v>
      </x:c>
      <x:c r="I820" s="14"/>
      <x:c r="J820" s="14"/>
      <x:c r="K820" s="14"/>
      <x:c r="L820" s="86" t="str">
        <x:f>IF($P820="","",INDEX(Tasks!$N$10:$N$1941,$P820))</x:f>
        <x:v>Not started</x:v>
      </x:c>
      <x:c r="M820" s="87" t="n">
        <x:f>IF($P820="","",INDEX(Tasks!$J$10:$J$1941,$P820))</x:f>
        <x:v>46295</x:v>
      </x:c>
      <x:c r="N820" s="85" t="str">
        <x:f>IF($P820="","",HYPERLINK("#'"&amp;INDEX(Tasks!$T$10:$T$1941,$P820)&amp;"'!A"&amp;INDEX(Tasks!$U$10:$U$1941,$P820),"Open"))</x:f>
        <x:v>Open</x:v>
      </x:c>
      <x:c r="O820" s="14"/>
      <x:c r="P820" s="14" t="n">
        <x:f>IF(799&gt;$B$10,"",MATCH(799,Tasks!$S$10:$S$1941,0))</x:f>
        <x:v>1163</x:v>
      </x:c>
    </x:row>
    <x:row r="821" ht="58" customHeight="1">
      <x:c r="B821" s="86" t="str">
        <x:f>IF($P821="","",INDEX(Tasks!$B$10:$B$1941,$P821))</x:f>
        <x:v>Cycle 3</x:v>
      </x:c>
      <x:c r="C821" s="86" t="str">
        <x:f>IF($P821="","",INDEX(Tasks!$C$10:$C$1941,$P821))</x:f>
        <x:v>Phase 3</x:v>
      </x:c>
      <x:c r="D821" s="86" t="str">
        <x:f>IF($P821="","",INDEX(Tasks!$D$10:$D$1941,$P821))</x:f>
        <x:v>FCM</x:v>
      </x:c>
      <x:c r="E821" s="86"/>
      <x:c r="F821" s="86" t="str">
        <x:f>IF($P821="","",INDEX(Tasks!$E$10:$E$1941,$P821))</x:f>
        <x:v>Research &amp; Analysis</x:v>
      </x:c>
      <x:c r="G821" s="86"/>
      <x:c r="H821" s="14" t="str">
        <x:f>IF($P821="","",INDEX(Tasks!$F$10:$F$1941,$P821)&amp;CHAR(10)&amp;INDEX(Tasks!$G$10:$G$1941,$P821))</x:f>
        <x:v>RA.FC.3.3
Address any outstanding questions or requests from D&amp;I</x:v>
      </x:c>
      <x:c r="I821" s="14"/>
      <x:c r="J821" s="14"/>
      <x:c r="K821" s="14"/>
      <x:c r="L821" s="86" t="str">
        <x:f>IF($P821="","",INDEX(Tasks!$N$10:$N$1941,$P821))</x:f>
        <x:v>Not started</x:v>
      </x:c>
      <x:c r="M821" s="87" t="n">
        <x:f>IF($P821="","",INDEX(Tasks!$J$10:$J$1941,$P821))</x:f>
        <x:v>46295</x:v>
      </x:c>
      <x:c r="N821" s="85" t="str">
        <x:f>IF($P821="","",HYPERLINK("#'"&amp;INDEX(Tasks!$T$10:$T$1941,$P821)&amp;"'!A"&amp;INDEX(Tasks!$U$10:$U$1941,$P821),"Open"))</x:f>
        <x:v>Open</x:v>
      </x:c>
      <x:c r="O821" s="14"/>
      <x:c r="P821" s="14" t="n">
        <x:f>IF(800&gt;$B$10,"",MATCH(800,Tasks!$S$10:$S$1941,0))</x:f>
        <x:v>1164</x:v>
      </x:c>
    </x:row>
    <x:row r="822" ht="58" customHeight="1">
      <x:c r="B822" s="86" t="str">
        <x:f>IF($P822="","",INDEX(Tasks!$B$10:$B$1941,$P822))</x:f>
        <x:v>Cycle 3</x:v>
      </x:c>
      <x:c r="C822" s="86" t="str">
        <x:f>IF($P822="","",INDEX(Tasks!$C$10:$C$1941,$P822))</x:f>
        <x:v>Phase 3</x:v>
      </x:c>
      <x:c r="D822" s="86" t="str">
        <x:f>IF($P822="","",INDEX(Tasks!$D$10:$D$1941,$P822))</x:f>
        <x:v>FCM</x:v>
      </x:c>
      <x:c r="E822" s="86"/>
      <x:c r="F822" s="86" t="str">
        <x:f>IF($P822="","",INDEX(Tasks!$E$10:$E$1941,$P822))</x:f>
        <x:v>Research &amp; Analysis</x:v>
      </x:c>
      <x:c r="G822" s="86"/>
      <x:c r="H822" s="14" t="str">
        <x:f>IF($P822="","",INDEX(Tasks!$F$10:$F$1941,$P822)&amp;CHAR(10)&amp;INDEX(Tasks!$G$10:$G$1941,$P822))</x:f>
        <x:v>RA.FC.3.4
Attend Forum meeting with D&amp;I to assist with answering stakeholder questions (as needed)</x:v>
      </x:c>
      <x:c r="I822" s="14"/>
      <x:c r="J822" s="14"/>
      <x:c r="K822" s="14"/>
      <x:c r="L822" s="86" t="str">
        <x:f>IF($P822="","",INDEX(Tasks!$N$10:$N$1941,$P822))</x:f>
        <x:v>Not started</x:v>
      </x:c>
      <x:c r="M822" s="87" t="str">
        <x:f>IF($P822="","",INDEX(Tasks!$J$10:$J$1941,$P822))</x:f>
      </x:c>
      <x:c r="N822" s="85" t="str">
        <x:f>IF($P822="","",HYPERLINK("#'"&amp;INDEX(Tasks!$T$10:$T$1941,$P822)&amp;"'!A"&amp;INDEX(Tasks!$U$10:$U$1941,$P822),"Open"))</x:f>
        <x:v>Open</x:v>
      </x:c>
      <x:c r="O822" s="14"/>
      <x:c r="P822" s="14" t="n">
        <x:f>IF(801&gt;$B$10,"",MATCH(801,Tasks!$S$10:$S$1941,0))</x:f>
        <x:v>1165</x:v>
      </x:c>
    </x:row>
    <x:row r="823" ht="58" customHeight="1">
      <x:c r="B823" s="86" t="str">
        <x:f>IF($P823="","",INDEX(Tasks!$B$10:$B$1941,$P823))</x:f>
        <x:v>Cycle 3</x:v>
      </x:c>
      <x:c r="C823" s="86" t="str">
        <x:f>IF($P823="","",INDEX(Tasks!$C$10:$C$1941,$P823))</x:f>
        <x:v>Phase 1</x:v>
      </x:c>
      <x:c r="D823" s="86" t="str">
        <x:f>IF($P823="","",INDEX(Tasks!$D$10:$D$1941,$P823))</x:f>
        <x:v>PLL</x:v>
      </x:c>
      <x:c r="E823" s="86"/>
      <x:c r="F823" s="86" t="str">
        <x:f>IF($P823="","",INDEX(Tasks!$E$10:$E$1941,$P823))</x:f>
        <x:v>Research &amp; Analysis</x:v>
      </x:c>
      <x:c r="G823" s="86"/>
      <x:c r="H823" s="14" t="str">
        <x:f>IF($P823="","",INDEX(Tasks!$F$10:$F$1941,$P823)&amp;CHAR(10)&amp;INDEX(Tasks!$G$10:$G$1941,$P823))</x:f>
        <x:v>RA.PL.1.1
Begin Research process 2 weeks prior to Cycle start</x:v>
      </x:c>
      <x:c r="I823" s="14"/>
      <x:c r="J823" s="14"/>
      <x:c r="K823" s="14"/>
      <x:c r="L823" s="86" t="str">
        <x:f>IF($P823="","",INDEX(Tasks!$N$10:$N$1941,$P823))</x:f>
        <x:v>Not started</x:v>
      </x:c>
      <x:c r="M823" s="87" t="n">
        <x:f>IF($P823="","",INDEX(Tasks!$J$10:$J$1941,$P823))</x:f>
        <x:v>46190</x:v>
      </x:c>
      <x:c r="N823" s="85" t="str">
        <x:f>IF($P823="","",HYPERLINK("#'"&amp;INDEX(Tasks!$T$10:$T$1941,$P823)&amp;"'!A"&amp;INDEX(Tasks!$U$10:$U$1941,$P823),"Open"))</x:f>
        <x:v>Open</x:v>
      </x:c>
      <x:c r="O823" s="14"/>
      <x:c r="P823" s="14" t="n">
        <x:f>IF(802&gt;$B$10,"",MATCH(802,Tasks!$S$10:$S$1941,0))</x:f>
        <x:v>1166</x:v>
      </x:c>
    </x:row>
    <x:row r="824" ht="58" customHeight="1">
      <x:c r="B824" s="86" t="str">
        <x:f>IF($P824="","",INDEX(Tasks!$B$10:$B$1941,$P824))</x:f>
        <x:v>Cycle 3</x:v>
      </x:c>
      <x:c r="C824" s="86" t="str">
        <x:f>IF($P824="","",INDEX(Tasks!$C$10:$C$1941,$P824))</x:f>
        <x:v>Phase 1</x:v>
      </x:c>
      <x:c r="D824" s="86" t="str">
        <x:f>IF($P824="","",INDEX(Tasks!$D$10:$D$1941,$P824))</x:f>
        <x:v>PLL</x:v>
      </x:c>
      <x:c r="E824" s="86"/>
      <x:c r="F824" s="86" t="str">
        <x:f>IF($P824="","",INDEX(Tasks!$E$10:$E$1941,$P824))</x:f>
        <x:v>Research &amp; Analysis</x:v>
      </x:c>
      <x:c r="G824" s="86"/>
      <x:c r="H824" s="14" t="str">
        <x:f>IF($P824="","",INDEX(Tasks!$F$10:$F$1941,$P824)&amp;CHAR(10)&amp;INDEX(Tasks!$G$10:$G$1941,$P824))</x:f>
        <x:v>RA.PL.1.2
Conduct initial assessment of each topic recommendation from SharePoint list</x:v>
      </x:c>
      <x:c r="I824" s="14"/>
      <x:c r="J824" s="14"/>
      <x:c r="K824" s="14"/>
      <x:c r="L824" s="86" t="str">
        <x:f>IF($P824="","",INDEX(Tasks!$N$10:$N$1941,$P824))</x:f>
        <x:v>Not started</x:v>
      </x:c>
      <x:c r="M824" s="87" t="n">
        <x:f>IF($P824="","",INDEX(Tasks!$J$10:$J$1941,$P824))</x:f>
        <x:v>46295</x:v>
      </x:c>
      <x:c r="N824" s="85" t="str">
        <x:f>IF($P824="","",HYPERLINK("#'"&amp;INDEX(Tasks!$T$10:$T$1941,$P824)&amp;"'!A"&amp;INDEX(Tasks!$U$10:$U$1941,$P824),"Open"))</x:f>
        <x:v>Open</x:v>
      </x:c>
      <x:c r="O824" s="14"/>
      <x:c r="P824" s="14" t="n">
        <x:f>IF(803&gt;$B$10,"",MATCH(803,Tasks!$S$10:$S$1941,0))</x:f>
        <x:v>1167</x:v>
      </x:c>
    </x:row>
    <x:row r="825" ht="58" customHeight="1">
      <x:c r="B825" s="86" t="str">
        <x:f>IF($P825="","",INDEX(Tasks!$B$10:$B$1941,$P825))</x:f>
        <x:v>Cycle 3</x:v>
      </x:c>
      <x:c r="C825" s="86" t="str">
        <x:f>IF($P825="","",INDEX(Tasks!$C$10:$C$1941,$P825))</x:f>
        <x:v>Phase 1</x:v>
      </x:c>
      <x:c r="D825" s="86" t="str">
        <x:f>IF($P825="","",INDEX(Tasks!$D$10:$D$1941,$P825))</x:f>
        <x:v>PLL</x:v>
      </x:c>
      <x:c r="E825" s="86"/>
      <x:c r="F825" s="86" t="str">
        <x:f>IF($P825="","",INDEX(Tasks!$E$10:$E$1941,$P825))</x:f>
        <x:v>Research &amp; Analysis</x:v>
      </x:c>
      <x:c r="G825" s="86"/>
      <x:c r="H825" s="14" t="str">
        <x:f>IF($P825="","",INDEX(Tasks!$F$10:$F$1941,$P825)&amp;CHAR(10)&amp;INDEX(Tasks!$G$10:$G$1941,$P825))</x:f>
        <x:v>RA.PL.1.3
Identify best topic for Cycle</x:v>
      </x:c>
      <x:c r="I825" s="14"/>
      <x:c r="J825" s="14"/>
      <x:c r="K825" s="14"/>
      <x:c r="L825" s="86" t="str">
        <x:f>IF($P825="","",INDEX(Tasks!$N$10:$N$1941,$P825))</x:f>
        <x:v>Not started</x:v>
      </x:c>
      <x:c r="M825" s="87" t="n">
        <x:f>IF($P825="","",INDEX(Tasks!$J$10:$J$1941,$P825))</x:f>
        <x:v>46295</x:v>
      </x:c>
      <x:c r="N825" s="85" t="str">
        <x:f>IF($P825="","",HYPERLINK("#'"&amp;INDEX(Tasks!$T$10:$T$1941,$P825)&amp;"'!A"&amp;INDEX(Tasks!$U$10:$U$1941,$P825),"Open"))</x:f>
        <x:v>Open</x:v>
      </x:c>
      <x:c r="O825" s="14"/>
      <x:c r="P825" s="14" t="n">
        <x:f>IF(804&gt;$B$10,"",MATCH(804,Tasks!$S$10:$S$1941,0))</x:f>
        <x:v>1168</x:v>
      </x:c>
    </x:row>
    <x:row r="826" ht="58" customHeight="1">
      <x:c r="B826" s="86" t="str">
        <x:f>IF($P826="","",INDEX(Tasks!$B$10:$B$1941,$P826))</x:f>
        <x:v>Cycle 3</x:v>
      </x:c>
      <x:c r="C826" s="86" t="str">
        <x:f>IF($P826="","",INDEX(Tasks!$C$10:$C$1941,$P826))</x:f>
        <x:v>Phase 1</x:v>
      </x:c>
      <x:c r="D826" s="86" t="str">
        <x:f>IF($P826="","",INDEX(Tasks!$D$10:$D$1941,$P826))</x:f>
        <x:v>PLL</x:v>
      </x:c>
      <x:c r="E826" s="86"/>
      <x:c r="F826" s="86" t="str">
        <x:f>IF($P826="","",INDEX(Tasks!$E$10:$E$1941,$P826))</x:f>
        <x:v>Research &amp; Analysis</x:v>
      </x:c>
      <x:c r="G826" s="86"/>
      <x:c r="H826" s="14" t="str">
        <x:f>IF($P826="","",INDEX(Tasks!$F$10:$F$1941,$P826)&amp;CHAR(10)&amp;INDEX(Tasks!$G$10:$G$1941,$P826))</x:f>
        <x:v>RA.PL.1.4
Identify backup topic for Cycle</x:v>
      </x:c>
      <x:c r="I826" s="14"/>
      <x:c r="J826" s="14"/>
      <x:c r="K826" s="14"/>
      <x:c r="L826" s="86" t="str">
        <x:f>IF($P826="","",INDEX(Tasks!$N$10:$N$1941,$P826))</x:f>
        <x:v>Not started</x:v>
      </x:c>
      <x:c r="M826" s="87" t="n">
        <x:f>IF($P826="","",INDEX(Tasks!$J$10:$J$1941,$P826))</x:f>
        <x:v>46295</x:v>
      </x:c>
      <x:c r="N826" s="85" t="str">
        <x:f>IF($P826="","",HYPERLINK("#'"&amp;INDEX(Tasks!$T$10:$T$1941,$P826)&amp;"'!A"&amp;INDEX(Tasks!$U$10:$U$1941,$P826),"Open"))</x:f>
        <x:v>Open</x:v>
      </x:c>
      <x:c r="O826" s="14"/>
      <x:c r="P826" s="14" t="n">
        <x:f>IF(805&gt;$B$10,"",MATCH(805,Tasks!$S$10:$S$1941,0))</x:f>
        <x:v>1169</x:v>
      </x:c>
    </x:row>
    <x:row r="827" ht="58" customHeight="1">
      <x:c r="B827" s="86" t="str">
        <x:f>IF($P827="","",INDEX(Tasks!$B$10:$B$1941,$P827))</x:f>
        <x:v>Cycle 3</x:v>
      </x:c>
      <x:c r="C827" s="86" t="str">
        <x:f>IF($P827="","",INDEX(Tasks!$C$10:$C$1941,$P827))</x:f>
        <x:v>Phase 1</x:v>
      </x:c>
      <x:c r="D827" s="86" t="str">
        <x:f>IF($P827="","",INDEX(Tasks!$D$10:$D$1941,$P827))</x:f>
        <x:v>PLL</x:v>
      </x:c>
      <x:c r="E827" s="86"/>
      <x:c r="F827" s="86" t="str">
        <x:f>IF($P827="","",INDEX(Tasks!$E$10:$E$1941,$P827))</x:f>
        <x:v>Research &amp; Analysis</x:v>
      </x:c>
      <x:c r="G827" s="86"/>
      <x:c r="H827" s="14" t="str">
        <x:f>IF($P827="","",INDEX(Tasks!$F$10:$F$1941,$P827)&amp;CHAR(10)&amp;INDEX(Tasks!$G$10:$G$1941,$P827))</x:f>
        <x:v>RA.PL.1.5
Schedule topic approval meeting with D&amp;I and management</x:v>
      </x:c>
      <x:c r="I827" s="14"/>
      <x:c r="J827" s="14"/>
      <x:c r="K827" s="14"/>
      <x:c r="L827" s="86" t="str">
        <x:f>IF($P827="","",INDEX(Tasks!$N$10:$N$1941,$P827))</x:f>
        <x:v>Not started</x:v>
      </x:c>
      <x:c r="M827" s="87" t="n">
        <x:f>IF($P827="","",INDEX(Tasks!$J$10:$J$1941,$P827))</x:f>
        <x:v>46295</x:v>
      </x:c>
      <x:c r="N827" s="85" t="str">
        <x:f>IF($P827="","",HYPERLINK("#'"&amp;INDEX(Tasks!$T$10:$T$1941,$P827)&amp;"'!A"&amp;INDEX(Tasks!$U$10:$U$1941,$P827),"Open"))</x:f>
        <x:v>Open</x:v>
      </x:c>
      <x:c r="O827" s="14"/>
      <x:c r="P827" s="14" t="n">
        <x:f>IF(806&gt;$B$10,"",MATCH(806,Tasks!$S$10:$S$1941,0))</x:f>
        <x:v>1170</x:v>
      </x:c>
    </x:row>
    <x:row r="828" ht="58" customHeight="1">
      <x:c r="B828" s="86" t="str">
        <x:f>IF($P828="","",INDEX(Tasks!$B$10:$B$1941,$P828))</x:f>
        <x:v>Cycle 3</x:v>
      </x:c>
      <x:c r="C828" s="86" t="str">
        <x:f>IF($P828="","",INDEX(Tasks!$C$10:$C$1941,$P828))</x:f>
        <x:v>Phase 1</x:v>
      </x:c>
      <x:c r="D828" s="86" t="str">
        <x:f>IF($P828="","",INDEX(Tasks!$D$10:$D$1941,$P828))</x:f>
        <x:v>PLL</x:v>
      </x:c>
      <x:c r="E828" s="86"/>
      <x:c r="F828" s="86" t="str">
        <x:f>IF($P828="","",INDEX(Tasks!$E$10:$E$1941,$P828))</x:f>
        <x:v>Research &amp; Analysis</x:v>
      </x:c>
      <x:c r="G828" s="86"/>
      <x:c r="H828" s="14" t="str">
        <x:f>IF($P828="","",INDEX(Tasks!$F$10:$F$1941,$P828)&amp;CHAR(10)&amp;INDEX(Tasks!$G$10:$G$1941,$P828))</x:f>
        <x:v>RA.PL.1.6
Present recommended topic to D&amp;I and management for approval</x:v>
      </x:c>
      <x:c r="I828" s="14"/>
      <x:c r="J828" s="14"/>
      <x:c r="K828" s="14"/>
      <x:c r="L828" s="86" t="str">
        <x:f>IF($P828="","",INDEX(Tasks!$N$10:$N$1941,$P828))</x:f>
        <x:v>Not started</x:v>
      </x:c>
      <x:c r="M828" s="87" t="n">
        <x:f>IF($P828="","",INDEX(Tasks!$J$10:$J$1941,$P828))</x:f>
        <x:v>46295</x:v>
      </x:c>
      <x:c r="N828" s="85" t="str">
        <x:f>IF($P828="","",HYPERLINK("#'"&amp;INDEX(Tasks!$T$10:$T$1941,$P828)&amp;"'!A"&amp;INDEX(Tasks!$U$10:$U$1941,$P828),"Open"))</x:f>
        <x:v>Open</x:v>
      </x:c>
      <x:c r="O828" s="14"/>
      <x:c r="P828" s="14" t="n">
        <x:f>IF(807&gt;$B$10,"",MATCH(807,Tasks!$S$10:$S$1941,0))</x:f>
        <x:v>1171</x:v>
      </x:c>
    </x:row>
    <x:row r="829" ht="58" customHeight="1">
      <x:c r="B829" s="86" t="str">
        <x:f>IF($P829="","",INDEX(Tasks!$B$10:$B$1941,$P829))</x:f>
        <x:v>Cycle 3</x:v>
      </x:c>
      <x:c r="C829" s="86" t="str">
        <x:f>IF($P829="","",INDEX(Tasks!$C$10:$C$1941,$P829))</x:f>
        <x:v>Phase 1</x:v>
      </x:c>
      <x:c r="D829" s="86" t="str">
        <x:f>IF($P829="","",INDEX(Tasks!$D$10:$D$1941,$P829))</x:f>
        <x:v>PLL</x:v>
      </x:c>
      <x:c r="E829" s="86"/>
      <x:c r="F829" s="86" t="str">
        <x:f>IF($P829="","",INDEX(Tasks!$E$10:$E$1941,$P829))</x:f>
        <x:v>Research &amp; Analysis</x:v>
      </x:c>
      <x:c r="G829" s="86"/>
      <x:c r="H829" s="14" t="str">
        <x:f>IF($P829="","",INDEX(Tasks!$F$10:$F$1941,$P829)&amp;CHAR(10)&amp;INDEX(Tasks!$G$10:$G$1941,$P829))</x:f>
        <x:v>RA.PL.1.7
Obtain formal topic selection approval from management via SharePoint</x:v>
      </x:c>
      <x:c r="I829" s="14"/>
      <x:c r="J829" s="14"/>
      <x:c r="K829" s="14"/>
      <x:c r="L829" s="86" t="str">
        <x:f>IF($P829="","",INDEX(Tasks!$N$10:$N$1941,$P829))</x:f>
        <x:v>Not started</x:v>
      </x:c>
      <x:c r="M829" s="87" t="n">
        <x:f>IF($P829="","",INDEX(Tasks!$J$10:$J$1941,$P829))</x:f>
        <x:v>46295</x:v>
      </x:c>
      <x:c r="N829" s="85" t="str">
        <x:f>IF($P829="","",HYPERLINK("#'"&amp;INDEX(Tasks!$T$10:$T$1941,$P829)&amp;"'!A"&amp;INDEX(Tasks!$U$10:$U$1941,$P829),"Open"))</x:f>
        <x:v>Open</x:v>
      </x:c>
      <x:c r="O829" s="14"/>
      <x:c r="P829" s="14" t="n">
        <x:f>IF(808&gt;$B$10,"",MATCH(808,Tasks!$S$10:$S$1941,0))</x:f>
        <x:v>1172</x:v>
      </x:c>
    </x:row>
    <x:row r="830" ht="58" customHeight="1">
      <x:c r="B830" s="86" t="str">
        <x:f>IF($P830="","",INDEX(Tasks!$B$10:$B$1941,$P830))</x:f>
        <x:v>Cycle 3</x:v>
      </x:c>
      <x:c r="C830" s="86" t="str">
        <x:f>IF($P830="","",INDEX(Tasks!$C$10:$C$1941,$P830))</x:f>
        <x:v>Phase 1</x:v>
      </x:c>
      <x:c r="D830" s="86" t="str">
        <x:f>IF($P830="","",INDEX(Tasks!$D$10:$D$1941,$P830))</x:f>
        <x:v>PLL</x:v>
      </x:c>
      <x:c r="E830" s="86"/>
      <x:c r="F830" s="86" t="str">
        <x:f>IF($P830="","",INDEX(Tasks!$E$10:$E$1941,$P830))</x:f>
        <x:v>Research &amp; Analysis</x:v>
      </x:c>
      <x:c r="G830" s="86"/>
      <x:c r="H830" s="14" t="str">
        <x:f>IF($P830="","",INDEX(Tasks!$F$10:$F$1941,$P830)&amp;CHAR(10)&amp;INDEX(Tasks!$G$10:$G$1941,$P830))</x:f>
        <x:v>RA.PL.1.8
Socialize topic selection with product owners and subject matter experts (if known)</x:v>
      </x:c>
      <x:c r="I830" s="14"/>
      <x:c r="J830" s="14"/>
      <x:c r="K830" s="14"/>
      <x:c r="L830" s="86" t="str">
        <x:f>IF($P830="","",INDEX(Tasks!$N$10:$N$1941,$P830))</x:f>
        <x:v>Not started</x:v>
      </x:c>
      <x:c r="M830" s="87" t="n">
        <x:f>IF($P830="","",INDEX(Tasks!$J$10:$J$1941,$P830))</x:f>
        <x:v>46295</x:v>
      </x:c>
      <x:c r="N830" s="85" t="str">
        <x:f>IF($P830="","",HYPERLINK("#'"&amp;INDEX(Tasks!$T$10:$T$1941,$P830)&amp;"'!A"&amp;INDEX(Tasks!$U$10:$U$1941,$P830),"Open"))</x:f>
        <x:v>Open</x:v>
      </x:c>
      <x:c r="O830" s="14"/>
      <x:c r="P830" s="14" t="n">
        <x:f>IF(809&gt;$B$10,"",MATCH(809,Tasks!$S$10:$S$1941,0))</x:f>
        <x:v>1173</x:v>
      </x:c>
    </x:row>
    <x:row r="831" ht="58" customHeight="1">
      <x:c r="B831" s="86" t="str">
        <x:f>IF($P831="","",INDEX(Tasks!$B$10:$B$1941,$P831))</x:f>
        <x:v>Cycle 3</x:v>
      </x:c>
      <x:c r="C831" s="86" t="str">
        <x:f>IF($P831="","",INDEX(Tasks!$C$10:$C$1941,$P831))</x:f>
        <x:v>Phase 1</x:v>
      </x:c>
      <x:c r="D831" s="86" t="str">
        <x:f>IF($P831="","",INDEX(Tasks!$D$10:$D$1941,$P831))</x:f>
        <x:v>PLL</x:v>
      </x:c>
      <x:c r="E831" s="86"/>
      <x:c r="F831" s="86" t="str">
        <x:f>IF($P831="","",INDEX(Tasks!$E$10:$E$1941,$P831))</x:f>
        <x:v>Research &amp; Analysis</x:v>
      </x:c>
      <x:c r="G831" s="86"/>
      <x:c r="H831" s="14" t="str">
        <x:f>IF($P831="","",INDEX(Tasks!$F$10:$F$1941,$P831)&amp;CHAR(10)&amp;INDEX(Tasks!$G$10:$G$1941,$P831))</x:f>
        <x:v>RA.PL.1.9
Assign topic researchers</x:v>
      </x:c>
      <x:c r="I831" s="14"/>
      <x:c r="J831" s="14"/>
      <x:c r="K831" s="14"/>
      <x:c r="L831" s="86" t="str">
        <x:f>IF($P831="","",INDEX(Tasks!$N$10:$N$1941,$P831))</x:f>
        <x:v>Not started</x:v>
      </x:c>
      <x:c r="M831" s="87" t="n">
        <x:f>IF($P831="","",INDEX(Tasks!$J$10:$J$1941,$P831))</x:f>
        <x:v>46295</x:v>
      </x:c>
      <x:c r="N831" s="85" t="str">
        <x:f>IF($P831="","",HYPERLINK("#'"&amp;INDEX(Tasks!$T$10:$T$1941,$P831)&amp;"'!A"&amp;INDEX(Tasks!$U$10:$U$1941,$P831),"Open"))</x:f>
        <x:v>Open</x:v>
      </x:c>
      <x:c r="O831" s="14"/>
      <x:c r="P831" s="14" t="n">
        <x:f>IF(810&gt;$B$10,"",MATCH(810,Tasks!$S$10:$S$1941,0))</x:f>
        <x:v>1174</x:v>
      </x:c>
    </x:row>
    <x:row r="832" ht="58" customHeight="1">
      <x:c r="B832" s="86" t="str">
        <x:f>IF($P832="","",INDEX(Tasks!$B$10:$B$1941,$P832))</x:f>
        <x:v>Cycle 3</x:v>
      </x:c>
      <x:c r="C832" s="86" t="str">
        <x:f>IF($P832="","",INDEX(Tasks!$C$10:$C$1941,$P832))</x:f>
        <x:v>Phase 2</x:v>
      </x:c>
      <x:c r="D832" s="86" t="str">
        <x:f>IF($P832="","",INDEX(Tasks!$D$10:$D$1941,$P832))</x:f>
        <x:v>PLL</x:v>
      </x:c>
      <x:c r="E832" s="86"/>
      <x:c r="F832" s="86" t="str">
        <x:f>IF($P832="","",INDEX(Tasks!$E$10:$E$1941,$P832))</x:f>
        <x:v>Research &amp; Analysis</x:v>
      </x:c>
      <x:c r="G832" s="86"/>
      <x:c r="H832" s="14" t="str">
        <x:f>IF($P832="","",INDEX(Tasks!$F$10:$F$1941,$P832)&amp;CHAR(10)&amp;INDEX(Tasks!$G$10:$G$1941,$P832))</x:f>
        <x:v>RA.PL.2.1
Review data sources</x:v>
      </x:c>
      <x:c r="I832" s="14"/>
      <x:c r="J832" s="14"/>
      <x:c r="K832" s="14"/>
      <x:c r="L832" s="86" t="str">
        <x:f>IF($P832="","",INDEX(Tasks!$N$10:$N$1941,$P832))</x:f>
        <x:v>Not started</x:v>
      </x:c>
      <x:c r="M832" s="87" t="n">
        <x:f>IF($P832="","",INDEX(Tasks!$J$10:$J$1941,$P832))</x:f>
        <x:v>46295</x:v>
      </x:c>
      <x:c r="N832" s="85" t="str">
        <x:f>IF($P832="","",HYPERLINK("#'"&amp;INDEX(Tasks!$T$10:$T$1941,$P832)&amp;"'!A"&amp;INDEX(Tasks!$U$10:$U$1941,$P832),"Open"))</x:f>
        <x:v>Open</x:v>
      </x:c>
      <x:c r="O832" s="14"/>
      <x:c r="P832" s="14" t="n">
        <x:f>IF(811&gt;$B$10,"",MATCH(811,Tasks!$S$10:$S$1941,0))</x:f>
        <x:v>1175</x:v>
      </x:c>
    </x:row>
    <x:row r="833" ht="58" customHeight="1">
      <x:c r="B833" s="86" t="str">
        <x:f>IF($P833="","",INDEX(Tasks!$B$10:$B$1941,$P833))</x:f>
        <x:v>Cycle 3</x:v>
      </x:c>
      <x:c r="C833" s="86" t="str">
        <x:f>IF($P833="","",INDEX(Tasks!$C$10:$C$1941,$P833))</x:f>
        <x:v>Phase 2</x:v>
      </x:c>
      <x:c r="D833" s="86" t="str">
        <x:f>IF($P833="","",INDEX(Tasks!$D$10:$D$1941,$P833))</x:f>
        <x:v>PLL</x:v>
      </x:c>
      <x:c r="E833" s="86"/>
      <x:c r="F833" s="86" t="str">
        <x:f>IF($P833="","",INDEX(Tasks!$E$10:$E$1941,$P833))</x:f>
        <x:v>Research &amp; Analysis</x:v>
      </x:c>
      <x:c r="G833" s="86"/>
      <x:c r="H833" s="14" t="str">
        <x:f>IF($P833="","",INDEX(Tasks!$F$10:$F$1941,$P833)&amp;CHAR(10)&amp;INDEX(Tasks!$G$10:$G$1941,$P833))</x:f>
        <x:v>RA.PL.2.2
Review relevant policies and procedures</x:v>
      </x:c>
      <x:c r="I833" s="14"/>
      <x:c r="J833" s="14"/>
      <x:c r="K833" s="14"/>
      <x:c r="L833" s="86" t="str">
        <x:f>IF($P833="","",INDEX(Tasks!$N$10:$N$1941,$P833))</x:f>
        <x:v>Not started</x:v>
      </x:c>
      <x:c r="M833" s="87" t="n">
        <x:f>IF($P833="","",INDEX(Tasks!$J$10:$J$1941,$P833))</x:f>
        <x:v>46295</x:v>
      </x:c>
      <x:c r="N833" s="85" t="str">
        <x:f>IF($P833="","",HYPERLINK("#'"&amp;INDEX(Tasks!$T$10:$T$1941,$P833)&amp;"'!A"&amp;INDEX(Tasks!$U$10:$U$1941,$P833),"Open"))</x:f>
        <x:v>Open</x:v>
      </x:c>
      <x:c r="O833" s="14"/>
      <x:c r="P833" s="14" t="n">
        <x:f>IF(812&gt;$B$10,"",MATCH(812,Tasks!$S$10:$S$1941,0))</x:f>
        <x:v>1176</x:v>
      </x:c>
    </x:row>
    <x:row r="834" ht="58" customHeight="1">
      <x:c r="B834" s="86" t="str">
        <x:f>IF($P834="","",INDEX(Tasks!$B$10:$B$1941,$P834))</x:f>
        <x:v>Cycle 3</x:v>
      </x:c>
      <x:c r="C834" s="86" t="str">
        <x:f>IF($P834="","",INDEX(Tasks!$C$10:$C$1941,$P834))</x:f>
        <x:v>Phase 2</x:v>
      </x:c>
      <x:c r="D834" s="86" t="str">
        <x:f>IF($P834="","",INDEX(Tasks!$D$10:$D$1941,$P834))</x:f>
        <x:v>PLL</x:v>
      </x:c>
      <x:c r="E834" s="86"/>
      <x:c r="F834" s="86" t="str">
        <x:f>IF($P834="","",INDEX(Tasks!$E$10:$E$1941,$P834))</x:f>
        <x:v>Research &amp; Analysis</x:v>
      </x:c>
      <x:c r="G834" s="86"/>
      <x:c r="H834" s="14" t="str">
        <x:f>IF($P834="","",INDEX(Tasks!$F$10:$F$1941,$P834)&amp;CHAR(10)&amp;INDEX(Tasks!$G$10:$G$1941,$P834))</x:f>
        <x:v>RA.PL.2.3
Meet with SMEs to gain business insight and clarify questions</x:v>
      </x:c>
      <x:c r="I834" s="14"/>
      <x:c r="J834" s="14"/>
      <x:c r="K834" s="14"/>
      <x:c r="L834" s="86" t="str">
        <x:f>IF($P834="","",INDEX(Tasks!$N$10:$N$1941,$P834))</x:f>
        <x:v>Not started</x:v>
      </x:c>
      <x:c r="M834" s="87" t="n">
        <x:f>IF($P834="","",INDEX(Tasks!$J$10:$J$1941,$P834))</x:f>
        <x:v>46295</x:v>
      </x:c>
      <x:c r="N834" s="85" t="str">
        <x:f>IF($P834="","",HYPERLINK("#'"&amp;INDEX(Tasks!$T$10:$T$1941,$P834)&amp;"'!A"&amp;INDEX(Tasks!$U$10:$U$1941,$P834),"Open"))</x:f>
        <x:v>Open</x:v>
      </x:c>
      <x:c r="O834" s="14"/>
      <x:c r="P834" s="14" t="n">
        <x:f>IF(813&gt;$B$10,"",MATCH(813,Tasks!$S$10:$S$1941,0))</x:f>
        <x:v>1177</x:v>
      </x:c>
    </x:row>
    <x:row r="835" ht="58" customHeight="1">
      <x:c r="B835" s="86" t="str">
        <x:f>IF($P835="","",INDEX(Tasks!$B$10:$B$1941,$P835))</x:f>
        <x:v>Cycle 3</x:v>
      </x:c>
      <x:c r="C835" s="86" t="str">
        <x:f>IF($P835="","",INDEX(Tasks!$C$10:$C$1941,$P835))</x:f>
        <x:v>Phase 2</x:v>
      </x:c>
      <x:c r="D835" s="86" t="str">
        <x:f>IF($P835="","",INDEX(Tasks!$D$10:$D$1941,$P835))</x:f>
        <x:v>PLL</x:v>
      </x:c>
      <x:c r="E835" s="86"/>
      <x:c r="F835" s="86" t="str">
        <x:f>IF($P835="","",INDEX(Tasks!$E$10:$E$1941,$P835))</x:f>
        <x:v>Research &amp; Analysis</x:v>
      </x:c>
      <x:c r="G835" s="86"/>
      <x:c r="H835" s="14" t="str">
        <x:f>IF($P835="","",INDEX(Tasks!$F$10:$F$1941,$P835)&amp;CHAR(10)&amp;INDEX(Tasks!$G$10:$G$1941,$P835))</x:f>
        <x:v>RA.PL.2.4
Establish and maintain a recurring meeting with D&amp;I to discuss Cycle progress</x:v>
      </x:c>
      <x:c r="I835" s="14"/>
      <x:c r="J835" s="14"/>
      <x:c r="K835" s="14"/>
      <x:c r="L835" s="86" t="str">
        <x:f>IF($P835="","",INDEX(Tasks!$N$10:$N$1941,$P835))</x:f>
        <x:v>Not started</x:v>
      </x:c>
      <x:c r="M835" s="87" t="n">
        <x:f>IF($P835="","",INDEX(Tasks!$J$10:$J$1941,$P835))</x:f>
        <x:v>46295</x:v>
      </x:c>
      <x:c r="N835" s="85" t="str">
        <x:f>IF($P835="","",HYPERLINK("#'"&amp;INDEX(Tasks!$T$10:$T$1941,$P835)&amp;"'!A"&amp;INDEX(Tasks!$U$10:$U$1941,$P835),"Open"))</x:f>
        <x:v>Open</x:v>
      </x:c>
      <x:c r="O835" s="14"/>
      <x:c r="P835" s="14" t="n">
        <x:f>IF(814&gt;$B$10,"",MATCH(814,Tasks!$S$10:$S$1941,0))</x:f>
        <x:v>1178</x:v>
      </x:c>
    </x:row>
    <x:row r="836" ht="58" customHeight="1">
      <x:c r="B836" s="86" t="str">
        <x:f>IF($P836="","",INDEX(Tasks!$B$10:$B$1941,$P836))</x:f>
        <x:v>Cycle 3</x:v>
      </x:c>
      <x:c r="C836" s="86" t="str">
        <x:f>IF($P836="","",INDEX(Tasks!$C$10:$C$1941,$P836))</x:f>
        <x:v>Phase 2</x:v>
      </x:c>
      <x:c r="D836" s="86" t="str">
        <x:f>IF($P836="","",INDEX(Tasks!$D$10:$D$1941,$P836))</x:f>
        <x:v>PLL</x:v>
      </x:c>
      <x:c r="E836" s="86"/>
      <x:c r="F836" s="86" t="str">
        <x:f>IF($P836="","",INDEX(Tasks!$E$10:$E$1941,$P836))</x:f>
        <x:v>Research &amp; Analysis</x:v>
      </x:c>
      <x:c r="G836" s="86"/>
      <x:c r="H836" s="14" t="str">
        <x:f>IF($P836="","",INDEX(Tasks!$F$10:$F$1941,$P836)&amp;CHAR(10)&amp;INDEX(Tasks!$G$10:$G$1941,$P836))</x:f>
        <x:v>RA.PL.2.5
Perform data testing and sampling</x:v>
      </x:c>
      <x:c r="I836" s="14"/>
      <x:c r="J836" s="14"/>
      <x:c r="K836" s="14"/>
      <x:c r="L836" s="86" t="str">
        <x:f>IF($P836="","",INDEX(Tasks!$N$10:$N$1941,$P836))</x:f>
        <x:v>Not started</x:v>
      </x:c>
      <x:c r="M836" s="87" t="n">
        <x:f>IF($P836="","",INDEX(Tasks!$J$10:$J$1941,$P836))</x:f>
        <x:v>46295</x:v>
      </x:c>
      <x:c r="N836" s="85" t="str">
        <x:f>IF($P836="","",HYPERLINK("#'"&amp;INDEX(Tasks!$T$10:$T$1941,$P836)&amp;"'!A"&amp;INDEX(Tasks!$U$10:$U$1941,$P836),"Open"))</x:f>
        <x:v>Open</x:v>
      </x:c>
      <x:c r="O836" s="14"/>
      <x:c r="P836" s="14" t="n">
        <x:f>IF(815&gt;$B$10,"",MATCH(815,Tasks!$S$10:$S$1941,0))</x:f>
        <x:v>1179</x:v>
      </x:c>
    </x:row>
    <x:row r="837" ht="58" customHeight="1">
      <x:c r="B837" s="86" t="str">
        <x:f>IF($P837="","",INDEX(Tasks!$B$10:$B$1941,$P837))</x:f>
        <x:v>Cycle 3</x:v>
      </x:c>
      <x:c r="C837" s="86" t="str">
        <x:f>IF($P837="","",INDEX(Tasks!$C$10:$C$1941,$P837))</x:f>
        <x:v>Phase 2</x:v>
      </x:c>
      <x:c r="D837" s="86" t="str">
        <x:f>IF($P837="","",INDEX(Tasks!$D$10:$D$1941,$P837))</x:f>
        <x:v>PLL</x:v>
      </x:c>
      <x:c r="E837" s="86"/>
      <x:c r="F837" s="86" t="str">
        <x:f>IF($P837="","",INDEX(Tasks!$E$10:$E$1941,$P837))</x:f>
        <x:v>Research &amp; Analysis</x:v>
      </x:c>
      <x:c r="G837" s="86"/>
      <x:c r="H837" s="14" t="str">
        <x:f>IF($P837="","",INDEX(Tasks!$F$10:$F$1941,$P837)&amp;CHAR(10)&amp;INDEX(Tasks!$G$10:$G$1941,$P837))</x:f>
        <x:v>RA.PL.2.6
Complete Positive Testing</x:v>
      </x:c>
      <x:c r="I837" s="14"/>
      <x:c r="J837" s="14"/>
      <x:c r="K837" s="14"/>
      <x:c r="L837" s="86" t="str">
        <x:f>IF($P837="","",INDEX(Tasks!$N$10:$N$1941,$P837))</x:f>
        <x:v>Not started</x:v>
      </x:c>
      <x:c r="M837" s="87" t="n">
        <x:f>IF($P837="","",INDEX(Tasks!$J$10:$J$1941,$P837))</x:f>
        <x:v>46295</x:v>
      </x:c>
      <x:c r="N837" s="85" t="str">
        <x:f>IF($P837="","",HYPERLINK("#'"&amp;INDEX(Tasks!$T$10:$T$1941,$P837)&amp;"'!A"&amp;INDEX(Tasks!$U$10:$U$1941,$P837),"Open"))</x:f>
        <x:v>Open</x:v>
      </x:c>
      <x:c r="O837" s="14"/>
      <x:c r="P837" s="14" t="n">
        <x:f>IF(816&gt;$B$10,"",MATCH(816,Tasks!$S$10:$S$1941,0))</x:f>
        <x:v>1180</x:v>
      </x:c>
    </x:row>
    <x:row r="838" ht="58" customHeight="1">
      <x:c r="B838" s="86" t="str">
        <x:f>IF($P838="","",INDEX(Tasks!$B$10:$B$1941,$P838))</x:f>
        <x:v>Cycle 3</x:v>
      </x:c>
      <x:c r="C838" s="86" t="str">
        <x:f>IF($P838="","",INDEX(Tasks!$C$10:$C$1941,$P838))</x:f>
        <x:v>Phase 2</x:v>
      </x:c>
      <x:c r="D838" s="86" t="str">
        <x:f>IF($P838="","",INDEX(Tasks!$D$10:$D$1941,$P838))</x:f>
        <x:v>PLL</x:v>
      </x:c>
      <x:c r="E838" s="86"/>
      <x:c r="F838" s="86" t="str">
        <x:f>IF($P838="","",INDEX(Tasks!$E$10:$E$1941,$P838))</x:f>
        <x:v>Research &amp; Analysis</x:v>
      </x:c>
      <x:c r="G838" s="86"/>
      <x:c r="H838" s="14" t="str">
        <x:f>IF($P838="","",INDEX(Tasks!$F$10:$F$1941,$P838)&amp;CHAR(10)&amp;INDEX(Tasks!$G$10:$G$1941,$P838))</x:f>
        <x:v>RA.PL.2.7
Complete Negative Testing</x:v>
      </x:c>
      <x:c r="I838" s="14"/>
      <x:c r="J838" s="14"/>
      <x:c r="K838" s="14"/>
      <x:c r="L838" s="86" t="str">
        <x:f>IF($P838="","",INDEX(Tasks!$N$10:$N$1941,$P838))</x:f>
        <x:v>Not started</x:v>
      </x:c>
      <x:c r="M838" s="87" t="n">
        <x:f>IF($P838="","",INDEX(Tasks!$J$10:$J$1941,$P838))</x:f>
        <x:v>46295</x:v>
      </x:c>
      <x:c r="N838" s="85" t="str">
        <x:f>IF($P838="","",HYPERLINK("#'"&amp;INDEX(Tasks!$T$10:$T$1941,$P838)&amp;"'!A"&amp;INDEX(Tasks!$U$10:$U$1941,$P838),"Open"))</x:f>
        <x:v>Open</x:v>
      </x:c>
      <x:c r="O838" s="14"/>
      <x:c r="P838" s="14" t="n">
        <x:f>IF(817&gt;$B$10,"",MATCH(817,Tasks!$S$10:$S$1941,0))</x:f>
        <x:v>1181</x:v>
      </x:c>
    </x:row>
    <x:row r="839" ht="58" customHeight="1">
      <x:c r="B839" s="86" t="str">
        <x:f>IF($P839="","",INDEX(Tasks!$B$10:$B$1941,$P839))</x:f>
        <x:v>Cycle 3</x:v>
      </x:c>
      <x:c r="C839" s="86" t="str">
        <x:f>IF($P839="","",INDEX(Tasks!$C$10:$C$1941,$P839))</x:f>
        <x:v>Phase 2</x:v>
      </x:c>
      <x:c r="D839" s="86" t="str">
        <x:f>IF($P839="","",INDEX(Tasks!$D$10:$D$1941,$P839))</x:f>
        <x:v>PLL</x:v>
      </x:c>
      <x:c r="E839" s="86"/>
      <x:c r="F839" s="86" t="str">
        <x:f>IF($P839="","",INDEX(Tasks!$E$10:$E$1941,$P839))</x:f>
        <x:v>Research &amp; Analysis</x:v>
      </x:c>
      <x:c r="G839" s="86"/>
      <x:c r="H839" s="14" t="str">
        <x:f>IF($P839="","",INDEX(Tasks!$F$10:$F$1941,$P839)&amp;CHAR(10)&amp;INDEX(Tasks!$G$10:$G$1941,$P839))</x:f>
        <x:v>RA.PL.2.8
Request additional data (as needed)</x:v>
      </x:c>
      <x:c r="I839" s="14"/>
      <x:c r="J839" s="14"/>
      <x:c r="K839" s="14"/>
      <x:c r="L839" s="86" t="str">
        <x:f>IF($P839="","",INDEX(Tasks!$N$10:$N$1941,$P839))</x:f>
        <x:v>Not started</x:v>
      </x:c>
      <x:c r="M839" s="87" t="n">
        <x:f>IF($P839="","",INDEX(Tasks!$J$10:$J$1941,$P839))</x:f>
        <x:v>46295</x:v>
      </x:c>
      <x:c r="N839" s="85" t="str">
        <x:f>IF($P839="","",HYPERLINK("#'"&amp;INDEX(Tasks!$T$10:$T$1941,$P839)&amp;"'!A"&amp;INDEX(Tasks!$U$10:$U$1941,$P839),"Open"))</x:f>
        <x:v>Open</x:v>
      </x:c>
      <x:c r="O839" s="14"/>
      <x:c r="P839" s="14" t="n">
        <x:f>IF(818&gt;$B$10,"",MATCH(818,Tasks!$S$10:$S$1941,0))</x:f>
        <x:v>1182</x:v>
      </x:c>
    </x:row>
    <x:row r="840" ht="58" customHeight="1">
      <x:c r="B840" s="86" t="str">
        <x:f>IF($P840="","",INDEX(Tasks!$B$10:$B$1941,$P840))</x:f>
        <x:v>Cycle 3</x:v>
      </x:c>
      <x:c r="C840" s="86" t="str">
        <x:f>IF($P840="","",INDEX(Tasks!$C$10:$C$1941,$P840))</x:f>
        <x:v>Phase 2</x:v>
      </x:c>
      <x:c r="D840" s="86" t="str">
        <x:f>IF($P840="","",INDEX(Tasks!$D$10:$D$1941,$P840))</x:f>
        <x:v>PLL</x:v>
      </x:c>
      <x:c r="E840" s="86"/>
      <x:c r="F840" s="86" t="str">
        <x:f>IF($P840="","",INDEX(Tasks!$E$10:$E$1941,$P840))</x:f>
        <x:v>Research &amp; Analysis</x:v>
      </x:c>
      <x:c r="G840" s="86"/>
      <x:c r="H840" s="14" t="str">
        <x:f>IF($P840="","",INDEX(Tasks!$F$10:$F$1941,$P840)&amp;CHAR(10)&amp;INDEX(Tasks!$G$10:$G$1941,$P840))</x:f>
        <x:v>RA.PL.2.9
Validate or disprove initial hypothesis assumptions</x:v>
      </x:c>
      <x:c r="I840" s="14"/>
      <x:c r="J840" s="14"/>
      <x:c r="K840" s="14"/>
      <x:c r="L840" s="86" t="str">
        <x:f>IF($P840="","",INDEX(Tasks!$N$10:$N$1941,$P840))</x:f>
        <x:v>Not started</x:v>
      </x:c>
      <x:c r="M840" s="87" t="n">
        <x:f>IF($P840="","",INDEX(Tasks!$J$10:$J$1941,$P840))</x:f>
        <x:v>46295</x:v>
      </x:c>
      <x:c r="N840" s="85" t="str">
        <x:f>IF($P840="","",HYPERLINK("#'"&amp;INDEX(Tasks!$T$10:$T$1941,$P840)&amp;"'!A"&amp;INDEX(Tasks!$U$10:$U$1941,$P840),"Open"))</x:f>
        <x:v>Open</x:v>
      </x:c>
      <x:c r="O840" s="14"/>
      <x:c r="P840" s="14" t="n">
        <x:f>IF(819&gt;$B$10,"",MATCH(819,Tasks!$S$10:$S$1941,0))</x:f>
        <x:v>1183</x:v>
      </x:c>
    </x:row>
    <x:row r="841" ht="58" customHeight="1">
      <x:c r="B841" s="86" t="str">
        <x:f>IF($P841="","",INDEX(Tasks!$B$10:$B$1941,$P841))</x:f>
        <x:v>Cycle 3</x:v>
      </x:c>
      <x:c r="C841" s="86" t="str">
        <x:f>IF($P841="","",INDEX(Tasks!$C$10:$C$1941,$P841))</x:f>
        <x:v>Phase 2</x:v>
      </x:c>
      <x:c r="D841" s="86" t="str">
        <x:f>IF($P841="","",INDEX(Tasks!$D$10:$D$1941,$P841))</x:f>
        <x:v>PLL</x:v>
      </x:c>
      <x:c r="E841" s="86"/>
      <x:c r="F841" s="86" t="str">
        <x:f>IF($P841="","",INDEX(Tasks!$E$10:$E$1941,$P841))</x:f>
        <x:v>Research &amp; Analysis</x:v>
      </x:c>
      <x:c r="G841" s="86"/>
      <x:c r="H841" s="14" t="str">
        <x:f>IF($P841="","",INDEX(Tasks!$F$10:$F$1941,$P841)&amp;CHAR(10)&amp;INDEX(Tasks!$G$10:$G$1941,$P841))</x:f>
        <x:v>RA.PL.2.10
Identify and confirm root cause</x:v>
      </x:c>
      <x:c r="I841" s="14"/>
      <x:c r="J841" s="14"/>
      <x:c r="K841" s="14"/>
      <x:c r="L841" s="86" t="str">
        <x:f>IF($P841="","",INDEX(Tasks!$N$10:$N$1941,$P841))</x:f>
        <x:v>Not started</x:v>
      </x:c>
      <x:c r="M841" s="87" t="n">
        <x:f>IF($P841="","",INDEX(Tasks!$J$10:$J$1941,$P841))</x:f>
        <x:v>46295</x:v>
      </x:c>
      <x:c r="N841" s="85" t="str">
        <x:f>IF($P841="","",HYPERLINK("#'"&amp;INDEX(Tasks!$T$10:$T$1941,$P841)&amp;"'!A"&amp;INDEX(Tasks!$U$10:$U$1941,$P841),"Open"))</x:f>
        <x:v>Open</x:v>
      </x:c>
      <x:c r="O841" s="14"/>
      <x:c r="P841" s="14" t="n">
        <x:f>IF(820&gt;$B$10,"",MATCH(820,Tasks!$S$10:$S$1941,0))</x:f>
        <x:v>1184</x:v>
      </x:c>
    </x:row>
    <x:row r="842" ht="58" customHeight="1">
      <x:c r="B842" s="86" t="str">
        <x:f>IF($P842="","",INDEX(Tasks!$B$10:$B$1941,$P842))</x:f>
        <x:v>Cycle 3</x:v>
      </x:c>
      <x:c r="C842" s="86" t="str">
        <x:f>IF($P842="","",INDEX(Tasks!$C$10:$C$1941,$P842))</x:f>
        <x:v>Phase 3</x:v>
      </x:c>
      <x:c r="D842" s="86" t="str">
        <x:f>IF($P842="","",INDEX(Tasks!$D$10:$D$1941,$P842))</x:f>
        <x:v>PLL</x:v>
      </x:c>
      <x:c r="E842" s="86"/>
      <x:c r="F842" s="86" t="str">
        <x:f>IF($P842="","",INDEX(Tasks!$E$10:$E$1941,$P842))</x:f>
        <x:v>Research &amp; Analysis</x:v>
      </x:c>
      <x:c r="G842" s="86"/>
      <x:c r="H842" s="14" t="str">
        <x:f>IF($P842="","",INDEX(Tasks!$F$10:$F$1941,$P842)&amp;CHAR(10)&amp;INDEX(Tasks!$G$10:$G$1941,$P842))</x:f>
        <x:v>RA.PL.3.1
Finalize results and supporting documentation</x:v>
      </x:c>
      <x:c r="I842" s="14"/>
      <x:c r="J842" s="14"/>
      <x:c r="K842" s="14"/>
      <x:c r="L842" s="86" t="str">
        <x:f>IF($P842="","",INDEX(Tasks!$N$10:$N$1941,$P842))</x:f>
        <x:v>Not started</x:v>
      </x:c>
      <x:c r="M842" s="87" t="n">
        <x:f>IF($P842="","",INDEX(Tasks!$J$10:$J$1941,$P842))</x:f>
        <x:v>46295</x:v>
      </x:c>
      <x:c r="N842" s="85" t="str">
        <x:f>IF($P842="","",HYPERLINK("#'"&amp;INDEX(Tasks!$T$10:$T$1941,$P842)&amp;"'!A"&amp;INDEX(Tasks!$U$10:$U$1941,$P842),"Open"))</x:f>
        <x:v>Open</x:v>
      </x:c>
      <x:c r="O842" s="14"/>
      <x:c r="P842" s="14" t="n">
        <x:f>IF(821&gt;$B$10,"",MATCH(821,Tasks!$S$10:$S$1941,0))</x:f>
        <x:v>1185</x:v>
      </x:c>
    </x:row>
    <x:row r="843" ht="58" customHeight="1">
      <x:c r="B843" s="86" t="str">
        <x:f>IF($P843="","",INDEX(Tasks!$B$10:$B$1941,$P843))</x:f>
        <x:v>Cycle 3</x:v>
      </x:c>
      <x:c r="C843" s="86" t="str">
        <x:f>IF($P843="","",INDEX(Tasks!$C$10:$C$1941,$P843))</x:f>
        <x:v>Phase 3</x:v>
      </x:c>
      <x:c r="D843" s="86" t="str">
        <x:f>IF($P843="","",INDEX(Tasks!$D$10:$D$1941,$P843))</x:f>
        <x:v>PLL</x:v>
      </x:c>
      <x:c r="E843" s="86"/>
      <x:c r="F843" s="86" t="str">
        <x:f>IF($P843="","",INDEX(Tasks!$E$10:$E$1941,$P843))</x:f>
        <x:v>Research &amp; Analysis</x:v>
      </x:c>
      <x:c r="G843" s="86"/>
      <x:c r="H843" s="14" t="str">
        <x:f>IF($P843="","",INDEX(Tasks!$F$10:$F$1941,$P843)&amp;CHAR(10)&amp;INDEX(Tasks!$G$10:$G$1941,$P843))</x:f>
        <x:v>RA.PL.3.2
Maintain and update the evidence package prior to handoff to D&amp;I</x:v>
      </x:c>
      <x:c r="I843" s="14"/>
      <x:c r="J843" s="14"/>
      <x:c r="K843" s="14"/>
      <x:c r="L843" s="86" t="str">
        <x:f>IF($P843="","",INDEX(Tasks!$N$10:$N$1941,$P843))</x:f>
        <x:v>Not started</x:v>
      </x:c>
      <x:c r="M843" s="87" t="n">
        <x:f>IF($P843="","",INDEX(Tasks!$J$10:$J$1941,$P843))</x:f>
        <x:v>46295</x:v>
      </x:c>
      <x:c r="N843" s="85" t="str">
        <x:f>IF($P843="","",HYPERLINK("#'"&amp;INDEX(Tasks!$T$10:$T$1941,$P843)&amp;"'!A"&amp;INDEX(Tasks!$U$10:$U$1941,$P843),"Open"))</x:f>
        <x:v>Open</x:v>
      </x:c>
      <x:c r="O843" s="14"/>
      <x:c r="P843" s="14" t="n">
        <x:f>IF(822&gt;$B$10,"",MATCH(822,Tasks!$S$10:$S$1941,0))</x:f>
        <x:v>1186</x:v>
      </x:c>
    </x:row>
    <x:row r="844" ht="58" customHeight="1">
      <x:c r="B844" s="86" t="str">
        <x:f>IF($P844="","",INDEX(Tasks!$B$10:$B$1941,$P844))</x:f>
        <x:v>Cycle 3</x:v>
      </x:c>
      <x:c r="C844" s="86" t="str">
        <x:f>IF($P844="","",INDEX(Tasks!$C$10:$C$1941,$P844))</x:f>
        <x:v>Phase 3</x:v>
      </x:c>
      <x:c r="D844" s="86" t="str">
        <x:f>IF($P844="","",INDEX(Tasks!$D$10:$D$1941,$P844))</x:f>
        <x:v>PLL</x:v>
      </x:c>
      <x:c r="E844" s="86"/>
      <x:c r="F844" s="86" t="str">
        <x:f>IF($P844="","",INDEX(Tasks!$E$10:$E$1941,$P844))</x:f>
        <x:v>Research &amp; Analysis</x:v>
      </x:c>
      <x:c r="G844" s="86"/>
      <x:c r="H844" s="14" t="str">
        <x:f>IF($P844="","",INDEX(Tasks!$F$10:$F$1941,$P844)&amp;CHAR(10)&amp;INDEX(Tasks!$G$10:$G$1941,$P844))</x:f>
        <x:v>RA.PL.3.3
Address any outstanding questions or requests from D&amp;I</x:v>
      </x:c>
      <x:c r="I844" s="14"/>
      <x:c r="J844" s="14"/>
      <x:c r="K844" s="14"/>
      <x:c r="L844" s="86" t="str">
        <x:f>IF($P844="","",INDEX(Tasks!$N$10:$N$1941,$P844))</x:f>
        <x:v>Not started</x:v>
      </x:c>
      <x:c r="M844" s="87" t="n">
        <x:f>IF($P844="","",INDEX(Tasks!$J$10:$J$1941,$P844))</x:f>
        <x:v>46295</x:v>
      </x:c>
      <x:c r="N844" s="85" t="str">
        <x:f>IF($P844="","",HYPERLINK("#'"&amp;INDEX(Tasks!$T$10:$T$1941,$P844)&amp;"'!A"&amp;INDEX(Tasks!$U$10:$U$1941,$P844),"Open"))</x:f>
        <x:v>Open</x:v>
      </x:c>
      <x:c r="O844" s="14"/>
      <x:c r="P844" s="14" t="n">
        <x:f>IF(823&gt;$B$10,"",MATCH(823,Tasks!$S$10:$S$1941,0))</x:f>
        <x:v>1187</x:v>
      </x:c>
    </x:row>
    <x:row r="845" ht="58" customHeight="1">
      <x:c r="B845" s="86" t="str">
        <x:f>IF($P845="","",INDEX(Tasks!$B$10:$B$1941,$P845))</x:f>
        <x:v>Cycle 3</x:v>
      </x:c>
      <x:c r="C845" s="86" t="str">
        <x:f>IF($P845="","",INDEX(Tasks!$C$10:$C$1941,$P845))</x:f>
        <x:v>Phase 3</x:v>
      </x:c>
      <x:c r="D845" s="86" t="str">
        <x:f>IF($P845="","",INDEX(Tasks!$D$10:$D$1941,$P845))</x:f>
        <x:v>PLL</x:v>
      </x:c>
      <x:c r="E845" s="86"/>
      <x:c r="F845" s="86" t="str">
        <x:f>IF($P845="","",INDEX(Tasks!$E$10:$E$1941,$P845))</x:f>
        <x:v>Research &amp; Analysis</x:v>
      </x:c>
      <x:c r="G845" s="86"/>
      <x:c r="H845" s="14" t="str">
        <x:f>IF($P845="","",INDEX(Tasks!$F$10:$F$1941,$P845)&amp;CHAR(10)&amp;INDEX(Tasks!$G$10:$G$1941,$P845))</x:f>
        <x:v>RA.PL.3.4
Attend Forum meeting with D&amp;I to assist with answering stakeholder questions (as needed)</x:v>
      </x:c>
      <x:c r="I845" s="14"/>
      <x:c r="J845" s="14"/>
      <x:c r="K845" s="14"/>
      <x:c r="L845" s="86" t="str">
        <x:f>IF($P845="","",INDEX(Tasks!$N$10:$N$1941,$P845))</x:f>
        <x:v>Not started</x:v>
      </x:c>
      <x:c r="M845" s="87" t="str">
        <x:f>IF($P845="","",INDEX(Tasks!$J$10:$J$1941,$P845))</x:f>
      </x:c>
      <x:c r="N845" s="85" t="str">
        <x:f>IF($P845="","",HYPERLINK("#'"&amp;INDEX(Tasks!$T$10:$T$1941,$P845)&amp;"'!A"&amp;INDEX(Tasks!$U$10:$U$1941,$P845),"Open"))</x:f>
        <x:v>Open</x:v>
      </x:c>
      <x:c r="O845" s="14"/>
      <x:c r="P845" s="14" t="n">
        <x:f>IF(824&gt;$B$10,"",MATCH(824,Tasks!$S$10:$S$1941,0))</x:f>
        <x:v>1188</x:v>
      </x:c>
    </x:row>
    <x:row r="846" ht="58" customHeight="1">
      <x:c r="B846" s="86" t="str">
        <x:f>IF($P846="","",INDEX(Tasks!$B$10:$B$1941,$P846))</x:f>
        <x:v>Cycle 3</x:v>
      </x:c>
      <x:c r="C846" s="86" t="str">
        <x:f>IF($P846="","",INDEX(Tasks!$C$10:$C$1941,$P846))</x:f>
        <x:v>Phase 1</x:v>
      </x:c>
      <x:c r="D846" s="86" t="str">
        <x:f>IF($P846="","",INDEX(Tasks!$D$10:$D$1941,$P846))</x:f>
        <x:v>Retail Services</x:v>
      </x:c>
      <x:c r="E846" s="86"/>
      <x:c r="F846" s="86" t="str">
        <x:f>IF($P846="","",INDEX(Tasks!$E$10:$E$1941,$P846))</x:f>
        <x:v>Research &amp; Analysis</x:v>
      </x:c>
      <x:c r="G846" s="86"/>
      <x:c r="H846" s="14" t="str">
        <x:f>IF($P846="","",INDEX(Tasks!$F$10:$F$1941,$P846)&amp;CHAR(10)&amp;INDEX(Tasks!$G$10:$G$1941,$P846))</x:f>
        <x:v>RA.RS.1.1
Begin Research process 2 weeks prior to Cycle start</x:v>
      </x:c>
      <x:c r="I846" s="14"/>
      <x:c r="J846" s="14"/>
      <x:c r="K846" s="14"/>
      <x:c r="L846" s="86" t="str">
        <x:f>IF($P846="","",INDEX(Tasks!$N$10:$N$1941,$P846))</x:f>
        <x:v>Not started</x:v>
      </x:c>
      <x:c r="M846" s="87" t="n">
        <x:f>IF($P846="","",INDEX(Tasks!$J$10:$J$1941,$P846))</x:f>
        <x:v>46190</x:v>
      </x:c>
      <x:c r="N846" s="85" t="str">
        <x:f>IF($P846="","",HYPERLINK("#'"&amp;INDEX(Tasks!$T$10:$T$1941,$P846)&amp;"'!A"&amp;INDEX(Tasks!$U$10:$U$1941,$P846),"Open"))</x:f>
        <x:v>Open</x:v>
      </x:c>
      <x:c r="O846" s="14"/>
      <x:c r="P846" s="14" t="n">
        <x:f>IF(825&gt;$B$10,"",MATCH(825,Tasks!$S$10:$S$1941,0))</x:f>
        <x:v>1189</x:v>
      </x:c>
    </x:row>
    <x:row r="847" ht="58" customHeight="1">
      <x:c r="B847" s="86" t="str">
        <x:f>IF($P847="","",INDEX(Tasks!$B$10:$B$1941,$P847))</x:f>
        <x:v>Cycle 3</x:v>
      </x:c>
      <x:c r="C847" s="86" t="str">
        <x:f>IF($P847="","",INDEX(Tasks!$C$10:$C$1941,$P847))</x:f>
        <x:v>Phase 1</x:v>
      </x:c>
      <x:c r="D847" s="86" t="str">
        <x:f>IF($P847="","",INDEX(Tasks!$D$10:$D$1941,$P847))</x:f>
        <x:v>Retail Services</x:v>
      </x:c>
      <x:c r="E847" s="86"/>
      <x:c r="F847" s="86" t="str">
        <x:f>IF($P847="","",INDEX(Tasks!$E$10:$E$1941,$P847))</x:f>
        <x:v>Research &amp; Analysis</x:v>
      </x:c>
      <x:c r="G847" s="86"/>
      <x:c r="H847" s="14" t="str">
        <x:f>IF($P847="","",INDEX(Tasks!$F$10:$F$1941,$P847)&amp;CHAR(10)&amp;INDEX(Tasks!$G$10:$G$1941,$P847))</x:f>
        <x:v>RA.RS.1.2
Conduct initial assessment of each topic recommendation from SharePoint list</x:v>
      </x:c>
      <x:c r="I847" s="14"/>
      <x:c r="J847" s="14"/>
      <x:c r="K847" s="14"/>
      <x:c r="L847" s="86" t="str">
        <x:f>IF($P847="","",INDEX(Tasks!$N$10:$N$1941,$P847))</x:f>
        <x:v>Not started</x:v>
      </x:c>
      <x:c r="M847" s="87" t="n">
        <x:f>IF($P847="","",INDEX(Tasks!$J$10:$J$1941,$P847))</x:f>
        <x:v>46295</x:v>
      </x:c>
      <x:c r="N847" s="85" t="str">
        <x:f>IF($P847="","",HYPERLINK("#'"&amp;INDEX(Tasks!$T$10:$T$1941,$P847)&amp;"'!A"&amp;INDEX(Tasks!$U$10:$U$1941,$P847),"Open"))</x:f>
        <x:v>Open</x:v>
      </x:c>
      <x:c r="O847" s="14"/>
      <x:c r="P847" s="14" t="n">
        <x:f>IF(826&gt;$B$10,"",MATCH(826,Tasks!$S$10:$S$1941,0))</x:f>
        <x:v>1190</x:v>
      </x:c>
    </x:row>
    <x:row r="848" ht="58" customHeight="1">
      <x:c r="B848" s="86" t="str">
        <x:f>IF($P848="","",INDEX(Tasks!$B$10:$B$1941,$P848))</x:f>
        <x:v>Cycle 3</x:v>
      </x:c>
      <x:c r="C848" s="86" t="str">
        <x:f>IF($P848="","",INDEX(Tasks!$C$10:$C$1941,$P848))</x:f>
        <x:v>Phase 1</x:v>
      </x:c>
      <x:c r="D848" s="86" t="str">
        <x:f>IF($P848="","",INDEX(Tasks!$D$10:$D$1941,$P848))</x:f>
        <x:v>Retail Services</x:v>
      </x:c>
      <x:c r="E848" s="86"/>
      <x:c r="F848" s="86" t="str">
        <x:f>IF($P848="","",INDEX(Tasks!$E$10:$E$1941,$P848))</x:f>
        <x:v>Research &amp; Analysis</x:v>
      </x:c>
      <x:c r="G848" s="86"/>
      <x:c r="H848" s="14" t="str">
        <x:f>IF($P848="","",INDEX(Tasks!$F$10:$F$1941,$P848)&amp;CHAR(10)&amp;INDEX(Tasks!$G$10:$G$1941,$P848))</x:f>
        <x:v>RA.RS.1.3
Identify best topic for Cycle</x:v>
      </x:c>
      <x:c r="I848" s="14"/>
      <x:c r="J848" s="14"/>
      <x:c r="K848" s="14"/>
      <x:c r="L848" s="86" t="str">
        <x:f>IF($P848="","",INDEX(Tasks!$N$10:$N$1941,$P848))</x:f>
        <x:v>Not started</x:v>
      </x:c>
      <x:c r="M848" s="87" t="n">
        <x:f>IF($P848="","",INDEX(Tasks!$J$10:$J$1941,$P848))</x:f>
        <x:v>46295</x:v>
      </x:c>
      <x:c r="N848" s="85" t="str">
        <x:f>IF($P848="","",HYPERLINK("#'"&amp;INDEX(Tasks!$T$10:$T$1941,$P848)&amp;"'!A"&amp;INDEX(Tasks!$U$10:$U$1941,$P848),"Open"))</x:f>
        <x:v>Open</x:v>
      </x:c>
      <x:c r="O848" s="14"/>
      <x:c r="P848" s="14" t="n">
        <x:f>IF(827&gt;$B$10,"",MATCH(827,Tasks!$S$10:$S$1941,0))</x:f>
        <x:v>1191</x:v>
      </x:c>
    </x:row>
    <x:row r="849" ht="58" customHeight="1">
      <x:c r="B849" s="86" t="str">
        <x:f>IF($P849="","",INDEX(Tasks!$B$10:$B$1941,$P849))</x:f>
        <x:v>Cycle 3</x:v>
      </x:c>
      <x:c r="C849" s="86" t="str">
        <x:f>IF($P849="","",INDEX(Tasks!$C$10:$C$1941,$P849))</x:f>
        <x:v>Phase 1</x:v>
      </x:c>
      <x:c r="D849" s="86" t="str">
        <x:f>IF($P849="","",INDEX(Tasks!$D$10:$D$1941,$P849))</x:f>
        <x:v>Retail Services</x:v>
      </x:c>
      <x:c r="E849" s="86"/>
      <x:c r="F849" s="86" t="str">
        <x:f>IF($P849="","",INDEX(Tasks!$E$10:$E$1941,$P849))</x:f>
        <x:v>Research &amp; Analysis</x:v>
      </x:c>
      <x:c r="G849" s="86"/>
      <x:c r="H849" s="14" t="str">
        <x:f>IF($P849="","",INDEX(Tasks!$F$10:$F$1941,$P849)&amp;CHAR(10)&amp;INDEX(Tasks!$G$10:$G$1941,$P849))</x:f>
        <x:v>RA.RS.1.4
Identify backup topic for Cycle</x:v>
      </x:c>
      <x:c r="I849" s="14"/>
      <x:c r="J849" s="14"/>
      <x:c r="K849" s="14"/>
      <x:c r="L849" s="86" t="str">
        <x:f>IF($P849="","",INDEX(Tasks!$N$10:$N$1941,$P849))</x:f>
        <x:v>Not started</x:v>
      </x:c>
      <x:c r="M849" s="87" t="n">
        <x:f>IF($P849="","",INDEX(Tasks!$J$10:$J$1941,$P849))</x:f>
        <x:v>46295</x:v>
      </x:c>
      <x:c r="N849" s="85" t="str">
        <x:f>IF($P849="","",HYPERLINK("#'"&amp;INDEX(Tasks!$T$10:$T$1941,$P849)&amp;"'!A"&amp;INDEX(Tasks!$U$10:$U$1941,$P849),"Open"))</x:f>
        <x:v>Open</x:v>
      </x:c>
      <x:c r="O849" s="14"/>
      <x:c r="P849" s="14" t="n">
        <x:f>IF(828&gt;$B$10,"",MATCH(828,Tasks!$S$10:$S$1941,0))</x:f>
        <x:v>1192</x:v>
      </x:c>
    </x:row>
    <x:row r="850" ht="58" customHeight="1">
      <x:c r="B850" s="86" t="str">
        <x:f>IF($P850="","",INDEX(Tasks!$B$10:$B$1941,$P850))</x:f>
        <x:v>Cycle 3</x:v>
      </x:c>
      <x:c r="C850" s="86" t="str">
        <x:f>IF($P850="","",INDEX(Tasks!$C$10:$C$1941,$P850))</x:f>
        <x:v>Phase 1</x:v>
      </x:c>
      <x:c r="D850" s="86" t="str">
        <x:f>IF($P850="","",INDEX(Tasks!$D$10:$D$1941,$P850))</x:f>
        <x:v>Retail Services</x:v>
      </x:c>
      <x:c r="E850" s="86"/>
      <x:c r="F850" s="86" t="str">
        <x:f>IF($P850="","",INDEX(Tasks!$E$10:$E$1941,$P850))</x:f>
        <x:v>Research &amp; Analysis</x:v>
      </x:c>
      <x:c r="G850" s="86"/>
      <x:c r="H850" s="14" t="str">
        <x:f>IF($P850="","",INDEX(Tasks!$F$10:$F$1941,$P850)&amp;CHAR(10)&amp;INDEX(Tasks!$G$10:$G$1941,$P850))</x:f>
        <x:v>RA.RS.1.5
Schedule topic approval meeting with D&amp;I and management</x:v>
      </x:c>
      <x:c r="I850" s="14"/>
      <x:c r="J850" s="14"/>
      <x:c r="K850" s="14"/>
      <x:c r="L850" s="86" t="str">
        <x:f>IF($P850="","",INDEX(Tasks!$N$10:$N$1941,$P850))</x:f>
        <x:v>Not started</x:v>
      </x:c>
      <x:c r="M850" s="87" t="n">
        <x:f>IF($P850="","",INDEX(Tasks!$J$10:$J$1941,$P850))</x:f>
        <x:v>46295</x:v>
      </x:c>
      <x:c r="N850" s="85" t="str">
        <x:f>IF($P850="","",HYPERLINK("#'"&amp;INDEX(Tasks!$T$10:$T$1941,$P850)&amp;"'!A"&amp;INDEX(Tasks!$U$10:$U$1941,$P850),"Open"))</x:f>
        <x:v>Open</x:v>
      </x:c>
      <x:c r="O850" s="14"/>
      <x:c r="P850" s="14" t="n">
        <x:f>IF(829&gt;$B$10,"",MATCH(829,Tasks!$S$10:$S$1941,0))</x:f>
        <x:v>1193</x:v>
      </x:c>
    </x:row>
    <x:row r="851" ht="58" customHeight="1">
      <x:c r="B851" s="86" t="str">
        <x:f>IF($P851="","",INDEX(Tasks!$B$10:$B$1941,$P851))</x:f>
        <x:v>Cycle 3</x:v>
      </x:c>
      <x:c r="C851" s="86" t="str">
        <x:f>IF($P851="","",INDEX(Tasks!$C$10:$C$1941,$P851))</x:f>
        <x:v>Phase 1</x:v>
      </x:c>
      <x:c r="D851" s="86" t="str">
        <x:f>IF($P851="","",INDEX(Tasks!$D$10:$D$1941,$P851))</x:f>
        <x:v>Retail Services</x:v>
      </x:c>
      <x:c r="E851" s="86"/>
      <x:c r="F851" s="86" t="str">
        <x:f>IF($P851="","",INDEX(Tasks!$E$10:$E$1941,$P851))</x:f>
        <x:v>Research &amp; Analysis</x:v>
      </x:c>
      <x:c r="G851" s="86"/>
      <x:c r="H851" s="14" t="str">
        <x:f>IF($P851="","",INDEX(Tasks!$F$10:$F$1941,$P851)&amp;CHAR(10)&amp;INDEX(Tasks!$G$10:$G$1941,$P851))</x:f>
        <x:v>RA.RS.1.6
Present recommended topic to D&amp;I and management for approval</x:v>
      </x:c>
      <x:c r="I851" s="14"/>
      <x:c r="J851" s="14"/>
      <x:c r="K851" s="14"/>
      <x:c r="L851" s="86" t="str">
        <x:f>IF($P851="","",INDEX(Tasks!$N$10:$N$1941,$P851))</x:f>
        <x:v>Not started</x:v>
      </x:c>
      <x:c r="M851" s="87" t="n">
        <x:f>IF($P851="","",INDEX(Tasks!$J$10:$J$1941,$P851))</x:f>
        <x:v>46295</x:v>
      </x:c>
      <x:c r="N851" s="85" t="str">
        <x:f>IF($P851="","",HYPERLINK("#'"&amp;INDEX(Tasks!$T$10:$T$1941,$P851)&amp;"'!A"&amp;INDEX(Tasks!$U$10:$U$1941,$P851),"Open"))</x:f>
        <x:v>Open</x:v>
      </x:c>
      <x:c r="O851" s="14"/>
      <x:c r="P851" s="14" t="n">
        <x:f>IF(830&gt;$B$10,"",MATCH(830,Tasks!$S$10:$S$1941,0))</x:f>
        <x:v>1194</x:v>
      </x:c>
    </x:row>
    <x:row r="852" ht="58" customHeight="1">
      <x:c r="B852" s="86" t="str">
        <x:f>IF($P852="","",INDEX(Tasks!$B$10:$B$1941,$P852))</x:f>
        <x:v>Cycle 3</x:v>
      </x:c>
      <x:c r="C852" s="86" t="str">
        <x:f>IF($P852="","",INDEX(Tasks!$C$10:$C$1941,$P852))</x:f>
        <x:v>Phase 1</x:v>
      </x:c>
      <x:c r="D852" s="86" t="str">
        <x:f>IF($P852="","",INDEX(Tasks!$D$10:$D$1941,$P852))</x:f>
        <x:v>Retail Services</x:v>
      </x:c>
      <x:c r="E852" s="86"/>
      <x:c r="F852" s="86" t="str">
        <x:f>IF($P852="","",INDEX(Tasks!$E$10:$E$1941,$P852))</x:f>
        <x:v>Research &amp; Analysis</x:v>
      </x:c>
      <x:c r="G852" s="86"/>
      <x:c r="H852" s="14" t="str">
        <x:f>IF($P852="","",INDEX(Tasks!$F$10:$F$1941,$P852)&amp;CHAR(10)&amp;INDEX(Tasks!$G$10:$G$1941,$P852))</x:f>
        <x:v>RA.RS.1.7
Obtain formal topic selection approval from management via SharePoint</x:v>
      </x:c>
      <x:c r="I852" s="14"/>
      <x:c r="J852" s="14"/>
      <x:c r="K852" s="14"/>
      <x:c r="L852" s="86" t="str">
        <x:f>IF($P852="","",INDEX(Tasks!$N$10:$N$1941,$P852))</x:f>
        <x:v>Not started</x:v>
      </x:c>
      <x:c r="M852" s="87" t="n">
        <x:f>IF($P852="","",INDEX(Tasks!$J$10:$J$1941,$P852))</x:f>
        <x:v>46295</x:v>
      </x:c>
      <x:c r="N852" s="85" t="str">
        <x:f>IF($P852="","",HYPERLINK("#'"&amp;INDEX(Tasks!$T$10:$T$1941,$P852)&amp;"'!A"&amp;INDEX(Tasks!$U$10:$U$1941,$P852),"Open"))</x:f>
        <x:v>Open</x:v>
      </x:c>
      <x:c r="O852" s="14"/>
      <x:c r="P852" s="14" t="n">
        <x:f>IF(831&gt;$B$10,"",MATCH(831,Tasks!$S$10:$S$1941,0))</x:f>
        <x:v>1195</x:v>
      </x:c>
    </x:row>
    <x:row r="853" ht="58" customHeight="1">
      <x:c r="B853" s="86" t="str">
        <x:f>IF($P853="","",INDEX(Tasks!$B$10:$B$1941,$P853))</x:f>
        <x:v>Cycle 3</x:v>
      </x:c>
      <x:c r="C853" s="86" t="str">
        <x:f>IF($P853="","",INDEX(Tasks!$C$10:$C$1941,$P853))</x:f>
        <x:v>Phase 1</x:v>
      </x:c>
      <x:c r="D853" s="86" t="str">
        <x:f>IF($P853="","",INDEX(Tasks!$D$10:$D$1941,$P853))</x:f>
        <x:v>Retail Services</x:v>
      </x:c>
      <x:c r="E853" s="86"/>
      <x:c r="F853" s="86" t="str">
        <x:f>IF($P853="","",INDEX(Tasks!$E$10:$E$1941,$P853))</x:f>
        <x:v>Research &amp; Analysis</x:v>
      </x:c>
      <x:c r="G853" s="86"/>
      <x:c r="H853" s="14" t="str">
        <x:f>IF($P853="","",INDEX(Tasks!$F$10:$F$1941,$P853)&amp;CHAR(10)&amp;INDEX(Tasks!$G$10:$G$1941,$P853))</x:f>
        <x:v>RA.RS.1.8
Socialize topic selection with product owners and subject matter experts (if known)</x:v>
      </x:c>
      <x:c r="I853" s="14"/>
      <x:c r="J853" s="14"/>
      <x:c r="K853" s="14"/>
      <x:c r="L853" s="86" t="str">
        <x:f>IF($P853="","",INDEX(Tasks!$N$10:$N$1941,$P853))</x:f>
        <x:v>Not started</x:v>
      </x:c>
      <x:c r="M853" s="87" t="n">
        <x:f>IF($P853="","",INDEX(Tasks!$J$10:$J$1941,$P853))</x:f>
        <x:v>46295</x:v>
      </x:c>
      <x:c r="N853" s="85" t="str">
        <x:f>IF($P853="","",HYPERLINK("#'"&amp;INDEX(Tasks!$T$10:$T$1941,$P853)&amp;"'!A"&amp;INDEX(Tasks!$U$10:$U$1941,$P853),"Open"))</x:f>
        <x:v>Open</x:v>
      </x:c>
      <x:c r="O853" s="14"/>
      <x:c r="P853" s="14" t="n">
        <x:f>IF(832&gt;$B$10,"",MATCH(832,Tasks!$S$10:$S$1941,0))</x:f>
        <x:v>1196</x:v>
      </x:c>
    </x:row>
    <x:row r="854" ht="58" customHeight="1">
      <x:c r="B854" s="86" t="str">
        <x:f>IF($P854="","",INDEX(Tasks!$B$10:$B$1941,$P854))</x:f>
        <x:v>Cycle 3</x:v>
      </x:c>
      <x:c r="C854" s="86" t="str">
        <x:f>IF($P854="","",INDEX(Tasks!$C$10:$C$1941,$P854))</x:f>
        <x:v>Phase 1</x:v>
      </x:c>
      <x:c r="D854" s="86" t="str">
        <x:f>IF($P854="","",INDEX(Tasks!$D$10:$D$1941,$P854))</x:f>
        <x:v>Retail Services</x:v>
      </x:c>
      <x:c r="E854" s="86"/>
      <x:c r="F854" s="86" t="str">
        <x:f>IF($P854="","",INDEX(Tasks!$E$10:$E$1941,$P854))</x:f>
        <x:v>Research &amp; Analysis</x:v>
      </x:c>
      <x:c r="G854" s="86"/>
      <x:c r="H854" s="14" t="str">
        <x:f>IF($P854="","",INDEX(Tasks!$F$10:$F$1941,$P854)&amp;CHAR(10)&amp;INDEX(Tasks!$G$10:$G$1941,$P854))</x:f>
        <x:v>RA.RS.1.9
Assign topic researchers</x:v>
      </x:c>
      <x:c r="I854" s="14"/>
      <x:c r="J854" s="14"/>
      <x:c r="K854" s="14"/>
      <x:c r="L854" s="86" t="str">
        <x:f>IF($P854="","",INDEX(Tasks!$N$10:$N$1941,$P854))</x:f>
        <x:v>Not started</x:v>
      </x:c>
      <x:c r="M854" s="87" t="n">
        <x:f>IF($P854="","",INDEX(Tasks!$J$10:$J$1941,$P854))</x:f>
        <x:v>46295</x:v>
      </x:c>
      <x:c r="N854" s="85" t="str">
        <x:f>IF($P854="","",HYPERLINK("#'"&amp;INDEX(Tasks!$T$10:$T$1941,$P854)&amp;"'!A"&amp;INDEX(Tasks!$U$10:$U$1941,$P854),"Open"))</x:f>
        <x:v>Open</x:v>
      </x:c>
      <x:c r="O854" s="14"/>
      <x:c r="P854" s="14" t="n">
        <x:f>IF(833&gt;$B$10,"",MATCH(833,Tasks!$S$10:$S$1941,0))</x:f>
        <x:v>1197</x:v>
      </x:c>
    </x:row>
    <x:row r="855" ht="58" customHeight="1">
      <x:c r="B855" s="86" t="str">
        <x:f>IF($P855="","",INDEX(Tasks!$B$10:$B$1941,$P855))</x:f>
        <x:v>Cycle 3</x:v>
      </x:c>
      <x:c r="C855" s="86" t="str">
        <x:f>IF($P855="","",INDEX(Tasks!$C$10:$C$1941,$P855))</x:f>
        <x:v>Phase 2</x:v>
      </x:c>
      <x:c r="D855" s="86" t="str">
        <x:f>IF($P855="","",INDEX(Tasks!$D$10:$D$1941,$P855))</x:f>
        <x:v>Retail Services</x:v>
      </x:c>
      <x:c r="E855" s="86"/>
      <x:c r="F855" s="86" t="str">
        <x:f>IF($P855="","",INDEX(Tasks!$E$10:$E$1941,$P855))</x:f>
        <x:v>Research &amp; Analysis</x:v>
      </x:c>
      <x:c r="G855" s="86"/>
      <x:c r="H855" s="14" t="str">
        <x:f>IF($P855="","",INDEX(Tasks!$F$10:$F$1941,$P855)&amp;CHAR(10)&amp;INDEX(Tasks!$G$10:$G$1941,$P855))</x:f>
        <x:v>RA.RS.2.1
Review data sources</x:v>
      </x:c>
      <x:c r="I855" s="14"/>
      <x:c r="J855" s="14"/>
      <x:c r="K855" s="14"/>
      <x:c r="L855" s="86" t="str">
        <x:f>IF($P855="","",INDEX(Tasks!$N$10:$N$1941,$P855))</x:f>
        <x:v>Not started</x:v>
      </x:c>
      <x:c r="M855" s="87" t="n">
        <x:f>IF($P855="","",INDEX(Tasks!$J$10:$J$1941,$P855))</x:f>
        <x:v>46295</x:v>
      </x:c>
      <x:c r="N855" s="85" t="str">
        <x:f>IF($P855="","",HYPERLINK("#'"&amp;INDEX(Tasks!$T$10:$T$1941,$P855)&amp;"'!A"&amp;INDEX(Tasks!$U$10:$U$1941,$P855),"Open"))</x:f>
        <x:v>Open</x:v>
      </x:c>
      <x:c r="O855" s="14"/>
      <x:c r="P855" s="14" t="n">
        <x:f>IF(834&gt;$B$10,"",MATCH(834,Tasks!$S$10:$S$1941,0))</x:f>
        <x:v>1198</x:v>
      </x:c>
    </x:row>
    <x:row r="856" ht="58" customHeight="1">
      <x:c r="B856" s="86" t="str">
        <x:f>IF($P856="","",INDEX(Tasks!$B$10:$B$1941,$P856))</x:f>
        <x:v>Cycle 3</x:v>
      </x:c>
      <x:c r="C856" s="86" t="str">
        <x:f>IF($P856="","",INDEX(Tasks!$C$10:$C$1941,$P856))</x:f>
        <x:v>Phase 2</x:v>
      </x:c>
      <x:c r="D856" s="86" t="str">
        <x:f>IF($P856="","",INDEX(Tasks!$D$10:$D$1941,$P856))</x:f>
        <x:v>Retail Services</x:v>
      </x:c>
      <x:c r="E856" s="86"/>
      <x:c r="F856" s="86" t="str">
        <x:f>IF($P856="","",INDEX(Tasks!$E$10:$E$1941,$P856))</x:f>
        <x:v>Research &amp; Analysis</x:v>
      </x:c>
      <x:c r="G856" s="86"/>
      <x:c r="H856" s="14" t="str">
        <x:f>IF($P856="","",INDEX(Tasks!$F$10:$F$1941,$P856)&amp;CHAR(10)&amp;INDEX(Tasks!$G$10:$G$1941,$P856))</x:f>
        <x:v>RA.RS.2.2
Review relevant policies and procedures</x:v>
      </x:c>
      <x:c r="I856" s="14"/>
      <x:c r="J856" s="14"/>
      <x:c r="K856" s="14"/>
      <x:c r="L856" s="86" t="str">
        <x:f>IF($P856="","",INDEX(Tasks!$N$10:$N$1941,$P856))</x:f>
        <x:v>Not started</x:v>
      </x:c>
      <x:c r="M856" s="87" t="n">
        <x:f>IF($P856="","",INDEX(Tasks!$J$10:$J$1941,$P856))</x:f>
        <x:v>46295</x:v>
      </x:c>
      <x:c r="N856" s="85" t="str">
        <x:f>IF($P856="","",HYPERLINK("#'"&amp;INDEX(Tasks!$T$10:$T$1941,$P856)&amp;"'!A"&amp;INDEX(Tasks!$U$10:$U$1941,$P856),"Open"))</x:f>
        <x:v>Open</x:v>
      </x:c>
      <x:c r="O856" s="14"/>
      <x:c r="P856" s="14" t="n">
        <x:f>IF(835&gt;$B$10,"",MATCH(835,Tasks!$S$10:$S$1941,0))</x:f>
        <x:v>1199</x:v>
      </x:c>
    </x:row>
    <x:row r="857" ht="58" customHeight="1">
      <x:c r="B857" s="86" t="str">
        <x:f>IF($P857="","",INDEX(Tasks!$B$10:$B$1941,$P857))</x:f>
        <x:v>Cycle 3</x:v>
      </x:c>
      <x:c r="C857" s="86" t="str">
        <x:f>IF($P857="","",INDEX(Tasks!$C$10:$C$1941,$P857))</x:f>
        <x:v>Phase 2</x:v>
      </x:c>
      <x:c r="D857" s="86" t="str">
        <x:f>IF($P857="","",INDEX(Tasks!$D$10:$D$1941,$P857))</x:f>
        <x:v>Retail Services</x:v>
      </x:c>
      <x:c r="E857" s="86"/>
      <x:c r="F857" s="86" t="str">
        <x:f>IF($P857="","",INDEX(Tasks!$E$10:$E$1941,$P857))</x:f>
        <x:v>Research &amp; Analysis</x:v>
      </x:c>
      <x:c r="G857" s="86"/>
      <x:c r="H857" s="14" t="str">
        <x:f>IF($P857="","",INDEX(Tasks!$F$10:$F$1941,$P857)&amp;CHAR(10)&amp;INDEX(Tasks!$G$10:$G$1941,$P857))</x:f>
        <x:v>RA.RS.2.3
Meet with SMEs to gain business insight and clarify questions</x:v>
      </x:c>
      <x:c r="I857" s="14"/>
      <x:c r="J857" s="14"/>
      <x:c r="K857" s="14"/>
      <x:c r="L857" s="86" t="str">
        <x:f>IF($P857="","",INDEX(Tasks!$N$10:$N$1941,$P857))</x:f>
        <x:v>Not started</x:v>
      </x:c>
      <x:c r="M857" s="87" t="n">
        <x:f>IF($P857="","",INDEX(Tasks!$J$10:$J$1941,$P857))</x:f>
        <x:v>46295</x:v>
      </x:c>
      <x:c r="N857" s="85" t="str">
        <x:f>IF($P857="","",HYPERLINK("#'"&amp;INDEX(Tasks!$T$10:$T$1941,$P857)&amp;"'!A"&amp;INDEX(Tasks!$U$10:$U$1941,$P857),"Open"))</x:f>
        <x:v>Open</x:v>
      </x:c>
      <x:c r="O857" s="14"/>
      <x:c r="P857" s="14" t="n">
        <x:f>IF(836&gt;$B$10,"",MATCH(836,Tasks!$S$10:$S$1941,0))</x:f>
        <x:v>1200</x:v>
      </x:c>
    </x:row>
    <x:row r="858" ht="58" customHeight="1">
      <x:c r="B858" s="86" t="str">
        <x:f>IF($P858="","",INDEX(Tasks!$B$10:$B$1941,$P858))</x:f>
        <x:v>Cycle 3</x:v>
      </x:c>
      <x:c r="C858" s="86" t="str">
        <x:f>IF($P858="","",INDEX(Tasks!$C$10:$C$1941,$P858))</x:f>
        <x:v>Phase 2</x:v>
      </x:c>
      <x:c r="D858" s="86" t="str">
        <x:f>IF($P858="","",INDEX(Tasks!$D$10:$D$1941,$P858))</x:f>
        <x:v>Retail Services</x:v>
      </x:c>
      <x:c r="E858" s="86"/>
      <x:c r="F858" s="86" t="str">
        <x:f>IF($P858="","",INDEX(Tasks!$E$10:$E$1941,$P858))</x:f>
        <x:v>Research &amp; Analysis</x:v>
      </x:c>
      <x:c r="G858" s="86"/>
      <x:c r="H858" s="14" t="str">
        <x:f>IF($P858="","",INDEX(Tasks!$F$10:$F$1941,$P858)&amp;CHAR(10)&amp;INDEX(Tasks!$G$10:$G$1941,$P858))</x:f>
        <x:v>RA.RS.2.4
Establish and maintain a recurring meeting with D&amp;I to discuss Cycle progress</x:v>
      </x:c>
      <x:c r="I858" s="14"/>
      <x:c r="J858" s="14"/>
      <x:c r="K858" s="14"/>
      <x:c r="L858" s="86" t="str">
        <x:f>IF($P858="","",INDEX(Tasks!$N$10:$N$1941,$P858))</x:f>
        <x:v>Not started</x:v>
      </x:c>
      <x:c r="M858" s="87" t="n">
        <x:f>IF($P858="","",INDEX(Tasks!$J$10:$J$1941,$P858))</x:f>
        <x:v>46295</x:v>
      </x:c>
      <x:c r="N858" s="85" t="str">
        <x:f>IF($P858="","",HYPERLINK("#'"&amp;INDEX(Tasks!$T$10:$T$1941,$P858)&amp;"'!A"&amp;INDEX(Tasks!$U$10:$U$1941,$P858),"Open"))</x:f>
        <x:v>Open</x:v>
      </x:c>
      <x:c r="O858" s="14"/>
      <x:c r="P858" s="14" t="n">
        <x:f>IF(837&gt;$B$10,"",MATCH(837,Tasks!$S$10:$S$1941,0))</x:f>
        <x:v>1201</x:v>
      </x:c>
    </x:row>
    <x:row r="859" ht="58" customHeight="1">
      <x:c r="B859" s="86" t="str">
        <x:f>IF($P859="","",INDEX(Tasks!$B$10:$B$1941,$P859))</x:f>
        <x:v>Cycle 3</x:v>
      </x:c>
      <x:c r="C859" s="86" t="str">
        <x:f>IF($P859="","",INDEX(Tasks!$C$10:$C$1941,$P859))</x:f>
        <x:v>Phase 2</x:v>
      </x:c>
      <x:c r="D859" s="86" t="str">
        <x:f>IF($P859="","",INDEX(Tasks!$D$10:$D$1941,$P859))</x:f>
        <x:v>Retail Services</x:v>
      </x:c>
      <x:c r="E859" s="86"/>
      <x:c r="F859" s="86" t="str">
        <x:f>IF($P859="","",INDEX(Tasks!$E$10:$E$1941,$P859))</x:f>
        <x:v>Research &amp; Analysis</x:v>
      </x:c>
      <x:c r="G859" s="86"/>
      <x:c r="H859" s="14" t="str">
        <x:f>IF($P859="","",INDEX(Tasks!$F$10:$F$1941,$P859)&amp;CHAR(10)&amp;INDEX(Tasks!$G$10:$G$1941,$P859))</x:f>
        <x:v>RA.RS.2.5
Perform data testing and sampling</x:v>
      </x:c>
      <x:c r="I859" s="14"/>
      <x:c r="J859" s="14"/>
      <x:c r="K859" s="14"/>
      <x:c r="L859" s="86" t="str">
        <x:f>IF($P859="","",INDEX(Tasks!$N$10:$N$1941,$P859))</x:f>
        <x:v>Not started</x:v>
      </x:c>
      <x:c r="M859" s="87" t="n">
        <x:f>IF($P859="","",INDEX(Tasks!$J$10:$J$1941,$P859))</x:f>
        <x:v>46295</x:v>
      </x:c>
      <x:c r="N859" s="85" t="str">
        <x:f>IF($P859="","",HYPERLINK("#'"&amp;INDEX(Tasks!$T$10:$T$1941,$P859)&amp;"'!A"&amp;INDEX(Tasks!$U$10:$U$1941,$P859),"Open"))</x:f>
        <x:v>Open</x:v>
      </x:c>
      <x:c r="O859" s="14"/>
      <x:c r="P859" s="14" t="n">
        <x:f>IF(838&gt;$B$10,"",MATCH(838,Tasks!$S$10:$S$1941,0))</x:f>
        <x:v>1202</x:v>
      </x:c>
    </x:row>
    <x:row r="860" ht="58" customHeight="1">
      <x:c r="B860" s="86" t="str">
        <x:f>IF($P860="","",INDEX(Tasks!$B$10:$B$1941,$P860))</x:f>
        <x:v>Cycle 3</x:v>
      </x:c>
      <x:c r="C860" s="86" t="str">
        <x:f>IF($P860="","",INDEX(Tasks!$C$10:$C$1941,$P860))</x:f>
        <x:v>Phase 2</x:v>
      </x:c>
      <x:c r="D860" s="86" t="str">
        <x:f>IF($P860="","",INDEX(Tasks!$D$10:$D$1941,$P860))</x:f>
        <x:v>Retail Services</x:v>
      </x:c>
      <x:c r="E860" s="86"/>
      <x:c r="F860" s="86" t="str">
        <x:f>IF($P860="","",INDEX(Tasks!$E$10:$E$1941,$P860))</x:f>
        <x:v>Research &amp; Analysis</x:v>
      </x:c>
      <x:c r="G860" s="86"/>
      <x:c r="H860" s="14" t="str">
        <x:f>IF($P860="","",INDEX(Tasks!$F$10:$F$1941,$P860)&amp;CHAR(10)&amp;INDEX(Tasks!$G$10:$G$1941,$P860))</x:f>
        <x:v>RA.RS.2.6
Complete Positive Testing</x:v>
      </x:c>
      <x:c r="I860" s="14"/>
      <x:c r="J860" s="14"/>
      <x:c r="K860" s="14"/>
      <x:c r="L860" s="86" t="str">
        <x:f>IF($P860="","",INDEX(Tasks!$N$10:$N$1941,$P860))</x:f>
        <x:v>Not started</x:v>
      </x:c>
      <x:c r="M860" s="87" t="n">
        <x:f>IF($P860="","",INDEX(Tasks!$J$10:$J$1941,$P860))</x:f>
        <x:v>46295</x:v>
      </x:c>
      <x:c r="N860" s="85" t="str">
        <x:f>IF($P860="","",HYPERLINK("#'"&amp;INDEX(Tasks!$T$10:$T$1941,$P860)&amp;"'!A"&amp;INDEX(Tasks!$U$10:$U$1941,$P860),"Open"))</x:f>
        <x:v>Open</x:v>
      </x:c>
      <x:c r="O860" s="14"/>
      <x:c r="P860" s="14" t="n">
        <x:f>IF(839&gt;$B$10,"",MATCH(839,Tasks!$S$10:$S$1941,0))</x:f>
        <x:v>1203</x:v>
      </x:c>
    </x:row>
    <x:row r="861" ht="58" customHeight="1">
      <x:c r="B861" s="86" t="str">
        <x:f>IF($P861="","",INDEX(Tasks!$B$10:$B$1941,$P861))</x:f>
        <x:v>Cycle 3</x:v>
      </x:c>
      <x:c r="C861" s="86" t="str">
        <x:f>IF($P861="","",INDEX(Tasks!$C$10:$C$1941,$P861))</x:f>
        <x:v>Phase 2</x:v>
      </x:c>
      <x:c r="D861" s="86" t="str">
        <x:f>IF($P861="","",INDEX(Tasks!$D$10:$D$1941,$P861))</x:f>
        <x:v>Retail Services</x:v>
      </x:c>
      <x:c r="E861" s="86"/>
      <x:c r="F861" s="86" t="str">
        <x:f>IF($P861="","",INDEX(Tasks!$E$10:$E$1941,$P861))</x:f>
        <x:v>Research &amp; Analysis</x:v>
      </x:c>
      <x:c r="G861" s="86"/>
      <x:c r="H861" s="14" t="str">
        <x:f>IF($P861="","",INDEX(Tasks!$F$10:$F$1941,$P861)&amp;CHAR(10)&amp;INDEX(Tasks!$G$10:$G$1941,$P861))</x:f>
        <x:v>RA.RS.2.7
Complete Negative Testing</x:v>
      </x:c>
      <x:c r="I861" s="14"/>
      <x:c r="J861" s="14"/>
      <x:c r="K861" s="14"/>
      <x:c r="L861" s="86" t="str">
        <x:f>IF($P861="","",INDEX(Tasks!$N$10:$N$1941,$P861))</x:f>
        <x:v>Not started</x:v>
      </x:c>
      <x:c r="M861" s="87" t="n">
        <x:f>IF($P861="","",INDEX(Tasks!$J$10:$J$1941,$P861))</x:f>
        <x:v>46295</x:v>
      </x:c>
      <x:c r="N861" s="85" t="str">
        <x:f>IF($P861="","",HYPERLINK("#'"&amp;INDEX(Tasks!$T$10:$T$1941,$P861)&amp;"'!A"&amp;INDEX(Tasks!$U$10:$U$1941,$P861),"Open"))</x:f>
        <x:v>Open</x:v>
      </x:c>
      <x:c r="O861" s="14"/>
      <x:c r="P861" s="14" t="n">
        <x:f>IF(840&gt;$B$10,"",MATCH(840,Tasks!$S$10:$S$1941,0))</x:f>
        <x:v>1204</x:v>
      </x:c>
    </x:row>
    <x:row r="862" ht="58" customHeight="1">
      <x:c r="B862" s="86" t="str">
        <x:f>IF($P862="","",INDEX(Tasks!$B$10:$B$1941,$P862))</x:f>
        <x:v>Cycle 3</x:v>
      </x:c>
      <x:c r="C862" s="86" t="str">
        <x:f>IF($P862="","",INDEX(Tasks!$C$10:$C$1941,$P862))</x:f>
        <x:v>Phase 2</x:v>
      </x:c>
      <x:c r="D862" s="86" t="str">
        <x:f>IF($P862="","",INDEX(Tasks!$D$10:$D$1941,$P862))</x:f>
        <x:v>Retail Services</x:v>
      </x:c>
      <x:c r="E862" s="86"/>
      <x:c r="F862" s="86" t="str">
        <x:f>IF($P862="","",INDEX(Tasks!$E$10:$E$1941,$P862))</x:f>
        <x:v>Research &amp; Analysis</x:v>
      </x:c>
      <x:c r="G862" s="86"/>
      <x:c r="H862" s="14" t="str">
        <x:f>IF($P862="","",INDEX(Tasks!$F$10:$F$1941,$P862)&amp;CHAR(10)&amp;INDEX(Tasks!$G$10:$G$1941,$P862))</x:f>
        <x:v>RA.RS.2.8
Request additional data (as needed)</x:v>
      </x:c>
      <x:c r="I862" s="14"/>
      <x:c r="J862" s="14"/>
      <x:c r="K862" s="14"/>
      <x:c r="L862" s="86" t="str">
        <x:f>IF($P862="","",INDEX(Tasks!$N$10:$N$1941,$P862))</x:f>
        <x:v>Not started</x:v>
      </x:c>
      <x:c r="M862" s="87" t="n">
        <x:f>IF($P862="","",INDEX(Tasks!$J$10:$J$1941,$P862))</x:f>
        <x:v>46295</x:v>
      </x:c>
      <x:c r="N862" s="85" t="str">
        <x:f>IF($P862="","",HYPERLINK("#'"&amp;INDEX(Tasks!$T$10:$T$1941,$P862)&amp;"'!A"&amp;INDEX(Tasks!$U$10:$U$1941,$P862),"Open"))</x:f>
        <x:v>Open</x:v>
      </x:c>
      <x:c r="O862" s="14"/>
      <x:c r="P862" s="14" t="n">
        <x:f>IF(841&gt;$B$10,"",MATCH(841,Tasks!$S$10:$S$1941,0))</x:f>
        <x:v>1205</x:v>
      </x:c>
    </x:row>
    <x:row r="863" ht="58" customHeight="1">
      <x:c r="B863" s="86" t="str">
        <x:f>IF($P863="","",INDEX(Tasks!$B$10:$B$1941,$P863))</x:f>
        <x:v>Cycle 3</x:v>
      </x:c>
      <x:c r="C863" s="86" t="str">
        <x:f>IF($P863="","",INDEX(Tasks!$C$10:$C$1941,$P863))</x:f>
        <x:v>Phase 2</x:v>
      </x:c>
      <x:c r="D863" s="86" t="str">
        <x:f>IF($P863="","",INDEX(Tasks!$D$10:$D$1941,$P863))</x:f>
        <x:v>Retail Services</x:v>
      </x:c>
      <x:c r="E863" s="86"/>
      <x:c r="F863" s="86" t="str">
        <x:f>IF($P863="","",INDEX(Tasks!$E$10:$E$1941,$P863))</x:f>
        <x:v>Research &amp; Analysis</x:v>
      </x:c>
      <x:c r="G863" s="86"/>
      <x:c r="H863" s="14" t="str">
        <x:f>IF($P863="","",INDEX(Tasks!$F$10:$F$1941,$P863)&amp;CHAR(10)&amp;INDEX(Tasks!$G$10:$G$1941,$P863))</x:f>
        <x:v>RA.RS.2.9
Validate or disprove initial hypothesis assumptions</x:v>
      </x:c>
      <x:c r="I863" s="14"/>
      <x:c r="J863" s="14"/>
      <x:c r="K863" s="14"/>
      <x:c r="L863" s="86" t="str">
        <x:f>IF($P863="","",INDEX(Tasks!$N$10:$N$1941,$P863))</x:f>
        <x:v>Not started</x:v>
      </x:c>
      <x:c r="M863" s="87" t="n">
        <x:f>IF($P863="","",INDEX(Tasks!$J$10:$J$1941,$P863))</x:f>
        <x:v>46295</x:v>
      </x:c>
      <x:c r="N863" s="85" t="str">
        <x:f>IF($P863="","",HYPERLINK("#'"&amp;INDEX(Tasks!$T$10:$T$1941,$P863)&amp;"'!A"&amp;INDEX(Tasks!$U$10:$U$1941,$P863),"Open"))</x:f>
        <x:v>Open</x:v>
      </x:c>
      <x:c r="O863" s="14"/>
      <x:c r="P863" s="14" t="n">
        <x:f>IF(842&gt;$B$10,"",MATCH(842,Tasks!$S$10:$S$1941,0))</x:f>
        <x:v>1206</x:v>
      </x:c>
    </x:row>
    <x:row r="864" ht="58" customHeight="1">
      <x:c r="B864" s="86" t="str">
        <x:f>IF($P864="","",INDEX(Tasks!$B$10:$B$1941,$P864))</x:f>
        <x:v>Cycle 3</x:v>
      </x:c>
      <x:c r="C864" s="86" t="str">
        <x:f>IF($P864="","",INDEX(Tasks!$C$10:$C$1941,$P864))</x:f>
        <x:v>Phase 2</x:v>
      </x:c>
      <x:c r="D864" s="86" t="str">
        <x:f>IF($P864="","",INDEX(Tasks!$D$10:$D$1941,$P864))</x:f>
        <x:v>Retail Services</x:v>
      </x:c>
      <x:c r="E864" s="86"/>
      <x:c r="F864" s="86" t="str">
        <x:f>IF($P864="","",INDEX(Tasks!$E$10:$E$1941,$P864))</x:f>
        <x:v>Research &amp; Analysis</x:v>
      </x:c>
      <x:c r="G864" s="86"/>
      <x:c r="H864" s="14" t="str">
        <x:f>IF($P864="","",INDEX(Tasks!$F$10:$F$1941,$P864)&amp;CHAR(10)&amp;INDEX(Tasks!$G$10:$G$1941,$P864))</x:f>
        <x:v>RA.RS.2.10
Identify and confirm root cause</x:v>
      </x:c>
      <x:c r="I864" s="14"/>
      <x:c r="J864" s="14"/>
      <x:c r="K864" s="14"/>
      <x:c r="L864" s="86" t="str">
        <x:f>IF($P864="","",INDEX(Tasks!$N$10:$N$1941,$P864))</x:f>
        <x:v>Not started</x:v>
      </x:c>
      <x:c r="M864" s="87" t="n">
        <x:f>IF($P864="","",INDEX(Tasks!$J$10:$J$1941,$P864))</x:f>
        <x:v>46295</x:v>
      </x:c>
      <x:c r="N864" s="85" t="str">
        <x:f>IF($P864="","",HYPERLINK("#'"&amp;INDEX(Tasks!$T$10:$T$1941,$P864)&amp;"'!A"&amp;INDEX(Tasks!$U$10:$U$1941,$P864),"Open"))</x:f>
        <x:v>Open</x:v>
      </x:c>
      <x:c r="O864" s="14"/>
      <x:c r="P864" s="14" t="n">
        <x:f>IF(843&gt;$B$10,"",MATCH(843,Tasks!$S$10:$S$1941,0))</x:f>
        <x:v>1207</x:v>
      </x:c>
    </x:row>
    <x:row r="865" ht="58" customHeight="1">
      <x:c r="B865" s="86" t="str">
        <x:f>IF($P865="","",INDEX(Tasks!$B$10:$B$1941,$P865))</x:f>
        <x:v>Cycle 3</x:v>
      </x:c>
      <x:c r="C865" s="86" t="str">
        <x:f>IF($P865="","",INDEX(Tasks!$C$10:$C$1941,$P865))</x:f>
        <x:v>Phase 3</x:v>
      </x:c>
      <x:c r="D865" s="86" t="str">
        <x:f>IF($P865="","",INDEX(Tasks!$D$10:$D$1941,$P865))</x:f>
        <x:v>Retail Services</x:v>
      </x:c>
      <x:c r="E865" s="86"/>
      <x:c r="F865" s="86" t="str">
        <x:f>IF($P865="","",INDEX(Tasks!$E$10:$E$1941,$P865))</x:f>
        <x:v>Research &amp; Analysis</x:v>
      </x:c>
      <x:c r="G865" s="86"/>
      <x:c r="H865" s="14" t="str">
        <x:f>IF($P865="","",INDEX(Tasks!$F$10:$F$1941,$P865)&amp;CHAR(10)&amp;INDEX(Tasks!$G$10:$G$1941,$P865))</x:f>
        <x:v>RA.RS.3.1
Finalize results and supporting documentation</x:v>
      </x:c>
      <x:c r="I865" s="14"/>
      <x:c r="J865" s="14"/>
      <x:c r="K865" s="14"/>
      <x:c r="L865" s="86" t="str">
        <x:f>IF($P865="","",INDEX(Tasks!$N$10:$N$1941,$P865))</x:f>
        <x:v>Not started</x:v>
      </x:c>
      <x:c r="M865" s="87" t="n">
        <x:f>IF($P865="","",INDEX(Tasks!$J$10:$J$1941,$P865))</x:f>
        <x:v>46295</x:v>
      </x:c>
      <x:c r="N865" s="85" t="str">
        <x:f>IF($P865="","",HYPERLINK("#'"&amp;INDEX(Tasks!$T$10:$T$1941,$P865)&amp;"'!A"&amp;INDEX(Tasks!$U$10:$U$1941,$P865),"Open"))</x:f>
        <x:v>Open</x:v>
      </x:c>
      <x:c r="O865" s="14"/>
      <x:c r="P865" s="14" t="n">
        <x:f>IF(844&gt;$B$10,"",MATCH(844,Tasks!$S$10:$S$1941,0))</x:f>
        <x:v>1208</x:v>
      </x:c>
    </x:row>
    <x:row r="866" ht="58" customHeight="1">
      <x:c r="B866" s="86" t="str">
        <x:f>IF($P866="","",INDEX(Tasks!$B$10:$B$1941,$P866))</x:f>
        <x:v>Cycle 3</x:v>
      </x:c>
      <x:c r="C866" s="86" t="str">
        <x:f>IF($P866="","",INDEX(Tasks!$C$10:$C$1941,$P866))</x:f>
        <x:v>Phase 3</x:v>
      </x:c>
      <x:c r="D866" s="86" t="str">
        <x:f>IF($P866="","",INDEX(Tasks!$D$10:$D$1941,$P866))</x:f>
        <x:v>Retail Services</x:v>
      </x:c>
      <x:c r="E866" s="86"/>
      <x:c r="F866" s="86" t="str">
        <x:f>IF($P866="","",INDEX(Tasks!$E$10:$E$1941,$P866))</x:f>
        <x:v>Research &amp; Analysis</x:v>
      </x:c>
      <x:c r="G866" s="86"/>
      <x:c r="H866" s="14" t="str">
        <x:f>IF($P866="","",INDEX(Tasks!$F$10:$F$1941,$P866)&amp;CHAR(10)&amp;INDEX(Tasks!$G$10:$G$1941,$P866))</x:f>
        <x:v>RA.RS.3.2
Maintain and update the evidence package prior to handoff to D&amp;I</x:v>
      </x:c>
      <x:c r="I866" s="14"/>
      <x:c r="J866" s="14"/>
      <x:c r="K866" s="14"/>
      <x:c r="L866" s="86" t="str">
        <x:f>IF($P866="","",INDEX(Tasks!$N$10:$N$1941,$P866))</x:f>
        <x:v>Not started</x:v>
      </x:c>
      <x:c r="M866" s="87" t="n">
        <x:f>IF($P866="","",INDEX(Tasks!$J$10:$J$1941,$P866))</x:f>
        <x:v>46295</x:v>
      </x:c>
      <x:c r="N866" s="85" t="str">
        <x:f>IF($P866="","",HYPERLINK("#'"&amp;INDEX(Tasks!$T$10:$T$1941,$P866)&amp;"'!A"&amp;INDEX(Tasks!$U$10:$U$1941,$P866),"Open"))</x:f>
        <x:v>Open</x:v>
      </x:c>
      <x:c r="O866" s="14"/>
      <x:c r="P866" s="14" t="n">
        <x:f>IF(845&gt;$B$10,"",MATCH(845,Tasks!$S$10:$S$1941,0))</x:f>
        <x:v>1209</x:v>
      </x:c>
    </x:row>
    <x:row r="867" ht="58" customHeight="1">
      <x:c r="B867" s="86" t="str">
        <x:f>IF($P867="","",INDEX(Tasks!$B$10:$B$1941,$P867))</x:f>
        <x:v>Cycle 3</x:v>
      </x:c>
      <x:c r="C867" s="86" t="str">
        <x:f>IF($P867="","",INDEX(Tasks!$C$10:$C$1941,$P867))</x:f>
        <x:v>Phase 3</x:v>
      </x:c>
      <x:c r="D867" s="86" t="str">
        <x:f>IF($P867="","",INDEX(Tasks!$D$10:$D$1941,$P867))</x:f>
        <x:v>Retail Services</x:v>
      </x:c>
      <x:c r="E867" s="86"/>
      <x:c r="F867" s="86" t="str">
        <x:f>IF($P867="","",INDEX(Tasks!$E$10:$E$1941,$P867))</x:f>
        <x:v>Research &amp; Analysis</x:v>
      </x:c>
      <x:c r="G867" s="86"/>
      <x:c r="H867" s="14" t="str">
        <x:f>IF($P867="","",INDEX(Tasks!$F$10:$F$1941,$P867)&amp;CHAR(10)&amp;INDEX(Tasks!$G$10:$G$1941,$P867))</x:f>
        <x:v>RA.RS.3.3
Address any outstanding questions or requests from D&amp;I</x:v>
      </x:c>
      <x:c r="I867" s="14"/>
      <x:c r="J867" s="14"/>
      <x:c r="K867" s="14"/>
      <x:c r="L867" s="86" t="str">
        <x:f>IF($P867="","",INDEX(Tasks!$N$10:$N$1941,$P867))</x:f>
        <x:v>Not started</x:v>
      </x:c>
      <x:c r="M867" s="87" t="n">
        <x:f>IF($P867="","",INDEX(Tasks!$J$10:$J$1941,$P867))</x:f>
        <x:v>46295</x:v>
      </x:c>
      <x:c r="N867" s="85" t="str">
        <x:f>IF($P867="","",HYPERLINK("#'"&amp;INDEX(Tasks!$T$10:$T$1941,$P867)&amp;"'!A"&amp;INDEX(Tasks!$U$10:$U$1941,$P867),"Open"))</x:f>
        <x:v>Open</x:v>
      </x:c>
      <x:c r="O867" s="14"/>
      <x:c r="P867" s="14" t="n">
        <x:f>IF(846&gt;$B$10,"",MATCH(846,Tasks!$S$10:$S$1941,0))</x:f>
        <x:v>1210</x:v>
      </x:c>
    </x:row>
    <x:row r="868" ht="58" customHeight="1">
      <x:c r="B868" s="86" t="str">
        <x:f>IF($P868="","",INDEX(Tasks!$B$10:$B$1941,$P868))</x:f>
        <x:v>Cycle 3</x:v>
      </x:c>
      <x:c r="C868" s="86" t="str">
        <x:f>IF($P868="","",INDEX(Tasks!$C$10:$C$1941,$P868))</x:f>
        <x:v>Phase 3</x:v>
      </x:c>
      <x:c r="D868" s="86" t="str">
        <x:f>IF($P868="","",INDEX(Tasks!$D$10:$D$1941,$P868))</x:f>
        <x:v>Retail Services</x:v>
      </x:c>
      <x:c r="E868" s="86"/>
      <x:c r="F868" s="86" t="str">
        <x:f>IF($P868="","",INDEX(Tasks!$E$10:$E$1941,$P868))</x:f>
        <x:v>Research &amp; Analysis</x:v>
      </x:c>
      <x:c r="G868" s="86"/>
      <x:c r="H868" s="14" t="str">
        <x:f>IF($P868="","",INDEX(Tasks!$F$10:$F$1941,$P868)&amp;CHAR(10)&amp;INDEX(Tasks!$G$10:$G$1941,$P868))</x:f>
        <x:v>RA.RS.3.4
Attend Forum meeting with D&amp;I to assist with answering stakeholder questions (as needed)</x:v>
      </x:c>
      <x:c r="I868" s="14"/>
      <x:c r="J868" s="14"/>
      <x:c r="K868" s="14"/>
      <x:c r="L868" s="86" t="str">
        <x:f>IF($P868="","",INDEX(Tasks!$N$10:$N$1941,$P868))</x:f>
        <x:v>Not started</x:v>
      </x:c>
      <x:c r="M868" s="87" t="str">
        <x:f>IF($P868="","",INDEX(Tasks!$J$10:$J$1941,$P868))</x:f>
      </x:c>
      <x:c r="N868" s="85" t="str">
        <x:f>IF($P868="","",HYPERLINK("#'"&amp;INDEX(Tasks!$T$10:$T$1941,$P868)&amp;"'!A"&amp;INDEX(Tasks!$U$10:$U$1941,$P868),"Open"))</x:f>
        <x:v>Open</x:v>
      </x:c>
      <x:c r="O868" s="14"/>
      <x:c r="P868" s="14" t="n">
        <x:f>IF(847&gt;$B$10,"",MATCH(847,Tasks!$S$10:$S$1941,0))</x:f>
        <x:v>1211</x:v>
      </x:c>
    </x:row>
    <x:row r="869" ht="58" customHeight="1">
      <x:c r="B869" s="86" t="str">
        <x:f>IF($P869="","",INDEX(Tasks!$B$10:$B$1941,$P869))</x:f>
        <x:v>Cycle 4</x:v>
      </x:c>
      <x:c r="C869" s="86" t="str">
        <x:f>IF($P869="","",INDEX(Tasks!$C$10:$C$1941,$P869))</x:f>
        <x:v>Phase 1</x:v>
      </x:c>
      <x:c r="D869" s="86" t="str">
        <x:f>IF($P869="","",INDEX(Tasks!$D$10:$D$1941,$P869))</x:f>
        <x:v>Auto</x:v>
      </x:c>
      <x:c r="E869" s="86"/>
      <x:c r="F869" s="86" t="str">
        <x:f>IF($P869="","",INDEX(Tasks!$E$10:$E$1941,$P869))</x:f>
        <x:v>Research &amp; Analysis</x:v>
      </x:c>
      <x:c r="G869" s="86"/>
      <x:c r="H869" s="14" t="str">
        <x:f>IF($P869="","",INDEX(Tasks!$F$10:$F$1941,$P869)&amp;CHAR(10)&amp;INDEX(Tasks!$G$10:$G$1941,$P869))</x:f>
        <x:v>RA.AU.1.1
Begin Research process 2 weeks prior to Cycle start</x:v>
      </x:c>
      <x:c r="I869" s="14"/>
      <x:c r="J869" s="14"/>
      <x:c r="K869" s="14"/>
      <x:c r="L869" s="86" t="str">
        <x:f>IF($P869="","",INDEX(Tasks!$N$10:$N$1941,$P869))</x:f>
        <x:v>Not started</x:v>
      </x:c>
      <x:c r="M869" s="87" t="n">
        <x:f>IF($P869="","",INDEX(Tasks!$J$10:$J$1941,$P869))</x:f>
        <x:v>46282</x:v>
      </x:c>
      <x:c r="N869" s="85" t="str">
        <x:f>IF($P869="","",HYPERLINK("#'"&amp;INDEX(Tasks!$T$10:$T$1941,$P869)&amp;"'!A"&amp;INDEX(Tasks!$U$10:$U$1941,$P869),"Open"))</x:f>
        <x:v>Open</x:v>
      </x:c>
      <x:c r="O869" s="14"/>
      <x:c r="P869" s="14" t="n">
        <x:f>IF(848&gt;$B$10,"",MATCH(848,Tasks!$S$10:$S$1941,0))</x:f>
        <x:v>1212</x:v>
      </x:c>
    </x:row>
    <x:row r="870" ht="58" customHeight="1">
      <x:c r="B870" s="86" t="str">
        <x:f>IF($P870="","",INDEX(Tasks!$B$10:$B$1941,$P870))</x:f>
        <x:v>Cycle 4</x:v>
      </x:c>
      <x:c r="C870" s="86" t="str">
        <x:f>IF($P870="","",INDEX(Tasks!$C$10:$C$1941,$P870))</x:f>
        <x:v>Phase 1</x:v>
      </x:c>
      <x:c r="D870" s="86" t="str">
        <x:f>IF($P870="","",INDEX(Tasks!$D$10:$D$1941,$P870))</x:f>
        <x:v>Auto</x:v>
      </x:c>
      <x:c r="E870" s="86"/>
      <x:c r="F870" s="86" t="str">
        <x:f>IF($P870="","",INDEX(Tasks!$E$10:$E$1941,$P870))</x:f>
        <x:v>Research &amp; Analysis</x:v>
      </x:c>
      <x:c r="G870" s="86"/>
      <x:c r="H870" s="14" t="str">
        <x:f>IF($P870="","",INDEX(Tasks!$F$10:$F$1941,$P870)&amp;CHAR(10)&amp;INDEX(Tasks!$G$10:$G$1941,$P870))</x:f>
        <x:v>RA.AU.1.2
Conduct initial assessment of each topic recommendation from SharePoint list</x:v>
      </x:c>
      <x:c r="I870" s="14"/>
      <x:c r="J870" s="14"/>
      <x:c r="K870" s="14"/>
      <x:c r="L870" s="86" t="str">
        <x:f>IF($P870="","",INDEX(Tasks!$N$10:$N$1941,$P870))</x:f>
        <x:v>Not started</x:v>
      </x:c>
      <x:c r="M870" s="87" t="n">
        <x:f>IF($P870="","",INDEX(Tasks!$J$10:$J$1941,$P870))</x:f>
        <x:v>46387</x:v>
      </x:c>
      <x:c r="N870" s="85" t="str">
        <x:f>IF($P870="","",HYPERLINK("#'"&amp;INDEX(Tasks!$T$10:$T$1941,$P870)&amp;"'!A"&amp;INDEX(Tasks!$U$10:$U$1941,$P870),"Open"))</x:f>
        <x:v>Open</x:v>
      </x:c>
      <x:c r="O870" s="14"/>
      <x:c r="P870" s="14" t="n">
        <x:f>IF(849&gt;$B$10,"",MATCH(849,Tasks!$S$10:$S$1941,0))</x:f>
        <x:v>1213</x:v>
      </x:c>
    </x:row>
    <x:row r="871" ht="58" customHeight="1">
      <x:c r="B871" s="86" t="str">
        <x:f>IF($P871="","",INDEX(Tasks!$B$10:$B$1941,$P871))</x:f>
        <x:v>Cycle 4</x:v>
      </x:c>
      <x:c r="C871" s="86" t="str">
        <x:f>IF($P871="","",INDEX(Tasks!$C$10:$C$1941,$P871))</x:f>
        <x:v>Phase 1</x:v>
      </x:c>
      <x:c r="D871" s="86" t="str">
        <x:f>IF($P871="","",INDEX(Tasks!$D$10:$D$1941,$P871))</x:f>
        <x:v>Auto</x:v>
      </x:c>
      <x:c r="E871" s="86"/>
      <x:c r="F871" s="86" t="str">
        <x:f>IF($P871="","",INDEX(Tasks!$E$10:$E$1941,$P871))</x:f>
        <x:v>Research &amp; Analysis</x:v>
      </x:c>
      <x:c r="G871" s="86"/>
      <x:c r="H871" s="14" t="str">
        <x:f>IF($P871="","",INDEX(Tasks!$F$10:$F$1941,$P871)&amp;CHAR(10)&amp;INDEX(Tasks!$G$10:$G$1941,$P871))</x:f>
        <x:v>RA.AU.1.3
Identify best topic for Cycle</x:v>
      </x:c>
      <x:c r="I871" s="14"/>
      <x:c r="J871" s="14"/>
      <x:c r="K871" s="14"/>
      <x:c r="L871" s="86" t="str">
        <x:f>IF($P871="","",INDEX(Tasks!$N$10:$N$1941,$P871))</x:f>
        <x:v>Not started</x:v>
      </x:c>
      <x:c r="M871" s="87" t="n">
        <x:f>IF($P871="","",INDEX(Tasks!$J$10:$J$1941,$P871))</x:f>
        <x:v>46387</x:v>
      </x:c>
      <x:c r="N871" s="85" t="str">
        <x:f>IF($P871="","",HYPERLINK("#'"&amp;INDEX(Tasks!$T$10:$T$1941,$P871)&amp;"'!A"&amp;INDEX(Tasks!$U$10:$U$1941,$P871),"Open"))</x:f>
        <x:v>Open</x:v>
      </x:c>
      <x:c r="O871" s="14"/>
      <x:c r="P871" s="14" t="n">
        <x:f>IF(850&gt;$B$10,"",MATCH(850,Tasks!$S$10:$S$1941,0))</x:f>
        <x:v>1214</x:v>
      </x:c>
    </x:row>
    <x:row r="872" ht="58" customHeight="1">
      <x:c r="B872" s="86" t="str">
        <x:f>IF($P872="","",INDEX(Tasks!$B$10:$B$1941,$P872))</x:f>
        <x:v>Cycle 4</x:v>
      </x:c>
      <x:c r="C872" s="86" t="str">
        <x:f>IF($P872="","",INDEX(Tasks!$C$10:$C$1941,$P872))</x:f>
        <x:v>Phase 1</x:v>
      </x:c>
      <x:c r="D872" s="86" t="str">
        <x:f>IF($P872="","",INDEX(Tasks!$D$10:$D$1941,$P872))</x:f>
        <x:v>Auto</x:v>
      </x:c>
      <x:c r="E872" s="86"/>
      <x:c r="F872" s="86" t="str">
        <x:f>IF($P872="","",INDEX(Tasks!$E$10:$E$1941,$P872))</x:f>
        <x:v>Research &amp; Analysis</x:v>
      </x:c>
      <x:c r="G872" s="86"/>
      <x:c r="H872" s="14" t="str">
        <x:f>IF($P872="","",INDEX(Tasks!$F$10:$F$1941,$P872)&amp;CHAR(10)&amp;INDEX(Tasks!$G$10:$G$1941,$P872))</x:f>
        <x:v>RA.AU.1.4
Identify backup topic for Cycle</x:v>
      </x:c>
      <x:c r="I872" s="14"/>
      <x:c r="J872" s="14"/>
      <x:c r="K872" s="14"/>
      <x:c r="L872" s="86" t="str">
        <x:f>IF($P872="","",INDEX(Tasks!$N$10:$N$1941,$P872))</x:f>
        <x:v>Not started</x:v>
      </x:c>
      <x:c r="M872" s="87" t="n">
        <x:f>IF($P872="","",INDEX(Tasks!$J$10:$J$1941,$P872))</x:f>
        <x:v>46387</x:v>
      </x:c>
      <x:c r="N872" s="85" t="str">
        <x:f>IF($P872="","",HYPERLINK("#'"&amp;INDEX(Tasks!$T$10:$T$1941,$P872)&amp;"'!A"&amp;INDEX(Tasks!$U$10:$U$1941,$P872),"Open"))</x:f>
        <x:v>Open</x:v>
      </x:c>
      <x:c r="O872" s="14"/>
      <x:c r="P872" s="14" t="n">
        <x:f>IF(851&gt;$B$10,"",MATCH(851,Tasks!$S$10:$S$1941,0))</x:f>
        <x:v>1215</x:v>
      </x:c>
    </x:row>
    <x:row r="873" ht="58" customHeight="1">
      <x:c r="B873" s="86" t="str">
        <x:f>IF($P873="","",INDEX(Tasks!$B$10:$B$1941,$P873))</x:f>
        <x:v>Cycle 4</x:v>
      </x:c>
      <x:c r="C873" s="86" t="str">
        <x:f>IF($P873="","",INDEX(Tasks!$C$10:$C$1941,$P873))</x:f>
        <x:v>Phase 1</x:v>
      </x:c>
      <x:c r="D873" s="86" t="str">
        <x:f>IF($P873="","",INDEX(Tasks!$D$10:$D$1941,$P873))</x:f>
        <x:v>Auto</x:v>
      </x:c>
      <x:c r="E873" s="86"/>
      <x:c r="F873" s="86" t="str">
        <x:f>IF($P873="","",INDEX(Tasks!$E$10:$E$1941,$P873))</x:f>
        <x:v>Research &amp; Analysis</x:v>
      </x:c>
      <x:c r="G873" s="86"/>
      <x:c r="H873" s="14" t="str">
        <x:f>IF($P873="","",INDEX(Tasks!$F$10:$F$1941,$P873)&amp;CHAR(10)&amp;INDEX(Tasks!$G$10:$G$1941,$P873))</x:f>
        <x:v>RA.AU.1.5
Schedule topic approval meeting with D&amp;I and management</x:v>
      </x:c>
      <x:c r="I873" s="14"/>
      <x:c r="J873" s="14"/>
      <x:c r="K873" s="14"/>
      <x:c r="L873" s="86" t="str">
        <x:f>IF($P873="","",INDEX(Tasks!$N$10:$N$1941,$P873))</x:f>
        <x:v>Not started</x:v>
      </x:c>
      <x:c r="M873" s="87" t="n">
        <x:f>IF($P873="","",INDEX(Tasks!$J$10:$J$1941,$P873))</x:f>
        <x:v>46387</x:v>
      </x:c>
      <x:c r="N873" s="85" t="str">
        <x:f>IF($P873="","",HYPERLINK("#'"&amp;INDEX(Tasks!$T$10:$T$1941,$P873)&amp;"'!A"&amp;INDEX(Tasks!$U$10:$U$1941,$P873),"Open"))</x:f>
        <x:v>Open</x:v>
      </x:c>
      <x:c r="O873" s="14"/>
      <x:c r="P873" s="14" t="n">
        <x:f>IF(852&gt;$B$10,"",MATCH(852,Tasks!$S$10:$S$1941,0))</x:f>
        <x:v>1216</x:v>
      </x:c>
    </x:row>
    <x:row r="874" ht="58" customHeight="1">
      <x:c r="B874" s="86" t="str">
        <x:f>IF($P874="","",INDEX(Tasks!$B$10:$B$1941,$P874))</x:f>
        <x:v>Cycle 4</x:v>
      </x:c>
      <x:c r="C874" s="86" t="str">
        <x:f>IF($P874="","",INDEX(Tasks!$C$10:$C$1941,$P874))</x:f>
        <x:v>Phase 1</x:v>
      </x:c>
      <x:c r="D874" s="86" t="str">
        <x:f>IF($P874="","",INDEX(Tasks!$D$10:$D$1941,$P874))</x:f>
        <x:v>Auto</x:v>
      </x:c>
      <x:c r="E874" s="86"/>
      <x:c r="F874" s="86" t="str">
        <x:f>IF($P874="","",INDEX(Tasks!$E$10:$E$1941,$P874))</x:f>
        <x:v>Research &amp; Analysis</x:v>
      </x:c>
      <x:c r="G874" s="86"/>
      <x:c r="H874" s="14" t="str">
        <x:f>IF($P874="","",INDEX(Tasks!$F$10:$F$1941,$P874)&amp;CHAR(10)&amp;INDEX(Tasks!$G$10:$G$1941,$P874))</x:f>
        <x:v>RA.AU.1.6
Present recommended topic to D&amp;I and management for approval</x:v>
      </x:c>
      <x:c r="I874" s="14"/>
      <x:c r="J874" s="14"/>
      <x:c r="K874" s="14"/>
      <x:c r="L874" s="86" t="str">
        <x:f>IF($P874="","",INDEX(Tasks!$N$10:$N$1941,$P874))</x:f>
        <x:v>Not started</x:v>
      </x:c>
      <x:c r="M874" s="87" t="n">
        <x:f>IF($P874="","",INDEX(Tasks!$J$10:$J$1941,$P874))</x:f>
        <x:v>46387</x:v>
      </x:c>
      <x:c r="N874" s="85" t="str">
        <x:f>IF($P874="","",HYPERLINK("#'"&amp;INDEX(Tasks!$T$10:$T$1941,$P874)&amp;"'!A"&amp;INDEX(Tasks!$U$10:$U$1941,$P874),"Open"))</x:f>
        <x:v>Open</x:v>
      </x:c>
      <x:c r="O874" s="14"/>
      <x:c r="P874" s="14" t="n">
        <x:f>IF(853&gt;$B$10,"",MATCH(853,Tasks!$S$10:$S$1941,0))</x:f>
        <x:v>1217</x:v>
      </x:c>
    </x:row>
    <x:row r="875" ht="58" customHeight="1">
      <x:c r="B875" s="86" t="str">
        <x:f>IF($P875="","",INDEX(Tasks!$B$10:$B$1941,$P875))</x:f>
        <x:v>Cycle 4</x:v>
      </x:c>
      <x:c r="C875" s="86" t="str">
        <x:f>IF($P875="","",INDEX(Tasks!$C$10:$C$1941,$P875))</x:f>
        <x:v>Phase 1</x:v>
      </x:c>
      <x:c r="D875" s="86" t="str">
        <x:f>IF($P875="","",INDEX(Tasks!$D$10:$D$1941,$P875))</x:f>
        <x:v>Auto</x:v>
      </x:c>
      <x:c r="E875" s="86"/>
      <x:c r="F875" s="86" t="str">
        <x:f>IF($P875="","",INDEX(Tasks!$E$10:$E$1941,$P875))</x:f>
        <x:v>Research &amp; Analysis</x:v>
      </x:c>
      <x:c r="G875" s="86"/>
      <x:c r="H875" s="14" t="str">
        <x:f>IF($P875="","",INDEX(Tasks!$F$10:$F$1941,$P875)&amp;CHAR(10)&amp;INDEX(Tasks!$G$10:$G$1941,$P875))</x:f>
        <x:v>RA.AU.1.7
Obtain formal topic selection approval from management via SharePoint</x:v>
      </x:c>
      <x:c r="I875" s="14"/>
      <x:c r="J875" s="14"/>
      <x:c r="K875" s="14"/>
      <x:c r="L875" s="86" t="str">
        <x:f>IF($P875="","",INDEX(Tasks!$N$10:$N$1941,$P875))</x:f>
        <x:v>Not started</x:v>
      </x:c>
      <x:c r="M875" s="87" t="n">
        <x:f>IF($P875="","",INDEX(Tasks!$J$10:$J$1941,$P875))</x:f>
        <x:v>46387</x:v>
      </x:c>
      <x:c r="N875" s="85" t="str">
        <x:f>IF($P875="","",HYPERLINK("#'"&amp;INDEX(Tasks!$T$10:$T$1941,$P875)&amp;"'!A"&amp;INDEX(Tasks!$U$10:$U$1941,$P875),"Open"))</x:f>
        <x:v>Open</x:v>
      </x:c>
      <x:c r="O875" s="14"/>
      <x:c r="P875" s="14" t="n">
        <x:f>IF(854&gt;$B$10,"",MATCH(854,Tasks!$S$10:$S$1941,0))</x:f>
        <x:v>1218</x:v>
      </x:c>
    </x:row>
    <x:row r="876" ht="58" customHeight="1">
      <x:c r="B876" s="86" t="str">
        <x:f>IF($P876="","",INDEX(Tasks!$B$10:$B$1941,$P876))</x:f>
        <x:v>Cycle 4</x:v>
      </x:c>
      <x:c r="C876" s="86" t="str">
        <x:f>IF($P876="","",INDEX(Tasks!$C$10:$C$1941,$P876))</x:f>
        <x:v>Phase 1</x:v>
      </x:c>
      <x:c r="D876" s="86" t="str">
        <x:f>IF($P876="","",INDEX(Tasks!$D$10:$D$1941,$P876))</x:f>
        <x:v>Auto</x:v>
      </x:c>
      <x:c r="E876" s="86"/>
      <x:c r="F876" s="86" t="str">
        <x:f>IF($P876="","",INDEX(Tasks!$E$10:$E$1941,$P876))</x:f>
        <x:v>Research &amp; Analysis</x:v>
      </x:c>
      <x:c r="G876" s="86"/>
      <x:c r="H876" s="14" t="str">
        <x:f>IF($P876="","",INDEX(Tasks!$F$10:$F$1941,$P876)&amp;CHAR(10)&amp;INDEX(Tasks!$G$10:$G$1941,$P876))</x:f>
        <x:v>RA.AU.1.8
Socialize topic selection with product owners and subject matter experts (if known)</x:v>
      </x:c>
      <x:c r="I876" s="14"/>
      <x:c r="J876" s="14"/>
      <x:c r="K876" s="14"/>
      <x:c r="L876" s="86" t="str">
        <x:f>IF($P876="","",INDEX(Tasks!$N$10:$N$1941,$P876))</x:f>
        <x:v>Not started</x:v>
      </x:c>
      <x:c r="M876" s="87" t="n">
        <x:f>IF($P876="","",INDEX(Tasks!$J$10:$J$1941,$P876))</x:f>
        <x:v>46387</x:v>
      </x:c>
      <x:c r="N876" s="85" t="str">
        <x:f>IF($P876="","",HYPERLINK("#'"&amp;INDEX(Tasks!$T$10:$T$1941,$P876)&amp;"'!A"&amp;INDEX(Tasks!$U$10:$U$1941,$P876),"Open"))</x:f>
        <x:v>Open</x:v>
      </x:c>
      <x:c r="O876" s="14"/>
      <x:c r="P876" s="14" t="n">
        <x:f>IF(855&gt;$B$10,"",MATCH(855,Tasks!$S$10:$S$1941,0))</x:f>
        <x:v>1219</x:v>
      </x:c>
    </x:row>
    <x:row r="877" ht="58" customHeight="1">
      <x:c r="B877" s="86" t="str">
        <x:f>IF($P877="","",INDEX(Tasks!$B$10:$B$1941,$P877))</x:f>
        <x:v>Cycle 4</x:v>
      </x:c>
      <x:c r="C877" s="86" t="str">
        <x:f>IF($P877="","",INDEX(Tasks!$C$10:$C$1941,$P877))</x:f>
        <x:v>Phase 1</x:v>
      </x:c>
      <x:c r="D877" s="86" t="str">
        <x:f>IF($P877="","",INDEX(Tasks!$D$10:$D$1941,$P877))</x:f>
        <x:v>Auto</x:v>
      </x:c>
      <x:c r="E877" s="86"/>
      <x:c r="F877" s="86" t="str">
        <x:f>IF($P877="","",INDEX(Tasks!$E$10:$E$1941,$P877))</x:f>
        <x:v>Research &amp; Analysis</x:v>
      </x:c>
      <x:c r="G877" s="86"/>
      <x:c r="H877" s="14" t="str">
        <x:f>IF($P877="","",INDEX(Tasks!$F$10:$F$1941,$P877)&amp;CHAR(10)&amp;INDEX(Tasks!$G$10:$G$1941,$P877))</x:f>
        <x:v>RA.AU.1.9
Assign topic researchers</x:v>
      </x:c>
      <x:c r="I877" s="14"/>
      <x:c r="J877" s="14"/>
      <x:c r="K877" s="14"/>
      <x:c r="L877" s="86" t="str">
        <x:f>IF($P877="","",INDEX(Tasks!$N$10:$N$1941,$P877))</x:f>
        <x:v>Not started</x:v>
      </x:c>
      <x:c r="M877" s="87" t="n">
        <x:f>IF($P877="","",INDEX(Tasks!$J$10:$J$1941,$P877))</x:f>
        <x:v>46387</x:v>
      </x:c>
      <x:c r="N877" s="85" t="str">
        <x:f>IF($P877="","",HYPERLINK("#'"&amp;INDEX(Tasks!$T$10:$T$1941,$P877)&amp;"'!A"&amp;INDEX(Tasks!$U$10:$U$1941,$P877),"Open"))</x:f>
        <x:v>Open</x:v>
      </x:c>
      <x:c r="O877" s="14"/>
      <x:c r="P877" s="14" t="n">
        <x:f>IF(856&gt;$B$10,"",MATCH(856,Tasks!$S$10:$S$1941,0))</x:f>
        <x:v>1220</x:v>
      </x:c>
    </x:row>
    <x:row r="878" ht="58" customHeight="1">
      <x:c r="B878" s="86" t="str">
        <x:f>IF($P878="","",INDEX(Tasks!$B$10:$B$1941,$P878))</x:f>
        <x:v>Cycle 4</x:v>
      </x:c>
      <x:c r="C878" s="86" t="str">
        <x:f>IF($P878="","",INDEX(Tasks!$C$10:$C$1941,$P878))</x:f>
        <x:v>Phase 2</x:v>
      </x:c>
      <x:c r="D878" s="86" t="str">
        <x:f>IF($P878="","",INDEX(Tasks!$D$10:$D$1941,$P878))</x:f>
        <x:v>Auto</x:v>
      </x:c>
      <x:c r="E878" s="86"/>
      <x:c r="F878" s="86" t="str">
        <x:f>IF($P878="","",INDEX(Tasks!$E$10:$E$1941,$P878))</x:f>
        <x:v>Research &amp; Analysis</x:v>
      </x:c>
      <x:c r="G878" s="86"/>
      <x:c r="H878" s="14" t="str">
        <x:f>IF($P878="","",INDEX(Tasks!$F$10:$F$1941,$P878)&amp;CHAR(10)&amp;INDEX(Tasks!$G$10:$G$1941,$P878))</x:f>
        <x:v>RA.AU.2.1
Review data sources</x:v>
      </x:c>
      <x:c r="I878" s="14"/>
      <x:c r="J878" s="14"/>
      <x:c r="K878" s="14"/>
      <x:c r="L878" s="86" t="str">
        <x:f>IF($P878="","",INDEX(Tasks!$N$10:$N$1941,$P878))</x:f>
        <x:v>Not started</x:v>
      </x:c>
      <x:c r="M878" s="87" t="n">
        <x:f>IF($P878="","",INDEX(Tasks!$J$10:$J$1941,$P878))</x:f>
        <x:v>46387</x:v>
      </x:c>
      <x:c r="N878" s="85" t="str">
        <x:f>IF($P878="","",HYPERLINK("#'"&amp;INDEX(Tasks!$T$10:$T$1941,$P878)&amp;"'!A"&amp;INDEX(Tasks!$U$10:$U$1941,$P878),"Open"))</x:f>
        <x:v>Open</x:v>
      </x:c>
      <x:c r="O878" s="14"/>
      <x:c r="P878" s="14" t="n">
        <x:f>IF(857&gt;$B$10,"",MATCH(857,Tasks!$S$10:$S$1941,0))</x:f>
        <x:v>1221</x:v>
      </x:c>
    </x:row>
    <x:row r="879" ht="58" customHeight="1">
      <x:c r="B879" s="86" t="str">
        <x:f>IF($P879="","",INDEX(Tasks!$B$10:$B$1941,$P879))</x:f>
        <x:v>Cycle 4</x:v>
      </x:c>
      <x:c r="C879" s="86" t="str">
        <x:f>IF($P879="","",INDEX(Tasks!$C$10:$C$1941,$P879))</x:f>
        <x:v>Phase 2</x:v>
      </x:c>
      <x:c r="D879" s="86" t="str">
        <x:f>IF($P879="","",INDEX(Tasks!$D$10:$D$1941,$P879))</x:f>
        <x:v>Auto</x:v>
      </x:c>
      <x:c r="E879" s="86"/>
      <x:c r="F879" s="86" t="str">
        <x:f>IF($P879="","",INDEX(Tasks!$E$10:$E$1941,$P879))</x:f>
        <x:v>Research &amp; Analysis</x:v>
      </x:c>
      <x:c r="G879" s="86"/>
      <x:c r="H879" s="14" t="str">
        <x:f>IF($P879="","",INDEX(Tasks!$F$10:$F$1941,$P879)&amp;CHAR(10)&amp;INDEX(Tasks!$G$10:$G$1941,$P879))</x:f>
        <x:v>RA.AU.2.2
Review relevant policies and procedures</x:v>
      </x:c>
      <x:c r="I879" s="14"/>
      <x:c r="J879" s="14"/>
      <x:c r="K879" s="14"/>
      <x:c r="L879" s="86" t="str">
        <x:f>IF($P879="","",INDEX(Tasks!$N$10:$N$1941,$P879))</x:f>
        <x:v>Not started</x:v>
      </x:c>
      <x:c r="M879" s="87" t="n">
        <x:f>IF($P879="","",INDEX(Tasks!$J$10:$J$1941,$P879))</x:f>
        <x:v>46387</x:v>
      </x:c>
      <x:c r="N879" s="85" t="str">
        <x:f>IF($P879="","",HYPERLINK("#'"&amp;INDEX(Tasks!$T$10:$T$1941,$P879)&amp;"'!A"&amp;INDEX(Tasks!$U$10:$U$1941,$P879),"Open"))</x:f>
        <x:v>Open</x:v>
      </x:c>
      <x:c r="O879" s="14"/>
      <x:c r="P879" s="14" t="n">
        <x:f>IF(858&gt;$B$10,"",MATCH(858,Tasks!$S$10:$S$1941,0))</x:f>
        <x:v>1222</x:v>
      </x:c>
    </x:row>
    <x:row r="880" ht="58" customHeight="1">
      <x:c r="B880" s="86" t="str">
        <x:f>IF($P880="","",INDEX(Tasks!$B$10:$B$1941,$P880))</x:f>
        <x:v>Cycle 4</x:v>
      </x:c>
      <x:c r="C880" s="86" t="str">
        <x:f>IF($P880="","",INDEX(Tasks!$C$10:$C$1941,$P880))</x:f>
        <x:v>Phase 2</x:v>
      </x:c>
      <x:c r="D880" s="86" t="str">
        <x:f>IF($P880="","",INDEX(Tasks!$D$10:$D$1941,$P880))</x:f>
        <x:v>Auto</x:v>
      </x:c>
      <x:c r="E880" s="86"/>
      <x:c r="F880" s="86" t="str">
        <x:f>IF($P880="","",INDEX(Tasks!$E$10:$E$1941,$P880))</x:f>
        <x:v>Research &amp; Analysis</x:v>
      </x:c>
      <x:c r="G880" s="86"/>
      <x:c r="H880" s="14" t="str">
        <x:f>IF($P880="","",INDEX(Tasks!$F$10:$F$1941,$P880)&amp;CHAR(10)&amp;INDEX(Tasks!$G$10:$G$1941,$P880))</x:f>
        <x:v>RA.AU.2.3
Meet with SMEs to gain business insight and clarify questions</x:v>
      </x:c>
      <x:c r="I880" s="14"/>
      <x:c r="J880" s="14"/>
      <x:c r="K880" s="14"/>
      <x:c r="L880" s="86" t="str">
        <x:f>IF($P880="","",INDEX(Tasks!$N$10:$N$1941,$P880))</x:f>
        <x:v>Not started</x:v>
      </x:c>
      <x:c r="M880" s="87" t="n">
        <x:f>IF($P880="","",INDEX(Tasks!$J$10:$J$1941,$P880))</x:f>
        <x:v>46387</x:v>
      </x:c>
      <x:c r="N880" s="85" t="str">
        <x:f>IF($P880="","",HYPERLINK("#'"&amp;INDEX(Tasks!$T$10:$T$1941,$P880)&amp;"'!A"&amp;INDEX(Tasks!$U$10:$U$1941,$P880),"Open"))</x:f>
        <x:v>Open</x:v>
      </x:c>
      <x:c r="O880" s="14"/>
      <x:c r="P880" s="14" t="n">
        <x:f>IF(859&gt;$B$10,"",MATCH(859,Tasks!$S$10:$S$1941,0))</x:f>
        <x:v>1223</x:v>
      </x:c>
    </x:row>
    <x:row r="881" ht="58" customHeight="1">
      <x:c r="B881" s="86" t="str">
        <x:f>IF($P881="","",INDEX(Tasks!$B$10:$B$1941,$P881))</x:f>
        <x:v>Cycle 4</x:v>
      </x:c>
      <x:c r="C881" s="86" t="str">
        <x:f>IF($P881="","",INDEX(Tasks!$C$10:$C$1941,$P881))</x:f>
        <x:v>Phase 2</x:v>
      </x:c>
      <x:c r="D881" s="86" t="str">
        <x:f>IF($P881="","",INDEX(Tasks!$D$10:$D$1941,$P881))</x:f>
        <x:v>Auto</x:v>
      </x:c>
      <x:c r="E881" s="86"/>
      <x:c r="F881" s="86" t="str">
        <x:f>IF($P881="","",INDEX(Tasks!$E$10:$E$1941,$P881))</x:f>
        <x:v>Research &amp; Analysis</x:v>
      </x:c>
      <x:c r="G881" s="86"/>
      <x:c r="H881" s="14" t="str">
        <x:f>IF($P881="","",INDEX(Tasks!$F$10:$F$1941,$P881)&amp;CHAR(10)&amp;INDEX(Tasks!$G$10:$G$1941,$P881))</x:f>
        <x:v>RA.AU.2.4
Establish and maintain a recurring meeting with D&amp;I to discuss Cycle progress</x:v>
      </x:c>
      <x:c r="I881" s="14"/>
      <x:c r="J881" s="14"/>
      <x:c r="K881" s="14"/>
      <x:c r="L881" s="86" t="str">
        <x:f>IF($P881="","",INDEX(Tasks!$N$10:$N$1941,$P881))</x:f>
        <x:v>Not started</x:v>
      </x:c>
      <x:c r="M881" s="87" t="n">
        <x:f>IF($P881="","",INDEX(Tasks!$J$10:$J$1941,$P881))</x:f>
        <x:v>46387</x:v>
      </x:c>
      <x:c r="N881" s="85" t="str">
        <x:f>IF($P881="","",HYPERLINK("#'"&amp;INDEX(Tasks!$T$10:$T$1941,$P881)&amp;"'!A"&amp;INDEX(Tasks!$U$10:$U$1941,$P881),"Open"))</x:f>
        <x:v>Open</x:v>
      </x:c>
      <x:c r="O881" s="14"/>
      <x:c r="P881" s="14" t="n">
        <x:f>IF(860&gt;$B$10,"",MATCH(860,Tasks!$S$10:$S$1941,0))</x:f>
        <x:v>1224</x:v>
      </x:c>
    </x:row>
    <x:row r="882" ht="58" customHeight="1">
      <x:c r="B882" s="86" t="str">
        <x:f>IF($P882="","",INDEX(Tasks!$B$10:$B$1941,$P882))</x:f>
        <x:v>Cycle 4</x:v>
      </x:c>
      <x:c r="C882" s="86" t="str">
        <x:f>IF($P882="","",INDEX(Tasks!$C$10:$C$1941,$P882))</x:f>
        <x:v>Phase 2</x:v>
      </x:c>
      <x:c r="D882" s="86" t="str">
        <x:f>IF($P882="","",INDEX(Tasks!$D$10:$D$1941,$P882))</x:f>
        <x:v>Auto</x:v>
      </x:c>
      <x:c r="E882" s="86"/>
      <x:c r="F882" s="86" t="str">
        <x:f>IF($P882="","",INDEX(Tasks!$E$10:$E$1941,$P882))</x:f>
        <x:v>Research &amp; Analysis</x:v>
      </x:c>
      <x:c r="G882" s="86"/>
      <x:c r="H882" s="14" t="str">
        <x:f>IF($P882="","",INDEX(Tasks!$F$10:$F$1941,$P882)&amp;CHAR(10)&amp;INDEX(Tasks!$G$10:$G$1941,$P882))</x:f>
        <x:v>RA.AU.2.5
Perform data testing and sampling</x:v>
      </x:c>
      <x:c r="I882" s="14"/>
      <x:c r="J882" s="14"/>
      <x:c r="K882" s="14"/>
      <x:c r="L882" s="86" t="str">
        <x:f>IF($P882="","",INDEX(Tasks!$N$10:$N$1941,$P882))</x:f>
        <x:v>Not started</x:v>
      </x:c>
      <x:c r="M882" s="87" t="n">
        <x:f>IF($P882="","",INDEX(Tasks!$J$10:$J$1941,$P882))</x:f>
        <x:v>46387</x:v>
      </x:c>
      <x:c r="N882" s="85" t="str">
        <x:f>IF($P882="","",HYPERLINK("#'"&amp;INDEX(Tasks!$T$10:$T$1941,$P882)&amp;"'!A"&amp;INDEX(Tasks!$U$10:$U$1941,$P882),"Open"))</x:f>
        <x:v>Open</x:v>
      </x:c>
      <x:c r="O882" s="14"/>
      <x:c r="P882" s="14" t="n">
        <x:f>IF(861&gt;$B$10,"",MATCH(861,Tasks!$S$10:$S$1941,0))</x:f>
        <x:v>1225</x:v>
      </x:c>
    </x:row>
    <x:row r="883" ht="58" customHeight="1">
      <x:c r="B883" s="86" t="str">
        <x:f>IF($P883="","",INDEX(Tasks!$B$10:$B$1941,$P883))</x:f>
        <x:v>Cycle 4</x:v>
      </x:c>
      <x:c r="C883" s="86" t="str">
        <x:f>IF($P883="","",INDEX(Tasks!$C$10:$C$1941,$P883))</x:f>
        <x:v>Phase 2</x:v>
      </x:c>
      <x:c r="D883" s="86" t="str">
        <x:f>IF($P883="","",INDEX(Tasks!$D$10:$D$1941,$P883))</x:f>
        <x:v>Auto</x:v>
      </x:c>
      <x:c r="E883" s="86"/>
      <x:c r="F883" s="86" t="str">
        <x:f>IF($P883="","",INDEX(Tasks!$E$10:$E$1941,$P883))</x:f>
        <x:v>Research &amp; Analysis</x:v>
      </x:c>
      <x:c r="G883" s="86"/>
      <x:c r="H883" s="14" t="str">
        <x:f>IF($P883="","",INDEX(Tasks!$F$10:$F$1941,$P883)&amp;CHAR(10)&amp;INDEX(Tasks!$G$10:$G$1941,$P883))</x:f>
        <x:v>RA.AU.2.6
Complete Positive Testing</x:v>
      </x:c>
      <x:c r="I883" s="14"/>
      <x:c r="J883" s="14"/>
      <x:c r="K883" s="14"/>
      <x:c r="L883" s="86" t="str">
        <x:f>IF($P883="","",INDEX(Tasks!$N$10:$N$1941,$P883))</x:f>
        <x:v>Not started</x:v>
      </x:c>
      <x:c r="M883" s="87" t="n">
        <x:f>IF($P883="","",INDEX(Tasks!$J$10:$J$1941,$P883))</x:f>
        <x:v>46387</x:v>
      </x:c>
      <x:c r="N883" s="85" t="str">
        <x:f>IF($P883="","",HYPERLINK("#'"&amp;INDEX(Tasks!$T$10:$T$1941,$P883)&amp;"'!A"&amp;INDEX(Tasks!$U$10:$U$1941,$P883),"Open"))</x:f>
        <x:v>Open</x:v>
      </x:c>
      <x:c r="O883" s="14"/>
      <x:c r="P883" s="14" t="n">
        <x:f>IF(862&gt;$B$10,"",MATCH(862,Tasks!$S$10:$S$1941,0))</x:f>
        <x:v>1226</x:v>
      </x:c>
    </x:row>
    <x:row r="884" ht="58" customHeight="1">
      <x:c r="B884" s="86" t="str">
        <x:f>IF($P884="","",INDEX(Tasks!$B$10:$B$1941,$P884))</x:f>
        <x:v>Cycle 4</x:v>
      </x:c>
      <x:c r="C884" s="86" t="str">
        <x:f>IF($P884="","",INDEX(Tasks!$C$10:$C$1941,$P884))</x:f>
        <x:v>Phase 2</x:v>
      </x:c>
      <x:c r="D884" s="86" t="str">
        <x:f>IF($P884="","",INDEX(Tasks!$D$10:$D$1941,$P884))</x:f>
        <x:v>Auto</x:v>
      </x:c>
      <x:c r="E884" s="86"/>
      <x:c r="F884" s="86" t="str">
        <x:f>IF($P884="","",INDEX(Tasks!$E$10:$E$1941,$P884))</x:f>
        <x:v>Research &amp; Analysis</x:v>
      </x:c>
      <x:c r="G884" s="86"/>
      <x:c r="H884" s="14" t="str">
        <x:f>IF($P884="","",INDEX(Tasks!$F$10:$F$1941,$P884)&amp;CHAR(10)&amp;INDEX(Tasks!$G$10:$G$1941,$P884))</x:f>
        <x:v>RA.AU.2.7
Complete Negative Testing</x:v>
      </x:c>
      <x:c r="I884" s="14"/>
      <x:c r="J884" s="14"/>
      <x:c r="K884" s="14"/>
      <x:c r="L884" s="86" t="str">
        <x:f>IF($P884="","",INDEX(Tasks!$N$10:$N$1941,$P884))</x:f>
        <x:v>Not started</x:v>
      </x:c>
      <x:c r="M884" s="87" t="n">
        <x:f>IF($P884="","",INDEX(Tasks!$J$10:$J$1941,$P884))</x:f>
        <x:v>46387</x:v>
      </x:c>
      <x:c r="N884" s="85" t="str">
        <x:f>IF($P884="","",HYPERLINK("#'"&amp;INDEX(Tasks!$T$10:$T$1941,$P884)&amp;"'!A"&amp;INDEX(Tasks!$U$10:$U$1941,$P884),"Open"))</x:f>
        <x:v>Open</x:v>
      </x:c>
      <x:c r="O884" s="14"/>
      <x:c r="P884" s="14" t="n">
        <x:f>IF(863&gt;$B$10,"",MATCH(863,Tasks!$S$10:$S$1941,0))</x:f>
        <x:v>1227</x:v>
      </x:c>
    </x:row>
    <x:row r="885" ht="58" customHeight="1">
      <x:c r="B885" s="86" t="str">
        <x:f>IF($P885="","",INDEX(Tasks!$B$10:$B$1941,$P885))</x:f>
        <x:v>Cycle 4</x:v>
      </x:c>
      <x:c r="C885" s="86" t="str">
        <x:f>IF($P885="","",INDEX(Tasks!$C$10:$C$1941,$P885))</x:f>
        <x:v>Phase 2</x:v>
      </x:c>
      <x:c r="D885" s="86" t="str">
        <x:f>IF($P885="","",INDEX(Tasks!$D$10:$D$1941,$P885))</x:f>
        <x:v>Auto</x:v>
      </x:c>
      <x:c r="E885" s="86"/>
      <x:c r="F885" s="86" t="str">
        <x:f>IF($P885="","",INDEX(Tasks!$E$10:$E$1941,$P885))</x:f>
        <x:v>Research &amp; Analysis</x:v>
      </x:c>
      <x:c r="G885" s="86"/>
      <x:c r="H885" s="14" t="str">
        <x:f>IF($P885="","",INDEX(Tasks!$F$10:$F$1941,$P885)&amp;CHAR(10)&amp;INDEX(Tasks!$G$10:$G$1941,$P885))</x:f>
        <x:v>RA.AU.2.8
Request additional data (as needed)</x:v>
      </x:c>
      <x:c r="I885" s="14"/>
      <x:c r="J885" s="14"/>
      <x:c r="K885" s="14"/>
      <x:c r="L885" s="86" t="str">
        <x:f>IF($P885="","",INDEX(Tasks!$N$10:$N$1941,$P885))</x:f>
        <x:v>Not started</x:v>
      </x:c>
      <x:c r="M885" s="87" t="n">
        <x:f>IF($P885="","",INDEX(Tasks!$J$10:$J$1941,$P885))</x:f>
        <x:v>46387</x:v>
      </x:c>
      <x:c r="N885" s="85" t="str">
        <x:f>IF($P885="","",HYPERLINK("#'"&amp;INDEX(Tasks!$T$10:$T$1941,$P885)&amp;"'!A"&amp;INDEX(Tasks!$U$10:$U$1941,$P885),"Open"))</x:f>
        <x:v>Open</x:v>
      </x:c>
      <x:c r="O885" s="14"/>
      <x:c r="P885" s="14" t="n">
        <x:f>IF(864&gt;$B$10,"",MATCH(864,Tasks!$S$10:$S$1941,0))</x:f>
        <x:v>1228</x:v>
      </x:c>
    </x:row>
    <x:row r="886" ht="58" customHeight="1">
      <x:c r="B886" s="86" t="str">
        <x:f>IF($P886="","",INDEX(Tasks!$B$10:$B$1941,$P886))</x:f>
        <x:v>Cycle 4</x:v>
      </x:c>
      <x:c r="C886" s="86" t="str">
        <x:f>IF($P886="","",INDEX(Tasks!$C$10:$C$1941,$P886))</x:f>
        <x:v>Phase 2</x:v>
      </x:c>
      <x:c r="D886" s="86" t="str">
        <x:f>IF($P886="","",INDEX(Tasks!$D$10:$D$1941,$P886))</x:f>
        <x:v>Auto</x:v>
      </x:c>
      <x:c r="E886" s="86"/>
      <x:c r="F886" s="86" t="str">
        <x:f>IF($P886="","",INDEX(Tasks!$E$10:$E$1941,$P886))</x:f>
        <x:v>Research &amp; Analysis</x:v>
      </x:c>
      <x:c r="G886" s="86"/>
      <x:c r="H886" s="14" t="str">
        <x:f>IF($P886="","",INDEX(Tasks!$F$10:$F$1941,$P886)&amp;CHAR(10)&amp;INDEX(Tasks!$G$10:$G$1941,$P886))</x:f>
        <x:v>RA.AU.2.9
Validate or disprove initial hypothesis assumptions</x:v>
      </x:c>
      <x:c r="I886" s="14"/>
      <x:c r="J886" s="14"/>
      <x:c r="K886" s="14"/>
      <x:c r="L886" s="86" t="str">
        <x:f>IF($P886="","",INDEX(Tasks!$N$10:$N$1941,$P886))</x:f>
        <x:v>Not started</x:v>
      </x:c>
      <x:c r="M886" s="87" t="n">
        <x:f>IF($P886="","",INDEX(Tasks!$J$10:$J$1941,$P886))</x:f>
        <x:v>46387</x:v>
      </x:c>
      <x:c r="N886" s="85" t="str">
        <x:f>IF($P886="","",HYPERLINK("#'"&amp;INDEX(Tasks!$T$10:$T$1941,$P886)&amp;"'!A"&amp;INDEX(Tasks!$U$10:$U$1941,$P886),"Open"))</x:f>
        <x:v>Open</x:v>
      </x:c>
      <x:c r="O886" s="14"/>
      <x:c r="P886" s="14" t="n">
        <x:f>IF(865&gt;$B$10,"",MATCH(865,Tasks!$S$10:$S$1941,0))</x:f>
        <x:v>1229</x:v>
      </x:c>
    </x:row>
    <x:row r="887" ht="58" customHeight="1">
      <x:c r="B887" s="86" t="str">
        <x:f>IF($P887="","",INDEX(Tasks!$B$10:$B$1941,$P887))</x:f>
        <x:v>Cycle 4</x:v>
      </x:c>
      <x:c r="C887" s="86" t="str">
        <x:f>IF($P887="","",INDEX(Tasks!$C$10:$C$1941,$P887))</x:f>
        <x:v>Phase 2</x:v>
      </x:c>
      <x:c r="D887" s="86" t="str">
        <x:f>IF($P887="","",INDEX(Tasks!$D$10:$D$1941,$P887))</x:f>
        <x:v>Auto</x:v>
      </x:c>
      <x:c r="E887" s="86"/>
      <x:c r="F887" s="86" t="str">
        <x:f>IF($P887="","",INDEX(Tasks!$E$10:$E$1941,$P887))</x:f>
        <x:v>Research &amp; Analysis</x:v>
      </x:c>
      <x:c r="G887" s="86"/>
      <x:c r="H887" s="14" t="str">
        <x:f>IF($P887="","",INDEX(Tasks!$F$10:$F$1941,$P887)&amp;CHAR(10)&amp;INDEX(Tasks!$G$10:$G$1941,$P887))</x:f>
        <x:v>RA.AU.2.10
Identify and confirm root cause</x:v>
      </x:c>
      <x:c r="I887" s="14"/>
      <x:c r="J887" s="14"/>
      <x:c r="K887" s="14"/>
      <x:c r="L887" s="86" t="str">
        <x:f>IF($P887="","",INDEX(Tasks!$N$10:$N$1941,$P887))</x:f>
        <x:v>Not started</x:v>
      </x:c>
      <x:c r="M887" s="87" t="n">
        <x:f>IF($P887="","",INDEX(Tasks!$J$10:$J$1941,$P887))</x:f>
        <x:v>46387</x:v>
      </x:c>
      <x:c r="N887" s="85" t="str">
        <x:f>IF($P887="","",HYPERLINK("#'"&amp;INDEX(Tasks!$T$10:$T$1941,$P887)&amp;"'!A"&amp;INDEX(Tasks!$U$10:$U$1941,$P887),"Open"))</x:f>
        <x:v>Open</x:v>
      </x:c>
      <x:c r="O887" s="14"/>
      <x:c r="P887" s="14" t="n">
        <x:f>IF(866&gt;$B$10,"",MATCH(866,Tasks!$S$10:$S$1941,0))</x:f>
        <x:v>1230</x:v>
      </x:c>
    </x:row>
    <x:row r="888" ht="58" customHeight="1">
      <x:c r="B888" s="86" t="str">
        <x:f>IF($P888="","",INDEX(Tasks!$B$10:$B$1941,$P888))</x:f>
        <x:v>Cycle 4</x:v>
      </x:c>
      <x:c r="C888" s="86" t="str">
        <x:f>IF($P888="","",INDEX(Tasks!$C$10:$C$1941,$P888))</x:f>
        <x:v>Phase 3</x:v>
      </x:c>
      <x:c r="D888" s="86" t="str">
        <x:f>IF($P888="","",INDEX(Tasks!$D$10:$D$1941,$P888))</x:f>
        <x:v>Auto</x:v>
      </x:c>
      <x:c r="E888" s="86"/>
      <x:c r="F888" s="86" t="str">
        <x:f>IF($P888="","",INDEX(Tasks!$E$10:$E$1941,$P888))</x:f>
        <x:v>Research &amp; Analysis</x:v>
      </x:c>
      <x:c r="G888" s="86"/>
      <x:c r="H888" s="14" t="str">
        <x:f>IF($P888="","",INDEX(Tasks!$F$10:$F$1941,$P888)&amp;CHAR(10)&amp;INDEX(Tasks!$G$10:$G$1941,$P888))</x:f>
        <x:v>RA.AU.3.1
Finalize results and supporting documentation</x:v>
      </x:c>
      <x:c r="I888" s="14"/>
      <x:c r="J888" s="14"/>
      <x:c r="K888" s="14"/>
      <x:c r="L888" s="86" t="str">
        <x:f>IF($P888="","",INDEX(Tasks!$N$10:$N$1941,$P888))</x:f>
        <x:v>Not started</x:v>
      </x:c>
      <x:c r="M888" s="87" t="n">
        <x:f>IF($P888="","",INDEX(Tasks!$J$10:$J$1941,$P888))</x:f>
        <x:v>46387</x:v>
      </x:c>
      <x:c r="N888" s="85" t="str">
        <x:f>IF($P888="","",HYPERLINK("#'"&amp;INDEX(Tasks!$T$10:$T$1941,$P888)&amp;"'!A"&amp;INDEX(Tasks!$U$10:$U$1941,$P888),"Open"))</x:f>
        <x:v>Open</x:v>
      </x:c>
      <x:c r="O888" s="14"/>
      <x:c r="P888" s="14" t="n">
        <x:f>IF(867&gt;$B$10,"",MATCH(867,Tasks!$S$10:$S$1941,0))</x:f>
        <x:v>1231</x:v>
      </x:c>
    </x:row>
    <x:row r="889" ht="58" customHeight="1">
      <x:c r="B889" s="86" t="str">
        <x:f>IF($P889="","",INDEX(Tasks!$B$10:$B$1941,$P889))</x:f>
        <x:v>Cycle 4</x:v>
      </x:c>
      <x:c r="C889" s="86" t="str">
        <x:f>IF($P889="","",INDEX(Tasks!$C$10:$C$1941,$P889))</x:f>
        <x:v>Phase 3</x:v>
      </x:c>
      <x:c r="D889" s="86" t="str">
        <x:f>IF($P889="","",INDEX(Tasks!$D$10:$D$1941,$P889))</x:f>
        <x:v>Auto</x:v>
      </x:c>
      <x:c r="E889" s="86"/>
      <x:c r="F889" s="86" t="str">
        <x:f>IF($P889="","",INDEX(Tasks!$E$10:$E$1941,$P889))</x:f>
        <x:v>Research &amp; Analysis</x:v>
      </x:c>
      <x:c r="G889" s="86"/>
      <x:c r="H889" s="14" t="str">
        <x:f>IF($P889="","",INDEX(Tasks!$F$10:$F$1941,$P889)&amp;CHAR(10)&amp;INDEX(Tasks!$G$10:$G$1941,$P889))</x:f>
        <x:v>RA.AU.3.2
Maintain and update the evidence package prior to handoff to D&amp;I</x:v>
      </x:c>
      <x:c r="I889" s="14"/>
      <x:c r="J889" s="14"/>
      <x:c r="K889" s="14"/>
      <x:c r="L889" s="86" t="str">
        <x:f>IF($P889="","",INDEX(Tasks!$N$10:$N$1941,$P889))</x:f>
        <x:v>Not started</x:v>
      </x:c>
      <x:c r="M889" s="87" t="n">
        <x:f>IF($P889="","",INDEX(Tasks!$J$10:$J$1941,$P889))</x:f>
        <x:v>46387</x:v>
      </x:c>
      <x:c r="N889" s="85" t="str">
        <x:f>IF($P889="","",HYPERLINK("#'"&amp;INDEX(Tasks!$T$10:$T$1941,$P889)&amp;"'!A"&amp;INDEX(Tasks!$U$10:$U$1941,$P889),"Open"))</x:f>
        <x:v>Open</x:v>
      </x:c>
      <x:c r="O889" s="14"/>
      <x:c r="P889" s="14" t="n">
        <x:f>IF(868&gt;$B$10,"",MATCH(868,Tasks!$S$10:$S$1941,0))</x:f>
        <x:v>1232</x:v>
      </x:c>
    </x:row>
    <x:row r="890" ht="58" customHeight="1">
      <x:c r="B890" s="86" t="str">
        <x:f>IF($P890="","",INDEX(Tasks!$B$10:$B$1941,$P890))</x:f>
        <x:v>Cycle 4</x:v>
      </x:c>
      <x:c r="C890" s="86" t="str">
        <x:f>IF($P890="","",INDEX(Tasks!$C$10:$C$1941,$P890))</x:f>
        <x:v>Phase 3</x:v>
      </x:c>
      <x:c r="D890" s="86" t="str">
        <x:f>IF($P890="","",INDEX(Tasks!$D$10:$D$1941,$P890))</x:f>
        <x:v>Auto</x:v>
      </x:c>
      <x:c r="E890" s="86"/>
      <x:c r="F890" s="86" t="str">
        <x:f>IF($P890="","",INDEX(Tasks!$E$10:$E$1941,$P890))</x:f>
        <x:v>Research &amp; Analysis</x:v>
      </x:c>
      <x:c r="G890" s="86"/>
      <x:c r="H890" s="14" t="str">
        <x:f>IF($P890="","",INDEX(Tasks!$F$10:$F$1941,$P890)&amp;CHAR(10)&amp;INDEX(Tasks!$G$10:$G$1941,$P890))</x:f>
        <x:v>RA.AU.3.3
Address any outstanding questions or requests from D&amp;I</x:v>
      </x:c>
      <x:c r="I890" s="14"/>
      <x:c r="J890" s="14"/>
      <x:c r="K890" s="14"/>
      <x:c r="L890" s="86" t="str">
        <x:f>IF($P890="","",INDEX(Tasks!$N$10:$N$1941,$P890))</x:f>
        <x:v>Not started</x:v>
      </x:c>
      <x:c r="M890" s="87" t="n">
        <x:f>IF($P890="","",INDEX(Tasks!$J$10:$J$1941,$P890))</x:f>
        <x:v>46387</x:v>
      </x:c>
      <x:c r="N890" s="85" t="str">
        <x:f>IF($P890="","",HYPERLINK("#'"&amp;INDEX(Tasks!$T$10:$T$1941,$P890)&amp;"'!A"&amp;INDEX(Tasks!$U$10:$U$1941,$P890),"Open"))</x:f>
        <x:v>Open</x:v>
      </x:c>
      <x:c r="O890" s="14"/>
      <x:c r="P890" s="14" t="n">
        <x:f>IF(869&gt;$B$10,"",MATCH(869,Tasks!$S$10:$S$1941,0))</x:f>
        <x:v>1233</x:v>
      </x:c>
    </x:row>
    <x:row r="891" ht="58" customHeight="1">
      <x:c r="B891" s="86" t="str">
        <x:f>IF($P891="","",INDEX(Tasks!$B$10:$B$1941,$P891))</x:f>
        <x:v>Cycle 4</x:v>
      </x:c>
      <x:c r="C891" s="86" t="str">
        <x:f>IF($P891="","",INDEX(Tasks!$C$10:$C$1941,$P891))</x:f>
        <x:v>Phase 3</x:v>
      </x:c>
      <x:c r="D891" s="86" t="str">
        <x:f>IF($P891="","",INDEX(Tasks!$D$10:$D$1941,$P891))</x:f>
        <x:v>Auto</x:v>
      </x:c>
      <x:c r="E891" s="86"/>
      <x:c r="F891" s="86" t="str">
        <x:f>IF($P891="","",INDEX(Tasks!$E$10:$E$1941,$P891))</x:f>
        <x:v>Research &amp; Analysis</x:v>
      </x:c>
      <x:c r="G891" s="86"/>
      <x:c r="H891" s="14" t="str">
        <x:f>IF($P891="","",INDEX(Tasks!$F$10:$F$1941,$P891)&amp;CHAR(10)&amp;INDEX(Tasks!$G$10:$G$1941,$P891))</x:f>
        <x:v>RA.AU.3.4
Attend Forum meeting with D&amp;I to assist with answering stakeholder questions (as needed)</x:v>
      </x:c>
      <x:c r="I891" s="14"/>
      <x:c r="J891" s="14"/>
      <x:c r="K891" s="14"/>
      <x:c r="L891" s="86" t="str">
        <x:f>IF($P891="","",INDEX(Tasks!$N$10:$N$1941,$P891))</x:f>
        <x:v>Not started</x:v>
      </x:c>
      <x:c r="M891" s="87" t="str">
        <x:f>IF($P891="","",INDEX(Tasks!$J$10:$J$1941,$P891))</x:f>
      </x:c>
      <x:c r="N891" s="85" t="str">
        <x:f>IF($P891="","",HYPERLINK("#'"&amp;INDEX(Tasks!$T$10:$T$1941,$P891)&amp;"'!A"&amp;INDEX(Tasks!$U$10:$U$1941,$P891),"Open"))</x:f>
        <x:v>Open</x:v>
      </x:c>
      <x:c r="O891" s="14"/>
      <x:c r="P891" s="14" t="n">
        <x:f>IF(870&gt;$B$10,"",MATCH(870,Tasks!$S$10:$S$1941,0))</x:f>
        <x:v>1234</x:v>
      </x:c>
    </x:row>
    <x:row r="892" ht="58" customHeight="1">
      <x:c r="B892" s="86" t="str">
        <x:f>IF($P892="","",INDEX(Tasks!$B$10:$B$1941,$P892))</x:f>
        <x:v>Cycle 4</x:v>
      </x:c>
      <x:c r="C892" s="86" t="str">
        <x:f>IF($P892="","",INDEX(Tasks!$C$10:$C$1941,$P892))</x:f>
        <x:v>Phase 1</x:v>
      </x:c>
      <x:c r="D892" s="86" t="str">
        <x:f>IF($P892="","",INDEX(Tasks!$D$10:$D$1941,$P892))</x:f>
        <x:v>Cards</x:v>
      </x:c>
      <x:c r="E892" s="86"/>
      <x:c r="F892" s="86" t="str">
        <x:f>IF($P892="","",INDEX(Tasks!$E$10:$E$1941,$P892))</x:f>
        <x:v>Research &amp; Analysis</x:v>
      </x:c>
      <x:c r="G892" s="86"/>
      <x:c r="H892" s="14" t="str">
        <x:f>IF($P892="","",INDEX(Tasks!$F$10:$F$1941,$P892)&amp;CHAR(10)&amp;INDEX(Tasks!$G$10:$G$1941,$P892))</x:f>
        <x:v>RA.CA.1.1
Begin Research process 2 weeks prior to Cycle start</x:v>
      </x:c>
      <x:c r="I892" s="14"/>
      <x:c r="J892" s="14"/>
      <x:c r="K892" s="14"/>
      <x:c r="L892" s="86" t="str">
        <x:f>IF($P892="","",INDEX(Tasks!$N$10:$N$1941,$P892))</x:f>
        <x:v>Not started</x:v>
      </x:c>
      <x:c r="M892" s="87" t="n">
        <x:f>IF($P892="","",INDEX(Tasks!$J$10:$J$1941,$P892))</x:f>
        <x:v>46282</x:v>
      </x:c>
      <x:c r="N892" s="85" t="str">
        <x:f>IF($P892="","",HYPERLINK("#'"&amp;INDEX(Tasks!$T$10:$T$1941,$P892)&amp;"'!A"&amp;INDEX(Tasks!$U$10:$U$1941,$P892),"Open"))</x:f>
        <x:v>Open</x:v>
      </x:c>
      <x:c r="O892" s="14"/>
      <x:c r="P892" s="14" t="n">
        <x:f>IF(871&gt;$B$10,"",MATCH(871,Tasks!$S$10:$S$1941,0))</x:f>
        <x:v>1235</x:v>
      </x:c>
    </x:row>
    <x:row r="893" ht="58" customHeight="1">
      <x:c r="B893" s="86" t="str">
        <x:f>IF($P893="","",INDEX(Tasks!$B$10:$B$1941,$P893))</x:f>
        <x:v>Cycle 4</x:v>
      </x:c>
      <x:c r="C893" s="86" t="str">
        <x:f>IF($P893="","",INDEX(Tasks!$C$10:$C$1941,$P893))</x:f>
        <x:v>Phase 1</x:v>
      </x:c>
      <x:c r="D893" s="86" t="str">
        <x:f>IF($P893="","",INDEX(Tasks!$D$10:$D$1941,$P893))</x:f>
        <x:v>Cards</x:v>
      </x:c>
      <x:c r="E893" s="86"/>
      <x:c r="F893" s="86" t="str">
        <x:f>IF($P893="","",INDEX(Tasks!$E$10:$E$1941,$P893))</x:f>
        <x:v>Research &amp; Analysis</x:v>
      </x:c>
      <x:c r="G893" s="86"/>
      <x:c r="H893" s="14" t="str">
        <x:f>IF($P893="","",INDEX(Tasks!$F$10:$F$1941,$P893)&amp;CHAR(10)&amp;INDEX(Tasks!$G$10:$G$1941,$P893))</x:f>
        <x:v>RA.CA.1.2
Conduct initial assessment of each topic recommendation from SharePoint list</x:v>
      </x:c>
      <x:c r="I893" s="14"/>
      <x:c r="J893" s="14"/>
      <x:c r="K893" s="14"/>
      <x:c r="L893" s="86" t="str">
        <x:f>IF($P893="","",INDEX(Tasks!$N$10:$N$1941,$P893))</x:f>
        <x:v>Not started</x:v>
      </x:c>
      <x:c r="M893" s="87" t="n">
        <x:f>IF($P893="","",INDEX(Tasks!$J$10:$J$1941,$P893))</x:f>
        <x:v>46387</x:v>
      </x:c>
      <x:c r="N893" s="85" t="str">
        <x:f>IF($P893="","",HYPERLINK("#'"&amp;INDEX(Tasks!$T$10:$T$1941,$P893)&amp;"'!A"&amp;INDEX(Tasks!$U$10:$U$1941,$P893),"Open"))</x:f>
        <x:v>Open</x:v>
      </x:c>
      <x:c r="O893" s="14"/>
      <x:c r="P893" s="14" t="n">
        <x:f>IF(872&gt;$B$10,"",MATCH(872,Tasks!$S$10:$S$1941,0))</x:f>
        <x:v>1236</x:v>
      </x:c>
    </x:row>
    <x:row r="894" ht="58" customHeight="1">
      <x:c r="B894" s="86" t="str">
        <x:f>IF($P894="","",INDEX(Tasks!$B$10:$B$1941,$P894))</x:f>
        <x:v>Cycle 4</x:v>
      </x:c>
      <x:c r="C894" s="86" t="str">
        <x:f>IF($P894="","",INDEX(Tasks!$C$10:$C$1941,$P894))</x:f>
        <x:v>Phase 1</x:v>
      </x:c>
      <x:c r="D894" s="86" t="str">
        <x:f>IF($P894="","",INDEX(Tasks!$D$10:$D$1941,$P894))</x:f>
        <x:v>Cards</x:v>
      </x:c>
      <x:c r="E894" s="86"/>
      <x:c r="F894" s="86" t="str">
        <x:f>IF($P894="","",INDEX(Tasks!$E$10:$E$1941,$P894))</x:f>
        <x:v>Research &amp; Analysis</x:v>
      </x:c>
      <x:c r="G894" s="86"/>
      <x:c r="H894" s="14" t="str">
        <x:f>IF($P894="","",INDEX(Tasks!$F$10:$F$1941,$P894)&amp;CHAR(10)&amp;INDEX(Tasks!$G$10:$G$1941,$P894))</x:f>
        <x:v>RA.CA.1.3
Identify best topic for Cycle</x:v>
      </x:c>
      <x:c r="I894" s="14"/>
      <x:c r="J894" s="14"/>
      <x:c r="K894" s="14"/>
      <x:c r="L894" s="86" t="str">
        <x:f>IF($P894="","",INDEX(Tasks!$N$10:$N$1941,$P894))</x:f>
        <x:v>Not started</x:v>
      </x:c>
      <x:c r="M894" s="87" t="n">
        <x:f>IF($P894="","",INDEX(Tasks!$J$10:$J$1941,$P894))</x:f>
        <x:v>46387</x:v>
      </x:c>
      <x:c r="N894" s="85" t="str">
        <x:f>IF($P894="","",HYPERLINK("#'"&amp;INDEX(Tasks!$T$10:$T$1941,$P894)&amp;"'!A"&amp;INDEX(Tasks!$U$10:$U$1941,$P894),"Open"))</x:f>
        <x:v>Open</x:v>
      </x:c>
      <x:c r="O894" s="14"/>
      <x:c r="P894" s="14" t="n">
        <x:f>IF(873&gt;$B$10,"",MATCH(873,Tasks!$S$10:$S$1941,0))</x:f>
        <x:v>1237</x:v>
      </x:c>
    </x:row>
    <x:row r="895" ht="58" customHeight="1">
      <x:c r="B895" s="86" t="str">
        <x:f>IF($P895="","",INDEX(Tasks!$B$10:$B$1941,$P895))</x:f>
        <x:v>Cycle 4</x:v>
      </x:c>
      <x:c r="C895" s="86" t="str">
        <x:f>IF($P895="","",INDEX(Tasks!$C$10:$C$1941,$P895))</x:f>
        <x:v>Phase 1</x:v>
      </x:c>
      <x:c r="D895" s="86" t="str">
        <x:f>IF($P895="","",INDEX(Tasks!$D$10:$D$1941,$P895))</x:f>
        <x:v>Cards</x:v>
      </x:c>
      <x:c r="E895" s="86"/>
      <x:c r="F895" s="86" t="str">
        <x:f>IF($P895="","",INDEX(Tasks!$E$10:$E$1941,$P895))</x:f>
        <x:v>Research &amp; Analysis</x:v>
      </x:c>
      <x:c r="G895" s="86"/>
      <x:c r="H895" s="14" t="str">
        <x:f>IF($P895="","",INDEX(Tasks!$F$10:$F$1941,$P895)&amp;CHAR(10)&amp;INDEX(Tasks!$G$10:$G$1941,$P895))</x:f>
        <x:v>RA.CA.1.4
Identify backup topic for Cycle</x:v>
      </x:c>
      <x:c r="I895" s="14"/>
      <x:c r="J895" s="14"/>
      <x:c r="K895" s="14"/>
      <x:c r="L895" s="86" t="str">
        <x:f>IF($P895="","",INDEX(Tasks!$N$10:$N$1941,$P895))</x:f>
        <x:v>Not started</x:v>
      </x:c>
      <x:c r="M895" s="87" t="n">
        <x:f>IF($P895="","",INDEX(Tasks!$J$10:$J$1941,$P895))</x:f>
        <x:v>46387</x:v>
      </x:c>
      <x:c r="N895" s="85" t="str">
        <x:f>IF($P895="","",HYPERLINK("#'"&amp;INDEX(Tasks!$T$10:$T$1941,$P895)&amp;"'!A"&amp;INDEX(Tasks!$U$10:$U$1941,$P895),"Open"))</x:f>
        <x:v>Open</x:v>
      </x:c>
      <x:c r="O895" s="14"/>
      <x:c r="P895" s="14" t="n">
        <x:f>IF(874&gt;$B$10,"",MATCH(874,Tasks!$S$10:$S$1941,0))</x:f>
        <x:v>1238</x:v>
      </x:c>
    </x:row>
    <x:row r="896" ht="58" customHeight="1">
      <x:c r="B896" s="86" t="str">
        <x:f>IF($P896="","",INDEX(Tasks!$B$10:$B$1941,$P896))</x:f>
        <x:v>Cycle 4</x:v>
      </x:c>
      <x:c r="C896" s="86" t="str">
        <x:f>IF($P896="","",INDEX(Tasks!$C$10:$C$1941,$P896))</x:f>
        <x:v>Phase 1</x:v>
      </x:c>
      <x:c r="D896" s="86" t="str">
        <x:f>IF($P896="","",INDEX(Tasks!$D$10:$D$1941,$P896))</x:f>
        <x:v>Cards</x:v>
      </x:c>
      <x:c r="E896" s="86"/>
      <x:c r="F896" s="86" t="str">
        <x:f>IF($P896="","",INDEX(Tasks!$E$10:$E$1941,$P896))</x:f>
        <x:v>Research &amp; Analysis</x:v>
      </x:c>
      <x:c r="G896" s="86"/>
      <x:c r="H896" s="14" t="str">
        <x:f>IF($P896="","",INDEX(Tasks!$F$10:$F$1941,$P896)&amp;CHAR(10)&amp;INDEX(Tasks!$G$10:$G$1941,$P896))</x:f>
        <x:v>RA.CA.1.5
Schedule topic approval meeting with D&amp;I and management</x:v>
      </x:c>
      <x:c r="I896" s="14"/>
      <x:c r="J896" s="14"/>
      <x:c r="K896" s="14"/>
      <x:c r="L896" s="86" t="str">
        <x:f>IF($P896="","",INDEX(Tasks!$N$10:$N$1941,$P896))</x:f>
        <x:v>Not started</x:v>
      </x:c>
      <x:c r="M896" s="87" t="n">
        <x:f>IF($P896="","",INDEX(Tasks!$J$10:$J$1941,$P896))</x:f>
        <x:v>46387</x:v>
      </x:c>
      <x:c r="N896" s="85" t="str">
        <x:f>IF($P896="","",HYPERLINK("#'"&amp;INDEX(Tasks!$T$10:$T$1941,$P896)&amp;"'!A"&amp;INDEX(Tasks!$U$10:$U$1941,$P896),"Open"))</x:f>
        <x:v>Open</x:v>
      </x:c>
      <x:c r="O896" s="14"/>
      <x:c r="P896" s="14" t="n">
        <x:f>IF(875&gt;$B$10,"",MATCH(875,Tasks!$S$10:$S$1941,0))</x:f>
        <x:v>1239</x:v>
      </x:c>
    </x:row>
    <x:row r="897" ht="58" customHeight="1">
      <x:c r="B897" s="86" t="str">
        <x:f>IF($P897="","",INDEX(Tasks!$B$10:$B$1941,$P897))</x:f>
        <x:v>Cycle 4</x:v>
      </x:c>
      <x:c r="C897" s="86" t="str">
        <x:f>IF($P897="","",INDEX(Tasks!$C$10:$C$1941,$P897))</x:f>
        <x:v>Phase 1</x:v>
      </x:c>
      <x:c r="D897" s="86" t="str">
        <x:f>IF($P897="","",INDEX(Tasks!$D$10:$D$1941,$P897))</x:f>
        <x:v>Cards</x:v>
      </x:c>
      <x:c r="E897" s="86"/>
      <x:c r="F897" s="86" t="str">
        <x:f>IF($P897="","",INDEX(Tasks!$E$10:$E$1941,$P897))</x:f>
        <x:v>Research &amp; Analysis</x:v>
      </x:c>
      <x:c r="G897" s="86"/>
      <x:c r="H897" s="14" t="str">
        <x:f>IF($P897="","",INDEX(Tasks!$F$10:$F$1941,$P897)&amp;CHAR(10)&amp;INDEX(Tasks!$G$10:$G$1941,$P897))</x:f>
        <x:v>RA.CA.1.6
Present recommended topic to D&amp;I and management for approval</x:v>
      </x:c>
      <x:c r="I897" s="14"/>
      <x:c r="J897" s="14"/>
      <x:c r="K897" s="14"/>
      <x:c r="L897" s="86" t="str">
        <x:f>IF($P897="","",INDEX(Tasks!$N$10:$N$1941,$P897))</x:f>
        <x:v>Not started</x:v>
      </x:c>
      <x:c r="M897" s="87" t="n">
        <x:f>IF($P897="","",INDEX(Tasks!$J$10:$J$1941,$P897))</x:f>
        <x:v>46387</x:v>
      </x:c>
      <x:c r="N897" s="85" t="str">
        <x:f>IF($P897="","",HYPERLINK("#'"&amp;INDEX(Tasks!$T$10:$T$1941,$P897)&amp;"'!A"&amp;INDEX(Tasks!$U$10:$U$1941,$P897),"Open"))</x:f>
        <x:v>Open</x:v>
      </x:c>
      <x:c r="O897" s="14"/>
      <x:c r="P897" s="14" t="n">
        <x:f>IF(876&gt;$B$10,"",MATCH(876,Tasks!$S$10:$S$1941,0))</x:f>
        <x:v>1240</x:v>
      </x:c>
    </x:row>
    <x:row r="898" ht="58" customHeight="1">
      <x:c r="B898" s="86" t="str">
        <x:f>IF($P898="","",INDEX(Tasks!$B$10:$B$1941,$P898))</x:f>
        <x:v>Cycle 4</x:v>
      </x:c>
      <x:c r="C898" s="86" t="str">
        <x:f>IF($P898="","",INDEX(Tasks!$C$10:$C$1941,$P898))</x:f>
        <x:v>Phase 1</x:v>
      </x:c>
      <x:c r="D898" s="86" t="str">
        <x:f>IF($P898="","",INDEX(Tasks!$D$10:$D$1941,$P898))</x:f>
        <x:v>Cards</x:v>
      </x:c>
      <x:c r="E898" s="86"/>
      <x:c r="F898" s="86" t="str">
        <x:f>IF($P898="","",INDEX(Tasks!$E$10:$E$1941,$P898))</x:f>
        <x:v>Research &amp; Analysis</x:v>
      </x:c>
      <x:c r="G898" s="86"/>
      <x:c r="H898" s="14" t="str">
        <x:f>IF($P898="","",INDEX(Tasks!$F$10:$F$1941,$P898)&amp;CHAR(10)&amp;INDEX(Tasks!$G$10:$G$1941,$P898))</x:f>
        <x:v>RA.CA.1.7
Obtain formal topic selection approval from management via SharePoint</x:v>
      </x:c>
      <x:c r="I898" s="14"/>
      <x:c r="J898" s="14"/>
      <x:c r="K898" s="14"/>
      <x:c r="L898" s="86" t="str">
        <x:f>IF($P898="","",INDEX(Tasks!$N$10:$N$1941,$P898))</x:f>
        <x:v>Not started</x:v>
      </x:c>
      <x:c r="M898" s="87" t="n">
        <x:f>IF($P898="","",INDEX(Tasks!$J$10:$J$1941,$P898))</x:f>
        <x:v>46387</x:v>
      </x:c>
      <x:c r="N898" s="85" t="str">
        <x:f>IF($P898="","",HYPERLINK("#'"&amp;INDEX(Tasks!$T$10:$T$1941,$P898)&amp;"'!A"&amp;INDEX(Tasks!$U$10:$U$1941,$P898),"Open"))</x:f>
        <x:v>Open</x:v>
      </x:c>
      <x:c r="O898" s="14"/>
      <x:c r="P898" s="14" t="n">
        <x:f>IF(877&gt;$B$10,"",MATCH(877,Tasks!$S$10:$S$1941,0))</x:f>
        <x:v>1241</x:v>
      </x:c>
    </x:row>
    <x:row r="899" ht="58" customHeight="1">
      <x:c r="B899" s="86" t="str">
        <x:f>IF($P899="","",INDEX(Tasks!$B$10:$B$1941,$P899))</x:f>
        <x:v>Cycle 4</x:v>
      </x:c>
      <x:c r="C899" s="86" t="str">
        <x:f>IF($P899="","",INDEX(Tasks!$C$10:$C$1941,$P899))</x:f>
        <x:v>Phase 1</x:v>
      </x:c>
      <x:c r="D899" s="86" t="str">
        <x:f>IF($P899="","",INDEX(Tasks!$D$10:$D$1941,$P899))</x:f>
        <x:v>Cards</x:v>
      </x:c>
      <x:c r="E899" s="86"/>
      <x:c r="F899" s="86" t="str">
        <x:f>IF($P899="","",INDEX(Tasks!$E$10:$E$1941,$P899))</x:f>
        <x:v>Research &amp; Analysis</x:v>
      </x:c>
      <x:c r="G899" s="86"/>
      <x:c r="H899" s="14" t="str">
        <x:f>IF($P899="","",INDEX(Tasks!$F$10:$F$1941,$P899)&amp;CHAR(10)&amp;INDEX(Tasks!$G$10:$G$1941,$P899))</x:f>
        <x:v>RA.CA.1.8
Socialize topic selection with product owners and subject matter experts (if known)</x:v>
      </x:c>
      <x:c r="I899" s="14"/>
      <x:c r="J899" s="14"/>
      <x:c r="K899" s="14"/>
      <x:c r="L899" s="86" t="str">
        <x:f>IF($P899="","",INDEX(Tasks!$N$10:$N$1941,$P899))</x:f>
        <x:v>Not started</x:v>
      </x:c>
      <x:c r="M899" s="87" t="n">
        <x:f>IF($P899="","",INDEX(Tasks!$J$10:$J$1941,$P899))</x:f>
        <x:v>46387</x:v>
      </x:c>
      <x:c r="N899" s="85" t="str">
        <x:f>IF($P899="","",HYPERLINK("#'"&amp;INDEX(Tasks!$T$10:$T$1941,$P899)&amp;"'!A"&amp;INDEX(Tasks!$U$10:$U$1941,$P899),"Open"))</x:f>
        <x:v>Open</x:v>
      </x:c>
      <x:c r="O899" s="14"/>
      <x:c r="P899" s="14" t="n">
        <x:f>IF(878&gt;$B$10,"",MATCH(878,Tasks!$S$10:$S$1941,0))</x:f>
        <x:v>1242</x:v>
      </x:c>
    </x:row>
    <x:row r="900" ht="58" customHeight="1">
      <x:c r="B900" s="86" t="str">
        <x:f>IF($P900="","",INDEX(Tasks!$B$10:$B$1941,$P900))</x:f>
        <x:v>Cycle 4</x:v>
      </x:c>
      <x:c r="C900" s="86" t="str">
        <x:f>IF($P900="","",INDEX(Tasks!$C$10:$C$1941,$P900))</x:f>
        <x:v>Phase 1</x:v>
      </x:c>
      <x:c r="D900" s="86" t="str">
        <x:f>IF($P900="","",INDEX(Tasks!$D$10:$D$1941,$P900))</x:f>
        <x:v>Cards</x:v>
      </x:c>
      <x:c r="E900" s="86"/>
      <x:c r="F900" s="86" t="str">
        <x:f>IF($P900="","",INDEX(Tasks!$E$10:$E$1941,$P900))</x:f>
        <x:v>Research &amp; Analysis</x:v>
      </x:c>
      <x:c r="G900" s="86"/>
      <x:c r="H900" s="14" t="str">
        <x:f>IF($P900="","",INDEX(Tasks!$F$10:$F$1941,$P900)&amp;CHAR(10)&amp;INDEX(Tasks!$G$10:$G$1941,$P900))</x:f>
        <x:v>RA.CA.1.9
Assign topic researchers</x:v>
      </x:c>
      <x:c r="I900" s="14"/>
      <x:c r="J900" s="14"/>
      <x:c r="K900" s="14"/>
      <x:c r="L900" s="86" t="str">
        <x:f>IF($P900="","",INDEX(Tasks!$N$10:$N$1941,$P900))</x:f>
        <x:v>Not started</x:v>
      </x:c>
      <x:c r="M900" s="87" t="n">
        <x:f>IF($P900="","",INDEX(Tasks!$J$10:$J$1941,$P900))</x:f>
        <x:v>46387</x:v>
      </x:c>
      <x:c r="N900" s="85" t="str">
        <x:f>IF($P900="","",HYPERLINK("#'"&amp;INDEX(Tasks!$T$10:$T$1941,$P900)&amp;"'!A"&amp;INDEX(Tasks!$U$10:$U$1941,$P900),"Open"))</x:f>
        <x:v>Open</x:v>
      </x:c>
      <x:c r="O900" s="14"/>
      <x:c r="P900" s="14" t="n">
        <x:f>IF(879&gt;$B$10,"",MATCH(879,Tasks!$S$10:$S$1941,0))</x:f>
        <x:v>1243</x:v>
      </x:c>
    </x:row>
    <x:row r="901" ht="58" customHeight="1">
      <x:c r="B901" s="86" t="str">
        <x:f>IF($P901="","",INDEX(Tasks!$B$10:$B$1941,$P901))</x:f>
        <x:v>Cycle 4</x:v>
      </x:c>
      <x:c r="C901" s="86" t="str">
        <x:f>IF($P901="","",INDEX(Tasks!$C$10:$C$1941,$P901))</x:f>
        <x:v>Phase 2</x:v>
      </x:c>
      <x:c r="D901" s="86" t="str">
        <x:f>IF($P901="","",INDEX(Tasks!$D$10:$D$1941,$P901))</x:f>
        <x:v>Cards</x:v>
      </x:c>
      <x:c r="E901" s="86"/>
      <x:c r="F901" s="86" t="str">
        <x:f>IF($P901="","",INDEX(Tasks!$E$10:$E$1941,$P901))</x:f>
        <x:v>Research &amp; Analysis</x:v>
      </x:c>
      <x:c r="G901" s="86"/>
      <x:c r="H901" s="14" t="str">
        <x:f>IF($P901="","",INDEX(Tasks!$F$10:$F$1941,$P901)&amp;CHAR(10)&amp;INDEX(Tasks!$G$10:$G$1941,$P901))</x:f>
        <x:v>RA.CA.2.1
Review data sources</x:v>
      </x:c>
      <x:c r="I901" s="14"/>
      <x:c r="J901" s="14"/>
      <x:c r="K901" s="14"/>
      <x:c r="L901" s="86" t="str">
        <x:f>IF($P901="","",INDEX(Tasks!$N$10:$N$1941,$P901))</x:f>
        <x:v>Not started</x:v>
      </x:c>
      <x:c r="M901" s="87" t="n">
        <x:f>IF($P901="","",INDEX(Tasks!$J$10:$J$1941,$P901))</x:f>
        <x:v>46387</x:v>
      </x:c>
      <x:c r="N901" s="85" t="str">
        <x:f>IF($P901="","",HYPERLINK("#'"&amp;INDEX(Tasks!$T$10:$T$1941,$P901)&amp;"'!A"&amp;INDEX(Tasks!$U$10:$U$1941,$P901),"Open"))</x:f>
        <x:v>Open</x:v>
      </x:c>
      <x:c r="O901" s="14"/>
      <x:c r="P901" s="14" t="n">
        <x:f>IF(880&gt;$B$10,"",MATCH(880,Tasks!$S$10:$S$1941,0))</x:f>
        <x:v>1244</x:v>
      </x:c>
    </x:row>
    <x:row r="902" ht="58" customHeight="1">
      <x:c r="B902" s="86" t="str">
        <x:f>IF($P902="","",INDEX(Tasks!$B$10:$B$1941,$P902))</x:f>
        <x:v>Cycle 4</x:v>
      </x:c>
      <x:c r="C902" s="86" t="str">
        <x:f>IF($P902="","",INDEX(Tasks!$C$10:$C$1941,$P902))</x:f>
        <x:v>Phase 2</x:v>
      </x:c>
      <x:c r="D902" s="86" t="str">
        <x:f>IF($P902="","",INDEX(Tasks!$D$10:$D$1941,$P902))</x:f>
        <x:v>Cards</x:v>
      </x:c>
      <x:c r="E902" s="86"/>
      <x:c r="F902" s="86" t="str">
        <x:f>IF($P902="","",INDEX(Tasks!$E$10:$E$1941,$P902))</x:f>
        <x:v>Research &amp; Analysis</x:v>
      </x:c>
      <x:c r="G902" s="86"/>
      <x:c r="H902" s="14" t="str">
        <x:f>IF($P902="","",INDEX(Tasks!$F$10:$F$1941,$P902)&amp;CHAR(10)&amp;INDEX(Tasks!$G$10:$G$1941,$P902))</x:f>
        <x:v>RA.CA.2.2
Review relevant policies and procedures</x:v>
      </x:c>
      <x:c r="I902" s="14"/>
      <x:c r="J902" s="14"/>
      <x:c r="K902" s="14"/>
      <x:c r="L902" s="86" t="str">
        <x:f>IF($P902="","",INDEX(Tasks!$N$10:$N$1941,$P902))</x:f>
        <x:v>Not started</x:v>
      </x:c>
      <x:c r="M902" s="87" t="n">
        <x:f>IF($P902="","",INDEX(Tasks!$J$10:$J$1941,$P902))</x:f>
        <x:v>46387</x:v>
      </x:c>
      <x:c r="N902" s="85" t="str">
        <x:f>IF($P902="","",HYPERLINK("#'"&amp;INDEX(Tasks!$T$10:$T$1941,$P902)&amp;"'!A"&amp;INDEX(Tasks!$U$10:$U$1941,$P902),"Open"))</x:f>
        <x:v>Open</x:v>
      </x:c>
      <x:c r="O902" s="14"/>
      <x:c r="P902" s="14" t="n">
        <x:f>IF(881&gt;$B$10,"",MATCH(881,Tasks!$S$10:$S$1941,0))</x:f>
        <x:v>1245</x:v>
      </x:c>
    </x:row>
    <x:row r="903" ht="58" customHeight="1">
      <x:c r="B903" s="86" t="str">
        <x:f>IF($P903="","",INDEX(Tasks!$B$10:$B$1941,$P903))</x:f>
        <x:v>Cycle 4</x:v>
      </x:c>
      <x:c r="C903" s="86" t="str">
        <x:f>IF($P903="","",INDEX(Tasks!$C$10:$C$1941,$P903))</x:f>
        <x:v>Phase 2</x:v>
      </x:c>
      <x:c r="D903" s="86" t="str">
        <x:f>IF($P903="","",INDEX(Tasks!$D$10:$D$1941,$P903))</x:f>
        <x:v>Cards</x:v>
      </x:c>
      <x:c r="E903" s="86"/>
      <x:c r="F903" s="86" t="str">
        <x:f>IF($P903="","",INDEX(Tasks!$E$10:$E$1941,$P903))</x:f>
        <x:v>Research &amp; Analysis</x:v>
      </x:c>
      <x:c r="G903" s="86"/>
      <x:c r="H903" s="14" t="str">
        <x:f>IF($P903="","",INDEX(Tasks!$F$10:$F$1941,$P903)&amp;CHAR(10)&amp;INDEX(Tasks!$G$10:$G$1941,$P903))</x:f>
        <x:v>RA.CA.2.3
Meet with SMEs to gain business insight and clarify questions</x:v>
      </x:c>
      <x:c r="I903" s="14"/>
      <x:c r="J903" s="14"/>
      <x:c r="K903" s="14"/>
      <x:c r="L903" s="86" t="str">
        <x:f>IF($P903="","",INDEX(Tasks!$N$10:$N$1941,$P903))</x:f>
        <x:v>Not started</x:v>
      </x:c>
      <x:c r="M903" s="87" t="n">
        <x:f>IF($P903="","",INDEX(Tasks!$J$10:$J$1941,$P903))</x:f>
        <x:v>46387</x:v>
      </x:c>
      <x:c r="N903" s="85" t="str">
        <x:f>IF($P903="","",HYPERLINK("#'"&amp;INDEX(Tasks!$T$10:$T$1941,$P903)&amp;"'!A"&amp;INDEX(Tasks!$U$10:$U$1941,$P903),"Open"))</x:f>
        <x:v>Open</x:v>
      </x:c>
      <x:c r="O903" s="14"/>
      <x:c r="P903" s="14" t="n">
        <x:f>IF(882&gt;$B$10,"",MATCH(882,Tasks!$S$10:$S$1941,0))</x:f>
        <x:v>1246</x:v>
      </x:c>
    </x:row>
    <x:row r="904" ht="58" customHeight="1">
      <x:c r="B904" s="86" t="str">
        <x:f>IF($P904="","",INDEX(Tasks!$B$10:$B$1941,$P904))</x:f>
        <x:v>Cycle 4</x:v>
      </x:c>
      <x:c r="C904" s="86" t="str">
        <x:f>IF($P904="","",INDEX(Tasks!$C$10:$C$1941,$P904))</x:f>
        <x:v>Phase 2</x:v>
      </x:c>
      <x:c r="D904" s="86" t="str">
        <x:f>IF($P904="","",INDEX(Tasks!$D$10:$D$1941,$P904))</x:f>
        <x:v>Cards</x:v>
      </x:c>
      <x:c r="E904" s="86"/>
      <x:c r="F904" s="86" t="str">
        <x:f>IF($P904="","",INDEX(Tasks!$E$10:$E$1941,$P904))</x:f>
        <x:v>Research &amp; Analysis</x:v>
      </x:c>
      <x:c r="G904" s="86"/>
      <x:c r="H904" s="14" t="str">
        <x:f>IF($P904="","",INDEX(Tasks!$F$10:$F$1941,$P904)&amp;CHAR(10)&amp;INDEX(Tasks!$G$10:$G$1941,$P904))</x:f>
        <x:v>RA.CA.2.4
Establish and maintain a recurring meeting with D&amp;I to discuss Cycle progress</x:v>
      </x:c>
      <x:c r="I904" s="14"/>
      <x:c r="J904" s="14"/>
      <x:c r="K904" s="14"/>
      <x:c r="L904" s="86" t="str">
        <x:f>IF($P904="","",INDEX(Tasks!$N$10:$N$1941,$P904))</x:f>
        <x:v>Not started</x:v>
      </x:c>
      <x:c r="M904" s="87" t="n">
        <x:f>IF($P904="","",INDEX(Tasks!$J$10:$J$1941,$P904))</x:f>
        <x:v>46387</x:v>
      </x:c>
      <x:c r="N904" s="85" t="str">
        <x:f>IF($P904="","",HYPERLINK("#'"&amp;INDEX(Tasks!$T$10:$T$1941,$P904)&amp;"'!A"&amp;INDEX(Tasks!$U$10:$U$1941,$P904),"Open"))</x:f>
        <x:v>Open</x:v>
      </x:c>
      <x:c r="O904" s="14"/>
      <x:c r="P904" s="14" t="n">
        <x:f>IF(883&gt;$B$10,"",MATCH(883,Tasks!$S$10:$S$1941,0))</x:f>
        <x:v>1247</x:v>
      </x:c>
    </x:row>
    <x:row r="905" ht="58" customHeight="1">
      <x:c r="B905" s="86" t="str">
        <x:f>IF($P905="","",INDEX(Tasks!$B$10:$B$1941,$P905))</x:f>
        <x:v>Cycle 4</x:v>
      </x:c>
      <x:c r="C905" s="86" t="str">
        <x:f>IF($P905="","",INDEX(Tasks!$C$10:$C$1941,$P905))</x:f>
        <x:v>Phase 2</x:v>
      </x:c>
      <x:c r="D905" s="86" t="str">
        <x:f>IF($P905="","",INDEX(Tasks!$D$10:$D$1941,$P905))</x:f>
        <x:v>Cards</x:v>
      </x:c>
      <x:c r="E905" s="86"/>
      <x:c r="F905" s="86" t="str">
        <x:f>IF($P905="","",INDEX(Tasks!$E$10:$E$1941,$P905))</x:f>
        <x:v>Research &amp; Analysis</x:v>
      </x:c>
      <x:c r="G905" s="86"/>
      <x:c r="H905" s="14" t="str">
        <x:f>IF($P905="","",INDEX(Tasks!$F$10:$F$1941,$P905)&amp;CHAR(10)&amp;INDEX(Tasks!$G$10:$G$1941,$P905))</x:f>
        <x:v>RA.CA.2.5
Perform data testing and sampling</x:v>
      </x:c>
      <x:c r="I905" s="14"/>
      <x:c r="J905" s="14"/>
      <x:c r="K905" s="14"/>
      <x:c r="L905" s="86" t="str">
        <x:f>IF($P905="","",INDEX(Tasks!$N$10:$N$1941,$P905))</x:f>
        <x:v>Not started</x:v>
      </x:c>
      <x:c r="M905" s="87" t="n">
        <x:f>IF($P905="","",INDEX(Tasks!$J$10:$J$1941,$P905))</x:f>
        <x:v>46387</x:v>
      </x:c>
      <x:c r="N905" s="85" t="str">
        <x:f>IF($P905="","",HYPERLINK("#'"&amp;INDEX(Tasks!$T$10:$T$1941,$P905)&amp;"'!A"&amp;INDEX(Tasks!$U$10:$U$1941,$P905),"Open"))</x:f>
        <x:v>Open</x:v>
      </x:c>
      <x:c r="O905" s="14"/>
      <x:c r="P905" s="14" t="n">
        <x:f>IF(884&gt;$B$10,"",MATCH(884,Tasks!$S$10:$S$1941,0))</x:f>
        <x:v>1248</x:v>
      </x:c>
    </x:row>
    <x:row r="906" ht="58" customHeight="1">
      <x:c r="B906" s="86" t="str">
        <x:f>IF($P906="","",INDEX(Tasks!$B$10:$B$1941,$P906))</x:f>
        <x:v>Cycle 4</x:v>
      </x:c>
      <x:c r="C906" s="86" t="str">
        <x:f>IF($P906="","",INDEX(Tasks!$C$10:$C$1941,$P906))</x:f>
        <x:v>Phase 2</x:v>
      </x:c>
      <x:c r="D906" s="86" t="str">
        <x:f>IF($P906="","",INDEX(Tasks!$D$10:$D$1941,$P906))</x:f>
        <x:v>Cards</x:v>
      </x:c>
      <x:c r="E906" s="86"/>
      <x:c r="F906" s="86" t="str">
        <x:f>IF($P906="","",INDEX(Tasks!$E$10:$E$1941,$P906))</x:f>
        <x:v>Research &amp; Analysis</x:v>
      </x:c>
      <x:c r="G906" s="86"/>
      <x:c r="H906" s="14" t="str">
        <x:f>IF($P906="","",INDEX(Tasks!$F$10:$F$1941,$P906)&amp;CHAR(10)&amp;INDEX(Tasks!$G$10:$G$1941,$P906))</x:f>
        <x:v>RA.CA.2.6
Complete Positive Testing</x:v>
      </x:c>
      <x:c r="I906" s="14"/>
      <x:c r="J906" s="14"/>
      <x:c r="K906" s="14"/>
      <x:c r="L906" s="86" t="str">
        <x:f>IF($P906="","",INDEX(Tasks!$N$10:$N$1941,$P906))</x:f>
        <x:v>Not started</x:v>
      </x:c>
      <x:c r="M906" s="87" t="n">
        <x:f>IF($P906="","",INDEX(Tasks!$J$10:$J$1941,$P906))</x:f>
        <x:v>46387</x:v>
      </x:c>
      <x:c r="N906" s="85" t="str">
        <x:f>IF($P906="","",HYPERLINK("#'"&amp;INDEX(Tasks!$T$10:$T$1941,$P906)&amp;"'!A"&amp;INDEX(Tasks!$U$10:$U$1941,$P906),"Open"))</x:f>
        <x:v>Open</x:v>
      </x:c>
      <x:c r="O906" s="14"/>
      <x:c r="P906" s="14" t="n">
        <x:f>IF(885&gt;$B$10,"",MATCH(885,Tasks!$S$10:$S$1941,0))</x:f>
        <x:v>1249</x:v>
      </x:c>
    </x:row>
    <x:row r="907" ht="58" customHeight="1">
      <x:c r="B907" s="86" t="str">
        <x:f>IF($P907="","",INDEX(Tasks!$B$10:$B$1941,$P907))</x:f>
        <x:v>Cycle 4</x:v>
      </x:c>
      <x:c r="C907" s="86" t="str">
        <x:f>IF($P907="","",INDEX(Tasks!$C$10:$C$1941,$P907))</x:f>
        <x:v>Phase 2</x:v>
      </x:c>
      <x:c r="D907" s="86" t="str">
        <x:f>IF($P907="","",INDEX(Tasks!$D$10:$D$1941,$P907))</x:f>
        <x:v>Cards</x:v>
      </x:c>
      <x:c r="E907" s="86"/>
      <x:c r="F907" s="86" t="str">
        <x:f>IF($P907="","",INDEX(Tasks!$E$10:$E$1941,$P907))</x:f>
        <x:v>Research &amp; Analysis</x:v>
      </x:c>
      <x:c r="G907" s="86"/>
      <x:c r="H907" s="14" t="str">
        <x:f>IF($P907="","",INDEX(Tasks!$F$10:$F$1941,$P907)&amp;CHAR(10)&amp;INDEX(Tasks!$G$10:$G$1941,$P907))</x:f>
        <x:v>RA.CA.2.7
Complete Negative Testing</x:v>
      </x:c>
      <x:c r="I907" s="14"/>
      <x:c r="J907" s="14"/>
      <x:c r="K907" s="14"/>
      <x:c r="L907" s="86" t="str">
        <x:f>IF($P907="","",INDEX(Tasks!$N$10:$N$1941,$P907))</x:f>
        <x:v>Not started</x:v>
      </x:c>
      <x:c r="M907" s="87" t="n">
        <x:f>IF($P907="","",INDEX(Tasks!$J$10:$J$1941,$P907))</x:f>
        <x:v>46387</x:v>
      </x:c>
      <x:c r="N907" s="85" t="str">
        <x:f>IF($P907="","",HYPERLINK("#'"&amp;INDEX(Tasks!$T$10:$T$1941,$P907)&amp;"'!A"&amp;INDEX(Tasks!$U$10:$U$1941,$P907),"Open"))</x:f>
        <x:v>Open</x:v>
      </x:c>
      <x:c r="O907" s="14"/>
      <x:c r="P907" s="14" t="n">
        <x:f>IF(886&gt;$B$10,"",MATCH(886,Tasks!$S$10:$S$1941,0))</x:f>
        <x:v>1250</x:v>
      </x:c>
    </x:row>
    <x:row r="908" ht="58" customHeight="1">
      <x:c r="B908" s="86" t="str">
        <x:f>IF($P908="","",INDEX(Tasks!$B$10:$B$1941,$P908))</x:f>
        <x:v>Cycle 4</x:v>
      </x:c>
      <x:c r="C908" s="86" t="str">
        <x:f>IF($P908="","",INDEX(Tasks!$C$10:$C$1941,$P908))</x:f>
        <x:v>Phase 2</x:v>
      </x:c>
      <x:c r="D908" s="86" t="str">
        <x:f>IF($P908="","",INDEX(Tasks!$D$10:$D$1941,$P908))</x:f>
        <x:v>Cards</x:v>
      </x:c>
      <x:c r="E908" s="86"/>
      <x:c r="F908" s="86" t="str">
        <x:f>IF($P908="","",INDEX(Tasks!$E$10:$E$1941,$P908))</x:f>
        <x:v>Research &amp; Analysis</x:v>
      </x:c>
      <x:c r="G908" s="86"/>
      <x:c r="H908" s="14" t="str">
        <x:f>IF($P908="","",INDEX(Tasks!$F$10:$F$1941,$P908)&amp;CHAR(10)&amp;INDEX(Tasks!$G$10:$G$1941,$P908))</x:f>
        <x:v>RA.CA.2.8
Request additional data (as needed)</x:v>
      </x:c>
      <x:c r="I908" s="14"/>
      <x:c r="J908" s="14"/>
      <x:c r="K908" s="14"/>
      <x:c r="L908" s="86" t="str">
        <x:f>IF($P908="","",INDEX(Tasks!$N$10:$N$1941,$P908))</x:f>
        <x:v>Not started</x:v>
      </x:c>
      <x:c r="M908" s="87" t="n">
        <x:f>IF($P908="","",INDEX(Tasks!$J$10:$J$1941,$P908))</x:f>
        <x:v>46387</x:v>
      </x:c>
      <x:c r="N908" s="85" t="str">
        <x:f>IF($P908="","",HYPERLINK("#'"&amp;INDEX(Tasks!$T$10:$T$1941,$P908)&amp;"'!A"&amp;INDEX(Tasks!$U$10:$U$1941,$P908),"Open"))</x:f>
        <x:v>Open</x:v>
      </x:c>
      <x:c r="O908" s="14"/>
      <x:c r="P908" s="14" t="n">
        <x:f>IF(887&gt;$B$10,"",MATCH(887,Tasks!$S$10:$S$1941,0))</x:f>
        <x:v>1251</x:v>
      </x:c>
    </x:row>
    <x:row r="909" ht="58" customHeight="1">
      <x:c r="B909" s="86" t="str">
        <x:f>IF($P909="","",INDEX(Tasks!$B$10:$B$1941,$P909))</x:f>
        <x:v>Cycle 4</x:v>
      </x:c>
      <x:c r="C909" s="86" t="str">
        <x:f>IF($P909="","",INDEX(Tasks!$C$10:$C$1941,$P909))</x:f>
        <x:v>Phase 2</x:v>
      </x:c>
      <x:c r="D909" s="86" t="str">
        <x:f>IF($P909="","",INDEX(Tasks!$D$10:$D$1941,$P909))</x:f>
        <x:v>Cards</x:v>
      </x:c>
      <x:c r="E909" s="86"/>
      <x:c r="F909" s="86" t="str">
        <x:f>IF($P909="","",INDEX(Tasks!$E$10:$E$1941,$P909))</x:f>
        <x:v>Research &amp; Analysis</x:v>
      </x:c>
      <x:c r="G909" s="86"/>
      <x:c r="H909" s="14" t="str">
        <x:f>IF($P909="","",INDEX(Tasks!$F$10:$F$1941,$P909)&amp;CHAR(10)&amp;INDEX(Tasks!$G$10:$G$1941,$P909))</x:f>
        <x:v>RA.CA.2.9
Validate or disprove initial hypothesis assumptions</x:v>
      </x:c>
      <x:c r="I909" s="14"/>
      <x:c r="J909" s="14"/>
      <x:c r="K909" s="14"/>
      <x:c r="L909" s="86" t="str">
        <x:f>IF($P909="","",INDEX(Tasks!$N$10:$N$1941,$P909))</x:f>
        <x:v>Not started</x:v>
      </x:c>
      <x:c r="M909" s="87" t="n">
        <x:f>IF($P909="","",INDEX(Tasks!$J$10:$J$1941,$P909))</x:f>
        <x:v>46387</x:v>
      </x:c>
      <x:c r="N909" s="85" t="str">
        <x:f>IF($P909="","",HYPERLINK("#'"&amp;INDEX(Tasks!$T$10:$T$1941,$P909)&amp;"'!A"&amp;INDEX(Tasks!$U$10:$U$1941,$P909),"Open"))</x:f>
        <x:v>Open</x:v>
      </x:c>
      <x:c r="O909" s="14"/>
      <x:c r="P909" s="14" t="n">
        <x:f>IF(888&gt;$B$10,"",MATCH(888,Tasks!$S$10:$S$1941,0))</x:f>
        <x:v>1252</x:v>
      </x:c>
    </x:row>
    <x:row r="910" ht="58" customHeight="1">
      <x:c r="B910" s="86" t="str">
        <x:f>IF($P910="","",INDEX(Tasks!$B$10:$B$1941,$P910))</x:f>
        <x:v>Cycle 4</x:v>
      </x:c>
      <x:c r="C910" s="86" t="str">
        <x:f>IF($P910="","",INDEX(Tasks!$C$10:$C$1941,$P910))</x:f>
        <x:v>Phase 2</x:v>
      </x:c>
      <x:c r="D910" s="86" t="str">
        <x:f>IF($P910="","",INDEX(Tasks!$D$10:$D$1941,$P910))</x:f>
        <x:v>Cards</x:v>
      </x:c>
      <x:c r="E910" s="86"/>
      <x:c r="F910" s="86" t="str">
        <x:f>IF($P910="","",INDEX(Tasks!$E$10:$E$1941,$P910))</x:f>
        <x:v>Research &amp; Analysis</x:v>
      </x:c>
      <x:c r="G910" s="86"/>
      <x:c r="H910" s="14" t="str">
        <x:f>IF($P910="","",INDEX(Tasks!$F$10:$F$1941,$P910)&amp;CHAR(10)&amp;INDEX(Tasks!$G$10:$G$1941,$P910))</x:f>
        <x:v>RA.CA.2.10
Identify and confirm root cause</x:v>
      </x:c>
      <x:c r="I910" s="14"/>
      <x:c r="J910" s="14"/>
      <x:c r="K910" s="14"/>
      <x:c r="L910" s="86" t="str">
        <x:f>IF($P910="","",INDEX(Tasks!$N$10:$N$1941,$P910))</x:f>
        <x:v>Not started</x:v>
      </x:c>
      <x:c r="M910" s="87" t="n">
        <x:f>IF($P910="","",INDEX(Tasks!$J$10:$J$1941,$P910))</x:f>
        <x:v>46387</x:v>
      </x:c>
      <x:c r="N910" s="85" t="str">
        <x:f>IF($P910="","",HYPERLINK("#'"&amp;INDEX(Tasks!$T$10:$T$1941,$P910)&amp;"'!A"&amp;INDEX(Tasks!$U$10:$U$1941,$P910),"Open"))</x:f>
        <x:v>Open</x:v>
      </x:c>
      <x:c r="O910" s="14"/>
      <x:c r="P910" s="14" t="n">
        <x:f>IF(889&gt;$B$10,"",MATCH(889,Tasks!$S$10:$S$1941,0))</x:f>
        <x:v>1253</x:v>
      </x:c>
    </x:row>
    <x:row r="911" ht="58" customHeight="1">
      <x:c r="B911" s="86" t="str">
        <x:f>IF($P911="","",INDEX(Tasks!$B$10:$B$1941,$P911))</x:f>
        <x:v>Cycle 4</x:v>
      </x:c>
      <x:c r="C911" s="86" t="str">
        <x:f>IF($P911="","",INDEX(Tasks!$C$10:$C$1941,$P911))</x:f>
        <x:v>Phase 3</x:v>
      </x:c>
      <x:c r="D911" s="86" t="str">
        <x:f>IF($P911="","",INDEX(Tasks!$D$10:$D$1941,$P911))</x:f>
        <x:v>Cards</x:v>
      </x:c>
      <x:c r="E911" s="86"/>
      <x:c r="F911" s="86" t="str">
        <x:f>IF($P911="","",INDEX(Tasks!$E$10:$E$1941,$P911))</x:f>
        <x:v>Research &amp; Analysis</x:v>
      </x:c>
      <x:c r="G911" s="86"/>
      <x:c r="H911" s="14" t="str">
        <x:f>IF($P911="","",INDEX(Tasks!$F$10:$F$1941,$P911)&amp;CHAR(10)&amp;INDEX(Tasks!$G$10:$G$1941,$P911))</x:f>
        <x:v>RA.CA.3.1
Finalize results and supporting documentation</x:v>
      </x:c>
      <x:c r="I911" s="14"/>
      <x:c r="J911" s="14"/>
      <x:c r="K911" s="14"/>
      <x:c r="L911" s="86" t="str">
        <x:f>IF($P911="","",INDEX(Tasks!$N$10:$N$1941,$P911))</x:f>
        <x:v>Not started</x:v>
      </x:c>
      <x:c r="M911" s="87" t="n">
        <x:f>IF($P911="","",INDEX(Tasks!$J$10:$J$1941,$P911))</x:f>
        <x:v>46387</x:v>
      </x:c>
      <x:c r="N911" s="85" t="str">
        <x:f>IF($P911="","",HYPERLINK("#'"&amp;INDEX(Tasks!$T$10:$T$1941,$P911)&amp;"'!A"&amp;INDEX(Tasks!$U$10:$U$1941,$P911),"Open"))</x:f>
        <x:v>Open</x:v>
      </x:c>
      <x:c r="O911" s="14"/>
      <x:c r="P911" s="14" t="n">
        <x:f>IF(890&gt;$B$10,"",MATCH(890,Tasks!$S$10:$S$1941,0))</x:f>
        <x:v>1254</x:v>
      </x:c>
    </x:row>
    <x:row r="912" ht="58" customHeight="1">
      <x:c r="B912" s="86" t="str">
        <x:f>IF($P912="","",INDEX(Tasks!$B$10:$B$1941,$P912))</x:f>
        <x:v>Cycle 4</x:v>
      </x:c>
      <x:c r="C912" s="86" t="str">
        <x:f>IF($P912="","",INDEX(Tasks!$C$10:$C$1941,$P912))</x:f>
        <x:v>Phase 3</x:v>
      </x:c>
      <x:c r="D912" s="86" t="str">
        <x:f>IF($P912="","",INDEX(Tasks!$D$10:$D$1941,$P912))</x:f>
        <x:v>Cards</x:v>
      </x:c>
      <x:c r="E912" s="86"/>
      <x:c r="F912" s="86" t="str">
        <x:f>IF($P912="","",INDEX(Tasks!$E$10:$E$1941,$P912))</x:f>
        <x:v>Research &amp; Analysis</x:v>
      </x:c>
      <x:c r="G912" s="86"/>
      <x:c r="H912" s="14" t="str">
        <x:f>IF($P912="","",INDEX(Tasks!$F$10:$F$1941,$P912)&amp;CHAR(10)&amp;INDEX(Tasks!$G$10:$G$1941,$P912))</x:f>
        <x:v>RA.CA.3.2
Maintain and update the evidence package prior to handoff to D&amp;I</x:v>
      </x:c>
      <x:c r="I912" s="14"/>
      <x:c r="J912" s="14"/>
      <x:c r="K912" s="14"/>
      <x:c r="L912" s="86" t="str">
        <x:f>IF($P912="","",INDEX(Tasks!$N$10:$N$1941,$P912))</x:f>
        <x:v>Not started</x:v>
      </x:c>
      <x:c r="M912" s="87" t="n">
        <x:f>IF($P912="","",INDEX(Tasks!$J$10:$J$1941,$P912))</x:f>
        <x:v>46387</x:v>
      </x:c>
      <x:c r="N912" s="85" t="str">
        <x:f>IF($P912="","",HYPERLINK("#'"&amp;INDEX(Tasks!$T$10:$T$1941,$P912)&amp;"'!A"&amp;INDEX(Tasks!$U$10:$U$1941,$P912),"Open"))</x:f>
        <x:v>Open</x:v>
      </x:c>
      <x:c r="O912" s="14"/>
      <x:c r="P912" s="14" t="n">
        <x:f>IF(891&gt;$B$10,"",MATCH(891,Tasks!$S$10:$S$1941,0))</x:f>
        <x:v>1255</x:v>
      </x:c>
    </x:row>
    <x:row r="913" ht="58" customHeight="1">
      <x:c r="B913" s="86" t="str">
        <x:f>IF($P913="","",INDEX(Tasks!$B$10:$B$1941,$P913))</x:f>
        <x:v>Cycle 4</x:v>
      </x:c>
      <x:c r="C913" s="86" t="str">
        <x:f>IF($P913="","",INDEX(Tasks!$C$10:$C$1941,$P913))</x:f>
        <x:v>Phase 3</x:v>
      </x:c>
      <x:c r="D913" s="86" t="str">
        <x:f>IF($P913="","",INDEX(Tasks!$D$10:$D$1941,$P913))</x:f>
        <x:v>Cards</x:v>
      </x:c>
      <x:c r="E913" s="86"/>
      <x:c r="F913" s="86" t="str">
        <x:f>IF($P913="","",INDEX(Tasks!$E$10:$E$1941,$P913))</x:f>
        <x:v>Research &amp; Analysis</x:v>
      </x:c>
      <x:c r="G913" s="86"/>
      <x:c r="H913" s="14" t="str">
        <x:f>IF($P913="","",INDEX(Tasks!$F$10:$F$1941,$P913)&amp;CHAR(10)&amp;INDEX(Tasks!$G$10:$G$1941,$P913))</x:f>
        <x:v>RA.CA.3.3
Address any outstanding questions or requests from D&amp;I</x:v>
      </x:c>
      <x:c r="I913" s="14"/>
      <x:c r="J913" s="14"/>
      <x:c r="K913" s="14"/>
      <x:c r="L913" s="86" t="str">
        <x:f>IF($P913="","",INDEX(Tasks!$N$10:$N$1941,$P913))</x:f>
        <x:v>Not started</x:v>
      </x:c>
      <x:c r="M913" s="87" t="n">
        <x:f>IF($P913="","",INDEX(Tasks!$J$10:$J$1941,$P913))</x:f>
        <x:v>46387</x:v>
      </x:c>
      <x:c r="N913" s="85" t="str">
        <x:f>IF($P913="","",HYPERLINK("#'"&amp;INDEX(Tasks!$T$10:$T$1941,$P913)&amp;"'!A"&amp;INDEX(Tasks!$U$10:$U$1941,$P913),"Open"))</x:f>
        <x:v>Open</x:v>
      </x:c>
      <x:c r="O913" s="14"/>
      <x:c r="P913" s="14" t="n">
        <x:f>IF(892&gt;$B$10,"",MATCH(892,Tasks!$S$10:$S$1941,0))</x:f>
        <x:v>1256</x:v>
      </x:c>
    </x:row>
    <x:row r="914" ht="58" customHeight="1">
      <x:c r="B914" s="86" t="str">
        <x:f>IF($P914="","",INDEX(Tasks!$B$10:$B$1941,$P914))</x:f>
        <x:v>Cycle 4</x:v>
      </x:c>
      <x:c r="C914" s="86" t="str">
        <x:f>IF($P914="","",INDEX(Tasks!$C$10:$C$1941,$P914))</x:f>
        <x:v>Phase 3</x:v>
      </x:c>
      <x:c r="D914" s="86" t="str">
        <x:f>IF($P914="","",INDEX(Tasks!$D$10:$D$1941,$P914))</x:f>
        <x:v>Cards</x:v>
      </x:c>
      <x:c r="E914" s="86"/>
      <x:c r="F914" s="86" t="str">
        <x:f>IF($P914="","",INDEX(Tasks!$E$10:$E$1941,$P914))</x:f>
        <x:v>Research &amp; Analysis</x:v>
      </x:c>
      <x:c r="G914" s="86"/>
      <x:c r="H914" s="14" t="str">
        <x:f>IF($P914="","",INDEX(Tasks!$F$10:$F$1941,$P914)&amp;CHAR(10)&amp;INDEX(Tasks!$G$10:$G$1941,$P914))</x:f>
        <x:v>RA.CA.3.4
Attend Forum meeting with D&amp;I to assist with answering stakeholder questions (as needed)</x:v>
      </x:c>
      <x:c r="I914" s="14"/>
      <x:c r="J914" s="14"/>
      <x:c r="K914" s="14"/>
      <x:c r="L914" s="86" t="str">
        <x:f>IF($P914="","",INDEX(Tasks!$N$10:$N$1941,$P914))</x:f>
        <x:v>Not started</x:v>
      </x:c>
      <x:c r="M914" s="87" t="str">
        <x:f>IF($P914="","",INDEX(Tasks!$J$10:$J$1941,$P914))</x:f>
      </x:c>
      <x:c r="N914" s="85" t="str">
        <x:f>IF($P914="","",HYPERLINK("#'"&amp;INDEX(Tasks!$T$10:$T$1941,$P914)&amp;"'!A"&amp;INDEX(Tasks!$U$10:$U$1941,$P914),"Open"))</x:f>
        <x:v>Open</x:v>
      </x:c>
      <x:c r="O914" s="14"/>
      <x:c r="P914" s="14" t="n">
        <x:f>IF(893&gt;$B$10,"",MATCH(893,Tasks!$S$10:$S$1941,0))</x:f>
        <x:v>1257</x:v>
      </x:c>
    </x:row>
    <x:row r="915" ht="58" customHeight="1">
      <x:c r="B915" s="86" t="str">
        <x:f>IF($P915="","",INDEX(Tasks!$B$10:$B$1941,$P915))</x:f>
        <x:v>Cycle 4</x:v>
      </x:c>
      <x:c r="C915" s="86" t="str">
        <x:f>IF($P915="","",INDEX(Tasks!$C$10:$C$1941,$P915))</x:f>
        <x:v>Phase 1</x:v>
      </x:c>
      <x:c r="D915" s="86" t="str">
        <x:f>IF($P915="","",INDEX(Tasks!$D$10:$D$1941,$P915))</x:f>
        <x:v>CSBBO - Banking Ops</x:v>
      </x:c>
      <x:c r="E915" s="86"/>
      <x:c r="F915" s="86" t="str">
        <x:f>IF($P915="","",INDEX(Tasks!$E$10:$E$1941,$P915))</x:f>
        <x:v>Research &amp; Analysis</x:v>
      </x:c>
      <x:c r="G915" s="86"/>
      <x:c r="H915" s="14" t="str">
        <x:f>IF($P915="","",INDEX(Tasks!$F$10:$F$1941,$P915)&amp;CHAR(10)&amp;INDEX(Tasks!$G$10:$G$1941,$P915))</x:f>
        <x:v>RA.BO.1.1
Begin Research process 2 weeks prior to Cycle start</x:v>
      </x:c>
      <x:c r="I915" s="14"/>
      <x:c r="J915" s="14"/>
      <x:c r="K915" s="14"/>
      <x:c r="L915" s="86" t="str">
        <x:f>IF($P915="","",INDEX(Tasks!$N$10:$N$1941,$P915))</x:f>
        <x:v>Not started</x:v>
      </x:c>
      <x:c r="M915" s="87" t="n">
        <x:f>IF($P915="","",INDEX(Tasks!$J$10:$J$1941,$P915))</x:f>
        <x:v>46282</x:v>
      </x:c>
      <x:c r="N915" s="85" t="str">
        <x:f>IF($P915="","",HYPERLINK("#'"&amp;INDEX(Tasks!$T$10:$T$1941,$P915)&amp;"'!A"&amp;INDEX(Tasks!$U$10:$U$1941,$P915),"Open"))</x:f>
        <x:v>Open</x:v>
      </x:c>
      <x:c r="O915" s="14"/>
      <x:c r="P915" s="14" t="n">
        <x:f>IF(894&gt;$B$10,"",MATCH(894,Tasks!$S$10:$S$1941,0))</x:f>
        <x:v>1258</x:v>
      </x:c>
    </x:row>
    <x:row r="916" ht="58" customHeight="1">
      <x:c r="B916" s="86" t="str">
        <x:f>IF($P916="","",INDEX(Tasks!$B$10:$B$1941,$P916))</x:f>
        <x:v>Cycle 4</x:v>
      </x:c>
      <x:c r="C916" s="86" t="str">
        <x:f>IF($P916="","",INDEX(Tasks!$C$10:$C$1941,$P916))</x:f>
        <x:v>Phase 1</x:v>
      </x:c>
      <x:c r="D916" s="86" t="str">
        <x:f>IF($P916="","",INDEX(Tasks!$D$10:$D$1941,$P916))</x:f>
        <x:v>CSBBO - Banking Ops</x:v>
      </x:c>
      <x:c r="E916" s="86"/>
      <x:c r="F916" s="86" t="str">
        <x:f>IF($P916="","",INDEX(Tasks!$E$10:$E$1941,$P916))</x:f>
        <x:v>Research &amp; Analysis</x:v>
      </x:c>
      <x:c r="G916" s="86"/>
      <x:c r="H916" s="14" t="str">
        <x:f>IF($P916="","",INDEX(Tasks!$F$10:$F$1941,$P916)&amp;CHAR(10)&amp;INDEX(Tasks!$G$10:$G$1941,$P916))</x:f>
        <x:v>RA.BO.1.2
Conduct initial assessment of each topic recommendation from SharePoint list</x:v>
      </x:c>
      <x:c r="I916" s="14"/>
      <x:c r="J916" s="14"/>
      <x:c r="K916" s="14"/>
      <x:c r="L916" s="86" t="str">
        <x:f>IF($P916="","",INDEX(Tasks!$N$10:$N$1941,$P916))</x:f>
        <x:v>Not started</x:v>
      </x:c>
      <x:c r="M916" s="87" t="n">
        <x:f>IF($P916="","",INDEX(Tasks!$J$10:$J$1941,$P916))</x:f>
        <x:v>46387</x:v>
      </x:c>
      <x:c r="N916" s="85" t="str">
        <x:f>IF($P916="","",HYPERLINK("#'"&amp;INDEX(Tasks!$T$10:$T$1941,$P916)&amp;"'!A"&amp;INDEX(Tasks!$U$10:$U$1941,$P916),"Open"))</x:f>
        <x:v>Open</x:v>
      </x:c>
      <x:c r="O916" s="14"/>
      <x:c r="P916" s="14" t="n">
        <x:f>IF(895&gt;$B$10,"",MATCH(895,Tasks!$S$10:$S$1941,0))</x:f>
        <x:v>1259</x:v>
      </x:c>
    </x:row>
    <x:row r="917" ht="58" customHeight="1">
      <x:c r="B917" s="86" t="str">
        <x:f>IF($P917="","",INDEX(Tasks!$B$10:$B$1941,$P917))</x:f>
        <x:v>Cycle 4</x:v>
      </x:c>
      <x:c r="C917" s="86" t="str">
        <x:f>IF($P917="","",INDEX(Tasks!$C$10:$C$1941,$P917))</x:f>
        <x:v>Phase 1</x:v>
      </x:c>
      <x:c r="D917" s="86" t="str">
        <x:f>IF($P917="","",INDEX(Tasks!$D$10:$D$1941,$P917))</x:f>
        <x:v>CSBBO - Banking Ops</x:v>
      </x:c>
      <x:c r="E917" s="86"/>
      <x:c r="F917" s="86" t="str">
        <x:f>IF($P917="","",INDEX(Tasks!$E$10:$E$1941,$P917))</x:f>
        <x:v>Research &amp; Analysis</x:v>
      </x:c>
      <x:c r="G917" s="86"/>
      <x:c r="H917" s="14" t="str">
        <x:f>IF($P917="","",INDEX(Tasks!$F$10:$F$1941,$P917)&amp;CHAR(10)&amp;INDEX(Tasks!$G$10:$G$1941,$P917))</x:f>
        <x:v>RA.BO.1.3
Identify best topic for Cycle</x:v>
      </x:c>
      <x:c r="I917" s="14"/>
      <x:c r="J917" s="14"/>
      <x:c r="K917" s="14"/>
      <x:c r="L917" s="86" t="str">
        <x:f>IF($P917="","",INDEX(Tasks!$N$10:$N$1941,$P917))</x:f>
        <x:v>Not started</x:v>
      </x:c>
      <x:c r="M917" s="87" t="n">
        <x:f>IF($P917="","",INDEX(Tasks!$J$10:$J$1941,$P917))</x:f>
        <x:v>46387</x:v>
      </x:c>
      <x:c r="N917" s="85" t="str">
        <x:f>IF($P917="","",HYPERLINK("#'"&amp;INDEX(Tasks!$T$10:$T$1941,$P917)&amp;"'!A"&amp;INDEX(Tasks!$U$10:$U$1941,$P917),"Open"))</x:f>
        <x:v>Open</x:v>
      </x:c>
      <x:c r="O917" s="14"/>
      <x:c r="P917" s="14" t="n">
        <x:f>IF(896&gt;$B$10,"",MATCH(896,Tasks!$S$10:$S$1941,0))</x:f>
        <x:v>1260</x:v>
      </x:c>
    </x:row>
    <x:row r="918" ht="58" customHeight="1">
      <x:c r="B918" s="86" t="str">
        <x:f>IF($P918="","",INDEX(Tasks!$B$10:$B$1941,$P918))</x:f>
        <x:v>Cycle 4</x:v>
      </x:c>
      <x:c r="C918" s="86" t="str">
        <x:f>IF($P918="","",INDEX(Tasks!$C$10:$C$1941,$P918))</x:f>
        <x:v>Phase 1</x:v>
      </x:c>
      <x:c r="D918" s="86" t="str">
        <x:f>IF($P918="","",INDEX(Tasks!$D$10:$D$1941,$P918))</x:f>
        <x:v>CSBBO - Banking Ops</x:v>
      </x:c>
      <x:c r="E918" s="86"/>
      <x:c r="F918" s="86" t="str">
        <x:f>IF($P918="","",INDEX(Tasks!$E$10:$E$1941,$P918))</x:f>
        <x:v>Research &amp; Analysis</x:v>
      </x:c>
      <x:c r="G918" s="86"/>
      <x:c r="H918" s="14" t="str">
        <x:f>IF($P918="","",INDEX(Tasks!$F$10:$F$1941,$P918)&amp;CHAR(10)&amp;INDEX(Tasks!$G$10:$G$1941,$P918))</x:f>
        <x:v>RA.BO.1.4
Identify backup topic for Cycle</x:v>
      </x:c>
      <x:c r="I918" s="14"/>
      <x:c r="J918" s="14"/>
      <x:c r="K918" s="14"/>
      <x:c r="L918" s="86" t="str">
        <x:f>IF($P918="","",INDEX(Tasks!$N$10:$N$1941,$P918))</x:f>
        <x:v>Not started</x:v>
      </x:c>
      <x:c r="M918" s="87" t="n">
        <x:f>IF($P918="","",INDEX(Tasks!$J$10:$J$1941,$P918))</x:f>
        <x:v>46387</x:v>
      </x:c>
      <x:c r="N918" s="85" t="str">
        <x:f>IF($P918="","",HYPERLINK("#'"&amp;INDEX(Tasks!$T$10:$T$1941,$P918)&amp;"'!A"&amp;INDEX(Tasks!$U$10:$U$1941,$P918),"Open"))</x:f>
        <x:v>Open</x:v>
      </x:c>
      <x:c r="O918" s="14"/>
      <x:c r="P918" s="14" t="n">
        <x:f>IF(897&gt;$B$10,"",MATCH(897,Tasks!$S$10:$S$1941,0))</x:f>
        <x:v>1261</x:v>
      </x:c>
    </x:row>
    <x:row r="919" ht="58" customHeight="1">
      <x:c r="B919" s="86" t="str">
        <x:f>IF($P919="","",INDEX(Tasks!$B$10:$B$1941,$P919))</x:f>
        <x:v>Cycle 4</x:v>
      </x:c>
      <x:c r="C919" s="86" t="str">
        <x:f>IF($P919="","",INDEX(Tasks!$C$10:$C$1941,$P919))</x:f>
        <x:v>Phase 1</x:v>
      </x:c>
      <x:c r="D919" s="86" t="str">
        <x:f>IF($P919="","",INDEX(Tasks!$D$10:$D$1941,$P919))</x:f>
        <x:v>CSBBO - Banking Ops</x:v>
      </x:c>
      <x:c r="E919" s="86"/>
      <x:c r="F919" s="86" t="str">
        <x:f>IF($P919="","",INDEX(Tasks!$E$10:$E$1941,$P919))</x:f>
        <x:v>Research &amp; Analysis</x:v>
      </x:c>
      <x:c r="G919" s="86"/>
      <x:c r="H919" s="14" t="str">
        <x:f>IF($P919="","",INDEX(Tasks!$F$10:$F$1941,$P919)&amp;CHAR(10)&amp;INDEX(Tasks!$G$10:$G$1941,$P919))</x:f>
        <x:v>RA.BO.1.5
Schedule topic approval meeting with D&amp;I and management</x:v>
      </x:c>
      <x:c r="I919" s="14"/>
      <x:c r="J919" s="14"/>
      <x:c r="K919" s="14"/>
      <x:c r="L919" s="86" t="str">
        <x:f>IF($P919="","",INDEX(Tasks!$N$10:$N$1941,$P919))</x:f>
        <x:v>Not started</x:v>
      </x:c>
      <x:c r="M919" s="87" t="n">
        <x:f>IF($P919="","",INDEX(Tasks!$J$10:$J$1941,$P919))</x:f>
        <x:v>46387</x:v>
      </x:c>
      <x:c r="N919" s="85" t="str">
        <x:f>IF($P919="","",HYPERLINK("#'"&amp;INDEX(Tasks!$T$10:$T$1941,$P919)&amp;"'!A"&amp;INDEX(Tasks!$U$10:$U$1941,$P919),"Open"))</x:f>
        <x:v>Open</x:v>
      </x:c>
      <x:c r="O919" s="14"/>
      <x:c r="P919" s="14" t="n">
        <x:f>IF(898&gt;$B$10,"",MATCH(898,Tasks!$S$10:$S$1941,0))</x:f>
        <x:v>1262</x:v>
      </x:c>
    </x:row>
    <x:row r="920" ht="58" customHeight="1">
      <x:c r="B920" s="86" t="str">
        <x:f>IF($P920="","",INDEX(Tasks!$B$10:$B$1941,$P920))</x:f>
        <x:v>Cycle 4</x:v>
      </x:c>
      <x:c r="C920" s="86" t="str">
        <x:f>IF($P920="","",INDEX(Tasks!$C$10:$C$1941,$P920))</x:f>
        <x:v>Phase 1</x:v>
      </x:c>
      <x:c r="D920" s="86" t="str">
        <x:f>IF($P920="","",INDEX(Tasks!$D$10:$D$1941,$P920))</x:f>
        <x:v>CSBBO - Banking Ops</x:v>
      </x:c>
      <x:c r="E920" s="86"/>
      <x:c r="F920" s="86" t="str">
        <x:f>IF($P920="","",INDEX(Tasks!$E$10:$E$1941,$P920))</x:f>
        <x:v>Research &amp; Analysis</x:v>
      </x:c>
      <x:c r="G920" s="86"/>
      <x:c r="H920" s="14" t="str">
        <x:f>IF($P920="","",INDEX(Tasks!$F$10:$F$1941,$P920)&amp;CHAR(10)&amp;INDEX(Tasks!$G$10:$G$1941,$P920))</x:f>
        <x:v>RA.BO.1.6
Present recommended topic to D&amp;I and management for approval</x:v>
      </x:c>
      <x:c r="I920" s="14"/>
      <x:c r="J920" s="14"/>
      <x:c r="K920" s="14"/>
      <x:c r="L920" s="86" t="str">
        <x:f>IF($P920="","",INDEX(Tasks!$N$10:$N$1941,$P920))</x:f>
        <x:v>Not started</x:v>
      </x:c>
      <x:c r="M920" s="87" t="n">
        <x:f>IF($P920="","",INDEX(Tasks!$J$10:$J$1941,$P920))</x:f>
        <x:v>46387</x:v>
      </x:c>
      <x:c r="N920" s="85" t="str">
        <x:f>IF($P920="","",HYPERLINK("#'"&amp;INDEX(Tasks!$T$10:$T$1941,$P920)&amp;"'!A"&amp;INDEX(Tasks!$U$10:$U$1941,$P920),"Open"))</x:f>
        <x:v>Open</x:v>
      </x:c>
      <x:c r="O920" s="14"/>
      <x:c r="P920" s="14" t="n">
        <x:f>IF(899&gt;$B$10,"",MATCH(899,Tasks!$S$10:$S$1941,0))</x:f>
        <x:v>1263</x:v>
      </x:c>
    </x:row>
    <x:row r="921" ht="58" customHeight="1">
      <x:c r="B921" s="86" t="str">
        <x:f>IF($P921="","",INDEX(Tasks!$B$10:$B$1941,$P921))</x:f>
        <x:v>Cycle 4</x:v>
      </x:c>
      <x:c r="C921" s="86" t="str">
        <x:f>IF($P921="","",INDEX(Tasks!$C$10:$C$1941,$P921))</x:f>
        <x:v>Phase 1</x:v>
      </x:c>
      <x:c r="D921" s="86" t="str">
        <x:f>IF($P921="","",INDEX(Tasks!$D$10:$D$1941,$P921))</x:f>
        <x:v>CSBBO - Banking Ops</x:v>
      </x:c>
      <x:c r="E921" s="86"/>
      <x:c r="F921" s="86" t="str">
        <x:f>IF($P921="","",INDEX(Tasks!$E$10:$E$1941,$P921))</x:f>
        <x:v>Research &amp; Analysis</x:v>
      </x:c>
      <x:c r="G921" s="86"/>
      <x:c r="H921" s="14" t="str">
        <x:f>IF($P921="","",INDEX(Tasks!$F$10:$F$1941,$P921)&amp;CHAR(10)&amp;INDEX(Tasks!$G$10:$G$1941,$P921))</x:f>
        <x:v>RA.BO.1.7
Obtain formal topic selection approval from management via SharePoint</x:v>
      </x:c>
      <x:c r="I921" s="14"/>
      <x:c r="J921" s="14"/>
      <x:c r="K921" s="14"/>
      <x:c r="L921" s="86" t="str">
        <x:f>IF($P921="","",INDEX(Tasks!$N$10:$N$1941,$P921))</x:f>
        <x:v>Not started</x:v>
      </x:c>
      <x:c r="M921" s="87" t="n">
        <x:f>IF($P921="","",INDEX(Tasks!$J$10:$J$1941,$P921))</x:f>
        <x:v>46387</x:v>
      </x:c>
      <x:c r="N921" s="85" t="str">
        <x:f>IF($P921="","",HYPERLINK("#'"&amp;INDEX(Tasks!$T$10:$T$1941,$P921)&amp;"'!A"&amp;INDEX(Tasks!$U$10:$U$1941,$P921),"Open"))</x:f>
        <x:v>Open</x:v>
      </x:c>
      <x:c r="O921" s="14"/>
      <x:c r="P921" s="14" t="n">
        <x:f>IF(900&gt;$B$10,"",MATCH(900,Tasks!$S$10:$S$1941,0))</x:f>
        <x:v>1264</x:v>
      </x:c>
    </x:row>
    <x:row r="922" ht="58" customHeight="1">
      <x:c r="B922" s="86" t="str">
        <x:f>IF($P922="","",INDEX(Tasks!$B$10:$B$1941,$P922))</x:f>
        <x:v>Cycle 4</x:v>
      </x:c>
      <x:c r="C922" s="86" t="str">
        <x:f>IF($P922="","",INDEX(Tasks!$C$10:$C$1941,$P922))</x:f>
        <x:v>Phase 1</x:v>
      </x:c>
      <x:c r="D922" s="86" t="str">
        <x:f>IF($P922="","",INDEX(Tasks!$D$10:$D$1941,$P922))</x:f>
        <x:v>CSBBO - Banking Ops</x:v>
      </x:c>
      <x:c r="E922" s="86"/>
      <x:c r="F922" s="86" t="str">
        <x:f>IF($P922="","",INDEX(Tasks!$E$10:$E$1941,$P922))</x:f>
        <x:v>Research &amp; Analysis</x:v>
      </x:c>
      <x:c r="G922" s="86"/>
      <x:c r="H922" s="14" t="str">
        <x:f>IF($P922="","",INDEX(Tasks!$F$10:$F$1941,$P922)&amp;CHAR(10)&amp;INDEX(Tasks!$G$10:$G$1941,$P922))</x:f>
        <x:v>RA.BO.1.8
Socialize topic selection with product owners and subject matter experts (if known)</x:v>
      </x:c>
      <x:c r="I922" s="14"/>
      <x:c r="J922" s="14"/>
      <x:c r="K922" s="14"/>
      <x:c r="L922" s="86" t="str">
        <x:f>IF($P922="","",INDEX(Tasks!$N$10:$N$1941,$P922))</x:f>
        <x:v>Not started</x:v>
      </x:c>
      <x:c r="M922" s="87" t="n">
        <x:f>IF($P922="","",INDEX(Tasks!$J$10:$J$1941,$P922))</x:f>
        <x:v>46387</x:v>
      </x:c>
      <x:c r="N922" s="85" t="str">
        <x:f>IF($P922="","",HYPERLINK("#'"&amp;INDEX(Tasks!$T$10:$T$1941,$P922)&amp;"'!A"&amp;INDEX(Tasks!$U$10:$U$1941,$P922),"Open"))</x:f>
        <x:v>Open</x:v>
      </x:c>
      <x:c r="O922" s="14"/>
      <x:c r="P922" s="14" t="n">
        <x:f>IF(901&gt;$B$10,"",MATCH(901,Tasks!$S$10:$S$1941,0))</x:f>
        <x:v>1265</x:v>
      </x:c>
    </x:row>
    <x:row r="923" ht="58" customHeight="1">
      <x:c r="B923" s="86" t="str">
        <x:f>IF($P923="","",INDEX(Tasks!$B$10:$B$1941,$P923))</x:f>
        <x:v>Cycle 4</x:v>
      </x:c>
      <x:c r="C923" s="86" t="str">
        <x:f>IF($P923="","",INDEX(Tasks!$C$10:$C$1941,$P923))</x:f>
        <x:v>Phase 1</x:v>
      </x:c>
      <x:c r="D923" s="86" t="str">
        <x:f>IF($P923="","",INDEX(Tasks!$D$10:$D$1941,$P923))</x:f>
        <x:v>CSBBO - Banking Ops</x:v>
      </x:c>
      <x:c r="E923" s="86"/>
      <x:c r="F923" s="86" t="str">
        <x:f>IF($P923="","",INDEX(Tasks!$E$10:$E$1941,$P923))</x:f>
        <x:v>Research &amp; Analysis</x:v>
      </x:c>
      <x:c r="G923" s="86"/>
      <x:c r="H923" s="14" t="str">
        <x:f>IF($P923="","",INDEX(Tasks!$F$10:$F$1941,$P923)&amp;CHAR(10)&amp;INDEX(Tasks!$G$10:$G$1941,$P923))</x:f>
        <x:v>RA.BO.1.9
Assign topic researchers</x:v>
      </x:c>
      <x:c r="I923" s="14"/>
      <x:c r="J923" s="14"/>
      <x:c r="K923" s="14"/>
      <x:c r="L923" s="86" t="str">
        <x:f>IF($P923="","",INDEX(Tasks!$N$10:$N$1941,$P923))</x:f>
        <x:v>Not started</x:v>
      </x:c>
      <x:c r="M923" s="87" t="n">
        <x:f>IF($P923="","",INDEX(Tasks!$J$10:$J$1941,$P923))</x:f>
        <x:v>46387</x:v>
      </x:c>
      <x:c r="N923" s="85" t="str">
        <x:f>IF($P923="","",HYPERLINK("#'"&amp;INDEX(Tasks!$T$10:$T$1941,$P923)&amp;"'!A"&amp;INDEX(Tasks!$U$10:$U$1941,$P923),"Open"))</x:f>
        <x:v>Open</x:v>
      </x:c>
      <x:c r="O923" s="14"/>
      <x:c r="P923" s="14" t="n">
        <x:f>IF(902&gt;$B$10,"",MATCH(902,Tasks!$S$10:$S$1941,0))</x:f>
        <x:v>1266</x:v>
      </x:c>
    </x:row>
    <x:row r="924" ht="58" customHeight="1">
      <x:c r="B924" s="86" t="str">
        <x:f>IF($P924="","",INDEX(Tasks!$B$10:$B$1941,$P924))</x:f>
        <x:v>Cycle 4</x:v>
      </x:c>
      <x:c r="C924" s="86" t="str">
        <x:f>IF($P924="","",INDEX(Tasks!$C$10:$C$1941,$P924))</x:f>
        <x:v>Phase 2</x:v>
      </x:c>
      <x:c r="D924" s="86" t="str">
        <x:f>IF($P924="","",INDEX(Tasks!$D$10:$D$1941,$P924))</x:f>
        <x:v>CSBBO - Banking Ops</x:v>
      </x:c>
      <x:c r="E924" s="86"/>
      <x:c r="F924" s="86" t="str">
        <x:f>IF($P924="","",INDEX(Tasks!$E$10:$E$1941,$P924))</x:f>
        <x:v>Research &amp; Analysis</x:v>
      </x:c>
      <x:c r="G924" s="86"/>
      <x:c r="H924" s="14" t="str">
        <x:f>IF($P924="","",INDEX(Tasks!$F$10:$F$1941,$P924)&amp;CHAR(10)&amp;INDEX(Tasks!$G$10:$G$1941,$P924))</x:f>
        <x:v>RA.BO.2.1
Review data sources</x:v>
      </x:c>
      <x:c r="I924" s="14"/>
      <x:c r="J924" s="14"/>
      <x:c r="K924" s="14"/>
      <x:c r="L924" s="86" t="str">
        <x:f>IF($P924="","",INDEX(Tasks!$N$10:$N$1941,$P924))</x:f>
        <x:v>Not started</x:v>
      </x:c>
      <x:c r="M924" s="87" t="n">
        <x:f>IF($P924="","",INDEX(Tasks!$J$10:$J$1941,$P924))</x:f>
        <x:v>46387</x:v>
      </x:c>
      <x:c r="N924" s="85" t="str">
        <x:f>IF($P924="","",HYPERLINK("#'"&amp;INDEX(Tasks!$T$10:$T$1941,$P924)&amp;"'!A"&amp;INDEX(Tasks!$U$10:$U$1941,$P924),"Open"))</x:f>
        <x:v>Open</x:v>
      </x:c>
      <x:c r="O924" s="14"/>
      <x:c r="P924" s="14" t="n">
        <x:f>IF(903&gt;$B$10,"",MATCH(903,Tasks!$S$10:$S$1941,0))</x:f>
        <x:v>1267</x:v>
      </x:c>
    </x:row>
    <x:row r="925" ht="58" customHeight="1">
      <x:c r="B925" s="86" t="str">
        <x:f>IF($P925="","",INDEX(Tasks!$B$10:$B$1941,$P925))</x:f>
        <x:v>Cycle 4</x:v>
      </x:c>
      <x:c r="C925" s="86" t="str">
        <x:f>IF($P925="","",INDEX(Tasks!$C$10:$C$1941,$P925))</x:f>
        <x:v>Phase 2</x:v>
      </x:c>
      <x:c r="D925" s="86" t="str">
        <x:f>IF($P925="","",INDEX(Tasks!$D$10:$D$1941,$P925))</x:f>
        <x:v>CSBBO - Banking Ops</x:v>
      </x:c>
      <x:c r="E925" s="86"/>
      <x:c r="F925" s="86" t="str">
        <x:f>IF($P925="","",INDEX(Tasks!$E$10:$E$1941,$P925))</x:f>
        <x:v>Research &amp; Analysis</x:v>
      </x:c>
      <x:c r="G925" s="86"/>
      <x:c r="H925" s="14" t="str">
        <x:f>IF($P925="","",INDEX(Tasks!$F$10:$F$1941,$P925)&amp;CHAR(10)&amp;INDEX(Tasks!$G$10:$G$1941,$P925))</x:f>
        <x:v>RA.BO.2.2
Review relevant policies and procedures</x:v>
      </x:c>
      <x:c r="I925" s="14"/>
      <x:c r="J925" s="14"/>
      <x:c r="K925" s="14"/>
      <x:c r="L925" s="86" t="str">
        <x:f>IF($P925="","",INDEX(Tasks!$N$10:$N$1941,$P925))</x:f>
        <x:v>Not started</x:v>
      </x:c>
      <x:c r="M925" s="87" t="n">
        <x:f>IF($P925="","",INDEX(Tasks!$J$10:$J$1941,$P925))</x:f>
        <x:v>46387</x:v>
      </x:c>
      <x:c r="N925" s="85" t="str">
        <x:f>IF($P925="","",HYPERLINK("#'"&amp;INDEX(Tasks!$T$10:$T$1941,$P925)&amp;"'!A"&amp;INDEX(Tasks!$U$10:$U$1941,$P925),"Open"))</x:f>
        <x:v>Open</x:v>
      </x:c>
      <x:c r="O925" s="14"/>
      <x:c r="P925" s="14" t="n">
        <x:f>IF(904&gt;$B$10,"",MATCH(904,Tasks!$S$10:$S$1941,0))</x:f>
        <x:v>1268</x:v>
      </x:c>
    </x:row>
    <x:row r="926" ht="58" customHeight="1">
      <x:c r="B926" s="86" t="str">
        <x:f>IF($P926="","",INDEX(Tasks!$B$10:$B$1941,$P926))</x:f>
        <x:v>Cycle 4</x:v>
      </x:c>
      <x:c r="C926" s="86" t="str">
        <x:f>IF($P926="","",INDEX(Tasks!$C$10:$C$1941,$P926))</x:f>
        <x:v>Phase 2</x:v>
      </x:c>
      <x:c r="D926" s="86" t="str">
        <x:f>IF($P926="","",INDEX(Tasks!$D$10:$D$1941,$P926))</x:f>
        <x:v>CSBBO - Banking Ops</x:v>
      </x:c>
      <x:c r="E926" s="86"/>
      <x:c r="F926" s="86" t="str">
        <x:f>IF($P926="","",INDEX(Tasks!$E$10:$E$1941,$P926))</x:f>
        <x:v>Research &amp; Analysis</x:v>
      </x:c>
      <x:c r="G926" s="86"/>
      <x:c r="H926" s="14" t="str">
        <x:f>IF($P926="","",INDEX(Tasks!$F$10:$F$1941,$P926)&amp;CHAR(10)&amp;INDEX(Tasks!$G$10:$G$1941,$P926))</x:f>
        <x:v>RA.BO.2.3
Meet with SMEs to gain business insight and clarify questions</x:v>
      </x:c>
      <x:c r="I926" s="14"/>
      <x:c r="J926" s="14"/>
      <x:c r="K926" s="14"/>
      <x:c r="L926" s="86" t="str">
        <x:f>IF($P926="","",INDEX(Tasks!$N$10:$N$1941,$P926))</x:f>
        <x:v>Not started</x:v>
      </x:c>
      <x:c r="M926" s="87" t="n">
        <x:f>IF($P926="","",INDEX(Tasks!$J$10:$J$1941,$P926))</x:f>
        <x:v>46387</x:v>
      </x:c>
      <x:c r="N926" s="85" t="str">
        <x:f>IF($P926="","",HYPERLINK("#'"&amp;INDEX(Tasks!$T$10:$T$1941,$P926)&amp;"'!A"&amp;INDEX(Tasks!$U$10:$U$1941,$P926),"Open"))</x:f>
        <x:v>Open</x:v>
      </x:c>
      <x:c r="O926" s="14"/>
      <x:c r="P926" s="14" t="n">
        <x:f>IF(905&gt;$B$10,"",MATCH(905,Tasks!$S$10:$S$1941,0))</x:f>
        <x:v>1269</x:v>
      </x:c>
    </x:row>
    <x:row r="927" ht="58" customHeight="1">
      <x:c r="B927" s="86" t="str">
        <x:f>IF($P927="","",INDEX(Tasks!$B$10:$B$1941,$P927))</x:f>
        <x:v>Cycle 4</x:v>
      </x:c>
      <x:c r="C927" s="86" t="str">
        <x:f>IF($P927="","",INDEX(Tasks!$C$10:$C$1941,$P927))</x:f>
        <x:v>Phase 2</x:v>
      </x:c>
      <x:c r="D927" s="86" t="str">
        <x:f>IF($P927="","",INDEX(Tasks!$D$10:$D$1941,$P927))</x:f>
        <x:v>CSBBO - Banking Ops</x:v>
      </x:c>
      <x:c r="E927" s="86"/>
      <x:c r="F927" s="86" t="str">
        <x:f>IF($P927="","",INDEX(Tasks!$E$10:$E$1941,$P927))</x:f>
        <x:v>Research &amp; Analysis</x:v>
      </x:c>
      <x:c r="G927" s="86"/>
      <x:c r="H927" s="14" t="str">
        <x:f>IF($P927="","",INDEX(Tasks!$F$10:$F$1941,$P927)&amp;CHAR(10)&amp;INDEX(Tasks!$G$10:$G$1941,$P927))</x:f>
        <x:v>RA.BO.2.4
Establish and maintain a recurring meeting with D&amp;I to discuss Cycle progress</x:v>
      </x:c>
      <x:c r="I927" s="14"/>
      <x:c r="J927" s="14"/>
      <x:c r="K927" s="14"/>
      <x:c r="L927" s="86" t="str">
        <x:f>IF($P927="","",INDEX(Tasks!$N$10:$N$1941,$P927))</x:f>
        <x:v>Not started</x:v>
      </x:c>
      <x:c r="M927" s="87" t="n">
        <x:f>IF($P927="","",INDEX(Tasks!$J$10:$J$1941,$P927))</x:f>
        <x:v>46387</x:v>
      </x:c>
      <x:c r="N927" s="85" t="str">
        <x:f>IF($P927="","",HYPERLINK("#'"&amp;INDEX(Tasks!$T$10:$T$1941,$P927)&amp;"'!A"&amp;INDEX(Tasks!$U$10:$U$1941,$P927),"Open"))</x:f>
        <x:v>Open</x:v>
      </x:c>
      <x:c r="O927" s="14"/>
      <x:c r="P927" s="14" t="n">
        <x:f>IF(906&gt;$B$10,"",MATCH(906,Tasks!$S$10:$S$1941,0))</x:f>
        <x:v>1270</x:v>
      </x:c>
    </x:row>
    <x:row r="928" ht="58" customHeight="1">
      <x:c r="B928" s="86" t="str">
        <x:f>IF($P928="","",INDEX(Tasks!$B$10:$B$1941,$P928))</x:f>
        <x:v>Cycle 4</x:v>
      </x:c>
      <x:c r="C928" s="86" t="str">
        <x:f>IF($P928="","",INDEX(Tasks!$C$10:$C$1941,$P928))</x:f>
        <x:v>Phase 2</x:v>
      </x:c>
      <x:c r="D928" s="86" t="str">
        <x:f>IF($P928="","",INDEX(Tasks!$D$10:$D$1941,$P928))</x:f>
        <x:v>CSBBO - Banking Ops</x:v>
      </x:c>
      <x:c r="E928" s="86"/>
      <x:c r="F928" s="86" t="str">
        <x:f>IF($P928="","",INDEX(Tasks!$E$10:$E$1941,$P928))</x:f>
        <x:v>Research &amp; Analysis</x:v>
      </x:c>
      <x:c r="G928" s="86"/>
      <x:c r="H928" s="14" t="str">
        <x:f>IF($P928="","",INDEX(Tasks!$F$10:$F$1941,$P928)&amp;CHAR(10)&amp;INDEX(Tasks!$G$10:$G$1941,$P928))</x:f>
        <x:v>RA.BO.2.5
Perform data testing and sampling</x:v>
      </x:c>
      <x:c r="I928" s="14"/>
      <x:c r="J928" s="14"/>
      <x:c r="K928" s="14"/>
      <x:c r="L928" s="86" t="str">
        <x:f>IF($P928="","",INDEX(Tasks!$N$10:$N$1941,$P928))</x:f>
        <x:v>Not started</x:v>
      </x:c>
      <x:c r="M928" s="87" t="n">
        <x:f>IF($P928="","",INDEX(Tasks!$J$10:$J$1941,$P928))</x:f>
        <x:v>46387</x:v>
      </x:c>
      <x:c r="N928" s="85" t="str">
        <x:f>IF($P928="","",HYPERLINK("#'"&amp;INDEX(Tasks!$T$10:$T$1941,$P928)&amp;"'!A"&amp;INDEX(Tasks!$U$10:$U$1941,$P928),"Open"))</x:f>
        <x:v>Open</x:v>
      </x:c>
      <x:c r="O928" s="14"/>
      <x:c r="P928" s="14" t="n">
        <x:f>IF(907&gt;$B$10,"",MATCH(907,Tasks!$S$10:$S$1941,0))</x:f>
        <x:v>1271</x:v>
      </x:c>
    </x:row>
    <x:row r="929" ht="58" customHeight="1">
      <x:c r="B929" s="86" t="str">
        <x:f>IF($P929="","",INDEX(Tasks!$B$10:$B$1941,$P929))</x:f>
        <x:v>Cycle 4</x:v>
      </x:c>
      <x:c r="C929" s="86" t="str">
        <x:f>IF($P929="","",INDEX(Tasks!$C$10:$C$1941,$P929))</x:f>
        <x:v>Phase 2</x:v>
      </x:c>
      <x:c r="D929" s="86" t="str">
        <x:f>IF($P929="","",INDEX(Tasks!$D$10:$D$1941,$P929))</x:f>
        <x:v>CSBBO - Banking Ops</x:v>
      </x:c>
      <x:c r="E929" s="86"/>
      <x:c r="F929" s="86" t="str">
        <x:f>IF($P929="","",INDEX(Tasks!$E$10:$E$1941,$P929))</x:f>
        <x:v>Research &amp; Analysis</x:v>
      </x:c>
      <x:c r="G929" s="86"/>
      <x:c r="H929" s="14" t="str">
        <x:f>IF($P929="","",INDEX(Tasks!$F$10:$F$1941,$P929)&amp;CHAR(10)&amp;INDEX(Tasks!$G$10:$G$1941,$P929))</x:f>
        <x:v>RA.BO.2.6
Complete Positive Testing</x:v>
      </x:c>
      <x:c r="I929" s="14"/>
      <x:c r="J929" s="14"/>
      <x:c r="K929" s="14"/>
      <x:c r="L929" s="86" t="str">
        <x:f>IF($P929="","",INDEX(Tasks!$N$10:$N$1941,$P929))</x:f>
        <x:v>Not started</x:v>
      </x:c>
      <x:c r="M929" s="87" t="n">
        <x:f>IF($P929="","",INDEX(Tasks!$J$10:$J$1941,$P929))</x:f>
        <x:v>46387</x:v>
      </x:c>
      <x:c r="N929" s="85" t="str">
        <x:f>IF($P929="","",HYPERLINK("#'"&amp;INDEX(Tasks!$T$10:$T$1941,$P929)&amp;"'!A"&amp;INDEX(Tasks!$U$10:$U$1941,$P929),"Open"))</x:f>
        <x:v>Open</x:v>
      </x:c>
      <x:c r="O929" s="14"/>
      <x:c r="P929" s="14" t="n">
        <x:f>IF(908&gt;$B$10,"",MATCH(908,Tasks!$S$10:$S$1941,0))</x:f>
        <x:v>1272</x:v>
      </x:c>
    </x:row>
    <x:row r="930" ht="58" customHeight="1">
      <x:c r="B930" s="86" t="str">
        <x:f>IF($P930="","",INDEX(Tasks!$B$10:$B$1941,$P930))</x:f>
        <x:v>Cycle 4</x:v>
      </x:c>
      <x:c r="C930" s="86" t="str">
        <x:f>IF($P930="","",INDEX(Tasks!$C$10:$C$1941,$P930))</x:f>
        <x:v>Phase 2</x:v>
      </x:c>
      <x:c r="D930" s="86" t="str">
        <x:f>IF($P930="","",INDEX(Tasks!$D$10:$D$1941,$P930))</x:f>
        <x:v>CSBBO - Banking Ops</x:v>
      </x:c>
      <x:c r="E930" s="86"/>
      <x:c r="F930" s="86" t="str">
        <x:f>IF($P930="","",INDEX(Tasks!$E$10:$E$1941,$P930))</x:f>
        <x:v>Research &amp; Analysis</x:v>
      </x:c>
      <x:c r="G930" s="86"/>
      <x:c r="H930" s="14" t="str">
        <x:f>IF($P930="","",INDEX(Tasks!$F$10:$F$1941,$P930)&amp;CHAR(10)&amp;INDEX(Tasks!$G$10:$G$1941,$P930))</x:f>
        <x:v>RA.BO.2.7
Complete Negative Testing</x:v>
      </x:c>
      <x:c r="I930" s="14"/>
      <x:c r="J930" s="14"/>
      <x:c r="K930" s="14"/>
      <x:c r="L930" s="86" t="str">
        <x:f>IF($P930="","",INDEX(Tasks!$N$10:$N$1941,$P930))</x:f>
        <x:v>Not started</x:v>
      </x:c>
      <x:c r="M930" s="87" t="n">
        <x:f>IF($P930="","",INDEX(Tasks!$J$10:$J$1941,$P930))</x:f>
        <x:v>46387</x:v>
      </x:c>
      <x:c r="N930" s="85" t="str">
        <x:f>IF($P930="","",HYPERLINK("#'"&amp;INDEX(Tasks!$T$10:$T$1941,$P930)&amp;"'!A"&amp;INDEX(Tasks!$U$10:$U$1941,$P930),"Open"))</x:f>
        <x:v>Open</x:v>
      </x:c>
      <x:c r="O930" s="14"/>
      <x:c r="P930" s="14" t="n">
        <x:f>IF(909&gt;$B$10,"",MATCH(909,Tasks!$S$10:$S$1941,0))</x:f>
        <x:v>1273</x:v>
      </x:c>
    </x:row>
    <x:row r="931" ht="58" customHeight="1">
      <x:c r="B931" s="86" t="str">
        <x:f>IF($P931="","",INDEX(Tasks!$B$10:$B$1941,$P931))</x:f>
        <x:v>Cycle 4</x:v>
      </x:c>
      <x:c r="C931" s="86" t="str">
        <x:f>IF($P931="","",INDEX(Tasks!$C$10:$C$1941,$P931))</x:f>
        <x:v>Phase 2</x:v>
      </x:c>
      <x:c r="D931" s="86" t="str">
        <x:f>IF($P931="","",INDEX(Tasks!$D$10:$D$1941,$P931))</x:f>
        <x:v>CSBBO - Banking Ops</x:v>
      </x:c>
      <x:c r="E931" s="86"/>
      <x:c r="F931" s="86" t="str">
        <x:f>IF($P931="","",INDEX(Tasks!$E$10:$E$1941,$P931))</x:f>
        <x:v>Research &amp; Analysis</x:v>
      </x:c>
      <x:c r="G931" s="86"/>
      <x:c r="H931" s="14" t="str">
        <x:f>IF($P931="","",INDEX(Tasks!$F$10:$F$1941,$P931)&amp;CHAR(10)&amp;INDEX(Tasks!$G$10:$G$1941,$P931))</x:f>
        <x:v>RA.BO.2.8
Request additional data (as needed)</x:v>
      </x:c>
      <x:c r="I931" s="14"/>
      <x:c r="J931" s="14"/>
      <x:c r="K931" s="14"/>
      <x:c r="L931" s="86" t="str">
        <x:f>IF($P931="","",INDEX(Tasks!$N$10:$N$1941,$P931))</x:f>
        <x:v>Not started</x:v>
      </x:c>
      <x:c r="M931" s="87" t="n">
        <x:f>IF($P931="","",INDEX(Tasks!$J$10:$J$1941,$P931))</x:f>
        <x:v>46387</x:v>
      </x:c>
      <x:c r="N931" s="85" t="str">
        <x:f>IF($P931="","",HYPERLINK("#'"&amp;INDEX(Tasks!$T$10:$T$1941,$P931)&amp;"'!A"&amp;INDEX(Tasks!$U$10:$U$1941,$P931),"Open"))</x:f>
        <x:v>Open</x:v>
      </x:c>
      <x:c r="O931" s="14"/>
      <x:c r="P931" s="14" t="n">
        <x:f>IF(910&gt;$B$10,"",MATCH(910,Tasks!$S$10:$S$1941,0))</x:f>
        <x:v>1274</x:v>
      </x:c>
    </x:row>
    <x:row r="932" ht="58" customHeight="1">
      <x:c r="B932" s="86" t="str">
        <x:f>IF($P932="","",INDEX(Tasks!$B$10:$B$1941,$P932))</x:f>
        <x:v>Cycle 4</x:v>
      </x:c>
      <x:c r="C932" s="86" t="str">
        <x:f>IF($P932="","",INDEX(Tasks!$C$10:$C$1941,$P932))</x:f>
        <x:v>Phase 2</x:v>
      </x:c>
      <x:c r="D932" s="86" t="str">
        <x:f>IF($P932="","",INDEX(Tasks!$D$10:$D$1941,$P932))</x:f>
        <x:v>CSBBO - Banking Ops</x:v>
      </x:c>
      <x:c r="E932" s="86"/>
      <x:c r="F932" s="86" t="str">
        <x:f>IF($P932="","",INDEX(Tasks!$E$10:$E$1941,$P932))</x:f>
        <x:v>Research &amp; Analysis</x:v>
      </x:c>
      <x:c r="G932" s="86"/>
      <x:c r="H932" s="14" t="str">
        <x:f>IF($P932="","",INDEX(Tasks!$F$10:$F$1941,$P932)&amp;CHAR(10)&amp;INDEX(Tasks!$G$10:$G$1941,$P932))</x:f>
        <x:v>RA.BO.2.9
Validate or disprove initial hypothesis assumptions</x:v>
      </x:c>
      <x:c r="I932" s="14"/>
      <x:c r="J932" s="14"/>
      <x:c r="K932" s="14"/>
      <x:c r="L932" s="86" t="str">
        <x:f>IF($P932="","",INDEX(Tasks!$N$10:$N$1941,$P932))</x:f>
        <x:v>Not started</x:v>
      </x:c>
      <x:c r="M932" s="87" t="n">
        <x:f>IF($P932="","",INDEX(Tasks!$J$10:$J$1941,$P932))</x:f>
        <x:v>46387</x:v>
      </x:c>
      <x:c r="N932" s="85" t="str">
        <x:f>IF($P932="","",HYPERLINK("#'"&amp;INDEX(Tasks!$T$10:$T$1941,$P932)&amp;"'!A"&amp;INDEX(Tasks!$U$10:$U$1941,$P932),"Open"))</x:f>
        <x:v>Open</x:v>
      </x:c>
      <x:c r="O932" s="14"/>
      <x:c r="P932" s="14" t="n">
        <x:f>IF(911&gt;$B$10,"",MATCH(911,Tasks!$S$10:$S$1941,0))</x:f>
        <x:v>1275</x:v>
      </x:c>
    </x:row>
    <x:row r="933" ht="58" customHeight="1">
      <x:c r="B933" s="86" t="str">
        <x:f>IF($P933="","",INDEX(Tasks!$B$10:$B$1941,$P933))</x:f>
        <x:v>Cycle 4</x:v>
      </x:c>
      <x:c r="C933" s="86" t="str">
        <x:f>IF($P933="","",INDEX(Tasks!$C$10:$C$1941,$P933))</x:f>
        <x:v>Phase 2</x:v>
      </x:c>
      <x:c r="D933" s="86" t="str">
        <x:f>IF($P933="","",INDEX(Tasks!$D$10:$D$1941,$P933))</x:f>
        <x:v>CSBBO - Banking Ops</x:v>
      </x:c>
      <x:c r="E933" s="86"/>
      <x:c r="F933" s="86" t="str">
        <x:f>IF($P933="","",INDEX(Tasks!$E$10:$E$1941,$P933))</x:f>
        <x:v>Research &amp; Analysis</x:v>
      </x:c>
      <x:c r="G933" s="86"/>
      <x:c r="H933" s="14" t="str">
        <x:f>IF($P933="","",INDEX(Tasks!$F$10:$F$1941,$P933)&amp;CHAR(10)&amp;INDEX(Tasks!$G$10:$G$1941,$P933))</x:f>
        <x:v>RA.BO.2.10
Identify and confirm root cause</x:v>
      </x:c>
      <x:c r="I933" s="14"/>
      <x:c r="J933" s="14"/>
      <x:c r="K933" s="14"/>
      <x:c r="L933" s="86" t="str">
        <x:f>IF($P933="","",INDEX(Tasks!$N$10:$N$1941,$P933))</x:f>
        <x:v>Not started</x:v>
      </x:c>
      <x:c r="M933" s="87" t="n">
        <x:f>IF($P933="","",INDEX(Tasks!$J$10:$J$1941,$P933))</x:f>
        <x:v>46387</x:v>
      </x:c>
      <x:c r="N933" s="85" t="str">
        <x:f>IF($P933="","",HYPERLINK("#'"&amp;INDEX(Tasks!$T$10:$T$1941,$P933)&amp;"'!A"&amp;INDEX(Tasks!$U$10:$U$1941,$P933),"Open"))</x:f>
        <x:v>Open</x:v>
      </x:c>
      <x:c r="O933" s="14"/>
      <x:c r="P933" s="14" t="n">
        <x:f>IF(912&gt;$B$10,"",MATCH(912,Tasks!$S$10:$S$1941,0))</x:f>
        <x:v>1276</x:v>
      </x:c>
    </x:row>
    <x:row r="934" ht="58" customHeight="1">
      <x:c r="B934" s="86" t="str">
        <x:f>IF($P934="","",INDEX(Tasks!$B$10:$B$1941,$P934))</x:f>
        <x:v>Cycle 4</x:v>
      </x:c>
      <x:c r="C934" s="86" t="str">
        <x:f>IF($P934="","",INDEX(Tasks!$C$10:$C$1941,$P934))</x:f>
        <x:v>Phase 3</x:v>
      </x:c>
      <x:c r="D934" s="86" t="str">
        <x:f>IF($P934="","",INDEX(Tasks!$D$10:$D$1941,$P934))</x:f>
        <x:v>CSBBO - Banking Ops</x:v>
      </x:c>
      <x:c r="E934" s="86"/>
      <x:c r="F934" s="86" t="str">
        <x:f>IF($P934="","",INDEX(Tasks!$E$10:$E$1941,$P934))</x:f>
        <x:v>Research &amp; Analysis</x:v>
      </x:c>
      <x:c r="G934" s="86"/>
      <x:c r="H934" s="14" t="str">
        <x:f>IF($P934="","",INDEX(Tasks!$F$10:$F$1941,$P934)&amp;CHAR(10)&amp;INDEX(Tasks!$G$10:$G$1941,$P934))</x:f>
        <x:v>RA.BO.3.1
Finalize results and supporting documentation</x:v>
      </x:c>
      <x:c r="I934" s="14"/>
      <x:c r="J934" s="14"/>
      <x:c r="K934" s="14"/>
      <x:c r="L934" s="86" t="str">
        <x:f>IF($P934="","",INDEX(Tasks!$N$10:$N$1941,$P934))</x:f>
        <x:v>Not started</x:v>
      </x:c>
      <x:c r="M934" s="87" t="n">
        <x:f>IF($P934="","",INDEX(Tasks!$J$10:$J$1941,$P934))</x:f>
        <x:v>46387</x:v>
      </x:c>
      <x:c r="N934" s="85" t="str">
        <x:f>IF($P934="","",HYPERLINK("#'"&amp;INDEX(Tasks!$T$10:$T$1941,$P934)&amp;"'!A"&amp;INDEX(Tasks!$U$10:$U$1941,$P934),"Open"))</x:f>
        <x:v>Open</x:v>
      </x:c>
      <x:c r="O934" s="14"/>
      <x:c r="P934" s="14" t="n">
        <x:f>IF(913&gt;$B$10,"",MATCH(913,Tasks!$S$10:$S$1941,0))</x:f>
        <x:v>1277</x:v>
      </x:c>
    </x:row>
    <x:row r="935" ht="58" customHeight="1">
      <x:c r="B935" s="86" t="str">
        <x:f>IF($P935="","",INDEX(Tasks!$B$10:$B$1941,$P935))</x:f>
        <x:v>Cycle 4</x:v>
      </x:c>
      <x:c r="C935" s="86" t="str">
        <x:f>IF($P935="","",INDEX(Tasks!$C$10:$C$1941,$P935))</x:f>
        <x:v>Phase 3</x:v>
      </x:c>
      <x:c r="D935" s="86" t="str">
        <x:f>IF($P935="","",INDEX(Tasks!$D$10:$D$1941,$P935))</x:f>
        <x:v>CSBBO - Banking Ops</x:v>
      </x:c>
      <x:c r="E935" s="86"/>
      <x:c r="F935" s="86" t="str">
        <x:f>IF($P935="","",INDEX(Tasks!$E$10:$E$1941,$P935))</x:f>
        <x:v>Research &amp; Analysis</x:v>
      </x:c>
      <x:c r="G935" s="86"/>
      <x:c r="H935" s="14" t="str">
        <x:f>IF($P935="","",INDEX(Tasks!$F$10:$F$1941,$P935)&amp;CHAR(10)&amp;INDEX(Tasks!$G$10:$G$1941,$P935))</x:f>
        <x:v>RA.BO.3.2
Maintain and update the evidence package prior to handoff to D&amp;I</x:v>
      </x:c>
      <x:c r="I935" s="14"/>
      <x:c r="J935" s="14"/>
      <x:c r="K935" s="14"/>
      <x:c r="L935" s="86" t="str">
        <x:f>IF($P935="","",INDEX(Tasks!$N$10:$N$1941,$P935))</x:f>
        <x:v>Not started</x:v>
      </x:c>
      <x:c r="M935" s="87" t="n">
        <x:f>IF($P935="","",INDEX(Tasks!$J$10:$J$1941,$P935))</x:f>
        <x:v>46387</x:v>
      </x:c>
      <x:c r="N935" s="85" t="str">
        <x:f>IF($P935="","",HYPERLINK("#'"&amp;INDEX(Tasks!$T$10:$T$1941,$P935)&amp;"'!A"&amp;INDEX(Tasks!$U$10:$U$1941,$P935),"Open"))</x:f>
        <x:v>Open</x:v>
      </x:c>
      <x:c r="O935" s="14"/>
      <x:c r="P935" s="14" t="n">
        <x:f>IF(914&gt;$B$10,"",MATCH(914,Tasks!$S$10:$S$1941,0))</x:f>
        <x:v>1278</x:v>
      </x:c>
    </x:row>
    <x:row r="936" ht="58" customHeight="1">
      <x:c r="B936" s="86" t="str">
        <x:f>IF($P936="","",INDEX(Tasks!$B$10:$B$1941,$P936))</x:f>
        <x:v>Cycle 4</x:v>
      </x:c>
      <x:c r="C936" s="86" t="str">
        <x:f>IF($P936="","",INDEX(Tasks!$C$10:$C$1941,$P936))</x:f>
        <x:v>Phase 3</x:v>
      </x:c>
      <x:c r="D936" s="86" t="str">
        <x:f>IF($P936="","",INDEX(Tasks!$D$10:$D$1941,$P936))</x:f>
        <x:v>CSBBO - Banking Ops</x:v>
      </x:c>
      <x:c r="E936" s="86"/>
      <x:c r="F936" s="86" t="str">
        <x:f>IF($P936="","",INDEX(Tasks!$E$10:$E$1941,$P936))</x:f>
        <x:v>Research &amp; Analysis</x:v>
      </x:c>
      <x:c r="G936" s="86"/>
      <x:c r="H936" s="14" t="str">
        <x:f>IF($P936="","",INDEX(Tasks!$F$10:$F$1941,$P936)&amp;CHAR(10)&amp;INDEX(Tasks!$G$10:$G$1941,$P936))</x:f>
        <x:v>RA.BO.3.3
Address any outstanding questions or requests from D&amp;I</x:v>
      </x:c>
      <x:c r="I936" s="14"/>
      <x:c r="J936" s="14"/>
      <x:c r="K936" s="14"/>
      <x:c r="L936" s="86" t="str">
        <x:f>IF($P936="","",INDEX(Tasks!$N$10:$N$1941,$P936))</x:f>
        <x:v>Not started</x:v>
      </x:c>
      <x:c r="M936" s="87" t="n">
        <x:f>IF($P936="","",INDEX(Tasks!$J$10:$J$1941,$P936))</x:f>
        <x:v>46387</x:v>
      </x:c>
      <x:c r="N936" s="85" t="str">
        <x:f>IF($P936="","",HYPERLINK("#'"&amp;INDEX(Tasks!$T$10:$T$1941,$P936)&amp;"'!A"&amp;INDEX(Tasks!$U$10:$U$1941,$P936),"Open"))</x:f>
        <x:v>Open</x:v>
      </x:c>
      <x:c r="O936" s="14"/>
      <x:c r="P936" s="14" t="n">
        <x:f>IF(915&gt;$B$10,"",MATCH(915,Tasks!$S$10:$S$1941,0))</x:f>
        <x:v>1279</x:v>
      </x:c>
    </x:row>
    <x:row r="937" ht="58" customHeight="1">
      <x:c r="B937" s="86" t="str">
        <x:f>IF($P937="","",INDEX(Tasks!$B$10:$B$1941,$P937))</x:f>
        <x:v>Cycle 4</x:v>
      </x:c>
      <x:c r="C937" s="86" t="str">
        <x:f>IF($P937="","",INDEX(Tasks!$C$10:$C$1941,$P937))</x:f>
        <x:v>Phase 3</x:v>
      </x:c>
      <x:c r="D937" s="86" t="str">
        <x:f>IF($P937="","",INDEX(Tasks!$D$10:$D$1941,$P937))</x:f>
        <x:v>CSBBO - Banking Ops</x:v>
      </x:c>
      <x:c r="E937" s="86"/>
      <x:c r="F937" s="86" t="str">
        <x:f>IF($P937="","",INDEX(Tasks!$E$10:$E$1941,$P937))</x:f>
        <x:v>Research &amp; Analysis</x:v>
      </x:c>
      <x:c r="G937" s="86"/>
      <x:c r="H937" s="14" t="str">
        <x:f>IF($P937="","",INDEX(Tasks!$F$10:$F$1941,$P937)&amp;CHAR(10)&amp;INDEX(Tasks!$G$10:$G$1941,$P937))</x:f>
        <x:v>RA.BO.3.4
Attend Forum meeting with D&amp;I to assist with answering stakeholder questions (as needed)</x:v>
      </x:c>
      <x:c r="I937" s="14"/>
      <x:c r="J937" s="14"/>
      <x:c r="K937" s="14"/>
      <x:c r="L937" s="86" t="str">
        <x:f>IF($P937="","",INDEX(Tasks!$N$10:$N$1941,$P937))</x:f>
        <x:v>Not started</x:v>
      </x:c>
      <x:c r="M937" s="87" t="str">
        <x:f>IF($P937="","",INDEX(Tasks!$J$10:$J$1941,$P937))</x:f>
      </x:c>
      <x:c r="N937" s="85" t="str">
        <x:f>IF($P937="","",HYPERLINK("#'"&amp;INDEX(Tasks!$T$10:$T$1941,$P937)&amp;"'!A"&amp;INDEX(Tasks!$U$10:$U$1941,$P937),"Open"))</x:f>
        <x:v>Open</x:v>
      </x:c>
      <x:c r="O937" s="14"/>
      <x:c r="P937" s="14" t="n">
        <x:f>IF(916&gt;$B$10,"",MATCH(916,Tasks!$S$10:$S$1941,0))</x:f>
        <x:v>1280</x:v>
      </x:c>
    </x:row>
    <x:row r="938" ht="58" customHeight="1">
      <x:c r="B938" s="86" t="str">
        <x:f>IF($P938="","",INDEX(Tasks!$B$10:$B$1941,$P938))</x:f>
        <x:v>Cycle 4</x:v>
      </x:c>
      <x:c r="C938" s="86" t="str">
        <x:f>IF($P938="","",INDEX(Tasks!$C$10:$C$1941,$P938))</x:f>
        <x:v>Phase 1</x:v>
      </x:c>
      <x:c r="D938" s="86" t="str">
        <x:f>IF($P938="","",INDEX(Tasks!$D$10:$D$1941,$P938))</x:f>
        <x:v>CSBBO - Customer Service</x:v>
      </x:c>
      <x:c r="E938" s="86"/>
      <x:c r="F938" s="86" t="str">
        <x:f>IF($P938="","",INDEX(Tasks!$E$10:$E$1941,$P938))</x:f>
        <x:v>Research &amp; Analysis</x:v>
      </x:c>
      <x:c r="G938" s="86"/>
      <x:c r="H938" s="14" t="str">
        <x:f>IF($P938="","",INDEX(Tasks!$F$10:$F$1941,$P938)&amp;CHAR(10)&amp;INDEX(Tasks!$G$10:$G$1941,$P938))</x:f>
        <x:v>RA.CS.1.1
Begin Research process 2 weeks prior to Cycle start</x:v>
      </x:c>
      <x:c r="I938" s="14"/>
      <x:c r="J938" s="14"/>
      <x:c r="K938" s="14"/>
      <x:c r="L938" s="86" t="str">
        <x:f>IF($P938="","",INDEX(Tasks!$N$10:$N$1941,$P938))</x:f>
        <x:v>Not started</x:v>
      </x:c>
      <x:c r="M938" s="87" t="n">
        <x:f>IF($P938="","",INDEX(Tasks!$J$10:$J$1941,$P938))</x:f>
        <x:v>46282</x:v>
      </x:c>
      <x:c r="N938" s="85" t="str">
        <x:f>IF($P938="","",HYPERLINK("#'"&amp;INDEX(Tasks!$T$10:$T$1941,$P938)&amp;"'!A"&amp;INDEX(Tasks!$U$10:$U$1941,$P938),"Open"))</x:f>
        <x:v>Open</x:v>
      </x:c>
      <x:c r="O938" s="14"/>
      <x:c r="P938" s="14" t="n">
        <x:f>IF(917&gt;$B$10,"",MATCH(917,Tasks!$S$10:$S$1941,0))</x:f>
        <x:v>1281</x:v>
      </x:c>
    </x:row>
    <x:row r="939" ht="58" customHeight="1">
      <x:c r="B939" s="86" t="str">
        <x:f>IF($P939="","",INDEX(Tasks!$B$10:$B$1941,$P939))</x:f>
        <x:v>Cycle 4</x:v>
      </x:c>
      <x:c r="C939" s="86" t="str">
        <x:f>IF($P939="","",INDEX(Tasks!$C$10:$C$1941,$P939))</x:f>
        <x:v>Phase 1</x:v>
      </x:c>
      <x:c r="D939" s="86" t="str">
        <x:f>IF($P939="","",INDEX(Tasks!$D$10:$D$1941,$P939))</x:f>
        <x:v>CSBBO - Customer Service</x:v>
      </x:c>
      <x:c r="E939" s="86"/>
      <x:c r="F939" s="86" t="str">
        <x:f>IF($P939="","",INDEX(Tasks!$E$10:$E$1941,$P939))</x:f>
        <x:v>Research &amp; Analysis</x:v>
      </x:c>
      <x:c r="G939" s="86"/>
      <x:c r="H939" s="14" t="str">
        <x:f>IF($P939="","",INDEX(Tasks!$F$10:$F$1941,$P939)&amp;CHAR(10)&amp;INDEX(Tasks!$G$10:$G$1941,$P939))</x:f>
        <x:v>RA.CS.1.2
Conduct initial assessment of each topic recommendation from SharePoint list</x:v>
      </x:c>
      <x:c r="I939" s="14"/>
      <x:c r="J939" s="14"/>
      <x:c r="K939" s="14"/>
      <x:c r="L939" s="86" t="str">
        <x:f>IF($P939="","",INDEX(Tasks!$N$10:$N$1941,$P939))</x:f>
        <x:v>Not started</x:v>
      </x:c>
      <x:c r="M939" s="87" t="n">
        <x:f>IF($P939="","",INDEX(Tasks!$J$10:$J$1941,$P939))</x:f>
        <x:v>46387</x:v>
      </x:c>
      <x:c r="N939" s="85" t="str">
        <x:f>IF($P939="","",HYPERLINK("#'"&amp;INDEX(Tasks!$T$10:$T$1941,$P939)&amp;"'!A"&amp;INDEX(Tasks!$U$10:$U$1941,$P939),"Open"))</x:f>
        <x:v>Open</x:v>
      </x:c>
      <x:c r="O939" s="14"/>
      <x:c r="P939" s="14" t="n">
        <x:f>IF(918&gt;$B$10,"",MATCH(918,Tasks!$S$10:$S$1941,0))</x:f>
        <x:v>1282</x:v>
      </x:c>
    </x:row>
    <x:row r="940" ht="58" customHeight="1">
      <x:c r="B940" s="86" t="str">
        <x:f>IF($P940="","",INDEX(Tasks!$B$10:$B$1941,$P940))</x:f>
        <x:v>Cycle 4</x:v>
      </x:c>
      <x:c r="C940" s="86" t="str">
        <x:f>IF($P940="","",INDEX(Tasks!$C$10:$C$1941,$P940))</x:f>
        <x:v>Phase 1</x:v>
      </x:c>
      <x:c r="D940" s="86" t="str">
        <x:f>IF($P940="","",INDEX(Tasks!$D$10:$D$1941,$P940))</x:f>
        <x:v>CSBBO - Customer Service</x:v>
      </x:c>
      <x:c r="E940" s="86"/>
      <x:c r="F940" s="86" t="str">
        <x:f>IF($P940="","",INDEX(Tasks!$E$10:$E$1941,$P940))</x:f>
        <x:v>Research &amp; Analysis</x:v>
      </x:c>
      <x:c r="G940" s="86"/>
      <x:c r="H940" s="14" t="str">
        <x:f>IF($P940="","",INDEX(Tasks!$F$10:$F$1941,$P940)&amp;CHAR(10)&amp;INDEX(Tasks!$G$10:$G$1941,$P940))</x:f>
        <x:v>RA.CS.1.3
Identify best topic for Cycle</x:v>
      </x:c>
      <x:c r="I940" s="14"/>
      <x:c r="J940" s="14"/>
      <x:c r="K940" s="14"/>
      <x:c r="L940" s="86" t="str">
        <x:f>IF($P940="","",INDEX(Tasks!$N$10:$N$1941,$P940))</x:f>
        <x:v>Not started</x:v>
      </x:c>
      <x:c r="M940" s="87" t="n">
        <x:f>IF($P940="","",INDEX(Tasks!$J$10:$J$1941,$P940))</x:f>
        <x:v>46387</x:v>
      </x:c>
      <x:c r="N940" s="85" t="str">
        <x:f>IF($P940="","",HYPERLINK("#'"&amp;INDEX(Tasks!$T$10:$T$1941,$P940)&amp;"'!A"&amp;INDEX(Tasks!$U$10:$U$1941,$P940),"Open"))</x:f>
        <x:v>Open</x:v>
      </x:c>
      <x:c r="O940" s="14"/>
      <x:c r="P940" s="14" t="n">
        <x:f>IF(919&gt;$B$10,"",MATCH(919,Tasks!$S$10:$S$1941,0))</x:f>
        <x:v>1283</x:v>
      </x:c>
    </x:row>
    <x:row r="941" ht="58" customHeight="1">
      <x:c r="B941" s="86" t="str">
        <x:f>IF($P941="","",INDEX(Tasks!$B$10:$B$1941,$P941))</x:f>
        <x:v>Cycle 4</x:v>
      </x:c>
      <x:c r="C941" s="86" t="str">
        <x:f>IF($P941="","",INDEX(Tasks!$C$10:$C$1941,$P941))</x:f>
        <x:v>Phase 1</x:v>
      </x:c>
      <x:c r="D941" s="86" t="str">
        <x:f>IF($P941="","",INDEX(Tasks!$D$10:$D$1941,$P941))</x:f>
        <x:v>CSBBO - Customer Service</x:v>
      </x:c>
      <x:c r="E941" s="86"/>
      <x:c r="F941" s="86" t="str">
        <x:f>IF($P941="","",INDEX(Tasks!$E$10:$E$1941,$P941))</x:f>
        <x:v>Research &amp; Analysis</x:v>
      </x:c>
      <x:c r="G941" s="86"/>
      <x:c r="H941" s="14" t="str">
        <x:f>IF($P941="","",INDEX(Tasks!$F$10:$F$1941,$P941)&amp;CHAR(10)&amp;INDEX(Tasks!$G$10:$G$1941,$P941))</x:f>
        <x:v>RA.CS.1.4
Identify backup topic for Cycle</x:v>
      </x:c>
      <x:c r="I941" s="14"/>
      <x:c r="J941" s="14"/>
      <x:c r="K941" s="14"/>
      <x:c r="L941" s="86" t="str">
        <x:f>IF($P941="","",INDEX(Tasks!$N$10:$N$1941,$P941))</x:f>
        <x:v>Not started</x:v>
      </x:c>
      <x:c r="M941" s="87" t="n">
        <x:f>IF($P941="","",INDEX(Tasks!$J$10:$J$1941,$P941))</x:f>
        <x:v>46387</x:v>
      </x:c>
      <x:c r="N941" s="85" t="str">
        <x:f>IF($P941="","",HYPERLINK("#'"&amp;INDEX(Tasks!$T$10:$T$1941,$P941)&amp;"'!A"&amp;INDEX(Tasks!$U$10:$U$1941,$P941),"Open"))</x:f>
        <x:v>Open</x:v>
      </x:c>
      <x:c r="O941" s="14"/>
      <x:c r="P941" s="14" t="n">
        <x:f>IF(920&gt;$B$10,"",MATCH(920,Tasks!$S$10:$S$1941,0))</x:f>
        <x:v>1284</x:v>
      </x:c>
    </x:row>
    <x:row r="942" ht="58" customHeight="1">
      <x:c r="B942" s="86" t="str">
        <x:f>IF($P942="","",INDEX(Tasks!$B$10:$B$1941,$P942))</x:f>
        <x:v>Cycle 4</x:v>
      </x:c>
      <x:c r="C942" s="86" t="str">
        <x:f>IF($P942="","",INDEX(Tasks!$C$10:$C$1941,$P942))</x:f>
        <x:v>Phase 1</x:v>
      </x:c>
      <x:c r="D942" s="86" t="str">
        <x:f>IF($P942="","",INDEX(Tasks!$D$10:$D$1941,$P942))</x:f>
        <x:v>CSBBO - Customer Service</x:v>
      </x:c>
      <x:c r="E942" s="86"/>
      <x:c r="F942" s="86" t="str">
        <x:f>IF($P942="","",INDEX(Tasks!$E$10:$E$1941,$P942))</x:f>
        <x:v>Research &amp; Analysis</x:v>
      </x:c>
      <x:c r="G942" s="86"/>
      <x:c r="H942" s="14" t="str">
        <x:f>IF($P942="","",INDEX(Tasks!$F$10:$F$1941,$P942)&amp;CHAR(10)&amp;INDEX(Tasks!$G$10:$G$1941,$P942))</x:f>
        <x:v>RA.CS.1.5
Schedule topic approval meeting with D&amp;I and management</x:v>
      </x:c>
      <x:c r="I942" s="14"/>
      <x:c r="J942" s="14"/>
      <x:c r="K942" s="14"/>
      <x:c r="L942" s="86" t="str">
        <x:f>IF($P942="","",INDEX(Tasks!$N$10:$N$1941,$P942))</x:f>
        <x:v>Not started</x:v>
      </x:c>
      <x:c r="M942" s="87" t="n">
        <x:f>IF($P942="","",INDEX(Tasks!$J$10:$J$1941,$P942))</x:f>
        <x:v>46387</x:v>
      </x:c>
      <x:c r="N942" s="85" t="str">
        <x:f>IF($P942="","",HYPERLINK("#'"&amp;INDEX(Tasks!$T$10:$T$1941,$P942)&amp;"'!A"&amp;INDEX(Tasks!$U$10:$U$1941,$P942),"Open"))</x:f>
        <x:v>Open</x:v>
      </x:c>
      <x:c r="O942" s="14"/>
      <x:c r="P942" s="14" t="n">
        <x:f>IF(921&gt;$B$10,"",MATCH(921,Tasks!$S$10:$S$1941,0))</x:f>
        <x:v>1285</x:v>
      </x:c>
    </x:row>
    <x:row r="943" ht="58" customHeight="1">
      <x:c r="B943" s="86" t="str">
        <x:f>IF($P943="","",INDEX(Tasks!$B$10:$B$1941,$P943))</x:f>
        <x:v>Cycle 4</x:v>
      </x:c>
      <x:c r="C943" s="86" t="str">
        <x:f>IF($P943="","",INDEX(Tasks!$C$10:$C$1941,$P943))</x:f>
        <x:v>Phase 1</x:v>
      </x:c>
      <x:c r="D943" s="86" t="str">
        <x:f>IF($P943="","",INDEX(Tasks!$D$10:$D$1941,$P943))</x:f>
        <x:v>CSBBO - Customer Service</x:v>
      </x:c>
      <x:c r="E943" s="86"/>
      <x:c r="F943" s="86" t="str">
        <x:f>IF($P943="","",INDEX(Tasks!$E$10:$E$1941,$P943))</x:f>
        <x:v>Research &amp; Analysis</x:v>
      </x:c>
      <x:c r="G943" s="86"/>
      <x:c r="H943" s="14" t="str">
        <x:f>IF($P943="","",INDEX(Tasks!$F$10:$F$1941,$P943)&amp;CHAR(10)&amp;INDEX(Tasks!$G$10:$G$1941,$P943))</x:f>
        <x:v>RA.CS.1.6
Present recommended topic to D&amp;I and management for approval</x:v>
      </x:c>
      <x:c r="I943" s="14"/>
      <x:c r="J943" s="14"/>
      <x:c r="K943" s="14"/>
      <x:c r="L943" s="86" t="str">
        <x:f>IF($P943="","",INDEX(Tasks!$N$10:$N$1941,$P943))</x:f>
        <x:v>Not started</x:v>
      </x:c>
      <x:c r="M943" s="87" t="n">
        <x:f>IF($P943="","",INDEX(Tasks!$J$10:$J$1941,$P943))</x:f>
        <x:v>46387</x:v>
      </x:c>
      <x:c r="N943" s="85" t="str">
        <x:f>IF($P943="","",HYPERLINK("#'"&amp;INDEX(Tasks!$T$10:$T$1941,$P943)&amp;"'!A"&amp;INDEX(Tasks!$U$10:$U$1941,$P943),"Open"))</x:f>
        <x:v>Open</x:v>
      </x:c>
      <x:c r="O943" s="14"/>
      <x:c r="P943" s="14" t="n">
        <x:f>IF(922&gt;$B$10,"",MATCH(922,Tasks!$S$10:$S$1941,0))</x:f>
        <x:v>1286</x:v>
      </x:c>
    </x:row>
    <x:row r="944" ht="58" customHeight="1">
      <x:c r="B944" s="86" t="str">
        <x:f>IF($P944="","",INDEX(Tasks!$B$10:$B$1941,$P944))</x:f>
        <x:v>Cycle 4</x:v>
      </x:c>
      <x:c r="C944" s="86" t="str">
        <x:f>IF($P944="","",INDEX(Tasks!$C$10:$C$1941,$P944))</x:f>
        <x:v>Phase 1</x:v>
      </x:c>
      <x:c r="D944" s="86" t="str">
        <x:f>IF($P944="","",INDEX(Tasks!$D$10:$D$1941,$P944))</x:f>
        <x:v>CSBBO - Customer Service</x:v>
      </x:c>
      <x:c r="E944" s="86"/>
      <x:c r="F944" s="86" t="str">
        <x:f>IF($P944="","",INDEX(Tasks!$E$10:$E$1941,$P944))</x:f>
        <x:v>Research &amp; Analysis</x:v>
      </x:c>
      <x:c r="G944" s="86"/>
      <x:c r="H944" s="14" t="str">
        <x:f>IF($P944="","",INDEX(Tasks!$F$10:$F$1941,$P944)&amp;CHAR(10)&amp;INDEX(Tasks!$G$10:$G$1941,$P944))</x:f>
        <x:v>RA.CS.1.7
Obtain formal topic selection approval from management via SharePoint</x:v>
      </x:c>
      <x:c r="I944" s="14"/>
      <x:c r="J944" s="14"/>
      <x:c r="K944" s="14"/>
      <x:c r="L944" s="86" t="str">
        <x:f>IF($P944="","",INDEX(Tasks!$N$10:$N$1941,$P944))</x:f>
        <x:v>Not started</x:v>
      </x:c>
      <x:c r="M944" s="87" t="n">
        <x:f>IF($P944="","",INDEX(Tasks!$J$10:$J$1941,$P944))</x:f>
        <x:v>46387</x:v>
      </x:c>
      <x:c r="N944" s="85" t="str">
        <x:f>IF($P944="","",HYPERLINK("#'"&amp;INDEX(Tasks!$T$10:$T$1941,$P944)&amp;"'!A"&amp;INDEX(Tasks!$U$10:$U$1941,$P944),"Open"))</x:f>
        <x:v>Open</x:v>
      </x:c>
      <x:c r="O944" s="14"/>
      <x:c r="P944" s="14" t="n">
        <x:f>IF(923&gt;$B$10,"",MATCH(923,Tasks!$S$10:$S$1941,0))</x:f>
        <x:v>1287</x:v>
      </x:c>
    </x:row>
    <x:row r="945" ht="58" customHeight="1">
      <x:c r="B945" s="86" t="str">
        <x:f>IF($P945="","",INDEX(Tasks!$B$10:$B$1941,$P945))</x:f>
        <x:v>Cycle 4</x:v>
      </x:c>
      <x:c r="C945" s="86" t="str">
        <x:f>IF($P945="","",INDEX(Tasks!$C$10:$C$1941,$P945))</x:f>
        <x:v>Phase 1</x:v>
      </x:c>
      <x:c r="D945" s="86" t="str">
        <x:f>IF($P945="","",INDEX(Tasks!$D$10:$D$1941,$P945))</x:f>
        <x:v>CSBBO - Customer Service</x:v>
      </x:c>
      <x:c r="E945" s="86"/>
      <x:c r="F945" s="86" t="str">
        <x:f>IF($P945="","",INDEX(Tasks!$E$10:$E$1941,$P945))</x:f>
        <x:v>Research &amp; Analysis</x:v>
      </x:c>
      <x:c r="G945" s="86"/>
      <x:c r="H945" s="14" t="str">
        <x:f>IF($P945="","",INDEX(Tasks!$F$10:$F$1941,$P945)&amp;CHAR(10)&amp;INDEX(Tasks!$G$10:$G$1941,$P945))</x:f>
        <x:v>RA.CS.1.8
Socialize topic selection with product owners and subject matter experts (if known)</x:v>
      </x:c>
      <x:c r="I945" s="14"/>
      <x:c r="J945" s="14"/>
      <x:c r="K945" s="14"/>
      <x:c r="L945" s="86" t="str">
        <x:f>IF($P945="","",INDEX(Tasks!$N$10:$N$1941,$P945))</x:f>
        <x:v>Not started</x:v>
      </x:c>
      <x:c r="M945" s="87" t="n">
        <x:f>IF($P945="","",INDEX(Tasks!$J$10:$J$1941,$P945))</x:f>
        <x:v>46387</x:v>
      </x:c>
      <x:c r="N945" s="85" t="str">
        <x:f>IF($P945="","",HYPERLINK("#'"&amp;INDEX(Tasks!$T$10:$T$1941,$P945)&amp;"'!A"&amp;INDEX(Tasks!$U$10:$U$1941,$P945),"Open"))</x:f>
        <x:v>Open</x:v>
      </x:c>
      <x:c r="O945" s="14"/>
      <x:c r="P945" s="14" t="n">
        <x:f>IF(924&gt;$B$10,"",MATCH(924,Tasks!$S$10:$S$1941,0))</x:f>
        <x:v>1288</x:v>
      </x:c>
    </x:row>
    <x:row r="946" ht="58" customHeight="1">
      <x:c r="B946" s="86" t="str">
        <x:f>IF($P946="","",INDEX(Tasks!$B$10:$B$1941,$P946))</x:f>
        <x:v>Cycle 4</x:v>
      </x:c>
      <x:c r="C946" s="86" t="str">
        <x:f>IF($P946="","",INDEX(Tasks!$C$10:$C$1941,$P946))</x:f>
        <x:v>Phase 1</x:v>
      </x:c>
      <x:c r="D946" s="86" t="str">
        <x:f>IF($P946="","",INDEX(Tasks!$D$10:$D$1941,$P946))</x:f>
        <x:v>CSBBO - Customer Service</x:v>
      </x:c>
      <x:c r="E946" s="86"/>
      <x:c r="F946" s="86" t="str">
        <x:f>IF($P946="","",INDEX(Tasks!$E$10:$E$1941,$P946))</x:f>
        <x:v>Research &amp; Analysis</x:v>
      </x:c>
      <x:c r="G946" s="86"/>
      <x:c r="H946" s="14" t="str">
        <x:f>IF($P946="","",INDEX(Tasks!$F$10:$F$1941,$P946)&amp;CHAR(10)&amp;INDEX(Tasks!$G$10:$G$1941,$P946))</x:f>
        <x:v>RA.CS.1.9
Assign topic researchers</x:v>
      </x:c>
      <x:c r="I946" s="14"/>
      <x:c r="J946" s="14"/>
      <x:c r="K946" s="14"/>
      <x:c r="L946" s="86" t="str">
        <x:f>IF($P946="","",INDEX(Tasks!$N$10:$N$1941,$P946))</x:f>
        <x:v>Not started</x:v>
      </x:c>
      <x:c r="M946" s="87" t="n">
        <x:f>IF($P946="","",INDEX(Tasks!$J$10:$J$1941,$P946))</x:f>
        <x:v>46387</x:v>
      </x:c>
      <x:c r="N946" s="85" t="str">
        <x:f>IF($P946="","",HYPERLINK("#'"&amp;INDEX(Tasks!$T$10:$T$1941,$P946)&amp;"'!A"&amp;INDEX(Tasks!$U$10:$U$1941,$P946),"Open"))</x:f>
        <x:v>Open</x:v>
      </x:c>
      <x:c r="O946" s="14"/>
      <x:c r="P946" s="14" t="n">
        <x:f>IF(925&gt;$B$10,"",MATCH(925,Tasks!$S$10:$S$1941,0))</x:f>
        <x:v>1289</x:v>
      </x:c>
    </x:row>
    <x:row r="947" ht="58" customHeight="1">
      <x:c r="B947" s="86" t="str">
        <x:f>IF($P947="","",INDEX(Tasks!$B$10:$B$1941,$P947))</x:f>
        <x:v>Cycle 4</x:v>
      </x:c>
      <x:c r="C947" s="86" t="str">
        <x:f>IF($P947="","",INDEX(Tasks!$C$10:$C$1941,$P947))</x:f>
        <x:v>Phase 2</x:v>
      </x:c>
      <x:c r="D947" s="86" t="str">
        <x:f>IF($P947="","",INDEX(Tasks!$D$10:$D$1941,$P947))</x:f>
        <x:v>CSBBO - Customer Service</x:v>
      </x:c>
      <x:c r="E947" s="86"/>
      <x:c r="F947" s="86" t="str">
        <x:f>IF($P947="","",INDEX(Tasks!$E$10:$E$1941,$P947))</x:f>
        <x:v>Research &amp; Analysis</x:v>
      </x:c>
      <x:c r="G947" s="86"/>
      <x:c r="H947" s="14" t="str">
        <x:f>IF($P947="","",INDEX(Tasks!$F$10:$F$1941,$P947)&amp;CHAR(10)&amp;INDEX(Tasks!$G$10:$G$1941,$P947))</x:f>
        <x:v>RA.CS.2.1
Review data sources</x:v>
      </x:c>
      <x:c r="I947" s="14"/>
      <x:c r="J947" s="14"/>
      <x:c r="K947" s="14"/>
      <x:c r="L947" s="86" t="str">
        <x:f>IF($P947="","",INDEX(Tasks!$N$10:$N$1941,$P947))</x:f>
        <x:v>Not started</x:v>
      </x:c>
      <x:c r="M947" s="87" t="n">
        <x:f>IF($P947="","",INDEX(Tasks!$J$10:$J$1941,$P947))</x:f>
        <x:v>46387</x:v>
      </x:c>
      <x:c r="N947" s="85" t="str">
        <x:f>IF($P947="","",HYPERLINK("#'"&amp;INDEX(Tasks!$T$10:$T$1941,$P947)&amp;"'!A"&amp;INDEX(Tasks!$U$10:$U$1941,$P947),"Open"))</x:f>
        <x:v>Open</x:v>
      </x:c>
      <x:c r="O947" s="14"/>
      <x:c r="P947" s="14" t="n">
        <x:f>IF(926&gt;$B$10,"",MATCH(926,Tasks!$S$10:$S$1941,0))</x:f>
        <x:v>1290</x:v>
      </x:c>
    </x:row>
    <x:row r="948" ht="58" customHeight="1">
      <x:c r="B948" s="86" t="str">
        <x:f>IF($P948="","",INDEX(Tasks!$B$10:$B$1941,$P948))</x:f>
        <x:v>Cycle 4</x:v>
      </x:c>
      <x:c r="C948" s="86" t="str">
        <x:f>IF($P948="","",INDEX(Tasks!$C$10:$C$1941,$P948))</x:f>
        <x:v>Phase 2</x:v>
      </x:c>
      <x:c r="D948" s="86" t="str">
        <x:f>IF($P948="","",INDEX(Tasks!$D$10:$D$1941,$P948))</x:f>
        <x:v>CSBBO - Customer Service</x:v>
      </x:c>
      <x:c r="E948" s="86"/>
      <x:c r="F948" s="86" t="str">
        <x:f>IF($P948="","",INDEX(Tasks!$E$10:$E$1941,$P948))</x:f>
        <x:v>Research &amp; Analysis</x:v>
      </x:c>
      <x:c r="G948" s="86"/>
      <x:c r="H948" s="14" t="str">
        <x:f>IF($P948="","",INDEX(Tasks!$F$10:$F$1941,$P948)&amp;CHAR(10)&amp;INDEX(Tasks!$G$10:$G$1941,$P948))</x:f>
        <x:v>RA.CS.2.2
Review relevant policies and procedures</x:v>
      </x:c>
      <x:c r="I948" s="14"/>
      <x:c r="J948" s="14"/>
      <x:c r="K948" s="14"/>
      <x:c r="L948" s="86" t="str">
        <x:f>IF($P948="","",INDEX(Tasks!$N$10:$N$1941,$P948))</x:f>
        <x:v>Not started</x:v>
      </x:c>
      <x:c r="M948" s="87" t="n">
        <x:f>IF($P948="","",INDEX(Tasks!$J$10:$J$1941,$P948))</x:f>
        <x:v>46387</x:v>
      </x:c>
      <x:c r="N948" s="85" t="str">
        <x:f>IF($P948="","",HYPERLINK("#'"&amp;INDEX(Tasks!$T$10:$T$1941,$P948)&amp;"'!A"&amp;INDEX(Tasks!$U$10:$U$1941,$P948),"Open"))</x:f>
        <x:v>Open</x:v>
      </x:c>
      <x:c r="O948" s="14"/>
      <x:c r="P948" s="14" t="n">
        <x:f>IF(927&gt;$B$10,"",MATCH(927,Tasks!$S$10:$S$1941,0))</x:f>
        <x:v>1291</x:v>
      </x:c>
    </x:row>
    <x:row r="949" ht="58" customHeight="1">
      <x:c r="B949" s="86" t="str">
        <x:f>IF($P949="","",INDEX(Tasks!$B$10:$B$1941,$P949))</x:f>
        <x:v>Cycle 4</x:v>
      </x:c>
      <x:c r="C949" s="86" t="str">
        <x:f>IF($P949="","",INDEX(Tasks!$C$10:$C$1941,$P949))</x:f>
        <x:v>Phase 2</x:v>
      </x:c>
      <x:c r="D949" s="86" t="str">
        <x:f>IF($P949="","",INDEX(Tasks!$D$10:$D$1941,$P949))</x:f>
        <x:v>CSBBO - Customer Service</x:v>
      </x:c>
      <x:c r="E949" s="86"/>
      <x:c r="F949" s="86" t="str">
        <x:f>IF($P949="","",INDEX(Tasks!$E$10:$E$1941,$P949))</x:f>
        <x:v>Research &amp; Analysis</x:v>
      </x:c>
      <x:c r="G949" s="86"/>
      <x:c r="H949" s="14" t="str">
        <x:f>IF($P949="","",INDEX(Tasks!$F$10:$F$1941,$P949)&amp;CHAR(10)&amp;INDEX(Tasks!$G$10:$G$1941,$P949))</x:f>
        <x:v>RA.CS.2.3
Meet with SMEs to gain business insight and clarify questions</x:v>
      </x:c>
      <x:c r="I949" s="14"/>
      <x:c r="J949" s="14"/>
      <x:c r="K949" s="14"/>
      <x:c r="L949" s="86" t="str">
        <x:f>IF($P949="","",INDEX(Tasks!$N$10:$N$1941,$P949))</x:f>
        <x:v>Not started</x:v>
      </x:c>
      <x:c r="M949" s="87" t="n">
        <x:f>IF($P949="","",INDEX(Tasks!$J$10:$J$1941,$P949))</x:f>
        <x:v>46387</x:v>
      </x:c>
      <x:c r="N949" s="85" t="str">
        <x:f>IF($P949="","",HYPERLINK("#'"&amp;INDEX(Tasks!$T$10:$T$1941,$P949)&amp;"'!A"&amp;INDEX(Tasks!$U$10:$U$1941,$P949),"Open"))</x:f>
        <x:v>Open</x:v>
      </x:c>
      <x:c r="O949" s="14"/>
      <x:c r="P949" s="14" t="n">
        <x:f>IF(928&gt;$B$10,"",MATCH(928,Tasks!$S$10:$S$1941,0))</x:f>
        <x:v>1292</x:v>
      </x:c>
    </x:row>
    <x:row r="950" ht="58" customHeight="1">
      <x:c r="B950" s="86" t="str">
        <x:f>IF($P950="","",INDEX(Tasks!$B$10:$B$1941,$P950))</x:f>
        <x:v>Cycle 4</x:v>
      </x:c>
      <x:c r="C950" s="86" t="str">
        <x:f>IF($P950="","",INDEX(Tasks!$C$10:$C$1941,$P950))</x:f>
        <x:v>Phase 2</x:v>
      </x:c>
      <x:c r="D950" s="86" t="str">
        <x:f>IF($P950="","",INDEX(Tasks!$D$10:$D$1941,$P950))</x:f>
        <x:v>CSBBO - Customer Service</x:v>
      </x:c>
      <x:c r="E950" s="86"/>
      <x:c r="F950" s="86" t="str">
        <x:f>IF($P950="","",INDEX(Tasks!$E$10:$E$1941,$P950))</x:f>
        <x:v>Research &amp; Analysis</x:v>
      </x:c>
      <x:c r="G950" s="86"/>
      <x:c r="H950" s="14" t="str">
        <x:f>IF($P950="","",INDEX(Tasks!$F$10:$F$1941,$P950)&amp;CHAR(10)&amp;INDEX(Tasks!$G$10:$G$1941,$P950))</x:f>
        <x:v>RA.CS.2.4
Establish and maintain a recurring meeting with D&amp;I to discuss Cycle progress</x:v>
      </x:c>
      <x:c r="I950" s="14"/>
      <x:c r="J950" s="14"/>
      <x:c r="K950" s="14"/>
      <x:c r="L950" s="86" t="str">
        <x:f>IF($P950="","",INDEX(Tasks!$N$10:$N$1941,$P950))</x:f>
        <x:v>Not started</x:v>
      </x:c>
      <x:c r="M950" s="87" t="n">
        <x:f>IF($P950="","",INDEX(Tasks!$J$10:$J$1941,$P950))</x:f>
        <x:v>46387</x:v>
      </x:c>
      <x:c r="N950" s="85" t="str">
        <x:f>IF($P950="","",HYPERLINK("#'"&amp;INDEX(Tasks!$T$10:$T$1941,$P950)&amp;"'!A"&amp;INDEX(Tasks!$U$10:$U$1941,$P950),"Open"))</x:f>
        <x:v>Open</x:v>
      </x:c>
      <x:c r="O950" s="14"/>
      <x:c r="P950" s="14" t="n">
        <x:f>IF(929&gt;$B$10,"",MATCH(929,Tasks!$S$10:$S$1941,0))</x:f>
        <x:v>1293</x:v>
      </x:c>
    </x:row>
    <x:row r="951" ht="58" customHeight="1">
      <x:c r="B951" s="86" t="str">
        <x:f>IF($P951="","",INDEX(Tasks!$B$10:$B$1941,$P951))</x:f>
        <x:v>Cycle 4</x:v>
      </x:c>
      <x:c r="C951" s="86" t="str">
        <x:f>IF($P951="","",INDEX(Tasks!$C$10:$C$1941,$P951))</x:f>
        <x:v>Phase 2</x:v>
      </x:c>
      <x:c r="D951" s="86" t="str">
        <x:f>IF($P951="","",INDEX(Tasks!$D$10:$D$1941,$P951))</x:f>
        <x:v>CSBBO - Customer Service</x:v>
      </x:c>
      <x:c r="E951" s="86"/>
      <x:c r="F951" s="86" t="str">
        <x:f>IF($P951="","",INDEX(Tasks!$E$10:$E$1941,$P951))</x:f>
        <x:v>Research &amp; Analysis</x:v>
      </x:c>
      <x:c r="G951" s="86"/>
      <x:c r="H951" s="14" t="str">
        <x:f>IF($P951="","",INDEX(Tasks!$F$10:$F$1941,$P951)&amp;CHAR(10)&amp;INDEX(Tasks!$G$10:$G$1941,$P951))</x:f>
        <x:v>RA.CS.2.5
Perform data testing and sampling</x:v>
      </x:c>
      <x:c r="I951" s="14"/>
      <x:c r="J951" s="14"/>
      <x:c r="K951" s="14"/>
      <x:c r="L951" s="86" t="str">
        <x:f>IF($P951="","",INDEX(Tasks!$N$10:$N$1941,$P951))</x:f>
        <x:v>Not started</x:v>
      </x:c>
      <x:c r="M951" s="87" t="n">
        <x:f>IF($P951="","",INDEX(Tasks!$J$10:$J$1941,$P951))</x:f>
        <x:v>46387</x:v>
      </x:c>
      <x:c r="N951" s="85" t="str">
        <x:f>IF($P951="","",HYPERLINK("#'"&amp;INDEX(Tasks!$T$10:$T$1941,$P951)&amp;"'!A"&amp;INDEX(Tasks!$U$10:$U$1941,$P951),"Open"))</x:f>
        <x:v>Open</x:v>
      </x:c>
      <x:c r="O951" s="14"/>
      <x:c r="P951" s="14" t="n">
        <x:f>IF(930&gt;$B$10,"",MATCH(930,Tasks!$S$10:$S$1941,0))</x:f>
        <x:v>1294</x:v>
      </x:c>
    </x:row>
    <x:row r="952" ht="58" customHeight="1">
      <x:c r="B952" s="86" t="str">
        <x:f>IF($P952="","",INDEX(Tasks!$B$10:$B$1941,$P952))</x:f>
        <x:v>Cycle 4</x:v>
      </x:c>
      <x:c r="C952" s="86" t="str">
        <x:f>IF($P952="","",INDEX(Tasks!$C$10:$C$1941,$P952))</x:f>
        <x:v>Phase 2</x:v>
      </x:c>
      <x:c r="D952" s="86" t="str">
        <x:f>IF($P952="","",INDEX(Tasks!$D$10:$D$1941,$P952))</x:f>
        <x:v>CSBBO - Customer Service</x:v>
      </x:c>
      <x:c r="E952" s="86"/>
      <x:c r="F952" s="86" t="str">
        <x:f>IF($P952="","",INDEX(Tasks!$E$10:$E$1941,$P952))</x:f>
        <x:v>Research &amp; Analysis</x:v>
      </x:c>
      <x:c r="G952" s="86"/>
      <x:c r="H952" s="14" t="str">
        <x:f>IF($P952="","",INDEX(Tasks!$F$10:$F$1941,$P952)&amp;CHAR(10)&amp;INDEX(Tasks!$G$10:$G$1941,$P952))</x:f>
        <x:v>RA.CS.2.6
Complete Positive Testing</x:v>
      </x:c>
      <x:c r="I952" s="14"/>
      <x:c r="J952" s="14"/>
      <x:c r="K952" s="14"/>
      <x:c r="L952" s="86" t="str">
        <x:f>IF($P952="","",INDEX(Tasks!$N$10:$N$1941,$P952))</x:f>
        <x:v>Not started</x:v>
      </x:c>
      <x:c r="M952" s="87" t="n">
        <x:f>IF($P952="","",INDEX(Tasks!$J$10:$J$1941,$P952))</x:f>
        <x:v>46387</x:v>
      </x:c>
      <x:c r="N952" s="85" t="str">
        <x:f>IF($P952="","",HYPERLINK("#'"&amp;INDEX(Tasks!$T$10:$T$1941,$P952)&amp;"'!A"&amp;INDEX(Tasks!$U$10:$U$1941,$P952),"Open"))</x:f>
        <x:v>Open</x:v>
      </x:c>
      <x:c r="O952" s="14"/>
      <x:c r="P952" s="14" t="n">
        <x:f>IF(931&gt;$B$10,"",MATCH(931,Tasks!$S$10:$S$1941,0))</x:f>
        <x:v>1295</x:v>
      </x:c>
    </x:row>
    <x:row r="953" ht="58" customHeight="1">
      <x:c r="B953" s="86" t="str">
        <x:f>IF($P953="","",INDEX(Tasks!$B$10:$B$1941,$P953))</x:f>
        <x:v>Cycle 4</x:v>
      </x:c>
      <x:c r="C953" s="86" t="str">
        <x:f>IF($P953="","",INDEX(Tasks!$C$10:$C$1941,$P953))</x:f>
        <x:v>Phase 2</x:v>
      </x:c>
      <x:c r="D953" s="86" t="str">
        <x:f>IF($P953="","",INDEX(Tasks!$D$10:$D$1941,$P953))</x:f>
        <x:v>CSBBO - Customer Service</x:v>
      </x:c>
      <x:c r="E953" s="86"/>
      <x:c r="F953" s="86" t="str">
        <x:f>IF($P953="","",INDEX(Tasks!$E$10:$E$1941,$P953))</x:f>
        <x:v>Research &amp; Analysis</x:v>
      </x:c>
      <x:c r="G953" s="86"/>
      <x:c r="H953" s="14" t="str">
        <x:f>IF($P953="","",INDEX(Tasks!$F$10:$F$1941,$P953)&amp;CHAR(10)&amp;INDEX(Tasks!$G$10:$G$1941,$P953))</x:f>
        <x:v>RA.CS.2.7
Complete Negative Testing</x:v>
      </x:c>
      <x:c r="I953" s="14"/>
      <x:c r="J953" s="14"/>
      <x:c r="K953" s="14"/>
      <x:c r="L953" s="86" t="str">
        <x:f>IF($P953="","",INDEX(Tasks!$N$10:$N$1941,$P953))</x:f>
        <x:v>Not started</x:v>
      </x:c>
      <x:c r="M953" s="87" t="n">
        <x:f>IF($P953="","",INDEX(Tasks!$J$10:$J$1941,$P953))</x:f>
        <x:v>46387</x:v>
      </x:c>
      <x:c r="N953" s="85" t="str">
        <x:f>IF($P953="","",HYPERLINK("#'"&amp;INDEX(Tasks!$T$10:$T$1941,$P953)&amp;"'!A"&amp;INDEX(Tasks!$U$10:$U$1941,$P953),"Open"))</x:f>
        <x:v>Open</x:v>
      </x:c>
      <x:c r="O953" s="14"/>
      <x:c r="P953" s="14" t="n">
        <x:f>IF(932&gt;$B$10,"",MATCH(932,Tasks!$S$10:$S$1941,0))</x:f>
        <x:v>1296</x:v>
      </x:c>
    </x:row>
    <x:row r="954" ht="58" customHeight="1">
      <x:c r="B954" s="86" t="str">
        <x:f>IF($P954="","",INDEX(Tasks!$B$10:$B$1941,$P954))</x:f>
        <x:v>Cycle 4</x:v>
      </x:c>
      <x:c r="C954" s="86" t="str">
        <x:f>IF($P954="","",INDEX(Tasks!$C$10:$C$1941,$P954))</x:f>
        <x:v>Phase 2</x:v>
      </x:c>
      <x:c r="D954" s="86" t="str">
        <x:f>IF($P954="","",INDEX(Tasks!$D$10:$D$1941,$P954))</x:f>
        <x:v>CSBBO - Customer Service</x:v>
      </x:c>
      <x:c r="E954" s="86"/>
      <x:c r="F954" s="86" t="str">
        <x:f>IF($P954="","",INDEX(Tasks!$E$10:$E$1941,$P954))</x:f>
        <x:v>Research &amp; Analysis</x:v>
      </x:c>
      <x:c r="G954" s="86"/>
      <x:c r="H954" s="14" t="str">
        <x:f>IF($P954="","",INDEX(Tasks!$F$10:$F$1941,$P954)&amp;CHAR(10)&amp;INDEX(Tasks!$G$10:$G$1941,$P954))</x:f>
        <x:v>RA.CS.2.8
Request additional data (as needed)</x:v>
      </x:c>
      <x:c r="I954" s="14"/>
      <x:c r="J954" s="14"/>
      <x:c r="K954" s="14"/>
      <x:c r="L954" s="86" t="str">
        <x:f>IF($P954="","",INDEX(Tasks!$N$10:$N$1941,$P954))</x:f>
        <x:v>Not started</x:v>
      </x:c>
      <x:c r="M954" s="87" t="n">
        <x:f>IF($P954="","",INDEX(Tasks!$J$10:$J$1941,$P954))</x:f>
        <x:v>46387</x:v>
      </x:c>
      <x:c r="N954" s="85" t="str">
        <x:f>IF($P954="","",HYPERLINK("#'"&amp;INDEX(Tasks!$T$10:$T$1941,$P954)&amp;"'!A"&amp;INDEX(Tasks!$U$10:$U$1941,$P954),"Open"))</x:f>
        <x:v>Open</x:v>
      </x:c>
      <x:c r="O954" s="14"/>
      <x:c r="P954" s="14" t="n">
        <x:f>IF(933&gt;$B$10,"",MATCH(933,Tasks!$S$10:$S$1941,0))</x:f>
        <x:v>1297</x:v>
      </x:c>
    </x:row>
    <x:row r="955" ht="58" customHeight="1">
      <x:c r="B955" s="86" t="str">
        <x:f>IF($P955="","",INDEX(Tasks!$B$10:$B$1941,$P955))</x:f>
        <x:v>Cycle 4</x:v>
      </x:c>
      <x:c r="C955" s="86" t="str">
        <x:f>IF($P955="","",INDEX(Tasks!$C$10:$C$1941,$P955))</x:f>
        <x:v>Phase 2</x:v>
      </x:c>
      <x:c r="D955" s="86" t="str">
        <x:f>IF($P955="","",INDEX(Tasks!$D$10:$D$1941,$P955))</x:f>
        <x:v>CSBBO - Customer Service</x:v>
      </x:c>
      <x:c r="E955" s="86"/>
      <x:c r="F955" s="86" t="str">
        <x:f>IF($P955="","",INDEX(Tasks!$E$10:$E$1941,$P955))</x:f>
        <x:v>Research &amp; Analysis</x:v>
      </x:c>
      <x:c r="G955" s="86"/>
      <x:c r="H955" s="14" t="str">
        <x:f>IF($P955="","",INDEX(Tasks!$F$10:$F$1941,$P955)&amp;CHAR(10)&amp;INDEX(Tasks!$G$10:$G$1941,$P955))</x:f>
        <x:v>RA.CS.2.9
Validate or disprove initial hypothesis assumptions</x:v>
      </x:c>
      <x:c r="I955" s="14"/>
      <x:c r="J955" s="14"/>
      <x:c r="K955" s="14"/>
      <x:c r="L955" s="86" t="str">
        <x:f>IF($P955="","",INDEX(Tasks!$N$10:$N$1941,$P955))</x:f>
        <x:v>Not started</x:v>
      </x:c>
      <x:c r="M955" s="87" t="n">
        <x:f>IF($P955="","",INDEX(Tasks!$J$10:$J$1941,$P955))</x:f>
        <x:v>46387</x:v>
      </x:c>
      <x:c r="N955" s="85" t="str">
        <x:f>IF($P955="","",HYPERLINK("#'"&amp;INDEX(Tasks!$T$10:$T$1941,$P955)&amp;"'!A"&amp;INDEX(Tasks!$U$10:$U$1941,$P955),"Open"))</x:f>
        <x:v>Open</x:v>
      </x:c>
      <x:c r="O955" s="14"/>
      <x:c r="P955" s="14" t="n">
        <x:f>IF(934&gt;$B$10,"",MATCH(934,Tasks!$S$10:$S$1941,0))</x:f>
        <x:v>1298</x:v>
      </x:c>
    </x:row>
    <x:row r="956" ht="58" customHeight="1">
      <x:c r="B956" s="86" t="str">
        <x:f>IF($P956="","",INDEX(Tasks!$B$10:$B$1941,$P956))</x:f>
        <x:v>Cycle 4</x:v>
      </x:c>
      <x:c r="C956" s="86" t="str">
        <x:f>IF($P956="","",INDEX(Tasks!$C$10:$C$1941,$P956))</x:f>
        <x:v>Phase 2</x:v>
      </x:c>
      <x:c r="D956" s="86" t="str">
        <x:f>IF($P956="","",INDEX(Tasks!$D$10:$D$1941,$P956))</x:f>
        <x:v>CSBBO - Customer Service</x:v>
      </x:c>
      <x:c r="E956" s="86"/>
      <x:c r="F956" s="86" t="str">
        <x:f>IF($P956="","",INDEX(Tasks!$E$10:$E$1941,$P956))</x:f>
        <x:v>Research &amp; Analysis</x:v>
      </x:c>
      <x:c r="G956" s="86"/>
      <x:c r="H956" s="14" t="str">
        <x:f>IF($P956="","",INDEX(Tasks!$F$10:$F$1941,$P956)&amp;CHAR(10)&amp;INDEX(Tasks!$G$10:$G$1941,$P956))</x:f>
        <x:v>RA.CS.2.10
Identify and confirm root cause</x:v>
      </x:c>
      <x:c r="I956" s="14"/>
      <x:c r="J956" s="14"/>
      <x:c r="K956" s="14"/>
      <x:c r="L956" s="86" t="str">
        <x:f>IF($P956="","",INDEX(Tasks!$N$10:$N$1941,$P956))</x:f>
        <x:v>Not started</x:v>
      </x:c>
      <x:c r="M956" s="87" t="n">
        <x:f>IF($P956="","",INDEX(Tasks!$J$10:$J$1941,$P956))</x:f>
        <x:v>46387</x:v>
      </x:c>
      <x:c r="N956" s="85" t="str">
        <x:f>IF($P956="","",HYPERLINK("#'"&amp;INDEX(Tasks!$T$10:$T$1941,$P956)&amp;"'!A"&amp;INDEX(Tasks!$U$10:$U$1941,$P956),"Open"))</x:f>
        <x:v>Open</x:v>
      </x:c>
      <x:c r="O956" s="14"/>
      <x:c r="P956" s="14" t="n">
        <x:f>IF(935&gt;$B$10,"",MATCH(935,Tasks!$S$10:$S$1941,0))</x:f>
        <x:v>1299</x:v>
      </x:c>
    </x:row>
    <x:row r="957" ht="58" customHeight="1">
      <x:c r="B957" s="86" t="str">
        <x:f>IF($P957="","",INDEX(Tasks!$B$10:$B$1941,$P957))</x:f>
        <x:v>Cycle 4</x:v>
      </x:c>
      <x:c r="C957" s="86" t="str">
        <x:f>IF($P957="","",INDEX(Tasks!$C$10:$C$1941,$P957))</x:f>
        <x:v>Phase 3</x:v>
      </x:c>
      <x:c r="D957" s="86" t="str">
        <x:f>IF($P957="","",INDEX(Tasks!$D$10:$D$1941,$P957))</x:f>
        <x:v>CSBBO - Customer Service</x:v>
      </x:c>
      <x:c r="E957" s="86"/>
      <x:c r="F957" s="86" t="str">
        <x:f>IF($P957="","",INDEX(Tasks!$E$10:$E$1941,$P957))</x:f>
        <x:v>Research &amp; Analysis</x:v>
      </x:c>
      <x:c r="G957" s="86"/>
      <x:c r="H957" s="14" t="str">
        <x:f>IF($P957="","",INDEX(Tasks!$F$10:$F$1941,$P957)&amp;CHAR(10)&amp;INDEX(Tasks!$G$10:$G$1941,$P957))</x:f>
        <x:v>RA.CS.3.1
Finalize results and supporting documentation</x:v>
      </x:c>
      <x:c r="I957" s="14"/>
      <x:c r="J957" s="14"/>
      <x:c r="K957" s="14"/>
      <x:c r="L957" s="86" t="str">
        <x:f>IF($P957="","",INDEX(Tasks!$N$10:$N$1941,$P957))</x:f>
        <x:v>Not started</x:v>
      </x:c>
      <x:c r="M957" s="87" t="n">
        <x:f>IF($P957="","",INDEX(Tasks!$J$10:$J$1941,$P957))</x:f>
        <x:v>46387</x:v>
      </x:c>
      <x:c r="N957" s="85" t="str">
        <x:f>IF($P957="","",HYPERLINK("#'"&amp;INDEX(Tasks!$T$10:$T$1941,$P957)&amp;"'!A"&amp;INDEX(Tasks!$U$10:$U$1941,$P957),"Open"))</x:f>
        <x:v>Open</x:v>
      </x:c>
      <x:c r="O957" s="14"/>
      <x:c r="P957" s="14" t="n">
        <x:f>IF(936&gt;$B$10,"",MATCH(936,Tasks!$S$10:$S$1941,0))</x:f>
        <x:v>1300</x:v>
      </x:c>
    </x:row>
    <x:row r="958" ht="58" customHeight="1">
      <x:c r="B958" s="86" t="str">
        <x:f>IF($P958="","",INDEX(Tasks!$B$10:$B$1941,$P958))</x:f>
        <x:v>Cycle 4</x:v>
      </x:c>
      <x:c r="C958" s="86" t="str">
        <x:f>IF($P958="","",INDEX(Tasks!$C$10:$C$1941,$P958))</x:f>
        <x:v>Phase 3</x:v>
      </x:c>
      <x:c r="D958" s="86" t="str">
        <x:f>IF($P958="","",INDEX(Tasks!$D$10:$D$1941,$P958))</x:f>
        <x:v>CSBBO - Customer Service</x:v>
      </x:c>
      <x:c r="E958" s="86"/>
      <x:c r="F958" s="86" t="str">
        <x:f>IF($P958="","",INDEX(Tasks!$E$10:$E$1941,$P958))</x:f>
        <x:v>Research &amp; Analysis</x:v>
      </x:c>
      <x:c r="G958" s="86"/>
      <x:c r="H958" s="14" t="str">
        <x:f>IF($P958="","",INDEX(Tasks!$F$10:$F$1941,$P958)&amp;CHAR(10)&amp;INDEX(Tasks!$G$10:$G$1941,$P958))</x:f>
        <x:v>RA.CS.3.2
Maintain and update the evidence package prior to handoff to D&amp;I</x:v>
      </x:c>
      <x:c r="I958" s="14"/>
      <x:c r="J958" s="14"/>
      <x:c r="K958" s="14"/>
      <x:c r="L958" s="86" t="str">
        <x:f>IF($P958="","",INDEX(Tasks!$N$10:$N$1941,$P958))</x:f>
        <x:v>Not started</x:v>
      </x:c>
      <x:c r="M958" s="87" t="n">
        <x:f>IF($P958="","",INDEX(Tasks!$J$10:$J$1941,$P958))</x:f>
        <x:v>46387</x:v>
      </x:c>
      <x:c r="N958" s="85" t="str">
        <x:f>IF($P958="","",HYPERLINK("#'"&amp;INDEX(Tasks!$T$10:$T$1941,$P958)&amp;"'!A"&amp;INDEX(Tasks!$U$10:$U$1941,$P958),"Open"))</x:f>
        <x:v>Open</x:v>
      </x:c>
      <x:c r="O958" s="14"/>
      <x:c r="P958" s="14" t="n">
        <x:f>IF(937&gt;$B$10,"",MATCH(937,Tasks!$S$10:$S$1941,0))</x:f>
        <x:v>1301</x:v>
      </x:c>
    </x:row>
    <x:row r="959" ht="58" customHeight="1">
      <x:c r="B959" s="86" t="str">
        <x:f>IF($P959="","",INDEX(Tasks!$B$10:$B$1941,$P959))</x:f>
        <x:v>Cycle 4</x:v>
      </x:c>
      <x:c r="C959" s="86" t="str">
        <x:f>IF($P959="","",INDEX(Tasks!$C$10:$C$1941,$P959))</x:f>
        <x:v>Phase 3</x:v>
      </x:c>
      <x:c r="D959" s="86" t="str">
        <x:f>IF($P959="","",INDEX(Tasks!$D$10:$D$1941,$P959))</x:f>
        <x:v>CSBBO - Customer Service</x:v>
      </x:c>
      <x:c r="E959" s="86"/>
      <x:c r="F959" s="86" t="str">
        <x:f>IF($P959="","",INDEX(Tasks!$E$10:$E$1941,$P959))</x:f>
        <x:v>Research &amp; Analysis</x:v>
      </x:c>
      <x:c r="G959" s="86"/>
      <x:c r="H959" s="14" t="str">
        <x:f>IF($P959="","",INDEX(Tasks!$F$10:$F$1941,$P959)&amp;CHAR(10)&amp;INDEX(Tasks!$G$10:$G$1941,$P959))</x:f>
        <x:v>RA.CS.3.3
Address any outstanding questions or requests from D&amp;I</x:v>
      </x:c>
      <x:c r="I959" s="14"/>
      <x:c r="J959" s="14"/>
      <x:c r="K959" s="14"/>
      <x:c r="L959" s="86" t="str">
        <x:f>IF($P959="","",INDEX(Tasks!$N$10:$N$1941,$P959))</x:f>
        <x:v>Not started</x:v>
      </x:c>
      <x:c r="M959" s="87" t="n">
        <x:f>IF($P959="","",INDEX(Tasks!$J$10:$J$1941,$P959))</x:f>
        <x:v>46387</x:v>
      </x:c>
      <x:c r="N959" s="85" t="str">
        <x:f>IF($P959="","",HYPERLINK("#'"&amp;INDEX(Tasks!$T$10:$T$1941,$P959)&amp;"'!A"&amp;INDEX(Tasks!$U$10:$U$1941,$P959),"Open"))</x:f>
        <x:v>Open</x:v>
      </x:c>
      <x:c r="O959" s="14"/>
      <x:c r="P959" s="14" t="n">
        <x:f>IF(938&gt;$B$10,"",MATCH(938,Tasks!$S$10:$S$1941,0))</x:f>
        <x:v>1302</x:v>
      </x:c>
    </x:row>
    <x:row r="960" ht="58" customHeight="1">
      <x:c r="B960" s="86" t="str">
        <x:f>IF($P960="","",INDEX(Tasks!$B$10:$B$1941,$P960))</x:f>
        <x:v>Cycle 4</x:v>
      </x:c>
      <x:c r="C960" s="86" t="str">
        <x:f>IF($P960="","",INDEX(Tasks!$C$10:$C$1941,$P960))</x:f>
        <x:v>Phase 3</x:v>
      </x:c>
      <x:c r="D960" s="86" t="str">
        <x:f>IF($P960="","",INDEX(Tasks!$D$10:$D$1941,$P960))</x:f>
        <x:v>CSBBO - Customer Service</x:v>
      </x:c>
      <x:c r="E960" s="86"/>
      <x:c r="F960" s="86" t="str">
        <x:f>IF($P960="","",INDEX(Tasks!$E$10:$E$1941,$P960))</x:f>
        <x:v>Research &amp; Analysis</x:v>
      </x:c>
      <x:c r="G960" s="86"/>
      <x:c r="H960" s="14" t="str">
        <x:f>IF($P960="","",INDEX(Tasks!$F$10:$F$1941,$P960)&amp;CHAR(10)&amp;INDEX(Tasks!$G$10:$G$1941,$P960))</x:f>
        <x:v>RA.CS.3.4
Attend Forum meeting with D&amp;I to assist with answering stakeholder questions (as needed)</x:v>
      </x:c>
      <x:c r="I960" s="14"/>
      <x:c r="J960" s="14"/>
      <x:c r="K960" s="14"/>
      <x:c r="L960" s="86" t="str">
        <x:f>IF($P960="","",INDEX(Tasks!$N$10:$N$1941,$P960))</x:f>
        <x:v>Not started</x:v>
      </x:c>
      <x:c r="M960" s="87" t="str">
        <x:f>IF($P960="","",INDEX(Tasks!$J$10:$J$1941,$P960))</x:f>
      </x:c>
      <x:c r="N960" s="85" t="str">
        <x:f>IF($P960="","",HYPERLINK("#'"&amp;INDEX(Tasks!$T$10:$T$1941,$P960)&amp;"'!A"&amp;INDEX(Tasks!$U$10:$U$1941,$P960),"Open"))</x:f>
        <x:v>Open</x:v>
      </x:c>
      <x:c r="O960" s="14"/>
      <x:c r="P960" s="14" t="n">
        <x:f>IF(939&gt;$B$10,"",MATCH(939,Tasks!$S$10:$S$1941,0))</x:f>
        <x:v>1303</x:v>
      </x:c>
    </x:row>
    <x:row r="961" ht="58" customHeight="1">
      <x:c r="B961" s="86" t="str">
        <x:f>IF($P961="","",INDEX(Tasks!$B$10:$B$1941,$P961))</x:f>
        <x:v>Cycle 4</x:v>
      </x:c>
      <x:c r="C961" s="86" t="str">
        <x:f>IF($P961="","",INDEX(Tasks!$C$10:$C$1941,$P961))</x:f>
        <x:v>Phase 1</x:v>
      </x:c>
      <x:c r="D961" s="86" t="str">
        <x:f>IF($P961="","",INDEX(Tasks!$D$10:$D$1941,$P961))</x:f>
        <x:v>FCM</x:v>
      </x:c>
      <x:c r="E961" s="86"/>
      <x:c r="F961" s="86" t="str">
        <x:f>IF($P961="","",INDEX(Tasks!$E$10:$E$1941,$P961))</x:f>
        <x:v>Research &amp; Analysis</x:v>
      </x:c>
      <x:c r="G961" s="86"/>
      <x:c r="H961" s="14" t="str">
        <x:f>IF($P961="","",INDEX(Tasks!$F$10:$F$1941,$P961)&amp;CHAR(10)&amp;INDEX(Tasks!$G$10:$G$1941,$P961))</x:f>
        <x:v>RA.FC.1.1
Begin Research process 2 weeks prior to Cycle start</x:v>
      </x:c>
      <x:c r="I961" s="14"/>
      <x:c r="J961" s="14"/>
      <x:c r="K961" s="14"/>
      <x:c r="L961" s="86" t="str">
        <x:f>IF($P961="","",INDEX(Tasks!$N$10:$N$1941,$P961))</x:f>
        <x:v>Not started</x:v>
      </x:c>
      <x:c r="M961" s="87" t="n">
        <x:f>IF($P961="","",INDEX(Tasks!$J$10:$J$1941,$P961))</x:f>
        <x:v>46282</x:v>
      </x:c>
      <x:c r="N961" s="85" t="str">
        <x:f>IF($P961="","",HYPERLINK("#'"&amp;INDEX(Tasks!$T$10:$T$1941,$P961)&amp;"'!A"&amp;INDEX(Tasks!$U$10:$U$1941,$P961),"Open"))</x:f>
        <x:v>Open</x:v>
      </x:c>
      <x:c r="O961" s="14"/>
      <x:c r="P961" s="14" t="n">
        <x:f>IF(940&gt;$B$10,"",MATCH(940,Tasks!$S$10:$S$1941,0))</x:f>
        <x:v>1304</x:v>
      </x:c>
    </x:row>
    <x:row r="962" ht="58" customHeight="1">
      <x:c r="B962" s="86" t="str">
        <x:f>IF($P962="","",INDEX(Tasks!$B$10:$B$1941,$P962))</x:f>
        <x:v>Cycle 4</x:v>
      </x:c>
      <x:c r="C962" s="86" t="str">
        <x:f>IF($P962="","",INDEX(Tasks!$C$10:$C$1941,$P962))</x:f>
        <x:v>Phase 1</x:v>
      </x:c>
      <x:c r="D962" s="86" t="str">
        <x:f>IF($P962="","",INDEX(Tasks!$D$10:$D$1941,$P962))</x:f>
        <x:v>FCM</x:v>
      </x:c>
      <x:c r="E962" s="86"/>
      <x:c r="F962" s="86" t="str">
        <x:f>IF($P962="","",INDEX(Tasks!$E$10:$E$1941,$P962))</x:f>
        <x:v>Research &amp; Analysis</x:v>
      </x:c>
      <x:c r="G962" s="86"/>
      <x:c r="H962" s="14" t="str">
        <x:f>IF($P962="","",INDEX(Tasks!$F$10:$F$1941,$P962)&amp;CHAR(10)&amp;INDEX(Tasks!$G$10:$G$1941,$P962))</x:f>
        <x:v>RA.FC.1.2
Conduct initial assessment of each topic recommendation from SharePoint list</x:v>
      </x:c>
      <x:c r="I962" s="14"/>
      <x:c r="J962" s="14"/>
      <x:c r="K962" s="14"/>
      <x:c r="L962" s="86" t="str">
        <x:f>IF($P962="","",INDEX(Tasks!$N$10:$N$1941,$P962))</x:f>
        <x:v>Not started</x:v>
      </x:c>
      <x:c r="M962" s="87" t="n">
        <x:f>IF($P962="","",INDEX(Tasks!$J$10:$J$1941,$P962))</x:f>
        <x:v>46387</x:v>
      </x:c>
      <x:c r="N962" s="85" t="str">
        <x:f>IF($P962="","",HYPERLINK("#'"&amp;INDEX(Tasks!$T$10:$T$1941,$P962)&amp;"'!A"&amp;INDEX(Tasks!$U$10:$U$1941,$P962),"Open"))</x:f>
        <x:v>Open</x:v>
      </x:c>
      <x:c r="O962" s="14"/>
      <x:c r="P962" s="14" t="n">
        <x:f>IF(941&gt;$B$10,"",MATCH(941,Tasks!$S$10:$S$1941,0))</x:f>
        <x:v>1305</x:v>
      </x:c>
    </x:row>
    <x:row r="963" ht="58" customHeight="1">
      <x:c r="B963" s="86" t="str">
        <x:f>IF($P963="","",INDEX(Tasks!$B$10:$B$1941,$P963))</x:f>
        <x:v>Cycle 4</x:v>
      </x:c>
      <x:c r="C963" s="86" t="str">
        <x:f>IF($P963="","",INDEX(Tasks!$C$10:$C$1941,$P963))</x:f>
        <x:v>Phase 1</x:v>
      </x:c>
      <x:c r="D963" s="86" t="str">
        <x:f>IF($P963="","",INDEX(Tasks!$D$10:$D$1941,$P963))</x:f>
        <x:v>FCM</x:v>
      </x:c>
      <x:c r="E963" s="86"/>
      <x:c r="F963" s="86" t="str">
        <x:f>IF($P963="","",INDEX(Tasks!$E$10:$E$1941,$P963))</x:f>
        <x:v>Research &amp; Analysis</x:v>
      </x:c>
      <x:c r="G963" s="86"/>
      <x:c r="H963" s="14" t="str">
        <x:f>IF($P963="","",INDEX(Tasks!$F$10:$F$1941,$P963)&amp;CHAR(10)&amp;INDEX(Tasks!$G$10:$G$1941,$P963))</x:f>
        <x:v>RA.FC.1.3
Identify best topic for Cycle</x:v>
      </x:c>
      <x:c r="I963" s="14"/>
      <x:c r="J963" s="14"/>
      <x:c r="K963" s="14"/>
      <x:c r="L963" s="86" t="str">
        <x:f>IF($P963="","",INDEX(Tasks!$N$10:$N$1941,$P963))</x:f>
        <x:v>Not started</x:v>
      </x:c>
      <x:c r="M963" s="87" t="n">
        <x:f>IF($P963="","",INDEX(Tasks!$J$10:$J$1941,$P963))</x:f>
        <x:v>46387</x:v>
      </x:c>
      <x:c r="N963" s="85" t="str">
        <x:f>IF($P963="","",HYPERLINK("#'"&amp;INDEX(Tasks!$T$10:$T$1941,$P963)&amp;"'!A"&amp;INDEX(Tasks!$U$10:$U$1941,$P963),"Open"))</x:f>
        <x:v>Open</x:v>
      </x:c>
      <x:c r="O963" s="14"/>
      <x:c r="P963" s="14" t="n">
        <x:f>IF(942&gt;$B$10,"",MATCH(942,Tasks!$S$10:$S$1941,0))</x:f>
        <x:v>1306</x:v>
      </x:c>
    </x:row>
    <x:row r="964" ht="58" customHeight="1">
      <x:c r="B964" s="86" t="str">
        <x:f>IF($P964="","",INDEX(Tasks!$B$10:$B$1941,$P964))</x:f>
        <x:v>Cycle 4</x:v>
      </x:c>
      <x:c r="C964" s="86" t="str">
        <x:f>IF($P964="","",INDEX(Tasks!$C$10:$C$1941,$P964))</x:f>
        <x:v>Phase 1</x:v>
      </x:c>
      <x:c r="D964" s="86" t="str">
        <x:f>IF($P964="","",INDEX(Tasks!$D$10:$D$1941,$P964))</x:f>
        <x:v>FCM</x:v>
      </x:c>
      <x:c r="E964" s="86"/>
      <x:c r="F964" s="86" t="str">
        <x:f>IF($P964="","",INDEX(Tasks!$E$10:$E$1941,$P964))</x:f>
        <x:v>Research &amp; Analysis</x:v>
      </x:c>
      <x:c r="G964" s="86"/>
      <x:c r="H964" s="14" t="str">
        <x:f>IF($P964="","",INDEX(Tasks!$F$10:$F$1941,$P964)&amp;CHAR(10)&amp;INDEX(Tasks!$G$10:$G$1941,$P964))</x:f>
        <x:v>RA.FC.1.4
Identify backup topic for Cycle</x:v>
      </x:c>
      <x:c r="I964" s="14"/>
      <x:c r="J964" s="14"/>
      <x:c r="K964" s="14"/>
      <x:c r="L964" s="86" t="str">
        <x:f>IF($P964="","",INDEX(Tasks!$N$10:$N$1941,$P964))</x:f>
        <x:v>Not started</x:v>
      </x:c>
      <x:c r="M964" s="87" t="n">
        <x:f>IF($P964="","",INDEX(Tasks!$J$10:$J$1941,$P964))</x:f>
        <x:v>46387</x:v>
      </x:c>
      <x:c r="N964" s="85" t="str">
        <x:f>IF($P964="","",HYPERLINK("#'"&amp;INDEX(Tasks!$T$10:$T$1941,$P964)&amp;"'!A"&amp;INDEX(Tasks!$U$10:$U$1941,$P964),"Open"))</x:f>
        <x:v>Open</x:v>
      </x:c>
      <x:c r="O964" s="14"/>
      <x:c r="P964" s="14" t="n">
        <x:f>IF(943&gt;$B$10,"",MATCH(943,Tasks!$S$10:$S$1941,0))</x:f>
        <x:v>1307</x:v>
      </x:c>
    </x:row>
    <x:row r="965" ht="58" customHeight="1">
      <x:c r="B965" s="86" t="str">
        <x:f>IF($P965="","",INDEX(Tasks!$B$10:$B$1941,$P965))</x:f>
        <x:v>Cycle 4</x:v>
      </x:c>
      <x:c r="C965" s="86" t="str">
        <x:f>IF($P965="","",INDEX(Tasks!$C$10:$C$1941,$P965))</x:f>
        <x:v>Phase 1</x:v>
      </x:c>
      <x:c r="D965" s="86" t="str">
        <x:f>IF($P965="","",INDEX(Tasks!$D$10:$D$1941,$P965))</x:f>
        <x:v>FCM</x:v>
      </x:c>
      <x:c r="E965" s="86"/>
      <x:c r="F965" s="86" t="str">
        <x:f>IF($P965="","",INDEX(Tasks!$E$10:$E$1941,$P965))</x:f>
        <x:v>Research &amp; Analysis</x:v>
      </x:c>
      <x:c r="G965" s="86"/>
      <x:c r="H965" s="14" t="str">
        <x:f>IF($P965="","",INDEX(Tasks!$F$10:$F$1941,$P965)&amp;CHAR(10)&amp;INDEX(Tasks!$G$10:$G$1941,$P965))</x:f>
        <x:v>RA.FC.1.5
Schedule topic approval meeting with D&amp;I and management</x:v>
      </x:c>
      <x:c r="I965" s="14"/>
      <x:c r="J965" s="14"/>
      <x:c r="K965" s="14"/>
      <x:c r="L965" s="86" t="str">
        <x:f>IF($P965="","",INDEX(Tasks!$N$10:$N$1941,$P965))</x:f>
        <x:v>Not started</x:v>
      </x:c>
      <x:c r="M965" s="87" t="n">
        <x:f>IF($P965="","",INDEX(Tasks!$J$10:$J$1941,$P965))</x:f>
        <x:v>46387</x:v>
      </x:c>
      <x:c r="N965" s="85" t="str">
        <x:f>IF($P965="","",HYPERLINK("#'"&amp;INDEX(Tasks!$T$10:$T$1941,$P965)&amp;"'!A"&amp;INDEX(Tasks!$U$10:$U$1941,$P965),"Open"))</x:f>
        <x:v>Open</x:v>
      </x:c>
      <x:c r="O965" s="14"/>
      <x:c r="P965" s="14" t="n">
        <x:f>IF(944&gt;$B$10,"",MATCH(944,Tasks!$S$10:$S$1941,0))</x:f>
        <x:v>1308</x:v>
      </x:c>
    </x:row>
    <x:row r="966" ht="58" customHeight="1">
      <x:c r="B966" s="86" t="str">
        <x:f>IF($P966="","",INDEX(Tasks!$B$10:$B$1941,$P966))</x:f>
        <x:v>Cycle 4</x:v>
      </x:c>
      <x:c r="C966" s="86" t="str">
        <x:f>IF($P966="","",INDEX(Tasks!$C$10:$C$1941,$P966))</x:f>
        <x:v>Phase 1</x:v>
      </x:c>
      <x:c r="D966" s="86" t="str">
        <x:f>IF($P966="","",INDEX(Tasks!$D$10:$D$1941,$P966))</x:f>
        <x:v>FCM</x:v>
      </x:c>
      <x:c r="E966" s="86"/>
      <x:c r="F966" s="86" t="str">
        <x:f>IF($P966="","",INDEX(Tasks!$E$10:$E$1941,$P966))</x:f>
        <x:v>Research &amp; Analysis</x:v>
      </x:c>
      <x:c r="G966" s="86"/>
      <x:c r="H966" s="14" t="str">
        <x:f>IF($P966="","",INDEX(Tasks!$F$10:$F$1941,$P966)&amp;CHAR(10)&amp;INDEX(Tasks!$G$10:$G$1941,$P966))</x:f>
        <x:v>RA.FC.1.6
Present recommended topic to D&amp;I and management for approval</x:v>
      </x:c>
      <x:c r="I966" s="14"/>
      <x:c r="J966" s="14"/>
      <x:c r="K966" s="14"/>
      <x:c r="L966" s="86" t="str">
        <x:f>IF($P966="","",INDEX(Tasks!$N$10:$N$1941,$P966))</x:f>
        <x:v>Not started</x:v>
      </x:c>
      <x:c r="M966" s="87" t="n">
        <x:f>IF($P966="","",INDEX(Tasks!$J$10:$J$1941,$P966))</x:f>
        <x:v>46387</x:v>
      </x:c>
      <x:c r="N966" s="85" t="str">
        <x:f>IF($P966="","",HYPERLINK("#'"&amp;INDEX(Tasks!$T$10:$T$1941,$P966)&amp;"'!A"&amp;INDEX(Tasks!$U$10:$U$1941,$P966),"Open"))</x:f>
        <x:v>Open</x:v>
      </x:c>
      <x:c r="O966" s="14"/>
      <x:c r="P966" s="14" t="n">
        <x:f>IF(945&gt;$B$10,"",MATCH(945,Tasks!$S$10:$S$1941,0))</x:f>
        <x:v>1309</x:v>
      </x:c>
    </x:row>
    <x:row r="967" ht="58" customHeight="1">
      <x:c r="B967" s="86" t="str">
        <x:f>IF($P967="","",INDEX(Tasks!$B$10:$B$1941,$P967))</x:f>
        <x:v>Cycle 4</x:v>
      </x:c>
      <x:c r="C967" s="86" t="str">
        <x:f>IF($P967="","",INDEX(Tasks!$C$10:$C$1941,$P967))</x:f>
        <x:v>Phase 1</x:v>
      </x:c>
      <x:c r="D967" s="86" t="str">
        <x:f>IF($P967="","",INDEX(Tasks!$D$10:$D$1941,$P967))</x:f>
        <x:v>FCM</x:v>
      </x:c>
      <x:c r="E967" s="86"/>
      <x:c r="F967" s="86" t="str">
        <x:f>IF($P967="","",INDEX(Tasks!$E$10:$E$1941,$P967))</x:f>
        <x:v>Research &amp; Analysis</x:v>
      </x:c>
      <x:c r="G967" s="86"/>
      <x:c r="H967" s="14" t="str">
        <x:f>IF($P967="","",INDEX(Tasks!$F$10:$F$1941,$P967)&amp;CHAR(10)&amp;INDEX(Tasks!$G$10:$G$1941,$P967))</x:f>
        <x:v>RA.FC.1.7
Obtain formal topic selection approval from management via SharePoint</x:v>
      </x:c>
      <x:c r="I967" s="14"/>
      <x:c r="J967" s="14"/>
      <x:c r="K967" s="14"/>
      <x:c r="L967" s="86" t="str">
        <x:f>IF($P967="","",INDEX(Tasks!$N$10:$N$1941,$P967))</x:f>
        <x:v>Not started</x:v>
      </x:c>
      <x:c r="M967" s="87" t="n">
        <x:f>IF($P967="","",INDEX(Tasks!$J$10:$J$1941,$P967))</x:f>
        <x:v>46387</x:v>
      </x:c>
      <x:c r="N967" s="85" t="str">
        <x:f>IF($P967="","",HYPERLINK("#'"&amp;INDEX(Tasks!$T$10:$T$1941,$P967)&amp;"'!A"&amp;INDEX(Tasks!$U$10:$U$1941,$P967),"Open"))</x:f>
        <x:v>Open</x:v>
      </x:c>
      <x:c r="O967" s="14"/>
      <x:c r="P967" s="14" t="n">
        <x:f>IF(946&gt;$B$10,"",MATCH(946,Tasks!$S$10:$S$1941,0))</x:f>
        <x:v>1310</x:v>
      </x:c>
    </x:row>
    <x:row r="968" ht="58" customHeight="1">
      <x:c r="B968" s="86" t="str">
        <x:f>IF($P968="","",INDEX(Tasks!$B$10:$B$1941,$P968))</x:f>
        <x:v>Cycle 4</x:v>
      </x:c>
      <x:c r="C968" s="86" t="str">
        <x:f>IF($P968="","",INDEX(Tasks!$C$10:$C$1941,$P968))</x:f>
        <x:v>Phase 1</x:v>
      </x:c>
      <x:c r="D968" s="86" t="str">
        <x:f>IF($P968="","",INDEX(Tasks!$D$10:$D$1941,$P968))</x:f>
        <x:v>FCM</x:v>
      </x:c>
      <x:c r="E968" s="86"/>
      <x:c r="F968" s="86" t="str">
        <x:f>IF($P968="","",INDEX(Tasks!$E$10:$E$1941,$P968))</x:f>
        <x:v>Research &amp; Analysis</x:v>
      </x:c>
      <x:c r="G968" s="86"/>
      <x:c r="H968" s="14" t="str">
        <x:f>IF($P968="","",INDEX(Tasks!$F$10:$F$1941,$P968)&amp;CHAR(10)&amp;INDEX(Tasks!$G$10:$G$1941,$P968))</x:f>
        <x:v>RA.FC.1.8
Socialize topic selection with product owners and subject matter experts (if known)</x:v>
      </x:c>
      <x:c r="I968" s="14"/>
      <x:c r="J968" s="14"/>
      <x:c r="K968" s="14"/>
      <x:c r="L968" s="86" t="str">
        <x:f>IF($P968="","",INDEX(Tasks!$N$10:$N$1941,$P968))</x:f>
        <x:v>Not started</x:v>
      </x:c>
      <x:c r="M968" s="87" t="n">
        <x:f>IF($P968="","",INDEX(Tasks!$J$10:$J$1941,$P968))</x:f>
        <x:v>46387</x:v>
      </x:c>
      <x:c r="N968" s="85" t="str">
        <x:f>IF($P968="","",HYPERLINK("#'"&amp;INDEX(Tasks!$T$10:$T$1941,$P968)&amp;"'!A"&amp;INDEX(Tasks!$U$10:$U$1941,$P968),"Open"))</x:f>
        <x:v>Open</x:v>
      </x:c>
      <x:c r="O968" s="14"/>
      <x:c r="P968" s="14" t="n">
        <x:f>IF(947&gt;$B$10,"",MATCH(947,Tasks!$S$10:$S$1941,0))</x:f>
        <x:v>1311</x:v>
      </x:c>
    </x:row>
    <x:row r="969" ht="58" customHeight="1">
      <x:c r="B969" s="86" t="str">
        <x:f>IF($P969="","",INDEX(Tasks!$B$10:$B$1941,$P969))</x:f>
        <x:v>Cycle 4</x:v>
      </x:c>
      <x:c r="C969" s="86" t="str">
        <x:f>IF($P969="","",INDEX(Tasks!$C$10:$C$1941,$P969))</x:f>
        <x:v>Phase 1</x:v>
      </x:c>
      <x:c r="D969" s="86" t="str">
        <x:f>IF($P969="","",INDEX(Tasks!$D$10:$D$1941,$P969))</x:f>
        <x:v>FCM</x:v>
      </x:c>
      <x:c r="E969" s="86"/>
      <x:c r="F969" s="86" t="str">
        <x:f>IF($P969="","",INDEX(Tasks!$E$10:$E$1941,$P969))</x:f>
        <x:v>Research &amp; Analysis</x:v>
      </x:c>
      <x:c r="G969" s="86"/>
      <x:c r="H969" s="14" t="str">
        <x:f>IF($P969="","",INDEX(Tasks!$F$10:$F$1941,$P969)&amp;CHAR(10)&amp;INDEX(Tasks!$G$10:$G$1941,$P969))</x:f>
        <x:v>RA.FC.1.9
Assign topic researchers</x:v>
      </x:c>
      <x:c r="I969" s="14"/>
      <x:c r="J969" s="14"/>
      <x:c r="K969" s="14"/>
      <x:c r="L969" s="86" t="str">
        <x:f>IF($P969="","",INDEX(Tasks!$N$10:$N$1941,$P969))</x:f>
        <x:v>Not started</x:v>
      </x:c>
      <x:c r="M969" s="87" t="n">
        <x:f>IF($P969="","",INDEX(Tasks!$J$10:$J$1941,$P969))</x:f>
        <x:v>46387</x:v>
      </x:c>
      <x:c r="N969" s="85" t="str">
        <x:f>IF($P969="","",HYPERLINK("#'"&amp;INDEX(Tasks!$T$10:$T$1941,$P969)&amp;"'!A"&amp;INDEX(Tasks!$U$10:$U$1941,$P969),"Open"))</x:f>
        <x:v>Open</x:v>
      </x:c>
      <x:c r="O969" s="14"/>
      <x:c r="P969" s="14" t="n">
        <x:f>IF(948&gt;$B$10,"",MATCH(948,Tasks!$S$10:$S$1941,0))</x:f>
        <x:v>1312</x:v>
      </x:c>
    </x:row>
    <x:row r="970" ht="58" customHeight="1">
      <x:c r="B970" s="86" t="str">
        <x:f>IF($P970="","",INDEX(Tasks!$B$10:$B$1941,$P970))</x:f>
        <x:v>Cycle 4</x:v>
      </x:c>
      <x:c r="C970" s="86" t="str">
        <x:f>IF($P970="","",INDEX(Tasks!$C$10:$C$1941,$P970))</x:f>
        <x:v>Phase 2</x:v>
      </x:c>
      <x:c r="D970" s="86" t="str">
        <x:f>IF($P970="","",INDEX(Tasks!$D$10:$D$1941,$P970))</x:f>
        <x:v>FCM</x:v>
      </x:c>
      <x:c r="E970" s="86"/>
      <x:c r="F970" s="86" t="str">
        <x:f>IF($P970="","",INDEX(Tasks!$E$10:$E$1941,$P970))</x:f>
        <x:v>Research &amp; Analysis</x:v>
      </x:c>
      <x:c r="G970" s="86"/>
      <x:c r="H970" s="14" t="str">
        <x:f>IF($P970="","",INDEX(Tasks!$F$10:$F$1941,$P970)&amp;CHAR(10)&amp;INDEX(Tasks!$G$10:$G$1941,$P970))</x:f>
        <x:v>RA.FC.2.1
Review data sources</x:v>
      </x:c>
      <x:c r="I970" s="14"/>
      <x:c r="J970" s="14"/>
      <x:c r="K970" s="14"/>
      <x:c r="L970" s="86" t="str">
        <x:f>IF($P970="","",INDEX(Tasks!$N$10:$N$1941,$P970))</x:f>
        <x:v>Not started</x:v>
      </x:c>
      <x:c r="M970" s="87" t="n">
        <x:f>IF($P970="","",INDEX(Tasks!$J$10:$J$1941,$P970))</x:f>
        <x:v>46387</x:v>
      </x:c>
      <x:c r="N970" s="85" t="str">
        <x:f>IF($P970="","",HYPERLINK("#'"&amp;INDEX(Tasks!$T$10:$T$1941,$P970)&amp;"'!A"&amp;INDEX(Tasks!$U$10:$U$1941,$P970),"Open"))</x:f>
        <x:v>Open</x:v>
      </x:c>
      <x:c r="O970" s="14"/>
      <x:c r="P970" s="14" t="n">
        <x:f>IF(949&gt;$B$10,"",MATCH(949,Tasks!$S$10:$S$1941,0))</x:f>
        <x:v>1313</x:v>
      </x:c>
    </x:row>
    <x:row r="971" ht="58" customHeight="1">
      <x:c r="B971" s="86" t="str">
        <x:f>IF($P971="","",INDEX(Tasks!$B$10:$B$1941,$P971))</x:f>
        <x:v>Cycle 4</x:v>
      </x:c>
      <x:c r="C971" s="86" t="str">
        <x:f>IF($P971="","",INDEX(Tasks!$C$10:$C$1941,$P971))</x:f>
        <x:v>Phase 2</x:v>
      </x:c>
      <x:c r="D971" s="86" t="str">
        <x:f>IF($P971="","",INDEX(Tasks!$D$10:$D$1941,$P971))</x:f>
        <x:v>FCM</x:v>
      </x:c>
      <x:c r="E971" s="86"/>
      <x:c r="F971" s="86" t="str">
        <x:f>IF($P971="","",INDEX(Tasks!$E$10:$E$1941,$P971))</x:f>
        <x:v>Research &amp; Analysis</x:v>
      </x:c>
      <x:c r="G971" s="86"/>
      <x:c r="H971" s="14" t="str">
        <x:f>IF($P971="","",INDEX(Tasks!$F$10:$F$1941,$P971)&amp;CHAR(10)&amp;INDEX(Tasks!$G$10:$G$1941,$P971))</x:f>
        <x:v>RA.FC.2.2
Review relevant policies and procedures</x:v>
      </x:c>
      <x:c r="I971" s="14"/>
      <x:c r="J971" s="14"/>
      <x:c r="K971" s="14"/>
      <x:c r="L971" s="86" t="str">
        <x:f>IF($P971="","",INDEX(Tasks!$N$10:$N$1941,$P971))</x:f>
        <x:v>Not started</x:v>
      </x:c>
      <x:c r="M971" s="87" t="n">
        <x:f>IF($P971="","",INDEX(Tasks!$J$10:$J$1941,$P971))</x:f>
        <x:v>46387</x:v>
      </x:c>
      <x:c r="N971" s="85" t="str">
        <x:f>IF($P971="","",HYPERLINK("#'"&amp;INDEX(Tasks!$T$10:$T$1941,$P971)&amp;"'!A"&amp;INDEX(Tasks!$U$10:$U$1941,$P971),"Open"))</x:f>
        <x:v>Open</x:v>
      </x:c>
      <x:c r="O971" s="14"/>
      <x:c r="P971" s="14" t="n">
        <x:f>IF(950&gt;$B$10,"",MATCH(950,Tasks!$S$10:$S$1941,0))</x:f>
        <x:v>1314</x:v>
      </x:c>
    </x:row>
    <x:row r="972" ht="58" customHeight="1">
      <x:c r="B972" s="86" t="str">
        <x:f>IF($P972="","",INDEX(Tasks!$B$10:$B$1941,$P972))</x:f>
        <x:v>Cycle 4</x:v>
      </x:c>
      <x:c r="C972" s="86" t="str">
        <x:f>IF($P972="","",INDEX(Tasks!$C$10:$C$1941,$P972))</x:f>
        <x:v>Phase 2</x:v>
      </x:c>
      <x:c r="D972" s="86" t="str">
        <x:f>IF($P972="","",INDEX(Tasks!$D$10:$D$1941,$P972))</x:f>
        <x:v>FCM</x:v>
      </x:c>
      <x:c r="E972" s="86"/>
      <x:c r="F972" s="86" t="str">
        <x:f>IF($P972="","",INDEX(Tasks!$E$10:$E$1941,$P972))</x:f>
        <x:v>Research &amp; Analysis</x:v>
      </x:c>
      <x:c r="G972" s="86"/>
      <x:c r="H972" s="14" t="str">
        <x:f>IF($P972="","",INDEX(Tasks!$F$10:$F$1941,$P972)&amp;CHAR(10)&amp;INDEX(Tasks!$G$10:$G$1941,$P972))</x:f>
        <x:v>RA.FC.2.3
Meet with SMEs to gain business insight and clarify questions</x:v>
      </x:c>
      <x:c r="I972" s="14"/>
      <x:c r="J972" s="14"/>
      <x:c r="K972" s="14"/>
      <x:c r="L972" s="86" t="str">
        <x:f>IF($P972="","",INDEX(Tasks!$N$10:$N$1941,$P972))</x:f>
        <x:v>Not started</x:v>
      </x:c>
      <x:c r="M972" s="87" t="n">
        <x:f>IF($P972="","",INDEX(Tasks!$J$10:$J$1941,$P972))</x:f>
        <x:v>46387</x:v>
      </x:c>
      <x:c r="N972" s="85" t="str">
        <x:f>IF($P972="","",HYPERLINK("#'"&amp;INDEX(Tasks!$T$10:$T$1941,$P972)&amp;"'!A"&amp;INDEX(Tasks!$U$10:$U$1941,$P972),"Open"))</x:f>
        <x:v>Open</x:v>
      </x:c>
      <x:c r="O972" s="14"/>
      <x:c r="P972" s="14" t="n">
        <x:f>IF(951&gt;$B$10,"",MATCH(951,Tasks!$S$10:$S$1941,0))</x:f>
        <x:v>1315</x:v>
      </x:c>
    </x:row>
    <x:row r="973" ht="58" customHeight="1">
      <x:c r="B973" s="86" t="str">
        <x:f>IF($P973="","",INDEX(Tasks!$B$10:$B$1941,$P973))</x:f>
        <x:v>Cycle 4</x:v>
      </x:c>
      <x:c r="C973" s="86" t="str">
        <x:f>IF($P973="","",INDEX(Tasks!$C$10:$C$1941,$P973))</x:f>
        <x:v>Phase 2</x:v>
      </x:c>
      <x:c r="D973" s="86" t="str">
        <x:f>IF($P973="","",INDEX(Tasks!$D$10:$D$1941,$P973))</x:f>
        <x:v>FCM</x:v>
      </x:c>
      <x:c r="E973" s="86"/>
      <x:c r="F973" s="86" t="str">
        <x:f>IF($P973="","",INDEX(Tasks!$E$10:$E$1941,$P973))</x:f>
        <x:v>Research &amp; Analysis</x:v>
      </x:c>
      <x:c r="G973" s="86"/>
      <x:c r="H973" s="14" t="str">
        <x:f>IF($P973="","",INDEX(Tasks!$F$10:$F$1941,$P973)&amp;CHAR(10)&amp;INDEX(Tasks!$G$10:$G$1941,$P973))</x:f>
        <x:v>RA.FC.2.4
Establish and maintain a recurring meeting with D&amp;I to discuss Cycle progress</x:v>
      </x:c>
      <x:c r="I973" s="14"/>
      <x:c r="J973" s="14"/>
      <x:c r="K973" s="14"/>
      <x:c r="L973" s="86" t="str">
        <x:f>IF($P973="","",INDEX(Tasks!$N$10:$N$1941,$P973))</x:f>
        <x:v>Not started</x:v>
      </x:c>
      <x:c r="M973" s="87" t="n">
        <x:f>IF($P973="","",INDEX(Tasks!$J$10:$J$1941,$P973))</x:f>
        <x:v>46387</x:v>
      </x:c>
      <x:c r="N973" s="85" t="str">
        <x:f>IF($P973="","",HYPERLINK("#'"&amp;INDEX(Tasks!$T$10:$T$1941,$P973)&amp;"'!A"&amp;INDEX(Tasks!$U$10:$U$1941,$P973),"Open"))</x:f>
        <x:v>Open</x:v>
      </x:c>
      <x:c r="O973" s="14"/>
      <x:c r="P973" s="14" t="n">
        <x:f>IF(952&gt;$B$10,"",MATCH(952,Tasks!$S$10:$S$1941,0))</x:f>
        <x:v>1316</x:v>
      </x:c>
    </x:row>
    <x:row r="974" ht="58" customHeight="1">
      <x:c r="B974" s="86" t="str">
        <x:f>IF($P974="","",INDEX(Tasks!$B$10:$B$1941,$P974))</x:f>
        <x:v>Cycle 4</x:v>
      </x:c>
      <x:c r="C974" s="86" t="str">
        <x:f>IF($P974="","",INDEX(Tasks!$C$10:$C$1941,$P974))</x:f>
        <x:v>Phase 2</x:v>
      </x:c>
      <x:c r="D974" s="86" t="str">
        <x:f>IF($P974="","",INDEX(Tasks!$D$10:$D$1941,$P974))</x:f>
        <x:v>FCM</x:v>
      </x:c>
      <x:c r="E974" s="86"/>
      <x:c r="F974" s="86" t="str">
        <x:f>IF($P974="","",INDEX(Tasks!$E$10:$E$1941,$P974))</x:f>
        <x:v>Research &amp; Analysis</x:v>
      </x:c>
      <x:c r="G974" s="86"/>
      <x:c r="H974" s="14" t="str">
        <x:f>IF($P974="","",INDEX(Tasks!$F$10:$F$1941,$P974)&amp;CHAR(10)&amp;INDEX(Tasks!$G$10:$G$1941,$P974))</x:f>
        <x:v>RA.FC.2.5
Perform data testing and sampling</x:v>
      </x:c>
      <x:c r="I974" s="14"/>
      <x:c r="J974" s="14"/>
      <x:c r="K974" s="14"/>
      <x:c r="L974" s="86" t="str">
        <x:f>IF($P974="","",INDEX(Tasks!$N$10:$N$1941,$P974))</x:f>
        <x:v>Not started</x:v>
      </x:c>
      <x:c r="M974" s="87" t="n">
        <x:f>IF($P974="","",INDEX(Tasks!$J$10:$J$1941,$P974))</x:f>
        <x:v>46387</x:v>
      </x:c>
      <x:c r="N974" s="85" t="str">
        <x:f>IF($P974="","",HYPERLINK("#'"&amp;INDEX(Tasks!$T$10:$T$1941,$P974)&amp;"'!A"&amp;INDEX(Tasks!$U$10:$U$1941,$P974),"Open"))</x:f>
        <x:v>Open</x:v>
      </x:c>
      <x:c r="O974" s="14"/>
      <x:c r="P974" s="14" t="n">
        <x:f>IF(953&gt;$B$10,"",MATCH(953,Tasks!$S$10:$S$1941,0))</x:f>
        <x:v>1317</x:v>
      </x:c>
    </x:row>
    <x:row r="975" ht="58" customHeight="1">
      <x:c r="B975" s="86" t="str">
        <x:f>IF($P975="","",INDEX(Tasks!$B$10:$B$1941,$P975))</x:f>
        <x:v>Cycle 4</x:v>
      </x:c>
      <x:c r="C975" s="86" t="str">
        <x:f>IF($P975="","",INDEX(Tasks!$C$10:$C$1941,$P975))</x:f>
        <x:v>Phase 2</x:v>
      </x:c>
      <x:c r="D975" s="86" t="str">
        <x:f>IF($P975="","",INDEX(Tasks!$D$10:$D$1941,$P975))</x:f>
        <x:v>FCM</x:v>
      </x:c>
      <x:c r="E975" s="86"/>
      <x:c r="F975" s="86" t="str">
        <x:f>IF($P975="","",INDEX(Tasks!$E$10:$E$1941,$P975))</x:f>
        <x:v>Research &amp; Analysis</x:v>
      </x:c>
      <x:c r="G975" s="86"/>
      <x:c r="H975" s="14" t="str">
        <x:f>IF($P975="","",INDEX(Tasks!$F$10:$F$1941,$P975)&amp;CHAR(10)&amp;INDEX(Tasks!$G$10:$G$1941,$P975))</x:f>
        <x:v>RA.FC.2.6
Complete Positive Testing</x:v>
      </x:c>
      <x:c r="I975" s="14"/>
      <x:c r="J975" s="14"/>
      <x:c r="K975" s="14"/>
      <x:c r="L975" s="86" t="str">
        <x:f>IF($P975="","",INDEX(Tasks!$N$10:$N$1941,$P975))</x:f>
        <x:v>Not started</x:v>
      </x:c>
      <x:c r="M975" s="87" t="n">
        <x:f>IF($P975="","",INDEX(Tasks!$J$10:$J$1941,$P975))</x:f>
        <x:v>46387</x:v>
      </x:c>
      <x:c r="N975" s="85" t="str">
        <x:f>IF($P975="","",HYPERLINK("#'"&amp;INDEX(Tasks!$T$10:$T$1941,$P975)&amp;"'!A"&amp;INDEX(Tasks!$U$10:$U$1941,$P975),"Open"))</x:f>
        <x:v>Open</x:v>
      </x:c>
      <x:c r="O975" s="14"/>
      <x:c r="P975" s="14" t="n">
        <x:f>IF(954&gt;$B$10,"",MATCH(954,Tasks!$S$10:$S$1941,0))</x:f>
        <x:v>1318</x:v>
      </x:c>
    </x:row>
    <x:row r="976" ht="58" customHeight="1">
      <x:c r="B976" s="86" t="str">
        <x:f>IF($P976="","",INDEX(Tasks!$B$10:$B$1941,$P976))</x:f>
        <x:v>Cycle 4</x:v>
      </x:c>
      <x:c r="C976" s="86" t="str">
        <x:f>IF($P976="","",INDEX(Tasks!$C$10:$C$1941,$P976))</x:f>
        <x:v>Phase 2</x:v>
      </x:c>
      <x:c r="D976" s="86" t="str">
        <x:f>IF($P976="","",INDEX(Tasks!$D$10:$D$1941,$P976))</x:f>
        <x:v>FCM</x:v>
      </x:c>
      <x:c r="E976" s="86"/>
      <x:c r="F976" s="86" t="str">
        <x:f>IF($P976="","",INDEX(Tasks!$E$10:$E$1941,$P976))</x:f>
        <x:v>Research &amp; Analysis</x:v>
      </x:c>
      <x:c r="G976" s="86"/>
      <x:c r="H976" s="14" t="str">
        <x:f>IF($P976="","",INDEX(Tasks!$F$10:$F$1941,$P976)&amp;CHAR(10)&amp;INDEX(Tasks!$G$10:$G$1941,$P976))</x:f>
        <x:v>RA.FC.2.7
Complete Negative Testing</x:v>
      </x:c>
      <x:c r="I976" s="14"/>
      <x:c r="J976" s="14"/>
      <x:c r="K976" s="14"/>
      <x:c r="L976" s="86" t="str">
        <x:f>IF($P976="","",INDEX(Tasks!$N$10:$N$1941,$P976))</x:f>
        <x:v>Not started</x:v>
      </x:c>
      <x:c r="M976" s="87" t="n">
        <x:f>IF($P976="","",INDEX(Tasks!$J$10:$J$1941,$P976))</x:f>
        <x:v>46387</x:v>
      </x:c>
      <x:c r="N976" s="85" t="str">
        <x:f>IF($P976="","",HYPERLINK("#'"&amp;INDEX(Tasks!$T$10:$T$1941,$P976)&amp;"'!A"&amp;INDEX(Tasks!$U$10:$U$1941,$P976),"Open"))</x:f>
        <x:v>Open</x:v>
      </x:c>
      <x:c r="O976" s="14"/>
      <x:c r="P976" s="14" t="n">
        <x:f>IF(955&gt;$B$10,"",MATCH(955,Tasks!$S$10:$S$1941,0))</x:f>
        <x:v>1319</x:v>
      </x:c>
    </x:row>
    <x:row r="977" ht="58" customHeight="1">
      <x:c r="B977" s="86" t="str">
        <x:f>IF($P977="","",INDEX(Tasks!$B$10:$B$1941,$P977))</x:f>
        <x:v>Cycle 4</x:v>
      </x:c>
      <x:c r="C977" s="86" t="str">
        <x:f>IF($P977="","",INDEX(Tasks!$C$10:$C$1941,$P977))</x:f>
        <x:v>Phase 2</x:v>
      </x:c>
      <x:c r="D977" s="86" t="str">
        <x:f>IF($P977="","",INDEX(Tasks!$D$10:$D$1941,$P977))</x:f>
        <x:v>FCM</x:v>
      </x:c>
      <x:c r="E977" s="86"/>
      <x:c r="F977" s="86" t="str">
        <x:f>IF($P977="","",INDEX(Tasks!$E$10:$E$1941,$P977))</x:f>
        <x:v>Research &amp; Analysis</x:v>
      </x:c>
      <x:c r="G977" s="86"/>
      <x:c r="H977" s="14" t="str">
        <x:f>IF($P977="","",INDEX(Tasks!$F$10:$F$1941,$P977)&amp;CHAR(10)&amp;INDEX(Tasks!$G$10:$G$1941,$P977))</x:f>
        <x:v>RA.FC.2.8
Request additional data (as needed)</x:v>
      </x:c>
      <x:c r="I977" s="14"/>
      <x:c r="J977" s="14"/>
      <x:c r="K977" s="14"/>
      <x:c r="L977" s="86" t="str">
        <x:f>IF($P977="","",INDEX(Tasks!$N$10:$N$1941,$P977))</x:f>
        <x:v>Not started</x:v>
      </x:c>
      <x:c r="M977" s="87" t="n">
        <x:f>IF($P977="","",INDEX(Tasks!$J$10:$J$1941,$P977))</x:f>
        <x:v>46387</x:v>
      </x:c>
      <x:c r="N977" s="85" t="str">
        <x:f>IF($P977="","",HYPERLINK("#'"&amp;INDEX(Tasks!$T$10:$T$1941,$P977)&amp;"'!A"&amp;INDEX(Tasks!$U$10:$U$1941,$P977),"Open"))</x:f>
        <x:v>Open</x:v>
      </x:c>
      <x:c r="O977" s="14"/>
      <x:c r="P977" s="14" t="n">
        <x:f>IF(956&gt;$B$10,"",MATCH(956,Tasks!$S$10:$S$1941,0))</x:f>
        <x:v>1320</x:v>
      </x:c>
    </x:row>
    <x:row r="978" ht="58" customHeight="1">
      <x:c r="B978" s="86" t="str">
        <x:f>IF($P978="","",INDEX(Tasks!$B$10:$B$1941,$P978))</x:f>
        <x:v>Cycle 4</x:v>
      </x:c>
      <x:c r="C978" s="86" t="str">
        <x:f>IF($P978="","",INDEX(Tasks!$C$10:$C$1941,$P978))</x:f>
        <x:v>Phase 2</x:v>
      </x:c>
      <x:c r="D978" s="86" t="str">
        <x:f>IF($P978="","",INDEX(Tasks!$D$10:$D$1941,$P978))</x:f>
        <x:v>FCM</x:v>
      </x:c>
      <x:c r="E978" s="86"/>
      <x:c r="F978" s="86" t="str">
        <x:f>IF($P978="","",INDEX(Tasks!$E$10:$E$1941,$P978))</x:f>
        <x:v>Research &amp; Analysis</x:v>
      </x:c>
      <x:c r="G978" s="86"/>
      <x:c r="H978" s="14" t="str">
        <x:f>IF($P978="","",INDEX(Tasks!$F$10:$F$1941,$P978)&amp;CHAR(10)&amp;INDEX(Tasks!$G$10:$G$1941,$P978))</x:f>
        <x:v>RA.FC.2.9
Validate or disprove initial hypothesis assumptions</x:v>
      </x:c>
      <x:c r="I978" s="14"/>
      <x:c r="J978" s="14"/>
      <x:c r="K978" s="14"/>
      <x:c r="L978" s="86" t="str">
        <x:f>IF($P978="","",INDEX(Tasks!$N$10:$N$1941,$P978))</x:f>
        <x:v>Not started</x:v>
      </x:c>
      <x:c r="M978" s="87" t="n">
        <x:f>IF($P978="","",INDEX(Tasks!$J$10:$J$1941,$P978))</x:f>
        <x:v>46387</x:v>
      </x:c>
      <x:c r="N978" s="85" t="str">
        <x:f>IF($P978="","",HYPERLINK("#'"&amp;INDEX(Tasks!$T$10:$T$1941,$P978)&amp;"'!A"&amp;INDEX(Tasks!$U$10:$U$1941,$P978),"Open"))</x:f>
        <x:v>Open</x:v>
      </x:c>
      <x:c r="O978" s="14"/>
      <x:c r="P978" s="14" t="n">
        <x:f>IF(957&gt;$B$10,"",MATCH(957,Tasks!$S$10:$S$1941,0))</x:f>
        <x:v>1321</x:v>
      </x:c>
    </x:row>
    <x:row r="979" ht="58" customHeight="1">
      <x:c r="B979" s="86" t="str">
        <x:f>IF($P979="","",INDEX(Tasks!$B$10:$B$1941,$P979))</x:f>
        <x:v>Cycle 4</x:v>
      </x:c>
      <x:c r="C979" s="86" t="str">
        <x:f>IF($P979="","",INDEX(Tasks!$C$10:$C$1941,$P979))</x:f>
        <x:v>Phase 2</x:v>
      </x:c>
      <x:c r="D979" s="86" t="str">
        <x:f>IF($P979="","",INDEX(Tasks!$D$10:$D$1941,$P979))</x:f>
        <x:v>FCM</x:v>
      </x:c>
      <x:c r="E979" s="86"/>
      <x:c r="F979" s="86" t="str">
        <x:f>IF($P979="","",INDEX(Tasks!$E$10:$E$1941,$P979))</x:f>
        <x:v>Research &amp; Analysis</x:v>
      </x:c>
      <x:c r="G979" s="86"/>
      <x:c r="H979" s="14" t="str">
        <x:f>IF($P979="","",INDEX(Tasks!$F$10:$F$1941,$P979)&amp;CHAR(10)&amp;INDEX(Tasks!$G$10:$G$1941,$P979))</x:f>
        <x:v>RA.FC.2.10
Identify and confirm root cause</x:v>
      </x:c>
      <x:c r="I979" s="14"/>
      <x:c r="J979" s="14"/>
      <x:c r="K979" s="14"/>
      <x:c r="L979" s="86" t="str">
        <x:f>IF($P979="","",INDEX(Tasks!$N$10:$N$1941,$P979))</x:f>
        <x:v>Not started</x:v>
      </x:c>
      <x:c r="M979" s="87" t="n">
        <x:f>IF($P979="","",INDEX(Tasks!$J$10:$J$1941,$P979))</x:f>
        <x:v>46387</x:v>
      </x:c>
      <x:c r="N979" s="85" t="str">
        <x:f>IF($P979="","",HYPERLINK("#'"&amp;INDEX(Tasks!$T$10:$T$1941,$P979)&amp;"'!A"&amp;INDEX(Tasks!$U$10:$U$1941,$P979),"Open"))</x:f>
        <x:v>Open</x:v>
      </x:c>
      <x:c r="O979" s="14"/>
      <x:c r="P979" s="14" t="n">
        <x:f>IF(958&gt;$B$10,"",MATCH(958,Tasks!$S$10:$S$1941,0))</x:f>
        <x:v>1322</x:v>
      </x:c>
    </x:row>
    <x:row r="980" ht="58" customHeight="1">
      <x:c r="B980" s="86" t="str">
        <x:f>IF($P980="","",INDEX(Tasks!$B$10:$B$1941,$P980))</x:f>
        <x:v>Cycle 4</x:v>
      </x:c>
      <x:c r="C980" s="86" t="str">
        <x:f>IF($P980="","",INDEX(Tasks!$C$10:$C$1941,$P980))</x:f>
        <x:v>Phase 3</x:v>
      </x:c>
      <x:c r="D980" s="86" t="str">
        <x:f>IF($P980="","",INDEX(Tasks!$D$10:$D$1941,$P980))</x:f>
        <x:v>FCM</x:v>
      </x:c>
      <x:c r="E980" s="86"/>
      <x:c r="F980" s="86" t="str">
        <x:f>IF($P980="","",INDEX(Tasks!$E$10:$E$1941,$P980))</x:f>
        <x:v>Research &amp; Analysis</x:v>
      </x:c>
      <x:c r="G980" s="86"/>
      <x:c r="H980" s="14" t="str">
        <x:f>IF($P980="","",INDEX(Tasks!$F$10:$F$1941,$P980)&amp;CHAR(10)&amp;INDEX(Tasks!$G$10:$G$1941,$P980))</x:f>
        <x:v>RA.FC.3.1
Finalize results and supporting documentation</x:v>
      </x:c>
      <x:c r="I980" s="14"/>
      <x:c r="J980" s="14"/>
      <x:c r="K980" s="14"/>
      <x:c r="L980" s="86" t="str">
        <x:f>IF($P980="","",INDEX(Tasks!$N$10:$N$1941,$P980))</x:f>
        <x:v>Not started</x:v>
      </x:c>
      <x:c r="M980" s="87" t="n">
        <x:f>IF($P980="","",INDEX(Tasks!$J$10:$J$1941,$P980))</x:f>
        <x:v>46387</x:v>
      </x:c>
      <x:c r="N980" s="85" t="str">
        <x:f>IF($P980="","",HYPERLINK("#'"&amp;INDEX(Tasks!$T$10:$T$1941,$P980)&amp;"'!A"&amp;INDEX(Tasks!$U$10:$U$1941,$P980),"Open"))</x:f>
        <x:v>Open</x:v>
      </x:c>
      <x:c r="O980" s="14"/>
      <x:c r="P980" s="14" t="n">
        <x:f>IF(959&gt;$B$10,"",MATCH(959,Tasks!$S$10:$S$1941,0))</x:f>
        <x:v>1323</x:v>
      </x:c>
    </x:row>
    <x:row r="981" ht="58" customHeight="1">
      <x:c r="B981" s="86" t="str">
        <x:f>IF($P981="","",INDEX(Tasks!$B$10:$B$1941,$P981))</x:f>
        <x:v>Cycle 4</x:v>
      </x:c>
      <x:c r="C981" s="86" t="str">
        <x:f>IF($P981="","",INDEX(Tasks!$C$10:$C$1941,$P981))</x:f>
        <x:v>Phase 3</x:v>
      </x:c>
      <x:c r="D981" s="86" t="str">
        <x:f>IF($P981="","",INDEX(Tasks!$D$10:$D$1941,$P981))</x:f>
        <x:v>FCM</x:v>
      </x:c>
      <x:c r="E981" s="86"/>
      <x:c r="F981" s="86" t="str">
        <x:f>IF($P981="","",INDEX(Tasks!$E$10:$E$1941,$P981))</x:f>
        <x:v>Research &amp; Analysis</x:v>
      </x:c>
      <x:c r="G981" s="86"/>
      <x:c r="H981" s="14" t="str">
        <x:f>IF($P981="","",INDEX(Tasks!$F$10:$F$1941,$P981)&amp;CHAR(10)&amp;INDEX(Tasks!$G$10:$G$1941,$P981))</x:f>
        <x:v>RA.FC.3.2
Maintain and update the evidence package prior to handoff to D&amp;I</x:v>
      </x:c>
      <x:c r="I981" s="14"/>
      <x:c r="J981" s="14"/>
      <x:c r="K981" s="14"/>
      <x:c r="L981" s="86" t="str">
        <x:f>IF($P981="","",INDEX(Tasks!$N$10:$N$1941,$P981))</x:f>
        <x:v>Not started</x:v>
      </x:c>
      <x:c r="M981" s="87" t="n">
        <x:f>IF($P981="","",INDEX(Tasks!$J$10:$J$1941,$P981))</x:f>
        <x:v>46387</x:v>
      </x:c>
      <x:c r="N981" s="85" t="str">
        <x:f>IF($P981="","",HYPERLINK("#'"&amp;INDEX(Tasks!$T$10:$T$1941,$P981)&amp;"'!A"&amp;INDEX(Tasks!$U$10:$U$1941,$P981),"Open"))</x:f>
        <x:v>Open</x:v>
      </x:c>
      <x:c r="O981" s="14"/>
      <x:c r="P981" s="14" t="n">
        <x:f>IF(960&gt;$B$10,"",MATCH(960,Tasks!$S$10:$S$1941,0))</x:f>
        <x:v>1324</x:v>
      </x:c>
    </x:row>
    <x:row r="982" ht="58" customHeight="1">
      <x:c r="B982" s="86" t="str">
        <x:f>IF($P982="","",INDEX(Tasks!$B$10:$B$1941,$P982))</x:f>
        <x:v>Cycle 4</x:v>
      </x:c>
      <x:c r="C982" s="86" t="str">
        <x:f>IF($P982="","",INDEX(Tasks!$C$10:$C$1941,$P982))</x:f>
        <x:v>Phase 3</x:v>
      </x:c>
      <x:c r="D982" s="86" t="str">
        <x:f>IF($P982="","",INDEX(Tasks!$D$10:$D$1941,$P982))</x:f>
        <x:v>FCM</x:v>
      </x:c>
      <x:c r="E982" s="86"/>
      <x:c r="F982" s="86" t="str">
        <x:f>IF($P982="","",INDEX(Tasks!$E$10:$E$1941,$P982))</x:f>
        <x:v>Research &amp; Analysis</x:v>
      </x:c>
      <x:c r="G982" s="86"/>
      <x:c r="H982" s="14" t="str">
        <x:f>IF($P982="","",INDEX(Tasks!$F$10:$F$1941,$P982)&amp;CHAR(10)&amp;INDEX(Tasks!$G$10:$G$1941,$P982))</x:f>
        <x:v>RA.FC.3.3
Address any outstanding questions or requests from D&amp;I</x:v>
      </x:c>
      <x:c r="I982" s="14"/>
      <x:c r="J982" s="14"/>
      <x:c r="K982" s="14"/>
      <x:c r="L982" s="86" t="str">
        <x:f>IF($P982="","",INDEX(Tasks!$N$10:$N$1941,$P982))</x:f>
        <x:v>Not started</x:v>
      </x:c>
      <x:c r="M982" s="87" t="n">
        <x:f>IF($P982="","",INDEX(Tasks!$J$10:$J$1941,$P982))</x:f>
        <x:v>46387</x:v>
      </x:c>
      <x:c r="N982" s="85" t="str">
        <x:f>IF($P982="","",HYPERLINK("#'"&amp;INDEX(Tasks!$T$10:$T$1941,$P982)&amp;"'!A"&amp;INDEX(Tasks!$U$10:$U$1941,$P982),"Open"))</x:f>
        <x:v>Open</x:v>
      </x:c>
      <x:c r="O982" s="14"/>
      <x:c r="P982" s="14" t="n">
        <x:f>IF(961&gt;$B$10,"",MATCH(961,Tasks!$S$10:$S$1941,0))</x:f>
        <x:v>1325</x:v>
      </x:c>
    </x:row>
    <x:row r="983" ht="58" customHeight="1">
      <x:c r="B983" s="86" t="str">
        <x:f>IF($P983="","",INDEX(Tasks!$B$10:$B$1941,$P983))</x:f>
        <x:v>Cycle 4</x:v>
      </x:c>
      <x:c r="C983" s="86" t="str">
        <x:f>IF($P983="","",INDEX(Tasks!$C$10:$C$1941,$P983))</x:f>
        <x:v>Phase 3</x:v>
      </x:c>
      <x:c r="D983" s="86" t="str">
        <x:f>IF($P983="","",INDEX(Tasks!$D$10:$D$1941,$P983))</x:f>
        <x:v>FCM</x:v>
      </x:c>
      <x:c r="E983" s="86"/>
      <x:c r="F983" s="86" t="str">
        <x:f>IF($P983="","",INDEX(Tasks!$E$10:$E$1941,$P983))</x:f>
        <x:v>Research &amp; Analysis</x:v>
      </x:c>
      <x:c r="G983" s="86"/>
      <x:c r="H983" s="14" t="str">
        <x:f>IF($P983="","",INDEX(Tasks!$F$10:$F$1941,$P983)&amp;CHAR(10)&amp;INDEX(Tasks!$G$10:$G$1941,$P983))</x:f>
        <x:v>RA.FC.3.4
Attend Forum meeting with D&amp;I to assist with answering stakeholder questions (as needed)</x:v>
      </x:c>
      <x:c r="I983" s="14"/>
      <x:c r="J983" s="14"/>
      <x:c r="K983" s="14"/>
      <x:c r="L983" s="86" t="str">
        <x:f>IF($P983="","",INDEX(Tasks!$N$10:$N$1941,$P983))</x:f>
        <x:v>Not started</x:v>
      </x:c>
      <x:c r="M983" s="87" t="str">
        <x:f>IF($P983="","",INDEX(Tasks!$J$10:$J$1941,$P983))</x:f>
      </x:c>
      <x:c r="N983" s="85" t="str">
        <x:f>IF($P983="","",HYPERLINK("#'"&amp;INDEX(Tasks!$T$10:$T$1941,$P983)&amp;"'!A"&amp;INDEX(Tasks!$U$10:$U$1941,$P983),"Open"))</x:f>
        <x:v>Open</x:v>
      </x:c>
      <x:c r="O983" s="14"/>
      <x:c r="P983" s="14" t="n">
        <x:f>IF(962&gt;$B$10,"",MATCH(962,Tasks!$S$10:$S$1941,0))</x:f>
        <x:v>1326</x:v>
      </x:c>
    </x:row>
    <x:row r="984" ht="58" customHeight="1">
      <x:c r="B984" s="86" t="str">
        <x:f>IF($P984="","",INDEX(Tasks!$B$10:$B$1941,$P984))</x:f>
        <x:v>Cycle 4</x:v>
      </x:c>
      <x:c r="C984" s="86" t="str">
        <x:f>IF($P984="","",INDEX(Tasks!$C$10:$C$1941,$P984))</x:f>
        <x:v>Phase 1</x:v>
      </x:c>
      <x:c r="D984" s="86" t="str">
        <x:f>IF($P984="","",INDEX(Tasks!$D$10:$D$1941,$P984))</x:f>
        <x:v>PLL</x:v>
      </x:c>
      <x:c r="E984" s="86"/>
      <x:c r="F984" s="86" t="str">
        <x:f>IF($P984="","",INDEX(Tasks!$E$10:$E$1941,$P984))</x:f>
        <x:v>Research &amp; Analysis</x:v>
      </x:c>
      <x:c r="G984" s="86"/>
      <x:c r="H984" s="14" t="str">
        <x:f>IF($P984="","",INDEX(Tasks!$F$10:$F$1941,$P984)&amp;CHAR(10)&amp;INDEX(Tasks!$G$10:$G$1941,$P984))</x:f>
        <x:v>RA.PL.1.1
Begin Research process 2 weeks prior to Cycle start</x:v>
      </x:c>
      <x:c r="I984" s="14"/>
      <x:c r="J984" s="14"/>
      <x:c r="K984" s="14"/>
      <x:c r="L984" s="86" t="str">
        <x:f>IF($P984="","",INDEX(Tasks!$N$10:$N$1941,$P984))</x:f>
        <x:v>Not started</x:v>
      </x:c>
      <x:c r="M984" s="87" t="n">
        <x:f>IF($P984="","",INDEX(Tasks!$J$10:$J$1941,$P984))</x:f>
        <x:v>46282</x:v>
      </x:c>
      <x:c r="N984" s="85" t="str">
        <x:f>IF($P984="","",HYPERLINK("#'"&amp;INDEX(Tasks!$T$10:$T$1941,$P984)&amp;"'!A"&amp;INDEX(Tasks!$U$10:$U$1941,$P984),"Open"))</x:f>
        <x:v>Open</x:v>
      </x:c>
      <x:c r="O984" s="14"/>
      <x:c r="P984" s="14" t="n">
        <x:f>IF(963&gt;$B$10,"",MATCH(963,Tasks!$S$10:$S$1941,0))</x:f>
        <x:v>1327</x:v>
      </x:c>
    </x:row>
    <x:row r="985" ht="58" customHeight="1">
      <x:c r="B985" s="86" t="str">
        <x:f>IF($P985="","",INDEX(Tasks!$B$10:$B$1941,$P985))</x:f>
        <x:v>Cycle 4</x:v>
      </x:c>
      <x:c r="C985" s="86" t="str">
        <x:f>IF($P985="","",INDEX(Tasks!$C$10:$C$1941,$P985))</x:f>
        <x:v>Phase 1</x:v>
      </x:c>
      <x:c r="D985" s="86" t="str">
        <x:f>IF($P985="","",INDEX(Tasks!$D$10:$D$1941,$P985))</x:f>
        <x:v>PLL</x:v>
      </x:c>
      <x:c r="E985" s="86"/>
      <x:c r="F985" s="86" t="str">
        <x:f>IF($P985="","",INDEX(Tasks!$E$10:$E$1941,$P985))</x:f>
        <x:v>Research &amp; Analysis</x:v>
      </x:c>
      <x:c r="G985" s="86"/>
      <x:c r="H985" s="14" t="str">
        <x:f>IF($P985="","",INDEX(Tasks!$F$10:$F$1941,$P985)&amp;CHAR(10)&amp;INDEX(Tasks!$G$10:$G$1941,$P985))</x:f>
        <x:v>RA.PL.1.2
Conduct initial assessment of each topic recommendation from SharePoint list</x:v>
      </x:c>
      <x:c r="I985" s="14"/>
      <x:c r="J985" s="14"/>
      <x:c r="K985" s="14"/>
      <x:c r="L985" s="86" t="str">
        <x:f>IF($P985="","",INDEX(Tasks!$N$10:$N$1941,$P985))</x:f>
        <x:v>Not started</x:v>
      </x:c>
      <x:c r="M985" s="87" t="n">
        <x:f>IF($P985="","",INDEX(Tasks!$J$10:$J$1941,$P985))</x:f>
        <x:v>46387</x:v>
      </x:c>
      <x:c r="N985" s="85" t="str">
        <x:f>IF($P985="","",HYPERLINK("#'"&amp;INDEX(Tasks!$T$10:$T$1941,$P985)&amp;"'!A"&amp;INDEX(Tasks!$U$10:$U$1941,$P985),"Open"))</x:f>
        <x:v>Open</x:v>
      </x:c>
      <x:c r="O985" s="14"/>
      <x:c r="P985" s="14" t="n">
        <x:f>IF(964&gt;$B$10,"",MATCH(964,Tasks!$S$10:$S$1941,0))</x:f>
        <x:v>1328</x:v>
      </x:c>
    </x:row>
    <x:row r="986" ht="58" customHeight="1">
      <x:c r="B986" s="86" t="str">
        <x:f>IF($P986="","",INDEX(Tasks!$B$10:$B$1941,$P986))</x:f>
        <x:v>Cycle 4</x:v>
      </x:c>
      <x:c r="C986" s="86" t="str">
        <x:f>IF($P986="","",INDEX(Tasks!$C$10:$C$1941,$P986))</x:f>
        <x:v>Phase 1</x:v>
      </x:c>
      <x:c r="D986" s="86" t="str">
        <x:f>IF($P986="","",INDEX(Tasks!$D$10:$D$1941,$P986))</x:f>
        <x:v>PLL</x:v>
      </x:c>
      <x:c r="E986" s="86"/>
      <x:c r="F986" s="86" t="str">
        <x:f>IF($P986="","",INDEX(Tasks!$E$10:$E$1941,$P986))</x:f>
        <x:v>Research &amp; Analysis</x:v>
      </x:c>
      <x:c r="G986" s="86"/>
      <x:c r="H986" s="14" t="str">
        <x:f>IF($P986="","",INDEX(Tasks!$F$10:$F$1941,$P986)&amp;CHAR(10)&amp;INDEX(Tasks!$G$10:$G$1941,$P986))</x:f>
        <x:v>RA.PL.1.3
Identify best topic for Cycle</x:v>
      </x:c>
      <x:c r="I986" s="14"/>
      <x:c r="J986" s="14"/>
      <x:c r="K986" s="14"/>
      <x:c r="L986" s="86" t="str">
        <x:f>IF($P986="","",INDEX(Tasks!$N$10:$N$1941,$P986))</x:f>
        <x:v>Not started</x:v>
      </x:c>
      <x:c r="M986" s="87" t="n">
        <x:f>IF($P986="","",INDEX(Tasks!$J$10:$J$1941,$P986))</x:f>
        <x:v>46387</x:v>
      </x:c>
      <x:c r="N986" s="85" t="str">
        <x:f>IF($P986="","",HYPERLINK("#'"&amp;INDEX(Tasks!$T$10:$T$1941,$P986)&amp;"'!A"&amp;INDEX(Tasks!$U$10:$U$1941,$P986),"Open"))</x:f>
        <x:v>Open</x:v>
      </x:c>
      <x:c r="O986" s="14"/>
      <x:c r="P986" s="14" t="n">
        <x:f>IF(965&gt;$B$10,"",MATCH(965,Tasks!$S$10:$S$1941,0))</x:f>
        <x:v>1329</x:v>
      </x:c>
    </x:row>
    <x:row r="987" ht="58" customHeight="1">
      <x:c r="B987" s="86" t="str">
        <x:f>IF($P987="","",INDEX(Tasks!$B$10:$B$1941,$P987))</x:f>
        <x:v>Cycle 4</x:v>
      </x:c>
      <x:c r="C987" s="86" t="str">
        <x:f>IF($P987="","",INDEX(Tasks!$C$10:$C$1941,$P987))</x:f>
        <x:v>Phase 1</x:v>
      </x:c>
      <x:c r="D987" s="86" t="str">
        <x:f>IF($P987="","",INDEX(Tasks!$D$10:$D$1941,$P987))</x:f>
        <x:v>PLL</x:v>
      </x:c>
      <x:c r="E987" s="86"/>
      <x:c r="F987" s="86" t="str">
        <x:f>IF($P987="","",INDEX(Tasks!$E$10:$E$1941,$P987))</x:f>
        <x:v>Research &amp; Analysis</x:v>
      </x:c>
      <x:c r="G987" s="86"/>
      <x:c r="H987" s="14" t="str">
        <x:f>IF($P987="","",INDEX(Tasks!$F$10:$F$1941,$P987)&amp;CHAR(10)&amp;INDEX(Tasks!$G$10:$G$1941,$P987))</x:f>
        <x:v>RA.PL.1.4
Identify backup topic for Cycle</x:v>
      </x:c>
      <x:c r="I987" s="14"/>
      <x:c r="J987" s="14"/>
      <x:c r="K987" s="14"/>
      <x:c r="L987" s="86" t="str">
        <x:f>IF($P987="","",INDEX(Tasks!$N$10:$N$1941,$P987))</x:f>
        <x:v>Not started</x:v>
      </x:c>
      <x:c r="M987" s="87" t="n">
        <x:f>IF($P987="","",INDEX(Tasks!$J$10:$J$1941,$P987))</x:f>
        <x:v>46387</x:v>
      </x:c>
      <x:c r="N987" s="85" t="str">
        <x:f>IF($P987="","",HYPERLINK("#'"&amp;INDEX(Tasks!$T$10:$T$1941,$P987)&amp;"'!A"&amp;INDEX(Tasks!$U$10:$U$1941,$P987),"Open"))</x:f>
        <x:v>Open</x:v>
      </x:c>
      <x:c r="O987" s="14"/>
      <x:c r="P987" s="14" t="n">
        <x:f>IF(966&gt;$B$10,"",MATCH(966,Tasks!$S$10:$S$1941,0))</x:f>
        <x:v>1330</x:v>
      </x:c>
    </x:row>
    <x:row r="988" ht="58" customHeight="1">
      <x:c r="B988" s="86" t="str">
        <x:f>IF($P988="","",INDEX(Tasks!$B$10:$B$1941,$P988))</x:f>
        <x:v>Cycle 4</x:v>
      </x:c>
      <x:c r="C988" s="86" t="str">
        <x:f>IF($P988="","",INDEX(Tasks!$C$10:$C$1941,$P988))</x:f>
        <x:v>Phase 1</x:v>
      </x:c>
      <x:c r="D988" s="86" t="str">
        <x:f>IF($P988="","",INDEX(Tasks!$D$10:$D$1941,$P988))</x:f>
        <x:v>PLL</x:v>
      </x:c>
      <x:c r="E988" s="86"/>
      <x:c r="F988" s="86" t="str">
        <x:f>IF($P988="","",INDEX(Tasks!$E$10:$E$1941,$P988))</x:f>
        <x:v>Research &amp; Analysis</x:v>
      </x:c>
      <x:c r="G988" s="86"/>
      <x:c r="H988" s="14" t="str">
        <x:f>IF($P988="","",INDEX(Tasks!$F$10:$F$1941,$P988)&amp;CHAR(10)&amp;INDEX(Tasks!$G$10:$G$1941,$P988))</x:f>
        <x:v>RA.PL.1.5
Schedule topic approval meeting with D&amp;I and management</x:v>
      </x:c>
      <x:c r="I988" s="14"/>
      <x:c r="J988" s="14"/>
      <x:c r="K988" s="14"/>
      <x:c r="L988" s="86" t="str">
        <x:f>IF($P988="","",INDEX(Tasks!$N$10:$N$1941,$P988))</x:f>
        <x:v>Not started</x:v>
      </x:c>
      <x:c r="M988" s="87" t="n">
        <x:f>IF($P988="","",INDEX(Tasks!$J$10:$J$1941,$P988))</x:f>
        <x:v>46387</x:v>
      </x:c>
      <x:c r="N988" s="85" t="str">
        <x:f>IF($P988="","",HYPERLINK("#'"&amp;INDEX(Tasks!$T$10:$T$1941,$P988)&amp;"'!A"&amp;INDEX(Tasks!$U$10:$U$1941,$P988),"Open"))</x:f>
        <x:v>Open</x:v>
      </x:c>
      <x:c r="O988" s="14"/>
      <x:c r="P988" s="14" t="n">
        <x:f>IF(967&gt;$B$10,"",MATCH(967,Tasks!$S$10:$S$1941,0))</x:f>
        <x:v>1331</x:v>
      </x:c>
    </x:row>
    <x:row r="989" ht="58" customHeight="1">
      <x:c r="B989" s="86" t="str">
        <x:f>IF($P989="","",INDEX(Tasks!$B$10:$B$1941,$P989))</x:f>
        <x:v>Cycle 4</x:v>
      </x:c>
      <x:c r="C989" s="86" t="str">
        <x:f>IF($P989="","",INDEX(Tasks!$C$10:$C$1941,$P989))</x:f>
        <x:v>Phase 1</x:v>
      </x:c>
      <x:c r="D989" s="86" t="str">
        <x:f>IF($P989="","",INDEX(Tasks!$D$10:$D$1941,$P989))</x:f>
        <x:v>PLL</x:v>
      </x:c>
      <x:c r="E989" s="86"/>
      <x:c r="F989" s="86" t="str">
        <x:f>IF($P989="","",INDEX(Tasks!$E$10:$E$1941,$P989))</x:f>
        <x:v>Research &amp; Analysis</x:v>
      </x:c>
      <x:c r="G989" s="86"/>
      <x:c r="H989" s="14" t="str">
        <x:f>IF($P989="","",INDEX(Tasks!$F$10:$F$1941,$P989)&amp;CHAR(10)&amp;INDEX(Tasks!$G$10:$G$1941,$P989))</x:f>
        <x:v>RA.PL.1.6
Present recommended topic to D&amp;I and management for approval</x:v>
      </x:c>
      <x:c r="I989" s="14"/>
      <x:c r="J989" s="14"/>
      <x:c r="K989" s="14"/>
      <x:c r="L989" s="86" t="str">
        <x:f>IF($P989="","",INDEX(Tasks!$N$10:$N$1941,$P989))</x:f>
        <x:v>Not started</x:v>
      </x:c>
      <x:c r="M989" s="87" t="n">
        <x:f>IF($P989="","",INDEX(Tasks!$J$10:$J$1941,$P989))</x:f>
        <x:v>46387</x:v>
      </x:c>
      <x:c r="N989" s="85" t="str">
        <x:f>IF($P989="","",HYPERLINK("#'"&amp;INDEX(Tasks!$T$10:$T$1941,$P989)&amp;"'!A"&amp;INDEX(Tasks!$U$10:$U$1941,$P989),"Open"))</x:f>
        <x:v>Open</x:v>
      </x:c>
      <x:c r="O989" s="14"/>
      <x:c r="P989" s="14" t="n">
        <x:f>IF(968&gt;$B$10,"",MATCH(968,Tasks!$S$10:$S$1941,0))</x:f>
        <x:v>1332</x:v>
      </x:c>
    </x:row>
    <x:row r="990" ht="58" customHeight="1">
      <x:c r="B990" s="86" t="str">
        <x:f>IF($P990="","",INDEX(Tasks!$B$10:$B$1941,$P990))</x:f>
        <x:v>Cycle 4</x:v>
      </x:c>
      <x:c r="C990" s="86" t="str">
        <x:f>IF($P990="","",INDEX(Tasks!$C$10:$C$1941,$P990))</x:f>
        <x:v>Phase 1</x:v>
      </x:c>
      <x:c r="D990" s="86" t="str">
        <x:f>IF($P990="","",INDEX(Tasks!$D$10:$D$1941,$P990))</x:f>
        <x:v>PLL</x:v>
      </x:c>
      <x:c r="E990" s="86"/>
      <x:c r="F990" s="86" t="str">
        <x:f>IF($P990="","",INDEX(Tasks!$E$10:$E$1941,$P990))</x:f>
        <x:v>Research &amp; Analysis</x:v>
      </x:c>
      <x:c r="G990" s="86"/>
      <x:c r="H990" s="14" t="str">
        <x:f>IF($P990="","",INDEX(Tasks!$F$10:$F$1941,$P990)&amp;CHAR(10)&amp;INDEX(Tasks!$G$10:$G$1941,$P990))</x:f>
        <x:v>RA.PL.1.7
Obtain formal topic selection approval from management via SharePoint</x:v>
      </x:c>
      <x:c r="I990" s="14"/>
      <x:c r="J990" s="14"/>
      <x:c r="K990" s="14"/>
      <x:c r="L990" s="86" t="str">
        <x:f>IF($P990="","",INDEX(Tasks!$N$10:$N$1941,$P990))</x:f>
        <x:v>Not started</x:v>
      </x:c>
      <x:c r="M990" s="87" t="n">
        <x:f>IF($P990="","",INDEX(Tasks!$J$10:$J$1941,$P990))</x:f>
        <x:v>46387</x:v>
      </x:c>
      <x:c r="N990" s="85" t="str">
        <x:f>IF($P990="","",HYPERLINK("#'"&amp;INDEX(Tasks!$T$10:$T$1941,$P990)&amp;"'!A"&amp;INDEX(Tasks!$U$10:$U$1941,$P990),"Open"))</x:f>
        <x:v>Open</x:v>
      </x:c>
      <x:c r="O990" s="14"/>
      <x:c r="P990" s="14" t="n">
        <x:f>IF(969&gt;$B$10,"",MATCH(969,Tasks!$S$10:$S$1941,0))</x:f>
        <x:v>1333</x:v>
      </x:c>
    </x:row>
    <x:row r="991" ht="58" customHeight="1">
      <x:c r="B991" s="86" t="str">
        <x:f>IF($P991="","",INDEX(Tasks!$B$10:$B$1941,$P991))</x:f>
        <x:v>Cycle 4</x:v>
      </x:c>
      <x:c r="C991" s="86" t="str">
        <x:f>IF($P991="","",INDEX(Tasks!$C$10:$C$1941,$P991))</x:f>
        <x:v>Phase 1</x:v>
      </x:c>
      <x:c r="D991" s="86" t="str">
        <x:f>IF($P991="","",INDEX(Tasks!$D$10:$D$1941,$P991))</x:f>
        <x:v>PLL</x:v>
      </x:c>
      <x:c r="E991" s="86"/>
      <x:c r="F991" s="86" t="str">
        <x:f>IF($P991="","",INDEX(Tasks!$E$10:$E$1941,$P991))</x:f>
        <x:v>Research &amp; Analysis</x:v>
      </x:c>
      <x:c r="G991" s="86"/>
      <x:c r="H991" s="14" t="str">
        <x:f>IF($P991="","",INDEX(Tasks!$F$10:$F$1941,$P991)&amp;CHAR(10)&amp;INDEX(Tasks!$G$10:$G$1941,$P991))</x:f>
        <x:v>RA.PL.1.8
Socialize topic selection with product owners and subject matter experts (if known)</x:v>
      </x:c>
      <x:c r="I991" s="14"/>
      <x:c r="J991" s="14"/>
      <x:c r="K991" s="14"/>
      <x:c r="L991" s="86" t="str">
        <x:f>IF($P991="","",INDEX(Tasks!$N$10:$N$1941,$P991))</x:f>
        <x:v>Not started</x:v>
      </x:c>
      <x:c r="M991" s="87" t="n">
        <x:f>IF($P991="","",INDEX(Tasks!$J$10:$J$1941,$P991))</x:f>
        <x:v>46387</x:v>
      </x:c>
      <x:c r="N991" s="85" t="str">
        <x:f>IF($P991="","",HYPERLINK("#'"&amp;INDEX(Tasks!$T$10:$T$1941,$P991)&amp;"'!A"&amp;INDEX(Tasks!$U$10:$U$1941,$P991),"Open"))</x:f>
        <x:v>Open</x:v>
      </x:c>
      <x:c r="O991" s="14"/>
      <x:c r="P991" s="14" t="n">
        <x:f>IF(970&gt;$B$10,"",MATCH(970,Tasks!$S$10:$S$1941,0))</x:f>
        <x:v>1334</x:v>
      </x:c>
    </x:row>
    <x:row r="992" ht="58" customHeight="1">
      <x:c r="B992" s="86" t="str">
        <x:f>IF($P992="","",INDEX(Tasks!$B$10:$B$1941,$P992))</x:f>
        <x:v>Cycle 4</x:v>
      </x:c>
      <x:c r="C992" s="86" t="str">
        <x:f>IF($P992="","",INDEX(Tasks!$C$10:$C$1941,$P992))</x:f>
        <x:v>Phase 1</x:v>
      </x:c>
      <x:c r="D992" s="86" t="str">
        <x:f>IF($P992="","",INDEX(Tasks!$D$10:$D$1941,$P992))</x:f>
        <x:v>PLL</x:v>
      </x:c>
      <x:c r="E992" s="86"/>
      <x:c r="F992" s="86" t="str">
        <x:f>IF($P992="","",INDEX(Tasks!$E$10:$E$1941,$P992))</x:f>
        <x:v>Research &amp; Analysis</x:v>
      </x:c>
      <x:c r="G992" s="86"/>
      <x:c r="H992" s="14" t="str">
        <x:f>IF($P992="","",INDEX(Tasks!$F$10:$F$1941,$P992)&amp;CHAR(10)&amp;INDEX(Tasks!$G$10:$G$1941,$P992))</x:f>
        <x:v>RA.PL.1.9
Assign topic researchers</x:v>
      </x:c>
      <x:c r="I992" s="14"/>
      <x:c r="J992" s="14"/>
      <x:c r="K992" s="14"/>
      <x:c r="L992" s="86" t="str">
        <x:f>IF($P992="","",INDEX(Tasks!$N$10:$N$1941,$P992))</x:f>
        <x:v>Not started</x:v>
      </x:c>
      <x:c r="M992" s="87" t="n">
        <x:f>IF($P992="","",INDEX(Tasks!$J$10:$J$1941,$P992))</x:f>
        <x:v>46387</x:v>
      </x:c>
      <x:c r="N992" s="85" t="str">
        <x:f>IF($P992="","",HYPERLINK("#'"&amp;INDEX(Tasks!$T$10:$T$1941,$P992)&amp;"'!A"&amp;INDEX(Tasks!$U$10:$U$1941,$P992),"Open"))</x:f>
        <x:v>Open</x:v>
      </x:c>
      <x:c r="O992" s="14"/>
      <x:c r="P992" s="14" t="n">
        <x:f>IF(971&gt;$B$10,"",MATCH(971,Tasks!$S$10:$S$1941,0))</x:f>
        <x:v>1335</x:v>
      </x:c>
    </x:row>
    <x:row r="993" ht="58" customHeight="1">
      <x:c r="B993" s="86" t="str">
        <x:f>IF($P993="","",INDEX(Tasks!$B$10:$B$1941,$P993))</x:f>
        <x:v>Cycle 4</x:v>
      </x:c>
      <x:c r="C993" s="86" t="str">
        <x:f>IF($P993="","",INDEX(Tasks!$C$10:$C$1941,$P993))</x:f>
        <x:v>Phase 2</x:v>
      </x:c>
      <x:c r="D993" s="86" t="str">
        <x:f>IF($P993="","",INDEX(Tasks!$D$10:$D$1941,$P993))</x:f>
        <x:v>PLL</x:v>
      </x:c>
      <x:c r="E993" s="86"/>
      <x:c r="F993" s="86" t="str">
        <x:f>IF($P993="","",INDEX(Tasks!$E$10:$E$1941,$P993))</x:f>
        <x:v>Research &amp; Analysis</x:v>
      </x:c>
      <x:c r="G993" s="86"/>
      <x:c r="H993" s="14" t="str">
        <x:f>IF($P993="","",INDEX(Tasks!$F$10:$F$1941,$P993)&amp;CHAR(10)&amp;INDEX(Tasks!$G$10:$G$1941,$P993))</x:f>
        <x:v>RA.PL.2.1
Review data sources</x:v>
      </x:c>
      <x:c r="I993" s="14"/>
      <x:c r="J993" s="14"/>
      <x:c r="K993" s="14"/>
      <x:c r="L993" s="86" t="str">
        <x:f>IF($P993="","",INDEX(Tasks!$N$10:$N$1941,$P993))</x:f>
        <x:v>Not started</x:v>
      </x:c>
      <x:c r="M993" s="87" t="n">
        <x:f>IF($P993="","",INDEX(Tasks!$J$10:$J$1941,$P993))</x:f>
        <x:v>46387</x:v>
      </x:c>
      <x:c r="N993" s="85" t="str">
        <x:f>IF($P993="","",HYPERLINK("#'"&amp;INDEX(Tasks!$T$10:$T$1941,$P993)&amp;"'!A"&amp;INDEX(Tasks!$U$10:$U$1941,$P993),"Open"))</x:f>
        <x:v>Open</x:v>
      </x:c>
      <x:c r="O993" s="14"/>
      <x:c r="P993" s="14" t="n">
        <x:f>IF(972&gt;$B$10,"",MATCH(972,Tasks!$S$10:$S$1941,0))</x:f>
        <x:v>1336</x:v>
      </x:c>
    </x:row>
    <x:row r="994" ht="58" customHeight="1">
      <x:c r="B994" s="86" t="str">
        <x:f>IF($P994="","",INDEX(Tasks!$B$10:$B$1941,$P994))</x:f>
        <x:v>Cycle 4</x:v>
      </x:c>
      <x:c r="C994" s="86" t="str">
        <x:f>IF($P994="","",INDEX(Tasks!$C$10:$C$1941,$P994))</x:f>
        <x:v>Phase 2</x:v>
      </x:c>
      <x:c r="D994" s="86" t="str">
        <x:f>IF($P994="","",INDEX(Tasks!$D$10:$D$1941,$P994))</x:f>
        <x:v>PLL</x:v>
      </x:c>
      <x:c r="E994" s="86"/>
      <x:c r="F994" s="86" t="str">
        <x:f>IF($P994="","",INDEX(Tasks!$E$10:$E$1941,$P994))</x:f>
        <x:v>Research &amp; Analysis</x:v>
      </x:c>
      <x:c r="G994" s="86"/>
      <x:c r="H994" s="14" t="str">
        <x:f>IF($P994="","",INDEX(Tasks!$F$10:$F$1941,$P994)&amp;CHAR(10)&amp;INDEX(Tasks!$G$10:$G$1941,$P994))</x:f>
        <x:v>RA.PL.2.2
Review relevant policies and procedures</x:v>
      </x:c>
      <x:c r="I994" s="14"/>
      <x:c r="J994" s="14"/>
      <x:c r="K994" s="14"/>
      <x:c r="L994" s="86" t="str">
        <x:f>IF($P994="","",INDEX(Tasks!$N$10:$N$1941,$P994))</x:f>
        <x:v>Not started</x:v>
      </x:c>
      <x:c r="M994" s="87" t="n">
        <x:f>IF($P994="","",INDEX(Tasks!$J$10:$J$1941,$P994))</x:f>
        <x:v>46387</x:v>
      </x:c>
      <x:c r="N994" s="85" t="str">
        <x:f>IF($P994="","",HYPERLINK("#'"&amp;INDEX(Tasks!$T$10:$T$1941,$P994)&amp;"'!A"&amp;INDEX(Tasks!$U$10:$U$1941,$P994),"Open"))</x:f>
        <x:v>Open</x:v>
      </x:c>
      <x:c r="O994" s="14"/>
      <x:c r="P994" s="14" t="n">
        <x:f>IF(973&gt;$B$10,"",MATCH(973,Tasks!$S$10:$S$1941,0))</x:f>
        <x:v>1337</x:v>
      </x:c>
    </x:row>
    <x:row r="995" ht="58" customHeight="1">
      <x:c r="B995" s="86" t="str">
        <x:f>IF($P995="","",INDEX(Tasks!$B$10:$B$1941,$P995))</x:f>
        <x:v>Cycle 4</x:v>
      </x:c>
      <x:c r="C995" s="86" t="str">
        <x:f>IF($P995="","",INDEX(Tasks!$C$10:$C$1941,$P995))</x:f>
        <x:v>Phase 2</x:v>
      </x:c>
      <x:c r="D995" s="86" t="str">
        <x:f>IF($P995="","",INDEX(Tasks!$D$10:$D$1941,$P995))</x:f>
        <x:v>PLL</x:v>
      </x:c>
      <x:c r="E995" s="86"/>
      <x:c r="F995" s="86" t="str">
        <x:f>IF($P995="","",INDEX(Tasks!$E$10:$E$1941,$P995))</x:f>
        <x:v>Research &amp; Analysis</x:v>
      </x:c>
      <x:c r="G995" s="86"/>
      <x:c r="H995" s="14" t="str">
        <x:f>IF($P995="","",INDEX(Tasks!$F$10:$F$1941,$P995)&amp;CHAR(10)&amp;INDEX(Tasks!$G$10:$G$1941,$P995))</x:f>
        <x:v>RA.PL.2.3
Meet with SMEs to gain business insight and clarify questions</x:v>
      </x:c>
      <x:c r="I995" s="14"/>
      <x:c r="J995" s="14"/>
      <x:c r="K995" s="14"/>
      <x:c r="L995" s="86" t="str">
        <x:f>IF($P995="","",INDEX(Tasks!$N$10:$N$1941,$P995))</x:f>
        <x:v>Not started</x:v>
      </x:c>
      <x:c r="M995" s="87" t="n">
        <x:f>IF($P995="","",INDEX(Tasks!$J$10:$J$1941,$P995))</x:f>
        <x:v>46387</x:v>
      </x:c>
      <x:c r="N995" s="85" t="str">
        <x:f>IF($P995="","",HYPERLINK("#'"&amp;INDEX(Tasks!$T$10:$T$1941,$P995)&amp;"'!A"&amp;INDEX(Tasks!$U$10:$U$1941,$P995),"Open"))</x:f>
        <x:v>Open</x:v>
      </x:c>
      <x:c r="O995" s="14"/>
      <x:c r="P995" s="14" t="n">
        <x:f>IF(974&gt;$B$10,"",MATCH(974,Tasks!$S$10:$S$1941,0))</x:f>
        <x:v>1338</x:v>
      </x:c>
    </x:row>
    <x:row r="996" ht="58" customHeight="1">
      <x:c r="B996" s="86" t="str">
        <x:f>IF($P996="","",INDEX(Tasks!$B$10:$B$1941,$P996))</x:f>
        <x:v>Cycle 4</x:v>
      </x:c>
      <x:c r="C996" s="86" t="str">
        <x:f>IF($P996="","",INDEX(Tasks!$C$10:$C$1941,$P996))</x:f>
        <x:v>Phase 2</x:v>
      </x:c>
      <x:c r="D996" s="86" t="str">
        <x:f>IF($P996="","",INDEX(Tasks!$D$10:$D$1941,$P996))</x:f>
        <x:v>PLL</x:v>
      </x:c>
      <x:c r="E996" s="86"/>
      <x:c r="F996" s="86" t="str">
        <x:f>IF($P996="","",INDEX(Tasks!$E$10:$E$1941,$P996))</x:f>
        <x:v>Research &amp; Analysis</x:v>
      </x:c>
      <x:c r="G996" s="86"/>
      <x:c r="H996" s="14" t="str">
        <x:f>IF($P996="","",INDEX(Tasks!$F$10:$F$1941,$P996)&amp;CHAR(10)&amp;INDEX(Tasks!$G$10:$G$1941,$P996))</x:f>
        <x:v>RA.PL.2.4
Establish and maintain a recurring meeting with D&amp;I to discuss Cycle progress</x:v>
      </x:c>
      <x:c r="I996" s="14"/>
      <x:c r="J996" s="14"/>
      <x:c r="K996" s="14"/>
      <x:c r="L996" s="86" t="str">
        <x:f>IF($P996="","",INDEX(Tasks!$N$10:$N$1941,$P996))</x:f>
        <x:v>Not started</x:v>
      </x:c>
      <x:c r="M996" s="87" t="n">
        <x:f>IF($P996="","",INDEX(Tasks!$J$10:$J$1941,$P996))</x:f>
        <x:v>46387</x:v>
      </x:c>
      <x:c r="N996" s="85" t="str">
        <x:f>IF($P996="","",HYPERLINK("#'"&amp;INDEX(Tasks!$T$10:$T$1941,$P996)&amp;"'!A"&amp;INDEX(Tasks!$U$10:$U$1941,$P996),"Open"))</x:f>
        <x:v>Open</x:v>
      </x:c>
      <x:c r="O996" s="14"/>
      <x:c r="P996" s="14" t="n">
        <x:f>IF(975&gt;$B$10,"",MATCH(975,Tasks!$S$10:$S$1941,0))</x:f>
        <x:v>1339</x:v>
      </x:c>
    </x:row>
    <x:row r="997" ht="58" customHeight="1">
      <x:c r="B997" s="86" t="str">
        <x:f>IF($P997="","",INDEX(Tasks!$B$10:$B$1941,$P997))</x:f>
        <x:v>Cycle 4</x:v>
      </x:c>
      <x:c r="C997" s="86" t="str">
        <x:f>IF($P997="","",INDEX(Tasks!$C$10:$C$1941,$P997))</x:f>
        <x:v>Phase 2</x:v>
      </x:c>
      <x:c r="D997" s="86" t="str">
        <x:f>IF($P997="","",INDEX(Tasks!$D$10:$D$1941,$P997))</x:f>
        <x:v>PLL</x:v>
      </x:c>
      <x:c r="E997" s="86"/>
      <x:c r="F997" s="86" t="str">
        <x:f>IF($P997="","",INDEX(Tasks!$E$10:$E$1941,$P997))</x:f>
        <x:v>Research &amp; Analysis</x:v>
      </x:c>
      <x:c r="G997" s="86"/>
      <x:c r="H997" s="14" t="str">
        <x:f>IF($P997="","",INDEX(Tasks!$F$10:$F$1941,$P997)&amp;CHAR(10)&amp;INDEX(Tasks!$G$10:$G$1941,$P997))</x:f>
        <x:v>RA.PL.2.5
Perform data testing and sampling</x:v>
      </x:c>
      <x:c r="I997" s="14"/>
      <x:c r="J997" s="14"/>
      <x:c r="K997" s="14"/>
      <x:c r="L997" s="86" t="str">
        <x:f>IF($P997="","",INDEX(Tasks!$N$10:$N$1941,$P997))</x:f>
        <x:v>Not started</x:v>
      </x:c>
      <x:c r="M997" s="87" t="n">
        <x:f>IF($P997="","",INDEX(Tasks!$J$10:$J$1941,$P997))</x:f>
        <x:v>46387</x:v>
      </x:c>
      <x:c r="N997" s="85" t="str">
        <x:f>IF($P997="","",HYPERLINK("#'"&amp;INDEX(Tasks!$T$10:$T$1941,$P997)&amp;"'!A"&amp;INDEX(Tasks!$U$10:$U$1941,$P997),"Open"))</x:f>
        <x:v>Open</x:v>
      </x:c>
      <x:c r="O997" s="14"/>
      <x:c r="P997" s="14" t="n">
        <x:f>IF(976&gt;$B$10,"",MATCH(976,Tasks!$S$10:$S$1941,0))</x:f>
        <x:v>1340</x:v>
      </x:c>
    </x:row>
    <x:row r="998" ht="58" customHeight="1">
      <x:c r="B998" s="86" t="str">
        <x:f>IF($P998="","",INDEX(Tasks!$B$10:$B$1941,$P998))</x:f>
        <x:v>Cycle 4</x:v>
      </x:c>
      <x:c r="C998" s="86" t="str">
        <x:f>IF($P998="","",INDEX(Tasks!$C$10:$C$1941,$P998))</x:f>
        <x:v>Phase 2</x:v>
      </x:c>
      <x:c r="D998" s="86" t="str">
        <x:f>IF($P998="","",INDEX(Tasks!$D$10:$D$1941,$P998))</x:f>
        <x:v>PLL</x:v>
      </x:c>
      <x:c r="E998" s="86"/>
      <x:c r="F998" s="86" t="str">
        <x:f>IF($P998="","",INDEX(Tasks!$E$10:$E$1941,$P998))</x:f>
        <x:v>Research &amp; Analysis</x:v>
      </x:c>
      <x:c r="G998" s="86"/>
      <x:c r="H998" s="14" t="str">
        <x:f>IF($P998="","",INDEX(Tasks!$F$10:$F$1941,$P998)&amp;CHAR(10)&amp;INDEX(Tasks!$G$10:$G$1941,$P998))</x:f>
        <x:v>RA.PL.2.6
Complete Positive Testing</x:v>
      </x:c>
      <x:c r="I998" s="14"/>
      <x:c r="J998" s="14"/>
      <x:c r="K998" s="14"/>
      <x:c r="L998" s="86" t="str">
        <x:f>IF($P998="","",INDEX(Tasks!$N$10:$N$1941,$P998))</x:f>
        <x:v>Not started</x:v>
      </x:c>
      <x:c r="M998" s="87" t="n">
        <x:f>IF($P998="","",INDEX(Tasks!$J$10:$J$1941,$P998))</x:f>
        <x:v>46387</x:v>
      </x:c>
      <x:c r="N998" s="85" t="str">
        <x:f>IF($P998="","",HYPERLINK("#'"&amp;INDEX(Tasks!$T$10:$T$1941,$P998)&amp;"'!A"&amp;INDEX(Tasks!$U$10:$U$1941,$P998),"Open"))</x:f>
        <x:v>Open</x:v>
      </x:c>
      <x:c r="O998" s="14"/>
      <x:c r="P998" s="14" t="n">
        <x:f>IF(977&gt;$B$10,"",MATCH(977,Tasks!$S$10:$S$1941,0))</x:f>
        <x:v>1341</x:v>
      </x:c>
    </x:row>
    <x:row r="999" ht="58" customHeight="1">
      <x:c r="B999" s="86" t="str">
        <x:f>IF($P999="","",INDEX(Tasks!$B$10:$B$1941,$P999))</x:f>
        <x:v>Cycle 4</x:v>
      </x:c>
      <x:c r="C999" s="86" t="str">
        <x:f>IF($P999="","",INDEX(Tasks!$C$10:$C$1941,$P999))</x:f>
        <x:v>Phase 2</x:v>
      </x:c>
      <x:c r="D999" s="86" t="str">
        <x:f>IF($P999="","",INDEX(Tasks!$D$10:$D$1941,$P999))</x:f>
        <x:v>PLL</x:v>
      </x:c>
      <x:c r="E999" s="86"/>
      <x:c r="F999" s="86" t="str">
        <x:f>IF($P999="","",INDEX(Tasks!$E$10:$E$1941,$P999))</x:f>
        <x:v>Research &amp; Analysis</x:v>
      </x:c>
      <x:c r="G999" s="86"/>
      <x:c r="H999" s="14" t="str">
        <x:f>IF($P999="","",INDEX(Tasks!$F$10:$F$1941,$P999)&amp;CHAR(10)&amp;INDEX(Tasks!$G$10:$G$1941,$P999))</x:f>
        <x:v>RA.PL.2.7
Complete Negative Testing</x:v>
      </x:c>
      <x:c r="I999" s="14"/>
      <x:c r="J999" s="14"/>
      <x:c r="K999" s="14"/>
      <x:c r="L999" s="86" t="str">
        <x:f>IF($P999="","",INDEX(Tasks!$N$10:$N$1941,$P999))</x:f>
        <x:v>Not started</x:v>
      </x:c>
      <x:c r="M999" s="87" t="n">
        <x:f>IF($P999="","",INDEX(Tasks!$J$10:$J$1941,$P999))</x:f>
        <x:v>46387</x:v>
      </x:c>
      <x:c r="N999" s="85" t="str">
        <x:f>IF($P999="","",HYPERLINK("#'"&amp;INDEX(Tasks!$T$10:$T$1941,$P999)&amp;"'!A"&amp;INDEX(Tasks!$U$10:$U$1941,$P999),"Open"))</x:f>
        <x:v>Open</x:v>
      </x:c>
      <x:c r="O999" s="14"/>
      <x:c r="P999" s="14" t="n">
        <x:f>IF(978&gt;$B$10,"",MATCH(978,Tasks!$S$10:$S$1941,0))</x:f>
        <x:v>1342</x:v>
      </x:c>
    </x:row>
    <x:row r="1000" ht="58" customHeight="1">
      <x:c r="B1000" s="86" t="str">
        <x:f>IF($P1000="","",INDEX(Tasks!$B$10:$B$1941,$P1000))</x:f>
        <x:v>Cycle 4</x:v>
      </x:c>
      <x:c r="C1000" s="86" t="str">
        <x:f>IF($P1000="","",INDEX(Tasks!$C$10:$C$1941,$P1000))</x:f>
        <x:v>Phase 2</x:v>
      </x:c>
      <x:c r="D1000" s="86" t="str">
        <x:f>IF($P1000="","",INDEX(Tasks!$D$10:$D$1941,$P1000))</x:f>
        <x:v>PLL</x:v>
      </x:c>
      <x:c r="E1000" s="86"/>
      <x:c r="F1000" s="86" t="str">
        <x:f>IF($P1000="","",INDEX(Tasks!$E$10:$E$1941,$P1000))</x:f>
        <x:v>Research &amp; Analysis</x:v>
      </x:c>
      <x:c r="G1000" s="86"/>
      <x:c r="H1000" s="14" t="str">
        <x:f>IF($P1000="","",INDEX(Tasks!$F$10:$F$1941,$P1000)&amp;CHAR(10)&amp;INDEX(Tasks!$G$10:$G$1941,$P1000))</x:f>
        <x:v>RA.PL.2.8
Request additional data (as needed)</x:v>
      </x:c>
      <x:c r="I1000" s="14"/>
      <x:c r="J1000" s="14"/>
      <x:c r="K1000" s="14"/>
      <x:c r="L1000" s="86" t="str">
        <x:f>IF($P1000="","",INDEX(Tasks!$N$10:$N$1941,$P1000))</x:f>
        <x:v>Not started</x:v>
      </x:c>
      <x:c r="M1000" s="87" t="n">
        <x:f>IF($P1000="","",INDEX(Tasks!$J$10:$J$1941,$P1000))</x:f>
        <x:v>46387</x:v>
      </x:c>
      <x:c r="N1000" s="85" t="str">
        <x:f>IF($P1000="","",HYPERLINK("#'"&amp;INDEX(Tasks!$T$10:$T$1941,$P1000)&amp;"'!A"&amp;INDEX(Tasks!$U$10:$U$1941,$P1000),"Open"))</x:f>
        <x:v>Open</x:v>
      </x:c>
      <x:c r="O1000" s="14"/>
      <x:c r="P1000" s="14" t="n">
        <x:f>IF(979&gt;$B$10,"",MATCH(979,Tasks!$S$10:$S$1941,0))</x:f>
        <x:v>1343</x:v>
      </x:c>
    </x:row>
    <x:row r="1001" ht="58" customHeight="1">
      <x:c r="B1001" s="86" t="str">
        <x:f>IF($P1001="","",INDEX(Tasks!$B$10:$B$1941,$P1001))</x:f>
        <x:v>Cycle 4</x:v>
      </x:c>
      <x:c r="C1001" s="86" t="str">
        <x:f>IF($P1001="","",INDEX(Tasks!$C$10:$C$1941,$P1001))</x:f>
        <x:v>Phase 2</x:v>
      </x:c>
      <x:c r="D1001" s="86" t="str">
        <x:f>IF($P1001="","",INDEX(Tasks!$D$10:$D$1941,$P1001))</x:f>
        <x:v>PLL</x:v>
      </x:c>
      <x:c r="E1001" s="86"/>
      <x:c r="F1001" s="86" t="str">
        <x:f>IF($P1001="","",INDEX(Tasks!$E$10:$E$1941,$P1001))</x:f>
        <x:v>Research &amp; Analysis</x:v>
      </x:c>
      <x:c r="G1001" s="86"/>
      <x:c r="H1001" s="14" t="str">
        <x:f>IF($P1001="","",INDEX(Tasks!$F$10:$F$1941,$P1001)&amp;CHAR(10)&amp;INDEX(Tasks!$G$10:$G$1941,$P1001))</x:f>
        <x:v>RA.PL.2.9
Validate or disprove initial hypothesis assumptions</x:v>
      </x:c>
      <x:c r="I1001" s="14"/>
      <x:c r="J1001" s="14"/>
      <x:c r="K1001" s="14"/>
      <x:c r="L1001" s="86" t="str">
        <x:f>IF($P1001="","",INDEX(Tasks!$N$10:$N$1941,$P1001))</x:f>
        <x:v>Not started</x:v>
      </x:c>
      <x:c r="M1001" s="87" t="n">
        <x:f>IF($P1001="","",INDEX(Tasks!$J$10:$J$1941,$P1001))</x:f>
        <x:v>46387</x:v>
      </x:c>
      <x:c r="N1001" s="85" t="str">
        <x:f>IF($P1001="","",HYPERLINK("#'"&amp;INDEX(Tasks!$T$10:$T$1941,$P1001)&amp;"'!A"&amp;INDEX(Tasks!$U$10:$U$1941,$P1001),"Open"))</x:f>
        <x:v>Open</x:v>
      </x:c>
      <x:c r="O1001" s="14"/>
      <x:c r="P1001" s="14" t="n">
        <x:f>IF(980&gt;$B$10,"",MATCH(980,Tasks!$S$10:$S$1941,0))</x:f>
        <x:v>1344</x:v>
      </x:c>
    </x:row>
    <x:row r="1002" ht="58" customHeight="1">
      <x:c r="B1002" s="86" t="str">
        <x:f>IF($P1002="","",INDEX(Tasks!$B$10:$B$1941,$P1002))</x:f>
        <x:v>Cycle 4</x:v>
      </x:c>
      <x:c r="C1002" s="86" t="str">
        <x:f>IF($P1002="","",INDEX(Tasks!$C$10:$C$1941,$P1002))</x:f>
        <x:v>Phase 2</x:v>
      </x:c>
      <x:c r="D1002" s="86" t="str">
        <x:f>IF($P1002="","",INDEX(Tasks!$D$10:$D$1941,$P1002))</x:f>
        <x:v>PLL</x:v>
      </x:c>
      <x:c r="E1002" s="86"/>
      <x:c r="F1002" s="86" t="str">
        <x:f>IF($P1002="","",INDEX(Tasks!$E$10:$E$1941,$P1002))</x:f>
        <x:v>Research &amp; Analysis</x:v>
      </x:c>
      <x:c r="G1002" s="86"/>
      <x:c r="H1002" s="14" t="str">
        <x:f>IF($P1002="","",INDEX(Tasks!$F$10:$F$1941,$P1002)&amp;CHAR(10)&amp;INDEX(Tasks!$G$10:$G$1941,$P1002))</x:f>
        <x:v>RA.PL.2.10
Identify and confirm root cause</x:v>
      </x:c>
      <x:c r="I1002" s="14"/>
      <x:c r="J1002" s="14"/>
      <x:c r="K1002" s="14"/>
      <x:c r="L1002" s="86" t="str">
        <x:f>IF($P1002="","",INDEX(Tasks!$N$10:$N$1941,$P1002))</x:f>
        <x:v>Not started</x:v>
      </x:c>
      <x:c r="M1002" s="87" t="n">
        <x:f>IF($P1002="","",INDEX(Tasks!$J$10:$J$1941,$P1002))</x:f>
        <x:v>46387</x:v>
      </x:c>
      <x:c r="N1002" s="85" t="str">
        <x:f>IF($P1002="","",HYPERLINK("#'"&amp;INDEX(Tasks!$T$10:$T$1941,$P1002)&amp;"'!A"&amp;INDEX(Tasks!$U$10:$U$1941,$P1002),"Open"))</x:f>
        <x:v>Open</x:v>
      </x:c>
      <x:c r="O1002" s="14"/>
      <x:c r="P1002" s="14" t="n">
        <x:f>IF(981&gt;$B$10,"",MATCH(981,Tasks!$S$10:$S$1941,0))</x:f>
        <x:v>1345</x:v>
      </x:c>
    </x:row>
    <x:row r="1003" ht="58" customHeight="1">
      <x:c r="B1003" s="86" t="str">
        <x:f>IF($P1003="","",INDEX(Tasks!$B$10:$B$1941,$P1003))</x:f>
        <x:v>Cycle 4</x:v>
      </x:c>
      <x:c r="C1003" s="86" t="str">
        <x:f>IF($P1003="","",INDEX(Tasks!$C$10:$C$1941,$P1003))</x:f>
        <x:v>Phase 3</x:v>
      </x:c>
      <x:c r="D1003" s="86" t="str">
        <x:f>IF($P1003="","",INDEX(Tasks!$D$10:$D$1941,$P1003))</x:f>
        <x:v>PLL</x:v>
      </x:c>
      <x:c r="E1003" s="86"/>
      <x:c r="F1003" s="86" t="str">
        <x:f>IF($P1003="","",INDEX(Tasks!$E$10:$E$1941,$P1003))</x:f>
        <x:v>Research &amp; Analysis</x:v>
      </x:c>
      <x:c r="G1003" s="86"/>
      <x:c r="H1003" s="14" t="str">
        <x:f>IF($P1003="","",INDEX(Tasks!$F$10:$F$1941,$P1003)&amp;CHAR(10)&amp;INDEX(Tasks!$G$10:$G$1941,$P1003))</x:f>
        <x:v>RA.PL.3.1
Finalize results and supporting documentation</x:v>
      </x:c>
      <x:c r="I1003" s="14"/>
      <x:c r="J1003" s="14"/>
      <x:c r="K1003" s="14"/>
      <x:c r="L1003" s="86" t="str">
        <x:f>IF($P1003="","",INDEX(Tasks!$N$10:$N$1941,$P1003))</x:f>
        <x:v>Not started</x:v>
      </x:c>
      <x:c r="M1003" s="87" t="n">
        <x:f>IF($P1003="","",INDEX(Tasks!$J$10:$J$1941,$P1003))</x:f>
        <x:v>46387</x:v>
      </x:c>
      <x:c r="N1003" s="85" t="str">
        <x:f>IF($P1003="","",HYPERLINK("#'"&amp;INDEX(Tasks!$T$10:$T$1941,$P1003)&amp;"'!A"&amp;INDEX(Tasks!$U$10:$U$1941,$P1003),"Open"))</x:f>
        <x:v>Open</x:v>
      </x:c>
      <x:c r="O1003" s="14"/>
      <x:c r="P1003" s="14" t="n">
        <x:f>IF(982&gt;$B$10,"",MATCH(982,Tasks!$S$10:$S$1941,0))</x:f>
        <x:v>1346</x:v>
      </x:c>
    </x:row>
    <x:row r="1004" ht="58" customHeight="1">
      <x:c r="B1004" s="86" t="str">
        <x:f>IF($P1004="","",INDEX(Tasks!$B$10:$B$1941,$P1004))</x:f>
        <x:v>Cycle 4</x:v>
      </x:c>
      <x:c r="C1004" s="86" t="str">
        <x:f>IF($P1004="","",INDEX(Tasks!$C$10:$C$1941,$P1004))</x:f>
        <x:v>Phase 3</x:v>
      </x:c>
      <x:c r="D1004" s="86" t="str">
        <x:f>IF($P1004="","",INDEX(Tasks!$D$10:$D$1941,$P1004))</x:f>
        <x:v>PLL</x:v>
      </x:c>
      <x:c r="E1004" s="86"/>
      <x:c r="F1004" s="86" t="str">
        <x:f>IF($P1004="","",INDEX(Tasks!$E$10:$E$1941,$P1004))</x:f>
        <x:v>Research &amp; Analysis</x:v>
      </x:c>
      <x:c r="G1004" s="86"/>
      <x:c r="H1004" s="14" t="str">
        <x:f>IF($P1004="","",INDEX(Tasks!$F$10:$F$1941,$P1004)&amp;CHAR(10)&amp;INDEX(Tasks!$G$10:$G$1941,$P1004))</x:f>
        <x:v>RA.PL.3.2
Maintain and update the evidence package prior to handoff to D&amp;I</x:v>
      </x:c>
      <x:c r="I1004" s="14"/>
      <x:c r="J1004" s="14"/>
      <x:c r="K1004" s="14"/>
      <x:c r="L1004" s="86" t="str">
        <x:f>IF($P1004="","",INDEX(Tasks!$N$10:$N$1941,$P1004))</x:f>
        <x:v>Not started</x:v>
      </x:c>
      <x:c r="M1004" s="87" t="n">
        <x:f>IF($P1004="","",INDEX(Tasks!$J$10:$J$1941,$P1004))</x:f>
        <x:v>46387</x:v>
      </x:c>
      <x:c r="N1004" s="85" t="str">
        <x:f>IF($P1004="","",HYPERLINK("#'"&amp;INDEX(Tasks!$T$10:$T$1941,$P1004)&amp;"'!A"&amp;INDEX(Tasks!$U$10:$U$1941,$P1004),"Open"))</x:f>
        <x:v>Open</x:v>
      </x:c>
      <x:c r="O1004" s="14"/>
      <x:c r="P1004" s="14" t="n">
        <x:f>IF(983&gt;$B$10,"",MATCH(983,Tasks!$S$10:$S$1941,0))</x:f>
        <x:v>1347</x:v>
      </x:c>
    </x:row>
    <x:row r="1005" ht="58" customHeight="1">
      <x:c r="B1005" s="86" t="str">
        <x:f>IF($P1005="","",INDEX(Tasks!$B$10:$B$1941,$P1005))</x:f>
        <x:v>Cycle 4</x:v>
      </x:c>
      <x:c r="C1005" s="86" t="str">
        <x:f>IF($P1005="","",INDEX(Tasks!$C$10:$C$1941,$P1005))</x:f>
        <x:v>Phase 3</x:v>
      </x:c>
      <x:c r="D1005" s="86" t="str">
        <x:f>IF($P1005="","",INDEX(Tasks!$D$10:$D$1941,$P1005))</x:f>
        <x:v>PLL</x:v>
      </x:c>
      <x:c r="E1005" s="86"/>
      <x:c r="F1005" s="86" t="str">
        <x:f>IF($P1005="","",INDEX(Tasks!$E$10:$E$1941,$P1005))</x:f>
        <x:v>Research &amp; Analysis</x:v>
      </x:c>
      <x:c r="G1005" s="86"/>
      <x:c r="H1005" s="14" t="str">
        <x:f>IF($P1005="","",INDEX(Tasks!$F$10:$F$1941,$P1005)&amp;CHAR(10)&amp;INDEX(Tasks!$G$10:$G$1941,$P1005))</x:f>
        <x:v>RA.PL.3.3
Address any outstanding questions or requests from D&amp;I</x:v>
      </x:c>
      <x:c r="I1005" s="14"/>
      <x:c r="J1005" s="14"/>
      <x:c r="K1005" s="14"/>
      <x:c r="L1005" s="86" t="str">
        <x:f>IF($P1005="","",INDEX(Tasks!$N$10:$N$1941,$P1005))</x:f>
        <x:v>Not started</x:v>
      </x:c>
      <x:c r="M1005" s="87" t="n">
        <x:f>IF($P1005="","",INDEX(Tasks!$J$10:$J$1941,$P1005))</x:f>
        <x:v>46387</x:v>
      </x:c>
      <x:c r="N1005" s="85" t="str">
        <x:f>IF($P1005="","",HYPERLINK("#'"&amp;INDEX(Tasks!$T$10:$T$1941,$P1005)&amp;"'!A"&amp;INDEX(Tasks!$U$10:$U$1941,$P1005),"Open"))</x:f>
        <x:v>Open</x:v>
      </x:c>
      <x:c r="O1005" s="14"/>
      <x:c r="P1005" s="14" t="n">
        <x:f>IF(984&gt;$B$10,"",MATCH(984,Tasks!$S$10:$S$1941,0))</x:f>
        <x:v>1348</x:v>
      </x:c>
    </x:row>
    <x:row r="1006" ht="58" customHeight="1">
      <x:c r="B1006" s="86" t="str">
        <x:f>IF($P1006="","",INDEX(Tasks!$B$10:$B$1941,$P1006))</x:f>
        <x:v>Cycle 4</x:v>
      </x:c>
      <x:c r="C1006" s="86" t="str">
        <x:f>IF($P1006="","",INDEX(Tasks!$C$10:$C$1941,$P1006))</x:f>
        <x:v>Phase 3</x:v>
      </x:c>
      <x:c r="D1006" s="86" t="str">
        <x:f>IF($P1006="","",INDEX(Tasks!$D$10:$D$1941,$P1006))</x:f>
        <x:v>PLL</x:v>
      </x:c>
      <x:c r="E1006" s="86"/>
      <x:c r="F1006" s="86" t="str">
        <x:f>IF($P1006="","",INDEX(Tasks!$E$10:$E$1941,$P1006))</x:f>
        <x:v>Research &amp; Analysis</x:v>
      </x:c>
      <x:c r="G1006" s="86"/>
      <x:c r="H1006" s="14" t="str">
        <x:f>IF($P1006="","",INDEX(Tasks!$F$10:$F$1941,$P1006)&amp;CHAR(10)&amp;INDEX(Tasks!$G$10:$G$1941,$P1006))</x:f>
        <x:v>RA.PL.3.4
Attend Forum meeting with D&amp;I to assist with answering stakeholder questions (as needed)</x:v>
      </x:c>
      <x:c r="I1006" s="14"/>
      <x:c r="J1006" s="14"/>
      <x:c r="K1006" s="14"/>
      <x:c r="L1006" s="86" t="str">
        <x:f>IF($P1006="","",INDEX(Tasks!$N$10:$N$1941,$P1006))</x:f>
        <x:v>Not started</x:v>
      </x:c>
      <x:c r="M1006" s="87" t="str">
        <x:f>IF($P1006="","",INDEX(Tasks!$J$10:$J$1941,$P1006))</x:f>
      </x:c>
      <x:c r="N1006" s="85" t="str">
        <x:f>IF($P1006="","",HYPERLINK("#'"&amp;INDEX(Tasks!$T$10:$T$1941,$P1006)&amp;"'!A"&amp;INDEX(Tasks!$U$10:$U$1941,$P1006),"Open"))</x:f>
        <x:v>Open</x:v>
      </x:c>
      <x:c r="O1006" s="14"/>
      <x:c r="P1006" s="14" t="n">
        <x:f>IF(985&gt;$B$10,"",MATCH(985,Tasks!$S$10:$S$1941,0))</x:f>
        <x:v>1349</x:v>
      </x:c>
    </x:row>
    <x:row r="1007" ht="58" customHeight="1">
      <x:c r="B1007" s="86" t="str">
        <x:f>IF($P1007="","",INDEX(Tasks!$B$10:$B$1941,$P1007))</x:f>
        <x:v>Cycle 4</x:v>
      </x:c>
      <x:c r="C1007" s="86" t="str">
        <x:f>IF($P1007="","",INDEX(Tasks!$C$10:$C$1941,$P1007))</x:f>
        <x:v>Phase 1</x:v>
      </x:c>
      <x:c r="D1007" s="86" t="str">
        <x:f>IF($P1007="","",INDEX(Tasks!$D$10:$D$1941,$P1007))</x:f>
        <x:v>Retail Services</x:v>
      </x:c>
      <x:c r="E1007" s="86"/>
      <x:c r="F1007" s="86" t="str">
        <x:f>IF($P1007="","",INDEX(Tasks!$E$10:$E$1941,$P1007))</x:f>
        <x:v>Research &amp; Analysis</x:v>
      </x:c>
      <x:c r="G1007" s="86"/>
      <x:c r="H1007" s="14" t="str">
        <x:f>IF($P1007="","",INDEX(Tasks!$F$10:$F$1941,$P1007)&amp;CHAR(10)&amp;INDEX(Tasks!$G$10:$G$1941,$P1007))</x:f>
        <x:v>RA.RS.1.1
Begin Research process 2 weeks prior to Cycle start</x:v>
      </x:c>
      <x:c r="I1007" s="14"/>
      <x:c r="J1007" s="14"/>
      <x:c r="K1007" s="14"/>
      <x:c r="L1007" s="86" t="str">
        <x:f>IF($P1007="","",INDEX(Tasks!$N$10:$N$1941,$P1007))</x:f>
        <x:v>Not started</x:v>
      </x:c>
      <x:c r="M1007" s="87" t="n">
        <x:f>IF($P1007="","",INDEX(Tasks!$J$10:$J$1941,$P1007))</x:f>
        <x:v>46282</x:v>
      </x:c>
      <x:c r="N1007" s="85" t="str">
        <x:f>IF($P1007="","",HYPERLINK("#'"&amp;INDEX(Tasks!$T$10:$T$1941,$P1007)&amp;"'!A"&amp;INDEX(Tasks!$U$10:$U$1941,$P1007),"Open"))</x:f>
        <x:v>Open</x:v>
      </x:c>
      <x:c r="O1007" s="14"/>
      <x:c r="P1007" s="14" t="n">
        <x:f>IF(986&gt;$B$10,"",MATCH(986,Tasks!$S$10:$S$1941,0))</x:f>
        <x:v>1350</x:v>
      </x:c>
    </x:row>
    <x:row r="1008" ht="58" customHeight="1">
      <x:c r="B1008" s="86" t="str">
        <x:f>IF($P1008="","",INDEX(Tasks!$B$10:$B$1941,$P1008))</x:f>
        <x:v>Cycle 4</x:v>
      </x:c>
      <x:c r="C1008" s="86" t="str">
        <x:f>IF($P1008="","",INDEX(Tasks!$C$10:$C$1941,$P1008))</x:f>
        <x:v>Phase 1</x:v>
      </x:c>
      <x:c r="D1008" s="86" t="str">
        <x:f>IF($P1008="","",INDEX(Tasks!$D$10:$D$1941,$P1008))</x:f>
        <x:v>Retail Services</x:v>
      </x:c>
      <x:c r="E1008" s="86"/>
      <x:c r="F1008" s="86" t="str">
        <x:f>IF($P1008="","",INDEX(Tasks!$E$10:$E$1941,$P1008))</x:f>
        <x:v>Research &amp; Analysis</x:v>
      </x:c>
      <x:c r="G1008" s="86"/>
      <x:c r="H1008" s="14" t="str">
        <x:f>IF($P1008="","",INDEX(Tasks!$F$10:$F$1941,$P1008)&amp;CHAR(10)&amp;INDEX(Tasks!$G$10:$G$1941,$P1008))</x:f>
        <x:v>RA.RS.1.2
Conduct initial assessment of each topic recommendation from SharePoint list</x:v>
      </x:c>
      <x:c r="I1008" s="14"/>
      <x:c r="J1008" s="14"/>
      <x:c r="K1008" s="14"/>
      <x:c r="L1008" s="86" t="str">
        <x:f>IF($P1008="","",INDEX(Tasks!$N$10:$N$1941,$P1008))</x:f>
        <x:v>Not started</x:v>
      </x:c>
      <x:c r="M1008" s="87" t="n">
        <x:f>IF($P1008="","",INDEX(Tasks!$J$10:$J$1941,$P1008))</x:f>
        <x:v>46387</x:v>
      </x:c>
      <x:c r="N1008" s="85" t="str">
        <x:f>IF($P1008="","",HYPERLINK("#'"&amp;INDEX(Tasks!$T$10:$T$1941,$P1008)&amp;"'!A"&amp;INDEX(Tasks!$U$10:$U$1941,$P1008),"Open"))</x:f>
        <x:v>Open</x:v>
      </x:c>
      <x:c r="O1008" s="14"/>
      <x:c r="P1008" s="14" t="n">
        <x:f>IF(987&gt;$B$10,"",MATCH(987,Tasks!$S$10:$S$1941,0))</x:f>
        <x:v>1351</x:v>
      </x:c>
    </x:row>
    <x:row r="1009" ht="58" customHeight="1">
      <x:c r="B1009" s="86" t="str">
        <x:f>IF($P1009="","",INDEX(Tasks!$B$10:$B$1941,$P1009))</x:f>
        <x:v>Cycle 4</x:v>
      </x:c>
      <x:c r="C1009" s="86" t="str">
        <x:f>IF($P1009="","",INDEX(Tasks!$C$10:$C$1941,$P1009))</x:f>
        <x:v>Phase 1</x:v>
      </x:c>
      <x:c r="D1009" s="86" t="str">
        <x:f>IF($P1009="","",INDEX(Tasks!$D$10:$D$1941,$P1009))</x:f>
        <x:v>Retail Services</x:v>
      </x:c>
      <x:c r="E1009" s="86"/>
      <x:c r="F1009" s="86" t="str">
        <x:f>IF($P1009="","",INDEX(Tasks!$E$10:$E$1941,$P1009))</x:f>
        <x:v>Research &amp; Analysis</x:v>
      </x:c>
      <x:c r="G1009" s="86"/>
      <x:c r="H1009" s="14" t="str">
        <x:f>IF($P1009="","",INDEX(Tasks!$F$10:$F$1941,$P1009)&amp;CHAR(10)&amp;INDEX(Tasks!$G$10:$G$1941,$P1009))</x:f>
        <x:v>RA.RS.1.3
Identify best topic for Cycle</x:v>
      </x:c>
      <x:c r="I1009" s="14"/>
      <x:c r="J1009" s="14"/>
      <x:c r="K1009" s="14"/>
      <x:c r="L1009" s="86" t="str">
        <x:f>IF($P1009="","",INDEX(Tasks!$N$10:$N$1941,$P1009))</x:f>
        <x:v>Not started</x:v>
      </x:c>
      <x:c r="M1009" s="87" t="n">
        <x:f>IF($P1009="","",INDEX(Tasks!$J$10:$J$1941,$P1009))</x:f>
        <x:v>46387</x:v>
      </x:c>
      <x:c r="N1009" s="85" t="str">
        <x:f>IF($P1009="","",HYPERLINK("#'"&amp;INDEX(Tasks!$T$10:$T$1941,$P1009)&amp;"'!A"&amp;INDEX(Tasks!$U$10:$U$1941,$P1009),"Open"))</x:f>
        <x:v>Open</x:v>
      </x:c>
      <x:c r="O1009" s="14"/>
      <x:c r="P1009" s="14" t="n">
        <x:f>IF(988&gt;$B$10,"",MATCH(988,Tasks!$S$10:$S$1941,0))</x:f>
        <x:v>1352</x:v>
      </x:c>
    </x:row>
    <x:row r="1010" ht="58" customHeight="1">
      <x:c r="B1010" s="86" t="str">
        <x:f>IF($P1010="","",INDEX(Tasks!$B$10:$B$1941,$P1010))</x:f>
        <x:v>Cycle 4</x:v>
      </x:c>
      <x:c r="C1010" s="86" t="str">
        <x:f>IF($P1010="","",INDEX(Tasks!$C$10:$C$1941,$P1010))</x:f>
        <x:v>Phase 1</x:v>
      </x:c>
      <x:c r="D1010" s="86" t="str">
        <x:f>IF($P1010="","",INDEX(Tasks!$D$10:$D$1941,$P1010))</x:f>
        <x:v>Retail Services</x:v>
      </x:c>
      <x:c r="E1010" s="86"/>
      <x:c r="F1010" s="86" t="str">
        <x:f>IF($P1010="","",INDEX(Tasks!$E$10:$E$1941,$P1010))</x:f>
        <x:v>Research &amp; Analysis</x:v>
      </x:c>
      <x:c r="G1010" s="86"/>
      <x:c r="H1010" s="14" t="str">
        <x:f>IF($P1010="","",INDEX(Tasks!$F$10:$F$1941,$P1010)&amp;CHAR(10)&amp;INDEX(Tasks!$G$10:$G$1941,$P1010))</x:f>
        <x:v>RA.RS.1.4
Identify backup topic for Cycle</x:v>
      </x:c>
      <x:c r="I1010" s="14"/>
      <x:c r="J1010" s="14"/>
      <x:c r="K1010" s="14"/>
      <x:c r="L1010" s="86" t="str">
        <x:f>IF($P1010="","",INDEX(Tasks!$N$10:$N$1941,$P1010))</x:f>
        <x:v>Not started</x:v>
      </x:c>
      <x:c r="M1010" s="87" t="n">
        <x:f>IF($P1010="","",INDEX(Tasks!$J$10:$J$1941,$P1010))</x:f>
        <x:v>46387</x:v>
      </x:c>
      <x:c r="N1010" s="85" t="str">
        <x:f>IF($P1010="","",HYPERLINK("#'"&amp;INDEX(Tasks!$T$10:$T$1941,$P1010)&amp;"'!A"&amp;INDEX(Tasks!$U$10:$U$1941,$P1010),"Open"))</x:f>
        <x:v>Open</x:v>
      </x:c>
      <x:c r="O1010" s="14"/>
      <x:c r="P1010" s="14" t="n">
        <x:f>IF(989&gt;$B$10,"",MATCH(989,Tasks!$S$10:$S$1941,0))</x:f>
        <x:v>1353</x:v>
      </x:c>
    </x:row>
    <x:row r="1011" ht="58" customHeight="1">
      <x:c r="B1011" s="86" t="str">
        <x:f>IF($P1011="","",INDEX(Tasks!$B$10:$B$1941,$P1011))</x:f>
        <x:v>Cycle 4</x:v>
      </x:c>
      <x:c r="C1011" s="86" t="str">
        <x:f>IF($P1011="","",INDEX(Tasks!$C$10:$C$1941,$P1011))</x:f>
        <x:v>Phase 1</x:v>
      </x:c>
      <x:c r="D1011" s="86" t="str">
        <x:f>IF($P1011="","",INDEX(Tasks!$D$10:$D$1941,$P1011))</x:f>
        <x:v>Retail Services</x:v>
      </x:c>
      <x:c r="E1011" s="86"/>
      <x:c r="F1011" s="86" t="str">
        <x:f>IF($P1011="","",INDEX(Tasks!$E$10:$E$1941,$P1011))</x:f>
        <x:v>Research &amp; Analysis</x:v>
      </x:c>
      <x:c r="G1011" s="86"/>
      <x:c r="H1011" s="14" t="str">
        <x:f>IF($P1011="","",INDEX(Tasks!$F$10:$F$1941,$P1011)&amp;CHAR(10)&amp;INDEX(Tasks!$G$10:$G$1941,$P1011))</x:f>
        <x:v>RA.RS.1.5
Schedule topic approval meeting with D&amp;I and management</x:v>
      </x:c>
      <x:c r="I1011" s="14"/>
      <x:c r="J1011" s="14"/>
      <x:c r="K1011" s="14"/>
      <x:c r="L1011" s="86" t="str">
        <x:f>IF($P1011="","",INDEX(Tasks!$N$10:$N$1941,$P1011))</x:f>
        <x:v>Not started</x:v>
      </x:c>
      <x:c r="M1011" s="87" t="n">
        <x:f>IF($P1011="","",INDEX(Tasks!$J$10:$J$1941,$P1011))</x:f>
        <x:v>46387</x:v>
      </x:c>
      <x:c r="N1011" s="85" t="str">
        <x:f>IF($P1011="","",HYPERLINK("#'"&amp;INDEX(Tasks!$T$10:$T$1941,$P1011)&amp;"'!A"&amp;INDEX(Tasks!$U$10:$U$1941,$P1011),"Open"))</x:f>
        <x:v>Open</x:v>
      </x:c>
      <x:c r="O1011" s="14"/>
      <x:c r="P1011" s="14" t="n">
        <x:f>IF(990&gt;$B$10,"",MATCH(990,Tasks!$S$10:$S$1941,0))</x:f>
        <x:v>1354</x:v>
      </x:c>
    </x:row>
    <x:row r="1012" ht="58" customHeight="1">
      <x:c r="B1012" s="86" t="str">
        <x:f>IF($P1012="","",INDEX(Tasks!$B$10:$B$1941,$P1012))</x:f>
        <x:v>Cycle 4</x:v>
      </x:c>
      <x:c r="C1012" s="86" t="str">
        <x:f>IF($P1012="","",INDEX(Tasks!$C$10:$C$1941,$P1012))</x:f>
        <x:v>Phase 1</x:v>
      </x:c>
      <x:c r="D1012" s="86" t="str">
        <x:f>IF($P1012="","",INDEX(Tasks!$D$10:$D$1941,$P1012))</x:f>
        <x:v>Retail Services</x:v>
      </x:c>
      <x:c r="E1012" s="86"/>
      <x:c r="F1012" s="86" t="str">
        <x:f>IF($P1012="","",INDEX(Tasks!$E$10:$E$1941,$P1012))</x:f>
        <x:v>Research &amp; Analysis</x:v>
      </x:c>
      <x:c r="G1012" s="86"/>
      <x:c r="H1012" s="14" t="str">
        <x:f>IF($P1012="","",INDEX(Tasks!$F$10:$F$1941,$P1012)&amp;CHAR(10)&amp;INDEX(Tasks!$G$10:$G$1941,$P1012))</x:f>
        <x:v>RA.RS.1.6
Present recommended topic to D&amp;I and management for approval</x:v>
      </x:c>
      <x:c r="I1012" s="14"/>
      <x:c r="J1012" s="14"/>
      <x:c r="K1012" s="14"/>
      <x:c r="L1012" s="86" t="str">
        <x:f>IF($P1012="","",INDEX(Tasks!$N$10:$N$1941,$P1012))</x:f>
        <x:v>Not started</x:v>
      </x:c>
      <x:c r="M1012" s="87" t="n">
        <x:f>IF($P1012="","",INDEX(Tasks!$J$10:$J$1941,$P1012))</x:f>
        <x:v>46387</x:v>
      </x:c>
      <x:c r="N1012" s="85" t="str">
        <x:f>IF($P1012="","",HYPERLINK("#'"&amp;INDEX(Tasks!$T$10:$T$1941,$P1012)&amp;"'!A"&amp;INDEX(Tasks!$U$10:$U$1941,$P1012),"Open"))</x:f>
        <x:v>Open</x:v>
      </x:c>
      <x:c r="O1012" s="14"/>
      <x:c r="P1012" s="14" t="n">
        <x:f>IF(991&gt;$B$10,"",MATCH(991,Tasks!$S$10:$S$1941,0))</x:f>
        <x:v>1355</x:v>
      </x:c>
    </x:row>
    <x:row r="1013" ht="58" customHeight="1">
      <x:c r="B1013" s="86" t="str">
        <x:f>IF($P1013="","",INDEX(Tasks!$B$10:$B$1941,$P1013))</x:f>
        <x:v>Cycle 4</x:v>
      </x:c>
      <x:c r="C1013" s="86" t="str">
        <x:f>IF($P1013="","",INDEX(Tasks!$C$10:$C$1941,$P1013))</x:f>
        <x:v>Phase 1</x:v>
      </x:c>
      <x:c r="D1013" s="86" t="str">
        <x:f>IF($P1013="","",INDEX(Tasks!$D$10:$D$1941,$P1013))</x:f>
        <x:v>Retail Services</x:v>
      </x:c>
      <x:c r="E1013" s="86"/>
      <x:c r="F1013" s="86" t="str">
        <x:f>IF($P1013="","",INDEX(Tasks!$E$10:$E$1941,$P1013))</x:f>
        <x:v>Research &amp; Analysis</x:v>
      </x:c>
      <x:c r="G1013" s="86"/>
      <x:c r="H1013" s="14" t="str">
        <x:f>IF($P1013="","",INDEX(Tasks!$F$10:$F$1941,$P1013)&amp;CHAR(10)&amp;INDEX(Tasks!$G$10:$G$1941,$P1013))</x:f>
        <x:v>RA.RS.1.7
Obtain formal topic selection approval from management via SharePoint</x:v>
      </x:c>
      <x:c r="I1013" s="14"/>
      <x:c r="J1013" s="14"/>
      <x:c r="K1013" s="14"/>
      <x:c r="L1013" s="86" t="str">
        <x:f>IF($P1013="","",INDEX(Tasks!$N$10:$N$1941,$P1013))</x:f>
        <x:v>Not started</x:v>
      </x:c>
      <x:c r="M1013" s="87" t="n">
        <x:f>IF($P1013="","",INDEX(Tasks!$J$10:$J$1941,$P1013))</x:f>
        <x:v>46387</x:v>
      </x:c>
      <x:c r="N1013" s="85" t="str">
        <x:f>IF($P1013="","",HYPERLINK("#'"&amp;INDEX(Tasks!$T$10:$T$1941,$P1013)&amp;"'!A"&amp;INDEX(Tasks!$U$10:$U$1941,$P1013),"Open"))</x:f>
        <x:v>Open</x:v>
      </x:c>
      <x:c r="O1013" s="14"/>
      <x:c r="P1013" s="14" t="n">
        <x:f>IF(992&gt;$B$10,"",MATCH(992,Tasks!$S$10:$S$1941,0))</x:f>
        <x:v>1356</x:v>
      </x:c>
    </x:row>
    <x:row r="1014" ht="58" customHeight="1">
      <x:c r="B1014" s="86" t="str">
        <x:f>IF($P1014="","",INDEX(Tasks!$B$10:$B$1941,$P1014))</x:f>
        <x:v>Cycle 4</x:v>
      </x:c>
      <x:c r="C1014" s="86" t="str">
        <x:f>IF($P1014="","",INDEX(Tasks!$C$10:$C$1941,$P1014))</x:f>
        <x:v>Phase 1</x:v>
      </x:c>
      <x:c r="D1014" s="86" t="str">
        <x:f>IF($P1014="","",INDEX(Tasks!$D$10:$D$1941,$P1014))</x:f>
        <x:v>Retail Services</x:v>
      </x:c>
      <x:c r="E1014" s="86"/>
      <x:c r="F1014" s="86" t="str">
        <x:f>IF($P1014="","",INDEX(Tasks!$E$10:$E$1941,$P1014))</x:f>
        <x:v>Research &amp; Analysis</x:v>
      </x:c>
      <x:c r="G1014" s="86"/>
      <x:c r="H1014" s="14" t="str">
        <x:f>IF($P1014="","",INDEX(Tasks!$F$10:$F$1941,$P1014)&amp;CHAR(10)&amp;INDEX(Tasks!$G$10:$G$1941,$P1014))</x:f>
        <x:v>RA.RS.1.8
Socialize topic selection with product owners and subject matter experts (if known)</x:v>
      </x:c>
      <x:c r="I1014" s="14"/>
      <x:c r="J1014" s="14"/>
      <x:c r="K1014" s="14"/>
      <x:c r="L1014" s="86" t="str">
        <x:f>IF($P1014="","",INDEX(Tasks!$N$10:$N$1941,$P1014))</x:f>
        <x:v>Not started</x:v>
      </x:c>
      <x:c r="M1014" s="87" t="n">
        <x:f>IF($P1014="","",INDEX(Tasks!$J$10:$J$1941,$P1014))</x:f>
        <x:v>46387</x:v>
      </x:c>
      <x:c r="N1014" s="85" t="str">
        <x:f>IF($P1014="","",HYPERLINK("#'"&amp;INDEX(Tasks!$T$10:$T$1941,$P1014)&amp;"'!A"&amp;INDEX(Tasks!$U$10:$U$1941,$P1014),"Open"))</x:f>
        <x:v>Open</x:v>
      </x:c>
      <x:c r="O1014" s="14"/>
      <x:c r="P1014" s="14" t="n">
        <x:f>IF(993&gt;$B$10,"",MATCH(993,Tasks!$S$10:$S$1941,0))</x:f>
        <x:v>1357</x:v>
      </x:c>
    </x:row>
    <x:row r="1015" ht="58" customHeight="1">
      <x:c r="B1015" s="86" t="str">
        <x:f>IF($P1015="","",INDEX(Tasks!$B$10:$B$1941,$P1015))</x:f>
        <x:v>Cycle 4</x:v>
      </x:c>
      <x:c r="C1015" s="86" t="str">
        <x:f>IF($P1015="","",INDEX(Tasks!$C$10:$C$1941,$P1015))</x:f>
        <x:v>Phase 1</x:v>
      </x:c>
      <x:c r="D1015" s="86" t="str">
        <x:f>IF($P1015="","",INDEX(Tasks!$D$10:$D$1941,$P1015))</x:f>
        <x:v>Retail Services</x:v>
      </x:c>
      <x:c r="E1015" s="86"/>
      <x:c r="F1015" s="86" t="str">
        <x:f>IF($P1015="","",INDEX(Tasks!$E$10:$E$1941,$P1015))</x:f>
        <x:v>Research &amp; Analysis</x:v>
      </x:c>
      <x:c r="G1015" s="86"/>
      <x:c r="H1015" s="14" t="str">
        <x:f>IF($P1015="","",INDEX(Tasks!$F$10:$F$1941,$P1015)&amp;CHAR(10)&amp;INDEX(Tasks!$G$10:$G$1941,$P1015))</x:f>
        <x:v>RA.RS.1.9
Assign topic researchers</x:v>
      </x:c>
      <x:c r="I1015" s="14"/>
      <x:c r="J1015" s="14"/>
      <x:c r="K1015" s="14"/>
      <x:c r="L1015" s="86" t="str">
        <x:f>IF($P1015="","",INDEX(Tasks!$N$10:$N$1941,$P1015))</x:f>
        <x:v>Not started</x:v>
      </x:c>
      <x:c r="M1015" s="87" t="n">
        <x:f>IF($P1015="","",INDEX(Tasks!$J$10:$J$1941,$P1015))</x:f>
        <x:v>46387</x:v>
      </x:c>
      <x:c r="N1015" s="85" t="str">
        <x:f>IF($P1015="","",HYPERLINK("#'"&amp;INDEX(Tasks!$T$10:$T$1941,$P1015)&amp;"'!A"&amp;INDEX(Tasks!$U$10:$U$1941,$P1015),"Open"))</x:f>
        <x:v>Open</x:v>
      </x:c>
      <x:c r="O1015" s="14"/>
      <x:c r="P1015" s="14" t="n">
        <x:f>IF(994&gt;$B$10,"",MATCH(994,Tasks!$S$10:$S$1941,0))</x:f>
        <x:v>1358</x:v>
      </x:c>
    </x:row>
    <x:row r="1016" ht="58" customHeight="1">
      <x:c r="B1016" s="86" t="str">
        <x:f>IF($P1016="","",INDEX(Tasks!$B$10:$B$1941,$P1016))</x:f>
        <x:v>Cycle 4</x:v>
      </x:c>
      <x:c r="C1016" s="86" t="str">
        <x:f>IF($P1016="","",INDEX(Tasks!$C$10:$C$1941,$P1016))</x:f>
        <x:v>Phase 2</x:v>
      </x:c>
      <x:c r="D1016" s="86" t="str">
        <x:f>IF($P1016="","",INDEX(Tasks!$D$10:$D$1941,$P1016))</x:f>
        <x:v>Retail Services</x:v>
      </x:c>
      <x:c r="E1016" s="86"/>
      <x:c r="F1016" s="86" t="str">
        <x:f>IF($P1016="","",INDEX(Tasks!$E$10:$E$1941,$P1016))</x:f>
        <x:v>Research &amp; Analysis</x:v>
      </x:c>
      <x:c r="G1016" s="86"/>
      <x:c r="H1016" s="14" t="str">
        <x:f>IF($P1016="","",INDEX(Tasks!$F$10:$F$1941,$P1016)&amp;CHAR(10)&amp;INDEX(Tasks!$G$10:$G$1941,$P1016))</x:f>
        <x:v>RA.RS.2.1
Review data sources</x:v>
      </x:c>
      <x:c r="I1016" s="14"/>
      <x:c r="J1016" s="14"/>
      <x:c r="K1016" s="14"/>
      <x:c r="L1016" s="86" t="str">
        <x:f>IF($P1016="","",INDEX(Tasks!$N$10:$N$1941,$P1016))</x:f>
        <x:v>Not started</x:v>
      </x:c>
      <x:c r="M1016" s="87" t="n">
        <x:f>IF($P1016="","",INDEX(Tasks!$J$10:$J$1941,$P1016))</x:f>
        <x:v>46387</x:v>
      </x:c>
      <x:c r="N1016" s="85" t="str">
        <x:f>IF($P1016="","",HYPERLINK("#'"&amp;INDEX(Tasks!$T$10:$T$1941,$P1016)&amp;"'!A"&amp;INDEX(Tasks!$U$10:$U$1941,$P1016),"Open"))</x:f>
        <x:v>Open</x:v>
      </x:c>
      <x:c r="O1016" s="14"/>
      <x:c r="P1016" s="14" t="n">
        <x:f>IF(995&gt;$B$10,"",MATCH(995,Tasks!$S$10:$S$1941,0))</x:f>
        <x:v>1359</x:v>
      </x:c>
    </x:row>
    <x:row r="1017" ht="58" customHeight="1">
      <x:c r="B1017" s="86" t="str">
        <x:f>IF($P1017="","",INDEX(Tasks!$B$10:$B$1941,$P1017))</x:f>
        <x:v>Cycle 4</x:v>
      </x:c>
      <x:c r="C1017" s="86" t="str">
        <x:f>IF($P1017="","",INDEX(Tasks!$C$10:$C$1941,$P1017))</x:f>
        <x:v>Phase 2</x:v>
      </x:c>
      <x:c r="D1017" s="86" t="str">
        <x:f>IF($P1017="","",INDEX(Tasks!$D$10:$D$1941,$P1017))</x:f>
        <x:v>Retail Services</x:v>
      </x:c>
      <x:c r="E1017" s="86"/>
      <x:c r="F1017" s="86" t="str">
        <x:f>IF($P1017="","",INDEX(Tasks!$E$10:$E$1941,$P1017))</x:f>
        <x:v>Research &amp; Analysis</x:v>
      </x:c>
      <x:c r="G1017" s="86"/>
      <x:c r="H1017" s="14" t="str">
        <x:f>IF($P1017="","",INDEX(Tasks!$F$10:$F$1941,$P1017)&amp;CHAR(10)&amp;INDEX(Tasks!$G$10:$G$1941,$P1017))</x:f>
        <x:v>RA.RS.2.2
Review relevant policies and procedures</x:v>
      </x:c>
      <x:c r="I1017" s="14"/>
      <x:c r="J1017" s="14"/>
      <x:c r="K1017" s="14"/>
      <x:c r="L1017" s="86" t="str">
        <x:f>IF($P1017="","",INDEX(Tasks!$N$10:$N$1941,$P1017))</x:f>
        <x:v>Not started</x:v>
      </x:c>
      <x:c r="M1017" s="87" t="n">
        <x:f>IF($P1017="","",INDEX(Tasks!$J$10:$J$1941,$P1017))</x:f>
        <x:v>46387</x:v>
      </x:c>
      <x:c r="N1017" s="85" t="str">
        <x:f>IF($P1017="","",HYPERLINK("#'"&amp;INDEX(Tasks!$T$10:$T$1941,$P1017)&amp;"'!A"&amp;INDEX(Tasks!$U$10:$U$1941,$P1017),"Open"))</x:f>
        <x:v>Open</x:v>
      </x:c>
      <x:c r="O1017" s="14"/>
      <x:c r="P1017" s="14" t="n">
        <x:f>IF(996&gt;$B$10,"",MATCH(996,Tasks!$S$10:$S$1941,0))</x:f>
        <x:v>1360</x:v>
      </x:c>
    </x:row>
    <x:row r="1018" ht="58" customHeight="1">
      <x:c r="B1018" s="86" t="str">
        <x:f>IF($P1018="","",INDEX(Tasks!$B$10:$B$1941,$P1018))</x:f>
        <x:v>Cycle 4</x:v>
      </x:c>
      <x:c r="C1018" s="86" t="str">
        <x:f>IF($P1018="","",INDEX(Tasks!$C$10:$C$1941,$P1018))</x:f>
        <x:v>Phase 2</x:v>
      </x:c>
      <x:c r="D1018" s="86" t="str">
        <x:f>IF($P1018="","",INDEX(Tasks!$D$10:$D$1941,$P1018))</x:f>
        <x:v>Retail Services</x:v>
      </x:c>
      <x:c r="E1018" s="86"/>
      <x:c r="F1018" s="86" t="str">
        <x:f>IF($P1018="","",INDEX(Tasks!$E$10:$E$1941,$P1018))</x:f>
        <x:v>Research &amp; Analysis</x:v>
      </x:c>
      <x:c r="G1018" s="86"/>
      <x:c r="H1018" s="14" t="str">
        <x:f>IF($P1018="","",INDEX(Tasks!$F$10:$F$1941,$P1018)&amp;CHAR(10)&amp;INDEX(Tasks!$G$10:$G$1941,$P1018))</x:f>
        <x:v>RA.RS.2.3
Meet with SMEs to gain business insight and clarify questions</x:v>
      </x:c>
      <x:c r="I1018" s="14"/>
      <x:c r="J1018" s="14"/>
      <x:c r="K1018" s="14"/>
      <x:c r="L1018" s="86" t="str">
        <x:f>IF($P1018="","",INDEX(Tasks!$N$10:$N$1941,$P1018))</x:f>
        <x:v>Not started</x:v>
      </x:c>
      <x:c r="M1018" s="87" t="n">
        <x:f>IF($P1018="","",INDEX(Tasks!$J$10:$J$1941,$P1018))</x:f>
        <x:v>46387</x:v>
      </x:c>
      <x:c r="N1018" s="85" t="str">
        <x:f>IF($P1018="","",HYPERLINK("#'"&amp;INDEX(Tasks!$T$10:$T$1941,$P1018)&amp;"'!A"&amp;INDEX(Tasks!$U$10:$U$1941,$P1018),"Open"))</x:f>
        <x:v>Open</x:v>
      </x:c>
      <x:c r="O1018" s="14"/>
      <x:c r="P1018" s="14" t="n">
        <x:f>IF(997&gt;$B$10,"",MATCH(997,Tasks!$S$10:$S$1941,0))</x:f>
        <x:v>1361</x:v>
      </x:c>
    </x:row>
    <x:row r="1019" ht="58" customHeight="1">
      <x:c r="B1019" s="86" t="str">
        <x:f>IF($P1019="","",INDEX(Tasks!$B$10:$B$1941,$P1019))</x:f>
        <x:v>Cycle 4</x:v>
      </x:c>
      <x:c r="C1019" s="86" t="str">
        <x:f>IF($P1019="","",INDEX(Tasks!$C$10:$C$1941,$P1019))</x:f>
        <x:v>Phase 2</x:v>
      </x:c>
      <x:c r="D1019" s="86" t="str">
        <x:f>IF($P1019="","",INDEX(Tasks!$D$10:$D$1941,$P1019))</x:f>
        <x:v>Retail Services</x:v>
      </x:c>
      <x:c r="E1019" s="86"/>
      <x:c r="F1019" s="86" t="str">
        <x:f>IF($P1019="","",INDEX(Tasks!$E$10:$E$1941,$P1019))</x:f>
        <x:v>Research &amp; Analysis</x:v>
      </x:c>
      <x:c r="G1019" s="86"/>
      <x:c r="H1019" s="14" t="str">
        <x:f>IF($P1019="","",INDEX(Tasks!$F$10:$F$1941,$P1019)&amp;CHAR(10)&amp;INDEX(Tasks!$G$10:$G$1941,$P1019))</x:f>
        <x:v>RA.RS.2.4
Establish and maintain a recurring meeting with D&amp;I to discuss Cycle progress</x:v>
      </x:c>
      <x:c r="I1019" s="14"/>
      <x:c r="J1019" s="14"/>
      <x:c r="K1019" s="14"/>
      <x:c r="L1019" s="86" t="str">
        <x:f>IF($P1019="","",INDEX(Tasks!$N$10:$N$1941,$P1019))</x:f>
        <x:v>Not started</x:v>
      </x:c>
      <x:c r="M1019" s="87" t="n">
        <x:f>IF($P1019="","",INDEX(Tasks!$J$10:$J$1941,$P1019))</x:f>
        <x:v>46387</x:v>
      </x:c>
      <x:c r="N1019" s="85" t="str">
        <x:f>IF($P1019="","",HYPERLINK("#'"&amp;INDEX(Tasks!$T$10:$T$1941,$P1019)&amp;"'!A"&amp;INDEX(Tasks!$U$10:$U$1941,$P1019),"Open"))</x:f>
        <x:v>Open</x:v>
      </x:c>
      <x:c r="O1019" s="14"/>
      <x:c r="P1019" s="14" t="n">
        <x:f>IF(998&gt;$B$10,"",MATCH(998,Tasks!$S$10:$S$1941,0))</x:f>
        <x:v>1362</x:v>
      </x:c>
    </x:row>
    <x:row r="1020" ht="58" customHeight="1">
      <x:c r="B1020" s="86" t="str">
        <x:f>IF($P1020="","",INDEX(Tasks!$B$10:$B$1941,$P1020))</x:f>
        <x:v>Cycle 4</x:v>
      </x:c>
      <x:c r="C1020" s="86" t="str">
        <x:f>IF($P1020="","",INDEX(Tasks!$C$10:$C$1941,$P1020))</x:f>
        <x:v>Phase 2</x:v>
      </x:c>
      <x:c r="D1020" s="86" t="str">
        <x:f>IF($P1020="","",INDEX(Tasks!$D$10:$D$1941,$P1020))</x:f>
        <x:v>Retail Services</x:v>
      </x:c>
      <x:c r="E1020" s="86"/>
      <x:c r="F1020" s="86" t="str">
        <x:f>IF($P1020="","",INDEX(Tasks!$E$10:$E$1941,$P1020))</x:f>
        <x:v>Research &amp; Analysis</x:v>
      </x:c>
      <x:c r="G1020" s="86"/>
      <x:c r="H1020" s="14" t="str">
        <x:f>IF($P1020="","",INDEX(Tasks!$F$10:$F$1941,$P1020)&amp;CHAR(10)&amp;INDEX(Tasks!$G$10:$G$1941,$P1020))</x:f>
        <x:v>RA.RS.2.5
Perform data testing and sampling</x:v>
      </x:c>
      <x:c r="I1020" s="14"/>
      <x:c r="J1020" s="14"/>
      <x:c r="K1020" s="14"/>
      <x:c r="L1020" s="86" t="str">
        <x:f>IF($P1020="","",INDEX(Tasks!$N$10:$N$1941,$P1020))</x:f>
        <x:v>Not started</x:v>
      </x:c>
      <x:c r="M1020" s="87" t="n">
        <x:f>IF($P1020="","",INDEX(Tasks!$J$10:$J$1941,$P1020))</x:f>
        <x:v>46387</x:v>
      </x:c>
      <x:c r="N1020" s="85" t="str">
        <x:f>IF($P1020="","",HYPERLINK("#'"&amp;INDEX(Tasks!$T$10:$T$1941,$P1020)&amp;"'!A"&amp;INDEX(Tasks!$U$10:$U$1941,$P1020),"Open"))</x:f>
        <x:v>Open</x:v>
      </x:c>
      <x:c r="O1020" s="14"/>
      <x:c r="P1020" s="14" t="n">
        <x:f>IF(999&gt;$B$10,"",MATCH(999,Tasks!$S$10:$S$1941,0))</x:f>
        <x:v>1363</x:v>
      </x:c>
    </x:row>
    <x:row r="1021" ht="58" customHeight="1">
      <x:c r="B1021" s="86" t="str">
        <x:f>IF($P1021="","",INDEX(Tasks!$B$10:$B$1941,$P1021))</x:f>
        <x:v>Cycle 4</x:v>
      </x:c>
      <x:c r="C1021" s="86" t="str">
        <x:f>IF($P1021="","",INDEX(Tasks!$C$10:$C$1941,$P1021))</x:f>
        <x:v>Phase 2</x:v>
      </x:c>
      <x:c r="D1021" s="86" t="str">
        <x:f>IF($P1021="","",INDEX(Tasks!$D$10:$D$1941,$P1021))</x:f>
        <x:v>Retail Services</x:v>
      </x:c>
      <x:c r="E1021" s="86"/>
      <x:c r="F1021" s="86" t="str">
        <x:f>IF($P1021="","",INDEX(Tasks!$E$10:$E$1941,$P1021))</x:f>
        <x:v>Research &amp; Analysis</x:v>
      </x:c>
      <x:c r="G1021" s="86"/>
      <x:c r="H1021" s="14" t="str">
        <x:f>IF($P1021="","",INDEX(Tasks!$F$10:$F$1941,$P1021)&amp;CHAR(10)&amp;INDEX(Tasks!$G$10:$G$1941,$P1021))</x:f>
        <x:v>RA.RS.2.6
Complete Positive Testing</x:v>
      </x:c>
      <x:c r="I1021" s="14"/>
      <x:c r="J1021" s="14"/>
      <x:c r="K1021" s="14"/>
      <x:c r="L1021" s="86" t="str">
        <x:f>IF($P1021="","",INDEX(Tasks!$N$10:$N$1941,$P1021))</x:f>
        <x:v>Not started</x:v>
      </x:c>
      <x:c r="M1021" s="87" t="n">
        <x:f>IF($P1021="","",INDEX(Tasks!$J$10:$J$1941,$P1021))</x:f>
        <x:v>46387</x:v>
      </x:c>
      <x:c r="N1021" s="85" t="str">
        <x:f>IF($P1021="","",HYPERLINK("#'"&amp;INDEX(Tasks!$T$10:$T$1941,$P1021)&amp;"'!A"&amp;INDEX(Tasks!$U$10:$U$1941,$P1021),"Open"))</x:f>
        <x:v>Open</x:v>
      </x:c>
      <x:c r="O1021" s="14"/>
      <x:c r="P1021" s="14" t="n">
        <x:f>IF(1000&gt;$B$10,"",MATCH(1000,Tasks!$S$10:$S$1941,0))</x:f>
        <x:v>1364</x:v>
      </x:c>
    </x:row>
    <x:row r="1022" ht="58" customHeight="1">
      <x:c r="B1022" s="86" t="str">
        <x:f>IF($P1022="","",INDEX(Tasks!$B$10:$B$1941,$P1022))</x:f>
        <x:v>Cycle 4</x:v>
      </x:c>
      <x:c r="C1022" s="86" t="str">
        <x:f>IF($P1022="","",INDEX(Tasks!$C$10:$C$1941,$P1022))</x:f>
        <x:v>Phase 2</x:v>
      </x:c>
      <x:c r="D1022" s="86" t="str">
        <x:f>IF($P1022="","",INDEX(Tasks!$D$10:$D$1941,$P1022))</x:f>
        <x:v>Retail Services</x:v>
      </x:c>
      <x:c r="E1022" s="86"/>
      <x:c r="F1022" s="86" t="str">
        <x:f>IF($P1022="","",INDEX(Tasks!$E$10:$E$1941,$P1022))</x:f>
        <x:v>Research &amp; Analysis</x:v>
      </x:c>
      <x:c r="G1022" s="86"/>
      <x:c r="H1022" s="14" t="str">
        <x:f>IF($P1022="","",INDEX(Tasks!$F$10:$F$1941,$P1022)&amp;CHAR(10)&amp;INDEX(Tasks!$G$10:$G$1941,$P1022))</x:f>
        <x:v>RA.RS.2.7
Complete Negative Testing</x:v>
      </x:c>
      <x:c r="I1022" s="14"/>
      <x:c r="J1022" s="14"/>
      <x:c r="K1022" s="14"/>
      <x:c r="L1022" s="86" t="str">
        <x:f>IF($P1022="","",INDEX(Tasks!$N$10:$N$1941,$P1022))</x:f>
        <x:v>Not started</x:v>
      </x:c>
      <x:c r="M1022" s="87" t="n">
        <x:f>IF($P1022="","",INDEX(Tasks!$J$10:$J$1941,$P1022))</x:f>
        <x:v>46387</x:v>
      </x:c>
      <x:c r="N1022" s="85" t="str">
        <x:f>IF($P1022="","",HYPERLINK("#'"&amp;INDEX(Tasks!$T$10:$T$1941,$P1022)&amp;"'!A"&amp;INDEX(Tasks!$U$10:$U$1941,$P1022),"Open"))</x:f>
        <x:v>Open</x:v>
      </x:c>
      <x:c r="O1022" s="14"/>
      <x:c r="P1022" s="14" t="n">
        <x:f>IF(1001&gt;$B$10,"",MATCH(1001,Tasks!$S$10:$S$1941,0))</x:f>
        <x:v>1365</x:v>
      </x:c>
    </x:row>
    <x:row r="1023" ht="58" customHeight="1">
      <x:c r="B1023" s="86" t="str">
        <x:f>IF($P1023="","",INDEX(Tasks!$B$10:$B$1941,$P1023))</x:f>
        <x:v>Cycle 4</x:v>
      </x:c>
      <x:c r="C1023" s="86" t="str">
        <x:f>IF($P1023="","",INDEX(Tasks!$C$10:$C$1941,$P1023))</x:f>
        <x:v>Phase 2</x:v>
      </x:c>
      <x:c r="D1023" s="86" t="str">
        <x:f>IF($P1023="","",INDEX(Tasks!$D$10:$D$1941,$P1023))</x:f>
        <x:v>Retail Services</x:v>
      </x:c>
      <x:c r="E1023" s="86"/>
      <x:c r="F1023" s="86" t="str">
        <x:f>IF($P1023="","",INDEX(Tasks!$E$10:$E$1941,$P1023))</x:f>
        <x:v>Research &amp; Analysis</x:v>
      </x:c>
      <x:c r="G1023" s="86"/>
      <x:c r="H1023" s="14" t="str">
        <x:f>IF($P1023="","",INDEX(Tasks!$F$10:$F$1941,$P1023)&amp;CHAR(10)&amp;INDEX(Tasks!$G$10:$G$1941,$P1023))</x:f>
        <x:v>RA.RS.2.8
Request additional data (as needed)</x:v>
      </x:c>
      <x:c r="I1023" s="14"/>
      <x:c r="J1023" s="14"/>
      <x:c r="K1023" s="14"/>
      <x:c r="L1023" s="86" t="str">
        <x:f>IF($P1023="","",INDEX(Tasks!$N$10:$N$1941,$P1023))</x:f>
        <x:v>Not started</x:v>
      </x:c>
      <x:c r="M1023" s="87" t="n">
        <x:f>IF($P1023="","",INDEX(Tasks!$J$10:$J$1941,$P1023))</x:f>
        <x:v>46387</x:v>
      </x:c>
      <x:c r="N1023" s="85" t="str">
        <x:f>IF($P1023="","",HYPERLINK("#'"&amp;INDEX(Tasks!$T$10:$T$1941,$P1023)&amp;"'!A"&amp;INDEX(Tasks!$U$10:$U$1941,$P1023),"Open"))</x:f>
        <x:v>Open</x:v>
      </x:c>
      <x:c r="O1023" s="14"/>
      <x:c r="P1023" s="14" t="n">
        <x:f>IF(1002&gt;$B$10,"",MATCH(1002,Tasks!$S$10:$S$1941,0))</x:f>
        <x:v>1366</x:v>
      </x:c>
    </x:row>
    <x:row r="1024" ht="58" customHeight="1">
      <x:c r="B1024" s="86" t="str">
        <x:f>IF($P1024="","",INDEX(Tasks!$B$10:$B$1941,$P1024))</x:f>
        <x:v>Cycle 4</x:v>
      </x:c>
      <x:c r="C1024" s="86" t="str">
        <x:f>IF($P1024="","",INDEX(Tasks!$C$10:$C$1941,$P1024))</x:f>
        <x:v>Phase 2</x:v>
      </x:c>
      <x:c r="D1024" s="86" t="str">
        <x:f>IF($P1024="","",INDEX(Tasks!$D$10:$D$1941,$P1024))</x:f>
        <x:v>Retail Services</x:v>
      </x:c>
      <x:c r="E1024" s="86"/>
      <x:c r="F1024" s="86" t="str">
        <x:f>IF($P1024="","",INDEX(Tasks!$E$10:$E$1941,$P1024))</x:f>
        <x:v>Research &amp; Analysis</x:v>
      </x:c>
      <x:c r="G1024" s="86"/>
      <x:c r="H1024" s="14" t="str">
        <x:f>IF($P1024="","",INDEX(Tasks!$F$10:$F$1941,$P1024)&amp;CHAR(10)&amp;INDEX(Tasks!$G$10:$G$1941,$P1024))</x:f>
        <x:v>RA.RS.2.9
Validate or disprove initial hypothesis assumptions</x:v>
      </x:c>
      <x:c r="I1024" s="14"/>
      <x:c r="J1024" s="14"/>
      <x:c r="K1024" s="14"/>
      <x:c r="L1024" s="86" t="str">
        <x:f>IF($P1024="","",INDEX(Tasks!$N$10:$N$1941,$P1024))</x:f>
        <x:v>Not started</x:v>
      </x:c>
      <x:c r="M1024" s="87" t="n">
        <x:f>IF($P1024="","",INDEX(Tasks!$J$10:$J$1941,$P1024))</x:f>
        <x:v>46387</x:v>
      </x:c>
      <x:c r="N1024" s="85" t="str">
        <x:f>IF($P1024="","",HYPERLINK("#'"&amp;INDEX(Tasks!$T$10:$T$1941,$P1024)&amp;"'!A"&amp;INDEX(Tasks!$U$10:$U$1941,$P1024),"Open"))</x:f>
        <x:v>Open</x:v>
      </x:c>
      <x:c r="O1024" s="14"/>
      <x:c r="P1024" s="14" t="n">
        <x:f>IF(1003&gt;$B$10,"",MATCH(1003,Tasks!$S$10:$S$1941,0))</x:f>
        <x:v>1367</x:v>
      </x:c>
    </x:row>
    <x:row r="1025" ht="58" customHeight="1">
      <x:c r="B1025" s="86" t="str">
        <x:f>IF($P1025="","",INDEX(Tasks!$B$10:$B$1941,$P1025))</x:f>
        <x:v>Cycle 4</x:v>
      </x:c>
      <x:c r="C1025" s="86" t="str">
        <x:f>IF($P1025="","",INDEX(Tasks!$C$10:$C$1941,$P1025))</x:f>
        <x:v>Phase 2</x:v>
      </x:c>
      <x:c r="D1025" s="86" t="str">
        <x:f>IF($P1025="","",INDEX(Tasks!$D$10:$D$1941,$P1025))</x:f>
        <x:v>Retail Services</x:v>
      </x:c>
      <x:c r="E1025" s="86"/>
      <x:c r="F1025" s="86" t="str">
        <x:f>IF($P1025="","",INDEX(Tasks!$E$10:$E$1941,$P1025))</x:f>
        <x:v>Research &amp; Analysis</x:v>
      </x:c>
      <x:c r="G1025" s="86"/>
      <x:c r="H1025" s="14" t="str">
        <x:f>IF($P1025="","",INDEX(Tasks!$F$10:$F$1941,$P1025)&amp;CHAR(10)&amp;INDEX(Tasks!$G$10:$G$1941,$P1025))</x:f>
        <x:v>RA.RS.2.10
Identify and confirm root cause</x:v>
      </x:c>
      <x:c r="I1025" s="14"/>
      <x:c r="J1025" s="14"/>
      <x:c r="K1025" s="14"/>
      <x:c r="L1025" s="86" t="str">
        <x:f>IF($P1025="","",INDEX(Tasks!$N$10:$N$1941,$P1025))</x:f>
        <x:v>Not started</x:v>
      </x:c>
      <x:c r="M1025" s="87" t="n">
        <x:f>IF($P1025="","",INDEX(Tasks!$J$10:$J$1941,$P1025))</x:f>
        <x:v>46387</x:v>
      </x:c>
      <x:c r="N1025" s="85" t="str">
        <x:f>IF($P1025="","",HYPERLINK("#'"&amp;INDEX(Tasks!$T$10:$T$1941,$P1025)&amp;"'!A"&amp;INDEX(Tasks!$U$10:$U$1941,$P1025),"Open"))</x:f>
        <x:v>Open</x:v>
      </x:c>
      <x:c r="O1025" s="14"/>
      <x:c r="P1025" s="14" t="n">
        <x:f>IF(1004&gt;$B$10,"",MATCH(1004,Tasks!$S$10:$S$1941,0))</x:f>
        <x:v>1368</x:v>
      </x:c>
    </x:row>
    <x:row r="1026" ht="58" customHeight="1">
      <x:c r="B1026" s="86" t="str">
        <x:f>IF($P1026="","",INDEX(Tasks!$B$10:$B$1941,$P1026))</x:f>
        <x:v>Cycle 4</x:v>
      </x:c>
      <x:c r="C1026" s="86" t="str">
        <x:f>IF($P1026="","",INDEX(Tasks!$C$10:$C$1941,$P1026))</x:f>
        <x:v>Phase 3</x:v>
      </x:c>
      <x:c r="D1026" s="86" t="str">
        <x:f>IF($P1026="","",INDEX(Tasks!$D$10:$D$1941,$P1026))</x:f>
        <x:v>Retail Services</x:v>
      </x:c>
      <x:c r="E1026" s="86"/>
      <x:c r="F1026" s="86" t="str">
        <x:f>IF($P1026="","",INDEX(Tasks!$E$10:$E$1941,$P1026))</x:f>
        <x:v>Research &amp; Analysis</x:v>
      </x:c>
      <x:c r="G1026" s="86"/>
      <x:c r="H1026" s="14" t="str">
        <x:f>IF($P1026="","",INDEX(Tasks!$F$10:$F$1941,$P1026)&amp;CHAR(10)&amp;INDEX(Tasks!$G$10:$G$1941,$P1026))</x:f>
        <x:v>RA.RS.3.1
Finalize results and supporting documentation</x:v>
      </x:c>
      <x:c r="I1026" s="14"/>
      <x:c r="J1026" s="14"/>
      <x:c r="K1026" s="14"/>
      <x:c r="L1026" s="86" t="str">
        <x:f>IF($P1026="","",INDEX(Tasks!$N$10:$N$1941,$P1026))</x:f>
        <x:v>Not started</x:v>
      </x:c>
      <x:c r="M1026" s="87" t="n">
        <x:f>IF($P1026="","",INDEX(Tasks!$J$10:$J$1941,$P1026))</x:f>
        <x:v>46387</x:v>
      </x:c>
      <x:c r="N1026" s="85" t="str">
        <x:f>IF($P1026="","",HYPERLINK("#'"&amp;INDEX(Tasks!$T$10:$T$1941,$P1026)&amp;"'!A"&amp;INDEX(Tasks!$U$10:$U$1941,$P1026),"Open"))</x:f>
        <x:v>Open</x:v>
      </x:c>
      <x:c r="O1026" s="14"/>
      <x:c r="P1026" s="14" t="n">
        <x:f>IF(1005&gt;$B$10,"",MATCH(1005,Tasks!$S$10:$S$1941,0))</x:f>
        <x:v>1369</x:v>
      </x:c>
    </x:row>
    <x:row r="1027" ht="58" customHeight="1">
      <x:c r="B1027" s="86" t="str">
        <x:f>IF($P1027="","",INDEX(Tasks!$B$10:$B$1941,$P1027))</x:f>
        <x:v>Cycle 4</x:v>
      </x:c>
      <x:c r="C1027" s="86" t="str">
        <x:f>IF($P1027="","",INDEX(Tasks!$C$10:$C$1941,$P1027))</x:f>
        <x:v>Phase 3</x:v>
      </x:c>
      <x:c r="D1027" s="86" t="str">
        <x:f>IF($P1027="","",INDEX(Tasks!$D$10:$D$1941,$P1027))</x:f>
        <x:v>Retail Services</x:v>
      </x:c>
      <x:c r="E1027" s="86"/>
      <x:c r="F1027" s="86" t="str">
        <x:f>IF($P1027="","",INDEX(Tasks!$E$10:$E$1941,$P1027))</x:f>
        <x:v>Research &amp; Analysis</x:v>
      </x:c>
      <x:c r="G1027" s="86"/>
      <x:c r="H1027" s="14" t="str">
        <x:f>IF($P1027="","",INDEX(Tasks!$F$10:$F$1941,$P1027)&amp;CHAR(10)&amp;INDEX(Tasks!$G$10:$G$1941,$P1027))</x:f>
        <x:v>RA.RS.3.2
Maintain and update the evidence package prior to handoff to D&amp;I</x:v>
      </x:c>
      <x:c r="I1027" s="14"/>
      <x:c r="J1027" s="14"/>
      <x:c r="K1027" s="14"/>
      <x:c r="L1027" s="86" t="str">
        <x:f>IF($P1027="","",INDEX(Tasks!$N$10:$N$1941,$P1027))</x:f>
        <x:v>Not started</x:v>
      </x:c>
      <x:c r="M1027" s="87" t="n">
        <x:f>IF($P1027="","",INDEX(Tasks!$J$10:$J$1941,$P1027))</x:f>
        <x:v>46387</x:v>
      </x:c>
      <x:c r="N1027" s="85" t="str">
        <x:f>IF($P1027="","",HYPERLINK("#'"&amp;INDEX(Tasks!$T$10:$T$1941,$P1027)&amp;"'!A"&amp;INDEX(Tasks!$U$10:$U$1941,$P1027),"Open"))</x:f>
        <x:v>Open</x:v>
      </x:c>
      <x:c r="O1027" s="14"/>
      <x:c r="P1027" s="14" t="n">
        <x:f>IF(1006&gt;$B$10,"",MATCH(1006,Tasks!$S$10:$S$1941,0))</x:f>
        <x:v>1370</x:v>
      </x:c>
    </x:row>
    <x:row r="1028" ht="58" customHeight="1">
      <x:c r="B1028" s="86" t="str">
        <x:f>IF($P1028="","",INDEX(Tasks!$B$10:$B$1941,$P1028))</x:f>
        <x:v>Cycle 4</x:v>
      </x:c>
      <x:c r="C1028" s="86" t="str">
        <x:f>IF($P1028="","",INDEX(Tasks!$C$10:$C$1941,$P1028))</x:f>
        <x:v>Phase 3</x:v>
      </x:c>
      <x:c r="D1028" s="86" t="str">
        <x:f>IF($P1028="","",INDEX(Tasks!$D$10:$D$1941,$P1028))</x:f>
        <x:v>Retail Services</x:v>
      </x:c>
      <x:c r="E1028" s="86"/>
      <x:c r="F1028" s="86" t="str">
        <x:f>IF($P1028="","",INDEX(Tasks!$E$10:$E$1941,$P1028))</x:f>
        <x:v>Research &amp; Analysis</x:v>
      </x:c>
      <x:c r="G1028" s="86"/>
      <x:c r="H1028" s="14" t="str">
        <x:f>IF($P1028="","",INDEX(Tasks!$F$10:$F$1941,$P1028)&amp;CHAR(10)&amp;INDEX(Tasks!$G$10:$G$1941,$P1028))</x:f>
        <x:v>RA.RS.3.3
Address any outstanding questions or requests from D&amp;I</x:v>
      </x:c>
      <x:c r="I1028" s="14"/>
      <x:c r="J1028" s="14"/>
      <x:c r="K1028" s="14"/>
      <x:c r="L1028" s="86" t="str">
        <x:f>IF($P1028="","",INDEX(Tasks!$N$10:$N$1941,$P1028))</x:f>
        <x:v>Not started</x:v>
      </x:c>
      <x:c r="M1028" s="87" t="n">
        <x:f>IF($P1028="","",INDEX(Tasks!$J$10:$J$1941,$P1028))</x:f>
        <x:v>46387</x:v>
      </x:c>
      <x:c r="N1028" s="85" t="str">
        <x:f>IF($P1028="","",HYPERLINK("#'"&amp;INDEX(Tasks!$T$10:$T$1941,$P1028)&amp;"'!A"&amp;INDEX(Tasks!$U$10:$U$1941,$P1028),"Open"))</x:f>
        <x:v>Open</x:v>
      </x:c>
      <x:c r="O1028" s="14"/>
      <x:c r="P1028" s="14" t="n">
        <x:f>IF(1007&gt;$B$10,"",MATCH(1007,Tasks!$S$10:$S$1941,0))</x:f>
        <x:v>1371</x:v>
      </x:c>
    </x:row>
    <x:row r="1029" ht="58" customHeight="1">
      <x:c r="B1029" s="86" t="str">
        <x:f>IF($P1029="","",INDEX(Tasks!$B$10:$B$1941,$P1029))</x:f>
        <x:v>Cycle 4</x:v>
      </x:c>
      <x:c r="C1029" s="86" t="str">
        <x:f>IF($P1029="","",INDEX(Tasks!$C$10:$C$1941,$P1029))</x:f>
        <x:v>Phase 3</x:v>
      </x:c>
      <x:c r="D1029" s="86" t="str">
        <x:f>IF($P1029="","",INDEX(Tasks!$D$10:$D$1941,$P1029))</x:f>
        <x:v>Retail Services</x:v>
      </x:c>
      <x:c r="E1029" s="86"/>
      <x:c r="F1029" s="86" t="str">
        <x:f>IF($P1029="","",INDEX(Tasks!$E$10:$E$1941,$P1029))</x:f>
        <x:v>Research &amp; Analysis</x:v>
      </x:c>
      <x:c r="G1029" s="86"/>
      <x:c r="H1029" s="14" t="str">
        <x:f>IF($P1029="","",INDEX(Tasks!$F$10:$F$1941,$P1029)&amp;CHAR(10)&amp;INDEX(Tasks!$G$10:$G$1941,$P1029))</x:f>
        <x:v>RA.RS.3.4
Attend Forum meeting with D&amp;I to assist with answering stakeholder questions (as needed)</x:v>
      </x:c>
      <x:c r="I1029" s="14"/>
      <x:c r="J1029" s="14"/>
      <x:c r="K1029" s="14"/>
      <x:c r="L1029" s="86" t="str">
        <x:f>IF($P1029="","",INDEX(Tasks!$N$10:$N$1941,$P1029))</x:f>
        <x:v>Not started</x:v>
      </x:c>
      <x:c r="M1029" s="87" t="str">
        <x:f>IF($P1029="","",INDEX(Tasks!$J$10:$J$1941,$P1029))</x:f>
      </x:c>
      <x:c r="N1029" s="85" t="str">
        <x:f>IF($P1029="","",HYPERLINK("#'"&amp;INDEX(Tasks!$T$10:$T$1941,$P1029)&amp;"'!A"&amp;INDEX(Tasks!$U$10:$U$1941,$P1029),"Open"))</x:f>
        <x:v>Open</x:v>
      </x:c>
      <x:c r="O1029" s="14"/>
      <x:c r="P1029" s="14" t="n">
        <x:f>IF(1008&gt;$B$10,"",MATCH(1008,Tasks!$S$10:$S$1941,0))</x:f>
        <x:v>1372</x:v>
      </x:c>
    </x:row>
    <x:row r="1030" ht="58" customHeight="1">
      <x:c r="B1030" s="86" t="str">
        <x:f>IF($P1030="","",INDEX(Tasks!$B$10:$B$1941,$P1030))</x:f>
        <x:v>Cycle 1</x:v>
      </x:c>
      <x:c r="C1030" s="86" t="str">
        <x:f>IF($P1030="","",INDEX(Tasks!$C$10:$C$1941,$P1030))</x:f>
        <x:v>Phase 1</x:v>
      </x:c>
      <x:c r="D1030" s="86" t="str">
        <x:f>IF($P1030="","",INDEX(Tasks!$D$10:$D$1941,$P1030))</x:f>
        <x:v>Auto</x:v>
      </x:c>
      <x:c r="E1030" s="86"/>
      <x:c r="F1030" s="86" t="str">
        <x:f>IF($P1030="","",INDEX(Tasks!$E$10:$E$1941,$P1030))</x:f>
        <x:v>Design &amp; Insights</x:v>
      </x:c>
      <x:c r="G1030" s="86"/>
      <x:c r="H1030" s="14" t="str">
        <x:f>IF($P1030="","",INDEX(Tasks!$F$10:$F$1941,$P1030)&amp;CHAR(10)&amp;INDEX(Tasks!$G$10:$G$1941,$P1030))</x:f>
        <x:v>DI.AU.1.1
Receive and review potential research topics at least 2 weeks prior to Cycle start date</x:v>
      </x:c>
      <x:c r="I1030" s="14"/>
      <x:c r="J1030" s="14"/>
      <x:c r="K1030" s="14"/>
      <x:c r="L1030" s="86" t="str">
        <x:f>IF($P1030="","",INDEX(Tasks!$N$10:$N$1941,$P1030))</x:f>
        <x:v>Not started</x:v>
      </x:c>
      <x:c r="M1030" s="87" t="n">
        <x:f>IF($P1030="","",INDEX(Tasks!$J$10:$J$1941,$P1030))</x:f>
        <x:v>46009</x:v>
      </x:c>
      <x:c r="N1030" s="85" t="str">
        <x:f>IF($P1030="","",HYPERLINK("#'"&amp;INDEX(Tasks!$T$10:$T$1941,$P1030)&amp;"'!A"&amp;INDEX(Tasks!$U$10:$U$1941,$P1030),"Open"))</x:f>
        <x:v>Open</x:v>
      </x:c>
      <x:c r="O1030" s="14"/>
      <x:c r="P1030" s="14" t="n">
        <x:f>IF(1009&gt;$B$10,"",MATCH(1009,Tasks!$S$10:$S$1941,0))</x:f>
        <x:v>1373</x:v>
      </x:c>
    </x:row>
    <x:row r="1031" ht="58" customHeight="1">
      <x:c r="B1031" s="86" t="str">
        <x:f>IF($P1031="","",INDEX(Tasks!$B$10:$B$1941,$P1031))</x:f>
        <x:v>Cycle 1</x:v>
      </x:c>
      <x:c r="C1031" s="86" t="str">
        <x:f>IF($P1031="","",INDEX(Tasks!$C$10:$C$1941,$P1031))</x:f>
        <x:v>Phase 1</x:v>
      </x:c>
      <x:c r="D1031" s="86" t="str">
        <x:f>IF($P1031="","",INDEX(Tasks!$D$10:$D$1941,$P1031))</x:f>
        <x:v>Auto</x:v>
      </x:c>
      <x:c r="E1031" s="86"/>
      <x:c r="F1031" s="86" t="str">
        <x:f>IF($P1031="","",INDEX(Tasks!$E$10:$E$1941,$P1031))</x:f>
        <x:v>Design &amp; Insights</x:v>
      </x:c>
      <x:c r="G1031" s="86"/>
      <x:c r="H1031" s="14" t="str">
        <x:f>IF($P1031="","",INDEX(Tasks!$F$10:$F$1941,$P1031)&amp;CHAR(10)&amp;INDEX(Tasks!$G$10:$G$1941,$P1031))</x:f>
        <x:v>DI.AU.1.2
Communicate any feedback on preferences or concerns with topics identified</x:v>
      </x:c>
      <x:c r="I1031" s="14"/>
      <x:c r="J1031" s="14"/>
      <x:c r="K1031" s="14"/>
      <x:c r="L1031" s="86" t="str">
        <x:f>IF($P1031="","",INDEX(Tasks!$N$10:$N$1941,$P1031))</x:f>
        <x:v>Not started</x:v>
      </x:c>
      <x:c r="M1031" s="87" t="n">
        <x:f>IF($P1031="","",INDEX(Tasks!$J$10:$J$1941,$P1031))</x:f>
        <x:v>46112</x:v>
      </x:c>
      <x:c r="N1031" s="85" t="str">
        <x:f>IF($P1031="","",HYPERLINK("#'"&amp;INDEX(Tasks!$T$10:$T$1941,$P1031)&amp;"'!A"&amp;INDEX(Tasks!$U$10:$U$1941,$P1031),"Open"))</x:f>
        <x:v>Open</x:v>
      </x:c>
      <x:c r="O1031" s="14"/>
      <x:c r="P1031" s="14" t="n">
        <x:f>IF(1010&gt;$B$10,"",MATCH(1010,Tasks!$S$10:$S$1941,0))</x:f>
        <x:v>1374</x:v>
      </x:c>
    </x:row>
    <x:row r="1032" ht="58" customHeight="1">
      <x:c r="B1032" s="86" t="str">
        <x:f>IF($P1032="","",INDEX(Tasks!$B$10:$B$1941,$P1032))</x:f>
        <x:v>Cycle 1</x:v>
      </x:c>
      <x:c r="C1032" s="86" t="str">
        <x:f>IF($P1032="","",INDEX(Tasks!$C$10:$C$1941,$P1032))</x:f>
        <x:v>Phase 1</x:v>
      </x:c>
      <x:c r="D1032" s="86" t="str">
        <x:f>IF($P1032="","",INDEX(Tasks!$D$10:$D$1941,$P1032))</x:f>
        <x:v>Auto</x:v>
      </x:c>
      <x:c r="E1032" s="86"/>
      <x:c r="F1032" s="86" t="str">
        <x:f>IF($P1032="","",INDEX(Tasks!$E$10:$E$1941,$P1032))</x:f>
        <x:v>Design &amp; Insights</x:v>
      </x:c>
      <x:c r="G1032" s="86"/>
      <x:c r="H1032" s="14" t="str">
        <x:f>IF($P1032="","",INDEX(Tasks!$F$10:$F$1941,$P1032)&amp;CHAR(10)&amp;INDEX(Tasks!$G$10:$G$1941,$P1032))</x:f>
        <x:v>DI.AU.1.3
Conduct high-level preliminary review of complaints within proposed topics</x:v>
      </x:c>
      <x:c r="I1032" s="14"/>
      <x:c r="J1032" s="14"/>
      <x:c r="K1032" s="14"/>
      <x:c r="L1032" s="86" t="str">
        <x:f>IF($P1032="","",INDEX(Tasks!$N$10:$N$1941,$P1032))</x:f>
        <x:v>Not started</x:v>
      </x:c>
      <x:c r="M1032" s="87" t="n">
        <x:f>IF($P1032="","",INDEX(Tasks!$J$10:$J$1941,$P1032))</x:f>
        <x:v>46112</x:v>
      </x:c>
      <x:c r="N1032" s="85" t="str">
        <x:f>IF($P1032="","",HYPERLINK("#'"&amp;INDEX(Tasks!$T$10:$T$1941,$P1032)&amp;"'!A"&amp;INDEX(Tasks!$U$10:$U$1941,$P1032),"Open"))</x:f>
        <x:v>Open</x:v>
      </x:c>
      <x:c r="O1032" s="14"/>
      <x:c r="P1032" s="14" t="n">
        <x:f>IF(1011&gt;$B$10,"",MATCH(1011,Tasks!$S$10:$S$1941,0))</x:f>
        <x:v>1375</x:v>
      </x:c>
    </x:row>
    <x:row r="1033" ht="58" customHeight="1">
      <x:c r="B1033" s="86" t="str">
        <x:f>IF($P1033="","",INDEX(Tasks!$B$10:$B$1941,$P1033))</x:f>
        <x:v>Cycle 1</x:v>
      </x:c>
      <x:c r="C1033" s="86" t="str">
        <x:f>IF($P1033="","",INDEX(Tasks!$C$10:$C$1941,$P1033))</x:f>
        <x:v>Phase 1</x:v>
      </x:c>
      <x:c r="D1033" s="86" t="str">
        <x:f>IF($P1033="","",INDEX(Tasks!$D$10:$D$1941,$P1033))</x:f>
        <x:v>Auto</x:v>
      </x:c>
      <x:c r="E1033" s="86"/>
      <x:c r="F1033" s="86" t="str">
        <x:f>IF($P1033="","",INDEX(Tasks!$E$10:$E$1941,$P1033))</x:f>
        <x:v>Design &amp; Insights</x:v>
      </x:c>
      <x:c r="G1033" s="86"/>
      <x:c r="H1033" s="14" t="str">
        <x:f>IF($P1033="","",INDEX(Tasks!$F$10:$F$1941,$P1033)&amp;CHAR(10)&amp;INDEX(Tasks!$G$10:$G$1941,$P1033))</x:f>
        <x:v>DI.AU.1.4
Meet with Research to discuss which topic to select based on potential impact</x:v>
      </x:c>
      <x:c r="I1033" s="14"/>
      <x:c r="J1033" s="14"/>
      <x:c r="K1033" s="14"/>
      <x:c r="L1033" s="86" t="str">
        <x:f>IF($P1033="","",INDEX(Tasks!$N$10:$N$1941,$P1033))</x:f>
        <x:v>Not started</x:v>
      </x:c>
      <x:c r="M1033" s="87" t="n">
        <x:f>IF($P1033="","",INDEX(Tasks!$J$10:$J$1941,$P1033))</x:f>
        <x:v>46112</x:v>
      </x:c>
      <x:c r="N1033" s="85" t="str">
        <x:f>IF($P1033="","",HYPERLINK("#'"&amp;INDEX(Tasks!$T$10:$T$1941,$P1033)&amp;"'!A"&amp;INDEX(Tasks!$U$10:$U$1941,$P1033),"Open"))</x:f>
        <x:v>Open</x:v>
      </x:c>
      <x:c r="O1033" s="14"/>
      <x:c r="P1033" s="14" t="n">
        <x:f>IF(1012&gt;$B$10,"",MATCH(1012,Tasks!$S$10:$S$1941,0))</x:f>
        <x:v>1376</x:v>
      </x:c>
    </x:row>
    <x:row r="1034" ht="58" customHeight="1">
      <x:c r="B1034" s="86" t="str">
        <x:f>IF($P1034="","",INDEX(Tasks!$B$10:$B$1941,$P1034))</x:f>
        <x:v>Cycle 1</x:v>
      </x:c>
      <x:c r="C1034" s="86" t="str">
        <x:f>IF($P1034="","",INDEX(Tasks!$C$10:$C$1941,$P1034))</x:f>
        <x:v>Phase 1</x:v>
      </x:c>
      <x:c r="D1034" s="86" t="str">
        <x:f>IF($P1034="","",INDEX(Tasks!$D$10:$D$1941,$P1034))</x:f>
        <x:v>Auto</x:v>
      </x:c>
      <x:c r="E1034" s="86"/>
      <x:c r="F1034" s="86" t="str">
        <x:f>IF($P1034="","",INDEX(Tasks!$E$10:$E$1941,$P1034))</x:f>
        <x:v>Design &amp; Insights</x:v>
      </x:c>
      <x:c r="G1034" s="86"/>
      <x:c r="H1034" s="14" t="str">
        <x:f>IF($P1034="","",INDEX(Tasks!$F$10:$F$1941,$P1034)&amp;CHAR(10)&amp;INDEX(Tasks!$G$10:$G$1941,$P1034))</x:f>
        <x:v>DI.AU.1.5
Confirm with Research the recommended topic for approval</x:v>
      </x:c>
      <x:c r="I1034" s="14"/>
      <x:c r="J1034" s="14"/>
      <x:c r="K1034" s="14"/>
      <x:c r="L1034" s="86" t="str">
        <x:f>IF($P1034="","",INDEX(Tasks!$N$10:$N$1941,$P1034))</x:f>
        <x:v>Not started</x:v>
      </x:c>
      <x:c r="M1034" s="87" t="n">
        <x:f>IF($P1034="","",INDEX(Tasks!$J$10:$J$1941,$P1034))</x:f>
        <x:v>46112</x:v>
      </x:c>
      <x:c r="N1034" s="85" t="str">
        <x:f>IF($P1034="","",HYPERLINK("#'"&amp;INDEX(Tasks!$T$10:$T$1941,$P1034)&amp;"'!A"&amp;INDEX(Tasks!$U$10:$U$1941,$P1034),"Open"))</x:f>
        <x:v>Open</x:v>
      </x:c>
      <x:c r="O1034" s="14"/>
      <x:c r="P1034" s="14" t="n">
        <x:f>IF(1013&gt;$B$10,"",MATCH(1013,Tasks!$S$10:$S$1941,0))</x:f>
        <x:v>1377</x:v>
      </x:c>
    </x:row>
    <x:row r="1035" ht="58" customHeight="1">
      <x:c r="B1035" s="86" t="str">
        <x:f>IF($P1035="","",INDEX(Tasks!$B$10:$B$1941,$P1035))</x:f>
        <x:v>Cycle 1</x:v>
      </x:c>
      <x:c r="C1035" s="86" t="str">
        <x:f>IF($P1035="","",INDEX(Tasks!$C$10:$C$1941,$P1035))</x:f>
        <x:v>Phase 1</x:v>
      </x:c>
      <x:c r="D1035" s="86" t="str">
        <x:f>IF($P1035="","",INDEX(Tasks!$D$10:$D$1941,$P1035))</x:f>
        <x:v>Auto</x:v>
      </x:c>
      <x:c r="E1035" s="86"/>
      <x:c r="F1035" s="86" t="str">
        <x:f>IF($P1035="","",INDEX(Tasks!$E$10:$E$1941,$P1035))</x:f>
        <x:v>Design &amp; Insights</x:v>
      </x:c>
      <x:c r="G1035" s="86"/>
      <x:c r="H1035" s="14" t="str">
        <x:f>IF($P1035="","",INDEX(Tasks!$F$10:$F$1941,$P1035)&amp;CHAR(10)&amp;INDEX(Tasks!$G$10:$G$1941,$P1035))</x:f>
        <x:v>DI.AU.1.6
Send topic selection socialization email to all key stakeholders on the first day of the review Cycle</x:v>
      </x:c>
      <x:c r="I1035" s="14"/>
      <x:c r="J1035" s="14"/>
      <x:c r="K1035" s="14"/>
      <x:c r="L1035" s="86" t="str">
        <x:f>IF($P1035="","",INDEX(Tasks!$N$10:$N$1941,$P1035))</x:f>
        <x:v>Not started</x:v>
      </x:c>
      <x:c r="M1035" s="87" t="n">
        <x:f>IF($P1035="","",INDEX(Tasks!$J$10:$J$1941,$P1035))</x:f>
        <x:v>46023</x:v>
      </x:c>
      <x:c r="N1035" s="85" t="str">
        <x:f>IF($P1035="","",HYPERLINK("#'"&amp;INDEX(Tasks!$T$10:$T$1941,$P1035)&amp;"'!A"&amp;INDEX(Tasks!$U$10:$U$1941,$P1035),"Open"))</x:f>
        <x:v>Open</x:v>
      </x:c>
      <x:c r="O1035" s="14"/>
      <x:c r="P1035" s="14" t="n">
        <x:f>IF(1014&gt;$B$10,"",MATCH(1014,Tasks!$S$10:$S$1941,0))</x:f>
        <x:v>1378</x:v>
      </x:c>
    </x:row>
    <x:row r="1036" ht="58" customHeight="1">
      <x:c r="B1036" s="86" t="str">
        <x:f>IF($P1036="","",INDEX(Tasks!$B$10:$B$1941,$P1036))</x:f>
        <x:v>Cycle 1</x:v>
      </x:c>
      <x:c r="C1036" s="86" t="str">
        <x:f>IF($P1036="","",INDEX(Tasks!$C$10:$C$1941,$P1036))</x:f>
        <x:v>Phase 2</x:v>
      </x:c>
      <x:c r="D1036" s="86" t="str">
        <x:f>IF($P1036="","",INDEX(Tasks!$D$10:$D$1941,$P1036))</x:f>
        <x:v>Auto</x:v>
      </x:c>
      <x:c r="E1036" s="86"/>
      <x:c r="F1036" s="86" t="str">
        <x:f>IF($P1036="","",INDEX(Tasks!$E$10:$E$1941,$P1036))</x:f>
        <x:v>Design &amp; Insights</x:v>
      </x:c>
      <x:c r="G1036" s="86"/>
      <x:c r="H1036" s="14" t="str">
        <x:f>IF($P1036="","",INDEX(Tasks!$F$10:$F$1941,$P1036)&amp;CHAR(10)&amp;INDEX(Tasks!$G$10:$G$1941,$P1036))</x:f>
        <x:v>DI.AU.2.1
Meet regularly with Research to stay informed on progress, findings, and potential enhancement</x:v>
      </x:c>
      <x:c r="I1036" s="14"/>
      <x:c r="J1036" s="14"/>
      <x:c r="K1036" s="14"/>
      <x:c r="L1036" s="86" t="str">
        <x:f>IF($P1036="","",INDEX(Tasks!$N$10:$N$1941,$P1036))</x:f>
        <x:v>Not started</x:v>
      </x:c>
      <x:c r="M1036" s="87" t="n">
        <x:f>IF($P1036="","",INDEX(Tasks!$J$10:$J$1941,$P1036))</x:f>
        <x:v>46112</x:v>
      </x:c>
      <x:c r="N1036" s="85" t="str">
        <x:f>IF($P1036="","",HYPERLINK("#'"&amp;INDEX(Tasks!$T$10:$T$1941,$P1036)&amp;"'!A"&amp;INDEX(Tasks!$U$10:$U$1941,$P1036),"Open"))</x:f>
        <x:v>Open</x:v>
      </x:c>
      <x:c r="O1036" s="14"/>
      <x:c r="P1036" s="14" t="n">
        <x:f>IF(1015&gt;$B$10,"",MATCH(1015,Tasks!$S$10:$S$1941,0))</x:f>
        <x:v>1379</x:v>
      </x:c>
    </x:row>
    <x:row r="1037" ht="58" customHeight="1">
      <x:c r="B1037" s="86" t="str">
        <x:f>IF($P1037="","",INDEX(Tasks!$B$10:$B$1941,$P1037))</x:f>
        <x:v>Cycle 1</x:v>
      </x:c>
      <x:c r="C1037" s="86" t="str">
        <x:f>IF($P1037="","",INDEX(Tasks!$C$10:$C$1941,$P1037))</x:f>
        <x:v>Phase 2</x:v>
      </x:c>
      <x:c r="D1037" s="86" t="str">
        <x:f>IF($P1037="","",INDEX(Tasks!$D$10:$D$1941,$P1037))</x:f>
        <x:v>Auto</x:v>
      </x:c>
      <x:c r="E1037" s="86"/>
      <x:c r="F1037" s="86" t="str">
        <x:f>IF($P1037="","",INDEX(Tasks!$E$10:$E$1941,$P1037))</x:f>
        <x:v>Design &amp; Insights</x:v>
      </x:c>
      <x:c r="G1037" s="86"/>
      <x:c r="H1037" s="14" t="str">
        <x:f>IF($P1037="","",INDEX(Tasks!$F$10:$F$1941,$P1037)&amp;CHAR(10)&amp;INDEX(Tasks!$G$10:$G$1941,$P1037))</x:f>
        <x:v>DI.AU.2.2
Collaborate with Research on research plan specifics</x:v>
      </x:c>
      <x:c r="I1037" s="14"/>
      <x:c r="J1037" s="14"/>
      <x:c r="K1037" s="14"/>
      <x:c r="L1037" s="86" t="str">
        <x:f>IF($P1037="","",INDEX(Tasks!$N$10:$N$1941,$P1037))</x:f>
        <x:v>Not started</x:v>
      </x:c>
      <x:c r="M1037" s="87" t="n">
        <x:f>IF($P1037="","",INDEX(Tasks!$J$10:$J$1941,$P1037))</x:f>
        <x:v>46112</x:v>
      </x:c>
      <x:c r="N1037" s="85" t="str">
        <x:f>IF($P1037="","",HYPERLINK("#'"&amp;INDEX(Tasks!$T$10:$T$1941,$P1037)&amp;"'!A"&amp;INDEX(Tasks!$U$10:$U$1941,$P1037),"Open"))</x:f>
        <x:v>Open</x:v>
      </x:c>
      <x:c r="O1037" s="14"/>
      <x:c r="P1037" s="14" t="n">
        <x:f>IF(1016&gt;$B$10,"",MATCH(1016,Tasks!$S$10:$S$1941,0))</x:f>
        <x:v>1380</x:v>
      </x:c>
    </x:row>
    <x:row r="1038" ht="58" customHeight="1">
      <x:c r="B1038" s="86" t="str">
        <x:f>IF($P1038="","",INDEX(Tasks!$B$10:$B$1941,$P1038))</x:f>
        <x:v>Cycle 1</x:v>
      </x:c>
      <x:c r="C1038" s="86" t="str">
        <x:f>IF($P1038="","",INDEX(Tasks!$C$10:$C$1941,$P1038))</x:f>
        <x:v>Phase 2</x:v>
      </x:c>
      <x:c r="D1038" s="86" t="str">
        <x:f>IF($P1038="","",INDEX(Tasks!$D$10:$D$1941,$P1038))</x:f>
        <x:v>Auto</x:v>
      </x:c>
      <x:c r="E1038" s="86"/>
      <x:c r="F1038" s="86" t="str">
        <x:f>IF($P1038="","",INDEX(Tasks!$E$10:$E$1941,$P1038))</x:f>
        <x:v>Design &amp; Insights</x:v>
      </x:c>
      <x:c r="G1038" s="86"/>
      <x:c r="H1038" s="14" t="str">
        <x:f>IF($P1038="","",INDEX(Tasks!$F$10:$F$1941,$P1038)&amp;CHAR(10)&amp;INDEX(Tasks!$G$10:$G$1941,$P1038))</x:f>
        <x:v>DI.AU.2.3
Participate in SME insight meetings to gain perspective and appetite on potential enhancements</x:v>
      </x:c>
      <x:c r="I1038" s="14"/>
      <x:c r="J1038" s="14"/>
      <x:c r="K1038" s="14"/>
      <x:c r="L1038" s="86" t="str">
        <x:f>IF($P1038="","",INDEX(Tasks!$N$10:$N$1941,$P1038))</x:f>
        <x:v>Not started</x:v>
      </x:c>
      <x:c r="M1038" s="87" t="n">
        <x:f>IF($P1038="","",INDEX(Tasks!$J$10:$J$1941,$P1038))</x:f>
        <x:v>46112</x:v>
      </x:c>
      <x:c r="N1038" s="85" t="str">
        <x:f>IF($P1038="","",HYPERLINK("#'"&amp;INDEX(Tasks!$T$10:$T$1941,$P1038)&amp;"'!A"&amp;INDEX(Tasks!$U$10:$U$1941,$P1038),"Open"))</x:f>
        <x:v>Open</x:v>
      </x:c>
      <x:c r="O1038" s="14"/>
      <x:c r="P1038" s="14" t="n">
        <x:f>IF(1017&gt;$B$10,"",MATCH(1017,Tasks!$S$10:$S$1941,0))</x:f>
        <x:v>1381</x:v>
      </x:c>
    </x:row>
    <x:row r="1039" ht="58" customHeight="1">
      <x:c r="B1039" s="86" t="str">
        <x:f>IF($P1039="","",INDEX(Tasks!$B$10:$B$1941,$P1039))</x:f>
        <x:v>Cycle 1</x:v>
      </x:c>
      <x:c r="C1039" s="86" t="str">
        <x:f>IF($P1039="","",INDEX(Tasks!$C$10:$C$1941,$P1039))</x:f>
        <x:v>Phase 2</x:v>
      </x:c>
      <x:c r="D1039" s="86" t="str">
        <x:f>IF($P1039="","",INDEX(Tasks!$D$10:$D$1941,$P1039))</x:f>
        <x:v>Auto</x:v>
      </x:c>
      <x:c r="E1039" s="86"/>
      <x:c r="F1039" s="86" t="str">
        <x:f>IF($P1039="","",INDEX(Tasks!$E$10:$E$1941,$P1039))</x:f>
        <x:v>Design &amp; Insights</x:v>
      </x:c>
      <x:c r="G1039" s="86"/>
      <x:c r="H1039" s="14" t="str">
        <x:f>IF($P1039="","",INDEX(Tasks!$F$10:$F$1941,$P1039)&amp;CHAR(10)&amp;INDEX(Tasks!$G$10:$G$1941,$P1039))</x:f>
        <x:v>DI.AU.2.4
Begin development of presentation materials as Research is being completed</x:v>
      </x:c>
      <x:c r="I1039" s="14"/>
      <x:c r="J1039" s="14"/>
      <x:c r="K1039" s="14"/>
      <x:c r="L1039" s="86" t="str">
        <x:f>IF($P1039="","",INDEX(Tasks!$N$10:$N$1941,$P1039))</x:f>
        <x:v>Not started</x:v>
      </x:c>
      <x:c r="M1039" s="87" t="n">
        <x:f>IF($P1039="","",INDEX(Tasks!$J$10:$J$1941,$P1039))</x:f>
        <x:v>46112</x:v>
      </x:c>
      <x:c r="N1039" s="85" t="str">
        <x:f>IF($P1039="","",HYPERLINK("#'"&amp;INDEX(Tasks!$T$10:$T$1941,$P1039)&amp;"'!A"&amp;INDEX(Tasks!$U$10:$U$1941,$P1039),"Open"))</x:f>
        <x:v>Open</x:v>
      </x:c>
      <x:c r="O1039" s="14"/>
      <x:c r="P1039" s="14" t="n">
        <x:f>IF(1018&gt;$B$10,"",MATCH(1018,Tasks!$S$10:$S$1941,0))</x:f>
        <x:v>1382</x:v>
      </x:c>
    </x:row>
    <x:row r="1040" ht="58" customHeight="1">
      <x:c r="B1040" s="86" t="str">
        <x:f>IF($P1040="","",INDEX(Tasks!$B$10:$B$1941,$P1040))</x:f>
        <x:v>Cycle 1</x:v>
      </x:c>
      <x:c r="C1040" s="86" t="str">
        <x:f>IF($P1040="","",INDEX(Tasks!$C$10:$C$1941,$P1040))</x:f>
        <x:v>Phase 2</x:v>
      </x:c>
      <x:c r="D1040" s="86" t="str">
        <x:f>IF($P1040="","",INDEX(Tasks!$D$10:$D$1941,$P1040))</x:f>
        <x:v>Auto</x:v>
      </x:c>
      <x:c r="E1040" s="86"/>
      <x:c r="F1040" s="86" t="str">
        <x:f>IF($P1040="","",INDEX(Tasks!$E$10:$E$1941,$P1040))</x:f>
        <x:v>Design &amp; Insights</x:v>
      </x:c>
      <x:c r="G1040" s="86"/>
      <x:c r="H1040" s="14" t="str">
        <x:f>IF($P1040="","",INDEX(Tasks!$F$10:$F$1941,$P1040)&amp;CHAR(10)&amp;INDEX(Tasks!$G$10:$G$1941,$P1040))</x:f>
        <x:v>DI.AU.2.5
Draft initial enhancement recommendations (as applicable)</x:v>
      </x:c>
      <x:c r="I1040" s="14"/>
      <x:c r="J1040" s="14"/>
      <x:c r="K1040" s="14"/>
      <x:c r="L1040" s="86" t="str">
        <x:f>IF($P1040="","",INDEX(Tasks!$N$10:$N$1941,$P1040))</x:f>
        <x:v>Not started</x:v>
      </x:c>
      <x:c r="M1040" s="87" t="n">
        <x:f>IF($P1040="","",INDEX(Tasks!$J$10:$J$1941,$P1040))</x:f>
        <x:v>46112</x:v>
      </x:c>
      <x:c r="N1040" s="85" t="str">
        <x:f>IF($P1040="","",HYPERLINK("#'"&amp;INDEX(Tasks!$T$10:$T$1941,$P1040)&amp;"'!A"&amp;INDEX(Tasks!$U$10:$U$1941,$P1040),"Open"))</x:f>
        <x:v>Open</x:v>
      </x:c>
      <x:c r="O1040" s="14"/>
      <x:c r="P1040" s="14" t="n">
        <x:f>IF(1019&gt;$B$10,"",MATCH(1019,Tasks!$S$10:$S$1941,0))</x:f>
        <x:v>1383</x:v>
      </x:c>
    </x:row>
    <x:row r="1041" ht="58" customHeight="1">
      <x:c r="B1041" s="86" t="str">
        <x:f>IF($P1041="","",INDEX(Tasks!$B$10:$B$1941,$P1041))</x:f>
        <x:v>Cycle 1</x:v>
      </x:c>
      <x:c r="C1041" s="86" t="str">
        <x:f>IF($P1041="","",INDEX(Tasks!$C$10:$C$1941,$P1041))</x:f>
        <x:v>Phase 2</x:v>
      </x:c>
      <x:c r="D1041" s="86" t="str">
        <x:f>IF($P1041="","",INDEX(Tasks!$D$10:$D$1941,$P1041))</x:f>
        <x:v>Auto</x:v>
      </x:c>
      <x:c r="E1041" s="86"/>
      <x:c r="F1041" s="86" t="str">
        <x:f>IF($P1041="","",INDEX(Tasks!$E$10:$E$1941,$P1041))</x:f>
        <x:v>Design &amp; Insights</x:v>
      </x:c>
      <x:c r="G1041" s="86"/>
      <x:c r="H1041" s="14" t="str">
        <x:f>IF($P1041="","",INDEX(Tasks!$F$10:$F$1941,$P1041)&amp;CHAR(10)&amp;INDEX(Tasks!$G$10:$G$1941,$P1041))</x:f>
        <x:v>DI.AU.2.6
Finalize presentation deck draft at conclusion of Research phase</x:v>
      </x:c>
      <x:c r="I1041" s="14"/>
      <x:c r="J1041" s="14"/>
      <x:c r="K1041" s="14"/>
      <x:c r="L1041" s="86" t="str">
        <x:f>IF($P1041="","",INDEX(Tasks!$N$10:$N$1941,$P1041))</x:f>
        <x:v>Not started</x:v>
      </x:c>
      <x:c r="M1041" s="87" t="n">
        <x:f>IF($P1041="","",INDEX(Tasks!$J$10:$J$1941,$P1041))</x:f>
        <x:v>46112</x:v>
      </x:c>
      <x:c r="N1041" s="85" t="str">
        <x:f>IF($P1041="","",HYPERLINK("#'"&amp;INDEX(Tasks!$T$10:$T$1941,$P1041)&amp;"'!A"&amp;INDEX(Tasks!$U$10:$U$1941,$P1041),"Open"))</x:f>
        <x:v>Open</x:v>
      </x:c>
      <x:c r="O1041" s="14"/>
      <x:c r="P1041" s="14" t="n">
        <x:f>IF(1020&gt;$B$10,"",MATCH(1020,Tasks!$S$10:$S$1941,0))</x:f>
        <x:v>1384</x:v>
      </x:c>
    </x:row>
    <x:row r="1042" ht="58" customHeight="1">
      <x:c r="B1042" s="86" t="str">
        <x:f>IF($P1042="","",INDEX(Tasks!$B$10:$B$1941,$P1042))</x:f>
        <x:v>Cycle 1</x:v>
      </x:c>
      <x:c r="C1042" s="86" t="str">
        <x:f>IF($P1042="","",INDEX(Tasks!$C$10:$C$1941,$P1042))</x:f>
        <x:v>Phase 2</x:v>
      </x:c>
      <x:c r="D1042" s="86" t="str">
        <x:f>IF($P1042="","",INDEX(Tasks!$D$10:$D$1941,$P1042))</x:f>
        <x:v>Auto</x:v>
      </x:c>
      <x:c r="E1042" s="86"/>
      <x:c r="F1042" s="86" t="str">
        <x:f>IF($P1042="","",INDEX(Tasks!$E$10:$E$1941,$P1042))</x:f>
        <x:v>Design &amp; Insights</x:v>
      </x:c>
      <x:c r="G1042" s="86"/>
      <x:c r="H1042" s="14" t="str">
        <x:f>IF($P1042="","",INDEX(Tasks!$F$10:$F$1941,$P1042)&amp;CHAR(10)&amp;INDEX(Tasks!$G$10:$G$1941,$P1042))</x:f>
        <x:v>DI.AU.2.7
Update Outcome portion of research plan with current enhancement verbiage (as needed)</x:v>
      </x:c>
      <x:c r="I1042" s="14"/>
      <x:c r="J1042" s="14"/>
      <x:c r="K1042" s="14"/>
      <x:c r="L1042" s="86" t="str">
        <x:f>IF($P1042="","",INDEX(Tasks!$N$10:$N$1941,$P1042))</x:f>
        <x:v>Not started</x:v>
      </x:c>
      <x:c r="M1042" s="87" t="n">
        <x:f>IF($P1042="","",INDEX(Tasks!$J$10:$J$1941,$P1042))</x:f>
        <x:v>46112</x:v>
      </x:c>
      <x:c r="N1042" s="85" t="str">
        <x:f>IF($P1042="","",HYPERLINK("#'"&amp;INDEX(Tasks!$T$10:$T$1941,$P1042)&amp;"'!A"&amp;INDEX(Tasks!$U$10:$U$1941,$P1042),"Open"))</x:f>
        <x:v>Open</x:v>
      </x:c>
      <x:c r="O1042" s="14"/>
      <x:c r="P1042" s="14" t="n">
        <x:f>IF(1021&gt;$B$10,"",MATCH(1021,Tasks!$S$10:$S$1941,0))</x:f>
        <x:v>1385</x:v>
      </x:c>
    </x:row>
    <x:row r="1043" ht="58" customHeight="1">
      <x:c r="B1043" s="86" t="str">
        <x:f>IF($P1043="","",INDEX(Tasks!$B$10:$B$1941,$P1043))</x:f>
        <x:v>Cycle 1</x:v>
      </x:c>
      <x:c r="C1043" s="86" t="str">
        <x:f>IF($P1043="","",INDEX(Tasks!$C$10:$C$1941,$P1043))</x:f>
        <x:v>Phase 3</x:v>
      </x:c>
      <x:c r="D1043" s="86" t="str">
        <x:f>IF($P1043="","",INDEX(Tasks!$D$10:$D$1941,$P1043))</x:f>
        <x:v>Auto</x:v>
      </x:c>
      <x:c r="E1043" s="86"/>
      <x:c r="F1043" s="86" t="str">
        <x:f>IF($P1043="","",INDEX(Tasks!$E$10:$E$1941,$P1043))</x:f>
        <x:v>Design &amp; Insights</x:v>
      </x:c>
      <x:c r="G1043" s="86"/>
      <x:c r="H1043" s="14" t="str">
        <x:f>IF($P1043="","",INDEX(Tasks!$F$10:$F$1941,$P1043)&amp;CHAR(10)&amp;INDEX(Tasks!$G$10:$G$1941,$P1043))</x:f>
        <x:v>DI.AU.3.1
Confirm list of required &amp; optional attendees for pre-socialization meeting</x:v>
      </x:c>
      <x:c r="I1043" s="14"/>
      <x:c r="J1043" s="14"/>
      <x:c r="K1043" s="14"/>
      <x:c r="L1043" s="86" t="str">
        <x:f>IF($P1043="","",INDEX(Tasks!$N$10:$N$1941,$P1043))</x:f>
        <x:v>Not started</x:v>
      </x:c>
      <x:c r="M1043" s="87" t="n">
        <x:f>IF($P1043="","",INDEX(Tasks!$J$10:$J$1941,$P1043))</x:f>
        <x:v>46112</x:v>
      </x:c>
      <x:c r="N1043" s="85" t="str">
        <x:f>IF($P1043="","",HYPERLINK("#'"&amp;INDEX(Tasks!$T$10:$T$1941,$P1043)&amp;"'!A"&amp;INDEX(Tasks!$U$10:$U$1941,$P1043),"Open"))</x:f>
        <x:v>Open</x:v>
      </x:c>
      <x:c r="O1043" s="14"/>
      <x:c r="P1043" s="14" t="n">
        <x:f>IF(1022&gt;$B$10,"",MATCH(1022,Tasks!$S$10:$S$1941,0))</x:f>
        <x:v>1386</x:v>
      </x:c>
    </x:row>
    <x:row r="1044" ht="58" customHeight="1">
      <x:c r="B1044" s="86" t="str">
        <x:f>IF($P1044="","",INDEX(Tasks!$B$10:$B$1941,$P1044))</x:f>
        <x:v>Cycle 1</x:v>
      </x:c>
      <x:c r="C1044" s="86" t="str">
        <x:f>IF($P1044="","",INDEX(Tasks!$C$10:$C$1941,$P1044))</x:f>
        <x:v>Phase 3</x:v>
      </x:c>
      <x:c r="D1044" s="86" t="str">
        <x:f>IF($P1044="","",INDEX(Tasks!$D$10:$D$1941,$P1044))</x:f>
        <x:v>Auto</x:v>
      </x:c>
      <x:c r="E1044" s="86"/>
      <x:c r="F1044" s="86" t="str">
        <x:f>IF($P1044="","",INDEX(Tasks!$E$10:$E$1941,$P1044))</x:f>
        <x:v>Design &amp; Insights</x:v>
      </x:c>
      <x:c r="G1044" s="86"/>
      <x:c r="H1044" s="14" t="str">
        <x:f>IF($P1044="","",INDEX(Tasks!$F$10:$F$1941,$P1044)&amp;CHAR(10)&amp;INDEX(Tasks!$G$10:$G$1941,$P1044))</x:f>
        <x:v>DI.AU.3.2
Schedule pre-socialization meeting 1 week prior to RCA Forum</x:v>
      </x:c>
      <x:c r="I1044" s="14"/>
      <x:c r="J1044" s="14"/>
      <x:c r="K1044" s="14"/>
      <x:c r="L1044" s="86" t="str">
        <x:f>IF($P1044="","",INDEX(Tasks!$N$10:$N$1941,$P1044))</x:f>
        <x:v>Not started</x:v>
      </x:c>
      <x:c r="M1044" s="87" t="str">
        <x:f>IF($P1044="","",INDEX(Tasks!$J$10:$J$1941,$P1044))</x:f>
      </x:c>
      <x:c r="N1044" s="85" t="str">
        <x:f>IF($P1044="","",HYPERLINK("#'"&amp;INDEX(Tasks!$T$10:$T$1941,$P1044)&amp;"'!A"&amp;INDEX(Tasks!$U$10:$U$1941,$P1044),"Open"))</x:f>
        <x:v>Open</x:v>
      </x:c>
      <x:c r="O1044" s="14"/>
      <x:c r="P1044" s="14" t="n">
        <x:f>IF(1023&gt;$B$10,"",MATCH(1023,Tasks!$S$10:$S$1941,0))</x:f>
        <x:v>1387</x:v>
      </x:c>
    </x:row>
    <x:row r="1045" ht="58" customHeight="1">
      <x:c r="B1045" s="86" t="str">
        <x:f>IF($P1045="","",INDEX(Tasks!$B$10:$B$1941,$P1045))</x:f>
        <x:v>Cycle 1</x:v>
      </x:c>
      <x:c r="C1045" s="86" t="str">
        <x:f>IF($P1045="","",INDEX(Tasks!$C$10:$C$1941,$P1045))</x:f>
        <x:v>Phase 3</x:v>
      </x:c>
      <x:c r="D1045" s="86" t="str">
        <x:f>IF($P1045="","",INDEX(Tasks!$D$10:$D$1941,$P1045))</x:f>
        <x:v>Auto</x:v>
      </x:c>
      <x:c r="E1045" s="86"/>
      <x:c r="F1045" s="86" t="str">
        <x:f>IF($P1045="","",INDEX(Tasks!$E$10:$E$1941,$P1045))</x:f>
        <x:v>Design &amp; Insights</x:v>
      </x:c>
      <x:c r="G1045" s="86"/>
      <x:c r="H1045" s="14" t="str">
        <x:f>IF($P1045="","",INDEX(Tasks!$F$10:$F$1941,$P1045)&amp;CHAR(10)&amp;INDEX(Tasks!$G$10:$G$1941,$P1045))</x:f>
        <x:v>DI.AU.3.3
Present findings, conclusions, and recommendation to SMEs</x:v>
      </x:c>
      <x:c r="I1045" s="14"/>
      <x:c r="J1045" s="14"/>
      <x:c r="K1045" s="14"/>
      <x:c r="L1045" s="86" t="str">
        <x:f>IF($P1045="","",INDEX(Tasks!$N$10:$N$1941,$P1045))</x:f>
        <x:v>Not started</x:v>
      </x:c>
      <x:c r="M1045" s="87" t="n">
        <x:f>IF($P1045="","",INDEX(Tasks!$J$10:$J$1941,$P1045))</x:f>
        <x:v>46112</x:v>
      </x:c>
      <x:c r="N1045" s="85" t="str">
        <x:f>IF($P1045="","",HYPERLINK("#'"&amp;INDEX(Tasks!$T$10:$T$1941,$P1045)&amp;"'!A"&amp;INDEX(Tasks!$U$10:$U$1941,$P1045),"Open"))</x:f>
        <x:v>Open</x:v>
      </x:c>
      <x:c r="O1045" s="14"/>
      <x:c r="P1045" s="14" t="n">
        <x:f>IF(1024&gt;$B$10,"",MATCH(1024,Tasks!$S$10:$S$1941,0))</x:f>
        <x:v>1388</x:v>
      </x:c>
    </x:row>
    <x:row r="1046" ht="58" customHeight="1">
      <x:c r="B1046" s="86" t="str">
        <x:f>IF($P1046="","",INDEX(Tasks!$B$10:$B$1941,$P1046))</x:f>
        <x:v>Cycle 1</x:v>
      </x:c>
      <x:c r="C1046" s="86" t="str">
        <x:f>IF($P1046="","",INDEX(Tasks!$C$10:$C$1941,$P1046))</x:f>
        <x:v>Phase 3</x:v>
      </x:c>
      <x:c r="D1046" s="86" t="str">
        <x:f>IF($P1046="","",INDEX(Tasks!$D$10:$D$1941,$P1046))</x:f>
        <x:v>Auto</x:v>
      </x:c>
      <x:c r="E1046" s="86"/>
      <x:c r="F1046" s="86" t="str">
        <x:f>IF($P1046="","",INDEX(Tasks!$E$10:$E$1941,$P1046))</x:f>
        <x:v>Design &amp; Insights</x:v>
      </x:c>
      <x:c r="G1046" s="86"/>
      <x:c r="H1046" s="14" t="str">
        <x:f>IF($P1046="","",INDEX(Tasks!$F$10:$F$1941,$P1046)&amp;CHAR(10)&amp;INDEX(Tasks!$G$10:$G$1941,$P1046))</x:f>
        <x:v>DI.AU.3.4
Update Outcome portion of research plan (as needed)</x:v>
      </x:c>
      <x:c r="I1046" s="14"/>
      <x:c r="J1046" s="14"/>
      <x:c r="K1046" s="14"/>
      <x:c r="L1046" s="86" t="str">
        <x:f>IF($P1046="","",INDEX(Tasks!$N$10:$N$1941,$P1046))</x:f>
        <x:v>Not started</x:v>
      </x:c>
      <x:c r="M1046" s="87" t="n">
        <x:f>IF($P1046="","",INDEX(Tasks!$J$10:$J$1941,$P1046))</x:f>
        <x:v>46112</x:v>
      </x:c>
      <x:c r="N1046" s="85" t="str">
        <x:f>IF($P1046="","",HYPERLINK("#'"&amp;INDEX(Tasks!$T$10:$T$1941,$P1046)&amp;"'!A"&amp;INDEX(Tasks!$U$10:$U$1941,$P1046),"Open"))</x:f>
        <x:v>Open</x:v>
      </x:c>
      <x:c r="O1046" s="14"/>
      <x:c r="P1046" s="14" t="n">
        <x:f>IF(1025&gt;$B$10,"",MATCH(1025,Tasks!$S$10:$S$1941,0))</x:f>
        <x:v>1389</x:v>
      </x:c>
    </x:row>
    <x:row r="1047" ht="58" customHeight="1">
      <x:c r="B1047" s="86" t="str">
        <x:f>IF($P1047="","",INDEX(Tasks!$B$10:$B$1941,$P1047))</x:f>
        <x:v>Cycle 1</x:v>
      </x:c>
      <x:c r="C1047" s="86" t="str">
        <x:f>IF($P1047="","",INDEX(Tasks!$C$10:$C$1941,$P1047))</x:f>
        <x:v>Phase 3</x:v>
      </x:c>
      <x:c r="D1047" s="86" t="str">
        <x:f>IF($P1047="","",INDEX(Tasks!$D$10:$D$1941,$P1047))</x:f>
        <x:v>Auto</x:v>
      </x:c>
      <x:c r="E1047" s="86"/>
      <x:c r="F1047" s="86" t="str">
        <x:f>IF($P1047="","",INDEX(Tasks!$E$10:$E$1941,$P1047))</x:f>
        <x:v>Design &amp; Insights</x:v>
      </x:c>
      <x:c r="G1047" s="86"/>
      <x:c r="H1047" s="14" t="str">
        <x:f>IF($P1047="","",INDEX(Tasks!$F$10:$F$1941,$P1047)&amp;CHAR(10)&amp;INDEX(Tasks!$G$10:$G$1941,$P1047))</x:f>
        <x:v>DI.AU.3.5
Finalize presentation deck by incorporating pre-socialization feedback (as needed)</x:v>
      </x:c>
      <x:c r="I1047" s="14"/>
      <x:c r="J1047" s="14"/>
      <x:c r="K1047" s="14"/>
      <x:c r="L1047" s="86" t="str">
        <x:f>IF($P1047="","",INDEX(Tasks!$N$10:$N$1941,$P1047))</x:f>
        <x:v>Not started</x:v>
      </x:c>
      <x:c r="M1047" s="87" t="n">
        <x:f>IF($P1047="","",INDEX(Tasks!$J$10:$J$1941,$P1047))</x:f>
        <x:v>46112</x:v>
      </x:c>
      <x:c r="N1047" s="85" t="str">
        <x:f>IF($P1047="","",HYPERLINK("#'"&amp;INDEX(Tasks!$T$10:$T$1941,$P1047)&amp;"'!A"&amp;INDEX(Tasks!$U$10:$U$1941,$P1047),"Open"))</x:f>
        <x:v>Open</x:v>
      </x:c>
      <x:c r="O1047" s="14"/>
      <x:c r="P1047" s="14" t="n">
        <x:f>IF(1026&gt;$B$10,"",MATCH(1026,Tasks!$S$10:$S$1941,0))</x:f>
        <x:v>1390</x:v>
      </x:c>
    </x:row>
    <x:row r="1048" ht="58" customHeight="1">
      <x:c r="B1048" s="86" t="str">
        <x:f>IF($P1048="","",INDEX(Tasks!$B$10:$B$1941,$P1048))</x:f>
        <x:v>Cycle 1</x:v>
      </x:c>
      <x:c r="C1048" s="86" t="str">
        <x:f>IF($P1048="","",INDEX(Tasks!$C$10:$C$1941,$P1048))</x:f>
        <x:v>Phase 3</x:v>
      </x:c>
      <x:c r="D1048" s="86" t="str">
        <x:f>IF($P1048="","",INDEX(Tasks!$D$10:$D$1941,$P1048))</x:f>
        <x:v>Auto</x:v>
      </x:c>
      <x:c r="E1048" s="86"/>
      <x:c r="F1048" s="86" t="str">
        <x:f>IF($P1048="","",INDEX(Tasks!$E$10:$E$1941,$P1048))</x:f>
        <x:v>Design &amp; Insights</x:v>
      </x:c>
      <x:c r="G1048" s="86"/>
      <x:c r="H1048" s="14" t="str">
        <x:f>IF($P1048="","",INDEX(Tasks!$F$10:$F$1941,$P1048)&amp;CHAR(10)&amp;INDEX(Tasks!$G$10:$G$1941,$P1048))</x:f>
        <x:v>DI.AU.3.6
Ensure final deck is communicated to Forum attendees</x:v>
      </x:c>
      <x:c r="I1048" s="14"/>
      <x:c r="J1048" s="14"/>
      <x:c r="K1048" s="14"/>
      <x:c r="L1048" s="86" t="str">
        <x:f>IF($P1048="","",INDEX(Tasks!$N$10:$N$1941,$P1048))</x:f>
        <x:v>Not started</x:v>
      </x:c>
      <x:c r="M1048" s="87" t="n">
        <x:f>IF($P1048="","",INDEX(Tasks!$J$10:$J$1941,$P1048))</x:f>
        <x:v>46112</x:v>
      </x:c>
      <x:c r="N1048" s="85" t="str">
        <x:f>IF($P1048="","",HYPERLINK("#'"&amp;INDEX(Tasks!$T$10:$T$1941,$P1048)&amp;"'!A"&amp;INDEX(Tasks!$U$10:$U$1941,$P1048),"Open"))</x:f>
        <x:v>Open</x:v>
      </x:c>
      <x:c r="O1048" s="14"/>
      <x:c r="P1048" s="14" t="n">
        <x:f>IF(1027&gt;$B$10,"",MATCH(1027,Tasks!$S$10:$S$1941,0))</x:f>
        <x:v>1391</x:v>
      </x:c>
    </x:row>
    <x:row r="1049" ht="58" customHeight="1">
      <x:c r="B1049" s="86" t="str">
        <x:f>IF($P1049="","",INDEX(Tasks!$B$10:$B$1941,$P1049))</x:f>
        <x:v>Cycle 1</x:v>
      </x:c>
      <x:c r="C1049" s="86" t="str">
        <x:f>IF($P1049="","",INDEX(Tasks!$C$10:$C$1941,$P1049))</x:f>
        <x:v>Phase 3</x:v>
      </x:c>
      <x:c r="D1049" s="86" t="str">
        <x:f>IF($P1049="","",INDEX(Tasks!$D$10:$D$1941,$P1049))</x:f>
        <x:v>Auto</x:v>
      </x:c>
      <x:c r="E1049" s="86"/>
      <x:c r="F1049" s="86" t="str">
        <x:f>IF($P1049="","",INDEX(Tasks!$E$10:$E$1941,$P1049))</x:f>
        <x:v>Design &amp; Insights</x:v>
      </x:c>
      <x:c r="G1049" s="86"/>
      <x:c r="H1049" s="14" t="str">
        <x:f>IF($P1049="","",INDEX(Tasks!$F$10:$F$1941,$P1049)&amp;CHAR(10)&amp;INDEX(Tasks!$G$10:$G$1941,$P1049))</x:f>
        <x:v>DI.AU.3.7
Present material in RCA Cycle Forum</x:v>
      </x:c>
      <x:c r="I1049" s="14"/>
      <x:c r="J1049" s="14"/>
      <x:c r="K1049" s="14"/>
      <x:c r="L1049" s="86" t="str">
        <x:f>IF($P1049="","",INDEX(Tasks!$N$10:$N$1941,$P1049))</x:f>
        <x:v>Not started</x:v>
      </x:c>
      <x:c r="M1049" s="87" t="str">
        <x:f>IF($P1049="","",INDEX(Tasks!$J$10:$J$1941,$P1049))</x:f>
      </x:c>
      <x:c r="N1049" s="85" t="str">
        <x:f>IF($P1049="","",HYPERLINK("#'"&amp;INDEX(Tasks!$T$10:$T$1941,$P1049)&amp;"'!A"&amp;INDEX(Tasks!$U$10:$U$1941,$P1049),"Open"))</x:f>
        <x:v>Open</x:v>
      </x:c>
      <x:c r="O1049" s="14"/>
      <x:c r="P1049" s="14" t="n">
        <x:f>IF(1028&gt;$B$10,"",MATCH(1028,Tasks!$S$10:$S$1941,0))</x:f>
        <x:v>1392</x:v>
      </x:c>
    </x:row>
    <x:row r="1050" ht="58" customHeight="1">
      <x:c r="B1050" s="86" t="str">
        <x:f>IF($P1050="","",INDEX(Tasks!$B$10:$B$1941,$P1050))</x:f>
        <x:v>Cycle 1</x:v>
      </x:c>
      <x:c r="C1050" s="86" t="str">
        <x:f>IF($P1050="","",INDEX(Tasks!$C$10:$C$1941,$P1050))</x:f>
        <x:v>Phase 1</x:v>
      </x:c>
      <x:c r="D1050" s="86" t="str">
        <x:f>IF($P1050="","",INDEX(Tasks!$D$10:$D$1941,$P1050))</x:f>
        <x:v>Cards</x:v>
      </x:c>
      <x:c r="E1050" s="86"/>
      <x:c r="F1050" s="86" t="str">
        <x:f>IF($P1050="","",INDEX(Tasks!$E$10:$E$1941,$P1050))</x:f>
        <x:v>Design &amp; Insights</x:v>
      </x:c>
      <x:c r="G1050" s="86"/>
      <x:c r="H1050" s="14" t="str">
        <x:f>IF($P1050="","",INDEX(Tasks!$F$10:$F$1941,$P1050)&amp;CHAR(10)&amp;INDEX(Tasks!$G$10:$G$1941,$P1050))</x:f>
        <x:v>DI.CA.1.1
Receive and review potential research topics at least 2 weeks prior to Cycle start date</x:v>
      </x:c>
      <x:c r="I1050" s="14"/>
      <x:c r="J1050" s="14"/>
      <x:c r="K1050" s="14"/>
      <x:c r="L1050" s="86" t="str">
        <x:f>IF($P1050="","",INDEX(Tasks!$N$10:$N$1941,$P1050))</x:f>
        <x:v>Not started</x:v>
      </x:c>
      <x:c r="M1050" s="87" t="n">
        <x:f>IF($P1050="","",INDEX(Tasks!$J$10:$J$1941,$P1050))</x:f>
        <x:v>46009</x:v>
      </x:c>
      <x:c r="N1050" s="85" t="str">
        <x:f>IF($P1050="","",HYPERLINK("#'"&amp;INDEX(Tasks!$T$10:$T$1941,$P1050)&amp;"'!A"&amp;INDEX(Tasks!$U$10:$U$1941,$P1050),"Open"))</x:f>
        <x:v>Open</x:v>
      </x:c>
      <x:c r="O1050" s="14"/>
      <x:c r="P1050" s="14" t="n">
        <x:f>IF(1029&gt;$B$10,"",MATCH(1029,Tasks!$S$10:$S$1941,0))</x:f>
        <x:v>1393</x:v>
      </x:c>
    </x:row>
    <x:row r="1051" ht="58" customHeight="1">
      <x:c r="B1051" s="86" t="str">
        <x:f>IF($P1051="","",INDEX(Tasks!$B$10:$B$1941,$P1051))</x:f>
        <x:v>Cycle 1</x:v>
      </x:c>
      <x:c r="C1051" s="86" t="str">
        <x:f>IF($P1051="","",INDEX(Tasks!$C$10:$C$1941,$P1051))</x:f>
        <x:v>Phase 1</x:v>
      </x:c>
      <x:c r="D1051" s="86" t="str">
        <x:f>IF($P1051="","",INDEX(Tasks!$D$10:$D$1941,$P1051))</x:f>
        <x:v>Cards</x:v>
      </x:c>
      <x:c r="E1051" s="86"/>
      <x:c r="F1051" s="86" t="str">
        <x:f>IF($P1051="","",INDEX(Tasks!$E$10:$E$1941,$P1051))</x:f>
        <x:v>Design &amp; Insights</x:v>
      </x:c>
      <x:c r="G1051" s="86"/>
      <x:c r="H1051" s="14" t="str">
        <x:f>IF($P1051="","",INDEX(Tasks!$F$10:$F$1941,$P1051)&amp;CHAR(10)&amp;INDEX(Tasks!$G$10:$G$1941,$P1051))</x:f>
        <x:v>DI.CA.1.2
Communicate any feedback on preferences or concerns with topics identified</x:v>
      </x:c>
      <x:c r="I1051" s="14"/>
      <x:c r="J1051" s="14"/>
      <x:c r="K1051" s="14"/>
      <x:c r="L1051" s="86" t="str">
        <x:f>IF($P1051="","",INDEX(Tasks!$N$10:$N$1941,$P1051))</x:f>
        <x:v>Not started</x:v>
      </x:c>
      <x:c r="M1051" s="87" t="n">
        <x:f>IF($P1051="","",INDEX(Tasks!$J$10:$J$1941,$P1051))</x:f>
        <x:v>46112</x:v>
      </x:c>
      <x:c r="N1051" s="85" t="str">
        <x:f>IF($P1051="","",HYPERLINK("#'"&amp;INDEX(Tasks!$T$10:$T$1941,$P1051)&amp;"'!A"&amp;INDEX(Tasks!$U$10:$U$1941,$P1051),"Open"))</x:f>
        <x:v>Open</x:v>
      </x:c>
      <x:c r="O1051" s="14"/>
      <x:c r="P1051" s="14" t="n">
        <x:f>IF(1030&gt;$B$10,"",MATCH(1030,Tasks!$S$10:$S$1941,0))</x:f>
        <x:v>1394</x:v>
      </x:c>
    </x:row>
    <x:row r="1052" ht="58" customHeight="1">
      <x:c r="B1052" s="86" t="str">
        <x:f>IF($P1052="","",INDEX(Tasks!$B$10:$B$1941,$P1052))</x:f>
        <x:v>Cycle 1</x:v>
      </x:c>
      <x:c r="C1052" s="86" t="str">
        <x:f>IF($P1052="","",INDEX(Tasks!$C$10:$C$1941,$P1052))</x:f>
        <x:v>Phase 1</x:v>
      </x:c>
      <x:c r="D1052" s="86" t="str">
        <x:f>IF($P1052="","",INDEX(Tasks!$D$10:$D$1941,$P1052))</x:f>
        <x:v>Cards</x:v>
      </x:c>
      <x:c r="E1052" s="86"/>
      <x:c r="F1052" s="86" t="str">
        <x:f>IF($P1052="","",INDEX(Tasks!$E$10:$E$1941,$P1052))</x:f>
        <x:v>Design &amp; Insights</x:v>
      </x:c>
      <x:c r="G1052" s="86"/>
      <x:c r="H1052" s="14" t="str">
        <x:f>IF($P1052="","",INDEX(Tasks!$F$10:$F$1941,$P1052)&amp;CHAR(10)&amp;INDEX(Tasks!$G$10:$G$1941,$P1052))</x:f>
        <x:v>DI.CA.1.3
Conduct high-level preliminary review of complaints within proposed topics</x:v>
      </x:c>
      <x:c r="I1052" s="14"/>
      <x:c r="J1052" s="14"/>
      <x:c r="K1052" s="14"/>
      <x:c r="L1052" s="86" t="str">
        <x:f>IF($P1052="","",INDEX(Tasks!$N$10:$N$1941,$P1052))</x:f>
        <x:v>Not started</x:v>
      </x:c>
      <x:c r="M1052" s="87" t="n">
        <x:f>IF($P1052="","",INDEX(Tasks!$J$10:$J$1941,$P1052))</x:f>
        <x:v>46112</x:v>
      </x:c>
      <x:c r="N1052" s="85" t="str">
        <x:f>IF($P1052="","",HYPERLINK("#'"&amp;INDEX(Tasks!$T$10:$T$1941,$P1052)&amp;"'!A"&amp;INDEX(Tasks!$U$10:$U$1941,$P1052),"Open"))</x:f>
        <x:v>Open</x:v>
      </x:c>
      <x:c r="O1052" s="14"/>
      <x:c r="P1052" s="14" t="n">
        <x:f>IF(1031&gt;$B$10,"",MATCH(1031,Tasks!$S$10:$S$1941,0))</x:f>
        <x:v>1395</x:v>
      </x:c>
    </x:row>
    <x:row r="1053" ht="58" customHeight="1">
      <x:c r="B1053" s="86" t="str">
        <x:f>IF($P1053="","",INDEX(Tasks!$B$10:$B$1941,$P1053))</x:f>
        <x:v>Cycle 1</x:v>
      </x:c>
      <x:c r="C1053" s="86" t="str">
        <x:f>IF($P1053="","",INDEX(Tasks!$C$10:$C$1941,$P1053))</x:f>
        <x:v>Phase 1</x:v>
      </x:c>
      <x:c r="D1053" s="86" t="str">
        <x:f>IF($P1053="","",INDEX(Tasks!$D$10:$D$1941,$P1053))</x:f>
        <x:v>Cards</x:v>
      </x:c>
      <x:c r="E1053" s="86"/>
      <x:c r="F1053" s="86" t="str">
        <x:f>IF($P1053="","",INDEX(Tasks!$E$10:$E$1941,$P1053))</x:f>
        <x:v>Design &amp; Insights</x:v>
      </x:c>
      <x:c r="G1053" s="86"/>
      <x:c r="H1053" s="14" t="str">
        <x:f>IF($P1053="","",INDEX(Tasks!$F$10:$F$1941,$P1053)&amp;CHAR(10)&amp;INDEX(Tasks!$G$10:$G$1941,$P1053))</x:f>
        <x:v>DI.CA.1.4
Meet with Research to discuss which topic to select based on potential impact</x:v>
      </x:c>
      <x:c r="I1053" s="14"/>
      <x:c r="J1053" s="14"/>
      <x:c r="K1053" s="14"/>
      <x:c r="L1053" s="86" t="str">
        <x:f>IF($P1053="","",INDEX(Tasks!$N$10:$N$1941,$P1053))</x:f>
        <x:v>Not started</x:v>
      </x:c>
      <x:c r="M1053" s="87" t="n">
        <x:f>IF($P1053="","",INDEX(Tasks!$J$10:$J$1941,$P1053))</x:f>
        <x:v>46112</x:v>
      </x:c>
      <x:c r="N1053" s="85" t="str">
        <x:f>IF($P1053="","",HYPERLINK("#'"&amp;INDEX(Tasks!$T$10:$T$1941,$P1053)&amp;"'!A"&amp;INDEX(Tasks!$U$10:$U$1941,$P1053),"Open"))</x:f>
        <x:v>Open</x:v>
      </x:c>
      <x:c r="O1053" s="14"/>
      <x:c r="P1053" s="14" t="n">
        <x:f>IF(1032&gt;$B$10,"",MATCH(1032,Tasks!$S$10:$S$1941,0))</x:f>
        <x:v>1396</x:v>
      </x:c>
    </x:row>
    <x:row r="1054" ht="58" customHeight="1">
      <x:c r="B1054" s="86" t="str">
        <x:f>IF($P1054="","",INDEX(Tasks!$B$10:$B$1941,$P1054))</x:f>
        <x:v>Cycle 1</x:v>
      </x:c>
      <x:c r="C1054" s="86" t="str">
        <x:f>IF($P1054="","",INDEX(Tasks!$C$10:$C$1941,$P1054))</x:f>
        <x:v>Phase 1</x:v>
      </x:c>
      <x:c r="D1054" s="86" t="str">
        <x:f>IF($P1054="","",INDEX(Tasks!$D$10:$D$1941,$P1054))</x:f>
        <x:v>Cards</x:v>
      </x:c>
      <x:c r="E1054" s="86"/>
      <x:c r="F1054" s="86" t="str">
        <x:f>IF($P1054="","",INDEX(Tasks!$E$10:$E$1941,$P1054))</x:f>
        <x:v>Design &amp; Insights</x:v>
      </x:c>
      <x:c r="G1054" s="86"/>
      <x:c r="H1054" s="14" t="str">
        <x:f>IF($P1054="","",INDEX(Tasks!$F$10:$F$1941,$P1054)&amp;CHAR(10)&amp;INDEX(Tasks!$G$10:$G$1941,$P1054))</x:f>
        <x:v>DI.CA.1.5
Confirm with Research the recommended topic for approval</x:v>
      </x:c>
      <x:c r="I1054" s="14"/>
      <x:c r="J1054" s="14"/>
      <x:c r="K1054" s="14"/>
      <x:c r="L1054" s="86" t="str">
        <x:f>IF($P1054="","",INDEX(Tasks!$N$10:$N$1941,$P1054))</x:f>
        <x:v>Not started</x:v>
      </x:c>
      <x:c r="M1054" s="87" t="n">
        <x:f>IF($P1054="","",INDEX(Tasks!$J$10:$J$1941,$P1054))</x:f>
        <x:v>46112</x:v>
      </x:c>
      <x:c r="N1054" s="85" t="str">
        <x:f>IF($P1054="","",HYPERLINK("#'"&amp;INDEX(Tasks!$T$10:$T$1941,$P1054)&amp;"'!A"&amp;INDEX(Tasks!$U$10:$U$1941,$P1054),"Open"))</x:f>
        <x:v>Open</x:v>
      </x:c>
      <x:c r="O1054" s="14"/>
      <x:c r="P1054" s="14" t="n">
        <x:f>IF(1033&gt;$B$10,"",MATCH(1033,Tasks!$S$10:$S$1941,0))</x:f>
        <x:v>1397</x:v>
      </x:c>
    </x:row>
    <x:row r="1055" ht="58" customHeight="1">
      <x:c r="B1055" s="86" t="str">
        <x:f>IF($P1055="","",INDEX(Tasks!$B$10:$B$1941,$P1055))</x:f>
        <x:v>Cycle 1</x:v>
      </x:c>
      <x:c r="C1055" s="86" t="str">
        <x:f>IF($P1055="","",INDEX(Tasks!$C$10:$C$1941,$P1055))</x:f>
        <x:v>Phase 1</x:v>
      </x:c>
      <x:c r="D1055" s="86" t="str">
        <x:f>IF($P1055="","",INDEX(Tasks!$D$10:$D$1941,$P1055))</x:f>
        <x:v>Cards</x:v>
      </x:c>
      <x:c r="E1055" s="86"/>
      <x:c r="F1055" s="86" t="str">
        <x:f>IF($P1055="","",INDEX(Tasks!$E$10:$E$1941,$P1055))</x:f>
        <x:v>Design &amp; Insights</x:v>
      </x:c>
      <x:c r="G1055" s="86"/>
      <x:c r="H1055" s="14" t="str">
        <x:f>IF($P1055="","",INDEX(Tasks!$F$10:$F$1941,$P1055)&amp;CHAR(10)&amp;INDEX(Tasks!$G$10:$G$1941,$P1055))</x:f>
        <x:v>DI.CA.1.6
Send topic selection socialization email to all key stakeholders on the first day of the review Cycle</x:v>
      </x:c>
      <x:c r="I1055" s="14"/>
      <x:c r="J1055" s="14"/>
      <x:c r="K1055" s="14"/>
      <x:c r="L1055" s="86" t="str">
        <x:f>IF($P1055="","",INDEX(Tasks!$N$10:$N$1941,$P1055))</x:f>
        <x:v>Not started</x:v>
      </x:c>
      <x:c r="M1055" s="87" t="n">
        <x:f>IF($P1055="","",INDEX(Tasks!$J$10:$J$1941,$P1055))</x:f>
        <x:v>46023</x:v>
      </x:c>
      <x:c r="N1055" s="85" t="str">
        <x:f>IF($P1055="","",HYPERLINK("#'"&amp;INDEX(Tasks!$T$10:$T$1941,$P1055)&amp;"'!A"&amp;INDEX(Tasks!$U$10:$U$1941,$P1055),"Open"))</x:f>
        <x:v>Open</x:v>
      </x:c>
      <x:c r="O1055" s="14"/>
      <x:c r="P1055" s="14" t="n">
        <x:f>IF(1034&gt;$B$10,"",MATCH(1034,Tasks!$S$10:$S$1941,0))</x:f>
        <x:v>1398</x:v>
      </x:c>
    </x:row>
    <x:row r="1056" ht="58" customHeight="1">
      <x:c r="B1056" s="86" t="str">
        <x:f>IF($P1056="","",INDEX(Tasks!$B$10:$B$1941,$P1056))</x:f>
        <x:v>Cycle 1</x:v>
      </x:c>
      <x:c r="C1056" s="86" t="str">
        <x:f>IF($P1056="","",INDEX(Tasks!$C$10:$C$1941,$P1056))</x:f>
        <x:v>Phase 2</x:v>
      </x:c>
      <x:c r="D1056" s="86" t="str">
        <x:f>IF($P1056="","",INDEX(Tasks!$D$10:$D$1941,$P1056))</x:f>
        <x:v>Cards</x:v>
      </x:c>
      <x:c r="E1056" s="86"/>
      <x:c r="F1056" s="86" t="str">
        <x:f>IF($P1056="","",INDEX(Tasks!$E$10:$E$1941,$P1056))</x:f>
        <x:v>Design &amp; Insights</x:v>
      </x:c>
      <x:c r="G1056" s="86"/>
      <x:c r="H1056" s="14" t="str">
        <x:f>IF($P1056="","",INDEX(Tasks!$F$10:$F$1941,$P1056)&amp;CHAR(10)&amp;INDEX(Tasks!$G$10:$G$1941,$P1056))</x:f>
        <x:v>DI.CA.2.1
Meet regularly with Research to stay informed on progress, findings, and potential enhancement</x:v>
      </x:c>
      <x:c r="I1056" s="14"/>
      <x:c r="J1056" s="14"/>
      <x:c r="K1056" s="14"/>
      <x:c r="L1056" s="86" t="str">
        <x:f>IF($P1056="","",INDEX(Tasks!$N$10:$N$1941,$P1056))</x:f>
        <x:v>Not started</x:v>
      </x:c>
      <x:c r="M1056" s="87" t="n">
        <x:f>IF($P1056="","",INDEX(Tasks!$J$10:$J$1941,$P1056))</x:f>
        <x:v>46112</x:v>
      </x:c>
      <x:c r="N1056" s="85" t="str">
        <x:f>IF($P1056="","",HYPERLINK("#'"&amp;INDEX(Tasks!$T$10:$T$1941,$P1056)&amp;"'!A"&amp;INDEX(Tasks!$U$10:$U$1941,$P1056),"Open"))</x:f>
        <x:v>Open</x:v>
      </x:c>
      <x:c r="O1056" s="14"/>
      <x:c r="P1056" s="14" t="n">
        <x:f>IF(1035&gt;$B$10,"",MATCH(1035,Tasks!$S$10:$S$1941,0))</x:f>
        <x:v>1399</x:v>
      </x:c>
    </x:row>
    <x:row r="1057" ht="58" customHeight="1">
      <x:c r="B1057" s="86" t="str">
        <x:f>IF($P1057="","",INDEX(Tasks!$B$10:$B$1941,$P1057))</x:f>
        <x:v>Cycle 1</x:v>
      </x:c>
      <x:c r="C1057" s="86" t="str">
        <x:f>IF($P1057="","",INDEX(Tasks!$C$10:$C$1941,$P1057))</x:f>
        <x:v>Phase 2</x:v>
      </x:c>
      <x:c r="D1057" s="86" t="str">
        <x:f>IF($P1057="","",INDEX(Tasks!$D$10:$D$1941,$P1057))</x:f>
        <x:v>Cards</x:v>
      </x:c>
      <x:c r="E1057" s="86"/>
      <x:c r="F1057" s="86" t="str">
        <x:f>IF($P1057="","",INDEX(Tasks!$E$10:$E$1941,$P1057))</x:f>
        <x:v>Design &amp; Insights</x:v>
      </x:c>
      <x:c r="G1057" s="86"/>
      <x:c r="H1057" s="14" t="str">
        <x:f>IF($P1057="","",INDEX(Tasks!$F$10:$F$1941,$P1057)&amp;CHAR(10)&amp;INDEX(Tasks!$G$10:$G$1941,$P1057))</x:f>
        <x:v>DI.CA.2.2
Collaborate with Research on research plan specifics</x:v>
      </x:c>
      <x:c r="I1057" s="14"/>
      <x:c r="J1057" s="14"/>
      <x:c r="K1057" s="14"/>
      <x:c r="L1057" s="86" t="str">
        <x:f>IF($P1057="","",INDEX(Tasks!$N$10:$N$1941,$P1057))</x:f>
        <x:v>Not started</x:v>
      </x:c>
      <x:c r="M1057" s="87" t="n">
        <x:f>IF($P1057="","",INDEX(Tasks!$J$10:$J$1941,$P1057))</x:f>
        <x:v>46112</x:v>
      </x:c>
      <x:c r="N1057" s="85" t="str">
        <x:f>IF($P1057="","",HYPERLINK("#'"&amp;INDEX(Tasks!$T$10:$T$1941,$P1057)&amp;"'!A"&amp;INDEX(Tasks!$U$10:$U$1941,$P1057),"Open"))</x:f>
        <x:v>Open</x:v>
      </x:c>
      <x:c r="O1057" s="14"/>
      <x:c r="P1057" s="14" t="n">
        <x:f>IF(1036&gt;$B$10,"",MATCH(1036,Tasks!$S$10:$S$1941,0))</x:f>
        <x:v>1400</x:v>
      </x:c>
    </x:row>
    <x:row r="1058" ht="58" customHeight="1">
      <x:c r="B1058" s="86" t="str">
        <x:f>IF($P1058="","",INDEX(Tasks!$B$10:$B$1941,$P1058))</x:f>
        <x:v>Cycle 1</x:v>
      </x:c>
      <x:c r="C1058" s="86" t="str">
        <x:f>IF($P1058="","",INDEX(Tasks!$C$10:$C$1941,$P1058))</x:f>
        <x:v>Phase 2</x:v>
      </x:c>
      <x:c r="D1058" s="86" t="str">
        <x:f>IF($P1058="","",INDEX(Tasks!$D$10:$D$1941,$P1058))</x:f>
        <x:v>Cards</x:v>
      </x:c>
      <x:c r="E1058" s="86"/>
      <x:c r="F1058" s="86" t="str">
        <x:f>IF($P1058="","",INDEX(Tasks!$E$10:$E$1941,$P1058))</x:f>
        <x:v>Design &amp; Insights</x:v>
      </x:c>
      <x:c r="G1058" s="86"/>
      <x:c r="H1058" s="14" t="str">
        <x:f>IF($P1058="","",INDEX(Tasks!$F$10:$F$1941,$P1058)&amp;CHAR(10)&amp;INDEX(Tasks!$G$10:$G$1941,$P1058))</x:f>
        <x:v>DI.CA.2.3
Participate in SME insight meetings to gain perspective and appetite on potential enhancements</x:v>
      </x:c>
      <x:c r="I1058" s="14"/>
      <x:c r="J1058" s="14"/>
      <x:c r="K1058" s="14"/>
      <x:c r="L1058" s="86" t="str">
        <x:f>IF($P1058="","",INDEX(Tasks!$N$10:$N$1941,$P1058))</x:f>
        <x:v>Not started</x:v>
      </x:c>
      <x:c r="M1058" s="87" t="n">
        <x:f>IF($P1058="","",INDEX(Tasks!$J$10:$J$1941,$P1058))</x:f>
        <x:v>46112</x:v>
      </x:c>
      <x:c r="N1058" s="85" t="str">
        <x:f>IF($P1058="","",HYPERLINK("#'"&amp;INDEX(Tasks!$T$10:$T$1941,$P1058)&amp;"'!A"&amp;INDEX(Tasks!$U$10:$U$1941,$P1058),"Open"))</x:f>
        <x:v>Open</x:v>
      </x:c>
      <x:c r="O1058" s="14"/>
      <x:c r="P1058" s="14" t="n">
        <x:f>IF(1037&gt;$B$10,"",MATCH(1037,Tasks!$S$10:$S$1941,0))</x:f>
        <x:v>1401</x:v>
      </x:c>
    </x:row>
    <x:row r="1059" ht="58" customHeight="1">
      <x:c r="B1059" s="86" t="str">
        <x:f>IF($P1059="","",INDEX(Tasks!$B$10:$B$1941,$P1059))</x:f>
        <x:v>Cycle 1</x:v>
      </x:c>
      <x:c r="C1059" s="86" t="str">
        <x:f>IF($P1059="","",INDEX(Tasks!$C$10:$C$1941,$P1059))</x:f>
        <x:v>Phase 2</x:v>
      </x:c>
      <x:c r="D1059" s="86" t="str">
        <x:f>IF($P1059="","",INDEX(Tasks!$D$10:$D$1941,$P1059))</x:f>
        <x:v>Cards</x:v>
      </x:c>
      <x:c r="E1059" s="86"/>
      <x:c r="F1059" s="86" t="str">
        <x:f>IF($P1059="","",INDEX(Tasks!$E$10:$E$1941,$P1059))</x:f>
        <x:v>Design &amp; Insights</x:v>
      </x:c>
      <x:c r="G1059" s="86"/>
      <x:c r="H1059" s="14" t="str">
        <x:f>IF($P1059="","",INDEX(Tasks!$F$10:$F$1941,$P1059)&amp;CHAR(10)&amp;INDEX(Tasks!$G$10:$G$1941,$P1059))</x:f>
        <x:v>DI.CA.2.4
Begin development of presentation materials as Research is being completed</x:v>
      </x:c>
      <x:c r="I1059" s="14"/>
      <x:c r="J1059" s="14"/>
      <x:c r="K1059" s="14"/>
      <x:c r="L1059" s="86" t="str">
        <x:f>IF($P1059="","",INDEX(Tasks!$N$10:$N$1941,$P1059))</x:f>
        <x:v>Not started</x:v>
      </x:c>
      <x:c r="M1059" s="87" t="n">
        <x:f>IF($P1059="","",INDEX(Tasks!$J$10:$J$1941,$P1059))</x:f>
        <x:v>46112</x:v>
      </x:c>
      <x:c r="N1059" s="85" t="str">
        <x:f>IF($P1059="","",HYPERLINK("#'"&amp;INDEX(Tasks!$T$10:$T$1941,$P1059)&amp;"'!A"&amp;INDEX(Tasks!$U$10:$U$1941,$P1059),"Open"))</x:f>
        <x:v>Open</x:v>
      </x:c>
      <x:c r="O1059" s="14"/>
      <x:c r="P1059" s="14" t="n">
        <x:f>IF(1038&gt;$B$10,"",MATCH(1038,Tasks!$S$10:$S$1941,0))</x:f>
        <x:v>1402</x:v>
      </x:c>
    </x:row>
    <x:row r="1060" ht="58" customHeight="1">
      <x:c r="B1060" s="86" t="str">
        <x:f>IF($P1060="","",INDEX(Tasks!$B$10:$B$1941,$P1060))</x:f>
        <x:v>Cycle 1</x:v>
      </x:c>
      <x:c r="C1060" s="86" t="str">
        <x:f>IF($P1060="","",INDEX(Tasks!$C$10:$C$1941,$P1060))</x:f>
        <x:v>Phase 2</x:v>
      </x:c>
      <x:c r="D1060" s="86" t="str">
        <x:f>IF($P1060="","",INDEX(Tasks!$D$10:$D$1941,$P1060))</x:f>
        <x:v>Cards</x:v>
      </x:c>
      <x:c r="E1060" s="86"/>
      <x:c r="F1060" s="86" t="str">
        <x:f>IF($P1060="","",INDEX(Tasks!$E$10:$E$1941,$P1060))</x:f>
        <x:v>Design &amp; Insights</x:v>
      </x:c>
      <x:c r="G1060" s="86"/>
      <x:c r="H1060" s="14" t="str">
        <x:f>IF($P1060="","",INDEX(Tasks!$F$10:$F$1941,$P1060)&amp;CHAR(10)&amp;INDEX(Tasks!$G$10:$G$1941,$P1060))</x:f>
        <x:v>DI.CA.2.5
Draft initial enhancement recommendations (as applicable)</x:v>
      </x:c>
      <x:c r="I1060" s="14"/>
      <x:c r="J1060" s="14"/>
      <x:c r="K1060" s="14"/>
      <x:c r="L1060" s="86" t="str">
        <x:f>IF($P1060="","",INDEX(Tasks!$N$10:$N$1941,$P1060))</x:f>
        <x:v>Not started</x:v>
      </x:c>
      <x:c r="M1060" s="87" t="n">
        <x:f>IF($P1060="","",INDEX(Tasks!$J$10:$J$1941,$P1060))</x:f>
        <x:v>46112</x:v>
      </x:c>
      <x:c r="N1060" s="85" t="str">
        <x:f>IF($P1060="","",HYPERLINK("#'"&amp;INDEX(Tasks!$T$10:$T$1941,$P1060)&amp;"'!A"&amp;INDEX(Tasks!$U$10:$U$1941,$P1060),"Open"))</x:f>
        <x:v>Open</x:v>
      </x:c>
      <x:c r="O1060" s="14"/>
      <x:c r="P1060" s="14" t="n">
        <x:f>IF(1039&gt;$B$10,"",MATCH(1039,Tasks!$S$10:$S$1941,0))</x:f>
        <x:v>1403</x:v>
      </x:c>
    </x:row>
    <x:row r="1061" ht="58" customHeight="1">
      <x:c r="B1061" s="86" t="str">
        <x:f>IF($P1061="","",INDEX(Tasks!$B$10:$B$1941,$P1061))</x:f>
        <x:v>Cycle 1</x:v>
      </x:c>
      <x:c r="C1061" s="86" t="str">
        <x:f>IF($P1061="","",INDEX(Tasks!$C$10:$C$1941,$P1061))</x:f>
        <x:v>Phase 2</x:v>
      </x:c>
      <x:c r="D1061" s="86" t="str">
        <x:f>IF($P1061="","",INDEX(Tasks!$D$10:$D$1941,$P1061))</x:f>
        <x:v>Cards</x:v>
      </x:c>
      <x:c r="E1061" s="86"/>
      <x:c r="F1061" s="86" t="str">
        <x:f>IF($P1061="","",INDEX(Tasks!$E$10:$E$1941,$P1061))</x:f>
        <x:v>Design &amp; Insights</x:v>
      </x:c>
      <x:c r="G1061" s="86"/>
      <x:c r="H1061" s="14" t="str">
        <x:f>IF($P1061="","",INDEX(Tasks!$F$10:$F$1941,$P1061)&amp;CHAR(10)&amp;INDEX(Tasks!$G$10:$G$1941,$P1061))</x:f>
        <x:v>DI.CA.2.6
Finalize presentation deck draft at conclusion of Research phase</x:v>
      </x:c>
      <x:c r="I1061" s="14"/>
      <x:c r="J1061" s="14"/>
      <x:c r="K1061" s="14"/>
      <x:c r="L1061" s="86" t="str">
        <x:f>IF($P1061="","",INDEX(Tasks!$N$10:$N$1941,$P1061))</x:f>
        <x:v>Not started</x:v>
      </x:c>
      <x:c r="M1061" s="87" t="n">
        <x:f>IF($P1061="","",INDEX(Tasks!$J$10:$J$1941,$P1061))</x:f>
        <x:v>46112</x:v>
      </x:c>
      <x:c r="N1061" s="85" t="str">
        <x:f>IF($P1061="","",HYPERLINK("#'"&amp;INDEX(Tasks!$T$10:$T$1941,$P1061)&amp;"'!A"&amp;INDEX(Tasks!$U$10:$U$1941,$P1061),"Open"))</x:f>
        <x:v>Open</x:v>
      </x:c>
      <x:c r="O1061" s="14"/>
      <x:c r="P1061" s="14" t="n">
        <x:f>IF(1040&gt;$B$10,"",MATCH(1040,Tasks!$S$10:$S$1941,0))</x:f>
        <x:v>1404</x:v>
      </x:c>
    </x:row>
    <x:row r="1062" ht="58" customHeight="1">
      <x:c r="B1062" s="86" t="str">
        <x:f>IF($P1062="","",INDEX(Tasks!$B$10:$B$1941,$P1062))</x:f>
        <x:v>Cycle 1</x:v>
      </x:c>
      <x:c r="C1062" s="86" t="str">
        <x:f>IF($P1062="","",INDEX(Tasks!$C$10:$C$1941,$P1062))</x:f>
        <x:v>Phase 2</x:v>
      </x:c>
      <x:c r="D1062" s="86" t="str">
        <x:f>IF($P1062="","",INDEX(Tasks!$D$10:$D$1941,$P1062))</x:f>
        <x:v>Cards</x:v>
      </x:c>
      <x:c r="E1062" s="86"/>
      <x:c r="F1062" s="86" t="str">
        <x:f>IF($P1062="","",INDEX(Tasks!$E$10:$E$1941,$P1062))</x:f>
        <x:v>Design &amp; Insights</x:v>
      </x:c>
      <x:c r="G1062" s="86"/>
      <x:c r="H1062" s="14" t="str">
        <x:f>IF($P1062="","",INDEX(Tasks!$F$10:$F$1941,$P1062)&amp;CHAR(10)&amp;INDEX(Tasks!$G$10:$G$1941,$P1062))</x:f>
        <x:v>DI.CA.2.7
Update Outcome portion of research plan with current enhancement verbiage (as needed)</x:v>
      </x:c>
      <x:c r="I1062" s="14"/>
      <x:c r="J1062" s="14"/>
      <x:c r="K1062" s="14"/>
      <x:c r="L1062" s="86" t="str">
        <x:f>IF($P1062="","",INDEX(Tasks!$N$10:$N$1941,$P1062))</x:f>
        <x:v>Not started</x:v>
      </x:c>
      <x:c r="M1062" s="87" t="n">
        <x:f>IF($P1062="","",INDEX(Tasks!$J$10:$J$1941,$P1062))</x:f>
        <x:v>46112</x:v>
      </x:c>
      <x:c r="N1062" s="85" t="str">
        <x:f>IF($P1062="","",HYPERLINK("#'"&amp;INDEX(Tasks!$T$10:$T$1941,$P1062)&amp;"'!A"&amp;INDEX(Tasks!$U$10:$U$1941,$P1062),"Open"))</x:f>
        <x:v>Open</x:v>
      </x:c>
      <x:c r="O1062" s="14"/>
      <x:c r="P1062" s="14" t="n">
        <x:f>IF(1041&gt;$B$10,"",MATCH(1041,Tasks!$S$10:$S$1941,0))</x:f>
        <x:v>1405</x:v>
      </x:c>
    </x:row>
    <x:row r="1063" ht="58" customHeight="1">
      <x:c r="B1063" s="86" t="str">
        <x:f>IF($P1063="","",INDEX(Tasks!$B$10:$B$1941,$P1063))</x:f>
        <x:v>Cycle 1</x:v>
      </x:c>
      <x:c r="C1063" s="86" t="str">
        <x:f>IF($P1063="","",INDEX(Tasks!$C$10:$C$1941,$P1063))</x:f>
        <x:v>Phase 3</x:v>
      </x:c>
      <x:c r="D1063" s="86" t="str">
        <x:f>IF($P1063="","",INDEX(Tasks!$D$10:$D$1941,$P1063))</x:f>
        <x:v>Cards</x:v>
      </x:c>
      <x:c r="E1063" s="86"/>
      <x:c r="F1063" s="86" t="str">
        <x:f>IF($P1063="","",INDEX(Tasks!$E$10:$E$1941,$P1063))</x:f>
        <x:v>Design &amp; Insights</x:v>
      </x:c>
      <x:c r="G1063" s="86"/>
      <x:c r="H1063" s="14" t="str">
        <x:f>IF($P1063="","",INDEX(Tasks!$F$10:$F$1941,$P1063)&amp;CHAR(10)&amp;INDEX(Tasks!$G$10:$G$1941,$P1063))</x:f>
        <x:v>DI.CA.3.1
Confirm list of required &amp; optional attendees for pre-socialization meeting</x:v>
      </x:c>
      <x:c r="I1063" s="14"/>
      <x:c r="J1063" s="14"/>
      <x:c r="K1063" s="14"/>
      <x:c r="L1063" s="86" t="str">
        <x:f>IF($P1063="","",INDEX(Tasks!$N$10:$N$1941,$P1063))</x:f>
        <x:v>Not started</x:v>
      </x:c>
      <x:c r="M1063" s="87" t="n">
        <x:f>IF($P1063="","",INDEX(Tasks!$J$10:$J$1941,$P1063))</x:f>
        <x:v>46112</x:v>
      </x:c>
      <x:c r="N1063" s="85" t="str">
        <x:f>IF($P1063="","",HYPERLINK("#'"&amp;INDEX(Tasks!$T$10:$T$1941,$P1063)&amp;"'!A"&amp;INDEX(Tasks!$U$10:$U$1941,$P1063),"Open"))</x:f>
        <x:v>Open</x:v>
      </x:c>
      <x:c r="O1063" s="14"/>
      <x:c r="P1063" s="14" t="n">
        <x:f>IF(1042&gt;$B$10,"",MATCH(1042,Tasks!$S$10:$S$1941,0))</x:f>
        <x:v>1406</x:v>
      </x:c>
    </x:row>
    <x:row r="1064" ht="58" customHeight="1">
      <x:c r="B1064" s="86" t="str">
        <x:f>IF($P1064="","",INDEX(Tasks!$B$10:$B$1941,$P1064))</x:f>
        <x:v>Cycle 1</x:v>
      </x:c>
      <x:c r="C1064" s="86" t="str">
        <x:f>IF($P1064="","",INDEX(Tasks!$C$10:$C$1941,$P1064))</x:f>
        <x:v>Phase 3</x:v>
      </x:c>
      <x:c r="D1064" s="86" t="str">
        <x:f>IF($P1064="","",INDEX(Tasks!$D$10:$D$1941,$P1064))</x:f>
        <x:v>Cards</x:v>
      </x:c>
      <x:c r="E1064" s="86"/>
      <x:c r="F1064" s="86" t="str">
        <x:f>IF($P1064="","",INDEX(Tasks!$E$10:$E$1941,$P1064))</x:f>
        <x:v>Design &amp; Insights</x:v>
      </x:c>
      <x:c r="G1064" s="86"/>
      <x:c r="H1064" s="14" t="str">
        <x:f>IF($P1064="","",INDEX(Tasks!$F$10:$F$1941,$P1064)&amp;CHAR(10)&amp;INDEX(Tasks!$G$10:$G$1941,$P1064))</x:f>
        <x:v>DI.CA.3.2
Schedule pre-socialization meeting 1 week prior to RCA Forum</x:v>
      </x:c>
      <x:c r="I1064" s="14"/>
      <x:c r="J1064" s="14"/>
      <x:c r="K1064" s="14"/>
      <x:c r="L1064" s="86" t="str">
        <x:f>IF($P1064="","",INDEX(Tasks!$N$10:$N$1941,$P1064))</x:f>
        <x:v>Not started</x:v>
      </x:c>
      <x:c r="M1064" s="87" t="str">
        <x:f>IF($P1064="","",INDEX(Tasks!$J$10:$J$1941,$P1064))</x:f>
      </x:c>
      <x:c r="N1064" s="85" t="str">
        <x:f>IF($P1064="","",HYPERLINK("#'"&amp;INDEX(Tasks!$T$10:$T$1941,$P1064)&amp;"'!A"&amp;INDEX(Tasks!$U$10:$U$1941,$P1064),"Open"))</x:f>
        <x:v>Open</x:v>
      </x:c>
      <x:c r="O1064" s="14"/>
      <x:c r="P1064" s="14" t="n">
        <x:f>IF(1043&gt;$B$10,"",MATCH(1043,Tasks!$S$10:$S$1941,0))</x:f>
        <x:v>1407</x:v>
      </x:c>
    </x:row>
    <x:row r="1065" ht="58" customHeight="1">
      <x:c r="B1065" s="86" t="str">
        <x:f>IF($P1065="","",INDEX(Tasks!$B$10:$B$1941,$P1065))</x:f>
        <x:v>Cycle 1</x:v>
      </x:c>
      <x:c r="C1065" s="86" t="str">
        <x:f>IF($P1065="","",INDEX(Tasks!$C$10:$C$1941,$P1065))</x:f>
        <x:v>Phase 3</x:v>
      </x:c>
      <x:c r="D1065" s="86" t="str">
        <x:f>IF($P1065="","",INDEX(Tasks!$D$10:$D$1941,$P1065))</x:f>
        <x:v>Cards</x:v>
      </x:c>
      <x:c r="E1065" s="86"/>
      <x:c r="F1065" s="86" t="str">
        <x:f>IF($P1065="","",INDEX(Tasks!$E$10:$E$1941,$P1065))</x:f>
        <x:v>Design &amp; Insights</x:v>
      </x:c>
      <x:c r="G1065" s="86"/>
      <x:c r="H1065" s="14" t="str">
        <x:f>IF($P1065="","",INDEX(Tasks!$F$10:$F$1941,$P1065)&amp;CHAR(10)&amp;INDEX(Tasks!$G$10:$G$1941,$P1065))</x:f>
        <x:v>DI.CA.3.3
Present findings, conclusions, and recommendation to SMEs</x:v>
      </x:c>
      <x:c r="I1065" s="14"/>
      <x:c r="J1065" s="14"/>
      <x:c r="K1065" s="14"/>
      <x:c r="L1065" s="86" t="str">
        <x:f>IF($P1065="","",INDEX(Tasks!$N$10:$N$1941,$P1065))</x:f>
        <x:v>Not started</x:v>
      </x:c>
      <x:c r="M1065" s="87" t="n">
        <x:f>IF($P1065="","",INDEX(Tasks!$J$10:$J$1941,$P1065))</x:f>
        <x:v>46112</x:v>
      </x:c>
      <x:c r="N1065" s="85" t="str">
        <x:f>IF($P1065="","",HYPERLINK("#'"&amp;INDEX(Tasks!$T$10:$T$1941,$P1065)&amp;"'!A"&amp;INDEX(Tasks!$U$10:$U$1941,$P1065),"Open"))</x:f>
        <x:v>Open</x:v>
      </x:c>
      <x:c r="O1065" s="14"/>
      <x:c r="P1065" s="14" t="n">
        <x:f>IF(1044&gt;$B$10,"",MATCH(1044,Tasks!$S$10:$S$1941,0))</x:f>
        <x:v>1408</x:v>
      </x:c>
    </x:row>
    <x:row r="1066" ht="58" customHeight="1">
      <x:c r="B1066" s="86" t="str">
        <x:f>IF($P1066="","",INDEX(Tasks!$B$10:$B$1941,$P1066))</x:f>
        <x:v>Cycle 1</x:v>
      </x:c>
      <x:c r="C1066" s="86" t="str">
        <x:f>IF($P1066="","",INDEX(Tasks!$C$10:$C$1941,$P1066))</x:f>
        <x:v>Phase 3</x:v>
      </x:c>
      <x:c r="D1066" s="86" t="str">
        <x:f>IF($P1066="","",INDEX(Tasks!$D$10:$D$1941,$P1066))</x:f>
        <x:v>Cards</x:v>
      </x:c>
      <x:c r="E1066" s="86"/>
      <x:c r="F1066" s="86" t="str">
        <x:f>IF($P1066="","",INDEX(Tasks!$E$10:$E$1941,$P1066))</x:f>
        <x:v>Design &amp; Insights</x:v>
      </x:c>
      <x:c r="G1066" s="86"/>
      <x:c r="H1066" s="14" t="str">
        <x:f>IF($P1066="","",INDEX(Tasks!$F$10:$F$1941,$P1066)&amp;CHAR(10)&amp;INDEX(Tasks!$G$10:$G$1941,$P1066))</x:f>
        <x:v>DI.CA.3.4
Update Outcome portion of research plan (as needed)</x:v>
      </x:c>
      <x:c r="I1066" s="14"/>
      <x:c r="J1066" s="14"/>
      <x:c r="K1066" s="14"/>
      <x:c r="L1066" s="86" t="str">
        <x:f>IF($P1066="","",INDEX(Tasks!$N$10:$N$1941,$P1066))</x:f>
        <x:v>Not started</x:v>
      </x:c>
      <x:c r="M1066" s="87" t="n">
        <x:f>IF($P1066="","",INDEX(Tasks!$J$10:$J$1941,$P1066))</x:f>
        <x:v>46112</x:v>
      </x:c>
      <x:c r="N1066" s="85" t="str">
        <x:f>IF($P1066="","",HYPERLINK("#'"&amp;INDEX(Tasks!$T$10:$T$1941,$P1066)&amp;"'!A"&amp;INDEX(Tasks!$U$10:$U$1941,$P1066),"Open"))</x:f>
        <x:v>Open</x:v>
      </x:c>
      <x:c r="O1066" s="14"/>
      <x:c r="P1066" s="14" t="n">
        <x:f>IF(1045&gt;$B$10,"",MATCH(1045,Tasks!$S$10:$S$1941,0))</x:f>
        <x:v>1409</x:v>
      </x:c>
    </x:row>
    <x:row r="1067" ht="58" customHeight="1">
      <x:c r="B1067" s="86" t="str">
        <x:f>IF($P1067="","",INDEX(Tasks!$B$10:$B$1941,$P1067))</x:f>
        <x:v>Cycle 1</x:v>
      </x:c>
      <x:c r="C1067" s="86" t="str">
        <x:f>IF($P1067="","",INDEX(Tasks!$C$10:$C$1941,$P1067))</x:f>
        <x:v>Phase 3</x:v>
      </x:c>
      <x:c r="D1067" s="86" t="str">
        <x:f>IF($P1067="","",INDEX(Tasks!$D$10:$D$1941,$P1067))</x:f>
        <x:v>Cards</x:v>
      </x:c>
      <x:c r="E1067" s="86"/>
      <x:c r="F1067" s="86" t="str">
        <x:f>IF($P1067="","",INDEX(Tasks!$E$10:$E$1941,$P1067))</x:f>
        <x:v>Design &amp; Insights</x:v>
      </x:c>
      <x:c r="G1067" s="86"/>
      <x:c r="H1067" s="14" t="str">
        <x:f>IF($P1067="","",INDEX(Tasks!$F$10:$F$1941,$P1067)&amp;CHAR(10)&amp;INDEX(Tasks!$G$10:$G$1941,$P1067))</x:f>
        <x:v>DI.CA.3.5
Finalize presentation deck by incorporating pre-socialization feedback (as needed)</x:v>
      </x:c>
      <x:c r="I1067" s="14"/>
      <x:c r="J1067" s="14"/>
      <x:c r="K1067" s="14"/>
      <x:c r="L1067" s="86" t="str">
        <x:f>IF($P1067="","",INDEX(Tasks!$N$10:$N$1941,$P1067))</x:f>
        <x:v>Not started</x:v>
      </x:c>
      <x:c r="M1067" s="87" t="n">
        <x:f>IF($P1067="","",INDEX(Tasks!$J$10:$J$1941,$P1067))</x:f>
        <x:v>46112</x:v>
      </x:c>
      <x:c r="N1067" s="85" t="str">
        <x:f>IF($P1067="","",HYPERLINK("#'"&amp;INDEX(Tasks!$T$10:$T$1941,$P1067)&amp;"'!A"&amp;INDEX(Tasks!$U$10:$U$1941,$P1067),"Open"))</x:f>
        <x:v>Open</x:v>
      </x:c>
      <x:c r="O1067" s="14"/>
      <x:c r="P1067" s="14" t="n">
        <x:f>IF(1046&gt;$B$10,"",MATCH(1046,Tasks!$S$10:$S$1941,0))</x:f>
        <x:v>1410</x:v>
      </x:c>
    </x:row>
    <x:row r="1068" ht="58" customHeight="1">
      <x:c r="B1068" s="86" t="str">
        <x:f>IF($P1068="","",INDEX(Tasks!$B$10:$B$1941,$P1068))</x:f>
        <x:v>Cycle 1</x:v>
      </x:c>
      <x:c r="C1068" s="86" t="str">
        <x:f>IF($P1068="","",INDEX(Tasks!$C$10:$C$1941,$P1068))</x:f>
        <x:v>Phase 3</x:v>
      </x:c>
      <x:c r="D1068" s="86" t="str">
        <x:f>IF($P1068="","",INDEX(Tasks!$D$10:$D$1941,$P1068))</x:f>
        <x:v>Cards</x:v>
      </x:c>
      <x:c r="E1068" s="86"/>
      <x:c r="F1068" s="86" t="str">
        <x:f>IF($P1068="","",INDEX(Tasks!$E$10:$E$1941,$P1068))</x:f>
        <x:v>Design &amp; Insights</x:v>
      </x:c>
      <x:c r="G1068" s="86"/>
      <x:c r="H1068" s="14" t="str">
        <x:f>IF($P1068="","",INDEX(Tasks!$F$10:$F$1941,$P1068)&amp;CHAR(10)&amp;INDEX(Tasks!$G$10:$G$1941,$P1068))</x:f>
        <x:v>DI.CA.3.6
Ensure final deck is communicated to Forum attendees</x:v>
      </x:c>
      <x:c r="I1068" s="14"/>
      <x:c r="J1068" s="14"/>
      <x:c r="K1068" s="14"/>
      <x:c r="L1068" s="86" t="str">
        <x:f>IF($P1068="","",INDEX(Tasks!$N$10:$N$1941,$P1068))</x:f>
        <x:v>Not started</x:v>
      </x:c>
      <x:c r="M1068" s="87" t="n">
        <x:f>IF($P1068="","",INDEX(Tasks!$J$10:$J$1941,$P1068))</x:f>
        <x:v>46112</x:v>
      </x:c>
      <x:c r="N1068" s="85" t="str">
        <x:f>IF($P1068="","",HYPERLINK("#'"&amp;INDEX(Tasks!$T$10:$T$1941,$P1068)&amp;"'!A"&amp;INDEX(Tasks!$U$10:$U$1941,$P1068),"Open"))</x:f>
        <x:v>Open</x:v>
      </x:c>
      <x:c r="O1068" s="14"/>
      <x:c r="P1068" s="14" t="n">
        <x:f>IF(1047&gt;$B$10,"",MATCH(1047,Tasks!$S$10:$S$1941,0))</x:f>
        <x:v>1411</x:v>
      </x:c>
    </x:row>
    <x:row r="1069" ht="58" customHeight="1">
      <x:c r="B1069" s="86" t="str">
        <x:f>IF($P1069="","",INDEX(Tasks!$B$10:$B$1941,$P1069))</x:f>
        <x:v>Cycle 1</x:v>
      </x:c>
      <x:c r="C1069" s="86" t="str">
        <x:f>IF($P1069="","",INDEX(Tasks!$C$10:$C$1941,$P1069))</x:f>
        <x:v>Phase 3</x:v>
      </x:c>
      <x:c r="D1069" s="86" t="str">
        <x:f>IF($P1069="","",INDEX(Tasks!$D$10:$D$1941,$P1069))</x:f>
        <x:v>Cards</x:v>
      </x:c>
      <x:c r="E1069" s="86"/>
      <x:c r="F1069" s="86" t="str">
        <x:f>IF($P1069="","",INDEX(Tasks!$E$10:$E$1941,$P1069))</x:f>
        <x:v>Design &amp; Insights</x:v>
      </x:c>
      <x:c r="G1069" s="86"/>
      <x:c r="H1069" s="14" t="str">
        <x:f>IF($P1069="","",INDEX(Tasks!$F$10:$F$1941,$P1069)&amp;CHAR(10)&amp;INDEX(Tasks!$G$10:$G$1941,$P1069))</x:f>
        <x:v>DI.CA.3.7
Present material in RCA Cycle Forum</x:v>
      </x:c>
      <x:c r="I1069" s="14"/>
      <x:c r="J1069" s="14"/>
      <x:c r="K1069" s="14"/>
      <x:c r="L1069" s="86" t="str">
        <x:f>IF($P1069="","",INDEX(Tasks!$N$10:$N$1941,$P1069))</x:f>
        <x:v>Not started</x:v>
      </x:c>
      <x:c r="M1069" s="87" t="str">
        <x:f>IF($P1069="","",INDEX(Tasks!$J$10:$J$1941,$P1069))</x:f>
      </x:c>
      <x:c r="N1069" s="85" t="str">
        <x:f>IF($P1069="","",HYPERLINK("#'"&amp;INDEX(Tasks!$T$10:$T$1941,$P1069)&amp;"'!A"&amp;INDEX(Tasks!$U$10:$U$1941,$P1069),"Open"))</x:f>
        <x:v>Open</x:v>
      </x:c>
      <x:c r="O1069" s="14"/>
      <x:c r="P1069" s="14" t="n">
        <x:f>IF(1048&gt;$B$10,"",MATCH(1048,Tasks!$S$10:$S$1941,0))</x:f>
        <x:v>1412</x:v>
      </x:c>
    </x:row>
    <x:row r="1070" ht="58" customHeight="1">
      <x:c r="B1070" s="86" t="str">
        <x:f>IF($P1070="","",INDEX(Tasks!$B$10:$B$1941,$P1070))</x:f>
        <x:v>Cycle 1</x:v>
      </x:c>
      <x:c r="C1070" s="86" t="str">
        <x:f>IF($P1070="","",INDEX(Tasks!$C$10:$C$1941,$P1070))</x:f>
        <x:v>Phase 1</x:v>
      </x:c>
      <x:c r="D1070" s="86" t="str">
        <x:f>IF($P1070="","",INDEX(Tasks!$D$10:$D$1941,$P1070))</x:f>
        <x:v>CSBBO - Banking Ops</x:v>
      </x:c>
      <x:c r="E1070" s="86"/>
      <x:c r="F1070" s="86" t="str">
        <x:f>IF($P1070="","",INDEX(Tasks!$E$10:$E$1941,$P1070))</x:f>
        <x:v>Design &amp; Insights</x:v>
      </x:c>
      <x:c r="G1070" s="86"/>
      <x:c r="H1070" s="14" t="str">
        <x:f>IF($P1070="","",INDEX(Tasks!$F$10:$F$1941,$P1070)&amp;CHAR(10)&amp;INDEX(Tasks!$G$10:$G$1941,$P1070))</x:f>
        <x:v>DI.BO.1.1
Receive and review potential research topics at least 2 weeks prior to Cycle start date</x:v>
      </x:c>
      <x:c r="I1070" s="14"/>
      <x:c r="J1070" s="14"/>
      <x:c r="K1070" s="14"/>
      <x:c r="L1070" s="86" t="str">
        <x:f>IF($P1070="","",INDEX(Tasks!$N$10:$N$1941,$P1070))</x:f>
        <x:v>Not started</x:v>
      </x:c>
      <x:c r="M1070" s="87" t="n">
        <x:f>IF($P1070="","",INDEX(Tasks!$J$10:$J$1941,$P1070))</x:f>
        <x:v>46009</x:v>
      </x:c>
      <x:c r="N1070" s="85" t="str">
        <x:f>IF($P1070="","",HYPERLINK("#'"&amp;INDEX(Tasks!$T$10:$T$1941,$P1070)&amp;"'!A"&amp;INDEX(Tasks!$U$10:$U$1941,$P1070),"Open"))</x:f>
        <x:v>Open</x:v>
      </x:c>
      <x:c r="O1070" s="14"/>
      <x:c r="P1070" s="14" t="n">
        <x:f>IF(1049&gt;$B$10,"",MATCH(1049,Tasks!$S$10:$S$1941,0))</x:f>
        <x:v>1413</x:v>
      </x:c>
    </x:row>
    <x:row r="1071" ht="58" customHeight="1">
      <x:c r="B1071" s="86" t="str">
        <x:f>IF($P1071="","",INDEX(Tasks!$B$10:$B$1941,$P1071))</x:f>
        <x:v>Cycle 1</x:v>
      </x:c>
      <x:c r="C1071" s="86" t="str">
        <x:f>IF($P1071="","",INDEX(Tasks!$C$10:$C$1941,$P1071))</x:f>
        <x:v>Phase 1</x:v>
      </x:c>
      <x:c r="D1071" s="86" t="str">
        <x:f>IF($P1071="","",INDEX(Tasks!$D$10:$D$1941,$P1071))</x:f>
        <x:v>CSBBO - Banking Ops</x:v>
      </x:c>
      <x:c r="E1071" s="86"/>
      <x:c r="F1071" s="86" t="str">
        <x:f>IF($P1071="","",INDEX(Tasks!$E$10:$E$1941,$P1071))</x:f>
        <x:v>Design &amp; Insights</x:v>
      </x:c>
      <x:c r="G1071" s="86"/>
      <x:c r="H1071" s="14" t="str">
        <x:f>IF($P1071="","",INDEX(Tasks!$F$10:$F$1941,$P1071)&amp;CHAR(10)&amp;INDEX(Tasks!$G$10:$G$1941,$P1071))</x:f>
        <x:v>DI.BO.1.2
Communicate any feedback on preferences or concerns with topics identified</x:v>
      </x:c>
      <x:c r="I1071" s="14"/>
      <x:c r="J1071" s="14"/>
      <x:c r="K1071" s="14"/>
      <x:c r="L1071" s="86" t="str">
        <x:f>IF($P1071="","",INDEX(Tasks!$N$10:$N$1941,$P1071))</x:f>
        <x:v>Not started</x:v>
      </x:c>
      <x:c r="M1071" s="87" t="n">
        <x:f>IF($P1071="","",INDEX(Tasks!$J$10:$J$1941,$P1071))</x:f>
        <x:v>46112</x:v>
      </x:c>
      <x:c r="N1071" s="85" t="str">
        <x:f>IF($P1071="","",HYPERLINK("#'"&amp;INDEX(Tasks!$T$10:$T$1941,$P1071)&amp;"'!A"&amp;INDEX(Tasks!$U$10:$U$1941,$P1071),"Open"))</x:f>
        <x:v>Open</x:v>
      </x:c>
      <x:c r="O1071" s="14"/>
      <x:c r="P1071" s="14" t="n">
        <x:f>IF(1050&gt;$B$10,"",MATCH(1050,Tasks!$S$10:$S$1941,0))</x:f>
        <x:v>1414</x:v>
      </x:c>
    </x:row>
    <x:row r="1072" ht="58" customHeight="1">
      <x:c r="B1072" s="86" t="str">
        <x:f>IF($P1072="","",INDEX(Tasks!$B$10:$B$1941,$P1072))</x:f>
        <x:v>Cycle 1</x:v>
      </x:c>
      <x:c r="C1072" s="86" t="str">
        <x:f>IF($P1072="","",INDEX(Tasks!$C$10:$C$1941,$P1072))</x:f>
        <x:v>Phase 1</x:v>
      </x:c>
      <x:c r="D1072" s="86" t="str">
        <x:f>IF($P1072="","",INDEX(Tasks!$D$10:$D$1941,$P1072))</x:f>
        <x:v>CSBBO - Banking Ops</x:v>
      </x:c>
      <x:c r="E1072" s="86"/>
      <x:c r="F1072" s="86" t="str">
        <x:f>IF($P1072="","",INDEX(Tasks!$E$10:$E$1941,$P1072))</x:f>
        <x:v>Design &amp; Insights</x:v>
      </x:c>
      <x:c r="G1072" s="86"/>
      <x:c r="H1072" s="14" t="str">
        <x:f>IF($P1072="","",INDEX(Tasks!$F$10:$F$1941,$P1072)&amp;CHAR(10)&amp;INDEX(Tasks!$G$10:$G$1941,$P1072))</x:f>
        <x:v>DI.BO.1.3
Conduct high-level preliminary review of complaints within proposed topics</x:v>
      </x:c>
      <x:c r="I1072" s="14"/>
      <x:c r="J1072" s="14"/>
      <x:c r="K1072" s="14"/>
      <x:c r="L1072" s="86" t="str">
        <x:f>IF($P1072="","",INDEX(Tasks!$N$10:$N$1941,$P1072))</x:f>
        <x:v>Not started</x:v>
      </x:c>
      <x:c r="M1072" s="87" t="n">
        <x:f>IF($P1072="","",INDEX(Tasks!$J$10:$J$1941,$P1072))</x:f>
        <x:v>46112</x:v>
      </x:c>
      <x:c r="N1072" s="85" t="str">
        <x:f>IF($P1072="","",HYPERLINK("#'"&amp;INDEX(Tasks!$T$10:$T$1941,$P1072)&amp;"'!A"&amp;INDEX(Tasks!$U$10:$U$1941,$P1072),"Open"))</x:f>
        <x:v>Open</x:v>
      </x:c>
      <x:c r="O1072" s="14"/>
      <x:c r="P1072" s="14" t="n">
        <x:f>IF(1051&gt;$B$10,"",MATCH(1051,Tasks!$S$10:$S$1941,0))</x:f>
        <x:v>1415</x:v>
      </x:c>
    </x:row>
    <x:row r="1073" ht="58" customHeight="1">
      <x:c r="B1073" s="86" t="str">
        <x:f>IF($P1073="","",INDEX(Tasks!$B$10:$B$1941,$P1073))</x:f>
        <x:v>Cycle 1</x:v>
      </x:c>
      <x:c r="C1073" s="86" t="str">
        <x:f>IF($P1073="","",INDEX(Tasks!$C$10:$C$1941,$P1073))</x:f>
        <x:v>Phase 1</x:v>
      </x:c>
      <x:c r="D1073" s="86" t="str">
        <x:f>IF($P1073="","",INDEX(Tasks!$D$10:$D$1941,$P1073))</x:f>
        <x:v>CSBBO - Banking Ops</x:v>
      </x:c>
      <x:c r="E1073" s="86"/>
      <x:c r="F1073" s="86" t="str">
        <x:f>IF($P1073="","",INDEX(Tasks!$E$10:$E$1941,$P1073))</x:f>
        <x:v>Design &amp; Insights</x:v>
      </x:c>
      <x:c r="G1073" s="86"/>
      <x:c r="H1073" s="14" t="str">
        <x:f>IF($P1073="","",INDEX(Tasks!$F$10:$F$1941,$P1073)&amp;CHAR(10)&amp;INDEX(Tasks!$G$10:$G$1941,$P1073))</x:f>
        <x:v>DI.BO.1.4
Meet with Research to discuss which topic to select based on potential impact</x:v>
      </x:c>
      <x:c r="I1073" s="14"/>
      <x:c r="J1073" s="14"/>
      <x:c r="K1073" s="14"/>
      <x:c r="L1073" s="86" t="str">
        <x:f>IF($P1073="","",INDEX(Tasks!$N$10:$N$1941,$P1073))</x:f>
        <x:v>Not started</x:v>
      </x:c>
      <x:c r="M1073" s="87" t="n">
        <x:f>IF($P1073="","",INDEX(Tasks!$J$10:$J$1941,$P1073))</x:f>
        <x:v>46112</x:v>
      </x:c>
      <x:c r="N1073" s="85" t="str">
        <x:f>IF($P1073="","",HYPERLINK("#'"&amp;INDEX(Tasks!$T$10:$T$1941,$P1073)&amp;"'!A"&amp;INDEX(Tasks!$U$10:$U$1941,$P1073),"Open"))</x:f>
        <x:v>Open</x:v>
      </x:c>
      <x:c r="O1073" s="14"/>
      <x:c r="P1073" s="14" t="n">
        <x:f>IF(1052&gt;$B$10,"",MATCH(1052,Tasks!$S$10:$S$1941,0))</x:f>
        <x:v>1416</x:v>
      </x:c>
    </x:row>
    <x:row r="1074" ht="58" customHeight="1">
      <x:c r="B1074" s="86" t="str">
        <x:f>IF($P1074="","",INDEX(Tasks!$B$10:$B$1941,$P1074))</x:f>
        <x:v>Cycle 1</x:v>
      </x:c>
      <x:c r="C1074" s="86" t="str">
        <x:f>IF($P1074="","",INDEX(Tasks!$C$10:$C$1941,$P1074))</x:f>
        <x:v>Phase 1</x:v>
      </x:c>
      <x:c r="D1074" s="86" t="str">
        <x:f>IF($P1074="","",INDEX(Tasks!$D$10:$D$1941,$P1074))</x:f>
        <x:v>CSBBO - Banking Ops</x:v>
      </x:c>
      <x:c r="E1074" s="86"/>
      <x:c r="F1074" s="86" t="str">
        <x:f>IF($P1074="","",INDEX(Tasks!$E$10:$E$1941,$P1074))</x:f>
        <x:v>Design &amp; Insights</x:v>
      </x:c>
      <x:c r="G1074" s="86"/>
      <x:c r="H1074" s="14" t="str">
        <x:f>IF($P1074="","",INDEX(Tasks!$F$10:$F$1941,$P1074)&amp;CHAR(10)&amp;INDEX(Tasks!$G$10:$G$1941,$P1074))</x:f>
        <x:v>DI.BO.1.5
Confirm with Research the recommended topic for approval</x:v>
      </x:c>
      <x:c r="I1074" s="14"/>
      <x:c r="J1074" s="14"/>
      <x:c r="K1074" s="14"/>
      <x:c r="L1074" s="86" t="str">
        <x:f>IF($P1074="","",INDEX(Tasks!$N$10:$N$1941,$P1074))</x:f>
        <x:v>Not started</x:v>
      </x:c>
      <x:c r="M1074" s="87" t="n">
        <x:f>IF($P1074="","",INDEX(Tasks!$J$10:$J$1941,$P1074))</x:f>
        <x:v>46112</x:v>
      </x:c>
      <x:c r="N1074" s="85" t="str">
        <x:f>IF($P1074="","",HYPERLINK("#'"&amp;INDEX(Tasks!$T$10:$T$1941,$P1074)&amp;"'!A"&amp;INDEX(Tasks!$U$10:$U$1941,$P1074),"Open"))</x:f>
        <x:v>Open</x:v>
      </x:c>
      <x:c r="O1074" s="14"/>
      <x:c r="P1074" s="14" t="n">
        <x:f>IF(1053&gt;$B$10,"",MATCH(1053,Tasks!$S$10:$S$1941,0))</x:f>
        <x:v>1417</x:v>
      </x:c>
    </x:row>
    <x:row r="1075" ht="58" customHeight="1">
      <x:c r="B1075" s="86" t="str">
        <x:f>IF($P1075="","",INDEX(Tasks!$B$10:$B$1941,$P1075))</x:f>
        <x:v>Cycle 1</x:v>
      </x:c>
      <x:c r="C1075" s="86" t="str">
        <x:f>IF($P1075="","",INDEX(Tasks!$C$10:$C$1941,$P1075))</x:f>
        <x:v>Phase 1</x:v>
      </x:c>
      <x:c r="D1075" s="86" t="str">
        <x:f>IF($P1075="","",INDEX(Tasks!$D$10:$D$1941,$P1075))</x:f>
        <x:v>CSBBO - Banking Ops</x:v>
      </x:c>
      <x:c r="E1075" s="86"/>
      <x:c r="F1075" s="86" t="str">
        <x:f>IF($P1075="","",INDEX(Tasks!$E$10:$E$1941,$P1075))</x:f>
        <x:v>Design &amp; Insights</x:v>
      </x:c>
      <x:c r="G1075" s="86"/>
      <x:c r="H1075" s="14" t="str">
        <x:f>IF($P1075="","",INDEX(Tasks!$F$10:$F$1941,$P1075)&amp;CHAR(10)&amp;INDEX(Tasks!$G$10:$G$1941,$P1075))</x:f>
        <x:v>DI.BO.1.6
Send topic selection socialization email to all key stakeholders on the first day of the review Cycle</x:v>
      </x:c>
      <x:c r="I1075" s="14"/>
      <x:c r="J1075" s="14"/>
      <x:c r="K1075" s="14"/>
      <x:c r="L1075" s="86" t="str">
        <x:f>IF($P1075="","",INDEX(Tasks!$N$10:$N$1941,$P1075))</x:f>
        <x:v>Not started</x:v>
      </x:c>
      <x:c r="M1075" s="87" t="n">
        <x:f>IF($P1075="","",INDEX(Tasks!$J$10:$J$1941,$P1075))</x:f>
        <x:v>46023</x:v>
      </x:c>
      <x:c r="N1075" s="85" t="str">
        <x:f>IF($P1075="","",HYPERLINK("#'"&amp;INDEX(Tasks!$T$10:$T$1941,$P1075)&amp;"'!A"&amp;INDEX(Tasks!$U$10:$U$1941,$P1075),"Open"))</x:f>
        <x:v>Open</x:v>
      </x:c>
      <x:c r="O1075" s="14"/>
      <x:c r="P1075" s="14" t="n">
        <x:f>IF(1054&gt;$B$10,"",MATCH(1054,Tasks!$S$10:$S$1941,0))</x:f>
        <x:v>1418</x:v>
      </x:c>
    </x:row>
    <x:row r="1076" ht="58" customHeight="1">
      <x:c r="B1076" s="86" t="str">
        <x:f>IF($P1076="","",INDEX(Tasks!$B$10:$B$1941,$P1076))</x:f>
        <x:v>Cycle 1</x:v>
      </x:c>
      <x:c r="C1076" s="86" t="str">
        <x:f>IF($P1076="","",INDEX(Tasks!$C$10:$C$1941,$P1076))</x:f>
        <x:v>Phase 2</x:v>
      </x:c>
      <x:c r="D1076" s="86" t="str">
        <x:f>IF($P1076="","",INDEX(Tasks!$D$10:$D$1941,$P1076))</x:f>
        <x:v>CSBBO - Banking Ops</x:v>
      </x:c>
      <x:c r="E1076" s="86"/>
      <x:c r="F1076" s="86" t="str">
        <x:f>IF($P1076="","",INDEX(Tasks!$E$10:$E$1941,$P1076))</x:f>
        <x:v>Design &amp; Insights</x:v>
      </x:c>
      <x:c r="G1076" s="86"/>
      <x:c r="H1076" s="14" t="str">
        <x:f>IF($P1076="","",INDEX(Tasks!$F$10:$F$1941,$P1076)&amp;CHAR(10)&amp;INDEX(Tasks!$G$10:$G$1941,$P1076))</x:f>
        <x:v>DI.BO.2.1
Meet regularly with Research to stay informed on progress, findings, and potential enhancement</x:v>
      </x:c>
      <x:c r="I1076" s="14"/>
      <x:c r="J1076" s="14"/>
      <x:c r="K1076" s="14"/>
      <x:c r="L1076" s="86" t="str">
        <x:f>IF($P1076="","",INDEX(Tasks!$N$10:$N$1941,$P1076))</x:f>
        <x:v>Not started</x:v>
      </x:c>
      <x:c r="M1076" s="87" t="n">
        <x:f>IF($P1076="","",INDEX(Tasks!$J$10:$J$1941,$P1076))</x:f>
        <x:v>46112</x:v>
      </x:c>
      <x:c r="N1076" s="85" t="str">
        <x:f>IF($P1076="","",HYPERLINK("#'"&amp;INDEX(Tasks!$T$10:$T$1941,$P1076)&amp;"'!A"&amp;INDEX(Tasks!$U$10:$U$1941,$P1076),"Open"))</x:f>
        <x:v>Open</x:v>
      </x:c>
      <x:c r="O1076" s="14"/>
      <x:c r="P1076" s="14" t="n">
        <x:f>IF(1055&gt;$B$10,"",MATCH(1055,Tasks!$S$10:$S$1941,0))</x:f>
        <x:v>1419</x:v>
      </x:c>
    </x:row>
    <x:row r="1077" ht="58" customHeight="1">
      <x:c r="B1077" s="86" t="str">
        <x:f>IF($P1077="","",INDEX(Tasks!$B$10:$B$1941,$P1077))</x:f>
        <x:v>Cycle 1</x:v>
      </x:c>
      <x:c r="C1077" s="86" t="str">
        <x:f>IF($P1077="","",INDEX(Tasks!$C$10:$C$1941,$P1077))</x:f>
        <x:v>Phase 2</x:v>
      </x:c>
      <x:c r="D1077" s="86" t="str">
        <x:f>IF($P1077="","",INDEX(Tasks!$D$10:$D$1941,$P1077))</x:f>
        <x:v>CSBBO - Banking Ops</x:v>
      </x:c>
      <x:c r="E1077" s="86"/>
      <x:c r="F1077" s="86" t="str">
        <x:f>IF($P1077="","",INDEX(Tasks!$E$10:$E$1941,$P1077))</x:f>
        <x:v>Design &amp; Insights</x:v>
      </x:c>
      <x:c r="G1077" s="86"/>
      <x:c r="H1077" s="14" t="str">
        <x:f>IF($P1077="","",INDEX(Tasks!$F$10:$F$1941,$P1077)&amp;CHAR(10)&amp;INDEX(Tasks!$G$10:$G$1941,$P1077))</x:f>
        <x:v>DI.BO.2.2
Collaborate with Research on research plan specifics</x:v>
      </x:c>
      <x:c r="I1077" s="14"/>
      <x:c r="J1077" s="14"/>
      <x:c r="K1077" s="14"/>
      <x:c r="L1077" s="86" t="str">
        <x:f>IF($P1077="","",INDEX(Tasks!$N$10:$N$1941,$P1077))</x:f>
        <x:v>Not started</x:v>
      </x:c>
      <x:c r="M1077" s="87" t="n">
        <x:f>IF($P1077="","",INDEX(Tasks!$J$10:$J$1941,$P1077))</x:f>
        <x:v>46112</x:v>
      </x:c>
      <x:c r="N1077" s="85" t="str">
        <x:f>IF($P1077="","",HYPERLINK("#'"&amp;INDEX(Tasks!$T$10:$T$1941,$P1077)&amp;"'!A"&amp;INDEX(Tasks!$U$10:$U$1941,$P1077),"Open"))</x:f>
        <x:v>Open</x:v>
      </x:c>
      <x:c r="O1077" s="14"/>
      <x:c r="P1077" s="14" t="n">
        <x:f>IF(1056&gt;$B$10,"",MATCH(1056,Tasks!$S$10:$S$1941,0))</x:f>
        <x:v>1420</x:v>
      </x:c>
    </x:row>
    <x:row r="1078" ht="58" customHeight="1">
      <x:c r="B1078" s="86" t="str">
        <x:f>IF($P1078="","",INDEX(Tasks!$B$10:$B$1941,$P1078))</x:f>
        <x:v>Cycle 1</x:v>
      </x:c>
      <x:c r="C1078" s="86" t="str">
        <x:f>IF($P1078="","",INDEX(Tasks!$C$10:$C$1941,$P1078))</x:f>
        <x:v>Phase 2</x:v>
      </x:c>
      <x:c r="D1078" s="86" t="str">
        <x:f>IF($P1078="","",INDEX(Tasks!$D$10:$D$1941,$P1078))</x:f>
        <x:v>CSBBO - Banking Ops</x:v>
      </x:c>
      <x:c r="E1078" s="86"/>
      <x:c r="F1078" s="86" t="str">
        <x:f>IF($P1078="","",INDEX(Tasks!$E$10:$E$1941,$P1078))</x:f>
        <x:v>Design &amp; Insights</x:v>
      </x:c>
      <x:c r="G1078" s="86"/>
      <x:c r="H1078" s="14" t="str">
        <x:f>IF($P1078="","",INDEX(Tasks!$F$10:$F$1941,$P1078)&amp;CHAR(10)&amp;INDEX(Tasks!$G$10:$G$1941,$P1078))</x:f>
        <x:v>DI.BO.2.3
Participate in SME insight meetings to gain perspective and appetite on potential enhancements</x:v>
      </x:c>
      <x:c r="I1078" s="14"/>
      <x:c r="J1078" s="14"/>
      <x:c r="K1078" s="14"/>
      <x:c r="L1078" s="86" t="str">
        <x:f>IF($P1078="","",INDEX(Tasks!$N$10:$N$1941,$P1078))</x:f>
        <x:v>Not started</x:v>
      </x:c>
      <x:c r="M1078" s="87" t="n">
        <x:f>IF($P1078="","",INDEX(Tasks!$J$10:$J$1941,$P1078))</x:f>
        <x:v>46112</x:v>
      </x:c>
      <x:c r="N1078" s="85" t="str">
        <x:f>IF($P1078="","",HYPERLINK("#'"&amp;INDEX(Tasks!$T$10:$T$1941,$P1078)&amp;"'!A"&amp;INDEX(Tasks!$U$10:$U$1941,$P1078),"Open"))</x:f>
        <x:v>Open</x:v>
      </x:c>
      <x:c r="O1078" s="14"/>
      <x:c r="P1078" s="14" t="n">
        <x:f>IF(1057&gt;$B$10,"",MATCH(1057,Tasks!$S$10:$S$1941,0))</x:f>
        <x:v>1421</x:v>
      </x:c>
    </x:row>
    <x:row r="1079" ht="58" customHeight="1">
      <x:c r="B1079" s="86" t="str">
        <x:f>IF($P1079="","",INDEX(Tasks!$B$10:$B$1941,$P1079))</x:f>
        <x:v>Cycle 1</x:v>
      </x:c>
      <x:c r="C1079" s="86" t="str">
        <x:f>IF($P1079="","",INDEX(Tasks!$C$10:$C$1941,$P1079))</x:f>
        <x:v>Phase 2</x:v>
      </x:c>
      <x:c r="D1079" s="86" t="str">
        <x:f>IF($P1079="","",INDEX(Tasks!$D$10:$D$1941,$P1079))</x:f>
        <x:v>CSBBO - Banking Ops</x:v>
      </x:c>
      <x:c r="E1079" s="86"/>
      <x:c r="F1079" s="86" t="str">
        <x:f>IF($P1079="","",INDEX(Tasks!$E$10:$E$1941,$P1079))</x:f>
        <x:v>Design &amp; Insights</x:v>
      </x:c>
      <x:c r="G1079" s="86"/>
      <x:c r="H1079" s="14" t="str">
        <x:f>IF($P1079="","",INDEX(Tasks!$F$10:$F$1941,$P1079)&amp;CHAR(10)&amp;INDEX(Tasks!$G$10:$G$1941,$P1079))</x:f>
        <x:v>DI.BO.2.4
Begin development of presentation materials as Research is being completed</x:v>
      </x:c>
      <x:c r="I1079" s="14"/>
      <x:c r="J1079" s="14"/>
      <x:c r="K1079" s="14"/>
      <x:c r="L1079" s="86" t="str">
        <x:f>IF($P1079="","",INDEX(Tasks!$N$10:$N$1941,$P1079))</x:f>
        <x:v>Not started</x:v>
      </x:c>
      <x:c r="M1079" s="87" t="n">
        <x:f>IF($P1079="","",INDEX(Tasks!$J$10:$J$1941,$P1079))</x:f>
        <x:v>46112</x:v>
      </x:c>
      <x:c r="N1079" s="85" t="str">
        <x:f>IF($P1079="","",HYPERLINK("#'"&amp;INDEX(Tasks!$T$10:$T$1941,$P1079)&amp;"'!A"&amp;INDEX(Tasks!$U$10:$U$1941,$P1079),"Open"))</x:f>
        <x:v>Open</x:v>
      </x:c>
      <x:c r="O1079" s="14"/>
      <x:c r="P1079" s="14" t="n">
        <x:f>IF(1058&gt;$B$10,"",MATCH(1058,Tasks!$S$10:$S$1941,0))</x:f>
        <x:v>1422</x:v>
      </x:c>
    </x:row>
    <x:row r="1080" ht="58" customHeight="1">
      <x:c r="B1080" s="86" t="str">
        <x:f>IF($P1080="","",INDEX(Tasks!$B$10:$B$1941,$P1080))</x:f>
        <x:v>Cycle 1</x:v>
      </x:c>
      <x:c r="C1080" s="86" t="str">
        <x:f>IF($P1080="","",INDEX(Tasks!$C$10:$C$1941,$P1080))</x:f>
        <x:v>Phase 2</x:v>
      </x:c>
      <x:c r="D1080" s="86" t="str">
        <x:f>IF($P1080="","",INDEX(Tasks!$D$10:$D$1941,$P1080))</x:f>
        <x:v>CSBBO - Banking Ops</x:v>
      </x:c>
      <x:c r="E1080" s="86"/>
      <x:c r="F1080" s="86" t="str">
        <x:f>IF($P1080="","",INDEX(Tasks!$E$10:$E$1941,$P1080))</x:f>
        <x:v>Design &amp; Insights</x:v>
      </x:c>
      <x:c r="G1080" s="86"/>
      <x:c r="H1080" s="14" t="str">
        <x:f>IF($P1080="","",INDEX(Tasks!$F$10:$F$1941,$P1080)&amp;CHAR(10)&amp;INDEX(Tasks!$G$10:$G$1941,$P1080))</x:f>
        <x:v>DI.BO.2.5
Draft initial enhancement recommendations (as applicable)</x:v>
      </x:c>
      <x:c r="I1080" s="14"/>
      <x:c r="J1080" s="14"/>
      <x:c r="K1080" s="14"/>
      <x:c r="L1080" s="86" t="str">
        <x:f>IF($P1080="","",INDEX(Tasks!$N$10:$N$1941,$P1080))</x:f>
        <x:v>Not started</x:v>
      </x:c>
      <x:c r="M1080" s="87" t="n">
        <x:f>IF($P1080="","",INDEX(Tasks!$J$10:$J$1941,$P1080))</x:f>
        <x:v>46112</x:v>
      </x:c>
      <x:c r="N1080" s="85" t="str">
        <x:f>IF($P1080="","",HYPERLINK("#'"&amp;INDEX(Tasks!$T$10:$T$1941,$P1080)&amp;"'!A"&amp;INDEX(Tasks!$U$10:$U$1941,$P1080),"Open"))</x:f>
        <x:v>Open</x:v>
      </x:c>
      <x:c r="O1080" s="14"/>
      <x:c r="P1080" s="14" t="n">
        <x:f>IF(1059&gt;$B$10,"",MATCH(1059,Tasks!$S$10:$S$1941,0))</x:f>
        <x:v>1423</x:v>
      </x:c>
    </x:row>
    <x:row r="1081" ht="58" customHeight="1">
      <x:c r="B1081" s="86" t="str">
        <x:f>IF($P1081="","",INDEX(Tasks!$B$10:$B$1941,$P1081))</x:f>
        <x:v>Cycle 1</x:v>
      </x:c>
      <x:c r="C1081" s="86" t="str">
        <x:f>IF($P1081="","",INDEX(Tasks!$C$10:$C$1941,$P1081))</x:f>
        <x:v>Phase 2</x:v>
      </x:c>
      <x:c r="D1081" s="86" t="str">
        <x:f>IF($P1081="","",INDEX(Tasks!$D$10:$D$1941,$P1081))</x:f>
        <x:v>CSBBO - Banking Ops</x:v>
      </x:c>
      <x:c r="E1081" s="86"/>
      <x:c r="F1081" s="86" t="str">
        <x:f>IF($P1081="","",INDEX(Tasks!$E$10:$E$1941,$P1081))</x:f>
        <x:v>Design &amp; Insights</x:v>
      </x:c>
      <x:c r="G1081" s="86"/>
      <x:c r="H1081" s="14" t="str">
        <x:f>IF($P1081="","",INDEX(Tasks!$F$10:$F$1941,$P1081)&amp;CHAR(10)&amp;INDEX(Tasks!$G$10:$G$1941,$P1081))</x:f>
        <x:v>DI.BO.2.6
Finalize presentation deck draft at conclusion of Research phase</x:v>
      </x:c>
      <x:c r="I1081" s="14"/>
      <x:c r="J1081" s="14"/>
      <x:c r="K1081" s="14"/>
      <x:c r="L1081" s="86" t="str">
        <x:f>IF($P1081="","",INDEX(Tasks!$N$10:$N$1941,$P1081))</x:f>
        <x:v>Not started</x:v>
      </x:c>
      <x:c r="M1081" s="87" t="n">
        <x:f>IF($P1081="","",INDEX(Tasks!$J$10:$J$1941,$P1081))</x:f>
        <x:v>46112</x:v>
      </x:c>
      <x:c r="N1081" s="85" t="str">
        <x:f>IF($P1081="","",HYPERLINK("#'"&amp;INDEX(Tasks!$T$10:$T$1941,$P1081)&amp;"'!A"&amp;INDEX(Tasks!$U$10:$U$1941,$P1081),"Open"))</x:f>
        <x:v>Open</x:v>
      </x:c>
      <x:c r="O1081" s="14"/>
      <x:c r="P1081" s="14" t="n">
        <x:f>IF(1060&gt;$B$10,"",MATCH(1060,Tasks!$S$10:$S$1941,0))</x:f>
        <x:v>1424</x:v>
      </x:c>
    </x:row>
    <x:row r="1082" ht="58" customHeight="1">
      <x:c r="B1082" s="86" t="str">
        <x:f>IF($P1082="","",INDEX(Tasks!$B$10:$B$1941,$P1082))</x:f>
        <x:v>Cycle 1</x:v>
      </x:c>
      <x:c r="C1082" s="86" t="str">
        <x:f>IF($P1082="","",INDEX(Tasks!$C$10:$C$1941,$P1082))</x:f>
        <x:v>Phase 2</x:v>
      </x:c>
      <x:c r="D1082" s="86" t="str">
        <x:f>IF($P1082="","",INDEX(Tasks!$D$10:$D$1941,$P1082))</x:f>
        <x:v>CSBBO - Banking Ops</x:v>
      </x:c>
      <x:c r="E1082" s="86"/>
      <x:c r="F1082" s="86" t="str">
        <x:f>IF($P1082="","",INDEX(Tasks!$E$10:$E$1941,$P1082))</x:f>
        <x:v>Design &amp; Insights</x:v>
      </x:c>
      <x:c r="G1082" s="86"/>
      <x:c r="H1082" s="14" t="str">
        <x:f>IF($P1082="","",INDEX(Tasks!$F$10:$F$1941,$P1082)&amp;CHAR(10)&amp;INDEX(Tasks!$G$10:$G$1941,$P1082))</x:f>
        <x:v>DI.BO.2.7
Update Outcome portion of research plan with current enhancement verbiage (as needed)</x:v>
      </x:c>
      <x:c r="I1082" s="14"/>
      <x:c r="J1082" s="14"/>
      <x:c r="K1082" s="14"/>
      <x:c r="L1082" s="86" t="str">
        <x:f>IF($P1082="","",INDEX(Tasks!$N$10:$N$1941,$P1082))</x:f>
        <x:v>Not started</x:v>
      </x:c>
      <x:c r="M1082" s="87" t="n">
        <x:f>IF($P1082="","",INDEX(Tasks!$J$10:$J$1941,$P1082))</x:f>
        <x:v>46112</x:v>
      </x:c>
      <x:c r="N1082" s="85" t="str">
        <x:f>IF($P1082="","",HYPERLINK("#'"&amp;INDEX(Tasks!$T$10:$T$1941,$P1082)&amp;"'!A"&amp;INDEX(Tasks!$U$10:$U$1941,$P1082),"Open"))</x:f>
        <x:v>Open</x:v>
      </x:c>
      <x:c r="O1082" s="14"/>
      <x:c r="P1082" s="14" t="n">
        <x:f>IF(1061&gt;$B$10,"",MATCH(1061,Tasks!$S$10:$S$1941,0))</x:f>
        <x:v>1425</x:v>
      </x:c>
    </x:row>
    <x:row r="1083" ht="58" customHeight="1">
      <x:c r="B1083" s="86" t="str">
        <x:f>IF($P1083="","",INDEX(Tasks!$B$10:$B$1941,$P1083))</x:f>
        <x:v>Cycle 1</x:v>
      </x:c>
      <x:c r="C1083" s="86" t="str">
        <x:f>IF($P1083="","",INDEX(Tasks!$C$10:$C$1941,$P1083))</x:f>
        <x:v>Phase 3</x:v>
      </x:c>
      <x:c r="D1083" s="86" t="str">
        <x:f>IF($P1083="","",INDEX(Tasks!$D$10:$D$1941,$P1083))</x:f>
        <x:v>CSBBO - Banking Ops</x:v>
      </x:c>
      <x:c r="E1083" s="86"/>
      <x:c r="F1083" s="86" t="str">
        <x:f>IF($P1083="","",INDEX(Tasks!$E$10:$E$1941,$P1083))</x:f>
        <x:v>Design &amp; Insights</x:v>
      </x:c>
      <x:c r="G1083" s="86"/>
      <x:c r="H1083" s="14" t="str">
        <x:f>IF($P1083="","",INDEX(Tasks!$F$10:$F$1941,$P1083)&amp;CHAR(10)&amp;INDEX(Tasks!$G$10:$G$1941,$P1083))</x:f>
        <x:v>DI.BO.3.1
Confirm list of required &amp; optional attendees for pre-socialization meeting</x:v>
      </x:c>
      <x:c r="I1083" s="14"/>
      <x:c r="J1083" s="14"/>
      <x:c r="K1083" s="14"/>
      <x:c r="L1083" s="86" t="str">
        <x:f>IF($P1083="","",INDEX(Tasks!$N$10:$N$1941,$P1083))</x:f>
        <x:v>Not started</x:v>
      </x:c>
      <x:c r="M1083" s="87" t="n">
        <x:f>IF($P1083="","",INDEX(Tasks!$J$10:$J$1941,$P1083))</x:f>
        <x:v>46112</x:v>
      </x:c>
      <x:c r="N1083" s="85" t="str">
        <x:f>IF($P1083="","",HYPERLINK("#'"&amp;INDEX(Tasks!$T$10:$T$1941,$P1083)&amp;"'!A"&amp;INDEX(Tasks!$U$10:$U$1941,$P1083),"Open"))</x:f>
        <x:v>Open</x:v>
      </x:c>
      <x:c r="O1083" s="14"/>
      <x:c r="P1083" s="14" t="n">
        <x:f>IF(1062&gt;$B$10,"",MATCH(1062,Tasks!$S$10:$S$1941,0))</x:f>
        <x:v>1426</x:v>
      </x:c>
    </x:row>
    <x:row r="1084" ht="58" customHeight="1">
      <x:c r="B1084" s="86" t="str">
        <x:f>IF($P1084="","",INDEX(Tasks!$B$10:$B$1941,$P1084))</x:f>
        <x:v>Cycle 1</x:v>
      </x:c>
      <x:c r="C1084" s="86" t="str">
        <x:f>IF($P1084="","",INDEX(Tasks!$C$10:$C$1941,$P1084))</x:f>
        <x:v>Phase 3</x:v>
      </x:c>
      <x:c r="D1084" s="86" t="str">
        <x:f>IF($P1084="","",INDEX(Tasks!$D$10:$D$1941,$P1084))</x:f>
        <x:v>CSBBO - Banking Ops</x:v>
      </x:c>
      <x:c r="E1084" s="86"/>
      <x:c r="F1084" s="86" t="str">
        <x:f>IF($P1084="","",INDEX(Tasks!$E$10:$E$1941,$P1084))</x:f>
        <x:v>Design &amp; Insights</x:v>
      </x:c>
      <x:c r="G1084" s="86"/>
      <x:c r="H1084" s="14" t="str">
        <x:f>IF($P1084="","",INDEX(Tasks!$F$10:$F$1941,$P1084)&amp;CHAR(10)&amp;INDEX(Tasks!$G$10:$G$1941,$P1084))</x:f>
        <x:v>DI.BO.3.2
Schedule pre-socialization meeting 1 week prior to RCA Forum</x:v>
      </x:c>
      <x:c r="I1084" s="14"/>
      <x:c r="J1084" s="14"/>
      <x:c r="K1084" s="14"/>
      <x:c r="L1084" s="86" t="str">
        <x:f>IF($P1084="","",INDEX(Tasks!$N$10:$N$1941,$P1084))</x:f>
        <x:v>Not started</x:v>
      </x:c>
      <x:c r="M1084" s="87" t="str">
        <x:f>IF($P1084="","",INDEX(Tasks!$J$10:$J$1941,$P1084))</x:f>
      </x:c>
      <x:c r="N1084" s="85" t="str">
        <x:f>IF($P1084="","",HYPERLINK("#'"&amp;INDEX(Tasks!$T$10:$T$1941,$P1084)&amp;"'!A"&amp;INDEX(Tasks!$U$10:$U$1941,$P1084),"Open"))</x:f>
        <x:v>Open</x:v>
      </x:c>
      <x:c r="O1084" s="14"/>
      <x:c r="P1084" s="14" t="n">
        <x:f>IF(1063&gt;$B$10,"",MATCH(1063,Tasks!$S$10:$S$1941,0))</x:f>
        <x:v>1427</x:v>
      </x:c>
    </x:row>
    <x:row r="1085" ht="58" customHeight="1">
      <x:c r="B1085" s="86" t="str">
        <x:f>IF($P1085="","",INDEX(Tasks!$B$10:$B$1941,$P1085))</x:f>
        <x:v>Cycle 1</x:v>
      </x:c>
      <x:c r="C1085" s="86" t="str">
        <x:f>IF($P1085="","",INDEX(Tasks!$C$10:$C$1941,$P1085))</x:f>
        <x:v>Phase 3</x:v>
      </x:c>
      <x:c r="D1085" s="86" t="str">
        <x:f>IF($P1085="","",INDEX(Tasks!$D$10:$D$1941,$P1085))</x:f>
        <x:v>CSBBO - Banking Ops</x:v>
      </x:c>
      <x:c r="E1085" s="86"/>
      <x:c r="F1085" s="86" t="str">
        <x:f>IF($P1085="","",INDEX(Tasks!$E$10:$E$1941,$P1085))</x:f>
        <x:v>Design &amp; Insights</x:v>
      </x:c>
      <x:c r="G1085" s="86"/>
      <x:c r="H1085" s="14" t="str">
        <x:f>IF($P1085="","",INDEX(Tasks!$F$10:$F$1941,$P1085)&amp;CHAR(10)&amp;INDEX(Tasks!$G$10:$G$1941,$P1085))</x:f>
        <x:v>DI.BO.3.3
Present findings, conclusions, and recommendation to SMEs</x:v>
      </x:c>
      <x:c r="I1085" s="14"/>
      <x:c r="J1085" s="14"/>
      <x:c r="K1085" s="14"/>
      <x:c r="L1085" s="86" t="str">
        <x:f>IF($P1085="","",INDEX(Tasks!$N$10:$N$1941,$P1085))</x:f>
        <x:v>Not started</x:v>
      </x:c>
      <x:c r="M1085" s="87" t="n">
        <x:f>IF($P1085="","",INDEX(Tasks!$J$10:$J$1941,$P1085))</x:f>
        <x:v>46112</x:v>
      </x:c>
      <x:c r="N1085" s="85" t="str">
        <x:f>IF($P1085="","",HYPERLINK("#'"&amp;INDEX(Tasks!$T$10:$T$1941,$P1085)&amp;"'!A"&amp;INDEX(Tasks!$U$10:$U$1941,$P1085),"Open"))</x:f>
        <x:v>Open</x:v>
      </x:c>
      <x:c r="O1085" s="14"/>
      <x:c r="P1085" s="14" t="n">
        <x:f>IF(1064&gt;$B$10,"",MATCH(1064,Tasks!$S$10:$S$1941,0))</x:f>
        <x:v>1428</x:v>
      </x:c>
    </x:row>
    <x:row r="1086" ht="58" customHeight="1">
      <x:c r="B1086" s="86" t="str">
        <x:f>IF($P1086="","",INDEX(Tasks!$B$10:$B$1941,$P1086))</x:f>
        <x:v>Cycle 1</x:v>
      </x:c>
      <x:c r="C1086" s="86" t="str">
        <x:f>IF($P1086="","",INDEX(Tasks!$C$10:$C$1941,$P1086))</x:f>
        <x:v>Phase 3</x:v>
      </x:c>
      <x:c r="D1086" s="86" t="str">
        <x:f>IF($P1086="","",INDEX(Tasks!$D$10:$D$1941,$P1086))</x:f>
        <x:v>CSBBO - Banking Ops</x:v>
      </x:c>
      <x:c r="E1086" s="86"/>
      <x:c r="F1086" s="86" t="str">
        <x:f>IF($P1086="","",INDEX(Tasks!$E$10:$E$1941,$P1086))</x:f>
        <x:v>Design &amp; Insights</x:v>
      </x:c>
      <x:c r="G1086" s="86"/>
      <x:c r="H1086" s="14" t="str">
        <x:f>IF($P1086="","",INDEX(Tasks!$F$10:$F$1941,$P1086)&amp;CHAR(10)&amp;INDEX(Tasks!$G$10:$G$1941,$P1086))</x:f>
        <x:v>DI.BO.3.4
Update Outcome portion of research plan (as needed)</x:v>
      </x:c>
      <x:c r="I1086" s="14"/>
      <x:c r="J1086" s="14"/>
      <x:c r="K1086" s="14"/>
      <x:c r="L1086" s="86" t="str">
        <x:f>IF($P1086="","",INDEX(Tasks!$N$10:$N$1941,$P1086))</x:f>
        <x:v>Not started</x:v>
      </x:c>
      <x:c r="M1086" s="87" t="n">
        <x:f>IF($P1086="","",INDEX(Tasks!$J$10:$J$1941,$P1086))</x:f>
        <x:v>46112</x:v>
      </x:c>
      <x:c r="N1086" s="85" t="str">
        <x:f>IF($P1086="","",HYPERLINK("#'"&amp;INDEX(Tasks!$T$10:$T$1941,$P1086)&amp;"'!A"&amp;INDEX(Tasks!$U$10:$U$1941,$P1086),"Open"))</x:f>
        <x:v>Open</x:v>
      </x:c>
      <x:c r="O1086" s="14"/>
      <x:c r="P1086" s="14" t="n">
        <x:f>IF(1065&gt;$B$10,"",MATCH(1065,Tasks!$S$10:$S$1941,0))</x:f>
        <x:v>1429</x:v>
      </x:c>
    </x:row>
    <x:row r="1087" ht="58" customHeight="1">
      <x:c r="B1087" s="86" t="str">
        <x:f>IF($P1087="","",INDEX(Tasks!$B$10:$B$1941,$P1087))</x:f>
        <x:v>Cycle 1</x:v>
      </x:c>
      <x:c r="C1087" s="86" t="str">
        <x:f>IF($P1087="","",INDEX(Tasks!$C$10:$C$1941,$P1087))</x:f>
        <x:v>Phase 3</x:v>
      </x:c>
      <x:c r="D1087" s="86" t="str">
        <x:f>IF($P1087="","",INDEX(Tasks!$D$10:$D$1941,$P1087))</x:f>
        <x:v>CSBBO - Banking Ops</x:v>
      </x:c>
      <x:c r="E1087" s="86"/>
      <x:c r="F1087" s="86" t="str">
        <x:f>IF($P1087="","",INDEX(Tasks!$E$10:$E$1941,$P1087))</x:f>
        <x:v>Design &amp; Insights</x:v>
      </x:c>
      <x:c r="G1087" s="86"/>
      <x:c r="H1087" s="14" t="str">
        <x:f>IF($P1087="","",INDEX(Tasks!$F$10:$F$1941,$P1087)&amp;CHAR(10)&amp;INDEX(Tasks!$G$10:$G$1941,$P1087))</x:f>
        <x:v>DI.BO.3.5
Finalize presentation deck by incorporating pre-socialization feedback (as needed)</x:v>
      </x:c>
      <x:c r="I1087" s="14"/>
      <x:c r="J1087" s="14"/>
      <x:c r="K1087" s="14"/>
      <x:c r="L1087" s="86" t="str">
        <x:f>IF($P1087="","",INDEX(Tasks!$N$10:$N$1941,$P1087))</x:f>
        <x:v>Not started</x:v>
      </x:c>
      <x:c r="M1087" s="87" t="n">
        <x:f>IF($P1087="","",INDEX(Tasks!$J$10:$J$1941,$P1087))</x:f>
        <x:v>46112</x:v>
      </x:c>
      <x:c r="N1087" s="85" t="str">
        <x:f>IF($P1087="","",HYPERLINK("#'"&amp;INDEX(Tasks!$T$10:$T$1941,$P1087)&amp;"'!A"&amp;INDEX(Tasks!$U$10:$U$1941,$P1087),"Open"))</x:f>
        <x:v>Open</x:v>
      </x:c>
      <x:c r="O1087" s="14"/>
      <x:c r="P1087" s="14" t="n">
        <x:f>IF(1066&gt;$B$10,"",MATCH(1066,Tasks!$S$10:$S$1941,0))</x:f>
        <x:v>1430</x:v>
      </x:c>
    </x:row>
    <x:row r="1088" ht="58" customHeight="1">
      <x:c r="B1088" s="86" t="str">
        <x:f>IF($P1088="","",INDEX(Tasks!$B$10:$B$1941,$P1088))</x:f>
        <x:v>Cycle 1</x:v>
      </x:c>
      <x:c r="C1088" s="86" t="str">
        <x:f>IF($P1088="","",INDEX(Tasks!$C$10:$C$1941,$P1088))</x:f>
        <x:v>Phase 3</x:v>
      </x:c>
      <x:c r="D1088" s="86" t="str">
        <x:f>IF($P1088="","",INDEX(Tasks!$D$10:$D$1941,$P1088))</x:f>
        <x:v>CSBBO - Banking Ops</x:v>
      </x:c>
      <x:c r="E1088" s="86"/>
      <x:c r="F1088" s="86" t="str">
        <x:f>IF($P1088="","",INDEX(Tasks!$E$10:$E$1941,$P1088))</x:f>
        <x:v>Design &amp; Insights</x:v>
      </x:c>
      <x:c r="G1088" s="86"/>
      <x:c r="H1088" s="14" t="str">
        <x:f>IF($P1088="","",INDEX(Tasks!$F$10:$F$1941,$P1088)&amp;CHAR(10)&amp;INDEX(Tasks!$G$10:$G$1941,$P1088))</x:f>
        <x:v>DI.BO.3.6
Ensure final deck is communicated to Forum attendees</x:v>
      </x:c>
      <x:c r="I1088" s="14"/>
      <x:c r="J1088" s="14"/>
      <x:c r="K1088" s="14"/>
      <x:c r="L1088" s="86" t="str">
        <x:f>IF($P1088="","",INDEX(Tasks!$N$10:$N$1941,$P1088))</x:f>
        <x:v>Not started</x:v>
      </x:c>
      <x:c r="M1088" s="87" t="n">
        <x:f>IF($P1088="","",INDEX(Tasks!$J$10:$J$1941,$P1088))</x:f>
        <x:v>46112</x:v>
      </x:c>
      <x:c r="N1088" s="85" t="str">
        <x:f>IF($P1088="","",HYPERLINK("#'"&amp;INDEX(Tasks!$T$10:$T$1941,$P1088)&amp;"'!A"&amp;INDEX(Tasks!$U$10:$U$1941,$P1088),"Open"))</x:f>
        <x:v>Open</x:v>
      </x:c>
      <x:c r="O1088" s="14"/>
      <x:c r="P1088" s="14" t="n">
        <x:f>IF(1067&gt;$B$10,"",MATCH(1067,Tasks!$S$10:$S$1941,0))</x:f>
        <x:v>1431</x:v>
      </x:c>
    </x:row>
    <x:row r="1089" ht="58" customHeight="1">
      <x:c r="B1089" s="86" t="str">
        <x:f>IF($P1089="","",INDEX(Tasks!$B$10:$B$1941,$P1089))</x:f>
        <x:v>Cycle 1</x:v>
      </x:c>
      <x:c r="C1089" s="86" t="str">
        <x:f>IF($P1089="","",INDEX(Tasks!$C$10:$C$1941,$P1089))</x:f>
        <x:v>Phase 3</x:v>
      </x:c>
      <x:c r="D1089" s="86" t="str">
        <x:f>IF($P1089="","",INDEX(Tasks!$D$10:$D$1941,$P1089))</x:f>
        <x:v>CSBBO - Banking Ops</x:v>
      </x:c>
      <x:c r="E1089" s="86"/>
      <x:c r="F1089" s="86" t="str">
        <x:f>IF($P1089="","",INDEX(Tasks!$E$10:$E$1941,$P1089))</x:f>
        <x:v>Design &amp; Insights</x:v>
      </x:c>
      <x:c r="G1089" s="86"/>
      <x:c r="H1089" s="14" t="str">
        <x:f>IF($P1089="","",INDEX(Tasks!$F$10:$F$1941,$P1089)&amp;CHAR(10)&amp;INDEX(Tasks!$G$10:$G$1941,$P1089))</x:f>
        <x:v>DI.BO.3.7
Present material in RCA Cycle Forum</x:v>
      </x:c>
      <x:c r="I1089" s="14"/>
      <x:c r="J1089" s="14"/>
      <x:c r="K1089" s="14"/>
      <x:c r="L1089" s="86" t="str">
        <x:f>IF($P1089="","",INDEX(Tasks!$N$10:$N$1941,$P1089))</x:f>
        <x:v>Not started</x:v>
      </x:c>
      <x:c r="M1089" s="87" t="str">
        <x:f>IF($P1089="","",INDEX(Tasks!$J$10:$J$1941,$P1089))</x:f>
      </x:c>
      <x:c r="N1089" s="85" t="str">
        <x:f>IF($P1089="","",HYPERLINK("#'"&amp;INDEX(Tasks!$T$10:$T$1941,$P1089)&amp;"'!A"&amp;INDEX(Tasks!$U$10:$U$1941,$P1089),"Open"))</x:f>
        <x:v>Open</x:v>
      </x:c>
      <x:c r="O1089" s="14"/>
      <x:c r="P1089" s="14" t="n">
        <x:f>IF(1068&gt;$B$10,"",MATCH(1068,Tasks!$S$10:$S$1941,0))</x:f>
        <x:v>1432</x:v>
      </x:c>
    </x:row>
    <x:row r="1090" ht="58" customHeight="1">
      <x:c r="B1090" s="86" t="str">
        <x:f>IF($P1090="","",INDEX(Tasks!$B$10:$B$1941,$P1090))</x:f>
        <x:v>Cycle 1</x:v>
      </x:c>
      <x:c r="C1090" s="86" t="str">
        <x:f>IF($P1090="","",INDEX(Tasks!$C$10:$C$1941,$P1090))</x:f>
        <x:v>Phase 1</x:v>
      </x:c>
      <x:c r="D1090" s="86" t="str">
        <x:f>IF($P1090="","",INDEX(Tasks!$D$10:$D$1941,$P1090))</x:f>
        <x:v>CSBBO - Customer Service</x:v>
      </x:c>
      <x:c r="E1090" s="86"/>
      <x:c r="F1090" s="86" t="str">
        <x:f>IF($P1090="","",INDEX(Tasks!$E$10:$E$1941,$P1090))</x:f>
        <x:v>Design &amp; Insights</x:v>
      </x:c>
      <x:c r="G1090" s="86"/>
      <x:c r="H1090" s="14" t="str">
        <x:f>IF($P1090="","",INDEX(Tasks!$F$10:$F$1941,$P1090)&amp;CHAR(10)&amp;INDEX(Tasks!$G$10:$G$1941,$P1090))</x:f>
        <x:v>DI.CS.1.1
Receive and review potential research topics at least 2 weeks prior to Cycle start date</x:v>
      </x:c>
      <x:c r="I1090" s="14"/>
      <x:c r="J1090" s="14"/>
      <x:c r="K1090" s="14"/>
      <x:c r="L1090" s="86" t="str">
        <x:f>IF($P1090="","",INDEX(Tasks!$N$10:$N$1941,$P1090))</x:f>
        <x:v>Not started</x:v>
      </x:c>
      <x:c r="M1090" s="87" t="n">
        <x:f>IF($P1090="","",INDEX(Tasks!$J$10:$J$1941,$P1090))</x:f>
        <x:v>46009</x:v>
      </x:c>
      <x:c r="N1090" s="85" t="str">
        <x:f>IF($P1090="","",HYPERLINK("#'"&amp;INDEX(Tasks!$T$10:$T$1941,$P1090)&amp;"'!A"&amp;INDEX(Tasks!$U$10:$U$1941,$P1090),"Open"))</x:f>
        <x:v>Open</x:v>
      </x:c>
      <x:c r="O1090" s="14"/>
      <x:c r="P1090" s="14" t="n">
        <x:f>IF(1069&gt;$B$10,"",MATCH(1069,Tasks!$S$10:$S$1941,0))</x:f>
        <x:v>1433</x:v>
      </x:c>
    </x:row>
    <x:row r="1091" ht="58" customHeight="1">
      <x:c r="B1091" s="86" t="str">
        <x:f>IF($P1091="","",INDEX(Tasks!$B$10:$B$1941,$P1091))</x:f>
        <x:v>Cycle 1</x:v>
      </x:c>
      <x:c r="C1091" s="86" t="str">
        <x:f>IF($P1091="","",INDEX(Tasks!$C$10:$C$1941,$P1091))</x:f>
        <x:v>Phase 1</x:v>
      </x:c>
      <x:c r="D1091" s="86" t="str">
        <x:f>IF($P1091="","",INDEX(Tasks!$D$10:$D$1941,$P1091))</x:f>
        <x:v>CSBBO - Customer Service</x:v>
      </x:c>
      <x:c r="E1091" s="86"/>
      <x:c r="F1091" s="86" t="str">
        <x:f>IF($P1091="","",INDEX(Tasks!$E$10:$E$1941,$P1091))</x:f>
        <x:v>Design &amp; Insights</x:v>
      </x:c>
      <x:c r="G1091" s="86"/>
      <x:c r="H1091" s="14" t="str">
        <x:f>IF($P1091="","",INDEX(Tasks!$F$10:$F$1941,$P1091)&amp;CHAR(10)&amp;INDEX(Tasks!$G$10:$G$1941,$P1091))</x:f>
        <x:v>DI.CS.1.2
Communicate any feedback on preferences or concerns with topics identified</x:v>
      </x:c>
      <x:c r="I1091" s="14"/>
      <x:c r="J1091" s="14"/>
      <x:c r="K1091" s="14"/>
      <x:c r="L1091" s="86" t="str">
        <x:f>IF($P1091="","",INDEX(Tasks!$N$10:$N$1941,$P1091))</x:f>
        <x:v>Not started</x:v>
      </x:c>
      <x:c r="M1091" s="87" t="n">
        <x:f>IF($P1091="","",INDEX(Tasks!$J$10:$J$1941,$P1091))</x:f>
        <x:v>46112</x:v>
      </x:c>
      <x:c r="N1091" s="85" t="str">
        <x:f>IF($P1091="","",HYPERLINK("#'"&amp;INDEX(Tasks!$T$10:$T$1941,$P1091)&amp;"'!A"&amp;INDEX(Tasks!$U$10:$U$1941,$P1091),"Open"))</x:f>
        <x:v>Open</x:v>
      </x:c>
      <x:c r="O1091" s="14"/>
      <x:c r="P1091" s="14" t="n">
        <x:f>IF(1070&gt;$B$10,"",MATCH(1070,Tasks!$S$10:$S$1941,0))</x:f>
        <x:v>1434</x:v>
      </x:c>
    </x:row>
    <x:row r="1092" ht="58" customHeight="1">
      <x:c r="B1092" s="86" t="str">
        <x:f>IF($P1092="","",INDEX(Tasks!$B$10:$B$1941,$P1092))</x:f>
        <x:v>Cycle 1</x:v>
      </x:c>
      <x:c r="C1092" s="86" t="str">
        <x:f>IF($P1092="","",INDEX(Tasks!$C$10:$C$1941,$P1092))</x:f>
        <x:v>Phase 1</x:v>
      </x:c>
      <x:c r="D1092" s="86" t="str">
        <x:f>IF($P1092="","",INDEX(Tasks!$D$10:$D$1941,$P1092))</x:f>
        <x:v>CSBBO - Customer Service</x:v>
      </x:c>
      <x:c r="E1092" s="86"/>
      <x:c r="F1092" s="86" t="str">
        <x:f>IF($P1092="","",INDEX(Tasks!$E$10:$E$1941,$P1092))</x:f>
        <x:v>Design &amp; Insights</x:v>
      </x:c>
      <x:c r="G1092" s="86"/>
      <x:c r="H1092" s="14" t="str">
        <x:f>IF($P1092="","",INDEX(Tasks!$F$10:$F$1941,$P1092)&amp;CHAR(10)&amp;INDEX(Tasks!$G$10:$G$1941,$P1092))</x:f>
        <x:v>DI.CS.1.3
Conduct high-level preliminary review of complaints within proposed topics</x:v>
      </x:c>
      <x:c r="I1092" s="14"/>
      <x:c r="J1092" s="14"/>
      <x:c r="K1092" s="14"/>
      <x:c r="L1092" s="86" t="str">
        <x:f>IF($P1092="","",INDEX(Tasks!$N$10:$N$1941,$P1092))</x:f>
        <x:v>Not started</x:v>
      </x:c>
      <x:c r="M1092" s="87" t="n">
        <x:f>IF($P1092="","",INDEX(Tasks!$J$10:$J$1941,$P1092))</x:f>
        <x:v>46112</x:v>
      </x:c>
      <x:c r="N1092" s="85" t="str">
        <x:f>IF($P1092="","",HYPERLINK("#'"&amp;INDEX(Tasks!$T$10:$T$1941,$P1092)&amp;"'!A"&amp;INDEX(Tasks!$U$10:$U$1941,$P1092),"Open"))</x:f>
        <x:v>Open</x:v>
      </x:c>
      <x:c r="O1092" s="14"/>
      <x:c r="P1092" s="14" t="n">
        <x:f>IF(1071&gt;$B$10,"",MATCH(1071,Tasks!$S$10:$S$1941,0))</x:f>
        <x:v>1435</x:v>
      </x:c>
    </x:row>
    <x:row r="1093" ht="58" customHeight="1">
      <x:c r="B1093" s="86" t="str">
        <x:f>IF($P1093="","",INDEX(Tasks!$B$10:$B$1941,$P1093))</x:f>
        <x:v>Cycle 1</x:v>
      </x:c>
      <x:c r="C1093" s="86" t="str">
        <x:f>IF($P1093="","",INDEX(Tasks!$C$10:$C$1941,$P1093))</x:f>
        <x:v>Phase 1</x:v>
      </x:c>
      <x:c r="D1093" s="86" t="str">
        <x:f>IF($P1093="","",INDEX(Tasks!$D$10:$D$1941,$P1093))</x:f>
        <x:v>CSBBO - Customer Service</x:v>
      </x:c>
      <x:c r="E1093" s="86"/>
      <x:c r="F1093" s="86" t="str">
        <x:f>IF($P1093="","",INDEX(Tasks!$E$10:$E$1941,$P1093))</x:f>
        <x:v>Design &amp; Insights</x:v>
      </x:c>
      <x:c r="G1093" s="86"/>
      <x:c r="H1093" s="14" t="str">
        <x:f>IF($P1093="","",INDEX(Tasks!$F$10:$F$1941,$P1093)&amp;CHAR(10)&amp;INDEX(Tasks!$G$10:$G$1941,$P1093))</x:f>
        <x:v>DI.CS.1.4
Meet with Research to discuss which topic to select based on potential impact</x:v>
      </x:c>
      <x:c r="I1093" s="14"/>
      <x:c r="J1093" s="14"/>
      <x:c r="K1093" s="14"/>
      <x:c r="L1093" s="86" t="str">
        <x:f>IF($P1093="","",INDEX(Tasks!$N$10:$N$1941,$P1093))</x:f>
        <x:v>Not started</x:v>
      </x:c>
      <x:c r="M1093" s="87" t="n">
        <x:f>IF($P1093="","",INDEX(Tasks!$J$10:$J$1941,$P1093))</x:f>
        <x:v>46112</x:v>
      </x:c>
      <x:c r="N1093" s="85" t="str">
        <x:f>IF($P1093="","",HYPERLINK("#'"&amp;INDEX(Tasks!$T$10:$T$1941,$P1093)&amp;"'!A"&amp;INDEX(Tasks!$U$10:$U$1941,$P1093),"Open"))</x:f>
        <x:v>Open</x:v>
      </x:c>
      <x:c r="O1093" s="14"/>
      <x:c r="P1093" s="14" t="n">
        <x:f>IF(1072&gt;$B$10,"",MATCH(1072,Tasks!$S$10:$S$1941,0))</x:f>
        <x:v>1436</x:v>
      </x:c>
    </x:row>
    <x:row r="1094" ht="58" customHeight="1">
      <x:c r="B1094" s="86" t="str">
        <x:f>IF($P1094="","",INDEX(Tasks!$B$10:$B$1941,$P1094))</x:f>
        <x:v>Cycle 1</x:v>
      </x:c>
      <x:c r="C1094" s="86" t="str">
        <x:f>IF($P1094="","",INDEX(Tasks!$C$10:$C$1941,$P1094))</x:f>
        <x:v>Phase 1</x:v>
      </x:c>
      <x:c r="D1094" s="86" t="str">
        <x:f>IF($P1094="","",INDEX(Tasks!$D$10:$D$1941,$P1094))</x:f>
        <x:v>CSBBO - Customer Service</x:v>
      </x:c>
      <x:c r="E1094" s="86"/>
      <x:c r="F1094" s="86" t="str">
        <x:f>IF($P1094="","",INDEX(Tasks!$E$10:$E$1941,$P1094))</x:f>
        <x:v>Design &amp; Insights</x:v>
      </x:c>
      <x:c r="G1094" s="86"/>
      <x:c r="H1094" s="14" t="str">
        <x:f>IF($P1094="","",INDEX(Tasks!$F$10:$F$1941,$P1094)&amp;CHAR(10)&amp;INDEX(Tasks!$G$10:$G$1941,$P1094))</x:f>
        <x:v>DI.CS.1.5
Confirm with Research the recommended topic for approval</x:v>
      </x:c>
      <x:c r="I1094" s="14"/>
      <x:c r="J1094" s="14"/>
      <x:c r="K1094" s="14"/>
      <x:c r="L1094" s="86" t="str">
        <x:f>IF($P1094="","",INDEX(Tasks!$N$10:$N$1941,$P1094))</x:f>
        <x:v>Not started</x:v>
      </x:c>
      <x:c r="M1094" s="87" t="n">
        <x:f>IF($P1094="","",INDEX(Tasks!$J$10:$J$1941,$P1094))</x:f>
        <x:v>46112</x:v>
      </x:c>
      <x:c r="N1094" s="85" t="str">
        <x:f>IF($P1094="","",HYPERLINK("#'"&amp;INDEX(Tasks!$T$10:$T$1941,$P1094)&amp;"'!A"&amp;INDEX(Tasks!$U$10:$U$1941,$P1094),"Open"))</x:f>
        <x:v>Open</x:v>
      </x:c>
      <x:c r="O1094" s="14"/>
      <x:c r="P1094" s="14" t="n">
        <x:f>IF(1073&gt;$B$10,"",MATCH(1073,Tasks!$S$10:$S$1941,0))</x:f>
        <x:v>1437</x:v>
      </x:c>
    </x:row>
    <x:row r="1095" ht="58" customHeight="1">
      <x:c r="B1095" s="86" t="str">
        <x:f>IF($P1095="","",INDEX(Tasks!$B$10:$B$1941,$P1095))</x:f>
        <x:v>Cycle 1</x:v>
      </x:c>
      <x:c r="C1095" s="86" t="str">
        <x:f>IF($P1095="","",INDEX(Tasks!$C$10:$C$1941,$P1095))</x:f>
        <x:v>Phase 1</x:v>
      </x:c>
      <x:c r="D1095" s="86" t="str">
        <x:f>IF($P1095="","",INDEX(Tasks!$D$10:$D$1941,$P1095))</x:f>
        <x:v>CSBBO - Customer Service</x:v>
      </x:c>
      <x:c r="E1095" s="86"/>
      <x:c r="F1095" s="86" t="str">
        <x:f>IF($P1095="","",INDEX(Tasks!$E$10:$E$1941,$P1095))</x:f>
        <x:v>Design &amp; Insights</x:v>
      </x:c>
      <x:c r="G1095" s="86"/>
      <x:c r="H1095" s="14" t="str">
        <x:f>IF($P1095="","",INDEX(Tasks!$F$10:$F$1941,$P1095)&amp;CHAR(10)&amp;INDEX(Tasks!$G$10:$G$1941,$P1095))</x:f>
        <x:v>DI.CS.1.6
Send topic selection socialization email to all key stakeholders on the first day of the review Cycle</x:v>
      </x:c>
      <x:c r="I1095" s="14"/>
      <x:c r="J1095" s="14"/>
      <x:c r="K1095" s="14"/>
      <x:c r="L1095" s="86" t="str">
        <x:f>IF($P1095="","",INDEX(Tasks!$N$10:$N$1941,$P1095))</x:f>
        <x:v>Not started</x:v>
      </x:c>
      <x:c r="M1095" s="87" t="n">
        <x:f>IF($P1095="","",INDEX(Tasks!$J$10:$J$1941,$P1095))</x:f>
        <x:v>46023</x:v>
      </x:c>
      <x:c r="N1095" s="85" t="str">
        <x:f>IF($P1095="","",HYPERLINK("#'"&amp;INDEX(Tasks!$T$10:$T$1941,$P1095)&amp;"'!A"&amp;INDEX(Tasks!$U$10:$U$1941,$P1095),"Open"))</x:f>
        <x:v>Open</x:v>
      </x:c>
      <x:c r="O1095" s="14"/>
      <x:c r="P1095" s="14" t="n">
        <x:f>IF(1074&gt;$B$10,"",MATCH(1074,Tasks!$S$10:$S$1941,0))</x:f>
        <x:v>1438</x:v>
      </x:c>
    </x:row>
    <x:row r="1096" ht="58" customHeight="1">
      <x:c r="B1096" s="86" t="str">
        <x:f>IF($P1096="","",INDEX(Tasks!$B$10:$B$1941,$P1096))</x:f>
        <x:v>Cycle 1</x:v>
      </x:c>
      <x:c r="C1096" s="86" t="str">
        <x:f>IF($P1096="","",INDEX(Tasks!$C$10:$C$1941,$P1096))</x:f>
        <x:v>Phase 2</x:v>
      </x:c>
      <x:c r="D1096" s="86" t="str">
        <x:f>IF($P1096="","",INDEX(Tasks!$D$10:$D$1941,$P1096))</x:f>
        <x:v>CSBBO - Customer Service</x:v>
      </x:c>
      <x:c r="E1096" s="86"/>
      <x:c r="F1096" s="86" t="str">
        <x:f>IF($P1096="","",INDEX(Tasks!$E$10:$E$1941,$P1096))</x:f>
        <x:v>Design &amp; Insights</x:v>
      </x:c>
      <x:c r="G1096" s="86"/>
      <x:c r="H1096" s="14" t="str">
        <x:f>IF($P1096="","",INDEX(Tasks!$F$10:$F$1941,$P1096)&amp;CHAR(10)&amp;INDEX(Tasks!$G$10:$G$1941,$P1096))</x:f>
        <x:v>DI.CS.2.1
Meet regularly with Research to stay informed on progress, findings, and potential enhancement</x:v>
      </x:c>
      <x:c r="I1096" s="14"/>
      <x:c r="J1096" s="14"/>
      <x:c r="K1096" s="14"/>
      <x:c r="L1096" s="86" t="str">
        <x:f>IF($P1096="","",INDEX(Tasks!$N$10:$N$1941,$P1096))</x:f>
        <x:v>Not started</x:v>
      </x:c>
      <x:c r="M1096" s="87" t="n">
        <x:f>IF($P1096="","",INDEX(Tasks!$J$10:$J$1941,$P1096))</x:f>
        <x:v>46112</x:v>
      </x:c>
      <x:c r="N1096" s="85" t="str">
        <x:f>IF($P1096="","",HYPERLINK("#'"&amp;INDEX(Tasks!$T$10:$T$1941,$P1096)&amp;"'!A"&amp;INDEX(Tasks!$U$10:$U$1941,$P1096),"Open"))</x:f>
        <x:v>Open</x:v>
      </x:c>
      <x:c r="O1096" s="14"/>
      <x:c r="P1096" s="14" t="n">
        <x:f>IF(1075&gt;$B$10,"",MATCH(1075,Tasks!$S$10:$S$1941,0))</x:f>
        <x:v>1439</x:v>
      </x:c>
    </x:row>
    <x:row r="1097" ht="58" customHeight="1">
      <x:c r="B1097" s="86" t="str">
        <x:f>IF($P1097="","",INDEX(Tasks!$B$10:$B$1941,$P1097))</x:f>
        <x:v>Cycle 1</x:v>
      </x:c>
      <x:c r="C1097" s="86" t="str">
        <x:f>IF($P1097="","",INDEX(Tasks!$C$10:$C$1941,$P1097))</x:f>
        <x:v>Phase 2</x:v>
      </x:c>
      <x:c r="D1097" s="86" t="str">
        <x:f>IF($P1097="","",INDEX(Tasks!$D$10:$D$1941,$P1097))</x:f>
        <x:v>CSBBO - Customer Service</x:v>
      </x:c>
      <x:c r="E1097" s="86"/>
      <x:c r="F1097" s="86" t="str">
        <x:f>IF($P1097="","",INDEX(Tasks!$E$10:$E$1941,$P1097))</x:f>
        <x:v>Design &amp; Insights</x:v>
      </x:c>
      <x:c r="G1097" s="86"/>
      <x:c r="H1097" s="14" t="str">
        <x:f>IF($P1097="","",INDEX(Tasks!$F$10:$F$1941,$P1097)&amp;CHAR(10)&amp;INDEX(Tasks!$G$10:$G$1941,$P1097))</x:f>
        <x:v>DI.CS.2.2
Collaborate with Research on research plan specifics</x:v>
      </x:c>
      <x:c r="I1097" s="14"/>
      <x:c r="J1097" s="14"/>
      <x:c r="K1097" s="14"/>
      <x:c r="L1097" s="86" t="str">
        <x:f>IF($P1097="","",INDEX(Tasks!$N$10:$N$1941,$P1097))</x:f>
        <x:v>Not started</x:v>
      </x:c>
      <x:c r="M1097" s="87" t="n">
        <x:f>IF($P1097="","",INDEX(Tasks!$J$10:$J$1941,$P1097))</x:f>
        <x:v>46112</x:v>
      </x:c>
      <x:c r="N1097" s="85" t="str">
        <x:f>IF($P1097="","",HYPERLINK("#'"&amp;INDEX(Tasks!$T$10:$T$1941,$P1097)&amp;"'!A"&amp;INDEX(Tasks!$U$10:$U$1941,$P1097),"Open"))</x:f>
        <x:v>Open</x:v>
      </x:c>
      <x:c r="O1097" s="14"/>
      <x:c r="P1097" s="14" t="n">
        <x:f>IF(1076&gt;$B$10,"",MATCH(1076,Tasks!$S$10:$S$1941,0))</x:f>
        <x:v>1440</x:v>
      </x:c>
    </x:row>
    <x:row r="1098" ht="58" customHeight="1">
      <x:c r="B1098" s="86" t="str">
        <x:f>IF($P1098="","",INDEX(Tasks!$B$10:$B$1941,$P1098))</x:f>
        <x:v>Cycle 1</x:v>
      </x:c>
      <x:c r="C1098" s="86" t="str">
        <x:f>IF($P1098="","",INDEX(Tasks!$C$10:$C$1941,$P1098))</x:f>
        <x:v>Phase 2</x:v>
      </x:c>
      <x:c r="D1098" s="86" t="str">
        <x:f>IF($P1098="","",INDEX(Tasks!$D$10:$D$1941,$P1098))</x:f>
        <x:v>CSBBO - Customer Service</x:v>
      </x:c>
      <x:c r="E1098" s="86"/>
      <x:c r="F1098" s="86" t="str">
        <x:f>IF($P1098="","",INDEX(Tasks!$E$10:$E$1941,$P1098))</x:f>
        <x:v>Design &amp; Insights</x:v>
      </x:c>
      <x:c r="G1098" s="86"/>
      <x:c r="H1098" s="14" t="str">
        <x:f>IF($P1098="","",INDEX(Tasks!$F$10:$F$1941,$P1098)&amp;CHAR(10)&amp;INDEX(Tasks!$G$10:$G$1941,$P1098))</x:f>
        <x:v>DI.CS.2.3
Participate in SME insight meetings to gain perspective and appetite on potential enhancements</x:v>
      </x:c>
      <x:c r="I1098" s="14"/>
      <x:c r="J1098" s="14"/>
      <x:c r="K1098" s="14"/>
      <x:c r="L1098" s="86" t="str">
        <x:f>IF($P1098="","",INDEX(Tasks!$N$10:$N$1941,$P1098))</x:f>
        <x:v>Not started</x:v>
      </x:c>
      <x:c r="M1098" s="87" t="n">
        <x:f>IF($P1098="","",INDEX(Tasks!$J$10:$J$1941,$P1098))</x:f>
        <x:v>46112</x:v>
      </x:c>
      <x:c r="N1098" s="85" t="str">
        <x:f>IF($P1098="","",HYPERLINK("#'"&amp;INDEX(Tasks!$T$10:$T$1941,$P1098)&amp;"'!A"&amp;INDEX(Tasks!$U$10:$U$1941,$P1098),"Open"))</x:f>
        <x:v>Open</x:v>
      </x:c>
      <x:c r="O1098" s="14"/>
      <x:c r="P1098" s="14" t="n">
        <x:f>IF(1077&gt;$B$10,"",MATCH(1077,Tasks!$S$10:$S$1941,0))</x:f>
        <x:v>1441</x:v>
      </x:c>
    </x:row>
    <x:row r="1099" ht="58" customHeight="1">
      <x:c r="B1099" s="86" t="str">
        <x:f>IF($P1099="","",INDEX(Tasks!$B$10:$B$1941,$P1099))</x:f>
        <x:v>Cycle 1</x:v>
      </x:c>
      <x:c r="C1099" s="86" t="str">
        <x:f>IF($P1099="","",INDEX(Tasks!$C$10:$C$1941,$P1099))</x:f>
        <x:v>Phase 2</x:v>
      </x:c>
      <x:c r="D1099" s="86" t="str">
        <x:f>IF($P1099="","",INDEX(Tasks!$D$10:$D$1941,$P1099))</x:f>
        <x:v>CSBBO - Customer Service</x:v>
      </x:c>
      <x:c r="E1099" s="86"/>
      <x:c r="F1099" s="86" t="str">
        <x:f>IF($P1099="","",INDEX(Tasks!$E$10:$E$1941,$P1099))</x:f>
        <x:v>Design &amp; Insights</x:v>
      </x:c>
      <x:c r="G1099" s="86"/>
      <x:c r="H1099" s="14" t="str">
        <x:f>IF($P1099="","",INDEX(Tasks!$F$10:$F$1941,$P1099)&amp;CHAR(10)&amp;INDEX(Tasks!$G$10:$G$1941,$P1099))</x:f>
        <x:v>DI.CS.2.4
Begin development of presentation materials as Research is being completed</x:v>
      </x:c>
      <x:c r="I1099" s="14"/>
      <x:c r="J1099" s="14"/>
      <x:c r="K1099" s="14"/>
      <x:c r="L1099" s="86" t="str">
        <x:f>IF($P1099="","",INDEX(Tasks!$N$10:$N$1941,$P1099))</x:f>
        <x:v>Not started</x:v>
      </x:c>
      <x:c r="M1099" s="87" t="n">
        <x:f>IF($P1099="","",INDEX(Tasks!$J$10:$J$1941,$P1099))</x:f>
        <x:v>46112</x:v>
      </x:c>
      <x:c r="N1099" s="85" t="str">
        <x:f>IF($P1099="","",HYPERLINK("#'"&amp;INDEX(Tasks!$T$10:$T$1941,$P1099)&amp;"'!A"&amp;INDEX(Tasks!$U$10:$U$1941,$P1099),"Open"))</x:f>
        <x:v>Open</x:v>
      </x:c>
      <x:c r="O1099" s="14"/>
      <x:c r="P1099" s="14" t="n">
        <x:f>IF(1078&gt;$B$10,"",MATCH(1078,Tasks!$S$10:$S$1941,0))</x:f>
        <x:v>1442</x:v>
      </x:c>
    </x:row>
    <x:row r="1100" ht="58" customHeight="1">
      <x:c r="B1100" s="86" t="str">
        <x:f>IF($P1100="","",INDEX(Tasks!$B$10:$B$1941,$P1100))</x:f>
        <x:v>Cycle 1</x:v>
      </x:c>
      <x:c r="C1100" s="86" t="str">
        <x:f>IF($P1100="","",INDEX(Tasks!$C$10:$C$1941,$P1100))</x:f>
        <x:v>Phase 2</x:v>
      </x:c>
      <x:c r="D1100" s="86" t="str">
        <x:f>IF($P1100="","",INDEX(Tasks!$D$10:$D$1941,$P1100))</x:f>
        <x:v>CSBBO - Customer Service</x:v>
      </x:c>
      <x:c r="E1100" s="86"/>
      <x:c r="F1100" s="86" t="str">
        <x:f>IF($P1100="","",INDEX(Tasks!$E$10:$E$1941,$P1100))</x:f>
        <x:v>Design &amp; Insights</x:v>
      </x:c>
      <x:c r="G1100" s="86"/>
      <x:c r="H1100" s="14" t="str">
        <x:f>IF($P1100="","",INDEX(Tasks!$F$10:$F$1941,$P1100)&amp;CHAR(10)&amp;INDEX(Tasks!$G$10:$G$1941,$P1100))</x:f>
        <x:v>DI.CS.2.5
Draft initial enhancement recommendations (as applicable)</x:v>
      </x:c>
      <x:c r="I1100" s="14"/>
      <x:c r="J1100" s="14"/>
      <x:c r="K1100" s="14"/>
      <x:c r="L1100" s="86" t="str">
        <x:f>IF($P1100="","",INDEX(Tasks!$N$10:$N$1941,$P1100))</x:f>
        <x:v>Not started</x:v>
      </x:c>
      <x:c r="M1100" s="87" t="n">
        <x:f>IF($P1100="","",INDEX(Tasks!$J$10:$J$1941,$P1100))</x:f>
        <x:v>46112</x:v>
      </x:c>
      <x:c r="N1100" s="85" t="str">
        <x:f>IF($P1100="","",HYPERLINK("#'"&amp;INDEX(Tasks!$T$10:$T$1941,$P1100)&amp;"'!A"&amp;INDEX(Tasks!$U$10:$U$1941,$P1100),"Open"))</x:f>
        <x:v>Open</x:v>
      </x:c>
      <x:c r="O1100" s="14"/>
      <x:c r="P1100" s="14" t="n">
        <x:f>IF(1079&gt;$B$10,"",MATCH(1079,Tasks!$S$10:$S$1941,0))</x:f>
        <x:v>1443</x:v>
      </x:c>
    </x:row>
    <x:row r="1101" ht="58" customHeight="1">
      <x:c r="B1101" s="86" t="str">
        <x:f>IF($P1101="","",INDEX(Tasks!$B$10:$B$1941,$P1101))</x:f>
        <x:v>Cycle 1</x:v>
      </x:c>
      <x:c r="C1101" s="86" t="str">
        <x:f>IF($P1101="","",INDEX(Tasks!$C$10:$C$1941,$P1101))</x:f>
        <x:v>Phase 2</x:v>
      </x:c>
      <x:c r="D1101" s="86" t="str">
        <x:f>IF($P1101="","",INDEX(Tasks!$D$10:$D$1941,$P1101))</x:f>
        <x:v>CSBBO - Customer Service</x:v>
      </x:c>
      <x:c r="E1101" s="86"/>
      <x:c r="F1101" s="86" t="str">
        <x:f>IF($P1101="","",INDEX(Tasks!$E$10:$E$1941,$P1101))</x:f>
        <x:v>Design &amp; Insights</x:v>
      </x:c>
      <x:c r="G1101" s="86"/>
      <x:c r="H1101" s="14" t="str">
        <x:f>IF($P1101="","",INDEX(Tasks!$F$10:$F$1941,$P1101)&amp;CHAR(10)&amp;INDEX(Tasks!$G$10:$G$1941,$P1101))</x:f>
        <x:v>DI.CS.2.6
Finalize presentation deck draft at conclusion of Research phase</x:v>
      </x:c>
      <x:c r="I1101" s="14"/>
      <x:c r="J1101" s="14"/>
      <x:c r="K1101" s="14"/>
      <x:c r="L1101" s="86" t="str">
        <x:f>IF($P1101="","",INDEX(Tasks!$N$10:$N$1941,$P1101))</x:f>
        <x:v>Not started</x:v>
      </x:c>
      <x:c r="M1101" s="87" t="n">
        <x:f>IF($P1101="","",INDEX(Tasks!$J$10:$J$1941,$P1101))</x:f>
        <x:v>46112</x:v>
      </x:c>
      <x:c r="N1101" s="85" t="str">
        <x:f>IF($P1101="","",HYPERLINK("#'"&amp;INDEX(Tasks!$T$10:$T$1941,$P1101)&amp;"'!A"&amp;INDEX(Tasks!$U$10:$U$1941,$P1101),"Open"))</x:f>
        <x:v>Open</x:v>
      </x:c>
      <x:c r="O1101" s="14"/>
      <x:c r="P1101" s="14" t="n">
        <x:f>IF(1080&gt;$B$10,"",MATCH(1080,Tasks!$S$10:$S$1941,0))</x:f>
        <x:v>1444</x:v>
      </x:c>
    </x:row>
    <x:row r="1102" ht="58" customHeight="1">
      <x:c r="B1102" s="86" t="str">
        <x:f>IF($P1102="","",INDEX(Tasks!$B$10:$B$1941,$P1102))</x:f>
        <x:v>Cycle 1</x:v>
      </x:c>
      <x:c r="C1102" s="86" t="str">
        <x:f>IF($P1102="","",INDEX(Tasks!$C$10:$C$1941,$P1102))</x:f>
        <x:v>Phase 2</x:v>
      </x:c>
      <x:c r="D1102" s="86" t="str">
        <x:f>IF($P1102="","",INDEX(Tasks!$D$10:$D$1941,$P1102))</x:f>
        <x:v>CSBBO - Customer Service</x:v>
      </x:c>
      <x:c r="E1102" s="86"/>
      <x:c r="F1102" s="86" t="str">
        <x:f>IF($P1102="","",INDEX(Tasks!$E$10:$E$1941,$P1102))</x:f>
        <x:v>Design &amp; Insights</x:v>
      </x:c>
      <x:c r="G1102" s="86"/>
      <x:c r="H1102" s="14" t="str">
        <x:f>IF($P1102="","",INDEX(Tasks!$F$10:$F$1941,$P1102)&amp;CHAR(10)&amp;INDEX(Tasks!$G$10:$G$1941,$P1102))</x:f>
        <x:v>DI.CS.2.7
Update Outcome portion of research plan with current enhancement verbiage (as needed)</x:v>
      </x:c>
      <x:c r="I1102" s="14"/>
      <x:c r="J1102" s="14"/>
      <x:c r="K1102" s="14"/>
      <x:c r="L1102" s="86" t="str">
        <x:f>IF($P1102="","",INDEX(Tasks!$N$10:$N$1941,$P1102))</x:f>
        <x:v>Not started</x:v>
      </x:c>
      <x:c r="M1102" s="87" t="n">
        <x:f>IF($P1102="","",INDEX(Tasks!$J$10:$J$1941,$P1102))</x:f>
        <x:v>46112</x:v>
      </x:c>
      <x:c r="N1102" s="85" t="str">
        <x:f>IF($P1102="","",HYPERLINK("#'"&amp;INDEX(Tasks!$T$10:$T$1941,$P1102)&amp;"'!A"&amp;INDEX(Tasks!$U$10:$U$1941,$P1102),"Open"))</x:f>
        <x:v>Open</x:v>
      </x:c>
      <x:c r="O1102" s="14"/>
      <x:c r="P1102" s="14" t="n">
        <x:f>IF(1081&gt;$B$10,"",MATCH(1081,Tasks!$S$10:$S$1941,0))</x:f>
        <x:v>1445</x:v>
      </x:c>
    </x:row>
    <x:row r="1103" ht="58" customHeight="1">
      <x:c r="B1103" s="86" t="str">
        <x:f>IF($P1103="","",INDEX(Tasks!$B$10:$B$1941,$P1103))</x:f>
        <x:v>Cycle 1</x:v>
      </x:c>
      <x:c r="C1103" s="86" t="str">
        <x:f>IF($P1103="","",INDEX(Tasks!$C$10:$C$1941,$P1103))</x:f>
        <x:v>Phase 3</x:v>
      </x:c>
      <x:c r="D1103" s="86" t="str">
        <x:f>IF($P1103="","",INDEX(Tasks!$D$10:$D$1941,$P1103))</x:f>
        <x:v>CSBBO - Customer Service</x:v>
      </x:c>
      <x:c r="E1103" s="86"/>
      <x:c r="F1103" s="86" t="str">
        <x:f>IF($P1103="","",INDEX(Tasks!$E$10:$E$1941,$P1103))</x:f>
        <x:v>Design &amp; Insights</x:v>
      </x:c>
      <x:c r="G1103" s="86"/>
      <x:c r="H1103" s="14" t="str">
        <x:f>IF($P1103="","",INDEX(Tasks!$F$10:$F$1941,$P1103)&amp;CHAR(10)&amp;INDEX(Tasks!$G$10:$G$1941,$P1103))</x:f>
        <x:v>DI.CS.3.1
Confirm list of required &amp; optional attendees for pre-socialization meeting</x:v>
      </x:c>
      <x:c r="I1103" s="14"/>
      <x:c r="J1103" s="14"/>
      <x:c r="K1103" s="14"/>
      <x:c r="L1103" s="86" t="str">
        <x:f>IF($P1103="","",INDEX(Tasks!$N$10:$N$1941,$P1103))</x:f>
        <x:v>Not started</x:v>
      </x:c>
      <x:c r="M1103" s="87" t="n">
        <x:f>IF($P1103="","",INDEX(Tasks!$J$10:$J$1941,$P1103))</x:f>
        <x:v>46112</x:v>
      </x:c>
      <x:c r="N1103" s="85" t="str">
        <x:f>IF($P1103="","",HYPERLINK("#'"&amp;INDEX(Tasks!$T$10:$T$1941,$P1103)&amp;"'!A"&amp;INDEX(Tasks!$U$10:$U$1941,$P1103),"Open"))</x:f>
        <x:v>Open</x:v>
      </x:c>
      <x:c r="O1103" s="14"/>
      <x:c r="P1103" s="14" t="n">
        <x:f>IF(1082&gt;$B$10,"",MATCH(1082,Tasks!$S$10:$S$1941,0))</x:f>
        <x:v>1446</x:v>
      </x:c>
    </x:row>
    <x:row r="1104" ht="58" customHeight="1">
      <x:c r="B1104" s="86" t="str">
        <x:f>IF($P1104="","",INDEX(Tasks!$B$10:$B$1941,$P1104))</x:f>
        <x:v>Cycle 1</x:v>
      </x:c>
      <x:c r="C1104" s="86" t="str">
        <x:f>IF($P1104="","",INDEX(Tasks!$C$10:$C$1941,$P1104))</x:f>
        <x:v>Phase 3</x:v>
      </x:c>
      <x:c r="D1104" s="86" t="str">
        <x:f>IF($P1104="","",INDEX(Tasks!$D$10:$D$1941,$P1104))</x:f>
        <x:v>CSBBO - Customer Service</x:v>
      </x:c>
      <x:c r="E1104" s="86"/>
      <x:c r="F1104" s="86" t="str">
        <x:f>IF($P1104="","",INDEX(Tasks!$E$10:$E$1941,$P1104))</x:f>
        <x:v>Design &amp; Insights</x:v>
      </x:c>
      <x:c r="G1104" s="86"/>
      <x:c r="H1104" s="14" t="str">
        <x:f>IF($P1104="","",INDEX(Tasks!$F$10:$F$1941,$P1104)&amp;CHAR(10)&amp;INDEX(Tasks!$G$10:$G$1941,$P1104))</x:f>
        <x:v>DI.CS.3.2
Schedule pre-socialization meeting 1 week prior to RCA Forum</x:v>
      </x:c>
      <x:c r="I1104" s="14"/>
      <x:c r="J1104" s="14"/>
      <x:c r="K1104" s="14"/>
      <x:c r="L1104" s="86" t="str">
        <x:f>IF($P1104="","",INDEX(Tasks!$N$10:$N$1941,$P1104))</x:f>
        <x:v>Not started</x:v>
      </x:c>
      <x:c r="M1104" s="87" t="str">
        <x:f>IF($P1104="","",INDEX(Tasks!$J$10:$J$1941,$P1104))</x:f>
      </x:c>
      <x:c r="N1104" s="85" t="str">
        <x:f>IF($P1104="","",HYPERLINK("#'"&amp;INDEX(Tasks!$T$10:$T$1941,$P1104)&amp;"'!A"&amp;INDEX(Tasks!$U$10:$U$1941,$P1104),"Open"))</x:f>
        <x:v>Open</x:v>
      </x:c>
      <x:c r="O1104" s="14"/>
      <x:c r="P1104" s="14" t="n">
        <x:f>IF(1083&gt;$B$10,"",MATCH(1083,Tasks!$S$10:$S$1941,0))</x:f>
        <x:v>1447</x:v>
      </x:c>
    </x:row>
    <x:row r="1105" ht="58" customHeight="1">
      <x:c r="B1105" s="86" t="str">
        <x:f>IF($P1105="","",INDEX(Tasks!$B$10:$B$1941,$P1105))</x:f>
        <x:v>Cycle 1</x:v>
      </x:c>
      <x:c r="C1105" s="86" t="str">
        <x:f>IF($P1105="","",INDEX(Tasks!$C$10:$C$1941,$P1105))</x:f>
        <x:v>Phase 3</x:v>
      </x:c>
      <x:c r="D1105" s="86" t="str">
        <x:f>IF($P1105="","",INDEX(Tasks!$D$10:$D$1941,$P1105))</x:f>
        <x:v>CSBBO - Customer Service</x:v>
      </x:c>
      <x:c r="E1105" s="86"/>
      <x:c r="F1105" s="86" t="str">
        <x:f>IF($P1105="","",INDEX(Tasks!$E$10:$E$1941,$P1105))</x:f>
        <x:v>Design &amp; Insights</x:v>
      </x:c>
      <x:c r="G1105" s="86"/>
      <x:c r="H1105" s="14" t="str">
        <x:f>IF($P1105="","",INDEX(Tasks!$F$10:$F$1941,$P1105)&amp;CHAR(10)&amp;INDEX(Tasks!$G$10:$G$1941,$P1105))</x:f>
        <x:v>DI.CS.3.3
Present findings, conclusions, and recommendation to SMEs</x:v>
      </x:c>
      <x:c r="I1105" s="14"/>
      <x:c r="J1105" s="14"/>
      <x:c r="K1105" s="14"/>
      <x:c r="L1105" s="86" t="str">
        <x:f>IF($P1105="","",INDEX(Tasks!$N$10:$N$1941,$P1105))</x:f>
        <x:v>Not started</x:v>
      </x:c>
      <x:c r="M1105" s="87" t="n">
        <x:f>IF($P1105="","",INDEX(Tasks!$J$10:$J$1941,$P1105))</x:f>
        <x:v>46112</x:v>
      </x:c>
      <x:c r="N1105" s="85" t="str">
        <x:f>IF($P1105="","",HYPERLINK("#'"&amp;INDEX(Tasks!$T$10:$T$1941,$P1105)&amp;"'!A"&amp;INDEX(Tasks!$U$10:$U$1941,$P1105),"Open"))</x:f>
        <x:v>Open</x:v>
      </x:c>
      <x:c r="O1105" s="14"/>
      <x:c r="P1105" s="14" t="n">
        <x:f>IF(1084&gt;$B$10,"",MATCH(1084,Tasks!$S$10:$S$1941,0))</x:f>
        <x:v>1448</x:v>
      </x:c>
    </x:row>
    <x:row r="1106" ht="58" customHeight="1">
      <x:c r="B1106" s="86" t="str">
        <x:f>IF($P1106="","",INDEX(Tasks!$B$10:$B$1941,$P1106))</x:f>
        <x:v>Cycle 1</x:v>
      </x:c>
      <x:c r="C1106" s="86" t="str">
        <x:f>IF($P1106="","",INDEX(Tasks!$C$10:$C$1941,$P1106))</x:f>
        <x:v>Phase 3</x:v>
      </x:c>
      <x:c r="D1106" s="86" t="str">
        <x:f>IF($P1106="","",INDEX(Tasks!$D$10:$D$1941,$P1106))</x:f>
        <x:v>CSBBO - Customer Service</x:v>
      </x:c>
      <x:c r="E1106" s="86"/>
      <x:c r="F1106" s="86" t="str">
        <x:f>IF($P1106="","",INDEX(Tasks!$E$10:$E$1941,$P1106))</x:f>
        <x:v>Design &amp; Insights</x:v>
      </x:c>
      <x:c r="G1106" s="86"/>
      <x:c r="H1106" s="14" t="str">
        <x:f>IF($P1106="","",INDEX(Tasks!$F$10:$F$1941,$P1106)&amp;CHAR(10)&amp;INDEX(Tasks!$G$10:$G$1941,$P1106))</x:f>
        <x:v>DI.CS.3.4
Update Outcome portion of research plan (as needed)</x:v>
      </x:c>
      <x:c r="I1106" s="14"/>
      <x:c r="J1106" s="14"/>
      <x:c r="K1106" s="14"/>
      <x:c r="L1106" s="86" t="str">
        <x:f>IF($P1106="","",INDEX(Tasks!$N$10:$N$1941,$P1106))</x:f>
        <x:v>Not started</x:v>
      </x:c>
      <x:c r="M1106" s="87" t="n">
        <x:f>IF($P1106="","",INDEX(Tasks!$J$10:$J$1941,$P1106))</x:f>
        <x:v>46112</x:v>
      </x:c>
      <x:c r="N1106" s="85" t="str">
        <x:f>IF($P1106="","",HYPERLINK("#'"&amp;INDEX(Tasks!$T$10:$T$1941,$P1106)&amp;"'!A"&amp;INDEX(Tasks!$U$10:$U$1941,$P1106),"Open"))</x:f>
        <x:v>Open</x:v>
      </x:c>
      <x:c r="O1106" s="14"/>
      <x:c r="P1106" s="14" t="n">
        <x:f>IF(1085&gt;$B$10,"",MATCH(1085,Tasks!$S$10:$S$1941,0))</x:f>
        <x:v>1449</x:v>
      </x:c>
    </x:row>
    <x:row r="1107" ht="58" customHeight="1">
      <x:c r="B1107" s="86" t="str">
        <x:f>IF($P1107="","",INDEX(Tasks!$B$10:$B$1941,$P1107))</x:f>
        <x:v>Cycle 1</x:v>
      </x:c>
      <x:c r="C1107" s="86" t="str">
        <x:f>IF($P1107="","",INDEX(Tasks!$C$10:$C$1941,$P1107))</x:f>
        <x:v>Phase 3</x:v>
      </x:c>
      <x:c r="D1107" s="86" t="str">
        <x:f>IF($P1107="","",INDEX(Tasks!$D$10:$D$1941,$P1107))</x:f>
        <x:v>CSBBO - Customer Service</x:v>
      </x:c>
      <x:c r="E1107" s="86"/>
      <x:c r="F1107" s="86" t="str">
        <x:f>IF($P1107="","",INDEX(Tasks!$E$10:$E$1941,$P1107))</x:f>
        <x:v>Design &amp; Insights</x:v>
      </x:c>
      <x:c r="G1107" s="86"/>
      <x:c r="H1107" s="14" t="str">
        <x:f>IF($P1107="","",INDEX(Tasks!$F$10:$F$1941,$P1107)&amp;CHAR(10)&amp;INDEX(Tasks!$G$10:$G$1941,$P1107))</x:f>
        <x:v>DI.CS.3.5
Finalize presentation deck by incorporating pre-socialization feedback (as needed)</x:v>
      </x:c>
      <x:c r="I1107" s="14"/>
      <x:c r="J1107" s="14"/>
      <x:c r="K1107" s="14"/>
      <x:c r="L1107" s="86" t="str">
        <x:f>IF($P1107="","",INDEX(Tasks!$N$10:$N$1941,$P1107))</x:f>
        <x:v>Not started</x:v>
      </x:c>
      <x:c r="M1107" s="87" t="n">
        <x:f>IF($P1107="","",INDEX(Tasks!$J$10:$J$1941,$P1107))</x:f>
        <x:v>46112</x:v>
      </x:c>
      <x:c r="N1107" s="85" t="str">
        <x:f>IF($P1107="","",HYPERLINK("#'"&amp;INDEX(Tasks!$T$10:$T$1941,$P1107)&amp;"'!A"&amp;INDEX(Tasks!$U$10:$U$1941,$P1107),"Open"))</x:f>
        <x:v>Open</x:v>
      </x:c>
      <x:c r="O1107" s="14"/>
      <x:c r="P1107" s="14" t="n">
        <x:f>IF(1086&gt;$B$10,"",MATCH(1086,Tasks!$S$10:$S$1941,0))</x:f>
        <x:v>1450</x:v>
      </x:c>
    </x:row>
    <x:row r="1108" ht="58" customHeight="1">
      <x:c r="B1108" s="86" t="str">
        <x:f>IF($P1108="","",INDEX(Tasks!$B$10:$B$1941,$P1108))</x:f>
        <x:v>Cycle 1</x:v>
      </x:c>
      <x:c r="C1108" s="86" t="str">
        <x:f>IF($P1108="","",INDEX(Tasks!$C$10:$C$1941,$P1108))</x:f>
        <x:v>Phase 3</x:v>
      </x:c>
      <x:c r="D1108" s="86" t="str">
        <x:f>IF($P1108="","",INDEX(Tasks!$D$10:$D$1941,$P1108))</x:f>
        <x:v>CSBBO - Customer Service</x:v>
      </x:c>
      <x:c r="E1108" s="86"/>
      <x:c r="F1108" s="86" t="str">
        <x:f>IF($P1108="","",INDEX(Tasks!$E$10:$E$1941,$P1108))</x:f>
        <x:v>Design &amp; Insights</x:v>
      </x:c>
      <x:c r="G1108" s="86"/>
      <x:c r="H1108" s="14" t="str">
        <x:f>IF($P1108="","",INDEX(Tasks!$F$10:$F$1941,$P1108)&amp;CHAR(10)&amp;INDEX(Tasks!$G$10:$G$1941,$P1108))</x:f>
        <x:v>DI.CS.3.6
Ensure final deck is communicated to Forum attendees</x:v>
      </x:c>
      <x:c r="I1108" s="14"/>
      <x:c r="J1108" s="14"/>
      <x:c r="K1108" s="14"/>
      <x:c r="L1108" s="86" t="str">
        <x:f>IF($P1108="","",INDEX(Tasks!$N$10:$N$1941,$P1108))</x:f>
        <x:v>Not started</x:v>
      </x:c>
      <x:c r="M1108" s="87" t="n">
        <x:f>IF($P1108="","",INDEX(Tasks!$J$10:$J$1941,$P1108))</x:f>
        <x:v>46112</x:v>
      </x:c>
      <x:c r="N1108" s="85" t="str">
        <x:f>IF($P1108="","",HYPERLINK("#'"&amp;INDEX(Tasks!$T$10:$T$1941,$P1108)&amp;"'!A"&amp;INDEX(Tasks!$U$10:$U$1941,$P1108),"Open"))</x:f>
        <x:v>Open</x:v>
      </x:c>
      <x:c r="O1108" s="14"/>
      <x:c r="P1108" s="14" t="n">
        <x:f>IF(1087&gt;$B$10,"",MATCH(1087,Tasks!$S$10:$S$1941,0))</x:f>
        <x:v>1451</x:v>
      </x:c>
    </x:row>
    <x:row r="1109" ht="58" customHeight="1">
      <x:c r="B1109" s="86" t="str">
        <x:f>IF($P1109="","",INDEX(Tasks!$B$10:$B$1941,$P1109))</x:f>
        <x:v>Cycle 1</x:v>
      </x:c>
      <x:c r="C1109" s="86" t="str">
        <x:f>IF($P1109="","",INDEX(Tasks!$C$10:$C$1941,$P1109))</x:f>
        <x:v>Phase 3</x:v>
      </x:c>
      <x:c r="D1109" s="86" t="str">
        <x:f>IF($P1109="","",INDEX(Tasks!$D$10:$D$1941,$P1109))</x:f>
        <x:v>CSBBO - Customer Service</x:v>
      </x:c>
      <x:c r="E1109" s="86"/>
      <x:c r="F1109" s="86" t="str">
        <x:f>IF($P1109="","",INDEX(Tasks!$E$10:$E$1941,$P1109))</x:f>
        <x:v>Design &amp; Insights</x:v>
      </x:c>
      <x:c r="G1109" s="86"/>
      <x:c r="H1109" s="14" t="str">
        <x:f>IF($P1109="","",INDEX(Tasks!$F$10:$F$1941,$P1109)&amp;CHAR(10)&amp;INDEX(Tasks!$G$10:$G$1941,$P1109))</x:f>
        <x:v>DI.CS.3.7
Present material in RCA Cycle Forum</x:v>
      </x:c>
      <x:c r="I1109" s="14"/>
      <x:c r="J1109" s="14"/>
      <x:c r="K1109" s="14"/>
      <x:c r="L1109" s="86" t="str">
        <x:f>IF($P1109="","",INDEX(Tasks!$N$10:$N$1941,$P1109))</x:f>
        <x:v>Not started</x:v>
      </x:c>
      <x:c r="M1109" s="87" t="str">
        <x:f>IF($P1109="","",INDEX(Tasks!$J$10:$J$1941,$P1109))</x:f>
      </x:c>
      <x:c r="N1109" s="85" t="str">
        <x:f>IF($P1109="","",HYPERLINK("#'"&amp;INDEX(Tasks!$T$10:$T$1941,$P1109)&amp;"'!A"&amp;INDEX(Tasks!$U$10:$U$1941,$P1109),"Open"))</x:f>
        <x:v>Open</x:v>
      </x:c>
      <x:c r="O1109" s="14"/>
      <x:c r="P1109" s="14" t="n">
        <x:f>IF(1088&gt;$B$10,"",MATCH(1088,Tasks!$S$10:$S$1941,0))</x:f>
        <x:v>1452</x:v>
      </x:c>
    </x:row>
    <x:row r="1110" ht="58" customHeight="1">
      <x:c r="B1110" s="86" t="str">
        <x:f>IF($P1110="","",INDEX(Tasks!$B$10:$B$1941,$P1110))</x:f>
        <x:v>Cycle 1</x:v>
      </x:c>
      <x:c r="C1110" s="86" t="str">
        <x:f>IF($P1110="","",INDEX(Tasks!$C$10:$C$1941,$P1110))</x:f>
        <x:v>Phase 1</x:v>
      </x:c>
      <x:c r="D1110" s="86" t="str">
        <x:f>IF($P1110="","",INDEX(Tasks!$D$10:$D$1941,$P1110))</x:f>
        <x:v>FCM</x:v>
      </x:c>
      <x:c r="E1110" s="86"/>
      <x:c r="F1110" s="86" t="str">
        <x:f>IF($P1110="","",INDEX(Tasks!$E$10:$E$1941,$P1110))</x:f>
        <x:v>Design &amp; Insights</x:v>
      </x:c>
      <x:c r="G1110" s="86"/>
      <x:c r="H1110" s="14" t="str">
        <x:f>IF($P1110="","",INDEX(Tasks!$F$10:$F$1941,$P1110)&amp;CHAR(10)&amp;INDEX(Tasks!$G$10:$G$1941,$P1110))</x:f>
        <x:v>DI.FC.1.1
Receive and review potential research topics at least 2 weeks prior to Cycle start date</x:v>
      </x:c>
      <x:c r="I1110" s="14"/>
      <x:c r="J1110" s="14"/>
      <x:c r="K1110" s="14"/>
      <x:c r="L1110" s="86" t="str">
        <x:f>IF($P1110="","",INDEX(Tasks!$N$10:$N$1941,$P1110))</x:f>
        <x:v>Not started</x:v>
      </x:c>
      <x:c r="M1110" s="87" t="n">
        <x:f>IF($P1110="","",INDEX(Tasks!$J$10:$J$1941,$P1110))</x:f>
        <x:v>46009</x:v>
      </x:c>
      <x:c r="N1110" s="85" t="str">
        <x:f>IF($P1110="","",HYPERLINK("#'"&amp;INDEX(Tasks!$T$10:$T$1941,$P1110)&amp;"'!A"&amp;INDEX(Tasks!$U$10:$U$1941,$P1110),"Open"))</x:f>
        <x:v>Open</x:v>
      </x:c>
      <x:c r="O1110" s="14"/>
      <x:c r="P1110" s="14" t="n">
        <x:f>IF(1089&gt;$B$10,"",MATCH(1089,Tasks!$S$10:$S$1941,0))</x:f>
        <x:v>1453</x:v>
      </x:c>
    </x:row>
    <x:row r="1111" ht="58" customHeight="1">
      <x:c r="B1111" s="86" t="str">
        <x:f>IF($P1111="","",INDEX(Tasks!$B$10:$B$1941,$P1111))</x:f>
        <x:v>Cycle 1</x:v>
      </x:c>
      <x:c r="C1111" s="86" t="str">
        <x:f>IF($P1111="","",INDEX(Tasks!$C$10:$C$1941,$P1111))</x:f>
        <x:v>Phase 1</x:v>
      </x:c>
      <x:c r="D1111" s="86" t="str">
        <x:f>IF($P1111="","",INDEX(Tasks!$D$10:$D$1941,$P1111))</x:f>
        <x:v>FCM</x:v>
      </x:c>
      <x:c r="E1111" s="86"/>
      <x:c r="F1111" s="86" t="str">
        <x:f>IF($P1111="","",INDEX(Tasks!$E$10:$E$1941,$P1111))</x:f>
        <x:v>Design &amp; Insights</x:v>
      </x:c>
      <x:c r="G1111" s="86"/>
      <x:c r="H1111" s="14" t="str">
        <x:f>IF($P1111="","",INDEX(Tasks!$F$10:$F$1941,$P1111)&amp;CHAR(10)&amp;INDEX(Tasks!$G$10:$G$1941,$P1111))</x:f>
        <x:v>DI.FC.1.2
Communicate any feedback on preferences or concerns with topics identified</x:v>
      </x:c>
      <x:c r="I1111" s="14"/>
      <x:c r="J1111" s="14"/>
      <x:c r="K1111" s="14"/>
      <x:c r="L1111" s="86" t="str">
        <x:f>IF($P1111="","",INDEX(Tasks!$N$10:$N$1941,$P1111))</x:f>
        <x:v>Not started</x:v>
      </x:c>
      <x:c r="M1111" s="87" t="n">
        <x:f>IF($P1111="","",INDEX(Tasks!$J$10:$J$1941,$P1111))</x:f>
        <x:v>46112</x:v>
      </x:c>
      <x:c r="N1111" s="85" t="str">
        <x:f>IF($P1111="","",HYPERLINK("#'"&amp;INDEX(Tasks!$T$10:$T$1941,$P1111)&amp;"'!A"&amp;INDEX(Tasks!$U$10:$U$1941,$P1111),"Open"))</x:f>
        <x:v>Open</x:v>
      </x:c>
      <x:c r="O1111" s="14"/>
      <x:c r="P1111" s="14" t="n">
        <x:f>IF(1090&gt;$B$10,"",MATCH(1090,Tasks!$S$10:$S$1941,0))</x:f>
        <x:v>1454</x:v>
      </x:c>
    </x:row>
    <x:row r="1112" ht="58" customHeight="1">
      <x:c r="B1112" s="86" t="str">
        <x:f>IF($P1112="","",INDEX(Tasks!$B$10:$B$1941,$P1112))</x:f>
        <x:v>Cycle 1</x:v>
      </x:c>
      <x:c r="C1112" s="86" t="str">
        <x:f>IF($P1112="","",INDEX(Tasks!$C$10:$C$1941,$P1112))</x:f>
        <x:v>Phase 1</x:v>
      </x:c>
      <x:c r="D1112" s="86" t="str">
        <x:f>IF($P1112="","",INDEX(Tasks!$D$10:$D$1941,$P1112))</x:f>
        <x:v>FCM</x:v>
      </x:c>
      <x:c r="E1112" s="86"/>
      <x:c r="F1112" s="86" t="str">
        <x:f>IF($P1112="","",INDEX(Tasks!$E$10:$E$1941,$P1112))</x:f>
        <x:v>Design &amp; Insights</x:v>
      </x:c>
      <x:c r="G1112" s="86"/>
      <x:c r="H1112" s="14" t="str">
        <x:f>IF($P1112="","",INDEX(Tasks!$F$10:$F$1941,$P1112)&amp;CHAR(10)&amp;INDEX(Tasks!$G$10:$G$1941,$P1112))</x:f>
        <x:v>DI.FC.1.3
Conduct high-level preliminary review of complaints within proposed topics</x:v>
      </x:c>
      <x:c r="I1112" s="14"/>
      <x:c r="J1112" s="14"/>
      <x:c r="K1112" s="14"/>
      <x:c r="L1112" s="86" t="str">
        <x:f>IF($P1112="","",INDEX(Tasks!$N$10:$N$1941,$P1112))</x:f>
        <x:v>Not started</x:v>
      </x:c>
      <x:c r="M1112" s="87" t="n">
        <x:f>IF($P1112="","",INDEX(Tasks!$J$10:$J$1941,$P1112))</x:f>
        <x:v>46112</x:v>
      </x:c>
      <x:c r="N1112" s="85" t="str">
        <x:f>IF($P1112="","",HYPERLINK("#'"&amp;INDEX(Tasks!$T$10:$T$1941,$P1112)&amp;"'!A"&amp;INDEX(Tasks!$U$10:$U$1941,$P1112),"Open"))</x:f>
        <x:v>Open</x:v>
      </x:c>
      <x:c r="O1112" s="14"/>
      <x:c r="P1112" s="14" t="n">
        <x:f>IF(1091&gt;$B$10,"",MATCH(1091,Tasks!$S$10:$S$1941,0))</x:f>
        <x:v>1455</x:v>
      </x:c>
    </x:row>
    <x:row r="1113" ht="58" customHeight="1">
      <x:c r="B1113" s="86" t="str">
        <x:f>IF($P1113="","",INDEX(Tasks!$B$10:$B$1941,$P1113))</x:f>
        <x:v>Cycle 1</x:v>
      </x:c>
      <x:c r="C1113" s="86" t="str">
        <x:f>IF($P1113="","",INDEX(Tasks!$C$10:$C$1941,$P1113))</x:f>
        <x:v>Phase 1</x:v>
      </x:c>
      <x:c r="D1113" s="86" t="str">
        <x:f>IF($P1113="","",INDEX(Tasks!$D$10:$D$1941,$P1113))</x:f>
        <x:v>FCM</x:v>
      </x:c>
      <x:c r="E1113" s="86"/>
      <x:c r="F1113" s="86" t="str">
        <x:f>IF($P1113="","",INDEX(Tasks!$E$10:$E$1941,$P1113))</x:f>
        <x:v>Design &amp; Insights</x:v>
      </x:c>
      <x:c r="G1113" s="86"/>
      <x:c r="H1113" s="14" t="str">
        <x:f>IF($P1113="","",INDEX(Tasks!$F$10:$F$1941,$P1113)&amp;CHAR(10)&amp;INDEX(Tasks!$G$10:$G$1941,$P1113))</x:f>
        <x:v>DI.FC.1.4
Meet with Research to discuss which topic to select based on potential impact</x:v>
      </x:c>
      <x:c r="I1113" s="14"/>
      <x:c r="J1113" s="14"/>
      <x:c r="K1113" s="14"/>
      <x:c r="L1113" s="86" t="str">
        <x:f>IF($P1113="","",INDEX(Tasks!$N$10:$N$1941,$P1113))</x:f>
        <x:v>Not started</x:v>
      </x:c>
      <x:c r="M1113" s="87" t="n">
        <x:f>IF($P1113="","",INDEX(Tasks!$J$10:$J$1941,$P1113))</x:f>
        <x:v>46112</x:v>
      </x:c>
      <x:c r="N1113" s="85" t="str">
        <x:f>IF($P1113="","",HYPERLINK("#'"&amp;INDEX(Tasks!$T$10:$T$1941,$P1113)&amp;"'!A"&amp;INDEX(Tasks!$U$10:$U$1941,$P1113),"Open"))</x:f>
        <x:v>Open</x:v>
      </x:c>
      <x:c r="O1113" s="14"/>
      <x:c r="P1113" s="14" t="n">
        <x:f>IF(1092&gt;$B$10,"",MATCH(1092,Tasks!$S$10:$S$1941,0))</x:f>
        <x:v>1456</x:v>
      </x:c>
    </x:row>
    <x:row r="1114" ht="58" customHeight="1">
      <x:c r="B1114" s="86" t="str">
        <x:f>IF($P1114="","",INDEX(Tasks!$B$10:$B$1941,$P1114))</x:f>
        <x:v>Cycle 1</x:v>
      </x:c>
      <x:c r="C1114" s="86" t="str">
        <x:f>IF($P1114="","",INDEX(Tasks!$C$10:$C$1941,$P1114))</x:f>
        <x:v>Phase 1</x:v>
      </x:c>
      <x:c r="D1114" s="86" t="str">
        <x:f>IF($P1114="","",INDEX(Tasks!$D$10:$D$1941,$P1114))</x:f>
        <x:v>FCM</x:v>
      </x:c>
      <x:c r="E1114" s="86"/>
      <x:c r="F1114" s="86" t="str">
        <x:f>IF($P1114="","",INDEX(Tasks!$E$10:$E$1941,$P1114))</x:f>
        <x:v>Design &amp; Insights</x:v>
      </x:c>
      <x:c r="G1114" s="86"/>
      <x:c r="H1114" s="14" t="str">
        <x:f>IF($P1114="","",INDEX(Tasks!$F$10:$F$1941,$P1114)&amp;CHAR(10)&amp;INDEX(Tasks!$G$10:$G$1941,$P1114))</x:f>
        <x:v>DI.FC.1.5
Confirm with Research the recommended topic for approval</x:v>
      </x:c>
      <x:c r="I1114" s="14"/>
      <x:c r="J1114" s="14"/>
      <x:c r="K1114" s="14"/>
      <x:c r="L1114" s="86" t="str">
        <x:f>IF($P1114="","",INDEX(Tasks!$N$10:$N$1941,$P1114))</x:f>
        <x:v>Not started</x:v>
      </x:c>
      <x:c r="M1114" s="87" t="n">
        <x:f>IF($P1114="","",INDEX(Tasks!$J$10:$J$1941,$P1114))</x:f>
        <x:v>46112</x:v>
      </x:c>
      <x:c r="N1114" s="85" t="str">
        <x:f>IF($P1114="","",HYPERLINK("#'"&amp;INDEX(Tasks!$T$10:$T$1941,$P1114)&amp;"'!A"&amp;INDEX(Tasks!$U$10:$U$1941,$P1114),"Open"))</x:f>
        <x:v>Open</x:v>
      </x:c>
      <x:c r="O1114" s="14"/>
      <x:c r="P1114" s="14" t="n">
        <x:f>IF(1093&gt;$B$10,"",MATCH(1093,Tasks!$S$10:$S$1941,0))</x:f>
        <x:v>1457</x:v>
      </x:c>
    </x:row>
    <x:row r="1115" ht="58" customHeight="1">
      <x:c r="B1115" s="86" t="str">
        <x:f>IF($P1115="","",INDEX(Tasks!$B$10:$B$1941,$P1115))</x:f>
        <x:v>Cycle 1</x:v>
      </x:c>
      <x:c r="C1115" s="86" t="str">
        <x:f>IF($P1115="","",INDEX(Tasks!$C$10:$C$1941,$P1115))</x:f>
        <x:v>Phase 1</x:v>
      </x:c>
      <x:c r="D1115" s="86" t="str">
        <x:f>IF($P1115="","",INDEX(Tasks!$D$10:$D$1941,$P1115))</x:f>
        <x:v>FCM</x:v>
      </x:c>
      <x:c r="E1115" s="86"/>
      <x:c r="F1115" s="86" t="str">
        <x:f>IF($P1115="","",INDEX(Tasks!$E$10:$E$1941,$P1115))</x:f>
        <x:v>Design &amp; Insights</x:v>
      </x:c>
      <x:c r="G1115" s="86"/>
      <x:c r="H1115" s="14" t="str">
        <x:f>IF($P1115="","",INDEX(Tasks!$F$10:$F$1941,$P1115)&amp;CHAR(10)&amp;INDEX(Tasks!$G$10:$G$1941,$P1115))</x:f>
        <x:v>DI.FC.1.6
Send topic selection socialization email to all key stakeholders on the first day of the review Cycle</x:v>
      </x:c>
      <x:c r="I1115" s="14"/>
      <x:c r="J1115" s="14"/>
      <x:c r="K1115" s="14"/>
      <x:c r="L1115" s="86" t="str">
        <x:f>IF($P1115="","",INDEX(Tasks!$N$10:$N$1941,$P1115))</x:f>
        <x:v>Not started</x:v>
      </x:c>
      <x:c r="M1115" s="87" t="n">
        <x:f>IF($P1115="","",INDEX(Tasks!$J$10:$J$1941,$P1115))</x:f>
        <x:v>46023</x:v>
      </x:c>
      <x:c r="N1115" s="85" t="str">
        <x:f>IF($P1115="","",HYPERLINK("#'"&amp;INDEX(Tasks!$T$10:$T$1941,$P1115)&amp;"'!A"&amp;INDEX(Tasks!$U$10:$U$1941,$P1115),"Open"))</x:f>
        <x:v>Open</x:v>
      </x:c>
      <x:c r="O1115" s="14"/>
      <x:c r="P1115" s="14" t="n">
        <x:f>IF(1094&gt;$B$10,"",MATCH(1094,Tasks!$S$10:$S$1941,0))</x:f>
        <x:v>1458</x:v>
      </x:c>
    </x:row>
    <x:row r="1116" ht="58" customHeight="1">
      <x:c r="B1116" s="86" t="str">
        <x:f>IF($P1116="","",INDEX(Tasks!$B$10:$B$1941,$P1116))</x:f>
        <x:v>Cycle 1</x:v>
      </x:c>
      <x:c r="C1116" s="86" t="str">
        <x:f>IF($P1116="","",INDEX(Tasks!$C$10:$C$1941,$P1116))</x:f>
        <x:v>Phase 2</x:v>
      </x:c>
      <x:c r="D1116" s="86" t="str">
        <x:f>IF($P1116="","",INDEX(Tasks!$D$10:$D$1941,$P1116))</x:f>
        <x:v>FCM</x:v>
      </x:c>
      <x:c r="E1116" s="86"/>
      <x:c r="F1116" s="86" t="str">
        <x:f>IF($P1116="","",INDEX(Tasks!$E$10:$E$1941,$P1116))</x:f>
        <x:v>Design &amp; Insights</x:v>
      </x:c>
      <x:c r="G1116" s="86"/>
      <x:c r="H1116" s="14" t="str">
        <x:f>IF($P1116="","",INDEX(Tasks!$F$10:$F$1941,$P1116)&amp;CHAR(10)&amp;INDEX(Tasks!$G$10:$G$1941,$P1116))</x:f>
        <x:v>DI.FC.2.1
Meet regularly with Research to stay informed on progress, findings, and potential enhancement</x:v>
      </x:c>
      <x:c r="I1116" s="14"/>
      <x:c r="J1116" s="14"/>
      <x:c r="K1116" s="14"/>
      <x:c r="L1116" s="86" t="str">
        <x:f>IF($P1116="","",INDEX(Tasks!$N$10:$N$1941,$P1116))</x:f>
        <x:v>Not started</x:v>
      </x:c>
      <x:c r="M1116" s="87" t="n">
        <x:f>IF($P1116="","",INDEX(Tasks!$J$10:$J$1941,$P1116))</x:f>
        <x:v>46112</x:v>
      </x:c>
      <x:c r="N1116" s="85" t="str">
        <x:f>IF($P1116="","",HYPERLINK("#'"&amp;INDEX(Tasks!$T$10:$T$1941,$P1116)&amp;"'!A"&amp;INDEX(Tasks!$U$10:$U$1941,$P1116),"Open"))</x:f>
        <x:v>Open</x:v>
      </x:c>
      <x:c r="O1116" s="14"/>
      <x:c r="P1116" s="14" t="n">
        <x:f>IF(1095&gt;$B$10,"",MATCH(1095,Tasks!$S$10:$S$1941,0))</x:f>
        <x:v>1459</x:v>
      </x:c>
    </x:row>
    <x:row r="1117" ht="58" customHeight="1">
      <x:c r="B1117" s="86" t="str">
        <x:f>IF($P1117="","",INDEX(Tasks!$B$10:$B$1941,$P1117))</x:f>
        <x:v>Cycle 1</x:v>
      </x:c>
      <x:c r="C1117" s="86" t="str">
        <x:f>IF($P1117="","",INDEX(Tasks!$C$10:$C$1941,$P1117))</x:f>
        <x:v>Phase 2</x:v>
      </x:c>
      <x:c r="D1117" s="86" t="str">
        <x:f>IF($P1117="","",INDEX(Tasks!$D$10:$D$1941,$P1117))</x:f>
        <x:v>FCM</x:v>
      </x:c>
      <x:c r="E1117" s="86"/>
      <x:c r="F1117" s="86" t="str">
        <x:f>IF($P1117="","",INDEX(Tasks!$E$10:$E$1941,$P1117))</x:f>
        <x:v>Design &amp; Insights</x:v>
      </x:c>
      <x:c r="G1117" s="86"/>
      <x:c r="H1117" s="14" t="str">
        <x:f>IF($P1117="","",INDEX(Tasks!$F$10:$F$1941,$P1117)&amp;CHAR(10)&amp;INDEX(Tasks!$G$10:$G$1941,$P1117))</x:f>
        <x:v>DI.FC.2.2
Collaborate with Research on research plan specifics</x:v>
      </x:c>
      <x:c r="I1117" s="14"/>
      <x:c r="J1117" s="14"/>
      <x:c r="K1117" s="14"/>
      <x:c r="L1117" s="86" t="str">
        <x:f>IF($P1117="","",INDEX(Tasks!$N$10:$N$1941,$P1117))</x:f>
        <x:v>Not started</x:v>
      </x:c>
      <x:c r="M1117" s="87" t="n">
        <x:f>IF($P1117="","",INDEX(Tasks!$J$10:$J$1941,$P1117))</x:f>
        <x:v>46112</x:v>
      </x:c>
      <x:c r="N1117" s="85" t="str">
        <x:f>IF($P1117="","",HYPERLINK("#'"&amp;INDEX(Tasks!$T$10:$T$1941,$P1117)&amp;"'!A"&amp;INDEX(Tasks!$U$10:$U$1941,$P1117),"Open"))</x:f>
        <x:v>Open</x:v>
      </x:c>
      <x:c r="O1117" s="14"/>
      <x:c r="P1117" s="14" t="n">
        <x:f>IF(1096&gt;$B$10,"",MATCH(1096,Tasks!$S$10:$S$1941,0))</x:f>
        <x:v>1460</x:v>
      </x:c>
    </x:row>
    <x:row r="1118" ht="58" customHeight="1">
      <x:c r="B1118" s="86" t="str">
        <x:f>IF($P1118="","",INDEX(Tasks!$B$10:$B$1941,$P1118))</x:f>
        <x:v>Cycle 1</x:v>
      </x:c>
      <x:c r="C1118" s="86" t="str">
        <x:f>IF($P1118="","",INDEX(Tasks!$C$10:$C$1941,$P1118))</x:f>
        <x:v>Phase 2</x:v>
      </x:c>
      <x:c r="D1118" s="86" t="str">
        <x:f>IF($P1118="","",INDEX(Tasks!$D$10:$D$1941,$P1118))</x:f>
        <x:v>FCM</x:v>
      </x:c>
      <x:c r="E1118" s="86"/>
      <x:c r="F1118" s="86" t="str">
        <x:f>IF($P1118="","",INDEX(Tasks!$E$10:$E$1941,$P1118))</x:f>
        <x:v>Design &amp; Insights</x:v>
      </x:c>
      <x:c r="G1118" s="86"/>
      <x:c r="H1118" s="14" t="str">
        <x:f>IF($P1118="","",INDEX(Tasks!$F$10:$F$1941,$P1118)&amp;CHAR(10)&amp;INDEX(Tasks!$G$10:$G$1941,$P1118))</x:f>
        <x:v>DI.FC.2.3
Participate in SME insight meetings to gain perspective and appetite on potential enhancements</x:v>
      </x:c>
      <x:c r="I1118" s="14"/>
      <x:c r="J1118" s="14"/>
      <x:c r="K1118" s="14"/>
      <x:c r="L1118" s="86" t="str">
        <x:f>IF($P1118="","",INDEX(Tasks!$N$10:$N$1941,$P1118))</x:f>
        <x:v>Not started</x:v>
      </x:c>
      <x:c r="M1118" s="87" t="n">
        <x:f>IF($P1118="","",INDEX(Tasks!$J$10:$J$1941,$P1118))</x:f>
        <x:v>46112</x:v>
      </x:c>
      <x:c r="N1118" s="85" t="str">
        <x:f>IF($P1118="","",HYPERLINK("#'"&amp;INDEX(Tasks!$T$10:$T$1941,$P1118)&amp;"'!A"&amp;INDEX(Tasks!$U$10:$U$1941,$P1118),"Open"))</x:f>
        <x:v>Open</x:v>
      </x:c>
      <x:c r="O1118" s="14"/>
      <x:c r="P1118" s="14" t="n">
        <x:f>IF(1097&gt;$B$10,"",MATCH(1097,Tasks!$S$10:$S$1941,0))</x:f>
        <x:v>1461</x:v>
      </x:c>
    </x:row>
    <x:row r="1119" ht="58" customHeight="1">
      <x:c r="B1119" s="86" t="str">
        <x:f>IF($P1119="","",INDEX(Tasks!$B$10:$B$1941,$P1119))</x:f>
        <x:v>Cycle 1</x:v>
      </x:c>
      <x:c r="C1119" s="86" t="str">
        <x:f>IF($P1119="","",INDEX(Tasks!$C$10:$C$1941,$P1119))</x:f>
        <x:v>Phase 2</x:v>
      </x:c>
      <x:c r="D1119" s="86" t="str">
        <x:f>IF($P1119="","",INDEX(Tasks!$D$10:$D$1941,$P1119))</x:f>
        <x:v>FCM</x:v>
      </x:c>
      <x:c r="E1119" s="86"/>
      <x:c r="F1119" s="86" t="str">
        <x:f>IF($P1119="","",INDEX(Tasks!$E$10:$E$1941,$P1119))</x:f>
        <x:v>Design &amp; Insights</x:v>
      </x:c>
      <x:c r="G1119" s="86"/>
      <x:c r="H1119" s="14" t="str">
        <x:f>IF($P1119="","",INDEX(Tasks!$F$10:$F$1941,$P1119)&amp;CHAR(10)&amp;INDEX(Tasks!$G$10:$G$1941,$P1119))</x:f>
        <x:v>DI.FC.2.4
Begin development of presentation materials as Research is being completed</x:v>
      </x:c>
      <x:c r="I1119" s="14"/>
      <x:c r="J1119" s="14"/>
      <x:c r="K1119" s="14"/>
      <x:c r="L1119" s="86" t="str">
        <x:f>IF($P1119="","",INDEX(Tasks!$N$10:$N$1941,$P1119))</x:f>
        <x:v>Not started</x:v>
      </x:c>
      <x:c r="M1119" s="87" t="n">
        <x:f>IF($P1119="","",INDEX(Tasks!$J$10:$J$1941,$P1119))</x:f>
        <x:v>46112</x:v>
      </x:c>
      <x:c r="N1119" s="85" t="str">
        <x:f>IF($P1119="","",HYPERLINK("#'"&amp;INDEX(Tasks!$T$10:$T$1941,$P1119)&amp;"'!A"&amp;INDEX(Tasks!$U$10:$U$1941,$P1119),"Open"))</x:f>
        <x:v>Open</x:v>
      </x:c>
      <x:c r="O1119" s="14"/>
      <x:c r="P1119" s="14" t="n">
        <x:f>IF(1098&gt;$B$10,"",MATCH(1098,Tasks!$S$10:$S$1941,0))</x:f>
        <x:v>1462</x:v>
      </x:c>
    </x:row>
    <x:row r="1120" ht="58" customHeight="1">
      <x:c r="B1120" s="86" t="str">
        <x:f>IF($P1120="","",INDEX(Tasks!$B$10:$B$1941,$P1120))</x:f>
        <x:v>Cycle 1</x:v>
      </x:c>
      <x:c r="C1120" s="86" t="str">
        <x:f>IF($P1120="","",INDEX(Tasks!$C$10:$C$1941,$P1120))</x:f>
        <x:v>Phase 2</x:v>
      </x:c>
      <x:c r="D1120" s="86" t="str">
        <x:f>IF($P1120="","",INDEX(Tasks!$D$10:$D$1941,$P1120))</x:f>
        <x:v>FCM</x:v>
      </x:c>
      <x:c r="E1120" s="86"/>
      <x:c r="F1120" s="86" t="str">
        <x:f>IF($P1120="","",INDEX(Tasks!$E$10:$E$1941,$P1120))</x:f>
        <x:v>Design &amp; Insights</x:v>
      </x:c>
      <x:c r="G1120" s="86"/>
      <x:c r="H1120" s="14" t="str">
        <x:f>IF($P1120="","",INDEX(Tasks!$F$10:$F$1941,$P1120)&amp;CHAR(10)&amp;INDEX(Tasks!$G$10:$G$1941,$P1120))</x:f>
        <x:v>DI.FC.2.5
Draft initial enhancement recommendations (as applicable)</x:v>
      </x:c>
      <x:c r="I1120" s="14"/>
      <x:c r="J1120" s="14"/>
      <x:c r="K1120" s="14"/>
      <x:c r="L1120" s="86" t="str">
        <x:f>IF($P1120="","",INDEX(Tasks!$N$10:$N$1941,$P1120))</x:f>
        <x:v>Not started</x:v>
      </x:c>
      <x:c r="M1120" s="87" t="n">
        <x:f>IF($P1120="","",INDEX(Tasks!$J$10:$J$1941,$P1120))</x:f>
        <x:v>46112</x:v>
      </x:c>
      <x:c r="N1120" s="85" t="str">
        <x:f>IF($P1120="","",HYPERLINK("#'"&amp;INDEX(Tasks!$T$10:$T$1941,$P1120)&amp;"'!A"&amp;INDEX(Tasks!$U$10:$U$1941,$P1120),"Open"))</x:f>
        <x:v>Open</x:v>
      </x:c>
      <x:c r="O1120" s="14"/>
      <x:c r="P1120" s="14" t="n">
        <x:f>IF(1099&gt;$B$10,"",MATCH(1099,Tasks!$S$10:$S$1941,0))</x:f>
        <x:v>1463</x:v>
      </x:c>
    </x:row>
    <x:row r="1121" ht="58" customHeight="1">
      <x:c r="B1121" s="86" t="str">
        <x:f>IF($P1121="","",INDEX(Tasks!$B$10:$B$1941,$P1121))</x:f>
        <x:v>Cycle 1</x:v>
      </x:c>
      <x:c r="C1121" s="86" t="str">
        <x:f>IF($P1121="","",INDEX(Tasks!$C$10:$C$1941,$P1121))</x:f>
        <x:v>Phase 2</x:v>
      </x:c>
      <x:c r="D1121" s="86" t="str">
        <x:f>IF($P1121="","",INDEX(Tasks!$D$10:$D$1941,$P1121))</x:f>
        <x:v>FCM</x:v>
      </x:c>
      <x:c r="E1121" s="86"/>
      <x:c r="F1121" s="86" t="str">
        <x:f>IF($P1121="","",INDEX(Tasks!$E$10:$E$1941,$P1121))</x:f>
        <x:v>Design &amp; Insights</x:v>
      </x:c>
      <x:c r="G1121" s="86"/>
      <x:c r="H1121" s="14" t="str">
        <x:f>IF($P1121="","",INDEX(Tasks!$F$10:$F$1941,$P1121)&amp;CHAR(10)&amp;INDEX(Tasks!$G$10:$G$1941,$P1121))</x:f>
        <x:v>DI.FC.2.6
Finalize presentation deck draft at conclusion of Research phase</x:v>
      </x:c>
      <x:c r="I1121" s="14"/>
      <x:c r="J1121" s="14"/>
      <x:c r="K1121" s="14"/>
      <x:c r="L1121" s="86" t="str">
        <x:f>IF($P1121="","",INDEX(Tasks!$N$10:$N$1941,$P1121))</x:f>
        <x:v>Not started</x:v>
      </x:c>
      <x:c r="M1121" s="87" t="n">
        <x:f>IF($P1121="","",INDEX(Tasks!$J$10:$J$1941,$P1121))</x:f>
        <x:v>46112</x:v>
      </x:c>
      <x:c r="N1121" s="85" t="str">
        <x:f>IF($P1121="","",HYPERLINK("#'"&amp;INDEX(Tasks!$T$10:$T$1941,$P1121)&amp;"'!A"&amp;INDEX(Tasks!$U$10:$U$1941,$P1121),"Open"))</x:f>
        <x:v>Open</x:v>
      </x:c>
      <x:c r="O1121" s="14"/>
      <x:c r="P1121" s="14" t="n">
        <x:f>IF(1100&gt;$B$10,"",MATCH(1100,Tasks!$S$10:$S$1941,0))</x:f>
        <x:v>1464</x:v>
      </x:c>
    </x:row>
    <x:row r="1122" ht="58" customHeight="1">
      <x:c r="B1122" s="86" t="str">
        <x:f>IF($P1122="","",INDEX(Tasks!$B$10:$B$1941,$P1122))</x:f>
        <x:v>Cycle 1</x:v>
      </x:c>
      <x:c r="C1122" s="86" t="str">
        <x:f>IF($P1122="","",INDEX(Tasks!$C$10:$C$1941,$P1122))</x:f>
        <x:v>Phase 2</x:v>
      </x:c>
      <x:c r="D1122" s="86" t="str">
        <x:f>IF($P1122="","",INDEX(Tasks!$D$10:$D$1941,$P1122))</x:f>
        <x:v>FCM</x:v>
      </x:c>
      <x:c r="E1122" s="86"/>
      <x:c r="F1122" s="86" t="str">
        <x:f>IF($P1122="","",INDEX(Tasks!$E$10:$E$1941,$P1122))</x:f>
        <x:v>Design &amp; Insights</x:v>
      </x:c>
      <x:c r="G1122" s="86"/>
      <x:c r="H1122" s="14" t="str">
        <x:f>IF($P1122="","",INDEX(Tasks!$F$10:$F$1941,$P1122)&amp;CHAR(10)&amp;INDEX(Tasks!$G$10:$G$1941,$P1122))</x:f>
        <x:v>DI.FC.2.7
Update Outcome portion of research plan with current enhancement verbiage (as needed)</x:v>
      </x:c>
      <x:c r="I1122" s="14"/>
      <x:c r="J1122" s="14"/>
      <x:c r="K1122" s="14"/>
      <x:c r="L1122" s="86" t="str">
        <x:f>IF($P1122="","",INDEX(Tasks!$N$10:$N$1941,$P1122))</x:f>
        <x:v>Not started</x:v>
      </x:c>
      <x:c r="M1122" s="87" t="n">
        <x:f>IF($P1122="","",INDEX(Tasks!$J$10:$J$1941,$P1122))</x:f>
        <x:v>46112</x:v>
      </x:c>
      <x:c r="N1122" s="85" t="str">
        <x:f>IF($P1122="","",HYPERLINK("#'"&amp;INDEX(Tasks!$T$10:$T$1941,$P1122)&amp;"'!A"&amp;INDEX(Tasks!$U$10:$U$1941,$P1122),"Open"))</x:f>
        <x:v>Open</x:v>
      </x:c>
      <x:c r="O1122" s="14"/>
      <x:c r="P1122" s="14" t="n">
        <x:f>IF(1101&gt;$B$10,"",MATCH(1101,Tasks!$S$10:$S$1941,0))</x:f>
        <x:v>1465</x:v>
      </x:c>
    </x:row>
    <x:row r="1123" ht="58" customHeight="1">
      <x:c r="B1123" s="86" t="str">
        <x:f>IF($P1123="","",INDEX(Tasks!$B$10:$B$1941,$P1123))</x:f>
        <x:v>Cycle 1</x:v>
      </x:c>
      <x:c r="C1123" s="86" t="str">
        <x:f>IF($P1123="","",INDEX(Tasks!$C$10:$C$1941,$P1123))</x:f>
        <x:v>Phase 3</x:v>
      </x:c>
      <x:c r="D1123" s="86" t="str">
        <x:f>IF($P1123="","",INDEX(Tasks!$D$10:$D$1941,$P1123))</x:f>
        <x:v>FCM</x:v>
      </x:c>
      <x:c r="E1123" s="86"/>
      <x:c r="F1123" s="86" t="str">
        <x:f>IF($P1123="","",INDEX(Tasks!$E$10:$E$1941,$P1123))</x:f>
        <x:v>Design &amp; Insights</x:v>
      </x:c>
      <x:c r="G1123" s="86"/>
      <x:c r="H1123" s="14" t="str">
        <x:f>IF($P1123="","",INDEX(Tasks!$F$10:$F$1941,$P1123)&amp;CHAR(10)&amp;INDEX(Tasks!$G$10:$G$1941,$P1123))</x:f>
        <x:v>DI.FC.3.1
Confirm list of required &amp; optional attendees for pre-socialization meeting</x:v>
      </x:c>
      <x:c r="I1123" s="14"/>
      <x:c r="J1123" s="14"/>
      <x:c r="K1123" s="14"/>
      <x:c r="L1123" s="86" t="str">
        <x:f>IF($P1123="","",INDEX(Tasks!$N$10:$N$1941,$P1123))</x:f>
        <x:v>Not started</x:v>
      </x:c>
      <x:c r="M1123" s="87" t="n">
        <x:f>IF($P1123="","",INDEX(Tasks!$J$10:$J$1941,$P1123))</x:f>
        <x:v>46112</x:v>
      </x:c>
      <x:c r="N1123" s="85" t="str">
        <x:f>IF($P1123="","",HYPERLINK("#'"&amp;INDEX(Tasks!$T$10:$T$1941,$P1123)&amp;"'!A"&amp;INDEX(Tasks!$U$10:$U$1941,$P1123),"Open"))</x:f>
        <x:v>Open</x:v>
      </x:c>
      <x:c r="O1123" s="14"/>
      <x:c r="P1123" s="14" t="n">
        <x:f>IF(1102&gt;$B$10,"",MATCH(1102,Tasks!$S$10:$S$1941,0))</x:f>
        <x:v>1466</x:v>
      </x:c>
    </x:row>
    <x:row r="1124" ht="58" customHeight="1">
      <x:c r="B1124" s="86" t="str">
        <x:f>IF($P1124="","",INDEX(Tasks!$B$10:$B$1941,$P1124))</x:f>
        <x:v>Cycle 1</x:v>
      </x:c>
      <x:c r="C1124" s="86" t="str">
        <x:f>IF($P1124="","",INDEX(Tasks!$C$10:$C$1941,$P1124))</x:f>
        <x:v>Phase 3</x:v>
      </x:c>
      <x:c r="D1124" s="86" t="str">
        <x:f>IF($P1124="","",INDEX(Tasks!$D$10:$D$1941,$P1124))</x:f>
        <x:v>FCM</x:v>
      </x:c>
      <x:c r="E1124" s="86"/>
      <x:c r="F1124" s="86" t="str">
        <x:f>IF($P1124="","",INDEX(Tasks!$E$10:$E$1941,$P1124))</x:f>
        <x:v>Design &amp; Insights</x:v>
      </x:c>
      <x:c r="G1124" s="86"/>
      <x:c r="H1124" s="14" t="str">
        <x:f>IF($P1124="","",INDEX(Tasks!$F$10:$F$1941,$P1124)&amp;CHAR(10)&amp;INDEX(Tasks!$G$10:$G$1941,$P1124))</x:f>
        <x:v>DI.FC.3.2
Schedule pre-socialization meeting 1 week prior to RCA Forum</x:v>
      </x:c>
      <x:c r="I1124" s="14"/>
      <x:c r="J1124" s="14"/>
      <x:c r="K1124" s="14"/>
      <x:c r="L1124" s="86" t="str">
        <x:f>IF($P1124="","",INDEX(Tasks!$N$10:$N$1941,$P1124))</x:f>
        <x:v>Not started</x:v>
      </x:c>
      <x:c r="M1124" s="87" t="str">
        <x:f>IF($P1124="","",INDEX(Tasks!$J$10:$J$1941,$P1124))</x:f>
      </x:c>
      <x:c r="N1124" s="85" t="str">
        <x:f>IF($P1124="","",HYPERLINK("#'"&amp;INDEX(Tasks!$T$10:$T$1941,$P1124)&amp;"'!A"&amp;INDEX(Tasks!$U$10:$U$1941,$P1124),"Open"))</x:f>
        <x:v>Open</x:v>
      </x:c>
      <x:c r="O1124" s="14"/>
      <x:c r="P1124" s="14" t="n">
        <x:f>IF(1103&gt;$B$10,"",MATCH(1103,Tasks!$S$10:$S$1941,0))</x:f>
        <x:v>1467</x:v>
      </x:c>
    </x:row>
    <x:row r="1125" ht="58" customHeight="1">
      <x:c r="B1125" s="86" t="str">
        <x:f>IF($P1125="","",INDEX(Tasks!$B$10:$B$1941,$P1125))</x:f>
        <x:v>Cycle 1</x:v>
      </x:c>
      <x:c r="C1125" s="86" t="str">
        <x:f>IF($P1125="","",INDEX(Tasks!$C$10:$C$1941,$P1125))</x:f>
        <x:v>Phase 3</x:v>
      </x:c>
      <x:c r="D1125" s="86" t="str">
        <x:f>IF($P1125="","",INDEX(Tasks!$D$10:$D$1941,$P1125))</x:f>
        <x:v>FCM</x:v>
      </x:c>
      <x:c r="E1125" s="86"/>
      <x:c r="F1125" s="86" t="str">
        <x:f>IF($P1125="","",INDEX(Tasks!$E$10:$E$1941,$P1125))</x:f>
        <x:v>Design &amp; Insights</x:v>
      </x:c>
      <x:c r="G1125" s="86"/>
      <x:c r="H1125" s="14" t="str">
        <x:f>IF($P1125="","",INDEX(Tasks!$F$10:$F$1941,$P1125)&amp;CHAR(10)&amp;INDEX(Tasks!$G$10:$G$1941,$P1125))</x:f>
        <x:v>DI.FC.3.3
Present findings, conclusions, and recommendation to SMEs</x:v>
      </x:c>
      <x:c r="I1125" s="14"/>
      <x:c r="J1125" s="14"/>
      <x:c r="K1125" s="14"/>
      <x:c r="L1125" s="86" t="str">
        <x:f>IF($P1125="","",INDEX(Tasks!$N$10:$N$1941,$P1125))</x:f>
        <x:v>Not started</x:v>
      </x:c>
      <x:c r="M1125" s="87" t="n">
        <x:f>IF($P1125="","",INDEX(Tasks!$J$10:$J$1941,$P1125))</x:f>
        <x:v>46112</x:v>
      </x:c>
      <x:c r="N1125" s="85" t="str">
        <x:f>IF($P1125="","",HYPERLINK("#'"&amp;INDEX(Tasks!$T$10:$T$1941,$P1125)&amp;"'!A"&amp;INDEX(Tasks!$U$10:$U$1941,$P1125),"Open"))</x:f>
        <x:v>Open</x:v>
      </x:c>
      <x:c r="O1125" s="14"/>
      <x:c r="P1125" s="14" t="n">
        <x:f>IF(1104&gt;$B$10,"",MATCH(1104,Tasks!$S$10:$S$1941,0))</x:f>
        <x:v>1468</x:v>
      </x:c>
    </x:row>
    <x:row r="1126" ht="58" customHeight="1">
      <x:c r="B1126" s="86" t="str">
        <x:f>IF($P1126="","",INDEX(Tasks!$B$10:$B$1941,$P1126))</x:f>
        <x:v>Cycle 1</x:v>
      </x:c>
      <x:c r="C1126" s="86" t="str">
        <x:f>IF($P1126="","",INDEX(Tasks!$C$10:$C$1941,$P1126))</x:f>
        <x:v>Phase 3</x:v>
      </x:c>
      <x:c r="D1126" s="86" t="str">
        <x:f>IF($P1126="","",INDEX(Tasks!$D$10:$D$1941,$P1126))</x:f>
        <x:v>FCM</x:v>
      </x:c>
      <x:c r="E1126" s="86"/>
      <x:c r="F1126" s="86" t="str">
        <x:f>IF($P1126="","",INDEX(Tasks!$E$10:$E$1941,$P1126))</x:f>
        <x:v>Design &amp; Insights</x:v>
      </x:c>
      <x:c r="G1126" s="86"/>
      <x:c r="H1126" s="14" t="str">
        <x:f>IF($P1126="","",INDEX(Tasks!$F$10:$F$1941,$P1126)&amp;CHAR(10)&amp;INDEX(Tasks!$G$10:$G$1941,$P1126))</x:f>
        <x:v>DI.FC.3.4
Update Outcome portion of research plan (as needed)</x:v>
      </x:c>
      <x:c r="I1126" s="14"/>
      <x:c r="J1126" s="14"/>
      <x:c r="K1126" s="14"/>
      <x:c r="L1126" s="86" t="str">
        <x:f>IF($P1126="","",INDEX(Tasks!$N$10:$N$1941,$P1126))</x:f>
        <x:v>Not started</x:v>
      </x:c>
      <x:c r="M1126" s="87" t="n">
        <x:f>IF($P1126="","",INDEX(Tasks!$J$10:$J$1941,$P1126))</x:f>
        <x:v>46112</x:v>
      </x:c>
      <x:c r="N1126" s="85" t="str">
        <x:f>IF($P1126="","",HYPERLINK("#'"&amp;INDEX(Tasks!$T$10:$T$1941,$P1126)&amp;"'!A"&amp;INDEX(Tasks!$U$10:$U$1941,$P1126),"Open"))</x:f>
        <x:v>Open</x:v>
      </x:c>
      <x:c r="O1126" s="14"/>
      <x:c r="P1126" s="14" t="n">
        <x:f>IF(1105&gt;$B$10,"",MATCH(1105,Tasks!$S$10:$S$1941,0))</x:f>
        <x:v>1469</x:v>
      </x:c>
    </x:row>
    <x:row r="1127" ht="58" customHeight="1">
      <x:c r="B1127" s="86" t="str">
        <x:f>IF($P1127="","",INDEX(Tasks!$B$10:$B$1941,$P1127))</x:f>
        <x:v>Cycle 1</x:v>
      </x:c>
      <x:c r="C1127" s="86" t="str">
        <x:f>IF($P1127="","",INDEX(Tasks!$C$10:$C$1941,$P1127))</x:f>
        <x:v>Phase 3</x:v>
      </x:c>
      <x:c r="D1127" s="86" t="str">
        <x:f>IF($P1127="","",INDEX(Tasks!$D$10:$D$1941,$P1127))</x:f>
        <x:v>FCM</x:v>
      </x:c>
      <x:c r="E1127" s="86"/>
      <x:c r="F1127" s="86" t="str">
        <x:f>IF($P1127="","",INDEX(Tasks!$E$10:$E$1941,$P1127))</x:f>
        <x:v>Design &amp; Insights</x:v>
      </x:c>
      <x:c r="G1127" s="86"/>
      <x:c r="H1127" s="14" t="str">
        <x:f>IF($P1127="","",INDEX(Tasks!$F$10:$F$1941,$P1127)&amp;CHAR(10)&amp;INDEX(Tasks!$G$10:$G$1941,$P1127))</x:f>
        <x:v>DI.FC.3.5
Finalize presentation deck by incorporating pre-socialization feedback (as needed)</x:v>
      </x:c>
      <x:c r="I1127" s="14"/>
      <x:c r="J1127" s="14"/>
      <x:c r="K1127" s="14"/>
      <x:c r="L1127" s="86" t="str">
        <x:f>IF($P1127="","",INDEX(Tasks!$N$10:$N$1941,$P1127))</x:f>
        <x:v>Not started</x:v>
      </x:c>
      <x:c r="M1127" s="87" t="n">
        <x:f>IF($P1127="","",INDEX(Tasks!$J$10:$J$1941,$P1127))</x:f>
        <x:v>46112</x:v>
      </x:c>
      <x:c r="N1127" s="85" t="str">
        <x:f>IF($P1127="","",HYPERLINK("#'"&amp;INDEX(Tasks!$T$10:$T$1941,$P1127)&amp;"'!A"&amp;INDEX(Tasks!$U$10:$U$1941,$P1127),"Open"))</x:f>
        <x:v>Open</x:v>
      </x:c>
      <x:c r="O1127" s="14"/>
      <x:c r="P1127" s="14" t="n">
        <x:f>IF(1106&gt;$B$10,"",MATCH(1106,Tasks!$S$10:$S$1941,0))</x:f>
        <x:v>1470</x:v>
      </x:c>
    </x:row>
    <x:row r="1128" ht="58" customHeight="1">
      <x:c r="B1128" s="86" t="str">
        <x:f>IF($P1128="","",INDEX(Tasks!$B$10:$B$1941,$P1128))</x:f>
        <x:v>Cycle 1</x:v>
      </x:c>
      <x:c r="C1128" s="86" t="str">
        <x:f>IF($P1128="","",INDEX(Tasks!$C$10:$C$1941,$P1128))</x:f>
        <x:v>Phase 3</x:v>
      </x:c>
      <x:c r="D1128" s="86" t="str">
        <x:f>IF($P1128="","",INDEX(Tasks!$D$10:$D$1941,$P1128))</x:f>
        <x:v>FCM</x:v>
      </x:c>
      <x:c r="E1128" s="86"/>
      <x:c r="F1128" s="86" t="str">
        <x:f>IF($P1128="","",INDEX(Tasks!$E$10:$E$1941,$P1128))</x:f>
        <x:v>Design &amp; Insights</x:v>
      </x:c>
      <x:c r="G1128" s="86"/>
      <x:c r="H1128" s="14" t="str">
        <x:f>IF($P1128="","",INDEX(Tasks!$F$10:$F$1941,$P1128)&amp;CHAR(10)&amp;INDEX(Tasks!$G$10:$G$1941,$P1128))</x:f>
        <x:v>DI.FC.3.6
Ensure final deck is communicated to Forum attendees</x:v>
      </x:c>
      <x:c r="I1128" s="14"/>
      <x:c r="J1128" s="14"/>
      <x:c r="K1128" s="14"/>
      <x:c r="L1128" s="86" t="str">
        <x:f>IF($P1128="","",INDEX(Tasks!$N$10:$N$1941,$P1128))</x:f>
        <x:v>Not started</x:v>
      </x:c>
      <x:c r="M1128" s="87" t="n">
        <x:f>IF($P1128="","",INDEX(Tasks!$J$10:$J$1941,$P1128))</x:f>
        <x:v>46112</x:v>
      </x:c>
      <x:c r="N1128" s="85" t="str">
        <x:f>IF($P1128="","",HYPERLINK("#'"&amp;INDEX(Tasks!$T$10:$T$1941,$P1128)&amp;"'!A"&amp;INDEX(Tasks!$U$10:$U$1941,$P1128),"Open"))</x:f>
        <x:v>Open</x:v>
      </x:c>
      <x:c r="O1128" s="14"/>
      <x:c r="P1128" s="14" t="n">
        <x:f>IF(1107&gt;$B$10,"",MATCH(1107,Tasks!$S$10:$S$1941,0))</x:f>
        <x:v>1471</x:v>
      </x:c>
    </x:row>
    <x:row r="1129" ht="58" customHeight="1">
      <x:c r="B1129" s="86" t="str">
        <x:f>IF($P1129="","",INDEX(Tasks!$B$10:$B$1941,$P1129))</x:f>
        <x:v>Cycle 1</x:v>
      </x:c>
      <x:c r="C1129" s="86" t="str">
        <x:f>IF($P1129="","",INDEX(Tasks!$C$10:$C$1941,$P1129))</x:f>
        <x:v>Phase 3</x:v>
      </x:c>
      <x:c r="D1129" s="86" t="str">
        <x:f>IF($P1129="","",INDEX(Tasks!$D$10:$D$1941,$P1129))</x:f>
        <x:v>FCM</x:v>
      </x:c>
      <x:c r="E1129" s="86"/>
      <x:c r="F1129" s="86" t="str">
        <x:f>IF($P1129="","",INDEX(Tasks!$E$10:$E$1941,$P1129))</x:f>
        <x:v>Design &amp; Insights</x:v>
      </x:c>
      <x:c r="G1129" s="86"/>
      <x:c r="H1129" s="14" t="str">
        <x:f>IF($P1129="","",INDEX(Tasks!$F$10:$F$1941,$P1129)&amp;CHAR(10)&amp;INDEX(Tasks!$G$10:$G$1941,$P1129))</x:f>
        <x:v>DI.FC.3.7
Present material in RCA Cycle Forum</x:v>
      </x:c>
      <x:c r="I1129" s="14"/>
      <x:c r="J1129" s="14"/>
      <x:c r="K1129" s="14"/>
      <x:c r="L1129" s="86" t="str">
        <x:f>IF($P1129="","",INDEX(Tasks!$N$10:$N$1941,$P1129))</x:f>
        <x:v>Not started</x:v>
      </x:c>
      <x:c r="M1129" s="87" t="str">
        <x:f>IF($P1129="","",INDEX(Tasks!$J$10:$J$1941,$P1129))</x:f>
      </x:c>
      <x:c r="N1129" s="85" t="str">
        <x:f>IF($P1129="","",HYPERLINK("#'"&amp;INDEX(Tasks!$T$10:$T$1941,$P1129)&amp;"'!A"&amp;INDEX(Tasks!$U$10:$U$1941,$P1129),"Open"))</x:f>
        <x:v>Open</x:v>
      </x:c>
      <x:c r="O1129" s="14"/>
      <x:c r="P1129" s="14" t="n">
        <x:f>IF(1108&gt;$B$10,"",MATCH(1108,Tasks!$S$10:$S$1941,0))</x:f>
        <x:v>1472</x:v>
      </x:c>
    </x:row>
    <x:row r="1130" ht="58" customHeight="1">
      <x:c r="B1130" s="86" t="str">
        <x:f>IF($P1130="","",INDEX(Tasks!$B$10:$B$1941,$P1130))</x:f>
        <x:v>Cycle 1</x:v>
      </x:c>
      <x:c r="C1130" s="86" t="str">
        <x:f>IF($P1130="","",INDEX(Tasks!$C$10:$C$1941,$P1130))</x:f>
        <x:v>Phase 1</x:v>
      </x:c>
      <x:c r="D1130" s="86" t="str">
        <x:f>IF($P1130="","",INDEX(Tasks!$D$10:$D$1941,$P1130))</x:f>
        <x:v>PLL</x:v>
      </x:c>
      <x:c r="E1130" s="86"/>
      <x:c r="F1130" s="86" t="str">
        <x:f>IF($P1130="","",INDEX(Tasks!$E$10:$E$1941,$P1130))</x:f>
        <x:v>Design &amp; Insights</x:v>
      </x:c>
      <x:c r="G1130" s="86"/>
      <x:c r="H1130" s="14" t="str">
        <x:f>IF($P1130="","",INDEX(Tasks!$F$10:$F$1941,$P1130)&amp;CHAR(10)&amp;INDEX(Tasks!$G$10:$G$1941,$P1130))</x:f>
        <x:v>DI.PL.1.1
Receive and review potential research topics at least 2 weeks prior to Cycle start date</x:v>
      </x:c>
      <x:c r="I1130" s="14"/>
      <x:c r="J1130" s="14"/>
      <x:c r="K1130" s="14"/>
      <x:c r="L1130" s="86" t="str">
        <x:f>IF($P1130="","",INDEX(Tasks!$N$10:$N$1941,$P1130))</x:f>
        <x:v>Not started</x:v>
      </x:c>
      <x:c r="M1130" s="87" t="n">
        <x:f>IF($P1130="","",INDEX(Tasks!$J$10:$J$1941,$P1130))</x:f>
        <x:v>46009</x:v>
      </x:c>
      <x:c r="N1130" s="85" t="str">
        <x:f>IF($P1130="","",HYPERLINK("#'"&amp;INDEX(Tasks!$T$10:$T$1941,$P1130)&amp;"'!A"&amp;INDEX(Tasks!$U$10:$U$1941,$P1130),"Open"))</x:f>
        <x:v>Open</x:v>
      </x:c>
      <x:c r="O1130" s="14"/>
      <x:c r="P1130" s="14" t="n">
        <x:f>IF(1109&gt;$B$10,"",MATCH(1109,Tasks!$S$10:$S$1941,0))</x:f>
        <x:v>1473</x:v>
      </x:c>
    </x:row>
    <x:row r="1131" ht="58" customHeight="1">
      <x:c r="B1131" s="86" t="str">
        <x:f>IF($P1131="","",INDEX(Tasks!$B$10:$B$1941,$P1131))</x:f>
        <x:v>Cycle 1</x:v>
      </x:c>
      <x:c r="C1131" s="86" t="str">
        <x:f>IF($P1131="","",INDEX(Tasks!$C$10:$C$1941,$P1131))</x:f>
        <x:v>Phase 1</x:v>
      </x:c>
      <x:c r="D1131" s="86" t="str">
        <x:f>IF($P1131="","",INDEX(Tasks!$D$10:$D$1941,$P1131))</x:f>
        <x:v>PLL</x:v>
      </x:c>
      <x:c r="E1131" s="86"/>
      <x:c r="F1131" s="86" t="str">
        <x:f>IF($P1131="","",INDEX(Tasks!$E$10:$E$1941,$P1131))</x:f>
        <x:v>Design &amp; Insights</x:v>
      </x:c>
      <x:c r="G1131" s="86"/>
      <x:c r="H1131" s="14" t="str">
        <x:f>IF($P1131="","",INDEX(Tasks!$F$10:$F$1941,$P1131)&amp;CHAR(10)&amp;INDEX(Tasks!$G$10:$G$1941,$P1131))</x:f>
        <x:v>DI.PL.1.2
Communicate any feedback on preferences or concerns with topics identified</x:v>
      </x:c>
      <x:c r="I1131" s="14"/>
      <x:c r="J1131" s="14"/>
      <x:c r="K1131" s="14"/>
      <x:c r="L1131" s="86" t="str">
        <x:f>IF($P1131="","",INDEX(Tasks!$N$10:$N$1941,$P1131))</x:f>
        <x:v>Not started</x:v>
      </x:c>
      <x:c r="M1131" s="87" t="n">
        <x:f>IF($P1131="","",INDEX(Tasks!$J$10:$J$1941,$P1131))</x:f>
        <x:v>46112</x:v>
      </x:c>
      <x:c r="N1131" s="85" t="str">
        <x:f>IF($P1131="","",HYPERLINK("#'"&amp;INDEX(Tasks!$T$10:$T$1941,$P1131)&amp;"'!A"&amp;INDEX(Tasks!$U$10:$U$1941,$P1131),"Open"))</x:f>
        <x:v>Open</x:v>
      </x:c>
      <x:c r="O1131" s="14"/>
      <x:c r="P1131" s="14" t="n">
        <x:f>IF(1110&gt;$B$10,"",MATCH(1110,Tasks!$S$10:$S$1941,0))</x:f>
        <x:v>1474</x:v>
      </x:c>
    </x:row>
    <x:row r="1132" ht="58" customHeight="1">
      <x:c r="B1132" s="86" t="str">
        <x:f>IF($P1132="","",INDEX(Tasks!$B$10:$B$1941,$P1132))</x:f>
        <x:v>Cycle 1</x:v>
      </x:c>
      <x:c r="C1132" s="86" t="str">
        <x:f>IF($P1132="","",INDEX(Tasks!$C$10:$C$1941,$P1132))</x:f>
        <x:v>Phase 1</x:v>
      </x:c>
      <x:c r="D1132" s="86" t="str">
        <x:f>IF($P1132="","",INDEX(Tasks!$D$10:$D$1941,$P1132))</x:f>
        <x:v>PLL</x:v>
      </x:c>
      <x:c r="E1132" s="86"/>
      <x:c r="F1132" s="86" t="str">
        <x:f>IF($P1132="","",INDEX(Tasks!$E$10:$E$1941,$P1132))</x:f>
        <x:v>Design &amp; Insights</x:v>
      </x:c>
      <x:c r="G1132" s="86"/>
      <x:c r="H1132" s="14" t="str">
        <x:f>IF($P1132="","",INDEX(Tasks!$F$10:$F$1941,$P1132)&amp;CHAR(10)&amp;INDEX(Tasks!$G$10:$G$1941,$P1132))</x:f>
        <x:v>DI.PL.1.3
Conduct high-level preliminary review of complaints within proposed topics</x:v>
      </x:c>
      <x:c r="I1132" s="14"/>
      <x:c r="J1132" s="14"/>
      <x:c r="K1132" s="14"/>
      <x:c r="L1132" s="86" t="str">
        <x:f>IF($P1132="","",INDEX(Tasks!$N$10:$N$1941,$P1132))</x:f>
        <x:v>Not started</x:v>
      </x:c>
      <x:c r="M1132" s="87" t="n">
        <x:f>IF($P1132="","",INDEX(Tasks!$J$10:$J$1941,$P1132))</x:f>
        <x:v>46112</x:v>
      </x:c>
      <x:c r="N1132" s="85" t="str">
        <x:f>IF($P1132="","",HYPERLINK("#'"&amp;INDEX(Tasks!$T$10:$T$1941,$P1132)&amp;"'!A"&amp;INDEX(Tasks!$U$10:$U$1941,$P1132),"Open"))</x:f>
        <x:v>Open</x:v>
      </x:c>
      <x:c r="O1132" s="14"/>
      <x:c r="P1132" s="14" t="n">
        <x:f>IF(1111&gt;$B$10,"",MATCH(1111,Tasks!$S$10:$S$1941,0))</x:f>
        <x:v>1475</x:v>
      </x:c>
    </x:row>
    <x:row r="1133" ht="58" customHeight="1">
      <x:c r="B1133" s="86" t="str">
        <x:f>IF($P1133="","",INDEX(Tasks!$B$10:$B$1941,$P1133))</x:f>
        <x:v>Cycle 1</x:v>
      </x:c>
      <x:c r="C1133" s="86" t="str">
        <x:f>IF($P1133="","",INDEX(Tasks!$C$10:$C$1941,$P1133))</x:f>
        <x:v>Phase 1</x:v>
      </x:c>
      <x:c r="D1133" s="86" t="str">
        <x:f>IF($P1133="","",INDEX(Tasks!$D$10:$D$1941,$P1133))</x:f>
        <x:v>PLL</x:v>
      </x:c>
      <x:c r="E1133" s="86"/>
      <x:c r="F1133" s="86" t="str">
        <x:f>IF($P1133="","",INDEX(Tasks!$E$10:$E$1941,$P1133))</x:f>
        <x:v>Design &amp; Insights</x:v>
      </x:c>
      <x:c r="G1133" s="86"/>
      <x:c r="H1133" s="14" t="str">
        <x:f>IF($P1133="","",INDEX(Tasks!$F$10:$F$1941,$P1133)&amp;CHAR(10)&amp;INDEX(Tasks!$G$10:$G$1941,$P1133))</x:f>
        <x:v>DI.PL.1.4
Meet with Research to discuss which topic to select based on potential impact</x:v>
      </x:c>
      <x:c r="I1133" s="14"/>
      <x:c r="J1133" s="14"/>
      <x:c r="K1133" s="14"/>
      <x:c r="L1133" s="86" t="str">
        <x:f>IF($P1133="","",INDEX(Tasks!$N$10:$N$1941,$P1133))</x:f>
        <x:v>Not started</x:v>
      </x:c>
      <x:c r="M1133" s="87" t="n">
        <x:f>IF($P1133="","",INDEX(Tasks!$J$10:$J$1941,$P1133))</x:f>
        <x:v>46112</x:v>
      </x:c>
      <x:c r="N1133" s="85" t="str">
        <x:f>IF($P1133="","",HYPERLINK("#'"&amp;INDEX(Tasks!$T$10:$T$1941,$P1133)&amp;"'!A"&amp;INDEX(Tasks!$U$10:$U$1941,$P1133),"Open"))</x:f>
        <x:v>Open</x:v>
      </x:c>
      <x:c r="O1133" s="14"/>
      <x:c r="P1133" s="14" t="n">
        <x:f>IF(1112&gt;$B$10,"",MATCH(1112,Tasks!$S$10:$S$1941,0))</x:f>
        <x:v>1476</x:v>
      </x:c>
    </x:row>
    <x:row r="1134" ht="58" customHeight="1">
      <x:c r="B1134" s="86" t="str">
        <x:f>IF($P1134="","",INDEX(Tasks!$B$10:$B$1941,$P1134))</x:f>
        <x:v>Cycle 1</x:v>
      </x:c>
      <x:c r="C1134" s="86" t="str">
        <x:f>IF($P1134="","",INDEX(Tasks!$C$10:$C$1941,$P1134))</x:f>
        <x:v>Phase 1</x:v>
      </x:c>
      <x:c r="D1134" s="86" t="str">
        <x:f>IF($P1134="","",INDEX(Tasks!$D$10:$D$1941,$P1134))</x:f>
        <x:v>PLL</x:v>
      </x:c>
      <x:c r="E1134" s="86"/>
      <x:c r="F1134" s="86" t="str">
        <x:f>IF($P1134="","",INDEX(Tasks!$E$10:$E$1941,$P1134))</x:f>
        <x:v>Design &amp; Insights</x:v>
      </x:c>
      <x:c r="G1134" s="86"/>
      <x:c r="H1134" s="14" t="str">
        <x:f>IF($P1134="","",INDEX(Tasks!$F$10:$F$1941,$P1134)&amp;CHAR(10)&amp;INDEX(Tasks!$G$10:$G$1941,$P1134))</x:f>
        <x:v>DI.PL.1.5
Confirm with Research the recommended topic for approval</x:v>
      </x:c>
      <x:c r="I1134" s="14"/>
      <x:c r="J1134" s="14"/>
      <x:c r="K1134" s="14"/>
      <x:c r="L1134" s="86" t="str">
        <x:f>IF($P1134="","",INDEX(Tasks!$N$10:$N$1941,$P1134))</x:f>
        <x:v>Not started</x:v>
      </x:c>
      <x:c r="M1134" s="87" t="n">
        <x:f>IF($P1134="","",INDEX(Tasks!$J$10:$J$1941,$P1134))</x:f>
        <x:v>46112</x:v>
      </x:c>
      <x:c r="N1134" s="85" t="str">
        <x:f>IF($P1134="","",HYPERLINK("#'"&amp;INDEX(Tasks!$T$10:$T$1941,$P1134)&amp;"'!A"&amp;INDEX(Tasks!$U$10:$U$1941,$P1134),"Open"))</x:f>
        <x:v>Open</x:v>
      </x:c>
      <x:c r="O1134" s="14"/>
      <x:c r="P1134" s="14" t="n">
        <x:f>IF(1113&gt;$B$10,"",MATCH(1113,Tasks!$S$10:$S$1941,0))</x:f>
        <x:v>1477</x:v>
      </x:c>
    </x:row>
    <x:row r="1135" ht="58" customHeight="1">
      <x:c r="B1135" s="86" t="str">
        <x:f>IF($P1135="","",INDEX(Tasks!$B$10:$B$1941,$P1135))</x:f>
        <x:v>Cycle 1</x:v>
      </x:c>
      <x:c r="C1135" s="86" t="str">
        <x:f>IF($P1135="","",INDEX(Tasks!$C$10:$C$1941,$P1135))</x:f>
        <x:v>Phase 1</x:v>
      </x:c>
      <x:c r="D1135" s="86" t="str">
        <x:f>IF($P1135="","",INDEX(Tasks!$D$10:$D$1941,$P1135))</x:f>
        <x:v>PLL</x:v>
      </x:c>
      <x:c r="E1135" s="86"/>
      <x:c r="F1135" s="86" t="str">
        <x:f>IF($P1135="","",INDEX(Tasks!$E$10:$E$1941,$P1135))</x:f>
        <x:v>Design &amp; Insights</x:v>
      </x:c>
      <x:c r="G1135" s="86"/>
      <x:c r="H1135" s="14" t="str">
        <x:f>IF($P1135="","",INDEX(Tasks!$F$10:$F$1941,$P1135)&amp;CHAR(10)&amp;INDEX(Tasks!$G$10:$G$1941,$P1135))</x:f>
        <x:v>DI.PL.1.6
Send topic selection socialization email to all key stakeholders on the first day of the review Cycle</x:v>
      </x:c>
      <x:c r="I1135" s="14"/>
      <x:c r="J1135" s="14"/>
      <x:c r="K1135" s="14"/>
      <x:c r="L1135" s="86" t="str">
        <x:f>IF($P1135="","",INDEX(Tasks!$N$10:$N$1941,$P1135))</x:f>
        <x:v>Not started</x:v>
      </x:c>
      <x:c r="M1135" s="87" t="n">
        <x:f>IF($P1135="","",INDEX(Tasks!$J$10:$J$1941,$P1135))</x:f>
        <x:v>46023</x:v>
      </x:c>
      <x:c r="N1135" s="85" t="str">
        <x:f>IF($P1135="","",HYPERLINK("#'"&amp;INDEX(Tasks!$T$10:$T$1941,$P1135)&amp;"'!A"&amp;INDEX(Tasks!$U$10:$U$1941,$P1135),"Open"))</x:f>
        <x:v>Open</x:v>
      </x:c>
      <x:c r="O1135" s="14"/>
      <x:c r="P1135" s="14" t="n">
        <x:f>IF(1114&gt;$B$10,"",MATCH(1114,Tasks!$S$10:$S$1941,0))</x:f>
        <x:v>1478</x:v>
      </x:c>
    </x:row>
    <x:row r="1136" ht="58" customHeight="1">
      <x:c r="B1136" s="86" t="str">
        <x:f>IF($P1136="","",INDEX(Tasks!$B$10:$B$1941,$P1136))</x:f>
        <x:v>Cycle 1</x:v>
      </x:c>
      <x:c r="C1136" s="86" t="str">
        <x:f>IF($P1136="","",INDEX(Tasks!$C$10:$C$1941,$P1136))</x:f>
        <x:v>Phase 2</x:v>
      </x:c>
      <x:c r="D1136" s="86" t="str">
        <x:f>IF($P1136="","",INDEX(Tasks!$D$10:$D$1941,$P1136))</x:f>
        <x:v>PLL</x:v>
      </x:c>
      <x:c r="E1136" s="86"/>
      <x:c r="F1136" s="86" t="str">
        <x:f>IF($P1136="","",INDEX(Tasks!$E$10:$E$1941,$P1136))</x:f>
        <x:v>Design &amp; Insights</x:v>
      </x:c>
      <x:c r="G1136" s="86"/>
      <x:c r="H1136" s="14" t="str">
        <x:f>IF($P1136="","",INDEX(Tasks!$F$10:$F$1941,$P1136)&amp;CHAR(10)&amp;INDEX(Tasks!$G$10:$G$1941,$P1136))</x:f>
        <x:v>DI.PL.2.1
Meet regularly with Research to stay informed on progress, findings, and potential enhancement</x:v>
      </x:c>
      <x:c r="I1136" s="14"/>
      <x:c r="J1136" s="14"/>
      <x:c r="K1136" s="14"/>
      <x:c r="L1136" s="86" t="str">
        <x:f>IF($P1136="","",INDEX(Tasks!$N$10:$N$1941,$P1136))</x:f>
        <x:v>Not started</x:v>
      </x:c>
      <x:c r="M1136" s="87" t="n">
        <x:f>IF($P1136="","",INDEX(Tasks!$J$10:$J$1941,$P1136))</x:f>
        <x:v>46112</x:v>
      </x:c>
      <x:c r="N1136" s="85" t="str">
        <x:f>IF($P1136="","",HYPERLINK("#'"&amp;INDEX(Tasks!$T$10:$T$1941,$P1136)&amp;"'!A"&amp;INDEX(Tasks!$U$10:$U$1941,$P1136),"Open"))</x:f>
        <x:v>Open</x:v>
      </x:c>
      <x:c r="O1136" s="14"/>
      <x:c r="P1136" s="14" t="n">
        <x:f>IF(1115&gt;$B$10,"",MATCH(1115,Tasks!$S$10:$S$1941,0))</x:f>
        <x:v>1479</x:v>
      </x:c>
    </x:row>
    <x:row r="1137" ht="58" customHeight="1">
      <x:c r="B1137" s="86" t="str">
        <x:f>IF($P1137="","",INDEX(Tasks!$B$10:$B$1941,$P1137))</x:f>
        <x:v>Cycle 1</x:v>
      </x:c>
      <x:c r="C1137" s="86" t="str">
        <x:f>IF($P1137="","",INDEX(Tasks!$C$10:$C$1941,$P1137))</x:f>
        <x:v>Phase 2</x:v>
      </x:c>
      <x:c r="D1137" s="86" t="str">
        <x:f>IF($P1137="","",INDEX(Tasks!$D$10:$D$1941,$P1137))</x:f>
        <x:v>PLL</x:v>
      </x:c>
      <x:c r="E1137" s="86"/>
      <x:c r="F1137" s="86" t="str">
        <x:f>IF($P1137="","",INDEX(Tasks!$E$10:$E$1941,$P1137))</x:f>
        <x:v>Design &amp; Insights</x:v>
      </x:c>
      <x:c r="G1137" s="86"/>
      <x:c r="H1137" s="14" t="str">
        <x:f>IF($P1137="","",INDEX(Tasks!$F$10:$F$1941,$P1137)&amp;CHAR(10)&amp;INDEX(Tasks!$G$10:$G$1941,$P1137))</x:f>
        <x:v>DI.PL.2.2
Collaborate with Research on research plan specifics</x:v>
      </x:c>
      <x:c r="I1137" s="14"/>
      <x:c r="J1137" s="14"/>
      <x:c r="K1137" s="14"/>
      <x:c r="L1137" s="86" t="str">
        <x:f>IF($P1137="","",INDEX(Tasks!$N$10:$N$1941,$P1137))</x:f>
        <x:v>Not started</x:v>
      </x:c>
      <x:c r="M1137" s="87" t="n">
        <x:f>IF($P1137="","",INDEX(Tasks!$J$10:$J$1941,$P1137))</x:f>
        <x:v>46112</x:v>
      </x:c>
      <x:c r="N1137" s="85" t="str">
        <x:f>IF($P1137="","",HYPERLINK("#'"&amp;INDEX(Tasks!$T$10:$T$1941,$P1137)&amp;"'!A"&amp;INDEX(Tasks!$U$10:$U$1941,$P1137),"Open"))</x:f>
        <x:v>Open</x:v>
      </x:c>
      <x:c r="O1137" s="14"/>
      <x:c r="P1137" s="14" t="n">
        <x:f>IF(1116&gt;$B$10,"",MATCH(1116,Tasks!$S$10:$S$1941,0))</x:f>
        <x:v>1480</x:v>
      </x:c>
    </x:row>
    <x:row r="1138" ht="58" customHeight="1">
      <x:c r="B1138" s="86" t="str">
        <x:f>IF($P1138="","",INDEX(Tasks!$B$10:$B$1941,$P1138))</x:f>
        <x:v>Cycle 1</x:v>
      </x:c>
      <x:c r="C1138" s="86" t="str">
        <x:f>IF($P1138="","",INDEX(Tasks!$C$10:$C$1941,$P1138))</x:f>
        <x:v>Phase 2</x:v>
      </x:c>
      <x:c r="D1138" s="86" t="str">
        <x:f>IF($P1138="","",INDEX(Tasks!$D$10:$D$1941,$P1138))</x:f>
        <x:v>PLL</x:v>
      </x:c>
      <x:c r="E1138" s="86"/>
      <x:c r="F1138" s="86" t="str">
        <x:f>IF($P1138="","",INDEX(Tasks!$E$10:$E$1941,$P1138))</x:f>
        <x:v>Design &amp; Insights</x:v>
      </x:c>
      <x:c r="G1138" s="86"/>
      <x:c r="H1138" s="14" t="str">
        <x:f>IF($P1138="","",INDEX(Tasks!$F$10:$F$1941,$P1138)&amp;CHAR(10)&amp;INDEX(Tasks!$G$10:$G$1941,$P1138))</x:f>
        <x:v>DI.PL.2.3
Participate in SME insight meetings to gain perspective and appetite on potential enhancements</x:v>
      </x:c>
      <x:c r="I1138" s="14"/>
      <x:c r="J1138" s="14"/>
      <x:c r="K1138" s="14"/>
      <x:c r="L1138" s="86" t="str">
        <x:f>IF($P1138="","",INDEX(Tasks!$N$10:$N$1941,$P1138))</x:f>
        <x:v>Not started</x:v>
      </x:c>
      <x:c r="M1138" s="87" t="n">
        <x:f>IF($P1138="","",INDEX(Tasks!$J$10:$J$1941,$P1138))</x:f>
        <x:v>46112</x:v>
      </x:c>
      <x:c r="N1138" s="85" t="str">
        <x:f>IF($P1138="","",HYPERLINK("#'"&amp;INDEX(Tasks!$T$10:$T$1941,$P1138)&amp;"'!A"&amp;INDEX(Tasks!$U$10:$U$1941,$P1138),"Open"))</x:f>
        <x:v>Open</x:v>
      </x:c>
      <x:c r="O1138" s="14"/>
      <x:c r="P1138" s="14" t="n">
        <x:f>IF(1117&gt;$B$10,"",MATCH(1117,Tasks!$S$10:$S$1941,0))</x:f>
        <x:v>1481</x:v>
      </x:c>
    </x:row>
    <x:row r="1139" ht="58" customHeight="1">
      <x:c r="B1139" s="86" t="str">
        <x:f>IF($P1139="","",INDEX(Tasks!$B$10:$B$1941,$P1139))</x:f>
        <x:v>Cycle 1</x:v>
      </x:c>
      <x:c r="C1139" s="86" t="str">
        <x:f>IF($P1139="","",INDEX(Tasks!$C$10:$C$1941,$P1139))</x:f>
        <x:v>Phase 2</x:v>
      </x:c>
      <x:c r="D1139" s="86" t="str">
        <x:f>IF($P1139="","",INDEX(Tasks!$D$10:$D$1941,$P1139))</x:f>
        <x:v>PLL</x:v>
      </x:c>
      <x:c r="E1139" s="86"/>
      <x:c r="F1139" s="86" t="str">
        <x:f>IF($P1139="","",INDEX(Tasks!$E$10:$E$1941,$P1139))</x:f>
        <x:v>Design &amp; Insights</x:v>
      </x:c>
      <x:c r="G1139" s="86"/>
      <x:c r="H1139" s="14" t="str">
        <x:f>IF($P1139="","",INDEX(Tasks!$F$10:$F$1941,$P1139)&amp;CHAR(10)&amp;INDEX(Tasks!$G$10:$G$1941,$P1139))</x:f>
        <x:v>DI.PL.2.4
Begin development of presentation materials as Research is being completed</x:v>
      </x:c>
      <x:c r="I1139" s="14"/>
      <x:c r="J1139" s="14"/>
      <x:c r="K1139" s="14"/>
      <x:c r="L1139" s="86" t="str">
        <x:f>IF($P1139="","",INDEX(Tasks!$N$10:$N$1941,$P1139))</x:f>
        <x:v>Not started</x:v>
      </x:c>
      <x:c r="M1139" s="87" t="n">
        <x:f>IF($P1139="","",INDEX(Tasks!$J$10:$J$1941,$P1139))</x:f>
        <x:v>46112</x:v>
      </x:c>
      <x:c r="N1139" s="85" t="str">
        <x:f>IF($P1139="","",HYPERLINK("#'"&amp;INDEX(Tasks!$T$10:$T$1941,$P1139)&amp;"'!A"&amp;INDEX(Tasks!$U$10:$U$1941,$P1139),"Open"))</x:f>
        <x:v>Open</x:v>
      </x:c>
      <x:c r="O1139" s="14"/>
      <x:c r="P1139" s="14" t="n">
        <x:f>IF(1118&gt;$B$10,"",MATCH(1118,Tasks!$S$10:$S$1941,0))</x:f>
        <x:v>1482</x:v>
      </x:c>
    </x:row>
    <x:row r="1140" ht="58" customHeight="1">
      <x:c r="B1140" s="86" t="str">
        <x:f>IF($P1140="","",INDEX(Tasks!$B$10:$B$1941,$P1140))</x:f>
        <x:v>Cycle 1</x:v>
      </x:c>
      <x:c r="C1140" s="86" t="str">
        <x:f>IF($P1140="","",INDEX(Tasks!$C$10:$C$1941,$P1140))</x:f>
        <x:v>Phase 2</x:v>
      </x:c>
      <x:c r="D1140" s="86" t="str">
        <x:f>IF($P1140="","",INDEX(Tasks!$D$10:$D$1941,$P1140))</x:f>
        <x:v>PLL</x:v>
      </x:c>
      <x:c r="E1140" s="86"/>
      <x:c r="F1140" s="86" t="str">
        <x:f>IF($P1140="","",INDEX(Tasks!$E$10:$E$1941,$P1140))</x:f>
        <x:v>Design &amp; Insights</x:v>
      </x:c>
      <x:c r="G1140" s="86"/>
      <x:c r="H1140" s="14" t="str">
        <x:f>IF($P1140="","",INDEX(Tasks!$F$10:$F$1941,$P1140)&amp;CHAR(10)&amp;INDEX(Tasks!$G$10:$G$1941,$P1140))</x:f>
        <x:v>DI.PL.2.5
Draft initial enhancement recommendations (as applicable)</x:v>
      </x:c>
      <x:c r="I1140" s="14"/>
      <x:c r="J1140" s="14"/>
      <x:c r="K1140" s="14"/>
      <x:c r="L1140" s="86" t="str">
        <x:f>IF($P1140="","",INDEX(Tasks!$N$10:$N$1941,$P1140))</x:f>
        <x:v>Not started</x:v>
      </x:c>
      <x:c r="M1140" s="87" t="n">
        <x:f>IF($P1140="","",INDEX(Tasks!$J$10:$J$1941,$P1140))</x:f>
        <x:v>46112</x:v>
      </x:c>
      <x:c r="N1140" s="85" t="str">
        <x:f>IF($P1140="","",HYPERLINK("#'"&amp;INDEX(Tasks!$T$10:$T$1941,$P1140)&amp;"'!A"&amp;INDEX(Tasks!$U$10:$U$1941,$P1140),"Open"))</x:f>
        <x:v>Open</x:v>
      </x:c>
      <x:c r="O1140" s="14"/>
      <x:c r="P1140" s="14" t="n">
        <x:f>IF(1119&gt;$B$10,"",MATCH(1119,Tasks!$S$10:$S$1941,0))</x:f>
        <x:v>1483</x:v>
      </x:c>
    </x:row>
    <x:row r="1141" ht="58" customHeight="1">
      <x:c r="B1141" s="86" t="str">
        <x:f>IF($P1141="","",INDEX(Tasks!$B$10:$B$1941,$P1141))</x:f>
        <x:v>Cycle 1</x:v>
      </x:c>
      <x:c r="C1141" s="86" t="str">
        <x:f>IF($P1141="","",INDEX(Tasks!$C$10:$C$1941,$P1141))</x:f>
        <x:v>Phase 2</x:v>
      </x:c>
      <x:c r="D1141" s="86" t="str">
        <x:f>IF($P1141="","",INDEX(Tasks!$D$10:$D$1941,$P1141))</x:f>
        <x:v>PLL</x:v>
      </x:c>
      <x:c r="E1141" s="86"/>
      <x:c r="F1141" s="86" t="str">
        <x:f>IF($P1141="","",INDEX(Tasks!$E$10:$E$1941,$P1141))</x:f>
        <x:v>Design &amp; Insights</x:v>
      </x:c>
      <x:c r="G1141" s="86"/>
      <x:c r="H1141" s="14" t="str">
        <x:f>IF($P1141="","",INDEX(Tasks!$F$10:$F$1941,$P1141)&amp;CHAR(10)&amp;INDEX(Tasks!$G$10:$G$1941,$P1141))</x:f>
        <x:v>DI.PL.2.6
Finalize presentation deck draft at conclusion of Research phase</x:v>
      </x:c>
      <x:c r="I1141" s="14"/>
      <x:c r="J1141" s="14"/>
      <x:c r="K1141" s="14"/>
      <x:c r="L1141" s="86" t="str">
        <x:f>IF($P1141="","",INDEX(Tasks!$N$10:$N$1941,$P1141))</x:f>
        <x:v>Not started</x:v>
      </x:c>
      <x:c r="M1141" s="87" t="n">
        <x:f>IF($P1141="","",INDEX(Tasks!$J$10:$J$1941,$P1141))</x:f>
        <x:v>46112</x:v>
      </x:c>
      <x:c r="N1141" s="85" t="str">
        <x:f>IF($P1141="","",HYPERLINK("#'"&amp;INDEX(Tasks!$T$10:$T$1941,$P1141)&amp;"'!A"&amp;INDEX(Tasks!$U$10:$U$1941,$P1141),"Open"))</x:f>
        <x:v>Open</x:v>
      </x:c>
      <x:c r="O1141" s="14"/>
      <x:c r="P1141" s="14" t="n">
        <x:f>IF(1120&gt;$B$10,"",MATCH(1120,Tasks!$S$10:$S$1941,0))</x:f>
        <x:v>1484</x:v>
      </x:c>
    </x:row>
    <x:row r="1142" ht="58" customHeight="1">
      <x:c r="B1142" s="86" t="str">
        <x:f>IF($P1142="","",INDEX(Tasks!$B$10:$B$1941,$P1142))</x:f>
        <x:v>Cycle 1</x:v>
      </x:c>
      <x:c r="C1142" s="86" t="str">
        <x:f>IF($P1142="","",INDEX(Tasks!$C$10:$C$1941,$P1142))</x:f>
        <x:v>Phase 2</x:v>
      </x:c>
      <x:c r="D1142" s="86" t="str">
        <x:f>IF($P1142="","",INDEX(Tasks!$D$10:$D$1941,$P1142))</x:f>
        <x:v>PLL</x:v>
      </x:c>
      <x:c r="E1142" s="86"/>
      <x:c r="F1142" s="86" t="str">
        <x:f>IF($P1142="","",INDEX(Tasks!$E$10:$E$1941,$P1142))</x:f>
        <x:v>Design &amp; Insights</x:v>
      </x:c>
      <x:c r="G1142" s="86"/>
      <x:c r="H1142" s="14" t="str">
        <x:f>IF($P1142="","",INDEX(Tasks!$F$10:$F$1941,$P1142)&amp;CHAR(10)&amp;INDEX(Tasks!$G$10:$G$1941,$P1142))</x:f>
        <x:v>DI.PL.2.7
Update Outcome portion of research plan with current enhancement verbiage (as needed)</x:v>
      </x:c>
      <x:c r="I1142" s="14"/>
      <x:c r="J1142" s="14"/>
      <x:c r="K1142" s="14"/>
      <x:c r="L1142" s="86" t="str">
        <x:f>IF($P1142="","",INDEX(Tasks!$N$10:$N$1941,$P1142))</x:f>
        <x:v>Not started</x:v>
      </x:c>
      <x:c r="M1142" s="87" t="n">
        <x:f>IF($P1142="","",INDEX(Tasks!$J$10:$J$1941,$P1142))</x:f>
        <x:v>46112</x:v>
      </x:c>
      <x:c r="N1142" s="85" t="str">
        <x:f>IF($P1142="","",HYPERLINK("#'"&amp;INDEX(Tasks!$T$10:$T$1941,$P1142)&amp;"'!A"&amp;INDEX(Tasks!$U$10:$U$1941,$P1142),"Open"))</x:f>
        <x:v>Open</x:v>
      </x:c>
      <x:c r="O1142" s="14"/>
      <x:c r="P1142" s="14" t="n">
        <x:f>IF(1121&gt;$B$10,"",MATCH(1121,Tasks!$S$10:$S$1941,0))</x:f>
        <x:v>1485</x:v>
      </x:c>
    </x:row>
    <x:row r="1143" ht="58" customHeight="1">
      <x:c r="B1143" s="86" t="str">
        <x:f>IF($P1143="","",INDEX(Tasks!$B$10:$B$1941,$P1143))</x:f>
        <x:v>Cycle 1</x:v>
      </x:c>
      <x:c r="C1143" s="86" t="str">
        <x:f>IF($P1143="","",INDEX(Tasks!$C$10:$C$1941,$P1143))</x:f>
        <x:v>Phase 3</x:v>
      </x:c>
      <x:c r="D1143" s="86" t="str">
        <x:f>IF($P1143="","",INDEX(Tasks!$D$10:$D$1941,$P1143))</x:f>
        <x:v>PLL</x:v>
      </x:c>
      <x:c r="E1143" s="86"/>
      <x:c r="F1143" s="86" t="str">
        <x:f>IF($P1143="","",INDEX(Tasks!$E$10:$E$1941,$P1143))</x:f>
        <x:v>Design &amp; Insights</x:v>
      </x:c>
      <x:c r="G1143" s="86"/>
      <x:c r="H1143" s="14" t="str">
        <x:f>IF($P1143="","",INDEX(Tasks!$F$10:$F$1941,$P1143)&amp;CHAR(10)&amp;INDEX(Tasks!$G$10:$G$1941,$P1143))</x:f>
        <x:v>DI.PL.3.1
Confirm list of required &amp; optional attendees for pre-socialization meeting</x:v>
      </x:c>
      <x:c r="I1143" s="14"/>
      <x:c r="J1143" s="14"/>
      <x:c r="K1143" s="14"/>
      <x:c r="L1143" s="86" t="str">
        <x:f>IF($P1143="","",INDEX(Tasks!$N$10:$N$1941,$P1143))</x:f>
        <x:v>Not started</x:v>
      </x:c>
      <x:c r="M1143" s="87" t="n">
        <x:f>IF($P1143="","",INDEX(Tasks!$J$10:$J$1941,$P1143))</x:f>
        <x:v>46112</x:v>
      </x:c>
      <x:c r="N1143" s="85" t="str">
        <x:f>IF($P1143="","",HYPERLINK("#'"&amp;INDEX(Tasks!$T$10:$T$1941,$P1143)&amp;"'!A"&amp;INDEX(Tasks!$U$10:$U$1941,$P1143),"Open"))</x:f>
        <x:v>Open</x:v>
      </x:c>
      <x:c r="O1143" s="14"/>
      <x:c r="P1143" s="14" t="n">
        <x:f>IF(1122&gt;$B$10,"",MATCH(1122,Tasks!$S$10:$S$1941,0))</x:f>
        <x:v>1486</x:v>
      </x:c>
    </x:row>
    <x:row r="1144" ht="58" customHeight="1">
      <x:c r="B1144" s="86" t="str">
        <x:f>IF($P1144="","",INDEX(Tasks!$B$10:$B$1941,$P1144))</x:f>
        <x:v>Cycle 1</x:v>
      </x:c>
      <x:c r="C1144" s="86" t="str">
        <x:f>IF($P1144="","",INDEX(Tasks!$C$10:$C$1941,$P1144))</x:f>
        <x:v>Phase 3</x:v>
      </x:c>
      <x:c r="D1144" s="86" t="str">
        <x:f>IF($P1144="","",INDEX(Tasks!$D$10:$D$1941,$P1144))</x:f>
        <x:v>PLL</x:v>
      </x:c>
      <x:c r="E1144" s="86"/>
      <x:c r="F1144" s="86" t="str">
        <x:f>IF($P1144="","",INDEX(Tasks!$E$10:$E$1941,$P1144))</x:f>
        <x:v>Design &amp; Insights</x:v>
      </x:c>
      <x:c r="G1144" s="86"/>
      <x:c r="H1144" s="14" t="str">
        <x:f>IF($P1144="","",INDEX(Tasks!$F$10:$F$1941,$P1144)&amp;CHAR(10)&amp;INDEX(Tasks!$G$10:$G$1941,$P1144))</x:f>
        <x:v>DI.PL.3.2
Schedule pre-socialization meeting 1 week prior to RCA Forum</x:v>
      </x:c>
      <x:c r="I1144" s="14"/>
      <x:c r="J1144" s="14"/>
      <x:c r="K1144" s="14"/>
      <x:c r="L1144" s="86" t="str">
        <x:f>IF($P1144="","",INDEX(Tasks!$N$10:$N$1941,$P1144))</x:f>
        <x:v>Not started</x:v>
      </x:c>
      <x:c r="M1144" s="87" t="str">
        <x:f>IF($P1144="","",INDEX(Tasks!$J$10:$J$1941,$P1144))</x:f>
      </x:c>
      <x:c r="N1144" s="85" t="str">
        <x:f>IF($P1144="","",HYPERLINK("#'"&amp;INDEX(Tasks!$T$10:$T$1941,$P1144)&amp;"'!A"&amp;INDEX(Tasks!$U$10:$U$1941,$P1144),"Open"))</x:f>
        <x:v>Open</x:v>
      </x:c>
      <x:c r="O1144" s="14"/>
      <x:c r="P1144" s="14" t="n">
        <x:f>IF(1123&gt;$B$10,"",MATCH(1123,Tasks!$S$10:$S$1941,0))</x:f>
        <x:v>1487</x:v>
      </x:c>
    </x:row>
    <x:row r="1145" ht="58" customHeight="1">
      <x:c r="B1145" s="86" t="str">
        <x:f>IF($P1145="","",INDEX(Tasks!$B$10:$B$1941,$P1145))</x:f>
        <x:v>Cycle 1</x:v>
      </x:c>
      <x:c r="C1145" s="86" t="str">
        <x:f>IF($P1145="","",INDEX(Tasks!$C$10:$C$1941,$P1145))</x:f>
        <x:v>Phase 3</x:v>
      </x:c>
      <x:c r="D1145" s="86" t="str">
        <x:f>IF($P1145="","",INDEX(Tasks!$D$10:$D$1941,$P1145))</x:f>
        <x:v>PLL</x:v>
      </x:c>
      <x:c r="E1145" s="86"/>
      <x:c r="F1145" s="86" t="str">
        <x:f>IF($P1145="","",INDEX(Tasks!$E$10:$E$1941,$P1145))</x:f>
        <x:v>Design &amp; Insights</x:v>
      </x:c>
      <x:c r="G1145" s="86"/>
      <x:c r="H1145" s="14" t="str">
        <x:f>IF($P1145="","",INDEX(Tasks!$F$10:$F$1941,$P1145)&amp;CHAR(10)&amp;INDEX(Tasks!$G$10:$G$1941,$P1145))</x:f>
        <x:v>DI.PL.3.3
Present findings, conclusions, and recommendation to SMEs</x:v>
      </x:c>
      <x:c r="I1145" s="14"/>
      <x:c r="J1145" s="14"/>
      <x:c r="K1145" s="14"/>
      <x:c r="L1145" s="86" t="str">
        <x:f>IF($P1145="","",INDEX(Tasks!$N$10:$N$1941,$P1145))</x:f>
        <x:v>Not started</x:v>
      </x:c>
      <x:c r="M1145" s="87" t="n">
        <x:f>IF($P1145="","",INDEX(Tasks!$J$10:$J$1941,$P1145))</x:f>
        <x:v>46112</x:v>
      </x:c>
      <x:c r="N1145" s="85" t="str">
        <x:f>IF($P1145="","",HYPERLINK("#'"&amp;INDEX(Tasks!$T$10:$T$1941,$P1145)&amp;"'!A"&amp;INDEX(Tasks!$U$10:$U$1941,$P1145),"Open"))</x:f>
        <x:v>Open</x:v>
      </x:c>
      <x:c r="O1145" s="14"/>
      <x:c r="P1145" s="14" t="n">
        <x:f>IF(1124&gt;$B$10,"",MATCH(1124,Tasks!$S$10:$S$1941,0))</x:f>
        <x:v>1488</x:v>
      </x:c>
    </x:row>
    <x:row r="1146" ht="58" customHeight="1">
      <x:c r="B1146" s="86" t="str">
        <x:f>IF($P1146="","",INDEX(Tasks!$B$10:$B$1941,$P1146))</x:f>
        <x:v>Cycle 1</x:v>
      </x:c>
      <x:c r="C1146" s="86" t="str">
        <x:f>IF($P1146="","",INDEX(Tasks!$C$10:$C$1941,$P1146))</x:f>
        <x:v>Phase 3</x:v>
      </x:c>
      <x:c r="D1146" s="86" t="str">
        <x:f>IF($P1146="","",INDEX(Tasks!$D$10:$D$1941,$P1146))</x:f>
        <x:v>PLL</x:v>
      </x:c>
      <x:c r="E1146" s="86"/>
      <x:c r="F1146" s="86" t="str">
        <x:f>IF($P1146="","",INDEX(Tasks!$E$10:$E$1941,$P1146))</x:f>
        <x:v>Design &amp; Insights</x:v>
      </x:c>
      <x:c r="G1146" s="86"/>
      <x:c r="H1146" s="14" t="str">
        <x:f>IF($P1146="","",INDEX(Tasks!$F$10:$F$1941,$P1146)&amp;CHAR(10)&amp;INDEX(Tasks!$G$10:$G$1941,$P1146))</x:f>
        <x:v>DI.PL.3.4
Update Outcome portion of research plan (as needed)</x:v>
      </x:c>
      <x:c r="I1146" s="14"/>
      <x:c r="J1146" s="14"/>
      <x:c r="K1146" s="14"/>
      <x:c r="L1146" s="86" t="str">
        <x:f>IF($P1146="","",INDEX(Tasks!$N$10:$N$1941,$P1146))</x:f>
        <x:v>Not started</x:v>
      </x:c>
      <x:c r="M1146" s="87" t="n">
        <x:f>IF($P1146="","",INDEX(Tasks!$J$10:$J$1941,$P1146))</x:f>
        <x:v>46112</x:v>
      </x:c>
      <x:c r="N1146" s="85" t="str">
        <x:f>IF($P1146="","",HYPERLINK("#'"&amp;INDEX(Tasks!$T$10:$T$1941,$P1146)&amp;"'!A"&amp;INDEX(Tasks!$U$10:$U$1941,$P1146),"Open"))</x:f>
        <x:v>Open</x:v>
      </x:c>
      <x:c r="O1146" s="14"/>
      <x:c r="P1146" s="14" t="n">
        <x:f>IF(1125&gt;$B$10,"",MATCH(1125,Tasks!$S$10:$S$1941,0))</x:f>
        <x:v>1489</x:v>
      </x:c>
    </x:row>
    <x:row r="1147" ht="58" customHeight="1">
      <x:c r="B1147" s="86" t="str">
        <x:f>IF($P1147="","",INDEX(Tasks!$B$10:$B$1941,$P1147))</x:f>
        <x:v>Cycle 1</x:v>
      </x:c>
      <x:c r="C1147" s="86" t="str">
        <x:f>IF($P1147="","",INDEX(Tasks!$C$10:$C$1941,$P1147))</x:f>
        <x:v>Phase 3</x:v>
      </x:c>
      <x:c r="D1147" s="86" t="str">
        <x:f>IF($P1147="","",INDEX(Tasks!$D$10:$D$1941,$P1147))</x:f>
        <x:v>PLL</x:v>
      </x:c>
      <x:c r="E1147" s="86"/>
      <x:c r="F1147" s="86" t="str">
        <x:f>IF($P1147="","",INDEX(Tasks!$E$10:$E$1941,$P1147))</x:f>
        <x:v>Design &amp; Insights</x:v>
      </x:c>
      <x:c r="G1147" s="86"/>
      <x:c r="H1147" s="14" t="str">
        <x:f>IF($P1147="","",INDEX(Tasks!$F$10:$F$1941,$P1147)&amp;CHAR(10)&amp;INDEX(Tasks!$G$10:$G$1941,$P1147))</x:f>
        <x:v>DI.PL.3.5
Finalize presentation deck by incorporating pre-socialization feedback (as needed)</x:v>
      </x:c>
      <x:c r="I1147" s="14"/>
      <x:c r="J1147" s="14"/>
      <x:c r="K1147" s="14"/>
      <x:c r="L1147" s="86" t="str">
        <x:f>IF($P1147="","",INDEX(Tasks!$N$10:$N$1941,$P1147))</x:f>
        <x:v>Not started</x:v>
      </x:c>
      <x:c r="M1147" s="87" t="n">
        <x:f>IF($P1147="","",INDEX(Tasks!$J$10:$J$1941,$P1147))</x:f>
        <x:v>46112</x:v>
      </x:c>
      <x:c r="N1147" s="85" t="str">
        <x:f>IF($P1147="","",HYPERLINK("#'"&amp;INDEX(Tasks!$T$10:$T$1941,$P1147)&amp;"'!A"&amp;INDEX(Tasks!$U$10:$U$1941,$P1147),"Open"))</x:f>
        <x:v>Open</x:v>
      </x:c>
      <x:c r="O1147" s="14"/>
      <x:c r="P1147" s="14" t="n">
        <x:f>IF(1126&gt;$B$10,"",MATCH(1126,Tasks!$S$10:$S$1941,0))</x:f>
        <x:v>1490</x:v>
      </x:c>
    </x:row>
    <x:row r="1148" ht="58" customHeight="1">
      <x:c r="B1148" s="86" t="str">
        <x:f>IF($P1148="","",INDEX(Tasks!$B$10:$B$1941,$P1148))</x:f>
        <x:v>Cycle 1</x:v>
      </x:c>
      <x:c r="C1148" s="86" t="str">
        <x:f>IF($P1148="","",INDEX(Tasks!$C$10:$C$1941,$P1148))</x:f>
        <x:v>Phase 3</x:v>
      </x:c>
      <x:c r="D1148" s="86" t="str">
        <x:f>IF($P1148="","",INDEX(Tasks!$D$10:$D$1941,$P1148))</x:f>
        <x:v>PLL</x:v>
      </x:c>
      <x:c r="E1148" s="86"/>
      <x:c r="F1148" s="86" t="str">
        <x:f>IF($P1148="","",INDEX(Tasks!$E$10:$E$1941,$P1148))</x:f>
        <x:v>Design &amp; Insights</x:v>
      </x:c>
      <x:c r="G1148" s="86"/>
      <x:c r="H1148" s="14" t="str">
        <x:f>IF($P1148="","",INDEX(Tasks!$F$10:$F$1941,$P1148)&amp;CHAR(10)&amp;INDEX(Tasks!$G$10:$G$1941,$P1148))</x:f>
        <x:v>DI.PL.3.6
Ensure final deck is communicated to Forum attendees</x:v>
      </x:c>
      <x:c r="I1148" s="14"/>
      <x:c r="J1148" s="14"/>
      <x:c r="K1148" s="14"/>
      <x:c r="L1148" s="86" t="str">
        <x:f>IF($P1148="","",INDEX(Tasks!$N$10:$N$1941,$P1148))</x:f>
        <x:v>Not started</x:v>
      </x:c>
      <x:c r="M1148" s="87" t="n">
        <x:f>IF($P1148="","",INDEX(Tasks!$J$10:$J$1941,$P1148))</x:f>
        <x:v>46112</x:v>
      </x:c>
      <x:c r="N1148" s="85" t="str">
        <x:f>IF($P1148="","",HYPERLINK("#'"&amp;INDEX(Tasks!$T$10:$T$1941,$P1148)&amp;"'!A"&amp;INDEX(Tasks!$U$10:$U$1941,$P1148),"Open"))</x:f>
        <x:v>Open</x:v>
      </x:c>
      <x:c r="O1148" s="14"/>
      <x:c r="P1148" s="14" t="n">
        <x:f>IF(1127&gt;$B$10,"",MATCH(1127,Tasks!$S$10:$S$1941,0))</x:f>
        <x:v>1491</x:v>
      </x:c>
    </x:row>
    <x:row r="1149" ht="58" customHeight="1">
      <x:c r="B1149" s="86" t="str">
        <x:f>IF($P1149="","",INDEX(Tasks!$B$10:$B$1941,$P1149))</x:f>
        <x:v>Cycle 1</x:v>
      </x:c>
      <x:c r="C1149" s="86" t="str">
        <x:f>IF($P1149="","",INDEX(Tasks!$C$10:$C$1941,$P1149))</x:f>
        <x:v>Phase 3</x:v>
      </x:c>
      <x:c r="D1149" s="86" t="str">
        <x:f>IF($P1149="","",INDEX(Tasks!$D$10:$D$1941,$P1149))</x:f>
        <x:v>PLL</x:v>
      </x:c>
      <x:c r="E1149" s="86"/>
      <x:c r="F1149" s="86" t="str">
        <x:f>IF($P1149="","",INDEX(Tasks!$E$10:$E$1941,$P1149))</x:f>
        <x:v>Design &amp; Insights</x:v>
      </x:c>
      <x:c r="G1149" s="86"/>
      <x:c r="H1149" s="14" t="str">
        <x:f>IF($P1149="","",INDEX(Tasks!$F$10:$F$1941,$P1149)&amp;CHAR(10)&amp;INDEX(Tasks!$G$10:$G$1941,$P1149))</x:f>
        <x:v>DI.PL.3.7
Present material in RCA Cycle Forum</x:v>
      </x:c>
      <x:c r="I1149" s="14"/>
      <x:c r="J1149" s="14"/>
      <x:c r="K1149" s="14"/>
      <x:c r="L1149" s="86" t="str">
        <x:f>IF($P1149="","",INDEX(Tasks!$N$10:$N$1941,$P1149))</x:f>
        <x:v>Not started</x:v>
      </x:c>
      <x:c r="M1149" s="87" t="str">
        <x:f>IF($P1149="","",INDEX(Tasks!$J$10:$J$1941,$P1149))</x:f>
      </x:c>
      <x:c r="N1149" s="85" t="str">
        <x:f>IF($P1149="","",HYPERLINK("#'"&amp;INDEX(Tasks!$T$10:$T$1941,$P1149)&amp;"'!A"&amp;INDEX(Tasks!$U$10:$U$1941,$P1149),"Open"))</x:f>
        <x:v>Open</x:v>
      </x:c>
      <x:c r="O1149" s="14"/>
      <x:c r="P1149" s="14" t="n">
        <x:f>IF(1128&gt;$B$10,"",MATCH(1128,Tasks!$S$10:$S$1941,0))</x:f>
        <x:v>1492</x:v>
      </x:c>
    </x:row>
    <x:row r="1150" ht="58" customHeight="1">
      <x:c r="B1150" s="86" t="str">
        <x:f>IF($P1150="","",INDEX(Tasks!$B$10:$B$1941,$P1150))</x:f>
        <x:v>Cycle 1</x:v>
      </x:c>
      <x:c r="C1150" s="86" t="str">
        <x:f>IF($P1150="","",INDEX(Tasks!$C$10:$C$1941,$P1150))</x:f>
        <x:v>Phase 1</x:v>
      </x:c>
      <x:c r="D1150" s="86" t="str">
        <x:f>IF($P1150="","",INDEX(Tasks!$D$10:$D$1941,$P1150))</x:f>
        <x:v>Retail Services</x:v>
      </x:c>
      <x:c r="E1150" s="86"/>
      <x:c r="F1150" s="86" t="str">
        <x:f>IF($P1150="","",INDEX(Tasks!$E$10:$E$1941,$P1150))</x:f>
        <x:v>Design &amp; Insights</x:v>
      </x:c>
      <x:c r="G1150" s="86"/>
      <x:c r="H1150" s="14" t="str">
        <x:f>IF($P1150="","",INDEX(Tasks!$F$10:$F$1941,$P1150)&amp;CHAR(10)&amp;INDEX(Tasks!$G$10:$G$1941,$P1150))</x:f>
        <x:v>DI.RS.1.1
Receive and review potential research topics at least 2 weeks prior to Cycle start date</x:v>
      </x:c>
      <x:c r="I1150" s="14"/>
      <x:c r="J1150" s="14"/>
      <x:c r="K1150" s="14"/>
      <x:c r="L1150" s="86" t="str">
        <x:f>IF($P1150="","",INDEX(Tasks!$N$10:$N$1941,$P1150))</x:f>
        <x:v>Not started</x:v>
      </x:c>
      <x:c r="M1150" s="87" t="n">
        <x:f>IF($P1150="","",INDEX(Tasks!$J$10:$J$1941,$P1150))</x:f>
        <x:v>46009</x:v>
      </x:c>
      <x:c r="N1150" s="85" t="str">
        <x:f>IF($P1150="","",HYPERLINK("#'"&amp;INDEX(Tasks!$T$10:$T$1941,$P1150)&amp;"'!A"&amp;INDEX(Tasks!$U$10:$U$1941,$P1150),"Open"))</x:f>
        <x:v>Open</x:v>
      </x:c>
      <x:c r="O1150" s="14"/>
      <x:c r="P1150" s="14" t="n">
        <x:f>IF(1129&gt;$B$10,"",MATCH(1129,Tasks!$S$10:$S$1941,0))</x:f>
        <x:v>1493</x:v>
      </x:c>
    </x:row>
    <x:row r="1151" ht="58" customHeight="1">
      <x:c r="B1151" s="86" t="str">
        <x:f>IF($P1151="","",INDEX(Tasks!$B$10:$B$1941,$P1151))</x:f>
        <x:v>Cycle 1</x:v>
      </x:c>
      <x:c r="C1151" s="86" t="str">
        <x:f>IF($P1151="","",INDEX(Tasks!$C$10:$C$1941,$P1151))</x:f>
        <x:v>Phase 1</x:v>
      </x:c>
      <x:c r="D1151" s="86" t="str">
        <x:f>IF($P1151="","",INDEX(Tasks!$D$10:$D$1941,$P1151))</x:f>
        <x:v>Retail Services</x:v>
      </x:c>
      <x:c r="E1151" s="86"/>
      <x:c r="F1151" s="86" t="str">
        <x:f>IF($P1151="","",INDEX(Tasks!$E$10:$E$1941,$P1151))</x:f>
        <x:v>Design &amp; Insights</x:v>
      </x:c>
      <x:c r="G1151" s="86"/>
      <x:c r="H1151" s="14" t="str">
        <x:f>IF($P1151="","",INDEX(Tasks!$F$10:$F$1941,$P1151)&amp;CHAR(10)&amp;INDEX(Tasks!$G$10:$G$1941,$P1151))</x:f>
        <x:v>DI.RS.1.2
Communicate any feedback on preferences or concerns with topics identified</x:v>
      </x:c>
      <x:c r="I1151" s="14"/>
      <x:c r="J1151" s="14"/>
      <x:c r="K1151" s="14"/>
      <x:c r="L1151" s="86" t="str">
        <x:f>IF($P1151="","",INDEX(Tasks!$N$10:$N$1941,$P1151))</x:f>
        <x:v>Not started</x:v>
      </x:c>
      <x:c r="M1151" s="87" t="n">
        <x:f>IF($P1151="","",INDEX(Tasks!$J$10:$J$1941,$P1151))</x:f>
        <x:v>46112</x:v>
      </x:c>
      <x:c r="N1151" s="85" t="str">
        <x:f>IF($P1151="","",HYPERLINK("#'"&amp;INDEX(Tasks!$T$10:$T$1941,$P1151)&amp;"'!A"&amp;INDEX(Tasks!$U$10:$U$1941,$P1151),"Open"))</x:f>
        <x:v>Open</x:v>
      </x:c>
      <x:c r="O1151" s="14"/>
      <x:c r="P1151" s="14" t="n">
        <x:f>IF(1130&gt;$B$10,"",MATCH(1130,Tasks!$S$10:$S$1941,0))</x:f>
        <x:v>1494</x:v>
      </x:c>
    </x:row>
    <x:row r="1152" ht="58" customHeight="1">
      <x:c r="B1152" s="86" t="str">
        <x:f>IF($P1152="","",INDEX(Tasks!$B$10:$B$1941,$P1152))</x:f>
        <x:v>Cycle 1</x:v>
      </x:c>
      <x:c r="C1152" s="86" t="str">
        <x:f>IF($P1152="","",INDEX(Tasks!$C$10:$C$1941,$P1152))</x:f>
        <x:v>Phase 1</x:v>
      </x:c>
      <x:c r="D1152" s="86" t="str">
        <x:f>IF($P1152="","",INDEX(Tasks!$D$10:$D$1941,$P1152))</x:f>
        <x:v>Retail Services</x:v>
      </x:c>
      <x:c r="E1152" s="86"/>
      <x:c r="F1152" s="86" t="str">
        <x:f>IF($P1152="","",INDEX(Tasks!$E$10:$E$1941,$P1152))</x:f>
        <x:v>Design &amp; Insights</x:v>
      </x:c>
      <x:c r="G1152" s="86"/>
      <x:c r="H1152" s="14" t="str">
        <x:f>IF($P1152="","",INDEX(Tasks!$F$10:$F$1941,$P1152)&amp;CHAR(10)&amp;INDEX(Tasks!$G$10:$G$1941,$P1152))</x:f>
        <x:v>DI.RS.1.3
Conduct high-level preliminary review of complaints within proposed topics</x:v>
      </x:c>
      <x:c r="I1152" s="14"/>
      <x:c r="J1152" s="14"/>
      <x:c r="K1152" s="14"/>
      <x:c r="L1152" s="86" t="str">
        <x:f>IF($P1152="","",INDEX(Tasks!$N$10:$N$1941,$P1152))</x:f>
        <x:v>Not started</x:v>
      </x:c>
      <x:c r="M1152" s="87" t="n">
        <x:f>IF($P1152="","",INDEX(Tasks!$J$10:$J$1941,$P1152))</x:f>
        <x:v>46112</x:v>
      </x:c>
      <x:c r="N1152" s="85" t="str">
        <x:f>IF($P1152="","",HYPERLINK("#'"&amp;INDEX(Tasks!$T$10:$T$1941,$P1152)&amp;"'!A"&amp;INDEX(Tasks!$U$10:$U$1941,$P1152),"Open"))</x:f>
        <x:v>Open</x:v>
      </x:c>
      <x:c r="O1152" s="14"/>
      <x:c r="P1152" s="14" t="n">
        <x:f>IF(1131&gt;$B$10,"",MATCH(1131,Tasks!$S$10:$S$1941,0))</x:f>
        <x:v>1495</x:v>
      </x:c>
    </x:row>
    <x:row r="1153" ht="58" customHeight="1">
      <x:c r="B1153" s="86" t="str">
        <x:f>IF($P1153="","",INDEX(Tasks!$B$10:$B$1941,$P1153))</x:f>
        <x:v>Cycle 1</x:v>
      </x:c>
      <x:c r="C1153" s="86" t="str">
        <x:f>IF($P1153="","",INDEX(Tasks!$C$10:$C$1941,$P1153))</x:f>
        <x:v>Phase 1</x:v>
      </x:c>
      <x:c r="D1153" s="86" t="str">
        <x:f>IF($P1153="","",INDEX(Tasks!$D$10:$D$1941,$P1153))</x:f>
        <x:v>Retail Services</x:v>
      </x:c>
      <x:c r="E1153" s="86"/>
      <x:c r="F1153" s="86" t="str">
        <x:f>IF($P1153="","",INDEX(Tasks!$E$10:$E$1941,$P1153))</x:f>
        <x:v>Design &amp; Insights</x:v>
      </x:c>
      <x:c r="G1153" s="86"/>
      <x:c r="H1153" s="14" t="str">
        <x:f>IF($P1153="","",INDEX(Tasks!$F$10:$F$1941,$P1153)&amp;CHAR(10)&amp;INDEX(Tasks!$G$10:$G$1941,$P1153))</x:f>
        <x:v>DI.RS.1.4
Meet with Research to discuss which topic to select based on potential impact</x:v>
      </x:c>
      <x:c r="I1153" s="14"/>
      <x:c r="J1153" s="14"/>
      <x:c r="K1153" s="14"/>
      <x:c r="L1153" s="86" t="str">
        <x:f>IF($P1153="","",INDEX(Tasks!$N$10:$N$1941,$P1153))</x:f>
        <x:v>Not started</x:v>
      </x:c>
      <x:c r="M1153" s="87" t="n">
        <x:f>IF($P1153="","",INDEX(Tasks!$J$10:$J$1941,$P1153))</x:f>
        <x:v>46112</x:v>
      </x:c>
      <x:c r="N1153" s="85" t="str">
        <x:f>IF($P1153="","",HYPERLINK("#'"&amp;INDEX(Tasks!$T$10:$T$1941,$P1153)&amp;"'!A"&amp;INDEX(Tasks!$U$10:$U$1941,$P1153),"Open"))</x:f>
        <x:v>Open</x:v>
      </x:c>
      <x:c r="O1153" s="14"/>
      <x:c r="P1153" s="14" t="n">
        <x:f>IF(1132&gt;$B$10,"",MATCH(1132,Tasks!$S$10:$S$1941,0))</x:f>
        <x:v>1496</x:v>
      </x:c>
    </x:row>
    <x:row r="1154" ht="58" customHeight="1">
      <x:c r="B1154" s="86" t="str">
        <x:f>IF($P1154="","",INDEX(Tasks!$B$10:$B$1941,$P1154))</x:f>
        <x:v>Cycle 1</x:v>
      </x:c>
      <x:c r="C1154" s="86" t="str">
        <x:f>IF($P1154="","",INDEX(Tasks!$C$10:$C$1941,$P1154))</x:f>
        <x:v>Phase 1</x:v>
      </x:c>
      <x:c r="D1154" s="86" t="str">
        <x:f>IF($P1154="","",INDEX(Tasks!$D$10:$D$1941,$P1154))</x:f>
        <x:v>Retail Services</x:v>
      </x:c>
      <x:c r="E1154" s="86"/>
      <x:c r="F1154" s="86" t="str">
        <x:f>IF($P1154="","",INDEX(Tasks!$E$10:$E$1941,$P1154))</x:f>
        <x:v>Design &amp; Insights</x:v>
      </x:c>
      <x:c r="G1154" s="86"/>
      <x:c r="H1154" s="14" t="str">
        <x:f>IF($P1154="","",INDEX(Tasks!$F$10:$F$1941,$P1154)&amp;CHAR(10)&amp;INDEX(Tasks!$G$10:$G$1941,$P1154))</x:f>
        <x:v>DI.RS.1.5
Confirm with Research the recommended topic for approval</x:v>
      </x:c>
      <x:c r="I1154" s="14"/>
      <x:c r="J1154" s="14"/>
      <x:c r="K1154" s="14"/>
      <x:c r="L1154" s="86" t="str">
        <x:f>IF($P1154="","",INDEX(Tasks!$N$10:$N$1941,$P1154))</x:f>
        <x:v>Not started</x:v>
      </x:c>
      <x:c r="M1154" s="87" t="n">
        <x:f>IF($P1154="","",INDEX(Tasks!$J$10:$J$1941,$P1154))</x:f>
        <x:v>46112</x:v>
      </x:c>
      <x:c r="N1154" s="85" t="str">
        <x:f>IF($P1154="","",HYPERLINK("#'"&amp;INDEX(Tasks!$T$10:$T$1941,$P1154)&amp;"'!A"&amp;INDEX(Tasks!$U$10:$U$1941,$P1154),"Open"))</x:f>
        <x:v>Open</x:v>
      </x:c>
      <x:c r="O1154" s="14"/>
      <x:c r="P1154" s="14" t="n">
        <x:f>IF(1133&gt;$B$10,"",MATCH(1133,Tasks!$S$10:$S$1941,0))</x:f>
        <x:v>1497</x:v>
      </x:c>
    </x:row>
    <x:row r="1155" ht="58" customHeight="1">
      <x:c r="B1155" s="86" t="str">
        <x:f>IF($P1155="","",INDEX(Tasks!$B$10:$B$1941,$P1155))</x:f>
        <x:v>Cycle 1</x:v>
      </x:c>
      <x:c r="C1155" s="86" t="str">
        <x:f>IF($P1155="","",INDEX(Tasks!$C$10:$C$1941,$P1155))</x:f>
        <x:v>Phase 1</x:v>
      </x:c>
      <x:c r="D1155" s="86" t="str">
        <x:f>IF($P1155="","",INDEX(Tasks!$D$10:$D$1941,$P1155))</x:f>
        <x:v>Retail Services</x:v>
      </x:c>
      <x:c r="E1155" s="86"/>
      <x:c r="F1155" s="86" t="str">
        <x:f>IF($P1155="","",INDEX(Tasks!$E$10:$E$1941,$P1155))</x:f>
        <x:v>Design &amp; Insights</x:v>
      </x:c>
      <x:c r="G1155" s="86"/>
      <x:c r="H1155" s="14" t="str">
        <x:f>IF($P1155="","",INDEX(Tasks!$F$10:$F$1941,$P1155)&amp;CHAR(10)&amp;INDEX(Tasks!$G$10:$G$1941,$P1155))</x:f>
        <x:v>DI.RS.1.6
Send topic selection socialization email to all key stakeholders on the first day of the review Cycle</x:v>
      </x:c>
      <x:c r="I1155" s="14"/>
      <x:c r="J1155" s="14"/>
      <x:c r="K1155" s="14"/>
      <x:c r="L1155" s="86" t="str">
        <x:f>IF($P1155="","",INDEX(Tasks!$N$10:$N$1941,$P1155))</x:f>
        <x:v>Not started</x:v>
      </x:c>
      <x:c r="M1155" s="87" t="n">
        <x:f>IF($P1155="","",INDEX(Tasks!$J$10:$J$1941,$P1155))</x:f>
        <x:v>46023</x:v>
      </x:c>
      <x:c r="N1155" s="85" t="str">
        <x:f>IF($P1155="","",HYPERLINK("#'"&amp;INDEX(Tasks!$T$10:$T$1941,$P1155)&amp;"'!A"&amp;INDEX(Tasks!$U$10:$U$1941,$P1155),"Open"))</x:f>
        <x:v>Open</x:v>
      </x:c>
      <x:c r="O1155" s="14"/>
      <x:c r="P1155" s="14" t="n">
        <x:f>IF(1134&gt;$B$10,"",MATCH(1134,Tasks!$S$10:$S$1941,0))</x:f>
        <x:v>1498</x:v>
      </x:c>
    </x:row>
    <x:row r="1156" ht="58" customHeight="1">
      <x:c r="B1156" s="86" t="str">
        <x:f>IF($P1156="","",INDEX(Tasks!$B$10:$B$1941,$P1156))</x:f>
        <x:v>Cycle 1</x:v>
      </x:c>
      <x:c r="C1156" s="86" t="str">
        <x:f>IF($P1156="","",INDEX(Tasks!$C$10:$C$1941,$P1156))</x:f>
        <x:v>Phase 2</x:v>
      </x:c>
      <x:c r="D1156" s="86" t="str">
        <x:f>IF($P1156="","",INDEX(Tasks!$D$10:$D$1941,$P1156))</x:f>
        <x:v>Retail Services</x:v>
      </x:c>
      <x:c r="E1156" s="86"/>
      <x:c r="F1156" s="86" t="str">
        <x:f>IF($P1156="","",INDEX(Tasks!$E$10:$E$1941,$P1156))</x:f>
        <x:v>Design &amp; Insights</x:v>
      </x:c>
      <x:c r="G1156" s="86"/>
      <x:c r="H1156" s="14" t="str">
        <x:f>IF($P1156="","",INDEX(Tasks!$F$10:$F$1941,$P1156)&amp;CHAR(10)&amp;INDEX(Tasks!$G$10:$G$1941,$P1156))</x:f>
        <x:v>DI.RS.2.1
Meet regularly with Research to stay informed on progress, findings, and potential enhancement</x:v>
      </x:c>
      <x:c r="I1156" s="14"/>
      <x:c r="J1156" s="14"/>
      <x:c r="K1156" s="14"/>
      <x:c r="L1156" s="86" t="str">
        <x:f>IF($P1156="","",INDEX(Tasks!$N$10:$N$1941,$P1156))</x:f>
        <x:v>Not started</x:v>
      </x:c>
      <x:c r="M1156" s="87" t="n">
        <x:f>IF($P1156="","",INDEX(Tasks!$J$10:$J$1941,$P1156))</x:f>
        <x:v>46112</x:v>
      </x:c>
      <x:c r="N1156" s="85" t="str">
        <x:f>IF($P1156="","",HYPERLINK("#'"&amp;INDEX(Tasks!$T$10:$T$1941,$P1156)&amp;"'!A"&amp;INDEX(Tasks!$U$10:$U$1941,$P1156),"Open"))</x:f>
        <x:v>Open</x:v>
      </x:c>
      <x:c r="O1156" s="14"/>
      <x:c r="P1156" s="14" t="n">
        <x:f>IF(1135&gt;$B$10,"",MATCH(1135,Tasks!$S$10:$S$1941,0))</x:f>
        <x:v>1499</x:v>
      </x:c>
    </x:row>
    <x:row r="1157" ht="58" customHeight="1">
      <x:c r="B1157" s="86" t="str">
        <x:f>IF($P1157="","",INDEX(Tasks!$B$10:$B$1941,$P1157))</x:f>
        <x:v>Cycle 1</x:v>
      </x:c>
      <x:c r="C1157" s="86" t="str">
        <x:f>IF($P1157="","",INDEX(Tasks!$C$10:$C$1941,$P1157))</x:f>
        <x:v>Phase 2</x:v>
      </x:c>
      <x:c r="D1157" s="86" t="str">
        <x:f>IF($P1157="","",INDEX(Tasks!$D$10:$D$1941,$P1157))</x:f>
        <x:v>Retail Services</x:v>
      </x:c>
      <x:c r="E1157" s="86"/>
      <x:c r="F1157" s="86" t="str">
        <x:f>IF($P1157="","",INDEX(Tasks!$E$10:$E$1941,$P1157))</x:f>
        <x:v>Design &amp; Insights</x:v>
      </x:c>
      <x:c r="G1157" s="86"/>
      <x:c r="H1157" s="14" t="str">
        <x:f>IF($P1157="","",INDEX(Tasks!$F$10:$F$1941,$P1157)&amp;CHAR(10)&amp;INDEX(Tasks!$G$10:$G$1941,$P1157))</x:f>
        <x:v>DI.RS.2.2
Collaborate with Research on research plan specifics</x:v>
      </x:c>
      <x:c r="I1157" s="14"/>
      <x:c r="J1157" s="14"/>
      <x:c r="K1157" s="14"/>
      <x:c r="L1157" s="86" t="str">
        <x:f>IF($P1157="","",INDEX(Tasks!$N$10:$N$1941,$P1157))</x:f>
        <x:v>Not started</x:v>
      </x:c>
      <x:c r="M1157" s="87" t="n">
        <x:f>IF($P1157="","",INDEX(Tasks!$J$10:$J$1941,$P1157))</x:f>
        <x:v>46112</x:v>
      </x:c>
      <x:c r="N1157" s="85" t="str">
        <x:f>IF($P1157="","",HYPERLINK("#'"&amp;INDEX(Tasks!$T$10:$T$1941,$P1157)&amp;"'!A"&amp;INDEX(Tasks!$U$10:$U$1941,$P1157),"Open"))</x:f>
        <x:v>Open</x:v>
      </x:c>
      <x:c r="O1157" s="14"/>
      <x:c r="P1157" s="14" t="n">
        <x:f>IF(1136&gt;$B$10,"",MATCH(1136,Tasks!$S$10:$S$1941,0))</x:f>
        <x:v>1500</x:v>
      </x:c>
    </x:row>
    <x:row r="1158" ht="58" customHeight="1">
      <x:c r="B1158" s="86" t="str">
        <x:f>IF($P1158="","",INDEX(Tasks!$B$10:$B$1941,$P1158))</x:f>
        <x:v>Cycle 1</x:v>
      </x:c>
      <x:c r="C1158" s="86" t="str">
        <x:f>IF($P1158="","",INDEX(Tasks!$C$10:$C$1941,$P1158))</x:f>
        <x:v>Phase 2</x:v>
      </x:c>
      <x:c r="D1158" s="86" t="str">
        <x:f>IF($P1158="","",INDEX(Tasks!$D$10:$D$1941,$P1158))</x:f>
        <x:v>Retail Services</x:v>
      </x:c>
      <x:c r="E1158" s="86"/>
      <x:c r="F1158" s="86" t="str">
        <x:f>IF($P1158="","",INDEX(Tasks!$E$10:$E$1941,$P1158))</x:f>
        <x:v>Design &amp; Insights</x:v>
      </x:c>
      <x:c r="G1158" s="86"/>
      <x:c r="H1158" s="14" t="str">
        <x:f>IF($P1158="","",INDEX(Tasks!$F$10:$F$1941,$P1158)&amp;CHAR(10)&amp;INDEX(Tasks!$G$10:$G$1941,$P1158))</x:f>
        <x:v>DI.RS.2.3
Participate in SME insight meetings to gain perspective and appetite on potential enhancements</x:v>
      </x:c>
      <x:c r="I1158" s="14"/>
      <x:c r="J1158" s="14"/>
      <x:c r="K1158" s="14"/>
      <x:c r="L1158" s="86" t="str">
        <x:f>IF($P1158="","",INDEX(Tasks!$N$10:$N$1941,$P1158))</x:f>
        <x:v>Not started</x:v>
      </x:c>
      <x:c r="M1158" s="87" t="n">
        <x:f>IF($P1158="","",INDEX(Tasks!$J$10:$J$1941,$P1158))</x:f>
        <x:v>46112</x:v>
      </x:c>
      <x:c r="N1158" s="85" t="str">
        <x:f>IF($P1158="","",HYPERLINK("#'"&amp;INDEX(Tasks!$T$10:$T$1941,$P1158)&amp;"'!A"&amp;INDEX(Tasks!$U$10:$U$1941,$P1158),"Open"))</x:f>
        <x:v>Open</x:v>
      </x:c>
      <x:c r="O1158" s="14"/>
      <x:c r="P1158" s="14" t="n">
        <x:f>IF(1137&gt;$B$10,"",MATCH(1137,Tasks!$S$10:$S$1941,0))</x:f>
        <x:v>1501</x:v>
      </x:c>
    </x:row>
    <x:row r="1159" ht="58" customHeight="1">
      <x:c r="B1159" s="86" t="str">
        <x:f>IF($P1159="","",INDEX(Tasks!$B$10:$B$1941,$P1159))</x:f>
        <x:v>Cycle 1</x:v>
      </x:c>
      <x:c r="C1159" s="86" t="str">
        <x:f>IF($P1159="","",INDEX(Tasks!$C$10:$C$1941,$P1159))</x:f>
        <x:v>Phase 2</x:v>
      </x:c>
      <x:c r="D1159" s="86" t="str">
        <x:f>IF($P1159="","",INDEX(Tasks!$D$10:$D$1941,$P1159))</x:f>
        <x:v>Retail Services</x:v>
      </x:c>
      <x:c r="E1159" s="86"/>
      <x:c r="F1159" s="86" t="str">
        <x:f>IF($P1159="","",INDEX(Tasks!$E$10:$E$1941,$P1159))</x:f>
        <x:v>Design &amp; Insights</x:v>
      </x:c>
      <x:c r="G1159" s="86"/>
      <x:c r="H1159" s="14" t="str">
        <x:f>IF($P1159="","",INDEX(Tasks!$F$10:$F$1941,$P1159)&amp;CHAR(10)&amp;INDEX(Tasks!$G$10:$G$1941,$P1159))</x:f>
        <x:v>DI.RS.2.4
Begin development of presentation materials as Research is being completed</x:v>
      </x:c>
      <x:c r="I1159" s="14"/>
      <x:c r="J1159" s="14"/>
      <x:c r="K1159" s="14"/>
      <x:c r="L1159" s="86" t="str">
        <x:f>IF($P1159="","",INDEX(Tasks!$N$10:$N$1941,$P1159))</x:f>
        <x:v>Not started</x:v>
      </x:c>
      <x:c r="M1159" s="87" t="n">
        <x:f>IF($P1159="","",INDEX(Tasks!$J$10:$J$1941,$P1159))</x:f>
        <x:v>46112</x:v>
      </x:c>
      <x:c r="N1159" s="85" t="str">
        <x:f>IF($P1159="","",HYPERLINK("#'"&amp;INDEX(Tasks!$T$10:$T$1941,$P1159)&amp;"'!A"&amp;INDEX(Tasks!$U$10:$U$1941,$P1159),"Open"))</x:f>
        <x:v>Open</x:v>
      </x:c>
      <x:c r="O1159" s="14"/>
      <x:c r="P1159" s="14" t="n">
        <x:f>IF(1138&gt;$B$10,"",MATCH(1138,Tasks!$S$10:$S$1941,0))</x:f>
        <x:v>1502</x:v>
      </x:c>
    </x:row>
    <x:row r="1160" ht="58" customHeight="1">
      <x:c r="B1160" s="86" t="str">
        <x:f>IF($P1160="","",INDEX(Tasks!$B$10:$B$1941,$P1160))</x:f>
        <x:v>Cycle 1</x:v>
      </x:c>
      <x:c r="C1160" s="86" t="str">
        <x:f>IF($P1160="","",INDEX(Tasks!$C$10:$C$1941,$P1160))</x:f>
        <x:v>Phase 2</x:v>
      </x:c>
      <x:c r="D1160" s="86" t="str">
        <x:f>IF($P1160="","",INDEX(Tasks!$D$10:$D$1941,$P1160))</x:f>
        <x:v>Retail Services</x:v>
      </x:c>
      <x:c r="E1160" s="86"/>
      <x:c r="F1160" s="86" t="str">
        <x:f>IF($P1160="","",INDEX(Tasks!$E$10:$E$1941,$P1160))</x:f>
        <x:v>Design &amp; Insights</x:v>
      </x:c>
      <x:c r="G1160" s="86"/>
      <x:c r="H1160" s="14" t="str">
        <x:f>IF($P1160="","",INDEX(Tasks!$F$10:$F$1941,$P1160)&amp;CHAR(10)&amp;INDEX(Tasks!$G$10:$G$1941,$P1160))</x:f>
        <x:v>DI.RS.2.5
Draft initial enhancement recommendations (as applicable)</x:v>
      </x:c>
      <x:c r="I1160" s="14"/>
      <x:c r="J1160" s="14"/>
      <x:c r="K1160" s="14"/>
      <x:c r="L1160" s="86" t="str">
        <x:f>IF($P1160="","",INDEX(Tasks!$N$10:$N$1941,$P1160))</x:f>
        <x:v>Not started</x:v>
      </x:c>
      <x:c r="M1160" s="87" t="n">
        <x:f>IF($P1160="","",INDEX(Tasks!$J$10:$J$1941,$P1160))</x:f>
        <x:v>46112</x:v>
      </x:c>
      <x:c r="N1160" s="85" t="str">
        <x:f>IF($P1160="","",HYPERLINK("#'"&amp;INDEX(Tasks!$T$10:$T$1941,$P1160)&amp;"'!A"&amp;INDEX(Tasks!$U$10:$U$1941,$P1160),"Open"))</x:f>
        <x:v>Open</x:v>
      </x:c>
      <x:c r="O1160" s="14"/>
      <x:c r="P1160" s="14" t="n">
        <x:f>IF(1139&gt;$B$10,"",MATCH(1139,Tasks!$S$10:$S$1941,0))</x:f>
        <x:v>1503</x:v>
      </x:c>
    </x:row>
    <x:row r="1161" ht="58" customHeight="1">
      <x:c r="B1161" s="86" t="str">
        <x:f>IF($P1161="","",INDEX(Tasks!$B$10:$B$1941,$P1161))</x:f>
        <x:v>Cycle 1</x:v>
      </x:c>
      <x:c r="C1161" s="86" t="str">
        <x:f>IF($P1161="","",INDEX(Tasks!$C$10:$C$1941,$P1161))</x:f>
        <x:v>Phase 2</x:v>
      </x:c>
      <x:c r="D1161" s="86" t="str">
        <x:f>IF($P1161="","",INDEX(Tasks!$D$10:$D$1941,$P1161))</x:f>
        <x:v>Retail Services</x:v>
      </x:c>
      <x:c r="E1161" s="86"/>
      <x:c r="F1161" s="86" t="str">
        <x:f>IF($P1161="","",INDEX(Tasks!$E$10:$E$1941,$P1161))</x:f>
        <x:v>Design &amp; Insights</x:v>
      </x:c>
      <x:c r="G1161" s="86"/>
      <x:c r="H1161" s="14" t="str">
        <x:f>IF($P1161="","",INDEX(Tasks!$F$10:$F$1941,$P1161)&amp;CHAR(10)&amp;INDEX(Tasks!$G$10:$G$1941,$P1161))</x:f>
        <x:v>DI.RS.2.6
Finalize presentation deck draft at conclusion of Research phase</x:v>
      </x:c>
      <x:c r="I1161" s="14"/>
      <x:c r="J1161" s="14"/>
      <x:c r="K1161" s="14"/>
      <x:c r="L1161" s="86" t="str">
        <x:f>IF($P1161="","",INDEX(Tasks!$N$10:$N$1941,$P1161))</x:f>
        <x:v>Not started</x:v>
      </x:c>
      <x:c r="M1161" s="87" t="n">
        <x:f>IF($P1161="","",INDEX(Tasks!$J$10:$J$1941,$P1161))</x:f>
        <x:v>46112</x:v>
      </x:c>
      <x:c r="N1161" s="85" t="str">
        <x:f>IF($P1161="","",HYPERLINK("#'"&amp;INDEX(Tasks!$T$10:$T$1941,$P1161)&amp;"'!A"&amp;INDEX(Tasks!$U$10:$U$1941,$P1161),"Open"))</x:f>
        <x:v>Open</x:v>
      </x:c>
      <x:c r="O1161" s="14"/>
      <x:c r="P1161" s="14" t="n">
        <x:f>IF(1140&gt;$B$10,"",MATCH(1140,Tasks!$S$10:$S$1941,0))</x:f>
        <x:v>1504</x:v>
      </x:c>
    </x:row>
    <x:row r="1162" ht="58" customHeight="1">
      <x:c r="B1162" s="86" t="str">
        <x:f>IF($P1162="","",INDEX(Tasks!$B$10:$B$1941,$P1162))</x:f>
        <x:v>Cycle 1</x:v>
      </x:c>
      <x:c r="C1162" s="86" t="str">
        <x:f>IF($P1162="","",INDEX(Tasks!$C$10:$C$1941,$P1162))</x:f>
        <x:v>Phase 2</x:v>
      </x:c>
      <x:c r="D1162" s="86" t="str">
        <x:f>IF($P1162="","",INDEX(Tasks!$D$10:$D$1941,$P1162))</x:f>
        <x:v>Retail Services</x:v>
      </x:c>
      <x:c r="E1162" s="86"/>
      <x:c r="F1162" s="86" t="str">
        <x:f>IF($P1162="","",INDEX(Tasks!$E$10:$E$1941,$P1162))</x:f>
        <x:v>Design &amp; Insights</x:v>
      </x:c>
      <x:c r="G1162" s="86"/>
      <x:c r="H1162" s="14" t="str">
        <x:f>IF($P1162="","",INDEX(Tasks!$F$10:$F$1941,$P1162)&amp;CHAR(10)&amp;INDEX(Tasks!$G$10:$G$1941,$P1162))</x:f>
        <x:v>DI.RS.2.7
Update Outcome portion of research plan with current enhancement verbiage (as needed)</x:v>
      </x:c>
      <x:c r="I1162" s="14"/>
      <x:c r="J1162" s="14"/>
      <x:c r="K1162" s="14"/>
      <x:c r="L1162" s="86" t="str">
        <x:f>IF($P1162="","",INDEX(Tasks!$N$10:$N$1941,$P1162))</x:f>
        <x:v>Not started</x:v>
      </x:c>
      <x:c r="M1162" s="87" t="n">
        <x:f>IF($P1162="","",INDEX(Tasks!$J$10:$J$1941,$P1162))</x:f>
        <x:v>46112</x:v>
      </x:c>
      <x:c r="N1162" s="85" t="str">
        <x:f>IF($P1162="","",HYPERLINK("#'"&amp;INDEX(Tasks!$T$10:$T$1941,$P1162)&amp;"'!A"&amp;INDEX(Tasks!$U$10:$U$1941,$P1162),"Open"))</x:f>
        <x:v>Open</x:v>
      </x:c>
      <x:c r="O1162" s="14"/>
      <x:c r="P1162" s="14" t="n">
        <x:f>IF(1141&gt;$B$10,"",MATCH(1141,Tasks!$S$10:$S$1941,0))</x:f>
        <x:v>1505</x:v>
      </x:c>
    </x:row>
    <x:row r="1163" ht="58" customHeight="1">
      <x:c r="B1163" s="86" t="str">
        <x:f>IF($P1163="","",INDEX(Tasks!$B$10:$B$1941,$P1163))</x:f>
        <x:v>Cycle 1</x:v>
      </x:c>
      <x:c r="C1163" s="86" t="str">
        <x:f>IF($P1163="","",INDEX(Tasks!$C$10:$C$1941,$P1163))</x:f>
        <x:v>Phase 3</x:v>
      </x:c>
      <x:c r="D1163" s="86" t="str">
        <x:f>IF($P1163="","",INDEX(Tasks!$D$10:$D$1941,$P1163))</x:f>
        <x:v>Retail Services</x:v>
      </x:c>
      <x:c r="E1163" s="86"/>
      <x:c r="F1163" s="86" t="str">
        <x:f>IF($P1163="","",INDEX(Tasks!$E$10:$E$1941,$P1163))</x:f>
        <x:v>Design &amp; Insights</x:v>
      </x:c>
      <x:c r="G1163" s="86"/>
      <x:c r="H1163" s="14" t="str">
        <x:f>IF($P1163="","",INDEX(Tasks!$F$10:$F$1941,$P1163)&amp;CHAR(10)&amp;INDEX(Tasks!$G$10:$G$1941,$P1163))</x:f>
        <x:v>DI.RS.3.1
Confirm list of required &amp; optional attendees for pre-socialization meeting</x:v>
      </x:c>
      <x:c r="I1163" s="14"/>
      <x:c r="J1163" s="14"/>
      <x:c r="K1163" s="14"/>
      <x:c r="L1163" s="86" t="str">
        <x:f>IF($P1163="","",INDEX(Tasks!$N$10:$N$1941,$P1163))</x:f>
        <x:v>Not started</x:v>
      </x:c>
      <x:c r="M1163" s="87" t="n">
        <x:f>IF($P1163="","",INDEX(Tasks!$J$10:$J$1941,$P1163))</x:f>
        <x:v>46112</x:v>
      </x:c>
      <x:c r="N1163" s="85" t="str">
        <x:f>IF($P1163="","",HYPERLINK("#'"&amp;INDEX(Tasks!$T$10:$T$1941,$P1163)&amp;"'!A"&amp;INDEX(Tasks!$U$10:$U$1941,$P1163),"Open"))</x:f>
        <x:v>Open</x:v>
      </x:c>
      <x:c r="O1163" s="14"/>
      <x:c r="P1163" s="14" t="n">
        <x:f>IF(1142&gt;$B$10,"",MATCH(1142,Tasks!$S$10:$S$1941,0))</x:f>
        <x:v>1506</x:v>
      </x:c>
    </x:row>
    <x:row r="1164" ht="58" customHeight="1">
      <x:c r="B1164" s="86" t="str">
        <x:f>IF($P1164="","",INDEX(Tasks!$B$10:$B$1941,$P1164))</x:f>
        <x:v>Cycle 1</x:v>
      </x:c>
      <x:c r="C1164" s="86" t="str">
        <x:f>IF($P1164="","",INDEX(Tasks!$C$10:$C$1941,$P1164))</x:f>
        <x:v>Phase 3</x:v>
      </x:c>
      <x:c r="D1164" s="86" t="str">
        <x:f>IF($P1164="","",INDEX(Tasks!$D$10:$D$1941,$P1164))</x:f>
        <x:v>Retail Services</x:v>
      </x:c>
      <x:c r="E1164" s="86"/>
      <x:c r="F1164" s="86" t="str">
        <x:f>IF($P1164="","",INDEX(Tasks!$E$10:$E$1941,$P1164))</x:f>
        <x:v>Design &amp; Insights</x:v>
      </x:c>
      <x:c r="G1164" s="86"/>
      <x:c r="H1164" s="14" t="str">
        <x:f>IF($P1164="","",INDEX(Tasks!$F$10:$F$1941,$P1164)&amp;CHAR(10)&amp;INDEX(Tasks!$G$10:$G$1941,$P1164))</x:f>
        <x:v>DI.RS.3.2
Schedule pre-socialization meeting 1 week prior to RCA Forum</x:v>
      </x:c>
      <x:c r="I1164" s="14"/>
      <x:c r="J1164" s="14"/>
      <x:c r="K1164" s="14"/>
      <x:c r="L1164" s="86" t="str">
        <x:f>IF($P1164="","",INDEX(Tasks!$N$10:$N$1941,$P1164))</x:f>
        <x:v>Not started</x:v>
      </x:c>
      <x:c r="M1164" s="87" t="str">
        <x:f>IF($P1164="","",INDEX(Tasks!$J$10:$J$1941,$P1164))</x:f>
      </x:c>
      <x:c r="N1164" s="85" t="str">
        <x:f>IF($P1164="","",HYPERLINK("#'"&amp;INDEX(Tasks!$T$10:$T$1941,$P1164)&amp;"'!A"&amp;INDEX(Tasks!$U$10:$U$1941,$P1164),"Open"))</x:f>
        <x:v>Open</x:v>
      </x:c>
      <x:c r="O1164" s="14"/>
      <x:c r="P1164" s="14" t="n">
        <x:f>IF(1143&gt;$B$10,"",MATCH(1143,Tasks!$S$10:$S$1941,0))</x:f>
        <x:v>1507</x:v>
      </x:c>
    </x:row>
    <x:row r="1165" ht="58" customHeight="1">
      <x:c r="B1165" s="86" t="str">
        <x:f>IF($P1165="","",INDEX(Tasks!$B$10:$B$1941,$P1165))</x:f>
        <x:v>Cycle 1</x:v>
      </x:c>
      <x:c r="C1165" s="86" t="str">
        <x:f>IF($P1165="","",INDEX(Tasks!$C$10:$C$1941,$P1165))</x:f>
        <x:v>Phase 3</x:v>
      </x:c>
      <x:c r="D1165" s="86" t="str">
        <x:f>IF($P1165="","",INDEX(Tasks!$D$10:$D$1941,$P1165))</x:f>
        <x:v>Retail Services</x:v>
      </x:c>
      <x:c r="E1165" s="86"/>
      <x:c r="F1165" s="86" t="str">
        <x:f>IF($P1165="","",INDEX(Tasks!$E$10:$E$1941,$P1165))</x:f>
        <x:v>Design &amp; Insights</x:v>
      </x:c>
      <x:c r="G1165" s="86"/>
      <x:c r="H1165" s="14" t="str">
        <x:f>IF($P1165="","",INDEX(Tasks!$F$10:$F$1941,$P1165)&amp;CHAR(10)&amp;INDEX(Tasks!$G$10:$G$1941,$P1165))</x:f>
        <x:v>DI.RS.3.3
Present findings, conclusions, and recommendation to SMEs</x:v>
      </x:c>
      <x:c r="I1165" s="14"/>
      <x:c r="J1165" s="14"/>
      <x:c r="K1165" s="14"/>
      <x:c r="L1165" s="86" t="str">
        <x:f>IF($P1165="","",INDEX(Tasks!$N$10:$N$1941,$P1165))</x:f>
        <x:v>Not started</x:v>
      </x:c>
      <x:c r="M1165" s="87" t="n">
        <x:f>IF($P1165="","",INDEX(Tasks!$J$10:$J$1941,$P1165))</x:f>
        <x:v>46112</x:v>
      </x:c>
      <x:c r="N1165" s="85" t="str">
        <x:f>IF($P1165="","",HYPERLINK("#'"&amp;INDEX(Tasks!$T$10:$T$1941,$P1165)&amp;"'!A"&amp;INDEX(Tasks!$U$10:$U$1941,$P1165),"Open"))</x:f>
        <x:v>Open</x:v>
      </x:c>
      <x:c r="O1165" s="14"/>
      <x:c r="P1165" s="14" t="n">
        <x:f>IF(1144&gt;$B$10,"",MATCH(1144,Tasks!$S$10:$S$1941,0))</x:f>
        <x:v>1508</x:v>
      </x:c>
    </x:row>
    <x:row r="1166" ht="58" customHeight="1">
      <x:c r="B1166" s="86" t="str">
        <x:f>IF($P1166="","",INDEX(Tasks!$B$10:$B$1941,$P1166))</x:f>
        <x:v>Cycle 1</x:v>
      </x:c>
      <x:c r="C1166" s="86" t="str">
        <x:f>IF($P1166="","",INDEX(Tasks!$C$10:$C$1941,$P1166))</x:f>
        <x:v>Phase 3</x:v>
      </x:c>
      <x:c r="D1166" s="86" t="str">
        <x:f>IF($P1166="","",INDEX(Tasks!$D$10:$D$1941,$P1166))</x:f>
        <x:v>Retail Services</x:v>
      </x:c>
      <x:c r="E1166" s="86"/>
      <x:c r="F1166" s="86" t="str">
        <x:f>IF($P1166="","",INDEX(Tasks!$E$10:$E$1941,$P1166))</x:f>
        <x:v>Design &amp; Insights</x:v>
      </x:c>
      <x:c r="G1166" s="86"/>
      <x:c r="H1166" s="14" t="str">
        <x:f>IF($P1166="","",INDEX(Tasks!$F$10:$F$1941,$P1166)&amp;CHAR(10)&amp;INDEX(Tasks!$G$10:$G$1941,$P1166))</x:f>
        <x:v>DI.RS.3.4
Update Outcome portion of research plan (as needed)</x:v>
      </x:c>
      <x:c r="I1166" s="14"/>
      <x:c r="J1166" s="14"/>
      <x:c r="K1166" s="14"/>
      <x:c r="L1166" s="86" t="str">
        <x:f>IF($P1166="","",INDEX(Tasks!$N$10:$N$1941,$P1166))</x:f>
        <x:v>Not started</x:v>
      </x:c>
      <x:c r="M1166" s="87" t="n">
        <x:f>IF($P1166="","",INDEX(Tasks!$J$10:$J$1941,$P1166))</x:f>
        <x:v>46112</x:v>
      </x:c>
      <x:c r="N1166" s="85" t="str">
        <x:f>IF($P1166="","",HYPERLINK("#'"&amp;INDEX(Tasks!$T$10:$T$1941,$P1166)&amp;"'!A"&amp;INDEX(Tasks!$U$10:$U$1941,$P1166),"Open"))</x:f>
        <x:v>Open</x:v>
      </x:c>
      <x:c r="O1166" s="14"/>
      <x:c r="P1166" s="14" t="n">
        <x:f>IF(1145&gt;$B$10,"",MATCH(1145,Tasks!$S$10:$S$1941,0))</x:f>
        <x:v>1509</x:v>
      </x:c>
    </x:row>
    <x:row r="1167" ht="58" customHeight="1">
      <x:c r="B1167" s="86" t="str">
        <x:f>IF($P1167="","",INDEX(Tasks!$B$10:$B$1941,$P1167))</x:f>
        <x:v>Cycle 1</x:v>
      </x:c>
      <x:c r="C1167" s="86" t="str">
        <x:f>IF($P1167="","",INDEX(Tasks!$C$10:$C$1941,$P1167))</x:f>
        <x:v>Phase 3</x:v>
      </x:c>
      <x:c r="D1167" s="86" t="str">
        <x:f>IF($P1167="","",INDEX(Tasks!$D$10:$D$1941,$P1167))</x:f>
        <x:v>Retail Services</x:v>
      </x:c>
      <x:c r="E1167" s="86"/>
      <x:c r="F1167" s="86" t="str">
        <x:f>IF($P1167="","",INDEX(Tasks!$E$10:$E$1941,$P1167))</x:f>
        <x:v>Design &amp; Insights</x:v>
      </x:c>
      <x:c r="G1167" s="86"/>
      <x:c r="H1167" s="14" t="str">
        <x:f>IF($P1167="","",INDEX(Tasks!$F$10:$F$1941,$P1167)&amp;CHAR(10)&amp;INDEX(Tasks!$G$10:$G$1941,$P1167))</x:f>
        <x:v>DI.RS.3.5
Finalize presentation deck by incorporating pre-socialization feedback (as needed)</x:v>
      </x:c>
      <x:c r="I1167" s="14"/>
      <x:c r="J1167" s="14"/>
      <x:c r="K1167" s="14"/>
      <x:c r="L1167" s="86" t="str">
        <x:f>IF($P1167="","",INDEX(Tasks!$N$10:$N$1941,$P1167))</x:f>
        <x:v>Not started</x:v>
      </x:c>
      <x:c r="M1167" s="87" t="n">
        <x:f>IF($P1167="","",INDEX(Tasks!$J$10:$J$1941,$P1167))</x:f>
        <x:v>46112</x:v>
      </x:c>
      <x:c r="N1167" s="85" t="str">
        <x:f>IF($P1167="","",HYPERLINK("#'"&amp;INDEX(Tasks!$T$10:$T$1941,$P1167)&amp;"'!A"&amp;INDEX(Tasks!$U$10:$U$1941,$P1167),"Open"))</x:f>
        <x:v>Open</x:v>
      </x:c>
      <x:c r="O1167" s="14"/>
      <x:c r="P1167" s="14" t="n">
        <x:f>IF(1146&gt;$B$10,"",MATCH(1146,Tasks!$S$10:$S$1941,0))</x:f>
        <x:v>1510</x:v>
      </x:c>
    </x:row>
    <x:row r="1168" ht="58" customHeight="1">
      <x:c r="B1168" s="86" t="str">
        <x:f>IF($P1168="","",INDEX(Tasks!$B$10:$B$1941,$P1168))</x:f>
        <x:v>Cycle 1</x:v>
      </x:c>
      <x:c r="C1168" s="86" t="str">
        <x:f>IF($P1168="","",INDEX(Tasks!$C$10:$C$1941,$P1168))</x:f>
        <x:v>Phase 3</x:v>
      </x:c>
      <x:c r="D1168" s="86" t="str">
        <x:f>IF($P1168="","",INDEX(Tasks!$D$10:$D$1941,$P1168))</x:f>
        <x:v>Retail Services</x:v>
      </x:c>
      <x:c r="E1168" s="86"/>
      <x:c r="F1168" s="86" t="str">
        <x:f>IF($P1168="","",INDEX(Tasks!$E$10:$E$1941,$P1168))</x:f>
        <x:v>Design &amp; Insights</x:v>
      </x:c>
      <x:c r="G1168" s="86"/>
      <x:c r="H1168" s="14" t="str">
        <x:f>IF($P1168="","",INDEX(Tasks!$F$10:$F$1941,$P1168)&amp;CHAR(10)&amp;INDEX(Tasks!$G$10:$G$1941,$P1168))</x:f>
        <x:v>DI.RS.3.6
Ensure final deck is communicated to Forum attendees</x:v>
      </x:c>
      <x:c r="I1168" s="14"/>
      <x:c r="J1168" s="14"/>
      <x:c r="K1168" s="14"/>
      <x:c r="L1168" s="86" t="str">
        <x:f>IF($P1168="","",INDEX(Tasks!$N$10:$N$1941,$P1168))</x:f>
        <x:v>Not started</x:v>
      </x:c>
      <x:c r="M1168" s="87" t="n">
        <x:f>IF($P1168="","",INDEX(Tasks!$J$10:$J$1941,$P1168))</x:f>
        <x:v>46112</x:v>
      </x:c>
      <x:c r="N1168" s="85" t="str">
        <x:f>IF($P1168="","",HYPERLINK("#'"&amp;INDEX(Tasks!$T$10:$T$1941,$P1168)&amp;"'!A"&amp;INDEX(Tasks!$U$10:$U$1941,$P1168),"Open"))</x:f>
        <x:v>Open</x:v>
      </x:c>
      <x:c r="O1168" s="14"/>
      <x:c r="P1168" s="14" t="n">
        <x:f>IF(1147&gt;$B$10,"",MATCH(1147,Tasks!$S$10:$S$1941,0))</x:f>
        <x:v>1511</x:v>
      </x:c>
    </x:row>
    <x:row r="1169" ht="58" customHeight="1">
      <x:c r="B1169" s="86" t="str">
        <x:f>IF($P1169="","",INDEX(Tasks!$B$10:$B$1941,$P1169))</x:f>
        <x:v>Cycle 1</x:v>
      </x:c>
      <x:c r="C1169" s="86" t="str">
        <x:f>IF($P1169="","",INDEX(Tasks!$C$10:$C$1941,$P1169))</x:f>
        <x:v>Phase 3</x:v>
      </x:c>
      <x:c r="D1169" s="86" t="str">
        <x:f>IF($P1169="","",INDEX(Tasks!$D$10:$D$1941,$P1169))</x:f>
        <x:v>Retail Services</x:v>
      </x:c>
      <x:c r="E1169" s="86"/>
      <x:c r="F1169" s="86" t="str">
        <x:f>IF($P1169="","",INDEX(Tasks!$E$10:$E$1941,$P1169))</x:f>
        <x:v>Design &amp; Insights</x:v>
      </x:c>
      <x:c r="G1169" s="86"/>
      <x:c r="H1169" s="14" t="str">
        <x:f>IF($P1169="","",INDEX(Tasks!$F$10:$F$1941,$P1169)&amp;CHAR(10)&amp;INDEX(Tasks!$G$10:$G$1941,$P1169))</x:f>
        <x:v>DI.RS.3.7
Present material in RCA Cycle Forum</x:v>
      </x:c>
      <x:c r="I1169" s="14"/>
      <x:c r="J1169" s="14"/>
      <x:c r="K1169" s="14"/>
      <x:c r="L1169" s="86" t="str">
        <x:f>IF($P1169="","",INDEX(Tasks!$N$10:$N$1941,$P1169))</x:f>
        <x:v>Not started</x:v>
      </x:c>
      <x:c r="M1169" s="87" t="str">
        <x:f>IF($P1169="","",INDEX(Tasks!$J$10:$J$1941,$P1169))</x:f>
      </x:c>
      <x:c r="N1169" s="85" t="str">
        <x:f>IF($P1169="","",HYPERLINK("#'"&amp;INDEX(Tasks!$T$10:$T$1941,$P1169)&amp;"'!A"&amp;INDEX(Tasks!$U$10:$U$1941,$P1169),"Open"))</x:f>
        <x:v>Open</x:v>
      </x:c>
      <x:c r="O1169" s="14"/>
      <x:c r="P1169" s="14" t="n">
        <x:f>IF(1148&gt;$B$10,"",MATCH(1148,Tasks!$S$10:$S$1941,0))</x:f>
        <x:v>1512</x:v>
      </x:c>
    </x:row>
    <x:row r="1170" ht="58" customHeight="1">
      <x:c r="B1170" s="86" t="str">
        <x:f>IF($P1170="","",INDEX(Tasks!$B$10:$B$1941,$P1170))</x:f>
        <x:v>Cycle 2</x:v>
      </x:c>
      <x:c r="C1170" s="86" t="str">
        <x:f>IF($P1170="","",INDEX(Tasks!$C$10:$C$1941,$P1170))</x:f>
        <x:v>Phase 1</x:v>
      </x:c>
      <x:c r="D1170" s="86" t="str">
        <x:f>IF($P1170="","",INDEX(Tasks!$D$10:$D$1941,$P1170))</x:f>
        <x:v>Auto</x:v>
      </x:c>
      <x:c r="E1170" s="86"/>
      <x:c r="F1170" s="86" t="str">
        <x:f>IF($P1170="","",INDEX(Tasks!$E$10:$E$1941,$P1170))</x:f>
        <x:v>Design &amp; Insights</x:v>
      </x:c>
      <x:c r="G1170" s="86"/>
      <x:c r="H1170" s="14" t="str">
        <x:f>IF($P1170="","",INDEX(Tasks!$F$10:$F$1941,$P1170)&amp;CHAR(10)&amp;INDEX(Tasks!$G$10:$G$1941,$P1170))</x:f>
        <x:v>DI.AU.1.1
Receive and review potential research topics at least 2 weeks prior to Cycle start date</x:v>
      </x:c>
      <x:c r="I1170" s="14"/>
      <x:c r="J1170" s="14"/>
      <x:c r="K1170" s="14"/>
      <x:c r="L1170" s="86" t="str">
        <x:f>IF($P1170="","",INDEX(Tasks!$N$10:$N$1941,$P1170))</x:f>
        <x:v>Not started</x:v>
      </x:c>
      <x:c r="M1170" s="87" t="n">
        <x:f>IF($P1170="","",INDEX(Tasks!$J$10:$J$1941,$P1170))</x:f>
        <x:v>46099</x:v>
      </x:c>
      <x:c r="N1170" s="85" t="str">
        <x:f>IF($P1170="","",HYPERLINK("#'"&amp;INDEX(Tasks!$T$10:$T$1941,$P1170)&amp;"'!A"&amp;INDEX(Tasks!$U$10:$U$1941,$P1170),"Open"))</x:f>
        <x:v>Open</x:v>
      </x:c>
      <x:c r="O1170" s="14"/>
      <x:c r="P1170" s="14" t="n">
        <x:f>IF(1149&gt;$B$10,"",MATCH(1149,Tasks!$S$10:$S$1941,0))</x:f>
        <x:v>1513</x:v>
      </x:c>
    </x:row>
    <x:row r="1171" ht="58" customHeight="1">
      <x:c r="B1171" s="86" t="str">
        <x:f>IF($P1171="","",INDEX(Tasks!$B$10:$B$1941,$P1171))</x:f>
        <x:v>Cycle 2</x:v>
      </x:c>
      <x:c r="C1171" s="86" t="str">
        <x:f>IF($P1171="","",INDEX(Tasks!$C$10:$C$1941,$P1171))</x:f>
        <x:v>Phase 1</x:v>
      </x:c>
      <x:c r="D1171" s="86" t="str">
        <x:f>IF($P1171="","",INDEX(Tasks!$D$10:$D$1941,$P1171))</x:f>
        <x:v>Auto</x:v>
      </x:c>
      <x:c r="E1171" s="86"/>
      <x:c r="F1171" s="86" t="str">
        <x:f>IF($P1171="","",INDEX(Tasks!$E$10:$E$1941,$P1171))</x:f>
        <x:v>Design &amp; Insights</x:v>
      </x:c>
      <x:c r="G1171" s="86"/>
      <x:c r="H1171" s="14" t="str">
        <x:f>IF($P1171="","",INDEX(Tasks!$F$10:$F$1941,$P1171)&amp;CHAR(10)&amp;INDEX(Tasks!$G$10:$G$1941,$P1171))</x:f>
        <x:v>DI.AU.1.2
Communicate any feedback on preferences or concerns with topics identified</x:v>
      </x:c>
      <x:c r="I1171" s="14"/>
      <x:c r="J1171" s="14"/>
      <x:c r="K1171" s="14"/>
      <x:c r="L1171" s="86" t="str">
        <x:f>IF($P1171="","",INDEX(Tasks!$N$10:$N$1941,$P1171))</x:f>
        <x:v>Not started</x:v>
      </x:c>
      <x:c r="M1171" s="87" t="n">
        <x:f>IF($P1171="","",INDEX(Tasks!$J$10:$J$1941,$P1171))</x:f>
        <x:v>46203</x:v>
      </x:c>
      <x:c r="N1171" s="85" t="str">
        <x:f>IF($P1171="","",HYPERLINK("#'"&amp;INDEX(Tasks!$T$10:$T$1941,$P1171)&amp;"'!A"&amp;INDEX(Tasks!$U$10:$U$1941,$P1171),"Open"))</x:f>
        <x:v>Open</x:v>
      </x:c>
      <x:c r="O1171" s="14"/>
      <x:c r="P1171" s="14" t="n">
        <x:f>IF(1150&gt;$B$10,"",MATCH(1150,Tasks!$S$10:$S$1941,0))</x:f>
        <x:v>1514</x:v>
      </x:c>
    </x:row>
    <x:row r="1172" ht="58" customHeight="1">
      <x:c r="B1172" s="86" t="str">
        <x:f>IF($P1172="","",INDEX(Tasks!$B$10:$B$1941,$P1172))</x:f>
        <x:v>Cycle 2</x:v>
      </x:c>
      <x:c r="C1172" s="86" t="str">
        <x:f>IF($P1172="","",INDEX(Tasks!$C$10:$C$1941,$P1172))</x:f>
        <x:v>Phase 1</x:v>
      </x:c>
      <x:c r="D1172" s="86" t="str">
        <x:f>IF($P1172="","",INDEX(Tasks!$D$10:$D$1941,$P1172))</x:f>
        <x:v>Auto</x:v>
      </x:c>
      <x:c r="E1172" s="86"/>
      <x:c r="F1172" s="86" t="str">
        <x:f>IF($P1172="","",INDEX(Tasks!$E$10:$E$1941,$P1172))</x:f>
        <x:v>Design &amp; Insights</x:v>
      </x:c>
      <x:c r="G1172" s="86"/>
      <x:c r="H1172" s="14" t="str">
        <x:f>IF($P1172="","",INDEX(Tasks!$F$10:$F$1941,$P1172)&amp;CHAR(10)&amp;INDEX(Tasks!$G$10:$G$1941,$P1172))</x:f>
        <x:v>DI.AU.1.3
Conduct high-level preliminary review of complaints within proposed topics</x:v>
      </x:c>
      <x:c r="I1172" s="14"/>
      <x:c r="J1172" s="14"/>
      <x:c r="K1172" s="14"/>
      <x:c r="L1172" s="86" t="str">
        <x:f>IF($P1172="","",INDEX(Tasks!$N$10:$N$1941,$P1172))</x:f>
        <x:v>Not started</x:v>
      </x:c>
      <x:c r="M1172" s="87" t="n">
        <x:f>IF($P1172="","",INDEX(Tasks!$J$10:$J$1941,$P1172))</x:f>
        <x:v>46203</x:v>
      </x:c>
      <x:c r="N1172" s="85" t="str">
        <x:f>IF($P1172="","",HYPERLINK("#'"&amp;INDEX(Tasks!$T$10:$T$1941,$P1172)&amp;"'!A"&amp;INDEX(Tasks!$U$10:$U$1941,$P1172),"Open"))</x:f>
        <x:v>Open</x:v>
      </x:c>
      <x:c r="O1172" s="14"/>
      <x:c r="P1172" s="14" t="n">
        <x:f>IF(1151&gt;$B$10,"",MATCH(1151,Tasks!$S$10:$S$1941,0))</x:f>
        <x:v>1515</x:v>
      </x:c>
    </x:row>
    <x:row r="1173" ht="58" customHeight="1">
      <x:c r="B1173" s="86" t="str">
        <x:f>IF($P1173="","",INDEX(Tasks!$B$10:$B$1941,$P1173))</x:f>
        <x:v>Cycle 2</x:v>
      </x:c>
      <x:c r="C1173" s="86" t="str">
        <x:f>IF($P1173="","",INDEX(Tasks!$C$10:$C$1941,$P1173))</x:f>
        <x:v>Phase 1</x:v>
      </x:c>
      <x:c r="D1173" s="86" t="str">
        <x:f>IF($P1173="","",INDEX(Tasks!$D$10:$D$1941,$P1173))</x:f>
        <x:v>Auto</x:v>
      </x:c>
      <x:c r="E1173" s="86"/>
      <x:c r="F1173" s="86" t="str">
        <x:f>IF($P1173="","",INDEX(Tasks!$E$10:$E$1941,$P1173))</x:f>
        <x:v>Design &amp; Insights</x:v>
      </x:c>
      <x:c r="G1173" s="86"/>
      <x:c r="H1173" s="14" t="str">
        <x:f>IF($P1173="","",INDEX(Tasks!$F$10:$F$1941,$P1173)&amp;CHAR(10)&amp;INDEX(Tasks!$G$10:$G$1941,$P1173))</x:f>
        <x:v>DI.AU.1.4
Meet with Research to discuss which topic to select based on potential impact</x:v>
      </x:c>
      <x:c r="I1173" s="14"/>
      <x:c r="J1173" s="14"/>
      <x:c r="K1173" s="14"/>
      <x:c r="L1173" s="86" t="str">
        <x:f>IF($P1173="","",INDEX(Tasks!$N$10:$N$1941,$P1173))</x:f>
        <x:v>Not started</x:v>
      </x:c>
      <x:c r="M1173" s="87" t="n">
        <x:f>IF($P1173="","",INDEX(Tasks!$J$10:$J$1941,$P1173))</x:f>
        <x:v>46203</x:v>
      </x:c>
      <x:c r="N1173" s="85" t="str">
        <x:f>IF($P1173="","",HYPERLINK("#'"&amp;INDEX(Tasks!$T$10:$T$1941,$P1173)&amp;"'!A"&amp;INDEX(Tasks!$U$10:$U$1941,$P1173),"Open"))</x:f>
        <x:v>Open</x:v>
      </x:c>
      <x:c r="O1173" s="14"/>
      <x:c r="P1173" s="14" t="n">
        <x:f>IF(1152&gt;$B$10,"",MATCH(1152,Tasks!$S$10:$S$1941,0))</x:f>
        <x:v>1516</x:v>
      </x:c>
    </x:row>
    <x:row r="1174" ht="58" customHeight="1">
      <x:c r="B1174" s="86" t="str">
        <x:f>IF($P1174="","",INDEX(Tasks!$B$10:$B$1941,$P1174))</x:f>
        <x:v>Cycle 2</x:v>
      </x:c>
      <x:c r="C1174" s="86" t="str">
        <x:f>IF($P1174="","",INDEX(Tasks!$C$10:$C$1941,$P1174))</x:f>
        <x:v>Phase 1</x:v>
      </x:c>
      <x:c r="D1174" s="86" t="str">
        <x:f>IF($P1174="","",INDEX(Tasks!$D$10:$D$1941,$P1174))</x:f>
        <x:v>Auto</x:v>
      </x:c>
      <x:c r="E1174" s="86"/>
      <x:c r="F1174" s="86" t="str">
        <x:f>IF($P1174="","",INDEX(Tasks!$E$10:$E$1941,$P1174))</x:f>
        <x:v>Design &amp; Insights</x:v>
      </x:c>
      <x:c r="G1174" s="86"/>
      <x:c r="H1174" s="14" t="str">
        <x:f>IF($P1174="","",INDEX(Tasks!$F$10:$F$1941,$P1174)&amp;CHAR(10)&amp;INDEX(Tasks!$G$10:$G$1941,$P1174))</x:f>
        <x:v>DI.AU.1.5
Confirm with Research the recommended topic for approval</x:v>
      </x:c>
      <x:c r="I1174" s="14"/>
      <x:c r="J1174" s="14"/>
      <x:c r="K1174" s="14"/>
      <x:c r="L1174" s="86" t="str">
        <x:f>IF($P1174="","",INDEX(Tasks!$N$10:$N$1941,$P1174))</x:f>
        <x:v>Not started</x:v>
      </x:c>
      <x:c r="M1174" s="87" t="n">
        <x:f>IF($P1174="","",INDEX(Tasks!$J$10:$J$1941,$P1174))</x:f>
        <x:v>46203</x:v>
      </x:c>
      <x:c r="N1174" s="85" t="str">
        <x:f>IF($P1174="","",HYPERLINK("#'"&amp;INDEX(Tasks!$T$10:$T$1941,$P1174)&amp;"'!A"&amp;INDEX(Tasks!$U$10:$U$1941,$P1174),"Open"))</x:f>
        <x:v>Open</x:v>
      </x:c>
      <x:c r="O1174" s="14"/>
      <x:c r="P1174" s="14" t="n">
        <x:f>IF(1153&gt;$B$10,"",MATCH(1153,Tasks!$S$10:$S$1941,0))</x:f>
        <x:v>1517</x:v>
      </x:c>
    </x:row>
    <x:row r="1175" ht="58" customHeight="1">
      <x:c r="B1175" s="86" t="str">
        <x:f>IF($P1175="","",INDEX(Tasks!$B$10:$B$1941,$P1175))</x:f>
        <x:v>Cycle 2</x:v>
      </x:c>
      <x:c r="C1175" s="86" t="str">
        <x:f>IF($P1175="","",INDEX(Tasks!$C$10:$C$1941,$P1175))</x:f>
        <x:v>Phase 1</x:v>
      </x:c>
      <x:c r="D1175" s="86" t="str">
        <x:f>IF($P1175="","",INDEX(Tasks!$D$10:$D$1941,$P1175))</x:f>
        <x:v>Auto</x:v>
      </x:c>
      <x:c r="E1175" s="86"/>
      <x:c r="F1175" s="86" t="str">
        <x:f>IF($P1175="","",INDEX(Tasks!$E$10:$E$1941,$P1175))</x:f>
        <x:v>Design &amp; Insights</x:v>
      </x:c>
      <x:c r="G1175" s="86"/>
      <x:c r="H1175" s="14" t="str">
        <x:f>IF($P1175="","",INDEX(Tasks!$F$10:$F$1941,$P1175)&amp;CHAR(10)&amp;INDEX(Tasks!$G$10:$G$1941,$P1175))</x:f>
        <x:v>DI.AU.1.6
Send topic selection socialization email to all key stakeholders on the first day of the review Cycle</x:v>
      </x:c>
      <x:c r="I1175" s="14"/>
      <x:c r="J1175" s="14"/>
      <x:c r="K1175" s="14"/>
      <x:c r="L1175" s="86" t="str">
        <x:f>IF($P1175="","",INDEX(Tasks!$N$10:$N$1941,$P1175))</x:f>
        <x:v>Not started</x:v>
      </x:c>
      <x:c r="M1175" s="87" t="n">
        <x:f>IF($P1175="","",INDEX(Tasks!$J$10:$J$1941,$P1175))</x:f>
        <x:v>46113</x:v>
      </x:c>
      <x:c r="N1175" s="85" t="str">
        <x:f>IF($P1175="","",HYPERLINK("#'"&amp;INDEX(Tasks!$T$10:$T$1941,$P1175)&amp;"'!A"&amp;INDEX(Tasks!$U$10:$U$1941,$P1175),"Open"))</x:f>
        <x:v>Open</x:v>
      </x:c>
      <x:c r="O1175" s="14"/>
      <x:c r="P1175" s="14" t="n">
        <x:f>IF(1154&gt;$B$10,"",MATCH(1154,Tasks!$S$10:$S$1941,0))</x:f>
        <x:v>1518</x:v>
      </x:c>
    </x:row>
    <x:row r="1176" ht="58" customHeight="1">
      <x:c r="B1176" s="86" t="str">
        <x:f>IF($P1176="","",INDEX(Tasks!$B$10:$B$1941,$P1176))</x:f>
        <x:v>Cycle 2</x:v>
      </x:c>
      <x:c r="C1176" s="86" t="str">
        <x:f>IF($P1176="","",INDEX(Tasks!$C$10:$C$1941,$P1176))</x:f>
        <x:v>Phase 2</x:v>
      </x:c>
      <x:c r="D1176" s="86" t="str">
        <x:f>IF($P1176="","",INDEX(Tasks!$D$10:$D$1941,$P1176))</x:f>
        <x:v>Auto</x:v>
      </x:c>
      <x:c r="E1176" s="86"/>
      <x:c r="F1176" s="86" t="str">
        <x:f>IF($P1176="","",INDEX(Tasks!$E$10:$E$1941,$P1176))</x:f>
        <x:v>Design &amp; Insights</x:v>
      </x:c>
      <x:c r="G1176" s="86"/>
      <x:c r="H1176" s="14" t="str">
        <x:f>IF($P1176="","",INDEX(Tasks!$F$10:$F$1941,$P1176)&amp;CHAR(10)&amp;INDEX(Tasks!$G$10:$G$1941,$P1176))</x:f>
        <x:v>DI.AU.2.1
Meet regularly with Research to stay informed on progress, findings, and potential enhancement</x:v>
      </x:c>
      <x:c r="I1176" s="14"/>
      <x:c r="J1176" s="14"/>
      <x:c r="K1176" s="14"/>
      <x:c r="L1176" s="86" t="str">
        <x:f>IF($P1176="","",INDEX(Tasks!$N$10:$N$1941,$P1176))</x:f>
        <x:v>Not started</x:v>
      </x:c>
      <x:c r="M1176" s="87" t="n">
        <x:f>IF($P1176="","",INDEX(Tasks!$J$10:$J$1941,$P1176))</x:f>
        <x:v>46203</x:v>
      </x:c>
      <x:c r="N1176" s="85" t="str">
        <x:f>IF($P1176="","",HYPERLINK("#'"&amp;INDEX(Tasks!$T$10:$T$1941,$P1176)&amp;"'!A"&amp;INDEX(Tasks!$U$10:$U$1941,$P1176),"Open"))</x:f>
        <x:v>Open</x:v>
      </x:c>
      <x:c r="O1176" s="14"/>
      <x:c r="P1176" s="14" t="n">
        <x:f>IF(1155&gt;$B$10,"",MATCH(1155,Tasks!$S$10:$S$1941,0))</x:f>
        <x:v>1519</x:v>
      </x:c>
    </x:row>
    <x:row r="1177" ht="58" customHeight="1">
      <x:c r="B1177" s="86" t="str">
        <x:f>IF($P1177="","",INDEX(Tasks!$B$10:$B$1941,$P1177))</x:f>
        <x:v>Cycle 2</x:v>
      </x:c>
      <x:c r="C1177" s="86" t="str">
        <x:f>IF($P1177="","",INDEX(Tasks!$C$10:$C$1941,$P1177))</x:f>
        <x:v>Phase 2</x:v>
      </x:c>
      <x:c r="D1177" s="86" t="str">
        <x:f>IF($P1177="","",INDEX(Tasks!$D$10:$D$1941,$P1177))</x:f>
        <x:v>Auto</x:v>
      </x:c>
      <x:c r="E1177" s="86"/>
      <x:c r="F1177" s="86" t="str">
        <x:f>IF($P1177="","",INDEX(Tasks!$E$10:$E$1941,$P1177))</x:f>
        <x:v>Design &amp; Insights</x:v>
      </x:c>
      <x:c r="G1177" s="86"/>
      <x:c r="H1177" s="14" t="str">
        <x:f>IF($P1177="","",INDEX(Tasks!$F$10:$F$1941,$P1177)&amp;CHAR(10)&amp;INDEX(Tasks!$G$10:$G$1941,$P1177))</x:f>
        <x:v>DI.AU.2.2
Collaborate with Research on research plan specifics</x:v>
      </x:c>
      <x:c r="I1177" s="14"/>
      <x:c r="J1177" s="14"/>
      <x:c r="K1177" s="14"/>
      <x:c r="L1177" s="86" t="str">
        <x:f>IF($P1177="","",INDEX(Tasks!$N$10:$N$1941,$P1177))</x:f>
        <x:v>Not started</x:v>
      </x:c>
      <x:c r="M1177" s="87" t="n">
        <x:f>IF($P1177="","",INDEX(Tasks!$J$10:$J$1941,$P1177))</x:f>
        <x:v>46203</x:v>
      </x:c>
      <x:c r="N1177" s="85" t="str">
        <x:f>IF($P1177="","",HYPERLINK("#'"&amp;INDEX(Tasks!$T$10:$T$1941,$P1177)&amp;"'!A"&amp;INDEX(Tasks!$U$10:$U$1941,$P1177),"Open"))</x:f>
        <x:v>Open</x:v>
      </x:c>
      <x:c r="O1177" s="14"/>
      <x:c r="P1177" s="14" t="n">
        <x:f>IF(1156&gt;$B$10,"",MATCH(1156,Tasks!$S$10:$S$1941,0))</x:f>
        <x:v>1520</x:v>
      </x:c>
    </x:row>
    <x:row r="1178" ht="58" customHeight="1">
      <x:c r="B1178" s="86" t="str">
        <x:f>IF($P1178="","",INDEX(Tasks!$B$10:$B$1941,$P1178))</x:f>
        <x:v>Cycle 2</x:v>
      </x:c>
      <x:c r="C1178" s="86" t="str">
        <x:f>IF($P1178="","",INDEX(Tasks!$C$10:$C$1941,$P1178))</x:f>
        <x:v>Phase 2</x:v>
      </x:c>
      <x:c r="D1178" s="86" t="str">
        <x:f>IF($P1178="","",INDEX(Tasks!$D$10:$D$1941,$P1178))</x:f>
        <x:v>Auto</x:v>
      </x:c>
      <x:c r="E1178" s="86"/>
      <x:c r="F1178" s="86" t="str">
        <x:f>IF($P1178="","",INDEX(Tasks!$E$10:$E$1941,$P1178))</x:f>
        <x:v>Design &amp; Insights</x:v>
      </x:c>
      <x:c r="G1178" s="86"/>
      <x:c r="H1178" s="14" t="str">
        <x:f>IF($P1178="","",INDEX(Tasks!$F$10:$F$1941,$P1178)&amp;CHAR(10)&amp;INDEX(Tasks!$G$10:$G$1941,$P1178))</x:f>
        <x:v>DI.AU.2.3
Participate in SME insight meetings to gain perspective and appetite on potential enhancements</x:v>
      </x:c>
      <x:c r="I1178" s="14"/>
      <x:c r="J1178" s="14"/>
      <x:c r="K1178" s="14"/>
      <x:c r="L1178" s="86" t="str">
        <x:f>IF($P1178="","",INDEX(Tasks!$N$10:$N$1941,$P1178))</x:f>
        <x:v>Not started</x:v>
      </x:c>
      <x:c r="M1178" s="87" t="n">
        <x:f>IF($P1178="","",INDEX(Tasks!$J$10:$J$1941,$P1178))</x:f>
        <x:v>46203</x:v>
      </x:c>
      <x:c r="N1178" s="85" t="str">
        <x:f>IF($P1178="","",HYPERLINK("#'"&amp;INDEX(Tasks!$T$10:$T$1941,$P1178)&amp;"'!A"&amp;INDEX(Tasks!$U$10:$U$1941,$P1178),"Open"))</x:f>
        <x:v>Open</x:v>
      </x:c>
      <x:c r="O1178" s="14"/>
      <x:c r="P1178" s="14" t="n">
        <x:f>IF(1157&gt;$B$10,"",MATCH(1157,Tasks!$S$10:$S$1941,0))</x:f>
        <x:v>1521</x:v>
      </x:c>
    </x:row>
    <x:row r="1179" ht="58" customHeight="1">
      <x:c r="B1179" s="86" t="str">
        <x:f>IF($P1179="","",INDEX(Tasks!$B$10:$B$1941,$P1179))</x:f>
        <x:v>Cycle 2</x:v>
      </x:c>
      <x:c r="C1179" s="86" t="str">
        <x:f>IF($P1179="","",INDEX(Tasks!$C$10:$C$1941,$P1179))</x:f>
        <x:v>Phase 2</x:v>
      </x:c>
      <x:c r="D1179" s="86" t="str">
        <x:f>IF($P1179="","",INDEX(Tasks!$D$10:$D$1941,$P1179))</x:f>
        <x:v>Auto</x:v>
      </x:c>
      <x:c r="E1179" s="86"/>
      <x:c r="F1179" s="86" t="str">
        <x:f>IF($P1179="","",INDEX(Tasks!$E$10:$E$1941,$P1179))</x:f>
        <x:v>Design &amp; Insights</x:v>
      </x:c>
      <x:c r="G1179" s="86"/>
      <x:c r="H1179" s="14" t="str">
        <x:f>IF($P1179="","",INDEX(Tasks!$F$10:$F$1941,$P1179)&amp;CHAR(10)&amp;INDEX(Tasks!$G$10:$G$1941,$P1179))</x:f>
        <x:v>DI.AU.2.4
Begin development of presentation materials as Research is being completed</x:v>
      </x:c>
      <x:c r="I1179" s="14"/>
      <x:c r="J1179" s="14"/>
      <x:c r="K1179" s="14"/>
      <x:c r="L1179" s="86" t="str">
        <x:f>IF($P1179="","",INDEX(Tasks!$N$10:$N$1941,$P1179))</x:f>
        <x:v>Not started</x:v>
      </x:c>
      <x:c r="M1179" s="87" t="n">
        <x:f>IF($P1179="","",INDEX(Tasks!$J$10:$J$1941,$P1179))</x:f>
        <x:v>46203</x:v>
      </x:c>
      <x:c r="N1179" s="85" t="str">
        <x:f>IF($P1179="","",HYPERLINK("#'"&amp;INDEX(Tasks!$T$10:$T$1941,$P1179)&amp;"'!A"&amp;INDEX(Tasks!$U$10:$U$1941,$P1179),"Open"))</x:f>
        <x:v>Open</x:v>
      </x:c>
      <x:c r="O1179" s="14"/>
      <x:c r="P1179" s="14" t="n">
        <x:f>IF(1158&gt;$B$10,"",MATCH(1158,Tasks!$S$10:$S$1941,0))</x:f>
        <x:v>1522</x:v>
      </x:c>
    </x:row>
    <x:row r="1180" ht="58" customHeight="1">
      <x:c r="B1180" s="86" t="str">
        <x:f>IF($P1180="","",INDEX(Tasks!$B$10:$B$1941,$P1180))</x:f>
        <x:v>Cycle 2</x:v>
      </x:c>
      <x:c r="C1180" s="86" t="str">
        <x:f>IF($P1180="","",INDEX(Tasks!$C$10:$C$1941,$P1180))</x:f>
        <x:v>Phase 2</x:v>
      </x:c>
      <x:c r="D1180" s="86" t="str">
        <x:f>IF($P1180="","",INDEX(Tasks!$D$10:$D$1941,$P1180))</x:f>
        <x:v>Auto</x:v>
      </x:c>
      <x:c r="E1180" s="86"/>
      <x:c r="F1180" s="86" t="str">
        <x:f>IF($P1180="","",INDEX(Tasks!$E$10:$E$1941,$P1180))</x:f>
        <x:v>Design &amp; Insights</x:v>
      </x:c>
      <x:c r="G1180" s="86"/>
      <x:c r="H1180" s="14" t="str">
        <x:f>IF($P1180="","",INDEX(Tasks!$F$10:$F$1941,$P1180)&amp;CHAR(10)&amp;INDEX(Tasks!$G$10:$G$1941,$P1180))</x:f>
        <x:v>DI.AU.2.5
Draft initial enhancement recommendations (as applicable)</x:v>
      </x:c>
      <x:c r="I1180" s="14"/>
      <x:c r="J1180" s="14"/>
      <x:c r="K1180" s="14"/>
      <x:c r="L1180" s="86" t="str">
        <x:f>IF($P1180="","",INDEX(Tasks!$N$10:$N$1941,$P1180))</x:f>
        <x:v>Not started</x:v>
      </x:c>
      <x:c r="M1180" s="87" t="n">
        <x:f>IF($P1180="","",INDEX(Tasks!$J$10:$J$1941,$P1180))</x:f>
        <x:v>46203</x:v>
      </x:c>
      <x:c r="N1180" s="85" t="str">
        <x:f>IF($P1180="","",HYPERLINK("#'"&amp;INDEX(Tasks!$T$10:$T$1941,$P1180)&amp;"'!A"&amp;INDEX(Tasks!$U$10:$U$1941,$P1180),"Open"))</x:f>
        <x:v>Open</x:v>
      </x:c>
      <x:c r="O1180" s="14"/>
      <x:c r="P1180" s="14" t="n">
        <x:f>IF(1159&gt;$B$10,"",MATCH(1159,Tasks!$S$10:$S$1941,0))</x:f>
        <x:v>1523</x:v>
      </x:c>
    </x:row>
    <x:row r="1181" ht="58" customHeight="1">
      <x:c r="B1181" s="86" t="str">
        <x:f>IF($P1181="","",INDEX(Tasks!$B$10:$B$1941,$P1181))</x:f>
        <x:v>Cycle 2</x:v>
      </x:c>
      <x:c r="C1181" s="86" t="str">
        <x:f>IF($P1181="","",INDEX(Tasks!$C$10:$C$1941,$P1181))</x:f>
        <x:v>Phase 2</x:v>
      </x:c>
      <x:c r="D1181" s="86" t="str">
        <x:f>IF($P1181="","",INDEX(Tasks!$D$10:$D$1941,$P1181))</x:f>
        <x:v>Auto</x:v>
      </x:c>
      <x:c r="E1181" s="86"/>
      <x:c r="F1181" s="86" t="str">
        <x:f>IF($P1181="","",INDEX(Tasks!$E$10:$E$1941,$P1181))</x:f>
        <x:v>Design &amp; Insights</x:v>
      </x:c>
      <x:c r="G1181" s="86"/>
      <x:c r="H1181" s="14" t="str">
        <x:f>IF($P1181="","",INDEX(Tasks!$F$10:$F$1941,$P1181)&amp;CHAR(10)&amp;INDEX(Tasks!$G$10:$G$1941,$P1181))</x:f>
        <x:v>DI.AU.2.6
Finalize presentation deck draft at conclusion of Research phase</x:v>
      </x:c>
      <x:c r="I1181" s="14"/>
      <x:c r="J1181" s="14"/>
      <x:c r="K1181" s="14"/>
      <x:c r="L1181" s="86" t="str">
        <x:f>IF($P1181="","",INDEX(Tasks!$N$10:$N$1941,$P1181))</x:f>
        <x:v>Not started</x:v>
      </x:c>
      <x:c r="M1181" s="87" t="n">
        <x:f>IF($P1181="","",INDEX(Tasks!$J$10:$J$1941,$P1181))</x:f>
        <x:v>46203</x:v>
      </x:c>
      <x:c r="N1181" s="85" t="str">
        <x:f>IF($P1181="","",HYPERLINK("#'"&amp;INDEX(Tasks!$T$10:$T$1941,$P1181)&amp;"'!A"&amp;INDEX(Tasks!$U$10:$U$1941,$P1181),"Open"))</x:f>
        <x:v>Open</x:v>
      </x:c>
      <x:c r="O1181" s="14"/>
      <x:c r="P1181" s="14" t="n">
        <x:f>IF(1160&gt;$B$10,"",MATCH(1160,Tasks!$S$10:$S$1941,0))</x:f>
        <x:v>1524</x:v>
      </x:c>
    </x:row>
    <x:row r="1182" ht="58" customHeight="1">
      <x:c r="B1182" s="86" t="str">
        <x:f>IF($P1182="","",INDEX(Tasks!$B$10:$B$1941,$P1182))</x:f>
        <x:v>Cycle 2</x:v>
      </x:c>
      <x:c r="C1182" s="86" t="str">
        <x:f>IF($P1182="","",INDEX(Tasks!$C$10:$C$1941,$P1182))</x:f>
        <x:v>Phase 2</x:v>
      </x:c>
      <x:c r="D1182" s="86" t="str">
        <x:f>IF($P1182="","",INDEX(Tasks!$D$10:$D$1941,$P1182))</x:f>
        <x:v>Auto</x:v>
      </x:c>
      <x:c r="E1182" s="86"/>
      <x:c r="F1182" s="86" t="str">
        <x:f>IF($P1182="","",INDEX(Tasks!$E$10:$E$1941,$P1182))</x:f>
        <x:v>Design &amp; Insights</x:v>
      </x:c>
      <x:c r="G1182" s="86"/>
      <x:c r="H1182" s="14" t="str">
        <x:f>IF($P1182="","",INDEX(Tasks!$F$10:$F$1941,$P1182)&amp;CHAR(10)&amp;INDEX(Tasks!$G$10:$G$1941,$P1182))</x:f>
        <x:v>DI.AU.2.7
Update Outcome portion of research plan with current enhancement verbiage (as needed)</x:v>
      </x:c>
      <x:c r="I1182" s="14"/>
      <x:c r="J1182" s="14"/>
      <x:c r="K1182" s="14"/>
      <x:c r="L1182" s="86" t="str">
        <x:f>IF($P1182="","",INDEX(Tasks!$N$10:$N$1941,$P1182))</x:f>
        <x:v>Not started</x:v>
      </x:c>
      <x:c r="M1182" s="87" t="n">
        <x:f>IF($P1182="","",INDEX(Tasks!$J$10:$J$1941,$P1182))</x:f>
        <x:v>46203</x:v>
      </x:c>
      <x:c r="N1182" s="85" t="str">
        <x:f>IF($P1182="","",HYPERLINK("#'"&amp;INDEX(Tasks!$T$10:$T$1941,$P1182)&amp;"'!A"&amp;INDEX(Tasks!$U$10:$U$1941,$P1182),"Open"))</x:f>
        <x:v>Open</x:v>
      </x:c>
      <x:c r="O1182" s="14"/>
      <x:c r="P1182" s="14" t="n">
        <x:f>IF(1161&gt;$B$10,"",MATCH(1161,Tasks!$S$10:$S$1941,0))</x:f>
        <x:v>1525</x:v>
      </x:c>
    </x:row>
    <x:row r="1183" ht="58" customHeight="1">
      <x:c r="B1183" s="86" t="str">
        <x:f>IF($P1183="","",INDEX(Tasks!$B$10:$B$1941,$P1183))</x:f>
        <x:v>Cycle 2</x:v>
      </x:c>
      <x:c r="C1183" s="86" t="str">
        <x:f>IF($P1183="","",INDEX(Tasks!$C$10:$C$1941,$P1183))</x:f>
        <x:v>Phase 3</x:v>
      </x:c>
      <x:c r="D1183" s="86" t="str">
        <x:f>IF($P1183="","",INDEX(Tasks!$D$10:$D$1941,$P1183))</x:f>
        <x:v>Auto</x:v>
      </x:c>
      <x:c r="E1183" s="86"/>
      <x:c r="F1183" s="86" t="str">
        <x:f>IF($P1183="","",INDEX(Tasks!$E$10:$E$1941,$P1183))</x:f>
        <x:v>Design &amp; Insights</x:v>
      </x:c>
      <x:c r="G1183" s="86"/>
      <x:c r="H1183" s="14" t="str">
        <x:f>IF($P1183="","",INDEX(Tasks!$F$10:$F$1941,$P1183)&amp;CHAR(10)&amp;INDEX(Tasks!$G$10:$G$1941,$P1183))</x:f>
        <x:v>DI.AU.3.1
Confirm list of required &amp; optional attendees for pre-socialization meeting</x:v>
      </x:c>
      <x:c r="I1183" s="14"/>
      <x:c r="J1183" s="14"/>
      <x:c r="K1183" s="14"/>
      <x:c r="L1183" s="86" t="str">
        <x:f>IF($P1183="","",INDEX(Tasks!$N$10:$N$1941,$P1183))</x:f>
        <x:v>Not started</x:v>
      </x:c>
      <x:c r="M1183" s="87" t="n">
        <x:f>IF($P1183="","",INDEX(Tasks!$J$10:$J$1941,$P1183))</x:f>
        <x:v>46203</x:v>
      </x:c>
      <x:c r="N1183" s="85" t="str">
        <x:f>IF($P1183="","",HYPERLINK("#'"&amp;INDEX(Tasks!$T$10:$T$1941,$P1183)&amp;"'!A"&amp;INDEX(Tasks!$U$10:$U$1941,$P1183),"Open"))</x:f>
        <x:v>Open</x:v>
      </x:c>
      <x:c r="O1183" s="14"/>
      <x:c r="P1183" s="14" t="n">
        <x:f>IF(1162&gt;$B$10,"",MATCH(1162,Tasks!$S$10:$S$1941,0))</x:f>
        <x:v>1526</x:v>
      </x:c>
    </x:row>
    <x:row r="1184" ht="58" customHeight="1">
      <x:c r="B1184" s="86" t="str">
        <x:f>IF($P1184="","",INDEX(Tasks!$B$10:$B$1941,$P1184))</x:f>
        <x:v>Cycle 2</x:v>
      </x:c>
      <x:c r="C1184" s="86" t="str">
        <x:f>IF($P1184="","",INDEX(Tasks!$C$10:$C$1941,$P1184))</x:f>
        <x:v>Phase 3</x:v>
      </x:c>
      <x:c r="D1184" s="86" t="str">
        <x:f>IF($P1184="","",INDEX(Tasks!$D$10:$D$1941,$P1184))</x:f>
        <x:v>Auto</x:v>
      </x:c>
      <x:c r="E1184" s="86"/>
      <x:c r="F1184" s="86" t="str">
        <x:f>IF($P1184="","",INDEX(Tasks!$E$10:$E$1941,$P1184))</x:f>
        <x:v>Design &amp; Insights</x:v>
      </x:c>
      <x:c r="G1184" s="86"/>
      <x:c r="H1184" s="14" t="str">
        <x:f>IF($P1184="","",INDEX(Tasks!$F$10:$F$1941,$P1184)&amp;CHAR(10)&amp;INDEX(Tasks!$G$10:$G$1941,$P1184))</x:f>
        <x:v>DI.AU.3.2
Schedule pre-socialization meeting 1 week prior to RCA Forum</x:v>
      </x:c>
      <x:c r="I1184" s="14"/>
      <x:c r="J1184" s="14"/>
      <x:c r="K1184" s="14"/>
      <x:c r="L1184" s="86" t="str">
        <x:f>IF($P1184="","",INDEX(Tasks!$N$10:$N$1941,$P1184))</x:f>
        <x:v>Not started</x:v>
      </x:c>
      <x:c r="M1184" s="87" t="str">
        <x:f>IF($P1184="","",INDEX(Tasks!$J$10:$J$1941,$P1184))</x:f>
      </x:c>
      <x:c r="N1184" s="85" t="str">
        <x:f>IF($P1184="","",HYPERLINK("#'"&amp;INDEX(Tasks!$T$10:$T$1941,$P1184)&amp;"'!A"&amp;INDEX(Tasks!$U$10:$U$1941,$P1184),"Open"))</x:f>
        <x:v>Open</x:v>
      </x:c>
      <x:c r="O1184" s="14"/>
      <x:c r="P1184" s="14" t="n">
        <x:f>IF(1163&gt;$B$10,"",MATCH(1163,Tasks!$S$10:$S$1941,0))</x:f>
        <x:v>1527</x:v>
      </x:c>
    </x:row>
    <x:row r="1185" ht="58" customHeight="1">
      <x:c r="B1185" s="86" t="str">
        <x:f>IF($P1185="","",INDEX(Tasks!$B$10:$B$1941,$P1185))</x:f>
        <x:v>Cycle 2</x:v>
      </x:c>
      <x:c r="C1185" s="86" t="str">
        <x:f>IF($P1185="","",INDEX(Tasks!$C$10:$C$1941,$P1185))</x:f>
        <x:v>Phase 3</x:v>
      </x:c>
      <x:c r="D1185" s="86" t="str">
        <x:f>IF($P1185="","",INDEX(Tasks!$D$10:$D$1941,$P1185))</x:f>
        <x:v>Auto</x:v>
      </x:c>
      <x:c r="E1185" s="86"/>
      <x:c r="F1185" s="86" t="str">
        <x:f>IF($P1185="","",INDEX(Tasks!$E$10:$E$1941,$P1185))</x:f>
        <x:v>Design &amp; Insights</x:v>
      </x:c>
      <x:c r="G1185" s="86"/>
      <x:c r="H1185" s="14" t="str">
        <x:f>IF($P1185="","",INDEX(Tasks!$F$10:$F$1941,$P1185)&amp;CHAR(10)&amp;INDEX(Tasks!$G$10:$G$1941,$P1185))</x:f>
        <x:v>DI.AU.3.3
Present findings, conclusions, and recommendation to SMEs</x:v>
      </x:c>
      <x:c r="I1185" s="14"/>
      <x:c r="J1185" s="14"/>
      <x:c r="K1185" s="14"/>
      <x:c r="L1185" s="86" t="str">
        <x:f>IF($P1185="","",INDEX(Tasks!$N$10:$N$1941,$P1185))</x:f>
        <x:v>Not started</x:v>
      </x:c>
      <x:c r="M1185" s="87" t="n">
        <x:f>IF($P1185="","",INDEX(Tasks!$J$10:$J$1941,$P1185))</x:f>
        <x:v>46203</x:v>
      </x:c>
      <x:c r="N1185" s="85" t="str">
        <x:f>IF($P1185="","",HYPERLINK("#'"&amp;INDEX(Tasks!$T$10:$T$1941,$P1185)&amp;"'!A"&amp;INDEX(Tasks!$U$10:$U$1941,$P1185),"Open"))</x:f>
        <x:v>Open</x:v>
      </x:c>
      <x:c r="O1185" s="14"/>
      <x:c r="P1185" s="14" t="n">
        <x:f>IF(1164&gt;$B$10,"",MATCH(1164,Tasks!$S$10:$S$1941,0))</x:f>
        <x:v>1528</x:v>
      </x:c>
    </x:row>
    <x:row r="1186" ht="58" customHeight="1">
      <x:c r="B1186" s="86" t="str">
        <x:f>IF($P1186="","",INDEX(Tasks!$B$10:$B$1941,$P1186))</x:f>
        <x:v>Cycle 2</x:v>
      </x:c>
      <x:c r="C1186" s="86" t="str">
        <x:f>IF($P1186="","",INDEX(Tasks!$C$10:$C$1941,$P1186))</x:f>
        <x:v>Phase 3</x:v>
      </x:c>
      <x:c r="D1186" s="86" t="str">
        <x:f>IF($P1186="","",INDEX(Tasks!$D$10:$D$1941,$P1186))</x:f>
        <x:v>Auto</x:v>
      </x:c>
      <x:c r="E1186" s="86"/>
      <x:c r="F1186" s="86" t="str">
        <x:f>IF($P1186="","",INDEX(Tasks!$E$10:$E$1941,$P1186))</x:f>
        <x:v>Design &amp; Insights</x:v>
      </x:c>
      <x:c r="G1186" s="86"/>
      <x:c r="H1186" s="14" t="str">
        <x:f>IF($P1186="","",INDEX(Tasks!$F$10:$F$1941,$P1186)&amp;CHAR(10)&amp;INDEX(Tasks!$G$10:$G$1941,$P1186))</x:f>
        <x:v>DI.AU.3.4
Update Outcome portion of research plan (as needed)</x:v>
      </x:c>
      <x:c r="I1186" s="14"/>
      <x:c r="J1186" s="14"/>
      <x:c r="K1186" s="14"/>
      <x:c r="L1186" s="86" t="str">
        <x:f>IF($P1186="","",INDEX(Tasks!$N$10:$N$1941,$P1186))</x:f>
        <x:v>Not started</x:v>
      </x:c>
      <x:c r="M1186" s="87" t="n">
        <x:f>IF($P1186="","",INDEX(Tasks!$J$10:$J$1941,$P1186))</x:f>
        <x:v>46203</x:v>
      </x:c>
      <x:c r="N1186" s="85" t="str">
        <x:f>IF($P1186="","",HYPERLINK("#'"&amp;INDEX(Tasks!$T$10:$T$1941,$P1186)&amp;"'!A"&amp;INDEX(Tasks!$U$10:$U$1941,$P1186),"Open"))</x:f>
        <x:v>Open</x:v>
      </x:c>
      <x:c r="O1186" s="14"/>
      <x:c r="P1186" s="14" t="n">
        <x:f>IF(1165&gt;$B$10,"",MATCH(1165,Tasks!$S$10:$S$1941,0))</x:f>
        <x:v>1529</x:v>
      </x:c>
    </x:row>
    <x:row r="1187" ht="58" customHeight="1">
      <x:c r="B1187" s="86" t="str">
        <x:f>IF($P1187="","",INDEX(Tasks!$B$10:$B$1941,$P1187))</x:f>
        <x:v>Cycle 2</x:v>
      </x:c>
      <x:c r="C1187" s="86" t="str">
        <x:f>IF($P1187="","",INDEX(Tasks!$C$10:$C$1941,$P1187))</x:f>
        <x:v>Phase 3</x:v>
      </x:c>
      <x:c r="D1187" s="86" t="str">
        <x:f>IF($P1187="","",INDEX(Tasks!$D$10:$D$1941,$P1187))</x:f>
        <x:v>Auto</x:v>
      </x:c>
      <x:c r="E1187" s="86"/>
      <x:c r="F1187" s="86" t="str">
        <x:f>IF($P1187="","",INDEX(Tasks!$E$10:$E$1941,$P1187))</x:f>
        <x:v>Design &amp; Insights</x:v>
      </x:c>
      <x:c r="G1187" s="86"/>
      <x:c r="H1187" s="14" t="str">
        <x:f>IF($P1187="","",INDEX(Tasks!$F$10:$F$1941,$P1187)&amp;CHAR(10)&amp;INDEX(Tasks!$G$10:$G$1941,$P1187))</x:f>
        <x:v>DI.AU.3.5
Finalize presentation deck by incorporating pre-socialization feedback (as needed)</x:v>
      </x:c>
      <x:c r="I1187" s="14"/>
      <x:c r="J1187" s="14"/>
      <x:c r="K1187" s="14"/>
      <x:c r="L1187" s="86" t="str">
        <x:f>IF($P1187="","",INDEX(Tasks!$N$10:$N$1941,$P1187))</x:f>
        <x:v>Not started</x:v>
      </x:c>
      <x:c r="M1187" s="87" t="n">
        <x:f>IF($P1187="","",INDEX(Tasks!$J$10:$J$1941,$P1187))</x:f>
        <x:v>46203</x:v>
      </x:c>
      <x:c r="N1187" s="85" t="str">
        <x:f>IF($P1187="","",HYPERLINK("#'"&amp;INDEX(Tasks!$T$10:$T$1941,$P1187)&amp;"'!A"&amp;INDEX(Tasks!$U$10:$U$1941,$P1187),"Open"))</x:f>
        <x:v>Open</x:v>
      </x:c>
      <x:c r="O1187" s="14"/>
      <x:c r="P1187" s="14" t="n">
        <x:f>IF(1166&gt;$B$10,"",MATCH(1166,Tasks!$S$10:$S$1941,0))</x:f>
        <x:v>1530</x:v>
      </x:c>
    </x:row>
    <x:row r="1188" ht="58" customHeight="1">
      <x:c r="B1188" s="86" t="str">
        <x:f>IF($P1188="","",INDEX(Tasks!$B$10:$B$1941,$P1188))</x:f>
        <x:v>Cycle 2</x:v>
      </x:c>
      <x:c r="C1188" s="86" t="str">
        <x:f>IF($P1188="","",INDEX(Tasks!$C$10:$C$1941,$P1188))</x:f>
        <x:v>Phase 3</x:v>
      </x:c>
      <x:c r="D1188" s="86" t="str">
        <x:f>IF($P1188="","",INDEX(Tasks!$D$10:$D$1941,$P1188))</x:f>
        <x:v>Auto</x:v>
      </x:c>
      <x:c r="E1188" s="86"/>
      <x:c r="F1188" s="86" t="str">
        <x:f>IF($P1188="","",INDEX(Tasks!$E$10:$E$1941,$P1188))</x:f>
        <x:v>Design &amp; Insights</x:v>
      </x:c>
      <x:c r="G1188" s="86"/>
      <x:c r="H1188" s="14" t="str">
        <x:f>IF($P1188="","",INDEX(Tasks!$F$10:$F$1941,$P1188)&amp;CHAR(10)&amp;INDEX(Tasks!$G$10:$G$1941,$P1188))</x:f>
        <x:v>DI.AU.3.6
Ensure final deck is communicated to Forum attendees</x:v>
      </x:c>
      <x:c r="I1188" s="14"/>
      <x:c r="J1188" s="14"/>
      <x:c r="K1188" s="14"/>
      <x:c r="L1188" s="86" t="str">
        <x:f>IF($P1188="","",INDEX(Tasks!$N$10:$N$1941,$P1188))</x:f>
        <x:v>Not started</x:v>
      </x:c>
      <x:c r="M1188" s="87" t="n">
        <x:f>IF($P1188="","",INDEX(Tasks!$J$10:$J$1941,$P1188))</x:f>
        <x:v>46203</x:v>
      </x:c>
      <x:c r="N1188" s="85" t="str">
        <x:f>IF($P1188="","",HYPERLINK("#'"&amp;INDEX(Tasks!$T$10:$T$1941,$P1188)&amp;"'!A"&amp;INDEX(Tasks!$U$10:$U$1941,$P1188),"Open"))</x:f>
        <x:v>Open</x:v>
      </x:c>
      <x:c r="O1188" s="14"/>
      <x:c r="P1188" s="14" t="n">
        <x:f>IF(1167&gt;$B$10,"",MATCH(1167,Tasks!$S$10:$S$1941,0))</x:f>
        <x:v>1531</x:v>
      </x:c>
    </x:row>
    <x:row r="1189" ht="58" customHeight="1">
      <x:c r="B1189" s="86" t="str">
        <x:f>IF($P1189="","",INDEX(Tasks!$B$10:$B$1941,$P1189))</x:f>
        <x:v>Cycle 2</x:v>
      </x:c>
      <x:c r="C1189" s="86" t="str">
        <x:f>IF($P1189="","",INDEX(Tasks!$C$10:$C$1941,$P1189))</x:f>
        <x:v>Phase 3</x:v>
      </x:c>
      <x:c r="D1189" s="86" t="str">
        <x:f>IF($P1189="","",INDEX(Tasks!$D$10:$D$1941,$P1189))</x:f>
        <x:v>Auto</x:v>
      </x:c>
      <x:c r="E1189" s="86"/>
      <x:c r="F1189" s="86" t="str">
        <x:f>IF($P1189="","",INDEX(Tasks!$E$10:$E$1941,$P1189))</x:f>
        <x:v>Design &amp; Insights</x:v>
      </x:c>
      <x:c r="G1189" s="86"/>
      <x:c r="H1189" s="14" t="str">
        <x:f>IF($P1189="","",INDEX(Tasks!$F$10:$F$1941,$P1189)&amp;CHAR(10)&amp;INDEX(Tasks!$G$10:$G$1941,$P1189))</x:f>
        <x:v>DI.AU.3.7
Present material in RCA Cycle Forum</x:v>
      </x:c>
      <x:c r="I1189" s="14"/>
      <x:c r="J1189" s="14"/>
      <x:c r="K1189" s="14"/>
      <x:c r="L1189" s="86" t="str">
        <x:f>IF($P1189="","",INDEX(Tasks!$N$10:$N$1941,$P1189))</x:f>
        <x:v>Not started</x:v>
      </x:c>
      <x:c r="M1189" s="87" t="str">
        <x:f>IF($P1189="","",INDEX(Tasks!$J$10:$J$1941,$P1189))</x:f>
      </x:c>
      <x:c r="N1189" s="85" t="str">
        <x:f>IF($P1189="","",HYPERLINK("#'"&amp;INDEX(Tasks!$T$10:$T$1941,$P1189)&amp;"'!A"&amp;INDEX(Tasks!$U$10:$U$1941,$P1189),"Open"))</x:f>
        <x:v>Open</x:v>
      </x:c>
      <x:c r="O1189" s="14"/>
      <x:c r="P1189" s="14" t="n">
        <x:f>IF(1168&gt;$B$10,"",MATCH(1168,Tasks!$S$10:$S$1941,0))</x:f>
        <x:v>1532</x:v>
      </x:c>
    </x:row>
    <x:row r="1190" ht="58" customHeight="1">
      <x:c r="B1190" s="86" t="str">
        <x:f>IF($P1190="","",INDEX(Tasks!$B$10:$B$1941,$P1190))</x:f>
        <x:v>Cycle 2</x:v>
      </x:c>
      <x:c r="C1190" s="86" t="str">
        <x:f>IF($P1190="","",INDEX(Tasks!$C$10:$C$1941,$P1190))</x:f>
        <x:v>Phase 1</x:v>
      </x:c>
      <x:c r="D1190" s="86" t="str">
        <x:f>IF($P1190="","",INDEX(Tasks!$D$10:$D$1941,$P1190))</x:f>
        <x:v>Cards</x:v>
      </x:c>
      <x:c r="E1190" s="86"/>
      <x:c r="F1190" s="86" t="str">
        <x:f>IF($P1190="","",INDEX(Tasks!$E$10:$E$1941,$P1190))</x:f>
        <x:v>Design &amp; Insights</x:v>
      </x:c>
      <x:c r="G1190" s="86"/>
      <x:c r="H1190" s="14" t="str">
        <x:f>IF($P1190="","",INDEX(Tasks!$F$10:$F$1941,$P1190)&amp;CHAR(10)&amp;INDEX(Tasks!$G$10:$G$1941,$P1190))</x:f>
        <x:v>DI.CA.1.1
Receive and review potential research topics at least 2 weeks prior to Cycle start date</x:v>
      </x:c>
      <x:c r="I1190" s="14"/>
      <x:c r="J1190" s="14"/>
      <x:c r="K1190" s="14"/>
      <x:c r="L1190" s="86" t="str">
        <x:f>IF($P1190="","",INDEX(Tasks!$N$10:$N$1941,$P1190))</x:f>
        <x:v>Not started</x:v>
      </x:c>
      <x:c r="M1190" s="87" t="n">
        <x:f>IF($P1190="","",INDEX(Tasks!$J$10:$J$1941,$P1190))</x:f>
        <x:v>46099</x:v>
      </x:c>
      <x:c r="N1190" s="85" t="str">
        <x:f>IF($P1190="","",HYPERLINK("#'"&amp;INDEX(Tasks!$T$10:$T$1941,$P1190)&amp;"'!A"&amp;INDEX(Tasks!$U$10:$U$1941,$P1190),"Open"))</x:f>
        <x:v>Open</x:v>
      </x:c>
      <x:c r="O1190" s="14"/>
      <x:c r="P1190" s="14" t="n">
        <x:f>IF(1169&gt;$B$10,"",MATCH(1169,Tasks!$S$10:$S$1941,0))</x:f>
        <x:v>1533</x:v>
      </x:c>
    </x:row>
    <x:row r="1191" ht="58" customHeight="1">
      <x:c r="B1191" s="86" t="str">
        <x:f>IF($P1191="","",INDEX(Tasks!$B$10:$B$1941,$P1191))</x:f>
        <x:v>Cycle 2</x:v>
      </x:c>
      <x:c r="C1191" s="86" t="str">
        <x:f>IF($P1191="","",INDEX(Tasks!$C$10:$C$1941,$P1191))</x:f>
        <x:v>Phase 1</x:v>
      </x:c>
      <x:c r="D1191" s="86" t="str">
        <x:f>IF($P1191="","",INDEX(Tasks!$D$10:$D$1941,$P1191))</x:f>
        <x:v>Cards</x:v>
      </x:c>
      <x:c r="E1191" s="86"/>
      <x:c r="F1191" s="86" t="str">
        <x:f>IF($P1191="","",INDEX(Tasks!$E$10:$E$1941,$P1191))</x:f>
        <x:v>Design &amp; Insights</x:v>
      </x:c>
      <x:c r="G1191" s="86"/>
      <x:c r="H1191" s="14" t="str">
        <x:f>IF($P1191="","",INDEX(Tasks!$F$10:$F$1941,$P1191)&amp;CHAR(10)&amp;INDEX(Tasks!$G$10:$G$1941,$P1191))</x:f>
        <x:v>DI.CA.1.2
Communicate any feedback on preferences or concerns with topics identified</x:v>
      </x:c>
      <x:c r="I1191" s="14"/>
      <x:c r="J1191" s="14"/>
      <x:c r="K1191" s="14"/>
      <x:c r="L1191" s="86" t="str">
        <x:f>IF($P1191="","",INDEX(Tasks!$N$10:$N$1941,$P1191))</x:f>
        <x:v>Not started</x:v>
      </x:c>
      <x:c r="M1191" s="87" t="n">
        <x:f>IF($P1191="","",INDEX(Tasks!$J$10:$J$1941,$P1191))</x:f>
        <x:v>46203</x:v>
      </x:c>
      <x:c r="N1191" s="85" t="str">
        <x:f>IF($P1191="","",HYPERLINK("#'"&amp;INDEX(Tasks!$T$10:$T$1941,$P1191)&amp;"'!A"&amp;INDEX(Tasks!$U$10:$U$1941,$P1191),"Open"))</x:f>
        <x:v>Open</x:v>
      </x:c>
      <x:c r="O1191" s="14"/>
      <x:c r="P1191" s="14" t="n">
        <x:f>IF(1170&gt;$B$10,"",MATCH(1170,Tasks!$S$10:$S$1941,0))</x:f>
        <x:v>1534</x:v>
      </x:c>
    </x:row>
    <x:row r="1192" ht="58" customHeight="1">
      <x:c r="B1192" s="86" t="str">
        <x:f>IF($P1192="","",INDEX(Tasks!$B$10:$B$1941,$P1192))</x:f>
        <x:v>Cycle 2</x:v>
      </x:c>
      <x:c r="C1192" s="86" t="str">
        <x:f>IF($P1192="","",INDEX(Tasks!$C$10:$C$1941,$P1192))</x:f>
        <x:v>Phase 1</x:v>
      </x:c>
      <x:c r="D1192" s="86" t="str">
        <x:f>IF($P1192="","",INDEX(Tasks!$D$10:$D$1941,$P1192))</x:f>
        <x:v>Cards</x:v>
      </x:c>
      <x:c r="E1192" s="86"/>
      <x:c r="F1192" s="86" t="str">
        <x:f>IF($P1192="","",INDEX(Tasks!$E$10:$E$1941,$P1192))</x:f>
        <x:v>Design &amp; Insights</x:v>
      </x:c>
      <x:c r="G1192" s="86"/>
      <x:c r="H1192" s="14" t="str">
        <x:f>IF($P1192="","",INDEX(Tasks!$F$10:$F$1941,$P1192)&amp;CHAR(10)&amp;INDEX(Tasks!$G$10:$G$1941,$P1192))</x:f>
        <x:v>DI.CA.1.3
Conduct high-level preliminary review of complaints within proposed topics</x:v>
      </x:c>
      <x:c r="I1192" s="14"/>
      <x:c r="J1192" s="14"/>
      <x:c r="K1192" s="14"/>
      <x:c r="L1192" s="86" t="str">
        <x:f>IF($P1192="","",INDEX(Tasks!$N$10:$N$1941,$P1192))</x:f>
        <x:v>Not started</x:v>
      </x:c>
      <x:c r="M1192" s="87" t="n">
        <x:f>IF($P1192="","",INDEX(Tasks!$J$10:$J$1941,$P1192))</x:f>
        <x:v>46203</x:v>
      </x:c>
      <x:c r="N1192" s="85" t="str">
        <x:f>IF($P1192="","",HYPERLINK("#'"&amp;INDEX(Tasks!$T$10:$T$1941,$P1192)&amp;"'!A"&amp;INDEX(Tasks!$U$10:$U$1941,$P1192),"Open"))</x:f>
        <x:v>Open</x:v>
      </x:c>
      <x:c r="O1192" s="14"/>
      <x:c r="P1192" s="14" t="n">
        <x:f>IF(1171&gt;$B$10,"",MATCH(1171,Tasks!$S$10:$S$1941,0))</x:f>
        <x:v>1535</x:v>
      </x:c>
    </x:row>
    <x:row r="1193" ht="58" customHeight="1">
      <x:c r="B1193" s="86" t="str">
        <x:f>IF($P1193="","",INDEX(Tasks!$B$10:$B$1941,$P1193))</x:f>
        <x:v>Cycle 2</x:v>
      </x:c>
      <x:c r="C1193" s="86" t="str">
        <x:f>IF($P1193="","",INDEX(Tasks!$C$10:$C$1941,$P1193))</x:f>
        <x:v>Phase 1</x:v>
      </x:c>
      <x:c r="D1193" s="86" t="str">
        <x:f>IF($P1193="","",INDEX(Tasks!$D$10:$D$1941,$P1193))</x:f>
        <x:v>Cards</x:v>
      </x:c>
      <x:c r="E1193" s="86"/>
      <x:c r="F1193" s="86" t="str">
        <x:f>IF($P1193="","",INDEX(Tasks!$E$10:$E$1941,$P1193))</x:f>
        <x:v>Design &amp; Insights</x:v>
      </x:c>
      <x:c r="G1193" s="86"/>
      <x:c r="H1193" s="14" t="str">
        <x:f>IF($P1193="","",INDEX(Tasks!$F$10:$F$1941,$P1193)&amp;CHAR(10)&amp;INDEX(Tasks!$G$10:$G$1941,$P1193))</x:f>
        <x:v>DI.CA.1.4
Meet with Research to discuss which topic to select based on potential impact</x:v>
      </x:c>
      <x:c r="I1193" s="14"/>
      <x:c r="J1193" s="14"/>
      <x:c r="K1193" s="14"/>
      <x:c r="L1193" s="86" t="str">
        <x:f>IF($P1193="","",INDEX(Tasks!$N$10:$N$1941,$P1193))</x:f>
        <x:v>Not started</x:v>
      </x:c>
      <x:c r="M1193" s="87" t="n">
        <x:f>IF($P1193="","",INDEX(Tasks!$J$10:$J$1941,$P1193))</x:f>
        <x:v>46203</x:v>
      </x:c>
      <x:c r="N1193" s="85" t="str">
        <x:f>IF($P1193="","",HYPERLINK("#'"&amp;INDEX(Tasks!$T$10:$T$1941,$P1193)&amp;"'!A"&amp;INDEX(Tasks!$U$10:$U$1941,$P1193),"Open"))</x:f>
        <x:v>Open</x:v>
      </x:c>
      <x:c r="O1193" s="14"/>
      <x:c r="P1193" s="14" t="n">
        <x:f>IF(1172&gt;$B$10,"",MATCH(1172,Tasks!$S$10:$S$1941,0))</x:f>
        <x:v>1536</x:v>
      </x:c>
    </x:row>
    <x:row r="1194" ht="58" customHeight="1">
      <x:c r="B1194" s="86" t="str">
        <x:f>IF($P1194="","",INDEX(Tasks!$B$10:$B$1941,$P1194))</x:f>
        <x:v>Cycle 2</x:v>
      </x:c>
      <x:c r="C1194" s="86" t="str">
        <x:f>IF($P1194="","",INDEX(Tasks!$C$10:$C$1941,$P1194))</x:f>
        <x:v>Phase 1</x:v>
      </x:c>
      <x:c r="D1194" s="86" t="str">
        <x:f>IF($P1194="","",INDEX(Tasks!$D$10:$D$1941,$P1194))</x:f>
        <x:v>Cards</x:v>
      </x:c>
      <x:c r="E1194" s="86"/>
      <x:c r="F1194" s="86" t="str">
        <x:f>IF($P1194="","",INDEX(Tasks!$E$10:$E$1941,$P1194))</x:f>
        <x:v>Design &amp; Insights</x:v>
      </x:c>
      <x:c r="G1194" s="86"/>
      <x:c r="H1194" s="14" t="str">
        <x:f>IF($P1194="","",INDEX(Tasks!$F$10:$F$1941,$P1194)&amp;CHAR(10)&amp;INDEX(Tasks!$G$10:$G$1941,$P1194))</x:f>
        <x:v>DI.CA.1.5
Confirm with Research the recommended topic for approval</x:v>
      </x:c>
      <x:c r="I1194" s="14"/>
      <x:c r="J1194" s="14"/>
      <x:c r="K1194" s="14"/>
      <x:c r="L1194" s="86" t="str">
        <x:f>IF($P1194="","",INDEX(Tasks!$N$10:$N$1941,$P1194))</x:f>
        <x:v>Not started</x:v>
      </x:c>
      <x:c r="M1194" s="87" t="n">
        <x:f>IF($P1194="","",INDEX(Tasks!$J$10:$J$1941,$P1194))</x:f>
        <x:v>46203</x:v>
      </x:c>
      <x:c r="N1194" s="85" t="str">
        <x:f>IF($P1194="","",HYPERLINK("#'"&amp;INDEX(Tasks!$T$10:$T$1941,$P1194)&amp;"'!A"&amp;INDEX(Tasks!$U$10:$U$1941,$P1194),"Open"))</x:f>
        <x:v>Open</x:v>
      </x:c>
      <x:c r="O1194" s="14"/>
      <x:c r="P1194" s="14" t="n">
        <x:f>IF(1173&gt;$B$10,"",MATCH(1173,Tasks!$S$10:$S$1941,0))</x:f>
        <x:v>1537</x:v>
      </x:c>
    </x:row>
    <x:row r="1195" ht="58" customHeight="1">
      <x:c r="B1195" s="86" t="str">
        <x:f>IF($P1195="","",INDEX(Tasks!$B$10:$B$1941,$P1195))</x:f>
        <x:v>Cycle 2</x:v>
      </x:c>
      <x:c r="C1195" s="86" t="str">
        <x:f>IF($P1195="","",INDEX(Tasks!$C$10:$C$1941,$P1195))</x:f>
        <x:v>Phase 1</x:v>
      </x:c>
      <x:c r="D1195" s="86" t="str">
        <x:f>IF($P1195="","",INDEX(Tasks!$D$10:$D$1941,$P1195))</x:f>
        <x:v>Cards</x:v>
      </x:c>
      <x:c r="E1195" s="86"/>
      <x:c r="F1195" s="86" t="str">
        <x:f>IF($P1195="","",INDEX(Tasks!$E$10:$E$1941,$P1195))</x:f>
        <x:v>Design &amp; Insights</x:v>
      </x:c>
      <x:c r="G1195" s="86"/>
      <x:c r="H1195" s="14" t="str">
        <x:f>IF($P1195="","",INDEX(Tasks!$F$10:$F$1941,$P1195)&amp;CHAR(10)&amp;INDEX(Tasks!$G$10:$G$1941,$P1195))</x:f>
        <x:v>DI.CA.1.6
Send topic selection socialization email to all key stakeholders on the first day of the review Cycle</x:v>
      </x:c>
      <x:c r="I1195" s="14"/>
      <x:c r="J1195" s="14"/>
      <x:c r="K1195" s="14"/>
      <x:c r="L1195" s="86" t="str">
        <x:f>IF($P1195="","",INDEX(Tasks!$N$10:$N$1941,$P1195))</x:f>
        <x:v>Not started</x:v>
      </x:c>
      <x:c r="M1195" s="87" t="n">
        <x:f>IF($P1195="","",INDEX(Tasks!$J$10:$J$1941,$P1195))</x:f>
        <x:v>46113</x:v>
      </x:c>
      <x:c r="N1195" s="85" t="str">
        <x:f>IF($P1195="","",HYPERLINK("#'"&amp;INDEX(Tasks!$T$10:$T$1941,$P1195)&amp;"'!A"&amp;INDEX(Tasks!$U$10:$U$1941,$P1195),"Open"))</x:f>
        <x:v>Open</x:v>
      </x:c>
      <x:c r="O1195" s="14"/>
      <x:c r="P1195" s="14" t="n">
        <x:f>IF(1174&gt;$B$10,"",MATCH(1174,Tasks!$S$10:$S$1941,0))</x:f>
        <x:v>1538</x:v>
      </x:c>
    </x:row>
    <x:row r="1196" ht="58" customHeight="1">
      <x:c r="B1196" s="86" t="str">
        <x:f>IF($P1196="","",INDEX(Tasks!$B$10:$B$1941,$P1196))</x:f>
        <x:v>Cycle 2</x:v>
      </x:c>
      <x:c r="C1196" s="86" t="str">
        <x:f>IF($P1196="","",INDEX(Tasks!$C$10:$C$1941,$P1196))</x:f>
        <x:v>Phase 2</x:v>
      </x:c>
      <x:c r="D1196" s="86" t="str">
        <x:f>IF($P1196="","",INDEX(Tasks!$D$10:$D$1941,$P1196))</x:f>
        <x:v>Cards</x:v>
      </x:c>
      <x:c r="E1196" s="86"/>
      <x:c r="F1196" s="86" t="str">
        <x:f>IF($P1196="","",INDEX(Tasks!$E$10:$E$1941,$P1196))</x:f>
        <x:v>Design &amp; Insights</x:v>
      </x:c>
      <x:c r="G1196" s="86"/>
      <x:c r="H1196" s="14" t="str">
        <x:f>IF($P1196="","",INDEX(Tasks!$F$10:$F$1941,$P1196)&amp;CHAR(10)&amp;INDEX(Tasks!$G$10:$G$1941,$P1196))</x:f>
        <x:v>DI.CA.2.1
Meet regularly with Research to stay informed on progress, findings, and potential enhancement</x:v>
      </x:c>
      <x:c r="I1196" s="14"/>
      <x:c r="J1196" s="14"/>
      <x:c r="K1196" s="14"/>
      <x:c r="L1196" s="86" t="str">
        <x:f>IF($P1196="","",INDEX(Tasks!$N$10:$N$1941,$P1196))</x:f>
        <x:v>Not started</x:v>
      </x:c>
      <x:c r="M1196" s="87" t="n">
        <x:f>IF($P1196="","",INDEX(Tasks!$J$10:$J$1941,$P1196))</x:f>
        <x:v>46203</x:v>
      </x:c>
      <x:c r="N1196" s="85" t="str">
        <x:f>IF($P1196="","",HYPERLINK("#'"&amp;INDEX(Tasks!$T$10:$T$1941,$P1196)&amp;"'!A"&amp;INDEX(Tasks!$U$10:$U$1941,$P1196),"Open"))</x:f>
        <x:v>Open</x:v>
      </x:c>
      <x:c r="O1196" s="14"/>
      <x:c r="P1196" s="14" t="n">
        <x:f>IF(1175&gt;$B$10,"",MATCH(1175,Tasks!$S$10:$S$1941,0))</x:f>
        <x:v>1539</x:v>
      </x:c>
    </x:row>
    <x:row r="1197" ht="58" customHeight="1">
      <x:c r="B1197" s="86" t="str">
        <x:f>IF($P1197="","",INDEX(Tasks!$B$10:$B$1941,$P1197))</x:f>
        <x:v>Cycle 2</x:v>
      </x:c>
      <x:c r="C1197" s="86" t="str">
        <x:f>IF($P1197="","",INDEX(Tasks!$C$10:$C$1941,$P1197))</x:f>
        <x:v>Phase 2</x:v>
      </x:c>
      <x:c r="D1197" s="86" t="str">
        <x:f>IF($P1197="","",INDEX(Tasks!$D$10:$D$1941,$P1197))</x:f>
        <x:v>Cards</x:v>
      </x:c>
      <x:c r="E1197" s="86"/>
      <x:c r="F1197" s="86" t="str">
        <x:f>IF($P1197="","",INDEX(Tasks!$E$10:$E$1941,$P1197))</x:f>
        <x:v>Design &amp; Insights</x:v>
      </x:c>
      <x:c r="G1197" s="86"/>
      <x:c r="H1197" s="14" t="str">
        <x:f>IF($P1197="","",INDEX(Tasks!$F$10:$F$1941,$P1197)&amp;CHAR(10)&amp;INDEX(Tasks!$G$10:$G$1941,$P1197))</x:f>
        <x:v>DI.CA.2.2
Collaborate with Research on research plan specifics</x:v>
      </x:c>
      <x:c r="I1197" s="14"/>
      <x:c r="J1197" s="14"/>
      <x:c r="K1197" s="14"/>
      <x:c r="L1197" s="86" t="str">
        <x:f>IF($P1197="","",INDEX(Tasks!$N$10:$N$1941,$P1197))</x:f>
        <x:v>Not started</x:v>
      </x:c>
      <x:c r="M1197" s="87" t="n">
        <x:f>IF($P1197="","",INDEX(Tasks!$J$10:$J$1941,$P1197))</x:f>
        <x:v>46203</x:v>
      </x:c>
      <x:c r="N1197" s="85" t="str">
        <x:f>IF($P1197="","",HYPERLINK("#'"&amp;INDEX(Tasks!$T$10:$T$1941,$P1197)&amp;"'!A"&amp;INDEX(Tasks!$U$10:$U$1941,$P1197),"Open"))</x:f>
        <x:v>Open</x:v>
      </x:c>
      <x:c r="O1197" s="14"/>
      <x:c r="P1197" s="14" t="n">
        <x:f>IF(1176&gt;$B$10,"",MATCH(1176,Tasks!$S$10:$S$1941,0))</x:f>
        <x:v>1540</x:v>
      </x:c>
    </x:row>
    <x:row r="1198" ht="58" customHeight="1">
      <x:c r="B1198" s="86" t="str">
        <x:f>IF($P1198="","",INDEX(Tasks!$B$10:$B$1941,$P1198))</x:f>
        <x:v>Cycle 2</x:v>
      </x:c>
      <x:c r="C1198" s="86" t="str">
        <x:f>IF($P1198="","",INDEX(Tasks!$C$10:$C$1941,$P1198))</x:f>
        <x:v>Phase 2</x:v>
      </x:c>
      <x:c r="D1198" s="86" t="str">
        <x:f>IF($P1198="","",INDEX(Tasks!$D$10:$D$1941,$P1198))</x:f>
        <x:v>Cards</x:v>
      </x:c>
      <x:c r="E1198" s="86"/>
      <x:c r="F1198" s="86" t="str">
        <x:f>IF($P1198="","",INDEX(Tasks!$E$10:$E$1941,$P1198))</x:f>
        <x:v>Design &amp; Insights</x:v>
      </x:c>
      <x:c r="G1198" s="86"/>
      <x:c r="H1198" s="14" t="str">
        <x:f>IF($P1198="","",INDEX(Tasks!$F$10:$F$1941,$P1198)&amp;CHAR(10)&amp;INDEX(Tasks!$G$10:$G$1941,$P1198))</x:f>
        <x:v>DI.CA.2.3
Participate in SME insight meetings to gain perspective and appetite on potential enhancements</x:v>
      </x:c>
      <x:c r="I1198" s="14"/>
      <x:c r="J1198" s="14"/>
      <x:c r="K1198" s="14"/>
      <x:c r="L1198" s="86" t="str">
        <x:f>IF($P1198="","",INDEX(Tasks!$N$10:$N$1941,$P1198))</x:f>
        <x:v>Not started</x:v>
      </x:c>
      <x:c r="M1198" s="87" t="n">
        <x:f>IF($P1198="","",INDEX(Tasks!$J$10:$J$1941,$P1198))</x:f>
        <x:v>46203</x:v>
      </x:c>
      <x:c r="N1198" s="85" t="str">
        <x:f>IF($P1198="","",HYPERLINK("#'"&amp;INDEX(Tasks!$T$10:$T$1941,$P1198)&amp;"'!A"&amp;INDEX(Tasks!$U$10:$U$1941,$P1198),"Open"))</x:f>
        <x:v>Open</x:v>
      </x:c>
      <x:c r="O1198" s="14"/>
      <x:c r="P1198" s="14" t="n">
        <x:f>IF(1177&gt;$B$10,"",MATCH(1177,Tasks!$S$10:$S$1941,0))</x:f>
        <x:v>1541</x:v>
      </x:c>
    </x:row>
    <x:row r="1199" ht="58" customHeight="1">
      <x:c r="B1199" s="86" t="str">
        <x:f>IF($P1199="","",INDEX(Tasks!$B$10:$B$1941,$P1199))</x:f>
        <x:v>Cycle 2</x:v>
      </x:c>
      <x:c r="C1199" s="86" t="str">
        <x:f>IF($P1199="","",INDEX(Tasks!$C$10:$C$1941,$P1199))</x:f>
        <x:v>Phase 2</x:v>
      </x:c>
      <x:c r="D1199" s="86" t="str">
        <x:f>IF($P1199="","",INDEX(Tasks!$D$10:$D$1941,$P1199))</x:f>
        <x:v>Cards</x:v>
      </x:c>
      <x:c r="E1199" s="86"/>
      <x:c r="F1199" s="86" t="str">
        <x:f>IF($P1199="","",INDEX(Tasks!$E$10:$E$1941,$P1199))</x:f>
        <x:v>Design &amp; Insights</x:v>
      </x:c>
      <x:c r="G1199" s="86"/>
      <x:c r="H1199" s="14" t="str">
        <x:f>IF($P1199="","",INDEX(Tasks!$F$10:$F$1941,$P1199)&amp;CHAR(10)&amp;INDEX(Tasks!$G$10:$G$1941,$P1199))</x:f>
        <x:v>DI.CA.2.4
Begin development of presentation materials as Research is being completed</x:v>
      </x:c>
      <x:c r="I1199" s="14"/>
      <x:c r="J1199" s="14"/>
      <x:c r="K1199" s="14"/>
      <x:c r="L1199" s="86" t="str">
        <x:f>IF($P1199="","",INDEX(Tasks!$N$10:$N$1941,$P1199))</x:f>
        <x:v>Not started</x:v>
      </x:c>
      <x:c r="M1199" s="87" t="n">
        <x:f>IF($P1199="","",INDEX(Tasks!$J$10:$J$1941,$P1199))</x:f>
        <x:v>46203</x:v>
      </x:c>
      <x:c r="N1199" s="85" t="str">
        <x:f>IF($P1199="","",HYPERLINK("#'"&amp;INDEX(Tasks!$T$10:$T$1941,$P1199)&amp;"'!A"&amp;INDEX(Tasks!$U$10:$U$1941,$P1199),"Open"))</x:f>
        <x:v>Open</x:v>
      </x:c>
      <x:c r="O1199" s="14"/>
      <x:c r="P1199" s="14" t="n">
        <x:f>IF(1178&gt;$B$10,"",MATCH(1178,Tasks!$S$10:$S$1941,0))</x:f>
        <x:v>1542</x:v>
      </x:c>
    </x:row>
    <x:row r="1200" ht="58" customHeight="1">
      <x:c r="B1200" s="86" t="str">
        <x:f>IF($P1200="","",INDEX(Tasks!$B$10:$B$1941,$P1200))</x:f>
        <x:v>Cycle 2</x:v>
      </x:c>
      <x:c r="C1200" s="86" t="str">
        <x:f>IF($P1200="","",INDEX(Tasks!$C$10:$C$1941,$P1200))</x:f>
        <x:v>Phase 2</x:v>
      </x:c>
      <x:c r="D1200" s="86" t="str">
        <x:f>IF($P1200="","",INDEX(Tasks!$D$10:$D$1941,$P1200))</x:f>
        <x:v>Cards</x:v>
      </x:c>
      <x:c r="E1200" s="86"/>
      <x:c r="F1200" s="86" t="str">
        <x:f>IF($P1200="","",INDEX(Tasks!$E$10:$E$1941,$P1200))</x:f>
        <x:v>Design &amp; Insights</x:v>
      </x:c>
      <x:c r="G1200" s="86"/>
      <x:c r="H1200" s="14" t="str">
        <x:f>IF($P1200="","",INDEX(Tasks!$F$10:$F$1941,$P1200)&amp;CHAR(10)&amp;INDEX(Tasks!$G$10:$G$1941,$P1200))</x:f>
        <x:v>DI.CA.2.5
Draft initial enhancement recommendations (as applicable)</x:v>
      </x:c>
      <x:c r="I1200" s="14"/>
      <x:c r="J1200" s="14"/>
      <x:c r="K1200" s="14"/>
      <x:c r="L1200" s="86" t="str">
        <x:f>IF($P1200="","",INDEX(Tasks!$N$10:$N$1941,$P1200))</x:f>
        <x:v>Not started</x:v>
      </x:c>
      <x:c r="M1200" s="87" t="n">
        <x:f>IF($P1200="","",INDEX(Tasks!$J$10:$J$1941,$P1200))</x:f>
        <x:v>46203</x:v>
      </x:c>
      <x:c r="N1200" s="85" t="str">
        <x:f>IF($P1200="","",HYPERLINK("#'"&amp;INDEX(Tasks!$T$10:$T$1941,$P1200)&amp;"'!A"&amp;INDEX(Tasks!$U$10:$U$1941,$P1200),"Open"))</x:f>
        <x:v>Open</x:v>
      </x:c>
      <x:c r="O1200" s="14"/>
      <x:c r="P1200" s="14" t="n">
        <x:f>IF(1179&gt;$B$10,"",MATCH(1179,Tasks!$S$10:$S$1941,0))</x:f>
        <x:v>1543</x:v>
      </x:c>
    </x:row>
    <x:row r="1201" ht="58" customHeight="1">
      <x:c r="B1201" s="86" t="str">
        <x:f>IF($P1201="","",INDEX(Tasks!$B$10:$B$1941,$P1201))</x:f>
        <x:v>Cycle 2</x:v>
      </x:c>
      <x:c r="C1201" s="86" t="str">
        <x:f>IF($P1201="","",INDEX(Tasks!$C$10:$C$1941,$P1201))</x:f>
        <x:v>Phase 2</x:v>
      </x:c>
      <x:c r="D1201" s="86" t="str">
        <x:f>IF($P1201="","",INDEX(Tasks!$D$10:$D$1941,$P1201))</x:f>
        <x:v>Cards</x:v>
      </x:c>
      <x:c r="E1201" s="86"/>
      <x:c r="F1201" s="86" t="str">
        <x:f>IF($P1201="","",INDEX(Tasks!$E$10:$E$1941,$P1201))</x:f>
        <x:v>Design &amp; Insights</x:v>
      </x:c>
      <x:c r="G1201" s="86"/>
      <x:c r="H1201" s="14" t="str">
        <x:f>IF($P1201="","",INDEX(Tasks!$F$10:$F$1941,$P1201)&amp;CHAR(10)&amp;INDEX(Tasks!$G$10:$G$1941,$P1201))</x:f>
        <x:v>DI.CA.2.6
Finalize presentation deck draft at conclusion of Research phase</x:v>
      </x:c>
      <x:c r="I1201" s="14"/>
      <x:c r="J1201" s="14"/>
      <x:c r="K1201" s="14"/>
      <x:c r="L1201" s="86" t="str">
        <x:f>IF($P1201="","",INDEX(Tasks!$N$10:$N$1941,$P1201))</x:f>
        <x:v>Not started</x:v>
      </x:c>
      <x:c r="M1201" s="87" t="n">
        <x:f>IF($P1201="","",INDEX(Tasks!$J$10:$J$1941,$P1201))</x:f>
        <x:v>46203</x:v>
      </x:c>
      <x:c r="N1201" s="85" t="str">
        <x:f>IF($P1201="","",HYPERLINK("#'"&amp;INDEX(Tasks!$T$10:$T$1941,$P1201)&amp;"'!A"&amp;INDEX(Tasks!$U$10:$U$1941,$P1201),"Open"))</x:f>
        <x:v>Open</x:v>
      </x:c>
      <x:c r="O1201" s="14"/>
      <x:c r="P1201" s="14" t="n">
        <x:f>IF(1180&gt;$B$10,"",MATCH(1180,Tasks!$S$10:$S$1941,0))</x:f>
        <x:v>1544</x:v>
      </x:c>
    </x:row>
    <x:row r="1202" ht="58" customHeight="1">
      <x:c r="B1202" s="86" t="str">
        <x:f>IF($P1202="","",INDEX(Tasks!$B$10:$B$1941,$P1202))</x:f>
        <x:v>Cycle 2</x:v>
      </x:c>
      <x:c r="C1202" s="86" t="str">
        <x:f>IF($P1202="","",INDEX(Tasks!$C$10:$C$1941,$P1202))</x:f>
        <x:v>Phase 2</x:v>
      </x:c>
      <x:c r="D1202" s="86" t="str">
        <x:f>IF($P1202="","",INDEX(Tasks!$D$10:$D$1941,$P1202))</x:f>
        <x:v>Cards</x:v>
      </x:c>
      <x:c r="E1202" s="86"/>
      <x:c r="F1202" s="86" t="str">
        <x:f>IF($P1202="","",INDEX(Tasks!$E$10:$E$1941,$P1202))</x:f>
        <x:v>Design &amp; Insights</x:v>
      </x:c>
      <x:c r="G1202" s="86"/>
      <x:c r="H1202" s="14" t="str">
        <x:f>IF($P1202="","",INDEX(Tasks!$F$10:$F$1941,$P1202)&amp;CHAR(10)&amp;INDEX(Tasks!$G$10:$G$1941,$P1202))</x:f>
        <x:v>DI.CA.2.7
Update Outcome portion of research plan with current enhancement verbiage (as needed)</x:v>
      </x:c>
      <x:c r="I1202" s="14"/>
      <x:c r="J1202" s="14"/>
      <x:c r="K1202" s="14"/>
      <x:c r="L1202" s="86" t="str">
        <x:f>IF($P1202="","",INDEX(Tasks!$N$10:$N$1941,$P1202))</x:f>
        <x:v>Not started</x:v>
      </x:c>
      <x:c r="M1202" s="87" t="n">
        <x:f>IF($P1202="","",INDEX(Tasks!$J$10:$J$1941,$P1202))</x:f>
        <x:v>46203</x:v>
      </x:c>
      <x:c r="N1202" s="85" t="str">
        <x:f>IF($P1202="","",HYPERLINK("#'"&amp;INDEX(Tasks!$T$10:$T$1941,$P1202)&amp;"'!A"&amp;INDEX(Tasks!$U$10:$U$1941,$P1202),"Open"))</x:f>
        <x:v>Open</x:v>
      </x:c>
      <x:c r="O1202" s="14"/>
      <x:c r="P1202" s="14" t="n">
        <x:f>IF(1181&gt;$B$10,"",MATCH(1181,Tasks!$S$10:$S$1941,0))</x:f>
        <x:v>1545</x:v>
      </x:c>
    </x:row>
    <x:row r="1203" ht="58" customHeight="1">
      <x:c r="B1203" s="86" t="str">
        <x:f>IF($P1203="","",INDEX(Tasks!$B$10:$B$1941,$P1203))</x:f>
        <x:v>Cycle 2</x:v>
      </x:c>
      <x:c r="C1203" s="86" t="str">
        <x:f>IF($P1203="","",INDEX(Tasks!$C$10:$C$1941,$P1203))</x:f>
        <x:v>Phase 3</x:v>
      </x:c>
      <x:c r="D1203" s="86" t="str">
        <x:f>IF($P1203="","",INDEX(Tasks!$D$10:$D$1941,$P1203))</x:f>
        <x:v>Cards</x:v>
      </x:c>
      <x:c r="E1203" s="86"/>
      <x:c r="F1203" s="86" t="str">
        <x:f>IF($P1203="","",INDEX(Tasks!$E$10:$E$1941,$P1203))</x:f>
        <x:v>Design &amp; Insights</x:v>
      </x:c>
      <x:c r="G1203" s="86"/>
      <x:c r="H1203" s="14" t="str">
        <x:f>IF($P1203="","",INDEX(Tasks!$F$10:$F$1941,$P1203)&amp;CHAR(10)&amp;INDEX(Tasks!$G$10:$G$1941,$P1203))</x:f>
        <x:v>DI.CA.3.1
Confirm list of required &amp; optional attendees for pre-socialization meeting</x:v>
      </x:c>
      <x:c r="I1203" s="14"/>
      <x:c r="J1203" s="14"/>
      <x:c r="K1203" s="14"/>
      <x:c r="L1203" s="86" t="str">
        <x:f>IF($P1203="","",INDEX(Tasks!$N$10:$N$1941,$P1203))</x:f>
        <x:v>Not started</x:v>
      </x:c>
      <x:c r="M1203" s="87" t="n">
        <x:f>IF($P1203="","",INDEX(Tasks!$J$10:$J$1941,$P1203))</x:f>
        <x:v>46203</x:v>
      </x:c>
      <x:c r="N1203" s="85" t="str">
        <x:f>IF($P1203="","",HYPERLINK("#'"&amp;INDEX(Tasks!$T$10:$T$1941,$P1203)&amp;"'!A"&amp;INDEX(Tasks!$U$10:$U$1941,$P1203),"Open"))</x:f>
        <x:v>Open</x:v>
      </x:c>
      <x:c r="O1203" s="14"/>
      <x:c r="P1203" s="14" t="n">
        <x:f>IF(1182&gt;$B$10,"",MATCH(1182,Tasks!$S$10:$S$1941,0))</x:f>
        <x:v>1546</x:v>
      </x:c>
    </x:row>
    <x:row r="1204" ht="58" customHeight="1">
      <x:c r="B1204" s="86" t="str">
        <x:f>IF($P1204="","",INDEX(Tasks!$B$10:$B$1941,$P1204))</x:f>
        <x:v>Cycle 2</x:v>
      </x:c>
      <x:c r="C1204" s="86" t="str">
        <x:f>IF($P1204="","",INDEX(Tasks!$C$10:$C$1941,$P1204))</x:f>
        <x:v>Phase 3</x:v>
      </x:c>
      <x:c r="D1204" s="86" t="str">
        <x:f>IF($P1204="","",INDEX(Tasks!$D$10:$D$1941,$P1204))</x:f>
        <x:v>Cards</x:v>
      </x:c>
      <x:c r="E1204" s="86"/>
      <x:c r="F1204" s="86" t="str">
        <x:f>IF($P1204="","",INDEX(Tasks!$E$10:$E$1941,$P1204))</x:f>
        <x:v>Design &amp; Insights</x:v>
      </x:c>
      <x:c r="G1204" s="86"/>
      <x:c r="H1204" s="14" t="str">
        <x:f>IF($P1204="","",INDEX(Tasks!$F$10:$F$1941,$P1204)&amp;CHAR(10)&amp;INDEX(Tasks!$G$10:$G$1941,$P1204))</x:f>
        <x:v>DI.CA.3.2
Schedule pre-socialization meeting 1 week prior to RCA Forum</x:v>
      </x:c>
      <x:c r="I1204" s="14"/>
      <x:c r="J1204" s="14"/>
      <x:c r="K1204" s="14"/>
      <x:c r="L1204" s="86" t="str">
        <x:f>IF($P1204="","",INDEX(Tasks!$N$10:$N$1941,$P1204))</x:f>
        <x:v>Not started</x:v>
      </x:c>
      <x:c r="M1204" s="87" t="str">
        <x:f>IF($P1204="","",INDEX(Tasks!$J$10:$J$1941,$P1204))</x:f>
      </x:c>
      <x:c r="N1204" s="85" t="str">
        <x:f>IF($P1204="","",HYPERLINK("#'"&amp;INDEX(Tasks!$T$10:$T$1941,$P1204)&amp;"'!A"&amp;INDEX(Tasks!$U$10:$U$1941,$P1204),"Open"))</x:f>
        <x:v>Open</x:v>
      </x:c>
      <x:c r="O1204" s="14"/>
      <x:c r="P1204" s="14" t="n">
        <x:f>IF(1183&gt;$B$10,"",MATCH(1183,Tasks!$S$10:$S$1941,0))</x:f>
        <x:v>1547</x:v>
      </x:c>
    </x:row>
    <x:row r="1205" ht="58" customHeight="1">
      <x:c r="B1205" s="86" t="str">
        <x:f>IF($P1205="","",INDEX(Tasks!$B$10:$B$1941,$P1205))</x:f>
        <x:v>Cycle 2</x:v>
      </x:c>
      <x:c r="C1205" s="86" t="str">
        <x:f>IF($P1205="","",INDEX(Tasks!$C$10:$C$1941,$P1205))</x:f>
        <x:v>Phase 3</x:v>
      </x:c>
      <x:c r="D1205" s="86" t="str">
        <x:f>IF($P1205="","",INDEX(Tasks!$D$10:$D$1941,$P1205))</x:f>
        <x:v>Cards</x:v>
      </x:c>
      <x:c r="E1205" s="86"/>
      <x:c r="F1205" s="86" t="str">
        <x:f>IF($P1205="","",INDEX(Tasks!$E$10:$E$1941,$P1205))</x:f>
        <x:v>Design &amp; Insights</x:v>
      </x:c>
      <x:c r="G1205" s="86"/>
      <x:c r="H1205" s="14" t="str">
        <x:f>IF($P1205="","",INDEX(Tasks!$F$10:$F$1941,$P1205)&amp;CHAR(10)&amp;INDEX(Tasks!$G$10:$G$1941,$P1205))</x:f>
        <x:v>DI.CA.3.3
Present findings, conclusions, and recommendation to SMEs</x:v>
      </x:c>
      <x:c r="I1205" s="14"/>
      <x:c r="J1205" s="14"/>
      <x:c r="K1205" s="14"/>
      <x:c r="L1205" s="86" t="str">
        <x:f>IF($P1205="","",INDEX(Tasks!$N$10:$N$1941,$P1205))</x:f>
        <x:v>Not started</x:v>
      </x:c>
      <x:c r="M1205" s="87" t="n">
        <x:f>IF($P1205="","",INDEX(Tasks!$J$10:$J$1941,$P1205))</x:f>
        <x:v>46203</x:v>
      </x:c>
      <x:c r="N1205" s="85" t="str">
        <x:f>IF($P1205="","",HYPERLINK("#'"&amp;INDEX(Tasks!$T$10:$T$1941,$P1205)&amp;"'!A"&amp;INDEX(Tasks!$U$10:$U$1941,$P1205),"Open"))</x:f>
        <x:v>Open</x:v>
      </x:c>
      <x:c r="O1205" s="14"/>
      <x:c r="P1205" s="14" t="n">
        <x:f>IF(1184&gt;$B$10,"",MATCH(1184,Tasks!$S$10:$S$1941,0))</x:f>
        <x:v>1548</x:v>
      </x:c>
    </x:row>
    <x:row r="1206" ht="58" customHeight="1">
      <x:c r="B1206" s="86" t="str">
        <x:f>IF($P1206="","",INDEX(Tasks!$B$10:$B$1941,$P1206))</x:f>
        <x:v>Cycle 2</x:v>
      </x:c>
      <x:c r="C1206" s="86" t="str">
        <x:f>IF($P1206="","",INDEX(Tasks!$C$10:$C$1941,$P1206))</x:f>
        <x:v>Phase 3</x:v>
      </x:c>
      <x:c r="D1206" s="86" t="str">
        <x:f>IF($P1206="","",INDEX(Tasks!$D$10:$D$1941,$P1206))</x:f>
        <x:v>Cards</x:v>
      </x:c>
      <x:c r="E1206" s="86"/>
      <x:c r="F1206" s="86" t="str">
        <x:f>IF($P1206="","",INDEX(Tasks!$E$10:$E$1941,$P1206))</x:f>
        <x:v>Design &amp; Insights</x:v>
      </x:c>
      <x:c r="G1206" s="86"/>
      <x:c r="H1206" s="14" t="str">
        <x:f>IF($P1206="","",INDEX(Tasks!$F$10:$F$1941,$P1206)&amp;CHAR(10)&amp;INDEX(Tasks!$G$10:$G$1941,$P1206))</x:f>
        <x:v>DI.CA.3.4
Update Outcome portion of research plan (as needed)</x:v>
      </x:c>
      <x:c r="I1206" s="14"/>
      <x:c r="J1206" s="14"/>
      <x:c r="K1206" s="14"/>
      <x:c r="L1206" s="86" t="str">
        <x:f>IF($P1206="","",INDEX(Tasks!$N$10:$N$1941,$P1206))</x:f>
        <x:v>Not started</x:v>
      </x:c>
      <x:c r="M1206" s="87" t="n">
        <x:f>IF($P1206="","",INDEX(Tasks!$J$10:$J$1941,$P1206))</x:f>
        <x:v>46203</x:v>
      </x:c>
      <x:c r="N1206" s="85" t="str">
        <x:f>IF($P1206="","",HYPERLINK("#'"&amp;INDEX(Tasks!$T$10:$T$1941,$P1206)&amp;"'!A"&amp;INDEX(Tasks!$U$10:$U$1941,$P1206),"Open"))</x:f>
        <x:v>Open</x:v>
      </x:c>
      <x:c r="O1206" s="14"/>
      <x:c r="P1206" s="14" t="n">
        <x:f>IF(1185&gt;$B$10,"",MATCH(1185,Tasks!$S$10:$S$1941,0))</x:f>
        <x:v>1549</x:v>
      </x:c>
    </x:row>
    <x:row r="1207" ht="58" customHeight="1">
      <x:c r="B1207" s="86" t="str">
        <x:f>IF($P1207="","",INDEX(Tasks!$B$10:$B$1941,$P1207))</x:f>
        <x:v>Cycle 2</x:v>
      </x:c>
      <x:c r="C1207" s="86" t="str">
        <x:f>IF($P1207="","",INDEX(Tasks!$C$10:$C$1941,$P1207))</x:f>
        <x:v>Phase 3</x:v>
      </x:c>
      <x:c r="D1207" s="86" t="str">
        <x:f>IF($P1207="","",INDEX(Tasks!$D$10:$D$1941,$P1207))</x:f>
        <x:v>Cards</x:v>
      </x:c>
      <x:c r="E1207" s="86"/>
      <x:c r="F1207" s="86" t="str">
        <x:f>IF($P1207="","",INDEX(Tasks!$E$10:$E$1941,$P1207))</x:f>
        <x:v>Design &amp; Insights</x:v>
      </x:c>
      <x:c r="G1207" s="86"/>
      <x:c r="H1207" s="14" t="str">
        <x:f>IF($P1207="","",INDEX(Tasks!$F$10:$F$1941,$P1207)&amp;CHAR(10)&amp;INDEX(Tasks!$G$10:$G$1941,$P1207))</x:f>
        <x:v>DI.CA.3.5
Finalize presentation deck by incorporating pre-socialization feedback (as needed)</x:v>
      </x:c>
      <x:c r="I1207" s="14"/>
      <x:c r="J1207" s="14"/>
      <x:c r="K1207" s="14"/>
      <x:c r="L1207" s="86" t="str">
        <x:f>IF($P1207="","",INDEX(Tasks!$N$10:$N$1941,$P1207))</x:f>
        <x:v>Not started</x:v>
      </x:c>
      <x:c r="M1207" s="87" t="n">
        <x:f>IF($P1207="","",INDEX(Tasks!$J$10:$J$1941,$P1207))</x:f>
        <x:v>46203</x:v>
      </x:c>
      <x:c r="N1207" s="85" t="str">
        <x:f>IF($P1207="","",HYPERLINK("#'"&amp;INDEX(Tasks!$T$10:$T$1941,$P1207)&amp;"'!A"&amp;INDEX(Tasks!$U$10:$U$1941,$P1207),"Open"))</x:f>
        <x:v>Open</x:v>
      </x:c>
      <x:c r="O1207" s="14"/>
      <x:c r="P1207" s="14" t="n">
        <x:f>IF(1186&gt;$B$10,"",MATCH(1186,Tasks!$S$10:$S$1941,0))</x:f>
        <x:v>1550</x:v>
      </x:c>
    </x:row>
    <x:row r="1208" ht="58" customHeight="1">
      <x:c r="B1208" s="86" t="str">
        <x:f>IF($P1208="","",INDEX(Tasks!$B$10:$B$1941,$P1208))</x:f>
        <x:v>Cycle 2</x:v>
      </x:c>
      <x:c r="C1208" s="86" t="str">
        <x:f>IF($P1208="","",INDEX(Tasks!$C$10:$C$1941,$P1208))</x:f>
        <x:v>Phase 3</x:v>
      </x:c>
      <x:c r="D1208" s="86" t="str">
        <x:f>IF($P1208="","",INDEX(Tasks!$D$10:$D$1941,$P1208))</x:f>
        <x:v>Cards</x:v>
      </x:c>
      <x:c r="E1208" s="86"/>
      <x:c r="F1208" s="86" t="str">
        <x:f>IF($P1208="","",INDEX(Tasks!$E$10:$E$1941,$P1208))</x:f>
        <x:v>Design &amp; Insights</x:v>
      </x:c>
      <x:c r="G1208" s="86"/>
      <x:c r="H1208" s="14" t="str">
        <x:f>IF($P1208="","",INDEX(Tasks!$F$10:$F$1941,$P1208)&amp;CHAR(10)&amp;INDEX(Tasks!$G$10:$G$1941,$P1208))</x:f>
        <x:v>DI.CA.3.6
Ensure final deck is communicated to Forum attendees</x:v>
      </x:c>
      <x:c r="I1208" s="14"/>
      <x:c r="J1208" s="14"/>
      <x:c r="K1208" s="14"/>
      <x:c r="L1208" s="86" t="str">
        <x:f>IF($P1208="","",INDEX(Tasks!$N$10:$N$1941,$P1208))</x:f>
        <x:v>Not started</x:v>
      </x:c>
      <x:c r="M1208" s="87" t="n">
        <x:f>IF($P1208="","",INDEX(Tasks!$J$10:$J$1941,$P1208))</x:f>
        <x:v>46203</x:v>
      </x:c>
      <x:c r="N1208" s="85" t="str">
        <x:f>IF($P1208="","",HYPERLINK("#'"&amp;INDEX(Tasks!$T$10:$T$1941,$P1208)&amp;"'!A"&amp;INDEX(Tasks!$U$10:$U$1941,$P1208),"Open"))</x:f>
        <x:v>Open</x:v>
      </x:c>
      <x:c r="O1208" s="14"/>
      <x:c r="P1208" s="14" t="n">
        <x:f>IF(1187&gt;$B$10,"",MATCH(1187,Tasks!$S$10:$S$1941,0))</x:f>
        <x:v>1551</x:v>
      </x:c>
    </x:row>
    <x:row r="1209" ht="58" customHeight="1">
      <x:c r="B1209" s="86" t="str">
        <x:f>IF($P1209="","",INDEX(Tasks!$B$10:$B$1941,$P1209))</x:f>
        <x:v>Cycle 2</x:v>
      </x:c>
      <x:c r="C1209" s="86" t="str">
        <x:f>IF($P1209="","",INDEX(Tasks!$C$10:$C$1941,$P1209))</x:f>
        <x:v>Phase 3</x:v>
      </x:c>
      <x:c r="D1209" s="86" t="str">
        <x:f>IF($P1209="","",INDEX(Tasks!$D$10:$D$1941,$P1209))</x:f>
        <x:v>Cards</x:v>
      </x:c>
      <x:c r="E1209" s="86"/>
      <x:c r="F1209" s="86" t="str">
        <x:f>IF($P1209="","",INDEX(Tasks!$E$10:$E$1941,$P1209))</x:f>
        <x:v>Design &amp; Insights</x:v>
      </x:c>
      <x:c r="G1209" s="86"/>
      <x:c r="H1209" s="14" t="str">
        <x:f>IF($P1209="","",INDEX(Tasks!$F$10:$F$1941,$P1209)&amp;CHAR(10)&amp;INDEX(Tasks!$G$10:$G$1941,$P1209))</x:f>
        <x:v>DI.CA.3.7
Present material in RCA Cycle Forum</x:v>
      </x:c>
      <x:c r="I1209" s="14"/>
      <x:c r="J1209" s="14"/>
      <x:c r="K1209" s="14"/>
      <x:c r="L1209" s="86" t="str">
        <x:f>IF($P1209="","",INDEX(Tasks!$N$10:$N$1941,$P1209))</x:f>
        <x:v>Not started</x:v>
      </x:c>
      <x:c r="M1209" s="87" t="str">
        <x:f>IF($P1209="","",INDEX(Tasks!$J$10:$J$1941,$P1209))</x:f>
      </x:c>
      <x:c r="N1209" s="85" t="str">
        <x:f>IF($P1209="","",HYPERLINK("#'"&amp;INDEX(Tasks!$T$10:$T$1941,$P1209)&amp;"'!A"&amp;INDEX(Tasks!$U$10:$U$1941,$P1209),"Open"))</x:f>
        <x:v>Open</x:v>
      </x:c>
      <x:c r="O1209" s="14"/>
      <x:c r="P1209" s="14" t="n">
        <x:f>IF(1188&gt;$B$10,"",MATCH(1188,Tasks!$S$10:$S$1941,0))</x:f>
        <x:v>1552</x:v>
      </x:c>
    </x:row>
    <x:row r="1210" ht="58" customHeight="1">
      <x:c r="B1210" s="86" t="str">
        <x:f>IF($P1210="","",INDEX(Tasks!$B$10:$B$1941,$P1210))</x:f>
        <x:v>Cycle 2</x:v>
      </x:c>
      <x:c r="C1210" s="86" t="str">
        <x:f>IF($P1210="","",INDEX(Tasks!$C$10:$C$1941,$P1210))</x:f>
        <x:v>Phase 1</x:v>
      </x:c>
      <x:c r="D1210" s="86" t="str">
        <x:f>IF($P1210="","",INDEX(Tasks!$D$10:$D$1941,$P1210))</x:f>
        <x:v>CSBBO - Banking Ops</x:v>
      </x:c>
      <x:c r="E1210" s="86"/>
      <x:c r="F1210" s="86" t="str">
        <x:f>IF($P1210="","",INDEX(Tasks!$E$10:$E$1941,$P1210))</x:f>
        <x:v>Design &amp; Insights</x:v>
      </x:c>
      <x:c r="G1210" s="86"/>
      <x:c r="H1210" s="14" t="str">
        <x:f>IF($P1210="","",INDEX(Tasks!$F$10:$F$1941,$P1210)&amp;CHAR(10)&amp;INDEX(Tasks!$G$10:$G$1941,$P1210))</x:f>
        <x:v>DI.BO.1.1
Receive and review potential research topics at least 2 weeks prior to Cycle start date</x:v>
      </x:c>
      <x:c r="I1210" s="14"/>
      <x:c r="J1210" s="14"/>
      <x:c r="K1210" s="14"/>
      <x:c r="L1210" s="86" t="str">
        <x:f>IF($P1210="","",INDEX(Tasks!$N$10:$N$1941,$P1210))</x:f>
        <x:v>Not started</x:v>
      </x:c>
      <x:c r="M1210" s="87" t="n">
        <x:f>IF($P1210="","",INDEX(Tasks!$J$10:$J$1941,$P1210))</x:f>
        <x:v>46099</x:v>
      </x:c>
      <x:c r="N1210" s="85" t="str">
        <x:f>IF($P1210="","",HYPERLINK("#'"&amp;INDEX(Tasks!$T$10:$T$1941,$P1210)&amp;"'!A"&amp;INDEX(Tasks!$U$10:$U$1941,$P1210),"Open"))</x:f>
        <x:v>Open</x:v>
      </x:c>
      <x:c r="O1210" s="14"/>
      <x:c r="P1210" s="14" t="n">
        <x:f>IF(1189&gt;$B$10,"",MATCH(1189,Tasks!$S$10:$S$1941,0))</x:f>
        <x:v>1553</x:v>
      </x:c>
    </x:row>
    <x:row r="1211" ht="58" customHeight="1">
      <x:c r="B1211" s="86" t="str">
        <x:f>IF($P1211="","",INDEX(Tasks!$B$10:$B$1941,$P1211))</x:f>
        <x:v>Cycle 2</x:v>
      </x:c>
      <x:c r="C1211" s="86" t="str">
        <x:f>IF($P1211="","",INDEX(Tasks!$C$10:$C$1941,$P1211))</x:f>
        <x:v>Phase 1</x:v>
      </x:c>
      <x:c r="D1211" s="86" t="str">
        <x:f>IF($P1211="","",INDEX(Tasks!$D$10:$D$1941,$P1211))</x:f>
        <x:v>CSBBO - Banking Ops</x:v>
      </x:c>
      <x:c r="E1211" s="86"/>
      <x:c r="F1211" s="86" t="str">
        <x:f>IF($P1211="","",INDEX(Tasks!$E$10:$E$1941,$P1211))</x:f>
        <x:v>Design &amp; Insights</x:v>
      </x:c>
      <x:c r="G1211" s="86"/>
      <x:c r="H1211" s="14" t="str">
        <x:f>IF($P1211="","",INDEX(Tasks!$F$10:$F$1941,$P1211)&amp;CHAR(10)&amp;INDEX(Tasks!$G$10:$G$1941,$P1211))</x:f>
        <x:v>DI.BO.1.2
Communicate any feedback on preferences or concerns with topics identified</x:v>
      </x:c>
      <x:c r="I1211" s="14"/>
      <x:c r="J1211" s="14"/>
      <x:c r="K1211" s="14"/>
      <x:c r="L1211" s="86" t="str">
        <x:f>IF($P1211="","",INDEX(Tasks!$N$10:$N$1941,$P1211))</x:f>
        <x:v>Not started</x:v>
      </x:c>
      <x:c r="M1211" s="87" t="n">
        <x:f>IF($P1211="","",INDEX(Tasks!$J$10:$J$1941,$P1211))</x:f>
        <x:v>46203</x:v>
      </x:c>
      <x:c r="N1211" s="85" t="str">
        <x:f>IF($P1211="","",HYPERLINK("#'"&amp;INDEX(Tasks!$T$10:$T$1941,$P1211)&amp;"'!A"&amp;INDEX(Tasks!$U$10:$U$1941,$P1211),"Open"))</x:f>
        <x:v>Open</x:v>
      </x:c>
      <x:c r="O1211" s="14"/>
      <x:c r="P1211" s="14" t="n">
        <x:f>IF(1190&gt;$B$10,"",MATCH(1190,Tasks!$S$10:$S$1941,0))</x:f>
        <x:v>1554</x:v>
      </x:c>
    </x:row>
    <x:row r="1212" ht="58" customHeight="1">
      <x:c r="B1212" s="86" t="str">
        <x:f>IF($P1212="","",INDEX(Tasks!$B$10:$B$1941,$P1212))</x:f>
        <x:v>Cycle 2</x:v>
      </x:c>
      <x:c r="C1212" s="86" t="str">
        <x:f>IF($P1212="","",INDEX(Tasks!$C$10:$C$1941,$P1212))</x:f>
        <x:v>Phase 1</x:v>
      </x:c>
      <x:c r="D1212" s="86" t="str">
        <x:f>IF($P1212="","",INDEX(Tasks!$D$10:$D$1941,$P1212))</x:f>
        <x:v>CSBBO - Banking Ops</x:v>
      </x:c>
      <x:c r="E1212" s="86"/>
      <x:c r="F1212" s="86" t="str">
        <x:f>IF($P1212="","",INDEX(Tasks!$E$10:$E$1941,$P1212))</x:f>
        <x:v>Design &amp; Insights</x:v>
      </x:c>
      <x:c r="G1212" s="86"/>
      <x:c r="H1212" s="14" t="str">
        <x:f>IF($P1212="","",INDEX(Tasks!$F$10:$F$1941,$P1212)&amp;CHAR(10)&amp;INDEX(Tasks!$G$10:$G$1941,$P1212))</x:f>
        <x:v>DI.BO.1.3
Conduct high-level preliminary review of complaints within proposed topics</x:v>
      </x:c>
      <x:c r="I1212" s="14"/>
      <x:c r="J1212" s="14"/>
      <x:c r="K1212" s="14"/>
      <x:c r="L1212" s="86" t="str">
        <x:f>IF($P1212="","",INDEX(Tasks!$N$10:$N$1941,$P1212))</x:f>
        <x:v>Not started</x:v>
      </x:c>
      <x:c r="M1212" s="87" t="n">
        <x:f>IF($P1212="","",INDEX(Tasks!$J$10:$J$1941,$P1212))</x:f>
        <x:v>46203</x:v>
      </x:c>
      <x:c r="N1212" s="85" t="str">
        <x:f>IF($P1212="","",HYPERLINK("#'"&amp;INDEX(Tasks!$T$10:$T$1941,$P1212)&amp;"'!A"&amp;INDEX(Tasks!$U$10:$U$1941,$P1212),"Open"))</x:f>
        <x:v>Open</x:v>
      </x:c>
      <x:c r="O1212" s="14"/>
      <x:c r="P1212" s="14" t="n">
        <x:f>IF(1191&gt;$B$10,"",MATCH(1191,Tasks!$S$10:$S$1941,0))</x:f>
        <x:v>1555</x:v>
      </x:c>
    </x:row>
    <x:row r="1213" ht="58" customHeight="1">
      <x:c r="B1213" s="86" t="str">
        <x:f>IF($P1213="","",INDEX(Tasks!$B$10:$B$1941,$P1213))</x:f>
        <x:v>Cycle 2</x:v>
      </x:c>
      <x:c r="C1213" s="86" t="str">
        <x:f>IF($P1213="","",INDEX(Tasks!$C$10:$C$1941,$P1213))</x:f>
        <x:v>Phase 1</x:v>
      </x:c>
      <x:c r="D1213" s="86" t="str">
        <x:f>IF($P1213="","",INDEX(Tasks!$D$10:$D$1941,$P1213))</x:f>
        <x:v>CSBBO - Banking Ops</x:v>
      </x:c>
      <x:c r="E1213" s="86"/>
      <x:c r="F1213" s="86" t="str">
        <x:f>IF($P1213="","",INDEX(Tasks!$E$10:$E$1941,$P1213))</x:f>
        <x:v>Design &amp; Insights</x:v>
      </x:c>
      <x:c r="G1213" s="86"/>
      <x:c r="H1213" s="14" t="str">
        <x:f>IF($P1213="","",INDEX(Tasks!$F$10:$F$1941,$P1213)&amp;CHAR(10)&amp;INDEX(Tasks!$G$10:$G$1941,$P1213))</x:f>
        <x:v>DI.BO.1.4
Meet with Research to discuss which topic to select based on potential impact</x:v>
      </x:c>
      <x:c r="I1213" s="14"/>
      <x:c r="J1213" s="14"/>
      <x:c r="K1213" s="14"/>
      <x:c r="L1213" s="86" t="str">
        <x:f>IF($P1213="","",INDEX(Tasks!$N$10:$N$1941,$P1213))</x:f>
        <x:v>Not started</x:v>
      </x:c>
      <x:c r="M1213" s="87" t="n">
        <x:f>IF($P1213="","",INDEX(Tasks!$J$10:$J$1941,$P1213))</x:f>
        <x:v>46203</x:v>
      </x:c>
      <x:c r="N1213" s="85" t="str">
        <x:f>IF($P1213="","",HYPERLINK("#'"&amp;INDEX(Tasks!$T$10:$T$1941,$P1213)&amp;"'!A"&amp;INDEX(Tasks!$U$10:$U$1941,$P1213),"Open"))</x:f>
        <x:v>Open</x:v>
      </x:c>
      <x:c r="O1213" s="14"/>
      <x:c r="P1213" s="14" t="n">
        <x:f>IF(1192&gt;$B$10,"",MATCH(1192,Tasks!$S$10:$S$1941,0))</x:f>
        <x:v>1556</x:v>
      </x:c>
    </x:row>
    <x:row r="1214" ht="58" customHeight="1">
      <x:c r="B1214" s="86" t="str">
        <x:f>IF($P1214="","",INDEX(Tasks!$B$10:$B$1941,$P1214))</x:f>
        <x:v>Cycle 2</x:v>
      </x:c>
      <x:c r="C1214" s="86" t="str">
        <x:f>IF($P1214="","",INDEX(Tasks!$C$10:$C$1941,$P1214))</x:f>
        <x:v>Phase 1</x:v>
      </x:c>
      <x:c r="D1214" s="86" t="str">
        <x:f>IF($P1214="","",INDEX(Tasks!$D$10:$D$1941,$P1214))</x:f>
        <x:v>CSBBO - Banking Ops</x:v>
      </x:c>
      <x:c r="E1214" s="86"/>
      <x:c r="F1214" s="86" t="str">
        <x:f>IF($P1214="","",INDEX(Tasks!$E$10:$E$1941,$P1214))</x:f>
        <x:v>Design &amp; Insights</x:v>
      </x:c>
      <x:c r="G1214" s="86"/>
      <x:c r="H1214" s="14" t="str">
        <x:f>IF($P1214="","",INDEX(Tasks!$F$10:$F$1941,$P1214)&amp;CHAR(10)&amp;INDEX(Tasks!$G$10:$G$1941,$P1214))</x:f>
        <x:v>DI.BO.1.5
Confirm with Research the recommended topic for approval</x:v>
      </x:c>
      <x:c r="I1214" s="14"/>
      <x:c r="J1214" s="14"/>
      <x:c r="K1214" s="14"/>
      <x:c r="L1214" s="86" t="str">
        <x:f>IF($P1214="","",INDEX(Tasks!$N$10:$N$1941,$P1214))</x:f>
        <x:v>Not started</x:v>
      </x:c>
      <x:c r="M1214" s="87" t="n">
        <x:f>IF($P1214="","",INDEX(Tasks!$J$10:$J$1941,$P1214))</x:f>
        <x:v>46203</x:v>
      </x:c>
      <x:c r="N1214" s="85" t="str">
        <x:f>IF($P1214="","",HYPERLINK("#'"&amp;INDEX(Tasks!$T$10:$T$1941,$P1214)&amp;"'!A"&amp;INDEX(Tasks!$U$10:$U$1941,$P1214),"Open"))</x:f>
        <x:v>Open</x:v>
      </x:c>
      <x:c r="O1214" s="14"/>
      <x:c r="P1214" s="14" t="n">
        <x:f>IF(1193&gt;$B$10,"",MATCH(1193,Tasks!$S$10:$S$1941,0))</x:f>
        <x:v>1557</x:v>
      </x:c>
    </x:row>
    <x:row r="1215" ht="58" customHeight="1">
      <x:c r="B1215" s="86" t="str">
        <x:f>IF($P1215="","",INDEX(Tasks!$B$10:$B$1941,$P1215))</x:f>
        <x:v>Cycle 2</x:v>
      </x:c>
      <x:c r="C1215" s="86" t="str">
        <x:f>IF($P1215="","",INDEX(Tasks!$C$10:$C$1941,$P1215))</x:f>
        <x:v>Phase 1</x:v>
      </x:c>
      <x:c r="D1215" s="86" t="str">
        <x:f>IF($P1215="","",INDEX(Tasks!$D$10:$D$1941,$P1215))</x:f>
        <x:v>CSBBO - Banking Ops</x:v>
      </x:c>
      <x:c r="E1215" s="86"/>
      <x:c r="F1215" s="86" t="str">
        <x:f>IF($P1215="","",INDEX(Tasks!$E$10:$E$1941,$P1215))</x:f>
        <x:v>Design &amp; Insights</x:v>
      </x:c>
      <x:c r="G1215" s="86"/>
      <x:c r="H1215" s="14" t="str">
        <x:f>IF($P1215="","",INDEX(Tasks!$F$10:$F$1941,$P1215)&amp;CHAR(10)&amp;INDEX(Tasks!$G$10:$G$1941,$P1215))</x:f>
        <x:v>DI.BO.1.6
Send topic selection socialization email to all key stakeholders on the first day of the review Cycle</x:v>
      </x:c>
      <x:c r="I1215" s="14"/>
      <x:c r="J1215" s="14"/>
      <x:c r="K1215" s="14"/>
      <x:c r="L1215" s="86" t="str">
        <x:f>IF($P1215="","",INDEX(Tasks!$N$10:$N$1941,$P1215))</x:f>
        <x:v>Not started</x:v>
      </x:c>
      <x:c r="M1215" s="87" t="n">
        <x:f>IF($P1215="","",INDEX(Tasks!$J$10:$J$1941,$P1215))</x:f>
        <x:v>46113</x:v>
      </x:c>
      <x:c r="N1215" s="85" t="str">
        <x:f>IF($P1215="","",HYPERLINK("#'"&amp;INDEX(Tasks!$T$10:$T$1941,$P1215)&amp;"'!A"&amp;INDEX(Tasks!$U$10:$U$1941,$P1215),"Open"))</x:f>
        <x:v>Open</x:v>
      </x:c>
      <x:c r="O1215" s="14"/>
      <x:c r="P1215" s="14" t="n">
        <x:f>IF(1194&gt;$B$10,"",MATCH(1194,Tasks!$S$10:$S$1941,0))</x:f>
        <x:v>1558</x:v>
      </x:c>
    </x:row>
    <x:row r="1216" ht="58" customHeight="1">
      <x:c r="B1216" s="86" t="str">
        <x:f>IF($P1216="","",INDEX(Tasks!$B$10:$B$1941,$P1216))</x:f>
        <x:v>Cycle 2</x:v>
      </x:c>
      <x:c r="C1216" s="86" t="str">
        <x:f>IF($P1216="","",INDEX(Tasks!$C$10:$C$1941,$P1216))</x:f>
        <x:v>Phase 2</x:v>
      </x:c>
      <x:c r="D1216" s="86" t="str">
        <x:f>IF($P1216="","",INDEX(Tasks!$D$10:$D$1941,$P1216))</x:f>
        <x:v>CSBBO - Banking Ops</x:v>
      </x:c>
      <x:c r="E1216" s="86"/>
      <x:c r="F1216" s="86" t="str">
        <x:f>IF($P1216="","",INDEX(Tasks!$E$10:$E$1941,$P1216))</x:f>
        <x:v>Design &amp; Insights</x:v>
      </x:c>
      <x:c r="G1216" s="86"/>
      <x:c r="H1216" s="14" t="str">
        <x:f>IF($P1216="","",INDEX(Tasks!$F$10:$F$1941,$P1216)&amp;CHAR(10)&amp;INDEX(Tasks!$G$10:$G$1941,$P1216))</x:f>
        <x:v>DI.BO.2.1
Meet regularly with Research to stay informed on progress, findings, and potential enhancement</x:v>
      </x:c>
      <x:c r="I1216" s="14"/>
      <x:c r="J1216" s="14"/>
      <x:c r="K1216" s="14"/>
      <x:c r="L1216" s="86" t="str">
        <x:f>IF($P1216="","",INDEX(Tasks!$N$10:$N$1941,$P1216))</x:f>
        <x:v>Not started</x:v>
      </x:c>
      <x:c r="M1216" s="87" t="n">
        <x:f>IF($P1216="","",INDEX(Tasks!$J$10:$J$1941,$P1216))</x:f>
        <x:v>46203</x:v>
      </x:c>
      <x:c r="N1216" s="85" t="str">
        <x:f>IF($P1216="","",HYPERLINK("#'"&amp;INDEX(Tasks!$T$10:$T$1941,$P1216)&amp;"'!A"&amp;INDEX(Tasks!$U$10:$U$1941,$P1216),"Open"))</x:f>
        <x:v>Open</x:v>
      </x:c>
      <x:c r="O1216" s="14"/>
      <x:c r="P1216" s="14" t="n">
        <x:f>IF(1195&gt;$B$10,"",MATCH(1195,Tasks!$S$10:$S$1941,0))</x:f>
        <x:v>1559</x:v>
      </x:c>
    </x:row>
    <x:row r="1217" ht="58" customHeight="1">
      <x:c r="B1217" s="86" t="str">
        <x:f>IF($P1217="","",INDEX(Tasks!$B$10:$B$1941,$P1217))</x:f>
        <x:v>Cycle 2</x:v>
      </x:c>
      <x:c r="C1217" s="86" t="str">
        <x:f>IF($P1217="","",INDEX(Tasks!$C$10:$C$1941,$P1217))</x:f>
        <x:v>Phase 2</x:v>
      </x:c>
      <x:c r="D1217" s="86" t="str">
        <x:f>IF($P1217="","",INDEX(Tasks!$D$10:$D$1941,$P1217))</x:f>
        <x:v>CSBBO - Banking Ops</x:v>
      </x:c>
      <x:c r="E1217" s="86"/>
      <x:c r="F1217" s="86" t="str">
        <x:f>IF($P1217="","",INDEX(Tasks!$E$10:$E$1941,$P1217))</x:f>
        <x:v>Design &amp; Insights</x:v>
      </x:c>
      <x:c r="G1217" s="86"/>
      <x:c r="H1217" s="14" t="str">
        <x:f>IF($P1217="","",INDEX(Tasks!$F$10:$F$1941,$P1217)&amp;CHAR(10)&amp;INDEX(Tasks!$G$10:$G$1941,$P1217))</x:f>
        <x:v>DI.BO.2.2
Collaborate with Research on research plan specifics</x:v>
      </x:c>
      <x:c r="I1217" s="14"/>
      <x:c r="J1217" s="14"/>
      <x:c r="K1217" s="14"/>
      <x:c r="L1217" s="86" t="str">
        <x:f>IF($P1217="","",INDEX(Tasks!$N$10:$N$1941,$P1217))</x:f>
        <x:v>Not started</x:v>
      </x:c>
      <x:c r="M1217" s="87" t="n">
        <x:f>IF($P1217="","",INDEX(Tasks!$J$10:$J$1941,$P1217))</x:f>
        <x:v>46203</x:v>
      </x:c>
      <x:c r="N1217" s="85" t="str">
        <x:f>IF($P1217="","",HYPERLINK("#'"&amp;INDEX(Tasks!$T$10:$T$1941,$P1217)&amp;"'!A"&amp;INDEX(Tasks!$U$10:$U$1941,$P1217),"Open"))</x:f>
        <x:v>Open</x:v>
      </x:c>
      <x:c r="O1217" s="14"/>
      <x:c r="P1217" s="14" t="n">
        <x:f>IF(1196&gt;$B$10,"",MATCH(1196,Tasks!$S$10:$S$1941,0))</x:f>
        <x:v>1560</x:v>
      </x:c>
    </x:row>
    <x:row r="1218" ht="58" customHeight="1">
      <x:c r="B1218" s="86" t="str">
        <x:f>IF($P1218="","",INDEX(Tasks!$B$10:$B$1941,$P1218))</x:f>
        <x:v>Cycle 2</x:v>
      </x:c>
      <x:c r="C1218" s="86" t="str">
        <x:f>IF($P1218="","",INDEX(Tasks!$C$10:$C$1941,$P1218))</x:f>
        <x:v>Phase 2</x:v>
      </x:c>
      <x:c r="D1218" s="86" t="str">
        <x:f>IF($P1218="","",INDEX(Tasks!$D$10:$D$1941,$P1218))</x:f>
        <x:v>CSBBO - Banking Ops</x:v>
      </x:c>
      <x:c r="E1218" s="86"/>
      <x:c r="F1218" s="86" t="str">
        <x:f>IF($P1218="","",INDEX(Tasks!$E$10:$E$1941,$P1218))</x:f>
        <x:v>Design &amp; Insights</x:v>
      </x:c>
      <x:c r="G1218" s="86"/>
      <x:c r="H1218" s="14" t="str">
        <x:f>IF($P1218="","",INDEX(Tasks!$F$10:$F$1941,$P1218)&amp;CHAR(10)&amp;INDEX(Tasks!$G$10:$G$1941,$P1218))</x:f>
        <x:v>DI.BO.2.3
Participate in SME insight meetings to gain perspective and appetite on potential enhancements</x:v>
      </x:c>
      <x:c r="I1218" s="14"/>
      <x:c r="J1218" s="14"/>
      <x:c r="K1218" s="14"/>
      <x:c r="L1218" s="86" t="str">
        <x:f>IF($P1218="","",INDEX(Tasks!$N$10:$N$1941,$P1218))</x:f>
        <x:v>Not started</x:v>
      </x:c>
      <x:c r="M1218" s="87" t="n">
        <x:f>IF($P1218="","",INDEX(Tasks!$J$10:$J$1941,$P1218))</x:f>
        <x:v>46203</x:v>
      </x:c>
      <x:c r="N1218" s="85" t="str">
        <x:f>IF($P1218="","",HYPERLINK("#'"&amp;INDEX(Tasks!$T$10:$T$1941,$P1218)&amp;"'!A"&amp;INDEX(Tasks!$U$10:$U$1941,$P1218),"Open"))</x:f>
        <x:v>Open</x:v>
      </x:c>
      <x:c r="O1218" s="14"/>
      <x:c r="P1218" s="14" t="n">
        <x:f>IF(1197&gt;$B$10,"",MATCH(1197,Tasks!$S$10:$S$1941,0))</x:f>
        <x:v>1561</x:v>
      </x:c>
    </x:row>
    <x:row r="1219" ht="58" customHeight="1">
      <x:c r="B1219" s="86" t="str">
        <x:f>IF($P1219="","",INDEX(Tasks!$B$10:$B$1941,$P1219))</x:f>
        <x:v>Cycle 2</x:v>
      </x:c>
      <x:c r="C1219" s="86" t="str">
        <x:f>IF($P1219="","",INDEX(Tasks!$C$10:$C$1941,$P1219))</x:f>
        <x:v>Phase 2</x:v>
      </x:c>
      <x:c r="D1219" s="86" t="str">
        <x:f>IF($P1219="","",INDEX(Tasks!$D$10:$D$1941,$P1219))</x:f>
        <x:v>CSBBO - Banking Ops</x:v>
      </x:c>
      <x:c r="E1219" s="86"/>
      <x:c r="F1219" s="86" t="str">
        <x:f>IF($P1219="","",INDEX(Tasks!$E$10:$E$1941,$P1219))</x:f>
        <x:v>Design &amp; Insights</x:v>
      </x:c>
      <x:c r="G1219" s="86"/>
      <x:c r="H1219" s="14" t="str">
        <x:f>IF($P1219="","",INDEX(Tasks!$F$10:$F$1941,$P1219)&amp;CHAR(10)&amp;INDEX(Tasks!$G$10:$G$1941,$P1219))</x:f>
        <x:v>DI.BO.2.4
Begin development of presentation materials as Research is being completed</x:v>
      </x:c>
      <x:c r="I1219" s="14"/>
      <x:c r="J1219" s="14"/>
      <x:c r="K1219" s="14"/>
      <x:c r="L1219" s="86" t="str">
        <x:f>IF($P1219="","",INDEX(Tasks!$N$10:$N$1941,$P1219))</x:f>
        <x:v>Not started</x:v>
      </x:c>
      <x:c r="M1219" s="87" t="n">
        <x:f>IF($P1219="","",INDEX(Tasks!$J$10:$J$1941,$P1219))</x:f>
        <x:v>46203</x:v>
      </x:c>
      <x:c r="N1219" s="85" t="str">
        <x:f>IF($P1219="","",HYPERLINK("#'"&amp;INDEX(Tasks!$T$10:$T$1941,$P1219)&amp;"'!A"&amp;INDEX(Tasks!$U$10:$U$1941,$P1219),"Open"))</x:f>
        <x:v>Open</x:v>
      </x:c>
      <x:c r="O1219" s="14"/>
      <x:c r="P1219" s="14" t="n">
        <x:f>IF(1198&gt;$B$10,"",MATCH(1198,Tasks!$S$10:$S$1941,0))</x:f>
        <x:v>1562</x:v>
      </x:c>
    </x:row>
    <x:row r="1220" ht="58" customHeight="1">
      <x:c r="B1220" s="86" t="str">
        <x:f>IF($P1220="","",INDEX(Tasks!$B$10:$B$1941,$P1220))</x:f>
        <x:v>Cycle 2</x:v>
      </x:c>
      <x:c r="C1220" s="86" t="str">
        <x:f>IF($P1220="","",INDEX(Tasks!$C$10:$C$1941,$P1220))</x:f>
        <x:v>Phase 2</x:v>
      </x:c>
      <x:c r="D1220" s="86" t="str">
        <x:f>IF($P1220="","",INDEX(Tasks!$D$10:$D$1941,$P1220))</x:f>
        <x:v>CSBBO - Banking Ops</x:v>
      </x:c>
      <x:c r="E1220" s="86"/>
      <x:c r="F1220" s="86" t="str">
        <x:f>IF($P1220="","",INDEX(Tasks!$E$10:$E$1941,$P1220))</x:f>
        <x:v>Design &amp; Insights</x:v>
      </x:c>
      <x:c r="G1220" s="86"/>
      <x:c r="H1220" s="14" t="str">
        <x:f>IF($P1220="","",INDEX(Tasks!$F$10:$F$1941,$P1220)&amp;CHAR(10)&amp;INDEX(Tasks!$G$10:$G$1941,$P1220))</x:f>
        <x:v>DI.BO.2.5
Draft initial enhancement recommendations (as applicable)</x:v>
      </x:c>
      <x:c r="I1220" s="14"/>
      <x:c r="J1220" s="14"/>
      <x:c r="K1220" s="14"/>
      <x:c r="L1220" s="86" t="str">
        <x:f>IF($P1220="","",INDEX(Tasks!$N$10:$N$1941,$P1220))</x:f>
        <x:v>Not started</x:v>
      </x:c>
      <x:c r="M1220" s="87" t="n">
        <x:f>IF($P1220="","",INDEX(Tasks!$J$10:$J$1941,$P1220))</x:f>
        <x:v>46203</x:v>
      </x:c>
      <x:c r="N1220" s="85" t="str">
        <x:f>IF($P1220="","",HYPERLINK("#'"&amp;INDEX(Tasks!$T$10:$T$1941,$P1220)&amp;"'!A"&amp;INDEX(Tasks!$U$10:$U$1941,$P1220),"Open"))</x:f>
        <x:v>Open</x:v>
      </x:c>
      <x:c r="O1220" s="14"/>
      <x:c r="P1220" s="14" t="n">
        <x:f>IF(1199&gt;$B$10,"",MATCH(1199,Tasks!$S$10:$S$1941,0))</x:f>
        <x:v>1563</x:v>
      </x:c>
    </x:row>
    <x:row r="1221" ht="58" customHeight="1">
      <x:c r="B1221" s="86" t="str">
        <x:f>IF($P1221="","",INDEX(Tasks!$B$10:$B$1941,$P1221))</x:f>
        <x:v>Cycle 2</x:v>
      </x:c>
      <x:c r="C1221" s="86" t="str">
        <x:f>IF($P1221="","",INDEX(Tasks!$C$10:$C$1941,$P1221))</x:f>
        <x:v>Phase 2</x:v>
      </x:c>
      <x:c r="D1221" s="86" t="str">
        <x:f>IF($P1221="","",INDEX(Tasks!$D$10:$D$1941,$P1221))</x:f>
        <x:v>CSBBO - Banking Ops</x:v>
      </x:c>
      <x:c r="E1221" s="86"/>
      <x:c r="F1221" s="86" t="str">
        <x:f>IF($P1221="","",INDEX(Tasks!$E$10:$E$1941,$P1221))</x:f>
        <x:v>Design &amp; Insights</x:v>
      </x:c>
      <x:c r="G1221" s="86"/>
      <x:c r="H1221" s="14" t="str">
        <x:f>IF($P1221="","",INDEX(Tasks!$F$10:$F$1941,$P1221)&amp;CHAR(10)&amp;INDEX(Tasks!$G$10:$G$1941,$P1221))</x:f>
        <x:v>DI.BO.2.6
Finalize presentation deck draft at conclusion of Research phase</x:v>
      </x:c>
      <x:c r="I1221" s="14"/>
      <x:c r="J1221" s="14"/>
      <x:c r="K1221" s="14"/>
      <x:c r="L1221" s="86" t="str">
        <x:f>IF($P1221="","",INDEX(Tasks!$N$10:$N$1941,$P1221))</x:f>
        <x:v>Not started</x:v>
      </x:c>
      <x:c r="M1221" s="87" t="n">
        <x:f>IF($P1221="","",INDEX(Tasks!$J$10:$J$1941,$P1221))</x:f>
        <x:v>46203</x:v>
      </x:c>
      <x:c r="N1221" s="85" t="str">
        <x:f>IF($P1221="","",HYPERLINK("#'"&amp;INDEX(Tasks!$T$10:$T$1941,$P1221)&amp;"'!A"&amp;INDEX(Tasks!$U$10:$U$1941,$P1221),"Open"))</x:f>
        <x:v>Open</x:v>
      </x:c>
      <x:c r="O1221" s="14"/>
      <x:c r="P1221" s="14" t="n">
        <x:f>IF(1200&gt;$B$10,"",MATCH(1200,Tasks!$S$10:$S$1941,0))</x:f>
        <x:v>1564</x:v>
      </x:c>
    </x:row>
    <x:row r="1222" ht="58" customHeight="1">
      <x:c r="B1222" s="86" t="str">
        <x:f>IF($P1222="","",INDEX(Tasks!$B$10:$B$1941,$P1222))</x:f>
        <x:v>Cycle 2</x:v>
      </x:c>
      <x:c r="C1222" s="86" t="str">
        <x:f>IF($P1222="","",INDEX(Tasks!$C$10:$C$1941,$P1222))</x:f>
        <x:v>Phase 2</x:v>
      </x:c>
      <x:c r="D1222" s="86" t="str">
        <x:f>IF($P1222="","",INDEX(Tasks!$D$10:$D$1941,$P1222))</x:f>
        <x:v>CSBBO - Banking Ops</x:v>
      </x:c>
      <x:c r="E1222" s="86"/>
      <x:c r="F1222" s="86" t="str">
        <x:f>IF($P1222="","",INDEX(Tasks!$E$10:$E$1941,$P1222))</x:f>
        <x:v>Design &amp; Insights</x:v>
      </x:c>
      <x:c r="G1222" s="86"/>
      <x:c r="H1222" s="14" t="str">
        <x:f>IF($P1222="","",INDEX(Tasks!$F$10:$F$1941,$P1222)&amp;CHAR(10)&amp;INDEX(Tasks!$G$10:$G$1941,$P1222))</x:f>
        <x:v>DI.BO.2.7
Update Outcome portion of research plan with current enhancement verbiage (as needed)</x:v>
      </x:c>
      <x:c r="I1222" s="14"/>
      <x:c r="J1222" s="14"/>
      <x:c r="K1222" s="14"/>
      <x:c r="L1222" s="86" t="str">
        <x:f>IF($P1222="","",INDEX(Tasks!$N$10:$N$1941,$P1222))</x:f>
        <x:v>Not started</x:v>
      </x:c>
      <x:c r="M1222" s="87" t="n">
        <x:f>IF($P1222="","",INDEX(Tasks!$J$10:$J$1941,$P1222))</x:f>
        <x:v>46203</x:v>
      </x:c>
      <x:c r="N1222" s="85" t="str">
        <x:f>IF($P1222="","",HYPERLINK("#'"&amp;INDEX(Tasks!$T$10:$T$1941,$P1222)&amp;"'!A"&amp;INDEX(Tasks!$U$10:$U$1941,$P1222),"Open"))</x:f>
        <x:v>Open</x:v>
      </x:c>
      <x:c r="O1222" s="14"/>
      <x:c r="P1222" s="14" t="n">
        <x:f>IF(1201&gt;$B$10,"",MATCH(1201,Tasks!$S$10:$S$1941,0))</x:f>
        <x:v>1565</x:v>
      </x:c>
    </x:row>
    <x:row r="1223" ht="58" customHeight="1">
      <x:c r="B1223" s="86" t="str">
        <x:f>IF($P1223="","",INDEX(Tasks!$B$10:$B$1941,$P1223))</x:f>
        <x:v>Cycle 2</x:v>
      </x:c>
      <x:c r="C1223" s="86" t="str">
        <x:f>IF($P1223="","",INDEX(Tasks!$C$10:$C$1941,$P1223))</x:f>
        <x:v>Phase 3</x:v>
      </x:c>
      <x:c r="D1223" s="86" t="str">
        <x:f>IF($P1223="","",INDEX(Tasks!$D$10:$D$1941,$P1223))</x:f>
        <x:v>CSBBO - Banking Ops</x:v>
      </x:c>
      <x:c r="E1223" s="86"/>
      <x:c r="F1223" s="86" t="str">
        <x:f>IF($P1223="","",INDEX(Tasks!$E$10:$E$1941,$P1223))</x:f>
        <x:v>Design &amp; Insights</x:v>
      </x:c>
      <x:c r="G1223" s="86"/>
      <x:c r="H1223" s="14" t="str">
        <x:f>IF($P1223="","",INDEX(Tasks!$F$10:$F$1941,$P1223)&amp;CHAR(10)&amp;INDEX(Tasks!$G$10:$G$1941,$P1223))</x:f>
        <x:v>DI.BO.3.1
Confirm list of required &amp; optional attendees for pre-socialization meeting</x:v>
      </x:c>
      <x:c r="I1223" s="14"/>
      <x:c r="J1223" s="14"/>
      <x:c r="K1223" s="14"/>
      <x:c r="L1223" s="86" t="str">
        <x:f>IF($P1223="","",INDEX(Tasks!$N$10:$N$1941,$P1223))</x:f>
        <x:v>Not started</x:v>
      </x:c>
      <x:c r="M1223" s="87" t="n">
        <x:f>IF($P1223="","",INDEX(Tasks!$J$10:$J$1941,$P1223))</x:f>
        <x:v>46203</x:v>
      </x:c>
      <x:c r="N1223" s="85" t="str">
        <x:f>IF($P1223="","",HYPERLINK("#'"&amp;INDEX(Tasks!$T$10:$T$1941,$P1223)&amp;"'!A"&amp;INDEX(Tasks!$U$10:$U$1941,$P1223),"Open"))</x:f>
        <x:v>Open</x:v>
      </x:c>
      <x:c r="O1223" s="14"/>
      <x:c r="P1223" s="14" t="n">
        <x:f>IF(1202&gt;$B$10,"",MATCH(1202,Tasks!$S$10:$S$1941,0))</x:f>
        <x:v>1566</x:v>
      </x:c>
    </x:row>
    <x:row r="1224" ht="58" customHeight="1">
      <x:c r="B1224" s="86" t="str">
        <x:f>IF($P1224="","",INDEX(Tasks!$B$10:$B$1941,$P1224))</x:f>
        <x:v>Cycle 2</x:v>
      </x:c>
      <x:c r="C1224" s="86" t="str">
        <x:f>IF($P1224="","",INDEX(Tasks!$C$10:$C$1941,$P1224))</x:f>
        <x:v>Phase 3</x:v>
      </x:c>
      <x:c r="D1224" s="86" t="str">
        <x:f>IF($P1224="","",INDEX(Tasks!$D$10:$D$1941,$P1224))</x:f>
        <x:v>CSBBO - Banking Ops</x:v>
      </x:c>
      <x:c r="E1224" s="86"/>
      <x:c r="F1224" s="86" t="str">
        <x:f>IF($P1224="","",INDEX(Tasks!$E$10:$E$1941,$P1224))</x:f>
        <x:v>Design &amp; Insights</x:v>
      </x:c>
      <x:c r="G1224" s="86"/>
      <x:c r="H1224" s="14" t="str">
        <x:f>IF($P1224="","",INDEX(Tasks!$F$10:$F$1941,$P1224)&amp;CHAR(10)&amp;INDEX(Tasks!$G$10:$G$1941,$P1224))</x:f>
        <x:v>DI.BO.3.2
Schedule pre-socialization meeting 1 week prior to RCA Forum</x:v>
      </x:c>
      <x:c r="I1224" s="14"/>
      <x:c r="J1224" s="14"/>
      <x:c r="K1224" s="14"/>
      <x:c r="L1224" s="86" t="str">
        <x:f>IF($P1224="","",INDEX(Tasks!$N$10:$N$1941,$P1224))</x:f>
        <x:v>Not started</x:v>
      </x:c>
      <x:c r="M1224" s="87" t="str">
        <x:f>IF($P1224="","",INDEX(Tasks!$J$10:$J$1941,$P1224))</x:f>
      </x:c>
      <x:c r="N1224" s="85" t="str">
        <x:f>IF($P1224="","",HYPERLINK("#'"&amp;INDEX(Tasks!$T$10:$T$1941,$P1224)&amp;"'!A"&amp;INDEX(Tasks!$U$10:$U$1941,$P1224),"Open"))</x:f>
        <x:v>Open</x:v>
      </x:c>
      <x:c r="O1224" s="14"/>
      <x:c r="P1224" s="14" t="n">
        <x:f>IF(1203&gt;$B$10,"",MATCH(1203,Tasks!$S$10:$S$1941,0))</x:f>
        <x:v>1567</x:v>
      </x:c>
    </x:row>
    <x:row r="1225" ht="58" customHeight="1">
      <x:c r="B1225" s="86" t="str">
        <x:f>IF($P1225="","",INDEX(Tasks!$B$10:$B$1941,$P1225))</x:f>
        <x:v>Cycle 2</x:v>
      </x:c>
      <x:c r="C1225" s="86" t="str">
        <x:f>IF($P1225="","",INDEX(Tasks!$C$10:$C$1941,$P1225))</x:f>
        <x:v>Phase 3</x:v>
      </x:c>
      <x:c r="D1225" s="86" t="str">
        <x:f>IF($P1225="","",INDEX(Tasks!$D$10:$D$1941,$P1225))</x:f>
        <x:v>CSBBO - Banking Ops</x:v>
      </x:c>
      <x:c r="E1225" s="86"/>
      <x:c r="F1225" s="86" t="str">
        <x:f>IF($P1225="","",INDEX(Tasks!$E$10:$E$1941,$P1225))</x:f>
        <x:v>Design &amp; Insights</x:v>
      </x:c>
      <x:c r="G1225" s="86"/>
      <x:c r="H1225" s="14" t="str">
        <x:f>IF($P1225="","",INDEX(Tasks!$F$10:$F$1941,$P1225)&amp;CHAR(10)&amp;INDEX(Tasks!$G$10:$G$1941,$P1225))</x:f>
        <x:v>DI.BO.3.3
Present findings, conclusions, and recommendation to SMEs</x:v>
      </x:c>
      <x:c r="I1225" s="14"/>
      <x:c r="J1225" s="14"/>
      <x:c r="K1225" s="14"/>
      <x:c r="L1225" s="86" t="str">
        <x:f>IF($P1225="","",INDEX(Tasks!$N$10:$N$1941,$P1225))</x:f>
        <x:v>Not started</x:v>
      </x:c>
      <x:c r="M1225" s="87" t="n">
        <x:f>IF($P1225="","",INDEX(Tasks!$J$10:$J$1941,$P1225))</x:f>
        <x:v>46203</x:v>
      </x:c>
      <x:c r="N1225" s="85" t="str">
        <x:f>IF($P1225="","",HYPERLINK("#'"&amp;INDEX(Tasks!$T$10:$T$1941,$P1225)&amp;"'!A"&amp;INDEX(Tasks!$U$10:$U$1941,$P1225),"Open"))</x:f>
        <x:v>Open</x:v>
      </x:c>
      <x:c r="O1225" s="14"/>
      <x:c r="P1225" s="14" t="n">
        <x:f>IF(1204&gt;$B$10,"",MATCH(1204,Tasks!$S$10:$S$1941,0))</x:f>
        <x:v>1568</x:v>
      </x:c>
    </x:row>
    <x:row r="1226" ht="58" customHeight="1">
      <x:c r="B1226" s="86" t="str">
        <x:f>IF($P1226="","",INDEX(Tasks!$B$10:$B$1941,$P1226))</x:f>
        <x:v>Cycle 2</x:v>
      </x:c>
      <x:c r="C1226" s="86" t="str">
        <x:f>IF($P1226="","",INDEX(Tasks!$C$10:$C$1941,$P1226))</x:f>
        <x:v>Phase 3</x:v>
      </x:c>
      <x:c r="D1226" s="86" t="str">
        <x:f>IF($P1226="","",INDEX(Tasks!$D$10:$D$1941,$P1226))</x:f>
        <x:v>CSBBO - Banking Ops</x:v>
      </x:c>
      <x:c r="E1226" s="86"/>
      <x:c r="F1226" s="86" t="str">
        <x:f>IF($P1226="","",INDEX(Tasks!$E$10:$E$1941,$P1226))</x:f>
        <x:v>Design &amp; Insights</x:v>
      </x:c>
      <x:c r="G1226" s="86"/>
      <x:c r="H1226" s="14" t="str">
        <x:f>IF($P1226="","",INDEX(Tasks!$F$10:$F$1941,$P1226)&amp;CHAR(10)&amp;INDEX(Tasks!$G$10:$G$1941,$P1226))</x:f>
        <x:v>DI.BO.3.4
Update Outcome portion of research plan (as needed)</x:v>
      </x:c>
      <x:c r="I1226" s="14"/>
      <x:c r="J1226" s="14"/>
      <x:c r="K1226" s="14"/>
      <x:c r="L1226" s="86" t="str">
        <x:f>IF($P1226="","",INDEX(Tasks!$N$10:$N$1941,$P1226))</x:f>
        <x:v>Not started</x:v>
      </x:c>
      <x:c r="M1226" s="87" t="n">
        <x:f>IF($P1226="","",INDEX(Tasks!$J$10:$J$1941,$P1226))</x:f>
        <x:v>46203</x:v>
      </x:c>
      <x:c r="N1226" s="85" t="str">
        <x:f>IF($P1226="","",HYPERLINK("#'"&amp;INDEX(Tasks!$T$10:$T$1941,$P1226)&amp;"'!A"&amp;INDEX(Tasks!$U$10:$U$1941,$P1226),"Open"))</x:f>
        <x:v>Open</x:v>
      </x:c>
      <x:c r="O1226" s="14"/>
      <x:c r="P1226" s="14" t="n">
        <x:f>IF(1205&gt;$B$10,"",MATCH(1205,Tasks!$S$10:$S$1941,0))</x:f>
        <x:v>1569</x:v>
      </x:c>
    </x:row>
    <x:row r="1227" ht="58" customHeight="1">
      <x:c r="B1227" s="86" t="str">
        <x:f>IF($P1227="","",INDEX(Tasks!$B$10:$B$1941,$P1227))</x:f>
        <x:v>Cycle 2</x:v>
      </x:c>
      <x:c r="C1227" s="86" t="str">
        <x:f>IF($P1227="","",INDEX(Tasks!$C$10:$C$1941,$P1227))</x:f>
        <x:v>Phase 3</x:v>
      </x:c>
      <x:c r="D1227" s="86" t="str">
        <x:f>IF($P1227="","",INDEX(Tasks!$D$10:$D$1941,$P1227))</x:f>
        <x:v>CSBBO - Banking Ops</x:v>
      </x:c>
      <x:c r="E1227" s="86"/>
      <x:c r="F1227" s="86" t="str">
        <x:f>IF($P1227="","",INDEX(Tasks!$E$10:$E$1941,$P1227))</x:f>
        <x:v>Design &amp; Insights</x:v>
      </x:c>
      <x:c r="G1227" s="86"/>
      <x:c r="H1227" s="14" t="str">
        <x:f>IF($P1227="","",INDEX(Tasks!$F$10:$F$1941,$P1227)&amp;CHAR(10)&amp;INDEX(Tasks!$G$10:$G$1941,$P1227))</x:f>
        <x:v>DI.BO.3.5
Finalize presentation deck by incorporating pre-socialization feedback (as needed)</x:v>
      </x:c>
      <x:c r="I1227" s="14"/>
      <x:c r="J1227" s="14"/>
      <x:c r="K1227" s="14"/>
      <x:c r="L1227" s="86" t="str">
        <x:f>IF($P1227="","",INDEX(Tasks!$N$10:$N$1941,$P1227))</x:f>
        <x:v>Not started</x:v>
      </x:c>
      <x:c r="M1227" s="87" t="n">
        <x:f>IF($P1227="","",INDEX(Tasks!$J$10:$J$1941,$P1227))</x:f>
        <x:v>46203</x:v>
      </x:c>
      <x:c r="N1227" s="85" t="str">
        <x:f>IF($P1227="","",HYPERLINK("#'"&amp;INDEX(Tasks!$T$10:$T$1941,$P1227)&amp;"'!A"&amp;INDEX(Tasks!$U$10:$U$1941,$P1227),"Open"))</x:f>
        <x:v>Open</x:v>
      </x:c>
      <x:c r="O1227" s="14"/>
      <x:c r="P1227" s="14" t="n">
        <x:f>IF(1206&gt;$B$10,"",MATCH(1206,Tasks!$S$10:$S$1941,0))</x:f>
        <x:v>1570</x:v>
      </x:c>
    </x:row>
    <x:row r="1228" ht="58" customHeight="1">
      <x:c r="B1228" s="86" t="str">
        <x:f>IF($P1228="","",INDEX(Tasks!$B$10:$B$1941,$P1228))</x:f>
        <x:v>Cycle 2</x:v>
      </x:c>
      <x:c r="C1228" s="86" t="str">
        <x:f>IF($P1228="","",INDEX(Tasks!$C$10:$C$1941,$P1228))</x:f>
        <x:v>Phase 3</x:v>
      </x:c>
      <x:c r="D1228" s="86" t="str">
        <x:f>IF($P1228="","",INDEX(Tasks!$D$10:$D$1941,$P1228))</x:f>
        <x:v>CSBBO - Banking Ops</x:v>
      </x:c>
      <x:c r="E1228" s="86"/>
      <x:c r="F1228" s="86" t="str">
        <x:f>IF($P1228="","",INDEX(Tasks!$E$10:$E$1941,$P1228))</x:f>
        <x:v>Design &amp; Insights</x:v>
      </x:c>
      <x:c r="G1228" s="86"/>
      <x:c r="H1228" s="14" t="str">
        <x:f>IF($P1228="","",INDEX(Tasks!$F$10:$F$1941,$P1228)&amp;CHAR(10)&amp;INDEX(Tasks!$G$10:$G$1941,$P1228))</x:f>
        <x:v>DI.BO.3.6
Ensure final deck is communicated to Forum attendees</x:v>
      </x:c>
      <x:c r="I1228" s="14"/>
      <x:c r="J1228" s="14"/>
      <x:c r="K1228" s="14"/>
      <x:c r="L1228" s="86" t="str">
        <x:f>IF($P1228="","",INDEX(Tasks!$N$10:$N$1941,$P1228))</x:f>
        <x:v>Not started</x:v>
      </x:c>
      <x:c r="M1228" s="87" t="n">
        <x:f>IF($P1228="","",INDEX(Tasks!$J$10:$J$1941,$P1228))</x:f>
        <x:v>46203</x:v>
      </x:c>
      <x:c r="N1228" s="85" t="str">
        <x:f>IF($P1228="","",HYPERLINK("#'"&amp;INDEX(Tasks!$T$10:$T$1941,$P1228)&amp;"'!A"&amp;INDEX(Tasks!$U$10:$U$1941,$P1228),"Open"))</x:f>
        <x:v>Open</x:v>
      </x:c>
      <x:c r="O1228" s="14"/>
      <x:c r="P1228" s="14" t="n">
        <x:f>IF(1207&gt;$B$10,"",MATCH(1207,Tasks!$S$10:$S$1941,0))</x:f>
        <x:v>1571</x:v>
      </x:c>
    </x:row>
    <x:row r="1229" ht="58" customHeight="1">
      <x:c r="B1229" s="86" t="str">
        <x:f>IF($P1229="","",INDEX(Tasks!$B$10:$B$1941,$P1229))</x:f>
        <x:v>Cycle 2</x:v>
      </x:c>
      <x:c r="C1229" s="86" t="str">
        <x:f>IF($P1229="","",INDEX(Tasks!$C$10:$C$1941,$P1229))</x:f>
        <x:v>Phase 3</x:v>
      </x:c>
      <x:c r="D1229" s="86" t="str">
        <x:f>IF($P1229="","",INDEX(Tasks!$D$10:$D$1941,$P1229))</x:f>
        <x:v>CSBBO - Banking Ops</x:v>
      </x:c>
      <x:c r="E1229" s="86"/>
      <x:c r="F1229" s="86" t="str">
        <x:f>IF($P1229="","",INDEX(Tasks!$E$10:$E$1941,$P1229))</x:f>
        <x:v>Design &amp; Insights</x:v>
      </x:c>
      <x:c r="G1229" s="86"/>
      <x:c r="H1229" s="14" t="str">
        <x:f>IF($P1229="","",INDEX(Tasks!$F$10:$F$1941,$P1229)&amp;CHAR(10)&amp;INDEX(Tasks!$G$10:$G$1941,$P1229))</x:f>
        <x:v>DI.BO.3.7
Present material in RCA Cycle Forum</x:v>
      </x:c>
      <x:c r="I1229" s="14"/>
      <x:c r="J1229" s="14"/>
      <x:c r="K1229" s="14"/>
      <x:c r="L1229" s="86" t="str">
        <x:f>IF($P1229="","",INDEX(Tasks!$N$10:$N$1941,$P1229))</x:f>
        <x:v>Not started</x:v>
      </x:c>
      <x:c r="M1229" s="87" t="str">
        <x:f>IF($P1229="","",INDEX(Tasks!$J$10:$J$1941,$P1229))</x:f>
      </x:c>
      <x:c r="N1229" s="85" t="str">
        <x:f>IF($P1229="","",HYPERLINK("#'"&amp;INDEX(Tasks!$T$10:$T$1941,$P1229)&amp;"'!A"&amp;INDEX(Tasks!$U$10:$U$1941,$P1229),"Open"))</x:f>
        <x:v>Open</x:v>
      </x:c>
      <x:c r="O1229" s="14"/>
      <x:c r="P1229" s="14" t="n">
        <x:f>IF(1208&gt;$B$10,"",MATCH(1208,Tasks!$S$10:$S$1941,0))</x:f>
        <x:v>1572</x:v>
      </x:c>
    </x:row>
    <x:row r="1230" ht="58" customHeight="1">
      <x:c r="B1230" s="86" t="str">
        <x:f>IF($P1230="","",INDEX(Tasks!$B$10:$B$1941,$P1230))</x:f>
        <x:v>Cycle 2</x:v>
      </x:c>
      <x:c r="C1230" s="86" t="str">
        <x:f>IF($P1230="","",INDEX(Tasks!$C$10:$C$1941,$P1230))</x:f>
        <x:v>Phase 1</x:v>
      </x:c>
      <x:c r="D1230" s="86" t="str">
        <x:f>IF($P1230="","",INDEX(Tasks!$D$10:$D$1941,$P1230))</x:f>
        <x:v>CSBBO - Customer Service</x:v>
      </x:c>
      <x:c r="E1230" s="86"/>
      <x:c r="F1230" s="86" t="str">
        <x:f>IF($P1230="","",INDEX(Tasks!$E$10:$E$1941,$P1230))</x:f>
        <x:v>Design &amp; Insights</x:v>
      </x:c>
      <x:c r="G1230" s="86"/>
      <x:c r="H1230" s="14" t="str">
        <x:f>IF($P1230="","",INDEX(Tasks!$F$10:$F$1941,$P1230)&amp;CHAR(10)&amp;INDEX(Tasks!$G$10:$G$1941,$P1230))</x:f>
        <x:v>DI.CS.1.1
Receive and review potential research topics at least 2 weeks prior to Cycle start date</x:v>
      </x:c>
      <x:c r="I1230" s="14"/>
      <x:c r="J1230" s="14"/>
      <x:c r="K1230" s="14"/>
      <x:c r="L1230" s="86" t="str">
        <x:f>IF($P1230="","",INDEX(Tasks!$N$10:$N$1941,$P1230))</x:f>
        <x:v>Not started</x:v>
      </x:c>
      <x:c r="M1230" s="87" t="n">
        <x:f>IF($P1230="","",INDEX(Tasks!$J$10:$J$1941,$P1230))</x:f>
        <x:v>46099</x:v>
      </x:c>
      <x:c r="N1230" s="85" t="str">
        <x:f>IF($P1230="","",HYPERLINK("#'"&amp;INDEX(Tasks!$T$10:$T$1941,$P1230)&amp;"'!A"&amp;INDEX(Tasks!$U$10:$U$1941,$P1230),"Open"))</x:f>
        <x:v>Open</x:v>
      </x:c>
      <x:c r="O1230" s="14"/>
      <x:c r="P1230" s="14" t="n">
        <x:f>IF(1209&gt;$B$10,"",MATCH(1209,Tasks!$S$10:$S$1941,0))</x:f>
        <x:v>1573</x:v>
      </x:c>
    </x:row>
    <x:row r="1231" ht="58" customHeight="1">
      <x:c r="B1231" s="86" t="str">
        <x:f>IF($P1231="","",INDEX(Tasks!$B$10:$B$1941,$P1231))</x:f>
        <x:v>Cycle 2</x:v>
      </x:c>
      <x:c r="C1231" s="86" t="str">
        <x:f>IF($P1231="","",INDEX(Tasks!$C$10:$C$1941,$P1231))</x:f>
        <x:v>Phase 1</x:v>
      </x:c>
      <x:c r="D1231" s="86" t="str">
        <x:f>IF($P1231="","",INDEX(Tasks!$D$10:$D$1941,$P1231))</x:f>
        <x:v>CSBBO - Customer Service</x:v>
      </x:c>
      <x:c r="E1231" s="86"/>
      <x:c r="F1231" s="86" t="str">
        <x:f>IF($P1231="","",INDEX(Tasks!$E$10:$E$1941,$P1231))</x:f>
        <x:v>Design &amp; Insights</x:v>
      </x:c>
      <x:c r="G1231" s="86"/>
      <x:c r="H1231" s="14" t="str">
        <x:f>IF($P1231="","",INDEX(Tasks!$F$10:$F$1941,$P1231)&amp;CHAR(10)&amp;INDEX(Tasks!$G$10:$G$1941,$P1231))</x:f>
        <x:v>DI.CS.1.2
Communicate any feedback on preferences or concerns with topics identified</x:v>
      </x:c>
      <x:c r="I1231" s="14"/>
      <x:c r="J1231" s="14"/>
      <x:c r="K1231" s="14"/>
      <x:c r="L1231" s="86" t="str">
        <x:f>IF($P1231="","",INDEX(Tasks!$N$10:$N$1941,$P1231))</x:f>
        <x:v>Not started</x:v>
      </x:c>
      <x:c r="M1231" s="87" t="n">
        <x:f>IF($P1231="","",INDEX(Tasks!$J$10:$J$1941,$P1231))</x:f>
        <x:v>46203</x:v>
      </x:c>
      <x:c r="N1231" s="85" t="str">
        <x:f>IF($P1231="","",HYPERLINK("#'"&amp;INDEX(Tasks!$T$10:$T$1941,$P1231)&amp;"'!A"&amp;INDEX(Tasks!$U$10:$U$1941,$P1231),"Open"))</x:f>
        <x:v>Open</x:v>
      </x:c>
      <x:c r="O1231" s="14"/>
      <x:c r="P1231" s="14" t="n">
        <x:f>IF(1210&gt;$B$10,"",MATCH(1210,Tasks!$S$10:$S$1941,0))</x:f>
        <x:v>1574</x:v>
      </x:c>
    </x:row>
    <x:row r="1232" ht="58" customHeight="1">
      <x:c r="B1232" s="86" t="str">
        <x:f>IF($P1232="","",INDEX(Tasks!$B$10:$B$1941,$P1232))</x:f>
        <x:v>Cycle 2</x:v>
      </x:c>
      <x:c r="C1232" s="86" t="str">
        <x:f>IF($P1232="","",INDEX(Tasks!$C$10:$C$1941,$P1232))</x:f>
        <x:v>Phase 1</x:v>
      </x:c>
      <x:c r="D1232" s="86" t="str">
        <x:f>IF($P1232="","",INDEX(Tasks!$D$10:$D$1941,$P1232))</x:f>
        <x:v>CSBBO - Customer Service</x:v>
      </x:c>
      <x:c r="E1232" s="86"/>
      <x:c r="F1232" s="86" t="str">
        <x:f>IF($P1232="","",INDEX(Tasks!$E$10:$E$1941,$P1232))</x:f>
        <x:v>Design &amp; Insights</x:v>
      </x:c>
      <x:c r="G1232" s="86"/>
      <x:c r="H1232" s="14" t="str">
        <x:f>IF($P1232="","",INDEX(Tasks!$F$10:$F$1941,$P1232)&amp;CHAR(10)&amp;INDEX(Tasks!$G$10:$G$1941,$P1232))</x:f>
        <x:v>DI.CS.1.3
Conduct high-level preliminary review of complaints within proposed topics</x:v>
      </x:c>
      <x:c r="I1232" s="14"/>
      <x:c r="J1232" s="14"/>
      <x:c r="K1232" s="14"/>
      <x:c r="L1232" s="86" t="str">
        <x:f>IF($P1232="","",INDEX(Tasks!$N$10:$N$1941,$P1232))</x:f>
        <x:v>Not started</x:v>
      </x:c>
      <x:c r="M1232" s="87" t="n">
        <x:f>IF($P1232="","",INDEX(Tasks!$J$10:$J$1941,$P1232))</x:f>
        <x:v>46203</x:v>
      </x:c>
      <x:c r="N1232" s="85" t="str">
        <x:f>IF($P1232="","",HYPERLINK("#'"&amp;INDEX(Tasks!$T$10:$T$1941,$P1232)&amp;"'!A"&amp;INDEX(Tasks!$U$10:$U$1941,$P1232),"Open"))</x:f>
        <x:v>Open</x:v>
      </x:c>
      <x:c r="O1232" s="14"/>
      <x:c r="P1232" s="14" t="n">
        <x:f>IF(1211&gt;$B$10,"",MATCH(1211,Tasks!$S$10:$S$1941,0))</x:f>
        <x:v>1575</x:v>
      </x:c>
    </x:row>
    <x:row r="1233" ht="58" customHeight="1">
      <x:c r="B1233" s="86" t="str">
        <x:f>IF($P1233="","",INDEX(Tasks!$B$10:$B$1941,$P1233))</x:f>
        <x:v>Cycle 2</x:v>
      </x:c>
      <x:c r="C1233" s="86" t="str">
        <x:f>IF($P1233="","",INDEX(Tasks!$C$10:$C$1941,$P1233))</x:f>
        <x:v>Phase 1</x:v>
      </x:c>
      <x:c r="D1233" s="86" t="str">
        <x:f>IF($P1233="","",INDEX(Tasks!$D$10:$D$1941,$P1233))</x:f>
        <x:v>CSBBO - Customer Service</x:v>
      </x:c>
      <x:c r="E1233" s="86"/>
      <x:c r="F1233" s="86" t="str">
        <x:f>IF($P1233="","",INDEX(Tasks!$E$10:$E$1941,$P1233))</x:f>
        <x:v>Design &amp; Insights</x:v>
      </x:c>
      <x:c r="G1233" s="86"/>
      <x:c r="H1233" s="14" t="str">
        <x:f>IF($P1233="","",INDEX(Tasks!$F$10:$F$1941,$P1233)&amp;CHAR(10)&amp;INDEX(Tasks!$G$10:$G$1941,$P1233))</x:f>
        <x:v>DI.CS.1.4
Meet with Research to discuss which topic to select based on potential impact</x:v>
      </x:c>
      <x:c r="I1233" s="14"/>
      <x:c r="J1233" s="14"/>
      <x:c r="K1233" s="14"/>
      <x:c r="L1233" s="86" t="str">
        <x:f>IF($P1233="","",INDEX(Tasks!$N$10:$N$1941,$P1233))</x:f>
        <x:v>Not started</x:v>
      </x:c>
      <x:c r="M1233" s="87" t="n">
        <x:f>IF($P1233="","",INDEX(Tasks!$J$10:$J$1941,$P1233))</x:f>
        <x:v>46203</x:v>
      </x:c>
      <x:c r="N1233" s="85" t="str">
        <x:f>IF($P1233="","",HYPERLINK("#'"&amp;INDEX(Tasks!$T$10:$T$1941,$P1233)&amp;"'!A"&amp;INDEX(Tasks!$U$10:$U$1941,$P1233),"Open"))</x:f>
        <x:v>Open</x:v>
      </x:c>
      <x:c r="O1233" s="14"/>
      <x:c r="P1233" s="14" t="n">
        <x:f>IF(1212&gt;$B$10,"",MATCH(1212,Tasks!$S$10:$S$1941,0))</x:f>
        <x:v>1576</x:v>
      </x:c>
    </x:row>
    <x:row r="1234" ht="58" customHeight="1">
      <x:c r="B1234" s="86" t="str">
        <x:f>IF($P1234="","",INDEX(Tasks!$B$10:$B$1941,$P1234))</x:f>
        <x:v>Cycle 2</x:v>
      </x:c>
      <x:c r="C1234" s="86" t="str">
        <x:f>IF($P1234="","",INDEX(Tasks!$C$10:$C$1941,$P1234))</x:f>
        <x:v>Phase 1</x:v>
      </x:c>
      <x:c r="D1234" s="86" t="str">
        <x:f>IF($P1234="","",INDEX(Tasks!$D$10:$D$1941,$P1234))</x:f>
        <x:v>CSBBO - Customer Service</x:v>
      </x:c>
      <x:c r="E1234" s="86"/>
      <x:c r="F1234" s="86" t="str">
        <x:f>IF($P1234="","",INDEX(Tasks!$E$10:$E$1941,$P1234))</x:f>
        <x:v>Design &amp; Insights</x:v>
      </x:c>
      <x:c r="G1234" s="86"/>
      <x:c r="H1234" s="14" t="str">
        <x:f>IF($P1234="","",INDEX(Tasks!$F$10:$F$1941,$P1234)&amp;CHAR(10)&amp;INDEX(Tasks!$G$10:$G$1941,$P1234))</x:f>
        <x:v>DI.CS.1.5
Confirm with Research the recommended topic for approval</x:v>
      </x:c>
      <x:c r="I1234" s="14"/>
      <x:c r="J1234" s="14"/>
      <x:c r="K1234" s="14"/>
      <x:c r="L1234" s="86" t="str">
        <x:f>IF($P1234="","",INDEX(Tasks!$N$10:$N$1941,$P1234))</x:f>
        <x:v>Not started</x:v>
      </x:c>
      <x:c r="M1234" s="87" t="n">
        <x:f>IF($P1234="","",INDEX(Tasks!$J$10:$J$1941,$P1234))</x:f>
        <x:v>46203</x:v>
      </x:c>
      <x:c r="N1234" s="85" t="str">
        <x:f>IF($P1234="","",HYPERLINK("#'"&amp;INDEX(Tasks!$T$10:$T$1941,$P1234)&amp;"'!A"&amp;INDEX(Tasks!$U$10:$U$1941,$P1234),"Open"))</x:f>
        <x:v>Open</x:v>
      </x:c>
      <x:c r="O1234" s="14"/>
      <x:c r="P1234" s="14" t="n">
        <x:f>IF(1213&gt;$B$10,"",MATCH(1213,Tasks!$S$10:$S$1941,0))</x:f>
        <x:v>1577</x:v>
      </x:c>
    </x:row>
    <x:row r="1235" ht="58" customHeight="1">
      <x:c r="B1235" s="86" t="str">
        <x:f>IF($P1235="","",INDEX(Tasks!$B$10:$B$1941,$P1235))</x:f>
        <x:v>Cycle 2</x:v>
      </x:c>
      <x:c r="C1235" s="86" t="str">
        <x:f>IF($P1235="","",INDEX(Tasks!$C$10:$C$1941,$P1235))</x:f>
        <x:v>Phase 1</x:v>
      </x:c>
      <x:c r="D1235" s="86" t="str">
        <x:f>IF($P1235="","",INDEX(Tasks!$D$10:$D$1941,$P1235))</x:f>
        <x:v>CSBBO - Customer Service</x:v>
      </x:c>
      <x:c r="E1235" s="86"/>
      <x:c r="F1235" s="86" t="str">
        <x:f>IF($P1235="","",INDEX(Tasks!$E$10:$E$1941,$P1235))</x:f>
        <x:v>Design &amp; Insights</x:v>
      </x:c>
      <x:c r="G1235" s="86"/>
      <x:c r="H1235" s="14" t="str">
        <x:f>IF($P1235="","",INDEX(Tasks!$F$10:$F$1941,$P1235)&amp;CHAR(10)&amp;INDEX(Tasks!$G$10:$G$1941,$P1235))</x:f>
        <x:v>DI.CS.1.6
Send topic selection socialization email to all key stakeholders on the first day of the review Cycle</x:v>
      </x:c>
      <x:c r="I1235" s="14"/>
      <x:c r="J1235" s="14"/>
      <x:c r="K1235" s="14"/>
      <x:c r="L1235" s="86" t="str">
        <x:f>IF($P1235="","",INDEX(Tasks!$N$10:$N$1941,$P1235))</x:f>
        <x:v>Not started</x:v>
      </x:c>
      <x:c r="M1235" s="87" t="n">
        <x:f>IF($P1235="","",INDEX(Tasks!$J$10:$J$1941,$P1235))</x:f>
        <x:v>46113</x:v>
      </x:c>
      <x:c r="N1235" s="85" t="str">
        <x:f>IF($P1235="","",HYPERLINK("#'"&amp;INDEX(Tasks!$T$10:$T$1941,$P1235)&amp;"'!A"&amp;INDEX(Tasks!$U$10:$U$1941,$P1235),"Open"))</x:f>
        <x:v>Open</x:v>
      </x:c>
      <x:c r="O1235" s="14"/>
      <x:c r="P1235" s="14" t="n">
        <x:f>IF(1214&gt;$B$10,"",MATCH(1214,Tasks!$S$10:$S$1941,0))</x:f>
        <x:v>1578</x:v>
      </x:c>
    </x:row>
    <x:row r="1236" ht="58" customHeight="1">
      <x:c r="B1236" s="86" t="str">
        <x:f>IF($P1236="","",INDEX(Tasks!$B$10:$B$1941,$P1236))</x:f>
        <x:v>Cycle 2</x:v>
      </x:c>
      <x:c r="C1236" s="86" t="str">
        <x:f>IF($P1236="","",INDEX(Tasks!$C$10:$C$1941,$P1236))</x:f>
        <x:v>Phase 2</x:v>
      </x:c>
      <x:c r="D1236" s="86" t="str">
        <x:f>IF($P1236="","",INDEX(Tasks!$D$10:$D$1941,$P1236))</x:f>
        <x:v>CSBBO - Customer Service</x:v>
      </x:c>
      <x:c r="E1236" s="86"/>
      <x:c r="F1236" s="86" t="str">
        <x:f>IF($P1236="","",INDEX(Tasks!$E$10:$E$1941,$P1236))</x:f>
        <x:v>Design &amp; Insights</x:v>
      </x:c>
      <x:c r="G1236" s="86"/>
      <x:c r="H1236" s="14" t="str">
        <x:f>IF($P1236="","",INDEX(Tasks!$F$10:$F$1941,$P1236)&amp;CHAR(10)&amp;INDEX(Tasks!$G$10:$G$1941,$P1236))</x:f>
        <x:v>DI.CS.2.1
Meet regularly with Research to stay informed on progress, findings, and potential enhancement</x:v>
      </x:c>
      <x:c r="I1236" s="14"/>
      <x:c r="J1236" s="14"/>
      <x:c r="K1236" s="14"/>
      <x:c r="L1236" s="86" t="str">
        <x:f>IF($P1236="","",INDEX(Tasks!$N$10:$N$1941,$P1236))</x:f>
        <x:v>Not started</x:v>
      </x:c>
      <x:c r="M1236" s="87" t="n">
        <x:f>IF($P1236="","",INDEX(Tasks!$J$10:$J$1941,$P1236))</x:f>
        <x:v>46203</x:v>
      </x:c>
      <x:c r="N1236" s="85" t="str">
        <x:f>IF($P1236="","",HYPERLINK("#'"&amp;INDEX(Tasks!$T$10:$T$1941,$P1236)&amp;"'!A"&amp;INDEX(Tasks!$U$10:$U$1941,$P1236),"Open"))</x:f>
        <x:v>Open</x:v>
      </x:c>
      <x:c r="O1236" s="14"/>
      <x:c r="P1236" s="14" t="n">
        <x:f>IF(1215&gt;$B$10,"",MATCH(1215,Tasks!$S$10:$S$1941,0))</x:f>
        <x:v>1579</x:v>
      </x:c>
    </x:row>
    <x:row r="1237" ht="58" customHeight="1">
      <x:c r="B1237" s="86" t="str">
        <x:f>IF($P1237="","",INDEX(Tasks!$B$10:$B$1941,$P1237))</x:f>
        <x:v>Cycle 2</x:v>
      </x:c>
      <x:c r="C1237" s="86" t="str">
        <x:f>IF($P1237="","",INDEX(Tasks!$C$10:$C$1941,$P1237))</x:f>
        <x:v>Phase 2</x:v>
      </x:c>
      <x:c r="D1237" s="86" t="str">
        <x:f>IF($P1237="","",INDEX(Tasks!$D$10:$D$1941,$P1237))</x:f>
        <x:v>CSBBO - Customer Service</x:v>
      </x:c>
      <x:c r="E1237" s="86"/>
      <x:c r="F1237" s="86" t="str">
        <x:f>IF($P1237="","",INDEX(Tasks!$E$10:$E$1941,$P1237))</x:f>
        <x:v>Design &amp; Insights</x:v>
      </x:c>
      <x:c r="G1237" s="86"/>
      <x:c r="H1237" s="14" t="str">
        <x:f>IF($P1237="","",INDEX(Tasks!$F$10:$F$1941,$P1237)&amp;CHAR(10)&amp;INDEX(Tasks!$G$10:$G$1941,$P1237))</x:f>
        <x:v>DI.CS.2.2
Collaborate with Research on research plan specifics</x:v>
      </x:c>
      <x:c r="I1237" s="14"/>
      <x:c r="J1237" s="14"/>
      <x:c r="K1237" s="14"/>
      <x:c r="L1237" s="86" t="str">
        <x:f>IF($P1237="","",INDEX(Tasks!$N$10:$N$1941,$P1237))</x:f>
        <x:v>Not started</x:v>
      </x:c>
      <x:c r="M1237" s="87" t="n">
        <x:f>IF($P1237="","",INDEX(Tasks!$J$10:$J$1941,$P1237))</x:f>
        <x:v>46203</x:v>
      </x:c>
      <x:c r="N1237" s="85" t="str">
        <x:f>IF($P1237="","",HYPERLINK("#'"&amp;INDEX(Tasks!$T$10:$T$1941,$P1237)&amp;"'!A"&amp;INDEX(Tasks!$U$10:$U$1941,$P1237),"Open"))</x:f>
        <x:v>Open</x:v>
      </x:c>
      <x:c r="O1237" s="14"/>
      <x:c r="P1237" s="14" t="n">
        <x:f>IF(1216&gt;$B$10,"",MATCH(1216,Tasks!$S$10:$S$1941,0))</x:f>
        <x:v>1580</x:v>
      </x:c>
    </x:row>
    <x:row r="1238" ht="58" customHeight="1">
      <x:c r="B1238" s="86" t="str">
        <x:f>IF($P1238="","",INDEX(Tasks!$B$10:$B$1941,$P1238))</x:f>
        <x:v>Cycle 2</x:v>
      </x:c>
      <x:c r="C1238" s="86" t="str">
        <x:f>IF($P1238="","",INDEX(Tasks!$C$10:$C$1941,$P1238))</x:f>
        <x:v>Phase 2</x:v>
      </x:c>
      <x:c r="D1238" s="86" t="str">
        <x:f>IF($P1238="","",INDEX(Tasks!$D$10:$D$1941,$P1238))</x:f>
        <x:v>CSBBO - Customer Service</x:v>
      </x:c>
      <x:c r="E1238" s="86"/>
      <x:c r="F1238" s="86" t="str">
        <x:f>IF($P1238="","",INDEX(Tasks!$E$10:$E$1941,$P1238))</x:f>
        <x:v>Design &amp; Insights</x:v>
      </x:c>
      <x:c r="G1238" s="86"/>
      <x:c r="H1238" s="14" t="str">
        <x:f>IF($P1238="","",INDEX(Tasks!$F$10:$F$1941,$P1238)&amp;CHAR(10)&amp;INDEX(Tasks!$G$10:$G$1941,$P1238))</x:f>
        <x:v>DI.CS.2.3
Participate in SME insight meetings to gain perspective and appetite on potential enhancements</x:v>
      </x:c>
      <x:c r="I1238" s="14"/>
      <x:c r="J1238" s="14"/>
      <x:c r="K1238" s="14"/>
      <x:c r="L1238" s="86" t="str">
        <x:f>IF($P1238="","",INDEX(Tasks!$N$10:$N$1941,$P1238))</x:f>
        <x:v>Not started</x:v>
      </x:c>
      <x:c r="M1238" s="87" t="n">
        <x:f>IF($P1238="","",INDEX(Tasks!$J$10:$J$1941,$P1238))</x:f>
        <x:v>46203</x:v>
      </x:c>
      <x:c r="N1238" s="85" t="str">
        <x:f>IF($P1238="","",HYPERLINK("#'"&amp;INDEX(Tasks!$T$10:$T$1941,$P1238)&amp;"'!A"&amp;INDEX(Tasks!$U$10:$U$1941,$P1238),"Open"))</x:f>
        <x:v>Open</x:v>
      </x:c>
      <x:c r="O1238" s="14"/>
      <x:c r="P1238" s="14" t="n">
        <x:f>IF(1217&gt;$B$10,"",MATCH(1217,Tasks!$S$10:$S$1941,0))</x:f>
        <x:v>1581</x:v>
      </x:c>
    </x:row>
    <x:row r="1239" ht="58" customHeight="1">
      <x:c r="B1239" s="86" t="str">
        <x:f>IF($P1239="","",INDEX(Tasks!$B$10:$B$1941,$P1239))</x:f>
        <x:v>Cycle 2</x:v>
      </x:c>
      <x:c r="C1239" s="86" t="str">
        <x:f>IF($P1239="","",INDEX(Tasks!$C$10:$C$1941,$P1239))</x:f>
        <x:v>Phase 2</x:v>
      </x:c>
      <x:c r="D1239" s="86" t="str">
        <x:f>IF($P1239="","",INDEX(Tasks!$D$10:$D$1941,$P1239))</x:f>
        <x:v>CSBBO - Customer Service</x:v>
      </x:c>
      <x:c r="E1239" s="86"/>
      <x:c r="F1239" s="86" t="str">
        <x:f>IF($P1239="","",INDEX(Tasks!$E$10:$E$1941,$P1239))</x:f>
        <x:v>Design &amp; Insights</x:v>
      </x:c>
      <x:c r="G1239" s="86"/>
      <x:c r="H1239" s="14" t="str">
        <x:f>IF($P1239="","",INDEX(Tasks!$F$10:$F$1941,$P1239)&amp;CHAR(10)&amp;INDEX(Tasks!$G$10:$G$1941,$P1239))</x:f>
        <x:v>DI.CS.2.4
Begin development of presentation materials as Research is being completed</x:v>
      </x:c>
      <x:c r="I1239" s="14"/>
      <x:c r="J1239" s="14"/>
      <x:c r="K1239" s="14"/>
      <x:c r="L1239" s="86" t="str">
        <x:f>IF($P1239="","",INDEX(Tasks!$N$10:$N$1941,$P1239))</x:f>
        <x:v>Not started</x:v>
      </x:c>
      <x:c r="M1239" s="87" t="n">
        <x:f>IF($P1239="","",INDEX(Tasks!$J$10:$J$1941,$P1239))</x:f>
        <x:v>46203</x:v>
      </x:c>
      <x:c r="N1239" s="85" t="str">
        <x:f>IF($P1239="","",HYPERLINK("#'"&amp;INDEX(Tasks!$T$10:$T$1941,$P1239)&amp;"'!A"&amp;INDEX(Tasks!$U$10:$U$1941,$P1239),"Open"))</x:f>
        <x:v>Open</x:v>
      </x:c>
      <x:c r="O1239" s="14"/>
      <x:c r="P1239" s="14" t="n">
        <x:f>IF(1218&gt;$B$10,"",MATCH(1218,Tasks!$S$10:$S$1941,0))</x:f>
        <x:v>1582</x:v>
      </x:c>
    </x:row>
    <x:row r="1240" ht="58" customHeight="1">
      <x:c r="B1240" s="86" t="str">
        <x:f>IF($P1240="","",INDEX(Tasks!$B$10:$B$1941,$P1240))</x:f>
        <x:v>Cycle 2</x:v>
      </x:c>
      <x:c r="C1240" s="86" t="str">
        <x:f>IF($P1240="","",INDEX(Tasks!$C$10:$C$1941,$P1240))</x:f>
        <x:v>Phase 2</x:v>
      </x:c>
      <x:c r="D1240" s="86" t="str">
        <x:f>IF($P1240="","",INDEX(Tasks!$D$10:$D$1941,$P1240))</x:f>
        <x:v>CSBBO - Customer Service</x:v>
      </x:c>
      <x:c r="E1240" s="86"/>
      <x:c r="F1240" s="86" t="str">
        <x:f>IF($P1240="","",INDEX(Tasks!$E$10:$E$1941,$P1240))</x:f>
        <x:v>Design &amp; Insights</x:v>
      </x:c>
      <x:c r="G1240" s="86"/>
      <x:c r="H1240" s="14" t="str">
        <x:f>IF($P1240="","",INDEX(Tasks!$F$10:$F$1941,$P1240)&amp;CHAR(10)&amp;INDEX(Tasks!$G$10:$G$1941,$P1240))</x:f>
        <x:v>DI.CS.2.5
Draft initial enhancement recommendations (as applicable)</x:v>
      </x:c>
      <x:c r="I1240" s="14"/>
      <x:c r="J1240" s="14"/>
      <x:c r="K1240" s="14"/>
      <x:c r="L1240" s="86" t="str">
        <x:f>IF($P1240="","",INDEX(Tasks!$N$10:$N$1941,$P1240))</x:f>
        <x:v>Not started</x:v>
      </x:c>
      <x:c r="M1240" s="87" t="n">
        <x:f>IF($P1240="","",INDEX(Tasks!$J$10:$J$1941,$P1240))</x:f>
        <x:v>46203</x:v>
      </x:c>
      <x:c r="N1240" s="85" t="str">
        <x:f>IF($P1240="","",HYPERLINK("#'"&amp;INDEX(Tasks!$T$10:$T$1941,$P1240)&amp;"'!A"&amp;INDEX(Tasks!$U$10:$U$1941,$P1240),"Open"))</x:f>
        <x:v>Open</x:v>
      </x:c>
      <x:c r="O1240" s="14"/>
      <x:c r="P1240" s="14" t="n">
        <x:f>IF(1219&gt;$B$10,"",MATCH(1219,Tasks!$S$10:$S$1941,0))</x:f>
        <x:v>1583</x:v>
      </x:c>
    </x:row>
    <x:row r="1241" ht="58" customHeight="1">
      <x:c r="B1241" s="86" t="str">
        <x:f>IF($P1241="","",INDEX(Tasks!$B$10:$B$1941,$P1241))</x:f>
        <x:v>Cycle 2</x:v>
      </x:c>
      <x:c r="C1241" s="86" t="str">
        <x:f>IF($P1241="","",INDEX(Tasks!$C$10:$C$1941,$P1241))</x:f>
        <x:v>Phase 2</x:v>
      </x:c>
      <x:c r="D1241" s="86" t="str">
        <x:f>IF($P1241="","",INDEX(Tasks!$D$10:$D$1941,$P1241))</x:f>
        <x:v>CSBBO - Customer Service</x:v>
      </x:c>
      <x:c r="E1241" s="86"/>
      <x:c r="F1241" s="86" t="str">
        <x:f>IF($P1241="","",INDEX(Tasks!$E$10:$E$1941,$P1241))</x:f>
        <x:v>Design &amp; Insights</x:v>
      </x:c>
      <x:c r="G1241" s="86"/>
      <x:c r="H1241" s="14" t="str">
        <x:f>IF($P1241="","",INDEX(Tasks!$F$10:$F$1941,$P1241)&amp;CHAR(10)&amp;INDEX(Tasks!$G$10:$G$1941,$P1241))</x:f>
        <x:v>DI.CS.2.6
Finalize presentation deck draft at conclusion of Research phase</x:v>
      </x:c>
      <x:c r="I1241" s="14"/>
      <x:c r="J1241" s="14"/>
      <x:c r="K1241" s="14"/>
      <x:c r="L1241" s="86" t="str">
        <x:f>IF($P1241="","",INDEX(Tasks!$N$10:$N$1941,$P1241))</x:f>
        <x:v>Not started</x:v>
      </x:c>
      <x:c r="M1241" s="87" t="n">
        <x:f>IF($P1241="","",INDEX(Tasks!$J$10:$J$1941,$P1241))</x:f>
        <x:v>46203</x:v>
      </x:c>
      <x:c r="N1241" s="85" t="str">
        <x:f>IF($P1241="","",HYPERLINK("#'"&amp;INDEX(Tasks!$T$10:$T$1941,$P1241)&amp;"'!A"&amp;INDEX(Tasks!$U$10:$U$1941,$P1241),"Open"))</x:f>
        <x:v>Open</x:v>
      </x:c>
      <x:c r="O1241" s="14"/>
      <x:c r="P1241" s="14" t="n">
        <x:f>IF(1220&gt;$B$10,"",MATCH(1220,Tasks!$S$10:$S$1941,0))</x:f>
        <x:v>1584</x:v>
      </x:c>
    </x:row>
    <x:row r="1242" ht="58" customHeight="1">
      <x:c r="B1242" s="86" t="str">
        <x:f>IF($P1242="","",INDEX(Tasks!$B$10:$B$1941,$P1242))</x:f>
        <x:v>Cycle 2</x:v>
      </x:c>
      <x:c r="C1242" s="86" t="str">
        <x:f>IF($P1242="","",INDEX(Tasks!$C$10:$C$1941,$P1242))</x:f>
        <x:v>Phase 2</x:v>
      </x:c>
      <x:c r="D1242" s="86" t="str">
        <x:f>IF($P1242="","",INDEX(Tasks!$D$10:$D$1941,$P1242))</x:f>
        <x:v>CSBBO - Customer Service</x:v>
      </x:c>
      <x:c r="E1242" s="86"/>
      <x:c r="F1242" s="86" t="str">
        <x:f>IF($P1242="","",INDEX(Tasks!$E$10:$E$1941,$P1242))</x:f>
        <x:v>Design &amp; Insights</x:v>
      </x:c>
      <x:c r="G1242" s="86"/>
      <x:c r="H1242" s="14" t="str">
        <x:f>IF($P1242="","",INDEX(Tasks!$F$10:$F$1941,$P1242)&amp;CHAR(10)&amp;INDEX(Tasks!$G$10:$G$1941,$P1242))</x:f>
        <x:v>DI.CS.2.7
Update Outcome portion of research plan with current enhancement verbiage (as needed)</x:v>
      </x:c>
      <x:c r="I1242" s="14"/>
      <x:c r="J1242" s="14"/>
      <x:c r="K1242" s="14"/>
      <x:c r="L1242" s="86" t="str">
        <x:f>IF($P1242="","",INDEX(Tasks!$N$10:$N$1941,$P1242))</x:f>
        <x:v>Not started</x:v>
      </x:c>
      <x:c r="M1242" s="87" t="n">
        <x:f>IF($P1242="","",INDEX(Tasks!$J$10:$J$1941,$P1242))</x:f>
        <x:v>46203</x:v>
      </x:c>
      <x:c r="N1242" s="85" t="str">
        <x:f>IF($P1242="","",HYPERLINK("#'"&amp;INDEX(Tasks!$T$10:$T$1941,$P1242)&amp;"'!A"&amp;INDEX(Tasks!$U$10:$U$1941,$P1242),"Open"))</x:f>
        <x:v>Open</x:v>
      </x:c>
      <x:c r="O1242" s="14"/>
      <x:c r="P1242" s="14" t="n">
        <x:f>IF(1221&gt;$B$10,"",MATCH(1221,Tasks!$S$10:$S$1941,0))</x:f>
        <x:v>1585</x:v>
      </x:c>
    </x:row>
    <x:row r="1243" ht="58" customHeight="1">
      <x:c r="B1243" s="86" t="str">
        <x:f>IF($P1243="","",INDEX(Tasks!$B$10:$B$1941,$P1243))</x:f>
        <x:v>Cycle 2</x:v>
      </x:c>
      <x:c r="C1243" s="86" t="str">
        <x:f>IF($P1243="","",INDEX(Tasks!$C$10:$C$1941,$P1243))</x:f>
        <x:v>Phase 3</x:v>
      </x:c>
      <x:c r="D1243" s="86" t="str">
        <x:f>IF($P1243="","",INDEX(Tasks!$D$10:$D$1941,$P1243))</x:f>
        <x:v>CSBBO - Customer Service</x:v>
      </x:c>
      <x:c r="E1243" s="86"/>
      <x:c r="F1243" s="86" t="str">
        <x:f>IF($P1243="","",INDEX(Tasks!$E$10:$E$1941,$P1243))</x:f>
        <x:v>Design &amp; Insights</x:v>
      </x:c>
      <x:c r="G1243" s="86"/>
      <x:c r="H1243" s="14" t="str">
        <x:f>IF($P1243="","",INDEX(Tasks!$F$10:$F$1941,$P1243)&amp;CHAR(10)&amp;INDEX(Tasks!$G$10:$G$1941,$P1243))</x:f>
        <x:v>DI.CS.3.1
Confirm list of required &amp; optional attendees for pre-socialization meeting</x:v>
      </x:c>
      <x:c r="I1243" s="14"/>
      <x:c r="J1243" s="14"/>
      <x:c r="K1243" s="14"/>
      <x:c r="L1243" s="86" t="str">
        <x:f>IF($P1243="","",INDEX(Tasks!$N$10:$N$1941,$P1243))</x:f>
        <x:v>Not started</x:v>
      </x:c>
      <x:c r="M1243" s="87" t="n">
        <x:f>IF($P1243="","",INDEX(Tasks!$J$10:$J$1941,$P1243))</x:f>
        <x:v>46203</x:v>
      </x:c>
      <x:c r="N1243" s="85" t="str">
        <x:f>IF($P1243="","",HYPERLINK("#'"&amp;INDEX(Tasks!$T$10:$T$1941,$P1243)&amp;"'!A"&amp;INDEX(Tasks!$U$10:$U$1941,$P1243),"Open"))</x:f>
        <x:v>Open</x:v>
      </x:c>
      <x:c r="O1243" s="14"/>
      <x:c r="P1243" s="14" t="n">
        <x:f>IF(1222&gt;$B$10,"",MATCH(1222,Tasks!$S$10:$S$1941,0))</x:f>
        <x:v>1586</x:v>
      </x:c>
    </x:row>
    <x:row r="1244" ht="58" customHeight="1">
      <x:c r="B1244" s="86" t="str">
        <x:f>IF($P1244="","",INDEX(Tasks!$B$10:$B$1941,$P1244))</x:f>
        <x:v>Cycle 2</x:v>
      </x:c>
      <x:c r="C1244" s="86" t="str">
        <x:f>IF($P1244="","",INDEX(Tasks!$C$10:$C$1941,$P1244))</x:f>
        <x:v>Phase 3</x:v>
      </x:c>
      <x:c r="D1244" s="86" t="str">
        <x:f>IF($P1244="","",INDEX(Tasks!$D$10:$D$1941,$P1244))</x:f>
        <x:v>CSBBO - Customer Service</x:v>
      </x:c>
      <x:c r="E1244" s="86"/>
      <x:c r="F1244" s="86" t="str">
        <x:f>IF($P1244="","",INDEX(Tasks!$E$10:$E$1941,$P1244))</x:f>
        <x:v>Design &amp; Insights</x:v>
      </x:c>
      <x:c r="G1244" s="86"/>
      <x:c r="H1244" s="14" t="str">
        <x:f>IF($P1244="","",INDEX(Tasks!$F$10:$F$1941,$P1244)&amp;CHAR(10)&amp;INDEX(Tasks!$G$10:$G$1941,$P1244))</x:f>
        <x:v>DI.CS.3.2
Schedule pre-socialization meeting 1 week prior to RCA Forum</x:v>
      </x:c>
      <x:c r="I1244" s="14"/>
      <x:c r="J1244" s="14"/>
      <x:c r="K1244" s="14"/>
      <x:c r="L1244" s="86" t="str">
        <x:f>IF($P1244="","",INDEX(Tasks!$N$10:$N$1941,$P1244))</x:f>
        <x:v>Not started</x:v>
      </x:c>
      <x:c r="M1244" s="87" t="str">
        <x:f>IF($P1244="","",INDEX(Tasks!$J$10:$J$1941,$P1244))</x:f>
      </x:c>
      <x:c r="N1244" s="85" t="str">
        <x:f>IF($P1244="","",HYPERLINK("#'"&amp;INDEX(Tasks!$T$10:$T$1941,$P1244)&amp;"'!A"&amp;INDEX(Tasks!$U$10:$U$1941,$P1244),"Open"))</x:f>
        <x:v>Open</x:v>
      </x:c>
      <x:c r="O1244" s="14"/>
      <x:c r="P1244" s="14" t="n">
        <x:f>IF(1223&gt;$B$10,"",MATCH(1223,Tasks!$S$10:$S$1941,0))</x:f>
        <x:v>1587</x:v>
      </x:c>
    </x:row>
    <x:row r="1245" ht="58" customHeight="1">
      <x:c r="B1245" s="86" t="str">
        <x:f>IF($P1245="","",INDEX(Tasks!$B$10:$B$1941,$P1245))</x:f>
        <x:v>Cycle 2</x:v>
      </x:c>
      <x:c r="C1245" s="86" t="str">
        <x:f>IF($P1245="","",INDEX(Tasks!$C$10:$C$1941,$P1245))</x:f>
        <x:v>Phase 3</x:v>
      </x:c>
      <x:c r="D1245" s="86" t="str">
        <x:f>IF($P1245="","",INDEX(Tasks!$D$10:$D$1941,$P1245))</x:f>
        <x:v>CSBBO - Customer Service</x:v>
      </x:c>
      <x:c r="E1245" s="86"/>
      <x:c r="F1245" s="86" t="str">
        <x:f>IF($P1245="","",INDEX(Tasks!$E$10:$E$1941,$P1245))</x:f>
        <x:v>Design &amp; Insights</x:v>
      </x:c>
      <x:c r="G1245" s="86"/>
      <x:c r="H1245" s="14" t="str">
        <x:f>IF($P1245="","",INDEX(Tasks!$F$10:$F$1941,$P1245)&amp;CHAR(10)&amp;INDEX(Tasks!$G$10:$G$1941,$P1245))</x:f>
        <x:v>DI.CS.3.3
Present findings, conclusions, and recommendation to SMEs</x:v>
      </x:c>
      <x:c r="I1245" s="14"/>
      <x:c r="J1245" s="14"/>
      <x:c r="K1245" s="14"/>
      <x:c r="L1245" s="86" t="str">
        <x:f>IF($P1245="","",INDEX(Tasks!$N$10:$N$1941,$P1245))</x:f>
        <x:v>Not started</x:v>
      </x:c>
      <x:c r="M1245" s="87" t="n">
        <x:f>IF($P1245="","",INDEX(Tasks!$J$10:$J$1941,$P1245))</x:f>
        <x:v>46203</x:v>
      </x:c>
      <x:c r="N1245" s="85" t="str">
        <x:f>IF($P1245="","",HYPERLINK("#'"&amp;INDEX(Tasks!$T$10:$T$1941,$P1245)&amp;"'!A"&amp;INDEX(Tasks!$U$10:$U$1941,$P1245),"Open"))</x:f>
        <x:v>Open</x:v>
      </x:c>
      <x:c r="O1245" s="14"/>
      <x:c r="P1245" s="14" t="n">
        <x:f>IF(1224&gt;$B$10,"",MATCH(1224,Tasks!$S$10:$S$1941,0))</x:f>
        <x:v>1588</x:v>
      </x:c>
    </x:row>
    <x:row r="1246" ht="58" customHeight="1">
      <x:c r="B1246" s="86" t="str">
        <x:f>IF($P1246="","",INDEX(Tasks!$B$10:$B$1941,$P1246))</x:f>
        <x:v>Cycle 2</x:v>
      </x:c>
      <x:c r="C1246" s="86" t="str">
        <x:f>IF($P1246="","",INDEX(Tasks!$C$10:$C$1941,$P1246))</x:f>
        <x:v>Phase 3</x:v>
      </x:c>
      <x:c r="D1246" s="86" t="str">
        <x:f>IF($P1246="","",INDEX(Tasks!$D$10:$D$1941,$P1246))</x:f>
        <x:v>CSBBO - Customer Service</x:v>
      </x:c>
      <x:c r="E1246" s="86"/>
      <x:c r="F1246" s="86" t="str">
        <x:f>IF($P1246="","",INDEX(Tasks!$E$10:$E$1941,$P1246))</x:f>
        <x:v>Design &amp; Insights</x:v>
      </x:c>
      <x:c r="G1246" s="86"/>
      <x:c r="H1246" s="14" t="str">
        <x:f>IF($P1246="","",INDEX(Tasks!$F$10:$F$1941,$P1246)&amp;CHAR(10)&amp;INDEX(Tasks!$G$10:$G$1941,$P1246))</x:f>
        <x:v>DI.CS.3.4
Update Outcome portion of research plan (as needed)</x:v>
      </x:c>
      <x:c r="I1246" s="14"/>
      <x:c r="J1246" s="14"/>
      <x:c r="K1246" s="14"/>
      <x:c r="L1246" s="86" t="str">
        <x:f>IF($P1246="","",INDEX(Tasks!$N$10:$N$1941,$P1246))</x:f>
        <x:v>Not started</x:v>
      </x:c>
      <x:c r="M1246" s="87" t="n">
        <x:f>IF($P1246="","",INDEX(Tasks!$J$10:$J$1941,$P1246))</x:f>
        <x:v>46203</x:v>
      </x:c>
      <x:c r="N1246" s="85" t="str">
        <x:f>IF($P1246="","",HYPERLINK("#'"&amp;INDEX(Tasks!$T$10:$T$1941,$P1246)&amp;"'!A"&amp;INDEX(Tasks!$U$10:$U$1941,$P1246),"Open"))</x:f>
        <x:v>Open</x:v>
      </x:c>
      <x:c r="O1246" s="14"/>
      <x:c r="P1246" s="14" t="n">
        <x:f>IF(1225&gt;$B$10,"",MATCH(1225,Tasks!$S$10:$S$1941,0))</x:f>
        <x:v>1589</x:v>
      </x:c>
    </x:row>
    <x:row r="1247" ht="58" customHeight="1">
      <x:c r="B1247" s="86" t="str">
        <x:f>IF($P1247="","",INDEX(Tasks!$B$10:$B$1941,$P1247))</x:f>
        <x:v>Cycle 2</x:v>
      </x:c>
      <x:c r="C1247" s="86" t="str">
        <x:f>IF($P1247="","",INDEX(Tasks!$C$10:$C$1941,$P1247))</x:f>
        <x:v>Phase 3</x:v>
      </x:c>
      <x:c r="D1247" s="86" t="str">
        <x:f>IF($P1247="","",INDEX(Tasks!$D$10:$D$1941,$P1247))</x:f>
        <x:v>CSBBO - Customer Service</x:v>
      </x:c>
      <x:c r="E1247" s="86"/>
      <x:c r="F1247" s="86" t="str">
        <x:f>IF($P1247="","",INDEX(Tasks!$E$10:$E$1941,$P1247))</x:f>
        <x:v>Design &amp; Insights</x:v>
      </x:c>
      <x:c r="G1247" s="86"/>
      <x:c r="H1247" s="14" t="str">
        <x:f>IF($P1247="","",INDEX(Tasks!$F$10:$F$1941,$P1247)&amp;CHAR(10)&amp;INDEX(Tasks!$G$10:$G$1941,$P1247))</x:f>
        <x:v>DI.CS.3.5
Finalize presentation deck by incorporating pre-socialization feedback (as needed)</x:v>
      </x:c>
      <x:c r="I1247" s="14"/>
      <x:c r="J1247" s="14"/>
      <x:c r="K1247" s="14"/>
      <x:c r="L1247" s="86" t="str">
        <x:f>IF($P1247="","",INDEX(Tasks!$N$10:$N$1941,$P1247))</x:f>
        <x:v>Not started</x:v>
      </x:c>
      <x:c r="M1247" s="87" t="n">
        <x:f>IF($P1247="","",INDEX(Tasks!$J$10:$J$1941,$P1247))</x:f>
        <x:v>46203</x:v>
      </x:c>
      <x:c r="N1247" s="85" t="str">
        <x:f>IF($P1247="","",HYPERLINK("#'"&amp;INDEX(Tasks!$T$10:$T$1941,$P1247)&amp;"'!A"&amp;INDEX(Tasks!$U$10:$U$1941,$P1247),"Open"))</x:f>
        <x:v>Open</x:v>
      </x:c>
      <x:c r="O1247" s="14"/>
      <x:c r="P1247" s="14" t="n">
        <x:f>IF(1226&gt;$B$10,"",MATCH(1226,Tasks!$S$10:$S$1941,0))</x:f>
        <x:v>1590</x:v>
      </x:c>
    </x:row>
    <x:row r="1248" ht="58" customHeight="1">
      <x:c r="B1248" s="86" t="str">
        <x:f>IF($P1248="","",INDEX(Tasks!$B$10:$B$1941,$P1248))</x:f>
        <x:v>Cycle 2</x:v>
      </x:c>
      <x:c r="C1248" s="86" t="str">
        <x:f>IF($P1248="","",INDEX(Tasks!$C$10:$C$1941,$P1248))</x:f>
        <x:v>Phase 3</x:v>
      </x:c>
      <x:c r="D1248" s="86" t="str">
        <x:f>IF($P1248="","",INDEX(Tasks!$D$10:$D$1941,$P1248))</x:f>
        <x:v>CSBBO - Customer Service</x:v>
      </x:c>
      <x:c r="E1248" s="86"/>
      <x:c r="F1248" s="86" t="str">
        <x:f>IF($P1248="","",INDEX(Tasks!$E$10:$E$1941,$P1248))</x:f>
        <x:v>Design &amp; Insights</x:v>
      </x:c>
      <x:c r="G1248" s="86"/>
      <x:c r="H1248" s="14" t="str">
        <x:f>IF($P1248="","",INDEX(Tasks!$F$10:$F$1941,$P1248)&amp;CHAR(10)&amp;INDEX(Tasks!$G$10:$G$1941,$P1248))</x:f>
        <x:v>DI.CS.3.6
Ensure final deck is communicated to Forum attendees</x:v>
      </x:c>
      <x:c r="I1248" s="14"/>
      <x:c r="J1248" s="14"/>
      <x:c r="K1248" s="14"/>
      <x:c r="L1248" s="86" t="str">
        <x:f>IF($P1248="","",INDEX(Tasks!$N$10:$N$1941,$P1248))</x:f>
        <x:v>Not started</x:v>
      </x:c>
      <x:c r="M1248" s="87" t="n">
        <x:f>IF($P1248="","",INDEX(Tasks!$J$10:$J$1941,$P1248))</x:f>
        <x:v>46203</x:v>
      </x:c>
      <x:c r="N1248" s="85" t="str">
        <x:f>IF($P1248="","",HYPERLINK("#'"&amp;INDEX(Tasks!$T$10:$T$1941,$P1248)&amp;"'!A"&amp;INDEX(Tasks!$U$10:$U$1941,$P1248),"Open"))</x:f>
        <x:v>Open</x:v>
      </x:c>
      <x:c r="O1248" s="14"/>
      <x:c r="P1248" s="14" t="n">
        <x:f>IF(1227&gt;$B$10,"",MATCH(1227,Tasks!$S$10:$S$1941,0))</x:f>
        <x:v>1591</x:v>
      </x:c>
    </x:row>
    <x:row r="1249" ht="58" customHeight="1">
      <x:c r="B1249" s="86" t="str">
        <x:f>IF($P1249="","",INDEX(Tasks!$B$10:$B$1941,$P1249))</x:f>
        <x:v>Cycle 2</x:v>
      </x:c>
      <x:c r="C1249" s="86" t="str">
        <x:f>IF($P1249="","",INDEX(Tasks!$C$10:$C$1941,$P1249))</x:f>
        <x:v>Phase 3</x:v>
      </x:c>
      <x:c r="D1249" s="86" t="str">
        <x:f>IF($P1249="","",INDEX(Tasks!$D$10:$D$1941,$P1249))</x:f>
        <x:v>CSBBO - Customer Service</x:v>
      </x:c>
      <x:c r="E1249" s="86"/>
      <x:c r="F1249" s="86" t="str">
        <x:f>IF($P1249="","",INDEX(Tasks!$E$10:$E$1941,$P1249))</x:f>
        <x:v>Design &amp; Insights</x:v>
      </x:c>
      <x:c r="G1249" s="86"/>
      <x:c r="H1249" s="14" t="str">
        <x:f>IF($P1249="","",INDEX(Tasks!$F$10:$F$1941,$P1249)&amp;CHAR(10)&amp;INDEX(Tasks!$G$10:$G$1941,$P1249))</x:f>
        <x:v>DI.CS.3.7
Present material in RCA Cycle Forum</x:v>
      </x:c>
      <x:c r="I1249" s="14"/>
      <x:c r="J1249" s="14"/>
      <x:c r="K1249" s="14"/>
      <x:c r="L1249" s="86" t="str">
        <x:f>IF($P1249="","",INDEX(Tasks!$N$10:$N$1941,$P1249))</x:f>
        <x:v>Not started</x:v>
      </x:c>
      <x:c r="M1249" s="87" t="str">
        <x:f>IF($P1249="","",INDEX(Tasks!$J$10:$J$1941,$P1249))</x:f>
      </x:c>
      <x:c r="N1249" s="85" t="str">
        <x:f>IF($P1249="","",HYPERLINK("#'"&amp;INDEX(Tasks!$T$10:$T$1941,$P1249)&amp;"'!A"&amp;INDEX(Tasks!$U$10:$U$1941,$P1249),"Open"))</x:f>
        <x:v>Open</x:v>
      </x:c>
      <x:c r="O1249" s="14"/>
      <x:c r="P1249" s="14" t="n">
        <x:f>IF(1228&gt;$B$10,"",MATCH(1228,Tasks!$S$10:$S$1941,0))</x:f>
        <x:v>1592</x:v>
      </x:c>
    </x:row>
    <x:row r="1250" ht="58" customHeight="1">
      <x:c r="B1250" s="86" t="str">
        <x:f>IF($P1250="","",INDEX(Tasks!$B$10:$B$1941,$P1250))</x:f>
        <x:v>Cycle 2</x:v>
      </x:c>
      <x:c r="C1250" s="86" t="str">
        <x:f>IF($P1250="","",INDEX(Tasks!$C$10:$C$1941,$P1250))</x:f>
        <x:v>Phase 1</x:v>
      </x:c>
      <x:c r="D1250" s="86" t="str">
        <x:f>IF($P1250="","",INDEX(Tasks!$D$10:$D$1941,$P1250))</x:f>
        <x:v>FCM</x:v>
      </x:c>
      <x:c r="E1250" s="86"/>
      <x:c r="F1250" s="86" t="str">
        <x:f>IF($P1250="","",INDEX(Tasks!$E$10:$E$1941,$P1250))</x:f>
        <x:v>Design &amp; Insights</x:v>
      </x:c>
      <x:c r="G1250" s="86"/>
      <x:c r="H1250" s="14" t="str">
        <x:f>IF($P1250="","",INDEX(Tasks!$F$10:$F$1941,$P1250)&amp;CHAR(10)&amp;INDEX(Tasks!$G$10:$G$1941,$P1250))</x:f>
        <x:v>DI.FC.1.1
Receive and review potential research topics at least 2 weeks prior to Cycle start date</x:v>
      </x:c>
      <x:c r="I1250" s="14"/>
      <x:c r="J1250" s="14"/>
      <x:c r="K1250" s="14"/>
      <x:c r="L1250" s="86" t="str">
        <x:f>IF($P1250="","",INDEX(Tasks!$N$10:$N$1941,$P1250))</x:f>
        <x:v>Not started</x:v>
      </x:c>
      <x:c r="M1250" s="87" t="n">
        <x:f>IF($P1250="","",INDEX(Tasks!$J$10:$J$1941,$P1250))</x:f>
        <x:v>46099</x:v>
      </x:c>
      <x:c r="N1250" s="85" t="str">
        <x:f>IF($P1250="","",HYPERLINK("#'"&amp;INDEX(Tasks!$T$10:$T$1941,$P1250)&amp;"'!A"&amp;INDEX(Tasks!$U$10:$U$1941,$P1250),"Open"))</x:f>
        <x:v>Open</x:v>
      </x:c>
      <x:c r="O1250" s="14"/>
      <x:c r="P1250" s="14" t="n">
        <x:f>IF(1229&gt;$B$10,"",MATCH(1229,Tasks!$S$10:$S$1941,0))</x:f>
        <x:v>1593</x:v>
      </x:c>
    </x:row>
    <x:row r="1251" ht="58" customHeight="1">
      <x:c r="B1251" s="86" t="str">
        <x:f>IF($P1251="","",INDEX(Tasks!$B$10:$B$1941,$P1251))</x:f>
        <x:v>Cycle 2</x:v>
      </x:c>
      <x:c r="C1251" s="86" t="str">
        <x:f>IF($P1251="","",INDEX(Tasks!$C$10:$C$1941,$P1251))</x:f>
        <x:v>Phase 1</x:v>
      </x:c>
      <x:c r="D1251" s="86" t="str">
        <x:f>IF($P1251="","",INDEX(Tasks!$D$10:$D$1941,$P1251))</x:f>
        <x:v>FCM</x:v>
      </x:c>
      <x:c r="E1251" s="86"/>
      <x:c r="F1251" s="86" t="str">
        <x:f>IF($P1251="","",INDEX(Tasks!$E$10:$E$1941,$P1251))</x:f>
        <x:v>Design &amp; Insights</x:v>
      </x:c>
      <x:c r="G1251" s="86"/>
      <x:c r="H1251" s="14" t="str">
        <x:f>IF($P1251="","",INDEX(Tasks!$F$10:$F$1941,$P1251)&amp;CHAR(10)&amp;INDEX(Tasks!$G$10:$G$1941,$P1251))</x:f>
        <x:v>DI.FC.1.2
Communicate any feedback on preferences or concerns with topics identified</x:v>
      </x:c>
      <x:c r="I1251" s="14"/>
      <x:c r="J1251" s="14"/>
      <x:c r="K1251" s="14"/>
      <x:c r="L1251" s="86" t="str">
        <x:f>IF($P1251="","",INDEX(Tasks!$N$10:$N$1941,$P1251))</x:f>
        <x:v>Not started</x:v>
      </x:c>
      <x:c r="M1251" s="87" t="n">
        <x:f>IF($P1251="","",INDEX(Tasks!$J$10:$J$1941,$P1251))</x:f>
        <x:v>46203</x:v>
      </x:c>
      <x:c r="N1251" s="85" t="str">
        <x:f>IF($P1251="","",HYPERLINK("#'"&amp;INDEX(Tasks!$T$10:$T$1941,$P1251)&amp;"'!A"&amp;INDEX(Tasks!$U$10:$U$1941,$P1251),"Open"))</x:f>
        <x:v>Open</x:v>
      </x:c>
      <x:c r="O1251" s="14"/>
      <x:c r="P1251" s="14" t="n">
        <x:f>IF(1230&gt;$B$10,"",MATCH(1230,Tasks!$S$10:$S$1941,0))</x:f>
        <x:v>1594</x:v>
      </x:c>
    </x:row>
    <x:row r="1252" ht="58" customHeight="1">
      <x:c r="B1252" s="86" t="str">
        <x:f>IF($P1252="","",INDEX(Tasks!$B$10:$B$1941,$P1252))</x:f>
        <x:v>Cycle 2</x:v>
      </x:c>
      <x:c r="C1252" s="86" t="str">
        <x:f>IF($P1252="","",INDEX(Tasks!$C$10:$C$1941,$P1252))</x:f>
        <x:v>Phase 1</x:v>
      </x:c>
      <x:c r="D1252" s="86" t="str">
        <x:f>IF($P1252="","",INDEX(Tasks!$D$10:$D$1941,$P1252))</x:f>
        <x:v>FCM</x:v>
      </x:c>
      <x:c r="E1252" s="86"/>
      <x:c r="F1252" s="86" t="str">
        <x:f>IF($P1252="","",INDEX(Tasks!$E$10:$E$1941,$P1252))</x:f>
        <x:v>Design &amp; Insights</x:v>
      </x:c>
      <x:c r="G1252" s="86"/>
      <x:c r="H1252" s="14" t="str">
        <x:f>IF($P1252="","",INDEX(Tasks!$F$10:$F$1941,$P1252)&amp;CHAR(10)&amp;INDEX(Tasks!$G$10:$G$1941,$P1252))</x:f>
        <x:v>DI.FC.1.3
Conduct high-level preliminary review of complaints within proposed topics</x:v>
      </x:c>
      <x:c r="I1252" s="14"/>
      <x:c r="J1252" s="14"/>
      <x:c r="K1252" s="14"/>
      <x:c r="L1252" s="86" t="str">
        <x:f>IF($P1252="","",INDEX(Tasks!$N$10:$N$1941,$P1252))</x:f>
        <x:v>Not started</x:v>
      </x:c>
      <x:c r="M1252" s="87" t="n">
        <x:f>IF($P1252="","",INDEX(Tasks!$J$10:$J$1941,$P1252))</x:f>
        <x:v>46203</x:v>
      </x:c>
      <x:c r="N1252" s="85" t="str">
        <x:f>IF($P1252="","",HYPERLINK("#'"&amp;INDEX(Tasks!$T$10:$T$1941,$P1252)&amp;"'!A"&amp;INDEX(Tasks!$U$10:$U$1941,$P1252),"Open"))</x:f>
        <x:v>Open</x:v>
      </x:c>
      <x:c r="O1252" s="14"/>
      <x:c r="P1252" s="14" t="n">
        <x:f>IF(1231&gt;$B$10,"",MATCH(1231,Tasks!$S$10:$S$1941,0))</x:f>
        <x:v>1595</x:v>
      </x:c>
    </x:row>
    <x:row r="1253" ht="58" customHeight="1">
      <x:c r="B1253" s="86" t="str">
        <x:f>IF($P1253="","",INDEX(Tasks!$B$10:$B$1941,$P1253))</x:f>
        <x:v>Cycle 2</x:v>
      </x:c>
      <x:c r="C1253" s="86" t="str">
        <x:f>IF($P1253="","",INDEX(Tasks!$C$10:$C$1941,$P1253))</x:f>
        <x:v>Phase 1</x:v>
      </x:c>
      <x:c r="D1253" s="86" t="str">
        <x:f>IF($P1253="","",INDEX(Tasks!$D$10:$D$1941,$P1253))</x:f>
        <x:v>FCM</x:v>
      </x:c>
      <x:c r="E1253" s="86"/>
      <x:c r="F1253" s="86" t="str">
        <x:f>IF($P1253="","",INDEX(Tasks!$E$10:$E$1941,$P1253))</x:f>
        <x:v>Design &amp; Insights</x:v>
      </x:c>
      <x:c r="G1253" s="86"/>
      <x:c r="H1253" s="14" t="str">
        <x:f>IF($P1253="","",INDEX(Tasks!$F$10:$F$1941,$P1253)&amp;CHAR(10)&amp;INDEX(Tasks!$G$10:$G$1941,$P1253))</x:f>
        <x:v>DI.FC.1.4
Meet with Research to discuss which topic to select based on potential impact</x:v>
      </x:c>
      <x:c r="I1253" s="14"/>
      <x:c r="J1253" s="14"/>
      <x:c r="K1253" s="14"/>
      <x:c r="L1253" s="86" t="str">
        <x:f>IF($P1253="","",INDEX(Tasks!$N$10:$N$1941,$P1253))</x:f>
        <x:v>Not started</x:v>
      </x:c>
      <x:c r="M1253" s="87" t="n">
        <x:f>IF($P1253="","",INDEX(Tasks!$J$10:$J$1941,$P1253))</x:f>
        <x:v>46203</x:v>
      </x:c>
      <x:c r="N1253" s="85" t="str">
        <x:f>IF($P1253="","",HYPERLINK("#'"&amp;INDEX(Tasks!$T$10:$T$1941,$P1253)&amp;"'!A"&amp;INDEX(Tasks!$U$10:$U$1941,$P1253),"Open"))</x:f>
        <x:v>Open</x:v>
      </x:c>
      <x:c r="O1253" s="14"/>
      <x:c r="P1253" s="14" t="n">
        <x:f>IF(1232&gt;$B$10,"",MATCH(1232,Tasks!$S$10:$S$1941,0))</x:f>
        <x:v>1596</x:v>
      </x:c>
    </x:row>
    <x:row r="1254" ht="58" customHeight="1">
      <x:c r="B1254" s="86" t="str">
        <x:f>IF($P1254="","",INDEX(Tasks!$B$10:$B$1941,$P1254))</x:f>
        <x:v>Cycle 2</x:v>
      </x:c>
      <x:c r="C1254" s="86" t="str">
        <x:f>IF($P1254="","",INDEX(Tasks!$C$10:$C$1941,$P1254))</x:f>
        <x:v>Phase 1</x:v>
      </x:c>
      <x:c r="D1254" s="86" t="str">
        <x:f>IF($P1254="","",INDEX(Tasks!$D$10:$D$1941,$P1254))</x:f>
        <x:v>FCM</x:v>
      </x:c>
      <x:c r="E1254" s="86"/>
      <x:c r="F1254" s="86" t="str">
        <x:f>IF($P1254="","",INDEX(Tasks!$E$10:$E$1941,$P1254))</x:f>
        <x:v>Design &amp; Insights</x:v>
      </x:c>
      <x:c r="G1254" s="86"/>
      <x:c r="H1254" s="14" t="str">
        <x:f>IF($P1254="","",INDEX(Tasks!$F$10:$F$1941,$P1254)&amp;CHAR(10)&amp;INDEX(Tasks!$G$10:$G$1941,$P1254))</x:f>
        <x:v>DI.FC.1.5
Confirm with Research the recommended topic for approval</x:v>
      </x:c>
      <x:c r="I1254" s="14"/>
      <x:c r="J1254" s="14"/>
      <x:c r="K1254" s="14"/>
      <x:c r="L1254" s="86" t="str">
        <x:f>IF($P1254="","",INDEX(Tasks!$N$10:$N$1941,$P1254))</x:f>
        <x:v>Not started</x:v>
      </x:c>
      <x:c r="M1254" s="87" t="n">
        <x:f>IF($P1254="","",INDEX(Tasks!$J$10:$J$1941,$P1254))</x:f>
        <x:v>46203</x:v>
      </x:c>
      <x:c r="N1254" s="85" t="str">
        <x:f>IF($P1254="","",HYPERLINK("#'"&amp;INDEX(Tasks!$T$10:$T$1941,$P1254)&amp;"'!A"&amp;INDEX(Tasks!$U$10:$U$1941,$P1254),"Open"))</x:f>
        <x:v>Open</x:v>
      </x:c>
      <x:c r="O1254" s="14"/>
      <x:c r="P1254" s="14" t="n">
        <x:f>IF(1233&gt;$B$10,"",MATCH(1233,Tasks!$S$10:$S$1941,0))</x:f>
        <x:v>1597</x:v>
      </x:c>
    </x:row>
    <x:row r="1255" ht="58" customHeight="1">
      <x:c r="B1255" s="86" t="str">
        <x:f>IF($P1255="","",INDEX(Tasks!$B$10:$B$1941,$P1255))</x:f>
        <x:v>Cycle 2</x:v>
      </x:c>
      <x:c r="C1255" s="86" t="str">
        <x:f>IF($P1255="","",INDEX(Tasks!$C$10:$C$1941,$P1255))</x:f>
        <x:v>Phase 1</x:v>
      </x:c>
      <x:c r="D1255" s="86" t="str">
        <x:f>IF($P1255="","",INDEX(Tasks!$D$10:$D$1941,$P1255))</x:f>
        <x:v>FCM</x:v>
      </x:c>
      <x:c r="E1255" s="86"/>
      <x:c r="F1255" s="86" t="str">
        <x:f>IF($P1255="","",INDEX(Tasks!$E$10:$E$1941,$P1255))</x:f>
        <x:v>Design &amp; Insights</x:v>
      </x:c>
      <x:c r="G1255" s="86"/>
      <x:c r="H1255" s="14" t="str">
        <x:f>IF($P1255="","",INDEX(Tasks!$F$10:$F$1941,$P1255)&amp;CHAR(10)&amp;INDEX(Tasks!$G$10:$G$1941,$P1255))</x:f>
        <x:v>DI.FC.1.6
Send topic selection socialization email to all key stakeholders on the first day of the review Cycle</x:v>
      </x:c>
      <x:c r="I1255" s="14"/>
      <x:c r="J1255" s="14"/>
      <x:c r="K1255" s="14"/>
      <x:c r="L1255" s="86" t="str">
        <x:f>IF($P1255="","",INDEX(Tasks!$N$10:$N$1941,$P1255))</x:f>
        <x:v>Not started</x:v>
      </x:c>
      <x:c r="M1255" s="87" t="n">
        <x:f>IF($P1255="","",INDEX(Tasks!$J$10:$J$1941,$P1255))</x:f>
        <x:v>46113</x:v>
      </x:c>
      <x:c r="N1255" s="85" t="str">
        <x:f>IF($P1255="","",HYPERLINK("#'"&amp;INDEX(Tasks!$T$10:$T$1941,$P1255)&amp;"'!A"&amp;INDEX(Tasks!$U$10:$U$1941,$P1255),"Open"))</x:f>
        <x:v>Open</x:v>
      </x:c>
      <x:c r="O1255" s="14"/>
      <x:c r="P1255" s="14" t="n">
        <x:f>IF(1234&gt;$B$10,"",MATCH(1234,Tasks!$S$10:$S$1941,0))</x:f>
        <x:v>1598</x:v>
      </x:c>
    </x:row>
    <x:row r="1256" ht="58" customHeight="1">
      <x:c r="B1256" s="86" t="str">
        <x:f>IF($P1256="","",INDEX(Tasks!$B$10:$B$1941,$P1256))</x:f>
        <x:v>Cycle 2</x:v>
      </x:c>
      <x:c r="C1256" s="86" t="str">
        <x:f>IF($P1256="","",INDEX(Tasks!$C$10:$C$1941,$P1256))</x:f>
        <x:v>Phase 2</x:v>
      </x:c>
      <x:c r="D1256" s="86" t="str">
        <x:f>IF($P1256="","",INDEX(Tasks!$D$10:$D$1941,$P1256))</x:f>
        <x:v>FCM</x:v>
      </x:c>
      <x:c r="E1256" s="86"/>
      <x:c r="F1256" s="86" t="str">
        <x:f>IF($P1256="","",INDEX(Tasks!$E$10:$E$1941,$P1256))</x:f>
        <x:v>Design &amp; Insights</x:v>
      </x:c>
      <x:c r="G1256" s="86"/>
      <x:c r="H1256" s="14" t="str">
        <x:f>IF($P1256="","",INDEX(Tasks!$F$10:$F$1941,$P1256)&amp;CHAR(10)&amp;INDEX(Tasks!$G$10:$G$1941,$P1256))</x:f>
        <x:v>DI.FC.2.1
Meet regularly with Research to stay informed on progress, findings, and potential enhancement</x:v>
      </x:c>
      <x:c r="I1256" s="14"/>
      <x:c r="J1256" s="14"/>
      <x:c r="K1256" s="14"/>
      <x:c r="L1256" s="86" t="str">
        <x:f>IF($P1256="","",INDEX(Tasks!$N$10:$N$1941,$P1256))</x:f>
        <x:v>Not started</x:v>
      </x:c>
      <x:c r="M1256" s="87" t="n">
        <x:f>IF($P1256="","",INDEX(Tasks!$J$10:$J$1941,$P1256))</x:f>
        <x:v>46203</x:v>
      </x:c>
      <x:c r="N1256" s="85" t="str">
        <x:f>IF($P1256="","",HYPERLINK("#'"&amp;INDEX(Tasks!$T$10:$T$1941,$P1256)&amp;"'!A"&amp;INDEX(Tasks!$U$10:$U$1941,$P1256),"Open"))</x:f>
        <x:v>Open</x:v>
      </x:c>
      <x:c r="O1256" s="14"/>
      <x:c r="P1256" s="14" t="n">
        <x:f>IF(1235&gt;$B$10,"",MATCH(1235,Tasks!$S$10:$S$1941,0))</x:f>
        <x:v>1599</x:v>
      </x:c>
    </x:row>
    <x:row r="1257" ht="58" customHeight="1">
      <x:c r="B1257" s="86" t="str">
        <x:f>IF($P1257="","",INDEX(Tasks!$B$10:$B$1941,$P1257))</x:f>
        <x:v>Cycle 2</x:v>
      </x:c>
      <x:c r="C1257" s="86" t="str">
        <x:f>IF($P1257="","",INDEX(Tasks!$C$10:$C$1941,$P1257))</x:f>
        <x:v>Phase 2</x:v>
      </x:c>
      <x:c r="D1257" s="86" t="str">
        <x:f>IF($P1257="","",INDEX(Tasks!$D$10:$D$1941,$P1257))</x:f>
        <x:v>FCM</x:v>
      </x:c>
      <x:c r="E1257" s="86"/>
      <x:c r="F1257" s="86" t="str">
        <x:f>IF($P1257="","",INDEX(Tasks!$E$10:$E$1941,$P1257))</x:f>
        <x:v>Design &amp; Insights</x:v>
      </x:c>
      <x:c r="G1257" s="86"/>
      <x:c r="H1257" s="14" t="str">
        <x:f>IF($P1257="","",INDEX(Tasks!$F$10:$F$1941,$P1257)&amp;CHAR(10)&amp;INDEX(Tasks!$G$10:$G$1941,$P1257))</x:f>
        <x:v>DI.FC.2.2
Collaborate with Research on research plan specifics</x:v>
      </x:c>
      <x:c r="I1257" s="14"/>
      <x:c r="J1257" s="14"/>
      <x:c r="K1257" s="14"/>
      <x:c r="L1257" s="86" t="str">
        <x:f>IF($P1257="","",INDEX(Tasks!$N$10:$N$1941,$P1257))</x:f>
        <x:v>Not started</x:v>
      </x:c>
      <x:c r="M1257" s="87" t="n">
        <x:f>IF($P1257="","",INDEX(Tasks!$J$10:$J$1941,$P1257))</x:f>
        <x:v>46203</x:v>
      </x:c>
      <x:c r="N1257" s="85" t="str">
        <x:f>IF($P1257="","",HYPERLINK("#'"&amp;INDEX(Tasks!$T$10:$T$1941,$P1257)&amp;"'!A"&amp;INDEX(Tasks!$U$10:$U$1941,$P1257),"Open"))</x:f>
        <x:v>Open</x:v>
      </x:c>
      <x:c r="O1257" s="14"/>
      <x:c r="P1257" s="14" t="n">
        <x:f>IF(1236&gt;$B$10,"",MATCH(1236,Tasks!$S$10:$S$1941,0))</x:f>
        <x:v>1600</x:v>
      </x:c>
    </x:row>
    <x:row r="1258" ht="58" customHeight="1">
      <x:c r="B1258" s="86" t="str">
        <x:f>IF($P1258="","",INDEX(Tasks!$B$10:$B$1941,$P1258))</x:f>
        <x:v>Cycle 2</x:v>
      </x:c>
      <x:c r="C1258" s="86" t="str">
        <x:f>IF($P1258="","",INDEX(Tasks!$C$10:$C$1941,$P1258))</x:f>
        <x:v>Phase 2</x:v>
      </x:c>
      <x:c r="D1258" s="86" t="str">
        <x:f>IF($P1258="","",INDEX(Tasks!$D$10:$D$1941,$P1258))</x:f>
        <x:v>FCM</x:v>
      </x:c>
      <x:c r="E1258" s="86"/>
      <x:c r="F1258" s="86" t="str">
        <x:f>IF($P1258="","",INDEX(Tasks!$E$10:$E$1941,$P1258))</x:f>
        <x:v>Design &amp; Insights</x:v>
      </x:c>
      <x:c r="G1258" s="86"/>
      <x:c r="H1258" s="14" t="str">
        <x:f>IF($P1258="","",INDEX(Tasks!$F$10:$F$1941,$P1258)&amp;CHAR(10)&amp;INDEX(Tasks!$G$10:$G$1941,$P1258))</x:f>
        <x:v>DI.FC.2.3
Participate in SME insight meetings to gain perspective and appetite on potential enhancements</x:v>
      </x:c>
      <x:c r="I1258" s="14"/>
      <x:c r="J1258" s="14"/>
      <x:c r="K1258" s="14"/>
      <x:c r="L1258" s="86" t="str">
        <x:f>IF($P1258="","",INDEX(Tasks!$N$10:$N$1941,$P1258))</x:f>
        <x:v>Not started</x:v>
      </x:c>
      <x:c r="M1258" s="87" t="n">
        <x:f>IF($P1258="","",INDEX(Tasks!$J$10:$J$1941,$P1258))</x:f>
        <x:v>46203</x:v>
      </x:c>
      <x:c r="N1258" s="85" t="str">
        <x:f>IF($P1258="","",HYPERLINK("#'"&amp;INDEX(Tasks!$T$10:$T$1941,$P1258)&amp;"'!A"&amp;INDEX(Tasks!$U$10:$U$1941,$P1258),"Open"))</x:f>
        <x:v>Open</x:v>
      </x:c>
      <x:c r="O1258" s="14"/>
      <x:c r="P1258" s="14" t="n">
        <x:f>IF(1237&gt;$B$10,"",MATCH(1237,Tasks!$S$10:$S$1941,0))</x:f>
        <x:v>1601</x:v>
      </x:c>
    </x:row>
    <x:row r="1259" ht="58" customHeight="1">
      <x:c r="B1259" s="86" t="str">
        <x:f>IF($P1259="","",INDEX(Tasks!$B$10:$B$1941,$P1259))</x:f>
        <x:v>Cycle 2</x:v>
      </x:c>
      <x:c r="C1259" s="86" t="str">
        <x:f>IF($P1259="","",INDEX(Tasks!$C$10:$C$1941,$P1259))</x:f>
        <x:v>Phase 2</x:v>
      </x:c>
      <x:c r="D1259" s="86" t="str">
        <x:f>IF($P1259="","",INDEX(Tasks!$D$10:$D$1941,$P1259))</x:f>
        <x:v>FCM</x:v>
      </x:c>
      <x:c r="E1259" s="86"/>
      <x:c r="F1259" s="86" t="str">
        <x:f>IF($P1259="","",INDEX(Tasks!$E$10:$E$1941,$P1259))</x:f>
        <x:v>Design &amp; Insights</x:v>
      </x:c>
      <x:c r="G1259" s="86"/>
      <x:c r="H1259" s="14" t="str">
        <x:f>IF($P1259="","",INDEX(Tasks!$F$10:$F$1941,$P1259)&amp;CHAR(10)&amp;INDEX(Tasks!$G$10:$G$1941,$P1259))</x:f>
        <x:v>DI.FC.2.4
Begin development of presentation materials as Research is being completed</x:v>
      </x:c>
      <x:c r="I1259" s="14"/>
      <x:c r="J1259" s="14"/>
      <x:c r="K1259" s="14"/>
      <x:c r="L1259" s="86" t="str">
        <x:f>IF($P1259="","",INDEX(Tasks!$N$10:$N$1941,$P1259))</x:f>
        <x:v>Not started</x:v>
      </x:c>
      <x:c r="M1259" s="87" t="n">
        <x:f>IF($P1259="","",INDEX(Tasks!$J$10:$J$1941,$P1259))</x:f>
        <x:v>46203</x:v>
      </x:c>
      <x:c r="N1259" s="85" t="str">
        <x:f>IF($P1259="","",HYPERLINK("#'"&amp;INDEX(Tasks!$T$10:$T$1941,$P1259)&amp;"'!A"&amp;INDEX(Tasks!$U$10:$U$1941,$P1259),"Open"))</x:f>
        <x:v>Open</x:v>
      </x:c>
      <x:c r="O1259" s="14"/>
      <x:c r="P1259" s="14" t="n">
        <x:f>IF(1238&gt;$B$10,"",MATCH(1238,Tasks!$S$10:$S$1941,0))</x:f>
        <x:v>1602</x:v>
      </x:c>
    </x:row>
    <x:row r="1260" ht="58" customHeight="1">
      <x:c r="B1260" s="86" t="str">
        <x:f>IF($P1260="","",INDEX(Tasks!$B$10:$B$1941,$P1260))</x:f>
        <x:v>Cycle 2</x:v>
      </x:c>
      <x:c r="C1260" s="86" t="str">
        <x:f>IF($P1260="","",INDEX(Tasks!$C$10:$C$1941,$P1260))</x:f>
        <x:v>Phase 2</x:v>
      </x:c>
      <x:c r="D1260" s="86" t="str">
        <x:f>IF($P1260="","",INDEX(Tasks!$D$10:$D$1941,$P1260))</x:f>
        <x:v>FCM</x:v>
      </x:c>
      <x:c r="E1260" s="86"/>
      <x:c r="F1260" s="86" t="str">
        <x:f>IF($P1260="","",INDEX(Tasks!$E$10:$E$1941,$P1260))</x:f>
        <x:v>Design &amp; Insights</x:v>
      </x:c>
      <x:c r="G1260" s="86"/>
      <x:c r="H1260" s="14" t="str">
        <x:f>IF($P1260="","",INDEX(Tasks!$F$10:$F$1941,$P1260)&amp;CHAR(10)&amp;INDEX(Tasks!$G$10:$G$1941,$P1260))</x:f>
        <x:v>DI.FC.2.5
Draft initial enhancement recommendations (as applicable)</x:v>
      </x:c>
      <x:c r="I1260" s="14"/>
      <x:c r="J1260" s="14"/>
      <x:c r="K1260" s="14"/>
      <x:c r="L1260" s="86" t="str">
        <x:f>IF($P1260="","",INDEX(Tasks!$N$10:$N$1941,$P1260))</x:f>
        <x:v>Not started</x:v>
      </x:c>
      <x:c r="M1260" s="87" t="n">
        <x:f>IF($P1260="","",INDEX(Tasks!$J$10:$J$1941,$P1260))</x:f>
        <x:v>46203</x:v>
      </x:c>
      <x:c r="N1260" s="85" t="str">
        <x:f>IF($P1260="","",HYPERLINK("#'"&amp;INDEX(Tasks!$T$10:$T$1941,$P1260)&amp;"'!A"&amp;INDEX(Tasks!$U$10:$U$1941,$P1260),"Open"))</x:f>
        <x:v>Open</x:v>
      </x:c>
      <x:c r="O1260" s="14"/>
      <x:c r="P1260" s="14" t="n">
        <x:f>IF(1239&gt;$B$10,"",MATCH(1239,Tasks!$S$10:$S$1941,0))</x:f>
        <x:v>1603</x:v>
      </x:c>
    </x:row>
    <x:row r="1261" ht="58" customHeight="1">
      <x:c r="B1261" s="86" t="str">
        <x:f>IF($P1261="","",INDEX(Tasks!$B$10:$B$1941,$P1261))</x:f>
        <x:v>Cycle 2</x:v>
      </x:c>
      <x:c r="C1261" s="86" t="str">
        <x:f>IF($P1261="","",INDEX(Tasks!$C$10:$C$1941,$P1261))</x:f>
        <x:v>Phase 2</x:v>
      </x:c>
      <x:c r="D1261" s="86" t="str">
        <x:f>IF($P1261="","",INDEX(Tasks!$D$10:$D$1941,$P1261))</x:f>
        <x:v>FCM</x:v>
      </x:c>
      <x:c r="E1261" s="86"/>
      <x:c r="F1261" s="86" t="str">
        <x:f>IF($P1261="","",INDEX(Tasks!$E$10:$E$1941,$P1261))</x:f>
        <x:v>Design &amp; Insights</x:v>
      </x:c>
      <x:c r="G1261" s="86"/>
      <x:c r="H1261" s="14" t="str">
        <x:f>IF($P1261="","",INDEX(Tasks!$F$10:$F$1941,$P1261)&amp;CHAR(10)&amp;INDEX(Tasks!$G$10:$G$1941,$P1261))</x:f>
        <x:v>DI.FC.2.6
Finalize presentation deck draft at conclusion of Research phase</x:v>
      </x:c>
      <x:c r="I1261" s="14"/>
      <x:c r="J1261" s="14"/>
      <x:c r="K1261" s="14"/>
      <x:c r="L1261" s="86" t="str">
        <x:f>IF($P1261="","",INDEX(Tasks!$N$10:$N$1941,$P1261))</x:f>
        <x:v>Not started</x:v>
      </x:c>
      <x:c r="M1261" s="87" t="n">
        <x:f>IF($P1261="","",INDEX(Tasks!$J$10:$J$1941,$P1261))</x:f>
        <x:v>46203</x:v>
      </x:c>
      <x:c r="N1261" s="85" t="str">
        <x:f>IF($P1261="","",HYPERLINK("#'"&amp;INDEX(Tasks!$T$10:$T$1941,$P1261)&amp;"'!A"&amp;INDEX(Tasks!$U$10:$U$1941,$P1261),"Open"))</x:f>
        <x:v>Open</x:v>
      </x:c>
      <x:c r="O1261" s="14"/>
      <x:c r="P1261" s="14" t="n">
        <x:f>IF(1240&gt;$B$10,"",MATCH(1240,Tasks!$S$10:$S$1941,0))</x:f>
        <x:v>1604</x:v>
      </x:c>
    </x:row>
    <x:row r="1262" ht="58" customHeight="1">
      <x:c r="B1262" s="86" t="str">
        <x:f>IF($P1262="","",INDEX(Tasks!$B$10:$B$1941,$P1262))</x:f>
        <x:v>Cycle 2</x:v>
      </x:c>
      <x:c r="C1262" s="86" t="str">
        <x:f>IF($P1262="","",INDEX(Tasks!$C$10:$C$1941,$P1262))</x:f>
        <x:v>Phase 2</x:v>
      </x:c>
      <x:c r="D1262" s="86" t="str">
        <x:f>IF($P1262="","",INDEX(Tasks!$D$10:$D$1941,$P1262))</x:f>
        <x:v>FCM</x:v>
      </x:c>
      <x:c r="E1262" s="86"/>
      <x:c r="F1262" s="86" t="str">
        <x:f>IF($P1262="","",INDEX(Tasks!$E$10:$E$1941,$P1262))</x:f>
        <x:v>Design &amp; Insights</x:v>
      </x:c>
      <x:c r="G1262" s="86"/>
      <x:c r="H1262" s="14" t="str">
        <x:f>IF($P1262="","",INDEX(Tasks!$F$10:$F$1941,$P1262)&amp;CHAR(10)&amp;INDEX(Tasks!$G$10:$G$1941,$P1262))</x:f>
        <x:v>DI.FC.2.7
Update Outcome portion of research plan with current enhancement verbiage (as needed)</x:v>
      </x:c>
      <x:c r="I1262" s="14"/>
      <x:c r="J1262" s="14"/>
      <x:c r="K1262" s="14"/>
      <x:c r="L1262" s="86" t="str">
        <x:f>IF($P1262="","",INDEX(Tasks!$N$10:$N$1941,$P1262))</x:f>
        <x:v>Not started</x:v>
      </x:c>
      <x:c r="M1262" s="87" t="n">
        <x:f>IF($P1262="","",INDEX(Tasks!$J$10:$J$1941,$P1262))</x:f>
        <x:v>46203</x:v>
      </x:c>
      <x:c r="N1262" s="85" t="str">
        <x:f>IF($P1262="","",HYPERLINK("#'"&amp;INDEX(Tasks!$T$10:$T$1941,$P1262)&amp;"'!A"&amp;INDEX(Tasks!$U$10:$U$1941,$P1262),"Open"))</x:f>
        <x:v>Open</x:v>
      </x:c>
      <x:c r="O1262" s="14"/>
      <x:c r="P1262" s="14" t="n">
        <x:f>IF(1241&gt;$B$10,"",MATCH(1241,Tasks!$S$10:$S$1941,0))</x:f>
        <x:v>1605</x:v>
      </x:c>
    </x:row>
    <x:row r="1263" ht="58" customHeight="1">
      <x:c r="B1263" s="86" t="str">
        <x:f>IF($P1263="","",INDEX(Tasks!$B$10:$B$1941,$P1263))</x:f>
        <x:v>Cycle 2</x:v>
      </x:c>
      <x:c r="C1263" s="86" t="str">
        <x:f>IF($P1263="","",INDEX(Tasks!$C$10:$C$1941,$P1263))</x:f>
        <x:v>Phase 3</x:v>
      </x:c>
      <x:c r="D1263" s="86" t="str">
        <x:f>IF($P1263="","",INDEX(Tasks!$D$10:$D$1941,$P1263))</x:f>
        <x:v>FCM</x:v>
      </x:c>
      <x:c r="E1263" s="86"/>
      <x:c r="F1263" s="86" t="str">
        <x:f>IF($P1263="","",INDEX(Tasks!$E$10:$E$1941,$P1263))</x:f>
        <x:v>Design &amp; Insights</x:v>
      </x:c>
      <x:c r="G1263" s="86"/>
      <x:c r="H1263" s="14" t="str">
        <x:f>IF($P1263="","",INDEX(Tasks!$F$10:$F$1941,$P1263)&amp;CHAR(10)&amp;INDEX(Tasks!$G$10:$G$1941,$P1263))</x:f>
        <x:v>DI.FC.3.1
Confirm list of required &amp; optional attendees for pre-socialization meeting</x:v>
      </x:c>
      <x:c r="I1263" s="14"/>
      <x:c r="J1263" s="14"/>
      <x:c r="K1263" s="14"/>
      <x:c r="L1263" s="86" t="str">
        <x:f>IF($P1263="","",INDEX(Tasks!$N$10:$N$1941,$P1263))</x:f>
        <x:v>Not started</x:v>
      </x:c>
      <x:c r="M1263" s="87" t="n">
        <x:f>IF($P1263="","",INDEX(Tasks!$J$10:$J$1941,$P1263))</x:f>
        <x:v>46203</x:v>
      </x:c>
      <x:c r="N1263" s="85" t="str">
        <x:f>IF($P1263="","",HYPERLINK("#'"&amp;INDEX(Tasks!$T$10:$T$1941,$P1263)&amp;"'!A"&amp;INDEX(Tasks!$U$10:$U$1941,$P1263),"Open"))</x:f>
        <x:v>Open</x:v>
      </x:c>
      <x:c r="O1263" s="14"/>
      <x:c r="P1263" s="14" t="n">
        <x:f>IF(1242&gt;$B$10,"",MATCH(1242,Tasks!$S$10:$S$1941,0))</x:f>
        <x:v>1606</x:v>
      </x:c>
    </x:row>
    <x:row r="1264" ht="58" customHeight="1">
      <x:c r="B1264" s="86" t="str">
        <x:f>IF($P1264="","",INDEX(Tasks!$B$10:$B$1941,$P1264))</x:f>
        <x:v>Cycle 2</x:v>
      </x:c>
      <x:c r="C1264" s="86" t="str">
        <x:f>IF($P1264="","",INDEX(Tasks!$C$10:$C$1941,$P1264))</x:f>
        <x:v>Phase 3</x:v>
      </x:c>
      <x:c r="D1264" s="86" t="str">
        <x:f>IF($P1264="","",INDEX(Tasks!$D$10:$D$1941,$P1264))</x:f>
        <x:v>FCM</x:v>
      </x:c>
      <x:c r="E1264" s="86"/>
      <x:c r="F1264" s="86" t="str">
        <x:f>IF($P1264="","",INDEX(Tasks!$E$10:$E$1941,$P1264))</x:f>
        <x:v>Design &amp; Insights</x:v>
      </x:c>
      <x:c r="G1264" s="86"/>
      <x:c r="H1264" s="14" t="str">
        <x:f>IF($P1264="","",INDEX(Tasks!$F$10:$F$1941,$P1264)&amp;CHAR(10)&amp;INDEX(Tasks!$G$10:$G$1941,$P1264))</x:f>
        <x:v>DI.FC.3.2
Schedule pre-socialization meeting 1 week prior to RCA Forum</x:v>
      </x:c>
      <x:c r="I1264" s="14"/>
      <x:c r="J1264" s="14"/>
      <x:c r="K1264" s="14"/>
      <x:c r="L1264" s="86" t="str">
        <x:f>IF($P1264="","",INDEX(Tasks!$N$10:$N$1941,$P1264))</x:f>
        <x:v>Not started</x:v>
      </x:c>
      <x:c r="M1264" s="87" t="str">
        <x:f>IF($P1264="","",INDEX(Tasks!$J$10:$J$1941,$P1264))</x:f>
      </x:c>
      <x:c r="N1264" s="85" t="str">
        <x:f>IF($P1264="","",HYPERLINK("#'"&amp;INDEX(Tasks!$T$10:$T$1941,$P1264)&amp;"'!A"&amp;INDEX(Tasks!$U$10:$U$1941,$P1264),"Open"))</x:f>
        <x:v>Open</x:v>
      </x:c>
      <x:c r="O1264" s="14"/>
      <x:c r="P1264" s="14" t="n">
        <x:f>IF(1243&gt;$B$10,"",MATCH(1243,Tasks!$S$10:$S$1941,0))</x:f>
        <x:v>1607</x:v>
      </x:c>
    </x:row>
    <x:row r="1265" ht="58" customHeight="1">
      <x:c r="B1265" s="86" t="str">
        <x:f>IF($P1265="","",INDEX(Tasks!$B$10:$B$1941,$P1265))</x:f>
        <x:v>Cycle 2</x:v>
      </x:c>
      <x:c r="C1265" s="86" t="str">
        <x:f>IF($P1265="","",INDEX(Tasks!$C$10:$C$1941,$P1265))</x:f>
        <x:v>Phase 3</x:v>
      </x:c>
      <x:c r="D1265" s="86" t="str">
        <x:f>IF($P1265="","",INDEX(Tasks!$D$10:$D$1941,$P1265))</x:f>
        <x:v>FCM</x:v>
      </x:c>
      <x:c r="E1265" s="86"/>
      <x:c r="F1265" s="86" t="str">
        <x:f>IF($P1265="","",INDEX(Tasks!$E$10:$E$1941,$P1265))</x:f>
        <x:v>Design &amp; Insights</x:v>
      </x:c>
      <x:c r="G1265" s="86"/>
      <x:c r="H1265" s="14" t="str">
        <x:f>IF($P1265="","",INDEX(Tasks!$F$10:$F$1941,$P1265)&amp;CHAR(10)&amp;INDEX(Tasks!$G$10:$G$1941,$P1265))</x:f>
        <x:v>DI.FC.3.3
Present findings, conclusions, and recommendation to SMEs</x:v>
      </x:c>
      <x:c r="I1265" s="14"/>
      <x:c r="J1265" s="14"/>
      <x:c r="K1265" s="14"/>
      <x:c r="L1265" s="86" t="str">
        <x:f>IF($P1265="","",INDEX(Tasks!$N$10:$N$1941,$P1265))</x:f>
        <x:v>Not started</x:v>
      </x:c>
      <x:c r="M1265" s="87" t="n">
        <x:f>IF($P1265="","",INDEX(Tasks!$J$10:$J$1941,$P1265))</x:f>
        <x:v>46203</x:v>
      </x:c>
      <x:c r="N1265" s="85" t="str">
        <x:f>IF($P1265="","",HYPERLINK("#'"&amp;INDEX(Tasks!$T$10:$T$1941,$P1265)&amp;"'!A"&amp;INDEX(Tasks!$U$10:$U$1941,$P1265),"Open"))</x:f>
        <x:v>Open</x:v>
      </x:c>
      <x:c r="O1265" s="14"/>
      <x:c r="P1265" s="14" t="n">
        <x:f>IF(1244&gt;$B$10,"",MATCH(1244,Tasks!$S$10:$S$1941,0))</x:f>
        <x:v>1608</x:v>
      </x:c>
    </x:row>
    <x:row r="1266" ht="58" customHeight="1">
      <x:c r="B1266" s="86" t="str">
        <x:f>IF($P1266="","",INDEX(Tasks!$B$10:$B$1941,$P1266))</x:f>
        <x:v>Cycle 2</x:v>
      </x:c>
      <x:c r="C1266" s="86" t="str">
        <x:f>IF($P1266="","",INDEX(Tasks!$C$10:$C$1941,$P1266))</x:f>
        <x:v>Phase 3</x:v>
      </x:c>
      <x:c r="D1266" s="86" t="str">
        <x:f>IF($P1266="","",INDEX(Tasks!$D$10:$D$1941,$P1266))</x:f>
        <x:v>FCM</x:v>
      </x:c>
      <x:c r="E1266" s="86"/>
      <x:c r="F1266" s="86" t="str">
        <x:f>IF($P1266="","",INDEX(Tasks!$E$10:$E$1941,$P1266))</x:f>
        <x:v>Design &amp; Insights</x:v>
      </x:c>
      <x:c r="G1266" s="86"/>
      <x:c r="H1266" s="14" t="str">
        <x:f>IF($P1266="","",INDEX(Tasks!$F$10:$F$1941,$P1266)&amp;CHAR(10)&amp;INDEX(Tasks!$G$10:$G$1941,$P1266))</x:f>
        <x:v>DI.FC.3.4
Update Outcome portion of research plan (as needed)</x:v>
      </x:c>
      <x:c r="I1266" s="14"/>
      <x:c r="J1266" s="14"/>
      <x:c r="K1266" s="14"/>
      <x:c r="L1266" s="86" t="str">
        <x:f>IF($P1266="","",INDEX(Tasks!$N$10:$N$1941,$P1266))</x:f>
        <x:v>Not started</x:v>
      </x:c>
      <x:c r="M1266" s="87" t="n">
        <x:f>IF($P1266="","",INDEX(Tasks!$J$10:$J$1941,$P1266))</x:f>
        <x:v>46203</x:v>
      </x:c>
      <x:c r="N1266" s="85" t="str">
        <x:f>IF($P1266="","",HYPERLINK("#'"&amp;INDEX(Tasks!$T$10:$T$1941,$P1266)&amp;"'!A"&amp;INDEX(Tasks!$U$10:$U$1941,$P1266),"Open"))</x:f>
        <x:v>Open</x:v>
      </x:c>
      <x:c r="O1266" s="14"/>
      <x:c r="P1266" s="14" t="n">
        <x:f>IF(1245&gt;$B$10,"",MATCH(1245,Tasks!$S$10:$S$1941,0))</x:f>
        <x:v>1609</x:v>
      </x:c>
    </x:row>
    <x:row r="1267" ht="58" customHeight="1">
      <x:c r="B1267" s="86" t="str">
        <x:f>IF($P1267="","",INDEX(Tasks!$B$10:$B$1941,$P1267))</x:f>
        <x:v>Cycle 2</x:v>
      </x:c>
      <x:c r="C1267" s="86" t="str">
        <x:f>IF($P1267="","",INDEX(Tasks!$C$10:$C$1941,$P1267))</x:f>
        <x:v>Phase 3</x:v>
      </x:c>
      <x:c r="D1267" s="86" t="str">
        <x:f>IF($P1267="","",INDEX(Tasks!$D$10:$D$1941,$P1267))</x:f>
        <x:v>FCM</x:v>
      </x:c>
      <x:c r="E1267" s="86"/>
      <x:c r="F1267" s="86" t="str">
        <x:f>IF($P1267="","",INDEX(Tasks!$E$10:$E$1941,$P1267))</x:f>
        <x:v>Design &amp; Insights</x:v>
      </x:c>
      <x:c r="G1267" s="86"/>
      <x:c r="H1267" s="14" t="str">
        <x:f>IF($P1267="","",INDEX(Tasks!$F$10:$F$1941,$P1267)&amp;CHAR(10)&amp;INDEX(Tasks!$G$10:$G$1941,$P1267))</x:f>
        <x:v>DI.FC.3.5
Finalize presentation deck by incorporating pre-socialization feedback (as needed)</x:v>
      </x:c>
      <x:c r="I1267" s="14"/>
      <x:c r="J1267" s="14"/>
      <x:c r="K1267" s="14"/>
      <x:c r="L1267" s="86" t="str">
        <x:f>IF($P1267="","",INDEX(Tasks!$N$10:$N$1941,$P1267))</x:f>
        <x:v>Not started</x:v>
      </x:c>
      <x:c r="M1267" s="87" t="n">
        <x:f>IF($P1267="","",INDEX(Tasks!$J$10:$J$1941,$P1267))</x:f>
        <x:v>46203</x:v>
      </x:c>
      <x:c r="N1267" s="85" t="str">
        <x:f>IF($P1267="","",HYPERLINK("#'"&amp;INDEX(Tasks!$T$10:$T$1941,$P1267)&amp;"'!A"&amp;INDEX(Tasks!$U$10:$U$1941,$P1267),"Open"))</x:f>
        <x:v>Open</x:v>
      </x:c>
      <x:c r="O1267" s="14"/>
      <x:c r="P1267" s="14" t="n">
        <x:f>IF(1246&gt;$B$10,"",MATCH(1246,Tasks!$S$10:$S$1941,0))</x:f>
        <x:v>1610</x:v>
      </x:c>
    </x:row>
    <x:row r="1268" ht="58" customHeight="1">
      <x:c r="B1268" s="86" t="str">
        <x:f>IF($P1268="","",INDEX(Tasks!$B$10:$B$1941,$P1268))</x:f>
        <x:v>Cycle 2</x:v>
      </x:c>
      <x:c r="C1268" s="86" t="str">
        <x:f>IF($P1268="","",INDEX(Tasks!$C$10:$C$1941,$P1268))</x:f>
        <x:v>Phase 3</x:v>
      </x:c>
      <x:c r="D1268" s="86" t="str">
        <x:f>IF($P1268="","",INDEX(Tasks!$D$10:$D$1941,$P1268))</x:f>
        <x:v>FCM</x:v>
      </x:c>
      <x:c r="E1268" s="86"/>
      <x:c r="F1268" s="86" t="str">
        <x:f>IF($P1268="","",INDEX(Tasks!$E$10:$E$1941,$P1268))</x:f>
        <x:v>Design &amp; Insights</x:v>
      </x:c>
      <x:c r="G1268" s="86"/>
      <x:c r="H1268" s="14" t="str">
        <x:f>IF($P1268="","",INDEX(Tasks!$F$10:$F$1941,$P1268)&amp;CHAR(10)&amp;INDEX(Tasks!$G$10:$G$1941,$P1268))</x:f>
        <x:v>DI.FC.3.6
Ensure final deck is communicated to Forum attendees</x:v>
      </x:c>
      <x:c r="I1268" s="14"/>
      <x:c r="J1268" s="14"/>
      <x:c r="K1268" s="14"/>
      <x:c r="L1268" s="86" t="str">
        <x:f>IF($P1268="","",INDEX(Tasks!$N$10:$N$1941,$P1268))</x:f>
        <x:v>Not started</x:v>
      </x:c>
      <x:c r="M1268" s="87" t="n">
        <x:f>IF($P1268="","",INDEX(Tasks!$J$10:$J$1941,$P1268))</x:f>
        <x:v>46203</x:v>
      </x:c>
      <x:c r="N1268" s="85" t="str">
        <x:f>IF($P1268="","",HYPERLINK("#'"&amp;INDEX(Tasks!$T$10:$T$1941,$P1268)&amp;"'!A"&amp;INDEX(Tasks!$U$10:$U$1941,$P1268),"Open"))</x:f>
        <x:v>Open</x:v>
      </x:c>
      <x:c r="O1268" s="14"/>
      <x:c r="P1268" s="14" t="n">
        <x:f>IF(1247&gt;$B$10,"",MATCH(1247,Tasks!$S$10:$S$1941,0))</x:f>
        <x:v>1611</x:v>
      </x:c>
    </x:row>
    <x:row r="1269" ht="58" customHeight="1">
      <x:c r="B1269" s="86" t="str">
        <x:f>IF($P1269="","",INDEX(Tasks!$B$10:$B$1941,$P1269))</x:f>
        <x:v>Cycle 2</x:v>
      </x:c>
      <x:c r="C1269" s="86" t="str">
        <x:f>IF($P1269="","",INDEX(Tasks!$C$10:$C$1941,$P1269))</x:f>
        <x:v>Phase 3</x:v>
      </x:c>
      <x:c r="D1269" s="86" t="str">
        <x:f>IF($P1269="","",INDEX(Tasks!$D$10:$D$1941,$P1269))</x:f>
        <x:v>FCM</x:v>
      </x:c>
      <x:c r="E1269" s="86"/>
      <x:c r="F1269" s="86" t="str">
        <x:f>IF($P1269="","",INDEX(Tasks!$E$10:$E$1941,$P1269))</x:f>
        <x:v>Design &amp; Insights</x:v>
      </x:c>
      <x:c r="G1269" s="86"/>
      <x:c r="H1269" s="14" t="str">
        <x:f>IF($P1269="","",INDEX(Tasks!$F$10:$F$1941,$P1269)&amp;CHAR(10)&amp;INDEX(Tasks!$G$10:$G$1941,$P1269))</x:f>
        <x:v>DI.FC.3.7
Present material in RCA Cycle Forum</x:v>
      </x:c>
      <x:c r="I1269" s="14"/>
      <x:c r="J1269" s="14"/>
      <x:c r="K1269" s="14"/>
      <x:c r="L1269" s="86" t="str">
        <x:f>IF($P1269="","",INDEX(Tasks!$N$10:$N$1941,$P1269))</x:f>
        <x:v>Not started</x:v>
      </x:c>
      <x:c r="M1269" s="87" t="str">
        <x:f>IF($P1269="","",INDEX(Tasks!$J$10:$J$1941,$P1269))</x:f>
      </x:c>
      <x:c r="N1269" s="85" t="str">
        <x:f>IF($P1269="","",HYPERLINK("#'"&amp;INDEX(Tasks!$T$10:$T$1941,$P1269)&amp;"'!A"&amp;INDEX(Tasks!$U$10:$U$1941,$P1269),"Open"))</x:f>
        <x:v>Open</x:v>
      </x:c>
      <x:c r="O1269" s="14"/>
      <x:c r="P1269" s="14" t="n">
        <x:f>IF(1248&gt;$B$10,"",MATCH(1248,Tasks!$S$10:$S$1941,0))</x:f>
        <x:v>1612</x:v>
      </x:c>
    </x:row>
    <x:row r="1270" ht="58" customHeight="1">
      <x:c r="B1270" s="86" t="str">
        <x:f>IF($P1270="","",INDEX(Tasks!$B$10:$B$1941,$P1270))</x:f>
        <x:v>Cycle 2</x:v>
      </x:c>
      <x:c r="C1270" s="86" t="str">
        <x:f>IF($P1270="","",INDEX(Tasks!$C$10:$C$1941,$P1270))</x:f>
        <x:v>Phase 1</x:v>
      </x:c>
      <x:c r="D1270" s="86" t="str">
        <x:f>IF($P1270="","",INDEX(Tasks!$D$10:$D$1941,$P1270))</x:f>
        <x:v>PLL</x:v>
      </x:c>
      <x:c r="E1270" s="86"/>
      <x:c r="F1270" s="86" t="str">
        <x:f>IF($P1270="","",INDEX(Tasks!$E$10:$E$1941,$P1270))</x:f>
        <x:v>Design &amp; Insights</x:v>
      </x:c>
      <x:c r="G1270" s="86"/>
      <x:c r="H1270" s="14" t="str">
        <x:f>IF($P1270="","",INDEX(Tasks!$F$10:$F$1941,$P1270)&amp;CHAR(10)&amp;INDEX(Tasks!$G$10:$G$1941,$P1270))</x:f>
        <x:v>DI.PL.1.1
Receive and review potential research topics at least 2 weeks prior to Cycle start date</x:v>
      </x:c>
      <x:c r="I1270" s="14"/>
      <x:c r="J1270" s="14"/>
      <x:c r="K1270" s="14"/>
      <x:c r="L1270" s="86" t="str">
        <x:f>IF($P1270="","",INDEX(Tasks!$N$10:$N$1941,$P1270))</x:f>
        <x:v>Not started</x:v>
      </x:c>
      <x:c r="M1270" s="87" t="n">
        <x:f>IF($P1270="","",INDEX(Tasks!$J$10:$J$1941,$P1270))</x:f>
        <x:v>46099</x:v>
      </x:c>
      <x:c r="N1270" s="85" t="str">
        <x:f>IF($P1270="","",HYPERLINK("#'"&amp;INDEX(Tasks!$T$10:$T$1941,$P1270)&amp;"'!A"&amp;INDEX(Tasks!$U$10:$U$1941,$P1270),"Open"))</x:f>
        <x:v>Open</x:v>
      </x:c>
      <x:c r="O1270" s="14"/>
      <x:c r="P1270" s="14" t="n">
        <x:f>IF(1249&gt;$B$10,"",MATCH(1249,Tasks!$S$10:$S$1941,0))</x:f>
        <x:v>1613</x:v>
      </x:c>
    </x:row>
    <x:row r="1271" ht="58" customHeight="1">
      <x:c r="B1271" s="86" t="str">
        <x:f>IF($P1271="","",INDEX(Tasks!$B$10:$B$1941,$P1271))</x:f>
        <x:v>Cycle 2</x:v>
      </x:c>
      <x:c r="C1271" s="86" t="str">
        <x:f>IF($P1271="","",INDEX(Tasks!$C$10:$C$1941,$P1271))</x:f>
        <x:v>Phase 1</x:v>
      </x:c>
      <x:c r="D1271" s="86" t="str">
        <x:f>IF($P1271="","",INDEX(Tasks!$D$10:$D$1941,$P1271))</x:f>
        <x:v>PLL</x:v>
      </x:c>
      <x:c r="E1271" s="86"/>
      <x:c r="F1271" s="86" t="str">
        <x:f>IF($P1271="","",INDEX(Tasks!$E$10:$E$1941,$P1271))</x:f>
        <x:v>Design &amp; Insights</x:v>
      </x:c>
      <x:c r="G1271" s="86"/>
      <x:c r="H1271" s="14" t="str">
        <x:f>IF($P1271="","",INDEX(Tasks!$F$10:$F$1941,$P1271)&amp;CHAR(10)&amp;INDEX(Tasks!$G$10:$G$1941,$P1271))</x:f>
        <x:v>DI.PL.1.2
Communicate any feedback on preferences or concerns with topics identified</x:v>
      </x:c>
      <x:c r="I1271" s="14"/>
      <x:c r="J1271" s="14"/>
      <x:c r="K1271" s="14"/>
      <x:c r="L1271" s="86" t="str">
        <x:f>IF($P1271="","",INDEX(Tasks!$N$10:$N$1941,$P1271))</x:f>
        <x:v>Not started</x:v>
      </x:c>
      <x:c r="M1271" s="87" t="n">
        <x:f>IF($P1271="","",INDEX(Tasks!$J$10:$J$1941,$P1271))</x:f>
        <x:v>46203</x:v>
      </x:c>
      <x:c r="N1271" s="85" t="str">
        <x:f>IF($P1271="","",HYPERLINK("#'"&amp;INDEX(Tasks!$T$10:$T$1941,$P1271)&amp;"'!A"&amp;INDEX(Tasks!$U$10:$U$1941,$P1271),"Open"))</x:f>
        <x:v>Open</x:v>
      </x:c>
      <x:c r="O1271" s="14"/>
      <x:c r="P1271" s="14" t="n">
        <x:f>IF(1250&gt;$B$10,"",MATCH(1250,Tasks!$S$10:$S$1941,0))</x:f>
        <x:v>1614</x:v>
      </x:c>
    </x:row>
    <x:row r="1272" ht="58" customHeight="1">
      <x:c r="B1272" s="86" t="str">
        <x:f>IF($P1272="","",INDEX(Tasks!$B$10:$B$1941,$P1272))</x:f>
        <x:v>Cycle 2</x:v>
      </x:c>
      <x:c r="C1272" s="86" t="str">
        <x:f>IF($P1272="","",INDEX(Tasks!$C$10:$C$1941,$P1272))</x:f>
        <x:v>Phase 1</x:v>
      </x:c>
      <x:c r="D1272" s="86" t="str">
        <x:f>IF($P1272="","",INDEX(Tasks!$D$10:$D$1941,$P1272))</x:f>
        <x:v>PLL</x:v>
      </x:c>
      <x:c r="E1272" s="86"/>
      <x:c r="F1272" s="86" t="str">
        <x:f>IF($P1272="","",INDEX(Tasks!$E$10:$E$1941,$P1272))</x:f>
        <x:v>Design &amp; Insights</x:v>
      </x:c>
      <x:c r="G1272" s="86"/>
      <x:c r="H1272" s="14" t="str">
        <x:f>IF($P1272="","",INDEX(Tasks!$F$10:$F$1941,$P1272)&amp;CHAR(10)&amp;INDEX(Tasks!$G$10:$G$1941,$P1272))</x:f>
        <x:v>DI.PL.1.3
Conduct high-level preliminary review of complaints within proposed topics</x:v>
      </x:c>
      <x:c r="I1272" s="14"/>
      <x:c r="J1272" s="14"/>
      <x:c r="K1272" s="14"/>
      <x:c r="L1272" s="86" t="str">
        <x:f>IF($P1272="","",INDEX(Tasks!$N$10:$N$1941,$P1272))</x:f>
        <x:v>Not started</x:v>
      </x:c>
      <x:c r="M1272" s="87" t="n">
        <x:f>IF($P1272="","",INDEX(Tasks!$J$10:$J$1941,$P1272))</x:f>
        <x:v>46203</x:v>
      </x:c>
      <x:c r="N1272" s="85" t="str">
        <x:f>IF($P1272="","",HYPERLINK("#'"&amp;INDEX(Tasks!$T$10:$T$1941,$P1272)&amp;"'!A"&amp;INDEX(Tasks!$U$10:$U$1941,$P1272),"Open"))</x:f>
        <x:v>Open</x:v>
      </x:c>
      <x:c r="O1272" s="14"/>
      <x:c r="P1272" s="14" t="n">
        <x:f>IF(1251&gt;$B$10,"",MATCH(1251,Tasks!$S$10:$S$1941,0))</x:f>
        <x:v>1615</x:v>
      </x:c>
    </x:row>
    <x:row r="1273" ht="58" customHeight="1">
      <x:c r="B1273" s="86" t="str">
        <x:f>IF($P1273="","",INDEX(Tasks!$B$10:$B$1941,$P1273))</x:f>
        <x:v>Cycle 2</x:v>
      </x:c>
      <x:c r="C1273" s="86" t="str">
        <x:f>IF($P1273="","",INDEX(Tasks!$C$10:$C$1941,$P1273))</x:f>
        <x:v>Phase 1</x:v>
      </x:c>
      <x:c r="D1273" s="86" t="str">
        <x:f>IF($P1273="","",INDEX(Tasks!$D$10:$D$1941,$P1273))</x:f>
        <x:v>PLL</x:v>
      </x:c>
      <x:c r="E1273" s="86"/>
      <x:c r="F1273" s="86" t="str">
        <x:f>IF($P1273="","",INDEX(Tasks!$E$10:$E$1941,$P1273))</x:f>
        <x:v>Design &amp; Insights</x:v>
      </x:c>
      <x:c r="G1273" s="86"/>
      <x:c r="H1273" s="14" t="str">
        <x:f>IF($P1273="","",INDEX(Tasks!$F$10:$F$1941,$P1273)&amp;CHAR(10)&amp;INDEX(Tasks!$G$10:$G$1941,$P1273))</x:f>
        <x:v>DI.PL.1.4
Meet with Research to discuss which topic to select based on potential impact</x:v>
      </x:c>
      <x:c r="I1273" s="14"/>
      <x:c r="J1273" s="14"/>
      <x:c r="K1273" s="14"/>
      <x:c r="L1273" s="86" t="str">
        <x:f>IF($P1273="","",INDEX(Tasks!$N$10:$N$1941,$P1273))</x:f>
        <x:v>Not started</x:v>
      </x:c>
      <x:c r="M1273" s="87" t="n">
        <x:f>IF($P1273="","",INDEX(Tasks!$J$10:$J$1941,$P1273))</x:f>
        <x:v>46203</x:v>
      </x:c>
      <x:c r="N1273" s="85" t="str">
        <x:f>IF($P1273="","",HYPERLINK("#'"&amp;INDEX(Tasks!$T$10:$T$1941,$P1273)&amp;"'!A"&amp;INDEX(Tasks!$U$10:$U$1941,$P1273),"Open"))</x:f>
        <x:v>Open</x:v>
      </x:c>
      <x:c r="O1273" s="14"/>
      <x:c r="P1273" s="14" t="n">
        <x:f>IF(1252&gt;$B$10,"",MATCH(1252,Tasks!$S$10:$S$1941,0))</x:f>
        <x:v>1616</x:v>
      </x:c>
    </x:row>
    <x:row r="1274" ht="58" customHeight="1">
      <x:c r="B1274" s="86" t="str">
        <x:f>IF($P1274="","",INDEX(Tasks!$B$10:$B$1941,$P1274))</x:f>
        <x:v>Cycle 2</x:v>
      </x:c>
      <x:c r="C1274" s="86" t="str">
        <x:f>IF($P1274="","",INDEX(Tasks!$C$10:$C$1941,$P1274))</x:f>
        <x:v>Phase 1</x:v>
      </x:c>
      <x:c r="D1274" s="86" t="str">
        <x:f>IF($P1274="","",INDEX(Tasks!$D$10:$D$1941,$P1274))</x:f>
        <x:v>PLL</x:v>
      </x:c>
      <x:c r="E1274" s="86"/>
      <x:c r="F1274" s="86" t="str">
        <x:f>IF($P1274="","",INDEX(Tasks!$E$10:$E$1941,$P1274))</x:f>
        <x:v>Design &amp; Insights</x:v>
      </x:c>
      <x:c r="G1274" s="86"/>
      <x:c r="H1274" s="14" t="str">
        <x:f>IF($P1274="","",INDEX(Tasks!$F$10:$F$1941,$P1274)&amp;CHAR(10)&amp;INDEX(Tasks!$G$10:$G$1941,$P1274))</x:f>
        <x:v>DI.PL.1.5
Confirm with Research the recommended topic for approval</x:v>
      </x:c>
      <x:c r="I1274" s="14"/>
      <x:c r="J1274" s="14"/>
      <x:c r="K1274" s="14"/>
      <x:c r="L1274" s="86" t="str">
        <x:f>IF($P1274="","",INDEX(Tasks!$N$10:$N$1941,$P1274))</x:f>
        <x:v>Not started</x:v>
      </x:c>
      <x:c r="M1274" s="87" t="n">
        <x:f>IF($P1274="","",INDEX(Tasks!$J$10:$J$1941,$P1274))</x:f>
        <x:v>46203</x:v>
      </x:c>
      <x:c r="N1274" s="85" t="str">
        <x:f>IF($P1274="","",HYPERLINK("#'"&amp;INDEX(Tasks!$T$10:$T$1941,$P1274)&amp;"'!A"&amp;INDEX(Tasks!$U$10:$U$1941,$P1274),"Open"))</x:f>
        <x:v>Open</x:v>
      </x:c>
      <x:c r="O1274" s="14"/>
      <x:c r="P1274" s="14" t="n">
        <x:f>IF(1253&gt;$B$10,"",MATCH(1253,Tasks!$S$10:$S$1941,0))</x:f>
        <x:v>1617</x:v>
      </x:c>
    </x:row>
    <x:row r="1275" ht="58" customHeight="1">
      <x:c r="B1275" s="86" t="str">
        <x:f>IF($P1275="","",INDEX(Tasks!$B$10:$B$1941,$P1275))</x:f>
        <x:v>Cycle 2</x:v>
      </x:c>
      <x:c r="C1275" s="86" t="str">
        <x:f>IF($P1275="","",INDEX(Tasks!$C$10:$C$1941,$P1275))</x:f>
        <x:v>Phase 1</x:v>
      </x:c>
      <x:c r="D1275" s="86" t="str">
        <x:f>IF($P1275="","",INDEX(Tasks!$D$10:$D$1941,$P1275))</x:f>
        <x:v>PLL</x:v>
      </x:c>
      <x:c r="E1275" s="86"/>
      <x:c r="F1275" s="86" t="str">
        <x:f>IF($P1275="","",INDEX(Tasks!$E$10:$E$1941,$P1275))</x:f>
        <x:v>Design &amp; Insights</x:v>
      </x:c>
      <x:c r="G1275" s="86"/>
      <x:c r="H1275" s="14" t="str">
        <x:f>IF($P1275="","",INDEX(Tasks!$F$10:$F$1941,$P1275)&amp;CHAR(10)&amp;INDEX(Tasks!$G$10:$G$1941,$P1275))</x:f>
        <x:v>DI.PL.1.6
Send topic selection socialization email to all key stakeholders on the first day of the review Cycle</x:v>
      </x:c>
      <x:c r="I1275" s="14"/>
      <x:c r="J1275" s="14"/>
      <x:c r="K1275" s="14"/>
      <x:c r="L1275" s="86" t="str">
        <x:f>IF($P1275="","",INDEX(Tasks!$N$10:$N$1941,$P1275))</x:f>
        <x:v>Not started</x:v>
      </x:c>
      <x:c r="M1275" s="87" t="n">
        <x:f>IF($P1275="","",INDEX(Tasks!$J$10:$J$1941,$P1275))</x:f>
        <x:v>46113</x:v>
      </x:c>
      <x:c r="N1275" s="85" t="str">
        <x:f>IF($P1275="","",HYPERLINK("#'"&amp;INDEX(Tasks!$T$10:$T$1941,$P1275)&amp;"'!A"&amp;INDEX(Tasks!$U$10:$U$1941,$P1275),"Open"))</x:f>
        <x:v>Open</x:v>
      </x:c>
      <x:c r="O1275" s="14"/>
      <x:c r="P1275" s="14" t="n">
        <x:f>IF(1254&gt;$B$10,"",MATCH(1254,Tasks!$S$10:$S$1941,0))</x:f>
        <x:v>1618</x:v>
      </x:c>
    </x:row>
    <x:row r="1276" ht="58" customHeight="1">
      <x:c r="B1276" s="86" t="str">
        <x:f>IF($P1276="","",INDEX(Tasks!$B$10:$B$1941,$P1276))</x:f>
        <x:v>Cycle 2</x:v>
      </x:c>
      <x:c r="C1276" s="86" t="str">
        <x:f>IF($P1276="","",INDEX(Tasks!$C$10:$C$1941,$P1276))</x:f>
        <x:v>Phase 2</x:v>
      </x:c>
      <x:c r="D1276" s="86" t="str">
        <x:f>IF($P1276="","",INDEX(Tasks!$D$10:$D$1941,$P1276))</x:f>
        <x:v>PLL</x:v>
      </x:c>
      <x:c r="E1276" s="86"/>
      <x:c r="F1276" s="86" t="str">
        <x:f>IF($P1276="","",INDEX(Tasks!$E$10:$E$1941,$P1276))</x:f>
        <x:v>Design &amp; Insights</x:v>
      </x:c>
      <x:c r="G1276" s="86"/>
      <x:c r="H1276" s="14" t="str">
        <x:f>IF($P1276="","",INDEX(Tasks!$F$10:$F$1941,$P1276)&amp;CHAR(10)&amp;INDEX(Tasks!$G$10:$G$1941,$P1276))</x:f>
        <x:v>DI.PL.2.1
Meet regularly with Research to stay informed on progress, findings, and potential enhancement</x:v>
      </x:c>
      <x:c r="I1276" s="14"/>
      <x:c r="J1276" s="14"/>
      <x:c r="K1276" s="14"/>
      <x:c r="L1276" s="86" t="str">
        <x:f>IF($P1276="","",INDEX(Tasks!$N$10:$N$1941,$P1276))</x:f>
        <x:v>Not started</x:v>
      </x:c>
      <x:c r="M1276" s="87" t="n">
        <x:f>IF($P1276="","",INDEX(Tasks!$J$10:$J$1941,$P1276))</x:f>
        <x:v>46203</x:v>
      </x:c>
      <x:c r="N1276" s="85" t="str">
        <x:f>IF($P1276="","",HYPERLINK("#'"&amp;INDEX(Tasks!$T$10:$T$1941,$P1276)&amp;"'!A"&amp;INDEX(Tasks!$U$10:$U$1941,$P1276),"Open"))</x:f>
        <x:v>Open</x:v>
      </x:c>
      <x:c r="O1276" s="14"/>
      <x:c r="P1276" s="14" t="n">
        <x:f>IF(1255&gt;$B$10,"",MATCH(1255,Tasks!$S$10:$S$1941,0))</x:f>
        <x:v>1619</x:v>
      </x:c>
    </x:row>
    <x:row r="1277" ht="58" customHeight="1">
      <x:c r="B1277" s="86" t="str">
        <x:f>IF($P1277="","",INDEX(Tasks!$B$10:$B$1941,$P1277))</x:f>
        <x:v>Cycle 2</x:v>
      </x:c>
      <x:c r="C1277" s="86" t="str">
        <x:f>IF($P1277="","",INDEX(Tasks!$C$10:$C$1941,$P1277))</x:f>
        <x:v>Phase 2</x:v>
      </x:c>
      <x:c r="D1277" s="86" t="str">
        <x:f>IF($P1277="","",INDEX(Tasks!$D$10:$D$1941,$P1277))</x:f>
        <x:v>PLL</x:v>
      </x:c>
      <x:c r="E1277" s="86"/>
      <x:c r="F1277" s="86" t="str">
        <x:f>IF($P1277="","",INDEX(Tasks!$E$10:$E$1941,$P1277))</x:f>
        <x:v>Design &amp; Insights</x:v>
      </x:c>
      <x:c r="G1277" s="86"/>
      <x:c r="H1277" s="14" t="str">
        <x:f>IF($P1277="","",INDEX(Tasks!$F$10:$F$1941,$P1277)&amp;CHAR(10)&amp;INDEX(Tasks!$G$10:$G$1941,$P1277))</x:f>
        <x:v>DI.PL.2.2
Collaborate with Research on research plan specifics</x:v>
      </x:c>
      <x:c r="I1277" s="14"/>
      <x:c r="J1277" s="14"/>
      <x:c r="K1277" s="14"/>
      <x:c r="L1277" s="86" t="str">
        <x:f>IF($P1277="","",INDEX(Tasks!$N$10:$N$1941,$P1277))</x:f>
        <x:v>Not started</x:v>
      </x:c>
      <x:c r="M1277" s="87" t="n">
        <x:f>IF($P1277="","",INDEX(Tasks!$J$10:$J$1941,$P1277))</x:f>
        <x:v>46203</x:v>
      </x:c>
      <x:c r="N1277" s="85" t="str">
        <x:f>IF($P1277="","",HYPERLINK("#'"&amp;INDEX(Tasks!$T$10:$T$1941,$P1277)&amp;"'!A"&amp;INDEX(Tasks!$U$10:$U$1941,$P1277),"Open"))</x:f>
        <x:v>Open</x:v>
      </x:c>
      <x:c r="O1277" s="14"/>
      <x:c r="P1277" s="14" t="n">
        <x:f>IF(1256&gt;$B$10,"",MATCH(1256,Tasks!$S$10:$S$1941,0))</x:f>
        <x:v>1620</x:v>
      </x:c>
    </x:row>
    <x:row r="1278" ht="58" customHeight="1">
      <x:c r="B1278" s="86" t="str">
        <x:f>IF($P1278="","",INDEX(Tasks!$B$10:$B$1941,$P1278))</x:f>
        <x:v>Cycle 2</x:v>
      </x:c>
      <x:c r="C1278" s="86" t="str">
        <x:f>IF($P1278="","",INDEX(Tasks!$C$10:$C$1941,$P1278))</x:f>
        <x:v>Phase 2</x:v>
      </x:c>
      <x:c r="D1278" s="86" t="str">
        <x:f>IF($P1278="","",INDEX(Tasks!$D$10:$D$1941,$P1278))</x:f>
        <x:v>PLL</x:v>
      </x:c>
      <x:c r="E1278" s="86"/>
      <x:c r="F1278" s="86" t="str">
        <x:f>IF($P1278="","",INDEX(Tasks!$E$10:$E$1941,$P1278))</x:f>
        <x:v>Design &amp; Insights</x:v>
      </x:c>
      <x:c r="G1278" s="86"/>
      <x:c r="H1278" s="14" t="str">
        <x:f>IF($P1278="","",INDEX(Tasks!$F$10:$F$1941,$P1278)&amp;CHAR(10)&amp;INDEX(Tasks!$G$10:$G$1941,$P1278))</x:f>
        <x:v>DI.PL.2.3
Participate in SME insight meetings to gain perspective and appetite on potential enhancements</x:v>
      </x:c>
      <x:c r="I1278" s="14"/>
      <x:c r="J1278" s="14"/>
      <x:c r="K1278" s="14"/>
      <x:c r="L1278" s="86" t="str">
        <x:f>IF($P1278="","",INDEX(Tasks!$N$10:$N$1941,$P1278))</x:f>
        <x:v>Not started</x:v>
      </x:c>
      <x:c r="M1278" s="87" t="n">
        <x:f>IF($P1278="","",INDEX(Tasks!$J$10:$J$1941,$P1278))</x:f>
        <x:v>46203</x:v>
      </x:c>
      <x:c r="N1278" s="85" t="str">
        <x:f>IF($P1278="","",HYPERLINK("#'"&amp;INDEX(Tasks!$T$10:$T$1941,$P1278)&amp;"'!A"&amp;INDEX(Tasks!$U$10:$U$1941,$P1278),"Open"))</x:f>
        <x:v>Open</x:v>
      </x:c>
      <x:c r="O1278" s="14"/>
      <x:c r="P1278" s="14" t="n">
        <x:f>IF(1257&gt;$B$10,"",MATCH(1257,Tasks!$S$10:$S$1941,0))</x:f>
        <x:v>1621</x:v>
      </x:c>
    </x:row>
    <x:row r="1279" ht="58" customHeight="1">
      <x:c r="B1279" s="86" t="str">
        <x:f>IF($P1279="","",INDEX(Tasks!$B$10:$B$1941,$P1279))</x:f>
        <x:v>Cycle 2</x:v>
      </x:c>
      <x:c r="C1279" s="86" t="str">
        <x:f>IF($P1279="","",INDEX(Tasks!$C$10:$C$1941,$P1279))</x:f>
        <x:v>Phase 2</x:v>
      </x:c>
      <x:c r="D1279" s="86" t="str">
        <x:f>IF($P1279="","",INDEX(Tasks!$D$10:$D$1941,$P1279))</x:f>
        <x:v>PLL</x:v>
      </x:c>
      <x:c r="E1279" s="86"/>
      <x:c r="F1279" s="86" t="str">
        <x:f>IF($P1279="","",INDEX(Tasks!$E$10:$E$1941,$P1279))</x:f>
        <x:v>Design &amp; Insights</x:v>
      </x:c>
      <x:c r="G1279" s="86"/>
      <x:c r="H1279" s="14" t="str">
        <x:f>IF($P1279="","",INDEX(Tasks!$F$10:$F$1941,$P1279)&amp;CHAR(10)&amp;INDEX(Tasks!$G$10:$G$1941,$P1279))</x:f>
        <x:v>DI.PL.2.4
Begin development of presentation materials as Research is being completed</x:v>
      </x:c>
      <x:c r="I1279" s="14"/>
      <x:c r="J1279" s="14"/>
      <x:c r="K1279" s="14"/>
      <x:c r="L1279" s="86" t="str">
        <x:f>IF($P1279="","",INDEX(Tasks!$N$10:$N$1941,$P1279))</x:f>
        <x:v>Not started</x:v>
      </x:c>
      <x:c r="M1279" s="87" t="n">
        <x:f>IF($P1279="","",INDEX(Tasks!$J$10:$J$1941,$P1279))</x:f>
        <x:v>46203</x:v>
      </x:c>
      <x:c r="N1279" s="85" t="str">
        <x:f>IF($P1279="","",HYPERLINK("#'"&amp;INDEX(Tasks!$T$10:$T$1941,$P1279)&amp;"'!A"&amp;INDEX(Tasks!$U$10:$U$1941,$P1279),"Open"))</x:f>
        <x:v>Open</x:v>
      </x:c>
      <x:c r="O1279" s="14"/>
      <x:c r="P1279" s="14" t="n">
        <x:f>IF(1258&gt;$B$10,"",MATCH(1258,Tasks!$S$10:$S$1941,0))</x:f>
        <x:v>1622</x:v>
      </x:c>
    </x:row>
    <x:row r="1280" ht="58" customHeight="1">
      <x:c r="B1280" s="86" t="str">
        <x:f>IF($P1280="","",INDEX(Tasks!$B$10:$B$1941,$P1280))</x:f>
        <x:v>Cycle 2</x:v>
      </x:c>
      <x:c r="C1280" s="86" t="str">
        <x:f>IF($P1280="","",INDEX(Tasks!$C$10:$C$1941,$P1280))</x:f>
        <x:v>Phase 2</x:v>
      </x:c>
      <x:c r="D1280" s="86" t="str">
        <x:f>IF($P1280="","",INDEX(Tasks!$D$10:$D$1941,$P1280))</x:f>
        <x:v>PLL</x:v>
      </x:c>
      <x:c r="E1280" s="86"/>
      <x:c r="F1280" s="86" t="str">
        <x:f>IF($P1280="","",INDEX(Tasks!$E$10:$E$1941,$P1280))</x:f>
        <x:v>Design &amp; Insights</x:v>
      </x:c>
      <x:c r="G1280" s="86"/>
      <x:c r="H1280" s="14" t="str">
        <x:f>IF($P1280="","",INDEX(Tasks!$F$10:$F$1941,$P1280)&amp;CHAR(10)&amp;INDEX(Tasks!$G$10:$G$1941,$P1280))</x:f>
        <x:v>DI.PL.2.5
Draft initial enhancement recommendations (as applicable)</x:v>
      </x:c>
      <x:c r="I1280" s="14"/>
      <x:c r="J1280" s="14"/>
      <x:c r="K1280" s="14"/>
      <x:c r="L1280" s="86" t="str">
        <x:f>IF($P1280="","",INDEX(Tasks!$N$10:$N$1941,$P1280))</x:f>
        <x:v>Not started</x:v>
      </x:c>
      <x:c r="M1280" s="87" t="n">
        <x:f>IF($P1280="","",INDEX(Tasks!$J$10:$J$1941,$P1280))</x:f>
        <x:v>46203</x:v>
      </x:c>
      <x:c r="N1280" s="85" t="str">
        <x:f>IF($P1280="","",HYPERLINK("#'"&amp;INDEX(Tasks!$T$10:$T$1941,$P1280)&amp;"'!A"&amp;INDEX(Tasks!$U$10:$U$1941,$P1280),"Open"))</x:f>
        <x:v>Open</x:v>
      </x:c>
      <x:c r="O1280" s="14"/>
      <x:c r="P1280" s="14" t="n">
        <x:f>IF(1259&gt;$B$10,"",MATCH(1259,Tasks!$S$10:$S$1941,0))</x:f>
        <x:v>1623</x:v>
      </x:c>
    </x:row>
    <x:row r="1281" ht="58" customHeight="1">
      <x:c r="B1281" s="86" t="str">
        <x:f>IF($P1281="","",INDEX(Tasks!$B$10:$B$1941,$P1281))</x:f>
        <x:v>Cycle 2</x:v>
      </x:c>
      <x:c r="C1281" s="86" t="str">
        <x:f>IF($P1281="","",INDEX(Tasks!$C$10:$C$1941,$P1281))</x:f>
        <x:v>Phase 2</x:v>
      </x:c>
      <x:c r="D1281" s="86" t="str">
        <x:f>IF($P1281="","",INDEX(Tasks!$D$10:$D$1941,$P1281))</x:f>
        <x:v>PLL</x:v>
      </x:c>
      <x:c r="E1281" s="86"/>
      <x:c r="F1281" s="86" t="str">
        <x:f>IF($P1281="","",INDEX(Tasks!$E$10:$E$1941,$P1281))</x:f>
        <x:v>Design &amp; Insights</x:v>
      </x:c>
      <x:c r="G1281" s="86"/>
      <x:c r="H1281" s="14" t="str">
        <x:f>IF($P1281="","",INDEX(Tasks!$F$10:$F$1941,$P1281)&amp;CHAR(10)&amp;INDEX(Tasks!$G$10:$G$1941,$P1281))</x:f>
        <x:v>DI.PL.2.6
Finalize presentation deck draft at conclusion of Research phase</x:v>
      </x:c>
      <x:c r="I1281" s="14"/>
      <x:c r="J1281" s="14"/>
      <x:c r="K1281" s="14"/>
      <x:c r="L1281" s="86" t="str">
        <x:f>IF($P1281="","",INDEX(Tasks!$N$10:$N$1941,$P1281))</x:f>
        <x:v>Not started</x:v>
      </x:c>
      <x:c r="M1281" s="87" t="n">
        <x:f>IF($P1281="","",INDEX(Tasks!$J$10:$J$1941,$P1281))</x:f>
        <x:v>46203</x:v>
      </x:c>
      <x:c r="N1281" s="85" t="str">
        <x:f>IF($P1281="","",HYPERLINK("#'"&amp;INDEX(Tasks!$T$10:$T$1941,$P1281)&amp;"'!A"&amp;INDEX(Tasks!$U$10:$U$1941,$P1281),"Open"))</x:f>
        <x:v>Open</x:v>
      </x:c>
      <x:c r="O1281" s="14"/>
      <x:c r="P1281" s="14" t="n">
        <x:f>IF(1260&gt;$B$10,"",MATCH(1260,Tasks!$S$10:$S$1941,0))</x:f>
        <x:v>1624</x:v>
      </x:c>
    </x:row>
    <x:row r="1282" ht="58" customHeight="1">
      <x:c r="B1282" s="86" t="str">
        <x:f>IF($P1282="","",INDEX(Tasks!$B$10:$B$1941,$P1282))</x:f>
        <x:v>Cycle 2</x:v>
      </x:c>
      <x:c r="C1282" s="86" t="str">
        <x:f>IF($P1282="","",INDEX(Tasks!$C$10:$C$1941,$P1282))</x:f>
        <x:v>Phase 2</x:v>
      </x:c>
      <x:c r="D1282" s="86" t="str">
        <x:f>IF($P1282="","",INDEX(Tasks!$D$10:$D$1941,$P1282))</x:f>
        <x:v>PLL</x:v>
      </x:c>
      <x:c r="E1282" s="86"/>
      <x:c r="F1282" s="86" t="str">
        <x:f>IF($P1282="","",INDEX(Tasks!$E$10:$E$1941,$P1282))</x:f>
        <x:v>Design &amp; Insights</x:v>
      </x:c>
      <x:c r="G1282" s="86"/>
      <x:c r="H1282" s="14" t="str">
        <x:f>IF($P1282="","",INDEX(Tasks!$F$10:$F$1941,$P1282)&amp;CHAR(10)&amp;INDEX(Tasks!$G$10:$G$1941,$P1282))</x:f>
        <x:v>DI.PL.2.7
Update Outcome portion of research plan with current enhancement verbiage (as needed)</x:v>
      </x:c>
      <x:c r="I1282" s="14"/>
      <x:c r="J1282" s="14"/>
      <x:c r="K1282" s="14"/>
      <x:c r="L1282" s="86" t="str">
        <x:f>IF($P1282="","",INDEX(Tasks!$N$10:$N$1941,$P1282))</x:f>
        <x:v>Not started</x:v>
      </x:c>
      <x:c r="M1282" s="87" t="n">
        <x:f>IF($P1282="","",INDEX(Tasks!$J$10:$J$1941,$P1282))</x:f>
        <x:v>46203</x:v>
      </x:c>
      <x:c r="N1282" s="85" t="str">
        <x:f>IF($P1282="","",HYPERLINK("#'"&amp;INDEX(Tasks!$T$10:$T$1941,$P1282)&amp;"'!A"&amp;INDEX(Tasks!$U$10:$U$1941,$P1282),"Open"))</x:f>
        <x:v>Open</x:v>
      </x:c>
      <x:c r="O1282" s="14"/>
      <x:c r="P1282" s="14" t="n">
        <x:f>IF(1261&gt;$B$10,"",MATCH(1261,Tasks!$S$10:$S$1941,0))</x:f>
        <x:v>1625</x:v>
      </x:c>
    </x:row>
    <x:row r="1283" ht="58" customHeight="1">
      <x:c r="B1283" s="86" t="str">
        <x:f>IF($P1283="","",INDEX(Tasks!$B$10:$B$1941,$P1283))</x:f>
        <x:v>Cycle 2</x:v>
      </x:c>
      <x:c r="C1283" s="86" t="str">
        <x:f>IF($P1283="","",INDEX(Tasks!$C$10:$C$1941,$P1283))</x:f>
        <x:v>Phase 3</x:v>
      </x:c>
      <x:c r="D1283" s="86" t="str">
        <x:f>IF($P1283="","",INDEX(Tasks!$D$10:$D$1941,$P1283))</x:f>
        <x:v>PLL</x:v>
      </x:c>
      <x:c r="E1283" s="86"/>
      <x:c r="F1283" s="86" t="str">
        <x:f>IF($P1283="","",INDEX(Tasks!$E$10:$E$1941,$P1283))</x:f>
        <x:v>Design &amp; Insights</x:v>
      </x:c>
      <x:c r="G1283" s="86"/>
      <x:c r="H1283" s="14" t="str">
        <x:f>IF($P1283="","",INDEX(Tasks!$F$10:$F$1941,$P1283)&amp;CHAR(10)&amp;INDEX(Tasks!$G$10:$G$1941,$P1283))</x:f>
        <x:v>DI.PL.3.1
Confirm list of required &amp; optional attendees for pre-socialization meeting</x:v>
      </x:c>
      <x:c r="I1283" s="14"/>
      <x:c r="J1283" s="14"/>
      <x:c r="K1283" s="14"/>
      <x:c r="L1283" s="86" t="str">
        <x:f>IF($P1283="","",INDEX(Tasks!$N$10:$N$1941,$P1283))</x:f>
        <x:v>Not started</x:v>
      </x:c>
      <x:c r="M1283" s="87" t="n">
        <x:f>IF($P1283="","",INDEX(Tasks!$J$10:$J$1941,$P1283))</x:f>
        <x:v>46203</x:v>
      </x:c>
      <x:c r="N1283" s="85" t="str">
        <x:f>IF($P1283="","",HYPERLINK("#'"&amp;INDEX(Tasks!$T$10:$T$1941,$P1283)&amp;"'!A"&amp;INDEX(Tasks!$U$10:$U$1941,$P1283),"Open"))</x:f>
        <x:v>Open</x:v>
      </x:c>
      <x:c r="O1283" s="14"/>
      <x:c r="P1283" s="14" t="n">
        <x:f>IF(1262&gt;$B$10,"",MATCH(1262,Tasks!$S$10:$S$1941,0))</x:f>
        <x:v>1626</x:v>
      </x:c>
    </x:row>
    <x:row r="1284" ht="58" customHeight="1">
      <x:c r="B1284" s="86" t="str">
        <x:f>IF($P1284="","",INDEX(Tasks!$B$10:$B$1941,$P1284))</x:f>
        <x:v>Cycle 2</x:v>
      </x:c>
      <x:c r="C1284" s="86" t="str">
        <x:f>IF($P1284="","",INDEX(Tasks!$C$10:$C$1941,$P1284))</x:f>
        <x:v>Phase 3</x:v>
      </x:c>
      <x:c r="D1284" s="86" t="str">
        <x:f>IF($P1284="","",INDEX(Tasks!$D$10:$D$1941,$P1284))</x:f>
        <x:v>PLL</x:v>
      </x:c>
      <x:c r="E1284" s="86"/>
      <x:c r="F1284" s="86" t="str">
        <x:f>IF($P1284="","",INDEX(Tasks!$E$10:$E$1941,$P1284))</x:f>
        <x:v>Design &amp; Insights</x:v>
      </x:c>
      <x:c r="G1284" s="86"/>
      <x:c r="H1284" s="14" t="str">
        <x:f>IF($P1284="","",INDEX(Tasks!$F$10:$F$1941,$P1284)&amp;CHAR(10)&amp;INDEX(Tasks!$G$10:$G$1941,$P1284))</x:f>
        <x:v>DI.PL.3.2
Schedule pre-socialization meeting 1 week prior to RCA Forum</x:v>
      </x:c>
      <x:c r="I1284" s="14"/>
      <x:c r="J1284" s="14"/>
      <x:c r="K1284" s="14"/>
      <x:c r="L1284" s="86" t="str">
        <x:f>IF($P1284="","",INDEX(Tasks!$N$10:$N$1941,$P1284))</x:f>
        <x:v>Not started</x:v>
      </x:c>
      <x:c r="M1284" s="87" t="str">
        <x:f>IF($P1284="","",INDEX(Tasks!$J$10:$J$1941,$P1284))</x:f>
      </x:c>
      <x:c r="N1284" s="85" t="str">
        <x:f>IF($P1284="","",HYPERLINK("#'"&amp;INDEX(Tasks!$T$10:$T$1941,$P1284)&amp;"'!A"&amp;INDEX(Tasks!$U$10:$U$1941,$P1284),"Open"))</x:f>
        <x:v>Open</x:v>
      </x:c>
      <x:c r="O1284" s="14"/>
      <x:c r="P1284" s="14" t="n">
        <x:f>IF(1263&gt;$B$10,"",MATCH(1263,Tasks!$S$10:$S$1941,0))</x:f>
        <x:v>1627</x:v>
      </x:c>
    </x:row>
    <x:row r="1285" ht="58" customHeight="1">
      <x:c r="B1285" s="86" t="str">
        <x:f>IF($P1285="","",INDEX(Tasks!$B$10:$B$1941,$P1285))</x:f>
        <x:v>Cycle 2</x:v>
      </x:c>
      <x:c r="C1285" s="86" t="str">
        <x:f>IF($P1285="","",INDEX(Tasks!$C$10:$C$1941,$P1285))</x:f>
        <x:v>Phase 3</x:v>
      </x:c>
      <x:c r="D1285" s="86" t="str">
        <x:f>IF($P1285="","",INDEX(Tasks!$D$10:$D$1941,$P1285))</x:f>
        <x:v>PLL</x:v>
      </x:c>
      <x:c r="E1285" s="86"/>
      <x:c r="F1285" s="86" t="str">
        <x:f>IF($P1285="","",INDEX(Tasks!$E$10:$E$1941,$P1285))</x:f>
        <x:v>Design &amp; Insights</x:v>
      </x:c>
      <x:c r="G1285" s="86"/>
      <x:c r="H1285" s="14" t="str">
        <x:f>IF($P1285="","",INDEX(Tasks!$F$10:$F$1941,$P1285)&amp;CHAR(10)&amp;INDEX(Tasks!$G$10:$G$1941,$P1285))</x:f>
        <x:v>DI.PL.3.3
Present findings, conclusions, and recommendation to SMEs</x:v>
      </x:c>
      <x:c r="I1285" s="14"/>
      <x:c r="J1285" s="14"/>
      <x:c r="K1285" s="14"/>
      <x:c r="L1285" s="86" t="str">
        <x:f>IF($P1285="","",INDEX(Tasks!$N$10:$N$1941,$P1285))</x:f>
        <x:v>Not started</x:v>
      </x:c>
      <x:c r="M1285" s="87" t="n">
        <x:f>IF($P1285="","",INDEX(Tasks!$J$10:$J$1941,$P1285))</x:f>
        <x:v>46203</x:v>
      </x:c>
      <x:c r="N1285" s="85" t="str">
        <x:f>IF($P1285="","",HYPERLINK("#'"&amp;INDEX(Tasks!$T$10:$T$1941,$P1285)&amp;"'!A"&amp;INDEX(Tasks!$U$10:$U$1941,$P1285),"Open"))</x:f>
        <x:v>Open</x:v>
      </x:c>
      <x:c r="O1285" s="14"/>
      <x:c r="P1285" s="14" t="n">
        <x:f>IF(1264&gt;$B$10,"",MATCH(1264,Tasks!$S$10:$S$1941,0))</x:f>
        <x:v>1628</x:v>
      </x:c>
    </x:row>
    <x:row r="1286" ht="58" customHeight="1">
      <x:c r="B1286" s="86" t="str">
        <x:f>IF($P1286="","",INDEX(Tasks!$B$10:$B$1941,$P1286))</x:f>
        <x:v>Cycle 2</x:v>
      </x:c>
      <x:c r="C1286" s="86" t="str">
        <x:f>IF($P1286="","",INDEX(Tasks!$C$10:$C$1941,$P1286))</x:f>
        <x:v>Phase 3</x:v>
      </x:c>
      <x:c r="D1286" s="86" t="str">
        <x:f>IF($P1286="","",INDEX(Tasks!$D$10:$D$1941,$P1286))</x:f>
        <x:v>PLL</x:v>
      </x:c>
      <x:c r="E1286" s="86"/>
      <x:c r="F1286" s="86" t="str">
        <x:f>IF($P1286="","",INDEX(Tasks!$E$10:$E$1941,$P1286))</x:f>
        <x:v>Design &amp; Insights</x:v>
      </x:c>
      <x:c r="G1286" s="86"/>
      <x:c r="H1286" s="14" t="str">
        <x:f>IF($P1286="","",INDEX(Tasks!$F$10:$F$1941,$P1286)&amp;CHAR(10)&amp;INDEX(Tasks!$G$10:$G$1941,$P1286))</x:f>
        <x:v>DI.PL.3.4
Update Outcome portion of research plan (as needed)</x:v>
      </x:c>
      <x:c r="I1286" s="14"/>
      <x:c r="J1286" s="14"/>
      <x:c r="K1286" s="14"/>
      <x:c r="L1286" s="86" t="str">
        <x:f>IF($P1286="","",INDEX(Tasks!$N$10:$N$1941,$P1286))</x:f>
        <x:v>Not started</x:v>
      </x:c>
      <x:c r="M1286" s="87" t="n">
        <x:f>IF($P1286="","",INDEX(Tasks!$J$10:$J$1941,$P1286))</x:f>
        <x:v>46203</x:v>
      </x:c>
      <x:c r="N1286" s="85" t="str">
        <x:f>IF($P1286="","",HYPERLINK("#'"&amp;INDEX(Tasks!$T$10:$T$1941,$P1286)&amp;"'!A"&amp;INDEX(Tasks!$U$10:$U$1941,$P1286),"Open"))</x:f>
        <x:v>Open</x:v>
      </x:c>
      <x:c r="O1286" s="14"/>
      <x:c r="P1286" s="14" t="n">
        <x:f>IF(1265&gt;$B$10,"",MATCH(1265,Tasks!$S$10:$S$1941,0))</x:f>
        <x:v>1629</x:v>
      </x:c>
    </x:row>
    <x:row r="1287" ht="58" customHeight="1">
      <x:c r="B1287" s="86" t="str">
        <x:f>IF($P1287="","",INDEX(Tasks!$B$10:$B$1941,$P1287))</x:f>
        <x:v>Cycle 2</x:v>
      </x:c>
      <x:c r="C1287" s="86" t="str">
        <x:f>IF($P1287="","",INDEX(Tasks!$C$10:$C$1941,$P1287))</x:f>
        <x:v>Phase 3</x:v>
      </x:c>
      <x:c r="D1287" s="86" t="str">
        <x:f>IF($P1287="","",INDEX(Tasks!$D$10:$D$1941,$P1287))</x:f>
        <x:v>PLL</x:v>
      </x:c>
      <x:c r="E1287" s="86"/>
      <x:c r="F1287" s="86" t="str">
        <x:f>IF($P1287="","",INDEX(Tasks!$E$10:$E$1941,$P1287))</x:f>
        <x:v>Design &amp; Insights</x:v>
      </x:c>
      <x:c r="G1287" s="86"/>
      <x:c r="H1287" s="14" t="str">
        <x:f>IF($P1287="","",INDEX(Tasks!$F$10:$F$1941,$P1287)&amp;CHAR(10)&amp;INDEX(Tasks!$G$10:$G$1941,$P1287))</x:f>
        <x:v>DI.PL.3.5
Finalize presentation deck by incorporating pre-socialization feedback (as needed)</x:v>
      </x:c>
      <x:c r="I1287" s="14"/>
      <x:c r="J1287" s="14"/>
      <x:c r="K1287" s="14"/>
      <x:c r="L1287" s="86" t="str">
        <x:f>IF($P1287="","",INDEX(Tasks!$N$10:$N$1941,$P1287))</x:f>
        <x:v>Not started</x:v>
      </x:c>
      <x:c r="M1287" s="87" t="n">
        <x:f>IF($P1287="","",INDEX(Tasks!$J$10:$J$1941,$P1287))</x:f>
        <x:v>46203</x:v>
      </x:c>
      <x:c r="N1287" s="85" t="str">
        <x:f>IF($P1287="","",HYPERLINK("#'"&amp;INDEX(Tasks!$T$10:$T$1941,$P1287)&amp;"'!A"&amp;INDEX(Tasks!$U$10:$U$1941,$P1287),"Open"))</x:f>
        <x:v>Open</x:v>
      </x:c>
      <x:c r="O1287" s="14"/>
      <x:c r="P1287" s="14" t="n">
        <x:f>IF(1266&gt;$B$10,"",MATCH(1266,Tasks!$S$10:$S$1941,0))</x:f>
        <x:v>1630</x:v>
      </x:c>
    </x:row>
    <x:row r="1288" ht="58" customHeight="1">
      <x:c r="B1288" s="86" t="str">
        <x:f>IF($P1288="","",INDEX(Tasks!$B$10:$B$1941,$P1288))</x:f>
        <x:v>Cycle 2</x:v>
      </x:c>
      <x:c r="C1288" s="86" t="str">
        <x:f>IF($P1288="","",INDEX(Tasks!$C$10:$C$1941,$P1288))</x:f>
        <x:v>Phase 3</x:v>
      </x:c>
      <x:c r="D1288" s="86" t="str">
        <x:f>IF($P1288="","",INDEX(Tasks!$D$10:$D$1941,$P1288))</x:f>
        <x:v>PLL</x:v>
      </x:c>
      <x:c r="E1288" s="86"/>
      <x:c r="F1288" s="86" t="str">
        <x:f>IF($P1288="","",INDEX(Tasks!$E$10:$E$1941,$P1288))</x:f>
        <x:v>Design &amp; Insights</x:v>
      </x:c>
      <x:c r="G1288" s="86"/>
      <x:c r="H1288" s="14" t="str">
        <x:f>IF($P1288="","",INDEX(Tasks!$F$10:$F$1941,$P1288)&amp;CHAR(10)&amp;INDEX(Tasks!$G$10:$G$1941,$P1288))</x:f>
        <x:v>DI.PL.3.6
Ensure final deck is communicated to Forum attendees</x:v>
      </x:c>
      <x:c r="I1288" s="14"/>
      <x:c r="J1288" s="14"/>
      <x:c r="K1288" s="14"/>
      <x:c r="L1288" s="86" t="str">
        <x:f>IF($P1288="","",INDEX(Tasks!$N$10:$N$1941,$P1288))</x:f>
        <x:v>Not started</x:v>
      </x:c>
      <x:c r="M1288" s="87" t="n">
        <x:f>IF($P1288="","",INDEX(Tasks!$J$10:$J$1941,$P1288))</x:f>
        <x:v>46203</x:v>
      </x:c>
      <x:c r="N1288" s="85" t="str">
        <x:f>IF($P1288="","",HYPERLINK("#'"&amp;INDEX(Tasks!$T$10:$T$1941,$P1288)&amp;"'!A"&amp;INDEX(Tasks!$U$10:$U$1941,$P1288),"Open"))</x:f>
        <x:v>Open</x:v>
      </x:c>
      <x:c r="O1288" s="14"/>
      <x:c r="P1288" s="14" t="n">
        <x:f>IF(1267&gt;$B$10,"",MATCH(1267,Tasks!$S$10:$S$1941,0))</x:f>
        <x:v>1631</x:v>
      </x:c>
    </x:row>
    <x:row r="1289" ht="58" customHeight="1">
      <x:c r="B1289" s="86" t="str">
        <x:f>IF($P1289="","",INDEX(Tasks!$B$10:$B$1941,$P1289))</x:f>
        <x:v>Cycle 2</x:v>
      </x:c>
      <x:c r="C1289" s="86" t="str">
        <x:f>IF($P1289="","",INDEX(Tasks!$C$10:$C$1941,$P1289))</x:f>
        <x:v>Phase 3</x:v>
      </x:c>
      <x:c r="D1289" s="86" t="str">
        <x:f>IF($P1289="","",INDEX(Tasks!$D$10:$D$1941,$P1289))</x:f>
        <x:v>PLL</x:v>
      </x:c>
      <x:c r="E1289" s="86"/>
      <x:c r="F1289" s="86" t="str">
        <x:f>IF($P1289="","",INDEX(Tasks!$E$10:$E$1941,$P1289))</x:f>
        <x:v>Design &amp; Insights</x:v>
      </x:c>
      <x:c r="G1289" s="86"/>
      <x:c r="H1289" s="14" t="str">
        <x:f>IF($P1289="","",INDEX(Tasks!$F$10:$F$1941,$P1289)&amp;CHAR(10)&amp;INDEX(Tasks!$G$10:$G$1941,$P1289))</x:f>
        <x:v>DI.PL.3.7
Present material in RCA Cycle Forum</x:v>
      </x:c>
      <x:c r="I1289" s="14"/>
      <x:c r="J1289" s="14"/>
      <x:c r="K1289" s="14"/>
      <x:c r="L1289" s="86" t="str">
        <x:f>IF($P1289="","",INDEX(Tasks!$N$10:$N$1941,$P1289))</x:f>
        <x:v>Not started</x:v>
      </x:c>
      <x:c r="M1289" s="87" t="str">
        <x:f>IF($P1289="","",INDEX(Tasks!$J$10:$J$1941,$P1289))</x:f>
      </x:c>
      <x:c r="N1289" s="85" t="str">
        <x:f>IF($P1289="","",HYPERLINK("#'"&amp;INDEX(Tasks!$T$10:$T$1941,$P1289)&amp;"'!A"&amp;INDEX(Tasks!$U$10:$U$1941,$P1289),"Open"))</x:f>
        <x:v>Open</x:v>
      </x:c>
      <x:c r="O1289" s="14"/>
      <x:c r="P1289" s="14" t="n">
        <x:f>IF(1268&gt;$B$10,"",MATCH(1268,Tasks!$S$10:$S$1941,0))</x:f>
        <x:v>1632</x:v>
      </x:c>
    </x:row>
    <x:row r="1290" ht="58" customHeight="1">
      <x:c r="B1290" s="86" t="str">
        <x:f>IF($P1290="","",INDEX(Tasks!$B$10:$B$1941,$P1290))</x:f>
        <x:v>Cycle 2</x:v>
      </x:c>
      <x:c r="C1290" s="86" t="str">
        <x:f>IF($P1290="","",INDEX(Tasks!$C$10:$C$1941,$P1290))</x:f>
        <x:v>Phase 1</x:v>
      </x:c>
      <x:c r="D1290" s="86" t="str">
        <x:f>IF($P1290="","",INDEX(Tasks!$D$10:$D$1941,$P1290))</x:f>
        <x:v>Retail Services</x:v>
      </x:c>
      <x:c r="E1290" s="86"/>
      <x:c r="F1290" s="86" t="str">
        <x:f>IF($P1290="","",INDEX(Tasks!$E$10:$E$1941,$P1290))</x:f>
        <x:v>Design &amp; Insights</x:v>
      </x:c>
      <x:c r="G1290" s="86"/>
      <x:c r="H1290" s="14" t="str">
        <x:f>IF($P1290="","",INDEX(Tasks!$F$10:$F$1941,$P1290)&amp;CHAR(10)&amp;INDEX(Tasks!$G$10:$G$1941,$P1290))</x:f>
        <x:v>DI.RS.1.1
Receive and review potential research topics at least 2 weeks prior to Cycle start date</x:v>
      </x:c>
      <x:c r="I1290" s="14"/>
      <x:c r="J1290" s="14"/>
      <x:c r="K1290" s="14"/>
      <x:c r="L1290" s="86" t="str">
        <x:f>IF($P1290="","",INDEX(Tasks!$N$10:$N$1941,$P1290))</x:f>
        <x:v>Not started</x:v>
      </x:c>
      <x:c r="M1290" s="87" t="n">
        <x:f>IF($P1290="","",INDEX(Tasks!$J$10:$J$1941,$P1290))</x:f>
        <x:v>46099</x:v>
      </x:c>
      <x:c r="N1290" s="85" t="str">
        <x:f>IF($P1290="","",HYPERLINK("#'"&amp;INDEX(Tasks!$T$10:$T$1941,$P1290)&amp;"'!A"&amp;INDEX(Tasks!$U$10:$U$1941,$P1290),"Open"))</x:f>
        <x:v>Open</x:v>
      </x:c>
      <x:c r="O1290" s="14"/>
      <x:c r="P1290" s="14" t="n">
        <x:f>IF(1269&gt;$B$10,"",MATCH(1269,Tasks!$S$10:$S$1941,0))</x:f>
        <x:v>1633</x:v>
      </x:c>
    </x:row>
    <x:row r="1291" ht="58" customHeight="1">
      <x:c r="B1291" s="86" t="str">
        <x:f>IF($P1291="","",INDEX(Tasks!$B$10:$B$1941,$P1291))</x:f>
        <x:v>Cycle 2</x:v>
      </x:c>
      <x:c r="C1291" s="86" t="str">
        <x:f>IF($P1291="","",INDEX(Tasks!$C$10:$C$1941,$P1291))</x:f>
        <x:v>Phase 1</x:v>
      </x:c>
      <x:c r="D1291" s="86" t="str">
        <x:f>IF($P1291="","",INDEX(Tasks!$D$10:$D$1941,$P1291))</x:f>
        <x:v>Retail Services</x:v>
      </x:c>
      <x:c r="E1291" s="86"/>
      <x:c r="F1291" s="86" t="str">
        <x:f>IF($P1291="","",INDEX(Tasks!$E$10:$E$1941,$P1291))</x:f>
        <x:v>Design &amp; Insights</x:v>
      </x:c>
      <x:c r="G1291" s="86"/>
      <x:c r="H1291" s="14" t="str">
        <x:f>IF($P1291="","",INDEX(Tasks!$F$10:$F$1941,$P1291)&amp;CHAR(10)&amp;INDEX(Tasks!$G$10:$G$1941,$P1291))</x:f>
        <x:v>DI.RS.1.2
Communicate any feedback on preferences or concerns with topics identified</x:v>
      </x:c>
      <x:c r="I1291" s="14"/>
      <x:c r="J1291" s="14"/>
      <x:c r="K1291" s="14"/>
      <x:c r="L1291" s="86" t="str">
        <x:f>IF($P1291="","",INDEX(Tasks!$N$10:$N$1941,$P1291))</x:f>
        <x:v>Not started</x:v>
      </x:c>
      <x:c r="M1291" s="87" t="n">
        <x:f>IF($P1291="","",INDEX(Tasks!$J$10:$J$1941,$P1291))</x:f>
        <x:v>46203</x:v>
      </x:c>
      <x:c r="N1291" s="85" t="str">
        <x:f>IF($P1291="","",HYPERLINK("#'"&amp;INDEX(Tasks!$T$10:$T$1941,$P1291)&amp;"'!A"&amp;INDEX(Tasks!$U$10:$U$1941,$P1291),"Open"))</x:f>
        <x:v>Open</x:v>
      </x:c>
      <x:c r="O1291" s="14"/>
      <x:c r="P1291" s="14" t="n">
        <x:f>IF(1270&gt;$B$10,"",MATCH(1270,Tasks!$S$10:$S$1941,0))</x:f>
        <x:v>1634</x:v>
      </x:c>
    </x:row>
    <x:row r="1292" ht="58" customHeight="1">
      <x:c r="B1292" s="86" t="str">
        <x:f>IF($P1292="","",INDEX(Tasks!$B$10:$B$1941,$P1292))</x:f>
        <x:v>Cycle 2</x:v>
      </x:c>
      <x:c r="C1292" s="86" t="str">
        <x:f>IF($P1292="","",INDEX(Tasks!$C$10:$C$1941,$P1292))</x:f>
        <x:v>Phase 1</x:v>
      </x:c>
      <x:c r="D1292" s="86" t="str">
        <x:f>IF($P1292="","",INDEX(Tasks!$D$10:$D$1941,$P1292))</x:f>
        <x:v>Retail Services</x:v>
      </x:c>
      <x:c r="E1292" s="86"/>
      <x:c r="F1292" s="86" t="str">
        <x:f>IF($P1292="","",INDEX(Tasks!$E$10:$E$1941,$P1292))</x:f>
        <x:v>Design &amp; Insights</x:v>
      </x:c>
      <x:c r="G1292" s="86"/>
      <x:c r="H1292" s="14" t="str">
        <x:f>IF($P1292="","",INDEX(Tasks!$F$10:$F$1941,$P1292)&amp;CHAR(10)&amp;INDEX(Tasks!$G$10:$G$1941,$P1292))</x:f>
        <x:v>DI.RS.1.3
Conduct high-level preliminary review of complaints within proposed topics</x:v>
      </x:c>
      <x:c r="I1292" s="14"/>
      <x:c r="J1292" s="14"/>
      <x:c r="K1292" s="14"/>
      <x:c r="L1292" s="86" t="str">
        <x:f>IF($P1292="","",INDEX(Tasks!$N$10:$N$1941,$P1292))</x:f>
        <x:v>Not started</x:v>
      </x:c>
      <x:c r="M1292" s="87" t="n">
        <x:f>IF($P1292="","",INDEX(Tasks!$J$10:$J$1941,$P1292))</x:f>
        <x:v>46203</x:v>
      </x:c>
      <x:c r="N1292" s="85" t="str">
        <x:f>IF($P1292="","",HYPERLINK("#'"&amp;INDEX(Tasks!$T$10:$T$1941,$P1292)&amp;"'!A"&amp;INDEX(Tasks!$U$10:$U$1941,$P1292),"Open"))</x:f>
        <x:v>Open</x:v>
      </x:c>
      <x:c r="O1292" s="14"/>
      <x:c r="P1292" s="14" t="n">
        <x:f>IF(1271&gt;$B$10,"",MATCH(1271,Tasks!$S$10:$S$1941,0))</x:f>
        <x:v>1635</x:v>
      </x:c>
    </x:row>
    <x:row r="1293" ht="58" customHeight="1">
      <x:c r="B1293" s="86" t="str">
        <x:f>IF($P1293="","",INDEX(Tasks!$B$10:$B$1941,$P1293))</x:f>
        <x:v>Cycle 2</x:v>
      </x:c>
      <x:c r="C1293" s="86" t="str">
        <x:f>IF($P1293="","",INDEX(Tasks!$C$10:$C$1941,$P1293))</x:f>
        <x:v>Phase 1</x:v>
      </x:c>
      <x:c r="D1293" s="86" t="str">
        <x:f>IF($P1293="","",INDEX(Tasks!$D$10:$D$1941,$P1293))</x:f>
        <x:v>Retail Services</x:v>
      </x:c>
      <x:c r="E1293" s="86"/>
      <x:c r="F1293" s="86" t="str">
        <x:f>IF($P1293="","",INDEX(Tasks!$E$10:$E$1941,$P1293))</x:f>
        <x:v>Design &amp; Insights</x:v>
      </x:c>
      <x:c r="G1293" s="86"/>
      <x:c r="H1293" s="14" t="str">
        <x:f>IF($P1293="","",INDEX(Tasks!$F$10:$F$1941,$P1293)&amp;CHAR(10)&amp;INDEX(Tasks!$G$10:$G$1941,$P1293))</x:f>
        <x:v>DI.RS.1.4
Meet with Research to discuss which topic to select based on potential impact</x:v>
      </x:c>
      <x:c r="I1293" s="14"/>
      <x:c r="J1293" s="14"/>
      <x:c r="K1293" s="14"/>
      <x:c r="L1293" s="86" t="str">
        <x:f>IF($P1293="","",INDEX(Tasks!$N$10:$N$1941,$P1293))</x:f>
        <x:v>Not started</x:v>
      </x:c>
      <x:c r="M1293" s="87" t="n">
        <x:f>IF($P1293="","",INDEX(Tasks!$J$10:$J$1941,$P1293))</x:f>
        <x:v>46203</x:v>
      </x:c>
      <x:c r="N1293" s="85" t="str">
        <x:f>IF($P1293="","",HYPERLINK("#'"&amp;INDEX(Tasks!$T$10:$T$1941,$P1293)&amp;"'!A"&amp;INDEX(Tasks!$U$10:$U$1941,$P1293),"Open"))</x:f>
        <x:v>Open</x:v>
      </x:c>
      <x:c r="O1293" s="14"/>
      <x:c r="P1293" s="14" t="n">
        <x:f>IF(1272&gt;$B$10,"",MATCH(1272,Tasks!$S$10:$S$1941,0))</x:f>
        <x:v>1636</x:v>
      </x:c>
    </x:row>
    <x:row r="1294" ht="58" customHeight="1">
      <x:c r="B1294" s="86" t="str">
        <x:f>IF($P1294="","",INDEX(Tasks!$B$10:$B$1941,$P1294))</x:f>
        <x:v>Cycle 2</x:v>
      </x:c>
      <x:c r="C1294" s="86" t="str">
        <x:f>IF($P1294="","",INDEX(Tasks!$C$10:$C$1941,$P1294))</x:f>
        <x:v>Phase 1</x:v>
      </x:c>
      <x:c r="D1294" s="86" t="str">
        <x:f>IF($P1294="","",INDEX(Tasks!$D$10:$D$1941,$P1294))</x:f>
        <x:v>Retail Services</x:v>
      </x:c>
      <x:c r="E1294" s="86"/>
      <x:c r="F1294" s="86" t="str">
        <x:f>IF($P1294="","",INDEX(Tasks!$E$10:$E$1941,$P1294))</x:f>
        <x:v>Design &amp; Insights</x:v>
      </x:c>
      <x:c r="G1294" s="86"/>
      <x:c r="H1294" s="14" t="str">
        <x:f>IF($P1294="","",INDEX(Tasks!$F$10:$F$1941,$P1294)&amp;CHAR(10)&amp;INDEX(Tasks!$G$10:$G$1941,$P1294))</x:f>
        <x:v>DI.RS.1.5
Confirm with Research the recommended topic for approval</x:v>
      </x:c>
      <x:c r="I1294" s="14"/>
      <x:c r="J1294" s="14"/>
      <x:c r="K1294" s="14"/>
      <x:c r="L1294" s="86" t="str">
        <x:f>IF($P1294="","",INDEX(Tasks!$N$10:$N$1941,$P1294))</x:f>
        <x:v>Not started</x:v>
      </x:c>
      <x:c r="M1294" s="87" t="n">
        <x:f>IF($P1294="","",INDEX(Tasks!$J$10:$J$1941,$P1294))</x:f>
        <x:v>46203</x:v>
      </x:c>
      <x:c r="N1294" s="85" t="str">
        <x:f>IF($P1294="","",HYPERLINK("#'"&amp;INDEX(Tasks!$T$10:$T$1941,$P1294)&amp;"'!A"&amp;INDEX(Tasks!$U$10:$U$1941,$P1294),"Open"))</x:f>
        <x:v>Open</x:v>
      </x:c>
      <x:c r="O1294" s="14"/>
      <x:c r="P1294" s="14" t="n">
        <x:f>IF(1273&gt;$B$10,"",MATCH(1273,Tasks!$S$10:$S$1941,0))</x:f>
        <x:v>1637</x:v>
      </x:c>
    </x:row>
    <x:row r="1295" ht="58" customHeight="1">
      <x:c r="B1295" s="86" t="str">
        <x:f>IF($P1295="","",INDEX(Tasks!$B$10:$B$1941,$P1295))</x:f>
        <x:v>Cycle 2</x:v>
      </x:c>
      <x:c r="C1295" s="86" t="str">
        <x:f>IF($P1295="","",INDEX(Tasks!$C$10:$C$1941,$P1295))</x:f>
        <x:v>Phase 1</x:v>
      </x:c>
      <x:c r="D1295" s="86" t="str">
        <x:f>IF($P1295="","",INDEX(Tasks!$D$10:$D$1941,$P1295))</x:f>
        <x:v>Retail Services</x:v>
      </x:c>
      <x:c r="E1295" s="86"/>
      <x:c r="F1295" s="86" t="str">
        <x:f>IF($P1295="","",INDEX(Tasks!$E$10:$E$1941,$P1295))</x:f>
        <x:v>Design &amp; Insights</x:v>
      </x:c>
      <x:c r="G1295" s="86"/>
      <x:c r="H1295" s="14" t="str">
        <x:f>IF($P1295="","",INDEX(Tasks!$F$10:$F$1941,$P1295)&amp;CHAR(10)&amp;INDEX(Tasks!$G$10:$G$1941,$P1295))</x:f>
        <x:v>DI.RS.1.6
Send topic selection socialization email to all key stakeholders on the first day of the review Cycle</x:v>
      </x:c>
      <x:c r="I1295" s="14"/>
      <x:c r="J1295" s="14"/>
      <x:c r="K1295" s="14"/>
      <x:c r="L1295" s="86" t="str">
        <x:f>IF($P1295="","",INDEX(Tasks!$N$10:$N$1941,$P1295))</x:f>
        <x:v>Not started</x:v>
      </x:c>
      <x:c r="M1295" s="87" t="n">
        <x:f>IF($P1295="","",INDEX(Tasks!$J$10:$J$1941,$P1295))</x:f>
        <x:v>46113</x:v>
      </x:c>
      <x:c r="N1295" s="85" t="str">
        <x:f>IF($P1295="","",HYPERLINK("#'"&amp;INDEX(Tasks!$T$10:$T$1941,$P1295)&amp;"'!A"&amp;INDEX(Tasks!$U$10:$U$1941,$P1295),"Open"))</x:f>
        <x:v>Open</x:v>
      </x:c>
      <x:c r="O1295" s="14"/>
      <x:c r="P1295" s="14" t="n">
        <x:f>IF(1274&gt;$B$10,"",MATCH(1274,Tasks!$S$10:$S$1941,0))</x:f>
        <x:v>1638</x:v>
      </x:c>
    </x:row>
    <x:row r="1296" ht="58" customHeight="1">
      <x:c r="B1296" s="86" t="str">
        <x:f>IF($P1296="","",INDEX(Tasks!$B$10:$B$1941,$P1296))</x:f>
        <x:v>Cycle 2</x:v>
      </x:c>
      <x:c r="C1296" s="86" t="str">
        <x:f>IF($P1296="","",INDEX(Tasks!$C$10:$C$1941,$P1296))</x:f>
        <x:v>Phase 2</x:v>
      </x:c>
      <x:c r="D1296" s="86" t="str">
        <x:f>IF($P1296="","",INDEX(Tasks!$D$10:$D$1941,$P1296))</x:f>
        <x:v>Retail Services</x:v>
      </x:c>
      <x:c r="E1296" s="86"/>
      <x:c r="F1296" s="86" t="str">
        <x:f>IF($P1296="","",INDEX(Tasks!$E$10:$E$1941,$P1296))</x:f>
        <x:v>Design &amp; Insights</x:v>
      </x:c>
      <x:c r="G1296" s="86"/>
      <x:c r="H1296" s="14" t="str">
        <x:f>IF($P1296="","",INDEX(Tasks!$F$10:$F$1941,$P1296)&amp;CHAR(10)&amp;INDEX(Tasks!$G$10:$G$1941,$P1296))</x:f>
        <x:v>DI.RS.2.1
Meet regularly with Research to stay informed on progress, findings, and potential enhancement</x:v>
      </x:c>
      <x:c r="I1296" s="14"/>
      <x:c r="J1296" s="14"/>
      <x:c r="K1296" s="14"/>
      <x:c r="L1296" s="86" t="str">
        <x:f>IF($P1296="","",INDEX(Tasks!$N$10:$N$1941,$P1296))</x:f>
        <x:v>Not started</x:v>
      </x:c>
      <x:c r="M1296" s="87" t="n">
        <x:f>IF($P1296="","",INDEX(Tasks!$J$10:$J$1941,$P1296))</x:f>
        <x:v>46203</x:v>
      </x:c>
      <x:c r="N1296" s="85" t="str">
        <x:f>IF($P1296="","",HYPERLINK("#'"&amp;INDEX(Tasks!$T$10:$T$1941,$P1296)&amp;"'!A"&amp;INDEX(Tasks!$U$10:$U$1941,$P1296),"Open"))</x:f>
        <x:v>Open</x:v>
      </x:c>
      <x:c r="O1296" s="14"/>
      <x:c r="P1296" s="14" t="n">
        <x:f>IF(1275&gt;$B$10,"",MATCH(1275,Tasks!$S$10:$S$1941,0))</x:f>
        <x:v>1639</x:v>
      </x:c>
    </x:row>
    <x:row r="1297" ht="58" customHeight="1">
      <x:c r="B1297" s="86" t="str">
        <x:f>IF($P1297="","",INDEX(Tasks!$B$10:$B$1941,$P1297))</x:f>
        <x:v>Cycle 2</x:v>
      </x:c>
      <x:c r="C1297" s="86" t="str">
        <x:f>IF($P1297="","",INDEX(Tasks!$C$10:$C$1941,$P1297))</x:f>
        <x:v>Phase 2</x:v>
      </x:c>
      <x:c r="D1297" s="86" t="str">
        <x:f>IF($P1297="","",INDEX(Tasks!$D$10:$D$1941,$P1297))</x:f>
        <x:v>Retail Services</x:v>
      </x:c>
      <x:c r="E1297" s="86"/>
      <x:c r="F1297" s="86" t="str">
        <x:f>IF($P1297="","",INDEX(Tasks!$E$10:$E$1941,$P1297))</x:f>
        <x:v>Design &amp; Insights</x:v>
      </x:c>
      <x:c r="G1297" s="86"/>
      <x:c r="H1297" s="14" t="str">
        <x:f>IF($P1297="","",INDEX(Tasks!$F$10:$F$1941,$P1297)&amp;CHAR(10)&amp;INDEX(Tasks!$G$10:$G$1941,$P1297))</x:f>
        <x:v>DI.RS.2.2
Collaborate with Research on research plan specifics</x:v>
      </x:c>
      <x:c r="I1297" s="14"/>
      <x:c r="J1297" s="14"/>
      <x:c r="K1297" s="14"/>
      <x:c r="L1297" s="86" t="str">
        <x:f>IF($P1297="","",INDEX(Tasks!$N$10:$N$1941,$P1297))</x:f>
        <x:v>Not started</x:v>
      </x:c>
      <x:c r="M1297" s="87" t="n">
        <x:f>IF($P1297="","",INDEX(Tasks!$J$10:$J$1941,$P1297))</x:f>
        <x:v>46203</x:v>
      </x:c>
      <x:c r="N1297" s="85" t="str">
        <x:f>IF($P1297="","",HYPERLINK("#'"&amp;INDEX(Tasks!$T$10:$T$1941,$P1297)&amp;"'!A"&amp;INDEX(Tasks!$U$10:$U$1941,$P1297),"Open"))</x:f>
        <x:v>Open</x:v>
      </x:c>
      <x:c r="O1297" s="14"/>
      <x:c r="P1297" s="14" t="n">
        <x:f>IF(1276&gt;$B$10,"",MATCH(1276,Tasks!$S$10:$S$1941,0))</x:f>
        <x:v>1640</x:v>
      </x:c>
    </x:row>
    <x:row r="1298" ht="58" customHeight="1">
      <x:c r="B1298" s="86" t="str">
        <x:f>IF($P1298="","",INDEX(Tasks!$B$10:$B$1941,$P1298))</x:f>
        <x:v>Cycle 2</x:v>
      </x:c>
      <x:c r="C1298" s="86" t="str">
        <x:f>IF($P1298="","",INDEX(Tasks!$C$10:$C$1941,$P1298))</x:f>
        <x:v>Phase 2</x:v>
      </x:c>
      <x:c r="D1298" s="86" t="str">
        <x:f>IF($P1298="","",INDEX(Tasks!$D$10:$D$1941,$P1298))</x:f>
        <x:v>Retail Services</x:v>
      </x:c>
      <x:c r="E1298" s="86"/>
      <x:c r="F1298" s="86" t="str">
        <x:f>IF($P1298="","",INDEX(Tasks!$E$10:$E$1941,$P1298))</x:f>
        <x:v>Design &amp; Insights</x:v>
      </x:c>
      <x:c r="G1298" s="86"/>
      <x:c r="H1298" s="14" t="str">
        <x:f>IF($P1298="","",INDEX(Tasks!$F$10:$F$1941,$P1298)&amp;CHAR(10)&amp;INDEX(Tasks!$G$10:$G$1941,$P1298))</x:f>
        <x:v>DI.RS.2.3
Participate in SME insight meetings to gain perspective and appetite on potential enhancements</x:v>
      </x:c>
      <x:c r="I1298" s="14"/>
      <x:c r="J1298" s="14"/>
      <x:c r="K1298" s="14"/>
      <x:c r="L1298" s="86" t="str">
        <x:f>IF($P1298="","",INDEX(Tasks!$N$10:$N$1941,$P1298))</x:f>
        <x:v>Not started</x:v>
      </x:c>
      <x:c r="M1298" s="87" t="n">
        <x:f>IF($P1298="","",INDEX(Tasks!$J$10:$J$1941,$P1298))</x:f>
        <x:v>46203</x:v>
      </x:c>
      <x:c r="N1298" s="85" t="str">
        <x:f>IF($P1298="","",HYPERLINK("#'"&amp;INDEX(Tasks!$T$10:$T$1941,$P1298)&amp;"'!A"&amp;INDEX(Tasks!$U$10:$U$1941,$P1298),"Open"))</x:f>
        <x:v>Open</x:v>
      </x:c>
      <x:c r="O1298" s="14"/>
      <x:c r="P1298" s="14" t="n">
        <x:f>IF(1277&gt;$B$10,"",MATCH(1277,Tasks!$S$10:$S$1941,0))</x:f>
        <x:v>1641</x:v>
      </x:c>
    </x:row>
    <x:row r="1299" ht="58" customHeight="1">
      <x:c r="B1299" s="86" t="str">
        <x:f>IF($P1299="","",INDEX(Tasks!$B$10:$B$1941,$P1299))</x:f>
        <x:v>Cycle 2</x:v>
      </x:c>
      <x:c r="C1299" s="86" t="str">
        <x:f>IF($P1299="","",INDEX(Tasks!$C$10:$C$1941,$P1299))</x:f>
        <x:v>Phase 2</x:v>
      </x:c>
      <x:c r="D1299" s="86" t="str">
        <x:f>IF($P1299="","",INDEX(Tasks!$D$10:$D$1941,$P1299))</x:f>
        <x:v>Retail Services</x:v>
      </x:c>
      <x:c r="E1299" s="86"/>
      <x:c r="F1299" s="86" t="str">
        <x:f>IF($P1299="","",INDEX(Tasks!$E$10:$E$1941,$P1299))</x:f>
        <x:v>Design &amp; Insights</x:v>
      </x:c>
      <x:c r="G1299" s="86"/>
      <x:c r="H1299" s="14" t="str">
        <x:f>IF($P1299="","",INDEX(Tasks!$F$10:$F$1941,$P1299)&amp;CHAR(10)&amp;INDEX(Tasks!$G$10:$G$1941,$P1299))</x:f>
        <x:v>DI.RS.2.4
Begin development of presentation materials as Research is being completed</x:v>
      </x:c>
      <x:c r="I1299" s="14"/>
      <x:c r="J1299" s="14"/>
      <x:c r="K1299" s="14"/>
      <x:c r="L1299" s="86" t="str">
        <x:f>IF($P1299="","",INDEX(Tasks!$N$10:$N$1941,$P1299))</x:f>
        <x:v>Not started</x:v>
      </x:c>
      <x:c r="M1299" s="87" t="n">
        <x:f>IF($P1299="","",INDEX(Tasks!$J$10:$J$1941,$P1299))</x:f>
        <x:v>46203</x:v>
      </x:c>
      <x:c r="N1299" s="85" t="str">
        <x:f>IF($P1299="","",HYPERLINK("#'"&amp;INDEX(Tasks!$T$10:$T$1941,$P1299)&amp;"'!A"&amp;INDEX(Tasks!$U$10:$U$1941,$P1299),"Open"))</x:f>
        <x:v>Open</x:v>
      </x:c>
      <x:c r="O1299" s="14"/>
      <x:c r="P1299" s="14" t="n">
        <x:f>IF(1278&gt;$B$10,"",MATCH(1278,Tasks!$S$10:$S$1941,0))</x:f>
        <x:v>1642</x:v>
      </x:c>
    </x:row>
    <x:row r="1300" ht="58" customHeight="1">
      <x:c r="B1300" s="86" t="str">
        <x:f>IF($P1300="","",INDEX(Tasks!$B$10:$B$1941,$P1300))</x:f>
        <x:v>Cycle 2</x:v>
      </x:c>
      <x:c r="C1300" s="86" t="str">
        <x:f>IF($P1300="","",INDEX(Tasks!$C$10:$C$1941,$P1300))</x:f>
        <x:v>Phase 2</x:v>
      </x:c>
      <x:c r="D1300" s="86" t="str">
        <x:f>IF($P1300="","",INDEX(Tasks!$D$10:$D$1941,$P1300))</x:f>
        <x:v>Retail Services</x:v>
      </x:c>
      <x:c r="E1300" s="86"/>
      <x:c r="F1300" s="86" t="str">
        <x:f>IF($P1300="","",INDEX(Tasks!$E$10:$E$1941,$P1300))</x:f>
        <x:v>Design &amp; Insights</x:v>
      </x:c>
      <x:c r="G1300" s="86"/>
      <x:c r="H1300" s="14" t="str">
        <x:f>IF($P1300="","",INDEX(Tasks!$F$10:$F$1941,$P1300)&amp;CHAR(10)&amp;INDEX(Tasks!$G$10:$G$1941,$P1300))</x:f>
        <x:v>DI.RS.2.5
Draft initial enhancement recommendations (as applicable)</x:v>
      </x:c>
      <x:c r="I1300" s="14"/>
      <x:c r="J1300" s="14"/>
      <x:c r="K1300" s="14"/>
      <x:c r="L1300" s="86" t="str">
        <x:f>IF($P1300="","",INDEX(Tasks!$N$10:$N$1941,$P1300))</x:f>
        <x:v>Not started</x:v>
      </x:c>
      <x:c r="M1300" s="87" t="n">
        <x:f>IF($P1300="","",INDEX(Tasks!$J$10:$J$1941,$P1300))</x:f>
        <x:v>46203</x:v>
      </x:c>
      <x:c r="N1300" s="85" t="str">
        <x:f>IF($P1300="","",HYPERLINK("#'"&amp;INDEX(Tasks!$T$10:$T$1941,$P1300)&amp;"'!A"&amp;INDEX(Tasks!$U$10:$U$1941,$P1300),"Open"))</x:f>
        <x:v>Open</x:v>
      </x:c>
      <x:c r="O1300" s="14"/>
      <x:c r="P1300" s="14" t="n">
        <x:f>IF(1279&gt;$B$10,"",MATCH(1279,Tasks!$S$10:$S$1941,0))</x:f>
        <x:v>1643</x:v>
      </x:c>
    </x:row>
    <x:row r="1301" ht="58" customHeight="1">
      <x:c r="B1301" s="86" t="str">
        <x:f>IF($P1301="","",INDEX(Tasks!$B$10:$B$1941,$P1301))</x:f>
        <x:v>Cycle 2</x:v>
      </x:c>
      <x:c r="C1301" s="86" t="str">
        <x:f>IF($P1301="","",INDEX(Tasks!$C$10:$C$1941,$P1301))</x:f>
        <x:v>Phase 2</x:v>
      </x:c>
      <x:c r="D1301" s="86" t="str">
        <x:f>IF($P1301="","",INDEX(Tasks!$D$10:$D$1941,$P1301))</x:f>
        <x:v>Retail Services</x:v>
      </x:c>
      <x:c r="E1301" s="86"/>
      <x:c r="F1301" s="86" t="str">
        <x:f>IF($P1301="","",INDEX(Tasks!$E$10:$E$1941,$P1301))</x:f>
        <x:v>Design &amp; Insights</x:v>
      </x:c>
      <x:c r="G1301" s="86"/>
      <x:c r="H1301" s="14" t="str">
        <x:f>IF($P1301="","",INDEX(Tasks!$F$10:$F$1941,$P1301)&amp;CHAR(10)&amp;INDEX(Tasks!$G$10:$G$1941,$P1301))</x:f>
        <x:v>DI.RS.2.6
Finalize presentation deck draft at conclusion of Research phase</x:v>
      </x:c>
      <x:c r="I1301" s="14"/>
      <x:c r="J1301" s="14"/>
      <x:c r="K1301" s="14"/>
      <x:c r="L1301" s="86" t="str">
        <x:f>IF($P1301="","",INDEX(Tasks!$N$10:$N$1941,$P1301))</x:f>
        <x:v>Not started</x:v>
      </x:c>
      <x:c r="M1301" s="87" t="n">
        <x:f>IF($P1301="","",INDEX(Tasks!$J$10:$J$1941,$P1301))</x:f>
        <x:v>46203</x:v>
      </x:c>
      <x:c r="N1301" s="85" t="str">
        <x:f>IF($P1301="","",HYPERLINK("#'"&amp;INDEX(Tasks!$T$10:$T$1941,$P1301)&amp;"'!A"&amp;INDEX(Tasks!$U$10:$U$1941,$P1301),"Open"))</x:f>
        <x:v>Open</x:v>
      </x:c>
      <x:c r="O1301" s="14"/>
      <x:c r="P1301" s="14" t="n">
        <x:f>IF(1280&gt;$B$10,"",MATCH(1280,Tasks!$S$10:$S$1941,0))</x:f>
        <x:v>1644</x:v>
      </x:c>
    </x:row>
    <x:row r="1302" ht="58" customHeight="1">
      <x:c r="B1302" s="86" t="str">
        <x:f>IF($P1302="","",INDEX(Tasks!$B$10:$B$1941,$P1302))</x:f>
        <x:v>Cycle 2</x:v>
      </x:c>
      <x:c r="C1302" s="86" t="str">
        <x:f>IF($P1302="","",INDEX(Tasks!$C$10:$C$1941,$P1302))</x:f>
        <x:v>Phase 2</x:v>
      </x:c>
      <x:c r="D1302" s="86" t="str">
        <x:f>IF($P1302="","",INDEX(Tasks!$D$10:$D$1941,$P1302))</x:f>
        <x:v>Retail Services</x:v>
      </x:c>
      <x:c r="E1302" s="86"/>
      <x:c r="F1302" s="86" t="str">
        <x:f>IF($P1302="","",INDEX(Tasks!$E$10:$E$1941,$P1302))</x:f>
        <x:v>Design &amp; Insights</x:v>
      </x:c>
      <x:c r="G1302" s="86"/>
      <x:c r="H1302" s="14" t="str">
        <x:f>IF($P1302="","",INDEX(Tasks!$F$10:$F$1941,$P1302)&amp;CHAR(10)&amp;INDEX(Tasks!$G$10:$G$1941,$P1302))</x:f>
        <x:v>DI.RS.2.7
Update Outcome portion of research plan with current enhancement verbiage (as needed)</x:v>
      </x:c>
      <x:c r="I1302" s="14"/>
      <x:c r="J1302" s="14"/>
      <x:c r="K1302" s="14"/>
      <x:c r="L1302" s="86" t="str">
        <x:f>IF($P1302="","",INDEX(Tasks!$N$10:$N$1941,$P1302))</x:f>
        <x:v>Not started</x:v>
      </x:c>
      <x:c r="M1302" s="87" t="n">
        <x:f>IF($P1302="","",INDEX(Tasks!$J$10:$J$1941,$P1302))</x:f>
        <x:v>46203</x:v>
      </x:c>
      <x:c r="N1302" s="85" t="str">
        <x:f>IF($P1302="","",HYPERLINK("#'"&amp;INDEX(Tasks!$T$10:$T$1941,$P1302)&amp;"'!A"&amp;INDEX(Tasks!$U$10:$U$1941,$P1302),"Open"))</x:f>
        <x:v>Open</x:v>
      </x:c>
      <x:c r="O1302" s="14"/>
      <x:c r="P1302" s="14" t="n">
        <x:f>IF(1281&gt;$B$10,"",MATCH(1281,Tasks!$S$10:$S$1941,0))</x:f>
        <x:v>1645</x:v>
      </x:c>
    </x:row>
    <x:row r="1303" ht="58" customHeight="1">
      <x:c r="B1303" s="86" t="str">
        <x:f>IF($P1303="","",INDEX(Tasks!$B$10:$B$1941,$P1303))</x:f>
        <x:v>Cycle 2</x:v>
      </x:c>
      <x:c r="C1303" s="86" t="str">
        <x:f>IF($P1303="","",INDEX(Tasks!$C$10:$C$1941,$P1303))</x:f>
        <x:v>Phase 3</x:v>
      </x:c>
      <x:c r="D1303" s="86" t="str">
        <x:f>IF($P1303="","",INDEX(Tasks!$D$10:$D$1941,$P1303))</x:f>
        <x:v>Retail Services</x:v>
      </x:c>
      <x:c r="E1303" s="86"/>
      <x:c r="F1303" s="86" t="str">
        <x:f>IF($P1303="","",INDEX(Tasks!$E$10:$E$1941,$P1303))</x:f>
        <x:v>Design &amp; Insights</x:v>
      </x:c>
      <x:c r="G1303" s="86"/>
      <x:c r="H1303" s="14" t="str">
        <x:f>IF($P1303="","",INDEX(Tasks!$F$10:$F$1941,$P1303)&amp;CHAR(10)&amp;INDEX(Tasks!$G$10:$G$1941,$P1303))</x:f>
        <x:v>DI.RS.3.1
Confirm list of required &amp; optional attendees for pre-socialization meeting</x:v>
      </x:c>
      <x:c r="I1303" s="14"/>
      <x:c r="J1303" s="14"/>
      <x:c r="K1303" s="14"/>
      <x:c r="L1303" s="86" t="str">
        <x:f>IF($P1303="","",INDEX(Tasks!$N$10:$N$1941,$P1303))</x:f>
        <x:v>Not started</x:v>
      </x:c>
      <x:c r="M1303" s="87" t="n">
        <x:f>IF($P1303="","",INDEX(Tasks!$J$10:$J$1941,$P1303))</x:f>
        <x:v>46203</x:v>
      </x:c>
      <x:c r="N1303" s="85" t="str">
        <x:f>IF($P1303="","",HYPERLINK("#'"&amp;INDEX(Tasks!$T$10:$T$1941,$P1303)&amp;"'!A"&amp;INDEX(Tasks!$U$10:$U$1941,$P1303),"Open"))</x:f>
        <x:v>Open</x:v>
      </x:c>
      <x:c r="O1303" s="14"/>
      <x:c r="P1303" s="14" t="n">
        <x:f>IF(1282&gt;$B$10,"",MATCH(1282,Tasks!$S$10:$S$1941,0))</x:f>
        <x:v>1646</x:v>
      </x:c>
    </x:row>
    <x:row r="1304" ht="58" customHeight="1">
      <x:c r="B1304" s="86" t="str">
        <x:f>IF($P1304="","",INDEX(Tasks!$B$10:$B$1941,$P1304))</x:f>
        <x:v>Cycle 2</x:v>
      </x:c>
      <x:c r="C1304" s="86" t="str">
        <x:f>IF($P1304="","",INDEX(Tasks!$C$10:$C$1941,$P1304))</x:f>
        <x:v>Phase 3</x:v>
      </x:c>
      <x:c r="D1304" s="86" t="str">
        <x:f>IF($P1304="","",INDEX(Tasks!$D$10:$D$1941,$P1304))</x:f>
        <x:v>Retail Services</x:v>
      </x:c>
      <x:c r="E1304" s="86"/>
      <x:c r="F1304" s="86" t="str">
        <x:f>IF($P1304="","",INDEX(Tasks!$E$10:$E$1941,$P1304))</x:f>
        <x:v>Design &amp; Insights</x:v>
      </x:c>
      <x:c r="G1304" s="86"/>
      <x:c r="H1304" s="14" t="str">
        <x:f>IF($P1304="","",INDEX(Tasks!$F$10:$F$1941,$P1304)&amp;CHAR(10)&amp;INDEX(Tasks!$G$10:$G$1941,$P1304))</x:f>
        <x:v>DI.RS.3.2
Schedule pre-socialization meeting 1 week prior to RCA Forum</x:v>
      </x:c>
      <x:c r="I1304" s="14"/>
      <x:c r="J1304" s="14"/>
      <x:c r="K1304" s="14"/>
      <x:c r="L1304" s="86" t="str">
        <x:f>IF($P1304="","",INDEX(Tasks!$N$10:$N$1941,$P1304))</x:f>
        <x:v>Not started</x:v>
      </x:c>
      <x:c r="M1304" s="87" t="str">
        <x:f>IF($P1304="","",INDEX(Tasks!$J$10:$J$1941,$P1304))</x:f>
      </x:c>
      <x:c r="N1304" s="85" t="str">
        <x:f>IF($P1304="","",HYPERLINK("#'"&amp;INDEX(Tasks!$T$10:$T$1941,$P1304)&amp;"'!A"&amp;INDEX(Tasks!$U$10:$U$1941,$P1304),"Open"))</x:f>
        <x:v>Open</x:v>
      </x:c>
      <x:c r="O1304" s="14"/>
      <x:c r="P1304" s="14" t="n">
        <x:f>IF(1283&gt;$B$10,"",MATCH(1283,Tasks!$S$10:$S$1941,0))</x:f>
        <x:v>1647</x:v>
      </x:c>
    </x:row>
    <x:row r="1305" ht="58" customHeight="1">
      <x:c r="B1305" s="86" t="str">
        <x:f>IF($P1305="","",INDEX(Tasks!$B$10:$B$1941,$P1305))</x:f>
        <x:v>Cycle 2</x:v>
      </x:c>
      <x:c r="C1305" s="86" t="str">
        <x:f>IF($P1305="","",INDEX(Tasks!$C$10:$C$1941,$P1305))</x:f>
        <x:v>Phase 3</x:v>
      </x:c>
      <x:c r="D1305" s="86" t="str">
        <x:f>IF($P1305="","",INDEX(Tasks!$D$10:$D$1941,$P1305))</x:f>
        <x:v>Retail Services</x:v>
      </x:c>
      <x:c r="E1305" s="86"/>
      <x:c r="F1305" s="86" t="str">
        <x:f>IF($P1305="","",INDEX(Tasks!$E$10:$E$1941,$P1305))</x:f>
        <x:v>Design &amp; Insights</x:v>
      </x:c>
      <x:c r="G1305" s="86"/>
      <x:c r="H1305" s="14" t="str">
        <x:f>IF($P1305="","",INDEX(Tasks!$F$10:$F$1941,$P1305)&amp;CHAR(10)&amp;INDEX(Tasks!$G$10:$G$1941,$P1305))</x:f>
        <x:v>DI.RS.3.3
Present findings, conclusions, and recommendation to SMEs</x:v>
      </x:c>
      <x:c r="I1305" s="14"/>
      <x:c r="J1305" s="14"/>
      <x:c r="K1305" s="14"/>
      <x:c r="L1305" s="86" t="str">
        <x:f>IF($P1305="","",INDEX(Tasks!$N$10:$N$1941,$P1305))</x:f>
        <x:v>Not started</x:v>
      </x:c>
      <x:c r="M1305" s="87" t="n">
        <x:f>IF($P1305="","",INDEX(Tasks!$J$10:$J$1941,$P1305))</x:f>
        <x:v>46203</x:v>
      </x:c>
      <x:c r="N1305" s="85" t="str">
        <x:f>IF($P1305="","",HYPERLINK("#'"&amp;INDEX(Tasks!$T$10:$T$1941,$P1305)&amp;"'!A"&amp;INDEX(Tasks!$U$10:$U$1941,$P1305),"Open"))</x:f>
        <x:v>Open</x:v>
      </x:c>
      <x:c r="O1305" s="14"/>
      <x:c r="P1305" s="14" t="n">
        <x:f>IF(1284&gt;$B$10,"",MATCH(1284,Tasks!$S$10:$S$1941,0))</x:f>
        <x:v>1648</x:v>
      </x:c>
    </x:row>
    <x:row r="1306" ht="58" customHeight="1">
      <x:c r="B1306" s="86" t="str">
        <x:f>IF($P1306="","",INDEX(Tasks!$B$10:$B$1941,$P1306))</x:f>
        <x:v>Cycle 2</x:v>
      </x:c>
      <x:c r="C1306" s="86" t="str">
        <x:f>IF($P1306="","",INDEX(Tasks!$C$10:$C$1941,$P1306))</x:f>
        <x:v>Phase 3</x:v>
      </x:c>
      <x:c r="D1306" s="86" t="str">
        <x:f>IF($P1306="","",INDEX(Tasks!$D$10:$D$1941,$P1306))</x:f>
        <x:v>Retail Services</x:v>
      </x:c>
      <x:c r="E1306" s="86"/>
      <x:c r="F1306" s="86" t="str">
        <x:f>IF($P1306="","",INDEX(Tasks!$E$10:$E$1941,$P1306))</x:f>
        <x:v>Design &amp; Insights</x:v>
      </x:c>
      <x:c r="G1306" s="86"/>
      <x:c r="H1306" s="14" t="str">
        <x:f>IF($P1306="","",INDEX(Tasks!$F$10:$F$1941,$P1306)&amp;CHAR(10)&amp;INDEX(Tasks!$G$10:$G$1941,$P1306))</x:f>
        <x:v>DI.RS.3.4
Update Outcome portion of research plan (as needed)</x:v>
      </x:c>
      <x:c r="I1306" s="14"/>
      <x:c r="J1306" s="14"/>
      <x:c r="K1306" s="14"/>
      <x:c r="L1306" s="86" t="str">
        <x:f>IF($P1306="","",INDEX(Tasks!$N$10:$N$1941,$P1306))</x:f>
        <x:v>Not started</x:v>
      </x:c>
      <x:c r="M1306" s="87" t="n">
        <x:f>IF($P1306="","",INDEX(Tasks!$J$10:$J$1941,$P1306))</x:f>
        <x:v>46203</x:v>
      </x:c>
      <x:c r="N1306" s="85" t="str">
        <x:f>IF($P1306="","",HYPERLINK("#'"&amp;INDEX(Tasks!$T$10:$T$1941,$P1306)&amp;"'!A"&amp;INDEX(Tasks!$U$10:$U$1941,$P1306),"Open"))</x:f>
        <x:v>Open</x:v>
      </x:c>
      <x:c r="O1306" s="14"/>
      <x:c r="P1306" s="14" t="n">
        <x:f>IF(1285&gt;$B$10,"",MATCH(1285,Tasks!$S$10:$S$1941,0))</x:f>
        <x:v>1649</x:v>
      </x:c>
    </x:row>
    <x:row r="1307" ht="58" customHeight="1">
      <x:c r="B1307" s="86" t="str">
        <x:f>IF($P1307="","",INDEX(Tasks!$B$10:$B$1941,$P1307))</x:f>
        <x:v>Cycle 2</x:v>
      </x:c>
      <x:c r="C1307" s="86" t="str">
        <x:f>IF($P1307="","",INDEX(Tasks!$C$10:$C$1941,$P1307))</x:f>
        <x:v>Phase 3</x:v>
      </x:c>
      <x:c r="D1307" s="86" t="str">
        <x:f>IF($P1307="","",INDEX(Tasks!$D$10:$D$1941,$P1307))</x:f>
        <x:v>Retail Services</x:v>
      </x:c>
      <x:c r="E1307" s="86"/>
      <x:c r="F1307" s="86" t="str">
        <x:f>IF($P1307="","",INDEX(Tasks!$E$10:$E$1941,$P1307))</x:f>
        <x:v>Design &amp; Insights</x:v>
      </x:c>
      <x:c r="G1307" s="86"/>
      <x:c r="H1307" s="14" t="str">
        <x:f>IF($P1307="","",INDEX(Tasks!$F$10:$F$1941,$P1307)&amp;CHAR(10)&amp;INDEX(Tasks!$G$10:$G$1941,$P1307))</x:f>
        <x:v>DI.RS.3.5
Finalize presentation deck by incorporating pre-socialization feedback (as needed)</x:v>
      </x:c>
      <x:c r="I1307" s="14"/>
      <x:c r="J1307" s="14"/>
      <x:c r="K1307" s="14"/>
      <x:c r="L1307" s="86" t="str">
        <x:f>IF($P1307="","",INDEX(Tasks!$N$10:$N$1941,$P1307))</x:f>
        <x:v>Not started</x:v>
      </x:c>
      <x:c r="M1307" s="87" t="n">
        <x:f>IF($P1307="","",INDEX(Tasks!$J$10:$J$1941,$P1307))</x:f>
        <x:v>46203</x:v>
      </x:c>
      <x:c r="N1307" s="85" t="str">
        <x:f>IF($P1307="","",HYPERLINK("#'"&amp;INDEX(Tasks!$T$10:$T$1941,$P1307)&amp;"'!A"&amp;INDEX(Tasks!$U$10:$U$1941,$P1307),"Open"))</x:f>
        <x:v>Open</x:v>
      </x:c>
      <x:c r="O1307" s="14"/>
      <x:c r="P1307" s="14" t="n">
        <x:f>IF(1286&gt;$B$10,"",MATCH(1286,Tasks!$S$10:$S$1941,0))</x:f>
        <x:v>1650</x:v>
      </x:c>
    </x:row>
    <x:row r="1308" ht="58" customHeight="1">
      <x:c r="B1308" s="86" t="str">
        <x:f>IF($P1308="","",INDEX(Tasks!$B$10:$B$1941,$P1308))</x:f>
        <x:v>Cycle 2</x:v>
      </x:c>
      <x:c r="C1308" s="86" t="str">
        <x:f>IF($P1308="","",INDEX(Tasks!$C$10:$C$1941,$P1308))</x:f>
        <x:v>Phase 3</x:v>
      </x:c>
      <x:c r="D1308" s="86" t="str">
        <x:f>IF($P1308="","",INDEX(Tasks!$D$10:$D$1941,$P1308))</x:f>
        <x:v>Retail Services</x:v>
      </x:c>
      <x:c r="E1308" s="86"/>
      <x:c r="F1308" s="86" t="str">
        <x:f>IF($P1308="","",INDEX(Tasks!$E$10:$E$1941,$P1308))</x:f>
        <x:v>Design &amp; Insights</x:v>
      </x:c>
      <x:c r="G1308" s="86"/>
      <x:c r="H1308" s="14" t="str">
        <x:f>IF($P1308="","",INDEX(Tasks!$F$10:$F$1941,$P1308)&amp;CHAR(10)&amp;INDEX(Tasks!$G$10:$G$1941,$P1308))</x:f>
        <x:v>DI.RS.3.6
Ensure final deck is communicated to Forum attendees</x:v>
      </x:c>
      <x:c r="I1308" s="14"/>
      <x:c r="J1308" s="14"/>
      <x:c r="K1308" s="14"/>
      <x:c r="L1308" s="86" t="str">
        <x:f>IF($P1308="","",INDEX(Tasks!$N$10:$N$1941,$P1308))</x:f>
        <x:v>Not started</x:v>
      </x:c>
      <x:c r="M1308" s="87" t="n">
        <x:f>IF($P1308="","",INDEX(Tasks!$J$10:$J$1941,$P1308))</x:f>
        <x:v>46203</x:v>
      </x:c>
      <x:c r="N1308" s="85" t="str">
        <x:f>IF($P1308="","",HYPERLINK("#'"&amp;INDEX(Tasks!$T$10:$T$1941,$P1308)&amp;"'!A"&amp;INDEX(Tasks!$U$10:$U$1941,$P1308),"Open"))</x:f>
        <x:v>Open</x:v>
      </x:c>
      <x:c r="O1308" s="14"/>
      <x:c r="P1308" s="14" t="n">
        <x:f>IF(1287&gt;$B$10,"",MATCH(1287,Tasks!$S$10:$S$1941,0))</x:f>
        <x:v>1651</x:v>
      </x:c>
    </x:row>
    <x:row r="1309" ht="58" customHeight="1">
      <x:c r="B1309" s="86" t="str">
        <x:f>IF($P1309="","",INDEX(Tasks!$B$10:$B$1941,$P1309))</x:f>
        <x:v>Cycle 2</x:v>
      </x:c>
      <x:c r="C1309" s="86" t="str">
        <x:f>IF($P1309="","",INDEX(Tasks!$C$10:$C$1941,$P1309))</x:f>
        <x:v>Phase 3</x:v>
      </x:c>
      <x:c r="D1309" s="86" t="str">
        <x:f>IF($P1309="","",INDEX(Tasks!$D$10:$D$1941,$P1309))</x:f>
        <x:v>Retail Services</x:v>
      </x:c>
      <x:c r="E1309" s="86"/>
      <x:c r="F1309" s="86" t="str">
        <x:f>IF($P1309="","",INDEX(Tasks!$E$10:$E$1941,$P1309))</x:f>
        <x:v>Design &amp; Insights</x:v>
      </x:c>
      <x:c r="G1309" s="86"/>
      <x:c r="H1309" s="14" t="str">
        <x:f>IF($P1309="","",INDEX(Tasks!$F$10:$F$1941,$P1309)&amp;CHAR(10)&amp;INDEX(Tasks!$G$10:$G$1941,$P1309))</x:f>
        <x:v>DI.RS.3.7
Present material in RCA Cycle Forum</x:v>
      </x:c>
      <x:c r="I1309" s="14"/>
      <x:c r="J1309" s="14"/>
      <x:c r="K1309" s="14"/>
      <x:c r="L1309" s="86" t="str">
        <x:f>IF($P1309="","",INDEX(Tasks!$N$10:$N$1941,$P1309))</x:f>
        <x:v>Not started</x:v>
      </x:c>
      <x:c r="M1309" s="87" t="str">
        <x:f>IF($P1309="","",INDEX(Tasks!$J$10:$J$1941,$P1309))</x:f>
      </x:c>
      <x:c r="N1309" s="85" t="str">
        <x:f>IF($P1309="","",HYPERLINK("#'"&amp;INDEX(Tasks!$T$10:$T$1941,$P1309)&amp;"'!A"&amp;INDEX(Tasks!$U$10:$U$1941,$P1309),"Open"))</x:f>
        <x:v>Open</x:v>
      </x:c>
      <x:c r="O1309" s="14"/>
      <x:c r="P1309" s="14" t="n">
        <x:f>IF(1288&gt;$B$10,"",MATCH(1288,Tasks!$S$10:$S$1941,0))</x:f>
        <x:v>1652</x:v>
      </x:c>
    </x:row>
    <x:row r="1310" ht="58" customHeight="1">
      <x:c r="B1310" s="86" t="str">
        <x:f>IF($P1310="","",INDEX(Tasks!$B$10:$B$1941,$P1310))</x:f>
        <x:v>Cycle 3</x:v>
      </x:c>
      <x:c r="C1310" s="86" t="str">
        <x:f>IF($P1310="","",INDEX(Tasks!$C$10:$C$1941,$P1310))</x:f>
        <x:v>Phase 1</x:v>
      </x:c>
      <x:c r="D1310" s="86" t="str">
        <x:f>IF($P1310="","",INDEX(Tasks!$D$10:$D$1941,$P1310))</x:f>
        <x:v>Auto</x:v>
      </x:c>
      <x:c r="E1310" s="86"/>
      <x:c r="F1310" s="86" t="str">
        <x:f>IF($P1310="","",INDEX(Tasks!$E$10:$E$1941,$P1310))</x:f>
        <x:v>Design &amp; Insights</x:v>
      </x:c>
      <x:c r="G1310" s="86"/>
      <x:c r="H1310" s="14" t="str">
        <x:f>IF($P1310="","",INDEX(Tasks!$F$10:$F$1941,$P1310)&amp;CHAR(10)&amp;INDEX(Tasks!$G$10:$G$1941,$P1310))</x:f>
        <x:v>DI.AU.1.1
Receive and review potential research topics at least 2 weeks prior to Cycle start date</x:v>
      </x:c>
      <x:c r="I1310" s="14"/>
      <x:c r="J1310" s="14"/>
      <x:c r="K1310" s="14"/>
      <x:c r="L1310" s="86" t="str">
        <x:f>IF($P1310="","",INDEX(Tasks!$N$10:$N$1941,$P1310))</x:f>
        <x:v>Not started</x:v>
      </x:c>
      <x:c r="M1310" s="87" t="n">
        <x:f>IF($P1310="","",INDEX(Tasks!$J$10:$J$1941,$P1310))</x:f>
        <x:v>46190</x:v>
      </x:c>
      <x:c r="N1310" s="85" t="str">
        <x:f>IF($P1310="","",HYPERLINK("#'"&amp;INDEX(Tasks!$T$10:$T$1941,$P1310)&amp;"'!A"&amp;INDEX(Tasks!$U$10:$U$1941,$P1310),"Open"))</x:f>
        <x:v>Open</x:v>
      </x:c>
      <x:c r="O1310" s="14"/>
      <x:c r="P1310" s="14" t="n">
        <x:f>IF(1289&gt;$B$10,"",MATCH(1289,Tasks!$S$10:$S$1941,0))</x:f>
        <x:v>1653</x:v>
      </x:c>
    </x:row>
    <x:row r="1311" ht="58" customHeight="1">
      <x:c r="B1311" s="86" t="str">
        <x:f>IF($P1311="","",INDEX(Tasks!$B$10:$B$1941,$P1311))</x:f>
        <x:v>Cycle 3</x:v>
      </x:c>
      <x:c r="C1311" s="86" t="str">
        <x:f>IF($P1311="","",INDEX(Tasks!$C$10:$C$1941,$P1311))</x:f>
        <x:v>Phase 1</x:v>
      </x:c>
      <x:c r="D1311" s="86" t="str">
        <x:f>IF($P1311="","",INDEX(Tasks!$D$10:$D$1941,$P1311))</x:f>
        <x:v>Auto</x:v>
      </x:c>
      <x:c r="E1311" s="86"/>
      <x:c r="F1311" s="86" t="str">
        <x:f>IF($P1311="","",INDEX(Tasks!$E$10:$E$1941,$P1311))</x:f>
        <x:v>Design &amp; Insights</x:v>
      </x:c>
      <x:c r="G1311" s="86"/>
      <x:c r="H1311" s="14" t="str">
        <x:f>IF($P1311="","",INDEX(Tasks!$F$10:$F$1941,$P1311)&amp;CHAR(10)&amp;INDEX(Tasks!$G$10:$G$1941,$P1311))</x:f>
        <x:v>DI.AU.1.2
Communicate any feedback on preferences or concerns with topics identified</x:v>
      </x:c>
      <x:c r="I1311" s="14"/>
      <x:c r="J1311" s="14"/>
      <x:c r="K1311" s="14"/>
      <x:c r="L1311" s="86" t="str">
        <x:f>IF($P1311="","",INDEX(Tasks!$N$10:$N$1941,$P1311))</x:f>
        <x:v>Not started</x:v>
      </x:c>
      <x:c r="M1311" s="87" t="n">
        <x:f>IF($P1311="","",INDEX(Tasks!$J$10:$J$1941,$P1311))</x:f>
        <x:v>46295</x:v>
      </x:c>
      <x:c r="N1311" s="85" t="str">
        <x:f>IF($P1311="","",HYPERLINK("#'"&amp;INDEX(Tasks!$T$10:$T$1941,$P1311)&amp;"'!A"&amp;INDEX(Tasks!$U$10:$U$1941,$P1311),"Open"))</x:f>
        <x:v>Open</x:v>
      </x:c>
      <x:c r="O1311" s="14"/>
      <x:c r="P1311" s="14" t="n">
        <x:f>IF(1290&gt;$B$10,"",MATCH(1290,Tasks!$S$10:$S$1941,0))</x:f>
        <x:v>1654</x:v>
      </x:c>
    </x:row>
    <x:row r="1312" ht="58" customHeight="1">
      <x:c r="B1312" s="86" t="str">
        <x:f>IF($P1312="","",INDEX(Tasks!$B$10:$B$1941,$P1312))</x:f>
        <x:v>Cycle 3</x:v>
      </x:c>
      <x:c r="C1312" s="86" t="str">
        <x:f>IF($P1312="","",INDEX(Tasks!$C$10:$C$1941,$P1312))</x:f>
        <x:v>Phase 1</x:v>
      </x:c>
      <x:c r="D1312" s="86" t="str">
        <x:f>IF($P1312="","",INDEX(Tasks!$D$10:$D$1941,$P1312))</x:f>
        <x:v>Auto</x:v>
      </x:c>
      <x:c r="E1312" s="86"/>
      <x:c r="F1312" s="86" t="str">
        <x:f>IF($P1312="","",INDEX(Tasks!$E$10:$E$1941,$P1312))</x:f>
        <x:v>Design &amp; Insights</x:v>
      </x:c>
      <x:c r="G1312" s="86"/>
      <x:c r="H1312" s="14" t="str">
        <x:f>IF($P1312="","",INDEX(Tasks!$F$10:$F$1941,$P1312)&amp;CHAR(10)&amp;INDEX(Tasks!$G$10:$G$1941,$P1312))</x:f>
        <x:v>DI.AU.1.3
Conduct high-level preliminary review of complaints within proposed topics</x:v>
      </x:c>
      <x:c r="I1312" s="14"/>
      <x:c r="J1312" s="14"/>
      <x:c r="K1312" s="14"/>
      <x:c r="L1312" s="86" t="str">
        <x:f>IF($P1312="","",INDEX(Tasks!$N$10:$N$1941,$P1312))</x:f>
        <x:v>Not started</x:v>
      </x:c>
      <x:c r="M1312" s="87" t="n">
        <x:f>IF($P1312="","",INDEX(Tasks!$J$10:$J$1941,$P1312))</x:f>
        <x:v>46295</x:v>
      </x:c>
      <x:c r="N1312" s="85" t="str">
        <x:f>IF($P1312="","",HYPERLINK("#'"&amp;INDEX(Tasks!$T$10:$T$1941,$P1312)&amp;"'!A"&amp;INDEX(Tasks!$U$10:$U$1941,$P1312),"Open"))</x:f>
        <x:v>Open</x:v>
      </x:c>
      <x:c r="O1312" s="14"/>
      <x:c r="P1312" s="14" t="n">
        <x:f>IF(1291&gt;$B$10,"",MATCH(1291,Tasks!$S$10:$S$1941,0))</x:f>
        <x:v>1655</x:v>
      </x:c>
    </x:row>
    <x:row r="1313" ht="58" customHeight="1">
      <x:c r="B1313" s="86" t="str">
        <x:f>IF($P1313="","",INDEX(Tasks!$B$10:$B$1941,$P1313))</x:f>
        <x:v>Cycle 3</x:v>
      </x:c>
      <x:c r="C1313" s="86" t="str">
        <x:f>IF($P1313="","",INDEX(Tasks!$C$10:$C$1941,$P1313))</x:f>
        <x:v>Phase 1</x:v>
      </x:c>
      <x:c r="D1313" s="86" t="str">
        <x:f>IF($P1313="","",INDEX(Tasks!$D$10:$D$1941,$P1313))</x:f>
        <x:v>Auto</x:v>
      </x:c>
      <x:c r="E1313" s="86"/>
      <x:c r="F1313" s="86" t="str">
        <x:f>IF($P1313="","",INDEX(Tasks!$E$10:$E$1941,$P1313))</x:f>
        <x:v>Design &amp; Insights</x:v>
      </x:c>
      <x:c r="G1313" s="86"/>
      <x:c r="H1313" s="14" t="str">
        <x:f>IF($P1313="","",INDEX(Tasks!$F$10:$F$1941,$P1313)&amp;CHAR(10)&amp;INDEX(Tasks!$G$10:$G$1941,$P1313))</x:f>
        <x:v>DI.AU.1.4
Meet with Research to discuss which topic to select based on potential impact</x:v>
      </x:c>
      <x:c r="I1313" s="14"/>
      <x:c r="J1313" s="14"/>
      <x:c r="K1313" s="14"/>
      <x:c r="L1313" s="86" t="str">
        <x:f>IF($P1313="","",INDEX(Tasks!$N$10:$N$1941,$P1313))</x:f>
        <x:v>Not started</x:v>
      </x:c>
      <x:c r="M1313" s="87" t="n">
        <x:f>IF($P1313="","",INDEX(Tasks!$J$10:$J$1941,$P1313))</x:f>
        <x:v>46295</x:v>
      </x:c>
      <x:c r="N1313" s="85" t="str">
        <x:f>IF($P1313="","",HYPERLINK("#'"&amp;INDEX(Tasks!$T$10:$T$1941,$P1313)&amp;"'!A"&amp;INDEX(Tasks!$U$10:$U$1941,$P1313),"Open"))</x:f>
        <x:v>Open</x:v>
      </x:c>
      <x:c r="O1313" s="14"/>
      <x:c r="P1313" s="14" t="n">
        <x:f>IF(1292&gt;$B$10,"",MATCH(1292,Tasks!$S$10:$S$1941,0))</x:f>
        <x:v>1656</x:v>
      </x:c>
    </x:row>
    <x:row r="1314" ht="58" customHeight="1">
      <x:c r="B1314" s="86" t="str">
        <x:f>IF($P1314="","",INDEX(Tasks!$B$10:$B$1941,$P1314))</x:f>
        <x:v>Cycle 3</x:v>
      </x:c>
      <x:c r="C1314" s="86" t="str">
        <x:f>IF($P1314="","",INDEX(Tasks!$C$10:$C$1941,$P1314))</x:f>
        <x:v>Phase 1</x:v>
      </x:c>
      <x:c r="D1314" s="86" t="str">
        <x:f>IF($P1314="","",INDEX(Tasks!$D$10:$D$1941,$P1314))</x:f>
        <x:v>Auto</x:v>
      </x:c>
      <x:c r="E1314" s="86"/>
      <x:c r="F1314" s="86" t="str">
        <x:f>IF($P1314="","",INDEX(Tasks!$E$10:$E$1941,$P1314))</x:f>
        <x:v>Design &amp; Insights</x:v>
      </x:c>
      <x:c r="G1314" s="86"/>
      <x:c r="H1314" s="14" t="str">
        <x:f>IF($P1314="","",INDEX(Tasks!$F$10:$F$1941,$P1314)&amp;CHAR(10)&amp;INDEX(Tasks!$G$10:$G$1941,$P1314))</x:f>
        <x:v>DI.AU.1.5
Confirm with Research the recommended topic for approval</x:v>
      </x:c>
      <x:c r="I1314" s="14"/>
      <x:c r="J1314" s="14"/>
      <x:c r="K1314" s="14"/>
      <x:c r="L1314" s="86" t="str">
        <x:f>IF($P1314="","",INDEX(Tasks!$N$10:$N$1941,$P1314))</x:f>
        <x:v>Not started</x:v>
      </x:c>
      <x:c r="M1314" s="87" t="n">
        <x:f>IF($P1314="","",INDEX(Tasks!$J$10:$J$1941,$P1314))</x:f>
        <x:v>46295</x:v>
      </x:c>
      <x:c r="N1314" s="85" t="str">
        <x:f>IF($P1314="","",HYPERLINK("#'"&amp;INDEX(Tasks!$T$10:$T$1941,$P1314)&amp;"'!A"&amp;INDEX(Tasks!$U$10:$U$1941,$P1314),"Open"))</x:f>
        <x:v>Open</x:v>
      </x:c>
      <x:c r="O1314" s="14"/>
      <x:c r="P1314" s="14" t="n">
        <x:f>IF(1293&gt;$B$10,"",MATCH(1293,Tasks!$S$10:$S$1941,0))</x:f>
        <x:v>1657</x:v>
      </x:c>
    </x:row>
    <x:row r="1315" ht="58" customHeight="1">
      <x:c r="B1315" s="86" t="str">
        <x:f>IF($P1315="","",INDEX(Tasks!$B$10:$B$1941,$P1315))</x:f>
        <x:v>Cycle 3</x:v>
      </x:c>
      <x:c r="C1315" s="86" t="str">
        <x:f>IF($P1315="","",INDEX(Tasks!$C$10:$C$1941,$P1315))</x:f>
        <x:v>Phase 1</x:v>
      </x:c>
      <x:c r="D1315" s="86" t="str">
        <x:f>IF($P1315="","",INDEX(Tasks!$D$10:$D$1941,$P1315))</x:f>
        <x:v>Auto</x:v>
      </x:c>
      <x:c r="E1315" s="86"/>
      <x:c r="F1315" s="86" t="str">
        <x:f>IF($P1315="","",INDEX(Tasks!$E$10:$E$1941,$P1315))</x:f>
        <x:v>Design &amp; Insights</x:v>
      </x:c>
      <x:c r="G1315" s="86"/>
      <x:c r="H1315" s="14" t="str">
        <x:f>IF($P1315="","",INDEX(Tasks!$F$10:$F$1941,$P1315)&amp;CHAR(10)&amp;INDEX(Tasks!$G$10:$G$1941,$P1315))</x:f>
        <x:v>DI.AU.1.6
Send topic selection socialization email to all key stakeholders on the first day of the review Cycle</x:v>
      </x:c>
      <x:c r="I1315" s="14"/>
      <x:c r="J1315" s="14"/>
      <x:c r="K1315" s="14"/>
      <x:c r="L1315" s="86" t="str">
        <x:f>IF($P1315="","",INDEX(Tasks!$N$10:$N$1941,$P1315))</x:f>
        <x:v>Not started</x:v>
      </x:c>
      <x:c r="M1315" s="87" t="n">
        <x:f>IF($P1315="","",INDEX(Tasks!$J$10:$J$1941,$P1315))</x:f>
        <x:v>46204</x:v>
      </x:c>
      <x:c r="N1315" s="85" t="str">
        <x:f>IF($P1315="","",HYPERLINK("#'"&amp;INDEX(Tasks!$T$10:$T$1941,$P1315)&amp;"'!A"&amp;INDEX(Tasks!$U$10:$U$1941,$P1315),"Open"))</x:f>
        <x:v>Open</x:v>
      </x:c>
      <x:c r="O1315" s="14"/>
      <x:c r="P1315" s="14" t="n">
        <x:f>IF(1294&gt;$B$10,"",MATCH(1294,Tasks!$S$10:$S$1941,0))</x:f>
        <x:v>1658</x:v>
      </x:c>
    </x:row>
    <x:row r="1316" ht="58" customHeight="1">
      <x:c r="B1316" s="86" t="str">
        <x:f>IF($P1316="","",INDEX(Tasks!$B$10:$B$1941,$P1316))</x:f>
        <x:v>Cycle 3</x:v>
      </x:c>
      <x:c r="C1316" s="86" t="str">
        <x:f>IF($P1316="","",INDEX(Tasks!$C$10:$C$1941,$P1316))</x:f>
        <x:v>Phase 2</x:v>
      </x:c>
      <x:c r="D1316" s="86" t="str">
        <x:f>IF($P1316="","",INDEX(Tasks!$D$10:$D$1941,$P1316))</x:f>
        <x:v>Auto</x:v>
      </x:c>
      <x:c r="E1316" s="86"/>
      <x:c r="F1316" s="86" t="str">
        <x:f>IF($P1316="","",INDEX(Tasks!$E$10:$E$1941,$P1316))</x:f>
        <x:v>Design &amp; Insights</x:v>
      </x:c>
      <x:c r="G1316" s="86"/>
      <x:c r="H1316" s="14" t="str">
        <x:f>IF($P1316="","",INDEX(Tasks!$F$10:$F$1941,$P1316)&amp;CHAR(10)&amp;INDEX(Tasks!$G$10:$G$1941,$P1316))</x:f>
        <x:v>DI.AU.2.1
Meet regularly with Research to stay informed on progress, findings, and potential enhancement</x:v>
      </x:c>
      <x:c r="I1316" s="14"/>
      <x:c r="J1316" s="14"/>
      <x:c r="K1316" s="14"/>
      <x:c r="L1316" s="86" t="str">
        <x:f>IF($P1316="","",INDEX(Tasks!$N$10:$N$1941,$P1316))</x:f>
        <x:v>Not started</x:v>
      </x:c>
      <x:c r="M1316" s="87" t="n">
        <x:f>IF($P1316="","",INDEX(Tasks!$J$10:$J$1941,$P1316))</x:f>
        <x:v>46295</x:v>
      </x:c>
      <x:c r="N1316" s="85" t="str">
        <x:f>IF($P1316="","",HYPERLINK("#'"&amp;INDEX(Tasks!$T$10:$T$1941,$P1316)&amp;"'!A"&amp;INDEX(Tasks!$U$10:$U$1941,$P1316),"Open"))</x:f>
        <x:v>Open</x:v>
      </x:c>
      <x:c r="O1316" s="14"/>
      <x:c r="P1316" s="14" t="n">
        <x:f>IF(1295&gt;$B$10,"",MATCH(1295,Tasks!$S$10:$S$1941,0))</x:f>
        <x:v>1659</x:v>
      </x:c>
    </x:row>
    <x:row r="1317" ht="58" customHeight="1">
      <x:c r="B1317" s="86" t="str">
        <x:f>IF($P1317="","",INDEX(Tasks!$B$10:$B$1941,$P1317))</x:f>
        <x:v>Cycle 3</x:v>
      </x:c>
      <x:c r="C1317" s="86" t="str">
        <x:f>IF($P1317="","",INDEX(Tasks!$C$10:$C$1941,$P1317))</x:f>
        <x:v>Phase 2</x:v>
      </x:c>
      <x:c r="D1317" s="86" t="str">
        <x:f>IF($P1317="","",INDEX(Tasks!$D$10:$D$1941,$P1317))</x:f>
        <x:v>Auto</x:v>
      </x:c>
      <x:c r="E1317" s="86"/>
      <x:c r="F1317" s="86" t="str">
        <x:f>IF($P1317="","",INDEX(Tasks!$E$10:$E$1941,$P1317))</x:f>
        <x:v>Design &amp; Insights</x:v>
      </x:c>
      <x:c r="G1317" s="86"/>
      <x:c r="H1317" s="14" t="str">
        <x:f>IF($P1317="","",INDEX(Tasks!$F$10:$F$1941,$P1317)&amp;CHAR(10)&amp;INDEX(Tasks!$G$10:$G$1941,$P1317))</x:f>
        <x:v>DI.AU.2.2
Collaborate with Research on research plan specifics</x:v>
      </x:c>
      <x:c r="I1317" s="14"/>
      <x:c r="J1317" s="14"/>
      <x:c r="K1317" s="14"/>
      <x:c r="L1317" s="86" t="str">
        <x:f>IF($P1317="","",INDEX(Tasks!$N$10:$N$1941,$P1317))</x:f>
        <x:v>Not started</x:v>
      </x:c>
      <x:c r="M1317" s="87" t="n">
        <x:f>IF($P1317="","",INDEX(Tasks!$J$10:$J$1941,$P1317))</x:f>
        <x:v>46295</x:v>
      </x:c>
      <x:c r="N1317" s="85" t="str">
        <x:f>IF($P1317="","",HYPERLINK("#'"&amp;INDEX(Tasks!$T$10:$T$1941,$P1317)&amp;"'!A"&amp;INDEX(Tasks!$U$10:$U$1941,$P1317),"Open"))</x:f>
        <x:v>Open</x:v>
      </x:c>
      <x:c r="O1317" s="14"/>
      <x:c r="P1317" s="14" t="n">
        <x:f>IF(1296&gt;$B$10,"",MATCH(1296,Tasks!$S$10:$S$1941,0))</x:f>
        <x:v>1660</x:v>
      </x:c>
    </x:row>
    <x:row r="1318" ht="58" customHeight="1">
      <x:c r="B1318" s="86" t="str">
        <x:f>IF($P1318="","",INDEX(Tasks!$B$10:$B$1941,$P1318))</x:f>
        <x:v>Cycle 3</x:v>
      </x:c>
      <x:c r="C1318" s="86" t="str">
        <x:f>IF($P1318="","",INDEX(Tasks!$C$10:$C$1941,$P1318))</x:f>
        <x:v>Phase 2</x:v>
      </x:c>
      <x:c r="D1318" s="86" t="str">
        <x:f>IF($P1318="","",INDEX(Tasks!$D$10:$D$1941,$P1318))</x:f>
        <x:v>Auto</x:v>
      </x:c>
      <x:c r="E1318" s="86"/>
      <x:c r="F1318" s="86" t="str">
        <x:f>IF($P1318="","",INDEX(Tasks!$E$10:$E$1941,$P1318))</x:f>
        <x:v>Design &amp; Insights</x:v>
      </x:c>
      <x:c r="G1318" s="86"/>
      <x:c r="H1318" s="14" t="str">
        <x:f>IF($P1318="","",INDEX(Tasks!$F$10:$F$1941,$P1318)&amp;CHAR(10)&amp;INDEX(Tasks!$G$10:$G$1941,$P1318))</x:f>
        <x:v>DI.AU.2.3
Participate in SME insight meetings to gain perspective and appetite on potential enhancements</x:v>
      </x:c>
      <x:c r="I1318" s="14"/>
      <x:c r="J1318" s="14"/>
      <x:c r="K1318" s="14"/>
      <x:c r="L1318" s="86" t="str">
        <x:f>IF($P1318="","",INDEX(Tasks!$N$10:$N$1941,$P1318))</x:f>
        <x:v>Not started</x:v>
      </x:c>
      <x:c r="M1318" s="87" t="n">
        <x:f>IF($P1318="","",INDEX(Tasks!$J$10:$J$1941,$P1318))</x:f>
        <x:v>46295</x:v>
      </x:c>
      <x:c r="N1318" s="85" t="str">
        <x:f>IF($P1318="","",HYPERLINK("#'"&amp;INDEX(Tasks!$T$10:$T$1941,$P1318)&amp;"'!A"&amp;INDEX(Tasks!$U$10:$U$1941,$P1318),"Open"))</x:f>
        <x:v>Open</x:v>
      </x:c>
      <x:c r="O1318" s="14"/>
      <x:c r="P1318" s="14" t="n">
        <x:f>IF(1297&gt;$B$10,"",MATCH(1297,Tasks!$S$10:$S$1941,0))</x:f>
        <x:v>1661</x:v>
      </x:c>
    </x:row>
    <x:row r="1319" ht="58" customHeight="1">
      <x:c r="B1319" s="86" t="str">
        <x:f>IF($P1319="","",INDEX(Tasks!$B$10:$B$1941,$P1319))</x:f>
        <x:v>Cycle 3</x:v>
      </x:c>
      <x:c r="C1319" s="86" t="str">
        <x:f>IF($P1319="","",INDEX(Tasks!$C$10:$C$1941,$P1319))</x:f>
        <x:v>Phase 2</x:v>
      </x:c>
      <x:c r="D1319" s="86" t="str">
        <x:f>IF($P1319="","",INDEX(Tasks!$D$10:$D$1941,$P1319))</x:f>
        <x:v>Auto</x:v>
      </x:c>
      <x:c r="E1319" s="86"/>
      <x:c r="F1319" s="86" t="str">
        <x:f>IF($P1319="","",INDEX(Tasks!$E$10:$E$1941,$P1319))</x:f>
        <x:v>Design &amp; Insights</x:v>
      </x:c>
      <x:c r="G1319" s="86"/>
      <x:c r="H1319" s="14" t="str">
        <x:f>IF($P1319="","",INDEX(Tasks!$F$10:$F$1941,$P1319)&amp;CHAR(10)&amp;INDEX(Tasks!$G$10:$G$1941,$P1319))</x:f>
        <x:v>DI.AU.2.4
Begin development of presentation materials as Research is being completed</x:v>
      </x:c>
      <x:c r="I1319" s="14"/>
      <x:c r="J1319" s="14"/>
      <x:c r="K1319" s="14"/>
      <x:c r="L1319" s="86" t="str">
        <x:f>IF($P1319="","",INDEX(Tasks!$N$10:$N$1941,$P1319))</x:f>
        <x:v>Not started</x:v>
      </x:c>
      <x:c r="M1319" s="87" t="n">
        <x:f>IF($P1319="","",INDEX(Tasks!$J$10:$J$1941,$P1319))</x:f>
        <x:v>46295</x:v>
      </x:c>
      <x:c r="N1319" s="85" t="str">
        <x:f>IF($P1319="","",HYPERLINK("#'"&amp;INDEX(Tasks!$T$10:$T$1941,$P1319)&amp;"'!A"&amp;INDEX(Tasks!$U$10:$U$1941,$P1319),"Open"))</x:f>
        <x:v>Open</x:v>
      </x:c>
      <x:c r="O1319" s="14"/>
      <x:c r="P1319" s="14" t="n">
        <x:f>IF(1298&gt;$B$10,"",MATCH(1298,Tasks!$S$10:$S$1941,0))</x:f>
        <x:v>1662</x:v>
      </x:c>
    </x:row>
    <x:row r="1320" ht="58" customHeight="1">
      <x:c r="B1320" s="86" t="str">
        <x:f>IF($P1320="","",INDEX(Tasks!$B$10:$B$1941,$P1320))</x:f>
        <x:v>Cycle 3</x:v>
      </x:c>
      <x:c r="C1320" s="86" t="str">
        <x:f>IF($P1320="","",INDEX(Tasks!$C$10:$C$1941,$P1320))</x:f>
        <x:v>Phase 2</x:v>
      </x:c>
      <x:c r="D1320" s="86" t="str">
        <x:f>IF($P1320="","",INDEX(Tasks!$D$10:$D$1941,$P1320))</x:f>
        <x:v>Auto</x:v>
      </x:c>
      <x:c r="E1320" s="86"/>
      <x:c r="F1320" s="86" t="str">
        <x:f>IF($P1320="","",INDEX(Tasks!$E$10:$E$1941,$P1320))</x:f>
        <x:v>Design &amp; Insights</x:v>
      </x:c>
      <x:c r="G1320" s="86"/>
      <x:c r="H1320" s="14" t="str">
        <x:f>IF($P1320="","",INDEX(Tasks!$F$10:$F$1941,$P1320)&amp;CHAR(10)&amp;INDEX(Tasks!$G$10:$G$1941,$P1320))</x:f>
        <x:v>DI.AU.2.5
Draft initial enhancement recommendations (as applicable)</x:v>
      </x:c>
      <x:c r="I1320" s="14"/>
      <x:c r="J1320" s="14"/>
      <x:c r="K1320" s="14"/>
      <x:c r="L1320" s="86" t="str">
        <x:f>IF($P1320="","",INDEX(Tasks!$N$10:$N$1941,$P1320))</x:f>
        <x:v>Not started</x:v>
      </x:c>
      <x:c r="M1320" s="87" t="n">
        <x:f>IF($P1320="","",INDEX(Tasks!$J$10:$J$1941,$P1320))</x:f>
        <x:v>46295</x:v>
      </x:c>
      <x:c r="N1320" s="85" t="str">
        <x:f>IF($P1320="","",HYPERLINK("#'"&amp;INDEX(Tasks!$T$10:$T$1941,$P1320)&amp;"'!A"&amp;INDEX(Tasks!$U$10:$U$1941,$P1320),"Open"))</x:f>
        <x:v>Open</x:v>
      </x:c>
      <x:c r="O1320" s="14"/>
      <x:c r="P1320" s="14" t="n">
        <x:f>IF(1299&gt;$B$10,"",MATCH(1299,Tasks!$S$10:$S$1941,0))</x:f>
        <x:v>1663</x:v>
      </x:c>
    </x:row>
    <x:row r="1321" ht="58" customHeight="1">
      <x:c r="B1321" s="86" t="str">
        <x:f>IF($P1321="","",INDEX(Tasks!$B$10:$B$1941,$P1321))</x:f>
        <x:v>Cycle 3</x:v>
      </x:c>
      <x:c r="C1321" s="86" t="str">
        <x:f>IF($P1321="","",INDEX(Tasks!$C$10:$C$1941,$P1321))</x:f>
        <x:v>Phase 2</x:v>
      </x:c>
      <x:c r="D1321" s="86" t="str">
        <x:f>IF($P1321="","",INDEX(Tasks!$D$10:$D$1941,$P1321))</x:f>
        <x:v>Auto</x:v>
      </x:c>
      <x:c r="E1321" s="86"/>
      <x:c r="F1321" s="86" t="str">
        <x:f>IF($P1321="","",INDEX(Tasks!$E$10:$E$1941,$P1321))</x:f>
        <x:v>Design &amp; Insights</x:v>
      </x:c>
      <x:c r="G1321" s="86"/>
      <x:c r="H1321" s="14" t="str">
        <x:f>IF($P1321="","",INDEX(Tasks!$F$10:$F$1941,$P1321)&amp;CHAR(10)&amp;INDEX(Tasks!$G$10:$G$1941,$P1321))</x:f>
        <x:v>DI.AU.2.6
Finalize presentation deck draft at conclusion of Research phase</x:v>
      </x:c>
      <x:c r="I1321" s="14"/>
      <x:c r="J1321" s="14"/>
      <x:c r="K1321" s="14"/>
      <x:c r="L1321" s="86" t="str">
        <x:f>IF($P1321="","",INDEX(Tasks!$N$10:$N$1941,$P1321))</x:f>
        <x:v>Not started</x:v>
      </x:c>
      <x:c r="M1321" s="87" t="n">
        <x:f>IF($P1321="","",INDEX(Tasks!$J$10:$J$1941,$P1321))</x:f>
        <x:v>46295</x:v>
      </x:c>
      <x:c r="N1321" s="85" t="str">
        <x:f>IF($P1321="","",HYPERLINK("#'"&amp;INDEX(Tasks!$T$10:$T$1941,$P1321)&amp;"'!A"&amp;INDEX(Tasks!$U$10:$U$1941,$P1321),"Open"))</x:f>
        <x:v>Open</x:v>
      </x:c>
      <x:c r="O1321" s="14"/>
      <x:c r="P1321" s="14" t="n">
        <x:f>IF(1300&gt;$B$10,"",MATCH(1300,Tasks!$S$10:$S$1941,0))</x:f>
        <x:v>1664</x:v>
      </x:c>
    </x:row>
    <x:row r="1322" ht="58" customHeight="1">
      <x:c r="B1322" s="86" t="str">
        <x:f>IF($P1322="","",INDEX(Tasks!$B$10:$B$1941,$P1322))</x:f>
        <x:v>Cycle 3</x:v>
      </x:c>
      <x:c r="C1322" s="86" t="str">
        <x:f>IF($P1322="","",INDEX(Tasks!$C$10:$C$1941,$P1322))</x:f>
        <x:v>Phase 2</x:v>
      </x:c>
      <x:c r="D1322" s="86" t="str">
        <x:f>IF($P1322="","",INDEX(Tasks!$D$10:$D$1941,$P1322))</x:f>
        <x:v>Auto</x:v>
      </x:c>
      <x:c r="E1322" s="86"/>
      <x:c r="F1322" s="86" t="str">
        <x:f>IF($P1322="","",INDEX(Tasks!$E$10:$E$1941,$P1322))</x:f>
        <x:v>Design &amp; Insights</x:v>
      </x:c>
      <x:c r="G1322" s="86"/>
      <x:c r="H1322" s="14" t="str">
        <x:f>IF($P1322="","",INDEX(Tasks!$F$10:$F$1941,$P1322)&amp;CHAR(10)&amp;INDEX(Tasks!$G$10:$G$1941,$P1322))</x:f>
        <x:v>DI.AU.2.7
Update Outcome portion of research plan with current enhancement verbiage (as needed)</x:v>
      </x:c>
      <x:c r="I1322" s="14"/>
      <x:c r="J1322" s="14"/>
      <x:c r="K1322" s="14"/>
      <x:c r="L1322" s="86" t="str">
        <x:f>IF($P1322="","",INDEX(Tasks!$N$10:$N$1941,$P1322))</x:f>
        <x:v>Not started</x:v>
      </x:c>
      <x:c r="M1322" s="87" t="n">
        <x:f>IF($P1322="","",INDEX(Tasks!$J$10:$J$1941,$P1322))</x:f>
        <x:v>46295</x:v>
      </x:c>
      <x:c r="N1322" s="85" t="str">
        <x:f>IF($P1322="","",HYPERLINK("#'"&amp;INDEX(Tasks!$T$10:$T$1941,$P1322)&amp;"'!A"&amp;INDEX(Tasks!$U$10:$U$1941,$P1322),"Open"))</x:f>
        <x:v>Open</x:v>
      </x:c>
      <x:c r="O1322" s="14"/>
      <x:c r="P1322" s="14" t="n">
        <x:f>IF(1301&gt;$B$10,"",MATCH(1301,Tasks!$S$10:$S$1941,0))</x:f>
        <x:v>1665</x:v>
      </x:c>
    </x:row>
    <x:row r="1323" ht="58" customHeight="1">
      <x:c r="B1323" s="86" t="str">
        <x:f>IF($P1323="","",INDEX(Tasks!$B$10:$B$1941,$P1323))</x:f>
        <x:v>Cycle 3</x:v>
      </x:c>
      <x:c r="C1323" s="86" t="str">
        <x:f>IF($P1323="","",INDEX(Tasks!$C$10:$C$1941,$P1323))</x:f>
        <x:v>Phase 3</x:v>
      </x:c>
      <x:c r="D1323" s="86" t="str">
        <x:f>IF($P1323="","",INDEX(Tasks!$D$10:$D$1941,$P1323))</x:f>
        <x:v>Auto</x:v>
      </x:c>
      <x:c r="E1323" s="86"/>
      <x:c r="F1323" s="86" t="str">
        <x:f>IF($P1323="","",INDEX(Tasks!$E$10:$E$1941,$P1323))</x:f>
        <x:v>Design &amp; Insights</x:v>
      </x:c>
      <x:c r="G1323" s="86"/>
      <x:c r="H1323" s="14" t="str">
        <x:f>IF($P1323="","",INDEX(Tasks!$F$10:$F$1941,$P1323)&amp;CHAR(10)&amp;INDEX(Tasks!$G$10:$G$1941,$P1323))</x:f>
        <x:v>DI.AU.3.1
Confirm list of required &amp; optional attendees for pre-socialization meeting</x:v>
      </x:c>
      <x:c r="I1323" s="14"/>
      <x:c r="J1323" s="14"/>
      <x:c r="K1323" s="14"/>
      <x:c r="L1323" s="86" t="str">
        <x:f>IF($P1323="","",INDEX(Tasks!$N$10:$N$1941,$P1323))</x:f>
        <x:v>Not started</x:v>
      </x:c>
      <x:c r="M1323" s="87" t="n">
        <x:f>IF($P1323="","",INDEX(Tasks!$J$10:$J$1941,$P1323))</x:f>
        <x:v>46295</x:v>
      </x:c>
      <x:c r="N1323" s="85" t="str">
        <x:f>IF($P1323="","",HYPERLINK("#'"&amp;INDEX(Tasks!$T$10:$T$1941,$P1323)&amp;"'!A"&amp;INDEX(Tasks!$U$10:$U$1941,$P1323),"Open"))</x:f>
        <x:v>Open</x:v>
      </x:c>
      <x:c r="O1323" s="14"/>
      <x:c r="P1323" s="14" t="n">
        <x:f>IF(1302&gt;$B$10,"",MATCH(1302,Tasks!$S$10:$S$1941,0))</x:f>
        <x:v>1666</x:v>
      </x:c>
    </x:row>
    <x:row r="1324" ht="58" customHeight="1">
      <x:c r="B1324" s="86" t="str">
        <x:f>IF($P1324="","",INDEX(Tasks!$B$10:$B$1941,$P1324))</x:f>
        <x:v>Cycle 3</x:v>
      </x:c>
      <x:c r="C1324" s="86" t="str">
        <x:f>IF($P1324="","",INDEX(Tasks!$C$10:$C$1941,$P1324))</x:f>
        <x:v>Phase 3</x:v>
      </x:c>
      <x:c r="D1324" s="86" t="str">
        <x:f>IF($P1324="","",INDEX(Tasks!$D$10:$D$1941,$P1324))</x:f>
        <x:v>Auto</x:v>
      </x:c>
      <x:c r="E1324" s="86"/>
      <x:c r="F1324" s="86" t="str">
        <x:f>IF($P1324="","",INDEX(Tasks!$E$10:$E$1941,$P1324))</x:f>
        <x:v>Design &amp; Insights</x:v>
      </x:c>
      <x:c r="G1324" s="86"/>
      <x:c r="H1324" s="14" t="str">
        <x:f>IF($P1324="","",INDEX(Tasks!$F$10:$F$1941,$P1324)&amp;CHAR(10)&amp;INDEX(Tasks!$G$10:$G$1941,$P1324))</x:f>
        <x:v>DI.AU.3.2
Schedule pre-socialization meeting 1 week prior to RCA Forum</x:v>
      </x:c>
      <x:c r="I1324" s="14"/>
      <x:c r="J1324" s="14"/>
      <x:c r="K1324" s="14"/>
      <x:c r="L1324" s="86" t="str">
        <x:f>IF($P1324="","",INDEX(Tasks!$N$10:$N$1941,$P1324))</x:f>
        <x:v>Not started</x:v>
      </x:c>
      <x:c r="M1324" s="87" t="str">
        <x:f>IF($P1324="","",INDEX(Tasks!$J$10:$J$1941,$P1324))</x:f>
      </x:c>
      <x:c r="N1324" s="85" t="str">
        <x:f>IF($P1324="","",HYPERLINK("#'"&amp;INDEX(Tasks!$T$10:$T$1941,$P1324)&amp;"'!A"&amp;INDEX(Tasks!$U$10:$U$1941,$P1324),"Open"))</x:f>
        <x:v>Open</x:v>
      </x:c>
      <x:c r="O1324" s="14"/>
      <x:c r="P1324" s="14" t="n">
        <x:f>IF(1303&gt;$B$10,"",MATCH(1303,Tasks!$S$10:$S$1941,0))</x:f>
        <x:v>1667</x:v>
      </x:c>
    </x:row>
    <x:row r="1325" ht="58" customHeight="1">
      <x:c r="B1325" s="86" t="str">
        <x:f>IF($P1325="","",INDEX(Tasks!$B$10:$B$1941,$P1325))</x:f>
        <x:v>Cycle 3</x:v>
      </x:c>
      <x:c r="C1325" s="86" t="str">
        <x:f>IF($P1325="","",INDEX(Tasks!$C$10:$C$1941,$P1325))</x:f>
        <x:v>Phase 3</x:v>
      </x:c>
      <x:c r="D1325" s="86" t="str">
        <x:f>IF($P1325="","",INDEX(Tasks!$D$10:$D$1941,$P1325))</x:f>
        <x:v>Auto</x:v>
      </x:c>
      <x:c r="E1325" s="86"/>
      <x:c r="F1325" s="86" t="str">
        <x:f>IF($P1325="","",INDEX(Tasks!$E$10:$E$1941,$P1325))</x:f>
        <x:v>Design &amp; Insights</x:v>
      </x:c>
      <x:c r="G1325" s="86"/>
      <x:c r="H1325" s="14" t="str">
        <x:f>IF($P1325="","",INDEX(Tasks!$F$10:$F$1941,$P1325)&amp;CHAR(10)&amp;INDEX(Tasks!$G$10:$G$1941,$P1325))</x:f>
        <x:v>DI.AU.3.3
Present findings, conclusions, and recommendation to SMEs</x:v>
      </x:c>
      <x:c r="I1325" s="14"/>
      <x:c r="J1325" s="14"/>
      <x:c r="K1325" s="14"/>
      <x:c r="L1325" s="86" t="str">
        <x:f>IF($P1325="","",INDEX(Tasks!$N$10:$N$1941,$P1325))</x:f>
        <x:v>Not started</x:v>
      </x:c>
      <x:c r="M1325" s="87" t="n">
        <x:f>IF($P1325="","",INDEX(Tasks!$J$10:$J$1941,$P1325))</x:f>
        <x:v>46295</x:v>
      </x:c>
      <x:c r="N1325" s="85" t="str">
        <x:f>IF($P1325="","",HYPERLINK("#'"&amp;INDEX(Tasks!$T$10:$T$1941,$P1325)&amp;"'!A"&amp;INDEX(Tasks!$U$10:$U$1941,$P1325),"Open"))</x:f>
        <x:v>Open</x:v>
      </x:c>
      <x:c r="O1325" s="14"/>
      <x:c r="P1325" s="14" t="n">
        <x:f>IF(1304&gt;$B$10,"",MATCH(1304,Tasks!$S$10:$S$1941,0))</x:f>
        <x:v>1668</x:v>
      </x:c>
    </x:row>
    <x:row r="1326" ht="58" customHeight="1">
      <x:c r="B1326" s="86" t="str">
        <x:f>IF($P1326="","",INDEX(Tasks!$B$10:$B$1941,$P1326))</x:f>
        <x:v>Cycle 3</x:v>
      </x:c>
      <x:c r="C1326" s="86" t="str">
        <x:f>IF($P1326="","",INDEX(Tasks!$C$10:$C$1941,$P1326))</x:f>
        <x:v>Phase 3</x:v>
      </x:c>
      <x:c r="D1326" s="86" t="str">
        <x:f>IF($P1326="","",INDEX(Tasks!$D$10:$D$1941,$P1326))</x:f>
        <x:v>Auto</x:v>
      </x:c>
      <x:c r="E1326" s="86"/>
      <x:c r="F1326" s="86" t="str">
        <x:f>IF($P1326="","",INDEX(Tasks!$E$10:$E$1941,$P1326))</x:f>
        <x:v>Design &amp; Insights</x:v>
      </x:c>
      <x:c r="G1326" s="86"/>
      <x:c r="H1326" s="14" t="str">
        <x:f>IF($P1326="","",INDEX(Tasks!$F$10:$F$1941,$P1326)&amp;CHAR(10)&amp;INDEX(Tasks!$G$10:$G$1941,$P1326))</x:f>
        <x:v>DI.AU.3.4
Update Outcome portion of research plan (as needed)</x:v>
      </x:c>
      <x:c r="I1326" s="14"/>
      <x:c r="J1326" s="14"/>
      <x:c r="K1326" s="14"/>
      <x:c r="L1326" s="86" t="str">
        <x:f>IF($P1326="","",INDEX(Tasks!$N$10:$N$1941,$P1326))</x:f>
        <x:v>Not started</x:v>
      </x:c>
      <x:c r="M1326" s="87" t="n">
        <x:f>IF($P1326="","",INDEX(Tasks!$J$10:$J$1941,$P1326))</x:f>
        <x:v>46295</x:v>
      </x:c>
      <x:c r="N1326" s="85" t="str">
        <x:f>IF($P1326="","",HYPERLINK("#'"&amp;INDEX(Tasks!$T$10:$T$1941,$P1326)&amp;"'!A"&amp;INDEX(Tasks!$U$10:$U$1941,$P1326),"Open"))</x:f>
        <x:v>Open</x:v>
      </x:c>
      <x:c r="O1326" s="14"/>
      <x:c r="P1326" s="14" t="n">
        <x:f>IF(1305&gt;$B$10,"",MATCH(1305,Tasks!$S$10:$S$1941,0))</x:f>
        <x:v>1669</x:v>
      </x:c>
    </x:row>
    <x:row r="1327" ht="58" customHeight="1">
      <x:c r="B1327" s="86" t="str">
        <x:f>IF($P1327="","",INDEX(Tasks!$B$10:$B$1941,$P1327))</x:f>
        <x:v>Cycle 3</x:v>
      </x:c>
      <x:c r="C1327" s="86" t="str">
        <x:f>IF($P1327="","",INDEX(Tasks!$C$10:$C$1941,$P1327))</x:f>
        <x:v>Phase 3</x:v>
      </x:c>
      <x:c r="D1327" s="86" t="str">
        <x:f>IF($P1327="","",INDEX(Tasks!$D$10:$D$1941,$P1327))</x:f>
        <x:v>Auto</x:v>
      </x:c>
      <x:c r="E1327" s="86"/>
      <x:c r="F1327" s="86" t="str">
        <x:f>IF($P1327="","",INDEX(Tasks!$E$10:$E$1941,$P1327))</x:f>
        <x:v>Design &amp; Insights</x:v>
      </x:c>
      <x:c r="G1327" s="86"/>
      <x:c r="H1327" s="14" t="str">
        <x:f>IF($P1327="","",INDEX(Tasks!$F$10:$F$1941,$P1327)&amp;CHAR(10)&amp;INDEX(Tasks!$G$10:$G$1941,$P1327))</x:f>
        <x:v>DI.AU.3.5
Finalize presentation deck by incorporating pre-socialization feedback (as needed)</x:v>
      </x:c>
      <x:c r="I1327" s="14"/>
      <x:c r="J1327" s="14"/>
      <x:c r="K1327" s="14"/>
      <x:c r="L1327" s="86" t="str">
        <x:f>IF($P1327="","",INDEX(Tasks!$N$10:$N$1941,$P1327))</x:f>
        <x:v>Not started</x:v>
      </x:c>
      <x:c r="M1327" s="87" t="n">
        <x:f>IF($P1327="","",INDEX(Tasks!$J$10:$J$1941,$P1327))</x:f>
        <x:v>46295</x:v>
      </x:c>
      <x:c r="N1327" s="85" t="str">
        <x:f>IF($P1327="","",HYPERLINK("#'"&amp;INDEX(Tasks!$T$10:$T$1941,$P1327)&amp;"'!A"&amp;INDEX(Tasks!$U$10:$U$1941,$P1327),"Open"))</x:f>
        <x:v>Open</x:v>
      </x:c>
      <x:c r="O1327" s="14"/>
      <x:c r="P1327" s="14" t="n">
        <x:f>IF(1306&gt;$B$10,"",MATCH(1306,Tasks!$S$10:$S$1941,0))</x:f>
        <x:v>1670</x:v>
      </x:c>
    </x:row>
    <x:row r="1328" ht="58" customHeight="1">
      <x:c r="B1328" s="86" t="str">
        <x:f>IF($P1328="","",INDEX(Tasks!$B$10:$B$1941,$P1328))</x:f>
        <x:v>Cycle 3</x:v>
      </x:c>
      <x:c r="C1328" s="86" t="str">
        <x:f>IF($P1328="","",INDEX(Tasks!$C$10:$C$1941,$P1328))</x:f>
        <x:v>Phase 3</x:v>
      </x:c>
      <x:c r="D1328" s="86" t="str">
        <x:f>IF($P1328="","",INDEX(Tasks!$D$10:$D$1941,$P1328))</x:f>
        <x:v>Auto</x:v>
      </x:c>
      <x:c r="E1328" s="86"/>
      <x:c r="F1328" s="86" t="str">
        <x:f>IF($P1328="","",INDEX(Tasks!$E$10:$E$1941,$P1328))</x:f>
        <x:v>Design &amp; Insights</x:v>
      </x:c>
      <x:c r="G1328" s="86"/>
      <x:c r="H1328" s="14" t="str">
        <x:f>IF($P1328="","",INDEX(Tasks!$F$10:$F$1941,$P1328)&amp;CHAR(10)&amp;INDEX(Tasks!$G$10:$G$1941,$P1328))</x:f>
        <x:v>DI.AU.3.6
Ensure final deck is communicated to Forum attendees</x:v>
      </x:c>
      <x:c r="I1328" s="14"/>
      <x:c r="J1328" s="14"/>
      <x:c r="K1328" s="14"/>
      <x:c r="L1328" s="86" t="str">
        <x:f>IF($P1328="","",INDEX(Tasks!$N$10:$N$1941,$P1328))</x:f>
        <x:v>Not started</x:v>
      </x:c>
      <x:c r="M1328" s="87" t="n">
        <x:f>IF($P1328="","",INDEX(Tasks!$J$10:$J$1941,$P1328))</x:f>
        <x:v>46295</x:v>
      </x:c>
      <x:c r="N1328" s="85" t="str">
        <x:f>IF($P1328="","",HYPERLINK("#'"&amp;INDEX(Tasks!$T$10:$T$1941,$P1328)&amp;"'!A"&amp;INDEX(Tasks!$U$10:$U$1941,$P1328),"Open"))</x:f>
        <x:v>Open</x:v>
      </x:c>
      <x:c r="O1328" s="14"/>
      <x:c r="P1328" s="14" t="n">
        <x:f>IF(1307&gt;$B$10,"",MATCH(1307,Tasks!$S$10:$S$1941,0))</x:f>
        <x:v>1671</x:v>
      </x:c>
    </x:row>
    <x:row r="1329" ht="58" customHeight="1">
      <x:c r="B1329" s="86" t="str">
        <x:f>IF($P1329="","",INDEX(Tasks!$B$10:$B$1941,$P1329))</x:f>
        <x:v>Cycle 3</x:v>
      </x:c>
      <x:c r="C1329" s="86" t="str">
        <x:f>IF($P1329="","",INDEX(Tasks!$C$10:$C$1941,$P1329))</x:f>
        <x:v>Phase 3</x:v>
      </x:c>
      <x:c r="D1329" s="86" t="str">
        <x:f>IF($P1329="","",INDEX(Tasks!$D$10:$D$1941,$P1329))</x:f>
        <x:v>Auto</x:v>
      </x:c>
      <x:c r="E1329" s="86"/>
      <x:c r="F1329" s="86" t="str">
        <x:f>IF($P1329="","",INDEX(Tasks!$E$10:$E$1941,$P1329))</x:f>
        <x:v>Design &amp; Insights</x:v>
      </x:c>
      <x:c r="G1329" s="86"/>
      <x:c r="H1329" s="14" t="str">
        <x:f>IF($P1329="","",INDEX(Tasks!$F$10:$F$1941,$P1329)&amp;CHAR(10)&amp;INDEX(Tasks!$G$10:$G$1941,$P1329))</x:f>
        <x:v>DI.AU.3.7
Present material in RCA Cycle Forum</x:v>
      </x:c>
      <x:c r="I1329" s="14"/>
      <x:c r="J1329" s="14"/>
      <x:c r="K1329" s="14"/>
      <x:c r="L1329" s="86" t="str">
        <x:f>IF($P1329="","",INDEX(Tasks!$N$10:$N$1941,$P1329))</x:f>
        <x:v>Not started</x:v>
      </x:c>
      <x:c r="M1329" s="87" t="str">
        <x:f>IF($P1329="","",INDEX(Tasks!$J$10:$J$1941,$P1329))</x:f>
      </x:c>
      <x:c r="N1329" s="85" t="str">
        <x:f>IF($P1329="","",HYPERLINK("#'"&amp;INDEX(Tasks!$T$10:$T$1941,$P1329)&amp;"'!A"&amp;INDEX(Tasks!$U$10:$U$1941,$P1329),"Open"))</x:f>
        <x:v>Open</x:v>
      </x:c>
      <x:c r="O1329" s="14"/>
      <x:c r="P1329" s="14" t="n">
        <x:f>IF(1308&gt;$B$10,"",MATCH(1308,Tasks!$S$10:$S$1941,0))</x:f>
        <x:v>1672</x:v>
      </x:c>
    </x:row>
    <x:row r="1330" ht="58" customHeight="1">
      <x:c r="B1330" s="86" t="str">
        <x:f>IF($P1330="","",INDEX(Tasks!$B$10:$B$1941,$P1330))</x:f>
        <x:v>Cycle 3</x:v>
      </x:c>
      <x:c r="C1330" s="86" t="str">
        <x:f>IF($P1330="","",INDEX(Tasks!$C$10:$C$1941,$P1330))</x:f>
        <x:v>Phase 1</x:v>
      </x:c>
      <x:c r="D1330" s="86" t="str">
        <x:f>IF($P1330="","",INDEX(Tasks!$D$10:$D$1941,$P1330))</x:f>
        <x:v>Cards</x:v>
      </x:c>
      <x:c r="E1330" s="86"/>
      <x:c r="F1330" s="86" t="str">
        <x:f>IF($P1330="","",INDEX(Tasks!$E$10:$E$1941,$P1330))</x:f>
        <x:v>Design &amp; Insights</x:v>
      </x:c>
      <x:c r="G1330" s="86"/>
      <x:c r="H1330" s="14" t="str">
        <x:f>IF($P1330="","",INDEX(Tasks!$F$10:$F$1941,$P1330)&amp;CHAR(10)&amp;INDEX(Tasks!$G$10:$G$1941,$P1330))</x:f>
        <x:v>DI.CA.1.1
Receive and review potential research topics at least 2 weeks prior to Cycle start date</x:v>
      </x:c>
      <x:c r="I1330" s="14"/>
      <x:c r="J1330" s="14"/>
      <x:c r="K1330" s="14"/>
      <x:c r="L1330" s="86" t="str">
        <x:f>IF($P1330="","",INDEX(Tasks!$N$10:$N$1941,$P1330))</x:f>
        <x:v>Not started</x:v>
      </x:c>
      <x:c r="M1330" s="87" t="n">
        <x:f>IF($P1330="","",INDEX(Tasks!$J$10:$J$1941,$P1330))</x:f>
        <x:v>46190</x:v>
      </x:c>
      <x:c r="N1330" s="85" t="str">
        <x:f>IF($P1330="","",HYPERLINK("#'"&amp;INDEX(Tasks!$T$10:$T$1941,$P1330)&amp;"'!A"&amp;INDEX(Tasks!$U$10:$U$1941,$P1330),"Open"))</x:f>
        <x:v>Open</x:v>
      </x:c>
      <x:c r="O1330" s="14"/>
      <x:c r="P1330" s="14" t="n">
        <x:f>IF(1309&gt;$B$10,"",MATCH(1309,Tasks!$S$10:$S$1941,0))</x:f>
        <x:v>1673</x:v>
      </x:c>
    </x:row>
    <x:row r="1331" ht="58" customHeight="1">
      <x:c r="B1331" s="86" t="str">
        <x:f>IF($P1331="","",INDEX(Tasks!$B$10:$B$1941,$P1331))</x:f>
        <x:v>Cycle 3</x:v>
      </x:c>
      <x:c r="C1331" s="86" t="str">
        <x:f>IF($P1331="","",INDEX(Tasks!$C$10:$C$1941,$P1331))</x:f>
        <x:v>Phase 1</x:v>
      </x:c>
      <x:c r="D1331" s="86" t="str">
        <x:f>IF($P1331="","",INDEX(Tasks!$D$10:$D$1941,$P1331))</x:f>
        <x:v>Cards</x:v>
      </x:c>
      <x:c r="E1331" s="86"/>
      <x:c r="F1331" s="86" t="str">
        <x:f>IF($P1331="","",INDEX(Tasks!$E$10:$E$1941,$P1331))</x:f>
        <x:v>Design &amp; Insights</x:v>
      </x:c>
      <x:c r="G1331" s="86"/>
      <x:c r="H1331" s="14" t="str">
        <x:f>IF($P1331="","",INDEX(Tasks!$F$10:$F$1941,$P1331)&amp;CHAR(10)&amp;INDEX(Tasks!$G$10:$G$1941,$P1331))</x:f>
        <x:v>DI.CA.1.2
Communicate any feedback on preferences or concerns with topics identified</x:v>
      </x:c>
      <x:c r="I1331" s="14"/>
      <x:c r="J1331" s="14"/>
      <x:c r="K1331" s="14"/>
      <x:c r="L1331" s="86" t="str">
        <x:f>IF($P1331="","",INDEX(Tasks!$N$10:$N$1941,$P1331))</x:f>
        <x:v>Not started</x:v>
      </x:c>
      <x:c r="M1331" s="87" t="n">
        <x:f>IF($P1331="","",INDEX(Tasks!$J$10:$J$1941,$P1331))</x:f>
        <x:v>46295</x:v>
      </x:c>
      <x:c r="N1331" s="85" t="str">
        <x:f>IF($P1331="","",HYPERLINK("#'"&amp;INDEX(Tasks!$T$10:$T$1941,$P1331)&amp;"'!A"&amp;INDEX(Tasks!$U$10:$U$1941,$P1331),"Open"))</x:f>
        <x:v>Open</x:v>
      </x:c>
      <x:c r="O1331" s="14"/>
      <x:c r="P1331" s="14" t="n">
        <x:f>IF(1310&gt;$B$10,"",MATCH(1310,Tasks!$S$10:$S$1941,0))</x:f>
        <x:v>1674</x:v>
      </x:c>
    </x:row>
    <x:row r="1332" ht="58" customHeight="1">
      <x:c r="B1332" s="86" t="str">
        <x:f>IF($P1332="","",INDEX(Tasks!$B$10:$B$1941,$P1332))</x:f>
        <x:v>Cycle 3</x:v>
      </x:c>
      <x:c r="C1332" s="86" t="str">
        <x:f>IF($P1332="","",INDEX(Tasks!$C$10:$C$1941,$P1332))</x:f>
        <x:v>Phase 1</x:v>
      </x:c>
      <x:c r="D1332" s="86" t="str">
        <x:f>IF($P1332="","",INDEX(Tasks!$D$10:$D$1941,$P1332))</x:f>
        <x:v>Cards</x:v>
      </x:c>
      <x:c r="E1332" s="86"/>
      <x:c r="F1332" s="86" t="str">
        <x:f>IF($P1332="","",INDEX(Tasks!$E$10:$E$1941,$P1332))</x:f>
        <x:v>Design &amp; Insights</x:v>
      </x:c>
      <x:c r="G1332" s="86"/>
      <x:c r="H1332" s="14" t="str">
        <x:f>IF($P1332="","",INDEX(Tasks!$F$10:$F$1941,$P1332)&amp;CHAR(10)&amp;INDEX(Tasks!$G$10:$G$1941,$P1332))</x:f>
        <x:v>DI.CA.1.3
Conduct high-level preliminary review of complaints within proposed topics</x:v>
      </x:c>
      <x:c r="I1332" s="14"/>
      <x:c r="J1332" s="14"/>
      <x:c r="K1332" s="14"/>
      <x:c r="L1332" s="86" t="str">
        <x:f>IF($P1332="","",INDEX(Tasks!$N$10:$N$1941,$P1332))</x:f>
        <x:v>Not started</x:v>
      </x:c>
      <x:c r="M1332" s="87" t="n">
        <x:f>IF($P1332="","",INDEX(Tasks!$J$10:$J$1941,$P1332))</x:f>
        <x:v>46295</x:v>
      </x:c>
      <x:c r="N1332" s="85" t="str">
        <x:f>IF($P1332="","",HYPERLINK("#'"&amp;INDEX(Tasks!$T$10:$T$1941,$P1332)&amp;"'!A"&amp;INDEX(Tasks!$U$10:$U$1941,$P1332),"Open"))</x:f>
        <x:v>Open</x:v>
      </x:c>
      <x:c r="O1332" s="14"/>
      <x:c r="P1332" s="14" t="n">
        <x:f>IF(1311&gt;$B$10,"",MATCH(1311,Tasks!$S$10:$S$1941,0))</x:f>
        <x:v>1675</x:v>
      </x:c>
    </x:row>
    <x:row r="1333" ht="58" customHeight="1">
      <x:c r="B1333" s="86" t="str">
        <x:f>IF($P1333="","",INDEX(Tasks!$B$10:$B$1941,$P1333))</x:f>
        <x:v>Cycle 3</x:v>
      </x:c>
      <x:c r="C1333" s="86" t="str">
        <x:f>IF($P1333="","",INDEX(Tasks!$C$10:$C$1941,$P1333))</x:f>
        <x:v>Phase 1</x:v>
      </x:c>
      <x:c r="D1333" s="86" t="str">
        <x:f>IF($P1333="","",INDEX(Tasks!$D$10:$D$1941,$P1333))</x:f>
        <x:v>Cards</x:v>
      </x:c>
      <x:c r="E1333" s="86"/>
      <x:c r="F1333" s="86" t="str">
        <x:f>IF($P1333="","",INDEX(Tasks!$E$10:$E$1941,$P1333))</x:f>
        <x:v>Design &amp; Insights</x:v>
      </x:c>
      <x:c r="G1333" s="86"/>
      <x:c r="H1333" s="14" t="str">
        <x:f>IF($P1333="","",INDEX(Tasks!$F$10:$F$1941,$P1333)&amp;CHAR(10)&amp;INDEX(Tasks!$G$10:$G$1941,$P1333))</x:f>
        <x:v>DI.CA.1.4
Meet with Research to discuss which topic to select based on potential impact</x:v>
      </x:c>
      <x:c r="I1333" s="14"/>
      <x:c r="J1333" s="14"/>
      <x:c r="K1333" s="14"/>
      <x:c r="L1333" s="86" t="str">
        <x:f>IF($P1333="","",INDEX(Tasks!$N$10:$N$1941,$P1333))</x:f>
        <x:v>Not started</x:v>
      </x:c>
      <x:c r="M1333" s="87" t="n">
        <x:f>IF($P1333="","",INDEX(Tasks!$J$10:$J$1941,$P1333))</x:f>
        <x:v>46295</x:v>
      </x:c>
      <x:c r="N1333" s="85" t="str">
        <x:f>IF($P1333="","",HYPERLINK("#'"&amp;INDEX(Tasks!$T$10:$T$1941,$P1333)&amp;"'!A"&amp;INDEX(Tasks!$U$10:$U$1941,$P1333),"Open"))</x:f>
        <x:v>Open</x:v>
      </x:c>
      <x:c r="O1333" s="14"/>
      <x:c r="P1333" s="14" t="n">
        <x:f>IF(1312&gt;$B$10,"",MATCH(1312,Tasks!$S$10:$S$1941,0))</x:f>
        <x:v>1676</x:v>
      </x:c>
    </x:row>
    <x:row r="1334" ht="58" customHeight="1">
      <x:c r="B1334" s="86" t="str">
        <x:f>IF($P1334="","",INDEX(Tasks!$B$10:$B$1941,$P1334))</x:f>
        <x:v>Cycle 3</x:v>
      </x:c>
      <x:c r="C1334" s="86" t="str">
        <x:f>IF($P1334="","",INDEX(Tasks!$C$10:$C$1941,$P1334))</x:f>
        <x:v>Phase 1</x:v>
      </x:c>
      <x:c r="D1334" s="86" t="str">
        <x:f>IF($P1334="","",INDEX(Tasks!$D$10:$D$1941,$P1334))</x:f>
        <x:v>Cards</x:v>
      </x:c>
      <x:c r="E1334" s="86"/>
      <x:c r="F1334" s="86" t="str">
        <x:f>IF($P1334="","",INDEX(Tasks!$E$10:$E$1941,$P1334))</x:f>
        <x:v>Design &amp; Insights</x:v>
      </x:c>
      <x:c r="G1334" s="86"/>
      <x:c r="H1334" s="14" t="str">
        <x:f>IF($P1334="","",INDEX(Tasks!$F$10:$F$1941,$P1334)&amp;CHAR(10)&amp;INDEX(Tasks!$G$10:$G$1941,$P1334))</x:f>
        <x:v>DI.CA.1.5
Confirm with Research the recommended topic for approval</x:v>
      </x:c>
      <x:c r="I1334" s="14"/>
      <x:c r="J1334" s="14"/>
      <x:c r="K1334" s="14"/>
      <x:c r="L1334" s="86" t="str">
        <x:f>IF($P1334="","",INDEX(Tasks!$N$10:$N$1941,$P1334))</x:f>
        <x:v>Not started</x:v>
      </x:c>
      <x:c r="M1334" s="87" t="n">
        <x:f>IF($P1334="","",INDEX(Tasks!$J$10:$J$1941,$P1334))</x:f>
        <x:v>46295</x:v>
      </x:c>
      <x:c r="N1334" s="85" t="str">
        <x:f>IF($P1334="","",HYPERLINK("#'"&amp;INDEX(Tasks!$T$10:$T$1941,$P1334)&amp;"'!A"&amp;INDEX(Tasks!$U$10:$U$1941,$P1334),"Open"))</x:f>
        <x:v>Open</x:v>
      </x:c>
      <x:c r="O1334" s="14"/>
      <x:c r="P1334" s="14" t="n">
        <x:f>IF(1313&gt;$B$10,"",MATCH(1313,Tasks!$S$10:$S$1941,0))</x:f>
        <x:v>1677</x:v>
      </x:c>
    </x:row>
    <x:row r="1335" ht="58" customHeight="1">
      <x:c r="B1335" s="86" t="str">
        <x:f>IF($P1335="","",INDEX(Tasks!$B$10:$B$1941,$P1335))</x:f>
        <x:v>Cycle 3</x:v>
      </x:c>
      <x:c r="C1335" s="86" t="str">
        <x:f>IF($P1335="","",INDEX(Tasks!$C$10:$C$1941,$P1335))</x:f>
        <x:v>Phase 1</x:v>
      </x:c>
      <x:c r="D1335" s="86" t="str">
        <x:f>IF($P1335="","",INDEX(Tasks!$D$10:$D$1941,$P1335))</x:f>
        <x:v>Cards</x:v>
      </x:c>
      <x:c r="E1335" s="86"/>
      <x:c r="F1335" s="86" t="str">
        <x:f>IF($P1335="","",INDEX(Tasks!$E$10:$E$1941,$P1335))</x:f>
        <x:v>Design &amp; Insights</x:v>
      </x:c>
      <x:c r="G1335" s="86"/>
      <x:c r="H1335" s="14" t="str">
        <x:f>IF($P1335="","",INDEX(Tasks!$F$10:$F$1941,$P1335)&amp;CHAR(10)&amp;INDEX(Tasks!$G$10:$G$1941,$P1335))</x:f>
        <x:v>DI.CA.1.6
Send topic selection socialization email to all key stakeholders on the first day of the review Cycle</x:v>
      </x:c>
      <x:c r="I1335" s="14"/>
      <x:c r="J1335" s="14"/>
      <x:c r="K1335" s="14"/>
      <x:c r="L1335" s="86" t="str">
        <x:f>IF($P1335="","",INDEX(Tasks!$N$10:$N$1941,$P1335))</x:f>
        <x:v>Not started</x:v>
      </x:c>
      <x:c r="M1335" s="87" t="n">
        <x:f>IF($P1335="","",INDEX(Tasks!$J$10:$J$1941,$P1335))</x:f>
        <x:v>46204</x:v>
      </x:c>
      <x:c r="N1335" s="85" t="str">
        <x:f>IF($P1335="","",HYPERLINK("#'"&amp;INDEX(Tasks!$T$10:$T$1941,$P1335)&amp;"'!A"&amp;INDEX(Tasks!$U$10:$U$1941,$P1335),"Open"))</x:f>
        <x:v>Open</x:v>
      </x:c>
      <x:c r="O1335" s="14"/>
      <x:c r="P1335" s="14" t="n">
        <x:f>IF(1314&gt;$B$10,"",MATCH(1314,Tasks!$S$10:$S$1941,0))</x:f>
        <x:v>1678</x:v>
      </x:c>
    </x:row>
    <x:row r="1336" ht="58" customHeight="1">
      <x:c r="B1336" s="86" t="str">
        <x:f>IF($P1336="","",INDEX(Tasks!$B$10:$B$1941,$P1336))</x:f>
        <x:v>Cycle 3</x:v>
      </x:c>
      <x:c r="C1336" s="86" t="str">
        <x:f>IF($P1336="","",INDEX(Tasks!$C$10:$C$1941,$P1336))</x:f>
        <x:v>Phase 2</x:v>
      </x:c>
      <x:c r="D1336" s="86" t="str">
        <x:f>IF($P1336="","",INDEX(Tasks!$D$10:$D$1941,$P1336))</x:f>
        <x:v>Cards</x:v>
      </x:c>
      <x:c r="E1336" s="86"/>
      <x:c r="F1336" s="86" t="str">
        <x:f>IF($P1336="","",INDEX(Tasks!$E$10:$E$1941,$P1336))</x:f>
        <x:v>Design &amp; Insights</x:v>
      </x:c>
      <x:c r="G1336" s="86"/>
      <x:c r="H1336" s="14" t="str">
        <x:f>IF($P1336="","",INDEX(Tasks!$F$10:$F$1941,$P1336)&amp;CHAR(10)&amp;INDEX(Tasks!$G$10:$G$1941,$P1336))</x:f>
        <x:v>DI.CA.2.1
Meet regularly with Research to stay informed on progress, findings, and potential enhancement</x:v>
      </x:c>
      <x:c r="I1336" s="14"/>
      <x:c r="J1336" s="14"/>
      <x:c r="K1336" s="14"/>
      <x:c r="L1336" s="86" t="str">
        <x:f>IF($P1336="","",INDEX(Tasks!$N$10:$N$1941,$P1336))</x:f>
        <x:v>Not started</x:v>
      </x:c>
      <x:c r="M1336" s="87" t="n">
        <x:f>IF($P1336="","",INDEX(Tasks!$J$10:$J$1941,$P1336))</x:f>
        <x:v>46295</x:v>
      </x:c>
      <x:c r="N1336" s="85" t="str">
        <x:f>IF($P1336="","",HYPERLINK("#'"&amp;INDEX(Tasks!$T$10:$T$1941,$P1336)&amp;"'!A"&amp;INDEX(Tasks!$U$10:$U$1941,$P1336),"Open"))</x:f>
        <x:v>Open</x:v>
      </x:c>
      <x:c r="O1336" s="14"/>
      <x:c r="P1336" s="14" t="n">
        <x:f>IF(1315&gt;$B$10,"",MATCH(1315,Tasks!$S$10:$S$1941,0))</x:f>
        <x:v>1679</x:v>
      </x:c>
    </x:row>
    <x:row r="1337" ht="58" customHeight="1">
      <x:c r="B1337" s="86" t="str">
        <x:f>IF($P1337="","",INDEX(Tasks!$B$10:$B$1941,$P1337))</x:f>
        <x:v>Cycle 3</x:v>
      </x:c>
      <x:c r="C1337" s="86" t="str">
        <x:f>IF($P1337="","",INDEX(Tasks!$C$10:$C$1941,$P1337))</x:f>
        <x:v>Phase 2</x:v>
      </x:c>
      <x:c r="D1337" s="86" t="str">
        <x:f>IF($P1337="","",INDEX(Tasks!$D$10:$D$1941,$P1337))</x:f>
        <x:v>Cards</x:v>
      </x:c>
      <x:c r="E1337" s="86"/>
      <x:c r="F1337" s="86" t="str">
        <x:f>IF($P1337="","",INDEX(Tasks!$E$10:$E$1941,$P1337))</x:f>
        <x:v>Design &amp; Insights</x:v>
      </x:c>
      <x:c r="G1337" s="86"/>
      <x:c r="H1337" s="14" t="str">
        <x:f>IF($P1337="","",INDEX(Tasks!$F$10:$F$1941,$P1337)&amp;CHAR(10)&amp;INDEX(Tasks!$G$10:$G$1941,$P1337))</x:f>
        <x:v>DI.CA.2.2
Collaborate with Research on research plan specifics</x:v>
      </x:c>
      <x:c r="I1337" s="14"/>
      <x:c r="J1337" s="14"/>
      <x:c r="K1337" s="14"/>
      <x:c r="L1337" s="86" t="str">
        <x:f>IF($P1337="","",INDEX(Tasks!$N$10:$N$1941,$P1337))</x:f>
        <x:v>Not started</x:v>
      </x:c>
      <x:c r="M1337" s="87" t="n">
        <x:f>IF($P1337="","",INDEX(Tasks!$J$10:$J$1941,$P1337))</x:f>
        <x:v>46295</x:v>
      </x:c>
      <x:c r="N1337" s="85" t="str">
        <x:f>IF($P1337="","",HYPERLINK("#'"&amp;INDEX(Tasks!$T$10:$T$1941,$P1337)&amp;"'!A"&amp;INDEX(Tasks!$U$10:$U$1941,$P1337),"Open"))</x:f>
        <x:v>Open</x:v>
      </x:c>
      <x:c r="O1337" s="14"/>
      <x:c r="P1337" s="14" t="n">
        <x:f>IF(1316&gt;$B$10,"",MATCH(1316,Tasks!$S$10:$S$1941,0))</x:f>
        <x:v>1680</x:v>
      </x:c>
    </x:row>
    <x:row r="1338" ht="58" customHeight="1">
      <x:c r="B1338" s="86" t="str">
        <x:f>IF($P1338="","",INDEX(Tasks!$B$10:$B$1941,$P1338))</x:f>
        <x:v>Cycle 3</x:v>
      </x:c>
      <x:c r="C1338" s="86" t="str">
        <x:f>IF($P1338="","",INDEX(Tasks!$C$10:$C$1941,$P1338))</x:f>
        <x:v>Phase 2</x:v>
      </x:c>
      <x:c r="D1338" s="86" t="str">
        <x:f>IF($P1338="","",INDEX(Tasks!$D$10:$D$1941,$P1338))</x:f>
        <x:v>Cards</x:v>
      </x:c>
      <x:c r="E1338" s="86"/>
      <x:c r="F1338" s="86" t="str">
        <x:f>IF($P1338="","",INDEX(Tasks!$E$10:$E$1941,$P1338))</x:f>
        <x:v>Design &amp; Insights</x:v>
      </x:c>
      <x:c r="G1338" s="86"/>
      <x:c r="H1338" s="14" t="str">
        <x:f>IF($P1338="","",INDEX(Tasks!$F$10:$F$1941,$P1338)&amp;CHAR(10)&amp;INDEX(Tasks!$G$10:$G$1941,$P1338))</x:f>
        <x:v>DI.CA.2.3
Participate in SME insight meetings to gain perspective and appetite on potential enhancements</x:v>
      </x:c>
      <x:c r="I1338" s="14"/>
      <x:c r="J1338" s="14"/>
      <x:c r="K1338" s="14"/>
      <x:c r="L1338" s="86" t="str">
        <x:f>IF($P1338="","",INDEX(Tasks!$N$10:$N$1941,$P1338))</x:f>
        <x:v>Not started</x:v>
      </x:c>
      <x:c r="M1338" s="87" t="n">
        <x:f>IF($P1338="","",INDEX(Tasks!$J$10:$J$1941,$P1338))</x:f>
        <x:v>46295</x:v>
      </x:c>
      <x:c r="N1338" s="85" t="str">
        <x:f>IF($P1338="","",HYPERLINK("#'"&amp;INDEX(Tasks!$T$10:$T$1941,$P1338)&amp;"'!A"&amp;INDEX(Tasks!$U$10:$U$1941,$P1338),"Open"))</x:f>
        <x:v>Open</x:v>
      </x:c>
      <x:c r="O1338" s="14"/>
      <x:c r="P1338" s="14" t="n">
        <x:f>IF(1317&gt;$B$10,"",MATCH(1317,Tasks!$S$10:$S$1941,0))</x:f>
        <x:v>1681</x:v>
      </x:c>
    </x:row>
    <x:row r="1339" ht="58" customHeight="1">
      <x:c r="B1339" s="86" t="str">
        <x:f>IF($P1339="","",INDEX(Tasks!$B$10:$B$1941,$P1339))</x:f>
        <x:v>Cycle 3</x:v>
      </x:c>
      <x:c r="C1339" s="86" t="str">
        <x:f>IF($P1339="","",INDEX(Tasks!$C$10:$C$1941,$P1339))</x:f>
        <x:v>Phase 2</x:v>
      </x:c>
      <x:c r="D1339" s="86" t="str">
        <x:f>IF($P1339="","",INDEX(Tasks!$D$10:$D$1941,$P1339))</x:f>
        <x:v>Cards</x:v>
      </x:c>
      <x:c r="E1339" s="86"/>
      <x:c r="F1339" s="86" t="str">
        <x:f>IF($P1339="","",INDEX(Tasks!$E$10:$E$1941,$P1339))</x:f>
        <x:v>Design &amp; Insights</x:v>
      </x:c>
      <x:c r="G1339" s="86"/>
      <x:c r="H1339" s="14" t="str">
        <x:f>IF($P1339="","",INDEX(Tasks!$F$10:$F$1941,$P1339)&amp;CHAR(10)&amp;INDEX(Tasks!$G$10:$G$1941,$P1339))</x:f>
        <x:v>DI.CA.2.4
Begin development of presentation materials as Research is being completed</x:v>
      </x:c>
      <x:c r="I1339" s="14"/>
      <x:c r="J1339" s="14"/>
      <x:c r="K1339" s="14"/>
      <x:c r="L1339" s="86" t="str">
        <x:f>IF($P1339="","",INDEX(Tasks!$N$10:$N$1941,$P1339))</x:f>
        <x:v>Not started</x:v>
      </x:c>
      <x:c r="M1339" s="87" t="n">
        <x:f>IF($P1339="","",INDEX(Tasks!$J$10:$J$1941,$P1339))</x:f>
        <x:v>46295</x:v>
      </x:c>
      <x:c r="N1339" s="85" t="str">
        <x:f>IF($P1339="","",HYPERLINK("#'"&amp;INDEX(Tasks!$T$10:$T$1941,$P1339)&amp;"'!A"&amp;INDEX(Tasks!$U$10:$U$1941,$P1339),"Open"))</x:f>
        <x:v>Open</x:v>
      </x:c>
      <x:c r="O1339" s="14"/>
      <x:c r="P1339" s="14" t="n">
        <x:f>IF(1318&gt;$B$10,"",MATCH(1318,Tasks!$S$10:$S$1941,0))</x:f>
        <x:v>1682</x:v>
      </x:c>
    </x:row>
    <x:row r="1340" ht="58" customHeight="1">
      <x:c r="B1340" s="86" t="str">
        <x:f>IF($P1340="","",INDEX(Tasks!$B$10:$B$1941,$P1340))</x:f>
        <x:v>Cycle 3</x:v>
      </x:c>
      <x:c r="C1340" s="86" t="str">
        <x:f>IF($P1340="","",INDEX(Tasks!$C$10:$C$1941,$P1340))</x:f>
        <x:v>Phase 2</x:v>
      </x:c>
      <x:c r="D1340" s="86" t="str">
        <x:f>IF($P1340="","",INDEX(Tasks!$D$10:$D$1941,$P1340))</x:f>
        <x:v>Cards</x:v>
      </x:c>
      <x:c r="E1340" s="86"/>
      <x:c r="F1340" s="86" t="str">
        <x:f>IF($P1340="","",INDEX(Tasks!$E$10:$E$1941,$P1340))</x:f>
        <x:v>Design &amp; Insights</x:v>
      </x:c>
      <x:c r="G1340" s="86"/>
      <x:c r="H1340" s="14" t="str">
        <x:f>IF($P1340="","",INDEX(Tasks!$F$10:$F$1941,$P1340)&amp;CHAR(10)&amp;INDEX(Tasks!$G$10:$G$1941,$P1340))</x:f>
        <x:v>DI.CA.2.5
Draft initial enhancement recommendations (as applicable)</x:v>
      </x:c>
      <x:c r="I1340" s="14"/>
      <x:c r="J1340" s="14"/>
      <x:c r="K1340" s="14"/>
      <x:c r="L1340" s="86" t="str">
        <x:f>IF($P1340="","",INDEX(Tasks!$N$10:$N$1941,$P1340))</x:f>
        <x:v>Not started</x:v>
      </x:c>
      <x:c r="M1340" s="87" t="n">
        <x:f>IF($P1340="","",INDEX(Tasks!$J$10:$J$1941,$P1340))</x:f>
        <x:v>46295</x:v>
      </x:c>
      <x:c r="N1340" s="85" t="str">
        <x:f>IF($P1340="","",HYPERLINK("#'"&amp;INDEX(Tasks!$T$10:$T$1941,$P1340)&amp;"'!A"&amp;INDEX(Tasks!$U$10:$U$1941,$P1340),"Open"))</x:f>
        <x:v>Open</x:v>
      </x:c>
      <x:c r="O1340" s="14"/>
      <x:c r="P1340" s="14" t="n">
        <x:f>IF(1319&gt;$B$10,"",MATCH(1319,Tasks!$S$10:$S$1941,0))</x:f>
        <x:v>1683</x:v>
      </x:c>
    </x:row>
    <x:row r="1341" ht="58" customHeight="1">
      <x:c r="B1341" s="86" t="str">
        <x:f>IF($P1341="","",INDEX(Tasks!$B$10:$B$1941,$P1341))</x:f>
        <x:v>Cycle 3</x:v>
      </x:c>
      <x:c r="C1341" s="86" t="str">
        <x:f>IF($P1341="","",INDEX(Tasks!$C$10:$C$1941,$P1341))</x:f>
        <x:v>Phase 2</x:v>
      </x:c>
      <x:c r="D1341" s="86" t="str">
        <x:f>IF($P1341="","",INDEX(Tasks!$D$10:$D$1941,$P1341))</x:f>
        <x:v>Cards</x:v>
      </x:c>
      <x:c r="E1341" s="86"/>
      <x:c r="F1341" s="86" t="str">
        <x:f>IF($P1341="","",INDEX(Tasks!$E$10:$E$1941,$P1341))</x:f>
        <x:v>Design &amp; Insights</x:v>
      </x:c>
      <x:c r="G1341" s="86"/>
      <x:c r="H1341" s="14" t="str">
        <x:f>IF($P1341="","",INDEX(Tasks!$F$10:$F$1941,$P1341)&amp;CHAR(10)&amp;INDEX(Tasks!$G$10:$G$1941,$P1341))</x:f>
        <x:v>DI.CA.2.6
Finalize presentation deck draft at conclusion of Research phase</x:v>
      </x:c>
      <x:c r="I1341" s="14"/>
      <x:c r="J1341" s="14"/>
      <x:c r="K1341" s="14"/>
      <x:c r="L1341" s="86" t="str">
        <x:f>IF($P1341="","",INDEX(Tasks!$N$10:$N$1941,$P1341))</x:f>
        <x:v>Not started</x:v>
      </x:c>
      <x:c r="M1341" s="87" t="n">
        <x:f>IF($P1341="","",INDEX(Tasks!$J$10:$J$1941,$P1341))</x:f>
        <x:v>46295</x:v>
      </x:c>
      <x:c r="N1341" s="85" t="str">
        <x:f>IF($P1341="","",HYPERLINK("#'"&amp;INDEX(Tasks!$T$10:$T$1941,$P1341)&amp;"'!A"&amp;INDEX(Tasks!$U$10:$U$1941,$P1341),"Open"))</x:f>
        <x:v>Open</x:v>
      </x:c>
      <x:c r="O1341" s="14"/>
      <x:c r="P1341" s="14" t="n">
        <x:f>IF(1320&gt;$B$10,"",MATCH(1320,Tasks!$S$10:$S$1941,0))</x:f>
        <x:v>1684</x:v>
      </x:c>
    </x:row>
    <x:row r="1342" ht="58" customHeight="1">
      <x:c r="B1342" s="86" t="str">
        <x:f>IF($P1342="","",INDEX(Tasks!$B$10:$B$1941,$P1342))</x:f>
        <x:v>Cycle 3</x:v>
      </x:c>
      <x:c r="C1342" s="86" t="str">
        <x:f>IF($P1342="","",INDEX(Tasks!$C$10:$C$1941,$P1342))</x:f>
        <x:v>Phase 2</x:v>
      </x:c>
      <x:c r="D1342" s="86" t="str">
        <x:f>IF($P1342="","",INDEX(Tasks!$D$10:$D$1941,$P1342))</x:f>
        <x:v>Cards</x:v>
      </x:c>
      <x:c r="E1342" s="86"/>
      <x:c r="F1342" s="86" t="str">
        <x:f>IF($P1342="","",INDEX(Tasks!$E$10:$E$1941,$P1342))</x:f>
        <x:v>Design &amp; Insights</x:v>
      </x:c>
      <x:c r="G1342" s="86"/>
      <x:c r="H1342" s="14" t="str">
        <x:f>IF($P1342="","",INDEX(Tasks!$F$10:$F$1941,$P1342)&amp;CHAR(10)&amp;INDEX(Tasks!$G$10:$G$1941,$P1342))</x:f>
        <x:v>DI.CA.2.7
Update Outcome portion of research plan with current enhancement verbiage (as needed)</x:v>
      </x:c>
      <x:c r="I1342" s="14"/>
      <x:c r="J1342" s="14"/>
      <x:c r="K1342" s="14"/>
      <x:c r="L1342" s="86" t="str">
        <x:f>IF($P1342="","",INDEX(Tasks!$N$10:$N$1941,$P1342))</x:f>
        <x:v>Not started</x:v>
      </x:c>
      <x:c r="M1342" s="87" t="n">
        <x:f>IF($P1342="","",INDEX(Tasks!$J$10:$J$1941,$P1342))</x:f>
        <x:v>46295</x:v>
      </x:c>
      <x:c r="N1342" s="85" t="str">
        <x:f>IF($P1342="","",HYPERLINK("#'"&amp;INDEX(Tasks!$T$10:$T$1941,$P1342)&amp;"'!A"&amp;INDEX(Tasks!$U$10:$U$1941,$P1342),"Open"))</x:f>
        <x:v>Open</x:v>
      </x:c>
      <x:c r="O1342" s="14"/>
      <x:c r="P1342" s="14" t="n">
        <x:f>IF(1321&gt;$B$10,"",MATCH(1321,Tasks!$S$10:$S$1941,0))</x:f>
        <x:v>1685</x:v>
      </x:c>
    </x:row>
    <x:row r="1343" ht="58" customHeight="1">
      <x:c r="B1343" s="86" t="str">
        <x:f>IF($P1343="","",INDEX(Tasks!$B$10:$B$1941,$P1343))</x:f>
        <x:v>Cycle 3</x:v>
      </x:c>
      <x:c r="C1343" s="86" t="str">
        <x:f>IF($P1343="","",INDEX(Tasks!$C$10:$C$1941,$P1343))</x:f>
        <x:v>Phase 3</x:v>
      </x:c>
      <x:c r="D1343" s="86" t="str">
        <x:f>IF($P1343="","",INDEX(Tasks!$D$10:$D$1941,$P1343))</x:f>
        <x:v>Cards</x:v>
      </x:c>
      <x:c r="E1343" s="86"/>
      <x:c r="F1343" s="86" t="str">
        <x:f>IF($P1343="","",INDEX(Tasks!$E$10:$E$1941,$P1343))</x:f>
        <x:v>Design &amp; Insights</x:v>
      </x:c>
      <x:c r="G1343" s="86"/>
      <x:c r="H1343" s="14" t="str">
        <x:f>IF($P1343="","",INDEX(Tasks!$F$10:$F$1941,$P1343)&amp;CHAR(10)&amp;INDEX(Tasks!$G$10:$G$1941,$P1343))</x:f>
        <x:v>DI.CA.3.1
Confirm list of required &amp; optional attendees for pre-socialization meeting</x:v>
      </x:c>
      <x:c r="I1343" s="14"/>
      <x:c r="J1343" s="14"/>
      <x:c r="K1343" s="14"/>
      <x:c r="L1343" s="86" t="str">
        <x:f>IF($P1343="","",INDEX(Tasks!$N$10:$N$1941,$P1343))</x:f>
        <x:v>Not started</x:v>
      </x:c>
      <x:c r="M1343" s="87" t="n">
        <x:f>IF($P1343="","",INDEX(Tasks!$J$10:$J$1941,$P1343))</x:f>
        <x:v>46295</x:v>
      </x:c>
      <x:c r="N1343" s="85" t="str">
        <x:f>IF($P1343="","",HYPERLINK("#'"&amp;INDEX(Tasks!$T$10:$T$1941,$P1343)&amp;"'!A"&amp;INDEX(Tasks!$U$10:$U$1941,$P1343),"Open"))</x:f>
        <x:v>Open</x:v>
      </x:c>
      <x:c r="O1343" s="14"/>
      <x:c r="P1343" s="14" t="n">
        <x:f>IF(1322&gt;$B$10,"",MATCH(1322,Tasks!$S$10:$S$1941,0))</x:f>
        <x:v>1686</x:v>
      </x:c>
    </x:row>
    <x:row r="1344" ht="58" customHeight="1">
      <x:c r="B1344" s="86" t="str">
        <x:f>IF($P1344="","",INDEX(Tasks!$B$10:$B$1941,$P1344))</x:f>
        <x:v>Cycle 3</x:v>
      </x:c>
      <x:c r="C1344" s="86" t="str">
        <x:f>IF($P1344="","",INDEX(Tasks!$C$10:$C$1941,$P1344))</x:f>
        <x:v>Phase 3</x:v>
      </x:c>
      <x:c r="D1344" s="86" t="str">
        <x:f>IF($P1344="","",INDEX(Tasks!$D$10:$D$1941,$P1344))</x:f>
        <x:v>Cards</x:v>
      </x:c>
      <x:c r="E1344" s="86"/>
      <x:c r="F1344" s="86" t="str">
        <x:f>IF($P1344="","",INDEX(Tasks!$E$10:$E$1941,$P1344))</x:f>
        <x:v>Design &amp; Insights</x:v>
      </x:c>
      <x:c r="G1344" s="86"/>
      <x:c r="H1344" s="14" t="str">
        <x:f>IF($P1344="","",INDEX(Tasks!$F$10:$F$1941,$P1344)&amp;CHAR(10)&amp;INDEX(Tasks!$G$10:$G$1941,$P1344))</x:f>
        <x:v>DI.CA.3.2
Schedule pre-socialization meeting 1 week prior to RCA Forum</x:v>
      </x:c>
      <x:c r="I1344" s="14"/>
      <x:c r="J1344" s="14"/>
      <x:c r="K1344" s="14"/>
      <x:c r="L1344" s="86" t="str">
        <x:f>IF($P1344="","",INDEX(Tasks!$N$10:$N$1941,$P1344))</x:f>
        <x:v>Not started</x:v>
      </x:c>
      <x:c r="M1344" s="87" t="str">
        <x:f>IF($P1344="","",INDEX(Tasks!$J$10:$J$1941,$P1344))</x:f>
      </x:c>
      <x:c r="N1344" s="85" t="str">
        <x:f>IF($P1344="","",HYPERLINK("#'"&amp;INDEX(Tasks!$T$10:$T$1941,$P1344)&amp;"'!A"&amp;INDEX(Tasks!$U$10:$U$1941,$P1344),"Open"))</x:f>
        <x:v>Open</x:v>
      </x:c>
      <x:c r="O1344" s="14"/>
      <x:c r="P1344" s="14" t="n">
        <x:f>IF(1323&gt;$B$10,"",MATCH(1323,Tasks!$S$10:$S$1941,0))</x:f>
        <x:v>1687</x:v>
      </x:c>
    </x:row>
    <x:row r="1345" ht="58" customHeight="1">
      <x:c r="B1345" s="86" t="str">
        <x:f>IF($P1345="","",INDEX(Tasks!$B$10:$B$1941,$P1345))</x:f>
        <x:v>Cycle 3</x:v>
      </x:c>
      <x:c r="C1345" s="86" t="str">
        <x:f>IF($P1345="","",INDEX(Tasks!$C$10:$C$1941,$P1345))</x:f>
        <x:v>Phase 3</x:v>
      </x:c>
      <x:c r="D1345" s="86" t="str">
        <x:f>IF($P1345="","",INDEX(Tasks!$D$10:$D$1941,$P1345))</x:f>
        <x:v>Cards</x:v>
      </x:c>
      <x:c r="E1345" s="86"/>
      <x:c r="F1345" s="86" t="str">
        <x:f>IF($P1345="","",INDEX(Tasks!$E$10:$E$1941,$P1345))</x:f>
        <x:v>Design &amp; Insights</x:v>
      </x:c>
      <x:c r="G1345" s="86"/>
      <x:c r="H1345" s="14" t="str">
        <x:f>IF($P1345="","",INDEX(Tasks!$F$10:$F$1941,$P1345)&amp;CHAR(10)&amp;INDEX(Tasks!$G$10:$G$1941,$P1345))</x:f>
        <x:v>DI.CA.3.3
Present findings, conclusions, and recommendation to SMEs</x:v>
      </x:c>
      <x:c r="I1345" s="14"/>
      <x:c r="J1345" s="14"/>
      <x:c r="K1345" s="14"/>
      <x:c r="L1345" s="86" t="str">
        <x:f>IF($P1345="","",INDEX(Tasks!$N$10:$N$1941,$P1345))</x:f>
        <x:v>Not started</x:v>
      </x:c>
      <x:c r="M1345" s="87" t="n">
        <x:f>IF($P1345="","",INDEX(Tasks!$J$10:$J$1941,$P1345))</x:f>
        <x:v>46295</x:v>
      </x:c>
      <x:c r="N1345" s="85" t="str">
        <x:f>IF($P1345="","",HYPERLINK("#'"&amp;INDEX(Tasks!$T$10:$T$1941,$P1345)&amp;"'!A"&amp;INDEX(Tasks!$U$10:$U$1941,$P1345),"Open"))</x:f>
        <x:v>Open</x:v>
      </x:c>
      <x:c r="O1345" s="14"/>
      <x:c r="P1345" s="14" t="n">
        <x:f>IF(1324&gt;$B$10,"",MATCH(1324,Tasks!$S$10:$S$1941,0))</x:f>
        <x:v>1688</x:v>
      </x:c>
    </x:row>
    <x:row r="1346" ht="58" customHeight="1">
      <x:c r="B1346" s="86" t="str">
        <x:f>IF($P1346="","",INDEX(Tasks!$B$10:$B$1941,$P1346))</x:f>
        <x:v>Cycle 3</x:v>
      </x:c>
      <x:c r="C1346" s="86" t="str">
        <x:f>IF($P1346="","",INDEX(Tasks!$C$10:$C$1941,$P1346))</x:f>
        <x:v>Phase 3</x:v>
      </x:c>
      <x:c r="D1346" s="86" t="str">
        <x:f>IF($P1346="","",INDEX(Tasks!$D$10:$D$1941,$P1346))</x:f>
        <x:v>Cards</x:v>
      </x:c>
      <x:c r="E1346" s="86"/>
      <x:c r="F1346" s="86" t="str">
        <x:f>IF($P1346="","",INDEX(Tasks!$E$10:$E$1941,$P1346))</x:f>
        <x:v>Design &amp; Insights</x:v>
      </x:c>
      <x:c r="G1346" s="86"/>
      <x:c r="H1346" s="14" t="str">
        <x:f>IF($P1346="","",INDEX(Tasks!$F$10:$F$1941,$P1346)&amp;CHAR(10)&amp;INDEX(Tasks!$G$10:$G$1941,$P1346))</x:f>
        <x:v>DI.CA.3.4
Update Outcome portion of research plan (as needed)</x:v>
      </x:c>
      <x:c r="I1346" s="14"/>
      <x:c r="J1346" s="14"/>
      <x:c r="K1346" s="14"/>
      <x:c r="L1346" s="86" t="str">
        <x:f>IF($P1346="","",INDEX(Tasks!$N$10:$N$1941,$P1346))</x:f>
        <x:v>Not started</x:v>
      </x:c>
      <x:c r="M1346" s="87" t="n">
        <x:f>IF($P1346="","",INDEX(Tasks!$J$10:$J$1941,$P1346))</x:f>
        <x:v>46295</x:v>
      </x:c>
      <x:c r="N1346" s="85" t="str">
        <x:f>IF($P1346="","",HYPERLINK("#'"&amp;INDEX(Tasks!$T$10:$T$1941,$P1346)&amp;"'!A"&amp;INDEX(Tasks!$U$10:$U$1941,$P1346),"Open"))</x:f>
        <x:v>Open</x:v>
      </x:c>
      <x:c r="O1346" s="14"/>
      <x:c r="P1346" s="14" t="n">
        <x:f>IF(1325&gt;$B$10,"",MATCH(1325,Tasks!$S$10:$S$1941,0))</x:f>
        <x:v>1689</x:v>
      </x:c>
    </x:row>
    <x:row r="1347" ht="58" customHeight="1">
      <x:c r="B1347" s="86" t="str">
        <x:f>IF($P1347="","",INDEX(Tasks!$B$10:$B$1941,$P1347))</x:f>
        <x:v>Cycle 3</x:v>
      </x:c>
      <x:c r="C1347" s="86" t="str">
        <x:f>IF($P1347="","",INDEX(Tasks!$C$10:$C$1941,$P1347))</x:f>
        <x:v>Phase 3</x:v>
      </x:c>
      <x:c r="D1347" s="86" t="str">
        <x:f>IF($P1347="","",INDEX(Tasks!$D$10:$D$1941,$P1347))</x:f>
        <x:v>Cards</x:v>
      </x:c>
      <x:c r="E1347" s="86"/>
      <x:c r="F1347" s="86" t="str">
        <x:f>IF($P1347="","",INDEX(Tasks!$E$10:$E$1941,$P1347))</x:f>
        <x:v>Design &amp; Insights</x:v>
      </x:c>
      <x:c r="G1347" s="86"/>
      <x:c r="H1347" s="14" t="str">
        <x:f>IF($P1347="","",INDEX(Tasks!$F$10:$F$1941,$P1347)&amp;CHAR(10)&amp;INDEX(Tasks!$G$10:$G$1941,$P1347))</x:f>
        <x:v>DI.CA.3.5
Finalize presentation deck by incorporating pre-socialization feedback (as needed)</x:v>
      </x:c>
      <x:c r="I1347" s="14"/>
      <x:c r="J1347" s="14"/>
      <x:c r="K1347" s="14"/>
      <x:c r="L1347" s="86" t="str">
        <x:f>IF($P1347="","",INDEX(Tasks!$N$10:$N$1941,$P1347))</x:f>
        <x:v>Not started</x:v>
      </x:c>
      <x:c r="M1347" s="87" t="n">
        <x:f>IF($P1347="","",INDEX(Tasks!$J$10:$J$1941,$P1347))</x:f>
        <x:v>46295</x:v>
      </x:c>
      <x:c r="N1347" s="85" t="str">
        <x:f>IF($P1347="","",HYPERLINK("#'"&amp;INDEX(Tasks!$T$10:$T$1941,$P1347)&amp;"'!A"&amp;INDEX(Tasks!$U$10:$U$1941,$P1347),"Open"))</x:f>
        <x:v>Open</x:v>
      </x:c>
      <x:c r="O1347" s="14"/>
      <x:c r="P1347" s="14" t="n">
        <x:f>IF(1326&gt;$B$10,"",MATCH(1326,Tasks!$S$10:$S$1941,0))</x:f>
        <x:v>1690</x:v>
      </x:c>
    </x:row>
    <x:row r="1348" ht="58" customHeight="1">
      <x:c r="B1348" s="86" t="str">
        <x:f>IF($P1348="","",INDEX(Tasks!$B$10:$B$1941,$P1348))</x:f>
        <x:v>Cycle 3</x:v>
      </x:c>
      <x:c r="C1348" s="86" t="str">
        <x:f>IF($P1348="","",INDEX(Tasks!$C$10:$C$1941,$P1348))</x:f>
        <x:v>Phase 3</x:v>
      </x:c>
      <x:c r="D1348" s="86" t="str">
        <x:f>IF($P1348="","",INDEX(Tasks!$D$10:$D$1941,$P1348))</x:f>
        <x:v>Cards</x:v>
      </x:c>
      <x:c r="E1348" s="86"/>
      <x:c r="F1348" s="86" t="str">
        <x:f>IF($P1348="","",INDEX(Tasks!$E$10:$E$1941,$P1348))</x:f>
        <x:v>Design &amp; Insights</x:v>
      </x:c>
      <x:c r="G1348" s="86"/>
      <x:c r="H1348" s="14" t="str">
        <x:f>IF($P1348="","",INDEX(Tasks!$F$10:$F$1941,$P1348)&amp;CHAR(10)&amp;INDEX(Tasks!$G$10:$G$1941,$P1348))</x:f>
        <x:v>DI.CA.3.6
Ensure final deck is communicated to Forum attendees</x:v>
      </x:c>
      <x:c r="I1348" s="14"/>
      <x:c r="J1348" s="14"/>
      <x:c r="K1348" s="14"/>
      <x:c r="L1348" s="86" t="str">
        <x:f>IF($P1348="","",INDEX(Tasks!$N$10:$N$1941,$P1348))</x:f>
        <x:v>Not started</x:v>
      </x:c>
      <x:c r="M1348" s="87" t="n">
        <x:f>IF($P1348="","",INDEX(Tasks!$J$10:$J$1941,$P1348))</x:f>
        <x:v>46295</x:v>
      </x:c>
      <x:c r="N1348" s="85" t="str">
        <x:f>IF($P1348="","",HYPERLINK("#'"&amp;INDEX(Tasks!$T$10:$T$1941,$P1348)&amp;"'!A"&amp;INDEX(Tasks!$U$10:$U$1941,$P1348),"Open"))</x:f>
        <x:v>Open</x:v>
      </x:c>
      <x:c r="O1348" s="14"/>
      <x:c r="P1348" s="14" t="n">
        <x:f>IF(1327&gt;$B$10,"",MATCH(1327,Tasks!$S$10:$S$1941,0))</x:f>
        <x:v>1691</x:v>
      </x:c>
    </x:row>
    <x:row r="1349" ht="58" customHeight="1">
      <x:c r="B1349" s="86" t="str">
        <x:f>IF($P1349="","",INDEX(Tasks!$B$10:$B$1941,$P1349))</x:f>
        <x:v>Cycle 3</x:v>
      </x:c>
      <x:c r="C1349" s="86" t="str">
        <x:f>IF($P1349="","",INDEX(Tasks!$C$10:$C$1941,$P1349))</x:f>
        <x:v>Phase 3</x:v>
      </x:c>
      <x:c r="D1349" s="86" t="str">
        <x:f>IF($P1349="","",INDEX(Tasks!$D$10:$D$1941,$P1349))</x:f>
        <x:v>Cards</x:v>
      </x:c>
      <x:c r="E1349" s="86"/>
      <x:c r="F1349" s="86" t="str">
        <x:f>IF($P1349="","",INDEX(Tasks!$E$10:$E$1941,$P1349))</x:f>
        <x:v>Design &amp; Insights</x:v>
      </x:c>
      <x:c r="G1349" s="86"/>
      <x:c r="H1349" s="14" t="str">
        <x:f>IF($P1349="","",INDEX(Tasks!$F$10:$F$1941,$P1349)&amp;CHAR(10)&amp;INDEX(Tasks!$G$10:$G$1941,$P1349))</x:f>
        <x:v>DI.CA.3.7
Present material in RCA Cycle Forum</x:v>
      </x:c>
      <x:c r="I1349" s="14"/>
      <x:c r="J1349" s="14"/>
      <x:c r="K1349" s="14"/>
      <x:c r="L1349" s="86" t="str">
        <x:f>IF($P1349="","",INDEX(Tasks!$N$10:$N$1941,$P1349))</x:f>
        <x:v>Not started</x:v>
      </x:c>
      <x:c r="M1349" s="87" t="str">
        <x:f>IF($P1349="","",INDEX(Tasks!$J$10:$J$1941,$P1349))</x:f>
      </x:c>
      <x:c r="N1349" s="85" t="str">
        <x:f>IF($P1349="","",HYPERLINK("#'"&amp;INDEX(Tasks!$T$10:$T$1941,$P1349)&amp;"'!A"&amp;INDEX(Tasks!$U$10:$U$1941,$P1349),"Open"))</x:f>
        <x:v>Open</x:v>
      </x:c>
      <x:c r="O1349" s="14"/>
      <x:c r="P1349" s="14" t="n">
        <x:f>IF(1328&gt;$B$10,"",MATCH(1328,Tasks!$S$10:$S$1941,0))</x:f>
        <x:v>1692</x:v>
      </x:c>
    </x:row>
    <x:row r="1350" ht="58" customHeight="1">
      <x:c r="B1350" s="86" t="str">
        <x:f>IF($P1350="","",INDEX(Tasks!$B$10:$B$1941,$P1350))</x:f>
        <x:v>Cycle 3</x:v>
      </x:c>
      <x:c r="C1350" s="86" t="str">
        <x:f>IF($P1350="","",INDEX(Tasks!$C$10:$C$1941,$P1350))</x:f>
        <x:v>Phase 1</x:v>
      </x:c>
      <x:c r="D1350" s="86" t="str">
        <x:f>IF($P1350="","",INDEX(Tasks!$D$10:$D$1941,$P1350))</x:f>
        <x:v>CSBBO - Banking Ops</x:v>
      </x:c>
      <x:c r="E1350" s="86"/>
      <x:c r="F1350" s="86" t="str">
        <x:f>IF($P1350="","",INDEX(Tasks!$E$10:$E$1941,$P1350))</x:f>
        <x:v>Design &amp; Insights</x:v>
      </x:c>
      <x:c r="G1350" s="86"/>
      <x:c r="H1350" s="14" t="str">
        <x:f>IF($P1350="","",INDEX(Tasks!$F$10:$F$1941,$P1350)&amp;CHAR(10)&amp;INDEX(Tasks!$G$10:$G$1941,$P1350))</x:f>
        <x:v>DI.BO.1.1
Receive and review potential research topics at least 2 weeks prior to Cycle start date</x:v>
      </x:c>
      <x:c r="I1350" s="14"/>
      <x:c r="J1350" s="14"/>
      <x:c r="K1350" s="14"/>
      <x:c r="L1350" s="86" t="str">
        <x:f>IF($P1350="","",INDEX(Tasks!$N$10:$N$1941,$P1350))</x:f>
        <x:v>Not started</x:v>
      </x:c>
      <x:c r="M1350" s="87" t="n">
        <x:f>IF($P1350="","",INDEX(Tasks!$J$10:$J$1941,$P1350))</x:f>
        <x:v>46190</x:v>
      </x:c>
      <x:c r="N1350" s="85" t="str">
        <x:f>IF($P1350="","",HYPERLINK("#'"&amp;INDEX(Tasks!$T$10:$T$1941,$P1350)&amp;"'!A"&amp;INDEX(Tasks!$U$10:$U$1941,$P1350),"Open"))</x:f>
        <x:v>Open</x:v>
      </x:c>
      <x:c r="O1350" s="14"/>
      <x:c r="P1350" s="14" t="n">
        <x:f>IF(1329&gt;$B$10,"",MATCH(1329,Tasks!$S$10:$S$1941,0))</x:f>
        <x:v>1693</x:v>
      </x:c>
    </x:row>
    <x:row r="1351" ht="58" customHeight="1">
      <x:c r="B1351" s="86" t="str">
        <x:f>IF($P1351="","",INDEX(Tasks!$B$10:$B$1941,$P1351))</x:f>
        <x:v>Cycle 3</x:v>
      </x:c>
      <x:c r="C1351" s="86" t="str">
        <x:f>IF($P1351="","",INDEX(Tasks!$C$10:$C$1941,$P1351))</x:f>
        <x:v>Phase 1</x:v>
      </x:c>
      <x:c r="D1351" s="86" t="str">
        <x:f>IF($P1351="","",INDEX(Tasks!$D$10:$D$1941,$P1351))</x:f>
        <x:v>CSBBO - Banking Ops</x:v>
      </x:c>
      <x:c r="E1351" s="86"/>
      <x:c r="F1351" s="86" t="str">
        <x:f>IF($P1351="","",INDEX(Tasks!$E$10:$E$1941,$P1351))</x:f>
        <x:v>Design &amp; Insights</x:v>
      </x:c>
      <x:c r="G1351" s="86"/>
      <x:c r="H1351" s="14" t="str">
        <x:f>IF($P1351="","",INDEX(Tasks!$F$10:$F$1941,$P1351)&amp;CHAR(10)&amp;INDEX(Tasks!$G$10:$G$1941,$P1351))</x:f>
        <x:v>DI.BO.1.2
Communicate any feedback on preferences or concerns with topics identified</x:v>
      </x:c>
      <x:c r="I1351" s="14"/>
      <x:c r="J1351" s="14"/>
      <x:c r="K1351" s="14"/>
      <x:c r="L1351" s="86" t="str">
        <x:f>IF($P1351="","",INDEX(Tasks!$N$10:$N$1941,$P1351))</x:f>
        <x:v>Not started</x:v>
      </x:c>
      <x:c r="M1351" s="87" t="n">
        <x:f>IF($P1351="","",INDEX(Tasks!$J$10:$J$1941,$P1351))</x:f>
        <x:v>46295</x:v>
      </x:c>
      <x:c r="N1351" s="85" t="str">
        <x:f>IF($P1351="","",HYPERLINK("#'"&amp;INDEX(Tasks!$T$10:$T$1941,$P1351)&amp;"'!A"&amp;INDEX(Tasks!$U$10:$U$1941,$P1351),"Open"))</x:f>
        <x:v>Open</x:v>
      </x:c>
      <x:c r="O1351" s="14"/>
      <x:c r="P1351" s="14" t="n">
        <x:f>IF(1330&gt;$B$10,"",MATCH(1330,Tasks!$S$10:$S$1941,0))</x:f>
        <x:v>1694</x:v>
      </x:c>
    </x:row>
    <x:row r="1352" ht="58" customHeight="1">
      <x:c r="B1352" s="86" t="str">
        <x:f>IF($P1352="","",INDEX(Tasks!$B$10:$B$1941,$P1352))</x:f>
        <x:v>Cycle 3</x:v>
      </x:c>
      <x:c r="C1352" s="86" t="str">
        <x:f>IF($P1352="","",INDEX(Tasks!$C$10:$C$1941,$P1352))</x:f>
        <x:v>Phase 1</x:v>
      </x:c>
      <x:c r="D1352" s="86" t="str">
        <x:f>IF($P1352="","",INDEX(Tasks!$D$10:$D$1941,$P1352))</x:f>
        <x:v>CSBBO - Banking Ops</x:v>
      </x:c>
      <x:c r="E1352" s="86"/>
      <x:c r="F1352" s="86" t="str">
        <x:f>IF($P1352="","",INDEX(Tasks!$E$10:$E$1941,$P1352))</x:f>
        <x:v>Design &amp; Insights</x:v>
      </x:c>
      <x:c r="G1352" s="86"/>
      <x:c r="H1352" s="14" t="str">
        <x:f>IF($P1352="","",INDEX(Tasks!$F$10:$F$1941,$P1352)&amp;CHAR(10)&amp;INDEX(Tasks!$G$10:$G$1941,$P1352))</x:f>
        <x:v>DI.BO.1.3
Conduct high-level preliminary review of complaints within proposed topics</x:v>
      </x:c>
      <x:c r="I1352" s="14"/>
      <x:c r="J1352" s="14"/>
      <x:c r="K1352" s="14"/>
      <x:c r="L1352" s="86" t="str">
        <x:f>IF($P1352="","",INDEX(Tasks!$N$10:$N$1941,$P1352))</x:f>
        <x:v>Not started</x:v>
      </x:c>
      <x:c r="M1352" s="87" t="n">
        <x:f>IF($P1352="","",INDEX(Tasks!$J$10:$J$1941,$P1352))</x:f>
        <x:v>46295</x:v>
      </x:c>
      <x:c r="N1352" s="85" t="str">
        <x:f>IF($P1352="","",HYPERLINK("#'"&amp;INDEX(Tasks!$T$10:$T$1941,$P1352)&amp;"'!A"&amp;INDEX(Tasks!$U$10:$U$1941,$P1352),"Open"))</x:f>
        <x:v>Open</x:v>
      </x:c>
      <x:c r="O1352" s="14"/>
      <x:c r="P1352" s="14" t="n">
        <x:f>IF(1331&gt;$B$10,"",MATCH(1331,Tasks!$S$10:$S$1941,0))</x:f>
        <x:v>1695</x:v>
      </x:c>
    </x:row>
    <x:row r="1353" ht="58" customHeight="1">
      <x:c r="B1353" s="86" t="str">
        <x:f>IF($P1353="","",INDEX(Tasks!$B$10:$B$1941,$P1353))</x:f>
        <x:v>Cycle 3</x:v>
      </x:c>
      <x:c r="C1353" s="86" t="str">
        <x:f>IF($P1353="","",INDEX(Tasks!$C$10:$C$1941,$P1353))</x:f>
        <x:v>Phase 1</x:v>
      </x:c>
      <x:c r="D1353" s="86" t="str">
        <x:f>IF($P1353="","",INDEX(Tasks!$D$10:$D$1941,$P1353))</x:f>
        <x:v>CSBBO - Banking Ops</x:v>
      </x:c>
      <x:c r="E1353" s="86"/>
      <x:c r="F1353" s="86" t="str">
        <x:f>IF($P1353="","",INDEX(Tasks!$E$10:$E$1941,$P1353))</x:f>
        <x:v>Design &amp; Insights</x:v>
      </x:c>
      <x:c r="G1353" s="86"/>
      <x:c r="H1353" s="14" t="str">
        <x:f>IF($P1353="","",INDEX(Tasks!$F$10:$F$1941,$P1353)&amp;CHAR(10)&amp;INDEX(Tasks!$G$10:$G$1941,$P1353))</x:f>
        <x:v>DI.BO.1.4
Meet with Research to discuss which topic to select based on potential impact</x:v>
      </x:c>
      <x:c r="I1353" s="14"/>
      <x:c r="J1353" s="14"/>
      <x:c r="K1353" s="14"/>
      <x:c r="L1353" s="86" t="str">
        <x:f>IF($P1353="","",INDEX(Tasks!$N$10:$N$1941,$P1353))</x:f>
        <x:v>Not started</x:v>
      </x:c>
      <x:c r="M1353" s="87" t="n">
        <x:f>IF($P1353="","",INDEX(Tasks!$J$10:$J$1941,$P1353))</x:f>
        <x:v>46295</x:v>
      </x:c>
      <x:c r="N1353" s="85" t="str">
        <x:f>IF($P1353="","",HYPERLINK("#'"&amp;INDEX(Tasks!$T$10:$T$1941,$P1353)&amp;"'!A"&amp;INDEX(Tasks!$U$10:$U$1941,$P1353),"Open"))</x:f>
        <x:v>Open</x:v>
      </x:c>
      <x:c r="O1353" s="14"/>
      <x:c r="P1353" s="14" t="n">
        <x:f>IF(1332&gt;$B$10,"",MATCH(1332,Tasks!$S$10:$S$1941,0))</x:f>
        <x:v>1696</x:v>
      </x:c>
    </x:row>
    <x:row r="1354" ht="58" customHeight="1">
      <x:c r="B1354" s="86" t="str">
        <x:f>IF($P1354="","",INDEX(Tasks!$B$10:$B$1941,$P1354))</x:f>
        <x:v>Cycle 3</x:v>
      </x:c>
      <x:c r="C1354" s="86" t="str">
        <x:f>IF($P1354="","",INDEX(Tasks!$C$10:$C$1941,$P1354))</x:f>
        <x:v>Phase 1</x:v>
      </x:c>
      <x:c r="D1354" s="86" t="str">
        <x:f>IF($P1354="","",INDEX(Tasks!$D$10:$D$1941,$P1354))</x:f>
        <x:v>CSBBO - Banking Ops</x:v>
      </x:c>
      <x:c r="E1354" s="86"/>
      <x:c r="F1354" s="86" t="str">
        <x:f>IF($P1354="","",INDEX(Tasks!$E$10:$E$1941,$P1354))</x:f>
        <x:v>Design &amp; Insights</x:v>
      </x:c>
      <x:c r="G1354" s="86"/>
      <x:c r="H1354" s="14" t="str">
        <x:f>IF($P1354="","",INDEX(Tasks!$F$10:$F$1941,$P1354)&amp;CHAR(10)&amp;INDEX(Tasks!$G$10:$G$1941,$P1354))</x:f>
        <x:v>DI.BO.1.5
Confirm with Research the recommended topic for approval</x:v>
      </x:c>
      <x:c r="I1354" s="14"/>
      <x:c r="J1354" s="14"/>
      <x:c r="K1354" s="14"/>
      <x:c r="L1354" s="86" t="str">
        <x:f>IF($P1354="","",INDEX(Tasks!$N$10:$N$1941,$P1354))</x:f>
        <x:v>Not started</x:v>
      </x:c>
      <x:c r="M1354" s="87" t="n">
        <x:f>IF($P1354="","",INDEX(Tasks!$J$10:$J$1941,$P1354))</x:f>
        <x:v>46295</x:v>
      </x:c>
      <x:c r="N1354" s="85" t="str">
        <x:f>IF($P1354="","",HYPERLINK("#'"&amp;INDEX(Tasks!$T$10:$T$1941,$P1354)&amp;"'!A"&amp;INDEX(Tasks!$U$10:$U$1941,$P1354),"Open"))</x:f>
        <x:v>Open</x:v>
      </x:c>
      <x:c r="O1354" s="14"/>
      <x:c r="P1354" s="14" t="n">
        <x:f>IF(1333&gt;$B$10,"",MATCH(1333,Tasks!$S$10:$S$1941,0))</x:f>
        <x:v>1697</x:v>
      </x:c>
    </x:row>
    <x:row r="1355" ht="58" customHeight="1">
      <x:c r="B1355" s="86" t="str">
        <x:f>IF($P1355="","",INDEX(Tasks!$B$10:$B$1941,$P1355))</x:f>
        <x:v>Cycle 3</x:v>
      </x:c>
      <x:c r="C1355" s="86" t="str">
        <x:f>IF($P1355="","",INDEX(Tasks!$C$10:$C$1941,$P1355))</x:f>
        <x:v>Phase 1</x:v>
      </x:c>
      <x:c r="D1355" s="86" t="str">
        <x:f>IF($P1355="","",INDEX(Tasks!$D$10:$D$1941,$P1355))</x:f>
        <x:v>CSBBO - Banking Ops</x:v>
      </x:c>
      <x:c r="E1355" s="86"/>
      <x:c r="F1355" s="86" t="str">
        <x:f>IF($P1355="","",INDEX(Tasks!$E$10:$E$1941,$P1355))</x:f>
        <x:v>Design &amp; Insights</x:v>
      </x:c>
      <x:c r="G1355" s="86"/>
      <x:c r="H1355" s="14" t="str">
        <x:f>IF($P1355="","",INDEX(Tasks!$F$10:$F$1941,$P1355)&amp;CHAR(10)&amp;INDEX(Tasks!$G$10:$G$1941,$P1355))</x:f>
        <x:v>DI.BO.1.6
Send topic selection socialization email to all key stakeholders on the first day of the review Cycle</x:v>
      </x:c>
      <x:c r="I1355" s="14"/>
      <x:c r="J1355" s="14"/>
      <x:c r="K1355" s="14"/>
      <x:c r="L1355" s="86" t="str">
        <x:f>IF($P1355="","",INDEX(Tasks!$N$10:$N$1941,$P1355))</x:f>
        <x:v>Not started</x:v>
      </x:c>
      <x:c r="M1355" s="87" t="n">
        <x:f>IF($P1355="","",INDEX(Tasks!$J$10:$J$1941,$P1355))</x:f>
        <x:v>46204</x:v>
      </x:c>
      <x:c r="N1355" s="85" t="str">
        <x:f>IF($P1355="","",HYPERLINK("#'"&amp;INDEX(Tasks!$T$10:$T$1941,$P1355)&amp;"'!A"&amp;INDEX(Tasks!$U$10:$U$1941,$P1355),"Open"))</x:f>
        <x:v>Open</x:v>
      </x:c>
      <x:c r="O1355" s="14"/>
      <x:c r="P1355" s="14" t="n">
        <x:f>IF(1334&gt;$B$10,"",MATCH(1334,Tasks!$S$10:$S$1941,0))</x:f>
        <x:v>1698</x:v>
      </x:c>
    </x:row>
    <x:row r="1356" ht="58" customHeight="1">
      <x:c r="B1356" s="86" t="str">
        <x:f>IF($P1356="","",INDEX(Tasks!$B$10:$B$1941,$P1356))</x:f>
        <x:v>Cycle 3</x:v>
      </x:c>
      <x:c r="C1356" s="86" t="str">
        <x:f>IF($P1356="","",INDEX(Tasks!$C$10:$C$1941,$P1356))</x:f>
        <x:v>Phase 2</x:v>
      </x:c>
      <x:c r="D1356" s="86" t="str">
        <x:f>IF($P1356="","",INDEX(Tasks!$D$10:$D$1941,$P1356))</x:f>
        <x:v>CSBBO - Banking Ops</x:v>
      </x:c>
      <x:c r="E1356" s="86"/>
      <x:c r="F1356" s="86" t="str">
        <x:f>IF($P1356="","",INDEX(Tasks!$E$10:$E$1941,$P1356))</x:f>
        <x:v>Design &amp; Insights</x:v>
      </x:c>
      <x:c r="G1356" s="86"/>
      <x:c r="H1356" s="14" t="str">
        <x:f>IF($P1356="","",INDEX(Tasks!$F$10:$F$1941,$P1356)&amp;CHAR(10)&amp;INDEX(Tasks!$G$10:$G$1941,$P1356))</x:f>
        <x:v>DI.BO.2.1
Meet regularly with Research to stay informed on progress, findings, and potential enhancement</x:v>
      </x:c>
      <x:c r="I1356" s="14"/>
      <x:c r="J1356" s="14"/>
      <x:c r="K1356" s="14"/>
      <x:c r="L1356" s="86" t="str">
        <x:f>IF($P1356="","",INDEX(Tasks!$N$10:$N$1941,$P1356))</x:f>
        <x:v>Not started</x:v>
      </x:c>
      <x:c r="M1356" s="87" t="n">
        <x:f>IF($P1356="","",INDEX(Tasks!$J$10:$J$1941,$P1356))</x:f>
        <x:v>46295</x:v>
      </x:c>
      <x:c r="N1356" s="85" t="str">
        <x:f>IF($P1356="","",HYPERLINK("#'"&amp;INDEX(Tasks!$T$10:$T$1941,$P1356)&amp;"'!A"&amp;INDEX(Tasks!$U$10:$U$1941,$P1356),"Open"))</x:f>
        <x:v>Open</x:v>
      </x:c>
      <x:c r="O1356" s="14"/>
      <x:c r="P1356" s="14" t="n">
        <x:f>IF(1335&gt;$B$10,"",MATCH(1335,Tasks!$S$10:$S$1941,0))</x:f>
        <x:v>1699</x:v>
      </x:c>
    </x:row>
    <x:row r="1357" ht="58" customHeight="1">
      <x:c r="B1357" s="86" t="str">
        <x:f>IF($P1357="","",INDEX(Tasks!$B$10:$B$1941,$P1357))</x:f>
        <x:v>Cycle 3</x:v>
      </x:c>
      <x:c r="C1357" s="86" t="str">
        <x:f>IF($P1357="","",INDEX(Tasks!$C$10:$C$1941,$P1357))</x:f>
        <x:v>Phase 2</x:v>
      </x:c>
      <x:c r="D1357" s="86" t="str">
        <x:f>IF($P1357="","",INDEX(Tasks!$D$10:$D$1941,$P1357))</x:f>
        <x:v>CSBBO - Banking Ops</x:v>
      </x:c>
      <x:c r="E1357" s="86"/>
      <x:c r="F1357" s="86" t="str">
        <x:f>IF($P1357="","",INDEX(Tasks!$E$10:$E$1941,$P1357))</x:f>
        <x:v>Design &amp; Insights</x:v>
      </x:c>
      <x:c r="G1357" s="86"/>
      <x:c r="H1357" s="14" t="str">
        <x:f>IF($P1357="","",INDEX(Tasks!$F$10:$F$1941,$P1357)&amp;CHAR(10)&amp;INDEX(Tasks!$G$10:$G$1941,$P1357))</x:f>
        <x:v>DI.BO.2.2
Collaborate with Research on research plan specifics</x:v>
      </x:c>
      <x:c r="I1357" s="14"/>
      <x:c r="J1357" s="14"/>
      <x:c r="K1357" s="14"/>
      <x:c r="L1357" s="86" t="str">
        <x:f>IF($P1357="","",INDEX(Tasks!$N$10:$N$1941,$P1357))</x:f>
        <x:v>Not started</x:v>
      </x:c>
      <x:c r="M1357" s="87" t="n">
        <x:f>IF($P1357="","",INDEX(Tasks!$J$10:$J$1941,$P1357))</x:f>
        <x:v>46295</x:v>
      </x:c>
      <x:c r="N1357" s="85" t="str">
        <x:f>IF($P1357="","",HYPERLINK("#'"&amp;INDEX(Tasks!$T$10:$T$1941,$P1357)&amp;"'!A"&amp;INDEX(Tasks!$U$10:$U$1941,$P1357),"Open"))</x:f>
        <x:v>Open</x:v>
      </x:c>
      <x:c r="O1357" s="14"/>
      <x:c r="P1357" s="14" t="n">
        <x:f>IF(1336&gt;$B$10,"",MATCH(1336,Tasks!$S$10:$S$1941,0))</x:f>
        <x:v>1700</x:v>
      </x:c>
    </x:row>
    <x:row r="1358" ht="58" customHeight="1">
      <x:c r="B1358" s="86" t="str">
        <x:f>IF($P1358="","",INDEX(Tasks!$B$10:$B$1941,$P1358))</x:f>
        <x:v>Cycle 3</x:v>
      </x:c>
      <x:c r="C1358" s="86" t="str">
        <x:f>IF($P1358="","",INDEX(Tasks!$C$10:$C$1941,$P1358))</x:f>
        <x:v>Phase 2</x:v>
      </x:c>
      <x:c r="D1358" s="86" t="str">
        <x:f>IF($P1358="","",INDEX(Tasks!$D$10:$D$1941,$P1358))</x:f>
        <x:v>CSBBO - Banking Ops</x:v>
      </x:c>
      <x:c r="E1358" s="86"/>
      <x:c r="F1358" s="86" t="str">
        <x:f>IF($P1358="","",INDEX(Tasks!$E$10:$E$1941,$P1358))</x:f>
        <x:v>Design &amp; Insights</x:v>
      </x:c>
      <x:c r="G1358" s="86"/>
      <x:c r="H1358" s="14" t="str">
        <x:f>IF($P1358="","",INDEX(Tasks!$F$10:$F$1941,$P1358)&amp;CHAR(10)&amp;INDEX(Tasks!$G$10:$G$1941,$P1358))</x:f>
        <x:v>DI.BO.2.3
Participate in SME insight meetings to gain perspective and appetite on potential enhancements</x:v>
      </x:c>
      <x:c r="I1358" s="14"/>
      <x:c r="J1358" s="14"/>
      <x:c r="K1358" s="14"/>
      <x:c r="L1358" s="86" t="str">
        <x:f>IF($P1358="","",INDEX(Tasks!$N$10:$N$1941,$P1358))</x:f>
        <x:v>Not started</x:v>
      </x:c>
      <x:c r="M1358" s="87" t="n">
        <x:f>IF($P1358="","",INDEX(Tasks!$J$10:$J$1941,$P1358))</x:f>
        <x:v>46295</x:v>
      </x:c>
      <x:c r="N1358" s="85" t="str">
        <x:f>IF($P1358="","",HYPERLINK("#'"&amp;INDEX(Tasks!$T$10:$T$1941,$P1358)&amp;"'!A"&amp;INDEX(Tasks!$U$10:$U$1941,$P1358),"Open"))</x:f>
        <x:v>Open</x:v>
      </x:c>
      <x:c r="O1358" s="14"/>
      <x:c r="P1358" s="14" t="n">
        <x:f>IF(1337&gt;$B$10,"",MATCH(1337,Tasks!$S$10:$S$1941,0))</x:f>
        <x:v>1701</x:v>
      </x:c>
    </x:row>
    <x:row r="1359" ht="58" customHeight="1">
      <x:c r="B1359" s="86" t="str">
        <x:f>IF($P1359="","",INDEX(Tasks!$B$10:$B$1941,$P1359))</x:f>
        <x:v>Cycle 3</x:v>
      </x:c>
      <x:c r="C1359" s="86" t="str">
        <x:f>IF($P1359="","",INDEX(Tasks!$C$10:$C$1941,$P1359))</x:f>
        <x:v>Phase 2</x:v>
      </x:c>
      <x:c r="D1359" s="86" t="str">
        <x:f>IF($P1359="","",INDEX(Tasks!$D$10:$D$1941,$P1359))</x:f>
        <x:v>CSBBO - Banking Ops</x:v>
      </x:c>
      <x:c r="E1359" s="86"/>
      <x:c r="F1359" s="86" t="str">
        <x:f>IF($P1359="","",INDEX(Tasks!$E$10:$E$1941,$P1359))</x:f>
        <x:v>Design &amp; Insights</x:v>
      </x:c>
      <x:c r="G1359" s="86"/>
      <x:c r="H1359" s="14" t="str">
        <x:f>IF($P1359="","",INDEX(Tasks!$F$10:$F$1941,$P1359)&amp;CHAR(10)&amp;INDEX(Tasks!$G$10:$G$1941,$P1359))</x:f>
        <x:v>DI.BO.2.4
Begin development of presentation materials as Research is being completed</x:v>
      </x:c>
      <x:c r="I1359" s="14"/>
      <x:c r="J1359" s="14"/>
      <x:c r="K1359" s="14"/>
      <x:c r="L1359" s="86" t="str">
        <x:f>IF($P1359="","",INDEX(Tasks!$N$10:$N$1941,$P1359))</x:f>
        <x:v>Not started</x:v>
      </x:c>
      <x:c r="M1359" s="87" t="n">
        <x:f>IF($P1359="","",INDEX(Tasks!$J$10:$J$1941,$P1359))</x:f>
        <x:v>46295</x:v>
      </x:c>
      <x:c r="N1359" s="85" t="str">
        <x:f>IF($P1359="","",HYPERLINK("#'"&amp;INDEX(Tasks!$T$10:$T$1941,$P1359)&amp;"'!A"&amp;INDEX(Tasks!$U$10:$U$1941,$P1359),"Open"))</x:f>
        <x:v>Open</x:v>
      </x:c>
      <x:c r="O1359" s="14"/>
      <x:c r="P1359" s="14" t="n">
        <x:f>IF(1338&gt;$B$10,"",MATCH(1338,Tasks!$S$10:$S$1941,0))</x:f>
        <x:v>1702</x:v>
      </x:c>
    </x:row>
    <x:row r="1360" ht="58" customHeight="1">
      <x:c r="B1360" s="86" t="str">
        <x:f>IF($P1360="","",INDEX(Tasks!$B$10:$B$1941,$P1360))</x:f>
        <x:v>Cycle 3</x:v>
      </x:c>
      <x:c r="C1360" s="86" t="str">
        <x:f>IF($P1360="","",INDEX(Tasks!$C$10:$C$1941,$P1360))</x:f>
        <x:v>Phase 2</x:v>
      </x:c>
      <x:c r="D1360" s="86" t="str">
        <x:f>IF($P1360="","",INDEX(Tasks!$D$10:$D$1941,$P1360))</x:f>
        <x:v>CSBBO - Banking Ops</x:v>
      </x:c>
      <x:c r="E1360" s="86"/>
      <x:c r="F1360" s="86" t="str">
        <x:f>IF($P1360="","",INDEX(Tasks!$E$10:$E$1941,$P1360))</x:f>
        <x:v>Design &amp; Insights</x:v>
      </x:c>
      <x:c r="G1360" s="86"/>
      <x:c r="H1360" s="14" t="str">
        <x:f>IF($P1360="","",INDEX(Tasks!$F$10:$F$1941,$P1360)&amp;CHAR(10)&amp;INDEX(Tasks!$G$10:$G$1941,$P1360))</x:f>
        <x:v>DI.BO.2.5
Draft initial enhancement recommendations (as applicable)</x:v>
      </x:c>
      <x:c r="I1360" s="14"/>
      <x:c r="J1360" s="14"/>
      <x:c r="K1360" s="14"/>
      <x:c r="L1360" s="86" t="str">
        <x:f>IF($P1360="","",INDEX(Tasks!$N$10:$N$1941,$P1360))</x:f>
        <x:v>Not started</x:v>
      </x:c>
      <x:c r="M1360" s="87" t="n">
        <x:f>IF($P1360="","",INDEX(Tasks!$J$10:$J$1941,$P1360))</x:f>
        <x:v>46295</x:v>
      </x:c>
      <x:c r="N1360" s="85" t="str">
        <x:f>IF($P1360="","",HYPERLINK("#'"&amp;INDEX(Tasks!$T$10:$T$1941,$P1360)&amp;"'!A"&amp;INDEX(Tasks!$U$10:$U$1941,$P1360),"Open"))</x:f>
        <x:v>Open</x:v>
      </x:c>
      <x:c r="O1360" s="14"/>
      <x:c r="P1360" s="14" t="n">
        <x:f>IF(1339&gt;$B$10,"",MATCH(1339,Tasks!$S$10:$S$1941,0))</x:f>
        <x:v>1703</x:v>
      </x:c>
    </x:row>
    <x:row r="1361" ht="58" customHeight="1">
      <x:c r="B1361" s="86" t="str">
        <x:f>IF($P1361="","",INDEX(Tasks!$B$10:$B$1941,$P1361))</x:f>
        <x:v>Cycle 3</x:v>
      </x:c>
      <x:c r="C1361" s="86" t="str">
        <x:f>IF($P1361="","",INDEX(Tasks!$C$10:$C$1941,$P1361))</x:f>
        <x:v>Phase 2</x:v>
      </x:c>
      <x:c r="D1361" s="86" t="str">
        <x:f>IF($P1361="","",INDEX(Tasks!$D$10:$D$1941,$P1361))</x:f>
        <x:v>CSBBO - Banking Ops</x:v>
      </x:c>
      <x:c r="E1361" s="86"/>
      <x:c r="F1361" s="86" t="str">
        <x:f>IF($P1361="","",INDEX(Tasks!$E$10:$E$1941,$P1361))</x:f>
        <x:v>Design &amp; Insights</x:v>
      </x:c>
      <x:c r="G1361" s="86"/>
      <x:c r="H1361" s="14" t="str">
        <x:f>IF($P1361="","",INDEX(Tasks!$F$10:$F$1941,$P1361)&amp;CHAR(10)&amp;INDEX(Tasks!$G$10:$G$1941,$P1361))</x:f>
        <x:v>DI.BO.2.6
Finalize presentation deck draft at conclusion of Research phase</x:v>
      </x:c>
      <x:c r="I1361" s="14"/>
      <x:c r="J1361" s="14"/>
      <x:c r="K1361" s="14"/>
      <x:c r="L1361" s="86" t="str">
        <x:f>IF($P1361="","",INDEX(Tasks!$N$10:$N$1941,$P1361))</x:f>
        <x:v>Not started</x:v>
      </x:c>
      <x:c r="M1361" s="87" t="n">
        <x:f>IF($P1361="","",INDEX(Tasks!$J$10:$J$1941,$P1361))</x:f>
        <x:v>46295</x:v>
      </x:c>
      <x:c r="N1361" s="85" t="str">
        <x:f>IF($P1361="","",HYPERLINK("#'"&amp;INDEX(Tasks!$T$10:$T$1941,$P1361)&amp;"'!A"&amp;INDEX(Tasks!$U$10:$U$1941,$P1361),"Open"))</x:f>
        <x:v>Open</x:v>
      </x:c>
      <x:c r="O1361" s="14"/>
      <x:c r="P1361" s="14" t="n">
        <x:f>IF(1340&gt;$B$10,"",MATCH(1340,Tasks!$S$10:$S$1941,0))</x:f>
        <x:v>1704</x:v>
      </x:c>
    </x:row>
    <x:row r="1362" ht="58" customHeight="1">
      <x:c r="B1362" s="86" t="str">
        <x:f>IF($P1362="","",INDEX(Tasks!$B$10:$B$1941,$P1362))</x:f>
        <x:v>Cycle 3</x:v>
      </x:c>
      <x:c r="C1362" s="86" t="str">
        <x:f>IF($P1362="","",INDEX(Tasks!$C$10:$C$1941,$P1362))</x:f>
        <x:v>Phase 2</x:v>
      </x:c>
      <x:c r="D1362" s="86" t="str">
        <x:f>IF($P1362="","",INDEX(Tasks!$D$10:$D$1941,$P1362))</x:f>
        <x:v>CSBBO - Banking Ops</x:v>
      </x:c>
      <x:c r="E1362" s="86"/>
      <x:c r="F1362" s="86" t="str">
        <x:f>IF($P1362="","",INDEX(Tasks!$E$10:$E$1941,$P1362))</x:f>
        <x:v>Design &amp; Insights</x:v>
      </x:c>
      <x:c r="G1362" s="86"/>
      <x:c r="H1362" s="14" t="str">
        <x:f>IF($P1362="","",INDEX(Tasks!$F$10:$F$1941,$P1362)&amp;CHAR(10)&amp;INDEX(Tasks!$G$10:$G$1941,$P1362))</x:f>
        <x:v>DI.BO.2.7
Update Outcome portion of research plan with current enhancement verbiage (as needed)</x:v>
      </x:c>
      <x:c r="I1362" s="14"/>
      <x:c r="J1362" s="14"/>
      <x:c r="K1362" s="14"/>
      <x:c r="L1362" s="86" t="str">
        <x:f>IF($P1362="","",INDEX(Tasks!$N$10:$N$1941,$P1362))</x:f>
        <x:v>Not started</x:v>
      </x:c>
      <x:c r="M1362" s="87" t="n">
        <x:f>IF($P1362="","",INDEX(Tasks!$J$10:$J$1941,$P1362))</x:f>
        <x:v>46295</x:v>
      </x:c>
      <x:c r="N1362" s="85" t="str">
        <x:f>IF($P1362="","",HYPERLINK("#'"&amp;INDEX(Tasks!$T$10:$T$1941,$P1362)&amp;"'!A"&amp;INDEX(Tasks!$U$10:$U$1941,$P1362),"Open"))</x:f>
        <x:v>Open</x:v>
      </x:c>
      <x:c r="O1362" s="14"/>
      <x:c r="P1362" s="14" t="n">
        <x:f>IF(1341&gt;$B$10,"",MATCH(1341,Tasks!$S$10:$S$1941,0))</x:f>
        <x:v>1705</x:v>
      </x:c>
    </x:row>
    <x:row r="1363" ht="58" customHeight="1">
      <x:c r="B1363" s="86" t="str">
        <x:f>IF($P1363="","",INDEX(Tasks!$B$10:$B$1941,$P1363))</x:f>
        <x:v>Cycle 3</x:v>
      </x:c>
      <x:c r="C1363" s="86" t="str">
        <x:f>IF($P1363="","",INDEX(Tasks!$C$10:$C$1941,$P1363))</x:f>
        <x:v>Phase 3</x:v>
      </x:c>
      <x:c r="D1363" s="86" t="str">
        <x:f>IF($P1363="","",INDEX(Tasks!$D$10:$D$1941,$P1363))</x:f>
        <x:v>CSBBO - Banking Ops</x:v>
      </x:c>
      <x:c r="E1363" s="86"/>
      <x:c r="F1363" s="86" t="str">
        <x:f>IF($P1363="","",INDEX(Tasks!$E$10:$E$1941,$P1363))</x:f>
        <x:v>Design &amp; Insights</x:v>
      </x:c>
      <x:c r="G1363" s="86"/>
      <x:c r="H1363" s="14" t="str">
        <x:f>IF($P1363="","",INDEX(Tasks!$F$10:$F$1941,$P1363)&amp;CHAR(10)&amp;INDEX(Tasks!$G$10:$G$1941,$P1363))</x:f>
        <x:v>DI.BO.3.1
Confirm list of required &amp; optional attendees for pre-socialization meeting</x:v>
      </x:c>
      <x:c r="I1363" s="14"/>
      <x:c r="J1363" s="14"/>
      <x:c r="K1363" s="14"/>
      <x:c r="L1363" s="86" t="str">
        <x:f>IF($P1363="","",INDEX(Tasks!$N$10:$N$1941,$P1363))</x:f>
        <x:v>Not started</x:v>
      </x:c>
      <x:c r="M1363" s="87" t="n">
        <x:f>IF($P1363="","",INDEX(Tasks!$J$10:$J$1941,$P1363))</x:f>
        <x:v>46295</x:v>
      </x:c>
      <x:c r="N1363" s="85" t="str">
        <x:f>IF($P1363="","",HYPERLINK("#'"&amp;INDEX(Tasks!$T$10:$T$1941,$P1363)&amp;"'!A"&amp;INDEX(Tasks!$U$10:$U$1941,$P1363),"Open"))</x:f>
        <x:v>Open</x:v>
      </x:c>
      <x:c r="O1363" s="14"/>
      <x:c r="P1363" s="14" t="n">
        <x:f>IF(1342&gt;$B$10,"",MATCH(1342,Tasks!$S$10:$S$1941,0))</x:f>
        <x:v>1706</x:v>
      </x:c>
    </x:row>
    <x:row r="1364" ht="58" customHeight="1">
      <x:c r="B1364" s="86" t="str">
        <x:f>IF($P1364="","",INDEX(Tasks!$B$10:$B$1941,$P1364))</x:f>
        <x:v>Cycle 3</x:v>
      </x:c>
      <x:c r="C1364" s="86" t="str">
        <x:f>IF($P1364="","",INDEX(Tasks!$C$10:$C$1941,$P1364))</x:f>
        <x:v>Phase 3</x:v>
      </x:c>
      <x:c r="D1364" s="86" t="str">
        <x:f>IF($P1364="","",INDEX(Tasks!$D$10:$D$1941,$P1364))</x:f>
        <x:v>CSBBO - Banking Ops</x:v>
      </x:c>
      <x:c r="E1364" s="86"/>
      <x:c r="F1364" s="86" t="str">
        <x:f>IF($P1364="","",INDEX(Tasks!$E$10:$E$1941,$P1364))</x:f>
        <x:v>Design &amp; Insights</x:v>
      </x:c>
      <x:c r="G1364" s="86"/>
      <x:c r="H1364" s="14" t="str">
        <x:f>IF($P1364="","",INDEX(Tasks!$F$10:$F$1941,$P1364)&amp;CHAR(10)&amp;INDEX(Tasks!$G$10:$G$1941,$P1364))</x:f>
        <x:v>DI.BO.3.2
Schedule pre-socialization meeting 1 week prior to RCA Forum</x:v>
      </x:c>
      <x:c r="I1364" s="14"/>
      <x:c r="J1364" s="14"/>
      <x:c r="K1364" s="14"/>
      <x:c r="L1364" s="86" t="str">
        <x:f>IF($P1364="","",INDEX(Tasks!$N$10:$N$1941,$P1364))</x:f>
        <x:v>Not started</x:v>
      </x:c>
      <x:c r="M1364" s="87" t="str">
        <x:f>IF($P1364="","",INDEX(Tasks!$J$10:$J$1941,$P1364))</x:f>
      </x:c>
      <x:c r="N1364" s="85" t="str">
        <x:f>IF($P1364="","",HYPERLINK("#'"&amp;INDEX(Tasks!$T$10:$T$1941,$P1364)&amp;"'!A"&amp;INDEX(Tasks!$U$10:$U$1941,$P1364),"Open"))</x:f>
        <x:v>Open</x:v>
      </x:c>
      <x:c r="O1364" s="14"/>
      <x:c r="P1364" s="14" t="n">
        <x:f>IF(1343&gt;$B$10,"",MATCH(1343,Tasks!$S$10:$S$1941,0))</x:f>
        <x:v>1707</x:v>
      </x:c>
    </x:row>
    <x:row r="1365" ht="58" customHeight="1">
      <x:c r="B1365" s="86" t="str">
        <x:f>IF($P1365="","",INDEX(Tasks!$B$10:$B$1941,$P1365))</x:f>
        <x:v>Cycle 3</x:v>
      </x:c>
      <x:c r="C1365" s="86" t="str">
        <x:f>IF($P1365="","",INDEX(Tasks!$C$10:$C$1941,$P1365))</x:f>
        <x:v>Phase 3</x:v>
      </x:c>
      <x:c r="D1365" s="86" t="str">
        <x:f>IF($P1365="","",INDEX(Tasks!$D$10:$D$1941,$P1365))</x:f>
        <x:v>CSBBO - Banking Ops</x:v>
      </x:c>
      <x:c r="E1365" s="86"/>
      <x:c r="F1365" s="86" t="str">
        <x:f>IF($P1365="","",INDEX(Tasks!$E$10:$E$1941,$P1365))</x:f>
        <x:v>Design &amp; Insights</x:v>
      </x:c>
      <x:c r="G1365" s="86"/>
      <x:c r="H1365" s="14" t="str">
        <x:f>IF($P1365="","",INDEX(Tasks!$F$10:$F$1941,$P1365)&amp;CHAR(10)&amp;INDEX(Tasks!$G$10:$G$1941,$P1365))</x:f>
        <x:v>DI.BO.3.3
Present findings, conclusions, and recommendation to SMEs</x:v>
      </x:c>
      <x:c r="I1365" s="14"/>
      <x:c r="J1365" s="14"/>
      <x:c r="K1365" s="14"/>
      <x:c r="L1365" s="86" t="str">
        <x:f>IF($P1365="","",INDEX(Tasks!$N$10:$N$1941,$P1365))</x:f>
        <x:v>Not started</x:v>
      </x:c>
      <x:c r="M1365" s="87" t="n">
        <x:f>IF($P1365="","",INDEX(Tasks!$J$10:$J$1941,$P1365))</x:f>
        <x:v>46295</x:v>
      </x:c>
      <x:c r="N1365" s="85" t="str">
        <x:f>IF($P1365="","",HYPERLINK("#'"&amp;INDEX(Tasks!$T$10:$T$1941,$P1365)&amp;"'!A"&amp;INDEX(Tasks!$U$10:$U$1941,$P1365),"Open"))</x:f>
        <x:v>Open</x:v>
      </x:c>
      <x:c r="O1365" s="14"/>
      <x:c r="P1365" s="14" t="n">
        <x:f>IF(1344&gt;$B$10,"",MATCH(1344,Tasks!$S$10:$S$1941,0))</x:f>
        <x:v>1708</x:v>
      </x:c>
    </x:row>
    <x:row r="1366" ht="58" customHeight="1">
      <x:c r="B1366" s="86" t="str">
        <x:f>IF($P1366="","",INDEX(Tasks!$B$10:$B$1941,$P1366))</x:f>
        <x:v>Cycle 3</x:v>
      </x:c>
      <x:c r="C1366" s="86" t="str">
        <x:f>IF($P1366="","",INDEX(Tasks!$C$10:$C$1941,$P1366))</x:f>
        <x:v>Phase 3</x:v>
      </x:c>
      <x:c r="D1366" s="86" t="str">
        <x:f>IF($P1366="","",INDEX(Tasks!$D$10:$D$1941,$P1366))</x:f>
        <x:v>CSBBO - Banking Ops</x:v>
      </x:c>
      <x:c r="E1366" s="86"/>
      <x:c r="F1366" s="86" t="str">
        <x:f>IF($P1366="","",INDEX(Tasks!$E$10:$E$1941,$P1366))</x:f>
        <x:v>Design &amp; Insights</x:v>
      </x:c>
      <x:c r="G1366" s="86"/>
      <x:c r="H1366" s="14" t="str">
        <x:f>IF($P1366="","",INDEX(Tasks!$F$10:$F$1941,$P1366)&amp;CHAR(10)&amp;INDEX(Tasks!$G$10:$G$1941,$P1366))</x:f>
        <x:v>DI.BO.3.4
Update Outcome portion of research plan (as needed)</x:v>
      </x:c>
      <x:c r="I1366" s="14"/>
      <x:c r="J1366" s="14"/>
      <x:c r="K1366" s="14"/>
      <x:c r="L1366" s="86" t="str">
        <x:f>IF($P1366="","",INDEX(Tasks!$N$10:$N$1941,$P1366))</x:f>
        <x:v>Not started</x:v>
      </x:c>
      <x:c r="M1366" s="87" t="n">
        <x:f>IF($P1366="","",INDEX(Tasks!$J$10:$J$1941,$P1366))</x:f>
        <x:v>46295</x:v>
      </x:c>
      <x:c r="N1366" s="85" t="str">
        <x:f>IF($P1366="","",HYPERLINK("#'"&amp;INDEX(Tasks!$T$10:$T$1941,$P1366)&amp;"'!A"&amp;INDEX(Tasks!$U$10:$U$1941,$P1366),"Open"))</x:f>
        <x:v>Open</x:v>
      </x:c>
      <x:c r="O1366" s="14"/>
      <x:c r="P1366" s="14" t="n">
        <x:f>IF(1345&gt;$B$10,"",MATCH(1345,Tasks!$S$10:$S$1941,0))</x:f>
        <x:v>1709</x:v>
      </x:c>
    </x:row>
    <x:row r="1367" ht="58" customHeight="1">
      <x:c r="B1367" s="86" t="str">
        <x:f>IF($P1367="","",INDEX(Tasks!$B$10:$B$1941,$P1367))</x:f>
        <x:v>Cycle 3</x:v>
      </x:c>
      <x:c r="C1367" s="86" t="str">
        <x:f>IF($P1367="","",INDEX(Tasks!$C$10:$C$1941,$P1367))</x:f>
        <x:v>Phase 3</x:v>
      </x:c>
      <x:c r="D1367" s="86" t="str">
        <x:f>IF($P1367="","",INDEX(Tasks!$D$10:$D$1941,$P1367))</x:f>
        <x:v>CSBBO - Banking Ops</x:v>
      </x:c>
      <x:c r="E1367" s="86"/>
      <x:c r="F1367" s="86" t="str">
        <x:f>IF($P1367="","",INDEX(Tasks!$E$10:$E$1941,$P1367))</x:f>
        <x:v>Design &amp; Insights</x:v>
      </x:c>
      <x:c r="G1367" s="86"/>
      <x:c r="H1367" s="14" t="str">
        <x:f>IF($P1367="","",INDEX(Tasks!$F$10:$F$1941,$P1367)&amp;CHAR(10)&amp;INDEX(Tasks!$G$10:$G$1941,$P1367))</x:f>
        <x:v>DI.BO.3.5
Finalize presentation deck by incorporating pre-socialization feedback (as needed)</x:v>
      </x:c>
      <x:c r="I1367" s="14"/>
      <x:c r="J1367" s="14"/>
      <x:c r="K1367" s="14"/>
      <x:c r="L1367" s="86" t="str">
        <x:f>IF($P1367="","",INDEX(Tasks!$N$10:$N$1941,$P1367))</x:f>
        <x:v>Not started</x:v>
      </x:c>
      <x:c r="M1367" s="87" t="n">
        <x:f>IF($P1367="","",INDEX(Tasks!$J$10:$J$1941,$P1367))</x:f>
        <x:v>46295</x:v>
      </x:c>
      <x:c r="N1367" s="85" t="str">
        <x:f>IF($P1367="","",HYPERLINK("#'"&amp;INDEX(Tasks!$T$10:$T$1941,$P1367)&amp;"'!A"&amp;INDEX(Tasks!$U$10:$U$1941,$P1367),"Open"))</x:f>
        <x:v>Open</x:v>
      </x:c>
      <x:c r="O1367" s="14"/>
      <x:c r="P1367" s="14" t="n">
        <x:f>IF(1346&gt;$B$10,"",MATCH(1346,Tasks!$S$10:$S$1941,0))</x:f>
        <x:v>1710</x:v>
      </x:c>
    </x:row>
    <x:row r="1368" ht="58" customHeight="1">
      <x:c r="B1368" s="86" t="str">
        <x:f>IF($P1368="","",INDEX(Tasks!$B$10:$B$1941,$P1368))</x:f>
        <x:v>Cycle 3</x:v>
      </x:c>
      <x:c r="C1368" s="86" t="str">
        <x:f>IF($P1368="","",INDEX(Tasks!$C$10:$C$1941,$P1368))</x:f>
        <x:v>Phase 3</x:v>
      </x:c>
      <x:c r="D1368" s="86" t="str">
        <x:f>IF($P1368="","",INDEX(Tasks!$D$10:$D$1941,$P1368))</x:f>
        <x:v>CSBBO - Banking Ops</x:v>
      </x:c>
      <x:c r="E1368" s="86"/>
      <x:c r="F1368" s="86" t="str">
        <x:f>IF($P1368="","",INDEX(Tasks!$E$10:$E$1941,$P1368))</x:f>
        <x:v>Design &amp; Insights</x:v>
      </x:c>
      <x:c r="G1368" s="86"/>
      <x:c r="H1368" s="14" t="str">
        <x:f>IF($P1368="","",INDEX(Tasks!$F$10:$F$1941,$P1368)&amp;CHAR(10)&amp;INDEX(Tasks!$G$10:$G$1941,$P1368))</x:f>
        <x:v>DI.BO.3.6
Ensure final deck is communicated to Forum attendees</x:v>
      </x:c>
      <x:c r="I1368" s="14"/>
      <x:c r="J1368" s="14"/>
      <x:c r="K1368" s="14"/>
      <x:c r="L1368" s="86" t="str">
        <x:f>IF($P1368="","",INDEX(Tasks!$N$10:$N$1941,$P1368))</x:f>
        <x:v>Not started</x:v>
      </x:c>
      <x:c r="M1368" s="87" t="n">
        <x:f>IF($P1368="","",INDEX(Tasks!$J$10:$J$1941,$P1368))</x:f>
        <x:v>46295</x:v>
      </x:c>
      <x:c r="N1368" s="85" t="str">
        <x:f>IF($P1368="","",HYPERLINK("#'"&amp;INDEX(Tasks!$T$10:$T$1941,$P1368)&amp;"'!A"&amp;INDEX(Tasks!$U$10:$U$1941,$P1368),"Open"))</x:f>
        <x:v>Open</x:v>
      </x:c>
      <x:c r="O1368" s="14"/>
      <x:c r="P1368" s="14" t="n">
        <x:f>IF(1347&gt;$B$10,"",MATCH(1347,Tasks!$S$10:$S$1941,0))</x:f>
        <x:v>1711</x:v>
      </x:c>
    </x:row>
    <x:row r="1369" ht="58" customHeight="1">
      <x:c r="B1369" s="86" t="str">
        <x:f>IF($P1369="","",INDEX(Tasks!$B$10:$B$1941,$P1369))</x:f>
        <x:v>Cycle 3</x:v>
      </x:c>
      <x:c r="C1369" s="86" t="str">
        <x:f>IF($P1369="","",INDEX(Tasks!$C$10:$C$1941,$P1369))</x:f>
        <x:v>Phase 3</x:v>
      </x:c>
      <x:c r="D1369" s="86" t="str">
        <x:f>IF($P1369="","",INDEX(Tasks!$D$10:$D$1941,$P1369))</x:f>
        <x:v>CSBBO - Banking Ops</x:v>
      </x:c>
      <x:c r="E1369" s="86"/>
      <x:c r="F1369" s="86" t="str">
        <x:f>IF($P1369="","",INDEX(Tasks!$E$10:$E$1941,$P1369))</x:f>
        <x:v>Design &amp; Insights</x:v>
      </x:c>
      <x:c r="G1369" s="86"/>
      <x:c r="H1369" s="14" t="str">
        <x:f>IF($P1369="","",INDEX(Tasks!$F$10:$F$1941,$P1369)&amp;CHAR(10)&amp;INDEX(Tasks!$G$10:$G$1941,$P1369))</x:f>
        <x:v>DI.BO.3.7
Present material in RCA Cycle Forum</x:v>
      </x:c>
      <x:c r="I1369" s="14"/>
      <x:c r="J1369" s="14"/>
      <x:c r="K1369" s="14"/>
      <x:c r="L1369" s="86" t="str">
        <x:f>IF($P1369="","",INDEX(Tasks!$N$10:$N$1941,$P1369))</x:f>
        <x:v>Not started</x:v>
      </x:c>
      <x:c r="M1369" s="87" t="str">
        <x:f>IF($P1369="","",INDEX(Tasks!$J$10:$J$1941,$P1369))</x:f>
      </x:c>
      <x:c r="N1369" s="85" t="str">
        <x:f>IF($P1369="","",HYPERLINK("#'"&amp;INDEX(Tasks!$T$10:$T$1941,$P1369)&amp;"'!A"&amp;INDEX(Tasks!$U$10:$U$1941,$P1369),"Open"))</x:f>
        <x:v>Open</x:v>
      </x:c>
      <x:c r="O1369" s="14"/>
      <x:c r="P1369" s="14" t="n">
        <x:f>IF(1348&gt;$B$10,"",MATCH(1348,Tasks!$S$10:$S$1941,0))</x:f>
        <x:v>1712</x:v>
      </x:c>
    </x:row>
    <x:row r="1370" ht="58" customHeight="1">
      <x:c r="B1370" s="86" t="str">
        <x:f>IF($P1370="","",INDEX(Tasks!$B$10:$B$1941,$P1370))</x:f>
        <x:v>Cycle 3</x:v>
      </x:c>
      <x:c r="C1370" s="86" t="str">
        <x:f>IF($P1370="","",INDEX(Tasks!$C$10:$C$1941,$P1370))</x:f>
        <x:v>Phase 1</x:v>
      </x:c>
      <x:c r="D1370" s="86" t="str">
        <x:f>IF($P1370="","",INDEX(Tasks!$D$10:$D$1941,$P1370))</x:f>
        <x:v>CSBBO - Customer Service</x:v>
      </x:c>
      <x:c r="E1370" s="86"/>
      <x:c r="F1370" s="86" t="str">
        <x:f>IF($P1370="","",INDEX(Tasks!$E$10:$E$1941,$P1370))</x:f>
        <x:v>Design &amp; Insights</x:v>
      </x:c>
      <x:c r="G1370" s="86"/>
      <x:c r="H1370" s="14" t="str">
        <x:f>IF($P1370="","",INDEX(Tasks!$F$10:$F$1941,$P1370)&amp;CHAR(10)&amp;INDEX(Tasks!$G$10:$G$1941,$P1370))</x:f>
        <x:v>DI.CS.1.1
Receive and review potential research topics at least 2 weeks prior to Cycle start date</x:v>
      </x:c>
      <x:c r="I1370" s="14"/>
      <x:c r="J1370" s="14"/>
      <x:c r="K1370" s="14"/>
      <x:c r="L1370" s="86" t="str">
        <x:f>IF($P1370="","",INDEX(Tasks!$N$10:$N$1941,$P1370))</x:f>
        <x:v>Not started</x:v>
      </x:c>
      <x:c r="M1370" s="87" t="n">
        <x:f>IF($P1370="","",INDEX(Tasks!$J$10:$J$1941,$P1370))</x:f>
        <x:v>46190</x:v>
      </x:c>
      <x:c r="N1370" s="85" t="str">
        <x:f>IF($P1370="","",HYPERLINK("#'"&amp;INDEX(Tasks!$T$10:$T$1941,$P1370)&amp;"'!A"&amp;INDEX(Tasks!$U$10:$U$1941,$P1370),"Open"))</x:f>
        <x:v>Open</x:v>
      </x:c>
      <x:c r="O1370" s="14"/>
      <x:c r="P1370" s="14" t="n">
        <x:f>IF(1349&gt;$B$10,"",MATCH(1349,Tasks!$S$10:$S$1941,0))</x:f>
        <x:v>1713</x:v>
      </x:c>
    </x:row>
    <x:row r="1371" ht="58" customHeight="1">
      <x:c r="B1371" s="86" t="str">
        <x:f>IF($P1371="","",INDEX(Tasks!$B$10:$B$1941,$P1371))</x:f>
        <x:v>Cycle 3</x:v>
      </x:c>
      <x:c r="C1371" s="86" t="str">
        <x:f>IF($P1371="","",INDEX(Tasks!$C$10:$C$1941,$P1371))</x:f>
        <x:v>Phase 1</x:v>
      </x:c>
      <x:c r="D1371" s="86" t="str">
        <x:f>IF($P1371="","",INDEX(Tasks!$D$10:$D$1941,$P1371))</x:f>
        <x:v>CSBBO - Customer Service</x:v>
      </x:c>
      <x:c r="E1371" s="86"/>
      <x:c r="F1371" s="86" t="str">
        <x:f>IF($P1371="","",INDEX(Tasks!$E$10:$E$1941,$P1371))</x:f>
        <x:v>Design &amp; Insights</x:v>
      </x:c>
      <x:c r="G1371" s="86"/>
      <x:c r="H1371" s="14" t="str">
        <x:f>IF($P1371="","",INDEX(Tasks!$F$10:$F$1941,$P1371)&amp;CHAR(10)&amp;INDEX(Tasks!$G$10:$G$1941,$P1371))</x:f>
        <x:v>DI.CS.1.2
Communicate any feedback on preferences or concerns with topics identified</x:v>
      </x:c>
      <x:c r="I1371" s="14"/>
      <x:c r="J1371" s="14"/>
      <x:c r="K1371" s="14"/>
      <x:c r="L1371" s="86" t="str">
        <x:f>IF($P1371="","",INDEX(Tasks!$N$10:$N$1941,$P1371))</x:f>
        <x:v>Not started</x:v>
      </x:c>
      <x:c r="M1371" s="87" t="n">
        <x:f>IF($P1371="","",INDEX(Tasks!$J$10:$J$1941,$P1371))</x:f>
        <x:v>46295</x:v>
      </x:c>
      <x:c r="N1371" s="85" t="str">
        <x:f>IF($P1371="","",HYPERLINK("#'"&amp;INDEX(Tasks!$T$10:$T$1941,$P1371)&amp;"'!A"&amp;INDEX(Tasks!$U$10:$U$1941,$P1371),"Open"))</x:f>
        <x:v>Open</x:v>
      </x:c>
      <x:c r="O1371" s="14"/>
      <x:c r="P1371" s="14" t="n">
        <x:f>IF(1350&gt;$B$10,"",MATCH(1350,Tasks!$S$10:$S$1941,0))</x:f>
        <x:v>1714</x:v>
      </x:c>
    </x:row>
    <x:row r="1372" ht="58" customHeight="1">
      <x:c r="B1372" s="86" t="str">
        <x:f>IF($P1372="","",INDEX(Tasks!$B$10:$B$1941,$P1372))</x:f>
        <x:v>Cycle 3</x:v>
      </x:c>
      <x:c r="C1372" s="86" t="str">
        <x:f>IF($P1372="","",INDEX(Tasks!$C$10:$C$1941,$P1372))</x:f>
        <x:v>Phase 1</x:v>
      </x:c>
      <x:c r="D1372" s="86" t="str">
        <x:f>IF($P1372="","",INDEX(Tasks!$D$10:$D$1941,$P1372))</x:f>
        <x:v>CSBBO - Customer Service</x:v>
      </x:c>
      <x:c r="E1372" s="86"/>
      <x:c r="F1372" s="86" t="str">
        <x:f>IF($P1372="","",INDEX(Tasks!$E$10:$E$1941,$P1372))</x:f>
        <x:v>Design &amp; Insights</x:v>
      </x:c>
      <x:c r="G1372" s="86"/>
      <x:c r="H1372" s="14" t="str">
        <x:f>IF($P1372="","",INDEX(Tasks!$F$10:$F$1941,$P1372)&amp;CHAR(10)&amp;INDEX(Tasks!$G$10:$G$1941,$P1372))</x:f>
        <x:v>DI.CS.1.3
Conduct high-level preliminary review of complaints within proposed topics</x:v>
      </x:c>
      <x:c r="I1372" s="14"/>
      <x:c r="J1372" s="14"/>
      <x:c r="K1372" s="14"/>
      <x:c r="L1372" s="86" t="str">
        <x:f>IF($P1372="","",INDEX(Tasks!$N$10:$N$1941,$P1372))</x:f>
        <x:v>Not started</x:v>
      </x:c>
      <x:c r="M1372" s="87" t="n">
        <x:f>IF($P1372="","",INDEX(Tasks!$J$10:$J$1941,$P1372))</x:f>
        <x:v>46295</x:v>
      </x:c>
      <x:c r="N1372" s="85" t="str">
        <x:f>IF($P1372="","",HYPERLINK("#'"&amp;INDEX(Tasks!$T$10:$T$1941,$P1372)&amp;"'!A"&amp;INDEX(Tasks!$U$10:$U$1941,$P1372),"Open"))</x:f>
        <x:v>Open</x:v>
      </x:c>
      <x:c r="O1372" s="14"/>
      <x:c r="P1372" s="14" t="n">
        <x:f>IF(1351&gt;$B$10,"",MATCH(1351,Tasks!$S$10:$S$1941,0))</x:f>
        <x:v>1715</x:v>
      </x:c>
    </x:row>
    <x:row r="1373" ht="58" customHeight="1">
      <x:c r="B1373" s="86" t="str">
        <x:f>IF($P1373="","",INDEX(Tasks!$B$10:$B$1941,$P1373))</x:f>
        <x:v>Cycle 3</x:v>
      </x:c>
      <x:c r="C1373" s="86" t="str">
        <x:f>IF($P1373="","",INDEX(Tasks!$C$10:$C$1941,$P1373))</x:f>
        <x:v>Phase 1</x:v>
      </x:c>
      <x:c r="D1373" s="86" t="str">
        <x:f>IF($P1373="","",INDEX(Tasks!$D$10:$D$1941,$P1373))</x:f>
        <x:v>CSBBO - Customer Service</x:v>
      </x:c>
      <x:c r="E1373" s="86"/>
      <x:c r="F1373" s="86" t="str">
        <x:f>IF($P1373="","",INDEX(Tasks!$E$10:$E$1941,$P1373))</x:f>
        <x:v>Design &amp; Insights</x:v>
      </x:c>
      <x:c r="G1373" s="86"/>
      <x:c r="H1373" s="14" t="str">
        <x:f>IF($P1373="","",INDEX(Tasks!$F$10:$F$1941,$P1373)&amp;CHAR(10)&amp;INDEX(Tasks!$G$10:$G$1941,$P1373))</x:f>
        <x:v>DI.CS.1.4
Meet with Research to discuss which topic to select based on potential impact</x:v>
      </x:c>
      <x:c r="I1373" s="14"/>
      <x:c r="J1373" s="14"/>
      <x:c r="K1373" s="14"/>
      <x:c r="L1373" s="86" t="str">
        <x:f>IF($P1373="","",INDEX(Tasks!$N$10:$N$1941,$P1373))</x:f>
        <x:v>Not started</x:v>
      </x:c>
      <x:c r="M1373" s="87" t="n">
        <x:f>IF($P1373="","",INDEX(Tasks!$J$10:$J$1941,$P1373))</x:f>
        <x:v>46295</x:v>
      </x:c>
      <x:c r="N1373" s="85" t="str">
        <x:f>IF($P1373="","",HYPERLINK("#'"&amp;INDEX(Tasks!$T$10:$T$1941,$P1373)&amp;"'!A"&amp;INDEX(Tasks!$U$10:$U$1941,$P1373),"Open"))</x:f>
        <x:v>Open</x:v>
      </x:c>
      <x:c r="O1373" s="14"/>
      <x:c r="P1373" s="14" t="n">
        <x:f>IF(1352&gt;$B$10,"",MATCH(1352,Tasks!$S$10:$S$1941,0))</x:f>
        <x:v>1716</x:v>
      </x:c>
    </x:row>
    <x:row r="1374" ht="58" customHeight="1">
      <x:c r="B1374" s="86" t="str">
        <x:f>IF($P1374="","",INDEX(Tasks!$B$10:$B$1941,$P1374))</x:f>
        <x:v>Cycle 3</x:v>
      </x:c>
      <x:c r="C1374" s="86" t="str">
        <x:f>IF($P1374="","",INDEX(Tasks!$C$10:$C$1941,$P1374))</x:f>
        <x:v>Phase 1</x:v>
      </x:c>
      <x:c r="D1374" s="86" t="str">
        <x:f>IF($P1374="","",INDEX(Tasks!$D$10:$D$1941,$P1374))</x:f>
        <x:v>CSBBO - Customer Service</x:v>
      </x:c>
      <x:c r="E1374" s="86"/>
      <x:c r="F1374" s="86" t="str">
        <x:f>IF($P1374="","",INDEX(Tasks!$E$10:$E$1941,$P1374))</x:f>
        <x:v>Design &amp; Insights</x:v>
      </x:c>
      <x:c r="G1374" s="86"/>
      <x:c r="H1374" s="14" t="str">
        <x:f>IF($P1374="","",INDEX(Tasks!$F$10:$F$1941,$P1374)&amp;CHAR(10)&amp;INDEX(Tasks!$G$10:$G$1941,$P1374))</x:f>
        <x:v>DI.CS.1.5
Confirm with Research the recommended topic for approval</x:v>
      </x:c>
      <x:c r="I1374" s="14"/>
      <x:c r="J1374" s="14"/>
      <x:c r="K1374" s="14"/>
      <x:c r="L1374" s="86" t="str">
        <x:f>IF($P1374="","",INDEX(Tasks!$N$10:$N$1941,$P1374))</x:f>
        <x:v>Not started</x:v>
      </x:c>
      <x:c r="M1374" s="87" t="n">
        <x:f>IF($P1374="","",INDEX(Tasks!$J$10:$J$1941,$P1374))</x:f>
        <x:v>46295</x:v>
      </x:c>
      <x:c r="N1374" s="85" t="str">
        <x:f>IF($P1374="","",HYPERLINK("#'"&amp;INDEX(Tasks!$T$10:$T$1941,$P1374)&amp;"'!A"&amp;INDEX(Tasks!$U$10:$U$1941,$P1374),"Open"))</x:f>
        <x:v>Open</x:v>
      </x:c>
      <x:c r="O1374" s="14"/>
      <x:c r="P1374" s="14" t="n">
        <x:f>IF(1353&gt;$B$10,"",MATCH(1353,Tasks!$S$10:$S$1941,0))</x:f>
        <x:v>1717</x:v>
      </x:c>
    </x:row>
    <x:row r="1375" ht="58" customHeight="1">
      <x:c r="B1375" s="86" t="str">
        <x:f>IF($P1375="","",INDEX(Tasks!$B$10:$B$1941,$P1375))</x:f>
        <x:v>Cycle 3</x:v>
      </x:c>
      <x:c r="C1375" s="86" t="str">
        <x:f>IF($P1375="","",INDEX(Tasks!$C$10:$C$1941,$P1375))</x:f>
        <x:v>Phase 1</x:v>
      </x:c>
      <x:c r="D1375" s="86" t="str">
        <x:f>IF($P1375="","",INDEX(Tasks!$D$10:$D$1941,$P1375))</x:f>
        <x:v>CSBBO - Customer Service</x:v>
      </x:c>
      <x:c r="E1375" s="86"/>
      <x:c r="F1375" s="86" t="str">
        <x:f>IF($P1375="","",INDEX(Tasks!$E$10:$E$1941,$P1375))</x:f>
        <x:v>Design &amp; Insights</x:v>
      </x:c>
      <x:c r="G1375" s="86"/>
      <x:c r="H1375" s="14" t="str">
        <x:f>IF($P1375="","",INDEX(Tasks!$F$10:$F$1941,$P1375)&amp;CHAR(10)&amp;INDEX(Tasks!$G$10:$G$1941,$P1375))</x:f>
        <x:v>DI.CS.1.6
Send topic selection socialization email to all key stakeholders on the first day of the review Cycle</x:v>
      </x:c>
      <x:c r="I1375" s="14"/>
      <x:c r="J1375" s="14"/>
      <x:c r="K1375" s="14"/>
      <x:c r="L1375" s="86" t="str">
        <x:f>IF($P1375="","",INDEX(Tasks!$N$10:$N$1941,$P1375))</x:f>
        <x:v>Not started</x:v>
      </x:c>
      <x:c r="M1375" s="87" t="n">
        <x:f>IF($P1375="","",INDEX(Tasks!$J$10:$J$1941,$P1375))</x:f>
        <x:v>46204</x:v>
      </x:c>
      <x:c r="N1375" s="85" t="str">
        <x:f>IF($P1375="","",HYPERLINK("#'"&amp;INDEX(Tasks!$T$10:$T$1941,$P1375)&amp;"'!A"&amp;INDEX(Tasks!$U$10:$U$1941,$P1375),"Open"))</x:f>
        <x:v>Open</x:v>
      </x:c>
      <x:c r="O1375" s="14"/>
      <x:c r="P1375" s="14" t="n">
        <x:f>IF(1354&gt;$B$10,"",MATCH(1354,Tasks!$S$10:$S$1941,0))</x:f>
        <x:v>1718</x:v>
      </x:c>
    </x:row>
    <x:row r="1376" ht="58" customHeight="1">
      <x:c r="B1376" s="86" t="str">
        <x:f>IF($P1376="","",INDEX(Tasks!$B$10:$B$1941,$P1376))</x:f>
        <x:v>Cycle 3</x:v>
      </x:c>
      <x:c r="C1376" s="86" t="str">
        <x:f>IF($P1376="","",INDEX(Tasks!$C$10:$C$1941,$P1376))</x:f>
        <x:v>Phase 2</x:v>
      </x:c>
      <x:c r="D1376" s="86" t="str">
        <x:f>IF($P1376="","",INDEX(Tasks!$D$10:$D$1941,$P1376))</x:f>
        <x:v>CSBBO - Customer Service</x:v>
      </x:c>
      <x:c r="E1376" s="86"/>
      <x:c r="F1376" s="86" t="str">
        <x:f>IF($P1376="","",INDEX(Tasks!$E$10:$E$1941,$P1376))</x:f>
        <x:v>Design &amp; Insights</x:v>
      </x:c>
      <x:c r="G1376" s="86"/>
      <x:c r="H1376" s="14" t="str">
        <x:f>IF($P1376="","",INDEX(Tasks!$F$10:$F$1941,$P1376)&amp;CHAR(10)&amp;INDEX(Tasks!$G$10:$G$1941,$P1376))</x:f>
        <x:v>DI.CS.2.1
Meet regularly with Research to stay informed on progress, findings, and potential enhancement</x:v>
      </x:c>
      <x:c r="I1376" s="14"/>
      <x:c r="J1376" s="14"/>
      <x:c r="K1376" s="14"/>
      <x:c r="L1376" s="86" t="str">
        <x:f>IF($P1376="","",INDEX(Tasks!$N$10:$N$1941,$P1376))</x:f>
        <x:v>Not started</x:v>
      </x:c>
      <x:c r="M1376" s="87" t="n">
        <x:f>IF($P1376="","",INDEX(Tasks!$J$10:$J$1941,$P1376))</x:f>
        <x:v>46295</x:v>
      </x:c>
      <x:c r="N1376" s="85" t="str">
        <x:f>IF($P1376="","",HYPERLINK("#'"&amp;INDEX(Tasks!$T$10:$T$1941,$P1376)&amp;"'!A"&amp;INDEX(Tasks!$U$10:$U$1941,$P1376),"Open"))</x:f>
        <x:v>Open</x:v>
      </x:c>
      <x:c r="O1376" s="14"/>
      <x:c r="P1376" s="14" t="n">
        <x:f>IF(1355&gt;$B$10,"",MATCH(1355,Tasks!$S$10:$S$1941,0))</x:f>
        <x:v>1719</x:v>
      </x:c>
    </x:row>
    <x:row r="1377" ht="58" customHeight="1">
      <x:c r="B1377" s="86" t="str">
        <x:f>IF($P1377="","",INDEX(Tasks!$B$10:$B$1941,$P1377))</x:f>
        <x:v>Cycle 3</x:v>
      </x:c>
      <x:c r="C1377" s="86" t="str">
        <x:f>IF($P1377="","",INDEX(Tasks!$C$10:$C$1941,$P1377))</x:f>
        <x:v>Phase 2</x:v>
      </x:c>
      <x:c r="D1377" s="86" t="str">
        <x:f>IF($P1377="","",INDEX(Tasks!$D$10:$D$1941,$P1377))</x:f>
        <x:v>CSBBO - Customer Service</x:v>
      </x:c>
      <x:c r="E1377" s="86"/>
      <x:c r="F1377" s="86" t="str">
        <x:f>IF($P1377="","",INDEX(Tasks!$E$10:$E$1941,$P1377))</x:f>
        <x:v>Design &amp; Insights</x:v>
      </x:c>
      <x:c r="G1377" s="86"/>
      <x:c r="H1377" s="14" t="str">
        <x:f>IF($P1377="","",INDEX(Tasks!$F$10:$F$1941,$P1377)&amp;CHAR(10)&amp;INDEX(Tasks!$G$10:$G$1941,$P1377))</x:f>
        <x:v>DI.CS.2.2
Collaborate with Research on research plan specifics</x:v>
      </x:c>
      <x:c r="I1377" s="14"/>
      <x:c r="J1377" s="14"/>
      <x:c r="K1377" s="14"/>
      <x:c r="L1377" s="86" t="str">
        <x:f>IF($P1377="","",INDEX(Tasks!$N$10:$N$1941,$P1377))</x:f>
        <x:v>Not started</x:v>
      </x:c>
      <x:c r="M1377" s="87" t="n">
        <x:f>IF($P1377="","",INDEX(Tasks!$J$10:$J$1941,$P1377))</x:f>
        <x:v>46295</x:v>
      </x:c>
      <x:c r="N1377" s="85" t="str">
        <x:f>IF($P1377="","",HYPERLINK("#'"&amp;INDEX(Tasks!$T$10:$T$1941,$P1377)&amp;"'!A"&amp;INDEX(Tasks!$U$10:$U$1941,$P1377),"Open"))</x:f>
        <x:v>Open</x:v>
      </x:c>
      <x:c r="O1377" s="14"/>
      <x:c r="P1377" s="14" t="n">
        <x:f>IF(1356&gt;$B$10,"",MATCH(1356,Tasks!$S$10:$S$1941,0))</x:f>
        <x:v>1720</x:v>
      </x:c>
    </x:row>
    <x:row r="1378" ht="58" customHeight="1">
      <x:c r="B1378" s="86" t="str">
        <x:f>IF($P1378="","",INDEX(Tasks!$B$10:$B$1941,$P1378))</x:f>
        <x:v>Cycle 3</x:v>
      </x:c>
      <x:c r="C1378" s="86" t="str">
        <x:f>IF($P1378="","",INDEX(Tasks!$C$10:$C$1941,$P1378))</x:f>
        <x:v>Phase 2</x:v>
      </x:c>
      <x:c r="D1378" s="86" t="str">
        <x:f>IF($P1378="","",INDEX(Tasks!$D$10:$D$1941,$P1378))</x:f>
        <x:v>CSBBO - Customer Service</x:v>
      </x:c>
      <x:c r="E1378" s="86"/>
      <x:c r="F1378" s="86" t="str">
        <x:f>IF($P1378="","",INDEX(Tasks!$E$10:$E$1941,$P1378))</x:f>
        <x:v>Design &amp; Insights</x:v>
      </x:c>
      <x:c r="G1378" s="86"/>
      <x:c r="H1378" s="14" t="str">
        <x:f>IF($P1378="","",INDEX(Tasks!$F$10:$F$1941,$P1378)&amp;CHAR(10)&amp;INDEX(Tasks!$G$10:$G$1941,$P1378))</x:f>
        <x:v>DI.CS.2.3
Participate in SME insight meetings to gain perspective and appetite on potential enhancements</x:v>
      </x:c>
      <x:c r="I1378" s="14"/>
      <x:c r="J1378" s="14"/>
      <x:c r="K1378" s="14"/>
      <x:c r="L1378" s="86" t="str">
        <x:f>IF($P1378="","",INDEX(Tasks!$N$10:$N$1941,$P1378))</x:f>
        <x:v>Not started</x:v>
      </x:c>
      <x:c r="M1378" s="87" t="n">
        <x:f>IF($P1378="","",INDEX(Tasks!$J$10:$J$1941,$P1378))</x:f>
        <x:v>46295</x:v>
      </x:c>
      <x:c r="N1378" s="85" t="str">
        <x:f>IF($P1378="","",HYPERLINK("#'"&amp;INDEX(Tasks!$T$10:$T$1941,$P1378)&amp;"'!A"&amp;INDEX(Tasks!$U$10:$U$1941,$P1378),"Open"))</x:f>
        <x:v>Open</x:v>
      </x:c>
      <x:c r="O1378" s="14"/>
      <x:c r="P1378" s="14" t="n">
        <x:f>IF(1357&gt;$B$10,"",MATCH(1357,Tasks!$S$10:$S$1941,0))</x:f>
        <x:v>1721</x:v>
      </x:c>
    </x:row>
    <x:row r="1379" ht="58" customHeight="1">
      <x:c r="B1379" s="86" t="str">
        <x:f>IF($P1379="","",INDEX(Tasks!$B$10:$B$1941,$P1379))</x:f>
        <x:v>Cycle 3</x:v>
      </x:c>
      <x:c r="C1379" s="86" t="str">
        <x:f>IF($P1379="","",INDEX(Tasks!$C$10:$C$1941,$P1379))</x:f>
        <x:v>Phase 2</x:v>
      </x:c>
      <x:c r="D1379" s="86" t="str">
        <x:f>IF($P1379="","",INDEX(Tasks!$D$10:$D$1941,$P1379))</x:f>
        <x:v>CSBBO - Customer Service</x:v>
      </x:c>
      <x:c r="E1379" s="86"/>
      <x:c r="F1379" s="86" t="str">
        <x:f>IF($P1379="","",INDEX(Tasks!$E$10:$E$1941,$P1379))</x:f>
        <x:v>Design &amp; Insights</x:v>
      </x:c>
      <x:c r="G1379" s="86"/>
      <x:c r="H1379" s="14" t="str">
        <x:f>IF($P1379="","",INDEX(Tasks!$F$10:$F$1941,$P1379)&amp;CHAR(10)&amp;INDEX(Tasks!$G$10:$G$1941,$P1379))</x:f>
        <x:v>DI.CS.2.4
Begin development of presentation materials as Research is being completed</x:v>
      </x:c>
      <x:c r="I1379" s="14"/>
      <x:c r="J1379" s="14"/>
      <x:c r="K1379" s="14"/>
      <x:c r="L1379" s="86" t="str">
        <x:f>IF($P1379="","",INDEX(Tasks!$N$10:$N$1941,$P1379))</x:f>
        <x:v>Not started</x:v>
      </x:c>
      <x:c r="M1379" s="87" t="n">
        <x:f>IF($P1379="","",INDEX(Tasks!$J$10:$J$1941,$P1379))</x:f>
        <x:v>46295</x:v>
      </x:c>
      <x:c r="N1379" s="85" t="str">
        <x:f>IF($P1379="","",HYPERLINK("#'"&amp;INDEX(Tasks!$T$10:$T$1941,$P1379)&amp;"'!A"&amp;INDEX(Tasks!$U$10:$U$1941,$P1379),"Open"))</x:f>
        <x:v>Open</x:v>
      </x:c>
      <x:c r="O1379" s="14"/>
      <x:c r="P1379" s="14" t="n">
        <x:f>IF(1358&gt;$B$10,"",MATCH(1358,Tasks!$S$10:$S$1941,0))</x:f>
        <x:v>1722</x:v>
      </x:c>
    </x:row>
    <x:row r="1380" ht="58" customHeight="1">
      <x:c r="B1380" s="86" t="str">
        <x:f>IF($P1380="","",INDEX(Tasks!$B$10:$B$1941,$P1380))</x:f>
        <x:v>Cycle 3</x:v>
      </x:c>
      <x:c r="C1380" s="86" t="str">
        <x:f>IF($P1380="","",INDEX(Tasks!$C$10:$C$1941,$P1380))</x:f>
        <x:v>Phase 2</x:v>
      </x:c>
      <x:c r="D1380" s="86" t="str">
        <x:f>IF($P1380="","",INDEX(Tasks!$D$10:$D$1941,$P1380))</x:f>
        <x:v>CSBBO - Customer Service</x:v>
      </x:c>
      <x:c r="E1380" s="86"/>
      <x:c r="F1380" s="86" t="str">
        <x:f>IF($P1380="","",INDEX(Tasks!$E$10:$E$1941,$P1380))</x:f>
        <x:v>Design &amp; Insights</x:v>
      </x:c>
      <x:c r="G1380" s="86"/>
      <x:c r="H1380" s="14" t="str">
        <x:f>IF($P1380="","",INDEX(Tasks!$F$10:$F$1941,$P1380)&amp;CHAR(10)&amp;INDEX(Tasks!$G$10:$G$1941,$P1380))</x:f>
        <x:v>DI.CS.2.5
Draft initial enhancement recommendations (as applicable)</x:v>
      </x:c>
      <x:c r="I1380" s="14"/>
      <x:c r="J1380" s="14"/>
      <x:c r="K1380" s="14"/>
      <x:c r="L1380" s="86" t="str">
        <x:f>IF($P1380="","",INDEX(Tasks!$N$10:$N$1941,$P1380))</x:f>
        <x:v>Not started</x:v>
      </x:c>
      <x:c r="M1380" s="87" t="n">
        <x:f>IF($P1380="","",INDEX(Tasks!$J$10:$J$1941,$P1380))</x:f>
        <x:v>46295</x:v>
      </x:c>
      <x:c r="N1380" s="85" t="str">
        <x:f>IF($P1380="","",HYPERLINK("#'"&amp;INDEX(Tasks!$T$10:$T$1941,$P1380)&amp;"'!A"&amp;INDEX(Tasks!$U$10:$U$1941,$P1380),"Open"))</x:f>
        <x:v>Open</x:v>
      </x:c>
      <x:c r="O1380" s="14"/>
      <x:c r="P1380" s="14" t="n">
        <x:f>IF(1359&gt;$B$10,"",MATCH(1359,Tasks!$S$10:$S$1941,0))</x:f>
        <x:v>1723</x:v>
      </x:c>
    </x:row>
    <x:row r="1381" ht="58" customHeight="1">
      <x:c r="B1381" s="86" t="str">
        <x:f>IF($P1381="","",INDEX(Tasks!$B$10:$B$1941,$P1381))</x:f>
        <x:v>Cycle 3</x:v>
      </x:c>
      <x:c r="C1381" s="86" t="str">
        <x:f>IF($P1381="","",INDEX(Tasks!$C$10:$C$1941,$P1381))</x:f>
        <x:v>Phase 2</x:v>
      </x:c>
      <x:c r="D1381" s="86" t="str">
        <x:f>IF($P1381="","",INDEX(Tasks!$D$10:$D$1941,$P1381))</x:f>
        <x:v>CSBBO - Customer Service</x:v>
      </x:c>
      <x:c r="E1381" s="86"/>
      <x:c r="F1381" s="86" t="str">
        <x:f>IF($P1381="","",INDEX(Tasks!$E$10:$E$1941,$P1381))</x:f>
        <x:v>Design &amp; Insights</x:v>
      </x:c>
      <x:c r="G1381" s="86"/>
      <x:c r="H1381" s="14" t="str">
        <x:f>IF($P1381="","",INDEX(Tasks!$F$10:$F$1941,$P1381)&amp;CHAR(10)&amp;INDEX(Tasks!$G$10:$G$1941,$P1381))</x:f>
        <x:v>DI.CS.2.6
Finalize presentation deck draft at conclusion of Research phase</x:v>
      </x:c>
      <x:c r="I1381" s="14"/>
      <x:c r="J1381" s="14"/>
      <x:c r="K1381" s="14"/>
      <x:c r="L1381" s="86" t="str">
        <x:f>IF($P1381="","",INDEX(Tasks!$N$10:$N$1941,$P1381))</x:f>
        <x:v>Not started</x:v>
      </x:c>
      <x:c r="M1381" s="87" t="n">
        <x:f>IF($P1381="","",INDEX(Tasks!$J$10:$J$1941,$P1381))</x:f>
        <x:v>46295</x:v>
      </x:c>
      <x:c r="N1381" s="85" t="str">
        <x:f>IF($P1381="","",HYPERLINK("#'"&amp;INDEX(Tasks!$T$10:$T$1941,$P1381)&amp;"'!A"&amp;INDEX(Tasks!$U$10:$U$1941,$P1381),"Open"))</x:f>
        <x:v>Open</x:v>
      </x:c>
      <x:c r="O1381" s="14"/>
      <x:c r="P1381" s="14" t="n">
        <x:f>IF(1360&gt;$B$10,"",MATCH(1360,Tasks!$S$10:$S$1941,0))</x:f>
        <x:v>1724</x:v>
      </x:c>
    </x:row>
    <x:row r="1382" ht="58" customHeight="1">
      <x:c r="B1382" s="86" t="str">
        <x:f>IF($P1382="","",INDEX(Tasks!$B$10:$B$1941,$P1382))</x:f>
        <x:v>Cycle 3</x:v>
      </x:c>
      <x:c r="C1382" s="86" t="str">
        <x:f>IF($P1382="","",INDEX(Tasks!$C$10:$C$1941,$P1382))</x:f>
        <x:v>Phase 2</x:v>
      </x:c>
      <x:c r="D1382" s="86" t="str">
        <x:f>IF($P1382="","",INDEX(Tasks!$D$10:$D$1941,$P1382))</x:f>
        <x:v>CSBBO - Customer Service</x:v>
      </x:c>
      <x:c r="E1382" s="86"/>
      <x:c r="F1382" s="86" t="str">
        <x:f>IF($P1382="","",INDEX(Tasks!$E$10:$E$1941,$P1382))</x:f>
        <x:v>Design &amp; Insights</x:v>
      </x:c>
      <x:c r="G1382" s="86"/>
      <x:c r="H1382" s="14" t="str">
        <x:f>IF($P1382="","",INDEX(Tasks!$F$10:$F$1941,$P1382)&amp;CHAR(10)&amp;INDEX(Tasks!$G$10:$G$1941,$P1382))</x:f>
        <x:v>DI.CS.2.7
Update Outcome portion of research plan with current enhancement verbiage (as needed)</x:v>
      </x:c>
      <x:c r="I1382" s="14"/>
      <x:c r="J1382" s="14"/>
      <x:c r="K1382" s="14"/>
      <x:c r="L1382" s="86" t="str">
        <x:f>IF($P1382="","",INDEX(Tasks!$N$10:$N$1941,$P1382))</x:f>
        <x:v>Not started</x:v>
      </x:c>
      <x:c r="M1382" s="87" t="n">
        <x:f>IF($P1382="","",INDEX(Tasks!$J$10:$J$1941,$P1382))</x:f>
        <x:v>46295</x:v>
      </x:c>
      <x:c r="N1382" s="85" t="str">
        <x:f>IF($P1382="","",HYPERLINK("#'"&amp;INDEX(Tasks!$T$10:$T$1941,$P1382)&amp;"'!A"&amp;INDEX(Tasks!$U$10:$U$1941,$P1382),"Open"))</x:f>
        <x:v>Open</x:v>
      </x:c>
      <x:c r="O1382" s="14"/>
      <x:c r="P1382" s="14" t="n">
        <x:f>IF(1361&gt;$B$10,"",MATCH(1361,Tasks!$S$10:$S$1941,0))</x:f>
        <x:v>1725</x:v>
      </x:c>
    </x:row>
    <x:row r="1383" ht="58" customHeight="1">
      <x:c r="B1383" s="86" t="str">
        <x:f>IF($P1383="","",INDEX(Tasks!$B$10:$B$1941,$P1383))</x:f>
        <x:v>Cycle 3</x:v>
      </x:c>
      <x:c r="C1383" s="86" t="str">
        <x:f>IF($P1383="","",INDEX(Tasks!$C$10:$C$1941,$P1383))</x:f>
        <x:v>Phase 3</x:v>
      </x:c>
      <x:c r="D1383" s="86" t="str">
        <x:f>IF($P1383="","",INDEX(Tasks!$D$10:$D$1941,$P1383))</x:f>
        <x:v>CSBBO - Customer Service</x:v>
      </x:c>
      <x:c r="E1383" s="86"/>
      <x:c r="F1383" s="86" t="str">
        <x:f>IF($P1383="","",INDEX(Tasks!$E$10:$E$1941,$P1383))</x:f>
        <x:v>Design &amp; Insights</x:v>
      </x:c>
      <x:c r="G1383" s="86"/>
      <x:c r="H1383" s="14" t="str">
        <x:f>IF($P1383="","",INDEX(Tasks!$F$10:$F$1941,$P1383)&amp;CHAR(10)&amp;INDEX(Tasks!$G$10:$G$1941,$P1383))</x:f>
        <x:v>DI.CS.3.1
Confirm list of required &amp; optional attendees for pre-socialization meeting</x:v>
      </x:c>
      <x:c r="I1383" s="14"/>
      <x:c r="J1383" s="14"/>
      <x:c r="K1383" s="14"/>
      <x:c r="L1383" s="86" t="str">
        <x:f>IF($P1383="","",INDEX(Tasks!$N$10:$N$1941,$P1383))</x:f>
        <x:v>Not started</x:v>
      </x:c>
      <x:c r="M1383" s="87" t="n">
        <x:f>IF($P1383="","",INDEX(Tasks!$J$10:$J$1941,$P1383))</x:f>
        <x:v>46295</x:v>
      </x:c>
      <x:c r="N1383" s="85" t="str">
        <x:f>IF($P1383="","",HYPERLINK("#'"&amp;INDEX(Tasks!$T$10:$T$1941,$P1383)&amp;"'!A"&amp;INDEX(Tasks!$U$10:$U$1941,$P1383),"Open"))</x:f>
        <x:v>Open</x:v>
      </x:c>
      <x:c r="O1383" s="14"/>
      <x:c r="P1383" s="14" t="n">
        <x:f>IF(1362&gt;$B$10,"",MATCH(1362,Tasks!$S$10:$S$1941,0))</x:f>
        <x:v>1726</x:v>
      </x:c>
    </x:row>
    <x:row r="1384" ht="58" customHeight="1">
      <x:c r="B1384" s="86" t="str">
        <x:f>IF($P1384="","",INDEX(Tasks!$B$10:$B$1941,$P1384))</x:f>
        <x:v>Cycle 3</x:v>
      </x:c>
      <x:c r="C1384" s="86" t="str">
        <x:f>IF($P1384="","",INDEX(Tasks!$C$10:$C$1941,$P1384))</x:f>
        <x:v>Phase 3</x:v>
      </x:c>
      <x:c r="D1384" s="86" t="str">
        <x:f>IF($P1384="","",INDEX(Tasks!$D$10:$D$1941,$P1384))</x:f>
        <x:v>CSBBO - Customer Service</x:v>
      </x:c>
      <x:c r="E1384" s="86"/>
      <x:c r="F1384" s="86" t="str">
        <x:f>IF($P1384="","",INDEX(Tasks!$E$10:$E$1941,$P1384))</x:f>
        <x:v>Design &amp; Insights</x:v>
      </x:c>
      <x:c r="G1384" s="86"/>
      <x:c r="H1384" s="14" t="str">
        <x:f>IF($P1384="","",INDEX(Tasks!$F$10:$F$1941,$P1384)&amp;CHAR(10)&amp;INDEX(Tasks!$G$10:$G$1941,$P1384))</x:f>
        <x:v>DI.CS.3.2
Schedule pre-socialization meeting 1 week prior to RCA Forum</x:v>
      </x:c>
      <x:c r="I1384" s="14"/>
      <x:c r="J1384" s="14"/>
      <x:c r="K1384" s="14"/>
      <x:c r="L1384" s="86" t="str">
        <x:f>IF($P1384="","",INDEX(Tasks!$N$10:$N$1941,$P1384))</x:f>
        <x:v>Not started</x:v>
      </x:c>
      <x:c r="M1384" s="87" t="str">
        <x:f>IF($P1384="","",INDEX(Tasks!$J$10:$J$1941,$P1384))</x:f>
      </x:c>
      <x:c r="N1384" s="85" t="str">
        <x:f>IF($P1384="","",HYPERLINK("#'"&amp;INDEX(Tasks!$T$10:$T$1941,$P1384)&amp;"'!A"&amp;INDEX(Tasks!$U$10:$U$1941,$P1384),"Open"))</x:f>
        <x:v>Open</x:v>
      </x:c>
      <x:c r="O1384" s="14"/>
      <x:c r="P1384" s="14" t="n">
        <x:f>IF(1363&gt;$B$10,"",MATCH(1363,Tasks!$S$10:$S$1941,0))</x:f>
        <x:v>1727</x:v>
      </x:c>
    </x:row>
    <x:row r="1385" ht="58" customHeight="1">
      <x:c r="B1385" s="86" t="str">
        <x:f>IF($P1385="","",INDEX(Tasks!$B$10:$B$1941,$P1385))</x:f>
        <x:v>Cycle 3</x:v>
      </x:c>
      <x:c r="C1385" s="86" t="str">
        <x:f>IF($P1385="","",INDEX(Tasks!$C$10:$C$1941,$P1385))</x:f>
        <x:v>Phase 3</x:v>
      </x:c>
      <x:c r="D1385" s="86" t="str">
        <x:f>IF($P1385="","",INDEX(Tasks!$D$10:$D$1941,$P1385))</x:f>
        <x:v>CSBBO - Customer Service</x:v>
      </x:c>
      <x:c r="E1385" s="86"/>
      <x:c r="F1385" s="86" t="str">
        <x:f>IF($P1385="","",INDEX(Tasks!$E$10:$E$1941,$P1385))</x:f>
        <x:v>Design &amp; Insights</x:v>
      </x:c>
      <x:c r="G1385" s="86"/>
      <x:c r="H1385" s="14" t="str">
        <x:f>IF($P1385="","",INDEX(Tasks!$F$10:$F$1941,$P1385)&amp;CHAR(10)&amp;INDEX(Tasks!$G$10:$G$1941,$P1385))</x:f>
        <x:v>DI.CS.3.3
Present findings, conclusions, and recommendation to SMEs</x:v>
      </x:c>
      <x:c r="I1385" s="14"/>
      <x:c r="J1385" s="14"/>
      <x:c r="K1385" s="14"/>
      <x:c r="L1385" s="86" t="str">
        <x:f>IF($P1385="","",INDEX(Tasks!$N$10:$N$1941,$P1385))</x:f>
        <x:v>Not started</x:v>
      </x:c>
      <x:c r="M1385" s="87" t="n">
        <x:f>IF($P1385="","",INDEX(Tasks!$J$10:$J$1941,$P1385))</x:f>
        <x:v>46295</x:v>
      </x:c>
      <x:c r="N1385" s="85" t="str">
        <x:f>IF($P1385="","",HYPERLINK("#'"&amp;INDEX(Tasks!$T$10:$T$1941,$P1385)&amp;"'!A"&amp;INDEX(Tasks!$U$10:$U$1941,$P1385),"Open"))</x:f>
        <x:v>Open</x:v>
      </x:c>
      <x:c r="O1385" s="14"/>
      <x:c r="P1385" s="14" t="n">
        <x:f>IF(1364&gt;$B$10,"",MATCH(1364,Tasks!$S$10:$S$1941,0))</x:f>
        <x:v>1728</x:v>
      </x:c>
    </x:row>
    <x:row r="1386" ht="58" customHeight="1">
      <x:c r="B1386" s="86" t="str">
        <x:f>IF($P1386="","",INDEX(Tasks!$B$10:$B$1941,$P1386))</x:f>
        <x:v>Cycle 3</x:v>
      </x:c>
      <x:c r="C1386" s="86" t="str">
        <x:f>IF($P1386="","",INDEX(Tasks!$C$10:$C$1941,$P1386))</x:f>
        <x:v>Phase 3</x:v>
      </x:c>
      <x:c r="D1386" s="86" t="str">
        <x:f>IF($P1386="","",INDEX(Tasks!$D$10:$D$1941,$P1386))</x:f>
        <x:v>CSBBO - Customer Service</x:v>
      </x:c>
      <x:c r="E1386" s="86"/>
      <x:c r="F1386" s="86" t="str">
        <x:f>IF($P1386="","",INDEX(Tasks!$E$10:$E$1941,$P1386))</x:f>
        <x:v>Design &amp; Insights</x:v>
      </x:c>
      <x:c r="G1386" s="86"/>
      <x:c r="H1386" s="14" t="str">
        <x:f>IF($P1386="","",INDEX(Tasks!$F$10:$F$1941,$P1386)&amp;CHAR(10)&amp;INDEX(Tasks!$G$10:$G$1941,$P1386))</x:f>
        <x:v>DI.CS.3.4
Update Outcome portion of research plan (as needed)</x:v>
      </x:c>
      <x:c r="I1386" s="14"/>
      <x:c r="J1386" s="14"/>
      <x:c r="K1386" s="14"/>
      <x:c r="L1386" s="86" t="str">
        <x:f>IF($P1386="","",INDEX(Tasks!$N$10:$N$1941,$P1386))</x:f>
        <x:v>Not started</x:v>
      </x:c>
      <x:c r="M1386" s="87" t="n">
        <x:f>IF($P1386="","",INDEX(Tasks!$J$10:$J$1941,$P1386))</x:f>
        <x:v>46295</x:v>
      </x:c>
      <x:c r="N1386" s="85" t="str">
        <x:f>IF($P1386="","",HYPERLINK("#'"&amp;INDEX(Tasks!$T$10:$T$1941,$P1386)&amp;"'!A"&amp;INDEX(Tasks!$U$10:$U$1941,$P1386),"Open"))</x:f>
        <x:v>Open</x:v>
      </x:c>
      <x:c r="O1386" s="14"/>
      <x:c r="P1386" s="14" t="n">
        <x:f>IF(1365&gt;$B$10,"",MATCH(1365,Tasks!$S$10:$S$1941,0))</x:f>
        <x:v>1729</x:v>
      </x:c>
    </x:row>
    <x:row r="1387" ht="58" customHeight="1">
      <x:c r="B1387" s="86" t="str">
        <x:f>IF($P1387="","",INDEX(Tasks!$B$10:$B$1941,$P1387))</x:f>
        <x:v>Cycle 3</x:v>
      </x:c>
      <x:c r="C1387" s="86" t="str">
        <x:f>IF($P1387="","",INDEX(Tasks!$C$10:$C$1941,$P1387))</x:f>
        <x:v>Phase 3</x:v>
      </x:c>
      <x:c r="D1387" s="86" t="str">
        <x:f>IF($P1387="","",INDEX(Tasks!$D$10:$D$1941,$P1387))</x:f>
        <x:v>CSBBO - Customer Service</x:v>
      </x:c>
      <x:c r="E1387" s="86"/>
      <x:c r="F1387" s="86" t="str">
        <x:f>IF($P1387="","",INDEX(Tasks!$E$10:$E$1941,$P1387))</x:f>
        <x:v>Design &amp; Insights</x:v>
      </x:c>
      <x:c r="G1387" s="86"/>
      <x:c r="H1387" s="14" t="str">
        <x:f>IF($P1387="","",INDEX(Tasks!$F$10:$F$1941,$P1387)&amp;CHAR(10)&amp;INDEX(Tasks!$G$10:$G$1941,$P1387))</x:f>
        <x:v>DI.CS.3.5
Finalize presentation deck by incorporating pre-socialization feedback (as needed)</x:v>
      </x:c>
      <x:c r="I1387" s="14"/>
      <x:c r="J1387" s="14"/>
      <x:c r="K1387" s="14"/>
      <x:c r="L1387" s="86" t="str">
        <x:f>IF($P1387="","",INDEX(Tasks!$N$10:$N$1941,$P1387))</x:f>
        <x:v>Not started</x:v>
      </x:c>
      <x:c r="M1387" s="87" t="n">
        <x:f>IF($P1387="","",INDEX(Tasks!$J$10:$J$1941,$P1387))</x:f>
        <x:v>46295</x:v>
      </x:c>
      <x:c r="N1387" s="85" t="str">
        <x:f>IF($P1387="","",HYPERLINK("#'"&amp;INDEX(Tasks!$T$10:$T$1941,$P1387)&amp;"'!A"&amp;INDEX(Tasks!$U$10:$U$1941,$P1387),"Open"))</x:f>
        <x:v>Open</x:v>
      </x:c>
      <x:c r="O1387" s="14"/>
      <x:c r="P1387" s="14" t="n">
        <x:f>IF(1366&gt;$B$10,"",MATCH(1366,Tasks!$S$10:$S$1941,0))</x:f>
        <x:v>1730</x:v>
      </x:c>
    </x:row>
    <x:row r="1388" ht="58" customHeight="1">
      <x:c r="B1388" s="86" t="str">
        <x:f>IF($P1388="","",INDEX(Tasks!$B$10:$B$1941,$P1388))</x:f>
        <x:v>Cycle 3</x:v>
      </x:c>
      <x:c r="C1388" s="86" t="str">
        <x:f>IF($P1388="","",INDEX(Tasks!$C$10:$C$1941,$P1388))</x:f>
        <x:v>Phase 3</x:v>
      </x:c>
      <x:c r="D1388" s="86" t="str">
        <x:f>IF($P1388="","",INDEX(Tasks!$D$10:$D$1941,$P1388))</x:f>
        <x:v>CSBBO - Customer Service</x:v>
      </x:c>
      <x:c r="E1388" s="86"/>
      <x:c r="F1388" s="86" t="str">
        <x:f>IF($P1388="","",INDEX(Tasks!$E$10:$E$1941,$P1388))</x:f>
        <x:v>Design &amp; Insights</x:v>
      </x:c>
      <x:c r="G1388" s="86"/>
      <x:c r="H1388" s="14" t="str">
        <x:f>IF($P1388="","",INDEX(Tasks!$F$10:$F$1941,$P1388)&amp;CHAR(10)&amp;INDEX(Tasks!$G$10:$G$1941,$P1388))</x:f>
        <x:v>DI.CS.3.6
Ensure final deck is communicated to Forum attendees</x:v>
      </x:c>
      <x:c r="I1388" s="14"/>
      <x:c r="J1388" s="14"/>
      <x:c r="K1388" s="14"/>
      <x:c r="L1388" s="86" t="str">
        <x:f>IF($P1388="","",INDEX(Tasks!$N$10:$N$1941,$P1388))</x:f>
        <x:v>Not started</x:v>
      </x:c>
      <x:c r="M1388" s="87" t="n">
        <x:f>IF($P1388="","",INDEX(Tasks!$J$10:$J$1941,$P1388))</x:f>
        <x:v>46295</x:v>
      </x:c>
      <x:c r="N1388" s="85" t="str">
        <x:f>IF($P1388="","",HYPERLINK("#'"&amp;INDEX(Tasks!$T$10:$T$1941,$P1388)&amp;"'!A"&amp;INDEX(Tasks!$U$10:$U$1941,$P1388),"Open"))</x:f>
        <x:v>Open</x:v>
      </x:c>
      <x:c r="O1388" s="14"/>
      <x:c r="P1388" s="14" t="n">
        <x:f>IF(1367&gt;$B$10,"",MATCH(1367,Tasks!$S$10:$S$1941,0))</x:f>
        <x:v>1731</x:v>
      </x:c>
    </x:row>
    <x:row r="1389" ht="58" customHeight="1">
      <x:c r="B1389" s="86" t="str">
        <x:f>IF($P1389="","",INDEX(Tasks!$B$10:$B$1941,$P1389))</x:f>
        <x:v>Cycle 3</x:v>
      </x:c>
      <x:c r="C1389" s="86" t="str">
        <x:f>IF($P1389="","",INDEX(Tasks!$C$10:$C$1941,$P1389))</x:f>
        <x:v>Phase 3</x:v>
      </x:c>
      <x:c r="D1389" s="86" t="str">
        <x:f>IF($P1389="","",INDEX(Tasks!$D$10:$D$1941,$P1389))</x:f>
        <x:v>CSBBO - Customer Service</x:v>
      </x:c>
      <x:c r="E1389" s="86"/>
      <x:c r="F1389" s="86" t="str">
        <x:f>IF($P1389="","",INDEX(Tasks!$E$10:$E$1941,$P1389))</x:f>
        <x:v>Design &amp; Insights</x:v>
      </x:c>
      <x:c r="G1389" s="86"/>
      <x:c r="H1389" s="14" t="str">
        <x:f>IF($P1389="","",INDEX(Tasks!$F$10:$F$1941,$P1389)&amp;CHAR(10)&amp;INDEX(Tasks!$G$10:$G$1941,$P1389))</x:f>
        <x:v>DI.CS.3.7
Present material in RCA Cycle Forum</x:v>
      </x:c>
      <x:c r="I1389" s="14"/>
      <x:c r="J1389" s="14"/>
      <x:c r="K1389" s="14"/>
      <x:c r="L1389" s="86" t="str">
        <x:f>IF($P1389="","",INDEX(Tasks!$N$10:$N$1941,$P1389))</x:f>
        <x:v>Not started</x:v>
      </x:c>
      <x:c r="M1389" s="87" t="str">
        <x:f>IF($P1389="","",INDEX(Tasks!$J$10:$J$1941,$P1389))</x:f>
      </x:c>
      <x:c r="N1389" s="85" t="str">
        <x:f>IF($P1389="","",HYPERLINK("#'"&amp;INDEX(Tasks!$T$10:$T$1941,$P1389)&amp;"'!A"&amp;INDEX(Tasks!$U$10:$U$1941,$P1389),"Open"))</x:f>
        <x:v>Open</x:v>
      </x:c>
      <x:c r="O1389" s="14"/>
      <x:c r="P1389" s="14" t="n">
        <x:f>IF(1368&gt;$B$10,"",MATCH(1368,Tasks!$S$10:$S$1941,0))</x:f>
        <x:v>1732</x:v>
      </x:c>
    </x:row>
    <x:row r="1390" ht="58" customHeight="1">
      <x:c r="B1390" s="86" t="str">
        <x:f>IF($P1390="","",INDEX(Tasks!$B$10:$B$1941,$P1390))</x:f>
        <x:v>Cycle 3</x:v>
      </x:c>
      <x:c r="C1390" s="86" t="str">
        <x:f>IF($P1390="","",INDEX(Tasks!$C$10:$C$1941,$P1390))</x:f>
        <x:v>Phase 1</x:v>
      </x:c>
      <x:c r="D1390" s="86" t="str">
        <x:f>IF($P1390="","",INDEX(Tasks!$D$10:$D$1941,$P1390))</x:f>
        <x:v>FCM</x:v>
      </x:c>
      <x:c r="E1390" s="86"/>
      <x:c r="F1390" s="86" t="str">
        <x:f>IF($P1390="","",INDEX(Tasks!$E$10:$E$1941,$P1390))</x:f>
        <x:v>Design &amp; Insights</x:v>
      </x:c>
      <x:c r="G1390" s="86"/>
      <x:c r="H1390" s="14" t="str">
        <x:f>IF($P1390="","",INDEX(Tasks!$F$10:$F$1941,$P1390)&amp;CHAR(10)&amp;INDEX(Tasks!$G$10:$G$1941,$P1390))</x:f>
        <x:v>DI.FC.1.1
Receive and review potential research topics at least 2 weeks prior to Cycle start date</x:v>
      </x:c>
      <x:c r="I1390" s="14"/>
      <x:c r="J1390" s="14"/>
      <x:c r="K1390" s="14"/>
      <x:c r="L1390" s="86" t="str">
        <x:f>IF($P1390="","",INDEX(Tasks!$N$10:$N$1941,$P1390))</x:f>
        <x:v>Not started</x:v>
      </x:c>
      <x:c r="M1390" s="87" t="n">
        <x:f>IF($P1390="","",INDEX(Tasks!$J$10:$J$1941,$P1390))</x:f>
        <x:v>46190</x:v>
      </x:c>
      <x:c r="N1390" s="85" t="str">
        <x:f>IF($P1390="","",HYPERLINK("#'"&amp;INDEX(Tasks!$T$10:$T$1941,$P1390)&amp;"'!A"&amp;INDEX(Tasks!$U$10:$U$1941,$P1390),"Open"))</x:f>
        <x:v>Open</x:v>
      </x:c>
      <x:c r="O1390" s="14"/>
      <x:c r="P1390" s="14" t="n">
        <x:f>IF(1369&gt;$B$10,"",MATCH(1369,Tasks!$S$10:$S$1941,0))</x:f>
        <x:v>1733</x:v>
      </x:c>
    </x:row>
    <x:row r="1391" ht="58" customHeight="1">
      <x:c r="B1391" s="86" t="str">
        <x:f>IF($P1391="","",INDEX(Tasks!$B$10:$B$1941,$P1391))</x:f>
        <x:v>Cycle 3</x:v>
      </x:c>
      <x:c r="C1391" s="86" t="str">
        <x:f>IF($P1391="","",INDEX(Tasks!$C$10:$C$1941,$P1391))</x:f>
        <x:v>Phase 1</x:v>
      </x:c>
      <x:c r="D1391" s="86" t="str">
        <x:f>IF($P1391="","",INDEX(Tasks!$D$10:$D$1941,$P1391))</x:f>
        <x:v>FCM</x:v>
      </x:c>
      <x:c r="E1391" s="86"/>
      <x:c r="F1391" s="86" t="str">
        <x:f>IF($P1391="","",INDEX(Tasks!$E$10:$E$1941,$P1391))</x:f>
        <x:v>Design &amp; Insights</x:v>
      </x:c>
      <x:c r="G1391" s="86"/>
      <x:c r="H1391" s="14" t="str">
        <x:f>IF($P1391="","",INDEX(Tasks!$F$10:$F$1941,$P1391)&amp;CHAR(10)&amp;INDEX(Tasks!$G$10:$G$1941,$P1391))</x:f>
        <x:v>DI.FC.1.2
Communicate any feedback on preferences or concerns with topics identified</x:v>
      </x:c>
      <x:c r="I1391" s="14"/>
      <x:c r="J1391" s="14"/>
      <x:c r="K1391" s="14"/>
      <x:c r="L1391" s="86" t="str">
        <x:f>IF($P1391="","",INDEX(Tasks!$N$10:$N$1941,$P1391))</x:f>
        <x:v>Not started</x:v>
      </x:c>
      <x:c r="M1391" s="87" t="n">
        <x:f>IF($P1391="","",INDEX(Tasks!$J$10:$J$1941,$P1391))</x:f>
        <x:v>46295</x:v>
      </x:c>
      <x:c r="N1391" s="85" t="str">
        <x:f>IF($P1391="","",HYPERLINK("#'"&amp;INDEX(Tasks!$T$10:$T$1941,$P1391)&amp;"'!A"&amp;INDEX(Tasks!$U$10:$U$1941,$P1391),"Open"))</x:f>
        <x:v>Open</x:v>
      </x:c>
      <x:c r="O1391" s="14"/>
      <x:c r="P1391" s="14" t="n">
        <x:f>IF(1370&gt;$B$10,"",MATCH(1370,Tasks!$S$10:$S$1941,0))</x:f>
        <x:v>1734</x:v>
      </x:c>
    </x:row>
    <x:row r="1392" ht="58" customHeight="1">
      <x:c r="B1392" s="86" t="str">
        <x:f>IF($P1392="","",INDEX(Tasks!$B$10:$B$1941,$P1392))</x:f>
        <x:v>Cycle 3</x:v>
      </x:c>
      <x:c r="C1392" s="86" t="str">
        <x:f>IF($P1392="","",INDEX(Tasks!$C$10:$C$1941,$P1392))</x:f>
        <x:v>Phase 1</x:v>
      </x:c>
      <x:c r="D1392" s="86" t="str">
        <x:f>IF($P1392="","",INDEX(Tasks!$D$10:$D$1941,$P1392))</x:f>
        <x:v>FCM</x:v>
      </x:c>
      <x:c r="E1392" s="86"/>
      <x:c r="F1392" s="86" t="str">
        <x:f>IF($P1392="","",INDEX(Tasks!$E$10:$E$1941,$P1392))</x:f>
        <x:v>Design &amp; Insights</x:v>
      </x:c>
      <x:c r="G1392" s="86"/>
      <x:c r="H1392" s="14" t="str">
        <x:f>IF($P1392="","",INDEX(Tasks!$F$10:$F$1941,$P1392)&amp;CHAR(10)&amp;INDEX(Tasks!$G$10:$G$1941,$P1392))</x:f>
        <x:v>DI.FC.1.3
Conduct high-level preliminary review of complaints within proposed topics</x:v>
      </x:c>
      <x:c r="I1392" s="14"/>
      <x:c r="J1392" s="14"/>
      <x:c r="K1392" s="14"/>
      <x:c r="L1392" s="86" t="str">
        <x:f>IF($P1392="","",INDEX(Tasks!$N$10:$N$1941,$P1392))</x:f>
        <x:v>Not started</x:v>
      </x:c>
      <x:c r="M1392" s="87" t="n">
        <x:f>IF($P1392="","",INDEX(Tasks!$J$10:$J$1941,$P1392))</x:f>
        <x:v>46295</x:v>
      </x:c>
      <x:c r="N1392" s="85" t="str">
        <x:f>IF($P1392="","",HYPERLINK("#'"&amp;INDEX(Tasks!$T$10:$T$1941,$P1392)&amp;"'!A"&amp;INDEX(Tasks!$U$10:$U$1941,$P1392),"Open"))</x:f>
        <x:v>Open</x:v>
      </x:c>
      <x:c r="O1392" s="14"/>
      <x:c r="P1392" s="14" t="n">
        <x:f>IF(1371&gt;$B$10,"",MATCH(1371,Tasks!$S$10:$S$1941,0))</x:f>
        <x:v>1735</x:v>
      </x:c>
    </x:row>
    <x:row r="1393" ht="58" customHeight="1">
      <x:c r="B1393" s="86" t="str">
        <x:f>IF($P1393="","",INDEX(Tasks!$B$10:$B$1941,$P1393))</x:f>
        <x:v>Cycle 3</x:v>
      </x:c>
      <x:c r="C1393" s="86" t="str">
        <x:f>IF($P1393="","",INDEX(Tasks!$C$10:$C$1941,$P1393))</x:f>
        <x:v>Phase 1</x:v>
      </x:c>
      <x:c r="D1393" s="86" t="str">
        <x:f>IF($P1393="","",INDEX(Tasks!$D$10:$D$1941,$P1393))</x:f>
        <x:v>FCM</x:v>
      </x:c>
      <x:c r="E1393" s="86"/>
      <x:c r="F1393" s="86" t="str">
        <x:f>IF($P1393="","",INDEX(Tasks!$E$10:$E$1941,$P1393))</x:f>
        <x:v>Design &amp; Insights</x:v>
      </x:c>
      <x:c r="G1393" s="86"/>
      <x:c r="H1393" s="14" t="str">
        <x:f>IF($P1393="","",INDEX(Tasks!$F$10:$F$1941,$P1393)&amp;CHAR(10)&amp;INDEX(Tasks!$G$10:$G$1941,$P1393))</x:f>
        <x:v>DI.FC.1.4
Meet with Research to discuss which topic to select based on potential impact</x:v>
      </x:c>
      <x:c r="I1393" s="14"/>
      <x:c r="J1393" s="14"/>
      <x:c r="K1393" s="14"/>
      <x:c r="L1393" s="86" t="str">
        <x:f>IF($P1393="","",INDEX(Tasks!$N$10:$N$1941,$P1393))</x:f>
        <x:v>Not started</x:v>
      </x:c>
      <x:c r="M1393" s="87" t="n">
        <x:f>IF($P1393="","",INDEX(Tasks!$J$10:$J$1941,$P1393))</x:f>
        <x:v>46295</x:v>
      </x:c>
      <x:c r="N1393" s="85" t="str">
        <x:f>IF($P1393="","",HYPERLINK("#'"&amp;INDEX(Tasks!$T$10:$T$1941,$P1393)&amp;"'!A"&amp;INDEX(Tasks!$U$10:$U$1941,$P1393),"Open"))</x:f>
        <x:v>Open</x:v>
      </x:c>
      <x:c r="O1393" s="14"/>
      <x:c r="P1393" s="14" t="n">
        <x:f>IF(1372&gt;$B$10,"",MATCH(1372,Tasks!$S$10:$S$1941,0))</x:f>
        <x:v>1736</x:v>
      </x:c>
    </x:row>
    <x:row r="1394" ht="58" customHeight="1">
      <x:c r="B1394" s="86" t="str">
        <x:f>IF($P1394="","",INDEX(Tasks!$B$10:$B$1941,$P1394))</x:f>
        <x:v>Cycle 3</x:v>
      </x:c>
      <x:c r="C1394" s="86" t="str">
        <x:f>IF($P1394="","",INDEX(Tasks!$C$10:$C$1941,$P1394))</x:f>
        <x:v>Phase 1</x:v>
      </x:c>
      <x:c r="D1394" s="86" t="str">
        <x:f>IF($P1394="","",INDEX(Tasks!$D$10:$D$1941,$P1394))</x:f>
        <x:v>FCM</x:v>
      </x:c>
      <x:c r="E1394" s="86"/>
      <x:c r="F1394" s="86" t="str">
        <x:f>IF($P1394="","",INDEX(Tasks!$E$10:$E$1941,$P1394))</x:f>
        <x:v>Design &amp; Insights</x:v>
      </x:c>
      <x:c r="G1394" s="86"/>
      <x:c r="H1394" s="14" t="str">
        <x:f>IF($P1394="","",INDEX(Tasks!$F$10:$F$1941,$P1394)&amp;CHAR(10)&amp;INDEX(Tasks!$G$10:$G$1941,$P1394))</x:f>
        <x:v>DI.FC.1.5
Confirm with Research the recommended topic for approval</x:v>
      </x:c>
      <x:c r="I1394" s="14"/>
      <x:c r="J1394" s="14"/>
      <x:c r="K1394" s="14"/>
      <x:c r="L1394" s="86" t="str">
        <x:f>IF($P1394="","",INDEX(Tasks!$N$10:$N$1941,$P1394))</x:f>
        <x:v>Not started</x:v>
      </x:c>
      <x:c r="M1394" s="87" t="n">
        <x:f>IF($P1394="","",INDEX(Tasks!$J$10:$J$1941,$P1394))</x:f>
        <x:v>46295</x:v>
      </x:c>
      <x:c r="N1394" s="85" t="str">
        <x:f>IF($P1394="","",HYPERLINK("#'"&amp;INDEX(Tasks!$T$10:$T$1941,$P1394)&amp;"'!A"&amp;INDEX(Tasks!$U$10:$U$1941,$P1394),"Open"))</x:f>
        <x:v>Open</x:v>
      </x:c>
      <x:c r="O1394" s="14"/>
      <x:c r="P1394" s="14" t="n">
        <x:f>IF(1373&gt;$B$10,"",MATCH(1373,Tasks!$S$10:$S$1941,0))</x:f>
        <x:v>1737</x:v>
      </x:c>
    </x:row>
    <x:row r="1395" ht="58" customHeight="1">
      <x:c r="B1395" s="86" t="str">
        <x:f>IF($P1395="","",INDEX(Tasks!$B$10:$B$1941,$P1395))</x:f>
        <x:v>Cycle 3</x:v>
      </x:c>
      <x:c r="C1395" s="86" t="str">
        <x:f>IF($P1395="","",INDEX(Tasks!$C$10:$C$1941,$P1395))</x:f>
        <x:v>Phase 1</x:v>
      </x:c>
      <x:c r="D1395" s="86" t="str">
        <x:f>IF($P1395="","",INDEX(Tasks!$D$10:$D$1941,$P1395))</x:f>
        <x:v>FCM</x:v>
      </x:c>
      <x:c r="E1395" s="86"/>
      <x:c r="F1395" s="86" t="str">
        <x:f>IF($P1395="","",INDEX(Tasks!$E$10:$E$1941,$P1395))</x:f>
        <x:v>Design &amp; Insights</x:v>
      </x:c>
      <x:c r="G1395" s="86"/>
      <x:c r="H1395" s="14" t="str">
        <x:f>IF($P1395="","",INDEX(Tasks!$F$10:$F$1941,$P1395)&amp;CHAR(10)&amp;INDEX(Tasks!$G$10:$G$1941,$P1395))</x:f>
        <x:v>DI.FC.1.6
Send topic selection socialization email to all key stakeholders on the first day of the review Cycle</x:v>
      </x:c>
      <x:c r="I1395" s="14"/>
      <x:c r="J1395" s="14"/>
      <x:c r="K1395" s="14"/>
      <x:c r="L1395" s="86" t="str">
        <x:f>IF($P1395="","",INDEX(Tasks!$N$10:$N$1941,$P1395))</x:f>
        <x:v>Not started</x:v>
      </x:c>
      <x:c r="M1395" s="87" t="n">
        <x:f>IF($P1395="","",INDEX(Tasks!$J$10:$J$1941,$P1395))</x:f>
        <x:v>46204</x:v>
      </x:c>
      <x:c r="N1395" s="85" t="str">
        <x:f>IF($P1395="","",HYPERLINK("#'"&amp;INDEX(Tasks!$T$10:$T$1941,$P1395)&amp;"'!A"&amp;INDEX(Tasks!$U$10:$U$1941,$P1395),"Open"))</x:f>
        <x:v>Open</x:v>
      </x:c>
      <x:c r="O1395" s="14"/>
      <x:c r="P1395" s="14" t="n">
        <x:f>IF(1374&gt;$B$10,"",MATCH(1374,Tasks!$S$10:$S$1941,0))</x:f>
        <x:v>1738</x:v>
      </x:c>
    </x:row>
    <x:row r="1396" ht="58" customHeight="1">
      <x:c r="B1396" s="86" t="str">
        <x:f>IF($P1396="","",INDEX(Tasks!$B$10:$B$1941,$P1396))</x:f>
        <x:v>Cycle 3</x:v>
      </x:c>
      <x:c r="C1396" s="86" t="str">
        <x:f>IF($P1396="","",INDEX(Tasks!$C$10:$C$1941,$P1396))</x:f>
        <x:v>Phase 2</x:v>
      </x:c>
      <x:c r="D1396" s="86" t="str">
        <x:f>IF($P1396="","",INDEX(Tasks!$D$10:$D$1941,$P1396))</x:f>
        <x:v>FCM</x:v>
      </x:c>
      <x:c r="E1396" s="86"/>
      <x:c r="F1396" s="86" t="str">
        <x:f>IF($P1396="","",INDEX(Tasks!$E$10:$E$1941,$P1396))</x:f>
        <x:v>Design &amp; Insights</x:v>
      </x:c>
      <x:c r="G1396" s="86"/>
      <x:c r="H1396" s="14" t="str">
        <x:f>IF($P1396="","",INDEX(Tasks!$F$10:$F$1941,$P1396)&amp;CHAR(10)&amp;INDEX(Tasks!$G$10:$G$1941,$P1396))</x:f>
        <x:v>DI.FC.2.1
Meet regularly with Research to stay informed on progress, findings, and potential enhancement</x:v>
      </x:c>
      <x:c r="I1396" s="14"/>
      <x:c r="J1396" s="14"/>
      <x:c r="K1396" s="14"/>
      <x:c r="L1396" s="86" t="str">
        <x:f>IF($P1396="","",INDEX(Tasks!$N$10:$N$1941,$P1396))</x:f>
        <x:v>Not started</x:v>
      </x:c>
      <x:c r="M1396" s="87" t="n">
        <x:f>IF($P1396="","",INDEX(Tasks!$J$10:$J$1941,$P1396))</x:f>
        <x:v>46295</x:v>
      </x:c>
      <x:c r="N1396" s="85" t="str">
        <x:f>IF($P1396="","",HYPERLINK("#'"&amp;INDEX(Tasks!$T$10:$T$1941,$P1396)&amp;"'!A"&amp;INDEX(Tasks!$U$10:$U$1941,$P1396),"Open"))</x:f>
        <x:v>Open</x:v>
      </x:c>
      <x:c r="O1396" s="14"/>
      <x:c r="P1396" s="14" t="n">
        <x:f>IF(1375&gt;$B$10,"",MATCH(1375,Tasks!$S$10:$S$1941,0))</x:f>
        <x:v>1739</x:v>
      </x:c>
    </x:row>
    <x:row r="1397" ht="58" customHeight="1">
      <x:c r="B1397" s="86" t="str">
        <x:f>IF($P1397="","",INDEX(Tasks!$B$10:$B$1941,$P1397))</x:f>
        <x:v>Cycle 3</x:v>
      </x:c>
      <x:c r="C1397" s="86" t="str">
        <x:f>IF($P1397="","",INDEX(Tasks!$C$10:$C$1941,$P1397))</x:f>
        <x:v>Phase 2</x:v>
      </x:c>
      <x:c r="D1397" s="86" t="str">
        <x:f>IF($P1397="","",INDEX(Tasks!$D$10:$D$1941,$P1397))</x:f>
        <x:v>FCM</x:v>
      </x:c>
      <x:c r="E1397" s="86"/>
      <x:c r="F1397" s="86" t="str">
        <x:f>IF($P1397="","",INDEX(Tasks!$E$10:$E$1941,$P1397))</x:f>
        <x:v>Design &amp; Insights</x:v>
      </x:c>
      <x:c r="G1397" s="86"/>
      <x:c r="H1397" s="14" t="str">
        <x:f>IF($P1397="","",INDEX(Tasks!$F$10:$F$1941,$P1397)&amp;CHAR(10)&amp;INDEX(Tasks!$G$10:$G$1941,$P1397))</x:f>
        <x:v>DI.FC.2.2
Collaborate with Research on research plan specifics</x:v>
      </x:c>
      <x:c r="I1397" s="14"/>
      <x:c r="J1397" s="14"/>
      <x:c r="K1397" s="14"/>
      <x:c r="L1397" s="86" t="str">
        <x:f>IF($P1397="","",INDEX(Tasks!$N$10:$N$1941,$P1397))</x:f>
        <x:v>Not started</x:v>
      </x:c>
      <x:c r="M1397" s="87" t="n">
        <x:f>IF($P1397="","",INDEX(Tasks!$J$10:$J$1941,$P1397))</x:f>
        <x:v>46295</x:v>
      </x:c>
      <x:c r="N1397" s="85" t="str">
        <x:f>IF($P1397="","",HYPERLINK("#'"&amp;INDEX(Tasks!$T$10:$T$1941,$P1397)&amp;"'!A"&amp;INDEX(Tasks!$U$10:$U$1941,$P1397),"Open"))</x:f>
        <x:v>Open</x:v>
      </x:c>
      <x:c r="O1397" s="14"/>
      <x:c r="P1397" s="14" t="n">
        <x:f>IF(1376&gt;$B$10,"",MATCH(1376,Tasks!$S$10:$S$1941,0))</x:f>
        <x:v>1740</x:v>
      </x:c>
    </x:row>
    <x:row r="1398" ht="58" customHeight="1">
      <x:c r="B1398" s="86" t="str">
        <x:f>IF($P1398="","",INDEX(Tasks!$B$10:$B$1941,$P1398))</x:f>
        <x:v>Cycle 3</x:v>
      </x:c>
      <x:c r="C1398" s="86" t="str">
        <x:f>IF($P1398="","",INDEX(Tasks!$C$10:$C$1941,$P1398))</x:f>
        <x:v>Phase 2</x:v>
      </x:c>
      <x:c r="D1398" s="86" t="str">
        <x:f>IF($P1398="","",INDEX(Tasks!$D$10:$D$1941,$P1398))</x:f>
        <x:v>FCM</x:v>
      </x:c>
      <x:c r="E1398" s="86"/>
      <x:c r="F1398" s="86" t="str">
        <x:f>IF($P1398="","",INDEX(Tasks!$E$10:$E$1941,$P1398))</x:f>
        <x:v>Design &amp; Insights</x:v>
      </x:c>
      <x:c r="G1398" s="86"/>
      <x:c r="H1398" s="14" t="str">
        <x:f>IF($P1398="","",INDEX(Tasks!$F$10:$F$1941,$P1398)&amp;CHAR(10)&amp;INDEX(Tasks!$G$10:$G$1941,$P1398))</x:f>
        <x:v>DI.FC.2.3
Participate in SME insight meetings to gain perspective and appetite on potential enhancements</x:v>
      </x:c>
      <x:c r="I1398" s="14"/>
      <x:c r="J1398" s="14"/>
      <x:c r="K1398" s="14"/>
      <x:c r="L1398" s="86" t="str">
        <x:f>IF($P1398="","",INDEX(Tasks!$N$10:$N$1941,$P1398))</x:f>
        <x:v>Not started</x:v>
      </x:c>
      <x:c r="M1398" s="87" t="n">
        <x:f>IF($P1398="","",INDEX(Tasks!$J$10:$J$1941,$P1398))</x:f>
        <x:v>46295</x:v>
      </x:c>
      <x:c r="N1398" s="85" t="str">
        <x:f>IF($P1398="","",HYPERLINK("#'"&amp;INDEX(Tasks!$T$10:$T$1941,$P1398)&amp;"'!A"&amp;INDEX(Tasks!$U$10:$U$1941,$P1398),"Open"))</x:f>
        <x:v>Open</x:v>
      </x:c>
      <x:c r="O1398" s="14"/>
      <x:c r="P1398" s="14" t="n">
        <x:f>IF(1377&gt;$B$10,"",MATCH(1377,Tasks!$S$10:$S$1941,0))</x:f>
        <x:v>1741</x:v>
      </x:c>
    </x:row>
    <x:row r="1399" ht="58" customHeight="1">
      <x:c r="B1399" s="86" t="str">
        <x:f>IF($P1399="","",INDEX(Tasks!$B$10:$B$1941,$P1399))</x:f>
        <x:v>Cycle 3</x:v>
      </x:c>
      <x:c r="C1399" s="86" t="str">
        <x:f>IF($P1399="","",INDEX(Tasks!$C$10:$C$1941,$P1399))</x:f>
        <x:v>Phase 2</x:v>
      </x:c>
      <x:c r="D1399" s="86" t="str">
        <x:f>IF($P1399="","",INDEX(Tasks!$D$10:$D$1941,$P1399))</x:f>
        <x:v>FCM</x:v>
      </x:c>
      <x:c r="E1399" s="86"/>
      <x:c r="F1399" s="86" t="str">
        <x:f>IF($P1399="","",INDEX(Tasks!$E$10:$E$1941,$P1399))</x:f>
        <x:v>Design &amp; Insights</x:v>
      </x:c>
      <x:c r="G1399" s="86"/>
      <x:c r="H1399" s="14" t="str">
        <x:f>IF($P1399="","",INDEX(Tasks!$F$10:$F$1941,$P1399)&amp;CHAR(10)&amp;INDEX(Tasks!$G$10:$G$1941,$P1399))</x:f>
        <x:v>DI.FC.2.4
Begin development of presentation materials as Research is being completed</x:v>
      </x:c>
      <x:c r="I1399" s="14"/>
      <x:c r="J1399" s="14"/>
      <x:c r="K1399" s="14"/>
      <x:c r="L1399" s="86" t="str">
        <x:f>IF($P1399="","",INDEX(Tasks!$N$10:$N$1941,$P1399))</x:f>
        <x:v>Not started</x:v>
      </x:c>
      <x:c r="M1399" s="87" t="n">
        <x:f>IF($P1399="","",INDEX(Tasks!$J$10:$J$1941,$P1399))</x:f>
        <x:v>46295</x:v>
      </x:c>
      <x:c r="N1399" s="85" t="str">
        <x:f>IF($P1399="","",HYPERLINK("#'"&amp;INDEX(Tasks!$T$10:$T$1941,$P1399)&amp;"'!A"&amp;INDEX(Tasks!$U$10:$U$1941,$P1399),"Open"))</x:f>
        <x:v>Open</x:v>
      </x:c>
      <x:c r="O1399" s="14"/>
      <x:c r="P1399" s="14" t="n">
        <x:f>IF(1378&gt;$B$10,"",MATCH(1378,Tasks!$S$10:$S$1941,0))</x:f>
        <x:v>1742</x:v>
      </x:c>
    </x:row>
    <x:row r="1400" ht="58" customHeight="1">
      <x:c r="B1400" s="86" t="str">
        <x:f>IF($P1400="","",INDEX(Tasks!$B$10:$B$1941,$P1400))</x:f>
        <x:v>Cycle 3</x:v>
      </x:c>
      <x:c r="C1400" s="86" t="str">
        <x:f>IF($P1400="","",INDEX(Tasks!$C$10:$C$1941,$P1400))</x:f>
        <x:v>Phase 2</x:v>
      </x:c>
      <x:c r="D1400" s="86" t="str">
        <x:f>IF($P1400="","",INDEX(Tasks!$D$10:$D$1941,$P1400))</x:f>
        <x:v>FCM</x:v>
      </x:c>
      <x:c r="E1400" s="86"/>
      <x:c r="F1400" s="86" t="str">
        <x:f>IF($P1400="","",INDEX(Tasks!$E$10:$E$1941,$P1400))</x:f>
        <x:v>Design &amp; Insights</x:v>
      </x:c>
      <x:c r="G1400" s="86"/>
      <x:c r="H1400" s="14" t="str">
        <x:f>IF($P1400="","",INDEX(Tasks!$F$10:$F$1941,$P1400)&amp;CHAR(10)&amp;INDEX(Tasks!$G$10:$G$1941,$P1400))</x:f>
        <x:v>DI.FC.2.5
Draft initial enhancement recommendations (as applicable)</x:v>
      </x:c>
      <x:c r="I1400" s="14"/>
      <x:c r="J1400" s="14"/>
      <x:c r="K1400" s="14"/>
      <x:c r="L1400" s="86" t="str">
        <x:f>IF($P1400="","",INDEX(Tasks!$N$10:$N$1941,$P1400))</x:f>
        <x:v>Not started</x:v>
      </x:c>
      <x:c r="M1400" s="87" t="n">
        <x:f>IF($P1400="","",INDEX(Tasks!$J$10:$J$1941,$P1400))</x:f>
        <x:v>46295</x:v>
      </x:c>
      <x:c r="N1400" s="85" t="str">
        <x:f>IF($P1400="","",HYPERLINK("#'"&amp;INDEX(Tasks!$T$10:$T$1941,$P1400)&amp;"'!A"&amp;INDEX(Tasks!$U$10:$U$1941,$P1400),"Open"))</x:f>
        <x:v>Open</x:v>
      </x:c>
      <x:c r="O1400" s="14"/>
      <x:c r="P1400" s="14" t="n">
        <x:f>IF(1379&gt;$B$10,"",MATCH(1379,Tasks!$S$10:$S$1941,0))</x:f>
        <x:v>1743</x:v>
      </x:c>
    </x:row>
    <x:row r="1401" ht="58" customHeight="1">
      <x:c r="B1401" s="86" t="str">
        <x:f>IF($P1401="","",INDEX(Tasks!$B$10:$B$1941,$P1401))</x:f>
        <x:v>Cycle 3</x:v>
      </x:c>
      <x:c r="C1401" s="86" t="str">
        <x:f>IF($P1401="","",INDEX(Tasks!$C$10:$C$1941,$P1401))</x:f>
        <x:v>Phase 2</x:v>
      </x:c>
      <x:c r="D1401" s="86" t="str">
        <x:f>IF($P1401="","",INDEX(Tasks!$D$10:$D$1941,$P1401))</x:f>
        <x:v>FCM</x:v>
      </x:c>
      <x:c r="E1401" s="86"/>
      <x:c r="F1401" s="86" t="str">
        <x:f>IF($P1401="","",INDEX(Tasks!$E$10:$E$1941,$P1401))</x:f>
        <x:v>Design &amp; Insights</x:v>
      </x:c>
      <x:c r="G1401" s="86"/>
      <x:c r="H1401" s="14" t="str">
        <x:f>IF($P1401="","",INDEX(Tasks!$F$10:$F$1941,$P1401)&amp;CHAR(10)&amp;INDEX(Tasks!$G$10:$G$1941,$P1401))</x:f>
        <x:v>DI.FC.2.6
Finalize presentation deck draft at conclusion of Research phase</x:v>
      </x:c>
      <x:c r="I1401" s="14"/>
      <x:c r="J1401" s="14"/>
      <x:c r="K1401" s="14"/>
      <x:c r="L1401" s="86" t="str">
        <x:f>IF($P1401="","",INDEX(Tasks!$N$10:$N$1941,$P1401))</x:f>
        <x:v>Not started</x:v>
      </x:c>
      <x:c r="M1401" s="87" t="n">
        <x:f>IF($P1401="","",INDEX(Tasks!$J$10:$J$1941,$P1401))</x:f>
        <x:v>46295</x:v>
      </x:c>
      <x:c r="N1401" s="85" t="str">
        <x:f>IF($P1401="","",HYPERLINK("#'"&amp;INDEX(Tasks!$T$10:$T$1941,$P1401)&amp;"'!A"&amp;INDEX(Tasks!$U$10:$U$1941,$P1401),"Open"))</x:f>
        <x:v>Open</x:v>
      </x:c>
      <x:c r="O1401" s="14"/>
      <x:c r="P1401" s="14" t="n">
        <x:f>IF(1380&gt;$B$10,"",MATCH(1380,Tasks!$S$10:$S$1941,0))</x:f>
        <x:v>1744</x:v>
      </x:c>
    </x:row>
    <x:row r="1402" ht="58" customHeight="1">
      <x:c r="B1402" s="86" t="str">
        <x:f>IF($P1402="","",INDEX(Tasks!$B$10:$B$1941,$P1402))</x:f>
        <x:v>Cycle 3</x:v>
      </x:c>
      <x:c r="C1402" s="86" t="str">
        <x:f>IF($P1402="","",INDEX(Tasks!$C$10:$C$1941,$P1402))</x:f>
        <x:v>Phase 2</x:v>
      </x:c>
      <x:c r="D1402" s="86" t="str">
        <x:f>IF($P1402="","",INDEX(Tasks!$D$10:$D$1941,$P1402))</x:f>
        <x:v>FCM</x:v>
      </x:c>
      <x:c r="E1402" s="86"/>
      <x:c r="F1402" s="86" t="str">
        <x:f>IF($P1402="","",INDEX(Tasks!$E$10:$E$1941,$P1402))</x:f>
        <x:v>Design &amp; Insights</x:v>
      </x:c>
      <x:c r="G1402" s="86"/>
      <x:c r="H1402" s="14" t="str">
        <x:f>IF($P1402="","",INDEX(Tasks!$F$10:$F$1941,$P1402)&amp;CHAR(10)&amp;INDEX(Tasks!$G$10:$G$1941,$P1402))</x:f>
        <x:v>DI.FC.2.7
Update Outcome portion of research plan with current enhancement verbiage (as needed)</x:v>
      </x:c>
      <x:c r="I1402" s="14"/>
      <x:c r="J1402" s="14"/>
      <x:c r="K1402" s="14"/>
      <x:c r="L1402" s="86" t="str">
        <x:f>IF($P1402="","",INDEX(Tasks!$N$10:$N$1941,$P1402))</x:f>
        <x:v>Not started</x:v>
      </x:c>
      <x:c r="M1402" s="87" t="n">
        <x:f>IF($P1402="","",INDEX(Tasks!$J$10:$J$1941,$P1402))</x:f>
        <x:v>46295</x:v>
      </x:c>
      <x:c r="N1402" s="85" t="str">
        <x:f>IF($P1402="","",HYPERLINK("#'"&amp;INDEX(Tasks!$T$10:$T$1941,$P1402)&amp;"'!A"&amp;INDEX(Tasks!$U$10:$U$1941,$P1402),"Open"))</x:f>
        <x:v>Open</x:v>
      </x:c>
      <x:c r="O1402" s="14"/>
      <x:c r="P1402" s="14" t="n">
        <x:f>IF(1381&gt;$B$10,"",MATCH(1381,Tasks!$S$10:$S$1941,0))</x:f>
        <x:v>1745</x:v>
      </x:c>
    </x:row>
    <x:row r="1403" ht="58" customHeight="1">
      <x:c r="B1403" s="86" t="str">
        <x:f>IF($P1403="","",INDEX(Tasks!$B$10:$B$1941,$P1403))</x:f>
        <x:v>Cycle 3</x:v>
      </x:c>
      <x:c r="C1403" s="86" t="str">
        <x:f>IF($P1403="","",INDEX(Tasks!$C$10:$C$1941,$P1403))</x:f>
        <x:v>Phase 3</x:v>
      </x:c>
      <x:c r="D1403" s="86" t="str">
        <x:f>IF($P1403="","",INDEX(Tasks!$D$10:$D$1941,$P1403))</x:f>
        <x:v>FCM</x:v>
      </x:c>
      <x:c r="E1403" s="86"/>
      <x:c r="F1403" s="86" t="str">
        <x:f>IF($P1403="","",INDEX(Tasks!$E$10:$E$1941,$P1403))</x:f>
        <x:v>Design &amp; Insights</x:v>
      </x:c>
      <x:c r="G1403" s="86"/>
      <x:c r="H1403" s="14" t="str">
        <x:f>IF($P1403="","",INDEX(Tasks!$F$10:$F$1941,$P1403)&amp;CHAR(10)&amp;INDEX(Tasks!$G$10:$G$1941,$P1403))</x:f>
        <x:v>DI.FC.3.1
Confirm list of required &amp; optional attendees for pre-socialization meeting</x:v>
      </x:c>
      <x:c r="I1403" s="14"/>
      <x:c r="J1403" s="14"/>
      <x:c r="K1403" s="14"/>
      <x:c r="L1403" s="86" t="str">
        <x:f>IF($P1403="","",INDEX(Tasks!$N$10:$N$1941,$P1403))</x:f>
        <x:v>Not started</x:v>
      </x:c>
      <x:c r="M1403" s="87" t="n">
        <x:f>IF($P1403="","",INDEX(Tasks!$J$10:$J$1941,$P1403))</x:f>
        <x:v>46295</x:v>
      </x:c>
      <x:c r="N1403" s="85" t="str">
        <x:f>IF($P1403="","",HYPERLINK("#'"&amp;INDEX(Tasks!$T$10:$T$1941,$P1403)&amp;"'!A"&amp;INDEX(Tasks!$U$10:$U$1941,$P1403),"Open"))</x:f>
        <x:v>Open</x:v>
      </x:c>
      <x:c r="O1403" s="14"/>
      <x:c r="P1403" s="14" t="n">
        <x:f>IF(1382&gt;$B$10,"",MATCH(1382,Tasks!$S$10:$S$1941,0))</x:f>
        <x:v>1746</x:v>
      </x:c>
    </x:row>
    <x:row r="1404" ht="58" customHeight="1">
      <x:c r="B1404" s="86" t="str">
        <x:f>IF($P1404="","",INDEX(Tasks!$B$10:$B$1941,$P1404))</x:f>
        <x:v>Cycle 3</x:v>
      </x:c>
      <x:c r="C1404" s="86" t="str">
        <x:f>IF($P1404="","",INDEX(Tasks!$C$10:$C$1941,$P1404))</x:f>
        <x:v>Phase 3</x:v>
      </x:c>
      <x:c r="D1404" s="86" t="str">
        <x:f>IF($P1404="","",INDEX(Tasks!$D$10:$D$1941,$P1404))</x:f>
        <x:v>FCM</x:v>
      </x:c>
      <x:c r="E1404" s="86"/>
      <x:c r="F1404" s="86" t="str">
        <x:f>IF($P1404="","",INDEX(Tasks!$E$10:$E$1941,$P1404))</x:f>
        <x:v>Design &amp; Insights</x:v>
      </x:c>
      <x:c r="G1404" s="86"/>
      <x:c r="H1404" s="14" t="str">
        <x:f>IF($P1404="","",INDEX(Tasks!$F$10:$F$1941,$P1404)&amp;CHAR(10)&amp;INDEX(Tasks!$G$10:$G$1941,$P1404))</x:f>
        <x:v>DI.FC.3.2
Schedule pre-socialization meeting 1 week prior to RCA Forum</x:v>
      </x:c>
      <x:c r="I1404" s="14"/>
      <x:c r="J1404" s="14"/>
      <x:c r="K1404" s="14"/>
      <x:c r="L1404" s="86" t="str">
        <x:f>IF($P1404="","",INDEX(Tasks!$N$10:$N$1941,$P1404))</x:f>
        <x:v>Not started</x:v>
      </x:c>
      <x:c r="M1404" s="87" t="str">
        <x:f>IF($P1404="","",INDEX(Tasks!$J$10:$J$1941,$P1404))</x:f>
      </x:c>
      <x:c r="N1404" s="85" t="str">
        <x:f>IF($P1404="","",HYPERLINK("#'"&amp;INDEX(Tasks!$T$10:$T$1941,$P1404)&amp;"'!A"&amp;INDEX(Tasks!$U$10:$U$1941,$P1404),"Open"))</x:f>
        <x:v>Open</x:v>
      </x:c>
      <x:c r="O1404" s="14"/>
      <x:c r="P1404" s="14" t="n">
        <x:f>IF(1383&gt;$B$10,"",MATCH(1383,Tasks!$S$10:$S$1941,0))</x:f>
        <x:v>1747</x:v>
      </x:c>
    </x:row>
    <x:row r="1405" ht="58" customHeight="1">
      <x:c r="B1405" s="86" t="str">
        <x:f>IF($P1405="","",INDEX(Tasks!$B$10:$B$1941,$P1405))</x:f>
        <x:v>Cycle 3</x:v>
      </x:c>
      <x:c r="C1405" s="86" t="str">
        <x:f>IF($P1405="","",INDEX(Tasks!$C$10:$C$1941,$P1405))</x:f>
        <x:v>Phase 3</x:v>
      </x:c>
      <x:c r="D1405" s="86" t="str">
        <x:f>IF($P1405="","",INDEX(Tasks!$D$10:$D$1941,$P1405))</x:f>
        <x:v>FCM</x:v>
      </x:c>
      <x:c r="E1405" s="86"/>
      <x:c r="F1405" s="86" t="str">
        <x:f>IF($P1405="","",INDEX(Tasks!$E$10:$E$1941,$P1405))</x:f>
        <x:v>Design &amp; Insights</x:v>
      </x:c>
      <x:c r="G1405" s="86"/>
      <x:c r="H1405" s="14" t="str">
        <x:f>IF($P1405="","",INDEX(Tasks!$F$10:$F$1941,$P1405)&amp;CHAR(10)&amp;INDEX(Tasks!$G$10:$G$1941,$P1405))</x:f>
        <x:v>DI.FC.3.3
Present findings, conclusions, and recommendation to SMEs</x:v>
      </x:c>
      <x:c r="I1405" s="14"/>
      <x:c r="J1405" s="14"/>
      <x:c r="K1405" s="14"/>
      <x:c r="L1405" s="86" t="str">
        <x:f>IF($P1405="","",INDEX(Tasks!$N$10:$N$1941,$P1405))</x:f>
        <x:v>Not started</x:v>
      </x:c>
      <x:c r="M1405" s="87" t="n">
        <x:f>IF($P1405="","",INDEX(Tasks!$J$10:$J$1941,$P1405))</x:f>
        <x:v>46295</x:v>
      </x:c>
      <x:c r="N1405" s="85" t="str">
        <x:f>IF($P1405="","",HYPERLINK("#'"&amp;INDEX(Tasks!$T$10:$T$1941,$P1405)&amp;"'!A"&amp;INDEX(Tasks!$U$10:$U$1941,$P1405),"Open"))</x:f>
        <x:v>Open</x:v>
      </x:c>
      <x:c r="O1405" s="14"/>
      <x:c r="P1405" s="14" t="n">
        <x:f>IF(1384&gt;$B$10,"",MATCH(1384,Tasks!$S$10:$S$1941,0))</x:f>
        <x:v>1748</x:v>
      </x:c>
    </x:row>
    <x:row r="1406" ht="58" customHeight="1">
      <x:c r="B1406" s="86" t="str">
        <x:f>IF($P1406="","",INDEX(Tasks!$B$10:$B$1941,$P1406))</x:f>
        <x:v>Cycle 3</x:v>
      </x:c>
      <x:c r="C1406" s="86" t="str">
        <x:f>IF($P1406="","",INDEX(Tasks!$C$10:$C$1941,$P1406))</x:f>
        <x:v>Phase 3</x:v>
      </x:c>
      <x:c r="D1406" s="86" t="str">
        <x:f>IF($P1406="","",INDEX(Tasks!$D$10:$D$1941,$P1406))</x:f>
        <x:v>FCM</x:v>
      </x:c>
      <x:c r="E1406" s="86"/>
      <x:c r="F1406" s="86" t="str">
        <x:f>IF($P1406="","",INDEX(Tasks!$E$10:$E$1941,$P1406))</x:f>
        <x:v>Design &amp; Insights</x:v>
      </x:c>
      <x:c r="G1406" s="86"/>
      <x:c r="H1406" s="14" t="str">
        <x:f>IF($P1406="","",INDEX(Tasks!$F$10:$F$1941,$P1406)&amp;CHAR(10)&amp;INDEX(Tasks!$G$10:$G$1941,$P1406))</x:f>
        <x:v>DI.FC.3.4
Update Outcome portion of research plan (as needed)</x:v>
      </x:c>
      <x:c r="I1406" s="14"/>
      <x:c r="J1406" s="14"/>
      <x:c r="K1406" s="14"/>
      <x:c r="L1406" s="86" t="str">
        <x:f>IF($P1406="","",INDEX(Tasks!$N$10:$N$1941,$P1406))</x:f>
        <x:v>Not started</x:v>
      </x:c>
      <x:c r="M1406" s="87" t="n">
        <x:f>IF($P1406="","",INDEX(Tasks!$J$10:$J$1941,$P1406))</x:f>
        <x:v>46295</x:v>
      </x:c>
      <x:c r="N1406" s="85" t="str">
        <x:f>IF($P1406="","",HYPERLINK("#'"&amp;INDEX(Tasks!$T$10:$T$1941,$P1406)&amp;"'!A"&amp;INDEX(Tasks!$U$10:$U$1941,$P1406),"Open"))</x:f>
        <x:v>Open</x:v>
      </x:c>
      <x:c r="O1406" s="14"/>
      <x:c r="P1406" s="14" t="n">
        <x:f>IF(1385&gt;$B$10,"",MATCH(1385,Tasks!$S$10:$S$1941,0))</x:f>
        <x:v>1749</x:v>
      </x:c>
    </x:row>
    <x:row r="1407" ht="58" customHeight="1">
      <x:c r="B1407" s="86" t="str">
        <x:f>IF($P1407="","",INDEX(Tasks!$B$10:$B$1941,$P1407))</x:f>
        <x:v>Cycle 3</x:v>
      </x:c>
      <x:c r="C1407" s="86" t="str">
        <x:f>IF($P1407="","",INDEX(Tasks!$C$10:$C$1941,$P1407))</x:f>
        <x:v>Phase 3</x:v>
      </x:c>
      <x:c r="D1407" s="86" t="str">
        <x:f>IF($P1407="","",INDEX(Tasks!$D$10:$D$1941,$P1407))</x:f>
        <x:v>FCM</x:v>
      </x:c>
      <x:c r="E1407" s="86"/>
      <x:c r="F1407" s="86" t="str">
        <x:f>IF($P1407="","",INDEX(Tasks!$E$10:$E$1941,$P1407))</x:f>
        <x:v>Design &amp; Insights</x:v>
      </x:c>
      <x:c r="G1407" s="86"/>
      <x:c r="H1407" s="14" t="str">
        <x:f>IF($P1407="","",INDEX(Tasks!$F$10:$F$1941,$P1407)&amp;CHAR(10)&amp;INDEX(Tasks!$G$10:$G$1941,$P1407))</x:f>
        <x:v>DI.FC.3.5
Finalize presentation deck by incorporating pre-socialization feedback (as needed)</x:v>
      </x:c>
      <x:c r="I1407" s="14"/>
      <x:c r="J1407" s="14"/>
      <x:c r="K1407" s="14"/>
      <x:c r="L1407" s="86" t="str">
        <x:f>IF($P1407="","",INDEX(Tasks!$N$10:$N$1941,$P1407))</x:f>
        <x:v>Not started</x:v>
      </x:c>
      <x:c r="M1407" s="87" t="n">
        <x:f>IF($P1407="","",INDEX(Tasks!$J$10:$J$1941,$P1407))</x:f>
        <x:v>46295</x:v>
      </x:c>
      <x:c r="N1407" s="85" t="str">
        <x:f>IF($P1407="","",HYPERLINK("#'"&amp;INDEX(Tasks!$T$10:$T$1941,$P1407)&amp;"'!A"&amp;INDEX(Tasks!$U$10:$U$1941,$P1407),"Open"))</x:f>
        <x:v>Open</x:v>
      </x:c>
      <x:c r="O1407" s="14"/>
      <x:c r="P1407" s="14" t="n">
        <x:f>IF(1386&gt;$B$10,"",MATCH(1386,Tasks!$S$10:$S$1941,0))</x:f>
        <x:v>1750</x:v>
      </x:c>
    </x:row>
    <x:row r="1408" ht="58" customHeight="1">
      <x:c r="B1408" s="86" t="str">
        <x:f>IF($P1408="","",INDEX(Tasks!$B$10:$B$1941,$P1408))</x:f>
        <x:v>Cycle 3</x:v>
      </x:c>
      <x:c r="C1408" s="86" t="str">
        <x:f>IF($P1408="","",INDEX(Tasks!$C$10:$C$1941,$P1408))</x:f>
        <x:v>Phase 3</x:v>
      </x:c>
      <x:c r="D1408" s="86" t="str">
        <x:f>IF($P1408="","",INDEX(Tasks!$D$10:$D$1941,$P1408))</x:f>
        <x:v>FCM</x:v>
      </x:c>
      <x:c r="E1408" s="86"/>
      <x:c r="F1408" s="86" t="str">
        <x:f>IF($P1408="","",INDEX(Tasks!$E$10:$E$1941,$P1408))</x:f>
        <x:v>Design &amp; Insights</x:v>
      </x:c>
      <x:c r="G1408" s="86"/>
      <x:c r="H1408" s="14" t="str">
        <x:f>IF($P1408="","",INDEX(Tasks!$F$10:$F$1941,$P1408)&amp;CHAR(10)&amp;INDEX(Tasks!$G$10:$G$1941,$P1408))</x:f>
        <x:v>DI.FC.3.6
Ensure final deck is communicated to Forum attendees</x:v>
      </x:c>
      <x:c r="I1408" s="14"/>
      <x:c r="J1408" s="14"/>
      <x:c r="K1408" s="14"/>
      <x:c r="L1408" s="86" t="str">
        <x:f>IF($P1408="","",INDEX(Tasks!$N$10:$N$1941,$P1408))</x:f>
        <x:v>Not started</x:v>
      </x:c>
      <x:c r="M1408" s="87" t="n">
        <x:f>IF($P1408="","",INDEX(Tasks!$J$10:$J$1941,$P1408))</x:f>
        <x:v>46295</x:v>
      </x:c>
      <x:c r="N1408" s="85" t="str">
        <x:f>IF($P1408="","",HYPERLINK("#'"&amp;INDEX(Tasks!$T$10:$T$1941,$P1408)&amp;"'!A"&amp;INDEX(Tasks!$U$10:$U$1941,$P1408),"Open"))</x:f>
        <x:v>Open</x:v>
      </x:c>
      <x:c r="O1408" s="14"/>
      <x:c r="P1408" s="14" t="n">
        <x:f>IF(1387&gt;$B$10,"",MATCH(1387,Tasks!$S$10:$S$1941,0))</x:f>
        <x:v>1751</x:v>
      </x:c>
    </x:row>
    <x:row r="1409" ht="58" customHeight="1">
      <x:c r="B1409" s="86" t="str">
        <x:f>IF($P1409="","",INDEX(Tasks!$B$10:$B$1941,$P1409))</x:f>
        <x:v>Cycle 3</x:v>
      </x:c>
      <x:c r="C1409" s="86" t="str">
        <x:f>IF($P1409="","",INDEX(Tasks!$C$10:$C$1941,$P1409))</x:f>
        <x:v>Phase 3</x:v>
      </x:c>
      <x:c r="D1409" s="86" t="str">
        <x:f>IF($P1409="","",INDEX(Tasks!$D$10:$D$1941,$P1409))</x:f>
        <x:v>FCM</x:v>
      </x:c>
      <x:c r="E1409" s="86"/>
      <x:c r="F1409" s="86" t="str">
        <x:f>IF($P1409="","",INDEX(Tasks!$E$10:$E$1941,$P1409))</x:f>
        <x:v>Design &amp; Insights</x:v>
      </x:c>
      <x:c r="G1409" s="86"/>
      <x:c r="H1409" s="14" t="str">
        <x:f>IF($P1409="","",INDEX(Tasks!$F$10:$F$1941,$P1409)&amp;CHAR(10)&amp;INDEX(Tasks!$G$10:$G$1941,$P1409))</x:f>
        <x:v>DI.FC.3.7
Present material in RCA Cycle Forum</x:v>
      </x:c>
      <x:c r="I1409" s="14"/>
      <x:c r="J1409" s="14"/>
      <x:c r="K1409" s="14"/>
      <x:c r="L1409" s="86" t="str">
        <x:f>IF($P1409="","",INDEX(Tasks!$N$10:$N$1941,$P1409))</x:f>
        <x:v>Not started</x:v>
      </x:c>
      <x:c r="M1409" s="87" t="str">
        <x:f>IF($P1409="","",INDEX(Tasks!$J$10:$J$1941,$P1409))</x:f>
      </x:c>
      <x:c r="N1409" s="85" t="str">
        <x:f>IF($P1409="","",HYPERLINK("#'"&amp;INDEX(Tasks!$T$10:$T$1941,$P1409)&amp;"'!A"&amp;INDEX(Tasks!$U$10:$U$1941,$P1409),"Open"))</x:f>
        <x:v>Open</x:v>
      </x:c>
      <x:c r="O1409" s="14"/>
      <x:c r="P1409" s="14" t="n">
        <x:f>IF(1388&gt;$B$10,"",MATCH(1388,Tasks!$S$10:$S$1941,0))</x:f>
        <x:v>1752</x:v>
      </x:c>
    </x:row>
    <x:row r="1410" ht="58" customHeight="1">
      <x:c r="B1410" s="86" t="str">
        <x:f>IF($P1410="","",INDEX(Tasks!$B$10:$B$1941,$P1410))</x:f>
        <x:v>Cycle 3</x:v>
      </x:c>
      <x:c r="C1410" s="86" t="str">
        <x:f>IF($P1410="","",INDEX(Tasks!$C$10:$C$1941,$P1410))</x:f>
        <x:v>Phase 1</x:v>
      </x:c>
      <x:c r="D1410" s="86" t="str">
        <x:f>IF($P1410="","",INDEX(Tasks!$D$10:$D$1941,$P1410))</x:f>
        <x:v>PLL</x:v>
      </x:c>
      <x:c r="E1410" s="86"/>
      <x:c r="F1410" s="86" t="str">
        <x:f>IF($P1410="","",INDEX(Tasks!$E$10:$E$1941,$P1410))</x:f>
        <x:v>Design &amp; Insights</x:v>
      </x:c>
      <x:c r="G1410" s="86"/>
      <x:c r="H1410" s="14" t="str">
        <x:f>IF($P1410="","",INDEX(Tasks!$F$10:$F$1941,$P1410)&amp;CHAR(10)&amp;INDEX(Tasks!$G$10:$G$1941,$P1410))</x:f>
        <x:v>DI.PL.1.1
Receive and review potential research topics at least 2 weeks prior to Cycle start date</x:v>
      </x:c>
      <x:c r="I1410" s="14"/>
      <x:c r="J1410" s="14"/>
      <x:c r="K1410" s="14"/>
      <x:c r="L1410" s="86" t="str">
        <x:f>IF($P1410="","",INDEX(Tasks!$N$10:$N$1941,$P1410))</x:f>
        <x:v>Not started</x:v>
      </x:c>
      <x:c r="M1410" s="87" t="n">
        <x:f>IF($P1410="","",INDEX(Tasks!$J$10:$J$1941,$P1410))</x:f>
        <x:v>46190</x:v>
      </x:c>
      <x:c r="N1410" s="85" t="str">
        <x:f>IF($P1410="","",HYPERLINK("#'"&amp;INDEX(Tasks!$T$10:$T$1941,$P1410)&amp;"'!A"&amp;INDEX(Tasks!$U$10:$U$1941,$P1410),"Open"))</x:f>
        <x:v>Open</x:v>
      </x:c>
      <x:c r="O1410" s="14"/>
      <x:c r="P1410" s="14" t="n">
        <x:f>IF(1389&gt;$B$10,"",MATCH(1389,Tasks!$S$10:$S$1941,0))</x:f>
        <x:v>1753</x:v>
      </x:c>
    </x:row>
    <x:row r="1411" ht="58" customHeight="1">
      <x:c r="B1411" s="86" t="str">
        <x:f>IF($P1411="","",INDEX(Tasks!$B$10:$B$1941,$P1411))</x:f>
        <x:v>Cycle 3</x:v>
      </x:c>
      <x:c r="C1411" s="86" t="str">
        <x:f>IF($P1411="","",INDEX(Tasks!$C$10:$C$1941,$P1411))</x:f>
        <x:v>Phase 1</x:v>
      </x:c>
      <x:c r="D1411" s="86" t="str">
        <x:f>IF($P1411="","",INDEX(Tasks!$D$10:$D$1941,$P1411))</x:f>
        <x:v>PLL</x:v>
      </x:c>
      <x:c r="E1411" s="86"/>
      <x:c r="F1411" s="86" t="str">
        <x:f>IF($P1411="","",INDEX(Tasks!$E$10:$E$1941,$P1411))</x:f>
        <x:v>Design &amp; Insights</x:v>
      </x:c>
      <x:c r="G1411" s="86"/>
      <x:c r="H1411" s="14" t="str">
        <x:f>IF($P1411="","",INDEX(Tasks!$F$10:$F$1941,$P1411)&amp;CHAR(10)&amp;INDEX(Tasks!$G$10:$G$1941,$P1411))</x:f>
        <x:v>DI.PL.1.2
Communicate any feedback on preferences or concerns with topics identified</x:v>
      </x:c>
      <x:c r="I1411" s="14"/>
      <x:c r="J1411" s="14"/>
      <x:c r="K1411" s="14"/>
      <x:c r="L1411" s="86" t="str">
        <x:f>IF($P1411="","",INDEX(Tasks!$N$10:$N$1941,$P1411))</x:f>
        <x:v>Not started</x:v>
      </x:c>
      <x:c r="M1411" s="87" t="n">
        <x:f>IF($P1411="","",INDEX(Tasks!$J$10:$J$1941,$P1411))</x:f>
        <x:v>46295</x:v>
      </x:c>
      <x:c r="N1411" s="85" t="str">
        <x:f>IF($P1411="","",HYPERLINK("#'"&amp;INDEX(Tasks!$T$10:$T$1941,$P1411)&amp;"'!A"&amp;INDEX(Tasks!$U$10:$U$1941,$P1411),"Open"))</x:f>
        <x:v>Open</x:v>
      </x:c>
      <x:c r="O1411" s="14"/>
      <x:c r="P1411" s="14" t="n">
        <x:f>IF(1390&gt;$B$10,"",MATCH(1390,Tasks!$S$10:$S$1941,0))</x:f>
        <x:v>1754</x:v>
      </x:c>
    </x:row>
    <x:row r="1412" ht="58" customHeight="1">
      <x:c r="B1412" s="86" t="str">
        <x:f>IF($P1412="","",INDEX(Tasks!$B$10:$B$1941,$P1412))</x:f>
        <x:v>Cycle 3</x:v>
      </x:c>
      <x:c r="C1412" s="86" t="str">
        <x:f>IF($P1412="","",INDEX(Tasks!$C$10:$C$1941,$P1412))</x:f>
        <x:v>Phase 1</x:v>
      </x:c>
      <x:c r="D1412" s="86" t="str">
        <x:f>IF($P1412="","",INDEX(Tasks!$D$10:$D$1941,$P1412))</x:f>
        <x:v>PLL</x:v>
      </x:c>
      <x:c r="E1412" s="86"/>
      <x:c r="F1412" s="86" t="str">
        <x:f>IF($P1412="","",INDEX(Tasks!$E$10:$E$1941,$P1412))</x:f>
        <x:v>Design &amp; Insights</x:v>
      </x:c>
      <x:c r="G1412" s="86"/>
      <x:c r="H1412" s="14" t="str">
        <x:f>IF($P1412="","",INDEX(Tasks!$F$10:$F$1941,$P1412)&amp;CHAR(10)&amp;INDEX(Tasks!$G$10:$G$1941,$P1412))</x:f>
        <x:v>DI.PL.1.3
Conduct high-level preliminary review of complaints within proposed topics</x:v>
      </x:c>
      <x:c r="I1412" s="14"/>
      <x:c r="J1412" s="14"/>
      <x:c r="K1412" s="14"/>
      <x:c r="L1412" s="86" t="str">
        <x:f>IF($P1412="","",INDEX(Tasks!$N$10:$N$1941,$P1412))</x:f>
        <x:v>Not started</x:v>
      </x:c>
      <x:c r="M1412" s="87" t="n">
        <x:f>IF($P1412="","",INDEX(Tasks!$J$10:$J$1941,$P1412))</x:f>
        <x:v>46295</x:v>
      </x:c>
      <x:c r="N1412" s="85" t="str">
        <x:f>IF($P1412="","",HYPERLINK("#'"&amp;INDEX(Tasks!$T$10:$T$1941,$P1412)&amp;"'!A"&amp;INDEX(Tasks!$U$10:$U$1941,$P1412),"Open"))</x:f>
        <x:v>Open</x:v>
      </x:c>
      <x:c r="O1412" s="14"/>
      <x:c r="P1412" s="14" t="n">
        <x:f>IF(1391&gt;$B$10,"",MATCH(1391,Tasks!$S$10:$S$1941,0))</x:f>
        <x:v>1755</x:v>
      </x:c>
    </x:row>
    <x:row r="1413" ht="58" customHeight="1">
      <x:c r="B1413" s="86" t="str">
        <x:f>IF($P1413="","",INDEX(Tasks!$B$10:$B$1941,$P1413))</x:f>
        <x:v>Cycle 3</x:v>
      </x:c>
      <x:c r="C1413" s="86" t="str">
        <x:f>IF($P1413="","",INDEX(Tasks!$C$10:$C$1941,$P1413))</x:f>
        <x:v>Phase 1</x:v>
      </x:c>
      <x:c r="D1413" s="86" t="str">
        <x:f>IF($P1413="","",INDEX(Tasks!$D$10:$D$1941,$P1413))</x:f>
        <x:v>PLL</x:v>
      </x:c>
      <x:c r="E1413" s="86"/>
      <x:c r="F1413" s="86" t="str">
        <x:f>IF($P1413="","",INDEX(Tasks!$E$10:$E$1941,$P1413))</x:f>
        <x:v>Design &amp; Insights</x:v>
      </x:c>
      <x:c r="G1413" s="86"/>
      <x:c r="H1413" s="14" t="str">
        <x:f>IF($P1413="","",INDEX(Tasks!$F$10:$F$1941,$P1413)&amp;CHAR(10)&amp;INDEX(Tasks!$G$10:$G$1941,$P1413))</x:f>
        <x:v>DI.PL.1.4
Meet with Research to discuss which topic to select based on potential impact</x:v>
      </x:c>
      <x:c r="I1413" s="14"/>
      <x:c r="J1413" s="14"/>
      <x:c r="K1413" s="14"/>
      <x:c r="L1413" s="86" t="str">
        <x:f>IF($P1413="","",INDEX(Tasks!$N$10:$N$1941,$P1413))</x:f>
        <x:v>Not started</x:v>
      </x:c>
      <x:c r="M1413" s="87" t="n">
        <x:f>IF($P1413="","",INDEX(Tasks!$J$10:$J$1941,$P1413))</x:f>
        <x:v>46295</x:v>
      </x:c>
      <x:c r="N1413" s="85" t="str">
        <x:f>IF($P1413="","",HYPERLINK("#'"&amp;INDEX(Tasks!$T$10:$T$1941,$P1413)&amp;"'!A"&amp;INDEX(Tasks!$U$10:$U$1941,$P1413),"Open"))</x:f>
        <x:v>Open</x:v>
      </x:c>
      <x:c r="O1413" s="14"/>
      <x:c r="P1413" s="14" t="n">
        <x:f>IF(1392&gt;$B$10,"",MATCH(1392,Tasks!$S$10:$S$1941,0))</x:f>
        <x:v>1756</x:v>
      </x:c>
    </x:row>
    <x:row r="1414" ht="58" customHeight="1">
      <x:c r="B1414" s="86" t="str">
        <x:f>IF($P1414="","",INDEX(Tasks!$B$10:$B$1941,$P1414))</x:f>
        <x:v>Cycle 3</x:v>
      </x:c>
      <x:c r="C1414" s="86" t="str">
        <x:f>IF($P1414="","",INDEX(Tasks!$C$10:$C$1941,$P1414))</x:f>
        <x:v>Phase 1</x:v>
      </x:c>
      <x:c r="D1414" s="86" t="str">
        <x:f>IF($P1414="","",INDEX(Tasks!$D$10:$D$1941,$P1414))</x:f>
        <x:v>PLL</x:v>
      </x:c>
      <x:c r="E1414" s="86"/>
      <x:c r="F1414" s="86" t="str">
        <x:f>IF($P1414="","",INDEX(Tasks!$E$10:$E$1941,$P1414))</x:f>
        <x:v>Design &amp; Insights</x:v>
      </x:c>
      <x:c r="G1414" s="86"/>
      <x:c r="H1414" s="14" t="str">
        <x:f>IF($P1414="","",INDEX(Tasks!$F$10:$F$1941,$P1414)&amp;CHAR(10)&amp;INDEX(Tasks!$G$10:$G$1941,$P1414))</x:f>
        <x:v>DI.PL.1.5
Confirm with Research the recommended topic for approval</x:v>
      </x:c>
      <x:c r="I1414" s="14"/>
      <x:c r="J1414" s="14"/>
      <x:c r="K1414" s="14"/>
      <x:c r="L1414" s="86" t="str">
        <x:f>IF($P1414="","",INDEX(Tasks!$N$10:$N$1941,$P1414))</x:f>
        <x:v>Not started</x:v>
      </x:c>
      <x:c r="M1414" s="87" t="n">
        <x:f>IF($P1414="","",INDEX(Tasks!$J$10:$J$1941,$P1414))</x:f>
        <x:v>46295</x:v>
      </x:c>
      <x:c r="N1414" s="85" t="str">
        <x:f>IF($P1414="","",HYPERLINK("#'"&amp;INDEX(Tasks!$T$10:$T$1941,$P1414)&amp;"'!A"&amp;INDEX(Tasks!$U$10:$U$1941,$P1414),"Open"))</x:f>
        <x:v>Open</x:v>
      </x:c>
      <x:c r="O1414" s="14"/>
      <x:c r="P1414" s="14" t="n">
        <x:f>IF(1393&gt;$B$10,"",MATCH(1393,Tasks!$S$10:$S$1941,0))</x:f>
        <x:v>1757</x:v>
      </x:c>
    </x:row>
    <x:row r="1415" ht="58" customHeight="1">
      <x:c r="B1415" s="86" t="str">
        <x:f>IF($P1415="","",INDEX(Tasks!$B$10:$B$1941,$P1415))</x:f>
        <x:v>Cycle 3</x:v>
      </x:c>
      <x:c r="C1415" s="86" t="str">
        <x:f>IF($P1415="","",INDEX(Tasks!$C$10:$C$1941,$P1415))</x:f>
        <x:v>Phase 1</x:v>
      </x:c>
      <x:c r="D1415" s="86" t="str">
        <x:f>IF($P1415="","",INDEX(Tasks!$D$10:$D$1941,$P1415))</x:f>
        <x:v>PLL</x:v>
      </x:c>
      <x:c r="E1415" s="86"/>
      <x:c r="F1415" s="86" t="str">
        <x:f>IF($P1415="","",INDEX(Tasks!$E$10:$E$1941,$P1415))</x:f>
        <x:v>Design &amp; Insights</x:v>
      </x:c>
      <x:c r="G1415" s="86"/>
      <x:c r="H1415" s="14" t="str">
        <x:f>IF($P1415="","",INDEX(Tasks!$F$10:$F$1941,$P1415)&amp;CHAR(10)&amp;INDEX(Tasks!$G$10:$G$1941,$P1415))</x:f>
        <x:v>DI.PL.1.6
Send topic selection socialization email to all key stakeholders on the first day of the review Cycle</x:v>
      </x:c>
      <x:c r="I1415" s="14"/>
      <x:c r="J1415" s="14"/>
      <x:c r="K1415" s="14"/>
      <x:c r="L1415" s="86" t="str">
        <x:f>IF($P1415="","",INDEX(Tasks!$N$10:$N$1941,$P1415))</x:f>
        <x:v>Not started</x:v>
      </x:c>
      <x:c r="M1415" s="87" t="n">
        <x:f>IF($P1415="","",INDEX(Tasks!$J$10:$J$1941,$P1415))</x:f>
        <x:v>46204</x:v>
      </x:c>
      <x:c r="N1415" s="85" t="str">
        <x:f>IF($P1415="","",HYPERLINK("#'"&amp;INDEX(Tasks!$T$10:$T$1941,$P1415)&amp;"'!A"&amp;INDEX(Tasks!$U$10:$U$1941,$P1415),"Open"))</x:f>
        <x:v>Open</x:v>
      </x:c>
      <x:c r="O1415" s="14"/>
      <x:c r="P1415" s="14" t="n">
        <x:f>IF(1394&gt;$B$10,"",MATCH(1394,Tasks!$S$10:$S$1941,0))</x:f>
        <x:v>1758</x:v>
      </x:c>
    </x:row>
    <x:row r="1416" ht="58" customHeight="1">
      <x:c r="B1416" s="86" t="str">
        <x:f>IF($P1416="","",INDEX(Tasks!$B$10:$B$1941,$P1416))</x:f>
        <x:v>Cycle 3</x:v>
      </x:c>
      <x:c r="C1416" s="86" t="str">
        <x:f>IF($P1416="","",INDEX(Tasks!$C$10:$C$1941,$P1416))</x:f>
        <x:v>Phase 2</x:v>
      </x:c>
      <x:c r="D1416" s="86" t="str">
        <x:f>IF($P1416="","",INDEX(Tasks!$D$10:$D$1941,$P1416))</x:f>
        <x:v>PLL</x:v>
      </x:c>
      <x:c r="E1416" s="86"/>
      <x:c r="F1416" s="86" t="str">
        <x:f>IF($P1416="","",INDEX(Tasks!$E$10:$E$1941,$P1416))</x:f>
        <x:v>Design &amp; Insights</x:v>
      </x:c>
      <x:c r="G1416" s="86"/>
      <x:c r="H1416" s="14" t="str">
        <x:f>IF($P1416="","",INDEX(Tasks!$F$10:$F$1941,$P1416)&amp;CHAR(10)&amp;INDEX(Tasks!$G$10:$G$1941,$P1416))</x:f>
        <x:v>DI.PL.2.1
Meet regularly with Research to stay informed on progress, findings, and potential enhancement</x:v>
      </x:c>
      <x:c r="I1416" s="14"/>
      <x:c r="J1416" s="14"/>
      <x:c r="K1416" s="14"/>
      <x:c r="L1416" s="86" t="str">
        <x:f>IF($P1416="","",INDEX(Tasks!$N$10:$N$1941,$P1416))</x:f>
        <x:v>Not started</x:v>
      </x:c>
      <x:c r="M1416" s="87" t="n">
        <x:f>IF($P1416="","",INDEX(Tasks!$J$10:$J$1941,$P1416))</x:f>
        <x:v>46295</x:v>
      </x:c>
      <x:c r="N1416" s="85" t="str">
        <x:f>IF($P1416="","",HYPERLINK("#'"&amp;INDEX(Tasks!$T$10:$T$1941,$P1416)&amp;"'!A"&amp;INDEX(Tasks!$U$10:$U$1941,$P1416),"Open"))</x:f>
        <x:v>Open</x:v>
      </x:c>
      <x:c r="O1416" s="14"/>
      <x:c r="P1416" s="14" t="n">
        <x:f>IF(1395&gt;$B$10,"",MATCH(1395,Tasks!$S$10:$S$1941,0))</x:f>
        <x:v>1759</x:v>
      </x:c>
    </x:row>
    <x:row r="1417" ht="58" customHeight="1">
      <x:c r="B1417" s="86" t="str">
        <x:f>IF($P1417="","",INDEX(Tasks!$B$10:$B$1941,$P1417))</x:f>
        <x:v>Cycle 3</x:v>
      </x:c>
      <x:c r="C1417" s="86" t="str">
        <x:f>IF($P1417="","",INDEX(Tasks!$C$10:$C$1941,$P1417))</x:f>
        <x:v>Phase 2</x:v>
      </x:c>
      <x:c r="D1417" s="86" t="str">
        <x:f>IF($P1417="","",INDEX(Tasks!$D$10:$D$1941,$P1417))</x:f>
        <x:v>PLL</x:v>
      </x:c>
      <x:c r="E1417" s="86"/>
      <x:c r="F1417" s="86" t="str">
        <x:f>IF($P1417="","",INDEX(Tasks!$E$10:$E$1941,$P1417))</x:f>
        <x:v>Design &amp; Insights</x:v>
      </x:c>
      <x:c r="G1417" s="86"/>
      <x:c r="H1417" s="14" t="str">
        <x:f>IF($P1417="","",INDEX(Tasks!$F$10:$F$1941,$P1417)&amp;CHAR(10)&amp;INDEX(Tasks!$G$10:$G$1941,$P1417))</x:f>
        <x:v>DI.PL.2.2
Collaborate with Research on research plan specifics</x:v>
      </x:c>
      <x:c r="I1417" s="14"/>
      <x:c r="J1417" s="14"/>
      <x:c r="K1417" s="14"/>
      <x:c r="L1417" s="86" t="str">
        <x:f>IF($P1417="","",INDEX(Tasks!$N$10:$N$1941,$P1417))</x:f>
        <x:v>Not started</x:v>
      </x:c>
      <x:c r="M1417" s="87" t="n">
        <x:f>IF($P1417="","",INDEX(Tasks!$J$10:$J$1941,$P1417))</x:f>
        <x:v>46295</x:v>
      </x:c>
      <x:c r="N1417" s="85" t="str">
        <x:f>IF($P1417="","",HYPERLINK("#'"&amp;INDEX(Tasks!$T$10:$T$1941,$P1417)&amp;"'!A"&amp;INDEX(Tasks!$U$10:$U$1941,$P1417),"Open"))</x:f>
        <x:v>Open</x:v>
      </x:c>
      <x:c r="O1417" s="14"/>
      <x:c r="P1417" s="14" t="n">
        <x:f>IF(1396&gt;$B$10,"",MATCH(1396,Tasks!$S$10:$S$1941,0))</x:f>
        <x:v>1760</x:v>
      </x:c>
    </x:row>
    <x:row r="1418" ht="58" customHeight="1">
      <x:c r="B1418" s="86" t="str">
        <x:f>IF($P1418="","",INDEX(Tasks!$B$10:$B$1941,$P1418))</x:f>
        <x:v>Cycle 3</x:v>
      </x:c>
      <x:c r="C1418" s="86" t="str">
        <x:f>IF($P1418="","",INDEX(Tasks!$C$10:$C$1941,$P1418))</x:f>
        <x:v>Phase 2</x:v>
      </x:c>
      <x:c r="D1418" s="86" t="str">
        <x:f>IF($P1418="","",INDEX(Tasks!$D$10:$D$1941,$P1418))</x:f>
        <x:v>PLL</x:v>
      </x:c>
      <x:c r="E1418" s="86"/>
      <x:c r="F1418" s="86" t="str">
        <x:f>IF($P1418="","",INDEX(Tasks!$E$10:$E$1941,$P1418))</x:f>
        <x:v>Design &amp; Insights</x:v>
      </x:c>
      <x:c r="G1418" s="86"/>
      <x:c r="H1418" s="14" t="str">
        <x:f>IF($P1418="","",INDEX(Tasks!$F$10:$F$1941,$P1418)&amp;CHAR(10)&amp;INDEX(Tasks!$G$10:$G$1941,$P1418))</x:f>
        <x:v>DI.PL.2.3
Participate in SME insight meetings to gain perspective and appetite on potential enhancements</x:v>
      </x:c>
      <x:c r="I1418" s="14"/>
      <x:c r="J1418" s="14"/>
      <x:c r="K1418" s="14"/>
      <x:c r="L1418" s="86" t="str">
        <x:f>IF($P1418="","",INDEX(Tasks!$N$10:$N$1941,$P1418))</x:f>
        <x:v>Not started</x:v>
      </x:c>
      <x:c r="M1418" s="87" t="n">
        <x:f>IF($P1418="","",INDEX(Tasks!$J$10:$J$1941,$P1418))</x:f>
        <x:v>46295</x:v>
      </x:c>
      <x:c r="N1418" s="85" t="str">
        <x:f>IF($P1418="","",HYPERLINK("#'"&amp;INDEX(Tasks!$T$10:$T$1941,$P1418)&amp;"'!A"&amp;INDEX(Tasks!$U$10:$U$1941,$P1418),"Open"))</x:f>
        <x:v>Open</x:v>
      </x:c>
      <x:c r="O1418" s="14"/>
      <x:c r="P1418" s="14" t="n">
        <x:f>IF(1397&gt;$B$10,"",MATCH(1397,Tasks!$S$10:$S$1941,0))</x:f>
        <x:v>1761</x:v>
      </x:c>
    </x:row>
    <x:row r="1419" ht="58" customHeight="1">
      <x:c r="B1419" s="86" t="str">
        <x:f>IF($P1419="","",INDEX(Tasks!$B$10:$B$1941,$P1419))</x:f>
        <x:v>Cycle 3</x:v>
      </x:c>
      <x:c r="C1419" s="86" t="str">
        <x:f>IF($P1419="","",INDEX(Tasks!$C$10:$C$1941,$P1419))</x:f>
        <x:v>Phase 2</x:v>
      </x:c>
      <x:c r="D1419" s="86" t="str">
        <x:f>IF($P1419="","",INDEX(Tasks!$D$10:$D$1941,$P1419))</x:f>
        <x:v>PLL</x:v>
      </x:c>
      <x:c r="E1419" s="86"/>
      <x:c r="F1419" s="86" t="str">
        <x:f>IF($P1419="","",INDEX(Tasks!$E$10:$E$1941,$P1419))</x:f>
        <x:v>Design &amp; Insights</x:v>
      </x:c>
      <x:c r="G1419" s="86"/>
      <x:c r="H1419" s="14" t="str">
        <x:f>IF($P1419="","",INDEX(Tasks!$F$10:$F$1941,$P1419)&amp;CHAR(10)&amp;INDEX(Tasks!$G$10:$G$1941,$P1419))</x:f>
        <x:v>DI.PL.2.4
Begin development of presentation materials as Research is being completed</x:v>
      </x:c>
      <x:c r="I1419" s="14"/>
      <x:c r="J1419" s="14"/>
      <x:c r="K1419" s="14"/>
      <x:c r="L1419" s="86" t="str">
        <x:f>IF($P1419="","",INDEX(Tasks!$N$10:$N$1941,$P1419))</x:f>
        <x:v>Not started</x:v>
      </x:c>
      <x:c r="M1419" s="87" t="n">
        <x:f>IF($P1419="","",INDEX(Tasks!$J$10:$J$1941,$P1419))</x:f>
        <x:v>46295</x:v>
      </x:c>
      <x:c r="N1419" s="85" t="str">
        <x:f>IF($P1419="","",HYPERLINK("#'"&amp;INDEX(Tasks!$T$10:$T$1941,$P1419)&amp;"'!A"&amp;INDEX(Tasks!$U$10:$U$1941,$P1419),"Open"))</x:f>
        <x:v>Open</x:v>
      </x:c>
      <x:c r="O1419" s="14"/>
      <x:c r="P1419" s="14" t="n">
        <x:f>IF(1398&gt;$B$10,"",MATCH(1398,Tasks!$S$10:$S$1941,0))</x:f>
        <x:v>1762</x:v>
      </x:c>
    </x:row>
    <x:row r="1420" ht="58" customHeight="1">
      <x:c r="B1420" s="86" t="str">
        <x:f>IF($P1420="","",INDEX(Tasks!$B$10:$B$1941,$P1420))</x:f>
        <x:v>Cycle 3</x:v>
      </x:c>
      <x:c r="C1420" s="86" t="str">
        <x:f>IF($P1420="","",INDEX(Tasks!$C$10:$C$1941,$P1420))</x:f>
        <x:v>Phase 2</x:v>
      </x:c>
      <x:c r="D1420" s="86" t="str">
        <x:f>IF($P1420="","",INDEX(Tasks!$D$10:$D$1941,$P1420))</x:f>
        <x:v>PLL</x:v>
      </x:c>
      <x:c r="E1420" s="86"/>
      <x:c r="F1420" s="86" t="str">
        <x:f>IF($P1420="","",INDEX(Tasks!$E$10:$E$1941,$P1420))</x:f>
        <x:v>Design &amp; Insights</x:v>
      </x:c>
      <x:c r="G1420" s="86"/>
      <x:c r="H1420" s="14" t="str">
        <x:f>IF($P1420="","",INDEX(Tasks!$F$10:$F$1941,$P1420)&amp;CHAR(10)&amp;INDEX(Tasks!$G$10:$G$1941,$P1420))</x:f>
        <x:v>DI.PL.2.5
Draft initial enhancement recommendations (as applicable)</x:v>
      </x:c>
      <x:c r="I1420" s="14"/>
      <x:c r="J1420" s="14"/>
      <x:c r="K1420" s="14"/>
      <x:c r="L1420" s="86" t="str">
        <x:f>IF($P1420="","",INDEX(Tasks!$N$10:$N$1941,$P1420))</x:f>
        <x:v>Not started</x:v>
      </x:c>
      <x:c r="M1420" s="87" t="n">
        <x:f>IF($P1420="","",INDEX(Tasks!$J$10:$J$1941,$P1420))</x:f>
        <x:v>46295</x:v>
      </x:c>
      <x:c r="N1420" s="85" t="str">
        <x:f>IF($P1420="","",HYPERLINK("#'"&amp;INDEX(Tasks!$T$10:$T$1941,$P1420)&amp;"'!A"&amp;INDEX(Tasks!$U$10:$U$1941,$P1420),"Open"))</x:f>
        <x:v>Open</x:v>
      </x:c>
      <x:c r="O1420" s="14"/>
      <x:c r="P1420" s="14" t="n">
        <x:f>IF(1399&gt;$B$10,"",MATCH(1399,Tasks!$S$10:$S$1941,0))</x:f>
        <x:v>1763</x:v>
      </x:c>
    </x:row>
    <x:row r="1421" ht="58" customHeight="1">
      <x:c r="B1421" s="86" t="str">
        <x:f>IF($P1421="","",INDEX(Tasks!$B$10:$B$1941,$P1421))</x:f>
        <x:v>Cycle 3</x:v>
      </x:c>
      <x:c r="C1421" s="86" t="str">
        <x:f>IF($P1421="","",INDEX(Tasks!$C$10:$C$1941,$P1421))</x:f>
        <x:v>Phase 2</x:v>
      </x:c>
      <x:c r="D1421" s="86" t="str">
        <x:f>IF($P1421="","",INDEX(Tasks!$D$10:$D$1941,$P1421))</x:f>
        <x:v>PLL</x:v>
      </x:c>
      <x:c r="E1421" s="86"/>
      <x:c r="F1421" s="86" t="str">
        <x:f>IF($P1421="","",INDEX(Tasks!$E$10:$E$1941,$P1421))</x:f>
        <x:v>Design &amp; Insights</x:v>
      </x:c>
      <x:c r="G1421" s="86"/>
      <x:c r="H1421" s="14" t="str">
        <x:f>IF($P1421="","",INDEX(Tasks!$F$10:$F$1941,$P1421)&amp;CHAR(10)&amp;INDEX(Tasks!$G$10:$G$1941,$P1421))</x:f>
        <x:v>DI.PL.2.6
Finalize presentation deck draft at conclusion of Research phase</x:v>
      </x:c>
      <x:c r="I1421" s="14"/>
      <x:c r="J1421" s="14"/>
      <x:c r="K1421" s="14"/>
      <x:c r="L1421" s="86" t="str">
        <x:f>IF($P1421="","",INDEX(Tasks!$N$10:$N$1941,$P1421))</x:f>
        <x:v>Not started</x:v>
      </x:c>
      <x:c r="M1421" s="87" t="n">
        <x:f>IF($P1421="","",INDEX(Tasks!$J$10:$J$1941,$P1421))</x:f>
        <x:v>46295</x:v>
      </x:c>
      <x:c r="N1421" s="85" t="str">
        <x:f>IF($P1421="","",HYPERLINK("#'"&amp;INDEX(Tasks!$T$10:$T$1941,$P1421)&amp;"'!A"&amp;INDEX(Tasks!$U$10:$U$1941,$P1421),"Open"))</x:f>
        <x:v>Open</x:v>
      </x:c>
      <x:c r="O1421" s="14"/>
      <x:c r="P1421" s="14" t="n">
        <x:f>IF(1400&gt;$B$10,"",MATCH(1400,Tasks!$S$10:$S$1941,0))</x:f>
        <x:v>1764</x:v>
      </x:c>
    </x:row>
    <x:row r="1422" ht="58" customHeight="1">
      <x:c r="B1422" s="86" t="str">
        <x:f>IF($P1422="","",INDEX(Tasks!$B$10:$B$1941,$P1422))</x:f>
        <x:v>Cycle 3</x:v>
      </x:c>
      <x:c r="C1422" s="86" t="str">
        <x:f>IF($P1422="","",INDEX(Tasks!$C$10:$C$1941,$P1422))</x:f>
        <x:v>Phase 2</x:v>
      </x:c>
      <x:c r="D1422" s="86" t="str">
        <x:f>IF($P1422="","",INDEX(Tasks!$D$10:$D$1941,$P1422))</x:f>
        <x:v>PLL</x:v>
      </x:c>
      <x:c r="E1422" s="86"/>
      <x:c r="F1422" s="86" t="str">
        <x:f>IF($P1422="","",INDEX(Tasks!$E$10:$E$1941,$P1422))</x:f>
        <x:v>Design &amp; Insights</x:v>
      </x:c>
      <x:c r="G1422" s="86"/>
      <x:c r="H1422" s="14" t="str">
        <x:f>IF($P1422="","",INDEX(Tasks!$F$10:$F$1941,$P1422)&amp;CHAR(10)&amp;INDEX(Tasks!$G$10:$G$1941,$P1422))</x:f>
        <x:v>DI.PL.2.7
Update Outcome portion of research plan with current enhancement verbiage (as needed)</x:v>
      </x:c>
      <x:c r="I1422" s="14"/>
      <x:c r="J1422" s="14"/>
      <x:c r="K1422" s="14"/>
      <x:c r="L1422" s="86" t="str">
        <x:f>IF($P1422="","",INDEX(Tasks!$N$10:$N$1941,$P1422))</x:f>
        <x:v>Not started</x:v>
      </x:c>
      <x:c r="M1422" s="87" t="n">
        <x:f>IF($P1422="","",INDEX(Tasks!$J$10:$J$1941,$P1422))</x:f>
        <x:v>46295</x:v>
      </x:c>
      <x:c r="N1422" s="85" t="str">
        <x:f>IF($P1422="","",HYPERLINK("#'"&amp;INDEX(Tasks!$T$10:$T$1941,$P1422)&amp;"'!A"&amp;INDEX(Tasks!$U$10:$U$1941,$P1422),"Open"))</x:f>
        <x:v>Open</x:v>
      </x:c>
      <x:c r="O1422" s="14"/>
      <x:c r="P1422" s="14" t="n">
        <x:f>IF(1401&gt;$B$10,"",MATCH(1401,Tasks!$S$10:$S$1941,0))</x:f>
        <x:v>1765</x:v>
      </x:c>
    </x:row>
    <x:row r="1423" ht="58" customHeight="1">
      <x:c r="B1423" s="86" t="str">
        <x:f>IF($P1423="","",INDEX(Tasks!$B$10:$B$1941,$P1423))</x:f>
        <x:v>Cycle 3</x:v>
      </x:c>
      <x:c r="C1423" s="86" t="str">
        <x:f>IF($P1423="","",INDEX(Tasks!$C$10:$C$1941,$P1423))</x:f>
        <x:v>Phase 3</x:v>
      </x:c>
      <x:c r="D1423" s="86" t="str">
        <x:f>IF($P1423="","",INDEX(Tasks!$D$10:$D$1941,$P1423))</x:f>
        <x:v>PLL</x:v>
      </x:c>
      <x:c r="E1423" s="86"/>
      <x:c r="F1423" s="86" t="str">
        <x:f>IF($P1423="","",INDEX(Tasks!$E$10:$E$1941,$P1423))</x:f>
        <x:v>Design &amp; Insights</x:v>
      </x:c>
      <x:c r="G1423" s="86"/>
      <x:c r="H1423" s="14" t="str">
        <x:f>IF($P1423="","",INDEX(Tasks!$F$10:$F$1941,$P1423)&amp;CHAR(10)&amp;INDEX(Tasks!$G$10:$G$1941,$P1423))</x:f>
        <x:v>DI.PL.3.1
Confirm list of required &amp; optional attendees for pre-socialization meeting</x:v>
      </x:c>
      <x:c r="I1423" s="14"/>
      <x:c r="J1423" s="14"/>
      <x:c r="K1423" s="14"/>
      <x:c r="L1423" s="86" t="str">
        <x:f>IF($P1423="","",INDEX(Tasks!$N$10:$N$1941,$P1423))</x:f>
        <x:v>Not started</x:v>
      </x:c>
      <x:c r="M1423" s="87" t="n">
        <x:f>IF($P1423="","",INDEX(Tasks!$J$10:$J$1941,$P1423))</x:f>
        <x:v>46295</x:v>
      </x:c>
      <x:c r="N1423" s="85" t="str">
        <x:f>IF($P1423="","",HYPERLINK("#'"&amp;INDEX(Tasks!$T$10:$T$1941,$P1423)&amp;"'!A"&amp;INDEX(Tasks!$U$10:$U$1941,$P1423),"Open"))</x:f>
        <x:v>Open</x:v>
      </x:c>
      <x:c r="O1423" s="14"/>
      <x:c r="P1423" s="14" t="n">
        <x:f>IF(1402&gt;$B$10,"",MATCH(1402,Tasks!$S$10:$S$1941,0))</x:f>
        <x:v>1766</x:v>
      </x:c>
    </x:row>
    <x:row r="1424" ht="58" customHeight="1">
      <x:c r="B1424" s="86" t="str">
        <x:f>IF($P1424="","",INDEX(Tasks!$B$10:$B$1941,$P1424))</x:f>
        <x:v>Cycle 3</x:v>
      </x:c>
      <x:c r="C1424" s="86" t="str">
        <x:f>IF($P1424="","",INDEX(Tasks!$C$10:$C$1941,$P1424))</x:f>
        <x:v>Phase 3</x:v>
      </x:c>
      <x:c r="D1424" s="86" t="str">
        <x:f>IF($P1424="","",INDEX(Tasks!$D$10:$D$1941,$P1424))</x:f>
        <x:v>PLL</x:v>
      </x:c>
      <x:c r="E1424" s="86"/>
      <x:c r="F1424" s="86" t="str">
        <x:f>IF($P1424="","",INDEX(Tasks!$E$10:$E$1941,$P1424))</x:f>
        <x:v>Design &amp; Insights</x:v>
      </x:c>
      <x:c r="G1424" s="86"/>
      <x:c r="H1424" s="14" t="str">
        <x:f>IF($P1424="","",INDEX(Tasks!$F$10:$F$1941,$P1424)&amp;CHAR(10)&amp;INDEX(Tasks!$G$10:$G$1941,$P1424))</x:f>
        <x:v>DI.PL.3.2
Schedule pre-socialization meeting 1 week prior to RCA Forum</x:v>
      </x:c>
      <x:c r="I1424" s="14"/>
      <x:c r="J1424" s="14"/>
      <x:c r="K1424" s="14"/>
      <x:c r="L1424" s="86" t="str">
        <x:f>IF($P1424="","",INDEX(Tasks!$N$10:$N$1941,$P1424))</x:f>
        <x:v>Not started</x:v>
      </x:c>
      <x:c r="M1424" s="87" t="str">
        <x:f>IF($P1424="","",INDEX(Tasks!$J$10:$J$1941,$P1424))</x:f>
      </x:c>
      <x:c r="N1424" s="85" t="str">
        <x:f>IF($P1424="","",HYPERLINK("#'"&amp;INDEX(Tasks!$T$10:$T$1941,$P1424)&amp;"'!A"&amp;INDEX(Tasks!$U$10:$U$1941,$P1424),"Open"))</x:f>
        <x:v>Open</x:v>
      </x:c>
      <x:c r="O1424" s="14"/>
      <x:c r="P1424" s="14" t="n">
        <x:f>IF(1403&gt;$B$10,"",MATCH(1403,Tasks!$S$10:$S$1941,0))</x:f>
        <x:v>1767</x:v>
      </x:c>
    </x:row>
    <x:row r="1425" ht="58" customHeight="1">
      <x:c r="B1425" s="86" t="str">
        <x:f>IF($P1425="","",INDEX(Tasks!$B$10:$B$1941,$P1425))</x:f>
        <x:v>Cycle 3</x:v>
      </x:c>
      <x:c r="C1425" s="86" t="str">
        <x:f>IF($P1425="","",INDEX(Tasks!$C$10:$C$1941,$P1425))</x:f>
        <x:v>Phase 3</x:v>
      </x:c>
      <x:c r="D1425" s="86" t="str">
        <x:f>IF($P1425="","",INDEX(Tasks!$D$10:$D$1941,$P1425))</x:f>
        <x:v>PLL</x:v>
      </x:c>
      <x:c r="E1425" s="86"/>
      <x:c r="F1425" s="86" t="str">
        <x:f>IF($P1425="","",INDEX(Tasks!$E$10:$E$1941,$P1425))</x:f>
        <x:v>Design &amp; Insights</x:v>
      </x:c>
      <x:c r="G1425" s="86"/>
      <x:c r="H1425" s="14" t="str">
        <x:f>IF($P1425="","",INDEX(Tasks!$F$10:$F$1941,$P1425)&amp;CHAR(10)&amp;INDEX(Tasks!$G$10:$G$1941,$P1425))</x:f>
        <x:v>DI.PL.3.3
Present findings, conclusions, and recommendation to SMEs</x:v>
      </x:c>
      <x:c r="I1425" s="14"/>
      <x:c r="J1425" s="14"/>
      <x:c r="K1425" s="14"/>
      <x:c r="L1425" s="86" t="str">
        <x:f>IF($P1425="","",INDEX(Tasks!$N$10:$N$1941,$P1425))</x:f>
        <x:v>Not started</x:v>
      </x:c>
      <x:c r="M1425" s="87" t="n">
        <x:f>IF($P1425="","",INDEX(Tasks!$J$10:$J$1941,$P1425))</x:f>
        <x:v>46295</x:v>
      </x:c>
      <x:c r="N1425" s="85" t="str">
        <x:f>IF($P1425="","",HYPERLINK("#'"&amp;INDEX(Tasks!$T$10:$T$1941,$P1425)&amp;"'!A"&amp;INDEX(Tasks!$U$10:$U$1941,$P1425),"Open"))</x:f>
        <x:v>Open</x:v>
      </x:c>
      <x:c r="O1425" s="14"/>
      <x:c r="P1425" s="14" t="n">
        <x:f>IF(1404&gt;$B$10,"",MATCH(1404,Tasks!$S$10:$S$1941,0))</x:f>
        <x:v>1768</x:v>
      </x:c>
    </x:row>
    <x:row r="1426" ht="58" customHeight="1">
      <x:c r="B1426" s="86" t="str">
        <x:f>IF($P1426="","",INDEX(Tasks!$B$10:$B$1941,$P1426))</x:f>
        <x:v>Cycle 3</x:v>
      </x:c>
      <x:c r="C1426" s="86" t="str">
        <x:f>IF($P1426="","",INDEX(Tasks!$C$10:$C$1941,$P1426))</x:f>
        <x:v>Phase 3</x:v>
      </x:c>
      <x:c r="D1426" s="86" t="str">
        <x:f>IF($P1426="","",INDEX(Tasks!$D$10:$D$1941,$P1426))</x:f>
        <x:v>PLL</x:v>
      </x:c>
      <x:c r="E1426" s="86"/>
      <x:c r="F1426" s="86" t="str">
        <x:f>IF($P1426="","",INDEX(Tasks!$E$10:$E$1941,$P1426))</x:f>
        <x:v>Design &amp; Insights</x:v>
      </x:c>
      <x:c r="G1426" s="86"/>
      <x:c r="H1426" s="14" t="str">
        <x:f>IF($P1426="","",INDEX(Tasks!$F$10:$F$1941,$P1426)&amp;CHAR(10)&amp;INDEX(Tasks!$G$10:$G$1941,$P1426))</x:f>
        <x:v>DI.PL.3.4
Update Outcome portion of research plan (as needed)</x:v>
      </x:c>
      <x:c r="I1426" s="14"/>
      <x:c r="J1426" s="14"/>
      <x:c r="K1426" s="14"/>
      <x:c r="L1426" s="86" t="str">
        <x:f>IF($P1426="","",INDEX(Tasks!$N$10:$N$1941,$P1426))</x:f>
        <x:v>Not started</x:v>
      </x:c>
      <x:c r="M1426" s="87" t="n">
        <x:f>IF($P1426="","",INDEX(Tasks!$J$10:$J$1941,$P1426))</x:f>
        <x:v>46295</x:v>
      </x:c>
      <x:c r="N1426" s="85" t="str">
        <x:f>IF($P1426="","",HYPERLINK("#'"&amp;INDEX(Tasks!$T$10:$T$1941,$P1426)&amp;"'!A"&amp;INDEX(Tasks!$U$10:$U$1941,$P1426),"Open"))</x:f>
        <x:v>Open</x:v>
      </x:c>
      <x:c r="O1426" s="14"/>
      <x:c r="P1426" s="14" t="n">
        <x:f>IF(1405&gt;$B$10,"",MATCH(1405,Tasks!$S$10:$S$1941,0))</x:f>
        <x:v>1769</x:v>
      </x:c>
    </x:row>
    <x:row r="1427" ht="58" customHeight="1">
      <x:c r="B1427" s="86" t="str">
        <x:f>IF($P1427="","",INDEX(Tasks!$B$10:$B$1941,$P1427))</x:f>
        <x:v>Cycle 3</x:v>
      </x:c>
      <x:c r="C1427" s="86" t="str">
        <x:f>IF($P1427="","",INDEX(Tasks!$C$10:$C$1941,$P1427))</x:f>
        <x:v>Phase 3</x:v>
      </x:c>
      <x:c r="D1427" s="86" t="str">
        <x:f>IF($P1427="","",INDEX(Tasks!$D$10:$D$1941,$P1427))</x:f>
        <x:v>PLL</x:v>
      </x:c>
      <x:c r="E1427" s="86"/>
      <x:c r="F1427" s="86" t="str">
        <x:f>IF($P1427="","",INDEX(Tasks!$E$10:$E$1941,$P1427))</x:f>
        <x:v>Design &amp; Insights</x:v>
      </x:c>
      <x:c r="G1427" s="86"/>
      <x:c r="H1427" s="14" t="str">
        <x:f>IF($P1427="","",INDEX(Tasks!$F$10:$F$1941,$P1427)&amp;CHAR(10)&amp;INDEX(Tasks!$G$10:$G$1941,$P1427))</x:f>
        <x:v>DI.PL.3.5
Finalize presentation deck by incorporating pre-socialization feedback (as needed)</x:v>
      </x:c>
      <x:c r="I1427" s="14"/>
      <x:c r="J1427" s="14"/>
      <x:c r="K1427" s="14"/>
      <x:c r="L1427" s="86" t="str">
        <x:f>IF($P1427="","",INDEX(Tasks!$N$10:$N$1941,$P1427))</x:f>
        <x:v>Not started</x:v>
      </x:c>
      <x:c r="M1427" s="87" t="n">
        <x:f>IF($P1427="","",INDEX(Tasks!$J$10:$J$1941,$P1427))</x:f>
        <x:v>46295</x:v>
      </x:c>
      <x:c r="N1427" s="85" t="str">
        <x:f>IF($P1427="","",HYPERLINK("#'"&amp;INDEX(Tasks!$T$10:$T$1941,$P1427)&amp;"'!A"&amp;INDEX(Tasks!$U$10:$U$1941,$P1427),"Open"))</x:f>
        <x:v>Open</x:v>
      </x:c>
      <x:c r="O1427" s="14"/>
      <x:c r="P1427" s="14" t="n">
        <x:f>IF(1406&gt;$B$10,"",MATCH(1406,Tasks!$S$10:$S$1941,0))</x:f>
        <x:v>1770</x:v>
      </x:c>
    </x:row>
    <x:row r="1428" ht="58" customHeight="1">
      <x:c r="B1428" s="86" t="str">
        <x:f>IF($P1428="","",INDEX(Tasks!$B$10:$B$1941,$P1428))</x:f>
        <x:v>Cycle 3</x:v>
      </x:c>
      <x:c r="C1428" s="86" t="str">
        <x:f>IF($P1428="","",INDEX(Tasks!$C$10:$C$1941,$P1428))</x:f>
        <x:v>Phase 3</x:v>
      </x:c>
      <x:c r="D1428" s="86" t="str">
        <x:f>IF($P1428="","",INDEX(Tasks!$D$10:$D$1941,$P1428))</x:f>
        <x:v>PLL</x:v>
      </x:c>
      <x:c r="E1428" s="86"/>
      <x:c r="F1428" s="86" t="str">
        <x:f>IF($P1428="","",INDEX(Tasks!$E$10:$E$1941,$P1428))</x:f>
        <x:v>Design &amp; Insights</x:v>
      </x:c>
      <x:c r="G1428" s="86"/>
      <x:c r="H1428" s="14" t="str">
        <x:f>IF($P1428="","",INDEX(Tasks!$F$10:$F$1941,$P1428)&amp;CHAR(10)&amp;INDEX(Tasks!$G$10:$G$1941,$P1428))</x:f>
        <x:v>DI.PL.3.6
Ensure final deck is communicated to Forum attendees</x:v>
      </x:c>
      <x:c r="I1428" s="14"/>
      <x:c r="J1428" s="14"/>
      <x:c r="K1428" s="14"/>
      <x:c r="L1428" s="86" t="str">
        <x:f>IF($P1428="","",INDEX(Tasks!$N$10:$N$1941,$P1428))</x:f>
        <x:v>Not started</x:v>
      </x:c>
      <x:c r="M1428" s="87" t="n">
        <x:f>IF($P1428="","",INDEX(Tasks!$J$10:$J$1941,$P1428))</x:f>
        <x:v>46295</x:v>
      </x:c>
      <x:c r="N1428" s="85" t="str">
        <x:f>IF($P1428="","",HYPERLINK("#'"&amp;INDEX(Tasks!$T$10:$T$1941,$P1428)&amp;"'!A"&amp;INDEX(Tasks!$U$10:$U$1941,$P1428),"Open"))</x:f>
        <x:v>Open</x:v>
      </x:c>
      <x:c r="O1428" s="14"/>
      <x:c r="P1428" s="14" t="n">
        <x:f>IF(1407&gt;$B$10,"",MATCH(1407,Tasks!$S$10:$S$1941,0))</x:f>
        <x:v>1771</x:v>
      </x:c>
    </x:row>
    <x:row r="1429" ht="58" customHeight="1">
      <x:c r="B1429" s="86" t="str">
        <x:f>IF($P1429="","",INDEX(Tasks!$B$10:$B$1941,$P1429))</x:f>
        <x:v>Cycle 3</x:v>
      </x:c>
      <x:c r="C1429" s="86" t="str">
        <x:f>IF($P1429="","",INDEX(Tasks!$C$10:$C$1941,$P1429))</x:f>
        <x:v>Phase 3</x:v>
      </x:c>
      <x:c r="D1429" s="86" t="str">
        <x:f>IF($P1429="","",INDEX(Tasks!$D$10:$D$1941,$P1429))</x:f>
        <x:v>PLL</x:v>
      </x:c>
      <x:c r="E1429" s="86"/>
      <x:c r="F1429" s="86" t="str">
        <x:f>IF($P1429="","",INDEX(Tasks!$E$10:$E$1941,$P1429))</x:f>
        <x:v>Design &amp; Insights</x:v>
      </x:c>
      <x:c r="G1429" s="86"/>
      <x:c r="H1429" s="14" t="str">
        <x:f>IF($P1429="","",INDEX(Tasks!$F$10:$F$1941,$P1429)&amp;CHAR(10)&amp;INDEX(Tasks!$G$10:$G$1941,$P1429))</x:f>
        <x:v>DI.PL.3.7
Present material in RCA Cycle Forum</x:v>
      </x:c>
      <x:c r="I1429" s="14"/>
      <x:c r="J1429" s="14"/>
      <x:c r="K1429" s="14"/>
      <x:c r="L1429" s="86" t="str">
        <x:f>IF($P1429="","",INDEX(Tasks!$N$10:$N$1941,$P1429))</x:f>
        <x:v>Not started</x:v>
      </x:c>
      <x:c r="M1429" s="87" t="str">
        <x:f>IF($P1429="","",INDEX(Tasks!$J$10:$J$1941,$P1429))</x:f>
      </x:c>
      <x:c r="N1429" s="85" t="str">
        <x:f>IF($P1429="","",HYPERLINK("#'"&amp;INDEX(Tasks!$T$10:$T$1941,$P1429)&amp;"'!A"&amp;INDEX(Tasks!$U$10:$U$1941,$P1429),"Open"))</x:f>
        <x:v>Open</x:v>
      </x:c>
      <x:c r="O1429" s="14"/>
      <x:c r="P1429" s="14" t="n">
        <x:f>IF(1408&gt;$B$10,"",MATCH(1408,Tasks!$S$10:$S$1941,0))</x:f>
        <x:v>1772</x:v>
      </x:c>
    </x:row>
    <x:row r="1430" ht="58" customHeight="1">
      <x:c r="B1430" s="86" t="str">
        <x:f>IF($P1430="","",INDEX(Tasks!$B$10:$B$1941,$P1430))</x:f>
        <x:v>Cycle 3</x:v>
      </x:c>
      <x:c r="C1430" s="86" t="str">
        <x:f>IF($P1430="","",INDEX(Tasks!$C$10:$C$1941,$P1430))</x:f>
        <x:v>Phase 1</x:v>
      </x:c>
      <x:c r="D1430" s="86" t="str">
        <x:f>IF($P1430="","",INDEX(Tasks!$D$10:$D$1941,$P1430))</x:f>
        <x:v>Retail Services</x:v>
      </x:c>
      <x:c r="E1430" s="86"/>
      <x:c r="F1430" s="86" t="str">
        <x:f>IF($P1430="","",INDEX(Tasks!$E$10:$E$1941,$P1430))</x:f>
        <x:v>Design &amp; Insights</x:v>
      </x:c>
      <x:c r="G1430" s="86"/>
      <x:c r="H1430" s="14" t="str">
        <x:f>IF($P1430="","",INDEX(Tasks!$F$10:$F$1941,$P1430)&amp;CHAR(10)&amp;INDEX(Tasks!$G$10:$G$1941,$P1430))</x:f>
        <x:v>DI.RS.1.1
Receive and review potential research topics at least 2 weeks prior to Cycle start date</x:v>
      </x:c>
      <x:c r="I1430" s="14"/>
      <x:c r="J1430" s="14"/>
      <x:c r="K1430" s="14"/>
      <x:c r="L1430" s="86" t="str">
        <x:f>IF($P1430="","",INDEX(Tasks!$N$10:$N$1941,$P1430))</x:f>
        <x:v>Not started</x:v>
      </x:c>
      <x:c r="M1430" s="87" t="n">
        <x:f>IF($P1430="","",INDEX(Tasks!$J$10:$J$1941,$P1430))</x:f>
        <x:v>46190</x:v>
      </x:c>
      <x:c r="N1430" s="85" t="str">
        <x:f>IF($P1430="","",HYPERLINK("#'"&amp;INDEX(Tasks!$T$10:$T$1941,$P1430)&amp;"'!A"&amp;INDEX(Tasks!$U$10:$U$1941,$P1430),"Open"))</x:f>
        <x:v>Open</x:v>
      </x:c>
      <x:c r="O1430" s="14"/>
      <x:c r="P1430" s="14" t="n">
        <x:f>IF(1409&gt;$B$10,"",MATCH(1409,Tasks!$S$10:$S$1941,0))</x:f>
        <x:v>1773</x:v>
      </x:c>
    </x:row>
    <x:row r="1431" ht="58" customHeight="1">
      <x:c r="B1431" s="86" t="str">
        <x:f>IF($P1431="","",INDEX(Tasks!$B$10:$B$1941,$P1431))</x:f>
        <x:v>Cycle 3</x:v>
      </x:c>
      <x:c r="C1431" s="86" t="str">
        <x:f>IF($P1431="","",INDEX(Tasks!$C$10:$C$1941,$P1431))</x:f>
        <x:v>Phase 1</x:v>
      </x:c>
      <x:c r="D1431" s="86" t="str">
        <x:f>IF($P1431="","",INDEX(Tasks!$D$10:$D$1941,$P1431))</x:f>
        <x:v>Retail Services</x:v>
      </x:c>
      <x:c r="E1431" s="86"/>
      <x:c r="F1431" s="86" t="str">
        <x:f>IF($P1431="","",INDEX(Tasks!$E$10:$E$1941,$P1431))</x:f>
        <x:v>Design &amp; Insights</x:v>
      </x:c>
      <x:c r="G1431" s="86"/>
      <x:c r="H1431" s="14" t="str">
        <x:f>IF($P1431="","",INDEX(Tasks!$F$10:$F$1941,$P1431)&amp;CHAR(10)&amp;INDEX(Tasks!$G$10:$G$1941,$P1431))</x:f>
        <x:v>DI.RS.1.2
Communicate any feedback on preferences or concerns with topics identified</x:v>
      </x:c>
      <x:c r="I1431" s="14"/>
      <x:c r="J1431" s="14"/>
      <x:c r="K1431" s="14"/>
      <x:c r="L1431" s="86" t="str">
        <x:f>IF($P1431="","",INDEX(Tasks!$N$10:$N$1941,$P1431))</x:f>
        <x:v>Not started</x:v>
      </x:c>
      <x:c r="M1431" s="87" t="n">
        <x:f>IF($P1431="","",INDEX(Tasks!$J$10:$J$1941,$P1431))</x:f>
        <x:v>46295</x:v>
      </x:c>
      <x:c r="N1431" s="85" t="str">
        <x:f>IF($P1431="","",HYPERLINK("#'"&amp;INDEX(Tasks!$T$10:$T$1941,$P1431)&amp;"'!A"&amp;INDEX(Tasks!$U$10:$U$1941,$P1431),"Open"))</x:f>
        <x:v>Open</x:v>
      </x:c>
      <x:c r="O1431" s="14"/>
      <x:c r="P1431" s="14" t="n">
        <x:f>IF(1410&gt;$B$10,"",MATCH(1410,Tasks!$S$10:$S$1941,0))</x:f>
        <x:v>1774</x:v>
      </x:c>
    </x:row>
    <x:row r="1432" ht="58" customHeight="1">
      <x:c r="B1432" s="86" t="str">
        <x:f>IF($P1432="","",INDEX(Tasks!$B$10:$B$1941,$P1432))</x:f>
        <x:v>Cycle 3</x:v>
      </x:c>
      <x:c r="C1432" s="86" t="str">
        <x:f>IF($P1432="","",INDEX(Tasks!$C$10:$C$1941,$P1432))</x:f>
        <x:v>Phase 1</x:v>
      </x:c>
      <x:c r="D1432" s="86" t="str">
        <x:f>IF($P1432="","",INDEX(Tasks!$D$10:$D$1941,$P1432))</x:f>
        <x:v>Retail Services</x:v>
      </x:c>
      <x:c r="E1432" s="86"/>
      <x:c r="F1432" s="86" t="str">
        <x:f>IF($P1432="","",INDEX(Tasks!$E$10:$E$1941,$P1432))</x:f>
        <x:v>Design &amp; Insights</x:v>
      </x:c>
      <x:c r="G1432" s="86"/>
      <x:c r="H1432" s="14" t="str">
        <x:f>IF($P1432="","",INDEX(Tasks!$F$10:$F$1941,$P1432)&amp;CHAR(10)&amp;INDEX(Tasks!$G$10:$G$1941,$P1432))</x:f>
        <x:v>DI.RS.1.3
Conduct high-level preliminary review of complaints within proposed topics</x:v>
      </x:c>
      <x:c r="I1432" s="14"/>
      <x:c r="J1432" s="14"/>
      <x:c r="K1432" s="14"/>
      <x:c r="L1432" s="86" t="str">
        <x:f>IF($P1432="","",INDEX(Tasks!$N$10:$N$1941,$P1432))</x:f>
        <x:v>Not started</x:v>
      </x:c>
      <x:c r="M1432" s="87" t="n">
        <x:f>IF($P1432="","",INDEX(Tasks!$J$10:$J$1941,$P1432))</x:f>
        <x:v>46295</x:v>
      </x:c>
      <x:c r="N1432" s="85" t="str">
        <x:f>IF($P1432="","",HYPERLINK("#'"&amp;INDEX(Tasks!$T$10:$T$1941,$P1432)&amp;"'!A"&amp;INDEX(Tasks!$U$10:$U$1941,$P1432),"Open"))</x:f>
        <x:v>Open</x:v>
      </x:c>
      <x:c r="O1432" s="14"/>
      <x:c r="P1432" s="14" t="n">
        <x:f>IF(1411&gt;$B$10,"",MATCH(1411,Tasks!$S$10:$S$1941,0))</x:f>
        <x:v>1775</x:v>
      </x:c>
    </x:row>
    <x:row r="1433" ht="58" customHeight="1">
      <x:c r="B1433" s="86" t="str">
        <x:f>IF($P1433="","",INDEX(Tasks!$B$10:$B$1941,$P1433))</x:f>
        <x:v>Cycle 3</x:v>
      </x:c>
      <x:c r="C1433" s="86" t="str">
        <x:f>IF($P1433="","",INDEX(Tasks!$C$10:$C$1941,$P1433))</x:f>
        <x:v>Phase 1</x:v>
      </x:c>
      <x:c r="D1433" s="86" t="str">
        <x:f>IF($P1433="","",INDEX(Tasks!$D$10:$D$1941,$P1433))</x:f>
        <x:v>Retail Services</x:v>
      </x:c>
      <x:c r="E1433" s="86"/>
      <x:c r="F1433" s="86" t="str">
        <x:f>IF($P1433="","",INDEX(Tasks!$E$10:$E$1941,$P1433))</x:f>
        <x:v>Design &amp; Insights</x:v>
      </x:c>
      <x:c r="G1433" s="86"/>
      <x:c r="H1433" s="14" t="str">
        <x:f>IF($P1433="","",INDEX(Tasks!$F$10:$F$1941,$P1433)&amp;CHAR(10)&amp;INDEX(Tasks!$G$10:$G$1941,$P1433))</x:f>
        <x:v>DI.RS.1.4
Meet with Research to discuss which topic to select based on potential impact</x:v>
      </x:c>
      <x:c r="I1433" s="14"/>
      <x:c r="J1433" s="14"/>
      <x:c r="K1433" s="14"/>
      <x:c r="L1433" s="86" t="str">
        <x:f>IF($P1433="","",INDEX(Tasks!$N$10:$N$1941,$P1433))</x:f>
        <x:v>Not started</x:v>
      </x:c>
      <x:c r="M1433" s="87" t="n">
        <x:f>IF($P1433="","",INDEX(Tasks!$J$10:$J$1941,$P1433))</x:f>
        <x:v>46295</x:v>
      </x:c>
      <x:c r="N1433" s="85" t="str">
        <x:f>IF($P1433="","",HYPERLINK("#'"&amp;INDEX(Tasks!$T$10:$T$1941,$P1433)&amp;"'!A"&amp;INDEX(Tasks!$U$10:$U$1941,$P1433),"Open"))</x:f>
        <x:v>Open</x:v>
      </x:c>
      <x:c r="O1433" s="14"/>
      <x:c r="P1433" s="14" t="n">
        <x:f>IF(1412&gt;$B$10,"",MATCH(1412,Tasks!$S$10:$S$1941,0))</x:f>
        <x:v>1776</x:v>
      </x:c>
    </x:row>
    <x:row r="1434" ht="58" customHeight="1">
      <x:c r="B1434" s="86" t="str">
        <x:f>IF($P1434="","",INDEX(Tasks!$B$10:$B$1941,$P1434))</x:f>
        <x:v>Cycle 3</x:v>
      </x:c>
      <x:c r="C1434" s="86" t="str">
        <x:f>IF($P1434="","",INDEX(Tasks!$C$10:$C$1941,$P1434))</x:f>
        <x:v>Phase 1</x:v>
      </x:c>
      <x:c r="D1434" s="86" t="str">
        <x:f>IF($P1434="","",INDEX(Tasks!$D$10:$D$1941,$P1434))</x:f>
        <x:v>Retail Services</x:v>
      </x:c>
      <x:c r="E1434" s="86"/>
      <x:c r="F1434" s="86" t="str">
        <x:f>IF($P1434="","",INDEX(Tasks!$E$10:$E$1941,$P1434))</x:f>
        <x:v>Design &amp; Insights</x:v>
      </x:c>
      <x:c r="G1434" s="86"/>
      <x:c r="H1434" s="14" t="str">
        <x:f>IF($P1434="","",INDEX(Tasks!$F$10:$F$1941,$P1434)&amp;CHAR(10)&amp;INDEX(Tasks!$G$10:$G$1941,$P1434))</x:f>
        <x:v>DI.RS.1.5
Confirm with Research the recommended topic for approval</x:v>
      </x:c>
      <x:c r="I1434" s="14"/>
      <x:c r="J1434" s="14"/>
      <x:c r="K1434" s="14"/>
      <x:c r="L1434" s="86" t="str">
        <x:f>IF($P1434="","",INDEX(Tasks!$N$10:$N$1941,$P1434))</x:f>
        <x:v>Not started</x:v>
      </x:c>
      <x:c r="M1434" s="87" t="n">
        <x:f>IF($P1434="","",INDEX(Tasks!$J$10:$J$1941,$P1434))</x:f>
        <x:v>46295</x:v>
      </x:c>
      <x:c r="N1434" s="85" t="str">
        <x:f>IF($P1434="","",HYPERLINK("#'"&amp;INDEX(Tasks!$T$10:$T$1941,$P1434)&amp;"'!A"&amp;INDEX(Tasks!$U$10:$U$1941,$P1434),"Open"))</x:f>
        <x:v>Open</x:v>
      </x:c>
      <x:c r="O1434" s="14"/>
      <x:c r="P1434" s="14" t="n">
        <x:f>IF(1413&gt;$B$10,"",MATCH(1413,Tasks!$S$10:$S$1941,0))</x:f>
        <x:v>1777</x:v>
      </x:c>
    </x:row>
    <x:row r="1435" ht="58" customHeight="1">
      <x:c r="B1435" s="86" t="str">
        <x:f>IF($P1435="","",INDEX(Tasks!$B$10:$B$1941,$P1435))</x:f>
        <x:v>Cycle 3</x:v>
      </x:c>
      <x:c r="C1435" s="86" t="str">
        <x:f>IF($P1435="","",INDEX(Tasks!$C$10:$C$1941,$P1435))</x:f>
        <x:v>Phase 1</x:v>
      </x:c>
      <x:c r="D1435" s="86" t="str">
        <x:f>IF($P1435="","",INDEX(Tasks!$D$10:$D$1941,$P1435))</x:f>
        <x:v>Retail Services</x:v>
      </x:c>
      <x:c r="E1435" s="86"/>
      <x:c r="F1435" s="86" t="str">
        <x:f>IF($P1435="","",INDEX(Tasks!$E$10:$E$1941,$P1435))</x:f>
        <x:v>Design &amp; Insights</x:v>
      </x:c>
      <x:c r="G1435" s="86"/>
      <x:c r="H1435" s="14" t="str">
        <x:f>IF($P1435="","",INDEX(Tasks!$F$10:$F$1941,$P1435)&amp;CHAR(10)&amp;INDEX(Tasks!$G$10:$G$1941,$P1435))</x:f>
        <x:v>DI.RS.1.6
Send topic selection socialization email to all key stakeholders on the first day of the review Cycle</x:v>
      </x:c>
      <x:c r="I1435" s="14"/>
      <x:c r="J1435" s="14"/>
      <x:c r="K1435" s="14"/>
      <x:c r="L1435" s="86" t="str">
        <x:f>IF($P1435="","",INDEX(Tasks!$N$10:$N$1941,$P1435))</x:f>
        <x:v>Not started</x:v>
      </x:c>
      <x:c r="M1435" s="87" t="n">
        <x:f>IF($P1435="","",INDEX(Tasks!$J$10:$J$1941,$P1435))</x:f>
        <x:v>46204</x:v>
      </x:c>
      <x:c r="N1435" s="85" t="str">
        <x:f>IF($P1435="","",HYPERLINK("#'"&amp;INDEX(Tasks!$T$10:$T$1941,$P1435)&amp;"'!A"&amp;INDEX(Tasks!$U$10:$U$1941,$P1435),"Open"))</x:f>
        <x:v>Open</x:v>
      </x:c>
      <x:c r="O1435" s="14"/>
      <x:c r="P1435" s="14" t="n">
        <x:f>IF(1414&gt;$B$10,"",MATCH(1414,Tasks!$S$10:$S$1941,0))</x:f>
        <x:v>1778</x:v>
      </x:c>
    </x:row>
    <x:row r="1436" ht="58" customHeight="1">
      <x:c r="B1436" s="86" t="str">
        <x:f>IF($P1436="","",INDEX(Tasks!$B$10:$B$1941,$P1436))</x:f>
        <x:v>Cycle 3</x:v>
      </x:c>
      <x:c r="C1436" s="86" t="str">
        <x:f>IF($P1436="","",INDEX(Tasks!$C$10:$C$1941,$P1436))</x:f>
        <x:v>Phase 2</x:v>
      </x:c>
      <x:c r="D1436" s="86" t="str">
        <x:f>IF($P1436="","",INDEX(Tasks!$D$10:$D$1941,$P1436))</x:f>
        <x:v>Retail Services</x:v>
      </x:c>
      <x:c r="E1436" s="86"/>
      <x:c r="F1436" s="86" t="str">
        <x:f>IF($P1436="","",INDEX(Tasks!$E$10:$E$1941,$P1436))</x:f>
        <x:v>Design &amp; Insights</x:v>
      </x:c>
      <x:c r="G1436" s="86"/>
      <x:c r="H1436" s="14" t="str">
        <x:f>IF($P1436="","",INDEX(Tasks!$F$10:$F$1941,$P1436)&amp;CHAR(10)&amp;INDEX(Tasks!$G$10:$G$1941,$P1436))</x:f>
        <x:v>DI.RS.2.1
Meet regularly with Research to stay informed on progress, findings, and potential enhancement</x:v>
      </x:c>
      <x:c r="I1436" s="14"/>
      <x:c r="J1436" s="14"/>
      <x:c r="K1436" s="14"/>
      <x:c r="L1436" s="86" t="str">
        <x:f>IF($P1436="","",INDEX(Tasks!$N$10:$N$1941,$P1436))</x:f>
        <x:v>Not started</x:v>
      </x:c>
      <x:c r="M1436" s="87" t="n">
        <x:f>IF($P1436="","",INDEX(Tasks!$J$10:$J$1941,$P1436))</x:f>
        <x:v>46295</x:v>
      </x:c>
      <x:c r="N1436" s="85" t="str">
        <x:f>IF($P1436="","",HYPERLINK("#'"&amp;INDEX(Tasks!$T$10:$T$1941,$P1436)&amp;"'!A"&amp;INDEX(Tasks!$U$10:$U$1941,$P1436),"Open"))</x:f>
        <x:v>Open</x:v>
      </x:c>
      <x:c r="O1436" s="14"/>
      <x:c r="P1436" s="14" t="n">
        <x:f>IF(1415&gt;$B$10,"",MATCH(1415,Tasks!$S$10:$S$1941,0))</x:f>
        <x:v>1779</x:v>
      </x:c>
    </x:row>
    <x:row r="1437" ht="58" customHeight="1">
      <x:c r="B1437" s="86" t="str">
        <x:f>IF($P1437="","",INDEX(Tasks!$B$10:$B$1941,$P1437))</x:f>
        <x:v>Cycle 3</x:v>
      </x:c>
      <x:c r="C1437" s="86" t="str">
        <x:f>IF($P1437="","",INDEX(Tasks!$C$10:$C$1941,$P1437))</x:f>
        <x:v>Phase 2</x:v>
      </x:c>
      <x:c r="D1437" s="86" t="str">
        <x:f>IF($P1437="","",INDEX(Tasks!$D$10:$D$1941,$P1437))</x:f>
        <x:v>Retail Services</x:v>
      </x:c>
      <x:c r="E1437" s="86"/>
      <x:c r="F1437" s="86" t="str">
        <x:f>IF($P1437="","",INDEX(Tasks!$E$10:$E$1941,$P1437))</x:f>
        <x:v>Design &amp; Insights</x:v>
      </x:c>
      <x:c r="G1437" s="86"/>
      <x:c r="H1437" s="14" t="str">
        <x:f>IF($P1437="","",INDEX(Tasks!$F$10:$F$1941,$P1437)&amp;CHAR(10)&amp;INDEX(Tasks!$G$10:$G$1941,$P1437))</x:f>
        <x:v>DI.RS.2.2
Collaborate with Research on research plan specifics</x:v>
      </x:c>
      <x:c r="I1437" s="14"/>
      <x:c r="J1437" s="14"/>
      <x:c r="K1437" s="14"/>
      <x:c r="L1437" s="86" t="str">
        <x:f>IF($P1437="","",INDEX(Tasks!$N$10:$N$1941,$P1437))</x:f>
        <x:v>Not started</x:v>
      </x:c>
      <x:c r="M1437" s="87" t="n">
        <x:f>IF($P1437="","",INDEX(Tasks!$J$10:$J$1941,$P1437))</x:f>
        <x:v>46295</x:v>
      </x:c>
      <x:c r="N1437" s="85" t="str">
        <x:f>IF($P1437="","",HYPERLINK("#'"&amp;INDEX(Tasks!$T$10:$T$1941,$P1437)&amp;"'!A"&amp;INDEX(Tasks!$U$10:$U$1941,$P1437),"Open"))</x:f>
        <x:v>Open</x:v>
      </x:c>
      <x:c r="O1437" s="14"/>
      <x:c r="P1437" s="14" t="n">
        <x:f>IF(1416&gt;$B$10,"",MATCH(1416,Tasks!$S$10:$S$1941,0))</x:f>
        <x:v>1780</x:v>
      </x:c>
    </x:row>
    <x:row r="1438" ht="58" customHeight="1">
      <x:c r="B1438" s="86" t="str">
        <x:f>IF($P1438="","",INDEX(Tasks!$B$10:$B$1941,$P1438))</x:f>
        <x:v>Cycle 3</x:v>
      </x:c>
      <x:c r="C1438" s="86" t="str">
        <x:f>IF($P1438="","",INDEX(Tasks!$C$10:$C$1941,$P1438))</x:f>
        <x:v>Phase 2</x:v>
      </x:c>
      <x:c r="D1438" s="86" t="str">
        <x:f>IF($P1438="","",INDEX(Tasks!$D$10:$D$1941,$P1438))</x:f>
        <x:v>Retail Services</x:v>
      </x:c>
      <x:c r="E1438" s="86"/>
      <x:c r="F1438" s="86" t="str">
        <x:f>IF($P1438="","",INDEX(Tasks!$E$10:$E$1941,$P1438))</x:f>
        <x:v>Design &amp; Insights</x:v>
      </x:c>
      <x:c r="G1438" s="86"/>
      <x:c r="H1438" s="14" t="str">
        <x:f>IF($P1438="","",INDEX(Tasks!$F$10:$F$1941,$P1438)&amp;CHAR(10)&amp;INDEX(Tasks!$G$10:$G$1941,$P1438))</x:f>
        <x:v>DI.RS.2.3
Participate in SME insight meetings to gain perspective and appetite on potential enhancements</x:v>
      </x:c>
      <x:c r="I1438" s="14"/>
      <x:c r="J1438" s="14"/>
      <x:c r="K1438" s="14"/>
      <x:c r="L1438" s="86" t="str">
        <x:f>IF($P1438="","",INDEX(Tasks!$N$10:$N$1941,$P1438))</x:f>
        <x:v>Not started</x:v>
      </x:c>
      <x:c r="M1438" s="87" t="n">
        <x:f>IF($P1438="","",INDEX(Tasks!$J$10:$J$1941,$P1438))</x:f>
        <x:v>46295</x:v>
      </x:c>
      <x:c r="N1438" s="85" t="str">
        <x:f>IF($P1438="","",HYPERLINK("#'"&amp;INDEX(Tasks!$T$10:$T$1941,$P1438)&amp;"'!A"&amp;INDEX(Tasks!$U$10:$U$1941,$P1438),"Open"))</x:f>
        <x:v>Open</x:v>
      </x:c>
      <x:c r="O1438" s="14"/>
      <x:c r="P1438" s="14" t="n">
        <x:f>IF(1417&gt;$B$10,"",MATCH(1417,Tasks!$S$10:$S$1941,0))</x:f>
        <x:v>1781</x:v>
      </x:c>
    </x:row>
    <x:row r="1439" ht="58" customHeight="1">
      <x:c r="B1439" s="86" t="str">
        <x:f>IF($P1439="","",INDEX(Tasks!$B$10:$B$1941,$P1439))</x:f>
        <x:v>Cycle 3</x:v>
      </x:c>
      <x:c r="C1439" s="86" t="str">
        <x:f>IF($P1439="","",INDEX(Tasks!$C$10:$C$1941,$P1439))</x:f>
        <x:v>Phase 2</x:v>
      </x:c>
      <x:c r="D1439" s="86" t="str">
        <x:f>IF($P1439="","",INDEX(Tasks!$D$10:$D$1941,$P1439))</x:f>
        <x:v>Retail Services</x:v>
      </x:c>
      <x:c r="E1439" s="86"/>
      <x:c r="F1439" s="86" t="str">
        <x:f>IF($P1439="","",INDEX(Tasks!$E$10:$E$1941,$P1439))</x:f>
        <x:v>Design &amp; Insights</x:v>
      </x:c>
      <x:c r="G1439" s="86"/>
      <x:c r="H1439" s="14" t="str">
        <x:f>IF($P1439="","",INDEX(Tasks!$F$10:$F$1941,$P1439)&amp;CHAR(10)&amp;INDEX(Tasks!$G$10:$G$1941,$P1439))</x:f>
        <x:v>DI.RS.2.4
Begin development of presentation materials as Research is being completed</x:v>
      </x:c>
      <x:c r="I1439" s="14"/>
      <x:c r="J1439" s="14"/>
      <x:c r="K1439" s="14"/>
      <x:c r="L1439" s="86" t="str">
        <x:f>IF($P1439="","",INDEX(Tasks!$N$10:$N$1941,$P1439))</x:f>
        <x:v>Not started</x:v>
      </x:c>
      <x:c r="M1439" s="87" t="n">
        <x:f>IF($P1439="","",INDEX(Tasks!$J$10:$J$1941,$P1439))</x:f>
        <x:v>46295</x:v>
      </x:c>
      <x:c r="N1439" s="85" t="str">
        <x:f>IF($P1439="","",HYPERLINK("#'"&amp;INDEX(Tasks!$T$10:$T$1941,$P1439)&amp;"'!A"&amp;INDEX(Tasks!$U$10:$U$1941,$P1439),"Open"))</x:f>
        <x:v>Open</x:v>
      </x:c>
      <x:c r="O1439" s="14"/>
      <x:c r="P1439" s="14" t="n">
        <x:f>IF(1418&gt;$B$10,"",MATCH(1418,Tasks!$S$10:$S$1941,0))</x:f>
        <x:v>1782</x:v>
      </x:c>
    </x:row>
    <x:row r="1440" ht="58" customHeight="1">
      <x:c r="B1440" s="86" t="str">
        <x:f>IF($P1440="","",INDEX(Tasks!$B$10:$B$1941,$P1440))</x:f>
        <x:v>Cycle 3</x:v>
      </x:c>
      <x:c r="C1440" s="86" t="str">
        <x:f>IF($P1440="","",INDEX(Tasks!$C$10:$C$1941,$P1440))</x:f>
        <x:v>Phase 2</x:v>
      </x:c>
      <x:c r="D1440" s="86" t="str">
        <x:f>IF($P1440="","",INDEX(Tasks!$D$10:$D$1941,$P1440))</x:f>
        <x:v>Retail Services</x:v>
      </x:c>
      <x:c r="E1440" s="86"/>
      <x:c r="F1440" s="86" t="str">
        <x:f>IF($P1440="","",INDEX(Tasks!$E$10:$E$1941,$P1440))</x:f>
        <x:v>Design &amp; Insights</x:v>
      </x:c>
      <x:c r="G1440" s="86"/>
      <x:c r="H1440" s="14" t="str">
        <x:f>IF($P1440="","",INDEX(Tasks!$F$10:$F$1941,$P1440)&amp;CHAR(10)&amp;INDEX(Tasks!$G$10:$G$1941,$P1440))</x:f>
        <x:v>DI.RS.2.5
Draft initial enhancement recommendations (as applicable)</x:v>
      </x:c>
      <x:c r="I1440" s="14"/>
      <x:c r="J1440" s="14"/>
      <x:c r="K1440" s="14"/>
      <x:c r="L1440" s="86" t="str">
        <x:f>IF($P1440="","",INDEX(Tasks!$N$10:$N$1941,$P1440))</x:f>
        <x:v>Not started</x:v>
      </x:c>
      <x:c r="M1440" s="87" t="n">
        <x:f>IF($P1440="","",INDEX(Tasks!$J$10:$J$1941,$P1440))</x:f>
        <x:v>46295</x:v>
      </x:c>
      <x:c r="N1440" s="85" t="str">
        <x:f>IF($P1440="","",HYPERLINK("#'"&amp;INDEX(Tasks!$T$10:$T$1941,$P1440)&amp;"'!A"&amp;INDEX(Tasks!$U$10:$U$1941,$P1440),"Open"))</x:f>
        <x:v>Open</x:v>
      </x:c>
      <x:c r="O1440" s="14"/>
      <x:c r="P1440" s="14" t="n">
        <x:f>IF(1419&gt;$B$10,"",MATCH(1419,Tasks!$S$10:$S$1941,0))</x:f>
        <x:v>1783</x:v>
      </x:c>
    </x:row>
    <x:row r="1441" ht="58" customHeight="1">
      <x:c r="B1441" s="86" t="str">
        <x:f>IF($P1441="","",INDEX(Tasks!$B$10:$B$1941,$P1441))</x:f>
        <x:v>Cycle 3</x:v>
      </x:c>
      <x:c r="C1441" s="86" t="str">
        <x:f>IF($P1441="","",INDEX(Tasks!$C$10:$C$1941,$P1441))</x:f>
        <x:v>Phase 2</x:v>
      </x:c>
      <x:c r="D1441" s="86" t="str">
        <x:f>IF($P1441="","",INDEX(Tasks!$D$10:$D$1941,$P1441))</x:f>
        <x:v>Retail Services</x:v>
      </x:c>
      <x:c r="E1441" s="86"/>
      <x:c r="F1441" s="86" t="str">
        <x:f>IF($P1441="","",INDEX(Tasks!$E$10:$E$1941,$P1441))</x:f>
        <x:v>Design &amp; Insights</x:v>
      </x:c>
      <x:c r="G1441" s="86"/>
      <x:c r="H1441" s="14" t="str">
        <x:f>IF($P1441="","",INDEX(Tasks!$F$10:$F$1941,$P1441)&amp;CHAR(10)&amp;INDEX(Tasks!$G$10:$G$1941,$P1441))</x:f>
        <x:v>DI.RS.2.6
Finalize presentation deck draft at conclusion of Research phase</x:v>
      </x:c>
      <x:c r="I1441" s="14"/>
      <x:c r="J1441" s="14"/>
      <x:c r="K1441" s="14"/>
      <x:c r="L1441" s="86" t="str">
        <x:f>IF($P1441="","",INDEX(Tasks!$N$10:$N$1941,$P1441))</x:f>
        <x:v>Not started</x:v>
      </x:c>
      <x:c r="M1441" s="87" t="n">
        <x:f>IF($P1441="","",INDEX(Tasks!$J$10:$J$1941,$P1441))</x:f>
        <x:v>46295</x:v>
      </x:c>
      <x:c r="N1441" s="85" t="str">
        <x:f>IF($P1441="","",HYPERLINK("#'"&amp;INDEX(Tasks!$T$10:$T$1941,$P1441)&amp;"'!A"&amp;INDEX(Tasks!$U$10:$U$1941,$P1441),"Open"))</x:f>
        <x:v>Open</x:v>
      </x:c>
      <x:c r="O1441" s="14"/>
      <x:c r="P1441" s="14" t="n">
        <x:f>IF(1420&gt;$B$10,"",MATCH(1420,Tasks!$S$10:$S$1941,0))</x:f>
        <x:v>1784</x:v>
      </x:c>
    </x:row>
    <x:row r="1442" ht="58" customHeight="1">
      <x:c r="B1442" s="86" t="str">
        <x:f>IF($P1442="","",INDEX(Tasks!$B$10:$B$1941,$P1442))</x:f>
        <x:v>Cycle 3</x:v>
      </x:c>
      <x:c r="C1442" s="86" t="str">
        <x:f>IF($P1442="","",INDEX(Tasks!$C$10:$C$1941,$P1442))</x:f>
        <x:v>Phase 2</x:v>
      </x:c>
      <x:c r="D1442" s="86" t="str">
        <x:f>IF($P1442="","",INDEX(Tasks!$D$10:$D$1941,$P1442))</x:f>
        <x:v>Retail Services</x:v>
      </x:c>
      <x:c r="E1442" s="86"/>
      <x:c r="F1442" s="86" t="str">
        <x:f>IF($P1442="","",INDEX(Tasks!$E$10:$E$1941,$P1442))</x:f>
        <x:v>Design &amp; Insights</x:v>
      </x:c>
      <x:c r="G1442" s="86"/>
      <x:c r="H1442" s="14" t="str">
        <x:f>IF($P1442="","",INDEX(Tasks!$F$10:$F$1941,$P1442)&amp;CHAR(10)&amp;INDEX(Tasks!$G$10:$G$1941,$P1442))</x:f>
        <x:v>DI.RS.2.7
Update Outcome portion of research plan with current enhancement verbiage (as needed)</x:v>
      </x:c>
      <x:c r="I1442" s="14"/>
      <x:c r="J1442" s="14"/>
      <x:c r="K1442" s="14"/>
      <x:c r="L1442" s="86" t="str">
        <x:f>IF($P1442="","",INDEX(Tasks!$N$10:$N$1941,$P1442))</x:f>
        <x:v>Not started</x:v>
      </x:c>
      <x:c r="M1442" s="87" t="n">
        <x:f>IF($P1442="","",INDEX(Tasks!$J$10:$J$1941,$P1442))</x:f>
        <x:v>46295</x:v>
      </x:c>
      <x:c r="N1442" s="85" t="str">
        <x:f>IF($P1442="","",HYPERLINK("#'"&amp;INDEX(Tasks!$T$10:$T$1941,$P1442)&amp;"'!A"&amp;INDEX(Tasks!$U$10:$U$1941,$P1442),"Open"))</x:f>
        <x:v>Open</x:v>
      </x:c>
      <x:c r="O1442" s="14"/>
      <x:c r="P1442" s="14" t="n">
        <x:f>IF(1421&gt;$B$10,"",MATCH(1421,Tasks!$S$10:$S$1941,0))</x:f>
        <x:v>1785</x:v>
      </x:c>
    </x:row>
    <x:row r="1443" ht="58" customHeight="1">
      <x:c r="B1443" s="86" t="str">
        <x:f>IF($P1443="","",INDEX(Tasks!$B$10:$B$1941,$P1443))</x:f>
        <x:v>Cycle 3</x:v>
      </x:c>
      <x:c r="C1443" s="86" t="str">
        <x:f>IF($P1443="","",INDEX(Tasks!$C$10:$C$1941,$P1443))</x:f>
        <x:v>Phase 3</x:v>
      </x:c>
      <x:c r="D1443" s="86" t="str">
        <x:f>IF($P1443="","",INDEX(Tasks!$D$10:$D$1941,$P1443))</x:f>
        <x:v>Retail Services</x:v>
      </x:c>
      <x:c r="E1443" s="86"/>
      <x:c r="F1443" s="86" t="str">
        <x:f>IF($P1443="","",INDEX(Tasks!$E$10:$E$1941,$P1443))</x:f>
        <x:v>Design &amp; Insights</x:v>
      </x:c>
      <x:c r="G1443" s="86"/>
      <x:c r="H1443" s="14" t="str">
        <x:f>IF($P1443="","",INDEX(Tasks!$F$10:$F$1941,$P1443)&amp;CHAR(10)&amp;INDEX(Tasks!$G$10:$G$1941,$P1443))</x:f>
        <x:v>DI.RS.3.1
Confirm list of required &amp; optional attendees for pre-socialization meeting</x:v>
      </x:c>
      <x:c r="I1443" s="14"/>
      <x:c r="J1443" s="14"/>
      <x:c r="K1443" s="14"/>
      <x:c r="L1443" s="86" t="str">
        <x:f>IF($P1443="","",INDEX(Tasks!$N$10:$N$1941,$P1443))</x:f>
        <x:v>Not started</x:v>
      </x:c>
      <x:c r="M1443" s="87" t="n">
        <x:f>IF($P1443="","",INDEX(Tasks!$J$10:$J$1941,$P1443))</x:f>
        <x:v>46295</x:v>
      </x:c>
      <x:c r="N1443" s="85" t="str">
        <x:f>IF($P1443="","",HYPERLINK("#'"&amp;INDEX(Tasks!$T$10:$T$1941,$P1443)&amp;"'!A"&amp;INDEX(Tasks!$U$10:$U$1941,$P1443),"Open"))</x:f>
        <x:v>Open</x:v>
      </x:c>
      <x:c r="O1443" s="14"/>
      <x:c r="P1443" s="14" t="n">
        <x:f>IF(1422&gt;$B$10,"",MATCH(1422,Tasks!$S$10:$S$1941,0))</x:f>
        <x:v>1786</x:v>
      </x:c>
    </x:row>
    <x:row r="1444" ht="58" customHeight="1">
      <x:c r="B1444" s="86" t="str">
        <x:f>IF($P1444="","",INDEX(Tasks!$B$10:$B$1941,$P1444))</x:f>
        <x:v>Cycle 3</x:v>
      </x:c>
      <x:c r="C1444" s="86" t="str">
        <x:f>IF($P1444="","",INDEX(Tasks!$C$10:$C$1941,$P1444))</x:f>
        <x:v>Phase 3</x:v>
      </x:c>
      <x:c r="D1444" s="86" t="str">
        <x:f>IF($P1444="","",INDEX(Tasks!$D$10:$D$1941,$P1444))</x:f>
        <x:v>Retail Services</x:v>
      </x:c>
      <x:c r="E1444" s="86"/>
      <x:c r="F1444" s="86" t="str">
        <x:f>IF($P1444="","",INDEX(Tasks!$E$10:$E$1941,$P1444))</x:f>
        <x:v>Design &amp; Insights</x:v>
      </x:c>
      <x:c r="G1444" s="86"/>
      <x:c r="H1444" s="14" t="str">
        <x:f>IF($P1444="","",INDEX(Tasks!$F$10:$F$1941,$P1444)&amp;CHAR(10)&amp;INDEX(Tasks!$G$10:$G$1941,$P1444))</x:f>
        <x:v>DI.RS.3.2
Schedule pre-socialization meeting 1 week prior to RCA Forum</x:v>
      </x:c>
      <x:c r="I1444" s="14"/>
      <x:c r="J1444" s="14"/>
      <x:c r="K1444" s="14"/>
      <x:c r="L1444" s="86" t="str">
        <x:f>IF($P1444="","",INDEX(Tasks!$N$10:$N$1941,$P1444))</x:f>
        <x:v>Not started</x:v>
      </x:c>
      <x:c r="M1444" s="87" t="str">
        <x:f>IF($P1444="","",INDEX(Tasks!$J$10:$J$1941,$P1444))</x:f>
      </x:c>
      <x:c r="N1444" s="85" t="str">
        <x:f>IF($P1444="","",HYPERLINK("#'"&amp;INDEX(Tasks!$T$10:$T$1941,$P1444)&amp;"'!A"&amp;INDEX(Tasks!$U$10:$U$1941,$P1444),"Open"))</x:f>
        <x:v>Open</x:v>
      </x:c>
      <x:c r="O1444" s="14"/>
      <x:c r="P1444" s="14" t="n">
        <x:f>IF(1423&gt;$B$10,"",MATCH(1423,Tasks!$S$10:$S$1941,0))</x:f>
        <x:v>1787</x:v>
      </x:c>
    </x:row>
    <x:row r="1445" ht="58" customHeight="1">
      <x:c r="B1445" s="86" t="str">
        <x:f>IF($P1445="","",INDEX(Tasks!$B$10:$B$1941,$P1445))</x:f>
        <x:v>Cycle 3</x:v>
      </x:c>
      <x:c r="C1445" s="86" t="str">
        <x:f>IF($P1445="","",INDEX(Tasks!$C$10:$C$1941,$P1445))</x:f>
        <x:v>Phase 3</x:v>
      </x:c>
      <x:c r="D1445" s="86" t="str">
        <x:f>IF($P1445="","",INDEX(Tasks!$D$10:$D$1941,$P1445))</x:f>
        <x:v>Retail Services</x:v>
      </x:c>
      <x:c r="E1445" s="86"/>
      <x:c r="F1445" s="86" t="str">
        <x:f>IF($P1445="","",INDEX(Tasks!$E$10:$E$1941,$P1445))</x:f>
        <x:v>Design &amp; Insights</x:v>
      </x:c>
      <x:c r="G1445" s="86"/>
      <x:c r="H1445" s="14" t="str">
        <x:f>IF($P1445="","",INDEX(Tasks!$F$10:$F$1941,$P1445)&amp;CHAR(10)&amp;INDEX(Tasks!$G$10:$G$1941,$P1445))</x:f>
        <x:v>DI.RS.3.3
Present findings, conclusions, and recommendation to SMEs</x:v>
      </x:c>
      <x:c r="I1445" s="14"/>
      <x:c r="J1445" s="14"/>
      <x:c r="K1445" s="14"/>
      <x:c r="L1445" s="86" t="str">
        <x:f>IF($P1445="","",INDEX(Tasks!$N$10:$N$1941,$P1445))</x:f>
        <x:v>Not started</x:v>
      </x:c>
      <x:c r="M1445" s="87" t="n">
        <x:f>IF($P1445="","",INDEX(Tasks!$J$10:$J$1941,$P1445))</x:f>
        <x:v>46295</x:v>
      </x:c>
      <x:c r="N1445" s="85" t="str">
        <x:f>IF($P1445="","",HYPERLINK("#'"&amp;INDEX(Tasks!$T$10:$T$1941,$P1445)&amp;"'!A"&amp;INDEX(Tasks!$U$10:$U$1941,$P1445),"Open"))</x:f>
        <x:v>Open</x:v>
      </x:c>
      <x:c r="O1445" s="14"/>
      <x:c r="P1445" s="14" t="n">
        <x:f>IF(1424&gt;$B$10,"",MATCH(1424,Tasks!$S$10:$S$1941,0))</x:f>
        <x:v>1788</x:v>
      </x:c>
    </x:row>
    <x:row r="1446" ht="58" customHeight="1">
      <x:c r="B1446" s="86" t="str">
        <x:f>IF($P1446="","",INDEX(Tasks!$B$10:$B$1941,$P1446))</x:f>
        <x:v>Cycle 3</x:v>
      </x:c>
      <x:c r="C1446" s="86" t="str">
        <x:f>IF($P1446="","",INDEX(Tasks!$C$10:$C$1941,$P1446))</x:f>
        <x:v>Phase 3</x:v>
      </x:c>
      <x:c r="D1446" s="86" t="str">
        <x:f>IF($P1446="","",INDEX(Tasks!$D$10:$D$1941,$P1446))</x:f>
        <x:v>Retail Services</x:v>
      </x:c>
      <x:c r="E1446" s="86"/>
      <x:c r="F1446" s="86" t="str">
        <x:f>IF($P1446="","",INDEX(Tasks!$E$10:$E$1941,$P1446))</x:f>
        <x:v>Design &amp; Insights</x:v>
      </x:c>
      <x:c r="G1446" s="86"/>
      <x:c r="H1446" s="14" t="str">
        <x:f>IF($P1446="","",INDEX(Tasks!$F$10:$F$1941,$P1446)&amp;CHAR(10)&amp;INDEX(Tasks!$G$10:$G$1941,$P1446))</x:f>
        <x:v>DI.RS.3.4
Update Outcome portion of research plan (as needed)</x:v>
      </x:c>
      <x:c r="I1446" s="14"/>
      <x:c r="J1446" s="14"/>
      <x:c r="K1446" s="14"/>
      <x:c r="L1446" s="86" t="str">
        <x:f>IF($P1446="","",INDEX(Tasks!$N$10:$N$1941,$P1446))</x:f>
        <x:v>Not started</x:v>
      </x:c>
      <x:c r="M1446" s="87" t="n">
        <x:f>IF($P1446="","",INDEX(Tasks!$J$10:$J$1941,$P1446))</x:f>
        <x:v>46295</x:v>
      </x:c>
      <x:c r="N1446" s="85" t="str">
        <x:f>IF($P1446="","",HYPERLINK("#'"&amp;INDEX(Tasks!$T$10:$T$1941,$P1446)&amp;"'!A"&amp;INDEX(Tasks!$U$10:$U$1941,$P1446),"Open"))</x:f>
        <x:v>Open</x:v>
      </x:c>
      <x:c r="O1446" s="14"/>
      <x:c r="P1446" s="14" t="n">
        <x:f>IF(1425&gt;$B$10,"",MATCH(1425,Tasks!$S$10:$S$1941,0))</x:f>
        <x:v>1789</x:v>
      </x:c>
    </x:row>
    <x:row r="1447" ht="58" customHeight="1">
      <x:c r="B1447" s="86" t="str">
        <x:f>IF($P1447="","",INDEX(Tasks!$B$10:$B$1941,$P1447))</x:f>
        <x:v>Cycle 3</x:v>
      </x:c>
      <x:c r="C1447" s="86" t="str">
        <x:f>IF($P1447="","",INDEX(Tasks!$C$10:$C$1941,$P1447))</x:f>
        <x:v>Phase 3</x:v>
      </x:c>
      <x:c r="D1447" s="86" t="str">
        <x:f>IF($P1447="","",INDEX(Tasks!$D$10:$D$1941,$P1447))</x:f>
        <x:v>Retail Services</x:v>
      </x:c>
      <x:c r="E1447" s="86"/>
      <x:c r="F1447" s="86" t="str">
        <x:f>IF($P1447="","",INDEX(Tasks!$E$10:$E$1941,$P1447))</x:f>
        <x:v>Design &amp; Insights</x:v>
      </x:c>
      <x:c r="G1447" s="86"/>
      <x:c r="H1447" s="14" t="str">
        <x:f>IF($P1447="","",INDEX(Tasks!$F$10:$F$1941,$P1447)&amp;CHAR(10)&amp;INDEX(Tasks!$G$10:$G$1941,$P1447))</x:f>
        <x:v>DI.RS.3.5
Finalize presentation deck by incorporating pre-socialization feedback (as needed)</x:v>
      </x:c>
      <x:c r="I1447" s="14"/>
      <x:c r="J1447" s="14"/>
      <x:c r="K1447" s="14"/>
      <x:c r="L1447" s="86" t="str">
        <x:f>IF($P1447="","",INDEX(Tasks!$N$10:$N$1941,$P1447))</x:f>
        <x:v>Not started</x:v>
      </x:c>
      <x:c r="M1447" s="87" t="n">
        <x:f>IF($P1447="","",INDEX(Tasks!$J$10:$J$1941,$P1447))</x:f>
        <x:v>46295</x:v>
      </x:c>
      <x:c r="N1447" s="85" t="str">
        <x:f>IF($P1447="","",HYPERLINK("#'"&amp;INDEX(Tasks!$T$10:$T$1941,$P1447)&amp;"'!A"&amp;INDEX(Tasks!$U$10:$U$1941,$P1447),"Open"))</x:f>
        <x:v>Open</x:v>
      </x:c>
      <x:c r="O1447" s="14"/>
      <x:c r="P1447" s="14" t="n">
        <x:f>IF(1426&gt;$B$10,"",MATCH(1426,Tasks!$S$10:$S$1941,0))</x:f>
        <x:v>1790</x:v>
      </x:c>
    </x:row>
    <x:row r="1448" ht="58" customHeight="1">
      <x:c r="B1448" s="86" t="str">
        <x:f>IF($P1448="","",INDEX(Tasks!$B$10:$B$1941,$P1448))</x:f>
        <x:v>Cycle 3</x:v>
      </x:c>
      <x:c r="C1448" s="86" t="str">
        <x:f>IF($P1448="","",INDEX(Tasks!$C$10:$C$1941,$P1448))</x:f>
        <x:v>Phase 3</x:v>
      </x:c>
      <x:c r="D1448" s="86" t="str">
        <x:f>IF($P1448="","",INDEX(Tasks!$D$10:$D$1941,$P1448))</x:f>
        <x:v>Retail Services</x:v>
      </x:c>
      <x:c r="E1448" s="86"/>
      <x:c r="F1448" s="86" t="str">
        <x:f>IF($P1448="","",INDEX(Tasks!$E$10:$E$1941,$P1448))</x:f>
        <x:v>Design &amp; Insights</x:v>
      </x:c>
      <x:c r="G1448" s="86"/>
      <x:c r="H1448" s="14" t="str">
        <x:f>IF($P1448="","",INDEX(Tasks!$F$10:$F$1941,$P1448)&amp;CHAR(10)&amp;INDEX(Tasks!$G$10:$G$1941,$P1448))</x:f>
        <x:v>DI.RS.3.6
Ensure final deck is communicated to Forum attendees</x:v>
      </x:c>
      <x:c r="I1448" s="14"/>
      <x:c r="J1448" s="14"/>
      <x:c r="K1448" s="14"/>
      <x:c r="L1448" s="86" t="str">
        <x:f>IF($P1448="","",INDEX(Tasks!$N$10:$N$1941,$P1448))</x:f>
        <x:v>Not started</x:v>
      </x:c>
      <x:c r="M1448" s="87" t="n">
        <x:f>IF($P1448="","",INDEX(Tasks!$J$10:$J$1941,$P1448))</x:f>
        <x:v>46295</x:v>
      </x:c>
      <x:c r="N1448" s="85" t="str">
        <x:f>IF($P1448="","",HYPERLINK("#'"&amp;INDEX(Tasks!$T$10:$T$1941,$P1448)&amp;"'!A"&amp;INDEX(Tasks!$U$10:$U$1941,$P1448),"Open"))</x:f>
        <x:v>Open</x:v>
      </x:c>
      <x:c r="O1448" s="14"/>
      <x:c r="P1448" s="14" t="n">
        <x:f>IF(1427&gt;$B$10,"",MATCH(1427,Tasks!$S$10:$S$1941,0))</x:f>
        <x:v>1791</x:v>
      </x:c>
    </x:row>
    <x:row r="1449" ht="58" customHeight="1">
      <x:c r="B1449" s="86" t="str">
        <x:f>IF($P1449="","",INDEX(Tasks!$B$10:$B$1941,$P1449))</x:f>
        <x:v>Cycle 3</x:v>
      </x:c>
      <x:c r="C1449" s="86" t="str">
        <x:f>IF($P1449="","",INDEX(Tasks!$C$10:$C$1941,$P1449))</x:f>
        <x:v>Phase 3</x:v>
      </x:c>
      <x:c r="D1449" s="86" t="str">
        <x:f>IF($P1449="","",INDEX(Tasks!$D$10:$D$1941,$P1449))</x:f>
        <x:v>Retail Services</x:v>
      </x:c>
      <x:c r="E1449" s="86"/>
      <x:c r="F1449" s="86" t="str">
        <x:f>IF($P1449="","",INDEX(Tasks!$E$10:$E$1941,$P1449))</x:f>
        <x:v>Design &amp; Insights</x:v>
      </x:c>
      <x:c r="G1449" s="86"/>
      <x:c r="H1449" s="14" t="str">
        <x:f>IF($P1449="","",INDEX(Tasks!$F$10:$F$1941,$P1449)&amp;CHAR(10)&amp;INDEX(Tasks!$G$10:$G$1941,$P1449))</x:f>
        <x:v>DI.RS.3.7
Present material in RCA Cycle Forum</x:v>
      </x:c>
      <x:c r="I1449" s="14"/>
      <x:c r="J1449" s="14"/>
      <x:c r="K1449" s="14"/>
      <x:c r="L1449" s="86" t="str">
        <x:f>IF($P1449="","",INDEX(Tasks!$N$10:$N$1941,$P1449))</x:f>
        <x:v>Not started</x:v>
      </x:c>
      <x:c r="M1449" s="87" t="str">
        <x:f>IF($P1449="","",INDEX(Tasks!$J$10:$J$1941,$P1449))</x:f>
      </x:c>
      <x:c r="N1449" s="85" t="str">
        <x:f>IF($P1449="","",HYPERLINK("#'"&amp;INDEX(Tasks!$T$10:$T$1941,$P1449)&amp;"'!A"&amp;INDEX(Tasks!$U$10:$U$1941,$P1449),"Open"))</x:f>
        <x:v>Open</x:v>
      </x:c>
      <x:c r="O1449" s="14"/>
      <x:c r="P1449" s="14" t="n">
        <x:f>IF(1428&gt;$B$10,"",MATCH(1428,Tasks!$S$10:$S$1941,0))</x:f>
        <x:v>1792</x:v>
      </x:c>
    </x:row>
    <x:row r="1450" ht="58" customHeight="1">
      <x:c r="B1450" s="86" t="str">
        <x:f>IF($P1450="","",INDEX(Tasks!$B$10:$B$1941,$P1450))</x:f>
        <x:v>Cycle 4</x:v>
      </x:c>
      <x:c r="C1450" s="86" t="str">
        <x:f>IF($P1450="","",INDEX(Tasks!$C$10:$C$1941,$P1450))</x:f>
        <x:v>Phase 1</x:v>
      </x:c>
      <x:c r="D1450" s="86" t="str">
        <x:f>IF($P1450="","",INDEX(Tasks!$D$10:$D$1941,$P1450))</x:f>
        <x:v>Auto</x:v>
      </x:c>
      <x:c r="E1450" s="86"/>
      <x:c r="F1450" s="86" t="str">
        <x:f>IF($P1450="","",INDEX(Tasks!$E$10:$E$1941,$P1450))</x:f>
        <x:v>Design &amp; Insights</x:v>
      </x:c>
      <x:c r="G1450" s="86"/>
      <x:c r="H1450" s="14" t="str">
        <x:f>IF($P1450="","",INDEX(Tasks!$F$10:$F$1941,$P1450)&amp;CHAR(10)&amp;INDEX(Tasks!$G$10:$G$1941,$P1450))</x:f>
        <x:v>DI.AU.1.1
Receive and review potential research topics at least 2 weeks prior to Cycle start date</x:v>
      </x:c>
      <x:c r="I1450" s="14"/>
      <x:c r="J1450" s="14"/>
      <x:c r="K1450" s="14"/>
      <x:c r="L1450" s="86" t="str">
        <x:f>IF($P1450="","",INDEX(Tasks!$N$10:$N$1941,$P1450))</x:f>
        <x:v>Not started</x:v>
      </x:c>
      <x:c r="M1450" s="87" t="n">
        <x:f>IF($P1450="","",INDEX(Tasks!$J$10:$J$1941,$P1450))</x:f>
        <x:v>46282</x:v>
      </x:c>
      <x:c r="N1450" s="85" t="str">
        <x:f>IF($P1450="","",HYPERLINK("#'"&amp;INDEX(Tasks!$T$10:$T$1941,$P1450)&amp;"'!A"&amp;INDEX(Tasks!$U$10:$U$1941,$P1450),"Open"))</x:f>
        <x:v>Open</x:v>
      </x:c>
      <x:c r="O1450" s="14"/>
      <x:c r="P1450" s="14" t="n">
        <x:f>IF(1429&gt;$B$10,"",MATCH(1429,Tasks!$S$10:$S$1941,0))</x:f>
        <x:v>1793</x:v>
      </x:c>
    </x:row>
    <x:row r="1451" ht="58" customHeight="1">
      <x:c r="B1451" s="86" t="str">
        <x:f>IF($P1451="","",INDEX(Tasks!$B$10:$B$1941,$P1451))</x:f>
        <x:v>Cycle 4</x:v>
      </x:c>
      <x:c r="C1451" s="86" t="str">
        <x:f>IF($P1451="","",INDEX(Tasks!$C$10:$C$1941,$P1451))</x:f>
        <x:v>Phase 1</x:v>
      </x:c>
      <x:c r="D1451" s="86" t="str">
        <x:f>IF($P1451="","",INDEX(Tasks!$D$10:$D$1941,$P1451))</x:f>
        <x:v>Auto</x:v>
      </x:c>
      <x:c r="E1451" s="86"/>
      <x:c r="F1451" s="86" t="str">
        <x:f>IF($P1451="","",INDEX(Tasks!$E$10:$E$1941,$P1451))</x:f>
        <x:v>Design &amp; Insights</x:v>
      </x:c>
      <x:c r="G1451" s="86"/>
      <x:c r="H1451" s="14" t="str">
        <x:f>IF($P1451="","",INDEX(Tasks!$F$10:$F$1941,$P1451)&amp;CHAR(10)&amp;INDEX(Tasks!$G$10:$G$1941,$P1451))</x:f>
        <x:v>DI.AU.1.2
Communicate any feedback on preferences or concerns with topics identified</x:v>
      </x:c>
      <x:c r="I1451" s="14"/>
      <x:c r="J1451" s="14"/>
      <x:c r="K1451" s="14"/>
      <x:c r="L1451" s="86" t="str">
        <x:f>IF($P1451="","",INDEX(Tasks!$N$10:$N$1941,$P1451))</x:f>
        <x:v>Not started</x:v>
      </x:c>
      <x:c r="M1451" s="87" t="n">
        <x:f>IF($P1451="","",INDEX(Tasks!$J$10:$J$1941,$P1451))</x:f>
        <x:v>46387</x:v>
      </x:c>
      <x:c r="N1451" s="85" t="str">
        <x:f>IF($P1451="","",HYPERLINK("#'"&amp;INDEX(Tasks!$T$10:$T$1941,$P1451)&amp;"'!A"&amp;INDEX(Tasks!$U$10:$U$1941,$P1451),"Open"))</x:f>
        <x:v>Open</x:v>
      </x:c>
      <x:c r="O1451" s="14"/>
      <x:c r="P1451" s="14" t="n">
        <x:f>IF(1430&gt;$B$10,"",MATCH(1430,Tasks!$S$10:$S$1941,0))</x:f>
        <x:v>1794</x:v>
      </x:c>
    </x:row>
    <x:row r="1452" ht="58" customHeight="1">
      <x:c r="B1452" s="86" t="str">
        <x:f>IF($P1452="","",INDEX(Tasks!$B$10:$B$1941,$P1452))</x:f>
        <x:v>Cycle 4</x:v>
      </x:c>
      <x:c r="C1452" s="86" t="str">
        <x:f>IF($P1452="","",INDEX(Tasks!$C$10:$C$1941,$P1452))</x:f>
        <x:v>Phase 1</x:v>
      </x:c>
      <x:c r="D1452" s="86" t="str">
        <x:f>IF($P1452="","",INDEX(Tasks!$D$10:$D$1941,$P1452))</x:f>
        <x:v>Auto</x:v>
      </x:c>
      <x:c r="E1452" s="86"/>
      <x:c r="F1452" s="86" t="str">
        <x:f>IF($P1452="","",INDEX(Tasks!$E$10:$E$1941,$P1452))</x:f>
        <x:v>Design &amp; Insights</x:v>
      </x:c>
      <x:c r="G1452" s="86"/>
      <x:c r="H1452" s="14" t="str">
        <x:f>IF($P1452="","",INDEX(Tasks!$F$10:$F$1941,$P1452)&amp;CHAR(10)&amp;INDEX(Tasks!$G$10:$G$1941,$P1452))</x:f>
        <x:v>DI.AU.1.3
Conduct high-level preliminary review of complaints within proposed topics</x:v>
      </x:c>
      <x:c r="I1452" s="14"/>
      <x:c r="J1452" s="14"/>
      <x:c r="K1452" s="14"/>
      <x:c r="L1452" s="86" t="str">
        <x:f>IF($P1452="","",INDEX(Tasks!$N$10:$N$1941,$P1452))</x:f>
        <x:v>Not started</x:v>
      </x:c>
      <x:c r="M1452" s="87" t="n">
        <x:f>IF($P1452="","",INDEX(Tasks!$J$10:$J$1941,$P1452))</x:f>
        <x:v>46387</x:v>
      </x:c>
      <x:c r="N1452" s="85" t="str">
        <x:f>IF($P1452="","",HYPERLINK("#'"&amp;INDEX(Tasks!$T$10:$T$1941,$P1452)&amp;"'!A"&amp;INDEX(Tasks!$U$10:$U$1941,$P1452),"Open"))</x:f>
        <x:v>Open</x:v>
      </x:c>
      <x:c r="O1452" s="14"/>
      <x:c r="P1452" s="14" t="n">
        <x:f>IF(1431&gt;$B$10,"",MATCH(1431,Tasks!$S$10:$S$1941,0))</x:f>
        <x:v>1795</x:v>
      </x:c>
    </x:row>
    <x:row r="1453" ht="58" customHeight="1">
      <x:c r="B1453" s="86" t="str">
        <x:f>IF($P1453="","",INDEX(Tasks!$B$10:$B$1941,$P1453))</x:f>
        <x:v>Cycle 4</x:v>
      </x:c>
      <x:c r="C1453" s="86" t="str">
        <x:f>IF($P1453="","",INDEX(Tasks!$C$10:$C$1941,$P1453))</x:f>
        <x:v>Phase 1</x:v>
      </x:c>
      <x:c r="D1453" s="86" t="str">
        <x:f>IF($P1453="","",INDEX(Tasks!$D$10:$D$1941,$P1453))</x:f>
        <x:v>Auto</x:v>
      </x:c>
      <x:c r="E1453" s="86"/>
      <x:c r="F1453" s="86" t="str">
        <x:f>IF($P1453="","",INDEX(Tasks!$E$10:$E$1941,$P1453))</x:f>
        <x:v>Design &amp; Insights</x:v>
      </x:c>
      <x:c r="G1453" s="86"/>
      <x:c r="H1453" s="14" t="str">
        <x:f>IF($P1453="","",INDEX(Tasks!$F$10:$F$1941,$P1453)&amp;CHAR(10)&amp;INDEX(Tasks!$G$10:$G$1941,$P1453))</x:f>
        <x:v>DI.AU.1.4
Meet with Research to discuss which topic to select based on potential impact</x:v>
      </x:c>
      <x:c r="I1453" s="14"/>
      <x:c r="J1453" s="14"/>
      <x:c r="K1453" s="14"/>
      <x:c r="L1453" s="86" t="str">
        <x:f>IF($P1453="","",INDEX(Tasks!$N$10:$N$1941,$P1453))</x:f>
        <x:v>Not started</x:v>
      </x:c>
      <x:c r="M1453" s="87" t="n">
        <x:f>IF($P1453="","",INDEX(Tasks!$J$10:$J$1941,$P1453))</x:f>
        <x:v>46387</x:v>
      </x:c>
      <x:c r="N1453" s="85" t="str">
        <x:f>IF($P1453="","",HYPERLINK("#'"&amp;INDEX(Tasks!$T$10:$T$1941,$P1453)&amp;"'!A"&amp;INDEX(Tasks!$U$10:$U$1941,$P1453),"Open"))</x:f>
        <x:v>Open</x:v>
      </x:c>
      <x:c r="O1453" s="14"/>
      <x:c r="P1453" s="14" t="n">
        <x:f>IF(1432&gt;$B$10,"",MATCH(1432,Tasks!$S$10:$S$1941,0))</x:f>
        <x:v>1796</x:v>
      </x:c>
    </x:row>
    <x:row r="1454" ht="58" customHeight="1">
      <x:c r="B1454" s="86" t="str">
        <x:f>IF($P1454="","",INDEX(Tasks!$B$10:$B$1941,$P1454))</x:f>
        <x:v>Cycle 4</x:v>
      </x:c>
      <x:c r="C1454" s="86" t="str">
        <x:f>IF($P1454="","",INDEX(Tasks!$C$10:$C$1941,$P1454))</x:f>
        <x:v>Phase 1</x:v>
      </x:c>
      <x:c r="D1454" s="86" t="str">
        <x:f>IF($P1454="","",INDEX(Tasks!$D$10:$D$1941,$P1454))</x:f>
        <x:v>Auto</x:v>
      </x:c>
      <x:c r="E1454" s="86"/>
      <x:c r="F1454" s="86" t="str">
        <x:f>IF($P1454="","",INDEX(Tasks!$E$10:$E$1941,$P1454))</x:f>
        <x:v>Design &amp; Insights</x:v>
      </x:c>
      <x:c r="G1454" s="86"/>
      <x:c r="H1454" s="14" t="str">
        <x:f>IF($P1454="","",INDEX(Tasks!$F$10:$F$1941,$P1454)&amp;CHAR(10)&amp;INDEX(Tasks!$G$10:$G$1941,$P1454))</x:f>
        <x:v>DI.AU.1.5
Confirm with Research the recommended topic for approval</x:v>
      </x:c>
      <x:c r="I1454" s="14"/>
      <x:c r="J1454" s="14"/>
      <x:c r="K1454" s="14"/>
      <x:c r="L1454" s="86" t="str">
        <x:f>IF($P1454="","",INDEX(Tasks!$N$10:$N$1941,$P1454))</x:f>
        <x:v>Not started</x:v>
      </x:c>
      <x:c r="M1454" s="87" t="n">
        <x:f>IF($P1454="","",INDEX(Tasks!$J$10:$J$1941,$P1454))</x:f>
        <x:v>46387</x:v>
      </x:c>
      <x:c r="N1454" s="85" t="str">
        <x:f>IF($P1454="","",HYPERLINK("#'"&amp;INDEX(Tasks!$T$10:$T$1941,$P1454)&amp;"'!A"&amp;INDEX(Tasks!$U$10:$U$1941,$P1454),"Open"))</x:f>
        <x:v>Open</x:v>
      </x:c>
      <x:c r="O1454" s="14"/>
      <x:c r="P1454" s="14" t="n">
        <x:f>IF(1433&gt;$B$10,"",MATCH(1433,Tasks!$S$10:$S$1941,0))</x:f>
        <x:v>1797</x:v>
      </x:c>
    </x:row>
    <x:row r="1455" ht="58" customHeight="1">
      <x:c r="B1455" s="86" t="str">
        <x:f>IF($P1455="","",INDEX(Tasks!$B$10:$B$1941,$P1455))</x:f>
        <x:v>Cycle 4</x:v>
      </x:c>
      <x:c r="C1455" s="86" t="str">
        <x:f>IF($P1455="","",INDEX(Tasks!$C$10:$C$1941,$P1455))</x:f>
        <x:v>Phase 1</x:v>
      </x:c>
      <x:c r="D1455" s="86" t="str">
        <x:f>IF($P1455="","",INDEX(Tasks!$D$10:$D$1941,$P1455))</x:f>
        <x:v>Auto</x:v>
      </x:c>
      <x:c r="E1455" s="86"/>
      <x:c r="F1455" s="86" t="str">
        <x:f>IF($P1455="","",INDEX(Tasks!$E$10:$E$1941,$P1455))</x:f>
        <x:v>Design &amp; Insights</x:v>
      </x:c>
      <x:c r="G1455" s="86"/>
      <x:c r="H1455" s="14" t="str">
        <x:f>IF($P1455="","",INDEX(Tasks!$F$10:$F$1941,$P1455)&amp;CHAR(10)&amp;INDEX(Tasks!$G$10:$G$1941,$P1455))</x:f>
        <x:v>DI.AU.1.6
Send topic selection socialization email to all key stakeholders on the first day of the review Cycle</x:v>
      </x:c>
      <x:c r="I1455" s="14"/>
      <x:c r="J1455" s="14"/>
      <x:c r="K1455" s="14"/>
      <x:c r="L1455" s="86" t="str">
        <x:f>IF($P1455="","",INDEX(Tasks!$N$10:$N$1941,$P1455))</x:f>
        <x:v>Not started</x:v>
      </x:c>
      <x:c r="M1455" s="87" t="n">
        <x:f>IF($P1455="","",INDEX(Tasks!$J$10:$J$1941,$P1455))</x:f>
        <x:v>46296</x:v>
      </x:c>
      <x:c r="N1455" s="85" t="str">
        <x:f>IF($P1455="","",HYPERLINK("#'"&amp;INDEX(Tasks!$T$10:$T$1941,$P1455)&amp;"'!A"&amp;INDEX(Tasks!$U$10:$U$1941,$P1455),"Open"))</x:f>
        <x:v>Open</x:v>
      </x:c>
      <x:c r="O1455" s="14"/>
      <x:c r="P1455" s="14" t="n">
        <x:f>IF(1434&gt;$B$10,"",MATCH(1434,Tasks!$S$10:$S$1941,0))</x:f>
        <x:v>1798</x:v>
      </x:c>
    </x:row>
    <x:row r="1456" ht="58" customHeight="1">
      <x:c r="B1456" s="86" t="str">
        <x:f>IF($P1456="","",INDEX(Tasks!$B$10:$B$1941,$P1456))</x:f>
        <x:v>Cycle 4</x:v>
      </x:c>
      <x:c r="C1456" s="86" t="str">
        <x:f>IF($P1456="","",INDEX(Tasks!$C$10:$C$1941,$P1456))</x:f>
        <x:v>Phase 2</x:v>
      </x:c>
      <x:c r="D1456" s="86" t="str">
        <x:f>IF($P1456="","",INDEX(Tasks!$D$10:$D$1941,$P1456))</x:f>
        <x:v>Auto</x:v>
      </x:c>
      <x:c r="E1456" s="86"/>
      <x:c r="F1456" s="86" t="str">
        <x:f>IF($P1456="","",INDEX(Tasks!$E$10:$E$1941,$P1456))</x:f>
        <x:v>Design &amp; Insights</x:v>
      </x:c>
      <x:c r="G1456" s="86"/>
      <x:c r="H1456" s="14" t="str">
        <x:f>IF($P1456="","",INDEX(Tasks!$F$10:$F$1941,$P1456)&amp;CHAR(10)&amp;INDEX(Tasks!$G$10:$G$1941,$P1456))</x:f>
        <x:v>DI.AU.2.1
Meet regularly with Research to stay informed on progress, findings, and potential enhancement</x:v>
      </x:c>
      <x:c r="I1456" s="14"/>
      <x:c r="J1456" s="14"/>
      <x:c r="K1456" s="14"/>
      <x:c r="L1456" s="86" t="str">
        <x:f>IF($P1456="","",INDEX(Tasks!$N$10:$N$1941,$P1456))</x:f>
        <x:v>Not started</x:v>
      </x:c>
      <x:c r="M1456" s="87" t="n">
        <x:f>IF($P1456="","",INDEX(Tasks!$J$10:$J$1941,$P1456))</x:f>
        <x:v>46387</x:v>
      </x:c>
      <x:c r="N1456" s="85" t="str">
        <x:f>IF($P1456="","",HYPERLINK("#'"&amp;INDEX(Tasks!$T$10:$T$1941,$P1456)&amp;"'!A"&amp;INDEX(Tasks!$U$10:$U$1941,$P1456),"Open"))</x:f>
        <x:v>Open</x:v>
      </x:c>
      <x:c r="O1456" s="14"/>
      <x:c r="P1456" s="14" t="n">
        <x:f>IF(1435&gt;$B$10,"",MATCH(1435,Tasks!$S$10:$S$1941,0))</x:f>
        <x:v>1799</x:v>
      </x:c>
    </x:row>
    <x:row r="1457" ht="58" customHeight="1">
      <x:c r="B1457" s="86" t="str">
        <x:f>IF($P1457="","",INDEX(Tasks!$B$10:$B$1941,$P1457))</x:f>
        <x:v>Cycle 4</x:v>
      </x:c>
      <x:c r="C1457" s="86" t="str">
        <x:f>IF($P1457="","",INDEX(Tasks!$C$10:$C$1941,$P1457))</x:f>
        <x:v>Phase 2</x:v>
      </x:c>
      <x:c r="D1457" s="86" t="str">
        <x:f>IF($P1457="","",INDEX(Tasks!$D$10:$D$1941,$P1457))</x:f>
        <x:v>Auto</x:v>
      </x:c>
      <x:c r="E1457" s="86"/>
      <x:c r="F1457" s="86" t="str">
        <x:f>IF($P1457="","",INDEX(Tasks!$E$10:$E$1941,$P1457))</x:f>
        <x:v>Design &amp; Insights</x:v>
      </x:c>
      <x:c r="G1457" s="86"/>
      <x:c r="H1457" s="14" t="str">
        <x:f>IF($P1457="","",INDEX(Tasks!$F$10:$F$1941,$P1457)&amp;CHAR(10)&amp;INDEX(Tasks!$G$10:$G$1941,$P1457))</x:f>
        <x:v>DI.AU.2.2
Collaborate with Research on research plan specifics</x:v>
      </x:c>
      <x:c r="I1457" s="14"/>
      <x:c r="J1457" s="14"/>
      <x:c r="K1457" s="14"/>
      <x:c r="L1457" s="86" t="str">
        <x:f>IF($P1457="","",INDEX(Tasks!$N$10:$N$1941,$P1457))</x:f>
        <x:v>Not started</x:v>
      </x:c>
      <x:c r="M1457" s="87" t="n">
        <x:f>IF($P1457="","",INDEX(Tasks!$J$10:$J$1941,$P1457))</x:f>
        <x:v>46387</x:v>
      </x:c>
      <x:c r="N1457" s="85" t="str">
        <x:f>IF($P1457="","",HYPERLINK("#'"&amp;INDEX(Tasks!$T$10:$T$1941,$P1457)&amp;"'!A"&amp;INDEX(Tasks!$U$10:$U$1941,$P1457),"Open"))</x:f>
        <x:v>Open</x:v>
      </x:c>
      <x:c r="O1457" s="14"/>
      <x:c r="P1457" s="14" t="n">
        <x:f>IF(1436&gt;$B$10,"",MATCH(1436,Tasks!$S$10:$S$1941,0))</x:f>
        <x:v>1800</x:v>
      </x:c>
    </x:row>
    <x:row r="1458" ht="58" customHeight="1">
      <x:c r="B1458" s="86" t="str">
        <x:f>IF($P1458="","",INDEX(Tasks!$B$10:$B$1941,$P1458))</x:f>
        <x:v>Cycle 4</x:v>
      </x:c>
      <x:c r="C1458" s="86" t="str">
        <x:f>IF($P1458="","",INDEX(Tasks!$C$10:$C$1941,$P1458))</x:f>
        <x:v>Phase 2</x:v>
      </x:c>
      <x:c r="D1458" s="86" t="str">
        <x:f>IF($P1458="","",INDEX(Tasks!$D$10:$D$1941,$P1458))</x:f>
        <x:v>Auto</x:v>
      </x:c>
      <x:c r="E1458" s="86"/>
      <x:c r="F1458" s="86" t="str">
        <x:f>IF($P1458="","",INDEX(Tasks!$E$10:$E$1941,$P1458))</x:f>
        <x:v>Design &amp; Insights</x:v>
      </x:c>
      <x:c r="G1458" s="86"/>
      <x:c r="H1458" s="14" t="str">
        <x:f>IF($P1458="","",INDEX(Tasks!$F$10:$F$1941,$P1458)&amp;CHAR(10)&amp;INDEX(Tasks!$G$10:$G$1941,$P1458))</x:f>
        <x:v>DI.AU.2.3
Participate in SME insight meetings to gain perspective and appetite on potential enhancements</x:v>
      </x:c>
      <x:c r="I1458" s="14"/>
      <x:c r="J1458" s="14"/>
      <x:c r="K1458" s="14"/>
      <x:c r="L1458" s="86" t="str">
        <x:f>IF($P1458="","",INDEX(Tasks!$N$10:$N$1941,$P1458))</x:f>
        <x:v>Not started</x:v>
      </x:c>
      <x:c r="M1458" s="87" t="n">
        <x:f>IF($P1458="","",INDEX(Tasks!$J$10:$J$1941,$P1458))</x:f>
        <x:v>46387</x:v>
      </x:c>
      <x:c r="N1458" s="85" t="str">
        <x:f>IF($P1458="","",HYPERLINK("#'"&amp;INDEX(Tasks!$T$10:$T$1941,$P1458)&amp;"'!A"&amp;INDEX(Tasks!$U$10:$U$1941,$P1458),"Open"))</x:f>
        <x:v>Open</x:v>
      </x:c>
      <x:c r="O1458" s="14"/>
      <x:c r="P1458" s="14" t="n">
        <x:f>IF(1437&gt;$B$10,"",MATCH(1437,Tasks!$S$10:$S$1941,0))</x:f>
        <x:v>1801</x:v>
      </x:c>
    </x:row>
    <x:row r="1459" ht="58" customHeight="1">
      <x:c r="B1459" s="86" t="str">
        <x:f>IF($P1459="","",INDEX(Tasks!$B$10:$B$1941,$P1459))</x:f>
        <x:v>Cycle 4</x:v>
      </x:c>
      <x:c r="C1459" s="86" t="str">
        <x:f>IF($P1459="","",INDEX(Tasks!$C$10:$C$1941,$P1459))</x:f>
        <x:v>Phase 2</x:v>
      </x:c>
      <x:c r="D1459" s="86" t="str">
        <x:f>IF($P1459="","",INDEX(Tasks!$D$10:$D$1941,$P1459))</x:f>
        <x:v>Auto</x:v>
      </x:c>
      <x:c r="E1459" s="86"/>
      <x:c r="F1459" s="86" t="str">
        <x:f>IF($P1459="","",INDEX(Tasks!$E$10:$E$1941,$P1459))</x:f>
        <x:v>Design &amp; Insights</x:v>
      </x:c>
      <x:c r="G1459" s="86"/>
      <x:c r="H1459" s="14" t="str">
        <x:f>IF($P1459="","",INDEX(Tasks!$F$10:$F$1941,$P1459)&amp;CHAR(10)&amp;INDEX(Tasks!$G$10:$G$1941,$P1459))</x:f>
        <x:v>DI.AU.2.4
Begin development of presentation materials as Research is being completed</x:v>
      </x:c>
      <x:c r="I1459" s="14"/>
      <x:c r="J1459" s="14"/>
      <x:c r="K1459" s="14"/>
      <x:c r="L1459" s="86" t="str">
        <x:f>IF($P1459="","",INDEX(Tasks!$N$10:$N$1941,$P1459))</x:f>
        <x:v>Not started</x:v>
      </x:c>
      <x:c r="M1459" s="87" t="n">
        <x:f>IF($P1459="","",INDEX(Tasks!$J$10:$J$1941,$P1459))</x:f>
        <x:v>46387</x:v>
      </x:c>
      <x:c r="N1459" s="85" t="str">
        <x:f>IF($P1459="","",HYPERLINK("#'"&amp;INDEX(Tasks!$T$10:$T$1941,$P1459)&amp;"'!A"&amp;INDEX(Tasks!$U$10:$U$1941,$P1459),"Open"))</x:f>
        <x:v>Open</x:v>
      </x:c>
      <x:c r="O1459" s="14"/>
      <x:c r="P1459" s="14" t="n">
        <x:f>IF(1438&gt;$B$10,"",MATCH(1438,Tasks!$S$10:$S$1941,0))</x:f>
        <x:v>1802</x:v>
      </x:c>
    </x:row>
    <x:row r="1460" ht="58" customHeight="1">
      <x:c r="B1460" s="86" t="str">
        <x:f>IF($P1460="","",INDEX(Tasks!$B$10:$B$1941,$P1460))</x:f>
        <x:v>Cycle 4</x:v>
      </x:c>
      <x:c r="C1460" s="86" t="str">
        <x:f>IF($P1460="","",INDEX(Tasks!$C$10:$C$1941,$P1460))</x:f>
        <x:v>Phase 2</x:v>
      </x:c>
      <x:c r="D1460" s="86" t="str">
        <x:f>IF($P1460="","",INDEX(Tasks!$D$10:$D$1941,$P1460))</x:f>
        <x:v>Auto</x:v>
      </x:c>
      <x:c r="E1460" s="86"/>
      <x:c r="F1460" s="86" t="str">
        <x:f>IF($P1460="","",INDEX(Tasks!$E$10:$E$1941,$P1460))</x:f>
        <x:v>Design &amp; Insights</x:v>
      </x:c>
      <x:c r="G1460" s="86"/>
      <x:c r="H1460" s="14" t="str">
        <x:f>IF($P1460="","",INDEX(Tasks!$F$10:$F$1941,$P1460)&amp;CHAR(10)&amp;INDEX(Tasks!$G$10:$G$1941,$P1460))</x:f>
        <x:v>DI.AU.2.5
Draft initial enhancement recommendations (as applicable)</x:v>
      </x:c>
      <x:c r="I1460" s="14"/>
      <x:c r="J1460" s="14"/>
      <x:c r="K1460" s="14"/>
      <x:c r="L1460" s="86" t="str">
        <x:f>IF($P1460="","",INDEX(Tasks!$N$10:$N$1941,$P1460))</x:f>
        <x:v>Not started</x:v>
      </x:c>
      <x:c r="M1460" s="87" t="n">
        <x:f>IF($P1460="","",INDEX(Tasks!$J$10:$J$1941,$P1460))</x:f>
        <x:v>46387</x:v>
      </x:c>
      <x:c r="N1460" s="85" t="str">
        <x:f>IF($P1460="","",HYPERLINK("#'"&amp;INDEX(Tasks!$T$10:$T$1941,$P1460)&amp;"'!A"&amp;INDEX(Tasks!$U$10:$U$1941,$P1460),"Open"))</x:f>
        <x:v>Open</x:v>
      </x:c>
      <x:c r="O1460" s="14"/>
      <x:c r="P1460" s="14" t="n">
        <x:f>IF(1439&gt;$B$10,"",MATCH(1439,Tasks!$S$10:$S$1941,0))</x:f>
        <x:v>1803</x:v>
      </x:c>
    </x:row>
    <x:row r="1461" ht="58" customHeight="1">
      <x:c r="B1461" s="86" t="str">
        <x:f>IF($P1461="","",INDEX(Tasks!$B$10:$B$1941,$P1461))</x:f>
        <x:v>Cycle 4</x:v>
      </x:c>
      <x:c r="C1461" s="86" t="str">
        <x:f>IF($P1461="","",INDEX(Tasks!$C$10:$C$1941,$P1461))</x:f>
        <x:v>Phase 2</x:v>
      </x:c>
      <x:c r="D1461" s="86" t="str">
        <x:f>IF($P1461="","",INDEX(Tasks!$D$10:$D$1941,$P1461))</x:f>
        <x:v>Auto</x:v>
      </x:c>
      <x:c r="E1461" s="86"/>
      <x:c r="F1461" s="86" t="str">
        <x:f>IF($P1461="","",INDEX(Tasks!$E$10:$E$1941,$P1461))</x:f>
        <x:v>Design &amp; Insights</x:v>
      </x:c>
      <x:c r="G1461" s="86"/>
      <x:c r="H1461" s="14" t="str">
        <x:f>IF($P1461="","",INDEX(Tasks!$F$10:$F$1941,$P1461)&amp;CHAR(10)&amp;INDEX(Tasks!$G$10:$G$1941,$P1461))</x:f>
        <x:v>DI.AU.2.6
Finalize presentation deck draft at conclusion of Research phase</x:v>
      </x:c>
      <x:c r="I1461" s="14"/>
      <x:c r="J1461" s="14"/>
      <x:c r="K1461" s="14"/>
      <x:c r="L1461" s="86" t="str">
        <x:f>IF($P1461="","",INDEX(Tasks!$N$10:$N$1941,$P1461))</x:f>
        <x:v>Not started</x:v>
      </x:c>
      <x:c r="M1461" s="87" t="n">
        <x:f>IF($P1461="","",INDEX(Tasks!$J$10:$J$1941,$P1461))</x:f>
        <x:v>46387</x:v>
      </x:c>
      <x:c r="N1461" s="85" t="str">
        <x:f>IF($P1461="","",HYPERLINK("#'"&amp;INDEX(Tasks!$T$10:$T$1941,$P1461)&amp;"'!A"&amp;INDEX(Tasks!$U$10:$U$1941,$P1461),"Open"))</x:f>
        <x:v>Open</x:v>
      </x:c>
      <x:c r="O1461" s="14"/>
      <x:c r="P1461" s="14" t="n">
        <x:f>IF(1440&gt;$B$10,"",MATCH(1440,Tasks!$S$10:$S$1941,0))</x:f>
        <x:v>1804</x:v>
      </x:c>
    </x:row>
    <x:row r="1462" ht="58" customHeight="1">
      <x:c r="B1462" s="86" t="str">
        <x:f>IF($P1462="","",INDEX(Tasks!$B$10:$B$1941,$P1462))</x:f>
        <x:v>Cycle 4</x:v>
      </x:c>
      <x:c r="C1462" s="86" t="str">
        <x:f>IF($P1462="","",INDEX(Tasks!$C$10:$C$1941,$P1462))</x:f>
        <x:v>Phase 2</x:v>
      </x:c>
      <x:c r="D1462" s="86" t="str">
        <x:f>IF($P1462="","",INDEX(Tasks!$D$10:$D$1941,$P1462))</x:f>
        <x:v>Auto</x:v>
      </x:c>
      <x:c r="E1462" s="86"/>
      <x:c r="F1462" s="86" t="str">
        <x:f>IF($P1462="","",INDEX(Tasks!$E$10:$E$1941,$P1462))</x:f>
        <x:v>Design &amp; Insights</x:v>
      </x:c>
      <x:c r="G1462" s="86"/>
      <x:c r="H1462" s="14" t="str">
        <x:f>IF($P1462="","",INDEX(Tasks!$F$10:$F$1941,$P1462)&amp;CHAR(10)&amp;INDEX(Tasks!$G$10:$G$1941,$P1462))</x:f>
        <x:v>DI.AU.2.7
Update Outcome portion of research plan with current enhancement verbiage (as needed)</x:v>
      </x:c>
      <x:c r="I1462" s="14"/>
      <x:c r="J1462" s="14"/>
      <x:c r="K1462" s="14"/>
      <x:c r="L1462" s="86" t="str">
        <x:f>IF($P1462="","",INDEX(Tasks!$N$10:$N$1941,$P1462))</x:f>
        <x:v>Not started</x:v>
      </x:c>
      <x:c r="M1462" s="87" t="n">
        <x:f>IF($P1462="","",INDEX(Tasks!$J$10:$J$1941,$P1462))</x:f>
        <x:v>46387</x:v>
      </x:c>
      <x:c r="N1462" s="85" t="str">
        <x:f>IF($P1462="","",HYPERLINK("#'"&amp;INDEX(Tasks!$T$10:$T$1941,$P1462)&amp;"'!A"&amp;INDEX(Tasks!$U$10:$U$1941,$P1462),"Open"))</x:f>
        <x:v>Open</x:v>
      </x:c>
      <x:c r="O1462" s="14"/>
      <x:c r="P1462" s="14" t="n">
        <x:f>IF(1441&gt;$B$10,"",MATCH(1441,Tasks!$S$10:$S$1941,0))</x:f>
        <x:v>1805</x:v>
      </x:c>
    </x:row>
    <x:row r="1463" ht="58" customHeight="1">
      <x:c r="B1463" s="86" t="str">
        <x:f>IF($P1463="","",INDEX(Tasks!$B$10:$B$1941,$P1463))</x:f>
        <x:v>Cycle 4</x:v>
      </x:c>
      <x:c r="C1463" s="86" t="str">
        <x:f>IF($P1463="","",INDEX(Tasks!$C$10:$C$1941,$P1463))</x:f>
        <x:v>Phase 3</x:v>
      </x:c>
      <x:c r="D1463" s="86" t="str">
        <x:f>IF($P1463="","",INDEX(Tasks!$D$10:$D$1941,$P1463))</x:f>
        <x:v>Auto</x:v>
      </x:c>
      <x:c r="E1463" s="86"/>
      <x:c r="F1463" s="86" t="str">
        <x:f>IF($P1463="","",INDEX(Tasks!$E$10:$E$1941,$P1463))</x:f>
        <x:v>Design &amp; Insights</x:v>
      </x:c>
      <x:c r="G1463" s="86"/>
      <x:c r="H1463" s="14" t="str">
        <x:f>IF($P1463="","",INDEX(Tasks!$F$10:$F$1941,$P1463)&amp;CHAR(10)&amp;INDEX(Tasks!$G$10:$G$1941,$P1463))</x:f>
        <x:v>DI.AU.3.1
Confirm list of required &amp; optional attendees for pre-socialization meeting</x:v>
      </x:c>
      <x:c r="I1463" s="14"/>
      <x:c r="J1463" s="14"/>
      <x:c r="K1463" s="14"/>
      <x:c r="L1463" s="86" t="str">
        <x:f>IF($P1463="","",INDEX(Tasks!$N$10:$N$1941,$P1463))</x:f>
        <x:v>Not started</x:v>
      </x:c>
      <x:c r="M1463" s="87" t="n">
        <x:f>IF($P1463="","",INDEX(Tasks!$J$10:$J$1941,$P1463))</x:f>
        <x:v>46387</x:v>
      </x:c>
      <x:c r="N1463" s="85" t="str">
        <x:f>IF($P1463="","",HYPERLINK("#'"&amp;INDEX(Tasks!$T$10:$T$1941,$P1463)&amp;"'!A"&amp;INDEX(Tasks!$U$10:$U$1941,$P1463),"Open"))</x:f>
        <x:v>Open</x:v>
      </x:c>
      <x:c r="O1463" s="14"/>
      <x:c r="P1463" s="14" t="n">
        <x:f>IF(1442&gt;$B$10,"",MATCH(1442,Tasks!$S$10:$S$1941,0))</x:f>
        <x:v>1806</x:v>
      </x:c>
    </x:row>
    <x:row r="1464" ht="58" customHeight="1">
      <x:c r="B1464" s="86" t="str">
        <x:f>IF($P1464="","",INDEX(Tasks!$B$10:$B$1941,$P1464))</x:f>
        <x:v>Cycle 4</x:v>
      </x:c>
      <x:c r="C1464" s="86" t="str">
        <x:f>IF($P1464="","",INDEX(Tasks!$C$10:$C$1941,$P1464))</x:f>
        <x:v>Phase 3</x:v>
      </x:c>
      <x:c r="D1464" s="86" t="str">
        <x:f>IF($P1464="","",INDEX(Tasks!$D$10:$D$1941,$P1464))</x:f>
        <x:v>Auto</x:v>
      </x:c>
      <x:c r="E1464" s="86"/>
      <x:c r="F1464" s="86" t="str">
        <x:f>IF($P1464="","",INDEX(Tasks!$E$10:$E$1941,$P1464))</x:f>
        <x:v>Design &amp; Insights</x:v>
      </x:c>
      <x:c r="G1464" s="86"/>
      <x:c r="H1464" s="14" t="str">
        <x:f>IF($P1464="","",INDEX(Tasks!$F$10:$F$1941,$P1464)&amp;CHAR(10)&amp;INDEX(Tasks!$G$10:$G$1941,$P1464))</x:f>
        <x:v>DI.AU.3.2
Schedule pre-socialization meeting 1 week prior to RCA Forum</x:v>
      </x:c>
      <x:c r="I1464" s="14"/>
      <x:c r="J1464" s="14"/>
      <x:c r="K1464" s="14"/>
      <x:c r="L1464" s="86" t="str">
        <x:f>IF($P1464="","",INDEX(Tasks!$N$10:$N$1941,$P1464))</x:f>
        <x:v>Not started</x:v>
      </x:c>
      <x:c r="M1464" s="87" t="str">
        <x:f>IF($P1464="","",INDEX(Tasks!$J$10:$J$1941,$P1464))</x:f>
      </x:c>
      <x:c r="N1464" s="85" t="str">
        <x:f>IF($P1464="","",HYPERLINK("#'"&amp;INDEX(Tasks!$T$10:$T$1941,$P1464)&amp;"'!A"&amp;INDEX(Tasks!$U$10:$U$1941,$P1464),"Open"))</x:f>
        <x:v>Open</x:v>
      </x:c>
      <x:c r="O1464" s="14"/>
      <x:c r="P1464" s="14" t="n">
        <x:f>IF(1443&gt;$B$10,"",MATCH(1443,Tasks!$S$10:$S$1941,0))</x:f>
        <x:v>1807</x:v>
      </x:c>
    </x:row>
    <x:row r="1465" ht="58" customHeight="1">
      <x:c r="B1465" s="86" t="str">
        <x:f>IF($P1465="","",INDEX(Tasks!$B$10:$B$1941,$P1465))</x:f>
        <x:v>Cycle 4</x:v>
      </x:c>
      <x:c r="C1465" s="86" t="str">
        <x:f>IF($P1465="","",INDEX(Tasks!$C$10:$C$1941,$P1465))</x:f>
        <x:v>Phase 3</x:v>
      </x:c>
      <x:c r="D1465" s="86" t="str">
        <x:f>IF($P1465="","",INDEX(Tasks!$D$10:$D$1941,$P1465))</x:f>
        <x:v>Auto</x:v>
      </x:c>
      <x:c r="E1465" s="86"/>
      <x:c r="F1465" s="86" t="str">
        <x:f>IF($P1465="","",INDEX(Tasks!$E$10:$E$1941,$P1465))</x:f>
        <x:v>Design &amp; Insights</x:v>
      </x:c>
      <x:c r="G1465" s="86"/>
      <x:c r="H1465" s="14" t="str">
        <x:f>IF($P1465="","",INDEX(Tasks!$F$10:$F$1941,$P1465)&amp;CHAR(10)&amp;INDEX(Tasks!$G$10:$G$1941,$P1465))</x:f>
        <x:v>DI.AU.3.3
Present findings, conclusions, and recommendation to SMEs</x:v>
      </x:c>
      <x:c r="I1465" s="14"/>
      <x:c r="J1465" s="14"/>
      <x:c r="K1465" s="14"/>
      <x:c r="L1465" s="86" t="str">
        <x:f>IF($P1465="","",INDEX(Tasks!$N$10:$N$1941,$P1465))</x:f>
        <x:v>Not started</x:v>
      </x:c>
      <x:c r="M1465" s="87" t="n">
        <x:f>IF($P1465="","",INDEX(Tasks!$J$10:$J$1941,$P1465))</x:f>
        <x:v>46387</x:v>
      </x:c>
      <x:c r="N1465" s="85" t="str">
        <x:f>IF($P1465="","",HYPERLINK("#'"&amp;INDEX(Tasks!$T$10:$T$1941,$P1465)&amp;"'!A"&amp;INDEX(Tasks!$U$10:$U$1941,$P1465),"Open"))</x:f>
        <x:v>Open</x:v>
      </x:c>
      <x:c r="O1465" s="14"/>
      <x:c r="P1465" s="14" t="n">
        <x:f>IF(1444&gt;$B$10,"",MATCH(1444,Tasks!$S$10:$S$1941,0))</x:f>
        <x:v>1808</x:v>
      </x:c>
    </x:row>
    <x:row r="1466" ht="58" customHeight="1">
      <x:c r="B1466" s="86" t="str">
        <x:f>IF($P1466="","",INDEX(Tasks!$B$10:$B$1941,$P1466))</x:f>
        <x:v>Cycle 4</x:v>
      </x:c>
      <x:c r="C1466" s="86" t="str">
        <x:f>IF($P1466="","",INDEX(Tasks!$C$10:$C$1941,$P1466))</x:f>
        <x:v>Phase 3</x:v>
      </x:c>
      <x:c r="D1466" s="86" t="str">
        <x:f>IF($P1466="","",INDEX(Tasks!$D$10:$D$1941,$P1466))</x:f>
        <x:v>Auto</x:v>
      </x:c>
      <x:c r="E1466" s="86"/>
      <x:c r="F1466" s="86" t="str">
        <x:f>IF($P1466="","",INDEX(Tasks!$E$10:$E$1941,$P1466))</x:f>
        <x:v>Design &amp; Insights</x:v>
      </x:c>
      <x:c r="G1466" s="86"/>
      <x:c r="H1466" s="14" t="str">
        <x:f>IF($P1466="","",INDEX(Tasks!$F$10:$F$1941,$P1466)&amp;CHAR(10)&amp;INDEX(Tasks!$G$10:$G$1941,$P1466))</x:f>
        <x:v>DI.AU.3.4
Update Outcome portion of research plan (as needed)</x:v>
      </x:c>
      <x:c r="I1466" s="14"/>
      <x:c r="J1466" s="14"/>
      <x:c r="K1466" s="14"/>
      <x:c r="L1466" s="86" t="str">
        <x:f>IF($P1466="","",INDEX(Tasks!$N$10:$N$1941,$P1466))</x:f>
        <x:v>Not started</x:v>
      </x:c>
      <x:c r="M1466" s="87" t="n">
        <x:f>IF($P1466="","",INDEX(Tasks!$J$10:$J$1941,$P1466))</x:f>
        <x:v>46387</x:v>
      </x:c>
      <x:c r="N1466" s="85" t="str">
        <x:f>IF($P1466="","",HYPERLINK("#'"&amp;INDEX(Tasks!$T$10:$T$1941,$P1466)&amp;"'!A"&amp;INDEX(Tasks!$U$10:$U$1941,$P1466),"Open"))</x:f>
        <x:v>Open</x:v>
      </x:c>
      <x:c r="O1466" s="14"/>
      <x:c r="P1466" s="14" t="n">
        <x:f>IF(1445&gt;$B$10,"",MATCH(1445,Tasks!$S$10:$S$1941,0))</x:f>
        <x:v>1809</x:v>
      </x:c>
    </x:row>
    <x:row r="1467" ht="58" customHeight="1">
      <x:c r="B1467" s="86" t="str">
        <x:f>IF($P1467="","",INDEX(Tasks!$B$10:$B$1941,$P1467))</x:f>
        <x:v>Cycle 4</x:v>
      </x:c>
      <x:c r="C1467" s="86" t="str">
        <x:f>IF($P1467="","",INDEX(Tasks!$C$10:$C$1941,$P1467))</x:f>
        <x:v>Phase 3</x:v>
      </x:c>
      <x:c r="D1467" s="86" t="str">
        <x:f>IF($P1467="","",INDEX(Tasks!$D$10:$D$1941,$P1467))</x:f>
        <x:v>Auto</x:v>
      </x:c>
      <x:c r="E1467" s="86"/>
      <x:c r="F1467" s="86" t="str">
        <x:f>IF($P1467="","",INDEX(Tasks!$E$10:$E$1941,$P1467))</x:f>
        <x:v>Design &amp; Insights</x:v>
      </x:c>
      <x:c r="G1467" s="86"/>
      <x:c r="H1467" s="14" t="str">
        <x:f>IF($P1467="","",INDEX(Tasks!$F$10:$F$1941,$P1467)&amp;CHAR(10)&amp;INDEX(Tasks!$G$10:$G$1941,$P1467))</x:f>
        <x:v>DI.AU.3.5
Finalize presentation deck by incorporating pre-socialization feedback (as needed)</x:v>
      </x:c>
      <x:c r="I1467" s="14"/>
      <x:c r="J1467" s="14"/>
      <x:c r="K1467" s="14"/>
      <x:c r="L1467" s="86" t="str">
        <x:f>IF($P1467="","",INDEX(Tasks!$N$10:$N$1941,$P1467))</x:f>
        <x:v>Not started</x:v>
      </x:c>
      <x:c r="M1467" s="87" t="n">
        <x:f>IF($P1467="","",INDEX(Tasks!$J$10:$J$1941,$P1467))</x:f>
        <x:v>46387</x:v>
      </x:c>
      <x:c r="N1467" s="85" t="str">
        <x:f>IF($P1467="","",HYPERLINK("#'"&amp;INDEX(Tasks!$T$10:$T$1941,$P1467)&amp;"'!A"&amp;INDEX(Tasks!$U$10:$U$1941,$P1467),"Open"))</x:f>
        <x:v>Open</x:v>
      </x:c>
      <x:c r="O1467" s="14"/>
      <x:c r="P1467" s="14" t="n">
        <x:f>IF(1446&gt;$B$10,"",MATCH(1446,Tasks!$S$10:$S$1941,0))</x:f>
        <x:v>1810</x:v>
      </x:c>
    </x:row>
    <x:row r="1468" ht="58" customHeight="1">
      <x:c r="B1468" s="86" t="str">
        <x:f>IF($P1468="","",INDEX(Tasks!$B$10:$B$1941,$P1468))</x:f>
        <x:v>Cycle 4</x:v>
      </x:c>
      <x:c r="C1468" s="86" t="str">
        <x:f>IF($P1468="","",INDEX(Tasks!$C$10:$C$1941,$P1468))</x:f>
        <x:v>Phase 3</x:v>
      </x:c>
      <x:c r="D1468" s="86" t="str">
        <x:f>IF($P1468="","",INDEX(Tasks!$D$10:$D$1941,$P1468))</x:f>
        <x:v>Auto</x:v>
      </x:c>
      <x:c r="E1468" s="86"/>
      <x:c r="F1468" s="86" t="str">
        <x:f>IF($P1468="","",INDEX(Tasks!$E$10:$E$1941,$P1468))</x:f>
        <x:v>Design &amp; Insights</x:v>
      </x:c>
      <x:c r="G1468" s="86"/>
      <x:c r="H1468" s="14" t="str">
        <x:f>IF($P1468="","",INDEX(Tasks!$F$10:$F$1941,$P1468)&amp;CHAR(10)&amp;INDEX(Tasks!$G$10:$G$1941,$P1468))</x:f>
        <x:v>DI.AU.3.6
Ensure final deck is communicated to Forum attendees</x:v>
      </x:c>
      <x:c r="I1468" s="14"/>
      <x:c r="J1468" s="14"/>
      <x:c r="K1468" s="14"/>
      <x:c r="L1468" s="86" t="str">
        <x:f>IF($P1468="","",INDEX(Tasks!$N$10:$N$1941,$P1468))</x:f>
        <x:v>Not started</x:v>
      </x:c>
      <x:c r="M1468" s="87" t="n">
        <x:f>IF($P1468="","",INDEX(Tasks!$J$10:$J$1941,$P1468))</x:f>
        <x:v>46387</x:v>
      </x:c>
      <x:c r="N1468" s="85" t="str">
        <x:f>IF($P1468="","",HYPERLINK("#'"&amp;INDEX(Tasks!$T$10:$T$1941,$P1468)&amp;"'!A"&amp;INDEX(Tasks!$U$10:$U$1941,$P1468),"Open"))</x:f>
        <x:v>Open</x:v>
      </x:c>
      <x:c r="O1468" s="14"/>
      <x:c r="P1468" s="14" t="n">
        <x:f>IF(1447&gt;$B$10,"",MATCH(1447,Tasks!$S$10:$S$1941,0))</x:f>
        <x:v>1811</x:v>
      </x:c>
    </x:row>
    <x:row r="1469" ht="58" customHeight="1">
      <x:c r="B1469" s="86" t="str">
        <x:f>IF($P1469="","",INDEX(Tasks!$B$10:$B$1941,$P1469))</x:f>
        <x:v>Cycle 4</x:v>
      </x:c>
      <x:c r="C1469" s="86" t="str">
        <x:f>IF($P1469="","",INDEX(Tasks!$C$10:$C$1941,$P1469))</x:f>
        <x:v>Phase 3</x:v>
      </x:c>
      <x:c r="D1469" s="86" t="str">
        <x:f>IF($P1469="","",INDEX(Tasks!$D$10:$D$1941,$P1469))</x:f>
        <x:v>Auto</x:v>
      </x:c>
      <x:c r="E1469" s="86"/>
      <x:c r="F1469" s="86" t="str">
        <x:f>IF($P1469="","",INDEX(Tasks!$E$10:$E$1941,$P1469))</x:f>
        <x:v>Design &amp; Insights</x:v>
      </x:c>
      <x:c r="G1469" s="86"/>
      <x:c r="H1469" s="14" t="str">
        <x:f>IF($P1469="","",INDEX(Tasks!$F$10:$F$1941,$P1469)&amp;CHAR(10)&amp;INDEX(Tasks!$G$10:$G$1941,$P1469))</x:f>
        <x:v>DI.AU.3.7
Present material in RCA Cycle Forum</x:v>
      </x:c>
      <x:c r="I1469" s="14"/>
      <x:c r="J1469" s="14"/>
      <x:c r="K1469" s="14"/>
      <x:c r="L1469" s="86" t="str">
        <x:f>IF($P1469="","",INDEX(Tasks!$N$10:$N$1941,$P1469))</x:f>
        <x:v>Not started</x:v>
      </x:c>
      <x:c r="M1469" s="87" t="str">
        <x:f>IF($P1469="","",INDEX(Tasks!$J$10:$J$1941,$P1469))</x:f>
      </x:c>
      <x:c r="N1469" s="85" t="str">
        <x:f>IF($P1469="","",HYPERLINK("#'"&amp;INDEX(Tasks!$T$10:$T$1941,$P1469)&amp;"'!A"&amp;INDEX(Tasks!$U$10:$U$1941,$P1469),"Open"))</x:f>
        <x:v>Open</x:v>
      </x:c>
      <x:c r="O1469" s="14"/>
      <x:c r="P1469" s="14" t="n">
        <x:f>IF(1448&gt;$B$10,"",MATCH(1448,Tasks!$S$10:$S$1941,0))</x:f>
        <x:v>1812</x:v>
      </x:c>
    </x:row>
    <x:row r="1470" ht="58" customHeight="1">
      <x:c r="B1470" s="86" t="str">
        <x:f>IF($P1470="","",INDEX(Tasks!$B$10:$B$1941,$P1470))</x:f>
        <x:v>Cycle 4</x:v>
      </x:c>
      <x:c r="C1470" s="86" t="str">
        <x:f>IF($P1470="","",INDEX(Tasks!$C$10:$C$1941,$P1470))</x:f>
        <x:v>Phase 1</x:v>
      </x:c>
      <x:c r="D1470" s="86" t="str">
        <x:f>IF($P1470="","",INDEX(Tasks!$D$10:$D$1941,$P1470))</x:f>
        <x:v>Cards</x:v>
      </x:c>
      <x:c r="E1470" s="86"/>
      <x:c r="F1470" s="86" t="str">
        <x:f>IF($P1470="","",INDEX(Tasks!$E$10:$E$1941,$P1470))</x:f>
        <x:v>Design &amp; Insights</x:v>
      </x:c>
      <x:c r="G1470" s="86"/>
      <x:c r="H1470" s="14" t="str">
        <x:f>IF($P1470="","",INDEX(Tasks!$F$10:$F$1941,$P1470)&amp;CHAR(10)&amp;INDEX(Tasks!$G$10:$G$1941,$P1470))</x:f>
        <x:v>DI.CA.1.1
Receive and review potential research topics at least 2 weeks prior to Cycle start date</x:v>
      </x:c>
      <x:c r="I1470" s="14"/>
      <x:c r="J1470" s="14"/>
      <x:c r="K1470" s="14"/>
      <x:c r="L1470" s="86" t="str">
        <x:f>IF($P1470="","",INDEX(Tasks!$N$10:$N$1941,$P1470))</x:f>
        <x:v>Not started</x:v>
      </x:c>
      <x:c r="M1470" s="87" t="n">
        <x:f>IF($P1470="","",INDEX(Tasks!$J$10:$J$1941,$P1470))</x:f>
        <x:v>46282</x:v>
      </x:c>
      <x:c r="N1470" s="85" t="str">
        <x:f>IF($P1470="","",HYPERLINK("#'"&amp;INDEX(Tasks!$T$10:$T$1941,$P1470)&amp;"'!A"&amp;INDEX(Tasks!$U$10:$U$1941,$P1470),"Open"))</x:f>
        <x:v>Open</x:v>
      </x:c>
      <x:c r="O1470" s="14"/>
      <x:c r="P1470" s="14" t="n">
        <x:f>IF(1449&gt;$B$10,"",MATCH(1449,Tasks!$S$10:$S$1941,0))</x:f>
        <x:v>1813</x:v>
      </x:c>
    </x:row>
    <x:row r="1471" ht="58" customHeight="1">
      <x:c r="B1471" s="86" t="str">
        <x:f>IF($P1471="","",INDEX(Tasks!$B$10:$B$1941,$P1471))</x:f>
        <x:v>Cycle 4</x:v>
      </x:c>
      <x:c r="C1471" s="86" t="str">
        <x:f>IF($P1471="","",INDEX(Tasks!$C$10:$C$1941,$P1471))</x:f>
        <x:v>Phase 1</x:v>
      </x:c>
      <x:c r="D1471" s="86" t="str">
        <x:f>IF($P1471="","",INDEX(Tasks!$D$10:$D$1941,$P1471))</x:f>
        <x:v>Cards</x:v>
      </x:c>
      <x:c r="E1471" s="86"/>
      <x:c r="F1471" s="86" t="str">
        <x:f>IF($P1471="","",INDEX(Tasks!$E$10:$E$1941,$P1471))</x:f>
        <x:v>Design &amp; Insights</x:v>
      </x:c>
      <x:c r="G1471" s="86"/>
      <x:c r="H1471" s="14" t="str">
        <x:f>IF($P1471="","",INDEX(Tasks!$F$10:$F$1941,$P1471)&amp;CHAR(10)&amp;INDEX(Tasks!$G$10:$G$1941,$P1471))</x:f>
        <x:v>DI.CA.1.2
Communicate any feedback on preferences or concerns with topics identified</x:v>
      </x:c>
      <x:c r="I1471" s="14"/>
      <x:c r="J1471" s="14"/>
      <x:c r="K1471" s="14"/>
      <x:c r="L1471" s="86" t="str">
        <x:f>IF($P1471="","",INDEX(Tasks!$N$10:$N$1941,$P1471))</x:f>
        <x:v>Not started</x:v>
      </x:c>
      <x:c r="M1471" s="87" t="n">
        <x:f>IF($P1471="","",INDEX(Tasks!$J$10:$J$1941,$P1471))</x:f>
        <x:v>46387</x:v>
      </x:c>
      <x:c r="N1471" s="85" t="str">
        <x:f>IF($P1471="","",HYPERLINK("#'"&amp;INDEX(Tasks!$T$10:$T$1941,$P1471)&amp;"'!A"&amp;INDEX(Tasks!$U$10:$U$1941,$P1471),"Open"))</x:f>
        <x:v>Open</x:v>
      </x:c>
      <x:c r="O1471" s="14"/>
      <x:c r="P1471" s="14" t="n">
        <x:f>IF(1450&gt;$B$10,"",MATCH(1450,Tasks!$S$10:$S$1941,0))</x:f>
        <x:v>1814</x:v>
      </x:c>
    </x:row>
    <x:row r="1472" ht="58" customHeight="1">
      <x:c r="B1472" s="86" t="str">
        <x:f>IF($P1472="","",INDEX(Tasks!$B$10:$B$1941,$P1472))</x:f>
        <x:v>Cycle 4</x:v>
      </x:c>
      <x:c r="C1472" s="86" t="str">
        <x:f>IF($P1472="","",INDEX(Tasks!$C$10:$C$1941,$P1472))</x:f>
        <x:v>Phase 1</x:v>
      </x:c>
      <x:c r="D1472" s="86" t="str">
        <x:f>IF($P1472="","",INDEX(Tasks!$D$10:$D$1941,$P1472))</x:f>
        <x:v>Cards</x:v>
      </x:c>
      <x:c r="E1472" s="86"/>
      <x:c r="F1472" s="86" t="str">
        <x:f>IF($P1472="","",INDEX(Tasks!$E$10:$E$1941,$P1472))</x:f>
        <x:v>Design &amp; Insights</x:v>
      </x:c>
      <x:c r="G1472" s="86"/>
      <x:c r="H1472" s="14" t="str">
        <x:f>IF($P1472="","",INDEX(Tasks!$F$10:$F$1941,$P1472)&amp;CHAR(10)&amp;INDEX(Tasks!$G$10:$G$1941,$P1472))</x:f>
        <x:v>DI.CA.1.3
Conduct high-level preliminary review of complaints within proposed topics</x:v>
      </x:c>
      <x:c r="I1472" s="14"/>
      <x:c r="J1472" s="14"/>
      <x:c r="K1472" s="14"/>
      <x:c r="L1472" s="86" t="str">
        <x:f>IF($P1472="","",INDEX(Tasks!$N$10:$N$1941,$P1472))</x:f>
        <x:v>Not started</x:v>
      </x:c>
      <x:c r="M1472" s="87" t="n">
        <x:f>IF($P1472="","",INDEX(Tasks!$J$10:$J$1941,$P1472))</x:f>
        <x:v>46387</x:v>
      </x:c>
      <x:c r="N1472" s="85" t="str">
        <x:f>IF($P1472="","",HYPERLINK("#'"&amp;INDEX(Tasks!$T$10:$T$1941,$P1472)&amp;"'!A"&amp;INDEX(Tasks!$U$10:$U$1941,$P1472),"Open"))</x:f>
        <x:v>Open</x:v>
      </x:c>
      <x:c r="O1472" s="14"/>
      <x:c r="P1472" s="14" t="n">
        <x:f>IF(1451&gt;$B$10,"",MATCH(1451,Tasks!$S$10:$S$1941,0))</x:f>
        <x:v>1815</x:v>
      </x:c>
    </x:row>
    <x:row r="1473" ht="58" customHeight="1">
      <x:c r="B1473" s="86" t="str">
        <x:f>IF($P1473="","",INDEX(Tasks!$B$10:$B$1941,$P1473))</x:f>
        <x:v>Cycle 4</x:v>
      </x:c>
      <x:c r="C1473" s="86" t="str">
        <x:f>IF($P1473="","",INDEX(Tasks!$C$10:$C$1941,$P1473))</x:f>
        <x:v>Phase 1</x:v>
      </x:c>
      <x:c r="D1473" s="86" t="str">
        <x:f>IF($P1473="","",INDEX(Tasks!$D$10:$D$1941,$P1473))</x:f>
        <x:v>Cards</x:v>
      </x:c>
      <x:c r="E1473" s="86"/>
      <x:c r="F1473" s="86" t="str">
        <x:f>IF($P1473="","",INDEX(Tasks!$E$10:$E$1941,$P1473))</x:f>
        <x:v>Design &amp; Insights</x:v>
      </x:c>
      <x:c r="G1473" s="86"/>
      <x:c r="H1473" s="14" t="str">
        <x:f>IF($P1473="","",INDEX(Tasks!$F$10:$F$1941,$P1473)&amp;CHAR(10)&amp;INDEX(Tasks!$G$10:$G$1941,$P1473))</x:f>
        <x:v>DI.CA.1.4
Meet with Research to discuss which topic to select based on potential impact</x:v>
      </x:c>
      <x:c r="I1473" s="14"/>
      <x:c r="J1473" s="14"/>
      <x:c r="K1473" s="14"/>
      <x:c r="L1473" s="86" t="str">
        <x:f>IF($P1473="","",INDEX(Tasks!$N$10:$N$1941,$P1473))</x:f>
        <x:v>Not started</x:v>
      </x:c>
      <x:c r="M1473" s="87" t="n">
        <x:f>IF($P1473="","",INDEX(Tasks!$J$10:$J$1941,$P1473))</x:f>
        <x:v>46387</x:v>
      </x:c>
      <x:c r="N1473" s="85" t="str">
        <x:f>IF($P1473="","",HYPERLINK("#'"&amp;INDEX(Tasks!$T$10:$T$1941,$P1473)&amp;"'!A"&amp;INDEX(Tasks!$U$10:$U$1941,$P1473),"Open"))</x:f>
        <x:v>Open</x:v>
      </x:c>
      <x:c r="O1473" s="14"/>
      <x:c r="P1473" s="14" t="n">
        <x:f>IF(1452&gt;$B$10,"",MATCH(1452,Tasks!$S$10:$S$1941,0))</x:f>
        <x:v>1816</x:v>
      </x:c>
    </x:row>
    <x:row r="1474" ht="58" customHeight="1">
      <x:c r="B1474" s="86" t="str">
        <x:f>IF($P1474="","",INDEX(Tasks!$B$10:$B$1941,$P1474))</x:f>
        <x:v>Cycle 4</x:v>
      </x:c>
      <x:c r="C1474" s="86" t="str">
        <x:f>IF($P1474="","",INDEX(Tasks!$C$10:$C$1941,$P1474))</x:f>
        <x:v>Phase 1</x:v>
      </x:c>
      <x:c r="D1474" s="86" t="str">
        <x:f>IF($P1474="","",INDEX(Tasks!$D$10:$D$1941,$P1474))</x:f>
        <x:v>Cards</x:v>
      </x:c>
      <x:c r="E1474" s="86"/>
      <x:c r="F1474" s="86" t="str">
        <x:f>IF($P1474="","",INDEX(Tasks!$E$10:$E$1941,$P1474))</x:f>
        <x:v>Design &amp; Insights</x:v>
      </x:c>
      <x:c r="G1474" s="86"/>
      <x:c r="H1474" s="14" t="str">
        <x:f>IF($P1474="","",INDEX(Tasks!$F$10:$F$1941,$P1474)&amp;CHAR(10)&amp;INDEX(Tasks!$G$10:$G$1941,$P1474))</x:f>
        <x:v>DI.CA.1.5
Confirm with Research the recommended topic for approval</x:v>
      </x:c>
      <x:c r="I1474" s="14"/>
      <x:c r="J1474" s="14"/>
      <x:c r="K1474" s="14"/>
      <x:c r="L1474" s="86" t="str">
        <x:f>IF($P1474="","",INDEX(Tasks!$N$10:$N$1941,$P1474))</x:f>
        <x:v>Not started</x:v>
      </x:c>
      <x:c r="M1474" s="87" t="n">
        <x:f>IF($P1474="","",INDEX(Tasks!$J$10:$J$1941,$P1474))</x:f>
        <x:v>46387</x:v>
      </x:c>
      <x:c r="N1474" s="85" t="str">
        <x:f>IF($P1474="","",HYPERLINK("#'"&amp;INDEX(Tasks!$T$10:$T$1941,$P1474)&amp;"'!A"&amp;INDEX(Tasks!$U$10:$U$1941,$P1474),"Open"))</x:f>
        <x:v>Open</x:v>
      </x:c>
      <x:c r="O1474" s="14"/>
      <x:c r="P1474" s="14" t="n">
        <x:f>IF(1453&gt;$B$10,"",MATCH(1453,Tasks!$S$10:$S$1941,0))</x:f>
        <x:v>1817</x:v>
      </x:c>
    </x:row>
    <x:row r="1475" ht="58" customHeight="1">
      <x:c r="B1475" s="86" t="str">
        <x:f>IF($P1475="","",INDEX(Tasks!$B$10:$B$1941,$P1475))</x:f>
        <x:v>Cycle 4</x:v>
      </x:c>
      <x:c r="C1475" s="86" t="str">
        <x:f>IF($P1475="","",INDEX(Tasks!$C$10:$C$1941,$P1475))</x:f>
        <x:v>Phase 1</x:v>
      </x:c>
      <x:c r="D1475" s="86" t="str">
        <x:f>IF($P1475="","",INDEX(Tasks!$D$10:$D$1941,$P1475))</x:f>
        <x:v>Cards</x:v>
      </x:c>
      <x:c r="E1475" s="86"/>
      <x:c r="F1475" s="86" t="str">
        <x:f>IF($P1475="","",INDEX(Tasks!$E$10:$E$1941,$P1475))</x:f>
        <x:v>Design &amp; Insights</x:v>
      </x:c>
      <x:c r="G1475" s="86"/>
      <x:c r="H1475" s="14" t="str">
        <x:f>IF($P1475="","",INDEX(Tasks!$F$10:$F$1941,$P1475)&amp;CHAR(10)&amp;INDEX(Tasks!$G$10:$G$1941,$P1475))</x:f>
        <x:v>DI.CA.1.6
Send topic selection socialization email to all key stakeholders on the first day of the review Cycle</x:v>
      </x:c>
      <x:c r="I1475" s="14"/>
      <x:c r="J1475" s="14"/>
      <x:c r="K1475" s="14"/>
      <x:c r="L1475" s="86" t="str">
        <x:f>IF($P1475="","",INDEX(Tasks!$N$10:$N$1941,$P1475))</x:f>
        <x:v>Not started</x:v>
      </x:c>
      <x:c r="M1475" s="87" t="n">
        <x:f>IF($P1475="","",INDEX(Tasks!$J$10:$J$1941,$P1475))</x:f>
        <x:v>46296</x:v>
      </x:c>
      <x:c r="N1475" s="85" t="str">
        <x:f>IF($P1475="","",HYPERLINK("#'"&amp;INDEX(Tasks!$T$10:$T$1941,$P1475)&amp;"'!A"&amp;INDEX(Tasks!$U$10:$U$1941,$P1475),"Open"))</x:f>
        <x:v>Open</x:v>
      </x:c>
      <x:c r="O1475" s="14"/>
      <x:c r="P1475" s="14" t="n">
        <x:f>IF(1454&gt;$B$10,"",MATCH(1454,Tasks!$S$10:$S$1941,0))</x:f>
        <x:v>1818</x:v>
      </x:c>
    </x:row>
    <x:row r="1476" ht="58" customHeight="1">
      <x:c r="B1476" s="86" t="str">
        <x:f>IF($P1476="","",INDEX(Tasks!$B$10:$B$1941,$P1476))</x:f>
        <x:v>Cycle 4</x:v>
      </x:c>
      <x:c r="C1476" s="86" t="str">
        <x:f>IF($P1476="","",INDEX(Tasks!$C$10:$C$1941,$P1476))</x:f>
        <x:v>Phase 2</x:v>
      </x:c>
      <x:c r="D1476" s="86" t="str">
        <x:f>IF($P1476="","",INDEX(Tasks!$D$10:$D$1941,$P1476))</x:f>
        <x:v>Cards</x:v>
      </x:c>
      <x:c r="E1476" s="86"/>
      <x:c r="F1476" s="86" t="str">
        <x:f>IF($P1476="","",INDEX(Tasks!$E$10:$E$1941,$P1476))</x:f>
        <x:v>Design &amp; Insights</x:v>
      </x:c>
      <x:c r="G1476" s="86"/>
      <x:c r="H1476" s="14" t="str">
        <x:f>IF($P1476="","",INDEX(Tasks!$F$10:$F$1941,$P1476)&amp;CHAR(10)&amp;INDEX(Tasks!$G$10:$G$1941,$P1476))</x:f>
        <x:v>DI.CA.2.1
Meet regularly with Research to stay informed on progress, findings, and potential enhancement</x:v>
      </x:c>
      <x:c r="I1476" s="14"/>
      <x:c r="J1476" s="14"/>
      <x:c r="K1476" s="14"/>
      <x:c r="L1476" s="86" t="str">
        <x:f>IF($P1476="","",INDEX(Tasks!$N$10:$N$1941,$P1476))</x:f>
        <x:v>Not started</x:v>
      </x:c>
      <x:c r="M1476" s="87" t="n">
        <x:f>IF($P1476="","",INDEX(Tasks!$J$10:$J$1941,$P1476))</x:f>
        <x:v>46387</x:v>
      </x:c>
      <x:c r="N1476" s="85" t="str">
        <x:f>IF($P1476="","",HYPERLINK("#'"&amp;INDEX(Tasks!$T$10:$T$1941,$P1476)&amp;"'!A"&amp;INDEX(Tasks!$U$10:$U$1941,$P1476),"Open"))</x:f>
        <x:v>Open</x:v>
      </x:c>
      <x:c r="O1476" s="14"/>
      <x:c r="P1476" s="14" t="n">
        <x:f>IF(1455&gt;$B$10,"",MATCH(1455,Tasks!$S$10:$S$1941,0))</x:f>
        <x:v>1819</x:v>
      </x:c>
    </x:row>
    <x:row r="1477" ht="58" customHeight="1">
      <x:c r="B1477" s="86" t="str">
        <x:f>IF($P1477="","",INDEX(Tasks!$B$10:$B$1941,$P1477))</x:f>
        <x:v>Cycle 4</x:v>
      </x:c>
      <x:c r="C1477" s="86" t="str">
        <x:f>IF($P1477="","",INDEX(Tasks!$C$10:$C$1941,$P1477))</x:f>
        <x:v>Phase 2</x:v>
      </x:c>
      <x:c r="D1477" s="86" t="str">
        <x:f>IF($P1477="","",INDEX(Tasks!$D$10:$D$1941,$P1477))</x:f>
        <x:v>Cards</x:v>
      </x:c>
      <x:c r="E1477" s="86"/>
      <x:c r="F1477" s="86" t="str">
        <x:f>IF($P1477="","",INDEX(Tasks!$E$10:$E$1941,$P1477))</x:f>
        <x:v>Design &amp; Insights</x:v>
      </x:c>
      <x:c r="G1477" s="86"/>
      <x:c r="H1477" s="14" t="str">
        <x:f>IF($P1477="","",INDEX(Tasks!$F$10:$F$1941,$P1477)&amp;CHAR(10)&amp;INDEX(Tasks!$G$10:$G$1941,$P1477))</x:f>
        <x:v>DI.CA.2.2
Collaborate with Research on research plan specifics</x:v>
      </x:c>
      <x:c r="I1477" s="14"/>
      <x:c r="J1477" s="14"/>
      <x:c r="K1477" s="14"/>
      <x:c r="L1477" s="86" t="str">
        <x:f>IF($P1477="","",INDEX(Tasks!$N$10:$N$1941,$P1477))</x:f>
        <x:v>Not started</x:v>
      </x:c>
      <x:c r="M1477" s="87" t="n">
        <x:f>IF($P1477="","",INDEX(Tasks!$J$10:$J$1941,$P1477))</x:f>
        <x:v>46387</x:v>
      </x:c>
      <x:c r="N1477" s="85" t="str">
        <x:f>IF($P1477="","",HYPERLINK("#'"&amp;INDEX(Tasks!$T$10:$T$1941,$P1477)&amp;"'!A"&amp;INDEX(Tasks!$U$10:$U$1941,$P1477),"Open"))</x:f>
        <x:v>Open</x:v>
      </x:c>
      <x:c r="O1477" s="14"/>
      <x:c r="P1477" s="14" t="n">
        <x:f>IF(1456&gt;$B$10,"",MATCH(1456,Tasks!$S$10:$S$1941,0))</x:f>
        <x:v>1820</x:v>
      </x:c>
    </x:row>
    <x:row r="1478" ht="58" customHeight="1">
      <x:c r="B1478" s="86" t="str">
        <x:f>IF($P1478="","",INDEX(Tasks!$B$10:$B$1941,$P1478))</x:f>
        <x:v>Cycle 4</x:v>
      </x:c>
      <x:c r="C1478" s="86" t="str">
        <x:f>IF($P1478="","",INDEX(Tasks!$C$10:$C$1941,$P1478))</x:f>
        <x:v>Phase 2</x:v>
      </x:c>
      <x:c r="D1478" s="86" t="str">
        <x:f>IF($P1478="","",INDEX(Tasks!$D$10:$D$1941,$P1478))</x:f>
        <x:v>Cards</x:v>
      </x:c>
      <x:c r="E1478" s="86"/>
      <x:c r="F1478" s="86" t="str">
        <x:f>IF($P1478="","",INDEX(Tasks!$E$10:$E$1941,$P1478))</x:f>
        <x:v>Design &amp; Insights</x:v>
      </x:c>
      <x:c r="G1478" s="86"/>
      <x:c r="H1478" s="14" t="str">
        <x:f>IF($P1478="","",INDEX(Tasks!$F$10:$F$1941,$P1478)&amp;CHAR(10)&amp;INDEX(Tasks!$G$10:$G$1941,$P1478))</x:f>
        <x:v>DI.CA.2.3
Participate in SME insight meetings to gain perspective and appetite on potential enhancements</x:v>
      </x:c>
      <x:c r="I1478" s="14"/>
      <x:c r="J1478" s="14"/>
      <x:c r="K1478" s="14"/>
      <x:c r="L1478" s="86" t="str">
        <x:f>IF($P1478="","",INDEX(Tasks!$N$10:$N$1941,$P1478))</x:f>
        <x:v>Not started</x:v>
      </x:c>
      <x:c r="M1478" s="87" t="n">
        <x:f>IF($P1478="","",INDEX(Tasks!$J$10:$J$1941,$P1478))</x:f>
        <x:v>46387</x:v>
      </x:c>
      <x:c r="N1478" s="85" t="str">
        <x:f>IF($P1478="","",HYPERLINK("#'"&amp;INDEX(Tasks!$T$10:$T$1941,$P1478)&amp;"'!A"&amp;INDEX(Tasks!$U$10:$U$1941,$P1478),"Open"))</x:f>
        <x:v>Open</x:v>
      </x:c>
      <x:c r="O1478" s="14"/>
      <x:c r="P1478" s="14" t="n">
        <x:f>IF(1457&gt;$B$10,"",MATCH(1457,Tasks!$S$10:$S$1941,0))</x:f>
        <x:v>1821</x:v>
      </x:c>
    </x:row>
    <x:row r="1479" ht="58" customHeight="1">
      <x:c r="B1479" s="86" t="str">
        <x:f>IF($P1479="","",INDEX(Tasks!$B$10:$B$1941,$P1479))</x:f>
        <x:v>Cycle 4</x:v>
      </x:c>
      <x:c r="C1479" s="86" t="str">
        <x:f>IF($P1479="","",INDEX(Tasks!$C$10:$C$1941,$P1479))</x:f>
        <x:v>Phase 2</x:v>
      </x:c>
      <x:c r="D1479" s="86" t="str">
        <x:f>IF($P1479="","",INDEX(Tasks!$D$10:$D$1941,$P1479))</x:f>
        <x:v>Cards</x:v>
      </x:c>
      <x:c r="E1479" s="86"/>
      <x:c r="F1479" s="86" t="str">
        <x:f>IF($P1479="","",INDEX(Tasks!$E$10:$E$1941,$P1479))</x:f>
        <x:v>Design &amp; Insights</x:v>
      </x:c>
      <x:c r="G1479" s="86"/>
      <x:c r="H1479" s="14" t="str">
        <x:f>IF($P1479="","",INDEX(Tasks!$F$10:$F$1941,$P1479)&amp;CHAR(10)&amp;INDEX(Tasks!$G$10:$G$1941,$P1479))</x:f>
        <x:v>DI.CA.2.4
Begin development of presentation materials as Research is being completed</x:v>
      </x:c>
      <x:c r="I1479" s="14"/>
      <x:c r="J1479" s="14"/>
      <x:c r="K1479" s="14"/>
      <x:c r="L1479" s="86" t="str">
        <x:f>IF($P1479="","",INDEX(Tasks!$N$10:$N$1941,$P1479))</x:f>
        <x:v>Not started</x:v>
      </x:c>
      <x:c r="M1479" s="87" t="n">
        <x:f>IF($P1479="","",INDEX(Tasks!$J$10:$J$1941,$P1479))</x:f>
        <x:v>46387</x:v>
      </x:c>
      <x:c r="N1479" s="85" t="str">
        <x:f>IF($P1479="","",HYPERLINK("#'"&amp;INDEX(Tasks!$T$10:$T$1941,$P1479)&amp;"'!A"&amp;INDEX(Tasks!$U$10:$U$1941,$P1479),"Open"))</x:f>
        <x:v>Open</x:v>
      </x:c>
      <x:c r="O1479" s="14"/>
      <x:c r="P1479" s="14" t="n">
        <x:f>IF(1458&gt;$B$10,"",MATCH(1458,Tasks!$S$10:$S$1941,0))</x:f>
        <x:v>1822</x:v>
      </x:c>
    </x:row>
    <x:row r="1480" ht="58" customHeight="1">
      <x:c r="B1480" s="86" t="str">
        <x:f>IF($P1480="","",INDEX(Tasks!$B$10:$B$1941,$P1480))</x:f>
        <x:v>Cycle 4</x:v>
      </x:c>
      <x:c r="C1480" s="86" t="str">
        <x:f>IF($P1480="","",INDEX(Tasks!$C$10:$C$1941,$P1480))</x:f>
        <x:v>Phase 2</x:v>
      </x:c>
      <x:c r="D1480" s="86" t="str">
        <x:f>IF($P1480="","",INDEX(Tasks!$D$10:$D$1941,$P1480))</x:f>
        <x:v>Cards</x:v>
      </x:c>
      <x:c r="E1480" s="86"/>
      <x:c r="F1480" s="86" t="str">
        <x:f>IF($P1480="","",INDEX(Tasks!$E$10:$E$1941,$P1480))</x:f>
        <x:v>Design &amp; Insights</x:v>
      </x:c>
      <x:c r="G1480" s="86"/>
      <x:c r="H1480" s="14" t="str">
        <x:f>IF($P1480="","",INDEX(Tasks!$F$10:$F$1941,$P1480)&amp;CHAR(10)&amp;INDEX(Tasks!$G$10:$G$1941,$P1480))</x:f>
        <x:v>DI.CA.2.5
Draft initial enhancement recommendations (as applicable)</x:v>
      </x:c>
      <x:c r="I1480" s="14"/>
      <x:c r="J1480" s="14"/>
      <x:c r="K1480" s="14"/>
      <x:c r="L1480" s="86" t="str">
        <x:f>IF($P1480="","",INDEX(Tasks!$N$10:$N$1941,$P1480))</x:f>
        <x:v>Not started</x:v>
      </x:c>
      <x:c r="M1480" s="87" t="n">
        <x:f>IF($P1480="","",INDEX(Tasks!$J$10:$J$1941,$P1480))</x:f>
        <x:v>46387</x:v>
      </x:c>
      <x:c r="N1480" s="85" t="str">
        <x:f>IF($P1480="","",HYPERLINK("#'"&amp;INDEX(Tasks!$T$10:$T$1941,$P1480)&amp;"'!A"&amp;INDEX(Tasks!$U$10:$U$1941,$P1480),"Open"))</x:f>
        <x:v>Open</x:v>
      </x:c>
      <x:c r="O1480" s="14"/>
      <x:c r="P1480" s="14" t="n">
        <x:f>IF(1459&gt;$B$10,"",MATCH(1459,Tasks!$S$10:$S$1941,0))</x:f>
        <x:v>1823</x:v>
      </x:c>
    </x:row>
    <x:row r="1481" ht="58" customHeight="1">
      <x:c r="B1481" s="86" t="str">
        <x:f>IF($P1481="","",INDEX(Tasks!$B$10:$B$1941,$P1481))</x:f>
        <x:v>Cycle 4</x:v>
      </x:c>
      <x:c r="C1481" s="86" t="str">
        <x:f>IF($P1481="","",INDEX(Tasks!$C$10:$C$1941,$P1481))</x:f>
        <x:v>Phase 2</x:v>
      </x:c>
      <x:c r="D1481" s="86" t="str">
        <x:f>IF($P1481="","",INDEX(Tasks!$D$10:$D$1941,$P1481))</x:f>
        <x:v>Cards</x:v>
      </x:c>
      <x:c r="E1481" s="86"/>
      <x:c r="F1481" s="86" t="str">
        <x:f>IF($P1481="","",INDEX(Tasks!$E$10:$E$1941,$P1481))</x:f>
        <x:v>Design &amp; Insights</x:v>
      </x:c>
      <x:c r="G1481" s="86"/>
      <x:c r="H1481" s="14" t="str">
        <x:f>IF($P1481="","",INDEX(Tasks!$F$10:$F$1941,$P1481)&amp;CHAR(10)&amp;INDEX(Tasks!$G$10:$G$1941,$P1481))</x:f>
        <x:v>DI.CA.2.6
Finalize presentation deck draft at conclusion of Research phase</x:v>
      </x:c>
      <x:c r="I1481" s="14"/>
      <x:c r="J1481" s="14"/>
      <x:c r="K1481" s="14"/>
      <x:c r="L1481" s="86" t="str">
        <x:f>IF($P1481="","",INDEX(Tasks!$N$10:$N$1941,$P1481))</x:f>
        <x:v>Not started</x:v>
      </x:c>
      <x:c r="M1481" s="87" t="n">
        <x:f>IF($P1481="","",INDEX(Tasks!$J$10:$J$1941,$P1481))</x:f>
        <x:v>46387</x:v>
      </x:c>
      <x:c r="N1481" s="85" t="str">
        <x:f>IF($P1481="","",HYPERLINK("#'"&amp;INDEX(Tasks!$T$10:$T$1941,$P1481)&amp;"'!A"&amp;INDEX(Tasks!$U$10:$U$1941,$P1481),"Open"))</x:f>
        <x:v>Open</x:v>
      </x:c>
      <x:c r="O1481" s="14"/>
      <x:c r="P1481" s="14" t="n">
        <x:f>IF(1460&gt;$B$10,"",MATCH(1460,Tasks!$S$10:$S$1941,0))</x:f>
        <x:v>1824</x:v>
      </x:c>
    </x:row>
    <x:row r="1482" ht="58" customHeight="1">
      <x:c r="B1482" s="86" t="str">
        <x:f>IF($P1482="","",INDEX(Tasks!$B$10:$B$1941,$P1482))</x:f>
        <x:v>Cycle 4</x:v>
      </x:c>
      <x:c r="C1482" s="86" t="str">
        <x:f>IF($P1482="","",INDEX(Tasks!$C$10:$C$1941,$P1482))</x:f>
        <x:v>Phase 2</x:v>
      </x:c>
      <x:c r="D1482" s="86" t="str">
        <x:f>IF($P1482="","",INDEX(Tasks!$D$10:$D$1941,$P1482))</x:f>
        <x:v>Cards</x:v>
      </x:c>
      <x:c r="E1482" s="86"/>
      <x:c r="F1482" s="86" t="str">
        <x:f>IF($P1482="","",INDEX(Tasks!$E$10:$E$1941,$P1482))</x:f>
        <x:v>Design &amp; Insights</x:v>
      </x:c>
      <x:c r="G1482" s="86"/>
      <x:c r="H1482" s="14" t="str">
        <x:f>IF($P1482="","",INDEX(Tasks!$F$10:$F$1941,$P1482)&amp;CHAR(10)&amp;INDEX(Tasks!$G$10:$G$1941,$P1482))</x:f>
        <x:v>DI.CA.2.7
Update Outcome portion of research plan with current enhancement verbiage (as needed)</x:v>
      </x:c>
      <x:c r="I1482" s="14"/>
      <x:c r="J1482" s="14"/>
      <x:c r="K1482" s="14"/>
      <x:c r="L1482" s="86" t="str">
        <x:f>IF($P1482="","",INDEX(Tasks!$N$10:$N$1941,$P1482))</x:f>
        <x:v>Not started</x:v>
      </x:c>
      <x:c r="M1482" s="87" t="n">
        <x:f>IF($P1482="","",INDEX(Tasks!$J$10:$J$1941,$P1482))</x:f>
        <x:v>46387</x:v>
      </x:c>
      <x:c r="N1482" s="85" t="str">
        <x:f>IF($P1482="","",HYPERLINK("#'"&amp;INDEX(Tasks!$T$10:$T$1941,$P1482)&amp;"'!A"&amp;INDEX(Tasks!$U$10:$U$1941,$P1482),"Open"))</x:f>
        <x:v>Open</x:v>
      </x:c>
      <x:c r="O1482" s="14"/>
      <x:c r="P1482" s="14" t="n">
        <x:f>IF(1461&gt;$B$10,"",MATCH(1461,Tasks!$S$10:$S$1941,0))</x:f>
        <x:v>1825</x:v>
      </x:c>
    </x:row>
    <x:row r="1483" ht="58" customHeight="1">
      <x:c r="B1483" s="86" t="str">
        <x:f>IF($P1483="","",INDEX(Tasks!$B$10:$B$1941,$P1483))</x:f>
        <x:v>Cycle 4</x:v>
      </x:c>
      <x:c r="C1483" s="86" t="str">
        <x:f>IF($P1483="","",INDEX(Tasks!$C$10:$C$1941,$P1483))</x:f>
        <x:v>Phase 3</x:v>
      </x:c>
      <x:c r="D1483" s="86" t="str">
        <x:f>IF($P1483="","",INDEX(Tasks!$D$10:$D$1941,$P1483))</x:f>
        <x:v>Cards</x:v>
      </x:c>
      <x:c r="E1483" s="86"/>
      <x:c r="F1483" s="86" t="str">
        <x:f>IF($P1483="","",INDEX(Tasks!$E$10:$E$1941,$P1483))</x:f>
        <x:v>Design &amp; Insights</x:v>
      </x:c>
      <x:c r="G1483" s="86"/>
      <x:c r="H1483" s="14" t="str">
        <x:f>IF($P1483="","",INDEX(Tasks!$F$10:$F$1941,$P1483)&amp;CHAR(10)&amp;INDEX(Tasks!$G$10:$G$1941,$P1483))</x:f>
        <x:v>DI.CA.3.1
Confirm list of required &amp; optional attendees for pre-socialization meeting</x:v>
      </x:c>
      <x:c r="I1483" s="14"/>
      <x:c r="J1483" s="14"/>
      <x:c r="K1483" s="14"/>
      <x:c r="L1483" s="86" t="str">
        <x:f>IF($P1483="","",INDEX(Tasks!$N$10:$N$1941,$P1483))</x:f>
        <x:v>Not started</x:v>
      </x:c>
      <x:c r="M1483" s="87" t="n">
        <x:f>IF($P1483="","",INDEX(Tasks!$J$10:$J$1941,$P1483))</x:f>
        <x:v>46387</x:v>
      </x:c>
      <x:c r="N1483" s="85" t="str">
        <x:f>IF($P1483="","",HYPERLINK("#'"&amp;INDEX(Tasks!$T$10:$T$1941,$P1483)&amp;"'!A"&amp;INDEX(Tasks!$U$10:$U$1941,$P1483),"Open"))</x:f>
        <x:v>Open</x:v>
      </x:c>
      <x:c r="O1483" s="14"/>
      <x:c r="P1483" s="14" t="n">
        <x:f>IF(1462&gt;$B$10,"",MATCH(1462,Tasks!$S$10:$S$1941,0))</x:f>
        <x:v>1826</x:v>
      </x:c>
    </x:row>
    <x:row r="1484" ht="58" customHeight="1">
      <x:c r="B1484" s="86" t="str">
        <x:f>IF($P1484="","",INDEX(Tasks!$B$10:$B$1941,$P1484))</x:f>
        <x:v>Cycle 4</x:v>
      </x:c>
      <x:c r="C1484" s="86" t="str">
        <x:f>IF($P1484="","",INDEX(Tasks!$C$10:$C$1941,$P1484))</x:f>
        <x:v>Phase 3</x:v>
      </x:c>
      <x:c r="D1484" s="86" t="str">
        <x:f>IF($P1484="","",INDEX(Tasks!$D$10:$D$1941,$P1484))</x:f>
        <x:v>Cards</x:v>
      </x:c>
      <x:c r="E1484" s="86"/>
      <x:c r="F1484" s="86" t="str">
        <x:f>IF($P1484="","",INDEX(Tasks!$E$10:$E$1941,$P1484))</x:f>
        <x:v>Design &amp; Insights</x:v>
      </x:c>
      <x:c r="G1484" s="86"/>
      <x:c r="H1484" s="14" t="str">
        <x:f>IF($P1484="","",INDEX(Tasks!$F$10:$F$1941,$P1484)&amp;CHAR(10)&amp;INDEX(Tasks!$G$10:$G$1941,$P1484))</x:f>
        <x:v>DI.CA.3.2
Schedule pre-socialization meeting 1 week prior to RCA Forum</x:v>
      </x:c>
      <x:c r="I1484" s="14"/>
      <x:c r="J1484" s="14"/>
      <x:c r="K1484" s="14"/>
      <x:c r="L1484" s="86" t="str">
        <x:f>IF($P1484="","",INDEX(Tasks!$N$10:$N$1941,$P1484))</x:f>
        <x:v>Not started</x:v>
      </x:c>
      <x:c r="M1484" s="87" t="str">
        <x:f>IF($P1484="","",INDEX(Tasks!$J$10:$J$1941,$P1484))</x:f>
      </x:c>
      <x:c r="N1484" s="85" t="str">
        <x:f>IF($P1484="","",HYPERLINK("#'"&amp;INDEX(Tasks!$T$10:$T$1941,$P1484)&amp;"'!A"&amp;INDEX(Tasks!$U$10:$U$1941,$P1484),"Open"))</x:f>
        <x:v>Open</x:v>
      </x:c>
      <x:c r="O1484" s="14"/>
      <x:c r="P1484" s="14" t="n">
        <x:f>IF(1463&gt;$B$10,"",MATCH(1463,Tasks!$S$10:$S$1941,0))</x:f>
        <x:v>1827</x:v>
      </x:c>
    </x:row>
    <x:row r="1485" ht="58" customHeight="1">
      <x:c r="B1485" s="86" t="str">
        <x:f>IF($P1485="","",INDEX(Tasks!$B$10:$B$1941,$P1485))</x:f>
        <x:v>Cycle 4</x:v>
      </x:c>
      <x:c r="C1485" s="86" t="str">
        <x:f>IF($P1485="","",INDEX(Tasks!$C$10:$C$1941,$P1485))</x:f>
        <x:v>Phase 3</x:v>
      </x:c>
      <x:c r="D1485" s="86" t="str">
        <x:f>IF($P1485="","",INDEX(Tasks!$D$10:$D$1941,$P1485))</x:f>
        <x:v>Cards</x:v>
      </x:c>
      <x:c r="E1485" s="86"/>
      <x:c r="F1485" s="86" t="str">
        <x:f>IF($P1485="","",INDEX(Tasks!$E$10:$E$1941,$P1485))</x:f>
        <x:v>Design &amp; Insights</x:v>
      </x:c>
      <x:c r="G1485" s="86"/>
      <x:c r="H1485" s="14" t="str">
        <x:f>IF($P1485="","",INDEX(Tasks!$F$10:$F$1941,$P1485)&amp;CHAR(10)&amp;INDEX(Tasks!$G$10:$G$1941,$P1485))</x:f>
        <x:v>DI.CA.3.3
Present findings, conclusions, and recommendation to SMEs</x:v>
      </x:c>
      <x:c r="I1485" s="14"/>
      <x:c r="J1485" s="14"/>
      <x:c r="K1485" s="14"/>
      <x:c r="L1485" s="86" t="str">
        <x:f>IF($P1485="","",INDEX(Tasks!$N$10:$N$1941,$P1485))</x:f>
        <x:v>Not started</x:v>
      </x:c>
      <x:c r="M1485" s="87" t="n">
        <x:f>IF($P1485="","",INDEX(Tasks!$J$10:$J$1941,$P1485))</x:f>
        <x:v>46387</x:v>
      </x:c>
      <x:c r="N1485" s="85" t="str">
        <x:f>IF($P1485="","",HYPERLINK("#'"&amp;INDEX(Tasks!$T$10:$T$1941,$P1485)&amp;"'!A"&amp;INDEX(Tasks!$U$10:$U$1941,$P1485),"Open"))</x:f>
        <x:v>Open</x:v>
      </x:c>
      <x:c r="O1485" s="14"/>
      <x:c r="P1485" s="14" t="n">
        <x:f>IF(1464&gt;$B$10,"",MATCH(1464,Tasks!$S$10:$S$1941,0))</x:f>
        <x:v>1828</x:v>
      </x:c>
    </x:row>
    <x:row r="1486" ht="58" customHeight="1">
      <x:c r="B1486" s="86" t="str">
        <x:f>IF($P1486="","",INDEX(Tasks!$B$10:$B$1941,$P1486))</x:f>
        <x:v>Cycle 4</x:v>
      </x:c>
      <x:c r="C1486" s="86" t="str">
        <x:f>IF($P1486="","",INDEX(Tasks!$C$10:$C$1941,$P1486))</x:f>
        <x:v>Phase 3</x:v>
      </x:c>
      <x:c r="D1486" s="86" t="str">
        <x:f>IF($P1486="","",INDEX(Tasks!$D$10:$D$1941,$P1486))</x:f>
        <x:v>Cards</x:v>
      </x:c>
      <x:c r="E1486" s="86"/>
      <x:c r="F1486" s="86" t="str">
        <x:f>IF($P1486="","",INDEX(Tasks!$E$10:$E$1941,$P1486))</x:f>
        <x:v>Design &amp; Insights</x:v>
      </x:c>
      <x:c r="G1486" s="86"/>
      <x:c r="H1486" s="14" t="str">
        <x:f>IF($P1486="","",INDEX(Tasks!$F$10:$F$1941,$P1486)&amp;CHAR(10)&amp;INDEX(Tasks!$G$10:$G$1941,$P1486))</x:f>
        <x:v>DI.CA.3.4
Update Outcome portion of research plan (as needed)</x:v>
      </x:c>
      <x:c r="I1486" s="14"/>
      <x:c r="J1486" s="14"/>
      <x:c r="K1486" s="14"/>
      <x:c r="L1486" s="86" t="str">
        <x:f>IF($P1486="","",INDEX(Tasks!$N$10:$N$1941,$P1486))</x:f>
        <x:v>Not started</x:v>
      </x:c>
      <x:c r="M1486" s="87" t="n">
        <x:f>IF($P1486="","",INDEX(Tasks!$J$10:$J$1941,$P1486))</x:f>
        <x:v>46387</x:v>
      </x:c>
      <x:c r="N1486" s="85" t="str">
        <x:f>IF($P1486="","",HYPERLINK("#'"&amp;INDEX(Tasks!$T$10:$T$1941,$P1486)&amp;"'!A"&amp;INDEX(Tasks!$U$10:$U$1941,$P1486),"Open"))</x:f>
        <x:v>Open</x:v>
      </x:c>
      <x:c r="O1486" s="14"/>
      <x:c r="P1486" s="14" t="n">
        <x:f>IF(1465&gt;$B$10,"",MATCH(1465,Tasks!$S$10:$S$1941,0))</x:f>
        <x:v>1829</x:v>
      </x:c>
    </x:row>
    <x:row r="1487" ht="58" customHeight="1">
      <x:c r="B1487" s="86" t="str">
        <x:f>IF($P1487="","",INDEX(Tasks!$B$10:$B$1941,$P1487))</x:f>
        <x:v>Cycle 4</x:v>
      </x:c>
      <x:c r="C1487" s="86" t="str">
        <x:f>IF($P1487="","",INDEX(Tasks!$C$10:$C$1941,$P1487))</x:f>
        <x:v>Phase 3</x:v>
      </x:c>
      <x:c r="D1487" s="86" t="str">
        <x:f>IF($P1487="","",INDEX(Tasks!$D$10:$D$1941,$P1487))</x:f>
        <x:v>Cards</x:v>
      </x:c>
      <x:c r="E1487" s="86"/>
      <x:c r="F1487" s="86" t="str">
        <x:f>IF($P1487="","",INDEX(Tasks!$E$10:$E$1941,$P1487))</x:f>
        <x:v>Design &amp; Insights</x:v>
      </x:c>
      <x:c r="G1487" s="86"/>
      <x:c r="H1487" s="14" t="str">
        <x:f>IF($P1487="","",INDEX(Tasks!$F$10:$F$1941,$P1487)&amp;CHAR(10)&amp;INDEX(Tasks!$G$10:$G$1941,$P1487))</x:f>
        <x:v>DI.CA.3.5
Finalize presentation deck by incorporating pre-socialization feedback (as needed)</x:v>
      </x:c>
      <x:c r="I1487" s="14"/>
      <x:c r="J1487" s="14"/>
      <x:c r="K1487" s="14"/>
      <x:c r="L1487" s="86" t="str">
        <x:f>IF($P1487="","",INDEX(Tasks!$N$10:$N$1941,$P1487))</x:f>
        <x:v>Not started</x:v>
      </x:c>
      <x:c r="M1487" s="87" t="n">
        <x:f>IF($P1487="","",INDEX(Tasks!$J$10:$J$1941,$P1487))</x:f>
        <x:v>46387</x:v>
      </x:c>
      <x:c r="N1487" s="85" t="str">
        <x:f>IF($P1487="","",HYPERLINK("#'"&amp;INDEX(Tasks!$T$10:$T$1941,$P1487)&amp;"'!A"&amp;INDEX(Tasks!$U$10:$U$1941,$P1487),"Open"))</x:f>
        <x:v>Open</x:v>
      </x:c>
      <x:c r="O1487" s="14"/>
      <x:c r="P1487" s="14" t="n">
        <x:f>IF(1466&gt;$B$10,"",MATCH(1466,Tasks!$S$10:$S$1941,0))</x:f>
        <x:v>1830</x:v>
      </x:c>
    </x:row>
    <x:row r="1488" ht="58" customHeight="1">
      <x:c r="B1488" s="86" t="str">
        <x:f>IF($P1488="","",INDEX(Tasks!$B$10:$B$1941,$P1488))</x:f>
        <x:v>Cycle 4</x:v>
      </x:c>
      <x:c r="C1488" s="86" t="str">
        <x:f>IF($P1488="","",INDEX(Tasks!$C$10:$C$1941,$P1488))</x:f>
        <x:v>Phase 3</x:v>
      </x:c>
      <x:c r="D1488" s="86" t="str">
        <x:f>IF($P1488="","",INDEX(Tasks!$D$10:$D$1941,$P1488))</x:f>
        <x:v>Cards</x:v>
      </x:c>
      <x:c r="E1488" s="86"/>
      <x:c r="F1488" s="86" t="str">
        <x:f>IF($P1488="","",INDEX(Tasks!$E$10:$E$1941,$P1488))</x:f>
        <x:v>Design &amp; Insights</x:v>
      </x:c>
      <x:c r="G1488" s="86"/>
      <x:c r="H1488" s="14" t="str">
        <x:f>IF($P1488="","",INDEX(Tasks!$F$10:$F$1941,$P1488)&amp;CHAR(10)&amp;INDEX(Tasks!$G$10:$G$1941,$P1488))</x:f>
        <x:v>DI.CA.3.6
Ensure final deck is communicated to Forum attendees</x:v>
      </x:c>
      <x:c r="I1488" s="14"/>
      <x:c r="J1488" s="14"/>
      <x:c r="K1488" s="14"/>
      <x:c r="L1488" s="86" t="str">
        <x:f>IF($P1488="","",INDEX(Tasks!$N$10:$N$1941,$P1488))</x:f>
        <x:v>Not started</x:v>
      </x:c>
      <x:c r="M1488" s="87" t="n">
        <x:f>IF($P1488="","",INDEX(Tasks!$J$10:$J$1941,$P1488))</x:f>
        <x:v>46387</x:v>
      </x:c>
      <x:c r="N1488" s="85" t="str">
        <x:f>IF($P1488="","",HYPERLINK("#'"&amp;INDEX(Tasks!$T$10:$T$1941,$P1488)&amp;"'!A"&amp;INDEX(Tasks!$U$10:$U$1941,$P1488),"Open"))</x:f>
        <x:v>Open</x:v>
      </x:c>
      <x:c r="O1488" s="14"/>
      <x:c r="P1488" s="14" t="n">
        <x:f>IF(1467&gt;$B$10,"",MATCH(1467,Tasks!$S$10:$S$1941,0))</x:f>
        <x:v>1831</x:v>
      </x:c>
    </x:row>
    <x:row r="1489" ht="58" customHeight="1">
      <x:c r="B1489" s="86" t="str">
        <x:f>IF($P1489="","",INDEX(Tasks!$B$10:$B$1941,$P1489))</x:f>
        <x:v>Cycle 4</x:v>
      </x:c>
      <x:c r="C1489" s="86" t="str">
        <x:f>IF($P1489="","",INDEX(Tasks!$C$10:$C$1941,$P1489))</x:f>
        <x:v>Phase 3</x:v>
      </x:c>
      <x:c r="D1489" s="86" t="str">
        <x:f>IF($P1489="","",INDEX(Tasks!$D$10:$D$1941,$P1489))</x:f>
        <x:v>Cards</x:v>
      </x:c>
      <x:c r="E1489" s="86"/>
      <x:c r="F1489" s="86" t="str">
        <x:f>IF($P1489="","",INDEX(Tasks!$E$10:$E$1941,$P1489))</x:f>
        <x:v>Design &amp; Insights</x:v>
      </x:c>
      <x:c r="G1489" s="86"/>
      <x:c r="H1489" s="14" t="str">
        <x:f>IF($P1489="","",INDEX(Tasks!$F$10:$F$1941,$P1489)&amp;CHAR(10)&amp;INDEX(Tasks!$G$10:$G$1941,$P1489))</x:f>
        <x:v>DI.CA.3.7
Present material in RCA Cycle Forum</x:v>
      </x:c>
      <x:c r="I1489" s="14"/>
      <x:c r="J1489" s="14"/>
      <x:c r="K1489" s="14"/>
      <x:c r="L1489" s="86" t="str">
        <x:f>IF($P1489="","",INDEX(Tasks!$N$10:$N$1941,$P1489))</x:f>
        <x:v>Not started</x:v>
      </x:c>
      <x:c r="M1489" s="87" t="str">
        <x:f>IF($P1489="","",INDEX(Tasks!$J$10:$J$1941,$P1489))</x:f>
      </x:c>
      <x:c r="N1489" s="85" t="str">
        <x:f>IF($P1489="","",HYPERLINK("#'"&amp;INDEX(Tasks!$T$10:$T$1941,$P1489)&amp;"'!A"&amp;INDEX(Tasks!$U$10:$U$1941,$P1489),"Open"))</x:f>
        <x:v>Open</x:v>
      </x:c>
      <x:c r="O1489" s="14"/>
      <x:c r="P1489" s="14" t="n">
        <x:f>IF(1468&gt;$B$10,"",MATCH(1468,Tasks!$S$10:$S$1941,0))</x:f>
        <x:v>1832</x:v>
      </x:c>
    </x:row>
    <x:row r="1490" ht="58" customHeight="1">
      <x:c r="B1490" s="86" t="str">
        <x:f>IF($P1490="","",INDEX(Tasks!$B$10:$B$1941,$P1490))</x:f>
        <x:v>Cycle 4</x:v>
      </x:c>
      <x:c r="C1490" s="86" t="str">
        <x:f>IF($P1490="","",INDEX(Tasks!$C$10:$C$1941,$P1490))</x:f>
        <x:v>Phase 1</x:v>
      </x:c>
      <x:c r="D1490" s="86" t="str">
        <x:f>IF($P1490="","",INDEX(Tasks!$D$10:$D$1941,$P1490))</x:f>
        <x:v>CSBBO - Banking Ops</x:v>
      </x:c>
      <x:c r="E1490" s="86"/>
      <x:c r="F1490" s="86" t="str">
        <x:f>IF($P1490="","",INDEX(Tasks!$E$10:$E$1941,$P1490))</x:f>
        <x:v>Design &amp; Insights</x:v>
      </x:c>
      <x:c r="G1490" s="86"/>
      <x:c r="H1490" s="14" t="str">
        <x:f>IF($P1490="","",INDEX(Tasks!$F$10:$F$1941,$P1490)&amp;CHAR(10)&amp;INDEX(Tasks!$G$10:$G$1941,$P1490))</x:f>
        <x:v>DI.BO.1.1
Receive and review potential research topics at least 2 weeks prior to Cycle start date</x:v>
      </x:c>
      <x:c r="I1490" s="14"/>
      <x:c r="J1490" s="14"/>
      <x:c r="K1490" s="14"/>
      <x:c r="L1490" s="86" t="str">
        <x:f>IF($P1490="","",INDEX(Tasks!$N$10:$N$1941,$P1490))</x:f>
        <x:v>Not started</x:v>
      </x:c>
      <x:c r="M1490" s="87" t="n">
        <x:f>IF($P1490="","",INDEX(Tasks!$J$10:$J$1941,$P1490))</x:f>
        <x:v>46282</x:v>
      </x:c>
      <x:c r="N1490" s="85" t="str">
        <x:f>IF($P1490="","",HYPERLINK("#'"&amp;INDEX(Tasks!$T$10:$T$1941,$P1490)&amp;"'!A"&amp;INDEX(Tasks!$U$10:$U$1941,$P1490),"Open"))</x:f>
        <x:v>Open</x:v>
      </x:c>
      <x:c r="O1490" s="14"/>
      <x:c r="P1490" s="14" t="n">
        <x:f>IF(1469&gt;$B$10,"",MATCH(1469,Tasks!$S$10:$S$1941,0))</x:f>
        <x:v>1833</x:v>
      </x:c>
    </x:row>
    <x:row r="1491" ht="58" customHeight="1">
      <x:c r="B1491" s="86" t="str">
        <x:f>IF($P1491="","",INDEX(Tasks!$B$10:$B$1941,$P1491))</x:f>
        <x:v>Cycle 4</x:v>
      </x:c>
      <x:c r="C1491" s="86" t="str">
        <x:f>IF($P1491="","",INDEX(Tasks!$C$10:$C$1941,$P1491))</x:f>
        <x:v>Phase 1</x:v>
      </x:c>
      <x:c r="D1491" s="86" t="str">
        <x:f>IF($P1491="","",INDEX(Tasks!$D$10:$D$1941,$P1491))</x:f>
        <x:v>CSBBO - Banking Ops</x:v>
      </x:c>
      <x:c r="E1491" s="86"/>
      <x:c r="F1491" s="86" t="str">
        <x:f>IF($P1491="","",INDEX(Tasks!$E$10:$E$1941,$P1491))</x:f>
        <x:v>Design &amp; Insights</x:v>
      </x:c>
      <x:c r="G1491" s="86"/>
      <x:c r="H1491" s="14" t="str">
        <x:f>IF($P1491="","",INDEX(Tasks!$F$10:$F$1941,$P1491)&amp;CHAR(10)&amp;INDEX(Tasks!$G$10:$G$1941,$P1491))</x:f>
        <x:v>DI.BO.1.2
Communicate any feedback on preferences or concerns with topics identified</x:v>
      </x:c>
      <x:c r="I1491" s="14"/>
      <x:c r="J1491" s="14"/>
      <x:c r="K1491" s="14"/>
      <x:c r="L1491" s="86" t="str">
        <x:f>IF($P1491="","",INDEX(Tasks!$N$10:$N$1941,$P1491))</x:f>
        <x:v>Not started</x:v>
      </x:c>
      <x:c r="M1491" s="87" t="n">
        <x:f>IF($P1491="","",INDEX(Tasks!$J$10:$J$1941,$P1491))</x:f>
        <x:v>46387</x:v>
      </x:c>
      <x:c r="N1491" s="85" t="str">
        <x:f>IF($P1491="","",HYPERLINK("#'"&amp;INDEX(Tasks!$T$10:$T$1941,$P1491)&amp;"'!A"&amp;INDEX(Tasks!$U$10:$U$1941,$P1491),"Open"))</x:f>
        <x:v>Open</x:v>
      </x:c>
      <x:c r="O1491" s="14"/>
      <x:c r="P1491" s="14" t="n">
        <x:f>IF(1470&gt;$B$10,"",MATCH(1470,Tasks!$S$10:$S$1941,0))</x:f>
        <x:v>1834</x:v>
      </x:c>
    </x:row>
    <x:row r="1492" ht="58" customHeight="1">
      <x:c r="B1492" s="86" t="str">
        <x:f>IF($P1492="","",INDEX(Tasks!$B$10:$B$1941,$P1492))</x:f>
        <x:v>Cycle 4</x:v>
      </x:c>
      <x:c r="C1492" s="86" t="str">
        <x:f>IF($P1492="","",INDEX(Tasks!$C$10:$C$1941,$P1492))</x:f>
        <x:v>Phase 1</x:v>
      </x:c>
      <x:c r="D1492" s="86" t="str">
        <x:f>IF($P1492="","",INDEX(Tasks!$D$10:$D$1941,$P1492))</x:f>
        <x:v>CSBBO - Banking Ops</x:v>
      </x:c>
      <x:c r="E1492" s="86"/>
      <x:c r="F1492" s="86" t="str">
        <x:f>IF($P1492="","",INDEX(Tasks!$E$10:$E$1941,$P1492))</x:f>
        <x:v>Design &amp; Insights</x:v>
      </x:c>
      <x:c r="G1492" s="86"/>
      <x:c r="H1492" s="14" t="str">
        <x:f>IF($P1492="","",INDEX(Tasks!$F$10:$F$1941,$P1492)&amp;CHAR(10)&amp;INDEX(Tasks!$G$10:$G$1941,$P1492))</x:f>
        <x:v>DI.BO.1.3
Conduct high-level preliminary review of complaints within proposed topics</x:v>
      </x:c>
      <x:c r="I1492" s="14"/>
      <x:c r="J1492" s="14"/>
      <x:c r="K1492" s="14"/>
      <x:c r="L1492" s="86" t="str">
        <x:f>IF($P1492="","",INDEX(Tasks!$N$10:$N$1941,$P1492))</x:f>
        <x:v>Not started</x:v>
      </x:c>
      <x:c r="M1492" s="87" t="n">
        <x:f>IF($P1492="","",INDEX(Tasks!$J$10:$J$1941,$P1492))</x:f>
        <x:v>46387</x:v>
      </x:c>
      <x:c r="N1492" s="85" t="str">
        <x:f>IF($P1492="","",HYPERLINK("#'"&amp;INDEX(Tasks!$T$10:$T$1941,$P1492)&amp;"'!A"&amp;INDEX(Tasks!$U$10:$U$1941,$P1492),"Open"))</x:f>
        <x:v>Open</x:v>
      </x:c>
      <x:c r="O1492" s="14"/>
      <x:c r="P1492" s="14" t="n">
        <x:f>IF(1471&gt;$B$10,"",MATCH(1471,Tasks!$S$10:$S$1941,0))</x:f>
        <x:v>1835</x:v>
      </x:c>
    </x:row>
    <x:row r="1493" ht="58" customHeight="1">
      <x:c r="B1493" s="86" t="str">
        <x:f>IF($P1493="","",INDEX(Tasks!$B$10:$B$1941,$P1493))</x:f>
        <x:v>Cycle 4</x:v>
      </x:c>
      <x:c r="C1493" s="86" t="str">
        <x:f>IF($P1493="","",INDEX(Tasks!$C$10:$C$1941,$P1493))</x:f>
        <x:v>Phase 1</x:v>
      </x:c>
      <x:c r="D1493" s="86" t="str">
        <x:f>IF($P1493="","",INDEX(Tasks!$D$10:$D$1941,$P1493))</x:f>
        <x:v>CSBBO - Banking Ops</x:v>
      </x:c>
      <x:c r="E1493" s="86"/>
      <x:c r="F1493" s="86" t="str">
        <x:f>IF($P1493="","",INDEX(Tasks!$E$10:$E$1941,$P1493))</x:f>
        <x:v>Design &amp; Insights</x:v>
      </x:c>
      <x:c r="G1493" s="86"/>
      <x:c r="H1493" s="14" t="str">
        <x:f>IF($P1493="","",INDEX(Tasks!$F$10:$F$1941,$P1493)&amp;CHAR(10)&amp;INDEX(Tasks!$G$10:$G$1941,$P1493))</x:f>
        <x:v>DI.BO.1.4
Meet with Research to discuss which topic to select based on potential impact</x:v>
      </x:c>
      <x:c r="I1493" s="14"/>
      <x:c r="J1493" s="14"/>
      <x:c r="K1493" s="14"/>
      <x:c r="L1493" s="86" t="str">
        <x:f>IF($P1493="","",INDEX(Tasks!$N$10:$N$1941,$P1493))</x:f>
        <x:v>Not started</x:v>
      </x:c>
      <x:c r="M1493" s="87" t="n">
        <x:f>IF($P1493="","",INDEX(Tasks!$J$10:$J$1941,$P1493))</x:f>
        <x:v>46387</x:v>
      </x:c>
      <x:c r="N1493" s="85" t="str">
        <x:f>IF($P1493="","",HYPERLINK("#'"&amp;INDEX(Tasks!$T$10:$T$1941,$P1493)&amp;"'!A"&amp;INDEX(Tasks!$U$10:$U$1941,$P1493),"Open"))</x:f>
        <x:v>Open</x:v>
      </x:c>
      <x:c r="O1493" s="14"/>
      <x:c r="P1493" s="14" t="n">
        <x:f>IF(1472&gt;$B$10,"",MATCH(1472,Tasks!$S$10:$S$1941,0))</x:f>
        <x:v>1836</x:v>
      </x:c>
    </x:row>
    <x:row r="1494" ht="58" customHeight="1">
      <x:c r="B1494" s="86" t="str">
        <x:f>IF($P1494="","",INDEX(Tasks!$B$10:$B$1941,$P1494))</x:f>
        <x:v>Cycle 4</x:v>
      </x:c>
      <x:c r="C1494" s="86" t="str">
        <x:f>IF($P1494="","",INDEX(Tasks!$C$10:$C$1941,$P1494))</x:f>
        <x:v>Phase 1</x:v>
      </x:c>
      <x:c r="D1494" s="86" t="str">
        <x:f>IF($P1494="","",INDEX(Tasks!$D$10:$D$1941,$P1494))</x:f>
        <x:v>CSBBO - Banking Ops</x:v>
      </x:c>
      <x:c r="E1494" s="86"/>
      <x:c r="F1494" s="86" t="str">
        <x:f>IF($P1494="","",INDEX(Tasks!$E$10:$E$1941,$P1494))</x:f>
        <x:v>Design &amp; Insights</x:v>
      </x:c>
      <x:c r="G1494" s="86"/>
      <x:c r="H1494" s="14" t="str">
        <x:f>IF($P1494="","",INDEX(Tasks!$F$10:$F$1941,$P1494)&amp;CHAR(10)&amp;INDEX(Tasks!$G$10:$G$1941,$P1494))</x:f>
        <x:v>DI.BO.1.5
Confirm with Research the recommended topic for approval</x:v>
      </x:c>
      <x:c r="I1494" s="14"/>
      <x:c r="J1494" s="14"/>
      <x:c r="K1494" s="14"/>
      <x:c r="L1494" s="86" t="str">
        <x:f>IF($P1494="","",INDEX(Tasks!$N$10:$N$1941,$P1494))</x:f>
        <x:v>Not started</x:v>
      </x:c>
      <x:c r="M1494" s="87" t="n">
        <x:f>IF($P1494="","",INDEX(Tasks!$J$10:$J$1941,$P1494))</x:f>
        <x:v>46387</x:v>
      </x:c>
      <x:c r="N1494" s="85" t="str">
        <x:f>IF($P1494="","",HYPERLINK("#'"&amp;INDEX(Tasks!$T$10:$T$1941,$P1494)&amp;"'!A"&amp;INDEX(Tasks!$U$10:$U$1941,$P1494),"Open"))</x:f>
        <x:v>Open</x:v>
      </x:c>
      <x:c r="O1494" s="14"/>
      <x:c r="P1494" s="14" t="n">
        <x:f>IF(1473&gt;$B$10,"",MATCH(1473,Tasks!$S$10:$S$1941,0))</x:f>
        <x:v>1837</x:v>
      </x:c>
    </x:row>
    <x:row r="1495" ht="58" customHeight="1">
      <x:c r="B1495" s="86" t="str">
        <x:f>IF($P1495="","",INDEX(Tasks!$B$10:$B$1941,$P1495))</x:f>
        <x:v>Cycle 4</x:v>
      </x:c>
      <x:c r="C1495" s="86" t="str">
        <x:f>IF($P1495="","",INDEX(Tasks!$C$10:$C$1941,$P1495))</x:f>
        <x:v>Phase 1</x:v>
      </x:c>
      <x:c r="D1495" s="86" t="str">
        <x:f>IF($P1495="","",INDEX(Tasks!$D$10:$D$1941,$P1495))</x:f>
        <x:v>CSBBO - Banking Ops</x:v>
      </x:c>
      <x:c r="E1495" s="86"/>
      <x:c r="F1495" s="86" t="str">
        <x:f>IF($P1495="","",INDEX(Tasks!$E$10:$E$1941,$P1495))</x:f>
        <x:v>Design &amp; Insights</x:v>
      </x:c>
      <x:c r="G1495" s="86"/>
      <x:c r="H1495" s="14" t="str">
        <x:f>IF($P1495="","",INDEX(Tasks!$F$10:$F$1941,$P1495)&amp;CHAR(10)&amp;INDEX(Tasks!$G$10:$G$1941,$P1495))</x:f>
        <x:v>DI.BO.1.6
Send topic selection socialization email to all key stakeholders on the first day of the review Cycle</x:v>
      </x:c>
      <x:c r="I1495" s="14"/>
      <x:c r="J1495" s="14"/>
      <x:c r="K1495" s="14"/>
      <x:c r="L1495" s="86" t="str">
        <x:f>IF($P1495="","",INDEX(Tasks!$N$10:$N$1941,$P1495))</x:f>
        <x:v>Not started</x:v>
      </x:c>
      <x:c r="M1495" s="87" t="n">
        <x:f>IF($P1495="","",INDEX(Tasks!$J$10:$J$1941,$P1495))</x:f>
        <x:v>46296</x:v>
      </x:c>
      <x:c r="N1495" s="85" t="str">
        <x:f>IF($P1495="","",HYPERLINK("#'"&amp;INDEX(Tasks!$T$10:$T$1941,$P1495)&amp;"'!A"&amp;INDEX(Tasks!$U$10:$U$1941,$P1495),"Open"))</x:f>
        <x:v>Open</x:v>
      </x:c>
      <x:c r="O1495" s="14"/>
      <x:c r="P1495" s="14" t="n">
        <x:f>IF(1474&gt;$B$10,"",MATCH(1474,Tasks!$S$10:$S$1941,0))</x:f>
        <x:v>1838</x:v>
      </x:c>
    </x:row>
    <x:row r="1496" ht="58" customHeight="1">
      <x:c r="B1496" s="86" t="str">
        <x:f>IF($P1496="","",INDEX(Tasks!$B$10:$B$1941,$P1496))</x:f>
        <x:v>Cycle 4</x:v>
      </x:c>
      <x:c r="C1496" s="86" t="str">
        <x:f>IF($P1496="","",INDEX(Tasks!$C$10:$C$1941,$P1496))</x:f>
        <x:v>Phase 2</x:v>
      </x:c>
      <x:c r="D1496" s="86" t="str">
        <x:f>IF($P1496="","",INDEX(Tasks!$D$10:$D$1941,$P1496))</x:f>
        <x:v>CSBBO - Banking Ops</x:v>
      </x:c>
      <x:c r="E1496" s="86"/>
      <x:c r="F1496" s="86" t="str">
        <x:f>IF($P1496="","",INDEX(Tasks!$E$10:$E$1941,$P1496))</x:f>
        <x:v>Design &amp; Insights</x:v>
      </x:c>
      <x:c r="G1496" s="86"/>
      <x:c r="H1496" s="14" t="str">
        <x:f>IF($P1496="","",INDEX(Tasks!$F$10:$F$1941,$P1496)&amp;CHAR(10)&amp;INDEX(Tasks!$G$10:$G$1941,$P1496))</x:f>
        <x:v>DI.BO.2.1
Meet regularly with Research to stay informed on progress, findings, and potential enhancement</x:v>
      </x:c>
      <x:c r="I1496" s="14"/>
      <x:c r="J1496" s="14"/>
      <x:c r="K1496" s="14"/>
      <x:c r="L1496" s="86" t="str">
        <x:f>IF($P1496="","",INDEX(Tasks!$N$10:$N$1941,$P1496))</x:f>
        <x:v>Not started</x:v>
      </x:c>
      <x:c r="M1496" s="87" t="n">
        <x:f>IF($P1496="","",INDEX(Tasks!$J$10:$J$1941,$P1496))</x:f>
        <x:v>46387</x:v>
      </x:c>
      <x:c r="N1496" s="85" t="str">
        <x:f>IF($P1496="","",HYPERLINK("#'"&amp;INDEX(Tasks!$T$10:$T$1941,$P1496)&amp;"'!A"&amp;INDEX(Tasks!$U$10:$U$1941,$P1496),"Open"))</x:f>
        <x:v>Open</x:v>
      </x:c>
      <x:c r="O1496" s="14"/>
      <x:c r="P1496" s="14" t="n">
        <x:f>IF(1475&gt;$B$10,"",MATCH(1475,Tasks!$S$10:$S$1941,0))</x:f>
        <x:v>1839</x:v>
      </x:c>
    </x:row>
    <x:row r="1497" ht="58" customHeight="1">
      <x:c r="B1497" s="86" t="str">
        <x:f>IF($P1497="","",INDEX(Tasks!$B$10:$B$1941,$P1497))</x:f>
        <x:v>Cycle 4</x:v>
      </x:c>
      <x:c r="C1497" s="86" t="str">
        <x:f>IF($P1497="","",INDEX(Tasks!$C$10:$C$1941,$P1497))</x:f>
        <x:v>Phase 2</x:v>
      </x:c>
      <x:c r="D1497" s="86" t="str">
        <x:f>IF($P1497="","",INDEX(Tasks!$D$10:$D$1941,$P1497))</x:f>
        <x:v>CSBBO - Banking Ops</x:v>
      </x:c>
      <x:c r="E1497" s="86"/>
      <x:c r="F1497" s="86" t="str">
        <x:f>IF($P1497="","",INDEX(Tasks!$E$10:$E$1941,$P1497))</x:f>
        <x:v>Design &amp; Insights</x:v>
      </x:c>
      <x:c r="G1497" s="86"/>
      <x:c r="H1497" s="14" t="str">
        <x:f>IF($P1497="","",INDEX(Tasks!$F$10:$F$1941,$P1497)&amp;CHAR(10)&amp;INDEX(Tasks!$G$10:$G$1941,$P1497))</x:f>
        <x:v>DI.BO.2.2
Collaborate with Research on research plan specifics</x:v>
      </x:c>
      <x:c r="I1497" s="14"/>
      <x:c r="J1497" s="14"/>
      <x:c r="K1497" s="14"/>
      <x:c r="L1497" s="86" t="str">
        <x:f>IF($P1497="","",INDEX(Tasks!$N$10:$N$1941,$P1497))</x:f>
        <x:v>Not started</x:v>
      </x:c>
      <x:c r="M1497" s="87" t="n">
        <x:f>IF($P1497="","",INDEX(Tasks!$J$10:$J$1941,$P1497))</x:f>
        <x:v>46387</x:v>
      </x:c>
      <x:c r="N1497" s="85" t="str">
        <x:f>IF($P1497="","",HYPERLINK("#'"&amp;INDEX(Tasks!$T$10:$T$1941,$P1497)&amp;"'!A"&amp;INDEX(Tasks!$U$10:$U$1941,$P1497),"Open"))</x:f>
        <x:v>Open</x:v>
      </x:c>
      <x:c r="O1497" s="14"/>
      <x:c r="P1497" s="14" t="n">
        <x:f>IF(1476&gt;$B$10,"",MATCH(1476,Tasks!$S$10:$S$1941,0))</x:f>
        <x:v>1840</x:v>
      </x:c>
    </x:row>
    <x:row r="1498" ht="58" customHeight="1">
      <x:c r="B1498" s="86" t="str">
        <x:f>IF($P1498="","",INDEX(Tasks!$B$10:$B$1941,$P1498))</x:f>
        <x:v>Cycle 4</x:v>
      </x:c>
      <x:c r="C1498" s="86" t="str">
        <x:f>IF($P1498="","",INDEX(Tasks!$C$10:$C$1941,$P1498))</x:f>
        <x:v>Phase 2</x:v>
      </x:c>
      <x:c r="D1498" s="86" t="str">
        <x:f>IF($P1498="","",INDEX(Tasks!$D$10:$D$1941,$P1498))</x:f>
        <x:v>CSBBO - Banking Ops</x:v>
      </x:c>
      <x:c r="E1498" s="86"/>
      <x:c r="F1498" s="86" t="str">
        <x:f>IF($P1498="","",INDEX(Tasks!$E$10:$E$1941,$P1498))</x:f>
        <x:v>Design &amp; Insights</x:v>
      </x:c>
      <x:c r="G1498" s="86"/>
      <x:c r="H1498" s="14" t="str">
        <x:f>IF($P1498="","",INDEX(Tasks!$F$10:$F$1941,$P1498)&amp;CHAR(10)&amp;INDEX(Tasks!$G$10:$G$1941,$P1498))</x:f>
        <x:v>DI.BO.2.3
Participate in SME insight meetings to gain perspective and appetite on potential enhancements</x:v>
      </x:c>
      <x:c r="I1498" s="14"/>
      <x:c r="J1498" s="14"/>
      <x:c r="K1498" s="14"/>
      <x:c r="L1498" s="86" t="str">
        <x:f>IF($P1498="","",INDEX(Tasks!$N$10:$N$1941,$P1498))</x:f>
        <x:v>Not started</x:v>
      </x:c>
      <x:c r="M1498" s="87" t="n">
        <x:f>IF($P1498="","",INDEX(Tasks!$J$10:$J$1941,$P1498))</x:f>
        <x:v>46387</x:v>
      </x:c>
      <x:c r="N1498" s="85" t="str">
        <x:f>IF($P1498="","",HYPERLINK("#'"&amp;INDEX(Tasks!$T$10:$T$1941,$P1498)&amp;"'!A"&amp;INDEX(Tasks!$U$10:$U$1941,$P1498),"Open"))</x:f>
        <x:v>Open</x:v>
      </x:c>
      <x:c r="O1498" s="14"/>
      <x:c r="P1498" s="14" t="n">
        <x:f>IF(1477&gt;$B$10,"",MATCH(1477,Tasks!$S$10:$S$1941,0))</x:f>
        <x:v>1841</x:v>
      </x:c>
    </x:row>
    <x:row r="1499" ht="58" customHeight="1">
      <x:c r="B1499" s="86" t="str">
        <x:f>IF($P1499="","",INDEX(Tasks!$B$10:$B$1941,$P1499))</x:f>
        <x:v>Cycle 4</x:v>
      </x:c>
      <x:c r="C1499" s="86" t="str">
        <x:f>IF($P1499="","",INDEX(Tasks!$C$10:$C$1941,$P1499))</x:f>
        <x:v>Phase 2</x:v>
      </x:c>
      <x:c r="D1499" s="86" t="str">
        <x:f>IF($P1499="","",INDEX(Tasks!$D$10:$D$1941,$P1499))</x:f>
        <x:v>CSBBO - Banking Ops</x:v>
      </x:c>
      <x:c r="E1499" s="86"/>
      <x:c r="F1499" s="86" t="str">
        <x:f>IF($P1499="","",INDEX(Tasks!$E$10:$E$1941,$P1499))</x:f>
        <x:v>Design &amp; Insights</x:v>
      </x:c>
      <x:c r="G1499" s="86"/>
      <x:c r="H1499" s="14" t="str">
        <x:f>IF($P1499="","",INDEX(Tasks!$F$10:$F$1941,$P1499)&amp;CHAR(10)&amp;INDEX(Tasks!$G$10:$G$1941,$P1499))</x:f>
        <x:v>DI.BO.2.4
Begin development of presentation materials as Research is being completed</x:v>
      </x:c>
      <x:c r="I1499" s="14"/>
      <x:c r="J1499" s="14"/>
      <x:c r="K1499" s="14"/>
      <x:c r="L1499" s="86" t="str">
        <x:f>IF($P1499="","",INDEX(Tasks!$N$10:$N$1941,$P1499))</x:f>
        <x:v>Not started</x:v>
      </x:c>
      <x:c r="M1499" s="87" t="n">
        <x:f>IF($P1499="","",INDEX(Tasks!$J$10:$J$1941,$P1499))</x:f>
        <x:v>46387</x:v>
      </x:c>
      <x:c r="N1499" s="85" t="str">
        <x:f>IF($P1499="","",HYPERLINK("#'"&amp;INDEX(Tasks!$T$10:$T$1941,$P1499)&amp;"'!A"&amp;INDEX(Tasks!$U$10:$U$1941,$P1499),"Open"))</x:f>
        <x:v>Open</x:v>
      </x:c>
      <x:c r="O1499" s="14"/>
      <x:c r="P1499" s="14" t="n">
        <x:f>IF(1478&gt;$B$10,"",MATCH(1478,Tasks!$S$10:$S$1941,0))</x:f>
        <x:v>1842</x:v>
      </x:c>
    </x:row>
    <x:row r="1500" ht="58" customHeight="1">
      <x:c r="B1500" s="86" t="str">
        <x:f>IF($P1500="","",INDEX(Tasks!$B$10:$B$1941,$P1500))</x:f>
        <x:v>Cycle 4</x:v>
      </x:c>
      <x:c r="C1500" s="86" t="str">
        <x:f>IF($P1500="","",INDEX(Tasks!$C$10:$C$1941,$P1500))</x:f>
        <x:v>Phase 2</x:v>
      </x:c>
      <x:c r="D1500" s="86" t="str">
        <x:f>IF($P1500="","",INDEX(Tasks!$D$10:$D$1941,$P1500))</x:f>
        <x:v>CSBBO - Banking Ops</x:v>
      </x:c>
      <x:c r="E1500" s="86"/>
      <x:c r="F1500" s="86" t="str">
        <x:f>IF($P1500="","",INDEX(Tasks!$E$10:$E$1941,$P1500))</x:f>
        <x:v>Design &amp; Insights</x:v>
      </x:c>
      <x:c r="G1500" s="86"/>
      <x:c r="H1500" s="14" t="str">
        <x:f>IF($P1500="","",INDEX(Tasks!$F$10:$F$1941,$P1500)&amp;CHAR(10)&amp;INDEX(Tasks!$G$10:$G$1941,$P1500))</x:f>
        <x:v>DI.BO.2.5
Draft initial enhancement recommendations (as applicable)</x:v>
      </x:c>
      <x:c r="I1500" s="14"/>
      <x:c r="J1500" s="14"/>
      <x:c r="K1500" s="14"/>
      <x:c r="L1500" s="86" t="str">
        <x:f>IF($P1500="","",INDEX(Tasks!$N$10:$N$1941,$P1500))</x:f>
        <x:v>Not started</x:v>
      </x:c>
      <x:c r="M1500" s="87" t="n">
        <x:f>IF($P1500="","",INDEX(Tasks!$J$10:$J$1941,$P1500))</x:f>
        <x:v>46387</x:v>
      </x:c>
      <x:c r="N1500" s="85" t="str">
        <x:f>IF($P1500="","",HYPERLINK("#'"&amp;INDEX(Tasks!$T$10:$T$1941,$P1500)&amp;"'!A"&amp;INDEX(Tasks!$U$10:$U$1941,$P1500),"Open"))</x:f>
        <x:v>Open</x:v>
      </x:c>
      <x:c r="O1500" s="14"/>
      <x:c r="P1500" s="14" t="n">
        <x:f>IF(1479&gt;$B$10,"",MATCH(1479,Tasks!$S$10:$S$1941,0))</x:f>
        <x:v>1843</x:v>
      </x:c>
    </x:row>
    <x:row r="1501" ht="58" customHeight="1">
      <x:c r="B1501" s="86" t="str">
        <x:f>IF($P1501="","",INDEX(Tasks!$B$10:$B$1941,$P1501))</x:f>
        <x:v>Cycle 4</x:v>
      </x:c>
      <x:c r="C1501" s="86" t="str">
        <x:f>IF($P1501="","",INDEX(Tasks!$C$10:$C$1941,$P1501))</x:f>
        <x:v>Phase 2</x:v>
      </x:c>
      <x:c r="D1501" s="86" t="str">
        <x:f>IF($P1501="","",INDEX(Tasks!$D$10:$D$1941,$P1501))</x:f>
        <x:v>CSBBO - Banking Ops</x:v>
      </x:c>
      <x:c r="E1501" s="86"/>
      <x:c r="F1501" s="86" t="str">
        <x:f>IF($P1501="","",INDEX(Tasks!$E$10:$E$1941,$P1501))</x:f>
        <x:v>Design &amp; Insights</x:v>
      </x:c>
      <x:c r="G1501" s="86"/>
      <x:c r="H1501" s="14" t="str">
        <x:f>IF($P1501="","",INDEX(Tasks!$F$10:$F$1941,$P1501)&amp;CHAR(10)&amp;INDEX(Tasks!$G$10:$G$1941,$P1501))</x:f>
        <x:v>DI.BO.2.6
Finalize presentation deck draft at conclusion of Research phase</x:v>
      </x:c>
      <x:c r="I1501" s="14"/>
      <x:c r="J1501" s="14"/>
      <x:c r="K1501" s="14"/>
      <x:c r="L1501" s="86" t="str">
        <x:f>IF($P1501="","",INDEX(Tasks!$N$10:$N$1941,$P1501))</x:f>
        <x:v>Not started</x:v>
      </x:c>
      <x:c r="M1501" s="87" t="n">
        <x:f>IF($P1501="","",INDEX(Tasks!$J$10:$J$1941,$P1501))</x:f>
        <x:v>46387</x:v>
      </x:c>
      <x:c r="N1501" s="85" t="str">
        <x:f>IF($P1501="","",HYPERLINK("#'"&amp;INDEX(Tasks!$T$10:$T$1941,$P1501)&amp;"'!A"&amp;INDEX(Tasks!$U$10:$U$1941,$P1501),"Open"))</x:f>
        <x:v>Open</x:v>
      </x:c>
      <x:c r="O1501" s="14"/>
      <x:c r="P1501" s="14" t="n">
        <x:f>IF(1480&gt;$B$10,"",MATCH(1480,Tasks!$S$10:$S$1941,0))</x:f>
        <x:v>1844</x:v>
      </x:c>
    </x:row>
    <x:row r="1502" ht="58" customHeight="1">
      <x:c r="B1502" s="86" t="str">
        <x:f>IF($P1502="","",INDEX(Tasks!$B$10:$B$1941,$P1502))</x:f>
        <x:v>Cycle 4</x:v>
      </x:c>
      <x:c r="C1502" s="86" t="str">
        <x:f>IF($P1502="","",INDEX(Tasks!$C$10:$C$1941,$P1502))</x:f>
        <x:v>Phase 2</x:v>
      </x:c>
      <x:c r="D1502" s="86" t="str">
        <x:f>IF($P1502="","",INDEX(Tasks!$D$10:$D$1941,$P1502))</x:f>
        <x:v>CSBBO - Banking Ops</x:v>
      </x:c>
      <x:c r="E1502" s="86"/>
      <x:c r="F1502" s="86" t="str">
        <x:f>IF($P1502="","",INDEX(Tasks!$E$10:$E$1941,$P1502))</x:f>
        <x:v>Design &amp; Insights</x:v>
      </x:c>
      <x:c r="G1502" s="86"/>
      <x:c r="H1502" s="14" t="str">
        <x:f>IF($P1502="","",INDEX(Tasks!$F$10:$F$1941,$P1502)&amp;CHAR(10)&amp;INDEX(Tasks!$G$10:$G$1941,$P1502))</x:f>
        <x:v>DI.BO.2.7
Update Outcome portion of research plan with current enhancement verbiage (as needed)</x:v>
      </x:c>
      <x:c r="I1502" s="14"/>
      <x:c r="J1502" s="14"/>
      <x:c r="K1502" s="14"/>
      <x:c r="L1502" s="86" t="str">
        <x:f>IF($P1502="","",INDEX(Tasks!$N$10:$N$1941,$P1502))</x:f>
        <x:v>Not started</x:v>
      </x:c>
      <x:c r="M1502" s="87" t="n">
        <x:f>IF($P1502="","",INDEX(Tasks!$J$10:$J$1941,$P1502))</x:f>
        <x:v>46387</x:v>
      </x:c>
      <x:c r="N1502" s="85" t="str">
        <x:f>IF($P1502="","",HYPERLINK("#'"&amp;INDEX(Tasks!$T$10:$T$1941,$P1502)&amp;"'!A"&amp;INDEX(Tasks!$U$10:$U$1941,$P1502),"Open"))</x:f>
        <x:v>Open</x:v>
      </x:c>
      <x:c r="O1502" s="14"/>
      <x:c r="P1502" s="14" t="n">
        <x:f>IF(1481&gt;$B$10,"",MATCH(1481,Tasks!$S$10:$S$1941,0))</x:f>
        <x:v>1845</x:v>
      </x:c>
    </x:row>
    <x:row r="1503" ht="58" customHeight="1">
      <x:c r="B1503" s="86" t="str">
        <x:f>IF($P1503="","",INDEX(Tasks!$B$10:$B$1941,$P1503))</x:f>
        <x:v>Cycle 4</x:v>
      </x:c>
      <x:c r="C1503" s="86" t="str">
        <x:f>IF($P1503="","",INDEX(Tasks!$C$10:$C$1941,$P1503))</x:f>
        <x:v>Phase 3</x:v>
      </x:c>
      <x:c r="D1503" s="86" t="str">
        <x:f>IF($P1503="","",INDEX(Tasks!$D$10:$D$1941,$P1503))</x:f>
        <x:v>CSBBO - Banking Ops</x:v>
      </x:c>
      <x:c r="E1503" s="86"/>
      <x:c r="F1503" s="86" t="str">
        <x:f>IF($P1503="","",INDEX(Tasks!$E$10:$E$1941,$P1503))</x:f>
        <x:v>Design &amp; Insights</x:v>
      </x:c>
      <x:c r="G1503" s="86"/>
      <x:c r="H1503" s="14" t="str">
        <x:f>IF($P1503="","",INDEX(Tasks!$F$10:$F$1941,$P1503)&amp;CHAR(10)&amp;INDEX(Tasks!$G$10:$G$1941,$P1503))</x:f>
        <x:v>DI.BO.3.1
Confirm list of required &amp; optional attendees for pre-socialization meeting</x:v>
      </x:c>
      <x:c r="I1503" s="14"/>
      <x:c r="J1503" s="14"/>
      <x:c r="K1503" s="14"/>
      <x:c r="L1503" s="86" t="str">
        <x:f>IF($P1503="","",INDEX(Tasks!$N$10:$N$1941,$P1503))</x:f>
        <x:v>Not started</x:v>
      </x:c>
      <x:c r="M1503" s="87" t="n">
        <x:f>IF($P1503="","",INDEX(Tasks!$J$10:$J$1941,$P1503))</x:f>
        <x:v>46387</x:v>
      </x:c>
      <x:c r="N1503" s="85" t="str">
        <x:f>IF($P1503="","",HYPERLINK("#'"&amp;INDEX(Tasks!$T$10:$T$1941,$P1503)&amp;"'!A"&amp;INDEX(Tasks!$U$10:$U$1941,$P1503),"Open"))</x:f>
        <x:v>Open</x:v>
      </x:c>
      <x:c r="O1503" s="14"/>
      <x:c r="P1503" s="14" t="n">
        <x:f>IF(1482&gt;$B$10,"",MATCH(1482,Tasks!$S$10:$S$1941,0))</x:f>
        <x:v>1846</x:v>
      </x:c>
    </x:row>
    <x:row r="1504" ht="58" customHeight="1">
      <x:c r="B1504" s="86" t="str">
        <x:f>IF($P1504="","",INDEX(Tasks!$B$10:$B$1941,$P1504))</x:f>
        <x:v>Cycle 4</x:v>
      </x:c>
      <x:c r="C1504" s="86" t="str">
        <x:f>IF($P1504="","",INDEX(Tasks!$C$10:$C$1941,$P1504))</x:f>
        <x:v>Phase 3</x:v>
      </x:c>
      <x:c r="D1504" s="86" t="str">
        <x:f>IF($P1504="","",INDEX(Tasks!$D$10:$D$1941,$P1504))</x:f>
        <x:v>CSBBO - Banking Ops</x:v>
      </x:c>
      <x:c r="E1504" s="86"/>
      <x:c r="F1504" s="86" t="str">
        <x:f>IF($P1504="","",INDEX(Tasks!$E$10:$E$1941,$P1504))</x:f>
        <x:v>Design &amp; Insights</x:v>
      </x:c>
      <x:c r="G1504" s="86"/>
      <x:c r="H1504" s="14" t="str">
        <x:f>IF($P1504="","",INDEX(Tasks!$F$10:$F$1941,$P1504)&amp;CHAR(10)&amp;INDEX(Tasks!$G$10:$G$1941,$P1504))</x:f>
        <x:v>DI.BO.3.2
Schedule pre-socialization meeting 1 week prior to RCA Forum</x:v>
      </x:c>
      <x:c r="I1504" s="14"/>
      <x:c r="J1504" s="14"/>
      <x:c r="K1504" s="14"/>
      <x:c r="L1504" s="86" t="str">
        <x:f>IF($P1504="","",INDEX(Tasks!$N$10:$N$1941,$P1504))</x:f>
        <x:v>Not started</x:v>
      </x:c>
      <x:c r="M1504" s="87" t="str">
        <x:f>IF($P1504="","",INDEX(Tasks!$J$10:$J$1941,$P1504))</x:f>
      </x:c>
      <x:c r="N1504" s="85" t="str">
        <x:f>IF($P1504="","",HYPERLINK("#'"&amp;INDEX(Tasks!$T$10:$T$1941,$P1504)&amp;"'!A"&amp;INDEX(Tasks!$U$10:$U$1941,$P1504),"Open"))</x:f>
        <x:v>Open</x:v>
      </x:c>
      <x:c r="O1504" s="14"/>
      <x:c r="P1504" s="14" t="n">
        <x:f>IF(1483&gt;$B$10,"",MATCH(1483,Tasks!$S$10:$S$1941,0))</x:f>
        <x:v>1847</x:v>
      </x:c>
    </x:row>
    <x:row r="1505" ht="58" customHeight="1">
      <x:c r="B1505" s="86" t="str">
        <x:f>IF($P1505="","",INDEX(Tasks!$B$10:$B$1941,$P1505))</x:f>
        <x:v>Cycle 4</x:v>
      </x:c>
      <x:c r="C1505" s="86" t="str">
        <x:f>IF($P1505="","",INDEX(Tasks!$C$10:$C$1941,$P1505))</x:f>
        <x:v>Phase 3</x:v>
      </x:c>
      <x:c r="D1505" s="86" t="str">
        <x:f>IF($P1505="","",INDEX(Tasks!$D$10:$D$1941,$P1505))</x:f>
        <x:v>CSBBO - Banking Ops</x:v>
      </x:c>
      <x:c r="E1505" s="86"/>
      <x:c r="F1505" s="86" t="str">
        <x:f>IF($P1505="","",INDEX(Tasks!$E$10:$E$1941,$P1505))</x:f>
        <x:v>Design &amp; Insights</x:v>
      </x:c>
      <x:c r="G1505" s="86"/>
      <x:c r="H1505" s="14" t="str">
        <x:f>IF($P1505="","",INDEX(Tasks!$F$10:$F$1941,$P1505)&amp;CHAR(10)&amp;INDEX(Tasks!$G$10:$G$1941,$P1505))</x:f>
        <x:v>DI.BO.3.3
Present findings, conclusions, and recommendation to SMEs</x:v>
      </x:c>
      <x:c r="I1505" s="14"/>
      <x:c r="J1505" s="14"/>
      <x:c r="K1505" s="14"/>
      <x:c r="L1505" s="86" t="str">
        <x:f>IF($P1505="","",INDEX(Tasks!$N$10:$N$1941,$P1505))</x:f>
        <x:v>Not started</x:v>
      </x:c>
      <x:c r="M1505" s="87" t="n">
        <x:f>IF($P1505="","",INDEX(Tasks!$J$10:$J$1941,$P1505))</x:f>
        <x:v>46387</x:v>
      </x:c>
      <x:c r="N1505" s="85" t="str">
        <x:f>IF($P1505="","",HYPERLINK("#'"&amp;INDEX(Tasks!$T$10:$T$1941,$P1505)&amp;"'!A"&amp;INDEX(Tasks!$U$10:$U$1941,$P1505),"Open"))</x:f>
        <x:v>Open</x:v>
      </x:c>
      <x:c r="O1505" s="14"/>
      <x:c r="P1505" s="14" t="n">
        <x:f>IF(1484&gt;$B$10,"",MATCH(1484,Tasks!$S$10:$S$1941,0))</x:f>
        <x:v>1848</x:v>
      </x:c>
    </x:row>
    <x:row r="1506" ht="58" customHeight="1">
      <x:c r="B1506" s="86" t="str">
        <x:f>IF($P1506="","",INDEX(Tasks!$B$10:$B$1941,$P1506))</x:f>
        <x:v>Cycle 4</x:v>
      </x:c>
      <x:c r="C1506" s="86" t="str">
        <x:f>IF($P1506="","",INDEX(Tasks!$C$10:$C$1941,$P1506))</x:f>
        <x:v>Phase 3</x:v>
      </x:c>
      <x:c r="D1506" s="86" t="str">
        <x:f>IF($P1506="","",INDEX(Tasks!$D$10:$D$1941,$P1506))</x:f>
        <x:v>CSBBO - Banking Ops</x:v>
      </x:c>
      <x:c r="E1506" s="86"/>
      <x:c r="F1506" s="86" t="str">
        <x:f>IF($P1506="","",INDEX(Tasks!$E$10:$E$1941,$P1506))</x:f>
        <x:v>Design &amp; Insights</x:v>
      </x:c>
      <x:c r="G1506" s="86"/>
      <x:c r="H1506" s="14" t="str">
        <x:f>IF($P1506="","",INDEX(Tasks!$F$10:$F$1941,$P1506)&amp;CHAR(10)&amp;INDEX(Tasks!$G$10:$G$1941,$P1506))</x:f>
        <x:v>DI.BO.3.4
Update Outcome portion of research plan (as needed)</x:v>
      </x:c>
      <x:c r="I1506" s="14"/>
      <x:c r="J1506" s="14"/>
      <x:c r="K1506" s="14"/>
      <x:c r="L1506" s="86" t="str">
        <x:f>IF($P1506="","",INDEX(Tasks!$N$10:$N$1941,$P1506))</x:f>
        <x:v>Not started</x:v>
      </x:c>
      <x:c r="M1506" s="87" t="n">
        <x:f>IF($P1506="","",INDEX(Tasks!$J$10:$J$1941,$P1506))</x:f>
        <x:v>46387</x:v>
      </x:c>
      <x:c r="N1506" s="85" t="str">
        <x:f>IF($P1506="","",HYPERLINK("#'"&amp;INDEX(Tasks!$T$10:$T$1941,$P1506)&amp;"'!A"&amp;INDEX(Tasks!$U$10:$U$1941,$P1506),"Open"))</x:f>
        <x:v>Open</x:v>
      </x:c>
      <x:c r="O1506" s="14"/>
      <x:c r="P1506" s="14" t="n">
        <x:f>IF(1485&gt;$B$10,"",MATCH(1485,Tasks!$S$10:$S$1941,0))</x:f>
        <x:v>1849</x:v>
      </x:c>
    </x:row>
    <x:row r="1507" ht="58" customHeight="1">
      <x:c r="B1507" s="86" t="str">
        <x:f>IF($P1507="","",INDEX(Tasks!$B$10:$B$1941,$P1507))</x:f>
        <x:v>Cycle 4</x:v>
      </x:c>
      <x:c r="C1507" s="86" t="str">
        <x:f>IF($P1507="","",INDEX(Tasks!$C$10:$C$1941,$P1507))</x:f>
        <x:v>Phase 3</x:v>
      </x:c>
      <x:c r="D1507" s="86" t="str">
        <x:f>IF($P1507="","",INDEX(Tasks!$D$10:$D$1941,$P1507))</x:f>
        <x:v>CSBBO - Banking Ops</x:v>
      </x:c>
      <x:c r="E1507" s="86"/>
      <x:c r="F1507" s="86" t="str">
        <x:f>IF($P1507="","",INDEX(Tasks!$E$10:$E$1941,$P1507))</x:f>
        <x:v>Design &amp; Insights</x:v>
      </x:c>
      <x:c r="G1507" s="86"/>
      <x:c r="H1507" s="14" t="str">
        <x:f>IF($P1507="","",INDEX(Tasks!$F$10:$F$1941,$P1507)&amp;CHAR(10)&amp;INDEX(Tasks!$G$10:$G$1941,$P1507))</x:f>
        <x:v>DI.BO.3.5
Finalize presentation deck by incorporating pre-socialization feedback (as needed)</x:v>
      </x:c>
      <x:c r="I1507" s="14"/>
      <x:c r="J1507" s="14"/>
      <x:c r="K1507" s="14"/>
      <x:c r="L1507" s="86" t="str">
        <x:f>IF($P1507="","",INDEX(Tasks!$N$10:$N$1941,$P1507))</x:f>
        <x:v>Not started</x:v>
      </x:c>
      <x:c r="M1507" s="87" t="n">
        <x:f>IF($P1507="","",INDEX(Tasks!$J$10:$J$1941,$P1507))</x:f>
        <x:v>46387</x:v>
      </x:c>
      <x:c r="N1507" s="85" t="str">
        <x:f>IF($P1507="","",HYPERLINK("#'"&amp;INDEX(Tasks!$T$10:$T$1941,$P1507)&amp;"'!A"&amp;INDEX(Tasks!$U$10:$U$1941,$P1507),"Open"))</x:f>
        <x:v>Open</x:v>
      </x:c>
      <x:c r="O1507" s="14"/>
      <x:c r="P1507" s="14" t="n">
        <x:f>IF(1486&gt;$B$10,"",MATCH(1486,Tasks!$S$10:$S$1941,0))</x:f>
        <x:v>1850</x:v>
      </x:c>
    </x:row>
    <x:row r="1508" ht="58" customHeight="1">
      <x:c r="B1508" s="86" t="str">
        <x:f>IF($P1508="","",INDEX(Tasks!$B$10:$B$1941,$P1508))</x:f>
        <x:v>Cycle 4</x:v>
      </x:c>
      <x:c r="C1508" s="86" t="str">
        <x:f>IF($P1508="","",INDEX(Tasks!$C$10:$C$1941,$P1508))</x:f>
        <x:v>Phase 3</x:v>
      </x:c>
      <x:c r="D1508" s="86" t="str">
        <x:f>IF($P1508="","",INDEX(Tasks!$D$10:$D$1941,$P1508))</x:f>
        <x:v>CSBBO - Banking Ops</x:v>
      </x:c>
      <x:c r="E1508" s="86"/>
      <x:c r="F1508" s="86" t="str">
        <x:f>IF($P1508="","",INDEX(Tasks!$E$10:$E$1941,$P1508))</x:f>
        <x:v>Design &amp; Insights</x:v>
      </x:c>
      <x:c r="G1508" s="86"/>
      <x:c r="H1508" s="14" t="str">
        <x:f>IF($P1508="","",INDEX(Tasks!$F$10:$F$1941,$P1508)&amp;CHAR(10)&amp;INDEX(Tasks!$G$10:$G$1941,$P1508))</x:f>
        <x:v>DI.BO.3.6
Ensure final deck is communicated to Forum attendees</x:v>
      </x:c>
      <x:c r="I1508" s="14"/>
      <x:c r="J1508" s="14"/>
      <x:c r="K1508" s="14"/>
      <x:c r="L1508" s="86" t="str">
        <x:f>IF($P1508="","",INDEX(Tasks!$N$10:$N$1941,$P1508))</x:f>
        <x:v>Not started</x:v>
      </x:c>
      <x:c r="M1508" s="87" t="n">
        <x:f>IF($P1508="","",INDEX(Tasks!$J$10:$J$1941,$P1508))</x:f>
        <x:v>46387</x:v>
      </x:c>
      <x:c r="N1508" s="85" t="str">
        <x:f>IF($P1508="","",HYPERLINK("#'"&amp;INDEX(Tasks!$T$10:$T$1941,$P1508)&amp;"'!A"&amp;INDEX(Tasks!$U$10:$U$1941,$P1508),"Open"))</x:f>
        <x:v>Open</x:v>
      </x:c>
      <x:c r="O1508" s="14"/>
      <x:c r="P1508" s="14" t="n">
        <x:f>IF(1487&gt;$B$10,"",MATCH(1487,Tasks!$S$10:$S$1941,0))</x:f>
        <x:v>1851</x:v>
      </x:c>
    </x:row>
    <x:row r="1509" ht="58" customHeight="1">
      <x:c r="B1509" s="86" t="str">
        <x:f>IF($P1509="","",INDEX(Tasks!$B$10:$B$1941,$P1509))</x:f>
        <x:v>Cycle 4</x:v>
      </x:c>
      <x:c r="C1509" s="86" t="str">
        <x:f>IF($P1509="","",INDEX(Tasks!$C$10:$C$1941,$P1509))</x:f>
        <x:v>Phase 3</x:v>
      </x:c>
      <x:c r="D1509" s="86" t="str">
        <x:f>IF($P1509="","",INDEX(Tasks!$D$10:$D$1941,$P1509))</x:f>
        <x:v>CSBBO - Banking Ops</x:v>
      </x:c>
      <x:c r="E1509" s="86"/>
      <x:c r="F1509" s="86" t="str">
        <x:f>IF($P1509="","",INDEX(Tasks!$E$10:$E$1941,$P1509))</x:f>
        <x:v>Design &amp; Insights</x:v>
      </x:c>
      <x:c r="G1509" s="86"/>
      <x:c r="H1509" s="14" t="str">
        <x:f>IF($P1509="","",INDEX(Tasks!$F$10:$F$1941,$P1509)&amp;CHAR(10)&amp;INDEX(Tasks!$G$10:$G$1941,$P1509))</x:f>
        <x:v>DI.BO.3.7
Present material in RCA Cycle Forum</x:v>
      </x:c>
      <x:c r="I1509" s="14"/>
      <x:c r="J1509" s="14"/>
      <x:c r="K1509" s="14"/>
      <x:c r="L1509" s="86" t="str">
        <x:f>IF($P1509="","",INDEX(Tasks!$N$10:$N$1941,$P1509))</x:f>
        <x:v>Not started</x:v>
      </x:c>
      <x:c r="M1509" s="87" t="str">
        <x:f>IF($P1509="","",INDEX(Tasks!$J$10:$J$1941,$P1509))</x:f>
      </x:c>
      <x:c r="N1509" s="85" t="str">
        <x:f>IF($P1509="","",HYPERLINK("#'"&amp;INDEX(Tasks!$T$10:$T$1941,$P1509)&amp;"'!A"&amp;INDEX(Tasks!$U$10:$U$1941,$P1509),"Open"))</x:f>
        <x:v>Open</x:v>
      </x:c>
      <x:c r="O1509" s="14"/>
      <x:c r="P1509" s="14" t="n">
        <x:f>IF(1488&gt;$B$10,"",MATCH(1488,Tasks!$S$10:$S$1941,0))</x:f>
        <x:v>1852</x:v>
      </x:c>
    </x:row>
    <x:row r="1510" ht="58" customHeight="1">
      <x:c r="B1510" s="86" t="str">
        <x:f>IF($P1510="","",INDEX(Tasks!$B$10:$B$1941,$P1510))</x:f>
        <x:v>Cycle 4</x:v>
      </x:c>
      <x:c r="C1510" s="86" t="str">
        <x:f>IF($P1510="","",INDEX(Tasks!$C$10:$C$1941,$P1510))</x:f>
        <x:v>Phase 1</x:v>
      </x:c>
      <x:c r="D1510" s="86" t="str">
        <x:f>IF($P1510="","",INDEX(Tasks!$D$10:$D$1941,$P1510))</x:f>
        <x:v>CSBBO - Customer Service</x:v>
      </x:c>
      <x:c r="E1510" s="86"/>
      <x:c r="F1510" s="86" t="str">
        <x:f>IF($P1510="","",INDEX(Tasks!$E$10:$E$1941,$P1510))</x:f>
        <x:v>Design &amp; Insights</x:v>
      </x:c>
      <x:c r="G1510" s="86"/>
      <x:c r="H1510" s="14" t="str">
        <x:f>IF($P1510="","",INDEX(Tasks!$F$10:$F$1941,$P1510)&amp;CHAR(10)&amp;INDEX(Tasks!$G$10:$G$1941,$P1510))</x:f>
        <x:v>DI.CS.1.1
Receive and review potential research topics at least 2 weeks prior to Cycle start date</x:v>
      </x:c>
      <x:c r="I1510" s="14"/>
      <x:c r="J1510" s="14"/>
      <x:c r="K1510" s="14"/>
      <x:c r="L1510" s="86" t="str">
        <x:f>IF($P1510="","",INDEX(Tasks!$N$10:$N$1941,$P1510))</x:f>
        <x:v>Not started</x:v>
      </x:c>
      <x:c r="M1510" s="87" t="n">
        <x:f>IF($P1510="","",INDEX(Tasks!$J$10:$J$1941,$P1510))</x:f>
        <x:v>46282</x:v>
      </x:c>
      <x:c r="N1510" s="85" t="str">
        <x:f>IF($P1510="","",HYPERLINK("#'"&amp;INDEX(Tasks!$T$10:$T$1941,$P1510)&amp;"'!A"&amp;INDEX(Tasks!$U$10:$U$1941,$P1510),"Open"))</x:f>
        <x:v>Open</x:v>
      </x:c>
      <x:c r="O1510" s="14"/>
      <x:c r="P1510" s="14" t="n">
        <x:f>IF(1489&gt;$B$10,"",MATCH(1489,Tasks!$S$10:$S$1941,0))</x:f>
        <x:v>1853</x:v>
      </x:c>
    </x:row>
    <x:row r="1511" ht="58" customHeight="1">
      <x:c r="B1511" s="86" t="str">
        <x:f>IF($P1511="","",INDEX(Tasks!$B$10:$B$1941,$P1511))</x:f>
        <x:v>Cycle 4</x:v>
      </x:c>
      <x:c r="C1511" s="86" t="str">
        <x:f>IF($P1511="","",INDEX(Tasks!$C$10:$C$1941,$P1511))</x:f>
        <x:v>Phase 1</x:v>
      </x:c>
      <x:c r="D1511" s="86" t="str">
        <x:f>IF($P1511="","",INDEX(Tasks!$D$10:$D$1941,$P1511))</x:f>
        <x:v>CSBBO - Customer Service</x:v>
      </x:c>
      <x:c r="E1511" s="86"/>
      <x:c r="F1511" s="86" t="str">
        <x:f>IF($P1511="","",INDEX(Tasks!$E$10:$E$1941,$P1511))</x:f>
        <x:v>Design &amp; Insights</x:v>
      </x:c>
      <x:c r="G1511" s="86"/>
      <x:c r="H1511" s="14" t="str">
        <x:f>IF($P1511="","",INDEX(Tasks!$F$10:$F$1941,$P1511)&amp;CHAR(10)&amp;INDEX(Tasks!$G$10:$G$1941,$P1511))</x:f>
        <x:v>DI.CS.1.2
Communicate any feedback on preferences or concerns with topics identified</x:v>
      </x:c>
      <x:c r="I1511" s="14"/>
      <x:c r="J1511" s="14"/>
      <x:c r="K1511" s="14"/>
      <x:c r="L1511" s="86" t="str">
        <x:f>IF($P1511="","",INDEX(Tasks!$N$10:$N$1941,$P1511))</x:f>
        <x:v>Not started</x:v>
      </x:c>
      <x:c r="M1511" s="87" t="n">
        <x:f>IF($P1511="","",INDEX(Tasks!$J$10:$J$1941,$P1511))</x:f>
        <x:v>46387</x:v>
      </x:c>
      <x:c r="N1511" s="85" t="str">
        <x:f>IF($P1511="","",HYPERLINK("#'"&amp;INDEX(Tasks!$T$10:$T$1941,$P1511)&amp;"'!A"&amp;INDEX(Tasks!$U$10:$U$1941,$P1511),"Open"))</x:f>
        <x:v>Open</x:v>
      </x:c>
      <x:c r="O1511" s="14"/>
      <x:c r="P1511" s="14" t="n">
        <x:f>IF(1490&gt;$B$10,"",MATCH(1490,Tasks!$S$10:$S$1941,0))</x:f>
        <x:v>1854</x:v>
      </x:c>
    </x:row>
    <x:row r="1512" ht="58" customHeight="1">
      <x:c r="B1512" s="86" t="str">
        <x:f>IF($P1512="","",INDEX(Tasks!$B$10:$B$1941,$P1512))</x:f>
        <x:v>Cycle 4</x:v>
      </x:c>
      <x:c r="C1512" s="86" t="str">
        <x:f>IF($P1512="","",INDEX(Tasks!$C$10:$C$1941,$P1512))</x:f>
        <x:v>Phase 1</x:v>
      </x:c>
      <x:c r="D1512" s="86" t="str">
        <x:f>IF($P1512="","",INDEX(Tasks!$D$10:$D$1941,$P1512))</x:f>
        <x:v>CSBBO - Customer Service</x:v>
      </x:c>
      <x:c r="E1512" s="86"/>
      <x:c r="F1512" s="86" t="str">
        <x:f>IF($P1512="","",INDEX(Tasks!$E$10:$E$1941,$P1512))</x:f>
        <x:v>Design &amp; Insights</x:v>
      </x:c>
      <x:c r="G1512" s="86"/>
      <x:c r="H1512" s="14" t="str">
        <x:f>IF($P1512="","",INDEX(Tasks!$F$10:$F$1941,$P1512)&amp;CHAR(10)&amp;INDEX(Tasks!$G$10:$G$1941,$P1512))</x:f>
        <x:v>DI.CS.1.3
Conduct high-level preliminary review of complaints within proposed topics</x:v>
      </x:c>
      <x:c r="I1512" s="14"/>
      <x:c r="J1512" s="14"/>
      <x:c r="K1512" s="14"/>
      <x:c r="L1512" s="86" t="str">
        <x:f>IF($P1512="","",INDEX(Tasks!$N$10:$N$1941,$P1512))</x:f>
        <x:v>Not started</x:v>
      </x:c>
      <x:c r="M1512" s="87" t="n">
        <x:f>IF($P1512="","",INDEX(Tasks!$J$10:$J$1941,$P1512))</x:f>
        <x:v>46387</x:v>
      </x:c>
      <x:c r="N1512" s="85" t="str">
        <x:f>IF($P1512="","",HYPERLINK("#'"&amp;INDEX(Tasks!$T$10:$T$1941,$P1512)&amp;"'!A"&amp;INDEX(Tasks!$U$10:$U$1941,$P1512),"Open"))</x:f>
        <x:v>Open</x:v>
      </x:c>
      <x:c r="O1512" s="14"/>
      <x:c r="P1512" s="14" t="n">
        <x:f>IF(1491&gt;$B$10,"",MATCH(1491,Tasks!$S$10:$S$1941,0))</x:f>
        <x:v>1855</x:v>
      </x:c>
    </x:row>
    <x:row r="1513" ht="58" customHeight="1">
      <x:c r="B1513" s="86" t="str">
        <x:f>IF($P1513="","",INDEX(Tasks!$B$10:$B$1941,$P1513))</x:f>
        <x:v>Cycle 4</x:v>
      </x:c>
      <x:c r="C1513" s="86" t="str">
        <x:f>IF($P1513="","",INDEX(Tasks!$C$10:$C$1941,$P1513))</x:f>
        <x:v>Phase 1</x:v>
      </x:c>
      <x:c r="D1513" s="86" t="str">
        <x:f>IF($P1513="","",INDEX(Tasks!$D$10:$D$1941,$P1513))</x:f>
        <x:v>CSBBO - Customer Service</x:v>
      </x:c>
      <x:c r="E1513" s="86"/>
      <x:c r="F1513" s="86" t="str">
        <x:f>IF($P1513="","",INDEX(Tasks!$E$10:$E$1941,$P1513))</x:f>
        <x:v>Design &amp; Insights</x:v>
      </x:c>
      <x:c r="G1513" s="86"/>
      <x:c r="H1513" s="14" t="str">
        <x:f>IF($P1513="","",INDEX(Tasks!$F$10:$F$1941,$P1513)&amp;CHAR(10)&amp;INDEX(Tasks!$G$10:$G$1941,$P1513))</x:f>
        <x:v>DI.CS.1.4
Meet with Research to discuss which topic to select based on potential impact</x:v>
      </x:c>
      <x:c r="I1513" s="14"/>
      <x:c r="J1513" s="14"/>
      <x:c r="K1513" s="14"/>
      <x:c r="L1513" s="86" t="str">
        <x:f>IF($P1513="","",INDEX(Tasks!$N$10:$N$1941,$P1513))</x:f>
        <x:v>Not started</x:v>
      </x:c>
      <x:c r="M1513" s="87" t="n">
        <x:f>IF($P1513="","",INDEX(Tasks!$J$10:$J$1941,$P1513))</x:f>
        <x:v>46387</x:v>
      </x:c>
      <x:c r="N1513" s="85" t="str">
        <x:f>IF($P1513="","",HYPERLINK("#'"&amp;INDEX(Tasks!$T$10:$T$1941,$P1513)&amp;"'!A"&amp;INDEX(Tasks!$U$10:$U$1941,$P1513),"Open"))</x:f>
        <x:v>Open</x:v>
      </x:c>
      <x:c r="O1513" s="14"/>
      <x:c r="P1513" s="14" t="n">
        <x:f>IF(1492&gt;$B$10,"",MATCH(1492,Tasks!$S$10:$S$1941,0))</x:f>
        <x:v>1856</x:v>
      </x:c>
    </x:row>
    <x:row r="1514" ht="58" customHeight="1">
      <x:c r="B1514" s="86" t="str">
        <x:f>IF($P1514="","",INDEX(Tasks!$B$10:$B$1941,$P1514))</x:f>
        <x:v>Cycle 4</x:v>
      </x:c>
      <x:c r="C1514" s="86" t="str">
        <x:f>IF($P1514="","",INDEX(Tasks!$C$10:$C$1941,$P1514))</x:f>
        <x:v>Phase 1</x:v>
      </x:c>
      <x:c r="D1514" s="86" t="str">
        <x:f>IF($P1514="","",INDEX(Tasks!$D$10:$D$1941,$P1514))</x:f>
        <x:v>CSBBO - Customer Service</x:v>
      </x:c>
      <x:c r="E1514" s="86"/>
      <x:c r="F1514" s="86" t="str">
        <x:f>IF($P1514="","",INDEX(Tasks!$E$10:$E$1941,$P1514))</x:f>
        <x:v>Design &amp; Insights</x:v>
      </x:c>
      <x:c r="G1514" s="86"/>
      <x:c r="H1514" s="14" t="str">
        <x:f>IF($P1514="","",INDEX(Tasks!$F$10:$F$1941,$P1514)&amp;CHAR(10)&amp;INDEX(Tasks!$G$10:$G$1941,$P1514))</x:f>
        <x:v>DI.CS.1.5
Confirm with Research the recommended topic for approval</x:v>
      </x:c>
      <x:c r="I1514" s="14"/>
      <x:c r="J1514" s="14"/>
      <x:c r="K1514" s="14"/>
      <x:c r="L1514" s="86" t="str">
        <x:f>IF($P1514="","",INDEX(Tasks!$N$10:$N$1941,$P1514))</x:f>
        <x:v>Not started</x:v>
      </x:c>
      <x:c r="M1514" s="87" t="n">
        <x:f>IF($P1514="","",INDEX(Tasks!$J$10:$J$1941,$P1514))</x:f>
        <x:v>46387</x:v>
      </x:c>
      <x:c r="N1514" s="85" t="str">
        <x:f>IF($P1514="","",HYPERLINK("#'"&amp;INDEX(Tasks!$T$10:$T$1941,$P1514)&amp;"'!A"&amp;INDEX(Tasks!$U$10:$U$1941,$P1514),"Open"))</x:f>
        <x:v>Open</x:v>
      </x:c>
      <x:c r="O1514" s="14"/>
      <x:c r="P1514" s="14" t="n">
        <x:f>IF(1493&gt;$B$10,"",MATCH(1493,Tasks!$S$10:$S$1941,0))</x:f>
        <x:v>1857</x:v>
      </x:c>
    </x:row>
    <x:row r="1515" ht="58" customHeight="1">
      <x:c r="B1515" s="86" t="str">
        <x:f>IF($P1515="","",INDEX(Tasks!$B$10:$B$1941,$P1515))</x:f>
        <x:v>Cycle 4</x:v>
      </x:c>
      <x:c r="C1515" s="86" t="str">
        <x:f>IF($P1515="","",INDEX(Tasks!$C$10:$C$1941,$P1515))</x:f>
        <x:v>Phase 1</x:v>
      </x:c>
      <x:c r="D1515" s="86" t="str">
        <x:f>IF($P1515="","",INDEX(Tasks!$D$10:$D$1941,$P1515))</x:f>
        <x:v>CSBBO - Customer Service</x:v>
      </x:c>
      <x:c r="E1515" s="86"/>
      <x:c r="F1515" s="86" t="str">
        <x:f>IF($P1515="","",INDEX(Tasks!$E$10:$E$1941,$P1515))</x:f>
        <x:v>Design &amp; Insights</x:v>
      </x:c>
      <x:c r="G1515" s="86"/>
      <x:c r="H1515" s="14" t="str">
        <x:f>IF($P1515="","",INDEX(Tasks!$F$10:$F$1941,$P1515)&amp;CHAR(10)&amp;INDEX(Tasks!$G$10:$G$1941,$P1515))</x:f>
        <x:v>DI.CS.1.6
Send topic selection socialization email to all key stakeholders on the first day of the review Cycle</x:v>
      </x:c>
      <x:c r="I1515" s="14"/>
      <x:c r="J1515" s="14"/>
      <x:c r="K1515" s="14"/>
      <x:c r="L1515" s="86" t="str">
        <x:f>IF($P1515="","",INDEX(Tasks!$N$10:$N$1941,$P1515))</x:f>
        <x:v>Not started</x:v>
      </x:c>
      <x:c r="M1515" s="87" t="n">
        <x:f>IF($P1515="","",INDEX(Tasks!$J$10:$J$1941,$P1515))</x:f>
        <x:v>46296</x:v>
      </x:c>
      <x:c r="N1515" s="85" t="str">
        <x:f>IF($P1515="","",HYPERLINK("#'"&amp;INDEX(Tasks!$T$10:$T$1941,$P1515)&amp;"'!A"&amp;INDEX(Tasks!$U$10:$U$1941,$P1515),"Open"))</x:f>
        <x:v>Open</x:v>
      </x:c>
      <x:c r="O1515" s="14"/>
      <x:c r="P1515" s="14" t="n">
        <x:f>IF(1494&gt;$B$10,"",MATCH(1494,Tasks!$S$10:$S$1941,0))</x:f>
        <x:v>1858</x:v>
      </x:c>
    </x:row>
    <x:row r="1516" ht="58" customHeight="1">
      <x:c r="B1516" s="86" t="str">
        <x:f>IF($P1516="","",INDEX(Tasks!$B$10:$B$1941,$P1516))</x:f>
        <x:v>Cycle 4</x:v>
      </x:c>
      <x:c r="C1516" s="86" t="str">
        <x:f>IF($P1516="","",INDEX(Tasks!$C$10:$C$1941,$P1516))</x:f>
        <x:v>Phase 2</x:v>
      </x:c>
      <x:c r="D1516" s="86" t="str">
        <x:f>IF($P1516="","",INDEX(Tasks!$D$10:$D$1941,$P1516))</x:f>
        <x:v>CSBBO - Customer Service</x:v>
      </x:c>
      <x:c r="E1516" s="86"/>
      <x:c r="F1516" s="86" t="str">
        <x:f>IF($P1516="","",INDEX(Tasks!$E$10:$E$1941,$P1516))</x:f>
        <x:v>Design &amp; Insights</x:v>
      </x:c>
      <x:c r="G1516" s="86"/>
      <x:c r="H1516" s="14" t="str">
        <x:f>IF($P1516="","",INDEX(Tasks!$F$10:$F$1941,$P1516)&amp;CHAR(10)&amp;INDEX(Tasks!$G$10:$G$1941,$P1516))</x:f>
        <x:v>DI.CS.2.1
Meet regularly with Research to stay informed on progress, findings, and potential enhancement</x:v>
      </x:c>
      <x:c r="I1516" s="14"/>
      <x:c r="J1516" s="14"/>
      <x:c r="K1516" s="14"/>
      <x:c r="L1516" s="86" t="str">
        <x:f>IF($P1516="","",INDEX(Tasks!$N$10:$N$1941,$P1516))</x:f>
        <x:v>Not started</x:v>
      </x:c>
      <x:c r="M1516" s="87" t="n">
        <x:f>IF($P1516="","",INDEX(Tasks!$J$10:$J$1941,$P1516))</x:f>
        <x:v>46387</x:v>
      </x:c>
      <x:c r="N1516" s="85" t="str">
        <x:f>IF($P1516="","",HYPERLINK("#'"&amp;INDEX(Tasks!$T$10:$T$1941,$P1516)&amp;"'!A"&amp;INDEX(Tasks!$U$10:$U$1941,$P1516),"Open"))</x:f>
        <x:v>Open</x:v>
      </x:c>
      <x:c r="O1516" s="14"/>
      <x:c r="P1516" s="14" t="n">
        <x:f>IF(1495&gt;$B$10,"",MATCH(1495,Tasks!$S$10:$S$1941,0))</x:f>
        <x:v>1859</x:v>
      </x:c>
    </x:row>
    <x:row r="1517" ht="58" customHeight="1">
      <x:c r="B1517" s="86" t="str">
        <x:f>IF($P1517="","",INDEX(Tasks!$B$10:$B$1941,$P1517))</x:f>
        <x:v>Cycle 4</x:v>
      </x:c>
      <x:c r="C1517" s="86" t="str">
        <x:f>IF($P1517="","",INDEX(Tasks!$C$10:$C$1941,$P1517))</x:f>
        <x:v>Phase 2</x:v>
      </x:c>
      <x:c r="D1517" s="86" t="str">
        <x:f>IF($P1517="","",INDEX(Tasks!$D$10:$D$1941,$P1517))</x:f>
        <x:v>CSBBO - Customer Service</x:v>
      </x:c>
      <x:c r="E1517" s="86"/>
      <x:c r="F1517" s="86" t="str">
        <x:f>IF($P1517="","",INDEX(Tasks!$E$10:$E$1941,$P1517))</x:f>
        <x:v>Design &amp; Insights</x:v>
      </x:c>
      <x:c r="G1517" s="86"/>
      <x:c r="H1517" s="14" t="str">
        <x:f>IF($P1517="","",INDEX(Tasks!$F$10:$F$1941,$P1517)&amp;CHAR(10)&amp;INDEX(Tasks!$G$10:$G$1941,$P1517))</x:f>
        <x:v>DI.CS.2.2
Collaborate with Research on research plan specifics</x:v>
      </x:c>
      <x:c r="I1517" s="14"/>
      <x:c r="J1517" s="14"/>
      <x:c r="K1517" s="14"/>
      <x:c r="L1517" s="86" t="str">
        <x:f>IF($P1517="","",INDEX(Tasks!$N$10:$N$1941,$P1517))</x:f>
        <x:v>Not started</x:v>
      </x:c>
      <x:c r="M1517" s="87" t="n">
        <x:f>IF($P1517="","",INDEX(Tasks!$J$10:$J$1941,$P1517))</x:f>
        <x:v>46387</x:v>
      </x:c>
      <x:c r="N1517" s="85" t="str">
        <x:f>IF($P1517="","",HYPERLINK("#'"&amp;INDEX(Tasks!$T$10:$T$1941,$P1517)&amp;"'!A"&amp;INDEX(Tasks!$U$10:$U$1941,$P1517),"Open"))</x:f>
        <x:v>Open</x:v>
      </x:c>
      <x:c r="O1517" s="14"/>
      <x:c r="P1517" s="14" t="n">
        <x:f>IF(1496&gt;$B$10,"",MATCH(1496,Tasks!$S$10:$S$1941,0))</x:f>
        <x:v>1860</x:v>
      </x:c>
    </x:row>
    <x:row r="1518" ht="58" customHeight="1">
      <x:c r="B1518" s="86" t="str">
        <x:f>IF($P1518="","",INDEX(Tasks!$B$10:$B$1941,$P1518))</x:f>
        <x:v>Cycle 4</x:v>
      </x:c>
      <x:c r="C1518" s="86" t="str">
        <x:f>IF($P1518="","",INDEX(Tasks!$C$10:$C$1941,$P1518))</x:f>
        <x:v>Phase 2</x:v>
      </x:c>
      <x:c r="D1518" s="86" t="str">
        <x:f>IF($P1518="","",INDEX(Tasks!$D$10:$D$1941,$P1518))</x:f>
        <x:v>CSBBO - Customer Service</x:v>
      </x:c>
      <x:c r="E1518" s="86"/>
      <x:c r="F1518" s="86" t="str">
        <x:f>IF($P1518="","",INDEX(Tasks!$E$10:$E$1941,$P1518))</x:f>
        <x:v>Design &amp; Insights</x:v>
      </x:c>
      <x:c r="G1518" s="86"/>
      <x:c r="H1518" s="14" t="str">
        <x:f>IF($P1518="","",INDEX(Tasks!$F$10:$F$1941,$P1518)&amp;CHAR(10)&amp;INDEX(Tasks!$G$10:$G$1941,$P1518))</x:f>
        <x:v>DI.CS.2.3
Participate in SME insight meetings to gain perspective and appetite on potential enhancements</x:v>
      </x:c>
      <x:c r="I1518" s="14"/>
      <x:c r="J1518" s="14"/>
      <x:c r="K1518" s="14"/>
      <x:c r="L1518" s="86" t="str">
        <x:f>IF($P1518="","",INDEX(Tasks!$N$10:$N$1941,$P1518))</x:f>
        <x:v>Not started</x:v>
      </x:c>
      <x:c r="M1518" s="87" t="n">
        <x:f>IF($P1518="","",INDEX(Tasks!$J$10:$J$1941,$P1518))</x:f>
        <x:v>46387</x:v>
      </x:c>
      <x:c r="N1518" s="85" t="str">
        <x:f>IF($P1518="","",HYPERLINK("#'"&amp;INDEX(Tasks!$T$10:$T$1941,$P1518)&amp;"'!A"&amp;INDEX(Tasks!$U$10:$U$1941,$P1518),"Open"))</x:f>
        <x:v>Open</x:v>
      </x:c>
      <x:c r="O1518" s="14"/>
      <x:c r="P1518" s="14" t="n">
        <x:f>IF(1497&gt;$B$10,"",MATCH(1497,Tasks!$S$10:$S$1941,0))</x:f>
        <x:v>1861</x:v>
      </x:c>
    </x:row>
    <x:row r="1519" ht="58" customHeight="1">
      <x:c r="B1519" s="86" t="str">
        <x:f>IF($P1519="","",INDEX(Tasks!$B$10:$B$1941,$P1519))</x:f>
        <x:v>Cycle 4</x:v>
      </x:c>
      <x:c r="C1519" s="86" t="str">
        <x:f>IF($P1519="","",INDEX(Tasks!$C$10:$C$1941,$P1519))</x:f>
        <x:v>Phase 2</x:v>
      </x:c>
      <x:c r="D1519" s="86" t="str">
        <x:f>IF($P1519="","",INDEX(Tasks!$D$10:$D$1941,$P1519))</x:f>
        <x:v>CSBBO - Customer Service</x:v>
      </x:c>
      <x:c r="E1519" s="86"/>
      <x:c r="F1519" s="86" t="str">
        <x:f>IF($P1519="","",INDEX(Tasks!$E$10:$E$1941,$P1519))</x:f>
        <x:v>Design &amp; Insights</x:v>
      </x:c>
      <x:c r="G1519" s="86"/>
      <x:c r="H1519" s="14" t="str">
        <x:f>IF($P1519="","",INDEX(Tasks!$F$10:$F$1941,$P1519)&amp;CHAR(10)&amp;INDEX(Tasks!$G$10:$G$1941,$P1519))</x:f>
        <x:v>DI.CS.2.4
Begin development of presentation materials as Research is being completed</x:v>
      </x:c>
      <x:c r="I1519" s="14"/>
      <x:c r="J1519" s="14"/>
      <x:c r="K1519" s="14"/>
      <x:c r="L1519" s="86" t="str">
        <x:f>IF($P1519="","",INDEX(Tasks!$N$10:$N$1941,$P1519))</x:f>
        <x:v>Not started</x:v>
      </x:c>
      <x:c r="M1519" s="87" t="n">
        <x:f>IF($P1519="","",INDEX(Tasks!$J$10:$J$1941,$P1519))</x:f>
        <x:v>46387</x:v>
      </x:c>
      <x:c r="N1519" s="85" t="str">
        <x:f>IF($P1519="","",HYPERLINK("#'"&amp;INDEX(Tasks!$T$10:$T$1941,$P1519)&amp;"'!A"&amp;INDEX(Tasks!$U$10:$U$1941,$P1519),"Open"))</x:f>
        <x:v>Open</x:v>
      </x:c>
      <x:c r="O1519" s="14"/>
      <x:c r="P1519" s="14" t="n">
        <x:f>IF(1498&gt;$B$10,"",MATCH(1498,Tasks!$S$10:$S$1941,0))</x:f>
        <x:v>1862</x:v>
      </x:c>
    </x:row>
    <x:row r="1520" ht="58" customHeight="1">
      <x:c r="B1520" s="86" t="str">
        <x:f>IF($P1520="","",INDEX(Tasks!$B$10:$B$1941,$P1520))</x:f>
        <x:v>Cycle 4</x:v>
      </x:c>
      <x:c r="C1520" s="86" t="str">
        <x:f>IF($P1520="","",INDEX(Tasks!$C$10:$C$1941,$P1520))</x:f>
        <x:v>Phase 2</x:v>
      </x:c>
      <x:c r="D1520" s="86" t="str">
        <x:f>IF($P1520="","",INDEX(Tasks!$D$10:$D$1941,$P1520))</x:f>
        <x:v>CSBBO - Customer Service</x:v>
      </x:c>
      <x:c r="E1520" s="86"/>
      <x:c r="F1520" s="86" t="str">
        <x:f>IF($P1520="","",INDEX(Tasks!$E$10:$E$1941,$P1520))</x:f>
        <x:v>Design &amp; Insights</x:v>
      </x:c>
      <x:c r="G1520" s="86"/>
      <x:c r="H1520" s="14" t="str">
        <x:f>IF($P1520="","",INDEX(Tasks!$F$10:$F$1941,$P1520)&amp;CHAR(10)&amp;INDEX(Tasks!$G$10:$G$1941,$P1520))</x:f>
        <x:v>DI.CS.2.5
Draft initial enhancement recommendations (as applicable)</x:v>
      </x:c>
      <x:c r="I1520" s="14"/>
      <x:c r="J1520" s="14"/>
      <x:c r="K1520" s="14"/>
      <x:c r="L1520" s="86" t="str">
        <x:f>IF($P1520="","",INDEX(Tasks!$N$10:$N$1941,$P1520))</x:f>
        <x:v>Not started</x:v>
      </x:c>
      <x:c r="M1520" s="87" t="n">
        <x:f>IF($P1520="","",INDEX(Tasks!$J$10:$J$1941,$P1520))</x:f>
        <x:v>46387</x:v>
      </x:c>
      <x:c r="N1520" s="85" t="str">
        <x:f>IF($P1520="","",HYPERLINK("#'"&amp;INDEX(Tasks!$T$10:$T$1941,$P1520)&amp;"'!A"&amp;INDEX(Tasks!$U$10:$U$1941,$P1520),"Open"))</x:f>
        <x:v>Open</x:v>
      </x:c>
      <x:c r="O1520" s="14"/>
      <x:c r="P1520" s="14" t="n">
        <x:f>IF(1499&gt;$B$10,"",MATCH(1499,Tasks!$S$10:$S$1941,0))</x:f>
        <x:v>1863</x:v>
      </x:c>
    </x:row>
    <x:row r="1521" ht="58" customHeight="1">
      <x:c r="B1521" s="86" t="str">
        <x:f>IF($P1521="","",INDEX(Tasks!$B$10:$B$1941,$P1521))</x:f>
        <x:v>Cycle 4</x:v>
      </x:c>
      <x:c r="C1521" s="86" t="str">
        <x:f>IF($P1521="","",INDEX(Tasks!$C$10:$C$1941,$P1521))</x:f>
        <x:v>Phase 2</x:v>
      </x:c>
      <x:c r="D1521" s="86" t="str">
        <x:f>IF($P1521="","",INDEX(Tasks!$D$10:$D$1941,$P1521))</x:f>
        <x:v>CSBBO - Customer Service</x:v>
      </x:c>
      <x:c r="E1521" s="86"/>
      <x:c r="F1521" s="86" t="str">
        <x:f>IF($P1521="","",INDEX(Tasks!$E$10:$E$1941,$P1521))</x:f>
        <x:v>Design &amp; Insights</x:v>
      </x:c>
      <x:c r="G1521" s="86"/>
      <x:c r="H1521" s="14" t="str">
        <x:f>IF($P1521="","",INDEX(Tasks!$F$10:$F$1941,$P1521)&amp;CHAR(10)&amp;INDEX(Tasks!$G$10:$G$1941,$P1521))</x:f>
        <x:v>DI.CS.2.6
Finalize presentation deck draft at conclusion of Research phase</x:v>
      </x:c>
      <x:c r="I1521" s="14"/>
      <x:c r="J1521" s="14"/>
      <x:c r="K1521" s="14"/>
      <x:c r="L1521" s="86" t="str">
        <x:f>IF($P1521="","",INDEX(Tasks!$N$10:$N$1941,$P1521))</x:f>
        <x:v>Not started</x:v>
      </x:c>
      <x:c r="M1521" s="87" t="n">
        <x:f>IF($P1521="","",INDEX(Tasks!$J$10:$J$1941,$P1521))</x:f>
        <x:v>46387</x:v>
      </x:c>
      <x:c r="N1521" s="85" t="str">
        <x:f>IF($P1521="","",HYPERLINK("#'"&amp;INDEX(Tasks!$T$10:$T$1941,$P1521)&amp;"'!A"&amp;INDEX(Tasks!$U$10:$U$1941,$P1521),"Open"))</x:f>
        <x:v>Open</x:v>
      </x:c>
      <x:c r="O1521" s="14"/>
      <x:c r="P1521" s="14" t="n">
        <x:f>IF(1500&gt;$B$10,"",MATCH(1500,Tasks!$S$10:$S$1941,0))</x:f>
        <x:v>1864</x:v>
      </x:c>
    </x:row>
    <x:row r="1522" ht="58" customHeight="1">
      <x:c r="B1522" s="86" t="str">
        <x:f>IF($P1522="","",INDEX(Tasks!$B$10:$B$1941,$P1522))</x:f>
        <x:v>Cycle 4</x:v>
      </x:c>
      <x:c r="C1522" s="86" t="str">
        <x:f>IF($P1522="","",INDEX(Tasks!$C$10:$C$1941,$P1522))</x:f>
        <x:v>Phase 2</x:v>
      </x:c>
      <x:c r="D1522" s="86" t="str">
        <x:f>IF($P1522="","",INDEX(Tasks!$D$10:$D$1941,$P1522))</x:f>
        <x:v>CSBBO - Customer Service</x:v>
      </x:c>
      <x:c r="E1522" s="86"/>
      <x:c r="F1522" s="86" t="str">
        <x:f>IF($P1522="","",INDEX(Tasks!$E$10:$E$1941,$P1522))</x:f>
        <x:v>Design &amp; Insights</x:v>
      </x:c>
      <x:c r="G1522" s="86"/>
      <x:c r="H1522" s="14" t="str">
        <x:f>IF($P1522="","",INDEX(Tasks!$F$10:$F$1941,$P1522)&amp;CHAR(10)&amp;INDEX(Tasks!$G$10:$G$1941,$P1522))</x:f>
        <x:v>DI.CS.2.7
Update Outcome portion of research plan with current enhancement verbiage (as needed)</x:v>
      </x:c>
      <x:c r="I1522" s="14"/>
      <x:c r="J1522" s="14"/>
      <x:c r="K1522" s="14"/>
      <x:c r="L1522" s="86" t="str">
        <x:f>IF($P1522="","",INDEX(Tasks!$N$10:$N$1941,$P1522))</x:f>
        <x:v>Not started</x:v>
      </x:c>
      <x:c r="M1522" s="87" t="n">
        <x:f>IF($P1522="","",INDEX(Tasks!$J$10:$J$1941,$P1522))</x:f>
        <x:v>46387</x:v>
      </x:c>
      <x:c r="N1522" s="85" t="str">
        <x:f>IF($P1522="","",HYPERLINK("#'"&amp;INDEX(Tasks!$T$10:$T$1941,$P1522)&amp;"'!A"&amp;INDEX(Tasks!$U$10:$U$1941,$P1522),"Open"))</x:f>
        <x:v>Open</x:v>
      </x:c>
      <x:c r="O1522" s="14"/>
      <x:c r="P1522" s="14" t="n">
        <x:f>IF(1501&gt;$B$10,"",MATCH(1501,Tasks!$S$10:$S$1941,0))</x:f>
        <x:v>1865</x:v>
      </x:c>
    </x:row>
    <x:row r="1523" ht="58" customHeight="1">
      <x:c r="B1523" s="86" t="str">
        <x:f>IF($P1523="","",INDEX(Tasks!$B$10:$B$1941,$P1523))</x:f>
        <x:v>Cycle 4</x:v>
      </x:c>
      <x:c r="C1523" s="86" t="str">
        <x:f>IF($P1523="","",INDEX(Tasks!$C$10:$C$1941,$P1523))</x:f>
        <x:v>Phase 3</x:v>
      </x:c>
      <x:c r="D1523" s="86" t="str">
        <x:f>IF($P1523="","",INDEX(Tasks!$D$10:$D$1941,$P1523))</x:f>
        <x:v>CSBBO - Customer Service</x:v>
      </x:c>
      <x:c r="E1523" s="86"/>
      <x:c r="F1523" s="86" t="str">
        <x:f>IF($P1523="","",INDEX(Tasks!$E$10:$E$1941,$P1523))</x:f>
        <x:v>Design &amp; Insights</x:v>
      </x:c>
      <x:c r="G1523" s="86"/>
      <x:c r="H1523" s="14" t="str">
        <x:f>IF($P1523="","",INDEX(Tasks!$F$10:$F$1941,$P1523)&amp;CHAR(10)&amp;INDEX(Tasks!$G$10:$G$1941,$P1523))</x:f>
        <x:v>DI.CS.3.1
Confirm list of required &amp; optional attendees for pre-socialization meeting</x:v>
      </x:c>
      <x:c r="I1523" s="14"/>
      <x:c r="J1523" s="14"/>
      <x:c r="K1523" s="14"/>
      <x:c r="L1523" s="86" t="str">
        <x:f>IF($P1523="","",INDEX(Tasks!$N$10:$N$1941,$P1523))</x:f>
        <x:v>Not started</x:v>
      </x:c>
      <x:c r="M1523" s="87" t="n">
        <x:f>IF($P1523="","",INDEX(Tasks!$J$10:$J$1941,$P1523))</x:f>
        <x:v>46387</x:v>
      </x:c>
      <x:c r="N1523" s="85" t="str">
        <x:f>IF($P1523="","",HYPERLINK("#'"&amp;INDEX(Tasks!$T$10:$T$1941,$P1523)&amp;"'!A"&amp;INDEX(Tasks!$U$10:$U$1941,$P1523),"Open"))</x:f>
        <x:v>Open</x:v>
      </x:c>
      <x:c r="O1523" s="14"/>
      <x:c r="P1523" s="14" t="n">
        <x:f>IF(1502&gt;$B$10,"",MATCH(1502,Tasks!$S$10:$S$1941,0))</x:f>
        <x:v>1866</x:v>
      </x:c>
    </x:row>
    <x:row r="1524" ht="58" customHeight="1">
      <x:c r="B1524" s="86" t="str">
        <x:f>IF($P1524="","",INDEX(Tasks!$B$10:$B$1941,$P1524))</x:f>
        <x:v>Cycle 4</x:v>
      </x:c>
      <x:c r="C1524" s="86" t="str">
        <x:f>IF($P1524="","",INDEX(Tasks!$C$10:$C$1941,$P1524))</x:f>
        <x:v>Phase 3</x:v>
      </x:c>
      <x:c r="D1524" s="86" t="str">
        <x:f>IF($P1524="","",INDEX(Tasks!$D$10:$D$1941,$P1524))</x:f>
        <x:v>CSBBO - Customer Service</x:v>
      </x:c>
      <x:c r="E1524" s="86"/>
      <x:c r="F1524" s="86" t="str">
        <x:f>IF($P1524="","",INDEX(Tasks!$E$10:$E$1941,$P1524))</x:f>
        <x:v>Design &amp; Insights</x:v>
      </x:c>
      <x:c r="G1524" s="86"/>
      <x:c r="H1524" s="14" t="str">
        <x:f>IF($P1524="","",INDEX(Tasks!$F$10:$F$1941,$P1524)&amp;CHAR(10)&amp;INDEX(Tasks!$G$10:$G$1941,$P1524))</x:f>
        <x:v>DI.CS.3.2
Schedule pre-socialization meeting 1 week prior to RCA Forum</x:v>
      </x:c>
      <x:c r="I1524" s="14"/>
      <x:c r="J1524" s="14"/>
      <x:c r="K1524" s="14"/>
      <x:c r="L1524" s="86" t="str">
        <x:f>IF($P1524="","",INDEX(Tasks!$N$10:$N$1941,$P1524))</x:f>
        <x:v>Not started</x:v>
      </x:c>
      <x:c r="M1524" s="87" t="str">
        <x:f>IF($P1524="","",INDEX(Tasks!$J$10:$J$1941,$P1524))</x:f>
      </x:c>
      <x:c r="N1524" s="85" t="str">
        <x:f>IF($P1524="","",HYPERLINK("#'"&amp;INDEX(Tasks!$T$10:$T$1941,$P1524)&amp;"'!A"&amp;INDEX(Tasks!$U$10:$U$1941,$P1524),"Open"))</x:f>
        <x:v>Open</x:v>
      </x:c>
      <x:c r="O1524" s="14"/>
      <x:c r="P1524" s="14" t="n">
        <x:f>IF(1503&gt;$B$10,"",MATCH(1503,Tasks!$S$10:$S$1941,0))</x:f>
        <x:v>1867</x:v>
      </x:c>
    </x:row>
    <x:row r="1525" ht="58" customHeight="1">
      <x:c r="B1525" s="86" t="str">
        <x:f>IF($P1525="","",INDEX(Tasks!$B$10:$B$1941,$P1525))</x:f>
        <x:v>Cycle 4</x:v>
      </x:c>
      <x:c r="C1525" s="86" t="str">
        <x:f>IF($P1525="","",INDEX(Tasks!$C$10:$C$1941,$P1525))</x:f>
        <x:v>Phase 3</x:v>
      </x:c>
      <x:c r="D1525" s="86" t="str">
        <x:f>IF($P1525="","",INDEX(Tasks!$D$10:$D$1941,$P1525))</x:f>
        <x:v>CSBBO - Customer Service</x:v>
      </x:c>
      <x:c r="E1525" s="86"/>
      <x:c r="F1525" s="86" t="str">
        <x:f>IF($P1525="","",INDEX(Tasks!$E$10:$E$1941,$P1525))</x:f>
        <x:v>Design &amp; Insights</x:v>
      </x:c>
      <x:c r="G1525" s="86"/>
      <x:c r="H1525" s="14" t="str">
        <x:f>IF($P1525="","",INDEX(Tasks!$F$10:$F$1941,$P1525)&amp;CHAR(10)&amp;INDEX(Tasks!$G$10:$G$1941,$P1525))</x:f>
        <x:v>DI.CS.3.3
Present findings, conclusions, and recommendation to SMEs</x:v>
      </x:c>
      <x:c r="I1525" s="14"/>
      <x:c r="J1525" s="14"/>
      <x:c r="K1525" s="14"/>
      <x:c r="L1525" s="86" t="str">
        <x:f>IF($P1525="","",INDEX(Tasks!$N$10:$N$1941,$P1525))</x:f>
        <x:v>Not started</x:v>
      </x:c>
      <x:c r="M1525" s="87" t="n">
        <x:f>IF($P1525="","",INDEX(Tasks!$J$10:$J$1941,$P1525))</x:f>
        <x:v>46387</x:v>
      </x:c>
      <x:c r="N1525" s="85" t="str">
        <x:f>IF($P1525="","",HYPERLINK("#'"&amp;INDEX(Tasks!$T$10:$T$1941,$P1525)&amp;"'!A"&amp;INDEX(Tasks!$U$10:$U$1941,$P1525),"Open"))</x:f>
        <x:v>Open</x:v>
      </x:c>
      <x:c r="O1525" s="14"/>
      <x:c r="P1525" s="14" t="n">
        <x:f>IF(1504&gt;$B$10,"",MATCH(1504,Tasks!$S$10:$S$1941,0))</x:f>
        <x:v>1868</x:v>
      </x:c>
    </x:row>
    <x:row r="1526" ht="58" customHeight="1">
      <x:c r="B1526" s="86" t="str">
        <x:f>IF($P1526="","",INDEX(Tasks!$B$10:$B$1941,$P1526))</x:f>
        <x:v>Cycle 4</x:v>
      </x:c>
      <x:c r="C1526" s="86" t="str">
        <x:f>IF($P1526="","",INDEX(Tasks!$C$10:$C$1941,$P1526))</x:f>
        <x:v>Phase 3</x:v>
      </x:c>
      <x:c r="D1526" s="86" t="str">
        <x:f>IF($P1526="","",INDEX(Tasks!$D$10:$D$1941,$P1526))</x:f>
        <x:v>CSBBO - Customer Service</x:v>
      </x:c>
      <x:c r="E1526" s="86"/>
      <x:c r="F1526" s="86" t="str">
        <x:f>IF($P1526="","",INDEX(Tasks!$E$10:$E$1941,$P1526))</x:f>
        <x:v>Design &amp; Insights</x:v>
      </x:c>
      <x:c r="G1526" s="86"/>
      <x:c r="H1526" s="14" t="str">
        <x:f>IF($P1526="","",INDEX(Tasks!$F$10:$F$1941,$P1526)&amp;CHAR(10)&amp;INDEX(Tasks!$G$10:$G$1941,$P1526))</x:f>
        <x:v>DI.CS.3.4
Update Outcome portion of research plan (as needed)</x:v>
      </x:c>
      <x:c r="I1526" s="14"/>
      <x:c r="J1526" s="14"/>
      <x:c r="K1526" s="14"/>
      <x:c r="L1526" s="86" t="str">
        <x:f>IF($P1526="","",INDEX(Tasks!$N$10:$N$1941,$P1526))</x:f>
        <x:v>Not started</x:v>
      </x:c>
      <x:c r="M1526" s="87" t="n">
        <x:f>IF($P1526="","",INDEX(Tasks!$J$10:$J$1941,$P1526))</x:f>
        <x:v>46387</x:v>
      </x:c>
      <x:c r="N1526" s="85" t="str">
        <x:f>IF($P1526="","",HYPERLINK("#'"&amp;INDEX(Tasks!$T$10:$T$1941,$P1526)&amp;"'!A"&amp;INDEX(Tasks!$U$10:$U$1941,$P1526),"Open"))</x:f>
        <x:v>Open</x:v>
      </x:c>
      <x:c r="O1526" s="14"/>
      <x:c r="P1526" s="14" t="n">
        <x:f>IF(1505&gt;$B$10,"",MATCH(1505,Tasks!$S$10:$S$1941,0))</x:f>
        <x:v>1869</x:v>
      </x:c>
    </x:row>
    <x:row r="1527" ht="58" customHeight="1">
      <x:c r="B1527" s="86" t="str">
        <x:f>IF($P1527="","",INDEX(Tasks!$B$10:$B$1941,$P1527))</x:f>
        <x:v>Cycle 4</x:v>
      </x:c>
      <x:c r="C1527" s="86" t="str">
        <x:f>IF($P1527="","",INDEX(Tasks!$C$10:$C$1941,$P1527))</x:f>
        <x:v>Phase 3</x:v>
      </x:c>
      <x:c r="D1527" s="86" t="str">
        <x:f>IF($P1527="","",INDEX(Tasks!$D$10:$D$1941,$P1527))</x:f>
        <x:v>CSBBO - Customer Service</x:v>
      </x:c>
      <x:c r="E1527" s="86"/>
      <x:c r="F1527" s="86" t="str">
        <x:f>IF($P1527="","",INDEX(Tasks!$E$10:$E$1941,$P1527))</x:f>
        <x:v>Design &amp; Insights</x:v>
      </x:c>
      <x:c r="G1527" s="86"/>
      <x:c r="H1527" s="14" t="str">
        <x:f>IF($P1527="","",INDEX(Tasks!$F$10:$F$1941,$P1527)&amp;CHAR(10)&amp;INDEX(Tasks!$G$10:$G$1941,$P1527))</x:f>
        <x:v>DI.CS.3.5
Finalize presentation deck by incorporating pre-socialization feedback (as needed)</x:v>
      </x:c>
      <x:c r="I1527" s="14"/>
      <x:c r="J1527" s="14"/>
      <x:c r="K1527" s="14"/>
      <x:c r="L1527" s="86" t="str">
        <x:f>IF($P1527="","",INDEX(Tasks!$N$10:$N$1941,$P1527))</x:f>
        <x:v>Not started</x:v>
      </x:c>
      <x:c r="M1527" s="87" t="n">
        <x:f>IF($P1527="","",INDEX(Tasks!$J$10:$J$1941,$P1527))</x:f>
        <x:v>46387</x:v>
      </x:c>
      <x:c r="N1527" s="85" t="str">
        <x:f>IF($P1527="","",HYPERLINK("#'"&amp;INDEX(Tasks!$T$10:$T$1941,$P1527)&amp;"'!A"&amp;INDEX(Tasks!$U$10:$U$1941,$P1527),"Open"))</x:f>
        <x:v>Open</x:v>
      </x:c>
      <x:c r="O1527" s="14"/>
      <x:c r="P1527" s="14" t="n">
        <x:f>IF(1506&gt;$B$10,"",MATCH(1506,Tasks!$S$10:$S$1941,0))</x:f>
        <x:v>1870</x:v>
      </x:c>
    </x:row>
    <x:row r="1528" ht="58" customHeight="1">
      <x:c r="B1528" s="86" t="str">
        <x:f>IF($P1528="","",INDEX(Tasks!$B$10:$B$1941,$P1528))</x:f>
        <x:v>Cycle 4</x:v>
      </x:c>
      <x:c r="C1528" s="86" t="str">
        <x:f>IF($P1528="","",INDEX(Tasks!$C$10:$C$1941,$P1528))</x:f>
        <x:v>Phase 3</x:v>
      </x:c>
      <x:c r="D1528" s="86" t="str">
        <x:f>IF($P1528="","",INDEX(Tasks!$D$10:$D$1941,$P1528))</x:f>
        <x:v>CSBBO - Customer Service</x:v>
      </x:c>
      <x:c r="E1528" s="86"/>
      <x:c r="F1528" s="86" t="str">
        <x:f>IF($P1528="","",INDEX(Tasks!$E$10:$E$1941,$P1528))</x:f>
        <x:v>Design &amp; Insights</x:v>
      </x:c>
      <x:c r="G1528" s="86"/>
      <x:c r="H1528" s="14" t="str">
        <x:f>IF($P1528="","",INDEX(Tasks!$F$10:$F$1941,$P1528)&amp;CHAR(10)&amp;INDEX(Tasks!$G$10:$G$1941,$P1528))</x:f>
        <x:v>DI.CS.3.6
Ensure final deck is communicated to Forum attendees</x:v>
      </x:c>
      <x:c r="I1528" s="14"/>
      <x:c r="J1528" s="14"/>
      <x:c r="K1528" s="14"/>
      <x:c r="L1528" s="86" t="str">
        <x:f>IF($P1528="","",INDEX(Tasks!$N$10:$N$1941,$P1528))</x:f>
        <x:v>Not started</x:v>
      </x:c>
      <x:c r="M1528" s="87" t="n">
        <x:f>IF($P1528="","",INDEX(Tasks!$J$10:$J$1941,$P1528))</x:f>
        <x:v>46387</x:v>
      </x:c>
      <x:c r="N1528" s="85" t="str">
        <x:f>IF($P1528="","",HYPERLINK("#'"&amp;INDEX(Tasks!$T$10:$T$1941,$P1528)&amp;"'!A"&amp;INDEX(Tasks!$U$10:$U$1941,$P1528),"Open"))</x:f>
        <x:v>Open</x:v>
      </x:c>
      <x:c r="O1528" s="14"/>
      <x:c r="P1528" s="14" t="n">
        <x:f>IF(1507&gt;$B$10,"",MATCH(1507,Tasks!$S$10:$S$1941,0))</x:f>
        <x:v>1871</x:v>
      </x:c>
    </x:row>
    <x:row r="1529" ht="58" customHeight="1">
      <x:c r="B1529" s="86" t="str">
        <x:f>IF($P1529="","",INDEX(Tasks!$B$10:$B$1941,$P1529))</x:f>
        <x:v>Cycle 4</x:v>
      </x:c>
      <x:c r="C1529" s="86" t="str">
        <x:f>IF($P1529="","",INDEX(Tasks!$C$10:$C$1941,$P1529))</x:f>
        <x:v>Phase 3</x:v>
      </x:c>
      <x:c r="D1529" s="86" t="str">
        <x:f>IF($P1529="","",INDEX(Tasks!$D$10:$D$1941,$P1529))</x:f>
        <x:v>CSBBO - Customer Service</x:v>
      </x:c>
      <x:c r="E1529" s="86"/>
      <x:c r="F1529" s="86" t="str">
        <x:f>IF($P1529="","",INDEX(Tasks!$E$10:$E$1941,$P1529))</x:f>
        <x:v>Design &amp; Insights</x:v>
      </x:c>
      <x:c r="G1529" s="86"/>
      <x:c r="H1529" s="14" t="str">
        <x:f>IF($P1529="","",INDEX(Tasks!$F$10:$F$1941,$P1529)&amp;CHAR(10)&amp;INDEX(Tasks!$G$10:$G$1941,$P1529))</x:f>
        <x:v>DI.CS.3.7
Present material in RCA Cycle Forum</x:v>
      </x:c>
      <x:c r="I1529" s="14"/>
      <x:c r="J1529" s="14"/>
      <x:c r="K1529" s="14"/>
      <x:c r="L1529" s="86" t="str">
        <x:f>IF($P1529="","",INDEX(Tasks!$N$10:$N$1941,$P1529))</x:f>
        <x:v>Not started</x:v>
      </x:c>
      <x:c r="M1529" s="87" t="str">
        <x:f>IF($P1529="","",INDEX(Tasks!$J$10:$J$1941,$P1529))</x:f>
      </x:c>
      <x:c r="N1529" s="85" t="str">
        <x:f>IF($P1529="","",HYPERLINK("#'"&amp;INDEX(Tasks!$T$10:$T$1941,$P1529)&amp;"'!A"&amp;INDEX(Tasks!$U$10:$U$1941,$P1529),"Open"))</x:f>
        <x:v>Open</x:v>
      </x:c>
      <x:c r="O1529" s="14"/>
      <x:c r="P1529" s="14" t="n">
        <x:f>IF(1508&gt;$B$10,"",MATCH(1508,Tasks!$S$10:$S$1941,0))</x:f>
        <x:v>1872</x:v>
      </x:c>
    </x:row>
    <x:row r="1530" ht="58" customHeight="1">
      <x:c r="B1530" s="86" t="str">
        <x:f>IF($P1530="","",INDEX(Tasks!$B$10:$B$1941,$P1530))</x:f>
        <x:v>Cycle 4</x:v>
      </x:c>
      <x:c r="C1530" s="86" t="str">
        <x:f>IF($P1530="","",INDEX(Tasks!$C$10:$C$1941,$P1530))</x:f>
        <x:v>Phase 1</x:v>
      </x:c>
      <x:c r="D1530" s="86" t="str">
        <x:f>IF($P1530="","",INDEX(Tasks!$D$10:$D$1941,$P1530))</x:f>
        <x:v>FCM</x:v>
      </x:c>
      <x:c r="E1530" s="86"/>
      <x:c r="F1530" s="86" t="str">
        <x:f>IF($P1530="","",INDEX(Tasks!$E$10:$E$1941,$P1530))</x:f>
        <x:v>Design &amp; Insights</x:v>
      </x:c>
      <x:c r="G1530" s="86"/>
      <x:c r="H1530" s="14" t="str">
        <x:f>IF($P1530="","",INDEX(Tasks!$F$10:$F$1941,$P1530)&amp;CHAR(10)&amp;INDEX(Tasks!$G$10:$G$1941,$P1530))</x:f>
        <x:v>DI.FC.1.1
Receive and review potential research topics at least 2 weeks prior to Cycle start date</x:v>
      </x:c>
      <x:c r="I1530" s="14"/>
      <x:c r="J1530" s="14"/>
      <x:c r="K1530" s="14"/>
      <x:c r="L1530" s="86" t="str">
        <x:f>IF($P1530="","",INDEX(Tasks!$N$10:$N$1941,$P1530))</x:f>
        <x:v>Not started</x:v>
      </x:c>
      <x:c r="M1530" s="87" t="n">
        <x:f>IF($P1530="","",INDEX(Tasks!$J$10:$J$1941,$P1530))</x:f>
        <x:v>46282</x:v>
      </x:c>
      <x:c r="N1530" s="85" t="str">
        <x:f>IF($P1530="","",HYPERLINK("#'"&amp;INDEX(Tasks!$T$10:$T$1941,$P1530)&amp;"'!A"&amp;INDEX(Tasks!$U$10:$U$1941,$P1530),"Open"))</x:f>
        <x:v>Open</x:v>
      </x:c>
      <x:c r="O1530" s="14"/>
      <x:c r="P1530" s="14" t="n">
        <x:f>IF(1509&gt;$B$10,"",MATCH(1509,Tasks!$S$10:$S$1941,0))</x:f>
        <x:v>1873</x:v>
      </x:c>
    </x:row>
    <x:row r="1531" ht="58" customHeight="1">
      <x:c r="B1531" s="86" t="str">
        <x:f>IF($P1531="","",INDEX(Tasks!$B$10:$B$1941,$P1531))</x:f>
        <x:v>Cycle 4</x:v>
      </x:c>
      <x:c r="C1531" s="86" t="str">
        <x:f>IF($P1531="","",INDEX(Tasks!$C$10:$C$1941,$P1531))</x:f>
        <x:v>Phase 1</x:v>
      </x:c>
      <x:c r="D1531" s="86" t="str">
        <x:f>IF($P1531="","",INDEX(Tasks!$D$10:$D$1941,$P1531))</x:f>
        <x:v>FCM</x:v>
      </x:c>
      <x:c r="E1531" s="86"/>
      <x:c r="F1531" s="86" t="str">
        <x:f>IF($P1531="","",INDEX(Tasks!$E$10:$E$1941,$P1531))</x:f>
        <x:v>Design &amp; Insights</x:v>
      </x:c>
      <x:c r="G1531" s="86"/>
      <x:c r="H1531" s="14" t="str">
        <x:f>IF($P1531="","",INDEX(Tasks!$F$10:$F$1941,$P1531)&amp;CHAR(10)&amp;INDEX(Tasks!$G$10:$G$1941,$P1531))</x:f>
        <x:v>DI.FC.1.2
Communicate any feedback on preferences or concerns with topics identified</x:v>
      </x:c>
      <x:c r="I1531" s="14"/>
      <x:c r="J1531" s="14"/>
      <x:c r="K1531" s="14"/>
      <x:c r="L1531" s="86" t="str">
        <x:f>IF($P1531="","",INDEX(Tasks!$N$10:$N$1941,$P1531))</x:f>
        <x:v>Not started</x:v>
      </x:c>
      <x:c r="M1531" s="87" t="n">
        <x:f>IF($P1531="","",INDEX(Tasks!$J$10:$J$1941,$P1531))</x:f>
        <x:v>46387</x:v>
      </x:c>
      <x:c r="N1531" s="85" t="str">
        <x:f>IF($P1531="","",HYPERLINK("#'"&amp;INDEX(Tasks!$T$10:$T$1941,$P1531)&amp;"'!A"&amp;INDEX(Tasks!$U$10:$U$1941,$P1531),"Open"))</x:f>
        <x:v>Open</x:v>
      </x:c>
      <x:c r="O1531" s="14"/>
      <x:c r="P1531" s="14" t="n">
        <x:f>IF(1510&gt;$B$10,"",MATCH(1510,Tasks!$S$10:$S$1941,0))</x:f>
        <x:v>1874</x:v>
      </x:c>
    </x:row>
    <x:row r="1532" ht="58" customHeight="1">
      <x:c r="B1532" s="86" t="str">
        <x:f>IF($P1532="","",INDEX(Tasks!$B$10:$B$1941,$P1532))</x:f>
        <x:v>Cycle 4</x:v>
      </x:c>
      <x:c r="C1532" s="86" t="str">
        <x:f>IF($P1532="","",INDEX(Tasks!$C$10:$C$1941,$P1532))</x:f>
        <x:v>Phase 1</x:v>
      </x:c>
      <x:c r="D1532" s="86" t="str">
        <x:f>IF($P1532="","",INDEX(Tasks!$D$10:$D$1941,$P1532))</x:f>
        <x:v>FCM</x:v>
      </x:c>
      <x:c r="E1532" s="86"/>
      <x:c r="F1532" s="86" t="str">
        <x:f>IF($P1532="","",INDEX(Tasks!$E$10:$E$1941,$P1532))</x:f>
        <x:v>Design &amp; Insights</x:v>
      </x:c>
      <x:c r="G1532" s="86"/>
      <x:c r="H1532" s="14" t="str">
        <x:f>IF($P1532="","",INDEX(Tasks!$F$10:$F$1941,$P1532)&amp;CHAR(10)&amp;INDEX(Tasks!$G$10:$G$1941,$P1532))</x:f>
        <x:v>DI.FC.1.3
Conduct high-level preliminary review of complaints within proposed topics</x:v>
      </x:c>
      <x:c r="I1532" s="14"/>
      <x:c r="J1532" s="14"/>
      <x:c r="K1532" s="14"/>
      <x:c r="L1532" s="86" t="str">
        <x:f>IF($P1532="","",INDEX(Tasks!$N$10:$N$1941,$P1532))</x:f>
        <x:v>Not started</x:v>
      </x:c>
      <x:c r="M1532" s="87" t="n">
        <x:f>IF($P1532="","",INDEX(Tasks!$J$10:$J$1941,$P1532))</x:f>
        <x:v>46387</x:v>
      </x:c>
      <x:c r="N1532" s="85" t="str">
        <x:f>IF($P1532="","",HYPERLINK("#'"&amp;INDEX(Tasks!$T$10:$T$1941,$P1532)&amp;"'!A"&amp;INDEX(Tasks!$U$10:$U$1941,$P1532),"Open"))</x:f>
        <x:v>Open</x:v>
      </x:c>
      <x:c r="O1532" s="14"/>
      <x:c r="P1532" s="14" t="n">
        <x:f>IF(1511&gt;$B$10,"",MATCH(1511,Tasks!$S$10:$S$1941,0))</x:f>
        <x:v>1875</x:v>
      </x:c>
    </x:row>
    <x:row r="1533" ht="58" customHeight="1">
      <x:c r="B1533" s="86" t="str">
        <x:f>IF($P1533="","",INDEX(Tasks!$B$10:$B$1941,$P1533))</x:f>
        <x:v>Cycle 4</x:v>
      </x:c>
      <x:c r="C1533" s="86" t="str">
        <x:f>IF($P1533="","",INDEX(Tasks!$C$10:$C$1941,$P1533))</x:f>
        <x:v>Phase 1</x:v>
      </x:c>
      <x:c r="D1533" s="86" t="str">
        <x:f>IF($P1533="","",INDEX(Tasks!$D$10:$D$1941,$P1533))</x:f>
        <x:v>FCM</x:v>
      </x:c>
      <x:c r="E1533" s="86"/>
      <x:c r="F1533" s="86" t="str">
        <x:f>IF($P1533="","",INDEX(Tasks!$E$10:$E$1941,$P1533))</x:f>
        <x:v>Design &amp; Insights</x:v>
      </x:c>
      <x:c r="G1533" s="86"/>
      <x:c r="H1533" s="14" t="str">
        <x:f>IF($P1533="","",INDEX(Tasks!$F$10:$F$1941,$P1533)&amp;CHAR(10)&amp;INDEX(Tasks!$G$10:$G$1941,$P1533))</x:f>
        <x:v>DI.FC.1.4
Meet with Research to discuss which topic to select based on potential impact</x:v>
      </x:c>
      <x:c r="I1533" s="14"/>
      <x:c r="J1533" s="14"/>
      <x:c r="K1533" s="14"/>
      <x:c r="L1533" s="86" t="str">
        <x:f>IF($P1533="","",INDEX(Tasks!$N$10:$N$1941,$P1533))</x:f>
        <x:v>Not started</x:v>
      </x:c>
      <x:c r="M1533" s="87" t="n">
        <x:f>IF($P1533="","",INDEX(Tasks!$J$10:$J$1941,$P1533))</x:f>
        <x:v>46387</x:v>
      </x:c>
      <x:c r="N1533" s="85" t="str">
        <x:f>IF($P1533="","",HYPERLINK("#'"&amp;INDEX(Tasks!$T$10:$T$1941,$P1533)&amp;"'!A"&amp;INDEX(Tasks!$U$10:$U$1941,$P1533),"Open"))</x:f>
        <x:v>Open</x:v>
      </x:c>
      <x:c r="O1533" s="14"/>
      <x:c r="P1533" s="14" t="n">
        <x:f>IF(1512&gt;$B$10,"",MATCH(1512,Tasks!$S$10:$S$1941,0))</x:f>
        <x:v>1876</x:v>
      </x:c>
    </x:row>
    <x:row r="1534" ht="58" customHeight="1">
      <x:c r="B1534" s="86" t="str">
        <x:f>IF($P1534="","",INDEX(Tasks!$B$10:$B$1941,$P1534))</x:f>
        <x:v>Cycle 4</x:v>
      </x:c>
      <x:c r="C1534" s="86" t="str">
        <x:f>IF($P1534="","",INDEX(Tasks!$C$10:$C$1941,$P1534))</x:f>
        <x:v>Phase 1</x:v>
      </x:c>
      <x:c r="D1534" s="86" t="str">
        <x:f>IF($P1534="","",INDEX(Tasks!$D$10:$D$1941,$P1534))</x:f>
        <x:v>FCM</x:v>
      </x:c>
      <x:c r="E1534" s="86"/>
      <x:c r="F1534" s="86" t="str">
        <x:f>IF($P1534="","",INDEX(Tasks!$E$10:$E$1941,$P1534))</x:f>
        <x:v>Design &amp; Insights</x:v>
      </x:c>
      <x:c r="G1534" s="86"/>
      <x:c r="H1534" s="14" t="str">
        <x:f>IF($P1534="","",INDEX(Tasks!$F$10:$F$1941,$P1534)&amp;CHAR(10)&amp;INDEX(Tasks!$G$10:$G$1941,$P1534))</x:f>
        <x:v>DI.FC.1.5
Confirm with Research the recommended topic for approval</x:v>
      </x:c>
      <x:c r="I1534" s="14"/>
      <x:c r="J1534" s="14"/>
      <x:c r="K1534" s="14"/>
      <x:c r="L1534" s="86" t="str">
        <x:f>IF($P1534="","",INDEX(Tasks!$N$10:$N$1941,$P1534))</x:f>
        <x:v>Not started</x:v>
      </x:c>
      <x:c r="M1534" s="87" t="n">
        <x:f>IF($P1534="","",INDEX(Tasks!$J$10:$J$1941,$P1534))</x:f>
        <x:v>46387</x:v>
      </x:c>
      <x:c r="N1534" s="85" t="str">
        <x:f>IF($P1534="","",HYPERLINK("#'"&amp;INDEX(Tasks!$T$10:$T$1941,$P1534)&amp;"'!A"&amp;INDEX(Tasks!$U$10:$U$1941,$P1534),"Open"))</x:f>
        <x:v>Open</x:v>
      </x:c>
      <x:c r="O1534" s="14"/>
      <x:c r="P1534" s="14" t="n">
        <x:f>IF(1513&gt;$B$10,"",MATCH(1513,Tasks!$S$10:$S$1941,0))</x:f>
        <x:v>1877</x:v>
      </x:c>
    </x:row>
    <x:row r="1535" ht="58" customHeight="1">
      <x:c r="B1535" s="86" t="str">
        <x:f>IF($P1535="","",INDEX(Tasks!$B$10:$B$1941,$P1535))</x:f>
        <x:v>Cycle 4</x:v>
      </x:c>
      <x:c r="C1535" s="86" t="str">
        <x:f>IF($P1535="","",INDEX(Tasks!$C$10:$C$1941,$P1535))</x:f>
        <x:v>Phase 1</x:v>
      </x:c>
      <x:c r="D1535" s="86" t="str">
        <x:f>IF($P1535="","",INDEX(Tasks!$D$10:$D$1941,$P1535))</x:f>
        <x:v>FCM</x:v>
      </x:c>
      <x:c r="E1535" s="86"/>
      <x:c r="F1535" s="86" t="str">
        <x:f>IF($P1535="","",INDEX(Tasks!$E$10:$E$1941,$P1535))</x:f>
        <x:v>Design &amp; Insights</x:v>
      </x:c>
      <x:c r="G1535" s="86"/>
      <x:c r="H1535" s="14" t="str">
        <x:f>IF($P1535="","",INDEX(Tasks!$F$10:$F$1941,$P1535)&amp;CHAR(10)&amp;INDEX(Tasks!$G$10:$G$1941,$P1535))</x:f>
        <x:v>DI.FC.1.6
Send topic selection socialization email to all key stakeholders on the first day of the review Cycle</x:v>
      </x:c>
      <x:c r="I1535" s="14"/>
      <x:c r="J1535" s="14"/>
      <x:c r="K1535" s="14"/>
      <x:c r="L1535" s="86" t="str">
        <x:f>IF($P1535="","",INDEX(Tasks!$N$10:$N$1941,$P1535))</x:f>
        <x:v>Not started</x:v>
      </x:c>
      <x:c r="M1535" s="87" t="n">
        <x:f>IF($P1535="","",INDEX(Tasks!$J$10:$J$1941,$P1535))</x:f>
        <x:v>46296</x:v>
      </x:c>
      <x:c r="N1535" s="85" t="str">
        <x:f>IF($P1535="","",HYPERLINK("#'"&amp;INDEX(Tasks!$T$10:$T$1941,$P1535)&amp;"'!A"&amp;INDEX(Tasks!$U$10:$U$1941,$P1535),"Open"))</x:f>
        <x:v>Open</x:v>
      </x:c>
      <x:c r="O1535" s="14"/>
      <x:c r="P1535" s="14" t="n">
        <x:f>IF(1514&gt;$B$10,"",MATCH(1514,Tasks!$S$10:$S$1941,0))</x:f>
        <x:v>1878</x:v>
      </x:c>
    </x:row>
    <x:row r="1536" ht="58" customHeight="1">
      <x:c r="B1536" s="86" t="str">
        <x:f>IF($P1536="","",INDEX(Tasks!$B$10:$B$1941,$P1536))</x:f>
        <x:v>Cycle 4</x:v>
      </x:c>
      <x:c r="C1536" s="86" t="str">
        <x:f>IF($P1536="","",INDEX(Tasks!$C$10:$C$1941,$P1536))</x:f>
        <x:v>Phase 2</x:v>
      </x:c>
      <x:c r="D1536" s="86" t="str">
        <x:f>IF($P1536="","",INDEX(Tasks!$D$10:$D$1941,$P1536))</x:f>
        <x:v>FCM</x:v>
      </x:c>
      <x:c r="E1536" s="86"/>
      <x:c r="F1536" s="86" t="str">
        <x:f>IF($P1536="","",INDEX(Tasks!$E$10:$E$1941,$P1536))</x:f>
        <x:v>Design &amp; Insights</x:v>
      </x:c>
      <x:c r="G1536" s="86"/>
      <x:c r="H1536" s="14" t="str">
        <x:f>IF($P1536="","",INDEX(Tasks!$F$10:$F$1941,$P1536)&amp;CHAR(10)&amp;INDEX(Tasks!$G$10:$G$1941,$P1536))</x:f>
        <x:v>DI.FC.2.1
Meet regularly with Research to stay informed on progress, findings, and potential enhancement</x:v>
      </x:c>
      <x:c r="I1536" s="14"/>
      <x:c r="J1536" s="14"/>
      <x:c r="K1536" s="14"/>
      <x:c r="L1536" s="86" t="str">
        <x:f>IF($P1536="","",INDEX(Tasks!$N$10:$N$1941,$P1536))</x:f>
        <x:v>Not started</x:v>
      </x:c>
      <x:c r="M1536" s="87" t="n">
        <x:f>IF($P1536="","",INDEX(Tasks!$J$10:$J$1941,$P1536))</x:f>
        <x:v>46387</x:v>
      </x:c>
      <x:c r="N1536" s="85" t="str">
        <x:f>IF($P1536="","",HYPERLINK("#'"&amp;INDEX(Tasks!$T$10:$T$1941,$P1536)&amp;"'!A"&amp;INDEX(Tasks!$U$10:$U$1941,$P1536),"Open"))</x:f>
        <x:v>Open</x:v>
      </x:c>
      <x:c r="O1536" s="14"/>
      <x:c r="P1536" s="14" t="n">
        <x:f>IF(1515&gt;$B$10,"",MATCH(1515,Tasks!$S$10:$S$1941,0))</x:f>
        <x:v>1879</x:v>
      </x:c>
    </x:row>
    <x:row r="1537" ht="58" customHeight="1">
      <x:c r="B1537" s="86" t="str">
        <x:f>IF($P1537="","",INDEX(Tasks!$B$10:$B$1941,$P1537))</x:f>
        <x:v>Cycle 4</x:v>
      </x:c>
      <x:c r="C1537" s="86" t="str">
        <x:f>IF($P1537="","",INDEX(Tasks!$C$10:$C$1941,$P1537))</x:f>
        <x:v>Phase 2</x:v>
      </x:c>
      <x:c r="D1537" s="86" t="str">
        <x:f>IF($P1537="","",INDEX(Tasks!$D$10:$D$1941,$P1537))</x:f>
        <x:v>FCM</x:v>
      </x:c>
      <x:c r="E1537" s="86"/>
      <x:c r="F1537" s="86" t="str">
        <x:f>IF($P1537="","",INDEX(Tasks!$E$10:$E$1941,$P1537))</x:f>
        <x:v>Design &amp; Insights</x:v>
      </x:c>
      <x:c r="G1537" s="86"/>
      <x:c r="H1537" s="14" t="str">
        <x:f>IF($P1537="","",INDEX(Tasks!$F$10:$F$1941,$P1537)&amp;CHAR(10)&amp;INDEX(Tasks!$G$10:$G$1941,$P1537))</x:f>
        <x:v>DI.FC.2.2
Collaborate with Research on research plan specifics</x:v>
      </x:c>
      <x:c r="I1537" s="14"/>
      <x:c r="J1537" s="14"/>
      <x:c r="K1537" s="14"/>
      <x:c r="L1537" s="86" t="str">
        <x:f>IF($P1537="","",INDEX(Tasks!$N$10:$N$1941,$P1537))</x:f>
        <x:v>Not started</x:v>
      </x:c>
      <x:c r="M1537" s="87" t="n">
        <x:f>IF($P1537="","",INDEX(Tasks!$J$10:$J$1941,$P1537))</x:f>
        <x:v>46387</x:v>
      </x:c>
      <x:c r="N1537" s="85" t="str">
        <x:f>IF($P1537="","",HYPERLINK("#'"&amp;INDEX(Tasks!$T$10:$T$1941,$P1537)&amp;"'!A"&amp;INDEX(Tasks!$U$10:$U$1941,$P1537),"Open"))</x:f>
        <x:v>Open</x:v>
      </x:c>
      <x:c r="O1537" s="14"/>
      <x:c r="P1537" s="14" t="n">
        <x:f>IF(1516&gt;$B$10,"",MATCH(1516,Tasks!$S$10:$S$1941,0))</x:f>
        <x:v>1880</x:v>
      </x:c>
    </x:row>
    <x:row r="1538" ht="58" customHeight="1">
      <x:c r="B1538" s="86" t="str">
        <x:f>IF($P1538="","",INDEX(Tasks!$B$10:$B$1941,$P1538))</x:f>
        <x:v>Cycle 4</x:v>
      </x:c>
      <x:c r="C1538" s="86" t="str">
        <x:f>IF($P1538="","",INDEX(Tasks!$C$10:$C$1941,$P1538))</x:f>
        <x:v>Phase 2</x:v>
      </x:c>
      <x:c r="D1538" s="86" t="str">
        <x:f>IF($P1538="","",INDEX(Tasks!$D$10:$D$1941,$P1538))</x:f>
        <x:v>FCM</x:v>
      </x:c>
      <x:c r="E1538" s="86"/>
      <x:c r="F1538" s="86" t="str">
        <x:f>IF($P1538="","",INDEX(Tasks!$E$10:$E$1941,$P1538))</x:f>
        <x:v>Design &amp; Insights</x:v>
      </x:c>
      <x:c r="G1538" s="86"/>
      <x:c r="H1538" s="14" t="str">
        <x:f>IF($P1538="","",INDEX(Tasks!$F$10:$F$1941,$P1538)&amp;CHAR(10)&amp;INDEX(Tasks!$G$10:$G$1941,$P1538))</x:f>
        <x:v>DI.FC.2.3
Participate in SME insight meetings to gain perspective and appetite on potential enhancements</x:v>
      </x:c>
      <x:c r="I1538" s="14"/>
      <x:c r="J1538" s="14"/>
      <x:c r="K1538" s="14"/>
      <x:c r="L1538" s="86" t="str">
        <x:f>IF($P1538="","",INDEX(Tasks!$N$10:$N$1941,$P1538))</x:f>
        <x:v>Not started</x:v>
      </x:c>
      <x:c r="M1538" s="87" t="n">
        <x:f>IF($P1538="","",INDEX(Tasks!$J$10:$J$1941,$P1538))</x:f>
        <x:v>46387</x:v>
      </x:c>
      <x:c r="N1538" s="85" t="str">
        <x:f>IF($P1538="","",HYPERLINK("#'"&amp;INDEX(Tasks!$T$10:$T$1941,$P1538)&amp;"'!A"&amp;INDEX(Tasks!$U$10:$U$1941,$P1538),"Open"))</x:f>
        <x:v>Open</x:v>
      </x:c>
      <x:c r="O1538" s="14"/>
      <x:c r="P1538" s="14" t="n">
        <x:f>IF(1517&gt;$B$10,"",MATCH(1517,Tasks!$S$10:$S$1941,0))</x:f>
        <x:v>1881</x:v>
      </x:c>
    </x:row>
    <x:row r="1539" ht="58" customHeight="1">
      <x:c r="B1539" s="86" t="str">
        <x:f>IF($P1539="","",INDEX(Tasks!$B$10:$B$1941,$P1539))</x:f>
        <x:v>Cycle 4</x:v>
      </x:c>
      <x:c r="C1539" s="86" t="str">
        <x:f>IF($P1539="","",INDEX(Tasks!$C$10:$C$1941,$P1539))</x:f>
        <x:v>Phase 2</x:v>
      </x:c>
      <x:c r="D1539" s="86" t="str">
        <x:f>IF($P1539="","",INDEX(Tasks!$D$10:$D$1941,$P1539))</x:f>
        <x:v>FCM</x:v>
      </x:c>
      <x:c r="E1539" s="86"/>
      <x:c r="F1539" s="86" t="str">
        <x:f>IF($P1539="","",INDEX(Tasks!$E$10:$E$1941,$P1539))</x:f>
        <x:v>Design &amp; Insights</x:v>
      </x:c>
      <x:c r="G1539" s="86"/>
      <x:c r="H1539" s="14" t="str">
        <x:f>IF($P1539="","",INDEX(Tasks!$F$10:$F$1941,$P1539)&amp;CHAR(10)&amp;INDEX(Tasks!$G$10:$G$1941,$P1539))</x:f>
        <x:v>DI.FC.2.4
Begin development of presentation materials as Research is being completed</x:v>
      </x:c>
      <x:c r="I1539" s="14"/>
      <x:c r="J1539" s="14"/>
      <x:c r="K1539" s="14"/>
      <x:c r="L1539" s="86" t="str">
        <x:f>IF($P1539="","",INDEX(Tasks!$N$10:$N$1941,$P1539))</x:f>
        <x:v>Not started</x:v>
      </x:c>
      <x:c r="M1539" s="87" t="n">
        <x:f>IF($P1539="","",INDEX(Tasks!$J$10:$J$1941,$P1539))</x:f>
        <x:v>46387</x:v>
      </x:c>
      <x:c r="N1539" s="85" t="str">
        <x:f>IF($P1539="","",HYPERLINK("#'"&amp;INDEX(Tasks!$T$10:$T$1941,$P1539)&amp;"'!A"&amp;INDEX(Tasks!$U$10:$U$1941,$P1539),"Open"))</x:f>
        <x:v>Open</x:v>
      </x:c>
      <x:c r="O1539" s="14"/>
      <x:c r="P1539" s="14" t="n">
        <x:f>IF(1518&gt;$B$10,"",MATCH(1518,Tasks!$S$10:$S$1941,0))</x:f>
        <x:v>1882</x:v>
      </x:c>
    </x:row>
    <x:row r="1540" ht="58" customHeight="1">
      <x:c r="B1540" s="86" t="str">
        <x:f>IF($P1540="","",INDEX(Tasks!$B$10:$B$1941,$P1540))</x:f>
        <x:v>Cycle 4</x:v>
      </x:c>
      <x:c r="C1540" s="86" t="str">
        <x:f>IF($P1540="","",INDEX(Tasks!$C$10:$C$1941,$P1540))</x:f>
        <x:v>Phase 2</x:v>
      </x:c>
      <x:c r="D1540" s="86" t="str">
        <x:f>IF($P1540="","",INDEX(Tasks!$D$10:$D$1941,$P1540))</x:f>
        <x:v>FCM</x:v>
      </x:c>
      <x:c r="E1540" s="86"/>
      <x:c r="F1540" s="86" t="str">
        <x:f>IF($P1540="","",INDEX(Tasks!$E$10:$E$1941,$P1540))</x:f>
        <x:v>Design &amp; Insights</x:v>
      </x:c>
      <x:c r="G1540" s="86"/>
      <x:c r="H1540" s="14" t="str">
        <x:f>IF($P1540="","",INDEX(Tasks!$F$10:$F$1941,$P1540)&amp;CHAR(10)&amp;INDEX(Tasks!$G$10:$G$1941,$P1540))</x:f>
        <x:v>DI.FC.2.5
Draft initial enhancement recommendations (as applicable)</x:v>
      </x:c>
      <x:c r="I1540" s="14"/>
      <x:c r="J1540" s="14"/>
      <x:c r="K1540" s="14"/>
      <x:c r="L1540" s="86" t="str">
        <x:f>IF($P1540="","",INDEX(Tasks!$N$10:$N$1941,$P1540))</x:f>
        <x:v>Not started</x:v>
      </x:c>
      <x:c r="M1540" s="87" t="n">
        <x:f>IF($P1540="","",INDEX(Tasks!$J$10:$J$1941,$P1540))</x:f>
        <x:v>46387</x:v>
      </x:c>
      <x:c r="N1540" s="85" t="str">
        <x:f>IF($P1540="","",HYPERLINK("#'"&amp;INDEX(Tasks!$T$10:$T$1941,$P1540)&amp;"'!A"&amp;INDEX(Tasks!$U$10:$U$1941,$P1540),"Open"))</x:f>
        <x:v>Open</x:v>
      </x:c>
      <x:c r="O1540" s="14"/>
      <x:c r="P1540" s="14" t="n">
        <x:f>IF(1519&gt;$B$10,"",MATCH(1519,Tasks!$S$10:$S$1941,0))</x:f>
        <x:v>1883</x:v>
      </x:c>
    </x:row>
    <x:row r="1541" ht="58" customHeight="1">
      <x:c r="B1541" s="86" t="str">
        <x:f>IF($P1541="","",INDEX(Tasks!$B$10:$B$1941,$P1541))</x:f>
        <x:v>Cycle 4</x:v>
      </x:c>
      <x:c r="C1541" s="86" t="str">
        <x:f>IF($P1541="","",INDEX(Tasks!$C$10:$C$1941,$P1541))</x:f>
        <x:v>Phase 2</x:v>
      </x:c>
      <x:c r="D1541" s="86" t="str">
        <x:f>IF($P1541="","",INDEX(Tasks!$D$10:$D$1941,$P1541))</x:f>
        <x:v>FCM</x:v>
      </x:c>
      <x:c r="E1541" s="86"/>
      <x:c r="F1541" s="86" t="str">
        <x:f>IF($P1541="","",INDEX(Tasks!$E$10:$E$1941,$P1541))</x:f>
        <x:v>Design &amp; Insights</x:v>
      </x:c>
      <x:c r="G1541" s="86"/>
      <x:c r="H1541" s="14" t="str">
        <x:f>IF($P1541="","",INDEX(Tasks!$F$10:$F$1941,$P1541)&amp;CHAR(10)&amp;INDEX(Tasks!$G$10:$G$1941,$P1541))</x:f>
        <x:v>DI.FC.2.6
Finalize presentation deck draft at conclusion of Research phase</x:v>
      </x:c>
      <x:c r="I1541" s="14"/>
      <x:c r="J1541" s="14"/>
      <x:c r="K1541" s="14"/>
      <x:c r="L1541" s="86" t="str">
        <x:f>IF($P1541="","",INDEX(Tasks!$N$10:$N$1941,$P1541))</x:f>
        <x:v>Not started</x:v>
      </x:c>
      <x:c r="M1541" s="87" t="n">
        <x:f>IF($P1541="","",INDEX(Tasks!$J$10:$J$1941,$P1541))</x:f>
        <x:v>46387</x:v>
      </x:c>
      <x:c r="N1541" s="85" t="str">
        <x:f>IF($P1541="","",HYPERLINK("#'"&amp;INDEX(Tasks!$T$10:$T$1941,$P1541)&amp;"'!A"&amp;INDEX(Tasks!$U$10:$U$1941,$P1541),"Open"))</x:f>
        <x:v>Open</x:v>
      </x:c>
      <x:c r="O1541" s="14"/>
      <x:c r="P1541" s="14" t="n">
        <x:f>IF(1520&gt;$B$10,"",MATCH(1520,Tasks!$S$10:$S$1941,0))</x:f>
        <x:v>1884</x:v>
      </x:c>
    </x:row>
    <x:row r="1542" ht="58" customHeight="1">
      <x:c r="B1542" s="86" t="str">
        <x:f>IF($P1542="","",INDEX(Tasks!$B$10:$B$1941,$P1542))</x:f>
        <x:v>Cycle 4</x:v>
      </x:c>
      <x:c r="C1542" s="86" t="str">
        <x:f>IF($P1542="","",INDEX(Tasks!$C$10:$C$1941,$P1542))</x:f>
        <x:v>Phase 2</x:v>
      </x:c>
      <x:c r="D1542" s="86" t="str">
        <x:f>IF($P1542="","",INDEX(Tasks!$D$10:$D$1941,$P1542))</x:f>
        <x:v>FCM</x:v>
      </x:c>
      <x:c r="E1542" s="86"/>
      <x:c r="F1542" s="86" t="str">
        <x:f>IF($P1542="","",INDEX(Tasks!$E$10:$E$1941,$P1542))</x:f>
        <x:v>Design &amp; Insights</x:v>
      </x:c>
      <x:c r="G1542" s="86"/>
      <x:c r="H1542" s="14" t="str">
        <x:f>IF($P1542="","",INDEX(Tasks!$F$10:$F$1941,$P1542)&amp;CHAR(10)&amp;INDEX(Tasks!$G$10:$G$1941,$P1542))</x:f>
        <x:v>DI.FC.2.7
Update Outcome portion of research plan with current enhancement verbiage (as needed)</x:v>
      </x:c>
      <x:c r="I1542" s="14"/>
      <x:c r="J1542" s="14"/>
      <x:c r="K1542" s="14"/>
      <x:c r="L1542" s="86" t="str">
        <x:f>IF($P1542="","",INDEX(Tasks!$N$10:$N$1941,$P1542))</x:f>
        <x:v>Not started</x:v>
      </x:c>
      <x:c r="M1542" s="87" t="n">
        <x:f>IF($P1542="","",INDEX(Tasks!$J$10:$J$1941,$P1542))</x:f>
        <x:v>46387</x:v>
      </x:c>
      <x:c r="N1542" s="85" t="str">
        <x:f>IF($P1542="","",HYPERLINK("#'"&amp;INDEX(Tasks!$T$10:$T$1941,$P1542)&amp;"'!A"&amp;INDEX(Tasks!$U$10:$U$1941,$P1542),"Open"))</x:f>
        <x:v>Open</x:v>
      </x:c>
      <x:c r="O1542" s="14"/>
      <x:c r="P1542" s="14" t="n">
        <x:f>IF(1521&gt;$B$10,"",MATCH(1521,Tasks!$S$10:$S$1941,0))</x:f>
        <x:v>1885</x:v>
      </x:c>
    </x:row>
    <x:row r="1543" ht="58" customHeight="1">
      <x:c r="B1543" s="86" t="str">
        <x:f>IF($P1543="","",INDEX(Tasks!$B$10:$B$1941,$P1543))</x:f>
        <x:v>Cycle 4</x:v>
      </x:c>
      <x:c r="C1543" s="86" t="str">
        <x:f>IF($P1543="","",INDEX(Tasks!$C$10:$C$1941,$P1543))</x:f>
        <x:v>Phase 3</x:v>
      </x:c>
      <x:c r="D1543" s="86" t="str">
        <x:f>IF($P1543="","",INDEX(Tasks!$D$10:$D$1941,$P1543))</x:f>
        <x:v>FCM</x:v>
      </x:c>
      <x:c r="E1543" s="86"/>
      <x:c r="F1543" s="86" t="str">
        <x:f>IF($P1543="","",INDEX(Tasks!$E$10:$E$1941,$P1543))</x:f>
        <x:v>Design &amp; Insights</x:v>
      </x:c>
      <x:c r="G1543" s="86"/>
      <x:c r="H1543" s="14" t="str">
        <x:f>IF($P1543="","",INDEX(Tasks!$F$10:$F$1941,$P1543)&amp;CHAR(10)&amp;INDEX(Tasks!$G$10:$G$1941,$P1543))</x:f>
        <x:v>DI.FC.3.1
Confirm list of required &amp; optional attendees for pre-socialization meeting</x:v>
      </x:c>
      <x:c r="I1543" s="14"/>
      <x:c r="J1543" s="14"/>
      <x:c r="K1543" s="14"/>
      <x:c r="L1543" s="86" t="str">
        <x:f>IF($P1543="","",INDEX(Tasks!$N$10:$N$1941,$P1543))</x:f>
        <x:v>Not started</x:v>
      </x:c>
      <x:c r="M1543" s="87" t="n">
        <x:f>IF($P1543="","",INDEX(Tasks!$J$10:$J$1941,$P1543))</x:f>
        <x:v>46387</x:v>
      </x:c>
      <x:c r="N1543" s="85" t="str">
        <x:f>IF($P1543="","",HYPERLINK("#'"&amp;INDEX(Tasks!$T$10:$T$1941,$P1543)&amp;"'!A"&amp;INDEX(Tasks!$U$10:$U$1941,$P1543),"Open"))</x:f>
        <x:v>Open</x:v>
      </x:c>
      <x:c r="O1543" s="14"/>
      <x:c r="P1543" s="14" t="n">
        <x:f>IF(1522&gt;$B$10,"",MATCH(1522,Tasks!$S$10:$S$1941,0))</x:f>
        <x:v>1886</x:v>
      </x:c>
    </x:row>
    <x:row r="1544" ht="58" customHeight="1">
      <x:c r="B1544" s="86" t="str">
        <x:f>IF($P1544="","",INDEX(Tasks!$B$10:$B$1941,$P1544))</x:f>
        <x:v>Cycle 4</x:v>
      </x:c>
      <x:c r="C1544" s="86" t="str">
        <x:f>IF($P1544="","",INDEX(Tasks!$C$10:$C$1941,$P1544))</x:f>
        <x:v>Phase 3</x:v>
      </x:c>
      <x:c r="D1544" s="86" t="str">
        <x:f>IF($P1544="","",INDEX(Tasks!$D$10:$D$1941,$P1544))</x:f>
        <x:v>FCM</x:v>
      </x:c>
      <x:c r="E1544" s="86"/>
      <x:c r="F1544" s="86" t="str">
        <x:f>IF($P1544="","",INDEX(Tasks!$E$10:$E$1941,$P1544))</x:f>
        <x:v>Design &amp; Insights</x:v>
      </x:c>
      <x:c r="G1544" s="86"/>
      <x:c r="H1544" s="14" t="str">
        <x:f>IF($P1544="","",INDEX(Tasks!$F$10:$F$1941,$P1544)&amp;CHAR(10)&amp;INDEX(Tasks!$G$10:$G$1941,$P1544))</x:f>
        <x:v>DI.FC.3.2
Schedule pre-socialization meeting 1 week prior to RCA Forum</x:v>
      </x:c>
      <x:c r="I1544" s="14"/>
      <x:c r="J1544" s="14"/>
      <x:c r="K1544" s="14"/>
      <x:c r="L1544" s="86" t="str">
        <x:f>IF($P1544="","",INDEX(Tasks!$N$10:$N$1941,$P1544))</x:f>
        <x:v>Not started</x:v>
      </x:c>
      <x:c r="M1544" s="87" t="str">
        <x:f>IF($P1544="","",INDEX(Tasks!$J$10:$J$1941,$P1544))</x:f>
      </x:c>
      <x:c r="N1544" s="85" t="str">
        <x:f>IF($P1544="","",HYPERLINK("#'"&amp;INDEX(Tasks!$T$10:$T$1941,$P1544)&amp;"'!A"&amp;INDEX(Tasks!$U$10:$U$1941,$P1544),"Open"))</x:f>
        <x:v>Open</x:v>
      </x:c>
      <x:c r="O1544" s="14"/>
      <x:c r="P1544" s="14" t="n">
        <x:f>IF(1523&gt;$B$10,"",MATCH(1523,Tasks!$S$10:$S$1941,0))</x:f>
        <x:v>1887</x:v>
      </x:c>
    </x:row>
    <x:row r="1545" ht="58" customHeight="1">
      <x:c r="B1545" s="86" t="str">
        <x:f>IF($P1545="","",INDEX(Tasks!$B$10:$B$1941,$P1545))</x:f>
        <x:v>Cycle 4</x:v>
      </x:c>
      <x:c r="C1545" s="86" t="str">
        <x:f>IF($P1545="","",INDEX(Tasks!$C$10:$C$1941,$P1545))</x:f>
        <x:v>Phase 3</x:v>
      </x:c>
      <x:c r="D1545" s="86" t="str">
        <x:f>IF($P1545="","",INDEX(Tasks!$D$10:$D$1941,$P1545))</x:f>
        <x:v>FCM</x:v>
      </x:c>
      <x:c r="E1545" s="86"/>
      <x:c r="F1545" s="86" t="str">
        <x:f>IF($P1545="","",INDEX(Tasks!$E$10:$E$1941,$P1545))</x:f>
        <x:v>Design &amp; Insights</x:v>
      </x:c>
      <x:c r="G1545" s="86"/>
      <x:c r="H1545" s="14" t="str">
        <x:f>IF($P1545="","",INDEX(Tasks!$F$10:$F$1941,$P1545)&amp;CHAR(10)&amp;INDEX(Tasks!$G$10:$G$1941,$P1545))</x:f>
        <x:v>DI.FC.3.3
Present findings, conclusions, and recommendation to SMEs</x:v>
      </x:c>
      <x:c r="I1545" s="14"/>
      <x:c r="J1545" s="14"/>
      <x:c r="K1545" s="14"/>
      <x:c r="L1545" s="86" t="str">
        <x:f>IF($P1545="","",INDEX(Tasks!$N$10:$N$1941,$P1545))</x:f>
        <x:v>Not started</x:v>
      </x:c>
      <x:c r="M1545" s="87" t="n">
        <x:f>IF($P1545="","",INDEX(Tasks!$J$10:$J$1941,$P1545))</x:f>
        <x:v>46387</x:v>
      </x:c>
      <x:c r="N1545" s="85" t="str">
        <x:f>IF($P1545="","",HYPERLINK("#'"&amp;INDEX(Tasks!$T$10:$T$1941,$P1545)&amp;"'!A"&amp;INDEX(Tasks!$U$10:$U$1941,$P1545),"Open"))</x:f>
        <x:v>Open</x:v>
      </x:c>
      <x:c r="O1545" s="14"/>
      <x:c r="P1545" s="14" t="n">
        <x:f>IF(1524&gt;$B$10,"",MATCH(1524,Tasks!$S$10:$S$1941,0))</x:f>
        <x:v>1888</x:v>
      </x:c>
    </x:row>
    <x:row r="1546" ht="58" customHeight="1">
      <x:c r="B1546" s="86" t="str">
        <x:f>IF($P1546="","",INDEX(Tasks!$B$10:$B$1941,$P1546))</x:f>
        <x:v>Cycle 4</x:v>
      </x:c>
      <x:c r="C1546" s="86" t="str">
        <x:f>IF($P1546="","",INDEX(Tasks!$C$10:$C$1941,$P1546))</x:f>
        <x:v>Phase 3</x:v>
      </x:c>
      <x:c r="D1546" s="86" t="str">
        <x:f>IF($P1546="","",INDEX(Tasks!$D$10:$D$1941,$P1546))</x:f>
        <x:v>FCM</x:v>
      </x:c>
      <x:c r="E1546" s="86"/>
      <x:c r="F1546" s="86" t="str">
        <x:f>IF($P1546="","",INDEX(Tasks!$E$10:$E$1941,$P1546))</x:f>
        <x:v>Design &amp; Insights</x:v>
      </x:c>
      <x:c r="G1546" s="86"/>
      <x:c r="H1546" s="14" t="str">
        <x:f>IF($P1546="","",INDEX(Tasks!$F$10:$F$1941,$P1546)&amp;CHAR(10)&amp;INDEX(Tasks!$G$10:$G$1941,$P1546))</x:f>
        <x:v>DI.FC.3.4
Update Outcome portion of research plan (as needed)</x:v>
      </x:c>
      <x:c r="I1546" s="14"/>
      <x:c r="J1546" s="14"/>
      <x:c r="K1546" s="14"/>
      <x:c r="L1546" s="86" t="str">
        <x:f>IF($P1546="","",INDEX(Tasks!$N$10:$N$1941,$P1546))</x:f>
        <x:v>Not started</x:v>
      </x:c>
      <x:c r="M1546" s="87" t="n">
        <x:f>IF($P1546="","",INDEX(Tasks!$J$10:$J$1941,$P1546))</x:f>
        <x:v>46387</x:v>
      </x:c>
      <x:c r="N1546" s="85" t="str">
        <x:f>IF($P1546="","",HYPERLINK("#'"&amp;INDEX(Tasks!$T$10:$T$1941,$P1546)&amp;"'!A"&amp;INDEX(Tasks!$U$10:$U$1941,$P1546),"Open"))</x:f>
        <x:v>Open</x:v>
      </x:c>
      <x:c r="O1546" s="14"/>
      <x:c r="P1546" s="14" t="n">
        <x:f>IF(1525&gt;$B$10,"",MATCH(1525,Tasks!$S$10:$S$1941,0))</x:f>
        <x:v>1889</x:v>
      </x:c>
    </x:row>
    <x:row r="1547" ht="58" customHeight="1">
      <x:c r="B1547" s="86" t="str">
        <x:f>IF($P1547="","",INDEX(Tasks!$B$10:$B$1941,$P1547))</x:f>
        <x:v>Cycle 4</x:v>
      </x:c>
      <x:c r="C1547" s="86" t="str">
        <x:f>IF($P1547="","",INDEX(Tasks!$C$10:$C$1941,$P1547))</x:f>
        <x:v>Phase 3</x:v>
      </x:c>
      <x:c r="D1547" s="86" t="str">
        <x:f>IF($P1547="","",INDEX(Tasks!$D$10:$D$1941,$P1547))</x:f>
        <x:v>FCM</x:v>
      </x:c>
      <x:c r="E1547" s="86"/>
      <x:c r="F1547" s="86" t="str">
        <x:f>IF($P1547="","",INDEX(Tasks!$E$10:$E$1941,$P1547))</x:f>
        <x:v>Design &amp; Insights</x:v>
      </x:c>
      <x:c r="G1547" s="86"/>
      <x:c r="H1547" s="14" t="str">
        <x:f>IF($P1547="","",INDEX(Tasks!$F$10:$F$1941,$P1547)&amp;CHAR(10)&amp;INDEX(Tasks!$G$10:$G$1941,$P1547))</x:f>
        <x:v>DI.FC.3.5
Finalize presentation deck by incorporating pre-socialization feedback (as needed)</x:v>
      </x:c>
      <x:c r="I1547" s="14"/>
      <x:c r="J1547" s="14"/>
      <x:c r="K1547" s="14"/>
      <x:c r="L1547" s="86" t="str">
        <x:f>IF($P1547="","",INDEX(Tasks!$N$10:$N$1941,$P1547))</x:f>
        <x:v>Not started</x:v>
      </x:c>
      <x:c r="M1547" s="87" t="n">
        <x:f>IF($P1547="","",INDEX(Tasks!$J$10:$J$1941,$P1547))</x:f>
        <x:v>46387</x:v>
      </x:c>
      <x:c r="N1547" s="85" t="str">
        <x:f>IF($P1547="","",HYPERLINK("#'"&amp;INDEX(Tasks!$T$10:$T$1941,$P1547)&amp;"'!A"&amp;INDEX(Tasks!$U$10:$U$1941,$P1547),"Open"))</x:f>
        <x:v>Open</x:v>
      </x:c>
      <x:c r="O1547" s="14"/>
      <x:c r="P1547" s="14" t="n">
        <x:f>IF(1526&gt;$B$10,"",MATCH(1526,Tasks!$S$10:$S$1941,0))</x:f>
        <x:v>1890</x:v>
      </x:c>
    </x:row>
    <x:row r="1548" ht="58" customHeight="1">
      <x:c r="B1548" s="86" t="str">
        <x:f>IF($P1548="","",INDEX(Tasks!$B$10:$B$1941,$P1548))</x:f>
        <x:v>Cycle 4</x:v>
      </x:c>
      <x:c r="C1548" s="86" t="str">
        <x:f>IF($P1548="","",INDEX(Tasks!$C$10:$C$1941,$P1548))</x:f>
        <x:v>Phase 3</x:v>
      </x:c>
      <x:c r="D1548" s="86" t="str">
        <x:f>IF($P1548="","",INDEX(Tasks!$D$10:$D$1941,$P1548))</x:f>
        <x:v>FCM</x:v>
      </x:c>
      <x:c r="E1548" s="86"/>
      <x:c r="F1548" s="86" t="str">
        <x:f>IF($P1548="","",INDEX(Tasks!$E$10:$E$1941,$P1548))</x:f>
        <x:v>Design &amp; Insights</x:v>
      </x:c>
      <x:c r="G1548" s="86"/>
      <x:c r="H1548" s="14" t="str">
        <x:f>IF($P1548="","",INDEX(Tasks!$F$10:$F$1941,$P1548)&amp;CHAR(10)&amp;INDEX(Tasks!$G$10:$G$1941,$P1548))</x:f>
        <x:v>DI.FC.3.6
Ensure final deck is communicated to Forum attendees</x:v>
      </x:c>
      <x:c r="I1548" s="14"/>
      <x:c r="J1548" s="14"/>
      <x:c r="K1548" s="14"/>
      <x:c r="L1548" s="86" t="str">
        <x:f>IF($P1548="","",INDEX(Tasks!$N$10:$N$1941,$P1548))</x:f>
        <x:v>Not started</x:v>
      </x:c>
      <x:c r="M1548" s="87" t="n">
        <x:f>IF($P1548="","",INDEX(Tasks!$J$10:$J$1941,$P1548))</x:f>
        <x:v>46387</x:v>
      </x:c>
      <x:c r="N1548" s="85" t="str">
        <x:f>IF($P1548="","",HYPERLINK("#'"&amp;INDEX(Tasks!$T$10:$T$1941,$P1548)&amp;"'!A"&amp;INDEX(Tasks!$U$10:$U$1941,$P1548),"Open"))</x:f>
        <x:v>Open</x:v>
      </x:c>
      <x:c r="O1548" s="14"/>
      <x:c r="P1548" s="14" t="n">
        <x:f>IF(1527&gt;$B$10,"",MATCH(1527,Tasks!$S$10:$S$1941,0))</x:f>
        <x:v>1891</x:v>
      </x:c>
    </x:row>
    <x:row r="1549" ht="58" customHeight="1">
      <x:c r="B1549" s="86" t="str">
        <x:f>IF($P1549="","",INDEX(Tasks!$B$10:$B$1941,$P1549))</x:f>
        <x:v>Cycle 4</x:v>
      </x:c>
      <x:c r="C1549" s="86" t="str">
        <x:f>IF($P1549="","",INDEX(Tasks!$C$10:$C$1941,$P1549))</x:f>
        <x:v>Phase 3</x:v>
      </x:c>
      <x:c r="D1549" s="86" t="str">
        <x:f>IF($P1549="","",INDEX(Tasks!$D$10:$D$1941,$P1549))</x:f>
        <x:v>FCM</x:v>
      </x:c>
      <x:c r="E1549" s="86"/>
      <x:c r="F1549" s="86" t="str">
        <x:f>IF($P1549="","",INDEX(Tasks!$E$10:$E$1941,$P1549))</x:f>
        <x:v>Design &amp; Insights</x:v>
      </x:c>
      <x:c r="G1549" s="86"/>
      <x:c r="H1549" s="14" t="str">
        <x:f>IF($P1549="","",INDEX(Tasks!$F$10:$F$1941,$P1549)&amp;CHAR(10)&amp;INDEX(Tasks!$G$10:$G$1941,$P1549))</x:f>
        <x:v>DI.FC.3.7
Present material in RCA Cycle Forum</x:v>
      </x:c>
      <x:c r="I1549" s="14"/>
      <x:c r="J1549" s="14"/>
      <x:c r="K1549" s="14"/>
      <x:c r="L1549" s="86" t="str">
        <x:f>IF($P1549="","",INDEX(Tasks!$N$10:$N$1941,$P1549))</x:f>
        <x:v>Not started</x:v>
      </x:c>
      <x:c r="M1549" s="87" t="str">
        <x:f>IF($P1549="","",INDEX(Tasks!$J$10:$J$1941,$P1549))</x:f>
      </x:c>
      <x:c r="N1549" s="85" t="str">
        <x:f>IF($P1549="","",HYPERLINK("#'"&amp;INDEX(Tasks!$T$10:$T$1941,$P1549)&amp;"'!A"&amp;INDEX(Tasks!$U$10:$U$1941,$P1549),"Open"))</x:f>
        <x:v>Open</x:v>
      </x:c>
      <x:c r="O1549" s="14"/>
      <x:c r="P1549" s="14" t="n">
        <x:f>IF(1528&gt;$B$10,"",MATCH(1528,Tasks!$S$10:$S$1941,0))</x:f>
        <x:v>1892</x:v>
      </x:c>
    </x:row>
    <x:row r="1550" ht="58" customHeight="1">
      <x:c r="B1550" s="86" t="str">
        <x:f>IF($P1550="","",INDEX(Tasks!$B$10:$B$1941,$P1550))</x:f>
        <x:v>Cycle 4</x:v>
      </x:c>
      <x:c r="C1550" s="86" t="str">
        <x:f>IF($P1550="","",INDEX(Tasks!$C$10:$C$1941,$P1550))</x:f>
        <x:v>Phase 1</x:v>
      </x:c>
      <x:c r="D1550" s="86" t="str">
        <x:f>IF($P1550="","",INDEX(Tasks!$D$10:$D$1941,$P1550))</x:f>
        <x:v>PLL</x:v>
      </x:c>
      <x:c r="E1550" s="86"/>
      <x:c r="F1550" s="86" t="str">
        <x:f>IF($P1550="","",INDEX(Tasks!$E$10:$E$1941,$P1550))</x:f>
        <x:v>Design &amp; Insights</x:v>
      </x:c>
      <x:c r="G1550" s="86"/>
      <x:c r="H1550" s="14" t="str">
        <x:f>IF($P1550="","",INDEX(Tasks!$F$10:$F$1941,$P1550)&amp;CHAR(10)&amp;INDEX(Tasks!$G$10:$G$1941,$P1550))</x:f>
        <x:v>DI.PL.1.1
Receive and review potential research topics at least 2 weeks prior to Cycle start date</x:v>
      </x:c>
      <x:c r="I1550" s="14"/>
      <x:c r="J1550" s="14"/>
      <x:c r="K1550" s="14"/>
      <x:c r="L1550" s="86" t="str">
        <x:f>IF($P1550="","",INDEX(Tasks!$N$10:$N$1941,$P1550))</x:f>
        <x:v>Not started</x:v>
      </x:c>
      <x:c r="M1550" s="87" t="n">
        <x:f>IF($P1550="","",INDEX(Tasks!$J$10:$J$1941,$P1550))</x:f>
        <x:v>46282</x:v>
      </x:c>
      <x:c r="N1550" s="85" t="str">
        <x:f>IF($P1550="","",HYPERLINK("#'"&amp;INDEX(Tasks!$T$10:$T$1941,$P1550)&amp;"'!A"&amp;INDEX(Tasks!$U$10:$U$1941,$P1550),"Open"))</x:f>
        <x:v>Open</x:v>
      </x:c>
      <x:c r="O1550" s="14"/>
      <x:c r="P1550" s="14" t="n">
        <x:f>IF(1529&gt;$B$10,"",MATCH(1529,Tasks!$S$10:$S$1941,0))</x:f>
        <x:v>1893</x:v>
      </x:c>
    </x:row>
    <x:row r="1551" ht="58" customHeight="1">
      <x:c r="B1551" s="86" t="str">
        <x:f>IF($P1551="","",INDEX(Tasks!$B$10:$B$1941,$P1551))</x:f>
        <x:v>Cycle 4</x:v>
      </x:c>
      <x:c r="C1551" s="86" t="str">
        <x:f>IF($P1551="","",INDEX(Tasks!$C$10:$C$1941,$P1551))</x:f>
        <x:v>Phase 1</x:v>
      </x:c>
      <x:c r="D1551" s="86" t="str">
        <x:f>IF($P1551="","",INDEX(Tasks!$D$10:$D$1941,$P1551))</x:f>
        <x:v>PLL</x:v>
      </x:c>
      <x:c r="E1551" s="86"/>
      <x:c r="F1551" s="86" t="str">
        <x:f>IF($P1551="","",INDEX(Tasks!$E$10:$E$1941,$P1551))</x:f>
        <x:v>Design &amp; Insights</x:v>
      </x:c>
      <x:c r="G1551" s="86"/>
      <x:c r="H1551" s="14" t="str">
        <x:f>IF($P1551="","",INDEX(Tasks!$F$10:$F$1941,$P1551)&amp;CHAR(10)&amp;INDEX(Tasks!$G$10:$G$1941,$P1551))</x:f>
        <x:v>DI.PL.1.2
Communicate any feedback on preferences or concerns with topics identified</x:v>
      </x:c>
      <x:c r="I1551" s="14"/>
      <x:c r="J1551" s="14"/>
      <x:c r="K1551" s="14"/>
      <x:c r="L1551" s="86" t="str">
        <x:f>IF($P1551="","",INDEX(Tasks!$N$10:$N$1941,$P1551))</x:f>
        <x:v>Not started</x:v>
      </x:c>
      <x:c r="M1551" s="87" t="n">
        <x:f>IF($P1551="","",INDEX(Tasks!$J$10:$J$1941,$P1551))</x:f>
        <x:v>46387</x:v>
      </x:c>
      <x:c r="N1551" s="85" t="str">
        <x:f>IF($P1551="","",HYPERLINK("#'"&amp;INDEX(Tasks!$T$10:$T$1941,$P1551)&amp;"'!A"&amp;INDEX(Tasks!$U$10:$U$1941,$P1551),"Open"))</x:f>
        <x:v>Open</x:v>
      </x:c>
      <x:c r="O1551" s="14"/>
      <x:c r="P1551" s="14" t="n">
        <x:f>IF(1530&gt;$B$10,"",MATCH(1530,Tasks!$S$10:$S$1941,0))</x:f>
        <x:v>1894</x:v>
      </x:c>
    </x:row>
    <x:row r="1552" ht="58" customHeight="1">
      <x:c r="B1552" s="86" t="str">
        <x:f>IF($P1552="","",INDEX(Tasks!$B$10:$B$1941,$P1552))</x:f>
        <x:v>Cycle 4</x:v>
      </x:c>
      <x:c r="C1552" s="86" t="str">
        <x:f>IF($P1552="","",INDEX(Tasks!$C$10:$C$1941,$P1552))</x:f>
        <x:v>Phase 1</x:v>
      </x:c>
      <x:c r="D1552" s="86" t="str">
        <x:f>IF($P1552="","",INDEX(Tasks!$D$10:$D$1941,$P1552))</x:f>
        <x:v>PLL</x:v>
      </x:c>
      <x:c r="E1552" s="86"/>
      <x:c r="F1552" s="86" t="str">
        <x:f>IF($P1552="","",INDEX(Tasks!$E$10:$E$1941,$P1552))</x:f>
        <x:v>Design &amp; Insights</x:v>
      </x:c>
      <x:c r="G1552" s="86"/>
      <x:c r="H1552" s="14" t="str">
        <x:f>IF($P1552="","",INDEX(Tasks!$F$10:$F$1941,$P1552)&amp;CHAR(10)&amp;INDEX(Tasks!$G$10:$G$1941,$P1552))</x:f>
        <x:v>DI.PL.1.3
Conduct high-level preliminary review of complaints within proposed topics</x:v>
      </x:c>
      <x:c r="I1552" s="14"/>
      <x:c r="J1552" s="14"/>
      <x:c r="K1552" s="14"/>
      <x:c r="L1552" s="86" t="str">
        <x:f>IF($P1552="","",INDEX(Tasks!$N$10:$N$1941,$P1552))</x:f>
        <x:v>Not started</x:v>
      </x:c>
      <x:c r="M1552" s="87" t="n">
        <x:f>IF($P1552="","",INDEX(Tasks!$J$10:$J$1941,$P1552))</x:f>
        <x:v>46387</x:v>
      </x:c>
      <x:c r="N1552" s="85" t="str">
        <x:f>IF($P1552="","",HYPERLINK("#'"&amp;INDEX(Tasks!$T$10:$T$1941,$P1552)&amp;"'!A"&amp;INDEX(Tasks!$U$10:$U$1941,$P1552),"Open"))</x:f>
        <x:v>Open</x:v>
      </x:c>
      <x:c r="O1552" s="14"/>
      <x:c r="P1552" s="14" t="n">
        <x:f>IF(1531&gt;$B$10,"",MATCH(1531,Tasks!$S$10:$S$1941,0))</x:f>
        <x:v>1895</x:v>
      </x:c>
    </x:row>
    <x:row r="1553" ht="58" customHeight="1">
      <x:c r="B1553" s="86" t="str">
        <x:f>IF($P1553="","",INDEX(Tasks!$B$10:$B$1941,$P1553))</x:f>
        <x:v>Cycle 4</x:v>
      </x:c>
      <x:c r="C1553" s="86" t="str">
        <x:f>IF($P1553="","",INDEX(Tasks!$C$10:$C$1941,$P1553))</x:f>
        <x:v>Phase 1</x:v>
      </x:c>
      <x:c r="D1553" s="86" t="str">
        <x:f>IF($P1553="","",INDEX(Tasks!$D$10:$D$1941,$P1553))</x:f>
        <x:v>PLL</x:v>
      </x:c>
      <x:c r="E1553" s="86"/>
      <x:c r="F1553" s="86" t="str">
        <x:f>IF($P1553="","",INDEX(Tasks!$E$10:$E$1941,$P1553))</x:f>
        <x:v>Design &amp; Insights</x:v>
      </x:c>
      <x:c r="G1553" s="86"/>
      <x:c r="H1553" s="14" t="str">
        <x:f>IF($P1553="","",INDEX(Tasks!$F$10:$F$1941,$P1553)&amp;CHAR(10)&amp;INDEX(Tasks!$G$10:$G$1941,$P1553))</x:f>
        <x:v>DI.PL.1.4
Meet with Research to discuss which topic to select based on potential impact</x:v>
      </x:c>
      <x:c r="I1553" s="14"/>
      <x:c r="J1553" s="14"/>
      <x:c r="K1553" s="14"/>
      <x:c r="L1553" s="86" t="str">
        <x:f>IF($P1553="","",INDEX(Tasks!$N$10:$N$1941,$P1553))</x:f>
        <x:v>Not started</x:v>
      </x:c>
      <x:c r="M1553" s="87" t="n">
        <x:f>IF($P1553="","",INDEX(Tasks!$J$10:$J$1941,$P1553))</x:f>
        <x:v>46387</x:v>
      </x:c>
      <x:c r="N1553" s="85" t="str">
        <x:f>IF($P1553="","",HYPERLINK("#'"&amp;INDEX(Tasks!$T$10:$T$1941,$P1553)&amp;"'!A"&amp;INDEX(Tasks!$U$10:$U$1941,$P1553),"Open"))</x:f>
        <x:v>Open</x:v>
      </x:c>
      <x:c r="O1553" s="14"/>
      <x:c r="P1553" s="14" t="n">
        <x:f>IF(1532&gt;$B$10,"",MATCH(1532,Tasks!$S$10:$S$1941,0))</x:f>
        <x:v>1896</x:v>
      </x:c>
    </x:row>
    <x:row r="1554" ht="58" customHeight="1">
      <x:c r="B1554" s="86" t="str">
        <x:f>IF($P1554="","",INDEX(Tasks!$B$10:$B$1941,$P1554))</x:f>
        <x:v>Cycle 4</x:v>
      </x:c>
      <x:c r="C1554" s="86" t="str">
        <x:f>IF($P1554="","",INDEX(Tasks!$C$10:$C$1941,$P1554))</x:f>
        <x:v>Phase 1</x:v>
      </x:c>
      <x:c r="D1554" s="86" t="str">
        <x:f>IF($P1554="","",INDEX(Tasks!$D$10:$D$1941,$P1554))</x:f>
        <x:v>PLL</x:v>
      </x:c>
      <x:c r="E1554" s="86"/>
      <x:c r="F1554" s="86" t="str">
        <x:f>IF($P1554="","",INDEX(Tasks!$E$10:$E$1941,$P1554))</x:f>
        <x:v>Design &amp; Insights</x:v>
      </x:c>
      <x:c r="G1554" s="86"/>
      <x:c r="H1554" s="14" t="str">
        <x:f>IF($P1554="","",INDEX(Tasks!$F$10:$F$1941,$P1554)&amp;CHAR(10)&amp;INDEX(Tasks!$G$10:$G$1941,$P1554))</x:f>
        <x:v>DI.PL.1.5
Confirm with Research the recommended topic for approval</x:v>
      </x:c>
      <x:c r="I1554" s="14"/>
      <x:c r="J1554" s="14"/>
      <x:c r="K1554" s="14"/>
      <x:c r="L1554" s="86" t="str">
        <x:f>IF($P1554="","",INDEX(Tasks!$N$10:$N$1941,$P1554))</x:f>
        <x:v>Not started</x:v>
      </x:c>
      <x:c r="M1554" s="87" t="n">
        <x:f>IF($P1554="","",INDEX(Tasks!$J$10:$J$1941,$P1554))</x:f>
        <x:v>46387</x:v>
      </x:c>
      <x:c r="N1554" s="85" t="str">
        <x:f>IF($P1554="","",HYPERLINK("#'"&amp;INDEX(Tasks!$T$10:$T$1941,$P1554)&amp;"'!A"&amp;INDEX(Tasks!$U$10:$U$1941,$P1554),"Open"))</x:f>
        <x:v>Open</x:v>
      </x:c>
      <x:c r="O1554" s="14"/>
      <x:c r="P1554" s="14" t="n">
        <x:f>IF(1533&gt;$B$10,"",MATCH(1533,Tasks!$S$10:$S$1941,0))</x:f>
        <x:v>1897</x:v>
      </x:c>
    </x:row>
    <x:row r="1555" ht="58" customHeight="1">
      <x:c r="B1555" s="86" t="str">
        <x:f>IF($P1555="","",INDEX(Tasks!$B$10:$B$1941,$P1555))</x:f>
        <x:v>Cycle 4</x:v>
      </x:c>
      <x:c r="C1555" s="86" t="str">
        <x:f>IF($P1555="","",INDEX(Tasks!$C$10:$C$1941,$P1555))</x:f>
        <x:v>Phase 1</x:v>
      </x:c>
      <x:c r="D1555" s="86" t="str">
        <x:f>IF($P1555="","",INDEX(Tasks!$D$10:$D$1941,$P1555))</x:f>
        <x:v>PLL</x:v>
      </x:c>
      <x:c r="E1555" s="86"/>
      <x:c r="F1555" s="86" t="str">
        <x:f>IF($P1555="","",INDEX(Tasks!$E$10:$E$1941,$P1555))</x:f>
        <x:v>Design &amp; Insights</x:v>
      </x:c>
      <x:c r="G1555" s="86"/>
      <x:c r="H1555" s="14" t="str">
        <x:f>IF($P1555="","",INDEX(Tasks!$F$10:$F$1941,$P1555)&amp;CHAR(10)&amp;INDEX(Tasks!$G$10:$G$1941,$P1555))</x:f>
        <x:v>DI.PL.1.6
Send topic selection socialization email to all key stakeholders on the first day of the review Cycle</x:v>
      </x:c>
      <x:c r="I1555" s="14"/>
      <x:c r="J1555" s="14"/>
      <x:c r="K1555" s="14"/>
      <x:c r="L1555" s="86" t="str">
        <x:f>IF($P1555="","",INDEX(Tasks!$N$10:$N$1941,$P1555))</x:f>
        <x:v>Not started</x:v>
      </x:c>
      <x:c r="M1555" s="87" t="n">
        <x:f>IF($P1555="","",INDEX(Tasks!$J$10:$J$1941,$P1555))</x:f>
        <x:v>46296</x:v>
      </x:c>
      <x:c r="N1555" s="85" t="str">
        <x:f>IF($P1555="","",HYPERLINK("#'"&amp;INDEX(Tasks!$T$10:$T$1941,$P1555)&amp;"'!A"&amp;INDEX(Tasks!$U$10:$U$1941,$P1555),"Open"))</x:f>
        <x:v>Open</x:v>
      </x:c>
      <x:c r="O1555" s="14"/>
      <x:c r="P1555" s="14" t="n">
        <x:f>IF(1534&gt;$B$10,"",MATCH(1534,Tasks!$S$10:$S$1941,0))</x:f>
        <x:v>1898</x:v>
      </x:c>
    </x:row>
    <x:row r="1556" ht="58" customHeight="1">
      <x:c r="B1556" s="86" t="str">
        <x:f>IF($P1556="","",INDEX(Tasks!$B$10:$B$1941,$P1556))</x:f>
        <x:v>Cycle 4</x:v>
      </x:c>
      <x:c r="C1556" s="86" t="str">
        <x:f>IF($P1556="","",INDEX(Tasks!$C$10:$C$1941,$P1556))</x:f>
        <x:v>Phase 2</x:v>
      </x:c>
      <x:c r="D1556" s="86" t="str">
        <x:f>IF($P1556="","",INDEX(Tasks!$D$10:$D$1941,$P1556))</x:f>
        <x:v>PLL</x:v>
      </x:c>
      <x:c r="E1556" s="86"/>
      <x:c r="F1556" s="86" t="str">
        <x:f>IF($P1556="","",INDEX(Tasks!$E$10:$E$1941,$P1556))</x:f>
        <x:v>Design &amp; Insights</x:v>
      </x:c>
      <x:c r="G1556" s="86"/>
      <x:c r="H1556" s="14" t="str">
        <x:f>IF($P1556="","",INDEX(Tasks!$F$10:$F$1941,$P1556)&amp;CHAR(10)&amp;INDEX(Tasks!$G$10:$G$1941,$P1556))</x:f>
        <x:v>DI.PL.2.1
Meet regularly with Research to stay informed on progress, findings, and potential enhancement</x:v>
      </x:c>
      <x:c r="I1556" s="14"/>
      <x:c r="J1556" s="14"/>
      <x:c r="K1556" s="14"/>
      <x:c r="L1556" s="86" t="str">
        <x:f>IF($P1556="","",INDEX(Tasks!$N$10:$N$1941,$P1556))</x:f>
        <x:v>Not started</x:v>
      </x:c>
      <x:c r="M1556" s="87" t="n">
        <x:f>IF($P1556="","",INDEX(Tasks!$J$10:$J$1941,$P1556))</x:f>
        <x:v>46387</x:v>
      </x:c>
      <x:c r="N1556" s="85" t="str">
        <x:f>IF($P1556="","",HYPERLINK("#'"&amp;INDEX(Tasks!$T$10:$T$1941,$P1556)&amp;"'!A"&amp;INDEX(Tasks!$U$10:$U$1941,$P1556),"Open"))</x:f>
        <x:v>Open</x:v>
      </x:c>
      <x:c r="O1556" s="14"/>
      <x:c r="P1556" s="14" t="n">
        <x:f>IF(1535&gt;$B$10,"",MATCH(1535,Tasks!$S$10:$S$1941,0))</x:f>
        <x:v>1899</x:v>
      </x:c>
    </x:row>
    <x:row r="1557" ht="58" customHeight="1">
      <x:c r="B1557" s="86" t="str">
        <x:f>IF($P1557="","",INDEX(Tasks!$B$10:$B$1941,$P1557))</x:f>
        <x:v>Cycle 4</x:v>
      </x:c>
      <x:c r="C1557" s="86" t="str">
        <x:f>IF($P1557="","",INDEX(Tasks!$C$10:$C$1941,$P1557))</x:f>
        <x:v>Phase 2</x:v>
      </x:c>
      <x:c r="D1557" s="86" t="str">
        <x:f>IF($P1557="","",INDEX(Tasks!$D$10:$D$1941,$P1557))</x:f>
        <x:v>PLL</x:v>
      </x:c>
      <x:c r="E1557" s="86"/>
      <x:c r="F1557" s="86" t="str">
        <x:f>IF($P1557="","",INDEX(Tasks!$E$10:$E$1941,$P1557))</x:f>
        <x:v>Design &amp; Insights</x:v>
      </x:c>
      <x:c r="G1557" s="86"/>
      <x:c r="H1557" s="14" t="str">
        <x:f>IF($P1557="","",INDEX(Tasks!$F$10:$F$1941,$P1557)&amp;CHAR(10)&amp;INDEX(Tasks!$G$10:$G$1941,$P1557))</x:f>
        <x:v>DI.PL.2.2
Collaborate with Research on research plan specifics</x:v>
      </x:c>
      <x:c r="I1557" s="14"/>
      <x:c r="J1557" s="14"/>
      <x:c r="K1557" s="14"/>
      <x:c r="L1557" s="86" t="str">
        <x:f>IF($P1557="","",INDEX(Tasks!$N$10:$N$1941,$P1557))</x:f>
        <x:v>Not started</x:v>
      </x:c>
      <x:c r="M1557" s="87" t="n">
        <x:f>IF($P1557="","",INDEX(Tasks!$J$10:$J$1941,$P1557))</x:f>
        <x:v>46387</x:v>
      </x:c>
      <x:c r="N1557" s="85" t="str">
        <x:f>IF($P1557="","",HYPERLINK("#'"&amp;INDEX(Tasks!$T$10:$T$1941,$P1557)&amp;"'!A"&amp;INDEX(Tasks!$U$10:$U$1941,$P1557),"Open"))</x:f>
        <x:v>Open</x:v>
      </x:c>
      <x:c r="O1557" s="14"/>
      <x:c r="P1557" s="14" t="n">
        <x:f>IF(1536&gt;$B$10,"",MATCH(1536,Tasks!$S$10:$S$1941,0))</x:f>
        <x:v>1900</x:v>
      </x:c>
    </x:row>
    <x:row r="1558" ht="58" customHeight="1">
      <x:c r="B1558" s="86" t="str">
        <x:f>IF($P1558="","",INDEX(Tasks!$B$10:$B$1941,$P1558))</x:f>
        <x:v>Cycle 4</x:v>
      </x:c>
      <x:c r="C1558" s="86" t="str">
        <x:f>IF($P1558="","",INDEX(Tasks!$C$10:$C$1941,$P1558))</x:f>
        <x:v>Phase 2</x:v>
      </x:c>
      <x:c r="D1558" s="86" t="str">
        <x:f>IF($P1558="","",INDEX(Tasks!$D$10:$D$1941,$P1558))</x:f>
        <x:v>PLL</x:v>
      </x:c>
      <x:c r="E1558" s="86"/>
      <x:c r="F1558" s="86" t="str">
        <x:f>IF($P1558="","",INDEX(Tasks!$E$10:$E$1941,$P1558))</x:f>
        <x:v>Design &amp; Insights</x:v>
      </x:c>
      <x:c r="G1558" s="86"/>
      <x:c r="H1558" s="14" t="str">
        <x:f>IF($P1558="","",INDEX(Tasks!$F$10:$F$1941,$P1558)&amp;CHAR(10)&amp;INDEX(Tasks!$G$10:$G$1941,$P1558))</x:f>
        <x:v>DI.PL.2.3
Participate in SME insight meetings to gain perspective and appetite on potential enhancements</x:v>
      </x:c>
      <x:c r="I1558" s="14"/>
      <x:c r="J1558" s="14"/>
      <x:c r="K1558" s="14"/>
      <x:c r="L1558" s="86" t="str">
        <x:f>IF($P1558="","",INDEX(Tasks!$N$10:$N$1941,$P1558))</x:f>
        <x:v>Not started</x:v>
      </x:c>
      <x:c r="M1558" s="87" t="n">
        <x:f>IF($P1558="","",INDEX(Tasks!$J$10:$J$1941,$P1558))</x:f>
        <x:v>46387</x:v>
      </x:c>
      <x:c r="N1558" s="85" t="str">
        <x:f>IF($P1558="","",HYPERLINK("#'"&amp;INDEX(Tasks!$T$10:$T$1941,$P1558)&amp;"'!A"&amp;INDEX(Tasks!$U$10:$U$1941,$P1558),"Open"))</x:f>
        <x:v>Open</x:v>
      </x:c>
      <x:c r="O1558" s="14"/>
      <x:c r="P1558" s="14" t="n">
        <x:f>IF(1537&gt;$B$10,"",MATCH(1537,Tasks!$S$10:$S$1941,0))</x:f>
        <x:v>1901</x:v>
      </x:c>
    </x:row>
    <x:row r="1559" ht="58" customHeight="1">
      <x:c r="B1559" s="86" t="str">
        <x:f>IF($P1559="","",INDEX(Tasks!$B$10:$B$1941,$P1559))</x:f>
        <x:v>Cycle 4</x:v>
      </x:c>
      <x:c r="C1559" s="86" t="str">
        <x:f>IF($P1559="","",INDEX(Tasks!$C$10:$C$1941,$P1559))</x:f>
        <x:v>Phase 2</x:v>
      </x:c>
      <x:c r="D1559" s="86" t="str">
        <x:f>IF($P1559="","",INDEX(Tasks!$D$10:$D$1941,$P1559))</x:f>
        <x:v>PLL</x:v>
      </x:c>
      <x:c r="E1559" s="86"/>
      <x:c r="F1559" s="86" t="str">
        <x:f>IF($P1559="","",INDEX(Tasks!$E$10:$E$1941,$P1559))</x:f>
        <x:v>Design &amp; Insights</x:v>
      </x:c>
      <x:c r="G1559" s="86"/>
      <x:c r="H1559" s="14" t="str">
        <x:f>IF($P1559="","",INDEX(Tasks!$F$10:$F$1941,$P1559)&amp;CHAR(10)&amp;INDEX(Tasks!$G$10:$G$1941,$P1559))</x:f>
        <x:v>DI.PL.2.4
Begin development of presentation materials as Research is being completed</x:v>
      </x:c>
      <x:c r="I1559" s="14"/>
      <x:c r="J1559" s="14"/>
      <x:c r="K1559" s="14"/>
      <x:c r="L1559" s="86" t="str">
        <x:f>IF($P1559="","",INDEX(Tasks!$N$10:$N$1941,$P1559))</x:f>
        <x:v>Not started</x:v>
      </x:c>
      <x:c r="M1559" s="87" t="n">
        <x:f>IF($P1559="","",INDEX(Tasks!$J$10:$J$1941,$P1559))</x:f>
        <x:v>46387</x:v>
      </x:c>
      <x:c r="N1559" s="85" t="str">
        <x:f>IF($P1559="","",HYPERLINK("#'"&amp;INDEX(Tasks!$T$10:$T$1941,$P1559)&amp;"'!A"&amp;INDEX(Tasks!$U$10:$U$1941,$P1559),"Open"))</x:f>
        <x:v>Open</x:v>
      </x:c>
      <x:c r="O1559" s="14"/>
      <x:c r="P1559" s="14" t="n">
        <x:f>IF(1538&gt;$B$10,"",MATCH(1538,Tasks!$S$10:$S$1941,0))</x:f>
        <x:v>1902</x:v>
      </x:c>
    </x:row>
    <x:row r="1560" ht="58" customHeight="1">
      <x:c r="B1560" s="86" t="str">
        <x:f>IF($P1560="","",INDEX(Tasks!$B$10:$B$1941,$P1560))</x:f>
        <x:v>Cycle 4</x:v>
      </x:c>
      <x:c r="C1560" s="86" t="str">
        <x:f>IF($P1560="","",INDEX(Tasks!$C$10:$C$1941,$P1560))</x:f>
        <x:v>Phase 2</x:v>
      </x:c>
      <x:c r="D1560" s="86" t="str">
        <x:f>IF($P1560="","",INDEX(Tasks!$D$10:$D$1941,$P1560))</x:f>
        <x:v>PLL</x:v>
      </x:c>
      <x:c r="E1560" s="86"/>
      <x:c r="F1560" s="86" t="str">
        <x:f>IF($P1560="","",INDEX(Tasks!$E$10:$E$1941,$P1560))</x:f>
        <x:v>Design &amp; Insights</x:v>
      </x:c>
      <x:c r="G1560" s="86"/>
      <x:c r="H1560" s="14" t="str">
        <x:f>IF($P1560="","",INDEX(Tasks!$F$10:$F$1941,$P1560)&amp;CHAR(10)&amp;INDEX(Tasks!$G$10:$G$1941,$P1560))</x:f>
        <x:v>DI.PL.2.5
Draft initial enhancement recommendations (as applicable)</x:v>
      </x:c>
      <x:c r="I1560" s="14"/>
      <x:c r="J1560" s="14"/>
      <x:c r="K1560" s="14"/>
      <x:c r="L1560" s="86" t="str">
        <x:f>IF($P1560="","",INDEX(Tasks!$N$10:$N$1941,$P1560))</x:f>
        <x:v>Not started</x:v>
      </x:c>
      <x:c r="M1560" s="87" t="n">
        <x:f>IF($P1560="","",INDEX(Tasks!$J$10:$J$1941,$P1560))</x:f>
        <x:v>46387</x:v>
      </x:c>
      <x:c r="N1560" s="85" t="str">
        <x:f>IF($P1560="","",HYPERLINK("#'"&amp;INDEX(Tasks!$T$10:$T$1941,$P1560)&amp;"'!A"&amp;INDEX(Tasks!$U$10:$U$1941,$P1560),"Open"))</x:f>
        <x:v>Open</x:v>
      </x:c>
      <x:c r="O1560" s="14"/>
      <x:c r="P1560" s="14" t="n">
        <x:f>IF(1539&gt;$B$10,"",MATCH(1539,Tasks!$S$10:$S$1941,0))</x:f>
        <x:v>1903</x:v>
      </x:c>
    </x:row>
    <x:row r="1561" ht="58" customHeight="1">
      <x:c r="B1561" s="86" t="str">
        <x:f>IF($P1561="","",INDEX(Tasks!$B$10:$B$1941,$P1561))</x:f>
        <x:v>Cycle 4</x:v>
      </x:c>
      <x:c r="C1561" s="86" t="str">
        <x:f>IF($P1561="","",INDEX(Tasks!$C$10:$C$1941,$P1561))</x:f>
        <x:v>Phase 2</x:v>
      </x:c>
      <x:c r="D1561" s="86" t="str">
        <x:f>IF($P1561="","",INDEX(Tasks!$D$10:$D$1941,$P1561))</x:f>
        <x:v>PLL</x:v>
      </x:c>
      <x:c r="E1561" s="86"/>
      <x:c r="F1561" s="86" t="str">
        <x:f>IF($P1561="","",INDEX(Tasks!$E$10:$E$1941,$P1561))</x:f>
        <x:v>Design &amp; Insights</x:v>
      </x:c>
      <x:c r="G1561" s="86"/>
      <x:c r="H1561" s="14" t="str">
        <x:f>IF($P1561="","",INDEX(Tasks!$F$10:$F$1941,$P1561)&amp;CHAR(10)&amp;INDEX(Tasks!$G$10:$G$1941,$P1561))</x:f>
        <x:v>DI.PL.2.6
Finalize presentation deck draft at conclusion of Research phase</x:v>
      </x:c>
      <x:c r="I1561" s="14"/>
      <x:c r="J1561" s="14"/>
      <x:c r="K1561" s="14"/>
      <x:c r="L1561" s="86" t="str">
        <x:f>IF($P1561="","",INDEX(Tasks!$N$10:$N$1941,$P1561))</x:f>
        <x:v>Not started</x:v>
      </x:c>
      <x:c r="M1561" s="87" t="n">
        <x:f>IF($P1561="","",INDEX(Tasks!$J$10:$J$1941,$P1561))</x:f>
        <x:v>46387</x:v>
      </x:c>
      <x:c r="N1561" s="85" t="str">
        <x:f>IF($P1561="","",HYPERLINK("#'"&amp;INDEX(Tasks!$T$10:$T$1941,$P1561)&amp;"'!A"&amp;INDEX(Tasks!$U$10:$U$1941,$P1561),"Open"))</x:f>
        <x:v>Open</x:v>
      </x:c>
      <x:c r="O1561" s="14"/>
      <x:c r="P1561" s="14" t="n">
        <x:f>IF(1540&gt;$B$10,"",MATCH(1540,Tasks!$S$10:$S$1941,0))</x:f>
        <x:v>1904</x:v>
      </x:c>
    </x:row>
    <x:row r="1562" ht="58" customHeight="1">
      <x:c r="B1562" s="86" t="str">
        <x:f>IF($P1562="","",INDEX(Tasks!$B$10:$B$1941,$P1562))</x:f>
        <x:v>Cycle 4</x:v>
      </x:c>
      <x:c r="C1562" s="86" t="str">
        <x:f>IF($P1562="","",INDEX(Tasks!$C$10:$C$1941,$P1562))</x:f>
        <x:v>Phase 2</x:v>
      </x:c>
      <x:c r="D1562" s="86" t="str">
        <x:f>IF($P1562="","",INDEX(Tasks!$D$10:$D$1941,$P1562))</x:f>
        <x:v>PLL</x:v>
      </x:c>
      <x:c r="E1562" s="86"/>
      <x:c r="F1562" s="86" t="str">
        <x:f>IF($P1562="","",INDEX(Tasks!$E$10:$E$1941,$P1562))</x:f>
        <x:v>Design &amp; Insights</x:v>
      </x:c>
      <x:c r="G1562" s="86"/>
      <x:c r="H1562" s="14" t="str">
        <x:f>IF($P1562="","",INDEX(Tasks!$F$10:$F$1941,$P1562)&amp;CHAR(10)&amp;INDEX(Tasks!$G$10:$G$1941,$P1562))</x:f>
        <x:v>DI.PL.2.7
Update Outcome portion of research plan with current enhancement verbiage (as needed)</x:v>
      </x:c>
      <x:c r="I1562" s="14"/>
      <x:c r="J1562" s="14"/>
      <x:c r="K1562" s="14"/>
      <x:c r="L1562" s="86" t="str">
        <x:f>IF($P1562="","",INDEX(Tasks!$N$10:$N$1941,$P1562))</x:f>
        <x:v>Not started</x:v>
      </x:c>
      <x:c r="M1562" s="87" t="n">
        <x:f>IF($P1562="","",INDEX(Tasks!$J$10:$J$1941,$P1562))</x:f>
        <x:v>46387</x:v>
      </x:c>
      <x:c r="N1562" s="85" t="str">
        <x:f>IF($P1562="","",HYPERLINK("#'"&amp;INDEX(Tasks!$T$10:$T$1941,$P1562)&amp;"'!A"&amp;INDEX(Tasks!$U$10:$U$1941,$P1562),"Open"))</x:f>
        <x:v>Open</x:v>
      </x:c>
      <x:c r="O1562" s="14"/>
      <x:c r="P1562" s="14" t="n">
        <x:f>IF(1541&gt;$B$10,"",MATCH(1541,Tasks!$S$10:$S$1941,0))</x:f>
        <x:v>1905</x:v>
      </x:c>
    </x:row>
    <x:row r="1563" ht="58" customHeight="1">
      <x:c r="B1563" s="86" t="str">
        <x:f>IF($P1563="","",INDEX(Tasks!$B$10:$B$1941,$P1563))</x:f>
        <x:v>Cycle 4</x:v>
      </x:c>
      <x:c r="C1563" s="86" t="str">
        <x:f>IF($P1563="","",INDEX(Tasks!$C$10:$C$1941,$P1563))</x:f>
        <x:v>Phase 3</x:v>
      </x:c>
      <x:c r="D1563" s="86" t="str">
        <x:f>IF($P1563="","",INDEX(Tasks!$D$10:$D$1941,$P1563))</x:f>
        <x:v>PLL</x:v>
      </x:c>
      <x:c r="E1563" s="86"/>
      <x:c r="F1563" s="86" t="str">
        <x:f>IF($P1563="","",INDEX(Tasks!$E$10:$E$1941,$P1563))</x:f>
        <x:v>Design &amp; Insights</x:v>
      </x:c>
      <x:c r="G1563" s="86"/>
      <x:c r="H1563" s="14" t="str">
        <x:f>IF($P1563="","",INDEX(Tasks!$F$10:$F$1941,$P1563)&amp;CHAR(10)&amp;INDEX(Tasks!$G$10:$G$1941,$P1563))</x:f>
        <x:v>DI.PL.3.1
Confirm list of required &amp; optional attendees for pre-socialization meeting</x:v>
      </x:c>
      <x:c r="I1563" s="14"/>
      <x:c r="J1563" s="14"/>
      <x:c r="K1563" s="14"/>
      <x:c r="L1563" s="86" t="str">
        <x:f>IF($P1563="","",INDEX(Tasks!$N$10:$N$1941,$P1563))</x:f>
        <x:v>Not started</x:v>
      </x:c>
      <x:c r="M1563" s="87" t="n">
        <x:f>IF($P1563="","",INDEX(Tasks!$J$10:$J$1941,$P1563))</x:f>
        <x:v>46387</x:v>
      </x:c>
      <x:c r="N1563" s="85" t="str">
        <x:f>IF($P1563="","",HYPERLINK("#'"&amp;INDEX(Tasks!$T$10:$T$1941,$P1563)&amp;"'!A"&amp;INDEX(Tasks!$U$10:$U$1941,$P1563),"Open"))</x:f>
        <x:v>Open</x:v>
      </x:c>
      <x:c r="O1563" s="14"/>
      <x:c r="P1563" s="14" t="n">
        <x:f>IF(1542&gt;$B$10,"",MATCH(1542,Tasks!$S$10:$S$1941,0))</x:f>
        <x:v>1906</x:v>
      </x:c>
    </x:row>
    <x:row r="1564" ht="58" customHeight="1">
      <x:c r="B1564" s="86" t="str">
        <x:f>IF($P1564="","",INDEX(Tasks!$B$10:$B$1941,$P1564))</x:f>
        <x:v>Cycle 4</x:v>
      </x:c>
      <x:c r="C1564" s="86" t="str">
        <x:f>IF($P1564="","",INDEX(Tasks!$C$10:$C$1941,$P1564))</x:f>
        <x:v>Phase 3</x:v>
      </x:c>
      <x:c r="D1564" s="86" t="str">
        <x:f>IF($P1564="","",INDEX(Tasks!$D$10:$D$1941,$P1564))</x:f>
        <x:v>PLL</x:v>
      </x:c>
      <x:c r="E1564" s="86"/>
      <x:c r="F1564" s="86" t="str">
        <x:f>IF($P1564="","",INDEX(Tasks!$E$10:$E$1941,$P1564))</x:f>
        <x:v>Design &amp; Insights</x:v>
      </x:c>
      <x:c r="G1564" s="86"/>
      <x:c r="H1564" s="14" t="str">
        <x:f>IF($P1564="","",INDEX(Tasks!$F$10:$F$1941,$P1564)&amp;CHAR(10)&amp;INDEX(Tasks!$G$10:$G$1941,$P1564))</x:f>
        <x:v>DI.PL.3.2
Schedule pre-socialization meeting 1 week prior to RCA Forum</x:v>
      </x:c>
      <x:c r="I1564" s="14"/>
      <x:c r="J1564" s="14"/>
      <x:c r="K1564" s="14"/>
      <x:c r="L1564" s="86" t="str">
        <x:f>IF($P1564="","",INDEX(Tasks!$N$10:$N$1941,$P1564))</x:f>
        <x:v>Not started</x:v>
      </x:c>
      <x:c r="M1564" s="87" t="str">
        <x:f>IF($P1564="","",INDEX(Tasks!$J$10:$J$1941,$P1564))</x:f>
      </x:c>
      <x:c r="N1564" s="85" t="str">
        <x:f>IF($P1564="","",HYPERLINK("#'"&amp;INDEX(Tasks!$T$10:$T$1941,$P1564)&amp;"'!A"&amp;INDEX(Tasks!$U$10:$U$1941,$P1564),"Open"))</x:f>
        <x:v>Open</x:v>
      </x:c>
      <x:c r="O1564" s="14"/>
      <x:c r="P1564" s="14" t="n">
        <x:f>IF(1543&gt;$B$10,"",MATCH(1543,Tasks!$S$10:$S$1941,0))</x:f>
        <x:v>1907</x:v>
      </x:c>
    </x:row>
    <x:row r="1565" ht="58" customHeight="1">
      <x:c r="B1565" s="86" t="str">
        <x:f>IF($P1565="","",INDEX(Tasks!$B$10:$B$1941,$P1565))</x:f>
        <x:v>Cycle 4</x:v>
      </x:c>
      <x:c r="C1565" s="86" t="str">
        <x:f>IF($P1565="","",INDEX(Tasks!$C$10:$C$1941,$P1565))</x:f>
        <x:v>Phase 3</x:v>
      </x:c>
      <x:c r="D1565" s="86" t="str">
        <x:f>IF($P1565="","",INDEX(Tasks!$D$10:$D$1941,$P1565))</x:f>
        <x:v>PLL</x:v>
      </x:c>
      <x:c r="E1565" s="86"/>
      <x:c r="F1565" s="86" t="str">
        <x:f>IF($P1565="","",INDEX(Tasks!$E$10:$E$1941,$P1565))</x:f>
        <x:v>Design &amp; Insights</x:v>
      </x:c>
      <x:c r="G1565" s="86"/>
      <x:c r="H1565" s="14" t="str">
        <x:f>IF($P1565="","",INDEX(Tasks!$F$10:$F$1941,$P1565)&amp;CHAR(10)&amp;INDEX(Tasks!$G$10:$G$1941,$P1565))</x:f>
        <x:v>DI.PL.3.3
Present findings, conclusions, and recommendation to SMEs</x:v>
      </x:c>
      <x:c r="I1565" s="14"/>
      <x:c r="J1565" s="14"/>
      <x:c r="K1565" s="14"/>
      <x:c r="L1565" s="86" t="str">
        <x:f>IF($P1565="","",INDEX(Tasks!$N$10:$N$1941,$P1565))</x:f>
        <x:v>Not started</x:v>
      </x:c>
      <x:c r="M1565" s="87" t="n">
        <x:f>IF($P1565="","",INDEX(Tasks!$J$10:$J$1941,$P1565))</x:f>
        <x:v>46387</x:v>
      </x:c>
      <x:c r="N1565" s="85" t="str">
        <x:f>IF($P1565="","",HYPERLINK("#'"&amp;INDEX(Tasks!$T$10:$T$1941,$P1565)&amp;"'!A"&amp;INDEX(Tasks!$U$10:$U$1941,$P1565),"Open"))</x:f>
        <x:v>Open</x:v>
      </x:c>
      <x:c r="O1565" s="14"/>
      <x:c r="P1565" s="14" t="n">
        <x:f>IF(1544&gt;$B$10,"",MATCH(1544,Tasks!$S$10:$S$1941,0))</x:f>
        <x:v>1908</x:v>
      </x:c>
    </x:row>
    <x:row r="1566" ht="58" customHeight="1">
      <x:c r="B1566" s="86" t="str">
        <x:f>IF($P1566="","",INDEX(Tasks!$B$10:$B$1941,$P1566))</x:f>
        <x:v>Cycle 4</x:v>
      </x:c>
      <x:c r="C1566" s="86" t="str">
        <x:f>IF($P1566="","",INDEX(Tasks!$C$10:$C$1941,$P1566))</x:f>
        <x:v>Phase 3</x:v>
      </x:c>
      <x:c r="D1566" s="86" t="str">
        <x:f>IF($P1566="","",INDEX(Tasks!$D$10:$D$1941,$P1566))</x:f>
        <x:v>PLL</x:v>
      </x:c>
      <x:c r="E1566" s="86"/>
      <x:c r="F1566" s="86" t="str">
        <x:f>IF($P1566="","",INDEX(Tasks!$E$10:$E$1941,$P1566))</x:f>
        <x:v>Design &amp; Insights</x:v>
      </x:c>
      <x:c r="G1566" s="86"/>
      <x:c r="H1566" s="14" t="str">
        <x:f>IF($P1566="","",INDEX(Tasks!$F$10:$F$1941,$P1566)&amp;CHAR(10)&amp;INDEX(Tasks!$G$10:$G$1941,$P1566))</x:f>
        <x:v>DI.PL.3.4
Update Outcome portion of research plan (as needed)</x:v>
      </x:c>
      <x:c r="I1566" s="14"/>
      <x:c r="J1566" s="14"/>
      <x:c r="K1566" s="14"/>
      <x:c r="L1566" s="86" t="str">
        <x:f>IF($P1566="","",INDEX(Tasks!$N$10:$N$1941,$P1566))</x:f>
        <x:v>Not started</x:v>
      </x:c>
      <x:c r="M1566" s="87" t="n">
        <x:f>IF($P1566="","",INDEX(Tasks!$J$10:$J$1941,$P1566))</x:f>
        <x:v>46387</x:v>
      </x:c>
      <x:c r="N1566" s="85" t="str">
        <x:f>IF($P1566="","",HYPERLINK("#'"&amp;INDEX(Tasks!$T$10:$T$1941,$P1566)&amp;"'!A"&amp;INDEX(Tasks!$U$10:$U$1941,$P1566),"Open"))</x:f>
        <x:v>Open</x:v>
      </x:c>
      <x:c r="O1566" s="14"/>
      <x:c r="P1566" s="14" t="n">
        <x:f>IF(1545&gt;$B$10,"",MATCH(1545,Tasks!$S$10:$S$1941,0))</x:f>
        <x:v>1909</x:v>
      </x:c>
    </x:row>
    <x:row r="1567" ht="58" customHeight="1">
      <x:c r="B1567" s="86" t="str">
        <x:f>IF($P1567="","",INDEX(Tasks!$B$10:$B$1941,$P1567))</x:f>
        <x:v>Cycle 4</x:v>
      </x:c>
      <x:c r="C1567" s="86" t="str">
        <x:f>IF($P1567="","",INDEX(Tasks!$C$10:$C$1941,$P1567))</x:f>
        <x:v>Phase 3</x:v>
      </x:c>
      <x:c r="D1567" s="86" t="str">
        <x:f>IF($P1567="","",INDEX(Tasks!$D$10:$D$1941,$P1567))</x:f>
        <x:v>PLL</x:v>
      </x:c>
      <x:c r="E1567" s="86"/>
      <x:c r="F1567" s="86" t="str">
        <x:f>IF($P1567="","",INDEX(Tasks!$E$10:$E$1941,$P1567))</x:f>
        <x:v>Design &amp; Insights</x:v>
      </x:c>
      <x:c r="G1567" s="86"/>
      <x:c r="H1567" s="14" t="str">
        <x:f>IF($P1567="","",INDEX(Tasks!$F$10:$F$1941,$P1567)&amp;CHAR(10)&amp;INDEX(Tasks!$G$10:$G$1941,$P1567))</x:f>
        <x:v>DI.PL.3.5
Finalize presentation deck by incorporating pre-socialization feedback (as needed)</x:v>
      </x:c>
      <x:c r="I1567" s="14"/>
      <x:c r="J1567" s="14"/>
      <x:c r="K1567" s="14"/>
      <x:c r="L1567" s="86" t="str">
        <x:f>IF($P1567="","",INDEX(Tasks!$N$10:$N$1941,$P1567))</x:f>
        <x:v>Not started</x:v>
      </x:c>
      <x:c r="M1567" s="87" t="n">
        <x:f>IF($P1567="","",INDEX(Tasks!$J$10:$J$1941,$P1567))</x:f>
        <x:v>46387</x:v>
      </x:c>
      <x:c r="N1567" s="85" t="str">
        <x:f>IF($P1567="","",HYPERLINK("#'"&amp;INDEX(Tasks!$T$10:$T$1941,$P1567)&amp;"'!A"&amp;INDEX(Tasks!$U$10:$U$1941,$P1567),"Open"))</x:f>
        <x:v>Open</x:v>
      </x:c>
      <x:c r="O1567" s="14"/>
      <x:c r="P1567" s="14" t="n">
        <x:f>IF(1546&gt;$B$10,"",MATCH(1546,Tasks!$S$10:$S$1941,0))</x:f>
        <x:v>1910</x:v>
      </x:c>
    </x:row>
    <x:row r="1568" ht="58" customHeight="1">
      <x:c r="B1568" s="86" t="str">
        <x:f>IF($P1568="","",INDEX(Tasks!$B$10:$B$1941,$P1568))</x:f>
        <x:v>Cycle 4</x:v>
      </x:c>
      <x:c r="C1568" s="86" t="str">
        <x:f>IF($P1568="","",INDEX(Tasks!$C$10:$C$1941,$P1568))</x:f>
        <x:v>Phase 3</x:v>
      </x:c>
      <x:c r="D1568" s="86" t="str">
        <x:f>IF($P1568="","",INDEX(Tasks!$D$10:$D$1941,$P1568))</x:f>
        <x:v>PLL</x:v>
      </x:c>
      <x:c r="E1568" s="86"/>
      <x:c r="F1568" s="86" t="str">
        <x:f>IF($P1568="","",INDEX(Tasks!$E$10:$E$1941,$P1568))</x:f>
        <x:v>Design &amp; Insights</x:v>
      </x:c>
      <x:c r="G1568" s="86"/>
      <x:c r="H1568" s="14" t="str">
        <x:f>IF($P1568="","",INDEX(Tasks!$F$10:$F$1941,$P1568)&amp;CHAR(10)&amp;INDEX(Tasks!$G$10:$G$1941,$P1568))</x:f>
        <x:v>DI.PL.3.6
Ensure final deck is communicated to Forum attendees</x:v>
      </x:c>
      <x:c r="I1568" s="14"/>
      <x:c r="J1568" s="14"/>
      <x:c r="K1568" s="14"/>
      <x:c r="L1568" s="86" t="str">
        <x:f>IF($P1568="","",INDEX(Tasks!$N$10:$N$1941,$P1568))</x:f>
        <x:v>Not started</x:v>
      </x:c>
      <x:c r="M1568" s="87" t="n">
        <x:f>IF($P1568="","",INDEX(Tasks!$J$10:$J$1941,$P1568))</x:f>
        <x:v>46387</x:v>
      </x:c>
      <x:c r="N1568" s="85" t="str">
        <x:f>IF($P1568="","",HYPERLINK("#'"&amp;INDEX(Tasks!$T$10:$T$1941,$P1568)&amp;"'!A"&amp;INDEX(Tasks!$U$10:$U$1941,$P1568),"Open"))</x:f>
        <x:v>Open</x:v>
      </x:c>
      <x:c r="O1568" s="14"/>
      <x:c r="P1568" s="14" t="n">
        <x:f>IF(1547&gt;$B$10,"",MATCH(1547,Tasks!$S$10:$S$1941,0))</x:f>
        <x:v>1911</x:v>
      </x:c>
    </x:row>
    <x:row r="1569" ht="58" customHeight="1">
      <x:c r="B1569" s="86" t="str">
        <x:f>IF($P1569="","",INDEX(Tasks!$B$10:$B$1941,$P1569))</x:f>
        <x:v>Cycle 4</x:v>
      </x:c>
      <x:c r="C1569" s="86" t="str">
        <x:f>IF($P1569="","",INDEX(Tasks!$C$10:$C$1941,$P1569))</x:f>
        <x:v>Phase 3</x:v>
      </x:c>
      <x:c r="D1569" s="86" t="str">
        <x:f>IF($P1569="","",INDEX(Tasks!$D$10:$D$1941,$P1569))</x:f>
        <x:v>PLL</x:v>
      </x:c>
      <x:c r="E1569" s="86"/>
      <x:c r="F1569" s="86" t="str">
        <x:f>IF($P1569="","",INDEX(Tasks!$E$10:$E$1941,$P1569))</x:f>
        <x:v>Design &amp; Insights</x:v>
      </x:c>
      <x:c r="G1569" s="86"/>
      <x:c r="H1569" s="14" t="str">
        <x:f>IF($P1569="","",INDEX(Tasks!$F$10:$F$1941,$P1569)&amp;CHAR(10)&amp;INDEX(Tasks!$G$10:$G$1941,$P1569))</x:f>
        <x:v>DI.PL.3.7
Present material in RCA Cycle Forum</x:v>
      </x:c>
      <x:c r="I1569" s="14"/>
      <x:c r="J1569" s="14"/>
      <x:c r="K1569" s="14"/>
      <x:c r="L1569" s="86" t="str">
        <x:f>IF($P1569="","",INDEX(Tasks!$N$10:$N$1941,$P1569))</x:f>
        <x:v>Not started</x:v>
      </x:c>
      <x:c r="M1569" s="87" t="str">
        <x:f>IF($P1569="","",INDEX(Tasks!$J$10:$J$1941,$P1569))</x:f>
      </x:c>
      <x:c r="N1569" s="85" t="str">
        <x:f>IF($P1569="","",HYPERLINK("#'"&amp;INDEX(Tasks!$T$10:$T$1941,$P1569)&amp;"'!A"&amp;INDEX(Tasks!$U$10:$U$1941,$P1569),"Open"))</x:f>
        <x:v>Open</x:v>
      </x:c>
      <x:c r="O1569" s="14"/>
      <x:c r="P1569" s="14" t="n">
        <x:f>IF(1548&gt;$B$10,"",MATCH(1548,Tasks!$S$10:$S$1941,0))</x:f>
        <x:v>1912</x:v>
      </x:c>
    </x:row>
    <x:row r="1570" ht="58" customHeight="1">
      <x:c r="B1570" s="86" t="str">
        <x:f>IF($P1570="","",INDEX(Tasks!$B$10:$B$1941,$P1570))</x:f>
        <x:v>Cycle 4</x:v>
      </x:c>
      <x:c r="C1570" s="86" t="str">
        <x:f>IF($P1570="","",INDEX(Tasks!$C$10:$C$1941,$P1570))</x:f>
        <x:v>Phase 1</x:v>
      </x:c>
      <x:c r="D1570" s="86" t="str">
        <x:f>IF($P1570="","",INDEX(Tasks!$D$10:$D$1941,$P1570))</x:f>
        <x:v>Retail Services</x:v>
      </x:c>
      <x:c r="E1570" s="86"/>
      <x:c r="F1570" s="86" t="str">
        <x:f>IF($P1570="","",INDEX(Tasks!$E$10:$E$1941,$P1570))</x:f>
        <x:v>Design &amp; Insights</x:v>
      </x:c>
      <x:c r="G1570" s="86"/>
      <x:c r="H1570" s="14" t="str">
        <x:f>IF($P1570="","",INDEX(Tasks!$F$10:$F$1941,$P1570)&amp;CHAR(10)&amp;INDEX(Tasks!$G$10:$G$1941,$P1570))</x:f>
        <x:v>DI.RS.1.1
Receive and review potential research topics at least 2 weeks prior to Cycle start date</x:v>
      </x:c>
      <x:c r="I1570" s="14"/>
      <x:c r="J1570" s="14"/>
      <x:c r="K1570" s="14"/>
      <x:c r="L1570" s="86" t="str">
        <x:f>IF($P1570="","",INDEX(Tasks!$N$10:$N$1941,$P1570))</x:f>
        <x:v>Not started</x:v>
      </x:c>
      <x:c r="M1570" s="87" t="n">
        <x:f>IF($P1570="","",INDEX(Tasks!$J$10:$J$1941,$P1570))</x:f>
        <x:v>46282</x:v>
      </x:c>
      <x:c r="N1570" s="85" t="str">
        <x:f>IF($P1570="","",HYPERLINK("#'"&amp;INDEX(Tasks!$T$10:$T$1941,$P1570)&amp;"'!A"&amp;INDEX(Tasks!$U$10:$U$1941,$P1570),"Open"))</x:f>
        <x:v>Open</x:v>
      </x:c>
      <x:c r="O1570" s="14"/>
      <x:c r="P1570" s="14" t="n">
        <x:f>IF(1549&gt;$B$10,"",MATCH(1549,Tasks!$S$10:$S$1941,0))</x:f>
        <x:v>1913</x:v>
      </x:c>
    </x:row>
    <x:row r="1571" ht="58" customHeight="1">
      <x:c r="B1571" s="86" t="str">
        <x:f>IF($P1571="","",INDEX(Tasks!$B$10:$B$1941,$P1571))</x:f>
        <x:v>Cycle 4</x:v>
      </x:c>
      <x:c r="C1571" s="86" t="str">
        <x:f>IF($P1571="","",INDEX(Tasks!$C$10:$C$1941,$P1571))</x:f>
        <x:v>Phase 1</x:v>
      </x:c>
      <x:c r="D1571" s="86" t="str">
        <x:f>IF($P1571="","",INDEX(Tasks!$D$10:$D$1941,$P1571))</x:f>
        <x:v>Retail Services</x:v>
      </x:c>
      <x:c r="E1571" s="86"/>
      <x:c r="F1571" s="86" t="str">
        <x:f>IF($P1571="","",INDEX(Tasks!$E$10:$E$1941,$P1571))</x:f>
        <x:v>Design &amp; Insights</x:v>
      </x:c>
      <x:c r="G1571" s="86"/>
      <x:c r="H1571" s="14" t="str">
        <x:f>IF($P1571="","",INDEX(Tasks!$F$10:$F$1941,$P1571)&amp;CHAR(10)&amp;INDEX(Tasks!$G$10:$G$1941,$P1571))</x:f>
        <x:v>DI.RS.1.2
Communicate any feedback on preferences or concerns with topics identified</x:v>
      </x:c>
      <x:c r="I1571" s="14"/>
      <x:c r="J1571" s="14"/>
      <x:c r="K1571" s="14"/>
      <x:c r="L1571" s="86" t="str">
        <x:f>IF($P1571="","",INDEX(Tasks!$N$10:$N$1941,$P1571))</x:f>
        <x:v>Not started</x:v>
      </x:c>
      <x:c r="M1571" s="87" t="n">
        <x:f>IF($P1571="","",INDEX(Tasks!$J$10:$J$1941,$P1571))</x:f>
        <x:v>46387</x:v>
      </x:c>
      <x:c r="N1571" s="85" t="str">
        <x:f>IF($P1571="","",HYPERLINK("#'"&amp;INDEX(Tasks!$T$10:$T$1941,$P1571)&amp;"'!A"&amp;INDEX(Tasks!$U$10:$U$1941,$P1571),"Open"))</x:f>
        <x:v>Open</x:v>
      </x:c>
      <x:c r="O1571" s="14"/>
      <x:c r="P1571" s="14" t="n">
        <x:f>IF(1550&gt;$B$10,"",MATCH(1550,Tasks!$S$10:$S$1941,0))</x:f>
        <x:v>1914</x:v>
      </x:c>
    </x:row>
    <x:row r="1572" ht="58" customHeight="1">
      <x:c r="B1572" s="86" t="str">
        <x:f>IF($P1572="","",INDEX(Tasks!$B$10:$B$1941,$P1572))</x:f>
        <x:v>Cycle 4</x:v>
      </x:c>
      <x:c r="C1572" s="86" t="str">
        <x:f>IF($P1572="","",INDEX(Tasks!$C$10:$C$1941,$P1572))</x:f>
        <x:v>Phase 1</x:v>
      </x:c>
      <x:c r="D1572" s="86" t="str">
        <x:f>IF($P1572="","",INDEX(Tasks!$D$10:$D$1941,$P1572))</x:f>
        <x:v>Retail Services</x:v>
      </x:c>
      <x:c r="E1572" s="86"/>
      <x:c r="F1572" s="86" t="str">
        <x:f>IF($P1572="","",INDEX(Tasks!$E$10:$E$1941,$P1572))</x:f>
        <x:v>Design &amp; Insights</x:v>
      </x:c>
      <x:c r="G1572" s="86"/>
      <x:c r="H1572" s="14" t="str">
        <x:f>IF($P1572="","",INDEX(Tasks!$F$10:$F$1941,$P1572)&amp;CHAR(10)&amp;INDEX(Tasks!$G$10:$G$1941,$P1572))</x:f>
        <x:v>DI.RS.1.3
Conduct high-level preliminary review of complaints within proposed topics</x:v>
      </x:c>
      <x:c r="I1572" s="14"/>
      <x:c r="J1572" s="14"/>
      <x:c r="K1572" s="14"/>
      <x:c r="L1572" s="86" t="str">
        <x:f>IF($P1572="","",INDEX(Tasks!$N$10:$N$1941,$P1572))</x:f>
        <x:v>Not started</x:v>
      </x:c>
      <x:c r="M1572" s="87" t="n">
        <x:f>IF($P1572="","",INDEX(Tasks!$J$10:$J$1941,$P1572))</x:f>
        <x:v>46387</x:v>
      </x:c>
      <x:c r="N1572" s="85" t="str">
        <x:f>IF($P1572="","",HYPERLINK("#'"&amp;INDEX(Tasks!$T$10:$T$1941,$P1572)&amp;"'!A"&amp;INDEX(Tasks!$U$10:$U$1941,$P1572),"Open"))</x:f>
        <x:v>Open</x:v>
      </x:c>
      <x:c r="O1572" s="14"/>
      <x:c r="P1572" s="14" t="n">
        <x:f>IF(1551&gt;$B$10,"",MATCH(1551,Tasks!$S$10:$S$1941,0))</x:f>
        <x:v>1915</x:v>
      </x:c>
    </x:row>
    <x:row r="1573" ht="58" customHeight="1">
      <x:c r="B1573" s="86" t="str">
        <x:f>IF($P1573="","",INDEX(Tasks!$B$10:$B$1941,$P1573))</x:f>
        <x:v>Cycle 4</x:v>
      </x:c>
      <x:c r="C1573" s="86" t="str">
        <x:f>IF($P1573="","",INDEX(Tasks!$C$10:$C$1941,$P1573))</x:f>
        <x:v>Phase 1</x:v>
      </x:c>
      <x:c r="D1573" s="86" t="str">
        <x:f>IF($P1573="","",INDEX(Tasks!$D$10:$D$1941,$P1573))</x:f>
        <x:v>Retail Services</x:v>
      </x:c>
      <x:c r="E1573" s="86"/>
      <x:c r="F1573" s="86" t="str">
        <x:f>IF($P1573="","",INDEX(Tasks!$E$10:$E$1941,$P1573))</x:f>
        <x:v>Design &amp; Insights</x:v>
      </x:c>
      <x:c r="G1573" s="86"/>
      <x:c r="H1573" s="14" t="str">
        <x:f>IF($P1573="","",INDEX(Tasks!$F$10:$F$1941,$P1573)&amp;CHAR(10)&amp;INDEX(Tasks!$G$10:$G$1941,$P1573))</x:f>
        <x:v>DI.RS.1.4
Meet with Research to discuss which topic to select based on potential impact</x:v>
      </x:c>
      <x:c r="I1573" s="14"/>
      <x:c r="J1573" s="14"/>
      <x:c r="K1573" s="14"/>
      <x:c r="L1573" s="86" t="str">
        <x:f>IF($P1573="","",INDEX(Tasks!$N$10:$N$1941,$P1573))</x:f>
        <x:v>Not started</x:v>
      </x:c>
      <x:c r="M1573" s="87" t="n">
        <x:f>IF($P1573="","",INDEX(Tasks!$J$10:$J$1941,$P1573))</x:f>
        <x:v>46387</x:v>
      </x:c>
      <x:c r="N1573" s="85" t="str">
        <x:f>IF($P1573="","",HYPERLINK("#'"&amp;INDEX(Tasks!$T$10:$T$1941,$P1573)&amp;"'!A"&amp;INDEX(Tasks!$U$10:$U$1941,$P1573),"Open"))</x:f>
        <x:v>Open</x:v>
      </x:c>
      <x:c r="O1573" s="14"/>
      <x:c r="P1573" s="14" t="n">
        <x:f>IF(1552&gt;$B$10,"",MATCH(1552,Tasks!$S$10:$S$1941,0))</x:f>
        <x:v>1916</x:v>
      </x:c>
    </x:row>
    <x:row r="1574" ht="58" customHeight="1">
      <x:c r="B1574" s="86" t="str">
        <x:f>IF($P1574="","",INDEX(Tasks!$B$10:$B$1941,$P1574))</x:f>
        <x:v>Cycle 4</x:v>
      </x:c>
      <x:c r="C1574" s="86" t="str">
        <x:f>IF($P1574="","",INDEX(Tasks!$C$10:$C$1941,$P1574))</x:f>
        <x:v>Phase 1</x:v>
      </x:c>
      <x:c r="D1574" s="86" t="str">
        <x:f>IF($P1574="","",INDEX(Tasks!$D$10:$D$1941,$P1574))</x:f>
        <x:v>Retail Services</x:v>
      </x:c>
      <x:c r="E1574" s="86"/>
      <x:c r="F1574" s="86" t="str">
        <x:f>IF($P1574="","",INDEX(Tasks!$E$10:$E$1941,$P1574))</x:f>
        <x:v>Design &amp; Insights</x:v>
      </x:c>
      <x:c r="G1574" s="86"/>
      <x:c r="H1574" s="14" t="str">
        <x:f>IF($P1574="","",INDEX(Tasks!$F$10:$F$1941,$P1574)&amp;CHAR(10)&amp;INDEX(Tasks!$G$10:$G$1941,$P1574))</x:f>
        <x:v>DI.RS.1.5
Confirm with Research the recommended topic for approval</x:v>
      </x:c>
      <x:c r="I1574" s="14"/>
      <x:c r="J1574" s="14"/>
      <x:c r="K1574" s="14"/>
      <x:c r="L1574" s="86" t="str">
        <x:f>IF($P1574="","",INDEX(Tasks!$N$10:$N$1941,$P1574))</x:f>
        <x:v>Not started</x:v>
      </x:c>
      <x:c r="M1574" s="87" t="n">
        <x:f>IF($P1574="","",INDEX(Tasks!$J$10:$J$1941,$P1574))</x:f>
        <x:v>46387</x:v>
      </x:c>
      <x:c r="N1574" s="85" t="str">
        <x:f>IF($P1574="","",HYPERLINK("#'"&amp;INDEX(Tasks!$T$10:$T$1941,$P1574)&amp;"'!A"&amp;INDEX(Tasks!$U$10:$U$1941,$P1574),"Open"))</x:f>
        <x:v>Open</x:v>
      </x:c>
      <x:c r="O1574" s="14"/>
      <x:c r="P1574" s="14" t="n">
        <x:f>IF(1553&gt;$B$10,"",MATCH(1553,Tasks!$S$10:$S$1941,0))</x:f>
        <x:v>1917</x:v>
      </x:c>
    </x:row>
    <x:row r="1575" ht="58" customHeight="1">
      <x:c r="B1575" s="86" t="str">
        <x:f>IF($P1575="","",INDEX(Tasks!$B$10:$B$1941,$P1575))</x:f>
        <x:v>Cycle 4</x:v>
      </x:c>
      <x:c r="C1575" s="86" t="str">
        <x:f>IF($P1575="","",INDEX(Tasks!$C$10:$C$1941,$P1575))</x:f>
        <x:v>Phase 1</x:v>
      </x:c>
      <x:c r="D1575" s="86" t="str">
        <x:f>IF($P1575="","",INDEX(Tasks!$D$10:$D$1941,$P1575))</x:f>
        <x:v>Retail Services</x:v>
      </x:c>
      <x:c r="E1575" s="86"/>
      <x:c r="F1575" s="86" t="str">
        <x:f>IF($P1575="","",INDEX(Tasks!$E$10:$E$1941,$P1575))</x:f>
        <x:v>Design &amp; Insights</x:v>
      </x:c>
      <x:c r="G1575" s="86"/>
      <x:c r="H1575" s="14" t="str">
        <x:f>IF($P1575="","",INDEX(Tasks!$F$10:$F$1941,$P1575)&amp;CHAR(10)&amp;INDEX(Tasks!$G$10:$G$1941,$P1575))</x:f>
        <x:v>DI.RS.1.6
Send topic selection socialization email to all key stakeholders on the first day of the review Cycle</x:v>
      </x:c>
      <x:c r="I1575" s="14"/>
      <x:c r="J1575" s="14"/>
      <x:c r="K1575" s="14"/>
      <x:c r="L1575" s="86" t="str">
        <x:f>IF($P1575="","",INDEX(Tasks!$N$10:$N$1941,$P1575))</x:f>
        <x:v>Not started</x:v>
      </x:c>
      <x:c r="M1575" s="87" t="n">
        <x:f>IF($P1575="","",INDEX(Tasks!$J$10:$J$1941,$P1575))</x:f>
        <x:v>46296</x:v>
      </x:c>
      <x:c r="N1575" s="85" t="str">
        <x:f>IF($P1575="","",HYPERLINK("#'"&amp;INDEX(Tasks!$T$10:$T$1941,$P1575)&amp;"'!A"&amp;INDEX(Tasks!$U$10:$U$1941,$P1575),"Open"))</x:f>
        <x:v>Open</x:v>
      </x:c>
      <x:c r="O1575" s="14"/>
      <x:c r="P1575" s="14" t="n">
        <x:f>IF(1554&gt;$B$10,"",MATCH(1554,Tasks!$S$10:$S$1941,0))</x:f>
        <x:v>1918</x:v>
      </x:c>
    </x:row>
    <x:row r="1576" ht="58" customHeight="1">
      <x:c r="B1576" s="86" t="str">
        <x:f>IF($P1576="","",INDEX(Tasks!$B$10:$B$1941,$P1576))</x:f>
        <x:v>Cycle 4</x:v>
      </x:c>
      <x:c r="C1576" s="86" t="str">
        <x:f>IF($P1576="","",INDEX(Tasks!$C$10:$C$1941,$P1576))</x:f>
        <x:v>Phase 2</x:v>
      </x:c>
      <x:c r="D1576" s="86" t="str">
        <x:f>IF($P1576="","",INDEX(Tasks!$D$10:$D$1941,$P1576))</x:f>
        <x:v>Retail Services</x:v>
      </x:c>
      <x:c r="E1576" s="86"/>
      <x:c r="F1576" s="86" t="str">
        <x:f>IF($P1576="","",INDEX(Tasks!$E$10:$E$1941,$P1576))</x:f>
        <x:v>Design &amp; Insights</x:v>
      </x:c>
      <x:c r="G1576" s="86"/>
      <x:c r="H1576" s="14" t="str">
        <x:f>IF($P1576="","",INDEX(Tasks!$F$10:$F$1941,$P1576)&amp;CHAR(10)&amp;INDEX(Tasks!$G$10:$G$1941,$P1576))</x:f>
        <x:v>DI.RS.2.1
Meet regularly with Research to stay informed on progress, findings, and potential enhancement</x:v>
      </x:c>
      <x:c r="I1576" s="14"/>
      <x:c r="J1576" s="14"/>
      <x:c r="K1576" s="14"/>
      <x:c r="L1576" s="86" t="str">
        <x:f>IF($P1576="","",INDEX(Tasks!$N$10:$N$1941,$P1576))</x:f>
        <x:v>Not started</x:v>
      </x:c>
      <x:c r="M1576" s="87" t="n">
        <x:f>IF($P1576="","",INDEX(Tasks!$J$10:$J$1941,$P1576))</x:f>
        <x:v>46387</x:v>
      </x:c>
      <x:c r="N1576" s="85" t="str">
        <x:f>IF($P1576="","",HYPERLINK("#'"&amp;INDEX(Tasks!$T$10:$T$1941,$P1576)&amp;"'!A"&amp;INDEX(Tasks!$U$10:$U$1941,$P1576),"Open"))</x:f>
        <x:v>Open</x:v>
      </x:c>
      <x:c r="O1576" s="14"/>
      <x:c r="P1576" s="14" t="n">
        <x:f>IF(1555&gt;$B$10,"",MATCH(1555,Tasks!$S$10:$S$1941,0))</x:f>
        <x:v>1919</x:v>
      </x:c>
    </x:row>
    <x:row r="1577" ht="58" customHeight="1">
      <x:c r="B1577" s="86" t="str">
        <x:f>IF($P1577="","",INDEX(Tasks!$B$10:$B$1941,$P1577))</x:f>
        <x:v>Cycle 4</x:v>
      </x:c>
      <x:c r="C1577" s="86" t="str">
        <x:f>IF($P1577="","",INDEX(Tasks!$C$10:$C$1941,$P1577))</x:f>
        <x:v>Phase 2</x:v>
      </x:c>
      <x:c r="D1577" s="86" t="str">
        <x:f>IF($P1577="","",INDEX(Tasks!$D$10:$D$1941,$P1577))</x:f>
        <x:v>Retail Services</x:v>
      </x:c>
      <x:c r="E1577" s="86"/>
      <x:c r="F1577" s="86" t="str">
        <x:f>IF($P1577="","",INDEX(Tasks!$E$10:$E$1941,$P1577))</x:f>
        <x:v>Design &amp; Insights</x:v>
      </x:c>
      <x:c r="G1577" s="86"/>
      <x:c r="H1577" s="14" t="str">
        <x:f>IF($P1577="","",INDEX(Tasks!$F$10:$F$1941,$P1577)&amp;CHAR(10)&amp;INDEX(Tasks!$G$10:$G$1941,$P1577))</x:f>
        <x:v>DI.RS.2.2
Collaborate with Research on research plan specifics</x:v>
      </x:c>
      <x:c r="I1577" s="14"/>
      <x:c r="J1577" s="14"/>
      <x:c r="K1577" s="14"/>
      <x:c r="L1577" s="86" t="str">
        <x:f>IF($P1577="","",INDEX(Tasks!$N$10:$N$1941,$P1577))</x:f>
        <x:v>Not started</x:v>
      </x:c>
      <x:c r="M1577" s="87" t="n">
        <x:f>IF($P1577="","",INDEX(Tasks!$J$10:$J$1941,$P1577))</x:f>
        <x:v>46387</x:v>
      </x:c>
      <x:c r="N1577" s="85" t="str">
        <x:f>IF($P1577="","",HYPERLINK("#'"&amp;INDEX(Tasks!$T$10:$T$1941,$P1577)&amp;"'!A"&amp;INDEX(Tasks!$U$10:$U$1941,$P1577),"Open"))</x:f>
        <x:v>Open</x:v>
      </x:c>
      <x:c r="O1577" s="14"/>
      <x:c r="P1577" s="14" t="n">
        <x:f>IF(1556&gt;$B$10,"",MATCH(1556,Tasks!$S$10:$S$1941,0))</x:f>
        <x:v>1920</x:v>
      </x:c>
    </x:row>
    <x:row r="1578" ht="58" customHeight="1">
      <x:c r="B1578" s="86" t="str">
        <x:f>IF($P1578="","",INDEX(Tasks!$B$10:$B$1941,$P1578))</x:f>
        <x:v>Cycle 4</x:v>
      </x:c>
      <x:c r="C1578" s="86" t="str">
        <x:f>IF($P1578="","",INDEX(Tasks!$C$10:$C$1941,$P1578))</x:f>
        <x:v>Phase 2</x:v>
      </x:c>
      <x:c r="D1578" s="86" t="str">
        <x:f>IF($P1578="","",INDEX(Tasks!$D$10:$D$1941,$P1578))</x:f>
        <x:v>Retail Services</x:v>
      </x:c>
      <x:c r="E1578" s="86"/>
      <x:c r="F1578" s="86" t="str">
        <x:f>IF($P1578="","",INDEX(Tasks!$E$10:$E$1941,$P1578))</x:f>
        <x:v>Design &amp; Insights</x:v>
      </x:c>
      <x:c r="G1578" s="86"/>
      <x:c r="H1578" s="14" t="str">
        <x:f>IF($P1578="","",INDEX(Tasks!$F$10:$F$1941,$P1578)&amp;CHAR(10)&amp;INDEX(Tasks!$G$10:$G$1941,$P1578))</x:f>
        <x:v>DI.RS.2.3
Participate in SME insight meetings to gain perspective and appetite on potential enhancements</x:v>
      </x:c>
      <x:c r="I1578" s="14"/>
      <x:c r="J1578" s="14"/>
      <x:c r="K1578" s="14"/>
      <x:c r="L1578" s="86" t="str">
        <x:f>IF($P1578="","",INDEX(Tasks!$N$10:$N$1941,$P1578))</x:f>
        <x:v>Not started</x:v>
      </x:c>
      <x:c r="M1578" s="87" t="n">
        <x:f>IF($P1578="","",INDEX(Tasks!$J$10:$J$1941,$P1578))</x:f>
        <x:v>46387</x:v>
      </x:c>
      <x:c r="N1578" s="85" t="str">
        <x:f>IF($P1578="","",HYPERLINK("#'"&amp;INDEX(Tasks!$T$10:$T$1941,$P1578)&amp;"'!A"&amp;INDEX(Tasks!$U$10:$U$1941,$P1578),"Open"))</x:f>
        <x:v>Open</x:v>
      </x:c>
      <x:c r="O1578" s="14"/>
      <x:c r="P1578" s="14" t="n">
        <x:f>IF(1557&gt;$B$10,"",MATCH(1557,Tasks!$S$10:$S$1941,0))</x:f>
        <x:v>1921</x:v>
      </x:c>
    </x:row>
    <x:row r="1579" ht="58" customHeight="1">
      <x:c r="B1579" s="86" t="str">
        <x:f>IF($P1579="","",INDEX(Tasks!$B$10:$B$1941,$P1579))</x:f>
        <x:v>Cycle 4</x:v>
      </x:c>
      <x:c r="C1579" s="86" t="str">
        <x:f>IF($P1579="","",INDEX(Tasks!$C$10:$C$1941,$P1579))</x:f>
        <x:v>Phase 2</x:v>
      </x:c>
      <x:c r="D1579" s="86" t="str">
        <x:f>IF($P1579="","",INDEX(Tasks!$D$10:$D$1941,$P1579))</x:f>
        <x:v>Retail Services</x:v>
      </x:c>
      <x:c r="E1579" s="86"/>
      <x:c r="F1579" s="86" t="str">
        <x:f>IF($P1579="","",INDEX(Tasks!$E$10:$E$1941,$P1579))</x:f>
        <x:v>Design &amp; Insights</x:v>
      </x:c>
      <x:c r="G1579" s="86"/>
      <x:c r="H1579" s="14" t="str">
        <x:f>IF($P1579="","",INDEX(Tasks!$F$10:$F$1941,$P1579)&amp;CHAR(10)&amp;INDEX(Tasks!$G$10:$G$1941,$P1579))</x:f>
        <x:v>DI.RS.2.4
Begin development of presentation materials as Research is being completed</x:v>
      </x:c>
      <x:c r="I1579" s="14"/>
      <x:c r="J1579" s="14"/>
      <x:c r="K1579" s="14"/>
      <x:c r="L1579" s="86" t="str">
        <x:f>IF($P1579="","",INDEX(Tasks!$N$10:$N$1941,$P1579))</x:f>
        <x:v>Not started</x:v>
      </x:c>
      <x:c r="M1579" s="87" t="n">
        <x:f>IF($P1579="","",INDEX(Tasks!$J$10:$J$1941,$P1579))</x:f>
        <x:v>46387</x:v>
      </x:c>
      <x:c r="N1579" s="85" t="str">
        <x:f>IF($P1579="","",HYPERLINK("#'"&amp;INDEX(Tasks!$T$10:$T$1941,$P1579)&amp;"'!A"&amp;INDEX(Tasks!$U$10:$U$1941,$P1579),"Open"))</x:f>
        <x:v>Open</x:v>
      </x:c>
      <x:c r="O1579" s="14"/>
      <x:c r="P1579" s="14" t="n">
        <x:f>IF(1558&gt;$B$10,"",MATCH(1558,Tasks!$S$10:$S$1941,0))</x:f>
        <x:v>1922</x:v>
      </x:c>
    </x:row>
    <x:row r="1580" ht="58" customHeight="1">
      <x:c r="B1580" s="86" t="str">
        <x:f>IF($P1580="","",INDEX(Tasks!$B$10:$B$1941,$P1580))</x:f>
        <x:v>Cycle 4</x:v>
      </x:c>
      <x:c r="C1580" s="86" t="str">
        <x:f>IF($P1580="","",INDEX(Tasks!$C$10:$C$1941,$P1580))</x:f>
        <x:v>Phase 2</x:v>
      </x:c>
      <x:c r="D1580" s="86" t="str">
        <x:f>IF($P1580="","",INDEX(Tasks!$D$10:$D$1941,$P1580))</x:f>
        <x:v>Retail Services</x:v>
      </x:c>
      <x:c r="E1580" s="86"/>
      <x:c r="F1580" s="86" t="str">
        <x:f>IF($P1580="","",INDEX(Tasks!$E$10:$E$1941,$P1580))</x:f>
        <x:v>Design &amp; Insights</x:v>
      </x:c>
      <x:c r="G1580" s="86"/>
      <x:c r="H1580" s="14" t="str">
        <x:f>IF($P1580="","",INDEX(Tasks!$F$10:$F$1941,$P1580)&amp;CHAR(10)&amp;INDEX(Tasks!$G$10:$G$1941,$P1580))</x:f>
        <x:v>DI.RS.2.5
Draft initial enhancement recommendations (as applicable)</x:v>
      </x:c>
      <x:c r="I1580" s="14"/>
      <x:c r="J1580" s="14"/>
      <x:c r="K1580" s="14"/>
      <x:c r="L1580" s="86" t="str">
        <x:f>IF($P1580="","",INDEX(Tasks!$N$10:$N$1941,$P1580))</x:f>
        <x:v>Not started</x:v>
      </x:c>
      <x:c r="M1580" s="87" t="n">
        <x:f>IF($P1580="","",INDEX(Tasks!$J$10:$J$1941,$P1580))</x:f>
        <x:v>46387</x:v>
      </x:c>
      <x:c r="N1580" s="85" t="str">
        <x:f>IF($P1580="","",HYPERLINK("#'"&amp;INDEX(Tasks!$T$10:$T$1941,$P1580)&amp;"'!A"&amp;INDEX(Tasks!$U$10:$U$1941,$P1580),"Open"))</x:f>
        <x:v>Open</x:v>
      </x:c>
      <x:c r="O1580" s="14"/>
      <x:c r="P1580" s="14" t="n">
        <x:f>IF(1559&gt;$B$10,"",MATCH(1559,Tasks!$S$10:$S$1941,0))</x:f>
        <x:v>1923</x:v>
      </x:c>
    </x:row>
    <x:row r="1581" ht="58" customHeight="1">
      <x:c r="B1581" s="86" t="str">
        <x:f>IF($P1581="","",INDEX(Tasks!$B$10:$B$1941,$P1581))</x:f>
        <x:v>Cycle 4</x:v>
      </x:c>
      <x:c r="C1581" s="86" t="str">
        <x:f>IF($P1581="","",INDEX(Tasks!$C$10:$C$1941,$P1581))</x:f>
        <x:v>Phase 2</x:v>
      </x:c>
      <x:c r="D1581" s="86" t="str">
        <x:f>IF($P1581="","",INDEX(Tasks!$D$10:$D$1941,$P1581))</x:f>
        <x:v>Retail Services</x:v>
      </x:c>
      <x:c r="E1581" s="86"/>
      <x:c r="F1581" s="86" t="str">
        <x:f>IF($P1581="","",INDEX(Tasks!$E$10:$E$1941,$P1581))</x:f>
        <x:v>Design &amp; Insights</x:v>
      </x:c>
      <x:c r="G1581" s="86"/>
      <x:c r="H1581" s="14" t="str">
        <x:f>IF($P1581="","",INDEX(Tasks!$F$10:$F$1941,$P1581)&amp;CHAR(10)&amp;INDEX(Tasks!$G$10:$G$1941,$P1581))</x:f>
        <x:v>DI.RS.2.6
Finalize presentation deck draft at conclusion of Research phase</x:v>
      </x:c>
      <x:c r="I1581" s="14"/>
      <x:c r="J1581" s="14"/>
      <x:c r="K1581" s="14"/>
      <x:c r="L1581" s="86" t="str">
        <x:f>IF($P1581="","",INDEX(Tasks!$N$10:$N$1941,$P1581))</x:f>
        <x:v>Not started</x:v>
      </x:c>
      <x:c r="M1581" s="87" t="n">
        <x:f>IF($P1581="","",INDEX(Tasks!$J$10:$J$1941,$P1581))</x:f>
        <x:v>46387</x:v>
      </x:c>
      <x:c r="N1581" s="85" t="str">
        <x:f>IF($P1581="","",HYPERLINK("#'"&amp;INDEX(Tasks!$T$10:$T$1941,$P1581)&amp;"'!A"&amp;INDEX(Tasks!$U$10:$U$1941,$P1581),"Open"))</x:f>
        <x:v>Open</x:v>
      </x:c>
      <x:c r="O1581" s="14"/>
      <x:c r="P1581" s="14" t="n">
        <x:f>IF(1560&gt;$B$10,"",MATCH(1560,Tasks!$S$10:$S$1941,0))</x:f>
        <x:v>1924</x:v>
      </x:c>
    </x:row>
    <x:row r="1582" ht="58" customHeight="1">
      <x:c r="B1582" s="86" t="str">
        <x:f>IF($P1582="","",INDEX(Tasks!$B$10:$B$1941,$P1582))</x:f>
        <x:v>Cycle 4</x:v>
      </x:c>
      <x:c r="C1582" s="86" t="str">
        <x:f>IF($P1582="","",INDEX(Tasks!$C$10:$C$1941,$P1582))</x:f>
        <x:v>Phase 2</x:v>
      </x:c>
      <x:c r="D1582" s="86" t="str">
        <x:f>IF($P1582="","",INDEX(Tasks!$D$10:$D$1941,$P1582))</x:f>
        <x:v>Retail Services</x:v>
      </x:c>
      <x:c r="E1582" s="86"/>
      <x:c r="F1582" s="86" t="str">
        <x:f>IF($P1582="","",INDEX(Tasks!$E$10:$E$1941,$P1582))</x:f>
        <x:v>Design &amp; Insights</x:v>
      </x:c>
      <x:c r="G1582" s="86"/>
      <x:c r="H1582" s="14" t="str">
        <x:f>IF($P1582="","",INDEX(Tasks!$F$10:$F$1941,$P1582)&amp;CHAR(10)&amp;INDEX(Tasks!$G$10:$G$1941,$P1582))</x:f>
        <x:v>DI.RS.2.7
Update Outcome portion of research plan with current enhancement verbiage (as needed)</x:v>
      </x:c>
      <x:c r="I1582" s="14"/>
      <x:c r="J1582" s="14"/>
      <x:c r="K1582" s="14"/>
      <x:c r="L1582" s="86" t="str">
        <x:f>IF($P1582="","",INDEX(Tasks!$N$10:$N$1941,$P1582))</x:f>
        <x:v>Not started</x:v>
      </x:c>
      <x:c r="M1582" s="87" t="n">
        <x:f>IF($P1582="","",INDEX(Tasks!$J$10:$J$1941,$P1582))</x:f>
        <x:v>46387</x:v>
      </x:c>
      <x:c r="N1582" s="85" t="str">
        <x:f>IF($P1582="","",HYPERLINK("#'"&amp;INDEX(Tasks!$T$10:$T$1941,$P1582)&amp;"'!A"&amp;INDEX(Tasks!$U$10:$U$1941,$P1582),"Open"))</x:f>
        <x:v>Open</x:v>
      </x:c>
      <x:c r="O1582" s="14"/>
      <x:c r="P1582" s="14" t="n">
        <x:f>IF(1561&gt;$B$10,"",MATCH(1561,Tasks!$S$10:$S$1941,0))</x:f>
        <x:v>1925</x:v>
      </x:c>
    </x:row>
    <x:row r="1583" ht="58" customHeight="1">
      <x:c r="B1583" s="86" t="str">
        <x:f>IF($P1583="","",INDEX(Tasks!$B$10:$B$1941,$P1583))</x:f>
        <x:v>Cycle 4</x:v>
      </x:c>
      <x:c r="C1583" s="86" t="str">
        <x:f>IF($P1583="","",INDEX(Tasks!$C$10:$C$1941,$P1583))</x:f>
        <x:v>Phase 3</x:v>
      </x:c>
      <x:c r="D1583" s="86" t="str">
        <x:f>IF($P1583="","",INDEX(Tasks!$D$10:$D$1941,$P1583))</x:f>
        <x:v>Retail Services</x:v>
      </x:c>
      <x:c r="E1583" s="86"/>
      <x:c r="F1583" s="86" t="str">
        <x:f>IF($P1583="","",INDEX(Tasks!$E$10:$E$1941,$P1583))</x:f>
        <x:v>Design &amp; Insights</x:v>
      </x:c>
      <x:c r="G1583" s="86"/>
      <x:c r="H1583" s="14" t="str">
        <x:f>IF($P1583="","",INDEX(Tasks!$F$10:$F$1941,$P1583)&amp;CHAR(10)&amp;INDEX(Tasks!$G$10:$G$1941,$P1583))</x:f>
        <x:v>DI.RS.3.1
Confirm list of required &amp; optional attendees for pre-socialization meeting</x:v>
      </x:c>
      <x:c r="I1583" s="14"/>
      <x:c r="J1583" s="14"/>
      <x:c r="K1583" s="14"/>
      <x:c r="L1583" s="86" t="str">
        <x:f>IF($P1583="","",INDEX(Tasks!$N$10:$N$1941,$P1583))</x:f>
        <x:v>Not started</x:v>
      </x:c>
      <x:c r="M1583" s="87" t="n">
        <x:f>IF($P1583="","",INDEX(Tasks!$J$10:$J$1941,$P1583))</x:f>
        <x:v>46387</x:v>
      </x:c>
      <x:c r="N1583" s="85" t="str">
        <x:f>IF($P1583="","",HYPERLINK("#'"&amp;INDEX(Tasks!$T$10:$T$1941,$P1583)&amp;"'!A"&amp;INDEX(Tasks!$U$10:$U$1941,$P1583),"Open"))</x:f>
        <x:v>Open</x:v>
      </x:c>
      <x:c r="O1583" s="14"/>
      <x:c r="P1583" s="14" t="n">
        <x:f>IF(1562&gt;$B$10,"",MATCH(1562,Tasks!$S$10:$S$1941,0))</x:f>
        <x:v>1926</x:v>
      </x:c>
    </x:row>
    <x:row r="1584" ht="58" customHeight="1">
      <x:c r="B1584" s="86" t="str">
        <x:f>IF($P1584="","",INDEX(Tasks!$B$10:$B$1941,$P1584))</x:f>
        <x:v>Cycle 4</x:v>
      </x:c>
      <x:c r="C1584" s="86" t="str">
        <x:f>IF($P1584="","",INDEX(Tasks!$C$10:$C$1941,$P1584))</x:f>
        <x:v>Phase 3</x:v>
      </x:c>
      <x:c r="D1584" s="86" t="str">
        <x:f>IF($P1584="","",INDEX(Tasks!$D$10:$D$1941,$P1584))</x:f>
        <x:v>Retail Services</x:v>
      </x:c>
      <x:c r="E1584" s="86"/>
      <x:c r="F1584" s="86" t="str">
        <x:f>IF($P1584="","",INDEX(Tasks!$E$10:$E$1941,$P1584))</x:f>
        <x:v>Design &amp; Insights</x:v>
      </x:c>
      <x:c r="G1584" s="86"/>
      <x:c r="H1584" s="14" t="str">
        <x:f>IF($P1584="","",INDEX(Tasks!$F$10:$F$1941,$P1584)&amp;CHAR(10)&amp;INDEX(Tasks!$G$10:$G$1941,$P1584))</x:f>
        <x:v>DI.RS.3.2
Schedule pre-socialization meeting 1 week prior to RCA Forum</x:v>
      </x:c>
      <x:c r="I1584" s="14"/>
      <x:c r="J1584" s="14"/>
      <x:c r="K1584" s="14"/>
      <x:c r="L1584" s="86" t="str">
        <x:f>IF($P1584="","",INDEX(Tasks!$N$10:$N$1941,$P1584))</x:f>
        <x:v>Not started</x:v>
      </x:c>
      <x:c r="M1584" s="87" t="str">
        <x:f>IF($P1584="","",INDEX(Tasks!$J$10:$J$1941,$P1584))</x:f>
      </x:c>
      <x:c r="N1584" s="85" t="str">
        <x:f>IF($P1584="","",HYPERLINK("#'"&amp;INDEX(Tasks!$T$10:$T$1941,$P1584)&amp;"'!A"&amp;INDEX(Tasks!$U$10:$U$1941,$P1584),"Open"))</x:f>
        <x:v>Open</x:v>
      </x:c>
      <x:c r="O1584" s="14"/>
      <x:c r="P1584" s="14" t="n">
        <x:f>IF(1563&gt;$B$10,"",MATCH(1563,Tasks!$S$10:$S$1941,0))</x:f>
        <x:v>1927</x:v>
      </x:c>
    </x:row>
    <x:row r="1585" ht="58" customHeight="1">
      <x:c r="B1585" s="86" t="str">
        <x:f>IF($P1585="","",INDEX(Tasks!$B$10:$B$1941,$P1585))</x:f>
        <x:v>Cycle 4</x:v>
      </x:c>
      <x:c r="C1585" s="86" t="str">
        <x:f>IF($P1585="","",INDEX(Tasks!$C$10:$C$1941,$P1585))</x:f>
        <x:v>Phase 3</x:v>
      </x:c>
      <x:c r="D1585" s="86" t="str">
        <x:f>IF($P1585="","",INDEX(Tasks!$D$10:$D$1941,$P1585))</x:f>
        <x:v>Retail Services</x:v>
      </x:c>
      <x:c r="E1585" s="86"/>
      <x:c r="F1585" s="86" t="str">
        <x:f>IF($P1585="","",INDEX(Tasks!$E$10:$E$1941,$P1585))</x:f>
        <x:v>Design &amp; Insights</x:v>
      </x:c>
      <x:c r="G1585" s="86"/>
      <x:c r="H1585" s="14" t="str">
        <x:f>IF($P1585="","",INDEX(Tasks!$F$10:$F$1941,$P1585)&amp;CHAR(10)&amp;INDEX(Tasks!$G$10:$G$1941,$P1585))</x:f>
        <x:v>DI.RS.3.3
Present findings, conclusions, and recommendation to SMEs</x:v>
      </x:c>
      <x:c r="I1585" s="14"/>
      <x:c r="J1585" s="14"/>
      <x:c r="K1585" s="14"/>
      <x:c r="L1585" s="86" t="str">
        <x:f>IF($P1585="","",INDEX(Tasks!$N$10:$N$1941,$P1585))</x:f>
        <x:v>Not started</x:v>
      </x:c>
      <x:c r="M1585" s="87" t="n">
        <x:f>IF($P1585="","",INDEX(Tasks!$J$10:$J$1941,$P1585))</x:f>
        <x:v>46387</x:v>
      </x:c>
      <x:c r="N1585" s="85" t="str">
        <x:f>IF($P1585="","",HYPERLINK("#'"&amp;INDEX(Tasks!$T$10:$T$1941,$P1585)&amp;"'!A"&amp;INDEX(Tasks!$U$10:$U$1941,$P1585),"Open"))</x:f>
        <x:v>Open</x:v>
      </x:c>
      <x:c r="O1585" s="14"/>
      <x:c r="P1585" s="14" t="n">
        <x:f>IF(1564&gt;$B$10,"",MATCH(1564,Tasks!$S$10:$S$1941,0))</x:f>
        <x:v>1928</x:v>
      </x:c>
    </x:row>
    <x:row r="1586" ht="58" customHeight="1">
      <x:c r="B1586" s="86" t="str">
        <x:f>IF($P1586="","",INDEX(Tasks!$B$10:$B$1941,$P1586))</x:f>
        <x:v>Cycle 4</x:v>
      </x:c>
      <x:c r="C1586" s="86" t="str">
        <x:f>IF($P1586="","",INDEX(Tasks!$C$10:$C$1941,$P1586))</x:f>
        <x:v>Phase 3</x:v>
      </x:c>
      <x:c r="D1586" s="86" t="str">
        <x:f>IF($P1586="","",INDEX(Tasks!$D$10:$D$1941,$P1586))</x:f>
        <x:v>Retail Services</x:v>
      </x:c>
      <x:c r="E1586" s="86"/>
      <x:c r="F1586" s="86" t="str">
        <x:f>IF($P1586="","",INDEX(Tasks!$E$10:$E$1941,$P1586))</x:f>
        <x:v>Design &amp; Insights</x:v>
      </x:c>
      <x:c r="G1586" s="86"/>
      <x:c r="H1586" s="14" t="str">
        <x:f>IF($P1586="","",INDEX(Tasks!$F$10:$F$1941,$P1586)&amp;CHAR(10)&amp;INDEX(Tasks!$G$10:$G$1941,$P1586))</x:f>
        <x:v>DI.RS.3.4
Update Outcome portion of research plan (as needed)</x:v>
      </x:c>
      <x:c r="I1586" s="14"/>
      <x:c r="J1586" s="14"/>
      <x:c r="K1586" s="14"/>
      <x:c r="L1586" s="86" t="str">
        <x:f>IF($P1586="","",INDEX(Tasks!$N$10:$N$1941,$P1586))</x:f>
        <x:v>Not started</x:v>
      </x:c>
      <x:c r="M1586" s="87" t="n">
        <x:f>IF($P1586="","",INDEX(Tasks!$J$10:$J$1941,$P1586))</x:f>
        <x:v>46387</x:v>
      </x:c>
      <x:c r="N1586" s="85" t="str">
        <x:f>IF($P1586="","",HYPERLINK("#'"&amp;INDEX(Tasks!$T$10:$T$1941,$P1586)&amp;"'!A"&amp;INDEX(Tasks!$U$10:$U$1941,$P1586),"Open"))</x:f>
        <x:v>Open</x:v>
      </x:c>
      <x:c r="O1586" s="14"/>
      <x:c r="P1586" s="14" t="n">
        <x:f>IF(1565&gt;$B$10,"",MATCH(1565,Tasks!$S$10:$S$1941,0))</x:f>
        <x:v>1929</x:v>
      </x:c>
    </x:row>
    <x:row r="1587" ht="58" customHeight="1">
      <x:c r="B1587" s="86" t="str">
        <x:f>IF($P1587="","",INDEX(Tasks!$B$10:$B$1941,$P1587))</x:f>
        <x:v>Cycle 4</x:v>
      </x:c>
      <x:c r="C1587" s="86" t="str">
        <x:f>IF($P1587="","",INDEX(Tasks!$C$10:$C$1941,$P1587))</x:f>
        <x:v>Phase 3</x:v>
      </x:c>
      <x:c r="D1587" s="86" t="str">
        <x:f>IF($P1587="","",INDEX(Tasks!$D$10:$D$1941,$P1587))</x:f>
        <x:v>Retail Services</x:v>
      </x:c>
      <x:c r="E1587" s="86"/>
      <x:c r="F1587" s="86" t="str">
        <x:f>IF($P1587="","",INDEX(Tasks!$E$10:$E$1941,$P1587))</x:f>
        <x:v>Design &amp; Insights</x:v>
      </x:c>
      <x:c r="G1587" s="86"/>
      <x:c r="H1587" s="14" t="str">
        <x:f>IF($P1587="","",INDEX(Tasks!$F$10:$F$1941,$P1587)&amp;CHAR(10)&amp;INDEX(Tasks!$G$10:$G$1941,$P1587))</x:f>
        <x:v>DI.RS.3.5
Finalize presentation deck by incorporating pre-socialization feedback (as needed)</x:v>
      </x:c>
      <x:c r="I1587" s="14"/>
      <x:c r="J1587" s="14"/>
      <x:c r="K1587" s="14"/>
      <x:c r="L1587" s="86" t="str">
        <x:f>IF($P1587="","",INDEX(Tasks!$N$10:$N$1941,$P1587))</x:f>
        <x:v>Not started</x:v>
      </x:c>
      <x:c r="M1587" s="87" t="n">
        <x:f>IF($P1587="","",INDEX(Tasks!$J$10:$J$1941,$P1587))</x:f>
        <x:v>46387</x:v>
      </x:c>
      <x:c r="N1587" s="85" t="str">
        <x:f>IF($P1587="","",HYPERLINK("#'"&amp;INDEX(Tasks!$T$10:$T$1941,$P1587)&amp;"'!A"&amp;INDEX(Tasks!$U$10:$U$1941,$P1587),"Open"))</x:f>
        <x:v>Open</x:v>
      </x:c>
      <x:c r="O1587" s="14"/>
      <x:c r="P1587" s="14" t="n">
        <x:f>IF(1566&gt;$B$10,"",MATCH(1566,Tasks!$S$10:$S$1941,0))</x:f>
        <x:v>1930</x:v>
      </x:c>
    </x:row>
    <x:row r="1588" ht="58" customHeight="1">
      <x:c r="B1588" s="86" t="str">
        <x:f>IF($P1588="","",INDEX(Tasks!$B$10:$B$1941,$P1588))</x:f>
        <x:v>Cycle 4</x:v>
      </x:c>
      <x:c r="C1588" s="86" t="str">
        <x:f>IF($P1588="","",INDEX(Tasks!$C$10:$C$1941,$P1588))</x:f>
        <x:v>Phase 3</x:v>
      </x:c>
      <x:c r="D1588" s="86" t="str">
        <x:f>IF($P1588="","",INDEX(Tasks!$D$10:$D$1941,$P1588))</x:f>
        <x:v>Retail Services</x:v>
      </x:c>
      <x:c r="E1588" s="86"/>
      <x:c r="F1588" s="86" t="str">
        <x:f>IF($P1588="","",INDEX(Tasks!$E$10:$E$1941,$P1588))</x:f>
        <x:v>Design &amp; Insights</x:v>
      </x:c>
      <x:c r="G1588" s="86"/>
      <x:c r="H1588" s="14" t="str">
        <x:f>IF($P1588="","",INDEX(Tasks!$F$10:$F$1941,$P1588)&amp;CHAR(10)&amp;INDEX(Tasks!$G$10:$G$1941,$P1588))</x:f>
        <x:v>DI.RS.3.6
Ensure final deck is communicated to Forum attendees</x:v>
      </x:c>
      <x:c r="I1588" s="14"/>
      <x:c r="J1588" s="14"/>
      <x:c r="K1588" s="14"/>
      <x:c r="L1588" s="86" t="str">
        <x:f>IF($P1588="","",INDEX(Tasks!$N$10:$N$1941,$P1588))</x:f>
        <x:v>Not started</x:v>
      </x:c>
      <x:c r="M1588" s="87" t="n">
        <x:f>IF($P1588="","",INDEX(Tasks!$J$10:$J$1941,$P1588))</x:f>
        <x:v>46387</x:v>
      </x:c>
      <x:c r="N1588" s="85" t="str">
        <x:f>IF($P1588="","",HYPERLINK("#'"&amp;INDEX(Tasks!$T$10:$T$1941,$P1588)&amp;"'!A"&amp;INDEX(Tasks!$U$10:$U$1941,$P1588),"Open"))</x:f>
        <x:v>Open</x:v>
      </x:c>
      <x:c r="O1588" s="14"/>
      <x:c r="P1588" s="14" t="n">
        <x:f>IF(1567&gt;$B$10,"",MATCH(1567,Tasks!$S$10:$S$1941,0))</x:f>
        <x:v>1931</x:v>
      </x:c>
    </x:row>
    <x:row r="1589" ht="58" customHeight="1">
      <x:c r="B1589" s="86" t="str">
        <x:f>IF($P1589="","",INDEX(Tasks!$B$10:$B$1941,$P1589))</x:f>
        <x:v>Cycle 4</x:v>
      </x:c>
      <x:c r="C1589" s="86" t="str">
        <x:f>IF($P1589="","",INDEX(Tasks!$C$10:$C$1941,$P1589))</x:f>
        <x:v>Phase 3</x:v>
      </x:c>
      <x:c r="D1589" s="86" t="str">
        <x:f>IF($P1589="","",INDEX(Tasks!$D$10:$D$1941,$P1589))</x:f>
        <x:v>Retail Services</x:v>
      </x:c>
      <x:c r="E1589" s="86"/>
      <x:c r="F1589" s="86" t="str">
        <x:f>IF($P1589="","",INDEX(Tasks!$E$10:$E$1941,$P1589))</x:f>
        <x:v>Design &amp; Insights</x:v>
      </x:c>
      <x:c r="G1589" s="86"/>
      <x:c r="H1589" s="14" t="str">
        <x:f>IF($P1589="","",INDEX(Tasks!$F$10:$F$1941,$P1589)&amp;CHAR(10)&amp;INDEX(Tasks!$G$10:$G$1941,$P1589))</x:f>
        <x:v>DI.RS.3.7
Present material in RCA Cycle Forum</x:v>
      </x:c>
      <x:c r="I1589" s="14"/>
      <x:c r="J1589" s="14"/>
      <x:c r="K1589" s="14"/>
      <x:c r="L1589" s="86" t="str">
        <x:f>IF($P1589="","",INDEX(Tasks!$N$10:$N$1941,$P1589))</x:f>
        <x:v>Not started</x:v>
      </x:c>
      <x:c r="M1589" s="87" t="str">
        <x:f>IF($P1589="","",INDEX(Tasks!$J$10:$J$1941,$P1589))</x:f>
      </x:c>
      <x:c r="N1589" s="85" t="str">
        <x:f>IF($P1589="","",HYPERLINK("#'"&amp;INDEX(Tasks!$T$10:$T$1941,$P1589)&amp;"'!A"&amp;INDEX(Tasks!$U$10:$U$1941,$P1589),"Open"))</x:f>
        <x:v>Open</x:v>
      </x:c>
      <x:c r="O1589" s="14"/>
      <x:c r="P1589" s="14" t="n">
        <x:f>IF(1568&gt;$B$10,"",MATCH(1568,Tasks!$S$10:$S$1941,0))</x:f>
        <x:v>1932</x:v>
      </x:c>
    </x:row>
  </x:sheetData>
  <x:mergeCells>
    <x:mergeCell ref="B3:C3"/>
    <x:mergeCell ref="D3:F3"/>
    <x:mergeCell ref="G3:J3"/>
    <x:mergeCell ref="K3:N3"/>
    <x:mergeCell ref="B5:N5"/>
    <x:mergeCell ref="B6:C6"/>
    <x:mergeCell ref="B7:C7"/>
    <x:mergeCell ref="D6:E6"/>
    <x:mergeCell ref="D7:E7"/>
    <x:mergeCell ref="F6:G6"/>
    <x:mergeCell ref="F7:G7"/>
    <x:mergeCell ref="H6:J6"/>
    <x:mergeCell ref="H7:J7"/>
    <x:mergeCell ref="K6:N6"/>
    <x:mergeCell ref="K7:N7"/>
    <x:mergeCell ref="B9:D9"/>
    <x:mergeCell ref="B10:D11"/>
    <x:mergeCell ref="E9:G9"/>
    <x:mergeCell ref="E10:G11"/>
    <x:mergeCell ref="H9:J9"/>
    <x:mergeCell ref="H10:J11"/>
    <x:mergeCell ref="K9:N9"/>
    <x:mergeCell ref="K10:N11"/>
    <x:mergeCell ref="B13:E13"/>
    <x:mergeCell ref="H13:J13"/>
    <x:mergeCell ref="B14:E14"/>
    <x:mergeCell ref="H14:J14"/>
    <x:mergeCell ref="M14:N14"/>
    <x:mergeCell ref="B15:E15"/>
    <x:mergeCell ref="H15:J15"/>
    <x:mergeCell ref="M15:N15"/>
    <x:mergeCell ref="B16:E16"/>
    <x:mergeCell ref="H16:J16"/>
    <x:mergeCell ref="M16:N16"/>
    <x:mergeCell ref="B18:J18"/>
    <x:mergeCell ref="B19:N19"/>
    <x:mergeCell ref="K18:N18"/>
    <x:mergeCell ref="D21:E21"/>
    <x:mergeCell ref="F21:G21"/>
    <x:mergeCell ref="H21:K21"/>
    <x:mergeCell ref="D22:E22"/>
    <x:mergeCell ref="F22:G22"/>
    <x:mergeCell ref="H22:K22"/>
    <x:mergeCell ref="D23:E23"/>
    <x:mergeCell ref="F23:G23"/>
    <x:mergeCell ref="H23:K23"/>
    <x:mergeCell ref="D24:E24"/>
    <x:mergeCell ref="F24:G24"/>
    <x:mergeCell ref="H24:K24"/>
    <x:mergeCell ref="D25:E25"/>
    <x:mergeCell ref="F25:G25"/>
    <x:mergeCell ref="H25:K25"/>
    <x:mergeCell ref="D26:E26"/>
    <x:mergeCell ref="F26:G26"/>
    <x:mergeCell ref="H26:K26"/>
    <x:mergeCell ref="D27:E27"/>
    <x:mergeCell ref="F27:G27"/>
    <x:mergeCell ref="H27:K27"/>
    <x:mergeCell ref="D28:E28"/>
    <x:mergeCell ref="F28:G28"/>
    <x:mergeCell ref="H28:K28"/>
    <x:mergeCell ref="D29:E29"/>
    <x:mergeCell ref="F29:G29"/>
    <x:mergeCell ref="H29:K29"/>
    <x:mergeCell ref="D30:E30"/>
    <x:mergeCell ref="F30:G30"/>
    <x:mergeCell ref="H30:K30"/>
    <x:mergeCell ref="D31:E31"/>
    <x:mergeCell ref="F31:G31"/>
    <x:mergeCell ref="H31:K31"/>
    <x:mergeCell ref="D32:E32"/>
    <x:mergeCell ref="F32:G32"/>
    <x:mergeCell ref="H32:K32"/>
    <x:mergeCell ref="D33:E33"/>
    <x:mergeCell ref="F33:G33"/>
    <x:mergeCell ref="H33:K33"/>
    <x:mergeCell ref="D34:E34"/>
    <x:mergeCell ref="F34:G34"/>
    <x:mergeCell ref="H34:K34"/>
    <x:mergeCell ref="D35:E35"/>
    <x:mergeCell ref="F35:G35"/>
    <x:mergeCell ref="H35:K35"/>
    <x:mergeCell ref="D36:E36"/>
    <x:mergeCell ref="F36:G36"/>
    <x:mergeCell ref="H36:K36"/>
    <x:mergeCell ref="D37:E37"/>
    <x:mergeCell ref="F37:G37"/>
    <x:mergeCell ref="H37:K37"/>
    <x:mergeCell ref="D38:E38"/>
    <x:mergeCell ref="F38:G38"/>
    <x:mergeCell ref="H38:K38"/>
    <x:mergeCell ref="D39:E39"/>
    <x:mergeCell ref="F39:G39"/>
    <x:mergeCell ref="H39:K39"/>
    <x:mergeCell ref="D40:E40"/>
    <x:mergeCell ref="F40:G40"/>
    <x:mergeCell ref="H40:K40"/>
    <x:mergeCell ref="D41:E41"/>
    <x:mergeCell ref="F41:G41"/>
    <x:mergeCell ref="H41:K41"/>
    <x:mergeCell ref="D42:E42"/>
    <x:mergeCell ref="F42:G42"/>
    <x:mergeCell ref="H42:K42"/>
    <x:mergeCell ref="D43:E43"/>
    <x:mergeCell ref="F43:G43"/>
    <x:mergeCell ref="H43:K43"/>
    <x:mergeCell ref="D44:E44"/>
    <x:mergeCell ref="F44:G44"/>
    <x:mergeCell ref="H44:K44"/>
    <x:mergeCell ref="D45:E45"/>
    <x:mergeCell ref="F45:G45"/>
    <x:mergeCell ref="H45:K45"/>
    <x:mergeCell ref="D46:E46"/>
    <x:mergeCell ref="F46:G46"/>
    <x:mergeCell ref="H46:K46"/>
    <x:mergeCell ref="D47:E47"/>
    <x:mergeCell ref="F47:G47"/>
    <x:mergeCell ref="H47:K47"/>
    <x:mergeCell ref="D48:E48"/>
    <x:mergeCell ref="F48:G48"/>
    <x:mergeCell ref="H48:K48"/>
    <x:mergeCell ref="D49:E49"/>
    <x:mergeCell ref="F49:G49"/>
    <x:mergeCell ref="H49:K49"/>
    <x:mergeCell ref="D50:E50"/>
    <x:mergeCell ref="F50:G50"/>
    <x:mergeCell ref="H50:K50"/>
    <x:mergeCell ref="D51:E51"/>
    <x:mergeCell ref="F51:G51"/>
    <x:mergeCell ref="H51:K51"/>
    <x:mergeCell ref="D52:E52"/>
    <x:mergeCell ref="F52:G52"/>
    <x:mergeCell ref="H52:K52"/>
    <x:mergeCell ref="D53:E53"/>
    <x:mergeCell ref="F53:G53"/>
    <x:mergeCell ref="H53:K53"/>
    <x:mergeCell ref="D54:E54"/>
    <x:mergeCell ref="F54:G54"/>
    <x:mergeCell ref="H54:K54"/>
    <x:mergeCell ref="D55:E55"/>
    <x:mergeCell ref="F55:G55"/>
    <x:mergeCell ref="H55:K55"/>
    <x:mergeCell ref="D56:E56"/>
    <x:mergeCell ref="F56:G56"/>
    <x:mergeCell ref="H56:K56"/>
    <x:mergeCell ref="D57:E57"/>
    <x:mergeCell ref="F57:G57"/>
    <x:mergeCell ref="H57:K57"/>
    <x:mergeCell ref="D58:E58"/>
    <x:mergeCell ref="F58:G58"/>
    <x:mergeCell ref="H58:K58"/>
    <x:mergeCell ref="D59:E59"/>
    <x:mergeCell ref="F59:G59"/>
    <x:mergeCell ref="H59:K59"/>
    <x:mergeCell ref="D60:E60"/>
    <x:mergeCell ref="F60:G60"/>
    <x:mergeCell ref="H60:K60"/>
    <x:mergeCell ref="D61:E61"/>
    <x:mergeCell ref="F61:G61"/>
    <x:mergeCell ref="H61:K61"/>
    <x:mergeCell ref="D62:E62"/>
    <x:mergeCell ref="F62:G62"/>
    <x:mergeCell ref="H62:K62"/>
    <x:mergeCell ref="D63:E63"/>
    <x:mergeCell ref="F63:G63"/>
    <x:mergeCell ref="H63:K63"/>
    <x:mergeCell ref="D64:E64"/>
    <x:mergeCell ref="F64:G64"/>
    <x:mergeCell ref="H64:K64"/>
    <x:mergeCell ref="D65:E65"/>
    <x:mergeCell ref="F65:G65"/>
    <x:mergeCell ref="H65:K65"/>
    <x:mergeCell ref="D66:E66"/>
    <x:mergeCell ref="F66:G66"/>
    <x:mergeCell ref="H66:K66"/>
    <x:mergeCell ref="D67:E67"/>
    <x:mergeCell ref="F67:G67"/>
    <x:mergeCell ref="H67:K67"/>
    <x:mergeCell ref="D68:E68"/>
    <x:mergeCell ref="F68:G68"/>
    <x:mergeCell ref="H68:K68"/>
    <x:mergeCell ref="D69:E69"/>
    <x:mergeCell ref="F69:G69"/>
    <x:mergeCell ref="H69:K69"/>
    <x:mergeCell ref="D70:E70"/>
    <x:mergeCell ref="F70:G70"/>
    <x:mergeCell ref="H70:K70"/>
    <x:mergeCell ref="D71:E71"/>
    <x:mergeCell ref="F71:G71"/>
    <x:mergeCell ref="H71:K71"/>
    <x:mergeCell ref="D72:E72"/>
    <x:mergeCell ref="F72:G72"/>
    <x:mergeCell ref="H72:K72"/>
    <x:mergeCell ref="D73:E73"/>
    <x:mergeCell ref="F73:G73"/>
    <x:mergeCell ref="H73:K73"/>
    <x:mergeCell ref="D74:E74"/>
    <x:mergeCell ref="F74:G74"/>
    <x:mergeCell ref="H74:K74"/>
    <x:mergeCell ref="D75:E75"/>
    <x:mergeCell ref="F75:G75"/>
    <x:mergeCell ref="H75:K75"/>
    <x:mergeCell ref="D76:E76"/>
    <x:mergeCell ref="F76:G76"/>
    <x:mergeCell ref="H76:K76"/>
    <x:mergeCell ref="D77:E77"/>
    <x:mergeCell ref="F77:G77"/>
    <x:mergeCell ref="H77:K77"/>
    <x:mergeCell ref="D78:E78"/>
    <x:mergeCell ref="F78:G78"/>
    <x:mergeCell ref="H78:K78"/>
    <x:mergeCell ref="D79:E79"/>
    <x:mergeCell ref="F79:G79"/>
    <x:mergeCell ref="H79:K79"/>
    <x:mergeCell ref="D80:E80"/>
    <x:mergeCell ref="F80:G80"/>
    <x:mergeCell ref="H80:K80"/>
    <x:mergeCell ref="D81:E81"/>
    <x:mergeCell ref="F81:G81"/>
    <x:mergeCell ref="H81:K81"/>
    <x:mergeCell ref="D82:E82"/>
    <x:mergeCell ref="F82:G82"/>
    <x:mergeCell ref="H82:K82"/>
    <x:mergeCell ref="D83:E83"/>
    <x:mergeCell ref="F83:G83"/>
    <x:mergeCell ref="H83:K83"/>
    <x:mergeCell ref="D84:E84"/>
    <x:mergeCell ref="F84:G84"/>
    <x:mergeCell ref="H84:K84"/>
    <x:mergeCell ref="D85:E85"/>
    <x:mergeCell ref="F85:G85"/>
    <x:mergeCell ref="H85:K85"/>
    <x:mergeCell ref="D86:E86"/>
    <x:mergeCell ref="F86:G86"/>
    <x:mergeCell ref="H86:K86"/>
    <x:mergeCell ref="D87:E87"/>
    <x:mergeCell ref="F87:G87"/>
    <x:mergeCell ref="H87:K87"/>
    <x:mergeCell ref="D88:E88"/>
    <x:mergeCell ref="F88:G88"/>
    <x:mergeCell ref="H88:K88"/>
    <x:mergeCell ref="D89:E89"/>
    <x:mergeCell ref="F89:G89"/>
    <x:mergeCell ref="H89:K89"/>
    <x:mergeCell ref="D90:E90"/>
    <x:mergeCell ref="F90:G90"/>
    <x:mergeCell ref="H90:K90"/>
    <x:mergeCell ref="D91:E91"/>
    <x:mergeCell ref="F91:G91"/>
    <x:mergeCell ref="H91:K91"/>
    <x:mergeCell ref="D92:E92"/>
    <x:mergeCell ref="F92:G92"/>
    <x:mergeCell ref="H92:K92"/>
    <x:mergeCell ref="D93:E93"/>
    <x:mergeCell ref="F93:G93"/>
    <x:mergeCell ref="H93:K93"/>
    <x:mergeCell ref="D94:E94"/>
    <x:mergeCell ref="F94:G94"/>
    <x:mergeCell ref="H94:K94"/>
    <x:mergeCell ref="D95:E95"/>
    <x:mergeCell ref="F95:G95"/>
    <x:mergeCell ref="H95:K95"/>
    <x:mergeCell ref="D96:E96"/>
    <x:mergeCell ref="F96:G96"/>
    <x:mergeCell ref="H96:K96"/>
    <x:mergeCell ref="D97:E97"/>
    <x:mergeCell ref="F97:G97"/>
    <x:mergeCell ref="H97:K97"/>
    <x:mergeCell ref="D98:E98"/>
    <x:mergeCell ref="F98:G98"/>
    <x:mergeCell ref="H98:K98"/>
    <x:mergeCell ref="D99:E99"/>
    <x:mergeCell ref="F99:G99"/>
    <x:mergeCell ref="H99:K99"/>
    <x:mergeCell ref="D100:E100"/>
    <x:mergeCell ref="F100:G100"/>
    <x:mergeCell ref="H100:K100"/>
    <x:mergeCell ref="D101:E101"/>
    <x:mergeCell ref="F101:G101"/>
    <x:mergeCell ref="H101:K101"/>
    <x:mergeCell ref="D102:E102"/>
    <x:mergeCell ref="F102:G102"/>
    <x:mergeCell ref="H102:K102"/>
    <x:mergeCell ref="D103:E103"/>
    <x:mergeCell ref="F103:G103"/>
    <x:mergeCell ref="H103:K103"/>
    <x:mergeCell ref="D104:E104"/>
    <x:mergeCell ref="F104:G104"/>
    <x:mergeCell ref="H104:K104"/>
    <x:mergeCell ref="D105:E105"/>
    <x:mergeCell ref="F105:G105"/>
    <x:mergeCell ref="H105:K105"/>
    <x:mergeCell ref="D106:E106"/>
    <x:mergeCell ref="F106:G106"/>
    <x:mergeCell ref="H106:K106"/>
    <x:mergeCell ref="D107:E107"/>
    <x:mergeCell ref="F107:G107"/>
    <x:mergeCell ref="H107:K107"/>
    <x:mergeCell ref="D108:E108"/>
    <x:mergeCell ref="F108:G108"/>
    <x:mergeCell ref="H108:K108"/>
    <x:mergeCell ref="D109:E109"/>
    <x:mergeCell ref="F109:G109"/>
    <x:mergeCell ref="H109:K109"/>
    <x:mergeCell ref="D110:E110"/>
    <x:mergeCell ref="F110:G110"/>
    <x:mergeCell ref="H110:K110"/>
    <x:mergeCell ref="D111:E111"/>
    <x:mergeCell ref="F111:G111"/>
    <x:mergeCell ref="H111:K111"/>
    <x:mergeCell ref="D112:E112"/>
    <x:mergeCell ref="F112:G112"/>
    <x:mergeCell ref="H112:K112"/>
    <x:mergeCell ref="D113:E113"/>
    <x:mergeCell ref="F113:G113"/>
    <x:mergeCell ref="H113:K113"/>
    <x:mergeCell ref="D114:E114"/>
    <x:mergeCell ref="F114:G114"/>
    <x:mergeCell ref="H114:K114"/>
    <x:mergeCell ref="D115:E115"/>
    <x:mergeCell ref="F115:G115"/>
    <x:mergeCell ref="H115:K115"/>
    <x:mergeCell ref="D116:E116"/>
    <x:mergeCell ref="F116:G116"/>
    <x:mergeCell ref="H116:K116"/>
    <x:mergeCell ref="D117:E117"/>
    <x:mergeCell ref="F117:G117"/>
    <x:mergeCell ref="H117:K117"/>
    <x:mergeCell ref="D118:E118"/>
    <x:mergeCell ref="F118:G118"/>
    <x:mergeCell ref="H118:K118"/>
    <x:mergeCell ref="D119:E119"/>
    <x:mergeCell ref="F119:G119"/>
    <x:mergeCell ref="H119:K119"/>
    <x:mergeCell ref="D120:E120"/>
    <x:mergeCell ref="F120:G120"/>
    <x:mergeCell ref="H120:K120"/>
    <x:mergeCell ref="D121:E121"/>
    <x:mergeCell ref="F121:G121"/>
    <x:mergeCell ref="H121:K121"/>
    <x:mergeCell ref="D122:E122"/>
    <x:mergeCell ref="F122:G122"/>
    <x:mergeCell ref="H122:K122"/>
    <x:mergeCell ref="D123:E123"/>
    <x:mergeCell ref="F123:G123"/>
    <x:mergeCell ref="H123:K123"/>
    <x:mergeCell ref="D124:E124"/>
    <x:mergeCell ref="F124:G124"/>
    <x:mergeCell ref="H124:K124"/>
    <x:mergeCell ref="D125:E125"/>
    <x:mergeCell ref="F125:G125"/>
    <x:mergeCell ref="H125:K125"/>
    <x:mergeCell ref="D126:E126"/>
    <x:mergeCell ref="F126:G126"/>
    <x:mergeCell ref="H126:K126"/>
    <x:mergeCell ref="D127:E127"/>
    <x:mergeCell ref="F127:G127"/>
    <x:mergeCell ref="H127:K127"/>
    <x:mergeCell ref="D128:E128"/>
    <x:mergeCell ref="F128:G128"/>
    <x:mergeCell ref="H128:K128"/>
    <x:mergeCell ref="D129:E129"/>
    <x:mergeCell ref="F129:G129"/>
    <x:mergeCell ref="H129:K129"/>
    <x:mergeCell ref="D130:E130"/>
    <x:mergeCell ref="F130:G130"/>
    <x:mergeCell ref="H130:K130"/>
    <x:mergeCell ref="D131:E131"/>
    <x:mergeCell ref="F131:G131"/>
    <x:mergeCell ref="H131:K131"/>
    <x:mergeCell ref="D132:E132"/>
    <x:mergeCell ref="F132:G132"/>
    <x:mergeCell ref="H132:K132"/>
    <x:mergeCell ref="D133:E133"/>
    <x:mergeCell ref="F133:G133"/>
    <x:mergeCell ref="H133:K133"/>
    <x:mergeCell ref="D134:E134"/>
    <x:mergeCell ref="F134:G134"/>
    <x:mergeCell ref="H134:K134"/>
    <x:mergeCell ref="D135:E135"/>
    <x:mergeCell ref="F135:G135"/>
    <x:mergeCell ref="H135:K135"/>
    <x:mergeCell ref="D136:E136"/>
    <x:mergeCell ref="F136:G136"/>
    <x:mergeCell ref="H136:K136"/>
    <x:mergeCell ref="D137:E137"/>
    <x:mergeCell ref="F137:G137"/>
    <x:mergeCell ref="H137:K137"/>
    <x:mergeCell ref="D138:E138"/>
    <x:mergeCell ref="F138:G138"/>
    <x:mergeCell ref="H138:K138"/>
    <x:mergeCell ref="D139:E139"/>
    <x:mergeCell ref="F139:G139"/>
    <x:mergeCell ref="H139:K139"/>
    <x:mergeCell ref="D140:E140"/>
    <x:mergeCell ref="F140:G140"/>
    <x:mergeCell ref="H140:K140"/>
    <x:mergeCell ref="D141:E141"/>
    <x:mergeCell ref="F141:G141"/>
    <x:mergeCell ref="H141:K141"/>
    <x:mergeCell ref="D142:E142"/>
    <x:mergeCell ref="F142:G142"/>
    <x:mergeCell ref="H142:K142"/>
    <x:mergeCell ref="D143:E143"/>
    <x:mergeCell ref="F143:G143"/>
    <x:mergeCell ref="H143:K143"/>
    <x:mergeCell ref="D144:E144"/>
    <x:mergeCell ref="F144:G144"/>
    <x:mergeCell ref="H144:K144"/>
    <x:mergeCell ref="D145:E145"/>
    <x:mergeCell ref="F145:G145"/>
    <x:mergeCell ref="H145:K145"/>
    <x:mergeCell ref="D146:E146"/>
    <x:mergeCell ref="F146:G146"/>
    <x:mergeCell ref="H146:K146"/>
    <x:mergeCell ref="D147:E147"/>
    <x:mergeCell ref="F147:G147"/>
    <x:mergeCell ref="H147:K147"/>
    <x:mergeCell ref="D148:E148"/>
    <x:mergeCell ref="F148:G148"/>
    <x:mergeCell ref="H148:K148"/>
    <x:mergeCell ref="D149:E149"/>
    <x:mergeCell ref="F149:G149"/>
    <x:mergeCell ref="H149:K149"/>
    <x:mergeCell ref="D150:E150"/>
    <x:mergeCell ref="F150:G150"/>
    <x:mergeCell ref="H150:K150"/>
    <x:mergeCell ref="D151:E151"/>
    <x:mergeCell ref="F151:G151"/>
    <x:mergeCell ref="H151:K151"/>
    <x:mergeCell ref="D152:E152"/>
    <x:mergeCell ref="F152:G152"/>
    <x:mergeCell ref="H152:K152"/>
    <x:mergeCell ref="D153:E153"/>
    <x:mergeCell ref="F153:G153"/>
    <x:mergeCell ref="H153:K153"/>
    <x:mergeCell ref="D154:E154"/>
    <x:mergeCell ref="F154:G154"/>
    <x:mergeCell ref="H154:K154"/>
    <x:mergeCell ref="D155:E155"/>
    <x:mergeCell ref="F155:G155"/>
    <x:mergeCell ref="H155:K155"/>
    <x:mergeCell ref="D156:E156"/>
    <x:mergeCell ref="F156:G156"/>
    <x:mergeCell ref="H156:K156"/>
    <x:mergeCell ref="D157:E157"/>
    <x:mergeCell ref="F157:G157"/>
    <x:mergeCell ref="H157:K157"/>
    <x:mergeCell ref="D158:E158"/>
    <x:mergeCell ref="F158:G158"/>
    <x:mergeCell ref="H158:K158"/>
    <x:mergeCell ref="D159:E159"/>
    <x:mergeCell ref="F159:G159"/>
    <x:mergeCell ref="H159:K159"/>
    <x:mergeCell ref="D160:E160"/>
    <x:mergeCell ref="F160:G160"/>
    <x:mergeCell ref="H160:K160"/>
    <x:mergeCell ref="D161:E161"/>
    <x:mergeCell ref="F161:G161"/>
    <x:mergeCell ref="H161:K161"/>
    <x:mergeCell ref="D162:E162"/>
    <x:mergeCell ref="F162:G162"/>
    <x:mergeCell ref="H162:K162"/>
    <x:mergeCell ref="D163:E163"/>
    <x:mergeCell ref="F163:G163"/>
    <x:mergeCell ref="H163:K163"/>
    <x:mergeCell ref="D164:E164"/>
    <x:mergeCell ref="F164:G164"/>
    <x:mergeCell ref="H164:K164"/>
    <x:mergeCell ref="D165:E165"/>
    <x:mergeCell ref="F165:G165"/>
    <x:mergeCell ref="H165:K165"/>
    <x:mergeCell ref="D166:E166"/>
    <x:mergeCell ref="F166:G166"/>
    <x:mergeCell ref="H166:K166"/>
    <x:mergeCell ref="D167:E167"/>
    <x:mergeCell ref="F167:G167"/>
    <x:mergeCell ref="H167:K167"/>
    <x:mergeCell ref="D168:E168"/>
    <x:mergeCell ref="F168:G168"/>
    <x:mergeCell ref="H168:K168"/>
    <x:mergeCell ref="D169:E169"/>
    <x:mergeCell ref="F169:G169"/>
    <x:mergeCell ref="H169:K169"/>
    <x:mergeCell ref="D170:E170"/>
    <x:mergeCell ref="F170:G170"/>
    <x:mergeCell ref="H170:K170"/>
    <x:mergeCell ref="D171:E171"/>
    <x:mergeCell ref="F171:G171"/>
    <x:mergeCell ref="H171:K171"/>
    <x:mergeCell ref="D172:E172"/>
    <x:mergeCell ref="F172:G172"/>
    <x:mergeCell ref="H172:K172"/>
    <x:mergeCell ref="D173:E173"/>
    <x:mergeCell ref="F173:G173"/>
    <x:mergeCell ref="H173:K173"/>
    <x:mergeCell ref="D174:E174"/>
    <x:mergeCell ref="F174:G174"/>
    <x:mergeCell ref="H174:K174"/>
    <x:mergeCell ref="D175:E175"/>
    <x:mergeCell ref="F175:G175"/>
    <x:mergeCell ref="H175:K175"/>
    <x:mergeCell ref="D176:E176"/>
    <x:mergeCell ref="F176:G176"/>
    <x:mergeCell ref="H176:K176"/>
    <x:mergeCell ref="D177:E177"/>
    <x:mergeCell ref="F177:G177"/>
    <x:mergeCell ref="H177:K177"/>
    <x:mergeCell ref="D178:E178"/>
    <x:mergeCell ref="F178:G178"/>
    <x:mergeCell ref="H178:K178"/>
    <x:mergeCell ref="D179:E179"/>
    <x:mergeCell ref="F179:G179"/>
    <x:mergeCell ref="H179:K179"/>
    <x:mergeCell ref="D180:E180"/>
    <x:mergeCell ref="F180:G180"/>
    <x:mergeCell ref="H180:K180"/>
    <x:mergeCell ref="D181:E181"/>
    <x:mergeCell ref="F181:G181"/>
    <x:mergeCell ref="H181:K181"/>
    <x:mergeCell ref="D182:E182"/>
    <x:mergeCell ref="F182:G182"/>
    <x:mergeCell ref="H182:K182"/>
    <x:mergeCell ref="D183:E183"/>
    <x:mergeCell ref="F183:G183"/>
    <x:mergeCell ref="H183:K183"/>
    <x:mergeCell ref="D184:E184"/>
    <x:mergeCell ref="F184:G184"/>
    <x:mergeCell ref="H184:K184"/>
    <x:mergeCell ref="D185:E185"/>
    <x:mergeCell ref="F185:G185"/>
    <x:mergeCell ref="H185:K185"/>
    <x:mergeCell ref="D186:E186"/>
    <x:mergeCell ref="F186:G186"/>
    <x:mergeCell ref="H186:K186"/>
    <x:mergeCell ref="D187:E187"/>
    <x:mergeCell ref="F187:G187"/>
    <x:mergeCell ref="H187:K187"/>
    <x:mergeCell ref="D188:E188"/>
    <x:mergeCell ref="F188:G188"/>
    <x:mergeCell ref="H188:K188"/>
    <x:mergeCell ref="D189:E189"/>
    <x:mergeCell ref="F189:G189"/>
    <x:mergeCell ref="H189:K189"/>
    <x:mergeCell ref="D190:E190"/>
    <x:mergeCell ref="F190:G190"/>
    <x:mergeCell ref="H190:K190"/>
    <x:mergeCell ref="D191:E191"/>
    <x:mergeCell ref="F191:G191"/>
    <x:mergeCell ref="H191:K191"/>
    <x:mergeCell ref="D192:E192"/>
    <x:mergeCell ref="F192:G192"/>
    <x:mergeCell ref="H192:K192"/>
    <x:mergeCell ref="D193:E193"/>
    <x:mergeCell ref="F193:G193"/>
    <x:mergeCell ref="H193:K193"/>
    <x:mergeCell ref="D194:E194"/>
    <x:mergeCell ref="F194:G194"/>
    <x:mergeCell ref="H194:K194"/>
    <x:mergeCell ref="D195:E195"/>
    <x:mergeCell ref="F195:G195"/>
    <x:mergeCell ref="H195:K195"/>
    <x:mergeCell ref="D196:E196"/>
    <x:mergeCell ref="F196:G196"/>
    <x:mergeCell ref="H196:K196"/>
    <x:mergeCell ref="D197:E197"/>
    <x:mergeCell ref="F197:G197"/>
    <x:mergeCell ref="H197:K197"/>
    <x:mergeCell ref="D198:E198"/>
    <x:mergeCell ref="F198:G198"/>
    <x:mergeCell ref="H198:K198"/>
    <x:mergeCell ref="D199:E199"/>
    <x:mergeCell ref="F199:G199"/>
    <x:mergeCell ref="H199:K199"/>
    <x:mergeCell ref="D200:E200"/>
    <x:mergeCell ref="F200:G200"/>
    <x:mergeCell ref="H200:K200"/>
    <x:mergeCell ref="D201:E201"/>
    <x:mergeCell ref="F201:G201"/>
    <x:mergeCell ref="H201:K201"/>
    <x:mergeCell ref="D202:E202"/>
    <x:mergeCell ref="F202:G202"/>
    <x:mergeCell ref="H202:K202"/>
    <x:mergeCell ref="D203:E203"/>
    <x:mergeCell ref="F203:G203"/>
    <x:mergeCell ref="H203:K203"/>
    <x:mergeCell ref="D204:E204"/>
    <x:mergeCell ref="F204:G204"/>
    <x:mergeCell ref="H204:K204"/>
    <x:mergeCell ref="D205:E205"/>
    <x:mergeCell ref="F205:G205"/>
    <x:mergeCell ref="H205:K205"/>
    <x:mergeCell ref="D206:E206"/>
    <x:mergeCell ref="F206:G206"/>
    <x:mergeCell ref="H206:K206"/>
    <x:mergeCell ref="D207:E207"/>
    <x:mergeCell ref="F207:G207"/>
    <x:mergeCell ref="H207:K207"/>
    <x:mergeCell ref="D208:E208"/>
    <x:mergeCell ref="F208:G208"/>
    <x:mergeCell ref="H208:K208"/>
    <x:mergeCell ref="D209:E209"/>
    <x:mergeCell ref="F209:G209"/>
    <x:mergeCell ref="H209:K209"/>
    <x:mergeCell ref="D210:E210"/>
    <x:mergeCell ref="F210:G210"/>
    <x:mergeCell ref="H210:K210"/>
    <x:mergeCell ref="D211:E211"/>
    <x:mergeCell ref="F211:G211"/>
    <x:mergeCell ref="H211:K211"/>
    <x:mergeCell ref="D212:E212"/>
    <x:mergeCell ref="F212:G212"/>
    <x:mergeCell ref="H212:K212"/>
    <x:mergeCell ref="D213:E213"/>
    <x:mergeCell ref="F213:G213"/>
    <x:mergeCell ref="H213:K213"/>
    <x:mergeCell ref="D214:E214"/>
    <x:mergeCell ref="F214:G214"/>
    <x:mergeCell ref="H214:K214"/>
    <x:mergeCell ref="D215:E215"/>
    <x:mergeCell ref="F215:G215"/>
    <x:mergeCell ref="H215:K215"/>
    <x:mergeCell ref="D216:E216"/>
    <x:mergeCell ref="F216:G216"/>
    <x:mergeCell ref="H216:K216"/>
    <x:mergeCell ref="D217:E217"/>
    <x:mergeCell ref="F217:G217"/>
    <x:mergeCell ref="H217:K217"/>
    <x:mergeCell ref="D218:E218"/>
    <x:mergeCell ref="F218:G218"/>
    <x:mergeCell ref="H218:K218"/>
    <x:mergeCell ref="D219:E219"/>
    <x:mergeCell ref="F219:G219"/>
    <x:mergeCell ref="H219:K219"/>
    <x:mergeCell ref="D220:E220"/>
    <x:mergeCell ref="F220:G220"/>
    <x:mergeCell ref="H220:K220"/>
    <x:mergeCell ref="D221:E221"/>
    <x:mergeCell ref="F221:G221"/>
    <x:mergeCell ref="H221:K221"/>
    <x:mergeCell ref="D222:E222"/>
    <x:mergeCell ref="F222:G222"/>
    <x:mergeCell ref="H222:K222"/>
    <x:mergeCell ref="D223:E223"/>
    <x:mergeCell ref="F223:G223"/>
    <x:mergeCell ref="H223:K223"/>
    <x:mergeCell ref="D224:E224"/>
    <x:mergeCell ref="F224:G224"/>
    <x:mergeCell ref="H224:K224"/>
    <x:mergeCell ref="D225:E225"/>
    <x:mergeCell ref="F225:G225"/>
    <x:mergeCell ref="H225:K225"/>
    <x:mergeCell ref="D226:E226"/>
    <x:mergeCell ref="F226:G226"/>
    <x:mergeCell ref="H226:K226"/>
    <x:mergeCell ref="D227:E227"/>
    <x:mergeCell ref="F227:G227"/>
    <x:mergeCell ref="H227:K227"/>
    <x:mergeCell ref="D228:E228"/>
    <x:mergeCell ref="F228:G228"/>
    <x:mergeCell ref="H228:K228"/>
    <x:mergeCell ref="D229:E229"/>
    <x:mergeCell ref="F229:G229"/>
    <x:mergeCell ref="H229:K229"/>
    <x:mergeCell ref="D230:E230"/>
    <x:mergeCell ref="F230:G230"/>
    <x:mergeCell ref="H230:K230"/>
    <x:mergeCell ref="D231:E231"/>
    <x:mergeCell ref="F231:G231"/>
    <x:mergeCell ref="H231:K231"/>
    <x:mergeCell ref="D232:E232"/>
    <x:mergeCell ref="F232:G232"/>
    <x:mergeCell ref="H232:K232"/>
    <x:mergeCell ref="D233:E233"/>
    <x:mergeCell ref="F233:G233"/>
    <x:mergeCell ref="H233:K233"/>
    <x:mergeCell ref="D234:E234"/>
    <x:mergeCell ref="F234:G234"/>
    <x:mergeCell ref="H234:K234"/>
    <x:mergeCell ref="D235:E235"/>
    <x:mergeCell ref="F235:G235"/>
    <x:mergeCell ref="H235:K235"/>
    <x:mergeCell ref="D236:E236"/>
    <x:mergeCell ref="F236:G236"/>
    <x:mergeCell ref="H236:K236"/>
    <x:mergeCell ref="D237:E237"/>
    <x:mergeCell ref="F237:G237"/>
    <x:mergeCell ref="H237:K237"/>
    <x:mergeCell ref="D238:E238"/>
    <x:mergeCell ref="F238:G238"/>
    <x:mergeCell ref="H238:K238"/>
    <x:mergeCell ref="D239:E239"/>
    <x:mergeCell ref="F239:G239"/>
    <x:mergeCell ref="H239:K239"/>
    <x:mergeCell ref="D240:E240"/>
    <x:mergeCell ref="F240:G240"/>
    <x:mergeCell ref="H240:K240"/>
    <x:mergeCell ref="D241:E241"/>
    <x:mergeCell ref="F241:G241"/>
    <x:mergeCell ref="H241:K241"/>
    <x:mergeCell ref="D242:E242"/>
    <x:mergeCell ref="F242:G242"/>
    <x:mergeCell ref="H242:K242"/>
    <x:mergeCell ref="D243:E243"/>
    <x:mergeCell ref="F243:G243"/>
    <x:mergeCell ref="H243:K243"/>
    <x:mergeCell ref="D244:E244"/>
    <x:mergeCell ref="F244:G244"/>
    <x:mergeCell ref="H244:K244"/>
    <x:mergeCell ref="D245:E245"/>
    <x:mergeCell ref="F245:G245"/>
    <x:mergeCell ref="H245:K245"/>
    <x:mergeCell ref="D246:E246"/>
    <x:mergeCell ref="F246:G246"/>
    <x:mergeCell ref="H246:K246"/>
    <x:mergeCell ref="D247:E247"/>
    <x:mergeCell ref="F247:G247"/>
    <x:mergeCell ref="H247:K247"/>
    <x:mergeCell ref="D248:E248"/>
    <x:mergeCell ref="F248:G248"/>
    <x:mergeCell ref="H248:K248"/>
    <x:mergeCell ref="D249:E249"/>
    <x:mergeCell ref="F249:G249"/>
    <x:mergeCell ref="H249:K249"/>
    <x:mergeCell ref="D250:E250"/>
    <x:mergeCell ref="F250:G250"/>
    <x:mergeCell ref="H250:K250"/>
    <x:mergeCell ref="D251:E251"/>
    <x:mergeCell ref="F251:G251"/>
    <x:mergeCell ref="H251:K251"/>
    <x:mergeCell ref="D252:E252"/>
    <x:mergeCell ref="F252:G252"/>
    <x:mergeCell ref="H252:K252"/>
    <x:mergeCell ref="D253:E253"/>
    <x:mergeCell ref="F253:G253"/>
    <x:mergeCell ref="H253:K253"/>
    <x:mergeCell ref="D254:E254"/>
    <x:mergeCell ref="F254:G254"/>
    <x:mergeCell ref="H254:K254"/>
    <x:mergeCell ref="D255:E255"/>
    <x:mergeCell ref="F255:G255"/>
    <x:mergeCell ref="H255:K255"/>
    <x:mergeCell ref="D256:E256"/>
    <x:mergeCell ref="F256:G256"/>
    <x:mergeCell ref="H256:K256"/>
    <x:mergeCell ref="D257:E257"/>
    <x:mergeCell ref="F257:G257"/>
    <x:mergeCell ref="H257:K257"/>
    <x:mergeCell ref="D258:E258"/>
    <x:mergeCell ref="F258:G258"/>
    <x:mergeCell ref="H258:K258"/>
    <x:mergeCell ref="D259:E259"/>
    <x:mergeCell ref="F259:G259"/>
    <x:mergeCell ref="H259:K259"/>
    <x:mergeCell ref="D260:E260"/>
    <x:mergeCell ref="F260:G260"/>
    <x:mergeCell ref="H260:K260"/>
    <x:mergeCell ref="D261:E261"/>
    <x:mergeCell ref="F261:G261"/>
    <x:mergeCell ref="H261:K261"/>
    <x:mergeCell ref="D262:E262"/>
    <x:mergeCell ref="F262:G262"/>
    <x:mergeCell ref="H262:K262"/>
    <x:mergeCell ref="D263:E263"/>
    <x:mergeCell ref="F263:G263"/>
    <x:mergeCell ref="H263:K263"/>
    <x:mergeCell ref="D264:E264"/>
    <x:mergeCell ref="F264:G264"/>
    <x:mergeCell ref="H264:K264"/>
    <x:mergeCell ref="D265:E265"/>
    <x:mergeCell ref="F265:G265"/>
    <x:mergeCell ref="H265:K265"/>
    <x:mergeCell ref="D266:E266"/>
    <x:mergeCell ref="F266:G266"/>
    <x:mergeCell ref="H266:K266"/>
    <x:mergeCell ref="D267:E267"/>
    <x:mergeCell ref="F267:G267"/>
    <x:mergeCell ref="H267:K267"/>
    <x:mergeCell ref="D268:E268"/>
    <x:mergeCell ref="F268:G268"/>
    <x:mergeCell ref="H268:K268"/>
    <x:mergeCell ref="D269:E269"/>
    <x:mergeCell ref="F269:G269"/>
    <x:mergeCell ref="H269:K269"/>
    <x:mergeCell ref="D270:E270"/>
    <x:mergeCell ref="F270:G270"/>
    <x:mergeCell ref="H270:K270"/>
    <x:mergeCell ref="D271:E271"/>
    <x:mergeCell ref="F271:G271"/>
    <x:mergeCell ref="H271:K271"/>
    <x:mergeCell ref="D272:E272"/>
    <x:mergeCell ref="F272:G272"/>
    <x:mergeCell ref="H272:K272"/>
    <x:mergeCell ref="D273:E273"/>
    <x:mergeCell ref="F273:G273"/>
    <x:mergeCell ref="H273:K273"/>
    <x:mergeCell ref="D274:E274"/>
    <x:mergeCell ref="F274:G274"/>
    <x:mergeCell ref="H274:K274"/>
    <x:mergeCell ref="D275:E275"/>
    <x:mergeCell ref="F275:G275"/>
    <x:mergeCell ref="H275:K275"/>
    <x:mergeCell ref="D276:E276"/>
    <x:mergeCell ref="F276:G276"/>
    <x:mergeCell ref="H276:K276"/>
    <x:mergeCell ref="D277:E277"/>
    <x:mergeCell ref="F277:G277"/>
    <x:mergeCell ref="H277:K277"/>
    <x:mergeCell ref="D278:E278"/>
    <x:mergeCell ref="F278:G278"/>
    <x:mergeCell ref="H278:K278"/>
    <x:mergeCell ref="D279:E279"/>
    <x:mergeCell ref="F279:G279"/>
    <x:mergeCell ref="H279:K279"/>
    <x:mergeCell ref="D280:E280"/>
    <x:mergeCell ref="F280:G280"/>
    <x:mergeCell ref="H280:K280"/>
    <x:mergeCell ref="D281:E281"/>
    <x:mergeCell ref="F281:G281"/>
    <x:mergeCell ref="H281:K281"/>
    <x:mergeCell ref="D282:E282"/>
    <x:mergeCell ref="F282:G282"/>
    <x:mergeCell ref="H282:K282"/>
    <x:mergeCell ref="D283:E283"/>
    <x:mergeCell ref="F283:G283"/>
    <x:mergeCell ref="H283:K283"/>
    <x:mergeCell ref="D284:E284"/>
    <x:mergeCell ref="F284:G284"/>
    <x:mergeCell ref="H284:K284"/>
    <x:mergeCell ref="D285:E285"/>
    <x:mergeCell ref="F285:G285"/>
    <x:mergeCell ref="H285:K285"/>
    <x:mergeCell ref="D286:E286"/>
    <x:mergeCell ref="F286:G286"/>
    <x:mergeCell ref="H286:K286"/>
    <x:mergeCell ref="D287:E287"/>
    <x:mergeCell ref="F287:G287"/>
    <x:mergeCell ref="H287:K287"/>
    <x:mergeCell ref="D288:E288"/>
    <x:mergeCell ref="F288:G288"/>
    <x:mergeCell ref="H288:K288"/>
    <x:mergeCell ref="D289:E289"/>
    <x:mergeCell ref="F289:G289"/>
    <x:mergeCell ref="H289:K289"/>
    <x:mergeCell ref="D290:E290"/>
    <x:mergeCell ref="F290:G290"/>
    <x:mergeCell ref="H290:K290"/>
    <x:mergeCell ref="D291:E291"/>
    <x:mergeCell ref="F291:G291"/>
    <x:mergeCell ref="H291:K291"/>
    <x:mergeCell ref="D292:E292"/>
    <x:mergeCell ref="F292:G292"/>
    <x:mergeCell ref="H292:K292"/>
    <x:mergeCell ref="D293:E293"/>
    <x:mergeCell ref="F293:G293"/>
    <x:mergeCell ref="H293:K293"/>
    <x:mergeCell ref="D294:E294"/>
    <x:mergeCell ref="F294:G294"/>
    <x:mergeCell ref="H294:K294"/>
    <x:mergeCell ref="D295:E295"/>
    <x:mergeCell ref="F295:G295"/>
    <x:mergeCell ref="H295:K295"/>
    <x:mergeCell ref="D296:E296"/>
    <x:mergeCell ref="F296:G296"/>
    <x:mergeCell ref="H296:K296"/>
    <x:mergeCell ref="D297:E297"/>
    <x:mergeCell ref="F297:G297"/>
    <x:mergeCell ref="H297:K297"/>
    <x:mergeCell ref="D298:E298"/>
    <x:mergeCell ref="F298:G298"/>
    <x:mergeCell ref="H298:K298"/>
    <x:mergeCell ref="D299:E299"/>
    <x:mergeCell ref="F299:G299"/>
    <x:mergeCell ref="H299:K299"/>
    <x:mergeCell ref="D300:E300"/>
    <x:mergeCell ref="F300:G300"/>
    <x:mergeCell ref="H300:K300"/>
    <x:mergeCell ref="D301:E301"/>
    <x:mergeCell ref="F301:G301"/>
    <x:mergeCell ref="H301:K301"/>
    <x:mergeCell ref="D302:E302"/>
    <x:mergeCell ref="F302:G302"/>
    <x:mergeCell ref="H302:K302"/>
    <x:mergeCell ref="D303:E303"/>
    <x:mergeCell ref="F303:G303"/>
    <x:mergeCell ref="H303:K303"/>
    <x:mergeCell ref="D304:E304"/>
    <x:mergeCell ref="F304:G304"/>
    <x:mergeCell ref="H304:K304"/>
    <x:mergeCell ref="D305:E305"/>
    <x:mergeCell ref="F305:G305"/>
    <x:mergeCell ref="H305:K305"/>
    <x:mergeCell ref="D306:E306"/>
    <x:mergeCell ref="F306:G306"/>
    <x:mergeCell ref="H306:K306"/>
    <x:mergeCell ref="D307:E307"/>
    <x:mergeCell ref="F307:G307"/>
    <x:mergeCell ref="H307:K307"/>
    <x:mergeCell ref="D308:E308"/>
    <x:mergeCell ref="F308:G308"/>
    <x:mergeCell ref="H308:K308"/>
    <x:mergeCell ref="D309:E309"/>
    <x:mergeCell ref="F309:G309"/>
    <x:mergeCell ref="H309:K309"/>
    <x:mergeCell ref="D310:E310"/>
    <x:mergeCell ref="F310:G310"/>
    <x:mergeCell ref="H310:K310"/>
    <x:mergeCell ref="D311:E311"/>
    <x:mergeCell ref="F311:G311"/>
    <x:mergeCell ref="H311:K311"/>
    <x:mergeCell ref="D312:E312"/>
    <x:mergeCell ref="F312:G312"/>
    <x:mergeCell ref="H312:K312"/>
    <x:mergeCell ref="D313:E313"/>
    <x:mergeCell ref="F313:G313"/>
    <x:mergeCell ref="H313:K313"/>
    <x:mergeCell ref="D314:E314"/>
    <x:mergeCell ref="F314:G314"/>
    <x:mergeCell ref="H314:K314"/>
    <x:mergeCell ref="D315:E315"/>
    <x:mergeCell ref="F315:G315"/>
    <x:mergeCell ref="H315:K315"/>
    <x:mergeCell ref="D316:E316"/>
    <x:mergeCell ref="F316:G316"/>
    <x:mergeCell ref="H316:K316"/>
    <x:mergeCell ref="D317:E317"/>
    <x:mergeCell ref="F317:G317"/>
    <x:mergeCell ref="H317:K317"/>
    <x:mergeCell ref="D318:E318"/>
    <x:mergeCell ref="F318:G318"/>
    <x:mergeCell ref="H318:K318"/>
    <x:mergeCell ref="D319:E319"/>
    <x:mergeCell ref="F319:G319"/>
    <x:mergeCell ref="H319:K319"/>
    <x:mergeCell ref="D320:E320"/>
    <x:mergeCell ref="F320:G320"/>
    <x:mergeCell ref="H320:K320"/>
    <x:mergeCell ref="D321:E321"/>
    <x:mergeCell ref="F321:G321"/>
    <x:mergeCell ref="H321:K321"/>
    <x:mergeCell ref="D322:E322"/>
    <x:mergeCell ref="F322:G322"/>
    <x:mergeCell ref="H322:K322"/>
    <x:mergeCell ref="D323:E323"/>
    <x:mergeCell ref="F323:G323"/>
    <x:mergeCell ref="H323:K323"/>
    <x:mergeCell ref="D324:E324"/>
    <x:mergeCell ref="F324:G324"/>
    <x:mergeCell ref="H324:K324"/>
    <x:mergeCell ref="D325:E325"/>
    <x:mergeCell ref="F325:G325"/>
    <x:mergeCell ref="H325:K325"/>
    <x:mergeCell ref="D326:E326"/>
    <x:mergeCell ref="F326:G326"/>
    <x:mergeCell ref="H326:K326"/>
    <x:mergeCell ref="D327:E327"/>
    <x:mergeCell ref="F327:G327"/>
    <x:mergeCell ref="H327:K327"/>
    <x:mergeCell ref="D328:E328"/>
    <x:mergeCell ref="F328:G328"/>
    <x:mergeCell ref="H328:K328"/>
    <x:mergeCell ref="D329:E329"/>
    <x:mergeCell ref="F329:G329"/>
    <x:mergeCell ref="H329:K329"/>
    <x:mergeCell ref="D330:E330"/>
    <x:mergeCell ref="F330:G330"/>
    <x:mergeCell ref="H330:K330"/>
    <x:mergeCell ref="D331:E331"/>
    <x:mergeCell ref="F331:G331"/>
    <x:mergeCell ref="H331:K331"/>
    <x:mergeCell ref="D332:E332"/>
    <x:mergeCell ref="F332:G332"/>
    <x:mergeCell ref="H332:K332"/>
    <x:mergeCell ref="D333:E333"/>
    <x:mergeCell ref="F333:G333"/>
    <x:mergeCell ref="H333:K333"/>
    <x:mergeCell ref="D334:E334"/>
    <x:mergeCell ref="F334:G334"/>
    <x:mergeCell ref="H334:K334"/>
    <x:mergeCell ref="D335:E335"/>
    <x:mergeCell ref="F335:G335"/>
    <x:mergeCell ref="H335:K335"/>
    <x:mergeCell ref="D336:E336"/>
    <x:mergeCell ref="F336:G336"/>
    <x:mergeCell ref="H336:K336"/>
    <x:mergeCell ref="D337:E337"/>
    <x:mergeCell ref="F337:G337"/>
    <x:mergeCell ref="H337:K337"/>
    <x:mergeCell ref="D338:E338"/>
    <x:mergeCell ref="F338:G338"/>
    <x:mergeCell ref="H338:K338"/>
    <x:mergeCell ref="D339:E339"/>
    <x:mergeCell ref="F339:G339"/>
    <x:mergeCell ref="H339:K339"/>
    <x:mergeCell ref="D340:E340"/>
    <x:mergeCell ref="F340:G340"/>
    <x:mergeCell ref="H340:K340"/>
    <x:mergeCell ref="D341:E341"/>
    <x:mergeCell ref="F341:G341"/>
    <x:mergeCell ref="H341:K341"/>
    <x:mergeCell ref="D342:E342"/>
    <x:mergeCell ref="F342:G342"/>
    <x:mergeCell ref="H342:K342"/>
    <x:mergeCell ref="D343:E343"/>
    <x:mergeCell ref="F343:G343"/>
    <x:mergeCell ref="H343:K343"/>
    <x:mergeCell ref="D344:E344"/>
    <x:mergeCell ref="F344:G344"/>
    <x:mergeCell ref="H344:K344"/>
    <x:mergeCell ref="D345:E345"/>
    <x:mergeCell ref="F345:G345"/>
    <x:mergeCell ref="H345:K345"/>
    <x:mergeCell ref="D346:E346"/>
    <x:mergeCell ref="F346:G346"/>
    <x:mergeCell ref="H346:K346"/>
    <x:mergeCell ref="D347:E347"/>
    <x:mergeCell ref="F347:G347"/>
    <x:mergeCell ref="H347:K347"/>
    <x:mergeCell ref="D348:E348"/>
    <x:mergeCell ref="F348:G348"/>
    <x:mergeCell ref="H348:K348"/>
    <x:mergeCell ref="D349:E349"/>
    <x:mergeCell ref="F349:G349"/>
    <x:mergeCell ref="H349:K349"/>
    <x:mergeCell ref="D350:E350"/>
    <x:mergeCell ref="F350:G350"/>
    <x:mergeCell ref="H350:K350"/>
    <x:mergeCell ref="D351:E351"/>
    <x:mergeCell ref="F351:G351"/>
    <x:mergeCell ref="H351:K351"/>
    <x:mergeCell ref="D352:E352"/>
    <x:mergeCell ref="F352:G352"/>
    <x:mergeCell ref="H352:K352"/>
    <x:mergeCell ref="D353:E353"/>
    <x:mergeCell ref="F353:G353"/>
    <x:mergeCell ref="H353:K353"/>
    <x:mergeCell ref="D354:E354"/>
    <x:mergeCell ref="F354:G354"/>
    <x:mergeCell ref="H354:K354"/>
    <x:mergeCell ref="D355:E355"/>
    <x:mergeCell ref="F355:G355"/>
    <x:mergeCell ref="H355:K355"/>
    <x:mergeCell ref="D356:E356"/>
    <x:mergeCell ref="F356:G356"/>
    <x:mergeCell ref="H356:K356"/>
    <x:mergeCell ref="D357:E357"/>
    <x:mergeCell ref="F357:G357"/>
    <x:mergeCell ref="H357:K357"/>
    <x:mergeCell ref="D358:E358"/>
    <x:mergeCell ref="F358:G358"/>
    <x:mergeCell ref="H358:K358"/>
    <x:mergeCell ref="D359:E359"/>
    <x:mergeCell ref="F359:G359"/>
    <x:mergeCell ref="H359:K359"/>
    <x:mergeCell ref="D360:E360"/>
    <x:mergeCell ref="F360:G360"/>
    <x:mergeCell ref="H360:K360"/>
    <x:mergeCell ref="D361:E361"/>
    <x:mergeCell ref="F361:G361"/>
    <x:mergeCell ref="H361:K361"/>
    <x:mergeCell ref="D362:E362"/>
    <x:mergeCell ref="F362:G362"/>
    <x:mergeCell ref="H362:K362"/>
    <x:mergeCell ref="D363:E363"/>
    <x:mergeCell ref="F363:G363"/>
    <x:mergeCell ref="H363:K363"/>
    <x:mergeCell ref="D364:E364"/>
    <x:mergeCell ref="F364:G364"/>
    <x:mergeCell ref="H364:K364"/>
    <x:mergeCell ref="D365:E365"/>
    <x:mergeCell ref="F365:G365"/>
    <x:mergeCell ref="H365:K365"/>
    <x:mergeCell ref="D366:E366"/>
    <x:mergeCell ref="F366:G366"/>
    <x:mergeCell ref="H366:K366"/>
    <x:mergeCell ref="D367:E367"/>
    <x:mergeCell ref="F367:G367"/>
    <x:mergeCell ref="H367:K367"/>
    <x:mergeCell ref="D368:E368"/>
    <x:mergeCell ref="F368:G368"/>
    <x:mergeCell ref="H368:K368"/>
    <x:mergeCell ref="D369:E369"/>
    <x:mergeCell ref="F369:G369"/>
    <x:mergeCell ref="H369:K369"/>
    <x:mergeCell ref="D370:E370"/>
    <x:mergeCell ref="F370:G370"/>
    <x:mergeCell ref="H370:K370"/>
    <x:mergeCell ref="D371:E371"/>
    <x:mergeCell ref="F371:G371"/>
    <x:mergeCell ref="H371:K371"/>
    <x:mergeCell ref="D372:E372"/>
    <x:mergeCell ref="F372:G372"/>
    <x:mergeCell ref="H372:K372"/>
    <x:mergeCell ref="D373:E373"/>
    <x:mergeCell ref="F373:G373"/>
    <x:mergeCell ref="H373:K373"/>
    <x:mergeCell ref="D374:E374"/>
    <x:mergeCell ref="F374:G374"/>
    <x:mergeCell ref="H374:K374"/>
    <x:mergeCell ref="D375:E375"/>
    <x:mergeCell ref="F375:G375"/>
    <x:mergeCell ref="H375:K375"/>
    <x:mergeCell ref="D376:E376"/>
    <x:mergeCell ref="F376:G376"/>
    <x:mergeCell ref="H376:K376"/>
    <x:mergeCell ref="D377:E377"/>
    <x:mergeCell ref="F377:G377"/>
    <x:mergeCell ref="H377:K377"/>
    <x:mergeCell ref="D378:E378"/>
    <x:mergeCell ref="F378:G378"/>
    <x:mergeCell ref="H378:K378"/>
    <x:mergeCell ref="D379:E379"/>
    <x:mergeCell ref="F379:G379"/>
    <x:mergeCell ref="H379:K379"/>
    <x:mergeCell ref="D380:E380"/>
    <x:mergeCell ref="F380:G380"/>
    <x:mergeCell ref="H380:K380"/>
    <x:mergeCell ref="D381:E381"/>
    <x:mergeCell ref="F381:G381"/>
    <x:mergeCell ref="H381:K381"/>
    <x:mergeCell ref="D382:E382"/>
    <x:mergeCell ref="F382:G382"/>
    <x:mergeCell ref="H382:K382"/>
    <x:mergeCell ref="D383:E383"/>
    <x:mergeCell ref="F383:G383"/>
    <x:mergeCell ref="H383:K383"/>
    <x:mergeCell ref="D384:E384"/>
    <x:mergeCell ref="F384:G384"/>
    <x:mergeCell ref="H384:K384"/>
    <x:mergeCell ref="D385:E385"/>
    <x:mergeCell ref="F385:G385"/>
    <x:mergeCell ref="H385:K385"/>
    <x:mergeCell ref="D386:E386"/>
    <x:mergeCell ref="F386:G386"/>
    <x:mergeCell ref="H386:K386"/>
    <x:mergeCell ref="D387:E387"/>
    <x:mergeCell ref="F387:G387"/>
    <x:mergeCell ref="H387:K387"/>
    <x:mergeCell ref="D388:E388"/>
    <x:mergeCell ref="F388:G388"/>
    <x:mergeCell ref="H388:K388"/>
    <x:mergeCell ref="D389:E389"/>
    <x:mergeCell ref="F389:G389"/>
    <x:mergeCell ref="H389:K389"/>
    <x:mergeCell ref="D390:E390"/>
    <x:mergeCell ref="F390:G390"/>
    <x:mergeCell ref="H390:K390"/>
    <x:mergeCell ref="D391:E391"/>
    <x:mergeCell ref="F391:G391"/>
    <x:mergeCell ref="H391:K391"/>
    <x:mergeCell ref="D392:E392"/>
    <x:mergeCell ref="F392:G392"/>
    <x:mergeCell ref="H392:K392"/>
    <x:mergeCell ref="D393:E393"/>
    <x:mergeCell ref="F393:G393"/>
    <x:mergeCell ref="H393:K393"/>
    <x:mergeCell ref="D394:E394"/>
    <x:mergeCell ref="F394:G394"/>
    <x:mergeCell ref="H394:K394"/>
    <x:mergeCell ref="D395:E395"/>
    <x:mergeCell ref="F395:G395"/>
    <x:mergeCell ref="H395:K395"/>
    <x:mergeCell ref="D396:E396"/>
    <x:mergeCell ref="F396:G396"/>
    <x:mergeCell ref="H396:K396"/>
    <x:mergeCell ref="D397:E397"/>
    <x:mergeCell ref="F397:G397"/>
    <x:mergeCell ref="H397:K397"/>
    <x:mergeCell ref="D398:E398"/>
    <x:mergeCell ref="F398:G398"/>
    <x:mergeCell ref="H398:K398"/>
    <x:mergeCell ref="D399:E399"/>
    <x:mergeCell ref="F399:G399"/>
    <x:mergeCell ref="H399:K399"/>
    <x:mergeCell ref="D400:E400"/>
    <x:mergeCell ref="F400:G400"/>
    <x:mergeCell ref="H400:K400"/>
    <x:mergeCell ref="D401:E401"/>
    <x:mergeCell ref="F401:G401"/>
    <x:mergeCell ref="H401:K401"/>
    <x:mergeCell ref="D402:E402"/>
    <x:mergeCell ref="F402:G402"/>
    <x:mergeCell ref="H402:K402"/>
    <x:mergeCell ref="D403:E403"/>
    <x:mergeCell ref="F403:G403"/>
    <x:mergeCell ref="H403:K403"/>
    <x:mergeCell ref="D404:E404"/>
    <x:mergeCell ref="F404:G404"/>
    <x:mergeCell ref="H404:K404"/>
    <x:mergeCell ref="D405:E405"/>
    <x:mergeCell ref="F405:G405"/>
    <x:mergeCell ref="H405:K405"/>
    <x:mergeCell ref="D406:E406"/>
    <x:mergeCell ref="F406:G406"/>
    <x:mergeCell ref="H406:K406"/>
    <x:mergeCell ref="D407:E407"/>
    <x:mergeCell ref="F407:G407"/>
    <x:mergeCell ref="H407:K407"/>
    <x:mergeCell ref="D408:E408"/>
    <x:mergeCell ref="F408:G408"/>
    <x:mergeCell ref="H408:K408"/>
    <x:mergeCell ref="D409:E409"/>
    <x:mergeCell ref="F409:G409"/>
    <x:mergeCell ref="H409:K409"/>
    <x:mergeCell ref="D410:E410"/>
    <x:mergeCell ref="F410:G410"/>
    <x:mergeCell ref="H410:K410"/>
    <x:mergeCell ref="D411:E411"/>
    <x:mergeCell ref="F411:G411"/>
    <x:mergeCell ref="H411:K411"/>
    <x:mergeCell ref="D412:E412"/>
    <x:mergeCell ref="F412:G412"/>
    <x:mergeCell ref="H412:K412"/>
    <x:mergeCell ref="D413:E413"/>
    <x:mergeCell ref="F413:G413"/>
    <x:mergeCell ref="H413:K413"/>
    <x:mergeCell ref="D414:E414"/>
    <x:mergeCell ref="F414:G414"/>
    <x:mergeCell ref="H414:K414"/>
    <x:mergeCell ref="D415:E415"/>
    <x:mergeCell ref="F415:G415"/>
    <x:mergeCell ref="H415:K415"/>
    <x:mergeCell ref="D416:E416"/>
    <x:mergeCell ref="F416:G416"/>
    <x:mergeCell ref="H416:K416"/>
    <x:mergeCell ref="D417:E417"/>
    <x:mergeCell ref="F417:G417"/>
    <x:mergeCell ref="H417:K417"/>
    <x:mergeCell ref="D418:E418"/>
    <x:mergeCell ref="F418:G418"/>
    <x:mergeCell ref="H418:K418"/>
    <x:mergeCell ref="D419:E419"/>
    <x:mergeCell ref="F419:G419"/>
    <x:mergeCell ref="H419:K419"/>
    <x:mergeCell ref="D420:E420"/>
    <x:mergeCell ref="F420:G420"/>
    <x:mergeCell ref="H420:K420"/>
    <x:mergeCell ref="D421:E421"/>
    <x:mergeCell ref="F421:G421"/>
    <x:mergeCell ref="H421:K421"/>
    <x:mergeCell ref="D422:E422"/>
    <x:mergeCell ref="F422:G422"/>
    <x:mergeCell ref="H422:K422"/>
    <x:mergeCell ref="D423:E423"/>
    <x:mergeCell ref="F423:G423"/>
    <x:mergeCell ref="H423:K423"/>
    <x:mergeCell ref="D424:E424"/>
    <x:mergeCell ref="F424:G424"/>
    <x:mergeCell ref="H424:K424"/>
    <x:mergeCell ref="D425:E425"/>
    <x:mergeCell ref="F425:G425"/>
    <x:mergeCell ref="H425:K425"/>
    <x:mergeCell ref="D426:E426"/>
    <x:mergeCell ref="F426:G426"/>
    <x:mergeCell ref="H426:K426"/>
    <x:mergeCell ref="D427:E427"/>
    <x:mergeCell ref="F427:G427"/>
    <x:mergeCell ref="H427:K427"/>
    <x:mergeCell ref="D428:E428"/>
    <x:mergeCell ref="F428:G428"/>
    <x:mergeCell ref="H428:K428"/>
    <x:mergeCell ref="D429:E429"/>
    <x:mergeCell ref="F429:G429"/>
    <x:mergeCell ref="H429:K429"/>
    <x:mergeCell ref="D430:E430"/>
    <x:mergeCell ref="F430:G430"/>
    <x:mergeCell ref="H430:K430"/>
    <x:mergeCell ref="D431:E431"/>
    <x:mergeCell ref="F431:G431"/>
    <x:mergeCell ref="H431:K431"/>
    <x:mergeCell ref="D432:E432"/>
    <x:mergeCell ref="F432:G432"/>
    <x:mergeCell ref="H432:K432"/>
    <x:mergeCell ref="D433:E433"/>
    <x:mergeCell ref="F433:G433"/>
    <x:mergeCell ref="H433:K433"/>
    <x:mergeCell ref="D434:E434"/>
    <x:mergeCell ref="F434:G434"/>
    <x:mergeCell ref="H434:K434"/>
    <x:mergeCell ref="D435:E435"/>
    <x:mergeCell ref="F435:G435"/>
    <x:mergeCell ref="H435:K435"/>
    <x:mergeCell ref="D436:E436"/>
    <x:mergeCell ref="F436:G436"/>
    <x:mergeCell ref="H436:K436"/>
    <x:mergeCell ref="D437:E437"/>
    <x:mergeCell ref="F437:G437"/>
    <x:mergeCell ref="H437:K437"/>
    <x:mergeCell ref="D438:E438"/>
    <x:mergeCell ref="F438:G438"/>
    <x:mergeCell ref="H438:K438"/>
    <x:mergeCell ref="D439:E439"/>
    <x:mergeCell ref="F439:G439"/>
    <x:mergeCell ref="H439:K439"/>
    <x:mergeCell ref="D440:E440"/>
    <x:mergeCell ref="F440:G440"/>
    <x:mergeCell ref="H440:K440"/>
    <x:mergeCell ref="D441:E441"/>
    <x:mergeCell ref="F441:G441"/>
    <x:mergeCell ref="H441:K441"/>
    <x:mergeCell ref="D442:E442"/>
    <x:mergeCell ref="F442:G442"/>
    <x:mergeCell ref="H442:K442"/>
    <x:mergeCell ref="D443:E443"/>
    <x:mergeCell ref="F443:G443"/>
    <x:mergeCell ref="H443:K443"/>
    <x:mergeCell ref="D444:E444"/>
    <x:mergeCell ref="F444:G444"/>
    <x:mergeCell ref="H444:K444"/>
    <x:mergeCell ref="D445:E445"/>
    <x:mergeCell ref="F445:G445"/>
    <x:mergeCell ref="H445:K445"/>
    <x:mergeCell ref="D446:E446"/>
    <x:mergeCell ref="F446:G446"/>
    <x:mergeCell ref="H446:K446"/>
    <x:mergeCell ref="D447:E447"/>
    <x:mergeCell ref="F447:G447"/>
    <x:mergeCell ref="H447:K447"/>
    <x:mergeCell ref="D448:E448"/>
    <x:mergeCell ref="F448:G448"/>
    <x:mergeCell ref="H448:K448"/>
    <x:mergeCell ref="D449:E449"/>
    <x:mergeCell ref="F449:G449"/>
    <x:mergeCell ref="H449:K449"/>
    <x:mergeCell ref="D450:E450"/>
    <x:mergeCell ref="F450:G450"/>
    <x:mergeCell ref="H450:K450"/>
    <x:mergeCell ref="D451:E451"/>
    <x:mergeCell ref="F451:G451"/>
    <x:mergeCell ref="H451:K451"/>
    <x:mergeCell ref="D452:E452"/>
    <x:mergeCell ref="F452:G452"/>
    <x:mergeCell ref="H452:K452"/>
    <x:mergeCell ref="D453:E453"/>
    <x:mergeCell ref="F453:G453"/>
    <x:mergeCell ref="H453:K453"/>
    <x:mergeCell ref="D454:E454"/>
    <x:mergeCell ref="F454:G454"/>
    <x:mergeCell ref="H454:K454"/>
    <x:mergeCell ref="D455:E455"/>
    <x:mergeCell ref="F455:G455"/>
    <x:mergeCell ref="H455:K455"/>
    <x:mergeCell ref="D456:E456"/>
    <x:mergeCell ref="F456:G456"/>
    <x:mergeCell ref="H456:K456"/>
    <x:mergeCell ref="D457:E457"/>
    <x:mergeCell ref="F457:G457"/>
    <x:mergeCell ref="H457:K457"/>
    <x:mergeCell ref="D458:E458"/>
    <x:mergeCell ref="F458:G458"/>
    <x:mergeCell ref="H458:K458"/>
    <x:mergeCell ref="D459:E459"/>
    <x:mergeCell ref="F459:G459"/>
    <x:mergeCell ref="H459:K459"/>
    <x:mergeCell ref="D460:E460"/>
    <x:mergeCell ref="F460:G460"/>
    <x:mergeCell ref="H460:K460"/>
    <x:mergeCell ref="D461:E461"/>
    <x:mergeCell ref="F461:G461"/>
    <x:mergeCell ref="H461:K461"/>
    <x:mergeCell ref="D462:E462"/>
    <x:mergeCell ref="F462:G462"/>
    <x:mergeCell ref="H462:K462"/>
    <x:mergeCell ref="D463:E463"/>
    <x:mergeCell ref="F463:G463"/>
    <x:mergeCell ref="H463:K463"/>
    <x:mergeCell ref="D464:E464"/>
    <x:mergeCell ref="F464:G464"/>
    <x:mergeCell ref="H464:K464"/>
    <x:mergeCell ref="D465:E465"/>
    <x:mergeCell ref="F465:G465"/>
    <x:mergeCell ref="H465:K465"/>
    <x:mergeCell ref="D466:E466"/>
    <x:mergeCell ref="F466:G466"/>
    <x:mergeCell ref="H466:K466"/>
    <x:mergeCell ref="D467:E467"/>
    <x:mergeCell ref="F467:G467"/>
    <x:mergeCell ref="H467:K467"/>
    <x:mergeCell ref="D468:E468"/>
    <x:mergeCell ref="F468:G468"/>
    <x:mergeCell ref="H468:K468"/>
    <x:mergeCell ref="D469:E469"/>
    <x:mergeCell ref="F469:G469"/>
    <x:mergeCell ref="H469:K469"/>
    <x:mergeCell ref="D470:E470"/>
    <x:mergeCell ref="F470:G470"/>
    <x:mergeCell ref="H470:K470"/>
    <x:mergeCell ref="D471:E471"/>
    <x:mergeCell ref="F471:G471"/>
    <x:mergeCell ref="H471:K471"/>
    <x:mergeCell ref="D472:E472"/>
    <x:mergeCell ref="F472:G472"/>
    <x:mergeCell ref="H472:K472"/>
    <x:mergeCell ref="D473:E473"/>
    <x:mergeCell ref="F473:G473"/>
    <x:mergeCell ref="H473:K473"/>
    <x:mergeCell ref="D474:E474"/>
    <x:mergeCell ref="F474:G474"/>
    <x:mergeCell ref="H474:K474"/>
    <x:mergeCell ref="D475:E475"/>
    <x:mergeCell ref="F475:G475"/>
    <x:mergeCell ref="H475:K475"/>
    <x:mergeCell ref="D476:E476"/>
    <x:mergeCell ref="F476:G476"/>
    <x:mergeCell ref="H476:K476"/>
    <x:mergeCell ref="D477:E477"/>
    <x:mergeCell ref="F477:G477"/>
    <x:mergeCell ref="H477:K477"/>
    <x:mergeCell ref="D478:E478"/>
    <x:mergeCell ref="F478:G478"/>
    <x:mergeCell ref="H478:K478"/>
    <x:mergeCell ref="D479:E479"/>
    <x:mergeCell ref="F479:G479"/>
    <x:mergeCell ref="H479:K479"/>
    <x:mergeCell ref="D480:E480"/>
    <x:mergeCell ref="F480:G480"/>
    <x:mergeCell ref="H480:K480"/>
    <x:mergeCell ref="D481:E481"/>
    <x:mergeCell ref="F481:G481"/>
    <x:mergeCell ref="H481:K481"/>
    <x:mergeCell ref="D482:E482"/>
    <x:mergeCell ref="F482:G482"/>
    <x:mergeCell ref="H482:K482"/>
    <x:mergeCell ref="D483:E483"/>
    <x:mergeCell ref="F483:G483"/>
    <x:mergeCell ref="H483:K483"/>
    <x:mergeCell ref="D484:E484"/>
    <x:mergeCell ref="F484:G484"/>
    <x:mergeCell ref="H484:K484"/>
    <x:mergeCell ref="D485:E485"/>
    <x:mergeCell ref="F485:G485"/>
    <x:mergeCell ref="H485:K485"/>
    <x:mergeCell ref="D486:E486"/>
    <x:mergeCell ref="F486:G486"/>
    <x:mergeCell ref="H486:K486"/>
    <x:mergeCell ref="D487:E487"/>
    <x:mergeCell ref="F487:G487"/>
    <x:mergeCell ref="H487:K487"/>
    <x:mergeCell ref="D488:E488"/>
    <x:mergeCell ref="F488:G488"/>
    <x:mergeCell ref="H488:K488"/>
    <x:mergeCell ref="D489:E489"/>
    <x:mergeCell ref="F489:G489"/>
    <x:mergeCell ref="H489:K489"/>
    <x:mergeCell ref="D490:E490"/>
    <x:mergeCell ref="F490:G490"/>
    <x:mergeCell ref="H490:K490"/>
    <x:mergeCell ref="D491:E491"/>
    <x:mergeCell ref="F491:G491"/>
    <x:mergeCell ref="H491:K491"/>
    <x:mergeCell ref="D492:E492"/>
    <x:mergeCell ref="F492:G492"/>
    <x:mergeCell ref="H492:K492"/>
    <x:mergeCell ref="D493:E493"/>
    <x:mergeCell ref="F493:G493"/>
    <x:mergeCell ref="H493:K493"/>
    <x:mergeCell ref="D494:E494"/>
    <x:mergeCell ref="F494:G494"/>
    <x:mergeCell ref="H494:K494"/>
    <x:mergeCell ref="D495:E495"/>
    <x:mergeCell ref="F495:G495"/>
    <x:mergeCell ref="H495:K495"/>
    <x:mergeCell ref="D496:E496"/>
    <x:mergeCell ref="F496:G496"/>
    <x:mergeCell ref="H496:K496"/>
    <x:mergeCell ref="D497:E497"/>
    <x:mergeCell ref="F497:G497"/>
    <x:mergeCell ref="H497:K497"/>
    <x:mergeCell ref="D498:E498"/>
    <x:mergeCell ref="F498:G498"/>
    <x:mergeCell ref="H498:K498"/>
    <x:mergeCell ref="D499:E499"/>
    <x:mergeCell ref="F499:G499"/>
    <x:mergeCell ref="H499:K499"/>
    <x:mergeCell ref="D500:E500"/>
    <x:mergeCell ref="F500:G500"/>
    <x:mergeCell ref="H500:K500"/>
    <x:mergeCell ref="D501:E501"/>
    <x:mergeCell ref="F501:G501"/>
    <x:mergeCell ref="H501:K501"/>
    <x:mergeCell ref="D502:E502"/>
    <x:mergeCell ref="F502:G502"/>
    <x:mergeCell ref="H502:K502"/>
    <x:mergeCell ref="D503:E503"/>
    <x:mergeCell ref="F503:G503"/>
    <x:mergeCell ref="H503:K503"/>
    <x:mergeCell ref="D504:E504"/>
    <x:mergeCell ref="F504:G504"/>
    <x:mergeCell ref="H504:K504"/>
    <x:mergeCell ref="D505:E505"/>
    <x:mergeCell ref="F505:G505"/>
    <x:mergeCell ref="H505:K505"/>
    <x:mergeCell ref="D506:E506"/>
    <x:mergeCell ref="F506:G506"/>
    <x:mergeCell ref="H506:K506"/>
    <x:mergeCell ref="D507:E507"/>
    <x:mergeCell ref="F507:G507"/>
    <x:mergeCell ref="H507:K507"/>
    <x:mergeCell ref="D508:E508"/>
    <x:mergeCell ref="F508:G508"/>
    <x:mergeCell ref="H508:K508"/>
    <x:mergeCell ref="D509:E509"/>
    <x:mergeCell ref="F509:G509"/>
    <x:mergeCell ref="H509:K509"/>
    <x:mergeCell ref="D510:E510"/>
    <x:mergeCell ref="F510:G510"/>
    <x:mergeCell ref="H510:K510"/>
    <x:mergeCell ref="D511:E511"/>
    <x:mergeCell ref="F511:G511"/>
    <x:mergeCell ref="H511:K511"/>
    <x:mergeCell ref="D512:E512"/>
    <x:mergeCell ref="F512:G512"/>
    <x:mergeCell ref="H512:K512"/>
    <x:mergeCell ref="D513:E513"/>
    <x:mergeCell ref="F513:G513"/>
    <x:mergeCell ref="H513:K513"/>
    <x:mergeCell ref="D514:E514"/>
    <x:mergeCell ref="F514:G514"/>
    <x:mergeCell ref="H514:K514"/>
    <x:mergeCell ref="D515:E515"/>
    <x:mergeCell ref="F515:G515"/>
    <x:mergeCell ref="H515:K515"/>
    <x:mergeCell ref="D516:E516"/>
    <x:mergeCell ref="F516:G516"/>
    <x:mergeCell ref="H516:K516"/>
    <x:mergeCell ref="D517:E517"/>
    <x:mergeCell ref="F517:G517"/>
    <x:mergeCell ref="H517:K517"/>
    <x:mergeCell ref="D518:E518"/>
    <x:mergeCell ref="F518:G518"/>
    <x:mergeCell ref="H518:K518"/>
    <x:mergeCell ref="D519:E519"/>
    <x:mergeCell ref="F519:G519"/>
    <x:mergeCell ref="H519:K519"/>
    <x:mergeCell ref="D520:E520"/>
    <x:mergeCell ref="F520:G520"/>
    <x:mergeCell ref="H520:K520"/>
    <x:mergeCell ref="D521:E521"/>
    <x:mergeCell ref="F521:G521"/>
    <x:mergeCell ref="H521:K521"/>
    <x:mergeCell ref="D522:E522"/>
    <x:mergeCell ref="F522:G522"/>
    <x:mergeCell ref="H522:K522"/>
    <x:mergeCell ref="D523:E523"/>
    <x:mergeCell ref="F523:G523"/>
    <x:mergeCell ref="H523:K523"/>
    <x:mergeCell ref="D524:E524"/>
    <x:mergeCell ref="F524:G524"/>
    <x:mergeCell ref="H524:K524"/>
    <x:mergeCell ref="D525:E525"/>
    <x:mergeCell ref="F525:G525"/>
    <x:mergeCell ref="H525:K525"/>
    <x:mergeCell ref="D526:E526"/>
    <x:mergeCell ref="F526:G526"/>
    <x:mergeCell ref="H526:K526"/>
    <x:mergeCell ref="D527:E527"/>
    <x:mergeCell ref="F527:G527"/>
    <x:mergeCell ref="H527:K527"/>
    <x:mergeCell ref="D528:E528"/>
    <x:mergeCell ref="F528:G528"/>
    <x:mergeCell ref="H528:K528"/>
    <x:mergeCell ref="D529:E529"/>
    <x:mergeCell ref="F529:G529"/>
    <x:mergeCell ref="H529:K529"/>
    <x:mergeCell ref="D530:E530"/>
    <x:mergeCell ref="F530:G530"/>
    <x:mergeCell ref="H530:K530"/>
    <x:mergeCell ref="D531:E531"/>
    <x:mergeCell ref="F531:G531"/>
    <x:mergeCell ref="H531:K531"/>
    <x:mergeCell ref="D532:E532"/>
    <x:mergeCell ref="F532:G532"/>
    <x:mergeCell ref="H532:K532"/>
    <x:mergeCell ref="D533:E533"/>
    <x:mergeCell ref="F533:G533"/>
    <x:mergeCell ref="H533:K533"/>
    <x:mergeCell ref="D534:E534"/>
    <x:mergeCell ref="F534:G534"/>
    <x:mergeCell ref="H534:K534"/>
    <x:mergeCell ref="D535:E535"/>
    <x:mergeCell ref="F535:G535"/>
    <x:mergeCell ref="H535:K535"/>
    <x:mergeCell ref="D536:E536"/>
    <x:mergeCell ref="F536:G536"/>
    <x:mergeCell ref="H536:K536"/>
    <x:mergeCell ref="D537:E537"/>
    <x:mergeCell ref="F537:G537"/>
    <x:mergeCell ref="H537:K537"/>
    <x:mergeCell ref="D538:E538"/>
    <x:mergeCell ref="F538:G538"/>
    <x:mergeCell ref="H538:K538"/>
    <x:mergeCell ref="D539:E539"/>
    <x:mergeCell ref="F539:G539"/>
    <x:mergeCell ref="H539:K539"/>
    <x:mergeCell ref="D540:E540"/>
    <x:mergeCell ref="F540:G540"/>
    <x:mergeCell ref="H540:K540"/>
    <x:mergeCell ref="D541:E541"/>
    <x:mergeCell ref="F541:G541"/>
    <x:mergeCell ref="H541:K541"/>
    <x:mergeCell ref="D542:E542"/>
    <x:mergeCell ref="F542:G542"/>
    <x:mergeCell ref="H542:K542"/>
    <x:mergeCell ref="D543:E543"/>
    <x:mergeCell ref="F543:G543"/>
    <x:mergeCell ref="H543:K543"/>
    <x:mergeCell ref="D544:E544"/>
    <x:mergeCell ref="F544:G544"/>
    <x:mergeCell ref="H544:K544"/>
    <x:mergeCell ref="D545:E545"/>
    <x:mergeCell ref="F545:G545"/>
    <x:mergeCell ref="H545:K545"/>
    <x:mergeCell ref="D546:E546"/>
    <x:mergeCell ref="F546:G546"/>
    <x:mergeCell ref="H546:K546"/>
    <x:mergeCell ref="D547:E547"/>
    <x:mergeCell ref="F547:G547"/>
    <x:mergeCell ref="H547:K547"/>
    <x:mergeCell ref="D548:E548"/>
    <x:mergeCell ref="F548:G548"/>
    <x:mergeCell ref="H548:K548"/>
    <x:mergeCell ref="D549:E549"/>
    <x:mergeCell ref="F549:G549"/>
    <x:mergeCell ref="H549:K549"/>
    <x:mergeCell ref="D550:E550"/>
    <x:mergeCell ref="F550:G550"/>
    <x:mergeCell ref="H550:K550"/>
    <x:mergeCell ref="D551:E551"/>
    <x:mergeCell ref="F551:G551"/>
    <x:mergeCell ref="H551:K551"/>
    <x:mergeCell ref="D552:E552"/>
    <x:mergeCell ref="F552:G552"/>
    <x:mergeCell ref="H552:K552"/>
    <x:mergeCell ref="D553:E553"/>
    <x:mergeCell ref="F553:G553"/>
    <x:mergeCell ref="H553:K553"/>
    <x:mergeCell ref="D554:E554"/>
    <x:mergeCell ref="F554:G554"/>
    <x:mergeCell ref="H554:K554"/>
    <x:mergeCell ref="D555:E555"/>
    <x:mergeCell ref="F555:G555"/>
    <x:mergeCell ref="H555:K555"/>
    <x:mergeCell ref="D556:E556"/>
    <x:mergeCell ref="F556:G556"/>
    <x:mergeCell ref="H556:K556"/>
    <x:mergeCell ref="D557:E557"/>
    <x:mergeCell ref="F557:G557"/>
    <x:mergeCell ref="H557:K557"/>
    <x:mergeCell ref="D558:E558"/>
    <x:mergeCell ref="F558:G558"/>
    <x:mergeCell ref="H558:K558"/>
    <x:mergeCell ref="D559:E559"/>
    <x:mergeCell ref="F559:G559"/>
    <x:mergeCell ref="H559:K559"/>
    <x:mergeCell ref="D560:E560"/>
    <x:mergeCell ref="F560:G560"/>
    <x:mergeCell ref="H560:K560"/>
    <x:mergeCell ref="D561:E561"/>
    <x:mergeCell ref="F561:G561"/>
    <x:mergeCell ref="H561:K561"/>
    <x:mergeCell ref="D562:E562"/>
    <x:mergeCell ref="F562:G562"/>
    <x:mergeCell ref="H562:K562"/>
    <x:mergeCell ref="D563:E563"/>
    <x:mergeCell ref="F563:G563"/>
    <x:mergeCell ref="H563:K563"/>
    <x:mergeCell ref="D564:E564"/>
    <x:mergeCell ref="F564:G564"/>
    <x:mergeCell ref="H564:K564"/>
    <x:mergeCell ref="D565:E565"/>
    <x:mergeCell ref="F565:G565"/>
    <x:mergeCell ref="H565:K565"/>
    <x:mergeCell ref="D566:E566"/>
    <x:mergeCell ref="F566:G566"/>
    <x:mergeCell ref="H566:K566"/>
    <x:mergeCell ref="D567:E567"/>
    <x:mergeCell ref="F567:G567"/>
    <x:mergeCell ref="H567:K567"/>
    <x:mergeCell ref="D568:E568"/>
    <x:mergeCell ref="F568:G568"/>
    <x:mergeCell ref="H568:K568"/>
    <x:mergeCell ref="D569:E569"/>
    <x:mergeCell ref="F569:G569"/>
    <x:mergeCell ref="H569:K569"/>
    <x:mergeCell ref="D570:E570"/>
    <x:mergeCell ref="F570:G570"/>
    <x:mergeCell ref="H570:K570"/>
    <x:mergeCell ref="D571:E571"/>
    <x:mergeCell ref="F571:G571"/>
    <x:mergeCell ref="H571:K571"/>
    <x:mergeCell ref="D572:E572"/>
    <x:mergeCell ref="F572:G572"/>
    <x:mergeCell ref="H572:K572"/>
    <x:mergeCell ref="D573:E573"/>
    <x:mergeCell ref="F573:G573"/>
    <x:mergeCell ref="H573:K573"/>
    <x:mergeCell ref="D574:E574"/>
    <x:mergeCell ref="F574:G574"/>
    <x:mergeCell ref="H574:K574"/>
    <x:mergeCell ref="D575:E575"/>
    <x:mergeCell ref="F575:G575"/>
    <x:mergeCell ref="H575:K575"/>
    <x:mergeCell ref="D576:E576"/>
    <x:mergeCell ref="F576:G576"/>
    <x:mergeCell ref="H576:K576"/>
    <x:mergeCell ref="D577:E577"/>
    <x:mergeCell ref="F577:G577"/>
    <x:mergeCell ref="H577:K577"/>
    <x:mergeCell ref="D578:E578"/>
    <x:mergeCell ref="F578:G578"/>
    <x:mergeCell ref="H578:K578"/>
    <x:mergeCell ref="D579:E579"/>
    <x:mergeCell ref="F579:G579"/>
    <x:mergeCell ref="H579:K579"/>
    <x:mergeCell ref="D580:E580"/>
    <x:mergeCell ref="F580:G580"/>
    <x:mergeCell ref="H580:K580"/>
    <x:mergeCell ref="D581:E581"/>
    <x:mergeCell ref="F581:G581"/>
    <x:mergeCell ref="H581:K581"/>
    <x:mergeCell ref="D582:E582"/>
    <x:mergeCell ref="F582:G582"/>
    <x:mergeCell ref="H582:K582"/>
    <x:mergeCell ref="D583:E583"/>
    <x:mergeCell ref="F583:G583"/>
    <x:mergeCell ref="H583:K583"/>
    <x:mergeCell ref="D584:E584"/>
    <x:mergeCell ref="F584:G584"/>
    <x:mergeCell ref="H584:K584"/>
    <x:mergeCell ref="D585:E585"/>
    <x:mergeCell ref="F585:G585"/>
    <x:mergeCell ref="H585:K585"/>
    <x:mergeCell ref="D586:E586"/>
    <x:mergeCell ref="F586:G586"/>
    <x:mergeCell ref="H586:K586"/>
    <x:mergeCell ref="D587:E587"/>
    <x:mergeCell ref="F587:G587"/>
    <x:mergeCell ref="H587:K587"/>
    <x:mergeCell ref="D588:E588"/>
    <x:mergeCell ref="F588:G588"/>
    <x:mergeCell ref="H588:K588"/>
    <x:mergeCell ref="D589:E589"/>
    <x:mergeCell ref="F589:G589"/>
    <x:mergeCell ref="H589:K589"/>
    <x:mergeCell ref="D590:E590"/>
    <x:mergeCell ref="F590:G590"/>
    <x:mergeCell ref="H590:K590"/>
    <x:mergeCell ref="D591:E591"/>
    <x:mergeCell ref="F591:G591"/>
    <x:mergeCell ref="H591:K591"/>
    <x:mergeCell ref="D592:E592"/>
    <x:mergeCell ref="F592:G592"/>
    <x:mergeCell ref="H592:K592"/>
    <x:mergeCell ref="D593:E593"/>
    <x:mergeCell ref="F593:G593"/>
    <x:mergeCell ref="H593:K593"/>
    <x:mergeCell ref="D594:E594"/>
    <x:mergeCell ref="F594:G594"/>
    <x:mergeCell ref="H594:K594"/>
    <x:mergeCell ref="D595:E595"/>
    <x:mergeCell ref="F595:G595"/>
    <x:mergeCell ref="H595:K595"/>
    <x:mergeCell ref="D596:E596"/>
    <x:mergeCell ref="F596:G596"/>
    <x:mergeCell ref="H596:K596"/>
    <x:mergeCell ref="D597:E597"/>
    <x:mergeCell ref="F597:G597"/>
    <x:mergeCell ref="H597:K597"/>
    <x:mergeCell ref="D598:E598"/>
    <x:mergeCell ref="F598:G598"/>
    <x:mergeCell ref="H598:K598"/>
    <x:mergeCell ref="D599:E599"/>
    <x:mergeCell ref="F599:G599"/>
    <x:mergeCell ref="H599:K599"/>
    <x:mergeCell ref="D600:E600"/>
    <x:mergeCell ref="F600:G600"/>
    <x:mergeCell ref="H600:K600"/>
    <x:mergeCell ref="D601:E601"/>
    <x:mergeCell ref="F601:G601"/>
    <x:mergeCell ref="H601:K601"/>
    <x:mergeCell ref="D602:E602"/>
    <x:mergeCell ref="F602:G602"/>
    <x:mergeCell ref="H602:K602"/>
    <x:mergeCell ref="D603:E603"/>
    <x:mergeCell ref="F603:G603"/>
    <x:mergeCell ref="H603:K603"/>
    <x:mergeCell ref="D604:E604"/>
    <x:mergeCell ref="F604:G604"/>
    <x:mergeCell ref="H604:K604"/>
    <x:mergeCell ref="D605:E605"/>
    <x:mergeCell ref="F605:G605"/>
    <x:mergeCell ref="H605:K605"/>
    <x:mergeCell ref="D606:E606"/>
    <x:mergeCell ref="F606:G606"/>
    <x:mergeCell ref="H606:K606"/>
    <x:mergeCell ref="D607:E607"/>
    <x:mergeCell ref="F607:G607"/>
    <x:mergeCell ref="H607:K607"/>
    <x:mergeCell ref="D608:E608"/>
    <x:mergeCell ref="F608:G608"/>
    <x:mergeCell ref="H608:K608"/>
    <x:mergeCell ref="D609:E609"/>
    <x:mergeCell ref="F609:G609"/>
    <x:mergeCell ref="H609:K609"/>
    <x:mergeCell ref="D610:E610"/>
    <x:mergeCell ref="F610:G610"/>
    <x:mergeCell ref="H610:K610"/>
    <x:mergeCell ref="D611:E611"/>
    <x:mergeCell ref="F611:G611"/>
    <x:mergeCell ref="H611:K611"/>
    <x:mergeCell ref="D612:E612"/>
    <x:mergeCell ref="F612:G612"/>
    <x:mergeCell ref="H612:K612"/>
    <x:mergeCell ref="D613:E613"/>
    <x:mergeCell ref="F613:G613"/>
    <x:mergeCell ref="H613:K613"/>
    <x:mergeCell ref="D614:E614"/>
    <x:mergeCell ref="F614:G614"/>
    <x:mergeCell ref="H614:K614"/>
    <x:mergeCell ref="D615:E615"/>
    <x:mergeCell ref="F615:G615"/>
    <x:mergeCell ref="H615:K615"/>
    <x:mergeCell ref="D616:E616"/>
    <x:mergeCell ref="F616:G616"/>
    <x:mergeCell ref="H616:K616"/>
    <x:mergeCell ref="D617:E617"/>
    <x:mergeCell ref="F617:G617"/>
    <x:mergeCell ref="H617:K617"/>
    <x:mergeCell ref="D618:E618"/>
    <x:mergeCell ref="F618:G618"/>
    <x:mergeCell ref="H618:K618"/>
    <x:mergeCell ref="D619:E619"/>
    <x:mergeCell ref="F619:G619"/>
    <x:mergeCell ref="H619:K619"/>
    <x:mergeCell ref="D620:E620"/>
    <x:mergeCell ref="F620:G620"/>
    <x:mergeCell ref="H620:K620"/>
    <x:mergeCell ref="D621:E621"/>
    <x:mergeCell ref="F621:G621"/>
    <x:mergeCell ref="H621:K621"/>
    <x:mergeCell ref="D622:E622"/>
    <x:mergeCell ref="F622:G622"/>
    <x:mergeCell ref="H622:K622"/>
    <x:mergeCell ref="D623:E623"/>
    <x:mergeCell ref="F623:G623"/>
    <x:mergeCell ref="H623:K623"/>
    <x:mergeCell ref="D624:E624"/>
    <x:mergeCell ref="F624:G624"/>
    <x:mergeCell ref="H624:K624"/>
    <x:mergeCell ref="D625:E625"/>
    <x:mergeCell ref="F625:G625"/>
    <x:mergeCell ref="H625:K625"/>
    <x:mergeCell ref="D626:E626"/>
    <x:mergeCell ref="F626:G626"/>
    <x:mergeCell ref="H626:K626"/>
    <x:mergeCell ref="D627:E627"/>
    <x:mergeCell ref="F627:G627"/>
    <x:mergeCell ref="H627:K627"/>
    <x:mergeCell ref="D628:E628"/>
    <x:mergeCell ref="F628:G628"/>
    <x:mergeCell ref="H628:K628"/>
    <x:mergeCell ref="D629:E629"/>
    <x:mergeCell ref="F629:G629"/>
    <x:mergeCell ref="H629:K629"/>
    <x:mergeCell ref="D630:E630"/>
    <x:mergeCell ref="F630:G630"/>
    <x:mergeCell ref="H630:K630"/>
    <x:mergeCell ref="D631:E631"/>
    <x:mergeCell ref="F631:G631"/>
    <x:mergeCell ref="H631:K631"/>
    <x:mergeCell ref="D632:E632"/>
    <x:mergeCell ref="F632:G632"/>
    <x:mergeCell ref="H632:K632"/>
    <x:mergeCell ref="D633:E633"/>
    <x:mergeCell ref="F633:G633"/>
    <x:mergeCell ref="H633:K633"/>
    <x:mergeCell ref="D634:E634"/>
    <x:mergeCell ref="F634:G634"/>
    <x:mergeCell ref="H634:K634"/>
    <x:mergeCell ref="D635:E635"/>
    <x:mergeCell ref="F635:G635"/>
    <x:mergeCell ref="H635:K635"/>
    <x:mergeCell ref="D636:E636"/>
    <x:mergeCell ref="F636:G636"/>
    <x:mergeCell ref="H636:K636"/>
    <x:mergeCell ref="D637:E637"/>
    <x:mergeCell ref="F637:G637"/>
    <x:mergeCell ref="H637:K637"/>
    <x:mergeCell ref="D638:E638"/>
    <x:mergeCell ref="F638:G638"/>
    <x:mergeCell ref="H638:K638"/>
    <x:mergeCell ref="D639:E639"/>
    <x:mergeCell ref="F639:G639"/>
    <x:mergeCell ref="H639:K639"/>
    <x:mergeCell ref="D640:E640"/>
    <x:mergeCell ref="F640:G640"/>
    <x:mergeCell ref="H640:K640"/>
    <x:mergeCell ref="D641:E641"/>
    <x:mergeCell ref="F641:G641"/>
    <x:mergeCell ref="H641:K641"/>
    <x:mergeCell ref="D642:E642"/>
    <x:mergeCell ref="F642:G642"/>
    <x:mergeCell ref="H642:K642"/>
    <x:mergeCell ref="D643:E643"/>
    <x:mergeCell ref="F643:G643"/>
    <x:mergeCell ref="H643:K643"/>
    <x:mergeCell ref="D644:E644"/>
    <x:mergeCell ref="F644:G644"/>
    <x:mergeCell ref="H644:K644"/>
    <x:mergeCell ref="D645:E645"/>
    <x:mergeCell ref="F645:G645"/>
    <x:mergeCell ref="H645:K645"/>
    <x:mergeCell ref="D646:E646"/>
    <x:mergeCell ref="F646:G646"/>
    <x:mergeCell ref="H646:K646"/>
    <x:mergeCell ref="D647:E647"/>
    <x:mergeCell ref="F647:G647"/>
    <x:mergeCell ref="H647:K647"/>
    <x:mergeCell ref="D648:E648"/>
    <x:mergeCell ref="F648:G648"/>
    <x:mergeCell ref="H648:K648"/>
    <x:mergeCell ref="D649:E649"/>
    <x:mergeCell ref="F649:G649"/>
    <x:mergeCell ref="H649:K649"/>
    <x:mergeCell ref="D650:E650"/>
    <x:mergeCell ref="F650:G650"/>
    <x:mergeCell ref="H650:K650"/>
    <x:mergeCell ref="D651:E651"/>
    <x:mergeCell ref="F651:G651"/>
    <x:mergeCell ref="H651:K651"/>
    <x:mergeCell ref="D652:E652"/>
    <x:mergeCell ref="F652:G652"/>
    <x:mergeCell ref="H652:K652"/>
    <x:mergeCell ref="D653:E653"/>
    <x:mergeCell ref="F653:G653"/>
    <x:mergeCell ref="H653:K653"/>
    <x:mergeCell ref="D654:E654"/>
    <x:mergeCell ref="F654:G654"/>
    <x:mergeCell ref="H654:K654"/>
    <x:mergeCell ref="D655:E655"/>
    <x:mergeCell ref="F655:G655"/>
    <x:mergeCell ref="H655:K655"/>
    <x:mergeCell ref="D656:E656"/>
    <x:mergeCell ref="F656:G656"/>
    <x:mergeCell ref="H656:K656"/>
    <x:mergeCell ref="D657:E657"/>
    <x:mergeCell ref="F657:G657"/>
    <x:mergeCell ref="H657:K657"/>
    <x:mergeCell ref="D658:E658"/>
    <x:mergeCell ref="F658:G658"/>
    <x:mergeCell ref="H658:K658"/>
    <x:mergeCell ref="D659:E659"/>
    <x:mergeCell ref="F659:G659"/>
    <x:mergeCell ref="H659:K659"/>
    <x:mergeCell ref="D660:E660"/>
    <x:mergeCell ref="F660:G660"/>
    <x:mergeCell ref="H660:K660"/>
    <x:mergeCell ref="D661:E661"/>
    <x:mergeCell ref="F661:G661"/>
    <x:mergeCell ref="H661:K661"/>
    <x:mergeCell ref="D662:E662"/>
    <x:mergeCell ref="F662:G662"/>
    <x:mergeCell ref="H662:K662"/>
    <x:mergeCell ref="D663:E663"/>
    <x:mergeCell ref="F663:G663"/>
    <x:mergeCell ref="H663:K663"/>
    <x:mergeCell ref="D664:E664"/>
    <x:mergeCell ref="F664:G664"/>
    <x:mergeCell ref="H664:K664"/>
    <x:mergeCell ref="D665:E665"/>
    <x:mergeCell ref="F665:G665"/>
    <x:mergeCell ref="H665:K665"/>
    <x:mergeCell ref="D666:E666"/>
    <x:mergeCell ref="F666:G666"/>
    <x:mergeCell ref="H666:K666"/>
    <x:mergeCell ref="D667:E667"/>
    <x:mergeCell ref="F667:G667"/>
    <x:mergeCell ref="H667:K667"/>
    <x:mergeCell ref="D668:E668"/>
    <x:mergeCell ref="F668:G668"/>
    <x:mergeCell ref="H668:K668"/>
    <x:mergeCell ref="D669:E669"/>
    <x:mergeCell ref="F669:G669"/>
    <x:mergeCell ref="H669:K669"/>
    <x:mergeCell ref="D670:E670"/>
    <x:mergeCell ref="F670:G670"/>
    <x:mergeCell ref="H670:K670"/>
    <x:mergeCell ref="D671:E671"/>
    <x:mergeCell ref="F671:G671"/>
    <x:mergeCell ref="H671:K671"/>
    <x:mergeCell ref="D672:E672"/>
    <x:mergeCell ref="F672:G672"/>
    <x:mergeCell ref="H672:K672"/>
    <x:mergeCell ref="D673:E673"/>
    <x:mergeCell ref="F673:G673"/>
    <x:mergeCell ref="H673:K673"/>
    <x:mergeCell ref="D674:E674"/>
    <x:mergeCell ref="F674:G674"/>
    <x:mergeCell ref="H674:K674"/>
    <x:mergeCell ref="D675:E675"/>
    <x:mergeCell ref="F675:G675"/>
    <x:mergeCell ref="H675:K675"/>
    <x:mergeCell ref="D676:E676"/>
    <x:mergeCell ref="F676:G676"/>
    <x:mergeCell ref="H676:K676"/>
    <x:mergeCell ref="D677:E677"/>
    <x:mergeCell ref="F677:G677"/>
    <x:mergeCell ref="H677:K677"/>
    <x:mergeCell ref="D678:E678"/>
    <x:mergeCell ref="F678:G678"/>
    <x:mergeCell ref="H678:K678"/>
    <x:mergeCell ref="D679:E679"/>
    <x:mergeCell ref="F679:G679"/>
    <x:mergeCell ref="H679:K679"/>
    <x:mergeCell ref="D680:E680"/>
    <x:mergeCell ref="F680:G680"/>
    <x:mergeCell ref="H680:K680"/>
    <x:mergeCell ref="D681:E681"/>
    <x:mergeCell ref="F681:G681"/>
    <x:mergeCell ref="H681:K681"/>
    <x:mergeCell ref="D682:E682"/>
    <x:mergeCell ref="F682:G682"/>
    <x:mergeCell ref="H682:K682"/>
    <x:mergeCell ref="D683:E683"/>
    <x:mergeCell ref="F683:G683"/>
    <x:mergeCell ref="H683:K683"/>
    <x:mergeCell ref="D684:E684"/>
    <x:mergeCell ref="F684:G684"/>
    <x:mergeCell ref="H684:K684"/>
    <x:mergeCell ref="D685:E685"/>
    <x:mergeCell ref="F685:G685"/>
    <x:mergeCell ref="H685:K685"/>
    <x:mergeCell ref="D686:E686"/>
    <x:mergeCell ref="F686:G686"/>
    <x:mergeCell ref="H686:K686"/>
    <x:mergeCell ref="D687:E687"/>
    <x:mergeCell ref="F687:G687"/>
    <x:mergeCell ref="H687:K687"/>
    <x:mergeCell ref="D688:E688"/>
    <x:mergeCell ref="F688:G688"/>
    <x:mergeCell ref="H688:K688"/>
    <x:mergeCell ref="D689:E689"/>
    <x:mergeCell ref="F689:G689"/>
    <x:mergeCell ref="H689:K689"/>
    <x:mergeCell ref="D690:E690"/>
    <x:mergeCell ref="F690:G690"/>
    <x:mergeCell ref="H690:K690"/>
    <x:mergeCell ref="D691:E691"/>
    <x:mergeCell ref="F691:G691"/>
    <x:mergeCell ref="H691:K691"/>
    <x:mergeCell ref="D692:E692"/>
    <x:mergeCell ref="F692:G692"/>
    <x:mergeCell ref="H692:K692"/>
    <x:mergeCell ref="D693:E693"/>
    <x:mergeCell ref="F693:G693"/>
    <x:mergeCell ref="H693:K693"/>
    <x:mergeCell ref="D694:E694"/>
    <x:mergeCell ref="F694:G694"/>
    <x:mergeCell ref="H694:K694"/>
    <x:mergeCell ref="D695:E695"/>
    <x:mergeCell ref="F695:G695"/>
    <x:mergeCell ref="H695:K695"/>
    <x:mergeCell ref="D696:E696"/>
    <x:mergeCell ref="F696:G696"/>
    <x:mergeCell ref="H696:K696"/>
    <x:mergeCell ref="D697:E697"/>
    <x:mergeCell ref="F697:G697"/>
    <x:mergeCell ref="H697:K697"/>
    <x:mergeCell ref="D698:E698"/>
    <x:mergeCell ref="F698:G698"/>
    <x:mergeCell ref="H698:K698"/>
    <x:mergeCell ref="D699:E699"/>
    <x:mergeCell ref="F699:G699"/>
    <x:mergeCell ref="H699:K699"/>
    <x:mergeCell ref="D700:E700"/>
    <x:mergeCell ref="F700:G700"/>
    <x:mergeCell ref="H700:K700"/>
    <x:mergeCell ref="D701:E701"/>
    <x:mergeCell ref="F701:G701"/>
    <x:mergeCell ref="H701:K701"/>
    <x:mergeCell ref="D702:E702"/>
    <x:mergeCell ref="F702:G702"/>
    <x:mergeCell ref="H702:K702"/>
    <x:mergeCell ref="D703:E703"/>
    <x:mergeCell ref="F703:G703"/>
    <x:mergeCell ref="H703:K703"/>
    <x:mergeCell ref="D704:E704"/>
    <x:mergeCell ref="F704:G704"/>
    <x:mergeCell ref="H704:K704"/>
    <x:mergeCell ref="D705:E705"/>
    <x:mergeCell ref="F705:G705"/>
    <x:mergeCell ref="H705:K705"/>
    <x:mergeCell ref="D706:E706"/>
    <x:mergeCell ref="F706:G706"/>
    <x:mergeCell ref="H706:K706"/>
    <x:mergeCell ref="D707:E707"/>
    <x:mergeCell ref="F707:G707"/>
    <x:mergeCell ref="H707:K707"/>
    <x:mergeCell ref="D708:E708"/>
    <x:mergeCell ref="F708:G708"/>
    <x:mergeCell ref="H708:K708"/>
    <x:mergeCell ref="D709:E709"/>
    <x:mergeCell ref="F709:G709"/>
    <x:mergeCell ref="H709:K709"/>
    <x:mergeCell ref="D710:E710"/>
    <x:mergeCell ref="F710:G710"/>
    <x:mergeCell ref="H710:K710"/>
    <x:mergeCell ref="D711:E711"/>
    <x:mergeCell ref="F711:G711"/>
    <x:mergeCell ref="H711:K711"/>
    <x:mergeCell ref="D712:E712"/>
    <x:mergeCell ref="F712:G712"/>
    <x:mergeCell ref="H712:K712"/>
    <x:mergeCell ref="D713:E713"/>
    <x:mergeCell ref="F713:G713"/>
    <x:mergeCell ref="H713:K713"/>
    <x:mergeCell ref="D714:E714"/>
    <x:mergeCell ref="F714:G714"/>
    <x:mergeCell ref="H714:K714"/>
    <x:mergeCell ref="D715:E715"/>
    <x:mergeCell ref="F715:G715"/>
    <x:mergeCell ref="H715:K715"/>
    <x:mergeCell ref="D716:E716"/>
    <x:mergeCell ref="F716:G716"/>
    <x:mergeCell ref="H716:K716"/>
    <x:mergeCell ref="D717:E717"/>
    <x:mergeCell ref="F717:G717"/>
    <x:mergeCell ref="H717:K717"/>
    <x:mergeCell ref="D718:E718"/>
    <x:mergeCell ref="F718:G718"/>
    <x:mergeCell ref="H718:K718"/>
    <x:mergeCell ref="D719:E719"/>
    <x:mergeCell ref="F719:G719"/>
    <x:mergeCell ref="H719:K719"/>
    <x:mergeCell ref="D720:E720"/>
    <x:mergeCell ref="F720:G720"/>
    <x:mergeCell ref="H720:K720"/>
    <x:mergeCell ref="D721:E721"/>
    <x:mergeCell ref="F721:G721"/>
    <x:mergeCell ref="H721:K721"/>
    <x:mergeCell ref="D722:E722"/>
    <x:mergeCell ref="F722:G722"/>
    <x:mergeCell ref="H722:K722"/>
    <x:mergeCell ref="D723:E723"/>
    <x:mergeCell ref="F723:G723"/>
    <x:mergeCell ref="H723:K723"/>
    <x:mergeCell ref="D724:E724"/>
    <x:mergeCell ref="F724:G724"/>
    <x:mergeCell ref="H724:K724"/>
    <x:mergeCell ref="D725:E725"/>
    <x:mergeCell ref="F725:G725"/>
    <x:mergeCell ref="H725:K725"/>
    <x:mergeCell ref="D726:E726"/>
    <x:mergeCell ref="F726:G726"/>
    <x:mergeCell ref="H726:K726"/>
    <x:mergeCell ref="D727:E727"/>
    <x:mergeCell ref="F727:G727"/>
    <x:mergeCell ref="H727:K727"/>
    <x:mergeCell ref="D728:E728"/>
    <x:mergeCell ref="F728:G728"/>
    <x:mergeCell ref="H728:K728"/>
    <x:mergeCell ref="D729:E729"/>
    <x:mergeCell ref="F729:G729"/>
    <x:mergeCell ref="H729:K729"/>
    <x:mergeCell ref="D730:E730"/>
    <x:mergeCell ref="F730:G730"/>
    <x:mergeCell ref="H730:K730"/>
    <x:mergeCell ref="D731:E731"/>
    <x:mergeCell ref="F731:G731"/>
    <x:mergeCell ref="H731:K731"/>
    <x:mergeCell ref="D732:E732"/>
    <x:mergeCell ref="F732:G732"/>
    <x:mergeCell ref="H732:K732"/>
    <x:mergeCell ref="D733:E733"/>
    <x:mergeCell ref="F733:G733"/>
    <x:mergeCell ref="H733:K733"/>
    <x:mergeCell ref="D734:E734"/>
    <x:mergeCell ref="F734:G734"/>
    <x:mergeCell ref="H734:K734"/>
    <x:mergeCell ref="D735:E735"/>
    <x:mergeCell ref="F735:G735"/>
    <x:mergeCell ref="H735:K735"/>
    <x:mergeCell ref="D736:E736"/>
    <x:mergeCell ref="F736:G736"/>
    <x:mergeCell ref="H736:K736"/>
    <x:mergeCell ref="D737:E737"/>
    <x:mergeCell ref="F737:G737"/>
    <x:mergeCell ref="H737:K737"/>
    <x:mergeCell ref="D738:E738"/>
    <x:mergeCell ref="F738:G738"/>
    <x:mergeCell ref="H738:K738"/>
    <x:mergeCell ref="D739:E739"/>
    <x:mergeCell ref="F739:G739"/>
    <x:mergeCell ref="H739:K739"/>
    <x:mergeCell ref="D740:E740"/>
    <x:mergeCell ref="F740:G740"/>
    <x:mergeCell ref="H740:K740"/>
    <x:mergeCell ref="D741:E741"/>
    <x:mergeCell ref="F741:G741"/>
    <x:mergeCell ref="H741:K741"/>
    <x:mergeCell ref="D742:E742"/>
    <x:mergeCell ref="F742:G742"/>
    <x:mergeCell ref="H742:K742"/>
    <x:mergeCell ref="D743:E743"/>
    <x:mergeCell ref="F743:G743"/>
    <x:mergeCell ref="H743:K743"/>
    <x:mergeCell ref="D744:E744"/>
    <x:mergeCell ref="F744:G744"/>
    <x:mergeCell ref="H744:K744"/>
    <x:mergeCell ref="D745:E745"/>
    <x:mergeCell ref="F745:G745"/>
    <x:mergeCell ref="H745:K745"/>
    <x:mergeCell ref="D746:E746"/>
    <x:mergeCell ref="F746:G746"/>
    <x:mergeCell ref="H746:K746"/>
    <x:mergeCell ref="D747:E747"/>
    <x:mergeCell ref="F747:G747"/>
    <x:mergeCell ref="H747:K747"/>
    <x:mergeCell ref="D748:E748"/>
    <x:mergeCell ref="F748:G748"/>
    <x:mergeCell ref="H748:K748"/>
    <x:mergeCell ref="D749:E749"/>
    <x:mergeCell ref="F749:G749"/>
    <x:mergeCell ref="H749:K749"/>
    <x:mergeCell ref="D750:E750"/>
    <x:mergeCell ref="F750:G750"/>
    <x:mergeCell ref="H750:K750"/>
    <x:mergeCell ref="D751:E751"/>
    <x:mergeCell ref="F751:G751"/>
    <x:mergeCell ref="H751:K751"/>
    <x:mergeCell ref="D752:E752"/>
    <x:mergeCell ref="F752:G752"/>
    <x:mergeCell ref="H752:K752"/>
    <x:mergeCell ref="D753:E753"/>
    <x:mergeCell ref="F753:G753"/>
    <x:mergeCell ref="H753:K753"/>
    <x:mergeCell ref="D754:E754"/>
    <x:mergeCell ref="F754:G754"/>
    <x:mergeCell ref="H754:K754"/>
    <x:mergeCell ref="D755:E755"/>
    <x:mergeCell ref="F755:G755"/>
    <x:mergeCell ref="H755:K755"/>
    <x:mergeCell ref="D756:E756"/>
    <x:mergeCell ref="F756:G756"/>
    <x:mergeCell ref="H756:K756"/>
    <x:mergeCell ref="D757:E757"/>
    <x:mergeCell ref="F757:G757"/>
    <x:mergeCell ref="H757:K757"/>
    <x:mergeCell ref="D758:E758"/>
    <x:mergeCell ref="F758:G758"/>
    <x:mergeCell ref="H758:K758"/>
    <x:mergeCell ref="D759:E759"/>
    <x:mergeCell ref="F759:G759"/>
    <x:mergeCell ref="H759:K759"/>
    <x:mergeCell ref="D760:E760"/>
    <x:mergeCell ref="F760:G760"/>
    <x:mergeCell ref="H760:K760"/>
    <x:mergeCell ref="D761:E761"/>
    <x:mergeCell ref="F761:G761"/>
    <x:mergeCell ref="H761:K761"/>
    <x:mergeCell ref="D762:E762"/>
    <x:mergeCell ref="F762:G762"/>
    <x:mergeCell ref="H762:K762"/>
    <x:mergeCell ref="D763:E763"/>
    <x:mergeCell ref="F763:G763"/>
    <x:mergeCell ref="H763:K763"/>
    <x:mergeCell ref="D764:E764"/>
    <x:mergeCell ref="F764:G764"/>
    <x:mergeCell ref="H764:K764"/>
    <x:mergeCell ref="D765:E765"/>
    <x:mergeCell ref="F765:G765"/>
    <x:mergeCell ref="H765:K765"/>
    <x:mergeCell ref="D766:E766"/>
    <x:mergeCell ref="F766:G766"/>
    <x:mergeCell ref="H766:K766"/>
    <x:mergeCell ref="D767:E767"/>
    <x:mergeCell ref="F767:G767"/>
    <x:mergeCell ref="H767:K767"/>
    <x:mergeCell ref="D768:E768"/>
    <x:mergeCell ref="F768:G768"/>
    <x:mergeCell ref="H768:K768"/>
    <x:mergeCell ref="D769:E769"/>
    <x:mergeCell ref="F769:G769"/>
    <x:mergeCell ref="H769:K769"/>
    <x:mergeCell ref="D770:E770"/>
    <x:mergeCell ref="F770:G770"/>
    <x:mergeCell ref="H770:K770"/>
    <x:mergeCell ref="D771:E771"/>
    <x:mergeCell ref="F771:G771"/>
    <x:mergeCell ref="H771:K771"/>
    <x:mergeCell ref="D772:E772"/>
    <x:mergeCell ref="F772:G772"/>
    <x:mergeCell ref="H772:K772"/>
    <x:mergeCell ref="D773:E773"/>
    <x:mergeCell ref="F773:G773"/>
    <x:mergeCell ref="H773:K773"/>
    <x:mergeCell ref="D774:E774"/>
    <x:mergeCell ref="F774:G774"/>
    <x:mergeCell ref="H774:K774"/>
    <x:mergeCell ref="D775:E775"/>
    <x:mergeCell ref="F775:G775"/>
    <x:mergeCell ref="H775:K775"/>
    <x:mergeCell ref="D776:E776"/>
    <x:mergeCell ref="F776:G776"/>
    <x:mergeCell ref="H776:K776"/>
    <x:mergeCell ref="D777:E777"/>
    <x:mergeCell ref="F777:G777"/>
    <x:mergeCell ref="H777:K777"/>
    <x:mergeCell ref="D778:E778"/>
    <x:mergeCell ref="F778:G778"/>
    <x:mergeCell ref="H778:K778"/>
    <x:mergeCell ref="D779:E779"/>
    <x:mergeCell ref="F779:G779"/>
    <x:mergeCell ref="H779:K779"/>
    <x:mergeCell ref="D780:E780"/>
    <x:mergeCell ref="F780:G780"/>
    <x:mergeCell ref="H780:K780"/>
    <x:mergeCell ref="D781:E781"/>
    <x:mergeCell ref="F781:G781"/>
    <x:mergeCell ref="H781:K781"/>
    <x:mergeCell ref="D782:E782"/>
    <x:mergeCell ref="F782:G782"/>
    <x:mergeCell ref="H782:K782"/>
    <x:mergeCell ref="D783:E783"/>
    <x:mergeCell ref="F783:G783"/>
    <x:mergeCell ref="H783:K783"/>
    <x:mergeCell ref="D784:E784"/>
    <x:mergeCell ref="F784:G784"/>
    <x:mergeCell ref="H784:K784"/>
    <x:mergeCell ref="D785:E785"/>
    <x:mergeCell ref="F785:G785"/>
    <x:mergeCell ref="H785:K785"/>
    <x:mergeCell ref="D786:E786"/>
    <x:mergeCell ref="F786:G786"/>
    <x:mergeCell ref="H786:K786"/>
    <x:mergeCell ref="D787:E787"/>
    <x:mergeCell ref="F787:G787"/>
    <x:mergeCell ref="H787:K787"/>
    <x:mergeCell ref="D788:E788"/>
    <x:mergeCell ref="F788:G788"/>
    <x:mergeCell ref="H788:K788"/>
    <x:mergeCell ref="D789:E789"/>
    <x:mergeCell ref="F789:G789"/>
    <x:mergeCell ref="H789:K789"/>
    <x:mergeCell ref="D790:E790"/>
    <x:mergeCell ref="F790:G790"/>
    <x:mergeCell ref="H790:K790"/>
    <x:mergeCell ref="D791:E791"/>
    <x:mergeCell ref="F791:G791"/>
    <x:mergeCell ref="H791:K791"/>
    <x:mergeCell ref="D792:E792"/>
    <x:mergeCell ref="F792:G792"/>
    <x:mergeCell ref="H792:K792"/>
    <x:mergeCell ref="D793:E793"/>
    <x:mergeCell ref="F793:G793"/>
    <x:mergeCell ref="H793:K793"/>
    <x:mergeCell ref="D794:E794"/>
    <x:mergeCell ref="F794:G794"/>
    <x:mergeCell ref="H794:K794"/>
    <x:mergeCell ref="D795:E795"/>
    <x:mergeCell ref="F795:G795"/>
    <x:mergeCell ref="H795:K795"/>
    <x:mergeCell ref="D796:E796"/>
    <x:mergeCell ref="F796:G796"/>
    <x:mergeCell ref="H796:K796"/>
    <x:mergeCell ref="D797:E797"/>
    <x:mergeCell ref="F797:G797"/>
    <x:mergeCell ref="H797:K797"/>
    <x:mergeCell ref="D798:E798"/>
    <x:mergeCell ref="F798:G798"/>
    <x:mergeCell ref="H798:K798"/>
    <x:mergeCell ref="D799:E799"/>
    <x:mergeCell ref="F799:G799"/>
    <x:mergeCell ref="H799:K799"/>
    <x:mergeCell ref="D800:E800"/>
    <x:mergeCell ref="F800:G800"/>
    <x:mergeCell ref="H800:K800"/>
    <x:mergeCell ref="D801:E801"/>
    <x:mergeCell ref="F801:G801"/>
    <x:mergeCell ref="H801:K801"/>
    <x:mergeCell ref="D802:E802"/>
    <x:mergeCell ref="F802:G802"/>
    <x:mergeCell ref="H802:K802"/>
    <x:mergeCell ref="D803:E803"/>
    <x:mergeCell ref="F803:G803"/>
    <x:mergeCell ref="H803:K803"/>
    <x:mergeCell ref="D804:E804"/>
    <x:mergeCell ref="F804:G804"/>
    <x:mergeCell ref="H804:K804"/>
    <x:mergeCell ref="D805:E805"/>
    <x:mergeCell ref="F805:G805"/>
    <x:mergeCell ref="H805:K805"/>
    <x:mergeCell ref="D806:E806"/>
    <x:mergeCell ref="F806:G806"/>
    <x:mergeCell ref="H806:K806"/>
    <x:mergeCell ref="D807:E807"/>
    <x:mergeCell ref="F807:G807"/>
    <x:mergeCell ref="H807:K807"/>
    <x:mergeCell ref="D808:E808"/>
    <x:mergeCell ref="F808:G808"/>
    <x:mergeCell ref="H808:K808"/>
    <x:mergeCell ref="D809:E809"/>
    <x:mergeCell ref="F809:G809"/>
    <x:mergeCell ref="H809:K809"/>
    <x:mergeCell ref="D810:E810"/>
    <x:mergeCell ref="F810:G810"/>
    <x:mergeCell ref="H810:K810"/>
    <x:mergeCell ref="D811:E811"/>
    <x:mergeCell ref="F811:G811"/>
    <x:mergeCell ref="H811:K811"/>
    <x:mergeCell ref="D812:E812"/>
    <x:mergeCell ref="F812:G812"/>
    <x:mergeCell ref="H812:K812"/>
    <x:mergeCell ref="D813:E813"/>
    <x:mergeCell ref="F813:G813"/>
    <x:mergeCell ref="H813:K813"/>
    <x:mergeCell ref="D814:E814"/>
    <x:mergeCell ref="F814:G814"/>
    <x:mergeCell ref="H814:K814"/>
    <x:mergeCell ref="D815:E815"/>
    <x:mergeCell ref="F815:G815"/>
    <x:mergeCell ref="H815:K815"/>
    <x:mergeCell ref="D816:E816"/>
    <x:mergeCell ref="F816:G816"/>
    <x:mergeCell ref="H816:K816"/>
    <x:mergeCell ref="D817:E817"/>
    <x:mergeCell ref="F817:G817"/>
    <x:mergeCell ref="H817:K817"/>
    <x:mergeCell ref="D818:E818"/>
    <x:mergeCell ref="F818:G818"/>
    <x:mergeCell ref="H818:K818"/>
    <x:mergeCell ref="D819:E819"/>
    <x:mergeCell ref="F819:G819"/>
    <x:mergeCell ref="H819:K819"/>
    <x:mergeCell ref="D820:E820"/>
    <x:mergeCell ref="F820:G820"/>
    <x:mergeCell ref="H820:K820"/>
    <x:mergeCell ref="D821:E821"/>
    <x:mergeCell ref="F821:G821"/>
    <x:mergeCell ref="H821:K821"/>
    <x:mergeCell ref="D822:E822"/>
    <x:mergeCell ref="F822:G822"/>
    <x:mergeCell ref="H822:K822"/>
    <x:mergeCell ref="D823:E823"/>
    <x:mergeCell ref="F823:G823"/>
    <x:mergeCell ref="H823:K823"/>
    <x:mergeCell ref="D824:E824"/>
    <x:mergeCell ref="F824:G824"/>
    <x:mergeCell ref="H824:K824"/>
    <x:mergeCell ref="D825:E825"/>
    <x:mergeCell ref="F825:G825"/>
    <x:mergeCell ref="H825:K825"/>
    <x:mergeCell ref="D826:E826"/>
    <x:mergeCell ref="F826:G826"/>
    <x:mergeCell ref="H826:K826"/>
    <x:mergeCell ref="D827:E827"/>
    <x:mergeCell ref="F827:G827"/>
    <x:mergeCell ref="H827:K827"/>
    <x:mergeCell ref="D828:E828"/>
    <x:mergeCell ref="F828:G828"/>
    <x:mergeCell ref="H828:K828"/>
    <x:mergeCell ref="D829:E829"/>
    <x:mergeCell ref="F829:G829"/>
    <x:mergeCell ref="H829:K829"/>
    <x:mergeCell ref="D830:E830"/>
    <x:mergeCell ref="F830:G830"/>
    <x:mergeCell ref="H830:K830"/>
    <x:mergeCell ref="D831:E831"/>
    <x:mergeCell ref="F831:G831"/>
    <x:mergeCell ref="H831:K831"/>
    <x:mergeCell ref="D832:E832"/>
    <x:mergeCell ref="F832:G832"/>
    <x:mergeCell ref="H832:K832"/>
    <x:mergeCell ref="D833:E833"/>
    <x:mergeCell ref="F833:G833"/>
    <x:mergeCell ref="H833:K833"/>
    <x:mergeCell ref="D834:E834"/>
    <x:mergeCell ref="F834:G834"/>
    <x:mergeCell ref="H834:K834"/>
    <x:mergeCell ref="D835:E835"/>
    <x:mergeCell ref="F835:G835"/>
    <x:mergeCell ref="H835:K835"/>
    <x:mergeCell ref="D836:E836"/>
    <x:mergeCell ref="F836:G836"/>
    <x:mergeCell ref="H836:K836"/>
    <x:mergeCell ref="D837:E837"/>
    <x:mergeCell ref="F837:G837"/>
    <x:mergeCell ref="H837:K837"/>
    <x:mergeCell ref="D838:E838"/>
    <x:mergeCell ref="F838:G838"/>
    <x:mergeCell ref="H838:K838"/>
    <x:mergeCell ref="D839:E839"/>
    <x:mergeCell ref="F839:G839"/>
    <x:mergeCell ref="H839:K839"/>
    <x:mergeCell ref="D840:E840"/>
    <x:mergeCell ref="F840:G840"/>
    <x:mergeCell ref="H840:K840"/>
    <x:mergeCell ref="D841:E841"/>
    <x:mergeCell ref="F841:G841"/>
    <x:mergeCell ref="H841:K841"/>
    <x:mergeCell ref="D842:E842"/>
    <x:mergeCell ref="F842:G842"/>
    <x:mergeCell ref="H842:K842"/>
    <x:mergeCell ref="D843:E843"/>
    <x:mergeCell ref="F843:G843"/>
    <x:mergeCell ref="H843:K843"/>
    <x:mergeCell ref="D844:E844"/>
    <x:mergeCell ref="F844:G844"/>
    <x:mergeCell ref="H844:K844"/>
    <x:mergeCell ref="D845:E845"/>
    <x:mergeCell ref="F845:G845"/>
    <x:mergeCell ref="H845:K845"/>
    <x:mergeCell ref="D846:E846"/>
    <x:mergeCell ref="F846:G846"/>
    <x:mergeCell ref="H846:K846"/>
    <x:mergeCell ref="D847:E847"/>
    <x:mergeCell ref="F847:G847"/>
    <x:mergeCell ref="H847:K847"/>
    <x:mergeCell ref="D848:E848"/>
    <x:mergeCell ref="F848:G848"/>
    <x:mergeCell ref="H848:K848"/>
    <x:mergeCell ref="D849:E849"/>
    <x:mergeCell ref="F849:G849"/>
    <x:mergeCell ref="H849:K849"/>
    <x:mergeCell ref="D850:E850"/>
    <x:mergeCell ref="F850:G850"/>
    <x:mergeCell ref="H850:K850"/>
    <x:mergeCell ref="D851:E851"/>
    <x:mergeCell ref="F851:G851"/>
    <x:mergeCell ref="H851:K851"/>
    <x:mergeCell ref="D852:E852"/>
    <x:mergeCell ref="F852:G852"/>
    <x:mergeCell ref="H852:K852"/>
    <x:mergeCell ref="D853:E853"/>
    <x:mergeCell ref="F853:G853"/>
    <x:mergeCell ref="H853:K853"/>
    <x:mergeCell ref="D854:E854"/>
    <x:mergeCell ref="F854:G854"/>
    <x:mergeCell ref="H854:K854"/>
    <x:mergeCell ref="D855:E855"/>
    <x:mergeCell ref="F855:G855"/>
    <x:mergeCell ref="H855:K855"/>
    <x:mergeCell ref="D856:E856"/>
    <x:mergeCell ref="F856:G856"/>
    <x:mergeCell ref="H856:K856"/>
    <x:mergeCell ref="D857:E857"/>
    <x:mergeCell ref="F857:G857"/>
    <x:mergeCell ref="H857:K857"/>
    <x:mergeCell ref="D858:E858"/>
    <x:mergeCell ref="F858:G858"/>
    <x:mergeCell ref="H858:K858"/>
    <x:mergeCell ref="D859:E859"/>
    <x:mergeCell ref="F859:G859"/>
    <x:mergeCell ref="H859:K859"/>
    <x:mergeCell ref="D860:E860"/>
    <x:mergeCell ref="F860:G860"/>
    <x:mergeCell ref="H860:K860"/>
    <x:mergeCell ref="D861:E861"/>
    <x:mergeCell ref="F861:G861"/>
    <x:mergeCell ref="H861:K861"/>
    <x:mergeCell ref="D862:E862"/>
    <x:mergeCell ref="F862:G862"/>
    <x:mergeCell ref="H862:K862"/>
    <x:mergeCell ref="D863:E863"/>
    <x:mergeCell ref="F863:G863"/>
    <x:mergeCell ref="H863:K863"/>
    <x:mergeCell ref="D864:E864"/>
    <x:mergeCell ref="F864:G864"/>
    <x:mergeCell ref="H864:K864"/>
    <x:mergeCell ref="D865:E865"/>
    <x:mergeCell ref="F865:G865"/>
    <x:mergeCell ref="H865:K865"/>
    <x:mergeCell ref="D866:E866"/>
    <x:mergeCell ref="F866:G866"/>
    <x:mergeCell ref="H866:K866"/>
    <x:mergeCell ref="D867:E867"/>
    <x:mergeCell ref="F867:G867"/>
    <x:mergeCell ref="H867:K867"/>
    <x:mergeCell ref="D868:E868"/>
    <x:mergeCell ref="F868:G868"/>
    <x:mergeCell ref="H868:K868"/>
    <x:mergeCell ref="D869:E869"/>
    <x:mergeCell ref="F869:G869"/>
    <x:mergeCell ref="H869:K869"/>
    <x:mergeCell ref="D870:E870"/>
    <x:mergeCell ref="F870:G870"/>
    <x:mergeCell ref="H870:K870"/>
    <x:mergeCell ref="D871:E871"/>
    <x:mergeCell ref="F871:G871"/>
    <x:mergeCell ref="H871:K871"/>
    <x:mergeCell ref="D872:E872"/>
    <x:mergeCell ref="F872:G872"/>
    <x:mergeCell ref="H872:K872"/>
    <x:mergeCell ref="D873:E873"/>
    <x:mergeCell ref="F873:G873"/>
    <x:mergeCell ref="H873:K873"/>
    <x:mergeCell ref="D874:E874"/>
    <x:mergeCell ref="F874:G874"/>
    <x:mergeCell ref="H874:K874"/>
    <x:mergeCell ref="D875:E875"/>
    <x:mergeCell ref="F875:G875"/>
    <x:mergeCell ref="H875:K875"/>
    <x:mergeCell ref="D876:E876"/>
    <x:mergeCell ref="F876:G876"/>
    <x:mergeCell ref="H876:K876"/>
    <x:mergeCell ref="D877:E877"/>
    <x:mergeCell ref="F877:G877"/>
    <x:mergeCell ref="H877:K877"/>
    <x:mergeCell ref="D878:E878"/>
    <x:mergeCell ref="F878:G878"/>
    <x:mergeCell ref="H878:K878"/>
    <x:mergeCell ref="D879:E879"/>
    <x:mergeCell ref="F879:G879"/>
    <x:mergeCell ref="H879:K879"/>
    <x:mergeCell ref="D880:E880"/>
    <x:mergeCell ref="F880:G880"/>
    <x:mergeCell ref="H880:K880"/>
    <x:mergeCell ref="D881:E881"/>
    <x:mergeCell ref="F881:G881"/>
    <x:mergeCell ref="H881:K881"/>
    <x:mergeCell ref="D882:E882"/>
    <x:mergeCell ref="F882:G882"/>
    <x:mergeCell ref="H882:K882"/>
    <x:mergeCell ref="D883:E883"/>
    <x:mergeCell ref="F883:G883"/>
    <x:mergeCell ref="H883:K883"/>
    <x:mergeCell ref="D884:E884"/>
    <x:mergeCell ref="F884:G884"/>
    <x:mergeCell ref="H884:K884"/>
    <x:mergeCell ref="D885:E885"/>
    <x:mergeCell ref="F885:G885"/>
    <x:mergeCell ref="H885:K885"/>
    <x:mergeCell ref="D886:E886"/>
    <x:mergeCell ref="F886:G886"/>
    <x:mergeCell ref="H886:K886"/>
    <x:mergeCell ref="D887:E887"/>
    <x:mergeCell ref="F887:G887"/>
    <x:mergeCell ref="H887:K887"/>
    <x:mergeCell ref="D888:E888"/>
    <x:mergeCell ref="F888:G888"/>
    <x:mergeCell ref="H888:K888"/>
    <x:mergeCell ref="D889:E889"/>
    <x:mergeCell ref="F889:G889"/>
    <x:mergeCell ref="H889:K889"/>
    <x:mergeCell ref="D890:E890"/>
    <x:mergeCell ref="F890:G890"/>
    <x:mergeCell ref="H890:K890"/>
    <x:mergeCell ref="D891:E891"/>
    <x:mergeCell ref="F891:G891"/>
    <x:mergeCell ref="H891:K891"/>
    <x:mergeCell ref="D892:E892"/>
    <x:mergeCell ref="F892:G892"/>
    <x:mergeCell ref="H892:K892"/>
    <x:mergeCell ref="D893:E893"/>
    <x:mergeCell ref="F893:G893"/>
    <x:mergeCell ref="H893:K893"/>
    <x:mergeCell ref="D894:E894"/>
    <x:mergeCell ref="F894:G894"/>
    <x:mergeCell ref="H894:K894"/>
    <x:mergeCell ref="D895:E895"/>
    <x:mergeCell ref="F895:G895"/>
    <x:mergeCell ref="H895:K895"/>
    <x:mergeCell ref="D896:E896"/>
    <x:mergeCell ref="F896:G896"/>
    <x:mergeCell ref="H896:K896"/>
    <x:mergeCell ref="D897:E897"/>
    <x:mergeCell ref="F897:G897"/>
    <x:mergeCell ref="H897:K897"/>
    <x:mergeCell ref="D898:E898"/>
    <x:mergeCell ref="F898:G898"/>
    <x:mergeCell ref="H898:K898"/>
    <x:mergeCell ref="D899:E899"/>
    <x:mergeCell ref="F899:G899"/>
    <x:mergeCell ref="H899:K899"/>
    <x:mergeCell ref="D900:E900"/>
    <x:mergeCell ref="F900:G900"/>
    <x:mergeCell ref="H900:K900"/>
    <x:mergeCell ref="D901:E901"/>
    <x:mergeCell ref="F901:G901"/>
    <x:mergeCell ref="H901:K901"/>
    <x:mergeCell ref="D902:E902"/>
    <x:mergeCell ref="F902:G902"/>
    <x:mergeCell ref="H902:K902"/>
    <x:mergeCell ref="D903:E903"/>
    <x:mergeCell ref="F903:G903"/>
    <x:mergeCell ref="H903:K903"/>
    <x:mergeCell ref="D904:E904"/>
    <x:mergeCell ref="F904:G904"/>
    <x:mergeCell ref="H904:K904"/>
    <x:mergeCell ref="D905:E905"/>
    <x:mergeCell ref="F905:G905"/>
    <x:mergeCell ref="H905:K905"/>
    <x:mergeCell ref="D906:E906"/>
    <x:mergeCell ref="F906:G906"/>
    <x:mergeCell ref="H906:K906"/>
    <x:mergeCell ref="D907:E907"/>
    <x:mergeCell ref="F907:G907"/>
    <x:mergeCell ref="H907:K907"/>
    <x:mergeCell ref="D908:E908"/>
    <x:mergeCell ref="F908:G908"/>
    <x:mergeCell ref="H908:K908"/>
    <x:mergeCell ref="D909:E909"/>
    <x:mergeCell ref="F909:G909"/>
    <x:mergeCell ref="H909:K909"/>
    <x:mergeCell ref="D910:E910"/>
    <x:mergeCell ref="F910:G910"/>
    <x:mergeCell ref="H910:K910"/>
    <x:mergeCell ref="D911:E911"/>
    <x:mergeCell ref="F911:G911"/>
    <x:mergeCell ref="H911:K911"/>
    <x:mergeCell ref="D912:E912"/>
    <x:mergeCell ref="F912:G912"/>
    <x:mergeCell ref="H912:K912"/>
    <x:mergeCell ref="D913:E913"/>
    <x:mergeCell ref="F913:G913"/>
    <x:mergeCell ref="H913:K913"/>
    <x:mergeCell ref="D914:E914"/>
    <x:mergeCell ref="F914:G914"/>
    <x:mergeCell ref="H914:K914"/>
    <x:mergeCell ref="D915:E915"/>
    <x:mergeCell ref="F915:G915"/>
    <x:mergeCell ref="H915:K915"/>
    <x:mergeCell ref="D916:E916"/>
    <x:mergeCell ref="F916:G916"/>
    <x:mergeCell ref="H916:K916"/>
    <x:mergeCell ref="D917:E917"/>
    <x:mergeCell ref="F917:G917"/>
    <x:mergeCell ref="H917:K917"/>
    <x:mergeCell ref="D918:E918"/>
    <x:mergeCell ref="F918:G918"/>
    <x:mergeCell ref="H918:K918"/>
    <x:mergeCell ref="D919:E919"/>
    <x:mergeCell ref="F919:G919"/>
    <x:mergeCell ref="H919:K919"/>
    <x:mergeCell ref="D920:E920"/>
    <x:mergeCell ref="F920:G920"/>
    <x:mergeCell ref="H920:K920"/>
    <x:mergeCell ref="D921:E921"/>
    <x:mergeCell ref="F921:G921"/>
    <x:mergeCell ref="H921:K921"/>
    <x:mergeCell ref="D922:E922"/>
    <x:mergeCell ref="F922:G922"/>
    <x:mergeCell ref="H922:K922"/>
    <x:mergeCell ref="D923:E923"/>
    <x:mergeCell ref="F923:G923"/>
    <x:mergeCell ref="H923:K923"/>
    <x:mergeCell ref="D924:E924"/>
    <x:mergeCell ref="F924:G924"/>
    <x:mergeCell ref="H924:K924"/>
    <x:mergeCell ref="D925:E925"/>
    <x:mergeCell ref="F925:G925"/>
    <x:mergeCell ref="H925:K925"/>
    <x:mergeCell ref="D926:E926"/>
    <x:mergeCell ref="F926:G926"/>
    <x:mergeCell ref="H926:K926"/>
    <x:mergeCell ref="D927:E927"/>
    <x:mergeCell ref="F927:G927"/>
    <x:mergeCell ref="H927:K927"/>
    <x:mergeCell ref="D928:E928"/>
    <x:mergeCell ref="F928:G928"/>
    <x:mergeCell ref="H928:K928"/>
    <x:mergeCell ref="D929:E929"/>
    <x:mergeCell ref="F929:G929"/>
    <x:mergeCell ref="H929:K929"/>
    <x:mergeCell ref="D930:E930"/>
    <x:mergeCell ref="F930:G930"/>
    <x:mergeCell ref="H930:K930"/>
    <x:mergeCell ref="D931:E931"/>
    <x:mergeCell ref="F931:G931"/>
    <x:mergeCell ref="H931:K931"/>
    <x:mergeCell ref="D932:E932"/>
    <x:mergeCell ref="F932:G932"/>
    <x:mergeCell ref="H932:K932"/>
    <x:mergeCell ref="D933:E933"/>
    <x:mergeCell ref="F933:G933"/>
    <x:mergeCell ref="H933:K933"/>
    <x:mergeCell ref="D934:E934"/>
    <x:mergeCell ref="F934:G934"/>
    <x:mergeCell ref="H934:K934"/>
    <x:mergeCell ref="D935:E935"/>
    <x:mergeCell ref="F935:G935"/>
    <x:mergeCell ref="H935:K935"/>
    <x:mergeCell ref="D936:E936"/>
    <x:mergeCell ref="F936:G936"/>
    <x:mergeCell ref="H936:K936"/>
    <x:mergeCell ref="D937:E937"/>
    <x:mergeCell ref="F937:G937"/>
    <x:mergeCell ref="H937:K937"/>
    <x:mergeCell ref="D938:E938"/>
    <x:mergeCell ref="F938:G938"/>
    <x:mergeCell ref="H938:K938"/>
    <x:mergeCell ref="D939:E939"/>
    <x:mergeCell ref="F939:G939"/>
    <x:mergeCell ref="H939:K939"/>
    <x:mergeCell ref="D940:E940"/>
    <x:mergeCell ref="F940:G940"/>
    <x:mergeCell ref="H940:K940"/>
    <x:mergeCell ref="D941:E941"/>
    <x:mergeCell ref="F941:G941"/>
    <x:mergeCell ref="H941:K941"/>
    <x:mergeCell ref="D942:E942"/>
    <x:mergeCell ref="F942:G942"/>
    <x:mergeCell ref="H942:K942"/>
    <x:mergeCell ref="D943:E943"/>
    <x:mergeCell ref="F943:G943"/>
    <x:mergeCell ref="H943:K943"/>
    <x:mergeCell ref="D944:E944"/>
    <x:mergeCell ref="F944:G944"/>
    <x:mergeCell ref="H944:K944"/>
    <x:mergeCell ref="D945:E945"/>
    <x:mergeCell ref="F945:G945"/>
    <x:mergeCell ref="H945:K945"/>
    <x:mergeCell ref="D946:E946"/>
    <x:mergeCell ref="F946:G946"/>
    <x:mergeCell ref="H946:K946"/>
    <x:mergeCell ref="D947:E947"/>
    <x:mergeCell ref="F947:G947"/>
    <x:mergeCell ref="H947:K947"/>
    <x:mergeCell ref="D948:E948"/>
    <x:mergeCell ref="F948:G948"/>
    <x:mergeCell ref="H948:K948"/>
    <x:mergeCell ref="D949:E949"/>
    <x:mergeCell ref="F949:G949"/>
    <x:mergeCell ref="H949:K949"/>
    <x:mergeCell ref="D950:E950"/>
    <x:mergeCell ref="F950:G950"/>
    <x:mergeCell ref="H950:K950"/>
    <x:mergeCell ref="D951:E951"/>
    <x:mergeCell ref="F951:G951"/>
    <x:mergeCell ref="H951:K951"/>
    <x:mergeCell ref="D952:E952"/>
    <x:mergeCell ref="F952:G952"/>
    <x:mergeCell ref="H952:K952"/>
    <x:mergeCell ref="D953:E953"/>
    <x:mergeCell ref="F953:G953"/>
    <x:mergeCell ref="H953:K953"/>
    <x:mergeCell ref="D954:E954"/>
    <x:mergeCell ref="F954:G954"/>
    <x:mergeCell ref="H954:K954"/>
    <x:mergeCell ref="D955:E955"/>
    <x:mergeCell ref="F955:G955"/>
    <x:mergeCell ref="H955:K955"/>
    <x:mergeCell ref="D956:E956"/>
    <x:mergeCell ref="F956:G956"/>
    <x:mergeCell ref="H956:K956"/>
    <x:mergeCell ref="D957:E957"/>
    <x:mergeCell ref="F957:G957"/>
    <x:mergeCell ref="H957:K957"/>
    <x:mergeCell ref="D958:E958"/>
    <x:mergeCell ref="F958:G958"/>
    <x:mergeCell ref="H958:K958"/>
    <x:mergeCell ref="D959:E959"/>
    <x:mergeCell ref="F959:G959"/>
    <x:mergeCell ref="H959:K959"/>
    <x:mergeCell ref="D960:E960"/>
    <x:mergeCell ref="F960:G960"/>
    <x:mergeCell ref="H960:K960"/>
    <x:mergeCell ref="D961:E961"/>
    <x:mergeCell ref="F961:G961"/>
    <x:mergeCell ref="H961:K961"/>
    <x:mergeCell ref="D962:E962"/>
    <x:mergeCell ref="F962:G962"/>
    <x:mergeCell ref="H962:K962"/>
    <x:mergeCell ref="D963:E963"/>
    <x:mergeCell ref="F963:G963"/>
    <x:mergeCell ref="H963:K963"/>
    <x:mergeCell ref="D964:E964"/>
    <x:mergeCell ref="F964:G964"/>
    <x:mergeCell ref="H964:K964"/>
    <x:mergeCell ref="D965:E965"/>
    <x:mergeCell ref="F965:G965"/>
    <x:mergeCell ref="H965:K965"/>
    <x:mergeCell ref="D966:E966"/>
    <x:mergeCell ref="F966:G966"/>
    <x:mergeCell ref="H966:K966"/>
    <x:mergeCell ref="D967:E967"/>
    <x:mergeCell ref="F967:G967"/>
    <x:mergeCell ref="H967:K967"/>
    <x:mergeCell ref="D968:E968"/>
    <x:mergeCell ref="F968:G968"/>
    <x:mergeCell ref="H968:K968"/>
    <x:mergeCell ref="D969:E969"/>
    <x:mergeCell ref="F969:G969"/>
    <x:mergeCell ref="H969:K969"/>
    <x:mergeCell ref="D970:E970"/>
    <x:mergeCell ref="F970:G970"/>
    <x:mergeCell ref="H970:K970"/>
    <x:mergeCell ref="D971:E971"/>
    <x:mergeCell ref="F971:G971"/>
    <x:mergeCell ref="H971:K971"/>
    <x:mergeCell ref="D972:E972"/>
    <x:mergeCell ref="F972:G972"/>
    <x:mergeCell ref="H972:K972"/>
    <x:mergeCell ref="D973:E973"/>
    <x:mergeCell ref="F973:G973"/>
    <x:mergeCell ref="H973:K973"/>
    <x:mergeCell ref="D974:E974"/>
    <x:mergeCell ref="F974:G974"/>
    <x:mergeCell ref="H974:K974"/>
    <x:mergeCell ref="D975:E975"/>
    <x:mergeCell ref="F975:G975"/>
    <x:mergeCell ref="H975:K975"/>
    <x:mergeCell ref="D976:E976"/>
    <x:mergeCell ref="F976:G976"/>
    <x:mergeCell ref="H976:K976"/>
    <x:mergeCell ref="D977:E977"/>
    <x:mergeCell ref="F977:G977"/>
    <x:mergeCell ref="H977:K977"/>
    <x:mergeCell ref="D978:E978"/>
    <x:mergeCell ref="F978:G978"/>
    <x:mergeCell ref="H978:K978"/>
    <x:mergeCell ref="D979:E979"/>
    <x:mergeCell ref="F979:G979"/>
    <x:mergeCell ref="H979:K979"/>
    <x:mergeCell ref="D980:E980"/>
    <x:mergeCell ref="F980:G980"/>
    <x:mergeCell ref="H980:K980"/>
    <x:mergeCell ref="D981:E981"/>
    <x:mergeCell ref="F981:G981"/>
    <x:mergeCell ref="H981:K981"/>
    <x:mergeCell ref="D982:E982"/>
    <x:mergeCell ref="F982:G982"/>
    <x:mergeCell ref="H982:K982"/>
    <x:mergeCell ref="D983:E983"/>
    <x:mergeCell ref="F983:G983"/>
    <x:mergeCell ref="H983:K983"/>
    <x:mergeCell ref="D984:E984"/>
    <x:mergeCell ref="F984:G984"/>
    <x:mergeCell ref="H984:K984"/>
    <x:mergeCell ref="D985:E985"/>
    <x:mergeCell ref="F985:G985"/>
    <x:mergeCell ref="H985:K985"/>
    <x:mergeCell ref="D986:E986"/>
    <x:mergeCell ref="F986:G986"/>
    <x:mergeCell ref="H986:K986"/>
    <x:mergeCell ref="D987:E987"/>
    <x:mergeCell ref="F987:G987"/>
    <x:mergeCell ref="H987:K987"/>
    <x:mergeCell ref="D988:E988"/>
    <x:mergeCell ref="F988:G988"/>
    <x:mergeCell ref="H988:K988"/>
    <x:mergeCell ref="D989:E989"/>
    <x:mergeCell ref="F989:G989"/>
    <x:mergeCell ref="H989:K989"/>
    <x:mergeCell ref="D990:E990"/>
    <x:mergeCell ref="F990:G990"/>
    <x:mergeCell ref="H990:K990"/>
    <x:mergeCell ref="D991:E991"/>
    <x:mergeCell ref="F991:G991"/>
    <x:mergeCell ref="H991:K991"/>
    <x:mergeCell ref="D992:E992"/>
    <x:mergeCell ref="F992:G992"/>
    <x:mergeCell ref="H992:K992"/>
    <x:mergeCell ref="D993:E993"/>
    <x:mergeCell ref="F993:G993"/>
    <x:mergeCell ref="H993:K993"/>
    <x:mergeCell ref="D994:E994"/>
    <x:mergeCell ref="F994:G994"/>
    <x:mergeCell ref="H994:K994"/>
    <x:mergeCell ref="D995:E995"/>
    <x:mergeCell ref="F995:G995"/>
    <x:mergeCell ref="H995:K995"/>
    <x:mergeCell ref="D996:E996"/>
    <x:mergeCell ref="F996:G996"/>
    <x:mergeCell ref="H996:K996"/>
    <x:mergeCell ref="D997:E997"/>
    <x:mergeCell ref="F997:G997"/>
    <x:mergeCell ref="H997:K997"/>
    <x:mergeCell ref="D998:E998"/>
    <x:mergeCell ref="F998:G998"/>
    <x:mergeCell ref="H998:K998"/>
    <x:mergeCell ref="D999:E999"/>
    <x:mergeCell ref="F999:G999"/>
    <x:mergeCell ref="H999:K999"/>
    <x:mergeCell ref="D1000:E1000"/>
    <x:mergeCell ref="F1000:G1000"/>
    <x:mergeCell ref="H1000:K1000"/>
    <x:mergeCell ref="D1001:E1001"/>
    <x:mergeCell ref="F1001:G1001"/>
    <x:mergeCell ref="H1001:K1001"/>
    <x:mergeCell ref="D1002:E1002"/>
    <x:mergeCell ref="F1002:G1002"/>
    <x:mergeCell ref="H1002:K1002"/>
    <x:mergeCell ref="D1003:E1003"/>
    <x:mergeCell ref="F1003:G1003"/>
    <x:mergeCell ref="H1003:K1003"/>
    <x:mergeCell ref="D1004:E1004"/>
    <x:mergeCell ref="F1004:G1004"/>
    <x:mergeCell ref="H1004:K1004"/>
    <x:mergeCell ref="D1005:E1005"/>
    <x:mergeCell ref="F1005:G1005"/>
    <x:mergeCell ref="H1005:K1005"/>
    <x:mergeCell ref="D1006:E1006"/>
    <x:mergeCell ref="F1006:G1006"/>
    <x:mergeCell ref="H1006:K1006"/>
    <x:mergeCell ref="D1007:E1007"/>
    <x:mergeCell ref="F1007:G1007"/>
    <x:mergeCell ref="H1007:K1007"/>
    <x:mergeCell ref="D1008:E1008"/>
    <x:mergeCell ref="F1008:G1008"/>
    <x:mergeCell ref="H1008:K1008"/>
    <x:mergeCell ref="D1009:E1009"/>
    <x:mergeCell ref="F1009:G1009"/>
    <x:mergeCell ref="H1009:K1009"/>
    <x:mergeCell ref="D1010:E1010"/>
    <x:mergeCell ref="F1010:G1010"/>
    <x:mergeCell ref="H1010:K1010"/>
    <x:mergeCell ref="D1011:E1011"/>
    <x:mergeCell ref="F1011:G1011"/>
    <x:mergeCell ref="H1011:K1011"/>
    <x:mergeCell ref="D1012:E1012"/>
    <x:mergeCell ref="F1012:G1012"/>
    <x:mergeCell ref="H1012:K1012"/>
    <x:mergeCell ref="D1013:E1013"/>
    <x:mergeCell ref="F1013:G1013"/>
    <x:mergeCell ref="H1013:K1013"/>
    <x:mergeCell ref="D1014:E1014"/>
    <x:mergeCell ref="F1014:G1014"/>
    <x:mergeCell ref="H1014:K1014"/>
    <x:mergeCell ref="D1015:E1015"/>
    <x:mergeCell ref="F1015:G1015"/>
    <x:mergeCell ref="H1015:K1015"/>
    <x:mergeCell ref="D1016:E1016"/>
    <x:mergeCell ref="F1016:G1016"/>
    <x:mergeCell ref="H1016:K1016"/>
    <x:mergeCell ref="D1017:E1017"/>
    <x:mergeCell ref="F1017:G1017"/>
    <x:mergeCell ref="H1017:K1017"/>
    <x:mergeCell ref="D1018:E1018"/>
    <x:mergeCell ref="F1018:G1018"/>
    <x:mergeCell ref="H1018:K1018"/>
    <x:mergeCell ref="D1019:E1019"/>
    <x:mergeCell ref="F1019:G1019"/>
    <x:mergeCell ref="H1019:K1019"/>
    <x:mergeCell ref="D1020:E1020"/>
    <x:mergeCell ref="F1020:G1020"/>
    <x:mergeCell ref="H1020:K1020"/>
    <x:mergeCell ref="D1021:E1021"/>
    <x:mergeCell ref="F1021:G1021"/>
    <x:mergeCell ref="H1021:K1021"/>
    <x:mergeCell ref="D1022:E1022"/>
    <x:mergeCell ref="F1022:G1022"/>
    <x:mergeCell ref="H1022:K1022"/>
    <x:mergeCell ref="D1023:E1023"/>
    <x:mergeCell ref="F1023:G1023"/>
    <x:mergeCell ref="H1023:K1023"/>
    <x:mergeCell ref="D1024:E1024"/>
    <x:mergeCell ref="F1024:G1024"/>
    <x:mergeCell ref="H1024:K1024"/>
    <x:mergeCell ref="D1025:E1025"/>
    <x:mergeCell ref="F1025:G1025"/>
    <x:mergeCell ref="H1025:K1025"/>
    <x:mergeCell ref="D1026:E1026"/>
    <x:mergeCell ref="F1026:G1026"/>
    <x:mergeCell ref="H1026:K1026"/>
    <x:mergeCell ref="D1027:E1027"/>
    <x:mergeCell ref="F1027:G1027"/>
    <x:mergeCell ref="H1027:K1027"/>
    <x:mergeCell ref="D1028:E1028"/>
    <x:mergeCell ref="F1028:G1028"/>
    <x:mergeCell ref="H1028:K1028"/>
    <x:mergeCell ref="D1029:E1029"/>
    <x:mergeCell ref="F1029:G1029"/>
    <x:mergeCell ref="H1029:K1029"/>
    <x:mergeCell ref="D1030:E1030"/>
    <x:mergeCell ref="F1030:G1030"/>
    <x:mergeCell ref="H1030:K1030"/>
    <x:mergeCell ref="D1031:E1031"/>
    <x:mergeCell ref="F1031:G1031"/>
    <x:mergeCell ref="H1031:K1031"/>
    <x:mergeCell ref="D1032:E1032"/>
    <x:mergeCell ref="F1032:G1032"/>
    <x:mergeCell ref="H1032:K1032"/>
    <x:mergeCell ref="D1033:E1033"/>
    <x:mergeCell ref="F1033:G1033"/>
    <x:mergeCell ref="H1033:K1033"/>
    <x:mergeCell ref="D1034:E1034"/>
    <x:mergeCell ref="F1034:G1034"/>
    <x:mergeCell ref="H1034:K1034"/>
    <x:mergeCell ref="D1035:E1035"/>
    <x:mergeCell ref="F1035:G1035"/>
    <x:mergeCell ref="H1035:K1035"/>
    <x:mergeCell ref="D1036:E1036"/>
    <x:mergeCell ref="F1036:G1036"/>
    <x:mergeCell ref="H1036:K1036"/>
    <x:mergeCell ref="D1037:E1037"/>
    <x:mergeCell ref="F1037:G1037"/>
    <x:mergeCell ref="H1037:K1037"/>
    <x:mergeCell ref="D1038:E1038"/>
    <x:mergeCell ref="F1038:G1038"/>
    <x:mergeCell ref="H1038:K1038"/>
    <x:mergeCell ref="D1039:E1039"/>
    <x:mergeCell ref="F1039:G1039"/>
    <x:mergeCell ref="H1039:K1039"/>
    <x:mergeCell ref="D1040:E1040"/>
    <x:mergeCell ref="F1040:G1040"/>
    <x:mergeCell ref="H1040:K1040"/>
    <x:mergeCell ref="D1041:E1041"/>
    <x:mergeCell ref="F1041:G1041"/>
    <x:mergeCell ref="H1041:K1041"/>
    <x:mergeCell ref="D1042:E1042"/>
    <x:mergeCell ref="F1042:G1042"/>
    <x:mergeCell ref="H1042:K1042"/>
    <x:mergeCell ref="D1043:E1043"/>
    <x:mergeCell ref="F1043:G1043"/>
    <x:mergeCell ref="H1043:K1043"/>
    <x:mergeCell ref="D1044:E1044"/>
    <x:mergeCell ref="F1044:G1044"/>
    <x:mergeCell ref="H1044:K1044"/>
    <x:mergeCell ref="D1045:E1045"/>
    <x:mergeCell ref="F1045:G1045"/>
    <x:mergeCell ref="H1045:K1045"/>
    <x:mergeCell ref="D1046:E1046"/>
    <x:mergeCell ref="F1046:G1046"/>
    <x:mergeCell ref="H1046:K1046"/>
    <x:mergeCell ref="D1047:E1047"/>
    <x:mergeCell ref="F1047:G1047"/>
    <x:mergeCell ref="H1047:K1047"/>
    <x:mergeCell ref="D1048:E1048"/>
    <x:mergeCell ref="F1048:G1048"/>
    <x:mergeCell ref="H1048:K1048"/>
    <x:mergeCell ref="D1049:E1049"/>
    <x:mergeCell ref="F1049:G1049"/>
    <x:mergeCell ref="H1049:K1049"/>
    <x:mergeCell ref="D1050:E1050"/>
    <x:mergeCell ref="F1050:G1050"/>
    <x:mergeCell ref="H1050:K1050"/>
    <x:mergeCell ref="D1051:E1051"/>
    <x:mergeCell ref="F1051:G1051"/>
    <x:mergeCell ref="H1051:K1051"/>
    <x:mergeCell ref="D1052:E1052"/>
    <x:mergeCell ref="F1052:G1052"/>
    <x:mergeCell ref="H1052:K1052"/>
    <x:mergeCell ref="D1053:E1053"/>
    <x:mergeCell ref="F1053:G1053"/>
    <x:mergeCell ref="H1053:K1053"/>
    <x:mergeCell ref="D1054:E1054"/>
    <x:mergeCell ref="F1054:G1054"/>
    <x:mergeCell ref="H1054:K1054"/>
    <x:mergeCell ref="D1055:E1055"/>
    <x:mergeCell ref="F1055:G1055"/>
    <x:mergeCell ref="H1055:K1055"/>
    <x:mergeCell ref="D1056:E1056"/>
    <x:mergeCell ref="F1056:G1056"/>
    <x:mergeCell ref="H1056:K1056"/>
    <x:mergeCell ref="D1057:E1057"/>
    <x:mergeCell ref="F1057:G1057"/>
    <x:mergeCell ref="H1057:K1057"/>
    <x:mergeCell ref="D1058:E1058"/>
    <x:mergeCell ref="F1058:G1058"/>
    <x:mergeCell ref="H1058:K1058"/>
    <x:mergeCell ref="D1059:E1059"/>
    <x:mergeCell ref="F1059:G1059"/>
    <x:mergeCell ref="H1059:K1059"/>
    <x:mergeCell ref="D1060:E1060"/>
    <x:mergeCell ref="F1060:G1060"/>
    <x:mergeCell ref="H1060:K1060"/>
    <x:mergeCell ref="D1061:E1061"/>
    <x:mergeCell ref="F1061:G1061"/>
    <x:mergeCell ref="H1061:K1061"/>
    <x:mergeCell ref="D1062:E1062"/>
    <x:mergeCell ref="F1062:G1062"/>
    <x:mergeCell ref="H1062:K1062"/>
    <x:mergeCell ref="D1063:E1063"/>
    <x:mergeCell ref="F1063:G1063"/>
    <x:mergeCell ref="H1063:K1063"/>
    <x:mergeCell ref="D1064:E1064"/>
    <x:mergeCell ref="F1064:G1064"/>
    <x:mergeCell ref="H1064:K1064"/>
    <x:mergeCell ref="D1065:E1065"/>
    <x:mergeCell ref="F1065:G1065"/>
    <x:mergeCell ref="H1065:K1065"/>
    <x:mergeCell ref="D1066:E1066"/>
    <x:mergeCell ref="F1066:G1066"/>
    <x:mergeCell ref="H1066:K1066"/>
    <x:mergeCell ref="D1067:E1067"/>
    <x:mergeCell ref="F1067:G1067"/>
    <x:mergeCell ref="H1067:K1067"/>
    <x:mergeCell ref="D1068:E1068"/>
    <x:mergeCell ref="F1068:G1068"/>
    <x:mergeCell ref="H1068:K1068"/>
    <x:mergeCell ref="D1069:E1069"/>
    <x:mergeCell ref="F1069:G1069"/>
    <x:mergeCell ref="H1069:K1069"/>
    <x:mergeCell ref="D1070:E1070"/>
    <x:mergeCell ref="F1070:G1070"/>
    <x:mergeCell ref="H1070:K1070"/>
    <x:mergeCell ref="D1071:E1071"/>
    <x:mergeCell ref="F1071:G1071"/>
    <x:mergeCell ref="H1071:K1071"/>
    <x:mergeCell ref="D1072:E1072"/>
    <x:mergeCell ref="F1072:G1072"/>
    <x:mergeCell ref="H1072:K1072"/>
    <x:mergeCell ref="D1073:E1073"/>
    <x:mergeCell ref="F1073:G1073"/>
    <x:mergeCell ref="H1073:K1073"/>
    <x:mergeCell ref="D1074:E1074"/>
    <x:mergeCell ref="F1074:G1074"/>
    <x:mergeCell ref="H1074:K1074"/>
    <x:mergeCell ref="D1075:E1075"/>
    <x:mergeCell ref="F1075:G1075"/>
    <x:mergeCell ref="H1075:K1075"/>
    <x:mergeCell ref="D1076:E1076"/>
    <x:mergeCell ref="F1076:G1076"/>
    <x:mergeCell ref="H1076:K1076"/>
    <x:mergeCell ref="D1077:E1077"/>
    <x:mergeCell ref="F1077:G1077"/>
    <x:mergeCell ref="H1077:K1077"/>
    <x:mergeCell ref="D1078:E1078"/>
    <x:mergeCell ref="F1078:G1078"/>
    <x:mergeCell ref="H1078:K1078"/>
    <x:mergeCell ref="D1079:E1079"/>
    <x:mergeCell ref="F1079:G1079"/>
    <x:mergeCell ref="H1079:K1079"/>
    <x:mergeCell ref="D1080:E1080"/>
    <x:mergeCell ref="F1080:G1080"/>
    <x:mergeCell ref="H1080:K1080"/>
    <x:mergeCell ref="D1081:E1081"/>
    <x:mergeCell ref="F1081:G1081"/>
    <x:mergeCell ref="H1081:K1081"/>
    <x:mergeCell ref="D1082:E1082"/>
    <x:mergeCell ref="F1082:G1082"/>
    <x:mergeCell ref="H1082:K1082"/>
    <x:mergeCell ref="D1083:E1083"/>
    <x:mergeCell ref="F1083:G1083"/>
    <x:mergeCell ref="H1083:K1083"/>
    <x:mergeCell ref="D1084:E1084"/>
    <x:mergeCell ref="F1084:G1084"/>
    <x:mergeCell ref="H1084:K1084"/>
    <x:mergeCell ref="D1085:E1085"/>
    <x:mergeCell ref="F1085:G1085"/>
    <x:mergeCell ref="H1085:K1085"/>
    <x:mergeCell ref="D1086:E1086"/>
    <x:mergeCell ref="F1086:G1086"/>
    <x:mergeCell ref="H1086:K1086"/>
    <x:mergeCell ref="D1087:E1087"/>
    <x:mergeCell ref="F1087:G1087"/>
    <x:mergeCell ref="H1087:K1087"/>
    <x:mergeCell ref="D1088:E1088"/>
    <x:mergeCell ref="F1088:G1088"/>
    <x:mergeCell ref="H1088:K1088"/>
    <x:mergeCell ref="D1089:E1089"/>
    <x:mergeCell ref="F1089:G1089"/>
    <x:mergeCell ref="H1089:K1089"/>
    <x:mergeCell ref="D1090:E1090"/>
    <x:mergeCell ref="F1090:G1090"/>
    <x:mergeCell ref="H1090:K1090"/>
    <x:mergeCell ref="D1091:E1091"/>
    <x:mergeCell ref="F1091:G1091"/>
    <x:mergeCell ref="H1091:K1091"/>
    <x:mergeCell ref="D1092:E1092"/>
    <x:mergeCell ref="F1092:G1092"/>
    <x:mergeCell ref="H1092:K1092"/>
    <x:mergeCell ref="D1093:E1093"/>
    <x:mergeCell ref="F1093:G1093"/>
    <x:mergeCell ref="H1093:K1093"/>
    <x:mergeCell ref="D1094:E1094"/>
    <x:mergeCell ref="F1094:G1094"/>
    <x:mergeCell ref="H1094:K1094"/>
    <x:mergeCell ref="D1095:E1095"/>
    <x:mergeCell ref="F1095:G1095"/>
    <x:mergeCell ref="H1095:K1095"/>
    <x:mergeCell ref="D1096:E1096"/>
    <x:mergeCell ref="F1096:G1096"/>
    <x:mergeCell ref="H1096:K1096"/>
    <x:mergeCell ref="D1097:E1097"/>
    <x:mergeCell ref="F1097:G1097"/>
    <x:mergeCell ref="H1097:K1097"/>
    <x:mergeCell ref="D1098:E1098"/>
    <x:mergeCell ref="F1098:G1098"/>
    <x:mergeCell ref="H1098:K1098"/>
    <x:mergeCell ref="D1099:E1099"/>
    <x:mergeCell ref="F1099:G1099"/>
    <x:mergeCell ref="H1099:K1099"/>
    <x:mergeCell ref="D1100:E1100"/>
    <x:mergeCell ref="F1100:G1100"/>
    <x:mergeCell ref="H1100:K1100"/>
    <x:mergeCell ref="D1101:E1101"/>
    <x:mergeCell ref="F1101:G1101"/>
    <x:mergeCell ref="H1101:K1101"/>
    <x:mergeCell ref="D1102:E1102"/>
    <x:mergeCell ref="F1102:G1102"/>
    <x:mergeCell ref="H1102:K1102"/>
    <x:mergeCell ref="D1103:E1103"/>
    <x:mergeCell ref="F1103:G1103"/>
    <x:mergeCell ref="H1103:K1103"/>
    <x:mergeCell ref="D1104:E1104"/>
    <x:mergeCell ref="F1104:G1104"/>
    <x:mergeCell ref="H1104:K1104"/>
    <x:mergeCell ref="D1105:E1105"/>
    <x:mergeCell ref="F1105:G1105"/>
    <x:mergeCell ref="H1105:K1105"/>
    <x:mergeCell ref="D1106:E1106"/>
    <x:mergeCell ref="F1106:G1106"/>
    <x:mergeCell ref="H1106:K1106"/>
    <x:mergeCell ref="D1107:E1107"/>
    <x:mergeCell ref="F1107:G1107"/>
    <x:mergeCell ref="H1107:K1107"/>
    <x:mergeCell ref="D1108:E1108"/>
    <x:mergeCell ref="F1108:G1108"/>
    <x:mergeCell ref="H1108:K1108"/>
    <x:mergeCell ref="D1109:E1109"/>
    <x:mergeCell ref="F1109:G1109"/>
    <x:mergeCell ref="H1109:K1109"/>
    <x:mergeCell ref="D1110:E1110"/>
    <x:mergeCell ref="F1110:G1110"/>
    <x:mergeCell ref="H1110:K1110"/>
    <x:mergeCell ref="D1111:E1111"/>
    <x:mergeCell ref="F1111:G1111"/>
    <x:mergeCell ref="H1111:K1111"/>
    <x:mergeCell ref="D1112:E1112"/>
    <x:mergeCell ref="F1112:G1112"/>
    <x:mergeCell ref="H1112:K1112"/>
    <x:mergeCell ref="D1113:E1113"/>
    <x:mergeCell ref="F1113:G1113"/>
    <x:mergeCell ref="H1113:K1113"/>
    <x:mergeCell ref="D1114:E1114"/>
    <x:mergeCell ref="F1114:G1114"/>
    <x:mergeCell ref="H1114:K1114"/>
    <x:mergeCell ref="D1115:E1115"/>
    <x:mergeCell ref="F1115:G1115"/>
    <x:mergeCell ref="H1115:K1115"/>
    <x:mergeCell ref="D1116:E1116"/>
    <x:mergeCell ref="F1116:G1116"/>
    <x:mergeCell ref="H1116:K1116"/>
    <x:mergeCell ref="D1117:E1117"/>
    <x:mergeCell ref="F1117:G1117"/>
    <x:mergeCell ref="H1117:K1117"/>
    <x:mergeCell ref="D1118:E1118"/>
    <x:mergeCell ref="F1118:G1118"/>
    <x:mergeCell ref="H1118:K1118"/>
    <x:mergeCell ref="D1119:E1119"/>
    <x:mergeCell ref="F1119:G1119"/>
    <x:mergeCell ref="H1119:K1119"/>
    <x:mergeCell ref="D1120:E1120"/>
    <x:mergeCell ref="F1120:G1120"/>
    <x:mergeCell ref="H1120:K1120"/>
    <x:mergeCell ref="D1121:E1121"/>
    <x:mergeCell ref="F1121:G1121"/>
    <x:mergeCell ref="H1121:K1121"/>
    <x:mergeCell ref="D1122:E1122"/>
    <x:mergeCell ref="F1122:G1122"/>
    <x:mergeCell ref="H1122:K1122"/>
    <x:mergeCell ref="D1123:E1123"/>
    <x:mergeCell ref="F1123:G1123"/>
    <x:mergeCell ref="H1123:K1123"/>
    <x:mergeCell ref="D1124:E1124"/>
    <x:mergeCell ref="F1124:G1124"/>
    <x:mergeCell ref="H1124:K1124"/>
    <x:mergeCell ref="D1125:E1125"/>
    <x:mergeCell ref="F1125:G1125"/>
    <x:mergeCell ref="H1125:K1125"/>
    <x:mergeCell ref="D1126:E1126"/>
    <x:mergeCell ref="F1126:G1126"/>
    <x:mergeCell ref="H1126:K1126"/>
    <x:mergeCell ref="D1127:E1127"/>
    <x:mergeCell ref="F1127:G1127"/>
    <x:mergeCell ref="H1127:K1127"/>
    <x:mergeCell ref="D1128:E1128"/>
    <x:mergeCell ref="F1128:G1128"/>
    <x:mergeCell ref="H1128:K1128"/>
    <x:mergeCell ref="D1129:E1129"/>
    <x:mergeCell ref="F1129:G1129"/>
    <x:mergeCell ref="H1129:K1129"/>
    <x:mergeCell ref="D1130:E1130"/>
    <x:mergeCell ref="F1130:G1130"/>
    <x:mergeCell ref="H1130:K1130"/>
    <x:mergeCell ref="D1131:E1131"/>
    <x:mergeCell ref="F1131:G1131"/>
    <x:mergeCell ref="H1131:K1131"/>
    <x:mergeCell ref="D1132:E1132"/>
    <x:mergeCell ref="F1132:G1132"/>
    <x:mergeCell ref="H1132:K1132"/>
    <x:mergeCell ref="D1133:E1133"/>
    <x:mergeCell ref="F1133:G1133"/>
    <x:mergeCell ref="H1133:K1133"/>
    <x:mergeCell ref="D1134:E1134"/>
    <x:mergeCell ref="F1134:G1134"/>
    <x:mergeCell ref="H1134:K1134"/>
    <x:mergeCell ref="D1135:E1135"/>
    <x:mergeCell ref="F1135:G1135"/>
    <x:mergeCell ref="H1135:K1135"/>
    <x:mergeCell ref="D1136:E1136"/>
    <x:mergeCell ref="F1136:G1136"/>
    <x:mergeCell ref="H1136:K1136"/>
    <x:mergeCell ref="D1137:E1137"/>
    <x:mergeCell ref="F1137:G1137"/>
    <x:mergeCell ref="H1137:K1137"/>
    <x:mergeCell ref="D1138:E1138"/>
    <x:mergeCell ref="F1138:G1138"/>
    <x:mergeCell ref="H1138:K1138"/>
    <x:mergeCell ref="D1139:E1139"/>
    <x:mergeCell ref="F1139:G1139"/>
    <x:mergeCell ref="H1139:K1139"/>
    <x:mergeCell ref="D1140:E1140"/>
    <x:mergeCell ref="F1140:G1140"/>
    <x:mergeCell ref="H1140:K1140"/>
    <x:mergeCell ref="D1141:E1141"/>
    <x:mergeCell ref="F1141:G1141"/>
    <x:mergeCell ref="H1141:K1141"/>
    <x:mergeCell ref="D1142:E1142"/>
    <x:mergeCell ref="F1142:G1142"/>
    <x:mergeCell ref="H1142:K1142"/>
    <x:mergeCell ref="D1143:E1143"/>
    <x:mergeCell ref="F1143:G1143"/>
    <x:mergeCell ref="H1143:K1143"/>
    <x:mergeCell ref="D1144:E1144"/>
    <x:mergeCell ref="F1144:G1144"/>
    <x:mergeCell ref="H1144:K1144"/>
    <x:mergeCell ref="D1145:E1145"/>
    <x:mergeCell ref="F1145:G1145"/>
    <x:mergeCell ref="H1145:K1145"/>
    <x:mergeCell ref="D1146:E1146"/>
    <x:mergeCell ref="F1146:G1146"/>
    <x:mergeCell ref="H1146:K1146"/>
    <x:mergeCell ref="D1147:E1147"/>
    <x:mergeCell ref="F1147:G1147"/>
    <x:mergeCell ref="H1147:K1147"/>
    <x:mergeCell ref="D1148:E1148"/>
    <x:mergeCell ref="F1148:G1148"/>
    <x:mergeCell ref="H1148:K1148"/>
    <x:mergeCell ref="D1149:E1149"/>
    <x:mergeCell ref="F1149:G1149"/>
    <x:mergeCell ref="H1149:K1149"/>
    <x:mergeCell ref="D1150:E1150"/>
    <x:mergeCell ref="F1150:G1150"/>
    <x:mergeCell ref="H1150:K1150"/>
    <x:mergeCell ref="D1151:E1151"/>
    <x:mergeCell ref="F1151:G1151"/>
    <x:mergeCell ref="H1151:K1151"/>
    <x:mergeCell ref="D1152:E1152"/>
    <x:mergeCell ref="F1152:G1152"/>
    <x:mergeCell ref="H1152:K1152"/>
    <x:mergeCell ref="D1153:E1153"/>
    <x:mergeCell ref="F1153:G1153"/>
    <x:mergeCell ref="H1153:K1153"/>
    <x:mergeCell ref="D1154:E1154"/>
    <x:mergeCell ref="F1154:G1154"/>
    <x:mergeCell ref="H1154:K1154"/>
    <x:mergeCell ref="D1155:E1155"/>
    <x:mergeCell ref="F1155:G1155"/>
    <x:mergeCell ref="H1155:K1155"/>
    <x:mergeCell ref="D1156:E1156"/>
    <x:mergeCell ref="F1156:G1156"/>
    <x:mergeCell ref="H1156:K1156"/>
    <x:mergeCell ref="D1157:E1157"/>
    <x:mergeCell ref="F1157:G1157"/>
    <x:mergeCell ref="H1157:K1157"/>
    <x:mergeCell ref="D1158:E1158"/>
    <x:mergeCell ref="F1158:G1158"/>
    <x:mergeCell ref="H1158:K1158"/>
    <x:mergeCell ref="D1159:E1159"/>
    <x:mergeCell ref="F1159:G1159"/>
    <x:mergeCell ref="H1159:K1159"/>
    <x:mergeCell ref="D1160:E1160"/>
    <x:mergeCell ref="F1160:G1160"/>
    <x:mergeCell ref="H1160:K1160"/>
    <x:mergeCell ref="D1161:E1161"/>
    <x:mergeCell ref="F1161:G1161"/>
    <x:mergeCell ref="H1161:K1161"/>
    <x:mergeCell ref="D1162:E1162"/>
    <x:mergeCell ref="F1162:G1162"/>
    <x:mergeCell ref="H1162:K1162"/>
    <x:mergeCell ref="D1163:E1163"/>
    <x:mergeCell ref="F1163:G1163"/>
    <x:mergeCell ref="H1163:K1163"/>
    <x:mergeCell ref="D1164:E1164"/>
    <x:mergeCell ref="F1164:G1164"/>
    <x:mergeCell ref="H1164:K1164"/>
    <x:mergeCell ref="D1165:E1165"/>
    <x:mergeCell ref="F1165:G1165"/>
    <x:mergeCell ref="H1165:K1165"/>
    <x:mergeCell ref="D1166:E1166"/>
    <x:mergeCell ref="F1166:G1166"/>
    <x:mergeCell ref="H1166:K1166"/>
    <x:mergeCell ref="D1167:E1167"/>
    <x:mergeCell ref="F1167:G1167"/>
    <x:mergeCell ref="H1167:K1167"/>
    <x:mergeCell ref="D1168:E1168"/>
    <x:mergeCell ref="F1168:G1168"/>
    <x:mergeCell ref="H1168:K1168"/>
    <x:mergeCell ref="D1169:E1169"/>
    <x:mergeCell ref="F1169:G1169"/>
    <x:mergeCell ref="H1169:K1169"/>
    <x:mergeCell ref="D1170:E1170"/>
    <x:mergeCell ref="F1170:G1170"/>
    <x:mergeCell ref="H1170:K1170"/>
    <x:mergeCell ref="D1171:E1171"/>
    <x:mergeCell ref="F1171:G1171"/>
    <x:mergeCell ref="H1171:K1171"/>
    <x:mergeCell ref="D1172:E1172"/>
    <x:mergeCell ref="F1172:G1172"/>
    <x:mergeCell ref="H1172:K1172"/>
    <x:mergeCell ref="D1173:E1173"/>
    <x:mergeCell ref="F1173:G1173"/>
    <x:mergeCell ref="H1173:K1173"/>
    <x:mergeCell ref="D1174:E1174"/>
    <x:mergeCell ref="F1174:G1174"/>
    <x:mergeCell ref="H1174:K1174"/>
    <x:mergeCell ref="D1175:E1175"/>
    <x:mergeCell ref="F1175:G1175"/>
    <x:mergeCell ref="H1175:K1175"/>
    <x:mergeCell ref="D1176:E1176"/>
    <x:mergeCell ref="F1176:G1176"/>
    <x:mergeCell ref="H1176:K1176"/>
    <x:mergeCell ref="D1177:E1177"/>
    <x:mergeCell ref="F1177:G1177"/>
    <x:mergeCell ref="H1177:K1177"/>
    <x:mergeCell ref="D1178:E1178"/>
    <x:mergeCell ref="F1178:G1178"/>
    <x:mergeCell ref="H1178:K1178"/>
    <x:mergeCell ref="D1179:E1179"/>
    <x:mergeCell ref="F1179:G1179"/>
    <x:mergeCell ref="H1179:K1179"/>
    <x:mergeCell ref="D1180:E1180"/>
    <x:mergeCell ref="F1180:G1180"/>
    <x:mergeCell ref="H1180:K1180"/>
    <x:mergeCell ref="D1181:E1181"/>
    <x:mergeCell ref="F1181:G1181"/>
    <x:mergeCell ref="H1181:K1181"/>
    <x:mergeCell ref="D1182:E1182"/>
    <x:mergeCell ref="F1182:G1182"/>
    <x:mergeCell ref="H1182:K1182"/>
    <x:mergeCell ref="D1183:E1183"/>
    <x:mergeCell ref="F1183:G1183"/>
    <x:mergeCell ref="H1183:K1183"/>
    <x:mergeCell ref="D1184:E1184"/>
    <x:mergeCell ref="F1184:G1184"/>
    <x:mergeCell ref="H1184:K1184"/>
    <x:mergeCell ref="D1185:E1185"/>
    <x:mergeCell ref="F1185:G1185"/>
    <x:mergeCell ref="H1185:K1185"/>
    <x:mergeCell ref="D1186:E1186"/>
    <x:mergeCell ref="F1186:G1186"/>
    <x:mergeCell ref="H1186:K1186"/>
    <x:mergeCell ref="D1187:E1187"/>
    <x:mergeCell ref="F1187:G1187"/>
    <x:mergeCell ref="H1187:K1187"/>
    <x:mergeCell ref="D1188:E1188"/>
    <x:mergeCell ref="F1188:G1188"/>
    <x:mergeCell ref="H1188:K1188"/>
    <x:mergeCell ref="D1189:E1189"/>
    <x:mergeCell ref="F1189:G1189"/>
    <x:mergeCell ref="H1189:K1189"/>
    <x:mergeCell ref="D1190:E1190"/>
    <x:mergeCell ref="F1190:G1190"/>
    <x:mergeCell ref="H1190:K1190"/>
    <x:mergeCell ref="D1191:E1191"/>
    <x:mergeCell ref="F1191:G1191"/>
    <x:mergeCell ref="H1191:K1191"/>
    <x:mergeCell ref="D1192:E1192"/>
    <x:mergeCell ref="F1192:G1192"/>
    <x:mergeCell ref="H1192:K1192"/>
    <x:mergeCell ref="D1193:E1193"/>
    <x:mergeCell ref="F1193:G1193"/>
    <x:mergeCell ref="H1193:K1193"/>
    <x:mergeCell ref="D1194:E1194"/>
    <x:mergeCell ref="F1194:G1194"/>
    <x:mergeCell ref="H1194:K1194"/>
    <x:mergeCell ref="D1195:E1195"/>
    <x:mergeCell ref="F1195:G1195"/>
    <x:mergeCell ref="H1195:K1195"/>
    <x:mergeCell ref="D1196:E1196"/>
    <x:mergeCell ref="F1196:G1196"/>
    <x:mergeCell ref="H1196:K1196"/>
    <x:mergeCell ref="D1197:E1197"/>
    <x:mergeCell ref="F1197:G1197"/>
    <x:mergeCell ref="H1197:K1197"/>
    <x:mergeCell ref="D1198:E1198"/>
    <x:mergeCell ref="F1198:G1198"/>
    <x:mergeCell ref="H1198:K1198"/>
    <x:mergeCell ref="D1199:E1199"/>
    <x:mergeCell ref="F1199:G1199"/>
    <x:mergeCell ref="H1199:K1199"/>
    <x:mergeCell ref="D1200:E1200"/>
    <x:mergeCell ref="F1200:G1200"/>
    <x:mergeCell ref="H1200:K1200"/>
    <x:mergeCell ref="D1201:E1201"/>
    <x:mergeCell ref="F1201:G1201"/>
    <x:mergeCell ref="H1201:K1201"/>
    <x:mergeCell ref="D1202:E1202"/>
    <x:mergeCell ref="F1202:G1202"/>
    <x:mergeCell ref="H1202:K1202"/>
    <x:mergeCell ref="D1203:E1203"/>
    <x:mergeCell ref="F1203:G1203"/>
    <x:mergeCell ref="H1203:K1203"/>
    <x:mergeCell ref="D1204:E1204"/>
    <x:mergeCell ref="F1204:G1204"/>
    <x:mergeCell ref="H1204:K1204"/>
    <x:mergeCell ref="D1205:E1205"/>
    <x:mergeCell ref="F1205:G1205"/>
    <x:mergeCell ref="H1205:K1205"/>
    <x:mergeCell ref="D1206:E1206"/>
    <x:mergeCell ref="F1206:G1206"/>
    <x:mergeCell ref="H1206:K1206"/>
    <x:mergeCell ref="D1207:E1207"/>
    <x:mergeCell ref="F1207:G1207"/>
    <x:mergeCell ref="H1207:K1207"/>
    <x:mergeCell ref="D1208:E1208"/>
    <x:mergeCell ref="F1208:G1208"/>
    <x:mergeCell ref="H1208:K1208"/>
    <x:mergeCell ref="D1209:E1209"/>
    <x:mergeCell ref="F1209:G1209"/>
    <x:mergeCell ref="H1209:K1209"/>
    <x:mergeCell ref="D1210:E1210"/>
    <x:mergeCell ref="F1210:G1210"/>
    <x:mergeCell ref="H1210:K1210"/>
    <x:mergeCell ref="D1211:E1211"/>
    <x:mergeCell ref="F1211:G1211"/>
    <x:mergeCell ref="H1211:K1211"/>
    <x:mergeCell ref="D1212:E1212"/>
    <x:mergeCell ref="F1212:G1212"/>
    <x:mergeCell ref="H1212:K1212"/>
    <x:mergeCell ref="D1213:E1213"/>
    <x:mergeCell ref="F1213:G1213"/>
    <x:mergeCell ref="H1213:K1213"/>
    <x:mergeCell ref="D1214:E1214"/>
    <x:mergeCell ref="F1214:G1214"/>
    <x:mergeCell ref="H1214:K1214"/>
    <x:mergeCell ref="D1215:E1215"/>
    <x:mergeCell ref="F1215:G1215"/>
    <x:mergeCell ref="H1215:K1215"/>
    <x:mergeCell ref="D1216:E1216"/>
    <x:mergeCell ref="F1216:G1216"/>
    <x:mergeCell ref="H1216:K1216"/>
    <x:mergeCell ref="D1217:E1217"/>
    <x:mergeCell ref="F1217:G1217"/>
    <x:mergeCell ref="H1217:K1217"/>
    <x:mergeCell ref="D1218:E1218"/>
    <x:mergeCell ref="F1218:G1218"/>
    <x:mergeCell ref="H1218:K1218"/>
    <x:mergeCell ref="D1219:E1219"/>
    <x:mergeCell ref="F1219:G1219"/>
    <x:mergeCell ref="H1219:K1219"/>
    <x:mergeCell ref="D1220:E1220"/>
    <x:mergeCell ref="F1220:G1220"/>
    <x:mergeCell ref="H1220:K1220"/>
    <x:mergeCell ref="D1221:E1221"/>
    <x:mergeCell ref="F1221:G1221"/>
    <x:mergeCell ref="H1221:K1221"/>
    <x:mergeCell ref="D1222:E1222"/>
    <x:mergeCell ref="F1222:G1222"/>
    <x:mergeCell ref="H1222:K1222"/>
    <x:mergeCell ref="D1223:E1223"/>
    <x:mergeCell ref="F1223:G1223"/>
    <x:mergeCell ref="H1223:K1223"/>
    <x:mergeCell ref="D1224:E1224"/>
    <x:mergeCell ref="F1224:G1224"/>
    <x:mergeCell ref="H1224:K1224"/>
    <x:mergeCell ref="D1225:E1225"/>
    <x:mergeCell ref="F1225:G1225"/>
    <x:mergeCell ref="H1225:K1225"/>
    <x:mergeCell ref="D1226:E1226"/>
    <x:mergeCell ref="F1226:G1226"/>
    <x:mergeCell ref="H1226:K1226"/>
    <x:mergeCell ref="D1227:E1227"/>
    <x:mergeCell ref="F1227:G1227"/>
    <x:mergeCell ref="H1227:K1227"/>
    <x:mergeCell ref="D1228:E1228"/>
    <x:mergeCell ref="F1228:G1228"/>
    <x:mergeCell ref="H1228:K1228"/>
    <x:mergeCell ref="D1229:E1229"/>
    <x:mergeCell ref="F1229:G1229"/>
    <x:mergeCell ref="H1229:K1229"/>
    <x:mergeCell ref="D1230:E1230"/>
    <x:mergeCell ref="F1230:G1230"/>
    <x:mergeCell ref="H1230:K1230"/>
    <x:mergeCell ref="D1231:E1231"/>
    <x:mergeCell ref="F1231:G1231"/>
    <x:mergeCell ref="H1231:K1231"/>
    <x:mergeCell ref="D1232:E1232"/>
    <x:mergeCell ref="F1232:G1232"/>
    <x:mergeCell ref="H1232:K1232"/>
    <x:mergeCell ref="D1233:E1233"/>
    <x:mergeCell ref="F1233:G1233"/>
    <x:mergeCell ref="H1233:K1233"/>
    <x:mergeCell ref="D1234:E1234"/>
    <x:mergeCell ref="F1234:G1234"/>
    <x:mergeCell ref="H1234:K1234"/>
    <x:mergeCell ref="D1235:E1235"/>
    <x:mergeCell ref="F1235:G1235"/>
    <x:mergeCell ref="H1235:K1235"/>
    <x:mergeCell ref="D1236:E1236"/>
    <x:mergeCell ref="F1236:G1236"/>
    <x:mergeCell ref="H1236:K1236"/>
    <x:mergeCell ref="D1237:E1237"/>
    <x:mergeCell ref="F1237:G1237"/>
    <x:mergeCell ref="H1237:K1237"/>
    <x:mergeCell ref="D1238:E1238"/>
    <x:mergeCell ref="F1238:G1238"/>
    <x:mergeCell ref="H1238:K1238"/>
    <x:mergeCell ref="D1239:E1239"/>
    <x:mergeCell ref="F1239:G1239"/>
    <x:mergeCell ref="H1239:K1239"/>
    <x:mergeCell ref="D1240:E1240"/>
    <x:mergeCell ref="F1240:G1240"/>
    <x:mergeCell ref="H1240:K1240"/>
    <x:mergeCell ref="D1241:E1241"/>
    <x:mergeCell ref="F1241:G1241"/>
    <x:mergeCell ref="H1241:K1241"/>
    <x:mergeCell ref="D1242:E1242"/>
    <x:mergeCell ref="F1242:G1242"/>
    <x:mergeCell ref="H1242:K1242"/>
    <x:mergeCell ref="D1243:E1243"/>
    <x:mergeCell ref="F1243:G1243"/>
    <x:mergeCell ref="H1243:K1243"/>
    <x:mergeCell ref="D1244:E1244"/>
    <x:mergeCell ref="F1244:G1244"/>
    <x:mergeCell ref="H1244:K1244"/>
    <x:mergeCell ref="D1245:E1245"/>
    <x:mergeCell ref="F1245:G1245"/>
    <x:mergeCell ref="H1245:K1245"/>
    <x:mergeCell ref="D1246:E1246"/>
    <x:mergeCell ref="F1246:G1246"/>
    <x:mergeCell ref="H1246:K1246"/>
    <x:mergeCell ref="D1247:E1247"/>
    <x:mergeCell ref="F1247:G1247"/>
    <x:mergeCell ref="H1247:K1247"/>
    <x:mergeCell ref="D1248:E1248"/>
    <x:mergeCell ref="F1248:G1248"/>
    <x:mergeCell ref="H1248:K1248"/>
    <x:mergeCell ref="D1249:E1249"/>
    <x:mergeCell ref="F1249:G1249"/>
    <x:mergeCell ref="H1249:K1249"/>
    <x:mergeCell ref="D1250:E1250"/>
    <x:mergeCell ref="F1250:G1250"/>
    <x:mergeCell ref="H1250:K1250"/>
    <x:mergeCell ref="D1251:E1251"/>
    <x:mergeCell ref="F1251:G1251"/>
    <x:mergeCell ref="H1251:K1251"/>
    <x:mergeCell ref="D1252:E1252"/>
    <x:mergeCell ref="F1252:G1252"/>
    <x:mergeCell ref="H1252:K1252"/>
    <x:mergeCell ref="D1253:E1253"/>
    <x:mergeCell ref="F1253:G1253"/>
    <x:mergeCell ref="H1253:K1253"/>
    <x:mergeCell ref="D1254:E1254"/>
    <x:mergeCell ref="F1254:G1254"/>
    <x:mergeCell ref="H1254:K1254"/>
    <x:mergeCell ref="D1255:E1255"/>
    <x:mergeCell ref="F1255:G1255"/>
    <x:mergeCell ref="H1255:K1255"/>
    <x:mergeCell ref="D1256:E1256"/>
    <x:mergeCell ref="F1256:G1256"/>
    <x:mergeCell ref="H1256:K1256"/>
    <x:mergeCell ref="D1257:E1257"/>
    <x:mergeCell ref="F1257:G1257"/>
    <x:mergeCell ref="H1257:K1257"/>
    <x:mergeCell ref="D1258:E1258"/>
    <x:mergeCell ref="F1258:G1258"/>
    <x:mergeCell ref="H1258:K1258"/>
    <x:mergeCell ref="D1259:E1259"/>
    <x:mergeCell ref="F1259:G1259"/>
    <x:mergeCell ref="H1259:K1259"/>
    <x:mergeCell ref="D1260:E1260"/>
    <x:mergeCell ref="F1260:G1260"/>
    <x:mergeCell ref="H1260:K1260"/>
    <x:mergeCell ref="D1261:E1261"/>
    <x:mergeCell ref="F1261:G1261"/>
    <x:mergeCell ref="H1261:K1261"/>
    <x:mergeCell ref="D1262:E1262"/>
    <x:mergeCell ref="F1262:G1262"/>
    <x:mergeCell ref="H1262:K1262"/>
    <x:mergeCell ref="D1263:E1263"/>
    <x:mergeCell ref="F1263:G1263"/>
    <x:mergeCell ref="H1263:K1263"/>
    <x:mergeCell ref="D1264:E1264"/>
    <x:mergeCell ref="F1264:G1264"/>
    <x:mergeCell ref="H1264:K1264"/>
    <x:mergeCell ref="D1265:E1265"/>
    <x:mergeCell ref="F1265:G1265"/>
    <x:mergeCell ref="H1265:K1265"/>
    <x:mergeCell ref="D1266:E1266"/>
    <x:mergeCell ref="F1266:G1266"/>
    <x:mergeCell ref="H1266:K1266"/>
    <x:mergeCell ref="D1267:E1267"/>
    <x:mergeCell ref="F1267:G1267"/>
    <x:mergeCell ref="H1267:K1267"/>
    <x:mergeCell ref="D1268:E1268"/>
    <x:mergeCell ref="F1268:G1268"/>
    <x:mergeCell ref="H1268:K1268"/>
    <x:mergeCell ref="D1269:E1269"/>
    <x:mergeCell ref="F1269:G1269"/>
    <x:mergeCell ref="H1269:K1269"/>
    <x:mergeCell ref="D1270:E1270"/>
    <x:mergeCell ref="F1270:G1270"/>
    <x:mergeCell ref="H1270:K1270"/>
    <x:mergeCell ref="D1271:E1271"/>
    <x:mergeCell ref="F1271:G1271"/>
    <x:mergeCell ref="H1271:K1271"/>
    <x:mergeCell ref="D1272:E1272"/>
    <x:mergeCell ref="F1272:G1272"/>
    <x:mergeCell ref="H1272:K1272"/>
    <x:mergeCell ref="D1273:E1273"/>
    <x:mergeCell ref="F1273:G1273"/>
    <x:mergeCell ref="H1273:K1273"/>
    <x:mergeCell ref="D1274:E1274"/>
    <x:mergeCell ref="F1274:G1274"/>
    <x:mergeCell ref="H1274:K1274"/>
    <x:mergeCell ref="D1275:E1275"/>
    <x:mergeCell ref="F1275:G1275"/>
    <x:mergeCell ref="H1275:K1275"/>
    <x:mergeCell ref="D1276:E1276"/>
    <x:mergeCell ref="F1276:G1276"/>
    <x:mergeCell ref="H1276:K1276"/>
    <x:mergeCell ref="D1277:E1277"/>
    <x:mergeCell ref="F1277:G1277"/>
    <x:mergeCell ref="H1277:K1277"/>
    <x:mergeCell ref="D1278:E1278"/>
    <x:mergeCell ref="F1278:G1278"/>
    <x:mergeCell ref="H1278:K1278"/>
    <x:mergeCell ref="D1279:E1279"/>
    <x:mergeCell ref="F1279:G1279"/>
    <x:mergeCell ref="H1279:K1279"/>
    <x:mergeCell ref="D1280:E1280"/>
    <x:mergeCell ref="F1280:G1280"/>
    <x:mergeCell ref="H1280:K1280"/>
    <x:mergeCell ref="D1281:E1281"/>
    <x:mergeCell ref="F1281:G1281"/>
    <x:mergeCell ref="H1281:K1281"/>
    <x:mergeCell ref="D1282:E1282"/>
    <x:mergeCell ref="F1282:G1282"/>
    <x:mergeCell ref="H1282:K1282"/>
    <x:mergeCell ref="D1283:E1283"/>
    <x:mergeCell ref="F1283:G1283"/>
    <x:mergeCell ref="H1283:K1283"/>
    <x:mergeCell ref="D1284:E1284"/>
    <x:mergeCell ref="F1284:G1284"/>
    <x:mergeCell ref="H1284:K1284"/>
    <x:mergeCell ref="D1285:E1285"/>
    <x:mergeCell ref="F1285:G1285"/>
    <x:mergeCell ref="H1285:K1285"/>
    <x:mergeCell ref="D1286:E1286"/>
    <x:mergeCell ref="F1286:G1286"/>
    <x:mergeCell ref="H1286:K1286"/>
    <x:mergeCell ref="D1287:E1287"/>
    <x:mergeCell ref="F1287:G1287"/>
    <x:mergeCell ref="H1287:K1287"/>
    <x:mergeCell ref="D1288:E1288"/>
    <x:mergeCell ref="F1288:G1288"/>
    <x:mergeCell ref="H1288:K1288"/>
    <x:mergeCell ref="D1289:E1289"/>
    <x:mergeCell ref="F1289:G1289"/>
    <x:mergeCell ref="H1289:K1289"/>
    <x:mergeCell ref="D1290:E1290"/>
    <x:mergeCell ref="F1290:G1290"/>
    <x:mergeCell ref="H1290:K1290"/>
    <x:mergeCell ref="D1291:E1291"/>
    <x:mergeCell ref="F1291:G1291"/>
    <x:mergeCell ref="H1291:K1291"/>
    <x:mergeCell ref="D1292:E1292"/>
    <x:mergeCell ref="F1292:G1292"/>
    <x:mergeCell ref="H1292:K1292"/>
    <x:mergeCell ref="D1293:E1293"/>
    <x:mergeCell ref="F1293:G1293"/>
    <x:mergeCell ref="H1293:K1293"/>
    <x:mergeCell ref="D1294:E1294"/>
    <x:mergeCell ref="F1294:G1294"/>
    <x:mergeCell ref="H1294:K1294"/>
    <x:mergeCell ref="D1295:E1295"/>
    <x:mergeCell ref="F1295:G1295"/>
    <x:mergeCell ref="H1295:K1295"/>
    <x:mergeCell ref="D1296:E1296"/>
    <x:mergeCell ref="F1296:G1296"/>
    <x:mergeCell ref="H1296:K1296"/>
    <x:mergeCell ref="D1297:E1297"/>
    <x:mergeCell ref="F1297:G1297"/>
    <x:mergeCell ref="H1297:K1297"/>
    <x:mergeCell ref="D1298:E1298"/>
    <x:mergeCell ref="F1298:G1298"/>
    <x:mergeCell ref="H1298:K1298"/>
    <x:mergeCell ref="D1299:E1299"/>
    <x:mergeCell ref="F1299:G1299"/>
    <x:mergeCell ref="H1299:K1299"/>
    <x:mergeCell ref="D1300:E1300"/>
    <x:mergeCell ref="F1300:G1300"/>
    <x:mergeCell ref="H1300:K1300"/>
    <x:mergeCell ref="D1301:E1301"/>
    <x:mergeCell ref="F1301:G1301"/>
    <x:mergeCell ref="H1301:K1301"/>
    <x:mergeCell ref="D1302:E1302"/>
    <x:mergeCell ref="F1302:G1302"/>
    <x:mergeCell ref="H1302:K1302"/>
    <x:mergeCell ref="D1303:E1303"/>
    <x:mergeCell ref="F1303:G1303"/>
    <x:mergeCell ref="H1303:K1303"/>
    <x:mergeCell ref="D1304:E1304"/>
    <x:mergeCell ref="F1304:G1304"/>
    <x:mergeCell ref="H1304:K1304"/>
    <x:mergeCell ref="D1305:E1305"/>
    <x:mergeCell ref="F1305:G1305"/>
    <x:mergeCell ref="H1305:K1305"/>
    <x:mergeCell ref="D1306:E1306"/>
    <x:mergeCell ref="F1306:G1306"/>
    <x:mergeCell ref="H1306:K1306"/>
    <x:mergeCell ref="D1307:E1307"/>
    <x:mergeCell ref="F1307:G1307"/>
    <x:mergeCell ref="H1307:K1307"/>
    <x:mergeCell ref="D1308:E1308"/>
    <x:mergeCell ref="F1308:G1308"/>
    <x:mergeCell ref="H1308:K1308"/>
    <x:mergeCell ref="D1309:E1309"/>
    <x:mergeCell ref="F1309:G1309"/>
    <x:mergeCell ref="H1309:K1309"/>
    <x:mergeCell ref="D1310:E1310"/>
    <x:mergeCell ref="F1310:G1310"/>
    <x:mergeCell ref="H1310:K1310"/>
    <x:mergeCell ref="D1311:E1311"/>
    <x:mergeCell ref="F1311:G1311"/>
    <x:mergeCell ref="H1311:K1311"/>
    <x:mergeCell ref="D1312:E1312"/>
    <x:mergeCell ref="F1312:G1312"/>
    <x:mergeCell ref="H1312:K1312"/>
    <x:mergeCell ref="D1313:E1313"/>
    <x:mergeCell ref="F1313:G1313"/>
    <x:mergeCell ref="H1313:K1313"/>
    <x:mergeCell ref="D1314:E1314"/>
    <x:mergeCell ref="F1314:G1314"/>
    <x:mergeCell ref="H1314:K1314"/>
    <x:mergeCell ref="D1315:E1315"/>
    <x:mergeCell ref="F1315:G1315"/>
    <x:mergeCell ref="H1315:K1315"/>
    <x:mergeCell ref="D1316:E1316"/>
    <x:mergeCell ref="F1316:G1316"/>
    <x:mergeCell ref="H1316:K1316"/>
    <x:mergeCell ref="D1317:E1317"/>
    <x:mergeCell ref="F1317:G1317"/>
    <x:mergeCell ref="H1317:K1317"/>
    <x:mergeCell ref="D1318:E1318"/>
    <x:mergeCell ref="F1318:G1318"/>
    <x:mergeCell ref="H1318:K1318"/>
    <x:mergeCell ref="D1319:E1319"/>
    <x:mergeCell ref="F1319:G1319"/>
    <x:mergeCell ref="H1319:K1319"/>
    <x:mergeCell ref="D1320:E1320"/>
    <x:mergeCell ref="F1320:G1320"/>
    <x:mergeCell ref="H1320:K1320"/>
    <x:mergeCell ref="D1321:E1321"/>
    <x:mergeCell ref="F1321:G1321"/>
    <x:mergeCell ref="H1321:K1321"/>
    <x:mergeCell ref="D1322:E1322"/>
    <x:mergeCell ref="F1322:G1322"/>
    <x:mergeCell ref="H1322:K1322"/>
    <x:mergeCell ref="D1323:E1323"/>
    <x:mergeCell ref="F1323:G1323"/>
    <x:mergeCell ref="H1323:K1323"/>
    <x:mergeCell ref="D1324:E1324"/>
    <x:mergeCell ref="F1324:G1324"/>
    <x:mergeCell ref="H1324:K1324"/>
    <x:mergeCell ref="D1325:E1325"/>
    <x:mergeCell ref="F1325:G1325"/>
    <x:mergeCell ref="H1325:K1325"/>
    <x:mergeCell ref="D1326:E1326"/>
    <x:mergeCell ref="F1326:G1326"/>
    <x:mergeCell ref="H1326:K1326"/>
    <x:mergeCell ref="D1327:E1327"/>
    <x:mergeCell ref="F1327:G1327"/>
    <x:mergeCell ref="H1327:K1327"/>
    <x:mergeCell ref="D1328:E1328"/>
    <x:mergeCell ref="F1328:G1328"/>
    <x:mergeCell ref="H1328:K1328"/>
    <x:mergeCell ref="D1329:E1329"/>
    <x:mergeCell ref="F1329:G1329"/>
    <x:mergeCell ref="H1329:K1329"/>
    <x:mergeCell ref="D1330:E1330"/>
    <x:mergeCell ref="F1330:G1330"/>
    <x:mergeCell ref="H1330:K1330"/>
    <x:mergeCell ref="D1331:E1331"/>
    <x:mergeCell ref="F1331:G1331"/>
    <x:mergeCell ref="H1331:K1331"/>
    <x:mergeCell ref="D1332:E1332"/>
    <x:mergeCell ref="F1332:G1332"/>
    <x:mergeCell ref="H1332:K1332"/>
    <x:mergeCell ref="D1333:E1333"/>
    <x:mergeCell ref="F1333:G1333"/>
    <x:mergeCell ref="H1333:K1333"/>
    <x:mergeCell ref="D1334:E1334"/>
    <x:mergeCell ref="F1334:G1334"/>
    <x:mergeCell ref="H1334:K1334"/>
    <x:mergeCell ref="D1335:E1335"/>
    <x:mergeCell ref="F1335:G1335"/>
    <x:mergeCell ref="H1335:K1335"/>
    <x:mergeCell ref="D1336:E1336"/>
    <x:mergeCell ref="F1336:G1336"/>
    <x:mergeCell ref="H1336:K1336"/>
    <x:mergeCell ref="D1337:E1337"/>
    <x:mergeCell ref="F1337:G1337"/>
    <x:mergeCell ref="H1337:K1337"/>
    <x:mergeCell ref="D1338:E1338"/>
    <x:mergeCell ref="F1338:G1338"/>
    <x:mergeCell ref="H1338:K1338"/>
    <x:mergeCell ref="D1339:E1339"/>
    <x:mergeCell ref="F1339:G1339"/>
    <x:mergeCell ref="H1339:K1339"/>
    <x:mergeCell ref="D1340:E1340"/>
    <x:mergeCell ref="F1340:G1340"/>
    <x:mergeCell ref="H1340:K1340"/>
    <x:mergeCell ref="D1341:E1341"/>
    <x:mergeCell ref="F1341:G1341"/>
    <x:mergeCell ref="H1341:K1341"/>
    <x:mergeCell ref="D1342:E1342"/>
    <x:mergeCell ref="F1342:G1342"/>
    <x:mergeCell ref="H1342:K1342"/>
    <x:mergeCell ref="D1343:E1343"/>
    <x:mergeCell ref="F1343:G1343"/>
    <x:mergeCell ref="H1343:K1343"/>
    <x:mergeCell ref="D1344:E1344"/>
    <x:mergeCell ref="F1344:G1344"/>
    <x:mergeCell ref="H1344:K1344"/>
    <x:mergeCell ref="D1345:E1345"/>
    <x:mergeCell ref="F1345:G1345"/>
    <x:mergeCell ref="H1345:K1345"/>
    <x:mergeCell ref="D1346:E1346"/>
    <x:mergeCell ref="F1346:G1346"/>
    <x:mergeCell ref="H1346:K1346"/>
    <x:mergeCell ref="D1347:E1347"/>
    <x:mergeCell ref="F1347:G1347"/>
    <x:mergeCell ref="H1347:K1347"/>
    <x:mergeCell ref="D1348:E1348"/>
    <x:mergeCell ref="F1348:G1348"/>
    <x:mergeCell ref="H1348:K1348"/>
    <x:mergeCell ref="D1349:E1349"/>
    <x:mergeCell ref="F1349:G1349"/>
    <x:mergeCell ref="H1349:K1349"/>
    <x:mergeCell ref="D1350:E1350"/>
    <x:mergeCell ref="F1350:G1350"/>
    <x:mergeCell ref="H1350:K1350"/>
    <x:mergeCell ref="D1351:E1351"/>
    <x:mergeCell ref="F1351:G1351"/>
    <x:mergeCell ref="H1351:K1351"/>
    <x:mergeCell ref="D1352:E1352"/>
    <x:mergeCell ref="F1352:G1352"/>
    <x:mergeCell ref="H1352:K1352"/>
    <x:mergeCell ref="D1353:E1353"/>
    <x:mergeCell ref="F1353:G1353"/>
    <x:mergeCell ref="H1353:K1353"/>
    <x:mergeCell ref="D1354:E1354"/>
    <x:mergeCell ref="F1354:G1354"/>
    <x:mergeCell ref="H1354:K1354"/>
    <x:mergeCell ref="D1355:E1355"/>
    <x:mergeCell ref="F1355:G1355"/>
    <x:mergeCell ref="H1355:K1355"/>
    <x:mergeCell ref="D1356:E1356"/>
    <x:mergeCell ref="F1356:G1356"/>
    <x:mergeCell ref="H1356:K1356"/>
    <x:mergeCell ref="D1357:E1357"/>
    <x:mergeCell ref="F1357:G1357"/>
    <x:mergeCell ref="H1357:K1357"/>
    <x:mergeCell ref="D1358:E1358"/>
    <x:mergeCell ref="F1358:G1358"/>
    <x:mergeCell ref="H1358:K1358"/>
    <x:mergeCell ref="D1359:E1359"/>
    <x:mergeCell ref="F1359:G1359"/>
    <x:mergeCell ref="H1359:K1359"/>
    <x:mergeCell ref="D1360:E1360"/>
    <x:mergeCell ref="F1360:G1360"/>
    <x:mergeCell ref="H1360:K1360"/>
    <x:mergeCell ref="D1361:E1361"/>
    <x:mergeCell ref="F1361:G1361"/>
    <x:mergeCell ref="H1361:K1361"/>
    <x:mergeCell ref="D1362:E1362"/>
    <x:mergeCell ref="F1362:G1362"/>
    <x:mergeCell ref="H1362:K1362"/>
    <x:mergeCell ref="D1363:E1363"/>
    <x:mergeCell ref="F1363:G1363"/>
    <x:mergeCell ref="H1363:K1363"/>
    <x:mergeCell ref="D1364:E1364"/>
    <x:mergeCell ref="F1364:G1364"/>
    <x:mergeCell ref="H1364:K1364"/>
    <x:mergeCell ref="D1365:E1365"/>
    <x:mergeCell ref="F1365:G1365"/>
    <x:mergeCell ref="H1365:K1365"/>
    <x:mergeCell ref="D1366:E1366"/>
    <x:mergeCell ref="F1366:G1366"/>
    <x:mergeCell ref="H1366:K1366"/>
    <x:mergeCell ref="D1367:E1367"/>
    <x:mergeCell ref="F1367:G1367"/>
    <x:mergeCell ref="H1367:K1367"/>
    <x:mergeCell ref="D1368:E1368"/>
    <x:mergeCell ref="F1368:G1368"/>
    <x:mergeCell ref="H1368:K1368"/>
    <x:mergeCell ref="D1369:E1369"/>
    <x:mergeCell ref="F1369:G1369"/>
    <x:mergeCell ref="H1369:K1369"/>
    <x:mergeCell ref="D1370:E1370"/>
    <x:mergeCell ref="F1370:G1370"/>
    <x:mergeCell ref="H1370:K1370"/>
    <x:mergeCell ref="D1371:E1371"/>
    <x:mergeCell ref="F1371:G1371"/>
    <x:mergeCell ref="H1371:K1371"/>
    <x:mergeCell ref="D1372:E1372"/>
    <x:mergeCell ref="F1372:G1372"/>
    <x:mergeCell ref="H1372:K1372"/>
    <x:mergeCell ref="D1373:E1373"/>
    <x:mergeCell ref="F1373:G1373"/>
    <x:mergeCell ref="H1373:K1373"/>
    <x:mergeCell ref="D1374:E1374"/>
    <x:mergeCell ref="F1374:G1374"/>
    <x:mergeCell ref="H1374:K1374"/>
    <x:mergeCell ref="D1375:E1375"/>
    <x:mergeCell ref="F1375:G1375"/>
    <x:mergeCell ref="H1375:K1375"/>
    <x:mergeCell ref="D1376:E1376"/>
    <x:mergeCell ref="F1376:G1376"/>
    <x:mergeCell ref="H1376:K1376"/>
    <x:mergeCell ref="D1377:E1377"/>
    <x:mergeCell ref="F1377:G1377"/>
    <x:mergeCell ref="H1377:K1377"/>
    <x:mergeCell ref="D1378:E1378"/>
    <x:mergeCell ref="F1378:G1378"/>
    <x:mergeCell ref="H1378:K1378"/>
    <x:mergeCell ref="D1379:E1379"/>
    <x:mergeCell ref="F1379:G1379"/>
    <x:mergeCell ref="H1379:K1379"/>
    <x:mergeCell ref="D1380:E1380"/>
    <x:mergeCell ref="F1380:G1380"/>
    <x:mergeCell ref="H1380:K1380"/>
    <x:mergeCell ref="D1381:E1381"/>
    <x:mergeCell ref="F1381:G1381"/>
    <x:mergeCell ref="H1381:K1381"/>
    <x:mergeCell ref="D1382:E1382"/>
    <x:mergeCell ref="F1382:G1382"/>
    <x:mergeCell ref="H1382:K1382"/>
    <x:mergeCell ref="D1383:E1383"/>
    <x:mergeCell ref="F1383:G1383"/>
    <x:mergeCell ref="H1383:K1383"/>
    <x:mergeCell ref="D1384:E1384"/>
    <x:mergeCell ref="F1384:G1384"/>
    <x:mergeCell ref="H1384:K1384"/>
    <x:mergeCell ref="D1385:E1385"/>
    <x:mergeCell ref="F1385:G1385"/>
    <x:mergeCell ref="H1385:K1385"/>
    <x:mergeCell ref="D1386:E1386"/>
    <x:mergeCell ref="F1386:G1386"/>
    <x:mergeCell ref="H1386:K1386"/>
    <x:mergeCell ref="D1387:E1387"/>
    <x:mergeCell ref="F1387:G1387"/>
    <x:mergeCell ref="H1387:K1387"/>
    <x:mergeCell ref="D1388:E1388"/>
    <x:mergeCell ref="F1388:G1388"/>
    <x:mergeCell ref="H1388:K1388"/>
    <x:mergeCell ref="D1389:E1389"/>
    <x:mergeCell ref="F1389:G1389"/>
    <x:mergeCell ref="H1389:K1389"/>
    <x:mergeCell ref="D1390:E1390"/>
    <x:mergeCell ref="F1390:G1390"/>
    <x:mergeCell ref="H1390:K1390"/>
    <x:mergeCell ref="D1391:E1391"/>
    <x:mergeCell ref="F1391:G1391"/>
    <x:mergeCell ref="H1391:K1391"/>
    <x:mergeCell ref="D1392:E1392"/>
    <x:mergeCell ref="F1392:G1392"/>
    <x:mergeCell ref="H1392:K1392"/>
    <x:mergeCell ref="D1393:E1393"/>
    <x:mergeCell ref="F1393:G1393"/>
    <x:mergeCell ref="H1393:K1393"/>
    <x:mergeCell ref="D1394:E1394"/>
    <x:mergeCell ref="F1394:G1394"/>
    <x:mergeCell ref="H1394:K1394"/>
    <x:mergeCell ref="D1395:E1395"/>
    <x:mergeCell ref="F1395:G1395"/>
    <x:mergeCell ref="H1395:K1395"/>
    <x:mergeCell ref="D1396:E1396"/>
    <x:mergeCell ref="F1396:G1396"/>
    <x:mergeCell ref="H1396:K1396"/>
    <x:mergeCell ref="D1397:E1397"/>
    <x:mergeCell ref="F1397:G1397"/>
    <x:mergeCell ref="H1397:K1397"/>
    <x:mergeCell ref="D1398:E1398"/>
    <x:mergeCell ref="F1398:G1398"/>
    <x:mergeCell ref="H1398:K1398"/>
    <x:mergeCell ref="D1399:E1399"/>
    <x:mergeCell ref="F1399:G1399"/>
    <x:mergeCell ref="H1399:K1399"/>
    <x:mergeCell ref="D1400:E1400"/>
    <x:mergeCell ref="F1400:G1400"/>
    <x:mergeCell ref="H1400:K1400"/>
    <x:mergeCell ref="D1401:E1401"/>
    <x:mergeCell ref="F1401:G1401"/>
    <x:mergeCell ref="H1401:K1401"/>
    <x:mergeCell ref="D1402:E1402"/>
    <x:mergeCell ref="F1402:G1402"/>
    <x:mergeCell ref="H1402:K1402"/>
    <x:mergeCell ref="D1403:E1403"/>
    <x:mergeCell ref="F1403:G1403"/>
    <x:mergeCell ref="H1403:K1403"/>
    <x:mergeCell ref="D1404:E1404"/>
    <x:mergeCell ref="F1404:G1404"/>
    <x:mergeCell ref="H1404:K1404"/>
    <x:mergeCell ref="D1405:E1405"/>
    <x:mergeCell ref="F1405:G1405"/>
    <x:mergeCell ref="H1405:K1405"/>
    <x:mergeCell ref="D1406:E1406"/>
    <x:mergeCell ref="F1406:G1406"/>
    <x:mergeCell ref="H1406:K1406"/>
    <x:mergeCell ref="D1407:E1407"/>
    <x:mergeCell ref="F1407:G1407"/>
    <x:mergeCell ref="H1407:K1407"/>
    <x:mergeCell ref="D1408:E1408"/>
    <x:mergeCell ref="F1408:G1408"/>
    <x:mergeCell ref="H1408:K1408"/>
    <x:mergeCell ref="D1409:E1409"/>
    <x:mergeCell ref="F1409:G1409"/>
    <x:mergeCell ref="H1409:K1409"/>
    <x:mergeCell ref="D1410:E1410"/>
    <x:mergeCell ref="F1410:G1410"/>
    <x:mergeCell ref="H1410:K1410"/>
    <x:mergeCell ref="D1411:E1411"/>
    <x:mergeCell ref="F1411:G1411"/>
    <x:mergeCell ref="H1411:K1411"/>
    <x:mergeCell ref="D1412:E1412"/>
    <x:mergeCell ref="F1412:G1412"/>
    <x:mergeCell ref="H1412:K1412"/>
    <x:mergeCell ref="D1413:E1413"/>
    <x:mergeCell ref="F1413:G1413"/>
    <x:mergeCell ref="H1413:K1413"/>
    <x:mergeCell ref="D1414:E1414"/>
    <x:mergeCell ref="F1414:G1414"/>
    <x:mergeCell ref="H1414:K1414"/>
    <x:mergeCell ref="D1415:E1415"/>
    <x:mergeCell ref="F1415:G1415"/>
    <x:mergeCell ref="H1415:K1415"/>
    <x:mergeCell ref="D1416:E1416"/>
    <x:mergeCell ref="F1416:G1416"/>
    <x:mergeCell ref="H1416:K1416"/>
    <x:mergeCell ref="D1417:E1417"/>
    <x:mergeCell ref="F1417:G1417"/>
    <x:mergeCell ref="H1417:K1417"/>
    <x:mergeCell ref="D1418:E1418"/>
    <x:mergeCell ref="F1418:G1418"/>
    <x:mergeCell ref="H1418:K1418"/>
    <x:mergeCell ref="D1419:E1419"/>
    <x:mergeCell ref="F1419:G1419"/>
    <x:mergeCell ref="H1419:K1419"/>
    <x:mergeCell ref="D1420:E1420"/>
    <x:mergeCell ref="F1420:G1420"/>
    <x:mergeCell ref="H1420:K1420"/>
    <x:mergeCell ref="D1421:E1421"/>
    <x:mergeCell ref="F1421:G1421"/>
    <x:mergeCell ref="H1421:K1421"/>
    <x:mergeCell ref="D1422:E1422"/>
    <x:mergeCell ref="F1422:G1422"/>
    <x:mergeCell ref="H1422:K1422"/>
    <x:mergeCell ref="D1423:E1423"/>
    <x:mergeCell ref="F1423:G1423"/>
    <x:mergeCell ref="H1423:K1423"/>
    <x:mergeCell ref="D1424:E1424"/>
    <x:mergeCell ref="F1424:G1424"/>
    <x:mergeCell ref="H1424:K1424"/>
    <x:mergeCell ref="D1425:E1425"/>
    <x:mergeCell ref="F1425:G1425"/>
    <x:mergeCell ref="H1425:K1425"/>
    <x:mergeCell ref="D1426:E1426"/>
    <x:mergeCell ref="F1426:G1426"/>
    <x:mergeCell ref="H1426:K1426"/>
    <x:mergeCell ref="D1427:E1427"/>
    <x:mergeCell ref="F1427:G1427"/>
    <x:mergeCell ref="H1427:K1427"/>
    <x:mergeCell ref="D1428:E1428"/>
    <x:mergeCell ref="F1428:G1428"/>
    <x:mergeCell ref="H1428:K1428"/>
    <x:mergeCell ref="D1429:E1429"/>
    <x:mergeCell ref="F1429:G1429"/>
    <x:mergeCell ref="H1429:K1429"/>
    <x:mergeCell ref="D1430:E1430"/>
    <x:mergeCell ref="F1430:G1430"/>
    <x:mergeCell ref="H1430:K1430"/>
    <x:mergeCell ref="D1431:E1431"/>
    <x:mergeCell ref="F1431:G1431"/>
    <x:mergeCell ref="H1431:K1431"/>
    <x:mergeCell ref="D1432:E1432"/>
    <x:mergeCell ref="F1432:G1432"/>
    <x:mergeCell ref="H1432:K1432"/>
    <x:mergeCell ref="D1433:E1433"/>
    <x:mergeCell ref="F1433:G1433"/>
    <x:mergeCell ref="H1433:K1433"/>
    <x:mergeCell ref="D1434:E1434"/>
    <x:mergeCell ref="F1434:G1434"/>
    <x:mergeCell ref="H1434:K1434"/>
    <x:mergeCell ref="D1435:E1435"/>
    <x:mergeCell ref="F1435:G1435"/>
    <x:mergeCell ref="H1435:K1435"/>
    <x:mergeCell ref="D1436:E1436"/>
    <x:mergeCell ref="F1436:G1436"/>
    <x:mergeCell ref="H1436:K1436"/>
    <x:mergeCell ref="D1437:E1437"/>
    <x:mergeCell ref="F1437:G1437"/>
    <x:mergeCell ref="H1437:K1437"/>
    <x:mergeCell ref="D1438:E1438"/>
    <x:mergeCell ref="F1438:G1438"/>
    <x:mergeCell ref="H1438:K1438"/>
    <x:mergeCell ref="D1439:E1439"/>
    <x:mergeCell ref="F1439:G1439"/>
    <x:mergeCell ref="H1439:K1439"/>
    <x:mergeCell ref="D1440:E1440"/>
    <x:mergeCell ref="F1440:G1440"/>
    <x:mergeCell ref="H1440:K1440"/>
    <x:mergeCell ref="D1441:E1441"/>
    <x:mergeCell ref="F1441:G1441"/>
    <x:mergeCell ref="H1441:K1441"/>
    <x:mergeCell ref="D1442:E1442"/>
    <x:mergeCell ref="F1442:G1442"/>
    <x:mergeCell ref="H1442:K1442"/>
    <x:mergeCell ref="D1443:E1443"/>
    <x:mergeCell ref="F1443:G1443"/>
    <x:mergeCell ref="H1443:K1443"/>
    <x:mergeCell ref="D1444:E1444"/>
    <x:mergeCell ref="F1444:G1444"/>
    <x:mergeCell ref="H1444:K1444"/>
    <x:mergeCell ref="D1445:E1445"/>
    <x:mergeCell ref="F1445:G1445"/>
    <x:mergeCell ref="H1445:K1445"/>
    <x:mergeCell ref="D1446:E1446"/>
    <x:mergeCell ref="F1446:G1446"/>
    <x:mergeCell ref="H1446:K1446"/>
    <x:mergeCell ref="D1447:E1447"/>
    <x:mergeCell ref="F1447:G1447"/>
    <x:mergeCell ref="H1447:K1447"/>
    <x:mergeCell ref="D1448:E1448"/>
    <x:mergeCell ref="F1448:G1448"/>
    <x:mergeCell ref="H1448:K1448"/>
    <x:mergeCell ref="D1449:E1449"/>
    <x:mergeCell ref="F1449:G1449"/>
    <x:mergeCell ref="H1449:K1449"/>
    <x:mergeCell ref="D1450:E1450"/>
    <x:mergeCell ref="F1450:G1450"/>
    <x:mergeCell ref="H1450:K1450"/>
    <x:mergeCell ref="D1451:E1451"/>
    <x:mergeCell ref="F1451:G1451"/>
    <x:mergeCell ref="H1451:K1451"/>
    <x:mergeCell ref="D1452:E1452"/>
    <x:mergeCell ref="F1452:G1452"/>
    <x:mergeCell ref="H1452:K1452"/>
    <x:mergeCell ref="D1453:E1453"/>
    <x:mergeCell ref="F1453:G1453"/>
    <x:mergeCell ref="H1453:K1453"/>
    <x:mergeCell ref="D1454:E1454"/>
    <x:mergeCell ref="F1454:G1454"/>
    <x:mergeCell ref="H1454:K1454"/>
    <x:mergeCell ref="D1455:E1455"/>
    <x:mergeCell ref="F1455:G1455"/>
    <x:mergeCell ref="H1455:K1455"/>
    <x:mergeCell ref="D1456:E1456"/>
    <x:mergeCell ref="F1456:G1456"/>
    <x:mergeCell ref="H1456:K1456"/>
    <x:mergeCell ref="D1457:E1457"/>
    <x:mergeCell ref="F1457:G1457"/>
    <x:mergeCell ref="H1457:K1457"/>
    <x:mergeCell ref="D1458:E1458"/>
    <x:mergeCell ref="F1458:G1458"/>
    <x:mergeCell ref="H1458:K1458"/>
    <x:mergeCell ref="D1459:E1459"/>
    <x:mergeCell ref="F1459:G1459"/>
    <x:mergeCell ref="H1459:K1459"/>
    <x:mergeCell ref="D1460:E1460"/>
    <x:mergeCell ref="F1460:G1460"/>
    <x:mergeCell ref="H1460:K1460"/>
    <x:mergeCell ref="D1461:E1461"/>
    <x:mergeCell ref="F1461:G1461"/>
    <x:mergeCell ref="H1461:K1461"/>
    <x:mergeCell ref="D1462:E1462"/>
    <x:mergeCell ref="F1462:G1462"/>
    <x:mergeCell ref="H1462:K1462"/>
    <x:mergeCell ref="D1463:E1463"/>
    <x:mergeCell ref="F1463:G1463"/>
    <x:mergeCell ref="H1463:K1463"/>
    <x:mergeCell ref="D1464:E1464"/>
    <x:mergeCell ref="F1464:G1464"/>
    <x:mergeCell ref="H1464:K1464"/>
    <x:mergeCell ref="D1465:E1465"/>
    <x:mergeCell ref="F1465:G1465"/>
    <x:mergeCell ref="H1465:K1465"/>
    <x:mergeCell ref="D1466:E1466"/>
    <x:mergeCell ref="F1466:G1466"/>
    <x:mergeCell ref="H1466:K1466"/>
    <x:mergeCell ref="D1467:E1467"/>
    <x:mergeCell ref="F1467:G1467"/>
    <x:mergeCell ref="H1467:K1467"/>
    <x:mergeCell ref="D1468:E1468"/>
    <x:mergeCell ref="F1468:G1468"/>
    <x:mergeCell ref="H1468:K1468"/>
    <x:mergeCell ref="D1469:E1469"/>
    <x:mergeCell ref="F1469:G1469"/>
    <x:mergeCell ref="H1469:K1469"/>
    <x:mergeCell ref="D1470:E1470"/>
    <x:mergeCell ref="F1470:G1470"/>
    <x:mergeCell ref="H1470:K1470"/>
    <x:mergeCell ref="D1471:E1471"/>
    <x:mergeCell ref="F1471:G1471"/>
    <x:mergeCell ref="H1471:K1471"/>
    <x:mergeCell ref="D1472:E1472"/>
    <x:mergeCell ref="F1472:G1472"/>
    <x:mergeCell ref="H1472:K1472"/>
    <x:mergeCell ref="D1473:E1473"/>
    <x:mergeCell ref="F1473:G1473"/>
    <x:mergeCell ref="H1473:K1473"/>
    <x:mergeCell ref="D1474:E1474"/>
    <x:mergeCell ref="F1474:G1474"/>
    <x:mergeCell ref="H1474:K1474"/>
    <x:mergeCell ref="D1475:E1475"/>
    <x:mergeCell ref="F1475:G1475"/>
    <x:mergeCell ref="H1475:K1475"/>
    <x:mergeCell ref="D1476:E1476"/>
    <x:mergeCell ref="F1476:G1476"/>
    <x:mergeCell ref="H1476:K1476"/>
    <x:mergeCell ref="D1477:E1477"/>
    <x:mergeCell ref="F1477:G1477"/>
    <x:mergeCell ref="H1477:K1477"/>
    <x:mergeCell ref="D1478:E1478"/>
    <x:mergeCell ref="F1478:G1478"/>
    <x:mergeCell ref="H1478:K1478"/>
    <x:mergeCell ref="D1479:E1479"/>
    <x:mergeCell ref="F1479:G1479"/>
    <x:mergeCell ref="H1479:K1479"/>
    <x:mergeCell ref="D1480:E1480"/>
    <x:mergeCell ref="F1480:G1480"/>
    <x:mergeCell ref="H1480:K1480"/>
    <x:mergeCell ref="D1481:E1481"/>
    <x:mergeCell ref="F1481:G1481"/>
    <x:mergeCell ref="H1481:K1481"/>
    <x:mergeCell ref="D1482:E1482"/>
    <x:mergeCell ref="F1482:G1482"/>
    <x:mergeCell ref="H1482:K1482"/>
    <x:mergeCell ref="D1483:E1483"/>
    <x:mergeCell ref="F1483:G1483"/>
    <x:mergeCell ref="H1483:K1483"/>
    <x:mergeCell ref="D1484:E1484"/>
    <x:mergeCell ref="F1484:G1484"/>
    <x:mergeCell ref="H1484:K1484"/>
    <x:mergeCell ref="D1485:E1485"/>
    <x:mergeCell ref="F1485:G1485"/>
    <x:mergeCell ref="H1485:K1485"/>
    <x:mergeCell ref="D1486:E1486"/>
    <x:mergeCell ref="F1486:G1486"/>
    <x:mergeCell ref="H1486:K1486"/>
    <x:mergeCell ref="D1487:E1487"/>
    <x:mergeCell ref="F1487:G1487"/>
    <x:mergeCell ref="H1487:K1487"/>
    <x:mergeCell ref="D1488:E1488"/>
    <x:mergeCell ref="F1488:G1488"/>
    <x:mergeCell ref="H1488:K1488"/>
    <x:mergeCell ref="D1489:E1489"/>
    <x:mergeCell ref="F1489:G1489"/>
    <x:mergeCell ref="H1489:K1489"/>
    <x:mergeCell ref="D1490:E1490"/>
    <x:mergeCell ref="F1490:G1490"/>
    <x:mergeCell ref="H1490:K1490"/>
    <x:mergeCell ref="D1491:E1491"/>
    <x:mergeCell ref="F1491:G1491"/>
    <x:mergeCell ref="H1491:K1491"/>
    <x:mergeCell ref="D1492:E1492"/>
    <x:mergeCell ref="F1492:G1492"/>
    <x:mergeCell ref="H1492:K1492"/>
    <x:mergeCell ref="D1493:E1493"/>
    <x:mergeCell ref="F1493:G1493"/>
    <x:mergeCell ref="H1493:K1493"/>
    <x:mergeCell ref="D1494:E1494"/>
    <x:mergeCell ref="F1494:G1494"/>
    <x:mergeCell ref="H1494:K1494"/>
    <x:mergeCell ref="D1495:E1495"/>
    <x:mergeCell ref="F1495:G1495"/>
    <x:mergeCell ref="H1495:K1495"/>
    <x:mergeCell ref="D1496:E1496"/>
    <x:mergeCell ref="F1496:G1496"/>
    <x:mergeCell ref="H1496:K1496"/>
    <x:mergeCell ref="D1497:E1497"/>
    <x:mergeCell ref="F1497:G1497"/>
    <x:mergeCell ref="H1497:K1497"/>
    <x:mergeCell ref="D1498:E1498"/>
    <x:mergeCell ref="F1498:G1498"/>
    <x:mergeCell ref="H1498:K1498"/>
    <x:mergeCell ref="D1499:E1499"/>
    <x:mergeCell ref="F1499:G1499"/>
    <x:mergeCell ref="H1499:K1499"/>
    <x:mergeCell ref="D1500:E1500"/>
    <x:mergeCell ref="F1500:G1500"/>
    <x:mergeCell ref="H1500:K1500"/>
    <x:mergeCell ref="D1501:E1501"/>
    <x:mergeCell ref="F1501:G1501"/>
    <x:mergeCell ref="H1501:K1501"/>
    <x:mergeCell ref="D1502:E1502"/>
    <x:mergeCell ref="F1502:G1502"/>
    <x:mergeCell ref="H1502:K1502"/>
    <x:mergeCell ref="D1503:E1503"/>
    <x:mergeCell ref="F1503:G1503"/>
    <x:mergeCell ref="H1503:K1503"/>
    <x:mergeCell ref="D1504:E1504"/>
    <x:mergeCell ref="F1504:G1504"/>
    <x:mergeCell ref="H1504:K1504"/>
    <x:mergeCell ref="D1505:E1505"/>
    <x:mergeCell ref="F1505:G1505"/>
    <x:mergeCell ref="H1505:K1505"/>
    <x:mergeCell ref="D1506:E1506"/>
    <x:mergeCell ref="F1506:G1506"/>
    <x:mergeCell ref="H1506:K1506"/>
    <x:mergeCell ref="D1507:E1507"/>
    <x:mergeCell ref="F1507:G1507"/>
    <x:mergeCell ref="H1507:K1507"/>
    <x:mergeCell ref="D1508:E1508"/>
    <x:mergeCell ref="F1508:G1508"/>
    <x:mergeCell ref="H1508:K1508"/>
    <x:mergeCell ref="D1509:E1509"/>
    <x:mergeCell ref="F1509:G1509"/>
    <x:mergeCell ref="H1509:K1509"/>
    <x:mergeCell ref="D1510:E1510"/>
    <x:mergeCell ref="F1510:G1510"/>
    <x:mergeCell ref="H1510:K1510"/>
    <x:mergeCell ref="D1511:E1511"/>
    <x:mergeCell ref="F1511:G1511"/>
    <x:mergeCell ref="H1511:K1511"/>
    <x:mergeCell ref="D1512:E1512"/>
    <x:mergeCell ref="F1512:G1512"/>
    <x:mergeCell ref="H1512:K1512"/>
    <x:mergeCell ref="D1513:E1513"/>
    <x:mergeCell ref="F1513:G1513"/>
    <x:mergeCell ref="H1513:K1513"/>
    <x:mergeCell ref="D1514:E1514"/>
    <x:mergeCell ref="F1514:G1514"/>
    <x:mergeCell ref="H1514:K1514"/>
    <x:mergeCell ref="D1515:E1515"/>
    <x:mergeCell ref="F1515:G1515"/>
    <x:mergeCell ref="H1515:K1515"/>
    <x:mergeCell ref="D1516:E1516"/>
    <x:mergeCell ref="F1516:G1516"/>
    <x:mergeCell ref="H1516:K1516"/>
    <x:mergeCell ref="D1517:E1517"/>
    <x:mergeCell ref="F1517:G1517"/>
    <x:mergeCell ref="H1517:K1517"/>
    <x:mergeCell ref="D1518:E1518"/>
    <x:mergeCell ref="F1518:G1518"/>
    <x:mergeCell ref="H1518:K1518"/>
    <x:mergeCell ref="D1519:E1519"/>
    <x:mergeCell ref="F1519:G1519"/>
    <x:mergeCell ref="H1519:K1519"/>
    <x:mergeCell ref="D1520:E1520"/>
    <x:mergeCell ref="F1520:G1520"/>
    <x:mergeCell ref="H1520:K1520"/>
    <x:mergeCell ref="D1521:E1521"/>
    <x:mergeCell ref="F1521:G1521"/>
    <x:mergeCell ref="H1521:K1521"/>
    <x:mergeCell ref="D1522:E1522"/>
    <x:mergeCell ref="F1522:G1522"/>
    <x:mergeCell ref="H1522:K1522"/>
    <x:mergeCell ref="D1523:E1523"/>
    <x:mergeCell ref="F1523:G1523"/>
    <x:mergeCell ref="H1523:K1523"/>
    <x:mergeCell ref="D1524:E1524"/>
    <x:mergeCell ref="F1524:G1524"/>
    <x:mergeCell ref="H1524:K1524"/>
    <x:mergeCell ref="D1525:E1525"/>
    <x:mergeCell ref="F1525:G1525"/>
    <x:mergeCell ref="H1525:K1525"/>
    <x:mergeCell ref="D1526:E1526"/>
    <x:mergeCell ref="F1526:G1526"/>
    <x:mergeCell ref="H1526:K1526"/>
    <x:mergeCell ref="D1527:E1527"/>
    <x:mergeCell ref="F1527:G1527"/>
    <x:mergeCell ref="H1527:K1527"/>
    <x:mergeCell ref="D1528:E1528"/>
    <x:mergeCell ref="F1528:G1528"/>
    <x:mergeCell ref="H1528:K1528"/>
    <x:mergeCell ref="D1529:E1529"/>
    <x:mergeCell ref="F1529:G1529"/>
    <x:mergeCell ref="H1529:K1529"/>
    <x:mergeCell ref="D1530:E1530"/>
    <x:mergeCell ref="F1530:G1530"/>
    <x:mergeCell ref="H1530:K1530"/>
    <x:mergeCell ref="D1531:E1531"/>
    <x:mergeCell ref="F1531:G1531"/>
    <x:mergeCell ref="H1531:K1531"/>
    <x:mergeCell ref="D1532:E1532"/>
    <x:mergeCell ref="F1532:G1532"/>
    <x:mergeCell ref="H1532:K1532"/>
    <x:mergeCell ref="D1533:E1533"/>
    <x:mergeCell ref="F1533:G1533"/>
    <x:mergeCell ref="H1533:K1533"/>
    <x:mergeCell ref="D1534:E1534"/>
    <x:mergeCell ref="F1534:G1534"/>
    <x:mergeCell ref="H1534:K1534"/>
    <x:mergeCell ref="D1535:E1535"/>
    <x:mergeCell ref="F1535:G1535"/>
    <x:mergeCell ref="H1535:K1535"/>
    <x:mergeCell ref="D1536:E1536"/>
    <x:mergeCell ref="F1536:G1536"/>
    <x:mergeCell ref="H1536:K1536"/>
    <x:mergeCell ref="D1537:E1537"/>
    <x:mergeCell ref="F1537:G1537"/>
    <x:mergeCell ref="H1537:K1537"/>
    <x:mergeCell ref="D1538:E1538"/>
    <x:mergeCell ref="F1538:G1538"/>
    <x:mergeCell ref="H1538:K1538"/>
    <x:mergeCell ref="D1539:E1539"/>
    <x:mergeCell ref="F1539:G1539"/>
    <x:mergeCell ref="H1539:K1539"/>
    <x:mergeCell ref="D1540:E1540"/>
    <x:mergeCell ref="F1540:G1540"/>
    <x:mergeCell ref="H1540:K1540"/>
    <x:mergeCell ref="D1541:E1541"/>
    <x:mergeCell ref="F1541:G1541"/>
    <x:mergeCell ref="H1541:K1541"/>
    <x:mergeCell ref="D1542:E1542"/>
    <x:mergeCell ref="F1542:G1542"/>
    <x:mergeCell ref="H1542:K1542"/>
    <x:mergeCell ref="D1543:E1543"/>
    <x:mergeCell ref="F1543:G1543"/>
    <x:mergeCell ref="H1543:K1543"/>
    <x:mergeCell ref="D1544:E1544"/>
    <x:mergeCell ref="F1544:G1544"/>
    <x:mergeCell ref="H1544:K1544"/>
    <x:mergeCell ref="D1545:E1545"/>
    <x:mergeCell ref="F1545:G1545"/>
    <x:mergeCell ref="H1545:K1545"/>
    <x:mergeCell ref="D1546:E1546"/>
    <x:mergeCell ref="F1546:G1546"/>
    <x:mergeCell ref="H1546:K1546"/>
    <x:mergeCell ref="D1547:E1547"/>
    <x:mergeCell ref="F1547:G1547"/>
    <x:mergeCell ref="H1547:K1547"/>
    <x:mergeCell ref="D1548:E1548"/>
    <x:mergeCell ref="F1548:G1548"/>
    <x:mergeCell ref="H1548:K1548"/>
    <x:mergeCell ref="D1549:E1549"/>
    <x:mergeCell ref="F1549:G1549"/>
    <x:mergeCell ref="H1549:K1549"/>
    <x:mergeCell ref="D1550:E1550"/>
    <x:mergeCell ref="F1550:G1550"/>
    <x:mergeCell ref="H1550:K1550"/>
    <x:mergeCell ref="D1551:E1551"/>
    <x:mergeCell ref="F1551:G1551"/>
    <x:mergeCell ref="H1551:K1551"/>
    <x:mergeCell ref="D1552:E1552"/>
    <x:mergeCell ref="F1552:G1552"/>
    <x:mergeCell ref="H1552:K1552"/>
    <x:mergeCell ref="D1553:E1553"/>
    <x:mergeCell ref="F1553:G1553"/>
    <x:mergeCell ref="H1553:K1553"/>
    <x:mergeCell ref="D1554:E1554"/>
    <x:mergeCell ref="F1554:G1554"/>
    <x:mergeCell ref="H1554:K1554"/>
    <x:mergeCell ref="D1555:E1555"/>
    <x:mergeCell ref="F1555:G1555"/>
    <x:mergeCell ref="H1555:K1555"/>
    <x:mergeCell ref="D1556:E1556"/>
    <x:mergeCell ref="F1556:G1556"/>
    <x:mergeCell ref="H1556:K1556"/>
    <x:mergeCell ref="D1557:E1557"/>
    <x:mergeCell ref="F1557:G1557"/>
    <x:mergeCell ref="H1557:K1557"/>
    <x:mergeCell ref="D1558:E1558"/>
    <x:mergeCell ref="F1558:G1558"/>
    <x:mergeCell ref="H1558:K1558"/>
    <x:mergeCell ref="D1559:E1559"/>
    <x:mergeCell ref="F1559:G1559"/>
    <x:mergeCell ref="H1559:K1559"/>
    <x:mergeCell ref="D1560:E1560"/>
    <x:mergeCell ref="F1560:G1560"/>
    <x:mergeCell ref="H1560:K1560"/>
    <x:mergeCell ref="D1561:E1561"/>
    <x:mergeCell ref="F1561:G1561"/>
    <x:mergeCell ref="H1561:K1561"/>
    <x:mergeCell ref="D1562:E1562"/>
    <x:mergeCell ref="F1562:G1562"/>
    <x:mergeCell ref="H1562:K1562"/>
    <x:mergeCell ref="D1563:E1563"/>
    <x:mergeCell ref="F1563:G1563"/>
    <x:mergeCell ref="H1563:K1563"/>
    <x:mergeCell ref="D1564:E1564"/>
    <x:mergeCell ref="F1564:G1564"/>
    <x:mergeCell ref="H1564:K1564"/>
    <x:mergeCell ref="D1565:E1565"/>
    <x:mergeCell ref="F1565:G1565"/>
    <x:mergeCell ref="H1565:K1565"/>
    <x:mergeCell ref="D1566:E1566"/>
    <x:mergeCell ref="F1566:G1566"/>
    <x:mergeCell ref="H1566:K1566"/>
    <x:mergeCell ref="D1567:E1567"/>
    <x:mergeCell ref="F1567:G1567"/>
    <x:mergeCell ref="H1567:K1567"/>
    <x:mergeCell ref="D1568:E1568"/>
    <x:mergeCell ref="F1568:G1568"/>
    <x:mergeCell ref="H1568:K1568"/>
    <x:mergeCell ref="D1569:E1569"/>
    <x:mergeCell ref="F1569:G1569"/>
    <x:mergeCell ref="H1569:K1569"/>
    <x:mergeCell ref="D1570:E1570"/>
    <x:mergeCell ref="F1570:G1570"/>
    <x:mergeCell ref="H1570:K1570"/>
    <x:mergeCell ref="D1571:E1571"/>
    <x:mergeCell ref="F1571:G1571"/>
    <x:mergeCell ref="H1571:K1571"/>
    <x:mergeCell ref="D1572:E1572"/>
    <x:mergeCell ref="F1572:G1572"/>
    <x:mergeCell ref="H1572:K1572"/>
    <x:mergeCell ref="D1573:E1573"/>
    <x:mergeCell ref="F1573:G1573"/>
    <x:mergeCell ref="H1573:K1573"/>
    <x:mergeCell ref="D1574:E1574"/>
    <x:mergeCell ref="F1574:G1574"/>
    <x:mergeCell ref="H1574:K1574"/>
    <x:mergeCell ref="D1575:E1575"/>
    <x:mergeCell ref="F1575:G1575"/>
    <x:mergeCell ref="H1575:K1575"/>
    <x:mergeCell ref="D1576:E1576"/>
    <x:mergeCell ref="F1576:G1576"/>
    <x:mergeCell ref="H1576:K1576"/>
    <x:mergeCell ref="D1577:E1577"/>
    <x:mergeCell ref="F1577:G1577"/>
    <x:mergeCell ref="H1577:K1577"/>
    <x:mergeCell ref="D1578:E1578"/>
    <x:mergeCell ref="F1578:G1578"/>
    <x:mergeCell ref="H1578:K1578"/>
    <x:mergeCell ref="D1579:E1579"/>
    <x:mergeCell ref="F1579:G1579"/>
    <x:mergeCell ref="H1579:K1579"/>
    <x:mergeCell ref="D1580:E1580"/>
    <x:mergeCell ref="F1580:G1580"/>
    <x:mergeCell ref="H1580:K1580"/>
    <x:mergeCell ref="D1581:E1581"/>
    <x:mergeCell ref="F1581:G1581"/>
    <x:mergeCell ref="H1581:K1581"/>
    <x:mergeCell ref="D1582:E1582"/>
    <x:mergeCell ref="F1582:G1582"/>
    <x:mergeCell ref="H1582:K1582"/>
    <x:mergeCell ref="D1583:E1583"/>
    <x:mergeCell ref="F1583:G1583"/>
    <x:mergeCell ref="H1583:K1583"/>
    <x:mergeCell ref="D1584:E1584"/>
    <x:mergeCell ref="F1584:G1584"/>
    <x:mergeCell ref="H1584:K1584"/>
    <x:mergeCell ref="D1585:E1585"/>
    <x:mergeCell ref="F1585:G1585"/>
    <x:mergeCell ref="H1585:K1585"/>
    <x:mergeCell ref="D1586:E1586"/>
    <x:mergeCell ref="F1586:G1586"/>
    <x:mergeCell ref="H1586:K1586"/>
    <x:mergeCell ref="D1587:E1587"/>
    <x:mergeCell ref="F1587:G1587"/>
    <x:mergeCell ref="H1587:K1587"/>
    <x:mergeCell ref="D1588:E1588"/>
    <x:mergeCell ref="F1588:G1588"/>
    <x:mergeCell ref="H1588:K1588"/>
    <x:mergeCell ref="D1589:E1589"/>
    <x:mergeCell ref="F1589:G1589"/>
    <x:mergeCell ref="H1589:K1589"/>
  </x:mergeCells>
  <x:conditionalFormatting sqref="L22:L46">
    <x:cfRule type="expression" dxfId="13" priority="1">
      <x:formula>L22="Complete"</x:formula>
    </x:cfRule>
  </x:conditionalFormatting>
  <x:conditionalFormatting sqref="B22:N1589">
    <x:cfRule type="expression" dxfId="14" priority="2">
      <x:formula>AND(ISNUMBER($P22),MOD(ROW(),2)=0)</x:formula>
    </x:cfRule>
  </x:conditionalFormatting>
  <x:conditionalFormatting sqref="L22:L1589">
    <x:cfRule type="expression" dxfId="15" priority="3">
      <x:formula>L22="Complete"</x:formula>
    </x:cfRule>
  </x:conditionalFormatting>
  <x:dataValidations count="5">
    <x:dataValidation type="list" sqref="B7">
      <x:formula1>TrackerYears</x:formula1>
    </x:dataValidation>
    <x:dataValidation type="list" sqref="D7">
      <x:formula1>"All,Cycle 1,Cycle 2,Cycle 3,Cycle 4"</x:formula1>
    </x:dataValidation>
    <x:dataValidation type="list" sqref="F7">
      <x:formula1>"All,Phase 1,Phase 2,Phase 3"</x:formula1>
    </x:dataValidation>
    <x:dataValidation type="list" sqref="H7">
      <x:formula1>"All,Auto,Cards,CSBBO - Banking Ops,CSBBO - Customer Service,FCM,PLL,Retail Services"</x:formula1>
    </x:dataValidation>
    <x:dataValidation type="list" sqref="K7">
      <x:formula1>"All,Data &amp; Reporting,Research &amp; Analysis,Design &amp; Insights"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866B0"/>
    <x:outlinePr summaryBelow="0"/>
  </x:sheetPr>
  <x:sheetViews>
    <x:sheetView showGridLines="0" workbookViewId="0" showOutlineSymbols="1">
      <x:pane xSplit="2" ySplit="9" topLeftCell="C10" activePane="bottomRight" state="frozen"/>
    </x:sheetView>
  </x:sheetViews>
  <x:sheetFormatPr defaultRowHeight="15" outlineLevelRow="1"/>
  <x:cols>
    <x:col min="1" max="1" width="8" hidden="0" customWidth="1"/>
    <x:col min="2" max="2" width="12" hidden="0" customWidth="1"/>
    <x:col min="3" max="3" width="12" hidden="0" customWidth="1"/>
    <x:col min="4" max="4" width="28" hidden="0" customWidth="1"/>
    <x:col min="5" max="5" width="21" hidden="0" customWidth="1"/>
    <x:col min="6" max="6" width="80" hidden="0" customWidth="1"/>
    <x:col min="7" max="7" width="22" hidden="0" customWidth="1"/>
    <x:col min="8" max="8" width="14" hidden="0" customWidth="1"/>
    <x:col min="9" max="9" width="14" hidden="0" customWidth="1"/>
    <x:col min="10" max="10" width="16" hidden="0" customWidth="1"/>
    <x:col min="11" max="11" width="42" hidden="0" customWidth="1"/>
    <x:col min="12" max="12" width="22" hidden="0" customWidth="1"/>
    <x:col min="13" max="13" width="13" hidden="1" customWidth="1"/>
    <x:col min="14" max="14" width="30" hidden="1" customWidth="1"/>
    <x:col min="15" max="15" width="12" hidden="1" customWidth="1"/>
    <x:col min="16" max="16" width="30" hidden="1" customWidth="1"/>
    <x:col min="17" max="17" width="12" hidden="1" customWidth="1"/>
    <x:col min="18" max="18" width="12" hidden="1" customWidth="1"/>
    <x:col min="19" max="19" width="12" hidden="1" customWidth="1"/>
  </x:cols>
  <x:sheetData>
    <x:row r="1" ht="29" customHeight="1">
      <x:c r="A1" s="19" t="str">
        <x:f>HYPERLINK("#'Dashboard'!A1","Dashboard")</x:f>
        <x:v>Dashboard</x:v>
      </x:c>
      <x:c r="B1" s="19"/>
      <x:c r="C1" s="21" t="str">
        <x:f>HYPERLINK("#'Data &amp; Reporting'!A1","Data &amp; Reporting")</x:f>
        <x:v>Data &amp; Reporting</x:v>
      </x:c>
      <x:c r="D1" s="21"/>
      <x:c r="E1" s="19" t="str">
        <x:f>HYPERLINK("#'Research &amp; Analysis'!A1","Research &amp; Analysis")</x:f>
        <x:v>Research &amp; Analysis</x:v>
      </x:c>
      <x:c r="F1" s="19"/>
      <x:c r="G1" s="19" t="str">
        <x:f>HYPERLINK("#'Design &amp; Insights'!A1","Design &amp; Insights")</x:f>
        <x:v>Design &amp; Insights</x:v>
      </x:c>
      <x:c r="H1" s="19"/>
      <x:c r="I1" s="19"/>
      <x:c r="J1" s="19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30" customHeight="1">
      <x:c r="A3" s="4" t="str">
        <x:v>Data &amp; Reporting tasks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2" t="str">
        <x:v>Filter Cycle, Phase, and Business Group in row 9. Check Done and update the amber fields below.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2" customHeight="1">
      <x:c r="A5" s="2" t="str">
        <x:v>Task 3 checklist items are indented directly below the parent. Use the outline buttons to collapse or expand them.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22" customHeight="1">
      <x:c r="A7" s="2" t="str">
        <x:v>Visible parent tasks</x:v>
      </x:c>
      <x:c r="B7" s="2"/>
      <x:c r="C7" s="2" t="n">
        <x:f>SUBTOTAL(109,Q10:Q737)</x:f>
        <x:v>364</x:v>
      </x:c>
      <x:c r="D7" s="2" t="str">
        <x:v>Visible complete</x:v>
      </x:c>
      <x:c r="E7" s="2" t="n">
        <x:f>SUMPRODUCT(Q10:Q737,O10:O737,S10:S737)</x:f>
        <x:v>0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</x:row>
    <x:row r="8" ht="22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</x:row>
    <x:row r="9" ht="32" customHeight="1">
      <x:c r="A9" s="26" t="str">
        <x:v>Done</x:v>
      </x:c>
      <x:c r="B9" s="26" t="str">
        <x:v>Cycle</x:v>
      </x:c>
      <x:c r="C9" s="26" t="str">
        <x:v>Phase</x:v>
      </x:c>
      <x:c r="D9" s="26" t="str">
        <x:v>Business Group</x:v>
      </x:c>
      <x:c r="E9" s="26" t="str">
        <x:v>Task ID</x:v>
      </x:c>
      <x:c r="F9" s="26" t="str">
        <x:v>Task Description / Checklist</x:v>
      </x:c>
      <x:c r="G9" s="26" t="str">
        <x:v>Assigned To</x:v>
      </x:c>
      <x:c r="H9" s="26" t="str">
        <x:v>Start Date</x:v>
      </x:c>
      <x:c r="I9" s="26" t="str">
        <x:v>Due Date</x:v>
      </x:c>
      <x:c r="J9" s="26" t="str">
        <x:v>Completed Date</x:v>
      </x:c>
      <x:c r="K9" s="26" t="str">
        <x:v>Comments</x:v>
      </x:c>
      <x:c r="L9" s="26" t="str">
        <x:v>Status</x:v>
      </x:c>
      <x:c r="M9" s="26" t="str">
        <x:v>Row Type</x:v>
      </x:c>
      <x:c r="N9" s="26" t="str">
        <x:v>Cycle Record ID</x:v>
      </x:c>
      <x:c r="O9" s="26" t="str">
        <x:v>Complete Flag</x:v>
      </x:c>
      <x:c r="P9" s="26" t="str">
        <x:v>Parent Cycle Record ID</x:v>
      </x:c>
      <x:c r="Q9" s="26" t="str">
        <x:v>Parent Flag</x:v>
      </x:c>
      <x:c r="R9" s="26" t="str">
        <x:v>Checked Flag</x:v>
      </x:c>
      <x:c r="S9" s="26" t="str">
        <x:v>Visible</x:v>
      </x:c>
    </x:row>
    <x:row r="10" ht="42" customHeight="1">
      <x:c r="A10" s="28" t="b">
        <x:v>0</x:v>
      </x:c>
      <x:c r="B10" s="2" t="str">
        <x:v>Cycle 1</x:v>
      </x:c>
      <x:c r="C10" s="2" t="str">
        <x:v>Phase 1</x:v>
      </x:c>
      <x:c r="D10" s="2" t="str">
        <x:v>Auto</x:v>
      </x:c>
      <x:c r="E10" s="56" t="str">
        <x:v>DR.AU.1.1</x:v>
      </x:c>
      <x:c r="F10" s="14" t="str">
        <x:v>Review data sources 3 weeks prior to Cycle start (Complaints, Gen AI, Loudspeaker, NPS, etc.)</x:v>
      </x:c>
      <x:c r="G10" s="5"/>
      <x:c r="H10" s="11"/>
      <x:c r="I10" s="11" t="n">
        <x:f>'Cycles &amp; Guide'!$C$10-21</x:f>
        <x:v>46002</x:v>
      </x:c>
      <x:c r="J10" s="11"/>
      <x:c r="K10" s="29"/>
      <x:c r="L10" s="2" t="str">
        <x:f>IF(O10=1,"Complete",IF(A10,"Checklist open",IF(H10&lt;&gt;"","In progress","Not started")))</x:f>
        <x:v>Not started</x:v>
      </x:c>
      <x:c r="M10" s="2" t="str">
        <x:v>Task</x:v>
      </x:c>
      <x:c r="N10" s="2" t="str">
        <x:v>DR.AU.1.1.2026.CY1</x:v>
      </x:c>
      <x:c r="O10" s="2" t="n">
        <x:f>R10</x:f>
        <x:v>0</x:v>
      </x:c>
      <x:c r="P10" s="2"/>
      <x:c r="Q10" s="2" t="n">
        <x:v>1</x:v>
      </x:c>
      <x:c r="R10" s="2" t="n">
        <x:f>IF(A10,1,0)</x:f>
        <x:v>0</x:v>
      </x:c>
      <x:c r="S10" s="2" t="n">
        <x:f>SUBTOTAL(103,N10)</x:f>
        <x:v>1</x:v>
      </x:c>
    </x:row>
    <x:row r="11" ht="42" customHeight="1">
      <x:c r="A11" s="28" t="b">
        <x:v>0</x:v>
      </x:c>
      <x:c r="B11" s="2" t="str">
        <x:v>Cycle 1</x:v>
      </x:c>
      <x:c r="C11" s="2" t="str">
        <x:v>Phase 1</x:v>
      </x:c>
      <x:c r="D11" s="2" t="str">
        <x:v>Auto</x:v>
      </x:c>
      <x:c r="E11" s="56" t="str">
        <x:v>DR.AU.1.2</x:v>
      </x:c>
      <x:c r="F11" s="14" t="str">
        <x:v>Identify two potential topics for the upcoming Cycle</x:v>
      </x:c>
      <x:c r="G11" s="5"/>
      <x:c r="H11" s="11"/>
      <x:c r="I11" s="11" t="n">
        <x:f>'Cycles &amp; Guide'!$D$10</x:f>
        <x:v>46112</x:v>
      </x:c>
      <x:c r="J11" s="11"/>
      <x:c r="K11" s="29"/>
      <x:c r="L11" s="2" t="str">
        <x:f>IF(O11=1,"Complete",IF(A11,"Checklist open",IF(H11&lt;&gt;"","In progress","Not started")))</x:f>
        <x:v>Not started</x:v>
      </x:c>
      <x:c r="M11" s="2" t="str">
        <x:v>Task</x:v>
      </x:c>
      <x:c r="N11" s="2" t="str">
        <x:v>DR.AU.1.2.2026.CY1</x:v>
      </x:c>
      <x:c r="O11" s="2" t="n">
        <x:f>R11</x:f>
        <x:v>0</x:v>
      </x:c>
      <x:c r="P11" s="2"/>
      <x:c r="Q11" s="2" t="n">
        <x:v>1</x:v>
      </x:c>
      <x:c r="R11" s="2" t="n">
        <x:f>IF(A11,1,0)</x:f>
        <x:v>0</x:v>
      </x:c>
      <x:c r="S11" s="2" t="n">
        <x:f>SUBTOTAL(103,N11)</x:f>
        <x:v>1</x:v>
      </x:c>
    </x:row>
    <x:row r="12" ht="42" customHeight="1">
      <x:c r="A12" s="28" t="b">
        <x:v>0</x:v>
      </x:c>
      <x:c r="B12" s="2" t="str">
        <x:v>Cycle 1</x:v>
      </x:c>
      <x:c r="C12" s="2" t="str">
        <x:v>Phase 1</x:v>
      </x:c>
      <x:c r="D12" s="2" t="str">
        <x:v>Auto</x:v>
      </x:c>
      <x:c r="E12" s="68" t="str">
        <x:v>DR.AU.1.3</x:v>
      </x:c>
      <x:c r="F12" s="33" t="str">
        <x:v>Extract data for both potential topics, ensuring all checklist items below are included/completed</x:v>
      </x:c>
      <x:c r="G12" s="5"/>
      <x:c r="H12" s="11"/>
      <x:c r="I12" s="11" t="n">
        <x:f>'Cycles &amp; Guide'!$D$10</x:f>
        <x:v>46112</x:v>
      </x:c>
      <x:c r="J12" s="11"/>
      <x:c r="K12" s="29"/>
      <x:c r="L12" s="2" t="str">
        <x:f>IF(O12=1,"Complete",IF(A12,"Checklist open",IF(H12&lt;&gt;"","In progress","Not started")))</x:f>
        <x:v>Not started</x:v>
      </x:c>
      <x:c r="M12" s="2" t="str">
        <x:v>Task</x:v>
      </x:c>
      <x:c r="N12" s="2" t="str">
        <x:v>DR.AU.1.3.2026.CY1</x:v>
      </x:c>
      <x:c r="O12" s="2" t="n">
        <x:f>IF(A12,IF(SUMIFS($R$10:$R$737,$P$10:$P$737,N12)=13,1,0),0)</x:f>
        <x:v>0</x:v>
      </x:c>
      <x:c r="P12" s="2"/>
      <x:c r="Q12" s="2" t="n">
        <x:v>1</x:v>
      </x:c>
      <x:c r="R12" s="2" t="n">
        <x:f>IF(A12,1,0)</x:f>
        <x:v>0</x:v>
      </x:c>
      <x:c r="S12" s="2" t="n">
        <x:f>SUBTOTAL(103,N12)</x:f>
        <x:v>1</x:v>
      </x:c>
    </x:row>
    <x:row r="13" ht="31" customHeight="1" outlineLevel="1">
      <x:c r="A13" s="28" t="b">
        <x:v>0</x:v>
      </x:c>
      <x:c r="B13" s="36" t="str">
        <x:v>Cycle 1</x:v>
      </x:c>
      <x:c r="C13" s="36" t="str">
        <x:v>Phase 1</x:v>
      </x:c>
      <x:c r="D13" s="36" t="str">
        <x:v>Auto</x:v>
      </x:c>
      <x:c r="E13" s="69" t="str">
        <x:v>DR.AU.1.3.C01</x:v>
      </x:c>
      <x:c r="F13" s="37" t="str">
        <x:v>    Document date range extracted</x:v>
      </x:c>
      <x:c r="G13" s="5"/>
      <x:c r="H13" s="11"/>
      <x:c r="I13" s="11"/>
      <x:c r="J13" s="11"/>
      <x:c r="K13" s="29"/>
      <x:c r="L13" s="2" t="str">
        <x:f>IF(A13,"Complete","Open check")</x:f>
        <x:v>Open check</x:v>
      </x:c>
      <x:c r="M13" s="2" t="str">
        <x:v>Checklist</x:v>
      </x:c>
      <x:c r="N13" s="2" t="str">
        <x:v>DR.AU.1.3.C01.2026.CY1</x:v>
      </x:c>
      <x:c r="O13" s="2" t="n">
        <x:f>R13</x:f>
        <x:v>0</x:v>
      </x:c>
      <x:c r="P13" s="2" t="str">
        <x:v>DR.AU.1.3.2026.CY1</x:v>
      </x:c>
      <x:c r="Q13" s="2" t="n">
        <x:v>0</x:v>
      </x:c>
      <x:c r="R13" s="2" t="n">
        <x:f>IF(A13,1,0)</x:f>
        <x:v>0</x:v>
      </x:c>
      <x:c r="S13" s="2" t="n">
        <x:f>SUBTOTAL(103,N13)</x:f>
        <x:v>1</x:v>
      </x:c>
    </x:row>
    <x:row r="14" ht="31" customHeight="1" outlineLevel="1">
      <x:c r="A14" s="28" t="b">
        <x:v>0</x:v>
      </x:c>
      <x:c r="B14" s="36" t="str">
        <x:v>Cycle 1</x:v>
      </x:c>
      <x:c r="C14" s="36" t="str">
        <x:v>Phase 1</x:v>
      </x:c>
      <x:c r="D14" s="36" t="str">
        <x:v>Auto</x:v>
      </x:c>
      <x:c r="E14" s="69" t="str">
        <x:v>DR.AU.1.3.C02</x:v>
      </x:c>
      <x:c r="F14" s="37" t="str">
        <x:v>    Document date of data pull</x:v>
      </x:c>
      <x:c r="G14" s="5"/>
      <x:c r="H14" s="11"/>
      <x:c r="I14" s="11"/>
      <x:c r="J14" s="11"/>
      <x:c r="K14" s="29"/>
      <x:c r="L14" s="2" t="str">
        <x:f>IF(A14,"Complete","Open check")</x:f>
        <x:v>Open check</x:v>
      </x:c>
      <x:c r="M14" s="2" t="str">
        <x:v>Checklist</x:v>
      </x:c>
      <x:c r="N14" s="2" t="str">
        <x:v>DR.AU.1.3.C02.2026.CY1</x:v>
      </x:c>
      <x:c r="O14" s="2" t="n">
        <x:f>R14</x:f>
        <x:v>0</x:v>
      </x:c>
      <x:c r="P14" s="2" t="str">
        <x:v>DR.AU.1.3.2026.CY1</x:v>
      </x:c>
      <x:c r="Q14" s="2" t="n">
        <x:v>0</x:v>
      </x:c>
      <x:c r="R14" s="2" t="n">
        <x:f>IF(A14,1,0)</x:f>
        <x:v>0</x:v>
      </x:c>
      <x:c r="S14" s="2" t="n">
        <x:f>SUBTOTAL(103,N14)</x:f>
        <x:v>1</x:v>
      </x:c>
    </x:row>
    <x:row r="15" ht="31" customHeight="1" outlineLevel="1">
      <x:c r="A15" s="28" t="b">
        <x:v>0</x:v>
      </x:c>
      <x:c r="B15" s="36" t="str">
        <x:v>Cycle 1</x:v>
      </x:c>
      <x:c r="C15" s="36" t="str">
        <x:v>Phase 1</x:v>
      </x:c>
      <x:c r="D15" s="36" t="str">
        <x:v>Auto</x:v>
      </x:c>
      <x:c r="E15" s="69" t="str">
        <x:v>DR.AU.1.3.C03</x:v>
      </x:c>
      <x:c r="F15" s="37" t="str">
        <x:v>    Document population details</x:v>
      </x:c>
      <x:c r="G15" s="5"/>
      <x:c r="H15" s="11"/>
      <x:c r="I15" s="11"/>
      <x:c r="J15" s="11"/>
      <x:c r="K15" s="29"/>
      <x:c r="L15" s="2" t="str">
        <x:f>IF(A15,"Complete","Open check")</x:f>
        <x:v>Open check</x:v>
      </x:c>
      <x:c r="M15" s="2" t="str">
        <x:v>Checklist</x:v>
      </x:c>
      <x:c r="N15" s="2" t="str">
        <x:v>DR.AU.1.3.C03.2026.CY1</x:v>
      </x:c>
      <x:c r="O15" s="2" t="n">
        <x:f>R15</x:f>
        <x:v>0</x:v>
      </x:c>
      <x:c r="P15" s="2" t="str">
        <x:v>DR.AU.1.3.2026.CY1</x:v>
      </x:c>
      <x:c r="Q15" s="2" t="n">
        <x:v>0</x:v>
      </x:c>
      <x:c r="R15" s="2" t="n">
        <x:f>IF(A15,1,0)</x:f>
        <x:v>0</x:v>
      </x:c>
      <x:c r="S15" s="2" t="n">
        <x:f>SUBTOTAL(103,N15)</x:f>
        <x:v>1</x:v>
      </x:c>
    </x:row>
    <x:row r="16" ht="31" customHeight="1" outlineLevel="1">
      <x:c r="A16" s="28" t="b">
        <x:v>0</x:v>
      </x:c>
      <x:c r="B16" s="36" t="str">
        <x:v>Cycle 1</x:v>
      </x:c>
      <x:c r="C16" s="36" t="str">
        <x:v>Phase 1</x:v>
      </x:c>
      <x:c r="D16" s="36" t="str">
        <x:v>Auto</x:v>
      </x:c>
      <x:c r="E16" s="69" t="str">
        <x:v>DR.AU.1.3.C04</x:v>
      </x:c>
      <x:c r="F16" s="37" t="str">
        <x:v>    Validate no data is missing</x:v>
      </x:c>
      <x:c r="G16" s="5"/>
      <x:c r="H16" s="11"/>
      <x:c r="I16" s="11"/>
      <x:c r="J16" s="11"/>
      <x:c r="K16" s="29"/>
      <x:c r="L16" s="2" t="str">
        <x:f>IF(A16,"Complete","Open check")</x:f>
        <x:v>Open check</x:v>
      </x:c>
      <x:c r="M16" s="2" t="str">
        <x:v>Checklist</x:v>
      </x:c>
      <x:c r="N16" s="2" t="str">
        <x:v>DR.AU.1.3.C04.2026.CY1</x:v>
      </x:c>
      <x:c r="O16" s="2" t="n">
        <x:f>R16</x:f>
        <x:v>0</x:v>
      </x:c>
      <x:c r="P16" s="2" t="str">
        <x:v>DR.AU.1.3.2026.CY1</x:v>
      </x:c>
      <x:c r="Q16" s="2" t="n">
        <x:v>0</x:v>
      </x:c>
      <x:c r="R16" s="2" t="n">
        <x:f>IF(A16,1,0)</x:f>
        <x:v>0</x:v>
      </x:c>
      <x:c r="S16" s="2" t="n">
        <x:f>SUBTOTAL(103,N16)</x:f>
        <x:v>1</x:v>
      </x:c>
    </x:row>
    <x:row r="17" ht="31" customHeight="1" outlineLevel="1">
      <x:c r="A17" s="28" t="b">
        <x:v>0</x:v>
      </x:c>
      <x:c r="B17" s="36" t="str">
        <x:v>Cycle 1</x:v>
      </x:c>
      <x:c r="C17" s="36" t="str">
        <x:v>Phase 1</x:v>
      </x:c>
      <x:c r="D17" s="36" t="str">
        <x:v>Auto</x:v>
      </x:c>
      <x:c r="E17" s="69" t="str">
        <x:v>DR.AU.1.3.C05</x:v>
      </x:c>
      <x:c r="F17" s="37" t="str">
        <x:v>    Validate accuracy of data</x:v>
      </x:c>
      <x:c r="G17" s="5"/>
      <x:c r="H17" s="11"/>
      <x:c r="I17" s="11"/>
      <x:c r="J17" s="11"/>
      <x:c r="K17" s="29"/>
      <x:c r="L17" s="2" t="str">
        <x:f>IF(A17,"Complete","Open check")</x:f>
        <x:v>Open check</x:v>
      </x:c>
      <x:c r="M17" s="2" t="str">
        <x:v>Checklist</x:v>
      </x:c>
      <x:c r="N17" s="2" t="str">
        <x:v>DR.AU.1.3.C05.2026.CY1</x:v>
      </x:c>
      <x:c r="O17" s="2" t="n">
        <x:f>R17</x:f>
        <x:v>0</x:v>
      </x:c>
      <x:c r="P17" s="2" t="str">
        <x:v>DR.AU.1.3.2026.CY1</x:v>
      </x:c>
      <x:c r="Q17" s="2" t="n">
        <x:v>0</x:v>
      </x:c>
      <x:c r="R17" s="2" t="n">
        <x:f>IF(A17,1,0)</x:f>
        <x:v>0</x:v>
      </x:c>
      <x:c r="S17" s="2" t="n">
        <x:f>SUBTOTAL(103,N17)</x:f>
        <x:v>1</x:v>
      </x:c>
    </x:row>
    <x:row r="18" ht="31" customHeight="1" outlineLevel="1">
      <x:c r="A18" s="28" t="b">
        <x:v>0</x:v>
      </x:c>
      <x:c r="B18" s="36" t="str">
        <x:v>Cycle 1</x:v>
      </x:c>
      <x:c r="C18" s="36" t="str">
        <x:v>Phase 1</x:v>
      </x:c>
      <x:c r="D18" s="36" t="str">
        <x:v>Auto</x:v>
      </x:c>
      <x:c r="E18" s="69" t="str">
        <x:v>DR.AU.1.3.C06</x:v>
      </x:c>
      <x:c r="F18" s="37" t="str">
        <x:v>    Validate no duplicate data is provided</x:v>
      </x:c>
      <x:c r="G18" s="5"/>
      <x:c r="H18" s="11"/>
      <x:c r="I18" s="11"/>
      <x:c r="J18" s="11"/>
      <x:c r="K18" s="29"/>
      <x:c r="L18" s="2" t="str">
        <x:f>IF(A18,"Complete","Open check")</x:f>
        <x:v>Open check</x:v>
      </x:c>
      <x:c r="M18" s="2" t="str">
        <x:v>Checklist</x:v>
      </x:c>
      <x:c r="N18" s="2" t="str">
        <x:v>DR.AU.1.3.C06.2026.CY1</x:v>
      </x:c>
      <x:c r="O18" s="2" t="n">
        <x:f>R18</x:f>
        <x:v>0</x:v>
      </x:c>
      <x:c r="P18" s="2" t="str">
        <x:v>DR.AU.1.3.2026.CY1</x:v>
      </x:c>
      <x:c r="Q18" s="2" t="n">
        <x:v>0</x:v>
      </x:c>
      <x:c r="R18" s="2" t="n">
        <x:f>IF(A18,1,0)</x:f>
        <x:v>0</x:v>
      </x:c>
      <x:c r="S18" s="2" t="n">
        <x:f>SUBTOTAL(103,N18)</x:f>
        <x:v>1</x:v>
      </x:c>
    </x:row>
    <x:row r="19" ht="31" customHeight="1" outlineLevel="1">
      <x:c r="A19" s="28" t="b">
        <x:v>0</x:v>
      </x:c>
      <x:c r="B19" s="36" t="str">
        <x:v>Cycle 1</x:v>
      </x:c>
      <x:c r="C19" s="36" t="str">
        <x:v>Phase 1</x:v>
      </x:c>
      <x:c r="D19" s="36" t="str">
        <x:v>Auto</x:v>
      </x:c>
      <x:c r="E19" s="69" t="str">
        <x:v>DR.AU.1.3.C07</x:v>
      </x:c>
      <x:c r="F19" s="37" t="str">
        <x:v>    Document any data exclusions along with justification (as needed)</x:v>
      </x:c>
      <x:c r="G19" s="5"/>
      <x:c r="H19" s="11"/>
      <x:c r="I19" s="11"/>
      <x:c r="J19" s="11"/>
      <x:c r="K19" s="29"/>
      <x:c r="L19" s="2" t="str">
        <x:f>IF(A19,"Complete","Open check")</x:f>
        <x:v>Open check</x:v>
      </x:c>
      <x:c r="M19" s="2" t="str">
        <x:v>Checklist</x:v>
      </x:c>
      <x:c r="N19" s="2" t="str">
        <x:v>DR.AU.1.3.C07.2026.CY1</x:v>
      </x:c>
      <x:c r="O19" s="2" t="n">
        <x:f>R19</x:f>
        <x:v>0</x:v>
      </x:c>
      <x:c r="P19" s="2" t="str">
        <x:v>DR.AU.1.3.2026.CY1</x:v>
      </x:c>
      <x:c r="Q19" s="2" t="n">
        <x:v>0</x:v>
      </x:c>
      <x:c r="R19" s="2" t="n">
        <x:f>IF(A19,1,0)</x:f>
        <x:v>0</x:v>
      </x:c>
      <x:c r="S19" s="2" t="n">
        <x:f>SUBTOTAL(103,N19)</x:f>
        <x:v>1</x:v>
      </x:c>
    </x:row>
    <x:row r="20" ht="31" customHeight="1" outlineLevel="1">
      <x:c r="A20" s="28" t="b">
        <x:v>0</x:v>
      </x:c>
      <x:c r="B20" s="36" t="str">
        <x:v>Cycle 1</x:v>
      </x:c>
      <x:c r="C20" s="36" t="str">
        <x:v>Phase 1</x:v>
      </x:c>
      <x:c r="D20" s="36" t="str">
        <x:v>Auto</x:v>
      </x:c>
      <x:c r="E20" s="69" t="str">
        <x:v>DR.AU.1.3.C08</x:v>
      </x:c>
      <x:c r="F20" s="37" t="str">
        <x:v>    Document any assumptions made with the data (as needed)</x:v>
      </x:c>
      <x:c r="G20" s="5"/>
      <x:c r="H20" s="11"/>
      <x:c r="I20" s="11"/>
      <x:c r="J20" s="11"/>
      <x:c r="K20" s="29"/>
      <x:c r="L20" s="2" t="str">
        <x:f>IF(A20,"Complete","Open check")</x:f>
        <x:v>Open check</x:v>
      </x:c>
      <x:c r="M20" s="2" t="str">
        <x:v>Checklist</x:v>
      </x:c>
      <x:c r="N20" s="2" t="str">
        <x:v>DR.AU.1.3.C08.2026.CY1</x:v>
      </x:c>
      <x:c r="O20" s="2" t="n">
        <x:f>R20</x:f>
        <x:v>0</x:v>
      </x:c>
      <x:c r="P20" s="2" t="str">
        <x:v>DR.AU.1.3.2026.CY1</x:v>
      </x:c>
      <x:c r="Q20" s="2" t="n">
        <x:v>0</x:v>
      </x:c>
      <x:c r="R20" s="2" t="n">
        <x:f>IF(A20,1,0)</x:f>
        <x:v>0</x:v>
      </x:c>
      <x:c r="S20" s="2" t="n">
        <x:f>SUBTOTAL(103,N20)</x:f>
        <x:v>1</x:v>
      </x:c>
    </x:row>
    <x:row r="21" ht="31" customHeight="1" outlineLevel="1">
      <x:c r="A21" s="28" t="b">
        <x:v>0</x:v>
      </x:c>
      <x:c r="B21" s="36" t="str">
        <x:v>Cycle 1</x:v>
      </x:c>
      <x:c r="C21" s="36" t="str">
        <x:v>Phase 1</x:v>
      </x:c>
      <x:c r="D21" s="36" t="str">
        <x:v>Auto</x:v>
      </x:c>
      <x:c r="E21" s="69" t="str">
        <x:v>DR.AU.1.3.C09</x:v>
      </x:c>
      <x:c r="F21" s="37" t="str">
        <x:v>    Document any data limitations or constraints clearly (as needed)</x:v>
      </x:c>
      <x:c r="G21" s="5"/>
      <x:c r="H21" s="11"/>
      <x:c r="I21" s="11"/>
      <x:c r="J21" s="11"/>
      <x:c r="K21" s="29"/>
      <x:c r="L21" s="2" t="str">
        <x:f>IF(A21,"Complete","Open check")</x:f>
        <x:v>Open check</x:v>
      </x:c>
      <x:c r="M21" s="2" t="str">
        <x:v>Checklist</x:v>
      </x:c>
      <x:c r="N21" s="2" t="str">
        <x:v>DR.AU.1.3.C09.2026.CY1</x:v>
      </x:c>
      <x:c r="O21" s="2" t="n">
        <x:f>R21</x:f>
        <x:v>0</x:v>
      </x:c>
      <x:c r="P21" s="2" t="str">
        <x:v>DR.AU.1.3.2026.CY1</x:v>
      </x:c>
      <x:c r="Q21" s="2" t="n">
        <x:v>0</x:v>
      </x:c>
      <x:c r="R21" s="2" t="n">
        <x:f>IF(A21,1,0)</x:f>
        <x:v>0</x:v>
      </x:c>
      <x:c r="S21" s="2" t="n">
        <x:f>SUBTOTAL(103,N21)</x:f>
        <x:v>1</x:v>
      </x:c>
    </x:row>
    <x:row r="22" ht="31" customHeight="1" outlineLevel="1">
      <x:c r="A22" s="28" t="b">
        <x:v>0</x:v>
      </x:c>
      <x:c r="B22" s="36" t="str">
        <x:v>Cycle 1</x:v>
      </x:c>
      <x:c r="C22" s="36" t="str">
        <x:v>Phase 1</x:v>
      </x:c>
      <x:c r="D22" s="36" t="str">
        <x:v>Auto</x:v>
      </x:c>
      <x:c r="E22" s="69" t="str">
        <x:v>DR.AU.1.3.C10</x:v>
      </x:c>
      <x:c r="F22" s="37" t="str">
        <x:v>    Document data dictionary or field definitions for columns/rows</x:v>
      </x:c>
      <x:c r="G22" s="5"/>
      <x:c r="H22" s="11"/>
      <x:c r="I22" s="11"/>
      <x:c r="J22" s="11"/>
      <x:c r="K22" s="29"/>
      <x:c r="L22" s="2" t="str">
        <x:f>IF(A22,"Complete","Open check")</x:f>
        <x:v>Open check</x:v>
      </x:c>
      <x:c r="M22" s="2" t="str">
        <x:v>Checklist</x:v>
      </x:c>
      <x:c r="N22" s="2" t="str">
        <x:v>DR.AU.1.3.C10.2026.CY1</x:v>
      </x:c>
      <x:c r="O22" s="2" t="n">
        <x:f>R22</x:f>
        <x:v>0</x:v>
      </x:c>
      <x:c r="P22" s="2" t="str">
        <x:v>DR.AU.1.3.2026.CY1</x:v>
      </x:c>
      <x:c r="Q22" s="2" t="n">
        <x:v>0</x:v>
      </x:c>
      <x:c r="R22" s="2" t="n">
        <x:f>IF(A22,1,0)</x:f>
        <x:v>0</x:v>
      </x:c>
      <x:c r="S22" s="2" t="n">
        <x:f>SUBTOTAL(103,N22)</x:f>
        <x:v>1</x:v>
      </x:c>
    </x:row>
    <x:row r="23" ht="31" customHeight="1" outlineLevel="1">
      <x:c r="A23" s="28" t="b">
        <x:v>0</x:v>
      </x:c>
      <x:c r="B23" s="36" t="str">
        <x:v>Cycle 1</x:v>
      </x:c>
      <x:c r="C23" s="36" t="str">
        <x:v>Phase 1</x:v>
      </x:c>
      <x:c r="D23" s="36" t="str">
        <x:v>Auto</x:v>
      </x:c>
      <x:c r="E23" s="69" t="str">
        <x:v>DR.AU.1.3.C11</x:v>
      </x:c>
      <x:c r="F23" s="37" t="str">
        <x:v>    Document emerging trends, patterns, or concentrations along with supporting data</x:v>
      </x:c>
      <x:c r="G23" s="5"/>
      <x:c r="H23" s="11"/>
      <x:c r="I23" s="11"/>
      <x:c r="J23" s="11"/>
      <x:c r="K23" s="29"/>
      <x:c r="L23" s="2" t="str">
        <x:f>IF(A23,"Complete","Open check")</x:f>
        <x:v>Open check</x:v>
      </x:c>
      <x:c r="M23" s="2" t="str">
        <x:v>Checklist</x:v>
      </x:c>
      <x:c r="N23" s="2" t="str">
        <x:v>DR.AU.1.3.C11.2026.CY1</x:v>
      </x:c>
      <x:c r="O23" s="2" t="n">
        <x:f>R23</x:f>
        <x:v>0</x:v>
      </x:c>
      <x:c r="P23" s="2" t="str">
        <x:v>DR.AU.1.3.2026.CY1</x:v>
      </x:c>
      <x:c r="Q23" s="2" t="n">
        <x:v>0</x:v>
      </x:c>
      <x:c r="R23" s="2" t="n">
        <x:f>IF(A23,1,0)</x:f>
        <x:v>0</x:v>
      </x:c>
      <x:c r="S23" s="2" t="n">
        <x:f>SUBTOTAL(103,N23)</x:f>
        <x:v>1</x:v>
      </x:c>
    </x:row>
    <x:row r="24" ht="31" customHeight="1" outlineLevel="1">
      <x:c r="A24" s="28" t="b">
        <x:v>0</x:v>
      </x:c>
      <x:c r="B24" s="36" t="str">
        <x:v>Cycle 1</x:v>
      </x:c>
      <x:c r="C24" s="36" t="str">
        <x:v>Phase 1</x:v>
      </x:c>
      <x:c r="D24" s="36" t="str">
        <x:v>Auto</x:v>
      </x:c>
      <x:c r="E24" s="69" t="str">
        <x:v>DR.AU.1.3.C12</x:v>
      </x:c>
      <x:c r="F24" s="37" t="str">
        <x:v>    Document any severe spikes in volume along with context (as needed)</x:v>
      </x:c>
      <x:c r="G24" s="5"/>
      <x:c r="H24" s="11"/>
      <x:c r="I24" s="11"/>
      <x:c r="J24" s="11"/>
      <x:c r="K24" s="29"/>
      <x:c r="L24" s="2" t="str">
        <x:f>IF(A24,"Complete","Open check")</x:f>
        <x:v>Open check</x:v>
      </x:c>
      <x:c r="M24" s="2" t="str">
        <x:v>Checklist</x:v>
      </x:c>
      <x:c r="N24" s="2" t="str">
        <x:v>DR.AU.1.3.C12.2026.CY1</x:v>
      </x:c>
      <x:c r="O24" s="2" t="n">
        <x:f>R24</x:f>
        <x:v>0</x:v>
      </x:c>
      <x:c r="P24" s="2" t="str">
        <x:v>DR.AU.1.3.2026.CY1</x:v>
      </x:c>
      <x:c r="Q24" s="2" t="n">
        <x:v>0</x:v>
      </x:c>
      <x:c r="R24" s="2" t="n">
        <x:f>IF(A24,1,0)</x:f>
        <x:v>0</x:v>
      </x:c>
      <x:c r="S24" s="2" t="n">
        <x:f>SUBTOTAL(103,N24)</x:f>
        <x:v>1</x:v>
      </x:c>
    </x:row>
    <x:row r="25" ht="31" customHeight="1" outlineLevel="1">
      <x:c r="A25" s="28" t="b">
        <x:v>0</x:v>
      </x:c>
      <x:c r="B25" s="36" t="str">
        <x:v>Cycle 1</x:v>
      </x:c>
      <x:c r="C25" s="36" t="str">
        <x:v>Phase 1</x:v>
      </x:c>
      <x:c r="D25" s="36" t="str">
        <x:v>Auto</x:v>
      </x:c>
      <x:c r="E25" s="69" t="str">
        <x:v>DR.AU.1.3.C13</x:v>
      </x:c>
      <x:c r="F25" s="37" t="str">
        <x:v>    Document clear summary explaining how the data connects to the potential topic</x:v>
      </x:c>
      <x:c r="G25" s="5"/>
      <x:c r="H25" s="11"/>
      <x:c r="I25" s="11"/>
      <x:c r="J25" s="11"/>
      <x:c r="K25" s="29"/>
      <x:c r="L25" s="2" t="str">
        <x:f>IF(A25,"Complete","Open check")</x:f>
        <x:v>Open check</x:v>
      </x:c>
      <x:c r="M25" s="2" t="str">
        <x:v>Checklist</x:v>
      </x:c>
      <x:c r="N25" s="2" t="str">
        <x:v>DR.AU.1.3.C13.2026.CY1</x:v>
      </x:c>
      <x:c r="O25" s="2" t="n">
        <x:f>R25</x:f>
        <x:v>0</x:v>
      </x:c>
      <x:c r="P25" s="2" t="str">
        <x:v>DR.AU.1.3.2026.CY1</x:v>
      </x:c>
      <x:c r="Q25" s="2" t="n">
        <x:v>0</x:v>
      </x:c>
      <x:c r="R25" s="2" t="n">
        <x:f>IF(A25,1,0)</x:f>
        <x:v>0</x:v>
      </x:c>
      <x:c r="S25" s="2" t="n">
        <x:f>SUBTOTAL(103,N25)</x:f>
        <x:v>1</x:v>
      </x:c>
    </x:row>
    <x:row r="26" ht="42" customHeight="1">
      <x:c r="A26" s="28" t="b">
        <x:v>0</x:v>
      </x:c>
      <x:c r="B26" s="2" t="str">
        <x:v>Cycle 1</x:v>
      </x:c>
      <x:c r="C26" s="2" t="str">
        <x:v>Phase 2</x:v>
      </x:c>
      <x:c r="D26" s="2" t="str">
        <x:v>Auto</x:v>
      </x:c>
      <x:c r="E26" s="56" t="str">
        <x:v>DR.AU.2.1</x:v>
      </x:c>
      <x:c r="F26" s="14" t="str">
        <x:v>Ensure data is clean, structured, and usable without manipulation needed</x:v>
      </x:c>
      <x:c r="G26" s="5"/>
      <x:c r="H26" s="11"/>
      <x:c r="I26" s="11" t="n">
        <x:f>'Cycles &amp; Guide'!$D$10</x:f>
        <x:v>46112</x:v>
      </x:c>
      <x:c r="J26" s="11"/>
      <x:c r="K26" s="29"/>
      <x:c r="L26" s="2" t="str">
        <x:f>IF(O26=1,"Complete",IF(A26,"Checklist open",IF(H26&lt;&gt;"","In progress","Not started")))</x:f>
        <x:v>Not started</x:v>
      </x:c>
      <x:c r="M26" s="2" t="str">
        <x:v>Task</x:v>
      </x:c>
      <x:c r="N26" s="2" t="str">
        <x:v>DR.AU.2.1.2026.CY1</x:v>
      </x:c>
      <x:c r="O26" s="2" t="n">
        <x:f>R26</x:f>
        <x:v>0</x:v>
      </x:c>
      <x:c r="P26" s="2"/>
      <x:c r="Q26" s="2" t="n">
        <x:v>1</x:v>
      </x:c>
      <x:c r="R26" s="2" t="n">
        <x:f>IF(A26,1,0)</x:f>
        <x:v>0</x:v>
      </x:c>
      <x:c r="S26" s="2" t="n">
        <x:f>SUBTOTAL(103,N26)</x:f>
        <x:v>1</x:v>
      </x:c>
    </x:row>
    <x:row r="27" ht="42" customHeight="1">
      <x:c r="A27" s="28" t="b">
        <x:v>0</x:v>
      </x:c>
      <x:c r="B27" s="2" t="str">
        <x:v>Cycle 1</x:v>
      </x:c>
      <x:c r="C27" s="2" t="str">
        <x:v>Phase 2</x:v>
      </x:c>
      <x:c r="D27" s="2" t="str">
        <x:v>Auto</x:v>
      </x:c>
      <x:c r="E27" s="56" t="str">
        <x:v>DR.AU.2.2</x:v>
      </x:c>
      <x:c r="F27" s="14" t="str">
        <x:v>Clearly document rationale for each topic recommendation within the SharePoint list</x:v>
      </x:c>
      <x:c r="G27" s="5"/>
      <x:c r="H27" s="11"/>
      <x:c r="I27" s="11" t="n">
        <x:f>'Cycles &amp; Guide'!$D$10</x:f>
        <x:v>46112</x:v>
      </x:c>
      <x:c r="J27" s="11"/>
      <x:c r="K27" s="29"/>
      <x:c r="L27" s="2" t="str">
        <x:f>IF(O27=1,"Complete",IF(A27,"Checklist open",IF(H27&lt;&gt;"","In progress","Not started")))</x:f>
        <x:v>Not started</x:v>
      </x:c>
      <x:c r="M27" s="2" t="str">
        <x:v>Task</x:v>
      </x:c>
      <x:c r="N27" s="2" t="str">
        <x:v>DR.AU.2.2.2026.CY1</x:v>
      </x:c>
      <x:c r="O27" s="2" t="n">
        <x:f>R27</x:f>
        <x:v>0</x:v>
      </x:c>
      <x:c r="P27" s="2"/>
      <x:c r="Q27" s="2" t="n">
        <x:v>1</x:v>
      </x:c>
      <x:c r="R27" s="2" t="n">
        <x:f>IF(A27,1,0)</x:f>
        <x:v>0</x:v>
      </x:c>
      <x:c r="S27" s="2" t="n">
        <x:f>SUBTOTAL(103,N27)</x:f>
        <x:v>1</x:v>
      </x:c>
    </x:row>
    <x:row r="28" ht="42" customHeight="1">
      <x:c r="A28" s="28" t="b">
        <x:v>0</x:v>
      </x:c>
      <x:c r="B28" s="2" t="str">
        <x:v>Cycle 1</x:v>
      </x:c>
      <x:c r="C28" s="2" t="str">
        <x:v>Phase 2</x:v>
      </x:c>
      <x:c r="D28" s="2" t="str">
        <x:v>Auto</x:v>
      </x:c>
      <x:c r="E28" s="56" t="str">
        <x:v>DR.AU.2.3</x:v>
      </x:c>
      <x:c r="F28" s="14" t="str">
        <x:v>Verify topic is eligible for RCA and does not conflict with Attorney Client Privilege</x:v>
      </x:c>
      <x:c r="G28" s="5"/>
      <x:c r="H28" s="11"/>
      <x:c r="I28" s="11" t="n">
        <x:f>'Cycles &amp; Guide'!$D$10</x:f>
        <x:v>46112</x:v>
      </x:c>
      <x:c r="J28" s="11"/>
      <x:c r="K28" s="29"/>
      <x:c r="L28" s="2" t="str">
        <x:f>IF(O28=1,"Complete",IF(A28,"Checklist open",IF(H28&lt;&gt;"","In progress","Not started")))</x:f>
        <x:v>Not started</x:v>
      </x:c>
      <x:c r="M28" s="2" t="str">
        <x:v>Task</x:v>
      </x:c>
      <x:c r="N28" s="2" t="str">
        <x:v>DR.AU.2.3.2026.CY1</x:v>
      </x:c>
      <x:c r="O28" s="2" t="n">
        <x:f>R28</x:f>
        <x:v>0</x:v>
      </x:c>
      <x:c r="P28" s="2"/>
      <x:c r="Q28" s="2" t="n">
        <x:v>1</x:v>
      </x:c>
      <x:c r="R28" s="2" t="n">
        <x:f>IF(A28,1,0)</x:f>
        <x:v>0</x:v>
      </x:c>
      <x:c r="S28" s="2" t="n">
        <x:f>SUBTOTAL(103,N28)</x:f>
        <x:v>1</x:v>
      </x:c>
    </x:row>
    <x:row r="29" ht="42" customHeight="1">
      <x:c r="A29" s="28" t="b">
        <x:v>0</x:v>
      </x:c>
      <x:c r="B29" s="2" t="str">
        <x:v>Cycle 1</x:v>
      </x:c>
      <x:c r="C29" s="2" t="str">
        <x:v>Phase 2</x:v>
      </x:c>
      <x:c r="D29" s="2" t="str">
        <x:v>Auto</x:v>
      </x:c>
      <x:c r="E29" s="56" t="str">
        <x:v>DR.AU.2.4</x:v>
      </x:c>
      <x:c r="F29" s="14" t="str">
        <x:v>Ensure data is free of errors and anomalies prior to hand-off to Research</x:v>
      </x:c>
      <x:c r="G29" s="5"/>
      <x:c r="H29" s="11"/>
      <x:c r="I29" s="11" t="n">
        <x:f>'Cycles &amp; Guide'!$D$10</x:f>
        <x:v>46112</x:v>
      </x:c>
      <x:c r="J29" s="11"/>
      <x:c r="K29" s="29"/>
      <x:c r="L29" s="2" t="str">
        <x:f>IF(O29=1,"Complete",IF(A29,"Checklist open",IF(H29&lt;&gt;"","In progress","Not started")))</x:f>
        <x:v>Not started</x:v>
      </x:c>
      <x:c r="M29" s="2" t="str">
        <x:v>Task</x:v>
      </x:c>
      <x:c r="N29" s="2" t="str">
        <x:v>DR.AU.2.4.2026.CY1</x:v>
      </x:c>
      <x:c r="O29" s="2" t="n">
        <x:f>R29</x:f>
        <x:v>0</x:v>
      </x:c>
      <x:c r="P29" s="2"/>
      <x:c r="Q29" s="2" t="n">
        <x:v>1</x:v>
      </x:c>
      <x:c r="R29" s="2" t="n">
        <x:f>IF(A29,1,0)</x:f>
        <x:v>0</x:v>
      </x:c>
      <x:c r="S29" s="2" t="n">
        <x:f>SUBTOTAL(103,N29)</x:f>
        <x:v>1</x:v>
      </x:c>
    </x:row>
    <x:row r="30" ht="42" customHeight="1">
      <x:c r="A30" s="28" t="b">
        <x:v>0</x:v>
      </x:c>
      <x:c r="B30" s="2" t="str">
        <x:v>Cycle 1</x:v>
      </x:c>
      <x:c r="C30" s="2" t="str">
        <x:v>Phase 2</x:v>
      </x:c>
      <x:c r="D30" s="2" t="str">
        <x:v>Auto</x:v>
      </x:c>
      <x:c r="E30" s="56" t="str">
        <x:v>DR.AU.2.5</x:v>
      </x:c>
      <x:c r="F30" s="14" t="str">
        <x:v>Ensure topic is not a duplicate from a previous Cycle</x:v>
      </x:c>
      <x:c r="G30" s="5"/>
      <x:c r="H30" s="11"/>
      <x:c r="I30" s="11" t="n">
        <x:f>'Cycles &amp; Guide'!$D$10</x:f>
        <x:v>46112</x:v>
      </x:c>
      <x:c r="J30" s="11"/>
      <x:c r="K30" s="29"/>
      <x:c r="L30" s="2" t="str">
        <x:f>IF(O30=1,"Complete",IF(A30,"Checklist open",IF(H30&lt;&gt;"","In progress","Not started")))</x:f>
        <x:v>Not started</x:v>
      </x:c>
      <x:c r="M30" s="2" t="str">
        <x:v>Task</x:v>
      </x:c>
      <x:c r="N30" s="2" t="str">
        <x:v>DR.AU.2.5.2026.CY1</x:v>
      </x:c>
      <x:c r="O30" s="2" t="n">
        <x:f>R30</x:f>
        <x:v>0</x:v>
      </x:c>
      <x:c r="P30" s="2"/>
      <x:c r="Q30" s="2" t="n">
        <x:v>1</x:v>
      </x:c>
      <x:c r="R30" s="2" t="n">
        <x:f>IF(A30,1,0)</x:f>
        <x:v>0</x:v>
      </x:c>
      <x:c r="S30" s="2" t="n">
        <x:f>SUBTOTAL(103,N30)</x:f>
        <x:v>1</x:v>
      </x:c>
    </x:row>
    <x:row r="31" ht="42" customHeight="1">
      <x:c r="A31" s="28" t="b">
        <x:v>0</x:v>
      </x:c>
      <x:c r="B31" s="2" t="str">
        <x:v>Cycle 1</x:v>
      </x:c>
      <x:c r="C31" s="2" t="str">
        <x:v>Phase 2</x:v>
      </x:c>
      <x:c r="D31" s="2" t="str">
        <x:v>Auto</x:v>
      </x:c>
      <x:c r="E31" s="56" t="str">
        <x:v>DR.AU.2.6</x:v>
      </x:c>
      <x:c r="F31" s="14" t="str">
        <x:v>Document clear distinctions between facts, assumptions, and hypotheses within the data package</x:v>
      </x:c>
      <x:c r="G31" s="5"/>
      <x:c r="H31" s="11"/>
      <x:c r="I31" s="11" t="n">
        <x:f>'Cycles &amp; Guide'!$D$10</x:f>
        <x:v>46112</x:v>
      </x:c>
      <x:c r="J31" s="11"/>
      <x:c r="K31" s="29"/>
      <x:c r="L31" s="2" t="str">
        <x:f>IF(O31=1,"Complete",IF(A31,"Checklist open",IF(H31&lt;&gt;"","In progress","Not started")))</x:f>
        <x:v>Not started</x:v>
      </x:c>
      <x:c r="M31" s="2" t="str">
        <x:v>Task</x:v>
      </x:c>
      <x:c r="N31" s="2" t="str">
        <x:v>DR.AU.2.6.2026.CY1</x:v>
      </x:c>
      <x:c r="O31" s="2" t="n">
        <x:f>R31</x:f>
        <x:v>0</x:v>
      </x:c>
      <x:c r="P31" s="2"/>
      <x:c r="Q31" s="2" t="n">
        <x:v>1</x:v>
      </x:c>
      <x:c r="R31" s="2" t="n">
        <x:f>IF(A31,1,0)</x:f>
        <x:v>0</x:v>
      </x:c>
      <x:c r="S31" s="2" t="n">
        <x:f>SUBTOTAL(103,N31)</x:f>
        <x:v>1</x:v>
      </x:c>
    </x:row>
    <x:row r="32" ht="42" customHeight="1">
      <x:c r="A32" s="28" t="b">
        <x:v>0</x:v>
      </x:c>
      <x:c r="B32" s="2" t="str">
        <x:v>Cycle 1</x:v>
      </x:c>
      <x:c r="C32" s="2" t="str">
        <x:v>Phase 3</x:v>
      </x:c>
      <x:c r="D32" s="2" t="str">
        <x:v>Auto</x:v>
      </x:c>
      <x:c r="E32" s="56" t="str">
        <x:v>DR.AU.3.1</x:v>
      </x:c>
      <x:c r="F32" s="14" t="str">
        <x:v>Clearly document rationale for each topic recommendation within the SharePoint list item</x:v>
      </x:c>
      <x:c r="G32" s="5"/>
      <x:c r="H32" s="11"/>
      <x:c r="I32" s="11" t="n">
        <x:f>'Cycles &amp; Guide'!$D$10</x:f>
        <x:v>46112</x:v>
      </x:c>
      <x:c r="J32" s="11"/>
      <x:c r="K32" s="29"/>
      <x:c r="L32" s="2" t="str">
        <x:f>IF(O32=1,"Complete",IF(A32,"Checklist open",IF(H32&lt;&gt;"","In progress","Not started")))</x:f>
        <x:v>Not started</x:v>
      </x:c>
      <x:c r="M32" s="2" t="str">
        <x:v>Task</x:v>
      </x:c>
      <x:c r="N32" s="2" t="str">
        <x:v>DR.AU.3.1.2026.CY1</x:v>
      </x:c>
      <x:c r="O32" s="2" t="n">
        <x:f>R32</x:f>
        <x:v>0</x:v>
      </x:c>
      <x:c r="P32" s="2"/>
      <x:c r="Q32" s="2" t="n">
        <x:v>1</x:v>
      </x:c>
      <x:c r="R32" s="2" t="n">
        <x:f>IF(A32,1,0)</x:f>
        <x:v>0</x:v>
      </x:c>
      <x:c r="S32" s="2" t="n">
        <x:f>SUBTOTAL(103,N32)</x:f>
        <x:v>1</x:v>
      </x:c>
    </x:row>
    <x:row r="33" ht="42" customHeight="1">
      <x:c r="A33" s="28" t="b">
        <x:v>0</x:v>
      </x:c>
      <x:c r="B33" s="2" t="str">
        <x:v>Cycle 1</x:v>
      </x:c>
      <x:c r="C33" s="2" t="str">
        <x:v>Phase 3</x:v>
      </x:c>
      <x:c r="D33" s="2" t="str">
        <x:v>Auto</x:v>
      </x:c>
      <x:c r="E33" s="56" t="str">
        <x:v>DR.AU.3.2</x:v>
      </x:c>
      <x:c r="F33" s="14" t="str">
        <x:v>Attach the data package for each topic recommendation within the SharePoint list item</x:v>
      </x:c>
      <x:c r="G33" s="5"/>
      <x:c r="H33" s="11"/>
      <x:c r="I33" s="11" t="n">
        <x:f>'Cycles &amp; Guide'!$D$10</x:f>
        <x:v>46112</x:v>
      </x:c>
      <x:c r="J33" s="11"/>
      <x:c r="K33" s="29"/>
      <x:c r="L33" s="2" t="str">
        <x:f>IF(O33=1,"Complete",IF(A33,"Checklist open",IF(H33&lt;&gt;"","In progress","Not started")))</x:f>
        <x:v>Not started</x:v>
      </x:c>
      <x:c r="M33" s="2" t="str">
        <x:v>Task</x:v>
      </x:c>
      <x:c r="N33" s="2" t="str">
        <x:v>DR.AU.3.2.2026.CY1</x:v>
      </x:c>
      <x:c r="O33" s="2" t="n">
        <x:f>R33</x:f>
        <x:v>0</x:v>
      </x:c>
      <x:c r="P33" s="2"/>
      <x:c r="Q33" s="2" t="n">
        <x:v>1</x:v>
      </x:c>
      <x:c r="R33" s="2" t="n">
        <x:f>IF(A33,1,0)</x:f>
        <x:v>0</x:v>
      </x:c>
      <x:c r="S33" s="2" t="n">
        <x:f>SUBTOTAL(103,N33)</x:f>
        <x:v>1</x:v>
      </x:c>
    </x:row>
    <x:row r="34" ht="42" customHeight="1">
      <x:c r="A34" s="28" t="b">
        <x:v>0</x:v>
      </x:c>
      <x:c r="B34" s="2" t="str">
        <x:v>Cycle 1</x:v>
      </x:c>
      <x:c r="C34" s="2" t="str">
        <x:v>Phase 3</x:v>
      </x:c>
      <x:c r="D34" s="2" t="str">
        <x:v>Auto</x:v>
      </x:c>
      <x:c r="E34" s="56" t="str">
        <x:v>DR.AU.3.3</x:v>
      </x:c>
      <x:c r="F34" s="14" t="str">
        <x:v>Confirm data privileges have been granted, ensuring each pillar can access</x:v>
      </x:c>
      <x:c r="G34" s="5"/>
      <x:c r="H34" s="11"/>
      <x:c r="I34" s="11" t="n">
        <x:f>'Cycles &amp; Guide'!$D$10</x:f>
        <x:v>46112</x:v>
      </x:c>
      <x:c r="J34" s="11"/>
      <x:c r="K34" s="29"/>
      <x:c r="L34" s="2" t="str">
        <x:f>IF(O34=1,"Complete",IF(A34,"Checklist open",IF(H34&lt;&gt;"","In progress","Not started")))</x:f>
        <x:v>Not started</x:v>
      </x:c>
      <x:c r="M34" s="2" t="str">
        <x:v>Task</x:v>
      </x:c>
      <x:c r="N34" s="2" t="str">
        <x:v>DR.AU.3.3.2026.CY1</x:v>
      </x:c>
      <x:c r="O34" s="2" t="n">
        <x:f>R34</x:f>
        <x:v>0</x:v>
      </x:c>
      <x:c r="P34" s="2"/>
      <x:c r="Q34" s="2" t="n">
        <x:v>1</x:v>
      </x:c>
      <x:c r="R34" s="2" t="n">
        <x:f>IF(A34,1,0)</x:f>
        <x:v>0</x:v>
      </x:c>
      <x:c r="S34" s="2" t="n">
        <x:f>SUBTOTAL(103,N34)</x:f>
        <x:v>1</x:v>
      </x:c>
    </x:row>
    <x:row r="35" ht="42" customHeight="1">
      <x:c r="A35" s="28" t="b">
        <x:v>0</x:v>
      </x:c>
      <x:c r="B35" s="2" t="str">
        <x:v>Cycle 1</x:v>
      </x:c>
      <x:c r="C35" s="2" t="str">
        <x:v>Phase 3</x:v>
      </x:c>
      <x:c r="D35" s="2" t="str">
        <x:v>Auto</x:v>
      </x:c>
      <x:c r="E35" s="56" t="str">
        <x:v>DR.AU.3.4</x:v>
      </x:c>
      <x:c r="F35" s="14" t="str">
        <x:v>Ensure Power Automate notifications were correctly triggered within Microsoft Teams</x:v>
      </x:c>
      <x:c r="G35" s="5"/>
      <x:c r="H35" s="11"/>
      <x:c r="I35" s="11" t="n">
        <x:f>'Cycles &amp; Guide'!$D$10</x:f>
        <x:v>46112</x:v>
      </x:c>
      <x:c r="J35" s="11"/>
      <x:c r="K35" s="29"/>
      <x:c r="L35" s="2" t="str">
        <x:f>IF(O35=1,"Complete",IF(A35,"Checklist open",IF(H35&lt;&gt;"","In progress","Not started")))</x:f>
        <x:v>Not started</x:v>
      </x:c>
      <x:c r="M35" s="2" t="str">
        <x:v>Task</x:v>
      </x:c>
      <x:c r="N35" s="2" t="str">
        <x:v>DR.AU.3.4.2026.CY1</x:v>
      </x:c>
      <x:c r="O35" s="2" t="n">
        <x:f>R35</x:f>
        <x:v>0</x:v>
      </x:c>
      <x:c r="P35" s="2"/>
      <x:c r="Q35" s="2" t="n">
        <x:v>1</x:v>
      </x:c>
      <x:c r="R35" s="2" t="n">
        <x:f>IF(A35,1,0)</x:f>
        <x:v>0</x:v>
      </x:c>
      <x:c r="S35" s="2" t="n">
        <x:f>SUBTOTAL(103,N35)</x:f>
        <x:v>1</x:v>
      </x:c>
    </x:row>
    <x:row r="36" ht="42" customHeight="1">
      <x:c r="A36" s="28" t="b">
        <x:v>0</x:v>
      </x:c>
      <x:c r="B36" s="2" t="str">
        <x:v>Cycle 1</x:v>
      </x:c>
      <x:c r="C36" s="2" t="str">
        <x:v>Phase 1</x:v>
      </x:c>
      <x:c r="D36" s="2" t="str">
        <x:v>Cards</x:v>
      </x:c>
      <x:c r="E36" s="56" t="str">
        <x:v>DR.CA.1.1</x:v>
      </x:c>
      <x:c r="F36" s="14" t="str">
        <x:v>Review data sources 3 weeks prior to Cycle start (Complaints, Gen AI, Loudspeaker, NPS, etc.)</x:v>
      </x:c>
      <x:c r="G36" s="5"/>
      <x:c r="H36" s="11"/>
      <x:c r="I36" s="11" t="n">
        <x:f>'Cycles &amp; Guide'!$C$10-21</x:f>
        <x:v>46002</x:v>
      </x:c>
      <x:c r="J36" s="11"/>
      <x:c r="K36" s="29"/>
      <x:c r="L36" s="2" t="str">
        <x:f>IF(O36=1,"Complete",IF(A36,"Checklist open",IF(H36&lt;&gt;"","In progress","Not started")))</x:f>
        <x:v>Not started</x:v>
      </x:c>
      <x:c r="M36" s="2" t="str">
        <x:v>Task</x:v>
      </x:c>
      <x:c r="N36" s="2" t="str">
        <x:v>DR.CA.1.1.2026.CY1</x:v>
      </x:c>
      <x:c r="O36" s="2" t="n">
        <x:f>R36</x:f>
        <x:v>0</x:v>
      </x:c>
      <x:c r="P36" s="2"/>
      <x:c r="Q36" s="2" t="n">
        <x:v>1</x:v>
      </x:c>
      <x:c r="R36" s="2" t="n">
        <x:f>IF(A36,1,0)</x:f>
        <x:v>0</x:v>
      </x:c>
      <x:c r="S36" s="2" t="n">
        <x:f>SUBTOTAL(103,N36)</x:f>
        <x:v>1</x:v>
      </x:c>
    </x:row>
    <x:row r="37" ht="42" customHeight="1">
      <x:c r="A37" s="28" t="b">
        <x:v>0</x:v>
      </x:c>
      <x:c r="B37" s="2" t="str">
        <x:v>Cycle 1</x:v>
      </x:c>
      <x:c r="C37" s="2" t="str">
        <x:v>Phase 1</x:v>
      </x:c>
      <x:c r="D37" s="2" t="str">
        <x:v>Cards</x:v>
      </x:c>
      <x:c r="E37" s="56" t="str">
        <x:v>DR.CA.1.2</x:v>
      </x:c>
      <x:c r="F37" s="14" t="str">
        <x:v>Identify two potential topics for the upcoming Cycle</x:v>
      </x:c>
      <x:c r="G37" s="5"/>
      <x:c r="H37" s="11"/>
      <x:c r="I37" s="11" t="n">
        <x:f>'Cycles &amp; Guide'!$D$10</x:f>
        <x:v>46112</x:v>
      </x:c>
      <x:c r="J37" s="11"/>
      <x:c r="K37" s="29"/>
      <x:c r="L37" s="2" t="str">
        <x:f>IF(O37=1,"Complete",IF(A37,"Checklist open",IF(H37&lt;&gt;"","In progress","Not started")))</x:f>
        <x:v>Not started</x:v>
      </x:c>
      <x:c r="M37" s="2" t="str">
        <x:v>Task</x:v>
      </x:c>
      <x:c r="N37" s="2" t="str">
        <x:v>DR.CA.1.2.2026.CY1</x:v>
      </x:c>
      <x:c r="O37" s="2" t="n">
        <x:f>R37</x:f>
        <x:v>0</x:v>
      </x:c>
      <x:c r="P37" s="2"/>
      <x:c r="Q37" s="2" t="n">
        <x:v>1</x:v>
      </x:c>
      <x:c r="R37" s="2" t="n">
        <x:f>IF(A37,1,0)</x:f>
        <x:v>0</x:v>
      </x:c>
      <x:c r="S37" s="2" t="n">
        <x:f>SUBTOTAL(103,N37)</x:f>
        <x:v>1</x:v>
      </x:c>
    </x:row>
    <x:row r="38" ht="42" customHeight="1">
      <x:c r="A38" s="28" t="b">
        <x:v>0</x:v>
      </x:c>
      <x:c r="B38" s="2" t="str">
        <x:v>Cycle 1</x:v>
      </x:c>
      <x:c r="C38" s="2" t="str">
        <x:v>Phase 1</x:v>
      </x:c>
      <x:c r="D38" s="2" t="str">
        <x:v>Cards</x:v>
      </x:c>
      <x:c r="E38" s="68" t="str">
        <x:v>DR.CA.1.3</x:v>
      </x:c>
      <x:c r="F38" s="33" t="str">
        <x:v>Extract data for both potential topics, ensuring all checklist items below are included/completed</x:v>
      </x:c>
      <x:c r="G38" s="5"/>
      <x:c r="H38" s="11"/>
      <x:c r="I38" s="11" t="n">
        <x:f>'Cycles &amp; Guide'!$D$10</x:f>
        <x:v>46112</x:v>
      </x:c>
      <x:c r="J38" s="11"/>
      <x:c r="K38" s="29"/>
      <x:c r="L38" s="2" t="str">
        <x:f>IF(O38=1,"Complete",IF(A38,"Checklist open",IF(H38&lt;&gt;"","In progress","Not started")))</x:f>
        <x:v>Not started</x:v>
      </x:c>
      <x:c r="M38" s="2" t="str">
        <x:v>Task</x:v>
      </x:c>
      <x:c r="N38" s="2" t="str">
        <x:v>DR.CA.1.3.2026.CY1</x:v>
      </x:c>
      <x:c r="O38" s="2" t="n">
        <x:f>IF(A38,IF(SUMIFS($R$10:$R$737,$P$10:$P$737,N38)=13,1,0),0)</x:f>
        <x:v>0</x:v>
      </x:c>
      <x:c r="P38" s="2"/>
      <x:c r="Q38" s="2" t="n">
        <x:v>1</x:v>
      </x:c>
      <x:c r="R38" s="2" t="n">
        <x:f>IF(A38,1,0)</x:f>
        <x:v>0</x:v>
      </x:c>
      <x:c r="S38" s="2" t="n">
        <x:f>SUBTOTAL(103,N38)</x:f>
        <x:v>1</x:v>
      </x:c>
    </x:row>
    <x:row r="39" ht="31" customHeight="1" outlineLevel="1">
      <x:c r="A39" s="28" t="b">
        <x:v>0</x:v>
      </x:c>
      <x:c r="B39" s="36" t="str">
        <x:v>Cycle 1</x:v>
      </x:c>
      <x:c r="C39" s="36" t="str">
        <x:v>Phase 1</x:v>
      </x:c>
      <x:c r="D39" s="36" t="str">
        <x:v>Cards</x:v>
      </x:c>
      <x:c r="E39" s="69" t="str">
        <x:v>DR.CA.1.3.C01</x:v>
      </x:c>
      <x:c r="F39" s="37" t="str">
        <x:v>    Document date range extracted</x:v>
      </x:c>
      <x:c r="G39" s="5"/>
      <x:c r="H39" s="11"/>
      <x:c r="I39" s="11"/>
      <x:c r="J39" s="11"/>
      <x:c r="K39" s="29"/>
      <x:c r="L39" s="2" t="str">
        <x:f>IF(A39,"Complete","Open check")</x:f>
        <x:v>Open check</x:v>
      </x:c>
      <x:c r="M39" s="2" t="str">
        <x:v>Checklist</x:v>
      </x:c>
      <x:c r="N39" s="2" t="str">
        <x:v>DR.CA.1.3.C01.2026.CY1</x:v>
      </x:c>
      <x:c r="O39" s="2" t="n">
        <x:f>R39</x:f>
        <x:v>0</x:v>
      </x:c>
      <x:c r="P39" s="2" t="str">
        <x:v>DR.CA.1.3.2026.CY1</x:v>
      </x:c>
      <x:c r="Q39" s="2" t="n">
        <x:v>0</x:v>
      </x:c>
      <x:c r="R39" s="2" t="n">
        <x:f>IF(A39,1,0)</x:f>
        <x:v>0</x:v>
      </x:c>
      <x:c r="S39" s="2" t="n">
        <x:f>SUBTOTAL(103,N39)</x:f>
        <x:v>1</x:v>
      </x:c>
    </x:row>
    <x:row r="40" ht="31" customHeight="1" outlineLevel="1">
      <x:c r="A40" s="28" t="b">
        <x:v>0</x:v>
      </x:c>
      <x:c r="B40" s="36" t="str">
        <x:v>Cycle 1</x:v>
      </x:c>
      <x:c r="C40" s="36" t="str">
        <x:v>Phase 1</x:v>
      </x:c>
      <x:c r="D40" s="36" t="str">
        <x:v>Cards</x:v>
      </x:c>
      <x:c r="E40" s="69" t="str">
        <x:v>DR.CA.1.3.C02</x:v>
      </x:c>
      <x:c r="F40" s="37" t="str">
        <x:v>    Document date of data pull</x:v>
      </x:c>
      <x:c r="G40" s="5"/>
      <x:c r="H40" s="11"/>
      <x:c r="I40" s="11"/>
      <x:c r="J40" s="11"/>
      <x:c r="K40" s="29"/>
      <x:c r="L40" s="2" t="str">
        <x:f>IF(A40,"Complete","Open check")</x:f>
        <x:v>Open check</x:v>
      </x:c>
      <x:c r="M40" s="2" t="str">
        <x:v>Checklist</x:v>
      </x:c>
      <x:c r="N40" s="2" t="str">
        <x:v>DR.CA.1.3.C02.2026.CY1</x:v>
      </x:c>
      <x:c r="O40" s="2" t="n">
        <x:f>R40</x:f>
        <x:v>0</x:v>
      </x:c>
      <x:c r="P40" s="2" t="str">
        <x:v>DR.CA.1.3.2026.CY1</x:v>
      </x:c>
      <x:c r="Q40" s="2" t="n">
        <x:v>0</x:v>
      </x:c>
      <x:c r="R40" s="2" t="n">
        <x:f>IF(A40,1,0)</x:f>
        <x:v>0</x:v>
      </x:c>
      <x:c r="S40" s="2" t="n">
        <x:f>SUBTOTAL(103,N40)</x:f>
        <x:v>1</x:v>
      </x:c>
    </x:row>
    <x:row r="41" ht="31" customHeight="1" outlineLevel="1">
      <x:c r="A41" s="28" t="b">
        <x:v>0</x:v>
      </x:c>
      <x:c r="B41" s="36" t="str">
        <x:v>Cycle 1</x:v>
      </x:c>
      <x:c r="C41" s="36" t="str">
        <x:v>Phase 1</x:v>
      </x:c>
      <x:c r="D41" s="36" t="str">
        <x:v>Cards</x:v>
      </x:c>
      <x:c r="E41" s="69" t="str">
        <x:v>DR.CA.1.3.C03</x:v>
      </x:c>
      <x:c r="F41" s="37" t="str">
        <x:v>    Document population details</x:v>
      </x:c>
      <x:c r="G41" s="5"/>
      <x:c r="H41" s="11"/>
      <x:c r="I41" s="11"/>
      <x:c r="J41" s="11"/>
      <x:c r="K41" s="29"/>
      <x:c r="L41" s="2" t="str">
        <x:f>IF(A41,"Complete","Open check")</x:f>
        <x:v>Open check</x:v>
      </x:c>
      <x:c r="M41" s="2" t="str">
        <x:v>Checklist</x:v>
      </x:c>
      <x:c r="N41" s="2" t="str">
        <x:v>DR.CA.1.3.C03.2026.CY1</x:v>
      </x:c>
      <x:c r="O41" s="2" t="n">
        <x:f>R41</x:f>
        <x:v>0</x:v>
      </x:c>
      <x:c r="P41" s="2" t="str">
        <x:v>DR.CA.1.3.2026.CY1</x:v>
      </x:c>
      <x:c r="Q41" s="2" t="n">
        <x:v>0</x:v>
      </x:c>
      <x:c r="R41" s="2" t="n">
        <x:f>IF(A41,1,0)</x:f>
        <x:v>0</x:v>
      </x:c>
      <x:c r="S41" s="2" t="n">
        <x:f>SUBTOTAL(103,N41)</x:f>
        <x:v>1</x:v>
      </x:c>
    </x:row>
    <x:row r="42" ht="31" customHeight="1" outlineLevel="1">
      <x:c r="A42" s="28" t="b">
        <x:v>0</x:v>
      </x:c>
      <x:c r="B42" s="36" t="str">
        <x:v>Cycle 1</x:v>
      </x:c>
      <x:c r="C42" s="36" t="str">
        <x:v>Phase 1</x:v>
      </x:c>
      <x:c r="D42" s="36" t="str">
        <x:v>Cards</x:v>
      </x:c>
      <x:c r="E42" s="69" t="str">
        <x:v>DR.CA.1.3.C04</x:v>
      </x:c>
      <x:c r="F42" s="37" t="str">
        <x:v>    Validate no data is missing</x:v>
      </x:c>
      <x:c r="G42" s="5"/>
      <x:c r="H42" s="11"/>
      <x:c r="I42" s="11"/>
      <x:c r="J42" s="11"/>
      <x:c r="K42" s="29"/>
      <x:c r="L42" s="2" t="str">
        <x:f>IF(A42,"Complete","Open check")</x:f>
        <x:v>Open check</x:v>
      </x:c>
      <x:c r="M42" s="2" t="str">
        <x:v>Checklist</x:v>
      </x:c>
      <x:c r="N42" s="2" t="str">
        <x:v>DR.CA.1.3.C04.2026.CY1</x:v>
      </x:c>
      <x:c r="O42" s="2" t="n">
        <x:f>R42</x:f>
        <x:v>0</x:v>
      </x:c>
      <x:c r="P42" s="2" t="str">
        <x:v>DR.CA.1.3.2026.CY1</x:v>
      </x:c>
      <x:c r="Q42" s="2" t="n">
        <x:v>0</x:v>
      </x:c>
      <x:c r="R42" s="2" t="n">
        <x:f>IF(A42,1,0)</x:f>
        <x:v>0</x:v>
      </x:c>
      <x:c r="S42" s="2" t="n">
        <x:f>SUBTOTAL(103,N42)</x:f>
        <x:v>1</x:v>
      </x:c>
    </x:row>
    <x:row r="43" ht="31" customHeight="1" outlineLevel="1">
      <x:c r="A43" s="28" t="b">
        <x:v>0</x:v>
      </x:c>
      <x:c r="B43" s="36" t="str">
        <x:v>Cycle 1</x:v>
      </x:c>
      <x:c r="C43" s="36" t="str">
        <x:v>Phase 1</x:v>
      </x:c>
      <x:c r="D43" s="36" t="str">
        <x:v>Cards</x:v>
      </x:c>
      <x:c r="E43" s="69" t="str">
        <x:v>DR.CA.1.3.C05</x:v>
      </x:c>
      <x:c r="F43" s="37" t="str">
        <x:v>    Validate accuracy of data</x:v>
      </x:c>
      <x:c r="G43" s="5"/>
      <x:c r="H43" s="11"/>
      <x:c r="I43" s="11"/>
      <x:c r="J43" s="11"/>
      <x:c r="K43" s="29"/>
      <x:c r="L43" s="2" t="str">
        <x:f>IF(A43,"Complete","Open check")</x:f>
        <x:v>Open check</x:v>
      </x:c>
      <x:c r="M43" s="2" t="str">
        <x:v>Checklist</x:v>
      </x:c>
      <x:c r="N43" s="2" t="str">
        <x:v>DR.CA.1.3.C05.2026.CY1</x:v>
      </x:c>
      <x:c r="O43" s="2" t="n">
        <x:f>R43</x:f>
        <x:v>0</x:v>
      </x:c>
      <x:c r="P43" s="2" t="str">
        <x:v>DR.CA.1.3.2026.CY1</x:v>
      </x:c>
      <x:c r="Q43" s="2" t="n">
        <x:v>0</x:v>
      </x:c>
      <x:c r="R43" s="2" t="n">
        <x:f>IF(A43,1,0)</x:f>
        <x:v>0</x:v>
      </x:c>
      <x:c r="S43" s="2" t="n">
        <x:f>SUBTOTAL(103,N43)</x:f>
        <x:v>1</x:v>
      </x:c>
    </x:row>
    <x:row r="44" ht="31" customHeight="1" outlineLevel="1">
      <x:c r="A44" s="28" t="b">
        <x:v>0</x:v>
      </x:c>
      <x:c r="B44" s="36" t="str">
        <x:v>Cycle 1</x:v>
      </x:c>
      <x:c r="C44" s="36" t="str">
        <x:v>Phase 1</x:v>
      </x:c>
      <x:c r="D44" s="36" t="str">
        <x:v>Cards</x:v>
      </x:c>
      <x:c r="E44" s="69" t="str">
        <x:v>DR.CA.1.3.C06</x:v>
      </x:c>
      <x:c r="F44" s="37" t="str">
        <x:v>    Validate no duplicate data is provided</x:v>
      </x:c>
      <x:c r="G44" s="5"/>
      <x:c r="H44" s="11"/>
      <x:c r="I44" s="11"/>
      <x:c r="J44" s="11"/>
      <x:c r="K44" s="29"/>
      <x:c r="L44" s="2" t="str">
        <x:f>IF(A44,"Complete","Open check")</x:f>
        <x:v>Open check</x:v>
      </x:c>
      <x:c r="M44" s="2" t="str">
        <x:v>Checklist</x:v>
      </x:c>
      <x:c r="N44" s="2" t="str">
        <x:v>DR.CA.1.3.C06.2026.CY1</x:v>
      </x:c>
      <x:c r="O44" s="2" t="n">
        <x:f>R44</x:f>
        <x:v>0</x:v>
      </x:c>
      <x:c r="P44" s="2" t="str">
        <x:v>DR.CA.1.3.2026.CY1</x:v>
      </x:c>
      <x:c r="Q44" s="2" t="n">
        <x:v>0</x:v>
      </x:c>
      <x:c r="R44" s="2" t="n">
        <x:f>IF(A44,1,0)</x:f>
        <x:v>0</x:v>
      </x:c>
      <x:c r="S44" s="2" t="n">
        <x:f>SUBTOTAL(103,N44)</x:f>
        <x:v>1</x:v>
      </x:c>
    </x:row>
    <x:row r="45" ht="31" customHeight="1" outlineLevel="1">
      <x:c r="A45" s="28" t="b">
        <x:v>0</x:v>
      </x:c>
      <x:c r="B45" s="36" t="str">
        <x:v>Cycle 1</x:v>
      </x:c>
      <x:c r="C45" s="36" t="str">
        <x:v>Phase 1</x:v>
      </x:c>
      <x:c r="D45" s="36" t="str">
        <x:v>Cards</x:v>
      </x:c>
      <x:c r="E45" s="69" t="str">
        <x:v>DR.CA.1.3.C07</x:v>
      </x:c>
      <x:c r="F45" s="37" t="str">
        <x:v>    Document any data exclusions along with justification (as needed)</x:v>
      </x:c>
      <x:c r="G45" s="5"/>
      <x:c r="H45" s="11"/>
      <x:c r="I45" s="11"/>
      <x:c r="J45" s="11"/>
      <x:c r="K45" s="29"/>
      <x:c r="L45" s="2" t="str">
        <x:f>IF(A45,"Complete","Open check")</x:f>
        <x:v>Open check</x:v>
      </x:c>
      <x:c r="M45" s="2" t="str">
        <x:v>Checklist</x:v>
      </x:c>
      <x:c r="N45" s="2" t="str">
        <x:v>DR.CA.1.3.C07.2026.CY1</x:v>
      </x:c>
      <x:c r="O45" s="2" t="n">
        <x:f>R45</x:f>
        <x:v>0</x:v>
      </x:c>
      <x:c r="P45" s="2" t="str">
        <x:v>DR.CA.1.3.2026.CY1</x:v>
      </x:c>
      <x:c r="Q45" s="2" t="n">
        <x:v>0</x:v>
      </x:c>
      <x:c r="R45" s="2" t="n">
        <x:f>IF(A45,1,0)</x:f>
        <x:v>0</x:v>
      </x:c>
      <x:c r="S45" s="2" t="n">
        <x:f>SUBTOTAL(103,N45)</x:f>
        <x:v>1</x:v>
      </x:c>
    </x:row>
    <x:row r="46" ht="31" customHeight="1" outlineLevel="1">
      <x:c r="A46" s="28" t="b">
        <x:v>0</x:v>
      </x:c>
      <x:c r="B46" s="36" t="str">
        <x:v>Cycle 1</x:v>
      </x:c>
      <x:c r="C46" s="36" t="str">
        <x:v>Phase 1</x:v>
      </x:c>
      <x:c r="D46" s="36" t="str">
        <x:v>Cards</x:v>
      </x:c>
      <x:c r="E46" s="69" t="str">
        <x:v>DR.CA.1.3.C08</x:v>
      </x:c>
      <x:c r="F46" s="37" t="str">
        <x:v>    Document any assumptions made with the data (as needed)</x:v>
      </x:c>
      <x:c r="G46" s="5"/>
      <x:c r="H46" s="11"/>
      <x:c r="I46" s="11"/>
      <x:c r="J46" s="11"/>
      <x:c r="K46" s="29"/>
      <x:c r="L46" s="2" t="str">
        <x:f>IF(A46,"Complete","Open check")</x:f>
        <x:v>Open check</x:v>
      </x:c>
      <x:c r="M46" s="2" t="str">
        <x:v>Checklist</x:v>
      </x:c>
      <x:c r="N46" s="2" t="str">
        <x:v>DR.CA.1.3.C08.2026.CY1</x:v>
      </x:c>
      <x:c r="O46" s="2" t="n">
        <x:f>R46</x:f>
        <x:v>0</x:v>
      </x:c>
      <x:c r="P46" s="2" t="str">
        <x:v>DR.CA.1.3.2026.CY1</x:v>
      </x:c>
      <x:c r="Q46" s="2" t="n">
        <x:v>0</x:v>
      </x:c>
      <x:c r="R46" s="2" t="n">
        <x:f>IF(A46,1,0)</x:f>
        <x:v>0</x:v>
      </x:c>
      <x:c r="S46" s="2" t="n">
        <x:f>SUBTOTAL(103,N46)</x:f>
        <x:v>1</x:v>
      </x:c>
    </x:row>
    <x:row r="47" ht="31" customHeight="1" outlineLevel="1">
      <x:c r="A47" s="28" t="b">
        <x:v>0</x:v>
      </x:c>
      <x:c r="B47" s="36" t="str">
        <x:v>Cycle 1</x:v>
      </x:c>
      <x:c r="C47" s="36" t="str">
        <x:v>Phase 1</x:v>
      </x:c>
      <x:c r="D47" s="36" t="str">
        <x:v>Cards</x:v>
      </x:c>
      <x:c r="E47" s="69" t="str">
        <x:v>DR.CA.1.3.C09</x:v>
      </x:c>
      <x:c r="F47" s="37" t="str">
        <x:v>    Document any data limitations or constraints clearly (as needed)</x:v>
      </x:c>
      <x:c r="G47" s="5"/>
      <x:c r="H47" s="11"/>
      <x:c r="I47" s="11"/>
      <x:c r="J47" s="11"/>
      <x:c r="K47" s="29"/>
      <x:c r="L47" s="2" t="str">
        <x:f>IF(A47,"Complete","Open check")</x:f>
        <x:v>Open check</x:v>
      </x:c>
      <x:c r="M47" s="2" t="str">
        <x:v>Checklist</x:v>
      </x:c>
      <x:c r="N47" s="2" t="str">
        <x:v>DR.CA.1.3.C09.2026.CY1</x:v>
      </x:c>
      <x:c r="O47" s="2" t="n">
        <x:f>R47</x:f>
        <x:v>0</x:v>
      </x:c>
      <x:c r="P47" s="2" t="str">
        <x:v>DR.CA.1.3.2026.CY1</x:v>
      </x:c>
      <x:c r="Q47" s="2" t="n">
        <x:v>0</x:v>
      </x:c>
      <x:c r="R47" s="2" t="n">
        <x:f>IF(A47,1,0)</x:f>
        <x:v>0</x:v>
      </x:c>
      <x:c r="S47" s="2" t="n">
        <x:f>SUBTOTAL(103,N47)</x:f>
        <x:v>1</x:v>
      </x:c>
    </x:row>
    <x:row r="48" ht="31" customHeight="1" outlineLevel="1">
      <x:c r="A48" s="28" t="b">
        <x:v>0</x:v>
      </x:c>
      <x:c r="B48" s="36" t="str">
        <x:v>Cycle 1</x:v>
      </x:c>
      <x:c r="C48" s="36" t="str">
        <x:v>Phase 1</x:v>
      </x:c>
      <x:c r="D48" s="36" t="str">
        <x:v>Cards</x:v>
      </x:c>
      <x:c r="E48" s="69" t="str">
        <x:v>DR.CA.1.3.C10</x:v>
      </x:c>
      <x:c r="F48" s="37" t="str">
        <x:v>    Document data dictionary or field definitions for columns/rows</x:v>
      </x:c>
      <x:c r="G48" s="5"/>
      <x:c r="H48" s="11"/>
      <x:c r="I48" s="11"/>
      <x:c r="J48" s="11"/>
      <x:c r="K48" s="29"/>
      <x:c r="L48" s="2" t="str">
        <x:f>IF(A48,"Complete","Open check")</x:f>
        <x:v>Open check</x:v>
      </x:c>
      <x:c r="M48" s="2" t="str">
        <x:v>Checklist</x:v>
      </x:c>
      <x:c r="N48" s="2" t="str">
        <x:v>DR.CA.1.3.C10.2026.CY1</x:v>
      </x:c>
      <x:c r="O48" s="2" t="n">
        <x:f>R48</x:f>
        <x:v>0</x:v>
      </x:c>
      <x:c r="P48" s="2" t="str">
        <x:v>DR.CA.1.3.2026.CY1</x:v>
      </x:c>
      <x:c r="Q48" s="2" t="n">
        <x:v>0</x:v>
      </x:c>
      <x:c r="R48" s="2" t="n">
        <x:f>IF(A48,1,0)</x:f>
        <x:v>0</x:v>
      </x:c>
      <x:c r="S48" s="2" t="n">
        <x:f>SUBTOTAL(103,N48)</x:f>
        <x:v>1</x:v>
      </x:c>
    </x:row>
    <x:row r="49" ht="31" customHeight="1" outlineLevel="1">
      <x:c r="A49" s="28" t="b">
        <x:v>0</x:v>
      </x:c>
      <x:c r="B49" s="36" t="str">
        <x:v>Cycle 1</x:v>
      </x:c>
      <x:c r="C49" s="36" t="str">
        <x:v>Phase 1</x:v>
      </x:c>
      <x:c r="D49" s="36" t="str">
        <x:v>Cards</x:v>
      </x:c>
      <x:c r="E49" s="69" t="str">
        <x:v>DR.CA.1.3.C11</x:v>
      </x:c>
      <x:c r="F49" s="37" t="str">
        <x:v>    Document emerging trends, patterns, or concentrations along with supporting data</x:v>
      </x:c>
      <x:c r="G49" s="5"/>
      <x:c r="H49" s="11"/>
      <x:c r="I49" s="11"/>
      <x:c r="J49" s="11"/>
      <x:c r="K49" s="29"/>
      <x:c r="L49" s="2" t="str">
        <x:f>IF(A49,"Complete","Open check")</x:f>
        <x:v>Open check</x:v>
      </x:c>
      <x:c r="M49" s="2" t="str">
        <x:v>Checklist</x:v>
      </x:c>
      <x:c r="N49" s="2" t="str">
        <x:v>DR.CA.1.3.C11.2026.CY1</x:v>
      </x:c>
      <x:c r="O49" s="2" t="n">
        <x:f>R49</x:f>
        <x:v>0</x:v>
      </x:c>
      <x:c r="P49" s="2" t="str">
        <x:v>DR.CA.1.3.2026.CY1</x:v>
      </x:c>
      <x:c r="Q49" s="2" t="n">
        <x:v>0</x:v>
      </x:c>
      <x:c r="R49" s="2" t="n">
        <x:f>IF(A49,1,0)</x:f>
        <x:v>0</x:v>
      </x:c>
      <x:c r="S49" s="2" t="n">
        <x:f>SUBTOTAL(103,N49)</x:f>
        <x:v>1</x:v>
      </x:c>
    </x:row>
    <x:row r="50" ht="31" customHeight="1" outlineLevel="1">
      <x:c r="A50" s="28" t="b">
        <x:v>0</x:v>
      </x:c>
      <x:c r="B50" s="36" t="str">
        <x:v>Cycle 1</x:v>
      </x:c>
      <x:c r="C50" s="36" t="str">
        <x:v>Phase 1</x:v>
      </x:c>
      <x:c r="D50" s="36" t="str">
        <x:v>Cards</x:v>
      </x:c>
      <x:c r="E50" s="69" t="str">
        <x:v>DR.CA.1.3.C12</x:v>
      </x:c>
      <x:c r="F50" s="37" t="str">
        <x:v>    Document any severe spikes in volume along with context (as needed)</x:v>
      </x:c>
      <x:c r="G50" s="5"/>
      <x:c r="H50" s="11"/>
      <x:c r="I50" s="11"/>
      <x:c r="J50" s="11"/>
      <x:c r="K50" s="29"/>
      <x:c r="L50" s="2" t="str">
        <x:f>IF(A50,"Complete","Open check")</x:f>
        <x:v>Open check</x:v>
      </x:c>
      <x:c r="M50" s="2" t="str">
        <x:v>Checklist</x:v>
      </x:c>
      <x:c r="N50" s="2" t="str">
        <x:v>DR.CA.1.3.C12.2026.CY1</x:v>
      </x:c>
      <x:c r="O50" s="2" t="n">
        <x:f>R50</x:f>
        <x:v>0</x:v>
      </x:c>
      <x:c r="P50" s="2" t="str">
        <x:v>DR.CA.1.3.2026.CY1</x:v>
      </x:c>
      <x:c r="Q50" s="2" t="n">
        <x:v>0</x:v>
      </x:c>
      <x:c r="R50" s="2" t="n">
        <x:f>IF(A50,1,0)</x:f>
        <x:v>0</x:v>
      </x:c>
      <x:c r="S50" s="2" t="n">
        <x:f>SUBTOTAL(103,N50)</x:f>
        <x:v>1</x:v>
      </x:c>
    </x:row>
    <x:row r="51" ht="31" customHeight="1" outlineLevel="1">
      <x:c r="A51" s="28" t="b">
        <x:v>0</x:v>
      </x:c>
      <x:c r="B51" s="36" t="str">
        <x:v>Cycle 1</x:v>
      </x:c>
      <x:c r="C51" s="36" t="str">
        <x:v>Phase 1</x:v>
      </x:c>
      <x:c r="D51" s="36" t="str">
        <x:v>Cards</x:v>
      </x:c>
      <x:c r="E51" s="69" t="str">
        <x:v>DR.CA.1.3.C13</x:v>
      </x:c>
      <x:c r="F51" s="37" t="str">
        <x:v>    Document clear summary explaining how the data connects to the potential topic</x:v>
      </x:c>
      <x:c r="G51" s="5"/>
      <x:c r="H51" s="11"/>
      <x:c r="I51" s="11"/>
      <x:c r="J51" s="11"/>
      <x:c r="K51" s="29"/>
      <x:c r="L51" s="2" t="str">
        <x:f>IF(A51,"Complete","Open check")</x:f>
        <x:v>Open check</x:v>
      </x:c>
      <x:c r="M51" s="2" t="str">
        <x:v>Checklist</x:v>
      </x:c>
      <x:c r="N51" s="2" t="str">
        <x:v>DR.CA.1.3.C13.2026.CY1</x:v>
      </x:c>
      <x:c r="O51" s="2" t="n">
        <x:f>R51</x:f>
        <x:v>0</x:v>
      </x:c>
      <x:c r="P51" s="2" t="str">
        <x:v>DR.CA.1.3.2026.CY1</x:v>
      </x:c>
      <x:c r="Q51" s="2" t="n">
        <x:v>0</x:v>
      </x:c>
      <x:c r="R51" s="2" t="n">
        <x:f>IF(A51,1,0)</x:f>
        <x:v>0</x:v>
      </x:c>
      <x:c r="S51" s="2" t="n">
        <x:f>SUBTOTAL(103,N51)</x:f>
        <x:v>1</x:v>
      </x:c>
    </x:row>
    <x:row r="52" ht="42" customHeight="1">
      <x:c r="A52" s="28" t="b">
        <x:v>0</x:v>
      </x:c>
      <x:c r="B52" s="2" t="str">
        <x:v>Cycle 1</x:v>
      </x:c>
      <x:c r="C52" s="2" t="str">
        <x:v>Phase 2</x:v>
      </x:c>
      <x:c r="D52" s="2" t="str">
        <x:v>Cards</x:v>
      </x:c>
      <x:c r="E52" s="56" t="str">
        <x:v>DR.CA.2.1</x:v>
      </x:c>
      <x:c r="F52" s="14" t="str">
        <x:v>Ensure data is clean, structured, and usable without manipulation needed</x:v>
      </x:c>
      <x:c r="G52" s="5"/>
      <x:c r="H52" s="11"/>
      <x:c r="I52" s="11" t="n">
        <x:f>'Cycles &amp; Guide'!$D$10</x:f>
        <x:v>46112</x:v>
      </x:c>
      <x:c r="J52" s="11"/>
      <x:c r="K52" s="29"/>
      <x:c r="L52" s="2" t="str">
        <x:f>IF(O52=1,"Complete",IF(A52,"Checklist open",IF(H52&lt;&gt;"","In progress","Not started")))</x:f>
        <x:v>Not started</x:v>
      </x:c>
      <x:c r="M52" s="2" t="str">
        <x:v>Task</x:v>
      </x:c>
      <x:c r="N52" s="2" t="str">
        <x:v>DR.CA.2.1.2026.CY1</x:v>
      </x:c>
      <x:c r="O52" s="2" t="n">
        <x:f>R52</x:f>
        <x:v>0</x:v>
      </x:c>
      <x:c r="P52" s="2"/>
      <x:c r="Q52" s="2" t="n">
        <x:v>1</x:v>
      </x:c>
      <x:c r="R52" s="2" t="n">
        <x:f>IF(A52,1,0)</x:f>
        <x:v>0</x:v>
      </x:c>
      <x:c r="S52" s="2" t="n">
        <x:f>SUBTOTAL(103,N52)</x:f>
        <x:v>1</x:v>
      </x:c>
    </x:row>
    <x:row r="53" ht="42" customHeight="1">
      <x:c r="A53" s="28" t="b">
        <x:v>0</x:v>
      </x:c>
      <x:c r="B53" s="2" t="str">
        <x:v>Cycle 1</x:v>
      </x:c>
      <x:c r="C53" s="2" t="str">
        <x:v>Phase 2</x:v>
      </x:c>
      <x:c r="D53" s="2" t="str">
        <x:v>Cards</x:v>
      </x:c>
      <x:c r="E53" s="56" t="str">
        <x:v>DR.CA.2.2</x:v>
      </x:c>
      <x:c r="F53" s="14" t="str">
        <x:v>Clearly document rationale for each topic recommendation within the SharePoint list</x:v>
      </x:c>
      <x:c r="G53" s="5"/>
      <x:c r="H53" s="11"/>
      <x:c r="I53" s="11" t="n">
        <x:f>'Cycles &amp; Guide'!$D$10</x:f>
        <x:v>46112</x:v>
      </x:c>
      <x:c r="J53" s="11"/>
      <x:c r="K53" s="29"/>
      <x:c r="L53" s="2" t="str">
        <x:f>IF(O53=1,"Complete",IF(A53,"Checklist open",IF(H53&lt;&gt;"","In progress","Not started")))</x:f>
        <x:v>Not started</x:v>
      </x:c>
      <x:c r="M53" s="2" t="str">
        <x:v>Task</x:v>
      </x:c>
      <x:c r="N53" s="2" t="str">
        <x:v>DR.CA.2.2.2026.CY1</x:v>
      </x:c>
      <x:c r="O53" s="2" t="n">
        <x:f>R53</x:f>
        <x:v>0</x:v>
      </x:c>
      <x:c r="P53" s="2"/>
      <x:c r="Q53" s="2" t="n">
        <x:v>1</x:v>
      </x:c>
      <x:c r="R53" s="2" t="n">
        <x:f>IF(A53,1,0)</x:f>
        <x:v>0</x:v>
      </x:c>
      <x:c r="S53" s="2" t="n">
        <x:f>SUBTOTAL(103,N53)</x:f>
        <x:v>1</x:v>
      </x:c>
    </x:row>
    <x:row r="54" ht="42" customHeight="1">
      <x:c r="A54" s="28" t="b">
        <x:v>0</x:v>
      </x:c>
      <x:c r="B54" s="2" t="str">
        <x:v>Cycle 1</x:v>
      </x:c>
      <x:c r="C54" s="2" t="str">
        <x:v>Phase 2</x:v>
      </x:c>
      <x:c r="D54" s="2" t="str">
        <x:v>Cards</x:v>
      </x:c>
      <x:c r="E54" s="56" t="str">
        <x:v>DR.CA.2.3</x:v>
      </x:c>
      <x:c r="F54" s="14" t="str">
        <x:v>Verify topic is eligible for RCA and does not conflict with Attorney Client Privilege</x:v>
      </x:c>
      <x:c r="G54" s="5"/>
      <x:c r="H54" s="11"/>
      <x:c r="I54" s="11" t="n">
        <x:f>'Cycles &amp; Guide'!$D$10</x:f>
        <x:v>46112</x:v>
      </x:c>
      <x:c r="J54" s="11"/>
      <x:c r="K54" s="29"/>
      <x:c r="L54" s="2" t="str">
        <x:f>IF(O54=1,"Complete",IF(A54,"Checklist open",IF(H54&lt;&gt;"","In progress","Not started")))</x:f>
        <x:v>Not started</x:v>
      </x:c>
      <x:c r="M54" s="2" t="str">
        <x:v>Task</x:v>
      </x:c>
      <x:c r="N54" s="2" t="str">
        <x:v>DR.CA.2.3.2026.CY1</x:v>
      </x:c>
      <x:c r="O54" s="2" t="n">
        <x:f>R54</x:f>
        <x:v>0</x:v>
      </x:c>
      <x:c r="P54" s="2"/>
      <x:c r="Q54" s="2" t="n">
        <x:v>1</x:v>
      </x:c>
      <x:c r="R54" s="2" t="n">
        <x:f>IF(A54,1,0)</x:f>
        <x:v>0</x:v>
      </x:c>
      <x:c r="S54" s="2" t="n">
        <x:f>SUBTOTAL(103,N54)</x:f>
        <x:v>1</x:v>
      </x:c>
    </x:row>
    <x:row r="55" ht="42" customHeight="1">
      <x:c r="A55" s="28" t="b">
        <x:v>0</x:v>
      </x:c>
      <x:c r="B55" s="2" t="str">
        <x:v>Cycle 1</x:v>
      </x:c>
      <x:c r="C55" s="2" t="str">
        <x:v>Phase 2</x:v>
      </x:c>
      <x:c r="D55" s="2" t="str">
        <x:v>Cards</x:v>
      </x:c>
      <x:c r="E55" s="56" t="str">
        <x:v>DR.CA.2.4</x:v>
      </x:c>
      <x:c r="F55" s="14" t="str">
        <x:v>Ensure data is free of errors and anomalies prior to hand-off to Research</x:v>
      </x:c>
      <x:c r="G55" s="5"/>
      <x:c r="H55" s="11"/>
      <x:c r="I55" s="11" t="n">
        <x:f>'Cycles &amp; Guide'!$D$10</x:f>
        <x:v>46112</x:v>
      </x:c>
      <x:c r="J55" s="11"/>
      <x:c r="K55" s="29"/>
      <x:c r="L55" s="2" t="str">
        <x:f>IF(O55=1,"Complete",IF(A55,"Checklist open",IF(H55&lt;&gt;"","In progress","Not started")))</x:f>
        <x:v>Not started</x:v>
      </x:c>
      <x:c r="M55" s="2" t="str">
        <x:v>Task</x:v>
      </x:c>
      <x:c r="N55" s="2" t="str">
        <x:v>DR.CA.2.4.2026.CY1</x:v>
      </x:c>
      <x:c r="O55" s="2" t="n">
        <x:f>R55</x:f>
        <x:v>0</x:v>
      </x:c>
      <x:c r="P55" s="2"/>
      <x:c r="Q55" s="2" t="n">
        <x:v>1</x:v>
      </x:c>
      <x:c r="R55" s="2" t="n">
        <x:f>IF(A55,1,0)</x:f>
        <x:v>0</x:v>
      </x:c>
      <x:c r="S55" s="2" t="n">
        <x:f>SUBTOTAL(103,N55)</x:f>
        <x:v>1</x:v>
      </x:c>
    </x:row>
    <x:row r="56" ht="42" customHeight="1">
      <x:c r="A56" s="28" t="b">
        <x:v>0</x:v>
      </x:c>
      <x:c r="B56" s="2" t="str">
        <x:v>Cycle 1</x:v>
      </x:c>
      <x:c r="C56" s="2" t="str">
        <x:v>Phase 2</x:v>
      </x:c>
      <x:c r="D56" s="2" t="str">
        <x:v>Cards</x:v>
      </x:c>
      <x:c r="E56" s="56" t="str">
        <x:v>DR.CA.2.5</x:v>
      </x:c>
      <x:c r="F56" s="14" t="str">
        <x:v>Ensure topic is not a duplicate from a previous Cycle</x:v>
      </x:c>
      <x:c r="G56" s="5"/>
      <x:c r="H56" s="11"/>
      <x:c r="I56" s="11" t="n">
        <x:f>'Cycles &amp; Guide'!$D$10</x:f>
        <x:v>46112</x:v>
      </x:c>
      <x:c r="J56" s="11"/>
      <x:c r="K56" s="29"/>
      <x:c r="L56" s="2" t="str">
        <x:f>IF(O56=1,"Complete",IF(A56,"Checklist open",IF(H56&lt;&gt;"","In progress","Not started")))</x:f>
        <x:v>Not started</x:v>
      </x:c>
      <x:c r="M56" s="2" t="str">
        <x:v>Task</x:v>
      </x:c>
      <x:c r="N56" s="2" t="str">
        <x:v>DR.CA.2.5.2026.CY1</x:v>
      </x:c>
      <x:c r="O56" s="2" t="n">
        <x:f>R56</x:f>
        <x:v>0</x:v>
      </x:c>
      <x:c r="P56" s="2"/>
      <x:c r="Q56" s="2" t="n">
        <x:v>1</x:v>
      </x:c>
      <x:c r="R56" s="2" t="n">
        <x:f>IF(A56,1,0)</x:f>
        <x:v>0</x:v>
      </x:c>
      <x:c r="S56" s="2" t="n">
        <x:f>SUBTOTAL(103,N56)</x:f>
        <x:v>1</x:v>
      </x:c>
    </x:row>
    <x:row r="57" ht="42" customHeight="1">
      <x:c r="A57" s="28" t="b">
        <x:v>0</x:v>
      </x:c>
      <x:c r="B57" s="2" t="str">
        <x:v>Cycle 1</x:v>
      </x:c>
      <x:c r="C57" s="2" t="str">
        <x:v>Phase 2</x:v>
      </x:c>
      <x:c r="D57" s="2" t="str">
        <x:v>Cards</x:v>
      </x:c>
      <x:c r="E57" s="56" t="str">
        <x:v>DR.CA.2.6</x:v>
      </x:c>
      <x:c r="F57" s="14" t="str">
        <x:v>Document clear distinctions between facts, assumptions, and hypotheses within the data package</x:v>
      </x:c>
      <x:c r="G57" s="5"/>
      <x:c r="H57" s="11"/>
      <x:c r="I57" s="11" t="n">
        <x:f>'Cycles &amp; Guide'!$D$10</x:f>
        <x:v>46112</x:v>
      </x:c>
      <x:c r="J57" s="11"/>
      <x:c r="K57" s="29"/>
      <x:c r="L57" s="2" t="str">
        <x:f>IF(O57=1,"Complete",IF(A57,"Checklist open",IF(H57&lt;&gt;"","In progress","Not started")))</x:f>
        <x:v>Not started</x:v>
      </x:c>
      <x:c r="M57" s="2" t="str">
        <x:v>Task</x:v>
      </x:c>
      <x:c r="N57" s="2" t="str">
        <x:v>DR.CA.2.6.2026.CY1</x:v>
      </x:c>
      <x:c r="O57" s="2" t="n">
        <x:f>R57</x:f>
        <x:v>0</x:v>
      </x:c>
      <x:c r="P57" s="2"/>
      <x:c r="Q57" s="2" t="n">
        <x:v>1</x:v>
      </x:c>
      <x:c r="R57" s="2" t="n">
        <x:f>IF(A57,1,0)</x:f>
        <x:v>0</x:v>
      </x:c>
      <x:c r="S57" s="2" t="n">
        <x:f>SUBTOTAL(103,N57)</x:f>
        <x:v>1</x:v>
      </x:c>
    </x:row>
    <x:row r="58" ht="42" customHeight="1">
      <x:c r="A58" s="28" t="b">
        <x:v>0</x:v>
      </x:c>
      <x:c r="B58" s="2" t="str">
        <x:v>Cycle 1</x:v>
      </x:c>
      <x:c r="C58" s="2" t="str">
        <x:v>Phase 3</x:v>
      </x:c>
      <x:c r="D58" s="2" t="str">
        <x:v>Cards</x:v>
      </x:c>
      <x:c r="E58" s="56" t="str">
        <x:v>DR.CA.3.1</x:v>
      </x:c>
      <x:c r="F58" s="14" t="str">
        <x:v>Clearly document rationale for each topic recommendation within the SharePoint list item</x:v>
      </x:c>
      <x:c r="G58" s="5"/>
      <x:c r="H58" s="11"/>
      <x:c r="I58" s="11" t="n">
        <x:f>'Cycles &amp; Guide'!$D$10</x:f>
        <x:v>46112</x:v>
      </x:c>
      <x:c r="J58" s="11"/>
      <x:c r="K58" s="29"/>
      <x:c r="L58" s="2" t="str">
        <x:f>IF(O58=1,"Complete",IF(A58,"Checklist open",IF(H58&lt;&gt;"","In progress","Not started")))</x:f>
        <x:v>Not started</x:v>
      </x:c>
      <x:c r="M58" s="2" t="str">
        <x:v>Task</x:v>
      </x:c>
      <x:c r="N58" s="2" t="str">
        <x:v>DR.CA.3.1.2026.CY1</x:v>
      </x:c>
      <x:c r="O58" s="2" t="n">
        <x:f>R58</x:f>
        <x:v>0</x:v>
      </x:c>
      <x:c r="P58" s="2"/>
      <x:c r="Q58" s="2" t="n">
        <x:v>1</x:v>
      </x:c>
      <x:c r="R58" s="2" t="n">
        <x:f>IF(A58,1,0)</x:f>
        <x:v>0</x:v>
      </x:c>
      <x:c r="S58" s="2" t="n">
        <x:f>SUBTOTAL(103,N58)</x:f>
        <x:v>1</x:v>
      </x:c>
    </x:row>
    <x:row r="59" ht="42" customHeight="1">
      <x:c r="A59" s="28" t="b">
        <x:v>0</x:v>
      </x:c>
      <x:c r="B59" s="2" t="str">
        <x:v>Cycle 1</x:v>
      </x:c>
      <x:c r="C59" s="2" t="str">
        <x:v>Phase 3</x:v>
      </x:c>
      <x:c r="D59" s="2" t="str">
        <x:v>Cards</x:v>
      </x:c>
      <x:c r="E59" s="56" t="str">
        <x:v>DR.CA.3.2</x:v>
      </x:c>
      <x:c r="F59" s="14" t="str">
        <x:v>Attach the data package for each topic recommendation within the SharePoint list item</x:v>
      </x:c>
      <x:c r="G59" s="5"/>
      <x:c r="H59" s="11"/>
      <x:c r="I59" s="11" t="n">
        <x:f>'Cycles &amp; Guide'!$D$10</x:f>
        <x:v>46112</x:v>
      </x:c>
      <x:c r="J59" s="11"/>
      <x:c r="K59" s="29"/>
      <x:c r="L59" s="2" t="str">
        <x:f>IF(O59=1,"Complete",IF(A59,"Checklist open",IF(H59&lt;&gt;"","In progress","Not started")))</x:f>
        <x:v>Not started</x:v>
      </x:c>
      <x:c r="M59" s="2" t="str">
        <x:v>Task</x:v>
      </x:c>
      <x:c r="N59" s="2" t="str">
        <x:v>DR.CA.3.2.2026.CY1</x:v>
      </x:c>
      <x:c r="O59" s="2" t="n">
        <x:f>R59</x:f>
        <x:v>0</x:v>
      </x:c>
      <x:c r="P59" s="2"/>
      <x:c r="Q59" s="2" t="n">
        <x:v>1</x:v>
      </x:c>
      <x:c r="R59" s="2" t="n">
        <x:f>IF(A59,1,0)</x:f>
        <x:v>0</x:v>
      </x:c>
      <x:c r="S59" s="2" t="n">
        <x:f>SUBTOTAL(103,N59)</x:f>
        <x:v>1</x:v>
      </x:c>
    </x:row>
    <x:row r="60" ht="42" customHeight="1">
      <x:c r="A60" s="28" t="b">
        <x:v>0</x:v>
      </x:c>
      <x:c r="B60" s="2" t="str">
        <x:v>Cycle 1</x:v>
      </x:c>
      <x:c r="C60" s="2" t="str">
        <x:v>Phase 3</x:v>
      </x:c>
      <x:c r="D60" s="2" t="str">
        <x:v>Cards</x:v>
      </x:c>
      <x:c r="E60" s="56" t="str">
        <x:v>DR.CA.3.3</x:v>
      </x:c>
      <x:c r="F60" s="14" t="str">
        <x:v>Confirm data privileges have been granted, ensuring each pillar can access</x:v>
      </x:c>
      <x:c r="G60" s="5"/>
      <x:c r="H60" s="11"/>
      <x:c r="I60" s="11" t="n">
        <x:f>'Cycles &amp; Guide'!$D$10</x:f>
        <x:v>46112</x:v>
      </x:c>
      <x:c r="J60" s="11"/>
      <x:c r="K60" s="29"/>
      <x:c r="L60" s="2" t="str">
        <x:f>IF(O60=1,"Complete",IF(A60,"Checklist open",IF(H60&lt;&gt;"","In progress","Not started")))</x:f>
        <x:v>Not started</x:v>
      </x:c>
      <x:c r="M60" s="2" t="str">
        <x:v>Task</x:v>
      </x:c>
      <x:c r="N60" s="2" t="str">
        <x:v>DR.CA.3.3.2026.CY1</x:v>
      </x:c>
      <x:c r="O60" s="2" t="n">
        <x:f>R60</x:f>
        <x:v>0</x:v>
      </x:c>
      <x:c r="P60" s="2"/>
      <x:c r="Q60" s="2" t="n">
        <x:v>1</x:v>
      </x:c>
      <x:c r="R60" s="2" t="n">
        <x:f>IF(A60,1,0)</x:f>
        <x:v>0</x:v>
      </x:c>
      <x:c r="S60" s="2" t="n">
        <x:f>SUBTOTAL(103,N60)</x:f>
        <x:v>1</x:v>
      </x:c>
    </x:row>
    <x:row r="61" ht="42" customHeight="1">
      <x:c r="A61" s="28" t="b">
        <x:v>0</x:v>
      </x:c>
      <x:c r="B61" s="2" t="str">
        <x:v>Cycle 1</x:v>
      </x:c>
      <x:c r="C61" s="2" t="str">
        <x:v>Phase 3</x:v>
      </x:c>
      <x:c r="D61" s="2" t="str">
        <x:v>Cards</x:v>
      </x:c>
      <x:c r="E61" s="56" t="str">
        <x:v>DR.CA.3.4</x:v>
      </x:c>
      <x:c r="F61" s="14" t="str">
        <x:v>Ensure Power Automate notifications were correctly triggered within Microsoft Teams</x:v>
      </x:c>
      <x:c r="G61" s="5"/>
      <x:c r="H61" s="11"/>
      <x:c r="I61" s="11" t="n">
        <x:f>'Cycles &amp; Guide'!$D$10</x:f>
        <x:v>46112</x:v>
      </x:c>
      <x:c r="J61" s="11"/>
      <x:c r="K61" s="29"/>
      <x:c r="L61" s="2" t="str">
        <x:f>IF(O61=1,"Complete",IF(A61,"Checklist open",IF(H61&lt;&gt;"","In progress","Not started")))</x:f>
        <x:v>Not started</x:v>
      </x:c>
      <x:c r="M61" s="2" t="str">
        <x:v>Task</x:v>
      </x:c>
      <x:c r="N61" s="2" t="str">
        <x:v>DR.CA.3.4.2026.CY1</x:v>
      </x:c>
      <x:c r="O61" s="2" t="n">
        <x:f>R61</x:f>
        <x:v>0</x:v>
      </x:c>
      <x:c r="P61" s="2"/>
      <x:c r="Q61" s="2" t="n">
        <x:v>1</x:v>
      </x:c>
      <x:c r="R61" s="2" t="n">
        <x:f>IF(A61,1,0)</x:f>
        <x:v>0</x:v>
      </x:c>
      <x:c r="S61" s="2" t="n">
        <x:f>SUBTOTAL(103,N61)</x:f>
        <x:v>1</x:v>
      </x:c>
    </x:row>
    <x:row r="62" ht="42" customHeight="1">
      <x:c r="A62" s="28" t="b">
        <x:v>0</x:v>
      </x:c>
      <x:c r="B62" s="2" t="str">
        <x:v>Cycle 1</x:v>
      </x:c>
      <x:c r="C62" s="2" t="str">
        <x:v>Phase 1</x:v>
      </x:c>
      <x:c r="D62" s="2" t="str">
        <x:v>CSBBO - Banking Ops</x:v>
      </x:c>
      <x:c r="E62" s="56" t="str">
        <x:v>DR.BO.1.1</x:v>
      </x:c>
      <x:c r="F62" s="14" t="str">
        <x:v>Review data sources 3 weeks prior to Cycle start (Complaints, Gen AI, Loudspeaker, NPS, etc.)</x:v>
      </x:c>
      <x:c r="G62" s="5"/>
      <x:c r="H62" s="11"/>
      <x:c r="I62" s="11" t="n">
        <x:f>'Cycles &amp; Guide'!$C$10-21</x:f>
        <x:v>46002</x:v>
      </x:c>
      <x:c r="J62" s="11"/>
      <x:c r="K62" s="29"/>
      <x:c r="L62" s="2" t="str">
        <x:f>IF(O62=1,"Complete",IF(A62,"Checklist open",IF(H62&lt;&gt;"","In progress","Not started")))</x:f>
        <x:v>Not started</x:v>
      </x:c>
      <x:c r="M62" s="2" t="str">
        <x:v>Task</x:v>
      </x:c>
      <x:c r="N62" s="2" t="str">
        <x:v>DR.BO.1.1.2026.CY1</x:v>
      </x:c>
      <x:c r="O62" s="2" t="n">
        <x:f>R62</x:f>
        <x:v>0</x:v>
      </x:c>
      <x:c r="P62" s="2"/>
      <x:c r="Q62" s="2" t="n">
        <x:v>1</x:v>
      </x:c>
      <x:c r="R62" s="2" t="n">
        <x:f>IF(A62,1,0)</x:f>
        <x:v>0</x:v>
      </x:c>
      <x:c r="S62" s="2" t="n">
        <x:f>SUBTOTAL(103,N62)</x:f>
        <x:v>1</x:v>
      </x:c>
    </x:row>
    <x:row r="63" ht="42" customHeight="1">
      <x:c r="A63" s="28" t="b">
        <x:v>0</x:v>
      </x:c>
      <x:c r="B63" s="2" t="str">
        <x:v>Cycle 1</x:v>
      </x:c>
      <x:c r="C63" s="2" t="str">
        <x:v>Phase 1</x:v>
      </x:c>
      <x:c r="D63" s="2" t="str">
        <x:v>CSBBO - Banking Ops</x:v>
      </x:c>
      <x:c r="E63" s="56" t="str">
        <x:v>DR.BO.1.2</x:v>
      </x:c>
      <x:c r="F63" s="14" t="str">
        <x:v>Identify two potential topics for the upcoming Cycle</x:v>
      </x:c>
      <x:c r="G63" s="5"/>
      <x:c r="H63" s="11"/>
      <x:c r="I63" s="11" t="n">
        <x:f>'Cycles &amp; Guide'!$D$10</x:f>
        <x:v>46112</x:v>
      </x:c>
      <x:c r="J63" s="11"/>
      <x:c r="K63" s="29"/>
      <x:c r="L63" s="2" t="str">
        <x:f>IF(O63=1,"Complete",IF(A63,"Checklist open",IF(H63&lt;&gt;"","In progress","Not started")))</x:f>
        <x:v>Not started</x:v>
      </x:c>
      <x:c r="M63" s="2" t="str">
        <x:v>Task</x:v>
      </x:c>
      <x:c r="N63" s="2" t="str">
        <x:v>DR.BO.1.2.2026.CY1</x:v>
      </x:c>
      <x:c r="O63" s="2" t="n">
        <x:f>R63</x:f>
        <x:v>0</x:v>
      </x:c>
      <x:c r="P63" s="2"/>
      <x:c r="Q63" s="2" t="n">
        <x:v>1</x:v>
      </x:c>
      <x:c r="R63" s="2" t="n">
        <x:f>IF(A63,1,0)</x:f>
        <x:v>0</x:v>
      </x:c>
      <x:c r="S63" s="2" t="n">
        <x:f>SUBTOTAL(103,N63)</x:f>
        <x:v>1</x:v>
      </x:c>
    </x:row>
    <x:row r="64" ht="42" customHeight="1">
      <x:c r="A64" s="28" t="b">
        <x:v>0</x:v>
      </x:c>
      <x:c r="B64" s="2" t="str">
        <x:v>Cycle 1</x:v>
      </x:c>
      <x:c r="C64" s="2" t="str">
        <x:v>Phase 1</x:v>
      </x:c>
      <x:c r="D64" s="2" t="str">
        <x:v>CSBBO - Banking Ops</x:v>
      </x:c>
      <x:c r="E64" s="68" t="str">
        <x:v>DR.BO.1.3</x:v>
      </x:c>
      <x:c r="F64" s="33" t="str">
        <x:v>Extract data for both potential topics, ensuring all checklist items below are included/completed</x:v>
      </x:c>
      <x:c r="G64" s="5"/>
      <x:c r="H64" s="11"/>
      <x:c r="I64" s="11" t="n">
        <x:f>'Cycles &amp; Guide'!$D$10</x:f>
        <x:v>46112</x:v>
      </x:c>
      <x:c r="J64" s="11"/>
      <x:c r="K64" s="29"/>
      <x:c r="L64" s="2" t="str">
        <x:f>IF(O64=1,"Complete",IF(A64,"Checklist open",IF(H64&lt;&gt;"","In progress","Not started")))</x:f>
        <x:v>Not started</x:v>
      </x:c>
      <x:c r="M64" s="2" t="str">
        <x:v>Task</x:v>
      </x:c>
      <x:c r="N64" s="2" t="str">
        <x:v>DR.BO.1.3.2026.CY1</x:v>
      </x:c>
      <x:c r="O64" s="2" t="n">
        <x:f>IF(A64,IF(SUMIFS($R$10:$R$737,$P$10:$P$737,N64)=13,1,0),0)</x:f>
        <x:v>0</x:v>
      </x:c>
      <x:c r="P64" s="2"/>
      <x:c r="Q64" s="2" t="n">
        <x:v>1</x:v>
      </x:c>
      <x:c r="R64" s="2" t="n">
        <x:f>IF(A64,1,0)</x:f>
        <x:v>0</x:v>
      </x:c>
      <x:c r="S64" s="2" t="n">
        <x:f>SUBTOTAL(103,N64)</x:f>
        <x:v>1</x:v>
      </x:c>
    </x:row>
    <x:row r="65" ht="31" customHeight="1" outlineLevel="1">
      <x:c r="A65" s="28" t="b">
        <x:v>0</x:v>
      </x:c>
      <x:c r="B65" s="36" t="str">
        <x:v>Cycle 1</x:v>
      </x:c>
      <x:c r="C65" s="36" t="str">
        <x:v>Phase 1</x:v>
      </x:c>
      <x:c r="D65" s="36" t="str">
        <x:v>CSBBO - Banking Ops</x:v>
      </x:c>
      <x:c r="E65" s="69" t="str">
        <x:v>DR.BO.1.3.C01</x:v>
      </x:c>
      <x:c r="F65" s="37" t="str">
        <x:v>    Document date range extracted</x:v>
      </x:c>
      <x:c r="G65" s="5"/>
      <x:c r="H65" s="11"/>
      <x:c r="I65" s="11"/>
      <x:c r="J65" s="11"/>
      <x:c r="K65" s="29"/>
      <x:c r="L65" s="2" t="str">
        <x:f>IF(A65,"Complete","Open check")</x:f>
        <x:v>Open check</x:v>
      </x:c>
      <x:c r="M65" s="2" t="str">
        <x:v>Checklist</x:v>
      </x:c>
      <x:c r="N65" s="2" t="str">
        <x:v>DR.BO.1.3.C01.2026.CY1</x:v>
      </x:c>
      <x:c r="O65" s="2" t="n">
        <x:f>R65</x:f>
        <x:v>0</x:v>
      </x:c>
      <x:c r="P65" s="2" t="str">
        <x:v>DR.BO.1.3.2026.CY1</x:v>
      </x:c>
      <x:c r="Q65" s="2" t="n">
        <x:v>0</x:v>
      </x:c>
      <x:c r="R65" s="2" t="n">
        <x:f>IF(A65,1,0)</x:f>
        <x:v>0</x:v>
      </x:c>
      <x:c r="S65" s="2" t="n">
        <x:f>SUBTOTAL(103,N65)</x:f>
        <x:v>1</x:v>
      </x:c>
    </x:row>
    <x:row r="66" ht="31" customHeight="1" outlineLevel="1">
      <x:c r="A66" s="28" t="b">
        <x:v>0</x:v>
      </x:c>
      <x:c r="B66" s="36" t="str">
        <x:v>Cycle 1</x:v>
      </x:c>
      <x:c r="C66" s="36" t="str">
        <x:v>Phase 1</x:v>
      </x:c>
      <x:c r="D66" s="36" t="str">
        <x:v>CSBBO - Banking Ops</x:v>
      </x:c>
      <x:c r="E66" s="69" t="str">
        <x:v>DR.BO.1.3.C02</x:v>
      </x:c>
      <x:c r="F66" s="37" t="str">
        <x:v>    Document date of data pull</x:v>
      </x:c>
      <x:c r="G66" s="5"/>
      <x:c r="H66" s="11"/>
      <x:c r="I66" s="11"/>
      <x:c r="J66" s="11"/>
      <x:c r="K66" s="29"/>
      <x:c r="L66" s="2" t="str">
        <x:f>IF(A66,"Complete","Open check")</x:f>
        <x:v>Open check</x:v>
      </x:c>
      <x:c r="M66" s="2" t="str">
        <x:v>Checklist</x:v>
      </x:c>
      <x:c r="N66" s="2" t="str">
        <x:v>DR.BO.1.3.C02.2026.CY1</x:v>
      </x:c>
      <x:c r="O66" s="2" t="n">
        <x:f>R66</x:f>
        <x:v>0</x:v>
      </x:c>
      <x:c r="P66" s="2" t="str">
        <x:v>DR.BO.1.3.2026.CY1</x:v>
      </x:c>
      <x:c r="Q66" s="2" t="n">
        <x:v>0</x:v>
      </x:c>
      <x:c r="R66" s="2" t="n">
        <x:f>IF(A66,1,0)</x:f>
        <x:v>0</x:v>
      </x:c>
      <x:c r="S66" s="2" t="n">
        <x:f>SUBTOTAL(103,N66)</x:f>
        <x:v>1</x:v>
      </x:c>
    </x:row>
    <x:row r="67" ht="31" customHeight="1" outlineLevel="1">
      <x:c r="A67" s="28" t="b">
        <x:v>0</x:v>
      </x:c>
      <x:c r="B67" s="36" t="str">
        <x:v>Cycle 1</x:v>
      </x:c>
      <x:c r="C67" s="36" t="str">
        <x:v>Phase 1</x:v>
      </x:c>
      <x:c r="D67" s="36" t="str">
        <x:v>CSBBO - Banking Ops</x:v>
      </x:c>
      <x:c r="E67" s="69" t="str">
        <x:v>DR.BO.1.3.C03</x:v>
      </x:c>
      <x:c r="F67" s="37" t="str">
        <x:v>    Document population details</x:v>
      </x:c>
      <x:c r="G67" s="5"/>
      <x:c r="H67" s="11"/>
      <x:c r="I67" s="11"/>
      <x:c r="J67" s="11"/>
      <x:c r="K67" s="29"/>
      <x:c r="L67" s="2" t="str">
        <x:f>IF(A67,"Complete","Open check")</x:f>
        <x:v>Open check</x:v>
      </x:c>
      <x:c r="M67" s="2" t="str">
        <x:v>Checklist</x:v>
      </x:c>
      <x:c r="N67" s="2" t="str">
        <x:v>DR.BO.1.3.C03.2026.CY1</x:v>
      </x:c>
      <x:c r="O67" s="2" t="n">
        <x:f>R67</x:f>
        <x:v>0</x:v>
      </x:c>
      <x:c r="P67" s="2" t="str">
        <x:v>DR.BO.1.3.2026.CY1</x:v>
      </x:c>
      <x:c r="Q67" s="2" t="n">
        <x:v>0</x:v>
      </x:c>
      <x:c r="R67" s="2" t="n">
        <x:f>IF(A67,1,0)</x:f>
        <x:v>0</x:v>
      </x:c>
      <x:c r="S67" s="2" t="n">
        <x:f>SUBTOTAL(103,N67)</x:f>
        <x:v>1</x:v>
      </x:c>
    </x:row>
    <x:row r="68" ht="31" customHeight="1" outlineLevel="1">
      <x:c r="A68" s="28" t="b">
        <x:v>0</x:v>
      </x:c>
      <x:c r="B68" s="36" t="str">
        <x:v>Cycle 1</x:v>
      </x:c>
      <x:c r="C68" s="36" t="str">
        <x:v>Phase 1</x:v>
      </x:c>
      <x:c r="D68" s="36" t="str">
        <x:v>CSBBO - Banking Ops</x:v>
      </x:c>
      <x:c r="E68" s="69" t="str">
        <x:v>DR.BO.1.3.C04</x:v>
      </x:c>
      <x:c r="F68" s="37" t="str">
        <x:v>    Validate no data is missing</x:v>
      </x:c>
      <x:c r="G68" s="5"/>
      <x:c r="H68" s="11"/>
      <x:c r="I68" s="11"/>
      <x:c r="J68" s="11"/>
      <x:c r="K68" s="29"/>
      <x:c r="L68" s="2" t="str">
        <x:f>IF(A68,"Complete","Open check")</x:f>
        <x:v>Open check</x:v>
      </x:c>
      <x:c r="M68" s="2" t="str">
        <x:v>Checklist</x:v>
      </x:c>
      <x:c r="N68" s="2" t="str">
        <x:v>DR.BO.1.3.C04.2026.CY1</x:v>
      </x:c>
      <x:c r="O68" s="2" t="n">
        <x:f>R68</x:f>
        <x:v>0</x:v>
      </x:c>
      <x:c r="P68" s="2" t="str">
        <x:v>DR.BO.1.3.2026.CY1</x:v>
      </x:c>
      <x:c r="Q68" s="2" t="n">
        <x:v>0</x:v>
      </x:c>
      <x:c r="R68" s="2" t="n">
        <x:f>IF(A68,1,0)</x:f>
        <x:v>0</x:v>
      </x:c>
      <x:c r="S68" s="2" t="n">
        <x:f>SUBTOTAL(103,N68)</x:f>
        <x:v>1</x:v>
      </x:c>
    </x:row>
    <x:row r="69" ht="31" customHeight="1" outlineLevel="1">
      <x:c r="A69" s="28" t="b">
        <x:v>0</x:v>
      </x:c>
      <x:c r="B69" s="36" t="str">
        <x:v>Cycle 1</x:v>
      </x:c>
      <x:c r="C69" s="36" t="str">
        <x:v>Phase 1</x:v>
      </x:c>
      <x:c r="D69" s="36" t="str">
        <x:v>CSBBO - Banking Ops</x:v>
      </x:c>
      <x:c r="E69" s="69" t="str">
        <x:v>DR.BO.1.3.C05</x:v>
      </x:c>
      <x:c r="F69" s="37" t="str">
        <x:v>    Validate accuracy of data</x:v>
      </x:c>
      <x:c r="G69" s="5"/>
      <x:c r="H69" s="11"/>
      <x:c r="I69" s="11"/>
      <x:c r="J69" s="11"/>
      <x:c r="K69" s="29"/>
      <x:c r="L69" s="2" t="str">
        <x:f>IF(A69,"Complete","Open check")</x:f>
        <x:v>Open check</x:v>
      </x:c>
      <x:c r="M69" s="2" t="str">
        <x:v>Checklist</x:v>
      </x:c>
      <x:c r="N69" s="2" t="str">
        <x:v>DR.BO.1.3.C05.2026.CY1</x:v>
      </x:c>
      <x:c r="O69" s="2" t="n">
        <x:f>R69</x:f>
        <x:v>0</x:v>
      </x:c>
      <x:c r="P69" s="2" t="str">
        <x:v>DR.BO.1.3.2026.CY1</x:v>
      </x:c>
      <x:c r="Q69" s="2" t="n">
        <x:v>0</x:v>
      </x:c>
      <x:c r="R69" s="2" t="n">
        <x:f>IF(A69,1,0)</x:f>
        <x:v>0</x:v>
      </x:c>
      <x:c r="S69" s="2" t="n">
        <x:f>SUBTOTAL(103,N69)</x:f>
        <x:v>1</x:v>
      </x:c>
    </x:row>
    <x:row r="70" ht="31" customHeight="1" outlineLevel="1">
      <x:c r="A70" s="28" t="b">
        <x:v>0</x:v>
      </x:c>
      <x:c r="B70" s="36" t="str">
        <x:v>Cycle 1</x:v>
      </x:c>
      <x:c r="C70" s="36" t="str">
        <x:v>Phase 1</x:v>
      </x:c>
      <x:c r="D70" s="36" t="str">
        <x:v>CSBBO - Banking Ops</x:v>
      </x:c>
      <x:c r="E70" s="69" t="str">
        <x:v>DR.BO.1.3.C06</x:v>
      </x:c>
      <x:c r="F70" s="37" t="str">
        <x:v>    Validate no duplicate data is provided</x:v>
      </x:c>
      <x:c r="G70" s="5"/>
      <x:c r="H70" s="11"/>
      <x:c r="I70" s="11"/>
      <x:c r="J70" s="11"/>
      <x:c r="K70" s="29"/>
      <x:c r="L70" s="2" t="str">
        <x:f>IF(A70,"Complete","Open check")</x:f>
        <x:v>Open check</x:v>
      </x:c>
      <x:c r="M70" s="2" t="str">
        <x:v>Checklist</x:v>
      </x:c>
      <x:c r="N70" s="2" t="str">
        <x:v>DR.BO.1.3.C06.2026.CY1</x:v>
      </x:c>
      <x:c r="O70" s="2" t="n">
        <x:f>R70</x:f>
        <x:v>0</x:v>
      </x:c>
      <x:c r="P70" s="2" t="str">
        <x:v>DR.BO.1.3.2026.CY1</x:v>
      </x:c>
      <x:c r="Q70" s="2" t="n">
        <x:v>0</x:v>
      </x:c>
      <x:c r="R70" s="2" t="n">
        <x:f>IF(A70,1,0)</x:f>
        <x:v>0</x:v>
      </x:c>
      <x:c r="S70" s="2" t="n">
        <x:f>SUBTOTAL(103,N70)</x:f>
        <x:v>1</x:v>
      </x:c>
    </x:row>
    <x:row r="71" ht="31" customHeight="1" outlineLevel="1">
      <x:c r="A71" s="28" t="b">
        <x:v>0</x:v>
      </x:c>
      <x:c r="B71" s="36" t="str">
        <x:v>Cycle 1</x:v>
      </x:c>
      <x:c r="C71" s="36" t="str">
        <x:v>Phase 1</x:v>
      </x:c>
      <x:c r="D71" s="36" t="str">
        <x:v>CSBBO - Banking Ops</x:v>
      </x:c>
      <x:c r="E71" s="69" t="str">
        <x:v>DR.BO.1.3.C07</x:v>
      </x:c>
      <x:c r="F71" s="37" t="str">
        <x:v>    Document any data exclusions along with justification (as needed)</x:v>
      </x:c>
      <x:c r="G71" s="5"/>
      <x:c r="H71" s="11"/>
      <x:c r="I71" s="11"/>
      <x:c r="J71" s="11"/>
      <x:c r="K71" s="29"/>
      <x:c r="L71" s="2" t="str">
        <x:f>IF(A71,"Complete","Open check")</x:f>
        <x:v>Open check</x:v>
      </x:c>
      <x:c r="M71" s="2" t="str">
        <x:v>Checklist</x:v>
      </x:c>
      <x:c r="N71" s="2" t="str">
        <x:v>DR.BO.1.3.C07.2026.CY1</x:v>
      </x:c>
      <x:c r="O71" s="2" t="n">
        <x:f>R71</x:f>
        <x:v>0</x:v>
      </x:c>
      <x:c r="P71" s="2" t="str">
        <x:v>DR.BO.1.3.2026.CY1</x:v>
      </x:c>
      <x:c r="Q71" s="2" t="n">
        <x:v>0</x:v>
      </x:c>
      <x:c r="R71" s="2" t="n">
        <x:f>IF(A71,1,0)</x:f>
        <x:v>0</x:v>
      </x:c>
      <x:c r="S71" s="2" t="n">
        <x:f>SUBTOTAL(103,N71)</x:f>
        <x:v>1</x:v>
      </x:c>
    </x:row>
    <x:row r="72" ht="31" customHeight="1" outlineLevel="1">
      <x:c r="A72" s="28" t="b">
        <x:v>0</x:v>
      </x:c>
      <x:c r="B72" s="36" t="str">
        <x:v>Cycle 1</x:v>
      </x:c>
      <x:c r="C72" s="36" t="str">
        <x:v>Phase 1</x:v>
      </x:c>
      <x:c r="D72" s="36" t="str">
        <x:v>CSBBO - Banking Ops</x:v>
      </x:c>
      <x:c r="E72" s="69" t="str">
        <x:v>DR.BO.1.3.C08</x:v>
      </x:c>
      <x:c r="F72" s="37" t="str">
        <x:v>    Document any assumptions made with the data (as needed)</x:v>
      </x:c>
      <x:c r="G72" s="5"/>
      <x:c r="H72" s="11"/>
      <x:c r="I72" s="11"/>
      <x:c r="J72" s="11"/>
      <x:c r="K72" s="29"/>
      <x:c r="L72" s="2" t="str">
        <x:f>IF(A72,"Complete","Open check")</x:f>
        <x:v>Open check</x:v>
      </x:c>
      <x:c r="M72" s="2" t="str">
        <x:v>Checklist</x:v>
      </x:c>
      <x:c r="N72" s="2" t="str">
        <x:v>DR.BO.1.3.C08.2026.CY1</x:v>
      </x:c>
      <x:c r="O72" s="2" t="n">
        <x:f>R72</x:f>
        <x:v>0</x:v>
      </x:c>
      <x:c r="P72" s="2" t="str">
        <x:v>DR.BO.1.3.2026.CY1</x:v>
      </x:c>
      <x:c r="Q72" s="2" t="n">
        <x:v>0</x:v>
      </x:c>
      <x:c r="R72" s="2" t="n">
        <x:f>IF(A72,1,0)</x:f>
        <x:v>0</x:v>
      </x:c>
      <x:c r="S72" s="2" t="n">
        <x:f>SUBTOTAL(103,N72)</x:f>
        <x:v>1</x:v>
      </x:c>
    </x:row>
    <x:row r="73" ht="31" customHeight="1" outlineLevel="1">
      <x:c r="A73" s="28" t="b">
        <x:v>0</x:v>
      </x:c>
      <x:c r="B73" s="36" t="str">
        <x:v>Cycle 1</x:v>
      </x:c>
      <x:c r="C73" s="36" t="str">
        <x:v>Phase 1</x:v>
      </x:c>
      <x:c r="D73" s="36" t="str">
        <x:v>CSBBO - Banking Ops</x:v>
      </x:c>
      <x:c r="E73" s="69" t="str">
        <x:v>DR.BO.1.3.C09</x:v>
      </x:c>
      <x:c r="F73" s="37" t="str">
        <x:v>    Document any data limitations or constraints clearly (as needed)</x:v>
      </x:c>
      <x:c r="G73" s="5"/>
      <x:c r="H73" s="11"/>
      <x:c r="I73" s="11"/>
      <x:c r="J73" s="11"/>
      <x:c r="K73" s="29"/>
      <x:c r="L73" s="2" t="str">
        <x:f>IF(A73,"Complete","Open check")</x:f>
        <x:v>Open check</x:v>
      </x:c>
      <x:c r="M73" s="2" t="str">
        <x:v>Checklist</x:v>
      </x:c>
      <x:c r="N73" s="2" t="str">
        <x:v>DR.BO.1.3.C09.2026.CY1</x:v>
      </x:c>
      <x:c r="O73" s="2" t="n">
        <x:f>R73</x:f>
        <x:v>0</x:v>
      </x:c>
      <x:c r="P73" s="2" t="str">
        <x:v>DR.BO.1.3.2026.CY1</x:v>
      </x:c>
      <x:c r="Q73" s="2" t="n">
        <x:v>0</x:v>
      </x:c>
      <x:c r="R73" s="2" t="n">
        <x:f>IF(A73,1,0)</x:f>
        <x:v>0</x:v>
      </x:c>
      <x:c r="S73" s="2" t="n">
        <x:f>SUBTOTAL(103,N73)</x:f>
        <x:v>1</x:v>
      </x:c>
    </x:row>
    <x:row r="74" ht="31" customHeight="1" outlineLevel="1">
      <x:c r="A74" s="28" t="b">
        <x:v>0</x:v>
      </x:c>
      <x:c r="B74" s="36" t="str">
        <x:v>Cycle 1</x:v>
      </x:c>
      <x:c r="C74" s="36" t="str">
        <x:v>Phase 1</x:v>
      </x:c>
      <x:c r="D74" s="36" t="str">
        <x:v>CSBBO - Banking Ops</x:v>
      </x:c>
      <x:c r="E74" s="69" t="str">
        <x:v>DR.BO.1.3.C10</x:v>
      </x:c>
      <x:c r="F74" s="37" t="str">
        <x:v>    Document data dictionary or field definitions for columns/rows</x:v>
      </x:c>
      <x:c r="G74" s="5"/>
      <x:c r="H74" s="11"/>
      <x:c r="I74" s="11"/>
      <x:c r="J74" s="11"/>
      <x:c r="K74" s="29"/>
      <x:c r="L74" s="2" t="str">
        <x:f>IF(A74,"Complete","Open check")</x:f>
        <x:v>Open check</x:v>
      </x:c>
      <x:c r="M74" s="2" t="str">
        <x:v>Checklist</x:v>
      </x:c>
      <x:c r="N74" s="2" t="str">
        <x:v>DR.BO.1.3.C10.2026.CY1</x:v>
      </x:c>
      <x:c r="O74" s="2" t="n">
        <x:f>R74</x:f>
        <x:v>0</x:v>
      </x:c>
      <x:c r="P74" s="2" t="str">
        <x:v>DR.BO.1.3.2026.CY1</x:v>
      </x:c>
      <x:c r="Q74" s="2" t="n">
        <x:v>0</x:v>
      </x:c>
      <x:c r="R74" s="2" t="n">
        <x:f>IF(A74,1,0)</x:f>
        <x:v>0</x:v>
      </x:c>
      <x:c r="S74" s="2" t="n">
        <x:f>SUBTOTAL(103,N74)</x:f>
        <x:v>1</x:v>
      </x:c>
    </x:row>
    <x:row r="75" ht="31" customHeight="1" outlineLevel="1">
      <x:c r="A75" s="28" t="b">
        <x:v>0</x:v>
      </x:c>
      <x:c r="B75" s="36" t="str">
        <x:v>Cycle 1</x:v>
      </x:c>
      <x:c r="C75" s="36" t="str">
        <x:v>Phase 1</x:v>
      </x:c>
      <x:c r="D75" s="36" t="str">
        <x:v>CSBBO - Banking Ops</x:v>
      </x:c>
      <x:c r="E75" s="69" t="str">
        <x:v>DR.BO.1.3.C11</x:v>
      </x:c>
      <x:c r="F75" s="37" t="str">
        <x:v>    Document emerging trends, patterns, or concentrations along with supporting data</x:v>
      </x:c>
      <x:c r="G75" s="5"/>
      <x:c r="H75" s="11"/>
      <x:c r="I75" s="11"/>
      <x:c r="J75" s="11"/>
      <x:c r="K75" s="29"/>
      <x:c r="L75" s="2" t="str">
        <x:f>IF(A75,"Complete","Open check")</x:f>
        <x:v>Open check</x:v>
      </x:c>
      <x:c r="M75" s="2" t="str">
        <x:v>Checklist</x:v>
      </x:c>
      <x:c r="N75" s="2" t="str">
        <x:v>DR.BO.1.3.C11.2026.CY1</x:v>
      </x:c>
      <x:c r="O75" s="2" t="n">
        <x:f>R75</x:f>
        <x:v>0</x:v>
      </x:c>
      <x:c r="P75" s="2" t="str">
        <x:v>DR.BO.1.3.2026.CY1</x:v>
      </x:c>
      <x:c r="Q75" s="2" t="n">
        <x:v>0</x:v>
      </x:c>
      <x:c r="R75" s="2" t="n">
        <x:f>IF(A75,1,0)</x:f>
        <x:v>0</x:v>
      </x:c>
      <x:c r="S75" s="2" t="n">
        <x:f>SUBTOTAL(103,N75)</x:f>
        <x:v>1</x:v>
      </x:c>
    </x:row>
    <x:row r="76" ht="31" customHeight="1" outlineLevel="1">
      <x:c r="A76" s="28" t="b">
        <x:v>0</x:v>
      </x:c>
      <x:c r="B76" s="36" t="str">
        <x:v>Cycle 1</x:v>
      </x:c>
      <x:c r="C76" s="36" t="str">
        <x:v>Phase 1</x:v>
      </x:c>
      <x:c r="D76" s="36" t="str">
        <x:v>CSBBO - Banking Ops</x:v>
      </x:c>
      <x:c r="E76" s="69" t="str">
        <x:v>DR.BO.1.3.C12</x:v>
      </x:c>
      <x:c r="F76" s="37" t="str">
        <x:v>    Document any severe spikes in volume along with context (as needed)</x:v>
      </x:c>
      <x:c r="G76" s="5"/>
      <x:c r="H76" s="11"/>
      <x:c r="I76" s="11"/>
      <x:c r="J76" s="11"/>
      <x:c r="K76" s="29"/>
      <x:c r="L76" s="2" t="str">
        <x:f>IF(A76,"Complete","Open check")</x:f>
        <x:v>Open check</x:v>
      </x:c>
      <x:c r="M76" s="2" t="str">
        <x:v>Checklist</x:v>
      </x:c>
      <x:c r="N76" s="2" t="str">
        <x:v>DR.BO.1.3.C12.2026.CY1</x:v>
      </x:c>
      <x:c r="O76" s="2" t="n">
        <x:f>R76</x:f>
        <x:v>0</x:v>
      </x:c>
      <x:c r="P76" s="2" t="str">
        <x:v>DR.BO.1.3.2026.CY1</x:v>
      </x:c>
      <x:c r="Q76" s="2" t="n">
        <x:v>0</x:v>
      </x:c>
      <x:c r="R76" s="2" t="n">
        <x:f>IF(A76,1,0)</x:f>
        <x:v>0</x:v>
      </x:c>
      <x:c r="S76" s="2" t="n">
        <x:f>SUBTOTAL(103,N76)</x:f>
        <x:v>1</x:v>
      </x:c>
    </x:row>
    <x:row r="77" ht="31" customHeight="1" outlineLevel="1">
      <x:c r="A77" s="28" t="b">
        <x:v>0</x:v>
      </x:c>
      <x:c r="B77" s="36" t="str">
        <x:v>Cycle 1</x:v>
      </x:c>
      <x:c r="C77" s="36" t="str">
        <x:v>Phase 1</x:v>
      </x:c>
      <x:c r="D77" s="36" t="str">
        <x:v>CSBBO - Banking Ops</x:v>
      </x:c>
      <x:c r="E77" s="69" t="str">
        <x:v>DR.BO.1.3.C13</x:v>
      </x:c>
      <x:c r="F77" s="37" t="str">
        <x:v>    Document clear summary explaining how the data connects to the potential topic</x:v>
      </x:c>
      <x:c r="G77" s="5"/>
      <x:c r="H77" s="11"/>
      <x:c r="I77" s="11"/>
      <x:c r="J77" s="11"/>
      <x:c r="K77" s="29"/>
      <x:c r="L77" s="2" t="str">
        <x:f>IF(A77,"Complete","Open check")</x:f>
        <x:v>Open check</x:v>
      </x:c>
      <x:c r="M77" s="2" t="str">
        <x:v>Checklist</x:v>
      </x:c>
      <x:c r="N77" s="2" t="str">
        <x:v>DR.BO.1.3.C13.2026.CY1</x:v>
      </x:c>
      <x:c r="O77" s="2" t="n">
        <x:f>R77</x:f>
        <x:v>0</x:v>
      </x:c>
      <x:c r="P77" s="2" t="str">
        <x:v>DR.BO.1.3.2026.CY1</x:v>
      </x:c>
      <x:c r="Q77" s="2" t="n">
        <x:v>0</x:v>
      </x:c>
      <x:c r="R77" s="2" t="n">
        <x:f>IF(A77,1,0)</x:f>
        <x:v>0</x:v>
      </x:c>
      <x:c r="S77" s="2" t="n">
        <x:f>SUBTOTAL(103,N77)</x:f>
        <x:v>1</x:v>
      </x:c>
    </x:row>
    <x:row r="78" ht="42" customHeight="1">
      <x:c r="A78" s="28" t="b">
        <x:v>0</x:v>
      </x:c>
      <x:c r="B78" s="2" t="str">
        <x:v>Cycle 1</x:v>
      </x:c>
      <x:c r="C78" s="2" t="str">
        <x:v>Phase 2</x:v>
      </x:c>
      <x:c r="D78" s="2" t="str">
        <x:v>CSBBO - Banking Ops</x:v>
      </x:c>
      <x:c r="E78" s="56" t="str">
        <x:v>DR.BO.2.1</x:v>
      </x:c>
      <x:c r="F78" s="14" t="str">
        <x:v>Ensure data is clean, structured, and usable without manipulation needed</x:v>
      </x:c>
      <x:c r="G78" s="5"/>
      <x:c r="H78" s="11"/>
      <x:c r="I78" s="11" t="n">
        <x:f>'Cycles &amp; Guide'!$D$10</x:f>
        <x:v>46112</x:v>
      </x:c>
      <x:c r="J78" s="11"/>
      <x:c r="K78" s="29"/>
      <x:c r="L78" s="2" t="str">
        <x:f>IF(O78=1,"Complete",IF(A78,"Checklist open",IF(H78&lt;&gt;"","In progress","Not started")))</x:f>
        <x:v>Not started</x:v>
      </x:c>
      <x:c r="M78" s="2" t="str">
        <x:v>Task</x:v>
      </x:c>
      <x:c r="N78" s="2" t="str">
        <x:v>DR.BO.2.1.2026.CY1</x:v>
      </x:c>
      <x:c r="O78" s="2" t="n">
        <x:f>R78</x:f>
        <x:v>0</x:v>
      </x:c>
      <x:c r="P78" s="2"/>
      <x:c r="Q78" s="2" t="n">
        <x:v>1</x:v>
      </x:c>
      <x:c r="R78" s="2" t="n">
        <x:f>IF(A78,1,0)</x:f>
        <x:v>0</x:v>
      </x:c>
      <x:c r="S78" s="2" t="n">
        <x:f>SUBTOTAL(103,N78)</x:f>
        <x:v>1</x:v>
      </x:c>
    </x:row>
    <x:row r="79" ht="42" customHeight="1">
      <x:c r="A79" s="28" t="b">
        <x:v>0</x:v>
      </x:c>
      <x:c r="B79" s="2" t="str">
        <x:v>Cycle 1</x:v>
      </x:c>
      <x:c r="C79" s="2" t="str">
        <x:v>Phase 2</x:v>
      </x:c>
      <x:c r="D79" s="2" t="str">
        <x:v>CSBBO - Banking Ops</x:v>
      </x:c>
      <x:c r="E79" s="56" t="str">
        <x:v>DR.BO.2.2</x:v>
      </x:c>
      <x:c r="F79" s="14" t="str">
        <x:v>Clearly document rationale for each topic recommendation within the SharePoint list</x:v>
      </x:c>
      <x:c r="G79" s="5"/>
      <x:c r="H79" s="11"/>
      <x:c r="I79" s="11" t="n">
        <x:f>'Cycles &amp; Guide'!$D$10</x:f>
        <x:v>46112</x:v>
      </x:c>
      <x:c r="J79" s="11"/>
      <x:c r="K79" s="29"/>
      <x:c r="L79" s="2" t="str">
        <x:f>IF(O79=1,"Complete",IF(A79,"Checklist open",IF(H79&lt;&gt;"","In progress","Not started")))</x:f>
        <x:v>Not started</x:v>
      </x:c>
      <x:c r="M79" s="2" t="str">
        <x:v>Task</x:v>
      </x:c>
      <x:c r="N79" s="2" t="str">
        <x:v>DR.BO.2.2.2026.CY1</x:v>
      </x:c>
      <x:c r="O79" s="2" t="n">
        <x:f>R79</x:f>
        <x:v>0</x:v>
      </x:c>
      <x:c r="P79" s="2"/>
      <x:c r="Q79" s="2" t="n">
        <x:v>1</x:v>
      </x:c>
      <x:c r="R79" s="2" t="n">
        <x:f>IF(A79,1,0)</x:f>
        <x:v>0</x:v>
      </x:c>
      <x:c r="S79" s="2" t="n">
        <x:f>SUBTOTAL(103,N79)</x:f>
        <x:v>1</x:v>
      </x:c>
    </x:row>
    <x:row r="80" ht="42" customHeight="1">
      <x:c r="A80" s="28" t="b">
        <x:v>0</x:v>
      </x:c>
      <x:c r="B80" s="2" t="str">
        <x:v>Cycle 1</x:v>
      </x:c>
      <x:c r="C80" s="2" t="str">
        <x:v>Phase 2</x:v>
      </x:c>
      <x:c r="D80" s="2" t="str">
        <x:v>CSBBO - Banking Ops</x:v>
      </x:c>
      <x:c r="E80" s="56" t="str">
        <x:v>DR.BO.2.3</x:v>
      </x:c>
      <x:c r="F80" s="14" t="str">
        <x:v>Verify topic is eligible for RCA and does not conflict with Attorney Client Privilege</x:v>
      </x:c>
      <x:c r="G80" s="5"/>
      <x:c r="H80" s="11"/>
      <x:c r="I80" s="11" t="n">
        <x:f>'Cycles &amp; Guide'!$D$10</x:f>
        <x:v>46112</x:v>
      </x:c>
      <x:c r="J80" s="11"/>
      <x:c r="K80" s="29"/>
      <x:c r="L80" s="2" t="str">
        <x:f>IF(O80=1,"Complete",IF(A80,"Checklist open",IF(H80&lt;&gt;"","In progress","Not started")))</x:f>
        <x:v>Not started</x:v>
      </x:c>
      <x:c r="M80" s="2" t="str">
        <x:v>Task</x:v>
      </x:c>
      <x:c r="N80" s="2" t="str">
        <x:v>DR.BO.2.3.2026.CY1</x:v>
      </x:c>
      <x:c r="O80" s="2" t="n">
        <x:f>R80</x:f>
        <x:v>0</x:v>
      </x:c>
      <x:c r="P80" s="2"/>
      <x:c r="Q80" s="2" t="n">
        <x:v>1</x:v>
      </x:c>
      <x:c r="R80" s="2" t="n">
        <x:f>IF(A80,1,0)</x:f>
        <x:v>0</x:v>
      </x:c>
      <x:c r="S80" s="2" t="n">
        <x:f>SUBTOTAL(103,N80)</x:f>
        <x:v>1</x:v>
      </x:c>
    </x:row>
    <x:row r="81" ht="42" customHeight="1">
      <x:c r="A81" s="28" t="b">
        <x:v>0</x:v>
      </x:c>
      <x:c r="B81" s="2" t="str">
        <x:v>Cycle 1</x:v>
      </x:c>
      <x:c r="C81" s="2" t="str">
        <x:v>Phase 2</x:v>
      </x:c>
      <x:c r="D81" s="2" t="str">
        <x:v>CSBBO - Banking Ops</x:v>
      </x:c>
      <x:c r="E81" s="56" t="str">
        <x:v>DR.BO.2.4</x:v>
      </x:c>
      <x:c r="F81" s="14" t="str">
        <x:v>Ensure data is free of errors and anomalies prior to hand-off to Research</x:v>
      </x:c>
      <x:c r="G81" s="5"/>
      <x:c r="H81" s="11"/>
      <x:c r="I81" s="11" t="n">
        <x:f>'Cycles &amp; Guide'!$D$10</x:f>
        <x:v>46112</x:v>
      </x:c>
      <x:c r="J81" s="11"/>
      <x:c r="K81" s="29"/>
      <x:c r="L81" s="2" t="str">
        <x:f>IF(O81=1,"Complete",IF(A81,"Checklist open",IF(H81&lt;&gt;"","In progress","Not started")))</x:f>
        <x:v>Not started</x:v>
      </x:c>
      <x:c r="M81" s="2" t="str">
        <x:v>Task</x:v>
      </x:c>
      <x:c r="N81" s="2" t="str">
        <x:v>DR.BO.2.4.2026.CY1</x:v>
      </x:c>
      <x:c r="O81" s="2" t="n">
        <x:f>R81</x:f>
        <x:v>0</x:v>
      </x:c>
      <x:c r="P81" s="2"/>
      <x:c r="Q81" s="2" t="n">
        <x:v>1</x:v>
      </x:c>
      <x:c r="R81" s="2" t="n">
        <x:f>IF(A81,1,0)</x:f>
        <x:v>0</x:v>
      </x:c>
      <x:c r="S81" s="2" t="n">
        <x:f>SUBTOTAL(103,N81)</x:f>
        <x:v>1</x:v>
      </x:c>
    </x:row>
    <x:row r="82" ht="42" customHeight="1">
      <x:c r="A82" s="28" t="b">
        <x:v>0</x:v>
      </x:c>
      <x:c r="B82" s="2" t="str">
        <x:v>Cycle 1</x:v>
      </x:c>
      <x:c r="C82" s="2" t="str">
        <x:v>Phase 2</x:v>
      </x:c>
      <x:c r="D82" s="2" t="str">
        <x:v>CSBBO - Banking Ops</x:v>
      </x:c>
      <x:c r="E82" s="56" t="str">
        <x:v>DR.BO.2.5</x:v>
      </x:c>
      <x:c r="F82" s="14" t="str">
        <x:v>Ensure topic is not a duplicate from a previous Cycle</x:v>
      </x:c>
      <x:c r="G82" s="5"/>
      <x:c r="H82" s="11"/>
      <x:c r="I82" s="11" t="n">
        <x:f>'Cycles &amp; Guide'!$D$10</x:f>
        <x:v>46112</x:v>
      </x:c>
      <x:c r="J82" s="11"/>
      <x:c r="K82" s="29"/>
      <x:c r="L82" s="2" t="str">
        <x:f>IF(O82=1,"Complete",IF(A82,"Checklist open",IF(H82&lt;&gt;"","In progress","Not started")))</x:f>
        <x:v>Not started</x:v>
      </x:c>
      <x:c r="M82" s="2" t="str">
        <x:v>Task</x:v>
      </x:c>
      <x:c r="N82" s="2" t="str">
        <x:v>DR.BO.2.5.2026.CY1</x:v>
      </x:c>
      <x:c r="O82" s="2" t="n">
        <x:f>R82</x:f>
        <x:v>0</x:v>
      </x:c>
      <x:c r="P82" s="2"/>
      <x:c r="Q82" s="2" t="n">
        <x:v>1</x:v>
      </x:c>
      <x:c r="R82" s="2" t="n">
        <x:f>IF(A82,1,0)</x:f>
        <x:v>0</x:v>
      </x:c>
      <x:c r="S82" s="2" t="n">
        <x:f>SUBTOTAL(103,N82)</x:f>
        <x:v>1</x:v>
      </x:c>
    </x:row>
    <x:row r="83" ht="42" customHeight="1">
      <x:c r="A83" s="28" t="b">
        <x:v>0</x:v>
      </x:c>
      <x:c r="B83" s="2" t="str">
        <x:v>Cycle 1</x:v>
      </x:c>
      <x:c r="C83" s="2" t="str">
        <x:v>Phase 2</x:v>
      </x:c>
      <x:c r="D83" s="2" t="str">
        <x:v>CSBBO - Banking Ops</x:v>
      </x:c>
      <x:c r="E83" s="56" t="str">
        <x:v>DR.BO.2.6</x:v>
      </x:c>
      <x:c r="F83" s="14" t="str">
        <x:v>Document clear distinctions between facts, assumptions, and hypotheses within the data package</x:v>
      </x:c>
      <x:c r="G83" s="5"/>
      <x:c r="H83" s="11"/>
      <x:c r="I83" s="11" t="n">
        <x:f>'Cycles &amp; Guide'!$D$10</x:f>
        <x:v>46112</x:v>
      </x:c>
      <x:c r="J83" s="11"/>
      <x:c r="K83" s="29"/>
      <x:c r="L83" s="2" t="str">
        <x:f>IF(O83=1,"Complete",IF(A83,"Checklist open",IF(H83&lt;&gt;"","In progress","Not started")))</x:f>
        <x:v>Not started</x:v>
      </x:c>
      <x:c r="M83" s="2" t="str">
        <x:v>Task</x:v>
      </x:c>
      <x:c r="N83" s="2" t="str">
        <x:v>DR.BO.2.6.2026.CY1</x:v>
      </x:c>
      <x:c r="O83" s="2" t="n">
        <x:f>R83</x:f>
        <x:v>0</x:v>
      </x:c>
      <x:c r="P83" s="2"/>
      <x:c r="Q83" s="2" t="n">
        <x:v>1</x:v>
      </x:c>
      <x:c r="R83" s="2" t="n">
        <x:f>IF(A83,1,0)</x:f>
        <x:v>0</x:v>
      </x:c>
      <x:c r="S83" s="2" t="n">
        <x:f>SUBTOTAL(103,N83)</x:f>
        <x:v>1</x:v>
      </x:c>
    </x:row>
    <x:row r="84" ht="42" customHeight="1">
      <x:c r="A84" s="28" t="b">
        <x:v>0</x:v>
      </x:c>
      <x:c r="B84" s="2" t="str">
        <x:v>Cycle 1</x:v>
      </x:c>
      <x:c r="C84" s="2" t="str">
        <x:v>Phase 3</x:v>
      </x:c>
      <x:c r="D84" s="2" t="str">
        <x:v>CSBBO - Banking Ops</x:v>
      </x:c>
      <x:c r="E84" s="56" t="str">
        <x:v>DR.BO.3.1</x:v>
      </x:c>
      <x:c r="F84" s="14" t="str">
        <x:v>Clearly document rationale for each topic recommendation within the SharePoint list item</x:v>
      </x:c>
      <x:c r="G84" s="5"/>
      <x:c r="H84" s="11"/>
      <x:c r="I84" s="11" t="n">
        <x:f>'Cycles &amp; Guide'!$D$10</x:f>
        <x:v>46112</x:v>
      </x:c>
      <x:c r="J84" s="11"/>
      <x:c r="K84" s="29"/>
      <x:c r="L84" s="2" t="str">
        <x:f>IF(O84=1,"Complete",IF(A84,"Checklist open",IF(H84&lt;&gt;"","In progress","Not started")))</x:f>
        <x:v>Not started</x:v>
      </x:c>
      <x:c r="M84" s="2" t="str">
        <x:v>Task</x:v>
      </x:c>
      <x:c r="N84" s="2" t="str">
        <x:v>DR.BO.3.1.2026.CY1</x:v>
      </x:c>
      <x:c r="O84" s="2" t="n">
        <x:f>R84</x:f>
        <x:v>0</x:v>
      </x:c>
      <x:c r="P84" s="2"/>
      <x:c r="Q84" s="2" t="n">
        <x:v>1</x:v>
      </x:c>
      <x:c r="R84" s="2" t="n">
        <x:f>IF(A84,1,0)</x:f>
        <x:v>0</x:v>
      </x:c>
      <x:c r="S84" s="2" t="n">
        <x:f>SUBTOTAL(103,N84)</x:f>
        <x:v>1</x:v>
      </x:c>
    </x:row>
    <x:row r="85" ht="42" customHeight="1">
      <x:c r="A85" s="28" t="b">
        <x:v>0</x:v>
      </x:c>
      <x:c r="B85" s="2" t="str">
        <x:v>Cycle 1</x:v>
      </x:c>
      <x:c r="C85" s="2" t="str">
        <x:v>Phase 3</x:v>
      </x:c>
      <x:c r="D85" s="2" t="str">
        <x:v>CSBBO - Banking Ops</x:v>
      </x:c>
      <x:c r="E85" s="56" t="str">
        <x:v>DR.BO.3.2</x:v>
      </x:c>
      <x:c r="F85" s="14" t="str">
        <x:v>Attach the data package for each topic recommendation within the SharePoint list item</x:v>
      </x:c>
      <x:c r="G85" s="5"/>
      <x:c r="H85" s="11"/>
      <x:c r="I85" s="11" t="n">
        <x:f>'Cycles &amp; Guide'!$D$10</x:f>
        <x:v>46112</x:v>
      </x:c>
      <x:c r="J85" s="11"/>
      <x:c r="K85" s="29"/>
      <x:c r="L85" s="2" t="str">
        <x:f>IF(O85=1,"Complete",IF(A85,"Checklist open",IF(H85&lt;&gt;"","In progress","Not started")))</x:f>
        <x:v>Not started</x:v>
      </x:c>
      <x:c r="M85" s="2" t="str">
        <x:v>Task</x:v>
      </x:c>
      <x:c r="N85" s="2" t="str">
        <x:v>DR.BO.3.2.2026.CY1</x:v>
      </x:c>
      <x:c r="O85" s="2" t="n">
        <x:f>R85</x:f>
        <x:v>0</x:v>
      </x:c>
      <x:c r="P85" s="2"/>
      <x:c r="Q85" s="2" t="n">
        <x:v>1</x:v>
      </x:c>
      <x:c r="R85" s="2" t="n">
        <x:f>IF(A85,1,0)</x:f>
        <x:v>0</x:v>
      </x:c>
      <x:c r="S85" s="2" t="n">
        <x:f>SUBTOTAL(103,N85)</x:f>
        <x:v>1</x:v>
      </x:c>
    </x:row>
    <x:row r="86" ht="42" customHeight="1">
      <x:c r="A86" s="28" t="b">
        <x:v>0</x:v>
      </x:c>
      <x:c r="B86" s="2" t="str">
        <x:v>Cycle 1</x:v>
      </x:c>
      <x:c r="C86" s="2" t="str">
        <x:v>Phase 3</x:v>
      </x:c>
      <x:c r="D86" s="2" t="str">
        <x:v>CSBBO - Banking Ops</x:v>
      </x:c>
      <x:c r="E86" s="56" t="str">
        <x:v>DR.BO.3.3</x:v>
      </x:c>
      <x:c r="F86" s="14" t="str">
        <x:v>Confirm data privileges have been granted, ensuring each pillar can access</x:v>
      </x:c>
      <x:c r="G86" s="5"/>
      <x:c r="H86" s="11"/>
      <x:c r="I86" s="11" t="n">
        <x:f>'Cycles &amp; Guide'!$D$10</x:f>
        <x:v>46112</x:v>
      </x:c>
      <x:c r="J86" s="11"/>
      <x:c r="K86" s="29"/>
      <x:c r="L86" s="2" t="str">
        <x:f>IF(O86=1,"Complete",IF(A86,"Checklist open",IF(H86&lt;&gt;"","In progress","Not started")))</x:f>
        <x:v>Not started</x:v>
      </x:c>
      <x:c r="M86" s="2" t="str">
        <x:v>Task</x:v>
      </x:c>
      <x:c r="N86" s="2" t="str">
        <x:v>DR.BO.3.3.2026.CY1</x:v>
      </x:c>
      <x:c r="O86" s="2" t="n">
        <x:f>R86</x:f>
        <x:v>0</x:v>
      </x:c>
      <x:c r="P86" s="2"/>
      <x:c r="Q86" s="2" t="n">
        <x:v>1</x:v>
      </x:c>
      <x:c r="R86" s="2" t="n">
        <x:f>IF(A86,1,0)</x:f>
        <x:v>0</x:v>
      </x:c>
      <x:c r="S86" s="2" t="n">
        <x:f>SUBTOTAL(103,N86)</x:f>
        <x:v>1</x:v>
      </x:c>
    </x:row>
    <x:row r="87" ht="42" customHeight="1">
      <x:c r="A87" s="28" t="b">
        <x:v>0</x:v>
      </x:c>
      <x:c r="B87" s="2" t="str">
        <x:v>Cycle 1</x:v>
      </x:c>
      <x:c r="C87" s="2" t="str">
        <x:v>Phase 3</x:v>
      </x:c>
      <x:c r="D87" s="2" t="str">
        <x:v>CSBBO - Banking Ops</x:v>
      </x:c>
      <x:c r="E87" s="56" t="str">
        <x:v>DR.BO.3.4</x:v>
      </x:c>
      <x:c r="F87" s="14" t="str">
        <x:v>Ensure Power Automate notifications were correctly triggered within Microsoft Teams</x:v>
      </x:c>
      <x:c r="G87" s="5"/>
      <x:c r="H87" s="11"/>
      <x:c r="I87" s="11" t="n">
        <x:f>'Cycles &amp; Guide'!$D$10</x:f>
        <x:v>46112</x:v>
      </x:c>
      <x:c r="J87" s="11"/>
      <x:c r="K87" s="29"/>
      <x:c r="L87" s="2" t="str">
        <x:f>IF(O87=1,"Complete",IF(A87,"Checklist open",IF(H87&lt;&gt;"","In progress","Not started")))</x:f>
        <x:v>Not started</x:v>
      </x:c>
      <x:c r="M87" s="2" t="str">
        <x:v>Task</x:v>
      </x:c>
      <x:c r="N87" s="2" t="str">
        <x:v>DR.BO.3.4.2026.CY1</x:v>
      </x:c>
      <x:c r="O87" s="2" t="n">
        <x:f>R87</x:f>
        <x:v>0</x:v>
      </x:c>
      <x:c r="P87" s="2"/>
      <x:c r="Q87" s="2" t="n">
        <x:v>1</x:v>
      </x:c>
      <x:c r="R87" s="2" t="n">
        <x:f>IF(A87,1,0)</x:f>
        <x:v>0</x:v>
      </x:c>
      <x:c r="S87" s="2" t="n">
        <x:f>SUBTOTAL(103,N87)</x:f>
        <x:v>1</x:v>
      </x:c>
    </x:row>
    <x:row r="88" ht="42" customHeight="1">
      <x:c r="A88" s="28" t="b">
        <x:v>0</x:v>
      </x:c>
      <x:c r="B88" s="2" t="str">
        <x:v>Cycle 1</x:v>
      </x:c>
      <x:c r="C88" s="2" t="str">
        <x:v>Phase 1</x:v>
      </x:c>
      <x:c r="D88" s="2" t="str">
        <x:v>CSBBO - Customer Service</x:v>
      </x:c>
      <x:c r="E88" s="56" t="str">
        <x:v>DR.CS.1.1</x:v>
      </x:c>
      <x:c r="F88" s="14" t="str">
        <x:v>Review data sources 3 weeks prior to Cycle start (Complaints, Gen AI, Loudspeaker, NPS, etc.)</x:v>
      </x:c>
      <x:c r="G88" s="5"/>
      <x:c r="H88" s="11"/>
      <x:c r="I88" s="11" t="n">
        <x:f>'Cycles &amp; Guide'!$C$10-21</x:f>
        <x:v>46002</x:v>
      </x:c>
      <x:c r="J88" s="11"/>
      <x:c r="K88" s="29"/>
      <x:c r="L88" s="2" t="str">
        <x:f>IF(O88=1,"Complete",IF(A88,"Checklist open",IF(H88&lt;&gt;"","In progress","Not started")))</x:f>
        <x:v>Not started</x:v>
      </x:c>
      <x:c r="M88" s="2" t="str">
        <x:v>Task</x:v>
      </x:c>
      <x:c r="N88" s="2" t="str">
        <x:v>DR.CS.1.1.2026.CY1</x:v>
      </x:c>
      <x:c r="O88" s="2" t="n">
        <x:f>R88</x:f>
        <x:v>0</x:v>
      </x:c>
      <x:c r="P88" s="2"/>
      <x:c r="Q88" s="2" t="n">
        <x:v>1</x:v>
      </x:c>
      <x:c r="R88" s="2" t="n">
        <x:f>IF(A88,1,0)</x:f>
        <x:v>0</x:v>
      </x:c>
      <x:c r="S88" s="2" t="n">
        <x:f>SUBTOTAL(103,N88)</x:f>
        <x:v>1</x:v>
      </x:c>
    </x:row>
    <x:row r="89" ht="42" customHeight="1">
      <x:c r="A89" s="28" t="b">
        <x:v>0</x:v>
      </x:c>
      <x:c r="B89" s="2" t="str">
        <x:v>Cycle 1</x:v>
      </x:c>
      <x:c r="C89" s="2" t="str">
        <x:v>Phase 1</x:v>
      </x:c>
      <x:c r="D89" s="2" t="str">
        <x:v>CSBBO - Customer Service</x:v>
      </x:c>
      <x:c r="E89" s="56" t="str">
        <x:v>DR.CS.1.2</x:v>
      </x:c>
      <x:c r="F89" s="14" t="str">
        <x:v>Identify two potential topics for the upcoming Cycle</x:v>
      </x:c>
      <x:c r="G89" s="5"/>
      <x:c r="H89" s="11"/>
      <x:c r="I89" s="11" t="n">
        <x:f>'Cycles &amp; Guide'!$D$10</x:f>
        <x:v>46112</x:v>
      </x:c>
      <x:c r="J89" s="11"/>
      <x:c r="K89" s="29"/>
      <x:c r="L89" s="2" t="str">
        <x:f>IF(O89=1,"Complete",IF(A89,"Checklist open",IF(H89&lt;&gt;"","In progress","Not started")))</x:f>
        <x:v>Not started</x:v>
      </x:c>
      <x:c r="M89" s="2" t="str">
        <x:v>Task</x:v>
      </x:c>
      <x:c r="N89" s="2" t="str">
        <x:v>DR.CS.1.2.2026.CY1</x:v>
      </x:c>
      <x:c r="O89" s="2" t="n">
        <x:f>R89</x:f>
        <x:v>0</x:v>
      </x:c>
      <x:c r="P89" s="2"/>
      <x:c r="Q89" s="2" t="n">
        <x:v>1</x:v>
      </x:c>
      <x:c r="R89" s="2" t="n">
        <x:f>IF(A89,1,0)</x:f>
        <x:v>0</x:v>
      </x:c>
      <x:c r="S89" s="2" t="n">
        <x:f>SUBTOTAL(103,N89)</x:f>
        <x:v>1</x:v>
      </x:c>
    </x:row>
    <x:row r="90" ht="42" customHeight="1">
      <x:c r="A90" s="28" t="b">
        <x:v>0</x:v>
      </x:c>
      <x:c r="B90" s="2" t="str">
        <x:v>Cycle 1</x:v>
      </x:c>
      <x:c r="C90" s="2" t="str">
        <x:v>Phase 1</x:v>
      </x:c>
      <x:c r="D90" s="2" t="str">
        <x:v>CSBBO - Customer Service</x:v>
      </x:c>
      <x:c r="E90" s="68" t="str">
        <x:v>DR.CS.1.3</x:v>
      </x:c>
      <x:c r="F90" s="33" t="str">
        <x:v>Extract data for both potential topics, ensuring all checklist items below are included/completed</x:v>
      </x:c>
      <x:c r="G90" s="5"/>
      <x:c r="H90" s="11"/>
      <x:c r="I90" s="11" t="n">
        <x:f>'Cycles &amp; Guide'!$D$10</x:f>
        <x:v>46112</x:v>
      </x:c>
      <x:c r="J90" s="11"/>
      <x:c r="K90" s="29"/>
      <x:c r="L90" s="2" t="str">
        <x:f>IF(O90=1,"Complete",IF(A90,"Checklist open",IF(H90&lt;&gt;"","In progress","Not started")))</x:f>
        <x:v>Not started</x:v>
      </x:c>
      <x:c r="M90" s="2" t="str">
        <x:v>Task</x:v>
      </x:c>
      <x:c r="N90" s="2" t="str">
        <x:v>DR.CS.1.3.2026.CY1</x:v>
      </x:c>
      <x:c r="O90" s="2" t="n">
        <x:f>IF(A90,IF(SUMIFS($R$10:$R$737,$P$10:$P$737,N90)=13,1,0),0)</x:f>
        <x:v>0</x:v>
      </x:c>
      <x:c r="P90" s="2"/>
      <x:c r="Q90" s="2" t="n">
        <x:v>1</x:v>
      </x:c>
      <x:c r="R90" s="2" t="n">
        <x:f>IF(A90,1,0)</x:f>
        <x:v>0</x:v>
      </x:c>
      <x:c r="S90" s="2" t="n">
        <x:f>SUBTOTAL(103,N90)</x:f>
        <x:v>1</x:v>
      </x:c>
    </x:row>
    <x:row r="91" ht="31" customHeight="1" outlineLevel="1">
      <x:c r="A91" s="28" t="b">
        <x:v>0</x:v>
      </x:c>
      <x:c r="B91" s="36" t="str">
        <x:v>Cycle 1</x:v>
      </x:c>
      <x:c r="C91" s="36" t="str">
        <x:v>Phase 1</x:v>
      </x:c>
      <x:c r="D91" s="36" t="str">
        <x:v>CSBBO - Customer Service</x:v>
      </x:c>
      <x:c r="E91" s="69" t="str">
        <x:v>DR.CS.1.3.C01</x:v>
      </x:c>
      <x:c r="F91" s="37" t="str">
        <x:v>    Document date range extracted</x:v>
      </x:c>
      <x:c r="G91" s="5"/>
      <x:c r="H91" s="11"/>
      <x:c r="I91" s="11"/>
      <x:c r="J91" s="11"/>
      <x:c r="K91" s="29"/>
      <x:c r="L91" s="2" t="str">
        <x:f>IF(A91,"Complete","Open check")</x:f>
        <x:v>Open check</x:v>
      </x:c>
      <x:c r="M91" s="2" t="str">
        <x:v>Checklist</x:v>
      </x:c>
      <x:c r="N91" s="2" t="str">
        <x:v>DR.CS.1.3.C01.2026.CY1</x:v>
      </x:c>
      <x:c r="O91" s="2" t="n">
        <x:f>R91</x:f>
        <x:v>0</x:v>
      </x:c>
      <x:c r="P91" s="2" t="str">
        <x:v>DR.CS.1.3.2026.CY1</x:v>
      </x:c>
      <x:c r="Q91" s="2" t="n">
        <x:v>0</x:v>
      </x:c>
      <x:c r="R91" s="2" t="n">
        <x:f>IF(A91,1,0)</x:f>
        <x:v>0</x:v>
      </x:c>
      <x:c r="S91" s="2" t="n">
        <x:f>SUBTOTAL(103,N91)</x:f>
        <x:v>1</x:v>
      </x:c>
    </x:row>
    <x:row r="92" ht="31" customHeight="1" outlineLevel="1">
      <x:c r="A92" s="28" t="b">
        <x:v>0</x:v>
      </x:c>
      <x:c r="B92" s="36" t="str">
        <x:v>Cycle 1</x:v>
      </x:c>
      <x:c r="C92" s="36" t="str">
        <x:v>Phase 1</x:v>
      </x:c>
      <x:c r="D92" s="36" t="str">
        <x:v>CSBBO - Customer Service</x:v>
      </x:c>
      <x:c r="E92" s="69" t="str">
        <x:v>DR.CS.1.3.C02</x:v>
      </x:c>
      <x:c r="F92" s="37" t="str">
        <x:v>    Document date of data pull</x:v>
      </x:c>
      <x:c r="G92" s="5"/>
      <x:c r="H92" s="11"/>
      <x:c r="I92" s="11"/>
      <x:c r="J92" s="11"/>
      <x:c r="K92" s="29"/>
      <x:c r="L92" s="2" t="str">
        <x:f>IF(A92,"Complete","Open check")</x:f>
        <x:v>Open check</x:v>
      </x:c>
      <x:c r="M92" s="2" t="str">
        <x:v>Checklist</x:v>
      </x:c>
      <x:c r="N92" s="2" t="str">
        <x:v>DR.CS.1.3.C02.2026.CY1</x:v>
      </x:c>
      <x:c r="O92" s="2" t="n">
        <x:f>R92</x:f>
        <x:v>0</x:v>
      </x:c>
      <x:c r="P92" s="2" t="str">
        <x:v>DR.CS.1.3.2026.CY1</x:v>
      </x:c>
      <x:c r="Q92" s="2" t="n">
        <x:v>0</x:v>
      </x:c>
      <x:c r="R92" s="2" t="n">
        <x:f>IF(A92,1,0)</x:f>
        <x:v>0</x:v>
      </x:c>
      <x:c r="S92" s="2" t="n">
        <x:f>SUBTOTAL(103,N92)</x:f>
        <x:v>1</x:v>
      </x:c>
    </x:row>
    <x:row r="93" ht="31" customHeight="1" outlineLevel="1">
      <x:c r="A93" s="28" t="b">
        <x:v>0</x:v>
      </x:c>
      <x:c r="B93" s="36" t="str">
        <x:v>Cycle 1</x:v>
      </x:c>
      <x:c r="C93" s="36" t="str">
        <x:v>Phase 1</x:v>
      </x:c>
      <x:c r="D93" s="36" t="str">
        <x:v>CSBBO - Customer Service</x:v>
      </x:c>
      <x:c r="E93" s="69" t="str">
        <x:v>DR.CS.1.3.C03</x:v>
      </x:c>
      <x:c r="F93" s="37" t="str">
        <x:v>    Document population details</x:v>
      </x:c>
      <x:c r="G93" s="5"/>
      <x:c r="H93" s="11"/>
      <x:c r="I93" s="11"/>
      <x:c r="J93" s="11"/>
      <x:c r="K93" s="29"/>
      <x:c r="L93" s="2" t="str">
        <x:f>IF(A93,"Complete","Open check")</x:f>
        <x:v>Open check</x:v>
      </x:c>
      <x:c r="M93" s="2" t="str">
        <x:v>Checklist</x:v>
      </x:c>
      <x:c r="N93" s="2" t="str">
        <x:v>DR.CS.1.3.C03.2026.CY1</x:v>
      </x:c>
      <x:c r="O93" s="2" t="n">
        <x:f>R93</x:f>
        <x:v>0</x:v>
      </x:c>
      <x:c r="P93" s="2" t="str">
        <x:v>DR.CS.1.3.2026.CY1</x:v>
      </x:c>
      <x:c r="Q93" s="2" t="n">
        <x:v>0</x:v>
      </x:c>
      <x:c r="R93" s="2" t="n">
        <x:f>IF(A93,1,0)</x:f>
        <x:v>0</x:v>
      </x:c>
      <x:c r="S93" s="2" t="n">
        <x:f>SUBTOTAL(103,N93)</x:f>
        <x:v>1</x:v>
      </x:c>
    </x:row>
    <x:row r="94" ht="31" customHeight="1" outlineLevel="1">
      <x:c r="A94" s="28" t="b">
        <x:v>0</x:v>
      </x:c>
      <x:c r="B94" s="36" t="str">
        <x:v>Cycle 1</x:v>
      </x:c>
      <x:c r="C94" s="36" t="str">
        <x:v>Phase 1</x:v>
      </x:c>
      <x:c r="D94" s="36" t="str">
        <x:v>CSBBO - Customer Service</x:v>
      </x:c>
      <x:c r="E94" s="69" t="str">
        <x:v>DR.CS.1.3.C04</x:v>
      </x:c>
      <x:c r="F94" s="37" t="str">
        <x:v>    Validate no data is missing</x:v>
      </x:c>
      <x:c r="G94" s="5"/>
      <x:c r="H94" s="11"/>
      <x:c r="I94" s="11"/>
      <x:c r="J94" s="11"/>
      <x:c r="K94" s="29"/>
      <x:c r="L94" s="2" t="str">
        <x:f>IF(A94,"Complete","Open check")</x:f>
        <x:v>Open check</x:v>
      </x:c>
      <x:c r="M94" s="2" t="str">
        <x:v>Checklist</x:v>
      </x:c>
      <x:c r="N94" s="2" t="str">
        <x:v>DR.CS.1.3.C04.2026.CY1</x:v>
      </x:c>
      <x:c r="O94" s="2" t="n">
        <x:f>R94</x:f>
        <x:v>0</x:v>
      </x:c>
      <x:c r="P94" s="2" t="str">
        <x:v>DR.CS.1.3.2026.CY1</x:v>
      </x:c>
      <x:c r="Q94" s="2" t="n">
        <x:v>0</x:v>
      </x:c>
      <x:c r="R94" s="2" t="n">
        <x:f>IF(A94,1,0)</x:f>
        <x:v>0</x:v>
      </x:c>
      <x:c r="S94" s="2" t="n">
        <x:f>SUBTOTAL(103,N94)</x:f>
        <x:v>1</x:v>
      </x:c>
    </x:row>
    <x:row r="95" ht="31" customHeight="1" outlineLevel="1">
      <x:c r="A95" s="28" t="b">
        <x:v>0</x:v>
      </x:c>
      <x:c r="B95" s="36" t="str">
        <x:v>Cycle 1</x:v>
      </x:c>
      <x:c r="C95" s="36" t="str">
        <x:v>Phase 1</x:v>
      </x:c>
      <x:c r="D95" s="36" t="str">
        <x:v>CSBBO - Customer Service</x:v>
      </x:c>
      <x:c r="E95" s="69" t="str">
        <x:v>DR.CS.1.3.C05</x:v>
      </x:c>
      <x:c r="F95" s="37" t="str">
        <x:v>    Validate accuracy of data</x:v>
      </x:c>
      <x:c r="G95" s="5"/>
      <x:c r="H95" s="11"/>
      <x:c r="I95" s="11"/>
      <x:c r="J95" s="11"/>
      <x:c r="K95" s="29"/>
      <x:c r="L95" s="2" t="str">
        <x:f>IF(A95,"Complete","Open check")</x:f>
        <x:v>Open check</x:v>
      </x:c>
      <x:c r="M95" s="2" t="str">
        <x:v>Checklist</x:v>
      </x:c>
      <x:c r="N95" s="2" t="str">
        <x:v>DR.CS.1.3.C05.2026.CY1</x:v>
      </x:c>
      <x:c r="O95" s="2" t="n">
        <x:f>R95</x:f>
        <x:v>0</x:v>
      </x:c>
      <x:c r="P95" s="2" t="str">
        <x:v>DR.CS.1.3.2026.CY1</x:v>
      </x:c>
      <x:c r="Q95" s="2" t="n">
        <x:v>0</x:v>
      </x:c>
      <x:c r="R95" s="2" t="n">
        <x:f>IF(A95,1,0)</x:f>
        <x:v>0</x:v>
      </x:c>
      <x:c r="S95" s="2" t="n">
        <x:f>SUBTOTAL(103,N95)</x:f>
        <x:v>1</x:v>
      </x:c>
    </x:row>
    <x:row r="96" ht="31" customHeight="1" outlineLevel="1">
      <x:c r="A96" s="28" t="b">
        <x:v>0</x:v>
      </x:c>
      <x:c r="B96" s="36" t="str">
        <x:v>Cycle 1</x:v>
      </x:c>
      <x:c r="C96" s="36" t="str">
        <x:v>Phase 1</x:v>
      </x:c>
      <x:c r="D96" s="36" t="str">
        <x:v>CSBBO - Customer Service</x:v>
      </x:c>
      <x:c r="E96" s="69" t="str">
        <x:v>DR.CS.1.3.C06</x:v>
      </x:c>
      <x:c r="F96" s="37" t="str">
        <x:v>    Validate no duplicate data is provided</x:v>
      </x:c>
      <x:c r="G96" s="5"/>
      <x:c r="H96" s="11"/>
      <x:c r="I96" s="11"/>
      <x:c r="J96" s="11"/>
      <x:c r="K96" s="29"/>
      <x:c r="L96" s="2" t="str">
        <x:f>IF(A96,"Complete","Open check")</x:f>
        <x:v>Open check</x:v>
      </x:c>
      <x:c r="M96" s="2" t="str">
        <x:v>Checklist</x:v>
      </x:c>
      <x:c r="N96" s="2" t="str">
        <x:v>DR.CS.1.3.C06.2026.CY1</x:v>
      </x:c>
      <x:c r="O96" s="2" t="n">
        <x:f>R96</x:f>
        <x:v>0</x:v>
      </x:c>
      <x:c r="P96" s="2" t="str">
        <x:v>DR.CS.1.3.2026.CY1</x:v>
      </x:c>
      <x:c r="Q96" s="2" t="n">
        <x:v>0</x:v>
      </x:c>
      <x:c r="R96" s="2" t="n">
        <x:f>IF(A96,1,0)</x:f>
        <x:v>0</x:v>
      </x:c>
      <x:c r="S96" s="2" t="n">
        <x:f>SUBTOTAL(103,N96)</x:f>
        <x:v>1</x:v>
      </x:c>
    </x:row>
    <x:row r="97" ht="31" customHeight="1" outlineLevel="1">
      <x:c r="A97" s="28" t="b">
        <x:v>0</x:v>
      </x:c>
      <x:c r="B97" s="36" t="str">
        <x:v>Cycle 1</x:v>
      </x:c>
      <x:c r="C97" s="36" t="str">
        <x:v>Phase 1</x:v>
      </x:c>
      <x:c r="D97" s="36" t="str">
        <x:v>CSBBO - Customer Service</x:v>
      </x:c>
      <x:c r="E97" s="69" t="str">
        <x:v>DR.CS.1.3.C07</x:v>
      </x:c>
      <x:c r="F97" s="37" t="str">
        <x:v>    Document any data exclusions along with justification (as needed)</x:v>
      </x:c>
      <x:c r="G97" s="5"/>
      <x:c r="H97" s="11"/>
      <x:c r="I97" s="11"/>
      <x:c r="J97" s="11"/>
      <x:c r="K97" s="29"/>
      <x:c r="L97" s="2" t="str">
        <x:f>IF(A97,"Complete","Open check")</x:f>
        <x:v>Open check</x:v>
      </x:c>
      <x:c r="M97" s="2" t="str">
        <x:v>Checklist</x:v>
      </x:c>
      <x:c r="N97" s="2" t="str">
        <x:v>DR.CS.1.3.C07.2026.CY1</x:v>
      </x:c>
      <x:c r="O97" s="2" t="n">
        <x:f>R97</x:f>
        <x:v>0</x:v>
      </x:c>
      <x:c r="P97" s="2" t="str">
        <x:v>DR.CS.1.3.2026.CY1</x:v>
      </x:c>
      <x:c r="Q97" s="2" t="n">
        <x:v>0</x:v>
      </x:c>
      <x:c r="R97" s="2" t="n">
        <x:f>IF(A97,1,0)</x:f>
        <x:v>0</x:v>
      </x:c>
      <x:c r="S97" s="2" t="n">
        <x:f>SUBTOTAL(103,N97)</x:f>
        <x:v>1</x:v>
      </x:c>
    </x:row>
    <x:row r="98" ht="31" customHeight="1" outlineLevel="1">
      <x:c r="A98" s="28" t="b">
        <x:v>0</x:v>
      </x:c>
      <x:c r="B98" s="36" t="str">
        <x:v>Cycle 1</x:v>
      </x:c>
      <x:c r="C98" s="36" t="str">
        <x:v>Phase 1</x:v>
      </x:c>
      <x:c r="D98" s="36" t="str">
        <x:v>CSBBO - Customer Service</x:v>
      </x:c>
      <x:c r="E98" s="69" t="str">
        <x:v>DR.CS.1.3.C08</x:v>
      </x:c>
      <x:c r="F98" s="37" t="str">
        <x:v>    Document any assumptions made with the data (as needed)</x:v>
      </x:c>
      <x:c r="G98" s="5"/>
      <x:c r="H98" s="11"/>
      <x:c r="I98" s="11"/>
      <x:c r="J98" s="11"/>
      <x:c r="K98" s="29"/>
      <x:c r="L98" s="2" t="str">
        <x:f>IF(A98,"Complete","Open check")</x:f>
        <x:v>Open check</x:v>
      </x:c>
      <x:c r="M98" s="2" t="str">
        <x:v>Checklist</x:v>
      </x:c>
      <x:c r="N98" s="2" t="str">
        <x:v>DR.CS.1.3.C08.2026.CY1</x:v>
      </x:c>
      <x:c r="O98" s="2" t="n">
        <x:f>R98</x:f>
        <x:v>0</x:v>
      </x:c>
      <x:c r="P98" s="2" t="str">
        <x:v>DR.CS.1.3.2026.CY1</x:v>
      </x:c>
      <x:c r="Q98" s="2" t="n">
        <x:v>0</x:v>
      </x:c>
      <x:c r="R98" s="2" t="n">
        <x:f>IF(A98,1,0)</x:f>
        <x:v>0</x:v>
      </x:c>
      <x:c r="S98" s="2" t="n">
        <x:f>SUBTOTAL(103,N98)</x:f>
        <x:v>1</x:v>
      </x:c>
    </x:row>
    <x:row r="99" ht="31" customHeight="1" outlineLevel="1">
      <x:c r="A99" s="28" t="b">
        <x:v>0</x:v>
      </x:c>
      <x:c r="B99" s="36" t="str">
        <x:v>Cycle 1</x:v>
      </x:c>
      <x:c r="C99" s="36" t="str">
        <x:v>Phase 1</x:v>
      </x:c>
      <x:c r="D99" s="36" t="str">
        <x:v>CSBBO - Customer Service</x:v>
      </x:c>
      <x:c r="E99" s="69" t="str">
        <x:v>DR.CS.1.3.C09</x:v>
      </x:c>
      <x:c r="F99" s="37" t="str">
        <x:v>    Document any data limitations or constraints clearly (as needed)</x:v>
      </x:c>
      <x:c r="G99" s="5"/>
      <x:c r="H99" s="11"/>
      <x:c r="I99" s="11"/>
      <x:c r="J99" s="11"/>
      <x:c r="K99" s="29"/>
      <x:c r="L99" s="2" t="str">
        <x:f>IF(A99,"Complete","Open check")</x:f>
        <x:v>Open check</x:v>
      </x:c>
      <x:c r="M99" s="2" t="str">
        <x:v>Checklist</x:v>
      </x:c>
      <x:c r="N99" s="2" t="str">
        <x:v>DR.CS.1.3.C09.2026.CY1</x:v>
      </x:c>
      <x:c r="O99" s="2" t="n">
        <x:f>R99</x:f>
        <x:v>0</x:v>
      </x:c>
      <x:c r="P99" s="2" t="str">
        <x:v>DR.CS.1.3.2026.CY1</x:v>
      </x:c>
      <x:c r="Q99" s="2" t="n">
        <x:v>0</x:v>
      </x:c>
      <x:c r="R99" s="2" t="n">
        <x:f>IF(A99,1,0)</x:f>
        <x:v>0</x:v>
      </x:c>
      <x:c r="S99" s="2" t="n">
        <x:f>SUBTOTAL(103,N99)</x:f>
        <x:v>1</x:v>
      </x:c>
    </x:row>
    <x:row r="100" ht="31" customHeight="1" outlineLevel="1">
      <x:c r="A100" s="28" t="b">
        <x:v>0</x:v>
      </x:c>
      <x:c r="B100" s="36" t="str">
        <x:v>Cycle 1</x:v>
      </x:c>
      <x:c r="C100" s="36" t="str">
        <x:v>Phase 1</x:v>
      </x:c>
      <x:c r="D100" s="36" t="str">
        <x:v>CSBBO - Customer Service</x:v>
      </x:c>
      <x:c r="E100" s="69" t="str">
        <x:v>DR.CS.1.3.C10</x:v>
      </x:c>
      <x:c r="F100" s="37" t="str">
        <x:v>    Document data dictionary or field definitions for columns/rows</x:v>
      </x:c>
      <x:c r="G100" s="5"/>
      <x:c r="H100" s="11"/>
      <x:c r="I100" s="11"/>
      <x:c r="J100" s="11"/>
      <x:c r="K100" s="29"/>
      <x:c r="L100" s="2" t="str">
        <x:f>IF(A100,"Complete","Open check")</x:f>
        <x:v>Open check</x:v>
      </x:c>
      <x:c r="M100" s="2" t="str">
        <x:v>Checklist</x:v>
      </x:c>
      <x:c r="N100" s="2" t="str">
        <x:v>DR.CS.1.3.C10.2026.CY1</x:v>
      </x:c>
      <x:c r="O100" s="2" t="n">
        <x:f>R100</x:f>
        <x:v>0</x:v>
      </x:c>
      <x:c r="P100" s="2" t="str">
        <x:v>DR.CS.1.3.2026.CY1</x:v>
      </x:c>
      <x:c r="Q100" s="2" t="n">
        <x:v>0</x:v>
      </x:c>
      <x:c r="R100" s="2" t="n">
        <x:f>IF(A100,1,0)</x:f>
        <x:v>0</x:v>
      </x:c>
      <x:c r="S100" s="2" t="n">
        <x:f>SUBTOTAL(103,N100)</x:f>
        <x:v>1</x:v>
      </x:c>
    </x:row>
    <x:row r="101" ht="31" customHeight="1" outlineLevel="1">
      <x:c r="A101" s="28" t="b">
        <x:v>0</x:v>
      </x:c>
      <x:c r="B101" s="36" t="str">
        <x:v>Cycle 1</x:v>
      </x:c>
      <x:c r="C101" s="36" t="str">
        <x:v>Phase 1</x:v>
      </x:c>
      <x:c r="D101" s="36" t="str">
        <x:v>CSBBO - Customer Service</x:v>
      </x:c>
      <x:c r="E101" s="69" t="str">
        <x:v>DR.CS.1.3.C11</x:v>
      </x:c>
      <x:c r="F101" s="37" t="str">
        <x:v>    Document emerging trends, patterns, or concentrations along with supporting data</x:v>
      </x:c>
      <x:c r="G101" s="5"/>
      <x:c r="H101" s="11"/>
      <x:c r="I101" s="11"/>
      <x:c r="J101" s="11"/>
      <x:c r="K101" s="29"/>
      <x:c r="L101" s="2" t="str">
        <x:f>IF(A101,"Complete","Open check")</x:f>
        <x:v>Open check</x:v>
      </x:c>
      <x:c r="M101" s="2" t="str">
        <x:v>Checklist</x:v>
      </x:c>
      <x:c r="N101" s="2" t="str">
        <x:v>DR.CS.1.3.C11.2026.CY1</x:v>
      </x:c>
      <x:c r="O101" s="2" t="n">
        <x:f>R101</x:f>
        <x:v>0</x:v>
      </x:c>
      <x:c r="P101" s="2" t="str">
        <x:v>DR.CS.1.3.2026.CY1</x:v>
      </x:c>
      <x:c r="Q101" s="2" t="n">
        <x:v>0</x:v>
      </x:c>
      <x:c r="R101" s="2" t="n">
        <x:f>IF(A101,1,0)</x:f>
        <x:v>0</x:v>
      </x:c>
      <x:c r="S101" s="2" t="n">
        <x:f>SUBTOTAL(103,N101)</x:f>
        <x:v>1</x:v>
      </x:c>
    </x:row>
    <x:row r="102" ht="31" customHeight="1" outlineLevel="1">
      <x:c r="A102" s="28" t="b">
        <x:v>0</x:v>
      </x:c>
      <x:c r="B102" s="36" t="str">
        <x:v>Cycle 1</x:v>
      </x:c>
      <x:c r="C102" s="36" t="str">
        <x:v>Phase 1</x:v>
      </x:c>
      <x:c r="D102" s="36" t="str">
        <x:v>CSBBO - Customer Service</x:v>
      </x:c>
      <x:c r="E102" s="69" t="str">
        <x:v>DR.CS.1.3.C12</x:v>
      </x:c>
      <x:c r="F102" s="37" t="str">
        <x:v>    Document any severe spikes in volume along with context (as needed)</x:v>
      </x:c>
      <x:c r="G102" s="5"/>
      <x:c r="H102" s="11"/>
      <x:c r="I102" s="11"/>
      <x:c r="J102" s="11"/>
      <x:c r="K102" s="29"/>
      <x:c r="L102" s="2" t="str">
        <x:f>IF(A102,"Complete","Open check")</x:f>
        <x:v>Open check</x:v>
      </x:c>
      <x:c r="M102" s="2" t="str">
        <x:v>Checklist</x:v>
      </x:c>
      <x:c r="N102" s="2" t="str">
        <x:v>DR.CS.1.3.C12.2026.CY1</x:v>
      </x:c>
      <x:c r="O102" s="2" t="n">
        <x:f>R102</x:f>
        <x:v>0</x:v>
      </x:c>
      <x:c r="P102" s="2" t="str">
        <x:v>DR.CS.1.3.2026.CY1</x:v>
      </x:c>
      <x:c r="Q102" s="2" t="n">
        <x:v>0</x:v>
      </x:c>
      <x:c r="R102" s="2" t="n">
        <x:f>IF(A102,1,0)</x:f>
        <x:v>0</x:v>
      </x:c>
      <x:c r="S102" s="2" t="n">
        <x:f>SUBTOTAL(103,N102)</x:f>
        <x:v>1</x:v>
      </x:c>
    </x:row>
    <x:row r="103" ht="31" customHeight="1" outlineLevel="1">
      <x:c r="A103" s="28" t="b">
        <x:v>0</x:v>
      </x:c>
      <x:c r="B103" s="36" t="str">
        <x:v>Cycle 1</x:v>
      </x:c>
      <x:c r="C103" s="36" t="str">
        <x:v>Phase 1</x:v>
      </x:c>
      <x:c r="D103" s="36" t="str">
        <x:v>CSBBO - Customer Service</x:v>
      </x:c>
      <x:c r="E103" s="69" t="str">
        <x:v>DR.CS.1.3.C13</x:v>
      </x:c>
      <x:c r="F103" s="37" t="str">
        <x:v>    Document clear summary explaining how the data connects to the potential topic</x:v>
      </x:c>
      <x:c r="G103" s="5"/>
      <x:c r="H103" s="11"/>
      <x:c r="I103" s="11"/>
      <x:c r="J103" s="11"/>
      <x:c r="K103" s="29"/>
      <x:c r="L103" s="2" t="str">
        <x:f>IF(A103,"Complete","Open check")</x:f>
        <x:v>Open check</x:v>
      </x:c>
      <x:c r="M103" s="2" t="str">
        <x:v>Checklist</x:v>
      </x:c>
      <x:c r="N103" s="2" t="str">
        <x:v>DR.CS.1.3.C13.2026.CY1</x:v>
      </x:c>
      <x:c r="O103" s="2" t="n">
        <x:f>R103</x:f>
        <x:v>0</x:v>
      </x:c>
      <x:c r="P103" s="2" t="str">
        <x:v>DR.CS.1.3.2026.CY1</x:v>
      </x:c>
      <x:c r="Q103" s="2" t="n">
        <x:v>0</x:v>
      </x:c>
      <x:c r="R103" s="2" t="n">
        <x:f>IF(A103,1,0)</x:f>
        <x:v>0</x:v>
      </x:c>
      <x:c r="S103" s="2" t="n">
        <x:f>SUBTOTAL(103,N103)</x:f>
        <x:v>1</x:v>
      </x:c>
    </x:row>
    <x:row r="104" ht="42" customHeight="1">
      <x:c r="A104" s="28" t="b">
        <x:v>0</x:v>
      </x:c>
      <x:c r="B104" s="2" t="str">
        <x:v>Cycle 1</x:v>
      </x:c>
      <x:c r="C104" s="2" t="str">
        <x:v>Phase 2</x:v>
      </x:c>
      <x:c r="D104" s="2" t="str">
        <x:v>CSBBO - Customer Service</x:v>
      </x:c>
      <x:c r="E104" s="56" t="str">
        <x:v>DR.CS.2.1</x:v>
      </x:c>
      <x:c r="F104" s="14" t="str">
        <x:v>Ensure data is clean, structured, and usable without manipulation needed</x:v>
      </x:c>
      <x:c r="G104" s="5"/>
      <x:c r="H104" s="11"/>
      <x:c r="I104" s="11" t="n">
        <x:f>'Cycles &amp; Guide'!$D$10</x:f>
        <x:v>46112</x:v>
      </x:c>
      <x:c r="J104" s="11"/>
      <x:c r="K104" s="29"/>
      <x:c r="L104" s="2" t="str">
        <x:f>IF(O104=1,"Complete",IF(A104,"Checklist open",IF(H104&lt;&gt;"","In progress","Not started")))</x:f>
        <x:v>Not started</x:v>
      </x:c>
      <x:c r="M104" s="2" t="str">
        <x:v>Task</x:v>
      </x:c>
      <x:c r="N104" s="2" t="str">
        <x:v>DR.CS.2.1.2026.CY1</x:v>
      </x:c>
      <x:c r="O104" s="2" t="n">
        <x:f>R104</x:f>
        <x:v>0</x:v>
      </x:c>
      <x:c r="P104" s="2"/>
      <x:c r="Q104" s="2" t="n">
        <x:v>1</x:v>
      </x:c>
      <x:c r="R104" s="2" t="n">
        <x:f>IF(A104,1,0)</x:f>
        <x:v>0</x:v>
      </x:c>
      <x:c r="S104" s="2" t="n">
        <x:f>SUBTOTAL(103,N104)</x:f>
        <x:v>1</x:v>
      </x:c>
    </x:row>
    <x:row r="105" ht="42" customHeight="1">
      <x:c r="A105" s="28" t="b">
        <x:v>0</x:v>
      </x:c>
      <x:c r="B105" s="2" t="str">
        <x:v>Cycle 1</x:v>
      </x:c>
      <x:c r="C105" s="2" t="str">
        <x:v>Phase 2</x:v>
      </x:c>
      <x:c r="D105" s="2" t="str">
        <x:v>CSBBO - Customer Service</x:v>
      </x:c>
      <x:c r="E105" s="56" t="str">
        <x:v>DR.CS.2.2</x:v>
      </x:c>
      <x:c r="F105" s="14" t="str">
        <x:v>Clearly document rationale for each topic recommendation within the SharePoint list</x:v>
      </x:c>
      <x:c r="G105" s="5"/>
      <x:c r="H105" s="11"/>
      <x:c r="I105" s="11" t="n">
        <x:f>'Cycles &amp; Guide'!$D$10</x:f>
        <x:v>46112</x:v>
      </x:c>
      <x:c r="J105" s="11"/>
      <x:c r="K105" s="29"/>
      <x:c r="L105" s="2" t="str">
        <x:f>IF(O105=1,"Complete",IF(A105,"Checklist open",IF(H105&lt;&gt;"","In progress","Not started")))</x:f>
        <x:v>Not started</x:v>
      </x:c>
      <x:c r="M105" s="2" t="str">
        <x:v>Task</x:v>
      </x:c>
      <x:c r="N105" s="2" t="str">
        <x:v>DR.CS.2.2.2026.CY1</x:v>
      </x:c>
      <x:c r="O105" s="2" t="n">
        <x:f>R105</x:f>
        <x:v>0</x:v>
      </x:c>
      <x:c r="P105" s="2"/>
      <x:c r="Q105" s="2" t="n">
        <x:v>1</x:v>
      </x:c>
      <x:c r="R105" s="2" t="n">
        <x:f>IF(A105,1,0)</x:f>
        <x:v>0</x:v>
      </x:c>
      <x:c r="S105" s="2" t="n">
        <x:f>SUBTOTAL(103,N105)</x:f>
        <x:v>1</x:v>
      </x:c>
    </x:row>
    <x:row r="106" ht="42" customHeight="1">
      <x:c r="A106" s="28" t="b">
        <x:v>0</x:v>
      </x:c>
      <x:c r="B106" s="2" t="str">
        <x:v>Cycle 1</x:v>
      </x:c>
      <x:c r="C106" s="2" t="str">
        <x:v>Phase 2</x:v>
      </x:c>
      <x:c r="D106" s="2" t="str">
        <x:v>CSBBO - Customer Service</x:v>
      </x:c>
      <x:c r="E106" s="56" t="str">
        <x:v>DR.CS.2.3</x:v>
      </x:c>
      <x:c r="F106" s="14" t="str">
        <x:v>Verify topic is eligible for RCA and does not conflict with Attorney Client Privilege</x:v>
      </x:c>
      <x:c r="G106" s="5"/>
      <x:c r="H106" s="11"/>
      <x:c r="I106" s="11" t="n">
        <x:f>'Cycles &amp; Guide'!$D$10</x:f>
        <x:v>46112</x:v>
      </x:c>
      <x:c r="J106" s="11"/>
      <x:c r="K106" s="29"/>
      <x:c r="L106" s="2" t="str">
        <x:f>IF(O106=1,"Complete",IF(A106,"Checklist open",IF(H106&lt;&gt;"","In progress","Not started")))</x:f>
        <x:v>Not started</x:v>
      </x:c>
      <x:c r="M106" s="2" t="str">
        <x:v>Task</x:v>
      </x:c>
      <x:c r="N106" s="2" t="str">
        <x:v>DR.CS.2.3.2026.CY1</x:v>
      </x:c>
      <x:c r="O106" s="2" t="n">
        <x:f>R106</x:f>
        <x:v>0</x:v>
      </x:c>
      <x:c r="P106" s="2"/>
      <x:c r="Q106" s="2" t="n">
        <x:v>1</x:v>
      </x:c>
      <x:c r="R106" s="2" t="n">
        <x:f>IF(A106,1,0)</x:f>
        <x:v>0</x:v>
      </x:c>
      <x:c r="S106" s="2" t="n">
        <x:f>SUBTOTAL(103,N106)</x:f>
        <x:v>1</x:v>
      </x:c>
    </x:row>
    <x:row r="107" ht="42" customHeight="1">
      <x:c r="A107" s="28" t="b">
        <x:v>0</x:v>
      </x:c>
      <x:c r="B107" s="2" t="str">
        <x:v>Cycle 1</x:v>
      </x:c>
      <x:c r="C107" s="2" t="str">
        <x:v>Phase 2</x:v>
      </x:c>
      <x:c r="D107" s="2" t="str">
        <x:v>CSBBO - Customer Service</x:v>
      </x:c>
      <x:c r="E107" s="56" t="str">
        <x:v>DR.CS.2.4</x:v>
      </x:c>
      <x:c r="F107" s="14" t="str">
        <x:v>Ensure data is free of errors and anomalies prior to hand-off to Research</x:v>
      </x:c>
      <x:c r="G107" s="5"/>
      <x:c r="H107" s="11"/>
      <x:c r="I107" s="11" t="n">
        <x:f>'Cycles &amp; Guide'!$D$10</x:f>
        <x:v>46112</x:v>
      </x:c>
      <x:c r="J107" s="11"/>
      <x:c r="K107" s="29"/>
      <x:c r="L107" s="2" t="str">
        <x:f>IF(O107=1,"Complete",IF(A107,"Checklist open",IF(H107&lt;&gt;"","In progress","Not started")))</x:f>
        <x:v>Not started</x:v>
      </x:c>
      <x:c r="M107" s="2" t="str">
        <x:v>Task</x:v>
      </x:c>
      <x:c r="N107" s="2" t="str">
        <x:v>DR.CS.2.4.2026.CY1</x:v>
      </x:c>
      <x:c r="O107" s="2" t="n">
        <x:f>R107</x:f>
        <x:v>0</x:v>
      </x:c>
      <x:c r="P107" s="2"/>
      <x:c r="Q107" s="2" t="n">
        <x:v>1</x:v>
      </x:c>
      <x:c r="R107" s="2" t="n">
        <x:f>IF(A107,1,0)</x:f>
        <x:v>0</x:v>
      </x:c>
      <x:c r="S107" s="2" t="n">
        <x:f>SUBTOTAL(103,N107)</x:f>
        <x:v>1</x:v>
      </x:c>
    </x:row>
    <x:row r="108" ht="42" customHeight="1">
      <x:c r="A108" s="28" t="b">
        <x:v>0</x:v>
      </x:c>
      <x:c r="B108" s="2" t="str">
        <x:v>Cycle 1</x:v>
      </x:c>
      <x:c r="C108" s="2" t="str">
        <x:v>Phase 2</x:v>
      </x:c>
      <x:c r="D108" s="2" t="str">
        <x:v>CSBBO - Customer Service</x:v>
      </x:c>
      <x:c r="E108" s="56" t="str">
        <x:v>DR.CS.2.5</x:v>
      </x:c>
      <x:c r="F108" s="14" t="str">
        <x:v>Ensure topic is not a duplicate from a previous Cycle</x:v>
      </x:c>
      <x:c r="G108" s="5"/>
      <x:c r="H108" s="11"/>
      <x:c r="I108" s="11" t="n">
        <x:f>'Cycles &amp; Guide'!$D$10</x:f>
        <x:v>46112</x:v>
      </x:c>
      <x:c r="J108" s="11"/>
      <x:c r="K108" s="29"/>
      <x:c r="L108" s="2" t="str">
        <x:f>IF(O108=1,"Complete",IF(A108,"Checklist open",IF(H108&lt;&gt;"","In progress","Not started")))</x:f>
        <x:v>Not started</x:v>
      </x:c>
      <x:c r="M108" s="2" t="str">
        <x:v>Task</x:v>
      </x:c>
      <x:c r="N108" s="2" t="str">
        <x:v>DR.CS.2.5.2026.CY1</x:v>
      </x:c>
      <x:c r="O108" s="2" t="n">
        <x:f>R108</x:f>
        <x:v>0</x:v>
      </x:c>
      <x:c r="P108" s="2"/>
      <x:c r="Q108" s="2" t="n">
        <x:v>1</x:v>
      </x:c>
      <x:c r="R108" s="2" t="n">
        <x:f>IF(A108,1,0)</x:f>
        <x:v>0</x:v>
      </x:c>
      <x:c r="S108" s="2" t="n">
        <x:f>SUBTOTAL(103,N108)</x:f>
        <x:v>1</x:v>
      </x:c>
    </x:row>
    <x:row r="109" ht="42" customHeight="1">
      <x:c r="A109" s="28" t="b">
        <x:v>0</x:v>
      </x:c>
      <x:c r="B109" s="2" t="str">
        <x:v>Cycle 1</x:v>
      </x:c>
      <x:c r="C109" s="2" t="str">
        <x:v>Phase 2</x:v>
      </x:c>
      <x:c r="D109" s="2" t="str">
        <x:v>CSBBO - Customer Service</x:v>
      </x:c>
      <x:c r="E109" s="56" t="str">
        <x:v>DR.CS.2.6</x:v>
      </x:c>
      <x:c r="F109" s="14" t="str">
        <x:v>Document clear distinctions between facts, assumptions, and hypotheses within the data package</x:v>
      </x:c>
      <x:c r="G109" s="5"/>
      <x:c r="H109" s="11"/>
      <x:c r="I109" s="11" t="n">
        <x:f>'Cycles &amp; Guide'!$D$10</x:f>
        <x:v>46112</x:v>
      </x:c>
      <x:c r="J109" s="11"/>
      <x:c r="K109" s="29"/>
      <x:c r="L109" s="2" t="str">
        <x:f>IF(O109=1,"Complete",IF(A109,"Checklist open",IF(H109&lt;&gt;"","In progress","Not started")))</x:f>
        <x:v>Not started</x:v>
      </x:c>
      <x:c r="M109" s="2" t="str">
        <x:v>Task</x:v>
      </x:c>
      <x:c r="N109" s="2" t="str">
        <x:v>DR.CS.2.6.2026.CY1</x:v>
      </x:c>
      <x:c r="O109" s="2" t="n">
        <x:f>R109</x:f>
        <x:v>0</x:v>
      </x:c>
      <x:c r="P109" s="2"/>
      <x:c r="Q109" s="2" t="n">
        <x:v>1</x:v>
      </x:c>
      <x:c r="R109" s="2" t="n">
        <x:f>IF(A109,1,0)</x:f>
        <x:v>0</x:v>
      </x:c>
      <x:c r="S109" s="2" t="n">
        <x:f>SUBTOTAL(103,N109)</x:f>
        <x:v>1</x:v>
      </x:c>
    </x:row>
    <x:row r="110" ht="42" customHeight="1">
      <x:c r="A110" s="28" t="b">
        <x:v>0</x:v>
      </x:c>
      <x:c r="B110" s="2" t="str">
        <x:v>Cycle 1</x:v>
      </x:c>
      <x:c r="C110" s="2" t="str">
        <x:v>Phase 3</x:v>
      </x:c>
      <x:c r="D110" s="2" t="str">
        <x:v>CSBBO - Customer Service</x:v>
      </x:c>
      <x:c r="E110" s="56" t="str">
        <x:v>DR.CS.3.1</x:v>
      </x:c>
      <x:c r="F110" s="14" t="str">
        <x:v>Clearly document rationale for each topic recommendation within the SharePoint list item</x:v>
      </x:c>
      <x:c r="G110" s="5"/>
      <x:c r="H110" s="11"/>
      <x:c r="I110" s="11" t="n">
        <x:f>'Cycles &amp; Guide'!$D$10</x:f>
        <x:v>46112</x:v>
      </x:c>
      <x:c r="J110" s="11"/>
      <x:c r="K110" s="29"/>
      <x:c r="L110" s="2" t="str">
        <x:f>IF(O110=1,"Complete",IF(A110,"Checklist open",IF(H110&lt;&gt;"","In progress","Not started")))</x:f>
        <x:v>Not started</x:v>
      </x:c>
      <x:c r="M110" s="2" t="str">
        <x:v>Task</x:v>
      </x:c>
      <x:c r="N110" s="2" t="str">
        <x:v>DR.CS.3.1.2026.CY1</x:v>
      </x:c>
      <x:c r="O110" s="2" t="n">
        <x:f>R110</x:f>
        <x:v>0</x:v>
      </x:c>
      <x:c r="P110" s="2"/>
      <x:c r="Q110" s="2" t="n">
        <x:v>1</x:v>
      </x:c>
      <x:c r="R110" s="2" t="n">
        <x:f>IF(A110,1,0)</x:f>
        <x:v>0</x:v>
      </x:c>
      <x:c r="S110" s="2" t="n">
        <x:f>SUBTOTAL(103,N110)</x:f>
        <x:v>1</x:v>
      </x:c>
    </x:row>
    <x:row r="111" ht="42" customHeight="1">
      <x:c r="A111" s="28" t="b">
        <x:v>0</x:v>
      </x:c>
      <x:c r="B111" s="2" t="str">
        <x:v>Cycle 1</x:v>
      </x:c>
      <x:c r="C111" s="2" t="str">
        <x:v>Phase 3</x:v>
      </x:c>
      <x:c r="D111" s="2" t="str">
        <x:v>CSBBO - Customer Service</x:v>
      </x:c>
      <x:c r="E111" s="56" t="str">
        <x:v>DR.CS.3.2</x:v>
      </x:c>
      <x:c r="F111" s="14" t="str">
        <x:v>Attach the data package for each topic recommendation within the SharePoint list item</x:v>
      </x:c>
      <x:c r="G111" s="5"/>
      <x:c r="H111" s="11"/>
      <x:c r="I111" s="11" t="n">
        <x:f>'Cycles &amp; Guide'!$D$10</x:f>
        <x:v>46112</x:v>
      </x:c>
      <x:c r="J111" s="11"/>
      <x:c r="K111" s="29"/>
      <x:c r="L111" s="2" t="str">
        <x:f>IF(O111=1,"Complete",IF(A111,"Checklist open",IF(H111&lt;&gt;"","In progress","Not started")))</x:f>
        <x:v>Not started</x:v>
      </x:c>
      <x:c r="M111" s="2" t="str">
        <x:v>Task</x:v>
      </x:c>
      <x:c r="N111" s="2" t="str">
        <x:v>DR.CS.3.2.2026.CY1</x:v>
      </x:c>
      <x:c r="O111" s="2" t="n">
        <x:f>R111</x:f>
        <x:v>0</x:v>
      </x:c>
      <x:c r="P111" s="2"/>
      <x:c r="Q111" s="2" t="n">
        <x:v>1</x:v>
      </x:c>
      <x:c r="R111" s="2" t="n">
        <x:f>IF(A111,1,0)</x:f>
        <x:v>0</x:v>
      </x:c>
      <x:c r="S111" s="2" t="n">
        <x:f>SUBTOTAL(103,N111)</x:f>
        <x:v>1</x:v>
      </x:c>
    </x:row>
    <x:row r="112" ht="42" customHeight="1">
      <x:c r="A112" s="28" t="b">
        <x:v>0</x:v>
      </x:c>
      <x:c r="B112" s="2" t="str">
        <x:v>Cycle 1</x:v>
      </x:c>
      <x:c r="C112" s="2" t="str">
        <x:v>Phase 3</x:v>
      </x:c>
      <x:c r="D112" s="2" t="str">
        <x:v>CSBBO - Customer Service</x:v>
      </x:c>
      <x:c r="E112" s="56" t="str">
        <x:v>DR.CS.3.3</x:v>
      </x:c>
      <x:c r="F112" s="14" t="str">
        <x:v>Confirm data privileges have been granted, ensuring each pillar can access</x:v>
      </x:c>
      <x:c r="G112" s="5"/>
      <x:c r="H112" s="11"/>
      <x:c r="I112" s="11" t="n">
        <x:f>'Cycles &amp; Guide'!$D$10</x:f>
        <x:v>46112</x:v>
      </x:c>
      <x:c r="J112" s="11"/>
      <x:c r="K112" s="29"/>
      <x:c r="L112" s="2" t="str">
        <x:f>IF(O112=1,"Complete",IF(A112,"Checklist open",IF(H112&lt;&gt;"","In progress","Not started")))</x:f>
        <x:v>Not started</x:v>
      </x:c>
      <x:c r="M112" s="2" t="str">
        <x:v>Task</x:v>
      </x:c>
      <x:c r="N112" s="2" t="str">
        <x:v>DR.CS.3.3.2026.CY1</x:v>
      </x:c>
      <x:c r="O112" s="2" t="n">
        <x:f>R112</x:f>
        <x:v>0</x:v>
      </x:c>
      <x:c r="P112" s="2"/>
      <x:c r="Q112" s="2" t="n">
        <x:v>1</x:v>
      </x:c>
      <x:c r="R112" s="2" t="n">
        <x:f>IF(A112,1,0)</x:f>
        <x:v>0</x:v>
      </x:c>
      <x:c r="S112" s="2" t="n">
        <x:f>SUBTOTAL(103,N112)</x:f>
        <x:v>1</x:v>
      </x:c>
    </x:row>
    <x:row r="113" ht="42" customHeight="1">
      <x:c r="A113" s="28" t="b">
        <x:v>0</x:v>
      </x:c>
      <x:c r="B113" s="2" t="str">
        <x:v>Cycle 1</x:v>
      </x:c>
      <x:c r="C113" s="2" t="str">
        <x:v>Phase 3</x:v>
      </x:c>
      <x:c r="D113" s="2" t="str">
        <x:v>CSBBO - Customer Service</x:v>
      </x:c>
      <x:c r="E113" s="56" t="str">
        <x:v>DR.CS.3.4</x:v>
      </x:c>
      <x:c r="F113" s="14" t="str">
        <x:v>Ensure Power Automate notifications were correctly triggered within Microsoft Teams</x:v>
      </x:c>
      <x:c r="G113" s="5"/>
      <x:c r="H113" s="11"/>
      <x:c r="I113" s="11" t="n">
        <x:f>'Cycles &amp; Guide'!$D$10</x:f>
        <x:v>46112</x:v>
      </x:c>
      <x:c r="J113" s="11"/>
      <x:c r="K113" s="29"/>
      <x:c r="L113" s="2" t="str">
        <x:f>IF(O113=1,"Complete",IF(A113,"Checklist open",IF(H113&lt;&gt;"","In progress","Not started")))</x:f>
        <x:v>Not started</x:v>
      </x:c>
      <x:c r="M113" s="2" t="str">
        <x:v>Task</x:v>
      </x:c>
      <x:c r="N113" s="2" t="str">
        <x:v>DR.CS.3.4.2026.CY1</x:v>
      </x:c>
      <x:c r="O113" s="2" t="n">
        <x:f>R113</x:f>
        <x:v>0</x:v>
      </x:c>
      <x:c r="P113" s="2"/>
      <x:c r="Q113" s="2" t="n">
        <x:v>1</x:v>
      </x:c>
      <x:c r="R113" s="2" t="n">
        <x:f>IF(A113,1,0)</x:f>
        <x:v>0</x:v>
      </x:c>
      <x:c r="S113" s="2" t="n">
        <x:f>SUBTOTAL(103,N113)</x:f>
        <x:v>1</x:v>
      </x:c>
    </x:row>
    <x:row r="114" ht="42" customHeight="1">
      <x:c r="A114" s="28" t="b">
        <x:v>0</x:v>
      </x:c>
      <x:c r="B114" s="2" t="str">
        <x:v>Cycle 1</x:v>
      </x:c>
      <x:c r="C114" s="2" t="str">
        <x:v>Phase 1</x:v>
      </x:c>
      <x:c r="D114" s="2" t="str">
        <x:v>FCM</x:v>
      </x:c>
      <x:c r="E114" s="56" t="str">
        <x:v>DR.FC.1.1</x:v>
      </x:c>
      <x:c r="F114" s="14" t="str">
        <x:v>Review data sources 3 weeks prior to Cycle start (Complaints, Gen AI, Loudspeaker, NPS, etc.)</x:v>
      </x:c>
      <x:c r="G114" s="5"/>
      <x:c r="H114" s="11"/>
      <x:c r="I114" s="11" t="n">
        <x:f>'Cycles &amp; Guide'!$C$10-21</x:f>
        <x:v>46002</x:v>
      </x:c>
      <x:c r="J114" s="11"/>
      <x:c r="K114" s="29"/>
      <x:c r="L114" s="2" t="str">
        <x:f>IF(O114=1,"Complete",IF(A114,"Checklist open",IF(H114&lt;&gt;"","In progress","Not started")))</x:f>
        <x:v>Not started</x:v>
      </x:c>
      <x:c r="M114" s="2" t="str">
        <x:v>Task</x:v>
      </x:c>
      <x:c r="N114" s="2" t="str">
        <x:v>DR.FC.1.1.2026.CY1</x:v>
      </x:c>
      <x:c r="O114" s="2" t="n">
        <x:f>R114</x:f>
        <x:v>0</x:v>
      </x:c>
      <x:c r="P114" s="2"/>
      <x:c r="Q114" s="2" t="n">
        <x:v>1</x:v>
      </x:c>
      <x:c r="R114" s="2" t="n">
        <x:f>IF(A114,1,0)</x:f>
        <x:v>0</x:v>
      </x:c>
      <x:c r="S114" s="2" t="n">
        <x:f>SUBTOTAL(103,N114)</x:f>
        <x:v>1</x:v>
      </x:c>
    </x:row>
    <x:row r="115" ht="42" customHeight="1">
      <x:c r="A115" s="28" t="b">
        <x:v>0</x:v>
      </x:c>
      <x:c r="B115" s="2" t="str">
        <x:v>Cycle 1</x:v>
      </x:c>
      <x:c r="C115" s="2" t="str">
        <x:v>Phase 1</x:v>
      </x:c>
      <x:c r="D115" s="2" t="str">
        <x:v>FCM</x:v>
      </x:c>
      <x:c r="E115" s="56" t="str">
        <x:v>DR.FC.1.2</x:v>
      </x:c>
      <x:c r="F115" s="14" t="str">
        <x:v>Identify two potential topics for the upcoming Cycle</x:v>
      </x:c>
      <x:c r="G115" s="5"/>
      <x:c r="H115" s="11"/>
      <x:c r="I115" s="11" t="n">
        <x:f>'Cycles &amp; Guide'!$D$10</x:f>
        <x:v>46112</x:v>
      </x:c>
      <x:c r="J115" s="11"/>
      <x:c r="K115" s="29"/>
      <x:c r="L115" s="2" t="str">
        <x:f>IF(O115=1,"Complete",IF(A115,"Checklist open",IF(H115&lt;&gt;"","In progress","Not started")))</x:f>
        <x:v>Not started</x:v>
      </x:c>
      <x:c r="M115" s="2" t="str">
        <x:v>Task</x:v>
      </x:c>
      <x:c r="N115" s="2" t="str">
        <x:v>DR.FC.1.2.2026.CY1</x:v>
      </x:c>
      <x:c r="O115" s="2" t="n">
        <x:f>R115</x:f>
        <x:v>0</x:v>
      </x:c>
      <x:c r="P115" s="2"/>
      <x:c r="Q115" s="2" t="n">
        <x:v>1</x:v>
      </x:c>
      <x:c r="R115" s="2" t="n">
        <x:f>IF(A115,1,0)</x:f>
        <x:v>0</x:v>
      </x:c>
      <x:c r="S115" s="2" t="n">
        <x:f>SUBTOTAL(103,N115)</x:f>
        <x:v>1</x:v>
      </x:c>
    </x:row>
    <x:row r="116" ht="42" customHeight="1">
      <x:c r="A116" s="28" t="b">
        <x:v>0</x:v>
      </x:c>
      <x:c r="B116" s="2" t="str">
        <x:v>Cycle 1</x:v>
      </x:c>
      <x:c r="C116" s="2" t="str">
        <x:v>Phase 1</x:v>
      </x:c>
      <x:c r="D116" s="2" t="str">
        <x:v>FCM</x:v>
      </x:c>
      <x:c r="E116" s="68" t="str">
        <x:v>DR.FC.1.3</x:v>
      </x:c>
      <x:c r="F116" s="33" t="str">
        <x:v>Extract data for both potential topics, ensuring all checklist items below are included/completed</x:v>
      </x:c>
      <x:c r="G116" s="5"/>
      <x:c r="H116" s="11"/>
      <x:c r="I116" s="11" t="n">
        <x:f>'Cycles &amp; Guide'!$D$10</x:f>
        <x:v>46112</x:v>
      </x:c>
      <x:c r="J116" s="11"/>
      <x:c r="K116" s="29"/>
      <x:c r="L116" s="2" t="str">
        <x:f>IF(O116=1,"Complete",IF(A116,"Checklist open",IF(H116&lt;&gt;"","In progress","Not started")))</x:f>
        <x:v>Not started</x:v>
      </x:c>
      <x:c r="M116" s="2" t="str">
        <x:v>Task</x:v>
      </x:c>
      <x:c r="N116" s="2" t="str">
        <x:v>DR.FC.1.3.2026.CY1</x:v>
      </x:c>
      <x:c r="O116" s="2" t="n">
        <x:f>IF(A116,IF(SUMIFS($R$10:$R$737,$P$10:$P$737,N116)=13,1,0),0)</x:f>
        <x:v>0</x:v>
      </x:c>
      <x:c r="P116" s="2"/>
      <x:c r="Q116" s="2" t="n">
        <x:v>1</x:v>
      </x:c>
      <x:c r="R116" s="2" t="n">
        <x:f>IF(A116,1,0)</x:f>
        <x:v>0</x:v>
      </x:c>
      <x:c r="S116" s="2" t="n">
        <x:f>SUBTOTAL(103,N116)</x:f>
        <x:v>1</x:v>
      </x:c>
    </x:row>
    <x:row r="117" ht="31" customHeight="1" outlineLevel="1">
      <x:c r="A117" s="28" t="b">
        <x:v>0</x:v>
      </x:c>
      <x:c r="B117" s="36" t="str">
        <x:v>Cycle 1</x:v>
      </x:c>
      <x:c r="C117" s="36" t="str">
        <x:v>Phase 1</x:v>
      </x:c>
      <x:c r="D117" s="36" t="str">
        <x:v>FCM</x:v>
      </x:c>
      <x:c r="E117" s="69" t="str">
        <x:v>DR.FC.1.3.C01</x:v>
      </x:c>
      <x:c r="F117" s="37" t="str">
        <x:v>    Document date range extracted</x:v>
      </x:c>
      <x:c r="G117" s="5"/>
      <x:c r="H117" s="11"/>
      <x:c r="I117" s="11"/>
      <x:c r="J117" s="11"/>
      <x:c r="K117" s="29"/>
      <x:c r="L117" s="2" t="str">
        <x:f>IF(A117,"Complete","Open check")</x:f>
        <x:v>Open check</x:v>
      </x:c>
      <x:c r="M117" s="2" t="str">
        <x:v>Checklist</x:v>
      </x:c>
      <x:c r="N117" s="2" t="str">
        <x:v>DR.FC.1.3.C01.2026.CY1</x:v>
      </x:c>
      <x:c r="O117" s="2" t="n">
        <x:f>R117</x:f>
        <x:v>0</x:v>
      </x:c>
      <x:c r="P117" s="2" t="str">
        <x:v>DR.FC.1.3.2026.CY1</x:v>
      </x:c>
      <x:c r="Q117" s="2" t="n">
        <x:v>0</x:v>
      </x:c>
      <x:c r="R117" s="2" t="n">
        <x:f>IF(A117,1,0)</x:f>
        <x:v>0</x:v>
      </x:c>
      <x:c r="S117" s="2" t="n">
        <x:f>SUBTOTAL(103,N117)</x:f>
        <x:v>1</x:v>
      </x:c>
    </x:row>
    <x:row r="118" ht="31" customHeight="1" outlineLevel="1">
      <x:c r="A118" s="28" t="b">
        <x:v>0</x:v>
      </x:c>
      <x:c r="B118" s="36" t="str">
        <x:v>Cycle 1</x:v>
      </x:c>
      <x:c r="C118" s="36" t="str">
        <x:v>Phase 1</x:v>
      </x:c>
      <x:c r="D118" s="36" t="str">
        <x:v>FCM</x:v>
      </x:c>
      <x:c r="E118" s="69" t="str">
        <x:v>DR.FC.1.3.C02</x:v>
      </x:c>
      <x:c r="F118" s="37" t="str">
        <x:v>    Document date of data pull</x:v>
      </x:c>
      <x:c r="G118" s="5"/>
      <x:c r="H118" s="11"/>
      <x:c r="I118" s="11"/>
      <x:c r="J118" s="11"/>
      <x:c r="K118" s="29"/>
      <x:c r="L118" s="2" t="str">
        <x:f>IF(A118,"Complete","Open check")</x:f>
        <x:v>Open check</x:v>
      </x:c>
      <x:c r="M118" s="2" t="str">
        <x:v>Checklist</x:v>
      </x:c>
      <x:c r="N118" s="2" t="str">
        <x:v>DR.FC.1.3.C02.2026.CY1</x:v>
      </x:c>
      <x:c r="O118" s="2" t="n">
        <x:f>R118</x:f>
        <x:v>0</x:v>
      </x:c>
      <x:c r="P118" s="2" t="str">
        <x:v>DR.FC.1.3.2026.CY1</x:v>
      </x:c>
      <x:c r="Q118" s="2" t="n">
        <x:v>0</x:v>
      </x:c>
      <x:c r="R118" s="2" t="n">
        <x:f>IF(A118,1,0)</x:f>
        <x:v>0</x:v>
      </x:c>
      <x:c r="S118" s="2" t="n">
        <x:f>SUBTOTAL(103,N118)</x:f>
        <x:v>1</x:v>
      </x:c>
    </x:row>
    <x:row r="119" ht="31" customHeight="1" outlineLevel="1">
      <x:c r="A119" s="28" t="b">
        <x:v>0</x:v>
      </x:c>
      <x:c r="B119" s="36" t="str">
        <x:v>Cycle 1</x:v>
      </x:c>
      <x:c r="C119" s="36" t="str">
        <x:v>Phase 1</x:v>
      </x:c>
      <x:c r="D119" s="36" t="str">
        <x:v>FCM</x:v>
      </x:c>
      <x:c r="E119" s="69" t="str">
        <x:v>DR.FC.1.3.C03</x:v>
      </x:c>
      <x:c r="F119" s="37" t="str">
        <x:v>    Document population details</x:v>
      </x:c>
      <x:c r="G119" s="5"/>
      <x:c r="H119" s="11"/>
      <x:c r="I119" s="11"/>
      <x:c r="J119" s="11"/>
      <x:c r="K119" s="29"/>
      <x:c r="L119" s="2" t="str">
        <x:f>IF(A119,"Complete","Open check")</x:f>
        <x:v>Open check</x:v>
      </x:c>
      <x:c r="M119" s="2" t="str">
        <x:v>Checklist</x:v>
      </x:c>
      <x:c r="N119" s="2" t="str">
        <x:v>DR.FC.1.3.C03.2026.CY1</x:v>
      </x:c>
      <x:c r="O119" s="2" t="n">
        <x:f>R119</x:f>
        <x:v>0</x:v>
      </x:c>
      <x:c r="P119" s="2" t="str">
        <x:v>DR.FC.1.3.2026.CY1</x:v>
      </x:c>
      <x:c r="Q119" s="2" t="n">
        <x:v>0</x:v>
      </x:c>
      <x:c r="R119" s="2" t="n">
        <x:f>IF(A119,1,0)</x:f>
        <x:v>0</x:v>
      </x:c>
      <x:c r="S119" s="2" t="n">
        <x:f>SUBTOTAL(103,N119)</x:f>
        <x:v>1</x:v>
      </x:c>
    </x:row>
    <x:row r="120" ht="31" customHeight="1" outlineLevel="1">
      <x:c r="A120" s="28" t="b">
        <x:v>0</x:v>
      </x:c>
      <x:c r="B120" s="36" t="str">
        <x:v>Cycle 1</x:v>
      </x:c>
      <x:c r="C120" s="36" t="str">
        <x:v>Phase 1</x:v>
      </x:c>
      <x:c r="D120" s="36" t="str">
        <x:v>FCM</x:v>
      </x:c>
      <x:c r="E120" s="69" t="str">
        <x:v>DR.FC.1.3.C04</x:v>
      </x:c>
      <x:c r="F120" s="37" t="str">
        <x:v>    Validate no data is missing</x:v>
      </x:c>
      <x:c r="G120" s="5"/>
      <x:c r="H120" s="11"/>
      <x:c r="I120" s="11"/>
      <x:c r="J120" s="11"/>
      <x:c r="K120" s="29"/>
      <x:c r="L120" s="2" t="str">
        <x:f>IF(A120,"Complete","Open check")</x:f>
        <x:v>Open check</x:v>
      </x:c>
      <x:c r="M120" s="2" t="str">
        <x:v>Checklist</x:v>
      </x:c>
      <x:c r="N120" s="2" t="str">
        <x:v>DR.FC.1.3.C04.2026.CY1</x:v>
      </x:c>
      <x:c r="O120" s="2" t="n">
        <x:f>R120</x:f>
        <x:v>0</x:v>
      </x:c>
      <x:c r="P120" s="2" t="str">
        <x:v>DR.FC.1.3.2026.CY1</x:v>
      </x:c>
      <x:c r="Q120" s="2" t="n">
        <x:v>0</x:v>
      </x:c>
      <x:c r="R120" s="2" t="n">
        <x:f>IF(A120,1,0)</x:f>
        <x:v>0</x:v>
      </x:c>
      <x:c r="S120" s="2" t="n">
        <x:f>SUBTOTAL(103,N120)</x:f>
        <x:v>1</x:v>
      </x:c>
    </x:row>
    <x:row r="121" ht="31" customHeight="1" outlineLevel="1">
      <x:c r="A121" s="28" t="b">
        <x:v>0</x:v>
      </x:c>
      <x:c r="B121" s="36" t="str">
        <x:v>Cycle 1</x:v>
      </x:c>
      <x:c r="C121" s="36" t="str">
        <x:v>Phase 1</x:v>
      </x:c>
      <x:c r="D121" s="36" t="str">
        <x:v>FCM</x:v>
      </x:c>
      <x:c r="E121" s="69" t="str">
        <x:v>DR.FC.1.3.C05</x:v>
      </x:c>
      <x:c r="F121" s="37" t="str">
        <x:v>    Validate accuracy of data</x:v>
      </x:c>
      <x:c r="G121" s="5"/>
      <x:c r="H121" s="11"/>
      <x:c r="I121" s="11"/>
      <x:c r="J121" s="11"/>
      <x:c r="K121" s="29"/>
      <x:c r="L121" s="2" t="str">
        <x:f>IF(A121,"Complete","Open check")</x:f>
        <x:v>Open check</x:v>
      </x:c>
      <x:c r="M121" s="2" t="str">
        <x:v>Checklist</x:v>
      </x:c>
      <x:c r="N121" s="2" t="str">
        <x:v>DR.FC.1.3.C05.2026.CY1</x:v>
      </x:c>
      <x:c r="O121" s="2" t="n">
        <x:f>R121</x:f>
        <x:v>0</x:v>
      </x:c>
      <x:c r="P121" s="2" t="str">
        <x:v>DR.FC.1.3.2026.CY1</x:v>
      </x:c>
      <x:c r="Q121" s="2" t="n">
        <x:v>0</x:v>
      </x:c>
      <x:c r="R121" s="2" t="n">
        <x:f>IF(A121,1,0)</x:f>
        <x:v>0</x:v>
      </x:c>
      <x:c r="S121" s="2" t="n">
        <x:f>SUBTOTAL(103,N121)</x:f>
        <x:v>1</x:v>
      </x:c>
    </x:row>
    <x:row r="122" ht="31" customHeight="1" outlineLevel="1">
      <x:c r="A122" s="28" t="b">
        <x:v>0</x:v>
      </x:c>
      <x:c r="B122" s="36" t="str">
        <x:v>Cycle 1</x:v>
      </x:c>
      <x:c r="C122" s="36" t="str">
        <x:v>Phase 1</x:v>
      </x:c>
      <x:c r="D122" s="36" t="str">
        <x:v>FCM</x:v>
      </x:c>
      <x:c r="E122" s="69" t="str">
        <x:v>DR.FC.1.3.C06</x:v>
      </x:c>
      <x:c r="F122" s="37" t="str">
        <x:v>    Validate no duplicate data is provided</x:v>
      </x:c>
      <x:c r="G122" s="5"/>
      <x:c r="H122" s="11"/>
      <x:c r="I122" s="11"/>
      <x:c r="J122" s="11"/>
      <x:c r="K122" s="29"/>
      <x:c r="L122" s="2" t="str">
        <x:f>IF(A122,"Complete","Open check")</x:f>
        <x:v>Open check</x:v>
      </x:c>
      <x:c r="M122" s="2" t="str">
        <x:v>Checklist</x:v>
      </x:c>
      <x:c r="N122" s="2" t="str">
        <x:v>DR.FC.1.3.C06.2026.CY1</x:v>
      </x:c>
      <x:c r="O122" s="2" t="n">
        <x:f>R122</x:f>
        <x:v>0</x:v>
      </x:c>
      <x:c r="P122" s="2" t="str">
        <x:v>DR.FC.1.3.2026.CY1</x:v>
      </x:c>
      <x:c r="Q122" s="2" t="n">
        <x:v>0</x:v>
      </x:c>
      <x:c r="R122" s="2" t="n">
        <x:f>IF(A122,1,0)</x:f>
        <x:v>0</x:v>
      </x:c>
      <x:c r="S122" s="2" t="n">
        <x:f>SUBTOTAL(103,N122)</x:f>
        <x:v>1</x:v>
      </x:c>
    </x:row>
    <x:row r="123" ht="31" customHeight="1" outlineLevel="1">
      <x:c r="A123" s="28" t="b">
        <x:v>0</x:v>
      </x:c>
      <x:c r="B123" s="36" t="str">
        <x:v>Cycle 1</x:v>
      </x:c>
      <x:c r="C123" s="36" t="str">
        <x:v>Phase 1</x:v>
      </x:c>
      <x:c r="D123" s="36" t="str">
        <x:v>FCM</x:v>
      </x:c>
      <x:c r="E123" s="69" t="str">
        <x:v>DR.FC.1.3.C07</x:v>
      </x:c>
      <x:c r="F123" s="37" t="str">
        <x:v>    Document any data exclusions along with justification (as needed)</x:v>
      </x:c>
      <x:c r="G123" s="5"/>
      <x:c r="H123" s="11"/>
      <x:c r="I123" s="11"/>
      <x:c r="J123" s="11"/>
      <x:c r="K123" s="29"/>
      <x:c r="L123" s="2" t="str">
        <x:f>IF(A123,"Complete","Open check")</x:f>
        <x:v>Open check</x:v>
      </x:c>
      <x:c r="M123" s="2" t="str">
        <x:v>Checklist</x:v>
      </x:c>
      <x:c r="N123" s="2" t="str">
        <x:v>DR.FC.1.3.C07.2026.CY1</x:v>
      </x:c>
      <x:c r="O123" s="2" t="n">
        <x:f>R123</x:f>
        <x:v>0</x:v>
      </x:c>
      <x:c r="P123" s="2" t="str">
        <x:v>DR.FC.1.3.2026.CY1</x:v>
      </x:c>
      <x:c r="Q123" s="2" t="n">
        <x:v>0</x:v>
      </x:c>
      <x:c r="R123" s="2" t="n">
        <x:f>IF(A123,1,0)</x:f>
        <x:v>0</x:v>
      </x:c>
      <x:c r="S123" s="2" t="n">
        <x:f>SUBTOTAL(103,N123)</x:f>
        <x:v>1</x:v>
      </x:c>
    </x:row>
    <x:row r="124" ht="31" customHeight="1" outlineLevel="1">
      <x:c r="A124" s="28" t="b">
        <x:v>0</x:v>
      </x:c>
      <x:c r="B124" s="36" t="str">
        <x:v>Cycle 1</x:v>
      </x:c>
      <x:c r="C124" s="36" t="str">
        <x:v>Phase 1</x:v>
      </x:c>
      <x:c r="D124" s="36" t="str">
        <x:v>FCM</x:v>
      </x:c>
      <x:c r="E124" s="69" t="str">
        <x:v>DR.FC.1.3.C08</x:v>
      </x:c>
      <x:c r="F124" s="37" t="str">
        <x:v>    Document any assumptions made with the data (as needed)</x:v>
      </x:c>
      <x:c r="G124" s="5"/>
      <x:c r="H124" s="11"/>
      <x:c r="I124" s="11"/>
      <x:c r="J124" s="11"/>
      <x:c r="K124" s="29"/>
      <x:c r="L124" s="2" t="str">
        <x:f>IF(A124,"Complete","Open check")</x:f>
        <x:v>Open check</x:v>
      </x:c>
      <x:c r="M124" s="2" t="str">
        <x:v>Checklist</x:v>
      </x:c>
      <x:c r="N124" s="2" t="str">
        <x:v>DR.FC.1.3.C08.2026.CY1</x:v>
      </x:c>
      <x:c r="O124" s="2" t="n">
        <x:f>R124</x:f>
        <x:v>0</x:v>
      </x:c>
      <x:c r="P124" s="2" t="str">
        <x:v>DR.FC.1.3.2026.CY1</x:v>
      </x:c>
      <x:c r="Q124" s="2" t="n">
        <x:v>0</x:v>
      </x:c>
      <x:c r="R124" s="2" t="n">
        <x:f>IF(A124,1,0)</x:f>
        <x:v>0</x:v>
      </x:c>
      <x:c r="S124" s="2" t="n">
        <x:f>SUBTOTAL(103,N124)</x:f>
        <x:v>1</x:v>
      </x:c>
    </x:row>
    <x:row r="125" ht="31" customHeight="1" outlineLevel="1">
      <x:c r="A125" s="28" t="b">
        <x:v>0</x:v>
      </x:c>
      <x:c r="B125" s="36" t="str">
        <x:v>Cycle 1</x:v>
      </x:c>
      <x:c r="C125" s="36" t="str">
        <x:v>Phase 1</x:v>
      </x:c>
      <x:c r="D125" s="36" t="str">
        <x:v>FCM</x:v>
      </x:c>
      <x:c r="E125" s="69" t="str">
        <x:v>DR.FC.1.3.C09</x:v>
      </x:c>
      <x:c r="F125" s="37" t="str">
        <x:v>    Document any data limitations or constraints clearly (as needed)</x:v>
      </x:c>
      <x:c r="G125" s="5"/>
      <x:c r="H125" s="11"/>
      <x:c r="I125" s="11"/>
      <x:c r="J125" s="11"/>
      <x:c r="K125" s="29"/>
      <x:c r="L125" s="2" t="str">
        <x:f>IF(A125,"Complete","Open check")</x:f>
        <x:v>Open check</x:v>
      </x:c>
      <x:c r="M125" s="2" t="str">
        <x:v>Checklist</x:v>
      </x:c>
      <x:c r="N125" s="2" t="str">
        <x:v>DR.FC.1.3.C09.2026.CY1</x:v>
      </x:c>
      <x:c r="O125" s="2" t="n">
        <x:f>R125</x:f>
        <x:v>0</x:v>
      </x:c>
      <x:c r="P125" s="2" t="str">
        <x:v>DR.FC.1.3.2026.CY1</x:v>
      </x:c>
      <x:c r="Q125" s="2" t="n">
        <x:v>0</x:v>
      </x:c>
      <x:c r="R125" s="2" t="n">
        <x:f>IF(A125,1,0)</x:f>
        <x:v>0</x:v>
      </x:c>
      <x:c r="S125" s="2" t="n">
        <x:f>SUBTOTAL(103,N125)</x:f>
        <x:v>1</x:v>
      </x:c>
    </x:row>
    <x:row r="126" ht="31" customHeight="1" outlineLevel="1">
      <x:c r="A126" s="28" t="b">
        <x:v>0</x:v>
      </x:c>
      <x:c r="B126" s="36" t="str">
        <x:v>Cycle 1</x:v>
      </x:c>
      <x:c r="C126" s="36" t="str">
        <x:v>Phase 1</x:v>
      </x:c>
      <x:c r="D126" s="36" t="str">
        <x:v>FCM</x:v>
      </x:c>
      <x:c r="E126" s="69" t="str">
        <x:v>DR.FC.1.3.C10</x:v>
      </x:c>
      <x:c r="F126" s="37" t="str">
        <x:v>    Document data dictionary or field definitions for columns/rows</x:v>
      </x:c>
      <x:c r="G126" s="5"/>
      <x:c r="H126" s="11"/>
      <x:c r="I126" s="11"/>
      <x:c r="J126" s="11"/>
      <x:c r="K126" s="29"/>
      <x:c r="L126" s="2" t="str">
        <x:f>IF(A126,"Complete","Open check")</x:f>
        <x:v>Open check</x:v>
      </x:c>
      <x:c r="M126" s="2" t="str">
        <x:v>Checklist</x:v>
      </x:c>
      <x:c r="N126" s="2" t="str">
        <x:v>DR.FC.1.3.C10.2026.CY1</x:v>
      </x:c>
      <x:c r="O126" s="2" t="n">
        <x:f>R126</x:f>
        <x:v>0</x:v>
      </x:c>
      <x:c r="P126" s="2" t="str">
        <x:v>DR.FC.1.3.2026.CY1</x:v>
      </x:c>
      <x:c r="Q126" s="2" t="n">
        <x:v>0</x:v>
      </x:c>
      <x:c r="R126" s="2" t="n">
        <x:f>IF(A126,1,0)</x:f>
        <x:v>0</x:v>
      </x:c>
      <x:c r="S126" s="2" t="n">
        <x:f>SUBTOTAL(103,N126)</x:f>
        <x:v>1</x:v>
      </x:c>
    </x:row>
    <x:row r="127" ht="31" customHeight="1" outlineLevel="1">
      <x:c r="A127" s="28" t="b">
        <x:v>0</x:v>
      </x:c>
      <x:c r="B127" s="36" t="str">
        <x:v>Cycle 1</x:v>
      </x:c>
      <x:c r="C127" s="36" t="str">
        <x:v>Phase 1</x:v>
      </x:c>
      <x:c r="D127" s="36" t="str">
        <x:v>FCM</x:v>
      </x:c>
      <x:c r="E127" s="69" t="str">
        <x:v>DR.FC.1.3.C11</x:v>
      </x:c>
      <x:c r="F127" s="37" t="str">
        <x:v>    Document emerging trends, patterns, or concentrations along with supporting data</x:v>
      </x:c>
      <x:c r="G127" s="5"/>
      <x:c r="H127" s="11"/>
      <x:c r="I127" s="11"/>
      <x:c r="J127" s="11"/>
      <x:c r="K127" s="29"/>
      <x:c r="L127" s="2" t="str">
        <x:f>IF(A127,"Complete","Open check")</x:f>
        <x:v>Open check</x:v>
      </x:c>
      <x:c r="M127" s="2" t="str">
        <x:v>Checklist</x:v>
      </x:c>
      <x:c r="N127" s="2" t="str">
        <x:v>DR.FC.1.3.C11.2026.CY1</x:v>
      </x:c>
      <x:c r="O127" s="2" t="n">
        <x:f>R127</x:f>
        <x:v>0</x:v>
      </x:c>
      <x:c r="P127" s="2" t="str">
        <x:v>DR.FC.1.3.2026.CY1</x:v>
      </x:c>
      <x:c r="Q127" s="2" t="n">
        <x:v>0</x:v>
      </x:c>
      <x:c r="R127" s="2" t="n">
        <x:f>IF(A127,1,0)</x:f>
        <x:v>0</x:v>
      </x:c>
      <x:c r="S127" s="2" t="n">
        <x:f>SUBTOTAL(103,N127)</x:f>
        <x:v>1</x:v>
      </x:c>
    </x:row>
    <x:row r="128" ht="31" customHeight="1" outlineLevel="1">
      <x:c r="A128" s="28" t="b">
        <x:v>0</x:v>
      </x:c>
      <x:c r="B128" s="36" t="str">
        <x:v>Cycle 1</x:v>
      </x:c>
      <x:c r="C128" s="36" t="str">
        <x:v>Phase 1</x:v>
      </x:c>
      <x:c r="D128" s="36" t="str">
        <x:v>FCM</x:v>
      </x:c>
      <x:c r="E128" s="69" t="str">
        <x:v>DR.FC.1.3.C12</x:v>
      </x:c>
      <x:c r="F128" s="37" t="str">
        <x:v>    Document any severe spikes in volume along with context (as needed)</x:v>
      </x:c>
      <x:c r="G128" s="5"/>
      <x:c r="H128" s="11"/>
      <x:c r="I128" s="11"/>
      <x:c r="J128" s="11"/>
      <x:c r="K128" s="29"/>
      <x:c r="L128" s="2" t="str">
        <x:f>IF(A128,"Complete","Open check")</x:f>
        <x:v>Open check</x:v>
      </x:c>
      <x:c r="M128" s="2" t="str">
        <x:v>Checklist</x:v>
      </x:c>
      <x:c r="N128" s="2" t="str">
        <x:v>DR.FC.1.3.C12.2026.CY1</x:v>
      </x:c>
      <x:c r="O128" s="2" t="n">
        <x:f>R128</x:f>
        <x:v>0</x:v>
      </x:c>
      <x:c r="P128" s="2" t="str">
        <x:v>DR.FC.1.3.2026.CY1</x:v>
      </x:c>
      <x:c r="Q128" s="2" t="n">
        <x:v>0</x:v>
      </x:c>
      <x:c r="R128" s="2" t="n">
        <x:f>IF(A128,1,0)</x:f>
        <x:v>0</x:v>
      </x:c>
      <x:c r="S128" s="2" t="n">
        <x:f>SUBTOTAL(103,N128)</x:f>
        <x:v>1</x:v>
      </x:c>
    </x:row>
    <x:row r="129" ht="31" customHeight="1" outlineLevel="1">
      <x:c r="A129" s="28" t="b">
        <x:v>0</x:v>
      </x:c>
      <x:c r="B129" s="36" t="str">
        <x:v>Cycle 1</x:v>
      </x:c>
      <x:c r="C129" s="36" t="str">
        <x:v>Phase 1</x:v>
      </x:c>
      <x:c r="D129" s="36" t="str">
        <x:v>FCM</x:v>
      </x:c>
      <x:c r="E129" s="69" t="str">
        <x:v>DR.FC.1.3.C13</x:v>
      </x:c>
      <x:c r="F129" s="37" t="str">
        <x:v>    Document clear summary explaining how the data connects to the potential topic</x:v>
      </x:c>
      <x:c r="G129" s="5"/>
      <x:c r="H129" s="11"/>
      <x:c r="I129" s="11"/>
      <x:c r="J129" s="11"/>
      <x:c r="K129" s="29"/>
      <x:c r="L129" s="2" t="str">
        <x:f>IF(A129,"Complete","Open check")</x:f>
        <x:v>Open check</x:v>
      </x:c>
      <x:c r="M129" s="2" t="str">
        <x:v>Checklist</x:v>
      </x:c>
      <x:c r="N129" s="2" t="str">
        <x:v>DR.FC.1.3.C13.2026.CY1</x:v>
      </x:c>
      <x:c r="O129" s="2" t="n">
        <x:f>R129</x:f>
        <x:v>0</x:v>
      </x:c>
      <x:c r="P129" s="2" t="str">
        <x:v>DR.FC.1.3.2026.CY1</x:v>
      </x:c>
      <x:c r="Q129" s="2" t="n">
        <x:v>0</x:v>
      </x:c>
      <x:c r="R129" s="2" t="n">
        <x:f>IF(A129,1,0)</x:f>
        <x:v>0</x:v>
      </x:c>
      <x:c r="S129" s="2" t="n">
        <x:f>SUBTOTAL(103,N129)</x:f>
        <x:v>1</x:v>
      </x:c>
    </x:row>
    <x:row r="130" ht="42" customHeight="1">
      <x:c r="A130" s="28" t="b">
        <x:v>0</x:v>
      </x:c>
      <x:c r="B130" s="2" t="str">
        <x:v>Cycle 1</x:v>
      </x:c>
      <x:c r="C130" s="2" t="str">
        <x:v>Phase 2</x:v>
      </x:c>
      <x:c r="D130" s="2" t="str">
        <x:v>FCM</x:v>
      </x:c>
      <x:c r="E130" s="56" t="str">
        <x:v>DR.FC.2.1</x:v>
      </x:c>
      <x:c r="F130" s="14" t="str">
        <x:v>Ensure data is clean, structured, and usable without manipulation needed</x:v>
      </x:c>
      <x:c r="G130" s="5"/>
      <x:c r="H130" s="11"/>
      <x:c r="I130" s="11" t="n">
        <x:f>'Cycles &amp; Guide'!$D$10</x:f>
        <x:v>46112</x:v>
      </x:c>
      <x:c r="J130" s="11"/>
      <x:c r="K130" s="29"/>
      <x:c r="L130" s="2" t="str">
        <x:f>IF(O130=1,"Complete",IF(A130,"Checklist open",IF(H130&lt;&gt;"","In progress","Not started")))</x:f>
        <x:v>Not started</x:v>
      </x:c>
      <x:c r="M130" s="2" t="str">
        <x:v>Task</x:v>
      </x:c>
      <x:c r="N130" s="2" t="str">
        <x:v>DR.FC.2.1.2026.CY1</x:v>
      </x:c>
      <x:c r="O130" s="2" t="n">
        <x:f>R130</x:f>
        <x:v>0</x:v>
      </x:c>
      <x:c r="P130" s="2"/>
      <x:c r="Q130" s="2" t="n">
        <x:v>1</x:v>
      </x:c>
      <x:c r="R130" s="2" t="n">
        <x:f>IF(A130,1,0)</x:f>
        <x:v>0</x:v>
      </x:c>
      <x:c r="S130" s="2" t="n">
        <x:f>SUBTOTAL(103,N130)</x:f>
        <x:v>1</x:v>
      </x:c>
    </x:row>
    <x:row r="131" ht="42" customHeight="1">
      <x:c r="A131" s="28" t="b">
        <x:v>0</x:v>
      </x:c>
      <x:c r="B131" s="2" t="str">
        <x:v>Cycle 1</x:v>
      </x:c>
      <x:c r="C131" s="2" t="str">
        <x:v>Phase 2</x:v>
      </x:c>
      <x:c r="D131" s="2" t="str">
        <x:v>FCM</x:v>
      </x:c>
      <x:c r="E131" s="56" t="str">
        <x:v>DR.FC.2.2</x:v>
      </x:c>
      <x:c r="F131" s="14" t="str">
        <x:v>Clearly document rationale for each topic recommendation within the SharePoint list</x:v>
      </x:c>
      <x:c r="G131" s="5"/>
      <x:c r="H131" s="11"/>
      <x:c r="I131" s="11" t="n">
        <x:f>'Cycles &amp; Guide'!$D$10</x:f>
        <x:v>46112</x:v>
      </x:c>
      <x:c r="J131" s="11"/>
      <x:c r="K131" s="29"/>
      <x:c r="L131" s="2" t="str">
        <x:f>IF(O131=1,"Complete",IF(A131,"Checklist open",IF(H131&lt;&gt;"","In progress","Not started")))</x:f>
        <x:v>Not started</x:v>
      </x:c>
      <x:c r="M131" s="2" t="str">
        <x:v>Task</x:v>
      </x:c>
      <x:c r="N131" s="2" t="str">
        <x:v>DR.FC.2.2.2026.CY1</x:v>
      </x:c>
      <x:c r="O131" s="2" t="n">
        <x:f>R131</x:f>
        <x:v>0</x:v>
      </x:c>
      <x:c r="P131" s="2"/>
      <x:c r="Q131" s="2" t="n">
        <x:v>1</x:v>
      </x:c>
      <x:c r="R131" s="2" t="n">
        <x:f>IF(A131,1,0)</x:f>
        <x:v>0</x:v>
      </x:c>
      <x:c r="S131" s="2" t="n">
        <x:f>SUBTOTAL(103,N131)</x:f>
        <x:v>1</x:v>
      </x:c>
    </x:row>
    <x:row r="132" ht="42" customHeight="1">
      <x:c r="A132" s="28" t="b">
        <x:v>0</x:v>
      </x:c>
      <x:c r="B132" s="2" t="str">
        <x:v>Cycle 1</x:v>
      </x:c>
      <x:c r="C132" s="2" t="str">
        <x:v>Phase 2</x:v>
      </x:c>
      <x:c r="D132" s="2" t="str">
        <x:v>FCM</x:v>
      </x:c>
      <x:c r="E132" s="56" t="str">
        <x:v>DR.FC.2.3</x:v>
      </x:c>
      <x:c r="F132" s="14" t="str">
        <x:v>Verify topic is eligible for RCA and does not conflict with Attorney Client Privilege</x:v>
      </x:c>
      <x:c r="G132" s="5"/>
      <x:c r="H132" s="11"/>
      <x:c r="I132" s="11" t="n">
        <x:f>'Cycles &amp; Guide'!$D$10</x:f>
        <x:v>46112</x:v>
      </x:c>
      <x:c r="J132" s="11"/>
      <x:c r="K132" s="29"/>
      <x:c r="L132" s="2" t="str">
        <x:f>IF(O132=1,"Complete",IF(A132,"Checklist open",IF(H132&lt;&gt;"","In progress","Not started")))</x:f>
        <x:v>Not started</x:v>
      </x:c>
      <x:c r="M132" s="2" t="str">
        <x:v>Task</x:v>
      </x:c>
      <x:c r="N132" s="2" t="str">
        <x:v>DR.FC.2.3.2026.CY1</x:v>
      </x:c>
      <x:c r="O132" s="2" t="n">
        <x:f>R132</x:f>
        <x:v>0</x:v>
      </x:c>
      <x:c r="P132" s="2"/>
      <x:c r="Q132" s="2" t="n">
        <x:v>1</x:v>
      </x:c>
      <x:c r="R132" s="2" t="n">
        <x:f>IF(A132,1,0)</x:f>
        <x:v>0</x:v>
      </x:c>
      <x:c r="S132" s="2" t="n">
        <x:f>SUBTOTAL(103,N132)</x:f>
        <x:v>1</x:v>
      </x:c>
    </x:row>
    <x:row r="133" ht="42" customHeight="1">
      <x:c r="A133" s="28" t="b">
        <x:v>0</x:v>
      </x:c>
      <x:c r="B133" s="2" t="str">
        <x:v>Cycle 1</x:v>
      </x:c>
      <x:c r="C133" s="2" t="str">
        <x:v>Phase 2</x:v>
      </x:c>
      <x:c r="D133" s="2" t="str">
        <x:v>FCM</x:v>
      </x:c>
      <x:c r="E133" s="56" t="str">
        <x:v>DR.FC.2.4</x:v>
      </x:c>
      <x:c r="F133" s="14" t="str">
        <x:v>Ensure data is free of errors and anomalies prior to hand-off to Research</x:v>
      </x:c>
      <x:c r="G133" s="5"/>
      <x:c r="H133" s="11"/>
      <x:c r="I133" s="11" t="n">
        <x:f>'Cycles &amp; Guide'!$D$10</x:f>
        <x:v>46112</x:v>
      </x:c>
      <x:c r="J133" s="11"/>
      <x:c r="K133" s="29"/>
      <x:c r="L133" s="2" t="str">
        <x:f>IF(O133=1,"Complete",IF(A133,"Checklist open",IF(H133&lt;&gt;"","In progress","Not started")))</x:f>
        <x:v>Not started</x:v>
      </x:c>
      <x:c r="M133" s="2" t="str">
        <x:v>Task</x:v>
      </x:c>
      <x:c r="N133" s="2" t="str">
        <x:v>DR.FC.2.4.2026.CY1</x:v>
      </x:c>
      <x:c r="O133" s="2" t="n">
        <x:f>R133</x:f>
        <x:v>0</x:v>
      </x:c>
      <x:c r="P133" s="2"/>
      <x:c r="Q133" s="2" t="n">
        <x:v>1</x:v>
      </x:c>
      <x:c r="R133" s="2" t="n">
        <x:f>IF(A133,1,0)</x:f>
        <x:v>0</x:v>
      </x:c>
      <x:c r="S133" s="2" t="n">
        <x:f>SUBTOTAL(103,N133)</x:f>
        <x:v>1</x:v>
      </x:c>
    </x:row>
    <x:row r="134" ht="42" customHeight="1">
      <x:c r="A134" s="28" t="b">
        <x:v>0</x:v>
      </x:c>
      <x:c r="B134" s="2" t="str">
        <x:v>Cycle 1</x:v>
      </x:c>
      <x:c r="C134" s="2" t="str">
        <x:v>Phase 2</x:v>
      </x:c>
      <x:c r="D134" s="2" t="str">
        <x:v>FCM</x:v>
      </x:c>
      <x:c r="E134" s="56" t="str">
        <x:v>DR.FC.2.5</x:v>
      </x:c>
      <x:c r="F134" s="14" t="str">
        <x:v>Ensure topic is not a duplicate from a previous Cycle</x:v>
      </x:c>
      <x:c r="G134" s="5"/>
      <x:c r="H134" s="11"/>
      <x:c r="I134" s="11" t="n">
        <x:f>'Cycles &amp; Guide'!$D$10</x:f>
        <x:v>46112</x:v>
      </x:c>
      <x:c r="J134" s="11"/>
      <x:c r="K134" s="29"/>
      <x:c r="L134" s="2" t="str">
        <x:f>IF(O134=1,"Complete",IF(A134,"Checklist open",IF(H134&lt;&gt;"","In progress","Not started")))</x:f>
        <x:v>Not started</x:v>
      </x:c>
      <x:c r="M134" s="2" t="str">
        <x:v>Task</x:v>
      </x:c>
      <x:c r="N134" s="2" t="str">
        <x:v>DR.FC.2.5.2026.CY1</x:v>
      </x:c>
      <x:c r="O134" s="2" t="n">
        <x:f>R134</x:f>
        <x:v>0</x:v>
      </x:c>
      <x:c r="P134" s="2"/>
      <x:c r="Q134" s="2" t="n">
        <x:v>1</x:v>
      </x:c>
      <x:c r="R134" s="2" t="n">
        <x:f>IF(A134,1,0)</x:f>
        <x:v>0</x:v>
      </x:c>
      <x:c r="S134" s="2" t="n">
        <x:f>SUBTOTAL(103,N134)</x:f>
        <x:v>1</x:v>
      </x:c>
    </x:row>
    <x:row r="135" ht="42" customHeight="1">
      <x:c r="A135" s="28" t="b">
        <x:v>0</x:v>
      </x:c>
      <x:c r="B135" s="2" t="str">
        <x:v>Cycle 1</x:v>
      </x:c>
      <x:c r="C135" s="2" t="str">
        <x:v>Phase 2</x:v>
      </x:c>
      <x:c r="D135" s="2" t="str">
        <x:v>FCM</x:v>
      </x:c>
      <x:c r="E135" s="56" t="str">
        <x:v>DR.FC.2.6</x:v>
      </x:c>
      <x:c r="F135" s="14" t="str">
        <x:v>Document clear distinctions between facts, assumptions, and hypotheses within the data package</x:v>
      </x:c>
      <x:c r="G135" s="5"/>
      <x:c r="H135" s="11"/>
      <x:c r="I135" s="11" t="n">
        <x:f>'Cycles &amp; Guide'!$D$10</x:f>
        <x:v>46112</x:v>
      </x:c>
      <x:c r="J135" s="11"/>
      <x:c r="K135" s="29"/>
      <x:c r="L135" s="2" t="str">
        <x:f>IF(O135=1,"Complete",IF(A135,"Checklist open",IF(H135&lt;&gt;"","In progress","Not started")))</x:f>
        <x:v>Not started</x:v>
      </x:c>
      <x:c r="M135" s="2" t="str">
        <x:v>Task</x:v>
      </x:c>
      <x:c r="N135" s="2" t="str">
        <x:v>DR.FC.2.6.2026.CY1</x:v>
      </x:c>
      <x:c r="O135" s="2" t="n">
        <x:f>R135</x:f>
        <x:v>0</x:v>
      </x:c>
      <x:c r="P135" s="2"/>
      <x:c r="Q135" s="2" t="n">
        <x:v>1</x:v>
      </x:c>
      <x:c r="R135" s="2" t="n">
        <x:f>IF(A135,1,0)</x:f>
        <x:v>0</x:v>
      </x:c>
      <x:c r="S135" s="2" t="n">
        <x:f>SUBTOTAL(103,N135)</x:f>
        <x:v>1</x:v>
      </x:c>
    </x:row>
    <x:row r="136" ht="42" customHeight="1">
      <x:c r="A136" s="28" t="b">
        <x:v>0</x:v>
      </x:c>
      <x:c r="B136" s="2" t="str">
        <x:v>Cycle 1</x:v>
      </x:c>
      <x:c r="C136" s="2" t="str">
        <x:v>Phase 3</x:v>
      </x:c>
      <x:c r="D136" s="2" t="str">
        <x:v>FCM</x:v>
      </x:c>
      <x:c r="E136" s="56" t="str">
        <x:v>DR.FC.3.1</x:v>
      </x:c>
      <x:c r="F136" s="14" t="str">
        <x:v>Clearly document rationale for each topic recommendation within the SharePoint list item</x:v>
      </x:c>
      <x:c r="G136" s="5"/>
      <x:c r="H136" s="11"/>
      <x:c r="I136" s="11" t="n">
        <x:f>'Cycles &amp; Guide'!$D$10</x:f>
        <x:v>46112</x:v>
      </x:c>
      <x:c r="J136" s="11"/>
      <x:c r="K136" s="29"/>
      <x:c r="L136" s="2" t="str">
        <x:f>IF(O136=1,"Complete",IF(A136,"Checklist open",IF(H136&lt;&gt;"","In progress","Not started")))</x:f>
        <x:v>Not started</x:v>
      </x:c>
      <x:c r="M136" s="2" t="str">
        <x:v>Task</x:v>
      </x:c>
      <x:c r="N136" s="2" t="str">
        <x:v>DR.FC.3.1.2026.CY1</x:v>
      </x:c>
      <x:c r="O136" s="2" t="n">
        <x:f>R136</x:f>
        <x:v>0</x:v>
      </x:c>
      <x:c r="P136" s="2"/>
      <x:c r="Q136" s="2" t="n">
        <x:v>1</x:v>
      </x:c>
      <x:c r="R136" s="2" t="n">
        <x:f>IF(A136,1,0)</x:f>
        <x:v>0</x:v>
      </x:c>
      <x:c r="S136" s="2" t="n">
        <x:f>SUBTOTAL(103,N136)</x:f>
        <x:v>1</x:v>
      </x:c>
    </x:row>
    <x:row r="137" ht="42" customHeight="1">
      <x:c r="A137" s="28" t="b">
        <x:v>0</x:v>
      </x:c>
      <x:c r="B137" s="2" t="str">
        <x:v>Cycle 1</x:v>
      </x:c>
      <x:c r="C137" s="2" t="str">
        <x:v>Phase 3</x:v>
      </x:c>
      <x:c r="D137" s="2" t="str">
        <x:v>FCM</x:v>
      </x:c>
      <x:c r="E137" s="56" t="str">
        <x:v>DR.FC.3.2</x:v>
      </x:c>
      <x:c r="F137" s="14" t="str">
        <x:v>Attach the data package for each topic recommendation within the SharePoint list item</x:v>
      </x:c>
      <x:c r="G137" s="5"/>
      <x:c r="H137" s="11"/>
      <x:c r="I137" s="11" t="n">
        <x:f>'Cycles &amp; Guide'!$D$10</x:f>
        <x:v>46112</x:v>
      </x:c>
      <x:c r="J137" s="11"/>
      <x:c r="K137" s="29"/>
      <x:c r="L137" s="2" t="str">
        <x:f>IF(O137=1,"Complete",IF(A137,"Checklist open",IF(H137&lt;&gt;"","In progress","Not started")))</x:f>
        <x:v>Not started</x:v>
      </x:c>
      <x:c r="M137" s="2" t="str">
        <x:v>Task</x:v>
      </x:c>
      <x:c r="N137" s="2" t="str">
        <x:v>DR.FC.3.2.2026.CY1</x:v>
      </x:c>
      <x:c r="O137" s="2" t="n">
        <x:f>R137</x:f>
        <x:v>0</x:v>
      </x:c>
      <x:c r="P137" s="2"/>
      <x:c r="Q137" s="2" t="n">
        <x:v>1</x:v>
      </x:c>
      <x:c r="R137" s="2" t="n">
        <x:f>IF(A137,1,0)</x:f>
        <x:v>0</x:v>
      </x:c>
      <x:c r="S137" s="2" t="n">
        <x:f>SUBTOTAL(103,N137)</x:f>
        <x:v>1</x:v>
      </x:c>
    </x:row>
    <x:row r="138" ht="42" customHeight="1">
      <x:c r="A138" s="28" t="b">
        <x:v>0</x:v>
      </x:c>
      <x:c r="B138" s="2" t="str">
        <x:v>Cycle 1</x:v>
      </x:c>
      <x:c r="C138" s="2" t="str">
        <x:v>Phase 3</x:v>
      </x:c>
      <x:c r="D138" s="2" t="str">
        <x:v>FCM</x:v>
      </x:c>
      <x:c r="E138" s="56" t="str">
        <x:v>DR.FC.3.3</x:v>
      </x:c>
      <x:c r="F138" s="14" t="str">
        <x:v>Confirm data privileges have been granted, ensuring each pillar can access</x:v>
      </x:c>
      <x:c r="G138" s="5"/>
      <x:c r="H138" s="11"/>
      <x:c r="I138" s="11" t="n">
        <x:f>'Cycles &amp; Guide'!$D$10</x:f>
        <x:v>46112</x:v>
      </x:c>
      <x:c r="J138" s="11"/>
      <x:c r="K138" s="29"/>
      <x:c r="L138" s="2" t="str">
        <x:f>IF(O138=1,"Complete",IF(A138,"Checklist open",IF(H138&lt;&gt;"","In progress","Not started")))</x:f>
        <x:v>Not started</x:v>
      </x:c>
      <x:c r="M138" s="2" t="str">
        <x:v>Task</x:v>
      </x:c>
      <x:c r="N138" s="2" t="str">
        <x:v>DR.FC.3.3.2026.CY1</x:v>
      </x:c>
      <x:c r="O138" s="2" t="n">
        <x:f>R138</x:f>
        <x:v>0</x:v>
      </x:c>
      <x:c r="P138" s="2"/>
      <x:c r="Q138" s="2" t="n">
        <x:v>1</x:v>
      </x:c>
      <x:c r="R138" s="2" t="n">
        <x:f>IF(A138,1,0)</x:f>
        <x:v>0</x:v>
      </x:c>
      <x:c r="S138" s="2" t="n">
        <x:f>SUBTOTAL(103,N138)</x:f>
        <x:v>1</x:v>
      </x:c>
    </x:row>
    <x:row r="139" ht="42" customHeight="1">
      <x:c r="A139" s="28" t="b">
        <x:v>0</x:v>
      </x:c>
      <x:c r="B139" s="2" t="str">
        <x:v>Cycle 1</x:v>
      </x:c>
      <x:c r="C139" s="2" t="str">
        <x:v>Phase 3</x:v>
      </x:c>
      <x:c r="D139" s="2" t="str">
        <x:v>FCM</x:v>
      </x:c>
      <x:c r="E139" s="56" t="str">
        <x:v>DR.FC.3.4</x:v>
      </x:c>
      <x:c r="F139" s="14" t="str">
        <x:v>Ensure Power Automate notifications were correctly triggered within Microsoft Teams</x:v>
      </x:c>
      <x:c r="G139" s="5"/>
      <x:c r="H139" s="11"/>
      <x:c r="I139" s="11" t="n">
        <x:f>'Cycles &amp; Guide'!$D$10</x:f>
        <x:v>46112</x:v>
      </x:c>
      <x:c r="J139" s="11"/>
      <x:c r="K139" s="29"/>
      <x:c r="L139" s="2" t="str">
        <x:f>IF(O139=1,"Complete",IF(A139,"Checklist open",IF(H139&lt;&gt;"","In progress","Not started")))</x:f>
        <x:v>Not started</x:v>
      </x:c>
      <x:c r="M139" s="2" t="str">
        <x:v>Task</x:v>
      </x:c>
      <x:c r="N139" s="2" t="str">
        <x:v>DR.FC.3.4.2026.CY1</x:v>
      </x:c>
      <x:c r="O139" s="2" t="n">
        <x:f>R139</x:f>
        <x:v>0</x:v>
      </x:c>
      <x:c r="P139" s="2"/>
      <x:c r="Q139" s="2" t="n">
        <x:v>1</x:v>
      </x:c>
      <x:c r="R139" s="2" t="n">
        <x:f>IF(A139,1,0)</x:f>
        <x:v>0</x:v>
      </x:c>
      <x:c r="S139" s="2" t="n">
        <x:f>SUBTOTAL(103,N139)</x:f>
        <x:v>1</x:v>
      </x:c>
    </x:row>
    <x:row r="140" ht="42" customHeight="1">
      <x:c r="A140" s="28" t="b">
        <x:v>0</x:v>
      </x:c>
      <x:c r="B140" s="2" t="str">
        <x:v>Cycle 1</x:v>
      </x:c>
      <x:c r="C140" s="2" t="str">
        <x:v>Phase 1</x:v>
      </x:c>
      <x:c r="D140" s="2" t="str">
        <x:v>PLL</x:v>
      </x:c>
      <x:c r="E140" s="56" t="str">
        <x:v>DR.PL.1.1</x:v>
      </x:c>
      <x:c r="F140" s="14" t="str">
        <x:v>Review data sources 3 weeks prior to Cycle start (Complaints, Gen AI, Loudspeaker, NPS, etc.)</x:v>
      </x:c>
      <x:c r="G140" s="5"/>
      <x:c r="H140" s="11"/>
      <x:c r="I140" s="11" t="n">
        <x:f>'Cycles &amp; Guide'!$C$10-21</x:f>
        <x:v>46002</x:v>
      </x:c>
      <x:c r="J140" s="11"/>
      <x:c r="K140" s="29"/>
      <x:c r="L140" s="2" t="str">
        <x:f>IF(O140=1,"Complete",IF(A140,"Checklist open",IF(H140&lt;&gt;"","In progress","Not started")))</x:f>
        <x:v>Not started</x:v>
      </x:c>
      <x:c r="M140" s="2" t="str">
        <x:v>Task</x:v>
      </x:c>
      <x:c r="N140" s="2" t="str">
        <x:v>DR.PL.1.1.2026.CY1</x:v>
      </x:c>
      <x:c r="O140" s="2" t="n">
        <x:f>R140</x:f>
        <x:v>0</x:v>
      </x:c>
      <x:c r="P140" s="2"/>
      <x:c r="Q140" s="2" t="n">
        <x:v>1</x:v>
      </x:c>
      <x:c r="R140" s="2" t="n">
        <x:f>IF(A140,1,0)</x:f>
        <x:v>0</x:v>
      </x:c>
      <x:c r="S140" s="2" t="n">
        <x:f>SUBTOTAL(103,N140)</x:f>
        <x:v>1</x:v>
      </x:c>
    </x:row>
    <x:row r="141" ht="42" customHeight="1">
      <x:c r="A141" s="28" t="b">
        <x:v>0</x:v>
      </x:c>
      <x:c r="B141" s="2" t="str">
        <x:v>Cycle 1</x:v>
      </x:c>
      <x:c r="C141" s="2" t="str">
        <x:v>Phase 1</x:v>
      </x:c>
      <x:c r="D141" s="2" t="str">
        <x:v>PLL</x:v>
      </x:c>
      <x:c r="E141" s="56" t="str">
        <x:v>DR.PL.1.2</x:v>
      </x:c>
      <x:c r="F141" s="14" t="str">
        <x:v>Identify two potential topics for the upcoming Cycle</x:v>
      </x:c>
      <x:c r="G141" s="5"/>
      <x:c r="H141" s="11"/>
      <x:c r="I141" s="11" t="n">
        <x:f>'Cycles &amp; Guide'!$D$10</x:f>
        <x:v>46112</x:v>
      </x:c>
      <x:c r="J141" s="11"/>
      <x:c r="K141" s="29"/>
      <x:c r="L141" s="2" t="str">
        <x:f>IF(O141=1,"Complete",IF(A141,"Checklist open",IF(H141&lt;&gt;"","In progress","Not started")))</x:f>
        <x:v>Not started</x:v>
      </x:c>
      <x:c r="M141" s="2" t="str">
        <x:v>Task</x:v>
      </x:c>
      <x:c r="N141" s="2" t="str">
        <x:v>DR.PL.1.2.2026.CY1</x:v>
      </x:c>
      <x:c r="O141" s="2" t="n">
        <x:f>R141</x:f>
        <x:v>0</x:v>
      </x:c>
      <x:c r="P141" s="2"/>
      <x:c r="Q141" s="2" t="n">
        <x:v>1</x:v>
      </x:c>
      <x:c r="R141" s="2" t="n">
        <x:f>IF(A141,1,0)</x:f>
        <x:v>0</x:v>
      </x:c>
      <x:c r="S141" s="2" t="n">
        <x:f>SUBTOTAL(103,N141)</x:f>
        <x:v>1</x:v>
      </x:c>
    </x:row>
    <x:row r="142" ht="42" customHeight="1">
      <x:c r="A142" s="28" t="b">
        <x:v>0</x:v>
      </x:c>
      <x:c r="B142" s="2" t="str">
        <x:v>Cycle 1</x:v>
      </x:c>
      <x:c r="C142" s="2" t="str">
        <x:v>Phase 1</x:v>
      </x:c>
      <x:c r="D142" s="2" t="str">
        <x:v>PLL</x:v>
      </x:c>
      <x:c r="E142" s="68" t="str">
        <x:v>DR.PL.1.3</x:v>
      </x:c>
      <x:c r="F142" s="33" t="str">
        <x:v>Extract data for both potential topics, ensuring all checklist items below are included/completed</x:v>
      </x:c>
      <x:c r="G142" s="5"/>
      <x:c r="H142" s="11"/>
      <x:c r="I142" s="11" t="n">
        <x:f>'Cycles &amp; Guide'!$D$10</x:f>
        <x:v>46112</x:v>
      </x:c>
      <x:c r="J142" s="11"/>
      <x:c r="K142" s="29"/>
      <x:c r="L142" s="2" t="str">
        <x:f>IF(O142=1,"Complete",IF(A142,"Checklist open",IF(H142&lt;&gt;"","In progress","Not started")))</x:f>
        <x:v>Not started</x:v>
      </x:c>
      <x:c r="M142" s="2" t="str">
        <x:v>Task</x:v>
      </x:c>
      <x:c r="N142" s="2" t="str">
        <x:v>DR.PL.1.3.2026.CY1</x:v>
      </x:c>
      <x:c r="O142" s="2" t="n">
        <x:f>IF(A142,IF(SUMIFS($R$10:$R$737,$P$10:$P$737,N142)=13,1,0),0)</x:f>
        <x:v>0</x:v>
      </x:c>
      <x:c r="P142" s="2"/>
      <x:c r="Q142" s="2" t="n">
        <x:v>1</x:v>
      </x:c>
      <x:c r="R142" s="2" t="n">
        <x:f>IF(A142,1,0)</x:f>
        <x:v>0</x:v>
      </x:c>
      <x:c r="S142" s="2" t="n">
        <x:f>SUBTOTAL(103,N142)</x:f>
        <x:v>1</x:v>
      </x:c>
    </x:row>
    <x:row r="143" ht="31" customHeight="1" outlineLevel="1">
      <x:c r="A143" s="28" t="b">
        <x:v>0</x:v>
      </x:c>
      <x:c r="B143" s="36" t="str">
        <x:v>Cycle 1</x:v>
      </x:c>
      <x:c r="C143" s="36" t="str">
        <x:v>Phase 1</x:v>
      </x:c>
      <x:c r="D143" s="36" t="str">
        <x:v>PLL</x:v>
      </x:c>
      <x:c r="E143" s="69" t="str">
        <x:v>DR.PL.1.3.C01</x:v>
      </x:c>
      <x:c r="F143" s="37" t="str">
        <x:v>    Document date range extracted</x:v>
      </x:c>
      <x:c r="G143" s="5"/>
      <x:c r="H143" s="11"/>
      <x:c r="I143" s="11"/>
      <x:c r="J143" s="11"/>
      <x:c r="K143" s="29"/>
      <x:c r="L143" s="2" t="str">
        <x:f>IF(A143,"Complete","Open check")</x:f>
        <x:v>Open check</x:v>
      </x:c>
      <x:c r="M143" s="2" t="str">
        <x:v>Checklist</x:v>
      </x:c>
      <x:c r="N143" s="2" t="str">
        <x:v>DR.PL.1.3.C01.2026.CY1</x:v>
      </x:c>
      <x:c r="O143" s="2" t="n">
        <x:f>R143</x:f>
        <x:v>0</x:v>
      </x:c>
      <x:c r="P143" s="2" t="str">
        <x:v>DR.PL.1.3.2026.CY1</x:v>
      </x:c>
      <x:c r="Q143" s="2" t="n">
        <x:v>0</x:v>
      </x:c>
      <x:c r="R143" s="2" t="n">
        <x:f>IF(A143,1,0)</x:f>
        <x:v>0</x:v>
      </x:c>
      <x:c r="S143" s="2" t="n">
        <x:f>SUBTOTAL(103,N143)</x:f>
        <x:v>1</x:v>
      </x:c>
    </x:row>
    <x:row r="144" ht="31" customHeight="1" outlineLevel="1">
      <x:c r="A144" s="28" t="b">
        <x:v>0</x:v>
      </x:c>
      <x:c r="B144" s="36" t="str">
        <x:v>Cycle 1</x:v>
      </x:c>
      <x:c r="C144" s="36" t="str">
        <x:v>Phase 1</x:v>
      </x:c>
      <x:c r="D144" s="36" t="str">
        <x:v>PLL</x:v>
      </x:c>
      <x:c r="E144" s="69" t="str">
        <x:v>DR.PL.1.3.C02</x:v>
      </x:c>
      <x:c r="F144" s="37" t="str">
        <x:v>    Document date of data pull</x:v>
      </x:c>
      <x:c r="G144" s="5"/>
      <x:c r="H144" s="11"/>
      <x:c r="I144" s="11"/>
      <x:c r="J144" s="11"/>
      <x:c r="K144" s="29"/>
      <x:c r="L144" s="2" t="str">
        <x:f>IF(A144,"Complete","Open check")</x:f>
        <x:v>Open check</x:v>
      </x:c>
      <x:c r="M144" s="2" t="str">
        <x:v>Checklist</x:v>
      </x:c>
      <x:c r="N144" s="2" t="str">
        <x:v>DR.PL.1.3.C02.2026.CY1</x:v>
      </x:c>
      <x:c r="O144" s="2" t="n">
        <x:f>R144</x:f>
        <x:v>0</x:v>
      </x:c>
      <x:c r="P144" s="2" t="str">
        <x:v>DR.PL.1.3.2026.CY1</x:v>
      </x:c>
      <x:c r="Q144" s="2" t="n">
        <x:v>0</x:v>
      </x:c>
      <x:c r="R144" s="2" t="n">
        <x:f>IF(A144,1,0)</x:f>
        <x:v>0</x:v>
      </x:c>
      <x:c r="S144" s="2" t="n">
        <x:f>SUBTOTAL(103,N144)</x:f>
        <x:v>1</x:v>
      </x:c>
    </x:row>
    <x:row r="145" ht="31" customHeight="1" outlineLevel="1">
      <x:c r="A145" s="28" t="b">
        <x:v>0</x:v>
      </x:c>
      <x:c r="B145" s="36" t="str">
        <x:v>Cycle 1</x:v>
      </x:c>
      <x:c r="C145" s="36" t="str">
        <x:v>Phase 1</x:v>
      </x:c>
      <x:c r="D145" s="36" t="str">
        <x:v>PLL</x:v>
      </x:c>
      <x:c r="E145" s="69" t="str">
        <x:v>DR.PL.1.3.C03</x:v>
      </x:c>
      <x:c r="F145" s="37" t="str">
        <x:v>    Document population details</x:v>
      </x:c>
      <x:c r="G145" s="5"/>
      <x:c r="H145" s="11"/>
      <x:c r="I145" s="11"/>
      <x:c r="J145" s="11"/>
      <x:c r="K145" s="29"/>
      <x:c r="L145" s="2" t="str">
        <x:f>IF(A145,"Complete","Open check")</x:f>
        <x:v>Open check</x:v>
      </x:c>
      <x:c r="M145" s="2" t="str">
        <x:v>Checklist</x:v>
      </x:c>
      <x:c r="N145" s="2" t="str">
        <x:v>DR.PL.1.3.C03.2026.CY1</x:v>
      </x:c>
      <x:c r="O145" s="2" t="n">
        <x:f>R145</x:f>
        <x:v>0</x:v>
      </x:c>
      <x:c r="P145" s="2" t="str">
        <x:v>DR.PL.1.3.2026.CY1</x:v>
      </x:c>
      <x:c r="Q145" s="2" t="n">
        <x:v>0</x:v>
      </x:c>
      <x:c r="R145" s="2" t="n">
        <x:f>IF(A145,1,0)</x:f>
        <x:v>0</x:v>
      </x:c>
      <x:c r="S145" s="2" t="n">
        <x:f>SUBTOTAL(103,N145)</x:f>
        <x:v>1</x:v>
      </x:c>
    </x:row>
    <x:row r="146" ht="31" customHeight="1" outlineLevel="1">
      <x:c r="A146" s="28" t="b">
        <x:v>0</x:v>
      </x:c>
      <x:c r="B146" s="36" t="str">
        <x:v>Cycle 1</x:v>
      </x:c>
      <x:c r="C146" s="36" t="str">
        <x:v>Phase 1</x:v>
      </x:c>
      <x:c r="D146" s="36" t="str">
        <x:v>PLL</x:v>
      </x:c>
      <x:c r="E146" s="69" t="str">
        <x:v>DR.PL.1.3.C04</x:v>
      </x:c>
      <x:c r="F146" s="37" t="str">
        <x:v>    Validate no data is missing</x:v>
      </x:c>
      <x:c r="G146" s="5"/>
      <x:c r="H146" s="11"/>
      <x:c r="I146" s="11"/>
      <x:c r="J146" s="11"/>
      <x:c r="K146" s="29"/>
      <x:c r="L146" s="2" t="str">
        <x:f>IF(A146,"Complete","Open check")</x:f>
        <x:v>Open check</x:v>
      </x:c>
      <x:c r="M146" s="2" t="str">
        <x:v>Checklist</x:v>
      </x:c>
      <x:c r="N146" s="2" t="str">
        <x:v>DR.PL.1.3.C04.2026.CY1</x:v>
      </x:c>
      <x:c r="O146" s="2" t="n">
        <x:f>R146</x:f>
        <x:v>0</x:v>
      </x:c>
      <x:c r="P146" s="2" t="str">
        <x:v>DR.PL.1.3.2026.CY1</x:v>
      </x:c>
      <x:c r="Q146" s="2" t="n">
        <x:v>0</x:v>
      </x:c>
      <x:c r="R146" s="2" t="n">
        <x:f>IF(A146,1,0)</x:f>
        <x:v>0</x:v>
      </x:c>
      <x:c r="S146" s="2" t="n">
        <x:f>SUBTOTAL(103,N146)</x:f>
        <x:v>1</x:v>
      </x:c>
    </x:row>
    <x:row r="147" ht="31" customHeight="1" outlineLevel="1">
      <x:c r="A147" s="28" t="b">
        <x:v>0</x:v>
      </x:c>
      <x:c r="B147" s="36" t="str">
        <x:v>Cycle 1</x:v>
      </x:c>
      <x:c r="C147" s="36" t="str">
        <x:v>Phase 1</x:v>
      </x:c>
      <x:c r="D147" s="36" t="str">
        <x:v>PLL</x:v>
      </x:c>
      <x:c r="E147" s="69" t="str">
        <x:v>DR.PL.1.3.C05</x:v>
      </x:c>
      <x:c r="F147" s="37" t="str">
        <x:v>    Validate accuracy of data</x:v>
      </x:c>
      <x:c r="G147" s="5"/>
      <x:c r="H147" s="11"/>
      <x:c r="I147" s="11"/>
      <x:c r="J147" s="11"/>
      <x:c r="K147" s="29"/>
      <x:c r="L147" s="2" t="str">
        <x:f>IF(A147,"Complete","Open check")</x:f>
        <x:v>Open check</x:v>
      </x:c>
      <x:c r="M147" s="2" t="str">
        <x:v>Checklist</x:v>
      </x:c>
      <x:c r="N147" s="2" t="str">
        <x:v>DR.PL.1.3.C05.2026.CY1</x:v>
      </x:c>
      <x:c r="O147" s="2" t="n">
        <x:f>R147</x:f>
        <x:v>0</x:v>
      </x:c>
      <x:c r="P147" s="2" t="str">
        <x:v>DR.PL.1.3.2026.CY1</x:v>
      </x:c>
      <x:c r="Q147" s="2" t="n">
        <x:v>0</x:v>
      </x:c>
      <x:c r="R147" s="2" t="n">
        <x:f>IF(A147,1,0)</x:f>
        <x:v>0</x:v>
      </x:c>
      <x:c r="S147" s="2" t="n">
        <x:f>SUBTOTAL(103,N147)</x:f>
        <x:v>1</x:v>
      </x:c>
    </x:row>
    <x:row r="148" ht="31" customHeight="1" outlineLevel="1">
      <x:c r="A148" s="28" t="b">
        <x:v>0</x:v>
      </x:c>
      <x:c r="B148" s="36" t="str">
        <x:v>Cycle 1</x:v>
      </x:c>
      <x:c r="C148" s="36" t="str">
        <x:v>Phase 1</x:v>
      </x:c>
      <x:c r="D148" s="36" t="str">
        <x:v>PLL</x:v>
      </x:c>
      <x:c r="E148" s="69" t="str">
        <x:v>DR.PL.1.3.C06</x:v>
      </x:c>
      <x:c r="F148" s="37" t="str">
        <x:v>    Validate no duplicate data is provided</x:v>
      </x:c>
      <x:c r="G148" s="5"/>
      <x:c r="H148" s="11"/>
      <x:c r="I148" s="11"/>
      <x:c r="J148" s="11"/>
      <x:c r="K148" s="29"/>
      <x:c r="L148" s="2" t="str">
        <x:f>IF(A148,"Complete","Open check")</x:f>
        <x:v>Open check</x:v>
      </x:c>
      <x:c r="M148" s="2" t="str">
        <x:v>Checklist</x:v>
      </x:c>
      <x:c r="N148" s="2" t="str">
        <x:v>DR.PL.1.3.C06.2026.CY1</x:v>
      </x:c>
      <x:c r="O148" s="2" t="n">
        <x:f>R148</x:f>
        <x:v>0</x:v>
      </x:c>
      <x:c r="P148" s="2" t="str">
        <x:v>DR.PL.1.3.2026.CY1</x:v>
      </x:c>
      <x:c r="Q148" s="2" t="n">
        <x:v>0</x:v>
      </x:c>
      <x:c r="R148" s="2" t="n">
        <x:f>IF(A148,1,0)</x:f>
        <x:v>0</x:v>
      </x:c>
      <x:c r="S148" s="2" t="n">
        <x:f>SUBTOTAL(103,N148)</x:f>
        <x:v>1</x:v>
      </x:c>
    </x:row>
    <x:row r="149" ht="31" customHeight="1" outlineLevel="1">
      <x:c r="A149" s="28" t="b">
        <x:v>0</x:v>
      </x:c>
      <x:c r="B149" s="36" t="str">
        <x:v>Cycle 1</x:v>
      </x:c>
      <x:c r="C149" s="36" t="str">
        <x:v>Phase 1</x:v>
      </x:c>
      <x:c r="D149" s="36" t="str">
        <x:v>PLL</x:v>
      </x:c>
      <x:c r="E149" s="69" t="str">
        <x:v>DR.PL.1.3.C07</x:v>
      </x:c>
      <x:c r="F149" s="37" t="str">
        <x:v>    Document any data exclusions along with justification (as needed)</x:v>
      </x:c>
      <x:c r="G149" s="5"/>
      <x:c r="H149" s="11"/>
      <x:c r="I149" s="11"/>
      <x:c r="J149" s="11"/>
      <x:c r="K149" s="29"/>
      <x:c r="L149" s="2" t="str">
        <x:f>IF(A149,"Complete","Open check")</x:f>
        <x:v>Open check</x:v>
      </x:c>
      <x:c r="M149" s="2" t="str">
        <x:v>Checklist</x:v>
      </x:c>
      <x:c r="N149" s="2" t="str">
        <x:v>DR.PL.1.3.C07.2026.CY1</x:v>
      </x:c>
      <x:c r="O149" s="2" t="n">
        <x:f>R149</x:f>
        <x:v>0</x:v>
      </x:c>
      <x:c r="P149" s="2" t="str">
        <x:v>DR.PL.1.3.2026.CY1</x:v>
      </x:c>
      <x:c r="Q149" s="2" t="n">
        <x:v>0</x:v>
      </x:c>
      <x:c r="R149" s="2" t="n">
        <x:f>IF(A149,1,0)</x:f>
        <x:v>0</x:v>
      </x:c>
      <x:c r="S149" s="2" t="n">
        <x:f>SUBTOTAL(103,N149)</x:f>
        <x:v>1</x:v>
      </x:c>
    </x:row>
    <x:row r="150" ht="31" customHeight="1" outlineLevel="1">
      <x:c r="A150" s="28" t="b">
        <x:v>0</x:v>
      </x:c>
      <x:c r="B150" s="36" t="str">
        <x:v>Cycle 1</x:v>
      </x:c>
      <x:c r="C150" s="36" t="str">
        <x:v>Phase 1</x:v>
      </x:c>
      <x:c r="D150" s="36" t="str">
        <x:v>PLL</x:v>
      </x:c>
      <x:c r="E150" s="69" t="str">
        <x:v>DR.PL.1.3.C08</x:v>
      </x:c>
      <x:c r="F150" s="37" t="str">
        <x:v>    Document any assumptions made with the data (as needed)</x:v>
      </x:c>
      <x:c r="G150" s="5"/>
      <x:c r="H150" s="11"/>
      <x:c r="I150" s="11"/>
      <x:c r="J150" s="11"/>
      <x:c r="K150" s="29"/>
      <x:c r="L150" s="2" t="str">
        <x:f>IF(A150,"Complete","Open check")</x:f>
        <x:v>Open check</x:v>
      </x:c>
      <x:c r="M150" s="2" t="str">
        <x:v>Checklist</x:v>
      </x:c>
      <x:c r="N150" s="2" t="str">
        <x:v>DR.PL.1.3.C08.2026.CY1</x:v>
      </x:c>
      <x:c r="O150" s="2" t="n">
        <x:f>R150</x:f>
        <x:v>0</x:v>
      </x:c>
      <x:c r="P150" s="2" t="str">
        <x:v>DR.PL.1.3.2026.CY1</x:v>
      </x:c>
      <x:c r="Q150" s="2" t="n">
        <x:v>0</x:v>
      </x:c>
      <x:c r="R150" s="2" t="n">
        <x:f>IF(A150,1,0)</x:f>
        <x:v>0</x:v>
      </x:c>
      <x:c r="S150" s="2" t="n">
        <x:f>SUBTOTAL(103,N150)</x:f>
        <x:v>1</x:v>
      </x:c>
    </x:row>
    <x:row r="151" ht="31" customHeight="1" outlineLevel="1">
      <x:c r="A151" s="28" t="b">
        <x:v>0</x:v>
      </x:c>
      <x:c r="B151" s="36" t="str">
        <x:v>Cycle 1</x:v>
      </x:c>
      <x:c r="C151" s="36" t="str">
        <x:v>Phase 1</x:v>
      </x:c>
      <x:c r="D151" s="36" t="str">
        <x:v>PLL</x:v>
      </x:c>
      <x:c r="E151" s="69" t="str">
        <x:v>DR.PL.1.3.C09</x:v>
      </x:c>
      <x:c r="F151" s="37" t="str">
        <x:v>    Document any data limitations or constraints clearly (as needed)</x:v>
      </x:c>
      <x:c r="G151" s="5"/>
      <x:c r="H151" s="11"/>
      <x:c r="I151" s="11"/>
      <x:c r="J151" s="11"/>
      <x:c r="K151" s="29"/>
      <x:c r="L151" s="2" t="str">
        <x:f>IF(A151,"Complete","Open check")</x:f>
        <x:v>Open check</x:v>
      </x:c>
      <x:c r="M151" s="2" t="str">
        <x:v>Checklist</x:v>
      </x:c>
      <x:c r="N151" s="2" t="str">
        <x:v>DR.PL.1.3.C09.2026.CY1</x:v>
      </x:c>
      <x:c r="O151" s="2" t="n">
        <x:f>R151</x:f>
        <x:v>0</x:v>
      </x:c>
      <x:c r="P151" s="2" t="str">
        <x:v>DR.PL.1.3.2026.CY1</x:v>
      </x:c>
      <x:c r="Q151" s="2" t="n">
        <x:v>0</x:v>
      </x:c>
      <x:c r="R151" s="2" t="n">
        <x:f>IF(A151,1,0)</x:f>
        <x:v>0</x:v>
      </x:c>
      <x:c r="S151" s="2" t="n">
        <x:f>SUBTOTAL(103,N151)</x:f>
        <x:v>1</x:v>
      </x:c>
    </x:row>
    <x:row r="152" ht="31" customHeight="1" outlineLevel="1">
      <x:c r="A152" s="28" t="b">
        <x:v>0</x:v>
      </x:c>
      <x:c r="B152" s="36" t="str">
        <x:v>Cycle 1</x:v>
      </x:c>
      <x:c r="C152" s="36" t="str">
        <x:v>Phase 1</x:v>
      </x:c>
      <x:c r="D152" s="36" t="str">
        <x:v>PLL</x:v>
      </x:c>
      <x:c r="E152" s="69" t="str">
        <x:v>DR.PL.1.3.C10</x:v>
      </x:c>
      <x:c r="F152" s="37" t="str">
        <x:v>    Document data dictionary or field definitions for columns/rows</x:v>
      </x:c>
      <x:c r="G152" s="5"/>
      <x:c r="H152" s="11"/>
      <x:c r="I152" s="11"/>
      <x:c r="J152" s="11"/>
      <x:c r="K152" s="29"/>
      <x:c r="L152" s="2" t="str">
        <x:f>IF(A152,"Complete","Open check")</x:f>
        <x:v>Open check</x:v>
      </x:c>
      <x:c r="M152" s="2" t="str">
        <x:v>Checklist</x:v>
      </x:c>
      <x:c r="N152" s="2" t="str">
        <x:v>DR.PL.1.3.C10.2026.CY1</x:v>
      </x:c>
      <x:c r="O152" s="2" t="n">
        <x:f>R152</x:f>
        <x:v>0</x:v>
      </x:c>
      <x:c r="P152" s="2" t="str">
        <x:v>DR.PL.1.3.2026.CY1</x:v>
      </x:c>
      <x:c r="Q152" s="2" t="n">
        <x:v>0</x:v>
      </x:c>
      <x:c r="R152" s="2" t="n">
        <x:f>IF(A152,1,0)</x:f>
        <x:v>0</x:v>
      </x:c>
      <x:c r="S152" s="2" t="n">
        <x:f>SUBTOTAL(103,N152)</x:f>
        <x:v>1</x:v>
      </x:c>
    </x:row>
    <x:row r="153" ht="31" customHeight="1" outlineLevel="1">
      <x:c r="A153" s="28" t="b">
        <x:v>0</x:v>
      </x:c>
      <x:c r="B153" s="36" t="str">
        <x:v>Cycle 1</x:v>
      </x:c>
      <x:c r="C153" s="36" t="str">
        <x:v>Phase 1</x:v>
      </x:c>
      <x:c r="D153" s="36" t="str">
        <x:v>PLL</x:v>
      </x:c>
      <x:c r="E153" s="69" t="str">
        <x:v>DR.PL.1.3.C11</x:v>
      </x:c>
      <x:c r="F153" s="37" t="str">
        <x:v>    Document emerging trends, patterns, or concentrations along with supporting data</x:v>
      </x:c>
      <x:c r="G153" s="5"/>
      <x:c r="H153" s="11"/>
      <x:c r="I153" s="11"/>
      <x:c r="J153" s="11"/>
      <x:c r="K153" s="29"/>
      <x:c r="L153" s="2" t="str">
        <x:f>IF(A153,"Complete","Open check")</x:f>
        <x:v>Open check</x:v>
      </x:c>
      <x:c r="M153" s="2" t="str">
        <x:v>Checklist</x:v>
      </x:c>
      <x:c r="N153" s="2" t="str">
        <x:v>DR.PL.1.3.C11.2026.CY1</x:v>
      </x:c>
      <x:c r="O153" s="2" t="n">
        <x:f>R153</x:f>
        <x:v>0</x:v>
      </x:c>
      <x:c r="P153" s="2" t="str">
        <x:v>DR.PL.1.3.2026.CY1</x:v>
      </x:c>
      <x:c r="Q153" s="2" t="n">
        <x:v>0</x:v>
      </x:c>
      <x:c r="R153" s="2" t="n">
        <x:f>IF(A153,1,0)</x:f>
        <x:v>0</x:v>
      </x:c>
      <x:c r="S153" s="2" t="n">
        <x:f>SUBTOTAL(103,N153)</x:f>
        <x:v>1</x:v>
      </x:c>
    </x:row>
    <x:row r="154" ht="31" customHeight="1" outlineLevel="1">
      <x:c r="A154" s="28" t="b">
        <x:v>0</x:v>
      </x:c>
      <x:c r="B154" s="36" t="str">
        <x:v>Cycle 1</x:v>
      </x:c>
      <x:c r="C154" s="36" t="str">
        <x:v>Phase 1</x:v>
      </x:c>
      <x:c r="D154" s="36" t="str">
        <x:v>PLL</x:v>
      </x:c>
      <x:c r="E154" s="69" t="str">
        <x:v>DR.PL.1.3.C12</x:v>
      </x:c>
      <x:c r="F154" s="37" t="str">
        <x:v>    Document any severe spikes in volume along with context (as needed)</x:v>
      </x:c>
      <x:c r="G154" s="5"/>
      <x:c r="H154" s="11"/>
      <x:c r="I154" s="11"/>
      <x:c r="J154" s="11"/>
      <x:c r="K154" s="29"/>
      <x:c r="L154" s="2" t="str">
        <x:f>IF(A154,"Complete","Open check")</x:f>
        <x:v>Open check</x:v>
      </x:c>
      <x:c r="M154" s="2" t="str">
        <x:v>Checklist</x:v>
      </x:c>
      <x:c r="N154" s="2" t="str">
        <x:v>DR.PL.1.3.C12.2026.CY1</x:v>
      </x:c>
      <x:c r="O154" s="2" t="n">
        <x:f>R154</x:f>
        <x:v>0</x:v>
      </x:c>
      <x:c r="P154" s="2" t="str">
        <x:v>DR.PL.1.3.2026.CY1</x:v>
      </x:c>
      <x:c r="Q154" s="2" t="n">
        <x:v>0</x:v>
      </x:c>
      <x:c r="R154" s="2" t="n">
        <x:f>IF(A154,1,0)</x:f>
        <x:v>0</x:v>
      </x:c>
      <x:c r="S154" s="2" t="n">
        <x:f>SUBTOTAL(103,N154)</x:f>
        <x:v>1</x:v>
      </x:c>
    </x:row>
    <x:row r="155" ht="31" customHeight="1" outlineLevel="1">
      <x:c r="A155" s="28" t="b">
        <x:v>0</x:v>
      </x:c>
      <x:c r="B155" s="36" t="str">
        <x:v>Cycle 1</x:v>
      </x:c>
      <x:c r="C155" s="36" t="str">
        <x:v>Phase 1</x:v>
      </x:c>
      <x:c r="D155" s="36" t="str">
        <x:v>PLL</x:v>
      </x:c>
      <x:c r="E155" s="69" t="str">
        <x:v>DR.PL.1.3.C13</x:v>
      </x:c>
      <x:c r="F155" s="37" t="str">
        <x:v>    Document clear summary explaining how the data connects to the potential topic</x:v>
      </x:c>
      <x:c r="G155" s="5"/>
      <x:c r="H155" s="11"/>
      <x:c r="I155" s="11"/>
      <x:c r="J155" s="11"/>
      <x:c r="K155" s="29"/>
      <x:c r="L155" s="2" t="str">
        <x:f>IF(A155,"Complete","Open check")</x:f>
        <x:v>Open check</x:v>
      </x:c>
      <x:c r="M155" s="2" t="str">
        <x:v>Checklist</x:v>
      </x:c>
      <x:c r="N155" s="2" t="str">
        <x:v>DR.PL.1.3.C13.2026.CY1</x:v>
      </x:c>
      <x:c r="O155" s="2" t="n">
        <x:f>R155</x:f>
        <x:v>0</x:v>
      </x:c>
      <x:c r="P155" s="2" t="str">
        <x:v>DR.PL.1.3.2026.CY1</x:v>
      </x:c>
      <x:c r="Q155" s="2" t="n">
        <x:v>0</x:v>
      </x:c>
      <x:c r="R155" s="2" t="n">
        <x:f>IF(A155,1,0)</x:f>
        <x:v>0</x:v>
      </x:c>
      <x:c r="S155" s="2" t="n">
        <x:f>SUBTOTAL(103,N155)</x:f>
        <x:v>1</x:v>
      </x:c>
    </x:row>
    <x:row r="156" ht="42" customHeight="1">
      <x:c r="A156" s="28" t="b">
        <x:v>0</x:v>
      </x:c>
      <x:c r="B156" s="2" t="str">
        <x:v>Cycle 1</x:v>
      </x:c>
      <x:c r="C156" s="2" t="str">
        <x:v>Phase 2</x:v>
      </x:c>
      <x:c r="D156" s="2" t="str">
        <x:v>PLL</x:v>
      </x:c>
      <x:c r="E156" s="56" t="str">
        <x:v>DR.PL.2.1</x:v>
      </x:c>
      <x:c r="F156" s="14" t="str">
        <x:v>Ensure data is clean, structured, and usable without manipulation needed</x:v>
      </x:c>
      <x:c r="G156" s="5"/>
      <x:c r="H156" s="11"/>
      <x:c r="I156" s="11" t="n">
        <x:f>'Cycles &amp; Guide'!$D$10</x:f>
        <x:v>46112</x:v>
      </x:c>
      <x:c r="J156" s="11"/>
      <x:c r="K156" s="29"/>
      <x:c r="L156" s="2" t="str">
        <x:f>IF(O156=1,"Complete",IF(A156,"Checklist open",IF(H156&lt;&gt;"","In progress","Not started")))</x:f>
        <x:v>Not started</x:v>
      </x:c>
      <x:c r="M156" s="2" t="str">
        <x:v>Task</x:v>
      </x:c>
      <x:c r="N156" s="2" t="str">
        <x:v>DR.PL.2.1.2026.CY1</x:v>
      </x:c>
      <x:c r="O156" s="2" t="n">
        <x:f>R156</x:f>
        <x:v>0</x:v>
      </x:c>
      <x:c r="P156" s="2"/>
      <x:c r="Q156" s="2" t="n">
        <x:v>1</x:v>
      </x:c>
      <x:c r="R156" s="2" t="n">
        <x:f>IF(A156,1,0)</x:f>
        <x:v>0</x:v>
      </x:c>
      <x:c r="S156" s="2" t="n">
        <x:f>SUBTOTAL(103,N156)</x:f>
        <x:v>1</x:v>
      </x:c>
    </x:row>
    <x:row r="157" ht="42" customHeight="1">
      <x:c r="A157" s="28" t="b">
        <x:v>0</x:v>
      </x:c>
      <x:c r="B157" s="2" t="str">
        <x:v>Cycle 1</x:v>
      </x:c>
      <x:c r="C157" s="2" t="str">
        <x:v>Phase 2</x:v>
      </x:c>
      <x:c r="D157" s="2" t="str">
        <x:v>PLL</x:v>
      </x:c>
      <x:c r="E157" s="56" t="str">
        <x:v>DR.PL.2.2</x:v>
      </x:c>
      <x:c r="F157" s="14" t="str">
        <x:v>Clearly document rationale for each topic recommendation within the SharePoint list</x:v>
      </x:c>
      <x:c r="G157" s="5"/>
      <x:c r="H157" s="11"/>
      <x:c r="I157" s="11" t="n">
        <x:f>'Cycles &amp; Guide'!$D$10</x:f>
        <x:v>46112</x:v>
      </x:c>
      <x:c r="J157" s="11"/>
      <x:c r="K157" s="29"/>
      <x:c r="L157" s="2" t="str">
        <x:f>IF(O157=1,"Complete",IF(A157,"Checklist open",IF(H157&lt;&gt;"","In progress","Not started")))</x:f>
        <x:v>Not started</x:v>
      </x:c>
      <x:c r="M157" s="2" t="str">
        <x:v>Task</x:v>
      </x:c>
      <x:c r="N157" s="2" t="str">
        <x:v>DR.PL.2.2.2026.CY1</x:v>
      </x:c>
      <x:c r="O157" s="2" t="n">
        <x:f>R157</x:f>
        <x:v>0</x:v>
      </x:c>
      <x:c r="P157" s="2"/>
      <x:c r="Q157" s="2" t="n">
        <x:v>1</x:v>
      </x:c>
      <x:c r="R157" s="2" t="n">
        <x:f>IF(A157,1,0)</x:f>
        <x:v>0</x:v>
      </x:c>
      <x:c r="S157" s="2" t="n">
        <x:f>SUBTOTAL(103,N157)</x:f>
        <x:v>1</x:v>
      </x:c>
    </x:row>
    <x:row r="158" ht="42" customHeight="1">
      <x:c r="A158" s="28" t="b">
        <x:v>0</x:v>
      </x:c>
      <x:c r="B158" s="2" t="str">
        <x:v>Cycle 1</x:v>
      </x:c>
      <x:c r="C158" s="2" t="str">
        <x:v>Phase 2</x:v>
      </x:c>
      <x:c r="D158" s="2" t="str">
        <x:v>PLL</x:v>
      </x:c>
      <x:c r="E158" s="56" t="str">
        <x:v>DR.PL.2.3</x:v>
      </x:c>
      <x:c r="F158" s="14" t="str">
        <x:v>Verify topic is eligible for RCA and does not conflict with Attorney Client Privilege</x:v>
      </x:c>
      <x:c r="G158" s="5"/>
      <x:c r="H158" s="11"/>
      <x:c r="I158" s="11" t="n">
        <x:f>'Cycles &amp; Guide'!$D$10</x:f>
        <x:v>46112</x:v>
      </x:c>
      <x:c r="J158" s="11"/>
      <x:c r="K158" s="29"/>
      <x:c r="L158" s="2" t="str">
        <x:f>IF(O158=1,"Complete",IF(A158,"Checklist open",IF(H158&lt;&gt;"","In progress","Not started")))</x:f>
        <x:v>Not started</x:v>
      </x:c>
      <x:c r="M158" s="2" t="str">
        <x:v>Task</x:v>
      </x:c>
      <x:c r="N158" s="2" t="str">
        <x:v>DR.PL.2.3.2026.CY1</x:v>
      </x:c>
      <x:c r="O158" s="2" t="n">
        <x:f>R158</x:f>
        <x:v>0</x:v>
      </x:c>
      <x:c r="P158" s="2"/>
      <x:c r="Q158" s="2" t="n">
        <x:v>1</x:v>
      </x:c>
      <x:c r="R158" s="2" t="n">
        <x:f>IF(A158,1,0)</x:f>
        <x:v>0</x:v>
      </x:c>
      <x:c r="S158" s="2" t="n">
        <x:f>SUBTOTAL(103,N158)</x:f>
        <x:v>1</x:v>
      </x:c>
    </x:row>
    <x:row r="159" ht="42" customHeight="1">
      <x:c r="A159" s="28" t="b">
        <x:v>0</x:v>
      </x:c>
      <x:c r="B159" s="2" t="str">
        <x:v>Cycle 1</x:v>
      </x:c>
      <x:c r="C159" s="2" t="str">
        <x:v>Phase 2</x:v>
      </x:c>
      <x:c r="D159" s="2" t="str">
        <x:v>PLL</x:v>
      </x:c>
      <x:c r="E159" s="56" t="str">
        <x:v>DR.PL.2.4</x:v>
      </x:c>
      <x:c r="F159" s="14" t="str">
        <x:v>Ensure data is free of errors and anomalies prior to hand-off to Research</x:v>
      </x:c>
      <x:c r="G159" s="5"/>
      <x:c r="H159" s="11"/>
      <x:c r="I159" s="11" t="n">
        <x:f>'Cycles &amp; Guide'!$D$10</x:f>
        <x:v>46112</x:v>
      </x:c>
      <x:c r="J159" s="11"/>
      <x:c r="K159" s="29"/>
      <x:c r="L159" s="2" t="str">
        <x:f>IF(O159=1,"Complete",IF(A159,"Checklist open",IF(H159&lt;&gt;"","In progress","Not started")))</x:f>
        <x:v>Not started</x:v>
      </x:c>
      <x:c r="M159" s="2" t="str">
        <x:v>Task</x:v>
      </x:c>
      <x:c r="N159" s="2" t="str">
        <x:v>DR.PL.2.4.2026.CY1</x:v>
      </x:c>
      <x:c r="O159" s="2" t="n">
        <x:f>R159</x:f>
        <x:v>0</x:v>
      </x:c>
      <x:c r="P159" s="2"/>
      <x:c r="Q159" s="2" t="n">
        <x:v>1</x:v>
      </x:c>
      <x:c r="R159" s="2" t="n">
        <x:f>IF(A159,1,0)</x:f>
        <x:v>0</x:v>
      </x:c>
      <x:c r="S159" s="2" t="n">
        <x:f>SUBTOTAL(103,N159)</x:f>
        <x:v>1</x:v>
      </x:c>
    </x:row>
    <x:row r="160" ht="42" customHeight="1">
      <x:c r="A160" s="28" t="b">
        <x:v>0</x:v>
      </x:c>
      <x:c r="B160" s="2" t="str">
        <x:v>Cycle 1</x:v>
      </x:c>
      <x:c r="C160" s="2" t="str">
        <x:v>Phase 2</x:v>
      </x:c>
      <x:c r="D160" s="2" t="str">
        <x:v>PLL</x:v>
      </x:c>
      <x:c r="E160" s="56" t="str">
        <x:v>DR.PL.2.5</x:v>
      </x:c>
      <x:c r="F160" s="14" t="str">
        <x:v>Ensure topic is not a duplicate from a previous Cycle</x:v>
      </x:c>
      <x:c r="G160" s="5"/>
      <x:c r="H160" s="11"/>
      <x:c r="I160" s="11" t="n">
        <x:f>'Cycles &amp; Guide'!$D$10</x:f>
        <x:v>46112</x:v>
      </x:c>
      <x:c r="J160" s="11"/>
      <x:c r="K160" s="29"/>
      <x:c r="L160" s="2" t="str">
        <x:f>IF(O160=1,"Complete",IF(A160,"Checklist open",IF(H160&lt;&gt;"","In progress","Not started")))</x:f>
        <x:v>Not started</x:v>
      </x:c>
      <x:c r="M160" s="2" t="str">
        <x:v>Task</x:v>
      </x:c>
      <x:c r="N160" s="2" t="str">
        <x:v>DR.PL.2.5.2026.CY1</x:v>
      </x:c>
      <x:c r="O160" s="2" t="n">
        <x:f>R160</x:f>
        <x:v>0</x:v>
      </x:c>
      <x:c r="P160" s="2"/>
      <x:c r="Q160" s="2" t="n">
        <x:v>1</x:v>
      </x:c>
      <x:c r="R160" s="2" t="n">
        <x:f>IF(A160,1,0)</x:f>
        <x:v>0</x:v>
      </x:c>
      <x:c r="S160" s="2" t="n">
        <x:f>SUBTOTAL(103,N160)</x:f>
        <x:v>1</x:v>
      </x:c>
    </x:row>
    <x:row r="161" ht="42" customHeight="1">
      <x:c r="A161" s="28" t="b">
        <x:v>0</x:v>
      </x:c>
      <x:c r="B161" s="2" t="str">
        <x:v>Cycle 1</x:v>
      </x:c>
      <x:c r="C161" s="2" t="str">
        <x:v>Phase 2</x:v>
      </x:c>
      <x:c r="D161" s="2" t="str">
        <x:v>PLL</x:v>
      </x:c>
      <x:c r="E161" s="56" t="str">
        <x:v>DR.PL.2.6</x:v>
      </x:c>
      <x:c r="F161" s="14" t="str">
        <x:v>Document clear distinctions between facts, assumptions, and hypotheses within the data package</x:v>
      </x:c>
      <x:c r="G161" s="5"/>
      <x:c r="H161" s="11"/>
      <x:c r="I161" s="11" t="n">
        <x:f>'Cycles &amp; Guide'!$D$10</x:f>
        <x:v>46112</x:v>
      </x:c>
      <x:c r="J161" s="11"/>
      <x:c r="K161" s="29"/>
      <x:c r="L161" s="2" t="str">
        <x:f>IF(O161=1,"Complete",IF(A161,"Checklist open",IF(H161&lt;&gt;"","In progress","Not started")))</x:f>
        <x:v>Not started</x:v>
      </x:c>
      <x:c r="M161" s="2" t="str">
        <x:v>Task</x:v>
      </x:c>
      <x:c r="N161" s="2" t="str">
        <x:v>DR.PL.2.6.2026.CY1</x:v>
      </x:c>
      <x:c r="O161" s="2" t="n">
        <x:f>R161</x:f>
        <x:v>0</x:v>
      </x:c>
      <x:c r="P161" s="2"/>
      <x:c r="Q161" s="2" t="n">
        <x:v>1</x:v>
      </x:c>
      <x:c r="R161" s="2" t="n">
        <x:f>IF(A161,1,0)</x:f>
        <x:v>0</x:v>
      </x:c>
      <x:c r="S161" s="2" t="n">
        <x:f>SUBTOTAL(103,N161)</x:f>
        <x:v>1</x:v>
      </x:c>
    </x:row>
    <x:row r="162" ht="42" customHeight="1">
      <x:c r="A162" s="28" t="b">
        <x:v>0</x:v>
      </x:c>
      <x:c r="B162" s="2" t="str">
        <x:v>Cycle 1</x:v>
      </x:c>
      <x:c r="C162" s="2" t="str">
        <x:v>Phase 3</x:v>
      </x:c>
      <x:c r="D162" s="2" t="str">
        <x:v>PLL</x:v>
      </x:c>
      <x:c r="E162" s="56" t="str">
        <x:v>DR.PL.3.1</x:v>
      </x:c>
      <x:c r="F162" s="14" t="str">
        <x:v>Clearly document rationale for each topic recommendation within the SharePoint list item</x:v>
      </x:c>
      <x:c r="G162" s="5"/>
      <x:c r="H162" s="11"/>
      <x:c r="I162" s="11" t="n">
        <x:f>'Cycles &amp; Guide'!$D$10</x:f>
        <x:v>46112</x:v>
      </x:c>
      <x:c r="J162" s="11"/>
      <x:c r="K162" s="29"/>
      <x:c r="L162" s="2" t="str">
        <x:f>IF(O162=1,"Complete",IF(A162,"Checklist open",IF(H162&lt;&gt;"","In progress","Not started")))</x:f>
        <x:v>Not started</x:v>
      </x:c>
      <x:c r="M162" s="2" t="str">
        <x:v>Task</x:v>
      </x:c>
      <x:c r="N162" s="2" t="str">
        <x:v>DR.PL.3.1.2026.CY1</x:v>
      </x:c>
      <x:c r="O162" s="2" t="n">
        <x:f>R162</x:f>
        <x:v>0</x:v>
      </x:c>
      <x:c r="P162" s="2"/>
      <x:c r="Q162" s="2" t="n">
        <x:v>1</x:v>
      </x:c>
      <x:c r="R162" s="2" t="n">
        <x:f>IF(A162,1,0)</x:f>
        <x:v>0</x:v>
      </x:c>
      <x:c r="S162" s="2" t="n">
        <x:f>SUBTOTAL(103,N162)</x:f>
        <x:v>1</x:v>
      </x:c>
    </x:row>
    <x:row r="163" ht="42" customHeight="1">
      <x:c r="A163" s="28" t="b">
        <x:v>0</x:v>
      </x:c>
      <x:c r="B163" s="2" t="str">
        <x:v>Cycle 1</x:v>
      </x:c>
      <x:c r="C163" s="2" t="str">
        <x:v>Phase 3</x:v>
      </x:c>
      <x:c r="D163" s="2" t="str">
        <x:v>PLL</x:v>
      </x:c>
      <x:c r="E163" s="56" t="str">
        <x:v>DR.PL.3.2</x:v>
      </x:c>
      <x:c r="F163" s="14" t="str">
        <x:v>Attach the data package for each topic recommendation within the SharePoint list item</x:v>
      </x:c>
      <x:c r="G163" s="5"/>
      <x:c r="H163" s="11"/>
      <x:c r="I163" s="11" t="n">
        <x:f>'Cycles &amp; Guide'!$D$10</x:f>
        <x:v>46112</x:v>
      </x:c>
      <x:c r="J163" s="11"/>
      <x:c r="K163" s="29"/>
      <x:c r="L163" s="2" t="str">
        <x:f>IF(O163=1,"Complete",IF(A163,"Checklist open",IF(H163&lt;&gt;"","In progress","Not started")))</x:f>
        <x:v>Not started</x:v>
      </x:c>
      <x:c r="M163" s="2" t="str">
        <x:v>Task</x:v>
      </x:c>
      <x:c r="N163" s="2" t="str">
        <x:v>DR.PL.3.2.2026.CY1</x:v>
      </x:c>
      <x:c r="O163" s="2" t="n">
        <x:f>R163</x:f>
        <x:v>0</x:v>
      </x:c>
      <x:c r="P163" s="2"/>
      <x:c r="Q163" s="2" t="n">
        <x:v>1</x:v>
      </x:c>
      <x:c r="R163" s="2" t="n">
        <x:f>IF(A163,1,0)</x:f>
        <x:v>0</x:v>
      </x:c>
      <x:c r="S163" s="2" t="n">
        <x:f>SUBTOTAL(103,N163)</x:f>
        <x:v>1</x:v>
      </x:c>
    </x:row>
    <x:row r="164" ht="42" customHeight="1">
      <x:c r="A164" s="28" t="b">
        <x:v>0</x:v>
      </x:c>
      <x:c r="B164" s="2" t="str">
        <x:v>Cycle 1</x:v>
      </x:c>
      <x:c r="C164" s="2" t="str">
        <x:v>Phase 3</x:v>
      </x:c>
      <x:c r="D164" s="2" t="str">
        <x:v>PLL</x:v>
      </x:c>
      <x:c r="E164" s="56" t="str">
        <x:v>DR.PL.3.3</x:v>
      </x:c>
      <x:c r="F164" s="14" t="str">
        <x:v>Confirm data privileges have been granted, ensuring each pillar can access</x:v>
      </x:c>
      <x:c r="G164" s="5"/>
      <x:c r="H164" s="11"/>
      <x:c r="I164" s="11" t="n">
        <x:f>'Cycles &amp; Guide'!$D$10</x:f>
        <x:v>46112</x:v>
      </x:c>
      <x:c r="J164" s="11"/>
      <x:c r="K164" s="29"/>
      <x:c r="L164" s="2" t="str">
        <x:f>IF(O164=1,"Complete",IF(A164,"Checklist open",IF(H164&lt;&gt;"","In progress","Not started")))</x:f>
        <x:v>Not started</x:v>
      </x:c>
      <x:c r="M164" s="2" t="str">
        <x:v>Task</x:v>
      </x:c>
      <x:c r="N164" s="2" t="str">
        <x:v>DR.PL.3.3.2026.CY1</x:v>
      </x:c>
      <x:c r="O164" s="2" t="n">
        <x:f>R164</x:f>
        <x:v>0</x:v>
      </x:c>
      <x:c r="P164" s="2"/>
      <x:c r="Q164" s="2" t="n">
        <x:v>1</x:v>
      </x:c>
      <x:c r="R164" s="2" t="n">
        <x:f>IF(A164,1,0)</x:f>
        <x:v>0</x:v>
      </x:c>
      <x:c r="S164" s="2" t="n">
        <x:f>SUBTOTAL(103,N164)</x:f>
        <x:v>1</x:v>
      </x:c>
    </x:row>
    <x:row r="165" ht="42" customHeight="1">
      <x:c r="A165" s="28" t="b">
        <x:v>0</x:v>
      </x:c>
      <x:c r="B165" s="2" t="str">
        <x:v>Cycle 1</x:v>
      </x:c>
      <x:c r="C165" s="2" t="str">
        <x:v>Phase 3</x:v>
      </x:c>
      <x:c r="D165" s="2" t="str">
        <x:v>PLL</x:v>
      </x:c>
      <x:c r="E165" s="56" t="str">
        <x:v>DR.PL.3.4</x:v>
      </x:c>
      <x:c r="F165" s="14" t="str">
        <x:v>Ensure Power Automate notifications were correctly triggered within Microsoft Teams</x:v>
      </x:c>
      <x:c r="G165" s="5"/>
      <x:c r="H165" s="11"/>
      <x:c r="I165" s="11" t="n">
        <x:f>'Cycles &amp; Guide'!$D$10</x:f>
        <x:v>46112</x:v>
      </x:c>
      <x:c r="J165" s="11"/>
      <x:c r="K165" s="29"/>
      <x:c r="L165" s="2" t="str">
        <x:f>IF(O165=1,"Complete",IF(A165,"Checklist open",IF(H165&lt;&gt;"","In progress","Not started")))</x:f>
        <x:v>Not started</x:v>
      </x:c>
      <x:c r="M165" s="2" t="str">
        <x:v>Task</x:v>
      </x:c>
      <x:c r="N165" s="2" t="str">
        <x:v>DR.PL.3.4.2026.CY1</x:v>
      </x:c>
      <x:c r="O165" s="2" t="n">
        <x:f>R165</x:f>
        <x:v>0</x:v>
      </x:c>
      <x:c r="P165" s="2"/>
      <x:c r="Q165" s="2" t="n">
        <x:v>1</x:v>
      </x:c>
      <x:c r="R165" s="2" t="n">
        <x:f>IF(A165,1,0)</x:f>
        <x:v>0</x:v>
      </x:c>
      <x:c r="S165" s="2" t="n">
        <x:f>SUBTOTAL(103,N165)</x:f>
        <x:v>1</x:v>
      </x:c>
    </x:row>
    <x:row r="166" ht="42" customHeight="1">
      <x:c r="A166" s="28" t="b">
        <x:v>0</x:v>
      </x:c>
      <x:c r="B166" s="2" t="str">
        <x:v>Cycle 1</x:v>
      </x:c>
      <x:c r="C166" s="2" t="str">
        <x:v>Phase 1</x:v>
      </x:c>
      <x:c r="D166" s="2" t="str">
        <x:v>Retail Services</x:v>
      </x:c>
      <x:c r="E166" s="56" t="str">
        <x:v>DR.RS.1.1</x:v>
      </x:c>
      <x:c r="F166" s="14" t="str">
        <x:v>Review data sources 3 weeks prior to Cycle start (Complaints, Gen AI, Loudspeaker, NPS, etc.)</x:v>
      </x:c>
      <x:c r="G166" s="5"/>
      <x:c r="H166" s="11"/>
      <x:c r="I166" s="11" t="n">
        <x:f>'Cycles &amp; Guide'!$C$10-21</x:f>
        <x:v>46002</x:v>
      </x:c>
      <x:c r="J166" s="11"/>
      <x:c r="K166" s="29"/>
      <x:c r="L166" s="2" t="str">
        <x:f>IF(O166=1,"Complete",IF(A166,"Checklist open",IF(H166&lt;&gt;"","In progress","Not started")))</x:f>
        <x:v>Not started</x:v>
      </x:c>
      <x:c r="M166" s="2" t="str">
        <x:v>Task</x:v>
      </x:c>
      <x:c r="N166" s="2" t="str">
        <x:v>DR.RS.1.1.2026.CY1</x:v>
      </x:c>
      <x:c r="O166" s="2" t="n">
        <x:f>R166</x:f>
        <x:v>0</x:v>
      </x:c>
      <x:c r="P166" s="2"/>
      <x:c r="Q166" s="2" t="n">
        <x:v>1</x:v>
      </x:c>
      <x:c r="R166" s="2" t="n">
        <x:f>IF(A166,1,0)</x:f>
        <x:v>0</x:v>
      </x:c>
      <x:c r="S166" s="2" t="n">
        <x:f>SUBTOTAL(103,N166)</x:f>
        <x:v>1</x:v>
      </x:c>
    </x:row>
    <x:row r="167" ht="42" customHeight="1">
      <x:c r="A167" s="28" t="b">
        <x:v>0</x:v>
      </x:c>
      <x:c r="B167" s="2" t="str">
        <x:v>Cycle 1</x:v>
      </x:c>
      <x:c r="C167" s="2" t="str">
        <x:v>Phase 1</x:v>
      </x:c>
      <x:c r="D167" s="2" t="str">
        <x:v>Retail Services</x:v>
      </x:c>
      <x:c r="E167" s="56" t="str">
        <x:v>DR.RS.1.2</x:v>
      </x:c>
      <x:c r="F167" s="14" t="str">
        <x:v>Identify two potential topics for the upcoming Cycle</x:v>
      </x:c>
      <x:c r="G167" s="5"/>
      <x:c r="H167" s="11"/>
      <x:c r="I167" s="11" t="n">
        <x:f>'Cycles &amp; Guide'!$D$10</x:f>
        <x:v>46112</x:v>
      </x:c>
      <x:c r="J167" s="11"/>
      <x:c r="K167" s="29"/>
      <x:c r="L167" s="2" t="str">
        <x:f>IF(O167=1,"Complete",IF(A167,"Checklist open",IF(H167&lt;&gt;"","In progress","Not started")))</x:f>
        <x:v>Not started</x:v>
      </x:c>
      <x:c r="M167" s="2" t="str">
        <x:v>Task</x:v>
      </x:c>
      <x:c r="N167" s="2" t="str">
        <x:v>DR.RS.1.2.2026.CY1</x:v>
      </x:c>
      <x:c r="O167" s="2" t="n">
        <x:f>R167</x:f>
        <x:v>0</x:v>
      </x:c>
      <x:c r="P167" s="2"/>
      <x:c r="Q167" s="2" t="n">
        <x:v>1</x:v>
      </x:c>
      <x:c r="R167" s="2" t="n">
        <x:f>IF(A167,1,0)</x:f>
        <x:v>0</x:v>
      </x:c>
      <x:c r="S167" s="2" t="n">
        <x:f>SUBTOTAL(103,N167)</x:f>
        <x:v>1</x:v>
      </x:c>
    </x:row>
    <x:row r="168" ht="42" customHeight="1">
      <x:c r="A168" s="28" t="b">
        <x:v>0</x:v>
      </x:c>
      <x:c r="B168" s="2" t="str">
        <x:v>Cycle 1</x:v>
      </x:c>
      <x:c r="C168" s="2" t="str">
        <x:v>Phase 1</x:v>
      </x:c>
      <x:c r="D168" s="2" t="str">
        <x:v>Retail Services</x:v>
      </x:c>
      <x:c r="E168" s="68" t="str">
        <x:v>DR.RS.1.3</x:v>
      </x:c>
      <x:c r="F168" s="33" t="str">
        <x:v>Extract data for both potential topics, ensuring all checklist items below are included/completed</x:v>
      </x:c>
      <x:c r="G168" s="5"/>
      <x:c r="H168" s="11"/>
      <x:c r="I168" s="11" t="n">
        <x:f>'Cycles &amp; Guide'!$D$10</x:f>
        <x:v>46112</x:v>
      </x:c>
      <x:c r="J168" s="11"/>
      <x:c r="K168" s="29"/>
      <x:c r="L168" s="2" t="str">
        <x:f>IF(O168=1,"Complete",IF(A168,"Checklist open",IF(H168&lt;&gt;"","In progress","Not started")))</x:f>
        <x:v>Not started</x:v>
      </x:c>
      <x:c r="M168" s="2" t="str">
        <x:v>Task</x:v>
      </x:c>
      <x:c r="N168" s="2" t="str">
        <x:v>DR.RS.1.3.2026.CY1</x:v>
      </x:c>
      <x:c r="O168" s="2" t="n">
        <x:f>IF(A168,IF(SUMIFS($R$10:$R$737,$P$10:$P$737,N168)=13,1,0),0)</x:f>
        <x:v>0</x:v>
      </x:c>
      <x:c r="P168" s="2"/>
      <x:c r="Q168" s="2" t="n">
        <x:v>1</x:v>
      </x:c>
      <x:c r="R168" s="2" t="n">
        <x:f>IF(A168,1,0)</x:f>
        <x:v>0</x:v>
      </x:c>
      <x:c r="S168" s="2" t="n">
        <x:f>SUBTOTAL(103,N168)</x:f>
        <x:v>1</x:v>
      </x:c>
    </x:row>
    <x:row r="169" ht="31" customHeight="1" outlineLevel="1">
      <x:c r="A169" s="28" t="b">
        <x:v>0</x:v>
      </x:c>
      <x:c r="B169" s="36" t="str">
        <x:v>Cycle 1</x:v>
      </x:c>
      <x:c r="C169" s="36" t="str">
        <x:v>Phase 1</x:v>
      </x:c>
      <x:c r="D169" s="36" t="str">
        <x:v>Retail Services</x:v>
      </x:c>
      <x:c r="E169" s="69" t="str">
        <x:v>DR.RS.1.3.C01</x:v>
      </x:c>
      <x:c r="F169" s="37" t="str">
        <x:v>    Document date range extracted</x:v>
      </x:c>
      <x:c r="G169" s="5"/>
      <x:c r="H169" s="11"/>
      <x:c r="I169" s="11"/>
      <x:c r="J169" s="11"/>
      <x:c r="K169" s="29"/>
      <x:c r="L169" s="2" t="str">
        <x:f>IF(A169,"Complete","Open check")</x:f>
        <x:v>Open check</x:v>
      </x:c>
      <x:c r="M169" s="2" t="str">
        <x:v>Checklist</x:v>
      </x:c>
      <x:c r="N169" s="2" t="str">
        <x:v>DR.RS.1.3.C01.2026.CY1</x:v>
      </x:c>
      <x:c r="O169" s="2" t="n">
        <x:f>R169</x:f>
        <x:v>0</x:v>
      </x:c>
      <x:c r="P169" s="2" t="str">
        <x:v>DR.RS.1.3.2026.CY1</x:v>
      </x:c>
      <x:c r="Q169" s="2" t="n">
        <x:v>0</x:v>
      </x:c>
      <x:c r="R169" s="2" t="n">
        <x:f>IF(A169,1,0)</x:f>
        <x:v>0</x:v>
      </x:c>
      <x:c r="S169" s="2" t="n">
        <x:f>SUBTOTAL(103,N169)</x:f>
        <x:v>1</x:v>
      </x:c>
    </x:row>
    <x:row r="170" ht="31" customHeight="1" outlineLevel="1">
      <x:c r="A170" s="28" t="b">
        <x:v>0</x:v>
      </x:c>
      <x:c r="B170" s="36" t="str">
        <x:v>Cycle 1</x:v>
      </x:c>
      <x:c r="C170" s="36" t="str">
        <x:v>Phase 1</x:v>
      </x:c>
      <x:c r="D170" s="36" t="str">
        <x:v>Retail Services</x:v>
      </x:c>
      <x:c r="E170" s="69" t="str">
        <x:v>DR.RS.1.3.C02</x:v>
      </x:c>
      <x:c r="F170" s="37" t="str">
        <x:v>    Document date of data pull</x:v>
      </x:c>
      <x:c r="G170" s="5"/>
      <x:c r="H170" s="11"/>
      <x:c r="I170" s="11"/>
      <x:c r="J170" s="11"/>
      <x:c r="K170" s="29"/>
      <x:c r="L170" s="2" t="str">
        <x:f>IF(A170,"Complete","Open check")</x:f>
        <x:v>Open check</x:v>
      </x:c>
      <x:c r="M170" s="2" t="str">
        <x:v>Checklist</x:v>
      </x:c>
      <x:c r="N170" s="2" t="str">
        <x:v>DR.RS.1.3.C02.2026.CY1</x:v>
      </x:c>
      <x:c r="O170" s="2" t="n">
        <x:f>R170</x:f>
        <x:v>0</x:v>
      </x:c>
      <x:c r="P170" s="2" t="str">
        <x:v>DR.RS.1.3.2026.CY1</x:v>
      </x:c>
      <x:c r="Q170" s="2" t="n">
        <x:v>0</x:v>
      </x:c>
      <x:c r="R170" s="2" t="n">
        <x:f>IF(A170,1,0)</x:f>
        <x:v>0</x:v>
      </x:c>
      <x:c r="S170" s="2" t="n">
        <x:f>SUBTOTAL(103,N170)</x:f>
        <x:v>1</x:v>
      </x:c>
    </x:row>
    <x:row r="171" ht="31" customHeight="1" outlineLevel="1">
      <x:c r="A171" s="28" t="b">
        <x:v>0</x:v>
      </x:c>
      <x:c r="B171" s="36" t="str">
        <x:v>Cycle 1</x:v>
      </x:c>
      <x:c r="C171" s="36" t="str">
        <x:v>Phase 1</x:v>
      </x:c>
      <x:c r="D171" s="36" t="str">
        <x:v>Retail Services</x:v>
      </x:c>
      <x:c r="E171" s="69" t="str">
        <x:v>DR.RS.1.3.C03</x:v>
      </x:c>
      <x:c r="F171" s="37" t="str">
        <x:v>    Document population details</x:v>
      </x:c>
      <x:c r="G171" s="5"/>
      <x:c r="H171" s="11"/>
      <x:c r="I171" s="11"/>
      <x:c r="J171" s="11"/>
      <x:c r="K171" s="29"/>
      <x:c r="L171" s="2" t="str">
        <x:f>IF(A171,"Complete","Open check")</x:f>
        <x:v>Open check</x:v>
      </x:c>
      <x:c r="M171" s="2" t="str">
        <x:v>Checklist</x:v>
      </x:c>
      <x:c r="N171" s="2" t="str">
        <x:v>DR.RS.1.3.C03.2026.CY1</x:v>
      </x:c>
      <x:c r="O171" s="2" t="n">
        <x:f>R171</x:f>
        <x:v>0</x:v>
      </x:c>
      <x:c r="P171" s="2" t="str">
        <x:v>DR.RS.1.3.2026.CY1</x:v>
      </x:c>
      <x:c r="Q171" s="2" t="n">
        <x:v>0</x:v>
      </x:c>
      <x:c r="R171" s="2" t="n">
        <x:f>IF(A171,1,0)</x:f>
        <x:v>0</x:v>
      </x:c>
      <x:c r="S171" s="2" t="n">
        <x:f>SUBTOTAL(103,N171)</x:f>
        <x:v>1</x:v>
      </x:c>
    </x:row>
    <x:row r="172" ht="31" customHeight="1" outlineLevel="1">
      <x:c r="A172" s="28" t="b">
        <x:v>0</x:v>
      </x:c>
      <x:c r="B172" s="36" t="str">
        <x:v>Cycle 1</x:v>
      </x:c>
      <x:c r="C172" s="36" t="str">
        <x:v>Phase 1</x:v>
      </x:c>
      <x:c r="D172" s="36" t="str">
        <x:v>Retail Services</x:v>
      </x:c>
      <x:c r="E172" s="69" t="str">
        <x:v>DR.RS.1.3.C04</x:v>
      </x:c>
      <x:c r="F172" s="37" t="str">
        <x:v>    Validate no data is missing</x:v>
      </x:c>
      <x:c r="G172" s="5"/>
      <x:c r="H172" s="11"/>
      <x:c r="I172" s="11"/>
      <x:c r="J172" s="11"/>
      <x:c r="K172" s="29"/>
      <x:c r="L172" s="2" t="str">
        <x:f>IF(A172,"Complete","Open check")</x:f>
        <x:v>Open check</x:v>
      </x:c>
      <x:c r="M172" s="2" t="str">
        <x:v>Checklist</x:v>
      </x:c>
      <x:c r="N172" s="2" t="str">
        <x:v>DR.RS.1.3.C04.2026.CY1</x:v>
      </x:c>
      <x:c r="O172" s="2" t="n">
        <x:f>R172</x:f>
        <x:v>0</x:v>
      </x:c>
      <x:c r="P172" s="2" t="str">
        <x:v>DR.RS.1.3.2026.CY1</x:v>
      </x:c>
      <x:c r="Q172" s="2" t="n">
        <x:v>0</x:v>
      </x:c>
      <x:c r="R172" s="2" t="n">
        <x:f>IF(A172,1,0)</x:f>
        <x:v>0</x:v>
      </x:c>
      <x:c r="S172" s="2" t="n">
        <x:f>SUBTOTAL(103,N172)</x:f>
        <x:v>1</x:v>
      </x:c>
    </x:row>
    <x:row r="173" ht="31" customHeight="1" outlineLevel="1">
      <x:c r="A173" s="28" t="b">
        <x:v>0</x:v>
      </x:c>
      <x:c r="B173" s="36" t="str">
        <x:v>Cycle 1</x:v>
      </x:c>
      <x:c r="C173" s="36" t="str">
        <x:v>Phase 1</x:v>
      </x:c>
      <x:c r="D173" s="36" t="str">
        <x:v>Retail Services</x:v>
      </x:c>
      <x:c r="E173" s="69" t="str">
        <x:v>DR.RS.1.3.C05</x:v>
      </x:c>
      <x:c r="F173" s="37" t="str">
        <x:v>    Validate accuracy of data</x:v>
      </x:c>
      <x:c r="G173" s="5"/>
      <x:c r="H173" s="11"/>
      <x:c r="I173" s="11"/>
      <x:c r="J173" s="11"/>
      <x:c r="K173" s="29"/>
      <x:c r="L173" s="2" t="str">
        <x:f>IF(A173,"Complete","Open check")</x:f>
        <x:v>Open check</x:v>
      </x:c>
      <x:c r="M173" s="2" t="str">
        <x:v>Checklist</x:v>
      </x:c>
      <x:c r="N173" s="2" t="str">
        <x:v>DR.RS.1.3.C05.2026.CY1</x:v>
      </x:c>
      <x:c r="O173" s="2" t="n">
        <x:f>R173</x:f>
        <x:v>0</x:v>
      </x:c>
      <x:c r="P173" s="2" t="str">
        <x:v>DR.RS.1.3.2026.CY1</x:v>
      </x:c>
      <x:c r="Q173" s="2" t="n">
        <x:v>0</x:v>
      </x:c>
      <x:c r="R173" s="2" t="n">
        <x:f>IF(A173,1,0)</x:f>
        <x:v>0</x:v>
      </x:c>
      <x:c r="S173" s="2" t="n">
        <x:f>SUBTOTAL(103,N173)</x:f>
        <x:v>1</x:v>
      </x:c>
    </x:row>
    <x:row r="174" ht="31" customHeight="1" outlineLevel="1">
      <x:c r="A174" s="28" t="b">
        <x:v>0</x:v>
      </x:c>
      <x:c r="B174" s="36" t="str">
        <x:v>Cycle 1</x:v>
      </x:c>
      <x:c r="C174" s="36" t="str">
        <x:v>Phase 1</x:v>
      </x:c>
      <x:c r="D174" s="36" t="str">
        <x:v>Retail Services</x:v>
      </x:c>
      <x:c r="E174" s="69" t="str">
        <x:v>DR.RS.1.3.C06</x:v>
      </x:c>
      <x:c r="F174" s="37" t="str">
        <x:v>    Validate no duplicate data is provided</x:v>
      </x:c>
      <x:c r="G174" s="5"/>
      <x:c r="H174" s="11"/>
      <x:c r="I174" s="11"/>
      <x:c r="J174" s="11"/>
      <x:c r="K174" s="29"/>
      <x:c r="L174" s="2" t="str">
        <x:f>IF(A174,"Complete","Open check")</x:f>
        <x:v>Open check</x:v>
      </x:c>
      <x:c r="M174" s="2" t="str">
        <x:v>Checklist</x:v>
      </x:c>
      <x:c r="N174" s="2" t="str">
        <x:v>DR.RS.1.3.C06.2026.CY1</x:v>
      </x:c>
      <x:c r="O174" s="2" t="n">
        <x:f>R174</x:f>
        <x:v>0</x:v>
      </x:c>
      <x:c r="P174" s="2" t="str">
        <x:v>DR.RS.1.3.2026.CY1</x:v>
      </x:c>
      <x:c r="Q174" s="2" t="n">
        <x:v>0</x:v>
      </x:c>
      <x:c r="R174" s="2" t="n">
        <x:f>IF(A174,1,0)</x:f>
        <x:v>0</x:v>
      </x:c>
      <x:c r="S174" s="2" t="n">
        <x:f>SUBTOTAL(103,N174)</x:f>
        <x:v>1</x:v>
      </x:c>
    </x:row>
    <x:row r="175" ht="31" customHeight="1" outlineLevel="1">
      <x:c r="A175" s="28" t="b">
        <x:v>0</x:v>
      </x:c>
      <x:c r="B175" s="36" t="str">
        <x:v>Cycle 1</x:v>
      </x:c>
      <x:c r="C175" s="36" t="str">
        <x:v>Phase 1</x:v>
      </x:c>
      <x:c r="D175" s="36" t="str">
        <x:v>Retail Services</x:v>
      </x:c>
      <x:c r="E175" s="69" t="str">
        <x:v>DR.RS.1.3.C07</x:v>
      </x:c>
      <x:c r="F175" s="37" t="str">
        <x:v>    Document any data exclusions along with justification (as needed)</x:v>
      </x:c>
      <x:c r="G175" s="5"/>
      <x:c r="H175" s="11"/>
      <x:c r="I175" s="11"/>
      <x:c r="J175" s="11"/>
      <x:c r="K175" s="29"/>
      <x:c r="L175" s="2" t="str">
        <x:f>IF(A175,"Complete","Open check")</x:f>
        <x:v>Open check</x:v>
      </x:c>
      <x:c r="M175" s="2" t="str">
        <x:v>Checklist</x:v>
      </x:c>
      <x:c r="N175" s="2" t="str">
        <x:v>DR.RS.1.3.C07.2026.CY1</x:v>
      </x:c>
      <x:c r="O175" s="2" t="n">
        <x:f>R175</x:f>
        <x:v>0</x:v>
      </x:c>
      <x:c r="P175" s="2" t="str">
        <x:v>DR.RS.1.3.2026.CY1</x:v>
      </x:c>
      <x:c r="Q175" s="2" t="n">
        <x:v>0</x:v>
      </x:c>
      <x:c r="R175" s="2" t="n">
        <x:f>IF(A175,1,0)</x:f>
        <x:v>0</x:v>
      </x:c>
      <x:c r="S175" s="2" t="n">
        <x:f>SUBTOTAL(103,N175)</x:f>
        <x:v>1</x:v>
      </x:c>
    </x:row>
    <x:row r="176" ht="31" customHeight="1" outlineLevel="1">
      <x:c r="A176" s="28" t="b">
        <x:v>0</x:v>
      </x:c>
      <x:c r="B176" s="36" t="str">
        <x:v>Cycle 1</x:v>
      </x:c>
      <x:c r="C176" s="36" t="str">
        <x:v>Phase 1</x:v>
      </x:c>
      <x:c r="D176" s="36" t="str">
        <x:v>Retail Services</x:v>
      </x:c>
      <x:c r="E176" s="69" t="str">
        <x:v>DR.RS.1.3.C08</x:v>
      </x:c>
      <x:c r="F176" s="37" t="str">
        <x:v>    Document any assumptions made with the data (as needed)</x:v>
      </x:c>
      <x:c r="G176" s="5"/>
      <x:c r="H176" s="11"/>
      <x:c r="I176" s="11"/>
      <x:c r="J176" s="11"/>
      <x:c r="K176" s="29"/>
      <x:c r="L176" s="2" t="str">
        <x:f>IF(A176,"Complete","Open check")</x:f>
        <x:v>Open check</x:v>
      </x:c>
      <x:c r="M176" s="2" t="str">
        <x:v>Checklist</x:v>
      </x:c>
      <x:c r="N176" s="2" t="str">
        <x:v>DR.RS.1.3.C08.2026.CY1</x:v>
      </x:c>
      <x:c r="O176" s="2" t="n">
        <x:f>R176</x:f>
        <x:v>0</x:v>
      </x:c>
      <x:c r="P176" s="2" t="str">
        <x:v>DR.RS.1.3.2026.CY1</x:v>
      </x:c>
      <x:c r="Q176" s="2" t="n">
        <x:v>0</x:v>
      </x:c>
      <x:c r="R176" s="2" t="n">
        <x:f>IF(A176,1,0)</x:f>
        <x:v>0</x:v>
      </x:c>
      <x:c r="S176" s="2" t="n">
        <x:f>SUBTOTAL(103,N176)</x:f>
        <x:v>1</x:v>
      </x:c>
    </x:row>
    <x:row r="177" ht="31" customHeight="1" outlineLevel="1">
      <x:c r="A177" s="28" t="b">
        <x:v>0</x:v>
      </x:c>
      <x:c r="B177" s="36" t="str">
        <x:v>Cycle 1</x:v>
      </x:c>
      <x:c r="C177" s="36" t="str">
        <x:v>Phase 1</x:v>
      </x:c>
      <x:c r="D177" s="36" t="str">
        <x:v>Retail Services</x:v>
      </x:c>
      <x:c r="E177" s="69" t="str">
        <x:v>DR.RS.1.3.C09</x:v>
      </x:c>
      <x:c r="F177" s="37" t="str">
        <x:v>    Document any data limitations or constraints clearly (as needed)</x:v>
      </x:c>
      <x:c r="G177" s="5"/>
      <x:c r="H177" s="11"/>
      <x:c r="I177" s="11"/>
      <x:c r="J177" s="11"/>
      <x:c r="K177" s="29"/>
      <x:c r="L177" s="2" t="str">
        <x:f>IF(A177,"Complete","Open check")</x:f>
        <x:v>Open check</x:v>
      </x:c>
      <x:c r="M177" s="2" t="str">
        <x:v>Checklist</x:v>
      </x:c>
      <x:c r="N177" s="2" t="str">
        <x:v>DR.RS.1.3.C09.2026.CY1</x:v>
      </x:c>
      <x:c r="O177" s="2" t="n">
        <x:f>R177</x:f>
        <x:v>0</x:v>
      </x:c>
      <x:c r="P177" s="2" t="str">
        <x:v>DR.RS.1.3.2026.CY1</x:v>
      </x:c>
      <x:c r="Q177" s="2" t="n">
        <x:v>0</x:v>
      </x:c>
      <x:c r="R177" s="2" t="n">
        <x:f>IF(A177,1,0)</x:f>
        <x:v>0</x:v>
      </x:c>
      <x:c r="S177" s="2" t="n">
        <x:f>SUBTOTAL(103,N177)</x:f>
        <x:v>1</x:v>
      </x:c>
    </x:row>
    <x:row r="178" ht="31" customHeight="1" outlineLevel="1">
      <x:c r="A178" s="28" t="b">
        <x:v>0</x:v>
      </x:c>
      <x:c r="B178" s="36" t="str">
        <x:v>Cycle 1</x:v>
      </x:c>
      <x:c r="C178" s="36" t="str">
        <x:v>Phase 1</x:v>
      </x:c>
      <x:c r="D178" s="36" t="str">
        <x:v>Retail Services</x:v>
      </x:c>
      <x:c r="E178" s="69" t="str">
        <x:v>DR.RS.1.3.C10</x:v>
      </x:c>
      <x:c r="F178" s="37" t="str">
        <x:v>    Document data dictionary or field definitions for columns/rows</x:v>
      </x:c>
      <x:c r="G178" s="5"/>
      <x:c r="H178" s="11"/>
      <x:c r="I178" s="11"/>
      <x:c r="J178" s="11"/>
      <x:c r="K178" s="29"/>
      <x:c r="L178" s="2" t="str">
        <x:f>IF(A178,"Complete","Open check")</x:f>
        <x:v>Open check</x:v>
      </x:c>
      <x:c r="M178" s="2" t="str">
        <x:v>Checklist</x:v>
      </x:c>
      <x:c r="N178" s="2" t="str">
        <x:v>DR.RS.1.3.C10.2026.CY1</x:v>
      </x:c>
      <x:c r="O178" s="2" t="n">
        <x:f>R178</x:f>
        <x:v>0</x:v>
      </x:c>
      <x:c r="P178" s="2" t="str">
        <x:v>DR.RS.1.3.2026.CY1</x:v>
      </x:c>
      <x:c r="Q178" s="2" t="n">
        <x:v>0</x:v>
      </x:c>
      <x:c r="R178" s="2" t="n">
        <x:f>IF(A178,1,0)</x:f>
        <x:v>0</x:v>
      </x:c>
      <x:c r="S178" s="2" t="n">
        <x:f>SUBTOTAL(103,N178)</x:f>
        <x:v>1</x:v>
      </x:c>
    </x:row>
    <x:row r="179" ht="31" customHeight="1" outlineLevel="1">
      <x:c r="A179" s="28" t="b">
        <x:v>0</x:v>
      </x:c>
      <x:c r="B179" s="36" t="str">
        <x:v>Cycle 1</x:v>
      </x:c>
      <x:c r="C179" s="36" t="str">
        <x:v>Phase 1</x:v>
      </x:c>
      <x:c r="D179" s="36" t="str">
        <x:v>Retail Services</x:v>
      </x:c>
      <x:c r="E179" s="69" t="str">
        <x:v>DR.RS.1.3.C11</x:v>
      </x:c>
      <x:c r="F179" s="37" t="str">
        <x:v>    Document emerging trends, patterns, or concentrations along with supporting data</x:v>
      </x:c>
      <x:c r="G179" s="5"/>
      <x:c r="H179" s="11"/>
      <x:c r="I179" s="11"/>
      <x:c r="J179" s="11"/>
      <x:c r="K179" s="29"/>
      <x:c r="L179" s="2" t="str">
        <x:f>IF(A179,"Complete","Open check")</x:f>
        <x:v>Open check</x:v>
      </x:c>
      <x:c r="M179" s="2" t="str">
        <x:v>Checklist</x:v>
      </x:c>
      <x:c r="N179" s="2" t="str">
        <x:v>DR.RS.1.3.C11.2026.CY1</x:v>
      </x:c>
      <x:c r="O179" s="2" t="n">
        <x:f>R179</x:f>
        <x:v>0</x:v>
      </x:c>
      <x:c r="P179" s="2" t="str">
        <x:v>DR.RS.1.3.2026.CY1</x:v>
      </x:c>
      <x:c r="Q179" s="2" t="n">
        <x:v>0</x:v>
      </x:c>
      <x:c r="R179" s="2" t="n">
        <x:f>IF(A179,1,0)</x:f>
        <x:v>0</x:v>
      </x:c>
      <x:c r="S179" s="2" t="n">
        <x:f>SUBTOTAL(103,N179)</x:f>
        <x:v>1</x:v>
      </x:c>
    </x:row>
    <x:row r="180" ht="31" customHeight="1" outlineLevel="1">
      <x:c r="A180" s="28" t="b">
        <x:v>0</x:v>
      </x:c>
      <x:c r="B180" s="36" t="str">
        <x:v>Cycle 1</x:v>
      </x:c>
      <x:c r="C180" s="36" t="str">
        <x:v>Phase 1</x:v>
      </x:c>
      <x:c r="D180" s="36" t="str">
        <x:v>Retail Services</x:v>
      </x:c>
      <x:c r="E180" s="69" t="str">
        <x:v>DR.RS.1.3.C12</x:v>
      </x:c>
      <x:c r="F180" s="37" t="str">
        <x:v>    Document any severe spikes in volume along with context (as needed)</x:v>
      </x:c>
      <x:c r="G180" s="5"/>
      <x:c r="H180" s="11"/>
      <x:c r="I180" s="11"/>
      <x:c r="J180" s="11"/>
      <x:c r="K180" s="29"/>
      <x:c r="L180" s="2" t="str">
        <x:f>IF(A180,"Complete","Open check")</x:f>
        <x:v>Open check</x:v>
      </x:c>
      <x:c r="M180" s="2" t="str">
        <x:v>Checklist</x:v>
      </x:c>
      <x:c r="N180" s="2" t="str">
        <x:v>DR.RS.1.3.C12.2026.CY1</x:v>
      </x:c>
      <x:c r="O180" s="2" t="n">
        <x:f>R180</x:f>
        <x:v>0</x:v>
      </x:c>
      <x:c r="P180" s="2" t="str">
        <x:v>DR.RS.1.3.2026.CY1</x:v>
      </x:c>
      <x:c r="Q180" s="2" t="n">
        <x:v>0</x:v>
      </x:c>
      <x:c r="R180" s="2" t="n">
        <x:f>IF(A180,1,0)</x:f>
        <x:v>0</x:v>
      </x:c>
      <x:c r="S180" s="2" t="n">
        <x:f>SUBTOTAL(103,N180)</x:f>
        <x:v>1</x:v>
      </x:c>
    </x:row>
    <x:row r="181" ht="31" customHeight="1" outlineLevel="1">
      <x:c r="A181" s="28" t="b">
        <x:v>0</x:v>
      </x:c>
      <x:c r="B181" s="36" t="str">
        <x:v>Cycle 1</x:v>
      </x:c>
      <x:c r="C181" s="36" t="str">
        <x:v>Phase 1</x:v>
      </x:c>
      <x:c r="D181" s="36" t="str">
        <x:v>Retail Services</x:v>
      </x:c>
      <x:c r="E181" s="69" t="str">
        <x:v>DR.RS.1.3.C13</x:v>
      </x:c>
      <x:c r="F181" s="37" t="str">
        <x:v>    Document clear summary explaining how the data connects to the potential topic</x:v>
      </x:c>
      <x:c r="G181" s="5"/>
      <x:c r="H181" s="11"/>
      <x:c r="I181" s="11"/>
      <x:c r="J181" s="11"/>
      <x:c r="K181" s="29"/>
      <x:c r="L181" s="2" t="str">
        <x:f>IF(A181,"Complete","Open check")</x:f>
        <x:v>Open check</x:v>
      </x:c>
      <x:c r="M181" s="2" t="str">
        <x:v>Checklist</x:v>
      </x:c>
      <x:c r="N181" s="2" t="str">
        <x:v>DR.RS.1.3.C13.2026.CY1</x:v>
      </x:c>
      <x:c r="O181" s="2" t="n">
        <x:f>R181</x:f>
        <x:v>0</x:v>
      </x:c>
      <x:c r="P181" s="2" t="str">
        <x:v>DR.RS.1.3.2026.CY1</x:v>
      </x:c>
      <x:c r="Q181" s="2" t="n">
        <x:v>0</x:v>
      </x:c>
      <x:c r="R181" s="2" t="n">
        <x:f>IF(A181,1,0)</x:f>
        <x:v>0</x:v>
      </x:c>
      <x:c r="S181" s="2" t="n">
        <x:f>SUBTOTAL(103,N181)</x:f>
        <x:v>1</x:v>
      </x:c>
    </x:row>
    <x:row r="182" ht="42" customHeight="1">
      <x:c r="A182" s="28" t="b">
        <x:v>0</x:v>
      </x:c>
      <x:c r="B182" s="2" t="str">
        <x:v>Cycle 1</x:v>
      </x:c>
      <x:c r="C182" s="2" t="str">
        <x:v>Phase 2</x:v>
      </x:c>
      <x:c r="D182" s="2" t="str">
        <x:v>Retail Services</x:v>
      </x:c>
      <x:c r="E182" s="56" t="str">
        <x:v>DR.RS.2.1</x:v>
      </x:c>
      <x:c r="F182" s="14" t="str">
        <x:v>Ensure data is clean, structured, and usable without manipulation needed</x:v>
      </x:c>
      <x:c r="G182" s="5"/>
      <x:c r="H182" s="11"/>
      <x:c r="I182" s="11" t="n">
        <x:f>'Cycles &amp; Guide'!$D$10</x:f>
        <x:v>46112</x:v>
      </x:c>
      <x:c r="J182" s="11"/>
      <x:c r="K182" s="29"/>
      <x:c r="L182" s="2" t="str">
        <x:f>IF(O182=1,"Complete",IF(A182,"Checklist open",IF(H182&lt;&gt;"","In progress","Not started")))</x:f>
        <x:v>Not started</x:v>
      </x:c>
      <x:c r="M182" s="2" t="str">
        <x:v>Task</x:v>
      </x:c>
      <x:c r="N182" s="2" t="str">
        <x:v>DR.RS.2.1.2026.CY1</x:v>
      </x:c>
      <x:c r="O182" s="2" t="n">
        <x:f>R182</x:f>
        <x:v>0</x:v>
      </x:c>
      <x:c r="P182" s="2"/>
      <x:c r="Q182" s="2" t="n">
        <x:v>1</x:v>
      </x:c>
      <x:c r="R182" s="2" t="n">
        <x:f>IF(A182,1,0)</x:f>
        <x:v>0</x:v>
      </x:c>
      <x:c r="S182" s="2" t="n">
        <x:f>SUBTOTAL(103,N182)</x:f>
        <x:v>1</x:v>
      </x:c>
    </x:row>
    <x:row r="183" ht="42" customHeight="1">
      <x:c r="A183" s="28" t="b">
        <x:v>0</x:v>
      </x:c>
      <x:c r="B183" s="2" t="str">
        <x:v>Cycle 1</x:v>
      </x:c>
      <x:c r="C183" s="2" t="str">
        <x:v>Phase 2</x:v>
      </x:c>
      <x:c r="D183" s="2" t="str">
        <x:v>Retail Services</x:v>
      </x:c>
      <x:c r="E183" s="56" t="str">
        <x:v>DR.RS.2.2</x:v>
      </x:c>
      <x:c r="F183" s="14" t="str">
        <x:v>Clearly document rationale for each topic recommendation within the SharePoint list</x:v>
      </x:c>
      <x:c r="G183" s="5"/>
      <x:c r="H183" s="11"/>
      <x:c r="I183" s="11" t="n">
        <x:f>'Cycles &amp; Guide'!$D$10</x:f>
        <x:v>46112</x:v>
      </x:c>
      <x:c r="J183" s="11"/>
      <x:c r="K183" s="29"/>
      <x:c r="L183" s="2" t="str">
        <x:f>IF(O183=1,"Complete",IF(A183,"Checklist open",IF(H183&lt;&gt;"","In progress","Not started")))</x:f>
        <x:v>Not started</x:v>
      </x:c>
      <x:c r="M183" s="2" t="str">
        <x:v>Task</x:v>
      </x:c>
      <x:c r="N183" s="2" t="str">
        <x:v>DR.RS.2.2.2026.CY1</x:v>
      </x:c>
      <x:c r="O183" s="2" t="n">
        <x:f>R183</x:f>
        <x:v>0</x:v>
      </x:c>
      <x:c r="P183" s="2"/>
      <x:c r="Q183" s="2" t="n">
        <x:v>1</x:v>
      </x:c>
      <x:c r="R183" s="2" t="n">
        <x:f>IF(A183,1,0)</x:f>
        <x:v>0</x:v>
      </x:c>
      <x:c r="S183" s="2" t="n">
        <x:f>SUBTOTAL(103,N183)</x:f>
        <x:v>1</x:v>
      </x:c>
    </x:row>
    <x:row r="184" ht="42" customHeight="1">
      <x:c r="A184" s="28" t="b">
        <x:v>0</x:v>
      </x:c>
      <x:c r="B184" s="2" t="str">
        <x:v>Cycle 1</x:v>
      </x:c>
      <x:c r="C184" s="2" t="str">
        <x:v>Phase 2</x:v>
      </x:c>
      <x:c r="D184" s="2" t="str">
        <x:v>Retail Services</x:v>
      </x:c>
      <x:c r="E184" s="56" t="str">
        <x:v>DR.RS.2.3</x:v>
      </x:c>
      <x:c r="F184" s="14" t="str">
        <x:v>Verify topic is eligible for RCA and does not conflict with Attorney Client Privilege</x:v>
      </x:c>
      <x:c r="G184" s="5"/>
      <x:c r="H184" s="11"/>
      <x:c r="I184" s="11" t="n">
        <x:f>'Cycles &amp; Guide'!$D$10</x:f>
        <x:v>46112</x:v>
      </x:c>
      <x:c r="J184" s="11"/>
      <x:c r="K184" s="29"/>
      <x:c r="L184" s="2" t="str">
        <x:f>IF(O184=1,"Complete",IF(A184,"Checklist open",IF(H184&lt;&gt;"","In progress","Not started")))</x:f>
        <x:v>Not started</x:v>
      </x:c>
      <x:c r="M184" s="2" t="str">
        <x:v>Task</x:v>
      </x:c>
      <x:c r="N184" s="2" t="str">
        <x:v>DR.RS.2.3.2026.CY1</x:v>
      </x:c>
      <x:c r="O184" s="2" t="n">
        <x:f>R184</x:f>
        <x:v>0</x:v>
      </x:c>
      <x:c r="P184" s="2"/>
      <x:c r="Q184" s="2" t="n">
        <x:v>1</x:v>
      </x:c>
      <x:c r="R184" s="2" t="n">
        <x:f>IF(A184,1,0)</x:f>
        <x:v>0</x:v>
      </x:c>
      <x:c r="S184" s="2" t="n">
        <x:f>SUBTOTAL(103,N184)</x:f>
        <x:v>1</x:v>
      </x:c>
    </x:row>
    <x:row r="185" ht="42" customHeight="1">
      <x:c r="A185" s="28" t="b">
        <x:v>0</x:v>
      </x:c>
      <x:c r="B185" s="2" t="str">
        <x:v>Cycle 1</x:v>
      </x:c>
      <x:c r="C185" s="2" t="str">
        <x:v>Phase 2</x:v>
      </x:c>
      <x:c r="D185" s="2" t="str">
        <x:v>Retail Services</x:v>
      </x:c>
      <x:c r="E185" s="56" t="str">
        <x:v>DR.RS.2.4</x:v>
      </x:c>
      <x:c r="F185" s="14" t="str">
        <x:v>Ensure data is free of errors and anomalies prior to hand-off to Research</x:v>
      </x:c>
      <x:c r="G185" s="5"/>
      <x:c r="H185" s="11"/>
      <x:c r="I185" s="11" t="n">
        <x:f>'Cycles &amp; Guide'!$D$10</x:f>
        <x:v>46112</x:v>
      </x:c>
      <x:c r="J185" s="11"/>
      <x:c r="K185" s="29"/>
      <x:c r="L185" s="2" t="str">
        <x:f>IF(O185=1,"Complete",IF(A185,"Checklist open",IF(H185&lt;&gt;"","In progress","Not started")))</x:f>
        <x:v>Not started</x:v>
      </x:c>
      <x:c r="M185" s="2" t="str">
        <x:v>Task</x:v>
      </x:c>
      <x:c r="N185" s="2" t="str">
        <x:v>DR.RS.2.4.2026.CY1</x:v>
      </x:c>
      <x:c r="O185" s="2" t="n">
        <x:f>R185</x:f>
        <x:v>0</x:v>
      </x:c>
      <x:c r="P185" s="2"/>
      <x:c r="Q185" s="2" t="n">
        <x:v>1</x:v>
      </x:c>
      <x:c r="R185" s="2" t="n">
        <x:f>IF(A185,1,0)</x:f>
        <x:v>0</x:v>
      </x:c>
      <x:c r="S185" s="2" t="n">
        <x:f>SUBTOTAL(103,N185)</x:f>
        <x:v>1</x:v>
      </x:c>
    </x:row>
    <x:row r="186" ht="42" customHeight="1">
      <x:c r="A186" s="28" t="b">
        <x:v>0</x:v>
      </x:c>
      <x:c r="B186" s="2" t="str">
        <x:v>Cycle 1</x:v>
      </x:c>
      <x:c r="C186" s="2" t="str">
        <x:v>Phase 2</x:v>
      </x:c>
      <x:c r="D186" s="2" t="str">
        <x:v>Retail Services</x:v>
      </x:c>
      <x:c r="E186" s="56" t="str">
        <x:v>DR.RS.2.5</x:v>
      </x:c>
      <x:c r="F186" s="14" t="str">
        <x:v>Ensure topic is not a duplicate from a previous Cycle</x:v>
      </x:c>
      <x:c r="G186" s="5"/>
      <x:c r="H186" s="11"/>
      <x:c r="I186" s="11" t="n">
        <x:f>'Cycles &amp; Guide'!$D$10</x:f>
        <x:v>46112</x:v>
      </x:c>
      <x:c r="J186" s="11"/>
      <x:c r="K186" s="29"/>
      <x:c r="L186" s="2" t="str">
        <x:f>IF(O186=1,"Complete",IF(A186,"Checklist open",IF(H186&lt;&gt;"","In progress","Not started")))</x:f>
        <x:v>Not started</x:v>
      </x:c>
      <x:c r="M186" s="2" t="str">
        <x:v>Task</x:v>
      </x:c>
      <x:c r="N186" s="2" t="str">
        <x:v>DR.RS.2.5.2026.CY1</x:v>
      </x:c>
      <x:c r="O186" s="2" t="n">
        <x:f>R186</x:f>
        <x:v>0</x:v>
      </x:c>
      <x:c r="P186" s="2"/>
      <x:c r="Q186" s="2" t="n">
        <x:v>1</x:v>
      </x:c>
      <x:c r="R186" s="2" t="n">
        <x:f>IF(A186,1,0)</x:f>
        <x:v>0</x:v>
      </x:c>
      <x:c r="S186" s="2" t="n">
        <x:f>SUBTOTAL(103,N186)</x:f>
        <x:v>1</x:v>
      </x:c>
    </x:row>
    <x:row r="187" ht="42" customHeight="1">
      <x:c r="A187" s="28" t="b">
        <x:v>0</x:v>
      </x:c>
      <x:c r="B187" s="2" t="str">
        <x:v>Cycle 1</x:v>
      </x:c>
      <x:c r="C187" s="2" t="str">
        <x:v>Phase 2</x:v>
      </x:c>
      <x:c r="D187" s="2" t="str">
        <x:v>Retail Services</x:v>
      </x:c>
      <x:c r="E187" s="56" t="str">
        <x:v>DR.RS.2.6</x:v>
      </x:c>
      <x:c r="F187" s="14" t="str">
        <x:v>Document clear distinctions between facts, assumptions, and hypotheses within the data package</x:v>
      </x:c>
      <x:c r="G187" s="5"/>
      <x:c r="H187" s="11"/>
      <x:c r="I187" s="11" t="n">
        <x:f>'Cycles &amp; Guide'!$D$10</x:f>
        <x:v>46112</x:v>
      </x:c>
      <x:c r="J187" s="11"/>
      <x:c r="K187" s="29"/>
      <x:c r="L187" s="2" t="str">
        <x:f>IF(O187=1,"Complete",IF(A187,"Checklist open",IF(H187&lt;&gt;"","In progress","Not started")))</x:f>
        <x:v>Not started</x:v>
      </x:c>
      <x:c r="M187" s="2" t="str">
        <x:v>Task</x:v>
      </x:c>
      <x:c r="N187" s="2" t="str">
        <x:v>DR.RS.2.6.2026.CY1</x:v>
      </x:c>
      <x:c r="O187" s="2" t="n">
        <x:f>R187</x:f>
        <x:v>0</x:v>
      </x:c>
      <x:c r="P187" s="2"/>
      <x:c r="Q187" s="2" t="n">
        <x:v>1</x:v>
      </x:c>
      <x:c r="R187" s="2" t="n">
        <x:f>IF(A187,1,0)</x:f>
        <x:v>0</x:v>
      </x:c>
      <x:c r="S187" s="2" t="n">
        <x:f>SUBTOTAL(103,N187)</x:f>
        <x:v>1</x:v>
      </x:c>
    </x:row>
    <x:row r="188" ht="42" customHeight="1">
      <x:c r="A188" s="28" t="b">
        <x:v>0</x:v>
      </x:c>
      <x:c r="B188" s="2" t="str">
        <x:v>Cycle 1</x:v>
      </x:c>
      <x:c r="C188" s="2" t="str">
        <x:v>Phase 3</x:v>
      </x:c>
      <x:c r="D188" s="2" t="str">
        <x:v>Retail Services</x:v>
      </x:c>
      <x:c r="E188" s="56" t="str">
        <x:v>DR.RS.3.1</x:v>
      </x:c>
      <x:c r="F188" s="14" t="str">
        <x:v>Clearly document rationale for each topic recommendation within the SharePoint list item</x:v>
      </x:c>
      <x:c r="G188" s="5"/>
      <x:c r="H188" s="11"/>
      <x:c r="I188" s="11" t="n">
        <x:f>'Cycles &amp; Guide'!$D$10</x:f>
        <x:v>46112</x:v>
      </x:c>
      <x:c r="J188" s="11"/>
      <x:c r="K188" s="29"/>
      <x:c r="L188" s="2" t="str">
        <x:f>IF(O188=1,"Complete",IF(A188,"Checklist open",IF(H188&lt;&gt;"","In progress","Not started")))</x:f>
        <x:v>Not started</x:v>
      </x:c>
      <x:c r="M188" s="2" t="str">
        <x:v>Task</x:v>
      </x:c>
      <x:c r="N188" s="2" t="str">
        <x:v>DR.RS.3.1.2026.CY1</x:v>
      </x:c>
      <x:c r="O188" s="2" t="n">
        <x:f>R188</x:f>
        <x:v>0</x:v>
      </x:c>
      <x:c r="P188" s="2"/>
      <x:c r="Q188" s="2" t="n">
        <x:v>1</x:v>
      </x:c>
      <x:c r="R188" s="2" t="n">
        <x:f>IF(A188,1,0)</x:f>
        <x:v>0</x:v>
      </x:c>
      <x:c r="S188" s="2" t="n">
        <x:f>SUBTOTAL(103,N188)</x:f>
        <x:v>1</x:v>
      </x:c>
    </x:row>
    <x:row r="189" ht="42" customHeight="1">
      <x:c r="A189" s="28" t="b">
        <x:v>0</x:v>
      </x:c>
      <x:c r="B189" s="2" t="str">
        <x:v>Cycle 1</x:v>
      </x:c>
      <x:c r="C189" s="2" t="str">
        <x:v>Phase 3</x:v>
      </x:c>
      <x:c r="D189" s="2" t="str">
        <x:v>Retail Services</x:v>
      </x:c>
      <x:c r="E189" s="56" t="str">
        <x:v>DR.RS.3.2</x:v>
      </x:c>
      <x:c r="F189" s="14" t="str">
        <x:v>Attach the data package for each topic recommendation within the SharePoint list item</x:v>
      </x:c>
      <x:c r="G189" s="5"/>
      <x:c r="H189" s="11"/>
      <x:c r="I189" s="11" t="n">
        <x:f>'Cycles &amp; Guide'!$D$10</x:f>
        <x:v>46112</x:v>
      </x:c>
      <x:c r="J189" s="11"/>
      <x:c r="K189" s="29"/>
      <x:c r="L189" s="2" t="str">
        <x:f>IF(O189=1,"Complete",IF(A189,"Checklist open",IF(H189&lt;&gt;"","In progress","Not started")))</x:f>
        <x:v>Not started</x:v>
      </x:c>
      <x:c r="M189" s="2" t="str">
        <x:v>Task</x:v>
      </x:c>
      <x:c r="N189" s="2" t="str">
        <x:v>DR.RS.3.2.2026.CY1</x:v>
      </x:c>
      <x:c r="O189" s="2" t="n">
        <x:f>R189</x:f>
        <x:v>0</x:v>
      </x:c>
      <x:c r="P189" s="2"/>
      <x:c r="Q189" s="2" t="n">
        <x:v>1</x:v>
      </x:c>
      <x:c r="R189" s="2" t="n">
        <x:f>IF(A189,1,0)</x:f>
        <x:v>0</x:v>
      </x:c>
      <x:c r="S189" s="2" t="n">
        <x:f>SUBTOTAL(103,N189)</x:f>
        <x:v>1</x:v>
      </x:c>
    </x:row>
    <x:row r="190" ht="42" customHeight="1">
      <x:c r="A190" s="28" t="b">
        <x:v>0</x:v>
      </x:c>
      <x:c r="B190" s="2" t="str">
        <x:v>Cycle 1</x:v>
      </x:c>
      <x:c r="C190" s="2" t="str">
        <x:v>Phase 3</x:v>
      </x:c>
      <x:c r="D190" s="2" t="str">
        <x:v>Retail Services</x:v>
      </x:c>
      <x:c r="E190" s="56" t="str">
        <x:v>DR.RS.3.3</x:v>
      </x:c>
      <x:c r="F190" s="14" t="str">
        <x:v>Confirm data privileges have been granted, ensuring each pillar can access</x:v>
      </x:c>
      <x:c r="G190" s="5"/>
      <x:c r="H190" s="11"/>
      <x:c r="I190" s="11" t="n">
        <x:f>'Cycles &amp; Guide'!$D$10</x:f>
        <x:v>46112</x:v>
      </x:c>
      <x:c r="J190" s="11"/>
      <x:c r="K190" s="29"/>
      <x:c r="L190" s="2" t="str">
        <x:f>IF(O190=1,"Complete",IF(A190,"Checklist open",IF(H190&lt;&gt;"","In progress","Not started")))</x:f>
        <x:v>Not started</x:v>
      </x:c>
      <x:c r="M190" s="2" t="str">
        <x:v>Task</x:v>
      </x:c>
      <x:c r="N190" s="2" t="str">
        <x:v>DR.RS.3.3.2026.CY1</x:v>
      </x:c>
      <x:c r="O190" s="2" t="n">
        <x:f>R190</x:f>
        <x:v>0</x:v>
      </x:c>
      <x:c r="P190" s="2"/>
      <x:c r="Q190" s="2" t="n">
        <x:v>1</x:v>
      </x:c>
      <x:c r="R190" s="2" t="n">
        <x:f>IF(A190,1,0)</x:f>
        <x:v>0</x:v>
      </x:c>
      <x:c r="S190" s="2" t="n">
        <x:f>SUBTOTAL(103,N190)</x:f>
        <x:v>1</x:v>
      </x:c>
    </x:row>
    <x:row r="191" ht="42" customHeight="1">
      <x:c r="A191" s="28" t="b">
        <x:v>0</x:v>
      </x:c>
      <x:c r="B191" s="2" t="str">
        <x:v>Cycle 1</x:v>
      </x:c>
      <x:c r="C191" s="2" t="str">
        <x:v>Phase 3</x:v>
      </x:c>
      <x:c r="D191" s="2" t="str">
        <x:v>Retail Services</x:v>
      </x:c>
      <x:c r="E191" s="56" t="str">
        <x:v>DR.RS.3.4</x:v>
      </x:c>
      <x:c r="F191" s="14" t="str">
        <x:v>Ensure Power Automate notifications were correctly triggered within Microsoft Teams</x:v>
      </x:c>
      <x:c r="G191" s="5"/>
      <x:c r="H191" s="11"/>
      <x:c r="I191" s="11" t="n">
        <x:f>'Cycles &amp; Guide'!$D$10</x:f>
        <x:v>46112</x:v>
      </x:c>
      <x:c r="J191" s="11"/>
      <x:c r="K191" s="29"/>
      <x:c r="L191" s="2" t="str">
        <x:f>IF(O191=1,"Complete",IF(A191,"Checklist open",IF(H191&lt;&gt;"","In progress","Not started")))</x:f>
        <x:v>Not started</x:v>
      </x:c>
      <x:c r="M191" s="2" t="str">
        <x:v>Task</x:v>
      </x:c>
      <x:c r="N191" s="2" t="str">
        <x:v>DR.RS.3.4.2026.CY1</x:v>
      </x:c>
      <x:c r="O191" s="2" t="n">
        <x:f>R191</x:f>
        <x:v>0</x:v>
      </x:c>
      <x:c r="P191" s="2"/>
      <x:c r="Q191" s="2" t="n">
        <x:v>1</x:v>
      </x:c>
      <x:c r="R191" s="2" t="n">
        <x:f>IF(A191,1,0)</x:f>
        <x:v>0</x:v>
      </x:c>
      <x:c r="S191" s="2" t="n">
        <x:f>SUBTOTAL(103,N191)</x:f>
        <x:v>1</x:v>
      </x:c>
    </x:row>
    <x:row r="192" ht="42" customHeight="1">
      <x:c r="A192" s="28" t="b">
        <x:v>0</x:v>
      </x:c>
      <x:c r="B192" s="2" t="str">
        <x:v>Cycle 2</x:v>
      </x:c>
      <x:c r="C192" s="2" t="str">
        <x:v>Phase 1</x:v>
      </x:c>
      <x:c r="D192" s="2" t="str">
        <x:v>Auto</x:v>
      </x:c>
      <x:c r="E192" s="56" t="str">
        <x:v>DR.AU.1.1</x:v>
      </x:c>
      <x:c r="F192" s="14" t="str">
        <x:v>Review data sources 3 weeks prior to Cycle start (Complaints, Gen AI, Loudspeaker, NPS, etc.)</x:v>
      </x:c>
      <x:c r="G192" s="5"/>
      <x:c r="H192" s="11"/>
      <x:c r="I192" s="11" t="n">
        <x:f>'Cycles &amp; Guide'!$C$11-21</x:f>
        <x:v>46092</x:v>
      </x:c>
      <x:c r="J192" s="11"/>
      <x:c r="K192" s="29"/>
      <x:c r="L192" s="2" t="str">
        <x:f>IF(O192=1,"Complete",IF(A192,"Checklist open",IF(H192&lt;&gt;"","In progress","Not started")))</x:f>
        <x:v>Not started</x:v>
      </x:c>
      <x:c r="M192" s="2" t="str">
        <x:v>Task</x:v>
      </x:c>
      <x:c r="N192" s="2" t="str">
        <x:v>DR.AU.1.1.2026.CY2</x:v>
      </x:c>
      <x:c r="O192" s="2" t="n">
        <x:f>R192</x:f>
        <x:v>0</x:v>
      </x:c>
      <x:c r="P192" s="2"/>
      <x:c r="Q192" s="2" t="n">
        <x:v>1</x:v>
      </x:c>
      <x:c r="R192" s="2" t="n">
        <x:f>IF(A192,1,0)</x:f>
        <x:v>0</x:v>
      </x:c>
      <x:c r="S192" s="2" t="n">
        <x:f>SUBTOTAL(103,N192)</x:f>
        <x:v>1</x:v>
      </x:c>
    </x:row>
    <x:row r="193" ht="42" customHeight="1">
      <x:c r="A193" s="28" t="b">
        <x:v>0</x:v>
      </x:c>
      <x:c r="B193" s="2" t="str">
        <x:v>Cycle 2</x:v>
      </x:c>
      <x:c r="C193" s="2" t="str">
        <x:v>Phase 1</x:v>
      </x:c>
      <x:c r="D193" s="2" t="str">
        <x:v>Auto</x:v>
      </x:c>
      <x:c r="E193" s="56" t="str">
        <x:v>DR.AU.1.2</x:v>
      </x:c>
      <x:c r="F193" s="14" t="str">
        <x:v>Identify two potential topics for the upcoming Cycle</x:v>
      </x:c>
      <x:c r="G193" s="5"/>
      <x:c r="H193" s="11"/>
      <x:c r="I193" s="11" t="n">
        <x:f>'Cycles &amp; Guide'!$D$11</x:f>
        <x:v>46203</x:v>
      </x:c>
      <x:c r="J193" s="11"/>
      <x:c r="K193" s="29"/>
      <x:c r="L193" s="2" t="str">
        <x:f>IF(O193=1,"Complete",IF(A193,"Checklist open",IF(H193&lt;&gt;"","In progress","Not started")))</x:f>
        <x:v>Not started</x:v>
      </x:c>
      <x:c r="M193" s="2" t="str">
        <x:v>Task</x:v>
      </x:c>
      <x:c r="N193" s="2" t="str">
        <x:v>DR.AU.1.2.2026.CY2</x:v>
      </x:c>
      <x:c r="O193" s="2" t="n">
        <x:f>R193</x:f>
        <x:v>0</x:v>
      </x:c>
      <x:c r="P193" s="2"/>
      <x:c r="Q193" s="2" t="n">
        <x:v>1</x:v>
      </x:c>
      <x:c r="R193" s="2" t="n">
        <x:f>IF(A193,1,0)</x:f>
        <x:v>0</x:v>
      </x:c>
      <x:c r="S193" s="2" t="n">
        <x:f>SUBTOTAL(103,N193)</x:f>
        <x:v>1</x:v>
      </x:c>
    </x:row>
    <x:row r="194" ht="42" customHeight="1">
      <x:c r="A194" s="28" t="b">
        <x:v>0</x:v>
      </x:c>
      <x:c r="B194" s="2" t="str">
        <x:v>Cycle 2</x:v>
      </x:c>
      <x:c r="C194" s="2" t="str">
        <x:v>Phase 1</x:v>
      </x:c>
      <x:c r="D194" s="2" t="str">
        <x:v>Auto</x:v>
      </x:c>
      <x:c r="E194" s="68" t="str">
        <x:v>DR.AU.1.3</x:v>
      </x:c>
      <x:c r="F194" s="33" t="str">
        <x:v>Extract data for both potential topics, ensuring all checklist items below are included/completed</x:v>
      </x:c>
      <x:c r="G194" s="5"/>
      <x:c r="H194" s="11"/>
      <x:c r="I194" s="11" t="n">
        <x:f>'Cycles &amp; Guide'!$D$11</x:f>
        <x:v>46203</x:v>
      </x:c>
      <x:c r="J194" s="11"/>
      <x:c r="K194" s="29"/>
      <x:c r="L194" s="2" t="str">
        <x:f>IF(O194=1,"Complete",IF(A194,"Checklist open",IF(H194&lt;&gt;"","In progress","Not started")))</x:f>
        <x:v>Not started</x:v>
      </x:c>
      <x:c r="M194" s="2" t="str">
        <x:v>Task</x:v>
      </x:c>
      <x:c r="N194" s="2" t="str">
        <x:v>DR.AU.1.3.2026.CY2</x:v>
      </x:c>
      <x:c r="O194" s="2" t="n">
        <x:f>IF(A194,IF(SUMIFS($R$10:$R$737,$P$10:$P$737,N194)=13,1,0),0)</x:f>
        <x:v>0</x:v>
      </x:c>
      <x:c r="P194" s="2"/>
      <x:c r="Q194" s="2" t="n">
        <x:v>1</x:v>
      </x:c>
      <x:c r="R194" s="2" t="n">
        <x:f>IF(A194,1,0)</x:f>
        <x:v>0</x:v>
      </x:c>
      <x:c r="S194" s="2" t="n">
        <x:f>SUBTOTAL(103,N194)</x:f>
        <x:v>1</x:v>
      </x:c>
    </x:row>
    <x:row r="195" ht="31" customHeight="1" outlineLevel="1">
      <x:c r="A195" s="28" t="b">
        <x:v>0</x:v>
      </x:c>
      <x:c r="B195" s="36" t="str">
        <x:v>Cycle 2</x:v>
      </x:c>
      <x:c r="C195" s="36" t="str">
        <x:v>Phase 1</x:v>
      </x:c>
      <x:c r="D195" s="36" t="str">
        <x:v>Auto</x:v>
      </x:c>
      <x:c r="E195" s="69" t="str">
        <x:v>DR.AU.1.3.C01</x:v>
      </x:c>
      <x:c r="F195" s="37" t="str">
        <x:v>    Document date range extracted</x:v>
      </x:c>
      <x:c r="G195" s="5"/>
      <x:c r="H195" s="11"/>
      <x:c r="I195" s="11"/>
      <x:c r="J195" s="11"/>
      <x:c r="K195" s="29"/>
      <x:c r="L195" s="2" t="str">
        <x:f>IF(A195,"Complete","Open check")</x:f>
        <x:v>Open check</x:v>
      </x:c>
      <x:c r="M195" s="2" t="str">
        <x:v>Checklist</x:v>
      </x:c>
      <x:c r="N195" s="2" t="str">
        <x:v>DR.AU.1.3.C01.2026.CY2</x:v>
      </x:c>
      <x:c r="O195" s="2" t="n">
        <x:f>R195</x:f>
        <x:v>0</x:v>
      </x:c>
      <x:c r="P195" s="2" t="str">
        <x:v>DR.AU.1.3.2026.CY2</x:v>
      </x:c>
      <x:c r="Q195" s="2" t="n">
        <x:v>0</x:v>
      </x:c>
      <x:c r="R195" s="2" t="n">
        <x:f>IF(A195,1,0)</x:f>
        <x:v>0</x:v>
      </x:c>
      <x:c r="S195" s="2" t="n">
        <x:f>SUBTOTAL(103,N195)</x:f>
        <x:v>1</x:v>
      </x:c>
    </x:row>
    <x:row r="196" ht="31" customHeight="1" outlineLevel="1">
      <x:c r="A196" s="28" t="b">
        <x:v>0</x:v>
      </x:c>
      <x:c r="B196" s="36" t="str">
        <x:v>Cycle 2</x:v>
      </x:c>
      <x:c r="C196" s="36" t="str">
        <x:v>Phase 1</x:v>
      </x:c>
      <x:c r="D196" s="36" t="str">
        <x:v>Auto</x:v>
      </x:c>
      <x:c r="E196" s="69" t="str">
        <x:v>DR.AU.1.3.C02</x:v>
      </x:c>
      <x:c r="F196" s="37" t="str">
        <x:v>    Document date of data pull</x:v>
      </x:c>
      <x:c r="G196" s="5"/>
      <x:c r="H196" s="11"/>
      <x:c r="I196" s="11"/>
      <x:c r="J196" s="11"/>
      <x:c r="K196" s="29"/>
      <x:c r="L196" s="2" t="str">
        <x:f>IF(A196,"Complete","Open check")</x:f>
        <x:v>Open check</x:v>
      </x:c>
      <x:c r="M196" s="2" t="str">
        <x:v>Checklist</x:v>
      </x:c>
      <x:c r="N196" s="2" t="str">
        <x:v>DR.AU.1.3.C02.2026.CY2</x:v>
      </x:c>
      <x:c r="O196" s="2" t="n">
        <x:f>R196</x:f>
        <x:v>0</x:v>
      </x:c>
      <x:c r="P196" s="2" t="str">
        <x:v>DR.AU.1.3.2026.CY2</x:v>
      </x:c>
      <x:c r="Q196" s="2" t="n">
        <x:v>0</x:v>
      </x:c>
      <x:c r="R196" s="2" t="n">
        <x:f>IF(A196,1,0)</x:f>
        <x:v>0</x:v>
      </x:c>
      <x:c r="S196" s="2" t="n">
        <x:f>SUBTOTAL(103,N196)</x:f>
        <x:v>1</x:v>
      </x:c>
    </x:row>
    <x:row r="197" ht="31" customHeight="1" outlineLevel="1">
      <x:c r="A197" s="28" t="b">
        <x:v>0</x:v>
      </x:c>
      <x:c r="B197" s="36" t="str">
        <x:v>Cycle 2</x:v>
      </x:c>
      <x:c r="C197" s="36" t="str">
        <x:v>Phase 1</x:v>
      </x:c>
      <x:c r="D197" s="36" t="str">
        <x:v>Auto</x:v>
      </x:c>
      <x:c r="E197" s="69" t="str">
        <x:v>DR.AU.1.3.C03</x:v>
      </x:c>
      <x:c r="F197" s="37" t="str">
        <x:v>    Document population details</x:v>
      </x:c>
      <x:c r="G197" s="5"/>
      <x:c r="H197" s="11"/>
      <x:c r="I197" s="11"/>
      <x:c r="J197" s="11"/>
      <x:c r="K197" s="29"/>
      <x:c r="L197" s="2" t="str">
        <x:f>IF(A197,"Complete","Open check")</x:f>
        <x:v>Open check</x:v>
      </x:c>
      <x:c r="M197" s="2" t="str">
        <x:v>Checklist</x:v>
      </x:c>
      <x:c r="N197" s="2" t="str">
        <x:v>DR.AU.1.3.C03.2026.CY2</x:v>
      </x:c>
      <x:c r="O197" s="2" t="n">
        <x:f>R197</x:f>
        <x:v>0</x:v>
      </x:c>
      <x:c r="P197" s="2" t="str">
        <x:v>DR.AU.1.3.2026.CY2</x:v>
      </x:c>
      <x:c r="Q197" s="2" t="n">
        <x:v>0</x:v>
      </x:c>
      <x:c r="R197" s="2" t="n">
        <x:f>IF(A197,1,0)</x:f>
        <x:v>0</x:v>
      </x:c>
      <x:c r="S197" s="2" t="n">
        <x:f>SUBTOTAL(103,N197)</x:f>
        <x:v>1</x:v>
      </x:c>
    </x:row>
    <x:row r="198" ht="31" customHeight="1" outlineLevel="1">
      <x:c r="A198" s="28" t="b">
        <x:v>0</x:v>
      </x:c>
      <x:c r="B198" s="36" t="str">
        <x:v>Cycle 2</x:v>
      </x:c>
      <x:c r="C198" s="36" t="str">
        <x:v>Phase 1</x:v>
      </x:c>
      <x:c r="D198" s="36" t="str">
        <x:v>Auto</x:v>
      </x:c>
      <x:c r="E198" s="69" t="str">
        <x:v>DR.AU.1.3.C04</x:v>
      </x:c>
      <x:c r="F198" s="37" t="str">
        <x:v>    Validate no data is missing</x:v>
      </x:c>
      <x:c r="G198" s="5"/>
      <x:c r="H198" s="11"/>
      <x:c r="I198" s="11"/>
      <x:c r="J198" s="11"/>
      <x:c r="K198" s="29"/>
      <x:c r="L198" s="2" t="str">
        <x:f>IF(A198,"Complete","Open check")</x:f>
        <x:v>Open check</x:v>
      </x:c>
      <x:c r="M198" s="2" t="str">
        <x:v>Checklist</x:v>
      </x:c>
      <x:c r="N198" s="2" t="str">
        <x:v>DR.AU.1.3.C04.2026.CY2</x:v>
      </x:c>
      <x:c r="O198" s="2" t="n">
        <x:f>R198</x:f>
        <x:v>0</x:v>
      </x:c>
      <x:c r="P198" s="2" t="str">
        <x:v>DR.AU.1.3.2026.CY2</x:v>
      </x:c>
      <x:c r="Q198" s="2" t="n">
        <x:v>0</x:v>
      </x:c>
      <x:c r="R198" s="2" t="n">
        <x:f>IF(A198,1,0)</x:f>
        <x:v>0</x:v>
      </x:c>
      <x:c r="S198" s="2" t="n">
        <x:f>SUBTOTAL(103,N198)</x:f>
        <x:v>1</x:v>
      </x:c>
    </x:row>
    <x:row r="199" ht="31" customHeight="1" outlineLevel="1">
      <x:c r="A199" s="28" t="b">
        <x:v>0</x:v>
      </x:c>
      <x:c r="B199" s="36" t="str">
        <x:v>Cycle 2</x:v>
      </x:c>
      <x:c r="C199" s="36" t="str">
        <x:v>Phase 1</x:v>
      </x:c>
      <x:c r="D199" s="36" t="str">
        <x:v>Auto</x:v>
      </x:c>
      <x:c r="E199" s="69" t="str">
        <x:v>DR.AU.1.3.C05</x:v>
      </x:c>
      <x:c r="F199" s="37" t="str">
        <x:v>    Validate accuracy of data</x:v>
      </x:c>
      <x:c r="G199" s="5"/>
      <x:c r="H199" s="11"/>
      <x:c r="I199" s="11"/>
      <x:c r="J199" s="11"/>
      <x:c r="K199" s="29"/>
      <x:c r="L199" s="2" t="str">
        <x:f>IF(A199,"Complete","Open check")</x:f>
        <x:v>Open check</x:v>
      </x:c>
      <x:c r="M199" s="2" t="str">
        <x:v>Checklist</x:v>
      </x:c>
      <x:c r="N199" s="2" t="str">
        <x:v>DR.AU.1.3.C05.2026.CY2</x:v>
      </x:c>
      <x:c r="O199" s="2" t="n">
        <x:f>R199</x:f>
        <x:v>0</x:v>
      </x:c>
      <x:c r="P199" s="2" t="str">
        <x:v>DR.AU.1.3.2026.CY2</x:v>
      </x:c>
      <x:c r="Q199" s="2" t="n">
        <x:v>0</x:v>
      </x:c>
      <x:c r="R199" s="2" t="n">
        <x:f>IF(A199,1,0)</x:f>
        <x:v>0</x:v>
      </x:c>
      <x:c r="S199" s="2" t="n">
        <x:f>SUBTOTAL(103,N199)</x:f>
        <x:v>1</x:v>
      </x:c>
    </x:row>
    <x:row r="200" ht="31" customHeight="1" outlineLevel="1">
      <x:c r="A200" s="28" t="b">
        <x:v>0</x:v>
      </x:c>
      <x:c r="B200" s="36" t="str">
        <x:v>Cycle 2</x:v>
      </x:c>
      <x:c r="C200" s="36" t="str">
        <x:v>Phase 1</x:v>
      </x:c>
      <x:c r="D200" s="36" t="str">
        <x:v>Auto</x:v>
      </x:c>
      <x:c r="E200" s="69" t="str">
        <x:v>DR.AU.1.3.C06</x:v>
      </x:c>
      <x:c r="F200" s="37" t="str">
        <x:v>    Validate no duplicate data is provided</x:v>
      </x:c>
      <x:c r="G200" s="5"/>
      <x:c r="H200" s="11"/>
      <x:c r="I200" s="11"/>
      <x:c r="J200" s="11"/>
      <x:c r="K200" s="29"/>
      <x:c r="L200" s="2" t="str">
        <x:f>IF(A200,"Complete","Open check")</x:f>
        <x:v>Open check</x:v>
      </x:c>
      <x:c r="M200" s="2" t="str">
        <x:v>Checklist</x:v>
      </x:c>
      <x:c r="N200" s="2" t="str">
        <x:v>DR.AU.1.3.C06.2026.CY2</x:v>
      </x:c>
      <x:c r="O200" s="2" t="n">
        <x:f>R200</x:f>
        <x:v>0</x:v>
      </x:c>
      <x:c r="P200" s="2" t="str">
        <x:v>DR.AU.1.3.2026.CY2</x:v>
      </x:c>
      <x:c r="Q200" s="2" t="n">
        <x:v>0</x:v>
      </x:c>
      <x:c r="R200" s="2" t="n">
        <x:f>IF(A200,1,0)</x:f>
        <x:v>0</x:v>
      </x:c>
      <x:c r="S200" s="2" t="n">
        <x:f>SUBTOTAL(103,N200)</x:f>
        <x:v>1</x:v>
      </x:c>
    </x:row>
    <x:row r="201" ht="31" customHeight="1" outlineLevel="1">
      <x:c r="A201" s="28" t="b">
        <x:v>0</x:v>
      </x:c>
      <x:c r="B201" s="36" t="str">
        <x:v>Cycle 2</x:v>
      </x:c>
      <x:c r="C201" s="36" t="str">
        <x:v>Phase 1</x:v>
      </x:c>
      <x:c r="D201" s="36" t="str">
        <x:v>Auto</x:v>
      </x:c>
      <x:c r="E201" s="69" t="str">
        <x:v>DR.AU.1.3.C07</x:v>
      </x:c>
      <x:c r="F201" s="37" t="str">
        <x:v>    Document any data exclusions along with justification (as needed)</x:v>
      </x:c>
      <x:c r="G201" s="5"/>
      <x:c r="H201" s="11"/>
      <x:c r="I201" s="11"/>
      <x:c r="J201" s="11"/>
      <x:c r="K201" s="29"/>
      <x:c r="L201" s="2" t="str">
        <x:f>IF(A201,"Complete","Open check")</x:f>
        <x:v>Open check</x:v>
      </x:c>
      <x:c r="M201" s="2" t="str">
        <x:v>Checklist</x:v>
      </x:c>
      <x:c r="N201" s="2" t="str">
        <x:v>DR.AU.1.3.C07.2026.CY2</x:v>
      </x:c>
      <x:c r="O201" s="2" t="n">
        <x:f>R201</x:f>
        <x:v>0</x:v>
      </x:c>
      <x:c r="P201" s="2" t="str">
        <x:v>DR.AU.1.3.2026.CY2</x:v>
      </x:c>
      <x:c r="Q201" s="2" t="n">
        <x:v>0</x:v>
      </x:c>
      <x:c r="R201" s="2" t="n">
        <x:f>IF(A201,1,0)</x:f>
        <x:v>0</x:v>
      </x:c>
      <x:c r="S201" s="2" t="n">
        <x:f>SUBTOTAL(103,N201)</x:f>
        <x:v>1</x:v>
      </x:c>
    </x:row>
    <x:row r="202" ht="31" customHeight="1" outlineLevel="1">
      <x:c r="A202" s="28" t="b">
        <x:v>0</x:v>
      </x:c>
      <x:c r="B202" s="36" t="str">
        <x:v>Cycle 2</x:v>
      </x:c>
      <x:c r="C202" s="36" t="str">
        <x:v>Phase 1</x:v>
      </x:c>
      <x:c r="D202" s="36" t="str">
        <x:v>Auto</x:v>
      </x:c>
      <x:c r="E202" s="69" t="str">
        <x:v>DR.AU.1.3.C08</x:v>
      </x:c>
      <x:c r="F202" s="37" t="str">
        <x:v>    Document any assumptions made with the data (as needed)</x:v>
      </x:c>
      <x:c r="G202" s="5"/>
      <x:c r="H202" s="11"/>
      <x:c r="I202" s="11"/>
      <x:c r="J202" s="11"/>
      <x:c r="K202" s="29"/>
      <x:c r="L202" s="2" t="str">
        <x:f>IF(A202,"Complete","Open check")</x:f>
        <x:v>Open check</x:v>
      </x:c>
      <x:c r="M202" s="2" t="str">
        <x:v>Checklist</x:v>
      </x:c>
      <x:c r="N202" s="2" t="str">
        <x:v>DR.AU.1.3.C08.2026.CY2</x:v>
      </x:c>
      <x:c r="O202" s="2" t="n">
        <x:f>R202</x:f>
        <x:v>0</x:v>
      </x:c>
      <x:c r="P202" s="2" t="str">
        <x:v>DR.AU.1.3.2026.CY2</x:v>
      </x:c>
      <x:c r="Q202" s="2" t="n">
        <x:v>0</x:v>
      </x:c>
      <x:c r="R202" s="2" t="n">
        <x:f>IF(A202,1,0)</x:f>
        <x:v>0</x:v>
      </x:c>
      <x:c r="S202" s="2" t="n">
        <x:f>SUBTOTAL(103,N202)</x:f>
        <x:v>1</x:v>
      </x:c>
    </x:row>
    <x:row r="203" ht="31" customHeight="1" outlineLevel="1">
      <x:c r="A203" s="28" t="b">
        <x:v>0</x:v>
      </x:c>
      <x:c r="B203" s="36" t="str">
        <x:v>Cycle 2</x:v>
      </x:c>
      <x:c r="C203" s="36" t="str">
        <x:v>Phase 1</x:v>
      </x:c>
      <x:c r="D203" s="36" t="str">
        <x:v>Auto</x:v>
      </x:c>
      <x:c r="E203" s="69" t="str">
        <x:v>DR.AU.1.3.C09</x:v>
      </x:c>
      <x:c r="F203" s="37" t="str">
        <x:v>    Document any data limitations or constraints clearly (as needed)</x:v>
      </x:c>
      <x:c r="G203" s="5"/>
      <x:c r="H203" s="11"/>
      <x:c r="I203" s="11"/>
      <x:c r="J203" s="11"/>
      <x:c r="K203" s="29"/>
      <x:c r="L203" s="2" t="str">
        <x:f>IF(A203,"Complete","Open check")</x:f>
        <x:v>Open check</x:v>
      </x:c>
      <x:c r="M203" s="2" t="str">
        <x:v>Checklist</x:v>
      </x:c>
      <x:c r="N203" s="2" t="str">
        <x:v>DR.AU.1.3.C09.2026.CY2</x:v>
      </x:c>
      <x:c r="O203" s="2" t="n">
        <x:f>R203</x:f>
        <x:v>0</x:v>
      </x:c>
      <x:c r="P203" s="2" t="str">
        <x:v>DR.AU.1.3.2026.CY2</x:v>
      </x:c>
      <x:c r="Q203" s="2" t="n">
        <x:v>0</x:v>
      </x:c>
      <x:c r="R203" s="2" t="n">
        <x:f>IF(A203,1,0)</x:f>
        <x:v>0</x:v>
      </x:c>
      <x:c r="S203" s="2" t="n">
        <x:f>SUBTOTAL(103,N203)</x:f>
        <x:v>1</x:v>
      </x:c>
    </x:row>
    <x:row r="204" ht="31" customHeight="1" outlineLevel="1">
      <x:c r="A204" s="28" t="b">
        <x:v>0</x:v>
      </x:c>
      <x:c r="B204" s="36" t="str">
        <x:v>Cycle 2</x:v>
      </x:c>
      <x:c r="C204" s="36" t="str">
        <x:v>Phase 1</x:v>
      </x:c>
      <x:c r="D204" s="36" t="str">
        <x:v>Auto</x:v>
      </x:c>
      <x:c r="E204" s="69" t="str">
        <x:v>DR.AU.1.3.C10</x:v>
      </x:c>
      <x:c r="F204" s="37" t="str">
        <x:v>    Document data dictionary or field definitions for columns/rows</x:v>
      </x:c>
      <x:c r="G204" s="5"/>
      <x:c r="H204" s="11"/>
      <x:c r="I204" s="11"/>
      <x:c r="J204" s="11"/>
      <x:c r="K204" s="29"/>
      <x:c r="L204" s="2" t="str">
        <x:f>IF(A204,"Complete","Open check")</x:f>
        <x:v>Open check</x:v>
      </x:c>
      <x:c r="M204" s="2" t="str">
        <x:v>Checklist</x:v>
      </x:c>
      <x:c r="N204" s="2" t="str">
        <x:v>DR.AU.1.3.C10.2026.CY2</x:v>
      </x:c>
      <x:c r="O204" s="2" t="n">
        <x:f>R204</x:f>
        <x:v>0</x:v>
      </x:c>
      <x:c r="P204" s="2" t="str">
        <x:v>DR.AU.1.3.2026.CY2</x:v>
      </x:c>
      <x:c r="Q204" s="2" t="n">
        <x:v>0</x:v>
      </x:c>
      <x:c r="R204" s="2" t="n">
        <x:f>IF(A204,1,0)</x:f>
        <x:v>0</x:v>
      </x:c>
      <x:c r="S204" s="2" t="n">
        <x:f>SUBTOTAL(103,N204)</x:f>
        <x:v>1</x:v>
      </x:c>
    </x:row>
    <x:row r="205" ht="31" customHeight="1" outlineLevel="1">
      <x:c r="A205" s="28" t="b">
        <x:v>0</x:v>
      </x:c>
      <x:c r="B205" s="36" t="str">
        <x:v>Cycle 2</x:v>
      </x:c>
      <x:c r="C205" s="36" t="str">
        <x:v>Phase 1</x:v>
      </x:c>
      <x:c r="D205" s="36" t="str">
        <x:v>Auto</x:v>
      </x:c>
      <x:c r="E205" s="69" t="str">
        <x:v>DR.AU.1.3.C11</x:v>
      </x:c>
      <x:c r="F205" s="37" t="str">
        <x:v>    Document emerging trends, patterns, or concentrations along with supporting data</x:v>
      </x:c>
      <x:c r="G205" s="5"/>
      <x:c r="H205" s="11"/>
      <x:c r="I205" s="11"/>
      <x:c r="J205" s="11"/>
      <x:c r="K205" s="29"/>
      <x:c r="L205" s="2" t="str">
        <x:f>IF(A205,"Complete","Open check")</x:f>
        <x:v>Open check</x:v>
      </x:c>
      <x:c r="M205" s="2" t="str">
        <x:v>Checklist</x:v>
      </x:c>
      <x:c r="N205" s="2" t="str">
        <x:v>DR.AU.1.3.C11.2026.CY2</x:v>
      </x:c>
      <x:c r="O205" s="2" t="n">
        <x:f>R205</x:f>
        <x:v>0</x:v>
      </x:c>
      <x:c r="P205" s="2" t="str">
        <x:v>DR.AU.1.3.2026.CY2</x:v>
      </x:c>
      <x:c r="Q205" s="2" t="n">
        <x:v>0</x:v>
      </x:c>
      <x:c r="R205" s="2" t="n">
        <x:f>IF(A205,1,0)</x:f>
        <x:v>0</x:v>
      </x:c>
      <x:c r="S205" s="2" t="n">
        <x:f>SUBTOTAL(103,N205)</x:f>
        <x:v>1</x:v>
      </x:c>
    </x:row>
    <x:row r="206" ht="31" customHeight="1" outlineLevel="1">
      <x:c r="A206" s="28" t="b">
        <x:v>0</x:v>
      </x:c>
      <x:c r="B206" s="36" t="str">
        <x:v>Cycle 2</x:v>
      </x:c>
      <x:c r="C206" s="36" t="str">
        <x:v>Phase 1</x:v>
      </x:c>
      <x:c r="D206" s="36" t="str">
        <x:v>Auto</x:v>
      </x:c>
      <x:c r="E206" s="69" t="str">
        <x:v>DR.AU.1.3.C12</x:v>
      </x:c>
      <x:c r="F206" s="37" t="str">
        <x:v>    Document any severe spikes in volume along with context (as needed)</x:v>
      </x:c>
      <x:c r="G206" s="5"/>
      <x:c r="H206" s="11"/>
      <x:c r="I206" s="11"/>
      <x:c r="J206" s="11"/>
      <x:c r="K206" s="29"/>
      <x:c r="L206" s="2" t="str">
        <x:f>IF(A206,"Complete","Open check")</x:f>
        <x:v>Open check</x:v>
      </x:c>
      <x:c r="M206" s="2" t="str">
        <x:v>Checklist</x:v>
      </x:c>
      <x:c r="N206" s="2" t="str">
        <x:v>DR.AU.1.3.C12.2026.CY2</x:v>
      </x:c>
      <x:c r="O206" s="2" t="n">
        <x:f>R206</x:f>
        <x:v>0</x:v>
      </x:c>
      <x:c r="P206" s="2" t="str">
        <x:v>DR.AU.1.3.2026.CY2</x:v>
      </x:c>
      <x:c r="Q206" s="2" t="n">
        <x:v>0</x:v>
      </x:c>
      <x:c r="R206" s="2" t="n">
        <x:f>IF(A206,1,0)</x:f>
        <x:v>0</x:v>
      </x:c>
      <x:c r="S206" s="2" t="n">
        <x:f>SUBTOTAL(103,N206)</x:f>
        <x:v>1</x:v>
      </x:c>
    </x:row>
    <x:row r="207" ht="31" customHeight="1" outlineLevel="1">
      <x:c r="A207" s="28" t="b">
        <x:v>0</x:v>
      </x:c>
      <x:c r="B207" s="36" t="str">
        <x:v>Cycle 2</x:v>
      </x:c>
      <x:c r="C207" s="36" t="str">
        <x:v>Phase 1</x:v>
      </x:c>
      <x:c r="D207" s="36" t="str">
        <x:v>Auto</x:v>
      </x:c>
      <x:c r="E207" s="69" t="str">
        <x:v>DR.AU.1.3.C13</x:v>
      </x:c>
      <x:c r="F207" s="37" t="str">
        <x:v>    Document clear summary explaining how the data connects to the potential topic</x:v>
      </x:c>
      <x:c r="G207" s="5"/>
      <x:c r="H207" s="11"/>
      <x:c r="I207" s="11"/>
      <x:c r="J207" s="11"/>
      <x:c r="K207" s="29"/>
      <x:c r="L207" s="2" t="str">
        <x:f>IF(A207,"Complete","Open check")</x:f>
        <x:v>Open check</x:v>
      </x:c>
      <x:c r="M207" s="2" t="str">
        <x:v>Checklist</x:v>
      </x:c>
      <x:c r="N207" s="2" t="str">
        <x:v>DR.AU.1.3.C13.2026.CY2</x:v>
      </x:c>
      <x:c r="O207" s="2" t="n">
        <x:f>R207</x:f>
        <x:v>0</x:v>
      </x:c>
      <x:c r="P207" s="2" t="str">
        <x:v>DR.AU.1.3.2026.CY2</x:v>
      </x:c>
      <x:c r="Q207" s="2" t="n">
        <x:v>0</x:v>
      </x:c>
      <x:c r="R207" s="2" t="n">
        <x:f>IF(A207,1,0)</x:f>
        <x:v>0</x:v>
      </x:c>
      <x:c r="S207" s="2" t="n">
        <x:f>SUBTOTAL(103,N207)</x:f>
        <x:v>1</x:v>
      </x:c>
    </x:row>
    <x:row r="208" ht="42" customHeight="1">
      <x:c r="A208" s="28" t="b">
        <x:v>0</x:v>
      </x:c>
      <x:c r="B208" s="2" t="str">
        <x:v>Cycle 2</x:v>
      </x:c>
      <x:c r="C208" s="2" t="str">
        <x:v>Phase 2</x:v>
      </x:c>
      <x:c r="D208" s="2" t="str">
        <x:v>Auto</x:v>
      </x:c>
      <x:c r="E208" s="56" t="str">
        <x:v>DR.AU.2.1</x:v>
      </x:c>
      <x:c r="F208" s="14" t="str">
        <x:v>Ensure data is clean, structured, and usable without manipulation needed</x:v>
      </x:c>
      <x:c r="G208" s="5"/>
      <x:c r="H208" s="11"/>
      <x:c r="I208" s="11" t="n">
        <x:f>'Cycles &amp; Guide'!$D$11</x:f>
        <x:v>46203</x:v>
      </x:c>
      <x:c r="J208" s="11"/>
      <x:c r="K208" s="29"/>
      <x:c r="L208" s="2" t="str">
        <x:f>IF(O208=1,"Complete",IF(A208,"Checklist open",IF(H208&lt;&gt;"","In progress","Not started")))</x:f>
        <x:v>Not started</x:v>
      </x:c>
      <x:c r="M208" s="2" t="str">
        <x:v>Task</x:v>
      </x:c>
      <x:c r="N208" s="2" t="str">
        <x:v>DR.AU.2.1.2026.CY2</x:v>
      </x:c>
      <x:c r="O208" s="2" t="n">
        <x:f>R208</x:f>
        <x:v>0</x:v>
      </x:c>
      <x:c r="P208" s="2"/>
      <x:c r="Q208" s="2" t="n">
        <x:v>1</x:v>
      </x:c>
      <x:c r="R208" s="2" t="n">
        <x:f>IF(A208,1,0)</x:f>
        <x:v>0</x:v>
      </x:c>
      <x:c r="S208" s="2" t="n">
        <x:f>SUBTOTAL(103,N208)</x:f>
        <x:v>1</x:v>
      </x:c>
    </x:row>
    <x:row r="209" ht="42" customHeight="1">
      <x:c r="A209" s="28" t="b">
        <x:v>0</x:v>
      </x:c>
      <x:c r="B209" s="2" t="str">
        <x:v>Cycle 2</x:v>
      </x:c>
      <x:c r="C209" s="2" t="str">
        <x:v>Phase 2</x:v>
      </x:c>
      <x:c r="D209" s="2" t="str">
        <x:v>Auto</x:v>
      </x:c>
      <x:c r="E209" s="56" t="str">
        <x:v>DR.AU.2.2</x:v>
      </x:c>
      <x:c r="F209" s="14" t="str">
        <x:v>Clearly document rationale for each topic recommendation within the SharePoint list</x:v>
      </x:c>
      <x:c r="G209" s="5"/>
      <x:c r="H209" s="11"/>
      <x:c r="I209" s="11" t="n">
        <x:f>'Cycles &amp; Guide'!$D$11</x:f>
        <x:v>46203</x:v>
      </x:c>
      <x:c r="J209" s="11"/>
      <x:c r="K209" s="29"/>
      <x:c r="L209" s="2" t="str">
        <x:f>IF(O209=1,"Complete",IF(A209,"Checklist open",IF(H209&lt;&gt;"","In progress","Not started")))</x:f>
        <x:v>Not started</x:v>
      </x:c>
      <x:c r="M209" s="2" t="str">
        <x:v>Task</x:v>
      </x:c>
      <x:c r="N209" s="2" t="str">
        <x:v>DR.AU.2.2.2026.CY2</x:v>
      </x:c>
      <x:c r="O209" s="2" t="n">
        <x:f>R209</x:f>
        <x:v>0</x:v>
      </x:c>
      <x:c r="P209" s="2"/>
      <x:c r="Q209" s="2" t="n">
        <x:v>1</x:v>
      </x:c>
      <x:c r="R209" s="2" t="n">
        <x:f>IF(A209,1,0)</x:f>
        <x:v>0</x:v>
      </x:c>
      <x:c r="S209" s="2" t="n">
        <x:f>SUBTOTAL(103,N209)</x:f>
        <x:v>1</x:v>
      </x:c>
    </x:row>
    <x:row r="210" ht="42" customHeight="1">
      <x:c r="A210" s="28" t="b">
        <x:v>0</x:v>
      </x:c>
      <x:c r="B210" s="2" t="str">
        <x:v>Cycle 2</x:v>
      </x:c>
      <x:c r="C210" s="2" t="str">
        <x:v>Phase 2</x:v>
      </x:c>
      <x:c r="D210" s="2" t="str">
        <x:v>Auto</x:v>
      </x:c>
      <x:c r="E210" s="56" t="str">
        <x:v>DR.AU.2.3</x:v>
      </x:c>
      <x:c r="F210" s="14" t="str">
        <x:v>Verify topic is eligible for RCA and does not conflict with Attorney Client Privilege</x:v>
      </x:c>
      <x:c r="G210" s="5"/>
      <x:c r="H210" s="11"/>
      <x:c r="I210" s="11" t="n">
        <x:f>'Cycles &amp; Guide'!$D$11</x:f>
        <x:v>46203</x:v>
      </x:c>
      <x:c r="J210" s="11"/>
      <x:c r="K210" s="29"/>
      <x:c r="L210" s="2" t="str">
        <x:f>IF(O210=1,"Complete",IF(A210,"Checklist open",IF(H210&lt;&gt;"","In progress","Not started")))</x:f>
        <x:v>Not started</x:v>
      </x:c>
      <x:c r="M210" s="2" t="str">
        <x:v>Task</x:v>
      </x:c>
      <x:c r="N210" s="2" t="str">
        <x:v>DR.AU.2.3.2026.CY2</x:v>
      </x:c>
      <x:c r="O210" s="2" t="n">
        <x:f>R210</x:f>
        <x:v>0</x:v>
      </x:c>
      <x:c r="P210" s="2"/>
      <x:c r="Q210" s="2" t="n">
        <x:v>1</x:v>
      </x:c>
      <x:c r="R210" s="2" t="n">
        <x:f>IF(A210,1,0)</x:f>
        <x:v>0</x:v>
      </x:c>
      <x:c r="S210" s="2" t="n">
        <x:f>SUBTOTAL(103,N210)</x:f>
        <x:v>1</x:v>
      </x:c>
    </x:row>
    <x:row r="211" ht="42" customHeight="1">
      <x:c r="A211" s="28" t="b">
        <x:v>0</x:v>
      </x:c>
      <x:c r="B211" s="2" t="str">
        <x:v>Cycle 2</x:v>
      </x:c>
      <x:c r="C211" s="2" t="str">
        <x:v>Phase 2</x:v>
      </x:c>
      <x:c r="D211" s="2" t="str">
        <x:v>Auto</x:v>
      </x:c>
      <x:c r="E211" s="56" t="str">
        <x:v>DR.AU.2.4</x:v>
      </x:c>
      <x:c r="F211" s="14" t="str">
        <x:v>Ensure data is free of errors and anomalies prior to hand-off to Research</x:v>
      </x:c>
      <x:c r="G211" s="5"/>
      <x:c r="H211" s="11"/>
      <x:c r="I211" s="11" t="n">
        <x:f>'Cycles &amp; Guide'!$D$11</x:f>
        <x:v>46203</x:v>
      </x:c>
      <x:c r="J211" s="11"/>
      <x:c r="K211" s="29"/>
      <x:c r="L211" s="2" t="str">
        <x:f>IF(O211=1,"Complete",IF(A211,"Checklist open",IF(H211&lt;&gt;"","In progress","Not started")))</x:f>
        <x:v>Not started</x:v>
      </x:c>
      <x:c r="M211" s="2" t="str">
        <x:v>Task</x:v>
      </x:c>
      <x:c r="N211" s="2" t="str">
        <x:v>DR.AU.2.4.2026.CY2</x:v>
      </x:c>
      <x:c r="O211" s="2" t="n">
        <x:f>R211</x:f>
        <x:v>0</x:v>
      </x:c>
      <x:c r="P211" s="2"/>
      <x:c r="Q211" s="2" t="n">
        <x:v>1</x:v>
      </x:c>
      <x:c r="R211" s="2" t="n">
        <x:f>IF(A211,1,0)</x:f>
        <x:v>0</x:v>
      </x:c>
      <x:c r="S211" s="2" t="n">
        <x:f>SUBTOTAL(103,N211)</x:f>
        <x:v>1</x:v>
      </x:c>
    </x:row>
    <x:row r="212" ht="42" customHeight="1">
      <x:c r="A212" s="28" t="b">
        <x:v>0</x:v>
      </x:c>
      <x:c r="B212" s="2" t="str">
        <x:v>Cycle 2</x:v>
      </x:c>
      <x:c r="C212" s="2" t="str">
        <x:v>Phase 2</x:v>
      </x:c>
      <x:c r="D212" s="2" t="str">
        <x:v>Auto</x:v>
      </x:c>
      <x:c r="E212" s="56" t="str">
        <x:v>DR.AU.2.5</x:v>
      </x:c>
      <x:c r="F212" s="14" t="str">
        <x:v>Ensure topic is not a duplicate from a previous Cycle</x:v>
      </x:c>
      <x:c r="G212" s="5"/>
      <x:c r="H212" s="11"/>
      <x:c r="I212" s="11" t="n">
        <x:f>'Cycles &amp; Guide'!$D$11</x:f>
        <x:v>46203</x:v>
      </x:c>
      <x:c r="J212" s="11"/>
      <x:c r="K212" s="29"/>
      <x:c r="L212" s="2" t="str">
        <x:f>IF(O212=1,"Complete",IF(A212,"Checklist open",IF(H212&lt;&gt;"","In progress","Not started")))</x:f>
        <x:v>Not started</x:v>
      </x:c>
      <x:c r="M212" s="2" t="str">
        <x:v>Task</x:v>
      </x:c>
      <x:c r="N212" s="2" t="str">
        <x:v>DR.AU.2.5.2026.CY2</x:v>
      </x:c>
      <x:c r="O212" s="2" t="n">
        <x:f>R212</x:f>
        <x:v>0</x:v>
      </x:c>
      <x:c r="P212" s="2"/>
      <x:c r="Q212" s="2" t="n">
        <x:v>1</x:v>
      </x:c>
      <x:c r="R212" s="2" t="n">
        <x:f>IF(A212,1,0)</x:f>
        <x:v>0</x:v>
      </x:c>
      <x:c r="S212" s="2" t="n">
        <x:f>SUBTOTAL(103,N212)</x:f>
        <x:v>1</x:v>
      </x:c>
    </x:row>
    <x:row r="213" ht="42" customHeight="1">
      <x:c r="A213" s="28" t="b">
        <x:v>0</x:v>
      </x:c>
      <x:c r="B213" s="2" t="str">
        <x:v>Cycle 2</x:v>
      </x:c>
      <x:c r="C213" s="2" t="str">
        <x:v>Phase 2</x:v>
      </x:c>
      <x:c r="D213" s="2" t="str">
        <x:v>Auto</x:v>
      </x:c>
      <x:c r="E213" s="56" t="str">
        <x:v>DR.AU.2.6</x:v>
      </x:c>
      <x:c r="F213" s="14" t="str">
        <x:v>Document clear distinctions between facts, assumptions, and hypotheses within the data package</x:v>
      </x:c>
      <x:c r="G213" s="5"/>
      <x:c r="H213" s="11"/>
      <x:c r="I213" s="11" t="n">
        <x:f>'Cycles &amp; Guide'!$D$11</x:f>
        <x:v>46203</x:v>
      </x:c>
      <x:c r="J213" s="11"/>
      <x:c r="K213" s="29"/>
      <x:c r="L213" s="2" t="str">
        <x:f>IF(O213=1,"Complete",IF(A213,"Checklist open",IF(H213&lt;&gt;"","In progress","Not started")))</x:f>
        <x:v>Not started</x:v>
      </x:c>
      <x:c r="M213" s="2" t="str">
        <x:v>Task</x:v>
      </x:c>
      <x:c r="N213" s="2" t="str">
        <x:v>DR.AU.2.6.2026.CY2</x:v>
      </x:c>
      <x:c r="O213" s="2" t="n">
        <x:f>R213</x:f>
        <x:v>0</x:v>
      </x:c>
      <x:c r="P213" s="2"/>
      <x:c r="Q213" s="2" t="n">
        <x:v>1</x:v>
      </x:c>
      <x:c r="R213" s="2" t="n">
        <x:f>IF(A213,1,0)</x:f>
        <x:v>0</x:v>
      </x:c>
      <x:c r="S213" s="2" t="n">
        <x:f>SUBTOTAL(103,N213)</x:f>
        <x:v>1</x:v>
      </x:c>
    </x:row>
    <x:row r="214" ht="42" customHeight="1">
      <x:c r="A214" s="28" t="b">
        <x:v>0</x:v>
      </x:c>
      <x:c r="B214" s="2" t="str">
        <x:v>Cycle 2</x:v>
      </x:c>
      <x:c r="C214" s="2" t="str">
        <x:v>Phase 3</x:v>
      </x:c>
      <x:c r="D214" s="2" t="str">
        <x:v>Auto</x:v>
      </x:c>
      <x:c r="E214" s="56" t="str">
        <x:v>DR.AU.3.1</x:v>
      </x:c>
      <x:c r="F214" s="14" t="str">
        <x:v>Clearly document rationale for each topic recommendation within the SharePoint list item</x:v>
      </x:c>
      <x:c r="G214" s="5"/>
      <x:c r="H214" s="11"/>
      <x:c r="I214" s="11" t="n">
        <x:f>'Cycles &amp; Guide'!$D$11</x:f>
        <x:v>46203</x:v>
      </x:c>
      <x:c r="J214" s="11"/>
      <x:c r="K214" s="29"/>
      <x:c r="L214" s="2" t="str">
        <x:f>IF(O214=1,"Complete",IF(A214,"Checklist open",IF(H214&lt;&gt;"","In progress","Not started")))</x:f>
        <x:v>Not started</x:v>
      </x:c>
      <x:c r="M214" s="2" t="str">
        <x:v>Task</x:v>
      </x:c>
      <x:c r="N214" s="2" t="str">
        <x:v>DR.AU.3.1.2026.CY2</x:v>
      </x:c>
      <x:c r="O214" s="2" t="n">
        <x:f>R214</x:f>
        <x:v>0</x:v>
      </x:c>
      <x:c r="P214" s="2"/>
      <x:c r="Q214" s="2" t="n">
        <x:v>1</x:v>
      </x:c>
      <x:c r="R214" s="2" t="n">
        <x:f>IF(A214,1,0)</x:f>
        <x:v>0</x:v>
      </x:c>
      <x:c r="S214" s="2" t="n">
        <x:f>SUBTOTAL(103,N214)</x:f>
        <x:v>1</x:v>
      </x:c>
    </x:row>
    <x:row r="215" ht="42" customHeight="1">
      <x:c r="A215" s="28" t="b">
        <x:v>0</x:v>
      </x:c>
      <x:c r="B215" s="2" t="str">
        <x:v>Cycle 2</x:v>
      </x:c>
      <x:c r="C215" s="2" t="str">
        <x:v>Phase 3</x:v>
      </x:c>
      <x:c r="D215" s="2" t="str">
        <x:v>Auto</x:v>
      </x:c>
      <x:c r="E215" s="56" t="str">
        <x:v>DR.AU.3.2</x:v>
      </x:c>
      <x:c r="F215" s="14" t="str">
        <x:v>Attach the data package for each topic recommendation within the SharePoint list item</x:v>
      </x:c>
      <x:c r="G215" s="5"/>
      <x:c r="H215" s="11"/>
      <x:c r="I215" s="11" t="n">
        <x:f>'Cycles &amp; Guide'!$D$11</x:f>
        <x:v>46203</x:v>
      </x:c>
      <x:c r="J215" s="11"/>
      <x:c r="K215" s="29"/>
      <x:c r="L215" s="2" t="str">
        <x:f>IF(O215=1,"Complete",IF(A215,"Checklist open",IF(H215&lt;&gt;"","In progress","Not started")))</x:f>
        <x:v>Not started</x:v>
      </x:c>
      <x:c r="M215" s="2" t="str">
        <x:v>Task</x:v>
      </x:c>
      <x:c r="N215" s="2" t="str">
        <x:v>DR.AU.3.2.2026.CY2</x:v>
      </x:c>
      <x:c r="O215" s="2" t="n">
        <x:f>R215</x:f>
        <x:v>0</x:v>
      </x:c>
      <x:c r="P215" s="2"/>
      <x:c r="Q215" s="2" t="n">
        <x:v>1</x:v>
      </x:c>
      <x:c r="R215" s="2" t="n">
        <x:f>IF(A215,1,0)</x:f>
        <x:v>0</x:v>
      </x:c>
      <x:c r="S215" s="2" t="n">
        <x:f>SUBTOTAL(103,N215)</x:f>
        <x:v>1</x:v>
      </x:c>
    </x:row>
    <x:row r="216" ht="42" customHeight="1">
      <x:c r="A216" s="28" t="b">
        <x:v>0</x:v>
      </x:c>
      <x:c r="B216" s="2" t="str">
        <x:v>Cycle 2</x:v>
      </x:c>
      <x:c r="C216" s="2" t="str">
        <x:v>Phase 3</x:v>
      </x:c>
      <x:c r="D216" s="2" t="str">
        <x:v>Auto</x:v>
      </x:c>
      <x:c r="E216" s="56" t="str">
        <x:v>DR.AU.3.3</x:v>
      </x:c>
      <x:c r="F216" s="14" t="str">
        <x:v>Confirm data privileges have been granted, ensuring each pillar can access</x:v>
      </x:c>
      <x:c r="G216" s="5"/>
      <x:c r="H216" s="11"/>
      <x:c r="I216" s="11" t="n">
        <x:f>'Cycles &amp; Guide'!$D$11</x:f>
        <x:v>46203</x:v>
      </x:c>
      <x:c r="J216" s="11"/>
      <x:c r="K216" s="29"/>
      <x:c r="L216" s="2" t="str">
        <x:f>IF(O216=1,"Complete",IF(A216,"Checklist open",IF(H216&lt;&gt;"","In progress","Not started")))</x:f>
        <x:v>Not started</x:v>
      </x:c>
      <x:c r="M216" s="2" t="str">
        <x:v>Task</x:v>
      </x:c>
      <x:c r="N216" s="2" t="str">
        <x:v>DR.AU.3.3.2026.CY2</x:v>
      </x:c>
      <x:c r="O216" s="2" t="n">
        <x:f>R216</x:f>
        <x:v>0</x:v>
      </x:c>
      <x:c r="P216" s="2"/>
      <x:c r="Q216" s="2" t="n">
        <x:v>1</x:v>
      </x:c>
      <x:c r="R216" s="2" t="n">
        <x:f>IF(A216,1,0)</x:f>
        <x:v>0</x:v>
      </x:c>
      <x:c r="S216" s="2" t="n">
        <x:f>SUBTOTAL(103,N216)</x:f>
        <x:v>1</x:v>
      </x:c>
    </x:row>
    <x:row r="217" ht="42" customHeight="1">
      <x:c r="A217" s="28" t="b">
        <x:v>0</x:v>
      </x:c>
      <x:c r="B217" s="2" t="str">
        <x:v>Cycle 2</x:v>
      </x:c>
      <x:c r="C217" s="2" t="str">
        <x:v>Phase 3</x:v>
      </x:c>
      <x:c r="D217" s="2" t="str">
        <x:v>Auto</x:v>
      </x:c>
      <x:c r="E217" s="56" t="str">
        <x:v>DR.AU.3.4</x:v>
      </x:c>
      <x:c r="F217" s="14" t="str">
        <x:v>Ensure Power Automate notifications were correctly triggered within Microsoft Teams</x:v>
      </x:c>
      <x:c r="G217" s="5"/>
      <x:c r="H217" s="11"/>
      <x:c r="I217" s="11" t="n">
        <x:f>'Cycles &amp; Guide'!$D$11</x:f>
        <x:v>46203</x:v>
      </x:c>
      <x:c r="J217" s="11"/>
      <x:c r="K217" s="29"/>
      <x:c r="L217" s="2" t="str">
        <x:f>IF(O217=1,"Complete",IF(A217,"Checklist open",IF(H217&lt;&gt;"","In progress","Not started")))</x:f>
        <x:v>Not started</x:v>
      </x:c>
      <x:c r="M217" s="2" t="str">
        <x:v>Task</x:v>
      </x:c>
      <x:c r="N217" s="2" t="str">
        <x:v>DR.AU.3.4.2026.CY2</x:v>
      </x:c>
      <x:c r="O217" s="2" t="n">
        <x:f>R217</x:f>
        <x:v>0</x:v>
      </x:c>
      <x:c r="P217" s="2"/>
      <x:c r="Q217" s="2" t="n">
        <x:v>1</x:v>
      </x:c>
      <x:c r="R217" s="2" t="n">
        <x:f>IF(A217,1,0)</x:f>
        <x:v>0</x:v>
      </x:c>
      <x:c r="S217" s="2" t="n">
        <x:f>SUBTOTAL(103,N217)</x:f>
        <x:v>1</x:v>
      </x:c>
    </x:row>
    <x:row r="218" ht="42" customHeight="1">
      <x:c r="A218" s="28" t="b">
        <x:v>0</x:v>
      </x:c>
      <x:c r="B218" s="2" t="str">
        <x:v>Cycle 2</x:v>
      </x:c>
      <x:c r="C218" s="2" t="str">
        <x:v>Phase 1</x:v>
      </x:c>
      <x:c r="D218" s="2" t="str">
        <x:v>Cards</x:v>
      </x:c>
      <x:c r="E218" s="56" t="str">
        <x:v>DR.CA.1.1</x:v>
      </x:c>
      <x:c r="F218" s="14" t="str">
        <x:v>Review data sources 3 weeks prior to Cycle start (Complaints, Gen AI, Loudspeaker, NPS, etc.)</x:v>
      </x:c>
      <x:c r="G218" s="5"/>
      <x:c r="H218" s="11"/>
      <x:c r="I218" s="11" t="n">
        <x:f>'Cycles &amp; Guide'!$C$11-21</x:f>
        <x:v>46092</x:v>
      </x:c>
      <x:c r="J218" s="11"/>
      <x:c r="K218" s="29"/>
      <x:c r="L218" s="2" t="str">
        <x:f>IF(O218=1,"Complete",IF(A218,"Checklist open",IF(H218&lt;&gt;"","In progress","Not started")))</x:f>
        <x:v>Not started</x:v>
      </x:c>
      <x:c r="M218" s="2" t="str">
        <x:v>Task</x:v>
      </x:c>
      <x:c r="N218" s="2" t="str">
        <x:v>DR.CA.1.1.2026.CY2</x:v>
      </x:c>
      <x:c r="O218" s="2" t="n">
        <x:f>R218</x:f>
        <x:v>0</x:v>
      </x:c>
      <x:c r="P218" s="2"/>
      <x:c r="Q218" s="2" t="n">
        <x:v>1</x:v>
      </x:c>
      <x:c r="R218" s="2" t="n">
        <x:f>IF(A218,1,0)</x:f>
        <x:v>0</x:v>
      </x:c>
      <x:c r="S218" s="2" t="n">
        <x:f>SUBTOTAL(103,N218)</x:f>
        <x:v>1</x:v>
      </x:c>
    </x:row>
    <x:row r="219" ht="42" customHeight="1">
      <x:c r="A219" s="28" t="b">
        <x:v>0</x:v>
      </x:c>
      <x:c r="B219" s="2" t="str">
        <x:v>Cycle 2</x:v>
      </x:c>
      <x:c r="C219" s="2" t="str">
        <x:v>Phase 1</x:v>
      </x:c>
      <x:c r="D219" s="2" t="str">
        <x:v>Cards</x:v>
      </x:c>
      <x:c r="E219" s="56" t="str">
        <x:v>DR.CA.1.2</x:v>
      </x:c>
      <x:c r="F219" s="14" t="str">
        <x:v>Identify two potential topics for the upcoming Cycle</x:v>
      </x:c>
      <x:c r="G219" s="5"/>
      <x:c r="H219" s="11"/>
      <x:c r="I219" s="11" t="n">
        <x:f>'Cycles &amp; Guide'!$D$11</x:f>
        <x:v>46203</x:v>
      </x:c>
      <x:c r="J219" s="11"/>
      <x:c r="K219" s="29"/>
      <x:c r="L219" s="2" t="str">
        <x:f>IF(O219=1,"Complete",IF(A219,"Checklist open",IF(H219&lt;&gt;"","In progress","Not started")))</x:f>
        <x:v>Not started</x:v>
      </x:c>
      <x:c r="M219" s="2" t="str">
        <x:v>Task</x:v>
      </x:c>
      <x:c r="N219" s="2" t="str">
        <x:v>DR.CA.1.2.2026.CY2</x:v>
      </x:c>
      <x:c r="O219" s="2" t="n">
        <x:f>R219</x:f>
        <x:v>0</x:v>
      </x:c>
      <x:c r="P219" s="2"/>
      <x:c r="Q219" s="2" t="n">
        <x:v>1</x:v>
      </x:c>
      <x:c r="R219" s="2" t="n">
        <x:f>IF(A219,1,0)</x:f>
        <x:v>0</x:v>
      </x:c>
      <x:c r="S219" s="2" t="n">
        <x:f>SUBTOTAL(103,N219)</x:f>
        <x:v>1</x:v>
      </x:c>
    </x:row>
    <x:row r="220" ht="42" customHeight="1">
      <x:c r="A220" s="28" t="b">
        <x:v>0</x:v>
      </x:c>
      <x:c r="B220" s="2" t="str">
        <x:v>Cycle 2</x:v>
      </x:c>
      <x:c r="C220" s="2" t="str">
        <x:v>Phase 1</x:v>
      </x:c>
      <x:c r="D220" s="2" t="str">
        <x:v>Cards</x:v>
      </x:c>
      <x:c r="E220" s="68" t="str">
        <x:v>DR.CA.1.3</x:v>
      </x:c>
      <x:c r="F220" s="33" t="str">
        <x:v>Extract data for both potential topics, ensuring all checklist items below are included/completed</x:v>
      </x:c>
      <x:c r="G220" s="5"/>
      <x:c r="H220" s="11"/>
      <x:c r="I220" s="11" t="n">
        <x:f>'Cycles &amp; Guide'!$D$11</x:f>
        <x:v>46203</x:v>
      </x:c>
      <x:c r="J220" s="11"/>
      <x:c r="K220" s="29"/>
      <x:c r="L220" s="2" t="str">
        <x:f>IF(O220=1,"Complete",IF(A220,"Checklist open",IF(H220&lt;&gt;"","In progress","Not started")))</x:f>
        <x:v>Not started</x:v>
      </x:c>
      <x:c r="M220" s="2" t="str">
        <x:v>Task</x:v>
      </x:c>
      <x:c r="N220" s="2" t="str">
        <x:v>DR.CA.1.3.2026.CY2</x:v>
      </x:c>
      <x:c r="O220" s="2" t="n">
        <x:f>IF(A220,IF(SUMIFS($R$10:$R$737,$P$10:$P$737,N220)=13,1,0),0)</x:f>
        <x:v>0</x:v>
      </x:c>
      <x:c r="P220" s="2"/>
      <x:c r="Q220" s="2" t="n">
        <x:v>1</x:v>
      </x:c>
      <x:c r="R220" s="2" t="n">
        <x:f>IF(A220,1,0)</x:f>
        <x:v>0</x:v>
      </x:c>
      <x:c r="S220" s="2" t="n">
        <x:f>SUBTOTAL(103,N220)</x:f>
        <x:v>1</x:v>
      </x:c>
    </x:row>
    <x:row r="221" ht="31" customHeight="1" outlineLevel="1">
      <x:c r="A221" s="28" t="b">
        <x:v>0</x:v>
      </x:c>
      <x:c r="B221" s="36" t="str">
        <x:v>Cycle 2</x:v>
      </x:c>
      <x:c r="C221" s="36" t="str">
        <x:v>Phase 1</x:v>
      </x:c>
      <x:c r="D221" s="36" t="str">
        <x:v>Cards</x:v>
      </x:c>
      <x:c r="E221" s="69" t="str">
        <x:v>DR.CA.1.3.C01</x:v>
      </x:c>
      <x:c r="F221" s="37" t="str">
        <x:v>    Document date range extracted</x:v>
      </x:c>
      <x:c r="G221" s="5"/>
      <x:c r="H221" s="11"/>
      <x:c r="I221" s="11"/>
      <x:c r="J221" s="11"/>
      <x:c r="K221" s="29"/>
      <x:c r="L221" s="2" t="str">
        <x:f>IF(A221,"Complete","Open check")</x:f>
        <x:v>Open check</x:v>
      </x:c>
      <x:c r="M221" s="2" t="str">
        <x:v>Checklist</x:v>
      </x:c>
      <x:c r="N221" s="2" t="str">
        <x:v>DR.CA.1.3.C01.2026.CY2</x:v>
      </x:c>
      <x:c r="O221" s="2" t="n">
        <x:f>R221</x:f>
        <x:v>0</x:v>
      </x:c>
      <x:c r="P221" s="2" t="str">
        <x:v>DR.CA.1.3.2026.CY2</x:v>
      </x:c>
      <x:c r="Q221" s="2" t="n">
        <x:v>0</x:v>
      </x:c>
      <x:c r="R221" s="2" t="n">
        <x:f>IF(A221,1,0)</x:f>
        <x:v>0</x:v>
      </x:c>
      <x:c r="S221" s="2" t="n">
        <x:f>SUBTOTAL(103,N221)</x:f>
        <x:v>1</x:v>
      </x:c>
    </x:row>
    <x:row r="222" ht="31" customHeight="1" outlineLevel="1">
      <x:c r="A222" s="28" t="b">
        <x:v>0</x:v>
      </x:c>
      <x:c r="B222" s="36" t="str">
        <x:v>Cycle 2</x:v>
      </x:c>
      <x:c r="C222" s="36" t="str">
        <x:v>Phase 1</x:v>
      </x:c>
      <x:c r="D222" s="36" t="str">
        <x:v>Cards</x:v>
      </x:c>
      <x:c r="E222" s="69" t="str">
        <x:v>DR.CA.1.3.C02</x:v>
      </x:c>
      <x:c r="F222" s="37" t="str">
        <x:v>    Document date of data pull</x:v>
      </x:c>
      <x:c r="G222" s="5"/>
      <x:c r="H222" s="11"/>
      <x:c r="I222" s="11"/>
      <x:c r="J222" s="11"/>
      <x:c r="K222" s="29"/>
      <x:c r="L222" s="2" t="str">
        <x:f>IF(A222,"Complete","Open check")</x:f>
        <x:v>Open check</x:v>
      </x:c>
      <x:c r="M222" s="2" t="str">
        <x:v>Checklist</x:v>
      </x:c>
      <x:c r="N222" s="2" t="str">
        <x:v>DR.CA.1.3.C02.2026.CY2</x:v>
      </x:c>
      <x:c r="O222" s="2" t="n">
        <x:f>R222</x:f>
        <x:v>0</x:v>
      </x:c>
      <x:c r="P222" s="2" t="str">
        <x:v>DR.CA.1.3.2026.CY2</x:v>
      </x:c>
      <x:c r="Q222" s="2" t="n">
        <x:v>0</x:v>
      </x:c>
      <x:c r="R222" s="2" t="n">
        <x:f>IF(A222,1,0)</x:f>
        <x:v>0</x:v>
      </x:c>
      <x:c r="S222" s="2" t="n">
        <x:f>SUBTOTAL(103,N222)</x:f>
        <x:v>1</x:v>
      </x:c>
    </x:row>
    <x:row r="223" ht="31" customHeight="1" outlineLevel="1">
      <x:c r="A223" s="28" t="b">
        <x:v>0</x:v>
      </x:c>
      <x:c r="B223" s="36" t="str">
        <x:v>Cycle 2</x:v>
      </x:c>
      <x:c r="C223" s="36" t="str">
        <x:v>Phase 1</x:v>
      </x:c>
      <x:c r="D223" s="36" t="str">
        <x:v>Cards</x:v>
      </x:c>
      <x:c r="E223" s="69" t="str">
        <x:v>DR.CA.1.3.C03</x:v>
      </x:c>
      <x:c r="F223" s="37" t="str">
        <x:v>    Document population details</x:v>
      </x:c>
      <x:c r="G223" s="5"/>
      <x:c r="H223" s="11"/>
      <x:c r="I223" s="11"/>
      <x:c r="J223" s="11"/>
      <x:c r="K223" s="29"/>
      <x:c r="L223" s="2" t="str">
        <x:f>IF(A223,"Complete","Open check")</x:f>
        <x:v>Open check</x:v>
      </x:c>
      <x:c r="M223" s="2" t="str">
        <x:v>Checklist</x:v>
      </x:c>
      <x:c r="N223" s="2" t="str">
        <x:v>DR.CA.1.3.C03.2026.CY2</x:v>
      </x:c>
      <x:c r="O223" s="2" t="n">
        <x:f>R223</x:f>
        <x:v>0</x:v>
      </x:c>
      <x:c r="P223" s="2" t="str">
        <x:v>DR.CA.1.3.2026.CY2</x:v>
      </x:c>
      <x:c r="Q223" s="2" t="n">
        <x:v>0</x:v>
      </x:c>
      <x:c r="R223" s="2" t="n">
        <x:f>IF(A223,1,0)</x:f>
        <x:v>0</x:v>
      </x:c>
      <x:c r="S223" s="2" t="n">
        <x:f>SUBTOTAL(103,N223)</x:f>
        <x:v>1</x:v>
      </x:c>
    </x:row>
    <x:row r="224" ht="31" customHeight="1" outlineLevel="1">
      <x:c r="A224" s="28" t="b">
        <x:v>0</x:v>
      </x:c>
      <x:c r="B224" s="36" t="str">
        <x:v>Cycle 2</x:v>
      </x:c>
      <x:c r="C224" s="36" t="str">
        <x:v>Phase 1</x:v>
      </x:c>
      <x:c r="D224" s="36" t="str">
        <x:v>Cards</x:v>
      </x:c>
      <x:c r="E224" s="69" t="str">
        <x:v>DR.CA.1.3.C04</x:v>
      </x:c>
      <x:c r="F224" s="37" t="str">
        <x:v>    Validate no data is missing</x:v>
      </x:c>
      <x:c r="G224" s="5"/>
      <x:c r="H224" s="11"/>
      <x:c r="I224" s="11"/>
      <x:c r="J224" s="11"/>
      <x:c r="K224" s="29"/>
      <x:c r="L224" s="2" t="str">
        <x:f>IF(A224,"Complete","Open check")</x:f>
        <x:v>Open check</x:v>
      </x:c>
      <x:c r="M224" s="2" t="str">
        <x:v>Checklist</x:v>
      </x:c>
      <x:c r="N224" s="2" t="str">
        <x:v>DR.CA.1.3.C04.2026.CY2</x:v>
      </x:c>
      <x:c r="O224" s="2" t="n">
        <x:f>R224</x:f>
        <x:v>0</x:v>
      </x:c>
      <x:c r="P224" s="2" t="str">
        <x:v>DR.CA.1.3.2026.CY2</x:v>
      </x:c>
      <x:c r="Q224" s="2" t="n">
        <x:v>0</x:v>
      </x:c>
      <x:c r="R224" s="2" t="n">
        <x:f>IF(A224,1,0)</x:f>
        <x:v>0</x:v>
      </x:c>
      <x:c r="S224" s="2" t="n">
        <x:f>SUBTOTAL(103,N224)</x:f>
        <x:v>1</x:v>
      </x:c>
    </x:row>
    <x:row r="225" ht="31" customHeight="1" outlineLevel="1">
      <x:c r="A225" s="28" t="b">
        <x:v>0</x:v>
      </x:c>
      <x:c r="B225" s="36" t="str">
        <x:v>Cycle 2</x:v>
      </x:c>
      <x:c r="C225" s="36" t="str">
        <x:v>Phase 1</x:v>
      </x:c>
      <x:c r="D225" s="36" t="str">
        <x:v>Cards</x:v>
      </x:c>
      <x:c r="E225" s="69" t="str">
        <x:v>DR.CA.1.3.C05</x:v>
      </x:c>
      <x:c r="F225" s="37" t="str">
        <x:v>    Validate accuracy of data</x:v>
      </x:c>
      <x:c r="G225" s="5"/>
      <x:c r="H225" s="11"/>
      <x:c r="I225" s="11"/>
      <x:c r="J225" s="11"/>
      <x:c r="K225" s="29"/>
      <x:c r="L225" s="2" t="str">
        <x:f>IF(A225,"Complete","Open check")</x:f>
        <x:v>Open check</x:v>
      </x:c>
      <x:c r="M225" s="2" t="str">
        <x:v>Checklist</x:v>
      </x:c>
      <x:c r="N225" s="2" t="str">
        <x:v>DR.CA.1.3.C05.2026.CY2</x:v>
      </x:c>
      <x:c r="O225" s="2" t="n">
        <x:f>R225</x:f>
        <x:v>0</x:v>
      </x:c>
      <x:c r="P225" s="2" t="str">
        <x:v>DR.CA.1.3.2026.CY2</x:v>
      </x:c>
      <x:c r="Q225" s="2" t="n">
        <x:v>0</x:v>
      </x:c>
      <x:c r="R225" s="2" t="n">
        <x:f>IF(A225,1,0)</x:f>
        <x:v>0</x:v>
      </x:c>
      <x:c r="S225" s="2" t="n">
        <x:f>SUBTOTAL(103,N225)</x:f>
        <x:v>1</x:v>
      </x:c>
    </x:row>
    <x:row r="226" ht="31" customHeight="1" outlineLevel="1">
      <x:c r="A226" s="28" t="b">
        <x:v>0</x:v>
      </x:c>
      <x:c r="B226" s="36" t="str">
        <x:v>Cycle 2</x:v>
      </x:c>
      <x:c r="C226" s="36" t="str">
        <x:v>Phase 1</x:v>
      </x:c>
      <x:c r="D226" s="36" t="str">
        <x:v>Cards</x:v>
      </x:c>
      <x:c r="E226" s="69" t="str">
        <x:v>DR.CA.1.3.C06</x:v>
      </x:c>
      <x:c r="F226" s="37" t="str">
        <x:v>    Validate no duplicate data is provided</x:v>
      </x:c>
      <x:c r="G226" s="5"/>
      <x:c r="H226" s="11"/>
      <x:c r="I226" s="11"/>
      <x:c r="J226" s="11"/>
      <x:c r="K226" s="29"/>
      <x:c r="L226" s="2" t="str">
        <x:f>IF(A226,"Complete","Open check")</x:f>
        <x:v>Open check</x:v>
      </x:c>
      <x:c r="M226" s="2" t="str">
        <x:v>Checklist</x:v>
      </x:c>
      <x:c r="N226" s="2" t="str">
        <x:v>DR.CA.1.3.C06.2026.CY2</x:v>
      </x:c>
      <x:c r="O226" s="2" t="n">
        <x:f>R226</x:f>
        <x:v>0</x:v>
      </x:c>
      <x:c r="P226" s="2" t="str">
        <x:v>DR.CA.1.3.2026.CY2</x:v>
      </x:c>
      <x:c r="Q226" s="2" t="n">
        <x:v>0</x:v>
      </x:c>
      <x:c r="R226" s="2" t="n">
        <x:f>IF(A226,1,0)</x:f>
        <x:v>0</x:v>
      </x:c>
      <x:c r="S226" s="2" t="n">
        <x:f>SUBTOTAL(103,N226)</x:f>
        <x:v>1</x:v>
      </x:c>
    </x:row>
    <x:row r="227" ht="31" customHeight="1" outlineLevel="1">
      <x:c r="A227" s="28" t="b">
        <x:v>0</x:v>
      </x:c>
      <x:c r="B227" s="36" t="str">
        <x:v>Cycle 2</x:v>
      </x:c>
      <x:c r="C227" s="36" t="str">
        <x:v>Phase 1</x:v>
      </x:c>
      <x:c r="D227" s="36" t="str">
        <x:v>Cards</x:v>
      </x:c>
      <x:c r="E227" s="69" t="str">
        <x:v>DR.CA.1.3.C07</x:v>
      </x:c>
      <x:c r="F227" s="37" t="str">
        <x:v>    Document any data exclusions along with justification (as needed)</x:v>
      </x:c>
      <x:c r="G227" s="5"/>
      <x:c r="H227" s="11"/>
      <x:c r="I227" s="11"/>
      <x:c r="J227" s="11"/>
      <x:c r="K227" s="29"/>
      <x:c r="L227" s="2" t="str">
        <x:f>IF(A227,"Complete","Open check")</x:f>
        <x:v>Open check</x:v>
      </x:c>
      <x:c r="M227" s="2" t="str">
        <x:v>Checklist</x:v>
      </x:c>
      <x:c r="N227" s="2" t="str">
        <x:v>DR.CA.1.3.C07.2026.CY2</x:v>
      </x:c>
      <x:c r="O227" s="2" t="n">
        <x:f>R227</x:f>
        <x:v>0</x:v>
      </x:c>
      <x:c r="P227" s="2" t="str">
        <x:v>DR.CA.1.3.2026.CY2</x:v>
      </x:c>
      <x:c r="Q227" s="2" t="n">
        <x:v>0</x:v>
      </x:c>
      <x:c r="R227" s="2" t="n">
        <x:f>IF(A227,1,0)</x:f>
        <x:v>0</x:v>
      </x:c>
      <x:c r="S227" s="2" t="n">
        <x:f>SUBTOTAL(103,N227)</x:f>
        <x:v>1</x:v>
      </x:c>
    </x:row>
    <x:row r="228" ht="31" customHeight="1" outlineLevel="1">
      <x:c r="A228" s="28" t="b">
        <x:v>0</x:v>
      </x:c>
      <x:c r="B228" s="36" t="str">
        <x:v>Cycle 2</x:v>
      </x:c>
      <x:c r="C228" s="36" t="str">
        <x:v>Phase 1</x:v>
      </x:c>
      <x:c r="D228" s="36" t="str">
        <x:v>Cards</x:v>
      </x:c>
      <x:c r="E228" s="69" t="str">
        <x:v>DR.CA.1.3.C08</x:v>
      </x:c>
      <x:c r="F228" s="37" t="str">
        <x:v>    Document any assumptions made with the data (as needed)</x:v>
      </x:c>
      <x:c r="G228" s="5"/>
      <x:c r="H228" s="11"/>
      <x:c r="I228" s="11"/>
      <x:c r="J228" s="11"/>
      <x:c r="K228" s="29"/>
      <x:c r="L228" s="2" t="str">
        <x:f>IF(A228,"Complete","Open check")</x:f>
        <x:v>Open check</x:v>
      </x:c>
      <x:c r="M228" s="2" t="str">
        <x:v>Checklist</x:v>
      </x:c>
      <x:c r="N228" s="2" t="str">
        <x:v>DR.CA.1.3.C08.2026.CY2</x:v>
      </x:c>
      <x:c r="O228" s="2" t="n">
        <x:f>R228</x:f>
        <x:v>0</x:v>
      </x:c>
      <x:c r="P228" s="2" t="str">
        <x:v>DR.CA.1.3.2026.CY2</x:v>
      </x:c>
      <x:c r="Q228" s="2" t="n">
        <x:v>0</x:v>
      </x:c>
      <x:c r="R228" s="2" t="n">
        <x:f>IF(A228,1,0)</x:f>
        <x:v>0</x:v>
      </x:c>
      <x:c r="S228" s="2" t="n">
        <x:f>SUBTOTAL(103,N228)</x:f>
        <x:v>1</x:v>
      </x:c>
    </x:row>
    <x:row r="229" ht="31" customHeight="1" outlineLevel="1">
      <x:c r="A229" s="28" t="b">
        <x:v>0</x:v>
      </x:c>
      <x:c r="B229" s="36" t="str">
        <x:v>Cycle 2</x:v>
      </x:c>
      <x:c r="C229" s="36" t="str">
        <x:v>Phase 1</x:v>
      </x:c>
      <x:c r="D229" s="36" t="str">
        <x:v>Cards</x:v>
      </x:c>
      <x:c r="E229" s="69" t="str">
        <x:v>DR.CA.1.3.C09</x:v>
      </x:c>
      <x:c r="F229" s="37" t="str">
        <x:v>    Document any data limitations or constraints clearly (as needed)</x:v>
      </x:c>
      <x:c r="G229" s="5"/>
      <x:c r="H229" s="11"/>
      <x:c r="I229" s="11"/>
      <x:c r="J229" s="11"/>
      <x:c r="K229" s="29"/>
      <x:c r="L229" s="2" t="str">
        <x:f>IF(A229,"Complete","Open check")</x:f>
        <x:v>Open check</x:v>
      </x:c>
      <x:c r="M229" s="2" t="str">
        <x:v>Checklist</x:v>
      </x:c>
      <x:c r="N229" s="2" t="str">
        <x:v>DR.CA.1.3.C09.2026.CY2</x:v>
      </x:c>
      <x:c r="O229" s="2" t="n">
        <x:f>R229</x:f>
        <x:v>0</x:v>
      </x:c>
      <x:c r="P229" s="2" t="str">
        <x:v>DR.CA.1.3.2026.CY2</x:v>
      </x:c>
      <x:c r="Q229" s="2" t="n">
        <x:v>0</x:v>
      </x:c>
      <x:c r="R229" s="2" t="n">
        <x:f>IF(A229,1,0)</x:f>
        <x:v>0</x:v>
      </x:c>
      <x:c r="S229" s="2" t="n">
        <x:f>SUBTOTAL(103,N229)</x:f>
        <x:v>1</x:v>
      </x:c>
    </x:row>
    <x:row r="230" ht="31" customHeight="1" outlineLevel="1">
      <x:c r="A230" s="28" t="b">
        <x:v>0</x:v>
      </x:c>
      <x:c r="B230" s="36" t="str">
        <x:v>Cycle 2</x:v>
      </x:c>
      <x:c r="C230" s="36" t="str">
        <x:v>Phase 1</x:v>
      </x:c>
      <x:c r="D230" s="36" t="str">
        <x:v>Cards</x:v>
      </x:c>
      <x:c r="E230" s="69" t="str">
        <x:v>DR.CA.1.3.C10</x:v>
      </x:c>
      <x:c r="F230" s="37" t="str">
        <x:v>    Document data dictionary or field definitions for columns/rows</x:v>
      </x:c>
      <x:c r="G230" s="5"/>
      <x:c r="H230" s="11"/>
      <x:c r="I230" s="11"/>
      <x:c r="J230" s="11"/>
      <x:c r="K230" s="29"/>
      <x:c r="L230" s="2" t="str">
        <x:f>IF(A230,"Complete","Open check")</x:f>
        <x:v>Open check</x:v>
      </x:c>
      <x:c r="M230" s="2" t="str">
        <x:v>Checklist</x:v>
      </x:c>
      <x:c r="N230" s="2" t="str">
        <x:v>DR.CA.1.3.C10.2026.CY2</x:v>
      </x:c>
      <x:c r="O230" s="2" t="n">
        <x:f>R230</x:f>
        <x:v>0</x:v>
      </x:c>
      <x:c r="P230" s="2" t="str">
        <x:v>DR.CA.1.3.2026.CY2</x:v>
      </x:c>
      <x:c r="Q230" s="2" t="n">
        <x:v>0</x:v>
      </x:c>
      <x:c r="R230" s="2" t="n">
        <x:f>IF(A230,1,0)</x:f>
        <x:v>0</x:v>
      </x:c>
      <x:c r="S230" s="2" t="n">
        <x:f>SUBTOTAL(103,N230)</x:f>
        <x:v>1</x:v>
      </x:c>
    </x:row>
    <x:row r="231" ht="31" customHeight="1" outlineLevel="1">
      <x:c r="A231" s="28" t="b">
        <x:v>0</x:v>
      </x:c>
      <x:c r="B231" s="36" t="str">
        <x:v>Cycle 2</x:v>
      </x:c>
      <x:c r="C231" s="36" t="str">
        <x:v>Phase 1</x:v>
      </x:c>
      <x:c r="D231" s="36" t="str">
        <x:v>Cards</x:v>
      </x:c>
      <x:c r="E231" s="69" t="str">
        <x:v>DR.CA.1.3.C11</x:v>
      </x:c>
      <x:c r="F231" s="37" t="str">
        <x:v>    Document emerging trends, patterns, or concentrations along with supporting data</x:v>
      </x:c>
      <x:c r="G231" s="5"/>
      <x:c r="H231" s="11"/>
      <x:c r="I231" s="11"/>
      <x:c r="J231" s="11"/>
      <x:c r="K231" s="29"/>
      <x:c r="L231" s="2" t="str">
        <x:f>IF(A231,"Complete","Open check")</x:f>
        <x:v>Open check</x:v>
      </x:c>
      <x:c r="M231" s="2" t="str">
        <x:v>Checklist</x:v>
      </x:c>
      <x:c r="N231" s="2" t="str">
        <x:v>DR.CA.1.3.C11.2026.CY2</x:v>
      </x:c>
      <x:c r="O231" s="2" t="n">
        <x:f>R231</x:f>
        <x:v>0</x:v>
      </x:c>
      <x:c r="P231" s="2" t="str">
        <x:v>DR.CA.1.3.2026.CY2</x:v>
      </x:c>
      <x:c r="Q231" s="2" t="n">
        <x:v>0</x:v>
      </x:c>
      <x:c r="R231" s="2" t="n">
        <x:f>IF(A231,1,0)</x:f>
        <x:v>0</x:v>
      </x:c>
      <x:c r="S231" s="2" t="n">
        <x:f>SUBTOTAL(103,N231)</x:f>
        <x:v>1</x:v>
      </x:c>
    </x:row>
    <x:row r="232" ht="31" customHeight="1" outlineLevel="1">
      <x:c r="A232" s="28" t="b">
        <x:v>0</x:v>
      </x:c>
      <x:c r="B232" s="36" t="str">
        <x:v>Cycle 2</x:v>
      </x:c>
      <x:c r="C232" s="36" t="str">
        <x:v>Phase 1</x:v>
      </x:c>
      <x:c r="D232" s="36" t="str">
        <x:v>Cards</x:v>
      </x:c>
      <x:c r="E232" s="69" t="str">
        <x:v>DR.CA.1.3.C12</x:v>
      </x:c>
      <x:c r="F232" s="37" t="str">
        <x:v>    Document any severe spikes in volume along with context (as needed)</x:v>
      </x:c>
      <x:c r="G232" s="5"/>
      <x:c r="H232" s="11"/>
      <x:c r="I232" s="11"/>
      <x:c r="J232" s="11"/>
      <x:c r="K232" s="29"/>
      <x:c r="L232" s="2" t="str">
        <x:f>IF(A232,"Complete","Open check")</x:f>
        <x:v>Open check</x:v>
      </x:c>
      <x:c r="M232" s="2" t="str">
        <x:v>Checklist</x:v>
      </x:c>
      <x:c r="N232" s="2" t="str">
        <x:v>DR.CA.1.3.C12.2026.CY2</x:v>
      </x:c>
      <x:c r="O232" s="2" t="n">
        <x:f>R232</x:f>
        <x:v>0</x:v>
      </x:c>
      <x:c r="P232" s="2" t="str">
        <x:v>DR.CA.1.3.2026.CY2</x:v>
      </x:c>
      <x:c r="Q232" s="2" t="n">
        <x:v>0</x:v>
      </x:c>
      <x:c r="R232" s="2" t="n">
        <x:f>IF(A232,1,0)</x:f>
        <x:v>0</x:v>
      </x:c>
      <x:c r="S232" s="2" t="n">
        <x:f>SUBTOTAL(103,N232)</x:f>
        <x:v>1</x:v>
      </x:c>
    </x:row>
    <x:row r="233" ht="31" customHeight="1" outlineLevel="1">
      <x:c r="A233" s="28" t="b">
        <x:v>0</x:v>
      </x:c>
      <x:c r="B233" s="36" t="str">
        <x:v>Cycle 2</x:v>
      </x:c>
      <x:c r="C233" s="36" t="str">
        <x:v>Phase 1</x:v>
      </x:c>
      <x:c r="D233" s="36" t="str">
        <x:v>Cards</x:v>
      </x:c>
      <x:c r="E233" s="69" t="str">
        <x:v>DR.CA.1.3.C13</x:v>
      </x:c>
      <x:c r="F233" s="37" t="str">
        <x:v>    Document clear summary explaining how the data connects to the potential topic</x:v>
      </x:c>
      <x:c r="G233" s="5"/>
      <x:c r="H233" s="11"/>
      <x:c r="I233" s="11"/>
      <x:c r="J233" s="11"/>
      <x:c r="K233" s="29"/>
      <x:c r="L233" s="2" t="str">
        <x:f>IF(A233,"Complete","Open check")</x:f>
        <x:v>Open check</x:v>
      </x:c>
      <x:c r="M233" s="2" t="str">
        <x:v>Checklist</x:v>
      </x:c>
      <x:c r="N233" s="2" t="str">
        <x:v>DR.CA.1.3.C13.2026.CY2</x:v>
      </x:c>
      <x:c r="O233" s="2" t="n">
        <x:f>R233</x:f>
        <x:v>0</x:v>
      </x:c>
      <x:c r="P233" s="2" t="str">
        <x:v>DR.CA.1.3.2026.CY2</x:v>
      </x:c>
      <x:c r="Q233" s="2" t="n">
        <x:v>0</x:v>
      </x:c>
      <x:c r="R233" s="2" t="n">
        <x:f>IF(A233,1,0)</x:f>
        <x:v>0</x:v>
      </x:c>
      <x:c r="S233" s="2" t="n">
        <x:f>SUBTOTAL(103,N233)</x:f>
        <x:v>1</x:v>
      </x:c>
    </x:row>
    <x:row r="234" ht="42" customHeight="1">
      <x:c r="A234" s="28" t="b">
        <x:v>0</x:v>
      </x:c>
      <x:c r="B234" s="2" t="str">
        <x:v>Cycle 2</x:v>
      </x:c>
      <x:c r="C234" s="2" t="str">
        <x:v>Phase 2</x:v>
      </x:c>
      <x:c r="D234" s="2" t="str">
        <x:v>Cards</x:v>
      </x:c>
      <x:c r="E234" s="56" t="str">
        <x:v>DR.CA.2.1</x:v>
      </x:c>
      <x:c r="F234" s="14" t="str">
        <x:v>Ensure data is clean, structured, and usable without manipulation needed</x:v>
      </x:c>
      <x:c r="G234" s="5"/>
      <x:c r="H234" s="11"/>
      <x:c r="I234" s="11" t="n">
        <x:f>'Cycles &amp; Guide'!$D$11</x:f>
        <x:v>46203</x:v>
      </x:c>
      <x:c r="J234" s="11"/>
      <x:c r="K234" s="29"/>
      <x:c r="L234" s="2" t="str">
        <x:f>IF(O234=1,"Complete",IF(A234,"Checklist open",IF(H234&lt;&gt;"","In progress","Not started")))</x:f>
        <x:v>Not started</x:v>
      </x:c>
      <x:c r="M234" s="2" t="str">
        <x:v>Task</x:v>
      </x:c>
      <x:c r="N234" s="2" t="str">
        <x:v>DR.CA.2.1.2026.CY2</x:v>
      </x:c>
      <x:c r="O234" s="2" t="n">
        <x:f>R234</x:f>
        <x:v>0</x:v>
      </x:c>
      <x:c r="P234" s="2"/>
      <x:c r="Q234" s="2" t="n">
        <x:v>1</x:v>
      </x:c>
      <x:c r="R234" s="2" t="n">
        <x:f>IF(A234,1,0)</x:f>
        <x:v>0</x:v>
      </x:c>
      <x:c r="S234" s="2" t="n">
        <x:f>SUBTOTAL(103,N234)</x:f>
        <x:v>1</x:v>
      </x:c>
    </x:row>
    <x:row r="235" ht="42" customHeight="1">
      <x:c r="A235" s="28" t="b">
        <x:v>0</x:v>
      </x:c>
      <x:c r="B235" s="2" t="str">
        <x:v>Cycle 2</x:v>
      </x:c>
      <x:c r="C235" s="2" t="str">
        <x:v>Phase 2</x:v>
      </x:c>
      <x:c r="D235" s="2" t="str">
        <x:v>Cards</x:v>
      </x:c>
      <x:c r="E235" s="56" t="str">
        <x:v>DR.CA.2.2</x:v>
      </x:c>
      <x:c r="F235" s="14" t="str">
        <x:v>Clearly document rationale for each topic recommendation within the SharePoint list</x:v>
      </x:c>
      <x:c r="G235" s="5"/>
      <x:c r="H235" s="11"/>
      <x:c r="I235" s="11" t="n">
        <x:f>'Cycles &amp; Guide'!$D$11</x:f>
        <x:v>46203</x:v>
      </x:c>
      <x:c r="J235" s="11"/>
      <x:c r="K235" s="29"/>
      <x:c r="L235" s="2" t="str">
        <x:f>IF(O235=1,"Complete",IF(A235,"Checklist open",IF(H235&lt;&gt;"","In progress","Not started")))</x:f>
        <x:v>Not started</x:v>
      </x:c>
      <x:c r="M235" s="2" t="str">
        <x:v>Task</x:v>
      </x:c>
      <x:c r="N235" s="2" t="str">
        <x:v>DR.CA.2.2.2026.CY2</x:v>
      </x:c>
      <x:c r="O235" s="2" t="n">
        <x:f>R235</x:f>
        <x:v>0</x:v>
      </x:c>
      <x:c r="P235" s="2"/>
      <x:c r="Q235" s="2" t="n">
        <x:v>1</x:v>
      </x:c>
      <x:c r="R235" s="2" t="n">
        <x:f>IF(A235,1,0)</x:f>
        <x:v>0</x:v>
      </x:c>
      <x:c r="S235" s="2" t="n">
        <x:f>SUBTOTAL(103,N235)</x:f>
        <x:v>1</x:v>
      </x:c>
    </x:row>
    <x:row r="236" ht="42" customHeight="1">
      <x:c r="A236" s="28" t="b">
        <x:v>0</x:v>
      </x:c>
      <x:c r="B236" s="2" t="str">
        <x:v>Cycle 2</x:v>
      </x:c>
      <x:c r="C236" s="2" t="str">
        <x:v>Phase 2</x:v>
      </x:c>
      <x:c r="D236" s="2" t="str">
        <x:v>Cards</x:v>
      </x:c>
      <x:c r="E236" s="56" t="str">
        <x:v>DR.CA.2.3</x:v>
      </x:c>
      <x:c r="F236" s="14" t="str">
        <x:v>Verify topic is eligible for RCA and does not conflict with Attorney Client Privilege</x:v>
      </x:c>
      <x:c r="G236" s="5"/>
      <x:c r="H236" s="11"/>
      <x:c r="I236" s="11" t="n">
        <x:f>'Cycles &amp; Guide'!$D$11</x:f>
        <x:v>46203</x:v>
      </x:c>
      <x:c r="J236" s="11"/>
      <x:c r="K236" s="29"/>
      <x:c r="L236" s="2" t="str">
        <x:f>IF(O236=1,"Complete",IF(A236,"Checklist open",IF(H236&lt;&gt;"","In progress","Not started")))</x:f>
        <x:v>Not started</x:v>
      </x:c>
      <x:c r="M236" s="2" t="str">
        <x:v>Task</x:v>
      </x:c>
      <x:c r="N236" s="2" t="str">
        <x:v>DR.CA.2.3.2026.CY2</x:v>
      </x:c>
      <x:c r="O236" s="2" t="n">
        <x:f>R236</x:f>
        <x:v>0</x:v>
      </x:c>
      <x:c r="P236" s="2"/>
      <x:c r="Q236" s="2" t="n">
        <x:v>1</x:v>
      </x:c>
      <x:c r="R236" s="2" t="n">
        <x:f>IF(A236,1,0)</x:f>
        <x:v>0</x:v>
      </x:c>
      <x:c r="S236" s="2" t="n">
        <x:f>SUBTOTAL(103,N236)</x:f>
        <x:v>1</x:v>
      </x:c>
    </x:row>
    <x:row r="237" ht="42" customHeight="1">
      <x:c r="A237" s="28" t="b">
        <x:v>0</x:v>
      </x:c>
      <x:c r="B237" s="2" t="str">
        <x:v>Cycle 2</x:v>
      </x:c>
      <x:c r="C237" s="2" t="str">
        <x:v>Phase 2</x:v>
      </x:c>
      <x:c r="D237" s="2" t="str">
        <x:v>Cards</x:v>
      </x:c>
      <x:c r="E237" s="56" t="str">
        <x:v>DR.CA.2.4</x:v>
      </x:c>
      <x:c r="F237" s="14" t="str">
        <x:v>Ensure data is free of errors and anomalies prior to hand-off to Research</x:v>
      </x:c>
      <x:c r="G237" s="5"/>
      <x:c r="H237" s="11"/>
      <x:c r="I237" s="11" t="n">
        <x:f>'Cycles &amp; Guide'!$D$11</x:f>
        <x:v>46203</x:v>
      </x:c>
      <x:c r="J237" s="11"/>
      <x:c r="K237" s="29"/>
      <x:c r="L237" s="2" t="str">
        <x:f>IF(O237=1,"Complete",IF(A237,"Checklist open",IF(H237&lt;&gt;"","In progress","Not started")))</x:f>
        <x:v>Not started</x:v>
      </x:c>
      <x:c r="M237" s="2" t="str">
        <x:v>Task</x:v>
      </x:c>
      <x:c r="N237" s="2" t="str">
        <x:v>DR.CA.2.4.2026.CY2</x:v>
      </x:c>
      <x:c r="O237" s="2" t="n">
        <x:f>R237</x:f>
        <x:v>0</x:v>
      </x:c>
      <x:c r="P237" s="2"/>
      <x:c r="Q237" s="2" t="n">
        <x:v>1</x:v>
      </x:c>
      <x:c r="R237" s="2" t="n">
        <x:f>IF(A237,1,0)</x:f>
        <x:v>0</x:v>
      </x:c>
      <x:c r="S237" s="2" t="n">
        <x:f>SUBTOTAL(103,N237)</x:f>
        <x:v>1</x:v>
      </x:c>
    </x:row>
    <x:row r="238" ht="42" customHeight="1">
      <x:c r="A238" s="28" t="b">
        <x:v>0</x:v>
      </x:c>
      <x:c r="B238" s="2" t="str">
        <x:v>Cycle 2</x:v>
      </x:c>
      <x:c r="C238" s="2" t="str">
        <x:v>Phase 2</x:v>
      </x:c>
      <x:c r="D238" s="2" t="str">
        <x:v>Cards</x:v>
      </x:c>
      <x:c r="E238" s="56" t="str">
        <x:v>DR.CA.2.5</x:v>
      </x:c>
      <x:c r="F238" s="14" t="str">
        <x:v>Ensure topic is not a duplicate from a previous Cycle</x:v>
      </x:c>
      <x:c r="G238" s="5"/>
      <x:c r="H238" s="11"/>
      <x:c r="I238" s="11" t="n">
        <x:f>'Cycles &amp; Guide'!$D$11</x:f>
        <x:v>46203</x:v>
      </x:c>
      <x:c r="J238" s="11"/>
      <x:c r="K238" s="29"/>
      <x:c r="L238" s="2" t="str">
        <x:f>IF(O238=1,"Complete",IF(A238,"Checklist open",IF(H238&lt;&gt;"","In progress","Not started")))</x:f>
        <x:v>Not started</x:v>
      </x:c>
      <x:c r="M238" s="2" t="str">
        <x:v>Task</x:v>
      </x:c>
      <x:c r="N238" s="2" t="str">
        <x:v>DR.CA.2.5.2026.CY2</x:v>
      </x:c>
      <x:c r="O238" s="2" t="n">
        <x:f>R238</x:f>
        <x:v>0</x:v>
      </x:c>
      <x:c r="P238" s="2"/>
      <x:c r="Q238" s="2" t="n">
        <x:v>1</x:v>
      </x:c>
      <x:c r="R238" s="2" t="n">
        <x:f>IF(A238,1,0)</x:f>
        <x:v>0</x:v>
      </x:c>
      <x:c r="S238" s="2" t="n">
        <x:f>SUBTOTAL(103,N238)</x:f>
        <x:v>1</x:v>
      </x:c>
    </x:row>
    <x:row r="239" ht="42" customHeight="1">
      <x:c r="A239" s="28" t="b">
        <x:v>0</x:v>
      </x:c>
      <x:c r="B239" s="2" t="str">
        <x:v>Cycle 2</x:v>
      </x:c>
      <x:c r="C239" s="2" t="str">
        <x:v>Phase 2</x:v>
      </x:c>
      <x:c r="D239" s="2" t="str">
        <x:v>Cards</x:v>
      </x:c>
      <x:c r="E239" s="56" t="str">
        <x:v>DR.CA.2.6</x:v>
      </x:c>
      <x:c r="F239" s="14" t="str">
        <x:v>Document clear distinctions between facts, assumptions, and hypotheses within the data package</x:v>
      </x:c>
      <x:c r="G239" s="5"/>
      <x:c r="H239" s="11"/>
      <x:c r="I239" s="11" t="n">
        <x:f>'Cycles &amp; Guide'!$D$11</x:f>
        <x:v>46203</x:v>
      </x:c>
      <x:c r="J239" s="11"/>
      <x:c r="K239" s="29"/>
      <x:c r="L239" s="2" t="str">
        <x:f>IF(O239=1,"Complete",IF(A239,"Checklist open",IF(H239&lt;&gt;"","In progress","Not started")))</x:f>
        <x:v>Not started</x:v>
      </x:c>
      <x:c r="M239" s="2" t="str">
        <x:v>Task</x:v>
      </x:c>
      <x:c r="N239" s="2" t="str">
        <x:v>DR.CA.2.6.2026.CY2</x:v>
      </x:c>
      <x:c r="O239" s="2" t="n">
        <x:f>R239</x:f>
        <x:v>0</x:v>
      </x:c>
      <x:c r="P239" s="2"/>
      <x:c r="Q239" s="2" t="n">
        <x:v>1</x:v>
      </x:c>
      <x:c r="R239" s="2" t="n">
        <x:f>IF(A239,1,0)</x:f>
        <x:v>0</x:v>
      </x:c>
      <x:c r="S239" s="2" t="n">
        <x:f>SUBTOTAL(103,N239)</x:f>
        <x:v>1</x:v>
      </x:c>
    </x:row>
    <x:row r="240" ht="42" customHeight="1">
      <x:c r="A240" s="28" t="b">
        <x:v>0</x:v>
      </x:c>
      <x:c r="B240" s="2" t="str">
        <x:v>Cycle 2</x:v>
      </x:c>
      <x:c r="C240" s="2" t="str">
        <x:v>Phase 3</x:v>
      </x:c>
      <x:c r="D240" s="2" t="str">
        <x:v>Cards</x:v>
      </x:c>
      <x:c r="E240" s="56" t="str">
        <x:v>DR.CA.3.1</x:v>
      </x:c>
      <x:c r="F240" s="14" t="str">
        <x:v>Clearly document rationale for each topic recommendation within the SharePoint list item</x:v>
      </x:c>
      <x:c r="G240" s="5"/>
      <x:c r="H240" s="11"/>
      <x:c r="I240" s="11" t="n">
        <x:f>'Cycles &amp; Guide'!$D$11</x:f>
        <x:v>46203</x:v>
      </x:c>
      <x:c r="J240" s="11"/>
      <x:c r="K240" s="29"/>
      <x:c r="L240" s="2" t="str">
        <x:f>IF(O240=1,"Complete",IF(A240,"Checklist open",IF(H240&lt;&gt;"","In progress","Not started")))</x:f>
        <x:v>Not started</x:v>
      </x:c>
      <x:c r="M240" s="2" t="str">
        <x:v>Task</x:v>
      </x:c>
      <x:c r="N240" s="2" t="str">
        <x:v>DR.CA.3.1.2026.CY2</x:v>
      </x:c>
      <x:c r="O240" s="2" t="n">
        <x:f>R240</x:f>
        <x:v>0</x:v>
      </x:c>
      <x:c r="P240" s="2"/>
      <x:c r="Q240" s="2" t="n">
        <x:v>1</x:v>
      </x:c>
      <x:c r="R240" s="2" t="n">
        <x:f>IF(A240,1,0)</x:f>
        <x:v>0</x:v>
      </x:c>
      <x:c r="S240" s="2" t="n">
        <x:f>SUBTOTAL(103,N240)</x:f>
        <x:v>1</x:v>
      </x:c>
    </x:row>
    <x:row r="241" ht="42" customHeight="1">
      <x:c r="A241" s="28" t="b">
        <x:v>0</x:v>
      </x:c>
      <x:c r="B241" s="2" t="str">
        <x:v>Cycle 2</x:v>
      </x:c>
      <x:c r="C241" s="2" t="str">
        <x:v>Phase 3</x:v>
      </x:c>
      <x:c r="D241" s="2" t="str">
        <x:v>Cards</x:v>
      </x:c>
      <x:c r="E241" s="56" t="str">
        <x:v>DR.CA.3.2</x:v>
      </x:c>
      <x:c r="F241" s="14" t="str">
        <x:v>Attach the data package for each topic recommendation within the SharePoint list item</x:v>
      </x:c>
      <x:c r="G241" s="5"/>
      <x:c r="H241" s="11"/>
      <x:c r="I241" s="11" t="n">
        <x:f>'Cycles &amp; Guide'!$D$11</x:f>
        <x:v>46203</x:v>
      </x:c>
      <x:c r="J241" s="11"/>
      <x:c r="K241" s="29"/>
      <x:c r="L241" s="2" t="str">
        <x:f>IF(O241=1,"Complete",IF(A241,"Checklist open",IF(H241&lt;&gt;"","In progress","Not started")))</x:f>
        <x:v>Not started</x:v>
      </x:c>
      <x:c r="M241" s="2" t="str">
        <x:v>Task</x:v>
      </x:c>
      <x:c r="N241" s="2" t="str">
        <x:v>DR.CA.3.2.2026.CY2</x:v>
      </x:c>
      <x:c r="O241" s="2" t="n">
        <x:f>R241</x:f>
        <x:v>0</x:v>
      </x:c>
      <x:c r="P241" s="2"/>
      <x:c r="Q241" s="2" t="n">
        <x:v>1</x:v>
      </x:c>
      <x:c r="R241" s="2" t="n">
        <x:f>IF(A241,1,0)</x:f>
        <x:v>0</x:v>
      </x:c>
      <x:c r="S241" s="2" t="n">
        <x:f>SUBTOTAL(103,N241)</x:f>
        <x:v>1</x:v>
      </x:c>
    </x:row>
    <x:row r="242" ht="42" customHeight="1">
      <x:c r="A242" s="28" t="b">
        <x:v>0</x:v>
      </x:c>
      <x:c r="B242" s="2" t="str">
        <x:v>Cycle 2</x:v>
      </x:c>
      <x:c r="C242" s="2" t="str">
        <x:v>Phase 3</x:v>
      </x:c>
      <x:c r="D242" s="2" t="str">
        <x:v>Cards</x:v>
      </x:c>
      <x:c r="E242" s="56" t="str">
        <x:v>DR.CA.3.3</x:v>
      </x:c>
      <x:c r="F242" s="14" t="str">
        <x:v>Confirm data privileges have been granted, ensuring each pillar can access</x:v>
      </x:c>
      <x:c r="G242" s="5"/>
      <x:c r="H242" s="11"/>
      <x:c r="I242" s="11" t="n">
        <x:f>'Cycles &amp; Guide'!$D$11</x:f>
        <x:v>46203</x:v>
      </x:c>
      <x:c r="J242" s="11"/>
      <x:c r="K242" s="29"/>
      <x:c r="L242" s="2" t="str">
        <x:f>IF(O242=1,"Complete",IF(A242,"Checklist open",IF(H242&lt;&gt;"","In progress","Not started")))</x:f>
        <x:v>Not started</x:v>
      </x:c>
      <x:c r="M242" s="2" t="str">
        <x:v>Task</x:v>
      </x:c>
      <x:c r="N242" s="2" t="str">
        <x:v>DR.CA.3.3.2026.CY2</x:v>
      </x:c>
      <x:c r="O242" s="2" t="n">
        <x:f>R242</x:f>
        <x:v>0</x:v>
      </x:c>
      <x:c r="P242" s="2"/>
      <x:c r="Q242" s="2" t="n">
        <x:v>1</x:v>
      </x:c>
      <x:c r="R242" s="2" t="n">
        <x:f>IF(A242,1,0)</x:f>
        <x:v>0</x:v>
      </x:c>
      <x:c r="S242" s="2" t="n">
        <x:f>SUBTOTAL(103,N242)</x:f>
        <x:v>1</x:v>
      </x:c>
    </x:row>
    <x:row r="243" ht="42" customHeight="1">
      <x:c r="A243" s="28" t="b">
        <x:v>0</x:v>
      </x:c>
      <x:c r="B243" s="2" t="str">
        <x:v>Cycle 2</x:v>
      </x:c>
      <x:c r="C243" s="2" t="str">
        <x:v>Phase 3</x:v>
      </x:c>
      <x:c r="D243" s="2" t="str">
        <x:v>Cards</x:v>
      </x:c>
      <x:c r="E243" s="56" t="str">
        <x:v>DR.CA.3.4</x:v>
      </x:c>
      <x:c r="F243" s="14" t="str">
        <x:v>Ensure Power Automate notifications were correctly triggered within Microsoft Teams</x:v>
      </x:c>
      <x:c r="G243" s="5"/>
      <x:c r="H243" s="11"/>
      <x:c r="I243" s="11" t="n">
        <x:f>'Cycles &amp; Guide'!$D$11</x:f>
        <x:v>46203</x:v>
      </x:c>
      <x:c r="J243" s="11"/>
      <x:c r="K243" s="29"/>
      <x:c r="L243" s="2" t="str">
        <x:f>IF(O243=1,"Complete",IF(A243,"Checklist open",IF(H243&lt;&gt;"","In progress","Not started")))</x:f>
        <x:v>Not started</x:v>
      </x:c>
      <x:c r="M243" s="2" t="str">
        <x:v>Task</x:v>
      </x:c>
      <x:c r="N243" s="2" t="str">
        <x:v>DR.CA.3.4.2026.CY2</x:v>
      </x:c>
      <x:c r="O243" s="2" t="n">
        <x:f>R243</x:f>
        <x:v>0</x:v>
      </x:c>
      <x:c r="P243" s="2"/>
      <x:c r="Q243" s="2" t="n">
        <x:v>1</x:v>
      </x:c>
      <x:c r="R243" s="2" t="n">
        <x:f>IF(A243,1,0)</x:f>
        <x:v>0</x:v>
      </x:c>
      <x:c r="S243" s="2" t="n">
        <x:f>SUBTOTAL(103,N243)</x:f>
        <x:v>1</x:v>
      </x:c>
    </x:row>
    <x:row r="244" ht="42" customHeight="1">
      <x:c r="A244" s="28" t="b">
        <x:v>0</x:v>
      </x:c>
      <x:c r="B244" s="2" t="str">
        <x:v>Cycle 2</x:v>
      </x:c>
      <x:c r="C244" s="2" t="str">
        <x:v>Phase 1</x:v>
      </x:c>
      <x:c r="D244" s="2" t="str">
        <x:v>CSBBO - Banking Ops</x:v>
      </x:c>
      <x:c r="E244" s="56" t="str">
        <x:v>DR.BO.1.1</x:v>
      </x:c>
      <x:c r="F244" s="14" t="str">
        <x:v>Review data sources 3 weeks prior to Cycle start (Complaints, Gen AI, Loudspeaker, NPS, etc.)</x:v>
      </x:c>
      <x:c r="G244" s="5"/>
      <x:c r="H244" s="11"/>
      <x:c r="I244" s="11" t="n">
        <x:f>'Cycles &amp; Guide'!$C$11-21</x:f>
        <x:v>46092</x:v>
      </x:c>
      <x:c r="J244" s="11"/>
      <x:c r="K244" s="29"/>
      <x:c r="L244" s="2" t="str">
        <x:f>IF(O244=1,"Complete",IF(A244,"Checklist open",IF(H244&lt;&gt;"","In progress","Not started")))</x:f>
        <x:v>Not started</x:v>
      </x:c>
      <x:c r="M244" s="2" t="str">
        <x:v>Task</x:v>
      </x:c>
      <x:c r="N244" s="2" t="str">
        <x:v>DR.BO.1.1.2026.CY2</x:v>
      </x:c>
      <x:c r="O244" s="2" t="n">
        <x:f>R244</x:f>
        <x:v>0</x:v>
      </x:c>
      <x:c r="P244" s="2"/>
      <x:c r="Q244" s="2" t="n">
        <x:v>1</x:v>
      </x:c>
      <x:c r="R244" s="2" t="n">
        <x:f>IF(A244,1,0)</x:f>
        <x:v>0</x:v>
      </x:c>
      <x:c r="S244" s="2" t="n">
        <x:f>SUBTOTAL(103,N244)</x:f>
        <x:v>1</x:v>
      </x:c>
    </x:row>
    <x:row r="245" ht="42" customHeight="1">
      <x:c r="A245" s="28" t="b">
        <x:v>0</x:v>
      </x:c>
      <x:c r="B245" s="2" t="str">
        <x:v>Cycle 2</x:v>
      </x:c>
      <x:c r="C245" s="2" t="str">
        <x:v>Phase 1</x:v>
      </x:c>
      <x:c r="D245" s="2" t="str">
        <x:v>CSBBO - Banking Ops</x:v>
      </x:c>
      <x:c r="E245" s="56" t="str">
        <x:v>DR.BO.1.2</x:v>
      </x:c>
      <x:c r="F245" s="14" t="str">
        <x:v>Identify two potential topics for the upcoming Cycle</x:v>
      </x:c>
      <x:c r="G245" s="5"/>
      <x:c r="H245" s="11"/>
      <x:c r="I245" s="11" t="n">
        <x:f>'Cycles &amp; Guide'!$D$11</x:f>
        <x:v>46203</x:v>
      </x:c>
      <x:c r="J245" s="11"/>
      <x:c r="K245" s="29"/>
      <x:c r="L245" s="2" t="str">
        <x:f>IF(O245=1,"Complete",IF(A245,"Checklist open",IF(H245&lt;&gt;"","In progress","Not started")))</x:f>
        <x:v>Not started</x:v>
      </x:c>
      <x:c r="M245" s="2" t="str">
        <x:v>Task</x:v>
      </x:c>
      <x:c r="N245" s="2" t="str">
        <x:v>DR.BO.1.2.2026.CY2</x:v>
      </x:c>
      <x:c r="O245" s="2" t="n">
        <x:f>R245</x:f>
        <x:v>0</x:v>
      </x:c>
      <x:c r="P245" s="2"/>
      <x:c r="Q245" s="2" t="n">
        <x:v>1</x:v>
      </x:c>
      <x:c r="R245" s="2" t="n">
        <x:f>IF(A245,1,0)</x:f>
        <x:v>0</x:v>
      </x:c>
      <x:c r="S245" s="2" t="n">
        <x:f>SUBTOTAL(103,N245)</x:f>
        <x:v>1</x:v>
      </x:c>
    </x:row>
    <x:row r="246" ht="42" customHeight="1">
      <x:c r="A246" s="28" t="b">
        <x:v>0</x:v>
      </x:c>
      <x:c r="B246" s="2" t="str">
        <x:v>Cycle 2</x:v>
      </x:c>
      <x:c r="C246" s="2" t="str">
        <x:v>Phase 1</x:v>
      </x:c>
      <x:c r="D246" s="2" t="str">
        <x:v>CSBBO - Banking Ops</x:v>
      </x:c>
      <x:c r="E246" s="68" t="str">
        <x:v>DR.BO.1.3</x:v>
      </x:c>
      <x:c r="F246" s="33" t="str">
        <x:v>Extract data for both potential topics, ensuring all checklist items below are included/completed</x:v>
      </x:c>
      <x:c r="G246" s="5"/>
      <x:c r="H246" s="11"/>
      <x:c r="I246" s="11" t="n">
        <x:f>'Cycles &amp; Guide'!$D$11</x:f>
        <x:v>46203</x:v>
      </x:c>
      <x:c r="J246" s="11"/>
      <x:c r="K246" s="29"/>
      <x:c r="L246" s="2" t="str">
        <x:f>IF(O246=1,"Complete",IF(A246,"Checklist open",IF(H246&lt;&gt;"","In progress","Not started")))</x:f>
        <x:v>Not started</x:v>
      </x:c>
      <x:c r="M246" s="2" t="str">
        <x:v>Task</x:v>
      </x:c>
      <x:c r="N246" s="2" t="str">
        <x:v>DR.BO.1.3.2026.CY2</x:v>
      </x:c>
      <x:c r="O246" s="2" t="n">
        <x:f>IF(A246,IF(SUMIFS($R$10:$R$737,$P$10:$P$737,N246)=13,1,0),0)</x:f>
        <x:v>0</x:v>
      </x:c>
      <x:c r="P246" s="2"/>
      <x:c r="Q246" s="2" t="n">
        <x:v>1</x:v>
      </x:c>
      <x:c r="R246" s="2" t="n">
        <x:f>IF(A246,1,0)</x:f>
        <x:v>0</x:v>
      </x:c>
      <x:c r="S246" s="2" t="n">
        <x:f>SUBTOTAL(103,N246)</x:f>
        <x:v>1</x:v>
      </x:c>
    </x:row>
    <x:row r="247" ht="31" customHeight="1" outlineLevel="1">
      <x:c r="A247" s="28" t="b">
        <x:v>0</x:v>
      </x:c>
      <x:c r="B247" s="36" t="str">
        <x:v>Cycle 2</x:v>
      </x:c>
      <x:c r="C247" s="36" t="str">
        <x:v>Phase 1</x:v>
      </x:c>
      <x:c r="D247" s="36" t="str">
        <x:v>CSBBO - Banking Ops</x:v>
      </x:c>
      <x:c r="E247" s="69" t="str">
        <x:v>DR.BO.1.3.C01</x:v>
      </x:c>
      <x:c r="F247" s="37" t="str">
        <x:v>    Document date range extracted</x:v>
      </x:c>
      <x:c r="G247" s="5"/>
      <x:c r="H247" s="11"/>
      <x:c r="I247" s="11"/>
      <x:c r="J247" s="11"/>
      <x:c r="K247" s="29"/>
      <x:c r="L247" s="2" t="str">
        <x:f>IF(A247,"Complete","Open check")</x:f>
        <x:v>Open check</x:v>
      </x:c>
      <x:c r="M247" s="2" t="str">
        <x:v>Checklist</x:v>
      </x:c>
      <x:c r="N247" s="2" t="str">
        <x:v>DR.BO.1.3.C01.2026.CY2</x:v>
      </x:c>
      <x:c r="O247" s="2" t="n">
        <x:f>R247</x:f>
        <x:v>0</x:v>
      </x:c>
      <x:c r="P247" s="2" t="str">
        <x:v>DR.BO.1.3.2026.CY2</x:v>
      </x:c>
      <x:c r="Q247" s="2" t="n">
        <x:v>0</x:v>
      </x:c>
      <x:c r="R247" s="2" t="n">
        <x:f>IF(A247,1,0)</x:f>
        <x:v>0</x:v>
      </x:c>
      <x:c r="S247" s="2" t="n">
        <x:f>SUBTOTAL(103,N247)</x:f>
        <x:v>1</x:v>
      </x:c>
    </x:row>
    <x:row r="248" ht="31" customHeight="1" outlineLevel="1">
      <x:c r="A248" s="28" t="b">
        <x:v>0</x:v>
      </x:c>
      <x:c r="B248" s="36" t="str">
        <x:v>Cycle 2</x:v>
      </x:c>
      <x:c r="C248" s="36" t="str">
        <x:v>Phase 1</x:v>
      </x:c>
      <x:c r="D248" s="36" t="str">
        <x:v>CSBBO - Banking Ops</x:v>
      </x:c>
      <x:c r="E248" s="69" t="str">
        <x:v>DR.BO.1.3.C02</x:v>
      </x:c>
      <x:c r="F248" s="37" t="str">
        <x:v>    Document date of data pull</x:v>
      </x:c>
      <x:c r="G248" s="5"/>
      <x:c r="H248" s="11"/>
      <x:c r="I248" s="11"/>
      <x:c r="J248" s="11"/>
      <x:c r="K248" s="29"/>
      <x:c r="L248" s="2" t="str">
        <x:f>IF(A248,"Complete","Open check")</x:f>
        <x:v>Open check</x:v>
      </x:c>
      <x:c r="M248" s="2" t="str">
        <x:v>Checklist</x:v>
      </x:c>
      <x:c r="N248" s="2" t="str">
        <x:v>DR.BO.1.3.C02.2026.CY2</x:v>
      </x:c>
      <x:c r="O248" s="2" t="n">
        <x:f>R248</x:f>
        <x:v>0</x:v>
      </x:c>
      <x:c r="P248" s="2" t="str">
        <x:v>DR.BO.1.3.2026.CY2</x:v>
      </x:c>
      <x:c r="Q248" s="2" t="n">
        <x:v>0</x:v>
      </x:c>
      <x:c r="R248" s="2" t="n">
        <x:f>IF(A248,1,0)</x:f>
        <x:v>0</x:v>
      </x:c>
      <x:c r="S248" s="2" t="n">
        <x:f>SUBTOTAL(103,N248)</x:f>
        <x:v>1</x:v>
      </x:c>
    </x:row>
    <x:row r="249" ht="31" customHeight="1" outlineLevel="1">
      <x:c r="A249" s="28" t="b">
        <x:v>0</x:v>
      </x:c>
      <x:c r="B249" s="36" t="str">
        <x:v>Cycle 2</x:v>
      </x:c>
      <x:c r="C249" s="36" t="str">
        <x:v>Phase 1</x:v>
      </x:c>
      <x:c r="D249" s="36" t="str">
        <x:v>CSBBO - Banking Ops</x:v>
      </x:c>
      <x:c r="E249" s="69" t="str">
        <x:v>DR.BO.1.3.C03</x:v>
      </x:c>
      <x:c r="F249" s="37" t="str">
        <x:v>    Document population details</x:v>
      </x:c>
      <x:c r="G249" s="5"/>
      <x:c r="H249" s="11"/>
      <x:c r="I249" s="11"/>
      <x:c r="J249" s="11"/>
      <x:c r="K249" s="29"/>
      <x:c r="L249" s="2" t="str">
        <x:f>IF(A249,"Complete","Open check")</x:f>
        <x:v>Open check</x:v>
      </x:c>
      <x:c r="M249" s="2" t="str">
        <x:v>Checklist</x:v>
      </x:c>
      <x:c r="N249" s="2" t="str">
        <x:v>DR.BO.1.3.C03.2026.CY2</x:v>
      </x:c>
      <x:c r="O249" s="2" t="n">
        <x:f>R249</x:f>
        <x:v>0</x:v>
      </x:c>
      <x:c r="P249" s="2" t="str">
        <x:v>DR.BO.1.3.2026.CY2</x:v>
      </x:c>
      <x:c r="Q249" s="2" t="n">
        <x:v>0</x:v>
      </x:c>
      <x:c r="R249" s="2" t="n">
        <x:f>IF(A249,1,0)</x:f>
        <x:v>0</x:v>
      </x:c>
      <x:c r="S249" s="2" t="n">
        <x:f>SUBTOTAL(103,N249)</x:f>
        <x:v>1</x:v>
      </x:c>
    </x:row>
    <x:row r="250" ht="31" customHeight="1" outlineLevel="1">
      <x:c r="A250" s="28" t="b">
        <x:v>0</x:v>
      </x:c>
      <x:c r="B250" s="36" t="str">
        <x:v>Cycle 2</x:v>
      </x:c>
      <x:c r="C250" s="36" t="str">
        <x:v>Phase 1</x:v>
      </x:c>
      <x:c r="D250" s="36" t="str">
        <x:v>CSBBO - Banking Ops</x:v>
      </x:c>
      <x:c r="E250" s="69" t="str">
        <x:v>DR.BO.1.3.C04</x:v>
      </x:c>
      <x:c r="F250" s="37" t="str">
        <x:v>    Validate no data is missing</x:v>
      </x:c>
      <x:c r="G250" s="5"/>
      <x:c r="H250" s="11"/>
      <x:c r="I250" s="11"/>
      <x:c r="J250" s="11"/>
      <x:c r="K250" s="29"/>
      <x:c r="L250" s="2" t="str">
        <x:f>IF(A250,"Complete","Open check")</x:f>
        <x:v>Open check</x:v>
      </x:c>
      <x:c r="M250" s="2" t="str">
        <x:v>Checklist</x:v>
      </x:c>
      <x:c r="N250" s="2" t="str">
        <x:v>DR.BO.1.3.C04.2026.CY2</x:v>
      </x:c>
      <x:c r="O250" s="2" t="n">
        <x:f>R250</x:f>
        <x:v>0</x:v>
      </x:c>
      <x:c r="P250" s="2" t="str">
        <x:v>DR.BO.1.3.2026.CY2</x:v>
      </x:c>
      <x:c r="Q250" s="2" t="n">
        <x:v>0</x:v>
      </x:c>
      <x:c r="R250" s="2" t="n">
        <x:f>IF(A250,1,0)</x:f>
        <x:v>0</x:v>
      </x:c>
      <x:c r="S250" s="2" t="n">
        <x:f>SUBTOTAL(103,N250)</x:f>
        <x:v>1</x:v>
      </x:c>
    </x:row>
    <x:row r="251" ht="31" customHeight="1" outlineLevel="1">
      <x:c r="A251" s="28" t="b">
        <x:v>0</x:v>
      </x:c>
      <x:c r="B251" s="36" t="str">
        <x:v>Cycle 2</x:v>
      </x:c>
      <x:c r="C251" s="36" t="str">
        <x:v>Phase 1</x:v>
      </x:c>
      <x:c r="D251" s="36" t="str">
        <x:v>CSBBO - Banking Ops</x:v>
      </x:c>
      <x:c r="E251" s="69" t="str">
        <x:v>DR.BO.1.3.C05</x:v>
      </x:c>
      <x:c r="F251" s="37" t="str">
        <x:v>    Validate accuracy of data</x:v>
      </x:c>
      <x:c r="G251" s="5"/>
      <x:c r="H251" s="11"/>
      <x:c r="I251" s="11"/>
      <x:c r="J251" s="11"/>
      <x:c r="K251" s="29"/>
      <x:c r="L251" s="2" t="str">
        <x:f>IF(A251,"Complete","Open check")</x:f>
        <x:v>Open check</x:v>
      </x:c>
      <x:c r="M251" s="2" t="str">
        <x:v>Checklist</x:v>
      </x:c>
      <x:c r="N251" s="2" t="str">
        <x:v>DR.BO.1.3.C05.2026.CY2</x:v>
      </x:c>
      <x:c r="O251" s="2" t="n">
        <x:f>R251</x:f>
        <x:v>0</x:v>
      </x:c>
      <x:c r="P251" s="2" t="str">
        <x:v>DR.BO.1.3.2026.CY2</x:v>
      </x:c>
      <x:c r="Q251" s="2" t="n">
        <x:v>0</x:v>
      </x:c>
      <x:c r="R251" s="2" t="n">
        <x:f>IF(A251,1,0)</x:f>
        <x:v>0</x:v>
      </x:c>
      <x:c r="S251" s="2" t="n">
        <x:f>SUBTOTAL(103,N251)</x:f>
        <x:v>1</x:v>
      </x:c>
    </x:row>
    <x:row r="252" ht="31" customHeight="1" outlineLevel="1">
      <x:c r="A252" s="28" t="b">
        <x:v>0</x:v>
      </x:c>
      <x:c r="B252" s="36" t="str">
        <x:v>Cycle 2</x:v>
      </x:c>
      <x:c r="C252" s="36" t="str">
        <x:v>Phase 1</x:v>
      </x:c>
      <x:c r="D252" s="36" t="str">
        <x:v>CSBBO - Banking Ops</x:v>
      </x:c>
      <x:c r="E252" s="69" t="str">
        <x:v>DR.BO.1.3.C06</x:v>
      </x:c>
      <x:c r="F252" s="37" t="str">
        <x:v>    Validate no duplicate data is provided</x:v>
      </x:c>
      <x:c r="G252" s="5"/>
      <x:c r="H252" s="11"/>
      <x:c r="I252" s="11"/>
      <x:c r="J252" s="11"/>
      <x:c r="K252" s="29"/>
      <x:c r="L252" s="2" t="str">
        <x:f>IF(A252,"Complete","Open check")</x:f>
        <x:v>Open check</x:v>
      </x:c>
      <x:c r="M252" s="2" t="str">
        <x:v>Checklist</x:v>
      </x:c>
      <x:c r="N252" s="2" t="str">
        <x:v>DR.BO.1.3.C06.2026.CY2</x:v>
      </x:c>
      <x:c r="O252" s="2" t="n">
        <x:f>R252</x:f>
        <x:v>0</x:v>
      </x:c>
      <x:c r="P252" s="2" t="str">
        <x:v>DR.BO.1.3.2026.CY2</x:v>
      </x:c>
      <x:c r="Q252" s="2" t="n">
        <x:v>0</x:v>
      </x:c>
      <x:c r="R252" s="2" t="n">
        <x:f>IF(A252,1,0)</x:f>
        <x:v>0</x:v>
      </x:c>
      <x:c r="S252" s="2" t="n">
        <x:f>SUBTOTAL(103,N252)</x:f>
        <x:v>1</x:v>
      </x:c>
    </x:row>
    <x:row r="253" ht="31" customHeight="1" outlineLevel="1">
      <x:c r="A253" s="28" t="b">
        <x:v>0</x:v>
      </x:c>
      <x:c r="B253" s="36" t="str">
        <x:v>Cycle 2</x:v>
      </x:c>
      <x:c r="C253" s="36" t="str">
        <x:v>Phase 1</x:v>
      </x:c>
      <x:c r="D253" s="36" t="str">
        <x:v>CSBBO - Banking Ops</x:v>
      </x:c>
      <x:c r="E253" s="69" t="str">
        <x:v>DR.BO.1.3.C07</x:v>
      </x:c>
      <x:c r="F253" s="37" t="str">
        <x:v>    Document any data exclusions along with justification (as needed)</x:v>
      </x:c>
      <x:c r="G253" s="5"/>
      <x:c r="H253" s="11"/>
      <x:c r="I253" s="11"/>
      <x:c r="J253" s="11"/>
      <x:c r="K253" s="29"/>
      <x:c r="L253" s="2" t="str">
        <x:f>IF(A253,"Complete","Open check")</x:f>
        <x:v>Open check</x:v>
      </x:c>
      <x:c r="M253" s="2" t="str">
        <x:v>Checklist</x:v>
      </x:c>
      <x:c r="N253" s="2" t="str">
        <x:v>DR.BO.1.3.C07.2026.CY2</x:v>
      </x:c>
      <x:c r="O253" s="2" t="n">
        <x:f>R253</x:f>
        <x:v>0</x:v>
      </x:c>
      <x:c r="P253" s="2" t="str">
        <x:v>DR.BO.1.3.2026.CY2</x:v>
      </x:c>
      <x:c r="Q253" s="2" t="n">
        <x:v>0</x:v>
      </x:c>
      <x:c r="R253" s="2" t="n">
        <x:f>IF(A253,1,0)</x:f>
        <x:v>0</x:v>
      </x:c>
      <x:c r="S253" s="2" t="n">
        <x:f>SUBTOTAL(103,N253)</x:f>
        <x:v>1</x:v>
      </x:c>
    </x:row>
    <x:row r="254" ht="31" customHeight="1" outlineLevel="1">
      <x:c r="A254" s="28" t="b">
        <x:v>0</x:v>
      </x:c>
      <x:c r="B254" s="36" t="str">
        <x:v>Cycle 2</x:v>
      </x:c>
      <x:c r="C254" s="36" t="str">
        <x:v>Phase 1</x:v>
      </x:c>
      <x:c r="D254" s="36" t="str">
        <x:v>CSBBO - Banking Ops</x:v>
      </x:c>
      <x:c r="E254" s="69" t="str">
        <x:v>DR.BO.1.3.C08</x:v>
      </x:c>
      <x:c r="F254" s="37" t="str">
        <x:v>    Document any assumptions made with the data (as needed)</x:v>
      </x:c>
      <x:c r="G254" s="5"/>
      <x:c r="H254" s="11"/>
      <x:c r="I254" s="11"/>
      <x:c r="J254" s="11"/>
      <x:c r="K254" s="29"/>
      <x:c r="L254" s="2" t="str">
        <x:f>IF(A254,"Complete","Open check")</x:f>
        <x:v>Open check</x:v>
      </x:c>
      <x:c r="M254" s="2" t="str">
        <x:v>Checklist</x:v>
      </x:c>
      <x:c r="N254" s="2" t="str">
        <x:v>DR.BO.1.3.C08.2026.CY2</x:v>
      </x:c>
      <x:c r="O254" s="2" t="n">
        <x:f>R254</x:f>
        <x:v>0</x:v>
      </x:c>
      <x:c r="P254" s="2" t="str">
        <x:v>DR.BO.1.3.2026.CY2</x:v>
      </x:c>
      <x:c r="Q254" s="2" t="n">
        <x:v>0</x:v>
      </x:c>
      <x:c r="R254" s="2" t="n">
        <x:f>IF(A254,1,0)</x:f>
        <x:v>0</x:v>
      </x:c>
      <x:c r="S254" s="2" t="n">
        <x:f>SUBTOTAL(103,N254)</x:f>
        <x:v>1</x:v>
      </x:c>
    </x:row>
    <x:row r="255" ht="31" customHeight="1" outlineLevel="1">
      <x:c r="A255" s="28" t="b">
        <x:v>0</x:v>
      </x:c>
      <x:c r="B255" s="36" t="str">
        <x:v>Cycle 2</x:v>
      </x:c>
      <x:c r="C255" s="36" t="str">
        <x:v>Phase 1</x:v>
      </x:c>
      <x:c r="D255" s="36" t="str">
        <x:v>CSBBO - Banking Ops</x:v>
      </x:c>
      <x:c r="E255" s="69" t="str">
        <x:v>DR.BO.1.3.C09</x:v>
      </x:c>
      <x:c r="F255" s="37" t="str">
        <x:v>    Document any data limitations or constraints clearly (as needed)</x:v>
      </x:c>
      <x:c r="G255" s="5"/>
      <x:c r="H255" s="11"/>
      <x:c r="I255" s="11"/>
      <x:c r="J255" s="11"/>
      <x:c r="K255" s="29"/>
      <x:c r="L255" s="2" t="str">
        <x:f>IF(A255,"Complete","Open check")</x:f>
        <x:v>Open check</x:v>
      </x:c>
      <x:c r="M255" s="2" t="str">
        <x:v>Checklist</x:v>
      </x:c>
      <x:c r="N255" s="2" t="str">
        <x:v>DR.BO.1.3.C09.2026.CY2</x:v>
      </x:c>
      <x:c r="O255" s="2" t="n">
        <x:f>R255</x:f>
        <x:v>0</x:v>
      </x:c>
      <x:c r="P255" s="2" t="str">
        <x:v>DR.BO.1.3.2026.CY2</x:v>
      </x:c>
      <x:c r="Q255" s="2" t="n">
        <x:v>0</x:v>
      </x:c>
      <x:c r="R255" s="2" t="n">
        <x:f>IF(A255,1,0)</x:f>
        <x:v>0</x:v>
      </x:c>
      <x:c r="S255" s="2" t="n">
        <x:f>SUBTOTAL(103,N255)</x:f>
        <x:v>1</x:v>
      </x:c>
    </x:row>
    <x:row r="256" ht="31" customHeight="1" outlineLevel="1">
      <x:c r="A256" s="28" t="b">
        <x:v>0</x:v>
      </x:c>
      <x:c r="B256" s="36" t="str">
        <x:v>Cycle 2</x:v>
      </x:c>
      <x:c r="C256" s="36" t="str">
        <x:v>Phase 1</x:v>
      </x:c>
      <x:c r="D256" s="36" t="str">
        <x:v>CSBBO - Banking Ops</x:v>
      </x:c>
      <x:c r="E256" s="69" t="str">
        <x:v>DR.BO.1.3.C10</x:v>
      </x:c>
      <x:c r="F256" s="37" t="str">
        <x:v>    Document data dictionary or field definitions for columns/rows</x:v>
      </x:c>
      <x:c r="G256" s="5"/>
      <x:c r="H256" s="11"/>
      <x:c r="I256" s="11"/>
      <x:c r="J256" s="11"/>
      <x:c r="K256" s="29"/>
      <x:c r="L256" s="2" t="str">
        <x:f>IF(A256,"Complete","Open check")</x:f>
        <x:v>Open check</x:v>
      </x:c>
      <x:c r="M256" s="2" t="str">
        <x:v>Checklist</x:v>
      </x:c>
      <x:c r="N256" s="2" t="str">
        <x:v>DR.BO.1.3.C10.2026.CY2</x:v>
      </x:c>
      <x:c r="O256" s="2" t="n">
        <x:f>R256</x:f>
        <x:v>0</x:v>
      </x:c>
      <x:c r="P256" s="2" t="str">
        <x:v>DR.BO.1.3.2026.CY2</x:v>
      </x:c>
      <x:c r="Q256" s="2" t="n">
        <x:v>0</x:v>
      </x:c>
      <x:c r="R256" s="2" t="n">
        <x:f>IF(A256,1,0)</x:f>
        <x:v>0</x:v>
      </x:c>
      <x:c r="S256" s="2" t="n">
        <x:f>SUBTOTAL(103,N256)</x:f>
        <x:v>1</x:v>
      </x:c>
    </x:row>
    <x:row r="257" ht="31" customHeight="1" outlineLevel="1">
      <x:c r="A257" s="28" t="b">
        <x:v>0</x:v>
      </x:c>
      <x:c r="B257" s="36" t="str">
        <x:v>Cycle 2</x:v>
      </x:c>
      <x:c r="C257" s="36" t="str">
        <x:v>Phase 1</x:v>
      </x:c>
      <x:c r="D257" s="36" t="str">
        <x:v>CSBBO - Banking Ops</x:v>
      </x:c>
      <x:c r="E257" s="69" t="str">
        <x:v>DR.BO.1.3.C11</x:v>
      </x:c>
      <x:c r="F257" s="37" t="str">
        <x:v>    Document emerging trends, patterns, or concentrations along with supporting data</x:v>
      </x:c>
      <x:c r="G257" s="5"/>
      <x:c r="H257" s="11"/>
      <x:c r="I257" s="11"/>
      <x:c r="J257" s="11"/>
      <x:c r="K257" s="29"/>
      <x:c r="L257" s="2" t="str">
        <x:f>IF(A257,"Complete","Open check")</x:f>
        <x:v>Open check</x:v>
      </x:c>
      <x:c r="M257" s="2" t="str">
        <x:v>Checklist</x:v>
      </x:c>
      <x:c r="N257" s="2" t="str">
        <x:v>DR.BO.1.3.C11.2026.CY2</x:v>
      </x:c>
      <x:c r="O257" s="2" t="n">
        <x:f>R257</x:f>
        <x:v>0</x:v>
      </x:c>
      <x:c r="P257" s="2" t="str">
        <x:v>DR.BO.1.3.2026.CY2</x:v>
      </x:c>
      <x:c r="Q257" s="2" t="n">
        <x:v>0</x:v>
      </x:c>
      <x:c r="R257" s="2" t="n">
        <x:f>IF(A257,1,0)</x:f>
        <x:v>0</x:v>
      </x:c>
      <x:c r="S257" s="2" t="n">
        <x:f>SUBTOTAL(103,N257)</x:f>
        <x:v>1</x:v>
      </x:c>
    </x:row>
    <x:row r="258" ht="31" customHeight="1" outlineLevel="1">
      <x:c r="A258" s="28" t="b">
        <x:v>0</x:v>
      </x:c>
      <x:c r="B258" s="36" t="str">
        <x:v>Cycle 2</x:v>
      </x:c>
      <x:c r="C258" s="36" t="str">
        <x:v>Phase 1</x:v>
      </x:c>
      <x:c r="D258" s="36" t="str">
        <x:v>CSBBO - Banking Ops</x:v>
      </x:c>
      <x:c r="E258" s="69" t="str">
        <x:v>DR.BO.1.3.C12</x:v>
      </x:c>
      <x:c r="F258" s="37" t="str">
        <x:v>    Document any severe spikes in volume along with context (as needed)</x:v>
      </x:c>
      <x:c r="G258" s="5"/>
      <x:c r="H258" s="11"/>
      <x:c r="I258" s="11"/>
      <x:c r="J258" s="11"/>
      <x:c r="K258" s="29"/>
      <x:c r="L258" s="2" t="str">
        <x:f>IF(A258,"Complete","Open check")</x:f>
        <x:v>Open check</x:v>
      </x:c>
      <x:c r="M258" s="2" t="str">
        <x:v>Checklist</x:v>
      </x:c>
      <x:c r="N258" s="2" t="str">
        <x:v>DR.BO.1.3.C12.2026.CY2</x:v>
      </x:c>
      <x:c r="O258" s="2" t="n">
        <x:f>R258</x:f>
        <x:v>0</x:v>
      </x:c>
      <x:c r="P258" s="2" t="str">
        <x:v>DR.BO.1.3.2026.CY2</x:v>
      </x:c>
      <x:c r="Q258" s="2" t="n">
        <x:v>0</x:v>
      </x:c>
      <x:c r="R258" s="2" t="n">
        <x:f>IF(A258,1,0)</x:f>
        <x:v>0</x:v>
      </x:c>
      <x:c r="S258" s="2" t="n">
        <x:f>SUBTOTAL(103,N258)</x:f>
        <x:v>1</x:v>
      </x:c>
    </x:row>
    <x:row r="259" ht="31" customHeight="1" outlineLevel="1">
      <x:c r="A259" s="28" t="b">
        <x:v>0</x:v>
      </x:c>
      <x:c r="B259" s="36" t="str">
        <x:v>Cycle 2</x:v>
      </x:c>
      <x:c r="C259" s="36" t="str">
        <x:v>Phase 1</x:v>
      </x:c>
      <x:c r="D259" s="36" t="str">
        <x:v>CSBBO - Banking Ops</x:v>
      </x:c>
      <x:c r="E259" s="69" t="str">
        <x:v>DR.BO.1.3.C13</x:v>
      </x:c>
      <x:c r="F259" s="37" t="str">
        <x:v>    Document clear summary explaining how the data connects to the potential topic</x:v>
      </x:c>
      <x:c r="G259" s="5"/>
      <x:c r="H259" s="11"/>
      <x:c r="I259" s="11"/>
      <x:c r="J259" s="11"/>
      <x:c r="K259" s="29"/>
      <x:c r="L259" s="2" t="str">
        <x:f>IF(A259,"Complete","Open check")</x:f>
        <x:v>Open check</x:v>
      </x:c>
      <x:c r="M259" s="2" t="str">
        <x:v>Checklist</x:v>
      </x:c>
      <x:c r="N259" s="2" t="str">
        <x:v>DR.BO.1.3.C13.2026.CY2</x:v>
      </x:c>
      <x:c r="O259" s="2" t="n">
        <x:f>R259</x:f>
        <x:v>0</x:v>
      </x:c>
      <x:c r="P259" s="2" t="str">
        <x:v>DR.BO.1.3.2026.CY2</x:v>
      </x:c>
      <x:c r="Q259" s="2" t="n">
        <x:v>0</x:v>
      </x:c>
      <x:c r="R259" s="2" t="n">
        <x:f>IF(A259,1,0)</x:f>
        <x:v>0</x:v>
      </x:c>
      <x:c r="S259" s="2" t="n">
        <x:f>SUBTOTAL(103,N259)</x:f>
        <x:v>1</x:v>
      </x:c>
    </x:row>
    <x:row r="260" ht="42" customHeight="1">
      <x:c r="A260" s="28" t="b">
        <x:v>0</x:v>
      </x:c>
      <x:c r="B260" s="2" t="str">
        <x:v>Cycle 2</x:v>
      </x:c>
      <x:c r="C260" s="2" t="str">
        <x:v>Phase 2</x:v>
      </x:c>
      <x:c r="D260" s="2" t="str">
        <x:v>CSBBO - Banking Ops</x:v>
      </x:c>
      <x:c r="E260" s="56" t="str">
        <x:v>DR.BO.2.1</x:v>
      </x:c>
      <x:c r="F260" s="14" t="str">
        <x:v>Ensure data is clean, structured, and usable without manipulation needed</x:v>
      </x:c>
      <x:c r="G260" s="5"/>
      <x:c r="H260" s="11"/>
      <x:c r="I260" s="11" t="n">
        <x:f>'Cycles &amp; Guide'!$D$11</x:f>
        <x:v>46203</x:v>
      </x:c>
      <x:c r="J260" s="11"/>
      <x:c r="K260" s="29"/>
      <x:c r="L260" s="2" t="str">
        <x:f>IF(O260=1,"Complete",IF(A260,"Checklist open",IF(H260&lt;&gt;"","In progress","Not started")))</x:f>
        <x:v>Not started</x:v>
      </x:c>
      <x:c r="M260" s="2" t="str">
        <x:v>Task</x:v>
      </x:c>
      <x:c r="N260" s="2" t="str">
        <x:v>DR.BO.2.1.2026.CY2</x:v>
      </x:c>
      <x:c r="O260" s="2" t="n">
        <x:f>R260</x:f>
        <x:v>0</x:v>
      </x:c>
      <x:c r="P260" s="2"/>
      <x:c r="Q260" s="2" t="n">
        <x:v>1</x:v>
      </x:c>
      <x:c r="R260" s="2" t="n">
        <x:f>IF(A260,1,0)</x:f>
        <x:v>0</x:v>
      </x:c>
      <x:c r="S260" s="2" t="n">
        <x:f>SUBTOTAL(103,N260)</x:f>
        <x:v>1</x:v>
      </x:c>
    </x:row>
    <x:row r="261" ht="42" customHeight="1">
      <x:c r="A261" s="28" t="b">
        <x:v>0</x:v>
      </x:c>
      <x:c r="B261" s="2" t="str">
        <x:v>Cycle 2</x:v>
      </x:c>
      <x:c r="C261" s="2" t="str">
        <x:v>Phase 2</x:v>
      </x:c>
      <x:c r="D261" s="2" t="str">
        <x:v>CSBBO - Banking Ops</x:v>
      </x:c>
      <x:c r="E261" s="56" t="str">
        <x:v>DR.BO.2.2</x:v>
      </x:c>
      <x:c r="F261" s="14" t="str">
        <x:v>Clearly document rationale for each topic recommendation within the SharePoint list</x:v>
      </x:c>
      <x:c r="G261" s="5"/>
      <x:c r="H261" s="11"/>
      <x:c r="I261" s="11" t="n">
        <x:f>'Cycles &amp; Guide'!$D$11</x:f>
        <x:v>46203</x:v>
      </x:c>
      <x:c r="J261" s="11"/>
      <x:c r="K261" s="29"/>
      <x:c r="L261" s="2" t="str">
        <x:f>IF(O261=1,"Complete",IF(A261,"Checklist open",IF(H261&lt;&gt;"","In progress","Not started")))</x:f>
        <x:v>Not started</x:v>
      </x:c>
      <x:c r="M261" s="2" t="str">
        <x:v>Task</x:v>
      </x:c>
      <x:c r="N261" s="2" t="str">
        <x:v>DR.BO.2.2.2026.CY2</x:v>
      </x:c>
      <x:c r="O261" s="2" t="n">
        <x:f>R261</x:f>
        <x:v>0</x:v>
      </x:c>
      <x:c r="P261" s="2"/>
      <x:c r="Q261" s="2" t="n">
        <x:v>1</x:v>
      </x:c>
      <x:c r="R261" s="2" t="n">
        <x:f>IF(A261,1,0)</x:f>
        <x:v>0</x:v>
      </x:c>
      <x:c r="S261" s="2" t="n">
        <x:f>SUBTOTAL(103,N261)</x:f>
        <x:v>1</x:v>
      </x:c>
    </x:row>
    <x:row r="262" ht="42" customHeight="1">
      <x:c r="A262" s="28" t="b">
        <x:v>0</x:v>
      </x:c>
      <x:c r="B262" s="2" t="str">
        <x:v>Cycle 2</x:v>
      </x:c>
      <x:c r="C262" s="2" t="str">
        <x:v>Phase 2</x:v>
      </x:c>
      <x:c r="D262" s="2" t="str">
        <x:v>CSBBO - Banking Ops</x:v>
      </x:c>
      <x:c r="E262" s="56" t="str">
        <x:v>DR.BO.2.3</x:v>
      </x:c>
      <x:c r="F262" s="14" t="str">
        <x:v>Verify topic is eligible for RCA and does not conflict with Attorney Client Privilege</x:v>
      </x:c>
      <x:c r="G262" s="5"/>
      <x:c r="H262" s="11"/>
      <x:c r="I262" s="11" t="n">
        <x:f>'Cycles &amp; Guide'!$D$11</x:f>
        <x:v>46203</x:v>
      </x:c>
      <x:c r="J262" s="11"/>
      <x:c r="K262" s="29"/>
      <x:c r="L262" s="2" t="str">
        <x:f>IF(O262=1,"Complete",IF(A262,"Checklist open",IF(H262&lt;&gt;"","In progress","Not started")))</x:f>
        <x:v>Not started</x:v>
      </x:c>
      <x:c r="M262" s="2" t="str">
        <x:v>Task</x:v>
      </x:c>
      <x:c r="N262" s="2" t="str">
        <x:v>DR.BO.2.3.2026.CY2</x:v>
      </x:c>
      <x:c r="O262" s="2" t="n">
        <x:f>R262</x:f>
        <x:v>0</x:v>
      </x:c>
      <x:c r="P262" s="2"/>
      <x:c r="Q262" s="2" t="n">
        <x:v>1</x:v>
      </x:c>
      <x:c r="R262" s="2" t="n">
        <x:f>IF(A262,1,0)</x:f>
        <x:v>0</x:v>
      </x:c>
      <x:c r="S262" s="2" t="n">
        <x:f>SUBTOTAL(103,N262)</x:f>
        <x:v>1</x:v>
      </x:c>
    </x:row>
    <x:row r="263" ht="42" customHeight="1">
      <x:c r="A263" s="28" t="b">
        <x:v>0</x:v>
      </x:c>
      <x:c r="B263" s="2" t="str">
        <x:v>Cycle 2</x:v>
      </x:c>
      <x:c r="C263" s="2" t="str">
        <x:v>Phase 2</x:v>
      </x:c>
      <x:c r="D263" s="2" t="str">
        <x:v>CSBBO - Banking Ops</x:v>
      </x:c>
      <x:c r="E263" s="56" t="str">
        <x:v>DR.BO.2.4</x:v>
      </x:c>
      <x:c r="F263" s="14" t="str">
        <x:v>Ensure data is free of errors and anomalies prior to hand-off to Research</x:v>
      </x:c>
      <x:c r="G263" s="5"/>
      <x:c r="H263" s="11"/>
      <x:c r="I263" s="11" t="n">
        <x:f>'Cycles &amp; Guide'!$D$11</x:f>
        <x:v>46203</x:v>
      </x:c>
      <x:c r="J263" s="11"/>
      <x:c r="K263" s="29"/>
      <x:c r="L263" s="2" t="str">
        <x:f>IF(O263=1,"Complete",IF(A263,"Checklist open",IF(H263&lt;&gt;"","In progress","Not started")))</x:f>
        <x:v>Not started</x:v>
      </x:c>
      <x:c r="M263" s="2" t="str">
        <x:v>Task</x:v>
      </x:c>
      <x:c r="N263" s="2" t="str">
        <x:v>DR.BO.2.4.2026.CY2</x:v>
      </x:c>
      <x:c r="O263" s="2" t="n">
        <x:f>R263</x:f>
        <x:v>0</x:v>
      </x:c>
      <x:c r="P263" s="2"/>
      <x:c r="Q263" s="2" t="n">
        <x:v>1</x:v>
      </x:c>
      <x:c r="R263" s="2" t="n">
        <x:f>IF(A263,1,0)</x:f>
        <x:v>0</x:v>
      </x:c>
      <x:c r="S263" s="2" t="n">
        <x:f>SUBTOTAL(103,N263)</x:f>
        <x:v>1</x:v>
      </x:c>
    </x:row>
    <x:row r="264" ht="42" customHeight="1">
      <x:c r="A264" s="28" t="b">
        <x:v>0</x:v>
      </x:c>
      <x:c r="B264" s="2" t="str">
        <x:v>Cycle 2</x:v>
      </x:c>
      <x:c r="C264" s="2" t="str">
        <x:v>Phase 2</x:v>
      </x:c>
      <x:c r="D264" s="2" t="str">
        <x:v>CSBBO - Banking Ops</x:v>
      </x:c>
      <x:c r="E264" s="56" t="str">
        <x:v>DR.BO.2.5</x:v>
      </x:c>
      <x:c r="F264" s="14" t="str">
        <x:v>Ensure topic is not a duplicate from a previous Cycle</x:v>
      </x:c>
      <x:c r="G264" s="5"/>
      <x:c r="H264" s="11"/>
      <x:c r="I264" s="11" t="n">
        <x:f>'Cycles &amp; Guide'!$D$11</x:f>
        <x:v>46203</x:v>
      </x:c>
      <x:c r="J264" s="11"/>
      <x:c r="K264" s="29"/>
      <x:c r="L264" s="2" t="str">
        <x:f>IF(O264=1,"Complete",IF(A264,"Checklist open",IF(H264&lt;&gt;"","In progress","Not started")))</x:f>
        <x:v>Not started</x:v>
      </x:c>
      <x:c r="M264" s="2" t="str">
        <x:v>Task</x:v>
      </x:c>
      <x:c r="N264" s="2" t="str">
        <x:v>DR.BO.2.5.2026.CY2</x:v>
      </x:c>
      <x:c r="O264" s="2" t="n">
        <x:f>R264</x:f>
        <x:v>0</x:v>
      </x:c>
      <x:c r="P264" s="2"/>
      <x:c r="Q264" s="2" t="n">
        <x:v>1</x:v>
      </x:c>
      <x:c r="R264" s="2" t="n">
        <x:f>IF(A264,1,0)</x:f>
        <x:v>0</x:v>
      </x:c>
      <x:c r="S264" s="2" t="n">
        <x:f>SUBTOTAL(103,N264)</x:f>
        <x:v>1</x:v>
      </x:c>
    </x:row>
    <x:row r="265" ht="42" customHeight="1">
      <x:c r="A265" s="28" t="b">
        <x:v>0</x:v>
      </x:c>
      <x:c r="B265" s="2" t="str">
        <x:v>Cycle 2</x:v>
      </x:c>
      <x:c r="C265" s="2" t="str">
        <x:v>Phase 2</x:v>
      </x:c>
      <x:c r="D265" s="2" t="str">
        <x:v>CSBBO - Banking Ops</x:v>
      </x:c>
      <x:c r="E265" s="56" t="str">
        <x:v>DR.BO.2.6</x:v>
      </x:c>
      <x:c r="F265" s="14" t="str">
        <x:v>Document clear distinctions between facts, assumptions, and hypotheses within the data package</x:v>
      </x:c>
      <x:c r="G265" s="5"/>
      <x:c r="H265" s="11"/>
      <x:c r="I265" s="11" t="n">
        <x:f>'Cycles &amp; Guide'!$D$11</x:f>
        <x:v>46203</x:v>
      </x:c>
      <x:c r="J265" s="11"/>
      <x:c r="K265" s="29"/>
      <x:c r="L265" s="2" t="str">
        <x:f>IF(O265=1,"Complete",IF(A265,"Checklist open",IF(H265&lt;&gt;"","In progress","Not started")))</x:f>
        <x:v>Not started</x:v>
      </x:c>
      <x:c r="M265" s="2" t="str">
        <x:v>Task</x:v>
      </x:c>
      <x:c r="N265" s="2" t="str">
        <x:v>DR.BO.2.6.2026.CY2</x:v>
      </x:c>
      <x:c r="O265" s="2" t="n">
        <x:f>R265</x:f>
        <x:v>0</x:v>
      </x:c>
      <x:c r="P265" s="2"/>
      <x:c r="Q265" s="2" t="n">
        <x:v>1</x:v>
      </x:c>
      <x:c r="R265" s="2" t="n">
        <x:f>IF(A265,1,0)</x:f>
        <x:v>0</x:v>
      </x:c>
      <x:c r="S265" s="2" t="n">
        <x:f>SUBTOTAL(103,N265)</x:f>
        <x:v>1</x:v>
      </x:c>
    </x:row>
    <x:row r="266" ht="42" customHeight="1">
      <x:c r="A266" s="28" t="b">
        <x:v>0</x:v>
      </x:c>
      <x:c r="B266" s="2" t="str">
        <x:v>Cycle 2</x:v>
      </x:c>
      <x:c r="C266" s="2" t="str">
        <x:v>Phase 3</x:v>
      </x:c>
      <x:c r="D266" s="2" t="str">
        <x:v>CSBBO - Banking Ops</x:v>
      </x:c>
      <x:c r="E266" s="56" t="str">
        <x:v>DR.BO.3.1</x:v>
      </x:c>
      <x:c r="F266" s="14" t="str">
        <x:v>Clearly document rationale for each topic recommendation within the SharePoint list item</x:v>
      </x:c>
      <x:c r="G266" s="5"/>
      <x:c r="H266" s="11"/>
      <x:c r="I266" s="11" t="n">
        <x:f>'Cycles &amp; Guide'!$D$11</x:f>
        <x:v>46203</x:v>
      </x:c>
      <x:c r="J266" s="11"/>
      <x:c r="K266" s="29"/>
      <x:c r="L266" s="2" t="str">
        <x:f>IF(O266=1,"Complete",IF(A266,"Checklist open",IF(H266&lt;&gt;"","In progress","Not started")))</x:f>
        <x:v>Not started</x:v>
      </x:c>
      <x:c r="M266" s="2" t="str">
        <x:v>Task</x:v>
      </x:c>
      <x:c r="N266" s="2" t="str">
        <x:v>DR.BO.3.1.2026.CY2</x:v>
      </x:c>
      <x:c r="O266" s="2" t="n">
        <x:f>R266</x:f>
        <x:v>0</x:v>
      </x:c>
      <x:c r="P266" s="2"/>
      <x:c r="Q266" s="2" t="n">
        <x:v>1</x:v>
      </x:c>
      <x:c r="R266" s="2" t="n">
        <x:f>IF(A266,1,0)</x:f>
        <x:v>0</x:v>
      </x:c>
      <x:c r="S266" s="2" t="n">
        <x:f>SUBTOTAL(103,N266)</x:f>
        <x:v>1</x:v>
      </x:c>
    </x:row>
    <x:row r="267" ht="42" customHeight="1">
      <x:c r="A267" s="28" t="b">
        <x:v>0</x:v>
      </x:c>
      <x:c r="B267" s="2" t="str">
        <x:v>Cycle 2</x:v>
      </x:c>
      <x:c r="C267" s="2" t="str">
        <x:v>Phase 3</x:v>
      </x:c>
      <x:c r="D267" s="2" t="str">
        <x:v>CSBBO - Banking Ops</x:v>
      </x:c>
      <x:c r="E267" s="56" t="str">
        <x:v>DR.BO.3.2</x:v>
      </x:c>
      <x:c r="F267" s="14" t="str">
        <x:v>Attach the data package for each topic recommendation within the SharePoint list item</x:v>
      </x:c>
      <x:c r="G267" s="5"/>
      <x:c r="H267" s="11"/>
      <x:c r="I267" s="11" t="n">
        <x:f>'Cycles &amp; Guide'!$D$11</x:f>
        <x:v>46203</x:v>
      </x:c>
      <x:c r="J267" s="11"/>
      <x:c r="K267" s="29"/>
      <x:c r="L267" s="2" t="str">
        <x:f>IF(O267=1,"Complete",IF(A267,"Checklist open",IF(H267&lt;&gt;"","In progress","Not started")))</x:f>
        <x:v>Not started</x:v>
      </x:c>
      <x:c r="M267" s="2" t="str">
        <x:v>Task</x:v>
      </x:c>
      <x:c r="N267" s="2" t="str">
        <x:v>DR.BO.3.2.2026.CY2</x:v>
      </x:c>
      <x:c r="O267" s="2" t="n">
        <x:f>R267</x:f>
        <x:v>0</x:v>
      </x:c>
      <x:c r="P267" s="2"/>
      <x:c r="Q267" s="2" t="n">
        <x:v>1</x:v>
      </x:c>
      <x:c r="R267" s="2" t="n">
        <x:f>IF(A267,1,0)</x:f>
        <x:v>0</x:v>
      </x:c>
      <x:c r="S267" s="2" t="n">
        <x:f>SUBTOTAL(103,N267)</x:f>
        <x:v>1</x:v>
      </x:c>
    </x:row>
    <x:row r="268" ht="42" customHeight="1">
      <x:c r="A268" s="28" t="b">
        <x:v>0</x:v>
      </x:c>
      <x:c r="B268" s="2" t="str">
        <x:v>Cycle 2</x:v>
      </x:c>
      <x:c r="C268" s="2" t="str">
        <x:v>Phase 3</x:v>
      </x:c>
      <x:c r="D268" s="2" t="str">
        <x:v>CSBBO - Banking Ops</x:v>
      </x:c>
      <x:c r="E268" s="56" t="str">
        <x:v>DR.BO.3.3</x:v>
      </x:c>
      <x:c r="F268" s="14" t="str">
        <x:v>Confirm data privileges have been granted, ensuring each pillar can access</x:v>
      </x:c>
      <x:c r="G268" s="5"/>
      <x:c r="H268" s="11"/>
      <x:c r="I268" s="11" t="n">
        <x:f>'Cycles &amp; Guide'!$D$11</x:f>
        <x:v>46203</x:v>
      </x:c>
      <x:c r="J268" s="11"/>
      <x:c r="K268" s="29"/>
      <x:c r="L268" s="2" t="str">
        <x:f>IF(O268=1,"Complete",IF(A268,"Checklist open",IF(H268&lt;&gt;"","In progress","Not started")))</x:f>
        <x:v>Not started</x:v>
      </x:c>
      <x:c r="M268" s="2" t="str">
        <x:v>Task</x:v>
      </x:c>
      <x:c r="N268" s="2" t="str">
        <x:v>DR.BO.3.3.2026.CY2</x:v>
      </x:c>
      <x:c r="O268" s="2" t="n">
        <x:f>R268</x:f>
        <x:v>0</x:v>
      </x:c>
      <x:c r="P268" s="2"/>
      <x:c r="Q268" s="2" t="n">
        <x:v>1</x:v>
      </x:c>
      <x:c r="R268" s="2" t="n">
        <x:f>IF(A268,1,0)</x:f>
        <x:v>0</x:v>
      </x:c>
      <x:c r="S268" s="2" t="n">
        <x:f>SUBTOTAL(103,N268)</x:f>
        <x:v>1</x:v>
      </x:c>
    </x:row>
    <x:row r="269" ht="42" customHeight="1">
      <x:c r="A269" s="28" t="b">
        <x:v>0</x:v>
      </x:c>
      <x:c r="B269" s="2" t="str">
        <x:v>Cycle 2</x:v>
      </x:c>
      <x:c r="C269" s="2" t="str">
        <x:v>Phase 3</x:v>
      </x:c>
      <x:c r="D269" s="2" t="str">
        <x:v>CSBBO - Banking Ops</x:v>
      </x:c>
      <x:c r="E269" s="56" t="str">
        <x:v>DR.BO.3.4</x:v>
      </x:c>
      <x:c r="F269" s="14" t="str">
        <x:v>Ensure Power Automate notifications were correctly triggered within Microsoft Teams</x:v>
      </x:c>
      <x:c r="G269" s="5"/>
      <x:c r="H269" s="11"/>
      <x:c r="I269" s="11" t="n">
        <x:f>'Cycles &amp; Guide'!$D$11</x:f>
        <x:v>46203</x:v>
      </x:c>
      <x:c r="J269" s="11"/>
      <x:c r="K269" s="29"/>
      <x:c r="L269" s="2" t="str">
        <x:f>IF(O269=1,"Complete",IF(A269,"Checklist open",IF(H269&lt;&gt;"","In progress","Not started")))</x:f>
        <x:v>Not started</x:v>
      </x:c>
      <x:c r="M269" s="2" t="str">
        <x:v>Task</x:v>
      </x:c>
      <x:c r="N269" s="2" t="str">
        <x:v>DR.BO.3.4.2026.CY2</x:v>
      </x:c>
      <x:c r="O269" s="2" t="n">
        <x:f>R269</x:f>
        <x:v>0</x:v>
      </x:c>
      <x:c r="P269" s="2"/>
      <x:c r="Q269" s="2" t="n">
        <x:v>1</x:v>
      </x:c>
      <x:c r="R269" s="2" t="n">
        <x:f>IF(A269,1,0)</x:f>
        <x:v>0</x:v>
      </x:c>
      <x:c r="S269" s="2" t="n">
        <x:f>SUBTOTAL(103,N269)</x:f>
        <x:v>1</x:v>
      </x:c>
    </x:row>
    <x:row r="270" ht="42" customHeight="1">
      <x:c r="A270" s="28" t="b">
        <x:v>0</x:v>
      </x:c>
      <x:c r="B270" s="2" t="str">
        <x:v>Cycle 2</x:v>
      </x:c>
      <x:c r="C270" s="2" t="str">
        <x:v>Phase 1</x:v>
      </x:c>
      <x:c r="D270" s="2" t="str">
        <x:v>CSBBO - Customer Service</x:v>
      </x:c>
      <x:c r="E270" s="56" t="str">
        <x:v>DR.CS.1.1</x:v>
      </x:c>
      <x:c r="F270" s="14" t="str">
        <x:v>Review data sources 3 weeks prior to Cycle start (Complaints, Gen AI, Loudspeaker, NPS, etc.)</x:v>
      </x:c>
      <x:c r="G270" s="5"/>
      <x:c r="H270" s="11"/>
      <x:c r="I270" s="11" t="n">
        <x:f>'Cycles &amp; Guide'!$C$11-21</x:f>
        <x:v>46092</x:v>
      </x:c>
      <x:c r="J270" s="11"/>
      <x:c r="K270" s="29"/>
      <x:c r="L270" s="2" t="str">
        <x:f>IF(O270=1,"Complete",IF(A270,"Checklist open",IF(H270&lt;&gt;"","In progress","Not started")))</x:f>
        <x:v>Not started</x:v>
      </x:c>
      <x:c r="M270" s="2" t="str">
        <x:v>Task</x:v>
      </x:c>
      <x:c r="N270" s="2" t="str">
        <x:v>DR.CS.1.1.2026.CY2</x:v>
      </x:c>
      <x:c r="O270" s="2" t="n">
        <x:f>R270</x:f>
        <x:v>0</x:v>
      </x:c>
      <x:c r="P270" s="2"/>
      <x:c r="Q270" s="2" t="n">
        <x:v>1</x:v>
      </x:c>
      <x:c r="R270" s="2" t="n">
        <x:f>IF(A270,1,0)</x:f>
        <x:v>0</x:v>
      </x:c>
      <x:c r="S270" s="2" t="n">
        <x:f>SUBTOTAL(103,N270)</x:f>
        <x:v>1</x:v>
      </x:c>
    </x:row>
    <x:row r="271" ht="42" customHeight="1">
      <x:c r="A271" s="28" t="b">
        <x:v>0</x:v>
      </x:c>
      <x:c r="B271" s="2" t="str">
        <x:v>Cycle 2</x:v>
      </x:c>
      <x:c r="C271" s="2" t="str">
        <x:v>Phase 1</x:v>
      </x:c>
      <x:c r="D271" s="2" t="str">
        <x:v>CSBBO - Customer Service</x:v>
      </x:c>
      <x:c r="E271" s="56" t="str">
        <x:v>DR.CS.1.2</x:v>
      </x:c>
      <x:c r="F271" s="14" t="str">
        <x:v>Identify two potential topics for the upcoming Cycle</x:v>
      </x:c>
      <x:c r="G271" s="5"/>
      <x:c r="H271" s="11"/>
      <x:c r="I271" s="11" t="n">
        <x:f>'Cycles &amp; Guide'!$D$11</x:f>
        <x:v>46203</x:v>
      </x:c>
      <x:c r="J271" s="11"/>
      <x:c r="K271" s="29"/>
      <x:c r="L271" s="2" t="str">
        <x:f>IF(O271=1,"Complete",IF(A271,"Checklist open",IF(H271&lt;&gt;"","In progress","Not started")))</x:f>
        <x:v>Not started</x:v>
      </x:c>
      <x:c r="M271" s="2" t="str">
        <x:v>Task</x:v>
      </x:c>
      <x:c r="N271" s="2" t="str">
        <x:v>DR.CS.1.2.2026.CY2</x:v>
      </x:c>
      <x:c r="O271" s="2" t="n">
        <x:f>R271</x:f>
        <x:v>0</x:v>
      </x:c>
      <x:c r="P271" s="2"/>
      <x:c r="Q271" s="2" t="n">
        <x:v>1</x:v>
      </x:c>
      <x:c r="R271" s="2" t="n">
        <x:f>IF(A271,1,0)</x:f>
        <x:v>0</x:v>
      </x:c>
      <x:c r="S271" s="2" t="n">
        <x:f>SUBTOTAL(103,N271)</x:f>
        <x:v>1</x:v>
      </x:c>
    </x:row>
    <x:row r="272" ht="42" customHeight="1">
      <x:c r="A272" s="28" t="b">
        <x:v>0</x:v>
      </x:c>
      <x:c r="B272" s="2" t="str">
        <x:v>Cycle 2</x:v>
      </x:c>
      <x:c r="C272" s="2" t="str">
        <x:v>Phase 1</x:v>
      </x:c>
      <x:c r="D272" s="2" t="str">
        <x:v>CSBBO - Customer Service</x:v>
      </x:c>
      <x:c r="E272" s="68" t="str">
        <x:v>DR.CS.1.3</x:v>
      </x:c>
      <x:c r="F272" s="33" t="str">
        <x:v>Extract data for both potential topics, ensuring all checklist items below are included/completed</x:v>
      </x:c>
      <x:c r="G272" s="5"/>
      <x:c r="H272" s="11"/>
      <x:c r="I272" s="11" t="n">
        <x:f>'Cycles &amp; Guide'!$D$11</x:f>
        <x:v>46203</x:v>
      </x:c>
      <x:c r="J272" s="11"/>
      <x:c r="K272" s="29"/>
      <x:c r="L272" s="2" t="str">
        <x:f>IF(O272=1,"Complete",IF(A272,"Checklist open",IF(H272&lt;&gt;"","In progress","Not started")))</x:f>
        <x:v>Not started</x:v>
      </x:c>
      <x:c r="M272" s="2" t="str">
        <x:v>Task</x:v>
      </x:c>
      <x:c r="N272" s="2" t="str">
        <x:v>DR.CS.1.3.2026.CY2</x:v>
      </x:c>
      <x:c r="O272" s="2" t="n">
        <x:f>IF(A272,IF(SUMIFS($R$10:$R$737,$P$10:$P$737,N272)=13,1,0),0)</x:f>
        <x:v>0</x:v>
      </x:c>
      <x:c r="P272" s="2"/>
      <x:c r="Q272" s="2" t="n">
        <x:v>1</x:v>
      </x:c>
      <x:c r="R272" s="2" t="n">
        <x:f>IF(A272,1,0)</x:f>
        <x:v>0</x:v>
      </x:c>
      <x:c r="S272" s="2" t="n">
        <x:f>SUBTOTAL(103,N272)</x:f>
        <x:v>1</x:v>
      </x:c>
    </x:row>
    <x:row r="273" ht="31" customHeight="1" outlineLevel="1">
      <x:c r="A273" s="28" t="b">
        <x:v>0</x:v>
      </x:c>
      <x:c r="B273" s="36" t="str">
        <x:v>Cycle 2</x:v>
      </x:c>
      <x:c r="C273" s="36" t="str">
        <x:v>Phase 1</x:v>
      </x:c>
      <x:c r="D273" s="36" t="str">
        <x:v>CSBBO - Customer Service</x:v>
      </x:c>
      <x:c r="E273" s="69" t="str">
        <x:v>DR.CS.1.3.C01</x:v>
      </x:c>
      <x:c r="F273" s="37" t="str">
        <x:v>    Document date range extracted</x:v>
      </x:c>
      <x:c r="G273" s="5"/>
      <x:c r="H273" s="11"/>
      <x:c r="I273" s="11"/>
      <x:c r="J273" s="11"/>
      <x:c r="K273" s="29"/>
      <x:c r="L273" s="2" t="str">
        <x:f>IF(A273,"Complete","Open check")</x:f>
        <x:v>Open check</x:v>
      </x:c>
      <x:c r="M273" s="2" t="str">
        <x:v>Checklist</x:v>
      </x:c>
      <x:c r="N273" s="2" t="str">
        <x:v>DR.CS.1.3.C01.2026.CY2</x:v>
      </x:c>
      <x:c r="O273" s="2" t="n">
        <x:f>R273</x:f>
        <x:v>0</x:v>
      </x:c>
      <x:c r="P273" s="2" t="str">
        <x:v>DR.CS.1.3.2026.CY2</x:v>
      </x:c>
      <x:c r="Q273" s="2" t="n">
        <x:v>0</x:v>
      </x:c>
      <x:c r="R273" s="2" t="n">
        <x:f>IF(A273,1,0)</x:f>
        <x:v>0</x:v>
      </x:c>
      <x:c r="S273" s="2" t="n">
        <x:f>SUBTOTAL(103,N273)</x:f>
        <x:v>1</x:v>
      </x:c>
    </x:row>
    <x:row r="274" ht="31" customHeight="1" outlineLevel="1">
      <x:c r="A274" s="28" t="b">
        <x:v>0</x:v>
      </x:c>
      <x:c r="B274" s="36" t="str">
        <x:v>Cycle 2</x:v>
      </x:c>
      <x:c r="C274" s="36" t="str">
        <x:v>Phase 1</x:v>
      </x:c>
      <x:c r="D274" s="36" t="str">
        <x:v>CSBBO - Customer Service</x:v>
      </x:c>
      <x:c r="E274" s="69" t="str">
        <x:v>DR.CS.1.3.C02</x:v>
      </x:c>
      <x:c r="F274" s="37" t="str">
        <x:v>    Document date of data pull</x:v>
      </x:c>
      <x:c r="G274" s="5"/>
      <x:c r="H274" s="11"/>
      <x:c r="I274" s="11"/>
      <x:c r="J274" s="11"/>
      <x:c r="K274" s="29"/>
      <x:c r="L274" s="2" t="str">
        <x:f>IF(A274,"Complete","Open check")</x:f>
        <x:v>Open check</x:v>
      </x:c>
      <x:c r="M274" s="2" t="str">
        <x:v>Checklist</x:v>
      </x:c>
      <x:c r="N274" s="2" t="str">
        <x:v>DR.CS.1.3.C02.2026.CY2</x:v>
      </x:c>
      <x:c r="O274" s="2" t="n">
        <x:f>R274</x:f>
        <x:v>0</x:v>
      </x:c>
      <x:c r="P274" s="2" t="str">
        <x:v>DR.CS.1.3.2026.CY2</x:v>
      </x:c>
      <x:c r="Q274" s="2" t="n">
        <x:v>0</x:v>
      </x:c>
      <x:c r="R274" s="2" t="n">
        <x:f>IF(A274,1,0)</x:f>
        <x:v>0</x:v>
      </x:c>
      <x:c r="S274" s="2" t="n">
        <x:f>SUBTOTAL(103,N274)</x:f>
        <x:v>1</x:v>
      </x:c>
    </x:row>
    <x:row r="275" ht="31" customHeight="1" outlineLevel="1">
      <x:c r="A275" s="28" t="b">
        <x:v>0</x:v>
      </x:c>
      <x:c r="B275" s="36" t="str">
        <x:v>Cycle 2</x:v>
      </x:c>
      <x:c r="C275" s="36" t="str">
        <x:v>Phase 1</x:v>
      </x:c>
      <x:c r="D275" s="36" t="str">
        <x:v>CSBBO - Customer Service</x:v>
      </x:c>
      <x:c r="E275" s="69" t="str">
        <x:v>DR.CS.1.3.C03</x:v>
      </x:c>
      <x:c r="F275" s="37" t="str">
        <x:v>    Document population details</x:v>
      </x:c>
      <x:c r="G275" s="5"/>
      <x:c r="H275" s="11"/>
      <x:c r="I275" s="11"/>
      <x:c r="J275" s="11"/>
      <x:c r="K275" s="29"/>
      <x:c r="L275" s="2" t="str">
        <x:f>IF(A275,"Complete","Open check")</x:f>
        <x:v>Open check</x:v>
      </x:c>
      <x:c r="M275" s="2" t="str">
        <x:v>Checklist</x:v>
      </x:c>
      <x:c r="N275" s="2" t="str">
        <x:v>DR.CS.1.3.C03.2026.CY2</x:v>
      </x:c>
      <x:c r="O275" s="2" t="n">
        <x:f>R275</x:f>
        <x:v>0</x:v>
      </x:c>
      <x:c r="P275" s="2" t="str">
        <x:v>DR.CS.1.3.2026.CY2</x:v>
      </x:c>
      <x:c r="Q275" s="2" t="n">
        <x:v>0</x:v>
      </x:c>
      <x:c r="R275" s="2" t="n">
        <x:f>IF(A275,1,0)</x:f>
        <x:v>0</x:v>
      </x:c>
      <x:c r="S275" s="2" t="n">
        <x:f>SUBTOTAL(103,N275)</x:f>
        <x:v>1</x:v>
      </x:c>
    </x:row>
    <x:row r="276" ht="31" customHeight="1" outlineLevel="1">
      <x:c r="A276" s="28" t="b">
        <x:v>0</x:v>
      </x:c>
      <x:c r="B276" s="36" t="str">
        <x:v>Cycle 2</x:v>
      </x:c>
      <x:c r="C276" s="36" t="str">
        <x:v>Phase 1</x:v>
      </x:c>
      <x:c r="D276" s="36" t="str">
        <x:v>CSBBO - Customer Service</x:v>
      </x:c>
      <x:c r="E276" s="69" t="str">
        <x:v>DR.CS.1.3.C04</x:v>
      </x:c>
      <x:c r="F276" s="37" t="str">
        <x:v>    Validate no data is missing</x:v>
      </x:c>
      <x:c r="G276" s="5"/>
      <x:c r="H276" s="11"/>
      <x:c r="I276" s="11"/>
      <x:c r="J276" s="11"/>
      <x:c r="K276" s="29"/>
      <x:c r="L276" s="2" t="str">
        <x:f>IF(A276,"Complete","Open check")</x:f>
        <x:v>Open check</x:v>
      </x:c>
      <x:c r="M276" s="2" t="str">
        <x:v>Checklist</x:v>
      </x:c>
      <x:c r="N276" s="2" t="str">
        <x:v>DR.CS.1.3.C04.2026.CY2</x:v>
      </x:c>
      <x:c r="O276" s="2" t="n">
        <x:f>R276</x:f>
        <x:v>0</x:v>
      </x:c>
      <x:c r="P276" s="2" t="str">
        <x:v>DR.CS.1.3.2026.CY2</x:v>
      </x:c>
      <x:c r="Q276" s="2" t="n">
        <x:v>0</x:v>
      </x:c>
      <x:c r="R276" s="2" t="n">
        <x:f>IF(A276,1,0)</x:f>
        <x:v>0</x:v>
      </x:c>
      <x:c r="S276" s="2" t="n">
        <x:f>SUBTOTAL(103,N276)</x:f>
        <x:v>1</x:v>
      </x:c>
    </x:row>
    <x:row r="277" ht="31" customHeight="1" outlineLevel="1">
      <x:c r="A277" s="28" t="b">
        <x:v>0</x:v>
      </x:c>
      <x:c r="B277" s="36" t="str">
        <x:v>Cycle 2</x:v>
      </x:c>
      <x:c r="C277" s="36" t="str">
        <x:v>Phase 1</x:v>
      </x:c>
      <x:c r="D277" s="36" t="str">
        <x:v>CSBBO - Customer Service</x:v>
      </x:c>
      <x:c r="E277" s="69" t="str">
        <x:v>DR.CS.1.3.C05</x:v>
      </x:c>
      <x:c r="F277" s="37" t="str">
        <x:v>    Validate accuracy of data</x:v>
      </x:c>
      <x:c r="G277" s="5"/>
      <x:c r="H277" s="11"/>
      <x:c r="I277" s="11"/>
      <x:c r="J277" s="11"/>
      <x:c r="K277" s="29"/>
      <x:c r="L277" s="2" t="str">
        <x:f>IF(A277,"Complete","Open check")</x:f>
        <x:v>Open check</x:v>
      </x:c>
      <x:c r="M277" s="2" t="str">
        <x:v>Checklist</x:v>
      </x:c>
      <x:c r="N277" s="2" t="str">
        <x:v>DR.CS.1.3.C05.2026.CY2</x:v>
      </x:c>
      <x:c r="O277" s="2" t="n">
        <x:f>R277</x:f>
        <x:v>0</x:v>
      </x:c>
      <x:c r="P277" s="2" t="str">
        <x:v>DR.CS.1.3.2026.CY2</x:v>
      </x:c>
      <x:c r="Q277" s="2" t="n">
        <x:v>0</x:v>
      </x:c>
      <x:c r="R277" s="2" t="n">
        <x:f>IF(A277,1,0)</x:f>
        <x:v>0</x:v>
      </x:c>
      <x:c r="S277" s="2" t="n">
        <x:f>SUBTOTAL(103,N277)</x:f>
        <x:v>1</x:v>
      </x:c>
    </x:row>
    <x:row r="278" ht="31" customHeight="1" outlineLevel="1">
      <x:c r="A278" s="28" t="b">
        <x:v>0</x:v>
      </x:c>
      <x:c r="B278" s="36" t="str">
        <x:v>Cycle 2</x:v>
      </x:c>
      <x:c r="C278" s="36" t="str">
        <x:v>Phase 1</x:v>
      </x:c>
      <x:c r="D278" s="36" t="str">
        <x:v>CSBBO - Customer Service</x:v>
      </x:c>
      <x:c r="E278" s="69" t="str">
        <x:v>DR.CS.1.3.C06</x:v>
      </x:c>
      <x:c r="F278" s="37" t="str">
        <x:v>    Validate no duplicate data is provided</x:v>
      </x:c>
      <x:c r="G278" s="5"/>
      <x:c r="H278" s="11"/>
      <x:c r="I278" s="11"/>
      <x:c r="J278" s="11"/>
      <x:c r="K278" s="29"/>
      <x:c r="L278" s="2" t="str">
        <x:f>IF(A278,"Complete","Open check")</x:f>
        <x:v>Open check</x:v>
      </x:c>
      <x:c r="M278" s="2" t="str">
        <x:v>Checklist</x:v>
      </x:c>
      <x:c r="N278" s="2" t="str">
        <x:v>DR.CS.1.3.C06.2026.CY2</x:v>
      </x:c>
      <x:c r="O278" s="2" t="n">
        <x:f>R278</x:f>
        <x:v>0</x:v>
      </x:c>
      <x:c r="P278" s="2" t="str">
        <x:v>DR.CS.1.3.2026.CY2</x:v>
      </x:c>
      <x:c r="Q278" s="2" t="n">
        <x:v>0</x:v>
      </x:c>
      <x:c r="R278" s="2" t="n">
        <x:f>IF(A278,1,0)</x:f>
        <x:v>0</x:v>
      </x:c>
      <x:c r="S278" s="2" t="n">
        <x:f>SUBTOTAL(103,N278)</x:f>
        <x:v>1</x:v>
      </x:c>
    </x:row>
    <x:row r="279" ht="31" customHeight="1" outlineLevel="1">
      <x:c r="A279" s="28" t="b">
        <x:v>0</x:v>
      </x:c>
      <x:c r="B279" s="36" t="str">
        <x:v>Cycle 2</x:v>
      </x:c>
      <x:c r="C279" s="36" t="str">
        <x:v>Phase 1</x:v>
      </x:c>
      <x:c r="D279" s="36" t="str">
        <x:v>CSBBO - Customer Service</x:v>
      </x:c>
      <x:c r="E279" s="69" t="str">
        <x:v>DR.CS.1.3.C07</x:v>
      </x:c>
      <x:c r="F279" s="37" t="str">
        <x:v>    Document any data exclusions along with justification (as needed)</x:v>
      </x:c>
      <x:c r="G279" s="5"/>
      <x:c r="H279" s="11"/>
      <x:c r="I279" s="11"/>
      <x:c r="J279" s="11"/>
      <x:c r="K279" s="29"/>
      <x:c r="L279" s="2" t="str">
        <x:f>IF(A279,"Complete","Open check")</x:f>
        <x:v>Open check</x:v>
      </x:c>
      <x:c r="M279" s="2" t="str">
        <x:v>Checklist</x:v>
      </x:c>
      <x:c r="N279" s="2" t="str">
        <x:v>DR.CS.1.3.C07.2026.CY2</x:v>
      </x:c>
      <x:c r="O279" s="2" t="n">
        <x:f>R279</x:f>
        <x:v>0</x:v>
      </x:c>
      <x:c r="P279" s="2" t="str">
        <x:v>DR.CS.1.3.2026.CY2</x:v>
      </x:c>
      <x:c r="Q279" s="2" t="n">
        <x:v>0</x:v>
      </x:c>
      <x:c r="R279" s="2" t="n">
        <x:f>IF(A279,1,0)</x:f>
        <x:v>0</x:v>
      </x:c>
      <x:c r="S279" s="2" t="n">
        <x:f>SUBTOTAL(103,N279)</x:f>
        <x:v>1</x:v>
      </x:c>
    </x:row>
    <x:row r="280" ht="31" customHeight="1" outlineLevel="1">
      <x:c r="A280" s="28" t="b">
        <x:v>0</x:v>
      </x:c>
      <x:c r="B280" s="36" t="str">
        <x:v>Cycle 2</x:v>
      </x:c>
      <x:c r="C280" s="36" t="str">
        <x:v>Phase 1</x:v>
      </x:c>
      <x:c r="D280" s="36" t="str">
        <x:v>CSBBO - Customer Service</x:v>
      </x:c>
      <x:c r="E280" s="69" t="str">
        <x:v>DR.CS.1.3.C08</x:v>
      </x:c>
      <x:c r="F280" s="37" t="str">
        <x:v>    Document any assumptions made with the data (as needed)</x:v>
      </x:c>
      <x:c r="G280" s="5"/>
      <x:c r="H280" s="11"/>
      <x:c r="I280" s="11"/>
      <x:c r="J280" s="11"/>
      <x:c r="K280" s="29"/>
      <x:c r="L280" s="2" t="str">
        <x:f>IF(A280,"Complete","Open check")</x:f>
        <x:v>Open check</x:v>
      </x:c>
      <x:c r="M280" s="2" t="str">
        <x:v>Checklist</x:v>
      </x:c>
      <x:c r="N280" s="2" t="str">
        <x:v>DR.CS.1.3.C08.2026.CY2</x:v>
      </x:c>
      <x:c r="O280" s="2" t="n">
        <x:f>R280</x:f>
        <x:v>0</x:v>
      </x:c>
      <x:c r="P280" s="2" t="str">
        <x:v>DR.CS.1.3.2026.CY2</x:v>
      </x:c>
      <x:c r="Q280" s="2" t="n">
        <x:v>0</x:v>
      </x:c>
      <x:c r="R280" s="2" t="n">
        <x:f>IF(A280,1,0)</x:f>
        <x:v>0</x:v>
      </x:c>
      <x:c r="S280" s="2" t="n">
        <x:f>SUBTOTAL(103,N280)</x:f>
        <x:v>1</x:v>
      </x:c>
    </x:row>
    <x:row r="281" ht="31" customHeight="1" outlineLevel="1">
      <x:c r="A281" s="28" t="b">
        <x:v>0</x:v>
      </x:c>
      <x:c r="B281" s="36" t="str">
        <x:v>Cycle 2</x:v>
      </x:c>
      <x:c r="C281" s="36" t="str">
        <x:v>Phase 1</x:v>
      </x:c>
      <x:c r="D281" s="36" t="str">
        <x:v>CSBBO - Customer Service</x:v>
      </x:c>
      <x:c r="E281" s="69" t="str">
        <x:v>DR.CS.1.3.C09</x:v>
      </x:c>
      <x:c r="F281" s="37" t="str">
        <x:v>    Document any data limitations or constraints clearly (as needed)</x:v>
      </x:c>
      <x:c r="G281" s="5"/>
      <x:c r="H281" s="11"/>
      <x:c r="I281" s="11"/>
      <x:c r="J281" s="11"/>
      <x:c r="K281" s="29"/>
      <x:c r="L281" s="2" t="str">
        <x:f>IF(A281,"Complete","Open check")</x:f>
        <x:v>Open check</x:v>
      </x:c>
      <x:c r="M281" s="2" t="str">
        <x:v>Checklist</x:v>
      </x:c>
      <x:c r="N281" s="2" t="str">
        <x:v>DR.CS.1.3.C09.2026.CY2</x:v>
      </x:c>
      <x:c r="O281" s="2" t="n">
        <x:f>R281</x:f>
        <x:v>0</x:v>
      </x:c>
      <x:c r="P281" s="2" t="str">
        <x:v>DR.CS.1.3.2026.CY2</x:v>
      </x:c>
      <x:c r="Q281" s="2" t="n">
        <x:v>0</x:v>
      </x:c>
      <x:c r="R281" s="2" t="n">
        <x:f>IF(A281,1,0)</x:f>
        <x:v>0</x:v>
      </x:c>
      <x:c r="S281" s="2" t="n">
        <x:f>SUBTOTAL(103,N281)</x:f>
        <x:v>1</x:v>
      </x:c>
    </x:row>
    <x:row r="282" ht="31" customHeight="1" outlineLevel="1">
      <x:c r="A282" s="28" t="b">
        <x:v>0</x:v>
      </x:c>
      <x:c r="B282" s="36" t="str">
        <x:v>Cycle 2</x:v>
      </x:c>
      <x:c r="C282" s="36" t="str">
        <x:v>Phase 1</x:v>
      </x:c>
      <x:c r="D282" s="36" t="str">
        <x:v>CSBBO - Customer Service</x:v>
      </x:c>
      <x:c r="E282" s="69" t="str">
        <x:v>DR.CS.1.3.C10</x:v>
      </x:c>
      <x:c r="F282" s="37" t="str">
        <x:v>    Document data dictionary or field definitions for columns/rows</x:v>
      </x:c>
      <x:c r="G282" s="5"/>
      <x:c r="H282" s="11"/>
      <x:c r="I282" s="11"/>
      <x:c r="J282" s="11"/>
      <x:c r="K282" s="29"/>
      <x:c r="L282" s="2" t="str">
        <x:f>IF(A282,"Complete","Open check")</x:f>
        <x:v>Open check</x:v>
      </x:c>
      <x:c r="M282" s="2" t="str">
        <x:v>Checklist</x:v>
      </x:c>
      <x:c r="N282" s="2" t="str">
        <x:v>DR.CS.1.3.C10.2026.CY2</x:v>
      </x:c>
      <x:c r="O282" s="2" t="n">
        <x:f>R282</x:f>
        <x:v>0</x:v>
      </x:c>
      <x:c r="P282" s="2" t="str">
        <x:v>DR.CS.1.3.2026.CY2</x:v>
      </x:c>
      <x:c r="Q282" s="2" t="n">
        <x:v>0</x:v>
      </x:c>
      <x:c r="R282" s="2" t="n">
        <x:f>IF(A282,1,0)</x:f>
        <x:v>0</x:v>
      </x:c>
      <x:c r="S282" s="2" t="n">
        <x:f>SUBTOTAL(103,N282)</x:f>
        <x:v>1</x:v>
      </x:c>
    </x:row>
    <x:row r="283" ht="31" customHeight="1" outlineLevel="1">
      <x:c r="A283" s="28" t="b">
        <x:v>0</x:v>
      </x:c>
      <x:c r="B283" s="36" t="str">
        <x:v>Cycle 2</x:v>
      </x:c>
      <x:c r="C283" s="36" t="str">
        <x:v>Phase 1</x:v>
      </x:c>
      <x:c r="D283" s="36" t="str">
        <x:v>CSBBO - Customer Service</x:v>
      </x:c>
      <x:c r="E283" s="69" t="str">
        <x:v>DR.CS.1.3.C11</x:v>
      </x:c>
      <x:c r="F283" s="37" t="str">
        <x:v>    Document emerging trends, patterns, or concentrations along with supporting data</x:v>
      </x:c>
      <x:c r="G283" s="5"/>
      <x:c r="H283" s="11"/>
      <x:c r="I283" s="11"/>
      <x:c r="J283" s="11"/>
      <x:c r="K283" s="29"/>
      <x:c r="L283" s="2" t="str">
        <x:f>IF(A283,"Complete","Open check")</x:f>
        <x:v>Open check</x:v>
      </x:c>
      <x:c r="M283" s="2" t="str">
        <x:v>Checklist</x:v>
      </x:c>
      <x:c r="N283" s="2" t="str">
        <x:v>DR.CS.1.3.C11.2026.CY2</x:v>
      </x:c>
      <x:c r="O283" s="2" t="n">
        <x:f>R283</x:f>
        <x:v>0</x:v>
      </x:c>
      <x:c r="P283" s="2" t="str">
        <x:v>DR.CS.1.3.2026.CY2</x:v>
      </x:c>
      <x:c r="Q283" s="2" t="n">
        <x:v>0</x:v>
      </x:c>
      <x:c r="R283" s="2" t="n">
        <x:f>IF(A283,1,0)</x:f>
        <x:v>0</x:v>
      </x:c>
      <x:c r="S283" s="2" t="n">
        <x:f>SUBTOTAL(103,N283)</x:f>
        <x:v>1</x:v>
      </x:c>
    </x:row>
    <x:row r="284" ht="31" customHeight="1" outlineLevel="1">
      <x:c r="A284" s="28" t="b">
        <x:v>0</x:v>
      </x:c>
      <x:c r="B284" s="36" t="str">
        <x:v>Cycle 2</x:v>
      </x:c>
      <x:c r="C284" s="36" t="str">
        <x:v>Phase 1</x:v>
      </x:c>
      <x:c r="D284" s="36" t="str">
        <x:v>CSBBO - Customer Service</x:v>
      </x:c>
      <x:c r="E284" s="69" t="str">
        <x:v>DR.CS.1.3.C12</x:v>
      </x:c>
      <x:c r="F284" s="37" t="str">
        <x:v>    Document any severe spikes in volume along with context (as needed)</x:v>
      </x:c>
      <x:c r="G284" s="5"/>
      <x:c r="H284" s="11"/>
      <x:c r="I284" s="11"/>
      <x:c r="J284" s="11"/>
      <x:c r="K284" s="29"/>
      <x:c r="L284" s="2" t="str">
        <x:f>IF(A284,"Complete","Open check")</x:f>
        <x:v>Open check</x:v>
      </x:c>
      <x:c r="M284" s="2" t="str">
        <x:v>Checklist</x:v>
      </x:c>
      <x:c r="N284" s="2" t="str">
        <x:v>DR.CS.1.3.C12.2026.CY2</x:v>
      </x:c>
      <x:c r="O284" s="2" t="n">
        <x:f>R284</x:f>
        <x:v>0</x:v>
      </x:c>
      <x:c r="P284" s="2" t="str">
        <x:v>DR.CS.1.3.2026.CY2</x:v>
      </x:c>
      <x:c r="Q284" s="2" t="n">
        <x:v>0</x:v>
      </x:c>
      <x:c r="R284" s="2" t="n">
        <x:f>IF(A284,1,0)</x:f>
        <x:v>0</x:v>
      </x:c>
      <x:c r="S284" s="2" t="n">
        <x:f>SUBTOTAL(103,N284)</x:f>
        <x:v>1</x:v>
      </x:c>
    </x:row>
    <x:row r="285" ht="31" customHeight="1" outlineLevel="1">
      <x:c r="A285" s="28" t="b">
        <x:v>0</x:v>
      </x:c>
      <x:c r="B285" s="36" t="str">
        <x:v>Cycle 2</x:v>
      </x:c>
      <x:c r="C285" s="36" t="str">
        <x:v>Phase 1</x:v>
      </x:c>
      <x:c r="D285" s="36" t="str">
        <x:v>CSBBO - Customer Service</x:v>
      </x:c>
      <x:c r="E285" s="69" t="str">
        <x:v>DR.CS.1.3.C13</x:v>
      </x:c>
      <x:c r="F285" s="37" t="str">
        <x:v>    Document clear summary explaining how the data connects to the potential topic</x:v>
      </x:c>
      <x:c r="G285" s="5"/>
      <x:c r="H285" s="11"/>
      <x:c r="I285" s="11"/>
      <x:c r="J285" s="11"/>
      <x:c r="K285" s="29"/>
      <x:c r="L285" s="2" t="str">
        <x:f>IF(A285,"Complete","Open check")</x:f>
        <x:v>Open check</x:v>
      </x:c>
      <x:c r="M285" s="2" t="str">
        <x:v>Checklist</x:v>
      </x:c>
      <x:c r="N285" s="2" t="str">
        <x:v>DR.CS.1.3.C13.2026.CY2</x:v>
      </x:c>
      <x:c r="O285" s="2" t="n">
        <x:f>R285</x:f>
        <x:v>0</x:v>
      </x:c>
      <x:c r="P285" s="2" t="str">
        <x:v>DR.CS.1.3.2026.CY2</x:v>
      </x:c>
      <x:c r="Q285" s="2" t="n">
        <x:v>0</x:v>
      </x:c>
      <x:c r="R285" s="2" t="n">
        <x:f>IF(A285,1,0)</x:f>
        <x:v>0</x:v>
      </x:c>
      <x:c r="S285" s="2" t="n">
        <x:f>SUBTOTAL(103,N285)</x:f>
        <x:v>1</x:v>
      </x:c>
    </x:row>
    <x:row r="286" ht="42" customHeight="1">
      <x:c r="A286" s="28" t="b">
        <x:v>0</x:v>
      </x:c>
      <x:c r="B286" s="2" t="str">
        <x:v>Cycle 2</x:v>
      </x:c>
      <x:c r="C286" s="2" t="str">
        <x:v>Phase 2</x:v>
      </x:c>
      <x:c r="D286" s="2" t="str">
        <x:v>CSBBO - Customer Service</x:v>
      </x:c>
      <x:c r="E286" s="56" t="str">
        <x:v>DR.CS.2.1</x:v>
      </x:c>
      <x:c r="F286" s="14" t="str">
        <x:v>Ensure data is clean, structured, and usable without manipulation needed</x:v>
      </x:c>
      <x:c r="G286" s="5"/>
      <x:c r="H286" s="11"/>
      <x:c r="I286" s="11" t="n">
        <x:f>'Cycles &amp; Guide'!$D$11</x:f>
        <x:v>46203</x:v>
      </x:c>
      <x:c r="J286" s="11"/>
      <x:c r="K286" s="29"/>
      <x:c r="L286" s="2" t="str">
        <x:f>IF(O286=1,"Complete",IF(A286,"Checklist open",IF(H286&lt;&gt;"","In progress","Not started")))</x:f>
        <x:v>Not started</x:v>
      </x:c>
      <x:c r="M286" s="2" t="str">
        <x:v>Task</x:v>
      </x:c>
      <x:c r="N286" s="2" t="str">
        <x:v>DR.CS.2.1.2026.CY2</x:v>
      </x:c>
      <x:c r="O286" s="2" t="n">
        <x:f>R286</x:f>
        <x:v>0</x:v>
      </x:c>
      <x:c r="P286" s="2"/>
      <x:c r="Q286" s="2" t="n">
        <x:v>1</x:v>
      </x:c>
      <x:c r="R286" s="2" t="n">
        <x:f>IF(A286,1,0)</x:f>
        <x:v>0</x:v>
      </x:c>
      <x:c r="S286" s="2" t="n">
        <x:f>SUBTOTAL(103,N286)</x:f>
        <x:v>1</x:v>
      </x:c>
    </x:row>
    <x:row r="287" ht="42" customHeight="1">
      <x:c r="A287" s="28" t="b">
        <x:v>0</x:v>
      </x:c>
      <x:c r="B287" s="2" t="str">
        <x:v>Cycle 2</x:v>
      </x:c>
      <x:c r="C287" s="2" t="str">
        <x:v>Phase 2</x:v>
      </x:c>
      <x:c r="D287" s="2" t="str">
        <x:v>CSBBO - Customer Service</x:v>
      </x:c>
      <x:c r="E287" s="56" t="str">
        <x:v>DR.CS.2.2</x:v>
      </x:c>
      <x:c r="F287" s="14" t="str">
        <x:v>Clearly document rationale for each topic recommendation within the SharePoint list</x:v>
      </x:c>
      <x:c r="G287" s="5"/>
      <x:c r="H287" s="11"/>
      <x:c r="I287" s="11" t="n">
        <x:f>'Cycles &amp; Guide'!$D$11</x:f>
        <x:v>46203</x:v>
      </x:c>
      <x:c r="J287" s="11"/>
      <x:c r="K287" s="29"/>
      <x:c r="L287" s="2" t="str">
        <x:f>IF(O287=1,"Complete",IF(A287,"Checklist open",IF(H287&lt;&gt;"","In progress","Not started")))</x:f>
        <x:v>Not started</x:v>
      </x:c>
      <x:c r="M287" s="2" t="str">
        <x:v>Task</x:v>
      </x:c>
      <x:c r="N287" s="2" t="str">
        <x:v>DR.CS.2.2.2026.CY2</x:v>
      </x:c>
      <x:c r="O287" s="2" t="n">
        <x:f>R287</x:f>
        <x:v>0</x:v>
      </x:c>
      <x:c r="P287" s="2"/>
      <x:c r="Q287" s="2" t="n">
        <x:v>1</x:v>
      </x:c>
      <x:c r="R287" s="2" t="n">
        <x:f>IF(A287,1,0)</x:f>
        <x:v>0</x:v>
      </x:c>
      <x:c r="S287" s="2" t="n">
        <x:f>SUBTOTAL(103,N287)</x:f>
        <x:v>1</x:v>
      </x:c>
    </x:row>
    <x:row r="288" ht="42" customHeight="1">
      <x:c r="A288" s="28" t="b">
        <x:v>0</x:v>
      </x:c>
      <x:c r="B288" s="2" t="str">
        <x:v>Cycle 2</x:v>
      </x:c>
      <x:c r="C288" s="2" t="str">
        <x:v>Phase 2</x:v>
      </x:c>
      <x:c r="D288" s="2" t="str">
        <x:v>CSBBO - Customer Service</x:v>
      </x:c>
      <x:c r="E288" s="56" t="str">
        <x:v>DR.CS.2.3</x:v>
      </x:c>
      <x:c r="F288" s="14" t="str">
        <x:v>Verify topic is eligible for RCA and does not conflict with Attorney Client Privilege</x:v>
      </x:c>
      <x:c r="G288" s="5"/>
      <x:c r="H288" s="11"/>
      <x:c r="I288" s="11" t="n">
        <x:f>'Cycles &amp; Guide'!$D$11</x:f>
        <x:v>46203</x:v>
      </x:c>
      <x:c r="J288" s="11"/>
      <x:c r="K288" s="29"/>
      <x:c r="L288" s="2" t="str">
        <x:f>IF(O288=1,"Complete",IF(A288,"Checklist open",IF(H288&lt;&gt;"","In progress","Not started")))</x:f>
        <x:v>Not started</x:v>
      </x:c>
      <x:c r="M288" s="2" t="str">
        <x:v>Task</x:v>
      </x:c>
      <x:c r="N288" s="2" t="str">
        <x:v>DR.CS.2.3.2026.CY2</x:v>
      </x:c>
      <x:c r="O288" s="2" t="n">
        <x:f>R288</x:f>
        <x:v>0</x:v>
      </x:c>
      <x:c r="P288" s="2"/>
      <x:c r="Q288" s="2" t="n">
        <x:v>1</x:v>
      </x:c>
      <x:c r="R288" s="2" t="n">
        <x:f>IF(A288,1,0)</x:f>
        <x:v>0</x:v>
      </x:c>
      <x:c r="S288" s="2" t="n">
        <x:f>SUBTOTAL(103,N288)</x:f>
        <x:v>1</x:v>
      </x:c>
    </x:row>
    <x:row r="289" ht="42" customHeight="1">
      <x:c r="A289" s="28" t="b">
        <x:v>0</x:v>
      </x:c>
      <x:c r="B289" s="2" t="str">
        <x:v>Cycle 2</x:v>
      </x:c>
      <x:c r="C289" s="2" t="str">
        <x:v>Phase 2</x:v>
      </x:c>
      <x:c r="D289" s="2" t="str">
        <x:v>CSBBO - Customer Service</x:v>
      </x:c>
      <x:c r="E289" s="56" t="str">
        <x:v>DR.CS.2.4</x:v>
      </x:c>
      <x:c r="F289" s="14" t="str">
        <x:v>Ensure data is free of errors and anomalies prior to hand-off to Research</x:v>
      </x:c>
      <x:c r="G289" s="5"/>
      <x:c r="H289" s="11"/>
      <x:c r="I289" s="11" t="n">
        <x:f>'Cycles &amp; Guide'!$D$11</x:f>
        <x:v>46203</x:v>
      </x:c>
      <x:c r="J289" s="11"/>
      <x:c r="K289" s="29"/>
      <x:c r="L289" s="2" t="str">
        <x:f>IF(O289=1,"Complete",IF(A289,"Checklist open",IF(H289&lt;&gt;"","In progress","Not started")))</x:f>
        <x:v>Not started</x:v>
      </x:c>
      <x:c r="M289" s="2" t="str">
        <x:v>Task</x:v>
      </x:c>
      <x:c r="N289" s="2" t="str">
        <x:v>DR.CS.2.4.2026.CY2</x:v>
      </x:c>
      <x:c r="O289" s="2" t="n">
        <x:f>R289</x:f>
        <x:v>0</x:v>
      </x:c>
      <x:c r="P289" s="2"/>
      <x:c r="Q289" s="2" t="n">
        <x:v>1</x:v>
      </x:c>
      <x:c r="R289" s="2" t="n">
        <x:f>IF(A289,1,0)</x:f>
        <x:v>0</x:v>
      </x:c>
      <x:c r="S289" s="2" t="n">
        <x:f>SUBTOTAL(103,N289)</x:f>
        <x:v>1</x:v>
      </x:c>
    </x:row>
    <x:row r="290" ht="42" customHeight="1">
      <x:c r="A290" s="28" t="b">
        <x:v>0</x:v>
      </x:c>
      <x:c r="B290" s="2" t="str">
        <x:v>Cycle 2</x:v>
      </x:c>
      <x:c r="C290" s="2" t="str">
        <x:v>Phase 2</x:v>
      </x:c>
      <x:c r="D290" s="2" t="str">
        <x:v>CSBBO - Customer Service</x:v>
      </x:c>
      <x:c r="E290" s="56" t="str">
        <x:v>DR.CS.2.5</x:v>
      </x:c>
      <x:c r="F290" s="14" t="str">
        <x:v>Ensure topic is not a duplicate from a previous Cycle</x:v>
      </x:c>
      <x:c r="G290" s="5"/>
      <x:c r="H290" s="11"/>
      <x:c r="I290" s="11" t="n">
        <x:f>'Cycles &amp; Guide'!$D$11</x:f>
        <x:v>46203</x:v>
      </x:c>
      <x:c r="J290" s="11"/>
      <x:c r="K290" s="29"/>
      <x:c r="L290" s="2" t="str">
        <x:f>IF(O290=1,"Complete",IF(A290,"Checklist open",IF(H290&lt;&gt;"","In progress","Not started")))</x:f>
        <x:v>Not started</x:v>
      </x:c>
      <x:c r="M290" s="2" t="str">
        <x:v>Task</x:v>
      </x:c>
      <x:c r="N290" s="2" t="str">
        <x:v>DR.CS.2.5.2026.CY2</x:v>
      </x:c>
      <x:c r="O290" s="2" t="n">
        <x:f>R290</x:f>
        <x:v>0</x:v>
      </x:c>
      <x:c r="P290" s="2"/>
      <x:c r="Q290" s="2" t="n">
        <x:v>1</x:v>
      </x:c>
      <x:c r="R290" s="2" t="n">
        <x:f>IF(A290,1,0)</x:f>
        <x:v>0</x:v>
      </x:c>
      <x:c r="S290" s="2" t="n">
        <x:f>SUBTOTAL(103,N290)</x:f>
        <x:v>1</x:v>
      </x:c>
    </x:row>
    <x:row r="291" ht="42" customHeight="1">
      <x:c r="A291" s="28" t="b">
        <x:v>0</x:v>
      </x:c>
      <x:c r="B291" s="2" t="str">
        <x:v>Cycle 2</x:v>
      </x:c>
      <x:c r="C291" s="2" t="str">
        <x:v>Phase 2</x:v>
      </x:c>
      <x:c r="D291" s="2" t="str">
        <x:v>CSBBO - Customer Service</x:v>
      </x:c>
      <x:c r="E291" s="56" t="str">
        <x:v>DR.CS.2.6</x:v>
      </x:c>
      <x:c r="F291" s="14" t="str">
        <x:v>Document clear distinctions between facts, assumptions, and hypotheses within the data package</x:v>
      </x:c>
      <x:c r="G291" s="5"/>
      <x:c r="H291" s="11"/>
      <x:c r="I291" s="11" t="n">
        <x:f>'Cycles &amp; Guide'!$D$11</x:f>
        <x:v>46203</x:v>
      </x:c>
      <x:c r="J291" s="11"/>
      <x:c r="K291" s="29"/>
      <x:c r="L291" s="2" t="str">
        <x:f>IF(O291=1,"Complete",IF(A291,"Checklist open",IF(H291&lt;&gt;"","In progress","Not started")))</x:f>
        <x:v>Not started</x:v>
      </x:c>
      <x:c r="M291" s="2" t="str">
        <x:v>Task</x:v>
      </x:c>
      <x:c r="N291" s="2" t="str">
        <x:v>DR.CS.2.6.2026.CY2</x:v>
      </x:c>
      <x:c r="O291" s="2" t="n">
        <x:f>R291</x:f>
        <x:v>0</x:v>
      </x:c>
      <x:c r="P291" s="2"/>
      <x:c r="Q291" s="2" t="n">
        <x:v>1</x:v>
      </x:c>
      <x:c r="R291" s="2" t="n">
        <x:f>IF(A291,1,0)</x:f>
        <x:v>0</x:v>
      </x:c>
      <x:c r="S291" s="2" t="n">
        <x:f>SUBTOTAL(103,N291)</x:f>
        <x:v>1</x:v>
      </x:c>
    </x:row>
    <x:row r="292" ht="42" customHeight="1">
      <x:c r="A292" s="28" t="b">
        <x:v>0</x:v>
      </x:c>
      <x:c r="B292" s="2" t="str">
        <x:v>Cycle 2</x:v>
      </x:c>
      <x:c r="C292" s="2" t="str">
        <x:v>Phase 3</x:v>
      </x:c>
      <x:c r="D292" s="2" t="str">
        <x:v>CSBBO - Customer Service</x:v>
      </x:c>
      <x:c r="E292" s="56" t="str">
        <x:v>DR.CS.3.1</x:v>
      </x:c>
      <x:c r="F292" s="14" t="str">
        <x:v>Clearly document rationale for each topic recommendation within the SharePoint list item</x:v>
      </x:c>
      <x:c r="G292" s="5"/>
      <x:c r="H292" s="11"/>
      <x:c r="I292" s="11" t="n">
        <x:f>'Cycles &amp; Guide'!$D$11</x:f>
        <x:v>46203</x:v>
      </x:c>
      <x:c r="J292" s="11"/>
      <x:c r="K292" s="29"/>
      <x:c r="L292" s="2" t="str">
        <x:f>IF(O292=1,"Complete",IF(A292,"Checklist open",IF(H292&lt;&gt;"","In progress","Not started")))</x:f>
        <x:v>Not started</x:v>
      </x:c>
      <x:c r="M292" s="2" t="str">
        <x:v>Task</x:v>
      </x:c>
      <x:c r="N292" s="2" t="str">
        <x:v>DR.CS.3.1.2026.CY2</x:v>
      </x:c>
      <x:c r="O292" s="2" t="n">
        <x:f>R292</x:f>
        <x:v>0</x:v>
      </x:c>
      <x:c r="P292" s="2"/>
      <x:c r="Q292" s="2" t="n">
        <x:v>1</x:v>
      </x:c>
      <x:c r="R292" s="2" t="n">
        <x:f>IF(A292,1,0)</x:f>
        <x:v>0</x:v>
      </x:c>
      <x:c r="S292" s="2" t="n">
        <x:f>SUBTOTAL(103,N292)</x:f>
        <x:v>1</x:v>
      </x:c>
    </x:row>
    <x:row r="293" ht="42" customHeight="1">
      <x:c r="A293" s="28" t="b">
        <x:v>0</x:v>
      </x:c>
      <x:c r="B293" s="2" t="str">
        <x:v>Cycle 2</x:v>
      </x:c>
      <x:c r="C293" s="2" t="str">
        <x:v>Phase 3</x:v>
      </x:c>
      <x:c r="D293" s="2" t="str">
        <x:v>CSBBO - Customer Service</x:v>
      </x:c>
      <x:c r="E293" s="56" t="str">
        <x:v>DR.CS.3.2</x:v>
      </x:c>
      <x:c r="F293" s="14" t="str">
        <x:v>Attach the data package for each topic recommendation within the SharePoint list item</x:v>
      </x:c>
      <x:c r="G293" s="5"/>
      <x:c r="H293" s="11"/>
      <x:c r="I293" s="11" t="n">
        <x:f>'Cycles &amp; Guide'!$D$11</x:f>
        <x:v>46203</x:v>
      </x:c>
      <x:c r="J293" s="11"/>
      <x:c r="K293" s="29"/>
      <x:c r="L293" s="2" t="str">
        <x:f>IF(O293=1,"Complete",IF(A293,"Checklist open",IF(H293&lt;&gt;"","In progress","Not started")))</x:f>
        <x:v>Not started</x:v>
      </x:c>
      <x:c r="M293" s="2" t="str">
        <x:v>Task</x:v>
      </x:c>
      <x:c r="N293" s="2" t="str">
        <x:v>DR.CS.3.2.2026.CY2</x:v>
      </x:c>
      <x:c r="O293" s="2" t="n">
        <x:f>R293</x:f>
        <x:v>0</x:v>
      </x:c>
      <x:c r="P293" s="2"/>
      <x:c r="Q293" s="2" t="n">
        <x:v>1</x:v>
      </x:c>
      <x:c r="R293" s="2" t="n">
        <x:f>IF(A293,1,0)</x:f>
        <x:v>0</x:v>
      </x:c>
      <x:c r="S293" s="2" t="n">
        <x:f>SUBTOTAL(103,N293)</x:f>
        <x:v>1</x:v>
      </x:c>
    </x:row>
    <x:row r="294" ht="42" customHeight="1">
      <x:c r="A294" s="28" t="b">
        <x:v>0</x:v>
      </x:c>
      <x:c r="B294" s="2" t="str">
        <x:v>Cycle 2</x:v>
      </x:c>
      <x:c r="C294" s="2" t="str">
        <x:v>Phase 3</x:v>
      </x:c>
      <x:c r="D294" s="2" t="str">
        <x:v>CSBBO - Customer Service</x:v>
      </x:c>
      <x:c r="E294" s="56" t="str">
        <x:v>DR.CS.3.3</x:v>
      </x:c>
      <x:c r="F294" s="14" t="str">
        <x:v>Confirm data privileges have been granted, ensuring each pillar can access</x:v>
      </x:c>
      <x:c r="G294" s="5"/>
      <x:c r="H294" s="11"/>
      <x:c r="I294" s="11" t="n">
        <x:f>'Cycles &amp; Guide'!$D$11</x:f>
        <x:v>46203</x:v>
      </x:c>
      <x:c r="J294" s="11"/>
      <x:c r="K294" s="29"/>
      <x:c r="L294" s="2" t="str">
        <x:f>IF(O294=1,"Complete",IF(A294,"Checklist open",IF(H294&lt;&gt;"","In progress","Not started")))</x:f>
        <x:v>Not started</x:v>
      </x:c>
      <x:c r="M294" s="2" t="str">
        <x:v>Task</x:v>
      </x:c>
      <x:c r="N294" s="2" t="str">
        <x:v>DR.CS.3.3.2026.CY2</x:v>
      </x:c>
      <x:c r="O294" s="2" t="n">
        <x:f>R294</x:f>
        <x:v>0</x:v>
      </x:c>
      <x:c r="P294" s="2"/>
      <x:c r="Q294" s="2" t="n">
        <x:v>1</x:v>
      </x:c>
      <x:c r="R294" s="2" t="n">
        <x:f>IF(A294,1,0)</x:f>
        <x:v>0</x:v>
      </x:c>
      <x:c r="S294" s="2" t="n">
        <x:f>SUBTOTAL(103,N294)</x:f>
        <x:v>1</x:v>
      </x:c>
    </x:row>
    <x:row r="295" ht="42" customHeight="1">
      <x:c r="A295" s="28" t="b">
        <x:v>0</x:v>
      </x:c>
      <x:c r="B295" s="2" t="str">
        <x:v>Cycle 2</x:v>
      </x:c>
      <x:c r="C295" s="2" t="str">
        <x:v>Phase 3</x:v>
      </x:c>
      <x:c r="D295" s="2" t="str">
        <x:v>CSBBO - Customer Service</x:v>
      </x:c>
      <x:c r="E295" s="56" t="str">
        <x:v>DR.CS.3.4</x:v>
      </x:c>
      <x:c r="F295" s="14" t="str">
        <x:v>Ensure Power Automate notifications were correctly triggered within Microsoft Teams</x:v>
      </x:c>
      <x:c r="G295" s="5"/>
      <x:c r="H295" s="11"/>
      <x:c r="I295" s="11" t="n">
        <x:f>'Cycles &amp; Guide'!$D$11</x:f>
        <x:v>46203</x:v>
      </x:c>
      <x:c r="J295" s="11"/>
      <x:c r="K295" s="29"/>
      <x:c r="L295" s="2" t="str">
        <x:f>IF(O295=1,"Complete",IF(A295,"Checklist open",IF(H295&lt;&gt;"","In progress","Not started")))</x:f>
        <x:v>Not started</x:v>
      </x:c>
      <x:c r="M295" s="2" t="str">
        <x:v>Task</x:v>
      </x:c>
      <x:c r="N295" s="2" t="str">
        <x:v>DR.CS.3.4.2026.CY2</x:v>
      </x:c>
      <x:c r="O295" s="2" t="n">
        <x:f>R295</x:f>
        <x:v>0</x:v>
      </x:c>
      <x:c r="P295" s="2"/>
      <x:c r="Q295" s="2" t="n">
        <x:v>1</x:v>
      </x:c>
      <x:c r="R295" s="2" t="n">
        <x:f>IF(A295,1,0)</x:f>
        <x:v>0</x:v>
      </x:c>
      <x:c r="S295" s="2" t="n">
        <x:f>SUBTOTAL(103,N295)</x:f>
        <x:v>1</x:v>
      </x:c>
    </x:row>
    <x:row r="296" ht="42" customHeight="1">
      <x:c r="A296" s="28" t="b">
        <x:v>0</x:v>
      </x:c>
      <x:c r="B296" s="2" t="str">
        <x:v>Cycle 2</x:v>
      </x:c>
      <x:c r="C296" s="2" t="str">
        <x:v>Phase 1</x:v>
      </x:c>
      <x:c r="D296" s="2" t="str">
        <x:v>FCM</x:v>
      </x:c>
      <x:c r="E296" s="56" t="str">
        <x:v>DR.FC.1.1</x:v>
      </x:c>
      <x:c r="F296" s="14" t="str">
        <x:v>Review data sources 3 weeks prior to Cycle start (Complaints, Gen AI, Loudspeaker, NPS, etc.)</x:v>
      </x:c>
      <x:c r="G296" s="5"/>
      <x:c r="H296" s="11"/>
      <x:c r="I296" s="11" t="n">
        <x:f>'Cycles &amp; Guide'!$C$11-21</x:f>
        <x:v>46092</x:v>
      </x:c>
      <x:c r="J296" s="11"/>
      <x:c r="K296" s="29"/>
      <x:c r="L296" s="2" t="str">
        <x:f>IF(O296=1,"Complete",IF(A296,"Checklist open",IF(H296&lt;&gt;"","In progress","Not started")))</x:f>
        <x:v>Not started</x:v>
      </x:c>
      <x:c r="M296" s="2" t="str">
        <x:v>Task</x:v>
      </x:c>
      <x:c r="N296" s="2" t="str">
        <x:v>DR.FC.1.1.2026.CY2</x:v>
      </x:c>
      <x:c r="O296" s="2" t="n">
        <x:f>R296</x:f>
        <x:v>0</x:v>
      </x:c>
      <x:c r="P296" s="2"/>
      <x:c r="Q296" s="2" t="n">
        <x:v>1</x:v>
      </x:c>
      <x:c r="R296" s="2" t="n">
        <x:f>IF(A296,1,0)</x:f>
        <x:v>0</x:v>
      </x:c>
      <x:c r="S296" s="2" t="n">
        <x:f>SUBTOTAL(103,N296)</x:f>
        <x:v>1</x:v>
      </x:c>
    </x:row>
    <x:row r="297" ht="42" customHeight="1">
      <x:c r="A297" s="28" t="b">
        <x:v>0</x:v>
      </x:c>
      <x:c r="B297" s="2" t="str">
        <x:v>Cycle 2</x:v>
      </x:c>
      <x:c r="C297" s="2" t="str">
        <x:v>Phase 1</x:v>
      </x:c>
      <x:c r="D297" s="2" t="str">
        <x:v>FCM</x:v>
      </x:c>
      <x:c r="E297" s="56" t="str">
        <x:v>DR.FC.1.2</x:v>
      </x:c>
      <x:c r="F297" s="14" t="str">
        <x:v>Identify two potential topics for the upcoming Cycle</x:v>
      </x:c>
      <x:c r="G297" s="5"/>
      <x:c r="H297" s="11"/>
      <x:c r="I297" s="11" t="n">
        <x:f>'Cycles &amp; Guide'!$D$11</x:f>
        <x:v>46203</x:v>
      </x:c>
      <x:c r="J297" s="11"/>
      <x:c r="K297" s="29"/>
      <x:c r="L297" s="2" t="str">
        <x:f>IF(O297=1,"Complete",IF(A297,"Checklist open",IF(H297&lt;&gt;"","In progress","Not started")))</x:f>
        <x:v>Not started</x:v>
      </x:c>
      <x:c r="M297" s="2" t="str">
        <x:v>Task</x:v>
      </x:c>
      <x:c r="N297" s="2" t="str">
        <x:v>DR.FC.1.2.2026.CY2</x:v>
      </x:c>
      <x:c r="O297" s="2" t="n">
        <x:f>R297</x:f>
        <x:v>0</x:v>
      </x:c>
      <x:c r="P297" s="2"/>
      <x:c r="Q297" s="2" t="n">
        <x:v>1</x:v>
      </x:c>
      <x:c r="R297" s="2" t="n">
        <x:f>IF(A297,1,0)</x:f>
        <x:v>0</x:v>
      </x:c>
      <x:c r="S297" s="2" t="n">
        <x:f>SUBTOTAL(103,N297)</x:f>
        <x:v>1</x:v>
      </x:c>
    </x:row>
    <x:row r="298" ht="42" customHeight="1">
      <x:c r="A298" s="28" t="b">
        <x:v>0</x:v>
      </x:c>
      <x:c r="B298" s="2" t="str">
        <x:v>Cycle 2</x:v>
      </x:c>
      <x:c r="C298" s="2" t="str">
        <x:v>Phase 1</x:v>
      </x:c>
      <x:c r="D298" s="2" t="str">
        <x:v>FCM</x:v>
      </x:c>
      <x:c r="E298" s="68" t="str">
        <x:v>DR.FC.1.3</x:v>
      </x:c>
      <x:c r="F298" s="33" t="str">
        <x:v>Extract data for both potential topics, ensuring all checklist items below are included/completed</x:v>
      </x:c>
      <x:c r="G298" s="5"/>
      <x:c r="H298" s="11"/>
      <x:c r="I298" s="11" t="n">
        <x:f>'Cycles &amp; Guide'!$D$11</x:f>
        <x:v>46203</x:v>
      </x:c>
      <x:c r="J298" s="11"/>
      <x:c r="K298" s="29"/>
      <x:c r="L298" s="2" t="str">
        <x:f>IF(O298=1,"Complete",IF(A298,"Checklist open",IF(H298&lt;&gt;"","In progress","Not started")))</x:f>
        <x:v>Not started</x:v>
      </x:c>
      <x:c r="M298" s="2" t="str">
        <x:v>Task</x:v>
      </x:c>
      <x:c r="N298" s="2" t="str">
        <x:v>DR.FC.1.3.2026.CY2</x:v>
      </x:c>
      <x:c r="O298" s="2" t="n">
        <x:f>IF(A298,IF(SUMIFS($R$10:$R$737,$P$10:$P$737,N298)=13,1,0),0)</x:f>
        <x:v>0</x:v>
      </x:c>
      <x:c r="P298" s="2"/>
      <x:c r="Q298" s="2" t="n">
        <x:v>1</x:v>
      </x:c>
      <x:c r="R298" s="2" t="n">
        <x:f>IF(A298,1,0)</x:f>
        <x:v>0</x:v>
      </x:c>
      <x:c r="S298" s="2" t="n">
        <x:f>SUBTOTAL(103,N298)</x:f>
        <x:v>1</x:v>
      </x:c>
    </x:row>
    <x:row r="299" ht="31" customHeight="1" outlineLevel="1">
      <x:c r="A299" s="28" t="b">
        <x:v>0</x:v>
      </x:c>
      <x:c r="B299" s="36" t="str">
        <x:v>Cycle 2</x:v>
      </x:c>
      <x:c r="C299" s="36" t="str">
        <x:v>Phase 1</x:v>
      </x:c>
      <x:c r="D299" s="36" t="str">
        <x:v>FCM</x:v>
      </x:c>
      <x:c r="E299" s="69" t="str">
        <x:v>DR.FC.1.3.C01</x:v>
      </x:c>
      <x:c r="F299" s="37" t="str">
        <x:v>    Document date range extracted</x:v>
      </x:c>
      <x:c r="G299" s="5"/>
      <x:c r="H299" s="11"/>
      <x:c r="I299" s="11"/>
      <x:c r="J299" s="11"/>
      <x:c r="K299" s="29"/>
      <x:c r="L299" s="2" t="str">
        <x:f>IF(A299,"Complete","Open check")</x:f>
        <x:v>Open check</x:v>
      </x:c>
      <x:c r="M299" s="2" t="str">
        <x:v>Checklist</x:v>
      </x:c>
      <x:c r="N299" s="2" t="str">
        <x:v>DR.FC.1.3.C01.2026.CY2</x:v>
      </x:c>
      <x:c r="O299" s="2" t="n">
        <x:f>R299</x:f>
        <x:v>0</x:v>
      </x:c>
      <x:c r="P299" s="2" t="str">
        <x:v>DR.FC.1.3.2026.CY2</x:v>
      </x:c>
      <x:c r="Q299" s="2" t="n">
        <x:v>0</x:v>
      </x:c>
      <x:c r="R299" s="2" t="n">
        <x:f>IF(A299,1,0)</x:f>
        <x:v>0</x:v>
      </x:c>
      <x:c r="S299" s="2" t="n">
        <x:f>SUBTOTAL(103,N299)</x:f>
        <x:v>1</x:v>
      </x:c>
    </x:row>
    <x:row r="300" ht="31" customHeight="1" outlineLevel="1">
      <x:c r="A300" s="28" t="b">
        <x:v>0</x:v>
      </x:c>
      <x:c r="B300" s="36" t="str">
        <x:v>Cycle 2</x:v>
      </x:c>
      <x:c r="C300" s="36" t="str">
        <x:v>Phase 1</x:v>
      </x:c>
      <x:c r="D300" s="36" t="str">
        <x:v>FCM</x:v>
      </x:c>
      <x:c r="E300" s="69" t="str">
        <x:v>DR.FC.1.3.C02</x:v>
      </x:c>
      <x:c r="F300" s="37" t="str">
        <x:v>    Document date of data pull</x:v>
      </x:c>
      <x:c r="G300" s="5"/>
      <x:c r="H300" s="11"/>
      <x:c r="I300" s="11"/>
      <x:c r="J300" s="11"/>
      <x:c r="K300" s="29"/>
      <x:c r="L300" s="2" t="str">
        <x:f>IF(A300,"Complete","Open check")</x:f>
        <x:v>Open check</x:v>
      </x:c>
      <x:c r="M300" s="2" t="str">
        <x:v>Checklist</x:v>
      </x:c>
      <x:c r="N300" s="2" t="str">
        <x:v>DR.FC.1.3.C02.2026.CY2</x:v>
      </x:c>
      <x:c r="O300" s="2" t="n">
        <x:f>R300</x:f>
        <x:v>0</x:v>
      </x:c>
      <x:c r="P300" s="2" t="str">
        <x:v>DR.FC.1.3.2026.CY2</x:v>
      </x:c>
      <x:c r="Q300" s="2" t="n">
        <x:v>0</x:v>
      </x:c>
      <x:c r="R300" s="2" t="n">
        <x:f>IF(A300,1,0)</x:f>
        <x:v>0</x:v>
      </x:c>
      <x:c r="S300" s="2" t="n">
        <x:f>SUBTOTAL(103,N300)</x:f>
        <x:v>1</x:v>
      </x:c>
    </x:row>
    <x:row r="301" ht="31" customHeight="1" outlineLevel="1">
      <x:c r="A301" s="28" t="b">
        <x:v>0</x:v>
      </x:c>
      <x:c r="B301" s="36" t="str">
        <x:v>Cycle 2</x:v>
      </x:c>
      <x:c r="C301" s="36" t="str">
        <x:v>Phase 1</x:v>
      </x:c>
      <x:c r="D301" s="36" t="str">
        <x:v>FCM</x:v>
      </x:c>
      <x:c r="E301" s="69" t="str">
        <x:v>DR.FC.1.3.C03</x:v>
      </x:c>
      <x:c r="F301" s="37" t="str">
        <x:v>    Document population details</x:v>
      </x:c>
      <x:c r="G301" s="5"/>
      <x:c r="H301" s="11"/>
      <x:c r="I301" s="11"/>
      <x:c r="J301" s="11"/>
      <x:c r="K301" s="29"/>
      <x:c r="L301" s="2" t="str">
        <x:f>IF(A301,"Complete","Open check")</x:f>
        <x:v>Open check</x:v>
      </x:c>
      <x:c r="M301" s="2" t="str">
        <x:v>Checklist</x:v>
      </x:c>
      <x:c r="N301" s="2" t="str">
        <x:v>DR.FC.1.3.C03.2026.CY2</x:v>
      </x:c>
      <x:c r="O301" s="2" t="n">
        <x:f>R301</x:f>
        <x:v>0</x:v>
      </x:c>
      <x:c r="P301" s="2" t="str">
        <x:v>DR.FC.1.3.2026.CY2</x:v>
      </x:c>
      <x:c r="Q301" s="2" t="n">
        <x:v>0</x:v>
      </x:c>
      <x:c r="R301" s="2" t="n">
        <x:f>IF(A301,1,0)</x:f>
        <x:v>0</x:v>
      </x:c>
      <x:c r="S301" s="2" t="n">
        <x:f>SUBTOTAL(103,N301)</x:f>
        <x:v>1</x:v>
      </x:c>
    </x:row>
    <x:row r="302" ht="31" customHeight="1" outlineLevel="1">
      <x:c r="A302" s="28" t="b">
        <x:v>0</x:v>
      </x:c>
      <x:c r="B302" s="36" t="str">
        <x:v>Cycle 2</x:v>
      </x:c>
      <x:c r="C302" s="36" t="str">
        <x:v>Phase 1</x:v>
      </x:c>
      <x:c r="D302" s="36" t="str">
        <x:v>FCM</x:v>
      </x:c>
      <x:c r="E302" s="69" t="str">
        <x:v>DR.FC.1.3.C04</x:v>
      </x:c>
      <x:c r="F302" s="37" t="str">
        <x:v>    Validate no data is missing</x:v>
      </x:c>
      <x:c r="G302" s="5"/>
      <x:c r="H302" s="11"/>
      <x:c r="I302" s="11"/>
      <x:c r="J302" s="11"/>
      <x:c r="K302" s="29"/>
      <x:c r="L302" s="2" t="str">
        <x:f>IF(A302,"Complete","Open check")</x:f>
        <x:v>Open check</x:v>
      </x:c>
      <x:c r="M302" s="2" t="str">
        <x:v>Checklist</x:v>
      </x:c>
      <x:c r="N302" s="2" t="str">
        <x:v>DR.FC.1.3.C04.2026.CY2</x:v>
      </x:c>
      <x:c r="O302" s="2" t="n">
        <x:f>R302</x:f>
        <x:v>0</x:v>
      </x:c>
      <x:c r="P302" s="2" t="str">
        <x:v>DR.FC.1.3.2026.CY2</x:v>
      </x:c>
      <x:c r="Q302" s="2" t="n">
        <x:v>0</x:v>
      </x:c>
      <x:c r="R302" s="2" t="n">
        <x:f>IF(A302,1,0)</x:f>
        <x:v>0</x:v>
      </x:c>
      <x:c r="S302" s="2" t="n">
        <x:f>SUBTOTAL(103,N302)</x:f>
        <x:v>1</x:v>
      </x:c>
    </x:row>
    <x:row r="303" ht="31" customHeight="1" outlineLevel="1">
      <x:c r="A303" s="28" t="b">
        <x:v>0</x:v>
      </x:c>
      <x:c r="B303" s="36" t="str">
        <x:v>Cycle 2</x:v>
      </x:c>
      <x:c r="C303" s="36" t="str">
        <x:v>Phase 1</x:v>
      </x:c>
      <x:c r="D303" s="36" t="str">
        <x:v>FCM</x:v>
      </x:c>
      <x:c r="E303" s="69" t="str">
        <x:v>DR.FC.1.3.C05</x:v>
      </x:c>
      <x:c r="F303" s="37" t="str">
        <x:v>    Validate accuracy of data</x:v>
      </x:c>
      <x:c r="G303" s="5"/>
      <x:c r="H303" s="11"/>
      <x:c r="I303" s="11"/>
      <x:c r="J303" s="11"/>
      <x:c r="K303" s="29"/>
      <x:c r="L303" s="2" t="str">
        <x:f>IF(A303,"Complete","Open check")</x:f>
        <x:v>Open check</x:v>
      </x:c>
      <x:c r="M303" s="2" t="str">
        <x:v>Checklist</x:v>
      </x:c>
      <x:c r="N303" s="2" t="str">
        <x:v>DR.FC.1.3.C05.2026.CY2</x:v>
      </x:c>
      <x:c r="O303" s="2" t="n">
        <x:f>R303</x:f>
        <x:v>0</x:v>
      </x:c>
      <x:c r="P303" s="2" t="str">
        <x:v>DR.FC.1.3.2026.CY2</x:v>
      </x:c>
      <x:c r="Q303" s="2" t="n">
        <x:v>0</x:v>
      </x:c>
      <x:c r="R303" s="2" t="n">
        <x:f>IF(A303,1,0)</x:f>
        <x:v>0</x:v>
      </x:c>
      <x:c r="S303" s="2" t="n">
        <x:f>SUBTOTAL(103,N303)</x:f>
        <x:v>1</x:v>
      </x:c>
    </x:row>
    <x:row r="304" ht="31" customHeight="1" outlineLevel="1">
      <x:c r="A304" s="28" t="b">
        <x:v>0</x:v>
      </x:c>
      <x:c r="B304" s="36" t="str">
        <x:v>Cycle 2</x:v>
      </x:c>
      <x:c r="C304" s="36" t="str">
        <x:v>Phase 1</x:v>
      </x:c>
      <x:c r="D304" s="36" t="str">
        <x:v>FCM</x:v>
      </x:c>
      <x:c r="E304" s="69" t="str">
        <x:v>DR.FC.1.3.C06</x:v>
      </x:c>
      <x:c r="F304" s="37" t="str">
        <x:v>    Validate no duplicate data is provided</x:v>
      </x:c>
      <x:c r="G304" s="5"/>
      <x:c r="H304" s="11"/>
      <x:c r="I304" s="11"/>
      <x:c r="J304" s="11"/>
      <x:c r="K304" s="29"/>
      <x:c r="L304" s="2" t="str">
        <x:f>IF(A304,"Complete","Open check")</x:f>
        <x:v>Open check</x:v>
      </x:c>
      <x:c r="M304" s="2" t="str">
        <x:v>Checklist</x:v>
      </x:c>
      <x:c r="N304" s="2" t="str">
        <x:v>DR.FC.1.3.C06.2026.CY2</x:v>
      </x:c>
      <x:c r="O304" s="2" t="n">
        <x:f>R304</x:f>
        <x:v>0</x:v>
      </x:c>
      <x:c r="P304" s="2" t="str">
        <x:v>DR.FC.1.3.2026.CY2</x:v>
      </x:c>
      <x:c r="Q304" s="2" t="n">
        <x:v>0</x:v>
      </x:c>
      <x:c r="R304" s="2" t="n">
        <x:f>IF(A304,1,0)</x:f>
        <x:v>0</x:v>
      </x:c>
      <x:c r="S304" s="2" t="n">
        <x:f>SUBTOTAL(103,N304)</x:f>
        <x:v>1</x:v>
      </x:c>
    </x:row>
    <x:row r="305" ht="31" customHeight="1" outlineLevel="1">
      <x:c r="A305" s="28" t="b">
        <x:v>0</x:v>
      </x:c>
      <x:c r="B305" s="36" t="str">
        <x:v>Cycle 2</x:v>
      </x:c>
      <x:c r="C305" s="36" t="str">
        <x:v>Phase 1</x:v>
      </x:c>
      <x:c r="D305" s="36" t="str">
        <x:v>FCM</x:v>
      </x:c>
      <x:c r="E305" s="69" t="str">
        <x:v>DR.FC.1.3.C07</x:v>
      </x:c>
      <x:c r="F305" s="37" t="str">
        <x:v>    Document any data exclusions along with justification (as needed)</x:v>
      </x:c>
      <x:c r="G305" s="5"/>
      <x:c r="H305" s="11"/>
      <x:c r="I305" s="11"/>
      <x:c r="J305" s="11"/>
      <x:c r="K305" s="29"/>
      <x:c r="L305" s="2" t="str">
        <x:f>IF(A305,"Complete","Open check")</x:f>
        <x:v>Open check</x:v>
      </x:c>
      <x:c r="M305" s="2" t="str">
        <x:v>Checklist</x:v>
      </x:c>
      <x:c r="N305" s="2" t="str">
        <x:v>DR.FC.1.3.C07.2026.CY2</x:v>
      </x:c>
      <x:c r="O305" s="2" t="n">
        <x:f>R305</x:f>
        <x:v>0</x:v>
      </x:c>
      <x:c r="P305" s="2" t="str">
        <x:v>DR.FC.1.3.2026.CY2</x:v>
      </x:c>
      <x:c r="Q305" s="2" t="n">
        <x:v>0</x:v>
      </x:c>
      <x:c r="R305" s="2" t="n">
        <x:f>IF(A305,1,0)</x:f>
        <x:v>0</x:v>
      </x:c>
      <x:c r="S305" s="2" t="n">
        <x:f>SUBTOTAL(103,N305)</x:f>
        <x:v>1</x:v>
      </x:c>
    </x:row>
    <x:row r="306" ht="31" customHeight="1" outlineLevel="1">
      <x:c r="A306" s="28" t="b">
        <x:v>0</x:v>
      </x:c>
      <x:c r="B306" s="36" t="str">
        <x:v>Cycle 2</x:v>
      </x:c>
      <x:c r="C306" s="36" t="str">
        <x:v>Phase 1</x:v>
      </x:c>
      <x:c r="D306" s="36" t="str">
        <x:v>FCM</x:v>
      </x:c>
      <x:c r="E306" s="69" t="str">
        <x:v>DR.FC.1.3.C08</x:v>
      </x:c>
      <x:c r="F306" s="37" t="str">
        <x:v>    Document any assumptions made with the data (as needed)</x:v>
      </x:c>
      <x:c r="G306" s="5"/>
      <x:c r="H306" s="11"/>
      <x:c r="I306" s="11"/>
      <x:c r="J306" s="11"/>
      <x:c r="K306" s="29"/>
      <x:c r="L306" s="2" t="str">
        <x:f>IF(A306,"Complete","Open check")</x:f>
        <x:v>Open check</x:v>
      </x:c>
      <x:c r="M306" s="2" t="str">
        <x:v>Checklist</x:v>
      </x:c>
      <x:c r="N306" s="2" t="str">
        <x:v>DR.FC.1.3.C08.2026.CY2</x:v>
      </x:c>
      <x:c r="O306" s="2" t="n">
        <x:f>R306</x:f>
        <x:v>0</x:v>
      </x:c>
      <x:c r="P306" s="2" t="str">
        <x:v>DR.FC.1.3.2026.CY2</x:v>
      </x:c>
      <x:c r="Q306" s="2" t="n">
        <x:v>0</x:v>
      </x:c>
      <x:c r="R306" s="2" t="n">
        <x:f>IF(A306,1,0)</x:f>
        <x:v>0</x:v>
      </x:c>
      <x:c r="S306" s="2" t="n">
        <x:f>SUBTOTAL(103,N306)</x:f>
        <x:v>1</x:v>
      </x:c>
    </x:row>
    <x:row r="307" ht="31" customHeight="1" outlineLevel="1">
      <x:c r="A307" s="28" t="b">
        <x:v>0</x:v>
      </x:c>
      <x:c r="B307" s="36" t="str">
        <x:v>Cycle 2</x:v>
      </x:c>
      <x:c r="C307" s="36" t="str">
        <x:v>Phase 1</x:v>
      </x:c>
      <x:c r="D307" s="36" t="str">
        <x:v>FCM</x:v>
      </x:c>
      <x:c r="E307" s="69" t="str">
        <x:v>DR.FC.1.3.C09</x:v>
      </x:c>
      <x:c r="F307" s="37" t="str">
        <x:v>    Document any data limitations or constraints clearly (as needed)</x:v>
      </x:c>
      <x:c r="G307" s="5"/>
      <x:c r="H307" s="11"/>
      <x:c r="I307" s="11"/>
      <x:c r="J307" s="11"/>
      <x:c r="K307" s="29"/>
      <x:c r="L307" s="2" t="str">
        <x:f>IF(A307,"Complete","Open check")</x:f>
        <x:v>Open check</x:v>
      </x:c>
      <x:c r="M307" s="2" t="str">
        <x:v>Checklist</x:v>
      </x:c>
      <x:c r="N307" s="2" t="str">
        <x:v>DR.FC.1.3.C09.2026.CY2</x:v>
      </x:c>
      <x:c r="O307" s="2" t="n">
        <x:f>R307</x:f>
        <x:v>0</x:v>
      </x:c>
      <x:c r="P307" s="2" t="str">
        <x:v>DR.FC.1.3.2026.CY2</x:v>
      </x:c>
      <x:c r="Q307" s="2" t="n">
        <x:v>0</x:v>
      </x:c>
      <x:c r="R307" s="2" t="n">
        <x:f>IF(A307,1,0)</x:f>
        <x:v>0</x:v>
      </x:c>
      <x:c r="S307" s="2" t="n">
        <x:f>SUBTOTAL(103,N307)</x:f>
        <x:v>1</x:v>
      </x:c>
    </x:row>
    <x:row r="308" ht="31" customHeight="1" outlineLevel="1">
      <x:c r="A308" s="28" t="b">
        <x:v>0</x:v>
      </x:c>
      <x:c r="B308" s="36" t="str">
        <x:v>Cycle 2</x:v>
      </x:c>
      <x:c r="C308" s="36" t="str">
        <x:v>Phase 1</x:v>
      </x:c>
      <x:c r="D308" s="36" t="str">
        <x:v>FCM</x:v>
      </x:c>
      <x:c r="E308" s="69" t="str">
        <x:v>DR.FC.1.3.C10</x:v>
      </x:c>
      <x:c r="F308" s="37" t="str">
        <x:v>    Document data dictionary or field definitions for columns/rows</x:v>
      </x:c>
      <x:c r="G308" s="5"/>
      <x:c r="H308" s="11"/>
      <x:c r="I308" s="11"/>
      <x:c r="J308" s="11"/>
      <x:c r="K308" s="29"/>
      <x:c r="L308" s="2" t="str">
        <x:f>IF(A308,"Complete","Open check")</x:f>
        <x:v>Open check</x:v>
      </x:c>
      <x:c r="M308" s="2" t="str">
        <x:v>Checklist</x:v>
      </x:c>
      <x:c r="N308" s="2" t="str">
        <x:v>DR.FC.1.3.C10.2026.CY2</x:v>
      </x:c>
      <x:c r="O308" s="2" t="n">
        <x:f>R308</x:f>
        <x:v>0</x:v>
      </x:c>
      <x:c r="P308" s="2" t="str">
        <x:v>DR.FC.1.3.2026.CY2</x:v>
      </x:c>
      <x:c r="Q308" s="2" t="n">
        <x:v>0</x:v>
      </x:c>
      <x:c r="R308" s="2" t="n">
        <x:f>IF(A308,1,0)</x:f>
        <x:v>0</x:v>
      </x:c>
      <x:c r="S308" s="2" t="n">
        <x:f>SUBTOTAL(103,N308)</x:f>
        <x:v>1</x:v>
      </x:c>
    </x:row>
    <x:row r="309" ht="31" customHeight="1" outlineLevel="1">
      <x:c r="A309" s="28" t="b">
        <x:v>0</x:v>
      </x:c>
      <x:c r="B309" s="36" t="str">
        <x:v>Cycle 2</x:v>
      </x:c>
      <x:c r="C309" s="36" t="str">
        <x:v>Phase 1</x:v>
      </x:c>
      <x:c r="D309" s="36" t="str">
        <x:v>FCM</x:v>
      </x:c>
      <x:c r="E309" s="69" t="str">
        <x:v>DR.FC.1.3.C11</x:v>
      </x:c>
      <x:c r="F309" s="37" t="str">
        <x:v>    Document emerging trends, patterns, or concentrations along with supporting data</x:v>
      </x:c>
      <x:c r="G309" s="5"/>
      <x:c r="H309" s="11"/>
      <x:c r="I309" s="11"/>
      <x:c r="J309" s="11"/>
      <x:c r="K309" s="29"/>
      <x:c r="L309" s="2" t="str">
        <x:f>IF(A309,"Complete","Open check")</x:f>
        <x:v>Open check</x:v>
      </x:c>
      <x:c r="M309" s="2" t="str">
        <x:v>Checklist</x:v>
      </x:c>
      <x:c r="N309" s="2" t="str">
        <x:v>DR.FC.1.3.C11.2026.CY2</x:v>
      </x:c>
      <x:c r="O309" s="2" t="n">
        <x:f>R309</x:f>
        <x:v>0</x:v>
      </x:c>
      <x:c r="P309" s="2" t="str">
        <x:v>DR.FC.1.3.2026.CY2</x:v>
      </x:c>
      <x:c r="Q309" s="2" t="n">
        <x:v>0</x:v>
      </x:c>
      <x:c r="R309" s="2" t="n">
        <x:f>IF(A309,1,0)</x:f>
        <x:v>0</x:v>
      </x:c>
      <x:c r="S309" s="2" t="n">
        <x:f>SUBTOTAL(103,N309)</x:f>
        <x:v>1</x:v>
      </x:c>
    </x:row>
    <x:row r="310" ht="31" customHeight="1" outlineLevel="1">
      <x:c r="A310" s="28" t="b">
        <x:v>0</x:v>
      </x:c>
      <x:c r="B310" s="36" t="str">
        <x:v>Cycle 2</x:v>
      </x:c>
      <x:c r="C310" s="36" t="str">
        <x:v>Phase 1</x:v>
      </x:c>
      <x:c r="D310" s="36" t="str">
        <x:v>FCM</x:v>
      </x:c>
      <x:c r="E310" s="69" t="str">
        <x:v>DR.FC.1.3.C12</x:v>
      </x:c>
      <x:c r="F310" s="37" t="str">
        <x:v>    Document any severe spikes in volume along with context (as needed)</x:v>
      </x:c>
      <x:c r="G310" s="5"/>
      <x:c r="H310" s="11"/>
      <x:c r="I310" s="11"/>
      <x:c r="J310" s="11"/>
      <x:c r="K310" s="29"/>
      <x:c r="L310" s="2" t="str">
        <x:f>IF(A310,"Complete","Open check")</x:f>
        <x:v>Open check</x:v>
      </x:c>
      <x:c r="M310" s="2" t="str">
        <x:v>Checklist</x:v>
      </x:c>
      <x:c r="N310" s="2" t="str">
        <x:v>DR.FC.1.3.C12.2026.CY2</x:v>
      </x:c>
      <x:c r="O310" s="2" t="n">
        <x:f>R310</x:f>
        <x:v>0</x:v>
      </x:c>
      <x:c r="P310" s="2" t="str">
        <x:v>DR.FC.1.3.2026.CY2</x:v>
      </x:c>
      <x:c r="Q310" s="2" t="n">
        <x:v>0</x:v>
      </x:c>
      <x:c r="R310" s="2" t="n">
        <x:f>IF(A310,1,0)</x:f>
        <x:v>0</x:v>
      </x:c>
      <x:c r="S310" s="2" t="n">
        <x:f>SUBTOTAL(103,N310)</x:f>
        <x:v>1</x:v>
      </x:c>
    </x:row>
    <x:row r="311" ht="31" customHeight="1" outlineLevel="1">
      <x:c r="A311" s="28" t="b">
        <x:v>0</x:v>
      </x:c>
      <x:c r="B311" s="36" t="str">
        <x:v>Cycle 2</x:v>
      </x:c>
      <x:c r="C311" s="36" t="str">
        <x:v>Phase 1</x:v>
      </x:c>
      <x:c r="D311" s="36" t="str">
        <x:v>FCM</x:v>
      </x:c>
      <x:c r="E311" s="69" t="str">
        <x:v>DR.FC.1.3.C13</x:v>
      </x:c>
      <x:c r="F311" s="37" t="str">
        <x:v>    Document clear summary explaining how the data connects to the potential topic</x:v>
      </x:c>
      <x:c r="G311" s="5"/>
      <x:c r="H311" s="11"/>
      <x:c r="I311" s="11"/>
      <x:c r="J311" s="11"/>
      <x:c r="K311" s="29"/>
      <x:c r="L311" s="2" t="str">
        <x:f>IF(A311,"Complete","Open check")</x:f>
        <x:v>Open check</x:v>
      </x:c>
      <x:c r="M311" s="2" t="str">
        <x:v>Checklist</x:v>
      </x:c>
      <x:c r="N311" s="2" t="str">
        <x:v>DR.FC.1.3.C13.2026.CY2</x:v>
      </x:c>
      <x:c r="O311" s="2" t="n">
        <x:f>R311</x:f>
        <x:v>0</x:v>
      </x:c>
      <x:c r="P311" s="2" t="str">
        <x:v>DR.FC.1.3.2026.CY2</x:v>
      </x:c>
      <x:c r="Q311" s="2" t="n">
        <x:v>0</x:v>
      </x:c>
      <x:c r="R311" s="2" t="n">
        <x:f>IF(A311,1,0)</x:f>
        <x:v>0</x:v>
      </x:c>
      <x:c r="S311" s="2" t="n">
        <x:f>SUBTOTAL(103,N311)</x:f>
        <x:v>1</x:v>
      </x:c>
    </x:row>
    <x:row r="312" ht="42" customHeight="1">
      <x:c r="A312" s="28" t="b">
        <x:v>0</x:v>
      </x:c>
      <x:c r="B312" s="2" t="str">
        <x:v>Cycle 2</x:v>
      </x:c>
      <x:c r="C312" s="2" t="str">
        <x:v>Phase 2</x:v>
      </x:c>
      <x:c r="D312" s="2" t="str">
        <x:v>FCM</x:v>
      </x:c>
      <x:c r="E312" s="56" t="str">
        <x:v>DR.FC.2.1</x:v>
      </x:c>
      <x:c r="F312" s="14" t="str">
        <x:v>Ensure data is clean, structured, and usable without manipulation needed</x:v>
      </x:c>
      <x:c r="G312" s="5"/>
      <x:c r="H312" s="11"/>
      <x:c r="I312" s="11" t="n">
        <x:f>'Cycles &amp; Guide'!$D$11</x:f>
        <x:v>46203</x:v>
      </x:c>
      <x:c r="J312" s="11"/>
      <x:c r="K312" s="29"/>
      <x:c r="L312" s="2" t="str">
        <x:f>IF(O312=1,"Complete",IF(A312,"Checklist open",IF(H312&lt;&gt;"","In progress","Not started")))</x:f>
        <x:v>Not started</x:v>
      </x:c>
      <x:c r="M312" s="2" t="str">
        <x:v>Task</x:v>
      </x:c>
      <x:c r="N312" s="2" t="str">
        <x:v>DR.FC.2.1.2026.CY2</x:v>
      </x:c>
      <x:c r="O312" s="2" t="n">
        <x:f>R312</x:f>
        <x:v>0</x:v>
      </x:c>
      <x:c r="P312" s="2"/>
      <x:c r="Q312" s="2" t="n">
        <x:v>1</x:v>
      </x:c>
      <x:c r="R312" s="2" t="n">
        <x:f>IF(A312,1,0)</x:f>
        <x:v>0</x:v>
      </x:c>
      <x:c r="S312" s="2" t="n">
        <x:f>SUBTOTAL(103,N312)</x:f>
        <x:v>1</x:v>
      </x:c>
    </x:row>
    <x:row r="313" ht="42" customHeight="1">
      <x:c r="A313" s="28" t="b">
        <x:v>0</x:v>
      </x:c>
      <x:c r="B313" s="2" t="str">
        <x:v>Cycle 2</x:v>
      </x:c>
      <x:c r="C313" s="2" t="str">
        <x:v>Phase 2</x:v>
      </x:c>
      <x:c r="D313" s="2" t="str">
        <x:v>FCM</x:v>
      </x:c>
      <x:c r="E313" s="56" t="str">
        <x:v>DR.FC.2.2</x:v>
      </x:c>
      <x:c r="F313" s="14" t="str">
        <x:v>Clearly document rationale for each topic recommendation within the SharePoint list</x:v>
      </x:c>
      <x:c r="G313" s="5"/>
      <x:c r="H313" s="11"/>
      <x:c r="I313" s="11" t="n">
        <x:f>'Cycles &amp; Guide'!$D$11</x:f>
        <x:v>46203</x:v>
      </x:c>
      <x:c r="J313" s="11"/>
      <x:c r="K313" s="29"/>
      <x:c r="L313" s="2" t="str">
        <x:f>IF(O313=1,"Complete",IF(A313,"Checklist open",IF(H313&lt;&gt;"","In progress","Not started")))</x:f>
        <x:v>Not started</x:v>
      </x:c>
      <x:c r="M313" s="2" t="str">
        <x:v>Task</x:v>
      </x:c>
      <x:c r="N313" s="2" t="str">
        <x:v>DR.FC.2.2.2026.CY2</x:v>
      </x:c>
      <x:c r="O313" s="2" t="n">
        <x:f>R313</x:f>
        <x:v>0</x:v>
      </x:c>
      <x:c r="P313" s="2"/>
      <x:c r="Q313" s="2" t="n">
        <x:v>1</x:v>
      </x:c>
      <x:c r="R313" s="2" t="n">
        <x:f>IF(A313,1,0)</x:f>
        <x:v>0</x:v>
      </x:c>
      <x:c r="S313" s="2" t="n">
        <x:f>SUBTOTAL(103,N313)</x:f>
        <x:v>1</x:v>
      </x:c>
    </x:row>
    <x:row r="314" ht="42" customHeight="1">
      <x:c r="A314" s="28" t="b">
        <x:v>0</x:v>
      </x:c>
      <x:c r="B314" s="2" t="str">
        <x:v>Cycle 2</x:v>
      </x:c>
      <x:c r="C314" s="2" t="str">
        <x:v>Phase 2</x:v>
      </x:c>
      <x:c r="D314" s="2" t="str">
        <x:v>FCM</x:v>
      </x:c>
      <x:c r="E314" s="56" t="str">
        <x:v>DR.FC.2.3</x:v>
      </x:c>
      <x:c r="F314" s="14" t="str">
        <x:v>Verify topic is eligible for RCA and does not conflict with Attorney Client Privilege</x:v>
      </x:c>
      <x:c r="G314" s="5"/>
      <x:c r="H314" s="11"/>
      <x:c r="I314" s="11" t="n">
        <x:f>'Cycles &amp; Guide'!$D$11</x:f>
        <x:v>46203</x:v>
      </x:c>
      <x:c r="J314" s="11"/>
      <x:c r="K314" s="29"/>
      <x:c r="L314" s="2" t="str">
        <x:f>IF(O314=1,"Complete",IF(A314,"Checklist open",IF(H314&lt;&gt;"","In progress","Not started")))</x:f>
        <x:v>Not started</x:v>
      </x:c>
      <x:c r="M314" s="2" t="str">
        <x:v>Task</x:v>
      </x:c>
      <x:c r="N314" s="2" t="str">
        <x:v>DR.FC.2.3.2026.CY2</x:v>
      </x:c>
      <x:c r="O314" s="2" t="n">
        <x:f>R314</x:f>
        <x:v>0</x:v>
      </x:c>
      <x:c r="P314" s="2"/>
      <x:c r="Q314" s="2" t="n">
        <x:v>1</x:v>
      </x:c>
      <x:c r="R314" s="2" t="n">
        <x:f>IF(A314,1,0)</x:f>
        <x:v>0</x:v>
      </x:c>
      <x:c r="S314" s="2" t="n">
        <x:f>SUBTOTAL(103,N314)</x:f>
        <x:v>1</x:v>
      </x:c>
    </x:row>
    <x:row r="315" ht="42" customHeight="1">
      <x:c r="A315" s="28" t="b">
        <x:v>0</x:v>
      </x:c>
      <x:c r="B315" s="2" t="str">
        <x:v>Cycle 2</x:v>
      </x:c>
      <x:c r="C315" s="2" t="str">
        <x:v>Phase 2</x:v>
      </x:c>
      <x:c r="D315" s="2" t="str">
        <x:v>FCM</x:v>
      </x:c>
      <x:c r="E315" s="56" t="str">
        <x:v>DR.FC.2.4</x:v>
      </x:c>
      <x:c r="F315" s="14" t="str">
        <x:v>Ensure data is free of errors and anomalies prior to hand-off to Research</x:v>
      </x:c>
      <x:c r="G315" s="5"/>
      <x:c r="H315" s="11"/>
      <x:c r="I315" s="11" t="n">
        <x:f>'Cycles &amp; Guide'!$D$11</x:f>
        <x:v>46203</x:v>
      </x:c>
      <x:c r="J315" s="11"/>
      <x:c r="K315" s="29"/>
      <x:c r="L315" s="2" t="str">
        <x:f>IF(O315=1,"Complete",IF(A315,"Checklist open",IF(H315&lt;&gt;"","In progress","Not started")))</x:f>
        <x:v>Not started</x:v>
      </x:c>
      <x:c r="M315" s="2" t="str">
        <x:v>Task</x:v>
      </x:c>
      <x:c r="N315" s="2" t="str">
        <x:v>DR.FC.2.4.2026.CY2</x:v>
      </x:c>
      <x:c r="O315" s="2" t="n">
        <x:f>R315</x:f>
        <x:v>0</x:v>
      </x:c>
      <x:c r="P315" s="2"/>
      <x:c r="Q315" s="2" t="n">
        <x:v>1</x:v>
      </x:c>
      <x:c r="R315" s="2" t="n">
        <x:f>IF(A315,1,0)</x:f>
        <x:v>0</x:v>
      </x:c>
      <x:c r="S315" s="2" t="n">
        <x:f>SUBTOTAL(103,N315)</x:f>
        <x:v>1</x:v>
      </x:c>
    </x:row>
    <x:row r="316" ht="42" customHeight="1">
      <x:c r="A316" s="28" t="b">
        <x:v>0</x:v>
      </x:c>
      <x:c r="B316" s="2" t="str">
        <x:v>Cycle 2</x:v>
      </x:c>
      <x:c r="C316" s="2" t="str">
        <x:v>Phase 2</x:v>
      </x:c>
      <x:c r="D316" s="2" t="str">
        <x:v>FCM</x:v>
      </x:c>
      <x:c r="E316" s="56" t="str">
        <x:v>DR.FC.2.5</x:v>
      </x:c>
      <x:c r="F316" s="14" t="str">
        <x:v>Ensure topic is not a duplicate from a previous Cycle</x:v>
      </x:c>
      <x:c r="G316" s="5"/>
      <x:c r="H316" s="11"/>
      <x:c r="I316" s="11" t="n">
        <x:f>'Cycles &amp; Guide'!$D$11</x:f>
        <x:v>46203</x:v>
      </x:c>
      <x:c r="J316" s="11"/>
      <x:c r="K316" s="29"/>
      <x:c r="L316" s="2" t="str">
        <x:f>IF(O316=1,"Complete",IF(A316,"Checklist open",IF(H316&lt;&gt;"","In progress","Not started")))</x:f>
        <x:v>Not started</x:v>
      </x:c>
      <x:c r="M316" s="2" t="str">
        <x:v>Task</x:v>
      </x:c>
      <x:c r="N316" s="2" t="str">
        <x:v>DR.FC.2.5.2026.CY2</x:v>
      </x:c>
      <x:c r="O316" s="2" t="n">
        <x:f>R316</x:f>
        <x:v>0</x:v>
      </x:c>
      <x:c r="P316" s="2"/>
      <x:c r="Q316" s="2" t="n">
        <x:v>1</x:v>
      </x:c>
      <x:c r="R316" s="2" t="n">
        <x:f>IF(A316,1,0)</x:f>
        <x:v>0</x:v>
      </x:c>
      <x:c r="S316" s="2" t="n">
        <x:f>SUBTOTAL(103,N316)</x:f>
        <x:v>1</x:v>
      </x:c>
    </x:row>
    <x:row r="317" ht="42" customHeight="1">
      <x:c r="A317" s="28" t="b">
        <x:v>0</x:v>
      </x:c>
      <x:c r="B317" s="2" t="str">
        <x:v>Cycle 2</x:v>
      </x:c>
      <x:c r="C317" s="2" t="str">
        <x:v>Phase 2</x:v>
      </x:c>
      <x:c r="D317" s="2" t="str">
        <x:v>FCM</x:v>
      </x:c>
      <x:c r="E317" s="56" t="str">
        <x:v>DR.FC.2.6</x:v>
      </x:c>
      <x:c r="F317" s="14" t="str">
        <x:v>Document clear distinctions between facts, assumptions, and hypotheses within the data package</x:v>
      </x:c>
      <x:c r="G317" s="5"/>
      <x:c r="H317" s="11"/>
      <x:c r="I317" s="11" t="n">
        <x:f>'Cycles &amp; Guide'!$D$11</x:f>
        <x:v>46203</x:v>
      </x:c>
      <x:c r="J317" s="11"/>
      <x:c r="K317" s="29"/>
      <x:c r="L317" s="2" t="str">
        <x:f>IF(O317=1,"Complete",IF(A317,"Checklist open",IF(H317&lt;&gt;"","In progress","Not started")))</x:f>
        <x:v>Not started</x:v>
      </x:c>
      <x:c r="M317" s="2" t="str">
        <x:v>Task</x:v>
      </x:c>
      <x:c r="N317" s="2" t="str">
        <x:v>DR.FC.2.6.2026.CY2</x:v>
      </x:c>
      <x:c r="O317" s="2" t="n">
        <x:f>R317</x:f>
        <x:v>0</x:v>
      </x:c>
      <x:c r="P317" s="2"/>
      <x:c r="Q317" s="2" t="n">
        <x:v>1</x:v>
      </x:c>
      <x:c r="R317" s="2" t="n">
        <x:f>IF(A317,1,0)</x:f>
        <x:v>0</x:v>
      </x:c>
      <x:c r="S317" s="2" t="n">
        <x:f>SUBTOTAL(103,N317)</x:f>
        <x:v>1</x:v>
      </x:c>
    </x:row>
    <x:row r="318" ht="42" customHeight="1">
      <x:c r="A318" s="28" t="b">
        <x:v>0</x:v>
      </x:c>
      <x:c r="B318" s="2" t="str">
        <x:v>Cycle 2</x:v>
      </x:c>
      <x:c r="C318" s="2" t="str">
        <x:v>Phase 3</x:v>
      </x:c>
      <x:c r="D318" s="2" t="str">
        <x:v>FCM</x:v>
      </x:c>
      <x:c r="E318" s="56" t="str">
        <x:v>DR.FC.3.1</x:v>
      </x:c>
      <x:c r="F318" s="14" t="str">
        <x:v>Clearly document rationale for each topic recommendation within the SharePoint list item</x:v>
      </x:c>
      <x:c r="G318" s="5"/>
      <x:c r="H318" s="11"/>
      <x:c r="I318" s="11" t="n">
        <x:f>'Cycles &amp; Guide'!$D$11</x:f>
        <x:v>46203</x:v>
      </x:c>
      <x:c r="J318" s="11"/>
      <x:c r="K318" s="29"/>
      <x:c r="L318" s="2" t="str">
        <x:f>IF(O318=1,"Complete",IF(A318,"Checklist open",IF(H318&lt;&gt;"","In progress","Not started")))</x:f>
        <x:v>Not started</x:v>
      </x:c>
      <x:c r="M318" s="2" t="str">
        <x:v>Task</x:v>
      </x:c>
      <x:c r="N318" s="2" t="str">
        <x:v>DR.FC.3.1.2026.CY2</x:v>
      </x:c>
      <x:c r="O318" s="2" t="n">
        <x:f>R318</x:f>
        <x:v>0</x:v>
      </x:c>
      <x:c r="P318" s="2"/>
      <x:c r="Q318" s="2" t="n">
        <x:v>1</x:v>
      </x:c>
      <x:c r="R318" s="2" t="n">
        <x:f>IF(A318,1,0)</x:f>
        <x:v>0</x:v>
      </x:c>
      <x:c r="S318" s="2" t="n">
        <x:f>SUBTOTAL(103,N318)</x:f>
        <x:v>1</x:v>
      </x:c>
    </x:row>
    <x:row r="319" ht="42" customHeight="1">
      <x:c r="A319" s="28" t="b">
        <x:v>0</x:v>
      </x:c>
      <x:c r="B319" s="2" t="str">
        <x:v>Cycle 2</x:v>
      </x:c>
      <x:c r="C319" s="2" t="str">
        <x:v>Phase 3</x:v>
      </x:c>
      <x:c r="D319" s="2" t="str">
        <x:v>FCM</x:v>
      </x:c>
      <x:c r="E319" s="56" t="str">
        <x:v>DR.FC.3.2</x:v>
      </x:c>
      <x:c r="F319" s="14" t="str">
        <x:v>Attach the data package for each topic recommendation within the SharePoint list item</x:v>
      </x:c>
      <x:c r="G319" s="5"/>
      <x:c r="H319" s="11"/>
      <x:c r="I319" s="11" t="n">
        <x:f>'Cycles &amp; Guide'!$D$11</x:f>
        <x:v>46203</x:v>
      </x:c>
      <x:c r="J319" s="11"/>
      <x:c r="K319" s="29"/>
      <x:c r="L319" s="2" t="str">
        <x:f>IF(O319=1,"Complete",IF(A319,"Checklist open",IF(H319&lt;&gt;"","In progress","Not started")))</x:f>
        <x:v>Not started</x:v>
      </x:c>
      <x:c r="M319" s="2" t="str">
        <x:v>Task</x:v>
      </x:c>
      <x:c r="N319" s="2" t="str">
        <x:v>DR.FC.3.2.2026.CY2</x:v>
      </x:c>
      <x:c r="O319" s="2" t="n">
        <x:f>R319</x:f>
        <x:v>0</x:v>
      </x:c>
      <x:c r="P319" s="2"/>
      <x:c r="Q319" s="2" t="n">
        <x:v>1</x:v>
      </x:c>
      <x:c r="R319" s="2" t="n">
        <x:f>IF(A319,1,0)</x:f>
        <x:v>0</x:v>
      </x:c>
      <x:c r="S319" s="2" t="n">
        <x:f>SUBTOTAL(103,N319)</x:f>
        <x:v>1</x:v>
      </x:c>
    </x:row>
    <x:row r="320" ht="42" customHeight="1">
      <x:c r="A320" s="28" t="b">
        <x:v>0</x:v>
      </x:c>
      <x:c r="B320" s="2" t="str">
        <x:v>Cycle 2</x:v>
      </x:c>
      <x:c r="C320" s="2" t="str">
        <x:v>Phase 3</x:v>
      </x:c>
      <x:c r="D320" s="2" t="str">
        <x:v>FCM</x:v>
      </x:c>
      <x:c r="E320" s="56" t="str">
        <x:v>DR.FC.3.3</x:v>
      </x:c>
      <x:c r="F320" s="14" t="str">
        <x:v>Confirm data privileges have been granted, ensuring each pillar can access</x:v>
      </x:c>
      <x:c r="G320" s="5"/>
      <x:c r="H320" s="11"/>
      <x:c r="I320" s="11" t="n">
        <x:f>'Cycles &amp; Guide'!$D$11</x:f>
        <x:v>46203</x:v>
      </x:c>
      <x:c r="J320" s="11"/>
      <x:c r="K320" s="29"/>
      <x:c r="L320" s="2" t="str">
        <x:f>IF(O320=1,"Complete",IF(A320,"Checklist open",IF(H320&lt;&gt;"","In progress","Not started")))</x:f>
        <x:v>Not started</x:v>
      </x:c>
      <x:c r="M320" s="2" t="str">
        <x:v>Task</x:v>
      </x:c>
      <x:c r="N320" s="2" t="str">
        <x:v>DR.FC.3.3.2026.CY2</x:v>
      </x:c>
      <x:c r="O320" s="2" t="n">
        <x:f>R320</x:f>
        <x:v>0</x:v>
      </x:c>
      <x:c r="P320" s="2"/>
      <x:c r="Q320" s="2" t="n">
        <x:v>1</x:v>
      </x:c>
      <x:c r="R320" s="2" t="n">
        <x:f>IF(A320,1,0)</x:f>
        <x:v>0</x:v>
      </x:c>
      <x:c r="S320" s="2" t="n">
        <x:f>SUBTOTAL(103,N320)</x:f>
        <x:v>1</x:v>
      </x:c>
    </x:row>
    <x:row r="321" ht="42" customHeight="1">
      <x:c r="A321" s="28" t="b">
        <x:v>0</x:v>
      </x:c>
      <x:c r="B321" s="2" t="str">
        <x:v>Cycle 2</x:v>
      </x:c>
      <x:c r="C321" s="2" t="str">
        <x:v>Phase 3</x:v>
      </x:c>
      <x:c r="D321" s="2" t="str">
        <x:v>FCM</x:v>
      </x:c>
      <x:c r="E321" s="56" t="str">
        <x:v>DR.FC.3.4</x:v>
      </x:c>
      <x:c r="F321" s="14" t="str">
        <x:v>Ensure Power Automate notifications were correctly triggered within Microsoft Teams</x:v>
      </x:c>
      <x:c r="G321" s="5"/>
      <x:c r="H321" s="11"/>
      <x:c r="I321" s="11" t="n">
        <x:f>'Cycles &amp; Guide'!$D$11</x:f>
        <x:v>46203</x:v>
      </x:c>
      <x:c r="J321" s="11"/>
      <x:c r="K321" s="29"/>
      <x:c r="L321" s="2" t="str">
        <x:f>IF(O321=1,"Complete",IF(A321,"Checklist open",IF(H321&lt;&gt;"","In progress","Not started")))</x:f>
        <x:v>Not started</x:v>
      </x:c>
      <x:c r="M321" s="2" t="str">
        <x:v>Task</x:v>
      </x:c>
      <x:c r="N321" s="2" t="str">
        <x:v>DR.FC.3.4.2026.CY2</x:v>
      </x:c>
      <x:c r="O321" s="2" t="n">
        <x:f>R321</x:f>
        <x:v>0</x:v>
      </x:c>
      <x:c r="P321" s="2"/>
      <x:c r="Q321" s="2" t="n">
        <x:v>1</x:v>
      </x:c>
      <x:c r="R321" s="2" t="n">
        <x:f>IF(A321,1,0)</x:f>
        <x:v>0</x:v>
      </x:c>
      <x:c r="S321" s="2" t="n">
        <x:f>SUBTOTAL(103,N321)</x:f>
        <x:v>1</x:v>
      </x:c>
    </x:row>
    <x:row r="322" ht="42" customHeight="1">
      <x:c r="A322" s="28" t="b">
        <x:v>0</x:v>
      </x:c>
      <x:c r="B322" s="2" t="str">
        <x:v>Cycle 2</x:v>
      </x:c>
      <x:c r="C322" s="2" t="str">
        <x:v>Phase 1</x:v>
      </x:c>
      <x:c r="D322" s="2" t="str">
        <x:v>PLL</x:v>
      </x:c>
      <x:c r="E322" s="56" t="str">
        <x:v>DR.PL.1.1</x:v>
      </x:c>
      <x:c r="F322" s="14" t="str">
        <x:v>Review data sources 3 weeks prior to Cycle start (Complaints, Gen AI, Loudspeaker, NPS, etc.)</x:v>
      </x:c>
      <x:c r="G322" s="5"/>
      <x:c r="H322" s="11"/>
      <x:c r="I322" s="11" t="n">
        <x:f>'Cycles &amp; Guide'!$C$11-21</x:f>
        <x:v>46092</x:v>
      </x:c>
      <x:c r="J322" s="11"/>
      <x:c r="K322" s="29"/>
      <x:c r="L322" s="2" t="str">
        <x:f>IF(O322=1,"Complete",IF(A322,"Checklist open",IF(H322&lt;&gt;"","In progress","Not started")))</x:f>
        <x:v>Not started</x:v>
      </x:c>
      <x:c r="M322" s="2" t="str">
        <x:v>Task</x:v>
      </x:c>
      <x:c r="N322" s="2" t="str">
        <x:v>DR.PL.1.1.2026.CY2</x:v>
      </x:c>
      <x:c r="O322" s="2" t="n">
        <x:f>R322</x:f>
        <x:v>0</x:v>
      </x:c>
      <x:c r="P322" s="2"/>
      <x:c r="Q322" s="2" t="n">
        <x:v>1</x:v>
      </x:c>
      <x:c r="R322" s="2" t="n">
        <x:f>IF(A322,1,0)</x:f>
        <x:v>0</x:v>
      </x:c>
      <x:c r="S322" s="2" t="n">
        <x:f>SUBTOTAL(103,N322)</x:f>
        <x:v>1</x:v>
      </x:c>
    </x:row>
    <x:row r="323" ht="42" customHeight="1">
      <x:c r="A323" s="28" t="b">
        <x:v>0</x:v>
      </x:c>
      <x:c r="B323" s="2" t="str">
        <x:v>Cycle 2</x:v>
      </x:c>
      <x:c r="C323" s="2" t="str">
        <x:v>Phase 1</x:v>
      </x:c>
      <x:c r="D323" s="2" t="str">
        <x:v>PLL</x:v>
      </x:c>
      <x:c r="E323" s="56" t="str">
        <x:v>DR.PL.1.2</x:v>
      </x:c>
      <x:c r="F323" s="14" t="str">
        <x:v>Identify two potential topics for the upcoming Cycle</x:v>
      </x:c>
      <x:c r="G323" s="5"/>
      <x:c r="H323" s="11"/>
      <x:c r="I323" s="11" t="n">
        <x:f>'Cycles &amp; Guide'!$D$11</x:f>
        <x:v>46203</x:v>
      </x:c>
      <x:c r="J323" s="11"/>
      <x:c r="K323" s="29"/>
      <x:c r="L323" s="2" t="str">
        <x:f>IF(O323=1,"Complete",IF(A323,"Checklist open",IF(H323&lt;&gt;"","In progress","Not started")))</x:f>
        <x:v>Not started</x:v>
      </x:c>
      <x:c r="M323" s="2" t="str">
        <x:v>Task</x:v>
      </x:c>
      <x:c r="N323" s="2" t="str">
        <x:v>DR.PL.1.2.2026.CY2</x:v>
      </x:c>
      <x:c r="O323" s="2" t="n">
        <x:f>R323</x:f>
        <x:v>0</x:v>
      </x:c>
      <x:c r="P323" s="2"/>
      <x:c r="Q323" s="2" t="n">
        <x:v>1</x:v>
      </x:c>
      <x:c r="R323" s="2" t="n">
        <x:f>IF(A323,1,0)</x:f>
        <x:v>0</x:v>
      </x:c>
      <x:c r="S323" s="2" t="n">
        <x:f>SUBTOTAL(103,N323)</x:f>
        <x:v>1</x:v>
      </x:c>
    </x:row>
    <x:row r="324" ht="42" customHeight="1">
      <x:c r="A324" s="28" t="b">
        <x:v>0</x:v>
      </x:c>
      <x:c r="B324" s="2" t="str">
        <x:v>Cycle 2</x:v>
      </x:c>
      <x:c r="C324" s="2" t="str">
        <x:v>Phase 1</x:v>
      </x:c>
      <x:c r="D324" s="2" t="str">
        <x:v>PLL</x:v>
      </x:c>
      <x:c r="E324" s="68" t="str">
        <x:v>DR.PL.1.3</x:v>
      </x:c>
      <x:c r="F324" s="33" t="str">
        <x:v>Extract data for both potential topics, ensuring all checklist items below are included/completed</x:v>
      </x:c>
      <x:c r="G324" s="5"/>
      <x:c r="H324" s="11"/>
      <x:c r="I324" s="11" t="n">
        <x:f>'Cycles &amp; Guide'!$D$11</x:f>
        <x:v>46203</x:v>
      </x:c>
      <x:c r="J324" s="11"/>
      <x:c r="K324" s="29"/>
      <x:c r="L324" s="2" t="str">
        <x:f>IF(O324=1,"Complete",IF(A324,"Checklist open",IF(H324&lt;&gt;"","In progress","Not started")))</x:f>
        <x:v>Not started</x:v>
      </x:c>
      <x:c r="M324" s="2" t="str">
        <x:v>Task</x:v>
      </x:c>
      <x:c r="N324" s="2" t="str">
        <x:v>DR.PL.1.3.2026.CY2</x:v>
      </x:c>
      <x:c r="O324" s="2" t="n">
        <x:f>IF(A324,IF(SUMIFS($R$10:$R$737,$P$10:$P$737,N324)=13,1,0),0)</x:f>
        <x:v>0</x:v>
      </x:c>
      <x:c r="P324" s="2"/>
      <x:c r="Q324" s="2" t="n">
        <x:v>1</x:v>
      </x:c>
      <x:c r="R324" s="2" t="n">
        <x:f>IF(A324,1,0)</x:f>
        <x:v>0</x:v>
      </x:c>
      <x:c r="S324" s="2" t="n">
        <x:f>SUBTOTAL(103,N324)</x:f>
        <x:v>1</x:v>
      </x:c>
    </x:row>
    <x:row r="325" ht="31" customHeight="1" outlineLevel="1">
      <x:c r="A325" s="28" t="b">
        <x:v>0</x:v>
      </x:c>
      <x:c r="B325" s="36" t="str">
        <x:v>Cycle 2</x:v>
      </x:c>
      <x:c r="C325" s="36" t="str">
        <x:v>Phase 1</x:v>
      </x:c>
      <x:c r="D325" s="36" t="str">
        <x:v>PLL</x:v>
      </x:c>
      <x:c r="E325" s="69" t="str">
        <x:v>DR.PL.1.3.C01</x:v>
      </x:c>
      <x:c r="F325" s="37" t="str">
        <x:v>    Document date range extracted</x:v>
      </x:c>
      <x:c r="G325" s="5"/>
      <x:c r="H325" s="11"/>
      <x:c r="I325" s="11"/>
      <x:c r="J325" s="11"/>
      <x:c r="K325" s="29"/>
      <x:c r="L325" s="2" t="str">
        <x:f>IF(A325,"Complete","Open check")</x:f>
        <x:v>Open check</x:v>
      </x:c>
      <x:c r="M325" s="2" t="str">
        <x:v>Checklist</x:v>
      </x:c>
      <x:c r="N325" s="2" t="str">
        <x:v>DR.PL.1.3.C01.2026.CY2</x:v>
      </x:c>
      <x:c r="O325" s="2" t="n">
        <x:f>R325</x:f>
        <x:v>0</x:v>
      </x:c>
      <x:c r="P325" s="2" t="str">
        <x:v>DR.PL.1.3.2026.CY2</x:v>
      </x:c>
      <x:c r="Q325" s="2" t="n">
        <x:v>0</x:v>
      </x:c>
      <x:c r="R325" s="2" t="n">
        <x:f>IF(A325,1,0)</x:f>
        <x:v>0</x:v>
      </x:c>
      <x:c r="S325" s="2" t="n">
        <x:f>SUBTOTAL(103,N325)</x:f>
        <x:v>1</x:v>
      </x:c>
    </x:row>
    <x:row r="326" ht="31" customHeight="1" outlineLevel="1">
      <x:c r="A326" s="28" t="b">
        <x:v>0</x:v>
      </x:c>
      <x:c r="B326" s="36" t="str">
        <x:v>Cycle 2</x:v>
      </x:c>
      <x:c r="C326" s="36" t="str">
        <x:v>Phase 1</x:v>
      </x:c>
      <x:c r="D326" s="36" t="str">
        <x:v>PLL</x:v>
      </x:c>
      <x:c r="E326" s="69" t="str">
        <x:v>DR.PL.1.3.C02</x:v>
      </x:c>
      <x:c r="F326" s="37" t="str">
        <x:v>    Document date of data pull</x:v>
      </x:c>
      <x:c r="G326" s="5"/>
      <x:c r="H326" s="11"/>
      <x:c r="I326" s="11"/>
      <x:c r="J326" s="11"/>
      <x:c r="K326" s="29"/>
      <x:c r="L326" s="2" t="str">
        <x:f>IF(A326,"Complete","Open check")</x:f>
        <x:v>Open check</x:v>
      </x:c>
      <x:c r="M326" s="2" t="str">
        <x:v>Checklist</x:v>
      </x:c>
      <x:c r="N326" s="2" t="str">
        <x:v>DR.PL.1.3.C02.2026.CY2</x:v>
      </x:c>
      <x:c r="O326" s="2" t="n">
        <x:f>R326</x:f>
        <x:v>0</x:v>
      </x:c>
      <x:c r="P326" s="2" t="str">
        <x:v>DR.PL.1.3.2026.CY2</x:v>
      </x:c>
      <x:c r="Q326" s="2" t="n">
        <x:v>0</x:v>
      </x:c>
      <x:c r="R326" s="2" t="n">
        <x:f>IF(A326,1,0)</x:f>
        <x:v>0</x:v>
      </x:c>
      <x:c r="S326" s="2" t="n">
        <x:f>SUBTOTAL(103,N326)</x:f>
        <x:v>1</x:v>
      </x:c>
    </x:row>
    <x:row r="327" ht="31" customHeight="1" outlineLevel="1">
      <x:c r="A327" s="28" t="b">
        <x:v>0</x:v>
      </x:c>
      <x:c r="B327" s="36" t="str">
        <x:v>Cycle 2</x:v>
      </x:c>
      <x:c r="C327" s="36" t="str">
        <x:v>Phase 1</x:v>
      </x:c>
      <x:c r="D327" s="36" t="str">
        <x:v>PLL</x:v>
      </x:c>
      <x:c r="E327" s="69" t="str">
        <x:v>DR.PL.1.3.C03</x:v>
      </x:c>
      <x:c r="F327" s="37" t="str">
        <x:v>    Document population details</x:v>
      </x:c>
      <x:c r="G327" s="5"/>
      <x:c r="H327" s="11"/>
      <x:c r="I327" s="11"/>
      <x:c r="J327" s="11"/>
      <x:c r="K327" s="29"/>
      <x:c r="L327" s="2" t="str">
        <x:f>IF(A327,"Complete","Open check")</x:f>
        <x:v>Open check</x:v>
      </x:c>
      <x:c r="M327" s="2" t="str">
        <x:v>Checklist</x:v>
      </x:c>
      <x:c r="N327" s="2" t="str">
        <x:v>DR.PL.1.3.C03.2026.CY2</x:v>
      </x:c>
      <x:c r="O327" s="2" t="n">
        <x:f>R327</x:f>
        <x:v>0</x:v>
      </x:c>
      <x:c r="P327" s="2" t="str">
        <x:v>DR.PL.1.3.2026.CY2</x:v>
      </x:c>
      <x:c r="Q327" s="2" t="n">
        <x:v>0</x:v>
      </x:c>
      <x:c r="R327" s="2" t="n">
        <x:f>IF(A327,1,0)</x:f>
        <x:v>0</x:v>
      </x:c>
      <x:c r="S327" s="2" t="n">
        <x:f>SUBTOTAL(103,N327)</x:f>
        <x:v>1</x:v>
      </x:c>
    </x:row>
    <x:row r="328" ht="31" customHeight="1" outlineLevel="1">
      <x:c r="A328" s="28" t="b">
        <x:v>0</x:v>
      </x:c>
      <x:c r="B328" s="36" t="str">
        <x:v>Cycle 2</x:v>
      </x:c>
      <x:c r="C328" s="36" t="str">
        <x:v>Phase 1</x:v>
      </x:c>
      <x:c r="D328" s="36" t="str">
        <x:v>PLL</x:v>
      </x:c>
      <x:c r="E328" s="69" t="str">
        <x:v>DR.PL.1.3.C04</x:v>
      </x:c>
      <x:c r="F328" s="37" t="str">
        <x:v>    Validate no data is missing</x:v>
      </x:c>
      <x:c r="G328" s="5"/>
      <x:c r="H328" s="11"/>
      <x:c r="I328" s="11"/>
      <x:c r="J328" s="11"/>
      <x:c r="K328" s="29"/>
      <x:c r="L328" s="2" t="str">
        <x:f>IF(A328,"Complete","Open check")</x:f>
        <x:v>Open check</x:v>
      </x:c>
      <x:c r="M328" s="2" t="str">
        <x:v>Checklist</x:v>
      </x:c>
      <x:c r="N328" s="2" t="str">
        <x:v>DR.PL.1.3.C04.2026.CY2</x:v>
      </x:c>
      <x:c r="O328" s="2" t="n">
        <x:f>R328</x:f>
        <x:v>0</x:v>
      </x:c>
      <x:c r="P328" s="2" t="str">
        <x:v>DR.PL.1.3.2026.CY2</x:v>
      </x:c>
      <x:c r="Q328" s="2" t="n">
        <x:v>0</x:v>
      </x:c>
      <x:c r="R328" s="2" t="n">
        <x:f>IF(A328,1,0)</x:f>
        <x:v>0</x:v>
      </x:c>
      <x:c r="S328" s="2" t="n">
        <x:f>SUBTOTAL(103,N328)</x:f>
        <x:v>1</x:v>
      </x:c>
    </x:row>
    <x:row r="329" ht="31" customHeight="1" outlineLevel="1">
      <x:c r="A329" s="28" t="b">
        <x:v>0</x:v>
      </x:c>
      <x:c r="B329" s="36" t="str">
        <x:v>Cycle 2</x:v>
      </x:c>
      <x:c r="C329" s="36" t="str">
        <x:v>Phase 1</x:v>
      </x:c>
      <x:c r="D329" s="36" t="str">
        <x:v>PLL</x:v>
      </x:c>
      <x:c r="E329" s="69" t="str">
        <x:v>DR.PL.1.3.C05</x:v>
      </x:c>
      <x:c r="F329" s="37" t="str">
        <x:v>    Validate accuracy of data</x:v>
      </x:c>
      <x:c r="G329" s="5"/>
      <x:c r="H329" s="11"/>
      <x:c r="I329" s="11"/>
      <x:c r="J329" s="11"/>
      <x:c r="K329" s="29"/>
      <x:c r="L329" s="2" t="str">
        <x:f>IF(A329,"Complete","Open check")</x:f>
        <x:v>Open check</x:v>
      </x:c>
      <x:c r="M329" s="2" t="str">
        <x:v>Checklist</x:v>
      </x:c>
      <x:c r="N329" s="2" t="str">
        <x:v>DR.PL.1.3.C05.2026.CY2</x:v>
      </x:c>
      <x:c r="O329" s="2" t="n">
        <x:f>R329</x:f>
        <x:v>0</x:v>
      </x:c>
      <x:c r="P329" s="2" t="str">
        <x:v>DR.PL.1.3.2026.CY2</x:v>
      </x:c>
      <x:c r="Q329" s="2" t="n">
        <x:v>0</x:v>
      </x:c>
      <x:c r="R329" s="2" t="n">
        <x:f>IF(A329,1,0)</x:f>
        <x:v>0</x:v>
      </x:c>
      <x:c r="S329" s="2" t="n">
        <x:f>SUBTOTAL(103,N329)</x:f>
        <x:v>1</x:v>
      </x:c>
    </x:row>
    <x:row r="330" ht="31" customHeight="1" outlineLevel="1">
      <x:c r="A330" s="28" t="b">
        <x:v>0</x:v>
      </x:c>
      <x:c r="B330" s="36" t="str">
        <x:v>Cycle 2</x:v>
      </x:c>
      <x:c r="C330" s="36" t="str">
        <x:v>Phase 1</x:v>
      </x:c>
      <x:c r="D330" s="36" t="str">
        <x:v>PLL</x:v>
      </x:c>
      <x:c r="E330" s="69" t="str">
        <x:v>DR.PL.1.3.C06</x:v>
      </x:c>
      <x:c r="F330" s="37" t="str">
        <x:v>    Validate no duplicate data is provided</x:v>
      </x:c>
      <x:c r="G330" s="5"/>
      <x:c r="H330" s="11"/>
      <x:c r="I330" s="11"/>
      <x:c r="J330" s="11"/>
      <x:c r="K330" s="29"/>
      <x:c r="L330" s="2" t="str">
        <x:f>IF(A330,"Complete","Open check")</x:f>
        <x:v>Open check</x:v>
      </x:c>
      <x:c r="M330" s="2" t="str">
        <x:v>Checklist</x:v>
      </x:c>
      <x:c r="N330" s="2" t="str">
        <x:v>DR.PL.1.3.C06.2026.CY2</x:v>
      </x:c>
      <x:c r="O330" s="2" t="n">
        <x:f>R330</x:f>
        <x:v>0</x:v>
      </x:c>
      <x:c r="P330" s="2" t="str">
        <x:v>DR.PL.1.3.2026.CY2</x:v>
      </x:c>
      <x:c r="Q330" s="2" t="n">
        <x:v>0</x:v>
      </x:c>
      <x:c r="R330" s="2" t="n">
        <x:f>IF(A330,1,0)</x:f>
        <x:v>0</x:v>
      </x:c>
      <x:c r="S330" s="2" t="n">
        <x:f>SUBTOTAL(103,N330)</x:f>
        <x:v>1</x:v>
      </x:c>
    </x:row>
    <x:row r="331" ht="31" customHeight="1" outlineLevel="1">
      <x:c r="A331" s="28" t="b">
        <x:v>0</x:v>
      </x:c>
      <x:c r="B331" s="36" t="str">
        <x:v>Cycle 2</x:v>
      </x:c>
      <x:c r="C331" s="36" t="str">
        <x:v>Phase 1</x:v>
      </x:c>
      <x:c r="D331" s="36" t="str">
        <x:v>PLL</x:v>
      </x:c>
      <x:c r="E331" s="69" t="str">
        <x:v>DR.PL.1.3.C07</x:v>
      </x:c>
      <x:c r="F331" s="37" t="str">
        <x:v>    Document any data exclusions along with justification (as needed)</x:v>
      </x:c>
      <x:c r="G331" s="5"/>
      <x:c r="H331" s="11"/>
      <x:c r="I331" s="11"/>
      <x:c r="J331" s="11"/>
      <x:c r="K331" s="29"/>
      <x:c r="L331" s="2" t="str">
        <x:f>IF(A331,"Complete","Open check")</x:f>
        <x:v>Open check</x:v>
      </x:c>
      <x:c r="M331" s="2" t="str">
        <x:v>Checklist</x:v>
      </x:c>
      <x:c r="N331" s="2" t="str">
        <x:v>DR.PL.1.3.C07.2026.CY2</x:v>
      </x:c>
      <x:c r="O331" s="2" t="n">
        <x:f>R331</x:f>
        <x:v>0</x:v>
      </x:c>
      <x:c r="P331" s="2" t="str">
        <x:v>DR.PL.1.3.2026.CY2</x:v>
      </x:c>
      <x:c r="Q331" s="2" t="n">
        <x:v>0</x:v>
      </x:c>
      <x:c r="R331" s="2" t="n">
        <x:f>IF(A331,1,0)</x:f>
        <x:v>0</x:v>
      </x:c>
      <x:c r="S331" s="2" t="n">
        <x:f>SUBTOTAL(103,N331)</x:f>
        <x:v>1</x:v>
      </x:c>
    </x:row>
    <x:row r="332" ht="31" customHeight="1" outlineLevel="1">
      <x:c r="A332" s="28" t="b">
        <x:v>0</x:v>
      </x:c>
      <x:c r="B332" s="36" t="str">
        <x:v>Cycle 2</x:v>
      </x:c>
      <x:c r="C332" s="36" t="str">
        <x:v>Phase 1</x:v>
      </x:c>
      <x:c r="D332" s="36" t="str">
        <x:v>PLL</x:v>
      </x:c>
      <x:c r="E332" s="69" t="str">
        <x:v>DR.PL.1.3.C08</x:v>
      </x:c>
      <x:c r="F332" s="37" t="str">
        <x:v>    Document any assumptions made with the data (as needed)</x:v>
      </x:c>
      <x:c r="G332" s="5"/>
      <x:c r="H332" s="11"/>
      <x:c r="I332" s="11"/>
      <x:c r="J332" s="11"/>
      <x:c r="K332" s="29"/>
      <x:c r="L332" s="2" t="str">
        <x:f>IF(A332,"Complete","Open check")</x:f>
        <x:v>Open check</x:v>
      </x:c>
      <x:c r="M332" s="2" t="str">
        <x:v>Checklist</x:v>
      </x:c>
      <x:c r="N332" s="2" t="str">
        <x:v>DR.PL.1.3.C08.2026.CY2</x:v>
      </x:c>
      <x:c r="O332" s="2" t="n">
        <x:f>R332</x:f>
        <x:v>0</x:v>
      </x:c>
      <x:c r="P332" s="2" t="str">
        <x:v>DR.PL.1.3.2026.CY2</x:v>
      </x:c>
      <x:c r="Q332" s="2" t="n">
        <x:v>0</x:v>
      </x:c>
      <x:c r="R332" s="2" t="n">
        <x:f>IF(A332,1,0)</x:f>
        <x:v>0</x:v>
      </x:c>
      <x:c r="S332" s="2" t="n">
        <x:f>SUBTOTAL(103,N332)</x:f>
        <x:v>1</x:v>
      </x:c>
    </x:row>
    <x:row r="333" ht="31" customHeight="1" outlineLevel="1">
      <x:c r="A333" s="28" t="b">
        <x:v>0</x:v>
      </x:c>
      <x:c r="B333" s="36" t="str">
        <x:v>Cycle 2</x:v>
      </x:c>
      <x:c r="C333" s="36" t="str">
        <x:v>Phase 1</x:v>
      </x:c>
      <x:c r="D333" s="36" t="str">
        <x:v>PLL</x:v>
      </x:c>
      <x:c r="E333" s="69" t="str">
        <x:v>DR.PL.1.3.C09</x:v>
      </x:c>
      <x:c r="F333" s="37" t="str">
        <x:v>    Document any data limitations or constraints clearly (as needed)</x:v>
      </x:c>
      <x:c r="G333" s="5"/>
      <x:c r="H333" s="11"/>
      <x:c r="I333" s="11"/>
      <x:c r="J333" s="11"/>
      <x:c r="K333" s="29"/>
      <x:c r="L333" s="2" t="str">
        <x:f>IF(A333,"Complete","Open check")</x:f>
        <x:v>Open check</x:v>
      </x:c>
      <x:c r="M333" s="2" t="str">
        <x:v>Checklist</x:v>
      </x:c>
      <x:c r="N333" s="2" t="str">
        <x:v>DR.PL.1.3.C09.2026.CY2</x:v>
      </x:c>
      <x:c r="O333" s="2" t="n">
        <x:f>R333</x:f>
        <x:v>0</x:v>
      </x:c>
      <x:c r="P333" s="2" t="str">
        <x:v>DR.PL.1.3.2026.CY2</x:v>
      </x:c>
      <x:c r="Q333" s="2" t="n">
        <x:v>0</x:v>
      </x:c>
      <x:c r="R333" s="2" t="n">
        <x:f>IF(A333,1,0)</x:f>
        <x:v>0</x:v>
      </x:c>
      <x:c r="S333" s="2" t="n">
        <x:f>SUBTOTAL(103,N333)</x:f>
        <x:v>1</x:v>
      </x:c>
    </x:row>
    <x:row r="334" ht="31" customHeight="1" outlineLevel="1">
      <x:c r="A334" s="28" t="b">
        <x:v>0</x:v>
      </x:c>
      <x:c r="B334" s="36" t="str">
        <x:v>Cycle 2</x:v>
      </x:c>
      <x:c r="C334" s="36" t="str">
        <x:v>Phase 1</x:v>
      </x:c>
      <x:c r="D334" s="36" t="str">
        <x:v>PLL</x:v>
      </x:c>
      <x:c r="E334" s="69" t="str">
        <x:v>DR.PL.1.3.C10</x:v>
      </x:c>
      <x:c r="F334" s="37" t="str">
        <x:v>    Document data dictionary or field definitions for columns/rows</x:v>
      </x:c>
      <x:c r="G334" s="5"/>
      <x:c r="H334" s="11"/>
      <x:c r="I334" s="11"/>
      <x:c r="J334" s="11"/>
      <x:c r="K334" s="29"/>
      <x:c r="L334" s="2" t="str">
        <x:f>IF(A334,"Complete","Open check")</x:f>
        <x:v>Open check</x:v>
      </x:c>
      <x:c r="M334" s="2" t="str">
        <x:v>Checklist</x:v>
      </x:c>
      <x:c r="N334" s="2" t="str">
        <x:v>DR.PL.1.3.C10.2026.CY2</x:v>
      </x:c>
      <x:c r="O334" s="2" t="n">
        <x:f>R334</x:f>
        <x:v>0</x:v>
      </x:c>
      <x:c r="P334" s="2" t="str">
        <x:v>DR.PL.1.3.2026.CY2</x:v>
      </x:c>
      <x:c r="Q334" s="2" t="n">
        <x:v>0</x:v>
      </x:c>
      <x:c r="R334" s="2" t="n">
        <x:f>IF(A334,1,0)</x:f>
        <x:v>0</x:v>
      </x:c>
      <x:c r="S334" s="2" t="n">
        <x:f>SUBTOTAL(103,N334)</x:f>
        <x:v>1</x:v>
      </x:c>
    </x:row>
    <x:row r="335" ht="31" customHeight="1" outlineLevel="1">
      <x:c r="A335" s="28" t="b">
        <x:v>0</x:v>
      </x:c>
      <x:c r="B335" s="36" t="str">
        <x:v>Cycle 2</x:v>
      </x:c>
      <x:c r="C335" s="36" t="str">
        <x:v>Phase 1</x:v>
      </x:c>
      <x:c r="D335" s="36" t="str">
        <x:v>PLL</x:v>
      </x:c>
      <x:c r="E335" s="69" t="str">
        <x:v>DR.PL.1.3.C11</x:v>
      </x:c>
      <x:c r="F335" s="37" t="str">
        <x:v>    Document emerging trends, patterns, or concentrations along with supporting data</x:v>
      </x:c>
      <x:c r="G335" s="5"/>
      <x:c r="H335" s="11"/>
      <x:c r="I335" s="11"/>
      <x:c r="J335" s="11"/>
      <x:c r="K335" s="29"/>
      <x:c r="L335" s="2" t="str">
        <x:f>IF(A335,"Complete","Open check")</x:f>
        <x:v>Open check</x:v>
      </x:c>
      <x:c r="M335" s="2" t="str">
        <x:v>Checklist</x:v>
      </x:c>
      <x:c r="N335" s="2" t="str">
        <x:v>DR.PL.1.3.C11.2026.CY2</x:v>
      </x:c>
      <x:c r="O335" s="2" t="n">
        <x:f>R335</x:f>
        <x:v>0</x:v>
      </x:c>
      <x:c r="P335" s="2" t="str">
        <x:v>DR.PL.1.3.2026.CY2</x:v>
      </x:c>
      <x:c r="Q335" s="2" t="n">
        <x:v>0</x:v>
      </x:c>
      <x:c r="R335" s="2" t="n">
        <x:f>IF(A335,1,0)</x:f>
        <x:v>0</x:v>
      </x:c>
      <x:c r="S335" s="2" t="n">
        <x:f>SUBTOTAL(103,N335)</x:f>
        <x:v>1</x:v>
      </x:c>
    </x:row>
    <x:row r="336" ht="31" customHeight="1" outlineLevel="1">
      <x:c r="A336" s="28" t="b">
        <x:v>0</x:v>
      </x:c>
      <x:c r="B336" s="36" t="str">
        <x:v>Cycle 2</x:v>
      </x:c>
      <x:c r="C336" s="36" t="str">
        <x:v>Phase 1</x:v>
      </x:c>
      <x:c r="D336" s="36" t="str">
        <x:v>PLL</x:v>
      </x:c>
      <x:c r="E336" s="69" t="str">
        <x:v>DR.PL.1.3.C12</x:v>
      </x:c>
      <x:c r="F336" s="37" t="str">
        <x:v>    Document any severe spikes in volume along with context (as needed)</x:v>
      </x:c>
      <x:c r="G336" s="5"/>
      <x:c r="H336" s="11"/>
      <x:c r="I336" s="11"/>
      <x:c r="J336" s="11"/>
      <x:c r="K336" s="29"/>
      <x:c r="L336" s="2" t="str">
        <x:f>IF(A336,"Complete","Open check")</x:f>
        <x:v>Open check</x:v>
      </x:c>
      <x:c r="M336" s="2" t="str">
        <x:v>Checklist</x:v>
      </x:c>
      <x:c r="N336" s="2" t="str">
        <x:v>DR.PL.1.3.C12.2026.CY2</x:v>
      </x:c>
      <x:c r="O336" s="2" t="n">
        <x:f>R336</x:f>
        <x:v>0</x:v>
      </x:c>
      <x:c r="P336" s="2" t="str">
        <x:v>DR.PL.1.3.2026.CY2</x:v>
      </x:c>
      <x:c r="Q336" s="2" t="n">
        <x:v>0</x:v>
      </x:c>
      <x:c r="R336" s="2" t="n">
        <x:f>IF(A336,1,0)</x:f>
        <x:v>0</x:v>
      </x:c>
      <x:c r="S336" s="2" t="n">
        <x:f>SUBTOTAL(103,N336)</x:f>
        <x:v>1</x:v>
      </x:c>
    </x:row>
    <x:row r="337" ht="31" customHeight="1" outlineLevel="1">
      <x:c r="A337" s="28" t="b">
        <x:v>0</x:v>
      </x:c>
      <x:c r="B337" s="36" t="str">
        <x:v>Cycle 2</x:v>
      </x:c>
      <x:c r="C337" s="36" t="str">
        <x:v>Phase 1</x:v>
      </x:c>
      <x:c r="D337" s="36" t="str">
        <x:v>PLL</x:v>
      </x:c>
      <x:c r="E337" s="69" t="str">
        <x:v>DR.PL.1.3.C13</x:v>
      </x:c>
      <x:c r="F337" s="37" t="str">
        <x:v>    Document clear summary explaining how the data connects to the potential topic</x:v>
      </x:c>
      <x:c r="G337" s="5"/>
      <x:c r="H337" s="11"/>
      <x:c r="I337" s="11"/>
      <x:c r="J337" s="11"/>
      <x:c r="K337" s="29"/>
      <x:c r="L337" s="2" t="str">
        <x:f>IF(A337,"Complete","Open check")</x:f>
        <x:v>Open check</x:v>
      </x:c>
      <x:c r="M337" s="2" t="str">
        <x:v>Checklist</x:v>
      </x:c>
      <x:c r="N337" s="2" t="str">
        <x:v>DR.PL.1.3.C13.2026.CY2</x:v>
      </x:c>
      <x:c r="O337" s="2" t="n">
        <x:f>R337</x:f>
        <x:v>0</x:v>
      </x:c>
      <x:c r="P337" s="2" t="str">
        <x:v>DR.PL.1.3.2026.CY2</x:v>
      </x:c>
      <x:c r="Q337" s="2" t="n">
        <x:v>0</x:v>
      </x:c>
      <x:c r="R337" s="2" t="n">
        <x:f>IF(A337,1,0)</x:f>
        <x:v>0</x:v>
      </x:c>
      <x:c r="S337" s="2" t="n">
        <x:f>SUBTOTAL(103,N337)</x:f>
        <x:v>1</x:v>
      </x:c>
    </x:row>
    <x:row r="338" ht="42" customHeight="1">
      <x:c r="A338" s="28" t="b">
        <x:v>0</x:v>
      </x:c>
      <x:c r="B338" s="2" t="str">
        <x:v>Cycle 2</x:v>
      </x:c>
      <x:c r="C338" s="2" t="str">
        <x:v>Phase 2</x:v>
      </x:c>
      <x:c r="D338" s="2" t="str">
        <x:v>PLL</x:v>
      </x:c>
      <x:c r="E338" s="56" t="str">
        <x:v>DR.PL.2.1</x:v>
      </x:c>
      <x:c r="F338" s="14" t="str">
        <x:v>Ensure data is clean, structured, and usable without manipulation needed</x:v>
      </x:c>
      <x:c r="G338" s="5"/>
      <x:c r="H338" s="11"/>
      <x:c r="I338" s="11" t="n">
        <x:f>'Cycles &amp; Guide'!$D$11</x:f>
        <x:v>46203</x:v>
      </x:c>
      <x:c r="J338" s="11"/>
      <x:c r="K338" s="29"/>
      <x:c r="L338" s="2" t="str">
        <x:f>IF(O338=1,"Complete",IF(A338,"Checklist open",IF(H338&lt;&gt;"","In progress","Not started")))</x:f>
        <x:v>Not started</x:v>
      </x:c>
      <x:c r="M338" s="2" t="str">
        <x:v>Task</x:v>
      </x:c>
      <x:c r="N338" s="2" t="str">
        <x:v>DR.PL.2.1.2026.CY2</x:v>
      </x:c>
      <x:c r="O338" s="2" t="n">
        <x:f>R338</x:f>
        <x:v>0</x:v>
      </x:c>
      <x:c r="P338" s="2"/>
      <x:c r="Q338" s="2" t="n">
        <x:v>1</x:v>
      </x:c>
      <x:c r="R338" s="2" t="n">
        <x:f>IF(A338,1,0)</x:f>
        <x:v>0</x:v>
      </x:c>
      <x:c r="S338" s="2" t="n">
        <x:f>SUBTOTAL(103,N338)</x:f>
        <x:v>1</x:v>
      </x:c>
    </x:row>
    <x:row r="339" ht="42" customHeight="1">
      <x:c r="A339" s="28" t="b">
        <x:v>0</x:v>
      </x:c>
      <x:c r="B339" s="2" t="str">
        <x:v>Cycle 2</x:v>
      </x:c>
      <x:c r="C339" s="2" t="str">
        <x:v>Phase 2</x:v>
      </x:c>
      <x:c r="D339" s="2" t="str">
        <x:v>PLL</x:v>
      </x:c>
      <x:c r="E339" s="56" t="str">
        <x:v>DR.PL.2.2</x:v>
      </x:c>
      <x:c r="F339" s="14" t="str">
        <x:v>Clearly document rationale for each topic recommendation within the SharePoint list</x:v>
      </x:c>
      <x:c r="G339" s="5"/>
      <x:c r="H339" s="11"/>
      <x:c r="I339" s="11" t="n">
        <x:f>'Cycles &amp; Guide'!$D$11</x:f>
        <x:v>46203</x:v>
      </x:c>
      <x:c r="J339" s="11"/>
      <x:c r="K339" s="29"/>
      <x:c r="L339" s="2" t="str">
        <x:f>IF(O339=1,"Complete",IF(A339,"Checklist open",IF(H339&lt;&gt;"","In progress","Not started")))</x:f>
        <x:v>Not started</x:v>
      </x:c>
      <x:c r="M339" s="2" t="str">
        <x:v>Task</x:v>
      </x:c>
      <x:c r="N339" s="2" t="str">
        <x:v>DR.PL.2.2.2026.CY2</x:v>
      </x:c>
      <x:c r="O339" s="2" t="n">
        <x:f>R339</x:f>
        <x:v>0</x:v>
      </x:c>
      <x:c r="P339" s="2"/>
      <x:c r="Q339" s="2" t="n">
        <x:v>1</x:v>
      </x:c>
      <x:c r="R339" s="2" t="n">
        <x:f>IF(A339,1,0)</x:f>
        <x:v>0</x:v>
      </x:c>
      <x:c r="S339" s="2" t="n">
        <x:f>SUBTOTAL(103,N339)</x:f>
        <x:v>1</x:v>
      </x:c>
    </x:row>
    <x:row r="340" ht="42" customHeight="1">
      <x:c r="A340" s="28" t="b">
        <x:v>0</x:v>
      </x:c>
      <x:c r="B340" s="2" t="str">
        <x:v>Cycle 2</x:v>
      </x:c>
      <x:c r="C340" s="2" t="str">
        <x:v>Phase 2</x:v>
      </x:c>
      <x:c r="D340" s="2" t="str">
        <x:v>PLL</x:v>
      </x:c>
      <x:c r="E340" s="56" t="str">
        <x:v>DR.PL.2.3</x:v>
      </x:c>
      <x:c r="F340" s="14" t="str">
        <x:v>Verify topic is eligible for RCA and does not conflict with Attorney Client Privilege</x:v>
      </x:c>
      <x:c r="G340" s="5"/>
      <x:c r="H340" s="11"/>
      <x:c r="I340" s="11" t="n">
        <x:f>'Cycles &amp; Guide'!$D$11</x:f>
        <x:v>46203</x:v>
      </x:c>
      <x:c r="J340" s="11"/>
      <x:c r="K340" s="29"/>
      <x:c r="L340" s="2" t="str">
        <x:f>IF(O340=1,"Complete",IF(A340,"Checklist open",IF(H340&lt;&gt;"","In progress","Not started")))</x:f>
        <x:v>Not started</x:v>
      </x:c>
      <x:c r="M340" s="2" t="str">
        <x:v>Task</x:v>
      </x:c>
      <x:c r="N340" s="2" t="str">
        <x:v>DR.PL.2.3.2026.CY2</x:v>
      </x:c>
      <x:c r="O340" s="2" t="n">
        <x:f>R340</x:f>
        <x:v>0</x:v>
      </x:c>
      <x:c r="P340" s="2"/>
      <x:c r="Q340" s="2" t="n">
        <x:v>1</x:v>
      </x:c>
      <x:c r="R340" s="2" t="n">
        <x:f>IF(A340,1,0)</x:f>
        <x:v>0</x:v>
      </x:c>
      <x:c r="S340" s="2" t="n">
        <x:f>SUBTOTAL(103,N340)</x:f>
        <x:v>1</x:v>
      </x:c>
    </x:row>
    <x:row r="341" ht="42" customHeight="1">
      <x:c r="A341" s="28" t="b">
        <x:v>0</x:v>
      </x:c>
      <x:c r="B341" s="2" t="str">
        <x:v>Cycle 2</x:v>
      </x:c>
      <x:c r="C341" s="2" t="str">
        <x:v>Phase 2</x:v>
      </x:c>
      <x:c r="D341" s="2" t="str">
        <x:v>PLL</x:v>
      </x:c>
      <x:c r="E341" s="56" t="str">
        <x:v>DR.PL.2.4</x:v>
      </x:c>
      <x:c r="F341" s="14" t="str">
        <x:v>Ensure data is free of errors and anomalies prior to hand-off to Research</x:v>
      </x:c>
      <x:c r="G341" s="5"/>
      <x:c r="H341" s="11"/>
      <x:c r="I341" s="11" t="n">
        <x:f>'Cycles &amp; Guide'!$D$11</x:f>
        <x:v>46203</x:v>
      </x:c>
      <x:c r="J341" s="11"/>
      <x:c r="K341" s="29"/>
      <x:c r="L341" s="2" t="str">
        <x:f>IF(O341=1,"Complete",IF(A341,"Checklist open",IF(H341&lt;&gt;"","In progress","Not started")))</x:f>
        <x:v>Not started</x:v>
      </x:c>
      <x:c r="M341" s="2" t="str">
        <x:v>Task</x:v>
      </x:c>
      <x:c r="N341" s="2" t="str">
        <x:v>DR.PL.2.4.2026.CY2</x:v>
      </x:c>
      <x:c r="O341" s="2" t="n">
        <x:f>R341</x:f>
        <x:v>0</x:v>
      </x:c>
      <x:c r="P341" s="2"/>
      <x:c r="Q341" s="2" t="n">
        <x:v>1</x:v>
      </x:c>
      <x:c r="R341" s="2" t="n">
        <x:f>IF(A341,1,0)</x:f>
        <x:v>0</x:v>
      </x:c>
      <x:c r="S341" s="2" t="n">
        <x:f>SUBTOTAL(103,N341)</x:f>
        <x:v>1</x:v>
      </x:c>
    </x:row>
    <x:row r="342" ht="42" customHeight="1">
      <x:c r="A342" s="28" t="b">
        <x:v>0</x:v>
      </x:c>
      <x:c r="B342" s="2" t="str">
        <x:v>Cycle 2</x:v>
      </x:c>
      <x:c r="C342" s="2" t="str">
        <x:v>Phase 2</x:v>
      </x:c>
      <x:c r="D342" s="2" t="str">
        <x:v>PLL</x:v>
      </x:c>
      <x:c r="E342" s="56" t="str">
        <x:v>DR.PL.2.5</x:v>
      </x:c>
      <x:c r="F342" s="14" t="str">
        <x:v>Ensure topic is not a duplicate from a previous Cycle</x:v>
      </x:c>
      <x:c r="G342" s="5"/>
      <x:c r="H342" s="11"/>
      <x:c r="I342" s="11" t="n">
        <x:f>'Cycles &amp; Guide'!$D$11</x:f>
        <x:v>46203</x:v>
      </x:c>
      <x:c r="J342" s="11"/>
      <x:c r="K342" s="29"/>
      <x:c r="L342" s="2" t="str">
        <x:f>IF(O342=1,"Complete",IF(A342,"Checklist open",IF(H342&lt;&gt;"","In progress","Not started")))</x:f>
        <x:v>Not started</x:v>
      </x:c>
      <x:c r="M342" s="2" t="str">
        <x:v>Task</x:v>
      </x:c>
      <x:c r="N342" s="2" t="str">
        <x:v>DR.PL.2.5.2026.CY2</x:v>
      </x:c>
      <x:c r="O342" s="2" t="n">
        <x:f>R342</x:f>
        <x:v>0</x:v>
      </x:c>
      <x:c r="P342" s="2"/>
      <x:c r="Q342" s="2" t="n">
        <x:v>1</x:v>
      </x:c>
      <x:c r="R342" s="2" t="n">
        <x:f>IF(A342,1,0)</x:f>
        <x:v>0</x:v>
      </x:c>
      <x:c r="S342" s="2" t="n">
        <x:f>SUBTOTAL(103,N342)</x:f>
        <x:v>1</x:v>
      </x:c>
    </x:row>
    <x:row r="343" ht="42" customHeight="1">
      <x:c r="A343" s="28" t="b">
        <x:v>0</x:v>
      </x:c>
      <x:c r="B343" s="2" t="str">
        <x:v>Cycle 2</x:v>
      </x:c>
      <x:c r="C343" s="2" t="str">
        <x:v>Phase 2</x:v>
      </x:c>
      <x:c r="D343" s="2" t="str">
        <x:v>PLL</x:v>
      </x:c>
      <x:c r="E343" s="56" t="str">
        <x:v>DR.PL.2.6</x:v>
      </x:c>
      <x:c r="F343" s="14" t="str">
        <x:v>Document clear distinctions between facts, assumptions, and hypotheses within the data package</x:v>
      </x:c>
      <x:c r="G343" s="5"/>
      <x:c r="H343" s="11"/>
      <x:c r="I343" s="11" t="n">
        <x:f>'Cycles &amp; Guide'!$D$11</x:f>
        <x:v>46203</x:v>
      </x:c>
      <x:c r="J343" s="11"/>
      <x:c r="K343" s="29"/>
      <x:c r="L343" s="2" t="str">
        <x:f>IF(O343=1,"Complete",IF(A343,"Checklist open",IF(H343&lt;&gt;"","In progress","Not started")))</x:f>
        <x:v>Not started</x:v>
      </x:c>
      <x:c r="M343" s="2" t="str">
        <x:v>Task</x:v>
      </x:c>
      <x:c r="N343" s="2" t="str">
        <x:v>DR.PL.2.6.2026.CY2</x:v>
      </x:c>
      <x:c r="O343" s="2" t="n">
        <x:f>R343</x:f>
        <x:v>0</x:v>
      </x:c>
      <x:c r="P343" s="2"/>
      <x:c r="Q343" s="2" t="n">
        <x:v>1</x:v>
      </x:c>
      <x:c r="R343" s="2" t="n">
        <x:f>IF(A343,1,0)</x:f>
        <x:v>0</x:v>
      </x:c>
      <x:c r="S343" s="2" t="n">
        <x:f>SUBTOTAL(103,N343)</x:f>
        <x:v>1</x:v>
      </x:c>
    </x:row>
    <x:row r="344" ht="42" customHeight="1">
      <x:c r="A344" s="28" t="b">
        <x:v>0</x:v>
      </x:c>
      <x:c r="B344" s="2" t="str">
        <x:v>Cycle 2</x:v>
      </x:c>
      <x:c r="C344" s="2" t="str">
        <x:v>Phase 3</x:v>
      </x:c>
      <x:c r="D344" s="2" t="str">
        <x:v>PLL</x:v>
      </x:c>
      <x:c r="E344" s="56" t="str">
        <x:v>DR.PL.3.1</x:v>
      </x:c>
      <x:c r="F344" s="14" t="str">
        <x:v>Clearly document rationale for each topic recommendation within the SharePoint list item</x:v>
      </x:c>
      <x:c r="G344" s="5"/>
      <x:c r="H344" s="11"/>
      <x:c r="I344" s="11" t="n">
        <x:f>'Cycles &amp; Guide'!$D$11</x:f>
        <x:v>46203</x:v>
      </x:c>
      <x:c r="J344" s="11"/>
      <x:c r="K344" s="29"/>
      <x:c r="L344" s="2" t="str">
        <x:f>IF(O344=1,"Complete",IF(A344,"Checklist open",IF(H344&lt;&gt;"","In progress","Not started")))</x:f>
        <x:v>Not started</x:v>
      </x:c>
      <x:c r="M344" s="2" t="str">
        <x:v>Task</x:v>
      </x:c>
      <x:c r="N344" s="2" t="str">
        <x:v>DR.PL.3.1.2026.CY2</x:v>
      </x:c>
      <x:c r="O344" s="2" t="n">
        <x:f>R344</x:f>
        <x:v>0</x:v>
      </x:c>
      <x:c r="P344" s="2"/>
      <x:c r="Q344" s="2" t="n">
        <x:v>1</x:v>
      </x:c>
      <x:c r="R344" s="2" t="n">
        <x:f>IF(A344,1,0)</x:f>
        <x:v>0</x:v>
      </x:c>
      <x:c r="S344" s="2" t="n">
        <x:f>SUBTOTAL(103,N344)</x:f>
        <x:v>1</x:v>
      </x:c>
    </x:row>
    <x:row r="345" ht="42" customHeight="1">
      <x:c r="A345" s="28" t="b">
        <x:v>0</x:v>
      </x:c>
      <x:c r="B345" s="2" t="str">
        <x:v>Cycle 2</x:v>
      </x:c>
      <x:c r="C345" s="2" t="str">
        <x:v>Phase 3</x:v>
      </x:c>
      <x:c r="D345" s="2" t="str">
        <x:v>PLL</x:v>
      </x:c>
      <x:c r="E345" s="56" t="str">
        <x:v>DR.PL.3.2</x:v>
      </x:c>
      <x:c r="F345" s="14" t="str">
        <x:v>Attach the data package for each topic recommendation within the SharePoint list item</x:v>
      </x:c>
      <x:c r="G345" s="5"/>
      <x:c r="H345" s="11"/>
      <x:c r="I345" s="11" t="n">
        <x:f>'Cycles &amp; Guide'!$D$11</x:f>
        <x:v>46203</x:v>
      </x:c>
      <x:c r="J345" s="11"/>
      <x:c r="K345" s="29"/>
      <x:c r="L345" s="2" t="str">
        <x:f>IF(O345=1,"Complete",IF(A345,"Checklist open",IF(H345&lt;&gt;"","In progress","Not started")))</x:f>
        <x:v>Not started</x:v>
      </x:c>
      <x:c r="M345" s="2" t="str">
        <x:v>Task</x:v>
      </x:c>
      <x:c r="N345" s="2" t="str">
        <x:v>DR.PL.3.2.2026.CY2</x:v>
      </x:c>
      <x:c r="O345" s="2" t="n">
        <x:f>R345</x:f>
        <x:v>0</x:v>
      </x:c>
      <x:c r="P345" s="2"/>
      <x:c r="Q345" s="2" t="n">
        <x:v>1</x:v>
      </x:c>
      <x:c r="R345" s="2" t="n">
        <x:f>IF(A345,1,0)</x:f>
        <x:v>0</x:v>
      </x:c>
      <x:c r="S345" s="2" t="n">
        <x:f>SUBTOTAL(103,N345)</x:f>
        <x:v>1</x:v>
      </x:c>
    </x:row>
    <x:row r="346" ht="42" customHeight="1">
      <x:c r="A346" s="28" t="b">
        <x:v>0</x:v>
      </x:c>
      <x:c r="B346" s="2" t="str">
        <x:v>Cycle 2</x:v>
      </x:c>
      <x:c r="C346" s="2" t="str">
        <x:v>Phase 3</x:v>
      </x:c>
      <x:c r="D346" s="2" t="str">
        <x:v>PLL</x:v>
      </x:c>
      <x:c r="E346" s="56" t="str">
        <x:v>DR.PL.3.3</x:v>
      </x:c>
      <x:c r="F346" s="14" t="str">
        <x:v>Confirm data privileges have been granted, ensuring each pillar can access</x:v>
      </x:c>
      <x:c r="G346" s="5"/>
      <x:c r="H346" s="11"/>
      <x:c r="I346" s="11" t="n">
        <x:f>'Cycles &amp; Guide'!$D$11</x:f>
        <x:v>46203</x:v>
      </x:c>
      <x:c r="J346" s="11"/>
      <x:c r="K346" s="29"/>
      <x:c r="L346" s="2" t="str">
        <x:f>IF(O346=1,"Complete",IF(A346,"Checklist open",IF(H346&lt;&gt;"","In progress","Not started")))</x:f>
        <x:v>Not started</x:v>
      </x:c>
      <x:c r="M346" s="2" t="str">
        <x:v>Task</x:v>
      </x:c>
      <x:c r="N346" s="2" t="str">
        <x:v>DR.PL.3.3.2026.CY2</x:v>
      </x:c>
      <x:c r="O346" s="2" t="n">
        <x:f>R346</x:f>
        <x:v>0</x:v>
      </x:c>
      <x:c r="P346" s="2"/>
      <x:c r="Q346" s="2" t="n">
        <x:v>1</x:v>
      </x:c>
      <x:c r="R346" s="2" t="n">
        <x:f>IF(A346,1,0)</x:f>
        <x:v>0</x:v>
      </x:c>
      <x:c r="S346" s="2" t="n">
        <x:f>SUBTOTAL(103,N346)</x:f>
        <x:v>1</x:v>
      </x:c>
    </x:row>
    <x:row r="347" ht="42" customHeight="1">
      <x:c r="A347" s="28" t="b">
        <x:v>0</x:v>
      </x:c>
      <x:c r="B347" s="2" t="str">
        <x:v>Cycle 2</x:v>
      </x:c>
      <x:c r="C347" s="2" t="str">
        <x:v>Phase 3</x:v>
      </x:c>
      <x:c r="D347" s="2" t="str">
        <x:v>PLL</x:v>
      </x:c>
      <x:c r="E347" s="56" t="str">
        <x:v>DR.PL.3.4</x:v>
      </x:c>
      <x:c r="F347" s="14" t="str">
        <x:v>Ensure Power Automate notifications were correctly triggered within Microsoft Teams</x:v>
      </x:c>
      <x:c r="G347" s="5"/>
      <x:c r="H347" s="11"/>
      <x:c r="I347" s="11" t="n">
        <x:f>'Cycles &amp; Guide'!$D$11</x:f>
        <x:v>46203</x:v>
      </x:c>
      <x:c r="J347" s="11"/>
      <x:c r="K347" s="29"/>
      <x:c r="L347" s="2" t="str">
        <x:f>IF(O347=1,"Complete",IF(A347,"Checklist open",IF(H347&lt;&gt;"","In progress","Not started")))</x:f>
        <x:v>Not started</x:v>
      </x:c>
      <x:c r="M347" s="2" t="str">
        <x:v>Task</x:v>
      </x:c>
      <x:c r="N347" s="2" t="str">
        <x:v>DR.PL.3.4.2026.CY2</x:v>
      </x:c>
      <x:c r="O347" s="2" t="n">
        <x:f>R347</x:f>
        <x:v>0</x:v>
      </x:c>
      <x:c r="P347" s="2"/>
      <x:c r="Q347" s="2" t="n">
        <x:v>1</x:v>
      </x:c>
      <x:c r="R347" s="2" t="n">
        <x:f>IF(A347,1,0)</x:f>
        <x:v>0</x:v>
      </x:c>
      <x:c r="S347" s="2" t="n">
        <x:f>SUBTOTAL(103,N347)</x:f>
        <x:v>1</x:v>
      </x:c>
    </x:row>
    <x:row r="348" ht="42" customHeight="1">
      <x:c r="A348" s="28" t="b">
        <x:v>0</x:v>
      </x:c>
      <x:c r="B348" s="2" t="str">
        <x:v>Cycle 2</x:v>
      </x:c>
      <x:c r="C348" s="2" t="str">
        <x:v>Phase 1</x:v>
      </x:c>
      <x:c r="D348" s="2" t="str">
        <x:v>Retail Services</x:v>
      </x:c>
      <x:c r="E348" s="56" t="str">
        <x:v>DR.RS.1.1</x:v>
      </x:c>
      <x:c r="F348" s="14" t="str">
        <x:v>Review data sources 3 weeks prior to Cycle start (Complaints, Gen AI, Loudspeaker, NPS, etc.)</x:v>
      </x:c>
      <x:c r="G348" s="5"/>
      <x:c r="H348" s="11"/>
      <x:c r="I348" s="11" t="n">
        <x:f>'Cycles &amp; Guide'!$C$11-21</x:f>
        <x:v>46092</x:v>
      </x:c>
      <x:c r="J348" s="11"/>
      <x:c r="K348" s="29"/>
      <x:c r="L348" s="2" t="str">
        <x:f>IF(O348=1,"Complete",IF(A348,"Checklist open",IF(H348&lt;&gt;"","In progress","Not started")))</x:f>
        <x:v>Not started</x:v>
      </x:c>
      <x:c r="M348" s="2" t="str">
        <x:v>Task</x:v>
      </x:c>
      <x:c r="N348" s="2" t="str">
        <x:v>DR.RS.1.1.2026.CY2</x:v>
      </x:c>
      <x:c r="O348" s="2" t="n">
        <x:f>R348</x:f>
        <x:v>0</x:v>
      </x:c>
      <x:c r="P348" s="2"/>
      <x:c r="Q348" s="2" t="n">
        <x:v>1</x:v>
      </x:c>
      <x:c r="R348" s="2" t="n">
        <x:f>IF(A348,1,0)</x:f>
        <x:v>0</x:v>
      </x:c>
      <x:c r="S348" s="2" t="n">
        <x:f>SUBTOTAL(103,N348)</x:f>
        <x:v>1</x:v>
      </x:c>
    </x:row>
    <x:row r="349" ht="42" customHeight="1">
      <x:c r="A349" s="28" t="b">
        <x:v>0</x:v>
      </x:c>
      <x:c r="B349" s="2" t="str">
        <x:v>Cycle 2</x:v>
      </x:c>
      <x:c r="C349" s="2" t="str">
        <x:v>Phase 1</x:v>
      </x:c>
      <x:c r="D349" s="2" t="str">
        <x:v>Retail Services</x:v>
      </x:c>
      <x:c r="E349" s="56" t="str">
        <x:v>DR.RS.1.2</x:v>
      </x:c>
      <x:c r="F349" s="14" t="str">
        <x:v>Identify two potential topics for the upcoming Cycle</x:v>
      </x:c>
      <x:c r="G349" s="5"/>
      <x:c r="H349" s="11"/>
      <x:c r="I349" s="11" t="n">
        <x:f>'Cycles &amp; Guide'!$D$11</x:f>
        <x:v>46203</x:v>
      </x:c>
      <x:c r="J349" s="11"/>
      <x:c r="K349" s="29"/>
      <x:c r="L349" s="2" t="str">
        <x:f>IF(O349=1,"Complete",IF(A349,"Checklist open",IF(H349&lt;&gt;"","In progress","Not started")))</x:f>
        <x:v>Not started</x:v>
      </x:c>
      <x:c r="M349" s="2" t="str">
        <x:v>Task</x:v>
      </x:c>
      <x:c r="N349" s="2" t="str">
        <x:v>DR.RS.1.2.2026.CY2</x:v>
      </x:c>
      <x:c r="O349" s="2" t="n">
        <x:f>R349</x:f>
        <x:v>0</x:v>
      </x:c>
      <x:c r="P349" s="2"/>
      <x:c r="Q349" s="2" t="n">
        <x:v>1</x:v>
      </x:c>
      <x:c r="R349" s="2" t="n">
        <x:f>IF(A349,1,0)</x:f>
        <x:v>0</x:v>
      </x:c>
      <x:c r="S349" s="2" t="n">
        <x:f>SUBTOTAL(103,N349)</x:f>
        <x:v>1</x:v>
      </x:c>
    </x:row>
    <x:row r="350" ht="42" customHeight="1">
      <x:c r="A350" s="28" t="b">
        <x:v>0</x:v>
      </x:c>
      <x:c r="B350" s="2" t="str">
        <x:v>Cycle 2</x:v>
      </x:c>
      <x:c r="C350" s="2" t="str">
        <x:v>Phase 1</x:v>
      </x:c>
      <x:c r="D350" s="2" t="str">
        <x:v>Retail Services</x:v>
      </x:c>
      <x:c r="E350" s="68" t="str">
        <x:v>DR.RS.1.3</x:v>
      </x:c>
      <x:c r="F350" s="33" t="str">
        <x:v>Extract data for both potential topics, ensuring all checklist items below are included/completed</x:v>
      </x:c>
      <x:c r="G350" s="5"/>
      <x:c r="H350" s="11"/>
      <x:c r="I350" s="11" t="n">
        <x:f>'Cycles &amp; Guide'!$D$11</x:f>
        <x:v>46203</x:v>
      </x:c>
      <x:c r="J350" s="11"/>
      <x:c r="K350" s="29"/>
      <x:c r="L350" s="2" t="str">
        <x:f>IF(O350=1,"Complete",IF(A350,"Checklist open",IF(H350&lt;&gt;"","In progress","Not started")))</x:f>
        <x:v>Not started</x:v>
      </x:c>
      <x:c r="M350" s="2" t="str">
        <x:v>Task</x:v>
      </x:c>
      <x:c r="N350" s="2" t="str">
        <x:v>DR.RS.1.3.2026.CY2</x:v>
      </x:c>
      <x:c r="O350" s="2" t="n">
        <x:f>IF(A350,IF(SUMIFS($R$10:$R$737,$P$10:$P$737,N350)=13,1,0),0)</x:f>
        <x:v>0</x:v>
      </x:c>
      <x:c r="P350" s="2"/>
      <x:c r="Q350" s="2" t="n">
        <x:v>1</x:v>
      </x:c>
      <x:c r="R350" s="2" t="n">
        <x:f>IF(A350,1,0)</x:f>
        <x:v>0</x:v>
      </x:c>
      <x:c r="S350" s="2" t="n">
        <x:f>SUBTOTAL(103,N350)</x:f>
        <x:v>1</x:v>
      </x:c>
    </x:row>
    <x:row r="351" ht="31" customHeight="1" outlineLevel="1">
      <x:c r="A351" s="28" t="b">
        <x:v>0</x:v>
      </x:c>
      <x:c r="B351" s="36" t="str">
        <x:v>Cycle 2</x:v>
      </x:c>
      <x:c r="C351" s="36" t="str">
        <x:v>Phase 1</x:v>
      </x:c>
      <x:c r="D351" s="36" t="str">
        <x:v>Retail Services</x:v>
      </x:c>
      <x:c r="E351" s="69" t="str">
        <x:v>DR.RS.1.3.C01</x:v>
      </x:c>
      <x:c r="F351" s="37" t="str">
        <x:v>    Document date range extracted</x:v>
      </x:c>
      <x:c r="G351" s="5"/>
      <x:c r="H351" s="11"/>
      <x:c r="I351" s="11"/>
      <x:c r="J351" s="11"/>
      <x:c r="K351" s="29"/>
      <x:c r="L351" s="2" t="str">
        <x:f>IF(A351,"Complete","Open check")</x:f>
        <x:v>Open check</x:v>
      </x:c>
      <x:c r="M351" s="2" t="str">
        <x:v>Checklist</x:v>
      </x:c>
      <x:c r="N351" s="2" t="str">
        <x:v>DR.RS.1.3.C01.2026.CY2</x:v>
      </x:c>
      <x:c r="O351" s="2" t="n">
        <x:f>R351</x:f>
        <x:v>0</x:v>
      </x:c>
      <x:c r="P351" s="2" t="str">
        <x:v>DR.RS.1.3.2026.CY2</x:v>
      </x:c>
      <x:c r="Q351" s="2" t="n">
        <x:v>0</x:v>
      </x:c>
      <x:c r="R351" s="2" t="n">
        <x:f>IF(A351,1,0)</x:f>
        <x:v>0</x:v>
      </x:c>
      <x:c r="S351" s="2" t="n">
        <x:f>SUBTOTAL(103,N351)</x:f>
        <x:v>1</x:v>
      </x:c>
    </x:row>
    <x:row r="352" ht="31" customHeight="1" outlineLevel="1">
      <x:c r="A352" s="28" t="b">
        <x:v>0</x:v>
      </x:c>
      <x:c r="B352" s="36" t="str">
        <x:v>Cycle 2</x:v>
      </x:c>
      <x:c r="C352" s="36" t="str">
        <x:v>Phase 1</x:v>
      </x:c>
      <x:c r="D352" s="36" t="str">
        <x:v>Retail Services</x:v>
      </x:c>
      <x:c r="E352" s="69" t="str">
        <x:v>DR.RS.1.3.C02</x:v>
      </x:c>
      <x:c r="F352" s="37" t="str">
        <x:v>    Document date of data pull</x:v>
      </x:c>
      <x:c r="G352" s="5"/>
      <x:c r="H352" s="11"/>
      <x:c r="I352" s="11"/>
      <x:c r="J352" s="11"/>
      <x:c r="K352" s="29"/>
      <x:c r="L352" s="2" t="str">
        <x:f>IF(A352,"Complete","Open check")</x:f>
        <x:v>Open check</x:v>
      </x:c>
      <x:c r="M352" s="2" t="str">
        <x:v>Checklist</x:v>
      </x:c>
      <x:c r="N352" s="2" t="str">
        <x:v>DR.RS.1.3.C02.2026.CY2</x:v>
      </x:c>
      <x:c r="O352" s="2" t="n">
        <x:f>R352</x:f>
        <x:v>0</x:v>
      </x:c>
      <x:c r="P352" s="2" t="str">
        <x:v>DR.RS.1.3.2026.CY2</x:v>
      </x:c>
      <x:c r="Q352" s="2" t="n">
        <x:v>0</x:v>
      </x:c>
      <x:c r="R352" s="2" t="n">
        <x:f>IF(A352,1,0)</x:f>
        <x:v>0</x:v>
      </x:c>
      <x:c r="S352" s="2" t="n">
        <x:f>SUBTOTAL(103,N352)</x:f>
        <x:v>1</x:v>
      </x:c>
    </x:row>
    <x:row r="353" ht="31" customHeight="1" outlineLevel="1">
      <x:c r="A353" s="28" t="b">
        <x:v>0</x:v>
      </x:c>
      <x:c r="B353" s="36" t="str">
        <x:v>Cycle 2</x:v>
      </x:c>
      <x:c r="C353" s="36" t="str">
        <x:v>Phase 1</x:v>
      </x:c>
      <x:c r="D353" s="36" t="str">
        <x:v>Retail Services</x:v>
      </x:c>
      <x:c r="E353" s="69" t="str">
        <x:v>DR.RS.1.3.C03</x:v>
      </x:c>
      <x:c r="F353" s="37" t="str">
        <x:v>    Document population details</x:v>
      </x:c>
      <x:c r="G353" s="5"/>
      <x:c r="H353" s="11"/>
      <x:c r="I353" s="11"/>
      <x:c r="J353" s="11"/>
      <x:c r="K353" s="29"/>
      <x:c r="L353" s="2" t="str">
        <x:f>IF(A353,"Complete","Open check")</x:f>
        <x:v>Open check</x:v>
      </x:c>
      <x:c r="M353" s="2" t="str">
        <x:v>Checklist</x:v>
      </x:c>
      <x:c r="N353" s="2" t="str">
        <x:v>DR.RS.1.3.C03.2026.CY2</x:v>
      </x:c>
      <x:c r="O353" s="2" t="n">
        <x:f>R353</x:f>
        <x:v>0</x:v>
      </x:c>
      <x:c r="P353" s="2" t="str">
        <x:v>DR.RS.1.3.2026.CY2</x:v>
      </x:c>
      <x:c r="Q353" s="2" t="n">
        <x:v>0</x:v>
      </x:c>
      <x:c r="R353" s="2" t="n">
        <x:f>IF(A353,1,0)</x:f>
        <x:v>0</x:v>
      </x:c>
      <x:c r="S353" s="2" t="n">
        <x:f>SUBTOTAL(103,N353)</x:f>
        <x:v>1</x:v>
      </x:c>
    </x:row>
    <x:row r="354" ht="31" customHeight="1" outlineLevel="1">
      <x:c r="A354" s="28" t="b">
        <x:v>0</x:v>
      </x:c>
      <x:c r="B354" s="36" t="str">
        <x:v>Cycle 2</x:v>
      </x:c>
      <x:c r="C354" s="36" t="str">
        <x:v>Phase 1</x:v>
      </x:c>
      <x:c r="D354" s="36" t="str">
        <x:v>Retail Services</x:v>
      </x:c>
      <x:c r="E354" s="69" t="str">
        <x:v>DR.RS.1.3.C04</x:v>
      </x:c>
      <x:c r="F354" s="37" t="str">
        <x:v>    Validate no data is missing</x:v>
      </x:c>
      <x:c r="G354" s="5"/>
      <x:c r="H354" s="11"/>
      <x:c r="I354" s="11"/>
      <x:c r="J354" s="11"/>
      <x:c r="K354" s="29"/>
      <x:c r="L354" s="2" t="str">
        <x:f>IF(A354,"Complete","Open check")</x:f>
        <x:v>Open check</x:v>
      </x:c>
      <x:c r="M354" s="2" t="str">
        <x:v>Checklist</x:v>
      </x:c>
      <x:c r="N354" s="2" t="str">
        <x:v>DR.RS.1.3.C04.2026.CY2</x:v>
      </x:c>
      <x:c r="O354" s="2" t="n">
        <x:f>R354</x:f>
        <x:v>0</x:v>
      </x:c>
      <x:c r="P354" s="2" t="str">
        <x:v>DR.RS.1.3.2026.CY2</x:v>
      </x:c>
      <x:c r="Q354" s="2" t="n">
        <x:v>0</x:v>
      </x:c>
      <x:c r="R354" s="2" t="n">
        <x:f>IF(A354,1,0)</x:f>
        <x:v>0</x:v>
      </x:c>
      <x:c r="S354" s="2" t="n">
        <x:f>SUBTOTAL(103,N354)</x:f>
        <x:v>1</x:v>
      </x:c>
    </x:row>
    <x:row r="355" ht="31" customHeight="1" outlineLevel="1">
      <x:c r="A355" s="28" t="b">
        <x:v>0</x:v>
      </x:c>
      <x:c r="B355" s="36" t="str">
        <x:v>Cycle 2</x:v>
      </x:c>
      <x:c r="C355" s="36" t="str">
        <x:v>Phase 1</x:v>
      </x:c>
      <x:c r="D355" s="36" t="str">
        <x:v>Retail Services</x:v>
      </x:c>
      <x:c r="E355" s="69" t="str">
        <x:v>DR.RS.1.3.C05</x:v>
      </x:c>
      <x:c r="F355" s="37" t="str">
        <x:v>    Validate accuracy of data</x:v>
      </x:c>
      <x:c r="G355" s="5"/>
      <x:c r="H355" s="11"/>
      <x:c r="I355" s="11"/>
      <x:c r="J355" s="11"/>
      <x:c r="K355" s="29"/>
      <x:c r="L355" s="2" t="str">
        <x:f>IF(A355,"Complete","Open check")</x:f>
        <x:v>Open check</x:v>
      </x:c>
      <x:c r="M355" s="2" t="str">
        <x:v>Checklist</x:v>
      </x:c>
      <x:c r="N355" s="2" t="str">
        <x:v>DR.RS.1.3.C05.2026.CY2</x:v>
      </x:c>
      <x:c r="O355" s="2" t="n">
        <x:f>R355</x:f>
        <x:v>0</x:v>
      </x:c>
      <x:c r="P355" s="2" t="str">
        <x:v>DR.RS.1.3.2026.CY2</x:v>
      </x:c>
      <x:c r="Q355" s="2" t="n">
        <x:v>0</x:v>
      </x:c>
      <x:c r="R355" s="2" t="n">
        <x:f>IF(A355,1,0)</x:f>
        <x:v>0</x:v>
      </x:c>
      <x:c r="S355" s="2" t="n">
        <x:f>SUBTOTAL(103,N355)</x:f>
        <x:v>1</x:v>
      </x:c>
    </x:row>
    <x:row r="356" ht="31" customHeight="1" outlineLevel="1">
      <x:c r="A356" s="28" t="b">
        <x:v>0</x:v>
      </x:c>
      <x:c r="B356" s="36" t="str">
        <x:v>Cycle 2</x:v>
      </x:c>
      <x:c r="C356" s="36" t="str">
        <x:v>Phase 1</x:v>
      </x:c>
      <x:c r="D356" s="36" t="str">
        <x:v>Retail Services</x:v>
      </x:c>
      <x:c r="E356" s="69" t="str">
        <x:v>DR.RS.1.3.C06</x:v>
      </x:c>
      <x:c r="F356" s="37" t="str">
        <x:v>    Validate no duplicate data is provided</x:v>
      </x:c>
      <x:c r="G356" s="5"/>
      <x:c r="H356" s="11"/>
      <x:c r="I356" s="11"/>
      <x:c r="J356" s="11"/>
      <x:c r="K356" s="29"/>
      <x:c r="L356" s="2" t="str">
        <x:f>IF(A356,"Complete","Open check")</x:f>
        <x:v>Open check</x:v>
      </x:c>
      <x:c r="M356" s="2" t="str">
        <x:v>Checklist</x:v>
      </x:c>
      <x:c r="N356" s="2" t="str">
        <x:v>DR.RS.1.3.C06.2026.CY2</x:v>
      </x:c>
      <x:c r="O356" s="2" t="n">
        <x:f>R356</x:f>
        <x:v>0</x:v>
      </x:c>
      <x:c r="P356" s="2" t="str">
        <x:v>DR.RS.1.3.2026.CY2</x:v>
      </x:c>
      <x:c r="Q356" s="2" t="n">
        <x:v>0</x:v>
      </x:c>
      <x:c r="R356" s="2" t="n">
        <x:f>IF(A356,1,0)</x:f>
        <x:v>0</x:v>
      </x:c>
      <x:c r="S356" s="2" t="n">
        <x:f>SUBTOTAL(103,N356)</x:f>
        <x:v>1</x:v>
      </x:c>
    </x:row>
    <x:row r="357" ht="31" customHeight="1" outlineLevel="1">
      <x:c r="A357" s="28" t="b">
        <x:v>0</x:v>
      </x:c>
      <x:c r="B357" s="36" t="str">
        <x:v>Cycle 2</x:v>
      </x:c>
      <x:c r="C357" s="36" t="str">
        <x:v>Phase 1</x:v>
      </x:c>
      <x:c r="D357" s="36" t="str">
        <x:v>Retail Services</x:v>
      </x:c>
      <x:c r="E357" s="69" t="str">
        <x:v>DR.RS.1.3.C07</x:v>
      </x:c>
      <x:c r="F357" s="37" t="str">
        <x:v>    Document any data exclusions along with justification (as needed)</x:v>
      </x:c>
      <x:c r="G357" s="5"/>
      <x:c r="H357" s="11"/>
      <x:c r="I357" s="11"/>
      <x:c r="J357" s="11"/>
      <x:c r="K357" s="29"/>
      <x:c r="L357" s="2" t="str">
        <x:f>IF(A357,"Complete","Open check")</x:f>
        <x:v>Open check</x:v>
      </x:c>
      <x:c r="M357" s="2" t="str">
        <x:v>Checklist</x:v>
      </x:c>
      <x:c r="N357" s="2" t="str">
        <x:v>DR.RS.1.3.C07.2026.CY2</x:v>
      </x:c>
      <x:c r="O357" s="2" t="n">
        <x:f>R357</x:f>
        <x:v>0</x:v>
      </x:c>
      <x:c r="P357" s="2" t="str">
        <x:v>DR.RS.1.3.2026.CY2</x:v>
      </x:c>
      <x:c r="Q357" s="2" t="n">
        <x:v>0</x:v>
      </x:c>
      <x:c r="R357" s="2" t="n">
        <x:f>IF(A357,1,0)</x:f>
        <x:v>0</x:v>
      </x:c>
      <x:c r="S357" s="2" t="n">
        <x:f>SUBTOTAL(103,N357)</x:f>
        <x:v>1</x:v>
      </x:c>
    </x:row>
    <x:row r="358" ht="31" customHeight="1" outlineLevel="1">
      <x:c r="A358" s="28" t="b">
        <x:v>0</x:v>
      </x:c>
      <x:c r="B358" s="36" t="str">
        <x:v>Cycle 2</x:v>
      </x:c>
      <x:c r="C358" s="36" t="str">
        <x:v>Phase 1</x:v>
      </x:c>
      <x:c r="D358" s="36" t="str">
        <x:v>Retail Services</x:v>
      </x:c>
      <x:c r="E358" s="69" t="str">
        <x:v>DR.RS.1.3.C08</x:v>
      </x:c>
      <x:c r="F358" s="37" t="str">
        <x:v>    Document any assumptions made with the data (as needed)</x:v>
      </x:c>
      <x:c r="G358" s="5"/>
      <x:c r="H358" s="11"/>
      <x:c r="I358" s="11"/>
      <x:c r="J358" s="11"/>
      <x:c r="K358" s="29"/>
      <x:c r="L358" s="2" t="str">
        <x:f>IF(A358,"Complete","Open check")</x:f>
        <x:v>Open check</x:v>
      </x:c>
      <x:c r="M358" s="2" t="str">
        <x:v>Checklist</x:v>
      </x:c>
      <x:c r="N358" s="2" t="str">
        <x:v>DR.RS.1.3.C08.2026.CY2</x:v>
      </x:c>
      <x:c r="O358" s="2" t="n">
        <x:f>R358</x:f>
        <x:v>0</x:v>
      </x:c>
      <x:c r="P358" s="2" t="str">
        <x:v>DR.RS.1.3.2026.CY2</x:v>
      </x:c>
      <x:c r="Q358" s="2" t="n">
        <x:v>0</x:v>
      </x:c>
      <x:c r="R358" s="2" t="n">
        <x:f>IF(A358,1,0)</x:f>
        <x:v>0</x:v>
      </x:c>
      <x:c r="S358" s="2" t="n">
        <x:f>SUBTOTAL(103,N358)</x:f>
        <x:v>1</x:v>
      </x:c>
    </x:row>
    <x:row r="359" ht="31" customHeight="1" outlineLevel="1">
      <x:c r="A359" s="28" t="b">
        <x:v>0</x:v>
      </x:c>
      <x:c r="B359" s="36" t="str">
        <x:v>Cycle 2</x:v>
      </x:c>
      <x:c r="C359" s="36" t="str">
        <x:v>Phase 1</x:v>
      </x:c>
      <x:c r="D359" s="36" t="str">
        <x:v>Retail Services</x:v>
      </x:c>
      <x:c r="E359" s="69" t="str">
        <x:v>DR.RS.1.3.C09</x:v>
      </x:c>
      <x:c r="F359" s="37" t="str">
        <x:v>    Document any data limitations or constraints clearly (as needed)</x:v>
      </x:c>
      <x:c r="G359" s="5"/>
      <x:c r="H359" s="11"/>
      <x:c r="I359" s="11"/>
      <x:c r="J359" s="11"/>
      <x:c r="K359" s="29"/>
      <x:c r="L359" s="2" t="str">
        <x:f>IF(A359,"Complete","Open check")</x:f>
        <x:v>Open check</x:v>
      </x:c>
      <x:c r="M359" s="2" t="str">
        <x:v>Checklist</x:v>
      </x:c>
      <x:c r="N359" s="2" t="str">
        <x:v>DR.RS.1.3.C09.2026.CY2</x:v>
      </x:c>
      <x:c r="O359" s="2" t="n">
        <x:f>R359</x:f>
        <x:v>0</x:v>
      </x:c>
      <x:c r="P359" s="2" t="str">
        <x:v>DR.RS.1.3.2026.CY2</x:v>
      </x:c>
      <x:c r="Q359" s="2" t="n">
        <x:v>0</x:v>
      </x:c>
      <x:c r="R359" s="2" t="n">
        <x:f>IF(A359,1,0)</x:f>
        <x:v>0</x:v>
      </x:c>
      <x:c r="S359" s="2" t="n">
        <x:f>SUBTOTAL(103,N359)</x:f>
        <x:v>1</x:v>
      </x:c>
    </x:row>
    <x:row r="360" ht="31" customHeight="1" outlineLevel="1">
      <x:c r="A360" s="28" t="b">
        <x:v>0</x:v>
      </x:c>
      <x:c r="B360" s="36" t="str">
        <x:v>Cycle 2</x:v>
      </x:c>
      <x:c r="C360" s="36" t="str">
        <x:v>Phase 1</x:v>
      </x:c>
      <x:c r="D360" s="36" t="str">
        <x:v>Retail Services</x:v>
      </x:c>
      <x:c r="E360" s="69" t="str">
        <x:v>DR.RS.1.3.C10</x:v>
      </x:c>
      <x:c r="F360" s="37" t="str">
        <x:v>    Document data dictionary or field definitions for columns/rows</x:v>
      </x:c>
      <x:c r="G360" s="5"/>
      <x:c r="H360" s="11"/>
      <x:c r="I360" s="11"/>
      <x:c r="J360" s="11"/>
      <x:c r="K360" s="29"/>
      <x:c r="L360" s="2" t="str">
        <x:f>IF(A360,"Complete","Open check")</x:f>
        <x:v>Open check</x:v>
      </x:c>
      <x:c r="M360" s="2" t="str">
        <x:v>Checklist</x:v>
      </x:c>
      <x:c r="N360" s="2" t="str">
        <x:v>DR.RS.1.3.C10.2026.CY2</x:v>
      </x:c>
      <x:c r="O360" s="2" t="n">
        <x:f>R360</x:f>
        <x:v>0</x:v>
      </x:c>
      <x:c r="P360" s="2" t="str">
        <x:v>DR.RS.1.3.2026.CY2</x:v>
      </x:c>
      <x:c r="Q360" s="2" t="n">
        <x:v>0</x:v>
      </x:c>
      <x:c r="R360" s="2" t="n">
        <x:f>IF(A360,1,0)</x:f>
        <x:v>0</x:v>
      </x:c>
      <x:c r="S360" s="2" t="n">
        <x:f>SUBTOTAL(103,N360)</x:f>
        <x:v>1</x:v>
      </x:c>
    </x:row>
    <x:row r="361" ht="31" customHeight="1" outlineLevel="1">
      <x:c r="A361" s="28" t="b">
        <x:v>0</x:v>
      </x:c>
      <x:c r="B361" s="36" t="str">
        <x:v>Cycle 2</x:v>
      </x:c>
      <x:c r="C361" s="36" t="str">
        <x:v>Phase 1</x:v>
      </x:c>
      <x:c r="D361" s="36" t="str">
        <x:v>Retail Services</x:v>
      </x:c>
      <x:c r="E361" s="69" t="str">
        <x:v>DR.RS.1.3.C11</x:v>
      </x:c>
      <x:c r="F361" s="37" t="str">
        <x:v>    Document emerging trends, patterns, or concentrations along with supporting data</x:v>
      </x:c>
      <x:c r="G361" s="5"/>
      <x:c r="H361" s="11"/>
      <x:c r="I361" s="11"/>
      <x:c r="J361" s="11"/>
      <x:c r="K361" s="29"/>
      <x:c r="L361" s="2" t="str">
        <x:f>IF(A361,"Complete","Open check")</x:f>
        <x:v>Open check</x:v>
      </x:c>
      <x:c r="M361" s="2" t="str">
        <x:v>Checklist</x:v>
      </x:c>
      <x:c r="N361" s="2" t="str">
        <x:v>DR.RS.1.3.C11.2026.CY2</x:v>
      </x:c>
      <x:c r="O361" s="2" t="n">
        <x:f>R361</x:f>
        <x:v>0</x:v>
      </x:c>
      <x:c r="P361" s="2" t="str">
        <x:v>DR.RS.1.3.2026.CY2</x:v>
      </x:c>
      <x:c r="Q361" s="2" t="n">
        <x:v>0</x:v>
      </x:c>
      <x:c r="R361" s="2" t="n">
        <x:f>IF(A361,1,0)</x:f>
        <x:v>0</x:v>
      </x:c>
      <x:c r="S361" s="2" t="n">
        <x:f>SUBTOTAL(103,N361)</x:f>
        <x:v>1</x:v>
      </x:c>
    </x:row>
    <x:row r="362" ht="31" customHeight="1" outlineLevel="1">
      <x:c r="A362" s="28" t="b">
        <x:v>0</x:v>
      </x:c>
      <x:c r="B362" s="36" t="str">
        <x:v>Cycle 2</x:v>
      </x:c>
      <x:c r="C362" s="36" t="str">
        <x:v>Phase 1</x:v>
      </x:c>
      <x:c r="D362" s="36" t="str">
        <x:v>Retail Services</x:v>
      </x:c>
      <x:c r="E362" s="69" t="str">
        <x:v>DR.RS.1.3.C12</x:v>
      </x:c>
      <x:c r="F362" s="37" t="str">
        <x:v>    Document any severe spikes in volume along with context (as needed)</x:v>
      </x:c>
      <x:c r="G362" s="5"/>
      <x:c r="H362" s="11"/>
      <x:c r="I362" s="11"/>
      <x:c r="J362" s="11"/>
      <x:c r="K362" s="29"/>
      <x:c r="L362" s="2" t="str">
        <x:f>IF(A362,"Complete","Open check")</x:f>
        <x:v>Open check</x:v>
      </x:c>
      <x:c r="M362" s="2" t="str">
        <x:v>Checklist</x:v>
      </x:c>
      <x:c r="N362" s="2" t="str">
        <x:v>DR.RS.1.3.C12.2026.CY2</x:v>
      </x:c>
      <x:c r="O362" s="2" t="n">
        <x:f>R362</x:f>
        <x:v>0</x:v>
      </x:c>
      <x:c r="P362" s="2" t="str">
        <x:v>DR.RS.1.3.2026.CY2</x:v>
      </x:c>
      <x:c r="Q362" s="2" t="n">
        <x:v>0</x:v>
      </x:c>
      <x:c r="R362" s="2" t="n">
        <x:f>IF(A362,1,0)</x:f>
        <x:v>0</x:v>
      </x:c>
      <x:c r="S362" s="2" t="n">
        <x:f>SUBTOTAL(103,N362)</x:f>
        <x:v>1</x:v>
      </x:c>
    </x:row>
    <x:row r="363" ht="31" customHeight="1" outlineLevel="1">
      <x:c r="A363" s="28" t="b">
        <x:v>0</x:v>
      </x:c>
      <x:c r="B363" s="36" t="str">
        <x:v>Cycle 2</x:v>
      </x:c>
      <x:c r="C363" s="36" t="str">
        <x:v>Phase 1</x:v>
      </x:c>
      <x:c r="D363" s="36" t="str">
        <x:v>Retail Services</x:v>
      </x:c>
      <x:c r="E363" s="69" t="str">
        <x:v>DR.RS.1.3.C13</x:v>
      </x:c>
      <x:c r="F363" s="37" t="str">
        <x:v>    Document clear summary explaining how the data connects to the potential topic</x:v>
      </x:c>
      <x:c r="G363" s="5"/>
      <x:c r="H363" s="11"/>
      <x:c r="I363" s="11"/>
      <x:c r="J363" s="11"/>
      <x:c r="K363" s="29"/>
      <x:c r="L363" s="2" t="str">
        <x:f>IF(A363,"Complete","Open check")</x:f>
        <x:v>Open check</x:v>
      </x:c>
      <x:c r="M363" s="2" t="str">
        <x:v>Checklist</x:v>
      </x:c>
      <x:c r="N363" s="2" t="str">
        <x:v>DR.RS.1.3.C13.2026.CY2</x:v>
      </x:c>
      <x:c r="O363" s="2" t="n">
        <x:f>R363</x:f>
        <x:v>0</x:v>
      </x:c>
      <x:c r="P363" s="2" t="str">
        <x:v>DR.RS.1.3.2026.CY2</x:v>
      </x:c>
      <x:c r="Q363" s="2" t="n">
        <x:v>0</x:v>
      </x:c>
      <x:c r="R363" s="2" t="n">
        <x:f>IF(A363,1,0)</x:f>
        <x:v>0</x:v>
      </x:c>
      <x:c r="S363" s="2" t="n">
        <x:f>SUBTOTAL(103,N363)</x:f>
        <x:v>1</x:v>
      </x:c>
    </x:row>
    <x:row r="364" ht="42" customHeight="1">
      <x:c r="A364" s="28" t="b">
        <x:v>0</x:v>
      </x:c>
      <x:c r="B364" s="2" t="str">
        <x:v>Cycle 2</x:v>
      </x:c>
      <x:c r="C364" s="2" t="str">
        <x:v>Phase 2</x:v>
      </x:c>
      <x:c r="D364" s="2" t="str">
        <x:v>Retail Services</x:v>
      </x:c>
      <x:c r="E364" s="56" t="str">
        <x:v>DR.RS.2.1</x:v>
      </x:c>
      <x:c r="F364" s="14" t="str">
        <x:v>Ensure data is clean, structured, and usable without manipulation needed</x:v>
      </x:c>
      <x:c r="G364" s="5"/>
      <x:c r="H364" s="11"/>
      <x:c r="I364" s="11" t="n">
        <x:f>'Cycles &amp; Guide'!$D$11</x:f>
        <x:v>46203</x:v>
      </x:c>
      <x:c r="J364" s="11"/>
      <x:c r="K364" s="29"/>
      <x:c r="L364" s="2" t="str">
        <x:f>IF(O364=1,"Complete",IF(A364,"Checklist open",IF(H364&lt;&gt;"","In progress","Not started")))</x:f>
        <x:v>Not started</x:v>
      </x:c>
      <x:c r="M364" s="2" t="str">
        <x:v>Task</x:v>
      </x:c>
      <x:c r="N364" s="2" t="str">
        <x:v>DR.RS.2.1.2026.CY2</x:v>
      </x:c>
      <x:c r="O364" s="2" t="n">
        <x:f>R364</x:f>
        <x:v>0</x:v>
      </x:c>
      <x:c r="P364" s="2"/>
      <x:c r="Q364" s="2" t="n">
        <x:v>1</x:v>
      </x:c>
      <x:c r="R364" s="2" t="n">
        <x:f>IF(A364,1,0)</x:f>
        <x:v>0</x:v>
      </x:c>
      <x:c r="S364" s="2" t="n">
        <x:f>SUBTOTAL(103,N364)</x:f>
        <x:v>1</x:v>
      </x:c>
    </x:row>
    <x:row r="365" ht="42" customHeight="1">
      <x:c r="A365" s="28" t="b">
        <x:v>0</x:v>
      </x:c>
      <x:c r="B365" s="2" t="str">
        <x:v>Cycle 2</x:v>
      </x:c>
      <x:c r="C365" s="2" t="str">
        <x:v>Phase 2</x:v>
      </x:c>
      <x:c r="D365" s="2" t="str">
        <x:v>Retail Services</x:v>
      </x:c>
      <x:c r="E365" s="56" t="str">
        <x:v>DR.RS.2.2</x:v>
      </x:c>
      <x:c r="F365" s="14" t="str">
        <x:v>Clearly document rationale for each topic recommendation within the SharePoint list</x:v>
      </x:c>
      <x:c r="G365" s="5"/>
      <x:c r="H365" s="11"/>
      <x:c r="I365" s="11" t="n">
        <x:f>'Cycles &amp; Guide'!$D$11</x:f>
        <x:v>46203</x:v>
      </x:c>
      <x:c r="J365" s="11"/>
      <x:c r="K365" s="29"/>
      <x:c r="L365" s="2" t="str">
        <x:f>IF(O365=1,"Complete",IF(A365,"Checklist open",IF(H365&lt;&gt;"","In progress","Not started")))</x:f>
        <x:v>Not started</x:v>
      </x:c>
      <x:c r="M365" s="2" t="str">
        <x:v>Task</x:v>
      </x:c>
      <x:c r="N365" s="2" t="str">
        <x:v>DR.RS.2.2.2026.CY2</x:v>
      </x:c>
      <x:c r="O365" s="2" t="n">
        <x:f>R365</x:f>
        <x:v>0</x:v>
      </x:c>
      <x:c r="P365" s="2"/>
      <x:c r="Q365" s="2" t="n">
        <x:v>1</x:v>
      </x:c>
      <x:c r="R365" s="2" t="n">
        <x:f>IF(A365,1,0)</x:f>
        <x:v>0</x:v>
      </x:c>
      <x:c r="S365" s="2" t="n">
        <x:f>SUBTOTAL(103,N365)</x:f>
        <x:v>1</x:v>
      </x:c>
    </x:row>
    <x:row r="366" ht="42" customHeight="1">
      <x:c r="A366" s="28" t="b">
        <x:v>0</x:v>
      </x:c>
      <x:c r="B366" s="2" t="str">
        <x:v>Cycle 2</x:v>
      </x:c>
      <x:c r="C366" s="2" t="str">
        <x:v>Phase 2</x:v>
      </x:c>
      <x:c r="D366" s="2" t="str">
        <x:v>Retail Services</x:v>
      </x:c>
      <x:c r="E366" s="56" t="str">
        <x:v>DR.RS.2.3</x:v>
      </x:c>
      <x:c r="F366" s="14" t="str">
        <x:v>Verify topic is eligible for RCA and does not conflict with Attorney Client Privilege</x:v>
      </x:c>
      <x:c r="G366" s="5"/>
      <x:c r="H366" s="11"/>
      <x:c r="I366" s="11" t="n">
        <x:f>'Cycles &amp; Guide'!$D$11</x:f>
        <x:v>46203</x:v>
      </x:c>
      <x:c r="J366" s="11"/>
      <x:c r="K366" s="29"/>
      <x:c r="L366" s="2" t="str">
        <x:f>IF(O366=1,"Complete",IF(A366,"Checklist open",IF(H366&lt;&gt;"","In progress","Not started")))</x:f>
        <x:v>Not started</x:v>
      </x:c>
      <x:c r="M366" s="2" t="str">
        <x:v>Task</x:v>
      </x:c>
      <x:c r="N366" s="2" t="str">
        <x:v>DR.RS.2.3.2026.CY2</x:v>
      </x:c>
      <x:c r="O366" s="2" t="n">
        <x:f>R366</x:f>
        <x:v>0</x:v>
      </x:c>
      <x:c r="P366" s="2"/>
      <x:c r="Q366" s="2" t="n">
        <x:v>1</x:v>
      </x:c>
      <x:c r="R366" s="2" t="n">
        <x:f>IF(A366,1,0)</x:f>
        <x:v>0</x:v>
      </x:c>
      <x:c r="S366" s="2" t="n">
        <x:f>SUBTOTAL(103,N366)</x:f>
        <x:v>1</x:v>
      </x:c>
    </x:row>
    <x:row r="367" ht="42" customHeight="1">
      <x:c r="A367" s="28" t="b">
        <x:v>0</x:v>
      </x:c>
      <x:c r="B367" s="2" t="str">
        <x:v>Cycle 2</x:v>
      </x:c>
      <x:c r="C367" s="2" t="str">
        <x:v>Phase 2</x:v>
      </x:c>
      <x:c r="D367" s="2" t="str">
        <x:v>Retail Services</x:v>
      </x:c>
      <x:c r="E367" s="56" t="str">
        <x:v>DR.RS.2.4</x:v>
      </x:c>
      <x:c r="F367" s="14" t="str">
        <x:v>Ensure data is free of errors and anomalies prior to hand-off to Research</x:v>
      </x:c>
      <x:c r="G367" s="5"/>
      <x:c r="H367" s="11"/>
      <x:c r="I367" s="11" t="n">
        <x:f>'Cycles &amp; Guide'!$D$11</x:f>
        <x:v>46203</x:v>
      </x:c>
      <x:c r="J367" s="11"/>
      <x:c r="K367" s="29"/>
      <x:c r="L367" s="2" t="str">
        <x:f>IF(O367=1,"Complete",IF(A367,"Checklist open",IF(H367&lt;&gt;"","In progress","Not started")))</x:f>
        <x:v>Not started</x:v>
      </x:c>
      <x:c r="M367" s="2" t="str">
        <x:v>Task</x:v>
      </x:c>
      <x:c r="N367" s="2" t="str">
        <x:v>DR.RS.2.4.2026.CY2</x:v>
      </x:c>
      <x:c r="O367" s="2" t="n">
        <x:f>R367</x:f>
        <x:v>0</x:v>
      </x:c>
      <x:c r="P367" s="2"/>
      <x:c r="Q367" s="2" t="n">
        <x:v>1</x:v>
      </x:c>
      <x:c r="R367" s="2" t="n">
        <x:f>IF(A367,1,0)</x:f>
        <x:v>0</x:v>
      </x:c>
      <x:c r="S367" s="2" t="n">
        <x:f>SUBTOTAL(103,N367)</x:f>
        <x:v>1</x:v>
      </x:c>
    </x:row>
    <x:row r="368" ht="42" customHeight="1">
      <x:c r="A368" s="28" t="b">
        <x:v>0</x:v>
      </x:c>
      <x:c r="B368" s="2" t="str">
        <x:v>Cycle 2</x:v>
      </x:c>
      <x:c r="C368" s="2" t="str">
        <x:v>Phase 2</x:v>
      </x:c>
      <x:c r="D368" s="2" t="str">
        <x:v>Retail Services</x:v>
      </x:c>
      <x:c r="E368" s="56" t="str">
        <x:v>DR.RS.2.5</x:v>
      </x:c>
      <x:c r="F368" s="14" t="str">
        <x:v>Ensure topic is not a duplicate from a previous Cycle</x:v>
      </x:c>
      <x:c r="G368" s="5"/>
      <x:c r="H368" s="11"/>
      <x:c r="I368" s="11" t="n">
        <x:f>'Cycles &amp; Guide'!$D$11</x:f>
        <x:v>46203</x:v>
      </x:c>
      <x:c r="J368" s="11"/>
      <x:c r="K368" s="29"/>
      <x:c r="L368" s="2" t="str">
        <x:f>IF(O368=1,"Complete",IF(A368,"Checklist open",IF(H368&lt;&gt;"","In progress","Not started")))</x:f>
        <x:v>Not started</x:v>
      </x:c>
      <x:c r="M368" s="2" t="str">
        <x:v>Task</x:v>
      </x:c>
      <x:c r="N368" s="2" t="str">
        <x:v>DR.RS.2.5.2026.CY2</x:v>
      </x:c>
      <x:c r="O368" s="2" t="n">
        <x:f>R368</x:f>
        <x:v>0</x:v>
      </x:c>
      <x:c r="P368" s="2"/>
      <x:c r="Q368" s="2" t="n">
        <x:v>1</x:v>
      </x:c>
      <x:c r="R368" s="2" t="n">
        <x:f>IF(A368,1,0)</x:f>
        <x:v>0</x:v>
      </x:c>
      <x:c r="S368" s="2" t="n">
        <x:f>SUBTOTAL(103,N368)</x:f>
        <x:v>1</x:v>
      </x:c>
    </x:row>
    <x:row r="369" ht="42" customHeight="1">
      <x:c r="A369" s="28" t="b">
        <x:v>0</x:v>
      </x:c>
      <x:c r="B369" s="2" t="str">
        <x:v>Cycle 2</x:v>
      </x:c>
      <x:c r="C369" s="2" t="str">
        <x:v>Phase 2</x:v>
      </x:c>
      <x:c r="D369" s="2" t="str">
        <x:v>Retail Services</x:v>
      </x:c>
      <x:c r="E369" s="56" t="str">
        <x:v>DR.RS.2.6</x:v>
      </x:c>
      <x:c r="F369" s="14" t="str">
        <x:v>Document clear distinctions between facts, assumptions, and hypotheses within the data package</x:v>
      </x:c>
      <x:c r="G369" s="5"/>
      <x:c r="H369" s="11"/>
      <x:c r="I369" s="11" t="n">
        <x:f>'Cycles &amp; Guide'!$D$11</x:f>
        <x:v>46203</x:v>
      </x:c>
      <x:c r="J369" s="11"/>
      <x:c r="K369" s="29"/>
      <x:c r="L369" s="2" t="str">
        <x:f>IF(O369=1,"Complete",IF(A369,"Checklist open",IF(H369&lt;&gt;"","In progress","Not started")))</x:f>
        <x:v>Not started</x:v>
      </x:c>
      <x:c r="M369" s="2" t="str">
        <x:v>Task</x:v>
      </x:c>
      <x:c r="N369" s="2" t="str">
        <x:v>DR.RS.2.6.2026.CY2</x:v>
      </x:c>
      <x:c r="O369" s="2" t="n">
        <x:f>R369</x:f>
        <x:v>0</x:v>
      </x:c>
      <x:c r="P369" s="2"/>
      <x:c r="Q369" s="2" t="n">
        <x:v>1</x:v>
      </x:c>
      <x:c r="R369" s="2" t="n">
        <x:f>IF(A369,1,0)</x:f>
        <x:v>0</x:v>
      </x:c>
      <x:c r="S369" s="2" t="n">
        <x:f>SUBTOTAL(103,N369)</x:f>
        <x:v>1</x:v>
      </x:c>
    </x:row>
    <x:row r="370" ht="42" customHeight="1">
      <x:c r="A370" s="28" t="b">
        <x:v>0</x:v>
      </x:c>
      <x:c r="B370" s="2" t="str">
        <x:v>Cycle 2</x:v>
      </x:c>
      <x:c r="C370" s="2" t="str">
        <x:v>Phase 3</x:v>
      </x:c>
      <x:c r="D370" s="2" t="str">
        <x:v>Retail Services</x:v>
      </x:c>
      <x:c r="E370" s="56" t="str">
        <x:v>DR.RS.3.1</x:v>
      </x:c>
      <x:c r="F370" s="14" t="str">
        <x:v>Clearly document rationale for each topic recommendation within the SharePoint list item</x:v>
      </x:c>
      <x:c r="G370" s="5"/>
      <x:c r="H370" s="11"/>
      <x:c r="I370" s="11" t="n">
        <x:f>'Cycles &amp; Guide'!$D$11</x:f>
        <x:v>46203</x:v>
      </x:c>
      <x:c r="J370" s="11"/>
      <x:c r="K370" s="29"/>
      <x:c r="L370" s="2" t="str">
        <x:f>IF(O370=1,"Complete",IF(A370,"Checklist open",IF(H370&lt;&gt;"","In progress","Not started")))</x:f>
        <x:v>Not started</x:v>
      </x:c>
      <x:c r="M370" s="2" t="str">
        <x:v>Task</x:v>
      </x:c>
      <x:c r="N370" s="2" t="str">
        <x:v>DR.RS.3.1.2026.CY2</x:v>
      </x:c>
      <x:c r="O370" s="2" t="n">
        <x:f>R370</x:f>
        <x:v>0</x:v>
      </x:c>
      <x:c r="P370" s="2"/>
      <x:c r="Q370" s="2" t="n">
        <x:v>1</x:v>
      </x:c>
      <x:c r="R370" s="2" t="n">
        <x:f>IF(A370,1,0)</x:f>
        <x:v>0</x:v>
      </x:c>
      <x:c r="S370" s="2" t="n">
        <x:f>SUBTOTAL(103,N370)</x:f>
        <x:v>1</x:v>
      </x:c>
    </x:row>
    <x:row r="371" ht="42" customHeight="1">
      <x:c r="A371" s="28" t="b">
        <x:v>0</x:v>
      </x:c>
      <x:c r="B371" s="2" t="str">
        <x:v>Cycle 2</x:v>
      </x:c>
      <x:c r="C371" s="2" t="str">
        <x:v>Phase 3</x:v>
      </x:c>
      <x:c r="D371" s="2" t="str">
        <x:v>Retail Services</x:v>
      </x:c>
      <x:c r="E371" s="56" t="str">
        <x:v>DR.RS.3.2</x:v>
      </x:c>
      <x:c r="F371" s="14" t="str">
        <x:v>Attach the data package for each topic recommendation within the SharePoint list item</x:v>
      </x:c>
      <x:c r="G371" s="5"/>
      <x:c r="H371" s="11"/>
      <x:c r="I371" s="11" t="n">
        <x:f>'Cycles &amp; Guide'!$D$11</x:f>
        <x:v>46203</x:v>
      </x:c>
      <x:c r="J371" s="11"/>
      <x:c r="K371" s="29"/>
      <x:c r="L371" s="2" t="str">
        <x:f>IF(O371=1,"Complete",IF(A371,"Checklist open",IF(H371&lt;&gt;"","In progress","Not started")))</x:f>
        <x:v>Not started</x:v>
      </x:c>
      <x:c r="M371" s="2" t="str">
        <x:v>Task</x:v>
      </x:c>
      <x:c r="N371" s="2" t="str">
        <x:v>DR.RS.3.2.2026.CY2</x:v>
      </x:c>
      <x:c r="O371" s="2" t="n">
        <x:f>R371</x:f>
        <x:v>0</x:v>
      </x:c>
      <x:c r="P371" s="2"/>
      <x:c r="Q371" s="2" t="n">
        <x:v>1</x:v>
      </x:c>
      <x:c r="R371" s="2" t="n">
        <x:f>IF(A371,1,0)</x:f>
        <x:v>0</x:v>
      </x:c>
      <x:c r="S371" s="2" t="n">
        <x:f>SUBTOTAL(103,N371)</x:f>
        <x:v>1</x:v>
      </x:c>
    </x:row>
    <x:row r="372" ht="42" customHeight="1">
      <x:c r="A372" s="28" t="b">
        <x:v>0</x:v>
      </x:c>
      <x:c r="B372" s="2" t="str">
        <x:v>Cycle 2</x:v>
      </x:c>
      <x:c r="C372" s="2" t="str">
        <x:v>Phase 3</x:v>
      </x:c>
      <x:c r="D372" s="2" t="str">
        <x:v>Retail Services</x:v>
      </x:c>
      <x:c r="E372" s="56" t="str">
        <x:v>DR.RS.3.3</x:v>
      </x:c>
      <x:c r="F372" s="14" t="str">
        <x:v>Confirm data privileges have been granted, ensuring each pillar can access</x:v>
      </x:c>
      <x:c r="G372" s="5"/>
      <x:c r="H372" s="11"/>
      <x:c r="I372" s="11" t="n">
        <x:f>'Cycles &amp; Guide'!$D$11</x:f>
        <x:v>46203</x:v>
      </x:c>
      <x:c r="J372" s="11"/>
      <x:c r="K372" s="29"/>
      <x:c r="L372" s="2" t="str">
        <x:f>IF(O372=1,"Complete",IF(A372,"Checklist open",IF(H372&lt;&gt;"","In progress","Not started")))</x:f>
        <x:v>Not started</x:v>
      </x:c>
      <x:c r="M372" s="2" t="str">
        <x:v>Task</x:v>
      </x:c>
      <x:c r="N372" s="2" t="str">
        <x:v>DR.RS.3.3.2026.CY2</x:v>
      </x:c>
      <x:c r="O372" s="2" t="n">
        <x:f>R372</x:f>
        <x:v>0</x:v>
      </x:c>
      <x:c r="P372" s="2"/>
      <x:c r="Q372" s="2" t="n">
        <x:v>1</x:v>
      </x:c>
      <x:c r="R372" s="2" t="n">
        <x:f>IF(A372,1,0)</x:f>
        <x:v>0</x:v>
      </x:c>
      <x:c r="S372" s="2" t="n">
        <x:f>SUBTOTAL(103,N372)</x:f>
        <x:v>1</x:v>
      </x:c>
    </x:row>
    <x:row r="373" ht="42" customHeight="1">
      <x:c r="A373" s="28" t="b">
        <x:v>0</x:v>
      </x:c>
      <x:c r="B373" s="2" t="str">
        <x:v>Cycle 2</x:v>
      </x:c>
      <x:c r="C373" s="2" t="str">
        <x:v>Phase 3</x:v>
      </x:c>
      <x:c r="D373" s="2" t="str">
        <x:v>Retail Services</x:v>
      </x:c>
      <x:c r="E373" s="56" t="str">
        <x:v>DR.RS.3.4</x:v>
      </x:c>
      <x:c r="F373" s="14" t="str">
        <x:v>Ensure Power Automate notifications were correctly triggered within Microsoft Teams</x:v>
      </x:c>
      <x:c r="G373" s="5"/>
      <x:c r="H373" s="11"/>
      <x:c r="I373" s="11" t="n">
        <x:f>'Cycles &amp; Guide'!$D$11</x:f>
        <x:v>46203</x:v>
      </x:c>
      <x:c r="J373" s="11"/>
      <x:c r="K373" s="29"/>
      <x:c r="L373" s="2" t="str">
        <x:f>IF(O373=1,"Complete",IF(A373,"Checklist open",IF(H373&lt;&gt;"","In progress","Not started")))</x:f>
        <x:v>Not started</x:v>
      </x:c>
      <x:c r="M373" s="2" t="str">
        <x:v>Task</x:v>
      </x:c>
      <x:c r="N373" s="2" t="str">
        <x:v>DR.RS.3.4.2026.CY2</x:v>
      </x:c>
      <x:c r="O373" s="2" t="n">
        <x:f>R373</x:f>
        <x:v>0</x:v>
      </x:c>
      <x:c r="P373" s="2"/>
      <x:c r="Q373" s="2" t="n">
        <x:v>1</x:v>
      </x:c>
      <x:c r="R373" s="2" t="n">
        <x:f>IF(A373,1,0)</x:f>
        <x:v>0</x:v>
      </x:c>
      <x:c r="S373" s="2" t="n">
        <x:f>SUBTOTAL(103,N373)</x:f>
        <x:v>1</x:v>
      </x:c>
    </x:row>
    <x:row r="374" ht="42" customHeight="1">
      <x:c r="A374" s="28" t="b">
        <x:v>0</x:v>
      </x:c>
      <x:c r="B374" s="2" t="str">
        <x:v>Cycle 3</x:v>
      </x:c>
      <x:c r="C374" s="2" t="str">
        <x:v>Phase 1</x:v>
      </x:c>
      <x:c r="D374" s="2" t="str">
        <x:v>Auto</x:v>
      </x:c>
      <x:c r="E374" s="56" t="str">
        <x:v>DR.AU.1.1</x:v>
      </x:c>
      <x:c r="F374" s="14" t="str">
        <x:v>Review data sources 3 weeks prior to Cycle start (Complaints, Gen AI, Loudspeaker, NPS, etc.)</x:v>
      </x:c>
      <x:c r="G374" s="5"/>
      <x:c r="H374" s="11"/>
      <x:c r="I374" s="11" t="n">
        <x:f>'Cycles &amp; Guide'!$C$12-21</x:f>
        <x:v>46183</x:v>
      </x:c>
      <x:c r="J374" s="11"/>
      <x:c r="K374" s="29"/>
      <x:c r="L374" s="2" t="str">
        <x:f>IF(O374=1,"Complete",IF(A374,"Checklist open",IF(H374&lt;&gt;"","In progress","Not started")))</x:f>
        <x:v>Not started</x:v>
      </x:c>
      <x:c r="M374" s="2" t="str">
        <x:v>Task</x:v>
      </x:c>
      <x:c r="N374" s="2" t="str">
        <x:v>DR.AU.1.1.2026.CY3</x:v>
      </x:c>
      <x:c r="O374" s="2" t="n">
        <x:f>R374</x:f>
        <x:v>0</x:v>
      </x:c>
      <x:c r="P374" s="2"/>
      <x:c r="Q374" s="2" t="n">
        <x:v>1</x:v>
      </x:c>
      <x:c r="R374" s="2" t="n">
        <x:f>IF(A374,1,0)</x:f>
        <x:v>0</x:v>
      </x:c>
      <x:c r="S374" s="2" t="n">
        <x:f>SUBTOTAL(103,N374)</x:f>
        <x:v>1</x:v>
      </x:c>
    </x:row>
    <x:row r="375" ht="42" customHeight="1">
      <x:c r="A375" s="28" t="b">
        <x:v>0</x:v>
      </x:c>
      <x:c r="B375" s="2" t="str">
        <x:v>Cycle 3</x:v>
      </x:c>
      <x:c r="C375" s="2" t="str">
        <x:v>Phase 1</x:v>
      </x:c>
      <x:c r="D375" s="2" t="str">
        <x:v>Auto</x:v>
      </x:c>
      <x:c r="E375" s="56" t="str">
        <x:v>DR.AU.1.2</x:v>
      </x:c>
      <x:c r="F375" s="14" t="str">
        <x:v>Identify two potential topics for the upcoming Cycle</x:v>
      </x:c>
      <x:c r="G375" s="5"/>
      <x:c r="H375" s="11"/>
      <x:c r="I375" s="11" t="n">
        <x:f>'Cycles &amp; Guide'!$D$12</x:f>
        <x:v>46295</x:v>
      </x:c>
      <x:c r="J375" s="11"/>
      <x:c r="K375" s="29"/>
      <x:c r="L375" s="2" t="str">
        <x:f>IF(O375=1,"Complete",IF(A375,"Checklist open",IF(H375&lt;&gt;"","In progress","Not started")))</x:f>
        <x:v>Not started</x:v>
      </x:c>
      <x:c r="M375" s="2" t="str">
        <x:v>Task</x:v>
      </x:c>
      <x:c r="N375" s="2" t="str">
        <x:v>DR.AU.1.2.2026.CY3</x:v>
      </x:c>
      <x:c r="O375" s="2" t="n">
        <x:f>R375</x:f>
        <x:v>0</x:v>
      </x:c>
      <x:c r="P375" s="2"/>
      <x:c r="Q375" s="2" t="n">
        <x:v>1</x:v>
      </x:c>
      <x:c r="R375" s="2" t="n">
        <x:f>IF(A375,1,0)</x:f>
        <x:v>0</x:v>
      </x:c>
      <x:c r="S375" s="2" t="n">
        <x:f>SUBTOTAL(103,N375)</x:f>
        <x:v>1</x:v>
      </x:c>
    </x:row>
    <x:row r="376" ht="42" customHeight="1">
      <x:c r="A376" s="28" t="b">
        <x:v>0</x:v>
      </x:c>
      <x:c r="B376" s="2" t="str">
        <x:v>Cycle 3</x:v>
      </x:c>
      <x:c r="C376" s="2" t="str">
        <x:v>Phase 1</x:v>
      </x:c>
      <x:c r="D376" s="2" t="str">
        <x:v>Auto</x:v>
      </x:c>
      <x:c r="E376" s="68" t="str">
        <x:v>DR.AU.1.3</x:v>
      </x:c>
      <x:c r="F376" s="33" t="str">
        <x:v>Extract data for both potential topics, ensuring all checklist items below are included/completed</x:v>
      </x:c>
      <x:c r="G376" s="5"/>
      <x:c r="H376" s="11"/>
      <x:c r="I376" s="11" t="n">
        <x:f>'Cycles &amp; Guide'!$D$12</x:f>
        <x:v>46295</x:v>
      </x:c>
      <x:c r="J376" s="11"/>
      <x:c r="K376" s="29"/>
      <x:c r="L376" s="2" t="str">
        <x:f>IF(O376=1,"Complete",IF(A376,"Checklist open",IF(H376&lt;&gt;"","In progress","Not started")))</x:f>
        <x:v>Not started</x:v>
      </x:c>
      <x:c r="M376" s="2" t="str">
        <x:v>Task</x:v>
      </x:c>
      <x:c r="N376" s="2" t="str">
        <x:v>DR.AU.1.3.2026.CY3</x:v>
      </x:c>
      <x:c r="O376" s="2" t="n">
        <x:f>IF(A376,IF(SUMIFS($R$10:$R$737,$P$10:$P$737,N376)=13,1,0),0)</x:f>
        <x:v>0</x:v>
      </x:c>
      <x:c r="P376" s="2"/>
      <x:c r="Q376" s="2" t="n">
        <x:v>1</x:v>
      </x:c>
      <x:c r="R376" s="2" t="n">
        <x:f>IF(A376,1,0)</x:f>
        <x:v>0</x:v>
      </x:c>
      <x:c r="S376" s="2" t="n">
        <x:f>SUBTOTAL(103,N376)</x:f>
        <x:v>1</x:v>
      </x:c>
    </x:row>
    <x:row r="377" ht="31" customHeight="1" outlineLevel="1">
      <x:c r="A377" s="28" t="b">
        <x:v>0</x:v>
      </x:c>
      <x:c r="B377" s="36" t="str">
        <x:v>Cycle 3</x:v>
      </x:c>
      <x:c r="C377" s="36" t="str">
        <x:v>Phase 1</x:v>
      </x:c>
      <x:c r="D377" s="36" t="str">
        <x:v>Auto</x:v>
      </x:c>
      <x:c r="E377" s="69" t="str">
        <x:v>DR.AU.1.3.C01</x:v>
      </x:c>
      <x:c r="F377" s="37" t="str">
        <x:v>    Document date range extracted</x:v>
      </x:c>
      <x:c r="G377" s="5"/>
      <x:c r="H377" s="11"/>
      <x:c r="I377" s="11"/>
      <x:c r="J377" s="11"/>
      <x:c r="K377" s="29"/>
      <x:c r="L377" s="2" t="str">
        <x:f>IF(A377,"Complete","Open check")</x:f>
        <x:v>Open check</x:v>
      </x:c>
      <x:c r="M377" s="2" t="str">
        <x:v>Checklist</x:v>
      </x:c>
      <x:c r="N377" s="2" t="str">
        <x:v>DR.AU.1.3.C01.2026.CY3</x:v>
      </x:c>
      <x:c r="O377" s="2" t="n">
        <x:f>R377</x:f>
        <x:v>0</x:v>
      </x:c>
      <x:c r="P377" s="2" t="str">
        <x:v>DR.AU.1.3.2026.CY3</x:v>
      </x:c>
      <x:c r="Q377" s="2" t="n">
        <x:v>0</x:v>
      </x:c>
      <x:c r="R377" s="2" t="n">
        <x:f>IF(A377,1,0)</x:f>
        <x:v>0</x:v>
      </x:c>
      <x:c r="S377" s="2" t="n">
        <x:f>SUBTOTAL(103,N377)</x:f>
        <x:v>1</x:v>
      </x:c>
    </x:row>
    <x:row r="378" ht="31" customHeight="1" outlineLevel="1">
      <x:c r="A378" s="28" t="b">
        <x:v>0</x:v>
      </x:c>
      <x:c r="B378" s="36" t="str">
        <x:v>Cycle 3</x:v>
      </x:c>
      <x:c r="C378" s="36" t="str">
        <x:v>Phase 1</x:v>
      </x:c>
      <x:c r="D378" s="36" t="str">
        <x:v>Auto</x:v>
      </x:c>
      <x:c r="E378" s="69" t="str">
        <x:v>DR.AU.1.3.C02</x:v>
      </x:c>
      <x:c r="F378" s="37" t="str">
        <x:v>    Document date of data pull</x:v>
      </x:c>
      <x:c r="G378" s="5"/>
      <x:c r="H378" s="11"/>
      <x:c r="I378" s="11"/>
      <x:c r="J378" s="11"/>
      <x:c r="K378" s="29"/>
      <x:c r="L378" s="2" t="str">
        <x:f>IF(A378,"Complete","Open check")</x:f>
        <x:v>Open check</x:v>
      </x:c>
      <x:c r="M378" s="2" t="str">
        <x:v>Checklist</x:v>
      </x:c>
      <x:c r="N378" s="2" t="str">
        <x:v>DR.AU.1.3.C02.2026.CY3</x:v>
      </x:c>
      <x:c r="O378" s="2" t="n">
        <x:f>R378</x:f>
        <x:v>0</x:v>
      </x:c>
      <x:c r="P378" s="2" t="str">
        <x:v>DR.AU.1.3.2026.CY3</x:v>
      </x:c>
      <x:c r="Q378" s="2" t="n">
        <x:v>0</x:v>
      </x:c>
      <x:c r="R378" s="2" t="n">
        <x:f>IF(A378,1,0)</x:f>
        <x:v>0</x:v>
      </x:c>
      <x:c r="S378" s="2" t="n">
        <x:f>SUBTOTAL(103,N378)</x:f>
        <x:v>1</x:v>
      </x:c>
    </x:row>
    <x:row r="379" ht="31" customHeight="1" outlineLevel="1">
      <x:c r="A379" s="28" t="b">
        <x:v>0</x:v>
      </x:c>
      <x:c r="B379" s="36" t="str">
        <x:v>Cycle 3</x:v>
      </x:c>
      <x:c r="C379" s="36" t="str">
        <x:v>Phase 1</x:v>
      </x:c>
      <x:c r="D379" s="36" t="str">
        <x:v>Auto</x:v>
      </x:c>
      <x:c r="E379" s="69" t="str">
        <x:v>DR.AU.1.3.C03</x:v>
      </x:c>
      <x:c r="F379" s="37" t="str">
        <x:v>    Document population details</x:v>
      </x:c>
      <x:c r="G379" s="5"/>
      <x:c r="H379" s="11"/>
      <x:c r="I379" s="11"/>
      <x:c r="J379" s="11"/>
      <x:c r="K379" s="29"/>
      <x:c r="L379" s="2" t="str">
        <x:f>IF(A379,"Complete","Open check")</x:f>
        <x:v>Open check</x:v>
      </x:c>
      <x:c r="M379" s="2" t="str">
        <x:v>Checklist</x:v>
      </x:c>
      <x:c r="N379" s="2" t="str">
        <x:v>DR.AU.1.3.C03.2026.CY3</x:v>
      </x:c>
      <x:c r="O379" s="2" t="n">
        <x:f>R379</x:f>
        <x:v>0</x:v>
      </x:c>
      <x:c r="P379" s="2" t="str">
        <x:v>DR.AU.1.3.2026.CY3</x:v>
      </x:c>
      <x:c r="Q379" s="2" t="n">
        <x:v>0</x:v>
      </x:c>
      <x:c r="R379" s="2" t="n">
        <x:f>IF(A379,1,0)</x:f>
        <x:v>0</x:v>
      </x:c>
      <x:c r="S379" s="2" t="n">
        <x:f>SUBTOTAL(103,N379)</x:f>
        <x:v>1</x:v>
      </x:c>
    </x:row>
    <x:row r="380" ht="31" customHeight="1" outlineLevel="1">
      <x:c r="A380" s="28" t="b">
        <x:v>0</x:v>
      </x:c>
      <x:c r="B380" s="36" t="str">
        <x:v>Cycle 3</x:v>
      </x:c>
      <x:c r="C380" s="36" t="str">
        <x:v>Phase 1</x:v>
      </x:c>
      <x:c r="D380" s="36" t="str">
        <x:v>Auto</x:v>
      </x:c>
      <x:c r="E380" s="69" t="str">
        <x:v>DR.AU.1.3.C04</x:v>
      </x:c>
      <x:c r="F380" s="37" t="str">
        <x:v>    Validate no data is missing</x:v>
      </x:c>
      <x:c r="G380" s="5"/>
      <x:c r="H380" s="11"/>
      <x:c r="I380" s="11"/>
      <x:c r="J380" s="11"/>
      <x:c r="K380" s="29"/>
      <x:c r="L380" s="2" t="str">
        <x:f>IF(A380,"Complete","Open check")</x:f>
        <x:v>Open check</x:v>
      </x:c>
      <x:c r="M380" s="2" t="str">
        <x:v>Checklist</x:v>
      </x:c>
      <x:c r="N380" s="2" t="str">
        <x:v>DR.AU.1.3.C04.2026.CY3</x:v>
      </x:c>
      <x:c r="O380" s="2" t="n">
        <x:f>R380</x:f>
        <x:v>0</x:v>
      </x:c>
      <x:c r="P380" s="2" t="str">
        <x:v>DR.AU.1.3.2026.CY3</x:v>
      </x:c>
      <x:c r="Q380" s="2" t="n">
        <x:v>0</x:v>
      </x:c>
      <x:c r="R380" s="2" t="n">
        <x:f>IF(A380,1,0)</x:f>
        <x:v>0</x:v>
      </x:c>
      <x:c r="S380" s="2" t="n">
        <x:f>SUBTOTAL(103,N380)</x:f>
        <x:v>1</x:v>
      </x:c>
    </x:row>
    <x:row r="381" ht="31" customHeight="1" outlineLevel="1">
      <x:c r="A381" s="28" t="b">
        <x:v>0</x:v>
      </x:c>
      <x:c r="B381" s="36" t="str">
        <x:v>Cycle 3</x:v>
      </x:c>
      <x:c r="C381" s="36" t="str">
        <x:v>Phase 1</x:v>
      </x:c>
      <x:c r="D381" s="36" t="str">
        <x:v>Auto</x:v>
      </x:c>
      <x:c r="E381" s="69" t="str">
        <x:v>DR.AU.1.3.C05</x:v>
      </x:c>
      <x:c r="F381" s="37" t="str">
        <x:v>    Validate accuracy of data</x:v>
      </x:c>
      <x:c r="G381" s="5"/>
      <x:c r="H381" s="11"/>
      <x:c r="I381" s="11"/>
      <x:c r="J381" s="11"/>
      <x:c r="K381" s="29"/>
      <x:c r="L381" s="2" t="str">
        <x:f>IF(A381,"Complete","Open check")</x:f>
        <x:v>Open check</x:v>
      </x:c>
      <x:c r="M381" s="2" t="str">
        <x:v>Checklist</x:v>
      </x:c>
      <x:c r="N381" s="2" t="str">
        <x:v>DR.AU.1.3.C05.2026.CY3</x:v>
      </x:c>
      <x:c r="O381" s="2" t="n">
        <x:f>R381</x:f>
        <x:v>0</x:v>
      </x:c>
      <x:c r="P381" s="2" t="str">
        <x:v>DR.AU.1.3.2026.CY3</x:v>
      </x:c>
      <x:c r="Q381" s="2" t="n">
        <x:v>0</x:v>
      </x:c>
      <x:c r="R381" s="2" t="n">
        <x:f>IF(A381,1,0)</x:f>
        <x:v>0</x:v>
      </x:c>
      <x:c r="S381" s="2" t="n">
        <x:f>SUBTOTAL(103,N381)</x:f>
        <x:v>1</x:v>
      </x:c>
    </x:row>
    <x:row r="382" ht="31" customHeight="1" outlineLevel="1">
      <x:c r="A382" s="28" t="b">
        <x:v>0</x:v>
      </x:c>
      <x:c r="B382" s="36" t="str">
        <x:v>Cycle 3</x:v>
      </x:c>
      <x:c r="C382" s="36" t="str">
        <x:v>Phase 1</x:v>
      </x:c>
      <x:c r="D382" s="36" t="str">
        <x:v>Auto</x:v>
      </x:c>
      <x:c r="E382" s="69" t="str">
        <x:v>DR.AU.1.3.C06</x:v>
      </x:c>
      <x:c r="F382" s="37" t="str">
        <x:v>    Validate no duplicate data is provided</x:v>
      </x:c>
      <x:c r="G382" s="5"/>
      <x:c r="H382" s="11"/>
      <x:c r="I382" s="11"/>
      <x:c r="J382" s="11"/>
      <x:c r="K382" s="29"/>
      <x:c r="L382" s="2" t="str">
        <x:f>IF(A382,"Complete","Open check")</x:f>
        <x:v>Open check</x:v>
      </x:c>
      <x:c r="M382" s="2" t="str">
        <x:v>Checklist</x:v>
      </x:c>
      <x:c r="N382" s="2" t="str">
        <x:v>DR.AU.1.3.C06.2026.CY3</x:v>
      </x:c>
      <x:c r="O382" s="2" t="n">
        <x:f>R382</x:f>
        <x:v>0</x:v>
      </x:c>
      <x:c r="P382" s="2" t="str">
        <x:v>DR.AU.1.3.2026.CY3</x:v>
      </x:c>
      <x:c r="Q382" s="2" t="n">
        <x:v>0</x:v>
      </x:c>
      <x:c r="R382" s="2" t="n">
        <x:f>IF(A382,1,0)</x:f>
        <x:v>0</x:v>
      </x:c>
      <x:c r="S382" s="2" t="n">
        <x:f>SUBTOTAL(103,N382)</x:f>
        <x:v>1</x:v>
      </x:c>
    </x:row>
    <x:row r="383" ht="31" customHeight="1" outlineLevel="1">
      <x:c r="A383" s="28" t="b">
        <x:v>0</x:v>
      </x:c>
      <x:c r="B383" s="36" t="str">
        <x:v>Cycle 3</x:v>
      </x:c>
      <x:c r="C383" s="36" t="str">
        <x:v>Phase 1</x:v>
      </x:c>
      <x:c r="D383" s="36" t="str">
        <x:v>Auto</x:v>
      </x:c>
      <x:c r="E383" s="69" t="str">
        <x:v>DR.AU.1.3.C07</x:v>
      </x:c>
      <x:c r="F383" s="37" t="str">
        <x:v>    Document any data exclusions along with justification (as needed)</x:v>
      </x:c>
      <x:c r="G383" s="5"/>
      <x:c r="H383" s="11"/>
      <x:c r="I383" s="11"/>
      <x:c r="J383" s="11"/>
      <x:c r="K383" s="29"/>
      <x:c r="L383" s="2" t="str">
        <x:f>IF(A383,"Complete","Open check")</x:f>
        <x:v>Open check</x:v>
      </x:c>
      <x:c r="M383" s="2" t="str">
        <x:v>Checklist</x:v>
      </x:c>
      <x:c r="N383" s="2" t="str">
        <x:v>DR.AU.1.3.C07.2026.CY3</x:v>
      </x:c>
      <x:c r="O383" s="2" t="n">
        <x:f>R383</x:f>
        <x:v>0</x:v>
      </x:c>
      <x:c r="P383" s="2" t="str">
        <x:v>DR.AU.1.3.2026.CY3</x:v>
      </x:c>
      <x:c r="Q383" s="2" t="n">
        <x:v>0</x:v>
      </x:c>
      <x:c r="R383" s="2" t="n">
        <x:f>IF(A383,1,0)</x:f>
        <x:v>0</x:v>
      </x:c>
      <x:c r="S383" s="2" t="n">
        <x:f>SUBTOTAL(103,N383)</x:f>
        <x:v>1</x:v>
      </x:c>
    </x:row>
    <x:row r="384" ht="31" customHeight="1" outlineLevel="1">
      <x:c r="A384" s="28" t="b">
        <x:v>0</x:v>
      </x:c>
      <x:c r="B384" s="36" t="str">
        <x:v>Cycle 3</x:v>
      </x:c>
      <x:c r="C384" s="36" t="str">
        <x:v>Phase 1</x:v>
      </x:c>
      <x:c r="D384" s="36" t="str">
        <x:v>Auto</x:v>
      </x:c>
      <x:c r="E384" s="69" t="str">
        <x:v>DR.AU.1.3.C08</x:v>
      </x:c>
      <x:c r="F384" s="37" t="str">
        <x:v>    Document any assumptions made with the data (as needed)</x:v>
      </x:c>
      <x:c r="G384" s="5"/>
      <x:c r="H384" s="11"/>
      <x:c r="I384" s="11"/>
      <x:c r="J384" s="11"/>
      <x:c r="K384" s="29"/>
      <x:c r="L384" s="2" t="str">
        <x:f>IF(A384,"Complete","Open check")</x:f>
        <x:v>Open check</x:v>
      </x:c>
      <x:c r="M384" s="2" t="str">
        <x:v>Checklist</x:v>
      </x:c>
      <x:c r="N384" s="2" t="str">
        <x:v>DR.AU.1.3.C08.2026.CY3</x:v>
      </x:c>
      <x:c r="O384" s="2" t="n">
        <x:f>R384</x:f>
        <x:v>0</x:v>
      </x:c>
      <x:c r="P384" s="2" t="str">
        <x:v>DR.AU.1.3.2026.CY3</x:v>
      </x:c>
      <x:c r="Q384" s="2" t="n">
        <x:v>0</x:v>
      </x:c>
      <x:c r="R384" s="2" t="n">
        <x:f>IF(A384,1,0)</x:f>
        <x:v>0</x:v>
      </x:c>
      <x:c r="S384" s="2" t="n">
        <x:f>SUBTOTAL(103,N384)</x:f>
        <x:v>1</x:v>
      </x:c>
    </x:row>
    <x:row r="385" ht="31" customHeight="1" outlineLevel="1">
      <x:c r="A385" s="28" t="b">
        <x:v>0</x:v>
      </x:c>
      <x:c r="B385" s="36" t="str">
        <x:v>Cycle 3</x:v>
      </x:c>
      <x:c r="C385" s="36" t="str">
        <x:v>Phase 1</x:v>
      </x:c>
      <x:c r="D385" s="36" t="str">
        <x:v>Auto</x:v>
      </x:c>
      <x:c r="E385" s="69" t="str">
        <x:v>DR.AU.1.3.C09</x:v>
      </x:c>
      <x:c r="F385" s="37" t="str">
        <x:v>    Document any data limitations or constraints clearly (as needed)</x:v>
      </x:c>
      <x:c r="G385" s="5"/>
      <x:c r="H385" s="11"/>
      <x:c r="I385" s="11"/>
      <x:c r="J385" s="11"/>
      <x:c r="K385" s="29"/>
      <x:c r="L385" s="2" t="str">
        <x:f>IF(A385,"Complete","Open check")</x:f>
        <x:v>Open check</x:v>
      </x:c>
      <x:c r="M385" s="2" t="str">
        <x:v>Checklist</x:v>
      </x:c>
      <x:c r="N385" s="2" t="str">
        <x:v>DR.AU.1.3.C09.2026.CY3</x:v>
      </x:c>
      <x:c r="O385" s="2" t="n">
        <x:f>R385</x:f>
        <x:v>0</x:v>
      </x:c>
      <x:c r="P385" s="2" t="str">
        <x:v>DR.AU.1.3.2026.CY3</x:v>
      </x:c>
      <x:c r="Q385" s="2" t="n">
        <x:v>0</x:v>
      </x:c>
      <x:c r="R385" s="2" t="n">
        <x:f>IF(A385,1,0)</x:f>
        <x:v>0</x:v>
      </x:c>
      <x:c r="S385" s="2" t="n">
        <x:f>SUBTOTAL(103,N385)</x:f>
        <x:v>1</x:v>
      </x:c>
    </x:row>
    <x:row r="386" ht="31" customHeight="1" outlineLevel="1">
      <x:c r="A386" s="28" t="b">
        <x:v>0</x:v>
      </x:c>
      <x:c r="B386" s="36" t="str">
        <x:v>Cycle 3</x:v>
      </x:c>
      <x:c r="C386" s="36" t="str">
        <x:v>Phase 1</x:v>
      </x:c>
      <x:c r="D386" s="36" t="str">
        <x:v>Auto</x:v>
      </x:c>
      <x:c r="E386" s="69" t="str">
        <x:v>DR.AU.1.3.C10</x:v>
      </x:c>
      <x:c r="F386" s="37" t="str">
        <x:v>    Document data dictionary or field definitions for columns/rows</x:v>
      </x:c>
      <x:c r="G386" s="5"/>
      <x:c r="H386" s="11"/>
      <x:c r="I386" s="11"/>
      <x:c r="J386" s="11"/>
      <x:c r="K386" s="29"/>
      <x:c r="L386" s="2" t="str">
        <x:f>IF(A386,"Complete","Open check")</x:f>
        <x:v>Open check</x:v>
      </x:c>
      <x:c r="M386" s="2" t="str">
        <x:v>Checklist</x:v>
      </x:c>
      <x:c r="N386" s="2" t="str">
        <x:v>DR.AU.1.3.C10.2026.CY3</x:v>
      </x:c>
      <x:c r="O386" s="2" t="n">
        <x:f>R386</x:f>
        <x:v>0</x:v>
      </x:c>
      <x:c r="P386" s="2" t="str">
        <x:v>DR.AU.1.3.2026.CY3</x:v>
      </x:c>
      <x:c r="Q386" s="2" t="n">
        <x:v>0</x:v>
      </x:c>
      <x:c r="R386" s="2" t="n">
        <x:f>IF(A386,1,0)</x:f>
        <x:v>0</x:v>
      </x:c>
      <x:c r="S386" s="2" t="n">
        <x:f>SUBTOTAL(103,N386)</x:f>
        <x:v>1</x:v>
      </x:c>
    </x:row>
    <x:row r="387" ht="31" customHeight="1" outlineLevel="1">
      <x:c r="A387" s="28" t="b">
        <x:v>0</x:v>
      </x:c>
      <x:c r="B387" s="36" t="str">
        <x:v>Cycle 3</x:v>
      </x:c>
      <x:c r="C387" s="36" t="str">
        <x:v>Phase 1</x:v>
      </x:c>
      <x:c r="D387" s="36" t="str">
        <x:v>Auto</x:v>
      </x:c>
      <x:c r="E387" s="69" t="str">
        <x:v>DR.AU.1.3.C11</x:v>
      </x:c>
      <x:c r="F387" s="37" t="str">
        <x:v>    Document emerging trends, patterns, or concentrations along with supporting data</x:v>
      </x:c>
      <x:c r="G387" s="5"/>
      <x:c r="H387" s="11"/>
      <x:c r="I387" s="11"/>
      <x:c r="J387" s="11"/>
      <x:c r="K387" s="29"/>
      <x:c r="L387" s="2" t="str">
        <x:f>IF(A387,"Complete","Open check")</x:f>
        <x:v>Open check</x:v>
      </x:c>
      <x:c r="M387" s="2" t="str">
        <x:v>Checklist</x:v>
      </x:c>
      <x:c r="N387" s="2" t="str">
        <x:v>DR.AU.1.3.C11.2026.CY3</x:v>
      </x:c>
      <x:c r="O387" s="2" t="n">
        <x:f>R387</x:f>
        <x:v>0</x:v>
      </x:c>
      <x:c r="P387" s="2" t="str">
        <x:v>DR.AU.1.3.2026.CY3</x:v>
      </x:c>
      <x:c r="Q387" s="2" t="n">
        <x:v>0</x:v>
      </x:c>
      <x:c r="R387" s="2" t="n">
        <x:f>IF(A387,1,0)</x:f>
        <x:v>0</x:v>
      </x:c>
      <x:c r="S387" s="2" t="n">
        <x:f>SUBTOTAL(103,N387)</x:f>
        <x:v>1</x:v>
      </x:c>
    </x:row>
    <x:row r="388" ht="31" customHeight="1" outlineLevel="1">
      <x:c r="A388" s="28" t="b">
        <x:v>0</x:v>
      </x:c>
      <x:c r="B388" s="36" t="str">
        <x:v>Cycle 3</x:v>
      </x:c>
      <x:c r="C388" s="36" t="str">
        <x:v>Phase 1</x:v>
      </x:c>
      <x:c r="D388" s="36" t="str">
        <x:v>Auto</x:v>
      </x:c>
      <x:c r="E388" s="69" t="str">
        <x:v>DR.AU.1.3.C12</x:v>
      </x:c>
      <x:c r="F388" s="37" t="str">
        <x:v>    Document any severe spikes in volume along with context (as needed)</x:v>
      </x:c>
      <x:c r="G388" s="5"/>
      <x:c r="H388" s="11"/>
      <x:c r="I388" s="11"/>
      <x:c r="J388" s="11"/>
      <x:c r="K388" s="29"/>
      <x:c r="L388" s="2" t="str">
        <x:f>IF(A388,"Complete","Open check")</x:f>
        <x:v>Open check</x:v>
      </x:c>
      <x:c r="M388" s="2" t="str">
        <x:v>Checklist</x:v>
      </x:c>
      <x:c r="N388" s="2" t="str">
        <x:v>DR.AU.1.3.C12.2026.CY3</x:v>
      </x:c>
      <x:c r="O388" s="2" t="n">
        <x:f>R388</x:f>
        <x:v>0</x:v>
      </x:c>
      <x:c r="P388" s="2" t="str">
        <x:v>DR.AU.1.3.2026.CY3</x:v>
      </x:c>
      <x:c r="Q388" s="2" t="n">
        <x:v>0</x:v>
      </x:c>
      <x:c r="R388" s="2" t="n">
        <x:f>IF(A388,1,0)</x:f>
        <x:v>0</x:v>
      </x:c>
      <x:c r="S388" s="2" t="n">
        <x:f>SUBTOTAL(103,N388)</x:f>
        <x:v>1</x:v>
      </x:c>
    </x:row>
    <x:row r="389" ht="31" customHeight="1" outlineLevel="1">
      <x:c r="A389" s="28" t="b">
        <x:v>0</x:v>
      </x:c>
      <x:c r="B389" s="36" t="str">
        <x:v>Cycle 3</x:v>
      </x:c>
      <x:c r="C389" s="36" t="str">
        <x:v>Phase 1</x:v>
      </x:c>
      <x:c r="D389" s="36" t="str">
        <x:v>Auto</x:v>
      </x:c>
      <x:c r="E389" s="69" t="str">
        <x:v>DR.AU.1.3.C13</x:v>
      </x:c>
      <x:c r="F389" s="37" t="str">
        <x:v>    Document clear summary explaining how the data connects to the potential topic</x:v>
      </x:c>
      <x:c r="G389" s="5"/>
      <x:c r="H389" s="11"/>
      <x:c r="I389" s="11"/>
      <x:c r="J389" s="11"/>
      <x:c r="K389" s="29"/>
      <x:c r="L389" s="2" t="str">
        <x:f>IF(A389,"Complete","Open check")</x:f>
        <x:v>Open check</x:v>
      </x:c>
      <x:c r="M389" s="2" t="str">
        <x:v>Checklist</x:v>
      </x:c>
      <x:c r="N389" s="2" t="str">
        <x:v>DR.AU.1.3.C13.2026.CY3</x:v>
      </x:c>
      <x:c r="O389" s="2" t="n">
        <x:f>R389</x:f>
        <x:v>0</x:v>
      </x:c>
      <x:c r="P389" s="2" t="str">
        <x:v>DR.AU.1.3.2026.CY3</x:v>
      </x:c>
      <x:c r="Q389" s="2" t="n">
        <x:v>0</x:v>
      </x:c>
      <x:c r="R389" s="2" t="n">
        <x:f>IF(A389,1,0)</x:f>
        <x:v>0</x:v>
      </x:c>
      <x:c r="S389" s="2" t="n">
        <x:f>SUBTOTAL(103,N389)</x:f>
        <x:v>1</x:v>
      </x:c>
    </x:row>
    <x:row r="390" ht="42" customHeight="1">
      <x:c r="A390" s="28" t="b">
        <x:v>0</x:v>
      </x:c>
      <x:c r="B390" s="2" t="str">
        <x:v>Cycle 3</x:v>
      </x:c>
      <x:c r="C390" s="2" t="str">
        <x:v>Phase 2</x:v>
      </x:c>
      <x:c r="D390" s="2" t="str">
        <x:v>Auto</x:v>
      </x:c>
      <x:c r="E390" s="56" t="str">
        <x:v>DR.AU.2.1</x:v>
      </x:c>
      <x:c r="F390" s="14" t="str">
        <x:v>Ensure data is clean, structured, and usable without manipulation needed</x:v>
      </x:c>
      <x:c r="G390" s="5"/>
      <x:c r="H390" s="11"/>
      <x:c r="I390" s="11" t="n">
        <x:f>'Cycles &amp; Guide'!$D$12</x:f>
        <x:v>46295</x:v>
      </x:c>
      <x:c r="J390" s="11"/>
      <x:c r="K390" s="29"/>
      <x:c r="L390" s="2" t="str">
        <x:f>IF(O390=1,"Complete",IF(A390,"Checklist open",IF(H390&lt;&gt;"","In progress","Not started")))</x:f>
        <x:v>Not started</x:v>
      </x:c>
      <x:c r="M390" s="2" t="str">
        <x:v>Task</x:v>
      </x:c>
      <x:c r="N390" s="2" t="str">
        <x:v>DR.AU.2.1.2026.CY3</x:v>
      </x:c>
      <x:c r="O390" s="2" t="n">
        <x:f>R390</x:f>
        <x:v>0</x:v>
      </x:c>
      <x:c r="P390" s="2"/>
      <x:c r="Q390" s="2" t="n">
        <x:v>1</x:v>
      </x:c>
      <x:c r="R390" s="2" t="n">
        <x:f>IF(A390,1,0)</x:f>
        <x:v>0</x:v>
      </x:c>
      <x:c r="S390" s="2" t="n">
        <x:f>SUBTOTAL(103,N390)</x:f>
        <x:v>1</x:v>
      </x:c>
    </x:row>
    <x:row r="391" ht="42" customHeight="1">
      <x:c r="A391" s="28" t="b">
        <x:v>0</x:v>
      </x:c>
      <x:c r="B391" s="2" t="str">
        <x:v>Cycle 3</x:v>
      </x:c>
      <x:c r="C391" s="2" t="str">
        <x:v>Phase 2</x:v>
      </x:c>
      <x:c r="D391" s="2" t="str">
        <x:v>Auto</x:v>
      </x:c>
      <x:c r="E391" s="56" t="str">
        <x:v>DR.AU.2.2</x:v>
      </x:c>
      <x:c r="F391" s="14" t="str">
        <x:v>Clearly document rationale for each topic recommendation within the SharePoint list</x:v>
      </x:c>
      <x:c r="G391" s="5"/>
      <x:c r="H391" s="11"/>
      <x:c r="I391" s="11" t="n">
        <x:f>'Cycles &amp; Guide'!$D$12</x:f>
        <x:v>46295</x:v>
      </x:c>
      <x:c r="J391" s="11"/>
      <x:c r="K391" s="29"/>
      <x:c r="L391" s="2" t="str">
        <x:f>IF(O391=1,"Complete",IF(A391,"Checklist open",IF(H391&lt;&gt;"","In progress","Not started")))</x:f>
        <x:v>Not started</x:v>
      </x:c>
      <x:c r="M391" s="2" t="str">
        <x:v>Task</x:v>
      </x:c>
      <x:c r="N391" s="2" t="str">
        <x:v>DR.AU.2.2.2026.CY3</x:v>
      </x:c>
      <x:c r="O391" s="2" t="n">
        <x:f>R391</x:f>
        <x:v>0</x:v>
      </x:c>
      <x:c r="P391" s="2"/>
      <x:c r="Q391" s="2" t="n">
        <x:v>1</x:v>
      </x:c>
      <x:c r="R391" s="2" t="n">
        <x:f>IF(A391,1,0)</x:f>
        <x:v>0</x:v>
      </x:c>
      <x:c r="S391" s="2" t="n">
        <x:f>SUBTOTAL(103,N391)</x:f>
        <x:v>1</x:v>
      </x:c>
    </x:row>
    <x:row r="392" ht="42" customHeight="1">
      <x:c r="A392" s="28" t="b">
        <x:v>0</x:v>
      </x:c>
      <x:c r="B392" s="2" t="str">
        <x:v>Cycle 3</x:v>
      </x:c>
      <x:c r="C392" s="2" t="str">
        <x:v>Phase 2</x:v>
      </x:c>
      <x:c r="D392" s="2" t="str">
        <x:v>Auto</x:v>
      </x:c>
      <x:c r="E392" s="56" t="str">
        <x:v>DR.AU.2.3</x:v>
      </x:c>
      <x:c r="F392" s="14" t="str">
        <x:v>Verify topic is eligible for RCA and does not conflict with Attorney Client Privilege</x:v>
      </x:c>
      <x:c r="G392" s="5"/>
      <x:c r="H392" s="11"/>
      <x:c r="I392" s="11" t="n">
        <x:f>'Cycles &amp; Guide'!$D$12</x:f>
        <x:v>46295</x:v>
      </x:c>
      <x:c r="J392" s="11"/>
      <x:c r="K392" s="29"/>
      <x:c r="L392" s="2" t="str">
        <x:f>IF(O392=1,"Complete",IF(A392,"Checklist open",IF(H392&lt;&gt;"","In progress","Not started")))</x:f>
        <x:v>Not started</x:v>
      </x:c>
      <x:c r="M392" s="2" t="str">
        <x:v>Task</x:v>
      </x:c>
      <x:c r="N392" s="2" t="str">
        <x:v>DR.AU.2.3.2026.CY3</x:v>
      </x:c>
      <x:c r="O392" s="2" t="n">
        <x:f>R392</x:f>
        <x:v>0</x:v>
      </x:c>
      <x:c r="P392" s="2"/>
      <x:c r="Q392" s="2" t="n">
        <x:v>1</x:v>
      </x:c>
      <x:c r="R392" s="2" t="n">
        <x:f>IF(A392,1,0)</x:f>
        <x:v>0</x:v>
      </x:c>
      <x:c r="S392" s="2" t="n">
        <x:f>SUBTOTAL(103,N392)</x:f>
        <x:v>1</x:v>
      </x:c>
    </x:row>
    <x:row r="393" ht="42" customHeight="1">
      <x:c r="A393" s="28" t="b">
        <x:v>0</x:v>
      </x:c>
      <x:c r="B393" s="2" t="str">
        <x:v>Cycle 3</x:v>
      </x:c>
      <x:c r="C393" s="2" t="str">
        <x:v>Phase 2</x:v>
      </x:c>
      <x:c r="D393" s="2" t="str">
        <x:v>Auto</x:v>
      </x:c>
      <x:c r="E393" s="56" t="str">
        <x:v>DR.AU.2.4</x:v>
      </x:c>
      <x:c r="F393" s="14" t="str">
        <x:v>Ensure data is free of errors and anomalies prior to hand-off to Research</x:v>
      </x:c>
      <x:c r="G393" s="5"/>
      <x:c r="H393" s="11"/>
      <x:c r="I393" s="11" t="n">
        <x:f>'Cycles &amp; Guide'!$D$12</x:f>
        <x:v>46295</x:v>
      </x:c>
      <x:c r="J393" s="11"/>
      <x:c r="K393" s="29"/>
      <x:c r="L393" s="2" t="str">
        <x:f>IF(O393=1,"Complete",IF(A393,"Checklist open",IF(H393&lt;&gt;"","In progress","Not started")))</x:f>
        <x:v>Not started</x:v>
      </x:c>
      <x:c r="M393" s="2" t="str">
        <x:v>Task</x:v>
      </x:c>
      <x:c r="N393" s="2" t="str">
        <x:v>DR.AU.2.4.2026.CY3</x:v>
      </x:c>
      <x:c r="O393" s="2" t="n">
        <x:f>R393</x:f>
        <x:v>0</x:v>
      </x:c>
      <x:c r="P393" s="2"/>
      <x:c r="Q393" s="2" t="n">
        <x:v>1</x:v>
      </x:c>
      <x:c r="R393" s="2" t="n">
        <x:f>IF(A393,1,0)</x:f>
        <x:v>0</x:v>
      </x:c>
      <x:c r="S393" s="2" t="n">
        <x:f>SUBTOTAL(103,N393)</x:f>
        <x:v>1</x:v>
      </x:c>
    </x:row>
    <x:row r="394" ht="42" customHeight="1">
      <x:c r="A394" s="28" t="b">
        <x:v>0</x:v>
      </x:c>
      <x:c r="B394" s="2" t="str">
        <x:v>Cycle 3</x:v>
      </x:c>
      <x:c r="C394" s="2" t="str">
        <x:v>Phase 2</x:v>
      </x:c>
      <x:c r="D394" s="2" t="str">
        <x:v>Auto</x:v>
      </x:c>
      <x:c r="E394" s="56" t="str">
        <x:v>DR.AU.2.5</x:v>
      </x:c>
      <x:c r="F394" s="14" t="str">
        <x:v>Ensure topic is not a duplicate from a previous Cycle</x:v>
      </x:c>
      <x:c r="G394" s="5"/>
      <x:c r="H394" s="11"/>
      <x:c r="I394" s="11" t="n">
        <x:f>'Cycles &amp; Guide'!$D$12</x:f>
        <x:v>46295</x:v>
      </x:c>
      <x:c r="J394" s="11"/>
      <x:c r="K394" s="29"/>
      <x:c r="L394" s="2" t="str">
        <x:f>IF(O394=1,"Complete",IF(A394,"Checklist open",IF(H394&lt;&gt;"","In progress","Not started")))</x:f>
        <x:v>Not started</x:v>
      </x:c>
      <x:c r="M394" s="2" t="str">
        <x:v>Task</x:v>
      </x:c>
      <x:c r="N394" s="2" t="str">
        <x:v>DR.AU.2.5.2026.CY3</x:v>
      </x:c>
      <x:c r="O394" s="2" t="n">
        <x:f>R394</x:f>
        <x:v>0</x:v>
      </x:c>
      <x:c r="P394" s="2"/>
      <x:c r="Q394" s="2" t="n">
        <x:v>1</x:v>
      </x:c>
      <x:c r="R394" s="2" t="n">
        <x:f>IF(A394,1,0)</x:f>
        <x:v>0</x:v>
      </x:c>
      <x:c r="S394" s="2" t="n">
        <x:f>SUBTOTAL(103,N394)</x:f>
        <x:v>1</x:v>
      </x:c>
    </x:row>
    <x:row r="395" ht="42" customHeight="1">
      <x:c r="A395" s="28" t="b">
        <x:v>0</x:v>
      </x:c>
      <x:c r="B395" s="2" t="str">
        <x:v>Cycle 3</x:v>
      </x:c>
      <x:c r="C395" s="2" t="str">
        <x:v>Phase 2</x:v>
      </x:c>
      <x:c r="D395" s="2" t="str">
        <x:v>Auto</x:v>
      </x:c>
      <x:c r="E395" s="56" t="str">
        <x:v>DR.AU.2.6</x:v>
      </x:c>
      <x:c r="F395" s="14" t="str">
        <x:v>Document clear distinctions between facts, assumptions, and hypotheses within the data package</x:v>
      </x:c>
      <x:c r="G395" s="5"/>
      <x:c r="H395" s="11"/>
      <x:c r="I395" s="11" t="n">
        <x:f>'Cycles &amp; Guide'!$D$12</x:f>
        <x:v>46295</x:v>
      </x:c>
      <x:c r="J395" s="11"/>
      <x:c r="K395" s="29"/>
      <x:c r="L395" s="2" t="str">
        <x:f>IF(O395=1,"Complete",IF(A395,"Checklist open",IF(H395&lt;&gt;"","In progress","Not started")))</x:f>
        <x:v>Not started</x:v>
      </x:c>
      <x:c r="M395" s="2" t="str">
        <x:v>Task</x:v>
      </x:c>
      <x:c r="N395" s="2" t="str">
        <x:v>DR.AU.2.6.2026.CY3</x:v>
      </x:c>
      <x:c r="O395" s="2" t="n">
        <x:f>R395</x:f>
        <x:v>0</x:v>
      </x:c>
      <x:c r="P395" s="2"/>
      <x:c r="Q395" s="2" t="n">
        <x:v>1</x:v>
      </x:c>
      <x:c r="R395" s="2" t="n">
        <x:f>IF(A395,1,0)</x:f>
        <x:v>0</x:v>
      </x:c>
      <x:c r="S395" s="2" t="n">
        <x:f>SUBTOTAL(103,N395)</x:f>
        <x:v>1</x:v>
      </x:c>
    </x:row>
    <x:row r="396" ht="42" customHeight="1">
      <x:c r="A396" s="28" t="b">
        <x:v>0</x:v>
      </x:c>
      <x:c r="B396" s="2" t="str">
        <x:v>Cycle 3</x:v>
      </x:c>
      <x:c r="C396" s="2" t="str">
        <x:v>Phase 3</x:v>
      </x:c>
      <x:c r="D396" s="2" t="str">
        <x:v>Auto</x:v>
      </x:c>
      <x:c r="E396" s="56" t="str">
        <x:v>DR.AU.3.1</x:v>
      </x:c>
      <x:c r="F396" s="14" t="str">
        <x:v>Clearly document rationale for each topic recommendation within the SharePoint list item</x:v>
      </x:c>
      <x:c r="G396" s="5"/>
      <x:c r="H396" s="11"/>
      <x:c r="I396" s="11" t="n">
        <x:f>'Cycles &amp; Guide'!$D$12</x:f>
        <x:v>46295</x:v>
      </x:c>
      <x:c r="J396" s="11"/>
      <x:c r="K396" s="29"/>
      <x:c r="L396" s="2" t="str">
        <x:f>IF(O396=1,"Complete",IF(A396,"Checklist open",IF(H396&lt;&gt;"","In progress","Not started")))</x:f>
        <x:v>Not started</x:v>
      </x:c>
      <x:c r="M396" s="2" t="str">
        <x:v>Task</x:v>
      </x:c>
      <x:c r="N396" s="2" t="str">
        <x:v>DR.AU.3.1.2026.CY3</x:v>
      </x:c>
      <x:c r="O396" s="2" t="n">
        <x:f>R396</x:f>
        <x:v>0</x:v>
      </x:c>
      <x:c r="P396" s="2"/>
      <x:c r="Q396" s="2" t="n">
        <x:v>1</x:v>
      </x:c>
      <x:c r="R396" s="2" t="n">
        <x:f>IF(A396,1,0)</x:f>
        <x:v>0</x:v>
      </x:c>
      <x:c r="S396" s="2" t="n">
        <x:f>SUBTOTAL(103,N396)</x:f>
        <x:v>1</x:v>
      </x:c>
    </x:row>
    <x:row r="397" ht="42" customHeight="1">
      <x:c r="A397" s="28" t="b">
        <x:v>0</x:v>
      </x:c>
      <x:c r="B397" s="2" t="str">
        <x:v>Cycle 3</x:v>
      </x:c>
      <x:c r="C397" s="2" t="str">
        <x:v>Phase 3</x:v>
      </x:c>
      <x:c r="D397" s="2" t="str">
        <x:v>Auto</x:v>
      </x:c>
      <x:c r="E397" s="56" t="str">
        <x:v>DR.AU.3.2</x:v>
      </x:c>
      <x:c r="F397" s="14" t="str">
        <x:v>Attach the data package for each topic recommendation within the SharePoint list item</x:v>
      </x:c>
      <x:c r="G397" s="5"/>
      <x:c r="H397" s="11"/>
      <x:c r="I397" s="11" t="n">
        <x:f>'Cycles &amp; Guide'!$D$12</x:f>
        <x:v>46295</x:v>
      </x:c>
      <x:c r="J397" s="11"/>
      <x:c r="K397" s="29"/>
      <x:c r="L397" s="2" t="str">
        <x:f>IF(O397=1,"Complete",IF(A397,"Checklist open",IF(H397&lt;&gt;"","In progress","Not started")))</x:f>
        <x:v>Not started</x:v>
      </x:c>
      <x:c r="M397" s="2" t="str">
        <x:v>Task</x:v>
      </x:c>
      <x:c r="N397" s="2" t="str">
        <x:v>DR.AU.3.2.2026.CY3</x:v>
      </x:c>
      <x:c r="O397" s="2" t="n">
        <x:f>R397</x:f>
        <x:v>0</x:v>
      </x:c>
      <x:c r="P397" s="2"/>
      <x:c r="Q397" s="2" t="n">
        <x:v>1</x:v>
      </x:c>
      <x:c r="R397" s="2" t="n">
        <x:f>IF(A397,1,0)</x:f>
        <x:v>0</x:v>
      </x:c>
      <x:c r="S397" s="2" t="n">
        <x:f>SUBTOTAL(103,N397)</x:f>
        <x:v>1</x:v>
      </x:c>
    </x:row>
    <x:row r="398" ht="42" customHeight="1">
      <x:c r="A398" s="28" t="b">
        <x:v>0</x:v>
      </x:c>
      <x:c r="B398" s="2" t="str">
        <x:v>Cycle 3</x:v>
      </x:c>
      <x:c r="C398" s="2" t="str">
        <x:v>Phase 3</x:v>
      </x:c>
      <x:c r="D398" s="2" t="str">
        <x:v>Auto</x:v>
      </x:c>
      <x:c r="E398" s="56" t="str">
        <x:v>DR.AU.3.3</x:v>
      </x:c>
      <x:c r="F398" s="14" t="str">
        <x:v>Confirm data privileges have been granted, ensuring each pillar can access</x:v>
      </x:c>
      <x:c r="G398" s="5"/>
      <x:c r="H398" s="11"/>
      <x:c r="I398" s="11" t="n">
        <x:f>'Cycles &amp; Guide'!$D$12</x:f>
        <x:v>46295</x:v>
      </x:c>
      <x:c r="J398" s="11"/>
      <x:c r="K398" s="29"/>
      <x:c r="L398" s="2" t="str">
        <x:f>IF(O398=1,"Complete",IF(A398,"Checklist open",IF(H398&lt;&gt;"","In progress","Not started")))</x:f>
        <x:v>Not started</x:v>
      </x:c>
      <x:c r="M398" s="2" t="str">
        <x:v>Task</x:v>
      </x:c>
      <x:c r="N398" s="2" t="str">
        <x:v>DR.AU.3.3.2026.CY3</x:v>
      </x:c>
      <x:c r="O398" s="2" t="n">
        <x:f>R398</x:f>
        <x:v>0</x:v>
      </x:c>
      <x:c r="P398" s="2"/>
      <x:c r="Q398" s="2" t="n">
        <x:v>1</x:v>
      </x:c>
      <x:c r="R398" s="2" t="n">
        <x:f>IF(A398,1,0)</x:f>
        <x:v>0</x:v>
      </x:c>
      <x:c r="S398" s="2" t="n">
        <x:f>SUBTOTAL(103,N398)</x:f>
        <x:v>1</x:v>
      </x:c>
    </x:row>
    <x:row r="399" ht="42" customHeight="1">
      <x:c r="A399" s="28" t="b">
        <x:v>0</x:v>
      </x:c>
      <x:c r="B399" s="2" t="str">
        <x:v>Cycle 3</x:v>
      </x:c>
      <x:c r="C399" s="2" t="str">
        <x:v>Phase 3</x:v>
      </x:c>
      <x:c r="D399" s="2" t="str">
        <x:v>Auto</x:v>
      </x:c>
      <x:c r="E399" s="56" t="str">
        <x:v>DR.AU.3.4</x:v>
      </x:c>
      <x:c r="F399" s="14" t="str">
        <x:v>Ensure Power Automate notifications were correctly triggered within Microsoft Teams</x:v>
      </x:c>
      <x:c r="G399" s="5"/>
      <x:c r="H399" s="11"/>
      <x:c r="I399" s="11" t="n">
        <x:f>'Cycles &amp; Guide'!$D$12</x:f>
        <x:v>46295</x:v>
      </x:c>
      <x:c r="J399" s="11"/>
      <x:c r="K399" s="29"/>
      <x:c r="L399" s="2" t="str">
        <x:f>IF(O399=1,"Complete",IF(A399,"Checklist open",IF(H399&lt;&gt;"","In progress","Not started")))</x:f>
        <x:v>Not started</x:v>
      </x:c>
      <x:c r="M399" s="2" t="str">
        <x:v>Task</x:v>
      </x:c>
      <x:c r="N399" s="2" t="str">
        <x:v>DR.AU.3.4.2026.CY3</x:v>
      </x:c>
      <x:c r="O399" s="2" t="n">
        <x:f>R399</x:f>
        <x:v>0</x:v>
      </x:c>
      <x:c r="P399" s="2"/>
      <x:c r="Q399" s="2" t="n">
        <x:v>1</x:v>
      </x:c>
      <x:c r="R399" s="2" t="n">
        <x:f>IF(A399,1,0)</x:f>
        <x:v>0</x:v>
      </x:c>
      <x:c r="S399" s="2" t="n">
        <x:f>SUBTOTAL(103,N399)</x:f>
        <x:v>1</x:v>
      </x:c>
    </x:row>
    <x:row r="400" ht="42" customHeight="1">
      <x:c r="A400" s="28" t="b">
        <x:v>0</x:v>
      </x:c>
      <x:c r="B400" s="2" t="str">
        <x:v>Cycle 3</x:v>
      </x:c>
      <x:c r="C400" s="2" t="str">
        <x:v>Phase 1</x:v>
      </x:c>
      <x:c r="D400" s="2" t="str">
        <x:v>Cards</x:v>
      </x:c>
      <x:c r="E400" s="56" t="str">
        <x:v>DR.CA.1.1</x:v>
      </x:c>
      <x:c r="F400" s="14" t="str">
        <x:v>Review data sources 3 weeks prior to Cycle start (Complaints, Gen AI, Loudspeaker, NPS, etc.)</x:v>
      </x:c>
      <x:c r="G400" s="5"/>
      <x:c r="H400" s="11"/>
      <x:c r="I400" s="11" t="n">
        <x:f>'Cycles &amp; Guide'!$C$12-21</x:f>
        <x:v>46183</x:v>
      </x:c>
      <x:c r="J400" s="11"/>
      <x:c r="K400" s="29"/>
      <x:c r="L400" s="2" t="str">
        <x:f>IF(O400=1,"Complete",IF(A400,"Checklist open",IF(H400&lt;&gt;"","In progress","Not started")))</x:f>
        <x:v>Not started</x:v>
      </x:c>
      <x:c r="M400" s="2" t="str">
        <x:v>Task</x:v>
      </x:c>
      <x:c r="N400" s="2" t="str">
        <x:v>DR.CA.1.1.2026.CY3</x:v>
      </x:c>
      <x:c r="O400" s="2" t="n">
        <x:f>R400</x:f>
        <x:v>0</x:v>
      </x:c>
      <x:c r="P400" s="2"/>
      <x:c r="Q400" s="2" t="n">
        <x:v>1</x:v>
      </x:c>
      <x:c r="R400" s="2" t="n">
        <x:f>IF(A400,1,0)</x:f>
        <x:v>0</x:v>
      </x:c>
      <x:c r="S400" s="2" t="n">
        <x:f>SUBTOTAL(103,N400)</x:f>
        <x:v>1</x:v>
      </x:c>
    </x:row>
    <x:row r="401" ht="42" customHeight="1">
      <x:c r="A401" s="28" t="b">
        <x:v>0</x:v>
      </x:c>
      <x:c r="B401" s="2" t="str">
        <x:v>Cycle 3</x:v>
      </x:c>
      <x:c r="C401" s="2" t="str">
        <x:v>Phase 1</x:v>
      </x:c>
      <x:c r="D401" s="2" t="str">
        <x:v>Cards</x:v>
      </x:c>
      <x:c r="E401" s="56" t="str">
        <x:v>DR.CA.1.2</x:v>
      </x:c>
      <x:c r="F401" s="14" t="str">
        <x:v>Identify two potential topics for the upcoming Cycle</x:v>
      </x:c>
      <x:c r="G401" s="5"/>
      <x:c r="H401" s="11"/>
      <x:c r="I401" s="11" t="n">
        <x:f>'Cycles &amp; Guide'!$D$12</x:f>
        <x:v>46295</x:v>
      </x:c>
      <x:c r="J401" s="11"/>
      <x:c r="K401" s="29"/>
      <x:c r="L401" s="2" t="str">
        <x:f>IF(O401=1,"Complete",IF(A401,"Checklist open",IF(H401&lt;&gt;"","In progress","Not started")))</x:f>
        <x:v>Not started</x:v>
      </x:c>
      <x:c r="M401" s="2" t="str">
        <x:v>Task</x:v>
      </x:c>
      <x:c r="N401" s="2" t="str">
        <x:v>DR.CA.1.2.2026.CY3</x:v>
      </x:c>
      <x:c r="O401" s="2" t="n">
        <x:f>R401</x:f>
        <x:v>0</x:v>
      </x:c>
      <x:c r="P401" s="2"/>
      <x:c r="Q401" s="2" t="n">
        <x:v>1</x:v>
      </x:c>
      <x:c r="R401" s="2" t="n">
        <x:f>IF(A401,1,0)</x:f>
        <x:v>0</x:v>
      </x:c>
      <x:c r="S401" s="2" t="n">
        <x:f>SUBTOTAL(103,N401)</x:f>
        <x:v>1</x:v>
      </x:c>
    </x:row>
    <x:row r="402" ht="42" customHeight="1">
      <x:c r="A402" s="28" t="b">
        <x:v>0</x:v>
      </x:c>
      <x:c r="B402" s="2" t="str">
        <x:v>Cycle 3</x:v>
      </x:c>
      <x:c r="C402" s="2" t="str">
        <x:v>Phase 1</x:v>
      </x:c>
      <x:c r="D402" s="2" t="str">
        <x:v>Cards</x:v>
      </x:c>
      <x:c r="E402" s="68" t="str">
        <x:v>DR.CA.1.3</x:v>
      </x:c>
      <x:c r="F402" s="33" t="str">
        <x:v>Extract data for both potential topics, ensuring all checklist items below are included/completed</x:v>
      </x:c>
      <x:c r="G402" s="5"/>
      <x:c r="H402" s="11"/>
      <x:c r="I402" s="11" t="n">
        <x:f>'Cycles &amp; Guide'!$D$12</x:f>
        <x:v>46295</x:v>
      </x:c>
      <x:c r="J402" s="11"/>
      <x:c r="K402" s="29"/>
      <x:c r="L402" s="2" t="str">
        <x:f>IF(O402=1,"Complete",IF(A402,"Checklist open",IF(H402&lt;&gt;"","In progress","Not started")))</x:f>
        <x:v>Not started</x:v>
      </x:c>
      <x:c r="M402" s="2" t="str">
        <x:v>Task</x:v>
      </x:c>
      <x:c r="N402" s="2" t="str">
        <x:v>DR.CA.1.3.2026.CY3</x:v>
      </x:c>
      <x:c r="O402" s="2" t="n">
        <x:f>IF(A402,IF(SUMIFS($R$10:$R$737,$P$10:$P$737,N402)=13,1,0),0)</x:f>
        <x:v>0</x:v>
      </x:c>
      <x:c r="P402" s="2"/>
      <x:c r="Q402" s="2" t="n">
        <x:v>1</x:v>
      </x:c>
      <x:c r="R402" s="2" t="n">
        <x:f>IF(A402,1,0)</x:f>
        <x:v>0</x:v>
      </x:c>
      <x:c r="S402" s="2" t="n">
        <x:f>SUBTOTAL(103,N402)</x:f>
        <x:v>1</x:v>
      </x:c>
    </x:row>
    <x:row r="403" ht="31" customHeight="1" outlineLevel="1">
      <x:c r="A403" s="28" t="b">
        <x:v>0</x:v>
      </x:c>
      <x:c r="B403" s="36" t="str">
        <x:v>Cycle 3</x:v>
      </x:c>
      <x:c r="C403" s="36" t="str">
        <x:v>Phase 1</x:v>
      </x:c>
      <x:c r="D403" s="36" t="str">
        <x:v>Cards</x:v>
      </x:c>
      <x:c r="E403" s="69" t="str">
        <x:v>DR.CA.1.3.C01</x:v>
      </x:c>
      <x:c r="F403" s="37" t="str">
        <x:v>    Document date range extracted</x:v>
      </x:c>
      <x:c r="G403" s="5"/>
      <x:c r="H403" s="11"/>
      <x:c r="I403" s="11"/>
      <x:c r="J403" s="11"/>
      <x:c r="K403" s="29"/>
      <x:c r="L403" s="2" t="str">
        <x:f>IF(A403,"Complete","Open check")</x:f>
        <x:v>Open check</x:v>
      </x:c>
      <x:c r="M403" s="2" t="str">
        <x:v>Checklist</x:v>
      </x:c>
      <x:c r="N403" s="2" t="str">
        <x:v>DR.CA.1.3.C01.2026.CY3</x:v>
      </x:c>
      <x:c r="O403" s="2" t="n">
        <x:f>R403</x:f>
        <x:v>0</x:v>
      </x:c>
      <x:c r="P403" s="2" t="str">
        <x:v>DR.CA.1.3.2026.CY3</x:v>
      </x:c>
      <x:c r="Q403" s="2" t="n">
        <x:v>0</x:v>
      </x:c>
      <x:c r="R403" s="2" t="n">
        <x:f>IF(A403,1,0)</x:f>
        <x:v>0</x:v>
      </x:c>
      <x:c r="S403" s="2" t="n">
        <x:f>SUBTOTAL(103,N403)</x:f>
        <x:v>1</x:v>
      </x:c>
    </x:row>
    <x:row r="404" ht="31" customHeight="1" outlineLevel="1">
      <x:c r="A404" s="28" t="b">
        <x:v>0</x:v>
      </x:c>
      <x:c r="B404" s="36" t="str">
        <x:v>Cycle 3</x:v>
      </x:c>
      <x:c r="C404" s="36" t="str">
        <x:v>Phase 1</x:v>
      </x:c>
      <x:c r="D404" s="36" t="str">
        <x:v>Cards</x:v>
      </x:c>
      <x:c r="E404" s="69" t="str">
        <x:v>DR.CA.1.3.C02</x:v>
      </x:c>
      <x:c r="F404" s="37" t="str">
        <x:v>    Document date of data pull</x:v>
      </x:c>
      <x:c r="G404" s="5"/>
      <x:c r="H404" s="11"/>
      <x:c r="I404" s="11"/>
      <x:c r="J404" s="11"/>
      <x:c r="K404" s="29"/>
      <x:c r="L404" s="2" t="str">
        <x:f>IF(A404,"Complete","Open check")</x:f>
        <x:v>Open check</x:v>
      </x:c>
      <x:c r="M404" s="2" t="str">
        <x:v>Checklist</x:v>
      </x:c>
      <x:c r="N404" s="2" t="str">
        <x:v>DR.CA.1.3.C02.2026.CY3</x:v>
      </x:c>
      <x:c r="O404" s="2" t="n">
        <x:f>R404</x:f>
        <x:v>0</x:v>
      </x:c>
      <x:c r="P404" s="2" t="str">
        <x:v>DR.CA.1.3.2026.CY3</x:v>
      </x:c>
      <x:c r="Q404" s="2" t="n">
        <x:v>0</x:v>
      </x:c>
      <x:c r="R404" s="2" t="n">
        <x:f>IF(A404,1,0)</x:f>
        <x:v>0</x:v>
      </x:c>
      <x:c r="S404" s="2" t="n">
        <x:f>SUBTOTAL(103,N404)</x:f>
        <x:v>1</x:v>
      </x:c>
    </x:row>
    <x:row r="405" ht="31" customHeight="1" outlineLevel="1">
      <x:c r="A405" s="28" t="b">
        <x:v>0</x:v>
      </x:c>
      <x:c r="B405" s="36" t="str">
        <x:v>Cycle 3</x:v>
      </x:c>
      <x:c r="C405" s="36" t="str">
        <x:v>Phase 1</x:v>
      </x:c>
      <x:c r="D405" s="36" t="str">
        <x:v>Cards</x:v>
      </x:c>
      <x:c r="E405" s="69" t="str">
        <x:v>DR.CA.1.3.C03</x:v>
      </x:c>
      <x:c r="F405" s="37" t="str">
        <x:v>    Document population details</x:v>
      </x:c>
      <x:c r="G405" s="5"/>
      <x:c r="H405" s="11"/>
      <x:c r="I405" s="11"/>
      <x:c r="J405" s="11"/>
      <x:c r="K405" s="29"/>
      <x:c r="L405" s="2" t="str">
        <x:f>IF(A405,"Complete","Open check")</x:f>
        <x:v>Open check</x:v>
      </x:c>
      <x:c r="M405" s="2" t="str">
        <x:v>Checklist</x:v>
      </x:c>
      <x:c r="N405" s="2" t="str">
        <x:v>DR.CA.1.3.C03.2026.CY3</x:v>
      </x:c>
      <x:c r="O405" s="2" t="n">
        <x:f>R405</x:f>
        <x:v>0</x:v>
      </x:c>
      <x:c r="P405" s="2" t="str">
        <x:v>DR.CA.1.3.2026.CY3</x:v>
      </x:c>
      <x:c r="Q405" s="2" t="n">
        <x:v>0</x:v>
      </x:c>
      <x:c r="R405" s="2" t="n">
        <x:f>IF(A405,1,0)</x:f>
        <x:v>0</x:v>
      </x:c>
      <x:c r="S405" s="2" t="n">
        <x:f>SUBTOTAL(103,N405)</x:f>
        <x:v>1</x:v>
      </x:c>
    </x:row>
    <x:row r="406" ht="31" customHeight="1" outlineLevel="1">
      <x:c r="A406" s="28" t="b">
        <x:v>0</x:v>
      </x:c>
      <x:c r="B406" s="36" t="str">
        <x:v>Cycle 3</x:v>
      </x:c>
      <x:c r="C406" s="36" t="str">
        <x:v>Phase 1</x:v>
      </x:c>
      <x:c r="D406" s="36" t="str">
        <x:v>Cards</x:v>
      </x:c>
      <x:c r="E406" s="69" t="str">
        <x:v>DR.CA.1.3.C04</x:v>
      </x:c>
      <x:c r="F406" s="37" t="str">
        <x:v>    Validate no data is missing</x:v>
      </x:c>
      <x:c r="G406" s="5"/>
      <x:c r="H406" s="11"/>
      <x:c r="I406" s="11"/>
      <x:c r="J406" s="11"/>
      <x:c r="K406" s="29"/>
      <x:c r="L406" s="2" t="str">
        <x:f>IF(A406,"Complete","Open check")</x:f>
        <x:v>Open check</x:v>
      </x:c>
      <x:c r="M406" s="2" t="str">
        <x:v>Checklist</x:v>
      </x:c>
      <x:c r="N406" s="2" t="str">
        <x:v>DR.CA.1.3.C04.2026.CY3</x:v>
      </x:c>
      <x:c r="O406" s="2" t="n">
        <x:f>R406</x:f>
        <x:v>0</x:v>
      </x:c>
      <x:c r="P406" s="2" t="str">
        <x:v>DR.CA.1.3.2026.CY3</x:v>
      </x:c>
      <x:c r="Q406" s="2" t="n">
        <x:v>0</x:v>
      </x:c>
      <x:c r="R406" s="2" t="n">
        <x:f>IF(A406,1,0)</x:f>
        <x:v>0</x:v>
      </x:c>
      <x:c r="S406" s="2" t="n">
        <x:f>SUBTOTAL(103,N406)</x:f>
        <x:v>1</x:v>
      </x:c>
    </x:row>
    <x:row r="407" ht="31" customHeight="1" outlineLevel="1">
      <x:c r="A407" s="28" t="b">
        <x:v>0</x:v>
      </x:c>
      <x:c r="B407" s="36" t="str">
        <x:v>Cycle 3</x:v>
      </x:c>
      <x:c r="C407" s="36" t="str">
        <x:v>Phase 1</x:v>
      </x:c>
      <x:c r="D407" s="36" t="str">
        <x:v>Cards</x:v>
      </x:c>
      <x:c r="E407" s="69" t="str">
        <x:v>DR.CA.1.3.C05</x:v>
      </x:c>
      <x:c r="F407" s="37" t="str">
        <x:v>    Validate accuracy of data</x:v>
      </x:c>
      <x:c r="G407" s="5"/>
      <x:c r="H407" s="11"/>
      <x:c r="I407" s="11"/>
      <x:c r="J407" s="11"/>
      <x:c r="K407" s="29"/>
      <x:c r="L407" s="2" t="str">
        <x:f>IF(A407,"Complete","Open check")</x:f>
        <x:v>Open check</x:v>
      </x:c>
      <x:c r="M407" s="2" t="str">
        <x:v>Checklist</x:v>
      </x:c>
      <x:c r="N407" s="2" t="str">
        <x:v>DR.CA.1.3.C05.2026.CY3</x:v>
      </x:c>
      <x:c r="O407" s="2" t="n">
        <x:f>R407</x:f>
        <x:v>0</x:v>
      </x:c>
      <x:c r="P407" s="2" t="str">
        <x:v>DR.CA.1.3.2026.CY3</x:v>
      </x:c>
      <x:c r="Q407" s="2" t="n">
        <x:v>0</x:v>
      </x:c>
      <x:c r="R407" s="2" t="n">
        <x:f>IF(A407,1,0)</x:f>
        <x:v>0</x:v>
      </x:c>
      <x:c r="S407" s="2" t="n">
        <x:f>SUBTOTAL(103,N407)</x:f>
        <x:v>1</x:v>
      </x:c>
    </x:row>
    <x:row r="408" ht="31" customHeight="1" outlineLevel="1">
      <x:c r="A408" s="28" t="b">
        <x:v>0</x:v>
      </x:c>
      <x:c r="B408" s="36" t="str">
        <x:v>Cycle 3</x:v>
      </x:c>
      <x:c r="C408" s="36" t="str">
        <x:v>Phase 1</x:v>
      </x:c>
      <x:c r="D408" s="36" t="str">
        <x:v>Cards</x:v>
      </x:c>
      <x:c r="E408" s="69" t="str">
        <x:v>DR.CA.1.3.C06</x:v>
      </x:c>
      <x:c r="F408" s="37" t="str">
        <x:v>    Validate no duplicate data is provided</x:v>
      </x:c>
      <x:c r="G408" s="5"/>
      <x:c r="H408" s="11"/>
      <x:c r="I408" s="11"/>
      <x:c r="J408" s="11"/>
      <x:c r="K408" s="29"/>
      <x:c r="L408" s="2" t="str">
        <x:f>IF(A408,"Complete","Open check")</x:f>
        <x:v>Open check</x:v>
      </x:c>
      <x:c r="M408" s="2" t="str">
        <x:v>Checklist</x:v>
      </x:c>
      <x:c r="N408" s="2" t="str">
        <x:v>DR.CA.1.3.C06.2026.CY3</x:v>
      </x:c>
      <x:c r="O408" s="2" t="n">
        <x:f>R408</x:f>
        <x:v>0</x:v>
      </x:c>
      <x:c r="P408" s="2" t="str">
        <x:v>DR.CA.1.3.2026.CY3</x:v>
      </x:c>
      <x:c r="Q408" s="2" t="n">
        <x:v>0</x:v>
      </x:c>
      <x:c r="R408" s="2" t="n">
        <x:f>IF(A408,1,0)</x:f>
        <x:v>0</x:v>
      </x:c>
      <x:c r="S408" s="2" t="n">
        <x:f>SUBTOTAL(103,N408)</x:f>
        <x:v>1</x:v>
      </x:c>
    </x:row>
    <x:row r="409" ht="31" customHeight="1" outlineLevel="1">
      <x:c r="A409" s="28" t="b">
        <x:v>0</x:v>
      </x:c>
      <x:c r="B409" s="36" t="str">
        <x:v>Cycle 3</x:v>
      </x:c>
      <x:c r="C409" s="36" t="str">
        <x:v>Phase 1</x:v>
      </x:c>
      <x:c r="D409" s="36" t="str">
        <x:v>Cards</x:v>
      </x:c>
      <x:c r="E409" s="69" t="str">
        <x:v>DR.CA.1.3.C07</x:v>
      </x:c>
      <x:c r="F409" s="37" t="str">
        <x:v>    Document any data exclusions along with justification (as needed)</x:v>
      </x:c>
      <x:c r="G409" s="5"/>
      <x:c r="H409" s="11"/>
      <x:c r="I409" s="11"/>
      <x:c r="J409" s="11"/>
      <x:c r="K409" s="29"/>
      <x:c r="L409" s="2" t="str">
        <x:f>IF(A409,"Complete","Open check")</x:f>
        <x:v>Open check</x:v>
      </x:c>
      <x:c r="M409" s="2" t="str">
        <x:v>Checklist</x:v>
      </x:c>
      <x:c r="N409" s="2" t="str">
        <x:v>DR.CA.1.3.C07.2026.CY3</x:v>
      </x:c>
      <x:c r="O409" s="2" t="n">
        <x:f>R409</x:f>
        <x:v>0</x:v>
      </x:c>
      <x:c r="P409" s="2" t="str">
        <x:v>DR.CA.1.3.2026.CY3</x:v>
      </x:c>
      <x:c r="Q409" s="2" t="n">
        <x:v>0</x:v>
      </x:c>
      <x:c r="R409" s="2" t="n">
        <x:f>IF(A409,1,0)</x:f>
        <x:v>0</x:v>
      </x:c>
      <x:c r="S409" s="2" t="n">
        <x:f>SUBTOTAL(103,N409)</x:f>
        <x:v>1</x:v>
      </x:c>
    </x:row>
    <x:row r="410" ht="31" customHeight="1" outlineLevel="1">
      <x:c r="A410" s="28" t="b">
        <x:v>0</x:v>
      </x:c>
      <x:c r="B410" s="36" t="str">
        <x:v>Cycle 3</x:v>
      </x:c>
      <x:c r="C410" s="36" t="str">
        <x:v>Phase 1</x:v>
      </x:c>
      <x:c r="D410" s="36" t="str">
        <x:v>Cards</x:v>
      </x:c>
      <x:c r="E410" s="69" t="str">
        <x:v>DR.CA.1.3.C08</x:v>
      </x:c>
      <x:c r="F410" s="37" t="str">
        <x:v>    Document any assumptions made with the data (as needed)</x:v>
      </x:c>
      <x:c r="G410" s="5"/>
      <x:c r="H410" s="11"/>
      <x:c r="I410" s="11"/>
      <x:c r="J410" s="11"/>
      <x:c r="K410" s="29"/>
      <x:c r="L410" s="2" t="str">
        <x:f>IF(A410,"Complete","Open check")</x:f>
        <x:v>Open check</x:v>
      </x:c>
      <x:c r="M410" s="2" t="str">
        <x:v>Checklist</x:v>
      </x:c>
      <x:c r="N410" s="2" t="str">
        <x:v>DR.CA.1.3.C08.2026.CY3</x:v>
      </x:c>
      <x:c r="O410" s="2" t="n">
        <x:f>R410</x:f>
        <x:v>0</x:v>
      </x:c>
      <x:c r="P410" s="2" t="str">
        <x:v>DR.CA.1.3.2026.CY3</x:v>
      </x:c>
      <x:c r="Q410" s="2" t="n">
        <x:v>0</x:v>
      </x:c>
      <x:c r="R410" s="2" t="n">
        <x:f>IF(A410,1,0)</x:f>
        <x:v>0</x:v>
      </x:c>
      <x:c r="S410" s="2" t="n">
        <x:f>SUBTOTAL(103,N410)</x:f>
        <x:v>1</x:v>
      </x:c>
    </x:row>
    <x:row r="411" ht="31" customHeight="1" outlineLevel="1">
      <x:c r="A411" s="28" t="b">
        <x:v>0</x:v>
      </x:c>
      <x:c r="B411" s="36" t="str">
        <x:v>Cycle 3</x:v>
      </x:c>
      <x:c r="C411" s="36" t="str">
        <x:v>Phase 1</x:v>
      </x:c>
      <x:c r="D411" s="36" t="str">
        <x:v>Cards</x:v>
      </x:c>
      <x:c r="E411" s="69" t="str">
        <x:v>DR.CA.1.3.C09</x:v>
      </x:c>
      <x:c r="F411" s="37" t="str">
        <x:v>    Document any data limitations or constraints clearly (as needed)</x:v>
      </x:c>
      <x:c r="G411" s="5"/>
      <x:c r="H411" s="11"/>
      <x:c r="I411" s="11"/>
      <x:c r="J411" s="11"/>
      <x:c r="K411" s="29"/>
      <x:c r="L411" s="2" t="str">
        <x:f>IF(A411,"Complete","Open check")</x:f>
        <x:v>Open check</x:v>
      </x:c>
      <x:c r="M411" s="2" t="str">
        <x:v>Checklist</x:v>
      </x:c>
      <x:c r="N411" s="2" t="str">
        <x:v>DR.CA.1.3.C09.2026.CY3</x:v>
      </x:c>
      <x:c r="O411" s="2" t="n">
        <x:f>R411</x:f>
        <x:v>0</x:v>
      </x:c>
      <x:c r="P411" s="2" t="str">
        <x:v>DR.CA.1.3.2026.CY3</x:v>
      </x:c>
      <x:c r="Q411" s="2" t="n">
        <x:v>0</x:v>
      </x:c>
      <x:c r="R411" s="2" t="n">
        <x:f>IF(A411,1,0)</x:f>
        <x:v>0</x:v>
      </x:c>
      <x:c r="S411" s="2" t="n">
        <x:f>SUBTOTAL(103,N411)</x:f>
        <x:v>1</x:v>
      </x:c>
    </x:row>
    <x:row r="412" ht="31" customHeight="1" outlineLevel="1">
      <x:c r="A412" s="28" t="b">
        <x:v>0</x:v>
      </x:c>
      <x:c r="B412" s="36" t="str">
        <x:v>Cycle 3</x:v>
      </x:c>
      <x:c r="C412" s="36" t="str">
        <x:v>Phase 1</x:v>
      </x:c>
      <x:c r="D412" s="36" t="str">
        <x:v>Cards</x:v>
      </x:c>
      <x:c r="E412" s="69" t="str">
        <x:v>DR.CA.1.3.C10</x:v>
      </x:c>
      <x:c r="F412" s="37" t="str">
        <x:v>    Document data dictionary or field definitions for columns/rows</x:v>
      </x:c>
      <x:c r="G412" s="5"/>
      <x:c r="H412" s="11"/>
      <x:c r="I412" s="11"/>
      <x:c r="J412" s="11"/>
      <x:c r="K412" s="29"/>
      <x:c r="L412" s="2" t="str">
        <x:f>IF(A412,"Complete","Open check")</x:f>
        <x:v>Open check</x:v>
      </x:c>
      <x:c r="M412" s="2" t="str">
        <x:v>Checklist</x:v>
      </x:c>
      <x:c r="N412" s="2" t="str">
        <x:v>DR.CA.1.3.C10.2026.CY3</x:v>
      </x:c>
      <x:c r="O412" s="2" t="n">
        <x:f>R412</x:f>
        <x:v>0</x:v>
      </x:c>
      <x:c r="P412" s="2" t="str">
        <x:v>DR.CA.1.3.2026.CY3</x:v>
      </x:c>
      <x:c r="Q412" s="2" t="n">
        <x:v>0</x:v>
      </x:c>
      <x:c r="R412" s="2" t="n">
        <x:f>IF(A412,1,0)</x:f>
        <x:v>0</x:v>
      </x:c>
      <x:c r="S412" s="2" t="n">
        <x:f>SUBTOTAL(103,N412)</x:f>
        <x:v>1</x:v>
      </x:c>
    </x:row>
    <x:row r="413" ht="31" customHeight="1" outlineLevel="1">
      <x:c r="A413" s="28" t="b">
        <x:v>0</x:v>
      </x:c>
      <x:c r="B413" s="36" t="str">
        <x:v>Cycle 3</x:v>
      </x:c>
      <x:c r="C413" s="36" t="str">
        <x:v>Phase 1</x:v>
      </x:c>
      <x:c r="D413" s="36" t="str">
        <x:v>Cards</x:v>
      </x:c>
      <x:c r="E413" s="69" t="str">
        <x:v>DR.CA.1.3.C11</x:v>
      </x:c>
      <x:c r="F413" s="37" t="str">
        <x:v>    Document emerging trends, patterns, or concentrations along with supporting data</x:v>
      </x:c>
      <x:c r="G413" s="5"/>
      <x:c r="H413" s="11"/>
      <x:c r="I413" s="11"/>
      <x:c r="J413" s="11"/>
      <x:c r="K413" s="29"/>
      <x:c r="L413" s="2" t="str">
        <x:f>IF(A413,"Complete","Open check")</x:f>
        <x:v>Open check</x:v>
      </x:c>
      <x:c r="M413" s="2" t="str">
        <x:v>Checklist</x:v>
      </x:c>
      <x:c r="N413" s="2" t="str">
        <x:v>DR.CA.1.3.C11.2026.CY3</x:v>
      </x:c>
      <x:c r="O413" s="2" t="n">
        <x:f>R413</x:f>
        <x:v>0</x:v>
      </x:c>
      <x:c r="P413" s="2" t="str">
        <x:v>DR.CA.1.3.2026.CY3</x:v>
      </x:c>
      <x:c r="Q413" s="2" t="n">
        <x:v>0</x:v>
      </x:c>
      <x:c r="R413" s="2" t="n">
        <x:f>IF(A413,1,0)</x:f>
        <x:v>0</x:v>
      </x:c>
      <x:c r="S413" s="2" t="n">
        <x:f>SUBTOTAL(103,N413)</x:f>
        <x:v>1</x:v>
      </x:c>
    </x:row>
    <x:row r="414" ht="31" customHeight="1" outlineLevel="1">
      <x:c r="A414" s="28" t="b">
        <x:v>0</x:v>
      </x:c>
      <x:c r="B414" s="36" t="str">
        <x:v>Cycle 3</x:v>
      </x:c>
      <x:c r="C414" s="36" t="str">
        <x:v>Phase 1</x:v>
      </x:c>
      <x:c r="D414" s="36" t="str">
        <x:v>Cards</x:v>
      </x:c>
      <x:c r="E414" s="69" t="str">
        <x:v>DR.CA.1.3.C12</x:v>
      </x:c>
      <x:c r="F414" s="37" t="str">
        <x:v>    Document any severe spikes in volume along with context (as needed)</x:v>
      </x:c>
      <x:c r="G414" s="5"/>
      <x:c r="H414" s="11"/>
      <x:c r="I414" s="11"/>
      <x:c r="J414" s="11"/>
      <x:c r="K414" s="29"/>
      <x:c r="L414" s="2" t="str">
        <x:f>IF(A414,"Complete","Open check")</x:f>
        <x:v>Open check</x:v>
      </x:c>
      <x:c r="M414" s="2" t="str">
        <x:v>Checklist</x:v>
      </x:c>
      <x:c r="N414" s="2" t="str">
        <x:v>DR.CA.1.3.C12.2026.CY3</x:v>
      </x:c>
      <x:c r="O414" s="2" t="n">
        <x:f>R414</x:f>
        <x:v>0</x:v>
      </x:c>
      <x:c r="P414" s="2" t="str">
        <x:v>DR.CA.1.3.2026.CY3</x:v>
      </x:c>
      <x:c r="Q414" s="2" t="n">
        <x:v>0</x:v>
      </x:c>
      <x:c r="R414" s="2" t="n">
        <x:f>IF(A414,1,0)</x:f>
        <x:v>0</x:v>
      </x:c>
      <x:c r="S414" s="2" t="n">
        <x:f>SUBTOTAL(103,N414)</x:f>
        <x:v>1</x:v>
      </x:c>
    </x:row>
    <x:row r="415" ht="31" customHeight="1" outlineLevel="1">
      <x:c r="A415" s="28" t="b">
        <x:v>0</x:v>
      </x:c>
      <x:c r="B415" s="36" t="str">
        <x:v>Cycle 3</x:v>
      </x:c>
      <x:c r="C415" s="36" t="str">
        <x:v>Phase 1</x:v>
      </x:c>
      <x:c r="D415" s="36" t="str">
        <x:v>Cards</x:v>
      </x:c>
      <x:c r="E415" s="69" t="str">
        <x:v>DR.CA.1.3.C13</x:v>
      </x:c>
      <x:c r="F415" s="37" t="str">
        <x:v>    Document clear summary explaining how the data connects to the potential topic</x:v>
      </x:c>
      <x:c r="G415" s="5"/>
      <x:c r="H415" s="11"/>
      <x:c r="I415" s="11"/>
      <x:c r="J415" s="11"/>
      <x:c r="K415" s="29"/>
      <x:c r="L415" s="2" t="str">
        <x:f>IF(A415,"Complete","Open check")</x:f>
        <x:v>Open check</x:v>
      </x:c>
      <x:c r="M415" s="2" t="str">
        <x:v>Checklist</x:v>
      </x:c>
      <x:c r="N415" s="2" t="str">
        <x:v>DR.CA.1.3.C13.2026.CY3</x:v>
      </x:c>
      <x:c r="O415" s="2" t="n">
        <x:f>R415</x:f>
        <x:v>0</x:v>
      </x:c>
      <x:c r="P415" s="2" t="str">
        <x:v>DR.CA.1.3.2026.CY3</x:v>
      </x:c>
      <x:c r="Q415" s="2" t="n">
        <x:v>0</x:v>
      </x:c>
      <x:c r="R415" s="2" t="n">
        <x:f>IF(A415,1,0)</x:f>
        <x:v>0</x:v>
      </x:c>
      <x:c r="S415" s="2" t="n">
        <x:f>SUBTOTAL(103,N415)</x:f>
        <x:v>1</x:v>
      </x:c>
    </x:row>
    <x:row r="416" ht="42" customHeight="1">
      <x:c r="A416" s="28" t="b">
        <x:v>0</x:v>
      </x:c>
      <x:c r="B416" s="2" t="str">
        <x:v>Cycle 3</x:v>
      </x:c>
      <x:c r="C416" s="2" t="str">
        <x:v>Phase 2</x:v>
      </x:c>
      <x:c r="D416" s="2" t="str">
        <x:v>Cards</x:v>
      </x:c>
      <x:c r="E416" s="56" t="str">
        <x:v>DR.CA.2.1</x:v>
      </x:c>
      <x:c r="F416" s="14" t="str">
        <x:v>Ensure data is clean, structured, and usable without manipulation needed</x:v>
      </x:c>
      <x:c r="G416" s="5"/>
      <x:c r="H416" s="11"/>
      <x:c r="I416" s="11" t="n">
        <x:f>'Cycles &amp; Guide'!$D$12</x:f>
        <x:v>46295</x:v>
      </x:c>
      <x:c r="J416" s="11"/>
      <x:c r="K416" s="29"/>
      <x:c r="L416" s="2" t="str">
        <x:f>IF(O416=1,"Complete",IF(A416,"Checklist open",IF(H416&lt;&gt;"","In progress","Not started")))</x:f>
        <x:v>Not started</x:v>
      </x:c>
      <x:c r="M416" s="2" t="str">
        <x:v>Task</x:v>
      </x:c>
      <x:c r="N416" s="2" t="str">
        <x:v>DR.CA.2.1.2026.CY3</x:v>
      </x:c>
      <x:c r="O416" s="2" t="n">
        <x:f>R416</x:f>
        <x:v>0</x:v>
      </x:c>
      <x:c r="P416" s="2"/>
      <x:c r="Q416" s="2" t="n">
        <x:v>1</x:v>
      </x:c>
      <x:c r="R416" s="2" t="n">
        <x:f>IF(A416,1,0)</x:f>
        <x:v>0</x:v>
      </x:c>
      <x:c r="S416" s="2" t="n">
        <x:f>SUBTOTAL(103,N416)</x:f>
        <x:v>1</x:v>
      </x:c>
    </x:row>
    <x:row r="417" ht="42" customHeight="1">
      <x:c r="A417" s="28" t="b">
        <x:v>0</x:v>
      </x:c>
      <x:c r="B417" s="2" t="str">
        <x:v>Cycle 3</x:v>
      </x:c>
      <x:c r="C417" s="2" t="str">
        <x:v>Phase 2</x:v>
      </x:c>
      <x:c r="D417" s="2" t="str">
        <x:v>Cards</x:v>
      </x:c>
      <x:c r="E417" s="56" t="str">
        <x:v>DR.CA.2.2</x:v>
      </x:c>
      <x:c r="F417" s="14" t="str">
        <x:v>Clearly document rationale for each topic recommendation within the SharePoint list</x:v>
      </x:c>
      <x:c r="G417" s="5"/>
      <x:c r="H417" s="11"/>
      <x:c r="I417" s="11" t="n">
        <x:f>'Cycles &amp; Guide'!$D$12</x:f>
        <x:v>46295</x:v>
      </x:c>
      <x:c r="J417" s="11"/>
      <x:c r="K417" s="29"/>
      <x:c r="L417" s="2" t="str">
        <x:f>IF(O417=1,"Complete",IF(A417,"Checklist open",IF(H417&lt;&gt;"","In progress","Not started")))</x:f>
        <x:v>Not started</x:v>
      </x:c>
      <x:c r="M417" s="2" t="str">
        <x:v>Task</x:v>
      </x:c>
      <x:c r="N417" s="2" t="str">
        <x:v>DR.CA.2.2.2026.CY3</x:v>
      </x:c>
      <x:c r="O417" s="2" t="n">
        <x:f>R417</x:f>
        <x:v>0</x:v>
      </x:c>
      <x:c r="P417" s="2"/>
      <x:c r="Q417" s="2" t="n">
        <x:v>1</x:v>
      </x:c>
      <x:c r="R417" s="2" t="n">
        <x:f>IF(A417,1,0)</x:f>
        <x:v>0</x:v>
      </x:c>
      <x:c r="S417" s="2" t="n">
        <x:f>SUBTOTAL(103,N417)</x:f>
        <x:v>1</x:v>
      </x:c>
    </x:row>
    <x:row r="418" ht="42" customHeight="1">
      <x:c r="A418" s="28" t="b">
        <x:v>0</x:v>
      </x:c>
      <x:c r="B418" s="2" t="str">
        <x:v>Cycle 3</x:v>
      </x:c>
      <x:c r="C418" s="2" t="str">
        <x:v>Phase 2</x:v>
      </x:c>
      <x:c r="D418" s="2" t="str">
        <x:v>Cards</x:v>
      </x:c>
      <x:c r="E418" s="56" t="str">
        <x:v>DR.CA.2.3</x:v>
      </x:c>
      <x:c r="F418" s="14" t="str">
        <x:v>Verify topic is eligible for RCA and does not conflict with Attorney Client Privilege</x:v>
      </x:c>
      <x:c r="G418" s="5"/>
      <x:c r="H418" s="11"/>
      <x:c r="I418" s="11" t="n">
        <x:f>'Cycles &amp; Guide'!$D$12</x:f>
        <x:v>46295</x:v>
      </x:c>
      <x:c r="J418" s="11"/>
      <x:c r="K418" s="29"/>
      <x:c r="L418" s="2" t="str">
        <x:f>IF(O418=1,"Complete",IF(A418,"Checklist open",IF(H418&lt;&gt;"","In progress","Not started")))</x:f>
        <x:v>Not started</x:v>
      </x:c>
      <x:c r="M418" s="2" t="str">
        <x:v>Task</x:v>
      </x:c>
      <x:c r="N418" s="2" t="str">
        <x:v>DR.CA.2.3.2026.CY3</x:v>
      </x:c>
      <x:c r="O418" s="2" t="n">
        <x:f>R418</x:f>
        <x:v>0</x:v>
      </x:c>
      <x:c r="P418" s="2"/>
      <x:c r="Q418" s="2" t="n">
        <x:v>1</x:v>
      </x:c>
      <x:c r="R418" s="2" t="n">
        <x:f>IF(A418,1,0)</x:f>
        <x:v>0</x:v>
      </x:c>
      <x:c r="S418" s="2" t="n">
        <x:f>SUBTOTAL(103,N418)</x:f>
        <x:v>1</x:v>
      </x:c>
    </x:row>
    <x:row r="419" ht="42" customHeight="1">
      <x:c r="A419" s="28" t="b">
        <x:v>0</x:v>
      </x:c>
      <x:c r="B419" s="2" t="str">
        <x:v>Cycle 3</x:v>
      </x:c>
      <x:c r="C419" s="2" t="str">
        <x:v>Phase 2</x:v>
      </x:c>
      <x:c r="D419" s="2" t="str">
        <x:v>Cards</x:v>
      </x:c>
      <x:c r="E419" s="56" t="str">
        <x:v>DR.CA.2.4</x:v>
      </x:c>
      <x:c r="F419" s="14" t="str">
        <x:v>Ensure data is free of errors and anomalies prior to hand-off to Research</x:v>
      </x:c>
      <x:c r="G419" s="5"/>
      <x:c r="H419" s="11"/>
      <x:c r="I419" s="11" t="n">
        <x:f>'Cycles &amp; Guide'!$D$12</x:f>
        <x:v>46295</x:v>
      </x:c>
      <x:c r="J419" s="11"/>
      <x:c r="K419" s="29"/>
      <x:c r="L419" s="2" t="str">
        <x:f>IF(O419=1,"Complete",IF(A419,"Checklist open",IF(H419&lt;&gt;"","In progress","Not started")))</x:f>
        <x:v>Not started</x:v>
      </x:c>
      <x:c r="M419" s="2" t="str">
        <x:v>Task</x:v>
      </x:c>
      <x:c r="N419" s="2" t="str">
        <x:v>DR.CA.2.4.2026.CY3</x:v>
      </x:c>
      <x:c r="O419" s="2" t="n">
        <x:f>R419</x:f>
        <x:v>0</x:v>
      </x:c>
      <x:c r="P419" s="2"/>
      <x:c r="Q419" s="2" t="n">
        <x:v>1</x:v>
      </x:c>
      <x:c r="R419" s="2" t="n">
        <x:f>IF(A419,1,0)</x:f>
        <x:v>0</x:v>
      </x:c>
      <x:c r="S419" s="2" t="n">
        <x:f>SUBTOTAL(103,N419)</x:f>
        <x:v>1</x:v>
      </x:c>
    </x:row>
    <x:row r="420" ht="42" customHeight="1">
      <x:c r="A420" s="28" t="b">
        <x:v>0</x:v>
      </x:c>
      <x:c r="B420" s="2" t="str">
        <x:v>Cycle 3</x:v>
      </x:c>
      <x:c r="C420" s="2" t="str">
        <x:v>Phase 2</x:v>
      </x:c>
      <x:c r="D420" s="2" t="str">
        <x:v>Cards</x:v>
      </x:c>
      <x:c r="E420" s="56" t="str">
        <x:v>DR.CA.2.5</x:v>
      </x:c>
      <x:c r="F420" s="14" t="str">
        <x:v>Ensure topic is not a duplicate from a previous Cycle</x:v>
      </x:c>
      <x:c r="G420" s="5"/>
      <x:c r="H420" s="11"/>
      <x:c r="I420" s="11" t="n">
        <x:f>'Cycles &amp; Guide'!$D$12</x:f>
        <x:v>46295</x:v>
      </x:c>
      <x:c r="J420" s="11"/>
      <x:c r="K420" s="29"/>
      <x:c r="L420" s="2" t="str">
        <x:f>IF(O420=1,"Complete",IF(A420,"Checklist open",IF(H420&lt;&gt;"","In progress","Not started")))</x:f>
        <x:v>Not started</x:v>
      </x:c>
      <x:c r="M420" s="2" t="str">
        <x:v>Task</x:v>
      </x:c>
      <x:c r="N420" s="2" t="str">
        <x:v>DR.CA.2.5.2026.CY3</x:v>
      </x:c>
      <x:c r="O420" s="2" t="n">
        <x:f>R420</x:f>
        <x:v>0</x:v>
      </x:c>
      <x:c r="P420" s="2"/>
      <x:c r="Q420" s="2" t="n">
        <x:v>1</x:v>
      </x:c>
      <x:c r="R420" s="2" t="n">
        <x:f>IF(A420,1,0)</x:f>
        <x:v>0</x:v>
      </x:c>
      <x:c r="S420" s="2" t="n">
        <x:f>SUBTOTAL(103,N420)</x:f>
        <x:v>1</x:v>
      </x:c>
    </x:row>
    <x:row r="421" ht="42" customHeight="1">
      <x:c r="A421" s="28" t="b">
        <x:v>0</x:v>
      </x:c>
      <x:c r="B421" s="2" t="str">
        <x:v>Cycle 3</x:v>
      </x:c>
      <x:c r="C421" s="2" t="str">
        <x:v>Phase 2</x:v>
      </x:c>
      <x:c r="D421" s="2" t="str">
        <x:v>Cards</x:v>
      </x:c>
      <x:c r="E421" s="56" t="str">
        <x:v>DR.CA.2.6</x:v>
      </x:c>
      <x:c r="F421" s="14" t="str">
        <x:v>Document clear distinctions between facts, assumptions, and hypotheses within the data package</x:v>
      </x:c>
      <x:c r="G421" s="5"/>
      <x:c r="H421" s="11"/>
      <x:c r="I421" s="11" t="n">
        <x:f>'Cycles &amp; Guide'!$D$12</x:f>
        <x:v>46295</x:v>
      </x:c>
      <x:c r="J421" s="11"/>
      <x:c r="K421" s="29"/>
      <x:c r="L421" s="2" t="str">
        <x:f>IF(O421=1,"Complete",IF(A421,"Checklist open",IF(H421&lt;&gt;"","In progress","Not started")))</x:f>
        <x:v>Not started</x:v>
      </x:c>
      <x:c r="M421" s="2" t="str">
        <x:v>Task</x:v>
      </x:c>
      <x:c r="N421" s="2" t="str">
        <x:v>DR.CA.2.6.2026.CY3</x:v>
      </x:c>
      <x:c r="O421" s="2" t="n">
        <x:f>R421</x:f>
        <x:v>0</x:v>
      </x:c>
      <x:c r="P421" s="2"/>
      <x:c r="Q421" s="2" t="n">
        <x:v>1</x:v>
      </x:c>
      <x:c r="R421" s="2" t="n">
        <x:f>IF(A421,1,0)</x:f>
        <x:v>0</x:v>
      </x:c>
      <x:c r="S421" s="2" t="n">
        <x:f>SUBTOTAL(103,N421)</x:f>
        <x:v>1</x:v>
      </x:c>
    </x:row>
    <x:row r="422" ht="42" customHeight="1">
      <x:c r="A422" s="28" t="b">
        <x:v>0</x:v>
      </x:c>
      <x:c r="B422" s="2" t="str">
        <x:v>Cycle 3</x:v>
      </x:c>
      <x:c r="C422" s="2" t="str">
        <x:v>Phase 3</x:v>
      </x:c>
      <x:c r="D422" s="2" t="str">
        <x:v>Cards</x:v>
      </x:c>
      <x:c r="E422" s="56" t="str">
        <x:v>DR.CA.3.1</x:v>
      </x:c>
      <x:c r="F422" s="14" t="str">
        <x:v>Clearly document rationale for each topic recommendation within the SharePoint list item</x:v>
      </x:c>
      <x:c r="G422" s="5"/>
      <x:c r="H422" s="11"/>
      <x:c r="I422" s="11" t="n">
        <x:f>'Cycles &amp; Guide'!$D$12</x:f>
        <x:v>46295</x:v>
      </x:c>
      <x:c r="J422" s="11"/>
      <x:c r="K422" s="29"/>
      <x:c r="L422" s="2" t="str">
        <x:f>IF(O422=1,"Complete",IF(A422,"Checklist open",IF(H422&lt;&gt;"","In progress","Not started")))</x:f>
        <x:v>Not started</x:v>
      </x:c>
      <x:c r="M422" s="2" t="str">
        <x:v>Task</x:v>
      </x:c>
      <x:c r="N422" s="2" t="str">
        <x:v>DR.CA.3.1.2026.CY3</x:v>
      </x:c>
      <x:c r="O422" s="2" t="n">
        <x:f>R422</x:f>
        <x:v>0</x:v>
      </x:c>
      <x:c r="P422" s="2"/>
      <x:c r="Q422" s="2" t="n">
        <x:v>1</x:v>
      </x:c>
      <x:c r="R422" s="2" t="n">
        <x:f>IF(A422,1,0)</x:f>
        <x:v>0</x:v>
      </x:c>
      <x:c r="S422" s="2" t="n">
        <x:f>SUBTOTAL(103,N422)</x:f>
        <x:v>1</x:v>
      </x:c>
    </x:row>
    <x:row r="423" ht="42" customHeight="1">
      <x:c r="A423" s="28" t="b">
        <x:v>0</x:v>
      </x:c>
      <x:c r="B423" s="2" t="str">
        <x:v>Cycle 3</x:v>
      </x:c>
      <x:c r="C423" s="2" t="str">
        <x:v>Phase 3</x:v>
      </x:c>
      <x:c r="D423" s="2" t="str">
        <x:v>Cards</x:v>
      </x:c>
      <x:c r="E423" s="56" t="str">
        <x:v>DR.CA.3.2</x:v>
      </x:c>
      <x:c r="F423" s="14" t="str">
        <x:v>Attach the data package for each topic recommendation within the SharePoint list item</x:v>
      </x:c>
      <x:c r="G423" s="5"/>
      <x:c r="H423" s="11"/>
      <x:c r="I423" s="11" t="n">
        <x:f>'Cycles &amp; Guide'!$D$12</x:f>
        <x:v>46295</x:v>
      </x:c>
      <x:c r="J423" s="11"/>
      <x:c r="K423" s="29"/>
      <x:c r="L423" s="2" t="str">
        <x:f>IF(O423=1,"Complete",IF(A423,"Checklist open",IF(H423&lt;&gt;"","In progress","Not started")))</x:f>
        <x:v>Not started</x:v>
      </x:c>
      <x:c r="M423" s="2" t="str">
        <x:v>Task</x:v>
      </x:c>
      <x:c r="N423" s="2" t="str">
        <x:v>DR.CA.3.2.2026.CY3</x:v>
      </x:c>
      <x:c r="O423" s="2" t="n">
        <x:f>R423</x:f>
        <x:v>0</x:v>
      </x:c>
      <x:c r="P423" s="2"/>
      <x:c r="Q423" s="2" t="n">
        <x:v>1</x:v>
      </x:c>
      <x:c r="R423" s="2" t="n">
        <x:f>IF(A423,1,0)</x:f>
        <x:v>0</x:v>
      </x:c>
      <x:c r="S423" s="2" t="n">
        <x:f>SUBTOTAL(103,N423)</x:f>
        <x:v>1</x:v>
      </x:c>
    </x:row>
    <x:row r="424" ht="42" customHeight="1">
      <x:c r="A424" s="28" t="b">
        <x:v>0</x:v>
      </x:c>
      <x:c r="B424" s="2" t="str">
        <x:v>Cycle 3</x:v>
      </x:c>
      <x:c r="C424" s="2" t="str">
        <x:v>Phase 3</x:v>
      </x:c>
      <x:c r="D424" s="2" t="str">
        <x:v>Cards</x:v>
      </x:c>
      <x:c r="E424" s="56" t="str">
        <x:v>DR.CA.3.3</x:v>
      </x:c>
      <x:c r="F424" s="14" t="str">
        <x:v>Confirm data privileges have been granted, ensuring each pillar can access</x:v>
      </x:c>
      <x:c r="G424" s="5"/>
      <x:c r="H424" s="11"/>
      <x:c r="I424" s="11" t="n">
        <x:f>'Cycles &amp; Guide'!$D$12</x:f>
        <x:v>46295</x:v>
      </x:c>
      <x:c r="J424" s="11"/>
      <x:c r="K424" s="29"/>
      <x:c r="L424" s="2" t="str">
        <x:f>IF(O424=1,"Complete",IF(A424,"Checklist open",IF(H424&lt;&gt;"","In progress","Not started")))</x:f>
        <x:v>Not started</x:v>
      </x:c>
      <x:c r="M424" s="2" t="str">
        <x:v>Task</x:v>
      </x:c>
      <x:c r="N424" s="2" t="str">
        <x:v>DR.CA.3.3.2026.CY3</x:v>
      </x:c>
      <x:c r="O424" s="2" t="n">
        <x:f>R424</x:f>
        <x:v>0</x:v>
      </x:c>
      <x:c r="P424" s="2"/>
      <x:c r="Q424" s="2" t="n">
        <x:v>1</x:v>
      </x:c>
      <x:c r="R424" s="2" t="n">
        <x:f>IF(A424,1,0)</x:f>
        <x:v>0</x:v>
      </x:c>
      <x:c r="S424" s="2" t="n">
        <x:f>SUBTOTAL(103,N424)</x:f>
        <x:v>1</x:v>
      </x:c>
    </x:row>
    <x:row r="425" ht="42" customHeight="1">
      <x:c r="A425" s="28" t="b">
        <x:v>0</x:v>
      </x:c>
      <x:c r="B425" s="2" t="str">
        <x:v>Cycle 3</x:v>
      </x:c>
      <x:c r="C425" s="2" t="str">
        <x:v>Phase 3</x:v>
      </x:c>
      <x:c r="D425" s="2" t="str">
        <x:v>Cards</x:v>
      </x:c>
      <x:c r="E425" s="56" t="str">
        <x:v>DR.CA.3.4</x:v>
      </x:c>
      <x:c r="F425" s="14" t="str">
        <x:v>Ensure Power Automate notifications were correctly triggered within Microsoft Teams</x:v>
      </x:c>
      <x:c r="G425" s="5"/>
      <x:c r="H425" s="11"/>
      <x:c r="I425" s="11" t="n">
        <x:f>'Cycles &amp; Guide'!$D$12</x:f>
        <x:v>46295</x:v>
      </x:c>
      <x:c r="J425" s="11"/>
      <x:c r="K425" s="29"/>
      <x:c r="L425" s="2" t="str">
        <x:f>IF(O425=1,"Complete",IF(A425,"Checklist open",IF(H425&lt;&gt;"","In progress","Not started")))</x:f>
        <x:v>Not started</x:v>
      </x:c>
      <x:c r="M425" s="2" t="str">
        <x:v>Task</x:v>
      </x:c>
      <x:c r="N425" s="2" t="str">
        <x:v>DR.CA.3.4.2026.CY3</x:v>
      </x:c>
      <x:c r="O425" s="2" t="n">
        <x:f>R425</x:f>
        <x:v>0</x:v>
      </x:c>
      <x:c r="P425" s="2"/>
      <x:c r="Q425" s="2" t="n">
        <x:v>1</x:v>
      </x:c>
      <x:c r="R425" s="2" t="n">
        <x:f>IF(A425,1,0)</x:f>
        <x:v>0</x:v>
      </x:c>
      <x:c r="S425" s="2" t="n">
        <x:f>SUBTOTAL(103,N425)</x:f>
        <x:v>1</x:v>
      </x:c>
    </x:row>
    <x:row r="426" ht="42" customHeight="1">
      <x:c r="A426" s="28" t="b">
        <x:v>0</x:v>
      </x:c>
      <x:c r="B426" s="2" t="str">
        <x:v>Cycle 3</x:v>
      </x:c>
      <x:c r="C426" s="2" t="str">
        <x:v>Phase 1</x:v>
      </x:c>
      <x:c r="D426" s="2" t="str">
        <x:v>CSBBO - Banking Ops</x:v>
      </x:c>
      <x:c r="E426" s="56" t="str">
        <x:v>DR.BO.1.1</x:v>
      </x:c>
      <x:c r="F426" s="14" t="str">
        <x:v>Review data sources 3 weeks prior to Cycle start (Complaints, Gen AI, Loudspeaker, NPS, etc.)</x:v>
      </x:c>
      <x:c r="G426" s="5"/>
      <x:c r="H426" s="11"/>
      <x:c r="I426" s="11" t="n">
        <x:f>'Cycles &amp; Guide'!$C$12-21</x:f>
        <x:v>46183</x:v>
      </x:c>
      <x:c r="J426" s="11"/>
      <x:c r="K426" s="29"/>
      <x:c r="L426" s="2" t="str">
        <x:f>IF(O426=1,"Complete",IF(A426,"Checklist open",IF(H426&lt;&gt;"","In progress","Not started")))</x:f>
        <x:v>Not started</x:v>
      </x:c>
      <x:c r="M426" s="2" t="str">
        <x:v>Task</x:v>
      </x:c>
      <x:c r="N426" s="2" t="str">
        <x:v>DR.BO.1.1.2026.CY3</x:v>
      </x:c>
      <x:c r="O426" s="2" t="n">
        <x:f>R426</x:f>
        <x:v>0</x:v>
      </x:c>
      <x:c r="P426" s="2"/>
      <x:c r="Q426" s="2" t="n">
        <x:v>1</x:v>
      </x:c>
      <x:c r="R426" s="2" t="n">
        <x:f>IF(A426,1,0)</x:f>
        <x:v>0</x:v>
      </x:c>
      <x:c r="S426" s="2" t="n">
        <x:f>SUBTOTAL(103,N426)</x:f>
        <x:v>1</x:v>
      </x:c>
    </x:row>
    <x:row r="427" ht="42" customHeight="1">
      <x:c r="A427" s="28" t="b">
        <x:v>0</x:v>
      </x:c>
      <x:c r="B427" s="2" t="str">
        <x:v>Cycle 3</x:v>
      </x:c>
      <x:c r="C427" s="2" t="str">
        <x:v>Phase 1</x:v>
      </x:c>
      <x:c r="D427" s="2" t="str">
        <x:v>CSBBO - Banking Ops</x:v>
      </x:c>
      <x:c r="E427" s="56" t="str">
        <x:v>DR.BO.1.2</x:v>
      </x:c>
      <x:c r="F427" s="14" t="str">
        <x:v>Identify two potential topics for the upcoming Cycle</x:v>
      </x:c>
      <x:c r="G427" s="5"/>
      <x:c r="H427" s="11"/>
      <x:c r="I427" s="11" t="n">
        <x:f>'Cycles &amp; Guide'!$D$12</x:f>
        <x:v>46295</x:v>
      </x:c>
      <x:c r="J427" s="11"/>
      <x:c r="K427" s="29"/>
      <x:c r="L427" s="2" t="str">
        <x:f>IF(O427=1,"Complete",IF(A427,"Checklist open",IF(H427&lt;&gt;"","In progress","Not started")))</x:f>
        <x:v>Not started</x:v>
      </x:c>
      <x:c r="M427" s="2" t="str">
        <x:v>Task</x:v>
      </x:c>
      <x:c r="N427" s="2" t="str">
        <x:v>DR.BO.1.2.2026.CY3</x:v>
      </x:c>
      <x:c r="O427" s="2" t="n">
        <x:f>R427</x:f>
        <x:v>0</x:v>
      </x:c>
      <x:c r="P427" s="2"/>
      <x:c r="Q427" s="2" t="n">
        <x:v>1</x:v>
      </x:c>
      <x:c r="R427" s="2" t="n">
        <x:f>IF(A427,1,0)</x:f>
        <x:v>0</x:v>
      </x:c>
      <x:c r="S427" s="2" t="n">
        <x:f>SUBTOTAL(103,N427)</x:f>
        <x:v>1</x:v>
      </x:c>
    </x:row>
    <x:row r="428" ht="42" customHeight="1">
      <x:c r="A428" s="28" t="b">
        <x:v>0</x:v>
      </x:c>
      <x:c r="B428" s="2" t="str">
        <x:v>Cycle 3</x:v>
      </x:c>
      <x:c r="C428" s="2" t="str">
        <x:v>Phase 1</x:v>
      </x:c>
      <x:c r="D428" s="2" t="str">
        <x:v>CSBBO - Banking Ops</x:v>
      </x:c>
      <x:c r="E428" s="68" t="str">
        <x:v>DR.BO.1.3</x:v>
      </x:c>
      <x:c r="F428" s="33" t="str">
        <x:v>Extract data for both potential topics, ensuring all checklist items below are included/completed</x:v>
      </x:c>
      <x:c r="G428" s="5"/>
      <x:c r="H428" s="11"/>
      <x:c r="I428" s="11" t="n">
        <x:f>'Cycles &amp; Guide'!$D$12</x:f>
        <x:v>46295</x:v>
      </x:c>
      <x:c r="J428" s="11"/>
      <x:c r="K428" s="29"/>
      <x:c r="L428" s="2" t="str">
        <x:f>IF(O428=1,"Complete",IF(A428,"Checklist open",IF(H428&lt;&gt;"","In progress","Not started")))</x:f>
        <x:v>Not started</x:v>
      </x:c>
      <x:c r="M428" s="2" t="str">
        <x:v>Task</x:v>
      </x:c>
      <x:c r="N428" s="2" t="str">
        <x:v>DR.BO.1.3.2026.CY3</x:v>
      </x:c>
      <x:c r="O428" s="2" t="n">
        <x:f>IF(A428,IF(SUMIFS($R$10:$R$737,$P$10:$P$737,N428)=13,1,0),0)</x:f>
        <x:v>0</x:v>
      </x:c>
      <x:c r="P428" s="2"/>
      <x:c r="Q428" s="2" t="n">
        <x:v>1</x:v>
      </x:c>
      <x:c r="R428" s="2" t="n">
        <x:f>IF(A428,1,0)</x:f>
        <x:v>0</x:v>
      </x:c>
      <x:c r="S428" s="2" t="n">
        <x:f>SUBTOTAL(103,N428)</x:f>
        <x:v>1</x:v>
      </x:c>
    </x:row>
    <x:row r="429" ht="31" customHeight="1" outlineLevel="1">
      <x:c r="A429" s="28" t="b">
        <x:v>0</x:v>
      </x:c>
      <x:c r="B429" s="36" t="str">
        <x:v>Cycle 3</x:v>
      </x:c>
      <x:c r="C429" s="36" t="str">
        <x:v>Phase 1</x:v>
      </x:c>
      <x:c r="D429" s="36" t="str">
        <x:v>CSBBO - Banking Ops</x:v>
      </x:c>
      <x:c r="E429" s="69" t="str">
        <x:v>DR.BO.1.3.C01</x:v>
      </x:c>
      <x:c r="F429" s="37" t="str">
        <x:v>    Document date range extracted</x:v>
      </x:c>
      <x:c r="G429" s="5"/>
      <x:c r="H429" s="11"/>
      <x:c r="I429" s="11"/>
      <x:c r="J429" s="11"/>
      <x:c r="K429" s="29"/>
      <x:c r="L429" s="2" t="str">
        <x:f>IF(A429,"Complete","Open check")</x:f>
        <x:v>Open check</x:v>
      </x:c>
      <x:c r="M429" s="2" t="str">
        <x:v>Checklist</x:v>
      </x:c>
      <x:c r="N429" s="2" t="str">
        <x:v>DR.BO.1.3.C01.2026.CY3</x:v>
      </x:c>
      <x:c r="O429" s="2" t="n">
        <x:f>R429</x:f>
        <x:v>0</x:v>
      </x:c>
      <x:c r="P429" s="2" t="str">
        <x:v>DR.BO.1.3.2026.CY3</x:v>
      </x:c>
      <x:c r="Q429" s="2" t="n">
        <x:v>0</x:v>
      </x:c>
      <x:c r="R429" s="2" t="n">
        <x:f>IF(A429,1,0)</x:f>
        <x:v>0</x:v>
      </x:c>
      <x:c r="S429" s="2" t="n">
        <x:f>SUBTOTAL(103,N429)</x:f>
        <x:v>1</x:v>
      </x:c>
    </x:row>
    <x:row r="430" ht="31" customHeight="1" outlineLevel="1">
      <x:c r="A430" s="28" t="b">
        <x:v>0</x:v>
      </x:c>
      <x:c r="B430" s="36" t="str">
        <x:v>Cycle 3</x:v>
      </x:c>
      <x:c r="C430" s="36" t="str">
        <x:v>Phase 1</x:v>
      </x:c>
      <x:c r="D430" s="36" t="str">
        <x:v>CSBBO - Banking Ops</x:v>
      </x:c>
      <x:c r="E430" s="69" t="str">
        <x:v>DR.BO.1.3.C02</x:v>
      </x:c>
      <x:c r="F430" s="37" t="str">
        <x:v>    Document date of data pull</x:v>
      </x:c>
      <x:c r="G430" s="5"/>
      <x:c r="H430" s="11"/>
      <x:c r="I430" s="11"/>
      <x:c r="J430" s="11"/>
      <x:c r="K430" s="29"/>
      <x:c r="L430" s="2" t="str">
        <x:f>IF(A430,"Complete","Open check")</x:f>
        <x:v>Open check</x:v>
      </x:c>
      <x:c r="M430" s="2" t="str">
        <x:v>Checklist</x:v>
      </x:c>
      <x:c r="N430" s="2" t="str">
        <x:v>DR.BO.1.3.C02.2026.CY3</x:v>
      </x:c>
      <x:c r="O430" s="2" t="n">
        <x:f>R430</x:f>
        <x:v>0</x:v>
      </x:c>
      <x:c r="P430" s="2" t="str">
        <x:v>DR.BO.1.3.2026.CY3</x:v>
      </x:c>
      <x:c r="Q430" s="2" t="n">
        <x:v>0</x:v>
      </x:c>
      <x:c r="R430" s="2" t="n">
        <x:f>IF(A430,1,0)</x:f>
        <x:v>0</x:v>
      </x:c>
      <x:c r="S430" s="2" t="n">
        <x:f>SUBTOTAL(103,N430)</x:f>
        <x:v>1</x:v>
      </x:c>
    </x:row>
    <x:row r="431" ht="31" customHeight="1" outlineLevel="1">
      <x:c r="A431" s="28" t="b">
        <x:v>0</x:v>
      </x:c>
      <x:c r="B431" s="36" t="str">
        <x:v>Cycle 3</x:v>
      </x:c>
      <x:c r="C431" s="36" t="str">
        <x:v>Phase 1</x:v>
      </x:c>
      <x:c r="D431" s="36" t="str">
        <x:v>CSBBO - Banking Ops</x:v>
      </x:c>
      <x:c r="E431" s="69" t="str">
        <x:v>DR.BO.1.3.C03</x:v>
      </x:c>
      <x:c r="F431" s="37" t="str">
        <x:v>    Document population details</x:v>
      </x:c>
      <x:c r="G431" s="5"/>
      <x:c r="H431" s="11"/>
      <x:c r="I431" s="11"/>
      <x:c r="J431" s="11"/>
      <x:c r="K431" s="29"/>
      <x:c r="L431" s="2" t="str">
        <x:f>IF(A431,"Complete","Open check")</x:f>
        <x:v>Open check</x:v>
      </x:c>
      <x:c r="M431" s="2" t="str">
        <x:v>Checklist</x:v>
      </x:c>
      <x:c r="N431" s="2" t="str">
        <x:v>DR.BO.1.3.C03.2026.CY3</x:v>
      </x:c>
      <x:c r="O431" s="2" t="n">
        <x:f>R431</x:f>
        <x:v>0</x:v>
      </x:c>
      <x:c r="P431" s="2" t="str">
        <x:v>DR.BO.1.3.2026.CY3</x:v>
      </x:c>
      <x:c r="Q431" s="2" t="n">
        <x:v>0</x:v>
      </x:c>
      <x:c r="R431" s="2" t="n">
        <x:f>IF(A431,1,0)</x:f>
        <x:v>0</x:v>
      </x:c>
      <x:c r="S431" s="2" t="n">
        <x:f>SUBTOTAL(103,N431)</x:f>
        <x:v>1</x:v>
      </x:c>
    </x:row>
    <x:row r="432" ht="31" customHeight="1" outlineLevel="1">
      <x:c r="A432" s="28" t="b">
        <x:v>0</x:v>
      </x:c>
      <x:c r="B432" s="36" t="str">
        <x:v>Cycle 3</x:v>
      </x:c>
      <x:c r="C432" s="36" t="str">
        <x:v>Phase 1</x:v>
      </x:c>
      <x:c r="D432" s="36" t="str">
        <x:v>CSBBO - Banking Ops</x:v>
      </x:c>
      <x:c r="E432" s="69" t="str">
        <x:v>DR.BO.1.3.C04</x:v>
      </x:c>
      <x:c r="F432" s="37" t="str">
        <x:v>    Validate no data is missing</x:v>
      </x:c>
      <x:c r="G432" s="5"/>
      <x:c r="H432" s="11"/>
      <x:c r="I432" s="11"/>
      <x:c r="J432" s="11"/>
      <x:c r="K432" s="29"/>
      <x:c r="L432" s="2" t="str">
        <x:f>IF(A432,"Complete","Open check")</x:f>
        <x:v>Open check</x:v>
      </x:c>
      <x:c r="M432" s="2" t="str">
        <x:v>Checklist</x:v>
      </x:c>
      <x:c r="N432" s="2" t="str">
        <x:v>DR.BO.1.3.C04.2026.CY3</x:v>
      </x:c>
      <x:c r="O432" s="2" t="n">
        <x:f>R432</x:f>
        <x:v>0</x:v>
      </x:c>
      <x:c r="P432" s="2" t="str">
        <x:v>DR.BO.1.3.2026.CY3</x:v>
      </x:c>
      <x:c r="Q432" s="2" t="n">
        <x:v>0</x:v>
      </x:c>
      <x:c r="R432" s="2" t="n">
        <x:f>IF(A432,1,0)</x:f>
        <x:v>0</x:v>
      </x:c>
      <x:c r="S432" s="2" t="n">
        <x:f>SUBTOTAL(103,N432)</x:f>
        <x:v>1</x:v>
      </x:c>
    </x:row>
    <x:row r="433" ht="31" customHeight="1" outlineLevel="1">
      <x:c r="A433" s="28" t="b">
        <x:v>0</x:v>
      </x:c>
      <x:c r="B433" s="36" t="str">
        <x:v>Cycle 3</x:v>
      </x:c>
      <x:c r="C433" s="36" t="str">
        <x:v>Phase 1</x:v>
      </x:c>
      <x:c r="D433" s="36" t="str">
        <x:v>CSBBO - Banking Ops</x:v>
      </x:c>
      <x:c r="E433" s="69" t="str">
        <x:v>DR.BO.1.3.C05</x:v>
      </x:c>
      <x:c r="F433" s="37" t="str">
        <x:v>    Validate accuracy of data</x:v>
      </x:c>
      <x:c r="G433" s="5"/>
      <x:c r="H433" s="11"/>
      <x:c r="I433" s="11"/>
      <x:c r="J433" s="11"/>
      <x:c r="K433" s="29"/>
      <x:c r="L433" s="2" t="str">
        <x:f>IF(A433,"Complete","Open check")</x:f>
        <x:v>Open check</x:v>
      </x:c>
      <x:c r="M433" s="2" t="str">
        <x:v>Checklist</x:v>
      </x:c>
      <x:c r="N433" s="2" t="str">
        <x:v>DR.BO.1.3.C05.2026.CY3</x:v>
      </x:c>
      <x:c r="O433" s="2" t="n">
        <x:f>R433</x:f>
        <x:v>0</x:v>
      </x:c>
      <x:c r="P433" s="2" t="str">
        <x:v>DR.BO.1.3.2026.CY3</x:v>
      </x:c>
      <x:c r="Q433" s="2" t="n">
        <x:v>0</x:v>
      </x:c>
      <x:c r="R433" s="2" t="n">
        <x:f>IF(A433,1,0)</x:f>
        <x:v>0</x:v>
      </x:c>
      <x:c r="S433" s="2" t="n">
        <x:f>SUBTOTAL(103,N433)</x:f>
        <x:v>1</x:v>
      </x:c>
    </x:row>
    <x:row r="434" ht="31" customHeight="1" outlineLevel="1">
      <x:c r="A434" s="28" t="b">
        <x:v>0</x:v>
      </x:c>
      <x:c r="B434" s="36" t="str">
        <x:v>Cycle 3</x:v>
      </x:c>
      <x:c r="C434" s="36" t="str">
        <x:v>Phase 1</x:v>
      </x:c>
      <x:c r="D434" s="36" t="str">
        <x:v>CSBBO - Banking Ops</x:v>
      </x:c>
      <x:c r="E434" s="69" t="str">
        <x:v>DR.BO.1.3.C06</x:v>
      </x:c>
      <x:c r="F434" s="37" t="str">
        <x:v>    Validate no duplicate data is provided</x:v>
      </x:c>
      <x:c r="G434" s="5"/>
      <x:c r="H434" s="11"/>
      <x:c r="I434" s="11"/>
      <x:c r="J434" s="11"/>
      <x:c r="K434" s="29"/>
      <x:c r="L434" s="2" t="str">
        <x:f>IF(A434,"Complete","Open check")</x:f>
        <x:v>Open check</x:v>
      </x:c>
      <x:c r="M434" s="2" t="str">
        <x:v>Checklist</x:v>
      </x:c>
      <x:c r="N434" s="2" t="str">
        <x:v>DR.BO.1.3.C06.2026.CY3</x:v>
      </x:c>
      <x:c r="O434" s="2" t="n">
        <x:f>R434</x:f>
        <x:v>0</x:v>
      </x:c>
      <x:c r="P434" s="2" t="str">
        <x:v>DR.BO.1.3.2026.CY3</x:v>
      </x:c>
      <x:c r="Q434" s="2" t="n">
        <x:v>0</x:v>
      </x:c>
      <x:c r="R434" s="2" t="n">
        <x:f>IF(A434,1,0)</x:f>
        <x:v>0</x:v>
      </x:c>
      <x:c r="S434" s="2" t="n">
        <x:f>SUBTOTAL(103,N434)</x:f>
        <x:v>1</x:v>
      </x:c>
    </x:row>
    <x:row r="435" ht="31" customHeight="1" outlineLevel="1">
      <x:c r="A435" s="28" t="b">
        <x:v>0</x:v>
      </x:c>
      <x:c r="B435" s="36" t="str">
        <x:v>Cycle 3</x:v>
      </x:c>
      <x:c r="C435" s="36" t="str">
        <x:v>Phase 1</x:v>
      </x:c>
      <x:c r="D435" s="36" t="str">
        <x:v>CSBBO - Banking Ops</x:v>
      </x:c>
      <x:c r="E435" s="69" t="str">
        <x:v>DR.BO.1.3.C07</x:v>
      </x:c>
      <x:c r="F435" s="37" t="str">
        <x:v>    Document any data exclusions along with justification (as needed)</x:v>
      </x:c>
      <x:c r="G435" s="5"/>
      <x:c r="H435" s="11"/>
      <x:c r="I435" s="11"/>
      <x:c r="J435" s="11"/>
      <x:c r="K435" s="29"/>
      <x:c r="L435" s="2" t="str">
        <x:f>IF(A435,"Complete","Open check")</x:f>
        <x:v>Open check</x:v>
      </x:c>
      <x:c r="M435" s="2" t="str">
        <x:v>Checklist</x:v>
      </x:c>
      <x:c r="N435" s="2" t="str">
        <x:v>DR.BO.1.3.C07.2026.CY3</x:v>
      </x:c>
      <x:c r="O435" s="2" t="n">
        <x:f>R435</x:f>
        <x:v>0</x:v>
      </x:c>
      <x:c r="P435" s="2" t="str">
        <x:v>DR.BO.1.3.2026.CY3</x:v>
      </x:c>
      <x:c r="Q435" s="2" t="n">
        <x:v>0</x:v>
      </x:c>
      <x:c r="R435" s="2" t="n">
        <x:f>IF(A435,1,0)</x:f>
        <x:v>0</x:v>
      </x:c>
      <x:c r="S435" s="2" t="n">
        <x:f>SUBTOTAL(103,N435)</x:f>
        <x:v>1</x:v>
      </x:c>
    </x:row>
    <x:row r="436" ht="31" customHeight="1" outlineLevel="1">
      <x:c r="A436" s="28" t="b">
        <x:v>0</x:v>
      </x:c>
      <x:c r="B436" s="36" t="str">
        <x:v>Cycle 3</x:v>
      </x:c>
      <x:c r="C436" s="36" t="str">
        <x:v>Phase 1</x:v>
      </x:c>
      <x:c r="D436" s="36" t="str">
        <x:v>CSBBO - Banking Ops</x:v>
      </x:c>
      <x:c r="E436" s="69" t="str">
        <x:v>DR.BO.1.3.C08</x:v>
      </x:c>
      <x:c r="F436" s="37" t="str">
        <x:v>    Document any assumptions made with the data (as needed)</x:v>
      </x:c>
      <x:c r="G436" s="5"/>
      <x:c r="H436" s="11"/>
      <x:c r="I436" s="11"/>
      <x:c r="J436" s="11"/>
      <x:c r="K436" s="29"/>
      <x:c r="L436" s="2" t="str">
        <x:f>IF(A436,"Complete","Open check")</x:f>
        <x:v>Open check</x:v>
      </x:c>
      <x:c r="M436" s="2" t="str">
        <x:v>Checklist</x:v>
      </x:c>
      <x:c r="N436" s="2" t="str">
        <x:v>DR.BO.1.3.C08.2026.CY3</x:v>
      </x:c>
      <x:c r="O436" s="2" t="n">
        <x:f>R436</x:f>
        <x:v>0</x:v>
      </x:c>
      <x:c r="P436" s="2" t="str">
        <x:v>DR.BO.1.3.2026.CY3</x:v>
      </x:c>
      <x:c r="Q436" s="2" t="n">
        <x:v>0</x:v>
      </x:c>
      <x:c r="R436" s="2" t="n">
        <x:f>IF(A436,1,0)</x:f>
        <x:v>0</x:v>
      </x:c>
      <x:c r="S436" s="2" t="n">
        <x:f>SUBTOTAL(103,N436)</x:f>
        <x:v>1</x:v>
      </x:c>
    </x:row>
    <x:row r="437" ht="31" customHeight="1" outlineLevel="1">
      <x:c r="A437" s="28" t="b">
        <x:v>0</x:v>
      </x:c>
      <x:c r="B437" s="36" t="str">
        <x:v>Cycle 3</x:v>
      </x:c>
      <x:c r="C437" s="36" t="str">
        <x:v>Phase 1</x:v>
      </x:c>
      <x:c r="D437" s="36" t="str">
        <x:v>CSBBO - Banking Ops</x:v>
      </x:c>
      <x:c r="E437" s="69" t="str">
        <x:v>DR.BO.1.3.C09</x:v>
      </x:c>
      <x:c r="F437" s="37" t="str">
        <x:v>    Document any data limitations or constraints clearly (as needed)</x:v>
      </x:c>
      <x:c r="G437" s="5"/>
      <x:c r="H437" s="11"/>
      <x:c r="I437" s="11"/>
      <x:c r="J437" s="11"/>
      <x:c r="K437" s="29"/>
      <x:c r="L437" s="2" t="str">
        <x:f>IF(A437,"Complete","Open check")</x:f>
        <x:v>Open check</x:v>
      </x:c>
      <x:c r="M437" s="2" t="str">
        <x:v>Checklist</x:v>
      </x:c>
      <x:c r="N437" s="2" t="str">
        <x:v>DR.BO.1.3.C09.2026.CY3</x:v>
      </x:c>
      <x:c r="O437" s="2" t="n">
        <x:f>R437</x:f>
        <x:v>0</x:v>
      </x:c>
      <x:c r="P437" s="2" t="str">
        <x:v>DR.BO.1.3.2026.CY3</x:v>
      </x:c>
      <x:c r="Q437" s="2" t="n">
        <x:v>0</x:v>
      </x:c>
      <x:c r="R437" s="2" t="n">
        <x:f>IF(A437,1,0)</x:f>
        <x:v>0</x:v>
      </x:c>
      <x:c r="S437" s="2" t="n">
        <x:f>SUBTOTAL(103,N437)</x:f>
        <x:v>1</x:v>
      </x:c>
    </x:row>
    <x:row r="438" ht="31" customHeight="1" outlineLevel="1">
      <x:c r="A438" s="28" t="b">
        <x:v>0</x:v>
      </x:c>
      <x:c r="B438" s="36" t="str">
        <x:v>Cycle 3</x:v>
      </x:c>
      <x:c r="C438" s="36" t="str">
        <x:v>Phase 1</x:v>
      </x:c>
      <x:c r="D438" s="36" t="str">
        <x:v>CSBBO - Banking Ops</x:v>
      </x:c>
      <x:c r="E438" s="69" t="str">
        <x:v>DR.BO.1.3.C10</x:v>
      </x:c>
      <x:c r="F438" s="37" t="str">
        <x:v>    Document data dictionary or field definitions for columns/rows</x:v>
      </x:c>
      <x:c r="G438" s="5"/>
      <x:c r="H438" s="11"/>
      <x:c r="I438" s="11"/>
      <x:c r="J438" s="11"/>
      <x:c r="K438" s="29"/>
      <x:c r="L438" s="2" t="str">
        <x:f>IF(A438,"Complete","Open check")</x:f>
        <x:v>Open check</x:v>
      </x:c>
      <x:c r="M438" s="2" t="str">
        <x:v>Checklist</x:v>
      </x:c>
      <x:c r="N438" s="2" t="str">
        <x:v>DR.BO.1.3.C10.2026.CY3</x:v>
      </x:c>
      <x:c r="O438" s="2" t="n">
        <x:f>R438</x:f>
        <x:v>0</x:v>
      </x:c>
      <x:c r="P438" s="2" t="str">
        <x:v>DR.BO.1.3.2026.CY3</x:v>
      </x:c>
      <x:c r="Q438" s="2" t="n">
        <x:v>0</x:v>
      </x:c>
      <x:c r="R438" s="2" t="n">
        <x:f>IF(A438,1,0)</x:f>
        <x:v>0</x:v>
      </x:c>
      <x:c r="S438" s="2" t="n">
        <x:f>SUBTOTAL(103,N438)</x:f>
        <x:v>1</x:v>
      </x:c>
    </x:row>
    <x:row r="439" ht="31" customHeight="1" outlineLevel="1">
      <x:c r="A439" s="28" t="b">
        <x:v>0</x:v>
      </x:c>
      <x:c r="B439" s="36" t="str">
        <x:v>Cycle 3</x:v>
      </x:c>
      <x:c r="C439" s="36" t="str">
        <x:v>Phase 1</x:v>
      </x:c>
      <x:c r="D439" s="36" t="str">
        <x:v>CSBBO - Banking Ops</x:v>
      </x:c>
      <x:c r="E439" s="69" t="str">
        <x:v>DR.BO.1.3.C11</x:v>
      </x:c>
      <x:c r="F439" s="37" t="str">
        <x:v>    Document emerging trends, patterns, or concentrations along with supporting data</x:v>
      </x:c>
      <x:c r="G439" s="5"/>
      <x:c r="H439" s="11"/>
      <x:c r="I439" s="11"/>
      <x:c r="J439" s="11"/>
      <x:c r="K439" s="29"/>
      <x:c r="L439" s="2" t="str">
        <x:f>IF(A439,"Complete","Open check")</x:f>
        <x:v>Open check</x:v>
      </x:c>
      <x:c r="M439" s="2" t="str">
        <x:v>Checklist</x:v>
      </x:c>
      <x:c r="N439" s="2" t="str">
        <x:v>DR.BO.1.3.C11.2026.CY3</x:v>
      </x:c>
      <x:c r="O439" s="2" t="n">
        <x:f>R439</x:f>
        <x:v>0</x:v>
      </x:c>
      <x:c r="P439" s="2" t="str">
        <x:v>DR.BO.1.3.2026.CY3</x:v>
      </x:c>
      <x:c r="Q439" s="2" t="n">
        <x:v>0</x:v>
      </x:c>
      <x:c r="R439" s="2" t="n">
        <x:f>IF(A439,1,0)</x:f>
        <x:v>0</x:v>
      </x:c>
      <x:c r="S439" s="2" t="n">
        <x:f>SUBTOTAL(103,N439)</x:f>
        <x:v>1</x:v>
      </x:c>
    </x:row>
    <x:row r="440" ht="31" customHeight="1" outlineLevel="1">
      <x:c r="A440" s="28" t="b">
        <x:v>0</x:v>
      </x:c>
      <x:c r="B440" s="36" t="str">
        <x:v>Cycle 3</x:v>
      </x:c>
      <x:c r="C440" s="36" t="str">
        <x:v>Phase 1</x:v>
      </x:c>
      <x:c r="D440" s="36" t="str">
        <x:v>CSBBO - Banking Ops</x:v>
      </x:c>
      <x:c r="E440" s="69" t="str">
        <x:v>DR.BO.1.3.C12</x:v>
      </x:c>
      <x:c r="F440" s="37" t="str">
        <x:v>    Document any severe spikes in volume along with context (as needed)</x:v>
      </x:c>
      <x:c r="G440" s="5"/>
      <x:c r="H440" s="11"/>
      <x:c r="I440" s="11"/>
      <x:c r="J440" s="11"/>
      <x:c r="K440" s="29"/>
      <x:c r="L440" s="2" t="str">
        <x:f>IF(A440,"Complete","Open check")</x:f>
        <x:v>Open check</x:v>
      </x:c>
      <x:c r="M440" s="2" t="str">
        <x:v>Checklist</x:v>
      </x:c>
      <x:c r="N440" s="2" t="str">
        <x:v>DR.BO.1.3.C12.2026.CY3</x:v>
      </x:c>
      <x:c r="O440" s="2" t="n">
        <x:f>R440</x:f>
        <x:v>0</x:v>
      </x:c>
      <x:c r="P440" s="2" t="str">
        <x:v>DR.BO.1.3.2026.CY3</x:v>
      </x:c>
      <x:c r="Q440" s="2" t="n">
        <x:v>0</x:v>
      </x:c>
      <x:c r="R440" s="2" t="n">
        <x:f>IF(A440,1,0)</x:f>
        <x:v>0</x:v>
      </x:c>
      <x:c r="S440" s="2" t="n">
        <x:f>SUBTOTAL(103,N440)</x:f>
        <x:v>1</x:v>
      </x:c>
    </x:row>
    <x:row r="441" ht="31" customHeight="1" outlineLevel="1">
      <x:c r="A441" s="28" t="b">
        <x:v>0</x:v>
      </x:c>
      <x:c r="B441" s="36" t="str">
        <x:v>Cycle 3</x:v>
      </x:c>
      <x:c r="C441" s="36" t="str">
        <x:v>Phase 1</x:v>
      </x:c>
      <x:c r="D441" s="36" t="str">
        <x:v>CSBBO - Banking Ops</x:v>
      </x:c>
      <x:c r="E441" s="69" t="str">
        <x:v>DR.BO.1.3.C13</x:v>
      </x:c>
      <x:c r="F441" s="37" t="str">
        <x:v>    Document clear summary explaining how the data connects to the potential topic</x:v>
      </x:c>
      <x:c r="G441" s="5"/>
      <x:c r="H441" s="11"/>
      <x:c r="I441" s="11"/>
      <x:c r="J441" s="11"/>
      <x:c r="K441" s="29"/>
      <x:c r="L441" s="2" t="str">
        <x:f>IF(A441,"Complete","Open check")</x:f>
        <x:v>Open check</x:v>
      </x:c>
      <x:c r="M441" s="2" t="str">
        <x:v>Checklist</x:v>
      </x:c>
      <x:c r="N441" s="2" t="str">
        <x:v>DR.BO.1.3.C13.2026.CY3</x:v>
      </x:c>
      <x:c r="O441" s="2" t="n">
        <x:f>R441</x:f>
        <x:v>0</x:v>
      </x:c>
      <x:c r="P441" s="2" t="str">
        <x:v>DR.BO.1.3.2026.CY3</x:v>
      </x:c>
      <x:c r="Q441" s="2" t="n">
        <x:v>0</x:v>
      </x:c>
      <x:c r="R441" s="2" t="n">
        <x:f>IF(A441,1,0)</x:f>
        <x:v>0</x:v>
      </x:c>
      <x:c r="S441" s="2" t="n">
        <x:f>SUBTOTAL(103,N441)</x:f>
        <x:v>1</x:v>
      </x:c>
    </x:row>
    <x:row r="442" ht="42" customHeight="1">
      <x:c r="A442" s="28" t="b">
        <x:v>0</x:v>
      </x:c>
      <x:c r="B442" s="2" t="str">
        <x:v>Cycle 3</x:v>
      </x:c>
      <x:c r="C442" s="2" t="str">
        <x:v>Phase 2</x:v>
      </x:c>
      <x:c r="D442" s="2" t="str">
        <x:v>CSBBO - Banking Ops</x:v>
      </x:c>
      <x:c r="E442" s="56" t="str">
        <x:v>DR.BO.2.1</x:v>
      </x:c>
      <x:c r="F442" s="14" t="str">
        <x:v>Ensure data is clean, structured, and usable without manipulation needed</x:v>
      </x:c>
      <x:c r="G442" s="5"/>
      <x:c r="H442" s="11"/>
      <x:c r="I442" s="11" t="n">
        <x:f>'Cycles &amp; Guide'!$D$12</x:f>
        <x:v>46295</x:v>
      </x:c>
      <x:c r="J442" s="11"/>
      <x:c r="K442" s="29"/>
      <x:c r="L442" s="2" t="str">
        <x:f>IF(O442=1,"Complete",IF(A442,"Checklist open",IF(H442&lt;&gt;"","In progress","Not started")))</x:f>
        <x:v>Not started</x:v>
      </x:c>
      <x:c r="M442" s="2" t="str">
        <x:v>Task</x:v>
      </x:c>
      <x:c r="N442" s="2" t="str">
        <x:v>DR.BO.2.1.2026.CY3</x:v>
      </x:c>
      <x:c r="O442" s="2" t="n">
        <x:f>R442</x:f>
        <x:v>0</x:v>
      </x:c>
      <x:c r="P442" s="2"/>
      <x:c r="Q442" s="2" t="n">
        <x:v>1</x:v>
      </x:c>
      <x:c r="R442" s="2" t="n">
        <x:f>IF(A442,1,0)</x:f>
        <x:v>0</x:v>
      </x:c>
      <x:c r="S442" s="2" t="n">
        <x:f>SUBTOTAL(103,N442)</x:f>
        <x:v>1</x:v>
      </x:c>
    </x:row>
    <x:row r="443" ht="42" customHeight="1">
      <x:c r="A443" s="28" t="b">
        <x:v>0</x:v>
      </x:c>
      <x:c r="B443" s="2" t="str">
        <x:v>Cycle 3</x:v>
      </x:c>
      <x:c r="C443" s="2" t="str">
        <x:v>Phase 2</x:v>
      </x:c>
      <x:c r="D443" s="2" t="str">
        <x:v>CSBBO - Banking Ops</x:v>
      </x:c>
      <x:c r="E443" s="56" t="str">
        <x:v>DR.BO.2.2</x:v>
      </x:c>
      <x:c r="F443" s="14" t="str">
        <x:v>Clearly document rationale for each topic recommendation within the SharePoint list</x:v>
      </x:c>
      <x:c r="G443" s="5"/>
      <x:c r="H443" s="11"/>
      <x:c r="I443" s="11" t="n">
        <x:f>'Cycles &amp; Guide'!$D$12</x:f>
        <x:v>46295</x:v>
      </x:c>
      <x:c r="J443" s="11"/>
      <x:c r="K443" s="29"/>
      <x:c r="L443" s="2" t="str">
        <x:f>IF(O443=1,"Complete",IF(A443,"Checklist open",IF(H443&lt;&gt;"","In progress","Not started")))</x:f>
        <x:v>Not started</x:v>
      </x:c>
      <x:c r="M443" s="2" t="str">
        <x:v>Task</x:v>
      </x:c>
      <x:c r="N443" s="2" t="str">
        <x:v>DR.BO.2.2.2026.CY3</x:v>
      </x:c>
      <x:c r="O443" s="2" t="n">
        <x:f>R443</x:f>
        <x:v>0</x:v>
      </x:c>
      <x:c r="P443" s="2"/>
      <x:c r="Q443" s="2" t="n">
        <x:v>1</x:v>
      </x:c>
      <x:c r="R443" s="2" t="n">
        <x:f>IF(A443,1,0)</x:f>
        <x:v>0</x:v>
      </x:c>
      <x:c r="S443" s="2" t="n">
        <x:f>SUBTOTAL(103,N443)</x:f>
        <x:v>1</x:v>
      </x:c>
    </x:row>
    <x:row r="444" ht="42" customHeight="1">
      <x:c r="A444" s="28" t="b">
        <x:v>0</x:v>
      </x:c>
      <x:c r="B444" s="2" t="str">
        <x:v>Cycle 3</x:v>
      </x:c>
      <x:c r="C444" s="2" t="str">
        <x:v>Phase 2</x:v>
      </x:c>
      <x:c r="D444" s="2" t="str">
        <x:v>CSBBO - Banking Ops</x:v>
      </x:c>
      <x:c r="E444" s="56" t="str">
        <x:v>DR.BO.2.3</x:v>
      </x:c>
      <x:c r="F444" s="14" t="str">
        <x:v>Verify topic is eligible for RCA and does not conflict with Attorney Client Privilege</x:v>
      </x:c>
      <x:c r="G444" s="5"/>
      <x:c r="H444" s="11"/>
      <x:c r="I444" s="11" t="n">
        <x:f>'Cycles &amp; Guide'!$D$12</x:f>
        <x:v>46295</x:v>
      </x:c>
      <x:c r="J444" s="11"/>
      <x:c r="K444" s="29"/>
      <x:c r="L444" s="2" t="str">
        <x:f>IF(O444=1,"Complete",IF(A444,"Checklist open",IF(H444&lt;&gt;"","In progress","Not started")))</x:f>
        <x:v>Not started</x:v>
      </x:c>
      <x:c r="M444" s="2" t="str">
        <x:v>Task</x:v>
      </x:c>
      <x:c r="N444" s="2" t="str">
        <x:v>DR.BO.2.3.2026.CY3</x:v>
      </x:c>
      <x:c r="O444" s="2" t="n">
        <x:f>R444</x:f>
        <x:v>0</x:v>
      </x:c>
      <x:c r="P444" s="2"/>
      <x:c r="Q444" s="2" t="n">
        <x:v>1</x:v>
      </x:c>
      <x:c r="R444" s="2" t="n">
        <x:f>IF(A444,1,0)</x:f>
        <x:v>0</x:v>
      </x:c>
      <x:c r="S444" s="2" t="n">
        <x:f>SUBTOTAL(103,N444)</x:f>
        <x:v>1</x:v>
      </x:c>
    </x:row>
    <x:row r="445" ht="42" customHeight="1">
      <x:c r="A445" s="28" t="b">
        <x:v>0</x:v>
      </x:c>
      <x:c r="B445" s="2" t="str">
        <x:v>Cycle 3</x:v>
      </x:c>
      <x:c r="C445" s="2" t="str">
        <x:v>Phase 2</x:v>
      </x:c>
      <x:c r="D445" s="2" t="str">
        <x:v>CSBBO - Banking Ops</x:v>
      </x:c>
      <x:c r="E445" s="56" t="str">
        <x:v>DR.BO.2.4</x:v>
      </x:c>
      <x:c r="F445" s="14" t="str">
        <x:v>Ensure data is free of errors and anomalies prior to hand-off to Research</x:v>
      </x:c>
      <x:c r="G445" s="5"/>
      <x:c r="H445" s="11"/>
      <x:c r="I445" s="11" t="n">
        <x:f>'Cycles &amp; Guide'!$D$12</x:f>
        <x:v>46295</x:v>
      </x:c>
      <x:c r="J445" s="11"/>
      <x:c r="K445" s="29"/>
      <x:c r="L445" s="2" t="str">
        <x:f>IF(O445=1,"Complete",IF(A445,"Checklist open",IF(H445&lt;&gt;"","In progress","Not started")))</x:f>
        <x:v>Not started</x:v>
      </x:c>
      <x:c r="M445" s="2" t="str">
        <x:v>Task</x:v>
      </x:c>
      <x:c r="N445" s="2" t="str">
        <x:v>DR.BO.2.4.2026.CY3</x:v>
      </x:c>
      <x:c r="O445" s="2" t="n">
        <x:f>R445</x:f>
        <x:v>0</x:v>
      </x:c>
      <x:c r="P445" s="2"/>
      <x:c r="Q445" s="2" t="n">
        <x:v>1</x:v>
      </x:c>
      <x:c r="R445" s="2" t="n">
        <x:f>IF(A445,1,0)</x:f>
        <x:v>0</x:v>
      </x:c>
      <x:c r="S445" s="2" t="n">
        <x:f>SUBTOTAL(103,N445)</x:f>
        <x:v>1</x:v>
      </x:c>
    </x:row>
    <x:row r="446" ht="42" customHeight="1">
      <x:c r="A446" s="28" t="b">
        <x:v>0</x:v>
      </x:c>
      <x:c r="B446" s="2" t="str">
        <x:v>Cycle 3</x:v>
      </x:c>
      <x:c r="C446" s="2" t="str">
        <x:v>Phase 2</x:v>
      </x:c>
      <x:c r="D446" s="2" t="str">
        <x:v>CSBBO - Banking Ops</x:v>
      </x:c>
      <x:c r="E446" s="56" t="str">
        <x:v>DR.BO.2.5</x:v>
      </x:c>
      <x:c r="F446" s="14" t="str">
        <x:v>Ensure topic is not a duplicate from a previous Cycle</x:v>
      </x:c>
      <x:c r="G446" s="5"/>
      <x:c r="H446" s="11"/>
      <x:c r="I446" s="11" t="n">
        <x:f>'Cycles &amp; Guide'!$D$12</x:f>
        <x:v>46295</x:v>
      </x:c>
      <x:c r="J446" s="11"/>
      <x:c r="K446" s="29"/>
      <x:c r="L446" s="2" t="str">
        <x:f>IF(O446=1,"Complete",IF(A446,"Checklist open",IF(H446&lt;&gt;"","In progress","Not started")))</x:f>
        <x:v>Not started</x:v>
      </x:c>
      <x:c r="M446" s="2" t="str">
        <x:v>Task</x:v>
      </x:c>
      <x:c r="N446" s="2" t="str">
        <x:v>DR.BO.2.5.2026.CY3</x:v>
      </x:c>
      <x:c r="O446" s="2" t="n">
        <x:f>R446</x:f>
        <x:v>0</x:v>
      </x:c>
      <x:c r="P446" s="2"/>
      <x:c r="Q446" s="2" t="n">
        <x:v>1</x:v>
      </x:c>
      <x:c r="R446" s="2" t="n">
        <x:f>IF(A446,1,0)</x:f>
        <x:v>0</x:v>
      </x:c>
      <x:c r="S446" s="2" t="n">
        <x:f>SUBTOTAL(103,N446)</x:f>
        <x:v>1</x:v>
      </x:c>
    </x:row>
    <x:row r="447" ht="42" customHeight="1">
      <x:c r="A447" s="28" t="b">
        <x:v>0</x:v>
      </x:c>
      <x:c r="B447" s="2" t="str">
        <x:v>Cycle 3</x:v>
      </x:c>
      <x:c r="C447" s="2" t="str">
        <x:v>Phase 2</x:v>
      </x:c>
      <x:c r="D447" s="2" t="str">
        <x:v>CSBBO - Banking Ops</x:v>
      </x:c>
      <x:c r="E447" s="56" t="str">
        <x:v>DR.BO.2.6</x:v>
      </x:c>
      <x:c r="F447" s="14" t="str">
        <x:v>Document clear distinctions between facts, assumptions, and hypotheses within the data package</x:v>
      </x:c>
      <x:c r="G447" s="5"/>
      <x:c r="H447" s="11"/>
      <x:c r="I447" s="11" t="n">
        <x:f>'Cycles &amp; Guide'!$D$12</x:f>
        <x:v>46295</x:v>
      </x:c>
      <x:c r="J447" s="11"/>
      <x:c r="K447" s="29"/>
      <x:c r="L447" s="2" t="str">
        <x:f>IF(O447=1,"Complete",IF(A447,"Checklist open",IF(H447&lt;&gt;"","In progress","Not started")))</x:f>
        <x:v>Not started</x:v>
      </x:c>
      <x:c r="M447" s="2" t="str">
        <x:v>Task</x:v>
      </x:c>
      <x:c r="N447" s="2" t="str">
        <x:v>DR.BO.2.6.2026.CY3</x:v>
      </x:c>
      <x:c r="O447" s="2" t="n">
        <x:f>R447</x:f>
        <x:v>0</x:v>
      </x:c>
      <x:c r="P447" s="2"/>
      <x:c r="Q447" s="2" t="n">
        <x:v>1</x:v>
      </x:c>
      <x:c r="R447" s="2" t="n">
        <x:f>IF(A447,1,0)</x:f>
        <x:v>0</x:v>
      </x:c>
      <x:c r="S447" s="2" t="n">
        <x:f>SUBTOTAL(103,N447)</x:f>
        <x:v>1</x:v>
      </x:c>
    </x:row>
    <x:row r="448" ht="42" customHeight="1">
      <x:c r="A448" s="28" t="b">
        <x:v>0</x:v>
      </x:c>
      <x:c r="B448" s="2" t="str">
        <x:v>Cycle 3</x:v>
      </x:c>
      <x:c r="C448" s="2" t="str">
        <x:v>Phase 3</x:v>
      </x:c>
      <x:c r="D448" s="2" t="str">
        <x:v>CSBBO - Banking Ops</x:v>
      </x:c>
      <x:c r="E448" s="56" t="str">
        <x:v>DR.BO.3.1</x:v>
      </x:c>
      <x:c r="F448" s="14" t="str">
        <x:v>Clearly document rationale for each topic recommendation within the SharePoint list item</x:v>
      </x:c>
      <x:c r="G448" s="5"/>
      <x:c r="H448" s="11"/>
      <x:c r="I448" s="11" t="n">
        <x:f>'Cycles &amp; Guide'!$D$12</x:f>
        <x:v>46295</x:v>
      </x:c>
      <x:c r="J448" s="11"/>
      <x:c r="K448" s="29"/>
      <x:c r="L448" s="2" t="str">
        <x:f>IF(O448=1,"Complete",IF(A448,"Checklist open",IF(H448&lt;&gt;"","In progress","Not started")))</x:f>
        <x:v>Not started</x:v>
      </x:c>
      <x:c r="M448" s="2" t="str">
        <x:v>Task</x:v>
      </x:c>
      <x:c r="N448" s="2" t="str">
        <x:v>DR.BO.3.1.2026.CY3</x:v>
      </x:c>
      <x:c r="O448" s="2" t="n">
        <x:f>R448</x:f>
        <x:v>0</x:v>
      </x:c>
      <x:c r="P448" s="2"/>
      <x:c r="Q448" s="2" t="n">
        <x:v>1</x:v>
      </x:c>
      <x:c r="R448" s="2" t="n">
        <x:f>IF(A448,1,0)</x:f>
        <x:v>0</x:v>
      </x:c>
      <x:c r="S448" s="2" t="n">
        <x:f>SUBTOTAL(103,N448)</x:f>
        <x:v>1</x:v>
      </x:c>
    </x:row>
    <x:row r="449" ht="42" customHeight="1">
      <x:c r="A449" s="28" t="b">
        <x:v>0</x:v>
      </x:c>
      <x:c r="B449" s="2" t="str">
        <x:v>Cycle 3</x:v>
      </x:c>
      <x:c r="C449" s="2" t="str">
        <x:v>Phase 3</x:v>
      </x:c>
      <x:c r="D449" s="2" t="str">
        <x:v>CSBBO - Banking Ops</x:v>
      </x:c>
      <x:c r="E449" s="56" t="str">
        <x:v>DR.BO.3.2</x:v>
      </x:c>
      <x:c r="F449" s="14" t="str">
        <x:v>Attach the data package for each topic recommendation within the SharePoint list item</x:v>
      </x:c>
      <x:c r="G449" s="5"/>
      <x:c r="H449" s="11"/>
      <x:c r="I449" s="11" t="n">
        <x:f>'Cycles &amp; Guide'!$D$12</x:f>
        <x:v>46295</x:v>
      </x:c>
      <x:c r="J449" s="11"/>
      <x:c r="K449" s="29"/>
      <x:c r="L449" s="2" t="str">
        <x:f>IF(O449=1,"Complete",IF(A449,"Checklist open",IF(H449&lt;&gt;"","In progress","Not started")))</x:f>
        <x:v>Not started</x:v>
      </x:c>
      <x:c r="M449" s="2" t="str">
        <x:v>Task</x:v>
      </x:c>
      <x:c r="N449" s="2" t="str">
        <x:v>DR.BO.3.2.2026.CY3</x:v>
      </x:c>
      <x:c r="O449" s="2" t="n">
        <x:f>R449</x:f>
        <x:v>0</x:v>
      </x:c>
      <x:c r="P449" s="2"/>
      <x:c r="Q449" s="2" t="n">
        <x:v>1</x:v>
      </x:c>
      <x:c r="R449" s="2" t="n">
        <x:f>IF(A449,1,0)</x:f>
        <x:v>0</x:v>
      </x:c>
      <x:c r="S449" s="2" t="n">
        <x:f>SUBTOTAL(103,N449)</x:f>
        <x:v>1</x:v>
      </x:c>
    </x:row>
    <x:row r="450" ht="42" customHeight="1">
      <x:c r="A450" s="28" t="b">
        <x:v>0</x:v>
      </x:c>
      <x:c r="B450" s="2" t="str">
        <x:v>Cycle 3</x:v>
      </x:c>
      <x:c r="C450" s="2" t="str">
        <x:v>Phase 3</x:v>
      </x:c>
      <x:c r="D450" s="2" t="str">
        <x:v>CSBBO - Banking Ops</x:v>
      </x:c>
      <x:c r="E450" s="56" t="str">
        <x:v>DR.BO.3.3</x:v>
      </x:c>
      <x:c r="F450" s="14" t="str">
        <x:v>Confirm data privileges have been granted, ensuring each pillar can access</x:v>
      </x:c>
      <x:c r="G450" s="5"/>
      <x:c r="H450" s="11"/>
      <x:c r="I450" s="11" t="n">
        <x:f>'Cycles &amp; Guide'!$D$12</x:f>
        <x:v>46295</x:v>
      </x:c>
      <x:c r="J450" s="11"/>
      <x:c r="K450" s="29"/>
      <x:c r="L450" s="2" t="str">
        <x:f>IF(O450=1,"Complete",IF(A450,"Checklist open",IF(H450&lt;&gt;"","In progress","Not started")))</x:f>
        <x:v>Not started</x:v>
      </x:c>
      <x:c r="M450" s="2" t="str">
        <x:v>Task</x:v>
      </x:c>
      <x:c r="N450" s="2" t="str">
        <x:v>DR.BO.3.3.2026.CY3</x:v>
      </x:c>
      <x:c r="O450" s="2" t="n">
        <x:f>R450</x:f>
        <x:v>0</x:v>
      </x:c>
      <x:c r="P450" s="2"/>
      <x:c r="Q450" s="2" t="n">
        <x:v>1</x:v>
      </x:c>
      <x:c r="R450" s="2" t="n">
        <x:f>IF(A450,1,0)</x:f>
        <x:v>0</x:v>
      </x:c>
      <x:c r="S450" s="2" t="n">
        <x:f>SUBTOTAL(103,N450)</x:f>
        <x:v>1</x:v>
      </x:c>
    </x:row>
    <x:row r="451" ht="42" customHeight="1">
      <x:c r="A451" s="28" t="b">
        <x:v>0</x:v>
      </x:c>
      <x:c r="B451" s="2" t="str">
        <x:v>Cycle 3</x:v>
      </x:c>
      <x:c r="C451" s="2" t="str">
        <x:v>Phase 3</x:v>
      </x:c>
      <x:c r="D451" s="2" t="str">
        <x:v>CSBBO - Banking Ops</x:v>
      </x:c>
      <x:c r="E451" s="56" t="str">
        <x:v>DR.BO.3.4</x:v>
      </x:c>
      <x:c r="F451" s="14" t="str">
        <x:v>Ensure Power Automate notifications were correctly triggered within Microsoft Teams</x:v>
      </x:c>
      <x:c r="G451" s="5"/>
      <x:c r="H451" s="11"/>
      <x:c r="I451" s="11" t="n">
        <x:f>'Cycles &amp; Guide'!$D$12</x:f>
        <x:v>46295</x:v>
      </x:c>
      <x:c r="J451" s="11"/>
      <x:c r="K451" s="29"/>
      <x:c r="L451" s="2" t="str">
        <x:f>IF(O451=1,"Complete",IF(A451,"Checklist open",IF(H451&lt;&gt;"","In progress","Not started")))</x:f>
        <x:v>Not started</x:v>
      </x:c>
      <x:c r="M451" s="2" t="str">
        <x:v>Task</x:v>
      </x:c>
      <x:c r="N451" s="2" t="str">
        <x:v>DR.BO.3.4.2026.CY3</x:v>
      </x:c>
      <x:c r="O451" s="2" t="n">
        <x:f>R451</x:f>
        <x:v>0</x:v>
      </x:c>
      <x:c r="P451" s="2"/>
      <x:c r="Q451" s="2" t="n">
        <x:v>1</x:v>
      </x:c>
      <x:c r="R451" s="2" t="n">
        <x:f>IF(A451,1,0)</x:f>
        <x:v>0</x:v>
      </x:c>
      <x:c r="S451" s="2" t="n">
        <x:f>SUBTOTAL(103,N451)</x:f>
        <x:v>1</x:v>
      </x:c>
    </x:row>
    <x:row r="452" ht="42" customHeight="1">
      <x:c r="A452" s="28" t="b">
        <x:v>0</x:v>
      </x:c>
      <x:c r="B452" s="2" t="str">
        <x:v>Cycle 3</x:v>
      </x:c>
      <x:c r="C452" s="2" t="str">
        <x:v>Phase 1</x:v>
      </x:c>
      <x:c r="D452" s="2" t="str">
        <x:v>CSBBO - Customer Service</x:v>
      </x:c>
      <x:c r="E452" s="56" t="str">
        <x:v>DR.CS.1.1</x:v>
      </x:c>
      <x:c r="F452" s="14" t="str">
        <x:v>Review data sources 3 weeks prior to Cycle start (Complaints, Gen AI, Loudspeaker, NPS, etc.)</x:v>
      </x:c>
      <x:c r="G452" s="5"/>
      <x:c r="H452" s="11"/>
      <x:c r="I452" s="11" t="n">
        <x:f>'Cycles &amp; Guide'!$C$12-21</x:f>
        <x:v>46183</x:v>
      </x:c>
      <x:c r="J452" s="11"/>
      <x:c r="K452" s="29"/>
      <x:c r="L452" s="2" t="str">
        <x:f>IF(O452=1,"Complete",IF(A452,"Checklist open",IF(H452&lt;&gt;"","In progress","Not started")))</x:f>
        <x:v>Not started</x:v>
      </x:c>
      <x:c r="M452" s="2" t="str">
        <x:v>Task</x:v>
      </x:c>
      <x:c r="N452" s="2" t="str">
        <x:v>DR.CS.1.1.2026.CY3</x:v>
      </x:c>
      <x:c r="O452" s="2" t="n">
        <x:f>R452</x:f>
        <x:v>0</x:v>
      </x:c>
      <x:c r="P452" s="2"/>
      <x:c r="Q452" s="2" t="n">
        <x:v>1</x:v>
      </x:c>
      <x:c r="R452" s="2" t="n">
        <x:f>IF(A452,1,0)</x:f>
        <x:v>0</x:v>
      </x:c>
      <x:c r="S452" s="2" t="n">
        <x:f>SUBTOTAL(103,N452)</x:f>
        <x:v>1</x:v>
      </x:c>
    </x:row>
    <x:row r="453" ht="42" customHeight="1">
      <x:c r="A453" s="28" t="b">
        <x:v>0</x:v>
      </x:c>
      <x:c r="B453" s="2" t="str">
        <x:v>Cycle 3</x:v>
      </x:c>
      <x:c r="C453" s="2" t="str">
        <x:v>Phase 1</x:v>
      </x:c>
      <x:c r="D453" s="2" t="str">
        <x:v>CSBBO - Customer Service</x:v>
      </x:c>
      <x:c r="E453" s="56" t="str">
        <x:v>DR.CS.1.2</x:v>
      </x:c>
      <x:c r="F453" s="14" t="str">
        <x:v>Identify two potential topics for the upcoming Cycle</x:v>
      </x:c>
      <x:c r="G453" s="5"/>
      <x:c r="H453" s="11"/>
      <x:c r="I453" s="11" t="n">
        <x:f>'Cycles &amp; Guide'!$D$12</x:f>
        <x:v>46295</x:v>
      </x:c>
      <x:c r="J453" s="11"/>
      <x:c r="K453" s="29"/>
      <x:c r="L453" s="2" t="str">
        <x:f>IF(O453=1,"Complete",IF(A453,"Checklist open",IF(H453&lt;&gt;"","In progress","Not started")))</x:f>
        <x:v>Not started</x:v>
      </x:c>
      <x:c r="M453" s="2" t="str">
        <x:v>Task</x:v>
      </x:c>
      <x:c r="N453" s="2" t="str">
        <x:v>DR.CS.1.2.2026.CY3</x:v>
      </x:c>
      <x:c r="O453" s="2" t="n">
        <x:f>R453</x:f>
        <x:v>0</x:v>
      </x:c>
      <x:c r="P453" s="2"/>
      <x:c r="Q453" s="2" t="n">
        <x:v>1</x:v>
      </x:c>
      <x:c r="R453" s="2" t="n">
        <x:f>IF(A453,1,0)</x:f>
        <x:v>0</x:v>
      </x:c>
      <x:c r="S453" s="2" t="n">
        <x:f>SUBTOTAL(103,N453)</x:f>
        <x:v>1</x:v>
      </x:c>
    </x:row>
    <x:row r="454" ht="42" customHeight="1">
      <x:c r="A454" s="28" t="b">
        <x:v>0</x:v>
      </x:c>
      <x:c r="B454" s="2" t="str">
        <x:v>Cycle 3</x:v>
      </x:c>
      <x:c r="C454" s="2" t="str">
        <x:v>Phase 1</x:v>
      </x:c>
      <x:c r="D454" s="2" t="str">
        <x:v>CSBBO - Customer Service</x:v>
      </x:c>
      <x:c r="E454" s="68" t="str">
        <x:v>DR.CS.1.3</x:v>
      </x:c>
      <x:c r="F454" s="33" t="str">
        <x:v>Extract data for both potential topics, ensuring all checklist items below are included/completed</x:v>
      </x:c>
      <x:c r="G454" s="5"/>
      <x:c r="H454" s="11"/>
      <x:c r="I454" s="11" t="n">
        <x:f>'Cycles &amp; Guide'!$D$12</x:f>
        <x:v>46295</x:v>
      </x:c>
      <x:c r="J454" s="11"/>
      <x:c r="K454" s="29"/>
      <x:c r="L454" s="2" t="str">
        <x:f>IF(O454=1,"Complete",IF(A454,"Checklist open",IF(H454&lt;&gt;"","In progress","Not started")))</x:f>
        <x:v>Not started</x:v>
      </x:c>
      <x:c r="M454" s="2" t="str">
        <x:v>Task</x:v>
      </x:c>
      <x:c r="N454" s="2" t="str">
        <x:v>DR.CS.1.3.2026.CY3</x:v>
      </x:c>
      <x:c r="O454" s="2" t="n">
        <x:f>IF(A454,IF(SUMIFS($R$10:$R$737,$P$10:$P$737,N454)=13,1,0),0)</x:f>
        <x:v>0</x:v>
      </x:c>
      <x:c r="P454" s="2"/>
      <x:c r="Q454" s="2" t="n">
        <x:v>1</x:v>
      </x:c>
      <x:c r="R454" s="2" t="n">
        <x:f>IF(A454,1,0)</x:f>
        <x:v>0</x:v>
      </x:c>
      <x:c r="S454" s="2" t="n">
        <x:f>SUBTOTAL(103,N454)</x:f>
        <x:v>1</x:v>
      </x:c>
    </x:row>
    <x:row r="455" ht="31" customHeight="1" outlineLevel="1">
      <x:c r="A455" s="28" t="b">
        <x:v>0</x:v>
      </x:c>
      <x:c r="B455" s="36" t="str">
        <x:v>Cycle 3</x:v>
      </x:c>
      <x:c r="C455" s="36" t="str">
        <x:v>Phase 1</x:v>
      </x:c>
      <x:c r="D455" s="36" t="str">
        <x:v>CSBBO - Customer Service</x:v>
      </x:c>
      <x:c r="E455" s="69" t="str">
        <x:v>DR.CS.1.3.C01</x:v>
      </x:c>
      <x:c r="F455" s="37" t="str">
        <x:v>    Document date range extracted</x:v>
      </x:c>
      <x:c r="G455" s="5"/>
      <x:c r="H455" s="11"/>
      <x:c r="I455" s="11"/>
      <x:c r="J455" s="11"/>
      <x:c r="K455" s="29"/>
      <x:c r="L455" s="2" t="str">
        <x:f>IF(A455,"Complete","Open check")</x:f>
        <x:v>Open check</x:v>
      </x:c>
      <x:c r="M455" s="2" t="str">
        <x:v>Checklist</x:v>
      </x:c>
      <x:c r="N455" s="2" t="str">
        <x:v>DR.CS.1.3.C01.2026.CY3</x:v>
      </x:c>
      <x:c r="O455" s="2" t="n">
        <x:f>R455</x:f>
        <x:v>0</x:v>
      </x:c>
      <x:c r="P455" s="2" t="str">
        <x:v>DR.CS.1.3.2026.CY3</x:v>
      </x:c>
      <x:c r="Q455" s="2" t="n">
        <x:v>0</x:v>
      </x:c>
      <x:c r="R455" s="2" t="n">
        <x:f>IF(A455,1,0)</x:f>
        <x:v>0</x:v>
      </x:c>
      <x:c r="S455" s="2" t="n">
        <x:f>SUBTOTAL(103,N455)</x:f>
        <x:v>1</x:v>
      </x:c>
    </x:row>
    <x:row r="456" ht="31" customHeight="1" outlineLevel="1">
      <x:c r="A456" s="28" t="b">
        <x:v>0</x:v>
      </x:c>
      <x:c r="B456" s="36" t="str">
        <x:v>Cycle 3</x:v>
      </x:c>
      <x:c r="C456" s="36" t="str">
        <x:v>Phase 1</x:v>
      </x:c>
      <x:c r="D456" s="36" t="str">
        <x:v>CSBBO - Customer Service</x:v>
      </x:c>
      <x:c r="E456" s="69" t="str">
        <x:v>DR.CS.1.3.C02</x:v>
      </x:c>
      <x:c r="F456" s="37" t="str">
        <x:v>    Document date of data pull</x:v>
      </x:c>
      <x:c r="G456" s="5"/>
      <x:c r="H456" s="11"/>
      <x:c r="I456" s="11"/>
      <x:c r="J456" s="11"/>
      <x:c r="K456" s="29"/>
      <x:c r="L456" s="2" t="str">
        <x:f>IF(A456,"Complete","Open check")</x:f>
        <x:v>Open check</x:v>
      </x:c>
      <x:c r="M456" s="2" t="str">
        <x:v>Checklist</x:v>
      </x:c>
      <x:c r="N456" s="2" t="str">
        <x:v>DR.CS.1.3.C02.2026.CY3</x:v>
      </x:c>
      <x:c r="O456" s="2" t="n">
        <x:f>R456</x:f>
        <x:v>0</x:v>
      </x:c>
      <x:c r="P456" s="2" t="str">
        <x:v>DR.CS.1.3.2026.CY3</x:v>
      </x:c>
      <x:c r="Q456" s="2" t="n">
        <x:v>0</x:v>
      </x:c>
      <x:c r="R456" s="2" t="n">
        <x:f>IF(A456,1,0)</x:f>
        <x:v>0</x:v>
      </x:c>
      <x:c r="S456" s="2" t="n">
        <x:f>SUBTOTAL(103,N456)</x:f>
        <x:v>1</x:v>
      </x:c>
    </x:row>
    <x:row r="457" ht="31" customHeight="1" outlineLevel="1">
      <x:c r="A457" s="28" t="b">
        <x:v>0</x:v>
      </x:c>
      <x:c r="B457" s="36" t="str">
        <x:v>Cycle 3</x:v>
      </x:c>
      <x:c r="C457" s="36" t="str">
        <x:v>Phase 1</x:v>
      </x:c>
      <x:c r="D457" s="36" t="str">
        <x:v>CSBBO - Customer Service</x:v>
      </x:c>
      <x:c r="E457" s="69" t="str">
        <x:v>DR.CS.1.3.C03</x:v>
      </x:c>
      <x:c r="F457" s="37" t="str">
        <x:v>    Document population details</x:v>
      </x:c>
      <x:c r="G457" s="5"/>
      <x:c r="H457" s="11"/>
      <x:c r="I457" s="11"/>
      <x:c r="J457" s="11"/>
      <x:c r="K457" s="29"/>
      <x:c r="L457" s="2" t="str">
        <x:f>IF(A457,"Complete","Open check")</x:f>
        <x:v>Open check</x:v>
      </x:c>
      <x:c r="M457" s="2" t="str">
        <x:v>Checklist</x:v>
      </x:c>
      <x:c r="N457" s="2" t="str">
        <x:v>DR.CS.1.3.C03.2026.CY3</x:v>
      </x:c>
      <x:c r="O457" s="2" t="n">
        <x:f>R457</x:f>
        <x:v>0</x:v>
      </x:c>
      <x:c r="P457" s="2" t="str">
        <x:v>DR.CS.1.3.2026.CY3</x:v>
      </x:c>
      <x:c r="Q457" s="2" t="n">
        <x:v>0</x:v>
      </x:c>
      <x:c r="R457" s="2" t="n">
        <x:f>IF(A457,1,0)</x:f>
        <x:v>0</x:v>
      </x:c>
      <x:c r="S457" s="2" t="n">
        <x:f>SUBTOTAL(103,N457)</x:f>
        <x:v>1</x:v>
      </x:c>
    </x:row>
    <x:row r="458" ht="31" customHeight="1" outlineLevel="1">
      <x:c r="A458" s="28" t="b">
        <x:v>0</x:v>
      </x:c>
      <x:c r="B458" s="36" t="str">
        <x:v>Cycle 3</x:v>
      </x:c>
      <x:c r="C458" s="36" t="str">
        <x:v>Phase 1</x:v>
      </x:c>
      <x:c r="D458" s="36" t="str">
        <x:v>CSBBO - Customer Service</x:v>
      </x:c>
      <x:c r="E458" s="69" t="str">
        <x:v>DR.CS.1.3.C04</x:v>
      </x:c>
      <x:c r="F458" s="37" t="str">
        <x:v>    Validate no data is missing</x:v>
      </x:c>
      <x:c r="G458" s="5"/>
      <x:c r="H458" s="11"/>
      <x:c r="I458" s="11"/>
      <x:c r="J458" s="11"/>
      <x:c r="K458" s="29"/>
      <x:c r="L458" s="2" t="str">
        <x:f>IF(A458,"Complete","Open check")</x:f>
        <x:v>Open check</x:v>
      </x:c>
      <x:c r="M458" s="2" t="str">
        <x:v>Checklist</x:v>
      </x:c>
      <x:c r="N458" s="2" t="str">
        <x:v>DR.CS.1.3.C04.2026.CY3</x:v>
      </x:c>
      <x:c r="O458" s="2" t="n">
        <x:f>R458</x:f>
        <x:v>0</x:v>
      </x:c>
      <x:c r="P458" s="2" t="str">
        <x:v>DR.CS.1.3.2026.CY3</x:v>
      </x:c>
      <x:c r="Q458" s="2" t="n">
        <x:v>0</x:v>
      </x:c>
      <x:c r="R458" s="2" t="n">
        <x:f>IF(A458,1,0)</x:f>
        <x:v>0</x:v>
      </x:c>
      <x:c r="S458" s="2" t="n">
        <x:f>SUBTOTAL(103,N458)</x:f>
        <x:v>1</x:v>
      </x:c>
    </x:row>
    <x:row r="459" ht="31" customHeight="1" outlineLevel="1">
      <x:c r="A459" s="28" t="b">
        <x:v>0</x:v>
      </x:c>
      <x:c r="B459" s="36" t="str">
        <x:v>Cycle 3</x:v>
      </x:c>
      <x:c r="C459" s="36" t="str">
        <x:v>Phase 1</x:v>
      </x:c>
      <x:c r="D459" s="36" t="str">
        <x:v>CSBBO - Customer Service</x:v>
      </x:c>
      <x:c r="E459" s="69" t="str">
        <x:v>DR.CS.1.3.C05</x:v>
      </x:c>
      <x:c r="F459" s="37" t="str">
        <x:v>    Validate accuracy of data</x:v>
      </x:c>
      <x:c r="G459" s="5"/>
      <x:c r="H459" s="11"/>
      <x:c r="I459" s="11"/>
      <x:c r="J459" s="11"/>
      <x:c r="K459" s="29"/>
      <x:c r="L459" s="2" t="str">
        <x:f>IF(A459,"Complete","Open check")</x:f>
        <x:v>Open check</x:v>
      </x:c>
      <x:c r="M459" s="2" t="str">
        <x:v>Checklist</x:v>
      </x:c>
      <x:c r="N459" s="2" t="str">
        <x:v>DR.CS.1.3.C05.2026.CY3</x:v>
      </x:c>
      <x:c r="O459" s="2" t="n">
        <x:f>R459</x:f>
        <x:v>0</x:v>
      </x:c>
      <x:c r="P459" s="2" t="str">
        <x:v>DR.CS.1.3.2026.CY3</x:v>
      </x:c>
      <x:c r="Q459" s="2" t="n">
        <x:v>0</x:v>
      </x:c>
      <x:c r="R459" s="2" t="n">
        <x:f>IF(A459,1,0)</x:f>
        <x:v>0</x:v>
      </x:c>
      <x:c r="S459" s="2" t="n">
        <x:f>SUBTOTAL(103,N459)</x:f>
        <x:v>1</x:v>
      </x:c>
    </x:row>
    <x:row r="460" ht="31" customHeight="1" outlineLevel="1">
      <x:c r="A460" s="28" t="b">
        <x:v>0</x:v>
      </x:c>
      <x:c r="B460" s="36" t="str">
        <x:v>Cycle 3</x:v>
      </x:c>
      <x:c r="C460" s="36" t="str">
        <x:v>Phase 1</x:v>
      </x:c>
      <x:c r="D460" s="36" t="str">
        <x:v>CSBBO - Customer Service</x:v>
      </x:c>
      <x:c r="E460" s="69" t="str">
        <x:v>DR.CS.1.3.C06</x:v>
      </x:c>
      <x:c r="F460" s="37" t="str">
        <x:v>    Validate no duplicate data is provided</x:v>
      </x:c>
      <x:c r="G460" s="5"/>
      <x:c r="H460" s="11"/>
      <x:c r="I460" s="11"/>
      <x:c r="J460" s="11"/>
      <x:c r="K460" s="29"/>
      <x:c r="L460" s="2" t="str">
        <x:f>IF(A460,"Complete","Open check")</x:f>
        <x:v>Open check</x:v>
      </x:c>
      <x:c r="M460" s="2" t="str">
        <x:v>Checklist</x:v>
      </x:c>
      <x:c r="N460" s="2" t="str">
        <x:v>DR.CS.1.3.C06.2026.CY3</x:v>
      </x:c>
      <x:c r="O460" s="2" t="n">
        <x:f>R460</x:f>
        <x:v>0</x:v>
      </x:c>
      <x:c r="P460" s="2" t="str">
        <x:v>DR.CS.1.3.2026.CY3</x:v>
      </x:c>
      <x:c r="Q460" s="2" t="n">
        <x:v>0</x:v>
      </x:c>
      <x:c r="R460" s="2" t="n">
        <x:f>IF(A460,1,0)</x:f>
        <x:v>0</x:v>
      </x:c>
      <x:c r="S460" s="2" t="n">
        <x:f>SUBTOTAL(103,N460)</x:f>
        <x:v>1</x:v>
      </x:c>
    </x:row>
    <x:row r="461" ht="31" customHeight="1" outlineLevel="1">
      <x:c r="A461" s="28" t="b">
        <x:v>0</x:v>
      </x:c>
      <x:c r="B461" s="36" t="str">
        <x:v>Cycle 3</x:v>
      </x:c>
      <x:c r="C461" s="36" t="str">
        <x:v>Phase 1</x:v>
      </x:c>
      <x:c r="D461" s="36" t="str">
        <x:v>CSBBO - Customer Service</x:v>
      </x:c>
      <x:c r="E461" s="69" t="str">
        <x:v>DR.CS.1.3.C07</x:v>
      </x:c>
      <x:c r="F461" s="37" t="str">
        <x:v>    Document any data exclusions along with justification (as needed)</x:v>
      </x:c>
      <x:c r="G461" s="5"/>
      <x:c r="H461" s="11"/>
      <x:c r="I461" s="11"/>
      <x:c r="J461" s="11"/>
      <x:c r="K461" s="29"/>
      <x:c r="L461" s="2" t="str">
        <x:f>IF(A461,"Complete","Open check")</x:f>
        <x:v>Open check</x:v>
      </x:c>
      <x:c r="M461" s="2" t="str">
        <x:v>Checklist</x:v>
      </x:c>
      <x:c r="N461" s="2" t="str">
        <x:v>DR.CS.1.3.C07.2026.CY3</x:v>
      </x:c>
      <x:c r="O461" s="2" t="n">
        <x:f>R461</x:f>
        <x:v>0</x:v>
      </x:c>
      <x:c r="P461" s="2" t="str">
        <x:v>DR.CS.1.3.2026.CY3</x:v>
      </x:c>
      <x:c r="Q461" s="2" t="n">
        <x:v>0</x:v>
      </x:c>
      <x:c r="R461" s="2" t="n">
        <x:f>IF(A461,1,0)</x:f>
        <x:v>0</x:v>
      </x:c>
      <x:c r="S461" s="2" t="n">
        <x:f>SUBTOTAL(103,N461)</x:f>
        <x:v>1</x:v>
      </x:c>
    </x:row>
    <x:row r="462" ht="31" customHeight="1" outlineLevel="1">
      <x:c r="A462" s="28" t="b">
        <x:v>0</x:v>
      </x:c>
      <x:c r="B462" s="36" t="str">
        <x:v>Cycle 3</x:v>
      </x:c>
      <x:c r="C462" s="36" t="str">
        <x:v>Phase 1</x:v>
      </x:c>
      <x:c r="D462" s="36" t="str">
        <x:v>CSBBO - Customer Service</x:v>
      </x:c>
      <x:c r="E462" s="69" t="str">
        <x:v>DR.CS.1.3.C08</x:v>
      </x:c>
      <x:c r="F462" s="37" t="str">
        <x:v>    Document any assumptions made with the data (as needed)</x:v>
      </x:c>
      <x:c r="G462" s="5"/>
      <x:c r="H462" s="11"/>
      <x:c r="I462" s="11"/>
      <x:c r="J462" s="11"/>
      <x:c r="K462" s="29"/>
      <x:c r="L462" s="2" t="str">
        <x:f>IF(A462,"Complete","Open check")</x:f>
        <x:v>Open check</x:v>
      </x:c>
      <x:c r="M462" s="2" t="str">
        <x:v>Checklist</x:v>
      </x:c>
      <x:c r="N462" s="2" t="str">
        <x:v>DR.CS.1.3.C08.2026.CY3</x:v>
      </x:c>
      <x:c r="O462" s="2" t="n">
        <x:f>R462</x:f>
        <x:v>0</x:v>
      </x:c>
      <x:c r="P462" s="2" t="str">
        <x:v>DR.CS.1.3.2026.CY3</x:v>
      </x:c>
      <x:c r="Q462" s="2" t="n">
        <x:v>0</x:v>
      </x:c>
      <x:c r="R462" s="2" t="n">
        <x:f>IF(A462,1,0)</x:f>
        <x:v>0</x:v>
      </x:c>
      <x:c r="S462" s="2" t="n">
        <x:f>SUBTOTAL(103,N462)</x:f>
        <x:v>1</x:v>
      </x:c>
    </x:row>
    <x:row r="463" ht="31" customHeight="1" outlineLevel="1">
      <x:c r="A463" s="28" t="b">
        <x:v>0</x:v>
      </x:c>
      <x:c r="B463" s="36" t="str">
        <x:v>Cycle 3</x:v>
      </x:c>
      <x:c r="C463" s="36" t="str">
        <x:v>Phase 1</x:v>
      </x:c>
      <x:c r="D463" s="36" t="str">
        <x:v>CSBBO - Customer Service</x:v>
      </x:c>
      <x:c r="E463" s="69" t="str">
        <x:v>DR.CS.1.3.C09</x:v>
      </x:c>
      <x:c r="F463" s="37" t="str">
        <x:v>    Document any data limitations or constraints clearly (as needed)</x:v>
      </x:c>
      <x:c r="G463" s="5"/>
      <x:c r="H463" s="11"/>
      <x:c r="I463" s="11"/>
      <x:c r="J463" s="11"/>
      <x:c r="K463" s="29"/>
      <x:c r="L463" s="2" t="str">
        <x:f>IF(A463,"Complete","Open check")</x:f>
        <x:v>Open check</x:v>
      </x:c>
      <x:c r="M463" s="2" t="str">
        <x:v>Checklist</x:v>
      </x:c>
      <x:c r="N463" s="2" t="str">
        <x:v>DR.CS.1.3.C09.2026.CY3</x:v>
      </x:c>
      <x:c r="O463" s="2" t="n">
        <x:f>R463</x:f>
        <x:v>0</x:v>
      </x:c>
      <x:c r="P463" s="2" t="str">
        <x:v>DR.CS.1.3.2026.CY3</x:v>
      </x:c>
      <x:c r="Q463" s="2" t="n">
        <x:v>0</x:v>
      </x:c>
      <x:c r="R463" s="2" t="n">
        <x:f>IF(A463,1,0)</x:f>
        <x:v>0</x:v>
      </x:c>
      <x:c r="S463" s="2" t="n">
        <x:f>SUBTOTAL(103,N463)</x:f>
        <x:v>1</x:v>
      </x:c>
    </x:row>
    <x:row r="464" ht="31" customHeight="1" outlineLevel="1">
      <x:c r="A464" s="28" t="b">
        <x:v>0</x:v>
      </x:c>
      <x:c r="B464" s="36" t="str">
        <x:v>Cycle 3</x:v>
      </x:c>
      <x:c r="C464" s="36" t="str">
        <x:v>Phase 1</x:v>
      </x:c>
      <x:c r="D464" s="36" t="str">
        <x:v>CSBBO - Customer Service</x:v>
      </x:c>
      <x:c r="E464" s="69" t="str">
        <x:v>DR.CS.1.3.C10</x:v>
      </x:c>
      <x:c r="F464" s="37" t="str">
        <x:v>    Document data dictionary or field definitions for columns/rows</x:v>
      </x:c>
      <x:c r="G464" s="5"/>
      <x:c r="H464" s="11"/>
      <x:c r="I464" s="11"/>
      <x:c r="J464" s="11"/>
      <x:c r="K464" s="29"/>
      <x:c r="L464" s="2" t="str">
        <x:f>IF(A464,"Complete","Open check")</x:f>
        <x:v>Open check</x:v>
      </x:c>
      <x:c r="M464" s="2" t="str">
        <x:v>Checklist</x:v>
      </x:c>
      <x:c r="N464" s="2" t="str">
        <x:v>DR.CS.1.3.C10.2026.CY3</x:v>
      </x:c>
      <x:c r="O464" s="2" t="n">
        <x:f>R464</x:f>
        <x:v>0</x:v>
      </x:c>
      <x:c r="P464" s="2" t="str">
        <x:v>DR.CS.1.3.2026.CY3</x:v>
      </x:c>
      <x:c r="Q464" s="2" t="n">
        <x:v>0</x:v>
      </x:c>
      <x:c r="R464" s="2" t="n">
        <x:f>IF(A464,1,0)</x:f>
        <x:v>0</x:v>
      </x:c>
      <x:c r="S464" s="2" t="n">
        <x:f>SUBTOTAL(103,N464)</x:f>
        <x:v>1</x:v>
      </x:c>
    </x:row>
    <x:row r="465" ht="31" customHeight="1" outlineLevel="1">
      <x:c r="A465" s="28" t="b">
        <x:v>0</x:v>
      </x:c>
      <x:c r="B465" s="36" t="str">
        <x:v>Cycle 3</x:v>
      </x:c>
      <x:c r="C465" s="36" t="str">
        <x:v>Phase 1</x:v>
      </x:c>
      <x:c r="D465" s="36" t="str">
        <x:v>CSBBO - Customer Service</x:v>
      </x:c>
      <x:c r="E465" s="69" t="str">
        <x:v>DR.CS.1.3.C11</x:v>
      </x:c>
      <x:c r="F465" s="37" t="str">
        <x:v>    Document emerging trends, patterns, or concentrations along with supporting data</x:v>
      </x:c>
      <x:c r="G465" s="5"/>
      <x:c r="H465" s="11"/>
      <x:c r="I465" s="11"/>
      <x:c r="J465" s="11"/>
      <x:c r="K465" s="29"/>
      <x:c r="L465" s="2" t="str">
        <x:f>IF(A465,"Complete","Open check")</x:f>
        <x:v>Open check</x:v>
      </x:c>
      <x:c r="M465" s="2" t="str">
        <x:v>Checklist</x:v>
      </x:c>
      <x:c r="N465" s="2" t="str">
        <x:v>DR.CS.1.3.C11.2026.CY3</x:v>
      </x:c>
      <x:c r="O465" s="2" t="n">
        <x:f>R465</x:f>
        <x:v>0</x:v>
      </x:c>
      <x:c r="P465" s="2" t="str">
        <x:v>DR.CS.1.3.2026.CY3</x:v>
      </x:c>
      <x:c r="Q465" s="2" t="n">
        <x:v>0</x:v>
      </x:c>
      <x:c r="R465" s="2" t="n">
        <x:f>IF(A465,1,0)</x:f>
        <x:v>0</x:v>
      </x:c>
      <x:c r="S465" s="2" t="n">
        <x:f>SUBTOTAL(103,N465)</x:f>
        <x:v>1</x:v>
      </x:c>
    </x:row>
    <x:row r="466" ht="31" customHeight="1" outlineLevel="1">
      <x:c r="A466" s="28" t="b">
        <x:v>0</x:v>
      </x:c>
      <x:c r="B466" s="36" t="str">
        <x:v>Cycle 3</x:v>
      </x:c>
      <x:c r="C466" s="36" t="str">
        <x:v>Phase 1</x:v>
      </x:c>
      <x:c r="D466" s="36" t="str">
        <x:v>CSBBO - Customer Service</x:v>
      </x:c>
      <x:c r="E466" s="69" t="str">
        <x:v>DR.CS.1.3.C12</x:v>
      </x:c>
      <x:c r="F466" s="37" t="str">
        <x:v>    Document any severe spikes in volume along with context (as needed)</x:v>
      </x:c>
      <x:c r="G466" s="5"/>
      <x:c r="H466" s="11"/>
      <x:c r="I466" s="11"/>
      <x:c r="J466" s="11"/>
      <x:c r="K466" s="29"/>
      <x:c r="L466" s="2" t="str">
        <x:f>IF(A466,"Complete","Open check")</x:f>
        <x:v>Open check</x:v>
      </x:c>
      <x:c r="M466" s="2" t="str">
        <x:v>Checklist</x:v>
      </x:c>
      <x:c r="N466" s="2" t="str">
        <x:v>DR.CS.1.3.C12.2026.CY3</x:v>
      </x:c>
      <x:c r="O466" s="2" t="n">
        <x:f>R466</x:f>
        <x:v>0</x:v>
      </x:c>
      <x:c r="P466" s="2" t="str">
        <x:v>DR.CS.1.3.2026.CY3</x:v>
      </x:c>
      <x:c r="Q466" s="2" t="n">
        <x:v>0</x:v>
      </x:c>
      <x:c r="R466" s="2" t="n">
        <x:f>IF(A466,1,0)</x:f>
        <x:v>0</x:v>
      </x:c>
      <x:c r="S466" s="2" t="n">
        <x:f>SUBTOTAL(103,N466)</x:f>
        <x:v>1</x:v>
      </x:c>
    </x:row>
    <x:row r="467" ht="31" customHeight="1" outlineLevel="1">
      <x:c r="A467" s="28" t="b">
        <x:v>0</x:v>
      </x:c>
      <x:c r="B467" s="36" t="str">
        <x:v>Cycle 3</x:v>
      </x:c>
      <x:c r="C467" s="36" t="str">
        <x:v>Phase 1</x:v>
      </x:c>
      <x:c r="D467" s="36" t="str">
        <x:v>CSBBO - Customer Service</x:v>
      </x:c>
      <x:c r="E467" s="69" t="str">
        <x:v>DR.CS.1.3.C13</x:v>
      </x:c>
      <x:c r="F467" s="37" t="str">
        <x:v>    Document clear summary explaining how the data connects to the potential topic</x:v>
      </x:c>
      <x:c r="G467" s="5"/>
      <x:c r="H467" s="11"/>
      <x:c r="I467" s="11"/>
      <x:c r="J467" s="11"/>
      <x:c r="K467" s="29"/>
      <x:c r="L467" s="2" t="str">
        <x:f>IF(A467,"Complete","Open check")</x:f>
        <x:v>Open check</x:v>
      </x:c>
      <x:c r="M467" s="2" t="str">
        <x:v>Checklist</x:v>
      </x:c>
      <x:c r="N467" s="2" t="str">
        <x:v>DR.CS.1.3.C13.2026.CY3</x:v>
      </x:c>
      <x:c r="O467" s="2" t="n">
        <x:f>R467</x:f>
        <x:v>0</x:v>
      </x:c>
      <x:c r="P467" s="2" t="str">
        <x:v>DR.CS.1.3.2026.CY3</x:v>
      </x:c>
      <x:c r="Q467" s="2" t="n">
        <x:v>0</x:v>
      </x:c>
      <x:c r="R467" s="2" t="n">
        <x:f>IF(A467,1,0)</x:f>
        <x:v>0</x:v>
      </x:c>
      <x:c r="S467" s="2" t="n">
        <x:f>SUBTOTAL(103,N467)</x:f>
        <x:v>1</x:v>
      </x:c>
    </x:row>
    <x:row r="468" ht="42" customHeight="1">
      <x:c r="A468" s="28" t="b">
        <x:v>0</x:v>
      </x:c>
      <x:c r="B468" s="2" t="str">
        <x:v>Cycle 3</x:v>
      </x:c>
      <x:c r="C468" s="2" t="str">
        <x:v>Phase 2</x:v>
      </x:c>
      <x:c r="D468" s="2" t="str">
        <x:v>CSBBO - Customer Service</x:v>
      </x:c>
      <x:c r="E468" s="56" t="str">
        <x:v>DR.CS.2.1</x:v>
      </x:c>
      <x:c r="F468" s="14" t="str">
        <x:v>Ensure data is clean, structured, and usable without manipulation needed</x:v>
      </x:c>
      <x:c r="G468" s="5"/>
      <x:c r="H468" s="11"/>
      <x:c r="I468" s="11" t="n">
        <x:f>'Cycles &amp; Guide'!$D$12</x:f>
        <x:v>46295</x:v>
      </x:c>
      <x:c r="J468" s="11"/>
      <x:c r="K468" s="29"/>
      <x:c r="L468" s="2" t="str">
        <x:f>IF(O468=1,"Complete",IF(A468,"Checklist open",IF(H468&lt;&gt;"","In progress","Not started")))</x:f>
        <x:v>Not started</x:v>
      </x:c>
      <x:c r="M468" s="2" t="str">
        <x:v>Task</x:v>
      </x:c>
      <x:c r="N468" s="2" t="str">
        <x:v>DR.CS.2.1.2026.CY3</x:v>
      </x:c>
      <x:c r="O468" s="2" t="n">
        <x:f>R468</x:f>
        <x:v>0</x:v>
      </x:c>
      <x:c r="P468" s="2"/>
      <x:c r="Q468" s="2" t="n">
        <x:v>1</x:v>
      </x:c>
      <x:c r="R468" s="2" t="n">
        <x:f>IF(A468,1,0)</x:f>
        <x:v>0</x:v>
      </x:c>
      <x:c r="S468" s="2" t="n">
        <x:f>SUBTOTAL(103,N468)</x:f>
        <x:v>1</x:v>
      </x:c>
    </x:row>
    <x:row r="469" ht="42" customHeight="1">
      <x:c r="A469" s="28" t="b">
        <x:v>0</x:v>
      </x:c>
      <x:c r="B469" s="2" t="str">
        <x:v>Cycle 3</x:v>
      </x:c>
      <x:c r="C469" s="2" t="str">
        <x:v>Phase 2</x:v>
      </x:c>
      <x:c r="D469" s="2" t="str">
        <x:v>CSBBO - Customer Service</x:v>
      </x:c>
      <x:c r="E469" s="56" t="str">
        <x:v>DR.CS.2.2</x:v>
      </x:c>
      <x:c r="F469" s="14" t="str">
        <x:v>Clearly document rationale for each topic recommendation within the SharePoint list</x:v>
      </x:c>
      <x:c r="G469" s="5"/>
      <x:c r="H469" s="11"/>
      <x:c r="I469" s="11" t="n">
        <x:f>'Cycles &amp; Guide'!$D$12</x:f>
        <x:v>46295</x:v>
      </x:c>
      <x:c r="J469" s="11"/>
      <x:c r="K469" s="29"/>
      <x:c r="L469" s="2" t="str">
        <x:f>IF(O469=1,"Complete",IF(A469,"Checklist open",IF(H469&lt;&gt;"","In progress","Not started")))</x:f>
        <x:v>Not started</x:v>
      </x:c>
      <x:c r="M469" s="2" t="str">
        <x:v>Task</x:v>
      </x:c>
      <x:c r="N469" s="2" t="str">
        <x:v>DR.CS.2.2.2026.CY3</x:v>
      </x:c>
      <x:c r="O469" s="2" t="n">
        <x:f>R469</x:f>
        <x:v>0</x:v>
      </x:c>
      <x:c r="P469" s="2"/>
      <x:c r="Q469" s="2" t="n">
        <x:v>1</x:v>
      </x:c>
      <x:c r="R469" s="2" t="n">
        <x:f>IF(A469,1,0)</x:f>
        <x:v>0</x:v>
      </x:c>
      <x:c r="S469" s="2" t="n">
        <x:f>SUBTOTAL(103,N469)</x:f>
        <x:v>1</x:v>
      </x:c>
    </x:row>
    <x:row r="470" ht="42" customHeight="1">
      <x:c r="A470" s="28" t="b">
        <x:v>0</x:v>
      </x:c>
      <x:c r="B470" s="2" t="str">
        <x:v>Cycle 3</x:v>
      </x:c>
      <x:c r="C470" s="2" t="str">
        <x:v>Phase 2</x:v>
      </x:c>
      <x:c r="D470" s="2" t="str">
        <x:v>CSBBO - Customer Service</x:v>
      </x:c>
      <x:c r="E470" s="56" t="str">
        <x:v>DR.CS.2.3</x:v>
      </x:c>
      <x:c r="F470" s="14" t="str">
        <x:v>Verify topic is eligible for RCA and does not conflict with Attorney Client Privilege</x:v>
      </x:c>
      <x:c r="G470" s="5"/>
      <x:c r="H470" s="11"/>
      <x:c r="I470" s="11" t="n">
        <x:f>'Cycles &amp; Guide'!$D$12</x:f>
        <x:v>46295</x:v>
      </x:c>
      <x:c r="J470" s="11"/>
      <x:c r="K470" s="29"/>
      <x:c r="L470" s="2" t="str">
        <x:f>IF(O470=1,"Complete",IF(A470,"Checklist open",IF(H470&lt;&gt;"","In progress","Not started")))</x:f>
        <x:v>Not started</x:v>
      </x:c>
      <x:c r="M470" s="2" t="str">
        <x:v>Task</x:v>
      </x:c>
      <x:c r="N470" s="2" t="str">
        <x:v>DR.CS.2.3.2026.CY3</x:v>
      </x:c>
      <x:c r="O470" s="2" t="n">
        <x:f>R470</x:f>
        <x:v>0</x:v>
      </x:c>
      <x:c r="P470" s="2"/>
      <x:c r="Q470" s="2" t="n">
        <x:v>1</x:v>
      </x:c>
      <x:c r="R470" s="2" t="n">
        <x:f>IF(A470,1,0)</x:f>
        <x:v>0</x:v>
      </x:c>
      <x:c r="S470" s="2" t="n">
        <x:f>SUBTOTAL(103,N470)</x:f>
        <x:v>1</x:v>
      </x:c>
    </x:row>
    <x:row r="471" ht="42" customHeight="1">
      <x:c r="A471" s="28" t="b">
        <x:v>0</x:v>
      </x:c>
      <x:c r="B471" s="2" t="str">
        <x:v>Cycle 3</x:v>
      </x:c>
      <x:c r="C471" s="2" t="str">
        <x:v>Phase 2</x:v>
      </x:c>
      <x:c r="D471" s="2" t="str">
        <x:v>CSBBO - Customer Service</x:v>
      </x:c>
      <x:c r="E471" s="56" t="str">
        <x:v>DR.CS.2.4</x:v>
      </x:c>
      <x:c r="F471" s="14" t="str">
        <x:v>Ensure data is free of errors and anomalies prior to hand-off to Research</x:v>
      </x:c>
      <x:c r="G471" s="5"/>
      <x:c r="H471" s="11"/>
      <x:c r="I471" s="11" t="n">
        <x:f>'Cycles &amp; Guide'!$D$12</x:f>
        <x:v>46295</x:v>
      </x:c>
      <x:c r="J471" s="11"/>
      <x:c r="K471" s="29"/>
      <x:c r="L471" s="2" t="str">
        <x:f>IF(O471=1,"Complete",IF(A471,"Checklist open",IF(H471&lt;&gt;"","In progress","Not started")))</x:f>
        <x:v>Not started</x:v>
      </x:c>
      <x:c r="M471" s="2" t="str">
        <x:v>Task</x:v>
      </x:c>
      <x:c r="N471" s="2" t="str">
        <x:v>DR.CS.2.4.2026.CY3</x:v>
      </x:c>
      <x:c r="O471" s="2" t="n">
        <x:f>R471</x:f>
        <x:v>0</x:v>
      </x:c>
      <x:c r="P471" s="2"/>
      <x:c r="Q471" s="2" t="n">
        <x:v>1</x:v>
      </x:c>
      <x:c r="R471" s="2" t="n">
        <x:f>IF(A471,1,0)</x:f>
        <x:v>0</x:v>
      </x:c>
      <x:c r="S471" s="2" t="n">
        <x:f>SUBTOTAL(103,N471)</x:f>
        <x:v>1</x:v>
      </x:c>
    </x:row>
    <x:row r="472" ht="42" customHeight="1">
      <x:c r="A472" s="28" t="b">
        <x:v>0</x:v>
      </x:c>
      <x:c r="B472" s="2" t="str">
        <x:v>Cycle 3</x:v>
      </x:c>
      <x:c r="C472" s="2" t="str">
        <x:v>Phase 2</x:v>
      </x:c>
      <x:c r="D472" s="2" t="str">
        <x:v>CSBBO - Customer Service</x:v>
      </x:c>
      <x:c r="E472" s="56" t="str">
        <x:v>DR.CS.2.5</x:v>
      </x:c>
      <x:c r="F472" s="14" t="str">
        <x:v>Ensure topic is not a duplicate from a previous Cycle</x:v>
      </x:c>
      <x:c r="G472" s="5"/>
      <x:c r="H472" s="11"/>
      <x:c r="I472" s="11" t="n">
        <x:f>'Cycles &amp; Guide'!$D$12</x:f>
        <x:v>46295</x:v>
      </x:c>
      <x:c r="J472" s="11"/>
      <x:c r="K472" s="29"/>
      <x:c r="L472" s="2" t="str">
        <x:f>IF(O472=1,"Complete",IF(A472,"Checklist open",IF(H472&lt;&gt;"","In progress","Not started")))</x:f>
        <x:v>Not started</x:v>
      </x:c>
      <x:c r="M472" s="2" t="str">
        <x:v>Task</x:v>
      </x:c>
      <x:c r="N472" s="2" t="str">
        <x:v>DR.CS.2.5.2026.CY3</x:v>
      </x:c>
      <x:c r="O472" s="2" t="n">
        <x:f>R472</x:f>
        <x:v>0</x:v>
      </x:c>
      <x:c r="P472" s="2"/>
      <x:c r="Q472" s="2" t="n">
        <x:v>1</x:v>
      </x:c>
      <x:c r="R472" s="2" t="n">
        <x:f>IF(A472,1,0)</x:f>
        <x:v>0</x:v>
      </x:c>
      <x:c r="S472" s="2" t="n">
        <x:f>SUBTOTAL(103,N472)</x:f>
        <x:v>1</x:v>
      </x:c>
    </x:row>
    <x:row r="473" ht="42" customHeight="1">
      <x:c r="A473" s="28" t="b">
        <x:v>0</x:v>
      </x:c>
      <x:c r="B473" s="2" t="str">
        <x:v>Cycle 3</x:v>
      </x:c>
      <x:c r="C473" s="2" t="str">
        <x:v>Phase 2</x:v>
      </x:c>
      <x:c r="D473" s="2" t="str">
        <x:v>CSBBO - Customer Service</x:v>
      </x:c>
      <x:c r="E473" s="56" t="str">
        <x:v>DR.CS.2.6</x:v>
      </x:c>
      <x:c r="F473" s="14" t="str">
        <x:v>Document clear distinctions between facts, assumptions, and hypotheses within the data package</x:v>
      </x:c>
      <x:c r="G473" s="5"/>
      <x:c r="H473" s="11"/>
      <x:c r="I473" s="11" t="n">
        <x:f>'Cycles &amp; Guide'!$D$12</x:f>
        <x:v>46295</x:v>
      </x:c>
      <x:c r="J473" s="11"/>
      <x:c r="K473" s="29"/>
      <x:c r="L473" s="2" t="str">
        <x:f>IF(O473=1,"Complete",IF(A473,"Checklist open",IF(H473&lt;&gt;"","In progress","Not started")))</x:f>
        <x:v>Not started</x:v>
      </x:c>
      <x:c r="M473" s="2" t="str">
        <x:v>Task</x:v>
      </x:c>
      <x:c r="N473" s="2" t="str">
        <x:v>DR.CS.2.6.2026.CY3</x:v>
      </x:c>
      <x:c r="O473" s="2" t="n">
        <x:f>R473</x:f>
        <x:v>0</x:v>
      </x:c>
      <x:c r="P473" s="2"/>
      <x:c r="Q473" s="2" t="n">
        <x:v>1</x:v>
      </x:c>
      <x:c r="R473" s="2" t="n">
        <x:f>IF(A473,1,0)</x:f>
        <x:v>0</x:v>
      </x:c>
      <x:c r="S473" s="2" t="n">
        <x:f>SUBTOTAL(103,N473)</x:f>
        <x:v>1</x:v>
      </x:c>
    </x:row>
    <x:row r="474" ht="42" customHeight="1">
      <x:c r="A474" s="28" t="b">
        <x:v>0</x:v>
      </x:c>
      <x:c r="B474" s="2" t="str">
        <x:v>Cycle 3</x:v>
      </x:c>
      <x:c r="C474" s="2" t="str">
        <x:v>Phase 3</x:v>
      </x:c>
      <x:c r="D474" s="2" t="str">
        <x:v>CSBBO - Customer Service</x:v>
      </x:c>
      <x:c r="E474" s="56" t="str">
        <x:v>DR.CS.3.1</x:v>
      </x:c>
      <x:c r="F474" s="14" t="str">
        <x:v>Clearly document rationale for each topic recommendation within the SharePoint list item</x:v>
      </x:c>
      <x:c r="G474" s="5"/>
      <x:c r="H474" s="11"/>
      <x:c r="I474" s="11" t="n">
        <x:f>'Cycles &amp; Guide'!$D$12</x:f>
        <x:v>46295</x:v>
      </x:c>
      <x:c r="J474" s="11"/>
      <x:c r="K474" s="29"/>
      <x:c r="L474" s="2" t="str">
        <x:f>IF(O474=1,"Complete",IF(A474,"Checklist open",IF(H474&lt;&gt;"","In progress","Not started")))</x:f>
        <x:v>Not started</x:v>
      </x:c>
      <x:c r="M474" s="2" t="str">
        <x:v>Task</x:v>
      </x:c>
      <x:c r="N474" s="2" t="str">
        <x:v>DR.CS.3.1.2026.CY3</x:v>
      </x:c>
      <x:c r="O474" s="2" t="n">
        <x:f>R474</x:f>
        <x:v>0</x:v>
      </x:c>
      <x:c r="P474" s="2"/>
      <x:c r="Q474" s="2" t="n">
        <x:v>1</x:v>
      </x:c>
      <x:c r="R474" s="2" t="n">
        <x:f>IF(A474,1,0)</x:f>
        <x:v>0</x:v>
      </x:c>
      <x:c r="S474" s="2" t="n">
        <x:f>SUBTOTAL(103,N474)</x:f>
        <x:v>1</x:v>
      </x:c>
    </x:row>
    <x:row r="475" ht="42" customHeight="1">
      <x:c r="A475" s="28" t="b">
        <x:v>0</x:v>
      </x:c>
      <x:c r="B475" s="2" t="str">
        <x:v>Cycle 3</x:v>
      </x:c>
      <x:c r="C475" s="2" t="str">
        <x:v>Phase 3</x:v>
      </x:c>
      <x:c r="D475" s="2" t="str">
        <x:v>CSBBO - Customer Service</x:v>
      </x:c>
      <x:c r="E475" s="56" t="str">
        <x:v>DR.CS.3.2</x:v>
      </x:c>
      <x:c r="F475" s="14" t="str">
        <x:v>Attach the data package for each topic recommendation within the SharePoint list item</x:v>
      </x:c>
      <x:c r="G475" s="5"/>
      <x:c r="H475" s="11"/>
      <x:c r="I475" s="11" t="n">
        <x:f>'Cycles &amp; Guide'!$D$12</x:f>
        <x:v>46295</x:v>
      </x:c>
      <x:c r="J475" s="11"/>
      <x:c r="K475" s="29"/>
      <x:c r="L475" s="2" t="str">
        <x:f>IF(O475=1,"Complete",IF(A475,"Checklist open",IF(H475&lt;&gt;"","In progress","Not started")))</x:f>
        <x:v>Not started</x:v>
      </x:c>
      <x:c r="M475" s="2" t="str">
        <x:v>Task</x:v>
      </x:c>
      <x:c r="N475" s="2" t="str">
        <x:v>DR.CS.3.2.2026.CY3</x:v>
      </x:c>
      <x:c r="O475" s="2" t="n">
        <x:f>R475</x:f>
        <x:v>0</x:v>
      </x:c>
      <x:c r="P475" s="2"/>
      <x:c r="Q475" s="2" t="n">
        <x:v>1</x:v>
      </x:c>
      <x:c r="R475" s="2" t="n">
        <x:f>IF(A475,1,0)</x:f>
        <x:v>0</x:v>
      </x:c>
      <x:c r="S475" s="2" t="n">
        <x:f>SUBTOTAL(103,N475)</x:f>
        <x:v>1</x:v>
      </x:c>
    </x:row>
    <x:row r="476" ht="42" customHeight="1">
      <x:c r="A476" s="28" t="b">
        <x:v>0</x:v>
      </x:c>
      <x:c r="B476" s="2" t="str">
        <x:v>Cycle 3</x:v>
      </x:c>
      <x:c r="C476" s="2" t="str">
        <x:v>Phase 3</x:v>
      </x:c>
      <x:c r="D476" s="2" t="str">
        <x:v>CSBBO - Customer Service</x:v>
      </x:c>
      <x:c r="E476" s="56" t="str">
        <x:v>DR.CS.3.3</x:v>
      </x:c>
      <x:c r="F476" s="14" t="str">
        <x:v>Confirm data privileges have been granted, ensuring each pillar can access</x:v>
      </x:c>
      <x:c r="G476" s="5"/>
      <x:c r="H476" s="11"/>
      <x:c r="I476" s="11" t="n">
        <x:f>'Cycles &amp; Guide'!$D$12</x:f>
        <x:v>46295</x:v>
      </x:c>
      <x:c r="J476" s="11"/>
      <x:c r="K476" s="29"/>
      <x:c r="L476" s="2" t="str">
        <x:f>IF(O476=1,"Complete",IF(A476,"Checklist open",IF(H476&lt;&gt;"","In progress","Not started")))</x:f>
        <x:v>Not started</x:v>
      </x:c>
      <x:c r="M476" s="2" t="str">
        <x:v>Task</x:v>
      </x:c>
      <x:c r="N476" s="2" t="str">
        <x:v>DR.CS.3.3.2026.CY3</x:v>
      </x:c>
      <x:c r="O476" s="2" t="n">
        <x:f>R476</x:f>
        <x:v>0</x:v>
      </x:c>
      <x:c r="P476" s="2"/>
      <x:c r="Q476" s="2" t="n">
        <x:v>1</x:v>
      </x:c>
      <x:c r="R476" s="2" t="n">
        <x:f>IF(A476,1,0)</x:f>
        <x:v>0</x:v>
      </x:c>
      <x:c r="S476" s="2" t="n">
        <x:f>SUBTOTAL(103,N476)</x:f>
        <x:v>1</x:v>
      </x:c>
    </x:row>
    <x:row r="477" ht="42" customHeight="1">
      <x:c r="A477" s="28" t="b">
        <x:v>0</x:v>
      </x:c>
      <x:c r="B477" s="2" t="str">
        <x:v>Cycle 3</x:v>
      </x:c>
      <x:c r="C477" s="2" t="str">
        <x:v>Phase 3</x:v>
      </x:c>
      <x:c r="D477" s="2" t="str">
        <x:v>CSBBO - Customer Service</x:v>
      </x:c>
      <x:c r="E477" s="56" t="str">
        <x:v>DR.CS.3.4</x:v>
      </x:c>
      <x:c r="F477" s="14" t="str">
        <x:v>Ensure Power Automate notifications were correctly triggered within Microsoft Teams</x:v>
      </x:c>
      <x:c r="G477" s="5"/>
      <x:c r="H477" s="11"/>
      <x:c r="I477" s="11" t="n">
        <x:f>'Cycles &amp; Guide'!$D$12</x:f>
        <x:v>46295</x:v>
      </x:c>
      <x:c r="J477" s="11"/>
      <x:c r="K477" s="29"/>
      <x:c r="L477" s="2" t="str">
        <x:f>IF(O477=1,"Complete",IF(A477,"Checklist open",IF(H477&lt;&gt;"","In progress","Not started")))</x:f>
        <x:v>Not started</x:v>
      </x:c>
      <x:c r="M477" s="2" t="str">
        <x:v>Task</x:v>
      </x:c>
      <x:c r="N477" s="2" t="str">
        <x:v>DR.CS.3.4.2026.CY3</x:v>
      </x:c>
      <x:c r="O477" s="2" t="n">
        <x:f>R477</x:f>
        <x:v>0</x:v>
      </x:c>
      <x:c r="P477" s="2"/>
      <x:c r="Q477" s="2" t="n">
        <x:v>1</x:v>
      </x:c>
      <x:c r="R477" s="2" t="n">
        <x:f>IF(A477,1,0)</x:f>
        <x:v>0</x:v>
      </x:c>
      <x:c r="S477" s="2" t="n">
        <x:f>SUBTOTAL(103,N477)</x:f>
        <x:v>1</x:v>
      </x:c>
    </x:row>
    <x:row r="478" ht="42" customHeight="1">
      <x:c r="A478" s="28" t="b">
        <x:v>0</x:v>
      </x:c>
      <x:c r="B478" s="2" t="str">
        <x:v>Cycle 3</x:v>
      </x:c>
      <x:c r="C478" s="2" t="str">
        <x:v>Phase 1</x:v>
      </x:c>
      <x:c r="D478" s="2" t="str">
        <x:v>FCM</x:v>
      </x:c>
      <x:c r="E478" s="56" t="str">
        <x:v>DR.FC.1.1</x:v>
      </x:c>
      <x:c r="F478" s="14" t="str">
        <x:v>Review data sources 3 weeks prior to Cycle start (Complaints, Gen AI, Loudspeaker, NPS, etc.)</x:v>
      </x:c>
      <x:c r="G478" s="5"/>
      <x:c r="H478" s="11"/>
      <x:c r="I478" s="11" t="n">
        <x:f>'Cycles &amp; Guide'!$C$12-21</x:f>
        <x:v>46183</x:v>
      </x:c>
      <x:c r="J478" s="11"/>
      <x:c r="K478" s="29"/>
      <x:c r="L478" s="2" t="str">
        <x:f>IF(O478=1,"Complete",IF(A478,"Checklist open",IF(H478&lt;&gt;"","In progress","Not started")))</x:f>
        <x:v>Not started</x:v>
      </x:c>
      <x:c r="M478" s="2" t="str">
        <x:v>Task</x:v>
      </x:c>
      <x:c r="N478" s="2" t="str">
        <x:v>DR.FC.1.1.2026.CY3</x:v>
      </x:c>
      <x:c r="O478" s="2" t="n">
        <x:f>R478</x:f>
        <x:v>0</x:v>
      </x:c>
      <x:c r="P478" s="2"/>
      <x:c r="Q478" s="2" t="n">
        <x:v>1</x:v>
      </x:c>
      <x:c r="R478" s="2" t="n">
        <x:f>IF(A478,1,0)</x:f>
        <x:v>0</x:v>
      </x:c>
      <x:c r="S478" s="2" t="n">
        <x:f>SUBTOTAL(103,N478)</x:f>
        <x:v>1</x:v>
      </x:c>
    </x:row>
    <x:row r="479" ht="42" customHeight="1">
      <x:c r="A479" s="28" t="b">
        <x:v>0</x:v>
      </x:c>
      <x:c r="B479" s="2" t="str">
        <x:v>Cycle 3</x:v>
      </x:c>
      <x:c r="C479" s="2" t="str">
        <x:v>Phase 1</x:v>
      </x:c>
      <x:c r="D479" s="2" t="str">
        <x:v>FCM</x:v>
      </x:c>
      <x:c r="E479" s="56" t="str">
        <x:v>DR.FC.1.2</x:v>
      </x:c>
      <x:c r="F479" s="14" t="str">
        <x:v>Identify two potential topics for the upcoming Cycle</x:v>
      </x:c>
      <x:c r="G479" s="5"/>
      <x:c r="H479" s="11"/>
      <x:c r="I479" s="11" t="n">
        <x:f>'Cycles &amp; Guide'!$D$12</x:f>
        <x:v>46295</x:v>
      </x:c>
      <x:c r="J479" s="11"/>
      <x:c r="K479" s="29"/>
      <x:c r="L479" s="2" t="str">
        <x:f>IF(O479=1,"Complete",IF(A479,"Checklist open",IF(H479&lt;&gt;"","In progress","Not started")))</x:f>
        <x:v>Not started</x:v>
      </x:c>
      <x:c r="M479" s="2" t="str">
        <x:v>Task</x:v>
      </x:c>
      <x:c r="N479" s="2" t="str">
        <x:v>DR.FC.1.2.2026.CY3</x:v>
      </x:c>
      <x:c r="O479" s="2" t="n">
        <x:f>R479</x:f>
        <x:v>0</x:v>
      </x:c>
      <x:c r="P479" s="2"/>
      <x:c r="Q479" s="2" t="n">
        <x:v>1</x:v>
      </x:c>
      <x:c r="R479" s="2" t="n">
        <x:f>IF(A479,1,0)</x:f>
        <x:v>0</x:v>
      </x:c>
      <x:c r="S479" s="2" t="n">
        <x:f>SUBTOTAL(103,N479)</x:f>
        <x:v>1</x:v>
      </x:c>
    </x:row>
    <x:row r="480" ht="42" customHeight="1">
      <x:c r="A480" s="28" t="b">
        <x:v>0</x:v>
      </x:c>
      <x:c r="B480" s="2" t="str">
        <x:v>Cycle 3</x:v>
      </x:c>
      <x:c r="C480" s="2" t="str">
        <x:v>Phase 1</x:v>
      </x:c>
      <x:c r="D480" s="2" t="str">
        <x:v>FCM</x:v>
      </x:c>
      <x:c r="E480" s="68" t="str">
        <x:v>DR.FC.1.3</x:v>
      </x:c>
      <x:c r="F480" s="33" t="str">
        <x:v>Extract data for both potential topics, ensuring all checklist items below are included/completed</x:v>
      </x:c>
      <x:c r="G480" s="5"/>
      <x:c r="H480" s="11"/>
      <x:c r="I480" s="11" t="n">
        <x:f>'Cycles &amp; Guide'!$D$12</x:f>
        <x:v>46295</x:v>
      </x:c>
      <x:c r="J480" s="11"/>
      <x:c r="K480" s="29"/>
      <x:c r="L480" s="2" t="str">
        <x:f>IF(O480=1,"Complete",IF(A480,"Checklist open",IF(H480&lt;&gt;"","In progress","Not started")))</x:f>
        <x:v>Not started</x:v>
      </x:c>
      <x:c r="M480" s="2" t="str">
        <x:v>Task</x:v>
      </x:c>
      <x:c r="N480" s="2" t="str">
        <x:v>DR.FC.1.3.2026.CY3</x:v>
      </x:c>
      <x:c r="O480" s="2" t="n">
        <x:f>IF(A480,IF(SUMIFS($R$10:$R$737,$P$10:$P$737,N480)=13,1,0),0)</x:f>
        <x:v>0</x:v>
      </x:c>
      <x:c r="P480" s="2"/>
      <x:c r="Q480" s="2" t="n">
        <x:v>1</x:v>
      </x:c>
      <x:c r="R480" s="2" t="n">
        <x:f>IF(A480,1,0)</x:f>
        <x:v>0</x:v>
      </x:c>
      <x:c r="S480" s="2" t="n">
        <x:f>SUBTOTAL(103,N480)</x:f>
        <x:v>1</x:v>
      </x:c>
    </x:row>
    <x:row r="481" ht="31" customHeight="1" outlineLevel="1">
      <x:c r="A481" s="28" t="b">
        <x:v>0</x:v>
      </x:c>
      <x:c r="B481" s="36" t="str">
        <x:v>Cycle 3</x:v>
      </x:c>
      <x:c r="C481" s="36" t="str">
        <x:v>Phase 1</x:v>
      </x:c>
      <x:c r="D481" s="36" t="str">
        <x:v>FCM</x:v>
      </x:c>
      <x:c r="E481" s="69" t="str">
        <x:v>DR.FC.1.3.C01</x:v>
      </x:c>
      <x:c r="F481" s="37" t="str">
        <x:v>    Document date range extracted</x:v>
      </x:c>
      <x:c r="G481" s="5"/>
      <x:c r="H481" s="11"/>
      <x:c r="I481" s="11"/>
      <x:c r="J481" s="11"/>
      <x:c r="K481" s="29"/>
      <x:c r="L481" s="2" t="str">
        <x:f>IF(A481,"Complete","Open check")</x:f>
        <x:v>Open check</x:v>
      </x:c>
      <x:c r="M481" s="2" t="str">
        <x:v>Checklist</x:v>
      </x:c>
      <x:c r="N481" s="2" t="str">
        <x:v>DR.FC.1.3.C01.2026.CY3</x:v>
      </x:c>
      <x:c r="O481" s="2" t="n">
        <x:f>R481</x:f>
        <x:v>0</x:v>
      </x:c>
      <x:c r="P481" s="2" t="str">
        <x:v>DR.FC.1.3.2026.CY3</x:v>
      </x:c>
      <x:c r="Q481" s="2" t="n">
        <x:v>0</x:v>
      </x:c>
      <x:c r="R481" s="2" t="n">
        <x:f>IF(A481,1,0)</x:f>
        <x:v>0</x:v>
      </x:c>
      <x:c r="S481" s="2" t="n">
        <x:f>SUBTOTAL(103,N481)</x:f>
        <x:v>1</x:v>
      </x:c>
    </x:row>
    <x:row r="482" ht="31" customHeight="1" outlineLevel="1">
      <x:c r="A482" s="28" t="b">
        <x:v>0</x:v>
      </x:c>
      <x:c r="B482" s="36" t="str">
        <x:v>Cycle 3</x:v>
      </x:c>
      <x:c r="C482" s="36" t="str">
        <x:v>Phase 1</x:v>
      </x:c>
      <x:c r="D482" s="36" t="str">
        <x:v>FCM</x:v>
      </x:c>
      <x:c r="E482" s="69" t="str">
        <x:v>DR.FC.1.3.C02</x:v>
      </x:c>
      <x:c r="F482" s="37" t="str">
        <x:v>    Document date of data pull</x:v>
      </x:c>
      <x:c r="G482" s="5"/>
      <x:c r="H482" s="11"/>
      <x:c r="I482" s="11"/>
      <x:c r="J482" s="11"/>
      <x:c r="K482" s="29"/>
      <x:c r="L482" s="2" t="str">
        <x:f>IF(A482,"Complete","Open check")</x:f>
        <x:v>Open check</x:v>
      </x:c>
      <x:c r="M482" s="2" t="str">
        <x:v>Checklist</x:v>
      </x:c>
      <x:c r="N482" s="2" t="str">
        <x:v>DR.FC.1.3.C02.2026.CY3</x:v>
      </x:c>
      <x:c r="O482" s="2" t="n">
        <x:f>R482</x:f>
        <x:v>0</x:v>
      </x:c>
      <x:c r="P482" s="2" t="str">
        <x:v>DR.FC.1.3.2026.CY3</x:v>
      </x:c>
      <x:c r="Q482" s="2" t="n">
        <x:v>0</x:v>
      </x:c>
      <x:c r="R482" s="2" t="n">
        <x:f>IF(A482,1,0)</x:f>
        <x:v>0</x:v>
      </x:c>
      <x:c r="S482" s="2" t="n">
        <x:f>SUBTOTAL(103,N482)</x:f>
        <x:v>1</x:v>
      </x:c>
    </x:row>
    <x:row r="483" ht="31" customHeight="1" outlineLevel="1">
      <x:c r="A483" s="28" t="b">
        <x:v>0</x:v>
      </x:c>
      <x:c r="B483" s="36" t="str">
        <x:v>Cycle 3</x:v>
      </x:c>
      <x:c r="C483" s="36" t="str">
        <x:v>Phase 1</x:v>
      </x:c>
      <x:c r="D483" s="36" t="str">
        <x:v>FCM</x:v>
      </x:c>
      <x:c r="E483" s="69" t="str">
        <x:v>DR.FC.1.3.C03</x:v>
      </x:c>
      <x:c r="F483" s="37" t="str">
        <x:v>    Document population details</x:v>
      </x:c>
      <x:c r="G483" s="5"/>
      <x:c r="H483" s="11"/>
      <x:c r="I483" s="11"/>
      <x:c r="J483" s="11"/>
      <x:c r="K483" s="29"/>
      <x:c r="L483" s="2" t="str">
        <x:f>IF(A483,"Complete","Open check")</x:f>
        <x:v>Open check</x:v>
      </x:c>
      <x:c r="M483" s="2" t="str">
        <x:v>Checklist</x:v>
      </x:c>
      <x:c r="N483" s="2" t="str">
        <x:v>DR.FC.1.3.C03.2026.CY3</x:v>
      </x:c>
      <x:c r="O483" s="2" t="n">
        <x:f>R483</x:f>
        <x:v>0</x:v>
      </x:c>
      <x:c r="P483" s="2" t="str">
        <x:v>DR.FC.1.3.2026.CY3</x:v>
      </x:c>
      <x:c r="Q483" s="2" t="n">
        <x:v>0</x:v>
      </x:c>
      <x:c r="R483" s="2" t="n">
        <x:f>IF(A483,1,0)</x:f>
        <x:v>0</x:v>
      </x:c>
      <x:c r="S483" s="2" t="n">
        <x:f>SUBTOTAL(103,N483)</x:f>
        <x:v>1</x:v>
      </x:c>
    </x:row>
    <x:row r="484" ht="31" customHeight="1" outlineLevel="1">
      <x:c r="A484" s="28" t="b">
        <x:v>0</x:v>
      </x:c>
      <x:c r="B484" s="36" t="str">
        <x:v>Cycle 3</x:v>
      </x:c>
      <x:c r="C484" s="36" t="str">
        <x:v>Phase 1</x:v>
      </x:c>
      <x:c r="D484" s="36" t="str">
        <x:v>FCM</x:v>
      </x:c>
      <x:c r="E484" s="69" t="str">
        <x:v>DR.FC.1.3.C04</x:v>
      </x:c>
      <x:c r="F484" s="37" t="str">
        <x:v>    Validate no data is missing</x:v>
      </x:c>
      <x:c r="G484" s="5"/>
      <x:c r="H484" s="11"/>
      <x:c r="I484" s="11"/>
      <x:c r="J484" s="11"/>
      <x:c r="K484" s="29"/>
      <x:c r="L484" s="2" t="str">
        <x:f>IF(A484,"Complete","Open check")</x:f>
        <x:v>Open check</x:v>
      </x:c>
      <x:c r="M484" s="2" t="str">
        <x:v>Checklist</x:v>
      </x:c>
      <x:c r="N484" s="2" t="str">
        <x:v>DR.FC.1.3.C04.2026.CY3</x:v>
      </x:c>
      <x:c r="O484" s="2" t="n">
        <x:f>R484</x:f>
        <x:v>0</x:v>
      </x:c>
      <x:c r="P484" s="2" t="str">
        <x:v>DR.FC.1.3.2026.CY3</x:v>
      </x:c>
      <x:c r="Q484" s="2" t="n">
        <x:v>0</x:v>
      </x:c>
      <x:c r="R484" s="2" t="n">
        <x:f>IF(A484,1,0)</x:f>
        <x:v>0</x:v>
      </x:c>
      <x:c r="S484" s="2" t="n">
        <x:f>SUBTOTAL(103,N484)</x:f>
        <x:v>1</x:v>
      </x:c>
    </x:row>
    <x:row r="485" ht="31" customHeight="1" outlineLevel="1">
      <x:c r="A485" s="28" t="b">
        <x:v>0</x:v>
      </x:c>
      <x:c r="B485" s="36" t="str">
        <x:v>Cycle 3</x:v>
      </x:c>
      <x:c r="C485" s="36" t="str">
        <x:v>Phase 1</x:v>
      </x:c>
      <x:c r="D485" s="36" t="str">
        <x:v>FCM</x:v>
      </x:c>
      <x:c r="E485" s="69" t="str">
        <x:v>DR.FC.1.3.C05</x:v>
      </x:c>
      <x:c r="F485" s="37" t="str">
        <x:v>    Validate accuracy of data</x:v>
      </x:c>
      <x:c r="G485" s="5"/>
      <x:c r="H485" s="11"/>
      <x:c r="I485" s="11"/>
      <x:c r="J485" s="11"/>
      <x:c r="K485" s="29"/>
      <x:c r="L485" s="2" t="str">
        <x:f>IF(A485,"Complete","Open check")</x:f>
        <x:v>Open check</x:v>
      </x:c>
      <x:c r="M485" s="2" t="str">
        <x:v>Checklist</x:v>
      </x:c>
      <x:c r="N485" s="2" t="str">
        <x:v>DR.FC.1.3.C05.2026.CY3</x:v>
      </x:c>
      <x:c r="O485" s="2" t="n">
        <x:f>R485</x:f>
        <x:v>0</x:v>
      </x:c>
      <x:c r="P485" s="2" t="str">
        <x:v>DR.FC.1.3.2026.CY3</x:v>
      </x:c>
      <x:c r="Q485" s="2" t="n">
        <x:v>0</x:v>
      </x:c>
      <x:c r="R485" s="2" t="n">
        <x:f>IF(A485,1,0)</x:f>
        <x:v>0</x:v>
      </x:c>
      <x:c r="S485" s="2" t="n">
        <x:f>SUBTOTAL(103,N485)</x:f>
        <x:v>1</x:v>
      </x:c>
    </x:row>
    <x:row r="486" ht="31" customHeight="1" outlineLevel="1">
      <x:c r="A486" s="28" t="b">
        <x:v>0</x:v>
      </x:c>
      <x:c r="B486" s="36" t="str">
        <x:v>Cycle 3</x:v>
      </x:c>
      <x:c r="C486" s="36" t="str">
        <x:v>Phase 1</x:v>
      </x:c>
      <x:c r="D486" s="36" t="str">
        <x:v>FCM</x:v>
      </x:c>
      <x:c r="E486" s="69" t="str">
        <x:v>DR.FC.1.3.C06</x:v>
      </x:c>
      <x:c r="F486" s="37" t="str">
        <x:v>    Validate no duplicate data is provided</x:v>
      </x:c>
      <x:c r="G486" s="5"/>
      <x:c r="H486" s="11"/>
      <x:c r="I486" s="11"/>
      <x:c r="J486" s="11"/>
      <x:c r="K486" s="29"/>
      <x:c r="L486" s="2" t="str">
        <x:f>IF(A486,"Complete","Open check")</x:f>
        <x:v>Open check</x:v>
      </x:c>
      <x:c r="M486" s="2" t="str">
        <x:v>Checklist</x:v>
      </x:c>
      <x:c r="N486" s="2" t="str">
        <x:v>DR.FC.1.3.C06.2026.CY3</x:v>
      </x:c>
      <x:c r="O486" s="2" t="n">
        <x:f>R486</x:f>
        <x:v>0</x:v>
      </x:c>
      <x:c r="P486" s="2" t="str">
        <x:v>DR.FC.1.3.2026.CY3</x:v>
      </x:c>
      <x:c r="Q486" s="2" t="n">
        <x:v>0</x:v>
      </x:c>
      <x:c r="R486" s="2" t="n">
        <x:f>IF(A486,1,0)</x:f>
        <x:v>0</x:v>
      </x:c>
      <x:c r="S486" s="2" t="n">
        <x:f>SUBTOTAL(103,N486)</x:f>
        <x:v>1</x:v>
      </x:c>
    </x:row>
    <x:row r="487" ht="31" customHeight="1" outlineLevel="1">
      <x:c r="A487" s="28" t="b">
        <x:v>0</x:v>
      </x:c>
      <x:c r="B487" s="36" t="str">
        <x:v>Cycle 3</x:v>
      </x:c>
      <x:c r="C487" s="36" t="str">
        <x:v>Phase 1</x:v>
      </x:c>
      <x:c r="D487" s="36" t="str">
        <x:v>FCM</x:v>
      </x:c>
      <x:c r="E487" s="69" t="str">
        <x:v>DR.FC.1.3.C07</x:v>
      </x:c>
      <x:c r="F487" s="37" t="str">
        <x:v>    Document any data exclusions along with justification (as needed)</x:v>
      </x:c>
      <x:c r="G487" s="5"/>
      <x:c r="H487" s="11"/>
      <x:c r="I487" s="11"/>
      <x:c r="J487" s="11"/>
      <x:c r="K487" s="29"/>
      <x:c r="L487" s="2" t="str">
        <x:f>IF(A487,"Complete","Open check")</x:f>
        <x:v>Open check</x:v>
      </x:c>
      <x:c r="M487" s="2" t="str">
        <x:v>Checklist</x:v>
      </x:c>
      <x:c r="N487" s="2" t="str">
        <x:v>DR.FC.1.3.C07.2026.CY3</x:v>
      </x:c>
      <x:c r="O487" s="2" t="n">
        <x:f>R487</x:f>
        <x:v>0</x:v>
      </x:c>
      <x:c r="P487" s="2" t="str">
        <x:v>DR.FC.1.3.2026.CY3</x:v>
      </x:c>
      <x:c r="Q487" s="2" t="n">
        <x:v>0</x:v>
      </x:c>
      <x:c r="R487" s="2" t="n">
        <x:f>IF(A487,1,0)</x:f>
        <x:v>0</x:v>
      </x:c>
      <x:c r="S487" s="2" t="n">
        <x:f>SUBTOTAL(103,N487)</x:f>
        <x:v>1</x:v>
      </x:c>
    </x:row>
    <x:row r="488" ht="31" customHeight="1" outlineLevel="1">
      <x:c r="A488" s="28" t="b">
        <x:v>0</x:v>
      </x:c>
      <x:c r="B488" s="36" t="str">
        <x:v>Cycle 3</x:v>
      </x:c>
      <x:c r="C488" s="36" t="str">
        <x:v>Phase 1</x:v>
      </x:c>
      <x:c r="D488" s="36" t="str">
        <x:v>FCM</x:v>
      </x:c>
      <x:c r="E488" s="69" t="str">
        <x:v>DR.FC.1.3.C08</x:v>
      </x:c>
      <x:c r="F488" s="37" t="str">
        <x:v>    Document any assumptions made with the data (as needed)</x:v>
      </x:c>
      <x:c r="G488" s="5"/>
      <x:c r="H488" s="11"/>
      <x:c r="I488" s="11"/>
      <x:c r="J488" s="11"/>
      <x:c r="K488" s="29"/>
      <x:c r="L488" s="2" t="str">
        <x:f>IF(A488,"Complete","Open check")</x:f>
        <x:v>Open check</x:v>
      </x:c>
      <x:c r="M488" s="2" t="str">
        <x:v>Checklist</x:v>
      </x:c>
      <x:c r="N488" s="2" t="str">
        <x:v>DR.FC.1.3.C08.2026.CY3</x:v>
      </x:c>
      <x:c r="O488" s="2" t="n">
        <x:f>R488</x:f>
        <x:v>0</x:v>
      </x:c>
      <x:c r="P488" s="2" t="str">
        <x:v>DR.FC.1.3.2026.CY3</x:v>
      </x:c>
      <x:c r="Q488" s="2" t="n">
        <x:v>0</x:v>
      </x:c>
      <x:c r="R488" s="2" t="n">
        <x:f>IF(A488,1,0)</x:f>
        <x:v>0</x:v>
      </x:c>
      <x:c r="S488" s="2" t="n">
        <x:f>SUBTOTAL(103,N488)</x:f>
        <x:v>1</x:v>
      </x:c>
    </x:row>
    <x:row r="489" ht="31" customHeight="1" outlineLevel="1">
      <x:c r="A489" s="28" t="b">
        <x:v>0</x:v>
      </x:c>
      <x:c r="B489" s="36" t="str">
        <x:v>Cycle 3</x:v>
      </x:c>
      <x:c r="C489" s="36" t="str">
        <x:v>Phase 1</x:v>
      </x:c>
      <x:c r="D489" s="36" t="str">
        <x:v>FCM</x:v>
      </x:c>
      <x:c r="E489" s="69" t="str">
        <x:v>DR.FC.1.3.C09</x:v>
      </x:c>
      <x:c r="F489" s="37" t="str">
        <x:v>    Document any data limitations or constraints clearly (as needed)</x:v>
      </x:c>
      <x:c r="G489" s="5"/>
      <x:c r="H489" s="11"/>
      <x:c r="I489" s="11"/>
      <x:c r="J489" s="11"/>
      <x:c r="K489" s="29"/>
      <x:c r="L489" s="2" t="str">
        <x:f>IF(A489,"Complete","Open check")</x:f>
        <x:v>Open check</x:v>
      </x:c>
      <x:c r="M489" s="2" t="str">
        <x:v>Checklist</x:v>
      </x:c>
      <x:c r="N489" s="2" t="str">
        <x:v>DR.FC.1.3.C09.2026.CY3</x:v>
      </x:c>
      <x:c r="O489" s="2" t="n">
        <x:f>R489</x:f>
        <x:v>0</x:v>
      </x:c>
      <x:c r="P489" s="2" t="str">
        <x:v>DR.FC.1.3.2026.CY3</x:v>
      </x:c>
      <x:c r="Q489" s="2" t="n">
        <x:v>0</x:v>
      </x:c>
      <x:c r="R489" s="2" t="n">
        <x:f>IF(A489,1,0)</x:f>
        <x:v>0</x:v>
      </x:c>
      <x:c r="S489" s="2" t="n">
        <x:f>SUBTOTAL(103,N489)</x:f>
        <x:v>1</x:v>
      </x:c>
    </x:row>
    <x:row r="490" ht="31" customHeight="1" outlineLevel="1">
      <x:c r="A490" s="28" t="b">
        <x:v>0</x:v>
      </x:c>
      <x:c r="B490" s="36" t="str">
        <x:v>Cycle 3</x:v>
      </x:c>
      <x:c r="C490" s="36" t="str">
        <x:v>Phase 1</x:v>
      </x:c>
      <x:c r="D490" s="36" t="str">
        <x:v>FCM</x:v>
      </x:c>
      <x:c r="E490" s="69" t="str">
        <x:v>DR.FC.1.3.C10</x:v>
      </x:c>
      <x:c r="F490" s="37" t="str">
        <x:v>    Document data dictionary or field definitions for columns/rows</x:v>
      </x:c>
      <x:c r="G490" s="5"/>
      <x:c r="H490" s="11"/>
      <x:c r="I490" s="11"/>
      <x:c r="J490" s="11"/>
      <x:c r="K490" s="29"/>
      <x:c r="L490" s="2" t="str">
        <x:f>IF(A490,"Complete","Open check")</x:f>
        <x:v>Open check</x:v>
      </x:c>
      <x:c r="M490" s="2" t="str">
        <x:v>Checklist</x:v>
      </x:c>
      <x:c r="N490" s="2" t="str">
        <x:v>DR.FC.1.3.C10.2026.CY3</x:v>
      </x:c>
      <x:c r="O490" s="2" t="n">
        <x:f>R490</x:f>
        <x:v>0</x:v>
      </x:c>
      <x:c r="P490" s="2" t="str">
        <x:v>DR.FC.1.3.2026.CY3</x:v>
      </x:c>
      <x:c r="Q490" s="2" t="n">
        <x:v>0</x:v>
      </x:c>
      <x:c r="R490" s="2" t="n">
        <x:f>IF(A490,1,0)</x:f>
        <x:v>0</x:v>
      </x:c>
      <x:c r="S490" s="2" t="n">
        <x:f>SUBTOTAL(103,N490)</x:f>
        <x:v>1</x:v>
      </x:c>
    </x:row>
    <x:row r="491" ht="31" customHeight="1" outlineLevel="1">
      <x:c r="A491" s="28" t="b">
        <x:v>0</x:v>
      </x:c>
      <x:c r="B491" s="36" t="str">
        <x:v>Cycle 3</x:v>
      </x:c>
      <x:c r="C491" s="36" t="str">
        <x:v>Phase 1</x:v>
      </x:c>
      <x:c r="D491" s="36" t="str">
        <x:v>FCM</x:v>
      </x:c>
      <x:c r="E491" s="69" t="str">
        <x:v>DR.FC.1.3.C11</x:v>
      </x:c>
      <x:c r="F491" s="37" t="str">
        <x:v>    Document emerging trends, patterns, or concentrations along with supporting data</x:v>
      </x:c>
      <x:c r="G491" s="5"/>
      <x:c r="H491" s="11"/>
      <x:c r="I491" s="11"/>
      <x:c r="J491" s="11"/>
      <x:c r="K491" s="29"/>
      <x:c r="L491" s="2" t="str">
        <x:f>IF(A491,"Complete","Open check")</x:f>
        <x:v>Open check</x:v>
      </x:c>
      <x:c r="M491" s="2" t="str">
        <x:v>Checklist</x:v>
      </x:c>
      <x:c r="N491" s="2" t="str">
        <x:v>DR.FC.1.3.C11.2026.CY3</x:v>
      </x:c>
      <x:c r="O491" s="2" t="n">
        <x:f>R491</x:f>
        <x:v>0</x:v>
      </x:c>
      <x:c r="P491" s="2" t="str">
        <x:v>DR.FC.1.3.2026.CY3</x:v>
      </x:c>
      <x:c r="Q491" s="2" t="n">
        <x:v>0</x:v>
      </x:c>
      <x:c r="R491" s="2" t="n">
        <x:f>IF(A491,1,0)</x:f>
        <x:v>0</x:v>
      </x:c>
      <x:c r="S491" s="2" t="n">
        <x:f>SUBTOTAL(103,N491)</x:f>
        <x:v>1</x:v>
      </x:c>
    </x:row>
    <x:row r="492" ht="31" customHeight="1" outlineLevel="1">
      <x:c r="A492" s="28" t="b">
        <x:v>0</x:v>
      </x:c>
      <x:c r="B492" s="36" t="str">
        <x:v>Cycle 3</x:v>
      </x:c>
      <x:c r="C492" s="36" t="str">
        <x:v>Phase 1</x:v>
      </x:c>
      <x:c r="D492" s="36" t="str">
        <x:v>FCM</x:v>
      </x:c>
      <x:c r="E492" s="69" t="str">
        <x:v>DR.FC.1.3.C12</x:v>
      </x:c>
      <x:c r="F492" s="37" t="str">
        <x:v>    Document any severe spikes in volume along with context (as needed)</x:v>
      </x:c>
      <x:c r="G492" s="5"/>
      <x:c r="H492" s="11"/>
      <x:c r="I492" s="11"/>
      <x:c r="J492" s="11"/>
      <x:c r="K492" s="29"/>
      <x:c r="L492" s="2" t="str">
        <x:f>IF(A492,"Complete","Open check")</x:f>
        <x:v>Open check</x:v>
      </x:c>
      <x:c r="M492" s="2" t="str">
        <x:v>Checklist</x:v>
      </x:c>
      <x:c r="N492" s="2" t="str">
        <x:v>DR.FC.1.3.C12.2026.CY3</x:v>
      </x:c>
      <x:c r="O492" s="2" t="n">
        <x:f>R492</x:f>
        <x:v>0</x:v>
      </x:c>
      <x:c r="P492" s="2" t="str">
        <x:v>DR.FC.1.3.2026.CY3</x:v>
      </x:c>
      <x:c r="Q492" s="2" t="n">
        <x:v>0</x:v>
      </x:c>
      <x:c r="R492" s="2" t="n">
        <x:f>IF(A492,1,0)</x:f>
        <x:v>0</x:v>
      </x:c>
      <x:c r="S492" s="2" t="n">
        <x:f>SUBTOTAL(103,N492)</x:f>
        <x:v>1</x:v>
      </x:c>
    </x:row>
    <x:row r="493" ht="31" customHeight="1" outlineLevel="1">
      <x:c r="A493" s="28" t="b">
        <x:v>0</x:v>
      </x:c>
      <x:c r="B493" s="36" t="str">
        <x:v>Cycle 3</x:v>
      </x:c>
      <x:c r="C493" s="36" t="str">
        <x:v>Phase 1</x:v>
      </x:c>
      <x:c r="D493" s="36" t="str">
        <x:v>FCM</x:v>
      </x:c>
      <x:c r="E493" s="69" t="str">
        <x:v>DR.FC.1.3.C13</x:v>
      </x:c>
      <x:c r="F493" s="37" t="str">
        <x:v>    Document clear summary explaining how the data connects to the potential topic</x:v>
      </x:c>
      <x:c r="G493" s="5"/>
      <x:c r="H493" s="11"/>
      <x:c r="I493" s="11"/>
      <x:c r="J493" s="11"/>
      <x:c r="K493" s="29"/>
      <x:c r="L493" s="2" t="str">
        <x:f>IF(A493,"Complete","Open check")</x:f>
        <x:v>Open check</x:v>
      </x:c>
      <x:c r="M493" s="2" t="str">
        <x:v>Checklist</x:v>
      </x:c>
      <x:c r="N493" s="2" t="str">
        <x:v>DR.FC.1.3.C13.2026.CY3</x:v>
      </x:c>
      <x:c r="O493" s="2" t="n">
        <x:f>R493</x:f>
        <x:v>0</x:v>
      </x:c>
      <x:c r="P493" s="2" t="str">
        <x:v>DR.FC.1.3.2026.CY3</x:v>
      </x:c>
      <x:c r="Q493" s="2" t="n">
        <x:v>0</x:v>
      </x:c>
      <x:c r="R493" s="2" t="n">
        <x:f>IF(A493,1,0)</x:f>
        <x:v>0</x:v>
      </x:c>
      <x:c r="S493" s="2" t="n">
        <x:f>SUBTOTAL(103,N493)</x:f>
        <x:v>1</x:v>
      </x:c>
    </x:row>
    <x:row r="494" ht="42" customHeight="1">
      <x:c r="A494" s="28" t="b">
        <x:v>0</x:v>
      </x:c>
      <x:c r="B494" s="2" t="str">
        <x:v>Cycle 3</x:v>
      </x:c>
      <x:c r="C494" s="2" t="str">
        <x:v>Phase 2</x:v>
      </x:c>
      <x:c r="D494" s="2" t="str">
        <x:v>FCM</x:v>
      </x:c>
      <x:c r="E494" s="56" t="str">
        <x:v>DR.FC.2.1</x:v>
      </x:c>
      <x:c r="F494" s="14" t="str">
        <x:v>Ensure data is clean, structured, and usable without manipulation needed</x:v>
      </x:c>
      <x:c r="G494" s="5"/>
      <x:c r="H494" s="11"/>
      <x:c r="I494" s="11" t="n">
        <x:f>'Cycles &amp; Guide'!$D$12</x:f>
        <x:v>46295</x:v>
      </x:c>
      <x:c r="J494" s="11"/>
      <x:c r="K494" s="29"/>
      <x:c r="L494" s="2" t="str">
        <x:f>IF(O494=1,"Complete",IF(A494,"Checklist open",IF(H494&lt;&gt;"","In progress","Not started")))</x:f>
        <x:v>Not started</x:v>
      </x:c>
      <x:c r="M494" s="2" t="str">
        <x:v>Task</x:v>
      </x:c>
      <x:c r="N494" s="2" t="str">
        <x:v>DR.FC.2.1.2026.CY3</x:v>
      </x:c>
      <x:c r="O494" s="2" t="n">
        <x:f>R494</x:f>
        <x:v>0</x:v>
      </x:c>
      <x:c r="P494" s="2"/>
      <x:c r="Q494" s="2" t="n">
        <x:v>1</x:v>
      </x:c>
      <x:c r="R494" s="2" t="n">
        <x:f>IF(A494,1,0)</x:f>
        <x:v>0</x:v>
      </x:c>
      <x:c r="S494" s="2" t="n">
        <x:f>SUBTOTAL(103,N494)</x:f>
        <x:v>1</x:v>
      </x:c>
    </x:row>
    <x:row r="495" ht="42" customHeight="1">
      <x:c r="A495" s="28" t="b">
        <x:v>0</x:v>
      </x:c>
      <x:c r="B495" s="2" t="str">
        <x:v>Cycle 3</x:v>
      </x:c>
      <x:c r="C495" s="2" t="str">
        <x:v>Phase 2</x:v>
      </x:c>
      <x:c r="D495" s="2" t="str">
        <x:v>FCM</x:v>
      </x:c>
      <x:c r="E495" s="56" t="str">
        <x:v>DR.FC.2.2</x:v>
      </x:c>
      <x:c r="F495" s="14" t="str">
        <x:v>Clearly document rationale for each topic recommendation within the SharePoint list</x:v>
      </x:c>
      <x:c r="G495" s="5"/>
      <x:c r="H495" s="11"/>
      <x:c r="I495" s="11" t="n">
        <x:f>'Cycles &amp; Guide'!$D$12</x:f>
        <x:v>46295</x:v>
      </x:c>
      <x:c r="J495" s="11"/>
      <x:c r="K495" s="29"/>
      <x:c r="L495" s="2" t="str">
        <x:f>IF(O495=1,"Complete",IF(A495,"Checklist open",IF(H495&lt;&gt;"","In progress","Not started")))</x:f>
        <x:v>Not started</x:v>
      </x:c>
      <x:c r="M495" s="2" t="str">
        <x:v>Task</x:v>
      </x:c>
      <x:c r="N495" s="2" t="str">
        <x:v>DR.FC.2.2.2026.CY3</x:v>
      </x:c>
      <x:c r="O495" s="2" t="n">
        <x:f>R495</x:f>
        <x:v>0</x:v>
      </x:c>
      <x:c r="P495" s="2"/>
      <x:c r="Q495" s="2" t="n">
        <x:v>1</x:v>
      </x:c>
      <x:c r="R495" s="2" t="n">
        <x:f>IF(A495,1,0)</x:f>
        <x:v>0</x:v>
      </x:c>
      <x:c r="S495" s="2" t="n">
        <x:f>SUBTOTAL(103,N495)</x:f>
        <x:v>1</x:v>
      </x:c>
    </x:row>
    <x:row r="496" ht="42" customHeight="1">
      <x:c r="A496" s="28" t="b">
        <x:v>0</x:v>
      </x:c>
      <x:c r="B496" s="2" t="str">
        <x:v>Cycle 3</x:v>
      </x:c>
      <x:c r="C496" s="2" t="str">
        <x:v>Phase 2</x:v>
      </x:c>
      <x:c r="D496" s="2" t="str">
        <x:v>FCM</x:v>
      </x:c>
      <x:c r="E496" s="56" t="str">
        <x:v>DR.FC.2.3</x:v>
      </x:c>
      <x:c r="F496" s="14" t="str">
        <x:v>Verify topic is eligible for RCA and does not conflict with Attorney Client Privilege</x:v>
      </x:c>
      <x:c r="G496" s="5"/>
      <x:c r="H496" s="11"/>
      <x:c r="I496" s="11" t="n">
        <x:f>'Cycles &amp; Guide'!$D$12</x:f>
        <x:v>46295</x:v>
      </x:c>
      <x:c r="J496" s="11"/>
      <x:c r="K496" s="29"/>
      <x:c r="L496" s="2" t="str">
        <x:f>IF(O496=1,"Complete",IF(A496,"Checklist open",IF(H496&lt;&gt;"","In progress","Not started")))</x:f>
        <x:v>Not started</x:v>
      </x:c>
      <x:c r="M496" s="2" t="str">
        <x:v>Task</x:v>
      </x:c>
      <x:c r="N496" s="2" t="str">
        <x:v>DR.FC.2.3.2026.CY3</x:v>
      </x:c>
      <x:c r="O496" s="2" t="n">
        <x:f>R496</x:f>
        <x:v>0</x:v>
      </x:c>
      <x:c r="P496" s="2"/>
      <x:c r="Q496" s="2" t="n">
        <x:v>1</x:v>
      </x:c>
      <x:c r="R496" s="2" t="n">
        <x:f>IF(A496,1,0)</x:f>
        <x:v>0</x:v>
      </x:c>
      <x:c r="S496" s="2" t="n">
        <x:f>SUBTOTAL(103,N496)</x:f>
        <x:v>1</x:v>
      </x:c>
    </x:row>
    <x:row r="497" ht="42" customHeight="1">
      <x:c r="A497" s="28" t="b">
        <x:v>0</x:v>
      </x:c>
      <x:c r="B497" s="2" t="str">
        <x:v>Cycle 3</x:v>
      </x:c>
      <x:c r="C497" s="2" t="str">
        <x:v>Phase 2</x:v>
      </x:c>
      <x:c r="D497" s="2" t="str">
        <x:v>FCM</x:v>
      </x:c>
      <x:c r="E497" s="56" t="str">
        <x:v>DR.FC.2.4</x:v>
      </x:c>
      <x:c r="F497" s="14" t="str">
        <x:v>Ensure data is free of errors and anomalies prior to hand-off to Research</x:v>
      </x:c>
      <x:c r="G497" s="5"/>
      <x:c r="H497" s="11"/>
      <x:c r="I497" s="11" t="n">
        <x:f>'Cycles &amp; Guide'!$D$12</x:f>
        <x:v>46295</x:v>
      </x:c>
      <x:c r="J497" s="11"/>
      <x:c r="K497" s="29"/>
      <x:c r="L497" s="2" t="str">
        <x:f>IF(O497=1,"Complete",IF(A497,"Checklist open",IF(H497&lt;&gt;"","In progress","Not started")))</x:f>
        <x:v>Not started</x:v>
      </x:c>
      <x:c r="M497" s="2" t="str">
        <x:v>Task</x:v>
      </x:c>
      <x:c r="N497" s="2" t="str">
        <x:v>DR.FC.2.4.2026.CY3</x:v>
      </x:c>
      <x:c r="O497" s="2" t="n">
        <x:f>R497</x:f>
        <x:v>0</x:v>
      </x:c>
      <x:c r="P497" s="2"/>
      <x:c r="Q497" s="2" t="n">
        <x:v>1</x:v>
      </x:c>
      <x:c r="R497" s="2" t="n">
        <x:f>IF(A497,1,0)</x:f>
        <x:v>0</x:v>
      </x:c>
      <x:c r="S497" s="2" t="n">
        <x:f>SUBTOTAL(103,N497)</x:f>
        <x:v>1</x:v>
      </x:c>
    </x:row>
    <x:row r="498" ht="42" customHeight="1">
      <x:c r="A498" s="28" t="b">
        <x:v>0</x:v>
      </x:c>
      <x:c r="B498" s="2" t="str">
        <x:v>Cycle 3</x:v>
      </x:c>
      <x:c r="C498" s="2" t="str">
        <x:v>Phase 2</x:v>
      </x:c>
      <x:c r="D498" s="2" t="str">
        <x:v>FCM</x:v>
      </x:c>
      <x:c r="E498" s="56" t="str">
        <x:v>DR.FC.2.5</x:v>
      </x:c>
      <x:c r="F498" s="14" t="str">
        <x:v>Ensure topic is not a duplicate from a previous Cycle</x:v>
      </x:c>
      <x:c r="G498" s="5"/>
      <x:c r="H498" s="11"/>
      <x:c r="I498" s="11" t="n">
        <x:f>'Cycles &amp; Guide'!$D$12</x:f>
        <x:v>46295</x:v>
      </x:c>
      <x:c r="J498" s="11"/>
      <x:c r="K498" s="29"/>
      <x:c r="L498" s="2" t="str">
        <x:f>IF(O498=1,"Complete",IF(A498,"Checklist open",IF(H498&lt;&gt;"","In progress","Not started")))</x:f>
        <x:v>Not started</x:v>
      </x:c>
      <x:c r="M498" s="2" t="str">
        <x:v>Task</x:v>
      </x:c>
      <x:c r="N498" s="2" t="str">
        <x:v>DR.FC.2.5.2026.CY3</x:v>
      </x:c>
      <x:c r="O498" s="2" t="n">
        <x:f>R498</x:f>
        <x:v>0</x:v>
      </x:c>
      <x:c r="P498" s="2"/>
      <x:c r="Q498" s="2" t="n">
        <x:v>1</x:v>
      </x:c>
      <x:c r="R498" s="2" t="n">
        <x:f>IF(A498,1,0)</x:f>
        <x:v>0</x:v>
      </x:c>
      <x:c r="S498" s="2" t="n">
        <x:f>SUBTOTAL(103,N498)</x:f>
        <x:v>1</x:v>
      </x:c>
    </x:row>
    <x:row r="499" ht="42" customHeight="1">
      <x:c r="A499" s="28" t="b">
        <x:v>0</x:v>
      </x:c>
      <x:c r="B499" s="2" t="str">
        <x:v>Cycle 3</x:v>
      </x:c>
      <x:c r="C499" s="2" t="str">
        <x:v>Phase 2</x:v>
      </x:c>
      <x:c r="D499" s="2" t="str">
        <x:v>FCM</x:v>
      </x:c>
      <x:c r="E499" s="56" t="str">
        <x:v>DR.FC.2.6</x:v>
      </x:c>
      <x:c r="F499" s="14" t="str">
        <x:v>Document clear distinctions between facts, assumptions, and hypotheses within the data package</x:v>
      </x:c>
      <x:c r="G499" s="5"/>
      <x:c r="H499" s="11"/>
      <x:c r="I499" s="11" t="n">
        <x:f>'Cycles &amp; Guide'!$D$12</x:f>
        <x:v>46295</x:v>
      </x:c>
      <x:c r="J499" s="11"/>
      <x:c r="K499" s="29"/>
      <x:c r="L499" s="2" t="str">
        <x:f>IF(O499=1,"Complete",IF(A499,"Checklist open",IF(H499&lt;&gt;"","In progress","Not started")))</x:f>
        <x:v>Not started</x:v>
      </x:c>
      <x:c r="M499" s="2" t="str">
        <x:v>Task</x:v>
      </x:c>
      <x:c r="N499" s="2" t="str">
        <x:v>DR.FC.2.6.2026.CY3</x:v>
      </x:c>
      <x:c r="O499" s="2" t="n">
        <x:f>R499</x:f>
        <x:v>0</x:v>
      </x:c>
      <x:c r="P499" s="2"/>
      <x:c r="Q499" s="2" t="n">
        <x:v>1</x:v>
      </x:c>
      <x:c r="R499" s="2" t="n">
        <x:f>IF(A499,1,0)</x:f>
        <x:v>0</x:v>
      </x:c>
      <x:c r="S499" s="2" t="n">
        <x:f>SUBTOTAL(103,N499)</x:f>
        <x:v>1</x:v>
      </x:c>
    </x:row>
    <x:row r="500" ht="42" customHeight="1">
      <x:c r="A500" s="28" t="b">
        <x:v>0</x:v>
      </x:c>
      <x:c r="B500" s="2" t="str">
        <x:v>Cycle 3</x:v>
      </x:c>
      <x:c r="C500" s="2" t="str">
        <x:v>Phase 3</x:v>
      </x:c>
      <x:c r="D500" s="2" t="str">
        <x:v>FCM</x:v>
      </x:c>
      <x:c r="E500" s="56" t="str">
        <x:v>DR.FC.3.1</x:v>
      </x:c>
      <x:c r="F500" s="14" t="str">
        <x:v>Clearly document rationale for each topic recommendation within the SharePoint list item</x:v>
      </x:c>
      <x:c r="G500" s="5"/>
      <x:c r="H500" s="11"/>
      <x:c r="I500" s="11" t="n">
        <x:f>'Cycles &amp; Guide'!$D$12</x:f>
        <x:v>46295</x:v>
      </x:c>
      <x:c r="J500" s="11"/>
      <x:c r="K500" s="29"/>
      <x:c r="L500" s="2" t="str">
        <x:f>IF(O500=1,"Complete",IF(A500,"Checklist open",IF(H500&lt;&gt;"","In progress","Not started")))</x:f>
        <x:v>Not started</x:v>
      </x:c>
      <x:c r="M500" s="2" t="str">
        <x:v>Task</x:v>
      </x:c>
      <x:c r="N500" s="2" t="str">
        <x:v>DR.FC.3.1.2026.CY3</x:v>
      </x:c>
      <x:c r="O500" s="2" t="n">
        <x:f>R500</x:f>
        <x:v>0</x:v>
      </x:c>
      <x:c r="P500" s="2"/>
      <x:c r="Q500" s="2" t="n">
        <x:v>1</x:v>
      </x:c>
      <x:c r="R500" s="2" t="n">
        <x:f>IF(A500,1,0)</x:f>
        <x:v>0</x:v>
      </x:c>
      <x:c r="S500" s="2" t="n">
        <x:f>SUBTOTAL(103,N500)</x:f>
        <x:v>1</x:v>
      </x:c>
    </x:row>
    <x:row r="501" ht="42" customHeight="1">
      <x:c r="A501" s="28" t="b">
        <x:v>0</x:v>
      </x:c>
      <x:c r="B501" s="2" t="str">
        <x:v>Cycle 3</x:v>
      </x:c>
      <x:c r="C501" s="2" t="str">
        <x:v>Phase 3</x:v>
      </x:c>
      <x:c r="D501" s="2" t="str">
        <x:v>FCM</x:v>
      </x:c>
      <x:c r="E501" s="56" t="str">
        <x:v>DR.FC.3.2</x:v>
      </x:c>
      <x:c r="F501" s="14" t="str">
        <x:v>Attach the data package for each topic recommendation within the SharePoint list item</x:v>
      </x:c>
      <x:c r="G501" s="5"/>
      <x:c r="H501" s="11"/>
      <x:c r="I501" s="11" t="n">
        <x:f>'Cycles &amp; Guide'!$D$12</x:f>
        <x:v>46295</x:v>
      </x:c>
      <x:c r="J501" s="11"/>
      <x:c r="K501" s="29"/>
      <x:c r="L501" s="2" t="str">
        <x:f>IF(O501=1,"Complete",IF(A501,"Checklist open",IF(H501&lt;&gt;"","In progress","Not started")))</x:f>
        <x:v>Not started</x:v>
      </x:c>
      <x:c r="M501" s="2" t="str">
        <x:v>Task</x:v>
      </x:c>
      <x:c r="N501" s="2" t="str">
        <x:v>DR.FC.3.2.2026.CY3</x:v>
      </x:c>
      <x:c r="O501" s="2" t="n">
        <x:f>R501</x:f>
        <x:v>0</x:v>
      </x:c>
      <x:c r="P501" s="2"/>
      <x:c r="Q501" s="2" t="n">
        <x:v>1</x:v>
      </x:c>
      <x:c r="R501" s="2" t="n">
        <x:f>IF(A501,1,0)</x:f>
        <x:v>0</x:v>
      </x:c>
      <x:c r="S501" s="2" t="n">
        <x:f>SUBTOTAL(103,N501)</x:f>
        <x:v>1</x:v>
      </x:c>
    </x:row>
    <x:row r="502" ht="42" customHeight="1">
      <x:c r="A502" s="28" t="b">
        <x:v>0</x:v>
      </x:c>
      <x:c r="B502" s="2" t="str">
        <x:v>Cycle 3</x:v>
      </x:c>
      <x:c r="C502" s="2" t="str">
        <x:v>Phase 3</x:v>
      </x:c>
      <x:c r="D502" s="2" t="str">
        <x:v>FCM</x:v>
      </x:c>
      <x:c r="E502" s="56" t="str">
        <x:v>DR.FC.3.3</x:v>
      </x:c>
      <x:c r="F502" s="14" t="str">
        <x:v>Confirm data privileges have been granted, ensuring each pillar can access</x:v>
      </x:c>
      <x:c r="G502" s="5"/>
      <x:c r="H502" s="11"/>
      <x:c r="I502" s="11" t="n">
        <x:f>'Cycles &amp; Guide'!$D$12</x:f>
        <x:v>46295</x:v>
      </x:c>
      <x:c r="J502" s="11"/>
      <x:c r="K502" s="29"/>
      <x:c r="L502" s="2" t="str">
        <x:f>IF(O502=1,"Complete",IF(A502,"Checklist open",IF(H502&lt;&gt;"","In progress","Not started")))</x:f>
        <x:v>Not started</x:v>
      </x:c>
      <x:c r="M502" s="2" t="str">
        <x:v>Task</x:v>
      </x:c>
      <x:c r="N502" s="2" t="str">
        <x:v>DR.FC.3.3.2026.CY3</x:v>
      </x:c>
      <x:c r="O502" s="2" t="n">
        <x:f>R502</x:f>
        <x:v>0</x:v>
      </x:c>
      <x:c r="P502" s="2"/>
      <x:c r="Q502" s="2" t="n">
        <x:v>1</x:v>
      </x:c>
      <x:c r="R502" s="2" t="n">
        <x:f>IF(A502,1,0)</x:f>
        <x:v>0</x:v>
      </x:c>
      <x:c r="S502" s="2" t="n">
        <x:f>SUBTOTAL(103,N502)</x:f>
        <x:v>1</x:v>
      </x:c>
    </x:row>
    <x:row r="503" ht="42" customHeight="1">
      <x:c r="A503" s="28" t="b">
        <x:v>0</x:v>
      </x:c>
      <x:c r="B503" s="2" t="str">
        <x:v>Cycle 3</x:v>
      </x:c>
      <x:c r="C503" s="2" t="str">
        <x:v>Phase 3</x:v>
      </x:c>
      <x:c r="D503" s="2" t="str">
        <x:v>FCM</x:v>
      </x:c>
      <x:c r="E503" s="56" t="str">
        <x:v>DR.FC.3.4</x:v>
      </x:c>
      <x:c r="F503" s="14" t="str">
        <x:v>Ensure Power Automate notifications were correctly triggered within Microsoft Teams</x:v>
      </x:c>
      <x:c r="G503" s="5"/>
      <x:c r="H503" s="11"/>
      <x:c r="I503" s="11" t="n">
        <x:f>'Cycles &amp; Guide'!$D$12</x:f>
        <x:v>46295</x:v>
      </x:c>
      <x:c r="J503" s="11"/>
      <x:c r="K503" s="29"/>
      <x:c r="L503" s="2" t="str">
        <x:f>IF(O503=1,"Complete",IF(A503,"Checklist open",IF(H503&lt;&gt;"","In progress","Not started")))</x:f>
        <x:v>Not started</x:v>
      </x:c>
      <x:c r="M503" s="2" t="str">
        <x:v>Task</x:v>
      </x:c>
      <x:c r="N503" s="2" t="str">
        <x:v>DR.FC.3.4.2026.CY3</x:v>
      </x:c>
      <x:c r="O503" s="2" t="n">
        <x:f>R503</x:f>
        <x:v>0</x:v>
      </x:c>
      <x:c r="P503" s="2"/>
      <x:c r="Q503" s="2" t="n">
        <x:v>1</x:v>
      </x:c>
      <x:c r="R503" s="2" t="n">
        <x:f>IF(A503,1,0)</x:f>
        <x:v>0</x:v>
      </x:c>
      <x:c r="S503" s="2" t="n">
        <x:f>SUBTOTAL(103,N503)</x:f>
        <x:v>1</x:v>
      </x:c>
    </x:row>
    <x:row r="504" ht="42" customHeight="1">
      <x:c r="A504" s="28" t="b">
        <x:v>0</x:v>
      </x:c>
      <x:c r="B504" s="2" t="str">
        <x:v>Cycle 3</x:v>
      </x:c>
      <x:c r="C504" s="2" t="str">
        <x:v>Phase 1</x:v>
      </x:c>
      <x:c r="D504" s="2" t="str">
        <x:v>PLL</x:v>
      </x:c>
      <x:c r="E504" s="56" t="str">
        <x:v>DR.PL.1.1</x:v>
      </x:c>
      <x:c r="F504" s="14" t="str">
        <x:v>Review data sources 3 weeks prior to Cycle start (Complaints, Gen AI, Loudspeaker, NPS, etc.)</x:v>
      </x:c>
      <x:c r="G504" s="5"/>
      <x:c r="H504" s="11"/>
      <x:c r="I504" s="11" t="n">
        <x:f>'Cycles &amp; Guide'!$C$12-21</x:f>
        <x:v>46183</x:v>
      </x:c>
      <x:c r="J504" s="11"/>
      <x:c r="K504" s="29"/>
      <x:c r="L504" s="2" t="str">
        <x:f>IF(O504=1,"Complete",IF(A504,"Checklist open",IF(H504&lt;&gt;"","In progress","Not started")))</x:f>
        <x:v>Not started</x:v>
      </x:c>
      <x:c r="M504" s="2" t="str">
        <x:v>Task</x:v>
      </x:c>
      <x:c r="N504" s="2" t="str">
        <x:v>DR.PL.1.1.2026.CY3</x:v>
      </x:c>
      <x:c r="O504" s="2" t="n">
        <x:f>R504</x:f>
        <x:v>0</x:v>
      </x:c>
      <x:c r="P504" s="2"/>
      <x:c r="Q504" s="2" t="n">
        <x:v>1</x:v>
      </x:c>
      <x:c r="R504" s="2" t="n">
        <x:f>IF(A504,1,0)</x:f>
        <x:v>0</x:v>
      </x:c>
      <x:c r="S504" s="2" t="n">
        <x:f>SUBTOTAL(103,N504)</x:f>
        <x:v>1</x:v>
      </x:c>
    </x:row>
    <x:row r="505" ht="42" customHeight="1">
      <x:c r="A505" s="28" t="b">
        <x:v>0</x:v>
      </x:c>
      <x:c r="B505" s="2" t="str">
        <x:v>Cycle 3</x:v>
      </x:c>
      <x:c r="C505" s="2" t="str">
        <x:v>Phase 1</x:v>
      </x:c>
      <x:c r="D505" s="2" t="str">
        <x:v>PLL</x:v>
      </x:c>
      <x:c r="E505" s="56" t="str">
        <x:v>DR.PL.1.2</x:v>
      </x:c>
      <x:c r="F505" s="14" t="str">
        <x:v>Identify two potential topics for the upcoming Cycle</x:v>
      </x:c>
      <x:c r="G505" s="5"/>
      <x:c r="H505" s="11"/>
      <x:c r="I505" s="11" t="n">
        <x:f>'Cycles &amp; Guide'!$D$12</x:f>
        <x:v>46295</x:v>
      </x:c>
      <x:c r="J505" s="11"/>
      <x:c r="K505" s="29"/>
      <x:c r="L505" s="2" t="str">
        <x:f>IF(O505=1,"Complete",IF(A505,"Checklist open",IF(H505&lt;&gt;"","In progress","Not started")))</x:f>
        <x:v>Not started</x:v>
      </x:c>
      <x:c r="M505" s="2" t="str">
        <x:v>Task</x:v>
      </x:c>
      <x:c r="N505" s="2" t="str">
        <x:v>DR.PL.1.2.2026.CY3</x:v>
      </x:c>
      <x:c r="O505" s="2" t="n">
        <x:f>R505</x:f>
        <x:v>0</x:v>
      </x:c>
      <x:c r="P505" s="2"/>
      <x:c r="Q505" s="2" t="n">
        <x:v>1</x:v>
      </x:c>
      <x:c r="R505" s="2" t="n">
        <x:f>IF(A505,1,0)</x:f>
        <x:v>0</x:v>
      </x:c>
      <x:c r="S505" s="2" t="n">
        <x:f>SUBTOTAL(103,N505)</x:f>
        <x:v>1</x:v>
      </x:c>
    </x:row>
    <x:row r="506" ht="42" customHeight="1">
      <x:c r="A506" s="28" t="b">
        <x:v>0</x:v>
      </x:c>
      <x:c r="B506" s="2" t="str">
        <x:v>Cycle 3</x:v>
      </x:c>
      <x:c r="C506" s="2" t="str">
        <x:v>Phase 1</x:v>
      </x:c>
      <x:c r="D506" s="2" t="str">
        <x:v>PLL</x:v>
      </x:c>
      <x:c r="E506" s="68" t="str">
        <x:v>DR.PL.1.3</x:v>
      </x:c>
      <x:c r="F506" s="33" t="str">
        <x:v>Extract data for both potential topics, ensuring all checklist items below are included/completed</x:v>
      </x:c>
      <x:c r="G506" s="5"/>
      <x:c r="H506" s="11"/>
      <x:c r="I506" s="11" t="n">
        <x:f>'Cycles &amp; Guide'!$D$12</x:f>
        <x:v>46295</x:v>
      </x:c>
      <x:c r="J506" s="11"/>
      <x:c r="K506" s="29"/>
      <x:c r="L506" s="2" t="str">
        <x:f>IF(O506=1,"Complete",IF(A506,"Checklist open",IF(H506&lt;&gt;"","In progress","Not started")))</x:f>
        <x:v>Not started</x:v>
      </x:c>
      <x:c r="M506" s="2" t="str">
        <x:v>Task</x:v>
      </x:c>
      <x:c r="N506" s="2" t="str">
        <x:v>DR.PL.1.3.2026.CY3</x:v>
      </x:c>
      <x:c r="O506" s="2" t="n">
        <x:f>IF(A506,IF(SUMIFS($R$10:$R$737,$P$10:$P$737,N506)=13,1,0),0)</x:f>
        <x:v>0</x:v>
      </x:c>
      <x:c r="P506" s="2"/>
      <x:c r="Q506" s="2" t="n">
        <x:v>1</x:v>
      </x:c>
      <x:c r="R506" s="2" t="n">
        <x:f>IF(A506,1,0)</x:f>
        <x:v>0</x:v>
      </x:c>
      <x:c r="S506" s="2" t="n">
        <x:f>SUBTOTAL(103,N506)</x:f>
        <x:v>1</x:v>
      </x:c>
    </x:row>
    <x:row r="507" ht="31" customHeight="1" outlineLevel="1">
      <x:c r="A507" s="28" t="b">
        <x:v>0</x:v>
      </x:c>
      <x:c r="B507" s="36" t="str">
        <x:v>Cycle 3</x:v>
      </x:c>
      <x:c r="C507" s="36" t="str">
        <x:v>Phase 1</x:v>
      </x:c>
      <x:c r="D507" s="36" t="str">
        <x:v>PLL</x:v>
      </x:c>
      <x:c r="E507" s="69" t="str">
        <x:v>DR.PL.1.3.C01</x:v>
      </x:c>
      <x:c r="F507" s="37" t="str">
        <x:v>    Document date range extracted</x:v>
      </x:c>
      <x:c r="G507" s="5"/>
      <x:c r="H507" s="11"/>
      <x:c r="I507" s="11"/>
      <x:c r="J507" s="11"/>
      <x:c r="K507" s="29"/>
      <x:c r="L507" s="2" t="str">
        <x:f>IF(A507,"Complete","Open check")</x:f>
        <x:v>Open check</x:v>
      </x:c>
      <x:c r="M507" s="2" t="str">
        <x:v>Checklist</x:v>
      </x:c>
      <x:c r="N507" s="2" t="str">
        <x:v>DR.PL.1.3.C01.2026.CY3</x:v>
      </x:c>
      <x:c r="O507" s="2" t="n">
        <x:f>R507</x:f>
        <x:v>0</x:v>
      </x:c>
      <x:c r="P507" s="2" t="str">
        <x:v>DR.PL.1.3.2026.CY3</x:v>
      </x:c>
      <x:c r="Q507" s="2" t="n">
        <x:v>0</x:v>
      </x:c>
      <x:c r="R507" s="2" t="n">
        <x:f>IF(A507,1,0)</x:f>
        <x:v>0</x:v>
      </x:c>
      <x:c r="S507" s="2" t="n">
        <x:f>SUBTOTAL(103,N507)</x:f>
        <x:v>1</x:v>
      </x:c>
    </x:row>
    <x:row r="508" ht="31" customHeight="1" outlineLevel="1">
      <x:c r="A508" s="28" t="b">
        <x:v>0</x:v>
      </x:c>
      <x:c r="B508" s="36" t="str">
        <x:v>Cycle 3</x:v>
      </x:c>
      <x:c r="C508" s="36" t="str">
        <x:v>Phase 1</x:v>
      </x:c>
      <x:c r="D508" s="36" t="str">
        <x:v>PLL</x:v>
      </x:c>
      <x:c r="E508" s="69" t="str">
        <x:v>DR.PL.1.3.C02</x:v>
      </x:c>
      <x:c r="F508" s="37" t="str">
        <x:v>    Document date of data pull</x:v>
      </x:c>
      <x:c r="G508" s="5"/>
      <x:c r="H508" s="11"/>
      <x:c r="I508" s="11"/>
      <x:c r="J508" s="11"/>
      <x:c r="K508" s="29"/>
      <x:c r="L508" s="2" t="str">
        <x:f>IF(A508,"Complete","Open check")</x:f>
        <x:v>Open check</x:v>
      </x:c>
      <x:c r="M508" s="2" t="str">
        <x:v>Checklist</x:v>
      </x:c>
      <x:c r="N508" s="2" t="str">
        <x:v>DR.PL.1.3.C02.2026.CY3</x:v>
      </x:c>
      <x:c r="O508" s="2" t="n">
        <x:f>R508</x:f>
        <x:v>0</x:v>
      </x:c>
      <x:c r="P508" s="2" t="str">
        <x:v>DR.PL.1.3.2026.CY3</x:v>
      </x:c>
      <x:c r="Q508" s="2" t="n">
        <x:v>0</x:v>
      </x:c>
      <x:c r="R508" s="2" t="n">
        <x:f>IF(A508,1,0)</x:f>
        <x:v>0</x:v>
      </x:c>
      <x:c r="S508" s="2" t="n">
        <x:f>SUBTOTAL(103,N508)</x:f>
        <x:v>1</x:v>
      </x:c>
    </x:row>
    <x:row r="509" ht="31" customHeight="1" outlineLevel="1">
      <x:c r="A509" s="28" t="b">
        <x:v>0</x:v>
      </x:c>
      <x:c r="B509" s="36" t="str">
        <x:v>Cycle 3</x:v>
      </x:c>
      <x:c r="C509" s="36" t="str">
        <x:v>Phase 1</x:v>
      </x:c>
      <x:c r="D509" s="36" t="str">
        <x:v>PLL</x:v>
      </x:c>
      <x:c r="E509" s="69" t="str">
        <x:v>DR.PL.1.3.C03</x:v>
      </x:c>
      <x:c r="F509" s="37" t="str">
        <x:v>    Document population details</x:v>
      </x:c>
      <x:c r="G509" s="5"/>
      <x:c r="H509" s="11"/>
      <x:c r="I509" s="11"/>
      <x:c r="J509" s="11"/>
      <x:c r="K509" s="29"/>
      <x:c r="L509" s="2" t="str">
        <x:f>IF(A509,"Complete","Open check")</x:f>
        <x:v>Open check</x:v>
      </x:c>
      <x:c r="M509" s="2" t="str">
        <x:v>Checklist</x:v>
      </x:c>
      <x:c r="N509" s="2" t="str">
        <x:v>DR.PL.1.3.C03.2026.CY3</x:v>
      </x:c>
      <x:c r="O509" s="2" t="n">
        <x:f>R509</x:f>
        <x:v>0</x:v>
      </x:c>
      <x:c r="P509" s="2" t="str">
        <x:v>DR.PL.1.3.2026.CY3</x:v>
      </x:c>
      <x:c r="Q509" s="2" t="n">
        <x:v>0</x:v>
      </x:c>
      <x:c r="R509" s="2" t="n">
        <x:f>IF(A509,1,0)</x:f>
        <x:v>0</x:v>
      </x:c>
      <x:c r="S509" s="2" t="n">
        <x:f>SUBTOTAL(103,N509)</x:f>
        <x:v>1</x:v>
      </x:c>
    </x:row>
    <x:row r="510" ht="31" customHeight="1" outlineLevel="1">
      <x:c r="A510" s="28" t="b">
        <x:v>0</x:v>
      </x:c>
      <x:c r="B510" s="36" t="str">
        <x:v>Cycle 3</x:v>
      </x:c>
      <x:c r="C510" s="36" t="str">
        <x:v>Phase 1</x:v>
      </x:c>
      <x:c r="D510" s="36" t="str">
        <x:v>PLL</x:v>
      </x:c>
      <x:c r="E510" s="69" t="str">
        <x:v>DR.PL.1.3.C04</x:v>
      </x:c>
      <x:c r="F510" s="37" t="str">
        <x:v>    Validate no data is missing</x:v>
      </x:c>
      <x:c r="G510" s="5"/>
      <x:c r="H510" s="11"/>
      <x:c r="I510" s="11"/>
      <x:c r="J510" s="11"/>
      <x:c r="K510" s="29"/>
      <x:c r="L510" s="2" t="str">
        <x:f>IF(A510,"Complete","Open check")</x:f>
        <x:v>Open check</x:v>
      </x:c>
      <x:c r="M510" s="2" t="str">
        <x:v>Checklist</x:v>
      </x:c>
      <x:c r="N510" s="2" t="str">
        <x:v>DR.PL.1.3.C04.2026.CY3</x:v>
      </x:c>
      <x:c r="O510" s="2" t="n">
        <x:f>R510</x:f>
        <x:v>0</x:v>
      </x:c>
      <x:c r="P510" s="2" t="str">
        <x:v>DR.PL.1.3.2026.CY3</x:v>
      </x:c>
      <x:c r="Q510" s="2" t="n">
        <x:v>0</x:v>
      </x:c>
      <x:c r="R510" s="2" t="n">
        <x:f>IF(A510,1,0)</x:f>
        <x:v>0</x:v>
      </x:c>
      <x:c r="S510" s="2" t="n">
        <x:f>SUBTOTAL(103,N510)</x:f>
        <x:v>1</x:v>
      </x:c>
    </x:row>
    <x:row r="511" ht="31" customHeight="1" outlineLevel="1">
      <x:c r="A511" s="28" t="b">
        <x:v>0</x:v>
      </x:c>
      <x:c r="B511" s="36" t="str">
        <x:v>Cycle 3</x:v>
      </x:c>
      <x:c r="C511" s="36" t="str">
        <x:v>Phase 1</x:v>
      </x:c>
      <x:c r="D511" s="36" t="str">
        <x:v>PLL</x:v>
      </x:c>
      <x:c r="E511" s="69" t="str">
        <x:v>DR.PL.1.3.C05</x:v>
      </x:c>
      <x:c r="F511" s="37" t="str">
        <x:v>    Validate accuracy of data</x:v>
      </x:c>
      <x:c r="G511" s="5"/>
      <x:c r="H511" s="11"/>
      <x:c r="I511" s="11"/>
      <x:c r="J511" s="11"/>
      <x:c r="K511" s="29"/>
      <x:c r="L511" s="2" t="str">
        <x:f>IF(A511,"Complete","Open check")</x:f>
        <x:v>Open check</x:v>
      </x:c>
      <x:c r="M511" s="2" t="str">
        <x:v>Checklist</x:v>
      </x:c>
      <x:c r="N511" s="2" t="str">
        <x:v>DR.PL.1.3.C05.2026.CY3</x:v>
      </x:c>
      <x:c r="O511" s="2" t="n">
        <x:f>R511</x:f>
        <x:v>0</x:v>
      </x:c>
      <x:c r="P511" s="2" t="str">
        <x:v>DR.PL.1.3.2026.CY3</x:v>
      </x:c>
      <x:c r="Q511" s="2" t="n">
        <x:v>0</x:v>
      </x:c>
      <x:c r="R511" s="2" t="n">
        <x:f>IF(A511,1,0)</x:f>
        <x:v>0</x:v>
      </x:c>
      <x:c r="S511" s="2" t="n">
        <x:f>SUBTOTAL(103,N511)</x:f>
        <x:v>1</x:v>
      </x:c>
    </x:row>
    <x:row r="512" ht="31" customHeight="1" outlineLevel="1">
      <x:c r="A512" s="28" t="b">
        <x:v>0</x:v>
      </x:c>
      <x:c r="B512" s="36" t="str">
        <x:v>Cycle 3</x:v>
      </x:c>
      <x:c r="C512" s="36" t="str">
        <x:v>Phase 1</x:v>
      </x:c>
      <x:c r="D512" s="36" t="str">
        <x:v>PLL</x:v>
      </x:c>
      <x:c r="E512" s="69" t="str">
        <x:v>DR.PL.1.3.C06</x:v>
      </x:c>
      <x:c r="F512" s="37" t="str">
        <x:v>    Validate no duplicate data is provided</x:v>
      </x:c>
      <x:c r="G512" s="5"/>
      <x:c r="H512" s="11"/>
      <x:c r="I512" s="11"/>
      <x:c r="J512" s="11"/>
      <x:c r="K512" s="29"/>
      <x:c r="L512" s="2" t="str">
        <x:f>IF(A512,"Complete","Open check")</x:f>
        <x:v>Open check</x:v>
      </x:c>
      <x:c r="M512" s="2" t="str">
        <x:v>Checklist</x:v>
      </x:c>
      <x:c r="N512" s="2" t="str">
        <x:v>DR.PL.1.3.C06.2026.CY3</x:v>
      </x:c>
      <x:c r="O512" s="2" t="n">
        <x:f>R512</x:f>
        <x:v>0</x:v>
      </x:c>
      <x:c r="P512" s="2" t="str">
        <x:v>DR.PL.1.3.2026.CY3</x:v>
      </x:c>
      <x:c r="Q512" s="2" t="n">
        <x:v>0</x:v>
      </x:c>
      <x:c r="R512" s="2" t="n">
        <x:f>IF(A512,1,0)</x:f>
        <x:v>0</x:v>
      </x:c>
      <x:c r="S512" s="2" t="n">
        <x:f>SUBTOTAL(103,N512)</x:f>
        <x:v>1</x:v>
      </x:c>
    </x:row>
    <x:row r="513" ht="31" customHeight="1" outlineLevel="1">
      <x:c r="A513" s="28" t="b">
        <x:v>0</x:v>
      </x:c>
      <x:c r="B513" s="36" t="str">
        <x:v>Cycle 3</x:v>
      </x:c>
      <x:c r="C513" s="36" t="str">
        <x:v>Phase 1</x:v>
      </x:c>
      <x:c r="D513" s="36" t="str">
        <x:v>PLL</x:v>
      </x:c>
      <x:c r="E513" s="69" t="str">
        <x:v>DR.PL.1.3.C07</x:v>
      </x:c>
      <x:c r="F513" s="37" t="str">
        <x:v>    Document any data exclusions along with justification (as needed)</x:v>
      </x:c>
      <x:c r="G513" s="5"/>
      <x:c r="H513" s="11"/>
      <x:c r="I513" s="11"/>
      <x:c r="J513" s="11"/>
      <x:c r="K513" s="29"/>
      <x:c r="L513" s="2" t="str">
        <x:f>IF(A513,"Complete","Open check")</x:f>
        <x:v>Open check</x:v>
      </x:c>
      <x:c r="M513" s="2" t="str">
        <x:v>Checklist</x:v>
      </x:c>
      <x:c r="N513" s="2" t="str">
        <x:v>DR.PL.1.3.C07.2026.CY3</x:v>
      </x:c>
      <x:c r="O513" s="2" t="n">
        <x:f>R513</x:f>
        <x:v>0</x:v>
      </x:c>
      <x:c r="P513" s="2" t="str">
        <x:v>DR.PL.1.3.2026.CY3</x:v>
      </x:c>
      <x:c r="Q513" s="2" t="n">
        <x:v>0</x:v>
      </x:c>
      <x:c r="R513" s="2" t="n">
        <x:f>IF(A513,1,0)</x:f>
        <x:v>0</x:v>
      </x:c>
      <x:c r="S513" s="2" t="n">
        <x:f>SUBTOTAL(103,N513)</x:f>
        <x:v>1</x:v>
      </x:c>
    </x:row>
    <x:row r="514" ht="31" customHeight="1" outlineLevel="1">
      <x:c r="A514" s="28" t="b">
        <x:v>0</x:v>
      </x:c>
      <x:c r="B514" s="36" t="str">
        <x:v>Cycle 3</x:v>
      </x:c>
      <x:c r="C514" s="36" t="str">
        <x:v>Phase 1</x:v>
      </x:c>
      <x:c r="D514" s="36" t="str">
        <x:v>PLL</x:v>
      </x:c>
      <x:c r="E514" s="69" t="str">
        <x:v>DR.PL.1.3.C08</x:v>
      </x:c>
      <x:c r="F514" s="37" t="str">
        <x:v>    Document any assumptions made with the data (as needed)</x:v>
      </x:c>
      <x:c r="G514" s="5"/>
      <x:c r="H514" s="11"/>
      <x:c r="I514" s="11"/>
      <x:c r="J514" s="11"/>
      <x:c r="K514" s="29"/>
      <x:c r="L514" s="2" t="str">
        <x:f>IF(A514,"Complete","Open check")</x:f>
        <x:v>Open check</x:v>
      </x:c>
      <x:c r="M514" s="2" t="str">
        <x:v>Checklist</x:v>
      </x:c>
      <x:c r="N514" s="2" t="str">
        <x:v>DR.PL.1.3.C08.2026.CY3</x:v>
      </x:c>
      <x:c r="O514" s="2" t="n">
        <x:f>R514</x:f>
        <x:v>0</x:v>
      </x:c>
      <x:c r="P514" s="2" t="str">
        <x:v>DR.PL.1.3.2026.CY3</x:v>
      </x:c>
      <x:c r="Q514" s="2" t="n">
        <x:v>0</x:v>
      </x:c>
      <x:c r="R514" s="2" t="n">
        <x:f>IF(A514,1,0)</x:f>
        <x:v>0</x:v>
      </x:c>
      <x:c r="S514" s="2" t="n">
        <x:f>SUBTOTAL(103,N514)</x:f>
        <x:v>1</x:v>
      </x:c>
    </x:row>
    <x:row r="515" ht="31" customHeight="1" outlineLevel="1">
      <x:c r="A515" s="28" t="b">
        <x:v>0</x:v>
      </x:c>
      <x:c r="B515" s="36" t="str">
        <x:v>Cycle 3</x:v>
      </x:c>
      <x:c r="C515" s="36" t="str">
        <x:v>Phase 1</x:v>
      </x:c>
      <x:c r="D515" s="36" t="str">
        <x:v>PLL</x:v>
      </x:c>
      <x:c r="E515" s="69" t="str">
        <x:v>DR.PL.1.3.C09</x:v>
      </x:c>
      <x:c r="F515" s="37" t="str">
        <x:v>    Document any data limitations or constraints clearly (as needed)</x:v>
      </x:c>
      <x:c r="G515" s="5"/>
      <x:c r="H515" s="11"/>
      <x:c r="I515" s="11"/>
      <x:c r="J515" s="11"/>
      <x:c r="K515" s="29"/>
      <x:c r="L515" s="2" t="str">
        <x:f>IF(A515,"Complete","Open check")</x:f>
        <x:v>Open check</x:v>
      </x:c>
      <x:c r="M515" s="2" t="str">
        <x:v>Checklist</x:v>
      </x:c>
      <x:c r="N515" s="2" t="str">
        <x:v>DR.PL.1.3.C09.2026.CY3</x:v>
      </x:c>
      <x:c r="O515" s="2" t="n">
        <x:f>R515</x:f>
        <x:v>0</x:v>
      </x:c>
      <x:c r="P515" s="2" t="str">
        <x:v>DR.PL.1.3.2026.CY3</x:v>
      </x:c>
      <x:c r="Q515" s="2" t="n">
        <x:v>0</x:v>
      </x:c>
      <x:c r="R515" s="2" t="n">
        <x:f>IF(A515,1,0)</x:f>
        <x:v>0</x:v>
      </x:c>
      <x:c r="S515" s="2" t="n">
        <x:f>SUBTOTAL(103,N515)</x:f>
        <x:v>1</x:v>
      </x:c>
    </x:row>
    <x:row r="516" ht="31" customHeight="1" outlineLevel="1">
      <x:c r="A516" s="28" t="b">
        <x:v>0</x:v>
      </x:c>
      <x:c r="B516" s="36" t="str">
        <x:v>Cycle 3</x:v>
      </x:c>
      <x:c r="C516" s="36" t="str">
        <x:v>Phase 1</x:v>
      </x:c>
      <x:c r="D516" s="36" t="str">
        <x:v>PLL</x:v>
      </x:c>
      <x:c r="E516" s="69" t="str">
        <x:v>DR.PL.1.3.C10</x:v>
      </x:c>
      <x:c r="F516" s="37" t="str">
        <x:v>    Document data dictionary or field definitions for columns/rows</x:v>
      </x:c>
      <x:c r="G516" s="5"/>
      <x:c r="H516" s="11"/>
      <x:c r="I516" s="11"/>
      <x:c r="J516" s="11"/>
      <x:c r="K516" s="29"/>
      <x:c r="L516" s="2" t="str">
        <x:f>IF(A516,"Complete","Open check")</x:f>
        <x:v>Open check</x:v>
      </x:c>
      <x:c r="M516" s="2" t="str">
        <x:v>Checklist</x:v>
      </x:c>
      <x:c r="N516" s="2" t="str">
        <x:v>DR.PL.1.3.C10.2026.CY3</x:v>
      </x:c>
      <x:c r="O516" s="2" t="n">
        <x:f>R516</x:f>
        <x:v>0</x:v>
      </x:c>
      <x:c r="P516" s="2" t="str">
        <x:v>DR.PL.1.3.2026.CY3</x:v>
      </x:c>
      <x:c r="Q516" s="2" t="n">
        <x:v>0</x:v>
      </x:c>
      <x:c r="R516" s="2" t="n">
        <x:f>IF(A516,1,0)</x:f>
        <x:v>0</x:v>
      </x:c>
      <x:c r="S516" s="2" t="n">
        <x:f>SUBTOTAL(103,N516)</x:f>
        <x:v>1</x:v>
      </x:c>
    </x:row>
    <x:row r="517" ht="31" customHeight="1" outlineLevel="1">
      <x:c r="A517" s="28" t="b">
        <x:v>0</x:v>
      </x:c>
      <x:c r="B517" s="36" t="str">
        <x:v>Cycle 3</x:v>
      </x:c>
      <x:c r="C517" s="36" t="str">
        <x:v>Phase 1</x:v>
      </x:c>
      <x:c r="D517" s="36" t="str">
        <x:v>PLL</x:v>
      </x:c>
      <x:c r="E517" s="69" t="str">
        <x:v>DR.PL.1.3.C11</x:v>
      </x:c>
      <x:c r="F517" s="37" t="str">
        <x:v>    Document emerging trends, patterns, or concentrations along with supporting data</x:v>
      </x:c>
      <x:c r="G517" s="5"/>
      <x:c r="H517" s="11"/>
      <x:c r="I517" s="11"/>
      <x:c r="J517" s="11"/>
      <x:c r="K517" s="29"/>
      <x:c r="L517" s="2" t="str">
        <x:f>IF(A517,"Complete","Open check")</x:f>
        <x:v>Open check</x:v>
      </x:c>
      <x:c r="M517" s="2" t="str">
        <x:v>Checklist</x:v>
      </x:c>
      <x:c r="N517" s="2" t="str">
        <x:v>DR.PL.1.3.C11.2026.CY3</x:v>
      </x:c>
      <x:c r="O517" s="2" t="n">
        <x:f>R517</x:f>
        <x:v>0</x:v>
      </x:c>
      <x:c r="P517" s="2" t="str">
        <x:v>DR.PL.1.3.2026.CY3</x:v>
      </x:c>
      <x:c r="Q517" s="2" t="n">
        <x:v>0</x:v>
      </x:c>
      <x:c r="R517" s="2" t="n">
        <x:f>IF(A517,1,0)</x:f>
        <x:v>0</x:v>
      </x:c>
      <x:c r="S517" s="2" t="n">
        <x:f>SUBTOTAL(103,N517)</x:f>
        <x:v>1</x:v>
      </x:c>
    </x:row>
    <x:row r="518" ht="31" customHeight="1" outlineLevel="1">
      <x:c r="A518" s="28" t="b">
        <x:v>0</x:v>
      </x:c>
      <x:c r="B518" s="36" t="str">
        <x:v>Cycle 3</x:v>
      </x:c>
      <x:c r="C518" s="36" t="str">
        <x:v>Phase 1</x:v>
      </x:c>
      <x:c r="D518" s="36" t="str">
        <x:v>PLL</x:v>
      </x:c>
      <x:c r="E518" s="69" t="str">
        <x:v>DR.PL.1.3.C12</x:v>
      </x:c>
      <x:c r="F518" s="37" t="str">
        <x:v>    Document any severe spikes in volume along with context (as needed)</x:v>
      </x:c>
      <x:c r="G518" s="5"/>
      <x:c r="H518" s="11"/>
      <x:c r="I518" s="11"/>
      <x:c r="J518" s="11"/>
      <x:c r="K518" s="29"/>
      <x:c r="L518" s="2" t="str">
        <x:f>IF(A518,"Complete","Open check")</x:f>
        <x:v>Open check</x:v>
      </x:c>
      <x:c r="M518" s="2" t="str">
        <x:v>Checklist</x:v>
      </x:c>
      <x:c r="N518" s="2" t="str">
        <x:v>DR.PL.1.3.C12.2026.CY3</x:v>
      </x:c>
      <x:c r="O518" s="2" t="n">
        <x:f>R518</x:f>
        <x:v>0</x:v>
      </x:c>
      <x:c r="P518" s="2" t="str">
        <x:v>DR.PL.1.3.2026.CY3</x:v>
      </x:c>
      <x:c r="Q518" s="2" t="n">
        <x:v>0</x:v>
      </x:c>
      <x:c r="R518" s="2" t="n">
        <x:f>IF(A518,1,0)</x:f>
        <x:v>0</x:v>
      </x:c>
      <x:c r="S518" s="2" t="n">
        <x:f>SUBTOTAL(103,N518)</x:f>
        <x:v>1</x:v>
      </x:c>
    </x:row>
    <x:row r="519" ht="31" customHeight="1" outlineLevel="1">
      <x:c r="A519" s="28" t="b">
        <x:v>0</x:v>
      </x:c>
      <x:c r="B519" s="36" t="str">
        <x:v>Cycle 3</x:v>
      </x:c>
      <x:c r="C519" s="36" t="str">
        <x:v>Phase 1</x:v>
      </x:c>
      <x:c r="D519" s="36" t="str">
        <x:v>PLL</x:v>
      </x:c>
      <x:c r="E519" s="69" t="str">
        <x:v>DR.PL.1.3.C13</x:v>
      </x:c>
      <x:c r="F519" s="37" t="str">
        <x:v>    Document clear summary explaining how the data connects to the potential topic</x:v>
      </x:c>
      <x:c r="G519" s="5"/>
      <x:c r="H519" s="11"/>
      <x:c r="I519" s="11"/>
      <x:c r="J519" s="11"/>
      <x:c r="K519" s="29"/>
      <x:c r="L519" s="2" t="str">
        <x:f>IF(A519,"Complete","Open check")</x:f>
        <x:v>Open check</x:v>
      </x:c>
      <x:c r="M519" s="2" t="str">
        <x:v>Checklist</x:v>
      </x:c>
      <x:c r="N519" s="2" t="str">
        <x:v>DR.PL.1.3.C13.2026.CY3</x:v>
      </x:c>
      <x:c r="O519" s="2" t="n">
        <x:f>R519</x:f>
        <x:v>0</x:v>
      </x:c>
      <x:c r="P519" s="2" t="str">
        <x:v>DR.PL.1.3.2026.CY3</x:v>
      </x:c>
      <x:c r="Q519" s="2" t="n">
        <x:v>0</x:v>
      </x:c>
      <x:c r="R519" s="2" t="n">
        <x:f>IF(A519,1,0)</x:f>
        <x:v>0</x:v>
      </x:c>
      <x:c r="S519" s="2" t="n">
        <x:f>SUBTOTAL(103,N519)</x:f>
        <x:v>1</x:v>
      </x:c>
    </x:row>
    <x:row r="520" ht="42" customHeight="1">
      <x:c r="A520" s="28" t="b">
        <x:v>0</x:v>
      </x:c>
      <x:c r="B520" s="2" t="str">
        <x:v>Cycle 3</x:v>
      </x:c>
      <x:c r="C520" s="2" t="str">
        <x:v>Phase 2</x:v>
      </x:c>
      <x:c r="D520" s="2" t="str">
        <x:v>PLL</x:v>
      </x:c>
      <x:c r="E520" s="56" t="str">
        <x:v>DR.PL.2.1</x:v>
      </x:c>
      <x:c r="F520" s="14" t="str">
        <x:v>Ensure data is clean, structured, and usable without manipulation needed</x:v>
      </x:c>
      <x:c r="G520" s="5"/>
      <x:c r="H520" s="11"/>
      <x:c r="I520" s="11" t="n">
        <x:f>'Cycles &amp; Guide'!$D$12</x:f>
        <x:v>46295</x:v>
      </x:c>
      <x:c r="J520" s="11"/>
      <x:c r="K520" s="29"/>
      <x:c r="L520" s="2" t="str">
        <x:f>IF(O520=1,"Complete",IF(A520,"Checklist open",IF(H520&lt;&gt;"","In progress","Not started")))</x:f>
        <x:v>Not started</x:v>
      </x:c>
      <x:c r="M520" s="2" t="str">
        <x:v>Task</x:v>
      </x:c>
      <x:c r="N520" s="2" t="str">
        <x:v>DR.PL.2.1.2026.CY3</x:v>
      </x:c>
      <x:c r="O520" s="2" t="n">
        <x:f>R520</x:f>
        <x:v>0</x:v>
      </x:c>
      <x:c r="P520" s="2"/>
      <x:c r="Q520" s="2" t="n">
        <x:v>1</x:v>
      </x:c>
      <x:c r="R520" s="2" t="n">
        <x:f>IF(A520,1,0)</x:f>
        <x:v>0</x:v>
      </x:c>
      <x:c r="S520" s="2" t="n">
        <x:f>SUBTOTAL(103,N520)</x:f>
        <x:v>1</x:v>
      </x:c>
    </x:row>
    <x:row r="521" ht="42" customHeight="1">
      <x:c r="A521" s="28" t="b">
        <x:v>0</x:v>
      </x:c>
      <x:c r="B521" s="2" t="str">
        <x:v>Cycle 3</x:v>
      </x:c>
      <x:c r="C521" s="2" t="str">
        <x:v>Phase 2</x:v>
      </x:c>
      <x:c r="D521" s="2" t="str">
        <x:v>PLL</x:v>
      </x:c>
      <x:c r="E521" s="56" t="str">
        <x:v>DR.PL.2.2</x:v>
      </x:c>
      <x:c r="F521" s="14" t="str">
        <x:v>Clearly document rationale for each topic recommendation within the SharePoint list</x:v>
      </x:c>
      <x:c r="G521" s="5"/>
      <x:c r="H521" s="11"/>
      <x:c r="I521" s="11" t="n">
        <x:f>'Cycles &amp; Guide'!$D$12</x:f>
        <x:v>46295</x:v>
      </x:c>
      <x:c r="J521" s="11"/>
      <x:c r="K521" s="29"/>
      <x:c r="L521" s="2" t="str">
        <x:f>IF(O521=1,"Complete",IF(A521,"Checklist open",IF(H521&lt;&gt;"","In progress","Not started")))</x:f>
        <x:v>Not started</x:v>
      </x:c>
      <x:c r="M521" s="2" t="str">
        <x:v>Task</x:v>
      </x:c>
      <x:c r="N521" s="2" t="str">
        <x:v>DR.PL.2.2.2026.CY3</x:v>
      </x:c>
      <x:c r="O521" s="2" t="n">
        <x:f>R521</x:f>
        <x:v>0</x:v>
      </x:c>
      <x:c r="P521" s="2"/>
      <x:c r="Q521" s="2" t="n">
        <x:v>1</x:v>
      </x:c>
      <x:c r="R521" s="2" t="n">
        <x:f>IF(A521,1,0)</x:f>
        <x:v>0</x:v>
      </x:c>
      <x:c r="S521" s="2" t="n">
        <x:f>SUBTOTAL(103,N521)</x:f>
        <x:v>1</x:v>
      </x:c>
    </x:row>
    <x:row r="522" ht="42" customHeight="1">
      <x:c r="A522" s="28" t="b">
        <x:v>0</x:v>
      </x:c>
      <x:c r="B522" s="2" t="str">
        <x:v>Cycle 3</x:v>
      </x:c>
      <x:c r="C522" s="2" t="str">
        <x:v>Phase 2</x:v>
      </x:c>
      <x:c r="D522" s="2" t="str">
        <x:v>PLL</x:v>
      </x:c>
      <x:c r="E522" s="56" t="str">
        <x:v>DR.PL.2.3</x:v>
      </x:c>
      <x:c r="F522" s="14" t="str">
        <x:v>Verify topic is eligible for RCA and does not conflict with Attorney Client Privilege</x:v>
      </x:c>
      <x:c r="G522" s="5"/>
      <x:c r="H522" s="11"/>
      <x:c r="I522" s="11" t="n">
        <x:f>'Cycles &amp; Guide'!$D$12</x:f>
        <x:v>46295</x:v>
      </x:c>
      <x:c r="J522" s="11"/>
      <x:c r="K522" s="29"/>
      <x:c r="L522" s="2" t="str">
        <x:f>IF(O522=1,"Complete",IF(A522,"Checklist open",IF(H522&lt;&gt;"","In progress","Not started")))</x:f>
        <x:v>Not started</x:v>
      </x:c>
      <x:c r="M522" s="2" t="str">
        <x:v>Task</x:v>
      </x:c>
      <x:c r="N522" s="2" t="str">
        <x:v>DR.PL.2.3.2026.CY3</x:v>
      </x:c>
      <x:c r="O522" s="2" t="n">
        <x:f>R522</x:f>
        <x:v>0</x:v>
      </x:c>
      <x:c r="P522" s="2"/>
      <x:c r="Q522" s="2" t="n">
        <x:v>1</x:v>
      </x:c>
      <x:c r="R522" s="2" t="n">
        <x:f>IF(A522,1,0)</x:f>
        <x:v>0</x:v>
      </x:c>
      <x:c r="S522" s="2" t="n">
        <x:f>SUBTOTAL(103,N522)</x:f>
        <x:v>1</x:v>
      </x:c>
    </x:row>
    <x:row r="523" ht="42" customHeight="1">
      <x:c r="A523" s="28" t="b">
        <x:v>0</x:v>
      </x:c>
      <x:c r="B523" s="2" t="str">
        <x:v>Cycle 3</x:v>
      </x:c>
      <x:c r="C523" s="2" t="str">
        <x:v>Phase 2</x:v>
      </x:c>
      <x:c r="D523" s="2" t="str">
        <x:v>PLL</x:v>
      </x:c>
      <x:c r="E523" s="56" t="str">
        <x:v>DR.PL.2.4</x:v>
      </x:c>
      <x:c r="F523" s="14" t="str">
        <x:v>Ensure data is free of errors and anomalies prior to hand-off to Research</x:v>
      </x:c>
      <x:c r="G523" s="5"/>
      <x:c r="H523" s="11"/>
      <x:c r="I523" s="11" t="n">
        <x:f>'Cycles &amp; Guide'!$D$12</x:f>
        <x:v>46295</x:v>
      </x:c>
      <x:c r="J523" s="11"/>
      <x:c r="K523" s="29"/>
      <x:c r="L523" s="2" t="str">
        <x:f>IF(O523=1,"Complete",IF(A523,"Checklist open",IF(H523&lt;&gt;"","In progress","Not started")))</x:f>
        <x:v>Not started</x:v>
      </x:c>
      <x:c r="M523" s="2" t="str">
        <x:v>Task</x:v>
      </x:c>
      <x:c r="N523" s="2" t="str">
        <x:v>DR.PL.2.4.2026.CY3</x:v>
      </x:c>
      <x:c r="O523" s="2" t="n">
        <x:f>R523</x:f>
        <x:v>0</x:v>
      </x:c>
      <x:c r="P523" s="2"/>
      <x:c r="Q523" s="2" t="n">
        <x:v>1</x:v>
      </x:c>
      <x:c r="R523" s="2" t="n">
        <x:f>IF(A523,1,0)</x:f>
        <x:v>0</x:v>
      </x:c>
      <x:c r="S523" s="2" t="n">
        <x:f>SUBTOTAL(103,N523)</x:f>
        <x:v>1</x:v>
      </x:c>
    </x:row>
    <x:row r="524" ht="42" customHeight="1">
      <x:c r="A524" s="28" t="b">
        <x:v>0</x:v>
      </x:c>
      <x:c r="B524" s="2" t="str">
        <x:v>Cycle 3</x:v>
      </x:c>
      <x:c r="C524" s="2" t="str">
        <x:v>Phase 2</x:v>
      </x:c>
      <x:c r="D524" s="2" t="str">
        <x:v>PLL</x:v>
      </x:c>
      <x:c r="E524" s="56" t="str">
        <x:v>DR.PL.2.5</x:v>
      </x:c>
      <x:c r="F524" s="14" t="str">
        <x:v>Ensure topic is not a duplicate from a previous Cycle</x:v>
      </x:c>
      <x:c r="G524" s="5"/>
      <x:c r="H524" s="11"/>
      <x:c r="I524" s="11" t="n">
        <x:f>'Cycles &amp; Guide'!$D$12</x:f>
        <x:v>46295</x:v>
      </x:c>
      <x:c r="J524" s="11"/>
      <x:c r="K524" s="29"/>
      <x:c r="L524" s="2" t="str">
        <x:f>IF(O524=1,"Complete",IF(A524,"Checklist open",IF(H524&lt;&gt;"","In progress","Not started")))</x:f>
        <x:v>Not started</x:v>
      </x:c>
      <x:c r="M524" s="2" t="str">
        <x:v>Task</x:v>
      </x:c>
      <x:c r="N524" s="2" t="str">
        <x:v>DR.PL.2.5.2026.CY3</x:v>
      </x:c>
      <x:c r="O524" s="2" t="n">
        <x:f>R524</x:f>
        <x:v>0</x:v>
      </x:c>
      <x:c r="P524" s="2"/>
      <x:c r="Q524" s="2" t="n">
        <x:v>1</x:v>
      </x:c>
      <x:c r="R524" s="2" t="n">
        <x:f>IF(A524,1,0)</x:f>
        <x:v>0</x:v>
      </x:c>
      <x:c r="S524" s="2" t="n">
        <x:f>SUBTOTAL(103,N524)</x:f>
        <x:v>1</x:v>
      </x:c>
    </x:row>
    <x:row r="525" ht="42" customHeight="1">
      <x:c r="A525" s="28" t="b">
        <x:v>0</x:v>
      </x:c>
      <x:c r="B525" s="2" t="str">
        <x:v>Cycle 3</x:v>
      </x:c>
      <x:c r="C525" s="2" t="str">
        <x:v>Phase 2</x:v>
      </x:c>
      <x:c r="D525" s="2" t="str">
        <x:v>PLL</x:v>
      </x:c>
      <x:c r="E525" s="56" t="str">
        <x:v>DR.PL.2.6</x:v>
      </x:c>
      <x:c r="F525" s="14" t="str">
        <x:v>Document clear distinctions between facts, assumptions, and hypotheses within the data package</x:v>
      </x:c>
      <x:c r="G525" s="5"/>
      <x:c r="H525" s="11"/>
      <x:c r="I525" s="11" t="n">
        <x:f>'Cycles &amp; Guide'!$D$12</x:f>
        <x:v>46295</x:v>
      </x:c>
      <x:c r="J525" s="11"/>
      <x:c r="K525" s="29"/>
      <x:c r="L525" s="2" t="str">
        <x:f>IF(O525=1,"Complete",IF(A525,"Checklist open",IF(H525&lt;&gt;"","In progress","Not started")))</x:f>
        <x:v>Not started</x:v>
      </x:c>
      <x:c r="M525" s="2" t="str">
        <x:v>Task</x:v>
      </x:c>
      <x:c r="N525" s="2" t="str">
        <x:v>DR.PL.2.6.2026.CY3</x:v>
      </x:c>
      <x:c r="O525" s="2" t="n">
        <x:f>R525</x:f>
        <x:v>0</x:v>
      </x:c>
      <x:c r="P525" s="2"/>
      <x:c r="Q525" s="2" t="n">
        <x:v>1</x:v>
      </x:c>
      <x:c r="R525" s="2" t="n">
        <x:f>IF(A525,1,0)</x:f>
        <x:v>0</x:v>
      </x:c>
      <x:c r="S525" s="2" t="n">
        <x:f>SUBTOTAL(103,N525)</x:f>
        <x:v>1</x:v>
      </x:c>
    </x:row>
    <x:row r="526" ht="42" customHeight="1">
      <x:c r="A526" s="28" t="b">
        <x:v>0</x:v>
      </x:c>
      <x:c r="B526" s="2" t="str">
        <x:v>Cycle 3</x:v>
      </x:c>
      <x:c r="C526" s="2" t="str">
        <x:v>Phase 3</x:v>
      </x:c>
      <x:c r="D526" s="2" t="str">
        <x:v>PLL</x:v>
      </x:c>
      <x:c r="E526" s="56" t="str">
        <x:v>DR.PL.3.1</x:v>
      </x:c>
      <x:c r="F526" s="14" t="str">
        <x:v>Clearly document rationale for each topic recommendation within the SharePoint list item</x:v>
      </x:c>
      <x:c r="G526" s="5"/>
      <x:c r="H526" s="11"/>
      <x:c r="I526" s="11" t="n">
        <x:f>'Cycles &amp; Guide'!$D$12</x:f>
        <x:v>46295</x:v>
      </x:c>
      <x:c r="J526" s="11"/>
      <x:c r="K526" s="29"/>
      <x:c r="L526" s="2" t="str">
        <x:f>IF(O526=1,"Complete",IF(A526,"Checklist open",IF(H526&lt;&gt;"","In progress","Not started")))</x:f>
        <x:v>Not started</x:v>
      </x:c>
      <x:c r="M526" s="2" t="str">
        <x:v>Task</x:v>
      </x:c>
      <x:c r="N526" s="2" t="str">
        <x:v>DR.PL.3.1.2026.CY3</x:v>
      </x:c>
      <x:c r="O526" s="2" t="n">
        <x:f>R526</x:f>
        <x:v>0</x:v>
      </x:c>
      <x:c r="P526" s="2"/>
      <x:c r="Q526" s="2" t="n">
        <x:v>1</x:v>
      </x:c>
      <x:c r="R526" s="2" t="n">
        <x:f>IF(A526,1,0)</x:f>
        <x:v>0</x:v>
      </x:c>
      <x:c r="S526" s="2" t="n">
        <x:f>SUBTOTAL(103,N526)</x:f>
        <x:v>1</x:v>
      </x:c>
    </x:row>
    <x:row r="527" ht="42" customHeight="1">
      <x:c r="A527" s="28" t="b">
        <x:v>0</x:v>
      </x:c>
      <x:c r="B527" s="2" t="str">
        <x:v>Cycle 3</x:v>
      </x:c>
      <x:c r="C527" s="2" t="str">
        <x:v>Phase 3</x:v>
      </x:c>
      <x:c r="D527" s="2" t="str">
        <x:v>PLL</x:v>
      </x:c>
      <x:c r="E527" s="56" t="str">
        <x:v>DR.PL.3.2</x:v>
      </x:c>
      <x:c r="F527" s="14" t="str">
        <x:v>Attach the data package for each topic recommendation within the SharePoint list item</x:v>
      </x:c>
      <x:c r="G527" s="5"/>
      <x:c r="H527" s="11"/>
      <x:c r="I527" s="11" t="n">
        <x:f>'Cycles &amp; Guide'!$D$12</x:f>
        <x:v>46295</x:v>
      </x:c>
      <x:c r="J527" s="11"/>
      <x:c r="K527" s="29"/>
      <x:c r="L527" s="2" t="str">
        <x:f>IF(O527=1,"Complete",IF(A527,"Checklist open",IF(H527&lt;&gt;"","In progress","Not started")))</x:f>
        <x:v>Not started</x:v>
      </x:c>
      <x:c r="M527" s="2" t="str">
        <x:v>Task</x:v>
      </x:c>
      <x:c r="N527" s="2" t="str">
        <x:v>DR.PL.3.2.2026.CY3</x:v>
      </x:c>
      <x:c r="O527" s="2" t="n">
        <x:f>R527</x:f>
        <x:v>0</x:v>
      </x:c>
      <x:c r="P527" s="2"/>
      <x:c r="Q527" s="2" t="n">
        <x:v>1</x:v>
      </x:c>
      <x:c r="R527" s="2" t="n">
        <x:f>IF(A527,1,0)</x:f>
        <x:v>0</x:v>
      </x:c>
      <x:c r="S527" s="2" t="n">
        <x:f>SUBTOTAL(103,N527)</x:f>
        <x:v>1</x:v>
      </x:c>
    </x:row>
    <x:row r="528" ht="42" customHeight="1">
      <x:c r="A528" s="28" t="b">
        <x:v>0</x:v>
      </x:c>
      <x:c r="B528" s="2" t="str">
        <x:v>Cycle 3</x:v>
      </x:c>
      <x:c r="C528" s="2" t="str">
        <x:v>Phase 3</x:v>
      </x:c>
      <x:c r="D528" s="2" t="str">
        <x:v>PLL</x:v>
      </x:c>
      <x:c r="E528" s="56" t="str">
        <x:v>DR.PL.3.3</x:v>
      </x:c>
      <x:c r="F528" s="14" t="str">
        <x:v>Confirm data privileges have been granted, ensuring each pillar can access</x:v>
      </x:c>
      <x:c r="G528" s="5"/>
      <x:c r="H528" s="11"/>
      <x:c r="I528" s="11" t="n">
        <x:f>'Cycles &amp; Guide'!$D$12</x:f>
        <x:v>46295</x:v>
      </x:c>
      <x:c r="J528" s="11"/>
      <x:c r="K528" s="29"/>
      <x:c r="L528" s="2" t="str">
        <x:f>IF(O528=1,"Complete",IF(A528,"Checklist open",IF(H528&lt;&gt;"","In progress","Not started")))</x:f>
        <x:v>Not started</x:v>
      </x:c>
      <x:c r="M528" s="2" t="str">
        <x:v>Task</x:v>
      </x:c>
      <x:c r="N528" s="2" t="str">
        <x:v>DR.PL.3.3.2026.CY3</x:v>
      </x:c>
      <x:c r="O528" s="2" t="n">
        <x:f>R528</x:f>
        <x:v>0</x:v>
      </x:c>
      <x:c r="P528" s="2"/>
      <x:c r="Q528" s="2" t="n">
        <x:v>1</x:v>
      </x:c>
      <x:c r="R528" s="2" t="n">
        <x:f>IF(A528,1,0)</x:f>
        <x:v>0</x:v>
      </x:c>
      <x:c r="S528" s="2" t="n">
        <x:f>SUBTOTAL(103,N528)</x:f>
        <x:v>1</x:v>
      </x:c>
    </x:row>
    <x:row r="529" ht="42" customHeight="1">
      <x:c r="A529" s="28" t="b">
        <x:v>0</x:v>
      </x:c>
      <x:c r="B529" s="2" t="str">
        <x:v>Cycle 3</x:v>
      </x:c>
      <x:c r="C529" s="2" t="str">
        <x:v>Phase 3</x:v>
      </x:c>
      <x:c r="D529" s="2" t="str">
        <x:v>PLL</x:v>
      </x:c>
      <x:c r="E529" s="56" t="str">
        <x:v>DR.PL.3.4</x:v>
      </x:c>
      <x:c r="F529" s="14" t="str">
        <x:v>Ensure Power Automate notifications were correctly triggered within Microsoft Teams</x:v>
      </x:c>
      <x:c r="G529" s="5"/>
      <x:c r="H529" s="11"/>
      <x:c r="I529" s="11" t="n">
        <x:f>'Cycles &amp; Guide'!$D$12</x:f>
        <x:v>46295</x:v>
      </x:c>
      <x:c r="J529" s="11"/>
      <x:c r="K529" s="29"/>
      <x:c r="L529" s="2" t="str">
        <x:f>IF(O529=1,"Complete",IF(A529,"Checklist open",IF(H529&lt;&gt;"","In progress","Not started")))</x:f>
        <x:v>Not started</x:v>
      </x:c>
      <x:c r="M529" s="2" t="str">
        <x:v>Task</x:v>
      </x:c>
      <x:c r="N529" s="2" t="str">
        <x:v>DR.PL.3.4.2026.CY3</x:v>
      </x:c>
      <x:c r="O529" s="2" t="n">
        <x:f>R529</x:f>
        <x:v>0</x:v>
      </x:c>
      <x:c r="P529" s="2"/>
      <x:c r="Q529" s="2" t="n">
        <x:v>1</x:v>
      </x:c>
      <x:c r="R529" s="2" t="n">
        <x:f>IF(A529,1,0)</x:f>
        <x:v>0</x:v>
      </x:c>
      <x:c r="S529" s="2" t="n">
        <x:f>SUBTOTAL(103,N529)</x:f>
        <x:v>1</x:v>
      </x:c>
    </x:row>
    <x:row r="530" ht="42" customHeight="1">
      <x:c r="A530" s="28" t="b">
        <x:v>0</x:v>
      </x:c>
      <x:c r="B530" s="2" t="str">
        <x:v>Cycle 3</x:v>
      </x:c>
      <x:c r="C530" s="2" t="str">
        <x:v>Phase 1</x:v>
      </x:c>
      <x:c r="D530" s="2" t="str">
        <x:v>Retail Services</x:v>
      </x:c>
      <x:c r="E530" s="56" t="str">
        <x:v>DR.RS.1.1</x:v>
      </x:c>
      <x:c r="F530" s="14" t="str">
        <x:v>Review data sources 3 weeks prior to Cycle start (Complaints, Gen AI, Loudspeaker, NPS, etc.)</x:v>
      </x:c>
      <x:c r="G530" s="5"/>
      <x:c r="H530" s="11"/>
      <x:c r="I530" s="11" t="n">
        <x:f>'Cycles &amp; Guide'!$C$12-21</x:f>
        <x:v>46183</x:v>
      </x:c>
      <x:c r="J530" s="11"/>
      <x:c r="K530" s="29"/>
      <x:c r="L530" s="2" t="str">
        <x:f>IF(O530=1,"Complete",IF(A530,"Checklist open",IF(H530&lt;&gt;"","In progress","Not started")))</x:f>
        <x:v>Not started</x:v>
      </x:c>
      <x:c r="M530" s="2" t="str">
        <x:v>Task</x:v>
      </x:c>
      <x:c r="N530" s="2" t="str">
        <x:v>DR.RS.1.1.2026.CY3</x:v>
      </x:c>
      <x:c r="O530" s="2" t="n">
        <x:f>R530</x:f>
        <x:v>0</x:v>
      </x:c>
      <x:c r="P530" s="2"/>
      <x:c r="Q530" s="2" t="n">
        <x:v>1</x:v>
      </x:c>
      <x:c r="R530" s="2" t="n">
        <x:f>IF(A530,1,0)</x:f>
        <x:v>0</x:v>
      </x:c>
      <x:c r="S530" s="2" t="n">
        <x:f>SUBTOTAL(103,N530)</x:f>
        <x:v>1</x:v>
      </x:c>
    </x:row>
    <x:row r="531" ht="42" customHeight="1">
      <x:c r="A531" s="28" t="b">
        <x:v>0</x:v>
      </x:c>
      <x:c r="B531" s="2" t="str">
        <x:v>Cycle 3</x:v>
      </x:c>
      <x:c r="C531" s="2" t="str">
        <x:v>Phase 1</x:v>
      </x:c>
      <x:c r="D531" s="2" t="str">
        <x:v>Retail Services</x:v>
      </x:c>
      <x:c r="E531" s="56" t="str">
        <x:v>DR.RS.1.2</x:v>
      </x:c>
      <x:c r="F531" s="14" t="str">
        <x:v>Identify two potential topics for the upcoming Cycle</x:v>
      </x:c>
      <x:c r="G531" s="5"/>
      <x:c r="H531" s="11"/>
      <x:c r="I531" s="11" t="n">
        <x:f>'Cycles &amp; Guide'!$D$12</x:f>
        <x:v>46295</x:v>
      </x:c>
      <x:c r="J531" s="11"/>
      <x:c r="K531" s="29"/>
      <x:c r="L531" s="2" t="str">
        <x:f>IF(O531=1,"Complete",IF(A531,"Checklist open",IF(H531&lt;&gt;"","In progress","Not started")))</x:f>
        <x:v>Not started</x:v>
      </x:c>
      <x:c r="M531" s="2" t="str">
        <x:v>Task</x:v>
      </x:c>
      <x:c r="N531" s="2" t="str">
        <x:v>DR.RS.1.2.2026.CY3</x:v>
      </x:c>
      <x:c r="O531" s="2" t="n">
        <x:f>R531</x:f>
        <x:v>0</x:v>
      </x:c>
      <x:c r="P531" s="2"/>
      <x:c r="Q531" s="2" t="n">
        <x:v>1</x:v>
      </x:c>
      <x:c r="R531" s="2" t="n">
        <x:f>IF(A531,1,0)</x:f>
        <x:v>0</x:v>
      </x:c>
      <x:c r="S531" s="2" t="n">
        <x:f>SUBTOTAL(103,N531)</x:f>
        <x:v>1</x:v>
      </x:c>
    </x:row>
    <x:row r="532" ht="42" customHeight="1">
      <x:c r="A532" s="28" t="b">
        <x:v>0</x:v>
      </x:c>
      <x:c r="B532" s="2" t="str">
        <x:v>Cycle 3</x:v>
      </x:c>
      <x:c r="C532" s="2" t="str">
        <x:v>Phase 1</x:v>
      </x:c>
      <x:c r="D532" s="2" t="str">
        <x:v>Retail Services</x:v>
      </x:c>
      <x:c r="E532" s="68" t="str">
        <x:v>DR.RS.1.3</x:v>
      </x:c>
      <x:c r="F532" s="33" t="str">
        <x:v>Extract data for both potential topics, ensuring all checklist items below are included/completed</x:v>
      </x:c>
      <x:c r="G532" s="5"/>
      <x:c r="H532" s="11"/>
      <x:c r="I532" s="11" t="n">
        <x:f>'Cycles &amp; Guide'!$D$12</x:f>
        <x:v>46295</x:v>
      </x:c>
      <x:c r="J532" s="11"/>
      <x:c r="K532" s="29"/>
      <x:c r="L532" s="2" t="str">
        <x:f>IF(O532=1,"Complete",IF(A532,"Checklist open",IF(H532&lt;&gt;"","In progress","Not started")))</x:f>
        <x:v>Not started</x:v>
      </x:c>
      <x:c r="M532" s="2" t="str">
        <x:v>Task</x:v>
      </x:c>
      <x:c r="N532" s="2" t="str">
        <x:v>DR.RS.1.3.2026.CY3</x:v>
      </x:c>
      <x:c r="O532" s="2" t="n">
        <x:f>IF(A532,IF(SUMIFS($R$10:$R$737,$P$10:$P$737,N532)=13,1,0),0)</x:f>
        <x:v>0</x:v>
      </x:c>
      <x:c r="P532" s="2"/>
      <x:c r="Q532" s="2" t="n">
        <x:v>1</x:v>
      </x:c>
      <x:c r="R532" s="2" t="n">
        <x:f>IF(A532,1,0)</x:f>
        <x:v>0</x:v>
      </x:c>
      <x:c r="S532" s="2" t="n">
        <x:f>SUBTOTAL(103,N532)</x:f>
        <x:v>1</x:v>
      </x:c>
    </x:row>
    <x:row r="533" ht="31" customHeight="1" outlineLevel="1">
      <x:c r="A533" s="28" t="b">
        <x:v>0</x:v>
      </x:c>
      <x:c r="B533" s="36" t="str">
        <x:v>Cycle 3</x:v>
      </x:c>
      <x:c r="C533" s="36" t="str">
        <x:v>Phase 1</x:v>
      </x:c>
      <x:c r="D533" s="36" t="str">
        <x:v>Retail Services</x:v>
      </x:c>
      <x:c r="E533" s="69" t="str">
        <x:v>DR.RS.1.3.C01</x:v>
      </x:c>
      <x:c r="F533" s="37" t="str">
        <x:v>    Document date range extracted</x:v>
      </x:c>
      <x:c r="G533" s="5"/>
      <x:c r="H533" s="11"/>
      <x:c r="I533" s="11"/>
      <x:c r="J533" s="11"/>
      <x:c r="K533" s="29"/>
      <x:c r="L533" s="2" t="str">
        <x:f>IF(A533,"Complete","Open check")</x:f>
        <x:v>Open check</x:v>
      </x:c>
      <x:c r="M533" s="2" t="str">
        <x:v>Checklist</x:v>
      </x:c>
      <x:c r="N533" s="2" t="str">
        <x:v>DR.RS.1.3.C01.2026.CY3</x:v>
      </x:c>
      <x:c r="O533" s="2" t="n">
        <x:f>R533</x:f>
        <x:v>0</x:v>
      </x:c>
      <x:c r="P533" s="2" t="str">
        <x:v>DR.RS.1.3.2026.CY3</x:v>
      </x:c>
      <x:c r="Q533" s="2" t="n">
        <x:v>0</x:v>
      </x:c>
      <x:c r="R533" s="2" t="n">
        <x:f>IF(A533,1,0)</x:f>
        <x:v>0</x:v>
      </x:c>
      <x:c r="S533" s="2" t="n">
        <x:f>SUBTOTAL(103,N533)</x:f>
        <x:v>1</x:v>
      </x:c>
    </x:row>
    <x:row r="534" ht="31" customHeight="1" outlineLevel="1">
      <x:c r="A534" s="28" t="b">
        <x:v>0</x:v>
      </x:c>
      <x:c r="B534" s="36" t="str">
        <x:v>Cycle 3</x:v>
      </x:c>
      <x:c r="C534" s="36" t="str">
        <x:v>Phase 1</x:v>
      </x:c>
      <x:c r="D534" s="36" t="str">
        <x:v>Retail Services</x:v>
      </x:c>
      <x:c r="E534" s="69" t="str">
        <x:v>DR.RS.1.3.C02</x:v>
      </x:c>
      <x:c r="F534" s="37" t="str">
        <x:v>    Document date of data pull</x:v>
      </x:c>
      <x:c r="G534" s="5"/>
      <x:c r="H534" s="11"/>
      <x:c r="I534" s="11"/>
      <x:c r="J534" s="11"/>
      <x:c r="K534" s="29"/>
      <x:c r="L534" s="2" t="str">
        <x:f>IF(A534,"Complete","Open check")</x:f>
        <x:v>Open check</x:v>
      </x:c>
      <x:c r="M534" s="2" t="str">
        <x:v>Checklist</x:v>
      </x:c>
      <x:c r="N534" s="2" t="str">
        <x:v>DR.RS.1.3.C02.2026.CY3</x:v>
      </x:c>
      <x:c r="O534" s="2" t="n">
        <x:f>R534</x:f>
        <x:v>0</x:v>
      </x:c>
      <x:c r="P534" s="2" t="str">
        <x:v>DR.RS.1.3.2026.CY3</x:v>
      </x:c>
      <x:c r="Q534" s="2" t="n">
        <x:v>0</x:v>
      </x:c>
      <x:c r="R534" s="2" t="n">
        <x:f>IF(A534,1,0)</x:f>
        <x:v>0</x:v>
      </x:c>
      <x:c r="S534" s="2" t="n">
        <x:f>SUBTOTAL(103,N534)</x:f>
        <x:v>1</x:v>
      </x:c>
    </x:row>
    <x:row r="535" ht="31" customHeight="1" outlineLevel="1">
      <x:c r="A535" s="28" t="b">
        <x:v>0</x:v>
      </x:c>
      <x:c r="B535" s="36" t="str">
        <x:v>Cycle 3</x:v>
      </x:c>
      <x:c r="C535" s="36" t="str">
        <x:v>Phase 1</x:v>
      </x:c>
      <x:c r="D535" s="36" t="str">
        <x:v>Retail Services</x:v>
      </x:c>
      <x:c r="E535" s="69" t="str">
        <x:v>DR.RS.1.3.C03</x:v>
      </x:c>
      <x:c r="F535" s="37" t="str">
        <x:v>    Document population details</x:v>
      </x:c>
      <x:c r="G535" s="5"/>
      <x:c r="H535" s="11"/>
      <x:c r="I535" s="11"/>
      <x:c r="J535" s="11"/>
      <x:c r="K535" s="29"/>
      <x:c r="L535" s="2" t="str">
        <x:f>IF(A535,"Complete","Open check")</x:f>
        <x:v>Open check</x:v>
      </x:c>
      <x:c r="M535" s="2" t="str">
        <x:v>Checklist</x:v>
      </x:c>
      <x:c r="N535" s="2" t="str">
        <x:v>DR.RS.1.3.C03.2026.CY3</x:v>
      </x:c>
      <x:c r="O535" s="2" t="n">
        <x:f>R535</x:f>
        <x:v>0</x:v>
      </x:c>
      <x:c r="P535" s="2" t="str">
        <x:v>DR.RS.1.3.2026.CY3</x:v>
      </x:c>
      <x:c r="Q535" s="2" t="n">
        <x:v>0</x:v>
      </x:c>
      <x:c r="R535" s="2" t="n">
        <x:f>IF(A535,1,0)</x:f>
        <x:v>0</x:v>
      </x:c>
      <x:c r="S535" s="2" t="n">
        <x:f>SUBTOTAL(103,N535)</x:f>
        <x:v>1</x:v>
      </x:c>
    </x:row>
    <x:row r="536" ht="31" customHeight="1" outlineLevel="1">
      <x:c r="A536" s="28" t="b">
        <x:v>0</x:v>
      </x:c>
      <x:c r="B536" s="36" t="str">
        <x:v>Cycle 3</x:v>
      </x:c>
      <x:c r="C536" s="36" t="str">
        <x:v>Phase 1</x:v>
      </x:c>
      <x:c r="D536" s="36" t="str">
        <x:v>Retail Services</x:v>
      </x:c>
      <x:c r="E536" s="69" t="str">
        <x:v>DR.RS.1.3.C04</x:v>
      </x:c>
      <x:c r="F536" s="37" t="str">
        <x:v>    Validate no data is missing</x:v>
      </x:c>
      <x:c r="G536" s="5"/>
      <x:c r="H536" s="11"/>
      <x:c r="I536" s="11"/>
      <x:c r="J536" s="11"/>
      <x:c r="K536" s="29"/>
      <x:c r="L536" s="2" t="str">
        <x:f>IF(A536,"Complete","Open check")</x:f>
        <x:v>Open check</x:v>
      </x:c>
      <x:c r="M536" s="2" t="str">
        <x:v>Checklist</x:v>
      </x:c>
      <x:c r="N536" s="2" t="str">
        <x:v>DR.RS.1.3.C04.2026.CY3</x:v>
      </x:c>
      <x:c r="O536" s="2" t="n">
        <x:f>R536</x:f>
        <x:v>0</x:v>
      </x:c>
      <x:c r="P536" s="2" t="str">
        <x:v>DR.RS.1.3.2026.CY3</x:v>
      </x:c>
      <x:c r="Q536" s="2" t="n">
        <x:v>0</x:v>
      </x:c>
      <x:c r="R536" s="2" t="n">
        <x:f>IF(A536,1,0)</x:f>
        <x:v>0</x:v>
      </x:c>
      <x:c r="S536" s="2" t="n">
        <x:f>SUBTOTAL(103,N536)</x:f>
        <x:v>1</x:v>
      </x:c>
    </x:row>
    <x:row r="537" ht="31" customHeight="1" outlineLevel="1">
      <x:c r="A537" s="28" t="b">
        <x:v>0</x:v>
      </x:c>
      <x:c r="B537" s="36" t="str">
        <x:v>Cycle 3</x:v>
      </x:c>
      <x:c r="C537" s="36" t="str">
        <x:v>Phase 1</x:v>
      </x:c>
      <x:c r="D537" s="36" t="str">
        <x:v>Retail Services</x:v>
      </x:c>
      <x:c r="E537" s="69" t="str">
        <x:v>DR.RS.1.3.C05</x:v>
      </x:c>
      <x:c r="F537" s="37" t="str">
        <x:v>    Validate accuracy of data</x:v>
      </x:c>
      <x:c r="G537" s="5"/>
      <x:c r="H537" s="11"/>
      <x:c r="I537" s="11"/>
      <x:c r="J537" s="11"/>
      <x:c r="K537" s="29"/>
      <x:c r="L537" s="2" t="str">
        <x:f>IF(A537,"Complete","Open check")</x:f>
        <x:v>Open check</x:v>
      </x:c>
      <x:c r="M537" s="2" t="str">
        <x:v>Checklist</x:v>
      </x:c>
      <x:c r="N537" s="2" t="str">
        <x:v>DR.RS.1.3.C05.2026.CY3</x:v>
      </x:c>
      <x:c r="O537" s="2" t="n">
        <x:f>R537</x:f>
        <x:v>0</x:v>
      </x:c>
      <x:c r="P537" s="2" t="str">
        <x:v>DR.RS.1.3.2026.CY3</x:v>
      </x:c>
      <x:c r="Q537" s="2" t="n">
        <x:v>0</x:v>
      </x:c>
      <x:c r="R537" s="2" t="n">
        <x:f>IF(A537,1,0)</x:f>
        <x:v>0</x:v>
      </x:c>
      <x:c r="S537" s="2" t="n">
        <x:f>SUBTOTAL(103,N537)</x:f>
        <x:v>1</x:v>
      </x:c>
    </x:row>
    <x:row r="538" ht="31" customHeight="1" outlineLevel="1">
      <x:c r="A538" s="28" t="b">
        <x:v>0</x:v>
      </x:c>
      <x:c r="B538" s="36" t="str">
        <x:v>Cycle 3</x:v>
      </x:c>
      <x:c r="C538" s="36" t="str">
        <x:v>Phase 1</x:v>
      </x:c>
      <x:c r="D538" s="36" t="str">
        <x:v>Retail Services</x:v>
      </x:c>
      <x:c r="E538" s="69" t="str">
        <x:v>DR.RS.1.3.C06</x:v>
      </x:c>
      <x:c r="F538" s="37" t="str">
        <x:v>    Validate no duplicate data is provided</x:v>
      </x:c>
      <x:c r="G538" s="5"/>
      <x:c r="H538" s="11"/>
      <x:c r="I538" s="11"/>
      <x:c r="J538" s="11"/>
      <x:c r="K538" s="29"/>
      <x:c r="L538" s="2" t="str">
        <x:f>IF(A538,"Complete","Open check")</x:f>
        <x:v>Open check</x:v>
      </x:c>
      <x:c r="M538" s="2" t="str">
        <x:v>Checklist</x:v>
      </x:c>
      <x:c r="N538" s="2" t="str">
        <x:v>DR.RS.1.3.C06.2026.CY3</x:v>
      </x:c>
      <x:c r="O538" s="2" t="n">
        <x:f>R538</x:f>
        <x:v>0</x:v>
      </x:c>
      <x:c r="P538" s="2" t="str">
        <x:v>DR.RS.1.3.2026.CY3</x:v>
      </x:c>
      <x:c r="Q538" s="2" t="n">
        <x:v>0</x:v>
      </x:c>
      <x:c r="R538" s="2" t="n">
        <x:f>IF(A538,1,0)</x:f>
        <x:v>0</x:v>
      </x:c>
      <x:c r="S538" s="2" t="n">
        <x:f>SUBTOTAL(103,N538)</x:f>
        <x:v>1</x:v>
      </x:c>
    </x:row>
    <x:row r="539" ht="31" customHeight="1" outlineLevel="1">
      <x:c r="A539" s="28" t="b">
        <x:v>0</x:v>
      </x:c>
      <x:c r="B539" s="36" t="str">
        <x:v>Cycle 3</x:v>
      </x:c>
      <x:c r="C539" s="36" t="str">
        <x:v>Phase 1</x:v>
      </x:c>
      <x:c r="D539" s="36" t="str">
        <x:v>Retail Services</x:v>
      </x:c>
      <x:c r="E539" s="69" t="str">
        <x:v>DR.RS.1.3.C07</x:v>
      </x:c>
      <x:c r="F539" s="37" t="str">
        <x:v>    Document any data exclusions along with justification (as needed)</x:v>
      </x:c>
      <x:c r="G539" s="5"/>
      <x:c r="H539" s="11"/>
      <x:c r="I539" s="11"/>
      <x:c r="J539" s="11"/>
      <x:c r="K539" s="29"/>
      <x:c r="L539" s="2" t="str">
        <x:f>IF(A539,"Complete","Open check")</x:f>
        <x:v>Open check</x:v>
      </x:c>
      <x:c r="M539" s="2" t="str">
        <x:v>Checklist</x:v>
      </x:c>
      <x:c r="N539" s="2" t="str">
        <x:v>DR.RS.1.3.C07.2026.CY3</x:v>
      </x:c>
      <x:c r="O539" s="2" t="n">
        <x:f>R539</x:f>
        <x:v>0</x:v>
      </x:c>
      <x:c r="P539" s="2" t="str">
        <x:v>DR.RS.1.3.2026.CY3</x:v>
      </x:c>
      <x:c r="Q539" s="2" t="n">
        <x:v>0</x:v>
      </x:c>
      <x:c r="R539" s="2" t="n">
        <x:f>IF(A539,1,0)</x:f>
        <x:v>0</x:v>
      </x:c>
      <x:c r="S539" s="2" t="n">
        <x:f>SUBTOTAL(103,N539)</x:f>
        <x:v>1</x:v>
      </x:c>
    </x:row>
    <x:row r="540" ht="31" customHeight="1" outlineLevel="1">
      <x:c r="A540" s="28" t="b">
        <x:v>0</x:v>
      </x:c>
      <x:c r="B540" s="36" t="str">
        <x:v>Cycle 3</x:v>
      </x:c>
      <x:c r="C540" s="36" t="str">
        <x:v>Phase 1</x:v>
      </x:c>
      <x:c r="D540" s="36" t="str">
        <x:v>Retail Services</x:v>
      </x:c>
      <x:c r="E540" s="69" t="str">
        <x:v>DR.RS.1.3.C08</x:v>
      </x:c>
      <x:c r="F540" s="37" t="str">
        <x:v>    Document any assumptions made with the data (as needed)</x:v>
      </x:c>
      <x:c r="G540" s="5"/>
      <x:c r="H540" s="11"/>
      <x:c r="I540" s="11"/>
      <x:c r="J540" s="11"/>
      <x:c r="K540" s="29"/>
      <x:c r="L540" s="2" t="str">
        <x:f>IF(A540,"Complete","Open check")</x:f>
        <x:v>Open check</x:v>
      </x:c>
      <x:c r="M540" s="2" t="str">
        <x:v>Checklist</x:v>
      </x:c>
      <x:c r="N540" s="2" t="str">
        <x:v>DR.RS.1.3.C08.2026.CY3</x:v>
      </x:c>
      <x:c r="O540" s="2" t="n">
        <x:f>R540</x:f>
        <x:v>0</x:v>
      </x:c>
      <x:c r="P540" s="2" t="str">
        <x:v>DR.RS.1.3.2026.CY3</x:v>
      </x:c>
      <x:c r="Q540" s="2" t="n">
        <x:v>0</x:v>
      </x:c>
      <x:c r="R540" s="2" t="n">
        <x:f>IF(A540,1,0)</x:f>
        <x:v>0</x:v>
      </x:c>
      <x:c r="S540" s="2" t="n">
        <x:f>SUBTOTAL(103,N540)</x:f>
        <x:v>1</x:v>
      </x:c>
    </x:row>
    <x:row r="541" ht="31" customHeight="1" outlineLevel="1">
      <x:c r="A541" s="28" t="b">
        <x:v>0</x:v>
      </x:c>
      <x:c r="B541" s="36" t="str">
        <x:v>Cycle 3</x:v>
      </x:c>
      <x:c r="C541" s="36" t="str">
        <x:v>Phase 1</x:v>
      </x:c>
      <x:c r="D541" s="36" t="str">
        <x:v>Retail Services</x:v>
      </x:c>
      <x:c r="E541" s="69" t="str">
        <x:v>DR.RS.1.3.C09</x:v>
      </x:c>
      <x:c r="F541" s="37" t="str">
        <x:v>    Document any data limitations or constraints clearly (as needed)</x:v>
      </x:c>
      <x:c r="G541" s="5"/>
      <x:c r="H541" s="11"/>
      <x:c r="I541" s="11"/>
      <x:c r="J541" s="11"/>
      <x:c r="K541" s="29"/>
      <x:c r="L541" s="2" t="str">
        <x:f>IF(A541,"Complete","Open check")</x:f>
        <x:v>Open check</x:v>
      </x:c>
      <x:c r="M541" s="2" t="str">
        <x:v>Checklist</x:v>
      </x:c>
      <x:c r="N541" s="2" t="str">
        <x:v>DR.RS.1.3.C09.2026.CY3</x:v>
      </x:c>
      <x:c r="O541" s="2" t="n">
        <x:f>R541</x:f>
        <x:v>0</x:v>
      </x:c>
      <x:c r="P541" s="2" t="str">
        <x:v>DR.RS.1.3.2026.CY3</x:v>
      </x:c>
      <x:c r="Q541" s="2" t="n">
        <x:v>0</x:v>
      </x:c>
      <x:c r="R541" s="2" t="n">
        <x:f>IF(A541,1,0)</x:f>
        <x:v>0</x:v>
      </x:c>
      <x:c r="S541" s="2" t="n">
        <x:f>SUBTOTAL(103,N541)</x:f>
        <x:v>1</x:v>
      </x:c>
    </x:row>
    <x:row r="542" ht="31" customHeight="1" outlineLevel="1">
      <x:c r="A542" s="28" t="b">
        <x:v>0</x:v>
      </x:c>
      <x:c r="B542" s="36" t="str">
        <x:v>Cycle 3</x:v>
      </x:c>
      <x:c r="C542" s="36" t="str">
        <x:v>Phase 1</x:v>
      </x:c>
      <x:c r="D542" s="36" t="str">
        <x:v>Retail Services</x:v>
      </x:c>
      <x:c r="E542" s="69" t="str">
        <x:v>DR.RS.1.3.C10</x:v>
      </x:c>
      <x:c r="F542" s="37" t="str">
        <x:v>    Document data dictionary or field definitions for columns/rows</x:v>
      </x:c>
      <x:c r="G542" s="5"/>
      <x:c r="H542" s="11"/>
      <x:c r="I542" s="11"/>
      <x:c r="J542" s="11"/>
      <x:c r="K542" s="29"/>
      <x:c r="L542" s="2" t="str">
        <x:f>IF(A542,"Complete","Open check")</x:f>
        <x:v>Open check</x:v>
      </x:c>
      <x:c r="M542" s="2" t="str">
        <x:v>Checklist</x:v>
      </x:c>
      <x:c r="N542" s="2" t="str">
        <x:v>DR.RS.1.3.C10.2026.CY3</x:v>
      </x:c>
      <x:c r="O542" s="2" t="n">
        <x:f>R542</x:f>
        <x:v>0</x:v>
      </x:c>
      <x:c r="P542" s="2" t="str">
        <x:v>DR.RS.1.3.2026.CY3</x:v>
      </x:c>
      <x:c r="Q542" s="2" t="n">
        <x:v>0</x:v>
      </x:c>
      <x:c r="R542" s="2" t="n">
        <x:f>IF(A542,1,0)</x:f>
        <x:v>0</x:v>
      </x:c>
      <x:c r="S542" s="2" t="n">
        <x:f>SUBTOTAL(103,N542)</x:f>
        <x:v>1</x:v>
      </x:c>
    </x:row>
    <x:row r="543" ht="31" customHeight="1" outlineLevel="1">
      <x:c r="A543" s="28" t="b">
        <x:v>0</x:v>
      </x:c>
      <x:c r="B543" s="36" t="str">
        <x:v>Cycle 3</x:v>
      </x:c>
      <x:c r="C543" s="36" t="str">
        <x:v>Phase 1</x:v>
      </x:c>
      <x:c r="D543" s="36" t="str">
        <x:v>Retail Services</x:v>
      </x:c>
      <x:c r="E543" s="69" t="str">
        <x:v>DR.RS.1.3.C11</x:v>
      </x:c>
      <x:c r="F543" s="37" t="str">
        <x:v>    Document emerging trends, patterns, or concentrations along with supporting data</x:v>
      </x:c>
      <x:c r="G543" s="5"/>
      <x:c r="H543" s="11"/>
      <x:c r="I543" s="11"/>
      <x:c r="J543" s="11"/>
      <x:c r="K543" s="29"/>
      <x:c r="L543" s="2" t="str">
        <x:f>IF(A543,"Complete","Open check")</x:f>
        <x:v>Open check</x:v>
      </x:c>
      <x:c r="M543" s="2" t="str">
        <x:v>Checklist</x:v>
      </x:c>
      <x:c r="N543" s="2" t="str">
        <x:v>DR.RS.1.3.C11.2026.CY3</x:v>
      </x:c>
      <x:c r="O543" s="2" t="n">
        <x:f>R543</x:f>
        <x:v>0</x:v>
      </x:c>
      <x:c r="P543" s="2" t="str">
        <x:v>DR.RS.1.3.2026.CY3</x:v>
      </x:c>
      <x:c r="Q543" s="2" t="n">
        <x:v>0</x:v>
      </x:c>
      <x:c r="R543" s="2" t="n">
        <x:f>IF(A543,1,0)</x:f>
        <x:v>0</x:v>
      </x:c>
      <x:c r="S543" s="2" t="n">
        <x:f>SUBTOTAL(103,N543)</x:f>
        <x:v>1</x:v>
      </x:c>
    </x:row>
    <x:row r="544" ht="31" customHeight="1" outlineLevel="1">
      <x:c r="A544" s="28" t="b">
        <x:v>0</x:v>
      </x:c>
      <x:c r="B544" s="36" t="str">
        <x:v>Cycle 3</x:v>
      </x:c>
      <x:c r="C544" s="36" t="str">
        <x:v>Phase 1</x:v>
      </x:c>
      <x:c r="D544" s="36" t="str">
        <x:v>Retail Services</x:v>
      </x:c>
      <x:c r="E544" s="69" t="str">
        <x:v>DR.RS.1.3.C12</x:v>
      </x:c>
      <x:c r="F544" s="37" t="str">
        <x:v>    Document any severe spikes in volume along with context (as needed)</x:v>
      </x:c>
      <x:c r="G544" s="5"/>
      <x:c r="H544" s="11"/>
      <x:c r="I544" s="11"/>
      <x:c r="J544" s="11"/>
      <x:c r="K544" s="29"/>
      <x:c r="L544" s="2" t="str">
        <x:f>IF(A544,"Complete","Open check")</x:f>
        <x:v>Open check</x:v>
      </x:c>
      <x:c r="M544" s="2" t="str">
        <x:v>Checklist</x:v>
      </x:c>
      <x:c r="N544" s="2" t="str">
        <x:v>DR.RS.1.3.C12.2026.CY3</x:v>
      </x:c>
      <x:c r="O544" s="2" t="n">
        <x:f>R544</x:f>
        <x:v>0</x:v>
      </x:c>
      <x:c r="P544" s="2" t="str">
        <x:v>DR.RS.1.3.2026.CY3</x:v>
      </x:c>
      <x:c r="Q544" s="2" t="n">
        <x:v>0</x:v>
      </x:c>
      <x:c r="R544" s="2" t="n">
        <x:f>IF(A544,1,0)</x:f>
        <x:v>0</x:v>
      </x:c>
      <x:c r="S544" s="2" t="n">
        <x:f>SUBTOTAL(103,N544)</x:f>
        <x:v>1</x:v>
      </x:c>
    </x:row>
    <x:row r="545" ht="31" customHeight="1" outlineLevel="1">
      <x:c r="A545" s="28" t="b">
        <x:v>0</x:v>
      </x:c>
      <x:c r="B545" s="36" t="str">
        <x:v>Cycle 3</x:v>
      </x:c>
      <x:c r="C545" s="36" t="str">
        <x:v>Phase 1</x:v>
      </x:c>
      <x:c r="D545" s="36" t="str">
        <x:v>Retail Services</x:v>
      </x:c>
      <x:c r="E545" s="69" t="str">
        <x:v>DR.RS.1.3.C13</x:v>
      </x:c>
      <x:c r="F545" s="37" t="str">
        <x:v>    Document clear summary explaining how the data connects to the potential topic</x:v>
      </x:c>
      <x:c r="G545" s="5"/>
      <x:c r="H545" s="11"/>
      <x:c r="I545" s="11"/>
      <x:c r="J545" s="11"/>
      <x:c r="K545" s="29"/>
      <x:c r="L545" s="2" t="str">
        <x:f>IF(A545,"Complete","Open check")</x:f>
        <x:v>Open check</x:v>
      </x:c>
      <x:c r="M545" s="2" t="str">
        <x:v>Checklist</x:v>
      </x:c>
      <x:c r="N545" s="2" t="str">
        <x:v>DR.RS.1.3.C13.2026.CY3</x:v>
      </x:c>
      <x:c r="O545" s="2" t="n">
        <x:f>R545</x:f>
        <x:v>0</x:v>
      </x:c>
      <x:c r="P545" s="2" t="str">
        <x:v>DR.RS.1.3.2026.CY3</x:v>
      </x:c>
      <x:c r="Q545" s="2" t="n">
        <x:v>0</x:v>
      </x:c>
      <x:c r="R545" s="2" t="n">
        <x:f>IF(A545,1,0)</x:f>
        <x:v>0</x:v>
      </x:c>
      <x:c r="S545" s="2" t="n">
        <x:f>SUBTOTAL(103,N545)</x:f>
        <x:v>1</x:v>
      </x:c>
    </x:row>
    <x:row r="546" ht="42" customHeight="1">
      <x:c r="A546" s="28" t="b">
        <x:v>0</x:v>
      </x:c>
      <x:c r="B546" s="2" t="str">
        <x:v>Cycle 3</x:v>
      </x:c>
      <x:c r="C546" s="2" t="str">
        <x:v>Phase 2</x:v>
      </x:c>
      <x:c r="D546" s="2" t="str">
        <x:v>Retail Services</x:v>
      </x:c>
      <x:c r="E546" s="56" t="str">
        <x:v>DR.RS.2.1</x:v>
      </x:c>
      <x:c r="F546" s="14" t="str">
        <x:v>Ensure data is clean, structured, and usable without manipulation needed</x:v>
      </x:c>
      <x:c r="G546" s="5"/>
      <x:c r="H546" s="11"/>
      <x:c r="I546" s="11" t="n">
        <x:f>'Cycles &amp; Guide'!$D$12</x:f>
        <x:v>46295</x:v>
      </x:c>
      <x:c r="J546" s="11"/>
      <x:c r="K546" s="29"/>
      <x:c r="L546" s="2" t="str">
        <x:f>IF(O546=1,"Complete",IF(A546,"Checklist open",IF(H546&lt;&gt;"","In progress","Not started")))</x:f>
        <x:v>Not started</x:v>
      </x:c>
      <x:c r="M546" s="2" t="str">
        <x:v>Task</x:v>
      </x:c>
      <x:c r="N546" s="2" t="str">
        <x:v>DR.RS.2.1.2026.CY3</x:v>
      </x:c>
      <x:c r="O546" s="2" t="n">
        <x:f>R546</x:f>
        <x:v>0</x:v>
      </x:c>
      <x:c r="P546" s="2"/>
      <x:c r="Q546" s="2" t="n">
        <x:v>1</x:v>
      </x:c>
      <x:c r="R546" s="2" t="n">
        <x:f>IF(A546,1,0)</x:f>
        <x:v>0</x:v>
      </x:c>
      <x:c r="S546" s="2" t="n">
        <x:f>SUBTOTAL(103,N546)</x:f>
        <x:v>1</x:v>
      </x:c>
    </x:row>
    <x:row r="547" ht="42" customHeight="1">
      <x:c r="A547" s="28" t="b">
        <x:v>0</x:v>
      </x:c>
      <x:c r="B547" s="2" t="str">
        <x:v>Cycle 3</x:v>
      </x:c>
      <x:c r="C547" s="2" t="str">
        <x:v>Phase 2</x:v>
      </x:c>
      <x:c r="D547" s="2" t="str">
        <x:v>Retail Services</x:v>
      </x:c>
      <x:c r="E547" s="56" t="str">
        <x:v>DR.RS.2.2</x:v>
      </x:c>
      <x:c r="F547" s="14" t="str">
        <x:v>Clearly document rationale for each topic recommendation within the SharePoint list</x:v>
      </x:c>
      <x:c r="G547" s="5"/>
      <x:c r="H547" s="11"/>
      <x:c r="I547" s="11" t="n">
        <x:f>'Cycles &amp; Guide'!$D$12</x:f>
        <x:v>46295</x:v>
      </x:c>
      <x:c r="J547" s="11"/>
      <x:c r="K547" s="29"/>
      <x:c r="L547" s="2" t="str">
        <x:f>IF(O547=1,"Complete",IF(A547,"Checklist open",IF(H547&lt;&gt;"","In progress","Not started")))</x:f>
        <x:v>Not started</x:v>
      </x:c>
      <x:c r="M547" s="2" t="str">
        <x:v>Task</x:v>
      </x:c>
      <x:c r="N547" s="2" t="str">
        <x:v>DR.RS.2.2.2026.CY3</x:v>
      </x:c>
      <x:c r="O547" s="2" t="n">
        <x:f>R547</x:f>
        <x:v>0</x:v>
      </x:c>
      <x:c r="P547" s="2"/>
      <x:c r="Q547" s="2" t="n">
        <x:v>1</x:v>
      </x:c>
      <x:c r="R547" s="2" t="n">
        <x:f>IF(A547,1,0)</x:f>
        <x:v>0</x:v>
      </x:c>
      <x:c r="S547" s="2" t="n">
        <x:f>SUBTOTAL(103,N547)</x:f>
        <x:v>1</x:v>
      </x:c>
    </x:row>
    <x:row r="548" ht="42" customHeight="1">
      <x:c r="A548" s="28" t="b">
        <x:v>0</x:v>
      </x:c>
      <x:c r="B548" s="2" t="str">
        <x:v>Cycle 3</x:v>
      </x:c>
      <x:c r="C548" s="2" t="str">
        <x:v>Phase 2</x:v>
      </x:c>
      <x:c r="D548" s="2" t="str">
        <x:v>Retail Services</x:v>
      </x:c>
      <x:c r="E548" s="56" t="str">
        <x:v>DR.RS.2.3</x:v>
      </x:c>
      <x:c r="F548" s="14" t="str">
        <x:v>Verify topic is eligible for RCA and does not conflict with Attorney Client Privilege</x:v>
      </x:c>
      <x:c r="G548" s="5"/>
      <x:c r="H548" s="11"/>
      <x:c r="I548" s="11" t="n">
        <x:f>'Cycles &amp; Guide'!$D$12</x:f>
        <x:v>46295</x:v>
      </x:c>
      <x:c r="J548" s="11"/>
      <x:c r="K548" s="29"/>
      <x:c r="L548" s="2" t="str">
        <x:f>IF(O548=1,"Complete",IF(A548,"Checklist open",IF(H548&lt;&gt;"","In progress","Not started")))</x:f>
        <x:v>Not started</x:v>
      </x:c>
      <x:c r="M548" s="2" t="str">
        <x:v>Task</x:v>
      </x:c>
      <x:c r="N548" s="2" t="str">
        <x:v>DR.RS.2.3.2026.CY3</x:v>
      </x:c>
      <x:c r="O548" s="2" t="n">
        <x:f>R548</x:f>
        <x:v>0</x:v>
      </x:c>
      <x:c r="P548" s="2"/>
      <x:c r="Q548" s="2" t="n">
        <x:v>1</x:v>
      </x:c>
      <x:c r="R548" s="2" t="n">
        <x:f>IF(A548,1,0)</x:f>
        <x:v>0</x:v>
      </x:c>
      <x:c r="S548" s="2" t="n">
        <x:f>SUBTOTAL(103,N548)</x:f>
        <x:v>1</x:v>
      </x:c>
    </x:row>
    <x:row r="549" ht="42" customHeight="1">
      <x:c r="A549" s="28" t="b">
        <x:v>0</x:v>
      </x:c>
      <x:c r="B549" s="2" t="str">
        <x:v>Cycle 3</x:v>
      </x:c>
      <x:c r="C549" s="2" t="str">
        <x:v>Phase 2</x:v>
      </x:c>
      <x:c r="D549" s="2" t="str">
        <x:v>Retail Services</x:v>
      </x:c>
      <x:c r="E549" s="56" t="str">
        <x:v>DR.RS.2.4</x:v>
      </x:c>
      <x:c r="F549" s="14" t="str">
        <x:v>Ensure data is free of errors and anomalies prior to hand-off to Research</x:v>
      </x:c>
      <x:c r="G549" s="5"/>
      <x:c r="H549" s="11"/>
      <x:c r="I549" s="11" t="n">
        <x:f>'Cycles &amp; Guide'!$D$12</x:f>
        <x:v>46295</x:v>
      </x:c>
      <x:c r="J549" s="11"/>
      <x:c r="K549" s="29"/>
      <x:c r="L549" s="2" t="str">
        <x:f>IF(O549=1,"Complete",IF(A549,"Checklist open",IF(H549&lt;&gt;"","In progress","Not started")))</x:f>
        <x:v>Not started</x:v>
      </x:c>
      <x:c r="M549" s="2" t="str">
        <x:v>Task</x:v>
      </x:c>
      <x:c r="N549" s="2" t="str">
        <x:v>DR.RS.2.4.2026.CY3</x:v>
      </x:c>
      <x:c r="O549" s="2" t="n">
        <x:f>R549</x:f>
        <x:v>0</x:v>
      </x:c>
      <x:c r="P549" s="2"/>
      <x:c r="Q549" s="2" t="n">
        <x:v>1</x:v>
      </x:c>
      <x:c r="R549" s="2" t="n">
        <x:f>IF(A549,1,0)</x:f>
        <x:v>0</x:v>
      </x:c>
      <x:c r="S549" s="2" t="n">
        <x:f>SUBTOTAL(103,N549)</x:f>
        <x:v>1</x:v>
      </x:c>
    </x:row>
    <x:row r="550" ht="42" customHeight="1">
      <x:c r="A550" s="28" t="b">
        <x:v>0</x:v>
      </x:c>
      <x:c r="B550" s="2" t="str">
        <x:v>Cycle 3</x:v>
      </x:c>
      <x:c r="C550" s="2" t="str">
        <x:v>Phase 2</x:v>
      </x:c>
      <x:c r="D550" s="2" t="str">
        <x:v>Retail Services</x:v>
      </x:c>
      <x:c r="E550" s="56" t="str">
        <x:v>DR.RS.2.5</x:v>
      </x:c>
      <x:c r="F550" s="14" t="str">
        <x:v>Ensure topic is not a duplicate from a previous Cycle</x:v>
      </x:c>
      <x:c r="G550" s="5"/>
      <x:c r="H550" s="11"/>
      <x:c r="I550" s="11" t="n">
        <x:f>'Cycles &amp; Guide'!$D$12</x:f>
        <x:v>46295</x:v>
      </x:c>
      <x:c r="J550" s="11"/>
      <x:c r="K550" s="29"/>
      <x:c r="L550" s="2" t="str">
        <x:f>IF(O550=1,"Complete",IF(A550,"Checklist open",IF(H550&lt;&gt;"","In progress","Not started")))</x:f>
        <x:v>Not started</x:v>
      </x:c>
      <x:c r="M550" s="2" t="str">
        <x:v>Task</x:v>
      </x:c>
      <x:c r="N550" s="2" t="str">
        <x:v>DR.RS.2.5.2026.CY3</x:v>
      </x:c>
      <x:c r="O550" s="2" t="n">
        <x:f>R550</x:f>
        <x:v>0</x:v>
      </x:c>
      <x:c r="P550" s="2"/>
      <x:c r="Q550" s="2" t="n">
        <x:v>1</x:v>
      </x:c>
      <x:c r="R550" s="2" t="n">
        <x:f>IF(A550,1,0)</x:f>
        <x:v>0</x:v>
      </x:c>
      <x:c r="S550" s="2" t="n">
        <x:f>SUBTOTAL(103,N550)</x:f>
        <x:v>1</x:v>
      </x:c>
    </x:row>
    <x:row r="551" ht="42" customHeight="1">
      <x:c r="A551" s="28" t="b">
        <x:v>0</x:v>
      </x:c>
      <x:c r="B551" s="2" t="str">
        <x:v>Cycle 3</x:v>
      </x:c>
      <x:c r="C551" s="2" t="str">
        <x:v>Phase 2</x:v>
      </x:c>
      <x:c r="D551" s="2" t="str">
        <x:v>Retail Services</x:v>
      </x:c>
      <x:c r="E551" s="56" t="str">
        <x:v>DR.RS.2.6</x:v>
      </x:c>
      <x:c r="F551" s="14" t="str">
        <x:v>Document clear distinctions between facts, assumptions, and hypotheses within the data package</x:v>
      </x:c>
      <x:c r="G551" s="5"/>
      <x:c r="H551" s="11"/>
      <x:c r="I551" s="11" t="n">
        <x:f>'Cycles &amp; Guide'!$D$12</x:f>
        <x:v>46295</x:v>
      </x:c>
      <x:c r="J551" s="11"/>
      <x:c r="K551" s="29"/>
      <x:c r="L551" s="2" t="str">
        <x:f>IF(O551=1,"Complete",IF(A551,"Checklist open",IF(H551&lt;&gt;"","In progress","Not started")))</x:f>
        <x:v>Not started</x:v>
      </x:c>
      <x:c r="M551" s="2" t="str">
        <x:v>Task</x:v>
      </x:c>
      <x:c r="N551" s="2" t="str">
        <x:v>DR.RS.2.6.2026.CY3</x:v>
      </x:c>
      <x:c r="O551" s="2" t="n">
        <x:f>R551</x:f>
        <x:v>0</x:v>
      </x:c>
      <x:c r="P551" s="2"/>
      <x:c r="Q551" s="2" t="n">
        <x:v>1</x:v>
      </x:c>
      <x:c r="R551" s="2" t="n">
        <x:f>IF(A551,1,0)</x:f>
        <x:v>0</x:v>
      </x:c>
      <x:c r="S551" s="2" t="n">
        <x:f>SUBTOTAL(103,N551)</x:f>
        <x:v>1</x:v>
      </x:c>
    </x:row>
    <x:row r="552" ht="42" customHeight="1">
      <x:c r="A552" s="28" t="b">
        <x:v>0</x:v>
      </x:c>
      <x:c r="B552" s="2" t="str">
        <x:v>Cycle 3</x:v>
      </x:c>
      <x:c r="C552" s="2" t="str">
        <x:v>Phase 3</x:v>
      </x:c>
      <x:c r="D552" s="2" t="str">
        <x:v>Retail Services</x:v>
      </x:c>
      <x:c r="E552" s="56" t="str">
        <x:v>DR.RS.3.1</x:v>
      </x:c>
      <x:c r="F552" s="14" t="str">
        <x:v>Clearly document rationale for each topic recommendation within the SharePoint list item</x:v>
      </x:c>
      <x:c r="G552" s="5"/>
      <x:c r="H552" s="11"/>
      <x:c r="I552" s="11" t="n">
        <x:f>'Cycles &amp; Guide'!$D$12</x:f>
        <x:v>46295</x:v>
      </x:c>
      <x:c r="J552" s="11"/>
      <x:c r="K552" s="29"/>
      <x:c r="L552" s="2" t="str">
        <x:f>IF(O552=1,"Complete",IF(A552,"Checklist open",IF(H552&lt;&gt;"","In progress","Not started")))</x:f>
        <x:v>Not started</x:v>
      </x:c>
      <x:c r="M552" s="2" t="str">
        <x:v>Task</x:v>
      </x:c>
      <x:c r="N552" s="2" t="str">
        <x:v>DR.RS.3.1.2026.CY3</x:v>
      </x:c>
      <x:c r="O552" s="2" t="n">
        <x:f>R552</x:f>
        <x:v>0</x:v>
      </x:c>
      <x:c r="P552" s="2"/>
      <x:c r="Q552" s="2" t="n">
        <x:v>1</x:v>
      </x:c>
      <x:c r="R552" s="2" t="n">
        <x:f>IF(A552,1,0)</x:f>
        <x:v>0</x:v>
      </x:c>
      <x:c r="S552" s="2" t="n">
        <x:f>SUBTOTAL(103,N552)</x:f>
        <x:v>1</x:v>
      </x:c>
    </x:row>
    <x:row r="553" ht="42" customHeight="1">
      <x:c r="A553" s="28" t="b">
        <x:v>0</x:v>
      </x:c>
      <x:c r="B553" s="2" t="str">
        <x:v>Cycle 3</x:v>
      </x:c>
      <x:c r="C553" s="2" t="str">
        <x:v>Phase 3</x:v>
      </x:c>
      <x:c r="D553" s="2" t="str">
        <x:v>Retail Services</x:v>
      </x:c>
      <x:c r="E553" s="56" t="str">
        <x:v>DR.RS.3.2</x:v>
      </x:c>
      <x:c r="F553" s="14" t="str">
        <x:v>Attach the data package for each topic recommendation within the SharePoint list item</x:v>
      </x:c>
      <x:c r="G553" s="5"/>
      <x:c r="H553" s="11"/>
      <x:c r="I553" s="11" t="n">
        <x:f>'Cycles &amp; Guide'!$D$12</x:f>
        <x:v>46295</x:v>
      </x:c>
      <x:c r="J553" s="11"/>
      <x:c r="K553" s="29"/>
      <x:c r="L553" s="2" t="str">
        <x:f>IF(O553=1,"Complete",IF(A553,"Checklist open",IF(H553&lt;&gt;"","In progress","Not started")))</x:f>
        <x:v>Not started</x:v>
      </x:c>
      <x:c r="M553" s="2" t="str">
        <x:v>Task</x:v>
      </x:c>
      <x:c r="N553" s="2" t="str">
        <x:v>DR.RS.3.2.2026.CY3</x:v>
      </x:c>
      <x:c r="O553" s="2" t="n">
        <x:f>R553</x:f>
        <x:v>0</x:v>
      </x:c>
      <x:c r="P553" s="2"/>
      <x:c r="Q553" s="2" t="n">
        <x:v>1</x:v>
      </x:c>
      <x:c r="R553" s="2" t="n">
        <x:f>IF(A553,1,0)</x:f>
        <x:v>0</x:v>
      </x:c>
      <x:c r="S553" s="2" t="n">
        <x:f>SUBTOTAL(103,N553)</x:f>
        <x:v>1</x:v>
      </x:c>
    </x:row>
    <x:row r="554" ht="42" customHeight="1">
      <x:c r="A554" s="28" t="b">
        <x:v>0</x:v>
      </x:c>
      <x:c r="B554" s="2" t="str">
        <x:v>Cycle 3</x:v>
      </x:c>
      <x:c r="C554" s="2" t="str">
        <x:v>Phase 3</x:v>
      </x:c>
      <x:c r="D554" s="2" t="str">
        <x:v>Retail Services</x:v>
      </x:c>
      <x:c r="E554" s="56" t="str">
        <x:v>DR.RS.3.3</x:v>
      </x:c>
      <x:c r="F554" s="14" t="str">
        <x:v>Confirm data privileges have been granted, ensuring each pillar can access</x:v>
      </x:c>
      <x:c r="G554" s="5"/>
      <x:c r="H554" s="11"/>
      <x:c r="I554" s="11" t="n">
        <x:f>'Cycles &amp; Guide'!$D$12</x:f>
        <x:v>46295</x:v>
      </x:c>
      <x:c r="J554" s="11"/>
      <x:c r="K554" s="29"/>
      <x:c r="L554" s="2" t="str">
        <x:f>IF(O554=1,"Complete",IF(A554,"Checklist open",IF(H554&lt;&gt;"","In progress","Not started")))</x:f>
        <x:v>Not started</x:v>
      </x:c>
      <x:c r="M554" s="2" t="str">
        <x:v>Task</x:v>
      </x:c>
      <x:c r="N554" s="2" t="str">
        <x:v>DR.RS.3.3.2026.CY3</x:v>
      </x:c>
      <x:c r="O554" s="2" t="n">
        <x:f>R554</x:f>
        <x:v>0</x:v>
      </x:c>
      <x:c r="P554" s="2"/>
      <x:c r="Q554" s="2" t="n">
        <x:v>1</x:v>
      </x:c>
      <x:c r="R554" s="2" t="n">
        <x:f>IF(A554,1,0)</x:f>
        <x:v>0</x:v>
      </x:c>
      <x:c r="S554" s="2" t="n">
        <x:f>SUBTOTAL(103,N554)</x:f>
        <x:v>1</x:v>
      </x:c>
    </x:row>
    <x:row r="555" ht="42" customHeight="1">
      <x:c r="A555" s="28" t="b">
        <x:v>0</x:v>
      </x:c>
      <x:c r="B555" s="2" t="str">
        <x:v>Cycle 3</x:v>
      </x:c>
      <x:c r="C555" s="2" t="str">
        <x:v>Phase 3</x:v>
      </x:c>
      <x:c r="D555" s="2" t="str">
        <x:v>Retail Services</x:v>
      </x:c>
      <x:c r="E555" s="56" t="str">
        <x:v>DR.RS.3.4</x:v>
      </x:c>
      <x:c r="F555" s="14" t="str">
        <x:v>Ensure Power Automate notifications were correctly triggered within Microsoft Teams</x:v>
      </x:c>
      <x:c r="G555" s="5"/>
      <x:c r="H555" s="11"/>
      <x:c r="I555" s="11" t="n">
        <x:f>'Cycles &amp; Guide'!$D$12</x:f>
        <x:v>46295</x:v>
      </x:c>
      <x:c r="J555" s="11"/>
      <x:c r="K555" s="29"/>
      <x:c r="L555" s="2" t="str">
        <x:f>IF(O555=1,"Complete",IF(A555,"Checklist open",IF(H555&lt;&gt;"","In progress","Not started")))</x:f>
        <x:v>Not started</x:v>
      </x:c>
      <x:c r="M555" s="2" t="str">
        <x:v>Task</x:v>
      </x:c>
      <x:c r="N555" s="2" t="str">
        <x:v>DR.RS.3.4.2026.CY3</x:v>
      </x:c>
      <x:c r="O555" s="2" t="n">
        <x:f>R555</x:f>
        <x:v>0</x:v>
      </x:c>
      <x:c r="P555" s="2"/>
      <x:c r="Q555" s="2" t="n">
        <x:v>1</x:v>
      </x:c>
      <x:c r="R555" s="2" t="n">
        <x:f>IF(A555,1,0)</x:f>
        <x:v>0</x:v>
      </x:c>
      <x:c r="S555" s="2" t="n">
        <x:f>SUBTOTAL(103,N555)</x:f>
        <x:v>1</x:v>
      </x:c>
    </x:row>
    <x:row r="556" ht="42" customHeight="1">
      <x:c r="A556" s="28" t="b">
        <x:v>0</x:v>
      </x:c>
      <x:c r="B556" s="2" t="str">
        <x:v>Cycle 4</x:v>
      </x:c>
      <x:c r="C556" s="2" t="str">
        <x:v>Phase 1</x:v>
      </x:c>
      <x:c r="D556" s="2" t="str">
        <x:v>Auto</x:v>
      </x:c>
      <x:c r="E556" s="56" t="str">
        <x:v>DR.AU.1.1</x:v>
      </x:c>
      <x:c r="F556" s="14" t="str">
        <x:v>Review data sources 3 weeks prior to Cycle start (Complaints, Gen AI, Loudspeaker, NPS, etc.)</x:v>
      </x:c>
      <x:c r="G556" s="5"/>
      <x:c r="H556" s="11"/>
      <x:c r="I556" s="11" t="n">
        <x:f>'Cycles &amp; Guide'!$C$13-21</x:f>
        <x:v>46275</x:v>
      </x:c>
      <x:c r="J556" s="11"/>
      <x:c r="K556" s="29"/>
      <x:c r="L556" s="2" t="str">
        <x:f>IF(O556=1,"Complete",IF(A556,"Checklist open",IF(H556&lt;&gt;"","In progress","Not started")))</x:f>
        <x:v>Not started</x:v>
      </x:c>
      <x:c r="M556" s="2" t="str">
        <x:v>Task</x:v>
      </x:c>
      <x:c r="N556" s="2" t="str">
        <x:v>DR.AU.1.1.2026.CY4</x:v>
      </x:c>
      <x:c r="O556" s="2" t="n">
        <x:f>R556</x:f>
        <x:v>0</x:v>
      </x:c>
      <x:c r="P556" s="2"/>
      <x:c r="Q556" s="2" t="n">
        <x:v>1</x:v>
      </x:c>
      <x:c r="R556" s="2" t="n">
        <x:f>IF(A556,1,0)</x:f>
        <x:v>0</x:v>
      </x:c>
      <x:c r="S556" s="2" t="n">
        <x:f>SUBTOTAL(103,N556)</x:f>
        <x:v>1</x:v>
      </x:c>
    </x:row>
    <x:row r="557" ht="42" customHeight="1">
      <x:c r="A557" s="28" t="b">
        <x:v>0</x:v>
      </x:c>
      <x:c r="B557" s="2" t="str">
        <x:v>Cycle 4</x:v>
      </x:c>
      <x:c r="C557" s="2" t="str">
        <x:v>Phase 1</x:v>
      </x:c>
      <x:c r="D557" s="2" t="str">
        <x:v>Auto</x:v>
      </x:c>
      <x:c r="E557" s="56" t="str">
        <x:v>DR.AU.1.2</x:v>
      </x:c>
      <x:c r="F557" s="14" t="str">
        <x:v>Identify two potential topics for the upcoming Cycle</x:v>
      </x:c>
      <x:c r="G557" s="5"/>
      <x:c r="H557" s="11"/>
      <x:c r="I557" s="11" t="n">
        <x:f>'Cycles &amp; Guide'!$D$13</x:f>
        <x:v>46387</x:v>
      </x:c>
      <x:c r="J557" s="11"/>
      <x:c r="K557" s="29"/>
      <x:c r="L557" s="2" t="str">
        <x:f>IF(O557=1,"Complete",IF(A557,"Checklist open",IF(H557&lt;&gt;"","In progress","Not started")))</x:f>
        <x:v>Not started</x:v>
      </x:c>
      <x:c r="M557" s="2" t="str">
        <x:v>Task</x:v>
      </x:c>
      <x:c r="N557" s="2" t="str">
        <x:v>DR.AU.1.2.2026.CY4</x:v>
      </x:c>
      <x:c r="O557" s="2" t="n">
        <x:f>R557</x:f>
        <x:v>0</x:v>
      </x:c>
      <x:c r="P557" s="2"/>
      <x:c r="Q557" s="2" t="n">
        <x:v>1</x:v>
      </x:c>
      <x:c r="R557" s="2" t="n">
        <x:f>IF(A557,1,0)</x:f>
        <x:v>0</x:v>
      </x:c>
      <x:c r="S557" s="2" t="n">
        <x:f>SUBTOTAL(103,N557)</x:f>
        <x:v>1</x:v>
      </x:c>
    </x:row>
    <x:row r="558" ht="42" customHeight="1">
      <x:c r="A558" s="28" t="b">
        <x:v>0</x:v>
      </x:c>
      <x:c r="B558" s="2" t="str">
        <x:v>Cycle 4</x:v>
      </x:c>
      <x:c r="C558" s="2" t="str">
        <x:v>Phase 1</x:v>
      </x:c>
      <x:c r="D558" s="2" t="str">
        <x:v>Auto</x:v>
      </x:c>
      <x:c r="E558" s="68" t="str">
        <x:v>DR.AU.1.3</x:v>
      </x:c>
      <x:c r="F558" s="33" t="str">
        <x:v>Extract data for both potential topics, ensuring all checklist items below are included/completed</x:v>
      </x:c>
      <x:c r="G558" s="5"/>
      <x:c r="H558" s="11"/>
      <x:c r="I558" s="11" t="n">
        <x:f>'Cycles &amp; Guide'!$D$13</x:f>
        <x:v>46387</x:v>
      </x:c>
      <x:c r="J558" s="11"/>
      <x:c r="K558" s="29"/>
      <x:c r="L558" s="2" t="str">
        <x:f>IF(O558=1,"Complete",IF(A558,"Checklist open",IF(H558&lt;&gt;"","In progress","Not started")))</x:f>
        <x:v>Not started</x:v>
      </x:c>
      <x:c r="M558" s="2" t="str">
        <x:v>Task</x:v>
      </x:c>
      <x:c r="N558" s="2" t="str">
        <x:v>DR.AU.1.3.2026.CY4</x:v>
      </x:c>
      <x:c r="O558" s="2" t="n">
        <x:f>IF(A558,IF(SUMIFS($R$10:$R$737,$P$10:$P$737,N558)=13,1,0),0)</x:f>
        <x:v>0</x:v>
      </x:c>
      <x:c r="P558" s="2"/>
      <x:c r="Q558" s="2" t="n">
        <x:v>1</x:v>
      </x:c>
      <x:c r="R558" s="2" t="n">
        <x:f>IF(A558,1,0)</x:f>
        <x:v>0</x:v>
      </x:c>
      <x:c r="S558" s="2" t="n">
        <x:f>SUBTOTAL(103,N558)</x:f>
        <x:v>1</x:v>
      </x:c>
    </x:row>
    <x:row r="559" ht="31" customHeight="1" outlineLevel="1">
      <x:c r="A559" s="28" t="b">
        <x:v>0</x:v>
      </x:c>
      <x:c r="B559" s="36" t="str">
        <x:v>Cycle 4</x:v>
      </x:c>
      <x:c r="C559" s="36" t="str">
        <x:v>Phase 1</x:v>
      </x:c>
      <x:c r="D559" s="36" t="str">
        <x:v>Auto</x:v>
      </x:c>
      <x:c r="E559" s="69" t="str">
        <x:v>DR.AU.1.3.C01</x:v>
      </x:c>
      <x:c r="F559" s="37" t="str">
        <x:v>    Document date range extracted</x:v>
      </x:c>
      <x:c r="G559" s="5"/>
      <x:c r="H559" s="11"/>
      <x:c r="I559" s="11"/>
      <x:c r="J559" s="11"/>
      <x:c r="K559" s="29"/>
      <x:c r="L559" s="2" t="str">
        <x:f>IF(A559,"Complete","Open check")</x:f>
        <x:v>Open check</x:v>
      </x:c>
      <x:c r="M559" s="2" t="str">
        <x:v>Checklist</x:v>
      </x:c>
      <x:c r="N559" s="2" t="str">
        <x:v>DR.AU.1.3.C01.2026.CY4</x:v>
      </x:c>
      <x:c r="O559" s="2" t="n">
        <x:f>R559</x:f>
        <x:v>0</x:v>
      </x:c>
      <x:c r="P559" s="2" t="str">
        <x:v>DR.AU.1.3.2026.CY4</x:v>
      </x:c>
      <x:c r="Q559" s="2" t="n">
        <x:v>0</x:v>
      </x:c>
      <x:c r="R559" s="2" t="n">
        <x:f>IF(A559,1,0)</x:f>
        <x:v>0</x:v>
      </x:c>
      <x:c r="S559" s="2" t="n">
        <x:f>SUBTOTAL(103,N559)</x:f>
        <x:v>1</x:v>
      </x:c>
    </x:row>
    <x:row r="560" ht="31" customHeight="1" outlineLevel="1">
      <x:c r="A560" s="28" t="b">
        <x:v>0</x:v>
      </x:c>
      <x:c r="B560" s="36" t="str">
        <x:v>Cycle 4</x:v>
      </x:c>
      <x:c r="C560" s="36" t="str">
        <x:v>Phase 1</x:v>
      </x:c>
      <x:c r="D560" s="36" t="str">
        <x:v>Auto</x:v>
      </x:c>
      <x:c r="E560" s="69" t="str">
        <x:v>DR.AU.1.3.C02</x:v>
      </x:c>
      <x:c r="F560" s="37" t="str">
        <x:v>    Document date of data pull</x:v>
      </x:c>
      <x:c r="G560" s="5"/>
      <x:c r="H560" s="11"/>
      <x:c r="I560" s="11"/>
      <x:c r="J560" s="11"/>
      <x:c r="K560" s="29"/>
      <x:c r="L560" s="2" t="str">
        <x:f>IF(A560,"Complete","Open check")</x:f>
        <x:v>Open check</x:v>
      </x:c>
      <x:c r="M560" s="2" t="str">
        <x:v>Checklist</x:v>
      </x:c>
      <x:c r="N560" s="2" t="str">
        <x:v>DR.AU.1.3.C02.2026.CY4</x:v>
      </x:c>
      <x:c r="O560" s="2" t="n">
        <x:f>R560</x:f>
        <x:v>0</x:v>
      </x:c>
      <x:c r="P560" s="2" t="str">
        <x:v>DR.AU.1.3.2026.CY4</x:v>
      </x:c>
      <x:c r="Q560" s="2" t="n">
        <x:v>0</x:v>
      </x:c>
      <x:c r="R560" s="2" t="n">
        <x:f>IF(A560,1,0)</x:f>
        <x:v>0</x:v>
      </x:c>
      <x:c r="S560" s="2" t="n">
        <x:f>SUBTOTAL(103,N560)</x:f>
        <x:v>1</x:v>
      </x:c>
    </x:row>
    <x:row r="561" ht="31" customHeight="1" outlineLevel="1">
      <x:c r="A561" s="28" t="b">
        <x:v>0</x:v>
      </x:c>
      <x:c r="B561" s="36" t="str">
        <x:v>Cycle 4</x:v>
      </x:c>
      <x:c r="C561" s="36" t="str">
        <x:v>Phase 1</x:v>
      </x:c>
      <x:c r="D561" s="36" t="str">
        <x:v>Auto</x:v>
      </x:c>
      <x:c r="E561" s="69" t="str">
        <x:v>DR.AU.1.3.C03</x:v>
      </x:c>
      <x:c r="F561" s="37" t="str">
        <x:v>    Document population details</x:v>
      </x:c>
      <x:c r="G561" s="5"/>
      <x:c r="H561" s="11"/>
      <x:c r="I561" s="11"/>
      <x:c r="J561" s="11"/>
      <x:c r="K561" s="29"/>
      <x:c r="L561" s="2" t="str">
        <x:f>IF(A561,"Complete","Open check")</x:f>
        <x:v>Open check</x:v>
      </x:c>
      <x:c r="M561" s="2" t="str">
        <x:v>Checklist</x:v>
      </x:c>
      <x:c r="N561" s="2" t="str">
        <x:v>DR.AU.1.3.C03.2026.CY4</x:v>
      </x:c>
      <x:c r="O561" s="2" t="n">
        <x:f>R561</x:f>
        <x:v>0</x:v>
      </x:c>
      <x:c r="P561" s="2" t="str">
        <x:v>DR.AU.1.3.2026.CY4</x:v>
      </x:c>
      <x:c r="Q561" s="2" t="n">
        <x:v>0</x:v>
      </x:c>
      <x:c r="R561" s="2" t="n">
        <x:f>IF(A561,1,0)</x:f>
        <x:v>0</x:v>
      </x:c>
      <x:c r="S561" s="2" t="n">
        <x:f>SUBTOTAL(103,N561)</x:f>
        <x:v>1</x:v>
      </x:c>
    </x:row>
    <x:row r="562" ht="31" customHeight="1" outlineLevel="1">
      <x:c r="A562" s="28" t="b">
        <x:v>0</x:v>
      </x:c>
      <x:c r="B562" s="36" t="str">
        <x:v>Cycle 4</x:v>
      </x:c>
      <x:c r="C562" s="36" t="str">
        <x:v>Phase 1</x:v>
      </x:c>
      <x:c r="D562" s="36" t="str">
        <x:v>Auto</x:v>
      </x:c>
      <x:c r="E562" s="69" t="str">
        <x:v>DR.AU.1.3.C04</x:v>
      </x:c>
      <x:c r="F562" s="37" t="str">
        <x:v>    Validate no data is missing</x:v>
      </x:c>
      <x:c r="G562" s="5"/>
      <x:c r="H562" s="11"/>
      <x:c r="I562" s="11"/>
      <x:c r="J562" s="11"/>
      <x:c r="K562" s="29"/>
      <x:c r="L562" s="2" t="str">
        <x:f>IF(A562,"Complete","Open check")</x:f>
        <x:v>Open check</x:v>
      </x:c>
      <x:c r="M562" s="2" t="str">
        <x:v>Checklist</x:v>
      </x:c>
      <x:c r="N562" s="2" t="str">
        <x:v>DR.AU.1.3.C04.2026.CY4</x:v>
      </x:c>
      <x:c r="O562" s="2" t="n">
        <x:f>R562</x:f>
        <x:v>0</x:v>
      </x:c>
      <x:c r="P562" s="2" t="str">
        <x:v>DR.AU.1.3.2026.CY4</x:v>
      </x:c>
      <x:c r="Q562" s="2" t="n">
        <x:v>0</x:v>
      </x:c>
      <x:c r="R562" s="2" t="n">
        <x:f>IF(A562,1,0)</x:f>
        <x:v>0</x:v>
      </x:c>
      <x:c r="S562" s="2" t="n">
        <x:f>SUBTOTAL(103,N562)</x:f>
        <x:v>1</x:v>
      </x:c>
    </x:row>
    <x:row r="563" ht="31" customHeight="1" outlineLevel="1">
      <x:c r="A563" s="28" t="b">
        <x:v>0</x:v>
      </x:c>
      <x:c r="B563" s="36" t="str">
        <x:v>Cycle 4</x:v>
      </x:c>
      <x:c r="C563" s="36" t="str">
        <x:v>Phase 1</x:v>
      </x:c>
      <x:c r="D563" s="36" t="str">
        <x:v>Auto</x:v>
      </x:c>
      <x:c r="E563" s="69" t="str">
        <x:v>DR.AU.1.3.C05</x:v>
      </x:c>
      <x:c r="F563" s="37" t="str">
        <x:v>    Validate accuracy of data</x:v>
      </x:c>
      <x:c r="G563" s="5"/>
      <x:c r="H563" s="11"/>
      <x:c r="I563" s="11"/>
      <x:c r="J563" s="11"/>
      <x:c r="K563" s="29"/>
      <x:c r="L563" s="2" t="str">
        <x:f>IF(A563,"Complete","Open check")</x:f>
        <x:v>Open check</x:v>
      </x:c>
      <x:c r="M563" s="2" t="str">
        <x:v>Checklist</x:v>
      </x:c>
      <x:c r="N563" s="2" t="str">
        <x:v>DR.AU.1.3.C05.2026.CY4</x:v>
      </x:c>
      <x:c r="O563" s="2" t="n">
        <x:f>R563</x:f>
        <x:v>0</x:v>
      </x:c>
      <x:c r="P563" s="2" t="str">
        <x:v>DR.AU.1.3.2026.CY4</x:v>
      </x:c>
      <x:c r="Q563" s="2" t="n">
        <x:v>0</x:v>
      </x:c>
      <x:c r="R563" s="2" t="n">
        <x:f>IF(A563,1,0)</x:f>
        <x:v>0</x:v>
      </x:c>
      <x:c r="S563" s="2" t="n">
        <x:f>SUBTOTAL(103,N563)</x:f>
        <x:v>1</x:v>
      </x:c>
    </x:row>
    <x:row r="564" ht="31" customHeight="1" outlineLevel="1">
      <x:c r="A564" s="28" t="b">
        <x:v>0</x:v>
      </x:c>
      <x:c r="B564" s="36" t="str">
        <x:v>Cycle 4</x:v>
      </x:c>
      <x:c r="C564" s="36" t="str">
        <x:v>Phase 1</x:v>
      </x:c>
      <x:c r="D564" s="36" t="str">
        <x:v>Auto</x:v>
      </x:c>
      <x:c r="E564" s="69" t="str">
        <x:v>DR.AU.1.3.C06</x:v>
      </x:c>
      <x:c r="F564" s="37" t="str">
        <x:v>    Validate no duplicate data is provided</x:v>
      </x:c>
      <x:c r="G564" s="5"/>
      <x:c r="H564" s="11"/>
      <x:c r="I564" s="11"/>
      <x:c r="J564" s="11"/>
      <x:c r="K564" s="29"/>
      <x:c r="L564" s="2" t="str">
        <x:f>IF(A564,"Complete","Open check")</x:f>
        <x:v>Open check</x:v>
      </x:c>
      <x:c r="M564" s="2" t="str">
        <x:v>Checklist</x:v>
      </x:c>
      <x:c r="N564" s="2" t="str">
        <x:v>DR.AU.1.3.C06.2026.CY4</x:v>
      </x:c>
      <x:c r="O564" s="2" t="n">
        <x:f>R564</x:f>
        <x:v>0</x:v>
      </x:c>
      <x:c r="P564" s="2" t="str">
        <x:v>DR.AU.1.3.2026.CY4</x:v>
      </x:c>
      <x:c r="Q564" s="2" t="n">
        <x:v>0</x:v>
      </x:c>
      <x:c r="R564" s="2" t="n">
        <x:f>IF(A564,1,0)</x:f>
        <x:v>0</x:v>
      </x:c>
      <x:c r="S564" s="2" t="n">
        <x:f>SUBTOTAL(103,N564)</x:f>
        <x:v>1</x:v>
      </x:c>
    </x:row>
    <x:row r="565" ht="31" customHeight="1" outlineLevel="1">
      <x:c r="A565" s="28" t="b">
        <x:v>0</x:v>
      </x:c>
      <x:c r="B565" s="36" t="str">
        <x:v>Cycle 4</x:v>
      </x:c>
      <x:c r="C565" s="36" t="str">
        <x:v>Phase 1</x:v>
      </x:c>
      <x:c r="D565" s="36" t="str">
        <x:v>Auto</x:v>
      </x:c>
      <x:c r="E565" s="69" t="str">
        <x:v>DR.AU.1.3.C07</x:v>
      </x:c>
      <x:c r="F565" s="37" t="str">
        <x:v>    Document any data exclusions along with justification (as needed)</x:v>
      </x:c>
      <x:c r="G565" s="5"/>
      <x:c r="H565" s="11"/>
      <x:c r="I565" s="11"/>
      <x:c r="J565" s="11"/>
      <x:c r="K565" s="29"/>
      <x:c r="L565" s="2" t="str">
        <x:f>IF(A565,"Complete","Open check")</x:f>
        <x:v>Open check</x:v>
      </x:c>
      <x:c r="M565" s="2" t="str">
        <x:v>Checklist</x:v>
      </x:c>
      <x:c r="N565" s="2" t="str">
        <x:v>DR.AU.1.3.C07.2026.CY4</x:v>
      </x:c>
      <x:c r="O565" s="2" t="n">
        <x:f>R565</x:f>
        <x:v>0</x:v>
      </x:c>
      <x:c r="P565" s="2" t="str">
        <x:v>DR.AU.1.3.2026.CY4</x:v>
      </x:c>
      <x:c r="Q565" s="2" t="n">
        <x:v>0</x:v>
      </x:c>
      <x:c r="R565" s="2" t="n">
        <x:f>IF(A565,1,0)</x:f>
        <x:v>0</x:v>
      </x:c>
      <x:c r="S565" s="2" t="n">
        <x:f>SUBTOTAL(103,N565)</x:f>
        <x:v>1</x:v>
      </x:c>
    </x:row>
    <x:row r="566" ht="31" customHeight="1" outlineLevel="1">
      <x:c r="A566" s="28" t="b">
        <x:v>0</x:v>
      </x:c>
      <x:c r="B566" s="36" t="str">
        <x:v>Cycle 4</x:v>
      </x:c>
      <x:c r="C566" s="36" t="str">
        <x:v>Phase 1</x:v>
      </x:c>
      <x:c r="D566" s="36" t="str">
        <x:v>Auto</x:v>
      </x:c>
      <x:c r="E566" s="69" t="str">
        <x:v>DR.AU.1.3.C08</x:v>
      </x:c>
      <x:c r="F566" s="37" t="str">
        <x:v>    Document any assumptions made with the data (as needed)</x:v>
      </x:c>
      <x:c r="G566" s="5"/>
      <x:c r="H566" s="11"/>
      <x:c r="I566" s="11"/>
      <x:c r="J566" s="11"/>
      <x:c r="K566" s="29"/>
      <x:c r="L566" s="2" t="str">
        <x:f>IF(A566,"Complete","Open check")</x:f>
        <x:v>Open check</x:v>
      </x:c>
      <x:c r="M566" s="2" t="str">
        <x:v>Checklist</x:v>
      </x:c>
      <x:c r="N566" s="2" t="str">
        <x:v>DR.AU.1.3.C08.2026.CY4</x:v>
      </x:c>
      <x:c r="O566" s="2" t="n">
        <x:f>R566</x:f>
        <x:v>0</x:v>
      </x:c>
      <x:c r="P566" s="2" t="str">
        <x:v>DR.AU.1.3.2026.CY4</x:v>
      </x:c>
      <x:c r="Q566" s="2" t="n">
        <x:v>0</x:v>
      </x:c>
      <x:c r="R566" s="2" t="n">
        <x:f>IF(A566,1,0)</x:f>
        <x:v>0</x:v>
      </x:c>
      <x:c r="S566" s="2" t="n">
        <x:f>SUBTOTAL(103,N566)</x:f>
        <x:v>1</x:v>
      </x:c>
    </x:row>
    <x:row r="567" ht="31" customHeight="1" outlineLevel="1">
      <x:c r="A567" s="28" t="b">
        <x:v>0</x:v>
      </x:c>
      <x:c r="B567" s="36" t="str">
        <x:v>Cycle 4</x:v>
      </x:c>
      <x:c r="C567" s="36" t="str">
        <x:v>Phase 1</x:v>
      </x:c>
      <x:c r="D567" s="36" t="str">
        <x:v>Auto</x:v>
      </x:c>
      <x:c r="E567" s="69" t="str">
        <x:v>DR.AU.1.3.C09</x:v>
      </x:c>
      <x:c r="F567" s="37" t="str">
        <x:v>    Document any data limitations or constraints clearly (as needed)</x:v>
      </x:c>
      <x:c r="G567" s="5"/>
      <x:c r="H567" s="11"/>
      <x:c r="I567" s="11"/>
      <x:c r="J567" s="11"/>
      <x:c r="K567" s="29"/>
      <x:c r="L567" s="2" t="str">
        <x:f>IF(A567,"Complete","Open check")</x:f>
        <x:v>Open check</x:v>
      </x:c>
      <x:c r="M567" s="2" t="str">
        <x:v>Checklist</x:v>
      </x:c>
      <x:c r="N567" s="2" t="str">
        <x:v>DR.AU.1.3.C09.2026.CY4</x:v>
      </x:c>
      <x:c r="O567" s="2" t="n">
        <x:f>R567</x:f>
        <x:v>0</x:v>
      </x:c>
      <x:c r="P567" s="2" t="str">
        <x:v>DR.AU.1.3.2026.CY4</x:v>
      </x:c>
      <x:c r="Q567" s="2" t="n">
        <x:v>0</x:v>
      </x:c>
      <x:c r="R567" s="2" t="n">
        <x:f>IF(A567,1,0)</x:f>
        <x:v>0</x:v>
      </x:c>
      <x:c r="S567" s="2" t="n">
        <x:f>SUBTOTAL(103,N567)</x:f>
        <x:v>1</x:v>
      </x:c>
    </x:row>
    <x:row r="568" ht="31" customHeight="1" outlineLevel="1">
      <x:c r="A568" s="28" t="b">
        <x:v>0</x:v>
      </x:c>
      <x:c r="B568" s="36" t="str">
        <x:v>Cycle 4</x:v>
      </x:c>
      <x:c r="C568" s="36" t="str">
        <x:v>Phase 1</x:v>
      </x:c>
      <x:c r="D568" s="36" t="str">
        <x:v>Auto</x:v>
      </x:c>
      <x:c r="E568" s="69" t="str">
        <x:v>DR.AU.1.3.C10</x:v>
      </x:c>
      <x:c r="F568" s="37" t="str">
        <x:v>    Document data dictionary or field definitions for columns/rows</x:v>
      </x:c>
      <x:c r="G568" s="5"/>
      <x:c r="H568" s="11"/>
      <x:c r="I568" s="11"/>
      <x:c r="J568" s="11"/>
      <x:c r="K568" s="29"/>
      <x:c r="L568" s="2" t="str">
        <x:f>IF(A568,"Complete","Open check")</x:f>
        <x:v>Open check</x:v>
      </x:c>
      <x:c r="M568" s="2" t="str">
        <x:v>Checklist</x:v>
      </x:c>
      <x:c r="N568" s="2" t="str">
        <x:v>DR.AU.1.3.C10.2026.CY4</x:v>
      </x:c>
      <x:c r="O568" s="2" t="n">
        <x:f>R568</x:f>
        <x:v>0</x:v>
      </x:c>
      <x:c r="P568" s="2" t="str">
        <x:v>DR.AU.1.3.2026.CY4</x:v>
      </x:c>
      <x:c r="Q568" s="2" t="n">
        <x:v>0</x:v>
      </x:c>
      <x:c r="R568" s="2" t="n">
        <x:f>IF(A568,1,0)</x:f>
        <x:v>0</x:v>
      </x:c>
      <x:c r="S568" s="2" t="n">
        <x:f>SUBTOTAL(103,N568)</x:f>
        <x:v>1</x:v>
      </x:c>
    </x:row>
    <x:row r="569" ht="31" customHeight="1" outlineLevel="1">
      <x:c r="A569" s="28" t="b">
        <x:v>0</x:v>
      </x:c>
      <x:c r="B569" s="36" t="str">
        <x:v>Cycle 4</x:v>
      </x:c>
      <x:c r="C569" s="36" t="str">
        <x:v>Phase 1</x:v>
      </x:c>
      <x:c r="D569" s="36" t="str">
        <x:v>Auto</x:v>
      </x:c>
      <x:c r="E569" s="69" t="str">
        <x:v>DR.AU.1.3.C11</x:v>
      </x:c>
      <x:c r="F569" s="37" t="str">
        <x:v>    Document emerging trends, patterns, or concentrations along with supporting data</x:v>
      </x:c>
      <x:c r="G569" s="5"/>
      <x:c r="H569" s="11"/>
      <x:c r="I569" s="11"/>
      <x:c r="J569" s="11"/>
      <x:c r="K569" s="29"/>
      <x:c r="L569" s="2" t="str">
        <x:f>IF(A569,"Complete","Open check")</x:f>
        <x:v>Open check</x:v>
      </x:c>
      <x:c r="M569" s="2" t="str">
        <x:v>Checklist</x:v>
      </x:c>
      <x:c r="N569" s="2" t="str">
        <x:v>DR.AU.1.3.C11.2026.CY4</x:v>
      </x:c>
      <x:c r="O569" s="2" t="n">
        <x:f>R569</x:f>
        <x:v>0</x:v>
      </x:c>
      <x:c r="P569" s="2" t="str">
        <x:v>DR.AU.1.3.2026.CY4</x:v>
      </x:c>
      <x:c r="Q569" s="2" t="n">
        <x:v>0</x:v>
      </x:c>
      <x:c r="R569" s="2" t="n">
        <x:f>IF(A569,1,0)</x:f>
        <x:v>0</x:v>
      </x:c>
      <x:c r="S569" s="2" t="n">
        <x:f>SUBTOTAL(103,N569)</x:f>
        <x:v>1</x:v>
      </x:c>
    </x:row>
    <x:row r="570" ht="31" customHeight="1" outlineLevel="1">
      <x:c r="A570" s="28" t="b">
        <x:v>0</x:v>
      </x:c>
      <x:c r="B570" s="36" t="str">
        <x:v>Cycle 4</x:v>
      </x:c>
      <x:c r="C570" s="36" t="str">
        <x:v>Phase 1</x:v>
      </x:c>
      <x:c r="D570" s="36" t="str">
        <x:v>Auto</x:v>
      </x:c>
      <x:c r="E570" s="69" t="str">
        <x:v>DR.AU.1.3.C12</x:v>
      </x:c>
      <x:c r="F570" s="37" t="str">
        <x:v>    Document any severe spikes in volume along with context (as needed)</x:v>
      </x:c>
      <x:c r="G570" s="5"/>
      <x:c r="H570" s="11"/>
      <x:c r="I570" s="11"/>
      <x:c r="J570" s="11"/>
      <x:c r="K570" s="29"/>
      <x:c r="L570" s="2" t="str">
        <x:f>IF(A570,"Complete","Open check")</x:f>
        <x:v>Open check</x:v>
      </x:c>
      <x:c r="M570" s="2" t="str">
        <x:v>Checklist</x:v>
      </x:c>
      <x:c r="N570" s="2" t="str">
        <x:v>DR.AU.1.3.C12.2026.CY4</x:v>
      </x:c>
      <x:c r="O570" s="2" t="n">
        <x:f>R570</x:f>
        <x:v>0</x:v>
      </x:c>
      <x:c r="P570" s="2" t="str">
        <x:v>DR.AU.1.3.2026.CY4</x:v>
      </x:c>
      <x:c r="Q570" s="2" t="n">
        <x:v>0</x:v>
      </x:c>
      <x:c r="R570" s="2" t="n">
        <x:f>IF(A570,1,0)</x:f>
        <x:v>0</x:v>
      </x:c>
      <x:c r="S570" s="2" t="n">
        <x:f>SUBTOTAL(103,N570)</x:f>
        <x:v>1</x:v>
      </x:c>
    </x:row>
    <x:row r="571" ht="31" customHeight="1" outlineLevel="1">
      <x:c r="A571" s="28" t="b">
        <x:v>0</x:v>
      </x:c>
      <x:c r="B571" s="36" t="str">
        <x:v>Cycle 4</x:v>
      </x:c>
      <x:c r="C571" s="36" t="str">
        <x:v>Phase 1</x:v>
      </x:c>
      <x:c r="D571" s="36" t="str">
        <x:v>Auto</x:v>
      </x:c>
      <x:c r="E571" s="69" t="str">
        <x:v>DR.AU.1.3.C13</x:v>
      </x:c>
      <x:c r="F571" s="37" t="str">
        <x:v>    Document clear summary explaining how the data connects to the potential topic</x:v>
      </x:c>
      <x:c r="G571" s="5"/>
      <x:c r="H571" s="11"/>
      <x:c r="I571" s="11"/>
      <x:c r="J571" s="11"/>
      <x:c r="K571" s="29"/>
      <x:c r="L571" s="2" t="str">
        <x:f>IF(A571,"Complete","Open check")</x:f>
        <x:v>Open check</x:v>
      </x:c>
      <x:c r="M571" s="2" t="str">
        <x:v>Checklist</x:v>
      </x:c>
      <x:c r="N571" s="2" t="str">
        <x:v>DR.AU.1.3.C13.2026.CY4</x:v>
      </x:c>
      <x:c r="O571" s="2" t="n">
        <x:f>R571</x:f>
        <x:v>0</x:v>
      </x:c>
      <x:c r="P571" s="2" t="str">
        <x:v>DR.AU.1.3.2026.CY4</x:v>
      </x:c>
      <x:c r="Q571" s="2" t="n">
        <x:v>0</x:v>
      </x:c>
      <x:c r="R571" s="2" t="n">
        <x:f>IF(A571,1,0)</x:f>
        <x:v>0</x:v>
      </x:c>
      <x:c r="S571" s="2" t="n">
        <x:f>SUBTOTAL(103,N571)</x:f>
        <x:v>1</x:v>
      </x:c>
    </x:row>
    <x:row r="572" ht="42" customHeight="1">
      <x:c r="A572" s="28" t="b">
        <x:v>0</x:v>
      </x:c>
      <x:c r="B572" s="2" t="str">
        <x:v>Cycle 4</x:v>
      </x:c>
      <x:c r="C572" s="2" t="str">
        <x:v>Phase 2</x:v>
      </x:c>
      <x:c r="D572" s="2" t="str">
        <x:v>Auto</x:v>
      </x:c>
      <x:c r="E572" s="56" t="str">
        <x:v>DR.AU.2.1</x:v>
      </x:c>
      <x:c r="F572" s="14" t="str">
        <x:v>Ensure data is clean, structured, and usable without manipulation needed</x:v>
      </x:c>
      <x:c r="G572" s="5"/>
      <x:c r="H572" s="11"/>
      <x:c r="I572" s="11" t="n">
        <x:f>'Cycles &amp; Guide'!$D$13</x:f>
        <x:v>46387</x:v>
      </x:c>
      <x:c r="J572" s="11"/>
      <x:c r="K572" s="29"/>
      <x:c r="L572" s="2" t="str">
        <x:f>IF(O572=1,"Complete",IF(A572,"Checklist open",IF(H572&lt;&gt;"","In progress","Not started")))</x:f>
        <x:v>Not started</x:v>
      </x:c>
      <x:c r="M572" s="2" t="str">
        <x:v>Task</x:v>
      </x:c>
      <x:c r="N572" s="2" t="str">
        <x:v>DR.AU.2.1.2026.CY4</x:v>
      </x:c>
      <x:c r="O572" s="2" t="n">
        <x:f>R572</x:f>
        <x:v>0</x:v>
      </x:c>
      <x:c r="P572" s="2"/>
      <x:c r="Q572" s="2" t="n">
        <x:v>1</x:v>
      </x:c>
      <x:c r="R572" s="2" t="n">
        <x:f>IF(A572,1,0)</x:f>
        <x:v>0</x:v>
      </x:c>
      <x:c r="S572" s="2" t="n">
        <x:f>SUBTOTAL(103,N572)</x:f>
        <x:v>1</x:v>
      </x:c>
    </x:row>
    <x:row r="573" ht="42" customHeight="1">
      <x:c r="A573" s="28" t="b">
        <x:v>0</x:v>
      </x:c>
      <x:c r="B573" s="2" t="str">
        <x:v>Cycle 4</x:v>
      </x:c>
      <x:c r="C573" s="2" t="str">
        <x:v>Phase 2</x:v>
      </x:c>
      <x:c r="D573" s="2" t="str">
        <x:v>Auto</x:v>
      </x:c>
      <x:c r="E573" s="56" t="str">
        <x:v>DR.AU.2.2</x:v>
      </x:c>
      <x:c r="F573" s="14" t="str">
        <x:v>Clearly document rationale for each topic recommendation within the SharePoint list</x:v>
      </x:c>
      <x:c r="G573" s="5"/>
      <x:c r="H573" s="11"/>
      <x:c r="I573" s="11" t="n">
        <x:f>'Cycles &amp; Guide'!$D$13</x:f>
        <x:v>46387</x:v>
      </x:c>
      <x:c r="J573" s="11"/>
      <x:c r="K573" s="29"/>
      <x:c r="L573" s="2" t="str">
        <x:f>IF(O573=1,"Complete",IF(A573,"Checklist open",IF(H573&lt;&gt;"","In progress","Not started")))</x:f>
        <x:v>Not started</x:v>
      </x:c>
      <x:c r="M573" s="2" t="str">
        <x:v>Task</x:v>
      </x:c>
      <x:c r="N573" s="2" t="str">
        <x:v>DR.AU.2.2.2026.CY4</x:v>
      </x:c>
      <x:c r="O573" s="2" t="n">
        <x:f>R573</x:f>
        <x:v>0</x:v>
      </x:c>
      <x:c r="P573" s="2"/>
      <x:c r="Q573" s="2" t="n">
        <x:v>1</x:v>
      </x:c>
      <x:c r="R573" s="2" t="n">
        <x:f>IF(A573,1,0)</x:f>
        <x:v>0</x:v>
      </x:c>
      <x:c r="S573" s="2" t="n">
        <x:f>SUBTOTAL(103,N573)</x:f>
        <x:v>1</x:v>
      </x:c>
    </x:row>
    <x:row r="574" ht="42" customHeight="1">
      <x:c r="A574" s="28" t="b">
        <x:v>0</x:v>
      </x:c>
      <x:c r="B574" s="2" t="str">
        <x:v>Cycle 4</x:v>
      </x:c>
      <x:c r="C574" s="2" t="str">
        <x:v>Phase 2</x:v>
      </x:c>
      <x:c r="D574" s="2" t="str">
        <x:v>Auto</x:v>
      </x:c>
      <x:c r="E574" s="56" t="str">
        <x:v>DR.AU.2.3</x:v>
      </x:c>
      <x:c r="F574" s="14" t="str">
        <x:v>Verify topic is eligible for RCA and does not conflict with Attorney Client Privilege</x:v>
      </x:c>
      <x:c r="G574" s="5"/>
      <x:c r="H574" s="11"/>
      <x:c r="I574" s="11" t="n">
        <x:f>'Cycles &amp; Guide'!$D$13</x:f>
        <x:v>46387</x:v>
      </x:c>
      <x:c r="J574" s="11"/>
      <x:c r="K574" s="29"/>
      <x:c r="L574" s="2" t="str">
        <x:f>IF(O574=1,"Complete",IF(A574,"Checklist open",IF(H574&lt;&gt;"","In progress","Not started")))</x:f>
        <x:v>Not started</x:v>
      </x:c>
      <x:c r="M574" s="2" t="str">
        <x:v>Task</x:v>
      </x:c>
      <x:c r="N574" s="2" t="str">
        <x:v>DR.AU.2.3.2026.CY4</x:v>
      </x:c>
      <x:c r="O574" s="2" t="n">
        <x:f>R574</x:f>
        <x:v>0</x:v>
      </x:c>
      <x:c r="P574" s="2"/>
      <x:c r="Q574" s="2" t="n">
        <x:v>1</x:v>
      </x:c>
      <x:c r="R574" s="2" t="n">
        <x:f>IF(A574,1,0)</x:f>
        <x:v>0</x:v>
      </x:c>
      <x:c r="S574" s="2" t="n">
        <x:f>SUBTOTAL(103,N574)</x:f>
        <x:v>1</x:v>
      </x:c>
    </x:row>
    <x:row r="575" ht="42" customHeight="1">
      <x:c r="A575" s="28" t="b">
        <x:v>0</x:v>
      </x:c>
      <x:c r="B575" s="2" t="str">
        <x:v>Cycle 4</x:v>
      </x:c>
      <x:c r="C575" s="2" t="str">
        <x:v>Phase 2</x:v>
      </x:c>
      <x:c r="D575" s="2" t="str">
        <x:v>Auto</x:v>
      </x:c>
      <x:c r="E575" s="56" t="str">
        <x:v>DR.AU.2.4</x:v>
      </x:c>
      <x:c r="F575" s="14" t="str">
        <x:v>Ensure data is free of errors and anomalies prior to hand-off to Research</x:v>
      </x:c>
      <x:c r="G575" s="5"/>
      <x:c r="H575" s="11"/>
      <x:c r="I575" s="11" t="n">
        <x:f>'Cycles &amp; Guide'!$D$13</x:f>
        <x:v>46387</x:v>
      </x:c>
      <x:c r="J575" s="11"/>
      <x:c r="K575" s="29"/>
      <x:c r="L575" s="2" t="str">
        <x:f>IF(O575=1,"Complete",IF(A575,"Checklist open",IF(H575&lt;&gt;"","In progress","Not started")))</x:f>
        <x:v>Not started</x:v>
      </x:c>
      <x:c r="M575" s="2" t="str">
        <x:v>Task</x:v>
      </x:c>
      <x:c r="N575" s="2" t="str">
        <x:v>DR.AU.2.4.2026.CY4</x:v>
      </x:c>
      <x:c r="O575" s="2" t="n">
        <x:f>R575</x:f>
        <x:v>0</x:v>
      </x:c>
      <x:c r="P575" s="2"/>
      <x:c r="Q575" s="2" t="n">
        <x:v>1</x:v>
      </x:c>
      <x:c r="R575" s="2" t="n">
        <x:f>IF(A575,1,0)</x:f>
        <x:v>0</x:v>
      </x:c>
      <x:c r="S575" s="2" t="n">
        <x:f>SUBTOTAL(103,N575)</x:f>
        <x:v>1</x:v>
      </x:c>
    </x:row>
    <x:row r="576" ht="42" customHeight="1">
      <x:c r="A576" s="28" t="b">
        <x:v>0</x:v>
      </x:c>
      <x:c r="B576" s="2" t="str">
        <x:v>Cycle 4</x:v>
      </x:c>
      <x:c r="C576" s="2" t="str">
        <x:v>Phase 2</x:v>
      </x:c>
      <x:c r="D576" s="2" t="str">
        <x:v>Auto</x:v>
      </x:c>
      <x:c r="E576" s="56" t="str">
        <x:v>DR.AU.2.5</x:v>
      </x:c>
      <x:c r="F576" s="14" t="str">
        <x:v>Ensure topic is not a duplicate from a previous Cycle</x:v>
      </x:c>
      <x:c r="G576" s="5"/>
      <x:c r="H576" s="11"/>
      <x:c r="I576" s="11" t="n">
        <x:f>'Cycles &amp; Guide'!$D$13</x:f>
        <x:v>46387</x:v>
      </x:c>
      <x:c r="J576" s="11"/>
      <x:c r="K576" s="29"/>
      <x:c r="L576" s="2" t="str">
        <x:f>IF(O576=1,"Complete",IF(A576,"Checklist open",IF(H576&lt;&gt;"","In progress","Not started")))</x:f>
        <x:v>Not started</x:v>
      </x:c>
      <x:c r="M576" s="2" t="str">
        <x:v>Task</x:v>
      </x:c>
      <x:c r="N576" s="2" t="str">
        <x:v>DR.AU.2.5.2026.CY4</x:v>
      </x:c>
      <x:c r="O576" s="2" t="n">
        <x:f>R576</x:f>
        <x:v>0</x:v>
      </x:c>
      <x:c r="P576" s="2"/>
      <x:c r="Q576" s="2" t="n">
        <x:v>1</x:v>
      </x:c>
      <x:c r="R576" s="2" t="n">
        <x:f>IF(A576,1,0)</x:f>
        <x:v>0</x:v>
      </x:c>
      <x:c r="S576" s="2" t="n">
        <x:f>SUBTOTAL(103,N576)</x:f>
        <x:v>1</x:v>
      </x:c>
    </x:row>
    <x:row r="577" ht="42" customHeight="1">
      <x:c r="A577" s="28" t="b">
        <x:v>0</x:v>
      </x:c>
      <x:c r="B577" s="2" t="str">
        <x:v>Cycle 4</x:v>
      </x:c>
      <x:c r="C577" s="2" t="str">
        <x:v>Phase 2</x:v>
      </x:c>
      <x:c r="D577" s="2" t="str">
        <x:v>Auto</x:v>
      </x:c>
      <x:c r="E577" s="56" t="str">
        <x:v>DR.AU.2.6</x:v>
      </x:c>
      <x:c r="F577" s="14" t="str">
        <x:v>Document clear distinctions between facts, assumptions, and hypotheses within the data package</x:v>
      </x:c>
      <x:c r="G577" s="5"/>
      <x:c r="H577" s="11"/>
      <x:c r="I577" s="11" t="n">
        <x:f>'Cycles &amp; Guide'!$D$13</x:f>
        <x:v>46387</x:v>
      </x:c>
      <x:c r="J577" s="11"/>
      <x:c r="K577" s="29"/>
      <x:c r="L577" s="2" t="str">
        <x:f>IF(O577=1,"Complete",IF(A577,"Checklist open",IF(H577&lt;&gt;"","In progress","Not started")))</x:f>
        <x:v>Not started</x:v>
      </x:c>
      <x:c r="M577" s="2" t="str">
        <x:v>Task</x:v>
      </x:c>
      <x:c r="N577" s="2" t="str">
        <x:v>DR.AU.2.6.2026.CY4</x:v>
      </x:c>
      <x:c r="O577" s="2" t="n">
        <x:f>R577</x:f>
        <x:v>0</x:v>
      </x:c>
      <x:c r="P577" s="2"/>
      <x:c r="Q577" s="2" t="n">
        <x:v>1</x:v>
      </x:c>
      <x:c r="R577" s="2" t="n">
        <x:f>IF(A577,1,0)</x:f>
        <x:v>0</x:v>
      </x:c>
      <x:c r="S577" s="2" t="n">
        <x:f>SUBTOTAL(103,N577)</x:f>
        <x:v>1</x:v>
      </x:c>
    </x:row>
    <x:row r="578" ht="42" customHeight="1">
      <x:c r="A578" s="28" t="b">
        <x:v>0</x:v>
      </x:c>
      <x:c r="B578" s="2" t="str">
        <x:v>Cycle 4</x:v>
      </x:c>
      <x:c r="C578" s="2" t="str">
        <x:v>Phase 3</x:v>
      </x:c>
      <x:c r="D578" s="2" t="str">
        <x:v>Auto</x:v>
      </x:c>
      <x:c r="E578" s="56" t="str">
        <x:v>DR.AU.3.1</x:v>
      </x:c>
      <x:c r="F578" s="14" t="str">
        <x:v>Clearly document rationale for each topic recommendation within the SharePoint list item</x:v>
      </x:c>
      <x:c r="G578" s="5"/>
      <x:c r="H578" s="11"/>
      <x:c r="I578" s="11" t="n">
        <x:f>'Cycles &amp; Guide'!$D$13</x:f>
        <x:v>46387</x:v>
      </x:c>
      <x:c r="J578" s="11"/>
      <x:c r="K578" s="29"/>
      <x:c r="L578" s="2" t="str">
        <x:f>IF(O578=1,"Complete",IF(A578,"Checklist open",IF(H578&lt;&gt;"","In progress","Not started")))</x:f>
        <x:v>Not started</x:v>
      </x:c>
      <x:c r="M578" s="2" t="str">
        <x:v>Task</x:v>
      </x:c>
      <x:c r="N578" s="2" t="str">
        <x:v>DR.AU.3.1.2026.CY4</x:v>
      </x:c>
      <x:c r="O578" s="2" t="n">
        <x:f>R578</x:f>
        <x:v>0</x:v>
      </x:c>
      <x:c r="P578" s="2"/>
      <x:c r="Q578" s="2" t="n">
        <x:v>1</x:v>
      </x:c>
      <x:c r="R578" s="2" t="n">
        <x:f>IF(A578,1,0)</x:f>
        <x:v>0</x:v>
      </x:c>
      <x:c r="S578" s="2" t="n">
        <x:f>SUBTOTAL(103,N578)</x:f>
        <x:v>1</x:v>
      </x:c>
    </x:row>
    <x:row r="579" ht="42" customHeight="1">
      <x:c r="A579" s="28" t="b">
        <x:v>0</x:v>
      </x:c>
      <x:c r="B579" s="2" t="str">
        <x:v>Cycle 4</x:v>
      </x:c>
      <x:c r="C579" s="2" t="str">
        <x:v>Phase 3</x:v>
      </x:c>
      <x:c r="D579" s="2" t="str">
        <x:v>Auto</x:v>
      </x:c>
      <x:c r="E579" s="56" t="str">
        <x:v>DR.AU.3.2</x:v>
      </x:c>
      <x:c r="F579" s="14" t="str">
        <x:v>Attach the data package for each topic recommendation within the SharePoint list item</x:v>
      </x:c>
      <x:c r="G579" s="5"/>
      <x:c r="H579" s="11"/>
      <x:c r="I579" s="11" t="n">
        <x:f>'Cycles &amp; Guide'!$D$13</x:f>
        <x:v>46387</x:v>
      </x:c>
      <x:c r="J579" s="11"/>
      <x:c r="K579" s="29"/>
      <x:c r="L579" s="2" t="str">
        <x:f>IF(O579=1,"Complete",IF(A579,"Checklist open",IF(H579&lt;&gt;"","In progress","Not started")))</x:f>
        <x:v>Not started</x:v>
      </x:c>
      <x:c r="M579" s="2" t="str">
        <x:v>Task</x:v>
      </x:c>
      <x:c r="N579" s="2" t="str">
        <x:v>DR.AU.3.2.2026.CY4</x:v>
      </x:c>
      <x:c r="O579" s="2" t="n">
        <x:f>R579</x:f>
        <x:v>0</x:v>
      </x:c>
      <x:c r="P579" s="2"/>
      <x:c r="Q579" s="2" t="n">
        <x:v>1</x:v>
      </x:c>
      <x:c r="R579" s="2" t="n">
        <x:f>IF(A579,1,0)</x:f>
        <x:v>0</x:v>
      </x:c>
      <x:c r="S579" s="2" t="n">
        <x:f>SUBTOTAL(103,N579)</x:f>
        <x:v>1</x:v>
      </x:c>
    </x:row>
    <x:row r="580" ht="42" customHeight="1">
      <x:c r="A580" s="28" t="b">
        <x:v>0</x:v>
      </x:c>
      <x:c r="B580" s="2" t="str">
        <x:v>Cycle 4</x:v>
      </x:c>
      <x:c r="C580" s="2" t="str">
        <x:v>Phase 3</x:v>
      </x:c>
      <x:c r="D580" s="2" t="str">
        <x:v>Auto</x:v>
      </x:c>
      <x:c r="E580" s="56" t="str">
        <x:v>DR.AU.3.3</x:v>
      </x:c>
      <x:c r="F580" s="14" t="str">
        <x:v>Confirm data privileges have been granted, ensuring each pillar can access</x:v>
      </x:c>
      <x:c r="G580" s="5"/>
      <x:c r="H580" s="11"/>
      <x:c r="I580" s="11" t="n">
        <x:f>'Cycles &amp; Guide'!$D$13</x:f>
        <x:v>46387</x:v>
      </x:c>
      <x:c r="J580" s="11"/>
      <x:c r="K580" s="29"/>
      <x:c r="L580" s="2" t="str">
        <x:f>IF(O580=1,"Complete",IF(A580,"Checklist open",IF(H580&lt;&gt;"","In progress","Not started")))</x:f>
        <x:v>Not started</x:v>
      </x:c>
      <x:c r="M580" s="2" t="str">
        <x:v>Task</x:v>
      </x:c>
      <x:c r="N580" s="2" t="str">
        <x:v>DR.AU.3.3.2026.CY4</x:v>
      </x:c>
      <x:c r="O580" s="2" t="n">
        <x:f>R580</x:f>
        <x:v>0</x:v>
      </x:c>
      <x:c r="P580" s="2"/>
      <x:c r="Q580" s="2" t="n">
        <x:v>1</x:v>
      </x:c>
      <x:c r="R580" s="2" t="n">
        <x:f>IF(A580,1,0)</x:f>
        <x:v>0</x:v>
      </x:c>
      <x:c r="S580" s="2" t="n">
        <x:f>SUBTOTAL(103,N580)</x:f>
        <x:v>1</x:v>
      </x:c>
    </x:row>
    <x:row r="581" ht="42" customHeight="1">
      <x:c r="A581" s="28" t="b">
        <x:v>0</x:v>
      </x:c>
      <x:c r="B581" s="2" t="str">
        <x:v>Cycle 4</x:v>
      </x:c>
      <x:c r="C581" s="2" t="str">
        <x:v>Phase 3</x:v>
      </x:c>
      <x:c r="D581" s="2" t="str">
        <x:v>Auto</x:v>
      </x:c>
      <x:c r="E581" s="56" t="str">
        <x:v>DR.AU.3.4</x:v>
      </x:c>
      <x:c r="F581" s="14" t="str">
        <x:v>Ensure Power Automate notifications were correctly triggered within Microsoft Teams</x:v>
      </x:c>
      <x:c r="G581" s="5"/>
      <x:c r="H581" s="11"/>
      <x:c r="I581" s="11" t="n">
        <x:f>'Cycles &amp; Guide'!$D$13</x:f>
        <x:v>46387</x:v>
      </x:c>
      <x:c r="J581" s="11"/>
      <x:c r="K581" s="29"/>
      <x:c r="L581" s="2" t="str">
        <x:f>IF(O581=1,"Complete",IF(A581,"Checklist open",IF(H581&lt;&gt;"","In progress","Not started")))</x:f>
        <x:v>Not started</x:v>
      </x:c>
      <x:c r="M581" s="2" t="str">
        <x:v>Task</x:v>
      </x:c>
      <x:c r="N581" s="2" t="str">
        <x:v>DR.AU.3.4.2026.CY4</x:v>
      </x:c>
      <x:c r="O581" s="2" t="n">
        <x:f>R581</x:f>
        <x:v>0</x:v>
      </x:c>
      <x:c r="P581" s="2"/>
      <x:c r="Q581" s="2" t="n">
        <x:v>1</x:v>
      </x:c>
      <x:c r="R581" s="2" t="n">
        <x:f>IF(A581,1,0)</x:f>
        <x:v>0</x:v>
      </x:c>
      <x:c r="S581" s="2" t="n">
        <x:f>SUBTOTAL(103,N581)</x:f>
        <x:v>1</x:v>
      </x:c>
    </x:row>
    <x:row r="582" ht="42" customHeight="1">
      <x:c r="A582" s="28" t="b">
        <x:v>0</x:v>
      </x:c>
      <x:c r="B582" s="2" t="str">
        <x:v>Cycle 4</x:v>
      </x:c>
      <x:c r="C582" s="2" t="str">
        <x:v>Phase 1</x:v>
      </x:c>
      <x:c r="D582" s="2" t="str">
        <x:v>Cards</x:v>
      </x:c>
      <x:c r="E582" s="56" t="str">
        <x:v>DR.CA.1.1</x:v>
      </x:c>
      <x:c r="F582" s="14" t="str">
        <x:v>Review data sources 3 weeks prior to Cycle start (Complaints, Gen AI, Loudspeaker, NPS, etc.)</x:v>
      </x:c>
      <x:c r="G582" s="5"/>
      <x:c r="H582" s="11"/>
      <x:c r="I582" s="11" t="n">
        <x:f>'Cycles &amp; Guide'!$C$13-21</x:f>
        <x:v>46275</x:v>
      </x:c>
      <x:c r="J582" s="11"/>
      <x:c r="K582" s="29"/>
      <x:c r="L582" s="2" t="str">
        <x:f>IF(O582=1,"Complete",IF(A582,"Checklist open",IF(H582&lt;&gt;"","In progress","Not started")))</x:f>
        <x:v>Not started</x:v>
      </x:c>
      <x:c r="M582" s="2" t="str">
        <x:v>Task</x:v>
      </x:c>
      <x:c r="N582" s="2" t="str">
        <x:v>DR.CA.1.1.2026.CY4</x:v>
      </x:c>
      <x:c r="O582" s="2" t="n">
        <x:f>R582</x:f>
        <x:v>0</x:v>
      </x:c>
      <x:c r="P582" s="2"/>
      <x:c r="Q582" s="2" t="n">
        <x:v>1</x:v>
      </x:c>
      <x:c r="R582" s="2" t="n">
        <x:f>IF(A582,1,0)</x:f>
        <x:v>0</x:v>
      </x:c>
      <x:c r="S582" s="2" t="n">
        <x:f>SUBTOTAL(103,N582)</x:f>
        <x:v>1</x:v>
      </x:c>
    </x:row>
    <x:row r="583" ht="42" customHeight="1">
      <x:c r="A583" s="28" t="b">
        <x:v>0</x:v>
      </x:c>
      <x:c r="B583" s="2" t="str">
        <x:v>Cycle 4</x:v>
      </x:c>
      <x:c r="C583" s="2" t="str">
        <x:v>Phase 1</x:v>
      </x:c>
      <x:c r="D583" s="2" t="str">
        <x:v>Cards</x:v>
      </x:c>
      <x:c r="E583" s="56" t="str">
        <x:v>DR.CA.1.2</x:v>
      </x:c>
      <x:c r="F583" s="14" t="str">
        <x:v>Identify two potential topics for the upcoming Cycle</x:v>
      </x:c>
      <x:c r="G583" s="5"/>
      <x:c r="H583" s="11"/>
      <x:c r="I583" s="11" t="n">
        <x:f>'Cycles &amp; Guide'!$D$13</x:f>
        <x:v>46387</x:v>
      </x:c>
      <x:c r="J583" s="11"/>
      <x:c r="K583" s="29"/>
      <x:c r="L583" s="2" t="str">
        <x:f>IF(O583=1,"Complete",IF(A583,"Checklist open",IF(H583&lt;&gt;"","In progress","Not started")))</x:f>
        <x:v>Not started</x:v>
      </x:c>
      <x:c r="M583" s="2" t="str">
        <x:v>Task</x:v>
      </x:c>
      <x:c r="N583" s="2" t="str">
        <x:v>DR.CA.1.2.2026.CY4</x:v>
      </x:c>
      <x:c r="O583" s="2" t="n">
        <x:f>R583</x:f>
        <x:v>0</x:v>
      </x:c>
      <x:c r="P583" s="2"/>
      <x:c r="Q583" s="2" t="n">
        <x:v>1</x:v>
      </x:c>
      <x:c r="R583" s="2" t="n">
        <x:f>IF(A583,1,0)</x:f>
        <x:v>0</x:v>
      </x:c>
      <x:c r="S583" s="2" t="n">
        <x:f>SUBTOTAL(103,N583)</x:f>
        <x:v>1</x:v>
      </x:c>
    </x:row>
    <x:row r="584" ht="42" customHeight="1">
      <x:c r="A584" s="28" t="b">
        <x:v>0</x:v>
      </x:c>
      <x:c r="B584" s="2" t="str">
        <x:v>Cycle 4</x:v>
      </x:c>
      <x:c r="C584" s="2" t="str">
        <x:v>Phase 1</x:v>
      </x:c>
      <x:c r="D584" s="2" t="str">
        <x:v>Cards</x:v>
      </x:c>
      <x:c r="E584" s="68" t="str">
        <x:v>DR.CA.1.3</x:v>
      </x:c>
      <x:c r="F584" s="33" t="str">
        <x:v>Extract data for both potential topics, ensuring all checklist items below are included/completed</x:v>
      </x:c>
      <x:c r="G584" s="5"/>
      <x:c r="H584" s="11"/>
      <x:c r="I584" s="11" t="n">
        <x:f>'Cycles &amp; Guide'!$D$13</x:f>
        <x:v>46387</x:v>
      </x:c>
      <x:c r="J584" s="11"/>
      <x:c r="K584" s="29"/>
      <x:c r="L584" s="2" t="str">
        <x:f>IF(O584=1,"Complete",IF(A584,"Checklist open",IF(H584&lt;&gt;"","In progress","Not started")))</x:f>
        <x:v>Not started</x:v>
      </x:c>
      <x:c r="M584" s="2" t="str">
        <x:v>Task</x:v>
      </x:c>
      <x:c r="N584" s="2" t="str">
        <x:v>DR.CA.1.3.2026.CY4</x:v>
      </x:c>
      <x:c r="O584" s="2" t="n">
        <x:f>IF(A584,IF(SUMIFS($R$10:$R$737,$P$10:$P$737,N584)=13,1,0),0)</x:f>
        <x:v>0</x:v>
      </x:c>
      <x:c r="P584" s="2"/>
      <x:c r="Q584" s="2" t="n">
        <x:v>1</x:v>
      </x:c>
      <x:c r="R584" s="2" t="n">
        <x:f>IF(A584,1,0)</x:f>
        <x:v>0</x:v>
      </x:c>
      <x:c r="S584" s="2" t="n">
        <x:f>SUBTOTAL(103,N584)</x:f>
        <x:v>1</x:v>
      </x:c>
    </x:row>
    <x:row r="585" ht="31" customHeight="1" outlineLevel="1">
      <x:c r="A585" s="28" t="b">
        <x:v>0</x:v>
      </x:c>
      <x:c r="B585" s="36" t="str">
        <x:v>Cycle 4</x:v>
      </x:c>
      <x:c r="C585" s="36" t="str">
        <x:v>Phase 1</x:v>
      </x:c>
      <x:c r="D585" s="36" t="str">
        <x:v>Cards</x:v>
      </x:c>
      <x:c r="E585" s="69" t="str">
        <x:v>DR.CA.1.3.C01</x:v>
      </x:c>
      <x:c r="F585" s="37" t="str">
        <x:v>    Document date range extracted</x:v>
      </x:c>
      <x:c r="G585" s="5"/>
      <x:c r="H585" s="11"/>
      <x:c r="I585" s="11"/>
      <x:c r="J585" s="11"/>
      <x:c r="K585" s="29"/>
      <x:c r="L585" s="2" t="str">
        <x:f>IF(A585,"Complete","Open check")</x:f>
        <x:v>Open check</x:v>
      </x:c>
      <x:c r="M585" s="2" t="str">
        <x:v>Checklist</x:v>
      </x:c>
      <x:c r="N585" s="2" t="str">
        <x:v>DR.CA.1.3.C01.2026.CY4</x:v>
      </x:c>
      <x:c r="O585" s="2" t="n">
        <x:f>R585</x:f>
        <x:v>0</x:v>
      </x:c>
      <x:c r="P585" s="2" t="str">
        <x:v>DR.CA.1.3.2026.CY4</x:v>
      </x:c>
      <x:c r="Q585" s="2" t="n">
        <x:v>0</x:v>
      </x:c>
      <x:c r="R585" s="2" t="n">
        <x:f>IF(A585,1,0)</x:f>
        <x:v>0</x:v>
      </x:c>
      <x:c r="S585" s="2" t="n">
        <x:f>SUBTOTAL(103,N585)</x:f>
        <x:v>1</x:v>
      </x:c>
    </x:row>
    <x:row r="586" ht="31" customHeight="1" outlineLevel="1">
      <x:c r="A586" s="28" t="b">
        <x:v>0</x:v>
      </x:c>
      <x:c r="B586" s="36" t="str">
        <x:v>Cycle 4</x:v>
      </x:c>
      <x:c r="C586" s="36" t="str">
        <x:v>Phase 1</x:v>
      </x:c>
      <x:c r="D586" s="36" t="str">
        <x:v>Cards</x:v>
      </x:c>
      <x:c r="E586" s="69" t="str">
        <x:v>DR.CA.1.3.C02</x:v>
      </x:c>
      <x:c r="F586" s="37" t="str">
        <x:v>    Document date of data pull</x:v>
      </x:c>
      <x:c r="G586" s="5"/>
      <x:c r="H586" s="11"/>
      <x:c r="I586" s="11"/>
      <x:c r="J586" s="11"/>
      <x:c r="K586" s="29"/>
      <x:c r="L586" s="2" t="str">
        <x:f>IF(A586,"Complete","Open check")</x:f>
        <x:v>Open check</x:v>
      </x:c>
      <x:c r="M586" s="2" t="str">
        <x:v>Checklist</x:v>
      </x:c>
      <x:c r="N586" s="2" t="str">
        <x:v>DR.CA.1.3.C02.2026.CY4</x:v>
      </x:c>
      <x:c r="O586" s="2" t="n">
        <x:f>R586</x:f>
        <x:v>0</x:v>
      </x:c>
      <x:c r="P586" s="2" t="str">
        <x:v>DR.CA.1.3.2026.CY4</x:v>
      </x:c>
      <x:c r="Q586" s="2" t="n">
        <x:v>0</x:v>
      </x:c>
      <x:c r="R586" s="2" t="n">
        <x:f>IF(A586,1,0)</x:f>
        <x:v>0</x:v>
      </x:c>
      <x:c r="S586" s="2" t="n">
        <x:f>SUBTOTAL(103,N586)</x:f>
        <x:v>1</x:v>
      </x:c>
    </x:row>
    <x:row r="587" ht="31" customHeight="1" outlineLevel="1">
      <x:c r="A587" s="28" t="b">
        <x:v>0</x:v>
      </x:c>
      <x:c r="B587" s="36" t="str">
        <x:v>Cycle 4</x:v>
      </x:c>
      <x:c r="C587" s="36" t="str">
        <x:v>Phase 1</x:v>
      </x:c>
      <x:c r="D587" s="36" t="str">
        <x:v>Cards</x:v>
      </x:c>
      <x:c r="E587" s="69" t="str">
        <x:v>DR.CA.1.3.C03</x:v>
      </x:c>
      <x:c r="F587" s="37" t="str">
        <x:v>    Document population details</x:v>
      </x:c>
      <x:c r="G587" s="5"/>
      <x:c r="H587" s="11"/>
      <x:c r="I587" s="11"/>
      <x:c r="J587" s="11"/>
      <x:c r="K587" s="29"/>
      <x:c r="L587" s="2" t="str">
        <x:f>IF(A587,"Complete","Open check")</x:f>
        <x:v>Open check</x:v>
      </x:c>
      <x:c r="M587" s="2" t="str">
        <x:v>Checklist</x:v>
      </x:c>
      <x:c r="N587" s="2" t="str">
        <x:v>DR.CA.1.3.C03.2026.CY4</x:v>
      </x:c>
      <x:c r="O587" s="2" t="n">
        <x:f>R587</x:f>
        <x:v>0</x:v>
      </x:c>
      <x:c r="P587" s="2" t="str">
        <x:v>DR.CA.1.3.2026.CY4</x:v>
      </x:c>
      <x:c r="Q587" s="2" t="n">
        <x:v>0</x:v>
      </x:c>
      <x:c r="R587" s="2" t="n">
        <x:f>IF(A587,1,0)</x:f>
        <x:v>0</x:v>
      </x:c>
      <x:c r="S587" s="2" t="n">
        <x:f>SUBTOTAL(103,N587)</x:f>
        <x:v>1</x:v>
      </x:c>
    </x:row>
    <x:row r="588" ht="31" customHeight="1" outlineLevel="1">
      <x:c r="A588" s="28" t="b">
        <x:v>0</x:v>
      </x:c>
      <x:c r="B588" s="36" t="str">
        <x:v>Cycle 4</x:v>
      </x:c>
      <x:c r="C588" s="36" t="str">
        <x:v>Phase 1</x:v>
      </x:c>
      <x:c r="D588" s="36" t="str">
        <x:v>Cards</x:v>
      </x:c>
      <x:c r="E588" s="69" t="str">
        <x:v>DR.CA.1.3.C04</x:v>
      </x:c>
      <x:c r="F588" s="37" t="str">
        <x:v>    Validate no data is missing</x:v>
      </x:c>
      <x:c r="G588" s="5"/>
      <x:c r="H588" s="11"/>
      <x:c r="I588" s="11"/>
      <x:c r="J588" s="11"/>
      <x:c r="K588" s="29"/>
      <x:c r="L588" s="2" t="str">
        <x:f>IF(A588,"Complete","Open check")</x:f>
        <x:v>Open check</x:v>
      </x:c>
      <x:c r="M588" s="2" t="str">
        <x:v>Checklist</x:v>
      </x:c>
      <x:c r="N588" s="2" t="str">
        <x:v>DR.CA.1.3.C04.2026.CY4</x:v>
      </x:c>
      <x:c r="O588" s="2" t="n">
        <x:f>R588</x:f>
        <x:v>0</x:v>
      </x:c>
      <x:c r="P588" s="2" t="str">
        <x:v>DR.CA.1.3.2026.CY4</x:v>
      </x:c>
      <x:c r="Q588" s="2" t="n">
        <x:v>0</x:v>
      </x:c>
      <x:c r="R588" s="2" t="n">
        <x:f>IF(A588,1,0)</x:f>
        <x:v>0</x:v>
      </x:c>
      <x:c r="S588" s="2" t="n">
        <x:f>SUBTOTAL(103,N588)</x:f>
        <x:v>1</x:v>
      </x:c>
    </x:row>
    <x:row r="589" ht="31" customHeight="1" outlineLevel="1">
      <x:c r="A589" s="28" t="b">
        <x:v>0</x:v>
      </x:c>
      <x:c r="B589" s="36" t="str">
        <x:v>Cycle 4</x:v>
      </x:c>
      <x:c r="C589" s="36" t="str">
        <x:v>Phase 1</x:v>
      </x:c>
      <x:c r="D589" s="36" t="str">
        <x:v>Cards</x:v>
      </x:c>
      <x:c r="E589" s="69" t="str">
        <x:v>DR.CA.1.3.C05</x:v>
      </x:c>
      <x:c r="F589" s="37" t="str">
        <x:v>    Validate accuracy of data</x:v>
      </x:c>
      <x:c r="G589" s="5"/>
      <x:c r="H589" s="11"/>
      <x:c r="I589" s="11"/>
      <x:c r="J589" s="11"/>
      <x:c r="K589" s="29"/>
      <x:c r="L589" s="2" t="str">
        <x:f>IF(A589,"Complete","Open check")</x:f>
        <x:v>Open check</x:v>
      </x:c>
      <x:c r="M589" s="2" t="str">
        <x:v>Checklist</x:v>
      </x:c>
      <x:c r="N589" s="2" t="str">
        <x:v>DR.CA.1.3.C05.2026.CY4</x:v>
      </x:c>
      <x:c r="O589" s="2" t="n">
        <x:f>R589</x:f>
        <x:v>0</x:v>
      </x:c>
      <x:c r="P589" s="2" t="str">
        <x:v>DR.CA.1.3.2026.CY4</x:v>
      </x:c>
      <x:c r="Q589" s="2" t="n">
        <x:v>0</x:v>
      </x:c>
      <x:c r="R589" s="2" t="n">
        <x:f>IF(A589,1,0)</x:f>
        <x:v>0</x:v>
      </x:c>
      <x:c r="S589" s="2" t="n">
        <x:f>SUBTOTAL(103,N589)</x:f>
        <x:v>1</x:v>
      </x:c>
    </x:row>
    <x:row r="590" ht="31" customHeight="1" outlineLevel="1">
      <x:c r="A590" s="28" t="b">
        <x:v>0</x:v>
      </x:c>
      <x:c r="B590" s="36" t="str">
        <x:v>Cycle 4</x:v>
      </x:c>
      <x:c r="C590" s="36" t="str">
        <x:v>Phase 1</x:v>
      </x:c>
      <x:c r="D590" s="36" t="str">
        <x:v>Cards</x:v>
      </x:c>
      <x:c r="E590" s="69" t="str">
        <x:v>DR.CA.1.3.C06</x:v>
      </x:c>
      <x:c r="F590" s="37" t="str">
        <x:v>    Validate no duplicate data is provided</x:v>
      </x:c>
      <x:c r="G590" s="5"/>
      <x:c r="H590" s="11"/>
      <x:c r="I590" s="11"/>
      <x:c r="J590" s="11"/>
      <x:c r="K590" s="29"/>
      <x:c r="L590" s="2" t="str">
        <x:f>IF(A590,"Complete","Open check")</x:f>
        <x:v>Open check</x:v>
      </x:c>
      <x:c r="M590" s="2" t="str">
        <x:v>Checklist</x:v>
      </x:c>
      <x:c r="N590" s="2" t="str">
        <x:v>DR.CA.1.3.C06.2026.CY4</x:v>
      </x:c>
      <x:c r="O590" s="2" t="n">
        <x:f>R590</x:f>
        <x:v>0</x:v>
      </x:c>
      <x:c r="P590" s="2" t="str">
        <x:v>DR.CA.1.3.2026.CY4</x:v>
      </x:c>
      <x:c r="Q590" s="2" t="n">
        <x:v>0</x:v>
      </x:c>
      <x:c r="R590" s="2" t="n">
        <x:f>IF(A590,1,0)</x:f>
        <x:v>0</x:v>
      </x:c>
      <x:c r="S590" s="2" t="n">
        <x:f>SUBTOTAL(103,N590)</x:f>
        <x:v>1</x:v>
      </x:c>
    </x:row>
    <x:row r="591" ht="31" customHeight="1" outlineLevel="1">
      <x:c r="A591" s="28" t="b">
        <x:v>0</x:v>
      </x:c>
      <x:c r="B591" s="36" t="str">
        <x:v>Cycle 4</x:v>
      </x:c>
      <x:c r="C591" s="36" t="str">
        <x:v>Phase 1</x:v>
      </x:c>
      <x:c r="D591" s="36" t="str">
        <x:v>Cards</x:v>
      </x:c>
      <x:c r="E591" s="69" t="str">
        <x:v>DR.CA.1.3.C07</x:v>
      </x:c>
      <x:c r="F591" s="37" t="str">
        <x:v>    Document any data exclusions along with justification (as needed)</x:v>
      </x:c>
      <x:c r="G591" s="5"/>
      <x:c r="H591" s="11"/>
      <x:c r="I591" s="11"/>
      <x:c r="J591" s="11"/>
      <x:c r="K591" s="29"/>
      <x:c r="L591" s="2" t="str">
        <x:f>IF(A591,"Complete","Open check")</x:f>
        <x:v>Open check</x:v>
      </x:c>
      <x:c r="M591" s="2" t="str">
        <x:v>Checklist</x:v>
      </x:c>
      <x:c r="N591" s="2" t="str">
        <x:v>DR.CA.1.3.C07.2026.CY4</x:v>
      </x:c>
      <x:c r="O591" s="2" t="n">
        <x:f>R591</x:f>
        <x:v>0</x:v>
      </x:c>
      <x:c r="P591" s="2" t="str">
        <x:v>DR.CA.1.3.2026.CY4</x:v>
      </x:c>
      <x:c r="Q591" s="2" t="n">
        <x:v>0</x:v>
      </x:c>
      <x:c r="R591" s="2" t="n">
        <x:f>IF(A591,1,0)</x:f>
        <x:v>0</x:v>
      </x:c>
      <x:c r="S591" s="2" t="n">
        <x:f>SUBTOTAL(103,N591)</x:f>
        <x:v>1</x:v>
      </x:c>
    </x:row>
    <x:row r="592" ht="31" customHeight="1" outlineLevel="1">
      <x:c r="A592" s="28" t="b">
        <x:v>0</x:v>
      </x:c>
      <x:c r="B592" s="36" t="str">
        <x:v>Cycle 4</x:v>
      </x:c>
      <x:c r="C592" s="36" t="str">
        <x:v>Phase 1</x:v>
      </x:c>
      <x:c r="D592" s="36" t="str">
        <x:v>Cards</x:v>
      </x:c>
      <x:c r="E592" s="69" t="str">
        <x:v>DR.CA.1.3.C08</x:v>
      </x:c>
      <x:c r="F592" s="37" t="str">
        <x:v>    Document any assumptions made with the data (as needed)</x:v>
      </x:c>
      <x:c r="G592" s="5"/>
      <x:c r="H592" s="11"/>
      <x:c r="I592" s="11"/>
      <x:c r="J592" s="11"/>
      <x:c r="K592" s="29"/>
      <x:c r="L592" s="2" t="str">
        <x:f>IF(A592,"Complete","Open check")</x:f>
        <x:v>Open check</x:v>
      </x:c>
      <x:c r="M592" s="2" t="str">
        <x:v>Checklist</x:v>
      </x:c>
      <x:c r="N592" s="2" t="str">
        <x:v>DR.CA.1.3.C08.2026.CY4</x:v>
      </x:c>
      <x:c r="O592" s="2" t="n">
        <x:f>R592</x:f>
        <x:v>0</x:v>
      </x:c>
      <x:c r="P592" s="2" t="str">
        <x:v>DR.CA.1.3.2026.CY4</x:v>
      </x:c>
      <x:c r="Q592" s="2" t="n">
        <x:v>0</x:v>
      </x:c>
      <x:c r="R592" s="2" t="n">
        <x:f>IF(A592,1,0)</x:f>
        <x:v>0</x:v>
      </x:c>
      <x:c r="S592" s="2" t="n">
        <x:f>SUBTOTAL(103,N592)</x:f>
        <x:v>1</x:v>
      </x:c>
    </x:row>
    <x:row r="593" ht="31" customHeight="1" outlineLevel="1">
      <x:c r="A593" s="28" t="b">
        <x:v>0</x:v>
      </x:c>
      <x:c r="B593" s="36" t="str">
        <x:v>Cycle 4</x:v>
      </x:c>
      <x:c r="C593" s="36" t="str">
        <x:v>Phase 1</x:v>
      </x:c>
      <x:c r="D593" s="36" t="str">
        <x:v>Cards</x:v>
      </x:c>
      <x:c r="E593" s="69" t="str">
        <x:v>DR.CA.1.3.C09</x:v>
      </x:c>
      <x:c r="F593" s="37" t="str">
        <x:v>    Document any data limitations or constraints clearly (as needed)</x:v>
      </x:c>
      <x:c r="G593" s="5"/>
      <x:c r="H593" s="11"/>
      <x:c r="I593" s="11"/>
      <x:c r="J593" s="11"/>
      <x:c r="K593" s="29"/>
      <x:c r="L593" s="2" t="str">
        <x:f>IF(A593,"Complete","Open check")</x:f>
        <x:v>Open check</x:v>
      </x:c>
      <x:c r="M593" s="2" t="str">
        <x:v>Checklist</x:v>
      </x:c>
      <x:c r="N593" s="2" t="str">
        <x:v>DR.CA.1.3.C09.2026.CY4</x:v>
      </x:c>
      <x:c r="O593" s="2" t="n">
        <x:f>R593</x:f>
        <x:v>0</x:v>
      </x:c>
      <x:c r="P593" s="2" t="str">
        <x:v>DR.CA.1.3.2026.CY4</x:v>
      </x:c>
      <x:c r="Q593" s="2" t="n">
        <x:v>0</x:v>
      </x:c>
      <x:c r="R593" s="2" t="n">
        <x:f>IF(A593,1,0)</x:f>
        <x:v>0</x:v>
      </x:c>
      <x:c r="S593" s="2" t="n">
        <x:f>SUBTOTAL(103,N593)</x:f>
        <x:v>1</x:v>
      </x:c>
    </x:row>
    <x:row r="594" ht="31" customHeight="1" outlineLevel="1">
      <x:c r="A594" s="28" t="b">
        <x:v>0</x:v>
      </x:c>
      <x:c r="B594" s="36" t="str">
        <x:v>Cycle 4</x:v>
      </x:c>
      <x:c r="C594" s="36" t="str">
        <x:v>Phase 1</x:v>
      </x:c>
      <x:c r="D594" s="36" t="str">
        <x:v>Cards</x:v>
      </x:c>
      <x:c r="E594" s="69" t="str">
        <x:v>DR.CA.1.3.C10</x:v>
      </x:c>
      <x:c r="F594" s="37" t="str">
        <x:v>    Document data dictionary or field definitions for columns/rows</x:v>
      </x:c>
      <x:c r="G594" s="5"/>
      <x:c r="H594" s="11"/>
      <x:c r="I594" s="11"/>
      <x:c r="J594" s="11"/>
      <x:c r="K594" s="29"/>
      <x:c r="L594" s="2" t="str">
        <x:f>IF(A594,"Complete","Open check")</x:f>
        <x:v>Open check</x:v>
      </x:c>
      <x:c r="M594" s="2" t="str">
        <x:v>Checklist</x:v>
      </x:c>
      <x:c r="N594" s="2" t="str">
        <x:v>DR.CA.1.3.C10.2026.CY4</x:v>
      </x:c>
      <x:c r="O594" s="2" t="n">
        <x:f>R594</x:f>
        <x:v>0</x:v>
      </x:c>
      <x:c r="P594" s="2" t="str">
        <x:v>DR.CA.1.3.2026.CY4</x:v>
      </x:c>
      <x:c r="Q594" s="2" t="n">
        <x:v>0</x:v>
      </x:c>
      <x:c r="R594" s="2" t="n">
        <x:f>IF(A594,1,0)</x:f>
        <x:v>0</x:v>
      </x:c>
      <x:c r="S594" s="2" t="n">
        <x:f>SUBTOTAL(103,N594)</x:f>
        <x:v>1</x:v>
      </x:c>
    </x:row>
    <x:row r="595" ht="31" customHeight="1" outlineLevel="1">
      <x:c r="A595" s="28" t="b">
        <x:v>0</x:v>
      </x:c>
      <x:c r="B595" s="36" t="str">
        <x:v>Cycle 4</x:v>
      </x:c>
      <x:c r="C595" s="36" t="str">
        <x:v>Phase 1</x:v>
      </x:c>
      <x:c r="D595" s="36" t="str">
        <x:v>Cards</x:v>
      </x:c>
      <x:c r="E595" s="69" t="str">
        <x:v>DR.CA.1.3.C11</x:v>
      </x:c>
      <x:c r="F595" s="37" t="str">
        <x:v>    Document emerging trends, patterns, or concentrations along with supporting data</x:v>
      </x:c>
      <x:c r="G595" s="5"/>
      <x:c r="H595" s="11"/>
      <x:c r="I595" s="11"/>
      <x:c r="J595" s="11"/>
      <x:c r="K595" s="29"/>
      <x:c r="L595" s="2" t="str">
        <x:f>IF(A595,"Complete","Open check")</x:f>
        <x:v>Open check</x:v>
      </x:c>
      <x:c r="M595" s="2" t="str">
        <x:v>Checklist</x:v>
      </x:c>
      <x:c r="N595" s="2" t="str">
        <x:v>DR.CA.1.3.C11.2026.CY4</x:v>
      </x:c>
      <x:c r="O595" s="2" t="n">
        <x:f>R595</x:f>
        <x:v>0</x:v>
      </x:c>
      <x:c r="P595" s="2" t="str">
        <x:v>DR.CA.1.3.2026.CY4</x:v>
      </x:c>
      <x:c r="Q595" s="2" t="n">
        <x:v>0</x:v>
      </x:c>
      <x:c r="R595" s="2" t="n">
        <x:f>IF(A595,1,0)</x:f>
        <x:v>0</x:v>
      </x:c>
      <x:c r="S595" s="2" t="n">
        <x:f>SUBTOTAL(103,N595)</x:f>
        <x:v>1</x:v>
      </x:c>
    </x:row>
    <x:row r="596" ht="31" customHeight="1" outlineLevel="1">
      <x:c r="A596" s="28" t="b">
        <x:v>0</x:v>
      </x:c>
      <x:c r="B596" s="36" t="str">
        <x:v>Cycle 4</x:v>
      </x:c>
      <x:c r="C596" s="36" t="str">
        <x:v>Phase 1</x:v>
      </x:c>
      <x:c r="D596" s="36" t="str">
        <x:v>Cards</x:v>
      </x:c>
      <x:c r="E596" s="69" t="str">
        <x:v>DR.CA.1.3.C12</x:v>
      </x:c>
      <x:c r="F596" s="37" t="str">
        <x:v>    Document any severe spikes in volume along with context (as needed)</x:v>
      </x:c>
      <x:c r="G596" s="5"/>
      <x:c r="H596" s="11"/>
      <x:c r="I596" s="11"/>
      <x:c r="J596" s="11"/>
      <x:c r="K596" s="29"/>
      <x:c r="L596" s="2" t="str">
        <x:f>IF(A596,"Complete","Open check")</x:f>
        <x:v>Open check</x:v>
      </x:c>
      <x:c r="M596" s="2" t="str">
        <x:v>Checklist</x:v>
      </x:c>
      <x:c r="N596" s="2" t="str">
        <x:v>DR.CA.1.3.C12.2026.CY4</x:v>
      </x:c>
      <x:c r="O596" s="2" t="n">
        <x:f>R596</x:f>
        <x:v>0</x:v>
      </x:c>
      <x:c r="P596" s="2" t="str">
        <x:v>DR.CA.1.3.2026.CY4</x:v>
      </x:c>
      <x:c r="Q596" s="2" t="n">
        <x:v>0</x:v>
      </x:c>
      <x:c r="R596" s="2" t="n">
        <x:f>IF(A596,1,0)</x:f>
        <x:v>0</x:v>
      </x:c>
      <x:c r="S596" s="2" t="n">
        <x:f>SUBTOTAL(103,N596)</x:f>
        <x:v>1</x:v>
      </x:c>
    </x:row>
    <x:row r="597" ht="31" customHeight="1" outlineLevel="1">
      <x:c r="A597" s="28" t="b">
        <x:v>0</x:v>
      </x:c>
      <x:c r="B597" s="36" t="str">
        <x:v>Cycle 4</x:v>
      </x:c>
      <x:c r="C597" s="36" t="str">
        <x:v>Phase 1</x:v>
      </x:c>
      <x:c r="D597" s="36" t="str">
        <x:v>Cards</x:v>
      </x:c>
      <x:c r="E597" s="69" t="str">
        <x:v>DR.CA.1.3.C13</x:v>
      </x:c>
      <x:c r="F597" s="37" t="str">
        <x:v>    Document clear summary explaining how the data connects to the potential topic</x:v>
      </x:c>
      <x:c r="G597" s="5"/>
      <x:c r="H597" s="11"/>
      <x:c r="I597" s="11"/>
      <x:c r="J597" s="11"/>
      <x:c r="K597" s="29"/>
      <x:c r="L597" s="2" t="str">
        <x:f>IF(A597,"Complete","Open check")</x:f>
        <x:v>Open check</x:v>
      </x:c>
      <x:c r="M597" s="2" t="str">
        <x:v>Checklist</x:v>
      </x:c>
      <x:c r="N597" s="2" t="str">
        <x:v>DR.CA.1.3.C13.2026.CY4</x:v>
      </x:c>
      <x:c r="O597" s="2" t="n">
        <x:f>R597</x:f>
        <x:v>0</x:v>
      </x:c>
      <x:c r="P597" s="2" t="str">
        <x:v>DR.CA.1.3.2026.CY4</x:v>
      </x:c>
      <x:c r="Q597" s="2" t="n">
        <x:v>0</x:v>
      </x:c>
      <x:c r="R597" s="2" t="n">
        <x:f>IF(A597,1,0)</x:f>
        <x:v>0</x:v>
      </x:c>
      <x:c r="S597" s="2" t="n">
        <x:f>SUBTOTAL(103,N597)</x:f>
        <x:v>1</x:v>
      </x:c>
    </x:row>
    <x:row r="598" ht="42" customHeight="1">
      <x:c r="A598" s="28" t="b">
        <x:v>0</x:v>
      </x:c>
      <x:c r="B598" s="2" t="str">
        <x:v>Cycle 4</x:v>
      </x:c>
      <x:c r="C598" s="2" t="str">
        <x:v>Phase 2</x:v>
      </x:c>
      <x:c r="D598" s="2" t="str">
        <x:v>Cards</x:v>
      </x:c>
      <x:c r="E598" s="56" t="str">
        <x:v>DR.CA.2.1</x:v>
      </x:c>
      <x:c r="F598" s="14" t="str">
        <x:v>Ensure data is clean, structured, and usable without manipulation needed</x:v>
      </x:c>
      <x:c r="G598" s="5"/>
      <x:c r="H598" s="11"/>
      <x:c r="I598" s="11" t="n">
        <x:f>'Cycles &amp; Guide'!$D$13</x:f>
        <x:v>46387</x:v>
      </x:c>
      <x:c r="J598" s="11"/>
      <x:c r="K598" s="29"/>
      <x:c r="L598" s="2" t="str">
        <x:f>IF(O598=1,"Complete",IF(A598,"Checklist open",IF(H598&lt;&gt;"","In progress","Not started")))</x:f>
        <x:v>Not started</x:v>
      </x:c>
      <x:c r="M598" s="2" t="str">
        <x:v>Task</x:v>
      </x:c>
      <x:c r="N598" s="2" t="str">
        <x:v>DR.CA.2.1.2026.CY4</x:v>
      </x:c>
      <x:c r="O598" s="2" t="n">
        <x:f>R598</x:f>
        <x:v>0</x:v>
      </x:c>
      <x:c r="P598" s="2"/>
      <x:c r="Q598" s="2" t="n">
        <x:v>1</x:v>
      </x:c>
      <x:c r="R598" s="2" t="n">
        <x:f>IF(A598,1,0)</x:f>
        <x:v>0</x:v>
      </x:c>
      <x:c r="S598" s="2" t="n">
        <x:f>SUBTOTAL(103,N598)</x:f>
        <x:v>1</x:v>
      </x:c>
    </x:row>
    <x:row r="599" ht="42" customHeight="1">
      <x:c r="A599" s="28" t="b">
        <x:v>0</x:v>
      </x:c>
      <x:c r="B599" s="2" t="str">
        <x:v>Cycle 4</x:v>
      </x:c>
      <x:c r="C599" s="2" t="str">
        <x:v>Phase 2</x:v>
      </x:c>
      <x:c r="D599" s="2" t="str">
        <x:v>Cards</x:v>
      </x:c>
      <x:c r="E599" s="56" t="str">
        <x:v>DR.CA.2.2</x:v>
      </x:c>
      <x:c r="F599" s="14" t="str">
        <x:v>Clearly document rationale for each topic recommendation within the SharePoint list</x:v>
      </x:c>
      <x:c r="G599" s="5"/>
      <x:c r="H599" s="11"/>
      <x:c r="I599" s="11" t="n">
        <x:f>'Cycles &amp; Guide'!$D$13</x:f>
        <x:v>46387</x:v>
      </x:c>
      <x:c r="J599" s="11"/>
      <x:c r="K599" s="29"/>
      <x:c r="L599" s="2" t="str">
        <x:f>IF(O599=1,"Complete",IF(A599,"Checklist open",IF(H599&lt;&gt;"","In progress","Not started")))</x:f>
        <x:v>Not started</x:v>
      </x:c>
      <x:c r="M599" s="2" t="str">
        <x:v>Task</x:v>
      </x:c>
      <x:c r="N599" s="2" t="str">
        <x:v>DR.CA.2.2.2026.CY4</x:v>
      </x:c>
      <x:c r="O599" s="2" t="n">
        <x:f>R599</x:f>
        <x:v>0</x:v>
      </x:c>
      <x:c r="P599" s="2"/>
      <x:c r="Q599" s="2" t="n">
        <x:v>1</x:v>
      </x:c>
      <x:c r="R599" s="2" t="n">
        <x:f>IF(A599,1,0)</x:f>
        <x:v>0</x:v>
      </x:c>
      <x:c r="S599" s="2" t="n">
        <x:f>SUBTOTAL(103,N599)</x:f>
        <x:v>1</x:v>
      </x:c>
    </x:row>
    <x:row r="600" ht="42" customHeight="1">
      <x:c r="A600" s="28" t="b">
        <x:v>0</x:v>
      </x:c>
      <x:c r="B600" s="2" t="str">
        <x:v>Cycle 4</x:v>
      </x:c>
      <x:c r="C600" s="2" t="str">
        <x:v>Phase 2</x:v>
      </x:c>
      <x:c r="D600" s="2" t="str">
        <x:v>Cards</x:v>
      </x:c>
      <x:c r="E600" s="56" t="str">
        <x:v>DR.CA.2.3</x:v>
      </x:c>
      <x:c r="F600" s="14" t="str">
        <x:v>Verify topic is eligible for RCA and does not conflict with Attorney Client Privilege</x:v>
      </x:c>
      <x:c r="G600" s="5"/>
      <x:c r="H600" s="11"/>
      <x:c r="I600" s="11" t="n">
        <x:f>'Cycles &amp; Guide'!$D$13</x:f>
        <x:v>46387</x:v>
      </x:c>
      <x:c r="J600" s="11"/>
      <x:c r="K600" s="29"/>
      <x:c r="L600" s="2" t="str">
        <x:f>IF(O600=1,"Complete",IF(A600,"Checklist open",IF(H600&lt;&gt;"","In progress","Not started")))</x:f>
        <x:v>Not started</x:v>
      </x:c>
      <x:c r="M600" s="2" t="str">
        <x:v>Task</x:v>
      </x:c>
      <x:c r="N600" s="2" t="str">
        <x:v>DR.CA.2.3.2026.CY4</x:v>
      </x:c>
      <x:c r="O600" s="2" t="n">
        <x:f>R600</x:f>
        <x:v>0</x:v>
      </x:c>
      <x:c r="P600" s="2"/>
      <x:c r="Q600" s="2" t="n">
        <x:v>1</x:v>
      </x:c>
      <x:c r="R600" s="2" t="n">
        <x:f>IF(A600,1,0)</x:f>
        <x:v>0</x:v>
      </x:c>
      <x:c r="S600" s="2" t="n">
        <x:f>SUBTOTAL(103,N600)</x:f>
        <x:v>1</x:v>
      </x:c>
    </x:row>
    <x:row r="601" ht="42" customHeight="1">
      <x:c r="A601" s="28" t="b">
        <x:v>0</x:v>
      </x:c>
      <x:c r="B601" s="2" t="str">
        <x:v>Cycle 4</x:v>
      </x:c>
      <x:c r="C601" s="2" t="str">
        <x:v>Phase 2</x:v>
      </x:c>
      <x:c r="D601" s="2" t="str">
        <x:v>Cards</x:v>
      </x:c>
      <x:c r="E601" s="56" t="str">
        <x:v>DR.CA.2.4</x:v>
      </x:c>
      <x:c r="F601" s="14" t="str">
        <x:v>Ensure data is free of errors and anomalies prior to hand-off to Research</x:v>
      </x:c>
      <x:c r="G601" s="5"/>
      <x:c r="H601" s="11"/>
      <x:c r="I601" s="11" t="n">
        <x:f>'Cycles &amp; Guide'!$D$13</x:f>
        <x:v>46387</x:v>
      </x:c>
      <x:c r="J601" s="11"/>
      <x:c r="K601" s="29"/>
      <x:c r="L601" s="2" t="str">
        <x:f>IF(O601=1,"Complete",IF(A601,"Checklist open",IF(H601&lt;&gt;"","In progress","Not started")))</x:f>
        <x:v>Not started</x:v>
      </x:c>
      <x:c r="M601" s="2" t="str">
        <x:v>Task</x:v>
      </x:c>
      <x:c r="N601" s="2" t="str">
        <x:v>DR.CA.2.4.2026.CY4</x:v>
      </x:c>
      <x:c r="O601" s="2" t="n">
        <x:f>R601</x:f>
        <x:v>0</x:v>
      </x:c>
      <x:c r="P601" s="2"/>
      <x:c r="Q601" s="2" t="n">
        <x:v>1</x:v>
      </x:c>
      <x:c r="R601" s="2" t="n">
        <x:f>IF(A601,1,0)</x:f>
        <x:v>0</x:v>
      </x:c>
      <x:c r="S601" s="2" t="n">
        <x:f>SUBTOTAL(103,N601)</x:f>
        <x:v>1</x:v>
      </x:c>
    </x:row>
    <x:row r="602" ht="42" customHeight="1">
      <x:c r="A602" s="28" t="b">
        <x:v>0</x:v>
      </x:c>
      <x:c r="B602" s="2" t="str">
        <x:v>Cycle 4</x:v>
      </x:c>
      <x:c r="C602" s="2" t="str">
        <x:v>Phase 2</x:v>
      </x:c>
      <x:c r="D602" s="2" t="str">
        <x:v>Cards</x:v>
      </x:c>
      <x:c r="E602" s="56" t="str">
        <x:v>DR.CA.2.5</x:v>
      </x:c>
      <x:c r="F602" s="14" t="str">
        <x:v>Ensure topic is not a duplicate from a previous Cycle</x:v>
      </x:c>
      <x:c r="G602" s="5"/>
      <x:c r="H602" s="11"/>
      <x:c r="I602" s="11" t="n">
        <x:f>'Cycles &amp; Guide'!$D$13</x:f>
        <x:v>46387</x:v>
      </x:c>
      <x:c r="J602" s="11"/>
      <x:c r="K602" s="29"/>
      <x:c r="L602" s="2" t="str">
        <x:f>IF(O602=1,"Complete",IF(A602,"Checklist open",IF(H602&lt;&gt;"","In progress","Not started")))</x:f>
        <x:v>Not started</x:v>
      </x:c>
      <x:c r="M602" s="2" t="str">
        <x:v>Task</x:v>
      </x:c>
      <x:c r="N602" s="2" t="str">
        <x:v>DR.CA.2.5.2026.CY4</x:v>
      </x:c>
      <x:c r="O602" s="2" t="n">
        <x:f>R602</x:f>
        <x:v>0</x:v>
      </x:c>
      <x:c r="P602" s="2"/>
      <x:c r="Q602" s="2" t="n">
        <x:v>1</x:v>
      </x:c>
      <x:c r="R602" s="2" t="n">
        <x:f>IF(A602,1,0)</x:f>
        <x:v>0</x:v>
      </x:c>
      <x:c r="S602" s="2" t="n">
        <x:f>SUBTOTAL(103,N602)</x:f>
        <x:v>1</x:v>
      </x:c>
    </x:row>
    <x:row r="603" ht="42" customHeight="1">
      <x:c r="A603" s="28" t="b">
        <x:v>0</x:v>
      </x:c>
      <x:c r="B603" s="2" t="str">
        <x:v>Cycle 4</x:v>
      </x:c>
      <x:c r="C603" s="2" t="str">
        <x:v>Phase 2</x:v>
      </x:c>
      <x:c r="D603" s="2" t="str">
        <x:v>Cards</x:v>
      </x:c>
      <x:c r="E603" s="56" t="str">
        <x:v>DR.CA.2.6</x:v>
      </x:c>
      <x:c r="F603" s="14" t="str">
        <x:v>Document clear distinctions between facts, assumptions, and hypotheses within the data package</x:v>
      </x:c>
      <x:c r="G603" s="5"/>
      <x:c r="H603" s="11"/>
      <x:c r="I603" s="11" t="n">
        <x:f>'Cycles &amp; Guide'!$D$13</x:f>
        <x:v>46387</x:v>
      </x:c>
      <x:c r="J603" s="11"/>
      <x:c r="K603" s="29"/>
      <x:c r="L603" s="2" t="str">
        <x:f>IF(O603=1,"Complete",IF(A603,"Checklist open",IF(H603&lt;&gt;"","In progress","Not started")))</x:f>
        <x:v>Not started</x:v>
      </x:c>
      <x:c r="M603" s="2" t="str">
        <x:v>Task</x:v>
      </x:c>
      <x:c r="N603" s="2" t="str">
        <x:v>DR.CA.2.6.2026.CY4</x:v>
      </x:c>
      <x:c r="O603" s="2" t="n">
        <x:f>R603</x:f>
        <x:v>0</x:v>
      </x:c>
      <x:c r="P603" s="2"/>
      <x:c r="Q603" s="2" t="n">
        <x:v>1</x:v>
      </x:c>
      <x:c r="R603" s="2" t="n">
        <x:f>IF(A603,1,0)</x:f>
        <x:v>0</x:v>
      </x:c>
      <x:c r="S603" s="2" t="n">
        <x:f>SUBTOTAL(103,N603)</x:f>
        <x:v>1</x:v>
      </x:c>
    </x:row>
    <x:row r="604" ht="42" customHeight="1">
      <x:c r="A604" s="28" t="b">
        <x:v>0</x:v>
      </x:c>
      <x:c r="B604" s="2" t="str">
        <x:v>Cycle 4</x:v>
      </x:c>
      <x:c r="C604" s="2" t="str">
        <x:v>Phase 3</x:v>
      </x:c>
      <x:c r="D604" s="2" t="str">
        <x:v>Cards</x:v>
      </x:c>
      <x:c r="E604" s="56" t="str">
        <x:v>DR.CA.3.1</x:v>
      </x:c>
      <x:c r="F604" s="14" t="str">
        <x:v>Clearly document rationale for each topic recommendation within the SharePoint list item</x:v>
      </x:c>
      <x:c r="G604" s="5"/>
      <x:c r="H604" s="11"/>
      <x:c r="I604" s="11" t="n">
        <x:f>'Cycles &amp; Guide'!$D$13</x:f>
        <x:v>46387</x:v>
      </x:c>
      <x:c r="J604" s="11"/>
      <x:c r="K604" s="29"/>
      <x:c r="L604" s="2" t="str">
        <x:f>IF(O604=1,"Complete",IF(A604,"Checklist open",IF(H604&lt;&gt;"","In progress","Not started")))</x:f>
        <x:v>Not started</x:v>
      </x:c>
      <x:c r="M604" s="2" t="str">
        <x:v>Task</x:v>
      </x:c>
      <x:c r="N604" s="2" t="str">
        <x:v>DR.CA.3.1.2026.CY4</x:v>
      </x:c>
      <x:c r="O604" s="2" t="n">
        <x:f>R604</x:f>
        <x:v>0</x:v>
      </x:c>
      <x:c r="P604" s="2"/>
      <x:c r="Q604" s="2" t="n">
        <x:v>1</x:v>
      </x:c>
      <x:c r="R604" s="2" t="n">
        <x:f>IF(A604,1,0)</x:f>
        <x:v>0</x:v>
      </x:c>
      <x:c r="S604" s="2" t="n">
        <x:f>SUBTOTAL(103,N604)</x:f>
        <x:v>1</x:v>
      </x:c>
    </x:row>
    <x:row r="605" ht="42" customHeight="1">
      <x:c r="A605" s="28" t="b">
        <x:v>0</x:v>
      </x:c>
      <x:c r="B605" s="2" t="str">
        <x:v>Cycle 4</x:v>
      </x:c>
      <x:c r="C605" s="2" t="str">
        <x:v>Phase 3</x:v>
      </x:c>
      <x:c r="D605" s="2" t="str">
        <x:v>Cards</x:v>
      </x:c>
      <x:c r="E605" s="56" t="str">
        <x:v>DR.CA.3.2</x:v>
      </x:c>
      <x:c r="F605" s="14" t="str">
        <x:v>Attach the data package for each topic recommendation within the SharePoint list item</x:v>
      </x:c>
      <x:c r="G605" s="5"/>
      <x:c r="H605" s="11"/>
      <x:c r="I605" s="11" t="n">
        <x:f>'Cycles &amp; Guide'!$D$13</x:f>
        <x:v>46387</x:v>
      </x:c>
      <x:c r="J605" s="11"/>
      <x:c r="K605" s="29"/>
      <x:c r="L605" s="2" t="str">
        <x:f>IF(O605=1,"Complete",IF(A605,"Checklist open",IF(H605&lt;&gt;"","In progress","Not started")))</x:f>
        <x:v>Not started</x:v>
      </x:c>
      <x:c r="M605" s="2" t="str">
        <x:v>Task</x:v>
      </x:c>
      <x:c r="N605" s="2" t="str">
        <x:v>DR.CA.3.2.2026.CY4</x:v>
      </x:c>
      <x:c r="O605" s="2" t="n">
        <x:f>R605</x:f>
        <x:v>0</x:v>
      </x:c>
      <x:c r="P605" s="2"/>
      <x:c r="Q605" s="2" t="n">
        <x:v>1</x:v>
      </x:c>
      <x:c r="R605" s="2" t="n">
        <x:f>IF(A605,1,0)</x:f>
        <x:v>0</x:v>
      </x:c>
      <x:c r="S605" s="2" t="n">
        <x:f>SUBTOTAL(103,N605)</x:f>
        <x:v>1</x:v>
      </x:c>
    </x:row>
    <x:row r="606" ht="42" customHeight="1">
      <x:c r="A606" s="28" t="b">
        <x:v>0</x:v>
      </x:c>
      <x:c r="B606" s="2" t="str">
        <x:v>Cycle 4</x:v>
      </x:c>
      <x:c r="C606" s="2" t="str">
        <x:v>Phase 3</x:v>
      </x:c>
      <x:c r="D606" s="2" t="str">
        <x:v>Cards</x:v>
      </x:c>
      <x:c r="E606" s="56" t="str">
        <x:v>DR.CA.3.3</x:v>
      </x:c>
      <x:c r="F606" s="14" t="str">
        <x:v>Confirm data privileges have been granted, ensuring each pillar can access</x:v>
      </x:c>
      <x:c r="G606" s="5"/>
      <x:c r="H606" s="11"/>
      <x:c r="I606" s="11" t="n">
        <x:f>'Cycles &amp; Guide'!$D$13</x:f>
        <x:v>46387</x:v>
      </x:c>
      <x:c r="J606" s="11"/>
      <x:c r="K606" s="29"/>
      <x:c r="L606" s="2" t="str">
        <x:f>IF(O606=1,"Complete",IF(A606,"Checklist open",IF(H606&lt;&gt;"","In progress","Not started")))</x:f>
        <x:v>Not started</x:v>
      </x:c>
      <x:c r="M606" s="2" t="str">
        <x:v>Task</x:v>
      </x:c>
      <x:c r="N606" s="2" t="str">
        <x:v>DR.CA.3.3.2026.CY4</x:v>
      </x:c>
      <x:c r="O606" s="2" t="n">
        <x:f>R606</x:f>
        <x:v>0</x:v>
      </x:c>
      <x:c r="P606" s="2"/>
      <x:c r="Q606" s="2" t="n">
        <x:v>1</x:v>
      </x:c>
      <x:c r="R606" s="2" t="n">
        <x:f>IF(A606,1,0)</x:f>
        <x:v>0</x:v>
      </x:c>
      <x:c r="S606" s="2" t="n">
        <x:f>SUBTOTAL(103,N606)</x:f>
        <x:v>1</x:v>
      </x:c>
    </x:row>
    <x:row r="607" ht="42" customHeight="1">
      <x:c r="A607" s="28" t="b">
        <x:v>0</x:v>
      </x:c>
      <x:c r="B607" s="2" t="str">
        <x:v>Cycle 4</x:v>
      </x:c>
      <x:c r="C607" s="2" t="str">
        <x:v>Phase 3</x:v>
      </x:c>
      <x:c r="D607" s="2" t="str">
        <x:v>Cards</x:v>
      </x:c>
      <x:c r="E607" s="56" t="str">
        <x:v>DR.CA.3.4</x:v>
      </x:c>
      <x:c r="F607" s="14" t="str">
        <x:v>Ensure Power Automate notifications were correctly triggered within Microsoft Teams</x:v>
      </x:c>
      <x:c r="G607" s="5"/>
      <x:c r="H607" s="11"/>
      <x:c r="I607" s="11" t="n">
        <x:f>'Cycles &amp; Guide'!$D$13</x:f>
        <x:v>46387</x:v>
      </x:c>
      <x:c r="J607" s="11"/>
      <x:c r="K607" s="29"/>
      <x:c r="L607" s="2" t="str">
        <x:f>IF(O607=1,"Complete",IF(A607,"Checklist open",IF(H607&lt;&gt;"","In progress","Not started")))</x:f>
        <x:v>Not started</x:v>
      </x:c>
      <x:c r="M607" s="2" t="str">
        <x:v>Task</x:v>
      </x:c>
      <x:c r="N607" s="2" t="str">
        <x:v>DR.CA.3.4.2026.CY4</x:v>
      </x:c>
      <x:c r="O607" s="2" t="n">
        <x:f>R607</x:f>
        <x:v>0</x:v>
      </x:c>
      <x:c r="P607" s="2"/>
      <x:c r="Q607" s="2" t="n">
        <x:v>1</x:v>
      </x:c>
      <x:c r="R607" s="2" t="n">
        <x:f>IF(A607,1,0)</x:f>
        <x:v>0</x:v>
      </x:c>
      <x:c r="S607" s="2" t="n">
        <x:f>SUBTOTAL(103,N607)</x:f>
        <x:v>1</x:v>
      </x:c>
    </x:row>
    <x:row r="608" ht="42" customHeight="1">
      <x:c r="A608" s="28" t="b">
        <x:v>0</x:v>
      </x:c>
      <x:c r="B608" s="2" t="str">
        <x:v>Cycle 4</x:v>
      </x:c>
      <x:c r="C608" s="2" t="str">
        <x:v>Phase 1</x:v>
      </x:c>
      <x:c r="D608" s="2" t="str">
        <x:v>CSBBO - Banking Ops</x:v>
      </x:c>
      <x:c r="E608" s="56" t="str">
        <x:v>DR.BO.1.1</x:v>
      </x:c>
      <x:c r="F608" s="14" t="str">
        <x:v>Review data sources 3 weeks prior to Cycle start (Complaints, Gen AI, Loudspeaker, NPS, etc.)</x:v>
      </x:c>
      <x:c r="G608" s="5"/>
      <x:c r="H608" s="11"/>
      <x:c r="I608" s="11" t="n">
        <x:f>'Cycles &amp; Guide'!$C$13-21</x:f>
        <x:v>46275</x:v>
      </x:c>
      <x:c r="J608" s="11"/>
      <x:c r="K608" s="29"/>
      <x:c r="L608" s="2" t="str">
        <x:f>IF(O608=1,"Complete",IF(A608,"Checklist open",IF(H608&lt;&gt;"","In progress","Not started")))</x:f>
        <x:v>Not started</x:v>
      </x:c>
      <x:c r="M608" s="2" t="str">
        <x:v>Task</x:v>
      </x:c>
      <x:c r="N608" s="2" t="str">
        <x:v>DR.BO.1.1.2026.CY4</x:v>
      </x:c>
      <x:c r="O608" s="2" t="n">
        <x:f>R608</x:f>
        <x:v>0</x:v>
      </x:c>
      <x:c r="P608" s="2"/>
      <x:c r="Q608" s="2" t="n">
        <x:v>1</x:v>
      </x:c>
      <x:c r="R608" s="2" t="n">
        <x:f>IF(A608,1,0)</x:f>
        <x:v>0</x:v>
      </x:c>
      <x:c r="S608" s="2" t="n">
        <x:f>SUBTOTAL(103,N608)</x:f>
        <x:v>1</x:v>
      </x:c>
    </x:row>
    <x:row r="609" ht="42" customHeight="1">
      <x:c r="A609" s="28" t="b">
        <x:v>0</x:v>
      </x:c>
      <x:c r="B609" s="2" t="str">
        <x:v>Cycle 4</x:v>
      </x:c>
      <x:c r="C609" s="2" t="str">
        <x:v>Phase 1</x:v>
      </x:c>
      <x:c r="D609" s="2" t="str">
        <x:v>CSBBO - Banking Ops</x:v>
      </x:c>
      <x:c r="E609" s="56" t="str">
        <x:v>DR.BO.1.2</x:v>
      </x:c>
      <x:c r="F609" s="14" t="str">
        <x:v>Identify two potential topics for the upcoming Cycle</x:v>
      </x:c>
      <x:c r="G609" s="5"/>
      <x:c r="H609" s="11"/>
      <x:c r="I609" s="11" t="n">
        <x:f>'Cycles &amp; Guide'!$D$13</x:f>
        <x:v>46387</x:v>
      </x:c>
      <x:c r="J609" s="11"/>
      <x:c r="K609" s="29"/>
      <x:c r="L609" s="2" t="str">
        <x:f>IF(O609=1,"Complete",IF(A609,"Checklist open",IF(H609&lt;&gt;"","In progress","Not started")))</x:f>
        <x:v>Not started</x:v>
      </x:c>
      <x:c r="M609" s="2" t="str">
        <x:v>Task</x:v>
      </x:c>
      <x:c r="N609" s="2" t="str">
        <x:v>DR.BO.1.2.2026.CY4</x:v>
      </x:c>
      <x:c r="O609" s="2" t="n">
        <x:f>R609</x:f>
        <x:v>0</x:v>
      </x:c>
      <x:c r="P609" s="2"/>
      <x:c r="Q609" s="2" t="n">
        <x:v>1</x:v>
      </x:c>
      <x:c r="R609" s="2" t="n">
        <x:f>IF(A609,1,0)</x:f>
        <x:v>0</x:v>
      </x:c>
      <x:c r="S609" s="2" t="n">
        <x:f>SUBTOTAL(103,N609)</x:f>
        <x:v>1</x:v>
      </x:c>
    </x:row>
    <x:row r="610" ht="42" customHeight="1">
      <x:c r="A610" s="28" t="b">
        <x:v>0</x:v>
      </x:c>
      <x:c r="B610" s="2" t="str">
        <x:v>Cycle 4</x:v>
      </x:c>
      <x:c r="C610" s="2" t="str">
        <x:v>Phase 1</x:v>
      </x:c>
      <x:c r="D610" s="2" t="str">
        <x:v>CSBBO - Banking Ops</x:v>
      </x:c>
      <x:c r="E610" s="68" t="str">
        <x:v>DR.BO.1.3</x:v>
      </x:c>
      <x:c r="F610" s="33" t="str">
        <x:v>Extract data for both potential topics, ensuring all checklist items below are included/completed</x:v>
      </x:c>
      <x:c r="G610" s="5"/>
      <x:c r="H610" s="11"/>
      <x:c r="I610" s="11" t="n">
        <x:f>'Cycles &amp; Guide'!$D$13</x:f>
        <x:v>46387</x:v>
      </x:c>
      <x:c r="J610" s="11"/>
      <x:c r="K610" s="29"/>
      <x:c r="L610" s="2" t="str">
        <x:f>IF(O610=1,"Complete",IF(A610,"Checklist open",IF(H610&lt;&gt;"","In progress","Not started")))</x:f>
        <x:v>Not started</x:v>
      </x:c>
      <x:c r="M610" s="2" t="str">
        <x:v>Task</x:v>
      </x:c>
      <x:c r="N610" s="2" t="str">
        <x:v>DR.BO.1.3.2026.CY4</x:v>
      </x:c>
      <x:c r="O610" s="2" t="n">
        <x:f>IF(A610,IF(SUMIFS($R$10:$R$737,$P$10:$P$737,N610)=13,1,0),0)</x:f>
        <x:v>0</x:v>
      </x:c>
      <x:c r="P610" s="2"/>
      <x:c r="Q610" s="2" t="n">
        <x:v>1</x:v>
      </x:c>
      <x:c r="R610" s="2" t="n">
        <x:f>IF(A610,1,0)</x:f>
        <x:v>0</x:v>
      </x:c>
      <x:c r="S610" s="2" t="n">
        <x:f>SUBTOTAL(103,N610)</x:f>
        <x:v>1</x:v>
      </x:c>
    </x:row>
    <x:row r="611" ht="31" customHeight="1" outlineLevel="1">
      <x:c r="A611" s="28" t="b">
        <x:v>0</x:v>
      </x:c>
      <x:c r="B611" s="36" t="str">
        <x:v>Cycle 4</x:v>
      </x:c>
      <x:c r="C611" s="36" t="str">
        <x:v>Phase 1</x:v>
      </x:c>
      <x:c r="D611" s="36" t="str">
        <x:v>CSBBO - Banking Ops</x:v>
      </x:c>
      <x:c r="E611" s="69" t="str">
        <x:v>DR.BO.1.3.C01</x:v>
      </x:c>
      <x:c r="F611" s="37" t="str">
        <x:v>    Document date range extracted</x:v>
      </x:c>
      <x:c r="G611" s="5"/>
      <x:c r="H611" s="11"/>
      <x:c r="I611" s="11"/>
      <x:c r="J611" s="11"/>
      <x:c r="K611" s="29"/>
      <x:c r="L611" s="2" t="str">
        <x:f>IF(A611,"Complete","Open check")</x:f>
        <x:v>Open check</x:v>
      </x:c>
      <x:c r="M611" s="2" t="str">
        <x:v>Checklist</x:v>
      </x:c>
      <x:c r="N611" s="2" t="str">
        <x:v>DR.BO.1.3.C01.2026.CY4</x:v>
      </x:c>
      <x:c r="O611" s="2" t="n">
        <x:f>R611</x:f>
        <x:v>0</x:v>
      </x:c>
      <x:c r="P611" s="2" t="str">
        <x:v>DR.BO.1.3.2026.CY4</x:v>
      </x:c>
      <x:c r="Q611" s="2" t="n">
        <x:v>0</x:v>
      </x:c>
      <x:c r="R611" s="2" t="n">
        <x:f>IF(A611,1,0)</x:f>
        <x:v>0</x:v>
      </x:c>
      <x:c r="S611" s="2" t="n">
        <x:f>SUBTOTAL(103,N611)</x:f>
        <x:v>1</x:v>
      </x:c>
    </x:row>
    <x:row r="612" ht="31" customHeight="1" outlineLevel="1">
      <x:c r="A612" s="28" t="b">
        <x:v>0</x:v>
      </x:c>
      <x:c r="B612" s="36" t="str">
        <x:v>Cycle 4</x:v>
      </x:c>
      <x:c r="C612" s="36" t="str">
        <x:v>Phase 1</x:v>
      </x:c>
      <x:c r="D612" s="36" t="str">
        <x:v>CSBBO - Banking Ops</x:v>
      </x:c>
      <x:c r="E612" s="69" t="str">
        <x:v>DR.BO.1.3.C02</x:v>
      </x:c>
      <x:c r="F612" s="37" t="str">
        <x:v>    Document date of data pull</x:v>
      </x:c>
      <x:c r="G612" s="5"/>
      <x:c r="H612" s="11"/>
      <x:c r="I612" s="11"/>
      <x:c r="J612" s="11"/>
      <x:c r="K612" s="29"/>
      <x:c r="L612" s="2" t="str">
        <x:f>IF(A612,"Complete","Open check")</x:f>
        <x:v>Open check</x:v>
      </x:c>
      <x:c r="M612" s="2" t="str">
        <x:v>Checklist</x:v>
      </x:c>
      <x:c r="N612" s="2" t="str">
        <x:v>DR.BO.1.3.C02.2026.CY4</x:v>
      </x:c>
      <x:c r="O612" s="2" t="n">
        <x:f>R612</x:f>
        <x:v>0</x:v>
      </x:c>
      <x:c r="P612" s="2" t="str">
        <x:v>DR.BO.1.3.2026.CY4</x:v>
      </x:c>
      <x:c r="Q612" s="2" t="n">
        <x:v>0</x:v>
      </x:c>
      <x:c r="R612" s="2" t="n">
        <x:f>IF(A612,1,0)</x:f>
        <x:v>0</x:v>
      </x:c>
      <x:c r="S612" s="2" t="n">
        <x:f>SUBTOTAL(103,N612)</x:f>
        <x:v>1</x:v>
      </x:c>
    </x:row>
    <x:row r="613" ht="31" customHeight="1" outlineLevel="1">
      <x:c r="A613" s="28" t="b">
        <x:v>0</x:v>
      </x:c>
      <x:c r="B613" s="36" t="str">
        <x:v>Cycle 4</x:v>
      </x:c>
      <x:c r="C613" s="36" t="str">
        <x:v>Phase 1</x:v>
      </x:c>
      <x:c r="D613" s="36" t="str">
        <x:v>CSBBO - Banking Ops</x:v>
      </x:c>
      <x:c r="E613" s="69" t="str">
        <x:v>DR.BO.1.3.C03</x:v>
      </x:c>
      <x:c r="F613" s="37" t="str">
        <x:v>    Document population details</x:v>
      </x:c>
      <x:c r="G613" s="5"/>
      <x:c r="H613" s="11"/>
      <x:c r="I613" s="11"/>
      <x:c r="J613" s="11"/>
      <x:c r="K613" s="29"/>
      <x:c r="L613" s="2" t="str">
        <x:f>IF(A613,"Complete","Open check")</x:f>
        <x:v>Open check</x:v>
      </x:c>
      <x:c r="M613" s="2" t="str">
        <x:v>Checklist</x:v>
      </x:c>
      <x:c r="N613" s="2" t="str">
        <x:v>DR.BO.1.3.C03.2026.CY4</x:v>
      </x:c>
      <x:c r="O613" s="2" t="n">
        <x:f>R613</x:f>
        <x:v>0</x:v>
      </x:c>
      <x:c r="P613" s="2" t="str">
        <x:v>DR.BO.1.3.2026.CY4</x:v>
      </x:c>
      <x:c r="Q613" s="2" t="n">
        <x:v>0</x:v>
      </x:c>
      <x:c r="R613" s="2" t="n">
        <x:f>IF(A613,1,0)</x:f>
        <x:v>0</x:v>
      </x:c>
      <x:c r="S613" s="2" t="n">
        <x:f>SUBTOTAL(103,N613)</x:f>
        <x:v>1</x:v>
      </x:c>
    </x:row>
    <x:row r="614" ht="31" customHeight="1" outlineLevel="1">
      <x:c r="A614" s="28" t="b">
        <x:v>0</x:v>
      </x:c>
      <x:c r="B614" s="36" t="str">
        <x:v>Cycle 4</x:v>
      </x:c>
      <x:c r="C614" s="36" t="str">
        <x:v>Phase 1</x:v>
      </x:c>
      <x:c r="D614" s="36" t="str">
        <x:v>CSBBO - Banking Ops</x:v>
      </x:c>
      <x:c r="E614" s="69" t="str">
        <x:v>DR.BO.1.3.C04</x:v>
      </x:c>
      <x:c r="F614" s="37" t="str">
        <x:v>    Validate no data is missing</x:v>
      </x:c>
      <x:c r="G614" s="5"/>
      <x:c r="H614" s="11"/>
      <x:c r="I614" s="11"/>
      <x:c r="J614" s="11"/>
      <x:c r="K614" s="29"/>
      <x:c r="L614" s="2" t="str">
        <x:f>IF(A614,"Complete","Open check")</x:f>
        <x:v>Open check</x:v>
      </x:c>
      <x:c r="M614" s="2" t="str">
        <x:v>Checklist</x:v>
      </x:c>
      <x:c r="N614" s="2" t="str">
        <x:v>DR.BO.1.3.C04.2026.CY4</x:v>
      </x:c>
      <x:c r="O614" s="2" t="n">
        <x:f>R614</x:f>
        <x:v>0</x:v>
      </x:c>
      <x:c r="P614" s="2" t="str">
        <x:v>DR.BO.1.3.2026.CY4</x:v>
      </x:c>
      <x:c r="Q614" s="2" t="n">
        <x:v>0</x:v>
      </x:c>
      <x:c r="R614" s="2" t="n">
        <x:f>IF(A614,1,0)</x:f>
        <x:v>0</x:v>
      </x:c>
      <x:c r="S614" s="2" t="n">
        <x:f>SUBTOTAL(103,N614)</x:f>
        <x:v>1</x:v>
      </x:c>
    </x:row>
    <x:row r="615" ht="31" customHeight="1" outlineLevel="1">
      <x:c r="A615" s="28" t="b">
        <x:v>0</x:v>
      </x:c>
      <x:c r="B615" s="36" t="str">
        <x:v>Cycle 4</x:v>
      </x:c>
      <x:c r="C615" s="36" t="str">
        <x:v>Phase 1</x:v>
      </x:c>
      <x:c r="D615" s="36" t="str">
        <x:v>CSBBO - Banking Ops</x:v>
      </x:c>
      <x:c r="E615" s="69" t="str">
        <x:v>DR.BO.1.3.C05</x:v>
      </x:c>
      <x:c r="F615" s="37" t="str">
        <x:v>    Validate accuracy of data</x:v>
      </x:c>
      <x:c r="G615" s="5"/>
      <x:c r="H615" s="11"/>
      <x:c r="I615" s="11"/>
      <x:c r="J615" s="11"/>
      <x:c r="K615" s="29"/>
      <x:c r="L615" s="2" t="str">
        <x:f>IF(A615,"Complete","Open check")</x:f>
        <x:v>Open check</x:v>
      </x:c>
      <x:c r="M615" s="2" t="str">
        <x:v>Checklist</x:v>
      </x:c>
      <x:c r="N615" s="2" t="str">
        <x:v>DR.BO.1.3.C05.2026.CY4</x:v>
      </x:c>
      <x:c r="O615" s="2" t="n">
        <x:f>R615</x:f>
        <x:v>0</x:v>
      </x:c>
      <x:c r="P615" s="2" t="str">
        <x:v>DR.BO.1.3.2026.CY4</x:v>
      </x:c>
      <x:c r="Q615" s="2" t="n">
        <x:v>0</x:v>
      </x:c>
      <x:c r="R615" s="2" t="n">
        <x:f>IF(A615,1,0)</x:f>
        <x:v>0</x:v>
      </x:c>
      <x:c r="S615" s="2" t="n">
        <x:f>SUBTOTAL(103,N615)</x:f>
        <x:v>1</x:v>
      </x:c>
    </x:row>
    <x:row r="616" ht="31" customHeight="1" outlineLevel="1">
      <x:c r="A616" s="28" t="b">
        <x:v>0</x:v>
      </x:c>
      <x:c r="B616" s="36" t="str">
        <x:v>Cycle 4</x:v>
      </x:c>
      <x:c r="C616" s="36" t="str">
        <x:v>Phase 1</x:v>
      </x:c>
      <x:c r="D616" s="36" t="str">
        <x:v>CSBBO - Banking Ops</x:v>
      </x:c>
      <x:c r="E616" s="69" t="str">
        <x:v>DR.BO.1.3.C06</x:v>
      </x:c>
      <x:c r="F616" s="37" t="str">
        <x:v>    Validate no duplicate data is provided</x:v>
      </x:c>
      <x:c r="G616" s="5"/>
      <x:c r="H616" s="11"/>
      <x:c r="I616" s="11"/>
      <x:c r="J616" s="11"/>
      <x:c r="K616" s="29"/>
      <x:c r="L616" s="2" t="str">
        <x:f>IF(A616,"Complete","Open check")</x:f>
        <x:v>Open check</x:v>
      </x:c>
      <x:c r="M616" s="2" t="str">
        <x:v>Checklist</x:v>
      </x:c>
      <x:c r="N616" s="2" t="str">
        <x:v>DR.BO.1.3.C06.2026.CY4</x:v>
      </x:c>
      <x:c r="O616" s="2" t="n">
        <x:f>R616</x:f>
        <x:v>0</x:v>
      </x:c>
      <x:c r="P616" s="2" t="str">
        <x:v>DR.BO.1.3.2026.CY4</x:v>
      </x:c>
      <x:c r="Q616" s="2" t="n">
        <x:v>0</x:v>
      </x:c>
      <x:c r="R616" s="2" t="n">
        <x:f>IF(A616,1,0)</x:f>
        <x:v>0</x:v>
      </x:c>
      <x:c r="S616" s="2" t="n">
        <x:f>SUBTOTAL(103,N616)</x:f>
        <x:v>1</x:v>
      </x:c>
    </x:row>
    <x:row r="617" ht="31" customHeight="1" outlineLevel="1">
      <x:c r="A617" s="28" t="b">
        <x:v>0</x:v>
      </x:c>
      <x:c r="B617" s="36" t="str">
        <x:v>Cycle 4</x:v>
      </x:c>
      <x:c r="C617" s="36" t="str">
        <x:v>Phase 1</x:v>
      </x:c>
      <x:c r="D617" s="36" t="str">
        <x:v>CSBBO - Banking Ops</x:v>
      </x:c>
      <x:c r="E617" s="69" t="str">
        <x:v>DR.BO.1.3.C07</x:v>
      </x:c>
      <x:c r="F617" s="37" t="str">
        <x:v>    Document any data exclusions along with justification (as needed)</x:v>
      </x:c>
      <x:c r="G617" s="5"/>
      <x:c r="H617" s="11"/>
      <x:c r="I617" s="11"/>
      <x:c r="J617" s="11"/>
      <x:c r="K617" s="29"/>
      <x:c r="L617" s="2" t="str">
        <x:f>IF(A617,"Complete","Open check")</x:f>
        <x:v>Open check</x:v>
      </x:c>
      <x:c r="M617" s="2" t="str">
        <x:v>Checklist</x:v>
      </x:c>
      <x:c r="N617" s="2" t="str">
        <x:v>DR.BO.1.3.C07.2026.CY4</x:v>
      </x:c>
      <x:c r="O617" s="2" t="n">
        <x:f>R617</x:f>
        <x:v>0</x:v>
      </x:c>
      <x:c r="P617" s="2" t="str">
        <x:v>DR.BO.1.3.2026.CY4</x:v>
      </x:c>
      <x:c r="Q617" s="2" t="n">
        <x:v>0</x:v>
      </x:c>
      <x:c r="R617" s="2" t="n">
        <x:f>IF(A617,1,0)</x:f>
        <x:v>0</x:v>
      </x:c>
      <x:c r="S617" s="2" t="n">
        <x:f>SUBTOTAL(103,N617)</x:f>
        <x:v>1</x:v>
      </x:c>
    </x:row>
    <x:row r="618" ht="31" customHeight="1" outlineLevel="1">
      <x:c r="A618" s="28" t="b">
        <x:v>0</x:v>
      </x:c>
      <x:c r="B618" s="36" t="str">
        <x:v>Cycle 4</x:v>
      </x:c>
      <x:c r="C618" s="36" t="str">
        <x:v>Phase 1</x:v>
      </x:c>
      <x:c r="D618" s="36" t="str">
        <x:v>CSBBO - Banking Ops</x:v>
      </x:c>
      <x:c r="E618" s="69" t="str">
        <x:v>DR.BO.1.3.C08</x:v>
      </x:c>
      <x:c r="F618" s="37" t="str">
        <x:v>    Document any assumptions made with the data (as needed)</x:v>
      </x:c>
      <x:c r="G618" s="5"/>
      <x:c r="H618" s="11"/>
      <x:c r="I618" s="11"/>
      <x:c r="J618" s="11"/>
      <x:c r="K618" s="29"/>
      <x:c r="L618" s="2" t="str">
        <x:f>IF(A618,"Complete","Open check")</x:f>
        <x:v>Open check</x:v>
      </x:c>
      <x:c r="M618" s="2" t="str">
        <x:v>Checklist</x:v>
      </x:c>
      <x:c r="N618" s="2" t="str">
        <x:v>DR.BO.1.3.C08.2026.CY4</x:v>
      </x:c>
      <x:c r="O618" s="2" t="n">
        <x:f>R618</x:f>
        <x:v>0</x:v>
      </x:c>
      <x:c r="P618" s="2" t="str">
        <x:v>DR.BO.1.3.2026.CY4</x:v>
      </x:c>
      <x:c r="Q618" s="2" t="n">
        <x:v>0</x:v>
      </x:c>
      <x:c r="R618" s="2" t="n">
        <x:f>IF(A618,1,0)</x:f>
        <x:v>0</x:v>
      </x:c>
      <x:c r="S618" s="2" t="n">
        <x:f>SUBTOTAL(103,N618)</x:f>
        <x:v>1</x:v>
      </x:c>
    </x:row>
    <x:row r="619" ht="31" customHeight="1" outlineLevel="1">
      <x:c r="A619" s="28" t="b">
        <x:v>0</x:v>
      </x:c>
      <x:c r="B619" s="36" t="str">
        <x:v>Cycle 4</x:v>
      </x:c>
      <x:c r="C619" s="36" t="str">
        <x:v>Phase 1</x:v>
      </x:c>
      <x:c r="D619" s="36" t="str">
        <x:v>CSBBO - Banking Ops</x:v>
      </x:c>
      <x:c r="E619" s="69" t="str">
        <x:v>DR.BO.1.3.C09</x:v>
      </x:c>
      <x:c r="F619" s="37" t="str">
        <x:v>    Document any data limitations or constraints clearly (as needed)</x:v>
      </x:c>
      <x:c r="G619" s="5"/>
      <x:c r="H619" s="11"/>
      <x:c r="I619" s="11"/>
      <x:c r="J619" s="11"/>
      <x:c r="K619" s="29"/>
      <x:c r="L619" s="2" t="str">
        <x:f>IF(A619,"Complete","Open check")</x:f>
        <x:v>Open check</x:v>
      </x:c>
      <x:c r="M619" s="2" t="str">
        <x:v>Checklist</x:v>
      </x:c>
      <x:c r="N619" s="2" t="str">
        <x:v>DR.BO.1.3.C09.2026.CY4</x:v>
      </x:c>
      <x:c r="O619" s="2" t="n">
        <x:f>R619</x:f>
        <x:v>0</x:v>
      </x:c>
      <x:c r="P619" s="2" t="str">
        <x:v>DR.BO.1.3.2026.CY4</x:v>
      </x:c>
      <x:c r="Q619" s="2" t="n">
        <x:v>0</x:v>
      </x:c>
      <x:c r="R619" s="2" t="n">
        <x:f>IF(A619,1,0)</x:f>
        <x:v>0</x:v>
      </x:c>
      <x:c r="S619" s="2" t="n">
        <x:f>SUBTOTAL(103,N619)</x:f>
        <x:v>1</x:v>
      </x:c>
    </x:row>
    <x:row r="620" ht="31" customHeight="1" outlineLevel="1">
      <x:c r="A620" s="28" t="b">
        <x:v>0</x:v>
      </x:c>
      <x:c r="B620" s="36" t="str">
        <x:v>Cycle 4</x:v>
      </x:c>
      <x:c r="C620" s="36" t="str">
        <x:v>Phase 1</x:v>
      </x:c>
      <x:c r="D620" s="36" t="str">
        <x:v>CSBBO - Banking Ops</x:v>
      </x:c>
      <x:c r="E620" s="69" t="str">
        <x:v>DR.BO.1.3.C10</x:v>
      </x:c>
      <x:c r="F620" s="37" t="str">
        <x:v>    Document data dictionary or field definitions for columns/rows</x:v>
      </x:c>
      <x:c r="G620" s="5"/>
      <x:c r="H620" s="11"/>
      <x:c r="I620" s="11"/>
      <x:c r="J620" s="11"/>
      <x:c r="K620" s="29"/>
      <x:c r="L620" s="2" t="str">
        <x:f>IF(A620,"Complete","Open check")</x:f>
        <x:v>Open check</x:v>
      </x:c>
      <x:c r="M620" s="2" t="str">
        <x:v>Checklist</x:v>
      </x:c>
      <x:c r="N620" s="2" t="str">
        <x:v>DR.BO.1.3.C10.2026.CY4</x:v>
      </x:c>
      <x:c r="O620" s="2" t="n">
        <x:f>R620</x:f>
        <x:v>0</x:v>
      </x:c>
      <x:c r="P620" s="2" t="str">
        <x:v>DR.BO.1.3.2026.CY4</x:v>
      </x:c>
      <x:c r="Q620" s="2" t="n">
        <x:v>0</x:v>
      </x:c>
      <x:c r="R620" s="2" t="n">
        <x:f>IF(A620,1,0)</x:f>
        <x:v>0</x:v>
      </x:c>
      <x:c r="S620" s="2" t="n">
        <x:f>SUBTOTAL(103,N620)</x:f>
        <x:v>1</x:v>
      </x:c>
    </x:row>
    <x:row r="621" ht="31" customHeight="1" outlineLevel="1">
      <x:c r="A621" s="28" t="b">
        <x:v>0</x:v>
      </x:c>
      <x:c r="B621" s="36" t="str">
        <x:v>Cycle 4</x:v>
      </x:c>
      <x:c r="C621" s="36" t="str">
        <x:v>Phase 1</x:v>
      </x:c>
      <x:c r="D621" s="36" t="str">
        <x:v>CSBBO - Banking Ops</x:v>
      </x:c>
      <x:c r="E621" s="69" t="str">
        <x:v>DR.BO.1.3.C11</x:v>
      </x:c>
      <x:c r="F621" s="37" t="str">
        <x:v>    Document emerging trends, patterns, or concentrations along with supporting data</x:v>
      </x:c>
      <x:c r="G621" s="5"/>
      <x:c r="H621" s="11"/>
      <x:c r="I621" s="11"/>
      <x:c r="J621" s="11"/>
      <x:c r="K621" s="29"/>
      <x:c r="L621" s="2" t="str">
        <x:f>IF(A621,"Complete","Open check")</x:f>
        <x:v>Open check</x:v>
      </x:c>
      <x:c r="M621" s="2" t="str">
        <x:v>Checklist</x:v>
      </x:c>
      <x:c r="N621" s="2" t="str">
        <x:v>DR.BO.1.3.C11.2026.CY4</x:v>
      </x:c>
      <x:c r="O621" s="2" t="n">
        <x:f>R621</x:f>
        <x:v>0</x:v>
      </x:c>
      <x:c r="P621" s="2" t="str">
        <x:v>DR.BO.1.3.2026.CY4</x:v>
      </x:c>
      <x:c r="Q621" s="2" t="n">
        <x:v>0</x:v>
      </x:c>
      <x:c r="R621" s="2" t="n">
        <x:f>IF(A621,1,0)</x:f>
        <x:v>0</x:v>
      </x:c>
      <x:c r="S621" s="2" t="n">
        <x:f>SUBTOTAL(103,N621)</x:f>
        <x:v>1</x:v>
      </x:c>
    </x:row>
    <x:row r="622" ht="31" customHeight="1" outlineLevel="1">
      <x:c r="A622" s="28" t="b">
        <x:v>0</x:v>
      </x:c>
      <x:c r="B622" s="36" t="str">
        <x:v>Cycle 4</x:v>
      </x:c>
      <x:c r="C622" s="36" t="str">
        <x:v>Phase 1</x:v>
      </x:c>
      <x:c r="D622" s="36" t="str">
        <x:v>CSBBO - Banking Ops</x:v>
      </x:c>
      <x:c r="E622" s="69" t="str">
        <x:v>DR.BO.1.3.C12</x:v>
      </x:c>
      <x:c r="F622" s="37" t="str">
        <x:v>    Document any severe spikes in volume along with context (as needed)</x:v>
      </x:c>
      <x:c r="G622" s="5"/>
      <x:c r="H622" s="11"/>
      <x:c r="I622" s="11"/>
      <x:c r="J622" s="11"/>
      <x:c r="K622" s="29"/>
      <x:c r="L622" s="2" t="str">
        <x:f>IF(A622,"Complete","Open check")</x:f>
        <x:v>Open check</x:v>
      </x:c>
      <x:c r="M622" s="2" t="str">
        <x:v>Checklist</x:v>
      </x:c>
      <x:c r="N622" s="2" t="str">
        <x:v>DR.BO.1.3.C12.2026.CY4</x:v>
      </x:c>
      <x:c r="O622" s="2" t="n">
        <x:f>R622</x:f>
        <x:v>0</x:v>
      </x:c>
      <x:c r="P622" s="2" t="str">
        <x:v>DR.BO.1.3.2026.CY4</x:v>
      </x:c>
      <x:c r="Q622" s="2" t="n">
        <x:v>0</x:v>
      </x:c>
      <x:c r="R622" s="2" t="n">
        <x:f>IF(A622,1,0)</x:f>
        <x:v>0</x:v>
      </x:c>
      <x:c r="S622" s="2" t="n">
        <x:f>SUBTOTAL(103,N622)</x:f>
        <x:v>1</x:v>
      </x:c>
    </x:row>
    <x:row r="623" ht="31" customHeight="1" outlineLevel="1">
      <x:c r="A623" s="28" t="b">
        <x:v>0</x:v>
      </x:c>
      <x:c r="B623" s="36" t="str">
        <x:v>Cycle 4</x:v>
      </x:c>
      <x:c r="C623" s="36" t="str">
        <x:v>Phase 1</x:v>
      </x:c>
      <x:c r="D623" s="36" t="str">
        <x:v>CSBBO - Banking Ops</x:v>
      </x:c>
      <x:c r="E623" s="69" t="str">
        <x:v>DR.BO.1.3.C13</x:v>
      </x:c>
      <x:c r="F623" s="37" t="str">
        <x:v>    Document clear summary explaining how the data connects to the potential topic</x:v>
      </x:c>
      <x:c r="G623" s="5"/>
      <x:c r="H623" s="11"/>
      <x:c r="I623" s="11"/>
      <x:c r="J623" s="11"/>
      <x:c r="K623" s="29"/>
      <x:c r="L623" s="2" t="str">
        <x:f>IF(A623,"Complete","Open check")</x:f>
        <x:v>Open check</x:v>
      </x:c>
      <x:c r="M623" s="2" t="str">
        <x:v>Checklist</x:v>
      </x:c>
      <x:c r="N623" s="2" t="str">
        <x:v>DR.BO.1.3.C13.2026.CY4</x:v>
      </x:c>
      <x:c r="O623" s="2" t="n">
        <x:f>R623</x:f>
        <x:v>0</x:v>
      </x:c>
      <x:c r="P623" s="2" t="str">
        <x:v>DR.BO.1.3.2026.CY4</x:v>
      </x:c>
      <x:c r="Q623" s="2" t="n">
        <x:v>0</x:v>
      </x:c>
      <x:c r="R623" s="2" t="n">
        <x:f>IF(A623,1,0)</x:f>
        <x:v>0</x:v>
      </x:c>
      <x:c r="S623" s="2" t="n">
        <x:f>SUBTOTAL(103,N623)</x:f>
        <x:v>1</x:v>
      </x:c>
    </x:row>
    <x:row r="624" ht="42" customHeight="1">
      <x:c r="A624" s="28" t="b">
        <x:v>0</x:v>
      </x:c>
      <x:c r="B624" s="2" t="str">
        <x:v>Cycle 4</x:v>
      </x:c>
      <x:c r="C624" s="2" t="str">
        <x:v>Phase 2</x:v>
      </x:c>
      <x:c r="D624" s="2" t="str">
        <x:v>CSBBO - Banking Ops</x:v>
      </x:c>
      <x:c r="E624" s="56" t="str">
        <x:v>DR.BO.2.1</x:v>
      </x:c>
      <x:c r="F624" s="14" t="str">
        <x:v>Ensure data is clean, structured, and usable without manipulation needed</x:v>
      </x:c>
      <x:c r="G624" s="5"/>
      <x:c r="H624" s="11"/>
      <x:c r="I624" s="11" t="n">
        <x:f>'Cycles &amp; Guide'!$D$13</x:f>
        <x:v>46387</x:v>
      </x:c>
      <x:c r="J624" s="11"/>
      <x:c r="K624" s="29"/>
      <x:c r="L624" s="2" t="str">
        <x:f>IF(O624=1,"Complete",IF(A624,"Checklist open",IF(H624&lt;&gt;"","In progress","Not started")))</x:f>
        <x:v>Not started</x:v>
      </x:c>
      <x:c r="M624" s="2" t="str">
        <x:v>Task</x:v>
      </x:c>
      <x:c r="N624" s="2" t="str">
        <x:v>DR.BO.2.1.2026.CY4</x:v>
      </x:c>
      <x:c r="O624" s="2" t="n">
        <x:f>R624</x:f>
        <x:v>0</x:v>
      </x:c>
      <x:c r="P624" s="2"/>
      <x:c r="Q624" s="2" t="n">
        <x:v>1</x:v>
      </x:c>
      <x:c r="R624" s="2" t="n">
        <x:f>IF(A624,1,0)</x:f>
        <x:v>0</x:v>
      </x:c>
      <x:c r="S624" s="2" t="n">
        <x:f>SUBTOTAL(103,N624)</x:f>
        <x:v>1</x:v>
      </x:c>
    </x:row>
    <x:row r="625" ht="42" customHeight="1">
      <x:c r="A625" s="28" t="b">
        <x:v>0</x:v>
      </x:c>
      <x:c r="B625" s="2" t="str">
        <x:v>Cycle 4</x:v>
      </x:c>
      <x:c r="C625" s="2" t="str">
        <x:v>Phase 2</x:v>
      </x:c>
      <x:c r="D625" s="2" t="str">
        <x:v>CSBBO - Banking Ops</x:v>
      </x:c>
      <x:c r="E625" s="56" t="str">
        <x:v>DR.BO.2.2</x:v>
      </x:c>
      <x:c r="F625" s="14" t="str">
        <x:v>Clearly document rationale for each topic recommendation within the SharePoint list</x:v>
      </x:c>
      <x:c r="G625" s="5"/>
      <x:c r="H625" s="11"/>
      <x:c r="I625" s="11" t="n">
        <x:f>'Cycles &amp; Guide'!$D$13</x:f>
        <x:v>46387</x:v>
      </x:c>
      <x:c r="J625" s="11"/>
      <x:c r="K625" s="29"/>
      <x:c r="L625" s="2" t="str">
        <x:f>IF(O625=1,"Complete",IF(A625,"Checklist open",IF(H625&lt;&gt;"","In progress","Not started")))</x:f>
        <x:v>Not started</x:v>
      </x:c>
      <x:c r="M625" s="2" t="str">
        <x:v>Task</x:v>
      </x:c>
      <x:c r="N625" s="2" t="str">
        <x:v>DR.BO.2.2.2026.CY4</x:v>
      </x:c>
      <x:c r="O625" s="2" t="n">
        <x:f>R625</x:f>
        <x:v>0</x:v>
      </x:c>
      <x:c r="P625" s="2"/>
      <x:c r="Q625" s="2" t="n">
        <x:v>1</x:v>
      </x:c>
      <x:c r="R625" s="2" t="n">
        <x:f>IF(A625,1,0)</x:f>
        <x:v>0</x:v>
      </x:c>
      <x:c r="S625" s="2" t="n">
        <x:f>SUBTOTAL(103,N625)</x:f>
        <x:v>1</x:v>
      </x:c>
    </x:row>
    <x:row r="626" ht="42" customHeight="1">
      <x:c r="A626" s="28" t="b">
        <x:v>0</x:v>
      </x:c>
      <x:c r="B626" s="2" t="str">
        <x:v>Cycle 4</x:v>
      </x:c>
      <x:c r="C626" s="2" t="str">
        <x:v>Phase 2</x:v>
      </x:c>
      <x:c r="D626" s="2" t="str">
        <x:v>CSBBO - Banking Ops</x:v>
      </x:c>
      <x:c r="E626" s="56" t="str">
        <x:v>DR.BO.2.3</x:v>
      </x:c>
      <x:c r="F626" s="14" t="str">
        <x:v>Verify topic is eligible for RCA and does not conflict with Attorney Client Privilege</x:v>
      </x:c>
      <x:c r="G626" s="5"/>
      <x:c r="H626" s="11"/>
      <x:c r="I626" s="11" t="n">
        <x:f>'Cycles &amp; Guide'!$D$13</x:f>
        <x:v>46387</x:v>
      </x:c>
      <x:c r="J626" s="11"/>
      <x:c r="K626" s="29"/>
      <x:c r="L626" s="2" t="str">
        <x:f>IF(O626=1,"Complete",IF(A626,"Checklist open",IF(H626&lt;&gt;"","In progress","Not started")))</x:f>
        <x:v>Not started</x:v>
      </x:c>
      <x:c r="M626" s="2" t="str">
        <x:v>Task</x:v>
      </x:c>
      <x:c r="N626" s="2" t="str">
        <x:v>DR.BO.2.3.2026.CY4</x:v>
      </x:c>
      <x:c r="O626" s="2" t="n">
        <x:f>R626</x:f>
        <x:v>0</x:v>
      </x:c>
      <x:c r="P626" s="2"/>
      <x:c r="Q626" s="2" t="n">
        <x:v>1</x:v>
      </x:c>
      <x:c r="R626" s="2" t="n">
        <x:f>IF(A626,1,0)</x:f>
        <x:v>0</x:v>
      </x:c>
      <x:c r="S626" s="2" t="n">
        <x:f>SUBTOTAL(103,N626)</x:f>
        <x:v>1</x:v>
      </x:c>
    </x:row>
    <x:row r="627" ht="42" customHeight="1">
      <x:c r="A627" s="28" t="b">
        <x:v>0</x:v>
      </x:c>
      <x:c r="B627" s="2" t="str">
        <x:v>Cycle 4</x:v>
      </x:c>
      <x:c r="C627" s="2" t="str">
        <x:v>Phase 2</x:v>
      </x:c>
      <x:c r="D627" s="2" t="str">
        <x:v>CSBBO - Banking Ops</x:v>
      </x:c>
      <x:c r="E627" s="56" t="str">
        <x:v>DR.BO.2.4</x:v>
      </x:c>
      <x:c r="F627" s="14" t="str">
        <x:v>Ensure data is free of errors and anomalies prior to hand-off to Research</x:v>
      </x:c>
      <x:c r="G627" s="5"/>
      <x:c r="H627" s="11"/>
      <x:c r="I627" s="11" t="n">
        <x:f>'Cycles &amp; Guide'!$D$13</x:f>
        <x:v>46387</x:v>
      </x:c>
      <x:c r="J627" s="11"/>
      <x:c r="K627" s="29"/>
      <x:c r="L627" s="2" t="str">
        <x:f>IF(O627=1,"Complete",IF(A627,"Checklist open",IF(H627&lt;&gt;"","In progress","Not started")))</x:f>
        <x:v>Not started</x:v>
      </x:c>
      <x:c r="M627" s="2" t="str">
        <x:v>Task</x:v>
      </x:c>
      <x:c r="N627" s="2" t="str">
        <x:v>DR.BO.2.4.2026.CY4</x:v>
      </x:c>
      <x:c r="O627" s="2" t="n">
        <x:f>R627</x:f>
        <x:v>0</x:v>
      </x:c>
      <x:c r="P627" s="2"/>
      <x:c r="Q627" s="2" t="n">
        <x:v>1</x:v>
      </x:c>
      <x:c r="R627" s="2" t="n">
        <x:f>IF(A627,1,0)</x:f>
        <x:v>0</x:v>
      </x:c>
      <x:c r="S627" s="2" t="n">
        <x:f>SUBTOTAL(103,N627)</x:f>
        <x:v>1</x:v>
      </x:c>
    </x:row>
    <x:row r="628" ht="42" customHeight="1">
      <x:c r="A628" s="28" t="b">
        <x:v>0</x:v>
      </x:c>
      <x:c r="B628" s="2" t="str">
        <x:v>Cycle 4</x:v>
      </x:c>
      <x:c r="C628" s="2" t="str">
        <x:v>Phase 2</x:v>
      </x:c>
      <x:c r="D628" s="2" t="str">
        <x:v>CSBBO - Banking Ops</x:v>
      </x:c>
      <x:c r="E628" s="56" t="str">
        <x:v>DR.BO.2.5</x:v>
      </x:c>
      <x:c r="F628" s="14" t="str">
        <x:v>Ensure topic is not a duplicate from a previous Cycle</x:v>
      </x:c>
      <x:c r="G628" s="5"/>
      <x:c r="H628" s="11"/>
      <x:c r="I628" s="11" t="n">
        <x:f>'Cycles &amp; Guide'!$D$13</x:f>
        <x:v>46387</x:v>
      </x:c>
      <x:c r="J628" s="11"/>
      <x:c r="K628" s="29"/>
      <x:c r="L628" s="2" t="str">
        <x:f>IF(O628=1,"Complete",IF(A628,"Checklist open",IF(H628&lt;&gt;"","In progress","Not started")))</x:f>
        <x:v>Not started</x:v>
      </x:c>
      <x:c r="M628" s="2" t="str">
        <x:v>Task</x:v>
      </x:c>
      <x:c r="N628" s="2" t="str">
        <x:v>DR.BO.2.5.2026.CY4</x:v>
      </x:c>
      <x:c r="O628" s="2" t="n">
        <x:f>R628</x:f>
        <x:v>0</x:v>
      </x:c>
      <x:c r="P628" s="2"/>
      <x:c r="Q628" s="2" t="n">
        <x:v>1</x:v>
      </x:c>
      <x:c r="R628" s="2" t="n">
        <x:f>IF(A628,1,0)</x:f>
        <x:v>0</x:v>
      </x:c>
      <x:c r="S628" s="2" t="n">
        <x:f>SUBTOTAL(103,N628)</x:f>
        <x:v>1</x:v>
      </x:c>
    </x:row>
    <x:row r="629" ht="42" customHeight="1">
      <x:c r="A629" s="28" t="b">
        <x:v>0</x:v>
      </x:c>
      <x:c r="B629" s="2" t="str">
        <x:v>Cycle 4</x:v>
      </x:c>
      <x:c r="C629" s="2" t="str">
        <x:v>Phase 2</x:v>
      </x:c>
      <x:c r="D629" s="2" t="str">
        <x:v>CSBBO - Banking Ops</x:v>
      </x:c>
      <x:c r="E629" s="56" t="str">
        <x:v>DR.BO.2.6</x:v>
      </x:c>
      <x:c r="F629" s="14" t="str">
        <x:v>Document clear distinctions between facts, assumptions, and hypotheses within the data package</x:v>
      </x:c>
      <x:c r="G629" s="5"/>
      <x:c r="H629" s="11"/>
      <x:c r="I629" s="11" t="n">
        <x:f>'Cycles &amp; Guide'!$D$13</x:f>
        <x:v>46387</x:v>
      </x:c>
      <x:c r="J629" s="11"/>
      <x:c r="K629" s="29"/>
      <x:c r="L629" s="2" t="str">
        <x:f>IF(O629=1,"Complete",IF(A629,"Checklist open",IF(H629&lt;&gt;"","In progress","Not started")))</x:f>
        <x:v>Not started</x:v>
      </x:c>
      <x:c r="M629" s="2" t="str">
        <x:v>Task</x:v>
      </x:c>
      <x:c r="N629" s="2" t="str">
        <x:v>DR.BO.2.6.2026.CY4</x:v>
      </x:c>
      <x:c r="O629" s="2" t="n">
        <x:f>R629</x:f>
        <x:v>0</x:v>
      </x:c>
      <x:c r="P629" s="2"/>
      <x:c r="Q629" s="2" t="n">
        <x:v>1</x:v>
      </x:c>
      <x:c r="R629" s="2" t="n">
        <x:f>IF(A629,1,0)</x:f>
        <x:v>0</x:v>
      </x:c>
      <x:c r="S629" s="2" t="n">
        <x:f>SUBTOTAL(103,N629)</x:f>
        <x:v>1</x:v>
      </x:c>
    </x:row>
    <x:row r="630" ht="42" customHeight="1">
      <x:c r="A630" s="28" t="b">
        <x:v>0</x:v>
      </x:c>
      <x:c r="B630" s="2" t="str">
        <x:v>Cycle 4</x:v>
      </x:c>
      <x:c r="C630" s="2" t="str">
        <x:v>Phase 3</x:v>
      </x:c>
      <x:c r="D630" s="2" t="str">
        <x:v>CSBBO - Banking Ops</x:v>
      </x:c>
      <x:c r="E630" s="56" t="str">
        <x:v>DR.BO.3.1</x:v>
      </x:c>
      <x:c r="F630" s="14" t="str">
        <x:v>Clearly document rationale for each topic recommendation within the SharePoint list item</x:v>
      </x:c>
      <x:c r="G630" s="5"/>
      <x:c r="H630" s="11"/>
      <x:c r="I630" s="11" t="n">
        <x:f>'Cycles &amp; Guide'!$D$13</x:f>
        <x:v>46387</x:v>
      </x:c>
      <x:c r="J630" s="11"/>
      <x:c r="K630" s="29"/>
      <x:c r="L630" s="2" t="str">
        <x:f>IF(O630=1,"Complete",IF(A630,"Checklist open",IF(H630&lt;&gt;"","In progress","Not started")))</x:f>
        <x:v>Not started</x:v>
      </x:c>
      <x:c r="M630" s="2" t="str">
        <x:v>Task</x:v>
      </x:c>
      <x:c r="N630" s="2" t="str">
        <x:v>DR.BO.3.1.2026.CY4</x:v>
      </x:c>
      <x:c r="O630" s="2" t="n">
        <x:f>R630</x:f>
        <x:v>0</x:v>
      </x:c>
      <x:c r="P630" s="2"/>
      <x:c r="Q630" s="2" t="n">
        <x:v>1</x:v>
      </x:c>
      <x:c r="R630" s="2" t="n">
        <x:f>IF(A630,1,0)</x:f>
        <x:v>0</x:v>
      </x:c>
      <x:c r="S630" s="2" t="n">
        <x:f>SUBTOTAL(103,N630)</x:f>
        <x:v>1</x:v>
      </x:c>
    </x:row>
    <x:row r="631" ht="42" customHeight="1">
      <x:c r="A631" s="28" t="b">
        <x:v>0</x:v>
      </x:c>
      <x:c r="B631" s="2" t="str">
        <x:v>Cycle 4</x:v>
      </x:c>
      <x:c r="C631" s="2" t="str">
        <x:v>Phase 3</x:v>
      </x:c>
      <x:c r="D631" s="2" t="str">
        <x:v>CSBBO - Banking Ops</x:v>
      </x:c>
      <x:c r="E631" s="56" t="str">
        <x:v>DR.BO.3.2</x:v>
      </x:c>
      <x:c r="F631" s="14" t="str">
        <x:v>Attach the data package for each topic recommendation within the SharePoint list item</x:v>
      </x:c>
      <x:c r="G631" s="5"/>
      <x:c r="H631" s="11"/>
      <x:c r="I631" s="11" t="n">
        <x:f>'Cycles &amp; Guide'!$D$13</x:f>
        <x:v>46387</x:v>
      </x:c>
      <x:c r="J631" s="11"/>
      <x:c r="K631" s="29"/>
      <x:c r="L631" s="2" t="str">
        <x:f>IF(O631=1,"Complete",IF(A631,"Checklist open",IF(H631&lt;&gt;"","In progress","Not started")))</x:f>
        <x:v>Not started</x:v>
      </x:c>
      <x:c r="M631" s="2" t="str">
        <x:v>Task</x:v>
      </x:c>
      <x:c r="N631" s="2" t="str">
        <x:v>DR.BO.3.2.2026.CY4</x:v>
      </x:c>
      <x:c r="O631" s="2" t="n">
        <x:f>R631</x:f>
        <x:v>0</x:v>
      </x:c>
      <x:c r="P631" s="2"/>
      <x:c r="Q631" s="2" t="n">
        <x:v>1</x:v>
      </x:c>
      <x:c r="R631" s="2" t="n">
        <x:f>IF(A631,1,0)</x:f>
        <x:v>0</x:v>
      </x:c>
      <x:c r="S631" s="2" t="n">
        <x:f>SUBTOTAL(103,N631)</x:f>
        <x:v>1</x:v>
      </x:c>
    </x:row>
    <x:row r="632" ht="42" customHeight="1">
      <x:c r="A632" s="28" t="b">
        <x:v>0</x:v>
      </x:c>
      <x:c r="B632" s="2" t="str">
        <x:v>Cycle 4</x:v>
      </x:c>
      <x:c r="C632" s="2" t="str">
        <x:v>Phase 3</x:v>
      </x:c>
      <x:c r="D632" s="2" t="str">
        <x:v>CSBBO - Banking Ops</x:v>
      </x:c>
      <x:c r="E632" s="56" t="str">
        <x:v>DR.BO.3.3</x:v>
      </x:c>
      <x:c r="F632" s="14" t="str">
        <x:v>Confirm data privileges have been granted, ensuring each pillar can access</x:v>
      </x:c>
      <x:c r="G632" s="5"/>
      <x:c r="H632" s="11"/>
      <x:c r="I632" s="11" t="n">
        <x:f>'Cycles &amp; Guide'!$D$13</x:f>
        <x:v>46387</x:v>
      </x:c>
      <x:c r="J632" s="11"/>
      <x:c r="K632" s="29"/>
      <x:c r="L632" s="2" t="str">
        <x:f>IF(O632=1,"Complete",IF(A632,"Checklist open",IF(H632&lt;&gt;"","In progress","Not started")))</x:f>
        <x:v>Not started</x:v>
      </x:c>
      <x:c r="M632" s="2" t="str">
        <x:v>Task</x:v>
      </x:c>
      <x:c r="N632" s="2" t="str">
        <x:v>DR.BO.3.3.2026.CY4</x:v>
      </x:c>
      <x:c r="O632" s="2" t="n">
        <x:f>R632</x:f>
        <x:v>0</x:v>
      </x:c>
      <x:c r="P632" s="2"/>
      <x:c r="Q632" s="2" t="n">
        <x:v>1</x:v>
      </x:c>
      <x:c r="R632" s="2" t="n">
        <x:f>IF(A632,1,0)</x:f>
        <x:v>0</x:v>
      </x:c>
      <x:c r="S632" s="2" t="n">
        <x:f>SUBTOTAL(103,N632)</x:f>
        <x:v>1</x:v>
      </x:c>
    </x:row>
    <x:row r="633" ht="42" customHeight="1">
      <x:c r="A633" s="28" t="b">
        <x:v>0</x:v>
      </x:c>
      <x:c r="B633" s="2" t="str">
        <x:v>Cycle 4</x:v>
      </x:c>
      <x:c r="C633" s="2" t="str">
        <x:v>Phase 3</x:v>
      </x:c>
      <x:c r="D633" s="2" t="str">
        <x:v>CSBBO - Banking Ops</x:v>
      </x:c>
      <x:c r="E633" s="56" t="str">
        <x:v>DR.BO.3.4</x:v>
      </x:c>
      <x:c r="F633" s="14" t="str">
        <x:v>Ensure Power Automate notifications were correctly triggered within Microsoft Teams</x:v>
      </x:c>
      <x:c r="G633" s="5"/>
      <x:c r="H633" s="11"/>
      <x:c r="I633" s="11" t="n">
        <x:f>'Cycles &amp; Guide'!$D$13</x:f>
        <x:v>46387</x:v>
      </x:c>
      <x:c r="J633" s="11"/>
      <x:c r="K633" s="29"/>
      <x:c r="L633" s="2" t="str">
        <x:f>IF(O633=1,"Complete",IF(A633,"Checklist open",IF(H633&lt;&gt;"","In progress","Not started")))</x:f>
        <x:v>Not started</x:v>
      </x:c>
      <x:c r="M633" s="2" t="str">
        <x:v>Task</x:v>
      </x:c>
      <x:c r="N633" s="2" t="str">
        <x:v>DR.BO.3.4.2026.CY4</x:v>
      </x:c>
      <x:c r="O633" s="2" t="n">
        <x:f>R633</x:f>
        <x:v>0</x:v>
      </x:c>
      <x:c r="P633" s="2"/>
      <x:c r="Q633" s="2" t="n">
        <x:v>1</x:v>
      </x:c>
      <x:c r="R633" s="2" t="n">
        <x:f>IF(A633,1,0)</x:f>
        <x:v>0</x:v>
      </x:c>
      <x:c r="S633" s="2" t="n">
        <x:f>SUBTOTAL(103,N633)</x:f>
        <x:v>1</x:v>
      </x:c>
    </x:row>
    <x:row r="634" ht="42" customHeight="1">
      <x:c r="A634" s="28" t="b">
        <x:v>0</x:v>
      </x:c>
      <x:c r="B634" s="2" t="str">
        <x:v>Cycle 4</x:v>
      </x:c>
      <x:c r="C634" s="2" t="str">
        <x:v>Phase 1</x:v>
      </x:c>
      <x:c r="D634" s="2" t="str">
        <x:v>CSBBO - Customer Service</x:v>
      </x:c>
      <x:c r="E634" s="56" t="str">
        <x:v>DR.CS.1.1</x:v>
      </x:c>
      <x:c r="F634" s="14" t="str">
        <x:v>Review data sources 3 weeks prior to Cycle start (Complaints, Gen AI, Loudspeaker, NPS, etc.)</x:v>
      </x:c>
      <x:c r="G634" s="5"/>
      <x:c r="H634" s="11"/>
      <x:c r="I634" s="11" t="n">
        <x:f>'Cycles &amp; Guide'!$C$13-21</x:f>
        <x:v>46275</x:v>
      </x:c>
      <x:c r="J634" s="11"/>
      <x:c r="K634" s="29"/>
      <x:c r="L634" s="2" t="str">
        <x:f>IF(O634=1,"Complete",IF(A634,"Checklist open",IF(H634&lt;&gt;"","In progress","Not started")))</x:f>
        <x:v>Not started</x:v>
      </x:c>
      <x:c r="M634" s="2" t="str">
        <x:v>Task</x:v>
      </x:c>
      <x:c r="N634" s="2" t="str">
        <x:v>DR.CS.1.1.2026.CY4</x:v>
      </x:c>
      <x:c r="O634" s="2" t="n">
        <x:f>R634</x:f>
        <x:v>0</x:v>
      </x:c>
      <x:c r="P634" s="2"/>
      <x:c r="Q634" s="2" t="n">
        <x:v>1</x:v>
      </x:c>
      <x:c r="R634" s="2" t="n">
        <x:f>IF(A634,1,0)</x:f>
        <x:v>0</x:v>
      </x:c>
      <x:c r="S634" s="2" t="n">
        <x:f>SUBTOTAL(103,N634)</x:f>
        <x:v>1</x:v>
      </x:c>
    </x:row>
    <x:row r="635" ht="42" customHeight="1">
      <x:c r="A635" s="28" t="b">
        <x:v>0</x:v>
      </x:c>
      <x:c r="B635" s="2" t="str">
        <x:v>Cycle 4</x:v>
      </x:c>
      <x:c r="C635" s="2" t="str">
        <x:v>Phase 1</x:v>
      </x:c>
      <x:c r="D635" s="2" t="str">
        <x:v>CSBBO - Customer Service</x:v>
      </x:c>
      <x:c r="E635" s="56" t="str">
        <x:v>DR.CS.1.2</x:v>
      </x:c>
      <x:c r="F635" s="14" t="str">
        <x:v>Identify two potential topics for the upcoming Cycle</x:v>
      </x:c>
      <x:c r="G635" s="5"/>
      <x:c r="H635" s="11"/>
      <x:c r="I635" s="11" t="n">
        <x:f>'Cycles &amp; Guide'!$D$13</x:f>
        <x:v>46387</x:v>
      </x:c>
      <x:c r="J635" s="11"/>
      <x:c r="K635" s="29"/>
      <x:c r="L635" s="2" t="str">
        <x:f>IF(O635=1,"Complete",IF(A635,"Checklist open",IF(H635&lt;&gt;"","In progress","Not started")))</x:f>
        <x:v>Not started</x:v>
      </x:c>
      <x:c r="M635" s="2" t="str">
        <x:v>Task</x:v>
      </x:c>
      <x:c r="N635" s="2" t="str">
        <x:v>DR.CS.1.2.2026.CY4</x:v>
      </x:c>
      <x:c r="O635" s="2" t="n">
        <x:f>R635</x:f>
        <x:v>0</x:v>
      </x:c>
      <x:c r="P635" s="2"/>
      <x:c r="Q635" s="2" t="n">
        <x:v>1</x:v>
      </x:c>
      <x:c r="R635" s="2" t="n">
        <x:f>IF(A635,1,0)</x:f>
        <x:v>0</x:v>
      </x:c>
      <x:c r="S635" s="2" t="n">
        <x:f>SUBTOTAL(103,N635)</x:f>
        <x:v>1</x:v>
      </x:c>
    </x:row>
    <x:row r="636" ht="42" customHeight="1">
      <x:c r="A636" s="28" t="b">
        <x:v>0</x:v>
      </x:c>
      <x:c r="B636" s="2" t="str">
        <x:v>Cycle 4</x:v>
      </x:c>
      <x:c r="C636" s="2" t="str">
        <x:v>Phase 1</x:v>
      </x:c>
      <x:c r="D636" s="2" t="str">
        <x:v>CSBBO - Customer Service</x:v>
      </x:c>
      <x:c r="E636" s="68" t="str">
        <x:v>DR.CS.1.3</x:v>
      </x:c>
      <x:c r="F636" s="33" t="str">
        <x:v>Extract data for both potential topics, ensuring all checklist items below are included/completed</x:v>
      </x:c>
      <x:c r="G636" s="5"/>
      <x:c r="H636" s="11"/>
      <x:c r="I636" s="11" t="n">
        <x:f>'Cycles &amp; Guide'!$D$13</x:f>
        <x:v>46387</x:v>
      </x:c>
      <x:c r="J636" s="11"/>
      <x:c r="K636" s="29"/>
      <x:c r="L636" s="2" t="str">
        <x:f>IF(O636=1,"Complete",IF(A636,"Checklist open",IF(H636&lt;&gt;"","In progress","Not started")))</x:f>
        <x:v>Not started</x:v>
      </x:c>
      <x:c r="M636" s="2" t="str">
        <x:v>Task</x:v>
      </x:c>
      <x:c r="N636" s="2" t="str">
        <x:v>DR.CS.1.3.2026.CY4</x:v>
      </x:c>
      <x:c r="O636" s="2" t="n">
        <x:f>IF(A636,IF(SUMIFS($R$10:$R$737,$P$10:$P$737,N636)=13,1,0),0)</x:f>
        <x:v>0</x:v>
      </x:c>
      <x:c r="P636" s="2"/>
      <x:c r="Q636" s="2" t="n">
        <x:v>1</x:v>
      </x:c>
      <x:c r="R636" s="2" t="n">
        <x:f>IF(A636,1,0)</x:f>
        <x:v>0</x:v>
      </x:c>
      <x:c r="S636" s="2" t="n">
        <x:f>SUBTOTAL(103,N636)</x:f>
        <x:v>1</x:v>
      </x:c>
    </x:row>
    <x:row r="637" ht="31" customHeight="1" outlineLevel="1">
      <x:c r="A637" s="28" t="b">
        <x:v>0</x:v>
      </x:c>
      <x:c r="B637" s="36" t="str">
        <x:v>Cycle 4</x:v>
      </x:c>
      <x:c r="C637" s="36" t="str">
        <x:v>Phase 1</x:v>
      </x:c>
      <x:c r="D637" s="36" t="str">
        <x:v>CSBBO - Customer Service</x:v>
      </x:c>
      <x:c r="E637" s="69" t="str">
        <x:v>DR.CS.1.3.C01</x:v>
      </x:c>
      <x:c r="F637" s="37" t="str">
        <x:v>    Document date range extracted</x:v>
      </x:c>
      <x:c r="G637" s="5"/>
      <x:c r="H637" s="11"/>
      <x:c r="I637" s="11"/>
      <x:c r="J637" s="11"/>
      <x:c r="K637" s="29"/>
      <x:c r="L637" s="2" t="str">
        <x:f>IF(A637,"Complete","Open check")</x:f>
        <x:v>Open check</x:v>
      </x:c>
      <x:c r="M637" s="2" t="str">
        <x:v>Checklist</x:v>
      </x:c>
      <x:c r="N637" s="2" t="str">
        <x:v>DR.CS.1.3.C01.2026.CY4</x:v>
      </x:c>
      <x:c r="O637" s="2" t="n">
        <x:f>R637</x:f>
        <x:v>0</x:v>
      </x:c>
      <x:c r="P637" s="2" t="str">
        <x:v>DR.CS.1.3.2026.CY4</x:v>
      </x:c>
      <x:c r="Q637" s="2" t="n">
        <x:v>0</x:v>
      </x:c>
      <x:c r="R637" s="2" t="n">
        <x:f>IF(A637,1,0)</x:f>
        <x:v>0</x:v>
      </x:c>
      <x:c r="S637" s="2" t="n">
        <x:f>SUBTOTAL(103,N637)</x:f>
        <x:v>1</x:v>
      </x:c>
    </x:row>
    <x:row r="638" ht="31" customHeight="1" outlineLevel="1">
      <x:c r="A638" s="28" t="b">
        <x:v>0</x:v>
      </x:c>
      <x:c r="B638" s="36" t="str">
        <x:v>Cycle 4</x:v>
      </x:c>
      <x:c r="C638" s="36" t="str">
        <x:v>Phase 1</x:v>
      </x:c>
      <x:c r="D638" s="36" t="str">
        <x:v>CSBBO - Customer Service</x:v>
      </x:c>
      <x:c r="E638" s="69" t="str">
        <x:v>DR.CS.1.3.C02</x:v>
      </x:c>
      <x:c r="F638" s="37" t="str">
        <x:v>    Document date of data pull</x:v>
      </x:c>
      <x:c r="G638" s="5"/>
      <x:c r="H638" s="11"/>
      <x:c r="I638" s="11"/>
      <x:c r="J638" s="11"/>
      <x:c r="K638" s="29"/>
      <x:c r="L638" s="2" t="str">
        <x:f>IF(A638,"Complete","Open check")</x:f>
        <x:v>Open check</x:v>
      </x:c>
      <x:c r="M638" s="2" t="str">
        <x:v>Checklist</x:v>
      </x:c>
      <x:c r="N638" s="2" t="str">
        <x:v>DR.CS.1.3.C02.2026.CY4</x:v>
      </x:c>
      <x:c r="O638" s="2" t="n">
        <x:f>R638</x:f>
        <x:v>0</x:v>
      </x:c>
      <x:c r="P638" s="2" t="str">
        <x:v>DR.CS.1.3.2026.CY4</x:v>
      </x:c>
      <x:c r="Q638" s="2" t="n">
        <x:v>0</x:v>
      </x:c>
      <x:c r="R638" s="2" t="n">
        <x:f>IF(A638,1,0)</x:f>
        <x:v>0</x:v>
      </x:c>
      <x:c r="S638" s="2" t="n">
        <x:f>SUBTOTAL(103,N638)</x:f>
        <x:v>1</x:v>
      </x:c>
    </x:row>
    <x:row r="639" ht="31" customHeight="1" outlineLevel="1">
      <x:c r="A639" s="28" t="b">
        <x:v>0</x:v>
      </x:c>
      <x:c r="B639" s="36" t="str">
        <x:v>Cycle 4</x:v>
      </x:c>
      <x:c r="C639" s="36" t="str">
        <x:v>Phase 1</x:v>
      </x:c>
      <x:c r="D639" s="36" t="str">
        <x:v>CSBBO - Customer Service</x:v>
      </x:c>
      <x:c r="E639" s="69" t="str">
        <x:v>DR.CS.1.3.C03</x:v>
      </x:c>
      <x:c r="F639" s="37" t="str">
        <x:v>    Document population details</x:v>
      </x:c>
      <x:c r="G639" s="5"/>
      <x:c r="H639" s="11"/>
      <x:c r="I639" s="11"/>
      <x:c r="J639" s="11"/>
      <x:c r="K639" s="29"/>
      <x:c r="L639" s="2" t="str">
        <x:f>IF(A639,"Complete","Open check")</x:f>
        <x:v>Open check</x:v>
      </x:c>
      <x:c r="M639" s="2" t="str">
        <x:v>Checklist</x:v>
      </x:c>
      <x:c r="N639" s="2" t="str">
        <x:v>DR.CS.1.3.C03.2026.CY4</x:v>
      </x:c>
      <x:c r="O639" s="2" t="n">
        <x:f>R639</x:f>
        <x:v>0</x:v>
      </x:c>
      <x:c r="P639" s="2" t="str">
        <x:v>DR.CS.1.3.2026.CY4</x:v>
      </x:c>
      <x:c r="Q639" s="2" t="n">
        <x:v>0</x:v>
      </x:c>
      <x:c r="R639" s="2" t="n">
        <x:f>IF(A639,1,0)</x:f>
        <x:v>0</x:v>
      </x:c>
      <x:c r="S639" s="2" t="n">
        <x:f>SUBTOTAL(103,N639)</x:f>
        <x:v>1</x:v>
      </x:c>
    </x:row>
    <x:row r="640" ht="31" customHeight="1" outlineLevel="1">
      <x:c r="A640" s="28" t="b">
        <x:v>0</x:v>
      </x:c>
      <x:c r="B640" s="36" t="str">
        <x:v>Cycle 4</x:v>
      </x:c>
      <x:c r="C640" s="36" t="str">
        <x:v>Phase 1</x:v>
      </x:c>
      <x:c r="D640" s="36" t="str">
        <x:v>CSBBO - Customer Service</x:v>
      </x:c>
      <x:c r="E640" s="69" t="str">
        <x:v>DR.CS.1.3.C04</x:v>
      </x:c>
      <x:c r="F640" s="37" t="str">
        <x:v>    Validate no data is missing</x:v>
      </x:c>
      <x:c r="G640" s="5"/>
      <x:c r="H640" s="11"/>
      <x:c r="I640" s="11"/>
      <x:c r="J640" s="11"/>
      <x:c r="K640" s="29"/>
      <x:c r="L640" s="2" t="str">
        <x:f>IF(A640,"Complete","Open check")</x:f>
        <x:v>Open check</x:v>
      </x:c>
      <x:c r="M640" s="2" t="str">
        <x:v>Checklist</x:v>
      </x:c>
      <x:c r="N640" s="2" t="str">
        <x:v>DR.CS.1.3.C04.2026.CY4</x:v>
      </x:c>
      <x:c r="O640" s="2" t="n">
        <x:f>R640</x:f>
        <x:v>0</x:v>
      </x:c>
      <x:c r="P640" s="2" t="str">
        <x:v>DR.CS.1.3.2026.CY4</x:v>
      </x:c>
      <x:c r="Q640" s="2" t="n">
        <x:v>0</x:v>
      </x:c>
      <x:c r="R640" s="2" t="n">
        <x:f>IF(A640,1,0)</x:f>
        <x:v>0</x:v>
      </x:c>
      <x:c r="S640" s="2" t="n">
        <x:f>SUBTOTAL(103,N640)</x:f>
        <x:v>1</x:v>
      </x:c>
    </x:row>
    <x:row r="641" ht="31" customHeight="1" outlineLevel="1">
      <x:c r="A641" s="28" t="b">
        <x:v>0</x:v>
      </x:c>
      <x:c r="B641" s="36" t="str">
        <x:v>Cycle 4</x:v>
      </x:c>
      <x:c r="C641" s="36" t="str">
        <x:v>Phase 1</x:v>
      </x:c>
      <x:c r="D641" s="36" t="str">
        <x:v>CSBBO - Customer Service</x:v>
      </x:c>
      <x:c r="E641" s="69" t="str">
        <x:v>DR.CS.1.3.C05</x:v>
      </x:c>
      <x:c r="F641" s="37" t="str">
        <x:v>    Validate accuracy of data</x:v>
      </x:c>
      <x:c r="G641" s="5"/>
      <x:c r="H641" s="11"/>
      <x:c r="I641" s="11"/>
      <x:c r="J641" s="11"/>
      <x:c r="K641" s="29"/>
      <x:c r="L641" s="2" t="str">
        <x:f>IF(A641,"Complete","Open check")</x:f>
        <x:v>Open check</x:v>
      </x:c>
      <x:c r="M641" s="2" t="str">
        <x:v>Checklist</x:v>
      </x:c>
      <x:c r="N641" s="2" t="str">
        <x:v>DR.CS.1.3.C05.2026.CY4</x:v>
      </x:c>
      <x:c r="O641" s="2" t="n">
        <x:f>R641</x:f>
        <x:v>0</x:v>
      </x:c>
      <x:c r="P641" s="2" t="str">
        <x:v>DR.CS.1.3.2026.CY4</x:v>
      </x:c>
      <x:c r="Q641" s="2" t="n">
        <x:v>0</x:v>
      </x:c>
      <x:c r="R641" s="2" t="n">
        <x:f>IF(A641,1,0)</x:f>
        <x:v>0</x:v>
      </x:c>
      <x:c r="S641" s="2" t="n">
        <x:f>SUBTOTAL(103,N641)</x:f>
        <x:v>1</x:v>
      </x:c>
    </x:row>
    <x:row r="642" ht="31" customHeight="1" outlineLevel="1">
      <x:c r="A642" s="28" t="b">
        <x:v>0</x:v>
      </x:c>
      <x:c r="B642" s="36" t="str">
        <x:v>Cycle 4</x:v>
      </x:c>
      <x:c r="C642" s="36" t="str">
        <x:v>Phase 1</x:v>
      </x:c>
      <x:c r="D642" s="36" t="str">
        <x:v>CSBBO - Customer Service</x:v>
      </x:c>
      <x:c r="E642" s="69" t="str">
        <x:v>DR.CS.1.3.C06</x:v>
      </x:c>
      <x:c r="F642" s="37" t="str">
        <x:v>    Validate no duplicate data is provided</x:v>
      </x:c>
      <x:c r="G642" s="5"/>
      <x:c r="H642" s="11"/>
      <x:c r="I642" s="11"/>
      <x:c r="J642" s="11"/>
      <x:c r="K642" s="29"/>
      <x:c r="L642" s="2" t="str">
        <x:f>IF(A642,"Complete","Open check")</x:f>
        <x:v>Open check</x:v>
      </x:c>
      <x:c r="M642" s="2" t="str">
        <x:v>Checklist</x:v>
      </x:c>
      <x:c r="N642" s="2" t="str">
        <x:v>DR.CS.1.3.C06.2026.CY4</x:v>
      </x:c>
      <x:c r="O642" s="2" t="n">
        <x:f>R642</x:f>
        <x:v>0</x:v>
      </x:c>
      <x:c r="P642" s="2" t="str">
        <x:v>DR.CS.1.3.2026.CY4</x:v>
      </x:c>
      <x:c r="Q642" s="2" t="n">
        <x:v>0</x:v>
      </x:c>
      <x:c r="R642" s="2" t="n">
        <x:f>IF(A642,1,0)</x:f>
        <x:v>0</x:v>
      </x:c>
      <x:c r="S642" s="2" t="n">
        <x:f>SUBTOTAL(103,N642)</x:f>
        <x:v>1</x:v>
      </x:c>
    </x:row>
    <x:row r="643" ht="31" customHeight="1" outlineLevel="1">
      <x:c r="A643" s="28" t="b">
        <x:v>0</x:v>
      </x:c>
      <x:c r="B643" s="36" t="str">
        <x:v>Cycle 4</x:v>
      </x:c>
      <x:c r="C643" s="36" t="str">
        <x:v>Phase 1</x:v>
      </x:c>
      <x:c r="D643" s="36" t="str">
        <x:v>CSBBO - Customer Service</x:v>
      </x:c>
      <x:c r="E643" s="69" t="str">
        <x:v>DR.CS.1.3.C07</x:v>
      </x:c>
      <x:c r="F643" s="37" t="str">
        <x:v>    Document any data exclusions along with justification (as needed)</x:v>
      </x:c>
      <x:c r="G643" s="5"/>
      <x:c r="H643" s="11"/>
      <x:c r="I643" s="11"/>
      <x:c r="J643" s="11"/>
      <x:c r="K643" s="29"/>
      <x:c r="L643" s="2" t="str">
        <x:f>IF(A643,"Complete","Open check")</x:f>
        <x:v>Open check</x:v>
      </x:c>
      <x:c r="M643" s="2" t="str">
        <x:v>Checklist</x:v>
      </x:c>
      <x:c r="N643" s="2" t="str">
        <x:v>DR.CS.1.3.C07.2026.CY4</x:v>
      </x:c>
      <x:c r="O643" s="2" t="n">
        <x:f>R643</x:f>
        <x:v>0</x:v>
      </x:c>
      <x:c r="P643" s="2" t="str">
        <x:v>DR.CS.1.3.2026.CY4</x:v>
      </x:c>
      <x:c r="Q643" s="2" t="n">
        <x:v>0</x:v>
      </x:c>
      <x:c r="R643" s="2" t="n">
        <x:f>IF(A643,1,0)</x:f>
        <x:v>0</x:v>
      </x:c>
      <x:c r="S643" s="2" t="n">
        <x:f>SUBTOTAL(103,N643)</x:f>
        <x:v>1</x:v>
      </x:c>
    </x:row>
    <x:row r="644" ht="31" customHeight="1" outlineLevel="1">
      <x:c r="A644" s="28" t="b">
        <x:v>0</x:v>
      </x:c>
      <x:c r="B644" s="36" t="str">
        <x:v>Cycle 4</x:v>
      </x:c>
      <x:c r="C644" s="36" t="str">
        <x:v>Phase 1</x:v>
      </x:c>
      <x:c r="D644" s="36" t="str">
        <x:v>CSBBO - Customer Service</x:v>
      </x:c>
      <x:c r="E644" s="69" t="str">
        <x:v>DR.CS.1.3.C08</x:v>
      </x:c>
      <x:c r="F644" s="37" t="str">
        <x:v>    Document any assumptions made with the data (as needed)</x:v>
      </x:c>
      <x:c r="G644" s="5"/>
      <x:c r="H644" s="11"/>
      <x:c r="I644" s="11"/>
      <x:c r="J644" s="11"/>
      <x:c r="K644" s="29"/>
      <x:c r="L644" s="2" t="str">
        <x:f>IF(A644,"Complete","Open check")</x:f>
        <x:v>Open check</x:v>
      </x:c>
      <x:c r="M644" s="2" t="str">
        <x:v>Checklist</x:v>
      </x:c>
      <x:c r="N644" s="2" t="str">
        <x:v>DR.CS.1.3.C08.2026.CY4</x:v>
      </x:c>
      <x:c r="O644" s="2" t="n">
        <x:f>R644</x:f>
        <x:v>0</x:v>
      </x:c>
      <x:c r="P644" s="2" t="str">
        <x:v>DR.CS.1.3.2026.CY4</x:v>
      </x:c>
      <x:c r="Q644" s="2" t="n">
        <x:v>0</x:v>
      </x:c>
      <x:c r="R644" s="2" t="n">
        <x:f>IF(A644,1,0)</x:f>
        <x:v>0</x:v>
      </x:c>
      <x:c r="S644" s="2" t="n">
        <x:f>SUBTOTAL(103,N644)</x:f>
        <x:v>1</x:v>
      </x:c>
    </x:row>
    <x:row r="645" ht="31" customHeight="1" outlineLevel="1">
      <x:c r="A645" s="28" t="b">
        <x:v>0</x:v>
      </x:c>
      <x:c r="B645" s="36" t="str">
        <x:v>Cycle 4</x:v>
      </x:c>
      <x:c r="C645" s="36" t="str">
        <x:v>Phase 1</x:v>
      </x:c>
      <x:c r="D645" s="36" t="str">
        <x:v>CSBBO - Customer Service</x:v>
      </x:c>
      <x:c r="E645" s="69" t="str">
        <x:v>DR.CS.1.3.C09</x:v>
      </x:c>
      <x:c r="F645" s="37" t="str">
        <x:v>    Document any data limitations or constraints clearly (as needed)</x:v>
      </x:c>
      <x:c r="G645" s="5"/>
      <x:c r="H645" s="11"/>
      <x:c r="I645" s="11"/>
      <x:c r="J645" s="11"/>
      <x:c r="K645" s="29"/>
      <x:c r="L645" s="2" t="str">
        <x:f>IF(A645,"Complete","Open check")</x:f>
        <x:v>Open check</x:v>
      </x:c>
      <x:c r="M645" s="2" t="str">
        <x:v>Checklist</x:v>
      </x:c>
      <x:c r="N645" s="2" t="str">
        <x:v>DR.CS.1.3.C09.2026.CY4</x:v>
      </x:c>
      <x:c r="O645" s="2" t="n">
        <x:f>R645</x:f>
        <x:v>0</x:v>
      </x:c>
      <x:c r="P645" s="2" t="str">
        <x:v>DR.CS.1.3.2026.CY4</x:v>
      </x:c>
      <x:c r="Q645" s="2" t="n">
        <x:v>0</x:v>
      </x:c>
      <x:c r="R645" s="2" t="n">
        <x:f>IF(A645,1,0)</x:f>
        <x:v>0</x:v>
      </x:c>
      <x:c r="S645" s="2" t="n">
        <x:f>SUBTOTAL(103,N645)</x:f>
        <x:v>1</x:v>
      </x:c>
    </x:row>
    <x:row r="646" ht="31" customHeight="1" outlineLevel="1">
      <x:c r="A646" s="28" t="b">
        <x:v>0</x:v>
      </x:c>
      <x:c r="B646" s="36" t="str">
        <x:v>Cycle 4</x:v>
      </x:c>
      <x:c r="C646" s="36" t="str">
        <x:v>Phase 1</x:v>
      </x:c>
      <x:c r="D646" s="36" t="str">
        <x:v>CSBBO - Customer Service</x:v>
      </x:c>
      <x:c r="E646" s="69" t="str">
        <x:v>DR.CS.1.3.C10</x:v>
      </x:c>
      <x:c r="F646" s="37" t="str">
        <x:v>    Document data dictionary or field definitions for columns/rows</x:v>
      </x:c>
      <x:c r="G646" s="5"/>
      <x:c r="H646" s="11"/>
      <x:c r="I646" s="11"/>
      <x:c r="J646" s="11"/>
      <x:c r="K646" s="29"/>
      <x:c r="L646" s="2" t="str">
        <x:f>IF(A646,"Complete","Open check")</x:f>
        <x:v>Open check</x:v>
      </x:c>
      <x:c r="M646" s="2" t="str">
        <x:v>Checklist</x:v>
      </x:c>
      <x:c r="N646" s="2" t="str">
        <x:v>DR.CS.1.3.C10.2026.CY4</x:v>
      </x:c>
      <x:c r="O646" s="2" t="n">
        <x:f>R646</x:f>
        <x:v>0</x:v>
      </x:c>
      <x:c r="P646" s="2" t="str">
        <x:v>DR.CS.1.3.2026.CY4</x:v>
      </x:c>
      <x:c r="Q646" s="2" t="n">
        <x:v>0</x:v>
      </x:c>
      <x:c r="R646" s="2" t="n">
        <x:f>IF(A646,1,0)</x:f>
        <x:v>0</x:v>
      </x:c>
      <x:c r="S646" s="2" t="n">
        <x:f>SUBTOTAL(103,N646)</x:f>
        <x:v>1</x:v>
      </x:c>
    </x:row>
    <x:row r="647" ht="31" customHeight="1" outlineLevel="1">
      <x:c r="A647" s="28" t="b">
        <x:v>0</x:v>
      </x:c>
      <x:c r="B647" s="36" t="str">
        <x:v>Cycle 4</x:v>
      </x:c>
      <x:c r="C647" s="36" t="str">
        <x:v>Phase 1</x:v>
      </x:c>
      <x:c r="D647" s="36" t="str">
        <x:v>CSBBO - Customer Service</x:v>
      </x:c>
      <x:c r="E647" s="69" t="str">
        <x:v>DR.CS.1.3.C11</x:v>
      </x:c>
      <x:c r="F647" s="37" t="str">
        <x:v>    Document emerging trends, patterns, or concentrations along with supporting data</x:v>
      </x:c>
      <x:c r="G647" s="5"/>
      <x:c r="H647" s="11"/>
      <x:c r="I647" s="11"/>
      <x:c r="J647" s="11"/>
      <x:c r="K647" s="29"/>
      <x:c r="L647" s="2" t="str">
        <x:f>IF(A647,"Complete","Open check")</x:f>
        <x:v>Open check</x:v>
      </x:c>
      <x:c r="M647" s="2" t="str">
        <x:v>Checklist</x:v>
      </x:c>
      <x:c r="N647" s="2" t="str">
        <x:v>DR.CS.1.3.C11.2026.CY4</x:v>
      </x:c>
      <x:c r="O647" s="2" t="n">
        <x:f>R647</x:f>
        <x:v>0</x:v>
      </x:c>
      <x:c r="P647" s="2" t="str">
        <x:v>DR.CS.1.3.2026.CY4</x:v>
      </x:c>
      <x:c r="Q647" s="2" t="n">
        <x:v>0</x:v>
      </x:c>
      <x:c r="R647" s="2" t="n">
        <x:f>IF(A647,1,0)</x:f>
        <x:v>0</x:v>
      </x:c>
      <x:c r="S647" s="2" t="n">
        <x:f>SUBTOTAL(103,N647)</x:f>
        <x:v>1</x:v>
      </x:c>
    </x:row>
    <x:row r="648" ht="31" customHeight="1" outlineLevel="1">
      <x:c r="A648" s="28" t="b">
        <x:v>0</x:v>
      </x:c>
      <x:c r="B648" s="36" t="str">
        <x:v>Cycle 4</x:v>
      </x:c>
      <x:c r="C648" s="36" t="str">
        <x:v>Phase 1</x:v>
      </x:c>
      <x:c r="D648" s="36" t="str">
        <x:v>CSBBO - Customer Service</x:v>
      </x:c>
      <x:c r="E648" s="69" t="str">
        <x:v>DR.CS.1.3.C12</x:v>
      </x:c>
      <x:c r="F648" s="37" t="str">
        <x:v>    Document any severe spikes in volume along with context (as needed)</x:v>
      </x:c>
      <x:c r="G648" s="5"/>
      <x:c r="H648" s="11"/>
      <x:c r="I648" s="11"/>
      <x:c r="J648" s="11"/>
      <x:c r="K648" s="29"/>
      <x:c r="L648" s="2" t="str">
        <x:f>IF(A648,"Complete","Open check")</x:f>
        <x:v>Open check</x:v>
      </x:c>
      <x:c r="M648" s="2" t="str">
        <x:v>Checklist</x:v>
      </x:c>
      <x:c r="N648" s="2" t="str">
        <x:v>DR.CS.1.3.C12.2026.CY4</x:v>
      </x:c>
      <x:c r="O648" s="2" t="n">
        <x:f>R648</x:f>
        <x:v>0</x:v>
      </x:c>
      <x:c r="P648" s="2" t="str">
        <x:v>DR.CS.1.3.2026.CY4</x:v>
      </x:c>
      <x:c r="Q648" s="2" t="n">
        <x:v>0</x:v>
      </x:c>
      <x:c r="R648" s="2" t="n">
        <x:f>IF(A648,1,0)</x:f>
        <x:v>0</x:v>
      </x:c>
      <x:c r="S648" s="2" t="n">
        <x:f>SUBTOTAL(103,N648)</x:f>
        <x:v>1</x:v>
      </x:c>
    </x:row>
    <x:row r="649" ht="31" customHeight="1" outlineLevel="1">
      <x:c r="A649" s="28" t="b">
        <x:v>0</x:v>
      </x:c>
      <x:c r="B649" s="36" t="str">
        <x:v>Cycle 4</x:v>
      </x:c>
      <x:c r="C649" s="36" t="str">
        <x:v>Phase 1</x:v>
      </x:c>
      <x:c r="D649" s="36" t="str">
        <x:v>CSBBO - Customer Service</x:v>
      </x:c>
      <x:c r="E649" s="69" t="str">
        <x:v>DR.CS.1.3.C13</x:v>
      </x:c>
      <x:c r="F649" s="37" t="str">
        <x:v>    Document clear summary explaining how the data connects to the potential topic</x:v>
      </x:c>
      <x:c r="G649" s="5"/>
      <x:c r="H649" s="11"/>
      <x:c r="I649" s="11"/>
      <x:c r="J649" s="11"/>
      <x:c r="K649" s="29"/>
      <x:c r="L649" s="2" t="str">
        <x:f>IF(A649,"Complete","Open check")</x:f>
        <x:v>Open check</x:v>
      </x:c>
      <x:c r="M649" s="2" t="str">
        <x:v>Checklist</x:v>
      </x:c>
      <x:c r="N649" s="2" t="str">
        <x:v>DR.CS.1.3.C13.2026.CY4</x:v>
      </x:c>
      <x:c r="O649" s="2" t="n">
        <x:f>R649</x:f>
        <x:v>0</x:v>
      </x:c>
      <x:c r="P649" s="2" t="str">
        <x:v>DR.CS.1.3.2026.CY4</x:v>
      </x:c>
      <x:c r="Q649" s="2" t="n">
        <x:v>0</x:v>
      </x:c>
      <x:c r="R649" s="2" t="n">
        <x:f>IF(A649,1,0)</x:f>
        <x:v>0</x:v>
      </x:c>
      <x:c r="S649" s="2" t="n">
        <x:f>SUBTOTAL(103,N649)</x:f>
        <x:v>1</x:v>
      </x:c>
    </x:row>
    <x:row r="650" ht="42" customHeight="1">
      <x:c r="A650" s="28" t="b">
        <x:v>0</x:v>
      </x:c>
      <x:c r="B650" s="2" t="str">
        <x:v>Cycle 4</x:v>
      </x:c>
      <x:c r="C650" s="2" t="str">
        <x:v>Phase 2</x:v>
      </x:c>
      <x:c r="D650" s="2" t="str">
        <x:v>CSBBO - Customer Service</x:v>
      </x:c>
      <x:c r="E650" s="56" t="str">
        <x:v>DR.CS.2.1</x:v>
      </x:c>
      <x:c r="F650" s="14" t="str">
        <x:v>Ensure data is clean, structured, and usable without manipulation needed</x:v>
      </x:c>
      <x:c r="G650" s="5"/>
      <x:c r="H650" s="11"/>
      <x:c r="I650" s="11" t="n">
        <x:f>'Cycles &amp; Guide'!$D$13</x:f>
        <x:v>46387</x:v>
      </x:c>
      <x:c r="J650" s="11"/>
      <x:c r="K650" s="29"/>
      <x:c r="L650" s="2" t="str">
        <x:f>IF(O650=1,"Complete",IF(A650,"Checklist open",IF(H650&lt;&gt;"","In progress","Not started")))</x:f>
        <x:v>Not started</x:v>
      </x:c>
      <x:c r="M650" s="2" t="str">
        <x:v>Task</x:v>
      </x:c>
      <x:c r="N650" s="2" t="str">
        <x:v>DR.CS.2.1.2026.CY4</x:v>
      </x:c>
      <x:c r="O650" s="2" t="n">
        <x:f>R650</x:f>
        <x:v>0</x:v>
      </x:c>
      <x:c r="P650" s="2"/>
      <x:c r="Q650" s="2" t="n">
        <x:v>1</x:v>
      </x:c>
      <x:c r="R650" s="2" t="n">
        <x:f>IF(A650,1,0)</x:f>
        <x:v>0</x:v>
      </x:c>
      <x:c r="S650" s="2" t="n">
        <x:f>SUBTOTAL(103,N650)</x:f>
        <x:v>1</x:v>
      </x:c>
    </x:row>
    <x:row r="651" ht="42" customHeight="1">
      <x:c r="A651" s="28" t="b">
        <x:v>0</x:v>
      </x:c>
      <x:c r="B651" s="2" t="str">
        <x:v>Cycle 4</x:v>
      </x:c>
      <x:c r="C651" s="2" t="str">
        <x:v>Phase 2</x:v>
      </x:c>
      <x:c r="D651" s="2" t="str">
        <x:v>CSBBO - Customer Service</x:v>
      </x:c>
      <x:c r="E651" s="56" t="str">
        <x:v>DR.CS.2.2</x:v>
      </x:c>
      <x:c r="F651" s="14" t="str">
        <x:v>Clearly document rationale for each topic recommendation within the SharePoint list</x:v>
      </x:c>
      <x:c r="G651" s="5"/>
      <x:c r="H651" s="11"/>
      <x:c r="I651" s="11" t="n">
        <x:f>'Cycles &amp; Guide'!$D$13</x:f>
        <x:v>46387</x:v>
      </x:c>
      <x:c r="J651" s="11"/>
      <x:c r="K651" s="29"/>
      <x:c r="L651" s="2" t="str">
        <x:f>IF(O651=1,"Complete",IF(A651,"Checklist open",IF(H651&lt;&gt;"","In progress","Not started")))</x:f>
        <x:v>Not started</x:v>
      </x:c>
      <x:c r="M651" s="2" t="str">
        <x:v>Task</x:v>
      </x:c>
      <x:c r="N651" s="2" t="str">
        <x:v>DR.CS.2.2.2026.CY4</x:v>
      </x:c>
      <x:c r="O651" s="2" t="n">
        <x:f>R651</x:f>
        <x:v>0</x:v>
      </x:c>
      <x:c r="P651" s="2"/>
      <x:c r="Q651" s="2" t="n">
        <x:v>1</x:v>
      </x:c>
      <x:c r="R651" s="2" t="n">
        <x:f>IF(A651,1,0)</x:f>
        <x:v>0</x:v>
      </x:c>
      <x:c r="S651" s="2" t="n">
        <x:f>SUBTOTAL(103,N651)</x:f>
        <x:v>1</x:v>
      </x:c>
    </x:row>
    <x:row r="652" ht="42" customHeight="1">
      <x:c r="A652" s="28" t="b">
        <x:v>0</x:v>
      </x:c>
      <x:c r="B652" s="2" t="str">
        <x:v>Cycle 4</x:v>
      </x:c>
      <x:c r="C652" s="2" t="str">
        <x:v>Phase 2</x:v>
      </x:c>
      <x:c r="D652" s="2" t="str">
        <x:v>CSBBO - Customer Service</x:v>
      </x:c>
      <x:c r="E652" s="56" t="str">
        <x:v>DR.CS.2.3</x:v>
      </x:c>
      <x:c r="F652" s="14" t="str">
        <x:v>Verify topic is eligible for RCA and does not conflict with Attorney Client Privilege</x:v>
      </x:c>
      <x:c r="G652" s="5"/>
      <x:c r="H652" s="11"/>
      <x:c r="I652" s="11" t="n">
        <x:f>'Cycles &amp; Guide'!$D$13</x:f>
        <x:v>46387</x:v>
      </x:c>
      <x:c r="J652" s="11"/>
      <x:c r="K652" s="29"/>
      <x:c r="L652" s="2" t="str">
        <x:f>IF(O652=1,"Complete",IF(A652,"Checklist open",IF(H652&lt;&gt;"","In progress","Not started")))</x:f>
        <x:v>Not started</x:v>
      </x:c>
      <x:c r="M652" s="2" t="str">
        <x:v>Task</x:v>
      </x:c>
      <x:c r="N652" s="2" t="str">
        <x:v>DR.CS.2.3.2026.CY4</x:v>
      </x:c>
      <x:c r="O652" s="2" t="n">
        <x:f>R652</x:f>
        <x:v>0</x:v>
      </x:c>
      <x:c r="P652" s="2"/>
      <x:c r="Q652" s="2" t="n">
        <x:v>1</x:v>
      </x:c>
      <x:c r="R652" s="2" t="n">
        <x:f>IF(A652,1,0)</x:f>
        <x:v>0</x:v>
      </x:c>
      <x:c r="S652" s="2" t="n">
        <x:f>SUBTOTAL(103,N652)</x:f>
        <x:v>1</x:v>
      </x:c>
    </x:row>
    <x:row r="653" ht="42" customHeight="1">
      <x:c r="A653" s="28" t="b">
        <x:v>0</x:v>
      </x:c>
      <x:c r="B653" s="2" t="str">
        <x:v>Cycle 4</x:v>
      </x:c>
      <x:c r="C653" s="2" t="str">
        <x:v>Phase 2</x:v>
      </x:c>
      <x:c r="D653" s="2" t="str">
        <x:v>CSBBO - Customer Service</x:v>
      </x:c>
      <x:c r="E653" s="56" t="str">
        <x:v>DR.CS.2.4</x:v>
      </x:c>
      <x:c r="F653" s="14" t="str">
        <x:v>Ensure data is free of errors and anomalies prior to hand-off to Research</x:v>
      </x:c>
      <x:c r="G653" s="5"/>
      <x:c r="H653" s="11"/>
      <x:c r="I653" s="11" t="n">
        <x:f>'Cycles &amp; Guide'!$D$13</x:f>
        <x:v>46387</x:v>
      </x:c>
      <x:c r="J653" s="11"/>
      <x:c r="K653" s="29"/>
      <x:c r="L653" s="2" t="str">
        <x:f>IF(O653=1,"Complete",IF(A653,"Checklist open",IF(H653&lt;&gt;"","In progress","Not started")))</x:f>
        <x:v>Not started</x:v>
      </x:c>
      <x:c r="M653" s="2" t="str">
        <x:v>Task</x:v>
      </x:c>
      <x:c r="N653" s="2" t="str">
        <x:v>DR.CS.2.4.2026.CY4</x:v>
      </x:c>
      <x:c r="O653" s="2" t="n">
        <x:f>R653</x:f>
        <x:v>0</x:v>
      </x:c>
      <x:c r="P653" s="2"/>
      <x:c r="Q653" s="2" t="n">
        <x:v>1</x:v>
      </x:c>
      <x:c r="R653" s="2" t="n">
        <x:f>IF(A653,1,0)</x:f>
        <x:v>0</x:v>
      </x:c>
      <x:c r="S653" s="2" t="n">
        <x:f>SUBTOTAL(103,N653)</x:f>
        <x:v>1</x:v>
      </x:c>
    </x:row>
    <x:row r="654" ht="42" customHeight="1">
      <x:c r="A654" s="28" t="b">
        <x:v>0</x:v>
      </x:c>
      <x:c r="B654" s="2" t="str">
        <x:v>Cycle 4</x:v>
      </x:c>
      <x:c r="C654" s="2" t="str">
        <x:v>Phase 2</x:v>
      </x:c>
      <x:c r="D654" s="2" t="str">
        <x:v>CSBBO - Customer Service</x:v>
      </x:c>
      <x:c r="E654" s="56" t="str">
        <x:v>DR.CS.2.5</x:v>
      </x:c>
      <x:c r="F654" s="14" t="str">
        <x:v>Ensure topic is not a duplicate from a previous Cycle</x:v>
      </x:c>
      <x:c r="G654" s="5"/>
      <x:c r="H654" s="11"/>
      <x:c r="I654" s="11" t="n">
        <x:f>'Cycles &amp; Guide'!$D$13</x:f>
        <x:v>46387</x:v>
      </x:c>
      <x:c r="J654" s="11"/>
      <x:c r="K654" s="29"/>
      <x:c r="L654" s="2" t="str">
        <x:f>IF(O654=1,"Complete",IF(A654,"Checklist open",IF(H654&lt;&gt;"","In progress","Not started")))</x:f>
        <x:v>Not started</x:v>
      </x:c>
      <x:c r="M654" s="2" t="str">
        <x:v>Task</x:v>
      </x:c>
      <x:c r="N654" s="2" t="str">
        <x:v>DR.CS.2.5.2026.CY4</x:v>
      </x:c>
      <x:c r="O654" s="2" t="n">
        <x:f>R654</x:f>
        <x:v>0</x:v>
      </x:c>
      <x:c r="P654" s="2"/>
      <x:c r="Q654" s="2" t="n">
        <x:v>1</x:v>
      </x:c>
      <x:c r="R654" s="2" t="n">
        <x:f>IF(A654,1,0)</x:f>
        <x:v>0</x:v>
      </x:c>
      <x:c r="S654" s="2" t="n">
        <x:f>SUBTOTAL(103,N654)</x:f>
        <x:v>1</x:v>
      </x:c>
    </x:row>
    <x:row r="655" ht="42" customHeight="1">
      <x:c r="A655" s="28" t="b">
        <x:v>0</x:v>
      </x:c>
      <x:c r="B655" s="2" t="str">
        <x:v>Cycle 4</x:v>
      </x:c>
      <x:c r="C655" s="2" t="str">
        <x:v>Phase 2</x:v>
      </x:c>
      <x:c r="D655" s="2" t="str">
        <x:v>CSBBO - Customer Service</x:v>
      </x:c>
      <x:c r="E655" s="56" t="str">
        <x:v>DR.CS.2.6</x:v>
      </x:c>
      <x:c r="F655" s="14" t="str">
        <x:v>Document clear distinctions between facts, assumptions, and hypotheses within the data package</x:v>
      </x:c>
      <x:c r="G655" s="5"/>
      <x:c r="H655" s="11"/>
      <x:c r="I655" s="11" t="n">
        <x:f>'Cycles &amp; Guide'!$D$13</x:f>
        <x:v>46387</x:v>
      </x:c>
      <x:c r="J655" s="11"/>
      <x:c r="K655" s="29"/>
      <x:c r="L655" s="2" t="str">
        <x:f>IF(O655=1,"Complete",IF(A655,"Checklist open",IF(H655&lt;&gt;"","In progress","Not started")))</x:f>
        <x:v>Not started</x:v>
      </x:c>
      <x:c r="M655" s="2" t="str">
        <x:v>Task</x:v>
      </x:c>
      <x:c r="N655" s="2" t="str">
        <x:v>DR.CS.2.6.2026.CY4</x:v>
      </x:c>
      <x:c r="O655" s="2" t="n">
        <x:f>R655</x:f>
        <x:v>0</x:v>
      </x:c>
      <x:c r="P655" s="2"/>
      <x:c r="Q655" s="2" t="n">
        <x:v>1</x:v>
      </x:c>
      <x:c r="R655" s="2" t="n">
        <x:f>IF(A655,1,0)</x:f>
        <x:v>0</x:v>
      </x:c>
      <x:c r="S655" s="2" t="n">
        <x:f>SUBTOTAL(103,N655)</x:f>
        <x:v>1</x:v>
      </x:c>
    </x:row>
    <x:row r="656" ht="42" customHeight="1">
      <x:c r="A656" s="28" t="b">
        <x:v>0</x:v>
      </x:c>
      <x:c r="B656" s="2" t="str">
        <x:v>Cycle 4</x:v>
      </x:c>
      <x:c r="C656" s="2" t="str">
        <x:v>Phase 3</x:v>
      </x:c>
      <x:c r="D656" s="2" t="str">
        <x:v>CSBBO - Customer Service</x:v>
      </x:c>
      <x:c r="E656" s="56" t="str">
        <x:v>DR.CS.3.1</x:v>
      </x:c>
      <x:c r="F656" s="14" t="str">
        <x:v>Clearly document rationale for each topic recommendation within the SharePoint list item</x:v>
      </x:c>
      <x:c r="G656" s="5"/>
      <x:c r="H656" s="11"/>
      <x:c r="I656" s="11" t="n">
        <x:f>'Cycles &amp; Guide'!$D$13</x:f>
        <x:v>46387</x:v>
      </x:c>
      <x:c r="J656" s="11"/>
      <x:c r="K656" s="29"/>
      <x:c r="L656" s="2" t="str">
        <x:f>IF(O656=1,"Complete",IF(A656,"Checklist open",IF(H656&lt;&gt;"","In progress","Not started")))</x:f>
        <x:v>Not started</x:v>
      </x:c>
      <x:c r="M656" s="2" t="str">
        <x:v>Task</x:v>
      </x:c>
      <x:c r="N656" s="2" t="str">
        <x:v>DR.CS.3.1.2026.CY4</x:v>
      </x:c>
      <x:c r="O656" s="2" t="n">
        <x:f>R656</x:f>
        <x:v>0</x:v>
      </x:c>
      <x:c r="P656" s="2"/>
      <x:c r="Q656" s="2" t="n">
        <x:v>1</x:v>
      </x:c>
      <x:c r="R656" s="2" t="n">
        <x:f>IF(A656,1,0)</x:f>
        <x:v>0</x:v>
      </x:c>
      <x:c r="S656" s="2" t="n">
        <x:f>SUBTOTAL(103,N656)</x:f>
        <x:v>1</x:v>
      </x:c>
    </x:row>
    <x:row r="657" ht="42" customHeight="1">
      <x:c r="A657" s="28" t="b">
        <x:v>0</x:v>
      </x:c>
      <x:c r="B657" s="2" t="str">
        <x:v>Cycle 4</x:v>
      </x:c>
      <x:c r="C657" s="2" t="str">
        <x:v>Phase 3</x:v>
      </x:c>
      <x:c r="D657" s="2" t="str">
        <x:v>CSBBO - Customer Service</x:v>
      </x:c>
      <x:c r="E657" s="56" t="str">
        <x:v>DR.CS.3.2</x:v>
      </x:c>
      <x:c r="F657" s="14" t="str">
        <x:v>Attach the data package for each topic recommendation within the SharePoint list item</x:v>
      </x:c>
      <x:c r="G657" s="5"/>
      <x:c r="H657" s="11"/>
      <x:c r="I657" s="11" t="n">
        <x:f>'Cycles &amp; Guide'!$D$13</x:f>
        <x:v>46387</x:v>
      </x:c>
      <x:c r="J657" s="11"/>
      <x:c r="K657" s="29"/>
      <x:c r="L657" s="2" t="str">
        <x:f>IF(O657=1,"Complete",IF(A657,"Checklist open",IF(H657&lt;&gt;"","In progress","Not started")))</x:f>
        <x:v>Not started</x:v>
      </x:c>
      <x:c r="M657" s="2" t="str">
        <x:v>Task</x:v>
      </x:c>
      <x:c r="N657" s="2" t="str">
        <x:v>DR.CS.3.2.2026.CY4</x:v>
      </x:c>
      <x:c r="O657" s="2" t="n">
        <x:f>R657</x:f>
        <x:v>0</x:v>
      </x:c>
      <x:c r="P657" s="2"/>
      <x:c r="Q657" s="2" t="n">
        <x:v>1</x:v>
      </x:c>
      <x:c r="R657" s="2" t="n">
        <x:f>IF(A657,1,0)</x:f>
        <x:v>0</x:v>
      </x:c>
      <x:c r="S657" s="2" t="n">
        <x:f>SUBTOTAL(103,N657)</x:f>
        <x:v>1</x:v>
      </x:c>
    </x:row>
    <x:row r="658" ht="42" customHeight="1">
      <x:c r="A658" s="28" t="b">
        <x:v>0</x:v>
      </x:c>
      <x:c r="B658" s="2" t="str">
        <x:v>Cycle 4</x:v>
      </x:c>
      <x:c r="C658" s="2" t="str">
        <x:v>Phase 3</x:v>
      </x:c>
      <x:c r="D658" s="2" t="str">
        <x:v>CSBBO - Customer Service</x:v>
      </x:c>
      <x:c r="E658" s="56" t="str">
        <x:v>DR.CS.3.3</x:v>
      </x:c>
      <x:c r="F658" s="14" t="str">
        <x:v>Confirm data privileges have been granted, ensuring each pillar can access</x:v>
      </x:c>
      <x:c r="G658" s="5"/>
      <x:c r="H658" s="11"/>
      <x:c r="I658" s="11" t="n">
        <x:f>'Cycles &amp; Guide'!$D$13</x:f>
        <x:v>46387</x:v>
      </x:c>
      <x:c r="J658" s="11"/>
      <x:c r="K658" s="29"/>
      <x:c r="L658" s="2" t="str">
        <x:f>IF(O658=1,"Complete",IF(A658,"Checklist open",IF(H658&lt;&gt;"","In progress","Not started")))</x:f>
        <x:v>Not started</x:v>
      </x:c>
      <x:c r="M658" s="2" t="str">
        <x:v>Task</x:v>
      </x:c>
      <x:c r="N658" s="2" t="str">
        <x:v>DR.CS.3.3.2026.CY4</x:v>
      </x:c>
      <x:c r="O658" s="2" t="n">
        <x:f>R658</x:f>
        <x:v>0</x:v>
      </x:c>
      <x:c r="P658" s="2"/>
      <x:c r="Q658" s="2" t="n">
        <x:v>1</x:v>
      </x:c>
      <x:c r="R658" s="2" t="n">
        <x:f>IF(A658,1,0)</x:f>
        <x:v>0</x:v>
      </x:c>
      <x:c r="S658" s="2" t="n">
        <x:f>SUBTOTAL(103,N658)</x:f>
        <x:v>1</x:v>
      </x:c>
    </x:row>
    <x:row r="659" ht="42" customHeight="1">
      <x:c r="A659" s="28" t="b">
        <x:v>0</x:v>
      </x:c>
      <x:c r="B659" s="2" t="str">
        <x:v>Cycle 4</x:v>
      </x:c>
      <x:c r="C659" s="2" t="str">
        <x:v>Phase 3</x:v>
      </x:c>
      <x:c r="D659" s="2" t="str">
        <x:v>CSBBO - Customer Service</x:v>
      </x:c>
      <x:c r="E659" s="56" t="str">
        <x:v>DR.CS.3.4</x:v>
      </x:c>
      <x:c r="F659" s="14" t="str">
        <x:v>Ensure Power Automate notifications were correctly triggered within Microsoft Teams</x:v>
      </x:c>
      <x:c r="G659" s="5"/>
      <x:c r="H659" s="11"/>
      <x:c r="I659" s="11" t="n">
        <x:f>'Cycles &amp; Guide'!$D$13</x:f>
        <x:v>46387</x:v>
      </x:c>
      <x:c r="J659" s="11"/>
      <x:c r="K659" s="29"/>
      <x:c r="L659" s="2" t="str">
        <x:f>IF(O659=1,"Complete",IF(A659,"Checklist open",IF(H659&lt;&gt;"","In progress","Not started")))</x:f>
        <x:v>Not started</x:v>
      </x:c>
      <x:c r="M659" s="2" t="str">
        <x:v>Task</x:v>
      </x:c>
      <x:c r="N659" s="2" t="str">
        <x:v>DR.CS.3.4.2026.CY4</x:v>
      </x:c>
      <x:c r="O659" s="2" t="n">
        <x:f>R659</x:f>
        <x:v>0</x:v>
      </x:c>
      <x:c r="P659" s="2"/>
      <x:c r="Q659" s="2" t="n">
        <x:v>1</x:v>
      </x:c>
      <x:c r="R659" s="2" t="n">
        <x:f>IF(A659,1,0)</x:f>
        <x:v>0</x:v>
      </x:c>
      <x:c r="S659" s="2" t="n">
        <x:f>SUBTOTAL(103,N659)</x:f>
        <x:v>1</x:v>
      </x:c>
    </x:row>
    <x:row r="660" ht="42" customHeight="1">
      <x:c r="A660" s="28" t="b">
        <x:v>0</x:v>
      </x:c>
      <x:c r="B660" s="2" t="str">
        <x:v>Cycle 4</x:v>
      </x:c>
      <x:c r="C660" s="2" t="str">
        <x:v>Phase 1</x:v>
      </x:c>
      <x:c r="D660" s="2" t="str">
        <x:v>FCM</x:v>
      </x:c>
      <x:c r="E660" s="56" t="str">
        <x:v>DR.FC.1.1</x:v>
      </x:c>
      <x:c r="F660" s="14" t="str">
        <x:v>Review data sources 3 weeks prior to Cycle start (Complaints, Gen AI, Loudspeaker, NPS, etc.)</x:v>
      </x:c>
      <x:c r="G660" s="5"/>
      <x:c r="H660" s="11"/>
      <x:c r="I660" s="11" t="n">
        <x:f>'Cycles &amp; Guide'!$C$13-21</x:f>
        <x:v>46275</x:v>
      </x:c>
      <x:c r="J660" s="11"/>
      <x:c r="K660" s="29"/>
      <x:c r="L660" s="2" t="str">
        <x:f>IF(O660=1,"Complete",IF(A660,"Checklist open",IF(H660&lt;&gt;"","In progress","Not started")))</x:f>
        <x:v>Not started</x:v>
      </x:c>
      <x:c r="M660" s="2" t="str">
        <x:v>Task</x:v>
      </x:c>
      <x:c r="N660" s="2" t="str">
        <x:v>DR.FC.1.1.2026.CY4</x:v>
      </x:c>
      <x:c r="O660" s="2" t="n">
        <x:f>R660</x:f>
        <x:v>0</x:v>
      </x:c>
      <x:c r="P660" s="2"/>
      <x:c r="Q660" s="2" t="n">
        <x:v>1</x:v>
      </x:c>
      <x:c r="R660" s="2" t="n">
        <x:f>IF(A660,1,0)</x:f>
        <x:v>0</x:v>
      </x:c>
      <x:c r="S660" s="2" t="n">
        <x:f>SUBTOTAL(103,N660)</x:f>
        <x:v>1</x:v>
      </x:c>
    </x:row>
    <x:row r="661" ht="42" customHeight="1">
      <x:c r="A661" s="28" t="b">
        <x:v>0</x:v>
      </x:c>
      <x:c r="B661" s="2" t="str">
        <x:v>Cycle 4</x:v>
      </x:c>
      <x:c r="C661" s="2" t="str">
        <x:v>Phase 1</x:v>
      </x:c>
      <x:c r="D661" s="2" t="str">
        <x:v>FCM</x:v>
      </x:c>
      <x:c r="E661" s="56" t="str">
        <x:v>DR.FC.1.2</x:v>
      </x:c>
      <x:c r="F661" s="14" t="str">
        <x:v>Identify two potential topics for the upcoming Cycle</x:v>
      </x:c>
      <x:c r="G661" s="5"/>
      <x:c r="H661" s="11"/>
      <x:c r="I661" s="11" t="n">
        <x:f>'Cycles &amp; Guide'!$D$13</x:f>
        <x:v>46387</x:v>
      </x:c>
      <x:c r="J661" s="11"/>
      <x:c r="K661" s="29"/>
      <x:c r="L661" s="2" t="str">
        <x:f>IF(O661=1,"Complete",IF(A661,"Checklist open",IF(H661&lt;&gt;"","In progress","Not started")))</x:f>
        <x:v>Not started</x:v>
      </x:c>
      <x:c r="M661" s="2" t="str">
        <x:v>Task</x:v>
      </x:c>
      <x:c r="N661" s="2" t="str">
        <x:v>DR.FC.1.2.2026.CY4</x:v>
      </x:c>
      <x:c r="O661" s="2" t="n">
        <x:f>R661</x:f>
        <x:v>0</x:v>
      </x:c>
      <x:c r="P661" s="2"/>
      <x:c r="Q661" s="2" t="n">
        <x:v>1</x:v>
      </x:c>
      <x:c r="R661" s="2" t="n">
        <x:f>IF(A661,1,0)</x:f>
        <x:v>0</x:v>
      </x:c>
      <x:c r="S661" s="2" t="n">
        <x:f>SUBTOTAL(103,N661)</x:f>
        <x:v>1</x:v>
      </x:c>
    </x:row>
    <x:row r="662" ht="42" customHeight="1">
      <x:c r="A662" s="28" t="b">
        <x:v>0</x:v>
      </x:c>
      <x:c r="B662" s="2" t="str">
        <x:v>Cycle 4</x:v>
      </x:c>
      <x:c r="C662" s="2" t="str">
        <x:v>Phase 1</x:v>
      </x:c>
      <x:c r="D662" s="2" t="str">
        <x:v>FCM</x:v>
      </x:c>
      <x:c r="E662" s="68" t="str">
        <x:v>DR.FC.1.3</x:v>
      </x:c>
      <x:c r="F662" s="33" t="str">
        <x:v>Extract data for both potential topics, ensuring all checklist items below are included/completed</x:v>
      </x:c>
      <x:c r="G662" s="5"/>
      <x:c r="H662" s="11"/>
      <x:c r="I662" s="11" t="n">
        <x:f>'Cycles &amp; Guide'!$D$13</x:f>
        <x:v>46387</x:v>
      </x:c>
      <x:c r="J662" s="11"/>
      <x:c r="K662" s="29"/>
      <x:c r="L662" s="2" t="str">
        <x:f>IF(O662=1,"Complete",IF(A662,"Checklist open",IF(H662&lt;&gt;"","In progress","Not started")))</x:f>
        <x:v>Not started</x:v>
      </x:c>
      <x:c r="M662" s="2" t="str">
        <x:v>Task</x:v>
      </x:c>
      <x:c r="N662" s="2" t="str">
        <x:v>DR.FC.1.3.2026.CY4</x:v>
      </x:c>
      <x:c r="O662" s="2" t="n">
        <x:f>IF(A662,IF(SUMIFS($R$10:$R$737,$P$10:$P$737,N662)=13,1,0),0)</x:f>
        <x:v>0</x:v>
      </x:c>
      <x:c r="P662" s="2"/>
      <x:c r="Q662" s="2" t="n">
        <x:v>1</x:v>
      </x:c>
      <x:c r="R662" s="2" t="n">
        <x:f>IF(A662,1,0)</x:f>
        <x:v>0</x:v>
      </x:c>
      <x:c r="S662" s="2" t="n">
        <x:f>SUBTOTAL(103,N662)</x:f>
        <x:v>1</x:v>
      </x:c>
    </x:row>
    <x:row r="663" ht="31" customHeight="1" outlineLevel="1">
      <x:c r="A663" s="28" t="b">
        <x:v>0</x:v>
      </x:c>
      <x:c r="B663" s="36" t="str">
        <x:v>Cycle 4</x:v>
      </x:c>
      <x:c r="C663" s="36" t="str">
        <x:v>Phase 1</x:v>
      </x:c>
      <x:c r="D663" s="36" t="str">
        <x:v>FCM</x:v>
      </x:c>
      <x:c r="E663" s="69" t="str">
        <x:v>DR.FC.1.3.C01</x:v>
      </x:c>
      <x:c r="F663" s="37" t="str">
        <x:v>    Document date range extracted</x:v>
      </x:c>
      <x:c r="G663" s="5"/>
      <x:c r="H663" s="11"/>
      <x:c r="I663" s="11"/>
      <x:c r="J663" s="11"/>
      <x:c r="K663" s="29"/>
      <x:c r="L663" s="2" t="str">
        <x:f>IF(A663,"Complete","Open check")</x:f>
        <x:v>Open check</x:v>
      </x:c>
      <x:c r="M663" s="2" t="str">
        <x:v>Checklist</x:v>
      </x:c>
      <x:c r="N663" s="2" t="str">
        <x:v>DR.FC.1.3.C01.2026.CY4</x:v>
      </x:c>
      <x:c r="O663" s="2" t="n">
        <x:f>R663</x:f>
        <x:v>0</x:v>
      </x:c>
      <x:c r="P663" s="2" t="str">
        <x:v>DR.FC.1.3.2026.CY4</x:v>
      </x:c>
      <x:c r="Q663" s="2" t="n">
        <x:v>0</x:v>
      </x:c>
      <x:c r="R663" s="2" t="n">
        <x:f>IF(A663,1,0)</x:f>
        <x:v>0</x:v>
      </x:c>
      <x:c r="S663" s="2" t="n">
        <x:f>SUBTOTAL(103,N663)</x:f>
        <x:v>1</x:v>
      </x:c>
    </x:row>
    <x:row r="664" ht="31" customHeight="1" outlineLevel="1">
      <x:c r="A664" s="28" t="b">
        <x:v>0</x:v>
      </x:c>
      <x:c r="B664" s="36" t="str">
        <x:v>Cycle 4</x:v>
      </x:c>
      <x:c r="C664" s="36" t="str">
        <x:v>Phase 1</x:v>
      </x:c>
      <x:c r="D664" s="36" t="str">
        <x:v>FCM</x:v>
      </x:c>
      <x:c r="E664" s="69" t="str">
        <x:v>DR.FC.1.3.C02</x:v>
      </x:c>
      <x:c r="F664" s="37" t="str">
        <x:v>    Document date of data pull</x:v>
      </x:c>
      <x:c r="G664" s="5"/>
      <x:c r="H664" s="11"/>
      <x:c r="I664" s="11"/>
      <x:c r="J664" s="11"/>
      <x:c r="K664" s="29"/>
      <x:c r="L664" s="2" t="str">
        <x:f>IF(A664,"Complete","Open check")</x:f>
        <x:v>Open check</x:v>
      </x:c>
      <x:c r="M664" s="2" t="str">
        <x:v>Checklist</x:v>
      </x:c>
      <x:c r="N664" s="2" t="str">
        <x:v>DR.FC.1.3.C02.2026.CY4</x:v>
      </x:c>
      <x:c r="O664" s="2" t="n">
        <x:f>R664</x:f>
        <x:v>0</x:v>
      </x:c>
      <x:c r="P664" s="2" t="str">
        <x:v>DR.FC.1.3.2026.CY4</x:v>
      </x:c>
      <x:c r="Q664" s="2" t="n">
        <x:v>0</x:v>
      </x:c>
      <x:c r="R664" s="2" t="n">
        <x:f>IF(A664,1,0)</x:f>
        <x:v>0</x:v>
      </x:c>
      <x:c r="S664" s="2" t="n">
        <x:f>SUBTOTAL(103,N664)</x:f>
        <x:v>1</x:v>
      </x:c>
    </x:row>
    <x:row r="665" ht="31" customHeight="1" outlineLevel="1">
      <x:c r="A665" s="28" t="b">
        <x:v>0</x:v>
      </x:c>
      <x:c r="B665" s="36" t="str">
        <x:v>Cycle 4</x:v>
      </x:c>
      <x:c r="C665" s="36" t="str">
        <x:v>Phase 1</x:v>
      </x:c>
      <x:c r="D665" s="36" t="str">
        <x:v>FCM</x:v>
      </x:c>
      <x:c r="E665" s="69" t="str">
        <x:v>DR.FC.1.3.C03</x:v>
      </x:c>
      <x:c r="F665" s="37" t="str">
        <x:v>    Document population details</x:v>
      </x:c>
      <x:c r="G665" s="5"/>
      <x:c r="H665" s="11"/>
      <x:c r="I665" s="11"/>
      <x:c r="J665" s="11"/>
      <x:c r="K665" s="29"/>
      <x:c r="L665" s="2" t="str">
        <x:f>IF(A665,"Complete","Open check")</x:f>
        <x:v>Open check</x:v>
      </x:c>
      <x:c r="M665" s="2" t="str">
        <x:v>Checklist</x:v>
      </x:c>
      <x:c r="N665" s="2" t="str">
        <x:v>DR.FC.1.3.C03.2026.CY4</x:v>
      </x:c>
      <x:c r="O665" s="2" t="n">
        <x:f>R665</x:f>
        <x:v>0</x:v>
      </x:c>
      <x:c r="P665" s="2" t="str">
        <x:v>DR.FC.1.3.2026.CY4</x:v>
      </x:c>
      <x:c r="Q665" s="2" t="n">
        <x:v>0</x:v>
      </x:c>
      <x:c r="R665" s="2" t="n">
        <x:f>IF(A665,1,0)</x:f>
        <x:v>0</x:v>
      </x:c>
      <x:c r="S665" s="2" t="n">
        <x:f>SUBTOTAL(103,N665)</x:f>
        <x:v>1</x:v>
      </x:c>
    </x:row>
    <x:row r="666" ht="31" customHeight="1" outlineLevel="1">
      <x:c r="A666" s="28" t="b">
        <x:v>0</x:v>
      </x:c>
      <x:c r="B666" s="36" t="str">
        <x:v>Cycle 4</x:v>
      </x:c>
      <x:c r="C666" s="36" t="str">
        <x:v>Phase 1</x:v>
      </x:c>
      <x:c r="D666" s="36" t="str">
        <x:v>FCM</x:v>
      </x:c>
      <x:c r="E666" s="69" t="str">
        <x:v>DR.FC.1.3.C04</x:v>
      </x:c>
      <x:c r="F666" s="37" t="str">
        <x:v>    Validate no data is missing</x:v>
      </x:c>
      <x:c r="G666" s="5"/>
      <x:c r="H666" s="11"/>
      <x:c r="I666" s="11"/>
      <x:c r="J666" s="11"/>
      <x:c r="K666" s="29"/>
      <x:c r="L666" s="2" t="str">
        <x:f>IF(A666,"Complete","Open check")</x:f>
        <x:v>Open check</x:v>
      </x:c>
      <x:c r="M666" s="2" t="str">
        <x:v>Checklist</x:v>
      </x:c>
      <x:c r="N666" s="2" t="str">
        <x:v>DR.FC.1.3.C04.2026.CY4</x:v>
      </x:c>
      <x:c r="O666" s="2" t="n">
        <x:f>R666</x:f>
        <x:v>0</x:v>
      </x:c>
      <x:c r="P666" s="2" t="str">
        <x:v>DR.FC.1.3.2026.CY4</x:v>
      </x:c>
      <x:c r="Q666" s="2" t="n">
        <x:v>0</x:v>
      </x:c>
      <x:c r="R666" s="2" t="n">
        <x:f>IF(A666,1,0)</x:f>
        <x:v>0</x:v>
      </x:c>
      <x:c r="S666" s="2" t="n">
        <x:f>SUBTOTAL(103,N666)</x:f>
        <x:v>1</x:v>
      </x:c>
    </x:row>
    <x:row r="667" ht="31" customHeight="1" outlineLevel="1">
      <x:c r="A667" s="28" t="b">
        <x:v>0</x:v>
      </x:c>
      <x:c r="B667" s="36" t="str">
        <x:v>Cycle 4</x:v>
      </x:c>
      <x:c r="C667" s="36" t="str">
        <x:v>Phase 1</x:v>
      </x:c>
      <x:c r="D667" s="36" t="str">
        <x:v>FCM</x:v>
      </x:c>
      <x:c r="E667" s="69" t="str">
        <x:v>DR.FC.1.3.C05</x:v>
      </x:c>
      <x:c r="F667" s="37" t="str">
        <x:v>    Validate accuracy of data</x:v>
      </x:c>
      <x:c r="G667" s="5"/>
      <x:c r="H667" s="11"/>
      <x:c r="I667" s="11"/>
      <x:c r="J667" s="11"/>
      <x:c r="K667" s="29"/>
      <x:c r="L667" s="2" t="str">
        <x:f>IF(A667,"Complete","Open check")</x:f>
        <x:v>Open check</x:v>
      </x:c>
      <x:c r="M667" s="2" t="str">
        <x:v>Checklist</x:v>
      </x:c>
      <x:c r="N667" s="2" t="str">
        <x:v>DR.FC.1.3.C05.2026.CY4</x:v>
      </x:c>
      <x:c r="O667" s="2" t="n">
        <x:f>R667</x:f>
        <x:v>0</x:v>
      </x:c>
      <x:c r="P667" s="2" t="str">
        <x:v>DR.FC.1.3.2026.CY4</x:v>
      </x:c>
      <x:c r="Q667" s="2" t="n">
        <x:v>0</x:v>
      </x:c>
      <x:c r="R667" s="2" t="n">
        <x:f>IF(A667,1,0)</x:f>
        <x:v>0</x:v>
      </x:c>
      <x:c r="S667" s="2" t="n">
        <x:f>SUBTOTAL(103,N667)</x:f>
        <x:v>1</x:v>
      </x:c>
    </x:row>
    <x:row r="668" ht="31" customHeight="1" outlineLevel="1">
      <x:c r="A668" s="28" t="b">
        <x:v>0</x:v>
      </x:c>
      <x:c r="B668" s="36" t="str">
        <x:v>Cycle 4</x:v>
      </x:c>
      <x:c r="C668" s="36" t="str">
        <x:v>Phase 1</x:v>
      </x:c>
      <x:c r="D668" s="36" t="str">
        <x:v>FCM</x:v>
      </x:c>
      <x:c r="E668" s="69" t="str">
        <x:v>DR.FC.1.3.C06</x:v>
      </x:c>
      <x:c r="F668" s="37" t="str">
        <x:v>    Validate no duplicate data is provided</x:v>
      </x:c>
      <x:c r="G668" s="5"/>
      <x:c r="H668" s="11"/>
      <x:c r="I668" s="11"/>
      <x:c r="J668" s="11"/>
      <x:c r="K668" s="29"/>
      <x:c r="L668" s="2" t="str">
        <x:f>IF(A668,"Complete","Open check")</x:f>
        <x:v>Open check</x:v>
      </x:c>
      <x:c r="M668" s="2" t="str">
        <x:v>Checklist</x:v>
      </x:c>
      <x:c r="N668" s="2" t="str">
        <x:v>DR.FC.1.3.C06.2026.CY4</x:v>
      </x:c>
      <x:c r="O668" s="2" t="n">
        <x:f>R668</x:f>
        <x:v>0</x:v>
      </x:c>
      <x:c r="P668" s="2" t="str">
        <x:v>DR.FC.1.3.2026.CY4</x:v>
      </x:c>
      <x:c r="Q668" s="2" t="n">
        <x:v>0</x:v>
      </x:c>
      <x:c r="R668" s="2" t="n">
        <x:f>IF(A668,1,0)</x:f>
        <x:v>0</x:v>
      </x:c>
      <x:c r="S668" s="2" t="n">
        <x:f>SUBTOTAL(103,N668)</x:f>
        <x:v>1</x:v>
      </x:c>
    </x:row>
    <x:row r="669" ht="31" customHeight="1" outlineLevel="1">
      <x:c r="A669" s="28" t="b">
        <x:v>0</x:v>
      </x:c>
      <x:c r="B669" s="36" t="str">
        <x:v>Cycle 4</x:v>
      </x:c>
      <x:c r="C669" s="36" t="str">
        <x:v>Phase 1</x:v>
      </x:c>
      <x:c r="D669" s="36" t="str">
        <x:v>FCM</x:v>
      </x:c>
      <x:c r="E669" s="69" t="str">
        <x:v>DR.FC.1.3.C07</x:v>
      </x:c>
      <x:c r="F669" s="37" t="str">
        <x:v>    Document any data exclusions along with justification (as needed)</x:v>
      </x:c>
      <x:c r="G669" s="5"/>
      <x:c r="H669" s="11"/>
      <x:c r="I669" s="11"/>
      <x:c r="J669" s="11"/>
      <x:c r="K669" s="29"/>
      <x:c r="L669" s="2" t="str">
        <x:f>IF(A669,"Complete","Open check")</x:f>
        <x:v>Open check</x:v>
      </x:c>
      <x:c r="M669" s="2" t="str">
        <x:v>Checklist</x:v>
      </x:c>
      <x:c r="N669" s="2" t="str">
        <x:v>DR.FC.1.3.C07.2026.CY4</x:v>
      </x:c>
      <x:c r="O669" s="2" t="n">
        <x:f>R669</x:f>
        <x:v>0</x:v>
      </x:c>
      <x:c r="P669" s="2" t="str">
        <x:v>DR.FC.1.3.2026.CY4</x:v>
      </x:c>
      <x:c r="Q669" s="2" t="n">
        <x:v>0</x:v>
      </x:c>
      <x:c r="R669" s="2" t="n">
        <x:f>IF(A669,1,0)</x:f>
        <x:v>0</x:v>
      </x:c>
      <x:c r="S669" s="2" t="n">
        <x:f>SUBTOTAL(103,N669)</x:f>
        <x:v>1</x:v>
      </x:c>
    </x:row>
    <x:row r="670" ht="31" customHeight="1" outlineLevel="1">
      <x:c r="A670" s="28" t="b">
        <x:v>0</x:v>
      </x:c>
      <x:c r="B670" s="36" t="str">
        <x:v>Cycle 4</x:v>
      </x:c>
      <x:c r="C670" s="36" t="str">
        <x:v>Phase 1</x:v>
      </x:c>
      <x:c r="D670" s="36" t="str">
        <x:v>FCM</x:v>
      </x:c>
      <x:c r="E670" s="69" t="str">
        <x:v>DR.FC.1.3.C08</x:v>
      </x:c>
      <x:c r="F670" s="37" t="str">
        <x:v>    Document any assumptions made with the data (as needed)</x:v>
      </x:c>
      <x:c r="G670" s="5"/>
      <x:c r="H670" s="11"/>
      <x:c r="I670" s="11"/>
      <x:c r="J670" s="11"/>
      <x:c r="K670" s="29"/>
      <x:c r="L670" s="2" t="str">
        <x:f>IF(A670,"Complete","Open check")</x:f>
        <x:v>Open check</x:v>
      </x:c>
      <x:c r="M670" s="2" t="str">
        <x:v>Checklist</x:v>
      </x:c>
      <x:c r="N670" s="2" t="str">
        <x:v>DR.FC.1.3.C08.2026.CY4</x:v>
      </x:c>
      <x:c r="O670" s="2" t="n">
        <x:f>R670</x:f>
        <x:v>0</x:v>
      </x:c>
      <x:c r="P670" s="2" t="str">
        <x:v>DR.FC.1.3.2026.CY4</x:v>
      </x:c>
      <x:c r="Q670" s="2" t="n">
        <x:v>0</x:v>
      </x:c>
      <x:c r="R670" s="2" t="n">
        <x:f>IF(A670,1,0)</x:f>
        <x:v>0</x:v>
      </x:c>
      <x:c r="S670" s="2" t="n">
        <x:f>SUBTOTAL(103,N670)</x:f>
        <x:v>1</x:v>
      </x:c>
    </x:row>
    <x:row r="671" ht="31" customHeight="1" outlineLevel="1">
      <x:c r="A671" s="28" t="b">
        <x:v>0</x:v>
      </x:c>
      <x:c r="B671" s="36" t="str">
        <x:v>Cycle 4</x:v>
      </x:c>
      <x:c r="C671" s="36" t="str">
        <x:v>Phase 1</x:v>
      </x:c>
      <x:c r="D671" s="36" t="str">
        <x:v>FCM</x:v>
      </x:c>
      <x:c r="E671" s="69" t="str">
        <x:v>DR.FC.1.3.C09</x:v>
      </x:c>
      <x:c r="F671" s="37" t="str">
        <x:v>    Document any data limitations or constraints clearly (as needed)</x:v>
      </x:c>
      <x:c r="G671" s="5"/>
      <x:c r="H671" s="11"/>
      <x:c r="I671" s="11"/>
      <x:c r="J671" s="11"/>
      <x:c r="K671" s="29"/>
      <x:c r="L671" s="2" t="str">
        <x:f>IF(A671,"Complete","Open check")</x:f>
        <x:v>Open check</x:v>
      </x:c>
      <x:c r="M671" s="2" t="str">
        <x:v>Checklist</x:v>
      </x:c>
      <x:c r="N671" s="2" t="str">
        <x:v>DR.FC.1.3.C09.2026.CY4</x:v>
      </x:c>
      <x:c r="O671" s="2" t="n">
        <x:f>R671</x:f>
        <x:v>0</x:v>
      </x:c>
      <x:c r="P671" s="2" t="str">
        <x:v>DR.FC.1.3.2026.CY4</x:v>
      </x:c>
      <x:c r="Q671" s="2" t="n">
        <x:v>0</x:v>
      </x:c>
      <x:c r="R671" s="2" t="n">
        <x:f>IF(A671,1,0)</x:f>
        <x:v>0</x:v>
      </x:c>
      <x:c r="S671" s="2" t="n">
        <x:f>SUBTOTAL(103,N671)</x:f>
        <x:v>1</x:v>
      </x:c>
    </x:row>
    <x:row r="672" ht="31" customHeight="1" outlineLevel="1">
      <x:c r="A672" s="28" t="b">
        <x:v>0</x:v>
      </x:c>
      <x:c r="B672" s="36" t="str">
        <x:v>Cycle 4</x:v>
      </x:c>
      <x:c r="C672" s="36" t="str">
        <x:v>Phase 1</x:v>
      </x:c>
      <x:c r="D672" s="36" t="str">
        <x:v>FCM</x:v>
      </x:c>
      <x:c r="E672" s="69" t="str">
        <x:v>DR.FC.1.3.C10</x:v>
      </x:c>
      <x:c r="F672" s="37" t="str">
        <x:v>    Document data dictionary or field definitions for columns/rows</x:v>
      </x:c>
      <x:c r="G672" s="5"/>
      <x:c r="H672" s="11"/>
      <x:c r="I672" s="11"/>
      <x:c r="J672" s="11"/>
      <x:c r="K672" s="29"/>
      <x:c r="L672" s="2" t="str">
        <x:f>IF(A672,"Complete","Open check")</x:f>
        <x:v>Open check</x:v>
      </x:c>
      <x:c r="M672" s="2" t="str">
        <x:v>Checklist</x:v>
      </x:c>
      <x:c r="N672" s="2" t="str">
        <x:v>DR.FC.1.3.C10.2026.CY4</x:v>
      </x:c>
      <x:c r="O672" s="2" t="n">
        <x:f>R672</x:f>
        <x:v>0</x:v>
      </x:c>
      <x:c r="P672" s="2" t="str">
        <x:v>DR.FC.1.3.2026.CY4</x:v>
      </x:c>
      <x:c r="Q672" s="2" t="n">
        <x:v>0</x:v>
      </x:c>
      <x:c r="R672" s="2" t="n">
        <x:f>IF(A672,1,0)</x:f>
        <x:v>0</x:v>
      </x:c>
      <x:c r="S672" s="2" t="n">
        <x:f>SUBTOTAL(103,N672)</x:f>
        <x:v>1</x:v>
      </x:c>
    </x:row>
    <x:row r="673" ht="31" customHeight="1" outlineLevel="1">
      <x:c r="A673" s="28" t="b">
        <x:v>0</x:v>
      </x:c>
      <x:c r="B673" s="36" t="str">
        <x:v>Cycle 4</x:v>
      </x:c>
      <x:c r="C673" s="36" t="str">
        <x:v>Phase 1</x:v>
      </x:c>
      <x:c r="D673" s="36" t="str">
        <x:v>FCM</x:v>
      </x:c>
      <x:c r="E673" s="69" t="str">
        <x:v>DR.FC.1.3.C11</x:v>
      </x:c>
      <x:c r="F673" s="37" t="str">
        <x:v>    Document emerging trends, patterns, or concentrations along with supporting data</x:v>
      </x:c>
      <x:c r="G673" s="5"/>
      <x:c r="H673" s="11"/>
      <x:c r="I673" s="11"/>
      <x:c r="J673" s="11"/>
      <x:c r="K673" s="29"/>
      <x:c r="L673" s="2" t="str">
        <x:f>IF(A673,"Complete","Open check")</x:f>
        <x:v>Open check</x:v>
      </x:c>
      <x:c r="M673" s="2" t="str">
        <x:v>Checklist</x:v>
      </x:c>
      <x:c r="N673" s="2" t="str">
        <x:v>DR.FC.1.3.C11.2026.CY4</x:v>
      </x:c>
      <x:c r="O673" s="2" t="n">
        <x:f>R673</x:f>
        <x:v>0</x:v>
      </x:c>
      <x:c r="P673" s="2" t="str">
        <x:v>DR.FC.1.3.2026.CY4</x:v>
      </x:c>
      <x:c r="Q673" s="2" t="n">
        <x:v>0</x:v>
      </x:c>
      <x:c r="R673" s="2" t="n">
        <x:f>IF(A673,1,0)</x:f>
        <x:v>0</x:v>
      </x:c>
      <x:c r="S673" s="2" t="n">
        <x:f>SUBTOTAL(103,N673)</x:f>
        <x:v>1</x:v>
      </x:c>
    </x:row>
    <x:row r="674" ht="31" customHeight="1" outlineLevel="1">
      <x:c r="A674" s="28" t="b">
        <x:v>0</x:v>
      </x:c>
      <x:c r="B674" s="36" t="str">
        <x:v>Cycle 4</x:v>
      </x:c>
      <x:c r="C674" s="36" t="str">
        <x:v>Phase 1</x:v>
      </x:c>
      <x:c r="D674" s="36" t="str">
        <x:v>FCM</x:v>
      </x:c>
      <x:c r="E674" s="69" t="str">
        <x:v>DR.FC.1.3.C12</x:v>
      </x:c>
      <x:c r="F674" s="37" t="str">
        <x:v>    Document any severe spikes in volume along with context (as needed)</x:v>
      </x:c>
      <x:c r="G674" s="5"/>
      <x:c r="H674" s="11"/>
      <x:c r="I674" s="11"/>
      <x:c r="J674" s="11"/>
      <x:c r="K674" s="29"/>
      <x:c r="L674" s="2" t="str">
        <x:f>IF(A674,"Complete","Open check")</x:f>
        <x:v>Open check</x:v>
      </x:c>
      <x:c r="M674" s="2" t="str">
        <x:v>Checklist</x:v>
      </x:c>
      <x:c r="N674" s="2" t="str">
        <x:v>DR.FC.1.3.C12.2026.CY4</x:v>
      </x:c>
      <x:c r="O674" s="2" t="n">
        <x:f>R674</x:f>
        <x:v>0</x:v>
      </x:c>
      <x:c r="P674" s="2" t="str">
        <x:v>DR.FC.1.3.2026.CY4</x:v>
      </x:c>
      <x:c r="Q674" s="2" t="n">
        <x:v>0</x:v>
      </x:c>
      <x:c r="R674" s="2" t="n">
        <x:f>IF(A674,1,0)</x:f>
        <x:v>0</x:v>
      </x:c>
      <x:c r="S674" s="2" t="n">
        <x:f>SUBTOTAL(103,N674)</x:f>
        <x:v>1</x:v>
      </x:c>
    </x:row>
    <x:row r="675" ht="31" customHeight="1" outlineLevel="1">
      <x:c r="A675" s="28" t="b">
        <x:v>0</x:v>
      </x:c>
      <x:c r="B675" s="36" t="str">
        <x:v>Cycle 4</x:v>
      </x:c>
      <x:c r="C675" s="36" t="str">
        <x:v>Phase 1</x:v>
      </x:c>
      <x:c r="D675" s="36" t="str">
        <x:v>FCM</x:v>
      </x:c>
      <x:c r="E675" s="69" t="str">
        <x:v>DR.FC.1.3.C13</x:v>
      </x:c>
      <x:c r="F675" s="37" t="str">
        <x:v>    Document clear summary explaining how the data connects to the potential topic</x:v>
      </x:c>
      <x:c r="G675" s="5"/>
      <x:c r="H675" s="11"/>
      <x:c r="I675" s="11"/>
      <x:c r="J675" s="11"/>
      <x:c r="K675" s="29"/>
      <x:c r="L675" s="2" t="str">
        <x:f>IF(A675,"Complete","Open check")</x:f>
        <x:v>Open check</x:v>
      </x:c>
      <x:c r="M675" s="2" t="str">
        <x:v>Checklist</x:v>
      </x:c>
      <x:c r="N675" s="2" t="str">
        <x:v>DR.FC.1.3.C13.2026.CY4</x:v>
      </x:c>
      <x:c r="O675" s="2" t="n">
        <x:f>R675</x:f>
        <x:v>0</x:v>
      </x:c>
      <x:c r="P675" s="2" t="str">
        <x:v>DR.FC.1.3.2026.CY4</x:v>
      </x:c>
      <x:c r="Q675" s="2" t="n">
        <x:v>0</x:v>
      </x:c>
      <x:c r="R675" s="2" t="n">
        <x:f>IF(A675,1,0)</x:f>
        <x:v>0</x:v>
      </x:c>
      <x:c r="S675" s="2" t="n">
        <x:f>SUBTOTAL(103,N675)</x:f>
        <x:v>1</x:v>
      </x:c>
    </x:row>
    <x:row r="676" ht="42" customHeight="1">
      <x:c r="A676" s="28" t="b">
        <x:v>0</x:v>
      </x:c>
      <x:c r="B676" s="2" t="str">
        <x:v>Cycle 4</x:v>
      </x:c>
      <x:c r="C676" s="2" t="str">
        <x:v>Phase 2</x:v>
      </x:c>
      <x:c r="D676" s="2" t="str">
        <x:v>FCM</x:v>
      </x:c>
      <x:c r="E676" s="56" t="str">
        <x:v>DR.FC.2.1</x:v>
      </x:c>
      <x:c r="F676" s="14" t="str">
        <x:v>Ensure data is clean, structured, and usable without manipulation needed</x:v>
      </x:c>
      <x:c r="G676" s="5"/>
      <x:c r="H676" s="11"/>
      <x:c r="I676" s="11" t="n">
        <x:f>'Cycles &amp; Guide'!$D$13</x:f>
        <x:v>46387</x:v>
      </x:c>
      <x:c r="J676" s="11"/>
      <x:c r="K676" s="29"/>
      <x:c r="L676" s="2" t="str">
        <x:f>IF(O676=1,"Complete",IF(A676,"Checklist open",IF(H676&lt;&gt;"","In progress","Not started")))</x:f>
        <x:v>Not started</x:v>
      </x:c>
      <x:c r="M676" s="2" t="str">
        <x:v>Task</x:v>
      </x:c>
      <x:c r="N676" s="2" t="str">
        <x:v>DR.FC.2.1.2026.CY4</x:v>
      </x:c>
      <x:c r="O676" s="2" t="n">
        <x:f>R676</x:f>
        <x:v>0</x:v>
      </x:c>
      <x:c r="P676" s="2"/>
      <x:c r="Q676" s="2" t="n">
        <x:v>1</x:v>
      </x:c>
      <x:c r="R676" s="2" t="n">
        <x:f>IF(A676,1,0)</x:f>
        <x:v>0</x:v>
      </x:c>
      <x:c r="S676" s="2" t="n">
        <x:f>SUBTOTAL(103,N676)</x:f>
        <x:v>1</x:v>
      </x:c>
    </x:row>
    <x:row r="677" ht="42" customHeight="1">
      <x:c r="A677" s="28" t="b">
        <x:v>0</x:v>
      </x:c>
      <x:c r="B677" s="2" t="str">
        <x:v>Cycle 4</x:v>
      </x:c>
      <x:c r="C677" s="2" t="str">
        <x:v>Phase 2</x:v>
      </x:c>
      <x:c r="D677" s="2" t="str">
        <x:v>FCM</x:v>
      </x:c>
      <x:c r="E677" s="56" t="str">
        <x:v>DR.FC.2.2</x:v>
      </x:c>
      <x:c r="F677" s="14" t="str">
        <x:v>Clearly document rationale for each topic recommendation within the SharePoint list</x:v>
      </x:c>
      <x:c r="G677" s="5"/>
      <x:c r="H677" s="11"/>
      <x:c r="I677" s="11" t="n">
        <x:f>'Cycles &amp; Guide'!$D$13</x:f>
        <x:v>46387</x:v>
      </x:c>
      <x:c r="J677" s="11"/>
      <x:c r="K677" s="29"/>
      <x:c r="L677" s="2" t="str">
        <x:f>IF(O677=1,"Complete",IF(A677,"Checklist open",IF(H677&lt;&gt;"","In progress","Not started")))</x:f>
        <x:v>Not started</x:v>
      </x:c>
      <x:c r="M677" s="2" t="str">
        <x:v>Task</x:v>
      </x:c>
      <x:c r="N677" s="2" t="str">
        <x:v>DR.FC.2.2.2026.CY4</x:v>
      </x:c>
      <x:c r="O677" s="2" t="n">
        <x:f>R677</x:f>
        <x:v>0</x:v>
      </x:c>
      <x:c r="P677" s="2"/>
      <x:c r="Q677" s="2" t="n">
        <x:v>1</x:v>
      </x:c>
      <x:c r="R677" s="2" t="n">
        <x:f>IF(A677,1,0)</x:f>
        <x:v>0</x:v>
      </x:c>
      <x:c r="S677" s="2" t="n">
        <x:f>SUBTOTAL(103,N677)</x:f>
        <x:v>1</x:v>
      </x:c>
    </x:row>
    <x:row r="678" ht="42" customHeight="1">
      <x:c r="A678" s="28" t="b">
        <x:v>0</x:v>
      </x:c>
      <x:c r="B678" s="2" t="str">
        <x:v>Cycle 4</x:v>
      </x:c>
      <x:c r="C678" s="2" t="str">
        <x:v>Phase 2</x:v>
      </x:c>
      <x:c r="D678" s="2" t="str">
        <x:v>FCM</x:v>
      </x:c>
      <x:c r="E678" s="56" t="str">
        <x:v>DR.FC.2.3</x:v>
      </x:c>
      <x:c r="F678" s="14" t="str">
        <x:v>Verify topic is eligible for RCA and does not conflict with Attorney Client Privilege</x:v>
      </x:c>
      <x:c r="G678" s="5"/>
      <x:c r="H678" s="11"/>
      <x:c r="I678" s="11" t="n">
        <x:f>'Cycles &amp; Guide'!$D$13</x:f>
        <x:v>46387</x:v>
      </x:c>
      <x:c r="J678" s="11"/>
      <x:c r="K678" s="29"/>
      <x:c r="L678" s="2" t="str">
        <x:f>IF(O678=1,"Complete",IF(A678,"Checklist open",IF(H678&lt;&gt;"","In progress","Not started")))</x:f>
        <x:v>Not started</x:v>
      </x:c>
      <x:c r="M678" s="2" t="str">
        <x:v>Task</x:v>
      </x:c>
      <x:c r="N678" s="2" t="str">
        <x:v>DR.FC.2.3.2026.CY4</x:v>
      </x:c>
      <x:c r="O678" s="2" t="n">
        <x:f>R678</x:f>
        <x:v>0</x:v>
      </x:c>
      <x:c r="P678" s="2"/>
      <x:c r="Q678" s="2" t="n">
        <x:v>1</x:v>
      </x:c>
      <x:c r="R678" s="2" t="n">
        <x:f>IF(A678,1,0)</x:f>
        <x:v>0</x:v>
      </x:c>
      <x:c r="S678" s="2" t="n">
        <x:f>SUBTOTAL(103,N678)</x:f>
        <x:v>1</x:v>
      </x:c>
    </x:row>
    <x:row r="679" ht="42" customHeight="1">
      <x:c r="A679" s="28" t="b">
        <x:v>0</x:v>
      </x:c>
      <x:c r="B679" s="2" t="str">
        <x:v>Cycle 4</x:v>
      </x:c>
      <x:c r="C679" s="2" t="str">
        <x:v>Phase 2</x:v>
      </x:c>
      <x:c r="D679" s="2" t="str">
        <x:v>FCM</x:v>
      </x:c>
      <x:c r="E679" s="56" t="str">
        <x:v>DR.FC.2.4</x:v>
      </x:c>
      <x:c r="F679" s="14" t="str">
        <x:v>Ensure data is free of errors and anomalies prior to hand-off to Research</x:v>
      </x:c>
      <x:c r="G679" s="5"/>
      <x:c r="H679" s="11"/>
      <x:c r="I679" s="11" t="n">
        <x:f>'Cycles &amp; Guide'!$D$13</x:f>
        <x:v>46387</x:v>
      </x:c>
      <x:c r="J679" s="11"/>
      <x:c r="K679" s="29"/>
      <x:c r="L679" s="2" t="str">
        <x:f>IF(O679=1,"Complete",IF(A679,"Checklist open",IF(H679&lt;&gt;"","In progress","Not started")))</x:f>
        <x:v>Not started</x:v>
      </x:c>
      <x:c r="M679" s="2" t="str">
        <x:v>Task</x:v>
      </x:c>
      <x:c r="N679" s="2" t="str">
        <x:v>DR.FC.2.4.2026.CY4</x:v>
      </x:c>
      <x:c r="O679" s="2" t="n">
        <x:f>R679</x:f>
        <x:v>0</x:v>
      </x:c>
      <x:c r="P679" s="2"/>
      <x:c r="Q679" s="2" t="n">
        <x:v>1</x:v>
      </x:c>
      <x:c r="R679" s="2" t="n">
        <x:f>IF(A679,1,0)</x:f>
        <x:v>0</x:v>
      </x:c>
      <x:c r="S679" s="2" t="n">
        <x:f>SUBTOTAL(103,N679)</x:f>
        <x:v>1</x:v>
      </x:c>
    </x:row>
    <x:row r="680" ht="42" customHeight="1">
      <x:c r="A680" s="28" t="b">
        <x:v>0</x:v>
      </x:c>
      <x:c r="B680" s="2" t="str">
        <x:v>Cycle 4</x:v>
      </x:c>
      <x:c r="C680" s="2" t="str">
        <x:v>Phase 2</x:v>
      </x:c>
      <x:c r="D680" s="2" t="str">
        <x:v>FCM</x:v>
      </x:c>
      <x:c r="E680" s="56" t="str">
        <x:v>DR.FC.2.5</x:v>
      </x:c>
      <x:c r="F680" s="14" t="str">
        <x:v>Ensure topic is not a duplicate from a previous Cycle</x:v>
      </x:c>
      <x:c r="G680" s="5"/>
      <x:c r="H680" s="11"/>
      <x:c r="I680" s="11" t="n">
        <x:f>'Cycles &amp; Guide'!$D$13</x:f>
        <x:v>46387</x:v>
      </x:c>
      <x:c r="J680" s="11"/>
      <x:c r="K680" s="29"/>
      <x:c r="L680" s="2" t="str">
        <x:f>IF(O680=1,"Complete",IF(A680,"Checklist open",IF(H680&lt;&gt;"","In progress","Not started")))</x:f>
        <x:v>Not started</x:v>
      </x:c>
      <x:c r="M680" s="2" t="str">
        <x:v>Task</x:v>
      </x:c>
      <x:c r="N680" s="2" t="str">
        <x:v>DR.FC.2.5.2026.CY4</x:v>
      </x:c>
      <x:c r="O680" s="2" t="n">
        <x:f>R680</x:f>
        <x:v>0</x:v>
      </x:c>
      <x:c r="P680" s="2"/>
      <x:c r="Q680" s="2" t="n">
        <x:v>1</x:v>
      </x:c>
      <x:c r="R680" s="2" t="n">
        <x:f>IF(A680,1,0)</x:f>
        <x:v>0</x:v>
      </x:c>
      <x:c r="S680" s="2" t="n">
        <x:f>SUBTOTAL(103,N680)</x:f>
        <x:v>1</x:v>
      </x:c>
    </x:row>
    <x:row r="681" ht="42" customHeight="1">
      <x:c r="A681" s="28" t="b">
        <x:v>0</x:v>
      </x:c>
      <x:c r="B681" s="2" t="str">
        <x:v>Cycle 4</x:v>
      </x:c>
      <x:c r="C681" s="2" t="str">
        <x:v>Phase 2</x:v>
      </x:c>
      <x:c r="D681" s="2" t="str">
        <x:v>FCM</x:v>
      </x:c>
      <x:c r="E681" s="56" t="str">
        <x:v>DR.FC.2.6</x:v>
      </x:c>
      <x:c r="F681" s="14" t="str">
        <x:v>Document clear distinctions between facts, assumptions, and hypotheses within the data package</x:v>
      </x:c>
      <x:c r="G681" s="5"/>
      <x:c r="H681" s="11"/>
      <x:c r="I681" s="11" t="n">
        <x:f>'Cycles &amp; Guide'!$D$13</x:f>
        <x:v>46387</x:v>
      </x:c>
      <x:c r="J681" s="11"/>
      <x:c r="K681" s="29"/>
      <x:c r="L681" s="2" t="str">
        <x:f>IF(O681=1,"Complete",IF(A681,"Checklist open",IF(H681&lt;&gt;"","In progress","Not started")))</x:f>
        <x:v>Not started</x:v>
      </x:c>
      <x:c r="M681" s="2" t="str">
        <x:v>Task</x:v>
      </x:c>
      <x:c r="N681" s="2" t="str">
        <x:v>DR.FC.2.6.2026.CY4</x:v>
      </x:c>
      <x:c r="O681" s="2" t="n">
        <x:f>R681</x:f>
        <x:v>0</x:v>
      </x:c>
      <x:c r="P681" s="2"/>
      <x:c r="Q681" s="2" t="n">
        <x:v>1</x:v>
      </x:c>
      <x:c r="R681" s="2" t="n">
        <x:f>IF(A681,1,0)</x:f>
        <x:v>0</x:v>
      </x:c>
      <x:c r="S681" s="2" t="n">
        <x:f>SUBTOTAL(103,N681)</x:f>
        <x:v>1</x:v>
      </x:c>
    </x:row>
    <x:row r="682" ht="42" customHeight="1">
      <x:c r="A682" s="28" t="b">
        <x:v>0</x:v>
      </x:c>
      <x:c r="B682" s="2" t="str">
        <x:v>Cycle 4</x:v>
      </x:c>
      <x:c r="C682" s="2" t="str">
        <x:v>Phase 3</x:v>
      </x:c>
      <x:c r="D682" s="2" t="str">
        <x:v>FCM</x:v>
      </x:c>
      <x:c r="E682" s="56" t="str">
        <x:v>DR.FC.3.1</x:v>
      </x:c>
      <x:c r="F682" s="14" t="str">
        <x:v>Clearly document rationale for each topic recommendation within the SharePoint list item</x:v>
      </x:c>
      <x:c r="G682" s="5"/>
      <x:c r="H682" s="11"/>
      <x:c r="I682" s="11" t="n">
        <x:f>'Cycles &amp; Guide'!$D$13</x:f>
        <x:v>46387</x:v>
      </x:c>
      <x:c r="J682" s="11"/>
      <x:c r="K682" s="29"/>
      <x:c r="L682" s="2" t="str">
        <x:f>IF(O682=1,"Complete",IF(A682,"Checklist open",IF(H682&lt;&gt;"","In progress","Not started")))</x:f>
        <x:v>Not started</x:v>
      </x:c>
      <x:c r="M682" s="2" t="str">
        <x:v>Task</x:v>
      </x:c>
      <x:c r="N682" s="2" t="str">
        <x:v>DR.FC.3.1.2026.CY4</x:v>
      </x:c>
      <x:c r="O682" s="2" t="n">
        <x:f>R682</x:f>
        <x:v>0</x:v>
      </x:c>
      <x:c r="P682" s="2"/>
      <x:c r="Q682" s="2" t="n">
        <x:v>1</x:v>
      </x:c>
      <x:c r="R682" s="2" t="n">
        <x:f>IF(A682,1,0)</x:f>
        <x:v>0</x:v>
      </x:c>
      <x:c r="S682" s="2" t="n">
        <x:f>SUBTOTAL(103,N682)</x:f>
        <x:v>1</x:v>
      </x:c>
    </x:row>
    <x:row r="683" ht="42" customHeight="1">
      <x:c r="A683" s="28" t="b">
        <x:v>0</x:v>
      </x:c>
      <x:c r="B683" s="2" t="str">
        <x:v>Cycle 4</x:v>
      </x:c>
      <x:c r="C683" s="2" t="str">
        <x:v>Phase 3</x:v>
      </x:c>
      <x:c r="D683" s="2" t="str">
        <x:v>FCM</x:v>
      </x:c>
      <x:c r="E683" s="56" t="str">
        <x:v>DR.FC.3.2</x:v>
      </x:c>
      <x:c r="F683" s="14" t="str">
        <x:v>Attach the data package for each topic recommendation within the SharePoint list item</x:v>
      </x:c>
      <x:c r="G683" s="5"/>
      <x:c r="H683" s="11"/>
      <x:c r="I683" s="11" t="n">
        <x:f>'Cycles &amp; Guide'!$D$13</x:f>
        <x:v>46387</x:v>
      </x:c>
      <x:c r="J683" s="11"/>
      <x:c r="K683" s="29"/>
      <x:c r="L683" s="2" t="str">
        <x:f>IF(O683=1,"Complete",IF(A683,"Checklist open",IF(H683&lt;&gt;"","In progress","Not started")))</x:f>
        <x:v>Not started</x:v>
      </x:c>
      <x:c r="M683" s="2" t="str">
        <x:v>Task</x:v>
      </x:c>
      <x:c r="N683" s="2" t="str">
        <x:v>DR.FC.3.2.2026.CY4</x:v>
      </x:c>
      <x:c r="O683" s="2" t="n">
        <x:f>R683</x:f>
        <x:v>0</x:v>
      </x:c>
      <x:c r="P683" s="2"/>
      <x:c r="Q683" s="2" t="n">
        <x:v>1</x:v>
      </x:c>
      <x:c r="R683" s="2" t="n">
        <x:f>IF(A683,1,0)</x:f>
        <x:v>0</x:v>
      </x:c>
      <x:c r="S683" s="2" t="n">
        <x:f>SUBTOTAL(103,N683)</x:f>
        <x:v>1</x:v>
      </x:c>
    </x:row>
    <x:row r="684" ht="42" customHeight="1">
      <x:c r="A684" s="28" t="b">
        <x:v>0</x:v>
      </x:c>
      <x:c r="B684" s="2" t="str">
        <x:v>Cycle 4</x:v>
      </x:c>
      <x:c r="C684" s="2" t="str">
        <x:v>Phase 3</x:v>
      </x:c>
      <x:c r="D684" s="2" t="str">
        <x:v>FCM</x:v>
      </x:c>
      <x:c r="E684" s="56" t="str">
        <x:v>DR.FC.3.3</x:v>
      </x:c>
      <x:c r="F684" s="14" t="str">
        <x:v>Confirm data privileges have been granted, ensuring each pillar can access</x:v>
      </x:c>
      <x:c r="G684" s="5"/>
      <x:c r="H684" s="11"/>
      <x:c r="I684" s="11" t="n">
        <x:f>'Cycles &amp; Guide'!$D$13</x:f>
        <x:v>46387</x:v>
      </x:c>
      <x:c r="J684" s="11"/>
      <x:c r="K684" s="29"/>
      <x:c r="L684" s="2" t="str">
        <x:f>IF(O684=1,"Complete",IF(A684,"Checklist open",IF(H684&lt;&gt;"","In progress","Not started")))</x:f>
        <x:v>Not started</x:v>
      </x:c>
      <x:c r="M684" s="2" t="str">
        <x:v>Task</x:v>
      </x:c>
      <x:c r="N684" s="2" t="str">
        <x:v>DR.FC.3.3.2026.CY4</x:v>
      </x:c>
      <x:c r="O684" s="2" t="n">
        <x:f>R684</x:f>
        <x:v>0</x:v>
      </x:c>
      <x:c r="P684" s="2"/>
      <x:c r="Q684" s="2" t="n">
        <x:v>1</x:v>
      </x:c>
      <x:c r="R684" s="2" t="n">
        <x:f>IF(A684,1,0)</x:f>
        <x:v>0</x:v>
      </x:c>
      <x:c r="S684" s="2" t="n">
        <x:f>SUBTOTAL(103,N684)</x:f>
        <x:v>1</x:v>
      </x:c>
    </x:row>
    <x:row r="685" ht="42" customHeight="1">
      <x:c r="A685" s="28" t="b">
        <x:v>0</x:v>
      </x:c>
      <x:c r="B685" s="2" t="str">
        <x:v>Cycle 4</x:v>
      </x:c>
      <x:c r="C685" s="2" t="str">
        <x:v>Phase 3</x:v>
      </x:c>
      <x:c r="D685" s="2" t="str">
        <x:v>FCM</x:v>
      </x:c>
      <x:c r="E685" s="56" t="str">
        <x:v>DR.FC.3.4</x:v>
      </x:c>
      <x:c r="F685" s="14" t="str">
        <x:v>Ensure Power Automate notifications were correctly triggered within Microsoft Teams</x:v>
      </x:c>
      <x:c r="G685" s="5"/>
      <x:c r="H685" s="11"/>
      <x:c r="I685" s="11" t="n">
        <x:f>'Cycles &amp; Guide'!$D$13</x:f>
        <x:v>46387</x:v>
      </x:c>
      <x:c r="J685" s="11"/>
      <x:c r="K685" s="29"/>
      <x:c r="L685" s="2" t="str">
        <x:f>IF(O685=1,"Complete",IF(A685,"Checklist open",IF(H685&lt;&gt;"","In progress","Not started")))</x:f>
        <x:v>Not started</x:v>
      </x:c>
      <x:c r="M685" s="2" t="str">
        <x:v>Task</x:v>
      </x:c>
      <x:c r="N685" s="2" t="str">
        <x:v>DR.FC.3.4.2026.CY4</x:v>
      </x:c>
      <x:c r="O685" s="2" t="n">
        <x:f>R685</x:f>
        <x:v>0</x:v>
      </x:c>
      <x:c r="P685" s="2"/>
      <x:c r="Q685" s="2" t="n">
        <x:v>1</x:v>
      </x:c>
      <x:c r="R685" s="2" t="n">
        <x:f>IF(A685,1,0)</x:f>
        <x:v>0</x:v>
      </x:c>
      <x:c r="S685" s="2" t="n">
        <x:f>SUBTOTAL(103,N685)</x:f>
        <x:v>1</x:v>
      </x:c>
    </x:row>
    <x:row r="686" ht="42" customHeight="1">
      <x:c r="A686" s="28" t="b">
        <x:v>0</x:v>
      </x:c>
      <x:c r="B686" s="2" t="str">
        <x:v>Cycle 4</x:v>
      </x:c>
      <x:c r="C686" s="2" t="str">
        <x:v>Phase 1</x:v>
      </x:c>
      <x:c r="D686" s="2" t="str">
        <x:v>PLL</x:v>
      </x:c>
      <x:c r="E686" s="56" t="str">
        <x:v>DR.PL.1.1</x:v>
      </x:c>
      <x:c r="F686" s="14" t="str">
        <x:v>Review data sources 3 weeks prior to Cycle start (Complaints, Gen AI, Loudspeaker, NPS, etc.)</x:v>
      </x:c>
      <x:c r="G686" s="5"/>
      <x:c r="H686" s="11"/>
      <x:c r="I686" s="11" t="n">
        <x:f>'Cycles &amp; Guide'!$C$13-21</x:f>
        <x:v>46275</x:v>
      </x:c>
      <x:c r="J686" s="11"/>
      <x:c r="K686" s="29"/>
      <x:c r="L686" s="2" t="str">
        <x:f>IF(O686=1,"Complete",IF(A686,"Checklist open",IF(H686&lt;&gt;"","In progress","Not started")))</x:f>
        <x:v>Not started</x:v>
      </x:c>
      <x:c r="M686" s="2" t="str">
        <x:v>Task</x:v>
      </x:c>
      <x:c r="N686" s="2" t="str">
        <x:v>DR.PL.1.1.2026.CY4</x:v>
      </x:c>
      <x:c r="O686" s="2" t="n">
        <x:f>R686</x:f>
        <x:v>0</x:v>
      </x:c>
      <x:c r="P686" s="2"/>
      <x:c r="Q686" s="2" t="n">
        <x:v>1</x:v>
      </x:c>
      <x:c r="R686" s="2" t="n">
        <x:f>IF(A686,1,0)</x:f>
        <x:v>0</x:v>
      </x:c>
      <x:c r="S686" s="2" t="n">
        <x:f>SUBTOTAL(103,N686)</x:f>
        <x:v>1</x:v>
      </x:c>
    </x:row>
    <x:row r="687" ht="42" customHeight="1">
      <x:c r="A687" s="28" t="b">
        <x:v>0</x:v>
      </x:c>
      <x:c r="B687" s="2" t="str">
        <x:v>Cycle 4</x:v>
      </x:c>
      <x:c r="C687" s="2" t="str">
        <x:v>Phase 1</x:v>
      </x:c>
      <x:c r="D687" s="2" t="str">
        <x:v>PLL</x:v>
      </x:c>
      <x:c r="E687" s="56" t="str">
        <x:v>DR.PL.1.2</x:v>
      </x:c>
      <x:c r="F687" s="14" t="str">
        <x:v>Identify two potential topics for the upcoming Cycle</x:v>
      </x:c>
      <x:c r="G687" s="5"/>
      <x:c r="H687" s="11"/>
      <x:c r="I687" s="11" t="n">
        <x:f>'Cycles &amp; Guide'!$D$13</x:f>
        <x:v>46387</x:v>
      </x:c>
      <x:c r="J687" s="11"/>
      <x:c r="K687" s="29"/>
      <x:c r="L687" s="2" t="str">
        <x:f>IF(O687=1,"Complete",IF(A687,"Checklist open",IF(H687&lt;&gt;"","In progress","Not started")))</x:f>
        <x:v>Not started</x:v>
      </x:c>
      <x:c r="M687" s="2" t="str">
        <x:v>Task</x:v>
      </x:c>
      <x:c r="N687" s="2" t="str">
        <x:v>DR.PL.1.2.2026.CY4</x:v>
      </x:c>
      <x:c r="O687" s="2" t="n">
        <x:f>R687</x:f>
        <x:v>0</x:v>
      </x:c>
      <x:c r="P687" s="2"/>
      <x:c r="Q687" s="2" t="n">
        <x:v>1</x:v>
      </x:c>
      <x:c r="R687" s="2" t="n">
        <x:f>IF(A687,1,0)</x:f>
        <x:v>0</x:v>
      </x:c>
      <x:c r="S687" s="2" t="n">
        <x:f>SUBTOTAL(103,N687)</x:f>
        <x:v>1</x:v>
      </x:c>
    </x:row>
    <x:row r="688" ht="42" customHeight="1">
      <x:c r="A688" s="28" t="b">
        <x:v>0</x:v>
      </x:c>
      <x:c r="B688" s="2" t="str">
        <x:v>Cycle 4</x:v>
      </x:c>
      <x:c r="C688" s="2" t="str">
        <x:v>Phase 1</x:v>
      </x:c>
      <x:c r="D688" s="2" t="str">
        <x:v>PLL</x:v>
      </x:c>
      <x:c r="E688" s="68" t="str">
        <x:v>DR.PL.1.3</x:v>
      </x:c>
      <x:c r="F688" s="33" t="str">
        <x:v>Extract data for both potential topics, ensuring all checklist items below are included/completed</x:v>
      </x:c>
      <x:c r="G688" s="5"/>
      <x:c r="H688" s="11"/>
      <x:c r="I688" s="11" t="n">
        <x:f>'Cycles &amp; Guide'!$D$13</x:f>
        <x:v>46387</x:v>
      </x:c>
      <x:c r="J688" s="11"/>
      <x:c r="K688" s="29"/>
      <x:c r="L688" s="2" t="str">
        <x:f>IF(O688=1,"Complete",IF(A688,"Checklist open",IF(H688&lt;&gt;"","In progress","Not started")))</x:f>
        <x:v>Not started</x:v>
      </x:c>
      <x:c r="M688" s="2" t="str">
        <x:v>Task</x:v>
      </x:c>
      <x:c r="N688" s="2" t="str">
        <x:v>DR.PL.1.3.2026.CY4</x:v>
      </x:c>
      <x:c r="O688" s="2" t="n">
        <x:f>IF(A688,IF(SUMIFS($R$10:$R$737,$P$10:$P$737,N688)=13,1,0),0)</x:f>
        <x:v>0</x:v>
      </x:c>
      <x:c r="P688" s="2"/>
      <x:c r="Q688" s="2" t="n">
        <x:v>1</x:v>
      </x:c>
      <x:c r="R688" s="2" t="n">
        <x:f>IF(A688,1,0)</x:f>
        <x:v>0</x:v>
      </x:c>
      <x:c r="S688" s="2" t="n">
        <x:f>SUBTOTAL(103,N688)</x:f>
        <x:v>1</x:v>
      </x:c>
    </x:row>
    <x:row r="689" ht="31" customHeight="1" outlineLevel="1">
      <x:c r="A689" s="28" t="b">
        <x:v>0</x:v>
      </x:c>
      <x:c r="B689" s="36" t="str">
        <x:v>Cycle 4</x:v>
      </x:c>
      <x:c r="C689" s="36" t="str">
        <x:v>Phase 1</x:v>
      </x:c>
      <x:c r="D689" s="36" t="str">
        <x:v>PLL</x:v>
      </x:c>
      <x:c r="E689" s="69" t="str">
        <x:v>DR.PL.1.3.C01</x:v>
      </x:c>
      <x:c r="F689" s="37" t="str">
        <x:v>    Document date range extracted</x:v>
      </x:c>
      <x:c r="G689" s="5"/>
      <x:c r="H689" s="11"/>
      <x:c r="I689" s="11"/>
      <x:c r="J689" s="11"/>
      <x:c r="K689" s="29"/>
      <x:c r="L689" s="2" t="str">
        <x:f>IF(A689,"Complete","Open check")</x:f>
        <x:v>Open check</x:v>
      </x:c>
      <x:c r="M689" s="2" t="str">
        <x:v>Checklist</x:v>
      </x:c>
      <x:c r="N689" s="2" t="str">
        <x:v>DR.PL.1.3.C01.2026.CY4</x:v>
      </x:c>
      <x:c r="O689" s="2" t="n">
        <x:f>R689</x:f>
        <x:v>0</x:v>
      </x:c>
      <x:c r="P689" s="2" t="str">
        <x:v>DR.PL.1.3.2026.CY4</x:v>
      </x:c>
      <x:c r="Q689" s="2" t="n">
        <x:v>0</x:v>
      </x:c>
      <x:c r="R689" s="2" t="n">
        <x:f>IF(A689,1,0)</x:f>
        <x:v>0</x:v>
      </x:c>
      <x:c r="S689" s="2" t="n">
        <x:f>SUBTOTAL(103,N689)</x:f>
        <x:v>1</x:v>
      </x:c>
    </x:row>
    <x:row r="690" ht="31" customHeight="1" outlineLevel="1">
      <x:c r="A690" s="28" t="b">
        <x:v>0</x:v>
      </x:c>
      <x:c r="B690" s="36" t="str">
        <x:v>Cycle 4</x:v>
      </x:c>
      <x:c r="C690" s="36" t="str">
        <x:v>Phase 1</x:v>
      </x:c>
      <x:c r="D690" s="36" t="str">
        <x:v>PLL</x:v>
      </x:c>
      <x:c r="E690" s="69" t="str">
        <x:v>DR.PL.1.3.C02</x:v>
      </x:c>
      <x:c r="F690" s="37" t="str">
        <x:v>    Document date of data pull</x:v>
      </x:c>
      <x:c r="G690" s="5"/>
      <x:c r="H690" s="11"/>
      <x:c r="I690" s="11"/>
      <x:c r="J690" s="11"/>
      <x:c r="K690" s="29"/>
      <x:c r="L690" s="2" t="str">
        <x:f>IF(A690,"Complete","Open check")</x:f>
        <x:v>Open check</x:v>
      </x:c>
      <x:c r="M690" s="2" t="str">
        <x:v>Checklist</x:v>
      </x:c>
      <x:c r="N690" s="2" t="str">
        <x:v>DR.PL.1.3.C02.2026.CY4</x:v>
      </x:c>
      <x:c r="O690" s="2" t="n">
        <x:f>R690</x:f>
        <x:v>0</x:v>
      </x:c>
      <x:c r="P690" s="2" t="str">
        <x:v>DR.PL.1.3.2026.CY4</x:v>
      </x:c>
      <x:c r="Q690" s="2" t="n">
        <x:v>0</x:v>
      </x:c>
      <x:c r="R690" s="2" t="n">
        <x:f>IF(A690,1,0)</x:f>
        <x:v>0</x:v>
      </x:c>
      <x:c r="S690" s="2" t="n">
        <x:f>SUBTOTAL(103,N690)</x:f>
        <x:v>1</x:v>
      </x:c>
    </x:row>
    <x:row r="691" ht="31" customHeight="1" outlineLevel="1">
      <x:c r="A691" s="28" t="b">
        <x:v>0</x:v>
      </x:c>
      <x:c r="B691" s="36" t="str">
        <x:v>Cycle 4</x:v>
      </x:c>
      <x:c r="C691" s="36" t="str">
        <x:v>Phase 1</x:v>
      </x:c>
      <x:c r="D691" s="36" t="str">
        <x:v>PLL</x:v>
      </x:c>
      <x:c r="E691" s="69" t="str">
        <x:v>DR.PL.1.3.C03</x:v>
      </x:c>
      <x:c r="F691" s="37" t="str">
        <x:v>    Document population details</x:v>
      </x:c>
      <x:c r="G691" s="5"/>
      <x:c r="H691" s="11"/>
      <x:c r="I691" s="11"/>
      <x:c r="J691" s="11"/>
      <x:c r="K691" s="29"/>
      <x:c r="L691" s="2" t="str">
        <x:f>IF(A691,"Complete","Open check")</x:f>
        <x:v>Open check</x:v>
      </x:c>
      <x:c r="M691" s="2" t="str">
        <x:v>Checklist</x:v>
      </x:c>
      <x:c r="N691" s="2" t="str">
        <x:v>DR.PL.1.3.C03.2026.CY4</x:v>
      </x:c>
      <x:c r="O691" s="2" t="n">
        <x:f>R691</x:f>
        <x:v>0</x:v>
      </x:c>
      <x:c r="P691" s="2" t="str">
        <x:v>DR.PL.1.3.2026.CY4</x:v>
      </x:c>
      <x:c r="Q691" s="2" t="n">
        <x:v>0</x:v>
      </x:c>
      <x:c r="R691" s="2" t="n">
        <x:f>IF(A691,1,0)</x:f>
        <x:v>0</x:v>
      </x:c>
      <x:c r="S691" s="2" t="n">
        <x:f>SUBTOTAL(103,N691)</x:f>
        <x:v>1</x:v>
      </x:c>
    </x:row>
    <x:row r="692" ht="31" customHeight="1" outlineLevel="1">
      <x:c r="A692" s="28" t="b">
        <x:v>0</x:v>
      </x:c>
      <x:c r="B692" s="36" t="str">
        <x:v>Cycle 4</x:v>
      </x:c>
      <x:c r="C692" s="36" t="str">
        <x:v>Phase 1</x:v>
      </x:c>
      <x:c r="D692" s="36" t="str">
        <x:v>PLL</x:v>
      </x:c>
      <x:c r="E692" s="69" t="str">
        <x:v>DR.PL.1.3.C04</x:v>
      </x:c>
      <x:c r="F692" s="37" t="str">
        <x:v>    Validate no data is missing</x:v>
      </x:c>
      <x:c r="G692" s="5"/>
      <x:c r="H692" s="11"/>
      <x:c r="I692" s="11"/>
      <x:c r="J692" s="11"/>
      <x:c r="K692" s="29"/>
      <x:c r="L692" s="2" t="str">
        <x:f>IF(A692,"Complete","Open check")</x:f>
        <x:v>Open check</x:v>
      </x:c>
      <x:c r="M692" s="2" t="str">
        <x:v>Checklist</x:v>
      </x:c>
      <x:c r="N692" s="2" t="str">
        <x:v>DR.PL.1.3.C04.2026.CY4</x:v>
      </x:c>
      <x:c r="O692" s="2" t="n">
        <x:f>R692</x:f>
        <x:v>0</x:v>
      </x:c>
      <x:c r="P692" s="2" t="str">
        <x:v>DR.PL.1.3.2026.CY4</x:v>
      </x:c>
      <x:c r="Q692" s="2" t="n">
        <x:v>0</x:v>
      </x:c>
      <x:c r="R692" s="2" t="n">
        <x:f>IF(A692,1,0)</x:f>
        <x:v>0</x:v>
      </x:c>
      <x:c r="S692" s="2" t="n">
        <x:f>SUBTOTAL(103,N692)</x:f>
        <x:v>1</x:v>
      </x:c>
    </x:row>
    <x:row r="693" ht="31" customHeight="1" outlineLevel="1">
      <x:c r="A693" s="28" t="b">
        <x:v>0</x:v>
      </x:c>
      <x:c r="B693" s="36" t="str">
        <x:v>Cycle 4</x:v>
      </x:c>
      <x:c r="C693" s="36" t="str">
        <x:v>Phase 1</x:v>
      </x:c>
      <x:c r="D693" s="36" t="str">
        <x:v>PLL</x:v>
      </x:c>
      <x:c r="E693" s="69" t="str">
        <x:v>DR.PL.1.3.C05</x:v>
      </x:c>
      <x:c r="F693" s="37" t="str">
        <x:v>    Validate accuracy of data</x:v>
      </x:c>
      <x:c r="G693" s="5"/>
      <x:c r="H693" s="11"/>
      <x:c r="I693" s="11"/>
      <x:c r="J693" s="11"/>
      <x:c r="K693" s="29"/>
      <x:c r="L693" s="2" t="str">
        <x:f>IF(A693,"Complete","Open check")</x:f>
        <x:v>Open check</x:v>
      </x:c>
      <x:c r="M693" s="2" t="str">
        <x:v>Checklist</x:v>
      </x:c>
      <x:c r="N693" s="2" t="str">
        <x:v>DR.PL.1.3.C05.2026.CY4</x:v>
      </x:c>
      <x:c r="O693" s="2" t="n">
        <x:f>R693</x:f>
        <x:v>0</x:v>
      </x:c>
      <x:c r="P693" s="2" t="str">
        <x:v>DR.PL.1.3.2026.CY4</x:v>
      </x:c>
      <x:c r="Q693" s="2" t="n">
        <x:v>0</x:v>
      </x:c>
      <x:c r="R693" s="2" t="n">
        <x:f>IF(A693,1,0)</x:f>
        <x:v>0</x:v>
      </x:c>
      <x:c r="S693" s="2" t="n">
        <x:f>SUBTOTAL(103,N693)</x:f>
        <x:v>1</x:v>
      </x:c>
    </x:row>
    <x:row r="694" ht="31" customHeight="1" outlineLevel="1">
      <x:c r="A694" s="28" t="b">
        <x:v>0</x:v>
      </x:c>
      <x:c r="B694" s="36" t="str">
        <x:v>Cycle 4</x:v>
      </x:c>
      <x:c r="C694" s="36" t="str">
        <x:v>Phase 1</x:v>
      </x:c>
      <x:c r="D694" s="36" t="str">
        <x:v>PLL</x:v>
      </x:c>
      <x:c r="E694" s="69" t="str">
        <x:v>DR.PL.1.3.C06</x:v>
      </x:c>
      <x:c r="F694" s="37" t="str">
        <x:v>    Validate no duplicate data is provided</x:v>
      </x:c>
      <x:c r="G694" s="5"/>
      <x:c r="H694" s="11"/>
      <x:c r="I694" s="11"/>
      <x:c r="J694" s="11"/>
      <x:c r="K694" s="29"/>
      <x:c r="L694" s="2" t="str">
        <x:f>IF(A694,"Complete","Open check")</x:f>
        <x:v>Open check</x:v>
      </x:c>
      <x:c r="M694" s="2" t="str">
        <x:v>Checklist</x:v>
      </x:c>
      <x:c r="N694" s="2" t="str">
        <x:v>DR.PL.1.3.C06.2026.CY4</x:v>
      </x:c>
      <x:c r="O694" s="2" t="n">
        <x:f>R694</x:f>
        <x:v>0</x:v>
      </x:c>
      <x:c r="P694" s="2" t="str">
        <x:v>DR.PL.1.3.2026.CY4</x:v>
      </x:c>
      <x:c r="Q694" s="2" t="n">
        <x:v>0</x:v>
      </x:c>
      <x:c r="R694" s="2" t="n">
        <x:f>IF(A694,1,0)</x:f>
        <x:v>0</x:v>
      </x:c>
      <x:c r="S694" s="2" t="n">
        <x:f>SUBTOTAL(103,N694)</x:f>
        <x:v>1</x:v>
      </x:c>
    </x:row>
    <x:row r="695" ht="31" customHeight="1" outlineLevel="1">
      <x:c r="A695" s="28" t="b">
        <x:v>0</x:v>
      </x:c>
      <x:c r="B695" s="36" t="str">
        <x:v>Cycle 4</x:v>
      </x:c>
      <x:c r="C695" s="36" t="str">
        <x:v>Phase 1</x:v>
      </x:c>
      <x:c r="D695" s="36" t="str">
        <x:v>PLL</x:v>
      </x:c>
      <x:c r="E695" s="69" t="str">
        <x:v>DR.PL.1.3.C07</x:v>
      </x:c>
      <x:c r="F695" s="37" t="str">
        <x:v>    Document any data exclusions along with justification (as needed)</x:v>
      </x:c>
      <x:c r="G695" s="5"/>
      <x:c r="H695" s="11"/>
      <x:c r="I695" s="11"/>
      <x:c r="J695" s="11"/>
      <x:c r="K695" s="29"/>
      <x:c r="L695" s="2" t="str">
        <x:f>IF(A695,"Complete","Open check")</x:f>
        <x:v>Open check</x:v>
      </x:c>
      <x:c r="M695" s="2" t="str">
        <x:v>Checklist</x:v>
      </x:c>
      <x:c r="N695" s="2" t="str">
        <x:v>DR.PL.1.3.C07.2026.CY4</x:v>
      </x:c>
      <x:c r="O695" s="2" t="n">
        <x:f>R695</x:f>
        <x:v>0</x:v>
      </x:c>
      <x:c r="P695" s="2" t="str">
        <x:v>DR.PL.1.3.2026.CY4</x:v>
      </x:c>
      <x:c r="Q695" s="2" t="n">
        <x:v>0</x:v>
      </x:c>
      <x:c r="R695" s="2" t="n">
        <x:f>IF(A695,1,0)</x:f>
        <x:v>0</x:v>
      </x:c>
      <x:c r="S695" s="2" t="n">
        <x:f>SUBTOTAL(103,N695)</x:f>
        <x:v>1</x:v>
      </x:c>
    </x:row>
    <x:row r="696" ht="31" customHeight="1" outlineLevel="1">
      <x:c r="A696" s="28" t="b">
        <x:v>0</x:v>
      </x:c>
      <x:c r="B696" s="36" t="str">
        <x:v>Cycle 4</x:v>
      </x:c>
      <x:c r="C696" s="36" t="str">
        <x:v>Phase 1</x:v>
      </x:c>
      <x:c r="D696" s="36" t="str">
        <x:v>PLL</x:v>
      </x:c>
      <x:c r="E696" s="69" t="str">
        <x:v>DR.PL.1.3.C08</x:v>
      </x:c>
      <x:c r="F696" s="37" t="str">
        <x:v>    Document any assumptions made with the data (as needed)</x:v>
      </x:c>
      <x:c r="G696" s="5"/>
      <x:c r="H696" s="11"/>
      <x:c r="I696" s="11"/>
      <x:c r="J696" s="11"/>
      <x:c r="K696" s="29"/>
      <x:c r="L696" s="2" t="str">
        <x:f>IF(A696,"Complete","Open check")</x:f>
        <x:v>Open check</x:v>
      </x:c>
      <x:c r="M696" s="2" t="str">
        <x:v>Checklist</x:v>
      </x:c>
      <x:c r="N696" s="2" t="str">
        <x:v>DR.PL.1.3.C08.2026.CY4</x:v>
      </x:c>
      <x:c r="O696" s="2" t="n">
        <x:f>R696</x:f>
        <x:v>0</x:v>
      </x:c>
      <x:c r="P696" s="2" t="str">
        <x:v>DR.PL.1.3.2026.CY4</x:v>
      </x:c>
      <x:c r="Q696" s="2" t="n">
        <x:v>0</x:v>
      </x:c>
      <x:c r="R696" s="2" t="n">
        <x:f>IF(A696,1,0)</x:f>
        <x:v>0</x:v>
      </x:c>
      <x:c r="S696" s="2" t="n">
        <x:f>SUBTOTAL(103,N696)</x:f>
        <x:v>1</x:v>
      </x:c>
    </x:row>
    <x:row r="697" ht="31" customHeight="1" outlineLevel="1">
      <x:c r="A697" s="28" t="b">
        <x:v>0</x:v>
      </x:c>
      <x:c r="B697" s="36" t="str">
        <x:v>Cycle 4</x:v>
      </x:c>
      <x:c r="C697" s="36" t="str">
        <x:v>Phase 1</x:v>
      </x:c>
      <x:c r="D697" s="36" t="str">
        <x:v>PLL</x:v>
      </x:c>
      <x:c r="E697" s="69" t="str">
        <x:v>DR.PL.1.3.C09</x:v>
      </x:c>
      <x:c r="F697" s="37" t="str">
        <x:v>    Document any data limitations or constraints clearly (as needed)</x:v>
      </x:c>
      <x:c r="G697" s="5"/>
      <x:c r="H697" s="11"/>
      <x:c r="I697" s="11"/>
      <x:c r="J697" s="11"/>
      <x:c r="K697" s="29"/>
      <x:c r="L697" s="2" t="str">
        <x:f>IF(A697,"Complete","Open check")</x:f>
        <x:v>Open check</x:v>
      </x:c>
      <x:c r="M697" s="2" t="str">
        <x:v>Checklist</x:v>
      </x:c>
      <x:c r="N697" s="2" t="str">
        <x:v>DR.PL.1.3.C09.2026.CY4</x:v>
      </x:c>
      <x:c r="O697" s="2" t="n">
        <x:f>R697</x:f>
        <x:v>0</x:v>
      </x:c>
      <x:c r="P697" s="2" t="str">
        <x:v>DR.PL.1.3.2026.CY4</x:v>
      </x:c>
      <x:c r="Q697" s="2" t="n">
        <x:v>0</x:v>
      </x:c>
      <x:c r="R697" s="2" t="n">
        <x:f>IF(A697,1,0)</x:f>
        <x:v>0</x:v>
      </x:c>
      <x:c r="S697" s="2" t="n">
        <x:f>SUBTOTAL(103,N697)</x:f>
        <x:v>1</x:v>
      </x:c>
    </x:row>
    <x:row r="698" ht="31" customHeight="1" outlineLevel="1">
      <x:c r="A698" s="28" t="b">
        <x:v>0</x:v>
      </x:c>
      <x:c r="B698" s="36" t="str">
        <x:v>Cycle 4</x:v>
      </x:c>
      <x:c r="C698" s="36" t="str">
        <x:v>Phase 1</x:v>
      </x:c>
      <x:c r="D698" s="36" t="str">
        <x:v>PLL</x:v>
      </x:c>
      <x:c r="E698" s="69" t="str">
        <x:v>DR.PL.1.3.C10</x:v>
      </x:c>
      <x:c r="F698" s="37" t="str">
        <x:v>    Document data dictionary or field definitions for columns/rows</x:v>
      </x:c>
      <x:c r="G698" s="5"/>
      <x:c r="H698" s="11"/>
      <x:c r="I698" s="11"/>
      <x:c r="J698" s="11"/>
      <x:c r="K698" s="29"/>
      <x:c r="L698" s="2" t="str">
        <x:f>IF(A698,"Complete","Open check")</x:f>
        <x:v>Open check</x:v>
      </x:c>
      <x:c r="M698" s="2" t="str">
        <x:v>Checklist</x:v>
      </x:c>
      <x:c r="N698" s="2" t="str">
        <x:v>DR.PL.1.3.C10.2026.CY4</x:v>
      </x:c>
      <x:c r="O698" s="2" t="n">
        <x:f>R698</x:f>
        <x:v>0</x:v>
      </x:c>
      <x:c r="P698" s="2" t="str">
        <x:v>DR.PL.1.3.2026.CY4</x:v>
      </x:c>
      <x:c r="Q698" s="2" t="n">
        <x:v>0</x:v>
      </x:c>
      <x:c r="R698" s="2" t="n">
        <x:f>IF(A698,1,0)</x:f>
        <x:v>0</x:v>
      </x:c>
      <x:c r="S698" s="2" t="n">
        <x:f>SUBTOTAL(103,N698)</x:f>
        <x:v>1</x:v>
      </x:c>
    </x:row>
    <x:row r="699" ht="31" customHeight="1" outlineLevel="1">
      <x:c r="A699" s="28" t="b">
        <x:v>0</x:v>
      </x:c>
      <x:c r="B699" s="36" t="str">
        <x:v>Cycle 4</x:v>
      </x:c>
      <x:c r="C699" s="36" t="str">
        <x:v>Phase 1</x:v>
      </x:c>
      <x:c r="D699" s="36" t="str">
        <x:v>PLL</x:v>
      </x:c>
      <x:c r="E699" s="69" t="str">
        <x:v>DR.PL.1.3.C11</x:v>
      </x:c>
      <x:c r="F699" s="37" t="str">
        <x:v>    Document emerging trends, patterns, or concentrations along with supporting data</x:v>
      </x:c>
      <x:c r="G699" s="5"/>
      <x:c r="H699" s="11"/>
      <x:c r="I699" s="11"/>
      <x:c r="J699" s="11"/>
      <x:c r="K699" s="29"/>
      <x:c r="L699" s="2" t="str">
        <x:f>IF(A699,"Complete","Open check")</x:f>
        <x:v>Open check</x:v>
      </x:c>
      <x:c r="M699" s="2" t="str">
        <x:v>Checklist</x:v>
      </x:c>
      <x:c r="N699" s="2" t="str">
        <x:v>DR.PL.1.3.C11.2026.CY4</x:v>
      </x:c>
      <x:c r="O699" s="2" t="n">
        <x:f>R699</x:f>
        <x:v>0</x:v>
      </x:c>
      <x:c r="P699" s="2" t="str">
        <x:v>DR.PL.1.3.2026.CY4</x:v>
      </x:c>
      <x:c r="Q699" s="2" t="n">
        <x:v>0</x:v>
      </x:c>
      <x:c r="R699" s="2" t="n">
        <x:f>IF(A699,1,0)</x:f>
        <x:v>0</x:v>
      </x:c>
      <x:c r="S699" s="2" t="n">
        <x:f>SUBTOTAL(103,N699)</x:f>
        <x:v>1</x:v>
      </x:c>
    </x:row>
    <x:row r="700" ht="31" customHeight="1" outlineLevel="1">
      <x:c r="A700" s="28" t="b">
        <x:v>0</x:v>
      </x:c>
      <x:c r="B700" s="36" t="str">
        <x:v>Cycle 4</x:v>
      </x:c>
      <x:c r="C700" s="36" t="str">
        <x:v>Phase 1</x:v>
      </x:c>
      <x:c r="D700" s="36" t="str">
        <x:v>PLL</x:v>
      </x:c>
      <x:c r="E700" s="69" t="str">
        <x:v>DR.PL.1.3.C12</x:v>
      </x:c>
      <x:c r="F700" s="37" t="str">
        <x:v>    Document any severe spikes in volume along with context (as needed)</x:v>
      </x:c>
      <x:c r="G700" s="5"/>
      <x:c r="H700" s="11"/>
      <x:c r="I700" s="11"/>
      <x:c r="J700" s="11"/>
      <x:c r="K700" s="29"/>
      <x:c r="L700" s="2" t="str">
        <x:f>IF(A700,"Complete","Open check")</x:f>
        <x:v>Open check</x:v>
      </x:c>
      <x:c r="M700" s="2" t="str">
        <x:v>Checklist</x:v>
      </x:c>
      <x:c r="N700" s="2" t="str">
        <x:v>DR.PL.1.3.C12.2026.CY4</x:v>
      </x:c>
      <x:c r="O700" s="2" t="n">
        <x:f>R700</x:f>
        <x:v>0</x:v>
      </x:c>
      <x:c r="P700" s="2" t="str">
        <x:v>DR.PL.1.3.2026.CY4</x:v>
      </x:c>
      <x:c r="Q700" s="2" t="n">
        <x:v>0</x:v>
      </x:c>
      <x:c r="R700" s="2" t="n">
        <x:f>IF(A700,1,0)</x:f>
        <x:v>0</x:v>
      </x:c>
      <x:c r="S700" s="2" t="n">
        <x:f>SUBTOTAL(103,N700)</x:f>
        <x:v>1</x:v>
      </x:c>
    </x:row>
    <x:row r="701" ht="31" customHeight="1" outlineLevel="1">
      <x:c r="A701" s="28" t="b">
        <x:v>0</x:v>
      </x:c>
      <x:c r="B701" s="36" t="str">
        <x:v>Cycle 4</x:v>
      </x:c>
      <x:c r="C701" s="36" t="str">
        <x:v>Phase 1</x:v>
      </x:c>
      <x:c r="D701" s="36" t="str">
        <x:v>PLL</x:v>
      </x:c>
      <x:c r="E701" s="69" t="str">
        <x:v>DR.PL.1.3.C13</x:v>
      </x:c>
      <x:c r="F701" s="37" t="str">
        <x:v>    Document clear summary explaining how the data connects to the potential topic</x:v>
      </x:c>
      <x:c r="G701" s="5"/>
      <x:c r="H701" s="11"/>
      <x:c r="I701" s="11"/>
      <x:c r="J701" s="11"/>
      <x:c r="K701" s="29"/>
      <x:c r="L701" s="2" t="str">
        <x:f>IF(A701,"Complete","Open check")</x:f>
        <x:v>Open check</x:v>
      </x:c>
      <x:c r="M701" s="2" t="str">
        <x:v>Checklist</x:v>
      </x:c>
      <x:c r="N701" s="2" t="str">
        <x:v>DR.PL.1.3.C13.2026.CY4</x:v>
      </x:c>
      <x:c r="O701" s="2" t="n">
        <x:f>R701</x:f>
        <x:v>0</x:v>
      </x:c>
      <x:c r="P701" s="2" t="str">
        <x:v>DR.PL.1.3.2026.CY4</x:v>
      </x:c>
      <x:c r="Q701" s="2" t="n">
        <x:v>0</x:v>
      </x:c>
      <x:c r="R701" s="2" t="n">
        <x:f>IF(A701,1,0)</x:f>
        <x:v>0</x:v>
      </x:c>
      <x:c r="S701" s="2" t="n">
        <x:f>SUBTOTAL(103,N701)</x:f>
        <x:v>1</x:v>
      </x:c>
    </x:row>
    <x:row r="702" ht="42" customHeight="1">
      <x:c r="A702" s="28" t="b">
        <x:v>0</x:v>
      </x:c>
      <x:c r="B702" s="2" t="str">
        <x:v>Cycle 4</x:v>
      </x:c>
      <x:c r="C702" s="2" t="str">
        <x:v>Phase 2</x:v>
      </x:c>
      <x:c r="D702" s="2" t="str">
        <x:v>PLL</x:v>
      </x:c>
      <x:c r="E702" s="56" t="str">
        <x:v>DR.PL.2.1</x:v>
      </x:c>
      <x:c r="F702" s="14" t="str">
        <x:v>Ensure data is clean, structured, and usable without manipulation needed</x:v>
      </x:c>
      <x:c r="G702" s="5"/>
      <x:c r="H702" s="11"/>
      <x:c r="I702" s="11" t="n">
        <x:f>'Cycles &amp; Guide'!$D$13</x:f>
        <x:v>46387</x:v>
      </x:c>
      <x:c r="J702" s="11"/>
      <x:c r="K702" s="29"/>
      <x:c r="L702" s="2" t="str">
        <x:f>IF(O702=1,"Complete",IF(A702,"Checklist open",IF(H702&lt;&gt;"","In progress","Not started")))</x:f>
        <x:v>Not started</x:v>
      </x:c>
      <x:c r="M702" s="2" t="str">
        <x:v>Task</x:v>
      </x:c>
      <x:c r="N702" s="2" t="str">
        <x:v>DR.PL.2.1.2026.CY4</x:v>
      </x:c>
      <x:c r="O702" s="2" t="n">
        <x:f>R702</x:f>
        <x:v>0</x:v>
      </x:c>
      <x:c r="P702" s="2"/>
      <x:c r="Q702" s="2" t="n">
        <x:v>1</x:v>
      </x:c>
      <x:c r="R702" s="2" t="n">
        <x:f>IF(A702,1,0)</x:f>
        <x:v>0</x:v>
      </x:c>
      <x:c r="S702" s="2" t="n">
        <x:f>SUBTOTAL(103,N702)</x:f>
        <x:v>1</x:v>
      </x:c>
    </x:row>
    <x:row r="703" ht="42" customHeight="1">
      <x:c r="A703" s="28" t="b">
        <x:v>0</x:v>
      </x:c>
      <x:c r="B703" s="2" t="str">
        <x:v>Cycle 4</x:v>
      </x:c>
      <x:c r="C703" s="2" t="str">
        <x:v>Phase 2</x:v>
      </x:c>
      <x:c r="D703" s="2" t="str">
        <x:v>PLL</x:v>
      </x:c>
      <x:c r="E703" s="56" t="str">
        <x:v>DR.PL.2.2</x:v>
      </x:c>
      <x:c r="F703" s="14" t="str">
        <x:v>Clearly document rationale for each topic recommendation within the SharePoint list</x:v>
      </x:c>
      <x:c r="G703" s="5"/>
      <x:c r="H703" s="11"/>
      <x:c r="I703" s="11" t="n">
        <x:f>'Cycles &amp; Guide'!$D$13</x:f>
        <x:v>46387</x:v>
      </x:c>
      <x:c r="J703" s="11"/>
      <x:c r="K703" s="29"/>
      <x:c r="L703" s="2" t="str">
        <x:f>IF(O703=1,"Complete",IF(A703,"Checklist open",IF(H703&lt;&gt;"","In progress","Not started")))</x:f>
        <x:v>Not started</x:v>
      </x:c>
      <x:c r="M703" s="2" t="str">
        <x:v>Task</x:v>
      </x:c>
      <x:c r="N703" s="2" t="str">
        <x:v>DR.PL.2.2.2026.CY4</x:v>
      </x:c>
      <x:c r="O703" s="2" t="n">
        <x:f>R703</x:f>
        <x:v>0</x:v>
      </x:c>
      <x:c r="P703" s="2"/>
      <x:c r="Q703" s="2" t="n">
        <x:v>1</x:v>
      </x:c>
      <x:c r="R703" s="2" t="n">
        <x:f>IF(A703,1,0)</x:f>
        <x:v>0</x:v>
      </x:c>
      <x:c r="S703" s="2" t="n">
        <x:f>SUBTOTAL(103,N703)</x:f>
        <x:v>1</x:v>
      </x:c>
    </x:row>
    <x:row r="704" ht="42" customHeight="1">
      <x:c r="A704" s="28" t="b">
        <x:v>0</x:v>
      </x:c>
      <x:c r="B704" s="2" t="str">
        <x:v>Cycle 4</x:v>
      </x:c>
      <x:c r="C704" s="2" t="str">
        <x:v>Phase 2</x:v>
      </x:c>
      <x:c r="D704" s="2" t="str">
        <x:v>PLL</x:v>
      </x:c>
      <x:c r="E704" s="56" t="str">
        <x:v>DR.PL.2.3</x:v>
      </x:c>
      <x:c r="F704" s="14" t="str">
        <x:v>Verify topic is eligible for RCA and does not conflict with Attorney Client Privilege</x:v>
      </x:c>
      <x:c r="G704" s="5"/>
      <x:c r="H704" s="11"/>
      <x:c r="I704" s="11" t="n">
        <x:f>'Cycles &amp; Guide'!$D$13</x:f>
        <x:v>46387</x:v>
      </x:c>
      <x:c r="J704" s="11"/>
      <x:c r="K704" s="29"/>
      <x:c r="L704" s="2" t="str">
        <x:f>IF(O704=1,"Complete",IF(A704,"Checklist open",IF(H704&lt;&gt;"","In progress","Not started")))</x:f>
        <x:v>Not started</x:v>
      </x:c>
      <x:c r="M704" s="2" t="str">
        <x:v>Task</x:v>
      </x:c>
      <x:c r="N704" s="2" t="str">
        <x:v>DR.PL.2.3.2026.CY4</x:v>
      </x:c>
      <x:c r="O704" s="2" t="n">
        <x:f>R704</x:f>
        <x:v>0</x:v>
      </x:c>
      <x:c r="P704" s="2"/>
      <x:c r="Q704" s="2" t="n">
        <x:v>1</x:v>
      </x:c>
      <x:c r="R704" s="2" t="n">
        <x:f>IF(A704,1,0)</x:f>
        <x:v>0</x:v>
      </x:c>
      <x:c r="S704" s="2" t="n">
        <x:f>SUBTOTAL(103,N704)</x:f>
        <x:v>1</x:v>
      </x:c>
    </x:row>
    <x:row r="705" ht="42" customHeight="1">
      <x:c r="A705" s="28" t="b">
        <x:v>0</x:v>
      </x:c>
      <x:c r="B705" s="2" t="str">
        <x:v>Cycle 4</x:v>
      </x:c>
      <x:c r="C705" s="2" t="str">
        <x:v>Phase 2</x:v>
      </x:c>
      <x:c r="D705" s="2" t="str">
        <x:v>PLL</x:v>
      </x:c>
      <x:c r="E705" s="56" t="str">
        <x:v>DR.PL.2.4</x:v>
      </x:c>
      <x:c r="F705" s="14" t="str">
        <x:v>Ensure data is free of errors and anomalies prior to hand-off to Research</x:v>
      </x:c>
      <x:c r="G705" s="5"/>
      <x:c r="H705" s="11"/>
      <x:c r="I705" s="11" t="n">
        <x:f>'Cycles &amp; Guide'!$D$13</x:f>
        <x:v>46387</x:v>
      </x:c>
      <x:c r="J705" s="11"/>
      <x:c r="K705" s="29"/>
      <x:c r="L705" s="2" t="str">
        <x:f>IF(O705=1,"Complete",IF(A705,"Checklist open",IF(H705&lt;&gt;"","In progress","Not started")))</x:f>
        <x:v>Not started</x:v>
      </x:c>
      <x:c r="M705" s="2" t="str">
        <x:v>Task</x:v>
      </x:c>
      <x:c r="N705" s="2" t="str">
        <x:v>DR.PL.2.4.2026.CY4</x:v>
      </x:c>
      <x:c r="O705" s="2" t="n">
        <x:f>R705</x:f>
        <x:v>0</x:v>
      </x:c>
      <x:c r="P705" s="2"/>
      <x:c r="Q705" s="2" t="n">
        <x:v>1</x:v>
      </x:c>
      <x:c r="R705" s="2" t="n">
        <x:f>IF(A705,1,0)</x:f>
        <x:v>0</x:v>
      </x:c>
      <x:c r="S705" s="2" t="n">
        <x:f>SUBTOTAL(103,N705)</x:f>
        <x:v>1</x:v>
      </x:c>
    </x:row>
    <x:row r="706" ht="42" customHeight="1">
      <x:c r="A706" s="28" t="b">
        <x:v>0</x:v>
      </x:c>
      <x:c r="B706" s="2" t="str">
        <x:v>Cycle 4</x:v>
      </x:c>
      <x:c r="C706" s="2" t="str">
        <x:v>Phase 2</x:v>
      </x:c>
      <x:c r="D706" s="2" t="str">
        <x:v>PLL</x:v>
      </x:c>
      <x:c r="E706" s="56" t="str">
        <x:v>DR.PL.2.5</x:v>
      </x:c>
      <x:c r="F706" s="14" t="str">
        <x:v>Ensure topic is not a duplicate from a previous Cycle</x:v>
      </x:c>
      <x:c r="G706" s="5"/>
      <x:c r="H706" s="11"/>
      <x:c r="I706" s="11" t="n">
        <x:f>'Cycles &amp; Guide'!$D$13</x:f>
        <x:v>46387</x:v>
      </x:c>
      <x:c r="J706" s="11"/>
      <x:c r="K706" s="29"/>
      <x:c r="L706" s="2" t="str">
        <x:f>IF(O706=1,"Complete",IF(A706,"Checklist open",IF(H706&lt;&gt;"","In progress","Not started")))</x:f>
        <x:v>Not started</x:v>
      </x:c>
      <x:c r="M706" s="2" t="str">
        <x:v>Task</x:v>
      </x:c>
      <x:c r="N706" s="2" t="str">
        <x:v>DR.PL.2.5.2026.CY4</x:v>
      </x:c>
      <x:c r="O706" s="2" t="n">
        <x:f>R706</x:f>
        <x:v>0</x:v>
      </x:c>
      <x:c r="P706" s="2"/>
      <x:c r="Q706" s="2" t="n">
        <x:v>1</x:v>
      </x:c>
      <x:c r="R706" s="2" t="n">
        <x:f>IF(A706,1,0)</x:f>
        <x:v>0</x:v>
      </x:c>
      <x:c r="S706" s="2" t="n">
        <x:f>SUBTOTAL(103,N706)</x:f>
        <x:v>1</x:v>
      </x:c>
    </x:row>
    <x:row r="707" ht="42" customHeight="1">
      <x:c r="A707" s="28" t="b">
        <x:v>0</x:v>
      </x:c>
      <x:c r="B707" s="2" t="str">
        <x:v>Cycle 4</x:v>
      </x:c>
      <x:c r="C707" s="2" t="str">
        <x:v>Phase 2</x:v>
      </x:c>
      <x:c r="D707" s="2" t="str">
        <x:v>PLL</x:v>
      </x:c>
      <x:c r="E707" s="56" t="str">
        <x:v>DR.PL.2.6</x:v>
      </x:c>
      <x:c r="F707" s="14" t="str">
        <x:v>Document clear distinctions between facts, assumptions, and hypotheses within the data package</x:v>
      </x:c>
      <x:c r="G707" s="5"/>
      <x:c r="H707" s="11"/>
      <x:c r="I707" s="11" t="n">
        <x:f>'Cycles &amp; Guide'!$D$13</x:f>
        <x:v>46387</x:v>
      </x:c>
      <x:c r="J707" s="11"/>
      <x:c r="K707" s="29"/>
      <x:c r="L707" s="2" t="str">
        <x:f>IF(O707=1,"Complete",IF(A707,"Checklist open",IF(H707&lt;&gt;"","In progress","Not started")))</x:f>
        <x:v>Not started</x:v>
      </x:c>
      <x:c r="M707" s="2" t="str">
        <x:v>Task</x:v>
      </x:c>
      <x:c r="N707" s="2" t="str">
        <x:v>DR.PL.2.6.2026.CY4</x:v>
      </x:c>
      <x:c r="O707" s="2" t="n">
        <x:f>R707</x:f>
        <x:v>0</x:v>
      </x:c>
      <x:c r="P707" s="2"/>
      <x:c r="Q707" s="2" t="n">
        <x:v>1</x:v>
      </x:c>
      <x:c r="R707" s="2" t="n">
        <x:f>IF(A707,1,0)</x:f>
        <x:v>0</x:v>
      </x:c>
      <x:c r="S707" s="2" t="n">
        <x:f>SUBTOTAL(103,N707)</x:f>
        <x:v>1</x:v>
      </x:c>
    </x:row>
    <x:row r="708" ht="42" customHeight="1">
      <x:c r="A708" s="28" t="b">
        <x:v>0</x:v>
      </x:c>
      <x:c r="B708" s="2" t="str">
        <x:v>Cycle 4</x:v>
      </x:c>
      <x:c r="C708" s="2" t="str">
        <x:v>Phase 3</x:v>
      </x:c>
      <x:c r="D708" s="2" t="str">
        <x:v>PLL</x:v>
      </x:c>
      <x:c r="E708" s="56" t="str">
        <x:v>DR.PL.3.1</x:v>
      </x:c>
      <x:c r="F708" s="14" t="str">
        <x:v>Clearly document rationale for each topic recommendation within the SharePoint list item</x:v>
      </x:c>
      <x:c r="G708" s="5"/>
      <x:c r="H708" s="11"/>
      <x:c r="I708" s="11" t="n">
        <x:f>'Cycles &amp; Guide'!$D$13</x:f>
        <x:v>46387</x:v>
      </x:c>
      <x:c r="J708" s="11"/>
      <x:c r="K708" s="29"/>
      <x:c r="L708" s="2" t="str">
        <x:f>IF(O708=1,"Complete",IF(A708,"Checklist open",IF(H708&lt;&gt;"","In progress","Not started")))</x:f>
        <x:v>Not started</x:v>
      </x:c>
      <x:c r="M708" s="2" t="str">
        <x:v>Task</x:v>
      </x:c>
      <x:c r="N708" s="2" t="str">
        <x:v>DR.PL.3.1.2026.CY4</x:v>
      </x:c>
      <x:c r="O708" s="2" t="n">
        <x:f>R708</x:f>
        <x:v>0</x:v>
      </x:c>
      <x:c r="P708" s="2"/>
      <x:c r="Q708" s="2" t="n">
        <x:v>1</x:v>
      </x:c>
      <x:c r="R708" s="2" t="n">
        <x:f>IF(A708,1,0)</x:f>
        <x:v>0</x:v>
      </x:c>
      <x:c r="S708" s="2" t="n">
        <x:f>SUBTOTAL(103,N708)</x:f>
        <x:v>1</x:v>
      </x:c>
    </x:row>
    <x:row r="709" ht="42" customHeight="1">
      <x:c r="A709" s="28" t="b">
        <x:v>0</x:v>
      </x:c>
      <x:c r="B709" s="2" t="str">
        <x:v>Cycle 4</x:v>
      </x:c>
      <x:c r="C709" s="2" t="str">
        <x:v>Phase 3</x:v>
      </x:c>
      <x:c r="D709" s="2" t="str">
        <x:v>PLL</x:v>
      </x:c>
      <x:c r="E709" s="56" t="str">
        <x:v>DR.PL.3.2</x:v>
      </x:c>
      <x:c r="F709" s="14" t="str">
        <x:v>Attach the data package for each topic recommendation within the SharePoint list item</x:v>
      </x:c>
      <x:c r="G709" s="5"/>
      <x:c r="H709" s="11"/>
      <x:c r="I709" s="11" t="n">
        <x:f>'Cycles &amp; Guide'!$D$13</x:f>
        <x:v>46387</x:v>
      </x:c>
      <x:c r="J709" s="11"/>
      <x:c r="K709" s="29"/>
      <x:c r="L709" s="2" t="str">
        <x:f>IF(O709=1,"Complete",IF(A709,"Checklist open",IF(H709&lt;&gt;"","In progress","Not started")))</x:f>
        <x:v>Not started</x:v>
      </x:c>
      <x:c r="M709" s="2" t="str">
        <x:v>Task</x:v>
      </x:c>
      <x:c r="N709" s="2" t="str">
        <x:v>DR.PL.3.2.2026.CY4</x:v>
      </x:c>
      <x:c r="O709" s="2" t="n">
        <x:f>R709</x:f>
        <x:v>0</x:v>
      </x:c>
      <x:c r="P709" s="2"/>
      <x:c r="Q709" s="2" t="n">
        <x:v>1</x:v>
      </x:c>
      <x:c r="R709" s="2" t="n">
        <x:f>IF(A709,1,0)</x:f>
        <x:v>0</x:v>
      </x:c>
      <x:c r="S709" s="2" t="n">
        <x:f>SUBTOTAL(103,N709)</x:f>
        <x:v>1</x:v>
      </x:c>
    </x:row>
    <x:row r="710" ht="42" customHeight="1">
      <x:c r="A710" s="28" t="b">
        <x:v>0</x:v>
      </x:c>
      <x:c r="B710" s="2" t="str">
        <x:v>Cycle 4</x:v>
      </x:c>
      <x:c r="C710" s="2" t="str">
        <x:v>Phase 3</x:v>
      </x:c>
      <x:c r="D710" s="2" t="str">
        <x:v>PLL</x:v>
      </x:c>
      <x:c r="E710" s="56" t="str">
        <x:v>DR.PL.3.3</x:v>
      </x:c>
      <x:c r="F710" s="14" t="str">
        <x:v>Confirm data privileges have been granted, ensuring each pillar can access</x:v>
      </x:c>
      <x:c r="G710" s="5"/>
      <x:c r="H710" s="11"/>
      <x:c r="I710" s="11" t="n">
        <x:f>'Cycles &amp; Guide'!$D$13</x:f>
        <x:v>46387</x:v>
      </x:c>
      <x:c r="J710" s="11"/>
      <x:c r="K710" s="29"/>
      <x:c r="L710" s="2" t="str">
        <x:f>IF(O710=1,"Complete",IF(A710,"Checklist open",IF(H710&lt;&gt;"","In progress","Not started")))</x:f>
        <x:v>Not started</x:v>
      </x:c>
      <x:c r="M710" s="2" t="str">
        <x:v>Task</x:v>
      </x:c>
      <x:c r="N710" s="2" t="str">
        <x:v>DR.PL.3.3.2026.CY4</x:v>
      </x:c>
      <x:c r="O710" s="2" t="n">
        <x:f>R710</x:f>
        <x:v>0</x:v>
      </x:c>
      <x:c r="P710" s="2"/>
      <x:c r="Q710" s="2" t="n">
        <x:v>1</x:v>
      </x:c>
      <x:c r="R710" s="2" t="n">
        <x:f>IF(A710,1,0)</x:f>
        <x:v>0</x:v>
      </x:c>
      <x:c r="S710" s="2" t="n">
        <x:f>SUBTOTAL(103,N710)</x:f>
        <x:v>1</x:v>
      </x:c>
    </x:row>
    <x:row r="711" ht="42" customHeight="1">
      <x:c r="A711" s="28" t="b">
        <x:v>0</x:v>
      </x:c>
      <x:c r="B711" s="2" t="str">
        <x:v>Cycle 4</x:v>
      </x:c>
      <x:c r="C711" s="2" t="str">
        <x:v>Phase 3</x:v>
      </x:c>
      <x:c r="D711" s="2" t="str">
        <x:v>PLL</x:v>
      </x:c>
      <x:c r="E711" s="56" t="str">
        <x:v>DR.PL.3.4</x:v>
      </x:c>
      <x:c r="F711" s="14" t="str">
        <x:v>Ensure Power Automate notifications were correctly triggered within Microsoft Teams</x:v>
      </x:c>
      <x:c r="G711" s="5"/>
      <x:c r="H711" s="11"/>
      <x:c r="I711" s="11" t="n">
        <x:f>'Cycles &amp; Guide'!$D$13</x:f>
        <x:v>46387</x:v>
      </x:c>
      <x:c r="J711" s="11"/>
      <x:c r="K711" s="29"/>
      <x:c r="L711" s="2" t="str">
        <x:f>IF(O711=1,"Complete",IF(A711,"Checklist open",IF(H711&lt;&gt;"","In progress","Not started")))</x:f>
        <x:v>Not started</x:v>
      </x:c>
      <x:c r="M711" s="2" t="str">
        <x:v>Task</x:v>
      </x:c>
      <x:c r="N711" s="2" t="str">
        <x:v>DR.PL.3.4.2026.CY4</x:v>
      </x:c>
      <x:c r="O711" s="2" t="n">
        <x:f>R711</x:f>
        <x:v>0</x:v>
      </x:c>
      <x:c r="P711" s="2"/>
      <x:c r="Q711" s="2" t="n">
        <x:v>1</x:v>
      </x:c>
      <x:c r="R711" s="2" t="n">
        <x:f>IF(A711,1,0)</x:f>
        <x:v>0</x:v>
      </x:c>
      <x:c r="S711" s="2" t="n">
        <x:f>SUBTOTAL(103,N711)</x:f>
        <x:v>1</x:v>
      </x:c>
    </x:row>
    <x:row r="712" ht="42" customHeight="1">
      <x:c r="A712" s="28" t="b">
        <x:v>0</x:v>
      </x:c>
      <x:c r="B712" s="2" t="str">
        <x:v>Cycle 4</x:v>
      </x:c>
      <x:c r="C712" s="2" t="str">
        <x:v>Phase 1</x:v>
      </x:c>
      <x:c r="D712" s="2" t="str">
        <x:v>Retail Services</x:v>
      </x:c>
      <x:c r="E712" s="56" t="str">
        <x:v>DR.RS.1.1</x:v>
      </x:c>
      <x:c r="F712" s="14" t="str">
        <x:v>Review data sources 3 weeks prior to Cycle start (Complaints, Gen AI, Loudspeaker, NPS, etc.)</x:v>
      </x:c>
      <x:c r="G712" s="5"/>
      <x:c r="H712" s="11"/>
      <x:c r="I712" s="11" t="n">
        <x:f>'Cycles &amp; Guide'!$C$13-21</x:f>
        <x:v>46275</x:v>
      </x:c>
      <x:c r="J712" s="11"/>
      <x:c r="K712" s="29"/>
      <x:c r="L712" s="2" t="str">
        <x:f>IF(O712=1,"Complete",IF(A712,"Checklist open",IF(H712&lt;&gt;"","In progress","Not started")))</x:f>
        <x:v>Not started</x:v>
      </x:c>
      <x:c r="M712" s="2" t="str">
        <x:v>Task</x:v>
      </x:c>
      <x:c r="N712" s="2" t="str">
        <x:v>DR.RS.1.1.2026.CY4</x:v>
      </x:c>
      <x:c r="O712" s="2" t="n">
        <x:f>R712</x:f>
        <x:v>0</x:v>
      </x:c>
      <x:c r="P712" s="2"/>
      <x:c r="Q712" s="2" t="n">
        <x:v>1</x:v>
      </x:c>
      <x:c r="R712" s="2" t="n">
        <x:f>IF(A712,1,0)</x:f>
        <x:v>0</x:v>
      </x:c>
      <x:c r="S712" s="2" t="n">
        <x:f>SUBTOTAL(103,N712)</x:f>
        <x:v>1</x:v>
      </x:c>
    </x:row>
    <x:row r="713" ht="42" customHeight="1">
      <x:c r="A713" s="28" t="b">
        <x:v>0</x:v>
      </x:c>
      <x:c r="B713" s="2" t="str">
        <x:v>Cycle 4</x:v>
      </x:c>
      <x:c r="C713" s="2" t="str">
        <x:v>Phase 1</x:v>
      </x:c>
      <x:c r="D713" s="2" t="str">
        <x:v>Retail Services</x:v>
      </x:c>
      <x:c r="E713" s="56" t="str">
        <x:v>DR.RS.1.2</x:v>
      </x:c>
      <x:c r="F713" s="14" t="str">
        <x:v>Identify two potential topics for the upcoming Cycle</x:v>
      </x:c>
      <x:c r="G713" s="5"/>
      <x:c r="H713" s="11"/>
      <x:c r="I713" s="11" t="n">
        <x:f>'Cycles &amp; Guide'!$D$13</x:f>
        <x:v>46387</x:v>
      </x:c>
      <x:c r="J713" s="11"/>
      <x:c r="K713" s="29"/>
      <x:c r="L713" s="2" t="str">
        <x:f>IF(O713=1,"Complete",IF(A713,"Checklist open",IF(H713&lt;&gt;"","In progress","Not started")))</x:f>
        <x:v>Not started</x:v>
      </x:c>
      <x:c r="M713" s="2" t="str">
        <x:v>Task</x:v>
      </x:c>
      <x:c r="N713" s="2" t="str">
        <x:v>DR.RS.1.2.2026.CY4</x:v>
      </x:c>
      <x:c r="O713" s="2" t="n">
        <x:f>R713</x:f>
        <x:v>0</x:v>
      </x:c>
      <x:c r="P713" s="2"/>
      <x:c r="Q713" s="2" t="n">
        <x:v>1</x:v>
      </x:c>
      <x:c r="R713" s="2" t="n">
        <x:f>IF(A713,1,0)</x:f>
        <x:v>0</x:v>
      </x:c>
      <x:c r="S713" s="2" t="n">
        <x:f>SUBTOTAL(103,N713)</x:f>
        <x:v>1</x:v>
      </x:c>
    </x:row>
    <x:row r="714" ht="42" customHeight="1">
      <x:c r="A714" s="28" t="b">
        <x:v>0</x:v>
      </x:c>
      <x:c r="B714" s="2" t="str">
        <x:v>Cycle 4</x:v>
      </x:c>
      <x:c r="C714" s="2" t="str">
        <x:v>Phase 1</x:v>
      </x:c>
      <x:c r="D714" s="2" t="str">
        <x:v>Retail Services</x:v>
      </x:c>
      <x:c r="E714" s="68" t="str">
        <x:v>DR.RS.1.3</x:v>
      </x:c>
      <x:c r="F714" s="33" t="str">
        <x:v>Extract data for both potential topics, ensuring all checklist items below are included/completed</x:v>
      </x:c>
      <x:c r="G714" s="5"/>
      <x:c r="H714" s="11"/>
      <x:c r="I714" s="11" t="n">
        <x:f>'Cycles &amp; Guide'!$D$13</x:f>
        <x:v>46387</x:v>
      </x:c>
      <x:c r="J714" s="11"/>
      <x:c r="K714" s="29"/>
      <x:c r="L714" s="2" t="str">
        <x:f>IF(O714=1,"Complete",IF(A714,"Checklist open",IF(H714&lt;&gt;"","In progress","Not started")))</x:f>
        <x:v>Not started</x:v>
      </x:c>
      <x:c r="M714" s="2" t="str">
        <x:v>Task</x:v>
      </x:c>
      <x:c r="N714" s="2" t="str">
        <x:v>DR.RS.1.3.2026.CY4</x:v>
      </x:c>
      <x:c r="O714" s="2" t="n">
        <x:f>IF(A714,IF(SUMIFS($R$10:$R$737,$P$10:$P$737,N714)=13,1,0),0)</x:f>
        <x:v>0</x:v>
      </x:c>
      <x:c r="P714" s="2"/>
      <x:c r="Q714" s="2" t="n">
        <x:v>1</x:v>
      </x:c>
      <x:c r="R714" s="2" t="n">
        <x:f>IF(A714,1,0)</x:f>
        <x:v>0</x:v>
      </x:c>
      <x:c r="S714" s="2" t="n">
        <x:f>SUBTOTAL(103,N714)</x:f>
        <x:v>1</x:v>
      </x:c>
    </x:row>
    <x:row r="715" ht="31" customHeight="1" outlineLevel="1">
      <x:c r="A715" s="28" t="b">
        <x:v>0</x:v>
      </x:c>
      <x:c r="B715" s="36" t="str">
        <x:v>Cycle 4</x:v>
      </x:c>
      <x:c r="C715" s="36" t="str">
        <x:v>Phase 1</x:v>
      </x:c>
      <x:c r="D715" s="36" t="str">
        <x:v>Retail Services</x:v>
      </x:c>
      <x:c r="E715" s="69" t="str">
        <x:v>DR.RS.1.3.C01</x:v>
      </x:c>
      <x:c r="F715" s="37" t="str">
        <x:v>    Document date range extracted</x:v>
      </x:c>
      <x:c r="G715" s="5"/>
      <x:c r="H715" s="11"/>
      <x:c r="I715" s="11"/>
      <x:c r="J715" s="11"/>
      <x:c r="K715" s="29"/>
      <x:c r="L715" s="2" t="str">
        <x:f>IF(A715,"Complete","Open check")</x:f>
        <x:v>Open check</x:v>
      </x:c>
      <x:c r="M715" s="2" t="str">
        <x:v>Checklist</x:v>
      </x:c>
      <x:c r="N715" s="2" t="str">
        <x:v>DR.RS.1.3.C01.2026.CY4</x:v>
      </x:c>
      <x:c r="O715" s="2" t="n">
        <x:f>R715</x:f>
        <x:v>0</x:v>
      </x:c>
      <x:c r="P715" s="2" t="str">
        <x:v>DR.RS.1.3.2026.CY4</x:v>
      </x:c>
      <x:c r="Q715" s="2" t="n">
        <x:v>0</x:v>
      </x:c>
      <x:c r="R715" s="2" t="n">
        <x:f>IF(A715,1,0)</x:f>
        <x:v>0</x:v>
      </x:c>
      <x:c r="S715" s="2" t="n">
        <x:f>SUBTOTAL(103,N715)</x:f>
        <x:v>1</x:v>
      </x:c>
    </x:row>
    <x:row r="716" ht="31" customHeight="1" outlineLevel="1">
      <x:c r="A716" s="28" t="b">
        <x:v>0</x:v>
      </x:c>
      <x:c r="B716" s="36" t="str">
        <x:v>Cycle 4</x:v>
      </x:c>
      <x:c r="C716" s="36" t="str">
        <x:v>Phase 1</x:v>
      </x:c>
      <x:c r="D716" s="36" t="str">
        <x:v>Retail Services</x:v>
      </x:c>
      <x:c r="E716" s="69" t="str">
        <x:v>DR.RS.1.3.C02</x:v>
      </x:c>
      <x:c r="F716" s="37" t="str">
        <x:v>    Document date of data pull</x:v>
      </x:c>
      <x:c r="G716" s="5"/>
      <x:c r="H716" s="11"/>
      <x:c r="I716" s="11"/>
      <x:c r="J716" s="11"/>
      <x:c r="K716" s="29"/>
      <x:c r="L716" s="2" t="str">
        <x:f>IF(A716,"Complete","Open check")</x:f>
        <x:v>Open check</x:v>
      </x:c>
      <x:c r="M716" s="2" t="str">
        <x:v>Checklist</x:v>
      </x:c>
      <x:c r="N716" s="2" t="str">
        <x:v>DR.RS.1.3.C02.2026.CY4</x:v>
      </x:c>
      <x:c r="O716" s="2" t="n">
        <x:f>R716</x:f>
        <x:v>0</x:v>
      </x:c>
      <x:c r="P716" s="2" t="str">
        <x:v>DR.RS.1.3.2026.CY4</x:v>
      </x:c>
      <x:c r="Q716" s="2" t="n">
        <x:v>0</x:v>
      </x:c>
      <x:c r="R716" s="2" t="n">
        <x:f>IF(A716,1,0)</x:f>
        <x:v>0</x:v>
      </x:c>
      <x:c r="S716" s="2" t="n">
        <x:f>SUBTOTAL(103,N716)</x:f>
        <x:v>1</x:v>
      </x:c>
    </x:row>
    <x:row r="717" ht="31" customHeight="1" outlineLevel="1">
      <x:c r="A717" s="28" t="b">
        <x:v>0</x:v>
      </x:c>
      <x:c r="B717" s="36" t="str">
        <x:v>Cycle 4</x:v>
      </x:c>
      <x:c r="C717" s="36" t="str">
        <x:v>Phase 1</x:v>
      </x:c>
      <x:c r="D717" s="36" t="str">
        <x:v>Retail Services</x:v>
      </x:c>
      <x:c r="E717" s="69" t="str">
        <x:v>DR.RS.1.3.C03</x:v>
      </x:c>
      <x:c r="F717" s="37" t="str">
        <x:v>    Document population details</x:v>
      </x:c>
      <x:c r="G717" s="5"/>
      <x:c r="H717" s="11"/>
      <x:c r="I717" s="11"/>
      <x:c r="J717" s="11"/>
      <x:c r="K717" s="29"/>
      <x:c r="L717" s="2" t="str">
        <x:f>IF(A717,"Complete","Open check")</x:f>
        <x:v>Open check</x:v>
      </x:c>
      <x:c r="M717" s="2" t="str">
        <x:v>Checklist</x:v>
      </x:c>
      <x:c r="N717" s="2" t="str">
        <x:v>DR.RS.1.3.C03.2026.CY4</x:v>
      </x:c>
      <x:c r="O717" s="2" t="n">
        <x:f>R717</x:f>
        <x:v>0</x:v>
      </x:c>
      <x:c r="P717" s="2" t="str">
        <x:v>DR.RS.1.3.2026.CY4</x:v>
      </x:c>
      <x:c r="Q717" s="2" t="n">
        <x:v>0</x:v>
      </x:c>
      <x:c r="R717" s="2" t="n">
        <x:f>IF(A717,1,0)</x:f>
        <x:v>0</x:v>
      </x:c>
      <x:c r="S717" s="2" t="n">
        <x:f>SUBTOTAL(103,N717)</x:f>
        <x:v>1</x:v>
      </x:c>
    </x:row>
    <x:row r="718" ht="31" customHeight="1" outlineLevel="1">
      <x:c r="A718" s="28" t="b">
        <x:v>0</x:v>
      </x:c>
      <x:c r="B718" s="36" t="str">
        <x:v>Cycle 4</x:v>
      </x:c>
      <x:c r="C718" s="36" t="str">
        <x:v>Phase 1</x:v>
      </x:c>
      <x:c r="D718" s="36" t="str">
        <x:v>Retail Services</x:v>
      </x:c>
      <x:c r="E718" s="69" t="str">
        <x:v>DR.RS.1.3.C04</x:v>
      </x:c>
      <x:c r="F718" s="37" t="str">
        <x:v>    Validate no data is missing</x:v>
      </x:c>
      <x:c r="G718" s="5"/>
      <x:c r="H718" s="11"/>
      <x:c r="I718" s="11"/>
      <x:c r="J718" s="11"/>
      <x:c r="K718" s="29"/>
      <x:c r="L718" s="2" t="str">
        <x:f>IF(A718,"Complete","Open check")</x:f>
        <x:v>Open check</x:v>
      </x:c>
      <x:c r="M718" s="2" t="str">
        <x:v>Checklist</x:v>
      </x:c>
      <x:c r="N718" s="2" t="str">
        <x:v>DR.RS.1.3.C04.2026.CY4</x:v>
      </x:c>
      <x:c r="O718" s="2" t="n">
        <x:f>R718</x:f>
        <x:v>0</x:v>
      </x:c>
      <x:c r="P718" s="2" t="str">
        <x:v>DR.RS.1.3.2026.CY4</x:v>
      </x:c>
      <x:c r="Q718" s="2" t="n">
        <x:v>0</x:v>
      </x:c>
      <x:c r="R718" s="2" t="n">
        <x:f>IF(A718,1,0)</x:f>
        <x:v>0</x:v>
      </x:c>
      <x:c r="S718" s="2" t="n">
        <x:f>SUBTOTAL(103,N718)</x:f>
        <x:v>1</x:v>
      </x:c>
    </x:row>
    <x:row r="719" ht="31" customHeight="1" outlineLevel="1">
      <x:c r="A719" s="28" t="b">
        <x:v>0</x:v>
      </x:c>
      <x:c r="B719" s="36" t="str">
        <x:v>Cycle 4</x:v>
      </x:c>
      <x:c r="C719" s="36" t="str">
        <x:v>Phase 1</x:v>
      </x:c>
      <x:c r="D719" s="36" t="str">
        <x:v>Retail Services</x:v>
      </x:c>
      <x:c r="E719" s="69" t="str">
        <x:v>DR.RS.1.3.C05</x:v>
      </x:c>
      <x:c r="F719" s="37" t="str">
        <x:v>    Validate accuracy of data</x:v>
      </x:c>
      <x:c r="G719" s="5"/>
      <x:c r="H719" s="11"/>
      <x:c r="I719" s="11"/>
      <x:c r="J719" s="11"/>
      <x:c r="K719" s="29"/>
      <x:c r="L719" s="2" t="str">
        <x:f>IF(A719,"Complete","Open check")</x:f>
        <x:v>Open check</x:v>
      </x:c>
      <x:c r="M719" s="2" t="str">
        <x:v>Checklist</x:v>
      </x:c>
      <x:c r="N719" s="2" t="str">
        <x:v>DR.RS.1.3.C05.2026.CY4</x:v>
      </x:c>
      <x:c r="O719" s="2" t="n">
        <x:f>R719</x:f>
        <x:v>0</x:v>
      </x:c>
      <x:c r="P719" s="2" t="str">
        <x:v>DR.RS.1.3.2026.CY4</x:v>
      </x:c>
      <x:c r="Q719" s="2" t="n">
        <x:v>0</x:v>
      </x:c>
      <x:c r="R719" s="2" t="n">
        <x:f>IF(A719,1,0)</x:f>
        <x:v>0</x:v>
      </x:c>
      <x:c r="S719" s="2" t="n">
        <x:f>SUBTOTAL(103,N719)</x:f>
        <x:v>1</x:v>
      </x:c>
    </x:row>
    <x:row r="720" ht="31" customHeight="1" outlineLevel="1">
      <x:c r="A720" s="28" t="b">
        <x:v>0</x:v>
      </x:c>
      <x:c r="B720" s="36" t="str">
        <x:v>Cycle 4</x:v>
      </x:c>
      <x:c r="C720" s="36" t="str">
        <x:v>Phase 1</x:v>
      </x:c>
      <x:c r="D720" s="36" t="str">
        <x:v>Retail Services</x:v>
      </x:c>
      <x:c r="E720" s="69" t="str">
        <x:v>DR.RS.1.3.C06</x:v>
      </x:c>
      <x:c r="F720" s="37" t="str">
        <x:v>    Validate no duplicate data is provided</x:v>
      </x:c>
      <x:c r="G720" s="5"/>
      <x:c r="H720" s="11"/>
      <x:c r="I720" s="11"/>
      <x:c r="J720" s="11"/>
      <x:c r="K720" s="29"/>
      <x:c r="L720" s="2" t="str">
        <x:f>IF(A720,"Complete","Open check")</x:f>
        <x:v>Open check</x:v>
      </x:c>
      <x:c r="M720" s="2" t="str">
        <x:v>Checklist</x:v>
      </x:c>
      <x:c r="N720" s="2" t="str">
        <x:v>DR.RS.1.3.C06.2026.CY4</x:v>
      </x:c>
      <x:c r="O720" s="2" t="n">
        <x:f>R720</x:f>
        <x:v>0</x:v>
      </x:c>
      <x:c r="P720" s="2" t="str">
        <x:v>DR.RS.1.3.2026.CY4</x:v>
      </x:c>
      <x:c r="Q720" s="2" t="n">
        <x:v>0</x:v>
      </x:c>
      <x:c r="R720" s="2" t="n">
        <x:f>IF(A720,1,0)</x:f>
        <x:v>0</x:v>
      </x:c>
      <x:c r="S720" s="2" t="n">
        <x:f>SUBTOTAL(103,N720)</x:f>
        <x:v>1</x:v>
      </x:c>
    </x:row>
    <x:row r="721" ht="31" customHeight="1" outlineLevel="1">
      <x:c r="A721" s="28" t="b">
        <x:v>0</x:v>
      </x:c>
      <x:c r="B721" s="36" t="str">
        <x:v>Cycle 4</x:v>
      </x:c>
      <x:c r="C721" s="36" t="str">
        <x:v>Phase 1</x:v>
      </x:c>
      <x:c r="D721" s="36" t="str">
        <x:v>Retail Services</x:v>
      </x:c>
      <x:c r="E721" s="69" t="str">
        <x:v>DR.RS.1.3.C07</x:v>
      </x:c>
      <x:c r="F721" s="37" t="str">
        <x:v>    Document any data exclusions along with justification (as needed)</x:v>
      </x:c>
      <x:c r="G721" s="5"/>
      <x:c r="H721" s="11"/>
      <x:c r="I721" s="11"/>
      <x:c r="J721" s="11"/>
      <x:c r="K721" s="29"/>
      <x:c r="L721" s="2" t="str">
        <x:f>IF(A721,"Complete","Open check")</x:f>
        <x:v>Open check</x:v>
      </x:c>
      <x:c r="M721" s="2" t="str">
        <x:v>Checklist</x:v>
      </x:c>
      <x:c r="N721" s="2" t="str">
        <x:v>DR.RS.1.3.C07.2026.CY4</x:v>
      </x:c>
      <x:c r="O721" s="2" t="n">
        <x:f>R721</x:f>
        <x:v>0</x:v>
      </x:c>
      <x:c r="P721" s="2" t="str">
        <x:v>DR.RS.1.3.2026.CY4</x:v>
      </x:c>
      <x:c r="Q721" s="2" t="n">
        <x:v>0</x:v>
      </x:c>
      <x:c r="R721" s="2" t="n">
        <x:f>IF(A721,1,0)</x:f>
        <x:v>0</x:v>
      </x:c>
      <x:c r="S721" s="2" t="n">
        <x:f>SUBTOTAL(103,N721)</x:f>
        <x:v>1</x:v>
      </x:c>
    </x:row>
    <x:row r="722" ht="31" customHeight="1" outlineLevel="1">
      <x:c r="A722" s="28" t="b">
        <x:v>0</x:v>
      </x:c>
      <x:c r="B722" s="36" t="str">
        <x:v>Cycle 4</x:v>
      </x:c>
      <x:c r="C722" s="36" t="str">
        <x:v>Phase 1</x:v>
      </x:c>
      <x:c r="D722" s="36" t="str">
        <x:v>Retail Services</x:v>
      </x:c>
      <x:c r="E722" s="69" t="str">
        <x:v>DR.RS.1.3.C08</x:v>
      </x:c>
      <x:c r="F722" s="37" t="str">
        <x:v>    Document any assumptions made with the data (as needed)</x:v>
      </x:c>
      <x:c r="G722" s="5"/>
      <x:c r="H722" s="11"/>
      <x:c r="I722" s="11"/>
      <x:c r="J722" s="11"/>
      <x:c r="K722" s="29"/>
      <x:c r="L722" s="2" t="str">
        <x:f>IF(A722,"Complete","Open check")</x:f>
        <x:v>Open check</x:v>
      </x:c>
      <x:c r="M722" s="2" t="str">
        <x:v>Checklist</x:v>
      </x:c>
      <x:c r="N722" s="2" t="str">
        <x:v>DR.RS.1.3.C08.2026.CY4</x:v>
      </x:c>
      <x:c r="O722" s="2" t="n">
        <x:f>R722</x:f>
        <x:v>0</x:v>
      </x:c>
      <x:c r="P722" s="2" t="str">
        <x:v>DR.RS.1.3.2026.CY4</x:v>
      </x:c>
      <x:c r="Q722" s="2" t="n">
        <x:v>0</x:v>
      </x:c>
      <x:c r="R722" s="2" t="n">
        <x:f>IF(A722,1,0)</x:f>
        <x:v>0</x:v>
      </x:c>
      <x:c r="S722" s="2" t="n">
        <x:f>SUBTOTAL(103,N722)</x:f>
        <x:v>1</x:v>
      </x:c>
    </x:row>
    <x:row r="723" ht="31" customHeight="1" outlineLevel="1">
      <x:c r="A723" s="28" t="b">
        <x:v>0</x:v>
      </x:c>
      <x:c r="B723" s="36" t="str">
        <x:v>Cycle 4</x:v>
      </x:c>
      <x:c r="C723" s="36" t="str">
        <x:v>Phase 1</x:v>
      </x:c>
      <x:c r="D723" s="36" t="str">
        <x:v>Retail Services</x:v>
      </x:c>
      <x:c r="E723" s="69" t="str">
        <x:v>DR.RS.1.3.C09</x:v>
      </x:c>
      <x:c r="F723" s="37" t="str">
        <x:v>    Document any data limitations or constraints clearly (as needed)</x:v>
      </x:c>
      <x:c r="G723" s="5"/>
      <x:c r="H723" s="11"/>
      <x:c r="I723" s="11"/>
      <x:c r="J723" s="11"/>
      <x:c r="K723" s="29"/>
      <x:c r="L723" s="2" t="str">
        <x:f>IF(A723,"Complete","Open check")</x:f>
        <x:v>Open check</x:v>
      </x:c>
      <x:c r="M723" s="2" t="str">
        <x:v>Checklist</x:v>
      </x:c>
      <x:c r="N723" s="2" t="str">
        <x:v>DR.RS.1.3.C09.2026.CY4</x:v>
      </x:c>
      <x:c r="O723" s="2" t="n">
        <x:f>R723</x:f>
        <x:v>0</x:v>
      </x:c>
      <x:c r="P723" s="2" t="str">
        <x:v>DR.RS.1.3.2026.CY4</x:v>
      </x:c>
      <x:c r="Q723" s="2" t="n">
        <x:v>0</x:v>
      </x:c>
      <x:c r="R723" s="2" t="n">
        <x:f>IF(A723,1,0)</x:f>
        <x:v>0</x:v>
      </x:c>
      <x:c r="S723" s="2" t="n">
        <x:f>SUBTOTAL(103,N723)</x:f>
        <x:v>1</x:v>
      </x:c>
    </x:row>
    <x:row r="724" ht="31" customHeight="1" outlineLevel="1">
      <x:c r="A724" s="28" t="b">
        <x:v>0</x:v>
      </x:c>
      <x:c r="B724" s="36" t="str">
        <x:v>Cycle 4</x:v>
      </x:c>
      <x:c r="C724" s="36" t="str">
        <x:v>Phase 1</x:v>
      </x:c>
      <x:c r="D724" s="36" t="str">
        <x:v>Retail Services</x:v>
      </x:c>
      <x:c r="E724" s="69" t="str">
        <x:v>DR.RS.1.3.C10</x:v>
      </x:c>
      <x:c r="F724" s="37" t="str">
        <x:v>    Document data dictionary or field definitions for columns/rows</x:v>
      </x:c>
      <x:c r="G724" s="5"/>
      <x:c r="H724" s="11"/>
      <x:c r="I724" s="11"/>
      <x:c r="J724" s="11"/>
      <x:c r="K724" s="29"/>
      <x:c r="L724" s="2" t="str">
        <x:f>IF(A724,"Complete","Open check")</x:f>
        <x:v>Open check</x:v>
      </x:c>
      <x:c r="M724" s="2" t="str">
        <x:v>Checklist</x:v>
      </x:c>
      <x:c r="N724" s="2" t="str">
        <x:v>DR.RS.1.3.C10.2026.CY4</x:v>
      </x:c>
      <x:c r="O724" s="2" t="n">
        <x:f>R724</x:f>
        <x:v>0</x:v>
      </x:c>
      <x:c r="P724" s="2" t="str">
        <x:v>DR.RS.1.3.2026.CY4</x:v>
      </x:c>
      <x:c r="Q724" s="2" t="n">
        <x:v>0</x:v>
      </x:c>
      <x:c r="R724" s="2" t="n">
        <x:f>IF(A724,1,0)</x:f>
        <x:v>0</x:v>
      </x:c>
      <x:c r="S724" s="2" t="n">
        <x:f>SUBTOTAL(103,N724)</x:f>
        <x:v>1</x:v>
      </x:c>
    </x:row>
    <x:row r="725" ht="31" customHeight="1" outlineLevel="1">
      <x:c r="A725" s="28" t="b">
        <x:v>0</x:v>
      </x:c>
      <x:c r="B725" s="36" t="str">
        <x:v>Cycle 4</x:v>
      </x:c>
      <x:c r="C725" s="36" t="str">
        <x:v>Phase 1</x:v>
      </x:c>
      <x:c r="D725" s="36" t="str">
        <x:v>Retail Services</x:v>
      </x:c>
      <x:c r="E725" s="69" t="str">
        <x:v>DR.RS.1.3.C11</x:v>
      </x:c>
      <x:c r="F725" s="37" t="str">
        <x:v>    Document emerging trends, patterns, or concentrations along with supporting data</x:v>
      </x:c>
      <x:c r="G725" s="5"/>
      <x:c r="H725" s="11"/>
      <x:c r="I725" s="11"/>
      <x:c r="J725" s="11"/>
      <x:c r="K725" s="29"/>
      <x:c r="L725" s="2" t="str">
        <x:f>IF(A725,"Complete","Open check")</x:f>
        <x:v>Open check</x:v>
      </x:c>
      <x:c r="M725" s="2" t="str">
        <x:v>Checklist</x:v>
      </x:c>
      <x:c r="N725" s="2" t="str">
        <x:v>DR.RS.1.3.C11.2026.CY4</x:v>
      </x:c>
      <x:c r="O725" s="2" t="n">
        <x:f>R725</x:f>
        <x:v>0</x:v>
      </x:c>
      <x:c r="P725" s="2" t="str">
        <x:v>DR.RS.1.3.2026.CY4</x:v>
      </x:c>
      <x:c r="Q725" s="2" t="n">
        <x:v>0</x:v>
      </x:c>
      <x:c r="R725" s="2" t="n">
        <x:f>IF(A725,1,0)</x:f>
        <x:v>0</x:v>
      </x:c>
      <x:c r="S725" s="2" t="n">
        <x:f>SUBTOTAL(103,N725)</x:f>
        <x:v>1</x:v>
      </x:c>
    </x:row>
    <x:row r="726" ht="31" customHeight="1" outlineLevel="1">
      <x:c r="A726" s="28" t="b">
        <x:v>0</x:v>
      </x:c>
      <x:c r="B726" s="36" t="str">
        <x:v>Cycle 4</x:v>
      </x:c>
      <x:c r="C726" s="36" t="str">
        <x:v>Phase 1</x:v>
      </x:c>
      <x:c r="D726" s="36" t="str">
        <x:v>Retail Services</x:v>
      </x:c>
      <x:c r="E726" s="69" t="str">
        <x:v>DR.RS.1.3.C12</x:v>
      </x:c>
      <x:c r="F726" s="37" t="str">
        <x:v>    Document any severe spikes in volume along with context (as needed)</x:v>
      </x:c>
      <x:c r="G726" s="5"/>
      <x:c r="H726" s="11"/>
      <x:c r="I726" s="11"/>
      <x:c r="J726" s="11"/>
      <x:c r="K726" s="29"/>
      <x:c r="L726" s="2" t="str">
        <x:f>IF(A726,"Complete","Open check")</x:f>
        <x:v>Open check</x:v>
      </x:c>
      <x:c r="M726" s="2" t="str">
        <x:v>Checklist</x:v>
      </x:c>
      <x:c r="N726" s="2" t="str">
        <x:v>DR.RS.1.3.C12.2026.CY4</x:v>
      </x:c>
      <x:c r="O726" s="2" t="n">
        <x:f>R726</x:f>
        <x:v>0</x:v>
      </x:c>
      <x:c r="P726" s="2" t="str">
        <x:v>DR.RS.1.3.2026.CY4</x:v>
      </x:c>
      <x:c r="Q726" s="2" t="n">
        <x:v>0</x:v>
      </x:c>
      <x:c r="R726" s="2" t="n">
        <x:f>IF(A726,1,0)</x:f>
        <x:v>0</x:v>
      </x:c>
      <x:c r="S726" s="2" t="n">
        <x:f>SUBTOTAL(103,N726)</x:f>
        <x:v>1</x:v>
      </x:c>
    </x:row>
    <x:row r="727" ht="31" customHeight="1" outlineLevel="1">
      <x:c r="A727" s="28" t="b">
        <x:v>0</x:v>
      </x:c>
      <x:c r="B727" s="36" t="str">
        <x:v>Cycle 4</x:v>
      </x:c>
      <x:c r="C727" s="36" t="str">
        <x:v>Phase 1</x:v>
      </x:c>
      <x:c r="D727" s="36" t="str">
        <x:v>Retail Services</x:v>
      </x:c>
      <x:c r="E727" s="69" t="str">
        <x:v>DR.RS.1.3.C13</x:v>
      </x:c>
      <x:c r="F727" s="37" t="str">
        <x:v>    Document clear summary explaining how the data connects to the potential topic</x:v>
      </x:c>
      <x:c r="G727" s="5"/>
      <x:c r="H727" s="11"/>
      <x:c r="I727" s="11"/>
      <x:c r="J727" s="11"/>
      <x:c r="K727" s="29"/>
      <x:c r="L727" s="2" t="str">
        <x:f>IF(A727,"Complete","Open check")</x:f>
        <x:v>Open check</x:v>
      </x:c>
      <x:c r="M727" s="2" t="str">
        <x:v>Checklist</x:v>
      </x:c>
      <x:c r="N727" s="2" t="str">
        <x:v>DR.RS.1.3.C13.2026.CY4</x:v>
      </x:c>
      <x:c r="O727" s="2" t="n">
        <x:f>R727</x:f>
        <x:v>0</x:v>
      </x:c>
      <x:c r="P727" s="2" t="str">
        <x:v>DR.RS.1.3.2026.CY4</x:v>
      </x:c>
      <x:c r="Q727" s="2" t="n">
        <x:v>0</x:v>
      </x:c>
      <x:c r="R727" s="2" t="n">
        <x:f>IF(A727,1,0)</x:f>
        <x:v>0</x:v>
      </x:c>
      <x:c r="S727" s="2" t="n">
        <x:f>SUBTOTAL(103,N727)</x:f>
        <x:v>1</x:v>
      </x:c>
    </x:row>
    <x:row r="728" ht="42" customHeight="1">
      <x:c r="A728" s="28" t="b">
        <x:v>0</x:v>
      </x:c>
      <x:c r="B728" s="2" t="str">
        <x:v>Cycle 4</x:v>
      </x:c>
      <x:c r="C728" s="2" t="str">
        <x:v>Phase 2</x:v>
      </x:c>
      <x:c r="D728" s="2" t="str">
        <x:v>Retail Services</x:v>
      </x:c>
      <x:c r="E728" s="56" t="str">
        <x:v>DR.RS.2.1</x:v>
      </x:c>
      <x:c r="F728" s="14" t="str">
        <x:v>Ensure data is clean, structured, and usable without manipulation needed</x:v>
      </x:c>
      <x:c r="G728" s="5"/>
      <x:c r="H728" s="11"/>
      <x:c r="I728" s="11" t="n">
        <x:f>'Cycles &amp; Guide'!$D$13</x:f>
        <x:v>46387</x:v>
      </x:c>
      <x:c r="J728" s="11"/>
      <x:c r="K728" s="29"/>
      <x:c r="L728" s="2" t="str">
        <x:f>IF(O728=1,"Complete",IF(A728,"Checklist open",IF(H728&lt;&gt;"","In progress","Not started")))</x:f>
        <x:v>Not started</x:v>
      </x:c>
      <x:c r="M728" s="2" t="str">
        <x:v>Task</x:v>
      </x:c>
      <x:c r="N728" s="2" t="str">
        <x:v>DR.RS.2.1.2026.CY4</x:v>
      </x:c>
      <x:c r="O728" s="2" t="n">
        <x:f>R728</x:f>
        <x:v>0</x:v>
      </x:c>
      <x:c r="P728" s="2"/>
      <x:c r="Q728" s="2" t="n">
        <x:v>1</x:v>
      </x:c>
      <x:c r="R728" s="2" t="n">
        <x:f>IF(A728,1,0)</x:f>
        <x:v>0</x:v>
      </x:c>
      <x:c r="S728" s="2" t="n">
        <x:f>SUBTOTAL(103,N728)</x:f>
        <x:v>1</x:v>
      </x:c>
    </x:row>
    <x:row r="729" ht="42" customHeight="1">
      <x:c r="A729" s="28" t="b">
        <x:v>0</x:v>
      </x:c>
      <x:c r="B729" s="2" t="str">
        <x:v>Cycle 4</x:v>
      </x:c>
      <x:c r="C729" s="2" t="str">
        <x:v>Phase 2</x:v>
      </x:c>
      <x:c r="D729" s="2" t="str">
        <x:v>Retail Services</x:v>
      </x:c>
      <x:c r="E729" s="56" t="str">
        <x:v>DR.RS.2.2</x:v>
      </x:c>
      <x:c r="F729" s="14" t="str">
        <x:v>Clearly document rationale for each topic recommendation within the SharePoint list</x:v>
      </x:c>
      <x:c r="G729" s="5"/>
      <x:c r="H729" s="11"/>
      <x:c r="I729" s="11" t="n">
        <x:f>'Cycles &amp; Guide'!$D$13</x:f>
        <x:v>46387</x:v>
      </x:c>
      <x:c r="J729" s="11"/>
      <x:c r="K729" s="29"/>
      <x:c r="L729" s="2" t="str">
        <x:f>IF(O729=1,"Complete",IF(A729,"Checklist open",IF(H729&lt;&gt;"","In progress","Not started")))</x:f>
        <x:v>Not started</x:v>
      </x:c>
      <x:c r="M729" s="2" t="str">
        <x:v>Task</x:v>
      </x:c>
      <x:c r="N729" s="2" t="str">
        <x:v>DR.RS.2.2.2026.CY4</x:v>
      </x:c>
      <x:c r="O729" s="2" t="n">
        <x:f>R729</x:f>
        <x:v>0</x:v>
      </x:c>
      <x:c r="P729" s="2"/>
      <x:c r="Q729" s="2" t="n">
        <x:v>1</x:v>
      </x:c>
      <x:c r="R729" s="2" t="n">
        <x:f>IF(A729,1,0)</x:f>
        <x:v>0</x:v>
      </x:c>
      <x:c r="S729" s="2" t="n">
        <x:f>SUBTOTAL(103,N729)</x:f>
        <x:v>1</x:v>
      </x:c>
    </x:row>
    <x:row r="730" ht="42" customHeight="1">
      <x:c r="A730" s="28" t="b">
        <x:v>0</x:v>
      </x:c>
      <x:c r="B730" s="2" t="str">
        <x:v>Cycle 4</x:v>
      </x:c>
      <x:c r="C730" s="2" t="str">
        <x:v>Phase 2</x:v>
      </x:c>
      <x:c r="D730" s="2" t="str">
        <x:v>Retail Services</x:v>
      </x:c>
      <x:c r="E730" s="56" t="str">
        <x:v>DR.RS.2.3</x:v>
      </x:c>
      <x:c r="F730" s="14" t="str">
        <x:v>Verify topic is eligible for RCA and does not conflict with Attorney Client Privilege</x:v>
      </x:c>
      <x:c r="G730" s="5"/>
      <x:c r="H730" s="11"/>
      <x:c r="I730" s="11" t="n">
        <x:f>'Cycles &amp; Guide'!$D$13</x:f>
        <x:v>46387</x:v>
      </x:c>
      <x:c r="J730" s="11"/>
      <x:c r="K730" s="29"/>
      <x:c r="L730" s="2" t="str">
        <x:f>IF(O730=1,"Complete",IF(A730,"Checklist open",IF(H730&lt;&gt;"","In progress","Not started")))</x:f>
        <x:v>Not started</x:v>
      </x:c>
      <x:c r="M730" s="2" t="str">
        <x:v>Task</x:v>
      </x:c>
      <x:c r="N730" s="2" t="str">
        <x:v>DR.RS.2.3.2026.CY4</x:v>
      </x:c>
      <x:c r="O730" s="2" t="n">
        <x:f>R730</x:f>
        <x:v>0</x:v>
      </x:c>
      <x:c r="P730" s="2"/>
      <x:c r="Q730" s="2" t="n">
        <x:v>1</x:v>
      </x:c>
      <x:c r="R730" s="2" t="n">
        <x:f>IF(A730,1,0)</x:f>
        <x:v>0</x:v>
      </x:c>
      <x:c r="S730" s="2" t="n">
        <x:f>SUBTOTAL(103,N730)</x:f>
        <x:v>1</x:v>
      </x:c>
    </x:row>
    <x:row r="731" ht="42" customHeight="1">
      <x:c r="A731" s="28" t="b">
        <x:v>0</x:v>
      </x:c>
      <x:c r="B731" s="2" t="str">
        <x:v>Cycle 4</x:v>
      </x:c>
      <x:c r="C731" s="2" t="str">
        <x:v>Phase 2</x:v>
      </x:c>
      <x:c r="D731" s="2" t="str">
        <x:v>Retail Services</x:v>
      </x:c>
      <x:c r="E731" s="56" t="str">
        <x:v>DR.RS.2.4</x:v>
      </x:c>
      <x:c r="F731" s="14" t="str">
        <x:v>Ensure data is free of errors and anomalies prior to hand-off to Research</x:v>
      </x:c>
      <x:c r="G731" s="5"/>
      <x:c r="H731" s="11"/>
      <x:c r="I731" s="11" t="n">
        <x:f>'Cycles &amp; Guide'!$D$13</x:f>
        <x:v>46387</x:v>
      </x:c>
      <x:c r="J731" s="11"/>
      <x:c r="K731" s="29"/>
      <x:c r="L731" s="2" t="str">
        <x:f>IF(O731=1,"Complete",IF(A731,"Checklist open",IF(H731&lt;&gt;"","In progress","Not started")))</x:f>
        <x:v>Not started</x:v>
      </x:c>
      <x:c r="M731" s="2" t="str">
        <x:v>Task</x:v>
      </x:c>
      <x:c r="N731" s="2" t="str">
        <x:v>DR.RS.2.4.2026.CY4</x:v>
      </x:c>
      <x:c r="O731" s="2" t="n">
        <x:f>R731</x:f>
        <x:v>0</x:v>
      </x:c>
      <x:c r="P731" s="2"/>
      <x:c r="Q731" s="2" t="n">
        <x:v>1</x:v>
      </x:c>
      <x:c r="R731" s="2" t="n">
        <x:f>IF(A731,1,0)</x:f>
        <x:v>0</x:v>
      </x:c>
      <x:c r="S731" s="2" t="n">
        <x:f>SUBTOTAL(103,N731)</x:f>
        <x:v>1</x:v>
      </x:c>
    </x:row>
    <x:row r="732" ht="42" customHeight="1">
      <x:c r="A732" s="28" t="b">
        <x:v>0</x:v>
      </x:c>
      <x:c r="B732" s="2" t="str">
        <x:v>Cycle 4</x:v>
      </x:c>
      <x:c r="C732" s="2" t="str">
        <x:v>Phase 2</x:v>
      </x:c>
      <x:c r="D732" s="2" t="str">
        <x:v>Retail Services</x:v>
      </x:c>
      <x:c r="E732" s="56" t="str">
        <x:v>DR.RS.2.5</x:v>
      </x:c>
      <x:c r="F732" s="14" t="str">
        <x:v>Ensure topic is not a duplicate from a previous Cycle</x:v>
      </x:c>
      <x:c r="G732" s="5"/>
      <x:c r="H732" s="11"/>
      <x:c r="I732" s="11" t="n">
        <x:f>'Cycles &amp; Guide'!$D$13</x:f>
        <x:v>46387</x:v>
      </x:c>
      <x:c r="J732" s="11"/>
      <x:c r="K732" s="29"/>
      <x:c r="L732" s="2" t="str">
        <x:f>IF(O732=1,"Complete",IF(A732,"Checklist open",IF(H732&lt;&gt;"","In progress","Not started")))</x:f>
        <x:v>Not started</x:v>
      </x:c>
      <x:c r="M732" s="2" t="str">
        <x:v>Task</x:v>
      </x:c>
      <x:c r="N732" s="2" t="str">
        <x:v>DR.RS.2.5.2026.CY4</x:v>
      </x:c>
      <x:c r="O732" s="2" t="n">
        <x:f>R732</x:f>
        <x:v>0</x:v>
      </x:c>
      <x:c r="P732" s="2"/>
      <x:c r="Q732" s="2" t="n">
        <x:v>1</x:v>
      </x:c>
      <x:c r="R732" s="2" t="n">
        <x:f>IF(A732,1,0)</x:f>
        <x:v>0</x:v>
      </x:c>
      <x:c r="S732" s="2" t="n">
        <x:f>SUBTOTAL(103,N732)</x:f>
        <x:v>1</x:v>
      </x:c>
    </x:row>
    <x:row r="733" ht="42" customHeight="1">
      <x:c r="A733" s="28" t="b">
        <x:v>0</x:v>
      </x:c>
      <x:c r="B733" s="2" t="str">
        <x:v>Cycle 4</x:v>
      </x:c>
      <x:c r="C733" s="2" t="str">
        <x:v>Phase 2</x:v>
      </x:c>
      <x:c r="D733" s="2" t="str">
        <x:v>Retail Services</x:v>
      </x:c>
      <x:c r="E733" s="56" t="str">
        <x:v>DR.RS.2.6</x:v>
      </x:c>
      <x:c r="F733" s="14" t="str">
        <x:v>Document clear distinctions between facts, assumptions, and hypotheses within the data package</x:v>
      </x:c>
      <x:c r="G733" s="5"/>
      <x:c r="H733" s="11"/>
      <x:c r="I733" s="11" t="n">
        <x:f>'Cycles &amp; Guide'!$D$13</x:f>
        <x:v>46387</x:v>
      </x:c>
      <x:c r="J733" s="11"/>
      <x:c r="K733" s="29"/>
      <x:c r="L733" s="2" t="str">
        <x:f>IF(O733=1,"Complete",IF(A733,"Checklist open",IF(H733&lt;&gt;"","In progress","Not started")))</x:f>
        <x:v>Not started</x:v>
      </x:c>
      <x:c r="M733" s="2" t="str">
        <x:v>Task</x:v>
      </x:c>
      <x:c r="N733" s="2" t="str">
        <x:v>DR.RS.2.6.2026.CY4</x:v>
      </x:c>
      <x:c r="O733" s="2" t="n">
        <x:f>R733</x:f>
        <x:v>0</x:v>
      </x:c>
      <x:c r="P733" s="2"/>
      <x:c r="Q733" s="2" t="n">
        <x:v>1</x:v>
      </x:c>
      <x:c r="R733" s="2" t="n">
        <x:f>IF(A733,1,0)</x:f>
        <x:v>0</x:v>
      </x:c>
      <x:c r="S733" s="2" t="n">
        <x:f>SUBTOTAL(103,N733)</x:f>
        <x:v>1</x:v>
      </x:c>
    </x:row>
    <x:row r="734" ht="42" customHeight="1">
      <x:c r="A734" s="28" t="b">
        <x:v>0</x:v>
      </x:c>
      <x:c r="B734" s="2" t="str">
        <x:v>Cycle 4</x:v>
      </x:c>
      <x:c r="C734" s="2" t="str">
        <x:v>Phase 3</x:v>
      </x:c>
      <x:c r="D734" s="2" t="str">
        <x:v>Retail Services</x:v>
      </x:c>
      <x:c r="E734" s="56" t="str">
        <x:v>DR.RS.3.1</x:v>
      </x:c>
      <x:c r="F734" s="14" t="str">
        <x:v>Clearly document rationale for each topic recommendation within the SharePoint list item</x:v>
      </x:c>
      <x:c r="G734" s="5"/>
      <x:c r="H734" s="11"/>
      <x:c r="I734" s="11" t="n">
        <x:f>'Cycles &amp; Guide'!$D$13</x:f>
        <x:v>46387</x:v>
      </x:c>
      <x:c r="J734" s="11"/>
      <x:c r="K734" s="29"/>
      <x:c r="L734" s="2" t="str">
        <x:f>IF(O734=1,"Complete",IF(A734,"Checklist open",IF(H734&lt;&gt;"","In progress","Not started")))</x:f>
        <x:v>Not started</x:v>
      </x:c>
      <x:c r="M734" s="2" t="str">
        <x:v>Task</x:v>
      </x:c>
      <x:c r="N734" s="2" t="str">
        <x:v>DR.RS.3.1.2026.CY4</x:v>
      </x:c>
      <x:c r="O734" s="2" t="n">
        <x:f>R734</x:f>
        <x:v>0</x:v>
      </x:c>
      <x:c r="P734" s="2"/>
      <x:c r="Q734" s="2" t="n">
        <x:v>1</x:v>
      </x:c>
      <x:c r="R734" s="2" t="n">
        <x:f>IF(A734,1,0)</x:f>
        <x:v>0</x:v>
      </x:c>
      <x:c r="S734" s="2" t="n">
        <x:f>SUBTOTAL(103,N734)</x:f>
        <x:v>1</x:v>
      </x:c>
    </x:row>
    <x:row r="735" ht="42" customHeight="1">
      <x:c r="A735" s="28" t="b">
        <x:v>0</x:v>
      </x:c>
      <x:c r="B735" s="2" t="str">
        <x:v>Cycle 4</x:v>
      </x:c>
      <x:c r="C735" s="2" t="str">
        <x:v>Phase 3</x:v>
      </x:c>
      <x:c r="D735" s="2" t="str">
        <x:v>Retail Services</x:v>
      </x:c>
      <x:c r="E735" s="56" t="str">
        <x:v>DR.RS.3.2</x:v>
      </x:c>
      <x:c r="F735" s="14" t="str">
        <x:v>Attach the data package for each topic recommendation within the SharePoint list item</x:v>
      </x:c>
      <x:c r="G735" s="5"/>
      <x:c r="H735" s="11"/>
      <x:c r="I735" s="11" t="n">
        <x:f>'Cycles &amp; Guide'!$D$13</x:f>
        <x:v>46387</x:v>
      </x:c>
      <x:c r="J735" s="11"/>
      <x:c r="K735" s="29"/>
      <x:c r="L735" s="2" t="str">
        <x:f>IF(O735=1,"Complete",IF(A735,"Checklist open",IF(H735&lt;&gt;"","In progress","Not started")))</x:f>
        <x:v>Not started</x:v>
      </x:c>
      <x:c r="M735" s="2" t="str">
        <x:v>Task</x:v>
      </x:c>
      <x:c r="N735" s="2" t="str">
        <x:v>DR.RS.3.2.2026.CY4</x:v>
      </x:c>
      <x:c r="O735" s="2" t="n">
        <x:f>R735</x:f>
        <x:v>0</x:v>
      </x:c>
      <x:c r="P735" s="2"/>
      <x:c r="Q735" s="2" t="n">
        <x:v>1</x:v>
      </x:c>
      <x:c r="R735" s="2" t="n">
        <x:f>IF(A735,1,0)</x:f>
        <x:v>0</x:v>
      </x:c>
      <x:c r="S735" s="2" t="n">
        <x:f>SUBTOTAL(103,N735)</x:f>
        <x:v>1</x:v>
      </x:c>
    </x:row>
    <x:row r="736" ht="42" customHeight="1">
      <x:c r="A736" s="28" t="b">
        <x:v>0</x:v>
      </x:c>
      <x:c r="B736" s="2" t="str">
        <x:v>Cycle 4</x:v>
      </x:c>
      <x:c r="C736" s="2" t="str">
        <x:v>Phase 3</x:v>
      </x:c>
      <x:c r="D736" s="2" t="str">
        <x:v>Retail Services</x:v>
      </x:c>
      <x:c r="E736" s="56" t="str">
        <x:v>DR.RS.3.3</x:v>
      </x:c>
      <x:c r="F736" s="14" t="str">
        <x:v>Confirm data privileges have been granted, ensuring each pillar can access</x:v>
      </x:c>
      <x:c r="G736" s="5"/>
      <x:c r="H736" s="11"/>
      <x:c r="I736" s="11" t="n">
        <x:f>'Cycles &amp; Guide'!$D$13</x:f>
        <x:v>46387</x:v>
      </x:c>
      <x:c r="J736" s="11"/>
      <x:c r="K736" s="29"/>
      <x:c r="L736" s="2" t="str">
        <x:f>IF(O736=1,"Complete",IF(A736,"Checklist open",IF(H736&lt;&gt;"","In progress","Not started")))</x:f>
        <x:v>Not started</x:v>
      </x:c>
      <x:c r="M736" s="2" t="str">
        <x:v>Task</x:v>
      </x:c>
      <x:c r="N736" s="2" t="str">
        <x:v>DR.RS.3.3.2026.CY4</x:v>
      </x:c>
      <x:c r="O736" s="2" t="n">
        <x:f>R736</x:f>
        <x:v>0</x:v>
      </x:c>
      <x:c r="P736" s="2"/>
      <x:c r="Q736" s="2" t="n">
        <x:v>1</x:v>
      </x:c>
      <x:c r="R736" s="2" t="n">
        <x:f>IF(A736,1,0)</x:f>
        <x:v>0</x:v>
      </x:c>
      <x:c r="S736" s="2" t="n">
        <x:f>SUBTOTAL(103,N736)</x:f>
        <x:v>1</x:v>
      </x:c>
    </x:row>
    <x:row r="737" ht="42" customHeight="1">
      <x:c r="A737" s="28" t="b">
        <x:v>0</x:v>
      </x:c>
      <x:c r="B737" s="2" t="str">
        <x:v>Cycle 4</x:v>
      </x:c>
      <x:c r="C737" s="2" t="str">
        <x:v>Phase 3</x:v>
      </x:c>
      <x:c r="D737" s="2" t="str">
        <x:v>Retail Services</x:v>
      </x:c>
      <x:c r="E737" s="56" t="str">
        <x:v>DR.RS.3.4</x:v>
      </x:c>
      <x:c r="F737" s="14" t="str">
        <x:v>Ensure Power Automate notifications were correctly triggered within Microsoft Teams</x:v>
      </x:c>
      <x:c r="G737" s="5"/>
      <x:c r="H737" s="11"/>
      <x:c r="I737" s="11" t="n">
        <x:f>'Cycles &amp; Guide'!$D$13</x:f>
        <x:v>46387</x:v>
      </x:c>
      <x:c r="J737" s="11"/>
      <x:c r="K737" s="29"/>
      <x:c r="L737" s="2" t="str">
        <x:f>IF(O737=1,"Complete",IF(A737,"Checklist open",IF(H737&lt;&gt;"","In progress","Not started")))</x:f>
        <x:v>Not started</x:v>
      </x:c>
      <x:c r="M737" s="2" t="str">
        <x:v>Task</x:v>
      </x:c>
      <x:c r="N737" s="2" t="str">
        <x:v>DR.RS.3.4.2026.CY4</x:v>
      </x:c>
      <x:c r="O737" s="2" t="n">
        <x:f>R737</x:f>
        <x:v>0</x:v>
      </x:c>
      <x:c r="P737" s="2"/>
      <x:c r="Q737" s="2" t="n">
        <x:v>1</x:v>
      </x:c>
      <x:c r="R737" s="2" t="n">
        <x:f>IF(A737,1,0)</x:f>
        <x:v>0</x:v>
      </x:c>
      <x:c r="S737" s="2" t="n">
        <x:f>SUBTOTAL(103,N737)</x:f>
        <x:v>1</x:v>
      </x:c>
    </x:row>
  </x:sheetData>
  <x:mergeCells>
    <x:mergeCell ref="A1:B1"/>
    <x:mergeCell ref="C1:D1"/>
    <x:mergeCell ref="E1:F1"/>
    <x:mergeCell ref="G1:J1"/>
  </x:mergeCells>
  <x:conditionalFormatting sqref="L10:L737">
    <x:cfRule type="expression" dxfId="0" priority="1">
      <x:formula>$O10=1</x:formula>
    </x:cfRule>
    <x:cfRule type="expression" dxfId="1" priority="2">
      <x:formula>$L10="Checklist open"</x:formula>
    </x:cfRule>
  </x:conditionalFormatting>
  <x:conditionalFormatting sqref="I10:I737">
    <x:cfRule type="expression" dxfId="2" priority="3">
      <x:formula>AND($Q10=1,$O10=0,ISNUMBER($I10),$I10&lt;TODAY())</x:formula>
    </x:cfRule>
  </x:conditionalFormatting>
  <x:conditionalFormatting sqref="J10:J737">
    <x:cfRule type="expression" dxfId="3" priority="4">
      <x:formula>AND($Q10=1,$O10=1,$J10="")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4e33a78dea542b9"/>
  </x:tableParts>
</x:worksheet>
</file>

<file path=xl/worksheets/sheet3.xml><?xml version="1.0" encoding="utf-8"?>
<x:worksheet xmlns:x="http://schemas.openxmlformats.org/spreadsheetml/2006/main">
  <x:sheetPr>
    <x:tabColor rgb="FF24785C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28" hidden="0" customWidth="1"/>
    <x:col min="5" max="5" width="21" hidden="0" customWidth="1"/>
    <x:col min="6" max="6" width="80" hidden="0" customWidth="1"/>
    <x:col min="7" max="7" width="22" hidden="0" customWidth="1"/>
    <x:col min="8" max="8" width="14" hidden="0" customWidth="1"/>
    <x:col min="9" max="9" width="14" hidden="0" customWidth="1"/>
    <x:col min="10" max="10" width="16" hidden="0" customWidth="1"/>
    <x:col min="11" max="11" width="42" hidden="0" customWidth="1"/>
    <x:col min="12" max="12" width="22" hidden="0" customWidth="1"/>
    <x:col min="13" max="13" width="13" hidden="1" customWidth="1"/>
    <x:col min="14" max="14" width="30" hidden="1" customWidth="1"/>
    <x:col min="15" max="15" width="12" hidden="1" customWidth="1"/>
    <x:col min="16" max="16" width="30" hidden="1" customWidth="1"/>
    <x:col min="17" max="17" width="12" hidden="1" customWidth="1"/>
    <x:col min="18" max="18" width="12" hidden="1" customWidth="1"/>
    <x:col min="19" max="19" width="12" hidden="1" customWidth="1"/>
  </x:cols>
  <x:sheetData>
    <x:row r="1" ht="29" customHeight="1">
      <x:c r="A1" s="19" t="str">
        <x:f>HYPERLINK("#'Dashboard'!A1","Dashboard")</x:f>
        <x:v>Dashboard</x:v>
      </x:c>
      <x:c r="B1" s="19"/>
      <x:c r="C1" s="19" t="str">
        <x:f>HYPERLINK("#'Data &amp; Reporting'!A1","Data &amp; Reporting")</x:f>
        <x:v>Data &amp; Reporting</x:v>
      </x:c>
      <x:c r="D1" s="19"/>
      <x:c r="E1" s="21" t="str">
        <x:f>HYPERLINK("#'Research &amp; Analysis'!A1","Research &amp; Analysis")</x:f>
        <x:v>Research &amp; Analysis</x:v>
      </x:c>
      <x:c r="F1" s="21"/>
      <x:c r="G1" s="19" t="str">
        <x:f>HYPERLINK("#'Design &amp; Insights'!A1","Design &amp; Insights")</x:f>
        <x:v>Design &amp; Insights</x:v>
      </x:c>
      <x:c r="H1" s="19"/>
      <x:c r="I1" s="19"/>
      <x:c r="J1" s="19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30" customHeight="1">
      <x:c r="A3" s="4" t="str">
        <x:v>Research &amp; Analysis tasks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2" t="str">
        <x:v>Filter Cycle, Phase, and Business Group in row 9. Check Done and update the amber fields below.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2" customHeight="1">
      <x:c r="A5" s="2" t="str">
        <x:v>Use the Dashboard tab for combined filters and a matching task list across all three teams.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22" customHeight="1">
      <x:c r="A7" s="2" t="str">
        <x:v>Visible parent tasks</x:v>
      </x:c>
      <x:c r="B7" s="2"/>
      <x:c r="C7" s="2" t="n">
        <x:f>SUBTOTAL(109,Q10:Q653)</x:f>
        <x:v>644</x:v>
      </x:c>
      <x:c r="D7" s="2" t="str">
        <x:v>Visible complete</x:v>
      </x:c>
      <x:c r="E7" s="2" t="n">
        <x:f>SUMPRODUCT(Q10:Q653,O10:O653,S10:S653)</x:f>
        <x:v>0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</x:row>
    <x:row r="8" ht="22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</x:row>
    <x:row r="9" ht="32" customHeight="1">
      <x:c r="A9" s="41" t="str">
        <x:v>Done</x:v>
      </x:c>
      <x:c r="B9" s="41" t="str">
        <x:v>Cycle</x:v>
      </x:c>
      <x:c r="C9" s="41" t="str">
        <x:v>Phase</x:v>
      </x:c>
      <x:c r="D9" s="41" t="str">
        <x:v>Business Group</x:v>
      </x:c>
      <x:c r="E9" s="41" t="str">
        <x:v>Task ID</x:v>
      </x:c>
      <x:c r="F9" s="41" t="str">
        <x:v>Task Description / Checklist</x:v>
      </x:c>
      <x:c r="G9" s="41" t="str">
        <x:v>Assigned To</x:v>
      </x:c>
      <x:c r="H9" s="41" t="str">
        <x:v>Start Date</x:v>
      </x:c>
      <x:c r="I9" s="41" t="str">
        <x:v>Due Date</x:v>
      </x:c>
      <x:c r="J9" s="41" t="str">
        <x:v>Completed Date</x:v>
      </x:c>
      <x:c r="K9" s="41" t="str">
        <x:v>Comments</x:v>
      </x:c>
      <x:c r="L9" s="41" t="str">
        <x:v>Status</x:v>
      </x:c>
      <x:c r="M9" s="41" t="str">
        <x:v>Row Type</x:v>
      </x:c>
      <x:c r="N9" s="41" t="str">
        <x:v>Cycle Record ID</x:v>
      </x:c>
      <x:c r="O9" s="41" t="str">
        <x:v>Complete Flag</x:v>
      </x:c>
      <x:c r="P9" s="41" t="str">
        <x:v>Parent Cycle Record ID</x:v>
      </x:c>
      <x:c r="Q9" s="41" t="str">
        <x:v>Parent Flag</x:v>
      </x:c>
      <x:c r="R9" s="41" t="str">
        <x:v>Checked Flag</x:v>
      </x:c>
      <x:c r="S9" s="41" t="str">
        <x:v>Visible</x:v>
      </x:c>
    </x:row>
    <x:row r="10" ht="42" customHeight="1">
      <x:c r="A10" s="28" t="b">
        <x:v>0</x:v>
      </x:c>
      <x:c r="B10" s="2" t="str">
        <x:v>Cycle 1</x:v>
      </x:c>
      <x:c r="C10" s="2" t="str">
        <x:v>Phase 1</x:v>
      </x:c>
      <x:c r="D10" s="2" t="str">
        <x:v>Auto</x:v>
      </x:c>
      <x:c r="E10" s="56" t="str">
        <x:v>RA.AU.1.1</x:v>
      </x:c>
      <x:c r="F10" s="14" t="str">
        <x:v>Begin Research process 2 weeks prior to Cycle start</x:v>
      </x:c>
      <x:c r="G10" s="5"/>
      <x:c r="H10" s="11"/>
      <x:c r="I10" s="11" t="n">
        <x:f>'Cycles &amp; Guide'!$C$10-14</x:f>
        <x:v>46009</x:v>
      </x:c>
      <x:c r="J10" s="11"/>
      <x:c r="K10" s="29"/>
      <x:c r="L10" s="2" t="str">
        <x:f>IF(O10=1,"Complete",IF(A10,"Checklist open",IF(H10&lt;&gt;"","In progress","Not started")))</x:f>
        <x:v>Not started</x:v>
      </x:c>
      <x:c r="M10" s="2" t="str">
        <x:v>Task</x:v>
      </x:c>
      <x:c r="N10" s="2" t="str">
        <x:v>RA.AU.1.1.2026.CY1</x:v>
      </x:c>
      <x:c r="O10" s="2" t="n">
        <x:f>R10</x:f>
        <x:v>0</x:v>
      </x:c>
      <x:c r="P10" s="2"/>
      <x:c r="Q10" s="2" t="n">
        <x:v>1</x:v>
      </x:c>
      <x:c r="R10" s="2" t="n">
        <x:f>IF(A10,1,0)</x:f>
        <x:v>0</x:v>
      </x:c>
      <x:c r="S10" s="2" t="n">
        <x:f>SUBTOTAL(103,N10)</x:f>
        <x:v>1</x:v>
      </x:c>
    </x:row>
    <x:row r="11" ht="42" customHeight="1">
      <x:c r="A11" s="28" t="b">
        <x:v>0</x:v>
      </x:c>
      <x:c r="B11" s="2" t="str">
        <x:v>Cycle 1</x:v>
      </x:c>
      <x:c r="C11" s="2" t="str">
        <x:v>Phase 1</x:v>
      </x:c>
      <x:c r="D11" s="2" t="str">
        <x:v>Auto</x:v>
      </x:c>
      <x:c r="E11" s="56" t="str">
        <x:v>RA.AU.1.2</x:v>
      </x:c>
      <x:c r="F11" s="14" t="str">
        <x:v>Conduct initial assessment of each topic recommendation from SharePoint list</x:v>
      </x:c>
      <x:c r="G11" s="5"/>
      <x:c r="H11" s="11"/>
      <x:c r="I11" s="11" t="n">
        <x:f>'Cycles &amp; Guide'!$D$10</x:f>
        <x:v>46112</x:v>
      </x:c>
      <x:c r="J11" s="11"/>
      <x:c r="K11" s="29"/>
      <x:c r="L11" s="2" t="str">
        <x:f>IF(O11=1,"Complete",IF(A11,"Checklist open",IF(H11&lt;&gt;"","In progress","Not started")))</x:f>
        <x:v>Not started</x:v>
      </x:c>
      <x:c r="M11" s="2" t="str">
        <x:v>Task</x:v>
      </x:c>
      <x:c r="N11" s="2" t="str">
        <x:v>RA.AU.1.2.2026.CY1</x:v>
      </x:c>
      <x:c r="O11" s="2" t="n">
        <x:f>R11</x:f>
        <x:v>0</x:v>
      </x:c>
      <x:c r="P11" s="2"/>
      <x:c r="Q11" s="2" t="n">
        <x:v>1</x:v>
      </x:c>
      <x:c r="R11" s="2" t="n">
        <x:f>IF(A11,1,0)</x:f>
        <x:v>0</x:v>
      </x:c>
      <x:c r="S11" s="2" t="n">
        <x:f>SUBTOTAL(103,N11)</x:f>
        <x:v>1</x:v>
      </x:c>
    </x:row>
    <x:row r="12" ht="42" customHeight="1">
      <x:c r="A12" s="28" t="b">
        <x:v>0</x:v>
      </x:c>
      <x:c r="B12" s="2" t="str">
        <x:v>Cycle 1</x:v>
      </x:c>
      <x:c r="C12" s="2" t="str">
        <x:v>Phase 1</x:v>
      </x:c>
      <x:c r="D12" s="2" t="str">
        <x:v>Auto</x:v>
      </x:c>
      <x:c r="E12" s="56" t="str">
        <x:v>RA.AU.1.3</x:v>
      </x:c>
      <x:c r="F12" s="14" t="str">
        <x:v>Identify best topic for Cycle</x:v>
      </x:c>
      <x:c r="G12" s="5"/>
      <x:c r="H12" s="11"/>
      <x:c r="I12" s="11" t="n">
        <x:f>'Cycles &amp; Guide'!$D$10</x:f>
        <x:v>46112</x:v>
      </x:c>
      <x:c r="J12" s="11"/>
      <x:c r="K12" s="29"/>
      <x:c r="L12" s="2" t="str">
        <x:f>IF(O12=1,"Complete",IF(A12,"Checklist open",IF(H12&lt;&gt;"","In progress","Not started")))</x:f>
        <x:v>Not started</x:v>
      </x:c>
      <x:c r="M12" s="2" t="str">
        <x:v>Task</x:v>
      </x:c>
      <x:c r="N12" s="2" t="str">
        <x:v>RA.AU.1.3.2026.CY1</x:v>
      </x:c>
      <x:c r="O12" s="2" t="n">
        <x:f>R12</x:f>
        <x:v>0</x:v>
      </x:c>
      <x:c r="P12" s="2"/>
      <x:c r="Q12" s="2" t="n">
        <x:v>1</x:v>
      </x:c>
      <x:c r="R12" s="2" t="n">
        <x:f>IF(A12,1,0)</x:f>
        <x:v>0</x:v>
      </x:c>
      <x:c r="S12" s="2" t="n">
        <x:f>SUBTOTAL(103,N12)</x:f>
        <x:v>1</x:v>
      </x:c>
    </x:row>
    <x:row r="13" ht="42" customHeight="1">
      <x:c r="A13" s="28" t="b">
        <x:v>0</x:v>
      </x:c>
      <x:c r="B13" s="2" t="str">
        <x:v>Cycle 1</x:v>
      </x:c>
      <x:c r="C13" s="2" t="str">
        <x:v>Phase 1</x:v>
      </x:c>
      <x:c r="D13" s="2" t="str">
        <x:v>Auto</x:v>
      </x:c>
      <x:c r="E13" s="56" t="str">
        <x:v>RA.AU.1.4</x:v>
      </x:c>
      <x:c r="F13" s="14" t="str">
        <x:v>Identify backup topic for Cycle</x:v>
      </x:c>
      <x:c r="G13" s="5"/>
      <x:c r="H13" s="11"/>
      <x:c r="I13" s="11" t="n">
        <x:f>'Cycles &amp; Guide'!$D$10</x:f>
        <x:v>46112</x:v>
      </x:c>
      <x:c r="J13" s="11"/>
      <x:c r="K13" s="29"/>
      <x:c r="L13" s="2" t="str">
        <x:f>IF(O13=1,"Complete",IF(A13,"Checklist open",IF(H13&lt;&gt;"","In progress","Not started")))</x:f>
        <x:v>Not started</x:v>
      </x:c>
      <x:c r="M13" s="2" t="str">
        <x:v>Task</x:v>
      </x:c>
      <x:c r="N13" s="2" t="str">
        <x:v>RA.AU.1.4.2026.CY1</x:v>
      </x:c>
      <x:c r="O13" s="2" t="n">
        <x:f>R13</x:f>
        <x:v>0</x:v>
      </x:c>
      <x:c r="P13" s="2"/>
      <x:c r="Q13" s="2" t="n">
        <x:v>1</x:v>
      </x:c>
      <x:c r="R13" s="2" t="n">
        <x:f>IF(A13,1,0)</x:f>
        <x:v>0</x:v>
      </x:c>
      <x:c r="S13" s="2" t="n">
        <x:f>SUBTOTAL(103,N13)</x:f>
        <x:v>1</x:v>
      </x:c>
    </x:row>
    <x:row r="14" ht="42" customHeight="1">
      <x:c r="A14" s="28" t="b">
        <x:v>0</x:v>
      </x:c>
      <x:c r="B14" s="2" t="str">
        <x:v>Cycle 1</x:v>
      </x:c>
      <x:c r="C14" s="2" t="str">
        <x:v>Phase 1</x:v>
      </x:c>
      <x:c r="D14" s="2" t="str">
        <x:v>Auto</x:v>
      </x:c>
      <x:c r="E14" s="56" t="str">
        <x:v>RA.AU.1.5</x:v>
      </x:c>
      <x:c r="F14" s="14" t="str">
        <x:v>Schedule topic approval meeting with D&amp;I and management</x:v>
      </x:c>
      <x:c r="G14" s="5"/>
      <x:c r="H14" s="11"/>
      <x:c r="I14" s="11" t="n">
        <x:f>'Cycles &amp; Guide'!$D$10</x:f>
        <x:v>46112</x:v>
      </x:c>
      <x:c r="J14" s="11"/>
      <x:c r="K14" s="29"/>
      <x:c r="L14" s="2" t="str">
        <x:f>IF(O14=1,"Complete",IF(A14,"Checklist open",IF(H14&lt;&gt;"","In progress","Not started")))</x:f>
        <x:v>Not started</x:v>
      </x:c>
      <x:c r="M14" s="2" t="str">
        <x:v>Task</x:v>
      </x:c>
      <x:c r="N14" s="2" t="str">
        <x:v>RA.AU.1.5.2026.CY1</x:v>
      </x:c>
      <x:c r="O14" s="2" t="n">
        <x:f>R14</x:f>
        <x:v>0</x:v>
      </x:c>
      <x:c r="P14" s="2"/>
      <x:c r="Q14" s="2" t="n">
        <x:v>1</x:v>
      </x:c>
      <x:c r="R14" s="2" t="n">
        <x:f>IF(A14,1,0)</x:f>
        <x:v>0</x:v>
      </x:c>
      <x:c r="S14" s="2" t="n">
        <x:f>SUBTOTAL(103,N14)</x:f>
        <x:v>1</x:v>
      </x:c>
    </x:row>
    <x:row r="15" ht="42" customHeight="1">
      <x:c r="A15" s="28" t="b">
        <x:v>0</x:v>
      </x:c>
      <x:c r="B15" s="2" t="str">
        <x:v>Cycle 1</x:v>
      </x:c>
      <x:c r="C15" s="2" t="str">
        <x:v>Phase 1</x:v>
      </x:c>
      <x:c r="D15" s="2" t="str">
        <x:v>Auto</x:v>
      </x:c>
      <x:c r="E15" s="56" t="str">
        <x:v>RA.AU.1.6</x:v>
      </x:c>
      <x:c r="F15" s="14" t="str">
        <x:v>Present recommended topic to D&amp;I and management for approval</x:v>
      </x:c>
      <x:c r="G15" s="5"/>
      <x:c r="H15" s="11"/>
      <x:c r="I15" s="11" t="n">
        <x:f>'Cycles &amp; Guide'!$D$10</x:f>
        <x:v>46112</x:v>
      </x:c>
      <x:c r="J15" s="11"/>
      <x:c r="K15" s="29"/>
      <x:c r="L15" s="2" t="str">
        <x:f>IF(O15=1,"Complete",IF(A15,"Checklist open",IF(H15&lt;&gt;"","In progress","Not started")))</x:f>
        <x:v>Not started</x:v>
      </x:c>
      <x:c r="M15" s="2" t="str">
        <x:v>Task</x:v>
      </x:c>
      <x:c r="N15" s="2" t="str">
        <x:v>RA.AU.1.6.2026.CY1</x:v>
      </x:c>
      <x:c r="O15" s="2" t="n">
        <x:f>R15</x:f>
        <x:v>0</x:v>
      </x:c>
      <x:c r="P15" s="2"/>
      <x:c r="Q15" s="2" t="n">
        <x:v>1</x:v>
      </x:c>
      <x:c r="R15" s="2" t="n">
        <x:f>IF(A15,1,0)</x:f>
        <x:v>0</x:v>
      </x:c>
      <x:c r="S15" s="2" t="n">
        <x:f>SUBTOTAL(103,N15)</x:f>
        <x:v>1</x:v>
      </x:c>
    </x:row>
    <x:row r="16" ht="42" customHeight="1">
      <x:c r="A16" s="28" t="b">
        <x:v>0</x:v>
      </x:c>
      <x:c r="B16" s="2" t="str">
        <x:v>Cycle 1</x:v>
      </x:c>
      <x:c r="C16" s="2" t="str">
        <x:v>Phase 1</x:v>
      </x:c>
      <x:c r="D16" s="2" t="str">
        <x:v>Auto</x:v>
      </x:c>
      <x:c r="E16" s="56" t="str">
        <x:v>RA.AU.1.7</x:v>
      </x:c>
      <x:c r="F16" s="14" t="str">
        <x:v>Obtain formal topic selection approval from management via SharePoint</x:v>
      </x:c>
      <x:c r="G16" s="5"/>
      <x:c r="H16" s="11"/>
      <x:c r="I16" s="11" t="n">
        <x:f>'Cycles &amp; Guide'!$D$10</x:f>
        <x:v>46112</x:v>
      </x:c>
      <x:c r="J16" s="11"/>
      <x:c r="K16" s="29"/>
      <x:c r="L16" s="2" t="str">
        <x:f>IF(O16=1,"Complete",IF(A16,"Checklist open",IF(H16&lt;&gt;"","In progress","Not started")))</x:f>
        <x:v>Not started</x:v>
      </x:c>
      <x:c r="M16" s="2" t="str">
        <x:v>Task</x:v>
      </x:c>
      <x:c r="N16" s="2" t="str">
        <x:v>RA.AU.1.7.2026.CY1</x:v>
      </x:c>
      <x:c r="O16" s="2" t="n">
        <x:f>R16</x:f>
        <x:v>0</x:v>
      </x:c>
      <x:c r="P16" s="2"/>
      <x:c r="Q16" s="2" t="n">
        <x:v>1</x:v>
      </x:c>
      <x:c r="R16" s="2" t="n">
        <x:f>IF(A16,1,0)</x:f>
        <x:v>0</x:v>
      </x:c>
      <x:c r="S16" s="2" t="n">
        <x:f>SUBTOTAL(103,N16)</x:f>
        <x:v>1</x:v>
      </x:c>
    </x:row>
    <x:row r="17" ht="42" customHeight="1">
      <x:c r="A17" s="28" t="b">
        <x:v>0</x:v>
      </x:c>
      <x:c r="B17" s="2" t="str">
        <x:v>Cycle 1</x:v>
      </x:c>
      <x:c r="C17" s="2" t="str">
        <x:v>Phase 1</x:v>
      </x:c>
      <x:c r="D17" s="2" t="str">
        <x:v>Auto</x:v>
      </x:c>
      <x:c r="E17" s="56" t="str">
        <x:v>RA.AU.1.8</x:v>
      </x:c>
      <x:c r="F17" s="14" t="str">
        <x:v>Socialize topic selection with product owners and subject matter experts (if known)</x:v>
      </x:c>
      <x:c r="G17" s="5"/>
      <x:c r="H17" s="11"/>
      <x:c r="I17" s="11" t="n">
        <x:f>'Cycles &amp; Guide'!$D$10</x:f>
        <x:v>46112</x:v>
      </x:c>
      <x:c r="J17" s="11"/>
      <x:c r="K17" s="29"/>
      <x:c r="L17" s="2" t="str">
        <x:f>IF(O17=1,"Complete",IF(A17,"Checklist open",IF(H17&lt;&gt;"","In progress","Not started")))</x:f>
        <x:v>Not started</x:v>
      </x:c>
      <x:c r="M17" s="2" t="str">
        <x:v>Task</x:v>
      </x:c>
      <x:c r="N17" s="2" t="str">
        <x:v>RA.AU.1.8.2026.CY1</x:v>
      </x:c>
      <x:c r="O17" s="2" t="n">
        <x:f>R17</x:f>
        <x:v>0</x:v>
      </x:c>
      <x:c r="P17" s="2"/>
      <x:c r="Q17" s="2" t="n">
        <x:v>1</x:v>
      </x:c>
      <x:c r="R17" s="2" t="n">
        <x:f>IF(A17,1,0)</x:f>
        <x:v>0</x:v>
      </x:c>
      <x:c r="S17" s="2" t="n">
        <x:f>SUBTOTAL(103,N17)</x:f>
        <x:v>1</x:v>
      </x:c>
    </x:row>
    <x:row r="18" ht="42" customHeight="1">
      <x:c r="A18" s="28" t="b">
        <x:v>0</x:v>
      </x:c>
      <x:c r="B18" s="2" t="str">
        <x:v>Cycle 1</x:v>
      </x:c>
      <x:c r="C18" s="2" t="str">
        <x:v>Phase 1</x:v>
      </x:c>
      <x:c r="D18" s="2" t="str">
        <x:v>Auto</x:v>
      </x:c>
      <x:c r="E18" s="56" t="str">
        <x:v>RA.AU.1.9</x:v>
      </x:c>
      <x:c r="F18" s="14" t="str">
        <x:v>Assign topic researchers</x:v>
      </x:c>
      <x:c r="G18" s="5"/>
      <x:c r="H18" s="11"/>
      <x:c r="I18" s="11" t="n">
        <x:f>'Cycles &amp; Guide'!$D$10</x:f>
        <x:v>46112</x:v>
      </x:c>
      <x:c r="J18" s="11"/>
      <x:c r="K18" s="29"/>
      <x:c r="L18" s="2" t="str">
        <x:f>IF(O18=1,"Complete",IF(A18,"Checklist open",IF(H18&lt;&gt;"","In progress","Not started")))</x:f>
        <x:v>Not started</x:v>
      </x:c>
      <x:c r="M18" s="2" t="str">
        <x:v>Task</x:v>
      </x:c>
      <x:c r="N18" s="2" t="str">
        <x:v>RA.AU.1.9.2026.CY1</x:v>
      </x:c>
      <x:c r="O18" s="2" t="n">
        <x:f>R18</x:f>
        <x:v>0</x:v>
      </x:c>
      <x:c r="P18" s="2"/>
      <x:c r="Q18" s="2" t="n">
        <x:v>1</x:v>
      </x:c>
      <x:c r="R18" s="2" t="n">
        <x:f>IF(A18,1,0)</x:f>
        <x:v>0</x:v>
      </x:c>
      <x:c r="S18" s="2" t="n">
        <x:f>SUBTOTAL(103,N18)</x:f>
        <x:v>1</x:v>
      </x:c>
    </x:row>
    <x:row r="19" ht="42" customHeight="1">
      <x:c r="A19" s="28" t="b">
        <x:v>0</x:v>
      </x:c>
      <x:c r="B19" s="2" t="str">
        <x:v>Cycle 1</x:v>
      </x:c>
      <x:c r="C19" s="2" t="str">
        <x:v>Phase 2</x:v>
      </x:c>
      <x:c r="D19" s="2" t="str">
        <x:v>Auto</x:v>
      </x:c>
      <x:c r="E19" s="56" t="str">
        <x:v>RA.AU.2.1</x:v>
      </x:c>
      <x:c r="F19" s="14" t="str">
        <x:v>Review data sources</x:v>
      </x:c>
      <x:c r="G19" s="5"/>
      <x:c r="H19" s="11"/>
      <x:c r="I19" s="11" t="n">
        <x:f>'Cycles &amp; Guide'!$D$10</x:f>
        <x:v>46112</x:v>
      </x:c>
      <x:c r="J19" s="11"/>
      <x:c r="K19" s="29"/>
      <x:c r="L19" s="2" t="str">
        <x:f>IF(O19=1,"Complete",IF(A19,"Checklist open",IF(H19&lt;&gt;"","In progress","Not started")))</x:f>
        <x:v>Not started</x:v>
      </x:c>
      <x:c r="M19" s="2" t="str">
        <x:v>Task</x:v>
      </x:c>
      <x:c r="N19" s="2" t="str">
        <x:v>RA.AU.2.1.2026.CY1</x:v>
      </x:c>
      <x:c r="O19" s="2" t="n">
        <x:f>R19</x:f>
        <x:v>0</x:v>
      </x:c>
      <x:c r="P19" s="2"/>
      <x:c r="Q19" s="2" t="n">
        <x:v>1</x:v>
      </x:c>
      <x:c r="R19" s="2" t="n">
        <x:f>IF(A19,1,0)</x:f>
        <x:v>0</x:v>
      </x:c>
      <x:c r="S19" s="2" t="n">
        <x:f>SUBTOTAL(103,N19)</x:f>
        <x:v>1</x:v>
      </x:c>
    </x:row>
    <x:row r="20" ht="42" customHeight="1">
      <x:c r="A20" s="28" t="b">
        <x:v>0</x:v>
      </x:c>
      <x:c r="B20" s="2" t="str">
        <x:v>Cycle 1</x:v>
      </x:c>
      <x:c r="C20" s="2" t="str">
        <x:v>Phase 2</x:v>
      </x:c>
      <x:c r="D20" s="2" t="str">
        <x:v>Auto</x:v>
      </x:c>
      <x:c r="E20" s="56" t="str">
        <x:v>RA.AU.2.2</x:v>
      </x:c>
      <x:c r="F20" s="14" t="str">
        <x:v>Review relevant policies and procedures</x:v>
      </x:c>
      <x:c r="G20" s="5"/>
      <x:c r="H20" s="11"/>
      <x:c r="I20" s="11" t="n">
        <x:f>'Cycles &amp; Guide'!$D$10</x:f>
        <x:v>46112</x:v>
      </x:c>
      <x:c r="J20" s="11"/>
      <x:c r="K20" s="29"/>
      <x:c r="L20" s="2" t="str">
        <x:f>IF(O20=1,"Complete",IF(A20,"Checklist open",IF(H20&lt;&gt;"","In progress","Not started")))</x:f>
        <x:v>Not started</x:v>
      </x:c>
      <x:c r="M20" s="2" t="str">
        <x:v>Task</x:v>
      </x:c>
      <x:c r="N20" s="2" t="str">
        <x:v>RA.AU.2.2.2026.CY1</x:v>
      </x:c>
      <x:c r="O20" s="2" t="n">
        <x:f>R20</x:f>
        <x:v>0</x:v>
      </x:c>
      <x:c r="P20" s="2"/>
      <x:c r="Q20" s="2" t="n">
        <x:v>1</x:v>
      </x:c>
      <x:c r="R20" s="2" t="n">
        <x:f>IF(A20,1,0)</x:f>
        <x:v>0</x:v>
      </x:c>
      <x:c r="S20" s="2" t="n">
        <x:f>SUBTOTAL(103,N20)</x:f>
        <x:v>1</x:v>
      </x:c>
    </x:row>
    <x:row r="21" ht="42" customHeight="1">
      <x:c r="A21" s="28" t="b">
        <x:v>0</x:v>
      </x:c>
      <x:c r="B21" s="2" t="str">
        <x:v>Cycle 1</x:v>
      </x:c>
      <x:c r="C21" s="2" t="str">
        <x:v>Phase 2</x:v>
      </x:c>
      <x:c r="D21" s="2" t="str">
        <x:v>Auto</x:v>
      </x:c>
      <x:c r="E21" s="56" t="str">
        <x:v>RA.AU.2.3</x:v>
      </x:c>
      <x:c r="F21" s="14" t="str">
        <x:v>Meet with SMEs to gain business insight and clarify questions</x:v>
      </x:c>
      <x:c r="G21" s="5"/>
      <x:c r="H21" s="11"/>
      <x:c r="I21" s="11" t="n">
        <x:f>'Cycles &amp; Guide'!$D$10</x:f>
        <x:v>46112</x:v>
      </x:c>
      <x:c r="J21" s="11"/>
      <x:c r="K21" s="29"/>
      <x:c r="L21" s="2" t="str">
        <x:f>IF(O21=1,"Complete",IF(A21,"Checklist open",IF(H21&lt;&gt;"","In progress","Not started")))</x:f>
        <x:v>Not started</x:v>
      </x:c>
      <x:c r="M21" s="2" t="str">
        <x:v>Task</x:v>
      </x:c>
      <x:c r="N21" s="2" t="str">
        <x:v>RA.AU.2.3.2026.CY1</x:v>
      </x:c>
      <x:c r="O21" s="2" t="n">
        <x:f>R21</x:f>
        <x:v>0</x:v>
      </x:c>
      <x:c r="P21" s="2"/>
      <x:c r="Q21" s="2" t="n">
        <x:v>1</x:v>
      </x:c>
      <x:c r="R21" s="2" t="n">
        <x:f>IF(A21,1,0)</x:f>
        <x:v>0</x:v>
      </x:c>
      <x:c r="S21" s="2" t="n">
        <x:f>SUBTOTAL(103,N21)</x:f>
        <x:v>1</x:v>
      </x:c>
    </x:row>
    <x:row r="22" ht="42" customHeight="1">
      <x:c r="A22" s="28" t="b">
        <x:v>0</x:v>
      </x:c>
      <x:c r="B22" s="2" t="str">
        <x:v>Cycle 1</x:v>
      </x:c>
      <x:c r="C22" s="2" t="str">
        <x:v>Phase 2</x:v>
      </x:c>
      <x:c r="D22" s="2" t="str">
        <x:v>Auto</x:v>
      </x:c>
      <x:c r="E22" s="56" t="str">
        <x:v>RA.AU.2.4</x:v>
      </x:c>
      <x:c r="F22" s="14" t="str">
        <x:v>Establish and maintain a recurring meeting with D&amp;I to discuss Cycle progress</x:v>
      </x:c>
      <x:c r="G22" s="5"/>
      <x:c r="H22" s="11"/>
      <x:c r="I22" s="11" t="n">
        <x:f>'Cycles &amp; Guide'!$D$10</x:f>
        <x:v>46112</x:v>
      </x:c>
      <x:c r="J22" s="11"/>
      <x:c r="K22" s="29"/>
      <x:c r="L22" s="2" t="str">
        <x:f>IF(O22=1,"Complete",IF(A22,"Checklist open",IF(H22&lt;&gt;"","In progress","Not started")))</x:f>
        <x:v>Not started</x:v>
      </x:c>
      <x:c r="M22" s="2" t="str">
        <x:v>Task</x:v>
      </x:c>
      <x:c r="N22" s="2" t="str">
        <x:v>RA.AU.2.4.2026.CY1</x:v>
      </x:c>
      <x:c r="O22" s="2" t="n">
        <x:f>R22</x:f>
        <x:v>0</x:v>
      </x:c>
      <x:c r="P22" s="2"/>
      <x:c r="Q22" s="2" t="n">
        <x:v>1</x:v>
      </x:c>
      <x:c r="R22" s="2" t="n">
        <x:f>IF(A22,1,0)</x:f>
        <x:v>0</x:v>
      </x:c>
      <x:c r="S22" s="2" t="n">
        <x:f>SUBTOTAL(103,N22)</x:f>
        <x:v>1</x:v>
      </x:c>
    </x:row>
    <x:row r="23" ht="42" customHeight="1">
      <x:c r="A23" s="28" t="b">
        <x:v>0</x:v>
      </x:c>
      <x:c r="B23" s="2" t="str">
        <x:v>Cycle 1</x:v>
      </x:c>
      <x:c r="C23" s="2" t="str">
        <x:v>Phase 2</x:v>
      </x:c>
      <x:c r="D23" s="2" t="str">
        <x:v>Auto</x:v>
      </x:c>
      <x:c r="E23" s="56" t="str">
        <x:v>RA.AU.2.5</x:v>
      </x:c>
      <x:c r="F23" s="14" t="str">
        <x:v>Perform data testing and sampling</x:v>
      </x:c>
      <x:c r="G23" s="5"/>
      <x:c r="H23" s="11"/>
      <x:c r="I23" s="11" t="n">
        <x:f>'Cycles &amp; Guide'!$D$10</x:f>
        <x:v>46112</x:v>
      </x:c>
      <x:c r="J23" s="11"/>
      <x:c r="K23" s="29"/>
      <x:c r="L23" s="2" t="str">
        <x:f>IF(O23=1,"Complete",IF(A23,"Checklist open",IF(H23&lt;&gt;"","In progress","Not started")))</x:f>
        <x:v>Not started</x:v>
      </x:c>
      <x:c r="M23" s="2" t="str">
        <x:v>Task</x:v>
      </x:c>
      <x:c r="N23" s="2" t="str">
        <x:v>RA.AU.2.5.2026.CY1</x:v>
      </x:c>
      <x:c r="O23" s="2" t="n">
        <x:f>R23</x:f>
        <x:v>0</x:v>
      </x:c>
      <x:c r="P23" s="2"/>
      <x:c r="Q23" s="2" t="n">
        <x:v>1</x:v>
      </x:c>
      <x:c r="R23" s="2" t="n">
        <x:f>IF(A23,1,0)</x:f>
        <x:v>0</x:v>
      </x:c>
      <x:c r="S23" s="2" t="n">
        <x:f>SUBTOTAL(103,N23)</x:f>
        <x:v>1</x:v>
      </x:c>
    </x:row>
    <x:row r="24" ht="42" customHeight="1">
      <x:c r="A24" s="28" t="b">
        <x:v>0</x:v>
      </x:c>
      <x:c r="B24" s="2" t="str">
        <x:v>Cycle 1</x:v>
      </x:c>
      <x:c r="C24" s="2" t="str">
        <x:v>Phase 2</x:v>
      </x:c>
      <x:c r="D24" s="2" t="str">
        <x:v>Auto</x:v>
      </x:c>
      <x:c r="E24" s="56" t="str">
        <x:v>RA.AU.2.6</x:v>
      </x:c>
      <x:c r="F24" s="14" t="str">
        <x:v>Complete Positive Testing</x:v>
      </x:c>
      <x:c r="G24" s="5"/>
      <x:c r="H24" s="11"/>
      <x:c r="I24" s="11" t="n">
        <x:f>'Cycles &amp; Guide'!$D$10</x:f>
        <x:v>46112</x:v>
      </x:c>
      <x:c r="J24" s="11"/>
      <x:c r="K24" s="29"/>
      <x:c r="L24" s="2" t="str">
        <x:f>IF(O24=1,"Complete",IF(A24,"Checklist open",IF(H24&lt;&gt;"","In progress","Not started")))</x:f>
        <x:v>Not started</x:v>
      </x:c>
      <x:c r="M24" s="2" t="str">
        <x:v>Task</x:v>
      </x:c>
      <x:c r="N24" s="2" t="str">
        <x:v>RA.AU.2.6.2026.CY1</x:v>
      </x:c>
      <x:c r="O24" s="2" t="n">
        <x:f>R24</x:f>
        <x:v>0</x:v>
      </x:c>
      <x:c r="P24" s="2"/>
      <x:c r="Q24" s="2" t="n">
        <x:v>1</x:v>
      </x:c>
      <x:c r="R24" s="2" t="n">
        <x:f>IF(A24,1,0)</x:f>
        <x:v>0</x:v>
      </x:c>
      <x:c r="S24" s="2" t="n">
        <x:f>SUBTOTAL(103,N24)</x:f>
        <x:v>1</x:v>
      </x:c>
    </x:row>
    <x:row r="25" ht="42" customHeight="1">
      <x:c r="A25" s="28" t="b">
        <x:v>0</x:v>
      </x:c>
      <x:c r="B25" s="2" t="str">
        <x:v>Cycle 1</x:v>
      </x:c>
      <x:c r="C25" s="2" t="str">
        <x:v>Phase 2</x:v>
      </x:c>
      <x:c r="D25" s="2" t="str">
        <x:v>Auto</x:v>
      </x:c>
      <x:c r="E25" s="56" t="str">
        <x:v>RA.AU.2.7</x:v>
      </x:c>
      <x:c r="F25" s="14" t="str">
        <x:v>Complete Negative Testing</x:v>
      </x:c>
      <x:c r="G25" s="5"/>
      <x:c r="H25" s="11"/>
      <x:c r="I25" s="11" t="n">
        <x:f>'Cycles &amp; Guide'!$D$10</x:f>
        <x:v>46112</x:v>
      </x:c>
      <x:c r="J25" s="11"/>
      <x:c r="K25" s="29"/>
      <x:c r="L25" s="2" t="str">
        <x:f>IF(O25=1,"Complete",IF(A25,"Checklist open",IF(H25&lt;&gt;"","In progress","Not started")))</x:f>
        <x:v>Not started</x:v>
      </x:c>
      <x:c r="M25" s="2" t="str">
        <x:v>Task</x:v>
      </x:c>
      <x:c r="N25" s="2" t="str">
        <x:v>RA.AU.2.7.2026.CY1</x:v>
      </x:c>
      <x:c r="O25" s="2" t="n">
        <x:f>R25</x:f>
        <x:v>0</x:v>
      </x:c>
      <x:c r="P25" s="2"/>
      <x:c r="Q25" s="2" t="n">
        <x:v>1</x:v>
      </x:c>
      <x:c r="R25" s="2" t="n">
        <x:f>IF(A25,1,0)</x:f>
        <x:v>0</x:v>
      </x:c>
      <x:c r="S25" s="2" t="n">
        <x:f>SUBTOTAL(103,N25)</x:f>
        <x:v>1</x:v>
      </x:c>
    </x:row>
    <x:row r="26" ht="42" customHeight="1">
      <x:c r="A26" s="28" t="b">
        <x:v>0</x:v>
      </x:c>
      <x:c r="B26" s="2" t="str">
        <x:v>Cycle 1</x:v>
      </x:c>
      <x:c r="C26" s="2" t="str">
        <x:v>Phase 2</x:v>
      </x:c>
      <x:c r="D26" s="2" t="str">
        <x:v>Auto</x:v>
      </x:c>
      <x:c r="E26" s="56" t="str">
        <x:v>RA.AU.2.8</x:v>
      </x:c>
      <x:c r="F26" s="14" t="str">
        <x:v>Request additional data (as needed)</x:v>
      </x:c>
      <x:c r="G26" s="5"/>
      <x:c r="H26" s="11"/>
      <x:c r="I26" s="11" t="n">
        <x:f>'Cycles &amp; Guide'!$D$10</x:f>
        <x:v>46112</x:v>
      </x:c>
      <x:c r="J26" s="11"/>
      <x:c r="K26" s="29"/>
      <x:c r="L26" s="2" t="str">
        <x:f>IF(O26=1,"Complete",IF(A26,"Checklist open",IF(H26&lt;&gt;"","In progress","Not started")))</x:f>
        <x:v>Not started</x:v>
      </x:c>
      <x:c r="M26" s="2" t="str">
        <x:v>Task</x:v>
      </x:c>
      <x:c r="N26" s="2" t="str">
        <x:v>RA.AU.2.8.2026.CY1</x:v>
      </x:c>
      <x:c r="O26" s="2" t="n">
        <x:f>R26</x:f>
        <x:v>0</x:v>
      </x:c>
      <x:c r="P26" s="2"/>
      <x:c r="Q26" s="2" t="n">
        <x:v>1</x:v>
      </x:c>
      <x:c r="R26" s="2" t="n">
        <x:f>IF(A26,1,0)</x:f>
        <x:v>0</x:v>
      </x:c>
      <x:c r="S26" s="2" t="n">
        <x:f>SUBTOTAL(103,N26)</x:f>
        <x:v>1</x:v>
      </x:c>
    </x:row>
    <x:row r="27" ht="42" customHeight="1">
      <x:c r="A27" s="28" t="b">
        <x:v>0</x:v>
      </x:c>
      <x:c r="B27" s="2" t="str">
        <x:v>Cycle 1</x:v>
      </x:c>
      <x:c r="C27" s="2" t="str">
        <x:v>Phase 2</x:v>
      </x:c>
      <x:c r="D27" s="2" t="str">
        <x:v>Auto</x:v>
      </x:c>
      <x:c r="E27" s="56" t="str">
        <x:v>RA.AU.2.9</x:v>
      </x:c>
      <x:c r="F27" s="14" t="str">
        <x:v>Validate or disprove initial hypothesis assumptions</x:v>
      </x:c>
      <x:c r="G27" s="5"/>
      <x:c r="H27" s="11"/>
      <x:c r="I27" s="11" t="n">
        <x:f>'Cycles &amp; Guide'!$D$10</x:f>
        <x:v>46112</x:v>
      </x:c>
      <x:c r="J27" s="11"/>
      <x:c r="K27" s="29"/>
      <x:c r="L27" s="2" t="str">
        <x:f>IF(O27=1,"Complete",IF(A27,"Checklist open",IF(H27&lt;&gt;"","In progress","Not started")))</x:f>
        <x:v>Not started</x:v>
      </x:c>
      <x:c r="M27" s="2" t="str">
        <x:v>Task</x:v>
      </x:c>
      <x:c r="N27" s="2" t="str">
        <x:v>RA.AU.2.9.2026.CY1</x:v>
      </x:c>
      <x:c r="O27" s="2" t="n">
        <x:f>R27</x:f>
        <x:v>0</x:v>
      </x:c>
      <x:c r="P27" s="2"/>
      <x:c r="Q27" s="2" t="n">
        <x:v>1</x:v>
      </x:c>
      <x:c r="R27" s="2" t="n">
        <x:f>IF(A27,1,0)</x:f>
        <x:v>0</x:v>
      </x:c>
      <x:c r="S27" s="2" t="n">
        <x:f>SUBTOTAL(103,N27)</x:f>
        <x:v>1</x:v>
      </x:c>
    </x:row>
    <x:row r="28" ht="42" customHeight="1">
      <x:c r="A28" s="28" t="b">
        <x:v>0</x:v>
      </x:c>
      <x:c r="B28" s="2" t="str">
        <x:v>Cycle 1</x:v>
      </x:c>
      <x:c r="C28" s="2" t="str">
        <x:v>Phase 2</x:v>
      </x:c>
      <x:c r="D28" s="2" t="str">
        <x:v>Auto</x:v>
      </x:c>
      <x:c r="E28" s="56" t="str">
        <x:v>RA.AU.2.10</x:v>
      </x:c>
      <x:c r="F28" s="14" t="str">
        <x:v>Identify and confirm root cause</x:v>
      </x:c>
      <x:c r="G28" s="5"/>
      <x:c r="H28" s="11"/>
      <x:c r="I28" s="11" t="n">
        <x:f>'Cycles &amp; Guide'!$D$10</x:f>
        <x:v>46112</x:v>
      </x:c>
      <x:c r="J28" s="11"/>
      <x:c r="K28" s="29"/>
      <x:c r="L28" s="2" t="str">
        <x:f>IF(O28=1,"Complete",IF(A28,"Checklist open",IF(H28&lt;&gt;"","In progress","Not started")))</x:f>
        <x:v>Not started</x:v>
      </x:c>
      <x:c r="M28" s="2" t="str">
        <x:v>Task</x:v>
      </x:c>
      <x:c r="N28" s="2" t="str">
        <x:v>RA.AU.2.10.2026.CY1</x:v>
      </x:c>
      <x:c r="O28" s="2" t="n">
        <x:f>R28</x:f>
        <x:v>0</x:v>
      </x:c>
      <x:c r="P28" s="2"/>
      <x:c r="Q28" s="2" t="n">
        <x:v>1</x:v>
      </x:c>
      <x:c r="R28" s="2" t="n">
        <x:f>IF(A28,1,0)</x:f>
        <x:v>0</x:v>
      </x:c>
      <x:c r="S28" s="2" t="n">
        <x:f>SUBTOTAL(103,N28)</x:f>
        <x:v>1</x:v>
      </x:c>
    </x:row>
    <x:row r="29" ht="42" customHeight="1">
      <x:c r="A29" s="28" t="b">
        <x:v>0</x:v>
      </x:c>
      <x:c r="B29" s="2" t="str">
        <x:v>Cycle 1</x:v>
      </x:c>
      <x:c r="C29" s="2" t="str">
        <x:v>Phase 3</x:v>
      </x:c>
      <x:c r="D29" s="2" t="str">
        <x:v>Auto</x:v>
      </x:c>
      <x:c r="E29" s="56" t="str">
        <x:v>RA.AU.3.1</x:v>
      </x:c>
      <x:c r="F29" s="14" t="str">
        <x:v>Finalize results and supporting documentation</x:v>
      </x:c>
      <x:c r="G29" s="5"/>
      <x:c r="H29" s="11"/>
      <x:c r="I29" s="11" t="n">
        <x:f>'Cycles &amp; Guide'!$D$10</x:f>
        <x:v>46112</x:v>
      </x:c>
      <x:c r="J29" s="11"/>
      <x:c r="K29" s="29"/>
      <x:c r="L29" s="2" t="str">
        <x:f>IF(O29=1,"Complete",IF(A29,"Checklist open",IF(H29&lt;&gt;"","In progress","Not started")))</x:f>
        <x:v>Not started</x:v>
      </x:c>
      <x:c r="M29" s="2" t="str">
        <x:v>Task</x:v>
      </x:c>
      <x:c r="N29" s="2" t="str">
        <x:v>RA.AU.3.1.2026.CY1</x:v>
      </x:c>
      <x:c r="O29" s="2" t="n">
        <x:f>R29</x:f>
        <x:v>0</x:v>
      </x:c>
      <x:c r="P29" s="2"/>
      <x:c r="Q29" s="2" t="n">
        <x:v>1</x:v>
      </x:c>
      <x:c r="R29" s="2" t="n">
        <x:f>IF(A29,1,0)</x:f>
        <x:v>0</x:v>
      </x:c>
      <x:c r="S29" s="2" t="n">
        <x:f>SUBTOTAL(103,N29)</x:f>
        <x:v>1</x:v>
      </x:c>
    </x:row>
    <x:row r="30" ht="42" customHeight="1">
      <x:c r="A30" s="28" t="b">
        <x:v>0</x:v>
      </x:c>
      <x:c r="B30" s="2" t="str">
        <x:v>Cycle 1</x:v>
      </x:c>
      <x:c r="C30" s="2" t="str">
        <x:v>Phase 3</x:v>
      </x:c>
      <x:c r="D30" s="2" t="str">
        <x:v>Auto</x:v>
      </x:c>
      <x:c r="E30" s="56" t="str">
        <x:v>RA.AU.3.2</x:v>
      </x:c>
      <x:c r="F30" s="14" t="str">
        <x:v>Maintain and update the evidence package prior to handoff to D&amp;I</x:v>
      </x:c>
      <x:c r="G30" s="5"/>
      <x:c r="H30" s="11"/>
      <x:c r="I30" s="11" t="n">
        <x:f>'Cycles &amp; Guide'!$D$10</x:f>
        <x:v>46112</x:v>
      </x:c>
      <x:c r="J30" s="11"/>
      <x:c r="K30" s="29"/>
      <x:c r="L30" s="2" t="str">
        <x:f>IF(O30=1,"Complete",IF(A30,"Checklist open",IF(H30&lt;&gt;"","In progress","Not started")))</x:f>
        <x:v>Not started</x:v>
      </x:c>
      <x:c r="M30" s="2" t="str">
        <x:v>Task</x:v>
      </x:c>
      <x:c r="N30" s="2" t="str">
        <x:v>RA.AU.3.2.2026.CY1</x:v>
      </x:c>
      <x:c r="O30" s="2" t="n">
        <x:f>R30</x:f>
        <x:v>0</x:v>
      </x:c>
      <x:c r="P30" s="2"/>
      <x:c r="Q30" s="2" t="n">
        <x:v>1</x:v>
      </x:c>
      <x:c r="R30" s="2" t="n">
        <x:f>IF(A30,1,0)</x:f>
        <x:v>0</x:v>
      </x:c>
      <x:c r="S30" s="2" t="n">
        <x:f>SUBTOTAL(103,N30)</x:f>
        <x:v>1</x:v>
      </x:c>
    </x:row>
    <x:row r="31" ht="42" customHeight="1">
      <x:c r="A31" s="28" t="b">
        <x:v>0</x:v>
      </x:c>
      <x:c r="B31" s="2" t="str">
        <x:v>Cycle 1</x:v>
      </x:c>
      <x:c r="C31" s="2" t="str">
        <x:v>Phase 3</x:v>
      </x:c>
      <x:c r="D31" s="2" t="str">
        <x:v>Auto</x:v>
      </x:c>
      <x:c r="E31" s="56" t="str">
        <x:v>RA.AU.3.3</x:v>
      </x:c>
      <x:c r="F31" s="14" t="str">
        <x:v>Address any outstanding questions or requests from D&amp;I</x:v>
      </x:c>
      <x:c r="G31" s="5"/>
      <x:c r="H31" s="11"/>
      <x:c r="I31" s="11" t="n">
        <x:f>'Cycles &amp; Guide'!$D$10</x:f>
        <x:v>46112</x:v>
      </x:c>
      <x:c r="J31" s="11"/>
      <x:c r="K31" s="29"/>
      <x:c r="L31" s="2" t="str">
        <x:f>IF(O31=1,"Complete",IF(A31,"Checklist open",IF(H31&lt;&gt;"","In progress","Not started")))</x:f>
        <x:v>Not started</x:v>
      </x:c>
      <x:c r="M31" s="2" t="str">
        <x:v>Task</x:v>
      </x:c>
      <x:c r="N31" s="2" t="str">
        <x:v>RA.AU.3.3.2026.CY1</x:v>
      </x:c>
      <x:c r="O31" s="2" t="n">
        <x:f>R31</x:f>
        <x:v>0</x:v>
      </x:c>
      <x:c r="P31" s="2"/>
      <x:c r="Q31" s="2" t="n">
        <x:v>1</x:v>
      </x:c>
      <x:c r="R31" s="2" t="n">
        <x:f>IF(A31,1,0)</x:f>
        <x:v>0</x:v>
      </x:c>
      <x:c r="S31" s="2" t="n">
        <x:f>SUBTOTAL(103,N31)</x:f>
        <x:v>1</x:v>
      </x:c>
    </x:row>
    <x:row r="32" ht="42" customHeight="1">
      <x:c r="A32" s="28" t="b">
        <x:v>0</x:v>
      </x:c>
      <x:c r="B32" s="2" t="str">
        <x:v>Cycle 1</x:v>
      </x:c>
      <x:c r="C32" s="2" t="str">
        <x:v>Phase 3</x:v>
      </x:c>
      <x:c r="D32" s="2" t="str">
        <x:v>Auto</x:v>
      </x:c>
      <x:c r="E32" s="56" t="str">
        <x:v>RA.AU.3.4</x:v>
      </x:c>
      <x:c r="F32" s="14" t="str">
        <x:v>Attend Forum meeting with D&amp;I to assist with answering stakeholder questions (as needed)</x:v>
      </x:c>
      <x:c r="G32" s="5"/>
      <x:c r="H32" s="11"/>
      <x:c r="I32" s="11" t="str">
        <x:f>IF(SUMIFS('Cycles &amp; Guide'!$D$23:$D$50,'Cycles &amp; Guide'!$B$23:$B$50,B32,'Cycles &amp; Guide'!$C$23:$C$50,D32)=0,"",SUMIFS('Cycles &amp; Guide'!$D$23:$D$50,'Cycles &amp; Guide'!$B$23:$B$50,B32,'Cycles &amp; Guide'!$C$23:$C$50,D32))</x:f>
      </x:c>
      <x:c r="J32" s="11"/>
      <x:c r="K32" s="29"/>
      <x:c r="L32" s="2" t="str">
        <x:f>IF(O32=1,"Complete",IF(A32,"Checklist open",IF(H32&lt;&gt;"","In progress","Not started")))</x:f>
        <x:v>Not started</x:v>
      </x:c>
      <x:c r="M32" s="2" t="str">
        <x:v>Task</x:v>
      </x:c>
      <x:c r="N32" s="2" t="str">
        <x:v>RA.AU.3.4.2026.CY1</x:v>
      </x:c>
      <x:c r="O32" s="2" t="n">
        <x:f>R32</x:f>
        <x:v>0</x:v>
      </x:c>
      <x:c r="P32" s="2"/>
      <x:c r="Q32" s="2" t="n">
        <x:v>1</x:v>
      </x:c>
      <x:c r="R32" s="2" t="n">
        <x:f>IF(A32,1,0)</x:f>
        <x:v>0</x:v>
      </x:c>
      <x:c r="S32" s="2" t="n">
        <x:f>SUBTOTAL(103,N32)</x:f>
        <x:v>1</x:v>
      </x:c>
    </x:row>
    <x:row r="33" ht="42" customHeight="1">
      <x:c r="A33" s="28" t="b">
        <x:v>0</x:v>
      </x:c>
      <x:c r="B33" s="2" t="str">
        <x:v>Cycle 1</x:v>
      </x:c>
      <x:c r="C33" s="2" t="str">
        <x:v>Phase 1</x:v>
      </x:c>
      <x:c r="D33" s="2" t="str">
        <x:v>Cards</x:v>
      </x:c>
      <x:c r="E33" s="56" t="str">
        <x:v>RA.CA.1.1</x:v>
      </x:c>
      <x:c r="F33" s="14" t="str">
        <x:v>Begin Research process 2 weeks prior to Cycle start</x:v>
      </x:c>
      <x:c r="G33" s="5"/>
      <x:c r="H33" s="11"/>
      <x:c r="I33" s="11" t="n">
        <x:f>'Cycles &amp; Guide'!$C$10-14</x:f>
        <x:v>46009</x:v>
      </x:c>
      <x:c r="J33" s="11"/>
      <x:c r="K33" s="29"/>
      <x:c r="L33" s="2" t="str">
        <x:f>IF(O33=1,"Complete",IF(A33,"Checklist open",IF(H33&lt;&gt;"","In progress","Not started")))</x:f>
        <x:v>Not started</x:v>
      </x:c>
      <x:c r="M33" s="2" t="str">
        <x:v>Task</x:v>
      </x:c>
      <x:c r="N33" s="2" t="str">
        <x:v>RA.CA.1.1.2026.CY1</x:v>
      </x:c>
      <x:c r="O33" s="2" t="n">
        <x:f>R33</x:f>
        <x:v>0</x:v>
      </x:c>
      <x:c r="P33" s="2"/>
      <x:c r="Q33" s="2" t="n">
        <x:v>1</x:v>
      </x:c>
      <x:c r="R33" s="2" t="n">
        <x:f>IF(A33,1,0)</x:f>
        <x:v>0</x:v>
      </x:c>
      <x:c r="S33" s="2" t="n">
        <x:f>SUBTOTAL(103,N33)</x:f>
        <x:v>1</x:v>
      </x:c>
    </x:row>
    <x:row r="34" ht="42" customHeight="1">
      <x:c r="A34" s="28" t="b">
        <x:v>0</x:v>
      </x:c>
      <x:c r="B34" s="2" t="str">
        <x:v>Cycle 1</x:v>
      </x:c>
      <x:c r="C34" s="2" t="str">
        <x:v>Phase 1</x:v>
      </x:c>
      <x:c r="D34" s="2" t="str">
        <x:v>Cards</x:v>
      </x:c>
      <x:c r="E34" s="56" t="str">
        <x:v>RA.CA.1.2</x:v>
      </x:c>
      <x:c r="F34" s="14" t="str">
        <x:v>Conduct initial assessment of each topic recommendation from SharePoint list</x:v>
      </x:c>
      <x:c r="G34" s="5"/>
      <x:c r="H34" s="11"/>
      <x:c r="I34" s="11" t="n">
        <x:f>'Cycles &amp; Guide'!$D$10</x:f>
        <x:v>46112</x:v>
      </x:c>
      <x:c r="J34" s="11"/>
      <x:c r="K34" s="29"/>
      <x:c r="L34" s="2" t="str">
        <x:f>IF(O34=1,"Complete",IF(A34,"Checklist open",IF(H34&lt;&gt;"","In progress","Not started")))</x:f>
        <x:v>Not started</x:v>
      </x:c>
      <x:c r="M34" s="2" t="str">
        <x:v>Task</x:v>
      </x:c>
      <x:c r="N34" s="2" t="str">
        <x:v>RA.CA.1.2.2026.CY1</x:v>
      </x:c>
      <x:c r="O34" s="2" t="n">
        <x:f>R34</x:f>
        <x:v>0</x:v>
      </x:c>
      <x:c r="P34" s="2"/>
      <x:c r="Q34" s="2" t="n">
        <x:v>1</x:v>
      </x:c>
      <x:c r="R34" s="2" t="n">
        <x:f>IF(A34,1,0)</x:f>
        <x:v>0</x:v>
      </x:c>
      <x:c r="S34" s="2" t="n">
        <x:f>SUBTOTAL(103,N34)</x:f>
        <x:v>1</x:v>
      </x:c>
    </x:row>
    <x:row r="35" ht="42" customHeight="1">
      <x:c r="A35" s="28" t="b">
        <x:v>0</x:v>
      </x:c>
      <x:c r="B35" s="2" t="str">
        <x:v>Cycle 1</x:v>
      </x:c>
      <x:c r="C35" s="2" t="str">
        <x:v>Phase 1</x:v>
      </x:c>
      <x:c r="D35" s="2" t="str">
        <x:v>Cards</x:v>
      </x:c>
      <x:c r="E35" s="56" t="str">
        <x:v>RA.CA.1.3</x:v>
      </x:c>
      <x:c r="F35" s="14" t="str">
        <x:v>Identify best topic for Cycle</x:v>
      </x:c>
      <x:c r="G35" s="5"/>
      <x:c r="H35" s="11"/>
      <x:c r="I35" s="11" t="n">
        <x:f>'Cycles &amp; Guide'!$D$10</x:f>
        <x:v>46112</x:v>
      </x:c>
      <x:c r="J35" s="11"/>
      <x:c r="K35" s="29"/>
      <x:c r="L35" s="2" t="str">
        <x:f>IF(O35=1,"Complete",IF(A35,"Checklist open",IF(H35&lt;&gt;"","In progress","Not started")))</x:f>
        <x:v>Not started</x:v>
      </x:c>
      <x:c r="M35" s="2" t="str">
        <x:v>Task</x:v>
      </x:c>
      <x:c r="N35" s="2" t="str">
        <x:v>RA.CA.1.3.2026.CY1</x:v>
      </x:c>
      <x:c r="O35" s="2" t="n">
        <x:f>R35</x:f>
        <x:v>0</x:v>
      </x:c>
      <x:c r="P35" s="2"/>
      <x:c r="Q35" s="2" t="n">
        <x:v>1</x:v>
      </x:c>
      <x:c r="R35" s="2" t="n">
        <x:f>IF(A35,1,0)</x:f>
        <x:v>0</x:v>
      </x:c>
      <x:c r="S35" s="2" t="n">
        <x:f>SUBTOTAL(103,N35)</x:f>
        <x:v>1</x:v>
      </x:c>
    </x:row>
    <x:row r="36" ht="42" customHeight="1">
      <x:c r="A36" s="28" t="b">
        <x:v>0</x:v>
      </x:c>
      <x:c r="B36" s="2" t="str">
        <x:v>Cycle 1</x:v>
      </x:c>
      <x:c r="C36" s="2" t="str">
        <x:v>Phase 1</x:v>
      </x:c>
      <x:c r="D36" s="2" t="str">
        <x:v>Cards</x:v>
      </x:c>
      <x:c r="E36" s="56" t="str">
        <x:v>RA.CA.1.4</x:v>
      </x:c>
      <x:c r="F36" s="14" t="str">
        <x:v>Identify backup topic for Cycle</x:v>
      </x:c>
      <x:c r="G36" s="5"/>
      <x:c r="H36" s="11"/>
      <x:c r="I36" s="11" t="n">
        <x:f>'Cycles &amp; Guide'!$D$10</x:f>
        <x:v>46112</x:v>
      </x:c>
      <x:c r="J36" s="11"/>
      <x:c r="K36" s="29"/>
      <x:c r="L36" s="2" t="str">
        <x:f>IF(O36=1,"Complete",IF(A36,"Checklist open",IF(H36&lt;&gt;"","In progress","Not started")))</x:f>
        <x:v>Not started</x:v>
      </x:c>
      <x:c r="M36" s="2" t="str">
        <x:v>Task</x:v>
      </x:c>
      <x:c r="N36" s="2" t="str">
        <x:v>RA.CA.1.4.2026.CY1</x:v>
      </x:c>
      <x:c r="O36" s="2" t="n">
        <x:f>R36</x:f>
        <x:v>0</x:v>
      </x:c>
      <x:c r="P36" s="2"/>
      <x:c r="Q36" s="2" t="n">
        <x:v>1</x:v>
      </x:c>
      <x:c r="R36" s="2" t="n">
        <x:f>IF(A36,1,0)</x:f>
        <x:v>0</x:v>
      </x:c>
      <x:c r="S36" s="2" t="n">
        <x:f>SUBTOTAL(103,N36)</x:f>
        <x:v>1</x:v>
      </x:c>
    </x:row>
    <x:row r="37" ht="42" customHeight="1">
      <x:c r="A37" s="28" t="b">
        <x:v>0</x:v>
      </x:c>
      <x:c r="B37" s="2" t="str">
        <x:v>Cycle 1</x:v>
      </x:c>
      <x:c r="C37" s="2" t="str">
        <x:v>Phase 1</x:v>
      </x:c>
      <x:c r="D37" s="2" t="str">
        <x:v>Cards</x:v>
      </x:c>
      <x:c r="E37" s="56" t="str">
        <x:v>RA.CA.1.5</x:v>
      </x:c>
      <x:c r="F37" s="14" t="str">
        <x:v>Schedule topic approval meeting with D&amp;I and management</x:v>
      </x:c>
      <x:c r="G37" s="5"/>
      <x:c r="H37" s="11"/>
      <x:c r="I37" s="11" t="n">
        <x:f>'Cycles &amp; Guide'!$D$10</x:f>
        <x:v>46112</x:v>
      </x:c>
      <x:c r="J37" s="11"/>
      <x:c r="K37" s="29"/>
      <x:c r="L37" s="2" t="str">
        <x:f>IF(O37=1,"Complete",IF(A37,"Checklist open",IF(H37&lt;&gt;"","In progress","Not started")))</x:f>
        <x:v>Not started</x:v>
      </x:c>
      <x:c r="M37" s="2" t="str">
        <x:v>Task</x:v>
      </x:c>
      <x:c r="N37" s="2" t="str">
        <x:v>RA.CA.1.5.2026.CY1</x:v>
      </x:c>
      <x:c r="O37" s="2" t="n">
        <x:f>R37</x:f>
        <x:v>0</x:v>
      </x:c>
      <x:c r="P37" s="2"/>
      <x:c r="Q37" s="2" t="n">
        <x:v>1</x:v>
      </x:c>
      <x:c r="R37" s="2" t="n">
        <x:f>IF(A37,1,0)</x:f>
        <x:v>0</x:v>
      </x:c>
      <x:c r="S37" s="2" t="n">
        <x:f>SUBTOTAL(103,N37)</x:f>
        <x:v>1</x:v>
      </x:c>
    </x:row>
    <x:row r="38" ht="42" customHeight="1">
      <x:c r="A38" s="28" t="b">
        <x:v>0</x:v>
      </x:c>
      <x:c r="B38" s="2" t="str">
        <x:v>Cycle 1</x:v>
      </x:c>
      <x:c r="C38" s="2" t="str">
        <x:v>Phase 1</x:v>
      </x:c>
      <x:c r="D38" s="2" t="str">
        <x:v>Cards</x:v>
      </x:c>
      <x:c r="E38" s="56" t="str">
        <x:v>RA.CA.1.6</x:v>
      </x:c>
      <x:c r="F38" s="14" t="str">
        <x:v>Present recommended topic to D&amp;I and management for approval</x:v>
      </x:c>
      <x:c r="G38" s="5"/>
      <x:c r="H38" s="11"/>
      <x:c r="I38" s="11" t="n">
        <x:f>'Cycles &amp; Guide'!$D$10</x:f>
        <x:v>46112</x:v>
      </x:c>
      <x:c r="J38" s="11"/>
      <x:c r="K38" s="29"/>
      <x:c r="L38" s="2" t="str">
        <x:f>IF(O38=1,"Complete",IF(A38,"Checklist open",IF(H38&lt;&gt;"","In progress","Not started")))</x:f>
        <x:v>Not started</x:v>
      </x:c>
      <x:c r="M38" s="2" t="str">
        <x:v>Task</x:v>
      </x:c>
      <x:c r="N38" s="2" t="str">
        <x:v>RA.CA.1.6.2026.CY1</x:v>
      </x:c>
      <x:c r="O38" s="2" t="n">
        <x:f>R38</x:f>
        <x:v>0</x:v>
      </x:c>
      <x:c r="P38" s="2"/>
      <x:c r="Q38" s="2" t="n">
        <x:v>1</x:v>
      </x:c>
      <x:c r="R38" s="2" t="n">
        <x:f>IF(A38,1,0)</x:f>
        <x:v>0</x:v>
      </x:c>
      <x:c r="S38" s="2" t="n">
        <x:f>SUBTOTAL(103,N38)</x:f>
        <x:v>1</x:v>
      </x:c>
    </x:row>
    <x:row r="39" ht="42" customHeight="1">
      <x:c r="A39" s="28" t="b">
        <x:v>0</x:v>
      </x:c>
      <x:c r="B39" s="2" t="str">
        <x:v>Cycle 1</x:v>
      </x:c>
      <x:c r="C39" s="2" t="str">
        <x:v>Phase 1</x:v>
      </x:c>
      <x:c r="D39" s="2" t="str">
        <x:v>Cards</x:v>
      </x:c>
      <x:c r="E39" s="56" t="str">
        <x:v>RA.CA.1.7</x:v>
      </x:c>
      <x:c r="F39" s="14" t="str">
        <x:v>Obtain formal topic selection approval from management via SharePoint</x:v>
      </x:c>
      <x:c r="G39" s="5"/>
      <x:c r="H39" s="11"/>
      <x:c r="I39" s="11" t="n">
        <x:f>'Cycles &amp; Guide'!$D$10</x:f>
        <x:v>46112</x:v>
      </x:c>
      <x:c r="J39" s="11"/>
      <x:c r="K39" s="29"/>
      <x:c r="L39" s="2" t="str">
        <x:f>IF(O39=1,"Complete",IF(A39,"Checklist open",IF(H39&lt;&gt;"","In progress","Not started")))</x:f>
        <x:v>Not started</x:v>
      </x:c>
      <x:c r="M39" s="2" t="str">
        <x:v>Task</x:v>
      </x:c>
      <x:c r="N39" s="2" t="str">
        <x:v>RA.CA.1.7.2026.CY1</x:v>
      </x:c>
      <x:c r="O39" s="2" t="n">
        <x:f>R39</x:f>
        <x:v>0</x:v>
      </x:c>
      <x:c r="P39" s="2"/>
      <x:c r="Q39" s="2" t="n">
        <x:v>1</x:v>
      </x:c>
      <x:c r="R39" s="2" t="n">
        <x:f>IF(A39,1,0)</x:f>
        <x:v>0</x:v>
      </x:c>
      <x:c r="S39" s="2" t="n">
        <x:f>SUBTOTAL(103,N39)</x:f>
        <x:v>1</x:v>
      </x:c>
    </x:row>
    <x:row r="40" ht="42" customHeight="1">
      <x:c r="A40" s="28" t="b">
        <x:v>0</x:v>
      </x:c>
      <x:c r="B40" s="2" t="str">
        <x:v>Cycle 1</x:v>
      </x:c>
      <x:c r="C40" s="2" t="str">
        <x:v>Phase 1</x:v>
      </x:c>
      <x:c r="D40" s="2" t="str">
        <x:v>Cards</x:v>
      </x:c>
      <x:c r="E40" s="56" t="str">
        <x:v>RA.CA.1.8</x:v>
      </x:c>
      <x:c r="F40" s="14" t="str">
        <x:v>Socialize topic selection with product owners and subject matter experts (if known)</x:v>
      </x:c>
      <x:c r="G40" s="5"/>
      <x:c r="H40" s="11"/>
      <x:c r="I40" s="11" t="n">
        <x:f>'Cycles &amp; Guide'!$D$10</x:f>
        <x:v>46112</x:v>
      </x:c>
      <x:c r="J40" s="11"/>
      <x:c r="K40" s="29"/>
      <x:c r="L40" s="2" t="str">
        <x:f>IF(O40=1,"Complete",IF(A40,"Checklist open",IF(H40&lt;&gt;"","In progress","Not started")))</x:f>
        <x:v>Not started</x:v>
      </x:c>
      <x:c r="M40" s="2" t="str">
        <x:v>Task</x:v>
      </x:c>
      <x:c r="N40" s="2" t="str">
        <x:v>RA.CA.1.8.2026.CY1</x:v>
      </x:c>
      <x:c r="O40" s="2" t="n">
        <x:f>R40</x:f>
        <x:v>0</x:v>
      </x:c>
      <x:c r="P40" s="2"/>
      <x:c r="Q40" s="2" t="n">
        <x:v>1</x:v>
      </x:c>
      <x:c r="R40" s="2" t="n">
        <x:f>IF(A40,1,0)</x:f>
        <x:v>0</x:v>
      </x:c>
      <x:c r="S40" s="2" t="n">
        <x:f>SUBTOTAL(103,N40)</x:f>
        <x:v>1</x:v>
      </x:c>
    </x:row>
    <x:row r="41" ht="42" customHeight="1">
      <x:c r="A41" s="28" t="b">
        <x:v>0</x:v>
      </x:c>
      <x:c r="B41" s="2" t="str">
        <x:v>Cycle 1</x:v>
      </x:c>
      <x:c r="C41" s="2" t="str">
        <x:v>Phase 1</x:v>
      </x:c>
      <x:c r="D41" s="2" t="str">
        <x:v>Cards</x:v>
      </x:c>
      <x:c r="E41" s="56" t="str">
        <x:v>RA.CA.1.9</x:v>
      </x:c>
      <x:c r="F41" s="14" t="str">
        <x:v>Assign topic researchers</x:v>
      </x:c>
      <x:c r="G41" s="5"/>
      <x:c r="H41" s="11"/>
      <x:c r="I41" s="11" t="n">
        <x:f>'Cycles &amp; Guide'!$D$10</x:f>
        <x:v>46112</x:v>
      </x:c>
      <x:c r="J41" s="11"/>
      <x:c r="K41" s="29"/>
      <x:c r="L41" s="2" t="str">
        <x:f>IF(O41=1,"Complete",IF(A41,"Checklist open",IF(H41&lt;&gt;"","In progress","Not started")))</x:f>
        <x:v>Not started</x:v>
      </x:c>
      <x:c r="M41" s="2" t="str">
        <x:v>Task</x:v>
      </x:c>
      <x:c r="N41" s="2" t="str">
        <x:v>RA.CA.1.9.2026.CY1</x:v>
      </x:c>
      <x:c r="O41" s="2" t="n">
        <x:f>R41</x:f>
        <x:v>0</x:v>
      </x:c>
      <x:c r="P41" s="2"/>
      <x:c r="Q41" s="2" t="n">
        <x:v>1</x:v>
      </x:c>
      <x:c r="R41" s="2" t="n">
        <x:f>IF(A41,1,0)</x:f>
        <x:v>0</x:v>
      </x:c>
      <x:c r="S41" s="2" t="n">
        <x:f>SUBTOTAL(103,N41)</x:f>
        <x:v>1</x:v>
      </x:c>
    </x:row>
    <x:row r="42" ht="42" customHeight="1">
      <x:c r="A42" s="28" t="b">
        <x:v>0</x:v>
      </x:c>
      <x:c r="B42" s="2" t="str">
        <x:v>Cycle 1</x:v>
      </x:c>
      <x:c r="C42" s="2" t="str">
        <x:v>Phase 2</x:v>
      </x:c>
      <x:c r="D42" s="2" t="str">
        <x:v>Cards</x:v>
      </x:c>
      <x:c r="E42" s="56" t="str">
        <x:v>RA.CA.2.1</x:v>
      </x:c>
      <x:c r="F42" s="14" t="str">
        <x:v>Review data sources</x:v>
      </x:c>
      <x:c r="G42" s="5"/>
      <x:c r="H42" s="11"/>
      <x:c r="I42" s="11" t="n">
        <x:f>'Cycles &amp; Guide'!$D$10</x:f>
        <x:v>46112</x:v>
      </x:c>
      <x:c r="J42" s="11"/>
      <x:c r="K42" s="29"/>
      <x:c r="L42" s="2" t="str">
        <x:f>IF(O42=1,"Complete",IF(A42,"Checklist open",IF(H42&lt;&gt;"","In progress","Not started")))</x:f>
        <x:v>Not started</x:v>
      </x:c>
      <x:c r="M42" s="2" t="str">
        <x:v>Task</x:v>
      </x:c>
      <x:c r="N42" s="2" t="str">
        <x:v>RA.CA.2.1.2026.CY1</x:v>
      </x:c>
      <x:c r="O42" s="2" t="n">
        <x:f>R42</x:f>
        <x:v>0</x:v>
      </x:c>
      <x:c r="P42" s="2"/>
      <x:c r="Q42" s="2" t="n">
        <x:v>1</x:v>
      </x:c>
      <x:c r="R42" s="2" t="n">
        <x:f>IF(A42,1,0)</x:f>
        <x:v>0</x:v>
      </x:c>
      <x:c r="S42" s="2" t="n">
        <x:f>SUBTOTAL(103,N42)</x:f>
        <x:v>1</x:v>
      </x:c>
    </x:row>
    <x:row r="43" ht="42" customHeight="1">
      <x:c r="A43" s="28" t="b">
        <x:v>0</x:v>
      </x:c>
      <x:c r="B43" s="2" t="str">
        <x:v>Cycle 1</x:v>
      </x:c>
      <x:c r="C43" s="2" t="str">
        <x:v>Phase 2</x:v>
      </x:c>
      <x:c r="D43" s="2" t="str">
        <x:v>Cards</x:v>
      </x:c>
      <x:c r="E43" s="56" t="str">
        <x:v>RA.CA.2.2</x:v>
      </x:c>
      <x:c r="F43" s="14" t="str">
        <x:v>Review relevant policies and procedures</x:v>
      </x:c>
      <x:c r="G43" s="5"/>
      <x:c r="H43" s="11"/>
      <x:c r="I43" s="11" t="n">
        <x:f>'Cycles &amp; Guide'!$D$10</x:f>
        <x:v>46112</x:v>
      </x:c>
      <x:c r="J43" s="11"/>
      <x:c r="K43" s="29"/>
      <x:c r="L43" s="2" t="str">
        <x:f>IF(O43=1,"Complete",IF(A43,"Checklist open",IF(H43&lt;&gt;"","In progress","Not started")))</x:f>
        <x:v>Not started</x:v>
      </x:c>
      <x:c r="M43" s="2" t="str">
        <x:v>Task</x:v>
      </x:c>
      <x:c r="N43" s="2" t="str">
        <x:v>RA.CA.2.2.2026.CY1</x:v>
      </x:c>
      <x:c r="O43" s="2" t="n">
        <x:f>R43</x:f>
        <x:v>0</x:v>
      </x:c>
      <x:c r="P43" s="2"/>
      <x:c r="Q43" s="2" t="n">
        <x:v>1</x:v>
      </x:c>
      <x:c r="R43" s="2" t="n">
        <x:f>IF(A43,1,0)</x:f>
        <x:v>0</x:v>
      </x:c>
      <x:c r="S43" s="2" t="n">
        <x:f>SUBTOTAL(103,N43)</x:f>
        <x:v>1</x:v>
      </x:c>
    </x:row>
    <x:row r="44" ht="42" customHeight="1">
      <x:c r="A44" s="28" t="b">
        <x:v>0</x:v>
      </x:c>
      <x:c r="B44" s="2" t="str">
        <x:v>Cycle 1</x:v>
      </x:c>
      <x:c r="C44" s="2" t="str">
        <x:v>Phase 2</x:v>
      </x:c>
      <x:c r="D44" s="2" t="str">
        <x:v>Cards</x:v>
      </x:c>
      <x:c r="E44" s="56" t="str">
        <x:v>RA.CA.2.3</x:v>
      </x:c>
      <x:c r="F44" s="14" t="str">
        <x:v>Meet with SMEs to gain business insight and clarify questions</x:v>
      </x:c>
      <x:c r="G44" s="5"/>
      <x:c r="H44" s="11"/>
      <x:c r="I44" s="11" t="n">
        <x:f>'Cycles &amp; Guide'!$D$10</x:f>
        <x:v>46112</x:v>
      </x:c>
      <x:c r="J44" s="11"/>
      <x:c r="K44" s="29"/>
      <x:c r="L44" s="2" t="str">
        <x:f>IF(O44=1,"Complete",IF(A44,"Checklist open",IF(H44&lt;&gt;"","In progress","Not started")))</x:f>
        <x:v>Not started</x:v>
      </x:c>
      <x:c r="M44" s="2" t="str">
        <x:v>Task</x:v>
      </x:c>
      <x:c r="N44" s="2" t="str">
        <x:v>RA.CA.2.3.2026.CY1</x:v>
      </x:c>
      <x:c r="O44" s="2" t="n">
        <x:f>R44</x:f>
        <x:v>0</x:v>
      </x:c>
      <x:c r="P44" s="2"/>
      <x:c r="Q44" s="2" t="n">
        <x:v>1</x:v>
      </x:c>
      <x:c r="R44" s="2" t="n">
        <x:f>IF(A44,1,0)</x:f>
        <x:v>0</x:v>
      </x:c>
      <x:c r="S44" s="2" t="n">
        <x:f>SUBTOTAL(103,N44)</x:f>
        <x:v>1</x:v>
      </x:c>
    </x:row>
    <x:row r="45" ht="42" customHeight="1">
      <x:c r="A45" s="28" t="b">
        <x:v>0</x:v>
      </x:c>
      <x:c r="B45" s="2" t="str">
        <x:v>Cycle 1</x:v>
      </x:c>
      <x:c r="C45" s="2" t="str">
        <x:v>Phase 2</x:v>
      </x:c>
      <x:c r="D45" s="2" t="str">
        <x:v>Cards</x:v>
      </x:c>
      <x:c r="E45" s="56" t="str">
        <x:v>RA.CA.2.4</x:v>
      </x:c>
      <x:c r="F45" s="14" t="str">
        <x:v>Establish and maintain a recurring meeting with D&amp;I to discuss Cycle progress</x:v>
      </x:c>
      <x:c r="G45" s="5"/>
      <x:c r="H45" s="11"/>
      <x:c r="I45" s="11" t="n">
        <x:f>'Cycles &amp; Guide'!$D$10</x:f>
        <x:v>46112</x:v>
      </x:c>
      <x:c r="J45" s="11"/>
      <x:c r="K45" s="29"/>
      <x:c r="L45" s="2" t="str">
        <x:f>IF(O45=1,"Complete",IF(A45,"Checklist open",IF(H45&lt;&gt;"","In progress","Not started")))</x:f>
        <x:v>Not started</x:v>
      </x:c>
      <x:c r="M45" s="2" t="str">
        <x:v>Task</x:v>
      </x:c>
      <x:c r="N45" s="2" t="str">
        <x:v>RA.CA.2.4.2026.CY1</x:v>
      </x:c>
      <x:c r="O45" s="2" t="n">
        <x:f>R45</x:f>
        <x:v>0</x:v>
      </x:c>
      <x:c r="P45" s="2"/>
      <x:c r="Q45" s="2" t="n">
        <x:v>1</x:v>
      </x:c>
      <x:c r="R45" s="2" t="n">
        <x:f>IF(A45,1,0)</x:f>
        <x:v>0</x:v>
      </x:c>
      <x:c r="S45" s="2" t="n">
        <x:f>SUBTOTAL(103,N45)</x:f>
        <x:v>1</x:v>
      </x:c>
    </x:row>
    <x:row r="46" ht="42" customHeight="1">
      <x:c r="A46" s="28" t="b">
        <x:v>0</x:v>
      </x:c>
      <x:c r="B46" s="2" t="str">
        <x:v>Cycle 1</x:v>
      </x:c>
      <x:c r="C46" s="2" t="str">
        <x:v>Phase 2</x:v>
      </x:c>
      <x:c r="D46" s="2" t="str">
        <x:v>Cards</x:v>
      </x:c>
      <x:c r="E46" s="56" t="str">
        <x:v>RA.CA.2.5</x:v>
      </x:c>
      <x:c r="F46" s="14" t="str">
        <x:v>Perform data testing and sampling</x:v>
      </x:c>
      <x:c r="G46" s="5"/>
      <x:c r="H46" s="11"/>
      <x:c r="I46" s="11" t="n">
        <x:f>'Cycles &amp; Guide'!$D$10</x:f>
        <x:v>46112</x:v>
      </x:c>
      <x:c r="J46" s="11"/>
      <x:c r="K46" s="29"/>
      <x:c r="L46" s="2" t="str">
        <x:f>IF(O46=1,"Complete",IF(A46,"Checklist open",IF(H46&lt;&gt;"","In progress","Not started")))</x:f>
        <x:v>Not started</x:v>
      </x:c>
      <x:c r="M46" s="2" t="str">
        <x:v>Task</x:v>
      </x:c>
      <x:c r="N46" s="2" t="str">
        <x:v>RA.CA.2.5.2026.CY1</x:v>
      </x:c>
      <x:c r="O46" s="2" t="n">
        <x:f>R46</x:f>
        <x:v>0</x:v>
      </x:c>
      <x:c r="P46" s="2"/>
      <x:c r="Q46" s="2" t="n">
        <x:v>1</x:v>
      </x:c>
      <x:c r="R46" s="2" t="n">
        <x:f>IF(A46,1,0)</x:f>
        <x:v>0</x:v>
      </x:c>
      <x:c r="S46" s="2" t="n">
        <x:f>SUBTOTAL(103,N46)</x:f>
        <x:v>1</x:v>
      </x:c>
    </x:row>
    <x:row r="47" ht="42" customHeight="1">
      <x:c r="A47" s="28" t="b">
        <x:v>0</x:v>
      </x:c>
      <x:c r="B47" s="2" t="str">
        <x:v>Cycle 1</x:v>
      </x:c>
      <x:c r="C47" s="2" t="str">
        <x:v>Phase 2</x:v>
      </x:c>
      <x:c r="D47" s="2" t="str">
        <x:v>Cards</x:v>
      </x:c>
      <x:c r="E47" s="56" t="str">
        <x:v>RA.CA.2.6</x:v>
      </x:c>
      <x:c r="F47" s="14" t="str">
        <x:v>Complete Positive Testing</x:v>
      </x:c>
      <x:c r="G47" s="5"/>
      <x:c r="H47" s="11"/>
      <x:c r="I47" s="11" t="n">
        <x:f>'Cycles &amp; Guide'!$D$10</x:f>
        <x:v>46112</x:v>
      </x:c>
      <x:c r="J47" s="11"/>
      <x:c r="K47" s="29"/>
      <x:c r="L47" s="2" t="str">
        <x:f>IF(O47=1,"Complete",IF(A47,"Checklist open",IF(H47&lt;&gt;"","In progress","Not started")))</x:f>
        <x:v>Not started</x:v>
      </x:c>
      <x:c r="M47" s="2" t="str">
        <x:v>Task</x:v>
      </x:c>
      <x:c r="N47" s="2" t="str">
        <x:v>RA.CA.2.6.2026.CY1</x:v>
      </x:c>
      <x:c r="O47" s="2" t="n">
        <x:f>R47</x:f>
        <x:v>0</x:v>
      </x:c>
      <x:c r="P47" s="2"/>
      <x:c r="Q47" s="2" t="n">
        <x:v>1</x:v>
      </x:c>
      <x:c r="R47" s="2" t="n">
        <x:f>IF(A47,1,0)</x:f>
        <x:v>0</x:v>
      </x:c>
      <x:c r="S47" s="2" t="n">
        <x:f>SUBTOTAL(103,N47)</x:f>
        <x:v>1</x:v>
      </x:c>
    </x:row>
    <x:row r="48" ht="42" customHeight="1">
      <x:c r="A48" s="28" t="b">
        <x:v>0</x:v>
      </x:c>
      <x:c r="B48" s="2" t="str">
        <x:v>Cycle 1</x:v>
      </x:c>
      <x:c r="C48" s="2" t="str">
        <x:v>Phase 2</x:v>
      </x:c>
      <x:c r="D48" s="2" t="str">
        <x:v>Cards</x:v>
      </x:c>
      <x:c r="E48" s="56" t="str">
        <x:v>RA.CA.2.7</x:v>
      </x:c>
      <x:c r="F48" s="14" t="str">
        <x:v>Complete Negative Testing</x:v>
      </x:c>
      <x:c r="G48" s="5"/>
      <x:c r="H48" s="11"/>
      <x:c r="I48" s="11" t="n">
        <x:f>'Cycles &amp; Guide'!$D$10</x:f>
        <x:v>46112</x:v>
      </x:c>
      <x:c r="J48" s="11"/>
      <x:c r="K48" s="29"/>
      <x:c r="L48" s="2" t="str">
        <x:f>IF(O48=1,"Complete",IF(A48,"Checklist open",IF(H48&lt;&gt;"","In progress","Not started")))</x:f>
        <x:v>Not started</x:v>
      </x:c>
      <x:c r="M48" s="2" t="str">
        <x:v>Task</x:v>
      </x:c>
      <x:c r="N48" s="2" t="str">
        <x:v>RA.CA.2.7.2026.CY1</x:v>
      </x:c>
      <x:c r="O48" s="2" t="n">
        <x:f>R48</x:f>
        <x:v>0</x:v>
      </x:c>
      <x:c r="P48" s="2"/>
      <x:c r="Q48" s="2" t="n">
        <x:v>1</x:v>
      </x:c>
      <x:c r="R48" s="2" t="n">
        <x:f>IF(A48,1,0)</x:f>
        <x:v>0</x:v>
      </x:c>
      <x:c r="S48" s="2" t="n">
        <x:f>SUBTOTAL(103,N48)</x:f>
        <x:v>1</x:v>
      </x:c>
    </x:row>
    <x:row r="49" ht="42" customHeight="1">
      <x:c r="A49" s="28" t="b">
        <x:v>0</x:v>
      </x:c>
      <x:c r="B49" s="2" t="str">
        <x:v>Cycle 1</x:v>
      </x:c>
      <x:c r="C49" s="2" t="str">
        <x:v>Phase 2</x:v>
      </x:c>
      <x:c r="D49" s="2" t="str">
        <x:v>Cards</x:v>
      </x:c>
      <x:c r="E49" s="56" t="str">
        <x:v>RA.CA.2.8</x:v>
      </x:c>
      <x:c r="F49" s="14" t="str">
        <x:v>Request additional data (as needed)</x:v>
      </x:c>
      <x:c r="G49" s="5"/>
      <x:c r="H49" s="11"/>
      <x:c r="I49" s="11" t="n">
        <x:f>'Cycles &amp; Guide'!$D$10</x:f>
        <x:v>46112</x:v>
      </x:c>
      <x:c r="J49" s="11"/>
      <x:c r="K49" s="29"/>
      <x:c r="L49" s="2" t="str">
        <x:f>IF(O49=1,"Complete",IF(A49,"Checklist open",IF(H49&lt;&gt;"","In progress","Not started")))</x:f>
        <x:v>Not started</x:v>
      </x:c>
      <x:c r="M49" s="2" t="str">
        <x:v>Task</x:v>
      </x:c>
      <x:c r="N49" s="2" t="str">
        <x:v>RA.CA.2.8.2026.CY1</x:v>
      </x:c>
      <x:c r="O49" s="2" t="n">
        <x:f>R49</x:f>
        <x:v>0</x:v>
      </x:c>
      <x:c r="P49" s="2"/>
      <x:c r="Q49" s="2" t="n">
        <x:v>1</x:v>
      </x:c>
      <x:c r="R49" s="2" t="n">
        <x:f>IF(A49,1,0)</x:f>
        <x:v>0</x:v>
      </x:c>
      <x:c r="S49" s="2" t="n">
        <x:f>SUBTOTAL(103,N49)</x:f>
        <x:v>1</x:v>
      </x:c>
    </x:row>
    <x:row r="50" ht="42" customHeight="1">
      <x:c r="A50" s="28" t="b">
        <x:v>0</x:v>
      </x:c>
      <x:c r="B50" s="2" t="str">
        <x:v>Cycle 1</x:v>
      </x:c>
      <x:c r="C50" s="2" t="str">
        <x:v>Phase 2</x:v>
      </x:c>
      <x:c r="D50" s="2" t="str">
        <x:v>Cards</x:v>
      </x:c>
      <x:c r="E50" s="56" t="str">
        <x:v>RA.CA.2.9</x:v>
      </x:c>
      <x:c r="F50" s="14" t="str">
        <x:v>Validate or disprove initial hypothesis assumptions</x:v>
      </x:c>
      <x:c r="G50" s="5"/>
      <x:c r="H50" s="11"/>
      <x:c r="I50" s="11" t="n">
        <x:f>'Cycles &amp; Guide'!$D$10</x:f>
        <x:v>46112</x:v>
      </x:c>
      <x:c r="J50" s="11"/>
      <x:c r="K50" s="29"/>
      <x:c r="L50" s="2" t="str">
        <x:f>IF(O50=1,"Complete",IF(A50,"Checklist open",IF(H50&lt;&gt;"","In progress","Not started")))</x:f>
        <x:v>Not started</x:v>
      </x:c>
      <x:c r="M50" s="2" t="str">
        <x:v>Task</x:v>
      </x:c>
      <x:c r="N50" s="2" t="str">
        <x:v>RA.CA.2.9.2026.CY1</x:v>
      </x:c>
      <x:c r="O50" s="2" t="n">
        <x:f>R50</x:f>
        <x:v>0</x:v>
      </x:c>
      <x:c r="P50" s="2"/>
      <x:c r="Q50" s="2" t="n">
        <x:v>1</x:v>
      </x:c>
      <x:c r="R50" s="2" t="n">
        <x:f>IF(A50,1,0)</x:f>
        <x:v>0</x:v>
      </x:c>
      <x:c r="S50" s="2" t="n">
        <x:f>SUBTOTAL(103,N50)</x:f>
        <x:v>1</x:v>
      </x:c>
    </x:row>
    <x:row r="51" ht="42" customHeight="1">
      <x:c r="A51" s="28" t="b">
        <x:v>0</x:v>
      </x:c>
      <x:c r="B51" s="2" t="str">
        <x:v>Cycle 1</x:v>
      </x:c>
      <x:c r="C51" s="2" t="str">
        <x:v>Phase 2</x:v>
      </x:c>
      <x:c r="D51" s="2" t="str">
        <x:v>Cards</x:v>
      </x:c>
      <x:c r="E51" s="56" t="str">
        <x:v>RA.CA.2.10</x:v>
      </x:c>
      <x:c r="F51" s="14" t="str">
        <x:v>Identify and confirm root cause</x:v>
      </x:c>
      <x:c r="G51" s="5"/>
      <x:c r="H51" s="11"/>
      <x:c r="I51" s="11" t="n">
        <x:f>'Cycles &amp; Guide'!$D$10</x:f>
        <x:v>46112</x:v>
      </x:c>
      <x:c r="J51" s="11"/>
      <x:c r="K51" s="29"/>
      <x:c r="L51" s="2" t="str">
        <x:f>IF(O51=1,"Complete",IF(A51,"Checklist open",IF(H51&lt;&gt;"","In progress","Not started")))</x:f>
        <x:v>Not started</x:v>
      </x:c>
      <x:c r="M51" s="2" t="str">
        <x:v>Task</x:v>
      </x:c>
      <x:c r="N51" s="2" t="str">
        <x:v>RA.CA.2.10.2026.CY1</x:v>
      </x:c>
      <x:c r="O51" s="2" t="n">
        <x:f>R51</x:f>
        <x:v>0</x:v>
      </x:c>
      <x:c r="P51" s="2"/>
      <x:c r="Q51" s="2" t="n">
        <x:v>1</x:v>
      </x:c>
      <x:c r="R51" s="2" t="n">
        <x:f>IF(A51,1,0)</x:f>
        <x:v>0</x:v>
      </x:c>
      <x:c r="S51" s="2" t="n">
        <x:f>SUBTOTAL(103,N51)</x:f>
        <x:v>1</x:v>
      </x:c>
    </x:row>
    <x:row r="52" ht="42" customHeight="1">
      <x:c r="A52" s="28" t="b">
        <x:v>0</x:v>
      </x:c>
      <x:c r="B52" s="2" t="str">
        <x:v>Cycle 1</x:v>
      </x:c>
      <x:c r="C52" s="2" t="str">
        <x:v>Phase 3</x:v>
      </x:c>
      <x:c r="D52" s="2" t="str">
        <x:v>Cards</x:v>
      </x:c>
      <x:c r="E52" s="56" t="str">
        <x:v>RA.CA.3.1</x:v>
      </x:c>
      <x:c r="F52" s="14" t="str">
        <x:v>Finalize results and supporting documentation</x:v>
      </x:c>
      <x:c r="G52" s="5"/>
      <x:c r="H52" s="11"/>
      <x:c r="I52" s="11" t="n">
        <x:f>'Cycles &amp; Guide'!$D$10</x:f>
        <x:v>46112</x:v>
      </x:c>
      <x:c r="J52" s="11"/>
      <x:c r="K52" s="29"/>
      <x:c r="L52" s="2" t="str">
        <x:f>IF(O52=1,"Complete",IF(A52,"Checklist open",IF(H52&lt;&gt;"","In progress","Not started")))</x:f>
        <x:v>Not started</x:v>
      </x:c>
      <x:c r="M52" s="2" t="str">
        <x:v>Task</x:v>
      </x:c>
      <x:c r="N52" s="2" t="str">
        <x:v>RA.CA.3.1.2026.CY1</x:v>
      </x:c>
      <x:c r="O52" s="2" t="n">
        <x:f>R52</x:f>
        <x:v>0</x:v>
      </x:c>
      <x:c r="P52" s="2"/>
      <x:c r="Q52" s="2" t="n">
        <x:v>1</x:v>
      </x:c>
      <x:c r="R52" s="2" t="n">
        <x:f>IF(A52,1,0)</x:f>
        <x:v>0</x:v>
      </x:c>
      <x:c r="S52" s="2" t="n">
        <x:f>SUBTOTAL(103,N52)</x:f>
        <x:v>1</x:v>
      </x:c>
    </x:row>
    <x:row r="53" ht="42" customHeight="1">
      <x:c r="A53" s="28" t="b">
        <x:v>0</x:v>
      </x:c>
      <x:c r="B53" s="2" t="str">
        <x:v>Cycle 1</x:v>
      </x:c>
      <x:c r="C53" s="2" t="str">
        <x:v>Phase 3</x:v>
      </x:c>
      <x:c r="D53" s="2" t="str">
        <x:v>Cards</x:v>
      </x:c>
      <x:c r="E53" s="56" t="str">
        <x:v>RA.CA.3.2</x:v>
      </x:c>
      <x:c r="F53" s="14" t="str">
        <x:v>Maintain and update the evidence package prior to handoff to D&amp;I</x:v>
      </x:c>
      <x:c r="G53" s="5"/>
      <x:c r="H53" s="11"/>
      <x:c r="I53" s="11" t="n">
        <x:f>'Cycles &amp; Guide'!$D$10</x:f>
        <x:v>46112</x:v>
      </x:c>
      <x:c r="J53" s="11"/>
      <x:c r="K53" s="29"/>
      <x:c r="L53" s="2" t="str">
        <x:f>IF(O53=1,"Complete",IF(A53,"Checklist open",IF(H53&lt;&gt;"","In progress","Not started")))</x:f>
        <x:v>Not started</x:v>
      </x:c>
      <x:c r="M53" s="2" t="str">
        <x:v>Task</x:v>
      </x:c>
      <x:c r="N53" s="2" t="str">
        <x:v>RA.CA.3.2.2026.CY1</x:v>
      </x:c>
      <x:c r="O53" s="2" t="n">
        <x:f>R53</x:f>
        <x:v>0</x:v>
      </x:c>
      <x:c r="P53" s="2"/>
      <x:c r="Q53" s="2" t="n">
        <x:v>1</x:v>
      </x:c>
      <x:c r="R53" s="2" t="n">
        <x:f>IF(A53,1,0)</x:f>
        <x:v>0</x:v>
      </x:c>
      <x:c r="S53" s="2" t="n">
        <x:f>SUBTOTAL(103,N53)</x:f>
        <x:v>1</x:v>
      </x:c>
    </x:row>
    <x:row r="54" ht="42" customHeight="1">
      <x:c r="A54" s="28" t="b">
        <x:v>0</x:v>
      </x:c>
      <x:c r="B54" s="2" t="str">
        <x:v>Cycle 1</x:v>
      </x:c>
      <x:c r="C54" s="2" t="str">
        <x:v>Phase 3</x:v>
      </x:c>
      <x:c r="D54" s="2" t="str">
        <x:v>Cards</x:v>
      </x:c>
      <x:c r="E54" s="56" t="str">
        <x:v>RA.CA.3.3</x:v>
      </x:c>
      <x:c r="F54" s="14" t="str">
        <x:v>Address any outstanding questions or requests from D&amp;I</x:v>
      </x:c>
      <x:c r="G54" s="5"/>
      <x:c r="H54" s="11"/>
      <x:c r="I54" s="11" t="n">
        <x:f>'Cycles &amp; Guide'!$D$10</x:f>
        <x:v>46112</x:v>
      </x:c>
      <x:c r="J54" s="11"/>
      <x:c r="K54" s="29"/>
      <x:c r="L54" s="2" t="str">
        <x:f>IF(O54=1,"Complete",IF(A54,"Checklist open",IF(H54&lt;&gt;"","In progress","Not started")))</x:f>
        <x:v>Not started</x:v>
      </x:c>
      <x:c r="M54" s="2" t="str">
        <x:v>Task</x:v>
      </x:c>
      <x:c r="N54" s="2" t="str">
        <x:v>RA.CA.3.3.2026.CY1</x:v>
      </x:c>
      <x:c r="O54" s="2" t="n">
        <x:f>R54</x:f>
        <x:v>0</x:v>
      </x:c>
      <x:c r="P54" s="2"/>
      <x:c r="Q54" s="2" t="n">
        <x:v>1</x:v>
      </x:c>
      <x:c r="R54" s="2" t="n">
        <x:f>IF(A54,1,0)</x:f>
        <x:v>0</x:v>
      </x:c>
      <x:c r="S54" s="2" t="n">
        <x:f>SUBTOTAL(103,N54)</x:f>
        <x:v>1</x:v>
      </x:c>
    </x:row>
    <x:row r="55" ht="42" customHeight="1">
      <x:c r="A55" s="28" t="b">
        <x:v>0</x:v>
      </x:c>
      <x:c r="B55" s="2" t="str">
        <x:v>Cycle 1</x:v>
      </x:c>
      <x:c r="C55" s="2" t="str">
        <x:v>Phase 3</x:v>
      </x:c>
      <x:c r="D55" s="2" t="str">
        <x:v>Cards</x:v>
      </x:c>
      <x:c r="E55" s="56" t="str">
        <x:v>RA.CA.3.4</x:v>
      </x:c>
      <x:c r="F55" s="14" t="str">
        <x:v>Attend Forum meeting with D&amp;I to assist with answering stakeholder questions (as needed)</x:v>
      </x:c>
      <x:c r="G55" s="5"/>
      <x:c r="H55" s="11"/>
      <x:c r="I55" s="11" t="str">
        <x:f>IF(SUMIFS('Cycles &amp; Guide'!$D$23:$D$50,'Cycles &amp; Guide'!$B$23:$B$50,B55,'Cycles &amp; Guide'!$C$23:$C$50,D55)=0,"",SUMIFS('Cycles &amp; Guide'!$D$23:$D$50,'Cycles &amp; Guide'!$B$23:$B$50,B55,'Cycles &amp; Guide'!$C$23:$C$50,D55))</x:f>
      </x:c>
      <x:c r="J55" s="11"/>
      <x:c r="K55" s="29"/>
      <x:c r="L55" s="2" t="str">
        <x:f>IF(O55=1,"Complete",IF(A55,"Checklist open",IF(H55&lt;&gt;"","In progress","Not started")))</x:f>
        <x:v>Not started</x:v>
      </x:c>
      <x:c r="M55" s="2" t="str">
        <x:v>Task</x:v>
      </x:c>
      <x:c r="N55" s="2" t="str">
        <x:v>RA.CA.3.4.2026.CY1</x:v>
      </x:c>
      <x:c r="O55" s="2" t="n">
        <x:f>R55</x:f>
        <x:v>0</x:v>
      </x:c>
      <x:c r="P55" s="2"/>
      <x:c r="Q55" s="2" t="n">
        <x:v>1</x:v>
      </x:c>
      <x:c r="R55" s="2" t="n">
        <x:f>IF(A55,1,0)</x:f>
        <x:v>0</x:v>
      </x:c>
      <x:c r="S55" s="2" t="n">
        <x:f>SUBTOTAL(103,N55)</x:f>
        <x:v>1</x:v>
      </x:c>
    </x:row>
    <x:row r="56" ht="42" customHeight="1">
      <x:c r="A56" s="28" t="b">
        <x:v>0</x:v>
      </x:c>
      <x:c r="B56" s="2" t="str">
        <x:v>Cycle 1</x:v>
      </x:c>
      <x:c r="C56" s="2" t="str">
        <x:v>Phase 1</x:v>
      </x:c>
      <x:c r="D56" s="2" t="str">
        <x:v>CSBBO - Banking Ops</x:v>
      </x:c>
      <x:c r="E56" s="56" t="str">
        <x:v>RA.BO.1.1</x:v>
      </x:c>
      <x:c r="F56" s="14" t="str">
        <x:v>Begin Research process 2 weeks prior to Cycle start</x:v>
      </x:c>
      <x:c r="G56" s="5"/>
      <x:c r="H56" s="11"/>
      <x:c r="I56" s="11" t="n">
        <x:f>'Cycles &amp; Guide'!$C$10-14</x:f>
        <x:v>46009</x:v>
      </x:c>
      <x:c r="J56" s="11"/>
      <x:c r="K56" s="29"/>
      <x:c r="L56" s="2" t="str">
        <x:f>IF(O56=1,"Complete",IF(A56,"Checklist open",IF(H56&lt;&gt;"","In progress","Not started")))</x:f>
        <x:v>Not started</x:v>
      </x:c>
      <x:c r="M56" s="2" t="str">
        <x:v>Task</x:v>
      </x:c>
      <x:c r="N56" s="2" t="str">
        <x:v>RA.BO.1.1.2026.CY1</x:v>
      </x:c>
      <x:c r="O56" s="2" t="n">
        <x:f>R56</x:f>
        <x:v>0</x:v>
      </x:c>
      <x:c r="P56" s="2"/>
      <x:c r="Q56" s="2" t="n">
        <x:v>1</x:v>
      </x:c>
      <x:c r="R56" s="2" t="n">
        <x:f>IF(A56,1,0)</x:f>
        <x:v>0</x:v>
      </x:c>
      <x:c r="S56" s="2" t="n">
        <x:f>SUBTOTAL(103,N56)</x:f>
        <x:v>1</x:v>
      </x:c>
    </x:row>
    <x:row r="57" ht="42" customHeight="1">
      <x:c r="A57" s="28" t="b">
        <x:v>0</x:v>
      </x:c>
      <x:c r="B57" s="2" t="str">
        <x:v>Cycle 1</x:v>
      </x:c>
      <x:c r="C57" s="2" t="str">
        <x:v>Phase 1</x:v>
      </x:c>
      <x:c r="D57" s="2" t="str">
        <x:v>CSBBO - Banking Ops</x:v>
      </x:c>
      <x:c r="E57" s="56" t="str">
        <x:v>RA.BO.1.2</x:v>
      </x:c>
      <x:c r="F57" s="14" t="str">
        <x:v>Conduct initial assessment of each topic recommendation from SharePoint list</x:v>
      </x:c>
      <x:c r="G57" s="5"/>
      <x:c r="H57" s="11"/>
      <x:c r="I57" s="11" t="n">
        <x:f>'Cycles &amp; Guide'!$D$10</x:f>
        <x:v>46112</x:v>
      </x:c>
      <x:c r="J57" s="11"/>
      <x:c r="K57" s="29"/>
      <x:c r="L57" s="2" t="str">
        <x:f>IF(O57=1,"Complete",IF(A57,"Checklist open",IF(H57&lt;&gt;"","In progress","Not started")))</x:f>
        <x:v>Not started</x:v>
      </x:c>
      <x:c r="M57" s="2" t="str">
        <x:v>Task</x:v>
      </x:c>
      <x:c r="N57" s="2" t="str">
        <x:v>RA.BO.1.2.2026.CY1</x:v>
      </x:c>
      <x:c r="O57" s="2" t="n">
        <x:f>R57</x:f>
        <x:v>0</x:v>
      </x:c>
      <x:c r="P57" s="2"/>
      <x:c r="Q57" s="2" t="n">
        <x:v>1</x:v>
      </x:c>
      <x:c r="R57" s="2" t="n">
        <x:f>IF(A57,1,0)</x:f>
        <x:v>0</x:v>
      </x:c>
      <x:c r="S57" s="2" t="n">
        <x:f>SUBTOTAL(103,N57)</x:f>
        <x:v>1</x:v>
      </x:c>
    </x:row>
    <x:row r="58" ht="42" customHeight="1">
      <x:c r="A58" s="28" t="b">
        <x:v>0</x:v>
      </x:c>
      <x:c r="B58" s="2" t="str">
        <x:v>Cycle 1</x:v>
      </x:c>
      <x:c r="C58" s="2" t="str">
        <x:v>Phase 1</x:v>
      </x:c>
      <x:c r="D58" s="2" t="str">
        <x:v>CSBBO - Banking Ops</x:v>
      </x:c>
      <x:c r="E58" s="56" t="str">
        <x:v>RA.BO.1.3</x:v>
      </x:c>
      <x:c r="F58" s="14" t="str">
        <x:v>Identify best topic for Cycle</x:v>
      </x:c>
      <x:c r="G58" s="5"/>
      <x:c r="H58" s="11"/>
      <x:c r="I58" s="11" t="n">
        <x:f>'Cycles &amp; Guide'!$D$10</x:f>
        <x:v>46112</x:v>
      </x:c>
      <x:c r="J58" s="11"/>
      <x:c r="K58" s="29"/>
      <x:c r="L58" s="2" t="str">
        <x:f>IF(O58=1,"Complete",IF(A58,"Checklist open",IF(H58&lt;&gt;"","In progress","Not started")))</x:f>
        <x:v>Not started</x:v>
      </x:c>
      <x:c r="M58" s="2" t="str">
        <x:v>Task</x:v>
      </x:c>
      <x:c r="N58" s="2" t="str">
        <x:v>RA.BO.1.3.2026.CY1</x:v>
      </x:c>
      <x:c r="O58" s="2" t="n">
        <x:f>R58</x:f>
        <x:v>0</x:v>
      </x:c>
      <x:c r="P58" s="2"/>
      <x:c r="Q58" s="2" t="n">
        <x:v>1</x:v>
      </x:c>
      <x:c r="R58" s="2" t="n">
        <x:f>IF(A58,1,0)</x:f>
        <x:v>0</x:v>
      </x:c>
      <x:c r="S58" s="2" t="n">
        <x:f>SUBTOTAL(103,N58)</x:f>
        <x:v>1</x:v>
      </x:c>
    </x:row>
    <x:row r="59" ht="42" customHeight="1">
      <x:c r="A59" s="28" t="b">
        <x:v>0</x:v>
      </x:c>
      <x:c r="B59" s="2" t="str">
        <x:v>Cycle 1</x:v>
      </x:c>
      <x:c r="C59" s="2" t="str">
        <x:v>Phase 1</x:v>
      </x:c>
      <x:c r="D59" s="2" t="str">
        <x:v>CSBBO - Banking Ops</x:v>
      </x:c>
      <x:c r="E59" s="56" t="str">
        <x:v>RA.BO.1.4</x:v>
      </x:c>
      <x:c r="F59" s="14" t="str">
        <x:v>Identify backup topic for Cycle</x:v>
      </x:c>
      <x:c r="G59" s="5"/>
      <x:c r="H59" s="11"/>
      <x:c r="I59" s="11" t="n">
        <x:f>'Cycles &amp; Guide'!$D$10</x:f>
        <x:v>46112</x:v>
      </x:c>
      <x:c r="J59" s="11"/>
      <x:c r="K59" s="29"/>
      <x:c r="L59" s="2" t="str">
        <x:f>IF(O59=1,"Complete",IF(A59,"Checklist open",IF(H59&lt;&gt;"","In progress","Not started")))</x:f>
        <x:v>Not started</x:v>
      </x:c>
      <x:c r="M59" s="2" t="str">
        <x:v>Task</x:v>
      </x:c>
      <x:c r="N59" s="2" t="str">
        <x:v>RA.BO.1.4.2026.CY1</x:v>
      </x:c>
      <x:c r="O59" s="2" t="n">
        <x:f>R59</x:f>
        <x:v>0</x:v>
      </x:c>
      <x:c r="P59" s="2"/>
      <x:c r="Q59" s="2" t="n">
        <x:v>1</x:v>
      </x:c>
      <x:c r="R59" s="2" t="n">
        <x:f>IF(A59,1,0)</x:f>
        <x:v>0</x:v>
      </x:c>
      <x:c r="S59" s="2" t="n">
        <x:f>SUBTOTAL(103,N59)</x:f>
        <x:v>1</x:v>
      </x:c>
    </x:row>
    <x:row r="60" ht="42" customHeight="1">
      <x:c r="A60" s="28" t="b">
        <x:v>0</x:v>
      </x:c>
      <x:c r="B60" s="2" t="str">
        <x:v>Cycle 1</x:v>
      </x:c>
      <x:c r="C60" s="2" t="str">
        <x:v>Phase 1</x:v>
      </x:c>
      <x:c r="D60" s="2" t="str">
        <x:v>CSBBO - Banking Ops</x:v>
      </x:c>
      <x:c r="E60" s="56" t="str">
        <x:v>RA.BO.1.5</x:v>
      </x:c>
      <x:c r="F60" s="14" t="str">
        <x:v>Schedule topic approval meeting with D&amp;I and management</x:v>
      </x:c>
      <x:c r="G60" s="5"/>
      <x:c r="H60" s="11"/>
      <x:c r="I60" s="11" t="n">
        <x:f>'Cycles &amp; Guide'!$D$10</x:f>
        <x:v>46112</x:v>
      </x:c>
      <x:c r="J60" s="11"/>
      <x:c r="K60" s="29"/>
      <x:c r="L60" s="2" t="str">
        <x:f>IF(O60=1,"Complete",IF(A60,"Checklist open",IF(H60&lt;&gt;"","In progress","Not started")))</x:f>
        <x:v>Not started</x:v>
      </x:c>
      <x:c r="M60" s="2" t="str">
        <x:v>Task</x:v>
      </x:c>
      <x:c r="N60" s="2" t="str">
        <x:v>RA.BO.1.5.2026.CY1</x:v>
      </x:c>
      <x:c r="O60" s="2" t="n">
        <x:f>R60</x:f>
        <x:v>0</x:v>
      </x:c>
      <x:c r="P60" s="2"/>
      <x:c r="Q60" s="2" t="n">
        <x:v>1</x:v>
      </x:c>
      <x:c r="R60" s="2" t="n">
        <x:f>IF(A60,1,0)</x:f>
        <x:v>0</x:v>
      </x:c>
      <x:c r="S60" s="2" t="n">
        <x:f>SUBTOTAL(103,N60)</x:f>
        <x:v>1</x:v>
      </x:c>
    </x:row>
    <x:row r="61" ht="42" customHeight="1">
      <x:c r="A61" s="28" t="b">
        <x:v>0</x:v>
      </x:c>
      <x:c r="B61" s="2" t="str">
        <x:v>Cycle 1</x:v>
      </x:c>
      <x:c r="C61" s="2" t="str">
        <x:v>Phase 1</x:v>
      </x:c>
      <x:c r="D61" s="2" t="str">
        <x:v>CSBBO - Banking Ops</x:v>
      </x:c>
      <x:c r="E61" s="56" t="str">
        <x:v>RA.BO.1.6</x:v>
      </x:c>
      <x:c r="F61" s="14" t="str">
        <x:v>Present recommended topic to D&amp;I and management for approval</x:v>
      </x:c>
      <x:c r="G61" s="5"/>
      <x:c r="H61" s="11"/>
      <x:c r="I61" s="11" t="n">
        <x:f>'Cycles &amp; Guide'!$D$10</x:f>
        <x:v>46112</x:v>
      </x:c>
      <x:c r="J61" s="11"/>
      <x:c r="K61" s="29"/>
      <x:c r="L61" s="2" t="str">
        <x:f>IF(O61=1,"Complete",IF(A61,"Checklist open",IF(H61&lt;&gt;"","In progress","Not started")))</x:f>
        <x:v>Not started</x:v>
      </x:c>
      <x:c r="M61" s="2" t="str">
        <x:v>Task</x:v>
      </x:c>
      <x:c r="N61" s="2" t="str">
        <x:v>RA.BO.1.6.2026.CY1</x:v>
      </x:c>
      <x:c r="O61" s="2" t="n">
        <x:f>R61</x:f>
        <x:v>0</x:v>
      </x:c>
      <x:c r="P61" s="2"/>
      <x:c r="Q61" s="2" t="n">
        <x:v>1</x:v>
      </x:c>
      <x:c r="R61" s="2" t="n">
        <x:f>IF(A61,1,0)</x:f>
        <x:v>0</x:v>
      </x:c>
      <x:c r="S61" s="2" t="n">
        <x:f>SUBTOTAL(103,N61)</x:f>
        <x:v>1</x:v>
      </x:c>
    </x:row>
    <x:row r="62" ht="42" customHeight="1">
      <x:c r="A62" s="28" t="b">
        <x:v>0</x:v>
      </x:c>
      <x:c r="B62" s="2" t="str">
        <x:v>Cycle 1</x:v>
      </x:c>
      <x:c r="C62" s="2" t="str">
        <x:v>Phase 1</x:v>
      </x:c>
      <x:c r="D62" s="2" t="str">
        <x:v>CSBBO - Banking Ops</x:v>
      </x:c>
      <x:c r="E62" s="56" t="str">
        <x:v>RA.BO.1.7</x:v>
      </x:c>
      <x:c r="F62" s="14" t="str">
        <x:v>Obtain formal topic selection approval from management via SharePoint</x:v>
      </x:c>
      <x:c r="G62" s="5"/>
      <x:c r="H62" s="11"/>
      <x:c r="I62" s="11" t="n">
        <x:f>'Cycles &amp; Guide'!$D$10</x:f>
        <x:v>46112</x:v>
      </x:c>
      <x:c r="J62" s="11"/>
      <x:c r="K62" s="29"/>
      <x:c r="L62" s="2" t="str">
        <x:f>IF(O62=1,"Complete",IF(A62,"Checklist open",IF(H62&lt;&gt;"","In progress","Not started")))</x:f>
        <x:v>Not started</x:v>
      </x:c>
      <x:c r="M62" s="2" t="str">
        <x:v>Task</x:v>
      </x:c>
      <x:c r="N62" s="2" t="str">
        <x:v>RA.BO.1.7.2026.CY1</x:v>
      </x:c>
      <x:c r="O62" s="2" t="n">
        <x:f>R62</x:f>
        <x:v>0</x:v>
      </x:c>
      <x:c r="P62" s="2"/>
      <x:c r="Q62" s="2" t="n">
        <x:v>1</x:v>
      </x:c>
      <x:c r="R62" s="2" t="n">
        <x:f>IF(A62,1,0)</x:f>
        <x:v>0</x:v>
      </x:c>
      <x:c r="S62" s="2" t="n">
        <x:f>SUBTOTAL(103,N62)</x:f>
        <x:v>1</x:v>
      </x:c>
    </x:row>
    <x:row r="63" ht="42" customHeight="1">
      <x:c r="A63" s="28" t="b">
        <x:v>0</x:v>
      </x:c>
      <x:c r="B63" s="2" t="str">
        <x:v>Cycle 1</x:v>
      </x:c>
      <x:c r="C63" s="2" t="str">
        <x:v>Phase 1</x:v>
      </x:c>
      <x:c r="D63" s="2" t="str">
        <x:v>CSBBO - Banking Ops</x:v>
      </x:c>
      <x:c r="E63" s="56" t="str">
        <x:v>RA.BO.1.8</x:v>
      </x:c>
      <x:c r="F63" s="14" t="str">
        <x:v>Socialize topic selection with product owners and subject matter experts (if known)</x:v>
      </x:c>
      <x:c r="G63" s="5"/>
      <x:c r="H63" s="11"/>
      <x:c r="I63" s="11" t="n">
        <x:f>'Cycles &amp; Guide'!$D$10</x:f>
        <x:v>46112</x:v>
      </x:c>
      <x:c r="J63" s="11"/>
      <x:c r="K63" s="29"/>
      <x:c r="L63" s="2" t="str">
        <x:f>IF(O63=1,"Complete",IF(A63,"Checklist open",IF(H63&lt;&gt;"","In progress","Not started")))</x:f>
        <x:v>Not started</x:v>
      </x:c>
      <x:c r="M63" s="2" t="str">
        <x:v>Task</x:v>
      </x:c>
      <x:c r="N63" s="2" t="str">
        <x:v>RA.BO.1.8.2026.CY1</x:v>
      </x:c>
      <x:c r="O63" s="2" t="n">
        <x:f>R63</x:f>
        <x:v>0</x:v>
      </x:c>
      <x:c r="P63" s="2"/>
      <x:c r="Q63" s="2" t="n">
        <x:v>1</x:v>
      </x:c>
      <x:c r="R63" s="2" t="n">
        <x:f>IF(A63,1,0)</x:f>
        <x:v>0</x:v>
      </x:c>
      <x:c r="S63" s="2" t="n">
        <x:f>SUBTOTAL(103,N63)</x:f>
        <x:v>1</x:v>
      </x:c>
    </x:row>
    <x:row r="64" ht="42" customHeight="1">
      <x:c r="A64" s="28" t="b">
        <x:v>0</x:v>
      </x:c>
      <x:c r="B64" s="2" t="str">
        <x:v>Cycle 1</x:v>
      </x:c>
      <x:c r="C64" s="2" t="str">
        <x:v>Phase 1</x:v>
      </x:c>
      <x:c r="D64" s="2" t="str">
        <x:v>CSBBO - Banking Ops</x:v>
      </x:c>
      <x:c r="E64" s="56" t="str">
        <x:v>RA.BO.1.9</x:v>
      </x:c>
      <x:c r="F64" s="14" t="str">
        <x:v>Assign topic researchers</x:v>
      </x:c>
      <x:c r="G64" s="5"/>
      <x:c r="H64" s="11"/>
      <x:c r="I64" s="11" t="n">
        <x:f>'Cycles &amp; Guide'!$D$10</x:f>
        <x:v>46112</x:v>
      </x:c>
      <x:c r="J64" s="11"/>
      <x:c r="K64" s="29"/>
      <x:c r="L64" s="2" t="str">
        <x:f>IF(O64=1,"Complete",IF(A64,"Checklist open",IF(H64&lt;&gt;"","In progress","Not started")))</x:f>
        <x:v>Not started</x:v>
      </x:c>
      <x:c r="M64" s="2" t="str">
        <x:v>Task</x:v>
      </x:c>
      <x:c r="N64" s="2" t="str">
        <x:v>RA.BO.1.9.2026.CY1</x:v>
      </x:c>
      <x:c r="O64" s="2" t="n">
        <x:f>R64</x:f>
        <x:v>0</x:v>
      </x:c>
      <x:c r="P64" s="2"/>
      <x:c r="Q64" s="2" t="n">
        <x:v>1</x:v>
      </x:c>
      <x:c r="R64" s="2" t="n">
        <x:f>IF(A64,1,0)</x:f>
        <x:v>0</x:v>
      </x:c>
      <x:c r="S64" s="2" t="n">
        <x:f>SUBTOTAL(103,N64)</x:f>
        <x:v>1</x:v>
      </x:c>
    </x:row>
    <x:row r="65" ht="42" customHeight="1">
      <x:c r="A65" s="28" t="b">
        <x:v>0</x:v>
      </x:c>
      <x:c r="B65" s="2" t="str">
        <x:v>Cycle 1</x:v>
      </x:c>
      <x:c r="C65" s="2" t="str">
        <x:v>Phase 2</x:v>
      </x:c>
      <x:c r="D65" s="2" t="str">
        <x:v>CSBBO - Banking Ops</x:v>
      </x:c>
      <x:c r="E65" s="56" t="str">
        <x:v>RA.BO.2.1</x:v>
      </x:c>
      <x:c r="F65" s="14" t="str">
        <x:v>Review data sources</x:v>
      </x:c>
      <x:c r="G65" s="5"/>
      <x:c r="H65" s="11"/>
      <x:c r="I65" s="11" t="n">
        <x:f>'Cycles &amp; Guide'!$D$10</x:f>
        <x:v>46112</x:v>
      </x:c>
      <x:c r="J65" s="11"/>
      <x:c r="K65" s="29"/>
      <x:c r="L65" s="2" t="str">
        <x:f>IF(O65=1,"Complete",IF(A65,"Checklist open",IF(H65&lt;&gt;"","In progress","Not started")))</x:f>
        <x:v>Not started</x:v>
      </x:c>
      <x:c r="M65" s="2" t="str">
        <x:v>Task</x:v>
      </x:c>
      <x:c r="N65" s="2" t="str">
        <x:v>RA.BO.2.1.2026.CY1</x:v>
      </x:c>
      <x:c r="O65" s="2" t="n">
        <x:f>R65</x:f>
        <x:v>0</x:v>
      </x:c>
      <x:c r="P65" s="2"/>
      <x:c r="Q65" s="2" t="n">
        <x:v>1</x:v>
      </x:c>
      <x:c r="R65" s="2" t="n">
        <x:f>IF(A65,1,0)</x:f>
        <x:v>0</x:v>
      </x:c>
      <x:c r="S65" s="2" t="n">
        <x:f>SUBTOTAL(103,N65)</x:f>
        <x:v>1</x:v>
      </x:c>
    </x:row>
    <x:row r="66" ht="42" customHeight="1">
      <x:c r="A66" s="28" t="b">
        <x:v>0</x:v>
      </x:c>
      <x:c r="B66" s="2" t="str">
        <x:v>Cycle 1</x:v>
      </x:c>
      <x:c r="C66" s="2" t="str">
        <x:v>Phase 2</x:v>
      </x:c>
      <x:c r="D66" s="2" t="str">
        <x:v>CSBBO - Banking Ops</x:v>
      </x:c>
      <x:c r="E66" s="56" t="str">
        <x:v>RA.BO.2.2</x:v>
      </x:c>
      <x:c r="F66" s="14" t="str">
        <x:v>Review relevant policies and procedures</x:v>
      </x:c>
      <x:c r="G66" s="5"/>
      <x:c r="H66" s="11"/>
      <x:c r="I66" s="11" t="n">
        <x:f>'Cycles &amp; Guide'!$D$10</x:f>
        <x:v>46112</x:v>
      </x:c>
      <x:c r="J66" s="11"/>
      <x:c r="K66" s="29"/>
      <x:c r="L66" s="2" t="str">
        <x:f>IF(O66=1,"Complete",IF(A66,"Checklist open",IF(H66&lt;&gt;"","In progress","Not started")))</x:f>
        <x:v>Not started</x:v>
      </x:c>
      <x:c r="M66" s="2" t="str">
        <x:v>Task</x:v>
      </x:c>
      <x:c r="N66" s="2" t="str">
        <x:v>RA.BO.2.2.2026.CY1</x:v>
      </x:c>
      <x:c r="O66" s="2" t="n">
        <x:f>R66</x:f>
        <x:v>0</x:v>
      </x:c>
      <x:c r="P66" s="2"/>
      <x:c r="Q66" s="2" t="n">
        <x:v>1</x:v>
      </x:c>
      <x:c r="R66" s="2" t="n">
        <x:f>IF(A66,1,0)</x:f>
        <x:v>0</x:v>
      </x:c>
      <x:c r="S66" s="2" t="n">
        <x:f>SUBTOTAL(103,N66)</x:f>
        <x:v>1</x:v>
      </x:c>
    </x:row>
    <x:row r="67" ht="42" customHeight="1">
      <x:c r="A67" s="28" t="b">
        <x:v>0</x:v>
      </x:c>
      <x:c r="B67" s="2" t="str">
        <x:v>Cycle 1</x:v>
      </x:c>
      <x:c r="C67" s="2" t="str">
        <x:v>Phase 2</x:v>
      </x:c>
      <x:c r="D67" s="2" t="str">
        <x:v>CSBBO - Banking Ops</x:v>
      </x:c>
      <x:c r="E67" s="56" t="str">
        <x:v>RA.BO.2.3</x:v>
      </x:c>
      <x:c r="F67" s="14" t="str">
        <x:v>Meet with SMEs to gain business insight and clarify questions</x:v>
      </x:c>
      <x:c r="G67" s="5"/>
      <x:c r="H67" s="11"/>
      <x:c r="I67" s="11" t="n">
        <x:f>'Cycles &amp; Guide'!$D$10</x:f>
        <x:v>46112</x:v>
      </x:c>
      <x:c r="J67" s="11"/>
      <x:c r="K67" s="29"/>
      <x:c r="L67" s="2" t="str">
        <x:f>IF(O67=1,"Complete",IF(A67,"Checklist open",IF(H67&lt;&gt;"","In progress","Not started")))</x:f>
        <x:v>Not started</x:v>
      </x:c>
      <x:c r="M67" s="2" t="str">
        <x:v>Task</x:v>
      </x:c>
      <x:c r="N67" s="2" t="str">
        <x:v>RA.BO.2.3.2026.CY1</x:v>
      </x:c>
      <x:c r="O67" s="2" t="n">
        <x:f>R67</x:f>
        <x:v>0</x:v>
      </x:c>
      <x:c r="P67" s="2"/>
      <x:c r="Q67" s="2" t="n">
        <x:v>1</x:v>
      </x:c>
      <x:c r="R67" s="2" t="n">
        <x:f>IF(A67,1,0)</x:f>
        <x:v>0</x:v>
      </x:c>
      <x:c r="S67" s="2" t="n">
        <x:f>SUBTOTAL(103,N67)</x:f>
        <x:v>1</x:v>
      </x:c>
    </x:row>
    <x:row r="68" ht="42" customHeight="1">
      <x:c r="A68" s="28" t="b">
        <x:v>0</x:v>
      </x:c>
      <x:c r="B68" s="2" t="str">
        <x:v>Cycle 1</x:v>
      </x:c>
      <x:c r="C68" s="2" t="str">
        <x:v>Phase 2</x:v>
      </x:c>
      <x:c r="D68" s="2" t="str">
        <x:v>CSBBO - Banking Ops</x:v>
      </x:c>
      <x:c r="E68" s="56" t="str">
        <x:v>RA.BO.2.4</x:v>
      </x:c>
      <x:c r="F68" s="14" t="str">
        <x:v>Establish and maintain a recurring meeting with D&amp;I to discuss Cycle progress</x:v>
      </x:c>
      <x:c r="G68" s="5"/>
      <x:c r="H68" s="11"/>
      <x:c r="I68" s="11" t="n">
        <x:f>'Cycles &amp; Guide'!$D$10</x:f>
        <x:v>46112</x:v>
      </x:c>
      <x:c r="J68" s="11"/>
      <x:c r="K68" s="29"/>
      <x:c r="L68" s="2" t="str">
        <x:f>IF(O68=1,"Complete",IF(A68,"Checklist open",IF(H68&lt;&gt;"","In progress","Not started")))</x:f>
        <x:v>Not started</x:v>
      </x:c>
      <x:c r="M68" s="2" t="str">
        <x:v>Task</x:v>
      </x:c>
      <x:c r="N68" s="2" t="str">
        <x:v>RA.BO.2.4.2026.CY1</x:v>
      </x:c>
      <x:c r="O68" s="2" t="n">
        <x:f>R68</x:f>
        <x:v>0</x:v>
      </x:c>
      <x:c r="P68" s="2"/>
      <x:c r="Q68" s="2" t="n">
        <x:v>1</x:v>
      </x:c>
      <x:c r="R68" s="2" t="n">
        <x:f>IF(A68,1,0)</x:f>
        <x:v>0</x:v>
      </x:c>
      <x:c r="S68" s="2" t="n">
        <x:f>SUBTOTAL(103,N68)</x:f>
        <x:v>1</x:v>
      </x:c>
    </x:row>
    <x:row r="69" ht="42" customHeight="1">
      <x:c r="A69" s="28" t="b">
        <x:v>0</x:v>
      </x:c>
      <x:c r="B69" s="2" t="str">
        <x:v>Cycle 1</x:v>
      </x:c>
      <x:c r="C69" s="2" t="str">
        <x:v>Phase 2</x:v>
      </x:c>
      <x:c r="D69" s="2" t="str">
        <x:v>CSBBO - Banking Ops</x:v>
      </x:c>
      <x:c r="E69" s="56" t="str">
        <x:v>RA.BO.2.5</x:v>
      </x:c>
      <x:c r="F69" s="14" t="str">
        <x:v>Perform data testing and sampling</x:v>
      </x:c>
      <x:c r="G69" s="5"/>
      <x:c r="H69" s="11"/>
      <x:c r="I69" s="11" t="n">
        <x:f>'Cycles &amp; Guide'!$D$10</x:f>
        <x:v>46112</x:v>
      </x:c>
      <x:c r="J69" s="11"/>
      <x:c r="K69" s="29"/>
      <x:c r="L69" s="2" t="str">
        <x:f>IF(O69=1,"Complete",IF(A69,"Checklist open",IF(H69&lt;&gt;"","In progress","Not started")))</x:f>
        <x:v>Not started</x:v>
      </x:c>
      <x:c r="M69" s="2" t="str">
        <x:v>Task</x:v>
      </x:c>
      <x:c r="N69" s="2" t="str">
        <x:v>RA.BO.2.5.2026.CY1</x:v>
      </x:c>
      <x:c r="O69" s="2" t="n">
        <x:f>R69</x:f>
        <x:v>0</x:v>
      </x:c>
      <x:c r="P69" s="2"/>
      <x:c r="Q69" s="2" t="n">
        <x:v>1</x:v>
      </x:c>
      <x:c r="R69" s="2" t="n">
        <x:f>IF(A69,1,0)</x:f>
        <x:v>0</x:v>
      </x:c>
      <x:c r="S69" s="2" t="n">
        <x:f>SUBTOTAL(103,N69)</x:f>
        <x:v>1</x:v>
      </x:c>
    </x:row>
    <x:row r="70" ht="42" customHeight="1">
      <x:c r="A70" s="28" t="b">
        <x:v>0</x:v>
      </x:c>
      <x:c r="B70" s="2" t="str">
        <x:v>Cycle 1</x:v>
      </x:c>
      <x:c r="C70" s="2" t="str">
        <x:v>Phase 2</x:v>
      </x:c>
      <x:c r="D70" s="2" t="str">
        <x:v>CSBBO - Banking Ops</x:v>
      </x:c>
      <x:c r="E70" s="56" t="str">
        <x:v>RA.BO.2.6</x:v>
      </x:c>
      <x:c r="F70" s="14" t="str">
        <x:v>Complete Positive Testing</x:v>
      </x:c>
      <x:c r="G70" s="5"/>
      <x:c r="H70" s="11"/>
      <x:c r="I70" s="11" t="n">
        <x:f>'Cycles &amp; Guide'!$D$10</x:f>
        <x:v>46112</x:v>
      </x:c>
      <x:c r="J70" s="11"/>
      <x:c r="K70" s="29"/>
      <x:c r="L70" s="2" t="str">
        <x:f>IF(O70=1,"Complete",IF(A70,"Checklist open",IF(H70&lt;&gt;"","In progress","Not started")))</x:f>
        <x:v>Not started</x:v>
      </x:c>
      <x:c r="M70" s="2" t="str">
        <x:v>Task</x:v>
      </x:c>
      <x:c r="N70" s="2" t="str">
        <x:v>RA.BO.2.6.2026.CY1</x:v>
      </x:c>
      <x:c r="O70" s="2" t="n">
        <x:f>R70</x:f>
        <x:v>0</x:v>
      </x:c>
      <x:c r="P70" s="2"/>
      <x:c r="Q70" s="2" t="n">
        <x:v>1</x:v>
      </x:c>
      <x:c r="R70" s="2" t="n">
        <x:f>IF(A70,1,0)</x:f>
        <x:v>0</x:v>
      </x:c>
      <x:c r="S70" s="2" t="n">
        <x:f>SUBTOTAL(103,N70)</x:f>
        <x:v>1</x:v>
      </x:c>
    </x:row>
    <x:row r="71" ht="42" customHeight="1">
      <x:c r="A71" s="28" t="b">
        <x:v>0</x:v>
      </x:c>
      <x:c r="B71" s="2" t="str">
        <x:v>Cycle 1</x:v>
      </x:c>
      <x:c r="C71" s="2" t="str">
        <x:v>Phase 2</x:v>
      </x:c>
      <x:c r="D71" s="2" t="str">
        <x:v>CSBBO - Banking Ops</x:v>
      </x:c>
      <x:c r="E71" s="56" t="str">
        <x:v>RA.BO.2.7</x:v>
      </x:c>
      <x:c r="F71" s="14" t="str">
        <x:v>Complete Negative Testing</x:v>
      </x:c>
      <x:c r="G71" s="5"/>
      <x:c r="H71" s="11"/>
      <x:c r="I71" s="11" t="n">
        <x:f>'Cycles &amp; Guide'!$D$10</x:f>
        <x:v>46112</x:v>
      </x:c>
      <x:c r="J71" s="11"/>
      <x:c r="K71" s="29"/>
      <x:c r="L71" s="2" t="str">
        <x:f>IF(O71=1,"Complete",IF(A71,"Checklist open",IF(H71&lt;&gt;"","In progress","Not started")))</x:f>
        <x:v>Not started</x:v>
      </x:c>
      <x:c r="M71" s="2" t="str">
        <x:v>Task</x:v>
      </x:c>
      <x:c r="N71" s="2" t="str">
        <x:v>RA.BO.2.7.2026.CY1</x:v>
      </x:c>
      <x:c r="O71" s="2" t="n">
        <x:f>R71</x:f>
        <x:v>0</x:v>
      </x:c>
      <x:c r="P71" s="2"/>
      <x:c r="Q71" s="2" t="n">
        <x:v>1</x:v>
      </x:c>
      <x:c r="R71" s="2" t="n">
        <x:f>IF(A71,1,0)</x:f>
        <x:v>0</x:v>
      </x:c>
      <x:c r="S71" s="2" t="n">
        <x:f>SUBTOTAL(103,N71)</x:f>
        <x:v>1</x:v>
      </x:c>
    </x:row>
    <x:row r="72" ht="42" customHeight="1">
      <x:c r="A72" s="28" t="b">
        <x:v>0</x:v>
      </x:c>
      <x:c r="B72" s="2" t="str">
        <x:v>Cycle 1</x:v>
      </x:c>
      <x:c r="C72" s="2" t="str">
        <x:v>Phase 2</x:v>
      </x:c>
      <x:c r="D72" s="2" t="str">
        <x:v>CSBBO - Banking Ops</x:v>
      </x:c>
      <x:c r="E72" s="56" t="str">
        <x:v>RA.BO.2.8</x:v>
      </x:c>
      <x:c r="F72" s="14" t="str">
        <x:v>Request additional data (as needed)</x:v>
      </x:c>
      <x:c r="G72" s="5"/>
      <x:c r="H72" s="11"/>
      <x:c r="I72" s="11" t="n">
        <x:f>'Cycles &amp; Guide'!$D$10</x:f>
        <x:v>46112</x:v>
      </x:c>
      <x:c r="J72" s="11"/>
      <x:c r="K72" s="29"/>
      <x:c r="L72" s="2" t="str">
        <x:f>IF(O72=1,"Complete",IF(A72,"Checklist open",IF(H72&lt;&gt;"","In progress","Not started")))</x:f>
        <x:v>Not started</x:v>
      </x:c>
      <x:c r="M72" s="2" t="str">
        <x:v>Task</x:v>
      </x:c>
      <x:c r="N72" s="2" t="str">
        <x:v>RA.BO.2.8.2026.CY1</x:v>
      </x:c>
      <x:c r="O72" s="2" t="n">
        <x:f>R72</x:f>
        <x:v>0</x:v>
      </x:c>
      <x:c r="P72" s="2"/>
      <x:c r="Q72" s="2" t="n">
        <x:v>1</x:v>
      </x:c>
      <x:c r="R72" s="2" t="n">
        <x:f>IF(A72,1,0)</x:f>
        <x:v>0</x:v>
      </x:c>
      <x:c r="S72" s="2" t="n">
        <x:f>SUBTOTAL(103,N72)</x:f>
        <x:v>1</x:v>
      </x:c>
    </x:row>
    <x:row r="73" ht="42" customHeight="1">
      <x:c r="A73" s="28" t="b">
        <x:v>0</x:v>
      </x:c>
      <x:c r="B73" s="2" t="str">
        <x:v>Cycle 1</x:v>
      </x:c>
      <x:c r="C73" s="2" t="str">
        <x:v>Phase 2</x:v>
      </x:c>
      <x:c r="D73" s="2" t="str">
        <x:v>CSBBO - Banking Ops</x:v>
      </x:c>
      <x:c r="E73" s="56" t="str">
        <x:v>RA.BO.2.9</x:v>
      </x:c>
      <x:c r="F73" s="14" t="str">
        <x:v>Validate or disprove initial hypothesis assumptions</x:v>
      </x:c>
      <x:c r="G73" s="5"/>
      <x:c r="H73" s="11"/>
      <x:c r="I73" s="11" t="n">
        <x:f>'Cycles &amp; Guide'!$D$10</x:f>
        <x:v>46112</x:v>
      </x:c>
      <x:c r="J73" s="11"/>
      <x:c r="K73" s="29"/>
      <x:c r="L73" s="2" t="str">
        <x:f>IF(O73=1,"Complete",IF(A73,"Checklist open",IF(H73&lt;&gt;"","In progress","Not started")))</x:f>
        <x:v>Not started</x:v>
      </x:c>
      <x:c r="M73" s="2" t="str">
        <x:v>Task</x:v>
      </x:c>
      <x:c r="N73" s="2" t="str">
        <x:v>RA.BO.2.9.2026.CY1</x:v>
      </x:c>
      <x:c r="O73" s="2" t="n">
        <x:f>R73</x:f>
        <x:v>0</x:v>
      </x:c>
      <x:c r="P73" s="2"/>
      <x:c r="Q73" s="2" t="n">
        <x:v>1</x:v>
      </x:c>
      <x:c r="R73" s="2" t="n">
        <x:f>IF(A73,1,0)</x:f>
        <x:v>0</x:v>
      </x:c>
      <x:c r="S73" s="2" t="n">
        <x:f>SUBTOTAL(103,N73)</x:f>
        <x:v>1</x:v>
      </x:c>
    </x:row>
    <x:row r="74" ht="42" customHeight="1">
      <x:c r="A74" s="28" t="b">
        <x:v>0</x:v>
      </x:c>
      <x:c r="B74" s="2" t="str">
        <x:v>Cycle 1</x:v>
      </x:c>
      <x:c r="C74" s="2" t="str">
        <x:v>Phase 2</x:v>
      </x:c>
      <x:c r="D74" s="2" t="str">
        <x:v>CSBBO - Banking Ops</x:v>
      </x:c>
      <x:c r="E74" s="56" t="str">
        <x:v>RA.BO.2.10</x:v>
      </x:c>
      <x:c r="F74" s="14" t="str">
        <x:v>Identify and confirm root cause</x:v>
      </x:c>
      <x:c r="G74" s="5"/>
      <x:c r="H74" s="11"/>
      <x:c r="I74" s="11" t="n">
        <x:f>'Cycles &amp; Guide'!$D$10</x:f>
        <x:v>46112</x:v>
      </x:c>
      <x:c r="J74" s="11"/>
      <x:c r="K74" s="29"/>
      <x:c r="L74" s="2" t="str">
        <x:f>IF(O74=1,"Complete",IF(A74,"Checklist open",IF(H74&lt;&gt;"","In progress","Not started")))</x:f>
        <x:v>Not started</x:v>
      </x:c>
      <x:c r="M74" s="2" t="str">
        <x:v>Task</x:v>
      </x:c>
      <x:c r="N74" s="2" t="str">
        <x:v>RA.BO.2.10.2026.CY1</x:v>
      </x:c>
      <x:c r="O74" s="2" t="n">
        <x:f>R74</x:f>
        <x:v>0</x:v>
      </x:c>
      <x:c r="P74" s="2"/>
      <x:c r="Q74" s="2" t="n">
        <x:v>1</x:v>
      </x:c>
      <x:c r="R74" s="2" t="n">
        <x:f>IF(A74,1,0)</x:f>
        <x:v>0</x:v>
      </x:c>
      <x:c r="S74" s="2" t="n">
        <x:f>SUBTOTAL(103,N74)</x:f>
        <x:v>1</x:v>
      </x:c>
    </x:row>
    <x:row r="75" ht="42" customHeight="1">
      <x:c r="A75" s="28" t="b">
        <x:v>0</x:v>
      </x:c>
      <x:c r="B75" s="2" t="str">
        <x:v>Cycle 1</x:v>
      </x:c>
      <x:c r="C75" s="2" t="str">
        <x:v>Phase 3</x:v>
      </x:c>
      <x:c r="D75" s="2" t="str">
        <x:v>CSBBO - Banking Ops</x:v>
      </x:c>
      <x:c r="E75" s="56" t="str">
        <x:v>RA.BO.3.1</x:v>
      </x:c>
      <x:c r="F75" s="14" t="str">
        <x:v>Finalize results and supporting documentation</x:v>
      </x:c>
      <x:c r="G75" s="5"/>
      <x:c r="H75" s="11"/>
      <x:c r="I75" s="11" t="n">
        <x:f>'Cycles &amp; Guide'!$D$10</x:f>
        <x:v>46112</x:v>
      </x:c>
      <x:c r="J75" s="11"/>
      <x:c r="K75" s="29"/>
      <x:c r="L75" s="2" t="str">
        <x:f>IF(O75=1,"Complete",IF(A75,"Checklist open",IF(H75&lt;&gt;"","In progress","Not started")))</x:f>
        <x:v>Not started</x:v>
      </x:c>
      <x:c r="M75" s="2" t="str">
        <x:v>Task</x:v>
      </x:c>
      <x:c r="N75" s="2" t="str">
        <x:v>RA.BO.3.1.2026.CY1</x:v>
      </x:c>
      <x:c r="O75" s="2" t="n">
        <x:f>R75</x:f>
        <x:v>0</x:v>
      </x:c>
      <x:c r="P75" s="2"/>
      <x:c r="Q75" s="2" t="n">
        <x:v>1</x:v>
      </x:c>
      <x:c r="R75" s="2" t="n">
        <x:f>IF(A75,1,0)</x:f>
        <x:v>0</x:v>
      </x:c>
      <x:c r="S75" s="2" t="n">
        <x:f>SUBTOTAL(103,N75)</x:f>
        <x:v>1</x:v>
      </x:c>
    </x:row>
    <x:row r="76" ht="42" customHeight="1">
      <x:c r="A76" s="28" t="b">
        <x:v>0</x:v>
      </x:c>
      <x:c r="B76" s="2" t="str">
        <x:v>Cycle 1</x:v>
      </x:c>
      <x:c r="C76" s="2" t="str">
        <x:v>Phase 3</x:v>
      </x:c>
      <x:c r="D76" s="2" t="str">
        <x:v>CSBBO - Banking Ops</x:v>
      </x:c>
      <x:c r="E76" s="56" t="str">
        <x:v>RA.BO.3.2</x:v>
      </x:c>
      <x:c r="F76" s="14" t="str">
        <x:v>Maintain and update the evidence package prior to handoff to D&amp;I</x:v>
      </x:c>
      <x:c r="G76" s="5"/>
      <x:c r="H76" s="11"/>
      <x:c r="I76" s="11" t="n">
        <x:f>'Cycles &amp; Guide'!$D$10</x:f>
        <x:v>46112</x:v>
      </x:c>
      <x:c r="J76" s="11"/>
      <x:c r="K76" s="29"/>
      <x:c r="L76" s="2" t="str">
        <x:f>IF(O76=1,"Complete",IF(A76,"Checklist open",IF(H76&lt;&gt;"","In progress","Not started")))</x:f>
        <x:v>Not started</x:v>
      </x:c>
      <x:c r="M76" s="2" t="str">
        <x:v>Task</x:v>
      </x:c>
      <x:c r="N76" s="2" t="str">
        <x:v>RA.BO.3.2.2026.CY1</x:v>
      </x:c>
      <x:c r="O76" s="2" t="n">
        <x:f>R76</x:f>
        <x:v>0</x:v>
      </x:c>
      <x:c r="P76" s="2"/>
      <x:c r="Q76" s="2" t="n">
        <x:v>1</x:v>
      </x:c>
      <x:c r="R76" s="2" t="n">
        <x:f>IF(A76,1,0)</x:f>
        <x:v>0</x:v>
      </x:c>
      <x:c r="S76" s="2" t="n">
        <x:f>SUBTOTAL(103,N76)</x:f>
        <x:v>1</x:v>
      </x:c>
    </x:row>
    <x:row r="77" ht="42" customHeight="1">
      <x:c r="A77" s="28" t="b">
        <x:v>0</x:v>
      </x:c>
      <x:c r="B77" s="2" t="str">
        <x:v>Cycle 1</x:v>
      </x:c>
      <x:c r="C77" s="2" t="str">
        <x:v>Phase 3</x:v>
      </x:c>
      <x:c r="D77" s="2" t="str">
        <x:v>CSBBO - Banking Ops</x:v>
      </x:c>
      <x:c r="E77" s="56" t="str">
        <x:v>RA.BO.3.3</x:v>
      </x:c>
      <x:c r="F77" s="14" t="str">
        <x:v>Address any outstanding questions or requests from D&amp;I</x:v>
      </x:c>
      <x:c r="G77" s="5"/>
      <x:c r="H77" s="11"/>
      <x:c r="I77" s="11" t="n">
        <x:f>'Cycles &amp; Guide'!$D$10</x:f>
        <x:v>46112</x:v>
      </x:c>
      <x:c r="J77" s="11"/>
      <x:c r="K77" s="29"/>
      <x:c r="L77" s="2" t="str">
        <x:f>IF(O77=1,"Complete",IF(A77,"Checklist open",IF(H77&lt;&gt;"","In progress","Not started")))</x:f>
        <x:v>Not started</x:v>
      </x:c>
      <x:c r="M77" s="2" t="str">
        <x:v>Task</x:v>
      </x:c>
      <x:c r="N77" s="2" t="str">
        <x:v>RA.BO.3.3.2026.CY1</x:v>
      </x:c>
      <x:c r="O77" s="2" t="n">
        <x:f>R77</x:f>
        <x:v>0</x:v>
      </x:c>
      <x:c r="P77" s="2"/>
      <x:c r="Q77" s="2" t="n">
        <x:v>1</x:v>
      </x:c>
      <x:c r="R77" s="2" t="n">
        <x:f>IF(A77,1,0)</x:f>
        <x:v>0</x:v>
      </x:c>
      <x:c r="S77" s="2" t="n">
        <x:f>SUBTOTAL(103,N77)</x:f>
        <x:v>1</x:v>
      </x:c>
    </x:row>
    <x:row r="78" ht="42" customHeight="1">
      <x:c r="A78" s="28" t="b">
        <x:v>0</x:v>
      </x:c>
      <x:c r="B78" s="2" t="str">
        <x:v>Cycle 1</x:v>
      </x:c>
      <x:c r="C78" s="2" t="str">
        <x:v>Phase 3</x:v>
      </x:c>
      <x:c r="D78" s="2" t="str">
        <x:v>CSBBO - Banking Ops</x:v>
      </x:c>
      <x:c r="E78" s="56" t="str">
        <x:v>RA.BO.3.4</x:v>
      </x:c>
      <x:c r="F78" s="14" t="str">
        <x:v>Attend Forum meeting with D&amp;I to assist with answering stakeholder questions (as needed)</x:v>
      </x:c>
      <x:c r="G78" s="5"/>
      <x:c r="H78" s="11"/>
      <x:c r="I78" s="11" t="str">
        <x:f>IF(SUMIFS('Cycles &amp; Guide'!$D$23:$D$50,'Cycles &amp; Guide'!$B$23:$B$50,B78,'Cycles &amp; Guide'!$C$23:$C$50,D78)=0,"",SUMIFS('Cycles &amp; Guide'!$D$23:$D$50,'Cycles &amp; Guide'!$B$23:$B$50,B78,'Cycles &amp; Guide'!$C$23:$C$50,D78))</x:f>
      </x:c>
      <x:c r="J78" s="11"/>
      <x:c r="K78" s="29"/>
      <x:c r="L78" s="2" t="str">
        <x:f>IF(O78=1,"Complete",IF(A78,"Checklist open",IF(H78&lt;&gt;"","In progress","Not started")))</x:f>
        <x:v>Not started</x:v>
      </x:c>
      <x:c r="M78" s="2" t="str">
        <x:v>Task</x:v>
      </x:c>
      <x:c r="N78" s="2" t="str">
        <x:v>RA.BO.3.4.2026.CY1</x:v>
      </x:c>
      <x:c r="O78" s="2" t="n">
        <x:f>R78</x:f>
        <x:v>0</x:v>
      </x:c>
      <x:c r="P78" s="2"/>
      <x:c r="Q78" s="2" t="n">
        <x:v>1</x:v>
      </x:c>
      <x:c r="R78" s="2" t="n">
        <x:f>IF(A78,1,0)</x:f>
        <x:v>0</x:v>
      </x:c>
      <x:c r="S78" s="2" t="n">
        <x:f>SUBTOTAL(103,N78)</x:f>
        <x:v>1</x:v>
      </x:c>
    </x:row>
    <x:row r="79" ht="42" customHeight="1">
      <x:c r="A79" s="28" t="b">
        <x:v>0</x:v>
      </x:c>
      <x:c r="B79" s="2" t="str">
        <x:v>Cycle 1</x:v>
      </x:c>
      <x:c r="C79" s="2" t="str">
        <x:v>Phase 1</x:v>
      </x:c>
      <x:c r="D79" s="2" t="str">
        <x:v>CSBBO - Customer Service</x:v>
      </x:c>
      <x:c r="E79" s="56" t="str">
        <x:v>RA.CS.1.1</x:v>
      </x:c>
      <x:c r="F79" s="14" t="str">
        <x:v>Begin Research process 2 weeks prior to Cycle start</x:v>
      </x:c>
      <x:c r="G79" s="5"/>
      <x:c r="H79" s="11"/>
      <x:c r="I79" s="11" t="n">
        <x:f>'Cycles &amp; Guide'!$C$10-14</x:f>
        <x:v>46009</x:v>
      </x:c>
      <x:c r="J79" s="11"/>
      <x:c r="K79" s="29"/>
      <x:c r="L79" s="2" t="str">
        <x:f>IF(O79=1,"Complete",IF(A79,"Checklist open",IF(H79&lt;&gt;"","In progress","Not started")))</x:f>
        <x:v>Not started</x:v>
      </x:c>
      <x:c r="M79" s="2" t="str">
        <x:v>Task</x:v>
      </x:c>
      <x:c r="N79" s="2" t="str">
        <x:v>RA.CS.1.1.2026.CY1</x:v>
      </x:c>
      <x:c r="O79" s="2" t="n">
        <x:f>R79</x:f>
        <x:v>0</x:v>
      </x:c>
      <x:c r="P79" s="2"/>
      <x:c r="Q79" s="2" t="n">
        <x:v>1</x:v>
      </x:c>
      <x:c r="R79" s="2" t="n">
        <x:f>IF(A79,1,0)</x:f>
        <x:v>0</x:v>
      </x:c>
      <x:c r="S79" s="2" t="n">
        <x:f>SUBTOTAL(103,N79)</x:f>
        <x:v>1</x:v>
      </x:c>
    </x:row>
    <x:row r="80" ht="42" customHeight="1">
      <x:c r="A80" s="28" t="b">
        <x:v>0</x:v>
      </x:c>
      <x:c r="B80" s="2" t="str">
        <x:v>Cycle 1</x:v>
      </x:c>
      <x:c r="C80" s="2" t="str">
        <x:v>Phase 1</x:v>
      </x:c>
      <x:c r="D80" s="2" t="str">
        <x:v>CSBBO - Customer Service</x:v>
      </x:c>
      <x:c r="E80" s="56" t="str">
        <x:v>RA.CS.1.2</x:v>
      </x:c>
      <x:c r="F80" s="14" t="str">
        <x:v>Conduct initial assessment of each topic recommendation from SharePoint list</x:v>
      </x:c>
      <x:c r="G80" s="5"/>
      <x:c r="H80" s="11"/>
      <x:c r="I80" s="11" t="n">
        <x:f>'Cycles &amp; Guide'!$D$10</x:f>
        <x:v>46112</x:v>
      </x:c>
      <x:c r="J80" s="11"/>
      <x:c r="K80" s="29"/>
      <x:c r="L80" s="2" t="str">
        <x:f>IF(O80=1,"Complete",IF(A80,"Checklist open",IF(H80&lt;&gt;"","In progress","Not started")))</x:f>
        <x:v>Not started</x:v>
      </x:c>
      <x:c r="M80" s="2" t="str">
        <x:v>Task</x:v>
      </x:c>
      <x:c r="N80" s="2" t="str">
        <x:v>RA.CS.1.2.2026.CY1</x:v>
      </x:c>
      <x:c r="O80" s="2" t="n">
        <x:f>R80</x:f>
        <x:v>0</x:v>
      </x:c>
      <x:c r="P80" s="2"/>
      <x:c r="Q80" s="2" t="n">
        <x:v>1</x:v>
      </x:c>
      <x:c r="R80" s="2" t="n">
        <x:f>IF(A80,1,0)</x:f>
        <x:v>0</x:v>
      </x:c>
      <x:c r="S80" s="2" t="n">
        <x:f>SUBTOTAL(103,N80)</x:f>
        <x:v>1</x:v>
      </x:c>
    </x:row>
    <x:row r="81" ht="42" customHeight="1">
      <x:c r="A81" s="28" t="b">
        <x:v>0</x:v>
      </x:c>
      <x:c r="B81" s="2" t="str">
        <x:v>Cycle 1</x:v>
      </x:c>
      <x:c r="C81" s="2" t="str">
        <x:v>Phase 1</x:v>
      </x:c>
      <x:c r="D81" s="2" t="str">
        <x:v>CSBBO - Customer Service</x:v>
      </x:c>
      <x:c r="E81" s="56" t="str">
        <x:v>RA.CS.1.3</x:v>
      </x:c>
      <x:c r="F81" s="14" t="str">
        <x:v>Identify best topic for Cycle</x:v>
      </x:c>
      <x:c r="G81" s="5"/>
      <x:c r="H81" s="11"/>
      <x:c r="I81" s="11" t="n">
        <x:f>'Cycles &amp; Guide'!$D$10</x:f>
        <x:v>46112</x:v>
      </x:c>
      <x:c r="J81" s="11"/>
      <x:c r="K81" s="29"/>
      <x:c r="L81" s="2" t="str">
        <x:f>IF(O81=1,"Complete",IF(A81,"Checklist open",IF(H81&lt;&gt;"","In progress","Not started")))</x:f>
        <x:v>Not started</x:v>
      </x:c>
      <x:c r="M81" s="2" t="str">
        <x:v>Task</x:v>
      </x:c>
      <x:c r="N81" s="2" t="str">
        <x:v>RA.CS.1.3.2026.CY1</x:v>
      </x:c>
      <x:c r="O81" s="2" t="n">
        <x:f>R81</x:f>
        <x:v>0</x:v>
      </x:c>
      <x:c r="P81" s="2"/>
      <x:c r="Q81" s="2" t="n">
        <x:v>1</x:v>
      </x:c>
      <x:c r="R81" s="2" t="n">
        <x:f>IF(A81,1,0)</x:f>
        <x:v>0</x:v>
      </x:c>
      <x:c r="S81" s="2" t="n">
        <x:f>SUBTOTAL(103,N81)</x:f>
        <x:v>1</x:v>
      </x:c>
    </x:row>
    <x:row r="82" ht="42" customHeight="1">
      <x:c r="A82" s="28" t="b">
        <x:v>0</x:v>
      </x:c>
      <x:c r="B82" s="2" t="str">
        <x:v>Cycle 1</x:v>
      </x:c>
      <x:c r="C82" s="2" t="str">
        <x:v>Phase 1</x:v>
      </x:c>
      <x:c r="D82" s="2" t="str">
        <x:v>CSBBO - Customer Service</x:v>
      </x:c>
      <x:c r="E82" s="56" t="str">
        <x:v>RA.CS.1.4</x:v>
      </x:c>
      <x:c r="F82" s="14" t="str">
        <x:v>Identify backup topic for Cycle</x:v>
      </x:c>
      <x:c r="G82" s="5"/>
      <x:c r="H82" s="11"/>
      <x:c r="I82" s="11" t="n">
        <x:f>'Cycles &amp; Guide'!$D$10</x:f>
        <x:v>46112</x:v>
      </x:c>
      <x:c r="J82" s="11"/>
      <x:c r="K82" s="29"/>
      <x:c r="L82" s="2" t="str">
        <x:f>IF(O82=1,"Complete",IF(A82,"Checklist open",IF(H82&lt;&gt;"","In progress","Not started")))</x:f>
        <x:v>Not started</x:v>
      </x:c>
      <x:c r="M82" s="2" t="str">
        <x:v>Task</x:v>
      </x:c>
      <x:c r="N82" s="2" t="str">
        <x:v>RA.CS.1.4.2026.CY1</x:v>
      </x:c>
      <x:c r="O82" s="2" t="n">
        <x:f>R82</x:f>
        <x:v>0</x:v>
      </x:c>
      <x:c r="P82" s="2"/>
      <x:c r="Q82" s="2" t="n">
        <x:v>1</x:v>
      </x:c>
      <x:c r="R82" s="2" t="n">
        <x:f>IF(A82,1,0)</x:f>
        <x:v>0</x:v>
      </x:c>
      <x:c r="S82" s="2" t="n">
        <x:f>SUBTOTAL(103,N82)</x:f>
        <x:v>1</x:v>
      </x:c>
    </x:row>
    <x:row r="83" ht="42" customHeight="1">
      <x:c r="A83" s="28" t="b">
        <x:v>0</x:v>
      </x:c>
      <x:c r="B83" s="2" t="str">
        <x:v>Cycle 1</x:v>
      </x:c>
      <x:c r="C83" s="2" t="str">
        <x:v>Phase 1</x:v>
      </x:c>
      <x:c r="D83" s="2" t="str">
        <x:v>CSBBO - Customer Service</x:v>
      </x:c>
      <x:c r="E83" s="56" t="str">
        <x:v>RA.CS.1.5</x:v>
      </x:c>
      <x:c r="F83" s="14" t="str">
        <x:v>Schedule topic approval meeting with D&amp;I and management</x:v>
      </x:c>
      <x:c r="G83" s="5"/>
      <x:c r="H83" s="11"/>
      <x:c r="I83" s="11" t="n">
        <x:f>'Cycles &amp; Guide'!$D$10</x:f>
        <x:v>46112</x:v>
      </x:c>
      <x:c r="J83" s="11"/>
      <x:c r="K83" s="29"/>
      <x:c r="L83" s="2" t="str">
        <x:f>IF(O83=1,"Complete",IF(A83,"Checklist open",IF(H83&lt;&gt;"","In progress","Not started")))</x:f>
        <x:v>Not started</x:v>
      </x:c>
      <x:c r="M83" s="2" t="str">
        <x:v>Task</x:v>
      </x:c>
      <x:c r="N83" s="2" t="str">
        <x:v>RA.CS.1.5.2026.CY1</x:v>
      </x:c>
      <x:c r="O83" s="2" t="n">
        <x:f>R83</x:f>
        <x:v>0</x:v>
      </x:c>
      <x:c r="P83" s="2"/>
      <x:c r="Q83" s="2" t="n">
        <x:v>1</x:v>
      </x:c>
      <x:c r="R83" s="2" t="n">
        <x:f>IF(A83,1,0)</x:f>
        <x:v>0</x:v>
      </x:c>
      <x:c r="S83" s="2" t="n">
        <x:f>SUBTOTAL(103,N83)</x:f>
        <x:v>1</x:v>
      </x:c>
    </x:row>
    <x:row r="84" ht="42" customHeight="1">
      <x:c r="A84" s="28" t="b">
        <x:v>0</x:v>
      </x:c>
      <x:c r="B84" s="2" t="str">
        <x:v>Cycle 1</x:v>
      </x:c>
      <x:c r="C84" s="2" t="str">
        <x:v>Phase 1</x:v>
      </x:c>
      <x:c r="D84" s="2" t="str">
        <x:v>CSBBO - Customer Service</x:v>
      </x:c>
      <x:c r="E84" s="56" t="str">
        <x:v>RA.CS.1.6</x:v>
      </x:c>
      <x:c r="F84" s="14" t="str">
        <x:v>Present recommended topic to D&amp;I and management for approval</x:v>
      </x:c>
      <x:c r="G84" s="5"/>
      <x:c r="H84" s="11"/>
      <x:c r="I84" s="11" t="n">
        <x:f>'Cycles &amp; Guide'!$D$10</x:f>
        <x:v>46112</x:v>
      </x:c>
      <x:c r="J84" s="11"/>
      <x:c r="K84" s="29"/>
      <x:c r="L84" s="2" t="str">
        <x:f>IF(O84=1,"Complete",IF(A84,"Checklist open",IF(H84&lt;&gt;"","In progress","Not started")))</x:f>
        <x:v>Not started</x:v>
      </x:c>
      <x:c r="M84" s="2" t="str">
        <x:v>Task</x:v>
      </x:c>
      <x:c r="N84" s="2" t="str">
        <x:v>RA.CS.1.6.2026.CY1</x:v>
      </x:c>
      <x:c r="O84" s="2" t="n">
        <x:f>R84</x:f>
        <x:v>0</x:v>
      </x:c>
      <x:c r="P84" s="2"/>
      <x:c r="Q84" s="2" t="n">
        <x:v>1</x:v>
      </x:c>
      <x:c r="R84" s="2" t="n">
        <x:f>IF(A84,1,0)</x:f>
        <x:v>0</x:v>
      </x:c>
      <x:c r="S84" s="2" t="n">
        <x:f>SUBTOTAL(103,N84)</x:f>
        <x:v>1</x:v>
      </x:c>
    </x:row>
    <x:row r="85" ht="42" customHeight="1">
      <x:c r="A85" s="28" t="b">
        <x:v>0</x:v>
      </x:c>
      <x:c r="B85" s="2" t="str">
        <x:v>Cycle 1</x:v>
      </x:c>
      <x:c r="C85" s="2" t="str">
        <x:v>Phase 1</x:v>
      </x:c>
      <x:c r="D85" s="2" t="str">
        <x:v>CSBBO - Customer Service</x:v>
      </x:c>
      <x:c r="E85" s="56" t="str">
        <x:v>RA.CS.1.7</x:v>
      </x:c>
      <x:c r="F85" s="14" t="str">
        <x:v>Obtain formal topic selection approval from management via SharePoint</x:v>
      </x:c>
      <x:c r="G85" s="5"/>
      <x:c r="H85" s="11"/>
      <x:c r="I85" s="11" t="n">
        <x:f>'Cycles &amp; Guide'!$D$10</x:f>
        <x:v>46112</x:v>
      </x:c>
      <x:c r="J85" s="11"/>
      <x:c r="K85" s="29"/>
      <x:c r="L85" s="2" t="str">
        <x:f>IF(O85=1,"Complete",IF(A85,"Checklist open",IF(H85&lt;&gt;"","In progress","Not started")))</x:f>
        <x:v>Not started</x:v>
      </x:c>
      <x:c r="M85" s="2" t="str">
        <x:v>Task</x:v>
      </x:c>
      <x:c r="N85" s="2" t="str">
        <x:v>RA.CS.1.7.2026.CY1</x:v>
      </x:c>
      <x:c r="O85" s="2" t="n">
        <x:f>R85</x:f>
        <x:v>0</x:v>
      </x:c>
      <x:c r="P85" s="2"/>
      <x:c r="Q85" s="2" t="n">
        <x:v>1</x:v>
      </x:c>
      <x:c r="R85" s="2" t="n">
        <x:f>IF(A85,1,0)</x:f>
        <x:v>0</x:v>
      </x:c>
      <x:c r="S85" s="2" t="n">
        <x:f>SUBTOTAL(103,N85)</x:f>
        <x:v>1</x:v>
      </x:c>
    </x:row>
    <x:row r="86" ht="42" customHeight="1">
      <x:c r="A86" s="28" t="b">
        <x:v>0</x:v>
      </x:c>
      <x:c r="B86" s="2" t="str">
        <x:v>Cycle 1</x:v>
      </x:c>
      <x:c r="C86" s="2" t="str">
        <x:v>Phase 1</x:v>
      </x:c>
      <x:c r="D86" s="2" t="str">
        <x:v>CSBBO - Customer Service</x:v>
      </x:c>
      <x:c r="E86" s="56" t="str">
        <x:v>RA.CS.1.8</x:v>
      </x:c>
      <x:c r="F86" s="14" t="str">
        <x:v>Socialize topic selection with product owners and subject matter experts (if known)</x:v>
      </x:c>
      <x:c r="G86" s="5"/>
      <x:c r="H86" s="11"/>
      <x:c r="I86" s="11" t="n">
        <x:f>'Cycles &amp; Guide'!$D$10</x:f>
        <x:v>46112</x:v>
      </x:c>
      <x:c r="J86" s="11"/>
      <x:c r="K86" s="29"/>
      <x:c r="L86" s="2" t="str">
        <x:f>IF(O86=1,"Complete",IF(A86,"Checklist open",IF(H86&lt;&gt;"","In progress","Not started")))</x:f>
        <x:v>Not started</x:v>
      </x:c>
      <x:c r="M86" s="2" t="str">
        <x:v>Task</x:v>
      </x:c>
      <x:c r="N86" s="2" t="str">
        <x:v>RA.CS.1.8.2026.CY1</x:v>
      </x:c>
      <x:c r="O86" s="2" t="n">
        <x:f>R86</x:f>
        <x:v>0</x:v>
      </x:c>
      <x:c r="P86" s="2"/>
      <x:c r="Q86" s="2" t="n">
        <x:v>1</x:v>
      </x:c>
      <x:c r="R86" s="2" t="n">
        <x:f>IF(A86,1,0)</x:f>
        <x:v>0</x:v>
      </x:c>
      <x:c r="S86" s="2" t="n">
        <x:f>SUBTOTAL(103,N86)</x:f>
        <x:v>1</x:v>
      </x:c>
    </x:row>
    <x:row r="87" ht="42" customHeight="1">
      <x:c r="A87" s="28" t="b">
        <x:v>0</x:v>
      </x:c>
      <x:c r="B87" s="2" t="str">
        <x:v>Cycle 1</x:v>
      </x:c>
      <x:c r="C87" s="2" t="str">
        <x:v>Phase 1</x:v>
      </x:c>
      <x:c r="D87" s="2" t="str">
        <x:v>CSBBO - Customer Service</x:v>
      </x:c>
      <x:c r="E87" s="56" t="str">
        <x:v>RA.CS.1.9</x:v>
      </x:c>
      <x:c r="F87" s="14" t="str">
        <x:v>Assign topic researchers</x:v>
      </x:c>
      <x:c r="G87" s="5"/>
      <x:c r="H87" s="11"/>
      <x:c r="I87" s="11" t="n">
        <x:f>'Cycles &amp; Guide'!$D$10</x:f>
        <x:v>46112</x:v>
      </x:c>
      <x:c r="J87" s="11"/>
      <x:c r="K87" s="29"/>
      <x:c r="L87" s="2" t="str">
        <x:f>IF(O87=1,"Complete",IF(A87,"Checklist open",IF(H87&lt;&gt;"","In progress","Not started")))</x:f>
        <x:v>Not started</x:v>
      </x:c>
      <x:c r="M87" s="2" t="str">
        <x:v>Task</x:v>
      </x:c>
      <x:c r="N87" s="2" t="str">
        <x:v>RA.CS.1.9.2026.CY1</x:v>
      </x:c>
      <x:c r="O87" s="2" t="n">
        <x:f>R87</x:f>
        <x:v>0</x:v>
      </x:c>
      <x:c r="P87" s="2"/>
      <x:c r="Q87" s="2" t="n">
        <x:v>1</x:v>
      </x:c>
      <x:c r="R87" s="2" t="n">
        <x:f>IF(A87,1,0)</x:f>
        <x:v>0</x:v>
      </x:c>
      <x:c r="S87" s="2" t="n">
        <x:f>SUBTOTAL(103,N87)</x:f>
        <x:v>1</x:v>
      </x:c>
    </x:row>
    <x:row r="88" ht="42" customHeight="1">
      <x:c r="A88" s="28" t="b">
        <x:v>0</x:v>
      </x:c>
      <x:c r="B88" s="2" t="str">
        <x:v>Cycle 1</x:v>
      </x:c>
      <x:c r="C88" s="2" t="str">
        <x:v>Phase 2</x:v>
      </x:c>
      <x:c r="D88" s="2" t="str">
        <x:v>CSBBO - Customer Service</x:v>
      </x:c>
      <x:c r="E88" s="56" t="str">
        <x:v>RA.CS.2.1</x:v>
      </x:c>
      <x:c r="F88" s="14" t="str">
        <x:v>Review data sources</x:v>
      </x:c>
      <x:c r="G88" s="5"/>
      <x:c r="H88" s="11"/>
      <x:c r="I88" s="11" t="n">
        <x:f>'Cycles &amp; Guide'!$D$10</x:f>
        <x:v>46112</x:v>
      </x:c>
      <x:c r="J88" s="11"/>
      <x:c r="K88" s="29"/>
      <x:c r="L88" s="2" t="str">
        <x:f>IF(O88=1,"Complete",IF(A88,"Checklist open",IF(H88&lt;&gt;"","In progress","Not started")))</x:f>
        <x:v>Not started</x:v>
      </x:c>
      <x:c r="M88" s="2" t="str">
        <x:v>Task</x:v>
      </x:c>
      <x:c r="N88" s="2" t="str">
        <x:v>RA.CS.2.1.2026.CY1</x:v>
      </x:c>
      <x:c r="O88" s="2" t="n">
        <x:f>R88</x:f>
        <x:v>0</x:v>
      </x:c>
      <x:c r="P88" s="2"/>
      <x:c r="Q88" s="2" t="n">
        <x:v>1</x:v>
      </x:c>
      <x:c r="R88" s="2" t="n">
        <x:f>IF(A88,1,0)</x:f>
        <x:v>0</x:v>
      </x:c>
      <x:c r="S88" s="2" t="n">
        <x:f>SUBTOTAL(103,N88)</x:f>
        <x:v>1</x:v>
      </x:c>
    </x:row>
    <x:row r="89" ht="42" customHeight="1">
      <x:c r="A89" s="28" t="b">
        <x:v>0</x:v>
      </x:c>
      <x:c r="B89" s="2" t="str">
        <x:v>Cycle 1</x:v>
      </x:c>
      <x:c r="C89" s="2" t="str">
        <x:v>Phase 2</x:v>
      </x:c>
      <x:c r="D89" s="2" t="str">
        <x:v>CSBBO - Customer Service</x:v>
      </x:c>
      <x:c r="E89" s="56" t="str">
        <x:v>RA.CS.2.2</x:v>
      </x:c>
      <x:c r="F89" s="14" t="str">
        <x:v>Review relevant policies and procedures</x:v>
      </x:c>
      <x:c r="G89" s="5"/>
      <x:c r="H89" s="11"/>
      <x:c r="I89" s="11" t="n">
        <x:f>'Cycles &amp; Guide'!$D$10</x:f>
        <x:v>46112</x:v>
      </x:c>
      <x:c r="J89" s="11"/>
      <x:c r="K89" s="29"/>
      <x:c r="L89" s="2" t="str">
        <x:f>IF(O89=1,"Complete",IF(A89,"Checklist open",IF(H89&lt;&gt;"","In progress","Not started")))</x:f>
        <x:v>Not started</x:v>
      </x:c>
      <x:c r="M89" s="2" t="str">
        <x:v>Task</x:v>
      </x:c>
      <x:c r="N89" s="2" t="str">
        <x:v>RA.CS.2.2.2026.CY1</x:v>
      </x:c>
      <x:c r="O89" s="2" t="n">
        <x:f>R89</x:f>
        <x:v>0</x:v>
      </x:c>
      <x:c r="P89" s="2"/>
      <x:c r="Q89" s="2" t="n">
        <x:v>1</x:v>
      </x:c>
      <x:c r="R89" s="2" t="n">
        <x:f>IF(A89,1,0)</x:f>
        <x:v>0</x:v>
      </x:c>
      <x:c r="S89" s="2" t="n">
        <x:f>SUBTOTAL(103,N89)</x:f>
        <x:v>1</x:v>
      </x:c>
    </x:row>
    <x:row r="90" ht="42" customHeight="1">
      <x:c r="A90" s="28" t="b">
        <x:v>0</x:v>
      </x:c>
      <x:c r="B90" s="2" t="str">
        <x:v>Cycle 1</x:v>
      </x:c>
      <x:c r="C90" s="2" t="str">
        <x:v>Phase 2</x:v>
      </x:c>
      <x:c r="D90" s="2" t="str">
        <x:v>CSBBO - Customer Service</x:v>
      </x:c>
      <x:c r="E90" s="56" t="str">
        <x:v>RA.CS.2.3</x:v>
      </x:c>
      <x:c r="F90" s="14" t="str">
        <x:v>Meet with SMEs to gain business insight and clarify questions</x:v>
      </x:c>
      <x:c r="G90" s="5"/>
      <x:c r="H90" s="11"/>
      <x:c r="I90" s="11" t="n">
        <x:f>'Cycles &amp; Guide'!$D$10</x:f>
        <x:v>46112</x:v>
      </x:c>
      <x:c r="J90" s="11"/>
      <x:c r="K90" s="29"/>
      <x:c r="L90" s="2" t="str">
        <x:f>IF(O90=1,"Complete",IF(A90,"Checklist open",IF(H90&lt;&gt;"","In progress","Not started")))</x:f>
        <x:v>Not started</x:v>
      </x:c>
      <x:c r="M90" s="2" t="str">
        <x:v>Task</x:v>
      </x:c>
      <x:c r="N90" s="2" t="str">
        <x:v>RA.CS.2.3.2026.CY1</x:v>
      </x:c>
      <x:c r="O90" s="2" t="n">
        <x:f>R90</x:f>
        <x:v>0</x:v>
      </x:c>
      <x:c r="P90" s="2"/>
      <x:c r="Q90" s="2" t="n">
        <x:v>1</x:v>
      </x:c>
      <x:c r="R90" s="2" t="n">
        <x:f>IF(A90,1,0)</x:f>
        <x:v>0</x:v>
      </x:c>
      <x:c r="S90" s="2" t="n">
        <x:f>SUBTOTAL(103,N90)</x:f>
        <x:v>1</x:v>
      </x:c>
    </x:row>
    <x:row r="91" ht="42" customHeight="1">
      <x:c r="A91" s="28" t="b">
        <x:v>0</x:v>
      </x:c>
      <x:c r="B91" s="2" t="str">
        <x:v>Cycle 1</x:v>
      </x:c>
      <x:c r="C91" s="2" t="str">
        <x:v>Phase 2</x:v>
      </x:c>
      <x:c r="D91" s="2" t="str">
        <x:v>CSBBO - Customer Service</x:v>
      </x:c>
      <x:c r="E91" s="56" t="str">
        <x:v>RA.CS.2.4</x:v>
      </x:c>
      <x:c r="F91" s="14" t="str">
        <x:v>Establish and maintain a recurring meeting with D&amp;I to discuss Cycle progress</x:v>
      </x:c>
      <x:c r="G91" s="5"/>
      <x:c r="H91" s="11"/>
      <x:c r="I91" s="11" t="n">
        <x:f>'Cycles &amp; Guide'!$D$10</x:f>
        <x:v>46112</x:v>
      </x:c>
      <x:c r="J91" s="11"/>
      <x:c r="K91" s="29"/>
      <x:c r="L91" s="2" t="str">
        <x:f>IF(O91=1,"Complete",IF(A91,"Checklist open",IF(H91&lt;&gt;"","In progress","Not started")))</x:f>
        <x:v>Not started</x:v>
      </x:c>
      <x:c r="M91" s="2" t="str">
        <x:v>Task</x:v>
      </x:c>
      <x:c r="N91" s="2" t="str">
        <x:v>RA.CS.2.4.2026.CY1</x:v>
      </x:c>
      <x:c r="O91" s="2" t="n">
        <x:f>R91</x:f>
        <x:v>0</x:v>
      </x:c>
      <x:c r="P91" s="2"/>
      <x:c r="Q91" s="2" t="n">
        <x:v>1</x:v>
      </x:c>
      <x:c r="R91" s="2" t="n">
        <x:f>IF(A91,1,0)</x:f>
        <x:v>0</x:v>
      </x:c>
      <x:c r="S91" s="2" t="n">
        <x:f>SUBTOTAL(103,N91)</x:f>
        <x:v>1</x:v>
      </x:c>
    </x:row>
    <x:row r="92" ht="42" customHeight="1">
      <x:c r="A92" s="28" t="b">
        <x:v>0</x:v>
      </x:c>
      <x:c r="B92" s="2" t="str">
        <x:v>Cycle 1</x:v>
      </x:c>
      <x:c r="C92" s="2" t="str">
        <x:v>Phase 2</x:v>
      </x:c>
      <x:c r="D92" s="2" t="str">
        <x:v>CSBBO - Customer Service</x:v>
      </x:c>
      <x:c r="E92" s="56" t="str">
        <x:v>RA.CS.2.5</x:v>
      </x:c>
      <x:c r="F92" s="14" t="str">
        <x:v>Perform data testing and sampling</x:v>
      </x:c>
      <x:c r="G92" s="5"/>
      <x:c r="H92" s="11"/>
      <x:c r="I92" s="11" t="n">
        <x:f>'Cycles &amp; Guide'!$D$10</x:f>
        <x:v>46112</x:v>
      </x:c>
      <x:c r="J92" s="11"/>
      <x:c r="K92" s="29"/>
      <x:c r="L92" s="2" t="str">
        <x:f>IF(O92=1,"Complete",IF(A92,"Checklist open",IF(H92&lt;&gt;"","In progress","Not started")))</x:f>
        <x:v>Not started</x:v>
      </x:c>
      <x:c r="M92" s="2" t="str">
        <x:v>Task</x:v>
      </x:c>
      <x:c r="N92" s="2" t="str">
        <x:v>RA.CS.2.5.2026.CY1</x:v>
      </x:c>
      <x:c r="O92" s="2" t="n">
        <x:f>R92</x:f>
        <x:v>0</x:v>
      </x:c>
      <x:c r="P92" s="2"/>
      <x:c r="Q92" s="2" t="n">
        <x:v>1</x:v>
      </x:c>
      <x:c r="R92" s="2" t="n">
        <x:f>IF(A92,1,0)</x:f>
        <x:v>0</x:v>
      </x:c>
      <x:c r="S92" s="2" t="n">
        <x:f>SUBTOTAL(103,N92)</x:f>
        <x:v>1</x:v>
      </x:c>
    </x:row>
    <x:row r="93" ht="42" customHeight="1">
      <x:c r="A93" s="28" t="b">
        <x:v>0</x:v>
      </x:c>
      <x:c r="B93" s="2" t="str">
        <x:v>Cycle 1</x:v>
      </x:c>
      <x:c r="C93" s="2" t="str">
        <x:v>Phase 2</x:v>
      </x:c>
      <x:c r="D93" s="2" t="str">
        <x:v>CSBBO - Customer Service</x:v>
      </x:c>
      <x:c r="E93" s="56" t="str">
        <x:v>RA.CS.2.6</x:v>
      </x:c>
      <x:c r="F93" s="14" t="str">
        <x:v>Complete Positive Testing</x:v>
      </x:c>
      <x:c r="G93" s="5"/>
      <x:c r="H93" s="11"/>
      <x:c r="I93" s="11" t="n">
        <x:f>'Cycles &amp; Guide'!$D$10</x:f>
        <x:v>46112</x:v>
      </x:c>
      <x:c r="J93" s="11"/>
      <x:c r="K93" s="29"/>
      <x:c r="L93" s="2" t="str">
        <x:f>IF(O93=1,"Complete",IF(A93,"Checklist open",IF(H93&lt;&gt;"","In progress","Not started")))</x:f>
        <x:v>Not started</x:v>
      </x:c>
      <x:c r="M93" s="2" t="str">
        <x:v>Task</x:v>
      </x:c>
      <x:c r="N93" s="2" t="str">
        <x:v>RA.CS.2.6.2026.CY1</x:v>
      </x:c>
      <x:c r="O93" s="2" t="n">
        <x:f>R93</x:f>
        <x:v>0</x:v>
      </x:c>
      <x:c r="P93" s="2"/>
      <x:c r="Q93" s="2" t="n">
        <x:v>1</x:v>
      </x:c>
      <x:c r="R93" s="2" t="n">
        <x:f>IF(A93,1,0)</x:f>
        <x:v>0</x:v>
      </x:c>
      <x:c r="S93" s="2" t="n">
        <x:f>SUBTOTAL(103,N93)</x:f>
        <x:v>1</x:v>
      </x:c>
    </x:row>
    <x:row r="94" ht="42" customHeight="1">
      <x:c r="A94" s="28" t="b">
        <x:v>0</x:v>
      </x:c>
      <x:c r="B94" s="2" t="str">
        <x:v>Cycle 1</x:v>
      </x:c>
      <x:c r="C94" s="2" t="str">
        <x:v>Phase 2</x:v>
      </x:c>
      <x:c r="D94" s="2" t="str">
        <x:v>CSBBO - Customer Service</x:v>
      </x:c>
      <x:c r="E94" s="56" t="str">
        <x:v>RA.CS.2.7</x:v>
      </x:c>
      <x:c r="F94" s="14" t="str">
        <x:v>Complete Negative Testing</x:v>
      </x:c>
      <x:c r="G94" s="5"/>
      <x:c r="H94" s="11"/>
      <x:c r="I94" s="11" t="n">
        <x:f>'Cycles &amp; Guide'!$D$10</x:f>
        <x:v>46112</x:v>
      </x:c>
      <x:c r="J94" s="11"/>
      <x:c r="K94" s="29"/>
      <x:c r="L94" s="2" t="str">
        <x:f>IF(O94=1,"Complete",IF(A94,"Checklist open",IF(H94&lt;&gt;"","In progress","Not started")))</x:f>
        <x:v>Not started</x:v>
      </x:c>
      <x:c r="M94" s="2" t="str">
        <x:v>Task</x:v>
      </x:c>
      <x:c r="N94" s="2" t="str">
        <x:v>RA.CS.2.7.2026.CY1</x:v>
      </x:c>
      <x:c r="O94" s="2" t="n">
        <x:f>R94</x:f>
        <x:v>0</x:v>
      </x:c>
      <x:c r="P94" s="2"/>
      <x:c r="Q94" s="2" t="n">
        <x:v>1</x:v>
      </x:c>
      <x:c r="R94" s="2" t="n">
        <x:f>IF(A94,1,0)</x:f>
        <x:v>0</x:v>
      </x:c>
      <x:c r="S94" s="2" t="n">
        <x:f>SUBTOTAL(103,N94)</x:f>
        <x:v>1</x:v>
      </x:c>
    </x:row>
    <x:row r="95" ht="42" customHeight="1">
      <x:c r="A95" s="28" t="b">
        <x:v>0</x:v>
      </x:c>
      <x:c r="B95" s="2" t="str">
        <x:v>Cycle 1</x:v>
      </x:c>
      <x:c r="C95" s="2" t="str">
        <x:v>Phase 2</x:v>
      </x:c>
      <x:c r="D95" s="2" t="str">
        <x:v>CSBBO - Customer Service</x:v>
      </x:c>
      <x:c r="E95" s="56" t="str">
        <x:v>RA.CS.2.8</x:v>
      </x:c>
      <x:c r="F95" s="14" t="str">
        <x:v>Request additional data (as needed)</x:v>
      </x:c>
      <x:c r="G95" s="5"/>
      <x:c r="H95" s="11"/>
      <x:c r="I95" s="11" t="n">
        <x:f>'Cycles &amp; Guide'!$D$10</x:f>
        <x:v>46112</x:v>
      </x:c>
      <x:c r="J95" s="11"/>
      <x:c r="K95" s="29"/>
      <x:c r="L95" s="2" t="str">
        <x:f>IF(O95=1,"Complete",IF(A95,"Checklist open",IF(H95&lt;&gt;"","In progress","Not started")))</x:f>
        <x:v>Not started</x:v>
      </x:c>
      <x:c r="M95" s="2" t="str">
        <x:v>Task</x:v>
      </x:c>
      <x:c r="N95" s="2" t="str">
        <x:v>RA.CS.2.8.2026.CY1</x:v>
      </x:c>
      <x:c r="O95" s="2" t="n">
        <x:f>R95</x:f>
        <x:v>0</x:v>
      </x:c>
      <x:c r="P95" s="2"/>
      <x:c r="Q95" s="2" t="n">
        <x:v>1</x:v>
      </x:c>
      <x:c r="R95" s="2" t="n">
        <x:f>IF(A95,1,0)</x:f>
        <x:v>0</x:v>
      </x:c>
      <x:c r="S95" s="2" t="n">
        <x:f>SUBTOTAL(103,N95)</x:f>
        <x:v>1</x:v>
      </x:c>
    </x:row>
    <x:row r="96" ht="42" customHeight="1">
      <x:c r="A96" s="28" t="b">
        <x:v>0</x:v>
      </x:c>
      <x:c r="B96" s="2" t="str">
        <x:v>Cycle 1</x:v>
      </x:c>
      <x:c r="C96" s="2" t="str">
        <x:v>Phase 2</x:v>
      </x:c>
      <x:c r="D96" s="2" t="str">
        <x:v>CSBBO - Customer Service</x:v>
      </x:c>
      <x:c r="E96" s="56" t="str">
        <x:v>RA.CS.2.9</x:v>
      </x:c>
      <x:c r="F96" s="14" t="str">
        <x:v>Validate or disprove initial hypothesis assumptions</x:v>
      </x:c>
      <x:c r="G96" s="5"/>
      <x:c r="H96" s="11"/>
      <x:c r="I96" s="11" t="n">
        <x:f>'Cycles &amp; Guide'!$D$10</x:f>
        <x:v>46112</x:v>
      </x:c>
      <x:c r="J96" s="11"/>
      <x:c r="K96" s="29"/>
      <x:c r="L96" s="2" t="str">
        <x:f>IF(O96=1,"Complete",IF(A96,"Checklist open",IF(H96&lt;&gt;"","In progress","Not started")))</x:f>
        <x:v>Not started</x:v>
      </x:c>
      <x:c r="M96" s="2" t="str">
        <x:v>Task</x:v>
      </x:c>
      <x:c r="N96" s="2" t="str">
        <x:v>RA.CS.2.9.2026.CY1</x:v>
      </x:c>
      <x:c r="O96" s="2" t="n">
        <x:f>R96</x:f>
        <x:v>0</x:v>
      </x:c>
      <x:c r="P96" s="2"/>
      <x:c r="Q96" s="2" t="n">
        <x:v>1</x:v>
      </x:c>
      <x:c r="R96" s="2" t="n">
        <x:f>IF(A96,1,0)</x:f>
        <x:v>0</x:v>
      </x:c>
      <x:c r="S96" s="2" t="n">
        <x:f>SUBTOTAL(103,N96)</x:f>
        <x:v>1</x:v>
      </x:c>
    </x:row>
    <x:row r="97" ht="42" customHeight="1">
      <x:c r="A97" s="28" t="b">
        <x:v>0</x:v>
      </x:c>
      <x:c r="B97" s="2" t="str">
        <x:v>Cycle 1</x:v>
      </x:c>
      <x:c r="C97" s="2" t="str">
        <x:v>Phase 2</x:v>
      </x:c>
      <x:c r="D97" s="2" t="str">
        <x:v>CSBBO - Customer Service</x:v>
      </x:c>
      <x:c r="E97" s="56" t="str">
        <x:v>RA.CS.2.10</x:v>
      </x:c>
      <x:c r="F97" s="14" t="str">
        <x:v>Identify and confirm root cause</x:v>
      </x:c>
      <x:c r="G97" s="5"/>
      <x:c r="H97" s="11"/>
      <x:c r="I97" s="11" t="n">
        <x:f>'Cycles &amp; Guide'!$D$10</x:f>
        <x:v>46112</x:v>
      </x:c>
      <x:c r="J97" s="11"/>
      <x:c r="K97" s="29"/>
      <x:c r="L97" s="2" t="str">
        <x:f>IF(O97=1,"Complete",IF(A97,"Checklist open",IF(H97&lt;&gt;"","In progress","Not started")))</x:f>
        <x:v>Not started</x:v>
      </x:c>
      <x:c r="M97" s="2" t="str">
        <x:v>Task</x:v>
      </x:c>
      <x:c r="N97" s="2" t="str">
        <x:v>RA.CS.2.10.2026.CY1</x:v>
      </x:c>
      <x:c r="O97" s="2" t="n">
        <x:f>R97</x:f>
        <x:v>0</x:v>
      </x:c>
      <x:c r="P97" s="2"/>
      <x:c r="Q97" s="2" t="n">
        <x:v>1</x:v>
      </x:c>
      <x:c r="R97" s="2" t="n">
        <x:f>IF(A97,1,0)</x:f>
        <x:v>0</x:v>
      </x:c>
      <x:c r="S97" s="2" t="n">
        <x:f>SUBTOTAL(103,N97)</x:f>
        <x:v>1</x:v>
      </x:c>
    </x:row>
    <x:row r="98" ht="42" customHeight="1">
      <x:c r="A98" s="28" t="b">
        <x:v>0</x:v>
      </x:c>
      <x:c r="B98" s="2" t="str">
        <x:v>Cycle 1</x:v>
      </x:c>
      <x:c r="C98" s="2" t="str">
        <x:v>Phase 3</x:v>
      </x:c>
      <x:c r="D98" s="2" t="str">
        <x:v>CSBBO - Customer Service</x:v>
      </x:c>
      <x:c r="E98" s="56" t="str">
        <x:v>RA.CS.3.1</x:v>
      </x:c>
      <x:c r="F98" s="14" t="str">
        <x:v>Finalize results and supporting documentation</x:v>
      </x:c>
      <x:c r="G98" s="5"/>
      <x:c r="H98" s="11"/>
      <x:c r="I98" s="11" t="n">
        <x:f>'Cycles &amp; Guide'!$D$10</x:f>
        <x:v>46112</x:v>
      </x:c>
      <x:c r="J98" s="11"/>
      <x:c r="K98" s="29"/>
      <x:c r="L98" s="2" t="str">
        <x:f>IF(O98=1,"Complete",IF(A98,"Checklist open",IF(H98&lt;&gt;"","In progress","Not started")))</x:f>
        <x:v>Not started</x:v>
      </x:c>
      <x:c r="M98" s="2" t="str">
        <x:v>Task</x:v>
      </x:c>
      <x:c r="N98" s="2" t="str">
        <x:v>RA.CS.3.1.2026.CY1</x:v>
      </x:c>
      <x:c r="O98" s="2" t="n">
        <x:f>R98</x:f>
        <x:v>0</x:v>
      </x:c>
      <x:c r="P98" s="2"/>
      <x:c r="Q98" s="2" t="n">
        <x:v>1</x:v>
      </x:c>
      <x:c r="R98" s="2" t="n">
        <x:f>IF(A98,1,0)</x:f>
        <x:v>0</x:v>
      </x:c>
      <x:c r="S98" s="2" t="n">
        <x:f>SUBTOTAL(103,N98)</x:f>
        <x:v>1</x:v>
      </x:c>
    </x:row>
    <x:row r="99" ht="42" customHeight="1">
      <x:c r="A99" s="28" t="b">
        <x:v>0</x:v>
      </x:c>
      <x:c r="B99" s="2" t="str">
        <x:v>Cycle 1</x:v>
      </x:c>
      <x:c r="C99" s="2" t="str">
        <x:v>Phase 3</x:v>
      </x:c>
      <x:c r="D99" s="2" t="str">
        <x:v>CSBBO - Customer Service</x:v>
      </x:c>
      <x:c r="E99" s="56" t="str">
        <x:v>RA.CS.3.2</x:v>
      </x:c>
      <x:c r="F99" s="14" t="str">
        <x:v>Maintain and update the evidence package prior to handoff to D&amp;I</x:v>
      </x:c>
      <x:c r="G99" s="5"/>
      <x:c r="H99" s="11"/>
      <x:c r="I99" s="11" t="n">
        <x:f>'Cycles &amp; Guide'!$D$10</x:f>
        <x:v>46112</x:v>
      </x:c>
      <x:c r="J99" s="11"/>
      <x:c r="K99" s="29"/>
      <x:c r="L99" s="2" t="str">
        <x:f>IF(O99=1,"Complete",IF(A99,"Checklist open",IF(H99&lt;&gt;"","In progress","Not started")))</x:f>
        <x:v>Not started</x:v>
      </x:c>
      <x:c r="M99" s="2" t="str">
        <x:v>Task</x:v>
      </x:c>
      <x:c r="N99" s="2" t="str">
        <x:v>RA.CS.3.2.2026.CY1</x:v>
      </x:c>
      <x:c r="O99" s="2" t="n">
        <x:f>R99</x:f>
        <x:v>0</x:v>
      </x:c>
      <x:c r="P99" s="2"/>
      <x:c r="Q99" s="2" t="n">
        <x:v>1</x:v>
      </x:c>
      <x:c r="R99" s="2" t="n">
        <x:f>IF(A99,1,0)</x:f>
        <x:v>0</x:v>
      </x:c>
      <x:c r="S99" s="2" t="n">
        <x:f>SUBTOTAL(103,N99)</x:f>
        <x:v>1</x:v>
      </x:c>
    </x:row>
    <x:row r="100" ht="42" customHeight="1">
      <x:c r="A100" s="28" t="b">
        <x:v>0</x:v>
      </x:c>
      <x:c r="B100" s="2" t="str">
        <x:v>Cycle 1</x:v>
      </x:c>
      <x:c r="C100" s="2" t="str">
        <x:v>Phase 3</x:v>
      </x:c>
      <x:c r="D100" s="2" t="str">
        <x:v>CSBBO - Customer Service</x:v>
      </x:c>
      <x:c r="E100" s="56" t="str">
        <x:v>RA.CS.3.3</x:v>
      </x:c>
      <x:c r="F100" s="14" t="str">
        <x:v>Address any outstanding questions or requests from D&amp;I</x:v>
      </x:c>
      <x:c r="G100" s="5"/>
      <x:c r="H100" s="11"/>
      <x:c r="I100" s="11" t="n">
        <x:f>'Cycles &amp; Guide'!$D$10</x:f>
        <x:v>46112</x:v>
      </x:c>
      <x:c r="J100" s="11"/>
      <x:c r="K100" s="29"/>
      <x:c r="L100" s="2" t="str">
        <x:f>IF(O100=1,"Complete",IF(A100,"Checklist open",IF(H100&lt;&gt;"","In progress","Not started")))</x:f>
        <x:v>Not started</x:v>
      </x:c>
      <x:c r="M100" s="2" t="str">
        <x:v>Task</x:v>
      </x:c>
      <x:c r="N100" s="2" t="str">
        <x:v>RA.CS.3.3.2026.CY1</x:v>
      </x:c>
      <x:c r="O100" s="2" t="n">
        <x:f>R100</x:f>
        <x:v>0</x:v>
      </x:c>
      <x:c r="P100" s="2"/>
      <x:c r="Q100" s="2" t="n">
        <x:v>1</x:v>
      </x:c>
      <x:c r="R100" s="2" t="n">
        <x:f>IF(A100,1,0)</x:f>
        <x:v>0</x:v>
      </x:c>
      <x:c r="S100" s="2" t="n">
        <x:f>SUBTOTAL(103,N100)</x:f>
        <x:v>1</x:v>
      </x:c>
    </x:row>
    <x:row r="101" ht="42" customHeight="1">
      <x:c r="A101" s="28" t="b">
        <x:v>0</x:v>
      </x:c>
      <x:c r="B101" s="2" t="str">
        <x:v>Cycle 1</x:v>
      </x:c>
      <x:c r="C101" s="2" t="str">
        <x:v>Phase 3</x:v>
      </x:c>
      <x:c r="D101" s="2" t="str">
        <x:v>CSBBO - Customer Service</x:v>
      </x:c>
      <x:c r="E101" s="56" t="str">
        <x:v>RA.CS.3.4</x:v>
      </x:c>
      <x:c r="F101" s="14" t="str">
        <x:v>Attend Forum meeting with D&amp;I to assist with answering stakeholder questions (as needed)</x:v>
      </x:c>
      <x:c r="G101" s="5"/>
      <x:c r="H101" s="11"/>
      <x:c r="I101" s="11" t="str">
        <x:f>IF(SUMIFS('Cycles &amp; Guide'!$D$23:$D$50,'Cycles &amp; Guide'!$B$23:$B$50,B101,'Cycles &amp; Guide'!$C$23:$C$50,D101)=0,"",SUMIFS('Cycles &amp; Guide'!$D$23:$D$50,'Cycles &amp; Guide'!$B$23:$B$50,B101,'Cycles &amp; Guide'!$C$23:$C$50,D101))</x:f>
      </x:c>
      <x:c r="J101" s="11"/>
      <x:c r="K101" s="29"/>
      <x:c r="L101" s="2" t="str">
        <x:f>IF(O101=1,"Complete",IF(A101,"Checklist open",IF(H101&lt;&gt;"","In progress","Not started")))</x:f>
        <x:v>Not started</x:v>
      </x:c>
      <x:c r="M101" s="2" t="str">
        <x:v>Task</x:v>
      </x:c>
      <x:c r="N101" s="2" t="str">
        <x:v>RA.CS.3.4.2026.CY1</x:v>
      </x:c>
      <x:c r="O101" s="2" t="n">
        <x:f>R101</x:f>
        <x:v>0</x:v>
      </x:c>
      <x:c r="P101" s="2"/>
      <x:c r="Q101" s="2" t="n">
        <x:v>1</x:v>
      </x:c>
      <x:c r="R101" s="2" t="n">
        <x:f>IF(A101,1,0)</x:f>
        <x:v>0</x:v>
      </x:c>
      <x:c r="S101" s="2" t="n">
        <x:f>SUBTOTAL(103,N101)</x:f>
        <x:v>1</x:v>
      </x:c>
    </x:row>
    <x:row r="102" ht="42" customHeight="1">
      <x:c r="A102" s="28" t="b">
        <x:v>0</x:v>
      </x:c>
      <x:c r="B102" s="2" t="str">
        <x:v>Cycle 1</x:v>
      </x:c>
      <x:c r="C102" s="2" t="str">
        <x:v>Phase 1</x:v>
      </x:c>
      <x:c r="D102" s="2" t="str">
        <x:v>FCM</x:v>
      </x:c>
      <x:c r="E102" s="56" t="str">
        <x:v>RA.FC.1.1</x:v>
      </x:c>
      <x:c r="F102" s="14" t="str">
        <x:v>Begin Research process 2 weeks prior to Cycle start</x:v>
      </x:c>
      <x:c r="G102" s="5"/>
      <x:c r="H102" s="11"/>
      <x:c r="I102" s="11" t="n">
        <x:f>'Cycles &amp; Guide'!$C$10-14</x:f>
        <x:v>46009</x:v>
      </x:c>
      <x:c r="J102" s="11"/>
      <x:c r="K102" s="29"/>
      <x:c r="L102" s="2" t="str">
        <x:f>IF(O102=1,"Complete",IF(A102,"Checklist open",IF(H102&lt;&gt;"","In progress","Not started")))</x:f>
        <x:v>Not started</x:v>
      </x:c>
      <x:c r="M102" s="2" t="str">
        <x:v>Task</x:v>
      </x:c>
      <x:c r="N102" s="2" t="str">
        <x:v>RA.FC.1.1.2026.CY1</x:v>
      </x:c>
      <x:c r="O102" s="2" t="n">
        <x:f>R102</x:f>
        <x:v>0</x:v>
      </x:c>
      <x:c r="P102" s="2"/>
      <x:c r="Q102" s="2" t="n">
        <x:v>1</x:v>
      </x:c>
      <x:c r="R102" s="2" t="n">
        <x:f>IF(A102,1,0)</x:f>
        <x:v>0</x:v>
      </x:c>
      <x:c r="S102" s="2" t="n">
        <x:f>SUBTOTAL(103,N102)</x:f>
        <x:v>1</x:v>
      </x:c>
    </x:row>
    <x:row r="103" ht="42" customHeight="1">
      <x:c r="A103" s="28" t="b">
        <x:v>0</x:v>
      </x:c>
      <x:c r="B103" s="2" t="str">
        <x:v>Cycle 1</x:v>
      </x:c>
      <x:c r="C103" s="2" t="str">
        <x:v>Phase 1</x:v>
      </x:c>
      <x:c r="D103" s="2" t="str">
        <x:v>FCM</x:v>
      </x:c>
      <x:c r="E103" s="56" t="str">
        <x:v>RA.FC.1.2</x:v>
      </x:c>
      <x:c r="F103" s="14" t="str">
        <x:v>Conduct initial assessment of each topic recommendation from SharePoint list</x:v>
      </x:c>
      <x:c r="G103" s="5"/>
      <x:c r="H103" s="11"/>
      <x:c r="I103" s="11" t="n">
        <x:f>'Cycles &amp; Guide'!$D$10</x:f>
        <x:v>46112</x:v>
      </x:c>
      <x:c r="J103" s="11"/>
      <x:c r="K103" s="29"/>
      <x:c r="L103" s="2" t="str">
        <x:f>IF(O103=1,"Complete",IF(A103,"Checklist open",IF(H103&lt;&gt;"","In progress","Not started")))</x:f>
        <x:v>Not started</x:v>
      </x:c>
      <x:c r="M103" s="2" t="str">
        <x:v>Task</x:v>
      </x:c>
      <x:c r="N103" s="2" t="str">
        <x:v>RA.FC.1.2.2026.CY1</x:v>
      </x:c>
      <x:c r="O103" s="2" t="n">
        <x:f>R103</x:f>
        <x:v>0</x:v>
      </x:c>
      <x:c r="P103" s="2"/>
      <x:c r="Q103" s="2" t="n">
        <x:v>1</x:v>
      </x:c>
      <x:c r="R103" s="2" t="n">
        <x:f>IF(A103,1,0)</x:f>
        <x:v>0</x:v>
      </x:c>
      <x:c r="S103" s="2" t="n">
        <x:f>SUBTOTAL(103,N103)</x:f>
        <x:v>1</x:v>
      </x:c>
    </x:row>
    <x:row r="104" ht="42" customHeight="1">
      <x:c r="A104" s="28" t="b">
        <x:v>0</x:v>
      </x:c>
      <x:c r="B104" s="2" t="str">
        <x:v>Cycle 1</x:v>
      </x:c>
      <x:c r="C104" s="2" t="str">
        <x:v>Phase 1</x:v>
      </x:c>
      <x:c r="D104" s="2" t="str">
        <x:v>FCM</x:v>
      </x:c>
      <x:c r="E104" s="56" t="str">
        <x:v>RA.FC.1.3</x:v>
      </x:c>
      <x:c r="F104" s="14" t="str">
        <x:v>Identify best topic for Cycle</x:v>
      </x:c>
      <x:c r="G104" s="5"/>
      <x:c r="H104" s="11"/>
      <x:c r="I104" s="11" t="n">
        <x:f>'Cycles &amp; Guide'!$D$10</x:f>
        <x:v>46112</x:v>
      </x:c>
      <x:c r="J104" s="11"/>
      <x:c r="K104" s="29"/>
      <x:c r="L104" s="2" t="str">
        <x:f>IF(O104=1,"Complete",IF(A104,"Checklist open",IF(H104&lt;&gt;"","In progress","Not started")))</x:f>
        <x:v>Not started</x:v>
      </x:c>
      <x:c r="M104" s="2" t="str">
        <x:v>Task</x:v>
      </x:c>
      <x:c r="N104" s="2" t="str">
        <x:v>RA.FC.1.3.2026.CY1</x:v>
      </x:c>
      <x:c r="O104" s="2" t="n">
        <x:f>R104</x:f>
        <x:v>0</x:v>
      </x:c>
      <x:c r="P104" s="2"/>
      <x:c r="Q104" s="2" t="n">
        <x:v>1</x:v>
      </x:c>
      <x:c r="R104" s="2" t="n">
        <x:f>IF(A104,1,0)</x:f>
        <x:v>0</x:v>
      </x:c>
      <x:c r="S104" s="2" t="n">
        <x:f>SUBTOTAL(103,N104)</x:f>
        <x:v>1</x:v>
      </x:c>
    </x:row>
    <x:row r="105" ht="42" customHeight="1">
      <x:c r="A105" s="28" t="b">
        <x:v>0</x:v>
      </x:c>
      <x:c r="B105" s="2" t="str">
        <x:v>Cycle 1</x:v>
      </x:c>
      <x:c r="C105" s="2" t="str">
        <x:v>Phase 1</x:v>
      </x:c>
      <x:c r="D105" s="2" t="str">
        <x:v>FCM</x:v>
      </x:c>
      <x:c r="E105" s="56" t="str">
        <x:v>RA.FC.1.4</x:v>
      </x:c>
      <x:c r="F105" s="14" t="str">
        <x:v>Identify backup topic for Cycle</x:v>
      </x:c>
      <x:c r="G105" s="5"/>
      <x:c r="H105" s="11"/>
      <x:c r="I105" s="11" t="n">
        <x:f>'Cycles &amp; Guide'!$D$10</x:f>
        <x:v>46112</x:v>
      </x:c>
      <x:c r="J105" s="11"/>
      <x:c r="K105" s="29"/>
      <x:c r="L105" s="2" t="str">
        <x:f>IF(O105=1,"Complete",IF(A105,"Checklist open",IF(H105&lt;&gt;"","In progress","Not started")))</x:f>
        <x:v>Not started</x:v>
      </x:c>
      <x:c r="M105" s="2" t="str">
        <x:v>Task</x:v>
      </x:c>
      <x:c r="N105" s="2" t="str">
        <x:v>RA.FC.1.4.2026.CY1</x:v>
      </x:c>
      <x:c r="O105" s="2" t="n">
        <x:f>R105</x:f>
        <x:v>0</x:v>
      </x:c>
      <x:c r="P105" s="2"/>
      <x:c r="Q105" s="2" t="n">
        <x:v>1</x:v>
      </x:c>
      <x:c r="R105" s="2" t="n">
        <x:f>IF(A105,1,0)</x:f>
        <x:v>0</x:v>
      </x:c>
      <x:c r="S105" s="2" t="n">
        <x:f>SUBTOTAL(103,N105)</x:f>
        <x:v>1</x:v>
      </x:c>
    </x:row>
    <x:row r="106" ht="42" customHeight="1">
      <x:c r="A106" s="28" t="b">
        <x:v>0</x:v>
      </x:c>
      <x:c r="B106" s="2" t="str">
        <x:v>Cycle 1</x:v>
      </x:c>
      <x:c r="C106" s="2" t="str">
        <x:v>Phase 1</x:v>
      </x:c>
      <x:c r="D106" s="2" t="str">
        <x:v>FCM</x:v>
      </x:c>
      <x:c r="E106" s="56" t="str">
        <x:v>RA.FC.1.5</x:v>
      </x:c>
      <x:c r="F106" s="14" t="str">
        <x:v>Schedule topic approval meeting with D&amp;I and management</x:v>
      </x:c>
      <x:c r="G106" s="5"/>
      <x:c r="H106" s="11"/>
      <x:c r="I106" s="11" t="n">
        <x:f>'Cycles &amp; Guide'!$D$10</x:f>
        <x:v>46112</x:v>
      </x:c>
      <x:c r="J106" s="11"/>
      <x:c r="K106" s="29"/>
      <x:c r="L106" s="2" t="str">
        <x:f>IF(O106=1,"Complete",IF(A106,"Checklist open",IF(H106&lt;&gt;"","In progress","Not started")))</x:f>
        <x:v>Not started</x:v>
      </x:c>
      <x:c r="M106" s="2" t="str">
        <x:v>Task</x:v>
      </x:c>
      <x:c r="N106" s="2" t="str">
        <x:v>RA.FC.1.5.2026.CY1</x:v>
      </x:c>
      <x:c r="O106" s="2" t="n">
        <x:f>R106</x:f>
        <x:v>0</x:v>
      </x:c>
      <x:c r="P106" s="2"/>
      <x:c r="Q106" s="2" t="n">
        <x:v>1</x:v>
      </x:c>
      <x:c r="R106" s="2" t="n">
        <x:f>IF(A106,1,0)</x:f>
        <x:v>0</x:v>
      </x:c>
      <x:c r="S106" s="2" t="n">
        <x:f>SUBTOTAL(103,N106)</x:f>
        <x:v>1</x:v>
      </x:c>
    </x:row>
    <x:row r="107" ht="42" customHeight="1">
      <x:c r="A107" s="28" t="b">
        <x:v>0</x:v>
      </x:c>
      <x:c r="B107" s="2" t="str">
        <x:v>Cycle 1</x:v>
      </x:c>
      <x:c r="C107" s="2" t="str">
        <x:v>Phase 1</x:v>
      </x:c>
      <x:c r="D107" s="2" t="str">
        <x:v>FCM</x:v>
      </x:c>
      <x:c r="E107" s="56" t="str">
        <x:v>RA.FC.1.6</x:v>
      </x:c>
      <x:c r="F107" s="14" t="str">
        <x:v>Present recommended topic to D&amp;I and management for approval</x:v>
      </x:c>
      <x:c r="G107" s="5"/>
      <x:c r="H107" s="11"/>
      <x:c r="I107" s="11" t="n">
        <x:f>'Cycles &amp; Guide'!$D$10</x:f>
        <x:v>46112</x:v>
      </x:c>
      <x:c r="J107" s="11"/>
      <x:c r="K107" s="29"/>
      <x:c r="L107" s="2" t="str">
        <x:f>IF(O107=1,"Complete",IF(A107,"Checklist open",IF(H107&lt;&gt;"","In progress","Not started")))</x:f>
        <x:v>Not started</x:v>
      </x:c>
      <x:c r="M107" s="2" t="str">
        <x:v>Task</x:v>
      </x:c>
      <x:c r="N107" s="2" t="str">
        <x:v>RA.FC.1.6.2026.CY1</x:v>
      </x:c>
      <x:c r="O107" s="2" t="n">
        <x:f>R107</x:f>
        <x:v>0</x:v>
      </x:c>
      <x:c r="P107" s="2"/>
      <x:c r="Q107" s="2" t="n">
        <x:v>1</x:v>
      </x:c>
      <x:c r="R107" s="2" t="n">
        <x:f>IF(A107,1,0)</x:f>
        <x:v>0</x:v>
      </x:c>
      <x:c r="S107" s="2" t="n">
        <x:f>SUBTOTAL(103,N107)</x:f>
        <x:v>1</x:v>
      </x:c>
    </x:row>
    <x:row r="108" ht="42" customHeight="1">
      <x:c r="A108" s="28" t="b">
        <x:v>0</x:v>
      </x:c>
      <x:c r="B108" s="2" t="str">
        <x:v>Cycle 1</x:v>
      </x:c>
      <x:c r="C108" s="2" t="str">
        <x:v>Phase 1</x:v>
      </x:c>
      <x:c r="D108" s="2" t="str">
        <x:v>FCM</x:v>
      </x:c>
      <x:c r="E108" s="56" t="str">
        <x:v>RA.FC.1.7</x:v>
      </x:c>
      <x:c r="F108" s="14" t="str">
        <x:v>Obtain formal topic selection approval from management via SharePoint</x:v>
      </x:c>
      <x:c r="G108" s="5"/>
      <x:c r="H108" s="11"/>
      <x:c r="I108" s="11" t="n">
        <x:f>'Cycles &amp; Guide'!$D$10</x:f>
        <x:v>46112</x:v>
      </x:c>
      <x:c r="J108" s="11"/>
      <x:c r="K108" s="29"/>
      <x:c r="L108" s="2" t="str">
        <x:f>IF(O108=1,"Complete",IF(A108,"Checklist open",IF(H108&lt;&gt;"","In progress","Not started")))</x:f>
        <x:v>Not started</x:v>
      </x:c>
      <x:c r="M108" s="2" t="str">
        <x:v>Task</x:v>
      </x:c>
      <x:c r="N108" s="2" t="str">
        <x:v>RA.FC.1.7.2026.CY1</x:v>
      </x:c>
      <x:c r="O108" s="2" t="n">
        <x:f>R108</x:f>
        <x:v>0</x:v>
      </x:c>
      <x:c r="P108" s="2"/>
      <x:c r="Q108" s="2" t="n">
        <x:v>1</x:v>
      </x:c>
      <x:c r="R108" s="2" t="n">
        <x:f>IF(A108,1,0)</x:f>
        <x:v>0</x:v>
      </x:c>
      <x:c r="S108" s="2" t="n">
        <x:f>SUBTOTAL(103,N108)</x:f>
        <x:v>1</x:v>
      </x:c>
    </x:row>
    <x:row r="109" ht="42" customHeight="1">
      <x:c r="A109" s="28" t="b">
        <x:v>0</x:v>
      </x:c>
      <x:c r="B109" s="2" t="str">
        <x:v>Cycle 1</x:v>
      </x:c>
      <x:c r="C109" s="2" t="str">
        <x:v>Phase 1</x:v>
      </x:c>
      <x:c r="D109" s="2" t="str">
        <x:v>FCM</x:v>
      </x:c>
      <x:c r="E109" s="56" t="str">
        <x:v>RA.FC.1.8</x:v>
      </x:c>
      <x:c r="F109" s="14" t="str">
        <x:v>Socialize topic selection with product owners and subject matter experts (if known)</x:v>
      </x:c>
      <x:c r="G109" s="5"/>
      <x:c r="H109" s="11"/>
      <x:c r="I109" s="11" t="n">
        <x:f>'Cycles &amp; Guide'!$D$10</x:f>
        <x:v>46112</x:v>
      </x:c>
      <x:c r="J109" s="11"/>
      <x:c r="K109" s="29"/>
      <x:c r="L109" s="2" t="str">
        <x:f>IF(O109=1,"Complete",IF(A109,"Checklist open",IF(H109&lt;&gt;"","In progress","Not started")))</x:f>
        <x:v>Not started</x:v>
      </x:c>
      <x:c r="M109" s="2" t="str">
        <x:v>Task</x:v>
      </x:c>
      <x:c r="N109" s="2" t="str">
        <x:v>RA.FC.1.8.2026.CY1</x:v>
      </x:c>
      <x:c r="O109" s="2" t="n">
        <x:f>R109</x:f>
        <x:v>0</x:v>
      </x:c>
      <x:c r="P109" s="2"/>
      <x:c r="Q109" s="2" t="n">
        <x:v>1</x:v>
      </x:c>
      <x:c r="R109" s="2" t="n">
        <x:f>IF(A109,1,0)</x:f>
        <x:v>0</x:v>
      </x:c>
      <x:c r="S109" s="2" t="n">
        <x:f>SUBTOTAL(103,N109)</x:f>
        <x:v>1</x:v>
      </x:c>
    </x:row>
    <x:row r="110" ht="42" customHeight="1">
      <x:c r="A110" s="28" t="b">
        <x:v>0</x:v>
      </x:c>
      <x:c r="B110" s="2" t="str">
        <x:v>Cycle 1</x:v>
      </x:c>
      <x:c r="C110" s="2" t="str">
        <x:v>Phase 1</x:v>
      </x:c>
      <x:c r="D110" s="2" t="str">
        <x:v>FCM</x:v>
      </x:c>
      <x:c r="E110" s="56" t="str">
        <x:v>RA.FC.1.9</x:v>
      </x:c>
      <x:c r="F110" s="14" t="str">
        <x:v>Assign topic researchers</x:v>
      </x:c>
      <x:c r="G110" s="5"/>
      <x:c r="H110" s="11"/>
      <x:c r="I110" s="11" t="n">
        <x:f>'Cycles &amp; Guide'!$D$10</x:f>
        <x:v>46112</x:v>
      </x:c>
      <x:c r="J110" s="11"/>
      <x:c r="K110" s="29"/>
      <x:c r="L110" s="2" t="str">
        <x:f>IF(O110=1,"Complete",IF(A110,"Checklist open",IF(H110&lt;&gt;"","In progress","Not started")))</x:f>
        <x:v>Not started</x:v>
      </x:c>
      <x:c r="M110" s="2" t="str">
        <x:v>Task</x:v>
      </x:c>
      <x:c r="N110" s="2" t="str">
        <x:v>RA.FC.1.9.2026.CY1</x:v>
      </x:c>
      <x:c r="O110" s="2" t="n">
        <x:f>R110</x:f>
        <x:v>0</x:v>
      </x:c>
      <x:c r="P110" s="2"/>
      <x:c r="Q110" s="2" t="n">
        <x:v>1</x:v>
      </x:c>
      <x:c r="R110" s="2" t="n">
        <x:f>IF(A110,1,0)</x:f>
        <x:v>0</x:v>
      </x:c>
      <x:c r="S110" s="2" t="n">
        <x:f>SUBTOTAL(103,N110)</x:f>
        <x:v>1</x:v>
      </x:c>
    </x:row>
    <x:row r="111" ht="42" customHeight="1">
      <x:c r="A111" s="28" t="b">
        <x:v>0</x:v>
      </x:c>
      <x:c r="B111" s="2" t="str">
        <x:v>Cycle 1</x:v>
      </x:c>
      <x:c r="C111" s="2" t="str">
        <x:v>Phase 2</x:v>
      </x:c>
      <x:c r="D111" s="2" t="str">
        <x:v>FCM</x:v>
      </x:c>
      <x:c r="E111" s="56" t="str">
        <x:v>RA.FC.2.1</x:v>
      </x:c>
      <x:c r="F111" s="14" t="str">
        <x:v>Review data sources</x:v>
      </x:c>
      <x:c r="G111" s="5"/>
      <x:c r="H111" s="11"/>
      <x:c r="I111" s="11" t="n">
        <x:f>'Cycles &amp; Guide'!$D$10</x:f>
        <x:v>46112</x:v>
      </x:c>
      <x:c r="J111" s="11"/>
      <x:c r="K111" s="29"/>
      <x:c r="L111" s="2" t="str">
        <x:f>IF(O111=1,"Complete",IF(A111,"Checklist open",IF(H111&lt;&gt;"","In progress","Not started")))</x:f>
        <x:v>Not started</x:v>
      </x:c>
      <x:c r="M111" s="2" t="str">
        <x:v>Task</x:v>
      </x:c>
      <x:c r="N111" s="2" t="str">
        <x:v>RA.FC.2.1.2026.CY1</x:v>
      </x:c>
      <x:c r="O111" s="2" t="n">
        <x:f>R111</x:f>
        <x:v>0</x:v>
      </x:c>
      <x:c r="P111" s="2"/>
      <x:c r="Q111" s="2" t="n">
        <x:v>1</x:v>
      </x:c>
      <x:c r="R111" s="2" t="n">
        <x:f>IF(A111,1,0)</x:f>
        <x:v>0</x:v>
      </x:c>
      <x:c r="S111" s="2" t="n">
        <x:f>SUBTOTAL(103,N111)</x:f>
        <x:v>1</x:v>
      </x:c>
    </x:row>
    <x:row r="112" ht="42" customHeight="1">
      <x:c r="A112" s="28" t="b">
        <x:v>0</x:v>
      </x:c>
      <x:c r="B112" s="2" t="str">
        <x:v>Cycle 1</x:v>
      </x:c>
      <x:c r="C112" s="2" t="str">
        <x:v>Phase 2</x:v>
      </x:c>
      <x:c r="D112" s="2" t="str">
        <x:v>FCM</x:v>
      </x:c>
      <x:c r="E112" s="56" t="str">
        <x:v>RA.FC.2.2</x:v>
      </x:c>
      <x:c r="F112" s="14" t="str">
        <x:v>Review relevant policies and procedures</x:v>
      </x:c>
      <x:c r="G112" s="5"/>
      <x:c r="H112" s="11"/>
      <x:c r="I112" s="11" t="n">
        <x:f>'Cycles &amp; Guide'!$D$10</x:f>
        <x:v>46112</x:v>
      </x:c>
      <x:c r="J112" s="11"/>
      <x:c r="K112" s="29"/>
      <x:c r="L112" s="2" t="str">
        <x:f>IF(O112=1,"Complete",IF(A112,"Checklist open",IF(H112&lt;&gt;"","In progress","Not started")))</x:f>
        <x:v>Not started</x:v>
      </x:c>
      <x:c r="M112" s="2" t="str">
        <x:v>Task</x:v>
      </x:c>
      <x:c r="N112" s="2" t="str">
        <x:v>RA.FC.2.2.2026.CY1</x:v>
      </x:c>
      <x:c r="O112" s="2" t="n">
        <x:f>R112</x:f>
        <x:v>0</x:v>
      </x:c>
      <x:c r="P112" s="2"/>
      <x:c r="Q112" s="2" t="n">
        <x:v>1</x:v>
      </x:c>
      <x:c r="R112" s="2" t="n">
        <x:f>IF(A112,1,0)</x:f>
        <x:v>0</x:v>
      </x:c>
      <x:c r="S112" s="2" t="n">
        <x:f>SUBTOTAL(103,N112)</x:f>
        <x:v>1</x:v>
      </x:c>
    </x:row>
    <x:row r="113" ht="42" customHeight="1">
      <x:c r="A113" s="28" t="b">
        <x:v>0</x:v>
      </x:c>
      <x:c r="B113" s="2" t="str">
        <x:v>Cycle 1</x:v>
      </x:c>
      <x:c r="C113" s="2" t="str">
        <x:v>Phase 2</x:v>
      </x:c>
      <x:c r="D113" s="2" t="str">
        <x:v>FCM</x:v>
      </x:c>
      <x:c r="E113" s="56" t="str">
        <x:v>RA.FC.2.3</x:v>
      </x:c>
      <x:c r="F113" s="14" t="str">
        <x:v>Meet with SMEs to gain business insight and clarify questions</x:v>
      </x:c>
      <x:c r="G113" s="5"/>
      <x:c r="H113" s="11"/>
      <x:c r="I113" s="11" t="n">
        <x:f>'Cycles &amp; Guide'!$D$10</x:f>
        <x:v>46112</x:v>
      </x:c>
      <x:c r="J113" s="11"/>
      <x:c r="K113" s="29"/>
      <x:c r="L113" s="2" t="str">
        <x:f>IF(O113=1,"Complete",IF(A113,"Checklist open",IF(H113&lt;&gt;"","In progress","Not started")))</x:f>
        <x:v>Not started</x:v>
      </x:c>
      <x:c r="M113" s="2" t="str">
        <x:v>Task</x:v>
      </x:c>
      <x:c r="N113" s="2" t="str">
        <x:v>RA.FC.2.3.2026.CY1</x:v>
      </x:c>
      <x:c r="O113" s="2" t="n">
        <x:f>R113</x:f>
        <x:v>0</x:v>
      </x:c>
      <x:c r="P113" s="2"/>
      <x:c r="Q113" s="2" t="n">
        <x:v>1</x:v>
      </x:c>
      <x:c r="R113" s="2" t="n">
        <x:f>IF(A113,1,0)</x:f>
        <x:v>0</x:v>
      </x:c>
      <x:c r="S113" s="2" t="n">
        <x:f>SUBTOTAL(103,N113)</x:f>
        <x:v>1</x:v>
      </x:c>
    </x:row>
    <x:row r="114" ht="42" customHeight="1">
      <x:c r="A114" s="28" t="b">
        <x:v>0</x:v>
      </x:c>
      <x:c r="B114" s="2" t="str">
        <x:v>Cycle 1</x:v>
      </x:c>
      <x:c r="C114" s="2" t="str">
        <x:v>Phase 2</x:v>
      </x:c>
      <x:c r="D114" s="2" t="str">
        <x:v>FCM</x:v>
      </x:c>
      <x:c r="E114" s="56" t="str">
        <x:v>RA.FC.2.4</x:v>
      </x:c>
      <x:c r="F114" s="14" t="str">
        <x:v>Establish and maintain a recurring meeting with D&amp;I to discuss Cycle progress</x:v>
      </x:c>
      <x:c r="G114" s="5"/>
      <x:c r="H114" s="11"/>
      <x:c r="I114" s="11" t="n">
        <x:f>'Cycles &amp; Guide'!$D$10</x:f>
        <x:v>46112</x:v>
      </x:c>
      <x:c r="J114" s="11"/>
      <x:c r="K114" s="29"/>
      <x:c r="L114" s="2" t="str">
        <x:f>IF(O114=1,"Complete",IF(A114,"Checklist open",IF(H114&lt;&gt;"","In progress","Not started")))</x:f>
        <x:v>Not started</x:v>
      </x:c>
      <x:c r="M114" s="2" t="str">
        <x:v>Task</x:v>
      </x:c>
      <x:c r="N114" s="2" t="str">
        <x:v>RA.FC.2.4.2026.CY1</x:v>
      </x:c>
      <x:c r="O114" s="2" t="n">
        <x:f>R114</x:f>
        <x:v>0</x:v>
      </x:c>
      <x:c r="P114" s="2"/>
      <x:c r="Q114" s="2" t="n">
        <x:v>1</x:v>
      </x:c>
      <x:c r="R114" s="2" t="n">
        <x:f>IF(A114,1,0)</x:f>
        <x:v>0</x:v>
      </x:c>
      <x:c r="S114" s="2" t="n">
        <x:f>SUBTOTAL(103,N114)</x:f>
        <x:v>1</x:v>
      </x:c>
    </x:row>
    <x:row r="115" ht="42" customHeight="1">
      <x:c r="A115" s="28" t="b">
        <x:v>0</x:v>
      </x:c>
      <x:c r="B115" s="2" t="str">
        <x:v>Cycle 1</x:v>
      </x:c>
      <x:c r="C115" s="2" t="str">
        <x:v>Phase 2</x:v>
      </x:c>
      <x:c r="D115" s="2" t="str">
        <x:v>FCM</x:v>
      </x:c>
      <x:c r="E115" s="56" t="str">
        <x:v>RA.FC.2.5</x:v>
      </x:c>
      <x:c r="F115" s="14" t="str">
        <x:v>Perform data testing and sampling</x:v>
      </x:c>
      <x:c r="G115" s="5"/>
      <x:c r="H115" s="11"/>
      <x:c r="I115" s="11" t="n">
        <x:f>'Cycles &amp; Guide'!$D$10</x:f>
        <x:v>46112</x:v>
      </x:c>
      <x:c r="J115" s="11"/>
      <x:c r="K115" s="29"/>
      <x:c r="L115" s="2" t="str">
        <x:f>IF(O115=1,"Complete",IF(A115,"Checklist open",IF(H115&lt;&gt;"","In progress","Not started")))</x:f>
        <x:v>Not started</x:v>
      </x:c>
      <x:c r="M115" s="2" t="str">
        <x:v>Task</x:v>
      </x:c>
      <x:c r="N115" s="2" t="str">
        <x:v>RA.FC.2.5.2026.CY1</x:v>
      </x:c>
      <x:c r="O115" s="2" t="n">
        <x:f>R115</x:f>
        <x:v>0</x:v>
      </x:c>
      <x:c r="P115" s="2"/>
      <x:c r="Q115" s="2" t="n">
        <x:v>1</x:v>
      </x:c>
      <x:c r="R115" s="2" t="n">
        <x:f>IF(A115,1,0)</x:f>
        <x:v>0</x:v>
      </x:c>
      <x:c r="S115" s="2" t="n">
        <x:f>SUBTOTAL(103,N115)</x:f>
        <x:v>1</x:v>
      </x:c>
    </x:row>
    <x:row r="116" ht="42" customHeight="1">
      <x:c r="A116" s="28" t="b">
        <x:v>0</x:v>
      </x:c>
      <x:c r="B116" s="2" t="str">
        <x:v>Cycle 1</x:v>
      </x:c>
      <x:c r="C116" s="2" t="str">
        <x:v>Phase 2</x:v>
      </x:c>
      <x:c r="D116" s="2" t="str">
        <x:v>FCM</x:v>
      </x:c>
      <x:c r="E116" s="56" t="str">
        <x:v>RA.FC.2.6</x:v>
      </x:c>
      <x:c r="F116" s="14" t="str">
        <x:v>Complete Positive Testing</x:v>
      </x:c>
      <x:c r="G116" s="5"/>
      <x:c r="H116" s="11"/>
      <x:c r="I116" s="11" t="n">
        <x:f>'Cycles &amp; Guide'!$D$10</x:f>
        <x:v>46112</x:v>
      </x:c>
      <x:c r="J116" s="11"/>
      <x:c r="K116" s="29"/>
      <x:c r="L116" s="2" t="str">
        <x:f>IF(O116=1,"Complete",IF(A116,"Checklist open",IF(H116&lt;&gt;"","In progress","Not started")))</x:f>
        <x:v>Not started</x:v>
      </x:c>
      <x:c r="M116" s="2" t="str">
        <x:v>Task</x:v>
      </x:c>
      <x:c r="N116" s="2" t="str">
        <x:v>RA.FC.2.6.2026.CY1</x:v>
      </x:c>
      <x:c r="O116" s="2" t="n">
        <x:f>R116</x:f>
        <x:v>0</x:v>
      </x:c>
      <x:c r="P116" s="2"/>
      <x:c r="Q116" s="2" t="n">
        <x:v>1</x:v>
      </x:c>
      <x:c r="R116" s="2" t="n">
        <x:f>IF(A116,1,0)</x:f>
        <x:v>0</x:v>
      </x:c>
      <x:c r="S116" s="2" t="n">
        <x:f>SUBTOTAL(103,N116)</x:f>
        <x:v>1</x:v>
      </x:c>
    </x:row>
    <x:row r="117" ht="42" customHeight="1">
      <x:c r="A117" s="28" t="b">
        <x:v>0</x:v>
      </x:c>
      <x:c r="B117" s="2" t="str">
        <x:v>Cycle 1</x:v>
      </x:c>
      <x:c r="C117" s="2" t="str">
        <x:v>Phase 2</x:v>
      </x:c>
      <x:c r="D117" s="2" t="str">
        <x:v>FCM</x:v>
      </x:c>
      <x:c r="E117" s="56" t="str">
        <x:v>RA.FC.2.7</x:v>
      </x:c>
      <x:c r="F117" s="14" t="str">
        <x:v>Complete Negative Testing</x:v>
      </x:c>
      <x:c r="G117" s="5"/>
      <x:c r="H117" s="11"/>
      <x:c r="I117" s="11" t="n">
        <x:f>'Cycles &amp; Guide'!$D$10</x:f>
        <x:v>46112</x:v>
      </x:c>
      <x:c r="J117" s="11"/>
      <x:c r="K117" s="29"/>
      <x:c r="L117" s="2" t="str">
        <x:f>IF(O117=1,"Complete",IF(A117,"Checklist open",IF(H117&lt;&gt;"","In progress","Not started")))</x:f>
        <x:v>Not started</x:v>
      </x:c>
      <x:c r="M117" s="2" t="str">
        <x:v>Task</x:v>
      </x:c>
      <x:c r="N117" s="2" t="str">
        <x:v>RA.FC.2.7.2026.CY1</x:v>
      </x:c>
      <x:c r="O117" s="2" t="n">
        <x:f>R117</x:f>
        <x:v>0</x:v>
      </x:c>
      <x:c r="P117" s="2"/>
      <x:c r="Q117" s="2" t="n">
        <x:v>1</x:v>
      </x:c>
      <x:c r="R117" s="2" t="n">
        <x:f>IF(A117,1,0)</x:f>
        <x:v>0</x:v>
      </x:c>
      <x:c r="S117" s="2" t="n">
        <x:f>SUBTOTAL(103,N117)</x:f>
        <x:v>1</x:v>
      </x:c>
    </x:row>
    <x:row r="118" ht="42" customHeight="1">
      <x:c r="A118" s="28" t="b">
        <x:v>0</x:v>
      </x:c>
      <x:c r="B118" s="2" t="str">
        <x:v>Cycle 1</x:v>
      </x:c>
      <x:c r="C118" s="2" t="str">
        <x:v>Phase 2</x:v>
      </x:c>
      <x:c r="D118" s="2" t="str">
        <x:v>FCM</x:v>
      </x:c>
      <x:c r="E118" s="56" t="str">
        <x:v>RA.FC.2.8</x:v>
      </x:c>
      <x:c r="F118" s="14" t="str">
        <x:v>Request additional data (as needed)</x:v>
      </x:c>
      <x:c r="G118" s="5"/>
      <x:c r="H118" s="11"/>
      <x:c r="I118" s="11" t="n">
        <x:f>'Cycles &amp; Guide'!$D$10</x:f>
        <x:v>46112</x:v>
      </x:c>
      <x:c r="J118" s="11"/>
      <x:c r="K118" s="29"/>
      <x:c r="L118" s="2" t="str">
        <x:f>IF(O118=1,"Complete",IF(A118,"Checklist open",IF(H118&lt;&gt;"","In progress","Not started")))</x:f>
        <x:v>Not started</x:v>
      </x:c>
      <x:c r="M118" s="2" t="str">
        <x:v>Task</x:v>
      </x:c>
      <x:c r="N118" s="2" t="str">
        <x:v>RA.FC.2.8.2026.CY1</x:v>
      </x:c>
      <x:c r="O118" s="2" t="n">
        <x:f>R118</x:f>
        <x:v>0</x:v>
      </x:c>
      <x:c r="P118" s="2"/>
      <x:c r="Q118" s="2" t="n">
        <x:v>1</x:v>
      </x:c>
      <x:c r="R118" s="2" t="n">
        <x:f>IF(A118,1,0)</x:f>
        <x:v>0</x:v>
      </x:c>
      <x:c r="S118" s="2" t="n">
        <x:f>SUBTOTAL(103,N118)</x:f>
        <x:v>1</x:v>
      </x:c>
    </x:row>
    <x:row r="119" ht="42" customHeight="1">
      <x:c r="A119" s="28" t="b">
        <x:v>0</x:v>
      </x:c>
      <x:c r="B119" s="2" t="str">
        <x:v>Cycle 1</x:v>
      </x:c>
      <x:c r="C119" s="2" t="str">
        <x:v>Phase 2</x:v>
      </x:c>
      <x:c r="D119" s="2" t="str">
        <x:v>FCM</x:v>
      </x:c>
      <x:c r="E119" s="56" t="str">
        <x:v>RA.FC.2.9</x:v>
      </x:c>
      <x:c r="F119" s="14" t="str">
        <x:v>Validate or disprove initial hypothesis assumptions</x:v>
      </x:c>
      <x:c r="G119" s="5"/>
      <x:c r="H119" s="11"/>
      <x:c r="I119" s="11" t="n">
        <x:f>'Cycles &amp; Guide'!$D$10</x:f>
        <x:v>46112</x:v>
      </x:c>
      <x:c r="J119" s="11"/>
      <x:c r="K119" s="29"/>
      <x:c r="L119" s="2" t="str">
        <x:f>IF(O119=1,"Complete",IF(A119,"Checklist open",IF(H119&lt;&gt;"","In progress","Not started")))</x:f>
        <x:v>Not started</x:v>
      </x:c>
      <x:c r="M119" s="2" t="str">
        <x:v>Task</x:v>
      </x:c>
      <x:c r="N119" s="2" t="str">
        <x:v>RA.FC.2.9.2026.CY1</x:v>
      </x:c>
      <x:c r="O119" s="2" t="n">
        <x:f>R119</x:f>
        <x:v>0</x:v>
      </x:c>
      <x:c r="P119" s="2"/>
      <x:c r="Q119" s="2" t="n">
        <x:v>1</x:v>
      </x:c>
      <x:c r="R119" s="2" t="n">
        <x:f>IF(A119,1,0)</x:f>
        <x:v>0</x:v>
      </x:c>
      <x:c r="S119" s="2" t="n">
        <x:f>SUBTOTAL(103,N119)</x:f>
        <x:v>1</x:v>
      </x:c>
    </x:row>
    <x:row r="120" ht="42" customHeight="1">
      <x:c r="A120" s="28" t="b">
        <x:v>0</x:v>
      </x:c>
      <x:c r="B120" s="2" t="str">
        <x:v>Cycle 1</x:v>
      </x:c>
      <x:c r="C120" s="2" t="str">
        <x:v>Phase 2</x:v>
      </x:c>
      <x:c r="D120" s="2" t="str">
        <x:v>FCM</x:v>
      </x:c>
      <x:c r="E120" s="56" t="str">
        <x:v>RA.FC.2.10</x:v>
      </x:c>
      <x:c r="F120" s="14" t="str">
        <x:v>Identify and confirm root cause</x:v>
      </x:c>
      <x:c r="G120" s="5"/>
      <x:c r="H120" s="11"/>
      <x:c r="I120" s="11" t="n">
        <x:f>'Cycles &amp; Guide'!$D$10</x:f>
        <x:v>46112</x:v>
      </x:c>
      <x:c r="J120" s="11"/>
      <x:c r="K120" s="29"/>
      <x:c r="L120" s="2" t="str">
        <x:f>IF(O120=1,"Complete",IF(A120,"Checklist open",IF(H120&lt;&gt;"","In progress","Not started")))</x:f>
        <x:v>Not started</x:v>
      </x:c>
      <x:c r="M120" s="2" t="str">
        <x:v>Task</x:v>
      </x:c>
      <x:c r="N120" s="2" t="str">
        <x:v>RA.FC.2.10.2026.CY1</x:v>
      </x:c>
      <x:c r="O120" s="2" t="n">
        <x:f>R120</x:f>
        <x:v>0</x:v>
      </x:c>
      <x:c r="P120" s="2"/>
      <x:c r="Q120" s="2" t="n">
        <x:v>1</x:v>
      </x:c>
      <x:c r="R120" s="2" t="n">
        <x:f>IF(A120,1,0)</x:f>
        <x:v>0</x:v>
      </x:c>
      <x:c r="S120" s="2" t="n">
        <x:f>SUBTOTAL(103,N120)</x:f>
        <x:v>1</x:v>
      </x:c>
    </x:row>
    <x:row r="121" ht="42" customHeight="1">
      <x:c r="A121" s="28" t="b">
        <x:v>0</x:v>
      </x:c>
      <x:c r="B121" s="2" t="str">
        <x:v>Cycle 1</x:v>
      </x:c>
      <x:c r="C121" s="2" t="str">
        <x:v>Phase 3</x:v>
      </x:c>
      <x:c r="D121" s="2" t="str">
        <x:v>FCM</x:v>
      </x:c>
      <x:c r="E121" s="56" t="str">
        <x:v>RA.FC.3.1</x:v>
      </x:c>
      <x:c r="F121" s="14" t="str">
        <x:v>Finalize results and supporting documentation</x:v>
      </x:c>
      <x:c r="G121" s="5"/>
      <x:c r="H121" s="11"/>
      <x:c r="I121" s="11" t="n">
        <x:f>'Cycles &amp; Guide'!$D$10</x:f>
        <x:v>46112</x:v>
      </x:c>
      <x:c r="J121" s="11"/>
      <x:c r="K121" s="29"/>
      <x:c r="L121" s="2" t="str">
        <x:f>IF(O121=1,"Complete",IF(A121,"Checklist open",IF(H121&lt;&gt;"","In progress","Not started")))</x:f>
        <x:v>Not started</x:v>
      </x:c>
      <x:c r="M121" s="2" t="str">
        <x:v>Task</x:v>
      </x:c>
      <x:c r="N121" s="2" t="str">
        <x:v>RA.FC.3.1.2026.CY1</x:v>
      </x:c>
      <x:c r="O121" s="2" t="n">
        <x:f>R121</x:f>
        <x:v>0</x:v>
      </x:c>
      <x:c r="P121" s="2"/>
      <x:c r="Q121" s="2" t="n">
        <x:v>1</x:v>
      </x:c>
      <x:c r="R121" s="2" t="n">
        <x:f>IF(A121,1,0)</x:f>
        <x:v>0</x:v>
      </x:c>
      <x:c r="S121" s="2" t="n">
        <x:f>SUBTOTAL(103,N121)</x:f>
        <x:v>1</x:v>
      </x:c>
    </x:row>
    <x:row r="122" ht="42" customHeight="1">
      <x:c r="A122" s="28" t="b">
        <x:v>0</x:v>
      </x:c>
      <x:c r="B122" s="2" t="str">
        <x:v>Cycle 1</x:v>
      </x:c>
      <x:c r="C122" s="2" t="str">
        <x:v>Phase 3</x:v>
      </x:c>
      <x:c r="D122" s="2" t="str">
        <x:v>FCM</x:v>
      </x:c>
      <x:c r="E122" s="56" t="str">
        <x:v>RA.FC.3.2</x:v>
      </x:c>
      <x:c r="F122" s="14" t="str">
        <x:v>Maintain and update the evidence package prior to handoff to D&amp;I</x:v>
      </x:c>
      <x:c r="G122" s="5"/>
      <x:c r="H122" s="11"/>
      <x:c r="I122" s="11" t="n">
        <x:f>'Cycles &amp; Guide'!$D$10</x:f>
        <x:v>46112</x:v>
      </x:c>
      <x:c r="J122" s="11"/>
      <x:c r="K122" s="29"/>
      <x:c r="L122" s="2" t="str">
        <x:f>IF(O122=1,"Complete",IF(A122,"Checklist open",IF(H122&lt;&gt;"","In progress","Not started")))</x:f>
        <x:v>Not started</x:v>
      </x:c>
      <x:c r="M122" s="2" t="str">
        <x:v>Task</x:v>
      </x:c>
      <x:c r="N122" s="2" t="str">
        <x:v>RA.FC.3.2.2026.CY1</x:v>
      </x:c>
      <x:c r="O122" s="2" t="n">
        <x:f>R122</x:f>
        <x:v>0</x:v>
      </x:c>
      <x:c r="P122" s="2"/>
      <x:c r="Q122" s="2" t="n">
        <x:v>1</x:v>
      </x:c>
      <x:c r="R122" s="2" t="n">
        <x:f>IF(A122,1,0)</x:f>
        <x:v>0</x:v>
      </x:c>
      <x:c r="S122" s="2" t="n">
        <x:f>SUBTOTAL(103,N122)</x:f>
        <x:v>1</x:v>
      </x:c>
    </x:row>
    <x:row r="123" ht="42" customHeight="1">
      <x:c r="A123" s="28" t="b">
        <x:v>0</x:v>
      </x:c>
      <x:c r="B123" s="2" t="str">
        <x:v>Cycle 1</x:v>
      </x:c>
      <x:c r="C123" s="2" t="str">
        <x:v>Phase 3</x:v>
      </x:c>
      <x:c r="D123" s="2" t="str">
        <x:v>FCM</x:v>
      </x:c>
      <x:c r="E123" s="56" t="str">
        <x:v>RA.FC.3.3</x:v>
      </x:c>
      <x:c r="F123" s="14" t="str">
        <x:v>Address any outstanding questions or requests from D&amp;I</x:v>
      </x:c>
      <x:c r="G123" s="5"/>
      <x:c r="H123" s="11"/>
      <x:c r="I123" s="11" t="n">
        <x:f>'Cycles &amp; Guide'!$D$10</x:f>
        <x:v>46112</x:v>
      </x:c>
      <x:c r="J123" s="11"/>
      <x:c r="K123" s="29"/>
      <x:c r="L123" s="2" t="str">
        <x:f>IF(O123=1,"Complete",IF(A123,"Checklist open",IF(H123&lt;&gt;"","In progress","Not started")))</x:f>
        <x:v>Not started</x:v>
      </x:c>
      <x:c r="M123" s="2" t="str">
        <x:v>Task</x:v>
      </x:c>
      <x:c r="N123" s="2" t="str">
        <x:v>RA.FC.3.3.2026.CY1</x:v>
      </x:c>
      <x:c r="O123" s="2" t="n">
        <x:f>R123</x:f>
        <x:v>0</x:v>
      </x:c>
      <x:c r="P123" s="2"/>
      <x:c r="Q123" s="2" t="n">
        <x:v>1</x:v>
      </x:c>
      <x:c r="R123" s="2" t="n">
        <x:f>IF(A123,1,0)</x:f>
        <x:v>0</x:v>
      </x:c>
      <x:c r="S123" s="2" t="n">
        <x:f>SUBTOTAL(103,N123)</x:f>
        <x:v>1</x:v>
      </x:c>
    </x:row>
    <x:row r="124" ht="42" customHeight="1">
      <x:c r="A124" s="28" t="b">
        <x:v>0</x:v>
      </x:c>
      <x:c r="B124" s="2" t="str">
        <x:v>Cycle 1</x:v>
      </x:c>
      <x:c r="C124" s="2" t="str">
        <x:v>Phase 3</x:v>
      </x:c>
      <x:c r="D124" s="2" t="str">
        <x:v>FCM</x:v>
      </x:c>
      <x:c r="E124" s="56" t="str">
        <x:v>RA.FC.3.4</x:v>
      </x:c>
      <x:c r="F124" s="14" t="str">
        <x:v>Attend Forum meeting with D&amp;I to assist with answering stakeholder questions (as needed)</x:v>
      </x:c>
      <x:c r="G124" s="5"/>
      <x:c r="H124" s="11"/>
      <x:c r="I124" s="11" t="str">
        <x:f>IF(SUMIFS('Cycles &amp; Guide'!$D$23:$D$50,'Cycles &amp; Guide'!$B$23:$B$50,B124,'Cycles &amp; Guide'!$C$23:$C$50,D124)=0,"",SUMIFS('Cycles &amp; Guide'!$D$23:$D$50,'Cycles &amp; Guide'!$B$23:$B$50,B124,'Cycles &amp; Guide'!$C$23:$C$50,D124))</x:f>
      </x:c>
      <x:c r="J124" s="11"/>
      <x:c r="K124" s="29"/>
      <x:c r="L124" s="2" t="str">
        <x:f>IF(O124=1,"Complete",IF(A124,"Checklist open",IF(H124&lt;&gt;"","In progress","Not started")))</x:f>
        <x:v>Not started</x:v>
      </x:c>
      <x:c r="M124" s="2" t="str">
        <x:v>Task</x:v>
      </x:c>
      <x:c r="N124" s="2" t="str">
        <x:v>RA.FC.3.4.2026.CY1</x:v>
      </x:c>
      <x:c r="O124" s="2" t="n">
        <x:f>R124</x:f>
        <x:v>0</x:v>
      </x:c>
      <x:c r="P124" s="2"/>
      <x:c r="Q124" s="2" t="n">
        <x:v>1</x:v>
      </x:c>
      <x:c r="R124" s="2" t="n">
        <x:f>IF(A124,1,0)</x:f>
        <x:v>0</x:v>
      </x:c>
      <x:c r="S124" s="2" t="n">
        <x:f>SUBTOTAL(103,N124)</x:f>
        <x:v>1</x:v>
      </x:c>
    </x:row>
    <x:row r="125" ht="42" customHeight="1">
      <x:c r="A125" s="28" t="b">
        <x:v>0</x:v>
      </x:c>
      <x:c r="B125" s="2" t="str">
        <x:v>Cycle 1</x:v>
      </x:c>
      <x:c r="C125" s="2" t="str">
        <x:v>Phase 1</x:v>
      </x:c>
      <x:c r="D125" s="2" t="str">
        <x:v>PLL</x:v>
      </x:c>
      <x:c r="E125" s="56" t="str">
        <x:v>RA.PL.1.1</x:v>
      </x:c>
      <x:c r="F125" s="14" t="str">
        <x:v>Begin Research process 2 weeks prior to Cycle start</x:v>
      </x:c>
      <x:c r="G125" s="5"/>
      <x:c r="H125" s="11"/>
      <x:c r="I125" s="11" t="n">
        <x:f>'Cycles &amp; Guide'!$C$10-14</x:f>
        <x:v>46009</x:v>
      </x:c>
      <x:c r="J125" s="11"/>
      <x:c r="K125" s="29"/>
      <x:c r="L125" s="2" t="str">
        <x:f>IF(O125=1,"Complete",IF(A125,"Checklist open",IF(H125&lt;&gt;"","In progress","Not started")))</x:f>
        <x:v>Not started</x:v>
      </x:c>
      <x:c r="M125" s="2" t="str">
        <x:v>Task</x:v>
      </x:c>
      <x:c r="N125" s="2" t="str">
        <x:v>RA.PL.1.1.2026.CY1</x:v>
      </x:c>
      <x:c r="O125" s="2" t="n">
        <x:f>R125</x:f>
        <x:v>0</x:v>
      </x:c>
      <x:c r="P125" s="2"/>
      <x:c r="Q125" s="2" t="n">
        <x:v>1</x:v>
      </x:c>
      <x:c r="R125" s="2" t="n">
        <x:f>IF(A125,1,0)</x:f>
        <x:v>0</x:v>
      </x:c>
      <x:c r="S125" s="2" t="n">
        <x:f>SUBTOTAL(103,N125)</x:f>
        <x:v>1</x:v>
      </x:c>
    </x:row>
    <x:row r="126" ht="42" customHeight="1">
      <x:c r="A126" s="28" t="b">
        <x:v>0</x:v>
      </x:c>
      <x:c r="B126" s="2" t="str">
        <x:v>Cycle 1</x:v>
      </x:c>
      <x:c r="C126" s="2" t="str">
        <x:v>Phase 1</x:v>
      </x:c>
      <x:c r="D126" s="2" t="str">
        <x:v>PLL</x:v>
      </x:c>
      <x:c r="E126" s="56" t="str">
        <x:v>RA.PL.1.2</x:v>
      </x:c>
      <x:c r="F126" s="14" t="str">
        <x:v>Conduct initial assessment of each topic recommendation from SharePoint list</x:v>
      </x:c>
      <x:c r="G126" s="5"/>
      <x:c r="H126" s="11"/>
      <x:c r="I126" s="11" t="n">
        <x:f>'Cycles &amp; Guide'!$D$10</x:f>
        <x:v>46112</x:v>
      </x:c>
      <x:c r="J126" s="11"/>
      <x:c r="K126" s="29"/>
      <x:c r="L126" s="2" t="str">
        <x:f>IF(O126=1,"Complete",IF(A126,"Checklist open",IF(H126&lt;&gt;"","In progress","Not started")))</x:f>
        <x:v>Not started</x:v>
      </x:c>
      <x:c r="M126" s="2" t="str">
        <x:v>Task</x:v>
      </x:c>
      <x:c r="N126" s="2" t="str">
        <x:v>RA.PL.1.2.2026.CY1</x:v>
      </x:c>
      <x:c r="O126" s="2" t="n">
        <x:f>R126</x:f>
        <x:v>0</x:v>
      </x:c>
      <x:c r="P126" s="2"/>
      <x:c r="Q126" s="2" t="n">
        <x:v>1</x:v>
      </x:c>
      <x:c r="R126" s="2" t="n">
        <x:f>IF(A126,1,0)</x:f>
        <x:v>0</x:v>
      </x:c>
      <x:c r="S126" s="2" t="n">
        <x:f>SUBTOTAL(103,N126)</x:f>
        <x:v>1</x:v>
      </x:c>
    </x:row>
    <x:row r="127" ht="42" customHeight="1">
      <x:c r="A127" s="28" t="b">
        <x:v>0</x:v>
      </x:c>
      <x:c r="B127" s="2" t="str">
        <x:v>Cycle 1</x:v>
      </x:c>
      <x:c r="C127" s="2" t="str">
        <x:v>Phase 1</x:v>
      </x:c>
      <x:c r="D127" s="2" t="str">
        <x:v>PLL</x:v>
      </x:c>
      <x:c r="E127" s="56" t="str">
        <x:v>RA.PL.1.3</x:v>
      </x:c>
      <x:c r="F127" s="14" t="str">
        <x:v>Identify best topic for Cycle</x:v>
      </x:c>
      <x:c r="G127" s="5"/>
      <x:c r="H127" s="11"/>
      <x:c r="I127" s="11" t="n">
        <x:f>'Cycles &amp; Guide'!$D$10</x:f>
        <x:v>46112</x:v>
      </x:c>
      <x:c r="J127" s="11"/>
      <x:c r="K127" s="29"/>
      <x:c r="L127" s="2" t="str">
        <x:f>IF(O127=1,"Complete",IF(A127,"Checklist open",IF(H127&lt;&gt;"","In progress","Not started")))</x:f>
        <x:v>Not started</x:v>
      </x:c>
      <x:c r="M127" s="2" t="str">
        <x:v>Task</x:v>
      </x:c>
      <x:c r="N127" s="2" t="str">
        <x:v>RA.PL.1.3.2026.CY1</x:v>
      </x:c>
      <x:c r="O127" s="2" t="n">
        <x:f>R127</x:f>
        <x:v>0</x:v>
      </x:c>
      <x:c r="P127" s="2"/>
      <x:c r="Q127" s="2" t="n">
        <x:v>1</x:v>
      </x:c>
      <x:c r="R127" s="2" t="n">
        <x:f>IF(A127,1,0)</x:f>
        <x:v>0</x:v>
      </x:c>
      <x:c r="S127" s="2" t="n">
        <x:f>SUBTOTAL(103,N127)</x:f>
        <x:v>1</x:v>
      </x:c>
    </x:row>
    <x:row r="128" ht="42" customHeight="1">
      <x:c r="A128" s="28" t="b">
        <x:v>0</x:v>
      </x:c>
      <x:c r="B128" s="2" t="str">
        <x:v>Cycle 1</x:v>
      </x:c>
      <x:c r="C128" s="2" t="str">
        <x:v>Phase 1</x:v>
      </x:c>
      <x:c r="D128" s="2" t="str">
        <x:v>PLL</x:v>
      </x:c>
      <x:c r="E128" s="56" t="str">
        <x:v>RA.PL.1.4</x:v>
      </x:c>
      <x:c r="F128" s="14" t="str">
        <x:v>Identify backup topic for Cycle</x:v>
      </x:c>
      <x:c r="G128" s="5"/>
      <x:c r="H128" s="11"/>
      <x:c r="I128" s="11" t="n">
        <x:f>'Cycles &amp; Guide'!$D$10</x:f>
        <x:v>46112</x:v>
      </x:c>
      <x:c r="J128" s="11"/>
      <x:c r="K128" s="29"/>
      <x:c r="L128" s="2" t="str">
        <x:f>IF(O128=1,"Complete",IF(A128,"Checklist open",IF(H128&lt;&gt;"","In progress","Not started")))</x:f>
        <x:v>Not started</x:v>
      </x:c>
      <x:c r="M128" s="2" t="str">
        <x:v>Task</x:v>
      </x:c>
      <x:c r="N128" s="2" t="str">
        <x:v>RA.PL.1.4.2026.CY1</x:v>
      </x:c>
      <x:c r="O128" s="2" t="n">
        <x:f>R128</x:f>
        <x:v>0</x:v>
      </x:c>
      <x:c r="P128" s="2"/>
      <x:c r="Q128" s="2" t="n">
        <x:v>1</x:v>
      </x:c>
      <x:c r="R128" s="2" t="n">
        <x:f>IF(A128,1,0)</x:f>
        <x:v>0</x:v>
      </x:c>
      <x:c r="S128" s="2" t="n">
        <x:f>SUBTOTAL(103,N128)</x:f>
        <x:v>1</x:v>
      </x:c>
    </x:row>
    <x:row r="129" ht="42" customHeight="1">
      <x:c r="A129" s="28" t="b">
        <x:v>0</x:v>
      </x:c>
      <x:c r="B129" s="2" t="str">
        <x:v>Cycle 1</x:v>
      </x:c>
      <x:c r="C129" s="2" t="str">
        <x:v>Phase 1</x:v>
      </x:c>
      <x:c r="D129" s="2" t="str">
        <x:v>PLL</x:v>
      </x:c>
      <x:c r="E129" s="56" t="str">
        <x:v>RA.PL.1.5</x:v>
      </x:c>
      <x:c r="F129" s="14" t="str">
        <x:v>Schedule topic approval meeting with D&amp;I and management</x:v>
      </x:c>
      <x:c r="G129" s="5"/>
      <x:c r="H129" s="11"/>
      <x:c r="I129" s="11" t="n">
        <x:f>'Cycles &amp; Guide'!$D$10</x:f>
        <x:v>46112</x:v>
      </x:c>
      <x:c r="J129" s="11"/>
      <x:c r="K129" s="29"/>
      <x:c r="L129" s="2" t="str">
        <x:f>IF(O129=1,"Complete",IF(A129,"Checklist open",IF(H129&lt;&gt;"","In progress","Not started")))</x:f>
        <x:v>Not started</x:v>
      </x:c>
      <x:c r="M129" s="2" t="str">
        <x:v>Task</x:v>
      </x:c>
      <x:c r="N129" s="2" t="str">
        <x:v>RA.PL.1.5.2026.CY1</x:v>
      </x:c>
      <x:c r="O129" s="2" t="n">
        <x:f>R129</x:f>
        <x:v>0</x:v>
      </x:c>
      <x:c r="P129" s="2"/>
      <x:c r="Q129" s="2" t="n">
        <x:v>1</x:v>
      </x:c>
      <x:c r="R129" s="2" t="n">
        <x:f>IF(A129,1,0)</x:f>
        <x:v>0</x:v>
      </x:c>
      <x:c r="S129" s="2" t="n">
        <x:f>SUBTOTAL(103,N129)</x:f>
        <x:v>1</x:v>
      </x:c>
    </x:row>
    <x:row r="130" ht="42" customHeight="1">
      <x:c r="A130" s="28" t="b">
        <x:v>0</x:v>
      </x:c>
      <x:c r="B130" s="2" t="str">
        <x:v>Cycle 1</x:v>
      </x:c>
      <x:c r="C130" s="2" t="str">
        <x:v>Phase 1</x:v>
      </x:c>
      <x:c r="D130" s="2" t="str">
        <x:v>PLL</x:v>
      </x:c>
      <x:c r="E130" s="56" t="str">
        <x:v>RA.PL.1.6</x:v>
      </x:c>
      <x:c r="F130" s="14" t="str">
        <x:v>Present recommended topic to D&amp;I and management for approval</x:v>
      </x:c>
      <x:c r="G130" s="5"/>
      <x:c r="H130" s="11"/>
      <x:c r="I130" s="11" t="n">
        <x:f>'Cycles &amp; Guide'!$D$10</x:f>
        <x:v>46112</x:v>
      </x:c>
      <x:c r="J130" s="11"/>
      <x:c r="K130" s="29"/>
      <x:c r="L130" s="2" t="str">
        <x:f>IF(O130=1,"Complete",IF(A130,"Checklist open",IF(H130&lt;&gt;"","In progress","Not started")))</x:f>
        <x:v>Not started</x:v>
      </x:c>
      <x:c r="M130" s="2" t="str">
        <x:v>Task</x:v>
      </x:c>
      <x:c r="N130" s="2" t="str">
        <x:v>RA.PL.1.6.2026.CY1</x:v>
      </x:c>
      <x:c r="O130" s="2" t="n">
        <x:f>R130</x:f>
        <x:v>0</x:v>
      </x:c>
      <x:c r="P130" s="2"/>
      <x:c r="Q130" s="2" t="n">
        <x:v>1</x:v>
      </x:c>
      <x:c r="R130" s="2" t="n">
        <x:f>IF(A130,1,0)</x:f>
        <x:v>0</x:v>
      </x:c>
      <x:c r="S130" s="2" t="n">
        <x:f>SUBTOTAL(103,N130)</x:f>
        <x:v>1</x:v>
      </x:c>
    </x:row>
    <x:row r="131" ht="42" customHeight="1">
      <x:c r="A131" s="28" t="b">
        <x:v>0</x:v>
      </x:c>
      <x:c r="B131" s="2" t="str">
        <x:v>Cycle 1</x:v>
      </x:c>
      <x:c r="C131" s="2" t="str">
        <x:v>Phase 1</x:v>
      </x:c>
      <x:c r="D131" s="2" t="str">
        <x:v>PLL</x:v>
      </x:c>
      <x:c r="E131" s="56" t="str">
        <x:v>RA.PL.1.7</x:v>
      </x:c>
      <x:c r="F131" s="14" t="str">
        <x:v>Obtain formal topic selection approval from management via SharePoint</x:v>
      </x:c>
      <x:c r="G131" s="5"/>
      <x:c r="H131" s="11"/>
      <x:c r="I131" s="11" t="n">
        <x:f>'Cycles &amp; Guide'!$D$10</x:f>
        <x:v>46112</x:v>
      </x:c>
      <x:c r="J131" s="11"/>
      <x:c r="K131" s="29"/>
      <x:c r="L131" s="2" t="str">
        <x:f>IF(O131=1,"Complete",IF(A131,"Checklist open",IF(H131&lt;&gt;"","In progress","Not started")))</x:f>
        <x:v>Not started</x:v>
      </x:c>
      <x:c r="M131" s="2" t="str">
        <x:v>Task</x:v>
      </x:c>
      <x:c r="N131" s="2" t="str">
        <x:v>RA.PL.1.7.2026.CY1</x:v>
      </x:c>
      <x:c r="O131" s="2" t="n">
        <x:f>R131</x:f>
        <x:v>0</x:v>
      </x:c>
      <x:c r="P131" s="2"/>
      <x:c r="Q131" s="2" t="n">
        <x:v>1</x:v>
      </x:c>
      <x:c r="R131" s="2" t="n">
        <x:f>IF(A131,1,0)</x:f>
        <x:v>0</x:v>
      </x:c>
      <x:c r="S131" s="2" t="n">
        <x:f>SUBTOTAL(103,N131)</x:f>
        <x:v>1</x:v>
      </x:c>
    </x:row>
    <x:row r="132" ht="42" customHeight="1">
      <x:c r="A132" s="28" t="b">
        <x:v>0</x:v>
      </x:c>
      <x:c r="B132" s="2" t="str">
        <x:v>Cycle 1</x:v>
      </x:c>
      <x:c r="C132" s="2" t="str">
        <x:v>Phase 1</x:v>
      </x:c>
      <x:c r="D132" s="2" t="str">
        <x:v>PLL</x:v>
      </x:c>
      <x:c r="E132" s="56" t="str">
        <x:v>RA.PL.1.8</x:v>
      </x:c>
      <x:c r="F132" s="14" t="str">
        <x:v>Socialize topic selection with product owners and subject matter experts (if known)</x:v>
      </x:c>
      <x:c r="G132" s="5"/>
      <x:c r="H132" s="11"/>
      <x:c r="I132" s="11" t="n">
        <x:f>'Cycles &amp; Guide'!$D$10</x:f>
        <x:v>46112</x:v>
      </x:c>
      <x:c r="J132" s="11"/>
      <x:c r="K132" s="29"/>
      <x:c r="L132" s="2" t="str">
        <x:f>IF(O132=1,"Complete",IF(A132,"Checklist open",IF(H132&lt;&gt;"","In progress","Not started")))</x:f>
        <x:v>Not started</x:v>
      </x:c>
      <x:c r="M132" s="2" t="str">
        <x:v>Task</x:v>
      </x:c>
      <x:c r="N132" s="2" t="str">
        <x:v>RA.PL.1.8.2026.CY1</x:v>
      </x:c>
      <x:c r="O132" s="2" t="n">
        <x:f>R132</x:f>
        <x:v>0</x:v>
      </x:c>
      <x:c r="P132" s="2"/>
      <x:c r="Q132" s="2" t="n">
        <x:v>1</x:v>
      </x:c>
      <x:c r="R132" s="2" t="n">
        <x:f>IF(A132,1,0)</x:f>
        <x:v>0</x:v>
      </x:c>
      <x:c r="S132" s="2" t="n">
        <x:f>SUBTOTAL(103,N132)</x:f>
        <x:v>1</x:v>
      </x:c>
    </x:row>
    <x:row r="133" ht="42" customHeight="1">
      <x:c r="A133" s="28" t="b">
        <x:v>0</x:v>
      </x:c>
      <x:c r="B133" s="2" t="str">
        <x:v>Cycle 1</x:v>
      </x:c>
      <x:c r="C133" s="2" t="str">
        <x:v>Phase 1</x:v>
      </x:c>
      <x:c r="D133" s="2" t="str">
        <x:v>PLL</x:v>
      </x:c>
      <x:c r="E133" s="56" t="str">
        <x:v>RA.PL.1.9</x:v>
      </x:c>
      <x:c r="F133" s="14" t="str">
        <x:v>Assign topic researchers</x:v>
      </x:c>
      <x:c r="G133" s="5"/>
      <x:c r="H133" s="11"/>
      <x:c r="I133" s="11" t="n">
        <x:f>'Cycles &amp; Guide'!$D$10</x:f>
        <x:v>46112</x:v>
      </x:c>
      <x:c r="J133" s="11"/>
      <x:c r="K133" s="29"/>
      <x:c r="L133" s="2" t="str">
        <x:f>IF(O133=1,"Complete",IF(A133,"Checklist open",IF(H133&lt;&gt;"","In progress","Not started")))</x:f>
        <x:v>Not started</x:v>
      </x:c>
      <x:c r="M133" s="2" t="str">
        <x:v>Task</x:v>
      </x:c>
      <x:c r="N133" s="2" t="str">
        <x:v>RA.PL.1.9.2026.CY1</x:v>
      </x:c>
      <x:c r="O133" s="2" t="n">
        <x:f>R133</x:f>
        <x:v>0</x:v>
      </x:c>
      <x:c r="P133" s="2"/>
      <x:c r="Q133" s="2" t="n">
        <x:v>1</x:v>
      </x:c>
      <x:c r="R133" s="2" t="n">
        <x:f>IF(A133,1,0)</x:f>
        <x:v>0</x:v>
      </x:c>
      <x:c r="S133" s="2" t="n">
        <x:f>SUBTOTAL(103,N133)</x:f>
        <x:v>1</x:v>
      </x:c>
    </x:row>
    <x:row r="134" ht="42" customHeight="1">
      <x:c r="A134" s="28" t="b">
        <x:v>0</x:v>
      </x:c>
      <x:c r="B134" s="2" t="str">
        <x:v>Cycle 1</x:v>
      </x:c>
      <x:c r="C134" s="2" t="str">
        <x:v>Phase 2</x:v>
      </x:c>
      <x:c r="D134" s="2" t="str">
        <x:v>PLL</x:v>
      </x:c>
      <x:c r="E134" s="56" t="str">
        <x:v>RA.PL.2.1</x:v>
      </x:c>
      <x:c r="F134" s="14" t="str">
        <x:v>Review data sources</x:v>
      </x:c>
      <x:c r="G134" s="5"/>
      <x:c r="H134" s="11"/>
      <x:c r="I134" s="11" t="n">
        <x:f>'Cycles &amp; Guide'!$D$10</x:f>
        <x:v>46112</x:v>
      </x:c>
      <x:c r="J134" s="11"/>
      <x:c r="K134" s="29"/>
      <x:c r="L134" s="2" t="str">
        <x:f>IF(O134=1,"Complete",IF(A134,"Checklist open",IF(H134&lt;&gt;"","In progress","Not started")))</x:f>
        <x:v>Not started</x:v>
      </x:c>
      <x:c r="M134" s="2" t="str">
        <x:v>Task</x:v>
      </x:c>
      <x:c r="N134" s="2" t="str">
        <x:v>RA.PL.2.1.2026.CY1</x:v>
      </x:c>
      <x:c r="O134" s="2" t="n">
        <x:f>R134</x:f>
        <x:v>0</x:v>
      </x:c>
      <x:c r="P134" s="2"/>
      <x:c r="Q134" s="2" t="n">
        <x:v>1</x:v>
      </x:c>
      <x:c r="R134" s="2" t="n">
        <x:f>IF(A134,1,0)</x:f>
        <x:v>0</x:v>
      </x:c>
      <x:c r="S134" s="2" t="n">
        <x:f>SUBTOTAL(103,N134)</x:f>
        <x:v>1</x:v>
      </x:c>
    </x:row>
    <x:row r="135" ht="42" customHeight="1">
      <x:c r="A135" s="28" t="b">
        <x:v>0</x:v>
      </x:c>
      <x:c r="B135" s="2" t="str">
        <x:v>Cycle 1</x:v>
      </x:c>
      <x:c r="C135" s="2" t="str">
        <x:v>Phase 2</x:v>
      </x:c>
      <x:c r="D135" s="2" t="str">
        <x:v>PLL</x:v>
      </x:c>
      <x:c r="E135" s="56" t="str">
        <x:v>RA.PL.2.2</x:v>
      </x:c>
      <x:c r="F135" s="14" t="str">
        <x:v>Review relevant policies and procedures</x:v>
      </x:c>
      <x:c r="G135" s="5"/>
      <x:c r="H135" s="11"/>
      <x:c r="I135" s="11" t="n">
        <x:f>'Cycles &amp; Guide'!$D$10</x:f>
        <x:v>46112</x:v>
      </x:c>
      <x:c r="J135" s="11"/>
      <x:c r="K135" s="29"/>
      <x:c r="L135" s="2" t="str">
        <x:f>IF(O135=1,"Complete",IF(A135,"Checklist open",IF(H135&lt;&gt;"","In progress","Not started")))</x:f>
        <x:v>Not started</x:v>
      </x:c>
      <x:c r="M135" s="2" t="str">
        <x:v>Task</x:v>
      </x:c>
      <x:c r="N135" s="2" t="str">
        <x:v>RA.PL.2.2.2026.CY1</x:v>
      </x:c>
      <x:c r="O135" s="2" t="n">
        <x:f>R135</x:f>
        <x:v>0</x:v>
      </x:c>
      <x:c r="P135" s="2"/>
      <x:c r="Q135" s="2" t="n">
        <x:v>1</x:v>
      </x:c>
      <x:c r="R135" s="2" t="n">
        <x:f>IF(A135,1,0)</x:f>
        <x:v>0</x:v>
      </x:c>
      <x:c r="S135" s="2" t="n">
        <x:f>SUBTOTAL(103,N135)</x:f>
        <x:v>1</x:v>
      </x:c>
    </x:row>
    <x:row r="136" ht="42" customHeight="1">
      <x:c r="A136" s="28" t="b">
        <x:v>0</x:v>
      </x:c>
      <x:c r="B136" s="2" t="str">
        <x:v>Cycle 1</x:v>
      </x:c>
      <x:c r="C136" s="2" t="str">
        <x:v>Phase 2</x:v>
      </x:c>
      <x:c r="D136" s="2" t="str">
        <x:v>PLL</x:v>
      </x:c>
      <x:c r="E136" s="56" t="str">
        <x:v>RA.PL.2.3</x:v>
      </x:c>
      <x:c r="F136" s="14" t="str">
        <x:v>Meet with SMEs to gain business insight and clarify questions</x:v>
      </x:c>
      <x:c r="G136" s="5"/>
      <x:c r="H136" s="11"/>
      <x:c r="I136" s="11" t="n">
        <x:f>'Cycles &amp; Guide'!$D$10</x:f>
        <x:v>46112</x:v>
      </x:c>
      <x:c r="J136" s="11"/>
      <x:c r="K136" s="29"/>
      <x:c r="L136" s="2" t="str">
        <x:f>IF(O136=1,"Complete",IF(A136,"Checklist open",IF(H136&lt;&gt;"","In progress","Not started")))</x:f>
        <x:v>Not started</x:v>
      </x:c>
      <x:c r="M136" s="2" t="str">
        <x:v>Task</x:v>
      </x:c>
      <x:c r="N136" s="2" t="str">
        <x:v>RA.PL.2.3.2026.CY1</x:v>
      </x:c>
      <x:c r="O136" s="2" t="n">
        <x:f>R136</x:f>
        <x:v>0</x:v>
      </x:c>
      <x:c r="P136" s="2"/>
      <x:c r="Q136" s="2" t="n">
        <x:v>1</x:v>
      </x:c>
      <x:c r="R136" s="2" t="n">
        <x:f>IF(A136,1,0)</x:f>
        <x:v>0</x:v>
      </x:c>
      <x:c r="S136" s="2" t="n">
        <x:f>SUBTOTAL(103,N136)</x:f>
        <x:v>1</x:v>
      </x:c>
    </x:row>
    <x:row r="137" ht="42" customHeight="1">
      <x:c r="A137" s="28" t="b">
        <x:v>0</x:v>
      </x:c>
      <x:c r="B137" s="2" t="str">
        <x:v>Cycle 1</x:v>
      </x:c>
      <x:c r="C137" s="2" t="str">
        <x:v>Phase 2</x:v>
      </x:c>
      <x:c r="D137" s="2" t="str">
        <x:v>PLL</x:v>
      </x:c>
      <x:c r="E137" s="56" t="str">
        <x:v>RA.PL.2.4</x:v>
      </x:c>
      <x:c r="F137" s="14" t="str">
        <x:v>Establish and maintain a recurring meeting with D&amp;I to discuss Cycle progress</x:v>
      </x:c>
      <x:c r="G137" s="5"/>
      <x:c r="H137" s="11"/>
      <x:c r="I137" s="11" t="n">
        <x:f>'Cycles &amp; Guide'!$D$10</x:f>
        <x:v>46112</x:v>
      </x:c>
      <x:c r="J137" s="11"/>
      <x:c r="K137" s="29"/>
      <x:c r="L137" s="2" t="str">
        <x:f>IF(O137=1,"Complete",IF(A137,"Checklist open",IF(H137&lt;&gt;"","In progress","Not started")))</x:f>
        <x:v>Not started</x:v>
      </x:c>
      <x:c r="M137" s="2" t="str">
        <x:v>Task</x:v>
      </x:c>
      <x:c r="N137" s="2" t="str">
        <x:v>RA.PL.2.4.2026.CY1</x:v>
      </x:c>
      <x:c r="O137" s="2" t="n">
        <x:f>R137</x:f>
        <x:v>0</x:v>
      </x:c>
      <x:c r="P137" s="2"/>
      <x:c r="Q137" s="2" t="n">
        <x:v>1</x:v>
      </x:c>
      <x:c r="R137" s="2" t="n">
        <x:f>IF(A137,1,0)</x:f>
        <x:v>0</x:v>
      </x:c>
      <x:c r="S137" s="2" t="n">
        <x:f>SUBTOTAL(103,N137)</x:f>
        <x:v>1</x:v>
      </x:c>
    </x:row>
    <x:row r="138" ht="42" customHeight="1">
      <x:c r="A138" s="28" t="b">
        <x:v>0</x:v>
      </x:c>
      <x:c r="B138" s="2" t="str">
        <x:v>Cycle 1</x:v>
      </x:c>
      <x:c r="C138" s="2" t="str">
        <x:v>Phase 2</x:v>
      </x:c>
      <x:c r="D138" s="2" t="str">
        <x:v>PLL</x:v>
      </x:c>
      <x:c r="E138" s="56" t="str">
        <x:v>RA.PL.2.5</x:v>
      </x:c>
      <x:c r="F138" s="14" t="str">
        <x:v>Perform data testing and sampling</x:v>
      </x:c>
      <x:c r="G138" s="5"/>
      <x:c r="H138" s="11"/>
      <x:c r="I138" s="11" t="n">
        <x:f>'Cycles &amp; Guide'!$D$10</x:f>
        <x:v>46112</x:v>
      </x:c>
      <x:c r="J138" s="11"/>
      <x:c r="K138" s="29"/>
      <x:c r="L138" s="2" t="str">
        <x:f>IF(O138=1,"Complete",IF(A138,"Checklist open",IF(H138&lt;&gt;"","In progress","Not started")))</x:f>
        <x:v>Not started</x:v>
      </x:c>
      <x:c r="M138" s="2" t="str">
        <x:v>Task</x:v>
      </x:c>
      <x:c r="N138" s="2" t="str">
        <x:v>RA.PL.2.5.2026.CY1</x:v>
      </x:c>
      <x:c r="O138" s="2" t="n">
        <x:f>R138</x:f>
        <x:v>0</x:v>
      </x:c>
      <x:c r="P138" s="2"/>
      <x:c r="Q138" s="2" t="n">
        <x:v>1</x:v>
      </x:c>
      <x:c r="R138" s="2" t="n">
        <x:f>IF(A138,1,0)</x:f>
        <x:v>0</x:v>
      </x:c>
      <x:c r="S138" s="2" t="n">
        <x:f>SUBTOTAL(103,N138)</x:f>
        <x:v>1</x:v>
      </x:c>
    </x:row>
    <x:row r="139" ht="42" customHeight="1">
      <x:c r="A139" s="28" t="b">
        <x:v>0</x:v>
      </x:c>
      <x:c r="B139" s="2" t="str">
        <x:v>Cycle 1</x:v>
      </x:c>
      <x:c r="C139" s="2" t="str">
        <x:v>Phase 2</x:v>
      </x:c>
      <x:c r="D139" s="2" t="str">
        <x:v>PLL</x:v>
      </x:c>
      <x:c r="E139" s="56" t="str">
        <x:v>RA.PL.2.6</x:v>
      </x:c>
      <x:c r="F139" s="14" t="str">
        <x:v>Complete Positive Testing</x:v>
      </x:c>
      <x:c r="G139" s="5"/>
      <x:c r="H139" s="11"/>
      <x:c r="I139" s="11" t="n">
        <x:f>'Cycles &amp; Guide'!$D$10</x:f>
        <x:v>46112</x:v>
      </x:c>
      <x:c r="J139" s="11"/>
      <x:c r="K139" s="29"/>
      <x:c r="L139" s="2" t="str">
        <x:f>IF(O139=1,"Complete",IF(A139,"Checklist open",IF(H139&lt;&gt;"","In progress","Not started")))</x:f>
        <x:v>Not started</x:v>
      </x:c>
      <x:c r="M139" s="2" t="str">
        <x:v>Task</x:v>
      </x:c>
      <x:c r="N139" s="2" t="str">
        <x:v>RA.PL.2.6.2026.CY1</x:v>
      </x:c>
      <x:c r="O139" s="2" t="n">
        <x:f>R139</x:f>
        <x:v>0</x:v>
      </x:c>
      <x:c r="P139" s="2"/>
      <x:c r="Q139" s="2" t="n">
        <x:v>1</x:v>
      </x:c>
      <x:c r="R139" s="2" t="n">
        <x:f>IF(A139,1,0)</x:f>
        <x:v>0</x:v>
      </x:c>
      <x:c r="S139" s="2" t="n">
        <x:f>SUBTOTAL(103,N139)</x:f>
        <x:v>1</x:v>
      </x:c>
    </x:row>
    <x:row r="140" ht="42" customHeight="1">
      <x:c r="A140" s="28" t="b">
        <x:v>0</x:v>
      </x:c>
      <x:c r="B140" s="2" t="str">
        <x:v>Cycle 1</x:v>
      </x:c>
      <x:c r="C140" s="2" t="str">
        <x:v>Phase 2</x:v>
      </x:c>
      <x:c r="D140" s="2" t="str">
        <x:v>PLL</x:v>
      </x:c>
      <x:c r="E140" s="56" t="str">
        <x:v>RA.PL.2.7</x:v>
      </x:c>
      <x:c r="F140" s="14" t="str">
        <x:v>Complete Negative Testing</x:v>
      </x:c>
      <x:c r="G140" s="5"/>
      <x:c r="H140" s="11"/>
      <x:c r="I140" s="11" t="n">
        <x:f>'Cycles &amp; Guide'!$D$10</x:f>
        <x:v>46112</x:v>
      </x:c>
      <x:c r="J140" s="11"/>
      <x:c r="K140" s="29"/>
      <x:c r="L140" s="2" t="str">
        <x:f>IF(O140=1,"Complete",IF(A140,"Checklist open",IF(H140&lt;&gt;"","In progress","Not started")))</x:f>
        <x:v>Not started</x:v>
      </x:c>
      <x:c r="M140" s="2" t="str">
        <x:v>Task</x:v>
      </x:c>
      <x:c r="N140" s="2" t="str">
        <x:v>RA.PL.2.7.2026.CY1</x:v>
      </x:c>
      <x:c r="O140" s="2" t="n">
        <x:f>R140</x:f>
        <x:v>0</x:v>
      </x:c>
      <x:c r="P140" s="2"/>
      <x:c r="Q140" s="2" t="n">
        <x:v>1</x:v>
      </x:c>
      <x:c r="R140" s="2" t="n">
        <x:f>IF(A140,1,0)</x:f>
        <x:v>0</x:v>
      </x:c>
      <x:c r="S140" s="2" t="n">
        <x:f>SUBTOTAL(103,N140)</x:f>
        <x:v>1</x:v>
      </x:c>
    </x:row>
    <x:row r="141" ht="42" customHeight="1">
      <x:c r="A141" s="28" t="b">
        <x:v>0</x:v>
      </x:c>
      <x:c r="B141" s="2" t="str">
        <x:v>Cycle 1</x:v>
      </x:c>
      <x:c r="C141" s="2" t="str">
        <x:v>Phase 2</x:v>
      </x:c>
      <x:c r="D141" s="2" t="str">
        <x:v>PLL</x:v>
      </x:c>
      <x:c r="E141" s="56" t="str">
        <x:v>RA.PL.2.8</x:v>
      </x:c>
      <x:c r="F141" s="14" t="str">
        <x:v>Request additional data (as needed)</x:v>
      </x:c>
      <x:c r="G141" s="5"/>
      <x:c r="H141" s="11"/>
      <x:c r="I141" s="11" t="n">
        <x:f>'Cycles &amp; Guide'!$D$10</x:f>
        <x:v>46112</x:v>
      </x:c>
      <x:c r="J141" s="11"/>
      <x:c r="K141" s="29"/>
      <x:c r="L141" s="2" t="str">
        <x:f>IF(O141=1,"Complete",IF(A141,"Checklist open",IF(H141&lt;&gt;"","In progress","Not started")))</x:f>
        <x:v>Not started</x:v>
      </x:c>
      <x:c r="M141" s="2" t="str">
        <x:v>Task</x:v>
      </x:c>
      <x:c r="N141" s="2" t="str">
        <x:v>RA.PL.2.8.2026.CY1</x:v>
      </x:c>
      <x:c r="O141" s="2" t="n">
        <x:f>R141</x:f>
        <x:v>0</x:v>
      </x:c>
      <x:c r="P141" s="2"/>
      <x:c r="Q141" s="2" t="n">
        <x:v>1</x:v>
      </x:c>
      <x:c r="R141" s="2" t="n">
        <x:f>IF(A141,1,0)</x:f>
        <x:v>0</x:v>
      </x:c>
      <x:c r="S141" s="2" t="n">
        <x:f>SUBTOTAL(103,N141)</x:f>
        <x:v>1</x:v>
      </x:c>
    </x:row>
    <x:row r="142" ht="42" customHeight="1">
      <x:c r="A142" s="28" t="b">
        <x:v>0</x:v>
      </x:c>
      <x:c r="B142" s="2" t="str">
        <x:v>Cycle 1</x:v>
      </x:c>
      <x:c r="C142" s="2" t="str">
        <x:v>Phase 2</x:v>
      </x:c>
      <x:c r="D142" s="2" t="str">
        <x:v>PLL</x:v>
      </x:c>
      <x:c r="E142" s="56" t="str">
        <x:v>RA.PL.2.9</x:v>
      </x:c>
      <x:c r="F142" s="14" t="str">
        <x:v>Validate or disprove initial hypothesis assumptions</x:v>
      </x:c>
      <x:c r="G142" s="5"/>
      <x:c r="H142" s="11"/>
      <x:c r="I142" s="11" t="n">
        <x:f>'Cycles &amp; Guide'!$D$10</x:f>
        <x:v>46112</x:v>
      </x:c>
      <x:c r="J142" s="11"/>
      <x:c r="K142" s="29"/>
      <x:c r="L142" s="2" t="str">
        <x:f>IF(O142=1,"Complete",IF(A142,"Checklist open",IF(H142&lt;&gt;"","In progress","Not started")))</x:f>
        <x:v>Not started</x:v>
      </x:c>
      <x:c r="M142" s="2" t="str">
        <x:v>Task</x:v>
      </x:c>
      <x:c r="N142" s="2" t="str">
        <x:v>RA.PL.2.9.2026.CY1</x:v>
      </x:c>
      <x:c r="O142" s="2" t="n">
        <x:f>R142</x:f>
        <x:v>0</x:v>
      </x:c>
      <x:c r="P142" s="2"/>
      <x:c r="Q142" s="2" t="n">
        <x:v>1</x:v>
      </x:c>
      <x:c r="R142" s="2" t="n">
        <x:f>IF(A142,1,0)</x:f>
        <x:v>0</x:v>
      </x:c>
      <x:c r="S142" s="2" t="n">
        <x:f>SUBTOTAL(103,N142)</x:f>
        <x:v>1</x:v>
      </x:c>
    </x:row>
    <x:row r="143" ht="42" customHeight="1">
      <x:c r="A143" s="28" t="b">
        <x:v>0</x:v>
      </x:c>
      <x:c r="B143" s="2" t="str">
        <x:v>Cycle 1</x:v>
      </x:c>
      <x:c r="C143" s="2" t="str">
        <x:v>Phase 2</x:v>
      </x:c>
      <x:c r="D143" s="2" t="str">
        <x:v>PLL</x:v>
      </x:c>
      <x:c r="E143" s="56" t="str">
        <x:v>RA.PL.2.10</x:v>
      </x:c>
      <x:c r="F143" s="14" t="str">
        <x:v>Identify and confirm root cause</x:v>
      </x:c>
      <x:c r="G143" s="5"/>
      <x:c r="H143" s="11"/>
      <x:c r="I143" s="11" t="n">
        <x:f>'Cycles &amp; Guide'!$D$10</x:f>
        <x:v>46112</x:v>
      </x:c>
      <x:c r="J143" s="11"/>
      <x:c r="K143" s="29"/>
      <x:c r="L143" s="2" t="str">
        <x:f>IF(O143=1,"Complete",IF(A143,"Checklist open",IF(H143&lt;&gt;"","In progress","Not started")))</x:f>
        <x:v>Not started</x:v>
      </x:c>
      <x:c r="M143" s="2" t="str">
        <x:v>Task</x:v>
      </x:c>
      <x:c r="N143" s="2" t="str">
        <x:v>RA.PL.2.10.2026.CY1</x:v>
      </x:c>
      <x:c r="O143" s="2" t="n">
        <x:f>R143</x:f>
        <x:v>0</x:v>
      </x:c>
      <x:c r="P143" s="2"/>
      <x:c r="Q143" s="2" t="n">
        <x:v>1</x:v>
      </x:c>
      <x:c r="R143" s="2" t="n">
        <x:f>IF(A143,1,0)</x:f>
        <x:v>0</x:v>
      </x:c>
      <x:c r="S143" s="2" t="n">
        <x:f>SUBTOTAL(103,N143)</x:f>
        <x:v>1</x:v>
      </x:c>
    </x:row>
    <x:row r="144" ht="42" customHeight="1">
      <x:c r="A144" s="28" t="b">
        <x:v>0</x:v>
      </x:c>
      <x:c r="B144" s="2" t="str">
        <x:v>Cycle 1</x:v>
      </x:c>
      <x:c r="C144" s="2" t="str">
        <x:v>Phase 3</x:v>
      </x:c>
      <x:c r="D144" s="2" t="str">
        <x:v>PLL</x:v>
      </x:c>
      <x:c r="E144" s="56" t="str">
        <x:v>RA.PL.3.1</x:v>
      </x:c>
      <x:c r="F144" s="14" t="str">
        <x:v>Finalize results and supporting documentation</x:v>
      </x:c>
      <x:c r="G144" s="5"/>
      <x:c r="H144" s="11"/>
      <x:c r="I144" s="11" t="n">
        <x:f>'Cycles &amp; Guide'!$D$10</x:f>
        <x:v>46112</x:v>
      </x:c>
      <x:c r="J144" s="11"/>
      <x:c r="K144" s="29"/>
      <x:c r="L144" s="2" t="str">
        <x:f>IF(O144=1,"Complete",IF(A144,"Checklist open",IF(H144&lt;&gt;"","In progress","Not started")))</x:f>
        <x:v>Not started</x:v>
      </x:c>
      <x:c r="M144" s="2" t="str">
        <x:v>Task</x:v>
      </x:c>
      <x:c r="N144" s="2" t="str">
        <x:v>RA.PL.3.1.2026.CY1</x:v>
      </x:c>
      <x:c r="O144" s="2" t="n">
        <x:f>R144</x:f>
        <x:v>0</x:v>
      </x:c>
      <x:c r="P144" s="2"/>
      <x:c r="Q144" s="2" t="n">
        <x:v>1</x:v>
      </x:c>
      <x:c r="R144" s="2" t="n">
        <x:f>IF(A144,1,0)</x:f>
        <x:v>0</x:v>
      </x:c>
      <x:c r="S144" s="2" t="n">
        <x:f>SUBTOTAL(103,N144)</x:f>
        <x:v>1</x:v>
      </x:c>
    </x:row>
    <x:row r="145" ht="42" customHeight="1">
      <x:c r="A145" s="28" t="b">
        <x:v>0</x:v>
      </x:c>
      <x:c r="B145" s="2" t="str">
        <x:v>Cycle 1</x:v>
      </x:c>
      <x:c r="C145" s="2" t="str">
        <x:v>Phase 3</x:v>
      </x:c>
      <x:c r="D145" s="2" t="str">
        <x:v>PLL</x:v>
      </x:c>
      <x:c r="E145" s="56" t="str">
        <x:v>RA.PL.3.2</x:v>
      </x:c>
      <x:c r="F145" s="14" t="str">
        <x:v>Maintain and update the evidence package prior to handoff to D&amp;I</x:v>
      </x:c>
      <x:c r="G145" s="5"/>
      <x:c r="H145" s="11"/>
      <x:c r="I145" s="11" t="n">
        <x:f>'Cycles &amp; Guide'!$D$10</x:f>
        <x:v>46112</x:v>
      </x:c>
      <x:c r="J145" s="11"/>
      <x:c r="K145" s="29"/>
      <x:c r="L145" s="2" t="str">
        <x:f>IF(O145=1,"Complete",IF(A145,"Checklist open",IF(H145&lt;&gt;"","In progress","Not started")))</x:f>
        <x:v>Not started</x:v>
      </x:c>
      <x:c r="M145" s="2" t="str">
        <x:v>Task</x:v>
      </x:c>
      <x:c r="N145" s="2" t="str">
        <x:v>RA.PL.3.2.2026.CY1</x:v>
      </x:c>
      <x:c r="O145" s="2" t="n">
        <x:f>R145</x:f>
        <x:v>0</x:v>
      </x:c>
      <x:c r="P145" s="2"/>
      <x:c r="Q145" s="2" t="n">
        <x:v>1</x:v>
      </x:c>
      <x:c r="R145" s="2" t="n">
        <x:f>IF(A145,1,0)</x:f>
        <x:v>0</x:v>
      </x:c>
      <x:c r="S145" s="2" t="n">
        <x:f>SUBTOTAL(103,N145)</x:f>
        <x:v>1</x:v>
      </x:c>
    </x:row>
    <x:row r="146" ht="42" customHeight="1">
      <x:c r="A146" s="28" t="b">
        <x:v>0</x:v>
      </x:c>
      <x:c r="B146" s="2" t="str">
        <x:v>Cycle 1</x:v>
      </x:c>
      <x:c r="C146" s="2" t="str">
        <x:v>Phase 3</x:v>
      </x:c>
      <x:c r="D146" s="2" t="str">
        <x:v>PLL</x:v>
      </x:c>
      <x:c r="E146" s="56" t="str">
        <x:v>RA.PL.3.3</x:v>
      </x:c>
      <x:c r="F146" s="14" t="str">
        <x:v>Address any outstanding questions or requests from D&amp;I</x:v>
      </x:c>
      <x:c r="G146" s="5"/>
      <x:c r="H146" s="11"/>
      <x:c r="I146" s="11" t="n">
        <x:f>'Cycles &amp; Guide'!$D$10</x:f>
        <x:v>46112</x:v>
      </x:c>
      <x:c r="J146" s="11"/>
      <x:c r="K146" s="29"/>
      <x:c r="L146" s="2" t="str">
        <x:f>IF(O146=1,"Complete",IF(A146,"Checklist open",IF(H146&lt;&gt;"","In progress","Not started")))</x:f>
        <x:v>Not started</x:v>
      </x:c>
      <x:c r="M146" s="2" t="str">
        <x:v>Task</x:v>
      </x:c>
      <x:c r="N146" s="2" t="str">
        <x:v>RA.PL.3.3.2026.CY1</x:v>
      </x:c>
      <x:c r="O146" s="2" t="n">
        <x:f>R146</x:f>
        <x:v>0</x:v>
      </x:c>
      <x:c r="P146" s="2"/>
      <x:c r="Q146" s="2" t="n">
        <x:v>1</x:v>
      </x:c>
      <x:c r="R146" s="2" t="n">
        <x:f>IF(A146,1,0)</x:f>
        <x:v>0</x:v>
      </x:c>
      <x:c r="S146" s="2" t="n">
        <x:f>SUBTOTAL(103,N146)</x:f>
        <x:v>1</x:v>
      </x:c>
    </x:row>
    <x:row r="147" ht="42" customHeight="1">
      <x:c r="A147" s="28" t="b">
        <x:v>0</x:v>
      </x:c>
      <x:c r="B147" s="2" t="str">
        <x:v>Cycle 1</x:v>
      </x:c>
      <x:c r="C147" s="2" t="str">
        <x:v>Phase 3</x:v>
      </x:c>
      <x:c r="D147" s="2" t="str">
        <x:v>PLL</x:v>
      </x:c>
      <x:c r="E147" s="56" t="str">
        <x:v>RA.PL.3.4</x:v>
      </x:c>
      <x:c r="F147" s="14" t="str">
        <x:v>Attend Forum meeting with D&amp;I to assist with answering stakeholder questions (as needed)</x:v>
      </x:c>
      <x:c r="G147" s="5"/>
      <x:c r="H147" s="11"/>
      <x:c r="I147" s="11" t="str">
        <x:f>IF(SUMIFS('Cycles &amp; Guide'!$D$23:$D$50,'Cycles &amp; Guide'!$B$23:$B$50,B147,'Cycles &amp; Guide'!$C$23:$C$50,D147)=0,"",SUMIFS('Cycles &amp; Guide'!$D$23:$D$50,'Cycles &amp; Guide'!$B$23:$B$50,B147,'Cycles &amp; Guide'!$C$23:$C$50,D147))</x:f>
      </x:c>
      <x:c r="J147" s="11"/>
      <x:c r="K147" s="29"/>
      <x:c r="L147" s="2" t="str">
        <x:f>IF(O147=1,"Complete",IF(A147,"Checklist open",IF(H147&lt;&gt;"","In progress","Not started")))</x:f>
        <x:v>Not started</x:v>
      </x:c>
      <x:c r="M147" s="2" t="str">
        <x:v>Task</x:v>
      </x:c>
      <x:c r="N147" s="2" t="str">
        <x:v>RA.PL.3.4.2026.CY1</x:v>
      </x:c>
      <x:c r="O147" s="2" t="n">
        <x:f>R147</x:f>
        <x:v>0</x:v>
      </x:c>
      <x:c r="P147" s="2"/>
      <x:c r="Q147" s="2" t="n">
        <x:v>1</x:v>
      </x:c>
      <x:c r="R147" s="2" t="n">
        <x:f>IF(A147,1,0)</x:f>
        <x:v>0</x:v>
      </x:c>
      <x:c r="S147" s="2" t="n">
        <x:f>SUBTOTAL(103,N147)</x:f>
        <x:v>1</x:v>
      </x:c>
    </x:row>
    <x:row r="148" ht="42" customHeight="1">
      <x:c r="A148" s="28" t="b">
        <x:v>0</x:v>
      </x:c>
      <x:c r="B148" s="2" t="str">
        <x:v>Cycle 1</x:v>
      </x:c>
      <x:c r="C148" s="2" t="str">
        <x:v>Phase 1</x:v>
      </x:c>
      <x:c r="D148" s="2" t="str">
        <x:v>Retail Services</x:v>
      </x:c>
      <x:c r="E148" s="56" t="str">
        <x:v>RA.RS.1.1</x:v>
      </x:c>
      <x:c r="F148" s="14" t="str">
        <x:v>Begin Research process 2 weeks prior to Cycle start</x:v>
      </x:c>
      <x:c r="G148" s="5"/>
      <x:c r="H148" s="11"/>
      <x:c r="I148" s="11" t="n">
        <x:f>'Cycles &amp; Guide'!$C$10-14</x:f>
        <x:v>46009</x:v>
      </x:c>
      <x:c r="J148" s="11"/>
      <x:c r="K148" s="29"/>
      <x:c r="L148" s="2" t="str">
        <x:f>IF(O148=1,"Complete",IF(A148,"Checklist open",IF(H148&lt;&gt;"","In progress","Not started")))</x:f>
        <x:v>Not started</x:v>
      </x:c>
      <x:c r="M148" s="2" t="str">
        <x:v>Task</x:v>
      </x:c>
      <x:c r="N148" s="2" t="str">
        <x:v>RA.RS.1.1.2026.CY1</x:v>
      </x:c>
      <x:c r="O148" s="2" t="n">
        <x:f>R148</x:f>
        <x:v>0</x:v>
      </x:c>
      <x:c r="P148" s="2"/>
      <x:c r="Q148" s="2" t="n">
        <x:v>1</x:v>
      </x:c>
      <x:c r="R148" s="2" t="n">
        <x:f>IF(A148,1,0)</x:f>
        <x:v>0</x:v>
      </x:c>
      <x:c r="S148" s="2" t="n">
        <x:f>SUBTOTAL(103,N148)</x:f>
        <x:v>1</x:v>
      </x:c>
    </x:row>
    <x:row r="149" ht="42" customHeight="1">
      <x:c r="A149" s="28" t="b">
        <x:v>0</x:v>
      </x:c>
      <x:c r="B149" s="2" t="str">
        <x:v>Cycle 1</x:v>
      </x:c>
      <x:c r="C149" s="2" t="str">
        <x:v>Phase 1</x:v>
      </x:c>
      <x:c r="D149" s="2" t="str">
        <x:v>Retail Services</x:v>
      </x:c>
      <x:c r="E149" s="56" t="str">
        <x:v>RA.RS.1.2</x:v>
      </x:c>
      <x:c r="F149" s="14" t="str">
        <x:v>Conduct initial assessment of each topic recommendation from SharePoint list</x:v>
      </x:c>
      <x:c r="G149" s="5"/>
      <x:c r="H149" s="11"/>
      <x:c r="I149" s="11" t="n">
        <x:f>'Cycles &amp; Guide'!$D$10</x:f>
        <x:v>46112</x:v>
      </x:c>
      <x:c r="J149" s="11"/>
      <x:c r="K149" s="29"/>
      <x:c r="L149" s="2" t="str">
        <x:f>IF(O149=1,"Complete",IF(A149,"Checklist open",IF(H149&lt;&gt;"","In progress","Not started")))</x:f>
        <x:v>Not started</x:v>
      </x:c>
      <x:c r="M149" s="2" t="str">
        <x:v>Task</x:v>
      </x:c>
      <x:c r="N149" s="2" t="str">
        <x:v>RA.RS.1.2.2026.CY1</x:v>
      </x:c>
      <x:c r="O149" s="2" t="n">
        <x:f>R149</x:f>
        <x:v>0</x:v>
      </x:c>
      <x:c r="P149" s="2"/>
      <x:c r="Q149" s="2" t="n">
        <x:v>1</x:v>
      </x:c>
      <x:c r="R149" s="2" t="n">
        <x:f>IF(A149,1,0)</x:f>
        <x:v>0</x:v>
      </x:c>
      <x:c r="S149" s="2" t="n">
        <x:f>SUBTOTAL(103,N149)</x:f>
        <x:v>1</x:v>
      </x:c>
    </x:row>
    <x:row r="150" ht="42" customHeight="1">
      <x:c r="A150" s="28" t="b">
        <x:v>0</x:v>
      </x:c>
      <x:c r="B150" s="2" t="str">
        <x:v>Cycle 1</x:v>
      </x:c>
      <x:c r="C150" s="2" t="str">
        <x:v>Phase 1</x:v>
      </x:c>
      <x:c r="D150" s="2" t="str">
        <x:v>Retail Services</x:v>
      </x:c>
      <x:c r="E150" s="56" t="str">
        <x:v>RA.RS.1.3</x:v>
      </x:c>
      <x:c r="F150" s="14" t="str">
        <x:v>Identify best topic for Cycle</x:v>
      </x:c>
      <x:c r="G150" s="5"/>
      <x:c r="H150" s="11"/>
      <x:c r="I150" s="11" t="n">
        <x:f>'Cycles &amp; Guide'!$D$10</x:f>
        <x:v>46112</x:v>
      </x:c>
      <x:c r="J150" s="11"/>
      <x:c r="K150" s="29"/>
      <x:c r="L150" s="2" t="str">
        <x:f>IF(O150=1,"Complete",IF(A150,"Checklist open",IF(H150&lt;&gt;"","In progress","Not started")))</x:f>
        <x:v>Not started</x:v>
      </x:c>
      <x:c r="M150" s="2" t="str">
        <x:v>Task</x:v>
      </x:c>
      <x:c r="N150" s="2" t="str">
        <x:v>RA.RS.1.3.2026.CY1</x:v>
      </x:c>
      <x:c r="O150" s="2" t="n">
        <x:f>R150</x:f>
        <x:v>0</x:v>
      </x:c>
      <x:c r="P150" s="2"/>
      <x:c r="Q150" s="2" t="n">
        <x:v>1</x:v>
      </x:c>
      <x:c r="R150" s="2" t="n">
        <x:f>IF(A150,1,0)</x:f>
        <x:v>0</x:v>
      </x:c>
      <x:c r="S150" s="2" t="n">
        <x:f>SUBTOTAL(103,N150)</x:f>
        <x:v>1</x:v>
      </x:c>
    </x:row>
    <x:row r="151" ht="42" customHeight="1">
      <x:c r="A151" s="28" t="b">
        <x:v>0</x:v>
      </x:c>
      <x:c r="B151" s="2" t="str">
        <x:v>Cycle 1</x:v>
      </x:c>
      <x:c r="C151" s="2" t="str">
        <x:v>Phase 1</x:v>
      </x:c>
      <x:c r="D151" s="2" t="str">
        <x:v>Retail Services</x:v>
      </x:c>
      <x:c r="E151" s="56" t="str">
        <x:v>RA.RS.1.4</x:v>
      </x:c>
      <x:c r="F151" s="14" t="str">
        <x:v>Identify backup topic for Cycle</x:v>
      </x:c>
      <x:c r="G151" s="5"/>
      <x:c r="H151" s="11"/>
      <x:c r="I151" s="11" t="n">
        <x:f>'Cycles &amp; Guide'!$D$10</x:f>
        <x:v>46112</x:v>
      </x:c>
      <x:c r="J151" s="11"/>
      <x:c r="K151" s="29"/>
      <x:c r="L151" s="2" t="str">
        <x:f>IF(O151=1,"Complete",IF(A151,"Checklist open",IF(H151&lt;&gt;"","In progress","Not started")))</x:f>
        <x:v>Not started</x:v>
      </x:c>
      <x:c r="M151" s="2" t="str">
        <x:v>Task</x:v>
      </x:c>
      <x:c r="N151" s="2" t="str">
        <x:v>RA.RS.1.4.2026.CY1</x:v>
      </x:c>
      <x:c r="O151" s="2" t="n">
        <x:f>R151</x:f>
        <x:v>0</x:v>
      </x:c>
      <x:c r="P151" s="2"/>
      <x:c r="Q151" s="2" t="n">
        <x:v>1</x:v>
      </x:c>
      <x:c r="R151" s="2" t="n">
        <x:f>IF(A151,1,0)</x:f>
        <x:v>0</x:v>
      </x:c>
      <x:c r="S151" s="2" t="n">
        <x:f>SUBTOTAL(103,N151)</x:f>
        <x:v>1</x:v>
      </x:c>
    </x:row>
    <x:row r="152" ht="42" customHeight="1">
      <x:c r="A152" s="28" t="b">
        <x:v>0</x:v>
      </x:c>
      <x:c r="B152" s="2" t="str">
        <x:v>Cycle 1</x:v>
      </x:c>
      <x:c r="C152" s="2" t="str">
        <x:v>Phase 1</x:v>
      </x:c>
      <x:c r="D152" s="2" t="str">
        <x:v>Retail Services</x:v>
      </x:c>
      <x:c r="E152" s="56" t="str">
        <x:v>RA.RS.1.5</x:v>
      </x:c>
      <x:c r="F152" s="14" t="str">
        <x:v>Schedule topic approval meeting with D&amp;I and management</x:v>
      </x:c>
      <x:c r="G152" s="5"/>
      <x:c r="H152" s="11"/>
      <x:c r="I152" s="11" t="n">
        <x:f>'Cycles &amp; Guide'!$D$10</x:f>
        <x:v>46112</x:v>
      </x:c>
      <x:c r="J152" s="11"/>
      <x:c r="K152" s="29"/>
      <x:c r="L152" s="2" t="str">
        <x:f>IF(O152=1,"Complete",IF(A152,"Checklist open",IF(H152&lt;&gt;"","In progress","Not started")))</x:f>
        <x:v>Not started</x:v>
      </x:c>
      <x:c r="M152" s="2" t="str">
        <x:v>Task</x:v>
      </x:c>
      <x:c r="N152" s="2" t="str">
        <x:v>RA.RS.1.5.2026.CY1</x:v>
      </x:c>
      <x:c r="O152" s="2" t="n">
        <x:f>R152</x:f>
        <x:v>0</x:v>
      </x:c>
      <x:c r="P152" s="2"/>
      <x:c r="Q152" s="2" t="n">
        <x:v>1</x:v>
      </x:c>
      <x:c r="R152" s="2" t="n">
        <x:f>IF(A152,1,0)</x:f>
        <x:v>0</x:v>
      </x:c>
      <x:c r="S152" s="2" t="n">
        <x:f>SUBTOTAL(103,N152)</x:f>
        <x:v>1</x:v>
      </x:c>
    </x:row>
    <x:row r="153" ht="42" customHeight="1">
      <x:c r="A153" s="28" t="b">
        <x:v>0</x:v>
      </x:c>
      <x:c r="B153" s="2" t="str">
        <x:v>Cycle 1</x:v>
      </x:c>
      <x:c r="C153" s="2" t="str">
        <x:v>Phase 1</x:v>
      </x:c>
      <x:c r="D153" s="2" t="str">
        <x:v>Retail Services</x:v>
      </x:c>
      <x:c r="E153" s="56" t="str">
        <x:v>RA.RS.1.6</x:v>
      </x:c>
      <x:c r="F153" s="14" t="str">
        <x:v>Present recommended topic to D&amp;I and management for approval</x:v>
      </x:c>
      <x:c r="G153" s="5"/>
      <x:c r="H153" s="11"/>
      <x:c r="I153" s="11" t="n">
        <x:f>'Cycles &amp; Guide'!$D$10</x:f>
        <x:v>46112</x:v>
      </x:c>
      <x:c r="J153" s="11"/>
      <x:c r="K153" s="29"/>
      <x:c r="L153" s="2" t="str">
        <x:f>IF(O153=1,"Complete",IF(A153,"Checklist open",IF(H153&lt;&gt;"","In progress","Not started")))</x:f>
        <x:v>Not started</x:v>
      </x:c>
      <x:c r="M153" s="2" t="str">
        <x:v>Task</x:v>
      </x:c>
      <x:c r="N153" s="2" t="str">
        <x:v>RA.RS.1.6.2026.CY1</x:v>
      </x:c>
      <x:c r="O153" s="2" t="n">
        <x:f>R153</x:f>
        <x:v>0</x:v>
      </x:c>
      <x:c r="P153" s="2"/>
      <x:c r="Q153" s="2" t="n">
        <x:v>1</x:v>
      </x:c>
      <x:c r="R153" s="2" t="n">
        <x:f>IF(A153,1,0)</x:f>
        <x:v>0</x:v>
      </x:c>
      <x:c r="S153" s="2" t="n">
        <x:f>SUBTOTAL(103,N153)</x:f>
        <x:v>1</x:v>
      </x:c>
    </x:row>
    <x:row r="154" ht="42" customHeight="1">
      <x:c r="A154" s="28" t="b">
        <x:v>0</x:v>
      </x:c>
      <x:c r="B154" s="2" t="str">
        <x:v>Cycle 1</x:v>
      </x:c>
      <x:c r="C154" s="2" t="str">
        <x:v>Phase 1</x:v>
      </x:c>
      <x:c r="D154" s="2" t="str">
        <x:v>Retail Services</x:v>
      </x:c>
      <x:c r="E154" s="56" t="str">
        <x:v>RA.RS.1.7</x:v>
      </x:c>
      <x:c r="F154" s="14" t="str">
        <x:v>Obtain formal topic selection approval from management via SharePoint</x:v>
      </x:c>
      <x:c r="G154" s="5"/>
      <x:c r="H154" s="11"/>
      <x:c r="I154" s="11" t="n">
        <x:f>'Cycles &amp; Guide'!$D$10</x:f>
        <x:v>46112</x:v>
      </x:c>
      <x:c r="J154" s="11"/>
      <x:c r="K154" s="29"/>
      <x:c r="L154" s="2" t="str">
        <x:f>IF(O154=1,"Complete",IF(A154,"Checklist open",IF(H154&lt;&gt;"","In progress","Not started")))</x:f>
        <x:v>Not started</x:v>
      </x:c>
      <x:c r="M154" s="2" t="str">
        <x:v>Task</x:v>
      </x:c>
      <x:c r="N154" s="2" t="str">
        <x:v>RA.RS.1.7.2026.CY1</x:v>
      </x:c>
      <x:c r="O154" s="2" t="n">
        <x:f>R154</x:f>
        <x:v>0</x:v>
      </x:c>
      <x:c r="P154" s="2"/>
      <x:c r="Q154" s="2" t="n">
        <x:v>1</x:v>
      </x:c>
      <x:c r="R154" s="2" t="n">
        <x:f>IF(A154,1,0)</x:f>
        <x:v>0</x:v>
      </x:c>
      <x:c r="S154" s="2" t="n">
        <x:f>SUBTOTAL(103,N154)</x:f>
        <x:v>1</x:v>
      </x:c>
    </x:row>
    <x:row r="155" ht="42" customHeight="1">
      <x:c r="A155" s="28" t="b">
        <x:v>0</x:v>
      </x:c>
      <x:c r="B155" s="2" t="str">
        <x:v>Cycle 1</x:v>
      </x:c>
      <x:c r="C155" s="2" t="str">
        <x:v>Phase 1</x:v>
      </x:c>
      <x:c r="D155" s="2" t="str">
        <x:v>Retail Services</x:v>
      </x:c>
      <x:c r="E155" s="56" t="str">
        <x:v>RA.RS.1.8</x:v>
      </x:c>
      <x:c r="F155" s="14" t="str">
        <x:v>Socialize topic selection with product owners and subject matter experts (if known)</x:v>
      </x:c>
      <x:c r="G155" s="5"/>
      <x:c r="H155" s="11"/>
      <x:c r="I155" s="11" t="n">
        <x:f>'Cycles &amp; Guide'!$D$10</x:f>
        <x:v>46112</x:v>
      </x:c>
      <x:c r="J155" s="11"/>
      <x:c r="K155" s="29"/>
      <x:c r="L155" s="2" t="str">
        <x:f>IF(O155=1,"Complete",IF(A155,"Checklist open",IF(H155&lt;&gt;"","In progress","Not started")))</x:f>
        <x:v>Not started</x:v>
      </x:c>
      <x:c r="M155" s="2" t="str">
        <x:v>Task</x:v>
      </x:c>
      <x:c r="N155" s="2" t="str">
        <x:v>RA.RS.1.8.2026.CY1</x:v>
      </x:c>
      <x:c r="O155" s="2" t="n">
        <x:f>R155</x:f>
        <x:v>0</x:v>
      </x:c>
      <x:c r="P155" s="2"/>
      <x:c r="Q155" s="2" t="n">
        <x:v>1</x:v>
      </x:c>
      <x:c r="R155" s="2" t="n">
        <x:f>IF(A155,1,0)</x:f>
        <x:v>0</x:v>
      </x:c>
      <x:c r="S155" s="2" t="n">
        <x:f>SUBTOTAL(103,N155)</x:f>
        <x:v>1</x:v>
      </x:c>
    </x:row>
    <x:row r="156" ht="42" customHeight="1">
      <x:c r="A156" s="28" t="b">
        <x:v>0</x:v>
      </x:c>
      <x:c r="B156" s="2" t="str">
        <x:v>Cycle 1</x:v>
      </x:c>
      <x:c r="C156" s="2" t="str">
        <x:v>Phase 1</x:v>
      </x:c>
      <x:c r="D156" s="2" t="str">
        <x:v>Retail Services</x:v>
      </x:c>
      <x:c r="E156" s="56" t="str">
        <x:v>RA.RS.1.9</x:v>
      </x:c>
      <x:c r="F156" s="14" t="str">
        <x:v>Assign topic researchers</x:v>
      </x:c>
      <x:c r="G156" s="5"/>
      <x:c r="H156" s="11"/>
      <x:c r="I156" s="11" t="n">
        <x:f>'Cycles &amp; Guide'!$D$10</x:f>
        <x:v>46112</x:v>
      </x:c>
      <x:c r="J156" s="11"/>
      <x:c r="K156" s="29"/>
      <x:c r="L156" s="2" t="str">
        <x:f>IF(O156=1,"Complete",IF(A156,"Checklist open",IF(H156&lt;&gt;"","In progress","Not started")))</x:f>
        <x:v>Not started</x:v>
      </x:c>
      <x:c r="M156" s="2" t="str">
        <x:v>Task</x:v>
      </x:c>
      <x:c r="N156" s="2" t="str">
        <x:v>RA.RS.1.9.2026.CY1</x:v>
      </x:c>
      <x:c r="O156" s="2" t="n">
        <x:f>R156</x:f>
        <x:v>0</x:v>
      </x:c>
      <x:c r="P156" s="2"/>
      <x:c r="Q156" s="2" t="n">
        <x:v>1</x:v>
      </x:c>
      <x:c r="R156" s="2" t="n">
        <x:f>IF(A156,1,0)</x:f>
        <x:v>0</x:v>
      </x:c>
      <x:c r="S156" s="2" t="n">
        <x:f>SUBTOTAL(103,N156)</x:f>
        <x:v>1</x:v>
      </x:c>
    </x:row>
    <x:row r="157" ht="42" customHeight="1">
      <x:c r="A157" s="28" t="b">
        <x:v>0</x:v>
      </x:c>
      <x:c r="B157" s="2" t="str">
        <x:v>Cycle 1</x:v>
      </x:c>
      <x:c r="C157" s="2" t="str">
        <x:v>Phase 2</x:v>
      </x:c>
      <x:c r="D157" s="2" t="str">
        <x:v>Retail Services</x:v>
      </x:c>
      <x:c r="E157" s="56" t="str">
        <x:v>RA.RS.2.1</x:v>
      </x:c>
      <x:c r="F157" s="14" t="str">
        <x:v>Review data sources</x:v>
      </x:c>
      <x:c r="G157" s="5"/>
      <x:c r="H157" s="11"/>
      <x:c r="I157" s="11" t="n">
        <x:f>'Cycles &amp; Guide'!$D$10</x:f>
        <x:v>46112</x:v>
      </x:c>
      <x:c r="J157" s="11"/>
      <x:c r="K157" s="29"/>
      <x:c r="L157" s="2" t="str">
        <x:f>IF(O157=1,"Complete",IF(A157,"Checklist open",IF(H157&lt;&gt;"","In progress","Not started")))</x:f>
        <x:v>Not started</x:v>
      </x:c>
      <x:c r="M157" s="2" t="str">
        <x:v>Task</x:v>
      </x:c>
      <x:c r="N157" s="2" t="str">
        <x:v>RA.RS.2.1.2026.CY1</x:v>
      </x:c>
      <x:c r="O157" s="2" t="n">
        <x:f>R157</x:f>
        <x:v>0</x:v>
      </x:c>
      <x:c r="P157" s="2"/>
      <x:c r="Q157" s="2" t="n">
        <x:v>1</x:v>
      </x:c>
      <x:c r="R157" s="2" t="n">
        <x:f>IF(A157,1,0)</x:f>
        <x:v>0</x:v>
      </x:c>
      <x:c r="S157" s="2" t="n">
        <x:f>SUBTOTAL(103,N157)</x:f>
        <x:v>1</x:v>
      </x:c>
    </x:row>
    <x:row r="158" ht="42" customHeight="1">
      <x:c r="A158" s="28" t="b">
        <x:v>0</x:v>
      </x:c>
      <x:c r="B158" s="2" t="str">
        <x:v>Cycle 1</x:v>
      </x:c>
      <x:c r="C158" s="2" t="str">
        <x:v>Phase 2</x:v>
      </x:c>
      <x:c r="D158" s="2" t="str">
        <x:v>Retail Services</x:v>
      </x:c>
      <x:c r="E158" s="56" t="str">
        <x:v>RA.RS.2.2</x:v>
      </x:c>
      <x:c r="F158" s="14" t="str">
        <x:v>Review relevant policies and procedures</x:v>
      </x:c>
      <x:c r="G158" s="5"/>
      <x:c r="H158" s="11"/>
      <x:c r="I158" s="11" t="n">
        <x:f>'Cycles &amp; Guide'!$D$10</x:f>
        <x:v>46112</x:v>
      </x:c>
      <x:c r="J158" s="11"/>
      <x:c r="K158" s="29"/>
      <x:c r="L158" s="2" t="str">
        <x:f>IF(O158=1,"Complete",IF(A158,"Checklist open",IF(H158&lt;&gt;"","In progress","Not started")))</x:f>
        <x:v>Not started</x:v>
      </x:c>
      <x:c r="M158" s="2" t="str">
        <x:v>Task</x:v>
      </x:c>
      <x:c r="N158" s="2" t="str">
        <x:v>RA.RS.2.2.2026.CY1</x:v>
      </x:c>
      <x:c r="O158" s="2" t="n">
        <x:f>R158</x:f>
        <x:v>0</x:v>
      </x:c>
      <x:c r="P158" s="2"/>
      <x:c r="Q158" s="2" t="n">
        <x:v>1</x:v>
      </x:c>
      <x:c r="R158" s="2" t="n">
        <x:f>IF(A158,1,0)</x:f>
        <x:v>0</x:v>
      </x:c>
      <x:c r="S158" s="2" t="n">
        <x:f>SUBTOTAL(103,N158)</x:f>
        <x:v>1</x:v>
      </x:c>
    </x:row>
    <x:row r="159" ht="42" customHeight="1">
      <x:c r="A159" s="28" t="b">
        <x:v>0</x:v>
      </x:c>
      <x:c r="B159" s="2" t="str">
        <x:v>Cycle 1</x:v>
      </x:c>
      <x:c r="C159" s="2" t="str">
        <x:v>Phase 2</x:v>
      </x:c>
      <x:c r="D159" s="2" t="str">
        <x:v>Retail Services</x:v>
      </x:c>
      <x:c r="E159" s="56" t="str">
        <x:v>RA.RS.2.3</x:v>
      </x:c>
      <x:c r="F159" s="14" t="str">
        <x:v>Meet with SMEs to gain business insight and clarify questions</x:v>
      </x:c>
      <x:c r="G159" s="5"/>
      <x:c r="H159" s="11"/>
      <x:c r="I159" s="11" t="n">
        <x:f>'Cycles &amp; Guide'!$D$10</x:f>
        <x:v>46112</x:v>
      </x:c>
      <x:c r="J159" s="11"/>
      <x:c r="K159" s="29"/>
      <x:c r="L159" s="2" t="str">
        <x:f>IF(O159=1,"Complete",IF(A159,"Checklist open",IF(H159&lt;&gt;"","In progress","Not started")))</x:f>
        <x:v>Not started</x:v>
      </x:c>
      <x:c r="M159" s="2" t="str">
        <x:v>Task</x:v>
      </x:c>
      <x:c r="N159" s="2" t="str">
        <x:v>RA.RS.2.3.2026.CY1</x:v>
      </x:c>
      <x:c r="O159" s="2" t="n">
        <x:f>R159</x:f>
        <x:v>0</x:v>
      </x:c>
      <x:c r="P159" s="2"/>
      <x:c r="Q159" s="2" t="n">
        <x:v>1</x:v>
      </x:c>
      <x:c r="R159" s="2" t="n">
        <x:f>IF(A159,1,0)</x:f>
        <x:v>0</x:v>
      </x:c>
      <x:c r="S159" s="2" t="n">
        <x:f>SUBTOTAL(103,N159)</x:f>
        <x:v>1</x:v>
      </x:c>
    </x:row>
    <x:row r="160" ht="42" customHeight="1">
      <x:c r="A160" s="28" t="b">
        <x:v>0</x:v>
      </x:c>
      <x:c r="B160" s="2" t="str">
        <x:v>Cycle 1</x:v>
      </x:c>
      <x:c r="C160" s="2" t="str">
        <x:v>Phase 2</x:v>
      </x:c>
      <x:c r="D160" s="2" t="str">
        <x:v>Retail Services</x:v>
      </x:c>
      <x:c r="E160" s="56" t="str">
        <x:v>RA.RS.2.4</x:v>
      </x:c>
      <x:c r="F160" s="14" t="str">
        <x:v>Establish and maintain a recurring meeting with D&amp;I to discuss Cycle progress</x:v>
      </x:c>
      <x:c r="G160" s="5"/>
      <x:c r="H160" s="11"/>
      <x:c r="I160" s="11" t="n">
        <x:f>'Cycles &amp; Guide'!$D$10</x:f>
        <x:v>46112</x:v>
      </x:c>
      <x:c r="J160" s="11"/>
      <x:c r="K160" s="29"/>
      <x:c r="L160" s="2" t="str">
        <x:f>IF(O160=1,"Complete",IF(A160,"Checklist open",IF(H160&lt;&gt;"","In progress","Not started")))</x:f>
        <x:v>Not started</x:v>
      </x:c>
      <x:c r="M160" s="2" t="str">
        <x:v>Task</x:v>
      </x:c>
      <x:c r="N160" s="2" t="str">
        <x:v>RA.RS.2.4.2026.CY1</x:v>
      </x:c>
      <x:c r="O160" s="2" t="n">
        <x:f>R160</x:f>
        <x:v>0</x:v>
      </x:c>
      <x:c r="P160" s="2"/>
      <x:c r="Q160" s="2" t="n">
        <x:v>1</x:v>
      </x:c>
      <x:c r="R160" s="2" t="n">
        <x:f>IF(A160,1,0)</x:f>
        <x:v>0</x:v>
      </x:c>
      <x:c r="S160" s="2" t="n">
        <x:f>SUBTOTAL(103,N160)</x:f>
        <x:v>1</x:v>
      </x:c>
    </x:row>
    <x:row r="161" ht="42" customHeight="1">
      <x:c r="A161" s="28" t="b">
        <x:v>0</x:v>
      </x:c>
      <x:c r="B161" s="2" t="str">
        <x:v>Cycle 1</x:v>
      </x:c>
      <x:c r="C161" s="2" t="str">
        <x:v>Phase 2</x:v>
      </x:c>
      <x:c r="D161" s="2" t="str">
        <x:v>Retail Services</x:v>
      </x:c>
      <x:c r="E161" s="56" t="str">
        <x:v>RA.RS.2.5</x:v>
      </x:c>
      <x:c r="F161" s="14" t="str">
        <x:v>Perform data testing and sampling</x:v>
      </x:c>
      <x:c r="G161" s="5"/>
      <x:c r="H161" s="11"/>
      <x:c r="I161" s="11" t="n">
        <x:f>'Cycles &amp; Guide'!$D$10</x:f>
        <x:v>46112</x:v>
      </x:c>
      <x:c r="J161" s="11"/>
      <x:c r="K161" s="29"/>
      <x:c r="L161" s="2" t="str">
        <x:f>IF(O161=1,"Complete",IF(A161,"Checklist open",IF(H161&lt;&gt;"","In progress","Not started")))</x:f>
        <x:v>Not started</x:v>
      </x:c>
      <x:c r="M161" s="2" t="str">
        <x:v>Task</x:v>
      </x:c>
      <x:c r="N161" s="2" t="str">
        <x:v>RA.RS.2.5.2026.CY1</x:v>
      </x:c>
      <x:c r="O161" s="2" t="n">
        <x:f>R161</x:f>
        <x:v>0</x:v>
      </x:c>
      <x:c r="P161" s="2"/>
      <x:c r="Q161" s="2" t="n">
        <x:v>1</x:v>
      </x:c>
      <x:c r="R161" s="2" t="n">
        <x:f>IF(A161,1,0)</x:f>
        <x:v>0</x:v>
      </x:c>
      <x:c r="S161" s="2" t="n">
        <x:f>SUBTOTAL(103,N161)</x:f>
        <x:v>1</x:v>
      </x:c>
    </x:row>
    <x:row r="162" ht="42" customHeight="1">
      <x:c r="A162" s="28" t="b">
        <x:v>0</x:v>
      </x:c>
      <x:c r="B162" s="2" t="str">
        <x:v>Cycle 1</x:v>
      </x:c>
      <x:c r="C162" s="2" t="str">
        <x:v>Phase 2</x:v>
      </x:c>
      <x:c r="D162" s="2" t="str">
        <x:v>Retail Services</x:v>
      </x:c>
      <x:c r="E162" s="56" t="str">
        <x:v>RA.RS.2.6</x:v>
      </x:c>
      <x:c r="F162" s="14" t="str">
        <x:v>Complete Positive Testing</x:v>
      </x:c>
      <x:c r="G162" s="5"/>
      <x:c r="H162" s="11"/>
      <x:c r="I162" s="11" t="n">
        <x:f>'Cycles &amp; Guide'!$D$10</x:f>
        <x:v>46112</x:v>
      </x:c>
      <x:c r="J162" s="11"/>
      <x:c r="K162" s="29"/>
      <x:c r="L162" s="2" t="str">
        <x:f>IF(O162=1,"Complete",IF(A162,"Checklist open",IF(H162&lt;&gt;"","In progress","Not started")))</x:f>
        <x:v>Not started</x:v>
      </x:c>
      <x:c r="M162" s="2" t="str">
        <x:v>Task</x:v>
      </x:c>
      <x:c r="N162" s="2" t="str">
        <x:v>RA.RS.2.6.2026.CY1</x:v>
      </x:c>
      <x:c r="O162" s="2" t="n">
        <x:f>R162</x:f>
        <x:v>0</x:v>
      </x:c>
      <x:c r="P162" s="2"/>
      <x:c r="Q162" s="2" t="n">
        <x:v>1</x:v>
      </x:c>
      <x:c r="R162" s="2" t="n">
        <x:f>IF(A162,1,0)</x:f>
        <x:v>0</x:v>
      </x:c>
      <x:c r="S162" s="2" t="n">
        <x:f>SUBTOTAL(103,N162)</x:f>
        <x:v>1</x:v>
      </x:c>
    </x:row>
    <x:row r="163" ht="42" customHeight="1">
      <x:c r="A163" s="28" t="b">
        <x:v>0</x:v>
      </x:c>
      <x:c r="B163" s="2" t="str">
        <x:v>Cycle 1</x:v>
      </x:c>
      <x:c r="C163" s="2" t="str">
        <x:v>Phase 2</x:v>
      </x:c>
      <x:c r="D163" s="2" t="str">
        <x:v>Retail Services</x:v>
      </x:c>
      <x:c r="E163" s="56" t="str">
        <x:v>RA.RS.2.7</x:v>
      </x:c>
      <x:c r="F163" s="14" t="str">
        <x:v>Complete Negative Testing</x:v>
      </x:c>
      <x:c r="G163" s="5"/>
      <x:c r="H163" s="11"/>
      <x:c r="I163" s="11" t="n">
        <x:f>'Cycles &amp; Guide'!$D$10</x:f>
        <x:v>46112</x:v>
      </x:c>
      <x:c r="J163" s="11"/>
      <x:c r="K163" s="29"/>
      <x:c r="L163" s="2" t="str">
        <x:f>IF(O163=1,"Complete",IF(A163,"Checklist open",IF(H163&lt;&gt;"","In progress","Not started")))</x:f>
        <x:v>Not started</x:v>
      </x:c>
      <x:c r="M163" s="2" t="str">
        <x:v>Task</x:v>
      </x:c>
      <x:c r="N163" s="2" t="str">
        <x:v>RA.RS.2.7.2026.CY1</x:v>
      </x:c>
      <x:c r="O163" s="2" t="n">
        <x:f>R163</x:f>
        <x:v>0</x:v>
      </x:c>
      <x:c r="P163" s="2"/>
      <x:c r="Q163" s="2" t="n">
        <x:v>1</x:v>
      </x:c>
      <x:c r="R163" s="2" t="n">
        <x:f>IF(A163,1,0)</x:f>
        <x:v>0</x:v>
      </x:c>
      <x:c r="S163" s="2" t="n">
        <x:f>SUBTOTAL(103,N163)</x:f>
        <x:v>1</x:v>
      </x:c>
    </x:row>
    <x:row r="164" ht="42" customHeight="1">
      <x:c r="A164" s="28" t="b">
        <x:v>0</x:v>
      </x:c>
      <x:c r="B164" s="2" t="str">
        <x:v>Cycle 1</x:v>
      </x:c>
      <x:c r="C164" s="2" t="str">
        <x:v>Phase 2</x:v>
      </x:c>
      <x:c r="D164" s="2" t="str">
        <x:v>Retail Services</x:v>
      </x:c>
      <x:c r="E164" s="56" t="str">
        <x:v>RA.RS.2.8</x:v>
      </x:c>
      <x:c r="F164" s="14" t="str">
        <x:v>Request additional data (as needed)</x:v>
      </x:c>
      <x:c r="G164" s="5"/>
      <x:c r="H164" s="11"/>
      <x:c r="I164" s="11" t="n">
        <x:f>'Cycles &amp; Guide'!$D$10</x:f>
        <x:v>46112</x:v>
      </x:c>
      <x:c r="J164" s="11"/>
      <x:c r="K164" s="29"/>
      <x:c r="L164" s="2" t="str">
        <x:f>IF(O164=1,"Complete",IF(A164,"Checklist open",IF(H164&lt;&gt;"","In progress","Not started")))</x:f>
        <x:v>Not started</x:v>
      </x:c>
      <x:c r="M164" s="2" t="str">
        <x:v>Task</x:v>
      </x:c>
      <x:c r="N164" s="2" t="str">
        <x:v>RA.RS.2.8.2026.CY1</x:v>
      </x:c>
      <x:c r="O164" s="2" t="n">
        <x:f>R164</x:f>
        <x:v>0</x:v>
      </x:c>
      <x:c r="P164" s="2"/>
      <x:c r="Q164" s="2" t="n">
        <x:v>1</x:v>
      </x:c>
      <x:c r="R164" s="2" t="n">
        <x:f>IF(A164,1,0)</x:f>
        <x:v>0</x:v>
      </x:c>
      <x:c r="S164" s="2" t="n">
        <x:f>SUBTOTAL(103,N164)</x:f>
        <x:v>1</x:v>
      </x:c>
    </x:row>
    <x:row r="165" ht="42" customHeight="1">
      <x:c r="A165" s="28" t="b">
        <x:v>0</x:v>
      </x:c>
      <x:c r="B165" s="2" t="str">
        <x:v>Cycle 1</x:v>
      </x:c>
      <x:c r="C165" s="2" t="str">
        <x:v>Phase 2</x:v>
      </x:c>
      <x:c r="D165" s="2" t="str">
        <x:v>Retail Services</x:v>
      </x:c>
      <x:c r="E165" s="56" t="str">
        <x:v>RA.RS.2.9</x:v>
      </x:c>
      <x:c r="F165" s="14" t="str">
        <x:v>Validate or disprove initial hypothesis assumptions</x:v>
      </x:c>
      <x:c r="G165" s="5"/>
      <x:c r="H165" s="11"/>
      <x:c r="I165" s="11" t="n">
        <x:f>'Cycles &amp; Guide'!$D$10</x:f>
        <x:v>46112</x:v>
      </x:c>
      <x:c r="J165" s="11"/>
      <x:c r="K165" s="29"/>
      <x:c r="L165" s="2" t="str">
        <x:f>IF(O165=1,"Complete",IF(A165,"Checklist open",IF(H165&lt;&gt;"","In progress","Not started")))</x:f>
        <x:v>Not started</x:v>
      </x:c>
      <x:c r="M165" s="2" t="str">
        <x:v>Task</x:v>
      </x:c>
      <x:c r="N165" s="2" t="str">
        <x:v>RA.RS.2.9.2026.CY1</x:v>
      </x:c>
      <x:c r="O165" s="2" t="n">
        <x:f>R165</x:f>
        <x:v>0</x:v>
      </x:c>
      <x:c r="P165" s="2"/>
      <x:c r="Q165" s="2" t="n">
        <x:v>1</x:v>
      </x:c>
      <x:c r="R165" s="2" t="n">
        <x:f>IF(A165,1,0)</x:f>
        <x:v>0</x:v>
      </x:c>
      <x:c r="S165" s="2" t="n">
        <x:f>SUBTOTAL(103,N165)</x:f>
        <x:v>1</x:v>
      </x:c>
    </x:row>
    <x:row r="166" ht="42" customHeight="1">
      <x:c r="A166" s="28" t="b">
        <x:v>0</x:v>
      </x:c>
      <x:c r="B166" s="2" t="str">
        <x:v>Cycle 1</x:v>
      </x:c>
      <x:c r="C166" s="2" t="str">
        <x:v>Phase 2</x:v>
      </x:c>
      <x:c r="D166" s="2" t="str">
        <x:v>Retail Services</x:v>
      </x:c>
      <x:c r="E166" s="56" t="str">
        <x:v>RA.RS.2.10</x:v>
      </x:c>
      <x:c r="F166" s="14" t="str">
        <x:v>Identify and confirm root cause</x:v>
      </x:c>
      <x:c r="G166" s="5"/>
      <x:c r="H166" s="11"/>
      <x:c r="I166" s="11" t="n">
        <x:f>'Cycles &amp; Guide'!$D$10</x:f>
        <x:v>46112</x:v>
      </x:c>
      <x:c r="J166" s="11"/>
      <x:c r="K166" s="29"/>
      <x:c r="L166" s="2" t="str">
        <x:f>IF(O166=1,"Complete",IF(A166,"Checklist open",IF(H166&lt;&gt;"","In progress","Not started")))</x:f>
        <x:v>Not started</x:v>
      </x:c>
      <x:c r="M166" s="2" t="str">
        <x:v>Task</x:v>
      </x:c>
      <x:c r="N166" s="2" t="str">
        <x:v>RA.RS.2.10.2026.CY1</x:v>
      </x:c>
      <x:c r="O166" s="2" t="n">
        <x:f>R166</x:f>
        <x:v>0</x:v>
      </x:c>
      <x:c r="P166" s="2"/>
      <x:c r="Q166" s="2" t="n">
        <x:v>1</x:v>
      </x:c>
      <x:c r="R166" s="2" t="n">
        <x:f>IF(A166,1,0)</x:f>
        <x:v>0</x:v>
      </x:c>
      <x:c r="S166" s="2" t="n">
        <x:f>SUBTOTAL(103,N166)</x:f>
        <x:v>1</x:v>
      </x:c>
    </x:row>
    <x:row r="167" ht="42" customHeight="1">
      <x:c r="A167" s="28" t="b">
        <x:v>0</x:v>
      </x:c>
      <x:c r="B167" s="2" t="str">
        <x:v>Cycle 1</x:v>
      </x:c>
      <x:c r="C167" s="2" t="str">
        <x:v>Phase 3</x:v>
      </x:c>
      <x:c r="D167" s="2" t="str">
        <x:v>Retail Services</x:v>
      </x:c>
      <x:c r="E167" s="56" t="str">
        <x:v>RA.RS.3.1</x:v>
      </x:c>
      <x:c r="F167" s="14" t="str">
        <x:v>Finalize results and supporting documentation</x:v>
      </x:c>
      <x:c r="G167" s="5"/>
      <x:c r="H167" s="11"/>
      <x:c r="I167" s="11" t="n">
        <x:f>'Cycles &amp; Guide'!$D$10</x:f>
        <x:v>46112</x:v>
      </x:c>
      <x:c r="J167" s="11"/>
      <x:c r="K167" s="29"/>
      <x:c r="L167" s="2" t="str">
        <x:f>IF(O167=1,"Complete",IF(A167,"Checklist open",IF(H167&lt;&gt;"","In progress","Not started")))</x:f>
        <x:v>Not started</x:v>
      </x:c>
      <x:c r="M167" s="2" t="str">
        <x:v>Task</x:v>
      </x:c>
      <x:c r="N167" s="2" t="str">
        <x:v>RA.RS.3.1.2026.CY1</x:v>
      </x:c>
      <x:c r="O167" s="2" t="n">
        <x:f>R167</x:f>
        <x:v>0</x:v>
      </x:c>
      <x:c r="P167" s="2"/>
      <x:c r="Q167" s="2" t="n">
        <x:v>1</x:v>
      </x:c>
      <x:c r="R167" s="2" t="n">
        <x:f>IF(A167,1,0)</x:f>
        <x:v>0</x:v>
      </x:c>
      <x:c r="S167" s="2" t="n">
        <x:f>SUBTOTAL(103,N167)</x:f>
        <x:v>1</x:v>
      </x:c>
    </x:row>
    <x:row r="168" ht="42" customHeight="1">
      <x:c r="A168" s="28" t="b">
        <x:v>0</x:v>
      </x:c>
      <x:c r="B168" s="2" t="str">
        <x:v>Cycle 1</x:v>
      </x:c>
      <x:c r="C168" s="2" t="str">
        <x:v>Phase 3</x:v>
      </x:c>
      <x:c r="D168" s="2" t="str">
        <x:v>Retail Services</x:v>
      </x:c>
      <x:c r="E168" s="56" t="str">
        <x:v>RA.RS.3.2</x:v>
      </x:c>
      <x:c r="F168" s="14" t="str">
        <x:v>Maintain and update the evidence package prior to handoff to D&amp;I</x:v>
      </x:c>
      <x:c r="G168" s="5"/>
      <x:c r="H168" s="11"/>
      <x:c r="I168" s="11" t="n">
        <x:f>'Cycles &amp; Guide'!$D$10</x:f>
        <x:v>46112</x:v>
      </x:c>
      <x:c r="J168" s="11"/>
      <x:c r="K168" s="29"/>
      <x:c r="L168" s="2" t="str">
        <x:f>IF(O168=1,"Complete",IF(A168,"Checklist open",IF(H168&lt;&gt;"","In progress","Not started")))</x:f>
        <x:v>Not started</x:v>
      </x:c>
      <x:c r="M168" s="2" t="str">
        <x:v>Task</x:v>
      </x:c>
      <x:c r="N168" s="2" t="str">
        <x:v>RA.RS.3.2.2026.CY1</x:v>
      </x:c>
      <x:c r="O168" s="2" t="n">
        <x:f>R168</x:f>
        <x:v>0</x:v>
      </x:c>
      <x:c r="P168" s="2"/>
      <x:c r="Q168" s="2" t="n">
        <x:v>1</x:v>
      </x:c>
      <x:c r="R168" s="2" t="n">
        <x:f>IF(A168,1,0)</x:f>
        <x:v>0</x:v>
      </x:c>
      <x:c r="S168" s="2" t="n">
        <x:f>SUBTOTAL(103,N168)</x:f>
        <x:v>1</x:v>
      </x:c>
    </x:row>
    <x:row r="169" ht="42" customHeight="1">
      <x:c r="A169" s="28" t="b">
        <x:v>0</x:v>
      </x:c>
      <x:c r="B169" s="2" t="str">
        <x:v>Cycle 1</x:v>
      </x:c>
      <x:c r="C169" s="2" t="str">
        <x:v>Phase 3</x:v>
      </x:c>
      <x:c r="D169" s="2" t="str">
        <x:v>Retail Services</x:v>
      </x:c>
      <x:c r="E169" s="56" t="str">
        <x:v>RA.RS.3.3</x:v>
      </x:c>
      <x:c r="F169" s="14" t="str">
        <x:v>Address any outstanding questions or requests from D&amp;I</x:v>
      </x:c>
      <x:c r="G169" s="5"/>
      <x:c r="H169" s="11"/>
      <x:c r="I169" s="11" t="n">
        <x:f>'Cycles &amp; Guide'!$D$10</x:f>
        <x:v>46112</x:v>
      </x:c>
      <x:c r="J169" s="11"/>
      <x:c r="K169" s="29"/>
      <x:c r="L169" s="2" t="str">
        <x:f>IF(O169=1,"Complete",IF(A169,"Checklist open",IF(H169&lt;&gt;"","In progress","Not started")))</x:f>
        <x:v>Not started</x:v>
      </x:c>
      <x:c r="M169" s="2" t="str">
        <x:v>Task</x:v>
      </x:c>
      <x:c r="N169" s="2" t="str">
        <x:v>RA.RS.3.3.2026.CY1</x:v>
      </x:c>
      <x:c r="O169" s="2" t="n">
        <x:f>R169</x:f>
        <x:v>0</x:v>
      </x:c>
      <x:c r="P169" s="2"/>
      <x:c r="Q169" s="2" t="n">
        <x:v>1</x:v>
      </x:c>
      <x:c r="R169" s="2" t="n">
        <x:f>IF(A169,1,0)</x:f>
        <x:v>0</x:v>
      </x:c>
      <x:c r="S169" s="2" t="n">
        <x:f>SUBTOTAL(103,N169)</x:f>
        <x:v>1</x:v>
      </x:c>
    </x:row>
    <x:row r="170" ht="42" customHeight="1">
      <x:c r="A170" s="28" t="b">
        <x:v>0</x:v>
      </x:c>
      <x:c r="B170" s="2" t="str">
        <x:v>Cycle 1</x:v>
      </x:c>
      <x:c r="C170" s="2" t="str">
        <x:v>Phase 3</x:v>
      </x:c>
      <x:c r="D170" s="2" t="str">
        <x:v>Retail Services</x:v>
      </x:c>
      <x:c r="E170" s="56" t="str">
        <x:v>RA.RS.3.4</x:v>
      </x:c>
      <x:c r="F170" s="14" t="str">
        <x:v>Attend Forum meeting with D&amp;I to assist with answering stakeholder questions (as needed)</x:v>
      </x:c>
      <x:c r="G170" s="5"/>
      <x:c r="H170" s="11"/>
      <x:c r="I170" s="11" t="str">
        <x:f>IF(SUMIFS('Cycles &amp; Guide'!$D$23:$D$50,'Cycles &amp; Guide'!$B$23:$B$50,B170,'Cycles &amp; Guide'!$C$23:$C$50,D170)=0,"",SUMIFS('Cycles &amp; Guide'!$D$23:$D$50,'Cycles &amp; Guide'!$B$23:$B$50,B170,'Cycles &amp; Guide'!$C$23:$C$50,D170))</x:f>
      </x:c>
      <x:c r="J170" s="11"/>
      <x:c r="K170" s="29"/>
      <x:c r="L170" s="2" t="str">
        <x:f>IF(O170=1,"Complete",IF(A170,"Checklist open",IF(H170&lt;&gt;"","In progress","Not started")))</x:f>
        <x:v>Not started</x:v>
      </x:c>
      <x:c r="M170" s="2" t="str">
        <x:v>Task</x:v>
      </x:c>
      <x:c r="N170" s="2" t="str">
        <x:v>RA.RS.3.4.2026.CY1</x:v>
      </x:c>
      <x:c r="O170" s="2" t="n">
        <x:f>R170</x:f>
        <x:v>0</x:v>
      </x:c>
      <x:c r="P170" s="2"/>
      <x:c r="Q170" s="2" t="n">
        <x:v>1</x:v>
      </x:c>
      <x:c r="R170" s="2" t="n">
        <x:f>IF(A170,1,0)</x:f>
        <x:v>0</x:v>
      </x:c>
      <x:c r="S170" s="2" t="n">
        <x:f>SUBTOTAL(103,N170)</x:f>
        <x:v>1</x:v>
      </x:c>
    </x:row>
    <x:row r="171" ht="42" customHeight="1">
      <x:c r="A171" s="28" t="b">
        <x:v>0</x:v>
      </x:c>
      <x:c r="B171" s="2" t="str">
        <x:v>Cycle 2</x:v>
      </x:c>
      <x:c r="C171" s="2" t="str">
        <x:v>Phase 1</x:v>
      </x:c>
      <x:c r="D171" s="2" t="str">
        <x:v>Auto</x:v>
      </x:c>
      <x:c r="E171" s="56" t="str">
        <x:v>RA.AU.1.1</x:v>
      </x:c>
      <x:c r="F171" s="14" t="str">
        <x:v>Begin Research process 2 weeks prior to Cycle start</x:v>
      </x:c>
      <x:c r="G171" s="5"/>
      <x:c r="H171" s="11"/>
      <x:c r="I171" s="11" t="n">
        <x:f>'Cycles &amp; Guide'!$C$11-14</x:f>
        <x:v>46099</x:v>
      </x:c>
      <x:c r="J171" s="11"/>
      <x:c r="K171" s="29"/>
      <x:c r="L171" s="2" t="str">
        <x:f>IF(O171=1,"Complete",IF(A171,"Checklist open",IF(H171&lt;&gt;"","In progress","Not started")))</x:f>
        <x:v>Not started</x:v>
      </x:c>
      <x:c r="M171" s="2" t="str">
        <x:v>Task</x:v>
      </x:c>
      <x:c r="N171" s="2" t="str">
        <x:v>RA.AU.1.1.2026.CY2</x:v>
      </x:c>
      <x:c r="O171" s="2" t="n">
        <x:f>R171</x:f>
        <x:v>0</x:v>
      </x:c>
      <x:c r="P171" s="2"/>
      <x:c r="Q171" s="2" t="n">
        <x:v>1</x:v>
      </x:c>
      <x:c r="R171" s="2" t="n">
        <x:f>IF(A171,1,0)</x:f>
        <x:v>0</x:v>
      </x:c>
      <x:c r="S171" s="2" t="n">
        <x:f>SUBTOTAL(103,N171)</x:f>
        <x:v>1</x:v>
      </x:c>
    </x:row>
    <x:row r="172" ht="42" customHeight="1">
      <x:c r="A172" s="28" t="b">
        <x:v>0</x:v>
      </x:c>
      <x:c r="B172" s="2" t="str">
        <x:v>Cycle 2</x:v>
      </x:c>
      <x:c r="C172" s="2" t="str">
        <x:v>Phase 1</x:v>
      </x:c>
      <x:c r="D172" s="2" t="str">
        <x:v>Auto</x:v>
      </x:c>
      <x:c r="E172" s="56" t="str">
        <x:v>RA.AU.1.2</x:v>
      </x:c>
      <x:c r="F172" s="14" t="str">
        <x:v>Conduct initial assessment of each topic recommendation from SharePoint list</x:v>
      </x:c>
      <x:c r="G172" s="5"/>
      <x:c r="H172" s="11"/>
      <x:c r="I172" s="11" t="n">
        <x:f>'Cycles &amp; Guide'!$D$11</x:f>
        <x:v>46203</x:v>
      </x:c>
      <x:c r="J172" s="11"/>
      <x:c r="K172" s="29"/>
      <x:c r="L172" s="2" t="str">
        <x:f>IF(O172=1,"Complete",IF(A172,"Checklist open",IF(H172&lt;&gt;"","In progress","Not started")))</x:f>
        <x:v>Not started</x:v>
      </x:c>
      <x:c r="M172" s="2" t="str">
        <x:v>Task</x:v>
      </x:c>
      <x:c r="N172" s="2" t="str">
        <x:v>RA.AU.1.2.2026.CY2</x:v>
      </x:c>
      <x:c r="O172" s="2" t="n">
        <x:f>R172</x:f>
        <x:v>0</x:v>
      </x:c>
      <x:c r="P172" s="2"/>
      <x:c r="Q172" s="2" t="n">
        <x:v>1</x:v>
      </x:c>
      <x:c r="R172" s="2" t="n">
        <x:f>IF(A172,1,0)</x:f>
        <x:v>0</x:v>
      </x:c>
      <x:c r="S172" s="2" t="n">
        <x:f>SUBTOTAL(103,N172)</x:f>
        <x:v>1</x:v>
      </x:c>
    </x:row>
    <x:row r="173" ht="42" customHeight="1">
      <x:c r="A173" s="28" t="b">
        <x:v>0</x:v>
      </x:c>
      <x:c r="B173" s="2" t="str">
        <x:v>Cycle 2</x:v>
      </x:c>
      <x:c r="C173" s="2" t="str">
        <x:v>Phase 1</x:v>
      </x:c>
      <x:c r="D173" s="2" t="str">
        <x:v>Auto</x:v>
      </x:c>
      <x:c r="E173" s="56" t="str">
        <x:v>RA.AU.1.3</x:v>
      </x:c>
      <x:c r="F173" s="14" t="str">
        <x:v>Identify best topic for Cycle</x:v>
      </x:c>
      <x:c r="G173" s="5"/>
      <x:c r="H173" s="11"/>
      <x:c r="I173" s="11" t="n">
        <x:f>'Cycles &amp; Guide'!$D$11</x:f>
        <x:v>46203</x:v>
      </x:c>
      <x:c r="J173" s="11"/>
      <x:c r="K173" s="29"/>
      <x:c r="L173" s="2" t="str">
        <x:f>IF(O173=1,"Complete",IF(A173,"Checklist open",IF(H173&lt;&gt;"","In progress","Not started")))</x:f>
        <x:v>Not started</x:v>
      </x:c>
      <x:c r="M173" s="2" t="str">
        <x:v>Task</x:v>
      </x:c>
      <x:c r="N173" s="2" t="str">
        <x:v>RA.AU.1.3.2026.CY2</x:v>
      </x:c>
      <x:c r="O173" s="2" t="n">
        <x:f>R173</x:f>
        <x:v>0</x:v>
      </x:c>
      <x:c r="P173" s="2"/>
      <x:c r="Q173" s="2" t="n">
        <x:v>1</x:v>
      </x:c>
      <x:c r="R173" s="2" t="n">
        <x:f>IF(A173,1,0)</x:f>
        <x:v>0</x:v>
      </x:c>
      <x:c r="S173" s="2" t="n">
        <x:f>SUBTOTAL(103,N173)</x:f>
        <x:v>1</x:v>
      </x:c>
    </x:row>
    <x:row r="174" ht="42" customHeight="1">
      <x:c r="A174" s="28" t="b">
        <x:v>0</x:v>
      </x:c>
      <x:c r="B174" s="2" t="str">
        <x:v>Cycle 2</x:v>
      </x:c>
      <x:c r="C174" s="2" t="str">
        <x:v>Phase 1</x:v>
      </x:c>
      <x:c r="D174" s="2" t="str">
        <x:v>Auto</x:v>
      </x:c>
      <x:c r="E174" s="56" t="str">
        <x:v>RA.AU.1.4</x:v>
      </x:c>
      <x:c r="F174" s="14" t="str">
        <x:v>Identify backup topic for Cycle</x:v>
      </x:c>
      <x:c r="G174" s="5"/>
      <x:c r="H174" s="11"/>
      <x:c r="I174" s="11" t="n">
        <x:f>'Cycles &amp; Guide'!$D$11</x:f>
        <x:v>46203</x:v>
      </x:c>
      <x:c r="J174" s="11"/>
      <x:c r="K174" s="29"/>
      <x:c r="L174" s="2" t="str">
        <x:f>IF(O174=1,"Complete",IF(A174,"Checklist open",IF(H174&lt;&gt;"","In progress","Not started")))</x:f>
        <x:v>Not started</x:v>
      </x:c>
      <x:c r="M174" s="2" t="str">
        <x:v>Task</x:v>
      </x:c>
      <x:c r="N174" s="2" t="str">
        <x:v>RA.AU.1.4.2026.CY2</x:v>
      </x:c>
      <x:c r="O174" s="2" t="n">
        <x:f>R174</x:f>
        <x:v>0</x:v>
      </x:c>
      <x:c r="P174" s="2"/>
      <x:c r="Q174" s="2" t="n">
        <x:v>1</x:v>
      </x:c>
      <x:c r="R174" s="2" t="n">
        <x:f>IF(A174,1,0)</x:f>
        <x:v>0</x:v>
      </x:c>
      <x:c r="S174" s="2" t="n">
        <x:f>SUBTOTAL(103,N174)</x:f>
        <x:v>1</x:v>
      </x:c>
    </x:row>
    <x:row r="175" ht="42" customHeight="1">
      <x:c r="A175" s="28" t="b">
        <x:v>0</x:v>
      </x:c>
      <x:c r="B175" s="2" t="str">
        <x:v>Cycle 2</x:v>
      </x:c>
      <x:c r="C175" s="2" t="str">
        <x:v>Phase 1</x:v>
      </x:c>
      <x:c r="D175" s="2" t="str">
        <x:v>Auto</x:v>
      </x:c>
      <x:c r="E175" s="56" t="str">
        <x:v>RA.AU.1.5</x:v>
      </x:c>
      <x:c r="F175" s="14" t="str">
        <x:v>Schedule topic approval meeting with D&amp;I and management</x:v>
      </x:c>
      <x:c r="G175" s="5"/>
      <x:c r="H175" s="11"/>
      <x:c r="I175" s="11" t="n">
        <x:f>'Cycles &amp; Guide'!$D$11</x:f>
        <x:v>46203</x:v>
      </x:c>
      <x:c r="J175" s="11"/>
      <x:c r="K175" s="29"/>
      <x:c r="L175" s="2" t="str">
        <x:f>IF(O175=1,"Complete",IF(A175,"Checklist open",IF(H175&lt;&gt;"","In progress","Not started")))</x:f>
        <x:v>Not started</x:v>
      </x:c>
      <x:c r="M175" s="2" t="str">
        <x:v>Task</x:v>
      </x:c>
      <x:c r="N175" s="2" t="str">
        <x:v>RA.AU.1.5.2026.CY2</x:v>
      </x:c>
      <x:c r="O175" s="2" t="n">
        <x:f>R175</x:f>
        <x:v>0</x:v>
      </x:c>
      <x:c r="P175" s="2"/>
      <x:c r="Q175" s="2" t="n">
        <x:v>1</x:v>
      </x:c>
      <x:c r="R175" s="2" t="n">
        <x:f>IF(A175,1,0)</x:f>
        <x:v>0</x:v>
      </x:c>
      <x:c r="S175" s="2" t="n">
        <x:f>SUBTOTAL(103,N175)</x:f>
        <x:v>1</x:v>
      </x:c>
    </x:row>
    <x:row r="176" ht="42" customHeight="1">
      <x:c r="A176" s="28" t="b">
        <x:v>0</x:v>
      </x:c>
      <x:c r="B176" s="2" t="str">
        <x:v>Cycle 2</x:v>
      </x:c>
      <x:c r="C176" s="2" t="str">
        <x:v>Phase 1</x:v>
      </x:c>
      <x:c r="D176" s="2" t="str">
        <x:v>Auto</x:v>
      </x:c>
      <x:c r="E176" s="56" t="str">
        <x:v>RA.AU.1.6</x:v>
      </x:c>
      <x:c r="F176" s="14" t="str">
        <x:v>Present recommended topic to D&amp;I and management for approval</x:v>
      </x:c>
      <x:c r="G176" s="5"/>
      <x:c r="H176" s="11"/>
      <x:c r="I176" s="11" t="n">
        <x:f>'Cycles &amp; Guide'!$D$11</x:f>
        <x:v>46203</x:v>
      </x:c>
      <x:c r="J176" s="11"/>
      <x:c r="K176" s="29"/>
      <x:c r="L176" s="2" t="str">
        <x:f>IF(O176=1,"Complete",IF(A176,"Checklist open",IF(H176&lt;&gt;"","In progress","Not started")))</x:f>
        <x:v>Not started</x:v>
      </x:c>
      <x:c r="M176" s="2" t="str">
        <x:v>Task</x:v>
      </x:c>
      <x:c r="N176" s="2" t="str">
        <x:v>RA.AU.1.6.2026.CY2</x:v>
      </x:c>
      <x:c r="O176" s="2" t="n">
        <x:f>R176</x:f>
        <x:v>0</x:v>
      </x:c>
      <x:c r="P176" s="2"/>
      <x:c r="Q176" s="2" t="n">
        <x:v>1</x:v>
      </x:c>
      <x:c r="R176" s="2" t="n">
        <x:f>IF(A176,1,0)</x:f>
        <x:v>0</x:v>
      </x:c>
      <x:c r="S176" s="2" t="n">
        <x:f>SUBTOTAL(103,N176)</x:f>
        <x:v>1</x:v>
      </x:c>
    </x:row>
    <x:row r="177" ht="42" customHeight="1">
      <x:c r="A177" s="28" t="b">
        <x:v>0</x:v>
      </x:c>
      <x:c r="B177" s="2" t="str">
        <x:v>Cycle 2</x:v>
      </x:c>
      <x:c r="C177" s="2" t="str">
        <x:v>Phase 1</x:v>
      </x:c>
      <x:c r="D177" s="2" t="str">
        <x:v>Auto</x:v>
      </x:c>
      <x:c r="E177" s="56" t="str">
        <x:v>RA.AU.1.7</x:v>
      </x:c>
      <x:c r="F177" s="14" t="str">
        <x:v>Obtain formal topic selection approval from management via SharePoint</x:v>
      </x:c>
      <x:c r="G177" s="5"/>
      <x:c r="H177" s="11"/>
      <x:c r="I177" s="11" t="n">
        <x:f>'Cycles &amp; Guide'!$D$11</x:f>
        <x:v>46203</x:v>
      </x:c>
      <x:c r="J177" s="11"/>
      <x:c r="K177" s="29"/>
      <x:c r="L177" s="2" t="str">
        <x:f>IF(O177=1,"Complete",IF(A177,"Checklist open",IF(H177&lt;&gt;"","In progress","Not started")))</x:f>
        <x:v>Not started</x:v>
      </x:c>
      <x:c r="M177" s="2" t="str">
        <x:v>Task</x:v>
      </x:c>
      <x:c r="N177" s="2" t="str">
        <x:v>RA.AU.1.7.2026.CY2</x:v>
      </x:c>
      <x:c r="O177" s="2" t="n">
        <x:f>R177</x:f>
        <x:v>0</x:v>
      </x:c>
      <x:c r="P177" s="2"/>
      <x:c r="Q177" s="2" t="n">
        <x:v>1</x:v>
      </x:c>
      <x:c r="R177" s="2" t="n">
        <x:f>IF(A177,1,0)</x:f>
        <x:v>0</x:v>
      </x:c>
      <x:c r="S177" s="2" t="n">
        <x:f>SUBTOTAL(103,N177)</x:f>
        <x:v>1</x:v>
      </x:c>
    </x:row>
    <x:row r="178" ht="42" customHeight="1">
      <x:c r="A178" s="28" t="b">
        <x:v>0</x:v>
      </x:c>
      <x:c r="B178" s="2" t="str">
        <x:v>Cycle 2</x:v>
      </x:c>
      <x:c r="C178" s="2" t="str">
        <x:v>Phase 1</x:v>
      </x:c>
      <x:c r="D178" s="2" t="str">
        <x:v>Auto</x:v>
      </x:c>
      <x:c r="E178" s="56" t="str">
        <x:v>RA.AU.1.8</x:v>
      </x:c>
      <x:c r="F178" s="14" t="str">
        <x:v>Socialize topic selection with product owners and subject matter experts (if known)</x:v>
      </x:c>
      <x:c r="G178" s="5"/>
      <x:c r="H178" s="11"/>
      <x:c r="I178" s="11" t="n">
        <x:f>'Cycles &amp; Guide'!$D$11</x:f>
        <x:v>46203</x:v>
      </x:c>
      <x:c r="J178" s="11"/>
      <x:c r="K178" s="29"/>
      <x:c r="L178" s="2" t="str">
        <x:f>IF(O178=1,"Complete",IF(A178,"Checklist open",IF(H178&lt;&gt;"","In progress","Not started")))</x:f>
        <x:v>Not started</x:v>
      </x:c>
      <x:c r="M178" s="2" t="str">
        <x:v>Task</x:v>
      </x:c>
      <x:c r="N178" s="2" t="str">
        <x:v>RA.AU.1.8.2026.CY2</x:v>
      </x:c>
      <x:c r="O178" s="2" t="n">
        <x:f>R178</x:f>
        <x:v>0</x:v>
      </x:c>
      <x:c r="P178" s="2"/>
      <x:c r="Q178" s="2" t="n">
        <x:v>1</x:v>
      </x:c>
      <x:c r="R178" s="2" t="n">
        <x:f>IF(A178,1,0)</x:f>
        <x:v>0</x:v>
      </x:c>
      <x:c r="S178" s="2" t="n">
        <x:f>SUBTOTAL(103,N178)</x:f>
        <x:v>1</x:v>
      </x:c>
    </x:row>
    <x:row r="179" ht="42" customHeight="1">
      <x:c r="A179" s="28" t="b">
        <x:v>0</x:v>
      </x:c>
      <x:c r="B179" s="2" t="str">
        <x:v>Cycle 2</x:v>
      </x:c>
      <x:c r="C179" s="2" t="str">
        <x:v>Phase 1</x:v>
      </x:c>
      <x:c r="D179" s="2" t="str">
        <x:v>Auto</x:v>
      </x:c>
      <x:c r="E179" s="56" t="str">
        <x:v>RA.AU.1.9</x:v>
      </x:c>
      <x:c r="F179" s="14" t="str">
        <x:v>Assign topic researchers</x:v>
      </x:c>
      <x:c r="G179" s="5"/>
      <x:c r="H179" s="11"/>
      <x:c r="I179" s="11" t="n">
        <x:f>'Cycles &amp; Guide'!$D$11</x:f>
        <x:v>46203</x:v>
      </x:c>
      <x:c r="J179" s="11"/>
      <x:c r="K179" s="29"/>
      <x:c r="L179" s="2" t="str">
        <x:f>IF(O179=1,"Complete",IF(A179,"Checklist open",IF(H179&lt;&gt;"","In progress","Not started")))</x:f>
        <x:v>Not started</x:v>
      </x:c>
      <x:c r="M179" s="2" t="str">
        <x:v>Task</x:v>
      </x:c>
      <x:c r="N179" s="2" t="str">
        <x:v>RA.AU.1.9.2026.CY2</x:v>
      </x:c>
      <x:c r="O179" s="2" t="n">
        <x:f>R179</x:f>
        <x:v>0</x:v>
      </x:c>
      <x:c r="P179" s="2"/>
      <x:c r="Q179" s="2" t="n">
        <x:v>1</x:v>
      </x:c>
      <x:c r="R179" s="2" t="n">
        <x:f>IF(A179,1,0)</x:f>
        <x:v>0</x:v>
      </x:c>
      <x:c r="S179" s="2" t="n">
        <x:f>SUBTOTAL(103,N179)</x:f>
        <x:v>1</x:v>
      </x:c>
    </x:row>
    <x:row r="180" ht="42" customHeight="1">
      <x:c r="A180" s="28" t="b">
        <x:v>0</x:v>
      </x:c>
      <x:c r="B180" s="2" t="str">
        <x:v>Cycle 2</x:v>
      </x:c>
      <x:c r="C180" s="2" t="str">
        <x:v>Phase 2</x:v>
      </x:c>
      <x:c r="D180" s="2" t="str">
        <x:v>Auto</x:v>
      </x:c>
      <x:c r="E180" s="56" t="str">
        <x:v>RA.AU.2.1</x:v>
      </x:c>
      <x:c r="F180" s="14" t="str">
        <x:v>Review data sources</x:v>
      </x:c>
      <x:c r="G180" s="5"/>
      <x:c r="H180" s="11"/>
      <x:c r="I180" s="11" t="n">
        <x:f>'Cycles &amp; Guide'!$D$11</x:f>
        <x:v>46203</x:v>
      </x:c>
      <x:c r="J180" s="11"/>
      <x:c r="K180" s="29"/>
      <x:c r="L180" s="2" t="str">
        <x:f>IF(O180=1,"Complete",IF(A180,"Checklist open",IF(H180&lt;&gt;"","In progress","Not started")))</x:f>
        <x:v>Not started</x:v>
      </x:c>
      <x:c r="M180" s="2" t="str">
        <x:v>Task</x:v>
      </x:c>
      <x:c r="N180" s="2" t="str">
        <x:v>RA.AU.2.1.2026.CY2</x:v>
      </x:c>
      <x:c r="O180" s="2" t="n">
        <x:f>R180</x:f>
        <x:v>0</x:v>
      </x:c>
      <x:c r="P180" s="2"/>
      <x:c r="Q180" s="2" t="n">
        <x:v>1</x:v>
      </x:c>
      <x:c r="R180" s="2" t="n">
        <x:f>IF(A180,1,0)</x:f>
        <x:v>0</x:v>
      </x:c>
      <x:c r="S180" s="2" t="n">
        <x:f>SUBTOTAL(103,N180)</x:f>
        <x:v>1</x:v>
      </x:c>
    </x:row>
    <x:row r="181" ht="42" customHeight="1">
      <x:c r="A181" s="28" t="b">
        <x:v>0</x:v>
      </x:c>
      <x:c r="B181" s="2" t="str">
        <x:v>Cycle 2</x:v>
      </x:c>
      <x:c r="C181" s="2" t="str">
        <x:v>Phase 2</x:v>
      </x:c>
      <x:c r="D181" s="2" t="str">
        <x:v>Auto</x:v>
      </x:c>
      <x:c r="E181" s="56" t="str">
        <x:v>RA.AU.2.2</x:v>
      </x:c>
      <x:c r="F181" s="14" t="str">
        <x:v>Review relevant policies and procedures</x:v>
      </x:c>
      <x:c r="G181" s="5"/>
      <x:c r="H181" s="11"/>
      <x:c r="I181" s="11" t="n">
        <x:f>'Cycles &amp; Guide'!$D$11</x:f>
        <x:v>46203</x:v>
      </x:c>
      <x:c r="J181" s="11"/>
      <x:c r="K181" s="29"/>
      <x:c r="L181" s="2" t="str">
        <x:f>IF(O181=1,"Complete",IF(A181,"Checklist open",IF(H181&lt;&gt;"","In progress","Not started")))</x:f>
        <x:v>Not started</x:v>
      </x:c>
      <x:c r="M181" s="2" t="str">
        <x:v>Task</x:v>
      </x:c>
      <x:c r="N181" s="2" t="str">
        <x:v>RA.AU.2.2.2026.CY2</x:v>
      </x:c>
      <x:c r="O181" s="2" t="n">
        <x:f>R181</x:f>
        <x:v>0</x:v>
      </x:c>
      <x:c r="P181" s="2"/>
      <x:c r="Q181" s="2" t="n">
        <x:v>1</x:v>
      </x:c>
      <x:c r="R181" s="2" t="n">
        <x:f>IF(A181,1,0)</x:f>
        <x:v>0</x:v>
      </x:c>
      <x:c r="S181" s="2" t="n">
        <x:f>SUBTOTAL(103,N181)</x:f>
        <x:v>1</x:v>
      </x:c>
    </x:row>
    <x:row r="182" ht="42" customHeight="1">
      <x:c r="A182" s="28" t="b">
        <x:v>0</x:v>
      </x:c>
      <x:c r="B182" s="2" t="str">
        <x:v>Cycle 2</x:v>
      </x:c>
      <x:c r="C182" s="2" t="str">
        <x:v>Phase 2</x:v>
      </x:c>
      <x:c r="D182" s="2" t="str">
        <x:v>Auto</x:v>
      </x:c>
      <x:c r="E182" s="56" t="str">
        <x:v>RA.AU.2.3</x:v>
      </x:c>
      <x:c r="F182" s="14" t="str">
        <x:v>Meet with SMEs to gain business insight and clarify questions</x:v>
      </x:c>
      <x:c r="G182" s="5"/>
      <x:c r="H182" s="11"/>
      <x:c r="I182" s="11" t="n">
        <x:f>'Cycles &amp; Guide'!$D$11</x:f>
        <x:v>46203</x:v>
      </x:c>
      <x:c r="J182" s="11"/>
      <x:c r="K182" s="29"/>
      <x:c r="L182" s="2" t="str">
        <x:f>IF(O182=1,"Complete",IF(A182,"Checklist open",IF(H182&lt;&gt;"","In progress","Not started")))</x:f>
        <x:v>Not started</x:v>
      </x:c>
      <x:c r="M182" s="2" t="str">
        <x:v>Task</x:v>
      </x:c>
      <x:c r="N182" s="2" t="str">
        <x:v>RA.AU.2.3.2026.CY2</x:v>
      </x:c>
      <x:c r="O182" s="2" t="n">
        <x:f>R182</x:f>
        <x:v>0</x:v>
      </x:c>
      <x:c r="P182" s="2"/>
      <x:c r="Q182" s="2" t="n">
        <x:v>1</x:v>
      </x:c>
      <x:c r="R182" s="2" t="n">
        <x:f>IF(A182,1,0)</x:f>
        <x:v>0</x:v>
      </x:c>
      <x:c r="S182" s="2" t="n">
        <x:f>SUBTOTAL(103,N182)</x:f>
        <x:v>1</x:v>
      </x:c>
    </x:row>
    <x:row r="183" ht="42" customHeight="1">
      <x:c r="A183" s="28" t="b">
        <x:v>0</x:v>
      </x:c>
      <x:c r="B183" s="2" t="str">
        <x:v>Cycle 2</x:v>
      </x:c>
      <x:c r="C183" s="2" t="str">
        <x:v>Phase 2</x:v>
      </x:c>
      <x:c r="D183" s="2" t="str">
        <x:v>Auto</x:v>
      </x:c>
      <x:c r="E183" s="56" t="str">
        <x:v>RA.AU.2.4</x:v>
      </x:c>
      <x:c r="F183" s="14" t="str">
        <x:v>Establish and maintain a recurring meeting with D&amp;I to discuss Cycle progress</x:v>
      </x:c>
      <x:c r="G183" s="5"/>
      <x:c r="H183" s="11"/>
      <x:c r="I183" s="11" t="n">
        <x:f>'Cycles &amp; Guide'!$D$11</x:f>
        <x:v>46203</x:v>
      </x:c>
      <x:c r="J183" s="11"/>
      <x:c r="K183" s="29"/>
      <x:c r="L183" s="2" t="str">
        <x:f>IF(O183=1,"Complete",IF(A183,"Checklist open",IF(H183&lt;&gt;"","In progress","Not started")))</x:f>
        <x:v>Not started</x:v>
      </x:c>
      <x:c r="M183" s="2" t="str">
        <x:v>Task</x:v>
      </x:c>
      <x:c r="N183" s="2" t="str">
        <x:v>RA.AU.2.4.2026.CY2</x:v>
      </x:c>
      <x:c r="O183" s="2" t="n">
        <x:f>R183</x:f>
        <x:v>0</x:v>
      </x:c>
      <x:c r="P183" s="2"/>
      <x:c r="Q183" s="2" t="n">
        <x:v>1</x:v>
      </x:c>
      <x:c r="R183" s="2" t="n">
        <x:f>IF(A183,1,0)</x:f>
        <x:v>0</x:v>
      </x:c>
      <x:c r="S183" s="2" t="n">
        <x:f>SUBTOTAL(103,N183)</x:f>
        <x:v>1</x:v>
      </x:c>
    </x:row>
    <x:row r="184" ht="42" customHeight="1">
      <x:c r="A184" s="28" t="b">
        <x:v>0</x:v>
      </x:c>
      <x:c r="B184" s="2" t="str">
        <x:v>Cycle 2</x:v>
      </x:c>
      <x:c r="C184" s="2" t="str">
        <x:v>Phase 2</x:v>
      </x:c>
      <x:c r="D184" s="2" t="str">
        <x:v>Auto</x:v>
      </x:c>
      <x:c r="E184" s="56" t="str">
        <x:v>RA.AU.2.5</x:v>
      </x:c>
      <x:c r="F184" s="14" t="str">
        <x:v>Perform data testing and sampling</x:v>
      </x:c>
      <x:c r="G184" s="5"/>
      <x:c r="H184" s="11"/>
      <x:c r="I184" s="11" t="n">
        <x:f>'Cycles &amp; Guide'!$D$11</x:f>
        <x:v>46203</x:v>
      </x:c>
      <x:c r="J184" s="11"/>
      <x:c r="K184" s="29"/>
      <x:c r="L184" s="2" t="str">
        <x:f>IF(O184=1,"Complete",IF(A184,"Checklist open",IF(H184&lt;&gt;"","In progress","Not started")))</x:f>
        <x:v>Not started</x:v>
      </x:c>
      <x:c r="M184" s="2" t="str">
        <x:v>Task</x:v>
      </x:c>
      <x:c r="N184" s="2" t="str">
        <x:v>RA.AU.2.5.2026.CY2</x:v>
      </x:c>
      <x:c r="O184" s="2" t="n">
        <x:f>R184</x:f>
        <x:v>0</x:v>
      </x:c>
      <x:c r="P184" s="2"/>
      <x:c r="Q184" s="2" t="n">
        <x:v>1</x:v>
      </x:c>
      <x:c r="R184" s="2" t="n">
        <x:f>IF(A184,1,0)</x:f>
        <x:v>0</x:v>
      </x:c>
      <x:c r="S184" s="2" t="n">
        <x:f>SUBTOTAL(103,N184)</x:f>
        <x:v>1</x:v>
      </x:c>
    </x:row>
    <x:row r="185" ht="42" customHeight="1">
      <x:c r="A185" s="28" t="b">
        <x:v>0</x:v>
      </x:c>
      <x:c r="B185" s="2" t="str">
        <x:v>Cycle 2</x:v>
      </x:c>
      <x:c r="C185" s="2" t="str">
        <x:v>Phase 2</x:v>
      </x:c>
      <x:c r="D185" s="2" t="str">
        <x:v>Auto</x:v>
      </x:c>
      <x:c r="E185" s="56" t="str">
        <x:v>RA.AU.2.6</x:v>
      </x:c>
      <x:c r="F185" s="14" t="str">
        <x:v>Complete Positive Testing</x:v>
      </x:c>
      <x:c r="G185" s="5"/>
      <x:c r="H185" s="11"/>
      <x:c r="I185" s="11" t="n">
        <x:f>'Cycles &amp; Guide'!$D$11</x:f>
        <x:v>46203</x:v>
      </x:c>
      <x:c r="J185" s="11"/>
      <x:c r="K185" s="29"/>
      <x:c r="L185" s="2" t="str">
        <x:f>IF(O185=1,"Complete",IF(A185,"Checklist open",IF(H185&lt;&gt;"","In progress","Not started")))</x:f>
        <x:v>Not started</x:v>
      </x:c>
      <x:c r="M185" s="2" t="str">
        <x:v>Task</x:v>
      </x:c>
      <x:c r="N185" s="2" t="str">
        <x:v>RA.AU.2.6.2026.CY2</x:v>
      </x:c>
      <x:c r="O185" s="2" t="n">
        <x:f>R185</x:f>
        <x:v>0</x:v>
      </x:c>
      <x:c r="P185" s="2"/>
      <x:c r="Q185" s="2" t="n">
        <x:v>1</x:v>
      </x:c>
      <x:c r="R185" s="2" t="n">
        <x:f>IF(A185,1,0)</x:f>
        <x:v>0</x:v>
      </x:c>
      <x:c r="S185" s="2" t="n">
        <x:f>SUBTOTAL(103,N185)</x:f>
        <x:v>1</x:v>
      </x:c>
    </x:row>
    <x:row r="186" ht="42" customHeight="1">
      <x:c r="A186" s="28" t="b">
        <x:v>0</x:v>
      </x:c>
      <x:c r="B186" s="2" t="str">
        <x:v>Cycle 2</x:v>
      </x:c>
      <x:c r="C186" s="2" t="str">
        <x:v>Phase 2</x:v>
      </x:c>
      <x:c r="D186" s="2" t="str">
        <x:v>Auto</x:v>
      </x:c>
      <x:c r="E186" s="56" t="str">
        <x:v>RA.AU.2.7</x:v>
      </x:c>
      <x:c r="F186" s="14" t="str">
        <x:v>Complete Negative Testing</x:v>
      </x:c>
      <x:c r="G186" s="5"/>
      <x:c r="H186" s="11"/>
      <x:c r="I186" s="11" t="n">
        <x:f>'Cycles &amp; Guide'!$D$11</x:f>
        <x:v>46203</x:v>
      </x:c>
      <x:c r="J186" s="11"/>
      <x:c r="K186" s="29"/>
      <x:c r="L186" s="2" t="str">
        <x:f>IF(O186=1,"Complete",IF(A186,"Checklist open",IF(H186&lt;&gt;"","In progress","Not started")))</x:f>
        <x:v>Not started</x:v>
      </x:c>
      <x:c r="M186" s="2" t="str">
        <x:v>Task</x:v>
      </x:c>
      <x:c r="N186" s="2" t="str">
        <x:v>RA.AU.2.7.2026.CY2</x:v>
      </x:c>
      <x:c r="O186" s="2" t="n">
        <x:f>R186</x:f>
        <x:v>0</x:v>
      </x:c>
      <x:c r="P186" s="2"/>
      <x:c r="Q186" s="2" t="n">
        <x:v>1</x:v>
      </x:c>
      <x:c r="R186" s="2" t="n">
        <x:f>IF(A186,1,0)</x:f>
        <x:v>0</x:v>
      </x:c>
      <x:c r="S186" s="2" t="n">
        <x:f>SUBTOTAL(103,N186)</x:f>
        <x:v>1</x:v>
      </x:c>
    </x:row>
    <x:row r="187" ht="42" customHeight="1">
      <x:c r="A187" s="28" t="b">
        <x:v>0</x:v>
      </x:c>
      <x:c r="B187" s="2" t="str">
        <x:v>Cycle 2</x:v>
      </x:c>
      <x:c r="C187" s="2" t="str">
        <x:v>Phase 2</x:v>
      </x:c>
      <x:c r="D187" s="2" t="str">
        <x:v>Auto</x:v>
      </x:c>
      <x:c r="E187" s="56" t="str">
        <x:v>RA.AU.2.8</x:v>
      </x:c>
      <x:c r="F187" s="14" t="str">
        <x:v>Request additional data (as needed)</x:v>
      </x:c>
      <x:c r="G187" s="5"/>
      <x:c r="H187" s="11"/>
      <x:c r="I187" s="11" t="n">
        <x:f>'Cycles &amp; Guide'!$D$11</x:f>
        <x:v>46203</x:v>
      </x:c>
      <x:c r="J187" s="11"/>
      <x:c r="K187" s="29"/>
      <x:c r="L187" s="2" t="str">
        <x:f>IF(O187=1,"Complete",IF(A187,"Checklist open",IF(H187&lt;&gt;"","In progress","Not started")))</x:f>
        <x:v>Not started</x:v>
      </x:c>
      <x:c r="M187" s="2" t="str">
        <x:v>Task</x:v>
      </x:c>
      <x:c r="N187" s="2" t="str">
        <x:v>RA.AU.2.8.2026.CY2</x:v>
      </x:c>
      <x:c r="O187" s="2" t="n">
        <x:f>R187</x:f>
        <x:v>0</x:v>
      </x:c>
      <x:c r="P187" s="2"/>
      <x:c r="Q187" s="2" t="n">
        <x:v>1</x:v>
      </x:c>
      <x:c r="R187" s="2" t="n">
        <x:f>IF(A187,1,0)</x:f>
        <x:v>0</x:v>
      </x:c>
      <x:c r="S187" s="2" t="n">
        <x:f>SUBTOTAL(103,N187)</x:f>
        <x:v>1</x:v>
      </x:c>
    </x:row>
    <x:row r="188" ht="42" customHeight="1">
      <x:c r="A188" s="28" t="b">
        <x:v>0</x:v>
      </x:c>
      <x:c r="B188" s="2" t="str">
        <x:v>Cycle 2</x:v>
      </x:c>
      <x:c r="C188" s="2" t="str">
        <x:v>Phase 2</x:v>
      </x:c>
      <x:c r="D188" s="2" t="str">
        <x:v>Auto</x:v>
      </x:c>
      <x:c r="E188" s="56" t="str">
        <x:v>RA.AU.2.9</x:v>
      </x:c>
      <x:c r="F188" s="14" t="str">
        <x:v>Validate or disprove initial hypothesis assumptions</x:v>
      </x:c>
      <x:c r="G188" s="5"/>
      <x:c r="H188" s="11"/>
      <x:c r="I188" s="11" t="n">
        <x:f>'Cycles &amp; Guide'!$D$11</x:f>
        <x:v>46203</x:v>
      </x:c>
      <x:c r="J188" s="11"/>
      <x:c r="K188" s="29"/>
      <x:c r="L188" s="2" t="str">
        <x:f>IF(O188=1,"Complete",IF(A188,"Checklist open",IF(H188&lt;&gt;"","In progress","Not started")))</x:f>
        <x:v>Not started</x:v>
      </x:c>
      <x:c r="M188" s="2" t="str">
        <x:v>Task</x:v>
      </x:c>
      <x:c r="N188" s="2" t="str">
        <x:v>RA.AU.2.9.2026.CY2</x:v>
      </x:c>
      <x:c r="O188" s="2" t="n">
        <x:f>R188</x:f>
        <x:v>0</x:v>
      </x:c>
      <x:c r="P188" s="2"/>
      <x:c r="Q188" s="2" t="n">
        <x:v>1</x:v>
      </x:c>
      <x:c r="R188" s="2" t="n">
        <x:f>IF(A188,1,0)</x:f>
        <x:v>0</x:v>
      </x:c>
      <x:c r="S188" s="2" t="n">
        <x:f>SUBTOTAL(103,N188)</x:f>
        <x:v>1</x:v>
      </x:c>
    </x:row>
    <x:row r="189" ht="42" customHeight="1">
      <x:c r="A189" s="28" t="b">
        <x:v>0</x:v>
      </x:c>
      <x:c r="B189" s="2" t="str">
        <x:v>Cycle 2</x:v>
      </x:c>
      <x:c r="C189" s="2" t="str">
        <x:v>Phase 2</x:v>
      </x:c>
      <x:c r="D189" s="2" t="str">
        <x:v>Auto</x:v>
      </x:c>
      <x:c r="E189" s="56" t="str">
        <x:v>RA.AU.2.10</x:v>
      </x:c>
      <x:c r="F189" s="14" t="str">
        <x:v>Identify and confirm root cause</x:v>
      </x:c>
      <x:c r="G189" s="5"/>
      <x:c r="H189" s="11"/>
      <x:c r="I189" s="11" t="n">
        <x:f>'Cycles &amp; Guide'!$D$11</x:f>
        <x:v>46203</x:v>
      </x:c>
      <x:c r="J189" s="11"/>
      <x:c r="K189" s="29"/>
      <x:c r="L189" s="2" t="str">
        <x:f>IF(O189=1,"Complete",IF(A189,"Checklist open",IF(H189&lt;&gt;"","In progress","Not started")))</x:f>
        <x:v>Not started</x:v>
      </x:c>
      <x:c r="M189" s="2" t="str">
        <x:v>Task</x:v>
      </x:c>
      <x:c r="N189" s="2" t="str">
        <x:v>RA.AU.2.10.2026.CY2</x:v>
      </x:c>
      <x:c r="O189" s="2" t="n">
        <x:f>R189</x:f>
        <x:v>0</x:v>
      </x:c>
      <x:c r="P189" s="2"/>
      <x:c r="Q189" s="2" t="n">
        <x:v>1</x:v>
      </x:c>
      <x:c r="R189" s="2" t="n">
        <x:f>IF(A189,1,0)</x:f>
        <x:v>0</x:v>
      </x:c>
      <x:c r="S189" s="2" t="n">
        <x:f>SUBTOTAL(103,N189)</x:f>
        <x:v>1</x:v>
      </x:c>
    </x:row>
    <x:row r="190" ht="42" customHeight="1">
      <x:c r="A190" s="28" t="b">
        <x:v>0</x:v>
      </x:c>
      <x:c r="B190" s="2" t="str">
        <x:v>Cycle 2</x:v>
      </x:c>
      <x:c r="C190" s="2" t="str">
        <x:v>Phase 3</x:v>
      </x:c>
      <x:c r="D190" s="2" t="str">
        <x:v>Auto</x:v>
      </x:c>
      <x:c r="E190" s="56" t="str">
        <x:v>RA.AU.3.1</x:v>
      </x:c>
      <x:c r="F190" s="14" t="str">
        <x:v>Finalize results and supporting documentation</x:v>
      </x:c>
      <x:c r="G190" s="5"/>
      <x:c r="H190" s="11"/>
      <x:c r="I190" s="11" t="n">
        <x:f>'Cycles &amp; Guide'!$D$11</x:f>
        <x:v>46203</x:v>
      </x:c>
      <x:c r="J190" s="11"/>
      <x:c r="K190" s="29"/>
      <x:c r="L190" s="2" t="str">
        <x:f>IF(O190=1,"Complete",IF(A190,"Checklist open",IF(H190&lt;&gt;"","In progress","Not started")))</x:f>
        <x:v>Not started</x:v>
      </x:c>
      <x:c r="M190" s="2" t="str">
        <x:v>Task</x:v>
      </x:c>
      <x:c r="N190" s="2" t="str">
        <x:v>RA.AU.3.1.2026.CY2</x:v>
      </x:c>
      <x:c r="O190" s="2" t="n">
        <x:f>R190</x:f>
        <x:v>0</x:v>
      </x:c>
      <x:c r="P190" s="2"/>
      <x:c r="Q190" s="2" t="n">
        <x:v>1</x:v>
      </x:c>
      <x:c r="R190" s="2" t="n">
        <x:f>IF(A190,1,0)</x:f>
        <x:v>0</x:v>
      </x:c>
      <x:c r="S190" s="2" t="n">
        <x:f>SUBTOTAL(103,N190)</x:f>
        <x:v>1</x:v>
      </x:c>
    </x:row>
    <x:row r="191" ht="42" customHeight="1">
      <x:c r="A191" s="28" t="b">
        <x:v>0</x:v>
      </x:c>
      <x:c r="B191" s="2" t="str">
        <x:v>Cycle 2</x:v>
      </x:c>
      <x:c r="C191" s="2" t="str">
        <x:v>Phase 3</x:v>
      </x:c>
      <x:c r="D191" s="2" t="str">
        <x:v>Auto</x:v>
      </x:c>
      <x:c r="E191" s="56" t="str">
        <x:v>RA.AU.3.2</x:v>
      </x:c>
      <x:c r="F191" s="14" t="str">
        <x:v>Maintain and update the evidence package prior to handoff to D&amp;I</x:v>
      </x:c>
      <x:c r="G191" s="5"/>
      <x:c r="H191" s="11"/>
      <x:c r="I191" s="11" t="n">
        <x:f>'Cycles &amp; Guide'!$D$11</x:f>
        <x:v>46203</x:v>
      </x:c>
      <x:c r="J191" s="11"/>
      <x:c r="K191" s="29"/>
      <x:c r="L191" s="2" t="str">
        <x:f>IF(O191=1,"Complete",IF(A191,"Checklist open",IF(H191&lt;&gt;"","In progress","Not started")))</x:f>
        <x:v>Not started</x:v>
      </x:c>
      <x:c r="M191" s="2" t="str">
        <x:v>Task</x:v>
      </x:c>
      <x:c r="N191" s="2" t="str">
        <x:v>RA.AU.3.2.2026.CY2</x:v>
      </x:c>
      <x:c r="O191" s="2" t="n">
        <x:f>R191</x:f>
        <x:v>0</x:v>
      </x:c>
      <x:c r="P191" s="2"/>
      <x:c r="Q191" s="2" t="n">
        <x:v>1</x:v>
      </x:c>
      <x:c r="R191" s="2" t="n">
        <x:f>IF(A191,1,0)</x:f>
        <x:v>0</x:v>
      </x:c>
      <x:c r="S191" s="2" t="n">
        <x:f>SUBTOTAL(103,N191)</x:f>
        <x:v>1</x:v>
      </x:c>
    </x:row>
    <x:row r="192" ht="42" customHeight="1">
      <x:c r="A192" s="28" t="b">
        <x:v>0</x:v>
      </x:c>
      <x:c r="B192" s="2" t="str">
        <x:v>Cycle 2</x:v>
      </x:c>
      <x:c r="C192" s="2" t="str">
        <x:v>Phase 3</x:v>
      </x:c>
      <x:c r="D192" s="2" t="str">
        <x:v>Auto</x:v>
      </x:c>
      <x:c r="E192" s="56" t="str">
        <x:v>RA.AU.3.3</x:v>
      </x:c>
      <x:c r="F192" s="14" t="str">
        <x:v>Address any outstanding questions or requests from D&amp;I</x:v>
      </x:c>
      <x:c r="G192" s="5"/>
      <x:c r="H192" s="11"/>
      <x:c r="I192" s="11" t="n">
        <x:f>'Cycles &amp; Guide'!$D$11</x:f>
        <x:v>46203</x:v>
      </x:c>
      <x:c r="J192" s="11"/>
      <x:c r="K192" s="29"/>
      <x:c r="L192" s="2" t="str">
        <x:f>IF(O192=1,"Complete",IF(A192,"Checklist open",IF(H192&lt;&gt;"","In progress","Not started")))</x:f>
        <x:v>Not started</x:v>
      </x:c>
      <x:c r="M192" s="2" t="str">
        <x:v>Task</x:v>
      </x:c>
      <x:c r="N192" s="2" t="str">
        <x:v>RA.AU.3.3.2026.CY2</x:v>
      </x:c>
      <x:c r="O192" s="2" t="n">
        <x:f>R192</x:f>
        <x:v>0</x:v>
      </x:c>
      <x:c r="P192" s="2"/>
      <x:c r="Q192" s="2" t="n">
        <x:v>1</x:v>
      </x:c>
      <x:c r="R192" s="2" t="n">
        <x:f>IF(A192,1,0)</x:f>
        <x:v>0</x:v>
      </x:c>
      <x:c r="S192" s="2" t="n">
        <x:f>SUBTOTAL(103,N192)</x:f>
        <x:v>1</x:v>
      </x:c>
    </x:row>
    <x:row r="193" ht="42" customHeight="1">
      <x:c r="A193" s="28" t="b">
        <x:v>0</x:v>
      </x:c>
      <x:c r="B193" s="2" t="str">
        <x:v>Cycle 2</x:v>
      </x:c>
      <x:c r="C193" s="2" t="str">
        <x:v>Phase 3</x:v>
      </x:c>
      <x:c r="D193" s="2" t="str">
        <x:v>Auto</x:v>
      </x:c>
      <x:c r="E193" s="56" t="str">
        <x:v>RA.AU.3.4</x:v>
      </x:c>
      <x:c r="F193" s="14" t="str">
        <x:v>Attend Forum meeting with D&amp;I to assist with answering stakeholder questions (as needed)</x:v>
      </x:c>
      <x:c r="G193" s="5"/>
      <x:c r="H193" s="11"/>
      <x:c r="I193" s="11" t="str">
        <x:f>IF(SUMIFS('Cycles &amp; Guide'!$D$23:$D$50,'Cycles &amp; Guide'!$B$23:$B$50,B193,'Cycles &amp; Guide'!$C$23:$C$50,D193)=0,"",SUMIFS('Cycles &amp; Guide'!$D$23:$D$50,'Cycles &amp; Guide'!$B$23:$B$50,B193,'Cycles &amp; Guide'!$C$23:$C$50,D193))</x:f>
      </x:c>
      <x:c r="J193" s="11"/>
      <x:c r="K193" s="29"/>
      <x:c r="L193" s="2" t="str">
        <x:f>IF(O193=1,"Complete",IF(A193,"Checklist open",IF(H193&lt;&gt;"","In progress","Not started")))</x:f>
        <x:v>Not started</x:v>
      </x:c>
      <x:c r="M193" s="2" t="str">
        <x:v>Task</x:v>
      </x:c>
      <x:c r="N193" s="2" t="str">
        <x:v>RA.AU.3.4.2026.CY2</x:v>
      </x:c>
      <x:c r="O193" s="2" t="n">
        <x:f>R193</x:f>
        <x:v>0</x:v>
      </x:c>
      <x:c r="P193" s="2"/>
      <x:c r="Q193" s="2" t="n">
        <x:v>1</x:v>
      </x:c>
      <x:c r="R193" s="2" t="n">
        <x:f>IF(A193,1,0)</x:f>
        <x:v>0</x:v>
      </x:c>
      <x:c r="S193" s="2" t="n">
        <x:f>SUBTOTAL(103,N193)</x:f>
        <x:v>1</x:v>
      </x:c>
    </x:row>
    <x:row r="194" ht="42" customHeight="1">
      <x:c r="A194" s="28" t="b">
        <x:v>0</x:v>
      </x:c>
      <x:c r="B194" s="2" t="str">
        <x:v>Cycle 2</x:v>
      </x:c>
      <x:c r="C194" s="2" t="str">
        <x:v>Phase 1</x:v>
      </x:c>
      <x:c r="D194" s="2" t="str">
        <x:v>Cards</x:v>
      </x:c>
      <x:c r="E194" s="56" t="str">
        <x:v>RA.CA.1.1</x:v>
      </x:c>
      <x:c r="F194" s="14" t="str">
        <x:v>Begin Research process 2 weeks prior to Cycle start</x:v>
      </x:c>
      <x:c r="G194" s="5"/>
      <x:c r="H194" s="11"/>
      <x:c r="I194" s="11" t="n">
        <x:f>'Cycles &amp; Guide'!$C$11-14</x:f>
        <x:v>46099</x:v>
      </x:c>
      <x:c r="J194" s="11"/>
      <x:c r="K194" s="29"/>
      <x:c r="L194" s="2" t="str">
        <x:f>IF(O194=1,"Complete",IF(A194,"Checklist open",IF(H194&lt;&gt;"","In progress","Not started")))</x:f>
        <x:v>Not started</x:v>
      </x:c>
      <x:c r="M194" s="2" t="str">
        <x:v>Task</x:v>
      </x:c>
      <x:c r="N194" s="2" t="str">
        <x:v>RA.CA.1.1.2026.CY2</x:v>
      </x:c>
      <x:c r="O194" s="2" t="n">
        <x:f>R194</x:f>
        <x:v>0</x:v>
      </x:c>
      <x:c r="P194" s="2"/>
      <x:c r="Q194" s="2" t="n">
        <x:v>1</x:v>
      </x:c>
      <x:c r="R194" s="2" t="n">
        <x:f>IF(A194,1,0)</x:f>
        <x:v>0</x:v>
      </x:c>
      <x:c r="S194" s="2" t="n">
        <x:f>SUBTOTAL(103,N194)</x:f>
        <x:v>1</x:v>
      </x:c>
    </x:row>
    <x:row r="195" ht="42" customHeight="1">
      <x:c r="A195" s="28" t="b">
        <x:v>0</x:v>
      </x:c>
      <x:c r="B195" s="2" t="str">
        <x:v>Cycle 2</x:v>
      </x:c>
      <x:c r="C195" s="2" t="str">
        <x:v>Phase 1</x:v>
      </x:c>
      <x:c r="D195" s="2" t="str">
        <x:v>Cards</x:v>
      </x:c>
      <x:c r="E195" s="56" t="str">
        <x:v>RA.CA.1.2</x:v>
      </x:c>
      <x:c r="F195" s="14" t="str">
        <x:v>Conduct initial assessment of each topic recommendation from SharePoint list</x:v>
      </x:c>
      <x:c r="G195" s="5"/>
      <x:c r="H195" s="11"/>
      <x:c r="I195" s="11" t="n">
        <x:f>'Cycles &amp; Guide'!$D$11</x:f>
        <x:v>46203</x:v>
      </x:c>
      <x:c r="J195" s="11"/>
      <x:c r="K195" s="29"/>
      <x:c r="L195" s="2" t="str">
        <x:f>IF(O195=1,"Complete",IF(A195,"Checklist open",IF(H195&lt;&gt;"","In progress","Not started")))</x:f>
        <x:v>Not started</x:v>
      </x:c>
      <x:c r="M195" s="2" t="str">
        <x:v>Task</x:v>
      </x:c>
      <x:c r="N195" s="2" t="str">
        <x:v>RA.CA.1.2.2026.CY2</x:v>
      </x:c>
      <x:c r="O195" s="2" t="n">
        <x:f>R195</x:f>
        <x:v>0</x:v>
      </x:c>
      <x:c r="P195" s="2"/>
      <x:c r="Q195" s="2" t="n">
        <x:v>1</x:v>
      </x:c>
      <x:c r="R195" s="2" t="n">
        <x:f>IF(A195,1,0)</x:f>
        <x:v>0</x:v>
      </x:c>
      <x:c r="S195" s="2" t="n">
        <x:f>SUBTOTAL(103,N195)</x:f>
        <x:v>1</x:v>
      </x:c>
    </x:row>
    <x:row r="196" ht="42" customHeight="1">
      <x:c r="A196" s="28" t="b">
        <x:v>0</x:v>
      </x:c>
      <x:c r="B196" s="2" t="str">
        <x:v>Cycle 2</x:v>
      </x:c>
      <x:c r="C196" s="2" t="str">
        <x:v>Phase 1</x:v>
      </x:c>
      <x:c r="D196" s="2" t="str">
        <x:v>Cards</x:v>
      </x:c>
      <x:c r="E196" s="56" t="str">
        <x:v>RA.CA.1.3</x:v>
      </x:c>
      <x:c r="F196" s="14" t="str">
        <x:v>Identify best topic for Cycle</x:v>
      </x:c>
      <x:c r="G196" s="5"/>
      <x:c r="H196" s="11"/>
      <x:c r="I196" s="11" t="n">
        <x:f>'Cycles &amp; Guide'!$D$11</x:f>
        <x:v>46203</x:v>
      </x:c>
      <x:c r="J196" s="11"/>
      <x:c r="K196" s="29"/>
      <x:c r="L196" s="2" t="str">
        <x:f>IF(O196=1,"Complete",IF(A196,"Checklist open",IF(H196&lt;&gt;"","In progress","Not started")))</x:f>
        <x:v>Not started</x:v>
      </x:c>
      <x:c r="M196" s="2" t="str">
        <x:v>Task</x:v>
      </x:c>
      <x:c r="N196" s="2" t="str">
        <x:v>RA.CA.1.3.2026.CY2</x:v>
      </x:c>
      <x:c r="O196" s="2" t="n">
        <x:f>R196</x:f>
        <x:v>0</x:v>
      </x:c>
      <x:c r="P196" s="2"/>
      <x:c r="Q196" s="2" t="n">
        <x:v>1</x:v>
      </x:c>
      <x:c r="R196" s="2" t="n">
        <x:f>IF(A196,1,0)</x:f>
        <x:v>0</x:v>
      </x:c>
      <x:c r="S196" s="2" t="n">
        <x:f>SUBTOTAL(103,N196)</x:f>
        <x:v>1</x:v>
      </x:c>
    </x:row>
    <x:row r="197" ht="42" customHeight="1">
      <x:c r="A197" s="28" t="b">
        <x:v>0</x:v>
      </x:c>
      <x:c r="B197" s="2" t="str">
        <x:v>Cycle 2</x:v>
      </x:c>
      <x:c r="C197" s="2" t="str">
        <x:v>Phase 1</x:v>
      </x:c>
      <x:c r="D197" s="2" t="str">
        <x:v>Cards</x:v>
      </x:c>
      <x:c r="E197" s="56" t="str">
        <x:v>RA.CA.1.4</x:v>
      </x:c>
      <x:c r="F197" s="14" t="str">
        <x:v>Identify backup topic for Cycle</x:v>
      </x:c>
      <x:c r="G197" s="5"/>
      <x:c r="H197" s="11"/>
      <x:c r="I197" s="11" t="n">
        <x:f>'Cycles &amp; Guide'!$D$11</x:f>
        <x:v>46203</x:v>
      </x:c>
      <x:c r="J197" s="11"/>
      <x:c r="K197" s="29"/>
      <x:c r="L197" s="2" t="str">
        <x:f>IF(O197=1,"Complete",IF(A197,"Checklist open",IF(H197&lt;&gt;"","In progress","Not started")))</x:f>
        <x:v>Not started</x:v>
      </x:c>
      <x:c r="M197" s="2" t="str">
        <x:v>Task</x:v>
      </x:c>
      <x:c r="N197" s="2" t="str">
        <x:v>RA.CA.1.4.2026.CY2</x:v>
      </x:c>
      <x:c r="O197" s="2" t="n">
        <x:f>R197</x:f>
        <x:v>0</x:v>
      </x:c>
      <x:c r="P197" s="2"/>
      <x:c r="Q197" s="2" t="n">
        <x:v>1</x:v>
      </x:c>
      <x:c r="R197" s="2" t="n">
        <x:f>IF(A197,1,0)</x:f>
        <x:v>0</x:v>
      </x:c>
      <x:c r="S197" s="2" t="n">
        <x:f>SUBTOTAL(103,N197)</x:f>
        <x:v>1</x:v>
      </x:c>
    </x:row>
    <x:row r="198" ht="42" customHeight="1">
      <x:c r="A198" s="28" t="b">
        <x:v>0</x:v>
      </x:c>
      <x:c r="B198" s="2" t="str">
        <x:v>Cycle 2</x:v>
      </x:c>
      <x:c r="C198" s="2" t="str">
        <x:v>Phase 1</x:v>
      </x:c>
      <x:c r="D198" s="2" t="str">
        <x:v>Cards</x:v>
      </x:c>
      <x:c r="E198" s="56" t="str">
        <x:v>RA.CA.1.5</x:v>
      </x:c>
      <x:c r="F198" s="14" t="str">
        <x:v>Schedule topic approval meeting with D&amp;I and management</x:v>
      </x:c>
      <x:c r="G198" s="5"/>
      <x:c r="H198" s="11"/>
      <x:c r="I198" s="11" t="n">
        <x:f>'Cycles &amp; Guide'!$D$11</x:f>
        <x:v>46203</x:v>
      </x:c>
      <x:c r="J198" s="11"/>
      <x:c r="K198" s="29"/>
      <x:c r="L198" s="2" t="str">
        <x:f>IF(O198=1,"Complete",IF(A198,"Checklist open",IF(H198&lt;&gt;"","In progress","Not started")))</x:f>
        <x:v>Not started</x:v>
      </x:c>
      <x:c r="M198" s="2" t="str">
        <x:v>Task</x:v>
      </x:c>
      <x:c r="N198" s="2" t="str">
        <x:v>RA.CA.1.5.2026.CY2</x:v>
      </x:c>
      <x:c r="O198" s="2" t="n">
        <x:f>R198</x:f>
        <x:v>0</x:v>
      </x:c>
      <x:c r="P198" s="2"/>
      <x:c r="Q198" s="2" t="n">
        <x:v>1</x:v>
      </x:c>
      <x:c r="R198" s="2" t="n">
        <x:f>IF(A198,1,0)</x:f>
        <x:v>0</x:v>
      </x:c>
      <x:c r="S198" s="2" t="n">
        <x:f>SUBTOTAL(103,N198)</x:f>
        <x:v>1</x:v>
      </x:c>
    </x:row>
    <x:row r="199" ht="42" customHeight="1">
      <x:c r="A199" s="28" t="b">
        <x:v>0</x:v>
      </x:c>
      <x:c r="B199" s="2" t="str">
        <x:v>Cycle 2</x:v>
      </x:c>
      <x:c r="C199" s="2" t="str">
        <x:v>Phase 1</x:v>
      </x:c>
      <x:c r="D199" s="2" t="str">
        <x:v>Cards</x:v>
      </x:c>
      <x:c r="E199" s="56" t="str">
        <x:v>RA.CA.1.6</x:v>
      </x:c>
      <x:c r="F199" s="14" t="str">
        <x:v>Present recommended topic to D&amp;I and management for approval</x:v>
      </x:c>
      <x:c r="G199" s="5"/>
      <x:c r="H199" s="11"/>
      <x:c r="I199" s="11" t="n">
        <x:f>'Cycles &amp; Guide'!$D$11</x:f>
        <x:v>46203</x:v>
      </x:c>
      <x:c r="J199" s="11"/>
      <x:c r="K199" s="29"/>
      <x:c r="L199" s="2" t="str">
        <x:f>IF(O199=1,"Complete",IF(A199,"Checklist open",IF(H199&lt;&gt;"","In progress","Not started")))</x:f>
        <x:v>Not started</x:v>
      </x:c>
      <x:c r="M199" s="2" t="str">
        <x:v>Task</x:v>
      </x:c>
      <x:c r="N199" s="2" t="str">
        <x:v>RA.CA.1.6.2026.CY2</x:v>
      </x:c>
      <x:c r="O199" s="2" t="n">
        <x:f>R199</x:f>
        <x:v>0</x:v>
      </x:c>
      <x:c r="P199" s="2"/>
      <x:c r="Q199" s="2" t="n">
        <x:v>1</x:v>
      </x:c>
      <x:c r="R199" s="2" t="n">
        <x:f>IF(A199,1,0)</x:f>
        <x:v>0</x:v>
      </x:c>
      <x:c r="S199" s="2" t="n">
        <x:f>SUBTOTAL(103,N199)</x:f>
        <x:v>1</x:v>
      </x:c>
    </x:row>
    <x:row r="200" ht="42" customHeight="1">
      <x:c r="A200" s="28" t="b">
        <x:v>0</x:v>
      </x:c>
      <x:c r="B200" s="2" t="str">
        <x:v>Cycle 2</x:v>
      </x:c>
      <x:c r="C200" s="2" t="str">
        <x:v>Phase 1</x:v>
      </x:c>
      <x:c r="D200" s="2" t="str">
        <x:v>Cards</x:v>
      </x:c>
      <x:c r="E200" s="56" t="str">
        <x:v>RA.CA.1.7</x:v>
      </x:c>
      <x:c r="F200" s="14" t="str">
        <x:v>Obtain formal topic selection approval from management via SharePoint</x:v>
      </x:c>
      <x:c r="G200" s="5"/>
      <x:c r="H200" s="11"/>
      <x:c r="I200" s="11" t="n">
        <x:f>'Cycles &amp; Guide'!$D$11</x:f>
        <x:v>46203</x:v>
      </x:c>
      <x:c r="J200" s="11"/>
      <x:c r="K200" s="29"/>
      <x:c r="L200" s="2" t="str">
        <x:f>IF(O200=1,"Complete",IF(A200,"Checklist open",IF(H200&lt;&gt;"","In progress","Not started")))</x:f>
        <x:v>Not started</x:v>
      </x:c>
      <x:c r="M200" s="2" t="str">
        <x:v>Task</x:v>
      </x:c>
      <x:c r="N200" s="2" t="str">
        <x:v>RA.CA.1.7.2026.CY2</x:v>
      </x:c>
      <x:c r="O200" s="2" t="n">
        <x:f>R200</x:f>
        <x:v>0</x:v>
      </x:c>
      <x:c r="P200" s="2"/>
      <x:c r="Q200" s="2" t="n">
        <x:v>1</x:v>
      </x:c>
      <x:c r="R200" s="2" t="n">
        <x:f>IF(A200,1,0)</x:f>
        <x:v>0</x:v>
      </x:c>
      <x:c r="S200" s="2" t="n">
        <x:f>SUBTOTAL(103,N200)</x:f>
        <x:v>1</x:v>
      </x:c>
    </x:row>
    <x:row r="201" ht="42" customHeight="1">
      <x:c r="A201" s="28" t="b">
        <x:v>0</x:v>
      </x:c>
      <x:c r="B201" s="2" t="str">
        <x:v>Cycle 2</x:v>
      </x:c>
      <x:c r="C201" s="2" t="str">
        <x:v>Phase 1</x:v>
      </x:c>
      <x:c r="D201" s="2" t="str">
        <x:v>Cards</x:v>
      </x:c>
      <x:c r="E201" s="56" t="str">
        <x:v>RA.CA.1.8</x:v>
      </x:c>
      <x:c r="F201" s="14" t="str">
        <x:v>Socialize topic selection with product owners and subject matter experts (if known)</x:v>
      </x:c>
      <x:c r="G201" s="5"/>
      <x:c r="H201" s="11"/>
      <x:c r="I201" s="11" t="n">
        <x:f>'Cycles &amp; Guide'!$D$11</x:f>
        <x:v>46203</x:v>
      </x:c>
      <x:c r="J201" s="11"/>
      <x:c r="K201" s="29"/>
      <x:c r="L201" s="2" t="str">
        <x:f>IF(O201=1,"Complete",IF(A201,"Checklist open",IF(H201&lt;&gt;"","In progress","Not started")))</x:f>
        <x:v>Not started</x:v>
      </x:c>
      <x:c r="M201" s="2" t="str">
        <x:v>Task</x:v>
      </x:c>
      <x:c r="N201" s="2" t="str">
        <x:v>RA.CA.1.8.2026.CY2</x:v>
      </x:c>
      <x:c r="O201" s="2" t="n">
        <x:f>R201</x:f>
        <x:v>0</x:v>
      </x:c>
      <x:c r="P201" s="2"/>
      <x:c r="Q201" s="2" t="n">
        <x:v>1</x:v>
      </x:c>
      <x:c r="R201" s="2" t="n">
        <x:f>IF(A201,1,0)</x:f>
        <x:v>0</x:v>
      </x:c>
      <x:c r="S201" s="2" t="n">
        <x:f>SUBTOTAL(103,N201)</x:f>
        <x:v>1</x:v>
      </x:c>
    </x:row>
    <x:row r="202" ht="42" customHeight="1">
      <x:c r="A202" s="28" t="b">
        <x:v>0</x:v>
      </x:c>
      <x:c r="B202" s="2" t="str">
        <x:v>Cycle 2</x:v>
      </x:c>
      <x:c r="C202" s="2" t="str">
        <x:v>Phase 1</x:v>
      </x:c>
      <x:c r="D202" s="2" t="str">
        <x:v>Cards</x:v>
      </x:c>
      <x:c r="E202" s="56" t="str">
        <x:v>RA.CA.1.9</x:v>
      </x:c>
      <x:c r="F202" s="14" t="str">
        <x:v>Assign topic researchers</x:v>
      </x:c>
      <x:c r="G202" s="5"/>
      <x:c r="H202" s="11"/>
      <x:c r="I202" s="11" t="n">
        <x:f>'Cycles &amp; Guide'!$D$11</x:f>
        <x:v>46203</x:v>
      </x:c>
      <x:c r="J202" s="11"/>
      <x:c r="K202" s="29"/>
      <x:c r="L202" s="2" t="str">
        <x:f>IF(O202=1,"Complete",IF(A202,"Checklist open",IF(H202&lt;&gt;"","In progress","Not started")))</x:f>
        <x:v>Not started</x:v>
      </x:c>
      <x:c r="M202" s="2" t="str">
        <x:v>Task</x:v>
      </x:c>
      <x:c r="N202" s="2" t="str">
        <x:v>RA.CA.1.9.2026.CY2</x:v>
      </x:c>
      <x:c r="O202" s="2" t="n">
        <x:f>R202</x:f>
        <x:v>0</x:v>
      </x:c>
      <x:c r="P202" s="2"/>
      <x:c r="Q202" s="2" t="n">
        <x:v>1</x:v>
      </x:c>
      <x:c r="R202" s="2" t="n">
        <x:f>IF(A202,1,0)</x:f>
        <x:v>0</x:v>
      </x:c>
      <x:c r="S202" s="2" t="n">
        <x:f>SUBTOTAL(103,N202)</x:f>
        <x:v>1</x:v>
      </x:c>
    </x:row>
    <x:row r="203" ht="42" customHeight="1">
      <x:c r="A203" s="28" t="b">
        <x:v>0</x:v>
      </x:c>
      <x:c r="B203" s="2" t="str">
        <x:v>Cycle 2</x:v>
      </x:c>
      <x:c r="C203" s="2" t="str">
        <x:v>Phase 2</x:v>
      </x:c>
      <x:c r="D203" s="2" t="str">
        <x:v>Cards</x:v>
      </x:c>
      <x:c r="E203" s="56" t="str">
        <x:v>RA.CA.2.1</x:v>
      </x:c>
      <x:c r="F203" s="14" t="str">
        <x:v>Review data sources</x:v>
      </x:c>
      <x:c r="G203" s="5"/>
      <x:c r="H203" s="11"/>
      <x:c r="I203" s="11" t="n">
        <x:f>'Cycles &amp; Guide'!$D$11</x:f>
        <x:v>46203</x:v>
      </x:c>
      <x:c r="J203" s="11"/>
      <x:c r="K203" s="29"/>
      <x:c r="L203" s="2" t="str">
        <x:f>IF(O203=1,"Complete",IF(A203,"Checklist open",IF(H203&lt;&gt;"","In progress","Not started")))</x:f>
        <x:v>Not started</x:v>
      </x:c>
      <x:c r="M203" s="2" t="str">
        <x:v>Task</x:v>
      </x:c>
      <x:c r="N203" s="2" t="str">
        <x:v>RA.CA.2.1.2026.CY2</x:v>
      </x:c>
      <x:c r="O203" s="2" t="n">
        <x:f>R203</x:f>
        <x:v>0</x:v>
      </x:c>
      <x:c r="P203" s="2"/>
      <x:c r="Q203" s="2" t="n">
        <x:v>1</x:v>
      </x:c>
      <x:c r="R203" s="2" t="n">
        <x:f>IF(A203,1,0)</x:f>
        <x:v>0</x:v>
      </x:c>
      <x:c r="S203" s="2" t="n">
        <x:f>SUBTOTAL(103,N203)</x:f>
        <x:v>1</x:v>
      </x:c>
    </x:row>
    <x:row r="204" ht="42" customHeight="1">
      <x:c r="A204" s="28" t="b">
        <x:v>0</x:v>
      </x:c>
      <x:c r="B204" s="2" t="str">
        <x:v>Cycle 2</x:v>
      </x:c>
      <x:c r="C204" s="2" t="str">
        <x:v>Phase 2</x:v>
      </x:c>
      <x:c r="D204" s="2" t="str">
        <x:v>Cards</x:v>
      </x:c>
      <x:c r="E204" s="56" t="str">
        <x:v>RA.CA.2.2</x:v>
      </x:c>
      <x:c r="F204" s="14" t="str">
        <x:v>Review relevant policies and procedures</x:v>
      </x:c>
      <x:c r="G204" s="5"/>
      <x:c r="H204" s="11"/>
      <x:c r="I204" s="11" t="n">
        <x:f>'Cycles &amp; Guide'!$D$11</x:f>
        <x:v>46203</x:v>
      </x:c>
      <x:c r="J204" s="11"/>
      <x:c r="K204" s="29"/>
      <x:c r="L204" s="2" t="str">
        <x:f>IF(O204=1,"Complete",IF(A204,"Checklist open",IF(H204&lt;&gt;"","In progress","Not started")))</x:f>
        <x:v>Not started</x:v>
      </x:c>
      <x:c r="M204" s="2" t="str">
        <x:v>Task</x:v>
      </x:c>
      <x:c r="N204" s="2" t="str">
        <x:v>RA.CA.2.2.2026.CY2</x:v>
      </x:c>
      <x:c r="O204" s="2" t="n">
        <x:f>R204</x:f>
        <x:v>0</x:v>
      </x:c>
      <x:c r="P204" s="2"/>
      <x:c r="Q204" s="2" t="n">
        <x:v>1</x:v>
      </x:c>
      <x:c r="R204" s="2" t="n">
        <x:f>IF(A204,1,0)</x:f>
        <x:v>0</x:v>
      </x:c>
      <x:c r="S204" s="2" t="n">
        <x:f>SUBTOTAL(103,N204)</x:f>
        <x:v>1</x:v>
      </x:c>
    </x:row>
    <x:row r="205" ht="42" customHeight="1">
      <x:c r="A205" s="28" t="b">
        <x:v>0</x:v>
      </x:c>
      <x:c r="B205" s="2" t="str">
        <x:v>Cycle 2</x:v>
      </x:c>
      <x:c r="C205" s="2" t="str">
        <x:v>Phase 2</x:v>
      </x:c>
      <x:c r="D205" s="2" t="str">
        <x:v>Cards</x:v>
      </x:c>
      <x:c r="E205" s="56" t="str">
        <x:v>RA.CA.2.3</x:v>
      </x:c>
      <x:c r="F205" s="14" t="str">
        <x:v>Meet with SMEs to gain business insight and clarify questions</x:v>
      </x:c>
      <x:c r="G205" s="5"/>
      <x:c r="H205" s="11"/>
      <x:c r="I205" s="11" t="n">
        <x:f>'Cycles &amp; Guide'!$D$11</x:f>
        <x:v>46203</x:v>
      </x:c>
      <x:c r="J205" s="11"/>
      <x:c r="K205" s="29"/>
      <x:c r="L205" s="2" t="str">
        <x:f>IF(O205=1,"Complete",IF(A205,"Checklist open",IF(H205&lt;&gt;"","In progress","Not started")))</x:f>
        <x:v>Not started</x:v>
      </x:c>
      <x:c r="M205" s="2" t="str">
        <x:v>Task</x:v>
      </x:c>
      <x:c r="N205" s="2" t="str">
        <x:v>RA.CA.2.3.2026.CY2</x:v>
      </x:c>
      <x:c r="O205" s="2" t="n">
        <x:f>R205</x:f>
        <x:v>0</x:v>
      </x:c>
      <x:c r="P205" s="2"/>
      <x:c r="Q205" s="2" t="n">
        <x:v>1</x:v>
      </x:c>
      <x:c r="R205" s="2" t="n">
        <x:f>IF(A205,1,0)</x:f>
        <x:v>0</x:v>
      </x:c>
      <x:c r="S205" s="2" t="n">
        <x:f>SUBTOTAL(103,N205)</x:f>
        <x:v>1</x:v>
      </x:c>
    </x:row>
    <x:row r="206" ht="42" customHeight="1">
      <x:c r="A206" s="28" t="b">
        <x:v>0</x:v>
      </x:c>
      <x:c r="B206" s="2" t="str">
        <x:v>Cycle 2</x:v>
      </x:c>
      <x:c r="C206" s="2" t="str">
        <x:v>Phase 2</x:v>
      </x:c>
      <x:c r="D206" s="2" t="str">
        <x:v>Cards</x:v>
      </x:c>
      <x:c r="E206" s="56" t="str">
        <x:v>RA.CA.2.4</x:v>
      </x:c>
      <x:c r="F206" s="14" t="str">
        <x:v>Establish and maintain a recurring meeting with D&amp;I to discuss Cycle progress</x:v>
      </x:c>
      <x:c r="G206" s="5"/>
      <x:c r="H206" s="11"/>
      <x:c r="I206" s="11" t="n">
        <x:f>'Cycles &amp; Guide'!$D$11</x:f>
        <x:v>46203</x:v>
      </x:c>
      <x:c r="J206" s="11"/>
      <x:c r="K206" s="29"/>
      <x:c r="L206" s="2" t="str">
        <x:f>IF(O206=1,"Complete",IF(A206,"Checklist open",IF(H206&lt;&gt;"","In progress","Not started")))</x:f>
        <x:v>Not started</x:v>
      </x:c>
      <x:c r="M206" s="2" t="str">
        <x:v>Task</x:v>
      </x:c>
      <x:c r="N206" s="2" t="str">
        <x:v>RA.CA.2.4.2026.CY2</x:v>
      </x:c>
      <x:c r="O206" s="2" t="n">
        <x:f>R206</x:f>
        <x:v>0</x:v>
      </x:c>
      <x:c r="P206" s="2"/>
      <x:c r="Q206" s="2" t="n">
        <x:v>1</x:v>
      </x:c>
      <x:c r="R206" s="2" t="n">
        <x:f>IF(A206,1,0)</x:f>
        <x:v>0</x:v>
      </x:c>
      <x:c r="S206" s="2" t="n">
        <x:f>SUBTOTAL(103,N206)</x:f>
        <x:v>1</x:v>
      </x:c>
    </x:row>
    <x:row r="207" ht="42" customHeight="1">
      <x:c r="A207" s="28" t="b">
        <x:v>0</x:v>
      </x:c>
      <x:c r="B207" s="2" t="str">
        <x:v>Cycle 2</x:v>
      </x:c>
      <x:c r="C207" s="2" t="str">
        <x:v>Phase 2</x:v>
      </x:c>
      <x:c r="D207" s="2" t="str">
        <x:v>Cards</x:v>
      </x:c>
      <x:c r="E207" s="56" t="str">
        <x:v>RA.CA.2.5</x:v>
      </x:c>
      <x:c r="F207" s="14" t="str">
        <x:v>Perform data testing and sampling</x:v>
      </x:c>
      <x:c r="G207" s="5"/>
      <x:c r="H207" s="11"/>
      <x:c r="I207" s="11" t="n">
        <x:f>'Cycles &amp; Guide'!$D$11</x:f>
        <x:v>46203</x:v>
      </x:c>
      <x:c r="J207" s="11"/>
      <x:c r="K207" s="29"/>
      <x:c r="L207" s="2" t="str">
        <x:f>IF(O207=1,"Complete",IF(A207,"Checklist open",IF(H207&lt;&gt;"","In progress","Not started")))</x:f>
        <x:v>Not started</x:v>
      </x:c>
      <x:c r="M207" s="2" t="str">
        <x:v>Task</x:v>
      </x:c>
      <x:c r="N207" s="2" t="str">
        <x:v>RA.CA.2.5.2026.CY2</x:v>
      </x:c>
      <x:c r="O207" s="2" t="n">
        <x:f>R207</x:f>
        <x:v>0</x:v>
      </x:c>
      <x:c r="P207" s="2"/>
      <x:c r="Q207" s="2" t="n">
        <x:v>1</x:v>
      </x:c>
      <x:c r="R207" s="2" t="n">
        <x:f>IF(A207,1,0)</x:f>
        <x:v>0</x:v>
      </x:c>
      <x:c r="S207" s="2" t="n">
        <x:f>SUBTOTAL(103,N207)</x:f>
        <x:v>1</x:v>
      </x:c>
    </x:row>
    <x:row r="208" ht="42" customHeight="1">
      <x:c r="A208" s="28" t="b">
        <x:v>0</x:v>
      </x:c>
      <x:c r="B208" s="2" t="str">
        <x:v>Cycle 2</x:v>
      </x:c>
      <x:c r="C208" s="2" t="str">
        <x:v>Phase 2</x:v>
      </x:c>
      <x:c r="D208" s="2" t="str">
        <x:v>Cards</x:v>
      </x:c>
      <x:c r="E208" s="56" t="str">
        <x:v>RA.CA.2.6</x:v>
      </x:c>
      <x:c r="F208" s="14" t="str">
        <x:v>Complete Positive Testing</x:v>
      </x:c>
      <x:c r="G208" s="5"/>
      <x:c r="H208" s="11"/>
      <x:c r="I208" s="11" t="n">
        <x:f>'Cycles &amp; Guide'!$D$11</x:f>
        <x:v>46203</x:v>
      </x:c>
      <x:c r="J208" s="11"/>
      <x:c r="K208" s="29"/>
      <x:c r="L208" s="2" t="str">
        <x:f>IF(O208=1,"Complete",IF(A208,"Checklist open",IF(H208&lt;&gt;"","In progress","Not started")))</x:f>
        <x:v>Not started</x:v>
      </x:c>
      <x:c r="M208" s="2" t="str">
        <x:v>Task</x:v>
      </x:c>
      <x:c r="N208" s="2" t="str">
        <x:v>RA.CA.2.6.2026.CY2</x:v>
      </x:c>
      <x:c r="O208" s="2" t="n">
        <x:f>R208</x:f>
        <x:v>0</x:v>
      </x:c>
      <x:c r="P208" s="2"/>
      <x:c r="Q208" s="2" t="n">
        <x:v>1</x:v>
      </x:c>
      <x:c r="R208" s="2" t="n">
        <x:f>IF(A208,1,0)</x:f>
        <x:v>0</x:v>
      </x:c>
      <x:c r="S208" s="2" t="n">
        <x:f>SUBTOTAL(103,N208)</x:f>
        <x:v>1</x:v>
      </x:c>
    </x:row>
    <x:row r="209" ht="42" customHeight="1">
      <x:c r="A209" s="28" t="b">
        <x:v>0</x:v>
      </x:c>
      <x:c r="B209" s="2" t="str">
        <x:v>Cycle 2</x:v>
      </x:c>
      <x:c r="C209" s="2" t="str">
        <x:v>Phase 2</x:v>
      </x:c>
      <x:c r="D209" s="2" t="str">
        <x:v>Cards</x:v>
      </x:c>
      <x:c r="E209" s="56" t="str">
        <x:v>RA.CA.2.7</x:v>
      </x:c>
      <x:c r="F209" s="14" t="str">
        <x:v>Complete Negative Testing</x:v>
      </x:c>
      <x:c r="G209" s="5"/>
      <x:c r="H209" s="11"/>
      <x:c r="I209" s="11" t="n">
        <x:f>'Cycles &amp; Guide'!$D$11</x:f>
        <x:v>46203</x:v>
      </x:c>
      <x:c r="J209" s="11"/>
      <x:c r="K209" s="29"/>
      <x:c r="L209" s="2" t="str">
        <x:f>IF(O209=1,"Complete",IF(A209,"Checklist open",IF(H209&lt;&gt;"","In progress","Not started")))</x:f>
        <x:v>Not started</x:v>
      </x:c>
      <x:c r="M209" s="2" t="str">
        <x:v>Task</x:v>
      </x:c>
      <x:c r="N209" s="2" t="str">
        <x:v>RA.CA.2.7.2026.CY2</x:v>
      </x:c>
      <x:c r="O209" s="2" t="n">
        <x:f>R209</x:f>
        <x:v>0</x:v>
      </x:c>
      <x:c r="P209" s="2"/>
      <x:c r="Q209" s="2" t="n">
        <x:v>1</x:v>
      </x:c>
      <x:c r="R209" s="2" t="n">
        <x:f>IF(A209,1,0)</x:f>
        <x:v>0</x:v>
      </x:c>
      <x:c r="S209" s="2" t="n">
        <x:f>SUBTOTAL(103,N209)</x:f>
        <x:v>1</x:v>
      </x:c>
    </x:row>
    <x:row r="210" ht="42" customHeight="1">
      <x:c r="A210" s="28" t="b">
        <x:v>0</x:v>
      </x:c>
      <x:c r="B210" s="2" t="str">
        <x:v>Cycle 2</x:v>
      </x:c>
      <x:c r="C210" s="2" t="str">
        <x:v>Phase 2</x:v>
      </x:c>
      <x:c r="D210" s="2" t="str">
        <x:v>Cards</x:v>
      </x:c>
      <x:c r="E210" s="56" t="str">
        <x:v>RA.CA.2.8</x:v>
      </x:c>
      <x:c r="F210" s="14" t="str">
        <x:v>Request additional data (as needed)</x:v>
      </x:c>
      <x:c r="G210" s="5"/>
      <x:c r="H210" s="11"/>
      <x:c r="I210" s="11" t="n">
        <x:f>'Cycles &amp; Guide'!$D$11</x:f>
        <x:v>46203</x:v>
      </x:c>
      <x:c r="J210" s="11"/>
      <x:c r="K210" s="29"/>
      <x:c r="L210" s="2" t="str">
        <x:f>IF(O210=1,"Complete",IF(A210,"Checklist open",IF(H210&lt;&gt;"","In progress","Not started")))</x:f>
        <x:v>Not started</x:v>
      </x:c>
      <x:c r="M210" s="2" t="str">
        <x:v>Task</x:v>
      </x:c>
      <x:c r="N210" s="2" t="str">
        <x:v>RA.CA.2.8.2026.CY2</x:v>
      </x:c>
      <x:c r="O210" s="2" t="n">
        <x:f>R210</x:f>
        <x:v>0</x:v>
      </x:c>
      <x:c r="P210" s="2"/>
      <x:c r="Q210" s="2" t="n">
        <x:v>1</x:v>
      </x:c>
      <x:c r="R210" s="2" t="n">
        <x:f>IF(A210,1,0)</x:f>
        <x:v>0</x:v>
      </x:c>
      <x:c r="S210" s="2" t="n">
        <x:f>SUBTOTAL(103,N210)</x:f>
        <x:v>1</x:v>
      </x:c>
    </x:row>
    <x:row r="211" ht="42" customHeight="1">
      <x:c r="A211" s="28" t="b">
        <x:v>0</x:v>
      </x:c>
      <x:c r="B211" s="2" t="str">
        <x:v>Cycle 2</x:v>
      </x:c>
      <x:c r="C211" s="2" t="str">
        <x:v>Phase 2</x:v>
      </x:c>
      <x:c r="D211" s="2" t="str">
        <x:v>Cards</x:v>
      </x:c>
      <x:c r="E211" s="56" t="str">
        <x:v>RA.CA.2.9</x:v>
      </x:c>
      <x:c r="F211" s="14" t="str">
        <x:v>Validate or disprove initial hypothesis assumptions</x:v>
      </x:c>
      <x:c r="G211" s="5"/>
      <x:c r="H211" s="11"/>
      <x:c r="I211" s="11" t="n">
        <x:f>'Cycles &amp; Guide'!$D$11</x:f>
        <x:v>46203</x:v>
      </x:c>
      <x:c r="J211" s="11"/>
      <x:c r="K211" s="29"/>
      <x:c r="L211" s="2" t="str">
        <x:f>IF(O211=1,"Complete",IF(A211,"Checklist open",IF(H211&lt;&gt;"","In progress","Not started")))</x:f>
        <x:v>Not started</x:v>
      </x:c>
      <x:c r="M211" s="2" t="str">
        <x:v>Task</x:v>
      </x:c>
      <x:c r="N211" s="2" t="str">
        <x:v>RA.CA.2.9.2026.CY2</x:v>
      </x:c>
      <x:c r="O211" s="2" t="n">
        <x:f>R211</x:f>
        <x:v>0</x:v>
      </x:c>
      <x:c r="P211" s="2"/>
      <x:c r="Q211" s="2" t="n">
        <x:v>1</x:v>
      </x:c>
      <x:c r="R211" s="2" t="n">
        <x:f>IF(A211,1,0)</x:f>
        <x:v>0</x:v>
      </x:c>
      <x:c r="S211" s="2" t="n">
        <x:f>SUBTOTAL(103,N211)</x:f>
        <x:v>1</x:v>
      </x:c>
    </x:row>
    <x:row r="212" ht="42" customHeight="1">
      <x:c r="A212" s="28" t="b">
        <x:v>0</x:v>
      </x:c>
      <x:c r="B212" s="2" t="str">
        <x:v>Cycle 2</x:v>
      </x:c>
      <x:c r="C212" s="2" t="str">
        <x:v>Phase 2</x:v>
      </x:c>
      <x:c r="D212" s="2" t="str">
        <x:v>Cards</x:v>
      </x:c>
      <x:c r="E212" s="56" t="str">
        <x:v>RA.CA.2.10</x:v>
      </x:c>
      <x:c r="F212" s="14" t="str">
        <x:v>Identify and confirm root cause</x:v>
      </x:c>
      <x:c r="G212" s="5"/>
      <x:c r="H212" s="11"/>
      <x:c r="I212" s="11" t="n">
        <x:f>'Cycles &amp; Guide'!$D$11</x:f>
        <x:v>46203</x:v>
      </x:c>
      <x:c r="J212" s="11"/>
      <x:c r="K212" s="29"/>
      <x:c r="L212" s="2" t="str">
        <x:f>IF(O212=1,"Complete",IF(A212,"Checklist open",IF(H212&lt;&gt;"","In progress","Not started")))</x:f>
        <x:v>Not started</x:v>
      </x:c>
      <x:c r="M212" s="2" t="str">
        <x:v>Task</x:v>
      </x:c>
      <x:c r="N212" s="2" t="str">
        <x:v>RA.CA.2.10.2026.CY2</x:v>
      </x:c>
      <x:c r="O212" s="2" t="n">
        <x:f>R212</x:f>
        <x:v>0</x:v>
      </x:c>
      <x:c r="P212" s="2"/>
      <x:c r="Q212" s="2" t="n">
        <x:v>1</x:v>
      </x:c>
      <x:c r="R212" s="2" t="n">
        <x:f>IF(A212,1,0)</x:f>
        <x:v>0</x:v>
      </x:c>
      <x:c r="S212" s="2" t="n">
        <x:f>SUBTOTAL(103,N212)</x:f>
        <x:v>1</x:v>
      </x:c>
    </x:row>
    <x:row r="213" ht="42" customHeight="1">
      <x:c r="A213" s="28" t="b">
        <x:v>0</x:v>
      </x:c>
      <x:c r="B213" s="2" t="str">
        <x:v>Cycle 2</x:v>
      </x:c>
      <x:c r="C213" s="2" t="str">
        <x:v>Phase 3</x:v>
      </x:c>
      <x:c r="D213" s="2" t="str">
        <x:v>Cards</x:v>
      </x:c>
      <x:c r="E213" s="56" t="str">
        <x:v>RA.CA.3.1</x:v>
      </x:c>
      <x:c r="F213" s="14" t="str">
        <x:v>Finalize results and supporting documentation</x:v>
      </x:c>
      <x:c r="G213" s="5"/>
      <x:c r="H213" s="11"/>
      <x:c r="I213" s="11" t="n">
        <x:f>'Cycles &amp; Guide'!$D$11</x:f>
        <x:v>46203</x:v>
      </x:c>
      <x:c r="J213" s="11"/>
      <x:c r="K213" s="29"/>
      <x:c r="L213" s="2" t="str">
        <x:f>IF(O213=1,"Complete",IF(A213,"Checklist open",IF(H213&lt;&gt;"","In progress","Not started")))</x:f>
        <x:v>Not started</x:v>
      </x:c>
      <x:c r="M213" s="2" t="str">
        <x:v>Task</x:v>
      </x:c>
      <x:c r="N213" s="2" t="str">
        <x:v>RA.CA.3.1.2026.CY2</x:v>
      </x:c>
      <x:c r="O213" s="2" t="n">
        <x:f>R213</x:f>
        <x:v>0</x:v>
      </x:c>
      <x:c r="P213" s="2"/>
      <x:c r="Q213" s="2" t="n">
        <x:v>1</x:v>
      </x:c>
      <x:c r="R213" s="2" t="n">
        <x:f>IF(A213,1,0)</x:f>
        <x:v>0</x:v>
      </x:c>
      <x:c r="S213" s="2" t="n">
        <x:f>SUBTOTAL(103,N213)</x:f>
        <x:v>1</x:v>
      </x:c>
    </x:row>
    <x:row r="214" ht="42" customHeight="1">
      <x:c r="A214" s="28" t="b">
        <x:v>0</x:v>
      </x:c>
      <x:c r="B214" s="2" t="str">
        <x:v>Cycle 2</x:v>
      </x:c>
      <x:c r="C214" s="2" t="str">
        <x:v>Phase 3</x:v>
      </x:c>
      <x:c r="D214" s="2" t="str">
        <x:v>Cards</x:v>
      </x:c>
      <x:c r="E214" s="56" t="str">
        <x:v>RA.CA.3.2</x:v>
      </x:c>
      <x:c r="F214" s="14" t="str">
        <x:v>Maintain and update the evidence package prior to handoff to D&amp;I</x:v>
      </x:c>
      <x:c r="G214" s="5"/>
      <x:c r="H214" s="11"/>
      <x:c r="I214" s="11" t="n">
        <x:f>'Cycles &amp; Guide'!$D$11</x:f>
        <x:v>46203</x:v>
      </x:c>
      <x:c r="J214" s="11"/>
      <x:c r="K214" s="29"/>
      <x:c r="L214" s="2" t="str">
        <x:f>IF(O214=1,"Complete",IF(A214,"Checklist open",IF(H214&lt;&gt;"","In progress","Not started")))</x:f>
        <x:v>Not started</x:v>
      </x:c>
      <x:c r="M214" s="2" t="str">
        <x:v>Task</x:v>
      </x:c>
      <x:c r="N214" s="2" t="str">
        <x:v>RA.CA.3.2.2026.CY2</x:v>
      </x:c>
      <x:c r="O214" s="2" t="n">
        <x:f>R214</x:f>
        <x:v>0</x:v>
      </x:c>
      <x:c r="P214" s="2"/>
      <x:c r="Q214" s="2" t="n">
        <x:v>1</x:v>
      </x:c>
      <x:c r="R214" s="2" t="n">
        <x:f>IF(A214,1,0)</x:f>
        <x:v>0</x:v>
      </x:c>
      <x:c r="S214" s="2" t="n">
        <x:f>SUBTOTAL(103,N214)</x:f>
        <x:v>1</x:v>
      </x:c>
    </x:row>
    <x:row r="215" ht="42" customHeight="1">
      <x:c r="A215" s="28" t="b">
        <x:v>0</x:v>
      </x:c>
      <x:c r="B215" s="2" t="str">
        <x:v>Cycle 2</x:v>
      </x:c>
      <x:c r="C215" s="2" t="str">
        <x:v>Phase 3</x:v>
      </x:c>
      <x:c r="D215" s="2" t="str">
        <x:v>Cards</x:v>
      </x:c>
      <x:c r="E215" s="56" t="str">
        <x:v>RA.CA.3.3</x:v>
      </x:c>
      <x:c r="F215" s="14" t="str">
        <x:v>Address any outstanding questions or requests from D&amp;I</x:v>
      </x:c>
      <x:c r="G215" s="5"/>
      <x:c r="H215" s="11"/>
      <x:c r="I215" s="11" t="n">
        <x:f>'Cycles &amp; Guide'!$D$11</x:f>
        <x:v>46203</x:v>
      </x:c>
      <x:c r="J215" s="11"/>
      <x:c r="K215" s="29"/>
      <x:c r="L215" s="2" t="str">
        <x:f>IF(O215=1,"Complete",IF(A215,"Checklist open",IF(H215&lt;&gt;"","In progress","Not started")))</x:f>
        <x:v>Not started</x:v>
      </x:c>
      <x:c r="M215" s="2" t="str">
        <x:v>Task</x:v>
      </x:c>
      <x:c r="N215" s="2" t="str">
        <x:v>RA.CA.3.3.2026.CY2</x:v>
      </x:c>
      <x:c r="O215" s="2" t="n">
        <x:f>R215</x:f>
        <x:v>0</x:v>
      </x:c>
      <x:c r="P215" s="2"/>
      <x:c r="Q215" s="2" t="n">
        <x:v>1</x:v>
      </x:c>
      <x:c r="R215" s="2" t="n">
        <x:f>IF(A215,1,0)</x:f>
        <x:v>0</x:v>
      </x:c>
      <x:c r="S215" s="2" t="n">
        <x:f>SUBTOTAL(103,N215)</x:f>
        <x:v>1</x:v>
      </x:c>
    </x:row>
    <x:row r="216" ht="42" customHeight="1">
      <x:c r="A216" s="28" t="b">
        <x:v>0</x:v>
      </x:c>
      <x:c r="B216" s="2" t="str">
        <x:v>Cycle 2</x:v>
      </x:c>
      <x:c r="C216" s="2" t="str">
        <x:v>Phase 3</x:v>
      </x:c>
      <x:c r="D216" s="2" t="str">
        <x:v>Cards</x:v>
      </x:c>
      <x:c r="E216" s="56" t="str">
        <x:v>RA.CA.3.4</x:v>
      </x:c>
      <x:c r="F216" s="14" t="str">
        <x:v>Attend Forum meeting with D&amp;I to assist with answering stakeholder questions (as needed)</x:v>
      </x:c>
      <x:c r="G216" s="5"/>
      <x:c r="H216" s="11"/>
      <x:c r="I216" s="11" t="str">
        <x:f>IF(SUMIFS('Cycles &amp; Guide'!$D$23:$D$50,'Cycles &amp; Guide'!$B$23:$B$50,B216,'Cycles &amp; Guide'!$C$23:$C$50,D216)=0,"",SUMIFS('Cycles &amp; Guide'!$D$23:$D$50,'Cycles &amp; Guide'!$B$23:$B$50,B216,'Cycles &amp; Guide'!$C$23:$C$50,D216))</x:f>
      </x:c>
      <x:c r="J216" s="11"/>
      <x:c r="K216" s="29"/>
      <x:c r="L216" s="2" t="str">
        <x:f>IF(O216=1,"Complete",IF(A216,"Checklist open",IF(H216&lt;&gt;"","In progress","Not started")))</x:f>
        <x:v>Not started</x:v>
      </x:c>
      <x:c r="M216" s="2" t="str">
        <x:v>Task</x:v>
      </x:c>
      <x:c r="N216" s="2" t="str">
        <x:v>RA.CA.3.4.2026.CY2</x:v>
      </x:c>
      <x:c r="O216" s="2" t="n">
        <x:f>R216</x:f>
        <x:v>0</x:v>
      </x:c>
      <x:c r="P216" s="2"/>
      <x:c r="Q216" s="2" t="n">
        <x:v>1</x:v>
      </x:c>
      <x:c r="R216" s="2" t="n">
        <x:f>IF(A216,1,0)</x:f>
        <x:v>0</x:v>
      </x:c>
      <x:c r="S216" s="2" t="n">
        <x:f>SUBTOTAL(103,N216)</x:f>
        <x:v>1</x:v>
      </x:c>
    </x:row>
    <x:row r="217" ht="42" customHeight="1">
      <x:c r="A217" s="28" t="b">
        <x:v>0</x:v>
      </x:c>
      <x:c r="B217" s="2" t="str">
        <x:v>Cycle 2</x:v>
      </x:c>
      <x:c r="C217" s="2" t="str">
        <x:v>Phase 1</x:v>
      </x:c>
      <x:c r="D217" s="2" t="str">
        <x:v>CSBBO - Banking Ops</x:v>
      </x:c>
      <x:c r="E217" s="56" t="str">
        <x:v>RA.BO.1.1</x:v>
      </x:c>
      <x:c r="F217" s="14" t="str">
        <x:v>Begin Research process 2 weeks prior to Cycle start</x:v>
      </x:c>
      <x:c r="G217" s="5"/>
      <x:c r="H217" s="11"/>
      <x:c r="I217" s="11" t="n">
        <x:f>'Cycles &amp; Guide'!$C$11-14</x:f>
        <x:v>46099</x:v>
      </x:c>
      <x:c r="J217" s="11"/>
      <x:c r="K217" s="29"/>
      <x:c r="L217" s="2" t="str">
        <x:f>IF(O217=1,"Complete",IF(A217,"Checklist open",IF(H217&lt;&gt;"","In progress","Not started")))</x:f>
        <x:v>Not started</x:v>
      </x:c>
      <x:c r="M217" s="2" t="str">
        <x:v>Task</x:v>
      </x:c>
      <x:c r="N217" s="2" t="str">
        <x:v>RA.BO.1.1.2026.CY2</x:v>
      </x:c>
      <x:c r="O217" s="2" t="n">
        <x:f>R217</x:f>
        <x:v>0</x:v>
      </x:c>
      <x:c r="P217" s="2"/>
      <x:c r="Q217" s="2" t="n">
        <x:v>1</x:v>
      </x:c>
      <x:c r="R217" s="2" t="n">
        <x:f>IF(A217,1,0)</x:f>
        <x:v>0</x:v>
      </x:c>
      <x:c r="S217" s="2" t="n">
        <x:f>SUBTOTAL(103,N217)</x:f>
        <x:v>1</x:v>
      </x:c>
    </x:row>
    <x:row r="218" ht="42" customHeight="1">
      <x:c r="A218" s="28" t="b">
        <x:v>0</x:v>
      </x:c>
      <x:c r="B218" s="2" t="str">
        <x:v>Cycle 2</x:v>
      </x:c>
      <x:c r="C218" s="2" t="str">
        <x:v>Phase 1</x:v>
      </x:c>
      <x:c r="D218" s="2" t="str">
        <x:v>CSBBO - Banking Ops</x:v>
      </x:c>
      <x:c r="E218" s="56" t="str">
        <x:v>RA.BO.1.2</x:v>
      </x:c>
      <x:c r="F218" s="14" t="str">
        <x:v>Conduct initial assessment of each topic recommendation from SharePoint list</x:v>
      </x:c>
      <x:c r="G218" s="5"/>
      <x:c r="H218" s="11"/>
      <x:c r="I218" s="11" t="n">
        <x:f>'Cycles &amp; Guide'!$D$11</x:f>
        <x:v>46203</x:v>
      </x:c>
      <x:c r="J218" s="11"/>
      <x:c r="K218" s="29"/>
      <x:c r="L218" s="2" t="str">
        <x:f>IF(O218=1,"Complete",IF(A218,"Checklist open",IF(H218&lt;&gt;"","In progress","Not started")))</x:f>
        <x:v>Not started</x:v>
      </x:c>
      <x:c r="M218" s="2" t="str">
        <x:v>Task</x:v>
      </x:c>
      <x:c r="N218" s="2" t="str">
        <x:v>RA.BO.1.2.2026.CY2</x:v>
      </x:c>
      <x:c r="O218" s="2" t="n">
        <x:f>R218</x:f>
        <x:v>0</x:v>
      </x:c>
      <x:c r="P218" s="2"/>
      <x:c r="Q218" s="2" t="n">
        <x:v>1</x:v>
      </x:c>
      <x:c r="R218" s="2" t="n">
        <x:f>IF(A218,1,0)</x:f>
        <x:v>0</x:v>
      </x:c>
      <x:c r="S218" s="2" t="n">
        <x:f>SUBTOTAL(103,N218)</x:f>
        <x:v>1</x:v>
      </x:c>
    </x:row>
    <x:row r="219" ht="42" customHeight="1">
      <x:c r="A219" s="28" t="b">
        <x:v>0</x:v>
      </x:c>
      <x:c r="B219" s="2" t="str">
        <x:v>Cycle 2</x:v>
      </x:c>
      <x:c r="C219" s="2" t="str">
        <x:v>Phase 1</x:v>
      </x:c>
      <x:c r="D219" s="2" t="str">
        <x:v>CSBBO - Banking Ops</x:v>
      </x:c>
      <x:c r="E219" s="56" t="str">
        <x:v>RA.BO.1.3</x:v>
      </x:c>
      <x:c r="F219" s="14" t="str">
        <x:v>Identify best topic for Cycle</x:v>
      </x:c>
      <x:c r="G219" s="5"/>
      <x:c r="H219" s="11"/>
      <x:c r="I219" s="11" t="n">
        <x:f>'Cycles &amp; Guide'!$D$11</x:f>
        <x:v>46203</x:v>
      </x:c>
      <x:c r="J219" s="11"/>
      <x:c r="K219" s="29"/>
      <x:c r="L219" s="2" t="str">
        <x:f>IF(O219=1,"Complete",IF(A219,"Checklist open",IF(H219&lt;&gt;"","In progress","Not started")))</x:f>
        <x:v>Not started</x:v>
      </x:c>
      <x:c r="M219" s="2" t="str">
        <x:v>Task</x:v>
      </x:c>
      <x:c r="N219" s="2" t="str">
        <x:v>RA.BO.1.3.2026.CY2</x:v>
      </x:c>
      <x:c r="O219" s="2" t="n">
        <x:f>R219</x:f>
        <x:v>0</x:v>
      </x:c>
      <x:c r="P219" s="2"/>
      <x:c r="Q219" s="2" t="n">
        <x:v>1</x:v>
      </x:c>
      <x:c r="R219" s="2" t="n">
        <x:f>IF(A219,1,0)</x:f>
        <x:v>0</x:v>
      </x:c>
      <x:c r="S219" s="2" t="n">
        <x:f>SUBTOTAL(103,N219)</x:f>
        <x:v>1</x:v>
      </x:c>
    </x:row>
    <x:row r="220" ht="42" customHeight="1">
      <x:c r="A220" s="28" t="b">
        <x:v>0</x:v>
      </x:c>
      <x:c r="B220" s="2" t="str">
        <x:v>Cycle 2</x:v>
      </x:c>
      <x:c r="C220" s="2" t="str">
        <x:v>Phase 1</x:v>
      </x:c>
      <x:c r="D220" s="2" t="str">
        <x:v>CSBBO - Banking Ops</x:v>
      </x:c>
      <x:c r="E220" s="56" t="str">
        <x:v>RA.BO.1.4</x:v>
      </x:c>
      <x:c r="F220" s="14" t="str">
        <x:v>Identify backup topic for Cycle</x:v>
      </x:c>
      <x:c r="G220" s="5"/>
      <x:c r="H220" s="11"/>
      <x:c r="I220" s="11" t="n">
        <x:f>'Cycles &amp; Guide'!$D$11</x:f>
        <x:v>46203</x:v>
      </x:c>
      <x:c r="J220" s="11"/>
      <x:c r="K220" s="29"/>
      <x:c r="L220" s="2" t="str">
        <x:f>IF(O220=1,"Complete",IF(A220,"Checklist open",IF(H220&lt;&gt;"","In progress","Not started")))</x:f>
        <x:v>Not started</x:v>
      </x:c>
      <x:c r="M220" s="2" t="str">
        <x:v>Task</x:v>
      </x:c>
      <x:c r="N220" s="2" t="str">
        <x:v>RA.BO.1.4.2026.CY2</x:v>
      </x:c>
      <x:c r="O220" s="2" t="n">
        <x:f>R220</x:f>
        <x:v>0</x:v>
      </x:c>
      <x:c r="P220" s="2"/>
      <x:c r="Q220" s="2" t="n">
        <x:v>1</x:v>
      </x:c>
      <x:c r="R220" s="2" t="n">
        <x:f>IF(A220,1,0)</x:f>
        <x:v>0</x:v>
      </x:c>
      <x:c r="S220" s="2" t="n">
        <x:f>SUBTOTAL(103,N220)</x:f>
        <x:v>1</x:v>
      </x:c>
    </x:row>
    <x:row r="221" ht="42" customHeight="1">
      <x:c r="A221" s="28" t="b">
        <x:v>0</x:v>
      </x:c>
      <x:c r="B221" s="2" t="str">
        <x:v>Cycle 2</x:v>
      </x:c>
      <x:c r="C221" s="2" t="str">
        <x:v>Phase 1</x:v>
      </x:c>
      <x:c r="D221" s="2" t="str">
        <x:v>CSBBO - Banking Ops</x:v>
      </x:c>
      <x:c r="E221" s="56" t="str">
        <x:v>RA.BO.1.5</x:v>
      </x:c>
      <x:c r="F221" s="14" t="str">
        <x:v>Schedule topic approval meeting with D&amp;I and management</x:v>
      </x:c>
      <x:c r="G221" s="5"/>
      <x:c r="H221" s="11"/>
      <x:c r="I221" s="11" t="n">
        <x:f>'Cycles &amp; Guide'!$D$11</x:f>
        <x:v>46203</x:v>
      </x:c>
      <x:c r="J221" s="11"/>
      <x:c r="K221" s="29"/>
      <x:c r="L221" s="2" t="str">
        <x:f>IF(O221=1,"Complete",IF(A221,"Checklist open",IF(H221&lt;&gt;"","In progress","Not started")))</x:f>
        <x:v>Not started</x:v>
      </x:c>
      <x:c r="M221" s="2" t="str">
        <x:v>Task</x:v>
      </x:c>
      <x:c r="N221" s="2" t="str">
        <x:v>RA.BO.1.5.2026.CY2</x:v>
      </x:c>
      <x:c r="O221" s="2" t="n">
        <x:f>R221</x:f>
        <x:v>0</x:v>
      </x:c>
      <x:c r="P221" s="2"/>
      <x:c r="Q221" s="2" t="n">
        <x:v>1</x:v>
      </x:c>
      <x:c r="R221" s="2" t="n">
        <x:f>IF(A221,1,0)</x:f>
        <x:v>0</x:v>
      </x:c>
      <x:c r="S221" s="2" t="n">
        <x:f>SUBTOTAL(103,N221)</x:f>
        <x:v>1</x:v>
      </x:c>
    </x:row>
    <x:row r="222" ht="42" customHeight="1">
      <x:c r="A222" s="28" t="b">
        <x:v>0</x:v>
      </x:c>
      <x:c r="B222" s="2" t="str">
        <x:v>Cycle 2</x:v>
      </x:c>
      <x:c r="C222" s="2" t="str">
        <x:v>Phase 1</x:v>
      </x:c>
      <x:c r="D222" s="2" t="str">
        <x:v>CSBBO - Banking Ops</x:v>
      </x:c>
      <x:c r="E222" s="56" t="str">
        <x:v>RA.BO.1.6</x:v>
      </x:c>
      <x:c r="F222" s="14" t="str">
        <x:v>Present recommended topic to D&amp;I and management for approval</x:v>
      </x:c>
      <x:c r="G222" s="5"/>
      <x:c r="H222" s="11"/>
      <x:c r="I222" s="11" t="n">
        <x:f>'Cycles &amp; Guide'!$D$11</x:f>
        <x:v>46203</x:v>
      </x:c>
      <x:c r="J222" s="11"/>
      <x:c r="K222" s="29"/>
      <x:c r="L222" s="2" t="str">
        <x:f>IF(O222=1,"Complete",IF(A222,"Checklist open",IF(H222&lt;&gt;"","In progress","Not started")))</x:f>
        <x:v>Not started</x:v>
      </x:c>
      <x:c r="M222" s="2" t="str">
        <x:v>Task</x:v>
      </x:c>
      <x:c r="N222" s="2" t="str">
        <x:v>RA.BO.1.6.2026.CY2</x:v>
      </x:c>
      <x:c r="O222" s="2" t="n">
        <x:f>R222</x:f>
        <x:v>0</x:v>
      </x:c>
      <x:c r="P222" s="2"/>
      <x:c r="Q222" s="2" t="n">
        <x:v>1</x:v>
      </x:c>
      <x:c r="R222" s="2" t="n">
        <x:f>IF(A222,1,0)</x:f>
        <x:v>0</x:v>
      </x:c>
      <x:c r="S222" s="2" t="n">
        <x:f>SUBTOTAL(103,N222)</x:f>
        <x:v>1</x:v>
      </x:c>
    </x:row>
    <x:row r="223" ht="42" customHeight="1">
      <x:c r="A223" s="28" t="b">
        <x:v>0</x:v>
      </x:c>
      <x:c r="B223" s="2" t="str">
        <x:v>Cycle 2</x:v>
      </x:c>
      <x:c r="C223" s="2" t="str">
        <x:v>Phase 1</x:v>
      </x:c>
      <x:c r="D223" s="2" t="str">
        <x:v>CSBBO - Banking Ops</x:v>
      </x:c>
      <x:c r="E223" s="56" t="str">
        <x:v>RA.BO.1.7</x:v>
      </x:c>
      <x:c r="F223" s="14" t="str">
        <x:v>Obtain formal topic selection approval from management via SharePoint</x:v>
      </x:c>
      <x:c r="G223" s="5"/>
      <x:c r="H223" s="11"/>
      <x:c r="I223" s="11" t="n">
        <x:f>'Cycles &amp; Guide'!$D$11</x:f>
        <x:v>46203</x:v>
      </x:c>
      <x:c r="J223" s="11"/>
      <x:c r="K223" s="29"/>
      <x:c r="L223" s="2" t="str">
        <x:f>IF(O223=1,"Complete",IF(A223,"Checklist open",IF(H223&lt;&gt;"","In progress","Not started")))</x:f>
        <x:v>Not started</x:v>
      </x:c>
      <x:c r="M223" s="2" t="str">
        <x:v>Task</x:v>
      </x:c>
      <x:c r="N223" s="2" t="str">
        <x:v>RA.BO.1.7.2026.CY2</x:v>
      </x:c>
      <x:c r="O223" s="2" t="n">
        <x:f>R223</x:f>
        <x:v>0</x:v>
      </x:c>
      <x:c r="P223" s="2"/>
      <x:c r="Q223" s="2" t="n">
        <x:v>1</x:v>
      </x:c>
      <x:c r="R223" s="2" t="n">
        <x:f>IF(A223,1,0)</x:f>
        <x:v>0</x:v>
      </x:c>
      <x:c r="S223" s="2" t="n">
        <x:f>SUBTOTAL(103,N223)</x:f>
        <x:v>1</x:v>
      </x:c>
    </x:row>
    <x:row r="224" ht="42" customHeight="1">
      <x:c r="A224" s="28" t="b">
        <x:v>0</x:v>
      </x:c>
      <x:c r="B224" s="2" t="str">
        <x:v>Cycle 2</x:v>
      </x:c>
      <x:c r="C224" s="2" t="str">
        <x:v>Phase 1</x:v>
      </x:c>
      <x:c r="D224" s="2" t="str">
        <x:v>CSBBO - Banking Ops</x:v>
      </x:c>
      <x:c r="E224" s="56" t="str">
        <x:v>RA.BO.1.8</x:v>
      </x:c>
      <x:c r="F224" s="14" t="str">
        <x:v>Socialize topic selection with product owners and subject matter experts (if known)</x:v>
      </x:c>
      <x:c r="G224" s="5"/>
      <x:c r="H224" s="11"/>
      <x:c r="I224" s="11" t="n">
        <x:f>'Cycles &amp; Guide'!$D$11</x:f>
        <x:v>46203</x:v>
      </x:c>
      <x:c r="J224" s="11"/>
      <x:c r="K224" s="29"/>
      <x:c r="L224" s="2" t="str">
        <x:f>IF(O224=1,"Complete",IF(A224,"Checklist open",IF(H224&lt;&gt;"","In progress","Not started")))</x:f>
        <x:v>Not started</x:v>
      </x:c>
      <x:c r="M224" s="2" t="str">
        <x:v>Task</x:v>
      </x:c>
      <x:c r="N224" s="2" t="str">
        <x:v>RA.BO.1.8.2026.CY2</x:v>
      </x:c>
      <x:c r="O224" s="2" t="n">
        <x:f>R224</x:f>
        <x:v>0</x:v>
      </x:c>
      <x:c r="P224" s="2"/>
      <x:c r="Q224" s="2" t="n">
        <x:v>1</x:v>
      </x:c>
      <x:c r="R224" s="2" t="n">
        <x:f>IF(A224,1,0)</x:f>
        <x:v>0</x:v>
      </x:c>
      <x:c r="S224" s="2" t="n">
        <x:f>SUBTOTAL(103,N224)</x:f>
        <x:v>1</x:v>
      </x:c>
    </x:row>
    <x:row r="225" ht="42" customHeight="1">
      <x:c r="A225" s="28" t="b">
        <x:v>0</x:v>
      </x:c>
      <x:c r="B225" s="2" t="str">
        <x:v>Cycle 2</x:v>
      </x:c>
      <x:c r="C225" s="2" t="str">
        <x:v>Phase 1</x:v>
      </x:c>
      <x:c r="D225" s="2" t="str">
        <x:v>CSBBO - Banking Ops</x:v>
      </x:c>
      <x:c r="E225" s="56" t="str">
        <x:v>RA.BO.1.9</x:v>
      </x:c>
      <x:c r="F225" s="14" t="str">
        <x:v>Assign topic researchers</x:v>
      </x:c>
      <x:c r="G225" s="5"/>
      <x:c r="H225" s="11"/>
      <x:c r="I225" s="11" t="n">
        <x:f>'Cycles &amp; Guide'!$D$11</x:f>
        <x:v>46203</x:v>
      </x:c>
      <x:c r="J225" s="11"/>
      <x:c r="K225" s="29"/>
      <x:c r="L225" s="2" t="str">
        <x:f>IF(O225=1,"Complete",IF(A225,"Checklist open",IF(H225&lt;&gt;"","In progress","Not started")))</x:f>
        <x:v>Not started</x:v>
      </x:c>
      <x:c r="M225" s="2" t="str">
        <x:v>Task</x:v>
      </x:c>
      <x:c r="N225" s="2" t="str">
        <x:v>RA.BO.1.9.2026.CY2</x:v>
      </x:c>
      <x:c r="O225" s="2" t="n">
        <x:f>R225</x:f>
        <x:v>0</x:v>
      </x:c>
      <x:c r="P225" s="2"/>
      <x:c r="Q225" s="2" t="n">
        <x:v>1</x:v>
      </x:c>
      <x:c r="R225" s="2" t="n">
        <x:f>IF(A225,1,0)</x:f>
        <x:v>0</x:v>
      </x:c>
      <x:c r="S225" s="2" t="n">
        <x:f>SUBTOTAL(103,N225)</x:f>
        <x:v>1</x:v>
      </x:c>
    </x:row>
    <x:row r="226" ht="42" customHeight="1">
      <x:c r="A226" s="28" t="b">
        <x:v>0</x:v>
      </x:c>
      <x:c r="B226" s="2" t="str">
        <x:v>Cycle 2</x:v>
      </x:c>
      <x:c r="C226" s="2" t="str">
        <x:v>Phase 2</x:v>
      </x:c>
      <x:c r="D226" s="2" t="str">
        <x:v>CSBBO - Banking Ops</x:v>
      </x:c>
      <x:c r="E226" s="56" t="str">
        <x:v>RA.BO.2.1</x:v>
      </x:c>
      <x:c r="F226" s="14" t="str">
        <x:v>Review data sources</x:v>
      </x:c>
      <x:c r="G226" s="5"/>
      <x:c r="H226" s="11"/>
      <x:c r="I226" s="11" t="n">
        <x:f>'Cycles &amp; Guide'!$D$11</x:f>
        <x:v>46203</x:v>
      </x:c>
      <x:c r="J226" s="11"/>
      <x:c r="K226" s="29"/>
      <x:c r="L226" s="2" t="str">
        <x:f>IF(O226=1,"Complete",IF(A226,"Checklist open",IF(H226&lt;&gt;"","In progress","Not started")))</x:f>
        <x:v>Not started</x:v>
      </x:c>
      <x:c r="M226" s="2" t="str">
        <x:v>Task</x:v>
      </x:c>
      <x:c r="N226" s="2" t="str">
        <x:v>RA.BO.2.1.2026.CY2</x:v>
      </x:c>
      <x:c r="O226" s="2" t="n">
        <x:f>R226</x:f>
        <x:v>0</x:v>
      </x:c>
      <x:c r="P226" s="2"/>
      <x:c r="Q226" s="2" t="n">
        <x:v>1</x:v>
      </x:c>
      <x:c r="R226" s="2" t="n">
        <x:f>IF(A226,1,0)</x:f>
        <x:v>0</x:v>
      </x:c>
      <x:c r="S226" s="2" t="n">
        <x:f>SUBTOTAL(103,N226)</x:f>
        <x:v>1</x:v>
      </x:c>
    </x:row>
    <x:row r="227" ht="42" customHeight="1">
      <x:c r="A227" s="28" t="b">
        <x:v>0</x:v>
      </x:c>
      <x:c r="B227" s="2" t="str">
        <x:v>Cycle 2</x:v>
      </x:c>
      <x:c r="C227" s="2" t="str">
        <x:v>Phase 2</x:v>
      </x:c>
      <x:c r="D227" s="2" t="str">
        <x:v>CSBBO - Banking Ops</x:v>
      </x:c>
      <x:c r="E227" s="56" t="str">
        <x:v>RA.BO.2.2</x:v>
      </x:c>
      <x:c r="F227" s="14" t="str">
        <x:v>Review relevant policies and procedures</x:v>
      </x:c>
      <x:c r="G227" s="5"/>
      <x:c r="H227" s="11"/>
      <x:c r="I227" s="11" t="n">
        <x:f>'Cycles &amp; Guide'!$D$11</x:f>
        <x:v>46203</x:v>
      </x:c>
      <x:c r="J227" s="11"/>
      <x:c r="K227" s="29"/>
      <x:c r="L227" s="2" t="str">
        <x:f>IF(O227=1,"Complete",IF(A227,"Checklist open",IF(H227&lt;&gt;"","In progress","Not started")))</x:f>
        <x:v>Not started</x:v>
      </x:c>
      <x:c r="M227" s="2" t="str">
        <x:v>Task</x:v>
      </x:c>
      <x:c r="N227" s="2" t="str">
        <x:v>RA.BO.2.2.2026.CY2</x:v>
      </x:c>
      <x:c r="O227" s="2" t="n">
        <x:f>R227</x:f>
        <x:v>0</x:v>
      </x:c>
      <x:c r="P227" s="2"/>
      <x:c r="Q227" s="2" t="n">
        <x:v>1</x:v>
      </x:c>
      <x:c r="R227" s="2" t="n">
        <x:f>IF(A227,1,0)</x:f>
        <x:v>0</x:v>
      </x:c>
      <x:c r="S227" s="2" t="n">
        <x:f>SUBTOTAL(103,N227)</x:f>
        <x:v>1</x:v>
      </x:c>
    </x:row>
    <x:row r="228" ht="42" customHeight="1">
      <x:c r="A228" s="28" t="b">
        <x:v>0</x:v>
      </x:c>
      <x:c r="B228" s="2" t="str">
        <x:v>Cycle 2</x:v>
      </x:c>
      <x:c r="C228" s="2" t="str">
        <x:v>Phase 2</x:v>
      </x:c>
      <x:c r="D228" s="2" t="str">
        <x:v>CSBBO - Banking Ops</x:v>
      </x:c>
      <x:c r="E228" s="56" t="str">
        <x:v>RA.BO.2.3</x:v>
      </x:c>
      <x:c r="F228" s="14" t="str">
        <x:v>Meet with SMEs to gain business insight and clarify questions</x:v>
      </x:c>
      <x:c r="G228" s="5"/>
      <x:c r="H228" s="11"/>
      <x:c r="I228" s="11" t="n">
        <x:f>'Cycles &amp; Guide'!$D$11</x:f>
        <x:v>46203</x:v>
      </x:c>
      <x:c r="J228" s="11"/>
      <x:c r="K228" s="29"/>
      <x:c r="L228" s="2" t="str">
        <x:f>IF(O228=1,"Complete",IF(A228,"Checklist open",IF(H228&lt;&gt;"","In progress","Not started")))</x:f>
        <x:v>Not started</x:v>
      </x:c>
      <x:c r="M228" s="2" t="str">
        <x:v>Task</x:v>
      </x:c>
      <x:c r="N228" s="2" t="str">
        <x:v>RA.BO.2.3.2026.CY2</x:v>
      </x:c>
      <x:c r="O228" s="2" t="n">
        <x:f>R228</x:f>
        <x:v>0</x:v>
      </x:c>
      <x:c r="P228" s="2"/>
      <x:c r="Q228" s="2" t="n">
        <x:v>1</x:v>
      </x:c>
      <x:c r="R228" s="2" t="n">
        <x:f>IF(A228,1,0)</x:f>
        <x:v>0</x:v>
      </x:c>
      <x:c r="S228" s="2" t="n">
        <x:f>SUBTOTAL(103,N228)</x:f>
        <x:v>1</x:v>
      </x:c>
    </x:row>
    <x:row r="229" ht="42" customHeight="1">
      <x:c r="A229" s="28" t="b">
        <x:v>0</x:v>
      </x:c>
      <x:c r="B229" s="2" t="str">
        <x:v>Cycle 2</x:v>
      </x:c>
      <x:c r="C229" s="2" t="str">
        <x:v>Phase 2</x:v>
      </x:c>
      <x:c r="D229" s="2" t="str">
        <x:v>CSBBO - Banking Ops</x:v>
      </x:c>
      <x:c r="E229" s="56" t="str">
        <x:v>RA.BO.2.4</x:v>
      </x:c>
      <x:c r="F229" s="14" t="str">
        <x:v>Establish and maintain a recurring meeting with D&amp;I to discuss Cycle progress</x:v>
      </x:c>
      <x:c r="G229" s="5"/>
      <x:c r="H229" s="11"/>
      <x:c r="I229" s="11" t="n">
        <x:f>'Cycles &amp; Guide'!$D$11</x:f>
        <x:v>46203</x:v>
      </x:c>
      <x:c r="J229" s="11"/>
      <x:c r="K229" s="29"/>
      <x:c r="L229" s="2" t="str">
        <x:f>IF(O229=1,"Complete",IF(A229,"Checklist open",IF(H229&lt;&gt;"","In progress","Not started")))</x:f>
        <x:v>Not started</x:v>
      </x:c>
      <x:c r="M229" s="2" t="str">
        <x:v>Task</x:v>
      </x:c>
      <x:c r="N229" s="2" t="str">
        <x:v>RA.BO.2.4.2026.CY2</x:v>
      </x:c>
      <x:c r="O229" s="2" t="n">
        <x:f>R229</x:f>
        <x:v>0</x:v>
      </x:c>
      <x:c r="P229" s="2"/>
      <x:c r="Q229" s="2" t="n">
        <x:v>1</x:v>
      </x:c>
      <x:c r="R229" s="2" t="n">
        <x:f>IF(A229,1,0)</x:f>
        <x:v>0</x:v>
      </x:c>
      <x:c r="S229" s="2" t="n">
        <x:f>SUBTOTAL(103,N229)</x:f>
        <x:v>1</x:v>
      </x:c>
    </x:row>
    <x:row r="230" ht="42" customHeight="1">
      <x:c r="A230" s="28" t="b">
        <x:v>0</x:v>
      </x:c>
      <x:c r="B230" s="2" t="str">
        <x:v>Cycle 2</x:v>
      </x:c>
      <x:c r="C230" s="2" t="str">
        <x:v>Phase 2</x:v>
      </x:c>
      <x:c r="D230" s="2" t="str">
        <x:v>CSBBO - Banking Ops</x:v>
      </x:c>
      <x:c r="E230" s="56" t="str">
        <x:v>RA.BO.2.5</x:v>
      </x:c>
      <x:c r="F230" s="14" t="str">
        <x:v>Perform data testing and sampling</x:v>
      </x:c>
      <x:c r="G230" s="5"/>
      <x:c r="H230" s="11"/>
      <x:c r="I230" s="11" t="n">
        <x:f>'Cycles &amp; Guide'!$D$11</x:f>
        <x:v>46203</x:v>
      </x:c>
      <x:c r="J230" s="11"/>
      <x:c r="K230" s="29"/>
      <x:c r="L230" s="2" t="str">
        <x:f>IF(O230=1,"Complete",IF(A230,"Checklist open",IF(H230&lt;&gt;"","In progress","Not started")))</x:f>
        <x:v>Not started</x:v>
      </x:c>
      <x:c r="M230" s="2" t="str">
        <x:v>Task</x:v>
      </x:c>
      <x:c r="N230" s="2" t="str">
        <x:v>RA.BO.2.5.2026.CY2</x:v>
      </x:c>
      <x:c r="O230" s="2" t="n">
        <x:f>R230</x:f>
        <x:v>0</x:v>
      </x:c>
      <x:c r="P230" s="2"/>
      <x:c r="Q230" s="2" t="n">
        <x:v>1</x:v>
      </x:c>
      <x:c r="R230" s="2" t="n">
        <x:f>IF(A230,1,0)</x:f>
        <x:v>0</x:v>
      </x:c>
      <x:c r="S230" s="2" t="n">
        <x:f>SUBTOTAL(103,N230)</x:f>
        <x:v>1</x:v>
      </x:c>
    </x:row>
    <x:row r="231" ht="42" customHeight="1">
      <x:c r="A231" s="28" t="b">
        <x:v>0</x:v>
      </x:c>
      <x:c r="B231" s="2" t="str">
        <x:v>Cycle 2</x:v>
      </x:c>
      <x:c r="C231" s="2" t="str">
        <x:v>Phase 2</x:v>
      </x:c>
      <x:c r="D231" s="2" t="str">
        <x:v>CSBBO - Banking Ops</x:v>
      </x:c>
      <x:c r="E231" s="56" t="str">
        <x:v>RA.BO.2.6</x:v>
      </x:c>
      <x:c r="F231" s="14" t="str">
        <x:v>Complete Positive Testing</x:v>
      </x:c>
      <x:c r="G231" s="5"/>
      <x:c r="H231" s="11"/>
      <x:c r="I231" s="11" t="n">
        <x:f>'Cycles &amp; Guide'!$D$11</x:f>
        <x:v>46203</x:v>
      </x:c>
      <x:c r="J231" s="11"/>
      <x:c r="K231" s="29"/>
      <x:c r="L231" s="2" t="str">
        <x:f>IF(O231=1,"Complete",IF(A231,"Checklist open",IF(H231&lt;&gt;"","In progress","Not started")))</x:f>
        <x:v>Not started</x:v>
      </x:c>
      <x:c r="M231" s="2" t="str">
        <x:v>Task</x:v>
      </x:c>
      <x:c r="N231" s="2" t="str">
        <x:v>RA.BO.2.6.2026.CY2</x:v>
      </x:c>
      <x:c r="O231" s="2" t="n">
        <x:f>R231</x:f>
        <x:v>0</x:v>
      </x:c>
      <x:c r="P231" s="2"/>
      <x:c r="Q231" s="2" t="n">
        <x:v>1</x:v>
      </x:c>
      <x:c r="R231" s="2" t="n">
        <x:f>IF(A231,1,0)</x:f>
        <x:v>0</x:v>
      </x:c>
      <x:c r="S231" s="2" t="n">
        <x:f>SUBTOTAL(103,N231)</x:f>
        <x:v>1</x:v>
      </x:c>
    </x:row>
    <x:row r="232" ht="42" customHeight="1">
      <x:c r="A232" s="28" t="b">
        <x:v>0</x:v>
      </x:c>
      <x:c r="B232" s="2" t="str">
        <x:v>Cycle 2</x:v>
      </x:c>
      <x:c r="C232" s="2" t="str">
        <x:v>Phase 2</x:v>
      </x:c>
      <x:c r="D232" s="2" t="str">
        <x:v>CSBBO - Banking Ops</x:v>
      </x:c>
      <x:c r="E232" s="56" t="str">
        <x:v>RA.BO.2.7</x:v>
      </x:c>
      <x:c r="F232" s="14" t="str">
        <x:v>Complete Negative Testing</x:v>
      </x:c>
      <x:c r="G232" s="5"/>
      <x:c r="H232" s="11"/>
      <x:c r="I232" s="11" t="n">
        <x:f>'Cycles &amp; Guide'!$D$11</x:f>
        <x:v>46203</x:v>
      </x:c>
      <x:c r="J232" s="11"/>
      <x:c r="K232" s="29"/>
      <x:c r="L232" s="2" t="str">
        <x:f>IF(O232=1,"Complete",IF(A232,"Checklist open",IF(H232&lt;&gt;"","In progress","Not started")))</x:f>
        <x:v>Not started</x:v>
      </x:c>
      <x:c r="M232" s="2" t="str">
        <x:v>Task</x:v>
      </x:c>
      <x:c r="N232" s="2" t="str">
        <x:v>RA.BO.2.7.2026.CY2</x:v>
      </x:c>
      <x:c r="O232" s="2" t="n">
        <x:f>R232</x:f>
        <x:v>0</x:v>
      </x:c>
      <x:c r="P232" s="2"/>
      <x:c r="Q232" s="2" t="n">
        <x:v>1</x:v>
      </x:c>
      <x:c r="R232" s="2" t="n">
        <x:f>IF(A232,1,0)</x:f>
        <x:v>0</x:v>
      </x:c>
      <x:c r="S232" s="2" t="n">
        <x:f>SUBTOTAL(103,N232)</x:f>
        <x:v>1</x:v>
      </x:c>
    </x:row>
    <x:row r="233" ht="42" customHeight="1">
      <x:c r="A233" s="28" t="b">
        <x:v>0</x:v>
      </x:c>
      <x:c r="B233" s="2" t="str">
        <x:v>Cycle 2</x:v>
      </x:c>
      <x:c r="C233" s="2" t="str">
        <x:v>Phase 2</x:v>
      </x:c>
      <x:c r="D233" s="2" t="str">
        <x:v>CSBBO - Banking Ops</x:v>
      </x:c>
      <x:c r="E233" s="56" t="str">
        <x:v>RA.BO.2.8</x:v>
      </x:c>
      <x:c r="F233" s="14" t="str">
        <x:v>Request additional data (as needed)</x:v>
      </x:c>
      <x:c r="G233" s="5"/>
      <x:c r="H233" s="11"/>
      <x:c r="I233" s="11" t="n">
        <x:f>'Cycles &amp; Guide'!$D$11</x:f>
        <x:v>46203</x:v>
      </x:c>
      <x:c r="J233" s="11"/>
      <x:c r="K233" s="29"/>
      <x:c r="L233" s="2" t="str">
        <x:f>IF(O233=1,"Complete",IF(A233,"Checklist open",IF(H233&lt;&gt;"","In progress","Not started")))</x:f>
        <x:v>Not started</x:v>
      </x:c>
      <x:c r="M233" s="2" t="str">
        <x:v>Task</x:v>
      </x:c>
      <x:c r="N233" s="2" t="str">
        <x:v>RA.BO.2.8.2026.CY2</x:v>
      </x:c>
      <x:c r="O233" s="2" t="n">
        <x:f>R233</x:f>
        <x:v>0</x:v>
      </x:c>
      <x:c r="P233" s="2"/>
      <x:c r="Q233" s="2" t="n">
        <x:v>1</x:v>
      </x:c>
      <x:c r="R233" s="2" t="n">
        <x:f>IF(A233,1,0)</x:f>
        <x:v>0</x:v>
      </x:c>
      <x:c r="S233" s="2" t="n">
        <x:f>SUBTOTAL(103,N233)</x:f>
        <x:v>1</x:v>
      </x:c>
    </x:row>
    <x:row r="234" ht="42" customHeight="1">
      <x:c r="A234" s="28" t="b">
        <x:v>0</x:v>
      </x:c>
      <x:c r="B234" s="2" t="str">
        <x:v>Cycle 2</x:v>
      </x:c>
      <x:c r="C234" s="2" t="str">
        <x:v>Phase 2</x:v>
      </x:c>
      <x:c r="D234" s="2" t="str">
        <x:v>CSBBO - Banking Ops</x:v>
      </x:c>
      <x:c r="E234" s="56" t="str">
        <x:v>RA.BO.2.9</x:v>
      </x:c>
      <x:c r="F234" s="14" t="str">
        <x:v>Validate or disprove initial hypothesis assumptions</x:v>
      </x:c>
      <x:c r="G234" s="5"/>
      <x:c r="H234" s="11"/>
      <x:c r="I234" s="11" t="n">
        <x:f>'Cycles &amp; Guide'!$D$11</x:f>
        <x:v>46203</x:v>
      </x:c>
      <x:c r="J234" s="11"/>
      <x:c r="K234" s="29"/>
      <x:c r="L234" s="2" t="str">
        <x:f>IF(O234=1,"Complete",IF(A234,"Checklist open",IF(H234&lt;&gt;"","In progress","Not started")))</x:f>
        <x:v>Not started</x:v>
      </x:c>
      <x:c r="M234" s="2" t="str">
        <x:v>Task</x:v>
      </x:c>
      <x:c r="N234" s="2" t="str">
        <x:v>RA.BO.2.9.2026.CY2</x:v>
      </x:c>
      <x:c r="O234" s="2" t="n">
        <x:f>R234</x:f>
        <x:v>0</x:v>
      </x:c>
      <x:c r="P234" s="2"/>
      <x:c r="Q234" s="2" t="n">
        <x:v>1</x:v>
      </x:c>
      <x:c r="R234" s="2" t="n">
        <x:f>IF(A234,1,0)</x:f>
        <x:v>0</x:v>
      </x:c>
      <x:c r="S234" s="2" t="n">
        <x:f>SUBTOTAL(103,N234)</x:f>
        <x:v>1</x:v>
      </x:c>
    </x:row>
    <x:row r="235" ht="42" customHeight="1">
      <x:c r="A235" s="28" t="b">
        <x:v>0</x:v>
      </x:c>
      <x:c r="B235" s="2" t="str">
        <x:v>Cycle 2</x:v>
      </x:c>
      <x:c r="C235" s="2" t="str">
        <x:v>Phase 2</x:v>
      </x:c>
      <x:c r="D235" s="2" t="str">
        <x:v>CSBBO - Banking Ops</x:v>
      </x:c>
      <x:c r="E235" s="56" t="str">
        <x:v>RA.BO.2.10</x:v>
      </x:c>
      <x:c r="F235" s="14" t="str">
        <x:v>Identify and confirm root cause</x:v>
      </x:c>
      <x:c r="G235" s="5"/>
      <x:c r="H235" s="11"/>
      <x:c r="I235" s="11" t="n">
        <x:f>'Cycles &amp; Guide'!$D$11</x:f>
        <x:v>46203</x:v>
      </x:c>
      <x:c r="J235" s="11"/>
      <x:c r="K235" s="29"/>
      <x:c r="L235" s="2" t="str">
        <x:f>IF(O235=1,"Complete",IF(A235,"Checklist open",IF(H235&lt;&gt;"","In progress","Not started")))</x:f>
        <x:v>Not started</x:v>
      </x:c>
      <x:c r="M235" s="2" t="str">
        <x:v>Task</x:v>
      </x:c>
      <x:c r="N235" s="2" t="str">
        <x:v>RA.BO.2.10.2026.CY2</x:v>
      </x:c>
      <x:c r="O235" s="2" t="n">
        <x:f>R235</x:f>
        <x:v>0</x:v>
      </x:c>
      <x:c r="P235" s="2"/>
      <x:c r="Q235" s="2" t="n">
        <x:v>1</x:v>
      </x:c>
      <x:c r="R235" s="2" t="n">
        <x:f>IF(A235,1,0)</x:f>
        <x:v>0</x:v>
      </x:c>
      <x:c r="S235" s="2" t="n">
        <x:f>SUBTOTAL(103,N235)</x:f>
        <x:v>1</x:v>
      </x:c>
    </x:row>
    <x:row r="236" ht="42" customHeight="1">
      <x:c r="A236" s="28" t="b">
        <x:v>0</x:v>
      </x:c>
      <x:c r="B236" s="2" t="str">
        <x:v>Cycle 2</x:v>
      </x:c>
      <x:c r="C236" s="2" t="str">
        <x:v>Phase 3</x:v>
      </x:c>
      <x:c r="D236" s="2" t="str">
        <x:v>CSBBO - Banking Ops</x:v>
      </x:c>
      <x:c r="E236" s="56" t="str">
        <x:v>RA.BO.3.1</x:v>
      </x:c>
      <x:c r="F236" s="14" t="str">
        <x:v>Finalize results and supporting documentation</x:v>
      </x:c>
      <x:c r="G236" s="5"/>
      <x:c r="H236" s="11"/>
      <x:c r="I236" s="11" t="n">
        <x:f>'Cycles &amp; Guide'!$D$11</x:f>
        <x:v>46203</x:v>
      </x:c>
      <x:c r="J236" s="11"/>
      <x:c r="K236" s="29"/>
      <x:c r="L236" s="2" t="str">
        <x:f>IF(O236=1,"Complete",IF(A236,"Checklist open",IF(H236&lt;&gt;"","In progress","Not started")))</x:f>
        <x:v>Not started</x:v>
      </x:c>
      <x:c r="M236" s="2" t="str">
        <x:v>Task</x:v>
      </x:c>
      <x:c r="N236" s="2" t="str">
        <x:v>RA.BO.3.1.2026.CY2</x:v>
      </x:c>
      <x:c r="O236" s="2" t="n">
        <x:f>R236</x:f>
        <x:v>0</x:v>
      </x:c>
      <x:c r="P236" s="2"/>
      <x:c r="Q236" s="2" t="n">
        <x:v>1</x:v>
      </x:c>
      <x:c r="R236" s="2" t="n">
        <x:f>IF(A236,1,0)</x:f>
        <x:v>0</x:v>
      </x:c>
      <x:c r="S236" s="2" t="n">
        <x:f>SUBTOTAL(103,N236)</x:f>
        <x:v>1</x:v>
      </x:c>
    </x:row>
    <x:row r="237" ht="42" customHeight="1">
      <x:c r="A237" s="28" t="b">
        <x:v>0</x:v>
      </x:c>
      <x:c r="B237" s="2" t="str">
        <x:v>Cycle 2</x:v>
      </x:c>
      <x:c r="C237" s="2" t="str">
        <x:v>Phase 3</x:v>
      </x:c>
      <x:c r="D237" s="2" t="str">
        <x:v>CSBBO - Banking Ops</x:v>
      </x:c>
      <x:c r="E237" s="56" t="str">
        <x:v>RA.BO.3.2</x:v>
      </x:c>
      <x:c r="F237" s="14" t="str">
        <x:v>Maintain and update the evidence package prior to handoff to D&amp;I</x:v>
      </x:c>
      <x:c r="G237" s="5"/>
      <x:c r="H237" s="11"/>
      <x:c r="I237" s="11" t="n">
        <x:f>'Cycles &amp; Guide'!$D$11</x:f>
        <x:v>46203</x:v>
      </x:c>
      <x:c r="J237" s="11"/>
      <x:c r="K237" s="29"/>
      <x:c r="L237" s="2" t="str">
        <x:f>IF(O237=1,"Complete",IF(A237,"Checklist open",IF(H237&lt;&gt;"","In progress","Not started")))</x:f>
        <x:v>Not started</x:v>
      </x:c>
      <x:c r="M237" s="2" t="str">
        <x:v>Task</x:v>
      </x:c>
      <x:c r="N237" s="2" t="str">
        <x:v>RA.BO.3.2.2026.CY2</x:v>
      </x:c>
      <x:c r="O237" s="2" t="n">
        <x:f>R237</x:f>
        <x:v>0</x:v>
      </x:c>
      <x:c r="P237" s="2"/>
      <x:c r="Q237" s="2" t="n">
        <x:v>1</x:v>
      </x:c>
      <x:c r="R237" s="2" t="n">
        <x:f>IF(A237,1,0)</x:f>
        <x:v>0</x:v>
      </x:c>
      <x:c r="S237" s="2" t="n">
        <x:f>SUBTOTAL(103,N237)</x:f>
        <x:v>1</x:v>
      </x:c>
    </x:row>
    <x:row r="238" ht="42" customHeight="1">
      <x:c r="A238" s="28" t="b">
        <x:v>0</x:v>
      </x:c>
      <x:c r="B238" s="2" t="str">
        <x:v>Cycle 2</x:v>
      </x:c>
      <x:c r="C238" s="2" t="str">
        <x:v>Phase 3</x:v>
      </x:c>
      <x:c r="D238" s="2" t="str">
        <x:v>CSBBO - Banking Ops</x:v>
      </x:c>
      <x:c r="E238" s="56" t="str">
        <x:v>RA.BO.3.3</x:v>
      </x:c>
      <x:c r="F238" s="14" t="str">
        <x:v>Address any outstanding questions or requests from D&amp;I</x:v>
      </x:c>
      <x:c r="G238" s="5"/>
      <x:c r="H238" s="11"/>
      <x:c r="I238" s="11" t="n">
        <x:f>'Cycles &amp; Guide'!$D$11</x:f>
        <x:v>46203</x:v>
      </x:c>
      <x:c r="J238" s="11"/>
      <x:c r="K238" s="29"/>
      <x:c r="L238" s="2" t="str">
        <x:f>IF(O238=1,"Complete",IF(A238,"Checklist open",IF(H238&lt;&gt;"","In progress","Not started")))</x:f>
        <x:v>Not started</x:v>
      </x:c>
      <x:c r="M238" s="2" t="str">
        <x:v>Task</x:v>
      </x:c>
      <x:c r="N238" s="2" t="str">
        <x:v>RA.BO.3.3.2026.CY2</x:v>
      </x:c>
      <x:c r="O238" s="2" t="n">
        <x:f>R238</x:f>
        <x:v>0</x:v>
      </x:c>
      <x:c r="P238" s="2"/>
      <x:c r="Q238" s="2" t="n">
        <x:v>1</x:v>
      </x:c>
      <x:c r="R238" s="2" t="n">
        <x:f>IF(A238,1,0)</x:f>
        <x:v>0</x:v>
      </x:c>
      <x:c r="S238" s="2" t="n">
        <x:f>SUBTOTAL(103,N238)</x:f>
        <x:v>1</x:v>
      </x:c>
    </x:row>
    <x:row r="239" ht="42" customHeight="1">
      <x:c r="A239" s="28" t="b">
        <x:v>0</x:v>
      </x:c>
      <x:c r="B239" s="2" t="str">
        <x:v>Cycle 2</x:v>
      </x:c>
      <x:c r="C239" s="2" t="str">
        <x:v>Phase 3</x:v>
      </x:c>
      <x:c r="D239" s="2" t="str">
        <x:v>CSBBO - Banking Ops</x:v>
      </x:c>
      <x:c r="E239" s="56" t="str">
        <x:v>RA.BO.3.4</x:v>
      </x:c>
      <x:c r="F239" s="14" t="str">
        <x:v>Attend Forum meeting with D&amp;I to assist with answering stakeholder questions (as needed)</x:v>
      </x:c>
      <x:c r="G239" s="5"/>
      <x:c r="H239" s="11"/>
      <x:c r="I239" s="11" t="str">
        <x:f>IF(SUMIFS('Cycles &amp; Guide'!$D$23:$D$50,'Cycles &amp; Guide'!$B$23:$B$50,B239,'Cycles &amp; Guide'!$C$23:$C$50,D239)=0,"",SUMIFS('Cycles &amp; Guide'!$D$23:$D$50,'Cycles &amp; Guide'!$B$23:$B$50,B239,'Cycles &amp; Guide'!$C$23:$C$50,D239))</x:f>
      </x:c>
      <x:c r="J239" s="11"/>
      <x:c r="K239" s="29"/>
      <x:c r="L239" s="2" t="str">
        <x:f>IF(O239=1,"Complete",IF(A239,"Checklist open",IF(H239&lt;&gt;"","In progress","Not started")))</x:f>
        <x:v>Not started</x:v>
      </x:c>
      <x:c r="M239" s="2" t="str">
        <x:v>Task</x:v>
      </x:c>
      <x:c r="N239" s="2" t="str">
        <x:v>RA.BO.3.4.2026.CY2</x:v>
      </x:c>
      <x:c r="O239" s="2" t="n">
        <x:f>R239</x:f>
        <x:v>0</x:v>
      </x:c>
      <x:c r="P239" s="2"/>
      <x:c r="Q239" s="2" t="n">
        <x:v>1</x:v>
      </x:c>
      <x:c r="R239" s="2" t="n">
        <x:f>IF(A239,1,0)</x:f>
        <x:v>0</x:v>
      </x:c>
      <x:c r="S239" s="2" t="n">
        <x:f>SUBTOTAL(103,N239)</x:f>
        <x:v>1</x:v>
      </x:c>
    </x:row>
    <x:row r="240" ht="42" customHeight="1">
      <x:c r="A240" s="28" t="b">
        <x:v>0</x:v>
      </x:c>
      <x:c r="B240" s="2" t="str">
        <x:v>Cycle 2</x:v>
      </x:c>
      <x:c r="C240" s="2" t="str">
        <x:v>Phase 1</x:v>
      </x:c>
      <x:c r="D240" s="2" t="str">
        <x:v>CSBBO - Customer Service</x:v>
      </x:c>
      <x:c r="E240" s="56" t="str">
        <x:v>RA.CS.1.1</x:v>
      </x:c>
      <x:c r="F240" s="14" t="str">
        <x:v>Begin Research process 2 weeks prior to Cycle start</x:v>
      </x:c>
      <x:c r="G240" s="5"/>
      <x:c r="H240" s="11"/>
      <x:c r="I240" s="11" t="n">
        <x:f>'Cycles &amp; Guide'!$C$11-14</x:f>
        <x:v>46099</x:v>
      </x:c>
      <x:c r="J240" s="11"/>
      <x:c r="K240" s="29"/>
      <x:c r="L240" s="2" t="str">
        <x:f>IF(O240=1,"Complete",IF(A240,"Checklist open",IF(H240&lt;&gt;"","In progress","Not started")))</x:f>
        <x:v>Not started</x:v>
      </x:c>
      <x:c r="M240" s="2" t="str">
        <x:v>Task</x:v>
      </x:c>
      <x:c r="N240" s="2" t="str">
        <x:v>RA.CS.1.1.2026.CY2</x:v>
      </x:c>
      <x:c r="O240" s="2" t="n">
        <x:f>R240</x:f>
        <x:v>0</x:v>
      </x:c>
      <x:c r="P240" s="2"/>
      <x:c r="Q240" s="2" t="n">
        <x:v>1</x:v>
      </x:c>
      <x:c r="R240" s="2" t="n">
        <x:f>IF(A240,1,0)</x:f>
        <x:v>0</x:v>
      </x:c>
      <x:c r="S240" s="2" t="n">
        <x:f>SUBTOTAL(103,N240)</x:f>
        <x:v>1</x:v>
      </x:c>
    </x:row>
    <x:row r="241" ht="42" customHeight="1">
      <x:c r="A241" s="28" t="b">
        <x:v>0</x:v>
      </x:c>
      <x:c r="B241" s="2" t="str">
        <x:v>Cycle 2</x:v>
      </x:c>
      <x:c r="C241" s="2" t="str">
        <x:v>Phase 1</x:v>
      </x:c>
      <x:c r="D241" s="2" t="str">
        <x:v>CSBBO - Customer Service</x:v>
      </x:c>
      <x:c r="E241" s="56" t="str">
        <x:v>RA.CS.1.2</x:v>
      </x:c>
      <x:c r="F241" s="14" t="str">
        <x:v>Conduct initial assessment of each topic recommendation from SharePoint list</x:v>
      </x:c>
      <x:c r="G241" s="5"/>
      <x:c r="H241" s="11"/>
      <x:c r="I241" s="11" t="n">
        <x:f>'Cycles &amp; Guide'!$D$11</x:f>
        <x:v>46203</x:v>
      </x:c>
      <x:c r="J241" s="11"/>
      <x:c r="K241" s="29"/>
      <x:c r="L241" s="2" t="str">
        <x:f>IF(O241=1,"Complete",IF(A241,"Checklist open",IF(H241&lt;&gt;"","In progress","Not started")))</x:f>
        <x:v>Not started</x:v>
      </x:c>
      <x:c r="M241" s="2" t="str">
        <x:v>Task</x:v>
      </x:c>
      <x:c r="N241" s="2" t="str">
        <x:v>RA.CS.1.2.2026.CY2</x:v>
      </x:c>
      <x:c r="O241" s="2" t="n">
        <x:f>R241</x:f>
        <x:v>0</x:v>
      </x:c>
      <x:c r="P241" s="2"/>
      <x:c r="Q241" s="2" t="n">
        <x:v>1</x:v>
      </x:c>
      <x:c r="R241" s="2" t="n">
        <x:f>IF(A241,1,0)</x:f>
        <x:v>0</x:v>
      </x:c>
      <x:c r="S241" s="2" t="n">
        <x:f>SUBTOTAL(103,N241)</x:f>
        <x:v>1</x:v>
      </x:c>
    </x:row>
    <x:row r="242" ht="42" customHeight="1">
      <x:c r="A242" s="28" t="b">
        <x:v>0</x:v>
      </x:c>
      <x:c r="B242" s="2" t="str">
        <x:v>Cycle 2</x:v>
      </x:c>
      <x:c r="C242" s="2" t="str">
        <x:v>Phase 1</x:v>
      </x:c>
      <x:c r="D242" s="2" t="str">
        <x:v>CSBBO - Customer Service</x:v>
      </x:c>
      <x:c r="E242" s="56" t="str">
        <x:v>RA.CS.1.3</x:v>
      </x:c>
      <x:c r="F242" s="14" t="str">
        <x:v>Identify best topic for Cycle</x:v>
      </x:c>
      <x:c r="G242" s="5"/>
      <x:c r="H242" s="11"/>
      <x:c r="I242" s="11" t="n">
        <x:f>'Cycles &amp; Guide'!$D$11</x:f>
        <x:v>46203</x:v>
      </x:c>
      <x:c r="J242" s="11"/>
      <x:c r="K242" s="29"/>
      <x:c r="L242" s="2" t="str">
        <x:f>IF(O242=1,"Complete",IF(A242,"Checklist open",IF(H242&lt;&gt;"","In progress","Not started")))</x:f>
        <x:v>Not started</x:v>
      </x:c>
      <x:c r="M242" s="2" t="str">
        <x:v>Task</x:v>
      </x:c>
      <x:c r="N242" s="2" t="str">
        <x:v>RA.CS.1.3.2026.CY2</x:v>
      </x:c>
      <x:c r="O242" s="2" t="n">
        <x:f>R242</x:f>
        <x:v>0</x:v>
      </x:c>
      <x:c r="P242" s="2"/>
      <x:c r="Q242" s="2" t="n">
        <x:v>1</x:v>
      </x:c>
      <x:c r="R242" s="2" t="n">
        <x:f>IF(A242,1,0)</x:f>
        <x:v>0</x:v>
      </x:c>
      <x:c r="S242" s="2" t="n">
        <x:f>SUBTOTAL(103,N242)</x:f>
        <x:v>1</x:v>
      </x:c>
    </x:row>
    <x:row r="243" ht="42" customHeight="1">
      <x:c r="A243" s="28" t="b">
        <x:v>0</x:v>
      </x:c>
      <x:c r="B243" s="2" t="str">
        <x:v>Cycle 2</x:v>
      </x:c>
      <x:c r="C243" s="2" t="str">
        <x:v>Phase 1</x:v>
      </x:c>
      <x:c r="D243" s="2" t="str">
        <x:v>CSBBO - Customer Service</x:v>
      </x:c>
      <x:c r="E243" s="56" t="str">
        <x:v>RA.CS.1.4</x:v>
      </x:c>
      <x:c r="F243" s="14" t="str">
        <x:v>Identify backup topic for Cycle</x:v>
      </x:c>
      <x:c r="G243" s="5"/>
      <x:c r="H243" s="11"/>
      <x:c r="I243" s="11" t="n">
        <x:f>'Cycles &amp; Guide'!$D$11</x:f>
        <x:v>46203</x:v>
      </x:c>
      <x:c r="J243" s="11"/>
      <x:c r="K243" s="29"/>
      <x:c r="L243" s="2" t="str">
        <x:f>IF(O243=1,"Complete",IF(A243,"Checklist open",IF(H243&lt;&gt;"","In progress","Not started")))</x:f>
        <x:v>Not started</x:v>
      </x:c>
      <x:c r="M243" s="2" t="str">
        <x:v>Task</x:v>
      </x:c>
      <x:c r="N243" s="2" t="str">
        <x:v>RA.CS.1.4.2026.CY2</x:v>
      </x:c>
      <x:c r="O243" s="2" t="n">
        <x:f>R243</x:f>
        <x:v>0</x:v>
      </x:c>
      <x:c r="P243" s="2"/>
      <x:c r="Q243" s="2" t="n">
        <x:v>1</x:v>
      </x:c>
      <x:c r="R243" s="2" t="n">
        <x:f>IF(A243,1,0)</x:f>
        <x:v>0</x:v>
      </x:c>
      <x:c r="S243" s="2" t="n">
        <x:f>SUBTOTAL(103,N243)</x:f>
        <x:v>1</x:v>
      </x:c>
    </x:row>
    <x:row r="244" ht="42" customHeight="1">
      <x:c r="A244" s="28" t="b">
        <x:v>0</x:v>
      </x:c>
      <x:c r="B244" s="2" t="str">
        <x:v>Cycle 2</x:v>
      </x:c>
      <x:c r="C244" s="2" t="str">
        <x:v>Phase 1</x:v>
      </x:c>
      <x:c r="D244" s="2" t="str">
        <x:v>CSBBO - Customer Service</x:v>
      </x:c>
      <x:c r="E244" s="56" t="str">
        <x:v>RA.CS.1.5</x:v>
      </x:c>
      <x:c r="F244" s="14" t="str">
        <x:v>Schedule topic approval meeting with D&amp;I and management</x:v>
      </x:c>
      <x:c r="G244" s="5"/>
      <x:c r="H244" s="11"/>
      <x:c r="I244" s="11" t="n">
        <x:f>'Cycles &amp; Guide'!$D$11</x:f>
        <x:v>46203</x:v>
      </x:c>
      <x:c r="J244" s="11"/>
      <x:c r="K244" s="29"/>
      <x:c r="L244" s="2" t="str">
        <x:f>IF(O244=1,"Complete",IF(A244,"Checklist open",IF(H244&lt;&gt;"","In progress","Not started")))</x:f>
        <x:v>Not started</x:v>
      </x:c>
      <x:c r="M244" s="2" t="str">
        <x:v>Task</x:v>
      </x:c>
      <x:c r="N244" s="2" t="str">
        <x:v>RA.CS.1.5.2026.CY2</x:v>
      </x:c>
      <x:c r="O244" s="2" t="n">
        <x:f>R244</x:f>
        <x:v>0</x:v>
      </x:c>
      <x:c r="P244" s="2"/>
      <x:c r="Q244" s="2" t="n">
        <x:v>1</x:v>
      </x:c>
      <x:c r="R244" s="2" t="n">
        <x:f>IF(A244,1,0)</x:f>
        <x:v>0</x:v>
      </x:c>
      <x:c r="S244" s="2" t="n">
        <x:f>SUBTOTAL(103,N244)</x:f>
        <x:v>1</x:v>
      </x:c>
    </x:row>
    <x:row r="245" ht="42" customHeight="1">
      <x:c r="A245" s="28" t="b">
        <x:v>0</x:v>
      </x:c>
      <x:c r="B245" s="2" t="str">
        <x:v>Cycle 2</x:v>
      </x:c>
      <x:c r="C245" s="2" t="str">
        <x:v>Phase 1</x:v>
      </x:c>
      <x:c r="D245" s="2" t="str">
        <x:v>CSBBO - Customer Service</x:v>
      </x:c>
      <x:c r="E245" s="56" t="str">
        <x:v>RA.CS.1.6</x:v>
      </x:c>
      <x:c r="F245" s="14" t="str">
        <x:v>Present recommended topic to D&amp;I and management for approval</x:v>
      </x:c>
      <x:c r="G245" s="5"/>
      <x:c r="H245" s="11"/>
      <x:c r="I245" s="11" t="n">
        <x:f>'Cycles &amp; Guide'!$D$11</x:f>
        <x:v>46203</x:v>
      </x:c>
      <x:c r="J245" s="11"/>
      <x:c r="K245" s="29"/>
      <x:c r="L245" s="2" t="str">
        <x:f>IF(O245=1,"Complete",IF(A245,"Checklist open",IF(H245&lt;&gt;"","In progress","Not started")))</x:f>
        <x:v>Not started</x:v>
      </x:c>
      <x:c r="M245" s="2" t="str">
        <x:v>Task</x:v>
      </x:c>
      <x:c r="N245" s="2" t="str">
        <x:v>RA.CS.1.6.2026.CY2</x:v>
      </x:c>
      <x:c r="O245" s="2" t="n">
        <x:f>R245</x:f>
        <x:v>0</x:v>
      </x:c>
      <x:c r="P245" s="2"/>
      <x:c r="Q245" s="2" t="n">
        <x:v>1</x:v>
      </x:c>
      <x:c r="R245" s="2" t="n">
        <x:f>IF(A245,1,0)</x:f>
        <x:v>0</x:v>
      </x:c>
      <x:c r="S245" s="2" t="n">
        <x:f>SUBTOTAL(103,N245)</x:f>
        <x:v>1</x:v>
      </x:c>
    </x:row>
    <x:row r="246" ht="42" customHeight="1">
      <x:c r="A246" s="28" t="b">
        <x:v>0</x:v>
      </x:c>
      <x:c r="B246" s="2" t="str">
        <x:v>Cycle 2</x:v>
      </x:c>
      <x:c r="C246" s="2" t="str">
        <x:v>Phase 1</x:v>
      </x:c>
      <x:c r="D246" s="2" t="str">
        <x:v>CSBBO - Customer Service</x:v>
      </x:c>
      <x:c r="E246" s="56" t="str">
        <x:v>RA.CS.1.7</x:v>
      </x:c>
      <x:c r="F246" s="14" t="str">
        <x:v>Obtain formal topic selection approval from management via SharePoint</x:v>
      </x:c>
      <x:c r="G246" s="5"/>
      <x:c r="H246" s="11"/>
      <x:c r="I246" s="11" t="n">
        <x:f>'Cycles &amp; Guide'!$D$11</x:f>
        <x:v>46203</x:v>
      </x:c>
      <x:c r="J246" s="11"/>
      <x:c r="K246" s="29"/>
      <x:c r="L246" s="2" t="str">
        <x:f>IF(O246=1,"Complete",IF(A246,"Checklist open",IF(H246&lt;&gt;"","In progress","Not started")))</x:f>
        <x:v>Not started</x:v>
      </x:c>
      <x:c r="M246" s="2" t="str">
        <x:v>Task</x:v>
      </x:c>
      <x:c r="N246" s="2" t="str">
        <x:v>RA.CS.1.7.2026.CY2</x:v>
      </x:c>
      <x:c r="O246" s="2" t="n">
        <x:f>R246</x:f>
        <x:v>0</x:v>
      </x:c>
      <x:c r="P246" s="2"/>
      <x:c r="Q246" s="2" t="n">
        <x:v>1</x:v>
      </x:c>
      <x:c r="R246" s="2" t="n">
        <x:f>IF(A246,1,0)</x:f>
        <x:v>0</x:v>
      </x:c>
      <x:c r="S246" s="2" t="n">
        <x:f>SUBTOTAL(103,N246)</x:f>
        <x:v>1</x:v>
      </x:c>
    </x:row>
    <x:row r="247" ht="42" customHeight="1">
      <x:c r="A247" s="28" t="b">
        <x:v>0</x:v>
      </x:c>
      <x:c r="B247" s="2" t="str">
        <x:v>Cycle 2</x:v>
      </x:c>
      <x:c r="C247" s="2" t="str">
        <x:v>Phase 1</x:v>
      </x:c>
      <x:c r="D247" s="2" t="str">
        <x:v>CSBBO - Customer Service</x:v>
      </x:c>
      <x:c r="E247" s="56" t="str">
        <x:v>RA.CS.1.8</x:v>
      </x:c>
      <x:c r="F247" s="14" t="str">
        <x:v>Socialize topic selection with product owners and subject matter experts (if known)</x:v>
      </x:c>
      <x:c r="G247" s="5"/>
      <x:c r="H247" s="11"/>
      <x:c r="I247" s="11" t="n">
        <x:f>'Cycles &amp; Guide'!$D$11</x:f>
        <x:v>46203</x:v>
      </x:c>
      <x:c r="J247" s="11"/>
      <x:c r="K247" s="29"/>
      <x:c r="L247" s="2" t="str">
        <x:f>IF(O247=1,"Complete",IF(A247,"Checklist open",IF(H247&lt;&gt;"","In progress","Not started")))</x:f>
        <x:v>Not started</x:v>
      </x:c>
      <x:c r="M247" s="2" t="str">
        <x:v>Task</x:v>
      </x:c>
      <x:c r="N247" s="2" t="str">
        <x:v>RA.CS.1.8.2026.CY2</x:v>
      </x:c>
      <x:c r="O247" s="2" t="n">
        <x:f>R247</x:f>
        <x:v>0</x:v>
      </x:c>
      <x:c r="P247" s="2"/>
      <x:c r="Q247" s="2" t="n">
        <x:v>1</x:v>
      </x:c>
      <x:c r="R247" s="2" t="n">
        <x:f>IF(A247,1,0)</x:f>
        <x:v>0</x:v>
      </x:c>
      <x:c r="S247" s="2" t="n">
        <x:f>SUBTOTAL(103,N247)</x:f>
        <x:v>1</x:v>
      </x:c>
    </x:row>
    <x:row r="248" ht="42" customHeight="1">
      <x:c r="A248" s="28" t="b">
        <x:v>0</x:v>
      </x:c>
      <x:c r="B248" s="2" t="str">
        <x:v>Cycle 2</x:v>
      </x:c>
      <x:c r="C248" s="2" t="str">
        <x:v>Phase 1</x:v>
      </x:c>
      <x:c r="D248" s="2" t="str">
        <x:v>CSBBO - Customer Service</x:v>
      </x:c>
      <x:c r="E248" s="56" t="str">
        <x:v>RA.CS.1.9</x:v>
      </x:c>
      <x:c r="F248" s="14" t="str">
        <x:v>Assign topic researchers</x:v>
      </x:c>
      <x:c r="G248" s="5"/>
      <x:c r="H248" s="11"/>
      <x:c r="I248" s="11" t="n">
        <x:f>'Cycles &amp; Guide'!$D$11</x:f>
        <x:v>46203</x:v>
      </x:c>
      <x:c r="J248" s="11"/>
      <x:c r="K248" s="29"/>
      <x:c r="L248" s="2" t="str">
        <x:f>IF(O248=1,"Complete",IF(A248,"Checklist open",IF(H248&lt;&gt;"","In progress","Not started")))</x:f>
        <x:v>Not started</x:v>
      </x:c>
      <x:c r="M248" s="2" t="str">
        <x:v>Task</x:v>
      </x:c>
      <x:c r="N248" s="2" t="str">
        <x:v>RA.CS.1.9.2026.CY2</x:v>
      </x:c>
      <x:c r="O248" s="2" t="n">
        <x:f>R248</x:f>
        <x:v>0</x:v>
      </x:c>
      <x:c r="P248" s="2"/>
      <x:c r="Q248" s="2" t="n">
        <x:v>1</x:v>
      </x:c>
      <x:c r="R248" s="2" t="n">
        <x:f>IF(A248,1,0)</x:f>
        <x:v>0</x:v>
      </x:c>
      <x:c r="S248" s="2" t="n">
        <x:f>SUBTOTAL(103,N248)</x:f>
        <x:v>1</x:v>
      </x:c>
    </x:row>
    <x:row r="249" ht="42" customHeight="1">
      <x:c r="A249" s="28" t="b">
        <x:v>0</x:v>
      </x:c>
      <x:c r="B249" s="2" t="str">
        <x:v>Cycle 2</x:v>
      </x:c>
      <x:c r="C249" s="2" t="str">
        <x:v>Phase 2</x:v>
      </x:c>
      <x:c r="D249" s="2" t="str">
        <x:v>CSBBO - Customer Service</x:v>
      </x:c>
      <x:c r="E249" s="56" t="str">
        <x:v>RA.CS.2.1</x:v>
      </x:c>
      <x:c r="F249" s="14" t="str">
        <x:v>Review data sources</x:v>
      </x:c>
      <x:c r="G249" s="5"/>
      <x:c r="H249" s="11"/>
      <x:c r="I249" s="11" t="n">
        <x:f>'Cycles &amp; Guide'!$D$11</x:f>
        <x:v>46203</x:v>
      </x:c>
      <x:c r="J249" s="11"/>
      <x:c r="K249" s="29"/>
      <x:c r="L249" s="2" t="str">
        <x:f>IF(O249=1,"Complete",IF(A249,"Checklist open",IF(H249&lt;&gt;"","In progress","Not started")))</x:f>
        <x:v>Not started</x:v>
      </x:c>
      <x:c r="M249" s="2" t="str">
        <x:v>Task</x:v>
      </x:c>
      <x:c r="N249" s="2" t="str">
        <x:v>RA.CS.2.1.2026.CY2</x:v>
      </x:c>
      <x:c r="O249" s="2" t="n">
        <x:f>R249</x:f>
        <x:v>0</x:v>
      </x:c>
      <x:c r="P249" s="2"/>
      <x:c r="Q249" s="2" t="n">
        <x:v>1</x:v>
      </x:c>
      <x:c r="R249" s="2" t="n">
        <x:f>IF(A249,1,0)</x:f>
        <x:v>0</x:v>
      </x:c>
      <x:c r="S249" s="2" t="n">
        <x:f>SUBTOTAL(103,N249)</x:f>
        <x:v>1</x:v>
      </x:c>
    </x:row>
    <x:row r="250" ht="42" customHeight="1">
      <x:c r="A250" s="28" t="b">
        <x:v>0</x:v>
      </x:c>
      <x:c r="B250" s="2" t="str">
        <x:v>Cycle 2</x:v>
      </x:c>
      <x:c r="C250" s="2" t="str">
        <x:v>Phase 2</x:v>
      </x:c>
      <x:c r="D250" s="2" t="str">
        <x:v>CSBBO - Customer Service</x:v>
      </x:c>
      <x:c r="E250" s="56" t="str">
        <x:v>RA.CS.2.2</x:v>
      </x:c>
      <x:c r="F250" s="14" t="str">
        <x:v>Review relevant policies and procedures</x:v>
      </x:c>
      <x:c r="G250" s="5"/>
      <x:c r="H250" s="11"/>
      <x:c r="I250" s="11" t="n">
        <x:f>'Cycles &amp; Guide'!$D$11</x:f>
        <x:v>46203</x:v>
      </x:c>
      <x:c r="J250" s="11"/>
      <x:c r="K250" s="29"/>
      <x:c r="L250" s="2" t="str">
        <x:f>IF(O250=1,"Complete",IF(A250,"Checklist open",IF(H250&lt;&gt;"","In progress","Not started")))</x:f>
        <x:v>Not started</x:v>
      </x:c>
      <x:c r="M250" s="2" t="str">
        <x:v>Task</x:v>
      </x:c>
      <x:c r="N250" s="2" t="str">
        <x:v>RA.CS.2.2.2026.CY2</x:v>
      </x:c>
      <x:c r="O250" s="2" t="n">
        <x:f>R250</x:f>
        <x:v>0</x:v>
      </x:c>
      <x:c r="P250" s="2"/>
      <x:c r="Q250" s="2" t="n">
        <x:v>1</x:v>
      </x:c>
      <x:c r="R250" s="2" t="n">
        <x:f>IF(A250,1,0)</x:f>
        <x:v>0</x:v>
      </x:c>
      <x:c r="S250" s="2" t="n">
        <x:f>SUBTOTAL(103,N250)</x:f>
        <x:v>1</x:v>
      </x:c>
    </x:row>
    <x:row r="251" ht="42" customHeight="1">
      <x:c r="A251" s="28" t="b">
        <x:v>0</x:v>
      </x:c>
      <x:c r="B251" s="2" t="str">
        <x:v>Cycle 2</x:v>
      </x:c>
      <x:c r="C251" s="2" t="str">
        <x:v>Phase 2</x:v>
      </x:c>
      <x:c r="D251" s="2" t="str">
        <x:v>CSBBO - Customer Service</x:v>
      </x:c>
      <x:c r="E251" s="56" t="str">
        <x:v>RA.CS.2.3</x:v>
      </x:c>
      <x:c r="F251" s="14" t="str">
        <x:v>Meet with SMEs to gain business insight and clarify questions</x:v>
      </x:c>
      <x:c r="G251" s="5"/>
      <x:c r="H251" s="11"/>
      <x:c r="I251" s="11" t="n">
        <x:f>'Cycles &amp; Guide'!$D$11</x:f>
        <x:v>46203</x:v>
      </x:c>
      <x:c r="J251" s="11"/>
      <x:c r="K251" s="29"/>
      <x:c r="L251" s="2" t="str">
        <x:f>IF(O251=1,"Complete",IF(A251,"Checklist open",IF(H251&lt;&gt;"","In progress","Not started")))</x:f>
        <x:v>Not started</x:v>
      </x:c>
      <x:c r="M251" s="2" t="str">
        <x:v>Task</x:v>
      </x:c>
      <x:c r="N251" s="2" t="str">
        <x:v>RA.CS.2.3.2026.CY2</x:v>
      </x:c>
      <x:c r="O251" s="2" t="n">
        <x:f>R251</x:f>
        <x:v>0</x:v>
      </x:c>
      <x:c r="P251" s="2"/>
      <x:c r="Q251" s="2" t="n">
        <x:v>1</x:v>
      </x:c>
      <x:c r="R251" s="2" t="n">
        <x:f>IF(A251,1,0)</x:f>
        <x:v>0</x:v>
      </x:c>
      <x:c r="S251" s="2" t="n">
        <x:f>SUBTOTAL(103,N251)</x:f>
        <x:v>1</x:v>
      </x:c>
    </x:row>
    <x:row r="252" ht="42" customHeight="1">
      <x:c r="A252" s="28" t="b">
        <x:v>0</x:v>
      </x:c>
      <x:c r="B252" s="2" t="str">
        <x:v>Cycle 2</x:v>
      </x:c>
      <x:c r="C252" s="2" t="str">
        <x:v>Phase 2</x:v>
      </x:c>
      <x:c r="D252" s="2" t="str">
        <x:v>CSBBO - Customer Service</x:v>
      </x:c>
      <x:c r="E252" s="56" t="str">
        <x:v>RA.CS.2.4</x:v>
      </x:c>
      <x:c r="F252" s="14" t="str">
        <x:v>Establish and maintain a recurring meeting with D&amp;I to discuss Cycle progress</x:v>
      </x:c>
      <x:c r="G252" s="5"/>
      <x:c r="H252" s="11"/>
      <x:c r="I252" s="11" t="n">
        <x:f>'Cycles &amp; Guide'!$D$11</x:f>
        <x:v>46203</x:v>
      </x:c>
      <x:c r="J252" s="11"/>
      <x:c r="K252" s="29"/>
      <x:c r="L252" s="2" t="str">
        <x:f>IF(O252=1,"Complete",IF(A252,"Checklist open",IF(H252&lt;&gt;"","In progress","Not started")))</x:f>
        <x:v>Not started</x:v>
      </x:c>
      <x:c r="M252" s="2" t="str">
        <x:v>Task</x:v>
      </x:c>
      <x:c r="N252" s="2" t="str">
        <x:v>RA.CS.2.4.2026.CY2</x:v>
      </x:c>
      <x:c r="O252" s="2" t="n">
        <x:f>R252</x:f>
        <x:v>0</x:v>
      </x:c>
      <x:c r="P252" s="2"/>
      <x:c r="Q252" s="2" t="n">
        <x:v>1</x:v>
      </x:c>
      <x:c r="R252" s="2" t="n">
        <x:f>IF(A252,1,0)</x:f>
        <x:v>0</x:v>
      </x:c>
      <x:c r="S252" s="2" t="n">
        <x:f>SUBTOTAL(103,N252)</x:f>
        <x:v>1</x:v>
      </x:c>
    </x:row>
    <x:row r="253" ht="42" customHeight="1">
      <x:c r="A253" s="28" t="b">
        <x:v>0</x:v>
      </x:c>
      <x:c r="B253" s="2" t="str">
        <x:v>Cycle 2</x:v>
      </x:c>
      <x:c r="C253" s="2" t="str">
        <x:v>Phase 2</x:v>
      </x:c>
      <x:c r="D253" s="2" t="str">
        <x:v>CSBBO - Customer Service</x:v>
      </x:c>
      <x:c r="E253" s="56" t="str">
        <x:v>RA.CS.2.5</x:v>
      </x:c>
      <x:c r="F253" s="14" t="str">
        <x:v>Perform data testing and sampling</x:v>
      </x:c>
      <x:c r="G253" s="5"/>
      <x:c r="H253" s="11"/>
      <x:c r="I253" s="11" t="n">
        <x:f>'Cycles &amp; Guide'!$D$11</x:f>
        <x:v>46203</x:v>
      </x:c>
      <x:c r="J253" s="11"/>
      <x:c r="K253" s="29"/>
      <x:c r="L253" s="2" t="str">
        <x:f>IF(O253=1,"Complete",IF(A253,"Checklist open",IF(H253&lt;&gt;"","In progress","Not started")))</x:f>
        <x:v>Not started</x:v>
      </x:c>
      <x:c r="M253" s="2" t="str">
        <x:v>Task</x:v>
      </x:c>
      <x:c r="N253" s="2" t="str">
        <x:v>RA.CS.2.5.2026.CY2</x:v>
      </x:c>
      <x:c r="O253" s="2" t="n">
        <x:f>R253</x:f>
        <x:v>0</x:v>
      </x:c>
      <x:c r="P253" s="2"/>
      <x:c r="Q253" s="2" t="n">
        <x:v>1</x:v>
      </x:c>
      <x:c r="R253" s="2" t="n">
        <x:f>IF(A253,1,0)</x:f>
        <x:v>0</x:v>
      </x:c>
      <x:c r="S253" s="2" t="n">
        <x:f>SUBTOTAL(103,N253)</x:f>
        <x:v>1</x:v>
      </x:c>
    </x:row>
    <x:row r="254" ht="42" customHeight="1">
      <x:c r="A254" s="28" t="b">
        <x:v>0</x:v>
      </x:c>
      <x:c r="B254" s="2" t="str">
        <x:v>Cycle 2</x:v>
      </x:c>
      <x:c r="C254" s="2" t="str">
        <x:v>Phase 2</x:v>
      </x:c>
      <x:c r="D254" s="2" t="str">
        <x:v>CSBBO - Customer Service</x:v>
      </x:c>
      <x:c r="E254" s="56" t="str">
        <x:v>RA.CS.2.6</x:v>
      </x:c>
      <x:c r="F254" s="14" t="str">
        <x:v>Complete Positive Testing</x:v>
      </x:c>
      <x:c r="G254" s="5"/>
      <x:c r="H254" s="11"/>
      <x:c r="I254" s="11" t="n">
        <x:f>'Cycles &amp; Guide'!$D$11</x:f>
        <x:v>46203</x:v>
      </x:c>
      <x:c r="J254" s="11"/>
      <x:c r="K254" s="29"/>
      <x:c r="L254" s="2" t="str">
        <x:f>IF(O254=1,"Complete",IF(A254,"Checklist open",IF(H254&lt;&gt;"","In progress","Not started")))</x:f>
        <x:v>Not started</x:v>
      </x:c>
      <x:c r="M254" s="2" t="str">
        <x:v>Task</x:v>
      </x:c>
      <x:c r="N254" s="2" t="str">
        <x:v>RA.CS.2.6.2026.CY2</x:v>
      </x:c>
      <x:c r="O254" s="2" t="n">
        <x:f>R254</x:f>
        <x:v>0</x:v>
      </x:c>
      <x:c r="P254" s="2"/>
      <x:c r="Q254" s="2" t="n">
        <x:v>1</x:v>
      </x:c>
      <x:c r="R254" s="2" t="n">
        <x:f>IF(A254,1,0)</x:f>
        <x:v>0</x:v>
      </x:c>
      <x:c r="S254" s="2" t="n">
        <x:f>SUBTOTAL(103,N254)</x:f>
        <x:v>1</x:v>
      </x:c>
    </x:row>
    <x:row r="255" ht="42" customHeight="1">
      <x:c r="A255" s="28" t="b">
        <x:v>0</x:v>
      </x:c>
      <x:c r="B255" s="2" t="str">
        <x:v>Cycle 2</x:v>
      </x:c>
      <x:c r="C255" s="2" t="str">
        <x:v>Phase 2</x:v>
      </x:c>
      <x:c r="D255" s="2" t="str">
        <x:v>CSBBO - Customer Service</x:v>
      </x:c>
      <x:c r="E255" s="56" t="str">
        <x:v>RA.CS.2.7</x:v>
      </x:c>
      <x:c r="F255" s="14" t="str">
        <x:v>Complete Negative Testing</x:v>
      </x:c>
      <x:c r="G255" s="5"/>
      <x:c r="H255" s="11"/>
      <x:c r="I255" s="11" t="n">
        <x:f>'Cycles &amp; Guide'!$D$11</x:f>
        <x:v>46203</x:v>
      </x:c>
      <x:c r="J255" s="11"/>
      <x:c r="K255" s="29"/>
      <x:c r="L255" s="2" t="str">
        <x:f>IF(O255=1,"Complete",IF(A255,"Checklist open",IF(H255&lt;&gt;"","In progress","Not started")))</x:f>
        <x:v>Not started</x:v>
      </x:c>
      <x:c r="M255" s="2" t="str">
        <x:v>Task</x:v>
      </x:c>
      <x:c r="N255" s="2" t="str">
        <x:v>RA.CS.2.7.2026.CY2</x:v>
      </x:c>
      <x:c r="O255" s="2" t="n">
        <x:f>R255</x:f>
        <x:v>0</x:v>
      </x:c>
      <x:c r="P255" s="2"/>
      <x:c r="Q255" s="2" t="n">
        <x:v>1</x:v>
      </x:c>
      <x:c r="R255" s="2" t="n">
        <x:f>IF(A255,1,0)</x:f>
        <x:v>0</x:v>
      </x:c>
      <x:c r="S255" s="2" t="n">
        <x:f>SUBTOTAL(103,N255)</x:f>
        <x:v>1</x:v>
      </x:c>
    </x:row>
    <x:row r="256" ht="42" customHeight="1">
      <x:c r="A256" s="28" t="b">
        <x:v>0</x:v>
      </x:c>
      <x:c r="B256" s="2" t="str">
        <x:v>Cycle 2</x:v>
      </x:c>
      <x:c r="C256" s="2" t="str">
        <x:v>Phase 2</x:v>
      </x:c>
      <x:c r="D256" s="2" t="str">
        <x:v>CSBBO - Customer Service</x:v>
      </x:c>
      <x:c r="E256" s="56" t="str">
        <x:v>RA.CS.2.8</x:v>
      </x:c>
      <x:c r="F256" s="14" t="str">
        <x:v>Request additional data (as needed)</x:v>
      </x:c>
      <x:c r="G256" s="5"/>
      <x:c r="H256" s="11"/>
      <x:c r="I256" s="11" t="n">
        <x:f>'Cycles &amp; Guide'!$D$11</x:f>
        <x:v>46203</x:v>
      </x:c>
      <x:c r="J256" s="11"/>
      <x:c r="K256" s="29"/>
      <x:c r="L256" s="2" t="str">
        <x:f>IF(O256=1,"Complete",IF(A256,"Checklist open",IF(H256&lt;&gt;"","In progress","Not started")))</x:f>
        <x:v>Not started</x:v>
      </x:c>
      <x:c r="M256" s="2" t="str">
        <x:v>Task</x:v>
      </x:c>
      <x:c r="N256" s="2" t="str">
        <x:v>RA.CS.2.8.2026.CY2</x:v>
      </x:c>
      <x:c r="O256" s="2" t="n">
        <x:f>R256</x:f>
        <x:v>0</x:v>
      </x:c>
      <x:c r="P256" s="2"/>
      <x:c r="Q256" s="2" t="n">
        <x:v>1</x:v>
      </x:c>
      <x:c r="R256" s="2" t="n">
        <x:f>IF(A256,1,0)</x:f>
        <x:v>0</x:v>
      </x:c>
      <x:c r="S256" s="2" t="n">
        <x:f>SUBTOTAL(103,N256)</x:f>
        <x:v>1</x:v>
      </x:c>
    </x:row>
    <x:row r="257" ht="42" customHeight="1">
      <x:c r="A257" s="28" t="b">
        <x:v>0</x:v>
      </x:c>
      <x:c r="B257" s="2" t="str">
        <x:v>Cycle 2</x:v>
      </x:c>
      <x:c r="C257" s="2" t="str">
        <x:v>Phase 2</x:v>
      </x:c>
      <x:c r="D257" s="2" t="str">
        <x:v>CSBBO - Customer Service</x:v>
      </x:c>
      <x:c r="E257" s="56" t="str">
        <x:v>RA.CS.2.9</x:v>
      </x:c>
      <x:c r="F257" s="14" t="str">
        <x:v>Validate or disprove initial hypothesis assumptions</x:v>
      </x:c>
      <x:c r="G257" s="5"/>
      <x:c r="H257" s="11"/>
      <x:c r="I257" s="11" t="n">
        <x:f>'Cycles &amp; Guide'!$D$11</x:f>
        <x:v>46203</x:v>
      </x:c>
      <x:c r="J257" s="11"/>
      <x:c r="K257" s="29"/>
      <x:c r="L257" s="2" t="str">
        <x:f>IF(O257=1,"Complete",IF(A257,"Checklist open",IF(H257&lt;&gt;"","In progress","Not started")))</x:f>
        <x:v>Not started</x:v>
      </x:c>
      <x:c r="M257" s="2" t="str">
        <x:v>Task</x:v>
      </x:c>
      <x:c r="N257" s="2" t="str">
        <x:v>RA.CS.2.9.2026.CY2</x:v>
      </x:c>
      <x:c r="O257" s="2" t="n">
        <x:f>R257</x:f>
        <x:v>0</x:v>
      </x:c>
      <x:c r="P257" s="2"/>
      <x:c r="Q257" s="2" t="n">
        <x:v>1</x:v>
      </x:c>
      <x:c r="R257" s="2" t="n">
        <x:f>IF(A257,1,0)</x:f>
        <x:v>0</x:v>
      </x:c>
      <x:c r="S257" s="2" t="n">
        <x:f>SUBTOTAL(103,N257)</x:f>
        <x:v>1</x:v>
      </x:c>
    </x:row>
    <x:row r="258" ht="42" customHeight="1">
      <x:c r="A258" s="28" t="b">
        <x:v>0</x:v>
      </x:c>
      <x:c r="B258" s="2" t="str">
        <x:v>Cycle 2</x:v>
      </x:c>
      <x:c r="C258" s="2" t="str">
        <x:v>Phase 2</x:v>
      </x:c>
      <x:c r="D258" s="2" t="str">
        <x:v>CSBBO - Customer Service</x:v>
      </x:c>
      <x:c r="E258" s="56" t="str">
        <x:v>RA.CS.2.10</x:v>
      </x:c>
      <x:c r="F258" s="14" t="str">
        <x:v>Identify and confirm root cause</x:v>
      </x:c>
      <x:c r="G258" s="5"/>
      <x:c r="H258" s="11"/>
      <x:c r="I258" s="11" t="n">
        <x:f>'Cycles &amp; Guide'!$D$11</x:f>
        <x:v>46203</x:v>
      </x:c>
      <x:c r="J258" s="11"/>
      <x:c r="K258" s="29"/>
      <x:c r="L258" s="2" t="str">
        <x:f>IF(O258=1,"Complete",IF(A258,"Checklist open",IF(H258&lt;&gt;"","In progress","Not started")))</x:f>
        <x:v>Not started</x:v>
      </x:c>
      <x:c r="M258" s="2" t="str">
        <x:v>Task</x:v>
      </x:c>
      <x:c r="N258" s="2" t="str">
        <x:v>RA.CS.2.10.2026.CY2</x:v>
      </x:c>
      <x:c r="O258" s="2" t="n">
        <x:f>R258</x:f>
        <x:v>0</x:v>
      </x:c>
      <x:c r="P258" s="2"/>
      <x:c r="Q258" s="2" t="n">
        <x:v>1</x:v>
      </x:c>
      <x:c r="R258" s="2" t="n">
        <x:f>IF(A258,1,0)</x:f>
        <x:v>0</x:v>
      </x:c>
      <x:c r="S258" s="2" t="n">
        <x:f>SUBTOTAL(103,N258)</x:f>
        <x:v>1</x:v>
      </x:c>
    </x:row>
    <x:row r="259" ht="42" customHeight="1">
      <x:c r="A259" s="28" t="b">
        <x:v>0</x:v>
      </x:c>
      <x:c r="B259" s="2" t="str">
        <x:v>Cycle 2</x:v>
      </x:c>
      <x:c r="C259" s="2" t="str">
        <x:v>Phase 3</x:v>
      </x:c>
      <x:c r="D259" s="2" t="str">
        <x:v>CSBBO - Customer Service</x:v>
      </x:c>
      <x:c r="E259" s="56" t="str">
        <x:v>RA.CS.3.1</x:v>
      </x:c>
      <x:c r="F259" s="14" t="str">
        <x:v>Finalize results and supporting documentation</x:v>
      </x:c>
      <x:c r="G259" s="5"/>
      <x:c r="H259" s="11"/>
      <x:c r="I259" s="11" t="n">
        <x:f>'Cycles &amp; Guide'!$D$11</x:f>
        <x:v>46203</x:v>
      </x:c>
      <x:c r="J259" s="11"/>
      <x:c r="K259" s="29"/>
      <x:c r="L259" s="2" t="str">
        <x:f>IF(O259=1,"Complete",IF(A259,"Checklist open",IF(H259&lt;&gt;"","In progress","Not started")))</x:f>
        <x:v>Not started</x:v>
      </x:c>
      <x:c r="M259" s="2" t="str">
        <x:v>Task</x:v>
      </x:c>
      <x:c r="N259" s="2" t="str">
        <x:v>RA.CS.3.1.2026.CY2</x:v>
      </x:c>
      <x:c r="O259" s="2" t="n">
        <x:f>R259</x:f>
        <x:v>0</x:v>
      </x:c>
      <x:c r="P259" s="2"/>
      <x:c r="Q259" s="2" t="n">
        <x:v>1</x:v>
      </x:c>
      <x:c r="R259" s="2" t="n">
        <x:f>IF(A259,1,0)</x:f>
        <x:v>0</x:v>
      </x:c>
      <x:c r="S259" s="2" t="n">
        <x:f>SUBTOTAL(103,N259)</x:f>
        <x:v>1</x:v>
      </x:c>
    </x:row>
    <x:row r="260" ht="42" customHeight="1">
      <x:c r="A260" s="28" t="b">
        <x:v>0</x:v>
      </x:c>
      <x:c r="B260" s="2" t="str">
        <x:v>Cycle 2</x:v>
      </x:c>
      <x:c r="C260" s="2" t="str">
        <x:v>Phase 3</x:v>
      </x:c>
      <x:c r="D260" s="2" t="str">
        <x:v>CSBBO - Customer Service</x:v>
      </x:c>
      <x:c r="E260" s="56" t="str">
        <x:v>RA.CS.3.2</x:v>
      </x:c>
      <x:c r="F260" s="14" t="str">
        <x:v>Maintain and update the evidence package prior to handoff to D&amp;I</x:v>
      </x:c>
      <x:c r="G260" s="5"/>
      <x:c r="H260" s="11"/>
      <x:c r="I260" s="11" t="n">
        <x:f>'Cycles &amp; Guide'!$D$11</x:f>
        <x:v>46203</x:v>
      </x:c>
      <x:c r="J260" s="11"/>
      <x:c r="K260" s="29"/>
      <x:c r="L260" s="2" t="str">
        <x:f>IF(O260=1,"Complete",IF(A260,"Checklist open",IF(H260&lt;&gt;"","In progress","Not started")))</x:f>
        <x:v>Not started</x:v>
      </x:c>
      <x:c r="M260" s="2" t="str">
        <x:v>Task</x:v>
      </x:c>
      <x:c r="N260" s="2" t="str">
        <x:v>RA.CS.3.2.2026.CY2</x:v>
      </x:c>
      <x:c r="O260" s="2" t="n">
        <x:f>R260</x:f>
        <x:v>0</x:v>
      </x:c>
      <x:c r="P260" s="2"/>
      <x:c r="Q260" s="2" t="n">
        <x:v>1</x:v>
      </x:c>
      <x:c r="R260" s="2" t="n">
        <x:f>IF(A260,1,0)</x:f>
        <x:v>0</x:v>
      </x:c>
      <x:c r="S260" s="2" t="n">
        <x:f>SUBTOTAL(103,N260)</x:f>
        <x:v>1</x:v>
      </x:c>
    </x:row>
    <x:row r="261" ht="42" customHeight="1">
      <x:c r="A261" s="28" t="b">
        <x:v>0</x:v>
      </x:c>
      <x:c r="B261" s="2" t="str">
        <x:v>Cycle 2</x:v>
      </x:c>
      <x:c r="C261" s="2" t="str">
        <x:v>Phase 3</x:v>
      </x:c>
      <x:c r="D261" s="2" t="str">
        <x:v>CSBBO - Customer Service</x:v>
      </x:c>
      <x:c r="E261" s="56" t="str">
        <x:v>RA.CS.3.3</x:v>
      </x:c>
      <x:c r="F261" s="14" t="str">
        <x:v>Address any outstanding questions or requests from D&amp;I</x:v>
      </x:c>
      <x:c r="G261" s="5"/>
      <x:c r="H261" s="11"/>
      <x:c r="I261" s="11" t="n">
        <x:f>'Cycles &amp; Guide'!$D$11</x:f>
        <x:v>46203</x:v>
      </x:c>
      <x:c r="J261" s="11"/>
      <x:c r="K261" s="29"/>
      <x:c r="L261" s="2" t="str">
        <x:f>IF(O261=1,"Complete",IF(A261,"Checklist open",IF(H261&lt;&gt;"","In progress","Not started")))</x:f>
        <x:v>Not started</x:v>
      </x:c>
      <x:c r="M261" s="2" t="str">
        <x:v>Task</x:v>
      </x:c>
      <x:c r="N261" s="2" t="str">
        <x:v>RA.CS.3.3.2026.CY2</x:v>
      </x:c>
      <x:c r="O261" s="2" t="n">
        <x:f>R261</x:f>
        <x:v>0</x:v>
      </x:c>
      <x:c r="P261" s="2"/>
      <x:c r="Q261" s="2" t="n">
        <x:v>1</x:v>
      </x:c>
      <x:c r="R261" s="2" t="n">
        <x:f>IF(A261,1,0)</x:f>
        <x:v>0</x:v>
      </x:c>
      <x:c r="S261" s="2" t="n">
        <x:f>SUBTOTAL(103,N261)</x:f>
        <x:v>1</x:v>
      </x:c>
    </x:row>
    <x:row r="262" ht="42" customHeight="1">
      <x:c r="A262" s="28" t="b">
        <x:v>0</x:v>
      </x:c>
      <x:c r="B262" s="2" t="str">
        <x:v>Cycle 2</x:v>
      </x:c>
      <x:c r="C262" s="2" t="str">
        <x:v>Phase 3</x:v>
      </x:c>
      <x:c r="D262" s="2" t="str">
        <x:v>CSBBO - Customer Service</x:v>
      </x:c>
      <x:c r="E262" s="56" t="str">
        <x:v>RA.CS.3.4</x:v>
      </x:c>
      <x:c r="F262" s="14" t="str">
        <x:v>Attend Forum meeting with D&amp;I to assist with answering stakeholder questions (as needed)</x:v>
      </x:c>
      <x:c r="G262" s="5"/>
      <x:c r="H262" s="11"/>
      <x:c r="I262" s="11" t="str">
        <x:f>IF(SUMIFS('Cycles &amp; Guide'!$D$23:$D$50,'Cycles &amp; Guide'!$B$23:$B$50,B262,'Cycles &amp; Guide'!$C$23:$C$50,D262)=0,"",SUMIFS('Cycles &amp; Guide'!$D$23:$D$50,'Cycles &amp; Guide'!$B$23:$B$50,B262,'Cycles &amp; Guide'!$C$23:$C$50,D262))</x:f>
      </x:c>
      <x:c r="J262" s="11"/>
      <x:c r="K262" s="29"/>
      <x:c r="L262" s="2" t="str">
        <x:f>IF(O262=1,"Complete",IF(A262,"Checklist open",IF(H262&lt;&gt;"","In progress","Not started")))</x:f>
        <x:v>Not started</x:v>
      </x:c>
      <x:c r="M262" s="2" t="str">
        <x:v>Task</x:v>
      </x:c>
      <x:c r="N262" s="2" t="str">
        <x:v>RA.CS.3.4.2026.CY2</x:v>
      </x:c>
      <x:c r="O262" s="2" t="n">
        <x:f>R262</x:f>
        <x:v>0</x:v>
      </x:c>
      <x:c r="P262" s="2"/>
      <x:c r="Q262" s="2" t="n">
        <x:v>1</x:v>
      </x:c>
      <x:c r="R262" s="2" t="n">
        <x:f>IF(A262,1,0)</x:f>
        <x:v>0</x:v>
      </x:c>
      <x:c r="S262" s="2" t="n">
        <x:f>SUBTOTAL(103,N262)</x:f>
        <x:v>1</x:v>
      </x:c>
    </x:row>
    <x:row r="263" ht="42" customHeight="1">
      <x:c r="A263" s="28" t="b">
        <x:v>0</x:v>
      </x:c>
      <x:c r="B263" s="2" t="str">
        <x:v>Cycle 2</x:v>
      </x:c>
      <x:c r="C263" s="2" t="str">
        <x:v>Phase 1</x:v>
      </x:c>
      <x:c r="D263" s="2" t="str">
        <x:v>FCM</x:v>
      </x:c>
      <x:c r="E263" s="56" t="str">
        <x:v>RA.FC.1.1</x:v>
      </x:c>
      <x:c r="F263" s="14" t="str">
        <x:v>Begin Research process 2 weeks prior to Cycle start</x:v>
      </x:c>
      <x:c r="G263" s="5"/>
      <x:c r="H263" s="11"/>
      <x:c r="I263" s="11" t="n">
        <x:f>'Cycles &amp; Guide'!$C$11-14</x:f>
        <x:v>46099</x:v>
      </x:c>
      <x:c r="J263" s="11"/>
      <x:c r="K263" s="29"/>
      <x:c r="L263" s="2" t="str">
        <x:f>IF(O263=1,"Complete",IF(A263,"Checklist open",IF(H263&lt;&gt;"","In progress","Not started")))</x:f>
        <x:v>Not started</x:v>
      </x:c>
      <x:c r="M263" s="2" t="str">
        <x:v>Task</x:v>
      </x:c>
      <x:c r="N263" s="2" t="str">
        <x:v>RA.FC.1.1.2026.CY2</x:v>
      </x:c>
      <x:c r="O263" s="2" t="n">
        <x:f>R263</x:f>
        <x:v>0</x:v>
      </x:c>
      <x:c r="P263" s="2"/>
      <x:c r="Q263" s="2" t="n">
        <x:v>1</x:v>
      </x:c>
      <x:c r="R263" s="2" t="n">
        <x:f>IF(A263,1,0)</x:f>
        <x:v>0</x:v>
      </x:c>
      <x:c r="S263" s="2" t="n">
        <x:f>SUBTOTAL(103,N263)</x:f>
        <x:v>1</x:v>
      </x:c>
    </x:row>
    <x:row r="264" ht="42" customHeight="1">
      <x:c r="A264" s="28" t="b">
        <x:v>0</x:v>
      </x:c>
      <x:c r="B264" s="2" t="str">
        <x:v>Cycle 2</x:v>
      </x:c>
      <x:c r="C264" s="2" t="str">
        <x:v>Phase 1</x:v>
      </x:c>
      <x:c r="D264" s="2" t="str">
        <x:v>FCM</x:v>
      </x:c>
      <x:c r="E264" s="56" t="str">
        <x:v>RA.FC.1.2</x:v>
      </x:c>
      <x:c r="F264" s="14" t="str">
        <x:v>Conduct initial assessment of each topic recommendation from SharePoint list</x:v>
      </x:c>
      <x:c r="G264" s="5"/>
      <x:c r="H264" s="11"/>
      <x:c r="I264" s="11" t="n">
        <x:f>'Cycles &amp; Guide'!$D$11</x:f>
        <x:v>46203</x:v>
      </x:c>
      <x:c r="J264" s="11"/>
      <x:c r="K264" s="29"/>
      <x:c r="L264" s="2" t="str">
        <x:f>IF(O264=1,"Complete",IF(A264,"Checklist open",IF(H264&lt;&gt;"","In progress","Not started")))</x:f>
        <x:v>Not started</x:v>
      </x:c>
      <x:c r="M264" s="2" t="str">
        <x:v>Task</x:v>
      </x:c>
      <x:c r="N264" s="2" t="str">
        <x:v>RA.FC.1.2.2026.CY2</x:v>
      </x:c>
      <x:c r="O264" s="2" t="n">
        <x:f>R264</x:f>
        <x:v>0</x:v>
      </x:c>
      <x:c r="P264" s="2"/>
      <x:c r="Q264" s="2" t="n">
        <x:v>1</x:v>
      </x:c>
      <x:c r="R264" s="2" t="n">
        <x:f>IF(A264,1,0)</x:f>
        <x:v>0</x:v>
      </x:c>
      <x:c r="S264" s="2" t="n">
        <x:f>SUBTOTAL(103,N264)</x:f>
        <x:v>1</x:v>
      </x:c>
    </x:row>
    <x:row r="265" ht="42" customHeight="1">
      <x:c r="A265" s="28" t="b">
        <x:v>0</x:v>
      </x:c>
      <x:c r="B265" s="2" t="str">
        <x:v>Cycle 2</x:v>
      </x:c>
      <x:c r="C265" s="2" t="str">
        <x:v>Phase 1</x:v>
      </x:c>
      <x:c r="D265" s="2" t="str">
        <x:v>FCM</x:v>
      </x:c>
      <x:c r="E265" s="56" t="str">
        <x:v>RA.FC.1.3</x:v>
      </x:c>
      <x:c r="F265" s="14" t="str">
        <x:v>Identify best topic for Cycle</x:v>
      </x:c>
      <x:c r="G265" s="5"/>
      <x:c r="H265" s="11"/>
      <x:c r="I265" s="11" t="n">
        <x:f>'Cycles &amp; Guide'!$D$11</x:f>
        <x:v>46203</x:v>
      </x:c>
      <x:c r="J265" s="11"/>
      <x:c r="K265" s="29"/>
      <x:c r="L265" s="2" t="str">
        <x:f>IF(O265=1,"Complete",IF(A265,"Checklist open",IF(H265&lt;&gt;"","In progress","Not started")))</x:f>
        <x:v>Not started</x:v>
      </x:c>
      <x:c r="M265" s="2" t="str">
        <x:v>Task</x:v>
      </x:c>
      <x:c r="N265" s="2" t="str">
        <x:v>RA.FC.1.3.2026.CY2</x:v>
      </x:c>
      <x:c r="O265" s="2" t="n">
        <x:f>R265</x:f>
        <x:v>0</x:v>
      </x:c>
      <x:c r="P265" s="2"/>
      <x:c r="Q265" s="2" t="n">
        <x:v>1</x:v>
      </x:c>
      <x:c r="R265" s="2" t="n">
        <x:f>IF(A265,1,0)</x:f>
        <x:v>0</x:v>
      </x:c>
      <x:c r="S265" s="2" t="n">
        <x:f>SUBTOTAL(103,N265)</x:f>
        <x:v>1</x:v>
      </x:c>
    </x:row>
    <x:row r="266" ht="42" customHeight="1">
      <x:c r="A266" s="28" t="b">
        <x:v>0</x:v>
      </x:c>
      <x:c r="B266" s="2" t="str">
        <x:v>Cycle 2</x:v>
      </x:c>
      <x:c r="C266" s="2" t="str">
        <x:v>Phase 1</x:v>
      </x:c>
      <x:c r="D266" s="2" t="str">
        <x:v>FCM</x:v>
      </x:c>
      <x:c r="E266" s="56" t="str">
        <x:v>RA.FC.1.4</x:v>
      </x:c>
      <x:c r="F266" s="14" t="str">
        <x:v>Identify backup topic for Cycle</x:v>
      </x:c>
      <x:c r="G266" s="5"/>
      <x:c r="H266" s="11"/>
      <x:c r="I266" s="11" t="n">
        <x:f>'Cycles &amp; Guide'!$D$11</x:f>
        <x:v>46203</x:v>
      </x:c>
      <x:c r="J266" s="11"/>
      <x:c r="K266" s="29"/>
      <x:c r="L266" s="2" t="str">
        <x:f>IF(O266=1,"Complete",IF(A266,"Checklist open",IF(H266&lt;&gt;"","In progress","Not started")))</x:f>
        <x:v>Not started</x:v>
      </x:c>
      <x:c r="M266" s="2" t="str">
        <x:v>Task</x:v>
      </x:c>
      <x:c r="N266" s="2" t="str">
        <x:v>RA.FC.1.4.2026.CY2</x:v>
      </x:c>
      <x:c r="O266" s="2" t="n">
        <x:f>R266</x:f>
        <x:v>0</x:v>
      </x:c>
      <x:c r="P266" s="2"/>
      <x:c r="Q266" s="2" t="n">
        <x:v>1</x:v>
      </x:c>
      <x:c r="R266" s="2" t="n">
        <x:f>IF(A266,1,0)</x:f>
        <x:v>0</x:v>
      </x:c>
      <x:c r="S266" s="2" t="n">
        <x:f>SUBTOTAL(103,N266)</x:f>
        <x:v>1</x:v>
      </x:c>
    </x:row>
    <x:row r="267" ht="42" customHeight="1">
      <x:c r="A267" s="28" t="b">
        <x:v>0</x:v>
      </x:c>
      <x:c r="B267" s="2" t="str">
        <x:v>Cycle 2</x:v>
      </x:c>
      <x:c r="C267" s="2" t="str">
        <x:v>Phase 1</x:v>
      </x:c>
      <x:c r="D267" s="2" t="str">
        <x:v>FCM</x:v>
      </x:c>
      <x:c r="E267" s="56" t="str">
        <x:v>RA.FC.1.5</x:v>
      </x:c>
      <x:c r="F267" s="14" t="str">
        <x:v>Schedule topic approval meeting with D&amp;I and management</x:v>
      </x:c>
      <x:c r="G267" s="5"/>
      <x:c r="H267" s="11"/>
      <x:c r="I267" s="11" t="n">
        <x:f>'Cycles &amp; Guide'!$D$11</x:f>
        <x:v>46203</x:v>
      </x:c>
      <x:c r="J267" s="11"/>
      <x:c r="K267" s="29"/>
      <x:c r="L267" s="2" t="str">
        <x:f>IF(O267=1,"Complete",IF(A267,"Checklist open",IF(H267&lt;&gt;"","In progress","Not started")))</x:f>
        <x:v>Not started</x:v>
      </x:c>
      <x:c r="M267" s="2" t="str">
        <x:v>Task</x:v>
      </x:c>
      <x:c r="N267" s="2" t="str">
        <x:v>RA.FC.1.5.2026.CY2</x:v>
      </x:c>
      <x:c r="O267" s="2" t="n">
        <x:f>R267</x:f>
        <x:v>0</x:v>
      </x:c>
      <x:c r="P267" s="2"/>
      <x:c r="Q267" s="2" t="n">
        <x:v>1</x:v>
      </x:c>
      <x:c r="R267" s="2" t="n">
        <x:f>IF(A267,1,0)</x:f>
        <x:v>0</x:v>
      </x:c>
      <x:c r="S267" s="2" t="n">
        <x:f>SUBTOTAL(103,N267)</x:f>
        <x:v>1</x:v>
      </x:c>
    </x:row>
    <x:row r="268" ht="42" customHeight="1">
      <x:c r="A268" s="28" t="b">
        <x:v>0</x:v>
      </x:c>
      <x:c r="B268" s="2" t="str">
        <x:v>Cycle 2</x:v>
      </x:c>
      <x:c r="C268" s="2" t="str">
        <x:v>Phase 1</x:v>
      </x:c>
      <x:c r="D268" s="2" t="str">
        <x:v>FCM</x:v>
      </x:c>
      <x:c r="E268" s="56" t="str">
        <x:v>RA.FC.1.6</x:v>
      </x:c>
      <x:c r="F268" s="14" t="str">
        <x:v>Present recommended topic to D&amp;I and management for approval</x:v>
      </x:c>
      <x:c r="G268" s="5"/>
      <x:c r="H268" s="11"/>
      <x:c r="I268" s="11" t="n">
        <x:f>'Cycles &amp; Guide'!$D$11</x:f>
        <x:v>46203</x:v>
      </x:c>
      <x:c r="J268" s="11"/>
      <x:c r="K268" s="29"/>
      <x:c r="L268" s="2" t="str">
        <x:f>IF(O268=1,"Complete",IF(A268,"Checklist open",IF(H268&lt;&gt;"","In progress","Not started")))</x:f>
        <x:v>Not started</x:v>
      </x:c>
      <x:c r="M268" s="2" t="str">
        <x:v>Task</x:v>
      </x:c>
      <x:c r="N268" s="2" t="str">
        <x:v>RA.FC.1.6.2026.CY2</x:v>
      </x:c>
      <x:c r="O268" s="2" t="n">
        <x:f>R268</x:f>
        <x:v>0</x:v>
      </x:c>
      <x:c r="P268" s="2"/>
      <x:c r="Q268" s="2" t="n">
        <x:v>1</x:v>
      </x:c>
      <x:c r="R268" s="2" t="n">
        <x:f>IF(A268,1,0)</x:f>
        <x:v>0</x:v>
      </x:c>
      <x:c r="S268" s="2" t="n">
        <x:f>SUBTOTAL(103,N268)</x:f>
        <x:v>1</x:v>
      </x:c>
    </x:row>
    <x:row r="269" ht="42" customHeight="1">
      <x:c r="A269" s="28" t="b">
        <x:v>0</x:v>
      </x:c>
      <x:c r="B269" s="2" t="str">
        <x:v>Cycle 2</x:v>
      </x:c>
      <x:c r="C269" s="2" t="str">
        <x:v>Phase 1</x:v>
      </x:c>
      <x:c r="D269" s="2" t="str">
        <x:v>FCM</x:v>
      </x:c>
      <x:c r="E269" s="56" t="str">
        <x:v>RA.FC.1.7</x:v>
      </x:c>
      <x:c r="F269" s="14" t="str">
        <x:v>Obtain formal topic selection approval from management via SharePoint</x:v>
      </x:c>
      <x:c r="G269" s="5"/>
      <x:c r="H269" s="11"/>
      <x:c r="I269" s="11" t="n">
        <x:f>'Cycles &amp; Guide'!$D$11</x:f>
        <x:v>46203</x:v>
      </x:c>
      <x:c r="J269" s="11"/>
      <x:c r="K269" s="29"/>
      <x:c r="L269" s="2" t="str">
        <x:f>IF(O269=1,"Complete",IF(A269,"Checklist open",IF(H269&lt;&gt;"","In progress","Not started")))</x:f>
        <x:v>Not started</x:v>
      </x:c>
      <x:c r="M269" s="2" t="str">
        <x:v>Task</x:v>
      </x:c>
      <x:c r="N269" s="2" t="str">
        <x:v>RA.FC.1.7.2026.CY2</x:v>
      </x:c>
      <x:c r="O269" s="2" t="n">
        <x:f>R269</x:f>
        <x:v>0</x:v>
      </x:c>
      <x:c r="P269" s="2"/>
      <x:c r="Q269" s="2" t="n">
        <x:v>1</x:v>
      </x:c>
      <x:c r="R269" s="2" t="n">
        <x:f>IF(A269,1,0)</x:f>
        <x:v>0</x:v>
      </x:c>
      <x:c r="S269" s="2" t="n">
        <x:f>SUBTOTAL(103,N269)</x:f>
        <x:v>1</x:v>
      </x:c>
    </x:row>
    <x:row r="270" ht="42" customHeight="1">
      <x:c r="A270" s="28" t="b">
        <x:v>0</x:v>
      </x:c>
      <x:c r="B270" s="2" t="str">
        <x:v>Cycle 2</x:v>
      </x:c>
      <x:c r="C270" s="2" t="str">
        <x:v>Phase 1</x:v>
      </x:c>
      <x:c r="D270" s="2" t="str">
        <x:v>FCM</x:v>
      </x:c>
      <x:c r="E270" s="56" t="str">
        <x:v>RA.FC.1.8</x:v>
      </x:c>
      <x:c r="F270" s="14" t="str">
        <x:v>Socialize topic selection with product owners and subject matter experts (if known)</x:v>
      </x:c>
      <x:c r="G270" s="5"/>
      <x:c r="H270" s="11"/>
      <x:c r="I270" s="11" t="n">
        <x:f>'Cycles &amp; Guide'!$D$11</x:f>
        <x:v>46203</x:v>
      </x:c>
      <x:c r="J270" s="11"/>
      <x:c r="K270" s="29"/>
      <x:c r="L270" s="2" t="str">
        <x:f>IF(O270=1,"Complete",IF(A270,"Checklist open",IF(H270&lt;&gt;"","In progress","Not started")))</x:f>
        <x:v>Not started</x:v>
      </x:c>
      <x:c r="M270" s="2" t="str">
        <x:v>Task</x:v>
      </x:c>
      <x:c r="N270" s="2" t="str">
        <x:v>RA.FC.1.8.2026.CY2</x:v>
      </x:c>
      <x:c r="O270" s="2" t="n">
        <x:f>R270</x:f>
        <x:v>0</x:v>
      </x:c>
      <x:c r="P270" s="2"/>
      <x:c r="Q270" s="2" t="n">
        <x:v>1</x:v>
      </x:c>
      <x:c r="R270" s="2" t="n">
        <x:f>IF(A270,1,0)</x:f>
        <x:v>0</x:v>
      </x:c>
      <x:c r="S270" s="2" t="n">
        <x:f>SUBTOTAL(103,N270)</x:f>
        <x:v>1</x:v>
      </x:c>
    </x:row>
    <x:row r="271" ht="42" customHeight="1">
      <x:c r="A271" s="28" t="b">
        <x:v>0</x:v>
      </x:c>
      <x:c r="B271" s="2" t="str">
        <x:v>Cycle 2</x:v>
      </x:c>
      <x:c r="C271" s="2" t="str">
        <x:v>Phase 1</x:v>
      </x:c>
      <x:c r="D271" s="2" t="str">
        <x:v>FCM</x:v>
      </x:c>
      <x:c r="E271" s="56" t="str">
        <x:v>RA.FC.1.9</x:v>
      </x:c>
      <x:c r="F271" s="14" t="str">
        <x:v>Assign topic researchers</x:v>
      </x:c>
      <x:c r="G271" s="5"/>
      <x:c r="H271" s="11"/>
      <x:c r="I271" s="11" t="n">
        <x:f>'Cycles &amp; Guide'!$D$11</x:f>
        <x:v>46203</x:v>
      </x:c>
      <x:c r="J271" s="11"/>
      <x:c r="K271" s="29"/>
      <x:c r="L271" s="2" t="str">
        <x:f>IF(O271=1,"Complete",IF(A271,"Checklist open",IF(H271&lt;&gt;"","In progress","Not started")))</x:f>
        <x:v>Not started</x:v>
      </x:c>
      <x:c r="M271" s="2" t="str">
        <x:v>Task</x:v>
      </x:c>
      <x:c r="N271" s="2" t="str">
        <x:v>RA.FC.1.9.2026.CY2</x:v>
      </x:c>
      <x:c r="O271" s="2" t="n">
        <x:f>R271</x:f>
        <x:v>0</x:v>
      </x:c>
      <x:c r="P271" s="2"/>
      <x:c r="Q271" s="2" t="n">
        <x:v>1</x:v>
      </x:c>
      <x:c r="R271" s="2" t="n">
        <x:f>IF(A271,1,0)</x:f>
        <x:v>0</x:v>
      </x:c>
      <x:c r="S271" s="2" t="n">
        <x:f>SUBTOTAL(103,N271)</x:f>
        <x:v>1</x:v>
      </x:c>
    </x:row>
    <x:row r="272" ht="42" customHeight="1">
      <x:c r="A272" s="28" t="b">
        <x:v>0</x:v>
      </x:c>
      <x:c r="B272" s="2" t="str">
        <x:v>Cycle 2</x:v>
      </x:c>
      <x:c r="C272" s="2" t="str">
        <x:v>Phase 2</x:v>
      </x:c>
      <x:c r="D272" s="2" t="str">
        <x:v>FCM</x:v>
      </x:c>
      <x:c r="E272" s="56" t="str">
        <x:v>RA.FC.2.1</x:v>
      </x:c>
      <x:c r="F272" s="14" t="str">
        <x:v>Review data sources</x:v>
      </x:c>
      <x:c r="G272" s="5"/>
      <x:c r="H272" s="11"/>
      <x:c r="I272" s="11" t="n">
        <x:f>'Cycles &amp; Guide'!$D$11</x:f>
        <x:v>46203</x:v>
      </x:c>
      <x:c r="J272" s="11"/>
      <x:c r="K272" s="29"/>
      <x:c r="L272" s="2" t="str">
        <x:f>IF(O272=1,"Complete",IF(A272,"Checklist open",IF(H272&lt;&gt;"","In progress","Not started")))</x:f>
        <x:v>Not started</x:v>
      </x:c>
      <x:c r="M272" s="2" t="str">
        <x:v>Task</x:v>
      </x:c>
      <x:c r="N272" s="2" t="str">
        <x:v>RA.FC.2.1.2026.CY2</x:v>
      </x:c>
      <x:c r="O272" s="2" t="n">
        <x:f>R272</x:f>
        <x:v>0</x:v>
      </x:c>
      <x:c r="P272" s="2"/>
      <x:c r="Q272" s="2" t="n">
        <x:v>1</x:v>
      </x:c>
      <x:c r="R272" s="2" t="n">
        <x:f>IF(A272,1,0)</x:f>
        <x:v>0</x:v>
      </x:c>
      <x:c r="S272" s="2" t="n">
        <x:f>SUBTOTAL(103,N272)</x:f>
        <x:v>1</x:v>
      </x:c>
    </x:row>
    <x:row r="273" ht="42" customHeight="1">
      <x:c r="A273" s="28" t="b">
        <x:v>0</x:v>
      </x:c>
      <x:c r="B273" s="2" t="str">
        <x:v>Cycle 2</x:v>
      </x:c>
      <x:c r="C273" s="2" t="str">
        <x:v>Phase 2</x:v>
      </x:c>
      <x:c r="D273" s="2" t="str">
        <x:v>FCM</x:v>
      </x:c>
      <x:c r="E273" s="56" t="str">
        <x:v>RA.FC.2.2</x:v>
      </x:c>
      <x:c r="F273" s="14" t="str">
        <x:v>Review relevant policies and procedures</x:v>
      </x:c>
      <x:c r="G273" s="5"/>
      <x:c r="H273" s="11"/>
      <x:c r="I273" s="11" t="n">
        <x:f>'Cycles &amp; Guide'!$D$11</x:f>
        <x:v>46203</x:v>
      </x:c>
      <x:c r="J273" s="11"/>
      <x:c r="K273" s="29"/>
      <x:c r="L273" s="2" t="str">
        <x:f>IF(O273=1,"Complete",IF(A273,"Checklist open",IF(H273&lt;&gt;"","In progress","Not started")))</x:f>
        <x:v>Not started</x:v>
      </x:c>
      <x:c r="M273" s="2" t="str">
        <x:v>Task</x:v>
      </x:c>
      <x:c r="N273" s="2" t="str">
        <x:v>RA.FC.2.2.2026.CY2</x:v>
      </x:c>
      <x:c r="O273" s="2" t="n">
        <x:f>R273</x:f>
        <x:v>0</x:v>
      </x:c>
      <x:c r="P273" s="2"/>
      <x:c r="Q273" s="2" t="n">
        <x:v>1</x:v>
      </x:c>
      <x:c r="R273" s="2" t="n">
        <x:f>IF(A273,1,0)</x:f>
        <x:v>0</x:v>
      </x:c>
      <x:c r="S273" s="2" t="n">
        <x:f>SUBTOTAL(103,N273)</x:f>
        <x:v>1</x:v>
      </x:c>
    </x:row>
    <x:row r="274" ht="42" customHeight="1">
      <x:c r="A274" s="28" t="b">
        <x:v>0</x:v>
      </x:c>
      <x:c r="B274" s="2" t="str">
        <x:v>Cycle 2</x:v>
      </x:c>
      <x:c r="C274" s="2" t="str">
        <x:v>Phase 2</x:v>
      </x:c>
      <x:c r="D274" s="2" t="str">
        <x:v>FCM</x:v>
      </x:c>
      <x:c r="E274" s="56" t="str">
        <x:v>RA.FC.2.3</x:v>
      </x:c>
      <x:c r="F274" s="14" t="str">
        <x:v>Meet with SMEs to gain business insight and clarify questions</x:v>
      </x:c>
      <x:c r="G274" s="5"/>
      <x:c r="H274" s="11"/>
      <x:c r="I274" s="11" t="n">
        <x:f>'Cycles &amp; Guide'!$D$11</x:f>
        <x:v>46203</x:v>
      </x:c>
      <x:c r="J274" s="11"/>
      <x:c r="K274" s="29"/>
      <x:c r="L274" s="2" t="str">
        <x:f>IF(O274=1,"Complete",IF(A274,"Checklist open",IF(H274&lt;&gt;"","In progress","Not started")))</x:f>
        <x:v>Not started</x:v>
      </x:c>
      <x:c r="M274" s="2" t="str">
        <x:v>Task</x:v>
      </x:c>
      <x:c r="N274" s="2" t="str">
        <x:v>RA.FC.2.3.2026.CY2</x:v>
      </x:c>
      <x:c r="O274" s="2" t="n">
        <x:f>R274</x:f>
        <x:v>0</x:v>
      </x:c>
      <x:c r="P274" s="2"/>
      <x:c r="Q274" s="2" t="n">
        <x:v>1</x:v>
      </x:c>
      <x:c r="R274" s="2" t="n">
        <x:f>IF(A274,1,0)</x:f>
        <x:v>0</x:v>
      </x:c>
      <x:c r="S274" s="2" t="n">
        <x:f>SUBTOTAL(103,N274)</x:f>
        <x:v>1</x:v>
      </x:c>
    </x:row>
    <x:row r="275" ht="42" customHeight="1">
      <x:c r="A275" s="28" t="b">
        <x:v>0</x:v>
      </x:c>
      <x:c r="B275" s="2" t="str">
        <x:v>Cycle 2</x:v>
      </x:c>
      <x:c r="C275" s="2" t="str">
        <x:v>Phase 2</x:v>
      </x:c>
      <x:c r="D275" s="2" t="str">
        <x:v>FCM</x:v>
      </x:c>
      <x:c r="E275" s="56" t="str">
        <x:v>RA.FC.2.4</x:v>
      </x:c>
      <x:c r="F275" s="14" t="str">
        <x:v>Establish and maintain a recurring meeting with D&amp;I to discuss Cycle progress</x:v>
      </x:c>
      <x:c r="G275" s="5"/>
      <x:c r="H275" s="11"/>
      <x:c r="I275" s="11" t="n">
        <x:f>'Cycles &amp; Guide'!$D$11</x:f>
        <x:v>46203</x:v>
      </x:c>
      <x:c r="J275" s="11"/>
      <x:c r="K275" s="29"/>
      <x:c r="L275" s="2" t="str">
        <x:f>IF(O275=1,"Complete",IF(A275,"Checklist open",IF(H275&lt;&gt;"","In progress","Not started")))</x:f>
        <x:v>Not started</x:v>
      </x:c>
      <x:c r="M275" s="2" t="str">
        <x:v>Task</x:v>
      </x:c>
      <x:c r="N275" s="2" t="str">
        <x:v>RA.FC.2.4.2026.CY2</x:v>
      </x:c>
      <x:c r="O275" s="2" t="n">
        <x:f>R275</x:f>
        <x:v>0</x:v>
      </x:c>
      <x:c r="P275" s="2"/>
      <x:c r="Q275" s="2" t="n">
        <x:v>1</x:v>
      </x:c>
      <x:c r="R275" s="2" t="n">
        <x:f>IF(A275,1,0)</x:f>
        <x:v>0</x:v>
      </x:c>
      <x:c r="S275" s="2" t="n">
        <x:f>SUBTOTAL(103,N275)</x:f>
        <x:v>1</x:v>
      </x:c>
    </x:row>
    <x:row r="276" ht="42" customHeight="1">
      <x:c r="A276" s="28" t="b">
        <x:v>0</x:v>
      </x:c>
      <x:c r="B276" s="2" t="str">
        <x:v>Cycle 2</x:v>
      </x:c>
      <x:c r="C276" s="2" t="str">
        <x:v>Phase 2</x:v>
      </x:c>
      <x:c r="D276" s="2" t="str">
        <x:v>FCM</x:v>
      </x:c>
      <x:c r="E276" s="56" t="str">
        <x:v>RA.FC.2.5</x:v>
      </x:c>
      <x:c r="F276" s="14" t="str">
        <x:v>Perform data testing and sampling</x:v>
      </x:c>
      <x:c r="G276" s="5"/>
      <x:c r="H276" s="11"/>
      <x:c r="I276" s="11" t="n">
        <x:f>'Cycles &amp; Guide'!$D$11</x:f>
        <x:v>46203</x:v>
      </x:c>
      <x:c r="J276" s="11"/>
      <x:c r="K276" s="29"/>
      <x:c r="L276" s="2" t="str">
        <x:f>IF(O276=1,"Complete",IF(A276,"Checklist open",IF(H276&lt;&gt;"","In progress","Not started")))</x:f>
        <x:v>Not started</x:v>
      </x:c>
      <x:c r="M276" s="2" t="str">
        <x:v>Task</x:v>
      </x:c>
      <x:c r="N276" s="2" t="str">
        <x:v>RA.FC.2.5.2026.CY2</x:v>
      </x:c>
      <x:c r="O276" s="2" t="n">
        <x:f>R276</x:f>
        <x:v>0</x:v>
      </x:c>
      <x:c r="P276" s="2"/>
      <x:c r="Q276" s="2" t="n">
        <x:v>1</x:v>
      </x:c>
      <x:c r="R276" s="2" t="n">
        <x:f>IF(A276,1,0)</x:f>
        <x:v>0</x:v>
      </x:c>
      <x:c r="S276" s="2" t="n">
        <x:f>SUBTOTAL(103,N276)</x:f>
        <x:v>1</x:v>
      </x:c>
    </x:row>
    <x:row r="277" ht="42" customHeight="1">
      <x:c r="A277" s="28" t="b">
        <x:v>0</x:v>
      </x:c>
      <x:c r="B277" s="2" t="str">
        <x:v>Cycle 2</x:v>
      </x:c>
      <x:c r="C277" s="2" t="str">
        <x:v>Phase 2</x:v>
      </x:c>
      <x:c r="D277" s="2" t="str">
        <x:v>FCM</x:v>
      </x:c>
      <x:c r="E277" s="56" t="str">
        <x:v>RA.FC.2.6</x:v>
      </x:c>
      <x:c r="F277" s="14" t="str">
        <x:v>Complete Positive Testing</x:v>
      </x:c>
      <x:c r="G277" s="5"/>
      <x:c r="H277" s="11"/>
      <x:c r="I277" s="11" t="n">
        <x:f>'Cycles &amp; Guide'!$D$11</x:f>
        <x:v>46203</x:v>
      </x:c>
      <x:c r="J277" s="11"/>
      <x:c r="K277" s="29"/>
      <x:c r="L277" s="2" t="str">
        <x:f>IF(O277=1,"Complete",IF(A277,"Checklist open",IF(H277&lt;&gt;"","In progress","Not started")))</x:f>
        <x:v>Not started</x:v>
      </x:c>
      <x:c r="M277" s="2" t="str">
        <x:v>Task</x:v>
      </x:c>
      <x:c r="N277" s="2" t="str">
        <x:v>RA.FC.2.6.2026.CY2</x:v>
      </x:c>
      <x:c r="O277" s="2" t="n">
        <x:f>R277</x:f>
        <x:v>0</x:v>
      </x:c>
      <x:c r="P277" s="2"/>
      <x:c r="Q277" s="2" t="n">
        <x:v>1</x:v>
      </x:c>
      <x:c r="R277" s="2" t="n">
        <x:f>IF(A277,1,0)</x:f>
        <x:v>0</x:v>
      </x:c>
      <x:c r="S277" s="2" t="n">
        <x:f>SUBTOTAL(103,N277)</x:f>
        <x:v>1</x:v>
      </x:c>
    </x:row>
    <x:row r="278" ht="42" customHeight="1">
      <x:c r="A278" s="28" t="b">
        <x:v>0</x:v>
      </x:c>
      <x:c r="B278" s="2" t="str">
        <x:v>Cycle 2</x:v>
      </x:c>
      <x:c r="C278" s="2" t="str">
        <x:v>Phase 2</x:v>
      </x:c>
      <x:c r="D278" s="2" t="str">
        <x:v>FCM</x:v>
      </x:c>
      <x:c r="E278" s="56" t="str">
        <x:v>RA.FC.2.7</x:v>
      </x:c>
      <x:c r="F278" s="14" t="str">
        <x:v>Complete Negative Testing</x:v>
      </x:c>
      <x:c r="G278" s="5"/>
      <x:c r="H278" s="11"/>
      <x:c r="I278" s="11" t="n">
        <x:f>'Cycles &amp; Guide'!$D$11</x:f>
        <x:v>46203</x:v>
      </x:c>
      <x:c r="J278" s="11"/>
      <x:c r="K278" s="29"/>
      <x:c r="L278" s="2" t="str">
        <x:f>IF(O278=1,"Complete",IF(A278,"Checklist open",IF(H278&lt;&gt;"","In progress","Not started")))</x:f>
        <x:v>Not started</x:v>
      </x:c>
      <x:c r="M278" s="2" t="str">
        <x:v>Task</x:v>
      </x:c>
      <x:c r="N278" s="2" t="str">
        <x:v>RA.FC.2.7.2026.CY2</x:v>
      </x:c>
      <x:c r="O278" s="2" t="n">
        <x:f>R278</x:f>
        <x:v>0</x:v>
      </x:c>
      <x:c r="P278" s="2"/>
      <x:c r="Q278" s="2" t="n">
        <x:v>1</x:v>
      </x:c>
      <x:c r="R278" s="2" t="n">
        <x:f>IF(A278,1,0)</x:f>
        <x:v>0</x:v>
      </x:c>
      <x:c r="S278" s="2" t="n">
        <x:f>SUBTOTAL(103,N278)</x:f>
        <x:v>1</x:v>
      </x:c>
    </x:row>
    <x:row r="279" ht="42" customHeight="1">
      <x:c r="A279" s="28" t="b">
        <x:v>0</x:v>
      </x:c>
      <x:c r="B279" s="2" t="str">
        <x:v>Cycle 2</x:v>
      </x:c>
      <x:c r="C279" s="2" t="str">
        <x:v>Phase 2</x:v>
      </x:c>
      <x:c r="D279" s="2" t="str">
        <x:v>FCM</x:v>
      </x:c>
      <x:c r="E279" s="56" t="str">
        <x:v>RA.FC.2.8</x:v>
      </x:c>
      <x:c r="F279" s="14" t="str">
        <x:v>Request additional data (as needed)</x:v>
      </x:c>
      <x:c r="G279" s="5"/>
      <x:c r="H279" s="11"/>
      <x:c r="I279" s="11" t="n">
        <x:f>'Cycles &amp; Guide'!$D$11</x:f>
        <x:v>46203</x:v>
      </x:c>
      <x:c r="J279" s="11"/>
      <x:c r="K279" s="29"/>
      <x:c r="L279" s="2" t="str">
        <x:f>IF(O279=1,"Complete",IF(A279,"Checklist open",IF(H279&lt;&gt;"","In progress","Not started")))</x:f>
        <x:v>Not started</x:v>
      </x:c>
      <x:c r="M279" s="2" t="str">
        <x:v>Task</x:v>
      </x:c>
      <x:c r="N279" s="2" t="str">
        <x:v>RA.FC.2.8.2026.CY2</x:v>
      </x:c>
      <x:c r="O279" s="2" t="n">
        <x:f>R279</x:f>
        <x:v>0</x:v>
      </x:c>
      <x:c r="P279" s="2"/>
      <x:c r="Q279" s="2" t="n">
        <x:v>1</x:v>
      </x:c>
      <x:c r="R279" s="2" t="n">
        <x:f>IF(A279,1,0)</x:f>
        <x:v>0</x:v>
      </x:c>
      <x:c r="S279" s="2" t="n">
        <x:f>SUBTOTAL(103,N279)</x:f>
        <x:v>1</x:v>
      </x:c>
    </x:row>
    <x:row r="280" ht="42" customHeight="1">
      <x:c r="A280" s="28" t="b">
        <x:v>0</x:v>
      </x:c>
      <x:c r="B280" s="2" t="str">
        <x:v>Cycle 2</x:v>
      </x:c>
      <x:c r="C280" s="2" t="str">
        <x:v>Phase 2</x:v>
      </x:c>
      <x:c r="D280" s="2" t="str">
        <x:v>FCM</x:v>
      </x:c>
      <x:c r="E280" s="56" t="str">
        <x:v>RA.FC.2.9</x:v>
      </x:c>
      <x:c r="F280" s="14" t="str">
        <x:v>Validate or disprove initial hypothesis assumptions</x:v>
      </x:c>
      <x:c r="G280" s="5"/>
      <x:c r="H280" s="11"/>
      <x:c r="I280" s="11" t="n">
        <x:f>'Cycles &amp; Guide'!$D$11</x:f>
        <x:v>46203</x:v>
      </x:c>
      <x:c r="J280" s="11"/>
      <x:c r="K280" s="29"/>
      <x:c r="L280" s="2" t="str">
        <x:f>IF(O280=1,"Complete",IF(A280,"Checklist open",IF(H280&lt;&gt;"","In progress","Not started")))</x:f>
        <x:v>Not started</x:v>
      </x:c>
      <x:c r="M280" s="2" t="str">
        <x:v>Task</x:v>
      </x:c>
      <x:c r="N280" s="2" t="str">
        <x:v>RA.FC.2.9.2026.CY2</x:v>
      </x:c>
      <x:c r="O280" s="2" t="n">
        <x:f>R280</x:f>
        <x:v>0</x:v>
      </x:c>
      <x:c r="P280" s="2"/>
      <x:c r="Q280" s="2" t="n">
        <x:v>1</x:v>
      </x:c>
      <x:c r="R280" s="2" t="n">
        <x:f>IF(A280,1,0)</x:f>
        <x:v>0</x:v>
      </x:c>
      <x:c r="S280" s="2" t="n">
        <x:f>SUBTOTAL(103,N280)</x:f>
        <x:v>1</x:v>
      </x:c>
    </x:row>
    <x:row r="281" ht="42" customHeight="1">
      <x:c r="A281" s="28" t="b">
        <x:v>0</x:v>
      </x:c>
      <x:c r="B281" s="2" t="str">
        <x:v>Cycle 2</x:v>
      </x:c>
      <x:c r="C281" s="2" t="str">
        <x:v>Phase 2</x:v>
      </x:c>
      <x:c r="D281" s="2" t="str">
        <x:v>FCM</x:v>
      </x:c>
      <x:c r="E281" s="56" t="str">
        <x:v>RA.FC.2.10</x:v>
      </x:c>
      <x:c r="F281" s="14" t="str">
        <x:v>Identify and confirm root cause</x:v>
      </x:c>
      <x:c r="G281" s="5"/>
      <x:c r="H281" s="11"/>
      <x:c r="I281" s="11" t="n">
        <x:f>'Cycles &amp; Guide'!$D$11</x:f>
        <x:v>46203</x:v>
      </x:c>
      <x:c r="J281" s="11"/>
      <x:c r="K281" s="29"/>
      <x:c r="L281" s="2" t="str">
        <x:f>IF(O281=1,"Complete",IF(A281,"Checklist open",IF(H281&lt;&gt;"","In progress","Not started")))</x:f>
        <x:v>Not started</x:v>
      </x:c>
      <x:c r="M281" s="2" t="str">
        <x:v>Task</x:v>
      </x:c>
      <x:c r="N281" s="2" t="str">
        <x:v>RA.FC.2.10.2026.CY2</x:v>
      </x:c>
      <x:c r="O281" s="2" t="n">
        <x:f>R281</x:f>
        <x:v>0</x:v>
      </x:c>
      <x:c r="P281" s="2"/>
      <x:c r="Q281" s="2" t="n">
        <x:v>1</x:v>
      </x:c>
      <x:c r="R281" s="2" t="n">
        <x:f>IF(A281,1,0)</x:f>
        <x:v>0</x:v>
      </x:c>
      <x:c r="S281" s="2" t="n">
        <x:f>SUBTOTAL(103,N281)</x:f>
        <x:v>1</x:v>
      </x:c>
    </x:row>
    <x:row r="282" ht="42" customHeight="1">
      <x:c r="A282" s="28" t="b">
        <x:v>0</x:v>
      </x:c>
      <x:c r="B282" s="2" t="str">
        <x:v>Cycle 2</x:v>
      </x:c>
      <x:c r="C282" s="2" t="str">
        <x:v>Phase 3</x:v>
      </x:c>
      <x:c r="D282" s="2" t="str">
        <x:v>FCM</x:v>
      </x:c>
      <x:c r="E282" s="56" t="str">
        <x:v>RA.FC.3.1</x:v>
      </x:c>
      <x:c r="F282" s="14" t="str">
        <x:v>Finalize results and supporting documentation</x:v>
      </x:c>
      <x:c r="G282" s="5"/>
      <x:c r="H282" s="11"/>
      <x:c r="I282" s="11" t="n">
        <x:f>'Cycles &amp; Guide'!$D$11</x:f>
        <x:v>46203</x:v>
      </x:c>
      <x:c r="J282" s="11"/>
      <x:c r="K282" s="29"/>
      <x:c r="L282" s="2" t="str">
        <x:f>IF(O282=1,"Complete",IF(A282,"Checklist open",IF(H282&lt;&gt;"","In progress","Not started")))</x:f>
        <x:v>Not started</x:v>
      </x:c>
      <x:c r="M282" s="2" t="str">
        <x:v>Task</x:v>
      </x:c>
      <x:c r="N282" s="2" t="str">
        <x:v>RA.FC.3.1.2026.CY2</x:v>
      </x:c>
      <x:c r="O282" s="2" t="n">
        <x:f>R282</x:f>
        <x:v>0</x:v>
      </x:c>
      <x:c r="P282" s="2"/>
      <x:c r="Q282" s="2" t="n">
        <x:v>1</x:v>
      </x:c>
      <x:c r="R282" s="2" t="n">
        <x:f>IF(A282,1,0)</x:f>
        <x:v>0</x:v>
      </x:c>
      <x:c r="S282" s="2" t="n">
        <x:f>SUBTOTAL(103,N282)</x:f>
        <x:v>1</x:v>
      </x:c>
    </x:row>
    <x:row r="283" ht="42" customHeight="1">
      <x:c r="A283" s="28" t="b">
        <x:v>0</x:v>
      </x:c>
      <x:c r="B283" s="2" t="str">
        <x:v>Cycle 2</x:v>
      </x:c>
      <x:c r="C283" s="2" t="str">
        <x:v>Phase 3</x:v>
      </x:c>
      <x:c r="D283" s="2" t="str">
        <x:v>FCM</x:v>
      </x:c>
      <x:c r="E283" s="56" t="str">
        <x:v>RA.FC.3.2</x:v>
      </x:c>
      <x:c r="F283" s="14" t="str">
        <x:v>Maintain and update the evidence package prior to handoff to D&amp;I</x:v>
      </x:c>
      <x:c r="G283" s="5"/>
      <x:c r="H283" s="11"/>
      <x:c r="I283" s="11" t="n">
        <x:f>'Cycles &amp; Guide'!$D$11</x:f>
        <x:v>46203</x:v>
      </x:c>
      <x:c r="J283" s="11"/>
      <x:c r="K283" s="29"/>
      <x:c r="L283" s="2" t="str">
        <x:f>IF(O283=1,"Complete",IF(A283,"Checklist open",IF(H283&lt;&gt;"","In progress","Not started")))</x:f>
        <x:v>Not started</x:v>
      </x:c>
      <x:c r="M283" s="2" t="str">
        <x:v>Task</x:v>
      </x:c>
      <x:c r="N283" s="2" t="str">
        <x:v>RA.FC.3.2.2026.CY2</x:v>
      </x:c>
      <x:c r="O283" s="2" t="n">
        <x:f>R283</x:f>
        <x:v>0</x:v>
      </x:c>
      <x:c r="P283" s="2"/>
      <x:c r="Q283" s="2" t="n">
        <x:v>1</x:v>
      </x:c>
      <x:c r="R283" s="2" t="n">
        <x:f>IF(A283,1,0)</x:f>
        <x:v>0</x:v>
      </x:c>
      <x:c r="S283" s="2" t="n">
        <x:f>SUBTOTAL(103,N283)</x:f>
        <x:v>1</x:v>
      </x:c>
    </x:row>
    <x:row r="284" ht="42" customHeight="1">
      <x:c r="A284" s="28" t="b">
        <x:v>0</x:v>
      </x:c>
      <x:c r="B284" s="2" t="str">
        <x:v>Cycle 2</x:v>
      </x:c>
      <x:c r="C284" s="2" t="str">
        <x:v>Phase 3</x:v>
      </x:c>
      <x:c r="D284" s="2" t="str">
        <x:v>FCM</x:v>
      </x:c>
      <x:c r="E284" s="56" t="str">
        <x:v>RA.FC.3.3</x:v>
      </x:c>
      <x:c r="F284" s="14" t="str">
        <x:v>Address any outstanding questions or requests from D&amp;I</x:v>
      </x:c>
      <x:c r="G284" s="5"/>
      <x:c r="H284" s="11"/>
      <x:c r="I284" s="11" t="n">
        <x:f>'Cycles &amp; Guide'!$D$11</x:f>
        <x:v>46203</x:v>
      </x:c>
      <x:c r="J284" s="11"/>
      <x:c r="K284" s="29"/>
      <x:c r="L284" s="2" t="str">
        <x:f>IF(O284=1,"Complete",IF(A284,"Checklist open",IF(H284&lt;&gt;"","In progress","Not started")))</x:f>
        <x:v>Not started</x:v>
      </x:c>
      <x:c r="M284" s="2" t="str">
        <x:v>Task</x:v>
      </x:c>
      <x:c r="N284" s="2" t="str">
        <x:v>RA.FC.3.3.2026.CY2</x:v>
      </x:c>
      <x:c r="O284" s="2" t="n">
        <x:f>R284</x:f>
        <x:v>0</x:v>
      </x:c>
      <x:c r="P284" s="2"/>
      <x:c r="Q284" s="2" t="n">
        <x:v>1</x:v>
      </x:c>
      <x:c r="R284" s="2" t="n">
        <x:f>IF(A284,1,0)</x:f>
        <x:v>0</x:v>
      </x:c>
      <x:c r="S284" s="2" t="n">
        <x:f>SUBTOTAL(103,N284)</x:f>
        <x:v>1</x:v>
      </x:c>
    </x:row>
    <x:row r="285" ht="42" customHeight="1">
      <x:c r="A285" s="28" t="b">
        <x:v>0</x:v>
      </x:c>
      <x:c r="B285" s="2" t="str">
        <x:v>Cycle 2</x:v>
      </x:c>
      <x:c r="C285" s="2" t="str">
        <x:v>Phase 3</x:v>
      </x:c>
      <x:c r="D285" s="2" t="str">
        <x:v>FCM</x:v>
      </x:c>
      <x:c r="E285" s="56" t="str">
        <x:v>RA.FC.3.4</x:v>
      </x:c>
      <x:c r="F285" s="14" t="str">
        <x:v>Attend Forum meeting with D&amp;I to assist with answering stakeholder questions (as needed)</x:v>
      </x:c>
      <x:c r="G285" s="5"/>
      <x:c r="H285" s="11"/>
      <x:c r="I285" s="11" t="str">
        <x:f>IF(SUMIFS('Cycles &amp; Guide'!$D$23:$D$50,'Cycles &amp; Guide'!$B$23:$B$50,B285,'Cycles &amp; Guide'!$C$23:$C$50,D285)=0,"",SUMIFS('Cycles &amp; Guide'!$D$23:$D$50,'Cycles &amp; Guide'!$B$23:$B$50,B285,'Cycles &amp; Guide'!$C$23:$C$50,D285))</x:f>
      </x:c>
      <x:c r="J285" s="11"/>
      <x:c r="K285" s="29"/>
      <x:c r="L285" s="2" t="str">
        <x:f>IF(O285=1,"Complete",IF(A285,"Checklist open",IF(H285&lt;&gt;"","In progress","Not started")))</x:f>
        <x:v>Not started</x:v>
      </x:c>
      <x:c r="M285" s="2" t="str">
        <x:v>Task</x:v>
      </x:c>
      <x:c r="N285" s="2" t="str">
        <x:v>RA.FC.3.4.2026.CY2</x:v>
      </x:c>
      <x:c r="O285" s="2" t="n">
        <x:f>R285</x:f>
        <x:v>0</x:v>
      </x:c>
      <x:c r="P285" s="2"/>
      <x:c r="Q285" s="2" t="n">
        <x:v>1</x:v>
      </x:c>
      <x:c r="R285" s="2" t="n">
        <x:f>IF(A285,1,0)</x:f>
        <x:v>0</x:v>
      </x:c>
      <x:c r="S285" s="2" t="n">
        <x:f>SUBTOTAL(103,N285)</x:f>
        <x:v>1</x:v>
      </x:c>
    </x:row>
    <x:row r="286" ht="42" customHeight="1">
      <x:c r="A286" s="28" t="b">
        <x:v>0</x:v>
      </x:c>
      <x:c r="B286" s="2" t="str">
        <x:v>Cycle 2</x:v>
      </x:c>
      <x:c r="C286" s="2" t="str">
        <x:v>Phase 1</x:v>
      </x:c>
      <x:c r="D286" s="2" t="str">
        <x:v>PLL</x:v>
      </x:c>
      <x:c r="E286" s="56" t="str">
        <x:v>RA.PL.1.1</x:v>
      </x:c>
      <x:c r="F286" s="14" t="str">
        <x:v>Begin Research process 2 weeks prior to Cycle start</x:v>
      </x:c>
      <x:c r="G286" s="5"/>
      <x:c r="H286" s="11"/>
      <x:c r="I286" s="11" t="n">
        <x:f>'Cycles &amp; Guide'!$C$11-14</x:f>
        <x:v>46099</x:v>
      </x:c>
      <x:c r="J286" s="11"/>
      <x:c r="K286" s="29"/>
      <x:c r="L286" s="2" t="str">
        <x:f>IF(O286=1,"Complete",IF(A286,"Checklist open",IF(H286&lt;&gt;"","In progress","Not started")))</x:f>
        <x:v>Not started</x:v>
      </x:c>
      <x:c r="M286" s="2" t="str">
        <x:v>Task</x:v>
      </x:c>
      <x:c r="N286" s="2" t="str">
        <x:v>RA.PL.1.1.2026.CY2</x:v>
      </x:c>
      <x:c r="O286" s="2" t="n">
        <x:f>R286</x:f>
        <x:v>0</x:v>
      </x:c>
      <x:c r="P286" s="2"/>
      <x:c r="Q286" s="2" t="n">
        <x:v>1</x:v>
      </x:c>
      <x:c r="R286" s="2" t="n">
        <x:f>IF(A286,1,0)</x:f>
        <x:v>0</x:v>
      </x:c>
      <x:c r="S286" s="2" t="n">
        <x:f>SUBTOTAL(103,N286)</x:f>
        <x:v>1</x:v>
      </x:c>
    </x:row>
    <x:row r="287" ht="42" customHeight="1">
      <x:c r="A287" s="28" t="b">
        <x:v>0</x:v>
      </x:c>
      <x:c r="B287" s="2" t="str">
        <x:v>Cycle 2</x:v>
      </x:c>
      <x:c r="C287" s="2" t="str">
        <x:v>Phase 1</x:v>
      </x:c>
      <x:c r="D287" s="2" t="str">
        <x:v>PLL</x:v>
      </x:c>
      <x:c r="E287" s="56" t="str">
        <x:v>RA.PL.1.2</x:v>
      </x:c>
      <x:c r="F287" s="14" t="str">
        <x:v>Conduct initial assessment of each topic recommendation from SharePoint list</x:v>
      </x:c>
      <x:c r="G287" s="5"/>
      <x:c r="H287" s="11"/>
      <x:c r="I287" s="11" t="n">
        <x:f>'Cycles &amp; Guide'!$D$11</x:f>
        <x:v>46203</x:v>
      </x:c>
      <x:c r="J287" s="11"/>
      <x:c r="K287" s="29"/>
      <x:c r="L287" s="2" t="str">
        <x:f>IF(O287=1,"Complete",IF(A287,"Checklist open",IF(H287&lt;&gt;"","In progress","Not started")))</x:f>
        <x:v>Not started</x:v>
      </x:c>
      <x:c r="M287" s="2" t="str">
        <x:v>Task</x:v>
      </x:c>
      <x:c r="N287" s="2" t="str">
        <x:v>RA.PL.1.2.2026.CY2</x:v>
      </x:c>
      <x:c r="O287" s="2" t="n">
        <x:f>R287</x:f>
        <x:v>0</x:v>
      </x:c>
      <x:c r="P287" s="2"/>
      <x:c r="Q287" s="2" t="n">
        <x:v>1</x:v>
      </x:c>
      <x:c r="R287" s="2" t="n">
        <x:f>IF(A287,1,0)</x:f>
        <x:v>0</x:v>
      </x:c>
      <x:c r="S287" s="2" t="n">
        <x:f>SUBTOTAL(103,N287)</x:f>
        <x:v>1</x:v>
      </x:c>
    </x:row>
    <x:row r="288" ht="42" customHeight="1">
      <x:c r="A288" s="28" t="b">
        <x:v>0</x:v>
      </x:c>
      <x:c r="B288" s="2" t="str">
        <x:v>Cycle 2</x:v>
      </x:c>
      <x:c r="C288" s="2" t="str">
        <x:v>Phase 1</x:v>
      </x:c>
      <x:c r="D288" s="2" t="str">
        <x:v>PLL</x:v>
      </x:c>
      <x:c r="E288" s="56" t="str">
        <x:v>RA.PL.1.3</x:v>
      </x:c>
      <x:c r="F288" s="14" t="str">
        <x:v>Identify best topic for Cycle</x:v>
      </x:c>
      <x:c r="G288" s="5"/>
      <x:c r="H288" s="11"/>
      <x:c r="I288" s="11" t="n">
        <x:f>'Cycles &amp; Guide'!$D$11</x:f>
        <x:v>46203</x:v>
      </x:c>
      <x:c r="J288" s="11"/>
      <x:c r="K288" s="29"/>
      <x:c r="L288" s="2" t="str">
        <x:f>IF(O288=1,"Complete",IF(A288,"Checklist open",IF(H288&lt;&gt;"","In progress","Not started")))</x:f>
        <x:v>Not started</x:v>
      </x:c>
      <x:c r="M288" s="2" t="str">
        <x:v>Task</x:v>
      </x:c>
      <x:c r="N288" s="2" t="str">
        <x:v>RA.PL.1.3.2026.CY2</x:v>
      </x:c>
      <x:c r="O288" s="2" t="n">
        <x:f>R288</x:f>
        <x:v>0</x:v>
      </x:c>
      <x:c r="P288" s="2"/>
      <x:c r="Q288" s="2" t="n">
        <x:v>1</x:v>
      </x:c>
      <x:c r="R288" s="2" t="n">
        <x:f>IF(A288,1,0)</x:f>
        <x:v>0</x:v>
      </x:c>
      <x:c r="S288" s="2" t="n">
        <x:f>SUBTOTAL(103,N288)</x:f>
        <x:v>1</x:v>
      </x:c>
    </x:row>
    <x:row r="289" ht="42" customHeight="1">
      <x:c r="A289" s="28" t="b">
        <x:v>0</x:v>
      </x:c>
      <x:c r="B289" s="2" t="str">
        <x:v>Cycle 2</x:v>
      </x:c>
      <x:c r="C289" s="2" t="str">
        <x:v>Phase 1</x:v>
      </x:c>
      <x:c r="D289" s="2" t="str">
        <x:v>PLL</x:v>
      </x:c>
      <x:c r="E289" s="56" t="str">
        <x:v>RA.PL.1.4</x:v>
      </x:c>
      <x:c r="F289" s="14" t="str">
        <x:v>Identify backup topic for Cycle</x:v>
      </x:c>
      <x:c r="G289" s="5"/>
      <x:c r="H289" s="11"/>
      <x:c r="I289" s="11" t="n">
        <x:f>'Cycles &amp; Guide'!$D$11</x:f>
        <x:v>46203</x:v>
      </x:c>
      <x:c r="J289" s="11"/>
      <x:c r="K289" s="29"/>
      <x:c r="L289" s="2" t="str">
        <x:f>IF(O289=1,"Complete",IF(A289,"Checklist open",IF(H289&lt;&gt;"","In progress","Not started")))</x:f>
        <x:v>Not started</x:v>
      </x:c>
      <x:c r="M289" s="2" t="str">
        <x:v>Task</x:v>
      </x:c>
      <x:c r="N289" s="2" t="str">
        <x:v>RA.PL.1.4.2026.CY2</x:v>
      </x:c>
      <x:c r="O289" s="2" t="n">
        <x:f>R289</x:f>
        <x:v>0</x:v>
      </x:c>
      <x:c r="P289" s="2"/>
      <x:c r="Q289" s="2" t="n">
        <x:v>1</x:v>
      </x:c>
      <x:c r="R289" s="2" t="n">
        <x:f>IF(A289,1,0)</x:f>
        <x:v>0</x:v>
      </x:c>
      <x:c r="S289" s="2" t="n">
        <x:f>SUBTOTAL(103,N289)</x:f>
        <x:v>1</x:v>
      </x:c>
    </x:row>
    <x:row r="290" ht="42" customHeight="1">
      <x:c r="A290" s="28" t="b">
        <x:v>0</x:v>
      </x:c>
      <x:c r="B290" s="2" t="str">
        <x:v>Cycle 2</x:v>
      </x:c>
      <x:c r="C290" s="2" t="str">
        <x:v>Phase 1</x:v>
      </x:c>
      <x:c r="D290" s="2" t="str">
        <x:v>PLL</x:v>
      </x:c>
      <x:c r="E290" s="56" t="str">
        <x:v>RA.PL.1.5</x:v>
      </x:c>
      <x:c r="F290" s="14" t="str">
        <x:v>Schedule topic approval meeting with D&amp;I and management</x:v>
      </x:c>
      <x:c r="G290" s="5"/>
      <x:c r="H290" s="11"/>
      <x:c r="I290" s="11" t="n">
        <x:f>'Cycles &amp; Guide'!$D$11</x:f>
        <x:v>46203</x:v>
      </x:c>
      <x:c r="J290" s="11"/>
      <x:c r="K290" s="29"/>
      <x:c r="L290" s="2" t="str">
        <x:f>IF(O290=1,"Complete",IF(A290,"Checklist open",IF(H290&lt;&gt;"","In progress","Not started")))</x:f>
        <x:v>Not started</x:v>
      </x:c>
      <x:c r="M290" s="2" t="str">
        <x:v>Task</x:v>
      </x:c>
      <x:c r="N290" s="2" t="str">
        <x:v>RA.PL.1.5.2026.CY2</x:v>
      </x:c>
      <x:c r="O290" s="2" t="n">
        <x:f>R290</x:f>
        <x:v>0</x:v>
      </x:c>
      <x:c r="P290" s="2"/>
      <x:c r="Q290" s="2" t="n">
        <x:v>1</x:v>
      </x:c>
      <x:c r="R290" s="2" t="n">
        <x:f>IF(A290,1,0)</x:f>
        <x:v>0</x:v>
      </x:c>
      <x:c r="S290" s="2" t="n">
        <x:f>SUBTOTAL(103,N290)</x:f>
        <x:v>1</x:v>
      </x:c>
    </x:row>
    <x:row r="291" ht="42" customHeight="1">
      <x:c r="A291" s="28" t="b">
        <x:v>0</x:v>
      </x:c>
      <x:c r="B291" s="2" t="str">
        <x:v>Cycle 2</x:v>
      </x:c>
      <x:c r="C291" s="2" t="str">
        <x:v>Phase 1</x:v>
      </x:c>
      <x:c r="D291" s="2" t="str">
        <x:v>PLL</x:v>
      </x:c>
      <x:c r="E291" s="56" t="str">
        <x:v>RA.PL.1.6</x:v>
      </x:c>
      <x:c r="F291" s="14" t="str">
        <x:v>Present recommended topic to D&amp;I and management for approval</x:v>
      </x:c>
      <x:c r="G291" s="5"/>
      <x:c r="H291" s="11"/>
      <x:c r="I291" s="11" t="n">
        <x:f>'Cycles &amp; Guide'!$D$11</x:f>
        <x:v>46203</x:v>
      </x:c>
      <x:c r="J291" s="11"/>
      <x:c r="K291" s="29"/>
      <x:c r="L291" s="2" t="str">
        <x:f>IF(O291=1,"Complete",IF(A291,"Checklist open",IF(H291&lt;&gt;"","In progress","Not started")))</x:f>
        <x:v>Not started</x:v>
      </x:c>
      <x:c r="M291" s="2" t="str">
        <x:v>Task</x:v>
      </x:c>
      <x:c r="N291" s="2" t="str">
        <x:v>RA.PL.1.6.2026.CY2</x:v>
      </x:c>
      <x:c r="O291" s="2" t="n">
        <x:f>R291</x:f>
        <x:v>0</x:v>
      </x:c>
      <x:c r="P291" s="2"/>
      <x:c r="Q291" s="2" t="n">
        <x:v>1</x:v>
      </x:c>
      <x:c r="R291" s="2" t="n">
        <x:f>IF(A291,1,0)</x:f>
        <x:v>0</x:v>
      </x:c>
      <x:c r="S291" s="2" t="n">
        <x:f>SUBTOTAL(103,N291)</x:f>
        <x:v>1</x:v>
      </x:c>
    </x:row>
    <x:row r="292" ht="42" customHeight="1">
      <x:c r="A292" s="28" t="b">
        <x:v>0</x:v>
      </x:c>
      <x:c r="B292" s="2" t="str">
        <x:v>Cycle 2</x:v>
      </x:c>
      <x:c r="C292" s="2" t="str">
        <x:v>Phase 1</x:v>
      </x:c>
      <x:c r="D292" s="2" t="str">
        <x:v>PLL</x:v>
      </x:c>
      <x:c r="E292" s="56" t="str">
        <x:v>RA.PL.1.7</x:v>
      </x:c>
      <x:c r="F292" s="14" t="str">
        <x:v>Obtain formal topic selection approval from management via SharePoint</x:v>
      </x:c>
      <x:c r="G292" s="5"/>
      <x:c r="H292" s="11"/>
      <x:c r="I292" s="11" t="n">
        <x:f>'Cycles &amp; Guide'!$D$11</x:f>
        <x:v>46203</x:v>
      </x:c>
      <x:c r="J292" s="11"/>
      <x:c r="K292" s="29"/>
      <x:c r="L292" s="2" t="str">
        <x:f>IF(O292=1,"Complete",IF(A292,"Checklist open",IF(H292&lt;&gt;"","In progress","Not started")))</x:f>
        <x:v>Not started</x:v>
      </x:c>
      <x:c r="M292" s="2" t="str">
        <x:v>Task</x:v>
      </x:c>
      <x:c r="N292" s="2" t="str">
        <x:v>RA.PL.1.7.2026.CY2</x:v>
      </x:c>
      <x:c r="O292" s="2" t="n">
        <x:f>R292</x:f>
        <x:v>0</x:v>
      </x:c>
      <x:c r="P292" s="2"/>
      <x:c r="Q292" s="2" t="n">
        <x:v>1</x:v>
      </x:c>
      <x:c r="R292" s="2" t="n">
        <x:f>IF(A292,1,0)</x:f>
        <x:v>0</x:v>
      </x:c>
      <x:c r="S292" s="2" t="n">
        <x:f>SUBTOTAL(103,N292)</x:f>
        <x:v>1</x:v>
      </x:c>
    </x:row>
    <x:row r="293" ht="42" customHeight="1">
      <x:c r="A293" s="28" t="b">
        <x:v>0</x:v>
      </x:c>
      <x:c r="B293" s="2" t="str">
        <x:v>Cycle 2</x:v>
      </x:c>
      <x:c r="C293" s="2" t="str">
        <x:v>Phase 1</x:v>
      </x:c>
      <x:c r="D293" s="2" t="str">
        <x:v>PLL</x:v>
      </x:c>
      <x:c r="E293" s="56" t="str">
        <x:v>RA.PL.1.8</x:v>
      </x:c>
      <x:c r="F293" s="14" t="str">
        <x:v>Socialize topic selection with product owners and subject matter experts (if known)</x:v>
      </x:c>
      <x:c r="G293" s="5"/>
      <x:c r="H293" s="11"/>
      <x:c r="I293" s="11" t="n">
        <x:f>'Cycles &amp; Guide'!$D$11</x:f>
        <x:v>46203</x:v>
      </x:c>
      <x:c r="J293" s="11"/>
      <x:c r="K293" s="29"/>
      <x:c r="L293" s="2" t="str">
        <x:f>IF(O293=1,"Complete",IF(A293,"Checklist open",IF(H293&lt;&gt;"","In progress","Not started")))</x:f>
        <x:v>Not started</x:v>
      </x:c>
      <x:c r="M293" s="2" t="str">
        <x:v>Task</x:v>
      </x:c>
      <x:c r="N293" s="2" t="str">
        <x:v>RA.PL.1.8.2026.CY2</x:v>
      </x:c>
      <x:c r="O293" s="2" t="n">
        <x:f>R293</x:f>
        <x:v>0</x:v>
      </x:c>
      <x:c r="P293" s="2"/>
      <x:c r="Q293" s="2" t="n">
        <x:v>1</x:v>
      </x:c>
      <x:c r="R293" s="2" t="n">
        <x:f>IF(A293,1,0)</x:f>
        <x:v>0</x:v>
      </x:c>
      <x:c r="S293" s="2" t="n">
        <x:f>SUBTOTAL(103,N293)</x:f>
        <x:v>1</x:v>
      </x:c>
    </x:row>
    <x:row r="294" ht="42" customHeight="1">
      <x:c r="A294" s="28" t="b">
        <x:v>0</x:v>
      </x:c>
      <x:c r="B294" s="2" t="str">
        <x:v>Cycle 2</x:v>
      </x:c>
      <x:c r="C294" s="2" t="str">
        <x:v>Phase 1</x:v>
      </x:c>
      <x:c r="D294" s="2" t="str">
        <x:v>PLL</x:v>
      </x:c>
      <x:c r="E294" s="56" t="str">
        <x:v>RA.PL.1.9</x:v>
      </x:c>
      <x:c r="F294" s="14" t="str">
        <x:v>Assign topic researchers</x:v>
      </x:c>
      <x:c r="G294" s="5"/>
      <x:c r="H294" s="11"/>
      <x:c r="I294" s="11" t="n">
        <x:f>'Cycles &amp; Guide'!$D$11</x:f>
        <x:v>46203</x:v>
      </x:c>
      <x:c r="J294" s="11"/>
      <x:c r="K294" s="29"/>
      <x:c r="L294" s="2" t="str">
        <x:f>IF(O294=1,"Complete",IF(A294,"Checklist open",IF(H294&lt;&gt;"","In progress","Not started")))</x:f>
        <x:v>Not started</x:v>
      </x:c>
      <x:c r="M294" s="2" t="str">
        <x:v>Task</x:v>
      </x:c>
      <x:c r="N294" s="2" t="str">
        <x:v>RA.PL.1.9.2026.CY2</x:v>
      </x:c>
      <x:c r="O294" s="2" t="n">
        <x:f>R294</x:f>
        <x:v>0</x:v>
      </x:c>
      <x:c r="P294" s="2"/>
      <x:c r="Q294" s="2" t="n">
        <x:v>1</x:v>
      </x:c>
      <x:c r="R294" s="2" t="n">
        <x:f>IF(A294,1,0)</x:f>
        <x:v>0</x:v>
      </x:c>
      <x:c r="S294" s="2" t="n">
        <x:f>SUBTOTAL(103,N294)</x:f>
        <x:v>1</x:v>
      </x:c>
    </x:row>
    <x:row r="295" ht="42" customHeight="1">
      <x:c r="A295" s="28" t="b">
        <x:v>0</x:v>
      </x:c>
      <x:c r="B295" s="2" t="str">
        <x:v>Cycle 2</x:v>
      </x:c>
      <x:c r="C295" s="2" t="str">
        <x:v>Phase 2</x:v>
      </x:c>
      <x:c r="D295" s="2" t="str">
        <x:v>PLL</x:v>
      </x:c>
      <x:c r="E295" s="56" t="str">
        <x:v>RA.PL.2.1</x:v>
      </x:c>
      <x:c r="F295" s="14" t="str">
        <x:v>Review data sources</x:v>
      </x:c>
      <x:c r="G295" s="5"/>
      <x:c r="H295" s="11"/>
      <x:c r="I295" s="11" t="n">
        <x:f>'Cycles &amp; Guide'!$D$11</x:f>
        <x:v>46203</x:v>
      </x:c>
      <x:c r="J295" s="11"/>
      <x:c r="K295" s="29"/>
      <x:c r="L295" s="2" t="str">
        <x:f>IF(O295=1,"Complete",IF(A295,"Checklist open",IF(H295&lt;&gt;"","In progress","Not started")))</x:f>
        <x:v>Not started</x:v>
      </x:c>
      <x:c r="M295" s="2" t="str">
        <x:v>Task</x:v>
      </x:c>
      <x:c r="N295" s="2" t="str">
        <x:v>RA.PL.2.1.2026.CY2</x:v>
      </x:c>
      <x:c r="O295" s="2" t="n">
        <x:f>R295</x:f>
        <x:v>0</x:v>
      </x:c>
      <x:c r="P295" s="2"/>
      <x:c r="Q295" s="2" t="n">
        <x:v>1</x:v>
      </x:c>
      <x:c r="R295" s="2" t="n">
        <x:f>IF(A295,1,0)</x:f>
        <x:v>0</x:v>
      </x:c>
      <x:c r="S295" s="2" t="n">
        <x:f>SUBTOTAL(103,N295)</x:f>
        <x:v>1</x:v>
      </x:c>
    </x:row>
    <x:row r="296" ht="42" customHeight="1">
      <x:c r="A296" s="28" t="b">
        <x:v>0</x:v>
      </x:c>
      <x:c r="B296" s="2" t="str">
        <x:v>Cycle 2</x:v>
      </x:c>
      <x:c r="C296" s="2" t="str">
        <x:v>Phase 2</x:v>
      </x:c>
      <x:c r="D296" s="2" t="str">
        <x:v>PLL</x:v>
      </x:c>
      <x:c r="E296" s="56" t="str">
        <x:v>RA.PL.2.2</x:v>
      </x:c>
      <x:c r="F296" s="14" t="str">
        <x:v>Review relevant policies and procedures</x:v>
      </x:c>
      <x:c r="G296" s="5"/>
      <x:c r="H296" s="11"/>
      <x:c r="I296" s="11" t="n">
        <x:f>'Cycles &amp; Guide'!$D$11</x:f>
        <x:v>46203</x:v>
      </x:c>
      <x:c r="J296" s="11"/>
      <x:c r="K296" s="29"/>
      <x:c r="L296" s="2" t="str">
        <x:f>IF(O296=1,"Complete",IF(A296,"Checklist open",IF(H296&lt;&gt;"","In progress","Not started")))</x:f>
        <x:v>Not started</x:v>
      </x:c>
      <x:c r="M296" s="2" t="str">
        <x:v>Task</x:v>
      </x:c>
      <x:c r="N296" s="2" t="str">
        <x:v>RA.PL.2.2.2026.CY2</x:v>
      </x:c>
      <x:c r="O296" s="2" t="n">
        <x:f>R296</x:f>
        <x:v>0</x:v>
      </x:c>
      <x:c r="P296" s="2"/>
      <x:c r="Q296" s="2" t="n">
        <x:v>1</x:v>
      </x:c>
      <x:c r="R296" s="2" t="n">
        <x:f>IF(A296,1,0)</x:f>
        <x:v>0</x:v>
      </x:c>
      <x:c r="S296" s="2" t="n">
        <x:f>SUBTOTAL(103,N296)</x:f>
        <x:v>1</x:v>
      </x:c>
    </x:row>
    <x:row r="297" ht="42" customHeight="1">
      <x:c r="A297" s="28" t="b">
        <x:v>0</x:v>
      </x:c>
      <x:c r="B297" s="2" t="str">
        <x:v>Cycle 2</x:v>
      </x:c>
      <x:c r="C297" s="2" t="str">
        <x:v>Phase 2</x:v>
      </x:c>
      <x:c r="D297" s="2" t="str">
        <x:v>PLL</x:v>
      </x:c>
      <x:c r="E297" s="56" t="str">
        <x:v>RA.PL.2.3</x:v>
      </x:c>
      <x:c r="F297" s="14" t="str">
        <x:v>Meet with SMEs to gain business insight and clarify questions</x:v>
      </x:c>
      <x:c r="G297" s="5"/>
      <x:c r="H297" s="11"/>
      <x:c r="I297" s="11" t="n">
        <x:f>'Cycles &amp; Guide'!$D$11</x:f>
        <x:v>46203</x:v>
      </x:c>
      <x:c r="J297" s="11"/>
      <x:c r="K297" s="29"/>
      <x:c r="L297" s="2" t="str">
        <x:f>IF(O297=1,"Complete",IF(A297,"Checklist open",IF(H297&lt;&gt;"","In progress","Not started")))</x:f>
        <x:v>Not started</x:v>
      </x:c>
      <x:c r="M297" s="2" t="str">
        <x:v>Task</x:v>
      </x:c>
      <x:c r="N297" s="2" t="str">
        <x:v>RA.PL.2.3.2026.CY2</x:v>
      </x:c>
      <x:c r="O297" s="2" t="n">
        <x:f>R297</x:f>
        <x:v>0</x:v>
      </x:c>
      <x:c r="P297" s="2"/>
      <x:c r="Q297" s="2" t="n">
        <x:v>1</x:v>
      </x:c>
      <x:c r="R297" s="2" t="n">
        <x:f>IF(A297,1,0)</x:f>
        <x:v>0</x:v>
      </x:c>
      <x:c r="S297" s="2" t="n">
        <x:f>SUBTOTAL(103,N297)</x:f>
        <x:v>1</x:v>
      </x:c>
    </x:row>
    <x:row r="298" ht="42" customHeight="1">
      <x:c r="A298" s="28" t="b">
        <x:v>0</x:v>
      </x:c>
      <x:c r="B298" s="2" t="str">
        <x:v>Cycle 2</x:v>
      </x:c>
      <x:c r="C298" s="2" t="str">
        <x:v>Phase 2</x:v>
      </x:c>
      <x:c r="D298" s="2" t="str">
        <x:v>PLL</x:v>
      </x:c>
      <x:c r="E298" s="56" t="str">
        <x:v>RA.PL.2.4</x:v>
      </x:c>
      <x:c r="F298" s="14" t="str">
        <x:v>Establish and maintain a recurring meeting with D&amp;I to discuss Cycle progress</x:v>
      </x:c>
      <x:c r="G298" s="5"/>
      <x:c r="H298" s="11"/>
      <x:c r="I298" s="11" t="n">
        <x:f>'Cycles &amp; Guide'!$D$11</x:f>
        <x:v>46203</x:v>
      </x:c>
      <x:c r="J298" s="11"/>
      <x:c r="K298" s="29"/>
      <x:c r="L298" s="2" t="str">
        <x:f>IF(O298=1,"Complete",IF(A298,"Checklist open",IF(H298&lt;&gt;"","In progress","Not started")))</x:f>
        <x:v>Not started</x:v>
      </x:c>
      <x:c r="M298" s="2" t="str">
        <x:v>Task</x:v>
      </x:c>
      <x:c r="N298" s="2" t="str">
        <x:v>RA.PL.2.4.2026.CY2</x:v>
      </x:c>
      <x:c r="O298" s="2" t="n">
        <x:f>R298</x:f>
        <x:v>0</x:v>
      </x:c>
      <x:c r="P298" s="2"/>
      <x:c r="Q298" s="2" t="n">
        <x:v>1</x:v>
      </x:c>
      <x:c r="R298" s="2" t="n">
        <x:f>IF(A298,1,0)</x:f>
        <x:v>0</x:v>
      </x:c>
      <x:c r="S298" s="2" t="n">
        <x:f>SUBTOTAL(103,N298)</x:f>
        <x:v>1</x:v>
      </x:c>
    </x:row>
    <x:row r="299" ht="42" customHeight="1">
      <x:c r="A299" s="28" t="b">
        <x:v>0</x:v>
      </x:c>
      <x:c r="B299" s="2" t="str">
        <x:v>Cycle 2</x:v>
      </x:c>
      <x:c r="C299" s="2" t="str">
        <x:v>Phase 2</x:v>
      </x:c>
      <x:c r="D299" s="2" t="str">
        <x:v>PLL</x:v>
      </x:c>
      <x:c r="E299" s="56" t="str">
        <x:v>RA.PL.2.5</x:v>
      </x:c>
      <x:c r="F299" s="14" t="str">
        <x:v>Perform data testing and sampling</x:v>
      </x:c>
      <x:c r="G299" s="5"/>
      <x:c r="H299" s="11"/>
      <x:c r="I299" s="11" t="n">
        <x:f>'Cycles &amp; Guide'!$D$11</x:f>
        <x:v>46203</x:v>
      </x:c>
      <x:c r="J299" s="11"/>
      <x:c r="K299" s="29"/>
      <x:c r="L299" s="2" t="str">
        <x:f>IF(O299=1,"Complete",IF(A299,"Checklist open",IF(H299&lt;&gt;"","In progress","Not started")))</x:f>
        <x:v>Not started</x:v>
      </x:c>
      <x:c r="M299" s="2" t="str">
        <x:v>Task</x:v>
      </x:c>
      <x:c r="N299" s="2" t="str">
        <x:v>RA.PL.2.5.2026.CY2</x:v>
      </x:c>
      <x:c r="O299" s="2" t="n">
        <x:f>R299</x:f>
        <x:v>0</x:v>
      </x:c>
      <x:c r="P299" s="2"/>
      <x:c r="Q299" s="2" t="n">
        <x:v>1</x:v>
      </x:c>
      <x:c r="R299" s="2" t="n">
        <x:f>IF(A299,1,0)</x:f>
        <x:v>0</x:v>
      </x:c>
      <x:c r="S299" s="2" t="n">
        <x:f>SUBTOTAL(103,N299)</x:f>
        <x:v>1</x:v>
      </x:c>
    </x:row>
    <x:row r="300" ht="42" customHeight="1">
      <x:c r="A300" s="28" t="b">
        <x:v>0</x:v>
      </x:c>
      <x:c r="B300" s="2" t="str">
        <x:v>Cycle 2</x:v>
      </x:c>
      <x:c r="C300" s="2" t="str">
        <x:v>Phase 2</x:v>
      </x:c>
      <x:c r="D300" s="2" t="str">
        <x:v>PLL</x:v>
      </x:c>
      <x:c r="E300" s="56" t="str">
        <x:v>RA.PL.2.6</x:v>
      </x:c>
      <x:c r="F300" s="14" t="str">
        <x:v>Complete Positive Testing</x:v>
      </x:c>
      <x:c r="G300" s="5"/>
      <x:c r="H300" s="11"/>
      <x:c r="I300" s="11" t="n">
        <x:f>'Cycles &amp; Guide'!$D$11</x:f>
        <x:v>46203</x:v>
      </x:c>
      <x:c r="J300" s="11"/>
      <x:c r="K300" s="29"/>
      <x:c r="L300" s="2" t="str">
        <x:f>IF(O300=1,"Complete",IF(A300,"Checklist open",IF(H300&lt;&gt;"","In progress","Not started")))</x:f>
        <x:v>Not started</x:v>
      </x:c>
      <x:c r="M300" s="2" t="str">
        <x:v>Task</x:v>
      </x:c>
      <x:c r="N300" s="2" t="str">
        <x:v>RA.PL.2.6.2026.CY2</x:v>
      </x:c>
      <x:c r="O300" s="2" t="n">
        <x:f>R300</x:f>
        <x:v>0</x:v>
      </x:c>
      <x:c r="P300" s="2"/>
      <x:c r="Q300" s="2" t="n">
        <x:v>1</x:v>
      </x:c>
      <x:c r="R300" s="2" t="n">
        <x:f>IF(A300,1,0)</x:f>
        <x:v>0</x:v>
      </x:c>
      <x:c r="S300" s="2" t="n">
        <x:f>SUBTOTAL(103,N300)</x:f>
        <x:v>1</x:v>
      </x:c>
    </x:row>
    <x:row r="301" ht="42" customHeight="1">
      <x:c r="A301" s="28" t="b">
        <x:v>0</x:v>
      </x:c>
      <x:c r="B301" s="2" t="str">
        <x:v>Cycle 2</x:v>
      </x:c>
      <x:c r="C301" s="2" t="str">
        <x:v>Phase 2</x:v>
      </x:c>
      <x:c r="D301" s="2" t="str">
        <x:v>PLL</x:v>
      </x:c>
      <x:c r="E301" s="56" t="str">
        <x:v>RA.PL.2.7</x:v>
      </x:c>
      <x:c r="F301" s="14" t="str">
        <x:v>Complete Negative Testing</x:v>
      </x:c>
      <x:c r="G301" s="5"/>
      <x:c r="H301" s="11"/>
      <x:c r="I301" s="11" t="n">
        <x:f>'Cycles &amp; Guide'!$D$11</x:f>
        <x:v>46203</x:v>
      </x:c>
      <x:c r="J301" s="11"/>
      <x:c r="K301" s="29"/>
      <x:c r="L301" s="2" t="str">
        <x:f>IF(O301=1,"Complete",IF(A301,"Checklist open",IF(H301&lt;&gt;"","In progress","Not started")))</x:f>
        <x:v>Not started</x:v>
      </x:c>
      <x:c r="M301" s="2" t="str">
        <x:v>Task</x:v>
      </x:c>
      <x:c r="N301" s="2" t="str">
        <x:v>RA.PL.2.7.2026.CY2</x:v>
      </x:c>
      <x:c r="O301" s="2" t="n">
        <x:f>R301</x:f>
        <x:v>0</x:v>
      </x:c>
      <x:c r="P301" s="2"/>
      <x:c r="Q301" s="2" t="n">
        <x:v>1</x:v>
      </x:c>
      <x:c r="R301" s="2" t="n">
        <x:f>IF(A301,1,0)</x:f>
        <x:v>0</x:v>
      </x:c>
      <x:c r="S301" s="2" t="n">
        <x:f>SUBTOTAL(103,N301)</x:f>
        <x:v>1</x:v>
      </x:c>
    </x:row>
    <x:row r="302" ht="42" customHeight="1">
      <x:c r="A302" s="28" t="b">
        <x:v>0</x:v>
      </x:c>
      <x:c r="B302" s="2" t="str">
        <x:v>Cycle 2</x:v>
      </x:c>
      <x:c r="C302" s="2" t="str">
        <x:v>Phase 2</x:v>
      </x:c>
      <x:c r="D302" s="2" t="str">
        <x:v>PLL</x:v>
      </x:c>
      <x:c r="E302" s="56" t="str">
        <x:v>RA.PL.2.8</x:v>
      </x:c>
      <x:c r="F302" s="14" t="str">
        <x:v>Request additional data (as needed)</x:v>
      </x:c>
      <x:c r="G302" s="5"/>
      <x:c r="H302" s="11"/>
      <x:c r="I302" s="11" t="n">
        <x:f>'Cycles &amp; Guide'!$D$11</x:f>
        <x:v>46203</x:v>
      </x:c>
      <x:c r="J302" s="11"/>
      <x:c r="K302" s="29"/>
      <x:c r="L302" s="2" t="str">
        <x:f>IF(O302=1,"Complete",IF(A302,"Checklist open",IF(H302&lt;&gt;"","In progress","Not started")))</x:f>
        <x:v>Not started</x:v>
      </x:c>
      <x:c r="M302" s="2" t="str">
        <x:v>Task</x:v>
      </x:c>
      <x:c r="N302" s="2" t="str">
        <x:v>RA.PL.2.8.2026.CY2</x:v>
      </x:c>
      <x:c r="O302" s="2" t="n">
        <x:f>R302</x:f>
        <x:v>0</x:v>
      </x:c>
      <x:c r="P302" s="2"/>
      <x:c r="Q302" s="2" t="n">
        <x:v>1</x:v>
      </x:c>
      <x:c r="R302" s="2" t="n">
        <x:f>IF(A302,1,0)</x:f>
        <x:v>0</x:v>
      </x:c>
      <x:c r="S302" s="2" t="n">
        <x:f>SUBTOTAL(103,N302)</x:f>
        <x:v>1</x:v>
      </x:c>
    </x:row>
    <x:row r="303" ht="42" customHeight="1">
      <x:c r="A303" s="28" t="b">
        <x:v>0</x:v>
      </x:c>
      <x:c r="B303" s="2" t="str">
        <x:v>Cycle 2</x:v>
      </x:c>
      <x:c r="C303" s="2" t="str">
        <x:v>Phase 2</x:v>
      </x:c>
      <x:c r="D303" s="2" t="str">
        <x:v>PLL</x:v>
      </x:c>
      <x:c r="E303" s="56" t="str">
        <x:v>RA.PL.2.9</x:v>
      </x:c>
      <x:c r="F303" s="14" t="str">
        <x:v>Validate or disprove initial hypothesis assumptions</x:v>
      </x:c>
      <x:c r="G303" s="5"/>
      <x:c r="H303" s="11"/>
      <x:c r="I303" s="11" t="n">
        <x:f>'Cycles &amp; Guide'!$D$11</x:f>
        <x:v>46203</x:v>
      </x:c>
      <x:c r="J303" s="11"/>
      <x:c r="K303" s="29"/>
      <x:c r="L303" s="2" t="str">
        <x:f>IF(O303=1,"Complete",IF(A303,"Checklist open",IF(H303&lt;&gt;"","In progress","Not started")))</x:f>
        <x:v>Not started</x:v>
      </x:c>
      <x:c r="M303" s="2" t="str">
        <x:v>Task</x:v>
      </x:c>
      <x:c r="N303" s="2" t="str">
        <x:v>RA.PL.2.9.2026.CY2</x:v>
      </x:c>
      <x:c r="O303" s="2" t="n">
        <x:f>R303</x:f>
        <x:v>0</x:v>
      </x:c>
      <x:c r="P303" s="2"/>
      <x:c r="Q303" s="2" t="n">
        <x:v>1</x:v>
      </x:c>
      <x:c r="R303" s="2" t="n">
        <x:f>IF(A303,1,0)</x:f>
        <x:v>0</x:v>
      </x:c>
      <x:c r="S303" s="2" t="n">
        <x:f>SUBTOTAL(103,N303)</x:f>
        <x:v>1</x:v>
      </x:c>
    </x:row>
    <x:row r="304" ht="42" customHeight="1">
      <x:c r="A304" s="28" t="b">
        <x:v>0</x:v>
      </x:c>
      <x:c r="B304" s="2" t="str">
        <x:v>Cycle 2</x:v>
      </x:c>
      <x:c r="C304" s="2" t="str">
        <x:v>Phase 2</x:v>
      </x:c>
      <x:c r="D304" s="2" t="str">
        <x:v>PLL</x:v>
      </x:c>
      <x:c r="E304" s="56" t="str">
        <x:v>RA.PL.2.10</x:v>
      </x:c>
      <x:c r="F304" s="14" t="str">
        <x:v>Identify and confirm root cause</x:v>
      </x:c>
      <x:c r="G304" s="5"/>
      <x:c r="H304" s="11"/>
      <x:c r="I304" s="11" t="n">
        <x:f>'Cycles &amp; Guide'!$D$11</x:f>
        <x:v>46203</x:v>
      </x:c>
      <x:c r="J304" s="11"/>
      <x:c r="K304" s="29"/>
      <x:c r="L304" s="2" t="str">
        <x:f>IF(O304=1,"Complete",IF(A304,"Checklist open",IF(H304&lt;&gt;"","In progress","Not started")))</x:f>
        <x:v>Not started</x:v>
      </x:c>
      <x:c r="M304" s="2" t="str">
        <x:v>Task</x:v>
      </x:c>
      <x:c r="N304" s="2" t="str">
        <x:v>RA.PL.2.10.2026.CY2</x:v>
      </x:c>
      <x:c r="O304" s="2" t="n">
        <x:f>R304</x:f>
        <x:v>0</x:v>
      </x:c>
      <x:c r="P304" s="2"/>
      <x:c r="Q304" s="2" t="n">
        <x:v>1</x:v>
      </x:c>
      <x:c r="R304" s="2" t="n">
        <x:f>IF(A304,1,0)</x:f>
        <x:v>0</x:v>
      </x:c>
      <x:c r="S304" s="2" t="n">
        <x:f>SUBTOTAL(103,N304)</x:f>
        <x:v>1</x:v>
      </x:c>
    </x:row>
    <x:row r="305" ht="42" customHeight="1">
      <x:c r="A305" s="28" t="b">
        <x:v>0</x:v>
      </x:c>
      <x:c r="B305" s="2" t="str">
        <x:v>Cycle 2</x:v>
      </x:c>
      <x:c r="C305" s="2" t="str">
        <x:v>Phase 3</x:v>
      </x:c>
      <x:c r="D305" s="2" t="str">
        <x:v>PLL</x:v>
      </x:c>
      <x:c r="E305" s="56" t="str">
        <x:v>RA.PL.3.1</x:v>
      </x:c>
      <x:c r="F305" s="14" t="str">
        <x:v>Finalize results and supporting documentation</x:v>
      </x:c>
      <x:c r="G305" s="5"/>
      <x:c r="H305" s="11"/>
      <x:c r="I305" s="11" t="n">
        <x:f>'Cycles &amp; Guide'!$D$11</x:f>
        <x:v>46203</x:v>
      </x:c>
      <x:c r="J305" s="11"/>
      <x:c r="K305" s="29"/>
      <x:c r="L305" s="2" t="str">
        <x:f>IF(O305=1,"Complete",IF(A305,"Checklist open",IF(H305&lt;&gt;"","In progress","Not started")))</x:f>
        <x:v>Not started</x:v>
      </x:c>
      <x:c r="M305" s="2" t="str">
        <x:v>Task</x:v>
      </x:c>
      <x:c r="N305" s="2" t="str">
        <x:v>RA.PL.3.1.2026.CY2</x:v>
      </x:c>
      <x:c r="O305" s="2" t="n">
        <x:f>R305</x:f>
        <x:v>0</x:v>
      </x:c>
      <x:c r="P305" s="2"/>
      <x:c r="Q305" s="2" t="n">
        <x:v>1</x:v>
      </x:c>
      <x:c r="R305" s="2" t="n">
        <x:f>IF(A305,1,0)</x:f>
        <x:v>0</x:v>
      </x:c>
      <x:c r="S305" s="2" t="n">
        <x:f>SUBTOTAL(103,N305)</x:f>
        <x:v>1</x:v>
      </x:c>
    </x:row>
    <x:row r="306" ht="42" customHeight="1">
      <x:c r="A306" s="28" t="b">
        <x:v>0</x:v>
      </x:c>
      <x:c r="B306" s="2" t="str">
        <x:v>Cycle 2</x:v>
      </x:c>
      <x:c r="C306" s="2" t="str">
        <x:v>Phase 3</x:v>
      </x:c>
      <x:c r="D306" s="2" t="str">
        <x:v>PLL</x:v>
      </x:c>
      <x:c r="E306" s="56" t="str">
        <x:v>RA.PL.3.2</x:v>
      </x:c>
      <x:c r="F306" s="14" t="str">
        <x:v>Maintain and update the evidence package prior to handoff to D&amp;I</x:v>
      </x:c>
      <x:c r="G306" s="5"/>
      <x:c r="H306" s="11"/>
      <x:c r="I306" s="11" t="n">
        <x:f>'Cycles &amp; Guide'!$D$11</x:f>
        <x:v>46203</x:v>
      </x:c>
      <x:c r="J306" s="11"/>
      <x:c r="K306" s="29"/>
      <x:c r="L306" s="2" t="str">
        <x:f>IF(O306=1,"Complete",IF(A306,"Checklist open",IF(H306&lt;&gt;"","In progress","Not started")))</x:f>
        <x:v>Not started</x:v>
      </x:c>
      <x:c r="M306" s="2" t="str">
        <x:v>Task</x:v>
      </x:c>
      <x:c r="N306" s="2" t="str">
        <x:v>RA.PL.3.2.2026.CY2</x:v>
      </x:c>
      <x:c r="O306" s="2" t="n">
        <x:f>R306</x:f>
        <x:v>0</x:v>
      </x:c>
      <x:c r="P306" s="2"/>
      <x:c r="Q306" s="2" t="n">
        <x:v>1</x:v>
      </x:c>
      <x:c r="R306" s="2" t="n">
        <x:f>IF(A306,1,0)</x:f>
        <x:v>0</x:v>
      </x:c>
      <x:c r="S306" s="2" t="n">
        <x:f>SUBTOTAL(103,N306)</x:f>
        <x:v>1</x:v>
      </x:c>
    </x:row>
    <x:row r="307" ht="42" customHeight="1">
      <x:c r="A307" s="28" t="b">
        <x:v>0</x:v>
      </x:c>
      <x:c r="B307" s="2" t="str">
        <x:v>Cycle 2</x:v>
      </x:c>
      <x:c r="C307" s="2" t="str">
        <x:v>Phase 3</x:v>
      </x:c>
      <x:c r="D307" s="2" t="str">
        <x:v>PLL</x:v>
      </x:c>
      <x:c r="E307" s="56" t="str">
        <x:v>RA.PL.3.3</x:v>
      </x:c>
      <x:c r="F307" s="14" t="str">
        <x:v>Address any outstanding questions or requests from D&amp;I</x:v>
      </x:c>
      <x:c r="G307" s="5"/>
      <x:c r="H307" s="11"/>
      <x:c r="I307" s="11" t="n">
        <x:f>'Cycles &amp; Guide'!$D$11</x:f>
        <x:v>46203</x:v>
      </x:c>
      <x:c r="J307" s="11"/>
      <x:c r="K307" s="29"/>
      <x:c r="L307" s="2" t="str">
        <x:f>IF(O307=1,"Complete",IF(A307,"Checklist open",IF(H307&lt;&gt;"","In progress","Not started")))</x:f>
        <x:v>Not started</x:v>
      </x:c>
      <x:c r="M307" s="2" t="str">
        <x:v>Task</x:v>
      </x:c>
      <x:c r="N307" s="2" t="str">
        <x:v>RA.PL.3.3.2026.CY2</x:v>
      </x:c>
      <x:c r="O307" s="2" t="n">
        <x:f>R307</x:f>
        <x:v>0</x:v>
      </x:c>
      <x:c r="P307" s="2"/>
      <x:c r="Q307" s="2" t="n">
        <x:v>1</x:v>
      </x:c>
      <x:c r="R307" s="2" t="n">
        <x:f>IF(A307,1,0)</x:f>
        <x:v>0</x:v>
      </x:c>
      <x:c r="S307" s="2" t="n">
        <x:f>SUBTOTAL(103,N307)</x:f>
        <x:v>1</x:v>
      </x:c>
    </x:row>
    <x:row r="308" ht="42" customHeight="1">
      <x:c r="A308" s="28" t="b">
        <x:v>0</x:v>
      </x:c>
      <x:c r="B308" s="2" t="str">
        <x:v>Cycle 2</x:v>
      </x:c>
      <x:c r="C308" s="2" t="str">
        <x:v>Phase 3</x:v>
      </x:c>
      <x:c r="D308" s="2" t="str">
        <x:v>PLL</x:v>
      </x:c>
      <x:c r="E308" s="56" t="str">
        <x:v>RA.PL.3.4</x:v>
      </x:c>
      <x:c r="F308" s="14" t="str">
        <x:v>Attend Forum meeting with D&amp;I to assist with answering stakeholder questions (as needed)</x:v>
      </x:c>
      <x:c r="G308" s="5"/>
      <x:c r="H308" s="11"/>
      <x:c r="I308" s="11" t="str">
        <x:f>IF(SUMIFS('Cycles &amp; Guide'!$D$23:$D$50,'Cycles &amp; Guide'!$B$23:$B$50,B308,'Cycles &amp; Guide'!$C$23:$C$50,D308)=0,"",SUMIFS('Cycles &amp; Guide'!$D$23:$D$50,'Cycles &amp; Guide'!$B$23:$B$50,B308,'Cycles &amp; Guide'!$C$23:$C$50,D308))</x:f>
      </x:c>
      <x:c r="J308" s="11"/>
      <x:c r="K308" s="29"/>
      <x:c r="L308" s="2" t="str">
        <x:f>IF(O308=1,"Complete",IF(A308,"Checklist open",IF(H308&lt;&gt;"","In progress","Not started")))</x:f>
        <x:v>Not started</x:v>
      </x:c>
      <x:c r="M308" s="2" t="str">
        <x:v>Task</x:v>
      </x:c>
      <x:c r="N308" s="2" t="str">
        <x:v>RA.PL.3.4.2026.CY2</x:v>
      </x:c>
      <x:c r="O308" s="2" t="n">
        <x:f>R308</x:f>
        <x:v>0</x:v>
      </x:c>
      <x:c r="P308" s="2"/>
      <x:c r="Q308" s="2" t="n">
        <x:v>1</x:v>
      </x:c>
      <x:c r="R308" s="2" t="n">
        <x:f>IF(A308,1,0)</x:f>
        <x:v>0</x:v>
      </x:c>
      <x:c r="S308" s="2" t="n">
        <x:f>SUBTOTAL(103,N308)</x:f>
        <x:v>1</x:v>
      </x:c>
    </x:row>
    <x:row r="309" ht="42" customHeight="1">
      <x:c r="A309" s="28" t="b">
        <x:v>0</x:v>
      </x:c>
      <x:c r="B309" s="2" t="str">
        <x:v>Cycle 2</x:v>
      </x:c>
      <x:c r="C309" s="2" t="str">
        <x:v>Phase 1</x:v>
      </x:c>
      <x:c r="D309" s="2" t="str">
        <x:v>Retail Services</x:v>
      </x:c>
      <x:c r="E309" s="56" t="str">
        <x:v>RA.RS.1.1</x:v>
      </x:c>
      <x:c r="F309" s="14" t="str">
        <x:v>Begin Research process 2 weeks prior to Cycle start</x:v>
      </x:c>
      <x:c r="G309" s="5"/>
      <x:c r="H309" s="11"/>
      <x:c r="I309" s="11" t="n">
        <x:f>'Cycles &amp; Guide'!$C$11-14</x:f>
        <x:v>46099</x:v>
      </x:c>
      <x:c r="J309" s="11"/>
      <x:c r="K309" s="29"/>
      <x:c r="L309" s="2" t="str">
        <x:f>IF(O309=1,"Complete",IF(A309,"Checklist open",IF(H309&lt;&gt;"","In progress","Not started")))</x:f>
        <x:v>Not started</x:v>
      </x:c>
      <x:c r="M309" s="2" t="str">
        <x:v>Task</x:v>
      </x:c>
      <x:c r="N309" s="2" t="str">
        <x:v>RA.RS.1.1.2026.CY2</x:v>
      </x:c>
      <x:c r="O309" s="2" t="n">
        <x:f>R309</x:f>
        <x:v>0</x:v>
      </x:c>
      <x:c r="P309" s="2"/>
      <x:c r="Q309" s="2" t="n">
        <x:v>1</x:v>
      </x:c>
      <x:c r="R309" s="2" t="n">
        <x:f>IF(A309,1,0)</x:f>
        <x:v>0</x:v>
      </x:c>
      <x:c r="S309" s="2" t="n">
        <x:f>SUBTOTAL(103,N309)</x:f>
        <x:v>1</x:v>
      </x:c>
    </x:row>
    <x:row r="310" ht="42" customHeight="1">
      <x:c r="A310" s="28" t="b">
        <x:v>0</x:v>
      </x:c>
      <x:c r="B310" s="2" t="str">
        <x:v>Cycle 2</x:v>
      </x:c>
      <x:c r="C310" s="2" t="str">
        <x:v>Phase 1</x:v>
      </x:c>
      <x:c r="D310" s="2" t="str">
        <x:v>Retail Services</x:v>
      </x:c>
      <x:c r="E310" s="56" t="str">
        <x:v>RA.RS.1.2</x:v>
      </x:c>
      <x:c r="F310" s="14" t="str">
        <x:v>Conduct initial assessment of each topic recommendation from SharePoint list</x:v>
      </x:c>
      <x:c r="G310" s="5"/>
      <x:c r="H310" s="11"/>
      <x:c r="I310" s="11" t="n">
        <x:f>'Cycles &amp; Guide'!$D$11</x:f>
        <x:v>46203</x:v>
      </x:c>
      <x:c r="J310" s="11"/>
      <x:c r="K310" s="29"/>
      <x:c r="L310" s="2" t="str">
        <x:f>IF(O310=1,"Complete",IF(A310,"Checklist open",IF(H310&lt;&gt;"","In progress","Not started")))</x:f>
        <x:v>Not started</x:v>
      </x:c>
      <x:c r="M310" s="2" t="str">
        <x:v>Task</x:v>
      </x:c>
      <x:c r="N310" s="2" t="str">
        <x:v>RA.RS.1.2.2026.CY2</x:v>
      </x:c>
      <x:c r="O310" s="2" t="n">
        <x:f>R310</x:f>
        <x:v>0</x:v>
      </x:c>
      <x:c r="P310" s="2"/>
      <x:c r="Q310" s="2" t="n">
        <x:v>1</x:v>
      </x:c>
      <x:c r="R310" s="2" t="n">
        <x:f>IF(A310,1,0)</x:f>
        <x:v>0</x:v>
      </x:c>
      <x:c r="S310" s="2" t="n">
        <x:f>SUBTOTAL(103,N310)</x:f>
        <x:v>1</x:v>
      </x:c>
    </x:row>
    <x:row r="311" ht="42" customHeight="1">
      <x:c r="A311" s="28" t="b">
        <x:v>0</x:v>
      </x:c>
      <x:c r="B311" s="2" t="str">
        <x:v>Cycle 2</x:v>
      </x:c>
      <x:c r="C311" s="2" t="str">
        <x:v>Phase 1</x:v>
      </x:c>
      <x:c r="D311" s="2" t="str">
        <x:v>Retail Services</x:v>
      </x:c>
      <x:c r="E311" s="56" t="str">
        <x:v>RA.RS.1.3</x:v>
      </x:c>
      <x:c r="F311" s="14" t="str">
        <x:v>Identify best topic for Cycle</x:v>
      </x:c>
      <x:c r="G311" s="5"/>
      <x:c r="H311" s="11"/>
      <x:c r="I311" s="11" t="n">
        <x:f>'Cycles &amp; Guide'!$D$11</x:f>
        <x:v>46203</x:v>
      </x:c>
      <x:c r="J311" s="11"/>
      <x:c r="K311" s="29"/>
      <x:c r="L311" s="2" t="str">
        <x:f>IF(O311=1,"Complete",IF(A311,"Checklist open",IF(H311&lt;&gt;"","In progress","Not started")))</x:f>
        <x:v>Not started</x:v>
      </x:c>
      <x:c r="M311" s="2" t="str">
        <x:v>Task</x:v>
      </x:c>
      <x:c r="N311" s="2" t="str">
        <x:v>RA.RS.1.3.2026.CY2</x:v>
      </x:c>
      <x:c r="O311" s="2" t="n">
        <x:f>R311</x:f>
        <x:v>0</x:v>
      </x:c>
      <x:c r="P311" s="2"/>
      <x:c r="Q311" s="2" t="n">
        <x:v>1</x:v>
      </x:c>
      <x:c r="R311" s="2" t="n">
        <x:f>IF(A311,1,0)</x:f>
        <x:v>0</x:v>
      </x:c>
      <x:c r="S311" s="2" t="n">
        <x:f>SUBTOTAL(103,N311)</x:f>
        <x:v>1</x:v>
      </x:c>
    </x:row>
    <x:row r="312" ht="42" customHeight="1">
      <x:c r="A312" s="28" t="b">
        <x:v>0</x:v>
      </x:c>
      <x:c r="B312" s="2" t="str">
        <x:v>Cycle 2</x:v>
      </x:c>
      <x:c r="C312" s="2" t="str">
        <x:v>Phase 1</x:v>
      </x:c>
      <x:c r="D312" s="2" t="str">
        <x:v>Retail Services</x:v>
      </x:c>
      <x:c r="E312" s="56" t="str">
        <x:v>RA.RS.1.4</x:v>
      </x:c>
      <x:c r="F312" s="14" t="str">
        <x:v>Identify backup topic for Cycle</x:v>
      </x:c>
      <x:c r="G312" s="5"/>
      <x:c r="H312" s="11"/>
      <x:c r="I312" s="11" t="n">
        <x:f>'Cycles &amp; Guide'!$D$11</x:f>
        <x:v>46203</x:v>
      </x:c>
      <x:c r="J312" s="11"/>
      <x:c r="K312" s="29"/>
      <x:c r="L312" s="2" t="str">
        <x:f>IF(O312=1,"Complete",IF(A312,"Checklist open",IF(H312&lt;&gt;"","In progress","Not started")))</x:f>
        <x:v>Not started</x:v>
      </x:c>
      <x:c r="M312" s="2" t="str">
        <x:v>Task</x:v>
      </x:c>
      <x:c r="N312" s="2" t="str">
        <x:v>RA.RS.1.4.2026.CY2</x:v>
      </x:c>
      <x:c r="O312" s="2" t="n">
        <x:f>R312</x:f>
        <x:v>0</x:v>
      </x:c>
      <x:c r="P312" s="2"/>
      <x:c r="Q312" s="2" t="n">
        <x:v>1</x:v>
      </x:c>
      <x:c r="R312" s="2" t="n">
        <x:f>IF(A312,1,0)</x:f>
        <x:v>0</x:v>
      </x:c>
      <x:c r="S312" s="2" t="n">
        <x:f>SUBTOTAL(103,N312)</x:f>
        <x:v>1</x:v>
      </x:c>
    </x:row>
    <x:row r="313" ht="42" customHeight="1">
      <x:c r="A313" s="28" t="b">
        <x:v>0</x:v>
      </x:c>
      <x:c r="B313" s="2" t="str">
        <x:v>Cycle 2</x:v>
      </x:c>
      <x:c r="C313" s="2" t="str">
        <x:v>Phase 1</x:v>
      </x:c>
      <x:c r="D313" s="2" t="str">
        <x:v>Retail Services</x:v>
      </x:c>
      <x:c r="E313" s="56" t="str">
        <x:v>RA.RS.1.5</x:v>
      </x:c>
      <x:c r="F313" s="14" t="str">
        <x:v>Schedule topic approval meeting with D&amp;I and management</x:v>
      </x:c>
      <x:c r="G313" s="5"/>
      <x:c r="H313" s="11"/>
      <x:c r="I313" s="11" t="n">
        <x:f>'Cycles &amp; Guide'!$D$11</x:f>
        <x:v>46203</x:v>
      </x:c>
      <x:c r="J313" s="11"/>
      <x:c r="K313" s="29"/>
      <x:c r="L313" s="2" t="str">
        <x:f>IF(O313=1,"Complete",IF(A313,"Checklist open",IF(H313&lt;&gt;"","In progress","Not started")))</x:f>
        <x:v>Not started</x:v>
      </x:c>
      <x:c r="M313" s="2" t="str">
        <x:v>Task</x:v>
      </x:c>
      <x:c r="N313" s="2" t="str">
        <x:v>RA.RS.1.5.2026.CY2</x:v>
      </x:c>
      <x:c r="O313" s="2" t="n">
        <x:f>R313</x:f>
        <x:v>0</x:v>
      </x:c>
      <x:c r="P313" s="2"/>
      <x:c r="Q313" s="2" t="n">
        <x:v>1</x:v>
      </x:c>
      <x:c r="R313" s="2" t="n">
        <x:f>IF(A313,1,0)</x:f>
        <x:v>0</x:v>
      </x:c>
      <x:c r="S313" s="2" t="n">
        <x:f>SUBTOTAL(103,N313)</x:f>
        <x:v>1</x:v>
      </x:c>
    </x:row>
    <x:row r="314" ht="42" customHeight="1">
      <x:c r="A314" s="28" t="b">
        <x:v>0</x:v>
      </x:c>
      <x:c r="B314" s="2" t="str">
        <x:v>Cycle 2</x:v>
      </x:c>
      <x:c r="C314" s="2" t="str">
        <x:v>Phase 1</x:v>
      </x:c>
      <x:c r="D314" s="2" t="str">
        <x:v>Retail Services</x:v>
      </x:c>
      <x:c r="E314" s="56" t="str">
        <x:v>RA.RS.1.6</x:v>
      </x:c>
      <x:c r="F314" s="14" t="str">
        <x:v>Present recommended topic to D&amp;I and management for approval</x:v>
      </x:c>
      <x:c r="G314" s="5"/>
      <x:c r="H314" s="11"/>
      <x:c r="I314" s="11" t="n">
        <x:f>'Cycles &amp; Guide'!$D$11</x:f>
        <x:v>46203</x:v>
      </x:c>
      <x:c r="J314" s="11"/>
      <x:c r="K314" s="29"/>
      <x:c r="L314" s="2" t="str">
        <x:f>IF(O314=1,"Complete",IF(A314,"Checklist open",IF(H314&lt;&gt;"","In progress","Not started")))</x:f>
        <x:v>Not started</x:v>
      </x:c>
      <x:c r="M314" s="2" t="str">
        <x:v>Task</x:v>
      </x:c>
      <x:c r="N314" s="2" t="str">
        <x:v>RA.RS.1.6.2026.CY2</x:v>
      </x:c>
      <x:c r="O314" s="2" t="n">
        <x:f>R314</x:f>
        <x:v>0</x:v>
      </x:c>
      <x:c r="P314" s="2"/>
      <x:c r="Q314" s="2" t="n">
        <x:v>1</x:v>
      </x:c>
      <x:c r="R314" s="2" t="n">
        <x:f>IF(A314,1,0)</x:f>
        <x:v>0</x:v>
      </x:c>
      <x:c r="S314" s="2" t="n">
        <x:f>SUBTOTAL(103,N314)</x:f>
        <x:v>1</x:v>
      </x:c>
    </x:row>
    <x:row r="315" ht="42" customHeight="1">
      <x:c r="A315" s="28" t="b">
        <x:v>0</x:v>
      </x:c>
      <x:c r="B315" s="2" t="str">
        <x:v>Cycle 2</x:v>
      </x:c>
      <x:c r="C315" s="2" t="str">
        <x:v>Phase 1</x:v>
      </x:c>
      <x:c r="D315" s="2" t="str">
        <x:v>Retail Services</x:v>
      </x:c>
      <x:c r="E315" s="56" t="str">
        <x:v>RA.RS.1.7</x:v>
      </x:c>
      <x:c r="F315" s="14" t="str">
        <x:v>Obtain formal topic selection approval from management via SharePoint</x:v>
      </x:c>
      <x:c r="G315" s="5"/>
      <x:c r="H315" s="11"/>
      <x:c r="I315" s="11" t="n">
        <x:f>'Cycles &amp; Guide'!$D$11</x:f>
        <x:v>46203</x:v>
      </x:c>
      <x:c r="J315" s="11"/>
      <x:c r="K315" s="29"/>
      <x:c r="L315" s="2" t="str">
        <x:f>IF(O315=1,"Complete",IF(A315,"Checklist open",IF(H315&lt;&gt;"","In progress","Not started")))</x:f>
        <x:v>Not started</x:v>
      </x:c>
      <x:c r="M315" s="2" t="str">
        <x:v>Task</x:v>
      </x:c>
      <x:c r="N315" s="2" t="str">
        <x:v>RA.RS.1.7.2026.CY2</x:v>
      </x:c>
      <x:c r="O315" s="2" t="n">
        <x:f>R315</x:f>
        <x:v>0</x:v>
      </x:c>
      <x:c r="P315" s="2"/>
      <x:c r="Q315" s="2" t="n">
        <x:v>1</x:v>
      </x:c>
      <x:c r="R315" s="2" t="n">
        <x:f>IF(A315,1,0)</x:f>
        <x:v>0</x:v>
      </x:c>
      <x:c r="S315" s="2" t="n">
        <x:f>SUBTOTAL(103,N315)</x:f>
        <x:v>1</x:v>
      </x:c>
    </x:row>
    <x:row r="316" ht="42" customHeight="1">
      <x:c r="A316" s="28" t="b">
        <x:v>0</x:v>
      </x:c>
      <x:c r="B316" s="2" t="str">
        <x:v>Cycle 2</x:v>
      </x:c>
      <x:c r="C316" s="2" t="str">
        <x:v>Phase 1</x:v>
      </x:c>
      <x:c r="D316" s="2" t="str">
        <x:v>Retail Services</x:v>
      </x:c>
      <x:c r="E316" s="56" t="str">
        <x:v>RA.RS.1.8</x:v>
      </x:c>
      <x:c r="F316" s="14" t="str">
        <x:v>Socialize topic selection with product owners and subject matter experts (if known)</x:v>
      </x:c>
      <x:c r="G316" s="5"/>
      <x:c r="H316" s="11"/>
      <x:c r="I316" s="11" t="n">
        <x:f>'Cycles &amp; Guide'!$D$11</x:f>
        <x:v>46203</x:v>
      </x:c>
      <x:c r="J316" s="11"/>
      <x:c r="K316" s="29"/>
      <x:c r="L316" s="2" t="str">
        <x:f>IF(O316=1,"Complete",IF(A316,"Checklist open",IF(H316&lt;&gt;"","In progress","Not started")))</x:f>
        <x:v>Not started</x:v>
      </x:c>
      <x:c r="M316" s="2" t="str">
        <x:v>Task</x:v>
      </x:c>
      <x:c r="N316" s="2" t="str">
        <x:v>RA.RS.1.8.2026.CY2</x:v>
      </x:c>
      <x:c r="O316" s="2" t="n">
        <x:f>R316</x:f>
        <x:v>0</x:v>
      </x:c>
      <x:c r="P316" s="2"/>
      <x:c r="Q316" s="2" t="n">
        <x:v>1</x:v>
      </x:c>
      <x:c r="R316" s="2" t="n">
        <x:f>IF(A316,1,0)</x:f>
        <x:v>0</x:v>
      </x:c>
      <x:c r="S316" s="2" t="n">
        <x:f>SUBTOTAL(103,N316)</x:f>
        <x:v>1</x:v>
      </x:c>
    </x:row>
    <x:row r="317" ht="42" customHeight="1">
      <x:c r="A317" s="28" t="b">
        <x:v>0</x:v>
      </x:c>
      <x:c r="B317" s="2" t="str">
        <x:v>Cycle 2</x:v>
      </x:c>
      <x:c r="C317" s="2" t="str">
        <x:v>Phase 1</x:v>
      </x:c>
      <x:c r="D317" s="2" t="str">
        <x:v>Retail Services</x:v>
      </x:c>
      <x:c r="E317" s="56" t="str">
        <x:v>RA.RS.1.9</x:v>
      </x:c>
      <x:c r="F317" s="14" t="str">
        <x:v>Assign topic researchers</x:v>
      </x:c>
      <x:c r="G317" s="5"/>
      <x:c r="H317" s="11"/>
      <x:c r="I317" s="11" t="n">
        <x:f>'Cycles &amp; Guide'!$D$11</x:f>
        <x:v>46203</x:v>
      </x:c>
      <x:c r="J317" s="11"/>
      <x:c r="K317" s="29"/>
      <x:c r="L317" s="2" t="str">
        <x:f>IF(O317=1,"Complete",IF(A317,"Checklist open",IF(H317&lt;&gt;"","In progress","Not started")))</x:f>
        <x:v>Not started</x:v>
      </x:c>
      <x:c r="M317" s="2" t="str">
        <x:v>Task</x:v>
      </x:c>
      <x:c r="N317" s="2" t="str">
        <x:v>RA.RS.1.9.2026.CY2</x:v>
      </x:c>
      <x:c r="O317" s="2" t="n">
        <x:f>R317</x:f>
        <x:v>0</x:v>
      </x:c>
      <x:c r="P317" s="2"/>
      <x:c r="Q317" s="2" t="n">
        <x:v>1</x:v>
      </x:c>
      <x:c r="R317" s="2" t="n">
        <x:f>IF(A317,1,0)</x:f>
        <x:v>0</x:v>
      </x:c>
      <x:c r="S317" s="2" t="n">
        <x:f>SUBTOTAL(103,N317)</x:f>
        <x:v>1</x:v>
      </x:c>
    </x:row>
    <x:row r="318" ht="42" customHeight="1">
      <x:c r="A318" s="28" t="b">
        <x:v>0</x:v>
      </x:c>
      <x:c r="B318" s="2" t="str">
        <x:v>Cycle 2</x:v>
      </x:c>
      <x:c r="C318" s="2" t="str">
        <x:v>Phase 2</x:v>
      </x:c>
      <x:c r="D318" s="2" t="str">
        <x:v>Retail Services</x:v>
      </x:c>
      <x:c r="E318" s="56" t="str">
        <x:v>RA.RS.2.1</x:v>
      </x:c>
      <x:c r="F318" s="14" t="str">
        <x:v>Review data sources</x:v>
      </x:c>
      <x:c r="G318" s="5"/>
      <x:c r="H318" s="11"/>
      <x:c r="I318" s="11" t="n">
        <x:f>'Cycles &amp; Guide'!$D$11</x:f>
        <x:v>46203</x:v>
      </x:c>
      <x:c r="J318" s="11"/>
      <x:c r="K318" s="29"/>
      <x:c r="L318" s="2" t="str">
        <x:f>IF(O318=1,"Complete",IF(A318,"Checklist open",IF(H318&lt;&gt;"","In progress","Not started")))</x:f>
        <x:v>Not started</x:v>
      </x:c>
      <x:c r="M318" s="2" t="str">
        <x:v>Task</x:v>
      </x:c>
      <x:c r="N318" s="2" t="str">
        <x:v>RA.RS.2.1.2026.CY2</x:v>
      </x:c>
      <x:c r="O318" s="2" t="n">
        <x:f>R318</x:f>
        <x:v>0</x:v>
      </x:c>
      <x:c r="P318" s="2"/>
      <x:c r="Q318" s="2" t="n">
        <x:v>1</x:v>
      </x:c>
      <x:c r="R318" s="2" t="n">
        <x:f>IF(A318,1,0)</x:f>
        <x:v>0</x:v>
      </x:c>
      <x:c r="S318" s="2" t="n">
        <x:f>SUBTOTAL(103,N318)</x:f>
        <x:v>1</x:v>
      </x:c>
    </x:row>
    <x:row r="319" ht="42" customHeight="1">
      <x:c r="A319" s="28" t="b">
        <x:v>0</x:v>
      </x:c>
      <x:c r="B319" s="2" t="str">
        <x:v>Cycle 2</x:v>
      </x:c>
      <x:c r="C319" s="2" t="str">
        <x:v>Phase 2</x:v>
      </x:c>
      <x:c r="D319" s="2" t="str">
        <x:v>Retail Services</x:v>
      </x:c>
      <x:c r="E319" s="56" t="str">
        <x:v>RA.RS.2.2</x:v>
      </x:c>
      <x:c r="F319" s="14" t="str">
        <x:v>Review relevant policies and procedures</x:v>
      </x:c>
      <x:c r="G319" s="5"/>
      <x:c r="H319" s="11"/>
      <x:c r="I319" s="11" t="n">
        <x:f>'Cycles &amp; Guide'!$D$11</x:f>
        <x:v>46203</x:v>
      </x:c>
      <x:c r="J319" s="11"/>
      <x:c r="K319" s="29"/>
      <x:c r="L319" s="2" t="str">
        <x:f>IF(O319=1,"Complete",IF(A319,"Checklist open",IF(H319&lt;&gt;"","In progress","Not started")))</x:f>
        <x:v>Not started</x:v>
      </x:c>
      <x:c r="M319" s="2" t="str">
        <x:v>Task</x:v>
      </x:c>
      <x:c r="N319" s="2" t="str">
        <x:v>RA.RS.2.2.2026.CY2</x:v>
      </x:c>
      <x:c r="O319" s="2" t="n">
        <x:f>R319</x:f>
        <x:v>0</x:v>
      </x:c>
      <x:c r="P319" s="2"/>
      <x:c r="Q319" s="2" t="n">
        <x:v>1</x:v>
      </x:c>
      <x:c r="R319" s="2" t="n">
        <x:f>IF(A319,1,0)</x:f>
        <x:v>0</x:v>
      </x:c>
      <x:c r="S319" s="2" t="n">
        <x:f>SUBTOTAL(103,N319)</x:f>
        <x:v>1</x:v>
      </x:c>
    </x:row>
    <x:row r="320" ht="42" customHeight="1">
      <x:c r="A320" s="28" t="b">
        <x:v>0</x:v>
      </x:c>
      <x:c r="B320" s="2" t="str">
        <x:v>Cycle 2</x:v>
      </x:c>
      <x:c r="C320" s="2" t="str">
        <x:v>Phase 2</x:v>
      </x:c>
      <x:c r="D320" s="2" t="str">
        <x:v>Retail Services</x:v>
      </x:c>
      <x:c r="E320" s="56" t="str">
        <x:v>RA.RS.2.3</x:v>
      </x:c>
      <x:c r="F320" s="14" t="str">
        <x:v>Meet with SMEs to gain business insight and clarify questions</x:v>
      </x:c>
      <x:c r="G320" s="5"/>
      <x:c r="H320" s="11"/>
      <x:c r="I320" s="11" t="n">
        <x:f>'Cycles &amp; Guide'!$D$11</x:f>
        <x:v>46203</x:v>
      </x:c>
      <x:c r="J320" s="11"/>
      <x:c r="K320" s="29"/>
      <x:c r="L320" s="2" t="str">
        <x:f>IF(O320=1,"Complete",IF(A320,"Checklist open",IF(H320&lt;&gt;"","In progress","Not started")))</x:f>
        <x:v>Not started</x:v>
      </x:c>
      <x:c r="M320" s="2" t="str">
        <x:v>Task</x:v>
      </x:c>
      <x:c r="N320" s="2" t="str">
        <x:v>RA.RS.2.3.2026.CY2</x:v>
      </x:c>
      <x:c r="O320" s="2" t="n">
        <x:f>R320</x:f>
        <x:v>0</x:v>
      </x:c>
      <x:c r="P320" s="2"/>
      <x:c r="Q320" s="2" t="n">
        <x:v>1</x:v>
      </x:c>
      <x:c r="R320" s="2" t="n">
        <x:f>IF(A320,1,0)</x:f>
        <x:v>0</x:v>
      </x:c>
      <x:c r="S320" s="2" t="n">
        <x:f>SUBTOTAL(103,N320)</x:f>
        <x:v>1</x:v>
      </x:c>
    </x:row>
    <x:row r="321" ht="42" customHeight="1">
      <x:c r="A321" s="28" t="b">
        <x:v>0</x:v>
      </x:c>
      <x:c r="B321" s="2" t="str">
        <x:v>Cycle 2</x:v>
      </x:c>
      <x:c r="C321" s="2" t="str">
        <x:v>Phase 2</x:v>
      </x:c>
      <x:c r="D321" s="2" t="str">
        <x:v>Retail Services</x:v>
      </x:c>
      <x:c r="E321" s="56" t="str">
        <x:v>RA.RS.2.4</x:v>
      </x:c>
      <x:c r="F321" s="14" t="str">
        <x:v>Establish and maintain a recurring meeting with D&amp;I to discuss Cycle progress</x:v>
      </x:c>
      <x:c r="G321" s="5"/>
      <x:c r="H321" s="11"/>
      <x:c r="I321" s="11" t="n">
        <x:f>'Cycles &amp; Guide'!$D$11</x:f>
        <x:v>46203</x:v>
      </x:c>
      <x:c r="J321" s="11"/>
      <x:c r="K321" s="29"/>
      <x:c r="L321" s="2" t="str">
        <x:f>IF(O321=1,"Complete",IF(A321,"Checklist open",IF(H321&lt;&gt;"","In progress","Not started")))</x:f>
        <x:v>Not started</x:v>
      </x:c>
      <x:c r="M321" s="2" t="str">
        <x:v>Task</x:v>
      </x:c>
      <x:c r="N321" s="2" t="str">
        <x:v>RA.RS.2.4.2026.CY2</x:v>
      </x:c>
      <x:c r="O321" s="2" t="n">
        <x:f>R321</x:f>
        <x:v>0</x:v>
      </x:c>
      <x:c r="P321" s="2"/>
      <x:c r="Q321" s="2" t="n">
        <x:v>1</x:v>
      </x:c>
      <x:c r="R321" s="2" t="n">
        <x:f>IF(A321,1,0)</x:f>
        <x:v>0</x:v>
      </x:c>
      <x:c r="S321" s="2" t="n">
        <x:f>SUBTOTAL(103,N321)</x:f>
        <x:v>1</x:v>
      </x:c>
    </x:row>
    <x:row r="322" ht="42" customHeight="1">
      <x:c r="A322" s="28" t="b">
        <x:v>0</x:v>
      </x:c>
      <x:c r="B322" s="2" t="str">
        <x:v>Cycle 2</x:v>
      </x:c>
      <x:c r="C322" s="2" t="str">
        <x:v>Phase 2</x:v>
      </x:c>
      <x:c r="D322" s="2" t="str">
        <x:v>Retail Services</x:v>
      </x:c>
      <x:c r="E322" s="56" t="str">
        <x:v>RA.RS.2.5</x:v>
      </x:c>
      <x:c r="F322" s="14" t="str">
        <x:v>Perform data testing and sampling</x:v>
      </x:c>
      <x:c r="G322" s="5"/>
      <x:c r="H322" s="11"/>
      <x:c r="I322" s="11" t="n">
        <x:f>'Cycles &amp; Guide'!$D$11</x:f>
        <x:v>46203</x:v>
      </x:c>
      <x:c r="J322" s="11"/>
      <x:c r="K322" s="29"/>
      <x:c r="L322" s="2" t="str">
        <x:f>IF(O322=1,"Complete",IF(A322,"Checklist open",IF(H322&lt;&gt;"","In progress","Not started")))</x:f>
        <x:v>Not started</x:v>
      </x:c>
      <x:c r="M322" s="2" t="str">
        <x:v>Task</x:v>
      </x:c>
      <x:c r="N322" s="2" t="str">
        <x:v>RA.RS.2.5.2026.CY2</x:v>
      </x:c>
      <x:c r="O322" s="2" t="n">
        <x:f>R322</x:f>
        <x:v>0</x:v>
      </x:c>
      <x:c r="P322" s="2"/>
      <x:c r="Q322" s="2" t="n">
        <x:v>1</x:v>
      </x:c>
      <x:c r="R322" s="2" t="n">
        <x:f>IF(A322,1,0)</x:f>
        <x:v>0</x:v>
      </x:c>
      <x:c r="S322" s="2" t="n">
        <x:f>SUBTOTAL(103,N322)</x:f>
        <x:v>1</x:v>
      </x:c>
    </x:row>
    <x:row r="323" ht="42" customHeight="1">
      <x:c r="A323" s="28" t="b">
        <x:v>0</x:v>
      </x:c>
      <x:c r="B323" s="2" t="str">
        <x:v>Cycle 2</x:v>
      </x:c>
      <x:c r="C323" s="2" t="str">
        <x:v>Phase 2</x:v>
      </x:c>
      <x:c r="D323" s="2" t="str">
        <x:v>Retail Services</x:v>
      </x:c>
      <x:c r="E323" s="56" t="str">
        <x:v>RA.RS.2.6</x:v>
      </x:c>
      <x:c r="F323" s="14" t="str">
        <x:v>Complete Positive Testing</x:v>
      </x:c>
      <x:c r="G323" s="5"/>
      <x:c r="H323" s="11"/>
      <x:c r="I323" s="11" t="n">
        <x:f>'Cycles &amp; Guide'!$D$11</x:f>
        <x:v>46203</x:v>
      </x:c>
      <x:c r="J323" s="11"/>
      <x:c r="K323" s="29"/>
      <x:c r="L323" s="2" t="str">
        <x:f>IF(O323=1,"Complete",IF(A323,"Checklist open",IF(H323&lt;&gt;"","In progress","Not started")))</x:f>
        <x:v>Not started</x:v>
      </x:c>
      <x:c r="M323" s="2" t="str">
        <x:v>Task</x:v>
      </x:c>
      <x:c r="N323" s="2" t="str">
        <x:v>RA.RS.2.6.2026.CY2</x:v>
      </x:c>
      <x:c r="O323" s="2" t="n">
        <x:f>R323</x:f>
        <x:v>0</x:v>
      </x:c>
      <x:c r="P323" s="2"/>
      <x:c r="Q323" s="2" t="n">
        <x:v>1</x:v>
      </x:c>
      <x:c r="R323" s="2" t="n">
        <x:f>IF(A323,1,0)</x:f>
        <x:v>0</x:v>
      </x:c>
      <x:c r="S323" s="2" t="n">
        <x:f>SUBTOTAL(103,N323)</x:f>
        <x:v>1</x:v>
      </x:c>
    </x:row>
    <x:row r="324" ht="42" customHeight="1">
      <x:c r="A324" s="28" t="b">
        <x:v>0</x:v>
      </x:c>
      <x:c r="B324" s="2" t="str">
        <x:v>Cycle 2</x:v>
      </x:c>
      <x:c r="C324" s="2" t="str">
        <x:v>Phase 2</x:v>
      </x:c>
      <x:c r="D324" s="2" t="str">
        <x:v>Retail Services</x:v>
      </x:c>
      <x:c r="E324" s="56" t="str">
        <x:v>RA.RS.2.7</x:v>
      </x:c>
      <x:c r="F324" s="14" t="str">
        <x:v>Complete Negative Testing</x:v>
      </x:c>
      <x:c r="G324" s="5"/>
      <x:c r="H324" s="11"/>
      <x:c r="I324" s="11" t="n">
        <x:f>'Cycles &amp; Guide'!$D$11</x:f>
        <x:v>46203</x:v>
      </x:c>
      <x:c r="J324" s="11"/>
      <x:c r="K324" s="29"/>
      <x:c r="L324" s="2" t="str">
        <x:f>IF(O324=1,"Complete",IF(A324,"Checklist open",IF(H324&lt;&gt;"","In progress","Not started")))</x:f>
        <x:v>Not started</x:v>
      </x:c>
      <x:c r="M324" s="2" t="str">
        <x:v>Task</x:v>
      </x:c>
      <x:c r="N324" s="2" t="str">
        <x:v>RA.RS.2.7.2026.CY2</x:v>
      </x:c>
      <x:c r="O324" s="2" t="n">
        <x:f>R324</x:f>
        <x:v>0</x:v>
      </x:c>
      <x:c r="P324" s="2"/>
      <x:c r="Q324" s="2" t="n">
        <x:v>1</x:v>
      </x:c>
      <x:c r="R324" s="2" t="n">
        <x:f>IF(A324,1,0)</x:f>
        <x:v>0</x:v>
      </x:c>
      <x:c r="S324" s="2" t="n">
        <x:f>SUBTOTAL(103,N324)</x:f>
        <x:v>1</x:v>
      </x:c>
    </x:row>
    <x:row r="325" ht="42" customHeight="1">
      <x:c r="A325" s="28" t="b">
        <x:v>0</x:v>
      </x:c>
      <x:c r="B325" s="2" t="str">
        <x:v>Cycle 2</x:v>
      </x:c>
      <x:c r="C325" s="2" t="str">
        <x:v>Phase 2</x:v>
      </x:c>
      <x:c r="D325" s="2" t="str">
        <x:v>Retail Services</x:v>
      </x:c>
      <x:c r="E325" s="56" t="str">
        <x:v>RA.RS.2.8</x:v>
      </x:c>
      <x:c r="F325" s="14" t="str">
        <x:v>Request additional data (as needed)</x:v>
      </x:c>
      <x:c r="G325" s="5"/>
      <x:c r="H325" s="11"/>
      <x:c r="I325" s="11" t="n">
        <x:f>'Cycles &amp; Guide'!$D$11</x:f>
        <x:v>46203</x:v>
      </x:c>
      <x:c r="J325" s="11"/>
      <x:c r="K325" s="29"/>
      <x:c r="L325" s="2" t="str">
        <x:f>IF(O325=1,"Complete",IF(A325,"Checklist open",IF(H325&lt;&gt;"","In progress","Not started")))</x:f>
        <x:v>Not started</x:v>
      </x:c>
      <x:c r="M325" s="2" t="str">
        <x:v>Task</x:v>
      </x:c>
      <x:c r="N325" s="2" t="str">
        <x:v>RA.RS.2.8.2026.CY2</x:v>
      </x:c>
      <x:c r="O325" s="2" t="n">
        <x:f>R325</x:f>
        <x:v>0</x:v>
      </x:c>
      <x:c r="P325" s="2"/>
      <x:c r="Q325" s="2" t="n">
        <x:v>1</x:v>
      </x:c>
      <x:c r="R325" s="2" t="n">
        <x:f>IF(A325,1,0)</x:f>
        <x:v>0</x:v>
      </x:c>
      <x:c r="S325" s="2" t="n">
        <x:f>SUBTOTAL(103,N325)</x:f>
        <x:v>1</x:v>
      </x:c>
    </x:row>
    <x:row r="326" ht="42" customHeight="1">
      <x:c r="A326" s="28" t="b">
        <x:v>0</x:v>
      </x:c>
      <x:c r="B326" s="2" t="str">
        <x:v>Cycle 2</x:v>
      </x:c>
      <x:c r="C326" s="2" t="str">
        <x:v>Phase 2</x:v>
      </x:c>
      <x:c r="D326" s="2" t="str">
        <x:v>Retail Services</x:v>
      </x:c>
      <x:c r="E326" s="56" t="str">
        <x:v>RA.RS.2.9</x:v>
      </x:c>
      <x:c r="F326" s="14" t="str">
        <x:v>Validate or disprove initial hypothesis assumptions</x:v>
      </x:c>
      <x:c r="G326" s="5"/>
      <x:c r="H326" s="11"/>
      <x:c r="I326" s="11" t="n">
        <x:f>'Cycles &amp; Guide'!$D$11</x:f>
        <x:v>46203</x:v>
      </x:c>
      <x:c r="J326" s="11"/>
      <x:c r="K326" s="29"/>
      <x:c r="L326" s="2" t="str">
        <x:f>IF(O326=1,"Complete",IF(A326,"Checklist open",IF(H326&lt;&gt;"","In progress","Not started")))</x:f>
        <x:v>Not started</x:v>
      </x:c>
      <x:c r="M326" s="2" t="str">
        <x:v>Task</x:v>
      </x:c>
      <x:c r="N326" s="2" t="str">
        <x:v>RA.RS.2.9.2026.CY2</x:v>
      </x:c>
      <x:c r="O326" s="2" t="n">
        <x:f>R326</x:f>
        <x:v>0</x:v>
      </x:c>
      <x:c r="P326" s="2"/>
      <x:c r="Q326" s="2" t="n">
        <x:v>1</x:v>
      </x:c>
      <x:c r="R326" s="2" t="n">
        <x:f>IF(A326,1,0)</x:f>
        <x:v>0</x:v>
      </x:c>
      <x:c r="S326" s="2" t="n">
        <x:f>SUBTOTAL(103,N326)</x:f>
        <x:v>1</x:v>
      </x:c>
    </x:row>
    <x:row r="327" ht="42" customHeight="1">
      <x:c r="A327" s="28" t="b">
        <x:v>0</x:v>
      </x:c>
      <x:c r="B327" s="2" t="str">
        <x:v>Cycle 2</x:v>
      </x:c>
      <x:c r="C327" s="2" t="str">
        <x:v>Phase 2</x:v>
      </x:c>
      <x:c r="D327" s="2" t="str">
        <x:v>Retail Services</x:v>
      </x:c>
      <x:c r="E327" s="56" t="str">
        <x:v>RA.RS.2.10</x:v>
      </x:c>
      <x:c r="F327" s="14" t="str">
        <x:v>Identify and confirm root cause</x:v>
      </x:c>
      <x:c r="G327" s="5"/>
      <x:c r="H327" s="11"/>
      <x:c r="I327" s="11" t="n">
        <x:f>'Cycles &amp; Guide'!$D$11</x:f>
        <x:v>46203</x:v>
      </x:c>
      <x:c r="J327" s="11"/>
      <x:c r="K327" s="29"/>
      <x:c r="L327" s="2" t="str">
        <x:f>IF(O327=1,"Complete",IF(A327,"Checklist open",IF(H327&lt;&gt;"","In progress","Not started")))</x:f>
        <x:v>Not started</x:v>
      </x:c>
      <x:c r="M327" s="2" t="str">
        <x:v>Task</x:v>
      </x:c>
      <x:c r="N327" s="2" t="str">
        <x:v>RA.RS.2.10.2026.CY2</x:v>
      </x:c>
      <x:c r="O327" s="2" t="n">
        <x:f>R327</x:f>
        <x:v>0</x:v>
      </x:c>
      <x:c r="P327" s="2"/>
      <x:c r="Q327" s="2" t="n">
        <x:v>1</x:v>
      </x:c>
      <x:c r="R327" s="2" t="n">
        <x:f>IF(A327,1,0)</x:f>
        <x:v>0</x:v>
      </x:c>
      <x:c r="S327" s="2" t="n">
        <x:f>SUBTOTAL(103,N327)</x:f>
        <x:v>1</x:v>
      </x:c>
    </x:row>
    <x:row r="328" ht="42" customHeight="1">
      <x:c r="A328" s="28" t="b">
        <x:v>0</x:v>
      </x:c>
      <x:c r="B328" s="2" t="str">
        <x:v>Cycle 2</x:v>
      </x:c>
      <x:c r="C328" s="2" t="str">
        <x:v>Phase 3</x:v>
      </x:c>
      <x:c r="D328" s="2" t="str">
        <x:v>Retail Services</x:v>
      </x:c>
      <x:c r="E328" s="56" t="str">
        <x:v>RA.RS.3.1</x:v>
      </x:c>
      <x:c r="F328" s="14" t="str">
        <x:v>Finalize results and supporting documentation</x:v>
      </x:c>
      <x:c r="G328" s="5"/>
      <x:c r="H328" s="11"/>
      <x:c r="I328" s="11" t="n">
        <x:f>'Cycles &amp; Guide'!$D$11</x:f>
        <x:v>46203</x:v>
      </x:c>
      <x:c r="J328" s="11"/>
      <x:c r="K328" s="29"/>
      <x:c r="L328" s="2" t="str">
        <x:f>IF(O328=1,"Complete",IF(A328,"Checklist open",IF(H328&lt;&gt;"","In progress","Not started")))</x:f>
        <x:v>Not started</x:v>
      </x:c>
      <x:c r="M328" s="2" t="str">
        <x:v>Task</x:v>
      </x:c>
      <x:c r="N328" s="2" t="str">
        <x:v>RA.RS.3.1.2026.CY2</x:v>
      </x:c>
      <x:c r="O328" s="2" t="n">
        <x:f>R328</x:f>
        <x:v>0</x:v>
      </x:c>
      <x:c r="P328" s="2"/>
      <x:c r="Q328" s="2" t="n">
        <x:v>1</x:v>
      </x:c>
      <x:c r="R328" s="2" t="n">
        <x:f>IF(A328,1,0)</x:f>
        <x:v>0</x:v>
      </x:c>
      <x:c r="S328" s="2" t="n">
        <x:f>SUBTOTAL(103,N328)</x:f>
        <x:v>1</x:v>
      </x:c>
    </x:row>
    <x:row r="329" ht="42" customHeight="1">
      <x:c r="A329" s="28" t="b">
        <x:v>0</x:v>
      </x:c>
      <x:c r="B329" s="2" t="str">
        <x:v>Cycle 2</x:v>
      </x:c>
      <x:c r="C329" s="2" t="str">
        <x:v>Phase 3</x:v>
      </x:c>
      <x:c r="D329" s="2" t="str">
        <x:v>Retail Services</x:v>
      </x:c>
      <x:c r="E329" s="56" t="str">
        <x:v>RA.RS.3.2</x:v>
      </x:c>
      <x:c r="F329" s="14" t="str">
        <x:v>Maintain and update the evidence package prior to handoff to D&amp;I</x:v>
      </x:c>
      <x:c r="G329" s="5"/>
      <x:c r="H329" s="11"/>
      <x:c r="I329" s="11" t="n">
        <x:f>'Cycles &amp; Guide'!$D$11</x:f>
        <x:v>46203</x:v>
      </x:c>
      <x:c r="J329" s="11"/>
      <x:c r="K329" s="29"/>
      <x:c r="L329" s="2" t="str">
        <x:f>IF(O329=1,"Complete",IF(A329,"Checklist open",IF(H329&lt;&gt;"","In progress","Not started")))</x:f>
        <x:v>Not started</x:v>
      </x:c>
      <x:c r="M329" s="2" t="str">
        <x:v>Task</x:v>
      </x:c>
      <x:c r="N329" s="2" t="str">
        <x:v>RA.RS.3.2.2026.CY2</x:v>
      </x:c>
      <x:c r="O329" s="2" t="n">
        <x:f>R329</x:f>
        <x:v>0</x:v>
      </x:c>
      <x:c r="P329" s="2"/>
      <x:c r="Q329" s="2" t="n">
        <x:v>1</x:v>
      </x:c>
      <x:c r="R329" s="2" t="n">
        <x:f>IF(A329,1,0)</x:f>
        <x:v>0</x:v>
      </x:c>
      <x:c r="S329" s="2" t="n">
        <x:f>SUBTOTAL(103,N329)</x:f>
        <x:v>1</x:v>
      </x:c>
    </x:row>
    <x:row r="330" ht="42" customHeight="1">
      <x:c r="A330" s="28" t="b">
        <x:v>0</x:v>
      </x:c>
      <x:c r="B330" s="2" t="str">
        <x:v>Cycle 2</x:v>
      </x:c>
      <x:c r="C330" s="2" t="str">
        <x:v>Phase 3</x:v>
      </x:c>
      <x:c r="D330" s="2" t="str">
        <x:v>Retail Services</x:v>
      </x:c>
      <x:c r="E330" s="56" t="str">
        <x:v>RA.RS.3.3</x:v>
      </x:c>
      <x:c r="F330" s="14" t="str">
        <x:v>Address any outstanding questions or requests from D&amp;I</x:v>
      </x:c>
      <x:c r="G330" s="5"/>
      <x:c r="H330" s="11"/>
      <x:c r="I330" s="11" t="n">
        <x:f>'Cycles &amp; Guide'!$D$11</x:f>
        <x:v>46203</x:v>
      </x:c>
      <x:c r="J330" s="11"/>
      <x:c r="K330" s="29"/>
      <x:c r="L330" s="2" t="str">
        <x:f>IF(O330=1,"Complete",IF(A330,"Checklist open",IF(H330&lt;&gt;"","In progress","Not started")))</x:f>
        <x:v>Not started</x:v>
      </x:c>
      <x:c r="M330" s="2" t="str">
        <x:v>Task</x:v>
      </x:c>
      <x:c r="N330" s="2" t="str">
        <x:v>RA.RS.3.3.2026.CY2</x:v>
      </x:c>
      <x:c r="O330" s="2" t="n">
        <x:f>R330</x:f>
        <x:v>0</x:v>
      </x:c>
      <x:c r="P330" s="2"/>
      <x:c r="Q330" s="2" t="n">
        <x:v>1</x:v>
      </x:c>
      <x:c r="R330" s="2" t="n">
        <x:f>IF(A330,1,0)</x:f>
        <x:v>0</x:v>
      </x:c>
      <x:c r="S330" s="2" t="n">
        <x:f>SUBTOTAL(103,N330)</x:f>
        <x:v>1</x:v>
      </x:c>
    </x:row>
    <x:row r="331" ht="42" customHeight="1">
      <x:c r="A331" s="28" t="b">
        <x:v>0</x:v>
      </x:c>
      <x:c r="B331" s="2" t="str">
        <x:v>Cycle 2</x:v>
      </x:c>
      <x:c r="C331" s="2" t="str">
        <x:v>Phase 3</x:v>
      </x:c>
      <x:c r="D331" s="2" t="str">
        <x:v>Retail Services</x:v>
      </x:c>
      <x:c r="E331" s="56" t="str">
        <x:v>RA.RS.3.4</x:v>
      </x:c>
      <x:c r="F331" s="14" t="str">
        <x:v>Attend Forum meeting with D&amp;I to assist with answering stakeholder questions (as needed)</x:v>
      </x:c>
      <x:c r="G331" s="5"/>
      <x:c r="H331" s="11"/>
      <x:c r="I331" s="11" t="str">
        <x:f>IF(SUMIFS('Cycles &amp; Guide'!$D$23:$D$50,'Cycles &amp; Guide'!$B$23:$B$50,B331,'Cycles &amp; Guide'!$C$23:$C$50,D331)=0,"",SUMIFS('Cycles &amp; Guide'!$D$23:$D$50,'Cycles &amp; Guide'!$B$23:$B$50,B331,'Cycles &amp; Guide'!$C$23:$C$50,D331))</x:f>
      </x:c>
      <x:c r="J331" s="11"/>
      <x:c r="K331" s="29"/>
      <x:c r="L331" s="2" t="str">
        <x:f>IF(O331=1,"Complete",IF(A331,"Checklist open",IF(H331&lt;&gt;"","In progress","Not started")))</x:f>
        <x:v>Not started</x:v>
      </x:c>
      <x:c r="M331" s="2" t="str">
        <x:v>Task</x:v>
      </x:c>
      <x:c r="N331" s="2" t="str">
        <x:v>RA.RS.3.4.2026.CY2</x:v>
      </x:c>
      <x:c r="O331" s="2" t="n">
        <x:f>R331</x:f>
        <x:v>0</x:v>
      </x:c>
      <x:c r="P331" s="2"/>
      <x:c r="Q331" s="2" t="n">
        <x:v>1</x:v>
      </x:c>
      <x:c r="R331" s="2" t="n">
        <x:f>IF(A331,1,0)</x:f>
        <x:v>0</x:v>
      </x:c>
      <x:c r="S331" s="2" t="n">
        <x:f>SUBTOTAL(103,N331)</x:f>
        <x:v>1</x:v>
      </x:c>
    </x:row>
    <x:row r="332" ht="42" customHeight="1">
      <x:c r="A332" s="28" t="b">
        <x:v>0</x:v>
      </x:c>
      <x:c r="B332" s="2" t="str">
        <x:v>Cycle 3</x:v>
      </x:c>
      <x:c r="C332" s="2" t="str">
        <x:v>Phase 1</x:v>
      </x:c>
      <x:c r="D332" s="2" t="str">
        <x:v>Auto</x:v>
      </x:c>
      <x:c r="E332" s="56" t="str">
        <x:v>RA.AU.1.1</x:v>
      </x:c>
      <x:c r="F332" s="14" t="str">
        <x:v>Begin Research process 2 weeks prior to Cycle start</x:v>
      </x:c>
      <x:c r="G332" s="5"/>
      <x:c r="H332" s="11"/>
      <x:c r="I332" s="11" t="n">
        <x:f>'Cycles &amp; Guide'!$C$12-14</x:f>
        <x:v>46190</x:v>
      </x:c>
      <x:c r="J332" s="11"/>
      <x:c r="K332" s="29"/>
      <x:c r="L332" s="2" t="str">
        <x:f>IF(O332=1,"Complete",IF(A332,"Checklist open",IF(H332&lt;&gt;"","In progress","Not started")))</x:f>
        <x:v>Not started</x:v>
      </x:c>
      <x:c r="M332" s="2" t="str">
        <x:v>Task</x:v>
      </x:c>
      <x:c r="N332" s="2" t="str">
        <x:v>RA.AU.1.1.2026.CY3</x:v>
      </x:c>
      <x:c r="O332" s="2" t="n">
        <x:f>R332</x:f>
        <x:v>0</x:v>
      </x:c>
      <x:c r="P332" s="2"/>
      <x:c r="Q332" s="2" t="n">
        <x:v>1</x:v>
      </x:c>
      <x:c r="R332" s="2" t="n">
        <x:f>IF(A332,1,0)</x:f>
        <x:v>0</x:v>
      </x:c>
      <x:c r="S332" s="2" t="n">
        <x:f>SUBTOTAL(103,N332)</x:f>
        <x:v>1</x:v>
      </x:c>
    </x:row>
    <x:row r="333" ht="42" customHeight="1">
      <x:c r="A333" s="28" t="b">
        <x:v>0</x:v>
      </x:c>
      <x:c r="B333" s="2" t="str">
        <x:v>Cycle 3</x:v>
      </x:c>
      <x:c r="C333" s="2" t="str">
        <x:v>Phase 1</x:v>
      </x:c>
      <x:c r="D333" s="2" t="str">
        <x:v>Auto</x:v>
      </x:c>
      <x:c r="E333" s="56" t="str">
        <x:v>RA.AU.1.2</x:v>
      </x:c>
      <x:c r="F333" s="14" t="str">
        <x:v>Conduct initial assessment of each topic recommendation from SharePoint list</x:v>
      </x:c>
      <x:c r="G333" s="5"/>
      <x:c r="H333" s="11"/>
      <x:c r="I333" s="11" t="n">
        <x:f>'Cycles &amp; Guide'!$D$12</x:f>
        <x:v>46295</x:v>
      </x:c>
      <x:c r="J333" s="11"/>
      <x:c r="K333" s="29"/>
      <x:c r="L333" s="2" t="str">
        <x:f>IF(O333=1,"Complete",IF(A333,"Checklist open",IF(H333&lt;&gt;"","In progress","Not started")))</x:f>
        <x:v>Not started</x:v>
      </x:c>
      <x:c r="M333" s="2" t="str">
        <x:v>Task</x:v>
      </x:c>
      <x:c r="N333" s="2" t="str">
        <x:v>RA.AU.1.2.2026.CY3</x:v>
      </x:c>
      <x:c r="O333" s="2" t="n">
        <x:f>R333</x:f>
        <x:v>0</x:v>
      </x:c>
      <x:c r="P333" s="2"/>
      <x:c r="Q333" s="2" t="n">
        <x:v>1</x:v>
      </x:c>
      <x:c r="R333" s="2" t="n">
        <x:f>IF(A333,1,0)</x:f>
        <x:v>0</x:v>
      </x:c>
      <x:c r="S333" s="2" t="n">
        <x:f>SUBTOTAL(103,N333)</x:f>
        <x:v>1</x:v>
      </x:c>
    </x:row>
    <x:row r="334" ht="42" customHeight="1">
      <x:c r="A334" s="28" t="b">
        <x:v>0</x:v>
      </x:c>
      <x:c r="B334" s="2" t="str">
        <x:v>Cycle 3</x:v>
      </x:c>
      <x:c r="C334" s="2" t="str">
        <x:v>Phase 1</x:v>
      </x:c>
      <x:c r="D334" s="2" t="str">
        <x:v>Auto</x:v>
      </x:c>
      <x:c r="E334" s="56" t="str">
        <x:v>RA.AU.1.3</x:v>
      </x:c>
      <x:c r="F334" s="14" t="str">
        <x:v>Identify best topic for Cycle</x:v>
      </x:c>
      <x:c r="G334" s="5"/>
      <x:c r="H334" s="11"/>
      <x:c r="I334" s="11" t="n">
        <x:f>'Cycles &amp; Guide'!$D$12</x:f>
        <x:v>46295</x:v>
      </x:c>
      <x:c r="J334" s="11"/>
      <x:c r="K334" s="29"/>
      <x:c r="L334" s="2" t="str">
        <x:f>IF(O334=1,"Complete",IF(A334,"Checklist open",IF(H334&lt;&gt;"","In progress","Not started")))</x:f>
        <x:v>Not started</x:v>
      </x:c>
      <x:c r="M334" s="2" t="str">
        <x:v>Task</x:v>
      </x:c>
      <x:c r="N334" s="2" t="str">
        <x:v>RA.AU.1.3.2026.CY3</x:v>
      </x:c>
      <x:c r="O334" s="2" t="n">
        <x:f>R334</x:f>
        <x:v>0</x:v>
      </x:c>
      <x:c r="P334" s="2"/>
      <x:c r="Q334" s="2" t="n">
        <x:v>1</x:v>
      </x:c>
      <x:c r="R334" s="2" t="n">
        <x:f>IF(A334,1,0)</x:f>
        <x:v>0</x:v>
      </x:c>
      <x:c r="S334" s="2" t="n">
        <x:f>SUBTOTAL(103,N334)</x:f>
        <x:v>1</x:v>
      </x:c>
    </x:row>
    <x:row r="335" ht="42" customHeight="1">
      <x:c r="A335" s="28" t="b">
        <x:v>0</x:v>
      </x:c>
      <x:c r="B335" s="2" t="str">
        <x:v>Cycle 3</x:v>
      </x:c>
      <x:c r="C335" s="2" t="str">
        <x:v>Phase 1</x:v>
      </x:c>
      <x:c r="D335" s="2" t="str">
        <x:v>Auto</x:v>
      </x:c>
      <x:c r="E335" s="56" t="str">
        <x:v>RA.AU.1.4</x:v>
      </x:c>
      <x:c r="F335" s="14" t="str">
        <x:v>Identify backup topic for Cycle</x:v>
      </x:c>
      <x:c r="G335" s="5"/>
      <x:c r="H335" s="11"/>
      <x:c r="I335" s="11" t="n">
        <x:f>'Cycles &amp; Guide'!$D$12</x:f>
        <x:v>46295</x:v>
      </x:c>
      <x:c r="J335" s="11"/>
      <x:c r="K335" s="29"/>
      <x:c r="L335" s="2" t="str">
        <x:f>IF(O335=1,"Complete",IF(A335,"Checklist open",IF(H335&lt;&gt;"","In progress","Not started")))</x:f>
        <x:v>Not started</x:v>
      </x:c>
      <x:c r="M335" s="2" t="str">
        <x:v>Task</x:v>
      </x:c>
      <x:c r="N335" s="2" t="str">
        <x:v>RA.AU.1.4.2026.CY3</x:v>
      </x:c>
      <x:c r="O335" s="2" t="n">
        <x:f>R335</x:f>
        <x:v>0</x:v>
      </x:c>
      <x:c r="P335" s="2"/>
      <x:c r="Q335" s="2" t="n">
        <x:v>1</x:v>
      </x:c>
      <x:c r="R335" s="2" t="n">
        <x:f>IF(A335,1,0)</x:f>
        <x:v>0</x:v>
      </x:c>
      <x:c r="S335" s="2" t="n">
        <x:f>SUBTOTAL(103,N335)</x:f>
        <x:v>1</x:v>
      </x:c>
    </x:row>
    <x:row r="336" ht="42" customHeight="1">
      <x:c r="A336" s="28" t="b">
        <x:v>0</x:v>
      </x:c>
      <x:c r="B336" s="2" t="str">
        <x:v>Cycle 3</x:v>
      </x:c>
      <x:c r="C336" s="2" t="str">
        <x:v>Phase 1</x:v>
      </x:c>
      <x:c r="D336" s="2" t="str">
        <x:v>Auto</x:v>
      </x:c>
      <x:c r="E336" s="56" t="str">
        <x:v>RA.AU.1.5</x:v>
      </x:c>
      <x:c r="F336" s="14" t="str">
        <x:v>Schedule topic approval meeting with D&amp;I and management</x:v>
      </x:c>
      <x:c r="G336" s="5"/>
      <x:c r="H336" s="11"/>
      <x:c r="I336" s="11" t="n">
        <x:f>'Cycles &amp; Guide'!$D$12</x:f>
        <x:v>46295</x:v>
      </x:c>
      <x:c r="J336" s="11"/>
      <x:c r="K336" s="29"/>
      <x:c r="L336" s="2" t="str">
        <x:f>IF(O336=1,"Complete",IF(A336,"Checklist open",IF(H336&lt;&gt;"","In progress","Not started")))</x:f>
        <x:v>Not started</x:v>
      </x:c>
      <x:c r="M336" s="2" t="str">
        <x:v>Task</x:v>
      </x:c>
      <x:c r="N336" s="2" t="str">
        <x:v>RA.AU.1.5.2026.CY3</x:v>
      </x:c>
      <x:c r="O336" s="2" t="n">
        <x:f>R336</x:f>
        <x:v>0</x:v>
      </x:c>
      <x:c r="P336" s="2"/>
      <x:c r="Q336" s="2" t="n">
        <x:v>1</x:v>
      </x:c>
      <x:c r="R336" s="2" t="n">
        <x:f>IF(A336,1,0)</x:f>
        <x:v>0</x:v>
      </x:c>
      <x:c r="S336" s="2" t="n">
        <x:f>SUBTOTAL(103,N336)</x:f>
        <x:v>1</x:v>
      </x:c>
    </x:row>
    <x:row r="337" ht="42" customHeight="1">
      <x:c r="A337" s="28" t="b">
        <x:v>0</x:v>
      </x:c>
      <x:c r="B337" s="2" t="str">
        <x:v>Cycle 3</x:v>
      </x:c>
      <x:c r="C337" s="2" t="str">
        <x:v>Phase 1</x:v>
      </x:c>
      <x:c r="D337" s="2" t="str">
        <x:v>Auto</x:v>
      </x:c>
      <x:c r="E337" s="56" t="str">
        <x:v>RA.AU.1.6</x:v>
      </x:c>
      <x:c r="F337" s="14" t="str">
        <x:v>Present recommended topic to D&amp;I and management for approval</x:v>
      </x:c>
      <x:c r="G337" s="5"/>
      <x:c r="H337" s="11"/>
      <x:c r="I337" s="11" t="n">
        <x:f>'Cycles &amp; Guide'!$D$12</x:f>
        <x:v>46295</x:v>
      </x:c>
      <x:c r="J337" s="11"/>
      <x:c r="K337" s="29"/>
      <x:c r="L337" s="2" t="str">
        <x:f>IF(O337=1,"Complete",IF(A337,"Checklist open",IF(H337&lt;&gt;"","In progress","Not started")))</x:f>
        <x:v>Not started</x:v>
      </x:c>
      <x:c r="M337" s="2" t="str">
        <x:v>Task</x:v>
      </x:c>
      <x:c r="N337" s="2" t="str">
        <x:v>RA.AU.1.6.2026.CY3</x:v>
      </x:c>
      <x:c r="O337" s="2" t="n">
        <x:f>R337</x:f>
        <x:v>0</x:v>
      </x:c>
      <x:c r="P337" s="2"/>
      <x:c r="Q337" s="2" t="n">
        <x:v>1</x:v>
      </x:c>
      <x:c r="R337" s="2" t="n">
        <x:f>IF(A337,1,0)</x:f>
        <x:v>0</x:v>
      </x:c>
      <x:c r="S337" s="2" t="n">
        <x:f>SUBTOTAL(103,N337)</x:f>
        <x:v>1</x:v>
      </x:c>
    </x:row>
    <x:row r="338" ht="42" customHeight="1">
      <x:c r="A338" s="28" t="b">
        <x:v>0</x:v>
      </x:c>
      <x:c r="B338" s="2" t="str">
        <x:v>Cycle 3</x:v>
      </x:c>
      <x:c r="C338" s="2" t="str">
        <x:v>Phase 1</x:v>
      </x:c>
      <x:c r="D338" s="2" t="str">
        <x:v>Auto</x:v>
      </x:c>
      <x:c r="E338" s="56" t="str">
        <x:v>RA.AU.1.7</x:v>
      </x:c>
      <x:c r="F338" s="14" t="str">
        <x:v>Obtain formal topic selection approval from management via SharePoint</x:v>
      </x:c>
      <x:c r="G338" s="5"/>
      <x:c r="H338" s="11"/>
      <x:c r="I338" s="11" t="n">
        <x:f>'Cycles &amp; Guide'!$D$12</x:f>
        <x:v>46295</x:v>
      </x:c>
      <x:c r="J338" s="11"/>
      <x:c r="K338" s="29"/>
      <x:c r="L338" s="2" t="str">
        <x:f>IF(O338=1,"Complete",IF(A338,"Checklist open",IF(H338&lt;&gt;"","In progress","Not started")))</x:f>
        <x:v>Not started</x:v>
      </x:c>
      <x:c r="M338" s="2" t="str">
        <x:v>Task</x:v>
      </x:c>
      <x:c r="N338" s="2" t="str">
        <x:v>RA.AU.1.7.2026.CY3</x:v>
      </x:c>
      <x:c r="O338" s="2" t="n">
        <x:f>R338</x:f>
        <x:v>0</x:v>
      </x:c>
      <x:c r="P338" s="2"/>
      <x:c r="Q338" s="2" t="n">
        <x:v>1</x:v>
      </x:c>
      <x:c r="R338" s="2" t="n">
        <x:f>IF(A338,1,0)</x:f>
        <x:v>0</x:v>
      </x:c>
      <x:c r="S338" s="2" t="n">
        <x:f>SUBTOTAL(103,N338)</x:f>
        <x:v>1</x:v>
      </x:c>
    </x:row>
    <x:row r="339" ht="42" customHeight="1">
      <x:c r="A339" s="28" t="b">
        <x:v>0</x:v>
      </x:c>
      <x:c r="B339" s="2" t="str">
        <x:v>Cycle 3</x:v>
      </x:c>
      <x:c r="C339" s="2" t="str">
        <x:v>Phase 1</x:v>
      </x:c>
      <x:c r="D339" s="2" t="str">
        <x:v>Auto</x:v>
      </x:c>
      <x:c r="E339" s="56" t="str">
        <x:v>RA.AU.1.8</x:v>
      </x:c>
      <x:c r="F339" s="14" t="str">
        <x:v>Socialize topic selection with product owners and subject matter experts (if known)</x:v>
      </x:c>
      <x:c r="G339" s="5"/>
      <x:c r="H339" s="11"/>
      <x:c r="I339" s="11" t="n">
        <x:f>'Cycles &amp; Guide'!$D$12</x:f>
        <x:v>46295</x:v>
      </x:c>
      <x:c r="J339" s="11"/>
      <x:c r="K339" s="29"/>
      <x:c r="L339" s="2" t="str">
        <x:f>IF(O339=1,"Complete",IF(A339,"Checklist open",IF(H339&lt;&gt;"","In progress","Not started")))</x:f>
        <x:v>Not started</x:v>
      </x:c>
      <x:c r="M339" s="2" t="str">
        <x:v>Task</x:v>
      </x:c>
      <x:c r="N339" s="2" t="str">
        <x:v>RA.AU.1.8.2026.CY3</x:v>
      </x:c>
      <x:c r="O339" s="2" t="n">
        <x:f>R339</x:f>
        <x:v>0</x:v>
      </x:c>
      <x:c r="P339" s="2"/>
      <x:c r="Q339" s="2" t="n">
        <x:v>1</x:v>
      </x:c>
      <x:c r="R339" s="2" t="n">
        <x:f>IF(A339,1,0)</x:f>
        <x:v>0</x:v>
      </x:c>
      <x:c r="S339" s="2" t="n">
        <x:f>SUBTOTAL(103,N339)</x:f>
        <x:v>1</x:v>
      </x:c>
    </x:row>
    <x:row r="340" ht="42" customHeight="1">
      <x:c r="A340" s="28" t="b">
        <x:v>0</x:v>
      </x:c>
      <x:c r="B340" s="2" t="str">
        <x:v>Cycle 3</x:v>
      </x:c>
      <x:c r="C340" s="2" t="str">
        <x:v>Phase 1</x:v>
      </x:c>
      <x:c r="D340" s="2" t="str">
        <x:v>Auto</x:v>
      </x:c>
      <x:c r="E340" s="56" t="str">
        <x:v>RA.AU.1.9</x:v>
      </x:c>
      <x:c r="F340" s="14" t="str">
        <x:v>Assign topic researchers</x:v>
      </x:c>
      <x:c r="G340" s="5"/>
      <x:c r="H340" s="11"/>
      <x:c r="I340" s="11" t="n">
        <x:f>'Cycles &amp; Guide'!$D$12</x:f>
        <x:v>46295</x:v>
      </x:c>
      <x:c r="J340" s="11"/>
      <x:c r="K340" s="29"/>
      <x:c r="L340" s="2" t="str">
        <x:f>IF(O340=1,"Complete",IF(A340,"Checklist open",IF(H340&lt;&gt;"","In progress","Not started")))</x:f>
        <x:v>Not started</x:v>
      </x:c>
      <x:c r="M340" s="2" t="str">
        <x:v>Task</x:v>
      </x:c>
      <x:c r="N340" s="2" t="str">
        <x:v>RA.AU.1.9.2026.CY3</x:v>
      </x:c>
      <x:c r="O340" s="2" t="n">
        <x:f>R340</x:f>
        <x:v>0</x:v>
      </x:c>
      <x:c r="P340" s="2"/>
      <x:c r="Q340" s="2" t="n">
        <x:v>1</x:v>
      </x:c>
      <x:c r="R340" s="2" t="n">
        <x:f>IF(A340,1,0)</x:f>
        <x:v>0</x:v>
      </x:c>
      <x:c r="S340" s="2" t="n">
        <x:f>SUBTOTAL(103,N340)</x:f>
        <x:v>1</x:v>
      </x:c>
    </x:row>
    <x:row r="341" ht="42" customHeight="1">
      <x:c r="A341" s="28" t="b">
        <x:v>0</x:v>
      </x:c>
      <x:c r="B341" s="2" t="str">
        <x:v>Cycle 3</x:v>
      </x:c>
      <x:c r="C341" s="2" t="str">
        <x:v>Phase 2</x:v>
      </x:c>
      <x:c r="D341" s="2" t="str">
        <x:v>Auto</x:v>
      </x:c>
      <x:c r="E341" s="56" t="str">
        <x:v>RA.AU.2.1</x:v>
      </x:c>
      <x:c r="F341" s="14" t="str">
        <x:v>Review data sources</x:v>
      </x:c>
      <x:c r="G341" s="5"/>
      <x:c r="H341" s="11"/>
      <x:c r="I341" s="11" t="n">
        <x:f>'Cycles &amp; Guide'!$D$12</x:f>
        <x:v>46295</x:v>
      </x:c>
      <x:c r="J341" s="11"/>
      <x:c r="K341" s="29"/>
      <x:c r="L341" s="2" t="str">
        <x:f>IF(O341=1,"Complete",IF(A341,"Checklist open",IF(H341&lt;&gt;"","In progress","Not started")))</x:f>
        <x:v>Not started</x:v>
      </x:c>
      <x:c r="M341" s="2" t="str">
        <x:v>Task</x:v>
      </x:c>
      <x:c r="N341" s="2" t="str">
        <x:v>RA.AU.2.1.2026.CY3</x:v>
      </x:c>
      <x:c r="O341" s="2" t="n">
        <x:f>R341</x:f>
        <x:v>0</x:v>
      </x:c>
      <x:c r="P341" s="2"/>
      <x:c r="Q341" s="2" t="n">
        <x:v>1</x:v>
      </x:c>
      <x:c r="R341" s="2" t="n">
        <x:f>IF(A341,1,0)</x:f>
        <x:v>0</x:v>
      </x:c>
      <x:c r="S341" s="2" t="n">
        <x:f>SUBTOTAL(103,N341)</x:f>
        <x:v>1</x:v>
      </x:c>
    </x:row>
    <x:row r="342" ht="42" customHeight="1">
      <x:c r="A342" s="28" t="b">
        <x:v>0</x:v>
      </x:c>
      <x:c r="B342" s="2" t="str">
        <x:v>Cycle 3</x:v>
      </x:c>
      <x:c r="C342" s="2" t="str">
        <x:v>Phase 2</x:v>
      </x:c>
      <x:c r="D342" s="2" t="str">
        <x:v>Auto</x:v>
      </x:c>
      <x:c r="E342" s="56" t="str">
        <x:v>RA.AU.2.2</x:v>
      </x:c>
      <x:c r="F342" s="14" t="str">
        <x:v>Review relevant policies and procedures</x:v>
      </x:c>
      <x:c r="G342" s="5"/>
      <x:c r="H342" s="11"/>
      <x:c r="I342" s="11" t="n">
        <x:f>'Cycles &amp; Guide'!$D$12</x:f>
        <x:v>46295</x:v>
      </x:c>
      <x:c r="J342" s="11"/>
      <x:c r="K342" s="29"/>
      <x:c r="L342" s="2" t="str">
        <x:f>IF(O342=1,"Complete",IF(A342,"Checklist open",IF(H342&lt;&gt;"","In progress","Not started")))</x:f>
        <x:v>Not started</x:v>
      </x:c>
      <x:c r="M342" s="2" t="str">
        <x:v>Task</x:v>
      </x:c>
      <x:c r="N342" s="2" t="str">
        <x:v>RA.AU.2.2.2026.CY3</x:v>
      </x:c>
      <x:c r="O342" s="2" t="n">
        <x:f>R342</x:f>
        <x:v>0</x:v>
      </x:c>
      <x:c r="P342" s="2"/>
      <x:c r="Q342" s="2" t="n">
        <x:v>1</x:v>
      </x:c>
      <x:c r="R342" s="2" t="n">
        <x:f>IF(A342,1,0)</x:f>
        <x:v>0</x:v>
      </x:c>
      <x:c r="S342" s="2" t="n">
        <x:f>SUBTOTAL(103,N342)</x:f>
        <x:v>1</x:v>
      </x:c>
    </x:row>
    <x:row r="343" ht="42" customHeight="1">
      <x:c r="A343" s="28" t="b">
        <x:v>0</x:v>
      </x:c>
      <x:c r="B343" s="2" t="str">
        <x:v>Cycle 3</x:v>
      </x:c>
      <x:c r="C343" s="2" t="str">
        <x:v>Phase 2</x:v>
      </x:c>
      <x:c r="D343" s="2" t="str">
        <x:v>Auto</x:v>
      </x:c>
      <x:c r="E343" s="56" t="str">
        <x:v>RA.AU.2.3</x:v>
      </x:c>
      <x:c r="F343" s="14" t="str">
        <x:v>Meet with SMEs to gain business insight and clarify questions</x:v>
      </x:c>
      <x:c r="G343" s="5"/>
      <x:c r="H343" s="11"/>
      <x:c r="I343" s="11" t="n">
        <x:f>'Cycles &amp; Guide'!$D$12</x:f>
        <x:v>46295</x:v>
      </x:c>
      <x:c r="J343" s="11"/>
      <x:c r="K343" s="29"/>
      <x:c r="L343" s="2" t="str">
        <x:f>IF(O343=1,"Complete",IF(A343,"Checklist open",IF(H343&lt;&gt;"","In progress","Not started")))</x:f>
        <x:v>Not started</x:v>
      </x:c>
      <x:c r="M343" s="2" t="str">
        <x:v>Task</x:v>
      </x:c>
      <x:c r="N343" s="2" t="str">
        <x:v>RA.AU.2.3.2026.CY3</x:v>
      </x:c>
      <x:c r="O343" s="2" t="n">
        <x:f>R343</x:f>
        <x:v>0</x:v>
      </x:c>
      <x:c r="P343" s="2"/>
      <x:c r="Q343" s="2" t="n">
        <x:v>1</x:v>
      </x:c>
      <x:c r="R343" s="2" t="n">
        <x:f>IF(A343,1,0)</x:f>
        <x:v>0</x:v>
      </x:c>
      <x:c r="S343" s="2" t="n">
        <x:f>SUBTOTAL(103,N343)</x:f>
        <x:v>1</x:v>
      </x:c>
    </x:row>
    <x:row r="344" ht="42" customHeight="1">
      <x:c r="A344" s="28" t="b">
        <x:v>0</x:v>
      </x:c>
      <x:c r="B344" s="2" t="str">
        <x:v>Cycle 3</x:v>
      </x:c>
      <x:c r="C344" s="2" t="str">
        <x:v>Phase 2</x:v>
      </x:c>
      <x:c r="D344" s="2" t="str">
        <x:v>Auto</x:v>
      </x:c>
      <x:c r="E344" s="56" t="str">
        <x:v>RA.AU.2.4</x:v>
      </x:c>
      <x:c r="F344" s="14" t="str">
        <x:v>Establish and maintain a recurring meeting with D&amp;I to discuss Cycle progress</x:v>
      </x:c>
      <x:c r="G344" s="5"/>
      <x:c r="H344" s="11"/>
      <x:c r="I344" s="11" t="n">
        <x:f>'Cycles &amp; Guide'!$D$12</x:f>
        <x:v>46295</x:v>
      </x:c>
      <x:c r="J344" s="11"/>
      <x:c r="K344" s="29"/>
      <x:c r="L344" s="2" t="str">
        <x:f>IF(O344=1,"Complete",IF(A344,"Checklist open",IF(H344&lt;&gt;"","In progress","Not started")))</x:f>
        <x:v>Not started</x:v>
      </x:c>
      <x:c r="M344" s="2" t="str">
        <x:v>Task</x:v>
      </x:c>
      <x:c r="N344" s="2" t="str">
        <x:v>RA.AU.2.4.2026.CY3</x:v>
      </x:c>
      <x:c r="O344" s="2" t="n">
        <x:f>R344</x:f>
        <x:v>0</x:v>
      </x:c>
      <x:c r="P344" s="2"/>
      <x:c r="Q344" s="2" t="n">
        <x:v>1</x:v>
      </x:c>
      <x:c r="R344" s="2" t="n">
        <x:f>IF(A344,1,0)</x:f>
        <x:v>0</x:v>
      </x:c>
      <x:c r="S344" s="2" t="n">
        <x:f>SUBTOTAL(103,N344)</x:f>
        <x:v>1</x:v>
      </x:c>
    </x:row>
    <x:row r="345" ht="42" customHeight="1">
      <x:c r="A345" s="28" t="b">
        <x:v>0</x:v>
      </x:c>
      <x:c r="B345" s="2" t="str">
        <x:v>Cycle 3</x:v>
      </x:c>
      <x:c r="C345" s="2" t="str">
        <x:v>Phase 2</x:v>
      </x:c>
      <x:c r="D345" s="2" t="str">
        <x:v>Auto</x:v>
      </x:c>
      <x:c r="E345" s="56" t="str">
        <x:v>RA.AU.2.5</x:v>
      </x:c>
      <x:c r="F345" s="14" t="str">
        <x:v>Perform data testing and sampling</x:v>
      </x:c>
      <x:c r="G345" s="5"/>
      <x:c r="H345" s="11"/>
      <x:c r="I345" s="11" t="n">
        <x:f>'Cycles &amp; Guide'!$D$12</x:f>
        <x:v>46295</x:v>
      </x:c>
      <x:c r="J345" s="11"/>
      <x:c r="K345" s="29"/>
      <x:c r="L345" s="2" t="str">
        <x:f>IF(O345=1,"Complete",IF(A345,"Checklist open",IF(H345&lt;&gt;"","In progress","Not started")))</x:f>
        <x:v>Not started</x:v>
      </x:c>
      <x:c r="M345" s="2" t="str">
        <x:v>Task</x:v>
      </x:c>
      <x:c r="N345" s="2" t="str">
        <x:v>RA.AU.2.5.2026.CY3</x:v>
      </x:c>
      <x:c r="O345" s="2" t="n">
        <x:f>R345</x:f>
        <x:v>0</x:v>
      </x:c>
      <x:c r="P345" s="2"/>
      <x:c r="Q345" s="2" t="n">
        <x:v>1</x:v>
      </x:c>
      <x:c r="R345" s="2" t="n">
        <x:f>IF(A345,1,0)</x:f>
        <x:v>0</x:v>
      </x:c>
      <x:c r="S345" s="2" t="n">
        <x:f>SUBTOTAL(103,N345)</x:f>
        <x:v>1</x:v>
      </x:c>
    </x:row>
    <x:row r="346" ht="42" customHeight="1">
      <x:c r="A346" s="28" t="b">
        <x:v>0</x:v>
      </x:c>
      <x:c r="B346" s="2" t="str">
        <x:v>Cycle 3</x:v>
      </x:c>
      <x:c r="C346" s="2" t="str">
        <x:v>Phase 2</x:v>
      </x:c>
      <x:c r="D346" s="2" t="str">
        <x:v>Auto</x:v>
      </x:c>
      <x:c r="E346" s="56" t="str">
        <x:v>RA.AU.2.6</x:v>
      </x:c>
      <x:c r="F346" s="14" t="str">
        <x:v>Complete Positive Testing</x:v>
      </x:c>
      <x:c r="G346" s="5"/>
      <x:c r="H346" s="11"/>
      <x:c r="I346" s="11" t="n">
        <x:f>'Cycles &amp; Guide'!$D$12</x:f>
        <x:v>46295</x:v>
      </x:c>
      <x:c r="J346" s="11"/>
      <x:c r="K346" s="29"/>
      <x:c r="L346" s="2" t="str">
        <x:f>IF(O346=1,"Complete",IF(A346,"Checklist open",IF(H346&lt;&gt;"","In progress","Not started")))</x:f>
        <x:v>Not started</x:v>
      </x:c>
      <x:c r="M346" s="2" t="str">
        <x:v>Task</x:v>
      </x:c>
      <x:c r="N346" s="2" t="str">
        <x:v>RA.AU.2.6.2026.CY3</x:v>
      </x:c>
      <x:c r="O346" s="2" t="n">
        <x:f>R346</x:f>
        <x:v>0</x:v>
      </x:c>
      <x:c r="P346" s="2"/>
      <x:c r="Q346" s="2" t="n">
        <x:v>1</x:v>
      </x:c>
      <x:c r="R346" s="2" t="n">
        <x:f>IF(A346,1,0)</x:f>
        <x:v>0</x:v>
      </x:c>
      <x:c r="S346" s="2" t="n">
        <x:f>SUBTOTAL(103,N346)</x:f>
        <x:v>1</x:v>
      </x:c>
    </x:row>
    <x:row r="347" ht="42" customHeight="1">
      <x:c r="A347" s="28" t="b">
        <x:v>0</x:v>
      </x:c>
      <x:c r="B347" s="2" t="str">
        <x:v>Cycle 3</x:v>
      </x:c>
      <x:c r="C347" s="2" t="str">
        <x:v>Phase 2</x:v>
      </x:c>
      <x:c r="D347" s="2" t="str">
        <x:v>Auto</x:v>
      </x:c>
      <x:c r="E347" s="56" t="str">
        <x:v>RA.AU.2.7</x:v>
      </x:c>
      <x:c r="F347" s="14" t="str">
        <x:v>Complete Negative Testing</x:v>
      </x:c>
      <x:c r="G347" s="5"/>
      <x:c r="H347" s="11"/>
      <x:c r="I347" s="11" t="n">
        <x:f>'Cycles &amp; Guide'!$D$12</x:f>
        <x:v>46295</x:v>
      </x:c>
      <x:c r="J347" s="11"/>
      <x:c r="K347" s="29"/>
      <x:c r="L347" s="2" t="str">
        <x:f>IF(O347=1,"Complete",IF(A347,"Checklist open",IF(H347&lt;&gt;"","In progress","Not started")))</x:f>
        <x:v>Not started</x:v>
      </x:c>
      <x:c r="M347" s="2" t="str">
        <x:v>Task</x:v>
      </x:c>
      <x:c r="N347" s="2" t="str">
        <x:v>RA.AU.2.7.2026.CY3</x:v>
      </x:c>
      <x:c r="O347" s="2" t="n">
        <x:f>R347</x:f>
        <x:v>0</x:v>
      </x:c>
      <x:c r="P347" s="2"/>
      <x:c r="Q347" s="2" t="n">
        <x:v>1</x:v>
      </x:c>
      <x:c r="R347" s="2" t="n">
        <x:f>IF(A347,1,0)</x:f>
        <x:v>0</x:v>
      </x:c>
      <x:c r="S347" s="2" t="n">
        <x:f>SUBTOTAL(103,N347)</x:f>
        <x:v>1</x:v>
      </x:c>
    </x:row>
    <x:row r="348" ht="42" customHeight="1">
      <x:c r="A348" s="28" t="b">
        <x:v>0</x:v>
      </x:c>
      <x:c r="B348" s="2" t="str">
        <x:v>Cycle 3</x:v>
      </x:c>
      <x:c r="C348" s="2" t="str">
        <x:v>Phase 2</x:v>
      </x:c>
      <x:c r="D348" s="2" t="str">
        <x:v>Auto</x:v>
      </x:c>
      <x:c r="E348" s="56" t="str">
        <x:v>RA.AU.2.8</x:v>
      </x:c>
      <x:c r="F348" s="14" t="str">
        <x:v>Request additional data (as needed)</x:v>
      </x:c>
      <x:c r="G348" s="5"/>
      <x:c r="H348" s="11"/>
      <x:c r="I348" s="11" t="n">
        <x:f>'Cycles &amp; Guide'!$D$12</x:f>
        <x:v>46295</x:v>
      </x:c>
      <x:c r="J348" s="11"/>
      <x:c r="K348" s="29"/>
      <x:c r="L348" s="2" t="str">
        <x:f>IF(O348=1,"Complete",IF(A348,"Checklist open",IF(H348&lt;&gt;"","In progress","Not started")))</x:f>
        <x:v>Not started</x:v>
      </x:c>
      <x:c r="M348" s="2" t="str">
        <x:v>Task</x:v>
      </x:c>
      <x:c r="N348" s="2" t="str">
        <x:v>RA.AU.2.8.2026.CY3</x:v>
      </x:c>
      <x:c r="O348" s="2" t="n">
        <x:f>R348</x:f>
        <x:v>0</x:v>
      </x:c>
      <x:c r="P348" s="2"/>
      <x:c r="Q348" s="2" t="n">
        <x:v>1</x:v>
      </x:c>
      <x:c r="R348" s="2" t="n">
        <x:f>IF(A348,1,0)</x:f>
        <x:v>0</x:v>
      </x:c>
      <x:c r="S348" s="2" t="n">
        <x:f>SUBTOTAL(103,N348)</x:f>
        <x:v>1</x:v>
      </x:c>
    </x:row>
    <x:row r="349" ht="42" customHeight="1">
      <x:c r="A349" s="28" t="b">
        <x:v>0</x:v>
      </x:c>
      <x:c r="B349" s="2" t="str">
        <x:v>Cycle 3</x:v>
      </x:c>
      <x:c r="C349" s="2" t="str">
        <x:v>Phase 2</x:v>
      </x:c>
      <x:c r="D349" s="2" t="str">
        <x:v>Auto</x:v>
      </x:c>
      <x:c r="E349" s="56" t="str">
        <x:v>RA.AU.2.9</x:v>
      </x:c>
      <x:c r="F349" s="14" t="str">
        <x:v>Validate or disprove initial hypothesis assumptions</x:v>
      </x:c>
      <x:c r="G349" s="5"/>
      <x:c r="H349" s="11"/>
      <x:c r="I349" s="11" t="n">
        <x:f>'Cycles &amp; Guide'!$D$12</x:f>
        <x:v>46295</x:v>
      </x:c>
      <x:c r="J349" s="11"/>
      <x:c r="K349" s="29"/>
      <x:c r="L349" s="2" t="str">
        <x:f>IF(O349=1,"Complete",IF(A349,"Checklist open",IF(H349&lt;&gt;"","In progress","Not started")))</x:f>
        <x:v>Not started</x:v>
      </x:c>
      <x:c r="M349" s="2" t="str">
        <x:v>Task</x:v>
      </x:c>
      <x:c r="N349" s="2" t="str">
        <x:v>RA.AU.2.9.2026.CY3</x:v>
      </x:c>
      <x:c r="O349" s="2" t="n">
        <x:f>R349</x:f>
        <x:v>0</x:v>
      </x:c>
      <x:c r="P349" s="2"/>
      <x:c r="Q349" s="2" t="n">
        <x:v>1</x:v>
      </x:c>
      <x:c r="R349" s="2" t="n">
        <x:f>IF(A349,1,0)</x:f>
        <x:v>0</x:v>
      </x:c>
      <x:c r="S349" s="2" t="n">
        <x:f>SUBTOTAL(103,N349)</x:f>
        <x:v>1</x:v>
      </x:c>
    </x:row>
    <x:row r="350" ht="42" customHeight="1">
      <x:c r="A350" s="28" t="b">
        <x:v>0</x:v>
      </x:c>
      <x:c r="B350" s="2" t="str">
        <x:v>Cycle 3</x:v>
      </x:c>
      <x:c r="C350" s="2" t="str">
        <x:v>Phase 2</x:v>
      </x:c>
      <x:c r="D350" s="2" t="str">
        <x:v>Auto</x:v>
      </x:c>
      <x:c r="E350" s="56" t="str">
        <x:v>RA.AU.2.10</x:v>
      </x:c>
      <x:c r="F350" s="14" t="str">
        <x:v>Identify and confirm root cause</x:v>
      </x:c>
      <x:c r="G350" s="5"/>
      <x:c r="H350" s="11"/>
      <x:c r="I350" s="11" t="n">
        <x:f>'Cycles &amp; Guide'!$D$12</x:f>
        <x:v>46295</x:v>
      </x:c>
      <x:c r="J350" s="11"/>
      <x:c r="K350" s="29"/>
      <x:c r="L350" s="2" t="str">
        <x:f>IF(O350=1,"Complete",IF(A350,"Checklist open",IF(H350&lt;&gt;"","In progress","Not started")))</x:f>
        <x:v>Not started</x:v>
      </x:c>
      <x:c r="M350" s="2" t="str">
        <x:v>Task</x:v>
      </x:c>
      <x:c r="N350" s="2" t="str">
        <x:v>RA.AU.2.10.2026.CY3</x:v>
      </x:c>
      <x:c r="O350" s="2" t="n">
        <x:f>R350</x:f>
        <x:v>0</x:v>
      </x:c>
      <x:c r="P350" s="2"/>
      <x:c r="Q350" s="2" t="n">
        <x:v>1</x:v>
      </x:c>
      <x:c r="R350" s="2" t="n">
        <x:f>IF(A350,1,0)</x:f>
        <x:v>0</x:v>
      </x:c>
      <x:c r="S350" s="2" t="n">
        <x:f>SUBTOTAL(103,N350)</x:f>
        <x:v>1</x:v>
      </x:c>
    </x:row>
    <x:row r="351" ht="42" customHeight="1">
      <x:c r="A351" s="28" t="b">
        <x:v>0</x:v>
      </x:c>
      <x:c r="B351" s="2" t="str">
        <x:v>Cycle 3</x:v>
      </x:c>
      <x:c r="C351" s="2" t="str">
        <x:v>Phase 3</x:v>
      </x:c>
      <x:c r="D351" s="2" t="str">
        <x:v>Auto</x:v>
      </x:c>
      <x:c r="E351" s="56" t="str">
        <x:v>RA.AU.3.1</x:v>
      </x:c>
      <x:c r="F351" s="14" t="str">
        <x:v>Finalize results and supporting documentation</x:v>
      </x:c>
      <x:c r="G351" s="5"/>
      <x:c r="H351" s="11"/>
      <x:c r="I351" s="11" t="n">
        <x:f>'Cycles &amp; Guide'!$D$12</x:f>
        <x:v>46295</x:v>
      </x:c>
      <x:c r="J351" s="11"/>
      <x:c r="K351" s="29"/>
      <x:c r="L351" s="2" t="str">
        <x:f>IF(O351=1,"Complete",IF(A351,"Checklist open",IF(H351&lt;&gt;"","In progress","Not started")))</x:f>
        <x:v>Not started</x:v>
      </x:c>
      <x:c r="M351" s="2" t="str">
        <x:v>Task</x:v>
      </x:c>
      <x:c r="N351" s="2" t="str">
        <x:v>RA.AU.3.1.2026.CY3</x:v>
      </x:c>
      <x:c r="O351" s="2" t="n">
        <x:f>R351</x:f>
        <x:v>0</x:v>
      </x:c>
      <x:c r="P351" s="2"/>
      <x:c r="Q351" s="2" t="n">
        <x:v>1</x:v>
      </x:c>
      <x:c r="R351" s="2" t="n">
        <x:f>IF(A351,1,0)</x:f>
        <x:v>0</x:v>
      </x:c>
      <x:c r="S351" s="2" t="n">
        <x:f>SUBTOTAL(103,N351)</x:f>
        <x:v>1</x:v>
      </x:c>
    </x:row>
    <x:row r="352" ht="42" customHeight="1">
      <x:c r="A352" s="28" t="b">
        <x:v>0</x:v>
      </x:c>
      <x:c r="B352" s="2" t="str">
        <x:v>Cycle 3</x:v>
      </x:c>
      <x:c r="C352" s="2" t="str">
        <x:v>Phase 3</x:v>
      </x:c>
      <x:c r="D352" s="2" t="str">
        <x:v>Auto</x:v>
      </x:c>
      <x:c r="E352" s="56" t="str">
        <x:v>RA.AU.3.2</x:v>
      </x:c>
      <x:c r="F352" s="14" t="str">
        <x:v>Maintain and update the evidence package prior to handoff to D&amp;I</x:v>
      </x:c>
      <x:c r="G352" s="5"/>
      <x:c r="H352" s="11"/>
      <x:c r="I352" s="11" t="n">
        <x:f>'Cycles &amp; Guide'!$D$12</x:f>
        <x:v>46295</x:v>
      </x:c>
      <x:c r="J352" s="11"/>
      <x:c r="K352" s="29"/>
      <x:c r="L352" s="2" t="str">
        <x:f>IF(O352=1,"Complete",IF(A352,"Checklist open",IF(H352&lt;&gt;"","In progress","Not started")))</x:f>
        <x:v>Not started</x:v>
      </x:c>
      <x:c r="M352" s="2" t="str">
        <x:v>Task</x:v>
      </x:c>
      <x:c r="N352" s="2" t="str">
        <x:v>RA.AU.3.2.2026.CY3</x:v>
      </x:c>
      <x:c r="O352" s="2" t="n">
        <x:f>R352</x:f>
        <x:v>0</x:v>
      </x:c>
      <x:c r="P352" s="2"/>
      <x:c r="Q352" s="2" t="n">
        <x:v>1</x:v>
      </x:c>
      <x:c r="R352" s="2" t="n">
        <x:f>IF(A352,1,0)</x:f>
        <x:v>0</x:v>
      </x:c>
      <x:c r="S352" s="2" t="n">
        <x:f>SUBTOTAL(103,N352)</x:f>
        <x:v>1</x:v>
      </x:c>
    </x:row>
    <x:row r="353" ht="42" customHeight="1">
      <x:c r="A353" s="28" t="b">
        <x:v>0</x:v>
      </x:c>
      <x:c r="B353" s="2" t="str">
        <x:v>Cycle 3</x:v>
      </x:c>
      <x:c r="C353" s="2" t="str">
        <x:v>Phase 3</x:v>
      </x:c>
      <x:c r="D353" s="2" t="str">
        <x:v>Auto</x:v>
      </x:c>
      <x:c r="E353" s="56" t="str">
        <x:v>RA.AU.3.3</x:v>
      </x:c>
      <x:c r="F353" s="14" t="str">
        <x:v>Address any outstanding questions or requests from D&amp;I</x:v>
      </x:c>
      <x:c r="G353" s="5"/>
      <x:c r="H353" s="11"/>
      <x:c r="I353" s="11" t="n">
        <x:f>'Cycles &amp; Guide'!$D$12</x:f>
        <x:v>46295</x:v>
      </x:c>
      <x:c r="J353" s="11"/>
      <x:c r="K353" s="29"/>
      <x:c r="L353" s="2" t="str">
        <x:f>IF(O353=1,"Complete",IF(A353,"Checklist open",IF(H353&lt;&gt;"","In progress","Not started")))</x:f>
        <x:v>Not started</x:v>
      </x:c>
      <x:c r="M353" s="2" t="str">
        <x:v>Task</x:v>
      </x:c>
      <x:c r="N353" s="2" t="str">
        <x:v>RA.AU.3.3.2026.CY3</x:v>
      </x:c>
      <x:c r="O353" s="2" t="n">
        <x:f>R353</x:f>
        <x:v>0</x:v>
      </x:c>
      <x:c r="P353" s="2"/>
      <x:c r="Q353" s="2" t="n">
        <x:v>1</x:v>
      </x:c>
      <x:c r="R353" s="2" t="n">
        <x:f>IF(A353,1,0)</x:f>
        <x:v>0</x:v>
      </x:c>
      <x:c r="S353" s="2" t="n">
        <x:f>SUBTOTAL(103,N353)</x:f>
        <x:v>1</x:v>
      </x:c>
    </x:row>
    <x:row r="354" ht="42" customHeight="1">
      <x:c r="A354" s="28" t="b">
        <x:v>0</x:v>
      </x:c>
      <x:c r="B354" s="2" t="str">
        <x:v>Cycle 3</x:v>
      </x:c>
      <x:c r="C354" s="2" t="str">
        <x:v>Phase 3</x:v>
      </x:c>
      <x:c r="D354" s="2" t="str">
        <x:v>Auto</x:v>
      </x:c>
      <x:c r="E354" s="56" t="str">
        <x:v>RA.AU.3.4</x:v>
      </x:c>
      <x:c r="F354" s="14" t="str">
        <x:v>Attend Forum meeting with D&amp;I to assist with answering stakeholder questions (as needed)</x:v>
      </x:c>
      <x:c r="G354" s="5"/>
      <x:c r="H354" s="11"/>
      <x:c r="I354" s="11" t="str">
        <x:f>IF(SUMIFS('Cycles &amp; Guide'!$D$23:$D$50,'Cycles &amp; Guide'!$B$23:$B$50,B354,'Cycles &amp; Guide'!$C$23:$C$50,D354)=0,"",SUMIFS('Cycles &amp; Guide'!$D$23:$D$50,'Cycles &amp; Guide'!$B$23:$B$50,B354,'Cycles &amp; Guide'!$C$23:$C$50,D354))</x:f>
      </x:c>
      <x:c r="J354" s="11"/>
      <x:c r="K354" s="29"/>
      <x:c r="L354" s="2" t="str">
        <x:f>IF(O354=1,"Complete",IF(A354,"Checklist open",IF(H354&lt;&gt;"","In progress","Not started")))</x:f>
        <x:v>Not started</x:v>
      </x:c>
      <x:c r="M354" s="2" t="str">
        <x:v>Task</x:v>
      </x:c>
      <x:c r="N354" s="2" t="str">
        <x:v>RA.AU.3.4.2026.CY3</x:v>
      </x:c>
      <x:c r="O354" s="2" t="n">
        <x:f>R354</x:f>
        <x:v>0</x:v>
      </x:c>
      <x:c r="P354" s="2"/>
      <x:c r="Q354" s="2" t="n">
        <x:v>1</x:v>
      </x:c>
      <x:c r="R354" s="2" t="n">
        <x:f>IF(A354,1,0)</x:f>
        <x:v>0</x:v>
      </x:c>
      <x:c r="S354" s="2" t="n">
        <x:f>SUBTOTAL(103,N354)</x:f>
        <x:v>1</x:v>
      </x:c>
    </x:row>
    <x:row r="355" ht="42" customHeight="1">
      <x:c r="A355" s="28" t="b">
        <x:v>0</x:v>
      </x:c>
      <x:c r="B355" s="2" t="str">
        <x:v>Cycle 3</x:v>
      </x:c>
      <x:c r="C355" s="2" t="str">
        <x:v>Phase 1</x:v>
      </x:c>
      <x:c r="D355" s="2" t="str">
        <x:v>Cards</x:v>
      </x:c>
      <x:c r="E355" s="56" t="str">
        <x:v>RA.CA.1.1</x:v>
      </x:c>
      <x:c r="F355" s="14" t="str">
        <x:v>Begin Research process 2 weeks prior to Cycle start</x:v>
      </x:c>
      <x:c r="G355" s="5"/>
      <x:c r="H355" s="11"/>
      <x:c r="I355" s="11" t="n">
        <x:f>'Cycles &amp; Guide'!$C$12-14</x:f>
        <x:v>46190</x:v>
      </x:c>
      <x:c r="J355" s="11"/>
      <x:c r="K355" s="29"/>
      <x:c r="L355" s="2" t="str">
        <x:f>IF(O355=1,"Complete",IF(A355,"Checklist open",IF(H355&lt;&gt;"","In progress","Not started")))</x:f>
        <x:v>Not started</x:v>
      </x:c>
      <x:c r="M355" s="2" t="str">
        <x:v>Task</x:v>
      </x:c>
      <x:c r="N355" s="2" t="str">
        <x:v>RA.CA.1.1.2026.CY3</x:v>
      </x:c>
      <x:c r="O355" s="2" t="n">
        <x:f>R355</x:f>
        <x:v>0</x:v>
      </x:c>
      <x:c r="P355" s="2"/>
      <x:c r="Q355" s="2" t="n">
        <x:v>1</x:v>
      </x:c>
      <x:c r="R355" s="2" t="n">
        <x:f>IF(A355,1,0)</x:f>
        <x:v>0</x:v>
      </x:c>
      <x:c r="S355" s="2" t="n">
        <x:f>SUBTOTAL(103,N355)</x:f>
        <x:v>1</x:v>
      </x:c>
    </x:row>
    <x:row r="356" ht="42" customHeight="1">
      <x:c r="A356" s="28" t="b">
        <x:v>0</x:v>
      </x:c>
      <x:c r="B356" s="2" t="str">
        <x:v>Cycle 3</x:v>
      </x:c>
      <x:c r="C356" s="2" t="str">
        <x:v>Phase 1</x:v>
      </x:c>
      <x:c r="D356" s="2" t="str">
        <x:v>Cards</x:v>
      </x:c>
      <x:c r="E356" s="56" t="str">
        <x:v>RA.CA.1.2</x:v>
      </x:c>
      <x:c r="F356" s="14" t="str">
        <x:v>Conduct initial assessment of each topic recommendation from SharePoint list</x:v>
      </x:c>
      <x:c r="G356" s="5"/>
      <x:c r="H356" s="11"/>
      <x:c r="I356" s="11" t="n">
        <x:f>'Cycles &amp; Guide'!$D$12</x:f>
        <x:v>46295</x:v>
      </x:c>
      <x:c r="J356" s="11"/>
      <x:c r="K356" s="29"/>
      <x:c r="L356" s="2" t="str">
        <x:f>IF(O356=1,"Complete",IF(A356,"Checklist open",IF(H356&lt;&gt;"","In progress","Not started")))</x:f>
        <x:v>Not started</x:v>
      </x:c>
      <x:c r="M356" s="2" t="str">
        <x:v>Task</x:v>
      </x:c>
      <x:c r="N356" s="2" t="str">
        <x:v>RA.CA.1.2.2026.CY3</x:v>
      </x:c>
      <x:c r="O356" s="2" t="n">
        <x:f>R356</x:f>
        <x:v>0</x:v>
      </x:c>
      <x:c r="P356" s="2"/>
      <x:c r="Q356" s="2" t="n">
        <x:v>1</x:v>
      </x:c>
      <x:c r="R356" s="2" t="n">
        <x:f>IF(A356,1,0)</x:f>
        <x:v>0</x:v>
      </x:c>
      <x:c r="S356" s="2" t="n">
        <x:f>SUBTOTAL(103,N356)</x:f>
        <x:v>1</x:v>
      </x:c>
    </x:row>
    <x:row r="357" ht="42" customHeight="1">
      <x:c r="A357" s="28" t="b">
        <x:v>0</x:v>
      </x:c>
      <x:c r="B357" s="2" t="str">
        <x:v>Cycle 3</x:v>
      </x:c>
      <x:c r="C357" s="2" t="str">
        <x:v>Phase 1</x:v>
      </x:c>
      <x:c r="D357" s="2" t="str">
        <x:v>Cards</x:v>
      </x:c>
      <x:c r="E357" s="56" t="str">
        <x:v>RA.CA.1.3</x:v>
      </x:c>
      <x:c r="F357" s="14" t="str">
        <x:v>Identify best topic for Cycle</x:v>
      </x:c>
      <x:c r="G357" s="5"/>
      <x:c r="H357" s="11"/>
      <x:c r="I357" s="11" t="n">
        <x:f>'Cycles &amp; Guide'!$D$12</x:f>
        <x:v>46295</x:v>
      </x:c>
      <x:c r="J357" s="11"/>
      <x:c r="K357" s="29"/>
      <x:c r="L357" s="2" t="str">
        <x:f>IF(O357=1,"Complete",IF(A357,"Checklist open",IF(H357&lt;&gt;"","In progress","Not started")))</x:f>
        <x:v>Not started</x:v>
      </x:c>
      <x:c r="M357" s="2" t="str">
        <x:v>Task</x:v>
      </x:c>
      <x:c r="N357" s="2" t="str">
        <x:v>RA.CA.1.3.2026.CY3</x:v>
      </x:c>
      <x:c r="O357" s="2" t="n">
        <x:f>R357</x:f>
        <x:v>0</x:v>
      </x:c>
      <x:c r="P357" s="2"/>
      <x:c r="Q357" s="2" t="n">
        <x:v>1</x:v>
      </x:c>
      <x:c r="R357" s="2" t="n">
        <x:f>IF(A357,1,0)</x:f>
        <x:v>0</x:v>
      </x:c>
      <x:c r="S357" s="2" t="n">
        <x:f>SUBTOTAL(103,N357)</x:f>
        <x:v>1</x:v>
      </x:c>
    </x:row>
    <x:row r="358" ht="42" customHeight="1">
      <x:c r="A358" s="28" t="b">
        <x:v>0</x:v>
      </x:c>
      <x:c r="B358" s="2" t="str">
        <x:v>Cycle 3</x:v>
      </x:c>
      <x:c r="C358" s="2" t="str">
        <x:v>Phase 1</x:v>
      </x:c>
      <x:c r="D358" s="2" t="str">
        <x:v>Cards</x:v>
      </x:c>
      <x:c r="E358" s="56" t="str">
        <x:v>RA.CA.1.4</x:v>
      </x:c>
      <x:c r="F358" s="14" t="str">
        <x:v>Identify backup topic for Cycle</x:v>
      </x:c>
      <x:c r="G358" s="5"/>
      <x:c r="H358" s="11"/>
      <x:c r="I358" s="11" t="n">
        <x:f>'Cycles &amp; Guide'!$D$12</x:f>
        <x:v>46295</x:v>
      </x:c>
      <x:c r="J358" s="11"/>
      <x:c r="K358" s="29"/>
      <x:c r="L358" s="2" t="str">
        <x:f>IF(O358=1,"Complete",IF(A358,"Checklist open",IF(H358&lt;&gt;"","In progress","Not started")))</x:f>
        <x:v>Not started</x:v>
      </x:c>
      <x:c r="M358" s="2" t="str">
        <x:v>Task</x:v>
      </x:c>
      <x:c r="N358" s="2" t="str">
        <x:v>RA.CA.1.4.2026.CY3</x:v>
      </x:c>
      <x:c r="O358" s="2" t="n">
        <x:f>R358</x:f>
        <x:v>0</x:v>
      </x:c>
      <x:c r="P358" s="2"/>
      <x:c r="Q358" s="2" t="n">
        <x:v>1</x:v>
      </x:c>
      <x:c r="R358" s="2" t="n">
        <x:f>IF(A358,1,0)</x:f>
        <x:v>0</x:v>
      </x:c>
      <x:c r="S358" s="2" t="n">
        <x:f>SUBTOTAL(103,N358)</x:f>
        <x:v>1</x:v>
      </x:c>
    </x:row>
    <x:row r="359" ht="42" customHeight="1">
      <x:c r="A359" s="28" t="b">
        <x:v>0</x:v>
      </x:c>
      <x:c r="B359" s="2" t="str">
        <x:v>Cycle 3</x:v>
      </x:c>
      <x:c r="C359" s="2" t="str">
        <x:v>Phase 1</x:v>
      </x:c>
      <x:c r="D359" s="2" t="str">
        <x:v>Cards</x:v>
      </x:c>
      <x:c r="E359" s="56" t="str">
        <x:v>RA.CA.1.5</x:v>
      </x:c>
      <x:c r="F359" s="14" t="str">
        <x:v>Schedule topic approval meeting with D&amp;I and management</x:v>
      </x:c>
      <x:c r="G359" s="5"/>
      <x:c r="H359" s="11"/>
      <x:c r="I359" s="11" t="n">
        <x:f>'Cycles &amp; Guide'!$D$12</x:f>
        <x:v>46295</x:v>
      </x:c>
      <x:c r="J359" s="11"/>
      <x:c r="K359" s="29"/>
      <x:c r="L359" s="2" t="str">
        <x:f>IF(O359=1,"Complete",IF(A359,"Checklist open",IF(H359&lt;&gt;"","In progress","Not started")))</x:f>
        <x:v>Not started</x:v>
      </x:c>
      <x:c r="M359" s="2" t="str">
        <x:v>Task</x:v>
      </x:c>
      <x:c r="N359" s="2" t="str">
        <x:v>RA.CA.1.5.2026.CY3</x:v>
      </x:c>
      <x:c r="O359" s="2" t="n">
        <x:f>R359</x:f>
        <x:v>0</x:v>
      </x:c>
      <x:c r="P359" s="2"/>
      <x:c r="Q359" s="2" t="n">
        <x:v>1</x:v>
      </x:c>
      <x:c r="R359" s="2" t="n">
        <x:f>IF(A359,1,0)</x:f>
        <x:v>0</x:v>
      </x:c>
      <x:c r="S359" s="2" t="n">
        <x:f>SUBTOTAL(103,N359)</x:f>
        <x:v>1</x:v>
      </x:c>
    </x:row>
    <x:row r="360" ht="42" customHeight="1">
      <x:c r="A360" s="28" t="b">
        <x:v>0</x:v>
      </x:c>
      <x:c r="B360" s="2" t="str">
        <x:v>Cycle 3</x:v>
      </x:c>
      <x:c r="C360" s="2" t="str">
        <x:v>Phase 1</x:v>
      </x:c>
      <x:c r="D360" s="2" t="str">
        <x:v>Cards</x:v>
      </x:c>
      <x:c r="E360" s="56" t="str">
        <x:v>RA.CA.1.6</x:v>
      </x:c>
      <x:c r="F360" s="14" t="str">
        <x:v>Present recommended topic to D&amp;I and management for approval</x:v>
      </x:c>
      <x:c r="G360" s="5"/>
      <x:c r="H360" s="11"/>
      <x:c r="I360" s="11" t="n">
        <x:f>'Cycles &amp; Guide'!$D$12</x:f>
        <x:v>46295</x:v>
      </x:c>
      <x:c r="J360" s="11"/>
      <x:c r="K360" s="29"/>
      <x:c r="L360" s="2" t="str">
        <x:f>IF(O360=1,"Complete",IF(A360,"Checklist open",IF(H360&lt;&gt;"","In progress","Not started")))</x:f>
        <x:v>Not started</x:v>
      </x:c>
      <x:c r="M360" s="2" t="str">
        <x:v>Task</x:v>
      </x:c>
      <x:c r="N360" s="2" t="str">
        <x:v>RA.CA.1.6.2026.CY3</x:v>
      </x:c>
      <x:c r="O360" s="2" t="n">
        <x:f>R360</x:f>
        <x:v>0</x:v>
      </x:c>
      <x:c r="P360" s="2"/>
      <x:c r="Q360" s="2" t="n">
        <x:v>1</x:v>
      </x:c>
      <x:c r="R360" s="2" t="n">
        <x:f>IF(A360,1,0)</x:f>
        <x:v>0</x:v>
      </x:c>
      <x:c r="S360" s="2" t="n">
        <x:f>SUBTOTAL(103,N360)</x:f>
        <x:v>1</x:v>
      </x:c>
    </x:row>
    <x:row r="361" ht="42" customHeight="1">
      <x:c r="A361" s="28" t="b">
        <x:v>0</x:v>
      </x:c>
      <x:c r="B361" s="2" t="str">
        <x:v>Cycle 3</x:v>
      </x:c>
      <x:c r="C361" s="2" t="str">
        <x:v>Phase 1</x:v>
      </x:c>
      <x:c r="D361" s="2" t="str">
        <x:v>Cards</x:v>
      </x:c>
      <x:c r="E361" s="56" t="str">
        <x:v>RA.CA.1.7</x:v>
      </x:c>
      <x:c r="F361" s="14" t="str">
        <x:v>Obtain formal topic selection approval from management via SharePoint</x:v>
      </x:c>
      <x:c r="G361" s="5"/>
      <x:c r="H361" s="11"/>
      <x:c r="I361" s="11" t="n">
        <x:f>'Cycles &amp; Guide'!$D$12</x:f>
        <x:v>46295</x:v>
      </x:c>
      <x:c r="J361" s="11"/>
      <x:c r="K361" s="29"/>
      <x:c r="L361" s="2" t="str">
        <x:f>IF(O361=1,"Complete",IF(A361,"Checklist open",IF(H361&lt;&gt;"","In progress","Not started")))</x:f>
        <x:v>Not started</x:v>
      </x:c>
      <x:c r="M361" s="2" t="str">
        <x:v>Task</x:v>
      </x:c>
      <x:c r="N361" s="2" t="str">
        <x:v>RA.CA.1.7.2026.CY3</x:v>
      </x:c>
      <x:c r="O361" s="2" t="n">
        <x:f>R361</x:f>
        <x:v>0</x:v>
      </x:c>
      <x:c r="P361" s="2"/>
      <x:c r="Q361" s="2" t="n">
        <x:v>1</x:v>
      </x:c>
      <x:c r="R361" s="2" t="n">
        <x:f>IF(A361,1,0)</x:f>
        <x:v>0</x:v>
      </x:c>
      <x:c r="S361" s="2" t="n">
        <x:f>SUBTOTAL(103,N361)</x:f>
        <x:v>1</x:v>
      </x:c>
    </x:row>
    <x:row r="362" ht="42" customHeight="1">
      <x:c r="A362" s="28" t="b">
        <x:v>0</x:v>
      </x:c>
      <x:c r="B362" s="2" t="str">
        <x:v>Cycle 3</x:v>
      </x:c>
      <x:c r="C362" s="2" t="str">
        <x:v>Phase 1</x:v>
      </x:c>
      <x:c r="D362" s="2" t="str">
        <x:v>Cards</x:v>
      </x:c>
      <x:c r="E362" s="56" t="str">
        <x:v>RA.CA.1.8</x:v>
      </x:c>
      <x:c r="F362" s="14" t="str">
        <x:v>Socialize topic selection with product owners and subject matter experts (if known)</x:v>
      </x:c>
      <x:c r="G362" s="5"/>
      <x:c r="H362" s="11"/>
      <x:c r="I362" s="11" t="n">
        <x:f>'Cycles &amp; Guide'!$D$12</x:f>
        <x:v>46295</x:v>
      </x:c>
      <x:c r="J362" s="11"/>
      <x:c r="K362" s="29"/>
      <x:c r="L362" s="2" t="str">
        <x:f>IF(O362=1,"Complete",IF(A362,"Checklist open",IF(H362&lt;&gt;"","In progress","Not started")))</x:f>
        <x:v>Not started</x:v>
      </x:c>
      <x:c r="M362" s="2" t="str">
        <x:v>Task</x:v>
      </x:c>
      <x:c r="N362" s="2" t="str">
        <x:v>RA.CA.1.8.2026.CY3</x:v>
      </x:c>
      <x:c r="O362" s="2" t="n">
        <x:f>R362</x:f>
        <x:v>0</x:v>
      </x:c>
      <x:c r="P362" s="2"/>
      <x:c r="Q362" s="2" t="n">
        <x:v>1</x:v>
      </x:c>
      <x:c r="R362" s="2" t="n">
        <x:f>IF(A362,1,0)</x:f>
        <x:v>0</x:v>
      </x:c>
      <x:c r="S362" s="2" t="n">
        <x:f>SUBTOTAL(103,N362)</x:f>
        <x:v>1</x:v>
      </x:c>
    </x:row>
    <x:row r="363" ht="42" customHeight="1">
      <x:c r="A363" s="28" t="b">
        <x:v>0</x:v>
      </x:c>
      <x:c r="B363" s="2" t="str">
        <x:v>Cycle 3</x:v>
      </x:c>
      <x:c r="C363" s="2" t="str">
        <x:v>Phase 1</x:v>
      </x:c>
      <x:c r="D363" s="2" t="str">
        <x:v>Cards</x:v>
      </x:c>
      <x:c r="E363" s="56" t="str">
        <x:v>RA.CA.1.9</x:v>
      </x:c>
      <x:c r="F363" s="14" t="str">
        <x:v>Assign topic researchers</x:v>
      </x:c>
      <x:c r="G363" s="5"/>
      <x:c r="H363" s="11"/>
      <x:c r="I363" s="11" t="n">
        <x:f>'Cycles &amp; Guide'!$D$12</x:f>
        <x:v>46295</x:v>
      </x:c>
      <x:c r="J363" s="11"/>
      <x:c r="K363" s="29"/>
      <x:c r="L363" s="2" t="str">
        <x:f>IF(O363=1,"Complete",IF(A363,"Checklist open",IF(H363&lt;&gt;"","In progress","Not started")))</x:f>
        <x:v>Not started</x:v>
      </x:c>
      <x:c r="M363" s="2" t="str">
        <x:v>Task</x:v>
      </x:c>
      <x:c r="N363" s="2" t="str">
        <x:v>RA.CA.1.9.2026.CY3</x:v>
      </x:c>
      <x:c r="O363" s="2" t="n">
        <x:f>R363</x:f>
        <x:v>0</x:v>
      </x:c>
      <x:c r="P363" s="2"/>
      <x:c r="Q363" s="2" t="n">
        <x:v>1</x:v>
      </x:c>
      <x:c r="R363" s="2" t="n">
        <x:f>IF(A363,1,0)</x:f>
        <x:v>0</x:v>
      </x:c>
      <x:c r="S363" s="2" t="n">
        <x:f>SUBTOTAL(103,N363)</x:f>
        <x:v>1</x:v>
      </x:c>
    </x:row>
    <x:row r="364" ht="42" customHeight="1">
      <x:c r="A364" s="28" t="b">
        <x:v>0</x:v>
      </x:c>
      <x:c r="B364" s="2" t="str">
        <x:v>Cycle 3</x:v>
      </x:c>
      <x:c r="C364" s="2" t="str">
        <x:v>Phase 2</x:v>
      </x:c>
      <x:c r="D364" s="2" t="str">
        <x:v>Cards</x:v>
      </x:c>
      <x:c r="E364" s="56" t="str">
        <x:v>RA.CA.2.1</x:v>
      </x:c>
      <x:c r="F364" s="14" t="str">
        <x:v>Review data sources</x:v>
      </x:c>
      <x:c r="G364" s="5"/>
      <x:c r="H364" s="11"/>
      <x:c r="I364" s="11" t="n">
        <x:f>'Cycles &amp; Guide'!$D$12</x:f>
        <x:v>46295</x:v>
      </x:c>
      <x:c r="J364" s="11"/>
      <x:c r="K364" s="29"/>
      <x:c r="L364" s="2" t="str">
        <x:f>IF(O364=1,"Complete",IF(A364,"Checklist open",IF(H364&lt;&gt;"","In progress","Not started")))</x:f>
        <x:v>Not started</x:v>
      </x:c>
      <x:c r="M364" s="2" t="str">
        <x:v>Task</x:v>
      </x:c>
      <x:c r="N364" s="2" t="str">
        <x:v>RA.CA.2.1.2026.CY3</x:v>
      </x:c>
      <x:c r="O364" s="2" t="n">
        <x:f>R364</x:f>
        <x:v>0</x:v>
      </x:c>
      <x:c r="P364" s="2"/>
      <x:c r="Q364" s="2" t="n">
        <x:v>1</x:v>
      </x:c>
      <x:c r="R364" s="2" t="n">
        <x:f>IF(A364,1,0)</x:f>
        <x:v>0</x:v>
      </x:c>
      <x:c r="S364" s="2" t="n">
        <x:f>SUBTOTAL(103,N364)</x:f>
        <x:v>1</x:v>
      </x:c>
    </x:row>
    <x:row r="365" ht="42" customHeight="1">
      <x:c r="A365" s="28" t="b">
        <x:v>0</x:v>
      </x:c>
      <x:c r="B365" s="2" t="str">
        <x:v>Cycle 3</x:v>
      </x:c>
      <x:c r="C365" s="2" t="str">
        <x:v>Phase 2</x:v>
      </x:c>
      <x:c r="D365" s="2" t="str">
        <x:v>Cards</x:v>
      </x:c>
      <x:c r="E365" s="56" t="str">
        <x:v>RA.CA.2.2</x:v>
      </x:c>
      <x:c r="F365" s="14" t="str">
        <x:v>Review relevant policies and procedures</x:v>
      </x:c>
      <x:c r="G365" s="5"/>
      <x:c r="H365" s="11"/>
      <x:c r="I365" s="11" t="n">
        <x:f>'Cycles &amp; Guide'!$D$12</x:f>
        <x:v>46295</x:v>
      </x:c>
      <x:c r="J365" s="11"/>
      <x:c r="K365" s="29"/>
      <x:c r="L365" s="2" t="str">
        <x:f>IF(O365=1,"Complete",IF(A365,"Checklist open",IF(H365&lt;&gt;"","In progress","Not started")))</x:f>
        <x:v>Not started</x:v>
      </x:c>
      <x:c r="M365" s="2" t="str">
        <x:v>Task</x:v>
      </x:c>
      <x:c r="N365" s="2" t="str">
        <x:v>RA.CA.2.2.2026.CY3</x:v>
      </x:c>
      <x:c r="O365" s="2" t="n">
        <x:f>R365</x:f>
        <x:v>0</x:v>
      </x:c>
      <x:c r="P365" s="2"/>
      <x:c r="Q365" s="2" t="n">
        <x:v>1</x:v>
      </x:c>
      <x:c r="R365" s="2" t="n">
        <x:f>IF(A365,1,0)</x:f>
        <x:v>0</x:v>
      </x:c>
      <x:c r="S365" s="2" t="n">
        <x:f>SUBTOTAL(103,N365)</x:f>
        <x:v>1</x:v>
      </x:c>
    </x:row>
    <x:row r="366" ht="42" customHeight="1">
      <x:c r="A366" s="28" t="b">
        <x:v>0</x:v>
      </x:c>
      <x:c r="B366" s="2" t="str">
        <x:v>Cycle 3</x:v>
      </x:c>
      <x:c r="C366" s="2" t="str">
        <x:v>Phase 2</x:v>
      </x:c>
      <x:c r="D366" s="2" t="str">
        <x:v>Cards</x:v>
      </x:c>
      <x:c r="E366" s="56" t="str">
        <x:v>RA.CA.2.3</x:v>
      </x:c>
      <x:c r="F366" s="14" t="str">
        <x:v>Meet with SMEs to gain business insight and clarify questions</x:v>
      </x:c>
      <x:c r="G366" s="5"/>
      <x:c r="H366" s="11"/>
      <x:c r="I366" s="11" t="n">
        <x:f>'Cycles &amp; Guide'!$D$12</x:f>
        <x:v>46295</x:v>
      </x:c>
      <x:c r="J366" s="11"/>
      <x:c r="K366" s="29"/>
      <x:c r="L366" s="2" t="str">
        <x:f>IF(O366=1,"Complete",IF(A366,"Checklist open",IF(H366&lt;&gt;"","In progress","Not started")))</x:f>
        <x:v>Not started</x:v>
      </x:c>
      <x:c r="M366" s="2" t="str">
        <x:v>Task</x:v>
      </x:c>
      <x:c r="N366" s="2" t="str">
        <x:v>RA.CA.2.3.2026.CY3</x:v>
      </x:c>
      <x:c r="O366" s="2" t="n">
        <x:f>R366</x:f>
        <x:v>0</x:v>
      </x:c>
      <x:c r="P366" s="2"/>
      <x:c r="Q366" s="2" t="n">
        <x:v>1</x:v>
      </x:c>
      <x:c r="R366" s="2" t="n">
        <x:f>IF(A366,1,0)</x:f>
        <x:v>0</x:v>
      </x:c>
      <x:c r="S366" s="2" t="n">
        <x:f>SUBTOTAL(103,N366)</x:f>
        <x:v>1</x:v>
      </x:c>
    </x:row>
    <x:row r="367" ht="42" customHeight="1">
      <x:c r="A367" s="28" t="b">
        <x:v>0</x:v>
      </x:c>
      <x:c r="B367" s="2" t="str">
        <x:v>Cycle 3</x:v>
      </x:c>
      <x:c r="C367" s="2" t="str">
        <x:v>Phase 2</x:v>
      </x:c>
      <x:c r="D367" s="2" t="str">
        <x:v>Cards</x:v>
      </x:c>
      <x:c r="E367" s="56" t="str">
        <x:v>RA.CA.2.4</x:v>
      </x:c>
      <x:c r="F367" s="14" t="str">
        <x:v>Establish and maintain a recurring meeting with D&amp;I to discuss Cycle progress</x:v>
      </x:c>
      <x:c r="G367" s="5"/>
      <x:c r="H367" s="11"/>
      <x:c r="I367" s="11" t="n">
        <x:f>'Cycles &amp; Guide'!$D$12</x:f>
        <x:v>46295</x:v>
      </x:c>
      <x:c r="J367" s="11"/>
      <x:c r="K367" s="29"/>
      <x:c r="L367" s="2" t="str">
        <x:f>IF(O367=1,"Complete",IF(A367,"Checklist open",IF(H367&lt;&gt;"","In progress","Not started")))</x:f>
        <x:v>Not started</x:v>
      </x:c>
      <x:c r="M367" s="2" t="str">
        <x:v>Task</x:v>
      </x:c>
      <x:c r="N367" s="2" t="str">
        <x:v>RA.CA.2.4.2026.CY3</x:v>
      </x:c>
      <x:c r="O367" s="2" t="n">
        <x:f>R367</x:f>
        <x:v>0</x:v>
      </x:c>
      <x:c r="P367" s="2"/>
      <x:c r="Q367" s="2" t="n">
        <x:v>1</x:v>
      </x:c>
      <x:c r="R367" s="2" t="n">
        <x:f>IF(A367,1,0)</x:f>
        <x:v>0</x:v>
      </x:c>
      <x:c r="S367" s="2" t="n">
        <x:f>SUBTOTAL(103,N367)</x:f>
        <x:v>1</x:v>
      </x:c>
    </x:row>
    <x:row r="368" ht="42" customHeight="1">
      <x:c r="A368" s="28" t="b">
        <x:v>0</x:v>
      </x:c>
      <x:c r="B368" s="2" t="str">
        <x:v>Cycle 3</x:v>
      </x:c>
      <x:c r="C368" s="2" t="str">
        <x:v>Phase 2</x:v>
      </x:c>
      <x:c r="D368" s="2" t="str">
        <x:v>Cards</x:v>
      </x:c>
      <x:c r="E368" s="56" t="str">
        <x:v>RA.CA.2.5</x:v>
      </x:c>
      <x:c r="F368" s="14" t="str">
        <x:v>Perform data testing and sampling</x:v>
      </x:c>
      <x:c r="G368" s="5"/>
      <x:c r="H368" s="11"/>
      <x:c r="I368" s="11" t="n">
        <x:f>'Cycles &amp; Guide'!$D$12</x:f>
        <x:v>46295</x:v>
      </x:c>
      <x:c r="J368" s="11"/>
      <x:c r="K368" s="29"/>
      <x:c r="L368" s="2" t="str">
        <x:f>IF(O368=1,"Complete",IF(A368,"Checklist open",IF(H368&lt;&gt;"","In progress","Not started")))</x:f>
        <x:v>Not started</x:v>
      </x:c>
      <x:c r="M368" s="2" t="str">
        <x:v>Task</x:v>
      </x:c>
      <x:c r="N368" s="2" t="str">
        <x:v>RA.CA.2.5.2026.CY3</x:v>
      </x:c>
      <x:c r="O368" s="2" t="n">
        <x:f>R368</x:f>
        <x:v>0</x:v>
      </x:c>
      <x:c r="P368" s="2"/>
      <x:c r="Q368" s="2" t="n">
        <x:v>1</x:v>
      </x:c>
      <x:c r="R368" s="2" t="n">
        <x:f>IF(A368,1,0)</x:f>
        <x:v>0</x:v>
      </x:c>
      <x:c r="S368" s="2" t="n">
        <x:f>SUBTOTAL(103,N368)</x:f>
        <x:v>1</x:v>
      </x:c>
    </x:row>
    <x:row r="369" ht="42" customHeight="1">
      <x:c r="A369" s="28" t="b">
        <x:v>0</x:v>
      </x:c>
      <x:c r="B369" s="2" t="str">
        <x:v>Cycle 3</x:v>
      </x:c>
      <x:c r="C369" s="2" t="str">
        <x:v>Phase 2</x:v>
      </x:c>
      <x:c r="D369" s="2" t="str">
        <x:v>Cards</x:v>
      </x:c>
      <x:c r="E369" s="56" t="str">
        <x:v>RA.CA.2.6</x:v>
      </x:c>
      <x:c r="F369" s="14" t="str">
        <x:v>Complete Positive Testing</x:v>
      </x:c>
      <x:c r="G369" s="5"/>
      <x:c r="H369" s="11"/>
      <x:c r="I369" s="11" t="n">
        <x:f>'Cycles &amp; Guide'!$D$12</x:f>
        <x:v>46295</x:v>
      </x:c>
      <x:c r="J369" s="11"/>
      <x:c r="K369" s="29"/>
      <x:c r="L369" s="2" t="str">
        <x:f>IF(O369=1,"Complete",IF(A369,"Checklist open",IF(H369&lt;&gt;"","In progress","Not started")))</x:f>
        <x:v>Not started</x:v>
      </x:c>
      <x:c r="M369" s="2" t="str">
        <x:v>Task</x:v>
      </x:c>
      <x:c r="N369" s="2" t="str">
        <x:v>RA.CA.2.6.2026.CY3</x:v>
      </x:c>
      <x:c r="O369" s="2" t="n">
        <x:f>R369</x:f>
        <x:v>0</x:v>
      </x:c>
      <x:c r="P369" s="2"/>
      <x:c r="Q369" s="2" t="n">
        <x:v>1</x:v>
      </x:c>
      <x:c r="R369" s="2" t="n">
        <x:f>IF(A369,1,0)</x:f>
        <x:v>0</x:v>
      </x:c>
      <x:c r="S369" s="2" t="n">
        <x:f>SUBTOTAL(103,N369)</x:f>
        <x:v>1</x:v>
      </x:c>
    </x:row>
    <x:row r="370" ht="42" customHeight="1">
      <x:c r="A370" s="28" t="b">
        <x:v>0</x:v>
      </x:c>
      <x:c r="B370" s="2" t="str">
        <x:v>Cycle 3</x:v>
      </x:c>
      <x:c r="C370" s="2" t="str">
        <x:v>Phase 2</x:v>
      </x:c>
      <x:c r="D370" s="2" t="str">
        <x:v>Cards</x:v>
      </x:c>
      <x:c r="E370" s="56" t="str">
        <x:v>RA.CA.2.7</x:v>
      </x:c>
      <x:c r="F370" s="14" t="str">
        <x:v>Complete Negative Testing</x:v>
      </x:c>
      <x:c r="G370" s="5"/>
      <x:c r="H370" s="11"/>
      <x:c r="I370" s="11" t="n">
        <x:f>'Cycles &amp; Guide'!$D$12</x:f>
        <x:v>46295</x:v>
      </x:c>
      <x:c r="J370" s="11"/>
      <x:c r="K370" s="29"/>
      <x:c r="L370" s="2" t="str">
        <x:f>IF(O370=1,"Complete",IF(A370,"Checklist open",IF(H370&lt;&gt;"","In progress","Not started")))</x:f>
        <x:v>Not started</x:v>
      </x:c>
      <x:c r="M370" s="2" t="str">
        <x:v>Task</x:v>
      </x:c>
      <x:c r="N370" s="2" t="str">
        <x:v>RA.CA.2.7.2026.CY3</x:v>
      </x:c>
      <x:c r="O370" s="2" t="n">
        <x:f>R370</x:f>
        <x:v>0</x:v>
      </x:c>
      <x:c r="P370" s="2"/>
      <x:c r="Q370" s="2" t="n">
        <x:v>1</x:v>
      </x:c>
      <x:c r="R370" s="2" t="n">
        <x:f>IF(A370,1,0)</x:f>
        <x:v>0</x:v>
      </x:c>
      <x:c r="S370" s="2" t="n">
        <x:f>SUBTOTAL(103,N370)</x:f>
        <x:v>1</x:v>
      </x:c>
    </x:row>
    <x:row r="371" ht="42" customHeight="1">
      <x:c r="A371" s="28" t="b">
        <x:v>0</x:v>
      </x:c>
      <x:c r="B371" s="2" t="str">
        <x:v>Cycle 3</x:v>
      </x:c>
      <x:c r="C371" s="2" t="str">
        <x:v>Phase 2</x:v>
      </x:c>
      <x:c r="D371" s="2" t="str">
        <x:v>Cards</x:v>
      </x:c>
      <x:c r="E371" s="56" t="str">
        <x:v>RA.CA.2.8</x:v>
      </x:c>
      <x:c r="F371" s="14" t="str">
        <x:v>Request additional data (as needed)</x:v>
      </x:c>
      <x:c r="G371" s="5"/>
      <x:c r="H371" s="11"/>
      <x:c r="I371" s="11" t="n">
        <x:f>'Cycles &amp; Guide'!$D$12</x:f>
        <x:v>46295</x:v>
      </x:c>
      <x:c r="J371" s="11"/>
      <x:c r="K371" s="29"/>
      <x:c r="L371" s="2" t="str">
        <x:f>IF(O371=1,"Complete",IF(A371,"Checklist open",IF(H371&lt;&gt;"","In progress","Not started")))</x:f>
        <x:v>Not started</x:v>
      </x:c>
      <x:c r="M371" s="2" t="str">
        <x:v>Task</x:v>
      </x:c>
      <x:c r="N371" s="2" t="str">
        <x:v>RA.CA.2.8.2026.CY3</x:v>
      </x:c>
      <x:c r="O371" s="2" t="n">
        <x:f>R371</x:f>
        <x:v>0</x:v>
      </x:c>
      <x:c r="P371" s="2"/>
      <x:c r="Q371" s="2" t="n">
        <x:v>1</x:v>
      </x:c>
      <x:c r="R371" s="2" t="n">
        <x:f>IF(A371,1,0)</x:f>
        <x:v>0</x:v>
      </x:c>
      <x:c r="S371" s="2" t="n">
        <x:f>SUBTOTAL(103,N371)</x:f>
        <x:v>1</x:v>
      </x:c>
    </x:row>
    <x:row r="372" ht="42" customHeight="1">
      <x:c r="A372" s="28" t="b">
        <x:v>0</x:v>
      </x:c>
      <x:c r="B372" s="2" t="str">
        <x:v>Cycle 3</x:v>
      </x:c>
      <x:c r="C372" s="2" t="str">
        <x:v>Phase 2</x:v>
      </x:c>
      <x:c r="D372" s="2" t="str">
        <x:v>Cards</x:v>
      </x:c>
      <x:c r="E372" s="56" t="str">
        <x:v>RA.CA.2.9</x:v>
      </x:c>
      <x:c r="F372" s="14" t="str">
        <x:v>Validate or disprove initial hypothesis assumptions</x:v>
      </x:c>
      <x:c r="G372" s="5"/>
      <x:c r="H372" s="11"/>
      <x:c r="I372" s="11" t="n">
        <x:f>'Cycles &amp; Guide'!$D$12</x:f>
        <x:v>46295</x:v>
      </x:c>
      <x:c r="J372" s="11"/>
      <x:c r="K372" s="29"/>
      <x:c r="L372" s="2" t="str">
        <x:f>IF(O372=1,"Complete",IF(A372,"Checklist open",IF(H372&lt;&gt;"","In progress","Not started")))</x:f>
        <x:v>Not started</x:v>
      </x:c>
      <x:c r="M372" s="2" t="str">
        <x:v>Task</x:v>
      </x:c>
      <x:c r="N372" s="2" t="str">
        <x:v>RA.CA.2.9.2026.CY3</x:v>
      </x:c>
      <x:c r="O372" s="2" t="n">
        <x:f>R372</x:f>
        <x:v>0</x:v>
      </x:c>
      <x:c r="P372" s="2"/>
      <x:c r="Q372" s="2" t="n">
        <x:v>1</x:v>
      </x:c>
      <x:c r="R372" s="2" t="n">
        <x:f>IF(A372,1,0)</x:f>
        <x:v>0</x:v>
      </x:c>
      <x:c r="S372" s="2" t="n">
        <x:f>SUBTOTAL(103,N372)</x:f>
        <x:v>1</x:v>
      </x:c>
    </x:row>
    <x:row r="373" ht="42" customHeight="1">
      <x:c r="A373" s="28" t="b">
        <x:v>0</x:v>
      </x:c>
      <x:c r="B373" s="2" t="str">
        <x:v>Cycle 3</x:v>
      </x:c>
      <x:c r="C373" s="2" t="str">
        <x:v>Phase 2</x:v>
      </x:c>
      <x:c r="D373" s="2" t="str">
        <x:v>Cards</x:v>
      </x:c>
      <x:c r="E373" s="56" t="str">
        <x:v>RA.CA.2.10</x:v>
      </x:c>
      <x:c r="F373" s="14" t="str">
        <x:v>Identify and confirm root cause</x:v>
      </x:c>
      <x:c r="G373" s="5"/>
      <x:c r="H373" s="11"/>
      <x:c r="I373" s="11" t="n">
        <x:f>'Cycles &amp; Guide'!$D$12</x:f>
        <x:v>46295</x:v>
      </x:c>
      <x:c r="J373" s="11"/>
      <x:c r="K373" s="29"/>
      <x:c r="L373" s="2" t="str">
        <x:f>IF(O373=1,"Complete",IF(A373,"Checklist open",IF(H373&lt;&gt;"","In progress","Not started")))</x:f>
        <x:v>Not started</x:v>
      </x:c>
      <x:c r="M373" s="2" t="str">
        <x:v>Task</x:v>
      </x:c>
      <x:c r="N373" s="2" t="str">
        <x:v>RA.CA.2.10.2026.CY3</x:v>
      </x:c>
      <x:c r="O373" s="2" t="n">
        <x:f>R373</x:f>
        <x:v>0</x:v>
      </x:c>
      <x:c r="P373" s="2"/>
      <x:c r="Q373" s="2" t="n">
        <x:v>1</x:v>
      </x:c>
      <x:c r="R373" s="2" t="n">
        <x:f>IF(A373,1,0)</x:f>
        <x:v>0</x:v>
      </x:c>
      <x:c r="S373" s="2" t="n">
        <x:f>SUBTOTAL(103,N373)</x:f>
        <x:v>1</x:v>
      </x:c>
    </x:row>
    <x:row r="374" ht="42" customHeight="1">
      <x:c r="A374" s="28" t="b">
        <x:v>0</x:v>
      </x:c>
      <x:c r="B374" s="2" t="str">
        <x:v>Cycle 3</x:v>
      </x:c>
      <x:c r="C374" s="2" t="str">
        <x:v>Phase 3</x:v>
      </x:c>
      <x:c r="D374" s="2" t="str">
        <x:v>Cards</x:v>
      </x:c>
      <x:c r="E374" s="56" t="str">
        <x:v>RA.CA.3.1</x:v>
      </x:c>
      <x:c r="F374" s="14" t="str">
        <x:v>Finalize results and supporting documentation</x:v>
      </x:c>
      <x:c r="G374" s="5"/>
      <x:c r="H374" s="11"/>
      <x:c r="I374" s="11" t="n">
        <x:f>'Cycles &amp; Guide'!$D$12</x:f>
        <x:v>46295</x:v>
      </x:c>
      <x:c r="J374" s="11"/>
      <x:c r="K374" s="29"/>
      <x:c r="L374" s="2" t="str">
        <x:f>IF(O374=1,"Complete",IF(A374,"Checklist open",IF(H374&lt;&gt;"","In progress","Not started")))</x:f>
        <x:v>Not started</x:v>
      </x:c>
      <x:c r="M374" s="2" t="str">
        <x:v>Task</x:v>
      </x:c>
      <x:c r="N374" s="2" t="str">
        <x:v>RA.CA.3.1.2026.CY3</x:v>
      </x:c>
      <x:c r="O374" s="2" t="n">
        <x:f>R374</x:f>
        <x:v>0</x:v>
      </x:c>
      <x:c r="P374" s="2"/>
      <x:c r="Q374" s="2" t="n">
        <x:v>1</x:v>
      </x:c>
      <x:c r="R374" s="2" t="n">
        <x:f>IF(A374,1,0)</x:f>
        <x:v>0</x:v>
      </x:c>
      <x:c r="S374" s="2" t="n">
        <x:f>SUBTOTAL(103,N374)</x:f>
        <x:v>1</x:v>
      </x:c>
    </x:row>
    <x:row r="375" ht="42" customHeight="1">
      <x:c r="A375" s="28" t="b">
        <x:v>0</x:v>
      </x:c>
      <x:c r="B375" s="2" t="str">
        <x:v>Cycle 3</x:v>
      </x:c>
      <x:c r="C375" s="2" t="str">
        <x:v>Phase 3</x:v>
      </x:c>
      <x:c r="D375" s="2" t="str">
        <x:v>Cards</x:v>
      </x:c>
      <x:c r="E375" s="56" t="str">
        <x:v>RA.CA.3.2</x:v>
      </x:c>
      <x:c r="F375" s="14" t="str">
        <x:v>Maintain and update the evidence package prior to handoff to D&amp;I</x:v>
      </x:c>
      <x:c r="G375" s="5"/>
      <x:c r="H375" s="11"/>
      <x:c r="I375" s="11" t="n">
        <x:f>'Cycles &amp; Guide'!$D$12</x:f>
        <x:v>46295</x:v>
      </x:c>
      <x:c r="J375" s="11"/>
      <x:c r="K375" s="29"/>
      <x:c r="L375" s="2" t="str">
        <x:f>IF(O375=1,"Complete",IF(A375,"Checklist open",IF(H375&lt;&gt;"","In progress","Not started")))</x:f>
        <x:v>Not started</x:v>
      </x:c>
      <x:c r="M375" s="2" t="str">
        <x:v>Task</x:v>
      </x:c>
      <x:c r="N375" s="2" t="str">
        <x:v>RA.CA.3.2.2026.CY3</x:v>
      </x:c>
      <x:c r="O375" s="2" t="n">
        <x:f>R375</x:f>
        <x:v>0</x:v>
      </x:c>
      <x:c r="P375" s="2"/>
      <x:c r="Q375" s="2" t="n">
        <x:v>1</x:v>
      </x:c>
      <x:c r="R375" s="2" t="n">
        <x:f>IF(A375,1,0)</x:f>
        <x:v>0</x:v>
      </x:c>
      <x:c r="S375" s="2" t="n">
        <x:f>SUBTOTAL(103,N375)</x:f>
        <x:v>1</x:v>
      </x:c>
    </x:row>
    <x:row r="376" ht="42" customHeight="1">
      <x:c r="A376" s="28" t="b">
        <x:v>0</x:v>
      </x:c>
      <x:c r="B376" s="2" t="str">
        <x:v>Cycle 3</x:v>
      </x:c>
      <x:c r="C376" s="2" t="str">
        <x:v>Phase 3</x:v>
      </x:c>
      <x:c r="D376" s="2" t="str">
        <x:v>Cards</x:v>
      </x:c>
      <x:c r="E376" s="56" t="str">
        <x:v>RA.CA.3.3</x:v>
      </x:c>
      <x:c r="F376" s="14" t="str">
        <x:v>Address any outstanding questions or requests from D&amp;I</x:v>
      </x:c>
      <x:c r="G376" s="5"/>
      <x:c r="H376" s="11"/>
      <x:c r="I376" s="11" t="n">
        <x:f>'Cycles &amp; Guide'!$D$12</x:f>
        <x:v>46295</x:v>
      </x:c>
      <x:c r="J376" s="11"/>
      <x:c r="K376" s="29"/>
      <x:c r="L376" s="2" t="str">
        <x:f>IF(O376=1,"Complete",IF(A376,"Checklist open",IF(H376&lt;&gt;"","In progress","Not started")))</x:f>
        <x:v>Not started</x:v>
      </x:c>
      <x:c r="M376" s="2" t="str">
        <x:v>Task</x:v>
      </x:c>
      <x:c r="N376" s="2" t="str">
        <x:v>RA.CA.3.3.2026.CY3</x:v>
      </x:c>
      <x:c r="O376" s="2" t="n">
        <x:f>R376</x:f>
        <x:v>0</x:v>
      </x:c>
      <x:c r="P376" s="2"/>
      <x:c r="Q376" s="2" t="n">
        <x:v>1</x:v>
      </x:c>
      <x:c r="R376" s="2" t="n">
        <x:f>IF(A376,1,0)</x:f>
        <x:v>0</x:v>
      </x:c>
      <x:c r="S376" s="2" t="n">
        <x:f>SUBTOTAL(103,N376)</x:f>
        <x:v>1</x:v>
      </x:c>
    </x:row>
    <x:row r="377" ht="42" customHeight="1">
      <x:c r="A377" s="28" t="b">
        <x:v>0</x:v>
      </x:c>
      <x:c r="B377" s="2" t="str">
        <x:v>Cycle 3</x:v>
      </x:c>
      <x:c r="C377" s="2" t="str">
        <x:v>Phase 3</x:v>
      </x:c>
      <x:c r="D377" s="2" t="str">
        <x:v>Cards</x:v>
      </x:c>
      <x:c r="E377" s="56" t="str">
        <x:v>RA.CA.3.4</x:v>
      </x:c>
      <x:c r="F377" s="14" t="str">
        <x:v>Attend Forum meeting with D&amp;I to assist with answering stakeholder questions (as needed)</x:v>
      </x:c>
      <x:c r="G377" s="5"/>
      <x:c r="H377" s="11"/>
      <x:c r="I377" s="11" t="str">
        <x:f>IF(SUMIFS('Cycles &amp; Guide'!$D$23:$D$50,'Cycles &amp; Guide'!$B$23:$B$50,B377,'Cycles &amp; Guide'!$C$23:$C$50,D377)=0,"",SUMIFS('Cycles &amp; Guide'!$D$23:$D$50,'Cycles &amp; Guide'!$B$23:$B$50,B377,'Cycles &amp; Guide'!$C$23:$C$50,D377))</x:f>
      </x:c>
      <x:c r="J377" s="11"/>
      <x:c r="K377" s="29"/>
      <x:c r="L377" s="2" t="str">
        <x:f>IF(O377=1,"Complete",IF(A377,"Checklist open",IF(H377&lt;&gt;"","In progress","Not started")))</x:f>
        <x:v>Not started</x:v>
      </x:c>
      <x:c r="M377" s="2" t="str">
        <x:v>Task</x:v>
      </x:c>
      <x:c r="N377" s="2" t="str">
        <x:v>RA.CA.3.4.2026.CY3</x:v>
      </x:c>
      <x:c r="O377" s="2" t="n">
        <x:f>R377</x:f>
        <x:v>0</x:v>
      </x:c>
      <x:c r="P377" s="2"/>
      <x:c r="Q377" s="2" t="n">
        <x:v>1</x:v>
      </x:c>
      <x:c r="R377" s="2" t="n">
        <x:f>IF(A377,1,0)</x:f>
        <x:v>0</x:v>
      </x:c>
      <x:c r="S377" s="2" t="n">
        <x:f>SUBTOTAL(103,N377)</x:f>
        <x:v>1</x:v>
      </x:c>
    </x:row>
    <x:row r="378" ht="42" customHeight="1">
      <x:c r="A378" s="28" t="b">
        <x:v>0</x:v>
      </x:c>
      <x:c r="B378" s="2" t="str">
        <x:v>Cycle 3</x:v>
      </x:c>
      <x:c r="C378" s="2" t="str">
        <x:v>Phase 1</x:v>
      </x:c>
      <x:c r="D378" s="2" t="str">
        <x:v>CSBBO - Banking Ops</x:v>
      </x:c>
      <x:c r="E378" s="56" t="str">
        <x:v>RA.BO.1.1</x:v>
      </x:c>
      <x:c r="F378" s="14" t="str">
        <x:v>Begin Research process 2 weeks prior to Cycle start</x:v>
      </x:c>
      <x:c r="G378" s="5"/>
      <x:c r="H378" s="11"/>
      <x:c r="I378" s="11" t="n">
        <x:f>'Cycles &amp; Guide'!$C$12-14</x:f>
        <x:v>46190</x:v>
      </x:c>
      <x:c r="J378" s="11"/>
      <x:c r="K378" s="29"/>
      <x:c r="L378" s="2" t="str">
        <x:f>IF(O378=1,"Complete",IF(A378,"Checklist open",IF(H378&lt;&gt;"","In progress","Not started")))</x:f>
        <x:v>Not started</x:v>
      </x:c>
      <x:c r="M378" s="2" t="str">
        <x:v>Task</x:v>
      </x:c>
      <x:c r="N378" s="2" t="str">
        <x:v>RA.BO.1.1.2026.CY3</x:v>
      </x:c>
      <x:c r="O378" s="2" t="n">
        <x:f>R378</x:f>
        <x:v>0</x:v>
      </x:c>
      <x:c r="P378" s="2"/>
      <x:c r="Q378" s="2" t="n">
        <x:v>1</x:v>
      </x:c>
      <x:c r="R378" s="2" t="n">
        <x:f>IF(A378,1,0)</x:f>
        <x:v>0</x:v>
      </x:c>
      <x:c r="S378" s="2" t="n">
        <x:f>SUBTOTAL(103,N378)</x:f>
        <x:v>1</x:v>
      </x:c>
    </x:row>
    <x:row r="379" ht="42" customHeight="1">
      <x:c r="A379" s="28" t="b">
        <x:v>0</x:v>
      </x:c>
      <x:c r="B379" s="2" t="str">
        <x:v>Cycle 3</x:v>
      </x:c>
      <x:c r="C379" s="2" t="str">
        <x:v>Phase 1</x:v>
      </x:c>
      <x:c r="D379" s="2" t="str">
        <x:v>CSBBO - Banking Ops</x:v>
      </x:c>
      <x:c r="E379" s="56" t="str">
        <x:v>RA.BO.1.2</x:v>
      </x:c>
      <x:c r="F379" s="14" t="str">
        <x:v>Conduct initial assessment of each topic recommendation from SharePoint list</x:v>
      </x:c>
      <x:c r="G379" s="5"/>
      <x:c r="H379" s="11"/>
      <x:c r="I379" s="11" t="n">
        <x:f>'Cycles &amp; Guide'!$D$12</x:f>
        <x:v>46295</x:v>
      </x:c>
      <x:c r="J379" s="11"/>
      <x:c r="K379" s="29"/>
      <x:c r="L379" s="2" t="str">
        <x:f>IF(O379=1,"Complete",IF(A379,"Checklist open",IF(H379&lt;&gt;"","In progress","Not started")))</x:f>
        <x:v>Not started</x:v>
      </x:c>
      <x:c r="M379" s="2" t="str">
        <x:v>Task</x:v>
      </x:c>
      <x:c r="N379" s="2" t="str">
        <x:v>RA.BO.1.2.2026.CY3</x:v>
      </x:c>
      <x:c r="O379" s="2" t="n">
        <x:f>R379</x:f>
        <x:v>0</x:v>
      </x:c>
      <x:c r="P379" s="2"/>
      <x:c r="Q379" s="2" t="n">
        <x:v>1</x:v>
      </x:c>
      <x:c r="R379" s="2" t="n">
        <x:f>IF(A379,1,0)</x:f>
        <x:v>0</x:v>
      </x:c>
      <x:c r="S379" s="2" t="n">
        <x:f>SUBTOTAL(103,N379)</x:f>
        <x:v>1</x:v>
      </x:c>
    </x:row>
    <x:row r="380" ht="42" customHeight="1">
      <x:c r="A380" s="28" t="b">
        <x:v>0</x:v>
      </x:c>
      <x:c r="B380" s="2" t="str">
        <x:v>Cycle 3</x:v>
      </x:c>
      <x:c r="C380" s="2" t="str">
        <x:v>Phase 1</x:v>
      </x:c>
      <x:c r="D380" s="2" t="str">
        <x:v>CSBBO - Banking Ops</x:v>
      </x:c>
      <x:c r="E380" s="56" t="str">
        <x:v>RA.BO.1.3</x:v>
      </x:c>
      <x:c r="F380" s="14" t="str">
        <x:v>Identify best topic for Cycle</x:v>
      </x:c>
      <x:c r="G380" s="5"/>
      <x:c r="H380" s="11"/>
      <x:c r="I380" s="11" t="n">
        <x:f>'Cycles &amp; Guide'!$D$12</x:f>
        <x:v>46295</x:v>
      </x:c>
      <x:c r="J380" s="11"/>
      <x:c r="K380" s="29"/>
      <x:c r="L380" s="2" t="str">
        <x:f>IF(O380=1,"Complete",IF(A380,"Checklist open",IF(H380&lt;&gt;"","In progress","Not started")))</x:f>
        <x:v>Not started</x:v>
      </x:c>
      <x:c r="M380" s="2" t="str">
        <x:v>Task</x:v>
      </x:c>
      <x:c r="N380" s="2" t="str">
        <x:v>RA.BO.1.3.2026.CY3</x:v>
      </x:c>
      <x:c r="O380" s="2" t="n">
        <x:f>R380</x:f>
        <x:v>0</x:v>
      </x:c>
      <x:c r="P380" s="2"/>
      <x:c r="Q380" s="2" t="n">
        <x:v>1</x:v>
      </x:c>
      <x:c r="R380" s="2" t="n">
        <x:f>IF(A380,1,0)</x:f>
        <x:v>0</x:v>
      </x:c>
      <x:c r="S380" s="2" t="n">
        <x:f>SUBTOTAL(103,N380)</x:f>
        <x:v>1</x:v>
      </x:c>
    </x:row>
    <x:row r="381" ht="42" customHeight="1">
      <x:c r="A381" s="28" t="b">
        <x:v>0</x:v>
      </x:c>
      <x:c r="B381" s="2" t="str">
        <x:v>Cycle 3</x:v>
      </x:c>
      <x:c r="C381" s="2" t="str">
        <x:v>Phase 1</x:v>
      </x:c>
      <x:c r="D381" s="2" t="str">
        <x:v>CSBBO - Banking Ops</x:v>
      </x:c>
      <x:c r="E381" s="56" t="str">
        <x:v>RA.BO.1.4</x:v>
      </x:c>
      <x:c r="F381" s="14" t="str">
        <x:v>Identify backup topic for Cycle</x:v>
      </x:c>
      <x:c r="G381" s="5"/>
      <x:c r="H381" s="11"/>
      <x:c r="I381" s="11" t="n">
        <x:f>'Cycles &amp; Guide'!$D$12</x:f>
        <x:v>46295</x:v>
      </x:c>
      <x:c r="J381" s="11"/>
      <x:c r="K381" s="29"/>
      <x:c r="L381" s="2" t="str">
        <x:f>IF(O381=1,"Complete",IF(A381,"Checklist open",IF(H381&lt;&gt;"","In progress","Not started")))</x:f>
        <x:v>Not started</x:v>
      </x:c>
      <x:c r="M381" s="2" t="str">
        <x:v>Task</x:v>
      </x:c>
      <x:c r="N381" s="2" t="str">
        <x:v>RA.BO.1.4.2026.CY3</x:v>
      </x:c>
      <x:c r="O381" s="2" t="n">
        <x:f>R381</x:f>
        <x:v>0</x:v>
      </x:c>
      <x:c r="P381" s="2"/>
      <x:c r="Q381" s="2" t="n">
        <x:v>1</x:v>
      </x:c>
      <x:c r="R381" s="2" t="n">
        <x:f>IF(A381,1,0)</x:f>
        <x:v>0</x:v>
      </x:c>
      <x:c r="S381" s="2" t="n">
        <x:f>SUBTOTAL(103,N381)</x:f>
        <x:v>1</x:v>
      </x:c>
    </x:row>
    <x:row r="382" ht="42" customHeight="1">
      <x:c r="A382" s="28" t="b">
        <x:v>0</x:v>
      </x:c>
      <x:c r="B382" s="2" t="str">
        <x:v>Cycle 3</x:v>
      </x:c>
      <x:c r="C382" s="2" t="str">
        <x:v>Phase 1</x:v>
      </x:c>
      <x:c r="D382" s="2" t="str">
        <x:v>CSBBO - Banking Ops</x:v>
      </x:c>
      <x:c r="E382" s="56" t="str">
        <x:v>RA.BO.1.5</x:v>
      </x:c>
      <x:c r="F382" s="14" t="str">
        <x:v>Schedule topic approval meeting with D&amp;I and management</x:v>
      </x:c>
      <x:c r="G382" s="5"/>
      <x:c r="H382" s="11"/>
      <x:c r="I382" s="11" t="n">
        <x:f>'Cycles &amp; Guide'!$D$12</x:f>
        <x:v>46295</x:v>
      </x:c>
      <x:c r="J382" s="11"/>
      <x:c r="K382" s="29"/>
      <x:c r="L382" s="2" t="str">
        <x:f>IF(O382=1,"Complete",IF(A382,"Checklist open",IF(H382&lt;&gt;"","In progress","Not started")))</x:f>
        <x:v>Not started</x:v>
      </x:c>
      <x:c r="M382" s="2" t="str">
        <x:v>Task</x:v>
      </x:c>
      <x:c r="N382" s="2" t="str">
        <x:v>RA.BO.1.5.2026.CY3</x:v>
      </x:c>
      <x:c r="O382" s="2" t="n">
        <x:f>R382</x:f>
        <x:v>0</x:v>
      </x:c>
      <x:c r="P382" s="2"/>
      <x:c r="Q382" s="2" t="n">
        <x:v>1</x:v>
      </x:c>
      <x:c r="R382" s="2" t="n">
        <x:f>IF(A382,1,0)</x:f>
        <x:v>0</x:v>
      </x:c>
      <x:c r="S382" s="2" t="n">
        <x:f>SUBTOTAL(103,N382)</x:f>
        <x:v>1</x:v>
      </x:c>
    </x:row>
    <x:row r="383" ht="42" customHeight="1">
      <x:c r="A383" s="28" t="b">
        <x:v>0</x:v>
      </x:c>
      <x:c r="B383" s="2" t="str">
        <x:v>Cycle 3</x:v>
      </x:c>
      <x:c r="C383" s="2" t="str">
        <x:v>Phase 1</x:v>
      </x:c>
      <x:c r="D383" s="2" t="str">
        <x:v>CSBBO - Banking Ops</x:v>
      </x:c>
      <x:c r="E383" s="56" t="str">
        <x:v>RA.BO.1.6</x:v>
      </x:c>
      <x:c r="F383" s="14" t="str">
        <x:v>Present recommended topic to D&amp;I and management for approval</x:v>
      </x:c>
      <x:c r="G383" s="5"/>
      <x:c r="H383" s="11"/>
      <x:c r="I383" s="11" t="n">
        <x:f>'Cycles &amp; Guide'!$D$12</x:f>
        <x:v>46295</x:v>
      </x:c>
      <x:c r="J383" s="11"/>
      <x:c r="K383" s="29"/>
      <x:c r="L383" s="2" t="str">
        <x:f>IF(O383=1,"Complete",IF(A383,"Checklist open",IF(H383&lt;&gt;"","In progress","Not started")))</x:f>
        <x:v>Not started</x:v>
      </x:c>
      <x:c r="M383" s="2" t="str">
        <x:v>Task</x:v>
      </x:c>
      <x:c r="N383" s="2" t="str">
        <x:v>RA.BO.1.6.2026.CY3</x:v>
      </x:c>
      <x:c r="O383" s="2" t="n">
        <x:f>R383</x:f>
        <x:v>0</x:v>
      </x:c>
      <x:c r="P383" s="2"/>
      <x:c r="Q383" s="2" t="n">
        <x:v>1</x:v>
      </x:c>
      <x:c r="R383" s="2" t="n">
        <x:f>IF(A383,1,0)</x:f>
        <x:v>0</x:v>
      </x:c>
      <x:c r="S383" s="2" t="n">
        <x:f>SUBTOTAL(103,N383)</x:f>
        <x:v>1</x:v>
      </x:c>
    </x:row>
    <x:row r="384" ht="42" customHeight="1">
      <x:c r="A384" s="28" t="b">
        <x:v>0</x:v>
      </x:c>
      <x:c r="B384" s="2" t="str">
        <x:v>Cycle 3</x:v>
      </x:c>
      <x:c r="C384" s="2" t="str">
        <x:v>Phase 1</x:v>
      </x:c>
      <x:c r="D384" s="2" t="str">
        <x:v>CSBBO - Banking Ops</x:v>
      </x:c>
      <x:c r="E384" s="56" t="str">
        <x:v>RA.BO.1.7</x:v>
      </x:c>
      <x:c r="F384" s="14" t="str">
        <x:v>Obtain formal topic selection approval from management via SharePoint</x:v>
      </x:c>
      <x:c r="G384" s="5"/>
      <x:c r="H384" s="11"/>
      <x:c r="I384" s="11" t="n">
        <x:f>'Cycles &amp; Guide'!$D$12</x:f>
        <x:v>46295</x:v>
      </x:c>
      <x:c r="J384" s="11"/>
      <x:c r="K384" s="29"/>
      <x:c r="L384" s="2" t="str">
        <x:f>IF(O384=1,"Complete",IF(A384,"Checklist open",IF(H384&lt;&gt;"","In progress","Not started")))</x:f>
        <x:v>Not started</x:v>
      </x:c>
      <x:c r="M384" s="2" t="str">
        <x:v>Task</x:v>
      </x:c>
      <x:c r="N384" s="2" t="str">
        <x:v>RA.BO.1.7.2026.CY3</x:v>
      </x:c>
      <x:c r="O384" s="2" t="n">
        <x:f>R384</x:f>
        <x:v>0</x:v>
      </x:c>
      <x:c r="P384" s="2"/>
      <x:c r="Q384" s="2" t="n">
        <x:v>1</x:v>
      </x:c>
      <x:c r="R384" s="2" t="n">
        <x:f>IF(A384,1,0)</x:f>
        <x:v>0</x:v>
      </x:c>
      <x:c r="S384" s="2" t="n">
        <x:f>SUBTOTAL(103,N384)</x:f>
        <x:v>1</x:v>
      </x:c>
    </x:row>
    <x:row r="385" ht="42" customHeight="1">
      <x:c r="A385" s="28" t="b">
        <x:v>0</x:v>
      </x:c>
      <x:c r="B385" s="2" t="str">
        <x:v>Cycle 3</x:v>
      </x:c>
      <x:c r="C385" s="2" t="str">
        <x:v>Phase 1</x:v>
      </x:c>
      <x:c r="D385" s="2" t="str">
        <x:v>CSBBO - Banking Ops</x:v>
      </x:c>
      <x:c r="E385" s="56" t="str">
        <x:v>RA.BO.1.8</x:v>
      </x:c>
      <x:c r="F385" s="14" t="str">
        <x:v>Socialize topic selection with product owners and subject matter experts (if known)</x:v>
      </x:c>
      <x:c r="G385" s="5"/>
      <x:c r="H385" s="11"/>
      <x:c r="I385" s="11" t="n">
        <x:f>'Cycles &amp; Guide'!$D$12</x:f>
        <x:v>46295</x:v>
      </x:c>
      <x:c r="J385" s="11"/>
      <x:c r="K385" s="29"/>
      <x:c r="L385" s="2" t="str">
        <x:f>IF(O385=1,"Complete",IF(A385,"Checklist open",IF(H385&lt;&gt;"","In progress","Not started")))</x:f>
        <x:v>Not started</x:v>
      </x:c>
      <x:c r="M385" s="2" t="str">
        <x:v>Task</x:v>
      </x:c>
      <x:c r="N385" s="2" t="str">
        <x:v>RA.BO.1.8.2026.CY3</x:v>
      </x:c>
      <x:c r="O385" s="2" t="n">
        <x:f>R385</x:f>
        <x:v>0</x:v>
      </x:c>
      <x:c r="P385" s="2"/>
      <x:c r="Q385" s="2" t="n">
        <x:v>1</x:v>
      </x:c>
      <x:c r="R385" s="2" t="n">
        <x:f>IF(A385,1,0)</x:f>
        <x:v>0</x:v>
      </x:c>
      <x:c r="S385" s="2" t="n">
        <x:f>SUBTOTAL(103,N385)</x:f>
        <x:v>1</x:v>
      </x:c>
    </x:row>
    <x:row r="386" ht="42" customHeight="1">
      <x:c r="A386" s="28" t="b">
        <x:v>0</x:v>
      </x:c>
      <x:c r="B386" s="2" t="str">
        <x:v>Cycle 3</x:v>
      </x:c>
      <x:c r="C386" s="2" t="str">
        <x:v>Phase 1</x:v>
      </x:c>
      <x:c r="D386" s="2" t="str">
        <x:v>CSBBO - Banking Ops</x:v>
      </x:c>
      <x:c r="E386" s="56" t="str">
        <x:v>RA.BO.1.9</x:v>
      </x:c>
      <x:c r="F386" s="14" t="str">
        <x:v>Assign topic researchers</x:v>
      </x:c>
      <x:c r="G386" s="5"/>
      <x:c r="H386" s="11"/>
      <x:c r="I386" s="11" t="n">
        <x:f>'Cycles &amp; Guide'!$D$12</x:f>
        <x:v>46295</x:v>
      </x:c>
      <x:c r="J386" s="11"/>
      <x:c r="K386" s="29"/>
      <x:c r="L386" s="2" t="str">
        <x:f>IF(O386=1,"Complete",IF(A386,"Checklist open",IF(H386&lt;&gt;"","In progress","Not started")))</x:f>
        <x:v>Not started</x:v>
      </x:c>
      <x:c r="M386" s="2" t="str">
        <x:v>Task</x:v>
      </x:c>
      <x:c r="N386" s="2" t="str">
        <x:v>RA.BO.1.9.2026.CY3</x:v>
      </x:c>
      <x:c r="O386" s="2" t="n">
        <x:f>R386</x:f>
        <x:v>0</x:v>
      </x:c>
      <x:c r="P386" s="2"/>
      <x:c r="Q386" s="2" t="n">
        <x:v>1</x:v>
      </x:c>
      <x:c r="R386" s="2" t="n">
        <x:f>IF(A386,1,0)</x:f>
        <x:v>0</x:v>
      </x:c>
      <x:c r="S386" s="2" t="n">
        <x:f>SUBTOTAL(103,N386)</x:f>
        <x:v>1</x:v>
      </x:c>
    </x:row>
    <x:row r="387" ht="42" customHeight="1">
      <x:c r="A387" s="28" t="b">
        <x:v>0</x:v>
      </x:c>
      <x:c r="B387" s="2" t="str">
        <x:v>Cycle 3</x:v>
      </x:c>
      <x:c r="C387" s="2" t="str">
        <x:v>Phase 2</x:v>
      </x:c>
      <x:c r="D387" s="2" t="str">
        <x:v>CSBBO - Banking Ops</x:v>
      </x:c>
      <x:c r="E387" s="56" t="str">
        <x:v>RA.BO.2.1</x:v>
      </x:c>
      <x:c r="F387" s="14" t="str">
        <x:v>Review data sources</x:v>
      </x:c>
      <x:c r="G387" s="5"/>
      <x:c r="H387" s="11"/>
      <x:c r="I387" s="11" t="n">
        <x:f>'Cycles &amp; Guide'!$D$12</x:f>
        <x:v>46295</x:v>
      </x:c>
      <x:c r="J387" s="11"/>
      <x:c r="K387" s="29"/>
      <x:c r="L387" s="2" t="str">
        <x:f>IF(O387=1,"Complete",IF(A387,"Checklist open",IF(H387&lt;&gt;"","In progress","Not started")))</x:f>
        <x:v>Not started</x:v>
      </x:c>
      <x:c r="M387" s="2" t="str">
        <x:v>Task</x:v>
      </x:c>
      <x:c r="N387" s="2" t="str">
        <x:v>RA.BO.2.1.2026.CY3</x:v>
      </x:c>
      <x:c r="O387" s="2" t="n">
        <x:f>R387</x:f>
        <x:v>0</x:v>
      </x:c>
      <x:c r="P387" s="2"/>
      <x:c r="Q387" s="2" t="n">
        <x:v>1</x:v>
      </x:c>
      <x:c r="R387" s="2" t="n">
        <x:f>IF(A387,1,0)</x:f>
        <x:v>0</x:v>
      </x:c>
      <x:c r="S387" s="2" t="n">
        <x:f>SUBTOTAL(103,N387)</x:f>
        <x:v>1</x:v>
      </x:c>
    </x:row>
    <x:row r="388" ht="42" customHeight="1">
      <x:c r="A388" s="28" t="b">
        <x:v>0</x:v>
      </x:c>
      <x:c r="B388" s="2" t="str">
        <x:v>Cycle 3</x:v>
      </x:c>
      <x:c r="C388" s="2" t="str">
        <x:v>Phase 2</x:v>
      </x:c>
      <x:c r="D388" s="2" t="str">
        <x:v>CSBBO - Banking Ops</x:v>
      </x:c>
      <x:c r="E388" s="56" t="str">
        <x:v>RA.BO.2.2</x:v>
      </x:c>
      <x:c r="F388" s="14" t="str">
        <x:v>Review relevant policies and procedures</x:v>
      </x:c>
      <x:c r="G388" s="5"/>
      <x:c r="H388" s="11"/>
      <x:c r="I388" s="11" t="n">
        <x:f>'Cycles &amp; Guide'!$D$12</x:f>
        <x:v>46295</x:v>
      </x:c>
      <x:c r="J388" s="11"/>
      <x:c r="K388" s="29"/>
      <x:c r="L388" s="2" t="str">
        <x:f>IF(O388=1,"Complete",IF(A388,"Checklist open",IF(H388&lt;&gt;"","In progress","Not started")))</x:f>
        <x:v>Not started</x:v>
      </x:c>
      <x:c r="M388" s="2" t="str">
        <x:v>Task</x:v>
      </x:c>
      <x:c r="N388" s="2" t="str">
        <x:v>RA.BO.2.2.2026.CY3</x:v>
      </x:c>
      <x:c r="O388" s="2" t="n">
        <x:f>R388</x:f>
        <x:v>0</x:v>
      </x:c>
      <x:c r="P388" s="2"/>
      <x:c r="Q388" s="2" t="n">
        <x:v>1</x:v>
      </x:c>
      <x:c r="R388" s="2" t="n">
        <x:f>IF(A388,1,0)</x:f>
        <x:v>0</x:v>
      </x:c>
      <x:c r="S388" s="2" t="n">
        <x:f>SUBTOTAL(103,N388)</x:f>
        <x:v>1</x:v>
      </x:c>
    </x:row>
    <x:row r="389" ht="42" customHeight="1">
      <x:c r="A389" s="28" t="b">
        <x:v>0</x:v>
      </x:c>
      <x:c r="B389" s="2" t="str">
        <x:v>Cycle 3</x:v>
      </x:c>
      <x:c r="C389" s="2" t="str">
        <x:v>Phase 2</x:v>
      </x:c>
      <x:c r="D389" s="2" t="str">
        <x:v>CSBBO - Banking Ops</x:v>
      </x:c>
      <x:c r="E389" s="56" t="str">
        <x:v>RA.BO.2.3</x:v>
      </x:c>
      <x:c r="F389" s="14" t="str">
        <x:v>Meet with SMEs to gain business insight and clarify questions</x:v>
      </x:c>
      <x:c r="G389" s="5"/>
      <x:c r="H389" s="11"/>
      <x:c r="I389" s="11" t="n">
        <x:f>'Cycles &amp; Guide'!$D$12</x:f>
        <x:v>46295</x:v>
      </x:c>
      <x:c r="J389" s="11"/>
      <x:c r="K389" s="29"/>
      <x:c r="L389" s="2" t="str">
        <x:f>IF(O389=1,"Complete",IF(A389,"Checklist open",IF(H389&lt;&gt;"","In progress","Not started")))</x:f>
        <x:v>Not started</x:v>
      </x:c>
      <x:c r="M389" s="2" t="str">
        <x:v>Task</x:v>
      </x:c>
      <x:c r="N389" s="2" t="str">
        <x:v>RA.BO.2.3.2026.CY3</x:v>
      </x:c>
      <x:c r="O389" s="2" t="n">
        <x:f>R389</x:f>
        <x:v>0</x:v>
      </x:c>
      <x:c r="P389" s="2"/>
      <x:c r="Q389" s="2" t="n">
        <x:v>1</x:v>
      </x:c>
      <x:c r="R389" s="2" t="n">
        <x:f>IF(A389,1,0)</x:f>
        <x:v>0</x:v>
      </x:c>
      <x:c r="S389" s="2" t="n">
        <x:f>SUBTOTAL(103,N389)</x:f>
        <x:v>1</x:v>
      </x:c>
    </x:row>
    <x:row r="390" ht="42" customHeight="1">
      <x:c r="A390" s="28" t="b">
        <x:v>0</x:v>
      </x:c>
      <x:c r="B390" s="2" t="str">
        <x:v>Cycle 3</x:v>
      </x:c>
      <x:c r="C390" s="2" t="str">
        <x:v>Phase 2</x:v>
      </x:c>
      <x:c r="D390" s="2" t="str">
        <x:v>CSBBO - Banking Ops</x:v>
      </x:c>
      <x:c r="E390" s="56" t="str">
        <x:v>RA.BO.2.4</x:v>
      </x:c>
      <x:c r="F390" s="14" t="str">
        <x:v>Establish and maintain a recurring meeting with D&amp;I to discuss Cycle progress</x:v>
      </x:c>
      <x:c r="G390" s="5"/>
      <x:c r="H390" s="11"/>
      <x:c r="I390" s="11" t="n">
        <x:f>'Cycles &amp; Guide'!$D$12</x:f>
        <x:v>46295</x:v>
      </x:c>
      <x:c r="J390" s="11"/>
      <x:c r="K390" s="29"/>
      <x:c r="L390" s="2" t="str">
        <x:f>IF(O390=1,"Complete",IF(A390,"Checklist open",IF(H390&lt;&gt;"","In progress","Not started")))</x:f>
        <x:v>Not started</x:v>
      </x:c>
      <x:c r="M390" s="2" t="str">
        <x:v>Task</x:v>
      </x:c>
      <x:c r="N390" s="2" t="str">
        <x:v>RA.BO.2.4.2026.CY3</x:v>
      </x:c>
      <x:c r="O390" s="2" t="n">
        <x:f>R390</x:f>
        <x:v>0</x:v>
      </x:c>
      <x:c r="P390" s="2"/>
      <x:c r="Q390" s="2" t="n">
        <x:v>1</x:v>
      </x:c>
      <x:c r="R390" s="2" t="n">
        <x:f>IF(A390,1,0)</x:f>
        <x:v>0</x:v>
      </x:c>
      <x:c r="S390" s="2" t="n">
        <x:f>SUBTOTAL(103,N390)</x:f>
        <x:v>1</x:v>
      </x:c>
    </x:row>
    <x:row r="391" ht="42" customHeight="1">
      <x:c r="A391" s="28" t="b">
        <x:v>0</x:v>
      </x:c>
      <x:c r="B391" s="2" t="str">
        <x:v>Cycle 3</x:v>
      </x:c>
      <x:c r="C391" s="2" t="str">
        <x:v>Phase 2</x:v>
      </x:c>
      <x:c r="D391" s="2" t="str">
        <x:v>CSBBO - Banking Ops</x:v>
      </x:c>
      <x:c r="E391" s="56" t="str">
        <x:v>RA.BO.2.5</x:v>
      </x:c>
      <x:c r="F391" s="14" t="str">
        <x:v>Perform data testing and sampling</x:v>
      </x:c>
      <x:c r="G391" s="5"/>
      <x:c r="H391" s="11"/>
      <x:c r="I391" s="11" t="n">
        <x:f>'Cycles &amp; Guide'!$D$12</x:f>
        <x:v>46295</x:v>
      </x:c>
      <x:c r="J391" s="11"/>
      <x:c r="K391" s="29"/>
      <x:c r="L391" s="2" t="str">
        <x:f>IF(O391=1,"Complete",IF(A391,"Checklist open",IF(H391&lt;&gt;"","In progress","Not started")))</x:f>
        <x:v>Not started</x:v>
      </x:c>
      <x:c r="M391" s="2" t="str">
        <x:v>Task</x:v>
      </x:c>
      <x:c r="N391" s="2" t="str">
        <x:v>RA.BO.2.5.2026.CY3</x:v>
      </x:c>
      <x:c r="O391" s="2" t="n">
        <x:f>R391</x:f>
        <x:v>0</x:v>
      </x:c>
      <x:c r="P391" s="2"/>
      <x:c r="Q391" s="2" t="n">
        <x:v>1</x:v>
      </x:c>
      <x:c r="R391" s="2" t="n">
        <x:f>IF(A391,1,0)</x:f>
        <x:v>0</x:v>
      </x:c>
      <x:c r="S391" s="2" t="n">
        <x:f>SUBTOTAL(103,N391)</x:f>
        <x:v>1</x:v>
      </x:c>
    </x:row>
    <x:row r="392" ht="42" customHeight="1">
      <x:c r="A392" s="28" t="b">
        <x:v>0</x:v>
      </x:c>
      <x:c r="B392" s="2" t="str">
        <x:v>Cycle 3</x:v>
      </x:c>
      <x:c r="C392" s="2" t="str">
        <x:v>Phase 2</x:v>
      </x:c>
      <x:c r="D392" s="2" t="str">
        <x:v>CSBBO - Banking Ops</x:v>
      </x:c>
      <x:c r="E392" s="56" t="str">
        <x:v>RA.BO.2.6</x:v>
      </x:c>
      <x:c r="F392" s="14" t="str">
        <x:v>Complete Positive Testing</x:v>
      </x:c>
      <x:c r="G392" s="5"/>
      <x:c r="H392" s="11"/>
      <x:c r="I392" s="11" t="n">
        <x:f>'Cycles &amp; Guide'!$D$12</x:f>
        <x:v>46295</x:v>
      </x:c>
      <x:c r="J392" s="11"/>
      <x:c r="K392" s="29"/>
      <x:c r="L392" s="2" t="str">
        <x:f>IF(O392=1,"Complete",IF(A392,"Checklist open",IF(H392&lt;&gt;"","In progress","Not started")))</x:f>
        <x:v>Not started</x:v>
      </x:c>
      <x:c r="M392" s="2" t="str">
        <x:v>Task</x:v>
      </x:c>
      <x:c r="N392" s="2" t="str">
        <x:v>RA.BO.2.6.2026.CY3</x:v>
      </x:c>
      <x:c r="O392" s="2" t="n">
        <x:f>R392</x:f>
        <x:v>0</x:v>
      </x:c>
      <x:c r="P392" s="2"/>
      <x:c r="Q392" s="2" t="n">
        <x:v>1</x:v>
      </x:c>
      <x:c r="R392" s="2" t="n">
        <x:f>IF(A392,1,0)</x:f>
        <x:v>0</x:v>
      </x:c>
      <x:c r="S392" s="2" t="n">
        <x:f>SUBTOTAL(103,N392)</x:f>
        <x:v>1</x:v>
      </x:c>
    </x:row>
    <x:row r="393" ht="42" customHeight="1">
      <x:c r="A393" s="28" t="b">
        <x:v>0</x:v>
      </x:c>
      <x:c r="B393" s="2" t="str">
        <x:v>Cycle 3</x:v>
      </x:c>
      <x:c r="C393" s="2" t="str">
        <x:v>Phase 2</x:v>
      </x:c>
      <x:c r="D393" s="2" t="str">
        <x:v>CSBBO - Banking Ops</x:v>
      </x:c>
      <x:c r="E393" s="56" t="str">
        <x:v>RA.BO.2.7</x:v>
      </x:c>
      <x:c r="F393" s="14" t="str">
        <x:v>Complete Negative Testing</x:v>
      </x:c>
      <x:c r="G393" s="5"/>
      <x:c r="H393" s="11"/>
      <x:c r="I393" s="11" t="n">
        <x:f>'Cycles &amp; Guide'!$D$12</x:f>
        <x:v>46295</x:v>
      </x:c>
      <x:c r="J393" s="11"/>
      <x:c r="K393" s="29"/>
      <x:c r="L393" s="2" t="str">
        <x:f>IF(O393=1,"Complete",IF(A393,"Checklist open",IF(H393&lt;&gt;"","In progress","Not started")))</x:f>
        <x:v>Not started</x:v>
      </x:c>
      <x:c r="M393" s="2" t="str">
        <x:v>Task</x:v>
      </x:c>
      <x:c r="N393" s="2" t="str">
        <x:v>RA.BO.2.7.2026.CY3</x:v>
      </x:c>
      <x:c r="O393" s="2" t="n">
        <x:f>R393</x:f>
        <x:v>0</x:v>
      </x:c>
      <x:c r="P393" s="2"/>
      <x:c r="Q393" s="2" t="n">
        <x:v>1</x:v>
      </x:c>
      <x:c r="R393" s="2" t="n">
        <x:f>IF(A393,1,0)</x:f>
        <x:v>0</x:v>
      </x:c>
      <x:c r="S393" s="2" t="n">
        <x:f>SUBTOTAL(103,N393)</x:f>
        <x:v>1</x:v>
      </x:c>
    </x:row>
    <x:row r="394" ht="42" customHeight="1">
      <x:c r="A394" s="28" t="b">
        <x:v>0</x:v>
      </x:c>
      <x:c r="B394" s="2" t="str">
        <x:v>Cycle 3</x:v>
      </x:c>
      <x:c r="C394" s="2" t="str">
        <x:v>Phase 2</x:v>
      </x:c>
      <x:c r="D394" s="2" t="str">
        <x:v>CSBBO - Banking Ops</x:v>
      </x:c>
      <x:c r="E394" s="56" t="str">
        <x:v>RA.BO.2.8</x:v>
      </x:c>
      <x:c r="F394" s="14" t="str">
        <x:v>Request additional data (as needed)</x:v>
      </x:c>
      <x:c r="G394" s="5"/>
      <x:c r="H394" s="11"/>
      <x:c r="I394" s="11" t="n">
        <x:f>'Cycles &amp; Guide'!$D$12</x:f>
        <x:v>46295</x:v>
      </x:c>
      <x:c r="J394" s="11"/>
      <x:c r="K394" s="29"/>
      <x:c r="L394" s="2" t="str">
        <x:f>IF(O394=1,"Complete",IF(A394,"Checklist open",IF(H394&lt;&gt;"","In progress","Not started")))</x:f>
        <x:v>Not started</x:v>
      </x:c>
      <x:c r="M394" s="2" t="str">
        <x:v>Task</x:v>
      </x:c>
      <x:c r="N394" s="2" t="str">
        <x:v>RA.BO.2.8.2026.CY3</x:v>
      </x:c>
      <x:c r="O394" s="2" t="n">
        <x:f>R394</x:f>
        <x:v>0</x:v>
      </x:c>
      <x:c r="P394" s="2"/>
      <x:c r="Q394" s="2" t="n">
        <x:v>1</x:v>
      </x:c>
      <x:c r="R394" s="2" t="n">
        <x:f>IF(A394,1,0)</x:f>
        <x:v>0</x:v>
      </x:c>
      <x:c r="S394" s="2" t="n">
        <x:f>SUBTOTAL(103,N394)</x:f>
        <x:v>1</x:v>
      </x:c>
    </x:row>
    <x:row r="395" ht="42" customHeight="1">
      <x:c r="A395" s="28" t="b">
        <x:v>0</x:v>
      </x:c>
      <x:c r="B395" s="2" t="str">
        <x:v>Cycle 3</x:v>
      </x:c>
      <x:c r="C395" s="2" t="str">
        <x:v>Phase 2</x:v>
      </x:c>
      <x:c r="D395" s="2" t="str">
        <x:v>CSBBO - Banking Ops</x:v>
      </x:c>
      <x:c r="E395" s="56" t="str">
        <x:v>RA.BO.2.9</x:v>
      </x:c>
      <x:c r="F395" s="14" t="str">
        <x:v>Validate or disprove initial hypothesis assumptions</x:v>
      </x:c>
      <x:c r="G395" s="5"/>
      <x:c r="H395" s="11"/>
      <x:c r="I395" s="11" t="n">
        <x:f>'Cycles &amp; Guide'!$D$12</x:f>
        <x:v>46295</x:v>
      </x:c>
      <x:c r="J395" s="11"/>
      <x:c r="K395" s="29"/>
      <x:c r="L395" s="2" t="str">
        <x:f>IF(O395=1,"Complete",IF(A395,"Checklist open",IF(H395&lt;&gt;"","In progress","Not started")))</x:f>
        <x:v>Not started</x:v>
      </x:c>
      <x:c r="M395" s="2" t="str">
        <x:v>Task</x:v>
      </x:c>
      <x:c r="N395" s="2" t="str">
        <x:v>RA.BO.2.9.2026.CY3</x:v>
      </x:c>
      <x:c r="O395" s="2" t="n">
        <x:f>R395</x:f>
        <x:v>0</x:v>
      </x:c>
      <x:c r="P395" s="2"/>
      <x:c r="Q395" s="2" t="n">
        <x:v>1</x:v>
      </x:c>
      <x:c r="R395" s="2" t="n">
        <x:f>IF(A395,1,0)</x:f>
        <x:v>0</x:v>
      </x:c>
      <x:c r="S395" s="2" t="n">
        <x:f>SUBTOTAL(103,N395)</x:f>
        <x:v>1</x:v>
      </x:c>
    </x:row>
    <x:row r="396" ht="42" customHeight="1">
      <x:c r="A396" s="28" t="b">
        <x:v>0</x:v>
      </x:c>
      <x:c r="B396" s="2" t="str">
        <x:v>Cycle 3</x:v>
      </x:c>
      <x:c r="C396" s="2" t="str">
        <x:v>Phase 2</x:v>
      </x:c>
      <x:c r="D396" s="2" t="str">
        <x:v>CSBBO - Banking Ops</x:v>
      </x:c>
      <x:c r="E396" s="56" t="str">
        <x:v>RA.BO.2.10</x:v>
      </x:c>
      <x:c r="F396" s="14" t="str">
        <x:v>Identify and confirm root cause</x:v>
      </x:c>
      <x:c r="G396" s="5"/>
      <x:c r="H396" s="11"/>
      <x:c r="I396" s="11" t="n">
        <x:f>'Cycles &amp; Guide'!$D$12</x:f>
        <x:v>46295</x:v>
      </x:c>
      <x:c r="J396" s="11"/>
      <x:c r="K396" s="29"/>
      <x:c r="L396" s="2" t="str">
        <x:f>IF(O396=1,"Complete",IF(A396,"Checklist open",IF(H396&lt;&gt;"","In progress","Not started")))</x:f>
        <x:v>Not started</x:v>
      </x:c>
      <x:c r="M396" s="2" t="str">
        <x:v>Task</x:v>
      </x:c>
      <x:c r="N396" s="2" t="str">
        <x:v>RA.BO.2.10.2026.CY3</x:v>
      </x:c>
      <x:c r="O396" s="2" t="n">
        <x:f>R396</x:f>
        <x:v>0</x:v>
      </x:c>
      <x:c r="P396" s="2"/>
      <x:c r="Q396" s="2" t="n">
        <x:v>1</x:v>
      </x:c>
      <x:c r="R396" s="2" t="n">
        <x:f>IF(A396,1,0)</x:f>
        <x:v>0</x:v>
      </x:c>
      <x:c r="S396" s="2" t="n">
        <x:f>SUBTOTAL(103,N396)</x:f>
        <x:v>1</x:v>
      </x:c>
    </x:row>
    <x:row r="397" ht="42" customHeight="1">
      <x:c r="A397" s="28" t="b">
        <x:v>0</x:v>
      </x:c>
      <x:c r="B397" s="2" t="str">
        <x:v>Cycle 3</x:v>
      </x:c>
      <x:c r="C397" s="2" t="str">
        <x:v>Phase 3</x:v>
      </x:c>
      <x:c r="D397" s="2" t="str">
        <x:v>CSBBO - Banking Ops</x:v>
      </x:c>
      <x:c r="E397" s="56" t="str">
        <x:v>RA.BO.3.1</x:v>
      </x:c>
      <x:c r="F397" s="14" t="str">
        <x:v>Finalize results and supporting documentation</x:v>
      </x:c>
      <x:c r="G397" s="5"/>
      <x:c r="H397" s="11"/>
      <x:c r="I397" s="11" t="n">
        <x:f>'Cycles &amp; Guide'!$D$12</x:f>
        <x:v>46295</x:v>
      </x:c>
      <x:c r="J397" s="11"/>
      <x:c r="K397" s="29"/>
      <x:c r="L397" s="2" t="str">
        <x:f>IF(O397=1,"Complete",IF(A397,"Checklist open",IF(H397&lt;&gt;"","In progress","Not started")))</x:f>
        <x:v>Not started</x:v>
      </x:c>
      <x:c r="M397" s="2" t="str">
        <x:v>Task</x:v>
      </x:c>
      <x:c r="N397" s="2" t="str">
        <x:v>RA.BO.3.1.2026.CY3</x:v>
      </x:c>
      <x:c r="O397" s="2" t="n">
        <x:f>R397</x:f>
        <x:v>0</x:v>
      </x:c>
      <x:c r="P397" s="2"/>
      <x:c r="Q397" s="2" t="n">
        <x:v>1</x:v>
      </x:c>
      <x:c r="R397" s="2" t="n">
        <x:f>IF(A397,1,0)</x:f>
        <x:v>0</x:v>
      </x:c>
      <x:c r="S397" s="2" t="n">
        <x:f>SUBTOTAL(103,N397)</x:f>
        <x:v>1</x:v>
      </x:c>
    </x:row>
    <x:row r="398" ht="42" customHeight="1">
      <x:c r="A398" s="28" t="b">
        <x:v>0</x:v>
      </x:c>
      <x:c r="B398" s="2" t="str">
        <x:v>Cycle 3</x:v>
      </x:c>
      <x:c r="C398" s="2" t="str">
        <x:v>Phase 3</x:v>
      </x:c>
      <x:c r="D398" s="2" t="str">
        <x:v>CSBBO - Banking Ops</x:v>
      </x:c>
      <x:c r="E398" s="56" t="str">
        <x:v>RA.BO.3.2</x:v>
      </x:c>
      <x:c r="F398" s="14" t="str">
        <x:v>Maintain and update the evidence package prior to handoff to D&amp;I</x:v>
      </x:c>
      <x:c r="G398" s="5"/>
      <x:c r="H398" s="11"/>
      <x:c r="I398" s="11" t="n">
        <x:f>'Cycles &amp; Guide'!$D$12</x:f>
        <x:v>46295</x:v>
      </x:c>
      <x:c r="J398" s="11"/>
      <x:c r="K398" s="29"/>
      <x:c r="L398" s="2" t="str">
        <x:f>IF(O398=1,"Complete",IF(A398,"Checklist open",IF(H398&lt;&gt;"","In progress","Not started")))</x:f>
        <x:v>Not started</x:v>
      </x:c>
      <x:c r="M398" s="2" t="str">
        <x:v>Task</x:v>
      </x:c>
      <x:c r="N398" s="2" t="str">
        <x:v>RA.BO.3.2.2026.CY3</x:v>
      </x:c>
      <x:c r="O398" s="2" t="n">
        <x:f>R398</x:f>
        <x:v>0</x:v>
      </x:c>
      <x:c r="P398" s="2"/>
      <x:c r="Q398" s="2" t="n">
        <x:v>1</x:v>
      </x:c>
      <x:c r="R398" s="2" t="n">
        <x:f>IF(A398,1,0)</x:f>
        <x:v>0</x:v>
      </x:c>
      <x:c r="S398" s="2" t="n">
        <x:f>SUBTOTAL(103,N398)</x:f>
        <x:v>1</x:v>
      </x:c>
    </x:row>
    <x:row r="399" ht="42" customHeight="1">
      <x:c r="A399" s="28" t="b">
        <x:v>0</x:v>
      </x:c>
      <x:c r="B399" s="2" t="str">
        <x:v>Cycle 3</x:v>
      </x:c>
      <x:c r="C399" s="2" t="str">
        <x:v>Phase 3</x:v>
      </x:c>
      <x:c r="D399" s="2" t="str">
        <x:v>CSBBO - Banking Ops</x:v>
      </x:c>
      <x:c r="E399" s="56" t="str">
        <x:v>RA.BO.3.3</x:v>
      </x:c>
      <x:c r="F399" s="14" t="str">
        <x:v>Address any outstanding questions or requests from D&amp;I</x:v>
      </x:c>
      <x:c r="G399" s="5"/>
      <x:c r="H399" s="11"/>
      <x:c r="I399" s="11" t="n">
        <x:f>'Cycles &amp; Guide'!$D$12</x:f>
        <x:v>46295</x:v>
      </x:c>
      <x:c r="J399" s="11"/>
      <x:c r="K399" s="29"/>
      <x:c r="L399" s="2" t="str">
        <x:f>IF(O399=1,"Complete",IF(A399,"Checklist open",IF(H399&lt;&gt;"","In progress","Not started")))</x:f>
        <x:v>Not started</x:v>
      </x:c>
      <x:c r="M399" s="2" t="str">
        <x:v>Task</x:v>
      </x:c>
      <x:c r="N399" s="2" t="str">
        <x:v>RA.BO.3.3.2026.CY3</x:v>
      </x:c>
      <x:c r="O399" s="2" t="n">
        <x:f>R399</x:f>
        <x:v>0</x:v>
      </x:c>
      <x:c r="P399" s="2"/>
      <x:c r="Q399" s="2" t="n">
        <x:v>1</x:v>
      </x:c>
      <x:c r="R399" s="2" t="n">
        <x:f>IF(A399,1,0)</x:f>
        <x:v>0</x:v>
      </x:c>
      <x:c r="S399" s="2" t="n">
        <x:f>SUBTOTAL(103,N399)</x:f>
        <x:v>1</x:v>
      </x:c>
    </x:row>
    <x:row r="400" ht="42" customHeight="1">
      <x:c r="A400" s="28" t="b">
        <x:v>0</x:v>
      </x:c>
      <x:c r="B400" s="2" t="str">
        <x:v>Cycle 3</x:v>
      </x:c>
      <x:c r="C400" s="2" t="str">
        <x:v>Phase 3</x:v>
      </x:c>
      <x:c r="D400" s="2" t="str">
        <x:v>CSBBO - Banking Ops</x:v>
      </x:c>
      <x:c r="E400" s="56" t="str">
        <x:v>RA.BO.3.4</x:v>
      </x:c>
      <x:c r="F400" s="14" t="str">
        <x:v>Attend Forum meeting with D&amp;I to assist with answering stakeholder questions (as needed)</x:v>
      </x:c>
      <x:c r="G400" s="5"/>
      <x:c r="H400" s="11"/>
      <x:c r="I400" s="11" t="str">
        <x:f>IF(SUMIFS('Cycles &amp; Guide'!$D$23:$D$50,'Cycles &amp; Guide'!$B$23:$B$50,B400,'Cycles &amp; Guide'!$C$23:$C$50,D400)=0,"",SUMIFS('Cycles &amp; Guide'!$D$23:$D$50,'Cycles &amp; Guide'!$B$23:$B$50,B400,'Cycles &amp; Guide'!$C$23:$C$50,D400))</x:f>
      </x:c>
      <x:c r="J400" s="11"/>
      <x:c r="K400" s="29"/>
      <x:c r="L400" s="2" t="str">
        <x:f>IF(O400=1,"Complete",IF(A400,"Checklist open",IF(H400&lt;&gt;"","In progress","Not started")))</x:f>
        <x:v>Not started</x:v>
      </x:c>
      <x:c r="M400" s="2" t="str">
        <x:v>Task</x:v>
      </x:c>
      <x:c r="N400" s="2" t="str">
        <x:v>RA.BO.3.4.2026.CY3</x:v>
      </x:c>
      <x:c r="O400" s="2" t="n">
        <x:f>R400</x:f>
        <x:v>0</x:v>
      </x:c>
      <x:c r="P400" s="2"/>
      <x:c r="Q400" s="2" t="n">
        <x:v>1</x:v>
      </x:c>
      <x:c r="R400" s="2" t="n">
        <x:f>IF(A400,1,0)</x:f>
        <x:v>0</x:v>
      </x:c>
      <x:c r="S400" s="2" t="n">
        <x:f>SUBTOTAL(103,N400)</x:f>
        <x:v>1</x:v>
      </x:c>
    </x:row>
    <x:row r="401" ht="42" customHeight="1">
      <x:c r="A401" s="28" t="b">
        <x:v>0</x:v>
      </x:c>
      <x:c r="B401" s="2" t="str">
        <x:v>Cycle 3</x:v>
      </x:c>
      <x:c r="C401" s="2" t="str">
        <x:v>Phase 1</x:v>
      </x:c>
      <x:c r="D401" s="2" t="str">
        <x:v>CSBBO - Customer Service</x:v>
      </x:c>
      <x:c r="E401" s="56" t="str">
        <x:v>RA.CS.1.1</x:v>
      </x:c>
      <x:c r="F401" s="14" t="str">
        <x:v>Begin Research process 2 weeks prior to Cycle start</x:v>
      </x:c>
      <x:c r="G401" s="5"/>
      <x:c r="H401" s="11"/>
      <x:c r="I401" s="11" t="n">
        <x:f>'Cycles &amp; Guide'!$C$12-14</x:f>
        <x:v>46190</x:v>
      </x:c>
      <x:c r="J401" s="11"/>
      <x:c r="K401" s="29"/>
      <x:c r="L401" s="2" t="str">
        <x:f>IF(O401=1,"Complete",IF(A401,"Checklist open",IF(H401&lt;&gt;"","In progress","Not started")))</x:f>
        <x:v>Not started</x:v>
      </x:c>
      <x:c r="M401" s="2" t="str">
        <x:v>Task</x:v>
      </x:c>
      <x:c r="N401" s="2" t="str">
        <x:v>RA.CS.1.1.2026.CY3</x:v>
      </x:c>
      <x:c r="O401" s="2" t="n">
        <x:f>R401</x:f>
        <x:v>0</x:v>
      </x:c>
      <x:c r="P401" s="2"/>
      <x:c r="Q401" s="2" t="n">
        <x:v>1</x:v>
      </x:c>
      <x:c r="R401" s="2" t="n">
        <x:f>IF(A401,1,0)</x:f>
        <x:v>0</x:v>
      </x:c>
      <x:c r="S401" s="2" t="n">
        <x:f>SUBTOTAL(103,N401)</x:f>
        <x:v>1</x:v>
      </x:c>
    </x:row>
    <x:row r="402" ht="42" customHeight="1">
      <x:c r="A402" s="28" t="b">
        <x:v>0</x:v>
      </x:c>
      <x:c r="B402" s="2" t="str">
        <x:v>Cycle 3</x:v>
      </x:c>
      <x:c r="C402" s="2" t="str">
        <x:v>Phase 1</x:v>
      </x:c>
      <x:c r="D402" s="2" t="str">
        <x:v>CSBBO - Customer Service</x:v>
      </x:c>
      <x:c r="E402" s="56" t="str">
        <x:v>RA.CS.1.2</x:v>
      </x:c>
      <x:c r="F402" s="14" t="str">
        <x:v>Conduct initial assessment of each topic recommendation from SharePoint list</x:v>
      </x:c>
      <x:c r="G402" s="5"/>
      <x:c r="H402" s="11"/>
      <x:c r="I402" s="11" t="n">
        <x:f>'Cycles &amp; Guide'!$D$12</x:f>
        <x:v>46295</x:v>
      </x:c>
      <x:c r="J402" s="11"/>
      <x:c r="K402" s="29"/>
      <x:c r="L402" s="2" t="str">
        <x:f>IF(O402=1,"Complete",IF(A402,"Checklist open",IF(H402&lt;&gt;"","In progress","Not started")))</x:f>
        <x:v>Not started</x:v>
      </x:c>
      <x:c r="M402" s="2" t="str">
        <x:v>Task</x:v>
      </x:c>
      <x:c r="N402" s="2" t="str">
        <x:v>RA.CS.1.2.2026.CY3</x:v>
      </x:c>
      <x:c r="O402" s="2" t="n">
        <x:f>R402</x:f>
        <x:v>0</x:v>
      </x:c>
      <x:c r="P402" s="2"/>
      <x:c r="Q402" s="2" t="n">
        <x:v>1</x:v>
      </x:c>
      <x:c r="R402" s="2" t="n">
        <x:f>IF(A402,1,0)</x:f>
        <x:v>0</x:v>
      </x:c>
      <x:c r="S402" s="2" t="n">
        <x:f>SUBTOTAL(103,N402)</x:f>
        <x:v>1</x:v>
      </x:c>
    </x:row>
    <x:row r="403" ht="42" customHeight="1">
      <x:c r="A403" s="28" t="b">
        <x:v>0</x:v>
      </x:c>
      <x:c r="B403" s="2" t="str">
        <x:v>Cycle 3</x:v>
      </x:c>
      <x:c r="C403" s="2" t="str">
        <x:v>Phase 1</x:v>
      </x:c>
      <x:c r="D403" s="2" t="str">
        <x:v>CSBBO - Customer Service</x:v>
      </x:c>
      <x:c r="E403" s="56" t="str">
        <x:v>RA.CS.1.3</x:v>
      </x:c>
      <x:c r="F403" s="14" t="str">
        <x:v>Identify best topic for Cycle</x:v>
      </x:c>
      <x:c r="G403" s="5"/>
      <x:c r="H403" s="11"/>
      <x:c r="I403" s="11" t="n">
        <x:f>'Cycles &amp; Guide'!$D$12</x:f>
        <x:v>46295</x:v>
      </x:c>
      <x:c r="J403" s="11"/>
      <x:c r="K403" s="29"/>
      <x:c r="L403" s="2" t="str">
        <x:f>IF(O403=1,"Complete",IF(A403,"Checklist open",IF(H403&lt;&gt;"","In progress","Not started")))</x:f>
        <x:v>Not started</x:v>
      </x:c>
      <x:c r="M403" s="2" t="str">
        <x:v>Task</x:v>
      </x:c>
      <x:c r="N403" s="2" t="str">
        <x:v>RA.CS.1.3.2026.CY3</x:v>
      </x:c>
      <x:c r="O403" s="2" t="n">
        <x:f>R403</x:f>
        <x:v>0</x:v>
      </x:c>
      <x:c r="P403" s="2"/>
      <x:c r="Q403" s="2" t="n">
        <x:v>1</x:v>
      </x:c>
      <x:c r="R403" s="2" t="n">
        <x:f>IF(A403,1,0)</x:f>
        <x:v>0</x:v>
      </x:c>
      <x:c r="S403" s="2" t="n">
        <x:f>SUBTOTAL(103,N403)</x:f>
        <x:v>1</x:v>
      </x:c>
    </x:row>
    <x:row r="404" ht="42" customHeight="1">
      <x:c r="A404" s="28" t="b">
        <x:v>0</x:v>
      </x:c>
      <x:c r="B404" s="2" t="str">
        <x:v>Cycle 3</x:v>
      </x:c>
      <x:c r="C404" s="2" t="str">
        <x:v>Phase 1</x:v>
      </x:c>
      <x:c r="D404" s="2" t="str">
        <x:v>CSBBO - Customer Service</x:v>
      </x:c>
      <x:c r="E404" s="56" t="str">
        <x:v>RA.CS.1.4</x:v>
      </x:c>
      <x:c r="F404" s="14" t="str">
        <x:v>Identify backup topic for Cycle</x:v>
      </x:c>
      <x:c r="G404" s="5"/>
      <x:c r="H404" s="11"/>
      <x:c r="I404" s="11" t="n">
        <x:f>'Cycles &amp; Guide'!$D$12</x:f>
        <x:v>46295</x:v>
      </x:c>
      <x:c r="J404" s="11"/>
      <x:c r="K404" s="29"/>
      <x:c r="L404" s="2" t="str">
        <x:f>IF(O404=1,"Complete",IF(A404,"Checklist open",IF(H404&lt;&gt;"","In progress","Not started")))</x:f>
        <x:v>Not started</x:v>
      </x:c>
      <x:c r="M404" s="2" t="str">
        <x:v>Task</x:v>
      </x:c>
      <x:c r="N404" s="2" t="str">
        <x:v>RA.CS.1.4.2026.CY3</x:v>
      </x:c>
      <x:c r="O404" s="2" t="n">
        <x:f>R404</x:f>
        <x:v>0</x:v>
      </x:c>
      <x:c r="P404" s="2"/>
      <x:c r="Q404" s="2" t="n">
        <x:v>1</x:v>
      </x:c>
      <x:c r="R404" s="2" t="n">
        <x:f>IF(A404,1,0)</x:f>
        <x:v>0</x:v>
      </x:c>
      <x:c r="S404" s="2" t="n">
        <x:f>SUBTOTAL(103,N404)</x:f>
        <x:v>1</x:v>
      </x:c>
    </x:row>
    <x:row r="405" ht="42" customHeight="1">
      <x:c r="A405" s="28" t="b">
        <x:v>0</x:v>
      </x:c>
      <x:c r="B405" s="2" t="str">
        <x:v>Cycle 3</x:v>
      </x:c>
      <x:c r="C405" s="2" t="str">
        <x:v>Phase 1</x:v>
      </x:c>
      <x:c r="D405" s="2" t="str">
        <x:v>CSBBO - Customer Service</x:v>
      </x:c>
      <x:c r="E405" s="56" t="str">
        <x:v>RA.CS.1.5</x:v>
      </x:c>
      <x:c r="F405" s="14" t="str">
        <x:v>Schedule topic approval meeting with D&amp;I and management</x:v>
      </x:c>
      <x:c r="G405" s="5"/>
      <x:c r="H405" s="11"/>
      <x:c r="I405" s="11" t="n">
        <x:f>'Cycles &amp; Guide'!$D$12</x:f>
        <x:v>46295</x:v>
      </x:c>
      <x:c r="J405" s="11"/>
      <x:c r="K405" s="29"/>
      <x:c r="L405" s="2" t="str">
        <x:f>IF(O405=1,"Complete",IF(A405,"Checklist open",IF(H405&lt;&gt;"","In progress","Not started")))</x:f>
        <x:v>Not started</x:v>
      </x:c>
      <x:c r="M405" s="2" t="str">
        <x:v>Task</x:v>
      </x:c>
      <x:c r="N405" s="2" t="str">
        <x:v>RA.CS.1.5.2026.CY3</x:v>
      </x:c>
      <x:c r="O405" s="2" t="n">
        <x:f>R405</x:f>
        <x:v>0</x:v>
      </x:c>
      <x:c r="P405" s="2"/>
      <x:c r="Q405" s="2" t="n">
        <x:v>1</x:v>
      </x:c>
      <x:c r="R405" s="2" t="n">
        <x:f>IF(A405,1,0)</x:f>
        <x:v>0</x:v>
      </x:c>
      <x:c r="S405" s="2" t="n">
        <x:f>SUBTOTAL(103,N405)</x:f>
        <x:v>1</x:v>
      </x:c>
    </x:row>
    <x:row r="406" ht="42" customHeight="1">
      <x:c r="A406" s="28" t="b">
        <x:v>0</x:v>
      </x:c>
      <x:c r="B406" s="2" t="str">
        <x:v>Cycle 3</x:v>
      </x:c>
      <x:c r="C406" s="2" t="str">
        <x:v>Phase 1</x:v>
      </x:c>
      <x:c r="D406" s="2" t="str">
        <x:v>CSBBO - Customer Service</x:v>
      </x:c>
      <x:c r="E406" s="56" t="str">
        <x:v>RA.CS.1.6</x:v>
      </x:c>
      <x:c r="F406" s="14" t="str">
        <x:v>Present recommended topic to D&amp;I and management for approval</x:v>
      </x:c>
      <x:c r="G406" s="5"/>
      <x:c r="H406" s="11"/>
      <x:c r="I406" s="11" t="n">
        <x:f>'Cycles &amp; Guide'!$D$12</x:f>
        <x:v>46295</x:v>
      </x:c>
      <x:c r="J406" s="11"/>
      <x:c r="K406" s="29"/>
      <x:c r="L406" s="2" t="str">
        <x:f>IF(O406=1,"Complete",IF(A406,"Checklist open",IF(H406&lt;&gt;"","In progress","Not started")))</x:f>
        <x:v>Not started</x:v>
      </x:c>
      <x:c r="M406" s="2" t="str">
        <x:v>Task</x:v>
      </x:c>
      <x:c r="N406" s="2" t="str">
        <x:v>RA.CS.1.6.2026.CY3</x:v>
      </x:c>
      <x:c r="O406" s="2" t="n">
        <x:f>R406</x:f>
        <x:v>0</x:v>
      </x:c>
      <x:c r="P406" s="2"/>
      <x:c r="Q406" s="2" t="n">
        <x:v>1</x:v>
      </x:c>
      <x:c r="R406" s="2" t="n">
        <x:f>IF(A406,1,0)</x:f>
        <x:v>0</x:v>
      </x:c>
      <x:c r="S406" s="2" t="n">
        <x:f>SUBTOTAL(103,N406)</x:f>
        <x:v>1</x:v>
      </x:c>
    </x:row>
    <x:row r="407" ht="42" customHeight="1">
      <x:c r="A407" s="28" t="b">
        <x:v>0</x:v>
      </x:c>
      <x:c r="B407" s="2" t="str">
        <x:v>Cycle 3</x:v>
      </x:c>
      <x:c r="C407" s="2" t="str">
        <x:v>Phase 1</x:v>
      </x:c>
      <x:c r="D407" s="2" t="str">
        <x:v>CSBBO - Customer Service</x:v>
      </x:c>
      <x:c r="E407" s="56" t="str">
        <x:v>RA.CS.1.7</x:v>
      </x:c>
      <x:c r="F407" s="14" t="str">
        <x:v>Obtain formal topic selection approval from management via SharePoint</x:v>
      </x:c>
      <x:c r="G407" s="5"/>
      <x:c r="H407" s="11"/>
      <x:c r="I407" s="11" t="n">
        <x:f>'Cycles &amp; Guide'!$D$12</x:f>
        <x:v>46295</x:v>
      </x:c>
      <x:c r="J407" s="11"/>
      <x:c r="K407" s="29"/>
      <x:c r="L407" s="2" t="str">
        <x:f>IF(O407=1,"Complete",IF(A407,"Checklist open",IF(H407&lt;&gt;"","In progress","Not started")))</x:f>
        <x:v>Not started</x:v>
      </x:c>
      <x:c r="M407" s="2" t="str">
        <x:v>Task</x:v>
      </x:c>
      <x:c r="N407" s="2" t="str">
        <x:v>RA.CS.1.7.2026.CY3</x:v>
      </x:c>
      <x:c r="O407" s="2" t="n">
        <x:f>R407</x:f>
        <x:v>0</x:v>
      </x:c>
      <x:c r="P407" s="2"/>
      <x:c r="Q407" s="2" t="n">
        <x:v>1</x:v>
      </x:c>
      <x:c r="R407" s="2" t="n">
        <x:f>IF(A407,1,0)</x:f>
        <x:v>0</x:v>
      </x:c>
      <x:c r="S407" s="2" t="n">
        <x:f>SUBTOTAL(103,N407)</x:f>
        <x:v>1</x:v>
      </x:c>
    </x:row>
    <x:row r="408" ht="42" customHeight="1">
      <x:c r="A408" s="28" t="b">
        <x:v>0</x:v>
      </x:c>
      <x:c r="B408" s="2" t="str">
        <x:v>Cycle 3</x:v>
      </x:c>
      <x:c r="C408" s="2" t="str">
        <x:v>Phase 1</x:v>
      </x:c>
      <x:c r="D408" s="2" t="str">
        <x:v>CSBBO - Customer Service</x:v>
      </x:c>
      <x:c r="E408" s="56" t="str">
        <x:v>RA.CS.1.8</x:v>
      </x:c>
      <x:c r="F408" s="14" t="str">
        <x:v>Socialize topic selection with product owners and subject matter experts (if known)</x:v>
      </x:c>
      <x:c r="G408" s="5"/>
      <x:c r="H408" s="11"/>
      <x:c r="I408" s="11" t="n">
        <x:f>'Cycles &amp; Guide'!$D$12</x:f>
        <x:v>46295</x:v>
      </x:c>
      <x:c r="J408" s="11"/>
      <x:c r="K408" s="29"/>
      <x:c r="L408" s="2" t="str">
        <x:f>IF(O408=1,"Complete",IF(A408,"Checklist open",IF(H408&lt;&gt;"","In progress","Not started")))</x:f>
        <x:v>Not started</x:v>
      </x:c>
      <x:c r="M408" s="2" t="str">
        <x:v>Task</x:v>
      </x:c>
      <x:c r="N408" s="2" t="str">
        <x:v>RA.CS.1.8.2026.CY3</x:v>
      </x:c>
      <x:c r="O408" s="2" t="n">
        <x:f>R408</x:f>
        <x:v>0</x:v>
      </x:c>
      <x:c r="P408" s="2"/>
      <x:c r="Q408" s="2" t="n">
        <x:v>1</x:v>
      </x:c>
      <x:c r="R408" s="2" t="n">
        <x:f>IF(A408,1,0)</x:f>
        <x:v>0</x:v>
      </x:c>
      <x:c r="S408" s="2" t="n">
        <x:f>SUBTOTAL(103,N408)</x:f>
        <x:v>1</x:v>
      </x:c>
    </x:row>
    <x:row r="409" ht="42" customHeight="1">
      <x:c r="A409" s="28" t="b">
        <x:v>0</x:v>
      </x:c>
      <x:c r="B409" s="2" t="str">
        <x:v>Cycle 3</x:v>
      </x:c>
      <x:c r="C409" s="2" t="str">
        <x:v>Phase 1</x:v>
      </x:c>
      <x:c r="D409" s="2" t="str">
        <x:v>CSBBO - Customer Service</x:v>
      </x:c>
      <x:c r="E409" s="56" t="str">
        <x:v>RA.CS.1.9</x:v>
      </x:c>
      <x:c r="F409" s="14" t="str">
        <x:v>Assign topic researchers</x:v>
      </x:c>
      <x:c r="G409" s="5"/>
      <x:c r="H409" s="11"/>
      <x:c r="I409" s="11" t="n">
        <x:f>'Cycles &amp; Guide'!$D$12</x:f>
        <x:v>46295</x:v>
      </x:c>
      <x:c r="J409" s="11"/>
      <x:c r="K409" s="29"/>
      <x:c r="L409" s="2" t="str">
        <x:f>IF(O409=1,"Complete",IF(A409,"Checklist open",IF(H409&lt;&gt;"","In progress","Not started")))</x:f>
        <x:v>Not started</x:v>
      </x:c>
      <x:c r="M409" s="2" t="str">
        <x:v>Task</x:v>
      </x:c>
      <x:c r="N409" s="2" t="str">
        <x:v>RA.CS.1.9.2026.CY3</x:v>
      </x:c>
      <x:c r="O409" s="2" t="n">
        <x:f>R409</x:f>
        <x:v>0</x:v>
      </x:c>
      <x:c r="P409" s="2"/>
      <x:c r="Q409" s="2" t="n">
        <x:v>1</x:v>
      </x:c>
      <x:c r="R409" s="2" t="n">
        <x:f>IF(A409,1,0)</x:f>
        <x:v>0</x:v>
      </x:c>
      <x:c r="S409" s="2" t="n">
        <x:f>SUBTOTAL(103,N409)</x:f>
        <x:v>1</x:v>
      </x:c>
    </x:row>
    <x:row r="410" ht="42" customHeight="1">
      <x:c r="A410" s="28" t="b">
        <x:v>0</x:v>
      </x:c>
      <x:c r="B410" s="2" t="str">
        <x:v>Cycle 3</x:v>
      </x:c>
      <x:c r="C410" s="2" t="str">
        <x:v>Phase 2</x:v>
      </x:c>
      <x:c r="D410" s="2" t="str">
        <x:v>CSBBO - Customer Service</x:v>
      </x:c>
      <x:c r="E410" s="56" t="str">
        <x:v>RA.CS.2.1</x:v>
      </x:c>
      <x:c r="F410" s="14" t="str">
        <x:v>Review data sources</x:v>
      </x:c>
      <x:c r="G410" s="5"/>
      <x:c r="H410" s="11"/>
      <x:c r="I410" s="11" t="n">
        <x:f>'Cycles &amp; Guide'!$D$12</x:f>
        <x:v>46295</x:v>
      </x:c>
      <x:c r="J410" s="11"/>
      <x:c r="K410" s="29"/>
      <x:c r="L410" s="2" t="str">
        <x:f>IF(O410=1,"Complete",IF(A410,"Checklist open",IF(H410&lt;&gt;"","In progress","Not started")))</x:f>
        <x:v>Not started</x:v>
      </x:c>
      <x:c r="M410" s="2" t="str">
        <x:v>Task</x:v>
      </x:c>
      <x:c r="N410" s="2" t="str">
        <x:v>RA.CS.2.1.2026.CY3</x:v>
      </x:c>
      <x:c r="O410" s="2" t="n">
        <x:f>R410</x:f>
        <x:v>0</x:v>
      </x:c>
      <x:c r="P410" s="2"/>
      <x:c r="Q410" s="2" t="n">
        <x:v>1</x:v>
      </x:c>
      <x:c r="R410" s="2" t="n">
        <x:f>IF(A410,1,0)</x:f>
        <x:v>0</x:v>
      </x:c>
      <x:c r="S410" s="2" t="n">
        <x:f>SUBTOTAL(103,N410)</x:f>
        <x:v>1</x:v>
      </x:c>
    </x:row>
    <x:row r="411" ht="42" customHeight="1">
      <x:c r="A411" s="28" t="b">
        <x:v>0</x:v>
      </x:c>
      <x:c r="B411" s="2" t="str">
        <x:v>Cycle 3</x:v>
      </x:c>
      <x:c r="C411" s="2" t="str">
        <x:v>Phase 2</x:v>
      </x:c>
      <x:c r="D411" s="2" t="str">
        <x:v>CSBBO - Customer Service</x:v>
      </x:c>
      <x:c r="E411" s="56" t="str">
        <x:v>RA.CS.2.2</x:v>
      </x:c>
      <x:c r="F411" s="14" t="str">
        <x:v>Review relevant policies and procedures</x:v>
      </x:c>
      <x:c r="G411" s="5"/>
      <x:c r="H411" s="11"/>
      <x:c r="I411" s="11" t="n">
        <x:f>'Cycles &amp; Guide'!$D$12</x:f>
        <x:v>46295</x:v>
      </x:c>
      <x:c r="J411" s="11"/>
      <x:c r="K411" s="29"/>
      <x:c r="L411" s="2" t="str">
        <x:f>IF(O411=1,"Complete",IF(A411,"Checklist open",IF(H411&lt;&gt;"","In progress","Not started")))</x:f>
        <x:v>Not started</x:v>
      </x:c>
      <x:c r="M411" s="2" t="str">
        <x:v>Task</x:v>
      </x:c>
      <x:c r="N411" s="2" t="str">
        <x:v>RA.CS.2.2.2026.CY3</x:v>
      </x:c>
      <x:c r="O411" s="2" t="n">
        <x:f>R411</x:f>
        <x:v>0</x:v>
      </x:c>
      <x:c r="P411" s="2"/>
      <x:c r="Q411" s="2" t="n">
        <x:v>1</x:v>
      </x:c>
      <x:c r="R411" s="2" t="n">
        <x:f>IF(A411,1,0)</x:f>
        <x:v>0</x:v>
      </x:c>
      <x:c r="S411" s="2" t="n">
        <x:f>SUBTOTAL(103,N411)</x:f>
        <x:v>1</x:v>
      </x:c>
    </x:row>
    <x:row r="412" ht="42" customHeight="1">
      <x:c r="A412" s="28" t="b">
        <x:v>0</x:v>
      </x:c>
      <x:c r="B412" s="2" t="str">
        <x:v>Cycle 3</x:v>
      </x:c>
      <x:c r="C412" s="2" t="str">
        <x:v>Phase 2</x:v>
      </x:c>
      <x:c r="D412" s="2" t="str">
        <x:v>CSBBO - Customer Service</x:v>
      </x:c>
      <x:c r="E412" s="56" t="str">
        <x:v>RA.CS.2.3</x:v>
      </x:c>
      <x:c r="F412" s="14" t="str">
        <x:v>Meet with SMEs to gain business insight and clarify questions</x:v>
      </x:c>
      <x:c r="G412" s="5"/>
      <x:c r="H412" s="11"/>
      <x:c r="I412" s="11" t="n">
        <x:f>'Cycles &amp; Guide'!$D$12</x:f>
        <x:v>46295</x:v>
      </x:c>
      <x:c r="J412" s="11"/>
      <x:c r="K412" s="29"/>
      <x:c r="L412" s="2" t="str">
        <x:f>IF(O412=1,"Complete",IF(A412,"Checklist open",IF(H412&lt;&gt;"","In progress","Not started")))</x:f>
        <x:v>Not started</x:v>
      </x:c>
      <x:c r="M412" s="2" t="str">
        <x:v>Task</x:v>
      </x:c>
      <x:c r="N412" s="2" t="str">
        <x:v>RA.CS.2.3.2026.CY3</x:v>
      </x:c>
      <x:c r="O412" s="2" t="n">
        <x:f>R412</x:f>
        <x:v>0</x:v>
      </x:c>
      <x:c r="P412" s="2"/>
      <x:c r="Q412" s="2" t="n">
        <x:v>1</x:v>
      </x:c>
      <x:c r="R412" s="2" t="n">
        <x:f>IF(A412,1,0)</x:f>
        <x:v>0</x:v>
      </x:c>
      <x:c r="S412" s="2" t="n">
        <x:f>SUBTOTAL(103,N412)</x:f>
        <x:v>1</x:v>
      </x:c>
    </x:row>
    <x:row r="413" ht="42" customHeight="1">
      <x:c r="A413" s="28" t="b">
        <x:v>0</x:v>
      </x:c>
      <x:c r="B413" s="2" t="str">
        <x:v>Cycle 3</x:v>
      </x:c>
      <x:c r="C413" s="2" t="str">
        <x:v>Phase 2</x:v>
      </x:c>
      <x:c r="D413" s="2" t="str">
        <x:v>CSBBO - Customer Service</x:v>
      </x:c>
      <x:c r="E413" s="56" t="str">
        <x:v>RA.CS.2.4</x:v>
      </x:c>
      <x:c r="F413" s="14" t="str">
        <x:v>Establish and maintain a recurring meeting with D&amp;I to discuss Cycle progress</x:v>
      </x:c>
      <x:c r="G413" s="5"/>
      <x:c r="H413" s="11"/>
      <x:c r="I413" s="11" t="n">
        <x:f>'Cycles &amp; Guide'!$D$12</x:f>
        <x:v>46295</x:v>
      </x:c>
      <x:c r="J413" s="11"/>
      <x:c r="K413" s="29"/>
      <x:c r="L413" s="2" t="str">
        <x:f>IF(O413=1,"Complete",IF(A413,"Checklist open",IF(H413&lt;&gt;"","In progress","Not started")))</x:f>
        <x:v>Not started</x:v>
      </x:c>
      <x:c r="M413" s="2" t="str">
        <x:v>Task</x:v>
      </x:c>
      <x:c r="N413" s="2" t="str">
        <x:v>RA.CS.2.4.2026.CY3</x:v>
      </x:c>
      <x:c r="O413" s="2" t="n">
        <x:f>R413</x:f>
        <x:v>0</x:v>
      </x:c>
      <x:c r="P413" s="2"/>
      <x:c r="Q413" s="2" t="n">
        <x:v>1</x:v>
      </x:c>
      <x:c r="R413" s="2" t="n">
        <x:f>IF(A413,1,0)</x:f>
        <x:v>0</x:v>
      </x:c>
      <x:c r="S413" s="2" t="n">
        <x:f>SUBTOTAL(103,N413)</x:f>
        <x:v>1</x:v>
      </x:c>
    </x:row>
    <x:row r="414" ht="42" customHeight="1">
      <x:c r="A414" s="28" t="b">
        <x:v>0</x:v>
      </x:c>
      <x:c r="B414" s="2" t="str">
        <x:v>Cycle 3</x:v>
      </x:c>
      <x:c r="C414" s="2" t="str">
        <x:v>Phase 2</x:v>
      </x:c>
      <x:c r="D414" s="2" t="str">
        <x:v>CSBBO - Customer Service</x:v>
      </x:c>
      <x:c r="E414" s="56" t="str">
        <x:v>RA.CS.2.5</x:v>
      </x:c>
      <x:c r="F414" s="14" t="str">
        <x:v>Perform data testing and sampling</x:v>
      </x:c>
      <x:c r="G414" s="5"/>
      <x:c r="H414" s="11"/>
      <x:c r="I414" s="11" t="n">
        <x:f>'Cycles &amp; Guide'!$D$12</x:f>
        <x:v>46295</x:v>
      </x:c>
      <x:c r="J414" s="11"/>
      <x:c r="K414" s="29"/>
      <x:c r="L414" s="2" t="str">
        <x:f>IF(O414=1,"Complete",IF(A414,"Checklist open",IF(H414&lt;&gt;"","In progress","Not started")))</x:f>
        <x:v>Not started</x:v>
      </x:c>
      <x:c r="M414" s="2" t="str">
        <x:v>Task</x:v>
      </x:c>
      <x:c r="N414" s="2" t="str">
        <x:v>RA.CS.2.5.2026.CY3</x:v>
      </x:c>
      <x:c r="O414" s="2" t="n">
        <x:f>R414</x:f>
        <x:v>0</x:v>
      </x:c>
      <x:c r="P414" s="2"/>
      <x:c r="Q414" s="2" t="n">
        <x:v>1</x:v>
      </x:c>
      <x:c r="R414" s="2" t="n">
        <x:f>IF(A414,1,0)</x:f>
        <x:v>0</x:v>
      </x:c>
      <x:c r="S414" s="2" t="n">
        <x:f>SUBTOTAL(103,N414)</x:f>
        <x:v>1</x:v>
      </x:c>
    </x:row>
    <x:row r="415" ht="42" customHeight="1">
      <x:c r="A415" s="28" t="b">
        <x:v>0</x:v>
      </x:c>
      <x:c r="B415" s="2" t="str">
        <x:v>Cycle 3</x:v>
      </x:c>
      <x:c r="C415" s="2" t="str">
        <x:v>Phase 2</x:v>
      </x:c>
      <x:c r="D415" s="2" t="str">
        <x:v>CSBBO - Customer Service</x:v>
      </x:c>
      <x:c r="E415" s="56" t="str">
        <x:v>RA.CS.2.6</x:v>
      </x:c>
      <x:c r="F415" s="14" t="str">
        <x:v>Complete Positive Testing</x:v>
      </x:c>
      <x:c r="G415" s="5"/>
      <x:c r="H415" s="11"/>
      <x:c r="I415" s="11" t="n">
        <x:f>'Cycles &amp; Guide'!$D$12</x:f>
        <x:v>46295</x:v>
      </x:c>
      <x:c r="J415" s="11"/>
      <x:c r="K415" s="29"/>
      <x:c r="L415" s="2" t="str">
        <x:f>IF(O415=1,"Complete",IF(A415,"Checklist open",IF(H415&lt;&gt;"","In progress","Not started")))</x:f>
        <x:v>Not started</x:v>
      </x:c>
      <x:c r="M415" s="2" t="str">
        <x:v>Task</x:v>
      </x:c>
      <x:c r="N415" s="2" t="str">
        <x:v>RA.CS.2.6.2026.CY3</x:v>
      </x:c>
      <x:c r="O415" s="2" t="n">
        <x:f>R415</x:f>
        <x:v>0</x:v>
      </x:c>
      <x:c r="P415" s="2"/>
      <x:c r="Q415" s="2" t="n">
        <x:v>1</x:v>
      </x:c>
      <x:c r="R415" s="2" t="n">
        <x:f>IF(A415,1,0)</x:f>
        <x:v>0</x:v>
      </x:c>
      <x:c r="S415" s="2" t="n">
        <x:f>SUBTOTAL(103,N415)</x:f>
        <x:v>1</x:v>
      </x:c>
    </x:row>
    <x:row r="416" ht="42" customHeight="1">
      <x:c r="A416" s="28" t="b">
        <x:v>0</x:v>
      </x:c>
      <x:c r="B416" s="2" t="str">
        <x:v>Cycle 3</x:v>
      </x:c>
      <x:c r="C416" s="2" t="str">
        <x:v>Phase 2</x:v>
      </x:c>
      <x:c r="D416" s="2" t="str">
        <x:v>CSBBO - Customer Service</x:v>
      </x:c>
      <x:c r="E416" s="56" t="str">
        <x:v>RA.CS.2.7</x:v>
      </x:c>
      <x:c r="F416" s="14" t="str">
        <x:v>Complete Negative Testing</x:v>
      </x:c>
      <x:c r="G416" s="5"/>
      <x:c r="H416" s="11"/>
      <x:c r="I416" s="11" t="n">
        <x:f>'Cycles &amp; Guide'!$D$12</x:f>
        <x:v>46295</x:v>
      </x:c>
      <x:c r="J416" s="11"/>
      <x:c r="K416" s="29"/>
      <x:c r="L416" s="2" t="str">
        <x:f>IF(O416=1,"Complete",IF(A416,"Checklist open",IF(H416&lt;&gt;"","In progress","Not started")))</x:f>
        <x:v>Not started</x:v>
      </x:c>
      <x:c r="M416" s="2" t="str">
        <x:v>Task</x:v>
      </x:c>
      <x:c r="N416" s="2" t="str">
        <x:v>RA.CS.2.7.2026.CY3</x:v>
      </x:c>
      <x:c r="O416" s="2" t="n">
        <x:f>R416</x:f>
        <x:v>0</x:v>
      </x:c>
      <x:c r="P416" s="2"/>
      <x:c r="Q416" s="2" t="n">
        <x:v>1</x:v>
      </x:c>
      <x:c r="R416" s="2" t="n">
        <x:f>IF(A416,1,0)</x:f>
        <x:v>0</x:v>
      </x:c>
      <x:c r="S416" s="2" t="n">
        <x:f>SUBTOTAL(103,N416)</x:f>
        <x:v>1</x:v>
      </x:c>
    </x:row>
    <x:row r="417" ht="42" customHeight="1">
      <x:c r="A417" s="28" t="b">
        <x:v>0</x:v>
      </x:c>
      <x:c r="B417" s="2" t="str">
        <x:v>Cycle 3</x:v>
      </x:c>
      <x:c r="C417" s="2" t="str">
        <x:v>Phase 2</x:v>
      </x:c>
      <x:c r="D417" s="2" t="str">
        <x:v>CSBBO - Customer Service</x:v>
      </x:c>
      <x:c r="E417" s="56" t="str">
        <x:v>RA.CS.2.8</x:v>
      </x:c>
      <x:c r="F417" s="14" t="str">
        <x:v>Request additional data (as needed)</x:v>
      </x:c>
      <x:c r="G417" s="5"/>
      <x:c r="H417" s="11"/>
      <x:c r="I417" s="11" t="n">
        <x:f>'Cycles &amp; Guide'!$D$12</x:f>
        <x:v>46295</x:v>
      </x:c>
      <x:c r="J417" s="11"/>
      <x:c r="K417" s="29"/>
      <x:c r="L417" s="2" t="str">
        <x:f>IF(O417=1,"Complete",IF(A417,"Checklist open",IF(H417&lt;&gt;"","In progress","Not started")))</x:f>
        <x:v>Not started</x:v>
      </x:c>
      <x:c r="M417" s="2" t="str">
        <x:v>Task</x:v>
      </x:c>
      <x:c r="N417" s="2" t="str">
        <x:v>RA.CS.2.8.2026.CY3</x:v>
      </x:c>
      <x:c r="O417" s="2" t="n">
        <x:f>R417</x:f>
        <x:v>0</x:v>
      </x:c>
      <x:c r="P417" s="2"/>
      <x:c r="Q417" s="2" t="n">
        <x:v>1</x:v>
      </x:c>
      <x:c r="R417" s="2" t="n">
        <x:f>IF(A417,1,0)</x:f>
        <x:v>0</x:v>
      </x:c>
      <x:c r="S417" s="2" t="n">
        <x:f>SUBTOTAL(103,N417)</x:f>
        <x:v>1</x:v>
      </x:c>
    </x:row>
    <x:row r="418" ht="42" customHeight="1">
      <x:c r="A418" s="28" t="b">
        <x:v>0</x:v>
      </x:c>
      <x:c r="B418" s="2" t="str">
        <x:v>Cycle 3</x:v>
      </x:c>
      <x:c r="C418" s="2" t="str">
        <x:v>Phase 2</x:v>
      </x:c>
      <x:c r="D418" s="2" t="str">
        <x:v>CSBBO - Customer Service</x:v>
      </x:c>
      <x:c r="E418" s="56" t="str">
        <x:v>RA.CS.2.9</x:v>
      </x:c>
      <x:c r="F418" s="14" t="str">
        <x:v>Validate or disprove initial hypothesis assumptions</x:v>
      </x:c>
      <x:c r="G418" s="5"/>
      <x:c r="H418" s="11"/>
      <x:c r="I418" s="11" t="n">
        <x:f>'Cycles &amp; Guide'!$D$12</x:f>
        <x:v>46295</x:v>
      </x:c>
      <x:c r="J418" s="11"/>
      <x:c r="K418" s="29"/>
      <x:c r="L418" s="2" t="str">
        <x:f>IF(O418=1,"Complete",IF(A418,"Checklist open",IF(H418&lt;&gt;"","In progress","Not started")))</x:f>
        <x:v>Not started</x:v>
      </x:c>
      <x:c r="M418" s="2" t="str">
        <x:v>Task</x:v>
      </x:c>
      <x:c r="N418" s="2" t="str">
        <x:v>RA.CS.2.9.2026.CY3</x:v>
      </x:c>
      <x:c r="O418" s="2" t="n">
        <x:f>R418</x:f>
        <x:v>0</x:v>
      </x:c>
      <x:c r="P418" s="2"/>
      <x:c r="Q418" s="2" t="n">
        <x:v>1</x:v>
      </x:c>
      <x:c r="R418" s="2" t="n">
        <x:f>IF(A418,1,0)</x:f>
        <x:v>0</x:v>
      </x:c>
      <x:c r="S418" s="2" t="n">
        <x:f>SUBTOTAL(103,N418)</x:f>
        <x:v>1</x:v>
      </x:c>
    </x:row>
    <x:row r="419" ht="42" customHeight="1">
      <x:c r="A419" s="28" t="b">
        <x:v>0</x:v>
      </x:c>
      <x:c r="B419" s="2" t="str">
        <x:v>Cycle 3</x:v>
      </x:c>
      <x:c r="C419" s="2" t="str">
        <x:v>Phase 2</x:v>
      </x:c>
      <x:c r="D419" s="2" t="str">
        <x:v>CSBBO - Customer Service</x:v>
      </x:c>
      <x:c r="E419" s="56" t="str">
        <x:v>RA.CS.2.10</x:v>
      </x:c>
      <x:c r="F419" s="14" t="str">
        <x:v>Identify and confirm root cause</x:v>
      </x:c>
      <x:c r="G419" s="5"/>
      <x:c r="H419" s="11"/>
      <x:c r="I419" s="11" t="n">
        <x:f>'Cycles &amp; Guide'!$D$12</x:f>
        <x:v>46295</x:v>
      </x:c>
      <x:c r="J419" s="11"/>
      <x:c r="K419" s="29"/>
      <x:c r="L419" s="2" t="str">
        <x:f>IF(O419=1,"Complete",IF(A419,"Checklist open",IF(H419&lt;&gt;"","In progress","Not started")))</x:f>
        <x:v>Not started</x:v>
      </x:c>
      <x:c r="M419" s="2" t="str">
        <x:v>Task</x:v>
      </x:c>
      <x:c r="N419" s="2" t="str">
        <x:v>RA.CS.2.10.2026.CY3</x:v>
      </x:c>
      <x:c r="O419" s="2" t="n">
        <x:f>R419</x:f>
        <x:v>0</x:v>
      </x:c>
      <x:c r="P419" s="2"/>
      <x:c r="Q419" s="2" t="n">
        <x:v>1</x:v>
      </x:c>
      <x:c r="R419" s="2" t="n">
        <x:f>IF(A419,1,0)</x:f>
        <x:v>0</x:v>
      </x:c>
      <x:c r="S419" s="2" t="n">
        <x:f>SUBTOTAL(103,N419)</x:f>
        <x:v>1</x:v>
      </x:c>
    </x:row>
    <x:row r="420" ht="42" customHeight="1">
      <x:c r="A420" s="28" t="b">
        <x:v>0</x:v>
      </x:c>
      <x:c r="B420" s="2" t="str">
        <x:v>Cycle 3</x:v>
      </x:c>
      <x:c r="C420" s="2" t="str">
        <x:v>Phase 3</x:v>
      </x:c>
      <x:c r="D420" s="2" t="str">
        <x:v>CSBBO - Customer Service</x:v>
      </x:c>
      <x:c r="E420" s="56" t="str">
        <x:v>RA.CS.3.1</x:v>
      </x:c>
      <x:c r="F420" s="14" t="str">
        <x:v>Finalize results and supporting documentation</x:v>
      </x:c>
      <x:c r="G420" s="5"/>
      <x:c r="H420" s="11"/>
      <x:c r="I420" s="11" t="n">
        <x:f>'Cycles &amp; Guide'!$D$12</x:f>
        <x:v>46295</x:v>
      </x:c>
      <x:c r="J420" s="11"/>
      <x:c r="K420" s="29"/>
      <x:c r="L420" s="2" t="str">
        <x:f>IF(O420=1,"Complete",IF(A420,"Checklist open",IF(H420&lt;&gt;"","In progress","Not started")))</x:f>
        <x:v>Not started</x:v>
      </x:c>
      <x:c r="M420" s="2" t="str">
        <x:v>Task</x:v>
      </x:c>
      <x:c r="N420" s="2" t="str">
        <x:v>RA.CS.3.1.2026.CY3</x:v>
      </x:c>
      <x:c r="O420" s="2" t="n">
        <x:f>R420</x:f>
        <x:v>0</x:v>
      </x:c>
      <x:c r="P420" s="2"/>
      <x:c r="Q420" s="2" t="n">
        <x:v>1</x:v>
      </x:c>
      <x:c r="R420" s="2" t="n">
        <x:f>IF(A420,1,0)</x:f>
        <x:v>0</x:v>
      </x:c>
      <x:c r="S420" s="2" t="n">
        <x:f>SUBTOTAL(103,N420)</x:f>
        <x:v>1</x:v>
      </x:c>
    </x:row>
    <x:row r="421" ht="42" customHeight="1">
      <x:c r="A421" s="28" t="b">
        <x:v>0</x:v>
      </x:c>
      <x:c r="B421" s="2" t="str">
        <x:v>Cycle 3</x:v>
      </x:c>
      <x:c r="C421" s="2" t="str">
        <x:v>Phase 3</x:v>
      </x:c>
      <x:c r="D421" s="2" t="str">
        <x:v>CSBBO - Customer Service</x:v>
      </x:c>
      <x:c r="E421" s="56" t="str">
        <x:v>RA.CS.3.2</x:v>
      </x:c>
      <x:c r="F421" s="14" t="str">
        <x:v>Maintain and update the evidence package prior to handoff to D&amp;I</x:v>
      </x:c>
      <x:c r="G421" s="5"/>
      <x:c r="H421" s="11"/>
      <x:c r="I421" s="11" t="n">
        <x:f>'Cycles &amp; Guide'!$D$12</x:f>
        <x:v>46295</x:v>
      </x:c>
      <x:c r="J421" s="11"/>
      <x:c r="K421" s="29"/>
      <x:c r="L421" s="2" t="str">
        <x:f>IF(O421=1,"Complete",IF(A421,"Checklist open",IF(H421&lt;&gt;"","In progress","Not started")))</x:f>
        <x:v>Not started</x:v>
      </x:c>
      <x:c r="M421" s="2" t="str">
        <x:v>Task</x:v>
      </x:c>
      <x:c r="N421" s="2" t="str">
        <x:v>RA.CS.3.2.2026.CY3</x:v>
      </x:c>
      <x:c r="O421" s="2" t="n">
        <x:f>R421</x:f>
        <x:v>0</x:v>
      </x:c>
      <x:c r="P421" s="2"/>
      <x:c r="Q421" s="2" t="n">
        <x:v>1</x:v>
      </x:c>
      <x:c r="R421" s="2" t="n">
        <x:f>IF(A421,1,0)</x:f>
        <x:v>0</x:v>
      </x:c>
      <x:c r="S421" s="2" t="n">
        <x:f>SUBTOTAL(103,N421)</x:f>
        <x:v>1</x:v>
      </x:c>
    </x:row>
    <x:row r="422" ht="42" customHeight="1">
      <x:c r="A422" s="28" t="b">
        <x:v>0</x:v>
      </x:c>
      <x:c r="B422" s="2" t="str">
        <x:v>Cycle 3</x:v>
      </x:c>
      <x:c r="C422" s="2" t="str">
        <x:v>Phase 3</x:v>
      </x:c>
      <x:c r="D422" s="2" t="str">
        <x:v>CSBBO - Customer Service</x:v>
      </x:c>
      <x:c r="E422" s="56" t="str">
        <x:v>RA.CS.3.3</x:v>
      </x:c>
      <x:c r="F422" s="14" t="str">
        <x:v>Address any outstanding questions or requests from D&amp;I</x:v>
      </x:c>
      <x:c r="G422" s="5"/>
      <x:c r="H422" s="11"/>
      <x:c r="I422" s="11" t="n">
        <x:f>'Cycles &amp; Guide'!$D$12</x:f>
        <x:v>46295</x:v>
      </x:c>
      <x:c r="J422" s="11"/>
      <x:c r="K422" s="29"/>
      <x:c r="L422" s="2" t="str">
        <x:f>IF(O422=1,"Complete",IF(A422,"Checklist open",IF(H422&lt;&gt;"","In progress","Not started")))</x:f>
        <x:v>Not started</x:v>
      </x:c>
      <x:c r="M422" s="2" t="str">
        <x:v>Task</x:v>
      </x:c>
      <x:c r="N422" s="2" t="str">
        <x:v>RA.CS.3.3.2026.CY3</x:v>
      </x:c>
      <x:c r="O422" s="2" t="n">
        <x:f>R422</x:f>
        <x:v>0</x:v>
      </x:c>
      <x:c r="P422" s="2"/>
      <x:c r="Q422" s="2" t="n">
        <x:v>1</x:v>
      </x:c>
      <x:c r="R422" s="2" t="n">
        <x:f>IF(A422,1,0)</x:f>
        <x:v>0</x:v>
      </x:c>
      <x:c r="S422" s="2" t="n">
        <x:f>SUBTOTAL(103,N422)</x:f>
        <x:v>1</x:v>
      </x:c>
    </x:row>
    <x:row r="423" ht="42" customHeight="1">
      <x:c r="A423" s="28" t="b">
        <x:v>0</x:v>
      </x:c>
      <x:c r="B423" s="2" t="str">
        <x:v>Cycle 3</x:v>
      </x:c>
      <x:c r="C423" s="2" t="str">
        <x:v>Phase 3</x:v>
      </x:c>
      <x:c r="D423" s="2" t="str">
        <x:v>CSBBO - Customer Service</x:v>
      </x:c>
      <x:c r="E423" s="56" t="str">
        <x:v>RA.CS.3.4</x:v>
      </x:c>
      <x:c r="F423" s="14" t="str">
        <x:v>Attend Forum meeting with D&amp;I to assist with answering stakeholder questions (as needed)</x:v>
      </x:c>
      <x:c r="G423" s="5"/>
      <x:c r="H423" s="11"/>
      <x:c r="I423" s="11" t="str">
        <x:f>IF(SUMIFS('Cycles &amp; Guide'!$D$23:$D$50,'Cycles &amp; Guide'!$B$23:$B$50,B423,'Cycles &amp; Guide'!$C$23:$C$50,D423)=0,"",SUMIFS('Cycles &amp; Guide'!$D$23:$D$50,'Cycles &amp; Guide'!$B$23:$B$50,B423,'Cycles &amp; Guide'!$C$23:$C$50,D423))</x:f>
      </x:c>
      <x:c r="J423" s="11"/>
      <x:c r="K423" s="29"/>
      <x:c r="L423" s="2" t="str">
        <x:f>IF(O423=1,"Complete",IF(A423,"Checklist open",IF(H423&lt;&gt;"","In progress","Not started")))</x:f>
        <x:v>Not started</x:v>
      </x:c>
      <x:c r="M423" s="2" t="str">
        <x:v>Task</x:v>
      </x:c>
      <x:c r="N423" s="2" t="str">
        <x:v>RA.CS.3.4.2026.CY3</x:v>
      </x:c>
      <x:c r="O423" s="2" t="n">
        <x:f>R423</x:f>
        <x:v>0</x:v>
      </x:c>
      <x:c r="P423" s="2"/>
      <x:c r="Q423" s="2" t="n">
        <x:v>1</x:v>
      </x:c>
      <x:c r="R423" s="2" t="n">
        <x:f>IF(A423,1,0)</x:f>
        <x:v>0</x:v>
      </x:c>
      <x:c r="S423" s="2" t="n">
        <x:f>SUBTOTAL(103,N423)</x:f>
        <x:v>1</x:v>
      </x:c>
    </x:row>
    <x:row r="424" ht="42" customHeight="1">
      <x:c r="A424" s="28" t="b">
        <x:v>0</x:v>
      </x:c>
      <x:c r="B424" s="2" t="str">
        <x:v>Cycle 3</x:v>
      </x:c>
      <x:c r="C424" s="2" t="str">
        <x:v>Phase 1</x:v>
      </x:c>
      <x:c r="D424" s="2" t="str">
        <x:v>FCM</x:v>
      </x:c>
      <x:c r="E424" s="56" t="str">
        <x:v>RA.FC.1.1</x:v>
      </x:c>
      <x:c r="F424" s="14" t="str">
        <x:v>Begin Research process 2 weeks prior to Cycle start</x:v>
      </x:c>
      <x:c r="G424" s="5"/>
      <x:c r="H424" s="11"/>
      <x:c r="I424" s="11" t="n">
        <x:f>'Cycles &amp; Guide'!$C$12-14</x:f>
        <x:v>46190</x:v>
      </x:c>
      <x:c r="J424" s="11"/>
      <x:c r="K424" s="29"/>
      <x:c r="L424" s="2" t="str">
        <x:f>IF(O424=1,"Complete",IF(A424,"Checklist open",IF(H424&lt;&gt;"","In progress","Not started")))</x:f>
        <x:v>Not started</x:v>
      </x:c>
      <x:c r="M424" s="2" t="str">
        <x:v>Task</x:v>
      </x:c>
      <x:c r="N424" s="2" t="str">
        <x:v>RA.FC.1.1.2026.CY3</x:v>
      </x:c>
      <x:c r="O424" s="2" t="n">
        <x:f>R424</x:f>
        <x:v>0</x:v>
      </x:c>
      <x:c r="P424" s="2"/>
      <x:c r="Q424" s="2" t="n">
        <x:v>1</x:v>
      </x:c>
      <x:c r="R424" s="2" t="n">
        <x:f>IF(A424,1,0)</x:f>
        <x:v>0</x:v>
      </x:c>
      <x:c r="S424" s="2" t="n">
        <x:f>SUBTOTAL(103,N424)</x:f>
        <x:v>1</x:v>
      </x:c>
    </x:row>
    <x:row r="425" ht="42" customHeight="1">
      <x:c r="A425" s="28" t="b">
        <x:v>0</x:v>
      </x:c>
      <x:c r="B425" s="2" t="str">
        <x:v>Cycle 3</x:v>
      </x:c>
      <x:c r="C425" s="2" t="str">
        <x:v>Phase 1</x:v>
      </x:c>
      <x:c r="D425" s="2" t="str">
        <x:v>FCM</x:v>
      </x:c>
      <x:c r="E425" s="56" t="str">
        <x:v>RA.FC.1.2</x:v>
      </x:c>
      <x:c r="F425" s="14" t="str">
        <x:v>Conduct initial assessment of each topic recommendation from SharePoint list</x:v>
      </x:c>
      <x:c r="G425" s="5"/>
      <x:c r="H425" s="11"/>
      <x:c r="I425" s="11" t="n">
        <x:f>'Cycles &amp; Guide'!$D$12</x:f>
        <x:v>46295</x:v>
      </x:c>
      <x:c r="J425" s="11"/>
      <x:c r="K425" s="29"/>
      <x:c r="L425" s="2" t="str">
        <x:f>IF(O425=1,"Complete",IF(A425,"Checklist open",IF(H425&lt;&gt;"","In progress","Not started")))</x:f>
        <x:v>Not started</x:v>
      </x:c>
      <x:c r="M425" s="2" t="str">
        <x:v>Task</x:v>
      </x:c>
      <x:c r="N425" s="2" t="str">
        <x:v>RA.FC.1.2.2026.CY3</x:v>
      </x:c>
      <x:c r="O425" s="2" t="n">
        <x:f>R425</x:f>
        <x:v>0</x:v>
      </x:c>
      <x:c r="P425" s="2"/>
      <x:c r="Q425" s="2" t="n">
        <x:v>1</x:v>
      </x:c>
      <x:c r="R425" s="2" t="n">
        <x:f>IF(A425,1,0)</x:f>
        <x:v>0</x:v>
      </x:c>
      <x:c r="S425" s="2" t="n">
        <x:f>SUBTOTAL(103,N425)</x:f>
        <x:v>1</x:v>
      </x:c>
    </x:row>
    <x:row r="426" ht="42" customHeight="1">
      <x:c r="A426" s="28" t="b">
        <x:v>0</x:v>
      </x:c>
      <x:c r="B426" s="2" t="str">
        <x:v>Cycle 3</x:v>
      </x:c>
      <x:c r="C426" s="2" t="str">
        <x:v>Phase 1</x:v>
      </x:c>
      <x:c r="D426" s="2" t="str">
        <x:v>FCM</x:v>
      </x:c>
      <x:c r="E426" s="56" t="str">
        <x:v>RA.FC.1.3</x:v>
      </x:c>
      <x:c r="F426" s="14" t="str">
        <x:v>Identify best topic for Cycle</x:v>
      </x:c>
      <x:c r="G426" s="5"/>
      <x:c r="H426" s="11"/>
      <x:c r="I426" s="11" t="n">
        <x:f>'Cycles &amp; Guide'!$D$12</x:f>
        <x:v>46295</x:v>
      </x:c>
      <x:c r="J426" s="11"/>
      <x:c r="K426" s="29"/>
      <x:c r="L426" s="2" t="str">
        <x:f>IF(O426=1,"Complete",IF(A426,"Checklist open",IF(H426&lt;&gt;"","In progress","Not started")))</x:f>
        <x:v>Not started</x:v>
      </x:c>
      <x:c r="M426" s="2" t="str">
        <x:v>Task</x:v>
      </x:c>
      <x:c r="N426" s="2" t="str">
        <x:v>RA.FC.1.3.2026.CY3</x:v>
      </x:c>
      <x:c r="O426" s="2" t="n">
        <x:f>R426</x:f>
        <x:v>0</x:v>
      </x:c>
      <x:c r="P426" s="2"/>
      <x:c r="Q426" s="2" t="n">
        <x:v>1</x:v>
      </x:c>
      <x:c r="R426" s="2" t="n">
        <x:f>IF(A426,1,0)</x:f>
        <x:v>0</x:v>
      </x:c>
      <x:c r="S426" s="2" t="n">
        <x:f>SUBTOTAL(103,N426)</x:f>
        <x:v>1</x:v>
      </x:c>
    </x:row>
    <x:row r="427" ht="42" customHeight="1">
      <x:c r="A427" s="28" t="b">
        <x:v>0</x:v>
      </x:c>
      <x:c r="B427" s="2" t="str">
        <x:v>Cycle 3</x:v>
      </x:c>
      <x:c r="C427" s="2" t="str">
        <x:v>Phase 1</x:v>
      </x:c>
      <x:c r="D427" s="2" t="str">
        <x:v>FCM</x:v>
      </x:c>
      <x:c r="E427" s="56" t="str">
        <x:v>RA.FC.1.4</x:v>
      </x:c>
      <x:c r="F427" s="14" t="str">
        <x:v>Identify backup topic for Cycle</x:v>
      </x:c>
      <x:c r="G427" s="5"/>
      <x:c r="H427" s="11"/>
      <x:c r="I427" s="11" t="n">
        <x:f>'Cycles &amp; Guide'!$D$12</x:f>
        <x:v>46295</x:v>
      </x:c>
      <x:c r="J427" s="11"/>
      <x:c r="K427" s="29"/>
      <x:c r="L427" s="2" t="str">
        <x:f>IF(O427=1,"Complete",IF(A427,"Checklist open",IF(H427&lt;&gt;"","In progress","Not started")))</x:f>
        <x:v>Not started</x:v>
      </x:c>
      <x:c r="M427" s="2" t="str">
        <x:v>Task</x:v>
      </x:c>
      <x:c r="N427" s="2" t="str">
        <x:v>RA.FC.1.4.2026.CY3</x:v>
      </x:c>
      <x:c r="O427" s="2" t="n">
        <x:f>R427</x:f>
        <x:v>0</x:v>
      </x:c>
      <x:c r="P427" s="2"/>
      <x:c r="Q427" s="2" t="n">
        <x:v>1</x:v>
      </x:c>
      <x:c r="R427" s="2" t="n">
        <x:f>IF(A427,1,0)</x:f>
        <x:v>0</x:v>
      </x:c>
      <x:c r="S427" s="2" t="n">
        <x:f>SUBTOTAL(103,N427)</x:f>
        <x:v>1</x:v>
      </x:c>
    </x:row>
    <x:row r="428" ht="42" customHeight="1">
      <x:c r="A428" s="28" t="b">
        <x:v>0</x:v>
      </x:c>
      <x:c r="B428" s="2" t="str">
        <x:v>Cycle 3</x:v>
      </x:c>
      <x:c r="C428" s="2" t="str">
        <x:v>Phase 1</x:v>
      </x:c>
      <x:c r="D428" s="2" t="str">
        <x:v>FCM</x:v>
      </x:c>
      <x:c r="E428" s="56" t="str">
        <x:v>RA.FC.1.5</x:v>
      </x:c>
      <x:c r="F428" s="14" t="str">
        <x:v>Schedule topic approval meeting with D&amp;I and management</x:v>
      </x:c>
      <x:c r="G428" s="5"/>
      <x:c r="H428" s="11"/>
      <x:c r="I428" s="11" t="n">
        <x:f>'Cycles &amp; Guide'!$D$12</x:f>
        <x:v>46295</x:v>
      </x:c>
      <x:c r="J428" s="11"/>
      <x:c r="K428" s="29"/>
      <x:c r="L428" s="2" t="str">
        <x:f>IF(O428=1,"Complete",IF(A428,"Checklist open",IF(H428&lt;&gt;"","In progress","Not started")))</x:f>
        <x:v>Not started</x:v>
      </x:c>
      <x:c r="M428" s="2" t="str">
        <x:v>Task</x:v>
      </x:c>
      <x:c r="N428" s="2" t="str">
        <x:v>RA.FC.1.5.2026.CY3</x:v>
      </x:c>
      <x:c r="O428" s="2" t="n">
        <x:f>R428</x:f>
        <x:v>0</x:v>
      </x:c>
      <x:c r="P428" s="2"/>
      <x:c r="Q428" s="2" t="n">
        <x:v>1</x:v>
      </x:c>
      <x:c r="R428" s="2" t="n">
        <x:f>IF(A428,1,0)</x:f>
        <x:v>0</x:v>
      </x:c>
      <x:c r="S428" s="2" t="n">
        <x:f>SUBTOTAL(103,N428)</x:f>
        <x:v>1</x:v>
      </x:c>
    </x:row>
    <x:row r="429" ht="42" customHeight="1">
      <x:c r="A429" s="28" t="b">
        <x:v>0</x:v>
      </x:c>
      <x:c r="B429" s="2" t="str">
        <x:v>Cycle 3</x:v>
      </x:c>
      <x:c r="C429" s="2" t="str">
        <x:v>Phase 1</x:v>
      </x:c>
      <x:c r="D429" s="2" t="str">
        <x:v>FCM</x:v>
      </x:c>
      <x:c r="E429" s="56" t="str">
        <x:v>RA.FC.1.6</x:v>
      </x:c>
      <x:c r="F429" s="14" t="str">
        <x:v>Present recommended topic to D&amp;I and management for approval</x:v>
      </x:c>
      <x:c r="G429" s="5"/>
      <x:c r="H429" s="11"/>
      <x:c r="I429" s="11" t="n">
        <x:f>'Cycles &amp; Guide'!$D$12</x:f>
        <x:v>46295</x:v>
      </x:c>
      <x:c r="J429" s="11"/>
      <x:c r="K429" s="29"/>
      <x:c r="L429" s="2" t="str">
        <x:f>IF(O429=1,"Complete",IF(A429,"Checklist open",IF(H429&lt;&gt;"","In progress","Not started")))</x:f>
        <x:v>Not started</x:v>
      </x:c>
      <x:c r="M429" s="2" t="str">
        <x:v>Task</x:v>
      </x:c>
      <x:c r="N429" s="2" t="str">
        <x:v>RA.FC.1.6.2026.CY3</x:v>
      </x:c>
      <x:c r="O429" s="2" t="n">
        <x:f>R429</x:f>
        <x:v>0</x:v>
      </x:c>
      <x:c r="P429" s="2"/>
      <x:c r="Q429" s="2" t="n">
        <x:v>1</x:v>
      </x:c>
      <x:c r="R429" s="2" t="n">
        <x:f>IF(A429,1,0)</x:f>
        <x:v>0</x:v>
      </x:c>
      <x:c r="S429" s="2" t="n">
        <x:f>SUBTOTAL(103,N429)</x:f>
        <x:v>1</x:v>
      </x:c>
    </x:row>
    <x:row r="430" ht="42" customHeight="1">
      <x:c r="A430" s="28" t="b">
        <x:v>0</x:v>
      </x:c>
      <x:c r="B430" s="2" t="str">
        <x:v>Cycle 3</x:v>
      </x:c>
      <x:c r="C430" s="2" t="str">
        <x:v>Phase 1</x:v>
      </x:c>
      <x:c r="D430" s="2" t="str">
        <x:v>FCM</x:v>
      </x:c>
      <x:c r="E430" s="56" t="str">
        <x:v>RA.FC.1.7</x:v>
      </x:c>
      <x:c r="F430" s="14" t="str">
        <x:v>Obtain formal topic selection approval from management via SharePoint</x:v>
      </x:c>
      <x:c r="G430" s="5"/>
      <x:c r="H430" s="11"/>
      <x:c r="I430" s="11" t="n">
        <x:f>'Cycles &amp; Guide'!$D$12</x:f>
        <x:v>46295</x:v>
      </x:c>
      <x:c r="J430" s="11"/>
      <x:c r="K430" s="29"/>
      <x:c r="L430" s="2" t="str">
        <x:f>IF(O430=1,"Complete",IF(A430,"Checklist open",IF(H430&lt;&gt;"","In progress","Not started")))</x:f>
        <x:v>Not started</x:v>
      </x:c>
      <x:c r="M430" s="2" t="str">
        <x:v>Task</x:v>
      </x:c>
      <x:c r="N430" s="2" t="str">
        <x:v>RA.FC.1.7.2026.CY3</x:v>
      </x:c>
      <x:c r="O430" s="2" t="n">
        <x:f>R430</x:f>
        <x:v>0</x:v>
      </x:c>
      <x:c r="P430" s="2"/>
      <x:c r="Q430" s="2" t="n">
        <x:v>1</x:v>
      </x:c>
      <x:c r="R430" s="2" t="n">
        <x:f>IF(A430,1,0)</x:f>
        <x:v>0</x:v>
      </x:c>
      <x:c r="S430" s="2" t="n">
        <x:f>SUBTOTAL(103,N430)</x:f>
        <x:v>1</x:v>
      </x:c>
    </x:row>
    <x:row r="431" ht="42" customHeight="1">
      <x:c r="A431" s="28" t="b">
        <x:v>0</x:v>
      </x:c>
      <x:c r="B431" s="2" t="str">
        <x:v>Cycle 3</x:v>
      </x:c>
      <x:c r="C431" s="2" t="str">
        <x:v>Phase 1</x:v>
      </x:c>
      <x:c r="D431" s="2" t="str">
        <x:v>FCM</x:v>
      </x:c>
      <x:c r="E431" s="56" t="str">
        <x:v>RA.FC.1.8</x:v>
      </x:c>
      <x:c r="F431" s="14" t="str">
        <x:v>Socialize topic selection with product owners and subject matter experts (if known)</x:v>
      </x:c>
      <x:c r="G431" s="5"/>
      <x:c r="H431" s="11"/>
      <x:c r="I431" s="11" t="n">
        <x:f>'Cycles &amp; Guide'!$D$12</x:f>
        <x:v>46295</x:v>
      </x:c>
      <x:c r="J431" s="11"/>
      <x:c r="K431" s="29"/>
      <x:c r="L431" s="2" t="str">
        <x:f>IF(O431=1,"Complete",IF(A431,"Checklist open",IF(H431&lt;&gt;"","In progress","Not started")))</x:f>
        <x:v>Not started</x:v>
      </x:c>
      <x:c r="M431" s="2" t="str">
        <x:v>Task</x:v>
      </x:c>
      <x:c r="N431" s="2" t="str">
        <x:v>RA.FC.1.8.2026.CY3</x:v>
      </x:c>
      <x:c r="O431" s="2" t="n">
        <x:f>R431</x:f>
        <x:v>0</x:v>
      </x:c>
      <x:c r="P431" s="2"/>
      <x:c r="Q431" s="2" t="n">
        <x:v>1</x:v>
      </x:c>
      <x:c r="R431" s="2" t="n">
        <x:f>IF(A431,1,0)</x:f>
        <x:v>0</x:v>
      </x:c>
      <x:c r="S431" s="2" t="n">
        <x:f>SUBTOTAL(103,N431)</x:f>
        <x:v>1</x:v>
      </x:c>
    </x:row>
    <x:row r="432" ht="42" customHeight="1">
      <x:c r="A432" s="28" t="b">
        <x:v>0</x:v>
      </x:c>
      <x:c r="B432" s="2" t="str">
        <x:v>Cycle 3</x:v>
      </x:c>
      <x:c r="C432" s="2" t="str">
        <x:v>Phase 1</x:v>
      </x:c>
      <x:c r="D432" s="2" t="str">
        <x:v>FCM</x:v>
      </x:c>
      <x:c r="E432" s="56" t="str">
        <x:v>RA.FC.1.9</x:v>
      </x:c>
      <x:c r="F432" s="14" t="str">
        <x:v>Assign topic researchers</x:v>
      </x:c>
      <x:c r="G432" s="5"/>
      <x:c r="H432" s="11"/>
      <x:c r="I432" s="11" t="n">
        <x:f>'Cycles &amp; Guide'!$D$12</x:f>
        <x:v>46295</x:v>
      </x:c>
      <x:c r="J432" s="11"/>
      <x:c r="K432" s="29"/>
      <x:c r="L432" s="2" t="str">
        <x:f>IF(O432=1,"Complete",IF(A432,"Checklist open",IF(H432&lt;&gt;"","In progress","Not started")))</x:f>
        <x:v>Not started</x:v>
      </x:c>
      <x:c r="M432" s="2" t="str">
        <x:v>Task</x:v>
      </x:c>
      <x:c r="N432" s="2" t="str">
        <x:v>RA.FC.1.9.2026.CY3</x:v>
      </x:c>
      <x:c r="O432" s="2" t="n">
        <x:f>R432</x:f>
        <x:v>0</x:v>
      </x:c>
      <x:c r="P432" s="2"/>
      <x:c r="Q432" s="2" t="n">
        <x:v>1</x:v>
      </x:c>
      <x:c r="R432" s="2" t="n">
        <x:f>IF(A432,1,0)</x:f>
        <x:v>0</x:v>
      </x:c>
      <x:c r="S432" s="2" t="n">
        <x:f>SUBTOTAL(103,N432)</x:f>
        <x:v>1</x:v>
      </x:c>
    </x:row>
    <x:row r="433" ht="42" customHeight="1">
      <x:c r="A433" s="28" t="b">
        <x:v>0</x:v>
      </x:c>
      <x:c r="B433" s="2" t="str">
        <x:v>Cycle 3</x:v>
      </x:c>
      <x:c r="C433" s="2" t="str">
        <x:v>Phase 2</x:v>
      </x:c>
      <x:c r="D433" s="2" t="str">
        <x:v>FCM</x:v>
      </x:c>
      <x:c r="E433" s="56" t="str">
        <x:v>RA.FC.2.1</x:v>
      </x:c>
      <x:c r="F433" s="14" t="str">
        <x:v>Review data sources</x:v>
      </x:c>
      <x:c r="G433" s="5"/>
      <x:c r="H433" s="11"/>
      <x:c r="I433" s="11" t="n">
        <x:f>'Cycles &amp; Guide'!$D$12</x:f>
        <x:v>46295</x:v>
      </x:c>
      <x:c r="J433" s="11"/>
      <x:c r="K433" s="29"/>
      <x:c r="L433" s="2" t="str">
        <x:f>IF(O433=1,"Complete",IF(A433,"Checklist open",IF(H433&lt;&gt;"","In progress","Not started")))</x:f>
        <x:v>Not started</x:v>
      </x:c>
      <x:c r="M433" s="2" t="str">
        <x:v>Task</x:v>
      </x:c>
      <x:c r="N433" s="2" t="str">
        <x:v>RA.FC.2.1.2026.CY3</x:v>
      </x:c>
      <x:c r="O433" s="2" t="n">
        <x:f>R433</x:f>
        <x:v>0</x:v>
      </x:c>
      <x:c r="P433" s="2"/>
      <x:c r="Q433" s="2" t="n">
        <x:v>1</x:v>
      </x:c>
      <x:c r="R433" s="2" t="n">
        <x:f>IF(A433,1,0)</x:f>
        <x:v>0</x:v>
      </x:c>
      <x:c r="S433" s="2" t="n">
        <x:f>SUBTOTAL(103,N433)</x:f>
        <x:v>1</x:v>
      </x:c>
    </x:row>
    <x:row r="434" ht="42" customHeight="1">
      <x:c r="A434" s="28" t="b">
        <x:v>0</x:v>
      </x:c>
      <x:c r="B434" s="2" t="str">
        <x:v>Cycle 3</x:v>
      </x:c>
      <x:c r="C434" s="2" t="str">
        <x:v>Phase 2</x:v>
      </x:c>
      <x:c r="D434" s="2" t="str">
        <x:v>FCM</x:v>
      </x:c>
      <x:c r="E434" s="56" t="str">
        <x:v>RA.FC.2.2</x:v>
      </x:c>
      <x:c r="F434" s="14" t="str">
        <x:v>Review relevant policies and procedures</x:v>
      </x:c>
      <x:c r="G434" s="5"/>
      <x:c r="H434" s="11"/>
      <x:c r="I434" s="11" t="n">
        <x:f>'Cycles &amp; Guide'!$D$12</x:f>
        <x:v>46295</x:v>
      </x:c>
      <x:c r="J434" s="11"/>
      <x:c r="K434" s="29"/>
      <x:c r="L434" s="2" t="str">
        <x:f>IF(O434=1,"Complete",IF(A434,"Checklist open",IF(H434&lt;&gt;"","In progress","Not started")))</x:f>
        <x:v>Not started</x:v>
      </x:c>
      <x:c r="M434" s="2" t="str">
        <x:v>Task</x:v>
      </x:c>
      <x:c r="N434" s="2" t="str">
        <x:v>RA.FC.2.2.2026.CY3</x:v>
      </x:c>
      <x:c r="O434" s="2" t="n">
        <x:f>R434</x:f>
        <x:v>0</x:v>
      </x:c>
      <x:c r="P434" s="2"/>
      <x:c r="Q434" s="2" t="n">
        <x:v>1</x:v>
      </x:c>
      <x:c r="R434" s="2" t="n">
        <x:f>IF(A434,1,0)</x:f>
        <x:v>0</x:v>
      </x:c>
      <x:c r="S434" s="2" t="n">
        <x:f>SUBTOTAL(103,N434)</x:f>
        <x:v>1</x:v>
      </x:c>
    </x:row>
    <x:row r="435" ht="42" customHeight="1">
      <x:c r="A435" s="28" t="b">
        <x:v>0</x:v>
      </x:c>
      <x:c r="B435" s="2" t="str">
        <x:v>Cycle 3</x:v>
      </x:c>
      <x:c r="C435" s="2" t="str">
        <x:v>Phase 2</x:v>
      </x:c>
      <x:c r="D435" s="2" t="str">
        <x:v>FCM</x:v>
      </x:c>
      <x:c r="E435" s="56" t="str">
        <x:v>RA.FC.2.3</x:v>
      </x:c>
      <x:c r="F435" s="14" t="str">
        <x:v>Meet with SMEs to gain business insight and clarify questions</x:v>
      </x:c>
      <x:c r="G435" s="5"/>
      <x:c r="H435" s="11"/>
      <x:c r="I435" s="11" t="n">
        <x:f>'Cycles &amp; Guide'!$D$12</x:f>
        <x:v>46295</x:v>
      </x:c>
      <x:c r="J435" s="11"/>
      <x:c r="K435" s="29"/>
      <x:c r="L435" s="2" t="str">
        <x:f>IF(O435=1,"Complete",IF(A435,"Checklist open",IF(H435&lt;&gt;"","In progress","Not started")))</x:f>
        <x:v>Not started</x:v>
      </x:c>
      <x:c r="M435" s="2" t="str">
        <x:v>Task</x:v>
      </x:c>
      <x:c r="N435" s="2" t="str">
        <x:v>RA.FC.2.3.2026.CY3</x:v>
      </x:c>
      <x:c r="O435" s="2" t="n">
        <x:f>R435</x:f>
        <x:v>0</x:v>
      </x:c>
      <x:c r="P435" s="2"/>
      <x:c r="Q435" s="2" t="n">
        <x:v>1</x:v>
      </x:c>
      <x:c r="R435" s="2" t="n">
        <x:f>IF(A435,1,0)</x:f>
        <x:v>0</x:v>
      </x:c>
      <x:c r="S435" s="2" t="n">
        <x:f>SUBTOTAL(103,N435)</x:f>
        <x:v>1</x:v>
      </x:c>
    </x:row>
    <x:row r="436" ht="42" customHeight="1">
      <x:c r="A436" s="28" t="b">
        <x:v>0</x:v>
      </x:c>
      <x:c r="B436" s="2" t="str">
        <x:v>Cycle 3</x:v>
      </x:c>
      <x:c r="C436" s="2" t="str">
        <x:v>Phase 2</x:v>
      </x:c>
      <x:c r="D436" s="2" t="str">
        <x:v>FCM</x:v>
      </x:c>
      <x:c r="E436" s="56" t="str">
        <x:v>RA.FC.2.4</x:v>
      </x:c>
      <x:c r="F436" s="14" t="str">
        <x:v>Establish and maintain a recurring meeting with D&amp;I to discuss Cycle progress</x:v>
      </x:c>
      <x:c r="G436" s="5"/>
      <x:c r="H436" s="11"/>
      <x:c r="I436" s="11" t="n">
        <x:f>'Cycles &amp; Guide'!$D$12</x:f>
        <x:v>46295</x:v>
      </x:c>
      <x:c r="J436" s="11"/>
      <x:c r="K436" s="29"/>
      <x:c r="L436" s="2" t="str">
        <x:f>IF(O436=1,"Complete",IF(A436,"Checklist open",IF(H436&lt;&gt;"","In progress","Not started")))</x:f>
        <x:v>Not started</x:v>
      </x:c>
      <x:c r="M436" s="2" t="str">
        <x:v>Task</x:v>
      </x:c>
      <x:c r="N436" s="2" t="str">
        <x:v>RA.FC.2.4.2026.CY3</x:v>
      </x:c>
      <x:c r="O436" s="2" t="n">
        <x:f>R436</x:f>
        <x:v>0</x:v>
      </x:c>
      <x:c r="P436" s="2"/>
      <x:c r="Q436" s="2" t="n">
        <x:v>1</x:v>
      </x:c>
      <x:c r="R436" s="2" t="n">
        <x:f>IF(A436,1,0)</x:f>
        <x:v>0</x:v>
      </x:c>
      <x:c r="S436" s="2" t="n">
        <x:f>SUBTOTAL(103,N436)</x:f>
        <x:v>1</x:v>
      </x:c>
    </x:row>
    <x:row r="437" ht="42" customHeight="1">
      <x:c r="A437" s="28" t="b">
        <x:v>0</x:v>
      </x:c>
      <x:c r="B437" s="2" t="str">
        <x:v>Cycle 3</x:v>
      </x:c>
      <x:c r="C437" s="2" t="str">
        <x:v>Phase 2</x:v>
      </x:c>
      <x:c r="D437" s="2" t="str">
        <x:v>FCM</x:v>
      </x:c>
      <x:c r="E437" s="56" t="str">
        <x:v>RA.FC.2.5</x:v>
      </x:c>
      <x:c r="F437" s="14" t="str">
        <x:v>Perform data testing and sampling</x:v>
      </x:c>
      <x:c r="G437" s="5"/>
      <x:c r="H437" s="11"/>
      <x:c r="I437" s="11" t="n">
        <x:f>'Cycles &amp; Guide'!$D$12</x:f>
        <x:v>46295</x:v>
      </x:c>
      <x:c r="J437" s="11"/>
      <x:c r="K437" s="29"/>
      <x:c r="L437" s="2" t="str">
        <x:f>IF(O437=1,"Complete",IF(A437,"Checklist open",IF(H437&lt;&gt;"","In progress","Not started")))</x:f>
        <x:v>Not started</x:v>
      </x:c>
      <x:c r="M437" s="2" t="str">
        <x:v>Task</x:v>
      </x:c>
      <x:c r="N437" s="2" t="str">
        <x:v>RA.FC.2.5.2026.CY3</x:v>
      </x:c>
      <x:c r="O437" s="2" t="n">
        <x:f>R437</x:f>
        <x:v>0</x:v>
      </x:c>
      <x:c r="P437" s="2"/>
      <x:c r="Q437" s="2" t="n">
        <x:v>1</x:v>
      </x:c>
      <x:c r="R437" s="2" t="n">
        <x:f>IF(A437,1,0)</x:f>
        <x:v>0</x:v>
      </x:c>
      <x:c r="S437" s="2" t="n">
        <x:f>SUBTOTAL(103,N437)</x:f>
        <x:v>1</x:v>
      </x:c>
    </x:row>
    <x:row r="438" ht="42" customHeight="1">
      <x:c r="A438" s="28" t="b">
        <x:v>0</x:v>
      </x:c>
      <x:c r="B438" s="2" t="str">
        <x:v>Cycle 3</x:v>
      </x:c>
      <x:c r="C438" s="2" t="str">
        <x:v>Phase 2</x:v>
      </x:c>
      <x:c r="D438" s="2" t="str">
        <x:v>FCM</x:v>
      </x:c>
      <x:c r="E438" s="56" t="str">
        <x:v>RA.FC.2.6</x:v>
      </x:c>
      <x:c r="F438" s="14" t="str">
        <x:v>Complete Positive Testing</x:v>
      </x:c>
      <x:c r="G438" s="5"/>
      <x:c r="H438" s="11"/>
      <x:c r="I438" s="11" t="n">
        <x:f>'Cycles &amp; Guide'!$D$12</x:f>
        <x:v>46295</x:v>
      </x:c>
      <x:c r="J438" s="11"/>
      <x:c r="K438" s="29"/>
      <x:c r="L438" s="2" t="str">
        <x:f>IF(O438=1,"Complete",IF(A438,"Checklist open",IF(H438&lt;&gt;"","In progress","Not started")))</x:f>
        <x:v>Not started</x:v>
      </x:c>
      <x:c r="M438" s="2" t="str">
        <x:v>Task</x:v>
      </x:c>
      <x:c r="N438" s="2" t="str">
        <x:v>RA.FC.2.6.2026.CY3</x:v>
      </x:c>
      <x:c r="O438" s="2" t="n">
        <x:f>R438</x:f>
        <x:v>0</x:v>
      </x:c>
      <x:c r="P438" s="2"/>
      <x:c r="Q438" s="2" t="n">
        <x:v>1</x:v>
      </x:c>
      <x:c r="R438" s="2" t="n">
        <x:f>IF(A438,1,0)</x:f>
        <x:v>0</x:v>
      </x:c>
      <x:c r="S438" s="2" t="n">
        <x:f>SUBTOTAL(103,N438)</x:f>
        <x:v>1</x:v>
      </x:c>
    </x:row>
    <x:row r="439" ht="42" customHeight="1">
      <x:c r="A439" s="28" t="b">
        <x:v>0</x:v>
      </x:c>
      <x:c r="B439" s="2" t="str">
        <x:v>Cycle 3</x:v>
      </x:c>
      <x:c r="C439" s="2" t="str">
        <x:v>Phase 2</x:v>
      </x:c>
      <x:c r="D439" s="2" t="str">
        <x:v>FCM</x:v>
      </x:c>
      <x:c r="E439" s="56" t="str">
        <x:v>RA.FC.2.7</x:v>
      </x:c>
      <x:c r="F439" s="14" t="str">
        <x:v>Complete Negative Testing</x:v>
      </x:c>
      <x:c r="G439" s="5"/>
      <x:c r="H439" s="11"/>
      <x:c r="I439" s="11" t="n">
        <x:f>'Cycles &amp; Guide'!$D$12</x:f>
        <x:v>46295</x:v>
      </x:c>
      <x:c r="J439" s="11"/>
      <x:c r="K439" s="29"/>
      <x:c r="L439" s="2" t="str">
        <x:f>IF(O439=1,"Complete",IF(A439,"Checklist open",IF(H439&lt;&gt;"","In progress","Not started")))</x:f>
        <x:v>Not started</x:v>
      </x:c>
      <x:c r="M439" s="2" t="str">
        <x:v>Task</x:v>
      </x:c>
      <x:c r="N439" s="2" t="str">
        <x:v>RA.FC.2.7.2026.CY3</x:v>
      </x:c>
      <x:c r="O439" s="2" t="n">
        <x:f>R439</x:f>
        <x:v>0</x:v>
      </x:c>
      <x:c r="P439" s="2"/>
      <x:c r="Q439" s="2" t="n">
        <x:v>1</x:v>
      </x:c>
      <x:c r="R439" s="2" t="n">
        <x:f>IF(A439,1,0)</x:f>
        <x:v>0</x:v>
      </x:c>
      <x:c r="S439" s="2" t="n">
        <x:f>SUBTOTAL(103,N439)</x:f>
        <x:v>1</x:v>
      </x:c>
    </x:row>
    <x:row r="440" ht="42" customHeight="1">
      <x:c r="A440" s="28" t="b">
        <x:v>0</x:v>
      </x:c>
      <x:c r="B440" s="2" t="str">
        <x:v>Cycle 3</x:v>
      </x:c>
      <x:c r="C440" s="2" t="str">
        <x:v>Phase 2</x:v>
      </x:c>
      <x:c r="D440" s="2" t="str">
        <x:v>FCM</x:v>
      </x:c>
      <x:c r="E440" s="56" t="str">
        <x:v>RA.FC.2.8</x:v>
      </x:c>
      <x:c r="F440" s="14" t="str">
        <x:v>Request additional data (as needed)</x:v>
      </x:c>
      <x:c r="G440" s="5"/>
      <x:c r="H440" s="11"/>
      <x:c r="I440" s="11" t="n">
        <x:f>'Cycles &amp; Guide'!$D$12</x:f>
        <x:v>46295</x:v>
      </x:c>
      <x:c r="J440" s="11"/>
      <x:c r="K440" s="29"/>
      <x:c r="L440" s="2" t="str">
        <x:f>IF(O440=1,"Complete",IF(A440,"Checklist open",IF(H440&lt;&gt;"","In progress","Not started")))</x:f>
        <x:v>Not started</x:v>
      </x:c>
      <x:c r="M440" s="2" t="str">
        <x:v>Task</x:v>
      </x:c>
      <x:c r="N440" s="2" t="str">
        <x:v>RA.FC.2.8.2026.CY3</x:v>
      </x:c>
      <x:c r="O440" s="2" t="n">
        <x:f>R440</x:f>
        <x:v>0</x:v>
      </x:c>
      <x:c r="P440" s="2"/>
      <x:c r="Q440" s="2" t="n">
        <x:v>1</x:v>
      </x:c>
      <x:c r="R440" s="2" t="n">
        <x:f>IF(A440,1,0)</x:f>
        <x:v>0</x:v>
      </x:c>
      <x:c r="S440" s="2" t="n">
        <x:f>SUBTOTAL(103,N440)</x:f>
        <x:v>1</x:v>
      </x:c>
    </x:row>
    <x:row r="441" ht="42" customHeight="1">
      <x:c r="A441" s="28" t="b">
        <x:v>0</x:v>
      </x:c>
      <x:c r="B441" s="2" t="str">
        <x:v>Cycle 3</x:v>
      </x:c>
      <x:c r="C441" s="2" t="str">
        <x:v>Phase 2</x:v>
      </x:c>
      <x:c r="D441" s="2" t="str">
        <x:v>FCM</x:v>
      </x:c>
      <x:c r="E441" s="56" t="str">
        <x:v>RA.FC.2.9</x:v>
      </x:c>
      <x:c r="F441" s="14" t="str">
        <x:v>Validate or disprove initial hypothesis assumptions</x:v>
      </x:c>
      <x:c r="G441" s="5"/>
      <x:c r="H441" s="11"/>
      <x:c r="I441" s="11" t="n">
        <x:f>'Cycles &amp; Guide'!$D$12</x:f>
        <x:v>46295</x:v>
      </x:c>
      <x:c r="J441" s="11"/>
      <x:c r="K441" s="29"/>
      <x:c r="L441" s="2" t="str">
        <x:f>IF(O441=1,"Complete",IF(A441,"Checklist open",IF(H441&lt;&gt;"","In progress","Not started")))</x:f>
        <x:v>Not started</x:v>
      </x:c>
      <x:c r="M441" s="2" t="str">
        <x:v>Task</x:v>
      </x:c>
      <x:c r="N441" s="2" t="str">
        <x:v>RA.FC.2.9.2026.CY3</x:v>
      </x:c>
      <x:c r="O441" s="2" t="n">
        <x:f>R441</x:f>
        <x:v>0</x:v>
      </x:c>
      <x:c r="P441" s="2"/>
      <x:c r="Q441" s="2" t="n">
        <x:v>1</x:v>
      </x:c>
      <x:c r="R441" s="2" t="n">
        <x:f>IF(A441,1,0)</x:f>
        <x:v>0</x:v>
      </x:c>
      <x:c r="S441" s="2" t="n">
        <x:f>SUBTOTAL(103,N441)</x:f>
        <x:v>1</x:v>
      </x:c>
    </x:row>
    <x:row r="442" ht="42" customHeight="1">
      <x:c r="A442" s="28" t="b">
        <x:v>0</x:v>
      </x:c>
      <x:c r="B442" s="2" t="str">
        <x:v>Cycle 3</x:v>
      </x:c>
      <x:c r="C442" s="2" t="str">
        <x:v>Phase 2</x:v>
      </x:c>
      <x:c r="D442" s="2" t="str">
        <x:v>FCM</x:v>
      </x:c>
      <x:c r="E442" s="56" t="str">
        <x:v>RA.FC.2.10</x:v>
      </x:c>
      <x:c r="F442" s="14" t="str">
        <x:v>Identify and confirm root cause</x:v>
      </x:c>
      <x:c r="G442" s="5"/>
      <x:c r="H442" s="11"/>
      <x:c r="I442" s="11" t="n">
        <x:f>'Cycles &amp; Guide'!$D$12</x:f>
        <x:v>46295</x:v>
      </x:c>
      <x:c r="J442" s="11"/>
      <x:c r="K442" s="29"/>
      <x:c r="L442" s="2" t="str">
        <x:f>IF(O442=1,"Complete",IF(A442,"Checklist open",IF(H442&lt;&gt;"","In progress","Not started")))</x:f>
        <x:v>Not started</x:v>
      </x:c>
      <x:c r="M442" s="2" t="str">
        <x:v>Task</x:v>
      </x:c>
      <x:c r="N442" s="2" t="str">
        <x:v>RA.FC.2.10.2026.CY3</x:v>
      </x:c>
      <x:c r="O442" s="2" t="n">
        <x:f>R442</x:f>
        <x:v>0</x:v>
      </x:c>
      <x:c r="P442" s="2"/>
      <x:c r="Q442" s="2" t="n">
        <x:v>1</x:v>
      </x:c>
      <x:c r="R442" s="2" t="n">
        <x:f>IF(A442,1,0)</x:f>
        <x:v>0</x:v>
      </x:c>
      <x:c r="S442" s="2" t="n">
        <x:f>SUBTOTAL(103,N442)</x:f>
        <x:v>1</x:v>
      </x:c>
    </x:row>
    <x:row r="443" ht="42" customHeight="1">
      <x:c r="A443" s="28" t="b">
        <x:v>0</x:v>
      </x:c>
      <x:c r="B443" s="2" t="str">
        <x:v>Cycle 3</x:v>
      </x:c>
      <x:c r="C443" s="2" t="str">
        <x:v>Phase 3</x:v>
      </x:c>
      <x:c r="D443" s="2" t="str">
        <x:v>FCM</x:v>
      </x:c>
      <x:c r="E443" s="56" t="str">
        <x:v>RA.FC.3.1</x:v>
      </x:c>
      <x:c r="F443" s="14" t="str">
        <x:v>Finalize results and supporting documentation</x:v>
      </x:c>
      <x:c r="G443" s="5"/>
      <x:c r="H443" s="11"/>
      <x:c r="I443" s="11" t="n">
        <x:f>'Cycles &amp; Guide'!$D$12</x:f>
        <x:v>46295</x:v>
      </x:c>
      <x:c r="J443" s="11"/>
      <x:c r="K443" s="29"/>
      <x:c r="L443" s="2" t="str">
        <x:f>IF(O443=1,"Complete",IF(A443,"Checklist open",IF(H443&lt;&gt;"","In progress","Not started")))</x:f>
        <x:v>Not started</x:v>
      </x:c>
      <x:c r="M443" s="2" t="str">
        <x:v>Task</x:v>
      </x:c>
      <x:c r="N443" s="2" t="str">
        <x:v>RA.FC.3.1.2026.CY3</x:v>
      </x:c>
      <x:c r="O443" s="2" t="n">
        <x:f>R443</x:f>
        <x:v>0</x:v>
      </x:c>
      <x:c r="P443" s="2"/>
      <x:c r="Q443" s="2" t="n">
        <x:v>1</x:v>
      </x:c>
      <x:c r="R443" s="2" t="n">
        <x:f>IF(A443,1,0)</x:f>
        <x:v>0</x:v>
      </x:c>
      <x:c r="S443" s="2" t="n">
        <x:f>SUBTOTAL(103,N443)</x:f>
        <x:v>1</x:v>
      </x:c>
    </x:row>
    <x:row r="444" ht="42" customHeight="1">
      <x:c r="A444" s="28" t="b">
        <x:v>0</x:v>
      </x:c>
      <x:c r="B444" s="2" t="str">
        <x:v>Cycle 3</x:v>
      </x:c>
      <x:c r="C444" s="2" t="str">
        <x:v>Phase 3</x:v>
      </x:c>
      <x:c r="D444" s="2" t="str">
        <x:v>FCM</x:v>
      </x:c>
      <x:c r="E444" s="56" t="str">
        <x:v>RA.FC.3.2</x:v>
      </x:c>
      <x:c r="F444" s="14" t="str">
        <x:v>Maintain and update the evidence package prior to handoff to D&amp;I</x:v>
      </x:c>
      <x:c r="G444" s="5"/>
      <x:c r="H444" s="11"/>
      <x:c r="I444" s="11" t="n">
        <x:f>'Cycles &amp; Guide'!$D$12</x:f>
        <x:v>46295</x:v>
      </x:c>
      <x:c r="J444" s="11"/>
      <x:c r="K444" s="29"/>
      <x:c r="L444" s="2" t="str">
        <x:f>IF(O444=1,"Complete",IF(A444,"Checklist open",IF(H444&lt;&gt;"","In progress","Not started")))</x:f>
        <x:v>Not started</x:v>
      </x:c>
      <x:c r="M444" s="2" t="str">
        <x:v>Task</x:v>
      </x:c>
      <x:c r="N444" s="2" t="str">
        <x:v>RA.FC.3.2.2026.CY3</x:v>
      </x:c>
      <x:c r="O444" s="2" t="n">
        <x:f>R444</x:f>
        <x:v>0</x:v>
      </x:c>
      <x:c r="P444" s="2"/>
      <x:c r="Q444" s="2" t="n">
        <x:v>1</x:v>
      </x:c>
      <x:c r="R444" s="2" t="n">
        <x:f>IF(A444,1,0)</x:f>
        <x:v>0</x:v>
      </x:c>
      <x:c r="S444" s="2" t="n">
        <x:f>SUBTOTAL(103,N444)</x:f>
        <x:v>1</x:v>
      </x:c>
    </x:row>
    <x:row r="445" ht="42" customHeight="1">
      <x:c r="A445" s="28" t="b">
        <x:v>0</x:v>
      </x:c>
      <x:c r="B445" s="2" t="str">
        <x:v>Cycle 3</x:v>
      </x:c>
      <x:c r="C445" s="2" t="str">
        <x:v>Phase 3</x:v>
      </x:c>
      <x:c r="D445" s="2" t="str">
        <x:v>FCM</x:v>
      </x:c>
      <x:c r="E445" s="56" t="str">
        <x:v>RA.FC.3.3</x:v>
      </x:c>
      <x:c r="F445" s="14" t="str">
        <x:v>Address any outstanding questions or requests from D&amp;I</x:v>
      </x:c>
      <x:c r="G445" s="5"/>
      <x:c r="H445" s="11"/>
      <x:c r="I445" s="11" t="n">
        <x:f>'Cycles &amp; Guide'!$D$12</x:f>
        <x:v>46295</x:v>
      </x:c>
      <x:c r="J445" s="11"/>
      <x:c r="K445" s="29"/>
      <x:c r="L445" s="2" t="str">
        <x:f>IF(O445=1,"Complete",IF(A445,"Checklist open",IF(H445&lt;&gt;"","In progress","Not started")))</x:f>
        <x:v>Not started</x:v>
      </x:c>
      <x:c r="M445" s="2" t="str">
        <x:v>Task</x:v>
      </x:c>
      <x:c r="N445" s="2" t="str">
        <x:v>RA.FC.3.3.2026.CY3</x:v>
      </x:c>
      <x:c r="O445" s="2" t="n">
        <x:f>R445</x:f>
        <x:v>0</x:v>
      </x:c>
      <x:c r="P445" s="2"/>
      <x:c r="Q445" s="2" t="n">
        <x:v>1</x:v>
      </x:c>
      <x:c r="R445" s="2" t="n">
        <x:f>IF(A445,1,0)</x:f>
        <x:v>0</x:v>
      </x:c>
      <x:c r="S445" s="2" t="n">
        <x:f>SUBTOTAL(103,N445)</x:f>
        <x:v>1</x:v>
      </x:c>
    </x:row>
    <x:row r="446" ht="42" customHeight="1">
      <x:c r="A446" s="28" t="b">
        <x:v>0</x:v>
      </x:c>
      <x:c r="B446" s="2" t="str">
        <x:v>Cycle 3</x:v>
      </x:c>
      <x:c r="C446" s="2" t="str">
        <x:v>Phase 3</x:v>
      </x:c>
      <x:c r="D446" s="2" t="str">
        <x:v>FCM</x:v>
      </x:c>
      <x:c r="E446" s="56" t="str">
        <x:v>RA.FC.3.4</x:v>
      </x:c>
      <x:c r="F446" s="14" t="str">
        <x:v>Attend Forum meeting with D&amp;I to assist with answering stakeholder questions (as needed)</x:v>
      </x:c>
      <x:c r="G446" s="5"/>
      <x:c r="H446" s="11"/>
      <x:c r="I446" s="11" t="str">
        <x:f>IF(SUMIFS('Cycles &amp; Guide'!$D$23:$D$50,'Cycles &amp; Guide'!$B$23:$B$50,B446,'Cycles &amp; Guide'!$C$23:$C$50,D446)=0,"",SUMIFS('Cycles &amp; Guide'!$D$23:$D$50,'Cycles &amp; Guide'!$B$23:$B$50,B446,'Cycles &amp; Guide'!$C$23:$C$50,D446))</x:f>
      </x:c>
      <x:c r="J446" s="11"/>
      <x:c r="K446" s="29"/>
      <x:c r="L446" s="2" t="str">
        <x:f>IF(O446=1,"Complete",IF(A446,"Checklist open",IF(H446&lt;&gt;"","In progress","Not started")))</x:f>
        <x:v>Not started</x:v>
      </x:c>
      <x:c r="M446" s="2" t="str">
        <x:v>Task</x:v>
      </x:c>
      <x:c r="N446" s="2" t="str">
        <x:v>RA.FC.3.4.2026.CY3</x:v>
      </x:c>
      <x:c r="O446" s="2" t="n">
        <x:f>R446</x:f>
        <x:v>0</x:v>
      </x:c>
      <x:c r="P446" s="2"/>
      <x:c r="Q446" s="2" t="n">
        <x:v>1</x:v>
      </x:c>
      <x:c r="R446" s="2" t="n">
        <x:f>IF(A446,1,0)</x:f>
        <x:v>0</x:v>
      </x:c>
      <x:c r="S446" s="2" t="n">
        <x:f>SUBTOTAL(103,N446)</x:f>
        <x:v>1</x:v>
      </x:c>
    </x:row>
    <x:row r="447" ht="42" customHeight="1">
      <x:c r="A447" s="28" t="b">
        <x:v>0</x:v>
      </x:c>
      <x:c r="B447" s="2" t="str">
        <x:v>Cycle 3</x:v>
      </x:c>
      <x:c r="C447" s="2" t="str">
        <x:v>Phase 1</x:v>
      </x:c>
      <x:c r="D447" s="2" t="str">
        <x:v>PLL</x:v>
      </x:c>
      <x:c r="E447" s="56" t="str">
        <x:v>RA.PL.1.1</x:v>
      </x:c>
      <x:c r="F447" s="14" t="str">
        <x:v>Begin Research process 2 weeks prior to Cycle start</x:v>
      </x:c>
      <x:c r="G447" s="5"/>
      <x:c r="H447" s="11"/>
      <x:c r="I447" s="11" t="n">
        <x:f>'Cycles &amp; Guide'!$C$12-14</x:f>
        <x:v>46190</x:v>
      </x:c>
      <x:c r="J447" s="11"/>
      <x:c r="K447" s="29"/>
      <x:c r="L447" s="2" t="str">
        <x:f>IF(O447=1,"Complete",IF(A447,"Checklist open",IF(H447&lt;&gt;"","In progress","Not started")))</x:f>
        <x:v>Not started</x:v>
      </x:c>
      <x:c r="M447" s="2" t="str">
        <x:v>Task</x:v>
      </x:c>
      <x:c r="N447" s="2" t="str">
        <x:v>RA.PL.1.1.2026.CY3</x:v>
      </x:c>
      <x:c r="O447" s="2" t="n">
        <x:f>R447</x:f>
        <x:v>0</x:v>
      </x:c>
      <x:c r="P447" s="2"/>
      <x:c r="Q447" s="2" t="n">
        <x:v>1</x:v>
      </x:c>
      <x:c r="R447" s="2" t="n">
        <x:f>IF(A447,1,0)</x:f>
        <x:v>0</x:v>
      </x:c>
      <x:c r="S447" s="2" t="n">
        <x:f>SUBTOTAL(103,N447)</x:f>
        <x:v>1</x:v>
      </x:c>
    </x:row>
    <x:row r="448" ht="42" customHeight="1">
      <x:c r="A448" s="28" t="b">
        <x:v>0</x:v>
      </x:c>
      <x:c r="B448" s="2" t="str">
        <x:v>Cycle 3</x:v>
      </x:c>
      <x:c r="C448" s="2" t="str">
        <x:v>Phase 1</x:v>
      </x:c>
      <x:c r="D448" s="2" t="str">
        <x:v>PLL</x:v>
      </x:c>
      <x:c r="E448" s="56" t="str">
        <x:v>RA.PL.1.2</x:v>
      </x:c>
      <x:c r="F448" s="14" t="str">
        <x:v>Conduct initial assessment of each topic recommendation from SharePoint list</x:v>
      </x:c>
      <x:c r="G448" s="5"/>
      <x:c r="H448" s="11"/>
      <x:c r="I448" s="11" t="n">
        <x:f>'Cycles &amp; Guide'!$D$12</x:f>
        <x:v>46295</x:v>
      </x:c>
      <x:c r="J448" s="11"/>
      <x:c r="K448" s="29"/>
      <x:c r="L448" s="2" t="str">
        <x:f>IF(O448=1,"Complete",IF(A448,"Checklist open",IF(H448&lt;&gt;"","In progress","Not started")))</x:f>
        <x:v>Not started</x:v>
      </x:c>
      <x:c r="M448" s="2" t="str">
        <x:v>Task</x:v>
      </x:c>
      <x:c r="N448" s="2" t="str">
        <x:v>RA.PL.1.2.2026.CY3</x:v>
      </x:c>
      <x:c r="O448" s="2" t="n">
        <x:f>R448</x:f>
        <x:v>0</x:v>
      </x:c>
      <x:c r="P448" s="2"/>
      <x:c r="Q448" s="2" t="n">
        <x:v>1</x:v>
      </x:c>
      <x:c r="R448" s="2" t="n">
        <x:f>IF(A448,1,0)</x:f>
        <x:v>0</x:v>
      </x:c>
      <x:c r="S448" s="2" t="n">
        <x:f>SUBTOTAL(103,N448)</x:f>
        <x:v>1</x:v>
      </x:c>
    </x:row>
    <x:row r="449" ht="42" customHeight="1">
      <x:c r="A449" s="28" t="b">
        <x:v>0</x:v>
      </x:c>
      <x:c r="B449" s="2" t="str">
        <x:v>Cycle 3</x:v>
      </x:c>
      <x:c r="C449" s="2" t="str">
        <x:v>Phase 1</x:v>
      </x:c>
      <x:c r="D449" s="2" t="str">
        <x:v>PLL</x:v>
      </x:c>
      <x:c r="E449" s="56" t="str">
        <x:v>RA.PL.1.3</x:v>
      </x:c>
      <x:c r="F449" s="14" t="str">
        <x:v>Identify best topic for Cycle</x:v>
      </x:c>
      <x:c r="G449" s="5"/>
      <x:c r="H449" s="11"/>
      <x:c r="I449" s="11" t="n">
        <x:f>'Cycles &amp; Guide'!$D$12</x:f>
        <x:v>46295</x:v>
      </x:c>
      <x:c r="J449" s="11"/>
      <x:c r="K449" s="29"/>
      <x:c r="L449" s="2" t="str">
        <x:f>IF(O449=1,"Complete",IF(A449,"Checklist open",IF(H449&lt;&gt;"","In progress","Not started")))</x:f>
        <x:v>Not started</x:v>
      </x:c>
      <x:c r="M449" s="2" t="str">
        <x:v>Task</x:v>
      </x:c>
      <x:c r="N449" s="2" t="str">
        <x:v>RA.PL.1.3.2026.CY3</x:v>
      </x:c>
      <x:c r="O449" s="2" t="n">
        <x:f>R449</x:f>
        <x:v>0</x:v>
      </x:c>
      <x:c r="P449" s="2"/>
      <x:c r="Q449" s="2" t="n">
        <x:v>1</x:v>
      </x:c>
      <x:c r="R449" s="2" t="n">
        <x:f>IF(A449,1,0)</x:f>
        <x:v>0</x:v>
      </x:c>
      <x:c r="S449" s="2" t="n">
        <x:f>SUBTOTAL(103,N449)</x:f>
        <x:v>1</x:v>
      </x:c>
    </x:row>
    <x:row r="450" ht="42" customHeight="1">
      <x:c r="A450" s="28" t="b">
        <x:v>0</x:v>
      </x:c>
      <x:c r="B450" s="2" t="str">
        <x:v>Cycle 3</x:v>
      </x:c>
      <x:c r="C450" s="2" t="str">
        <x:v>Phase 1</x:v>
      </x:c>
      <x:c r="D450" s="2" t="str">
        <x:v>PLL</x:v>
      </x:c>
      <x:c r="E450" s="56" t="str">
        <x:v>RA.PL.1.4</x:v>
      </x:c>
      <x:c r="F450" s="14" t="str">
        <x:v>Identify backup topic for Cycle</x:v>
      </x:c>
      <x:c r="G450" s="5"/>
      <x:c r="H450" s="11"/>
      <x:c r="I450" s="11" t="n">
        <x:f>'Cycles &amp; Guide'!$D$12</x:f>
        <x:v>46295</x:v>
      </x:c>
      <x:c r="J450" s="11"/>
      <x:c r="K450" s="29"/>
      <x:c r="L450" s="2" t="str">
        <x:f>IF(O450=1,"Complete",IF(A450,"Checklist open",IF(H450&lt;&gt;"","In progress","Not started")))</x:f>
        <x:v>Not started</x:v>
      </x:c>
      <x:c r="M450" s="2" t="str">
        <x:v>Task</x:v>
      </x:c>
      <x:c r="N450" s="2" t="str">
        <x:v>RA.PL.1.4.2026.CY3</x:v>
      </x:c>
      <x:c r="O450" s="2" t="n">
        <x:f>R450</x:f>
        <x:v>0</x:v>
      </x:c>
      <x:c r="P450" s="2"/>
      <x:c r="Q450" s="2" t="n">
        <x:v>1</x:v>
      </x:c>
      <x:c r="R450" s="2" t="n">
        <x:f>IF(A450,1,0)</x:f>
        <x:v>0</x:v>
      </x:c>
      <x:c r="S450" s="2" t="n">
        <x:f>SUBTOTAL(103,N450)</x:f>
        <x:v>1</x:v>
      </x:c>
    </x:row>
    <x:row r="451" ht="42" customHeight="1">
      <x:c r="A451" s="28" t="b">
        <x:v>0</x:v>
      </x:c>
      <x:c r="B451" s="2" t="str">
        <x:v>Cycle 3</x:v>
      </x:c>
      <x:c r="C451" s="2" t="str">
        <x:v>Phase 1</x:v>
      </x:c>
      <x:c r="D451" s="2" t="str">
        <x:v>PLL</x:v>
      </x:c>
      <x:c r="E451" s="56" t="str">
        <x:v>RA.PL.1.5</x:v>
      </x:c>
      <x:c r="F451" s="14" t="str">
        <x:v>Schedule topic approval meeting with D&amp;I and management</x:v>
      </x:c>
      <x:c r="G451" s="5"/>
      <x:c r="H451" s="11"/>
      <x:c r="I451" s="11" t="n">
        <x:f>'Cycles &amp; Guide'!$D$12</x:f>
        <x:v>46295</x:v>
      </x:c>
      <x:c r="J451" s="11"/>
      <x:c r="K451" s="29"/>
      <x:c r="L451" s="2" t="str">
        <x:f>IF(O451=1,"Complete",IF(A451,"Checklist open",IF(H451&lt;&gt;"","In progress","Not started")))</x:f>
        <x:v>Not started</x:v>
      </x:c>
      <x:c r="M451" s="2" t="str">
        <x:v>Task</x:v>
      </x:c>
      <x:c r="N451" s="2" t="str">
        <x:v>RA.PL.1.5.2026.CY3</x:v>
      </x:c>
      <x:c r="O451" s="2" t="n">
        <x:f>R451</x:f>
        <x:v>0</x:v>
      </x:c>
      <x:c r="P451" s="2"/>
      <x:c r="Q451" s="2" t="n">
        <x:v>1</x:v>
      </x:c>
      <x:c r="R451" s="2" t="n">
        <x:f>IF(A451,1,0)</x:f>
        <x:v>0</x:v>
      </x:c>
      <x:c r="S451" s="2" t="n">
        <x:f>SUBTOTAL(103,N451)</x:f>
        <x:v>1</x:v>
      </x:c>
    </x:row>
    <x:row r="452" ht="42" customHeight="1">
      <x:c r="A452" s="28" t="b">
        <x:v>0</x:v>
      </x:c>
      <x:c r="B452" s="2" t="str">
        <x:v>Cycle 3</x:v>
      </x:c>
      <x:c r="C452" s="2" t="str">
        <x:v>Phase 1</x:v>
      </x:c>
      <x:c r="D452" s="2" t="str">
        <x:v>PLL</x:v>
      </x:c>
      <x:c r="E452" s="56" t="str">
        <x:v>RA.PL.1.6</x:v>
      </x:c>
      <x:c r="F452" s="14" t="str">
        <x:v>Present recommended topic to D&amp;I and management for approval</x:v>
      </x:c>
      <x:c r="G452" s="5"/>
      <x:c r="H452" s="11"/>
      <x:c r="I452" s="11" t="n">
        <x:f>'Cycles &amp; Guide'!$D$12</x:f>
        <x:v>46295</x:v>
      </x:c>
      <x:c r="J452" s="11"/>
      <x:c r="K452" s="29"/>
      <x:c r="L452" s="2" t="str">
        <x:f>IF(O452=1,"Complete",IF(A452,"Checklist open",IF(H452&lt;&gt;"","In progress","Not started")))</x:f>
        <x:v>Not started</x:v>
      </x:c>
      <x:c r="M452" s="2" t="str">
        <x:v>Task</x:v>
      </x:c>
      <x:c r="N452" s="2" t="str">
        <x:v>RA.PL.1.6.2026.CY3</x:v>
      </x:c>
      <x:c r="O452" s="2" t="n">
        <x:f>R452</x:f>
        <x:v>0</x:v>
      </x:c>
      <x:c r="P452" s="2"/>
      <x:c r="Q452" s="2" t="n">
        <x:v>1</x:v>
      </x:c>
      <x:c r="R452" s="2" t="n">
        <x:f>IF(A452,1,0)</x:f>
        <x:v>0</x:v>
      </x:c>
      <x:c r="S452" s="2" t="n">
        <x:f>SUBTOTAL(103,N452)</x:f>
        <x:v>1</x:v>
      </x:c>
    </x:row>
    <x:row r="453" ht="42" customHeight="1">
      <x:c r="A453" s="28" t="b">
        <x:v>0</x:v>
      </x:c>
      <x:c r="B453" s="2" t="str">
        <x:v>Cycle 3</x:v>
      </x:c>
      <x:c r="C453" s="2" t="str">
        <x:v>Phase 1</x:v>
      </x:c>
      <x:c r="D453" s="2" t="str">
        <x:v>PLL</x:v>
      </x:c>
      <x:c r="E453" s="56" t="str">
        <x:v>RA.PL.1.7</x:v>
      </x:c>
      <x:c r="F453" s="14" t="str">
        <x:v>Obtain formal topic selection approval from management via SharePoint</x:v>
      </x:c>
      <x:c r="G453" s="5"/>
      <x:c r="H453" s="11"/>
      <x:c r="I453" s="11" t="n">
        <x:f>'Cycles &amp; Guide'!$D$12</x:f>
        <x:v>46295</x:v>
      </x:c>
      <x:c r="J453" s="11"/>
      <x:c r="K453" s="29"/>
      <x:c r="L453" s="2" t="str">
        <x:f>IF(O453=1,"Complete",IF(A453,"Checklist open",IF(H453&lt;&gt;"","In progress","Not started")))</x:f>
        <x:v>Not started</x:v>
      </x:c>
      <x:c r="M453" s="2" t="str">
        <x:v>Task</x:v>
      </x:c>
      <x:c r="N453" s="2" t="str">
        <x:v>RA.PL.1.7.2026.CY3</x:v>
      </x:c>
      <x:c r="O453" s="2" t="n">
        <x:f>R453</x:f>
        <x:v>0</x:v>
      </x:c>
      <x:c r="P453" s="2"/>
      <x:c r="Q453" s="2" t="n">
        <x:v>1</x:v>
      </x:c>
      <x:c r="R453" s="2" t="n">
        <x:f>IF(A453,1,0)</x:f>
        <x:v>0</x:v>
      </x:c>
      <x:c r="S453" s="2" t="n">
        <x:f>SUBTOTAL(103,N453)</x:f>
        <x:v>1</x:v>
      </x:c>
    </x:row>
    <x:row r="454" ht="42" customHeight="1">
      <x:c r="A454" s="28" t="b">
        <x:v>0</x:v>
      </x:c>
      <x:c r="B454" s="2" t="str">
        <x:v>Cycle 3</x:v>
      </x:c>
      <x:c r="C454" s="2" t="str">
        <x:v>Phase 1</x:v>
      </x:c>
      <x:c r="D454" s="2" t="str">
        <x:v>PLL</x:v>
      </x:c>
      <x:c r="E454" s="56" t="str">
        <x:v>RA.PL.1.8</x:v>
      </x:c>
      <x:c r="F454" s="14" t="str">
        <x:v>Socialize topic selection with product owners and subject matter experts (if known)</x:v>
      </x:c>
      <x:c r="G454" s="5"/>
      <x:c r="H454" s="11"/>
      <x:c r="I454" s="11" t="n">
        <x:f>'Cycles &amp; Guide'!$D$12</x:f>
        <x:v>46295</x:v>
      </x:c>
      <x:c r="J454" s="11"/>
      <x:c r="K454" s="29"/>
      <x:c r="L454" s="2" t="str">
        <x:f>IF(O454=1,"Complete",IF(A454,"Checklist open",IF(H454&lt;&gt;"","In progress","Not started")))</x:f>
        <x:v>Not started</x:v>
      </x:c>
      <x:c r="M454" s="2" t="str">
        <x:v>Task</x:v>
      </x:c>
      <x:c r="N454" s="2" t="str">
        <x:v>RA.PL.1.8.2026.CY3</x:v>
      </x:c>
      <x:c r="O454" s="2" t="n">
        <x:f>R454</x:f>
        <x:v>0</x:v>
      </x:c>
      <x:c r="P454" s="2"/>
      <x:c r="Q454" s="2" t="n">
        <x:v>1</x:v>
      </x:c>
      <x:c r="R454" s="2" t="n">
        <x:f>IF(A454,1,0)</x:f>
        <x:v>0</x:v>
      </x:c>
      <x:c r="S454" s="2" t="n">
        <x:f>SUBTOTAL(103,N454)</x:f>
        <x:v>1</x:v>
      </x:c>
    </x:row>
    <x:row r="455" ht="42" customHeight="1">
      <x:c r="A455" s="28" t="b">
        <x:v>0</x:v>
      </x:c>
      <x:c r="B455" s="2" t="str">
        <x:v>Cycle 3</x:v>
      </x:c>
      <x:c r="C455" s="2" t="str">
        <x:v>Phase 1</x:v>
      </x:c>
      <x:c r="D455" s="2" t="str">
        <x:v>PLL</x:v>
      </x:c>
      <x:c r="E455" s="56" t="str">
        <x:v>RA.PL.1.9</x:v>
      </x:c>
      <x:c r="F455" s="14" t="str">
        <x:v>Assign topic researchers</x:v>
      </x:c>
      <x:c r="G455" s="5"/>
      <x:c r="H455" s="11"/>
      <x:c r="I455" s="11" t="n">
        <x:f>'Cycles &amp; Guide'!$D$12</x:f>
        <x:v>46295</x:v>
      </x:c>
      <x:c r="J455" s="11"/>
      <x:c r="K455" s="29"/>
      <x:c r="L455" s="2" t="str">
        <x:f>IF(O455=1,"Complete",IF(A455,"Checklist open",IF(H455&lt;&gt;"","In progress","Not started")))</x:f>
        <x:v>Not started</x:v>
      </x:c>
      <x:c r="M455" s="2" t="str">
        <x:v>Task</x:v>
      </x:c>
      <x:c r="N455" s="2" t="str">
        <x:v>RA.PL.1.9.2026.CY3</x:v>
      </x:c>
      <x:c r="O455" s="2" t="n">
        <x:f>R455</x:f>
        <x:v>0</x:v>
      </x:c>
      <x:c r="P455" s="2"/>
      <x:c r="Q455" s="2" t="n">
        <x:v>1</x:v>
      </x:c>
      <x:c r="R455" s="2" t="n">
        <x:f>IF(A455,1,0)</x:f>
        <x:v>0</x:v>
      </x:c>
      <x:c r="S455" s="2" t="n">
        <x:f>SUBTOTAL(103,N455)</x:f>
        <x:v>1</x:v>
      </x:c>
    </x:row>
    <x:row r="456" ht="42" customHeight="1">
      <x:c r="A456" s="28" t="b">
        <x:v>0</x:v>
      </x:c>
      <x:c r="B456" s="2" t="str">
        <x:v>Cycle 3</x:v>
      </x:c>
      <x:c r="C456" s="2" t="str">
        <x:v>Phase 2</x:v>
      </x:c>
      <x:c r="D456" s="2" t="str">
        <x:v>PLL</x:v>
      </x:c>
      <x:c r="E456" s="56" t="str">
        <x:v>RA.PL.2.1</x:v>
      </x:c>
      <x:c r="F456" s="14" t="str">
        <x:v>Review data sources</x:v>
      </x:c>
      <x:c r="G456" s="5"/>
      <x:c r="H456" s="11"/>
      <x:c r="I456" s="11" t="n">
        <x:f>'Cycles &amp; Guide'!$D$12</x:f>
        <x:v>46295</x:v>
      </x:c>
      <x:c r="J456" s="11"/>
      <x:c r="K456" s="29"/>
      <x:c r="L456" s="2" t="str">
        <x:f>IF(O456=1,"Complete",IF(A456,"Checklist open",IF(H456&lt;&gt;"","In progress","Not started")))</x:f>
        <x:v>Not started</x:v>
      </x:c>
      <x:c r="M456" s="2" t="str">
        <x:v>Task</x:v>
      </x:c>
      <x:c r="N456" s="2" t="str">
        <x:v>RA.PL.2.1.2026.CY3</x:v>
      </x:c>
      <x:c r="O456" s="2" t="n">
        <x:f>R456</x:f>
        <x:v>0</x:v>
      </x:c>
      <x:c r="P456" s="2"/>
      <x:c r="Q456" s="2" t="n">
        <x:v>1</x:v>
      </x:c>
      <x:c r="R456" s="2" t="n">
        <x:f>IF(A456,1,0)</x:f>
        <x:v>0</x:v>
      </x:c>
      <x:c r="S456" s="2" t="n">
        <x:f>SUBTOTAL(103,N456)</x:f>
        <x:v>1</x:v>
      </x:c>
    </x:row>
    <x:row r="457" ht="42" customHeight="1">
      <x:c r="A457" s="28" t="b">
        <x:v>0</x:v>
      </x:c>
      <x:c r="B457" s="2" t="str">
        <x:v>Cycle 3</x:v>
      </x:c>
      <x:c r="C457" s="2" t="str">
        <x:v>Phase 2</x:v>
      </x:c>
      <x:c r="D457" s="2" t="str">
        <x:v>PLL</x:v>
      </x:c>
      <x:c r="E457" s="56" t="str">
        <x:v>RA.PL.2.2</x:v>
      </x:c>
      <x:c r="F457" s="14" t="str">
        <x:v>Review relevant policies and procedures</x:v>
      </x:c>
      <x:c r="G457" s="5"/>
      <x:c r="H457" s="11"/>
      <x:c r="I457" s="11" t="n">
        <x:f>'Cycles &amp; Guide'!$D$12</x:f>
        <x:v>46295</x:v>
      </x:c>
      <x:c r="J457" s="11"/>
      <x:c r="K457" s="29"/>
      <x:c r="L457" s="2" t="str">
        <x:f>IF(O457=1,"Complete",IF(A457,"Checklist open",IF(H457&lt;&gt;"","In progress","Not started")))</x:f>
        <x:v>Not started</x:v>
      </x:c>
      <x:c r="M457" s="2" t="str">
        <x:v>Task</x:v>
      </x:c>
      <x:c r="N457" s="2" t="str">
        <x:v>RA.PL.2.2.2026.CY3</x:v>
      </x:c>
      <x:c r="O457" s="2" t="n">
        <x:f>R457</x:f>
        <x:v>0</x:v>
      </x:c>
      <x:c r="P457" s="2"/>
      <x:c r="Q457" s="2" t="n">
        <x:v>1</x:v>
      </x:c>
      <x:c r="R457" s="2" t="n">
        <x:f>IF(A457,1,0)</x:f>
        <x:v>0</x:v>
      </x:c>
      <x:c r="S457" s="2" t="n">
        <x:f>SUBTOTAL(103,N457)</x:f>
        <x:v>1</x:v>
      </x:c>
    </x:row>
    <x:row r="458" ht="42" customHeight="1">
      <x:c r="A458" s="28" t="b">
        <x:v>0</x:v>
      </x:c>
      <x:c r="B458" s="2" t="str">
        <x:v>Cycle 3</x:v>
      </x:c>
      <x:c r="C458" s="2" t="str">
        <x:v>Phase 2</x:v>
      </x:c>
      <x:c r="D458" s="2" t="str">
        <x:v>PLL</x:v>
      </x:c>
      <x:c r="E458" s="56" t="str">
        <x:v>RA.PL.2.3</x:v>
      </x:c>
      <x:c r="F458" s="14" t="str">
        <x:v>Meet with SMEs to gain business insight and clarify questions</x:v>
      </x:c>
      <x:c r="G458" s="5"/>
      <x:c r="H458" s="11"/>
      <x:c r="I458" s="11" t="n">
        <x:f>'Cycles &amp; Guide'!$D$12</x:f>
        <x:v>46295</x:v>
      </x:c>
      <x:c r="J458" s="11"/>
      <x:c r="K458" s="29"/>
      <x:c r="L458" s="2" t="str">
        <x:f>IF(O458=1,"Complete",IF(A458,"Checklist open",IF(H458&lt;&gt;"","In progress","Not started")))</x:f>
        <x:v>Not started</x:v>
      </x:c>
      <x:c r="M458" s="2" t="str">
        <x:v>Task</x:v>
      </x:c>
      <x:c r="N458" s="2" t="str">
        <x:v>RA.PL.2.3.2026.CY3</x:v>
      </x:c>
      <x:c r="O458" s="2" t="n">
        <x:f>R458</x:f>
        <x:v>0</x:v>
      </x:c>
      <x:c r="P458" s="2"/>
      <x:c r="Q458" s="2" t="n">
        <x:v>1</x:v>
      </x:c>
      <x:c r="R458" s="2" t="n">
        <x:f>IF(A458,1,0)</x:f>
        <x:v>0</x:v>
      </x:c>
      <x:c r="S458" s="2" t="n">
        <x:f>SUBTOTAL(103,N458)</x:f>
        <x:v>1</x:v>
      </x:c>
    </x:row>
    <x:row r="459" ht="42" customHeight="1">
      <x:c r="A459" s="28" t="b">
        <x:v>0</x:v>
      </x:c>
      <x:c r="B459" s="2" t="str">
        <x:v>Cycle 3</x:v>
      </x:c>
      <x:c r="C459" s="2" t="str">
        <x:v>Phase 2</x:v>
      </x:c>
      <x:c r="D459" s="2" t="str">
        <x:v>PLL</x:v>
      </x:c>
      <x:c r="E459" s="56" t="str">
        <x:v>RA.PL.2.4</x:v>
      </x:c>
      <x:c r="F459" s="14" t="str">
        <x:v>Establish and maintain a recurring meeting with D&amp;I to discuss Cycle progress</x:v>
      </x:c>
      <x:c r="G459" s="5"/>
      <x:c r="H459" s="11"/>
      <x:c r="I459" s="11" t="n">
        <x:f>'Cycles &amp; Guide'!$D$12</x:f>
        <x:v>46295</x:v>
      </x:c>
      <x:c r="J459" s="11"/>
      <x:c r="K459" s="29"/>
      <x:c r="L459" s="2" t="str">
        <x:f>IF(O459=1,"Complete",IF(A459,"Checklist open",IF(H459&lt;&gt;"","In progress","Not started")))</x:f>
        <x:v>Not started</x:v>
      </x:c>
      <x:c r="M459" s="2" t="str">
        <x:v>Task</x:v>
      </x:c>
      <x:c r="N459" s="2" t="str">
        <x:v>RA.PL.2.4.2026.CY3</x:v>
      </x:c>
      <x:c r="O459" s="2" t="n">
        <x:f>R459</x:f>
        <x:v>0</x:v>
      </x:c>
      <x:c r="P459" s="2"/>
      <x:c r="Q459" s="2" t="n">
        <x:v>1</x:v>
      </x:c>
      <x:c r="R459" s="2" t="n">
        <x:f>IF(A459,1,0)</x:f>
        <x:v>0</x:v>
      </x:c>
      <x:c r="S459" s="2" t="n">
        <x:f>SUBTOTAL(103,N459)</x:f>
        <x:v>1</x:v>
      </x:c>
    </x:row>
    <x:row r="460" ht="42" customHeight="1">
      <x:c r="A460" s="28" t="b">
        <x:v>0</x:v>
      </x:c>
      <x:c r="B460" s="2" t="str">
        <x:v>Cycle 3</x:v>
      </x:c>
      <x:c r="C460" s="2" t="str">
        <x:v>Phase 2</x:v>
      </x:c>
      <x:c r="D460" s="2" t="str">
        <x:v>PLL</x:v>
      </x:c>
      <x:c r="E460" s="56" t="str">
        <x:v>RA.PL.2.5</x:v>
      </x:c>
      <x:c r="F460" s="14" t="str">
        <x:v>Perform data testing and sampling</x:v>
      </x:c>
      <x:c r="G460" s="5"/>
      <x:c r="H460" s="11"/>
      <x:c r="I460" s="11" t="n">
        <x:f>'Cycles &amp; Guide'!$D$12</x:f>
        <x:v>46295</x:v>
      </x:c>
      <x:c r="J460" s="11"/>
      <x:c r="K460" s="29"/>
      <x:c r="L460" s="2" t="str">
        <x:f>IF(O460=1,"Complete",IF(A460,"Checklist open",IF(H460&lt;&gt;"","In progress","Not started")))</x:f>
        <x:v>Not started</x:v>
      </x:c>
      <x:c r="M460" s="2" t="str">
        <x:v>Task</x:v>
      </x:c>
      <x:c r="N460" s="2" t="str">
        <x:v>RA.PL.2.5.2026.CY3</x:v>
      </x:c>
      <x:c r="O460" s="2" t="n">
        <x:f>R460</x:f>
        <x:v>0</x:v>
      </x:c>
      <x:c r="P460" s="2"/>
      <x:c r="Q460" s="2" t="n">
        <x:v>1</x:v>
      </x:c>
      <x:c r="R460" s="2" t="n">
        <x:f>IF(A460,1,0)</x:f>
        <x:v>0</x:v>
      </x:c>
      <x:c r="S460" s="2" t="n">
        <x:f>SUBTOTAL(103,N460)</x:f>
        <x:v>1</x:v>
      </x:c>
    </x:row>
    <x:row r="461" ht="42" customHeight="1">
      <x:c r="A461" s="28" t="b">
        <x:v>0</x:v>
      </x:c>
      <x:c r="B461" s="2" t="str">
        <x:v>Cycle 3</x:v>
      </x:c>
      <x:c r="C461" s="2" t="str">
        <x:v>Phase 2</x:v>
      </x:c>
      <x:c r="D461" s="2" t="str">
        <x:v>PLL</x:v>
      </x:c>
      <x:c r="E461" s="56" t="str">
        <x:v>RA.PL.2.6</x:v>
      </x:c>
      <x:c r="F461" s="14" t="str">
        <x:v>Complete Positive Testing</x:v>
      </x:c>
      <x:c r="G461" s="5"/>
      <x:c r="H461" s="11"/>
      <x:c r="I461" s="11" t="n">
        <x:f>'Cycles &amp; Guide'!$D$12</x:f>
        <x:v>46295</x:v>
      </x:c>
      <x:c r="J461" s="11"/>
      <x:c r="K461" s="29"/>
      <x:c r="L461" s="2" t="str">
        <x:f>IF(O461=1,"Complete",IF(A461,"Checklist open",IF(H461&lt;&gt;"","In progress","Not started")))</x:f>
        <x:v>Not started</x:v>
      </x:c>
      <x:c r="M461" s="2" t="str">
        <x:v>Task</x:v>
      </x:c>
      <x:c r="N461" s="2" t="str">
        <x:v>RA.PL.2.6.2026.CY3</x:v>
      </x:c>
      <x:c r="O461" s="2" t="n">
        <x:f>R461</x:f>
        <x:v>0</x:v>
      </x:c>
      <x:c r="P461" s="2"/>
      <x:c r="Q461" s="2" t="n">
        <x:v>1</x:v>
      </x:c>
      <x:c r="R461" s="2" t="n">
        <x:f>IF(A461,1,0)</x:f>
        <x:v>0</x:v>
      </x:c>
      <x:c r="S461" s="2" t="n">
        <x:f>SUBTOTAL(103,N461)</x:f>
        <x:v>1</x:v>
      </x:c>
    </x:row>
    <x:row r="462" ht="42" customHeight="1">
      <x:c r="A462" s="28" t="b">
        <x:v>0</x:v>
      </x:c>
      <x:c r="B462" s="2" t="str">
        <x:v>Cycle 3</x:v>
      </x:c>
      <x:c r="C462" s="2" t="str">
        <x:v>Phase 2</x:v>
      </x:c>
      <x:c r="D462" s="2" t="str">
        <x:v>PLL</x:v>
      </x:c>
      <x:c r="E462" s="56" t="str">
        <x:v>RA.PL.2.7</x:v>
      </x:c>
      <x:c r="F462" s="14" t="str">
        <x:v>Complete Negative Testing</x:v>
      </x:c>
      <x:c r="G462" s="5"/>
      <x:c r="H462" s="11"/>
      <x:c r="I462" s="11" t="n">
        <x:f>'Cycles &amp; Guide'!$D$12</x:f>
        <x:v>46295</x:v>
      </x:c>
      <x:c r="J462" s="11"/>
      <x:c r="K462" s="29"/>
      <x:c r="L462" s="2" t="str">
        <x:f>IF(O462=1,"Complete",IF(A462,"Checklist open",IF(H462&lt;&gt;"","In progress","Not started")))</x:f>
        <x:v>Not started</x:v>
      </x:c>
      <x:c r="M462" s="2" t="str">
        <x:v>Task</x:v>
      </x:c>
      <x:c r="N462" s="2" t="str">
        <x:v>RA.PL.2.7.2026.CY3</x:v>
      </x:c>
      <x:c r="O462" s="2" t="n">
        <x:f>R462</x:f>
        <x:v>0</x:v>
      </x:c>
      <x:c r="P462" s="2"/>
      <x:c r="Q462" s="2" t="n">
        <x:v>1</x:v>
      </x:c>
      <x:c r="R462" s="2" t="n">
        <x:f>IF(A462,1,0)</x:f>
        <x:v>0</x:v>
      </x:c>
      <x:c r="S462" s="2" t="n">
        <x:f>SUBTOTAL(103,N462)</x:f>
        <x:v>1</x:v>
      </x:c>
    </x:row>
    <x:row r="463" ht="42" customHeight="1">
      <x:c r="A463" s="28" t="b">
        <x:v>0</x:v>
      </x:c>
      <x:c r="B463" s="2" t="str">
        <x:v>Cycle 3</x:v>
      </x:c>
      <x:c r="C463" s="2" t="str">
        <x:v>Phase 2</x:v>
      </x:c>
      <x:c r="D463" s="2" t="str">
        <x:v>PLL</x:v>
      </x:c>
      <x:c r="E463" s="56" t="str">
        <x:v>RA.PL.2.8</x:v>
      </x:c>
      <x:c r="F463" s="14" t="str">
        <x:v>Request additional data (as needed)</x:v>
      </x:c>
      <x:c r="G463" s="5"/>
      <x:c r="H463" s="11"/>
      <x:c r="I463" s="11" t="n">
        <x:f>'Cycles &amp; Guide'!$D$12</x:f>
        <x:v>46295</x:v>
      </x:c>
      <x:c r="J463" s="11"/>
      <x:c r="K463" s="29"/>
      <x:c r="L463" s="2" t="str">
        <x:f>IF(O463=1,"Complete",IF(A463,"Checklist open",IF(H463&lt;&gt;"","In progress","Not started")))</x:f>
        <x:v>Not started</x:v>
      </x:c>
      <x:c r="M463" s="2" t="str">
        <x:v>Task</x:v>
      </x:c>
      <x:c r="N463" s="2" t="str">
        <x:v>RA.PL.2.8.2026.CY3</x:v>
      </x:c>
      <x:c r="O463" s="2" t="n">
        <x:f>R463</x:f>
        <x:v>0</x:v>
      </x:c>
      <x:c r="P463" s="2"/>
      <x:c r="Q463" s="2" t="n">
        <x:v>1</x:v>
      </x:c>
      <x:c r="R463" s="2" t="n">
        <x:f>IF(A463,1,0)</x:f>
        <x:v>0</x:v>
      </x:c>
      <x:c r="S463" s="2" t="n">
        <x:f>SUBTOTAL(103,N463)</x:f>
        <x:v>1</x:v>
      </x:c>
    </x:row>
    <x:row r="464" ht="42" customHeight="1">
      <x:c r="A464" s="28" t="b">
        <x:v>0</x:v>
      </x:c>
      <x:c r="B464" s="2" t="str">
        <x:v>Cycle 3</x:v>
      </x:c>
      <x:c r="C464" s="2" t="str">
        <x:v>Phase 2</x:v>
      </x:c>
      <x:c r="D464" s="2" t="str">
        <x:v>PLL</x:v>
      </x:c>
      <x:c r="E464" s="56" t="str">
        <x:v>RA.PL.2.9</x:v>
      </x:c>
      <x:c r="F464" s="14" t="str">
        <x:v>Validate or disprove initial hypothesis assumptions</x:v>
      </x:c>
      <x:c r="G464" s="5"/>
      <x:c r="H464" s="11"/>
      <x:c r="I464" s="11" t="n">
        <x:f>'Cycles &amp; Guide'!$D$12</x:f>
        <x:v>46295</x:v>
      </x:c>
      <x:c r="J464" s="11"/>
      <x:c r="K464" s="29"/>
      <x:c r="L464" s="2" t="str">
        <x:f>IF(O464=1,"Complete",IF(A464,"Checklist open",IF(H464&lt;&gt;"","In progress","Not started")))</x:f>
        <x:v>Not started</x:v>
      </x:c>
      <x:c r="M464" s="2" t="str">
        <x:v>Task</x:v>
      </x:c>
      <x:c r="N464" s="2" t="str">
        <x:v>RA.PL.2.9.2026.CY3</x:v>
      </x:c>
      <x:c r="O464" s="2" t="n">
        <x:f>R464</x:f>
        <x:v>0</x:v>
      </x:c>
      <x:c r="P464" s="2"/>
      <x:c r="Q464" s="2" t="n">
        <x:v>1</x:v>
      </x:c>
      <x:c r="R464" s="2" t="n">
        <x:f>IF(A464,1,0)</x:f>
        <x:v>0</x:v>
      </x:c>
      <x:c r="S464" s="2" t="n">
        <x:f>SUBTOTAL(103,N464)</x:f>
        <x:v>1</x:v>
      </x:c>
    </x:row>
    <x:row r="465" ht="42" customHeight="1">
      <x:c r="A465" s="28" t="b">
        <x:v>0</x:v>
      </x:c>
      <x:c r="B465" s="2" t="str">
        <x:v>Cycle 3</x:v>
      </x:c>
      <x:c r="C465" s="2" t="str">
        <x:v>Phase 2</x:v>
      </x:c>
      <x:c r="D465" s="2" t="str">
        <x:v>PLL</x:v>
      </x:c>
      <x:c r="E465" s="56" t="str">
        <x:v>RA.PL.2.10</x:v>
      </x:c>
      <x:c r="F465" s="14" t="str">
        <x:v>Identify and confirm root cause</x:v>
      </x:c>
      <x:c r="G465" s="5"/>
      <x:c r="H465" s="11"/>
      <x:c r="I465" s="11" t="n">
        <x:f>'Cycles &amp; Guide'!$D$12</x:f>
        <x:v>46295</x:v>
      </x:c>
      <x:c r="J465" s="11"/>
      <x:c r="K465" s="29"/>
      <x:c r="L465" s="2" t="str">
        <x:f>IF(O465=1,"Complete",IF(A465,"Checklist open",IF(H465&lt;&gt;"","In progress","Not started")))</x:f>
        <x:v>Not started</x:v>
      </x:c>
      <x:c r="M465" s="2" t="str">
        <x:v>Task</x:v>
      </x:c>
      <x:c r="N465" s="2" t="str">
        <x:v>RA.PL.2.10.2026.CY3</x:v>
      </x:c>
      <x:c r="O465" s="2" t="n">
        <x:f>R465</x:f>
        <x:v>0</x:v>
      </x:c>
      <x:c r="P465" s="2"/>
      <x:c r="Q465" s="2" t="n">
        <x:v>1</x:v>
      </x:c>
      <x:c r="R465" s="2" t="n">
        <x:f>IF(A465,1,0)</x:f>
        <x:v>0</x:v>
      </x:c>
      <x:c r="S465" s="2" t="n">
        <x:f>SUBTOTAL(103,N465)</x:f>
        <x:v>1</x:v>
      </x:c>
    </x:row>
    <x:row r="466" ht="42" customHeight="1">
      <x:c r="A466" s="28" t="b">
        <x:v>0</x:v>
      </x:c>
      <x:c r="B466" s="2" t="str">
        <x:v>Cycle 3</x:v>
      </x:c>
      <x:c r="C466" s="2" t="str">
        <x:v>Phase 3</x:v>
      </x:c>
      <x:c r="D466" s="2" t="str">
        <x:v>PLL</x:v>
      </x:c>
      <x:c r="E466" s="56" t="str">
        <x:v>RA.PL.3.1</x:v>
      </x:c>
      <x:c r="F466" s="14" t="str">
        <x:v>Finalize results and supporting documentation</x:v>
      </x:c>
      <x:c r="G466" s="5"/>
      <x:c r="H466" s="11"/>
      <x:c r="I466" s="11" t="n">
        <x:f>'Cycles &amp; Guide'!$D$12</x:f>
        <x:v>46295</x:v>
      </x:c>
      <x:c r="J466" s="11"/>
      <x:c r="K466" s="29"/>
      <x:c r="L466" s="2" t="str">
        <x:f>IF(O466=1,"Complete",IF(A466,"Checklist open",IF(H466&lt;&gt;"","In progress","Not started")))</x:f>
        <x:v>Not started</x:v>
      </x:c>
      <x:c r="M466" s="2" t="str">
        <x:v>Task</x:v>
      </x:c>
      <x:c r="N466" s="2" t="str">
        <x:v>RA.PL.3.1.2026.CY3</x:v>
      </x:c>
      <x:c r="O466" s="2" t="n">
        <x:f>R466</x:f>
        <x:v>0</x:v>
      </x:c>
      <x:c r="P466" s="2"/>
      <x:c r="Q466" s="2" t="n">
        <x:v>1</x:v>
      </x:c>
      <x:c r="R466" s="2" t="n">
        <x:f>IF(A466,1,0)</x:f>
        <x:v>0</x:v>
      </x:c>
      <x:c r="S466" s="2" t="n">
        <x:f>SUBTOTAL(103,N466)</x:f>
        <x:v>1</x:v>
      </x:c>
    </x:row>
    <x:row r="467" ht="42" customHeight="1">
      <x:c r="A467" s="28" t="b">
        <x:v>0</x:v>
      </x:c>
      <x:c r="B467" s="2" t="str">
        <x:v>Cycle 3</x:v>
      </x:c>
      <x:c r="C467" s="2" t="str">
        <x:v>Phase 3</x:v>
      </x:c>
      <x:c r="D467" s="2" t="str">
        <x:v>PLL</x:v>
      </x:c>
      <x:c r="E467" s="56" t="str">
        <x:v>RA.PL.3.2</x:v>
      </x:c>
      <x:c r="F467" s="14" t="str">
        <x:v>Maintain and update the evidence package prior to handoff to D&amp;I</x:v>
      </x:c>
      <x:c r="G467" s="5"/>
      <x:c r="H467" s="11"/>
      <x:c r="I467" s="11" t="n">
        <x:f>'Cycles &amp; Guide'!$D$12</x:f>
        <x:v>46295</x:v>
      </x:c>
      <x:c r="J467" s="11"/>
      <x:c r="K467" s="29"/>
      <x:c r="L467" s="2" t="str">
        <x:f>IF(O467=1,"Complete",IF(A467,"Checklist open",IF(H467&lt;&gt;"","In progress","Not started")))</x:f>
        <x:v>Not started</x:v>
      </x:c>
      <x:c r="M467" s="2" t="str">
        <x:v>Task</x:v>
      </x:c>
      <x:c r="N467" s="2" t="str">
        <x:v>RA.PL.3.2.2026.CY3</x:v>
      </x:c>
      <x:c r="O467" s="2" t="n">
        <x:f>R467</x:f>
        <x:v>0</x:v>
      </x:c>
      <x:c r="P467" s="2"/>
      <x:c r="Q467" s="2" t="n">
        <x:v>1</x:v>
      </x:c>
      <x:c r="R467" s="2" t="n">
        <x:f>IF(A467,1,0)</x:f>
        <x:v>0</x:v>
      </x:c>
      <x:c r="S467" s="2" t="n">
        <x:f>SUBTOTAL(103,N467)</x:f>
        <x:v>1</x:v>
      </x:c>
    </x:row>
    <x:row r="468" ht="42" customHeight="1">
      <x:c r="A468" s="28" t="b">
        <x:v>0</x:v>
      </x:c>
      <x:c r="B468" s="2" t="str">
        <x:v>Cycle 3</x:v>
      </x:c>
      <x:c r="C468" s="2" t="str">
        <x:v>Phase 3</x:v>
      </x:c>
      <x:c r="D468" s="2" t="str">
        <x:v>PLL</x:v>
      </x:c>
      <x:c r="E468" s="56" t="str">
        <x:v>RA.PL.3.3</x:v>
      </x:c>
      <x:c r="F468" s="14" t="str">
        <x:v>Address any outstanding questions or requests from D&amp;I</x:v>
      </x:c>
      <x:c r="G468" s="5"/>
      <x:c r="H468" s="11"/>
      <x:c r="I468" s="11" t="n">
        <x:f>'Cycles &amp; Guide'!$D$12</x:f>
        <x:v>46295</x:v>
      </x:c>
      <x:c r="J468" s="11"/>
      <x:c r="K468" s="29"/>
      <x:c r="L468" s="2" t="str">
        <x:f>IF(O468=1,"Complete",IF(A468,"Checklist open",IF(H468&lt;&gt;"","In progress","Not started")))</x:f>
        <x:v>Not started</x:v>
      </x:c>
      <x:c r="M468" s="2" t="str">
        <x:v>Task</x:v>
      </x:c>
      <x:c r="N468" s="2" t="str">
        <x:v>RA.PL.3.3.2026.CY3</x:v>
      </x:c>
      <x:c r="O468" s="2" t="n">
        <x:f>R468</x:f>
        <x:v>0</x:v>
      </x:c>
      <x:c r="P468" s="2"/>
      <x:c r="Q468" s="2" t="n">
        <x:v>1</x:v>
      </x:c>
      <x:c r="R468" s="2" t="n">
        <x:f>IF(A468,1,0)</x:f>
        <x:v>0</x:v>
      </x:c>
      <x:c r="S468" s="2" t="n">
        <x:f>SUBTOTAL(103,N468)</x:f>
        <x:v>1</x:v>
      </x:c>
    </x:row>
    <x:row r="469" ht="42" customHeight="1">
      <x:c r="A469" s="28" t="b">
        <x:v>0</x:v>
      </x:c>
      <x:c r="B469" s="2" t="str">
        <x:v>Cycle 3</x:v>
      </x:c>
      <x:c r="C469" s="2" t="str">
        <x:v>Phase 3</x:v>
      </x:c>
      <x:c r="D469" s="2" t="str">
        <x:v>PLL</x:v>
      </x:c>
      <x:c r="E469" s="56" t="str">
        <x:v>RA.PL.3.4</x:v>
      </x:c>
      <x:c r="F469" s="14" t="str">
        <x:v>Attend Forum meeting with D&amp;I to assist with answering stakeholder questions (as needed)</x:v>
      </x:c>
      <x:c r="G469" s="5"/>
      <x:c r="H469" s="11"/>
      <x:c r="I469" s="11" t="str">
        <x:f>IF(SUMIFS('Cycles &amp; Guide'!$D$23:$D$50,'Cycles &amp; Guide'!$B$23:$B$50,B469,'Cycles &amp; Guide'!$C$23:$C$50,D469)=0,"",SUMIFS('Cycles &amp; Guide'!$D$23:$D$50,'Cycles &amp; Guide'!$B$23:$B$50,B469,'Cycles &amp; Guide'!$C$23:$C$50,D469))</x:f>
      </x:c>
      <x:c r="J469" s="11"/>
      <x:c r="K469" s="29"/>
      <x:c r="L469" s="2" t="str">
        <x:f>IF(O469=1,"Complete",IF(A469,"Checklist open",IF(H469&lt;&gt;"","In progress","Not started")))</x:f>
        <x:v>Not started</x:v>
      </x:c>
      <x:c r="M469" s="2" t="str">
        <x:v>Task</x:v>
      </x:c>
      <x:c r="N469" s="2" t="str">
        <x:v>RA.PL.3.4.2026.CY3</x:v>
      </x:c>
      <x:c r="O469" s="2" t="n">
        <x:f>R469</x:f>
        <x:v>0</x:v>
      </x:c>
      <x:c r="P469" s="2"/>
      <x:c r="Q469" s="2" t="n">
        <x:v>1</x:v>
      </x:c>
      <x:c r="R469" s="2" t="n">
        <x:f>IF(A469,1,0)</x:f>
        <x:v>0</x:v>
      </x:c>
      <x:c r="S469" s="2" t="n">
        <x:f>SUBTOTAL(103,N469)</x:f>
        <x:v>1</x:v>
      </x:c>
    </x:row>
    <x:row r="470" ht="42" customHeight="1">
      <x:c r="A470" s="28" t="b">
        <x:v>0</x:v>
      </x:c>
      <x:c r="B470" s="2" t="str">
        <x:v>Cycle 3</x:v>
      </x:c>
      <x:c r="C470" s="2" t="str">
        <x:v>Phase 1</x:v>
      </x:c>
      <x:c r="D470" s="2" t="str">
        <x:v>Retail Services</x:v>
      </x:c>
      <x:c r="E470" s="56" t="str">
        <x:v>RA.RS.1.1</x:v>
      </x:c>
      <x:c r="F470" s="14" t="str">
        <x:v>Begin Research process 2 weeks prior to Cycle start</x:v>
      </x:c>
      <x:c r="G470" s="5"/>
      <x:c r="H470" s="11"/>
      <x:c r="I470" s="11" t="n">
        <x:f>'Cycles &amp; Guide'!$C$12-14</x:f>
        <x:v>46190</x:v>
      </x:c>
      <x:c r="J470" s="11"/>
      <x:c r="K470" s="29"/>
      <x:c r="L470" s="2" t="str">
        <x:f>IF(O470=1,"Complete",IF(A470,"Checklist open",IF(H470&lt;&gt;"","In progress","Not started")))</x:f>
        <x:v>Not started</x:v>
      </x:c>
      <x:c r="M470" s="2" t="str">
        <x:v>Task</x:v>
      </x:c>
      <x:c r="N470" s="2" t="str">
        <x:v>RA.RS.1.1.2026.CY3</x:v>
      </x:c>
      <x:c r="O470" s="2" t="n">
        <x:f>R470</x:f>
        <x:v>0</x:v>
      </x:c>
      <x:c r="P470" s="2"/>
      <x:c r="Q470" s="2" t="n">
        <x:v>1</x:v>
      </x:c>
      <x:c r="R470" s="2" t="n">
        <x:f>IF(A470,1,0)</x:f>
        <x:v>0</x:v>
      </x:c>
      <x:c r="S470" s="2" t="n">
        <x:f>SUBTOTAL(103,N470)</x:f>
        <x:v>1</x:v>
      </x:c>
    </x:row>
    <x:row r="471" ht="42" customHeight="1">
      <x:c r="A471" s="28" t="b">
        <x:v>0</x:v>
      </x:c>
      <x:c r="B471" s="2" t="str">
        <x:v>Cycle 3</x:v>
      </x:c>
      <x:c r="C471" s="2" t="str">
        <x:v>Phase 1</x:v>
      </x:c>
      <x:c r="D471" s="2" t="str">
        <x:v>Retail Services</x:v>
      </x:c>
      <x:c r="E471" s="56" t="str">
        <x:v>RA.RS.1.2</x:v>
      </x:c>
      <x:c r="F471" s="14" t="str">
        <x:v>Conduct initial assessment of each topic recommendation from SharePoint list</x:v>
      </x:c>
      <x:c r="G471" s="5"/>
      <x:c r="H471" s="11"/>
      <x:c r="I471" s="11" t="n">
        <x:f>'Cycles &amp; Guide'!$D$12</x:f>
        <x:v>46295</x:v>
      </x:c>
      <x:c r="J471" s="11"/>
      <x:c r="K471" s="29"/>
      <x:c r="L471" s="2" t="str">
        <x:f>IF(O471=1,"Complete",IF(A471,"Checklist open",IF(H471&lt;&gt;"","In progress","Not started")))</x:f>
        <x:v>Not started</x:v>
      </x:c>
      <x:c r="M471" s="2" t="str">
        <x:v>Task</x:v>
      </x:c>
      <x:c r="N471" s="2" t="str">
        <x:v>RA.RS.1.2.2026.CY3</x:v>
      </x:c>
      <x:c r="O471" s="2" t="n">
        <x:f>R471</x:f>
        <x:v>0</x:v>
      </x:c>
      <x:c r="P471" s="2"/>
      <x:c r="Q471" s="2" t="n">
        <x:v>1</x:v>
      </x:c>
      <x:c r="R471" s="2" t="n">
        <x:f>IF(A471,1,0)</x:f>
        <x:v>0</x:v>
      </x:c>
      <x:c r="S471" s="2" t="n">
        <x:f>SUBTOTAL(103,N471)</x:f>
        <x:v>1</x:v>
      </x:c>
    </x:row>
    <x:row r="472" ht="42" customHeight="1">
      <x:c r="A472" s="28" t="b">
        <x:v>0</x:v>
      </x:c>
      <x:c r="B472" s="2" t="str">
        <x:v>Cycle 3</x:v>
      </x:c>
      <x:c r="C472" s="2" t="str">
        <x:v>Phase 1</x:v>
      </x:c>
      <x:c r="D472" s="2" t="str">
        <x:v>Retail Services</x:v>
      </x:c>
      <x:c r="E472" s="56" t="str">
        <x:v>RA.RS.1.3</x:v>
      </x:c>
      <x:c r="F472" s="14" t="str">
        <x:v>Identify best topic for Cycle</x:v>
      </x:c>
      <x:c r="G472" s="5"/>
      <x:c r="H472" s="11"/>
      <x:c r="I472" s="11" t="n">
        <x:f>'Cycles &amp; Guide'!$D$12</x:f>
        <x:v>46295</x:v>
      </x:c>
      <x:c r="J472" s="11"/>
      <x:c r="K472" s="29"/>
      <x:c r="L472" s="2" t="str">
        <x:f>IF(O472=1,"Complete",IF(A472,"Checklist open",IF(H472&lt;&gt;"","In progress","Not started")))</x:f>
        <x:v>Not started</x:v>
      </x:c>
      <x:c r="M472" s="2" t="str">
        <x:v>Task</x:v>
      </x:c>
      <x:c r="N472" s="2" t="str">
        <x:v>RA.RS.1.3.2026.CY3</x:v>
      </x:c>
      <x:c r="O472" s="2" t="n">
        <x:f>R472</x:f>
        <x:v>0</x:v>
      </x:c>
      <x:c r="P472" s="2"/>
      <x:c r="Q472" s="2" t="n">
        <x:v>1</x:v>
      </x:c>
      <x:c r="R472" s="2" t="n">
        <x:f>IF(A472,1,0)</x:f>
        <x:v>0</x:v>
      </x:c>
      <x:c r="S472" s="2" t="n">
        <x:f>SUBTOTAL(103,N472)</x:f>
        <x:v>1</x:v>
      </x:c>
    </x:row>
    <x:row r="473" ht="42" customHeight="1">
      <x:c r="A473" s="28" t="b">
        <x:v>0</x:v>
      </x:c>
      <x:c r="B473" s="2" t="str">
        <x:v>Cycle 3</x:v>
      </x:c>
      <x:c r="C473" s="2" t="str">
        <x:v>Phase 1</x:v>
      </x:c>
      <x:c r="D473" s="2" t="str">
        <x:v>Retail Services</x:v>
      </x:c>
      <x:c r="E473" s="56" t="str">
        <x:v>RA.RS.1.4</x:v>
      </x:c>
      <x:c r="F473" s="14" t="str">
        <x:v>Identify backup topic for Cycle</x:v>
      </x:c>
      <x:c r="G473" s="5"/>
      <x:c r="H473" s="11"/>
      <x:c r="I473" s="11" t="n">
        <x:f>'Cycles &amp; Guide'!$D$12</x:f>
        <x:v>46295</x:v>
      </x:c>
      <x:c r="J473" s="11"/>
      <x:c r="K473" s="29"/>
      <x:c r="L473" s="2" t="str">
        <x:f>IF(O473=1,"Complete",IF(A473,"Checklist open",IF(H473&lt;&gt;"","In progress","Not started")))</x:f>
        <x:v>Not started</x:v>
      </x:c>
      <x:c r="M473" s="2" t="str">
        <x:v>Task</x:v>
      </x:c>
      <x:c r="N473" s="2" t="str">
        <x:v>RA.RS.1.4.2026.CY3</x:v>
      </x:c>
      <x:c r="O473" s="2" t="n">
        <x:f>R473</x:f>
        <x:v>0</x:v>
      </x:c>
      <x:c r="P473" s="2"/>
      <x:c r="Q473" s="2" t="n">
        <x:v>1</x:v>
      </x:c>
      <x:c r="R473" s="2" t="n">
        <x:f>IF(A473,1,0)</x:f>
        <x:v>0</x:v>
      </x:c>
      <x:c r="S473" s="2" t="n">
        <x:f>SUBTOTAL(103,N473)</x:f>
        <x:v>1</x:v>
      </x:c>
    </x:row>
    <x:row r="474" ht="42" customHeight="1">
      <x:c r="A474" s="28" t="b">
        <x:v>0</x:v>
      </x:c>
      <x:c r="B474" s="2" t="str">
        <x:v>Cycle 3</x:v>
      </x:c>
      <x:c r="C474" s="2" t="str">
        <x:v>Phase 1</x:v>
      </x:c>
      <x:c r="D474" s="2" t="str">
        <x:v>Retail Services</x:v>
      </x:c>
      <x:c r="E474" s="56" t="str">
        <x:v>RA.RS.1.5</x:v>
      </x:c>
      <x:c r="F474" s="14" t="str">
        <x:v>Schedule topic approval meeting with D&amp;I and management</x:v>
      </x:c>
      <x:c r="G474" s="5"/>
      <x:c r="H474" s="11"/>
      <x:c r="I474" s="11" t="n">
        <x:f>'Cycles &amp; Guide'!$D$12</x:f>
        <x:v>46295</x:v>
      </x:c>
      <x:c r="J474" s="11"/>
      <x:c r="K474" s="29"/>
      <x:c r="L474" s="2" t="str">
        <x:f>IF(O474=1,"Complete",IF(A474,"Checklist open",IF(H474&lt;&gt;"","In progress","Not started")))</x:f>
        <x:v>Not started</x:v>
      </x:c>
      <x:c r="M474" s="2" t="str">
        <x:v>Task</x:v>
      </x:c>
      <x:c r="N474" s="2" t="str">
        <x:v>RA.RS.1.5.2026.CY3</x:v>
      </x:c>
      <x:c r="O474" s="2" t="n">
        <x:f>R474</x:f>
        <x:v>0</x:v>
      </x:c>
      <x:c r="P474" s="2"/>
      <x:c r="Q474" s="2" t="n">
        <x:v>1</x:v>
      </x:c>
      <x:c r="R474" s="2" t="n">
        <x:f>IF(A474,1,0)</x:f>
        <x:v>0</x:v>
      </x:c>
      <x:c r="S474" s="2" t="n">
        <x:f>SUBTOTAL(103,N474)</x:f>
        <x:v>1</x:v>
      </x:c>
    </x:row>
    <x:row r="475" ht="42" customHeight="1">
      <x:c r="A475" s="28" t="b">
        <x:v>0</x:v>
      </x:c>
      <x:c r="B475" s="2" t="str">
        <x:v>Cycle 3</x:v>
      </x:c>
      <x:c r="C475" s="2" t="str">
        <x:v>Phase 1</x:v>
      </x:c>
      <x:c r="D475" s="2" t="str">
        <x:v>Retail Services</x:v>
      </x:c>
      <x:c r="E475" s="56" t="str">
        <x:v>RA.RS.1.6</x:v>
      </x:c>
      <x:c r="F475" s="14" t="str">
        <x:v>Present recommended topic to D&amp;I and management for approval</x:v>
      </x:c>
      <x:c r="G475" s="5"/>
      <x:c r="H475" s="11"/>
      <x:c r="I475" s="11" t="n">
        <x:f>'Cycles &amp; Guide'!$D$12</x:f>
        <x:v>46295</x:v>
      </x:c>
      <x:c r="J475" s="11"/>
      <x:c r="K475" s="29"/>
      <x:c r="L475" s="2" t="str">
        <x:f>IF(O475=1,"Complete",IF(A475,"Checklist open",IF(H475&lt;&gt;"","In progress","Not started")))</x:f>
        <x:v>Not started</x:v>
      </x:c>
      <x:c r="M475" s="2" t="str">
        <x:v>Task</x:v>
      </x:c>
      <x:c r="N475" s="2" t="str">
        <x:v>RA.RS.1.6.2026.CY3</x:v>
      </x:c>
      <x:c r="O475" s="2" t="n">
        <x:f>R475</x:f>
        <x:v>0</x:v>
      </x:c>
      <x:c r="P475" s="2"/>
      <x:c r="Q475" s="2" t="n">
        <x:v>1</x:v>
      </x:c>
      <x:c r="R475" s="2" t="n">
        <x:f>IF(A475,1,0)</x:f>
        <x:v>0</x:v>
      </x:c>
      <x:c r="S475" s="2" t="n">
        <x:f>SUBTOTAL(103,N475)</x:f>
        <x:v>1</x:v>
      </x:c>
    </x:row>
    <x:row r="476" ht="42" customHeight="1">
      <x:c r="A476" s="28" t="b">
        <x:v>0</x:v>
      </x:c>
      <x:c r="B476" s="2" t="str">
        <x:v>Cycle 3</x:v>
      </x:c>
      <x:c r="C476" s="2" t="str">
        <x:v>Phase 1</x:v>
      </x:c>
      <x:c r="D476" s="2" t="str">
        <x:v>Retail Services</x:v>
      </x:c>
      <x:c r="E476" s="56" t="str">
        <x:v>RA.RS.1.7</x:v>
      </x:c>
      <x:c r="F476" s="14" t="str">
        <x:v>Obtain formal topic selection approval from management via SharePoint</x:v>
      </x:c>
      <x:c r="G476" s="5"/>
      <x:c r="H476" s="11"/>
      <x:c r="I476" s="11" t="n">
        <x:f>'Cycles &amp; Guide'!$D$12</x:f>
        <x:v>46295</x:v>
      </x:c>
      <x:c r="J476" s="11"/>
      <x:c r="K476" s="29"/>
      <x:c r="L476" s="2" t="str">
        <x:f>IF(O476=1,"Complete",IF(A476,"Checklist open",IF(H476&lt;&gt;"","In progress","Not started")))</x:f>
        <x:v>Not started</x:v>
      </x:c>
      <x:c r="M476" s="2" t="str">
        <x:v>Task</x:v>
      </x:c>
      <x:c r="N476" s="2" t="str">
        <x:v>RA.RS.1.7.2026.CY3</x:v>
      </x:c>
      <x:c r="O476" s="2" t="n">
        <x:f>R476</x:f>
        <x:v>0</x:v>
      </x:c>
      <x:c r="P476" s="2"/>
      <x:c r="Q476" s="2" t="n">
        <x:v>1</x:v>
      </x:c>
      <x:c r="R476" s="2" t="n">
        <x:f>IF(A476,1,0)</x:f>
        <x:v>0</x:v>
      </x:c>
      <x:c r="S476" s="2" t="n">
        <x:f>SUBTOTAL(103,N476)</x:f>
        <x:v>1</x:v>
      </x:c>
    </x:row>
    <x:row r="477" ht="42" customHeight="1">
      <x:c r="A477" s="28" t="b">
        <x:v>0</x:v>
      </x:c>
      <x:c r="B477" s="2" t="str">
        <x:v>Cycle 3</x:v>
      </x:c>
      <x:c r="C477" s="2" t="str">
        <x:v>Phase 1</x:v>
      </x:c>
      <x:c r="D477" s="2" t="str">
        <x:v>Retail Services</x:v>
      </x:c>
      <x:c r="E477" s="56" t="str">
        <x:v>RA.RS.1.8</x:v>
      </x:c>
      <x:c r="F477" s="14" t="str">
        <x:v>Socialize topic selection with product owners and subject matter experts (if known)</x:v>
      </x:c>
      <x:c r="G477" s="5"/>
      <x:c r="H477" s="11"/>
      <x:c r="I477" s="11" t="n">
        <x:f>'Cycles &amp; Guide'!$D$12</x:f>
        <x:v>46295</x:v>
      </x:c>
      <x:c r="J477" s="11"/>
      <x:c r="K477" s="29"/>
      <x:c r="L477" s="2" t="str">
        <x:f>IF(O477=1,"Complete",IF(A477,"Checklist open",IF(H477&lt;&gt;"","In progress","Not started")))</x:f>
        <x:v>Not started</x:v>
      </x:c>
      <x:c r="M477" s="2" t="str">
        <x:v>Task</x:v>
      </x:c>
      <x:c r="N477" s="2" t="str">
        <x:v>RA.RS.1.8.2026.CY3</x:v>
      </x:c>
      <x:c r="O477" s="2" t="n">
        <x:f>R477</x:f>
        <x:v>0</x:v>
      </x:c>
      <x:c r="P477" s="2"/>
      <x:c r="Q477" s="2" t="n">
        <x:v>1</x:v>
      </x:c>
      <x:c r="R477" s="2" t="n">
        <x:f>IF(A477,1,0)</x:f>
        <x:v>0</x:v>
      </x:c>
      <x:c r="S477" s="2" t="n">
        <x:f>SUBTOTAL(103,N477)</x:f>
        <x:v>1</x:v>
      </x:c>
    </x:row>
    <x:row r="478" ht="42" customHeight="1">
      <x:c r="A478" s="28" t="b">
        <x:v>0</x:v>
      </x:c>
      <x:c r="B478" s="2" t="str">
        <x:v>Cycle 3</x:v>
      </x:c>
      <x:c r="C478" s="2" t="str">
        <x:v>Phase 1</x:v>
      </x:c>
      <x:c r="D478" s="2" t="str">
        <x:v>Retail Services</x:v>
      </x:c>
      <x:c r="E478" s="56" t="str">
        <x:v>RA.RS.1.9</x:v>
      </x:c>
      <x:c r="F478" s="14" t="str">
        <x:v>Assign topic researchers</x:v>
      </x:c>
      <x:c r="G478" s="5"/>
      <x:c r="H478" s="11"/>
      <x:c r="I478" s="11" t="n">
        <x:f>'Cycles &amp; Guide'!$D$12</x:f>
        <x:v>46295</x:v>
      </x:c>
      <x:c r="J478" s="11"/>
      <x:c r="K478" s="29"/>
      <x:c r="L478" s="2" t="str">
        <x:f>IF(O478=1,"Complete",IF(A478,"Checklist open",IF(H478&lt;&gt;"","In progress","Not started")))</x:f>
        <x:v>Not started</x:v>
      </x:c>
      <x:c r="M478" s="2" t="str">
        <x:v>Task</x:v>
      </x:c>
      <x:c r="N478" s="2" t="str">
        <x:v>RA.RS.1.9.2026.CY3</x:v>
      </x:c>
      <x:c r="O478" s="2" t="n">
        <x:f>R478</x:f>
        <x:v>0</x:v>
      </x:c>
      <x:c r="P478" s="2"/>
      <x:c r="Q478" s="2" t="n">
        <x:v>1</x:v>
      </x:c>
      <x:c r="R478" s="2" t="n">
        <x:f>IF(A478,1,0)</x:f>
        <x:v>0</x:v>
      </x:c>
      <x:c r="S478" s="2" t="n">
        <x:f>SUBTOTAL(103,N478)</x:f>
        <x:v>1</x:v>
      </x:c>
    </x:row>
    <x:row r="479" ht="42" customHeight="1">
      <x:c r="A479" s="28" t="b">
        <x:v>0</x:v>
      </x:c>
      <x:c r="B479" s="2" t="str">
        <x:v>Cycle 3</x:v>
      </x:c>
      <x:c r="C479" s="2" t="str">
        <x:v>Phase 2</x:v>
      </x:c>
      <x:c r="D479" s="2" t="str">
        <x:v>Retail Services</x:v>
      </x:c>
      <x:c r="E479" s="56" t="str">
        <x:v>RA.RS.2.1</x:v>
      </x:c>
      <x:c r="F479" s="14" t="str">
        <x:v>Review data sources</x:v>
      </x:c>
      <x:c r="G479" s="5"/>
      <x:c r="H479" s="11"/>
      <x:c r="I479" s="11" t="n">
        <x:f>'Cycles &amp; Guide'!$D$12</x:f>
        <x:v>46295</x:v>
      </x:c>
      <x:c r="J479" s="11"/>
      <x:c r="K479" s="29"/>
      <x:c r="L479" s="2" t="str">
        <x:f>IF(O479=1,"Complete",IF(A479,"Checklist open",IF(H479&lt;&gt;"","In progress","Not started")))</x:f>
        <x:v>Not started</x:v>
      </x:c>
      <x:c r="M479" s="2" t="str">
        <x:v>Task</x:v>
      </x:c>
      <x:c r="N479" s="2" t="str">
        <x:v>RA.RS.2.1.2026.CY3</x:v>
      </x:c>
      <x:c r="O479" s="2" t="n">
        <x:f>R479</x:f>
        <x:v>0</x:v>
      </x:c>
      <x:c r="P479" s="2"/>
      <x:c r="Q479" s="2" t="n">
        <x:v>1</x:v>
      </x:c>
      <x:c r="R479" s="2" t="n">
        <x:f>IF(A479,1,0)</x:f>
        <x:v>0</x:v>
      </x:c>
      <x:c r="S479" s="2" t="n">
        <x:f>SUBTOTAL(103,N479)</x:f>
        <x:v>1</x:v>
      </x:c>
    </x:row>
    <x:row r="480" ht="42" customHeight="1">
      <x:c r="A480" s="28" t="b">
        <x:v>0</x:v>
      </x:c>
      <x:c r="B480" s="2" t="str">
        <x:v>Cycle 3</x:v>
      </x:c>
      <x:c r="C480" s="2" t="str">
        <x:v>Phase 2</x:v>
      </x:c>
      <x:c r="D480" s="2" t="str">
        <x:v>Retail Services</x:v>
      </x:c>
      <x:c r="E480" s="56" t="str">
        <x:v>RA.RS.2.2</x:v>
      </x:c>
      <x:c r="F480" s="14" t="str">
        <x:v>Review relevant policies and procedures</x:v>
      </x:c>
      <x:c r="G480" s="5"/>
      <x:c r="H480" s="11"/>
      <x:c r="I480" s="11" t="n">
        <x:f>'Cycles &amp; Guide'!$D$12</x:f>
        <x:v>46295</x:v>
      </x:c>
      <x:c r="J480" s="11"/>
      <x:c r="K480" s="29"/>
      <x:c r="L480" s="2" t="str">
        <x:f>IF(O480=1,"Complete",IF(A480,"Checklist open",IF(H480&lt;&gt;"","In progress","Not started")))</x:f>
        <x:v>Not started</x:v>
      </x:c>
      <x:c r="M480" s="2" t="str">
        <x:v>Task</x:v>
      </x:c>
      <x:c r="N480" s="2" t="str">
        <x:v>RA.RS.2.2.2026.CY3</x:v>
      </x:c>
      <x:c r="O480" s="2" t="n">
        <x:f>R480</x:f>
        <x:v>0</x:v>
      </x:c>
      <x:c r="P480" s="2"/>
      <x:c r="Q480" s="2" t="n">
        <x:v>1</x:v>
      </x:c>
      <x:c r="R480" s="2" t="n">
        <x:f>IF(A480,1,0)</x:f>
        <x:v>0</x:v>
      </x:c>
      <x:c r="S480" s="2" t="n">
        <x:f>SUBTOTAL(103,N480)</x:f>
        <x:v>1</x:v>
      </x:c>
    </x:row>
    <x:row r="481" ht="42" customHeight="1">
      <x:c r="A481" s="28" t="b">
        <x:v>0</x:v>
      </x:c>
      <x:c r="B481" s="2" t="str">
        <x:v>Cycle 3</x:v>
      </x:c>
      <x:c r="C481" s="2" t="str">
        <x:v>Phase 2</x:v>
      </x:c>
      <x:c r="D481" s="2" t="str">
        <x:v>Retail Services</x:v>
      </x:c>
      <x:c r="E481" s="56" t="str">
        <x:v>RA.RS.2.3</x:v>
      </x:c>
      <x:c r="F481" s="14" t="str">
        <x:v>Meet with SMEs to gain business insight and clarify questions</x:v>
      </x:c>
      <x:c r="G481" s="5"/>
      <x:c r="H481" s="11"/>
      <x:c r="I481" s="11" t="n">
        <x:f>'Cycles &amp; Guide'!$D$12</x:f>
        <x:v>46295</x:v>
      </x:c>
      <x:c r="J481" s="11"/>
      <x:c r="K481" s="29"/>
      <x:c r="L481" s="2" t="str">
        <x:f>IF(O481=1,"Complete",IF(A481,"Checklist open",IF(H481&lt;&gt;"","In progress","Not started")))</x:f>
        <x:v>Not started</x:v>
      </x:c>
      <x:c r="M481" s="2" t="str">
        <x:v>Task</x:v>
      </x:c>
      <x:c r="N481" s="2" t="str">
        <x:v>RA.RS.2.3.2026.CY3</x:v>
      </x:c>
      <x:c r="O481" s="2" t="n">
        <x:f>R481</x:f>
        <x:v>0</x:v>
      </x:c>
      <x:c r="P481" s="2"/>
      <x:c r="Q481" s="2" t="n">
        <x:v>1</x:v>
      </x:c>
      <x:c r="R481" s="2" t="n">
        <x:f>IF(A481,1,0)</x:f>
        <x:v>0</x:v>
      </x:c>
      <x:c r="S481" s="2" t="n">
        <x:f>SUBTOTAL(103,N481)</x:f>
        <x:v>1</x:v>
      </x:c>
    </x:row>
    <x:row r="482" ht="42" customHeight="1">
      <x:c r="A482" s="28" t="b">
        <x:v>0</x:v>
      </x:c>
      <x:c r="B482" s="2" t="str">
        <x:v>Cycle 3</x:v>
      </x:c>
      <x:c r="C482" s="2" t="str">
        <x:v>Phase 2</x:v>
      </x:c>
      <x:c r="D482" s="2" t="str">
        <x:v>Retail Services</x:v>
      </x:c>
      <x:c r="E482" s="56" t="str">
        <x:v>RA.RS.2.4</x:v>
      </x:c>
      <x:c r="F482" s="14" t="str">
        <x:v>Establish and maintain a recurring meeting with D&amp;I to discuss Cycle progress</x:v>
      </x:c>
      <x:c r="G482" s="5"/>
      <x:c r="H482" s="11"/>
      <x:c r="I482" s="11" t="n">
        <x:f>'Cycles &amp; Guide'!$D$12</x:f>
        <x:v>46295</x:v>
      </x:c>
      <x:c r="J482" s="11"/>
      <x:c r="K482" s="29"/>
      <x:c r="L482" s="2" t="str">
        <x:f>IF(O482=1,"Complete",IF(A482,"Checklist open",IF(H482&lt;&gt;"","In progress","Not started")))</x:f>
        <x:v>Not started</x:v>
      </x:c>
      <x:c r="M482" s="2" t="str">
        <x:v>Task</x:v>
      </x:c>
      <x:c r="N482" s="2" t="str">
        <x:v>RA.RS.2.4.2026.CY3</x:v>
      </x:c>
      <x:c r="O482" s="2" t="n">
        <x:f>R482</x:f>
        <x:v>0</x:v>
      </x:c>
      <x:c r="P482" s="2"/>
      <x:c r="Q482" s="2" t="n">
        <x:v>1</x:v>
      </x:c>
      <x:c r="R482" s="2" t="n">
        <x:f>IF(A482,1,0)</x:f>
        <x:v>0</x:v>
      </x:c>
      <x:c r="S482" s="2" t="n">
        <x:f>SUBTOTAL(103,N482)</x:f>
        <x:v>1</x:v>
      </x:c>
    </x:row>
    <x:row r="483" ht="42" customHeight="1">
      <x:c r="A483" s="28" t="b">
        <x:v>0</x:v>
      </x:c>
      <x:c r="B483" s="2" t="str">
        <x:v>Cycle 3</x:v>
      </x:c>
      <x:c r="C483" s="2" t="str">
        <x:v>Phase 2</x:v>
      </x:c>
      <x:c r="D483" s="2" t="str">
        <x:v>Retail Services</x:v>
      </x:c>
      <x:c r="E483" s="56" t="str">
        <x:v>RA.RS.2.5</x:v>
      </x:c>
      <x:c r="F483" s="14" t="str">
        <x:v>Perform data testing and sampling</x:v>
      </x:c>
      <x:c r="G483" s="5"/>
      <x:c r="H483" s="11"/>
      <x:c r="I483" s="11" t="n">
        <x:f>'Cycles &amp; Guide'!$D$12</x:f>
        <x:v>46295</x:v>
      </x:c>
      <x:c r="J483" s="11"/>
      <x:c r="K483" s="29"/>
      <x:c r="L483" s="2" t="str">
        <x:f>IF(O483=1,"Complete",IF(A483,"Checklist open",IF(H483&lt;&gt;"","In progress","Not started")))</x:f>
        <x:v>Not started</x:v>
      </x:c>
      <x:c r="M483" s="2" t="str">
        <x:v>Task</x:v>
      </x:c>
      <x:c r="N483" s="2" t="str">
        <x:v>RA.RS.2.5.2026.CY3</x:v>
      </x:c>
      <x:c r="O483" s="2" t="n">
        <x:f>R483</x:f>
        <x:v>0</x:v>
      </x:c>
      <x:c r="P483" s="2"/>
      <x:c r="Q483" s="2" t="n">
        <x:v>1</x:v>
      </x:c>
      <x:c r="R483" s="2" t="n">
        <x:f>IF(A483,1,0)</x:f>
        <x:v>0</x:v>
      </x:c>
      <x:c r="S483" s="2" t="n">
        <x:f>SUBTOTAL(103,N483)</x:f>
        <x:v>1</x:v>
      </x:c>
    </x:row>
    <x:row r="484" ht="42" customHeight="1">
      <x:c r="A484" s="28" t="b">
        <x:v>0</x:v>
      </x:c>
      <x:c r="B484" s="2" t="str">
        <x:v>Cycle 3</x:v>
      </x:c>
      <x:c r="C484" s="2" t="str">
        <x:v>Phase 2</x:v>
      </x:c>
      <x:c r="D484" s="2" t="str">
        <x:v>Retail Services</x:v>
      </x:c>
      <x:c r="E484" s="56" t="str">
        <x:v>RA.RS.2.6</x:v>
      </x:c>
      <x:c r="F484" s="14" t="str">
        <x:v>Complete Positive Testing</x:v>
      </x:c>
      <x:c r="G484" s="5"/>
      <x:c r="H484" s="11"/>
      <x:c r="I484" s="11" t="n">
        <x:f>'Cycles &amp; Guide'!$D$12</x:f>
        <x:v>46295</x:v>
      </x:c>
      <x:c r="J484" s="11"/>
      <x:c r="K484" s="29"/>
      <x:c r="L484" s="2" t="str">
        <x:f>IF(O484=1,"Complete",IF(A484,"Checklist open",IF(H484&lt;&gt;"","In progress","Not started")))</x:f>
        <x:v>Not started</x:v>
      </x:c>
      <x:c r="M484" s="2" t="str">
        <x:v>Task</x:v>
      </x:c>
      <x:c r="N484" s="2" t="str">
        <x:v>RA.RS.2.6.2026.CY3</x:v>
      </x:c>
      <x:c r="O484" s="2" t="n">
        <x:f>R484</x:f>
        <x:v>0</x:v>
      </x:c>
      <x:c r="P484" s="2"/>
      <x:c r="Q484" s="2" t="n">
        <x:v>1</x:v>
      </x:c>
      <x:c r="R484" s="2" t="n">
        <x:f>IF(A484,1,0)</x:f>
        <x:v>0</x:v>
      </x:c>
      <x:c r="S484" s="2" t="n">
        <x:f>SUBTOTAL(103,N484)</x:f>
        <x:v>1</x:v>
      </x:c>
    </x:row>
    <x:row r="485" ht="42" customHeight="1">
      <x:c r="A485" s="28" t="b">
        <x:v>0</x:v>
      </x:c>
      <x:c r="B485" s="2" t="str">
        <x:v>Cycle 3</x:v>
      </x:c>
      <x:c r="C485" s="2" t="str">
        <x:v>Phase 2</x:v>
      </x:c>
      <x:c r="D485" s="2" t="str">
        <x:v>Retail Services</x:v>
      </x:c>
      <x:c r="E485" s="56" t="str">
        <x:v>RA.RS.2.7</x:v>
      </x:c>
      <x:c r="F485" s="14" t="str">
        <x:v>Complete Negative Testing</x:v>
      </x:c>
      <x:c r="G485" s="5"/>
      <x:c r="H485" s="11"/>
      <x:c r="I485" s="11" t="n">
        <x:f>'Cycles &amp; Guide'!$D$12</x:f>
        <x:v>46295</x:v>
      </x:c>
      <x:c r="J485" s="11"/>
      <x:c r="K485" s="29"/>
      <x:c r="L485" s="2" t="str">
        <x:f>IF(O485=1,"Complete",IF(A485,"Checklist open",IF(H485&lt;&gt;"","In progress","Not started")))</x:f>
        <x:v>Not started</x:v>
      </x:c>
      <x:c r="M485" s="2" t="str">
        <x:v>Task</x:v>
      </x:c>
      <x:c r="N485" s="2" t="str">
        <x:v>RA.RS.2.7.2026.CY3</x:v>
      </x:c>
      <x:c r="O485" s="2" t="n">
        <x:f>R485</x:f>
        <x:v>0</x:v>
      </x:c>
      <x:c r="P485" s="2"/>
      <x:c r="Q485" s="2" t="n">
        <x:v>1</x:v>
      </x:c>
      <x:c r="R485" s="2" t="n">
        <x:f>IF(A485,1,0)</x:f>
        <x:v>0</x:v>
      </x:c>
      <x:c r="S485" s="2" t="n">
        <x:f>SUBTOTAL(103,N485)</x:f>
        <x:v>1</x:v>
      </x:c>
    </x:row>
    <x:row r="486" ht="42" customHeight="1">
      <x:c r="A486" s="28" t="b">
        <x:v>0</x:v>
      </x:c>
      <x:c r="B486" s="2" t="str">
        <x:v>Cycle 3</x:v>
      </x:c>
      <x:c r="C486" s="2" t="str">
        <x:v>Phase 2</x:v>
      </x:c>
      <x:c r="D486" s="2" t="str">
        <x:v>Retail Services</x:v>
      </x:c>
      <x:c r="E486" s="56" t="str">
        <x:v>RA.RS.2.8</x:v>
      </x:c>
      <x:c r="F486" s="14" t="str">
        <x:v>Request additional data (as needed)</x:v>
      </x:c>
      <x:c r="G486" s="5"/>
      <x:c r="H486" s="11"/>
      <x:c r="I486" s="11" t="n">
        <x:f>'Cycles &amp; Guide'!$D$12</x:f>
        <x:v>46295</x:v>
      </x:c>
      <x:c r="J486" s="11"/>
      <x:c r="K486" s="29"/>
      <x:c r="L486" s="2" t="str">
        <x:f>IF(O486=1,"Complete",IF(A486,"Checklist open",IF(H486&lt;&gt;"","In progress","Not started")))</x:f>
        <x:v>Not started</x:v>
      </x:c>
      <x:c r="M486" s="2" t="str">
        <x:v>Task</x:v>
      </x:c>
      <x:c r="N486" s="2" t="str">
        <x:v>RA.RS.2.8.2026.CY3</x:v>
      </x:c>
      <x:c r="O486" s="2" t="n">
        <x:f>R486</x:f>
        <x:v>0</x:v>
      </x:c>
      <x:c r="P486" s="2"/>
      <x:c r="Q486" s="2" t="n">
        <x:v>1</x:v>
      </x:c>
      <x:c r="R486" s="2" t="n">
        <x:f>IF(A486,1,0)</x:f>
        <x:v>0</x:v>
      </x:c>
      <x:c r="S486" s="2" t="n">
        <x:f>SUBTOTAL(103,N486)</x:f>
        <x:v>1</x:v>
      </x:c>
    </x:row>
    <x:row r="487" ht="42" customHeight="1">
      <x:c r="A487" s="28" t="b">
        <x:v>0</x:v>
      </x:c>
      <x:c r="B487" s="2" t="str">
        <x:v>Cycle 3</x:v>
      </x:c>
      <x:c r="C487" s="2" t="str">
        <x:v>Phase 2</x:v>
      </x:c>
      <x:c r="D487" s="2" t="str">
        <x:v>Retail Services</x:v>
      </x:c>
      <x:c r="E487" s="56" t="str">
        <x:v>RA.RS.2.9</x:v>
      </x:c>
      <x:c r="F487" s="14" t="str">
        <x:v>Validate or disprove initial hypothesis assumptions</x:v>
      </x:c>
      <x:c r="G487" s="5"/>
      <x:c r="H487" s="11"/>
      <x:c r="I487" s="11" t="n">
        <x:f>'Cycles &amp; Guide'!$D$12</x:f>
        <x:v>46295</x:v>
      </x:c>
      <x:c r="J487" s="11"/>
      <x:c r="K487" s="29"/>
      <x:c r="L487" s="2" t="str">
        <x:f>IF(O487=1,"Complete",IF(A487,"Checklist open",IF(H487&lt;&gt;"","In progress","Not started")))</x:f>
        <x:v>Not started</x:v>
      </x:c>
      <x:c r="M487" s="2" t="str">
        <x:v>Task</x:v>
      </x:c>
      <x:c r="N487" s="2" t="str">
        <x:v>RA.RS.2.9.2026.CY3</x:v>
      </x:c>
      <x:c r="O487" s="2" t="n">
        <x:f>R487</x:f>
        <x:v>0</x:v>
      </x:c>
      <x:c r="P487" s="2"/>
      <x:c r="Q487" s="2" t="n">
        <x:v>1</x:v>
      </x:c>
      <x:c r="R487" s="2" t="n">
        <x:f>IF(A487,1,0)</x:f>
        <x:v>0</x:v>
      </x:c>
      <x:c r="S487" s="2" t="n">
        <x:f>SUBTOTAL(103,N487)</x:f>
        <x:v>1</x:v>
      </x:c>
    </x:row>
    <x:row r="488" ht="42" customHeight="1">
      <x:c r="A488" s="28" t="b">
        <x:v>0</x:v>
      </x:c>
      <x:c r="B488" s="2" t="str">
        <x:v>Cycle 3</x:v>
      </x:c>
      <x:c r="C488" s="2" t="str">
        <x:v>Phase 2</x:v>
      </x:c>
      <x:c r="D488" s="2" t="str">
        <x:v>Retail Services</x:v>
      </x:c>
      <x:c r="E488" s="56" t="str">
        <x:v>RA.RS.2.10</x:v>
      </x:c>
      <x:c r="F488" s="14" t="str">
        <x:v>Identify and confirm root cause</x:v>
      </x:c>
      <x:c r="G488" s="5"/>
      <x:c r="H488" s="11"/>
      <x:c r="I488" s="11" t="n">
        <x:f>'Cycles &amp; Guide'!$D$12</x:f>
        <x:v>46295</x:v>
      </x:c>
      <x:c r="J488" s="11"/>
      <x:c r="K488" s="29"/>
      <x:c r="L488" s="2" t="str">
        <x:f>IF(O488=1,"Complete",IF(A488,"Checklist open",IF(H488&lt;&gt;"","In progress","Not started")))</x:f>
        <x:v>Not started</x:v>
      </x:c>
      <x:c r="M488" s="2" t="str">
        <x:v>Task</x:v>
      </x:c>
      <x:c r="N488" s="2" t="str">
        <x:v>RA.RS.2.10.2026.CY3</x:v>
      </x:c>
      <x:c r="O488" s="2" t="n">
        <x:f>R488</x:f>
        <x:v>0</x:v>
      </x:c>
      <x:c r="P488" s="2"/>
      <x:c r="Q488" s="2" t="n">
        <x:v>1</x:v>
      </x:c>
      <x:c r="R488" s="2" t="n">
        <x:f>IF(A488,1,0)</x:f>
        <x:v>0</x:v>
      </x:c>
      <x:c r="S488" s="2" t="n">
        <x:f>SUBTOTAL(103,N488)</x:f>
        <x:v>1</x:v>
      </x:c>
    </x:row>
    <x:row r="489" ht="42" customHeight="1">
      <x:c r="A489" s="28" t="b">
        <x:v>0</x:v>
      </x:c>
      <x:c r="B489" s="2" t="str">
        <x:v>Cycle 3</x:v>
      </x:c>
      <x:c r="C489" s="2" t="str">
        <x:v>Phase 3</x:v>
      </x:c>
      <x:c r="D489" s="2" t="str">
        <x:v>Retail Services</x:v>
      </x:c>
      <x:c r="E489" s="56" t="str">
        <x:v>RA.RS.3.1</x:v>
      </x:c>
      <x:c r="F489" s="14" t="str">
        <x:v>Finalize results and supporting documentation</x:v>
      </x:c>
      <x:c r="G489" s="5"/>
      <x:c r="H489" s="11"/>
      <x:c r="I489" s="11" t="n">
        <x:f>'Cycles &amp; Guide'!$D$12</x:f>
        <x:v>46295</x:v>
      </x:c>
      <x:c r="J489" s="11"/>
      <x:c r="K489" s="29"/>
      <x:c r="L489" s="2" t="str">
        <x:f>IF(O489=1,"Complete",IF(A489,"Checklist open",IF(H489&lt;&gt;"","In progress","Not started")))</x:f>
        <x:v>Not started</x:v>
      </x:c>
      <x:c r="M489" s="2" t="str">
        <x:v>Task</x:v>
      </x:c>
      <x:c r="N489" s="2" t="str">
        <x:v>RA.RS.3.1.2026.CY3</x:v>
      </x:c>
      <x:c r="O489" s="2" t="n">
        <x:f>R489</x:f>
        <x:v>0</x:v>
      </x:c>
      <x:c r="P489" s="2"/>
      <x:c r="Q489" s="2" t="n">
        <x:v>1</x:v>
      </x:c>
      <x:c r="R489" s="2" t="n">
        <x:f>IF(A489,1,0)</x:f>
        <x:v>0</x:v>
      </x:c>
      <x:c r="S489" s="2" t="n">
        <x:f>SUBTOTAL(103,N489)</x:f>
        <x:v>1</x:v>
      </x:c>
    </x:row>
    <x:row r="490" ht="42" customHeight="1">
      <x:c r="A490" s="28" t="b">
        <x:v>0</x:v>
      </x:c>
      <x:c r="B490" s="2" t="str">
        <x:v>Cycle 3</x:v>
      </x:c>
      <x:c r="C490" s="2" t="str">
        <x:v>Phase 3</x:v>
      </x:c>
      <x:c r="D490" s="2" t="str">
        <x:v>Retail Services</x:v>
      </x:c>
      <x:c r="E490" s="56" t="str">
        <x:v>RA.RS.3.2</x:v>
      </x:c>
      <x:c r="F490" s="14" t="str">
        <x:v>Maintain and update the evidence package prior to handoff to D&amp;I</x:v>
      </x:c>
      <x:c r="G490" s="5"/>
      <x:c r="H490" s="11"/>
      <x:c r="I490" s="11" t="n">
        <x:f>'Cycles &amp; Guide'!$D$12</x:f>
        <x:v>46295</x:v>
      </x:c>
      <x:c r="J490" s="11"/>
      <x:c r="K490" s="29"/>
      <x:c r="L490" s="2" t="str">
        <x:f>IF(O490=1,"Complete",IF(A490,"Checklist open",IF(H490&lt;&gt;"","In progress","Not started")))</x:f>
        <x:v>Not started</x:v>
      </x:c>
      <x:c r="M490" s="2" t="str">
        <x:v>Task</x:v>
      </x:c>
      <x:c r="N490" s="2" t="str">
        <x:v>RA.RS.3.2.2026.CY3</x:v>
      </x:c>
      <x:c r="O490" s="2" t="n">
        <x:f>R490</x:f>
        <x:v>0</x:v>
      </x:c>
      <x:c r="P490" s="2"/>
      <x:c r="Q490" s="2" t="n">
        <x:v>1</x:v>
      </x:c>
      <x:c r="R490" s="2" t="n">
        <x:f>IF(A490,1,0)</x:f>
        <x:v>0</x:v>
      </x:c>
      <x:c r="S490" s="2" t="n">
        <x:f>SUBTOTAL(103,N490)</x:f>
        <x:v>1</x:v>
      </x:c>
    </x:row>
    <x:row r="491" ht="42" customHeight="1">
      <x:c r="A491" s="28" t="b">
        <x:v>0</x:v>
      </x:c>
      <x:c r="B491" s="2" t="str">
        <x:v>Cycle 3</x:v>
      </x:c>
      <x:c r="C491" s="2" t="str">
        <x:v>Phase 3</x:v>
      </x:c>
      <x:c r="D491" s="2" t="str">
        <x:v>Retail Services</x:v>
      </x:c>
      <x:c r="E491" s="56" t="str">
        <x:v>RA.RS.3.3</x:v>
      </x:c>
      <x:c r="F491" s="14" t="str">
        <x:v>Address any outstanding questions or requests from D&amp;I</x:v>
      </x:c>
      <x:c r="G491" s="5"/>
      <x:c r="H491" s="11"/>
      <x:c r="I491" s="11" t="n">
        <x:f>'Cycles &amp; Guide'!$D$12</x:f>
        <x:v>46295</x:v>
      </x:c>
      <x:c r="J491" s="11"/>
      <x:c r="K491" s="29"/>
      <x:c r="L491" s="2" t="str">
        <x:f>IF(O491=1,"Complete",IF(A491,"Checklist open",IF(H491&lt;&gt;"","In progress","Not started")))</x:f>
        <x:v>Not started</x:v>
      </x:c>
      <x:c r="M491" s="2" t="str">
        <x:v>Task</x:v>
      </x:c>
      <x:c r="N491" s="2" t="str">
        <x:v>RA.RS.3.3.2026.CY3</x:v>
      </x:c>
      <x:c r="O491" s="2" t="n">
        <x:f>R491</x:f>
        <x:v>0</x:v>
      </x:c>
      <x:c r="P491" s="2"/>
      <x:c r="Q491" s="2" t="n">
        <x:v>1</x:v>
      </x:c>
      <x:c r="R491" s="2" t="n">
        <x:f>IF(A491,1,0)</x:f>
        <x:v>0</x:v>
      </x:c>
      <x:c r="S491" s="2" t="n">
        <x:f>SUBTOTAL(103,N491)</x:f>
        <x:v>1</x:v>
      </x:c>
    </x:row>
    <x:row r="492" ht="42" customHeight="1">
      <x:c r="A492" s="28" t="b">
        <x:v>0</x:v>
      </x:c>
      <x:c r="B492" s="2" t="str">
        <x:v>Cycle 3</x:v>
      </x:c>
      <x:c r="C492" s="2" t="str">
        <x:v>Phase 3</x:v>
      </x:c>
      <x:c r="D492" s="2" t="str">
        <x:v>Retail Services</x:v>
      </x:c>
      <x:c r="E492" s="56" t="str">
        <x:v>RA.RS.3.4</x:v>
      </x:c>
      <x:c r="F492" s="14" t="str">
        <x:v>Attend Forum meeting with D&amp;I to assist with answering stakeholder questions (as needed)</x:v>
      </x:c>
      <x:c r="G492" s="5"/>
      <x:c r="H492" s="11"/>
      <x:c r="I492" s="11" t="str">
        <x:f>IF(SUMIFS('Cycles &amp; Guide'!$D$23:$D$50,'Cycles &amp; Guide'!$B$23:$B$50,B492,'Cycles &amp; Guide'!$C$23:$C$50,D492)=0,"",SUMIFS('Cycles &amp; Guide'!$D$23:$D$50,'Cycles &amp; Guide'!$B$23:$B$50,B492,'Cycles &amp; Guide'!$C$23:$C$50,D492))</x:f>
      </x:c>
      <x:c r="J492" s="11"/>
      <x:c r="K492" s="29"/>
      <x:c r="L492" s="2" t="str">
        <x:f>IF(O492=1,"Complete",IF(A492,"Checklist open",IF(H492&lt;&gt;"","In progress","Not started")))</x:f>
        <x:v>Not started</x:v>
      </x:c>
      <x:c r="M492" s="2" t="str">
        <x:v>Task</x:v>
      </x:c>
      <x:c r="N492" s="2" t="str">
        <x:v>RA.RS.3.4.2026.CY3</x:v>
      </x:c>
      <x:c r="O492" s="2" t="n">
        <x:f>R492</x:f>
        <x:v>0</x:v>
      </x:c>
      <x:c r="P492" s="2"/>
      <x:c r="Q492" s="2" t="n">
        <x:v>1</x:v>
      </x:c>
      <x:c r="R492" s="2" t="n">
        <x:f>IF(A492,1,0)</x:f>
        <x:v>0</x:v>
      </x:c>
      <x:c r="S492" s="2" t="n">
        <x:f>SUBTOTAL(103,N492)</x:f>
        <x:v>1</x:v>
      </x:c>
    </x:row>
    <x:row r="493" ht="42" customHeight="1">
      <x:c r="A493" s="28" t="b">
        <x:v>0</x:v>
      </x:c>
      <x:c r="B493" s="2" t="str">
        <x:v>Cycle 4</x:v>
      </x:c>
      <x:c r="C493" s="2" t="str">
        <x:v>Phase 1</x:v>
      </x:c>
      <x:c r="D493" s="2" t="str">
        <x:v>Auto</x:v>
      </x:c>
      <x:c r="E493" s="56" t="str">
        <x:v>RA.AU.1.1</x:v>
      </x:c>
      <x:c r="F493" s="14" t="str">
        <x:v>Begin Research process 2 weeks prior to Cycle start</x:v>
      </x:c>
      <x:c r="G493" s="5"/>
      <x:c r="H493" s="11"/>
      <x:c r="I493" s="11" t="n">
        <x:f>'Cycles &amp; Guide'!$C$13-14</x:f>
        <x:v>46282</x:v>
      </x:c>
      <x:c r="J493" s="11"/>
      <x:c r="K493" s="29"/>
      <x:c r="L493" s="2" t="str">
        <x:f>IF(O493=1,"Complete",IF(A493,"Checklist open",IF(H493&lt;&gt;"","In progress","Not started")))</x:f>
        <x:v>Not started</x:v>
      </x:c>
      <x:c r="M493" s="2" t="str">
        <x:v>Task</x:v>
      </x:c>
      <x:c r="N493" s="2" t="str">
        <x:v>RA.AU.1.1.2026.CY4</x:v>
      </x:c>
      <x:c r="O493" s="2" t="n">
        <x:f>R493</x:f>
        <x:v>0</x:v>
      </x:c>
      <x:c r="P493" s="2"/>
      <x:c r="Q493" s="2" t="n">
        <x:v>1</x:v>
      </x:c>
      <x:c r="R493" s="2" t="n">
        <x:f>IF(A493,1,0)</x:f>
        <x:v>0</x:v>
      </x:c>
      <x:c r="S493" s="2" t="n">
        <x:f>SUBTOTAL(103,N493)</x:f>
        <x:v>1</x:v>
      </x:c>
    </x:row>
    <x:row r="494" ht="42" customHeight="1">
      <x:c r="A494" s="28" t="b">
        <x:v>0</x:v>
      </x:c>
      <x:c r="B494" s="2" t="str">
        <x:v>Cycle 4</x:v>
      </x:c>
      <x:c r="C494" s="2" t="str">
        <x:v>Phase 1</x:v>
      </x:c>
      <x:c r="D494" s="2" t="str">
        <x:v>Auto</x:v>
      </x:c>
      <x:c r="E494" s="56" t="str">
        <x:v>RA.AU.1.2</x:v>
      </x:c>
      <x:c r="F494" s="14" t="str">
        <x:v>Conduct initial assessment of each topic recommendation from SharePoint list</x:v>
      </x:c>
      <x:c r="G494" s="5"/>
      <x:c r="H494" s="11"/>
      <x:c r="I494" s="11" t="n">
        <x:f>'Cycles &amp; Guide'!$D$13</x:f>
        <x:v>46387</x:v>
      </x:c>
      <x:c r="J494" s="11"/>
      <x:c r="K494" s="29"/>
      <x:c r="L494" s="2" t="str">
        <x:f>IF(O494=1,"Complete",IF(A494,"Checklist open",IF(H494&lt;&gt;"","In progress","Not started")))</x:f>
        <x:v>Not started</x:v>
      </x:c>
      <x:c r="M494" s="2" t="str">
        <x:v>Task</x:v>
      </x:c>
      <x:c r="N494" s="2" t="str">
        <x:v>RA.AU.1.2.2026.CY4</x:v>
      </x:c>
      <x:c r="O494" s="2" t="n">
        <x:f>R494</x:f>
        <x:v>0</x:v>
      </x:c>
      <x:c r="P494" s="2"/>
      <x:c r="Q494" s="2" t="n">
        <x:v>1</x:v>
      </x:c>
      <x:c r="R494" s="2" t="n">
        <x:f>IF(A494,1,0)</x:f>
        <x:v>0</x:v>
      </x:c>
      <x:c r="S494" s="2" t="n">
        <x:f>SUBTOTAL(103,N494)</x:f>
        <x:v>1</x:v>
      </x:c>
    </x:row>
    <x:row r="495" ht="42" customHeight="1">
      <x:c r="A495" s="28" t="b">
        <x:v>0</x:v>
      </x:c>
      <x:c r="B495" s="2" t="str">
        <x:v>Cycle 4</x:v>
      </x:c>
      <x:c r="C495" s="2" t="str">
        <x:v>Phase 1</x:v>
      </x:c>
      <x:c r="D495" s="2" t="str">
        <x:v>Auto</x:v>
      </x:c>
      <x:c r="E495" s="56" t="str">
        <x:v>RA.AU.1.3</x:v>
      </x:c>
      <x:c r="F495" s="14" t="str">
        <x:v>Identify best topic for Cycle</x:v>
      </x:c>
      <x:c r="G495" s="5"/>
      <x:c r="H495" s="11"/>
      <x:c r="I495" s="11" t="n">
        <x:f>'Cycles &amp; Guide'!$D$13</x:f>
        <x:v>46387</x:v>
      </x:c>
      <x:c r="J495" s="11"/>
      <x:c r="K495" s="29"/>
      <x:c r="L495" s="2" t="str">
        <x:f>IF(O495=1,"Complete",IF(A495,"Checklist open",IF(H495&lt;&gt;"","In progress","Not started")))</x:f>
        <x:v>Not started</x:v>
      </x:c>
      <x:c r="M495" s="2" t="str">
        <x:v>Task</x:v>
      </x:c>
      <x:c r="N495" s="2" t="str">
        <x:v>RA.AU.1.3.2026.CY4</x:v>
      </x:c>
      <x:c r="O495" s="2" t="n">
        <x:f>R495</x:f>
        <x:v>0</x:v>
      </x:c>
      <x:c r="P495" s="2"/>
      <x:c r="Q495" s="2" t="n">
        <x:v>1</x:v>
      </x:c>
      <x:c r="R495" s="2" t="n">
        <x:f>IF(A495,1,0)</x:f>
        <x:v>0</x:v>
      </x:c>
      <x:c r="S495" s="2" t="n">
        <x:f>SUBTOTAL(103,N495)</x:f>
        <x:v>1</x:v>
      </x:c>
    </x:row>
    <x:row r="496" ht="42" customHeight="1">
      <x:c r="A496" s="28" t="b">
        <x:v>0</x:v>
      </x:c>
      <x:c r="B496" s="2" t="str">
        <x:v>Cycle 4</x:v>
      </x:c>
      <x:c r="C496" s="2" t="str">
        <x:v>Phase 1</x:v>
      </x:c>
      <x:c r="D496" s="2" t="str">
        <x:v>Auto</x:v>
      </x:c>
      <x:c r="E496" s="56" t="str">
        <x:v>RA.AU.1.4</x:v>
      </x:c>
      <x:c r="F496" s="14" t="str">
        <x:v>Identify backup topic for Cycle</x:v>
      </x:c>
      <x:c r="G496" s="5"/>
      <x:c r="H496" s="11"/>
      <x:c r="I496" s="11" t="n">
        <x:f>'Cycles &amp; Guide'!$D$13</x:f>
        <x:v>46387</x:v>
      </x:c>
      <x:c r="J496" s="11"/>
      <x:c r="K496" s="29"/>
      <x:c r="L496" s="2" t="str">
        <x:f>IF(O496=1,"Complete",IF(A496,"Checklist open",IF(H496&lt;&gt;"","In progress","Not started")))</x:f>
        <x:v>Not started</x:v>
      </x:c>
      <x:c r="M496" s="2" t="str">
        <x:v>Task</x:v>
      </x:c>
      <x:c r="N496" s="2" t="str">
        <x:v>RA.AU.1.4.2026.CY4</x:v>
      </x:c>
      <x:c r="O496" s="2" t="n">
        <x:f>R496</x:f>
        <x:v>0</x:v>
      </x:c>
      <x:c r="P496" s="2"/>
      <x:c r="Q496" s="2" t="n">
        <x:v>1</x:v>
      </x:c>
      <x:c r="R496" s="2" t="n">
        <x:f>IF(A496,1,0)</x:f>
        <x:v>0</x:v>
      </x:c>
      <x:c r="S496" s="2" t="n">
        <x:f>SUBTOTAL(103,N496)</x:f>
        <x:v>1</x:v>
      </x:c>
    </x:row>
    <x:row r="497" ht="42" customHeight="1">
      <x:c r="A497" s="28" t="b">
        <x:v>0</x:v>
      </x:c>
      <x:c r="B497" s="2" t="str">
        <x:v>Cycle 4</x:v>
      </x:c>
      <x:c r="C497" s="2" t="str">
        <x:v>Phase 1</x:v>
      </x:c>
      <x:c r="D497" s="2" t="str">
        <x:v>Auto</x:v>
      </x:c>
      <x:c r="E497" s="56" t="str">
        <x:v>RA.AU.1.5</x:v>
      </x:c>
      <x:c r="F497" s="14" t="str">
        <x:v>Schedule topic approval meeting with D&amp;I and management</x:v>
      </x:c>
      <x:c r="G497" s="5"/>
      <x:c r="H497" s="11"/>
      <x:c r="I497" s="11" t="n">
        <x:f>'Cycles &amp; Guide'!$D$13</x:f>
        <x:v>46387</x:v>
      </x:c>
      <x:c r="J497" s="11"/>
      <x:c r="K497" s="29"/>
      <x:c r="L497" s="2" t="str">
        <x:f>IF(O497=1,"Complete",IF(A497,"Checklist open",IF(H497&lt;&gt;"","In progress","Not started")))</x:f>
        <x:v>Not started</x:v>
      </x:c>
      <x:c r="M497" s="2" t="str">
        <x:v>Task</x:v>
      </x:c>
      <x:c r="N497" s="2" t="str">
        <x:v>RA.AU.1.5.2026.CY4</x:v>
      </x:c>
      <x:c r="O497" s="2" t="n">
        <x:f>R497</x:f>
        <x:v>0</x:v>
      </x:c>
      <x:c r="P497" s="2"/>
      <x:c r="Q497" s="2" t="n">
        <x:v>1</x:v>
      </x:c>
      <x:c r="R497" s="2" t="n">
        <x:f>IF(A497,1,0)</x:f>
        <x:v>0</x:v>
      </x:c>
      <x:c r="S497" s="2" t="n">
        <x:f>SUBTOTAL(103,N497)</x:f>
        <x:v>1</x:v>
      </x:c>
    </x:row>
    <x:row r="498" ht="42" customHeight="1">
      <x:c r="A498" s="28" t="b">
        <x:v>0</x:v>
      </x:c>
      <x:c r="B498" s="2" t="str">
        <x:v>Cycle 4</x:v>
      </x:c>
      <x:c r="C498" s="2" t="str">
        <x:v>Phase 1</x:v>
      </x:c>
      <x:c r="D498" s="2" t="str">
        <x:v>Auto</x:v>
      </x:c>
      <x:c r="E498" s="56" t="str">
        <x:v>RA.AU.1.6</x:v>
      </x:c>
      <x:c r="F498" s="14" t="str">
        <x:v>Present recommended topic to D&amp;I and management for approval</x:v>
      </x:c>
      <x:c r="G498" s="5"/>
      <x:c r="H498" s="11"/>
      <x:c r="I498" s="11" t="n">
        <x:f>'Cycles &amp; Guide'!$D$13</x:f>
        <x:v>46387</x:v>
      </x:c>
      <x:c r="J498" s="11"/>
      <x:c r="K498" s="29"/>
      <x:c r="L498" s="2" t="str">
        <x:f>IF(O498=1,"Complete",IF(A498,"Checklist open",IF(H498&lt;&gt;"","In progress","Not started")))</x:f>
        <x:v>Not started</x:v>
      </x:c>
      <x:c r="M498" s="2" t="str">
        <x:v>Task</x:v>
      </x:c>
      <x:c r="N498" s="2" t="str">
        <x:v>RA.AU.1.6.2026.CY4</x:v>
      </x:c>
      <x:c r="O498" s="2" t="n">
        <x:f>R498</x:f>
        <x:v>0</x:v>
      </x:c>
      <x:c r="P498" s="2"/>
      <x:c r="Q498" s="2" t="n">
        <x:v>1</x:v>
      </x:c>
      <x:c r="R498" s="2" t="n">
        <x:f>IF(A498,1,0)</x:f>
        <x:v>0</x:v>
      </x:c>
      <x:c r="S498" s="2" t="n">
        <x:f>SUBTOTAL(103,N498)</x:f>
        <x:v>1</x:v>
      </x:c>
    </x:row>
    <x:row r="499" ht="42" customHeight="1">
      <x:c r="A499" s="28" t="b">
        <x:v>0</x:v>
      </x:c>
      <x:c r="B499" s="2" t="str">
        <x:v>Cycle 4</x:v>
      </x:c>
      <x:c r="C499" s="2" t="str">
        <x:v>Phase 1</x:v>
      </x:c>
      <x:c r="D499" s="2" t="str">
        <x:v>Auto</x:v>
      </x:c>
      <x:c r="E499" s="56" t="str">
        <x:v>RA.AU.1.7</x:v>
      </x:c>
      <x:c r="F499" s="14" t="str">
        <x:v>Obtain formal topic selection approval from management via SharePoint</x:v>
      </x:c>
      <x:c r="G499" s="5"/>
      <x:c r="H499" s="11"/>
      <x:c r="I499" s="11" t="n">
        <x:f>'Cycles &amp; Guide'!$D$13</x:f>
        <x:v>46387</x:v>
      </x:c>
      <x:c r="J499" s="11"/>
      <x:c r="K499" s="29"/>
      <x:c r="L499" s="2" t="str">
        <x:f>IF(O499=1,"Complete",IF(A499,"Checklist open",IF(H499&lt;&gt;"","In progress","Not started")))</x:f>
        <x:v>Not started</x:v>
      </x:c>
      <x:c r="M499" s="2" t="str">
        <x:v>Task</x:v>
      </x:c>
      <x:c r="N499" s="2" t="str">
        <x:v>RA.AU.1.7.2026.CY4</x:v>
      </x:c>
      <x:c r="O499" s="2" t="n">
        <x:f>R499</x:f>
        <x:v>0</x:v>
      </x:c>
      <x:c r="P499" s="2"/>
      <x:c r="Q499" s="2" t="n">
        <x:v>1</x:v>
      </x:c>
      <x:c r="R499" s="2" t="n">
        <x:f>IF(A499,1,0)</x:f>
        <x:v>0</x:v>
      </x:c>
      <x:c r="S499" s="2" t="n">
        <x:f>SUBTOTAL(103,N499)</x:f>
        <x:v>1</x:v>
      </x:c>
    </x:row>
    <x:row r="500" ht="42" customHeight="1">
      <x:c r="A500" s="28" t="b">
        <x:v>0</x:v>
      </x:c>
      <x:c r="B500" s="2" t="str">
        <x:v>Cycle 4</x:v>
      </x:c>
      <x:c r="C500" s="2" t="str">
        <x:v>Phase 1</x:v>
      </x:c>
      <x:c r="D500" s="2" t="str">
        <x:v>Auto</x:v>
      </x:c>
      <x:c r="E500" s="56" t="str">
        <x:v>RA.AU.1.8</x:v>
      </x:c>
      <x:c r="F500" s="14" t="str">
        <x:v>Socialize topic selection with product owners and subject matter experts (if known)</x:v>
      </x:c>
      <x:c r="G500" s="5"/>
      <x:c r="H500" s="11"/>
      <x:c r="I500" s="11" t="n">
        <x:f>'Cycles &amp; Guide'!$D$13</x:f>
        <x:v>46387</x:v>
      </x:c>
      <x:c r="J500" s="11"/>
      <x:c r="K500" s="29"/>
      <x:c r="L500" s="2" t="str">
        <x:f>IF(O500=1,"Complete",IF(A500,"Checklist open",IF(H500&lt;&gt;"","In progress","Not started")))</x:f>
        <x:v>Not started</x:v>
      </x:c>
      <x:c r="M500" s="2" t="str">
        <x:v>Task</x:v>
      </x:c>
      <x:c r="N500" s="2" t="str">
        <x:v>RA.AU.1.8.2026.CY4</x:v>
      </x:c>
      <x:c r="O500" s="2" t="n">
        <x:f>R500</x:f>
        <x:v>0</x:v>
      </x:c>
      <x:c r="P500" s="2"/>
      <x:c r="Q500" s="2" t="n">
        <x:v>1</x:v>
      </x:c>
      <x:c r="R500" s="2" t="n">
        <x:f>IF(A500,1,0)</x:f>
        <x:v>0</x:v>
      </x:c>
      <x:c r="S500" s="2" t="n">
        <x:f>SUBTOTAL(103,N500)</x:f>
        <x:v>1</x:v>
      </x:c>
    </x:row>
    <x:row r="501" ht="42" customHeight="1">
      <x:c r="A501" s="28" t="b">
        <x:v>0</x:v>
      </x:c>
      <x:c r="B501" s="2" t="str">
        <x:v>Cycle 4</x:v>
      </x:c>
      <x:c r="C501" s="2" t="str">
        <x:v>Phase 1</x:v>
      </x:c>
      <x:c r="D501" s="2" t="str">
        <x:v>Auto</x:v>
      </x:c>
      <x:c r="E501" s="56" t="str">
        <x:v>RA.AU.1.9</x:v>
      </x:c>
      <x:c r="F501" s="14" t="str">
        <x:v>Assign topic researchers</x:v>
      </x:c>
      <x:c r="G501" s="5"/>
      <x:c r="H501" s="11"/>
      <x:c r="I501" s="11" t="n">
        <x:f>'Cycles &amp; Guide'!$D$13</x:f>
        <x:v>46387</x:v>
      </x:c>
      <x:c r="J501" s="11"/>
      <x:c r="K501" s="29"/>
      <x:c r="L501" s="2" t="str">
        <x:f>IF(O501=1,"Complete",IF(A501,"Checklist open",IF(H501&lt;&gt;"","In progress","Not started")))</x:f>
        <x:v>Not started</x:v>
      </x:c>
      <x:c r="M501" s="2" t="str">
        <x:v>Task</x:v>
      </x:c>
      <x:c r="N501" s="2" t="str">
        <x:v>RA.AU.1.9.2026.CY4</x:v>
      </x:c>
      <x:c r="O501" s="2" t="n">
        <x:f>R501</x:f>
        <x:v>0</x:v>
      </x:c>
      <x:c r="P501" s="2"/>
      <x:c r="Q501" s="2" t="n">
        <x:v>1</x:v>
      </x:c>
      <x:c r="R501" s="2" t="n">
        <x:f>IF(A501,1,0)</x:f>
        <x:v>0</x:v>
      </x:c>
      <x:c r="S501" s="2" t="n">
        <x:f>SUBTOTAL(103,N501)</x:f>
        <x:v>1</x:v>
      </x:c>
    </x:row>
    <x:row r="502" ht="42" customHeight="1">
      <x:c r="A502" s="28" t="b">
        <x:v>0</x:v>
      </x:c>
      <x:c r="B502" s="2" t="str">
        <x:v>Cycle 4</x:v>
      </x:c>
      <x:c r="C502" s="2" t="str">
        <x:v>Phase 2</x:v>
      </x:c>
      <x:c r="D502" s="2" t="str">
        <x:v>Auto</x:v>
      </x:c>
      <x:c r="E502" s="56" t="str">
        <x:v>RA.AU.2.1</x:v>
      </x:c>
      <x:c r="F502" s="14" t="str">
        <x:v>Review data sources</x:v>
      </x:c>
      <x:c r="G502" s="5"/>
      <x:c r="H502" s="11"/>
      <x:c r="I502" s="11" t="n">
        <x:f>'Cycles &amp; Guide'!$D$13</x:f>
        <x:v>46387</x:v>
      </x:c>
      <x:c r="J502" s="11"/>
      <x:c r="K502" s="29"/>
      <x:c r="L502" s="2" t="str">
        <x:f>IF(O502=1,"Complete",IF(A502,"Checklist open",IF(H502&lt;&gt;"","In progress","Not started")))</x:f>
        <x:v>Not started</x:v>
      </x:c>
      <x:c r="M502" s="2" t="str">
        <x:v>Task</x:v>
      </x:c>
      <x:c r="N502" s="2" t="str">
        <x:v>RA.AU.2.1.2026.CY4</x:v>
      </x:c>
      <x:c r="O502" s="2" t="n">
        <x:f>R502</x:f>
        <x:v>0</x:v>
      </x:c>
      <x:c r="P502" s="2"/>
      <x:c r="Q502" s="2" t="n">
        <x:v>1</x:v>
      </x:c>
      <x:c r="R502" s="2" t="n">
        <x:f>IF(A502,1,0)</x:f>
        <x:v>0</x:v>
      </x:c>
      <x:c r="S502" s="2" t="n">
        <x:f>SUBTOTAL(103,N502)</x:f>
        <x:v>1</x:v>
      </x:c>
    </x:row>
    <x:row r="503" ht="42" customHeight="1">
      <x:c r="A503" s="28" t="b">
        <x:v>0</x:v>
      </x:c>
      <x:c r="B503" s="2" t="str">
        <x:v>Cycle 4</x:v>
      </x:c>
      <x:c r="C503" s="2" t="str">
        <x:v>Phase 2</x:v>
      </x:c>
      <x:c r="D503" s="2" t="str">
        <x:v>Auto</x:v>
      </x:c>
      <x:c r="E503" s="56" t="str">
        <x:v>RA.AU.2.2</x:v>
      </x:c>
      <x:c r="F503" s="14" t="str">
        <x:v>Review relevant policies and procedures</x:v>
      </x:c>
      <x:c r="G503" s="5"/>
      <x:c r="H503" s="11"/>
      <x:c r="I503" s="11" t="n">
        <x:f>'Cycles &amp; Guide'!$D$13</x:f>
        <x:v>46387</x:v>
      </x:c>
      <x:c r="J503" s="11"/>
      <x:c r="K503" s="29"/>
      <x:c r="L503" s="2" t="str">
        <x:f>IF(O503=1,"Complete",IF(A503,"Checklist open",IF(H503&lt;&gt;"","In progress","Not started")))</x:f>
        <x:v>Not started</x:v>
      </x:c>
      <x:c r="M503" s="2" t="str">
        <x:v>Task</x:v>
      </x:c>
      <x:c r="N503" s="2" t="str">
        <x:v>RA.AU.2.2.2026.CY4</x:v>
      </x:c>
      <x:c r="O503" s="2" t="n">
        <x:f>R503</x:f>
        <x:v>0</x:v>
      </x:c>
      <x:c r="P503" s="2"/>
      <x:c r="Q503" s="2" t="n">
        <x:v>1</x:v>
      </x:c>
      <x:c r="R503" s="2" t="n">
        <x:f>IF(A503,1,0)</x:f>
        <x:v>0</x:v>
      </x:c>
      <x:c r="S503" s="2" t="n">
        <x:f>SUBTOTAL(103,N503)</x:f>
        <x:v>1</x:v>
      </x:c>
    </x:row>
    <x:row r="504" ht="42" customHeight="1">
      <x:c r="A504" s="28" t="b">
        <x:v>0</x:v>
      </x:c>
      <x:c r="B504" s="2" t="str">
        <x:v>Cycle 4</x:v>
      </x:c>
      <x:c r="C504" s="2" t="str">
        <x:v>Phase 2</x:v>
      </x:c>
      <x:c r="D504" s="2" t="str">
        <x:v>Auto</x:v>
      </x:c>
      <x:c r="E504" s="56" t="str">
        <x:v>RA.AU.2.3</x:v>
      </x:c>
      <x:c r="F504" s="14" t="str">
        <x:v>Meet with SMEs to gain business insight and clarify questions</x:v>
      </x:c>
      <x:c r="G504" s="5"/>
      <x:c r="H504" s="11"/>
      <x:c r="I504" s="11" t="n">
        <x:f>'Cycles &amp; Guide'!$D$13</x:f>
        <x:v>46387</x:v>
      </x:c>
      <x:c r="J504" s="11"/>
      <x:c r="K504" s="29"/>
      <x:c r="L504" s="2" t="str">
        <x:f>IF(O504=1,"Complete",IF(A504,"Checklist open",IF(H504&lt;&gt;"","In progress","Not started")))</x:f>
        <x:v>Not started</x:v>
      </x:c>
      <x:c r="M504" s="2" t="str">
        <x:v>Task</x:v>
      </x:c>
      <x:c r="N504" s="2" t="str">
        <x:v>RA.AU.2.3.2026.CY4</x:v>
      </x:c>
      <x:c r="O504" s="2" t="n">
        <x:f>R504</x:f>
        <x:v>0</x:v>
      </x:c>
      <x:c r="P504" s="2"/>
      <x:c r="Q504" s="2" t="n">
        <x:v>1</x:v>
      </x:c>
      <x:c r="R504" s="2" t="n">
        <x:f>IF(A504,1,0)</x:f>
        <x:v>0</x:v>
      </x:c>
      <x:c r="S504" s="2" t="n">
        <x:f>SUBTOTAL(103,N504)</x:f>
        <x:v>1</x:v>
      </x:c>
    </x:row>
    <x:row r="505" ht="42" customHeight="1">
      <x:c r="A505" s="28" t="b">
        <x:v>0</x:v>
      </x:c>
      <x:c r="B505" s="2" t="str">
        <x:v>Cycle 4</x:v>
      </x:c>
      <x:c r="C505" s="2" t="str">
        <x:v>Phase 2</x:v>
      </x:c>
      <x:c r="D505" s="2" t="str">
        <x:v>Auto</x:v>
      </x:c>
      <x:c r="E505" s="56" t="str">
        <x:v>RA.AU.2.4</x:v>
      </x:c>
      <x:c r="F505" s="14" t="str">
        <x:v>Establish and maintain a recurring meeting with D&amp;I to discuss Cycle progress</x:v>
      </x:c>
      <x:c r="G505" s="5"/>
      <x:c r="H505" s="11"/>
      <x:c r="I505" s="11" t="n">
        <x:f>'Cycles &amp; Guide'!$D$13</x:f>
        <x:v>46387</x:v>
      </x:c>
      <x:c r="J505" s="11"/>
      <x:c r="K505" s="29"/>
      <x:c r="L505" s="2" t="str">
        <x:f>IF(O505=1,"Complete",IF(A505,"Checklist open",IF(H505&lt;&gt;"","In progress","Not started")))</x:f>
        <x:v>Not started</x:v>
      </x:c>
      <x:c r="M505" s="2" t="str">
        <x:v>Task</x:v>
      </x:c>
      <x:c r="N505" s="2" t="str">
        <x:v>RA.AU.2.4.2026.CY4</x:v>
      </x:c>
      <x:c r="O505" s="2" t="n">
        <x:f>R505</x:f>
        <x:v>0</x:v>
      </x:c>
      <x:c r="P505" s="2"/>
      <x:c r="Q505" s="2" t="n">
        <x:v>1</x:v>
      </x:c>
      <x:c r="R505" s="2" t="n">
        <x:f>IF(A505,1,0)</x:f>
        <x:v>0</x:v>
      </x:c>
      <x:c r="S505" s="2" t="n">
        <x:f>SUBTOTAL(103,N505)</x:f>
        <x:v>1</x:v>
      </x:c>
    </x:row>
    <x:row r="506" ht="42" customHeight="1">
      <x:c r="A506" s="28" t="b">
        <x:v>0</x:v>
      </x:c>
      <x:c r="B506" s="2" t="str">
        <x:v>Cycle 4</x:v>
      </x:c>
      <x:c r="C506" s="2" t="str">
        <x:v>Phase 2</x:v>
      </x:c>
      <x:c r="D506" s="2" t="str">
        <x:v>Auto</x:v>
      </x:c>
      <x:c r="E506" s="56" t="str">
        <x:v>RA.AU.2.5</x:v>
      </x:c>
      <x:c r="F506" s="14" t="str">
        <x:v>Perform data testing and sampling</x:v>
      </x:c>
      <x:c r="G506" s="5"/>
      <x:c r="H506" s="11"/>
      <x:c r="I506" s="11" t="n">
        <x:f>'Cycles &amp; Guide'!$D$13</x:f>
        <x:v>46387</x:v>
      </x:c>
      <x:c r="J506" s="11"/>
      <x:c r="K506" s="29"/>
      <x:c r="L506" s="2" t="str">
        <x:f>IF(O506=1,"Complete",IF(A506,"Checklist open",IF(H506&lt;&gt;"","In progress","Not started")))</x:f>
        <x:v>Not started</x:v>
      </x:c>
      <x:c r="M506" s="2" t="str">
        <x:v>Task</x:v>
      </x:c>
      <x:c r="N506" s="2" t="str">
        <x:v>RA.AU.2.5.2026.CY4</x:v>
      </x:c>
      <x:c r="O506" s="2" t="n">
        <x:f>R506</x:f>
        <x:v>0</x:v>
      </x:c>
      <x:c r="P506" s="2"/>
      <x:c r="Q506" s="2" t="n">
        <x:v>1</x:v>
      </x:c>
      <x:c r="R506" s="2" t="n">
        <x:f>IF(A506,1,0)</x:f>
        <x:v>0</x:v>
      </x:c>
      <x:c r="S506" s="2" t="n">
        <x:f>SUBTOTAL(103,N506)</x:f>
        <x:v>1</x:v>
      </x:c>
    </x:row>
    <x:row r="507" ht="42" customHeight="1">
      <x:c r="A507" s="28" t="b">
        <x:v>0</x:v>
      </x:c>
      <x:c r="B507" s="2" t="str">
        <x:v>Cycle 4</x:v>
      </x:c>
      <x:c r="C507" s="2" t="str">
        <x:v>Phase 2</x:v>
      </x:c>
      <x:c r="D507" s="2" t="str">
        <x:v>Auto</x:v>
      </x:c>
      <x:c r="E507" s="56" t="str">
        <x:v>RA.AU.2.6</x:v>
      </x:c>
      <x:c r="F507" s="14" t="str">
        <x:v>Complete Positive Testing</x:v>
      </x:c>
      <x:c r="G507" s="5"/>
      <x:c r="H507" s="11"/>
      <x:c r="I507" s="11" t="n">
        <x:f>'Cycles &amp; Guide'!$D$13</x:f>
        <x:v>46387</x:v>
      </x:c>
      <x:c r="J507" s="11"/>
      <x:c r="K507" s="29"/>
      <x:c r="L507" s="2" t="str">
        <x:f>IF(O507=1,"Complete",IF(A507,"Checklist open",IF(H507&lt;&gt;"","In progress","Not started")))</x:f>
        <x:v>Not started</x:v>
      </x:c>
      <x:c r="M507" s="2" t="str">
        <x:v>Task</x:v>
      </x:c>
      <x:c r="N507" s="2" t="str">
        <x:v>RA.AU.2.6.2026.CY4</x:v>
      </x:c>
      <x:c r="O507" s="2" t="n">
        <x:f>R507</x:f>
        <x:v>0</x:v>
      </x:c>
      <x:c r="P507" s="2"/>
      <x:c r="Q507" s="2" t="n">
        <x:v>1</x:v>
      </x:c>
      <x:c r="R507" s="2" t="n">
        <x:f>IF(A507,1,0)</x:f>
        <x:v>0</x:v>
      </x:c>
      <x:c r="S507" s="2" t="n">
        <x:f>SUBTOTAL(103,N507)</x:f>
        <x:v>1</x:v>
      </x:c>
    </x:row>
    <x:row r="508" ht="42" customHeight="1">
      <x:c r="A508" s="28" t="b">
        <x:v>0</x:v>
      </x:c>
      <x:c r="B508" s="2" t="str">
        <x:v>Cycle 4</x:v>
      </x:c>
      <x:c r="C508" s="2" t="str">
        <x:v>Phase 2</x:v>
      </x:c>
      <x:c r="D508" s="2" t="str">
        <x:v>Auto</x:v>
      </x:c>
      <x:c r="E508" s="56" t="str">
        <x:v>RA.AU.2.7</x:v>
      </x:c>
      <x:c r="F508" s="14" t="str">
        <x:v>Complete Negative Testing</x:v>
      </x:c>
      <x:c r="G508" s="5"/>
      <x:c r="H508" s="11"/>
      <x:c r="I508" s="11" t="n">
        <x:f>'Cycles &amp; Guide'!$D$13</x:f>
        <x:v>46387</x:v>
      </x:c>
      <x:c r="J508" s="11"/>
      <x:c r="K508" s="29"/>
      <x:c r="L508" s="2" t="str">
        <x:f>IF(O508=1,"Complete",IF(A508,"Checklist open",IF(H508&lt;&gt;"","In progress","Not started")))</x:f>
        <x:v>Not started</x:v>
      </x:c>
      <x:c r="M508" s="2" t="str">
        <x:v>Task</x:v>
      </x:c>
      <x:c r="N508" s="2" t="str">
        <x:v>RA.AU.2.7.2026.CY4</x:v>
      </x:c>
      <x:c r="O508" s="2" t="n">
        <x:f>R508</x:f>
        <x:v>0</x:v>
      </x:c>
      <x:c r="P508" s="2"/>
      <x:c r="Q508" s="2" t="n">
        <x:v>1</x:v>
      </x:c>
      <x:c r="R508" s="2" t="n">
        <x:f>IF(A508,1,0)</x:f>
        <x:v>0</x:v>
      </x:c>
      <x:c r="S508" s="2" t="n">
        <x:f>SUBTOTAL(103,N508)</x:f>
        <x:v>1</x:v>
      </x:c>
    </x:row>
    <x:row r="509" ht="42" customHeight="1">
      <x:c r="A509" s="28" t="b">
        <x:v>0</x:v>
      </x:c>
      <x:c r="B509" s="2" t="str">
        <x:v>Cycle 4</x:v>
      </x:c>
      <x:c r="C509" s="2" t="str">
        <x:v>Phase 2</x:v>
      </x:c>
      <x:c r="D509" s="2" t="str">
        <x:v>Auto</x:v>
      </x:c>
      <x:c r="E509" s="56" t="str">
        <x:v>RA.AU.2.8</x:v>
      </x:c>
      <x:c r="F509" s="14" t="str">
        <x:v>Request additional data (as needed)</x:v>
      </x:c>
      <x:c r="G509" s="5"/>
      <x:c r="H509" s="11"/>
      <x:c r="I509" s="11" t="n">
        <x:f>'Cycles &amp; Guide'!$D$13</x:f>
        <x:v>46387</x:v>
      </x:c>
      <x:c r="J509" s="11"/>
      <x:c r="K509" s="29"/>
      <x:c r="L509" s="2" t="str">
        <x:f>IF(O509=1,"Complete",IF(A509,"Checklist open",IF(H509&lt;&gt;"","In progress","Not started")))</x:f>
        <x:v>Not started</x:v>
      </x:c>
      <x:c r="M509" s="2" t="str">
        <x:v>Task</x:v>
      </x:c>
      <x:c r="N509" s="2" t="str">
        <x:v>RA.AU.2.8.2026.CY4</x:v>
      </x:c>
      <x:c r="O509" s="2" t="n">
        <x:f>R509</x:f>
        <x:v>0</x:v>
      </x:c>
      <x:c r="P509" s="2"/>
      <x:c r="Q509" s="2" t="n">
        <x:v>1</x:v>
      </x:c>
      <x:c r="R509" s="2" t="n">
        <x:f>IF(A509,1,0)</x:f>
        <x:v>0</x:v>
      </x:c>
      <x:c r="S509" s="2" t="n">
        <x:f>SUBTOTAL(103,N509)</x:f>
        <x:v>1</x:v>
      </x:c>
    </x:row>
    <x:row r="510" ht="42" customHeight="1">
      <x:c r="A510" s="28" t="b">
        <x:v>0</x:v>
      </x:c>
      <x:c r="B510" s="2" t="str">
        <x:v>Cycle 4</x:v>
      </x:c>
      <x:c r="C510" s="2" t="str">
        <x:v>Phase 2</x:v>
      </x:c>
      <x:c r="D510" s="2" t="str">
        <x:v>Auto</x:v>
      </x:c>
      <x:c r="E510" s="56" t="str">
        <x:v>RA.AU.2.9</x:v>
      </x:c>
      <x:c r="F510" s="14" t="str">
        <x:v>Validate or disprove initial hypothesis assumptions</x:v>
      </x:c>
      <x:c r="G510" s="5"/>
      <x:c r="H510" s="11"/>
      <x:c r="I510" s="11" t="n">
        <x:f>'Cycles &amp; Guide'!$D$13</x:f>
        <x:v>46387</x:v>
      </x:c>
      <x:c r="J510" s="11"/>
      <x:c r="K510" s="29"/>
      <x:c r="L510" s="2" t="str">
        <x:f>IF(O510=1,"Complete",IF(A510,"Checklist open",IF(H510&lt;&gt;"","In progress","Not started")))</x:f>
        <x:v>Not started</x:v>
      </x:c>
      <x:c r="M510" s="2" t="str">
        <x:v>Task</x:v>
      </x:c>
      <x:c r="N510" s="2" t="str">
        <x:v>RA.AU.2.9.2026.CY4</x:v>
      </x:c>
      <x:c r="O510" s="2" t="n">
        <x:f>R510</x:f>
        <x:v>0</x:v>
      </x:c>
      <x:c r="P510" s="2"/>
      <x:c r="Q510" s="2" t="n">
        <x:v>1</x:v>
      </x:c>
      <x:c r="R510" s="2" t="n">
        <x:f>IF(A510,1,0)</x:f>
        <x:v>0</x:v>
      </x:c>
      <x:c r="S510" s="2" t="n">
        <x:f>SUBTOTAL(103,N510)</x:f>
        <x:v>1</x:v>
      </x:c>
    </x:row>
    <x:row r="511" ht="42" customHeight="1">
      <x:c r="A511" s="28" t="b">
        <x:v>0</x:v>
      </x:c>
      <x:c r="B511" s="2" t="str">
        <x:v>Cycle 4</x:v>
      </x:c>
      <x:c r="C511" s="2" t="str">
        <x:v>Phase 2</x:v>
      </x:c>
      <x:c r="D511" s="2" t="str">
        <x:v>Auto</x:v>
      </x:c>
      <x:c r="E511" s="56" t="str">
        <x:v>RA.AU.2.10</x:v>
      </x:c>
      <x:c r="F511" s="14" t="str">
        <x:v>Identify and confirm root cause</x:v>
      </x:c>
      <x:c r="G511" s="5"/>
      <x:c r="H511" s="11"/>
      <x:c r="I511" s="11" t="n">
        <x:f>'Cycles &amp; Guide'!$D$13</x:f>
        <x:v>46387</x:v>
      </x:c>
      <x:c r="J511" s="11"/>
      <x:c r="K511" s="29"/>
      <x:c r="L511" s="2" t="str">
        <x:f>IF(O511=1,"Complete",IF(A511,"Checklist open",IF(H511&lt;&gt;"","In progress","Not started")))</x:f>
        <x:v>Not started</x:v>
      </x:c>
      <x:c r="M511" s="2" t="str">
        <x:v>Task</x:v>
      </x:c>
      <x:c r="N511" s="2" t="str">
        <x:v>RA.AU.2.10.2026.CY4</x:v>
      </x:c>
      <x:c r="O511" s="2" t="n">
        <x:f>R511</x:f>
        <x:v>0</x:v>
      </x:c>
      <x:c r="P511" s="2"/>
      <x:c r="Q511" s="2" t="n">
        <x:v>1</x:v>
      </x:c>
      <x:c r="R511" s="2" t="n">
        <x:f>IF(A511,1,0)</x:f>
        <x:v>0</x:v>
      </x:c>
      <x:c r="S511" s="2" t="n">
        <x:f>SUBTOTAL(103,N511)</x:f>
        <x:v>1</x:v>
      </x:c>
    </x:row>
    <x:row r="512" ht="42" customHeight="1">
      <x:c r="A512" s="28" t="b">
        <x:v>0</x:v>
      </x:c>
      <x:c r="B512" s="2" t="str">
        <x:v>Cycle 4</x:v>
      </x:c>
      <x:c r="C512" s="2" t="str">
        <x:v>Phase 3</x:v>
      </x:c>
      <x:c r="D512" s="2" t="str">
        <x:v>Auto</x:v>
      </x:c>
      <x:c r="E512" s="56" t="str">
        <x:v>RA.AU.3.1</x:v>
      </x:c>
      <x:c r="F512" s="14" t="str">
        <x:v>Finalize results and supporting documentation</x:v>
      </x:c>
      <x:c r="G512" s="5"/>
      <x:c r="H512" s="11"/>
      <x:c r="I512" s="11" t="n">
        <x:f>'Cycles &amp; Guide'!$D$13</x:f>
        <x:v>46387</x:v>
      </x:c>
      <x:c r="J512" s="11"/>
      <x:c r="K512" s="29"/>
      <x:c r="L512" s="2" t="str">
        <x:f>IF(O512=1,"Complete",IF(A512,"Checklist open",IF(H512&lt;&gt;"","In progress","Not started")))</x:f>
        <x:v>Not started</x:v>
      </x:c>
      <x:c r="M512" s="2" t="str">
        <x:v>Task</x:v>
      </x:c>
      <x:c r="N512" s="2" t="str">
        <x:v>RA.AU.3.1.2026.CY4</x:v>
      </x:c>
      <x:c r="O512" s="2" t="n">
        <x:f>R512</x:f>
        <x:v>0</x:v>
      </x:c>
      <x:c r="P512" s="2"/>
      <x:c r="Q512" s="2" t="n">
        <x:v>1</x:v>
      </x:c>
      <x:c r="R512" s="2" t="n">
        <x:f>IF(A512,1,0)</x:f>
        <x:v>0</x:v>
      </x:c>
      <x:c r="S512" s="2" t="n">
        <x:f>SUBTOTAL(103,N512)</x:f>
        <x:v>1</x:v>
      </x:c>
    </x:row>
    <x:row r="513" ht="42" customHeight="1">
      <x:c r="A513" s="28" t="b">
        <x:v>0</x:v>
      </x:c>
      <x:c r="B513" s="2" t="str">
        <x:v>Cycle 4</x:v>
      </x:c>
      <x:c r="C513" s="2" t="str">
        <x:v>Phase 3</x:v>
      </x:c>
      <x:c r="D513" s="2" t="str">
        <x:v>Auto</x:v>
      </x:c>
      <x:c r="E513" s="56" t="str">
        <x:v>RA.AU.3.2</x:v>
      </x:c>
      <x:c r="F513" s="14" t="str">
        <x:v>Maintain and update the evidence package prior to handoff to D&amp;I</x:v>
      </x:c>
      <x:c r="G513" s="5"/>
      <x:c r="H513" s="11"/>
      <x:c r="I513" s="11" t="n">
        <x:f>'Cycles &amp; Guide'!$D$13</x:f>
        <x:v>46387</x:v>
      </x:c>
      <x:c r="J513" s="11"/>
      <x:c r="K513" s="29"/>
      <x:c r="L513" s="2" t="str">
        <x:f>IF(O513=1,"Complete",IF(A513,"Checklist open",IF(H513&lt;&gt;"","In progress","Not started")))</x:f>
        <x:v>Not started</x:v>
      </x:c>
      <x:c r="M513" s="2" t="str">
        <x:v>Task</x:v>
      </x:c>
      <x:c r="N513" s="2" t="str">
        <x:v>RA.AU.3.2.2026.CY4</x:v>
      </x:c>
      <x:c r="O513" s="2" t="n">
        <x:f>R513</x:f>
        <x:v>0</x:v>
      </x:c>
      <x:c r="P513" s="2"/>
      <x:c r="Q513" s="2" t="n">
        <x:v>1</x:v>
      </x:c>
      <x:c r="R513" s="2" t="n">
        <x:f>IF(A513,1,0)</x:f>
        <x:v>0</x:v>
      </x:c>
      <x:c r="S513" s="2" t="n">
        <x:f>SUBTOTAL(103,N513)</x:f>
        <x:v>1</x:v>
      </x:c>
    </x:row>
    <x:row r="514" ht="42" customHeight="1">
      <x:c r="A514" s="28" t="b">
        <x:v>0</x:v>
      </x:c>
      <x:c r="B514" s="2" t="str">
        <x:v>Cycle 4</x:v>
      </x:c>
      <x:c r="C514" s="2" t="str">
        <x:v>Phase 3</x:v>
      </x:c>
      <x:c r="D514" s="2" t="str">
        <x:v>Auto</x:v>
      </x:c>
      <x:c r="E514" s="56" t="str">
        <x:v>RA.AU.3.3</x:v>
      </x:c>
      <x:c r="F514" s="14" t="str">
        <x:v>Address any outstanding questions or requests from D&amp;I</x:v>
      </x:c>
      <x:c r="G514" s="5"/>
      <x:c r="H514" s="11"/>
      <x:c r="I514" s="11" t="n">
        <x:f>'Cycles &amp; Guide'!$D$13</x:f>
        <x:v>46387</x:v>
      </x:c>
      <x:c r="J514" s="11"/>
      <x:c r="K514" s="29"/>
      <x:c r="L514" s="2" t="str">
        <x:f>IF(O514=1,"Complete",IF(A514,"Checklist open",IF(H514&lt;&gt;"","In progress","Not started")))</x:f>
        <x:v>Not started</x:v>
      </x:c>
      <x:c r="M514" s="2" t="str">
        <x:v>Task</x:v>
      </x:c>
      <x:c r="N514" s="2" t="str">
        <x:v>RA.AU.3.3.2026.CY4</x:v>
      </x:c>
      <x:c r="O514" s="2" t="n">
        <x:f>R514</x:f>
        <x:v>0</x:v>
      </x:c>
      <x:c r="P514" s="2"/>
      <x:c r="Q514" s="2" t="n">
        <x:v>1</x:v>
      </x:c>
      <x:c r="R514" s="2" t="n">
        <x:f>IF(A514,1,0)</x:f>
        <x:v>0</x:v>
      </x:c>
      <x:c r="S514" s="2" t="n">
        <x:f>SUBTOTAL(103,N514)</x:f>
        <x:v>1</x:v>
      </x:c>
    </x:row>
    <x:row r="515" ht="42" customHeight="1">
      <x:c r="A515" s="28" t="b">
        <x:v>0</x:v>
      </x:c>
      <x:c r="B515" s="2" t="str">
        <x:v>Cycle 4</x:v>
      </x:c>
      <x:c r="C515" s="2" t="str">
        <x:v>Phase 3</x:v>
      </x:c>
      <x:c r="D515" s="2" t="str">
        <x:v>Auto</x:v>
      </x:c>
      <x:c r="E515" s="56" t="str">
        <x:v>RA.AU.3.4</x:v>
      </x:c>
      <x:c r="F515" s="14" t="str">
        <x:v>Attend Forum meeting with D&amp;I to assist with answering stakeholder questions (as needed)</x:v>
      </x:c>
      <x:c r="G515" s="5"/>
      <x:c r="H515" s="11"/>
      <x:c r="I515" s="11" t="str">
        <x:f>IF(SUMIFS('Cycles &amp; Guide'!$D$23:$D$50,'Cycles &amp; Guide'!$B$23:$B$50,B515,'Cycles &amp; Guide'!$C$23:$C$50,D515)=0,"",SUMIFS('Cycles &amp; Guide'!$D$23:$D$50,'Cycles &amp; Guide'!$B$23:$B$50,B515,'Cycles &amp; Guide'!$C$23:$C$50,D515))</x:f>
      </x:c>
      <x:c r="J515" s="11"/>
      <x:c r="K515" s="29"/>
      <x:c r="L515" s="2" t="str">
        <x:f>IF(O515=1,"Complete",IF(A515,"Checklist open",IF(H515&lt;&gt;"","In progress","Not started")))</x:f>
        <x:v>Not started</x:v>
      </x:c>
      <x:c r="M515" s="2" t="str">
        <x:v>Task</x:v>
      </x:c>
      <x:c r="N515" s="2" t="str">
        <x:v>RA.AU.3.4.2026.CY4</x:v>
      </x:c>
      <x:c r="O515" s="2" t="n">
        <x:f>R515</x:f>
        <x:v>0</x:v>
      </x:c>
      <x:c r="P515" s="2"/>
      <x:c r="Q515" s="2" t="n">
        <x:v>1</x:v>
      </x:c>
      <x:c r="R515" s="2" t="n">
        <x:f>IF(A515,1,0)</x:f>
        <x:v>0</x:v>
      </x:c>
      <x:c r="S515" s="2" t="n">
        <x:f>SUBTOTAL(103,N515)</x:f>
        <x:v>1</x:v>
      </x:c>
    </x:row>
    <x:row r="516" ht="42" customHeight="1">
      <x:c r="A516" s="28" t="b">
        <x:v>0</x:v>
      </x:c>
      <x:c r="B516" s="2" t="str">
        <x:v>Cycle 4</x:v>
      </x:c>
      <x:c r="C516" s="2" t="str">
        <x:v>Phase 1</x:v>
      </x:c>
      <x:c r="D516" s="2" t="str">
        <x:v>Cards</x:v>
      </x:c>
      <x:c r="E516" s="56" t="str">
        <x:v>RA.CA.1.1</x:v>
      </x:c>
      <x:c r="F516" s="14" t="str">
        <x:v>Begin Research process 2 weeks prior to Cycle start</x:v>
      </x:c>
      <x:c r="G516" s="5"/>
      <x:c r="H516" s="11"/>
      <x:c r="I516" s="11" t="n">
        <x:f>'Cycles &amp; Guide'!$C$13-14</x:f>
        <x:v>46282</x:v>
      </x:c>
      <x:c r="J516" s="11"/>
      <x:c r="K516" s="29"/>
      <x:c r="L516" s="2" t="str">
        <x:f>IF(O516=1,"Complete",IF(A516,"Checklist open",IF(H516&lt;&gt;"","In progress","Not started")))</x:f>
        <x:v>Not started</x:v>
      </x:c>
      <x:c r="M516" s="2" t="str">
        <x:v>Task</x:v>
      </x:c>
      <x:c r="N516" s="2" t="str">
        <x:v>RA.CA.1.1.2026.CY4</x:v>
      </x:c>
      <x:c r="O516" s="2" t="n">
        <x:f>R516</x:f>
        <x:v>0</x:v>
      </x:c>
      <x:c r="P516" s="2"/>
      <x:c r="Q516" s="2" t="n">
        <x:v>1</x:v>
      </x:c>
      <x:c r="R516" s="2" t="n">
        <x:f>IF(A516,1,0)</x:f>
        <x:v>0</x:v>
      </x:c>
      <x:c r="S516" s="2" t="n">
        <x:f>SUBTOTAL(103,N516)</x:f>
        <x:v>1</x:v>
      </x:c>
    </x:row>
    <x:row r="517" ht="42" customHeight="1">
      <x:c r="A517" s="28" t="b">
        <x:v>0</x:v>
      </x:c>
      <x:c r="B517" s="2" t="str">
        <x:v>Cycle 4</x:v>
      </x:c>
      <x:c r="C517" s="2" t="str">
        <x:v>Phase 1</x:v>
      </x:c>
      <x:c r="D517" s="2" t="str">
        <x:v>Cards</x:v>
      </x:c>
      <x:c r="E517" s="56" t="str">
        <x:v>RA.CA.1.2</x:v>
      </x:c>
      <x:c r="F517" s="14" t="str">
        <x:v>Conduct initial assessment of each topic recommendation from SharePoint list</x:v>
      </x:c>
      <x:c r="G517" s="5"/>
      <x:c r="H517" s="11"/>
      <x:c r="I517" s="11" t="n">
        <x:f>'Cycles &amp; Guide'!$D$13</x:f>
        <x:v>46387</x:v>
      </x:c>
      <x:c r="J517" s="11"/>
      <x:c r="K517" s="29"/>
      <x:c r="L517" s="2" t="str">
        <x:f>IF(O517=1,"Complete",IF(A517,"Checklist open",IF(H517&lt;&gt;"","In progress","Not started")))</x:f>
        <x:v>Not started</x:v>
      </x:c>
      <x:c r="M517" s="2" t="str">
        <x:v>Task</x:v>
      </x:c>
      <x:c r="N517" s="2" t="str">
        <x:v>RA.CA.1.2.2026.CY4</x:v>
      </x:c>
      <x:c r="O517" s="2" t="n">
        <x:f>R517</x:f>
        <x:v>0</x:v>
      </x:c>
      <x:c r="P517" s="2"/>
      <x:c r="Q517" s="2" t="n">
        <x:v>1</x:v>
      </x:c>
      <x:c r="R517" s="2" t="n">
        <x:f>IF(A517,1,0)</x:f>
        <x:v>0</x:v>
      </x:c>
      <x:c r="S517" s="2" t="n">
        <x:f>SUBTOTAL(103,N517)</x:f>
        <x:v>1</x:v>
      </x:c>
    </x:row>
    <x:row r="518" ht="42" customHeight="1">
      <x:c r="A518" s="28" t="b">
        <x:v>0</x:v>
      </x:c>
      <x:c r="B518" s="2" t="str">
        <x:v>Cycle 4</x:v>
      </x:c>
      <x:c r="C518" s="2" t="str">
        <x:v>Phase 1</x:v>
      </x:c>
      <x:c r="D518" s="2" t="str">
        <x:v>Cards</x:v>
      </x:c>
      <x:c r="E518" s="56" t="str">
        <x:v>RA.CA.1.3</x:v>
      </x:c>
      <x:c r="F518" s="14" t="str">
        <x:v>Identify best topic for Cycle</x:v>
      </x:c>
      <x:c r="G518" s="5"/>
      <x:c r="H518" s="11"/>
      <x:c r="I518" s="11" t="n">
        <x:f>'Cycles &amp; Guide'!$D$13</x:f>
        <x:v>46387</x:v>
      </x:c>
      <x:c r="J518" s="11"/>
      <x:c r="K518" s="29"/>
      <x:c r="L518" s="2" t="str">
        <x:f>IF(O518=1,"Complete",IF(A518,"Checklist open",IF(H518&lt;&gt;"","In progress","Not started")))</x:f>
        <x:v>Not started</x:v>
      </x:c>
      <x:c r="M518" s="2" t="str">
        <x:v>Task</x:v>
      </x:c>
      <x:c r="N518" s="2" t="str">
        <x:v>RA.CA.1.3.2026.CY4</x:v>
      </x:c>
      <x:c r="O518" s="2" t="n">
        <x:f>R518</x:f>
        <x:v>0</x:v>
      </x:c>
      <x:c r="P518" s="2"/>
      <x:c r="Q518" s="2" t="n">
        <x:v>1</x:v>
      </x:c>
      <x:c r="R518" s="2" t="n">
        <x:f>IF(A518,1,0)</x:f>
        <x:v>0</x:v>
      </x:c>
      <x:c r="S518" s="2" t="n">
        <x:f>SUBTOTAL(103,N518)</x:f>
        <x:v>1</x:v>
      </x:c>
    </x:row>
    <x:row r="519" ht="42" customHeight="1">
      <x:c r="A519" s="28" t="b">
        <x:v>0</x:v>
      </x:c>
      <x:c r="B519" s="2" t="str">
        <x:v>Cycle 4</x:v>
      </x:c>
      <x:c r="C519" s="2" t="str">
        <x:v>Phase 1</x:v>
      </x:c>
      <x:c r="D519" s="2" t="str">
        <x:v>Cards</x:v>
      </x:c>
      <x:c r="E519" s="56" t="str">
        <x:v>RA.CA.1.4</x:v>
      </x:c>
      <x:c r="F519" s="14" t="str">
        <x:v>Identify backup topic for Cycle</x:v>
      </x:c>
      <x:c r="G519" s="5"/>
      <x:c r="H519" s="11"/>
      <x:c r="I519" s="11" t="n">
        <x:f>'Cycles &amp; Guide'!$D$13</x:f>
        <x:v>46387</x:v>
      </x:c>
      <x:c r="J519" s="11"/>
      <x:c r="K519" s="29"/>
      <x:c r="L519" s="2" t="str">
        <x:f>IF(O519=1,"Complete",IF(A519,"Checklist open",IF(H519&lt;&gt;"","In progress","Not started")))</x:f>
        <x:v>Not started</x:v>
      </x:c>
      <x:c r="M519" s="2" t="str">
        <x:v>Task</x:v>
      </x:c>
      <x:c r="N519" s="2" t="str">
        <x:v>RA.CA.1.4.2026.CY4</x:v>
      </x:c>
      <x:c r="O519" s="2" t="n">
        <x:f>R519</x:f>
        <x:v>0</x:v>
      </x:c>
      <x:c r="P519" s="2"/>
      <x:c r="Q519" s="2" t="n">
        <x:v>1</x:v>
      </x:c>
      <x:c r="R519" s="2" t="n">
        <x:f>IF(A519,1,0)</x:f>
        <x:v>0</x:v>
      </x:c>
      <x:c r="S519" s="2" t="n">
        <x:f>SUBTOTAL(103,N519)</x:f>
        <x:v>1</x:v>
      </x:c>
    </x:row>
    <x:row r="520" ht="42" customHeight="1">
      <x:c r="A520" s="28" t="b">
        <x:v>0</x:v>
      </x:c>
      <x:c r="B520" s="2" t="str">
        <x:v>Cycle 4</x:v>
      </x:c>
      <x:c r="C520" s="2" t="str">
        <x:v>Phase 1</x:v>
      </x:c>
      <x:c r="D520" s="2" t="str">
        <x:v>Cards</x:v>
      </x:c>
      <x:c r="E520" s="56" t="str">
        <x:v>RA.CA.1.5</x:v>
      </x:c>
      <x:c r="F520" s="14" t="str">
        <x:v>Schedule topic approval meeting with D&amp;I and management</x:v>
      </x:c>
      <x:c r="G520" s="5"/>
      <x:c r="H520" s="11"/>
      <x:c r="I520" s="11" t="n">
        <x:f>'Cycles &amp; Guide'!$D$13</x:f>
        <x:v>46387</x:v>
      </x:c>
      <x:c r="J520" s="11"/>
      <x:c r="K520" s="29"/>
      <x:c r="L520" s="2" t="str">
        <x:f>IF(O520=1,"Complete",IF(A520,"Checklist open",IF(H520&lt;&gt;"","In progress","Not started")))</x:f>
        <x:v>Not started</x:v>
      </x:c>
      <x:c r="M520" s="2" t="str">
        <x:v>Task</x:v>
      </x:c>
      <x:c r="N520" s="2" t="str">
        <x:v>RA.CA.1.5.2026.CY4</x:v>
      </x:c>
      <x:c r="O520" s="2" t="n">
        <x:f>R520</x:f>
        <x:v>0</x:v>
      </x:c>
      <x:c r="P520" s="2"/>
      <x:c r="Q520" s="2" t="n">
        <x:v>1</x:v>
      </x:c>
      <x:c r="R520" s="2" t="n">
        <x:f>IF(A520,1,0)</x:f>
        <x:v>0</x:v>
      </x:c>
      <x:c r="S520" s="2" t="n">
        <x:f>SUBTOTAL(103,N520)</x:f>
        <x:v>1</x:v>
      </x:c>
    </x:row>
    <x:row r="521" ht="42" customHeight="1">
      <x:c r="A521" s="28" t="b">
        <x:v>0</x:v>
      </x:c>
      <x:c r="B521" s="2" t="str">
        <x:v>Cycle 4</x:v>
      </x:c>
      <x:c r="C521" s="2" t="str">
        <x:v>Phase 1</x:v>
      </x:c>
      <x:c r="D521" s="2" t="str">
        <x:v>Cards</x:v>
      </x:c>
      <x:c r="E521" s="56" t="str">
        <x:v>RA.CA.1.6</x:v>
      </x:c>
      <x:c r="F521" s="14" t="str">
        <x:v>Present recommended topic to D&amp;I and management for approval</x:v>
      </x:c>
      <x:c r="G521" s="5"/>
      <x:c r="H521" s="11"/>
      <x:c r="I521" s="11" t="n">
        <x:f>'Cycles &amp; Guide'!$D$13</x:f>
        <x:v>46387</x:v>
      </x:c>
      <x:c r="J521" s="11"/>
      <x:c r="K521" s="29"/>
      <x:c r="L521" s="2" t="str">
        <x:f>IF(O521=1,"Complete",IF(A521,"Checklist open",IF(H521&lt;&gt;"","In progress","Not started")))</x:f>
        <x:v>Not started</x:v>
      </x:c>
      <x:c r="M521" s="2" t="str">
        <x:v>Task</x:v>
      </x:c>
      <x:c r="N521" s="2" t="str">
        <x:v>RA.CA.1.6.2026.CY4</x:v>
      </x:c>
      <x:c r="O521" s="2" t="n">
        <x:f>R521</x:f>
        <x:v>0</x:v>
      </x:c>
      <x:c r="P521" s="2"/>
      <x:c r="Q521" s="2" t="n">
        <x:v>1</x:v>
      </x:c>
      <x:c r="R521" s="2" t="n">
        <x:f>IF(A521,1,0)</x:f>
        <x:v>0</x:v>
      </x:c>
      <x:c r="S521" s="2" t="n">
        <x:f>SUBTOTAL(103,N521)</x:f>
        <x:v>1</x:v>
      </x:c>
    </x:row>
    <x:row r="522" ht="42" customHeight="1">
      <x:c r="A522" s="28" t="b">
        <x:v>0</x:v>
      </x:c>
      <x:c r="B522" s="2" t="str">
        <x:v>Cycle 4</x:v>
      </x:c>
      <x:c r="C522" s="2" t="str">
        <x:v>Phase 1</x:v>
      </x:c>
      <x:c r="D522" s="2" t="str">
        <x:v>Cards</x:v>
      </x:c>
      <x:c r="E522" s="56" t="str">
        <x:v>RA.CA.1.7</x:v>
      </x:c>
      <x:c r="F522" s="14" t="str">
        <x:v>Obtain formal topic selection approval from management via SharePoint</x:v>
      </x:c>
      <x:c r="G522" s="5"/>
      <x:c r="H522" s="11"/>
      <x:c r="I522" s="11" t="n">
        <x:f>'Cycles &amp; Guide'!$D$13</x:f>
        <x:v>46387</x:v>
      </x:c>
      <x:c r="J522" s="11"/>
      <x:c r="K522" s="29"/>
      <x:c r="L522" s="2" t="str">
        <x:f>IF(O522=1,"Complete",IF(A522,"Checklist open",IF(H522&lt;&gt;"","In progress","Not started")))</x:f>
        <x:v>Not started</x:v>
      </x:c>
      <x:c r="M522" s="2" t="str">
        <x:v>Task</x:v>
      </x:c>
      <x:c r="N522" s="2" t="str">
        <x:v>RA.CA.1.7.2026.CY4</x:v>
      </x:c>
      <x:c r="O522" s="2" t="n">
        <x:f>R522</x:f>
        <x:v>0</x:v>
      </x:c>
      <x:c r="P522" s="2"/>
      <x:c r="Q522" s="2" t="n">
        <x:v>1</x:v>
      </x:c>
      <x:c r="R522" s="2" t="n">
        <x:f>IF(A522,1,0)</x:f>
        <x:v>0</x:v>
      </x:c>
      <x:c r="S522" s="2" t="n">
        <x:f>SUBTOTAL(103,N522)</x:f>
        <x:v>1</x:v>
      </x:c>
    </x:row>
    <x:row r="523" ht="42" customHeight="1">
      <x:c r="A523" s="28" t="b">
        <x:v>0</x:v>
      </x:c>
      <x:c r="B523" s="2" t="str">
        <x:v>Cycle 4</x:v>
      </x:c>
      <x:c r="C523" s="2" t="str">
        <x:v>Phase 1</x:v>
      </x:c>
      <x:c r="D523" s="2" t="str">
        <x:v>Cards</x:v>
      </x:c>
      <x:c r="E523" s="56" t="str">
        <x:v>RA.CA.1.8</x:v>
      </x:c>
      <x:c r="F523" s="14" t="str">
        <x:v>Socialize topic selection with product owners and subject matter experts (if known)</x:v>
      </x:c>
      <x:c r="G523" s="5"/>
      <x:c r="H523" s="11"/>
      <x:c r="I523" s="11" t="n">
        <x:f>'Cycles &amp; Guide'!$D$13</x:f>
        <x:v>46387</x:v>
      </x:c>
      <x:c r="J523" s="11"/>
      <x:c r="K523" s="29"/>
      <x:c r="L523" s="2" t="str">
        <x:f>IF(O523=1,"Complete",IF(A523,"Checklist open",IF(H523&lt;&gt;"","In progress","Not started")))</x:f>
        <x:v>Not started</x:v>
      </x:c>
      <x:c r="M523" s="2" t="str">
        <x:v>Task</x:v>
      </x:c>
      <x:c r="N523" s="2" t="str">
        <x:v>RA.CA.1.8.2026.CY4</x:v>
      </x:c>
      <x:c r="O523" s="2" t="n">
        <x:f>R523</x:f>
        <x:v>0</x:v>
      </x:c>
      <x:c r="P523" s="2"/>
      <x:c r="Q523" s="2" t="n">
        <x:v>1</x:v>
      </x:c>
      <x:c r="R523" s="2" t="n">
        <x:f>IF(A523,1,0)</x:f>
        <x:v>0</x:v>
      </x:c>
      <x:c r="S523" s="2" t="n">
        <x:f>SUBTOTAL(103,N523)</x:f>
        <x:v>1</x:v>
      </x:c>
    </x:row>
    <x:row r="524" ht="42" customHeight="1">
      <x:c r="A524" s="28" t="b">
        <x:v>0</x:v>
      </x:c>
      <x:c r="B524" s="2" t="str">
        <x:v>Cycle 4</x:v>
      </x:c>
      <x:c r="C524" s="2" t="str">
        <x:v>Phase 1</x:v>
      </x:c>
      <x:c r="D524" s="2" t="str">
        <x:v>Cards</x:v>
      </x:c>
      <x:c r="E524" s="56" t="str">
        <x:v>RA.CA.1.9</x:v>
      </x:c>
      <x:c r="F524" s="14" t="str">
        <x:v>Assign topic researchers</x:v>
      </x:c>
      <x:c r="G524" s="5"/>
      <x:c r="H524" s="11"/>
      <x:c r="I524" s="11" t="n">
        <x:f>'Cycles &amp; Guide'!$D$13</x:f>
        <x:v>46387</x:v>
      </x:c>
      <x:c r="J524" s="11"/>
      <x:c r="K524" s="29"/>
      <x:c r="L524" s="2" t="str">
        <x:f>IF(O524=1,"Complete",IF(A524,"Checklist open",IF(H524&lt;&gt;"","In progress","Not started")))</x:f>
        <x:v>Not started</x:v>
      </x:c>
      <x:c r="M524" s="2" t="str">
        <x:v>Task</x:v>
      </x:c>
      <x:c r="N524" s="2" t="str">
        <x:v>RA.CA.1.9.2026.CY4</x:v>
      </x:c>
      <x:c r="O524" s="2" t="n">
        <x:f>R524</x:f>
        <x:v>0</x:v>
      </x:c>
      <x:c r="P524" s="2"/>
      <x:c r="Q524" s="2" t="n">
        <x:v>1</x:v>
      </x:c>
      <x:c r="R524" s="2" t="n">
        <x:f>IF(A524,1,0)</x:f>
        <x:v>0</x:v>
      </x:c>
      <x:c r="S524" s="2" t="n">
        <x:f>SUBTOTAL(103,N524)</x:f>
        <x:v>1</x:v>
      </x:c>
    </x:row>
    <x:row r="525" ht="42" customHeight="1">
      <x:c r="A525" s="28" t="b">
        <x:v>0</x:v>
      </x:c>
      <x:c r="B525" s="2" t="str">
        <x:v>Cycle 4</x:v>
      </x:c>
      <x:c r="C525" s="2" t="str">
        <x:v>Phase 2</x:v>
      </x:c>
      <x:c r="D525" s="2" t="str">
        <x:v>Cards</x:v>
      </x:c>
      <x:c r="E525" s="56" t="str">
        <x:v>RA.CA.2.1</x:v>
      </x:c>
      <x:c r="F525" s="14" t="str">
        <x:v>Review data sources</x:v>
      </x:c>
      <x:c r="G525" s="5"/>
      <x:c r="H525" s="11"/>
      <x:c r="I525" s="11" t="n">
        <x:f>'Cycles &amp; Guide'!$D$13</x:f>
        <x:v>46387</x:v>
      </x:c>
      <x:c r="J525" s="11"/>
      <x:c r="K525" s="29"/>
      <x:c r="L525" s="2" t="str">
        <x:f>IF(O525=1,"Complete",IF(A525,"Checklist open",IF(H525&lt;&gt;"","In progress","Not started")))</x:f>
        <x:v>Not started</x:v>
      </x:c>
      <x:c r="M525" s="2" t="str">
        <x:v>Task</x:v>
      </x:c>
      <x:c r="N525" s="2" t="str">
        <x:v>RA.CA.2.1.2026.CY4</x:v>
      </x:c>
      <x:c r="O525" s="2" t="n">
        <x:f>R525</x:f>
        <x:v>0</x:v>
      </x:c>
      <x:c r="P525" s="2"/>
      <x:c r="Q525" s="2" t="n">
        <x:v>1</x:v>
      </x:c>
      <x:c r="R525" s="2" t="n">
        <x:f>IF(A525,1,0)</x:f>
        <x:v>0</x:v>
      </x:c>
      <x:c r="S525" s="2" t="n">
        <x:f>SUBTOTAL(103,N525)</x:f>
        <x:v>1</x:v>
      </x:c>
    </x:row>
    <x:row r="526" ht="42" customHeight="1">
      <x:c r="A526" s="28" t="b">
        <x:v>0</x:v>
      </x:c>
      <x:c r="B526" s="2" t="str">
        <x:v>Cycle 4</x:v>
      </x:c>
      <x:c r="C526" s="2" t="str">
        <x:v>Phase 2</x:v>
      </x:c>
      <x:c r="D526" s="2" t="str">
        <x:v>Cards</x:v>
      </x:c>
      <x:c r="E526" s="56" t="str">
        <x:v>RA.CA.2.2</x:v>
      </x:c>
      <x:c r="F526" s="14" t="str">
        <x:v>Review relevant policies and procedures</x:v>
      </x:c>
      <x:c r="G526" s="5"/>
      <x:c r="H526" s="11"/>
      <x:c r="I526" s="11" t="n">
        <x:f>'Cycles &amp; Guide'!$D$13</x:f>
        <x:v>46387</x:v>
      </x:c>
      <x:c r="J526" s="11"/>
      <x:c r="K526" s="29"/>
      <x:c r="L526" s="2" t="str">
        <x:f>IF(O526=1,"Complete",IF(A526,"Checklist open",IF(H526&lt;&gt;"","In progress","Not started")))</x:f>
        <x:v>Not started</x:v>
      </x:c>
      <x:c r="M526" s="2" t="str">
        <x:v>Task</x:v>
      </x:c>
      <x:c r="N526" s="2" t="str">
        <x:v>RA.CA.2.2.2026.CY4</x:v>
      </x:c>
      <x:c r="O526" s="2" t="n">
        <x:f>R526</x:f>
        <x:v>0</x:v>
      </x:c>
      <x:c r="P526" s="2"/>
      <x:c r="Q526" s="2" t="n">
        <x:v>1</x:v>
      </x:c>
      <x:c r="R526" s="2" t="n">
        <x:f>IF(A526,1,0)</x:f>
        <x:v>0</x:v>
      </x:c>
      <x:c r="S526" s="2" t="n">
        <x:f>SUBTOTAL(103,N526)</x:f>
        <x:v>1</x:v>
      </x:c>
    </x:row>
    <x:row r="527" ht="42" customHeight="1">
      <x:c r="A527" s="28" t="b">
        <x:v>0</x:v>
      </x:c>
      <x:c r="B527" s="2" t="str">
        <x:v>Cycle 4</x:v>
      </x:c>
      <x:c r="C527" s="2" t="str">
        <x:v>Phase 2</x:v>
      </x:c>
      <x:c r="D527" s="2" t="str">
        <x:v>Cards</x:v>
      </x:c>
      <x:c r="E527" s="56" t="str">
        <x:v>RA.CA.2.3</x:v>
      </x:c>
      <x:c r="F527" s="14" t="str">
        <x:v>Meet with SMEs to gain business insight and clarify questions</x:v>
      </x:c>
      <x:c r="G527" s="5"/>
      <x:c r="H527" s="11"/>
      <x:c r="I527" s="11" t="n">
        <x:f>'Cycles &amp; Guide'!$D$13</x:f>
        <x:v>46387</x:v>
      </x:c>
      <x:c r="J527" s="11"/>
      <x:c r="K527" s="29"/>
      <x:c r="L527" s="2" t="str">
        <x:f>IF(O527=1,"Complete",IF(A527,"Checklist open",IF(H527&lt;&gt;"","In progress","Not started")))</x:f>
        <x:v>Not started</x:v>
      </x:c>
      <x:c r="M527" s="2" t="str">
        <x:v>Task</x:v>
      </x:c>
      <x:c r="N527" s="2" t="str">
        <x:v>RA.CA.2.3.2026.CY4</x:v>
      </x:c>
      <x:c r="O527" s="2" t="n">
        <x:f>R527</x:f>
        <x:v>0</x:v>
      </x:c>
      <x:c r="P527" s="2"/>
      <x:c r="Q527" s="2" t="n">
        <x:v>1</x:v>
      </x:c>
      <x:c r="R527" s="2" t="n">
        <x:f>IF(A527,1,0)</x:f>
        <x:v>0</x:v>
      </x:c>
      <x:c r="S527" s="2" t="n">
        <x:f>SUBTOTAL(103,N527)</x:f>
        <x:v>1</x:v>
      </x:c>
    </x:row>
    <x:row r="528" ht="42" customHeight="1">
      <x:c r="A528" s="28" t="b">
        <x:v>0</x:v>
      </x:c>
      <x:c r="B528" s="2" t="str">
        <x:v>Cycle 4</x:v>
      </x:c>
      <x:c r="C528" s="2" t="str">
        <x:v>Phase 2</x:v>
      </x:c>
      <x:c r="D528" s="2" t="str">
        <x:v>Cards</x:v>
      </x:c>
      <x:c r="E528" s="56" t="str">
        <x:v>RA.CA.2.4</x:v>
      </x:c>
      <x:c r="F528" s="14" t="str">
        <x:v>Establish and maintain a recurring meeting with D&amp;I to discuss Cycle progress</x:v>
      </x:c>
      <x:c r="G528" s="5"/>
      <x:c r="H528" s="11"/>
      <x:c r="I528" s="11" t="n">
        <x:f>'Cycles &amp; Guide'!$D$13</x:f>
        <x:v>46387</x:v>
      </x:c>
      <x:c r="J528" s="11"/>
      <x:c r="K528" s="29"/>
      <x:c r="L528" s="2" t="str">
        <x:f>IF(O528=1,"Complete",IF(A528,"Checklist open",IF(H528&lt;&gt;"","In progress","Not started")))</x:f>
        <x:v>Not started</x:v>
      </x:c>
      <x:c r="M528" s="2" t="str">
        <x:v>Task</x:v>
      </x:c>
      <x:c r="N528" s="2" t="str">
        <x:v>RA.CA.2.4.2026.CY4</x:v>
      </x:c>
      <x:c r="O528" s="2" t="n">
        <x:f>R528</x:f>
        <x:v>0</x:v>
      </x:c>
      <x:c r="P528" s="2"/>
      <x:c r="Q528" s="2" t="n">
        <x:v>1</x:v>
      </x:c>
      <x:c r="R528" s="2" t="n">
        <x:f>IF(A528,1,0)</x:f>
        <x:v>0</x:v>
      </x:c>
      <x:c r="S528" s="2" t="n">
        <x:f>SUBTOTAL(103,N528)</x:f>
        <x:v>1</x:v>
      </x:c>
    </x:row>
    <x:row r="529" ht="42" customHeight="1">
      <x:c r="A529" s="28" t="b">
        <x:v>0</x:v>
      </x:c>
      <x:c r="B529" s="2" t="str">
        <x:v>Cycle 4</x:v>
      </x:c>
      <x:c r="C529" s="2" t="str">
        <x:v>Phase 2</x:v>
      </x:c>
      <x:c r="D529" s="2" t="str">
        <x:v>Cards</x:v>
      </x:c>
      <x:c r="E529" s="56" t="str">
        <x:v>RA.CA.2.5</x:v>
      </x:c>
      <x:c r="F529" s="14" t="str">
        <x:v>Perform data testing and sampling</x:v>
      </x:c>
      <x:c r="G529" s="5"/>
      <x:c r="H529" s="11"/>
      <x:c r="I529" s="11" t="n">
        <x:f>'Cycles &amp; Guide'!$D$13</x:f>
        <x:v>46387</x:v>
      </x:c>
      <x:c r="J529" s="11"/>
      <x:c r="K529" s="29"/>
      <x:c r="L529" s="2" t="str">
        <x:f>IF(O529=1,"Complete",IF(A529,"Checklist open",IF(H529&lt;&gt;"","In progress","Not started")))</x:f>
        <x:v>Not started</x:v>
      </x:c>
      <x:c r="M529" s="2" t="str">
        <x:v>Task</x:v>
      </x:c>
      <x:c r="N529" s="2" t="str">
        <x:v>RA.CA.2.5.2026.CY4</x:v>
      </x:c>
      <x:c r="O529" s="2" t="n">
        <x:f>R529</x:f>
        <x:v>0</x:v>
      </x:c>
      <x:c r="P529" s="2"/>
      <x:c r="Q529" s="2" t="n">
        <x:v>1</x:v>
      </x:c>
      <x:c r="R529" s="2" t="n">
        <x:f>IF(A529,1,0)</x:f>
        <x:v>0</x:v>
      </x:c>
      <x:c r="S529" s="2" t="n">
        <x:f>SUBTOTAL(103,N529)</x:f>
        <x:v>1</x:v>
      </x:c>
    </x:row>
    <x:row r="530" ht="42" customHeight="1">
      <x:c r="A530" s="28" t="b">
        <x:v>0</x:v>
      </x:c>
      <x:c r="B530" s="2" t="str">
        <x:v>Cycle 4</x:v>
      </x:c>
      <x:c r="C530" s="2" t="str">
        <x:v>Phase 2</x:v>
      </x:c>
      <x:c r="D530" s="2" t="str">
        <x:v>Cards</x:v>
      </x:c>
      <x:c r="E530" s="56" t="str">
        <x:v>RA.CA.2.6</x:v>
      </x:c>
      <x:c r="F530" s="14" t="str">
        <x:v>Complete Positive Testing</x:v>
      </x:c>
      <x:c r="G530" s="5"/>
      <x:c r="H530" s="11"/>
      <x:c r="I530" s="11" t="n">
        <x:f>'Cycles &amp; Guide'!$D$13</x:f>
        <x:v>46387</x:v>
      </x:c>
      <x:c r="J530" s="11"/>
      <x:c r="K530" s="29"/>
      <x:c r="L530" s="2" t="str">
        <x:f>IF(O530=1,"Complete",IF(A530,"Checklist open",IF(H530&lt;&gt;"","In progress","Not started")))</x:f>
        <x:v>Not started</x:v>
      </x:c>
      <x:c r="M530" s="2" t="str">
        <x:v>Task</x:v>
      </x:c>
      <x:c r="N530" s="2" t="str">
        <x:v>RA.CA.2.6.2026.CY4</x:v>
      </x:c>
      <x:c r="O530" s="2" t="n">
        <x:f>R530</x:f>
        <x:v>0</x:v>
      </x:c>
      <x:c r="P530" s="2"/>
      <x:c r="Q530" s="2" t="n">
        <x:v>1</x:v>
      </x:c>
      <x:c r="R530" s="2" t="n">
        <x:f>IF(A530,1,0)</x:f>
        <x:v>0</x:v>
      </x:c>
      <x:c r="S530" s="2" t="n">
        <x:f>SUBTOTAL(103,N530)</x:f>
        <x:v>1</x:v>
      </x:c>
    </x:row>
    <x:row r="531" ht="42" customHeight="1">
      <x:c r="A531" s="28" t="b">
        <x:v>0</x:v>
      </x:c>
      <x:c r="B531" s="2" t="str">
        <x:v>Cycle 4</x:v>
      </x:c>
      <x:c r="C531" s="2" t="str">
        <x:v>Phase 2</x:v>
      </x:c>
      <x:c r="D531" s="2" t="str">
        <x:v>Cards</x:v>
      </x:c>
      <x:c r="E531" s="56" t="str">
        <x:v>RA.CA.2.7</x:v>
      </x:c>
      <x:c r="F531" s="14" t="str">
        <x:v>Complete Negative Testing</x:v>
      </x:c>
      <x:c r="G531" s="5"/>
      <x:c r="H531" s="11"/>
      <x:c r="I531" s="11" t="n">
        <x:f>'Cycles &amp; Guide'!$D$13</x:f>
        <x:v>46387</x:v>
      </x:c>
      <x:c r="J531" s="11"/>
      <x:c r="K531" s="29"/>
      <x:c r="L531" s="2" t="str">
        <x:f>IF(O531=1,"Complete",IF(A531,"Checklist open",IF(H531&lt;&gt;"","In progress","Not started")))</x:f>
        <x:v>Not started</x:v>
      </x:c>
      <x:c r="M531" s="2" t="str">
        <x:v>Task</x:v>
      </x:c>
      <x:c r="N531" s="2" t="str">
        <x:v>RA.CA.2.7.2026.CY4</x:v>
      </x:c>
      <x:c r="O531" s="2" t="n">
        <x:f>R531</x:f>
        <x:v>0</x:v>
      </x:c>
      <x:c r="P531" s="2"/>
      <x:c r="Q531" s="2" t="n">
        <x:v>1</x:v>
      </x:c>
      <x:c r="R531" s="2" t="n">
        <x:f>IF(A531,1,0)</x:f>
        <x:v>0</x:v>
      </x:c>
      <x:c r="S531" s="2" t="n">
        <x:f>SUBTOTAL(103,N531)</x:f>
        <x:v>1</x:v>
      </x:c>
    </x:row>
    <x:row r="532" ht="42" customHeight="1">
      <x:c r="A532" s="28" t="b">
        <x:v>0</x:v>
      </x:c>
      <x:c r="B532" s="2" t="str">
        <x:v>Cycle 4</x:v>
      </x:c>
      <x:c r="C532" s="2" t="str">
        <x:v>Phase 2</x:v>
      </x:c>
      <x:c r="D532" s="2" t="str">
        <x:v>Cards</x:v>
      </x:c>
      <x:c r="E532" s="56" t="str">
        <x:v>RA.CA.2.8</x:v>
      </x:c>
      <x:c r="F532" s="14" t="str">
        <x:v>Request additional data (as needed)</x:v>
      </x:c>
      <x:c r="G532" s="5"/>
      <x:c r="H532" s="11"/>
      <x:c r="I532" s="11" t="n">
        <x:f>'Cycles &amp; Guide'!$D$13</x:f>
        <x:v>46387</x:v>
      </x:c>
      <x:c r="J532" s="11"/>
      <x:c r="K532" s="29"/>
      <x:c r="L532" s="2" t="str">
        <x:f>IF(O532=1,"Complete",IF(A532,"Checklist open",IF(H532&lt;&gt;"","In progress","Not started")))</x:f>
        <x:v>Not started</x:v>
      </x:c>
      <x:c r="M532" s="2" t="str">
        <x:v>Task</x:v>
      </x:c>
      <x:c r="N532" s="2" t="str">
        <x:v>RA.CA.2.8.2026.CY4</x:v>
      </x:c>
      <x:c r="O532" s="2" t="n">
        <x:f>R532</x:f>
        <x:v>0</x:v>
      </x:c>
      <x:c r="P532" s="2"/>
      <x:c r="Q532" s="2" t="n">
        <x:v>1</x:v>
      </x:c>
      <x:c r="R532" s="2" t="n">
        <x:f>IF(A532,1,0)</x:f>
        <x:v>0</x:v>
      </x:c>
      <x:c r="S532" s="2" t="n">
        <x:f>SUBTOTAL(103,N532)</x:f>
        <x:v>1</x:v>
      </x:c>
    </x:row>
    <x:row r="533" ht="42" customHeight="1">
      <x:c r="A533" s="28" t="b">
        <x:v>0</x:v>
      </x:c>
      <x:c r="B533" s="2" t="str">
        <x:v>Cycle 4</x:v>
      </x:c>
      <x:c r="C533" s="2" t="str">
        <x:v>Phase 2</x:v>
      </x:c>
      <x:c r="D533" s="2" t="str">
        <x:v>Cards</x:v>
      </x:c>
      <x:c r="E533" s="56" t="str">
        <x:v>RA.CA.2.9</x:v>
      </x:c>
      <x:c r="F533" s="14" t="str">
        <x:v>Validate or disprove initial hypothesis assumptions</x:v>
      </x:c>
      <x:c r="G533" s="5"/>
      <x:c r="H533" s="11"/>
      <x:c r="I533" s="11" t="n">
        <x:f>'Cycles &amp; Guide'!$D$13</x:f>
        <x:v>46387</x:v>
      </x:c>
      <x:c r="J533" s="11"/>
      <x:c r="K533" s="29"/>
      <x:c r="L533" s="2" t="str">
        <x:f>IF(O533=1,"Complete",IF(A533,"Checklist open",IF(H533&lt;&gt;"","In progress","Not started")))</x:f>
        <x:v>Not started</x:v>
      </x:c>
      <x:c r="M533" s="2" t="str">
        <x:v>Task</x:v>
      </x:c>
      <x:c r="N533" s="2" t="str">
        <x:v>RA.CA.2.9.2026.CY4</x:v>
      </x:c>
      <x:c r="O533" s="2" t="n">
        <x:f>R533</x:f>
        <x:v>0</x:v>
      </x:c>
      <x:c r="P533" s="2"/>
      <x:c r="Q533" s="2" t="n">
        <x:v>1</x:v>
      </x:c>
      <x:c r="R533" s="2" t="n">
        <x:f>IF(A533,1,0)</x:f>
        <x:v>0</x:v>
      </x:c>
      <x:c r="S533" s="2" t="n">
        <x:f>SUBTOTAL(103,N533)</x:f>
        <x:v>1</x:v>
      </x:c>
    </x:row>
    <x:row r="534" ht="42" customHeight="1">
      <x:c r="A534" s="28" t="b">
        <x:v>0</x:v>
      </x:c>
      <x:c r="B534" s="2" t="str">
        <x:v>Cycle 4</x:v>
      </x:c>
      <x:c r="C534" s="2" t="str">
        <x:v>Phase 2</x:v>
      </x:c>
      <x:c r="D534" s="2" t="str">
        <x:v>Cards</x:v>
      </x:c>
      <x:c r="E534" s="56" t="str">
        <x:v>RA.CA.2.10</x:v>
      </x:c>
      <x:c r="F534" s="14" t="str">
        <x:v>Identify and confirm root cause</x:v>
      </x:c>
      <x:c r="G534" s="5"/>
      <x:c r="H534" s="11"/>
      <x:c r="I534" s="11" t="n">
        <x:f>'Cycles &amp; Guide'!$D$13</x:f>
        <x:v>46387</x:v>
      </x:c>
      <x:c r="J534" s="11"/>
      <x:c r="K534" s="29"/>
      <x:c r="L534" s="2" t="str">
        <x:f>IF(O534=1,"Complete",IF(A534,"Checklist open",IF(H534&lt;&gt;"","In progress","Not started")))</x:f>
        <x:v>Not started</x:v>
      </x:c>
      <x:c r="M534" s="2" t="str">
        <x:v>Task</x:v>
      </x:c>
      <x:c r="N534" s="2" t="str">
        <x:v>RA.CA.2.10.2026.CY4</x:v>
      </x:c>
      <x:c r="O534" s="2" t="n">
        <x:f>R534</x:f>
        <x:v>0</x:v>
      </x:c>
      <x:c r="P534" s="2"/>
      <x:c r="Q534" s="2" t="n">
        <x:v>1</x:v>
      </x:c>
      <x:c r="R534" s="2" t="n">
        <x:f>IF(A534,1,0)</x:f>
        <x:v>0</x:v>
      </x:c>
      <x:c r="S534" s="2" t="n">
        <x:f>SUBTOTAL(103,N534)</x:f>
        <x:v>1</x:v>
      </x:c>
    </x:row>
    <x:row r="535" ht="42" customHeight="1">
      <x:c r="A535" s="28" t="b">
        <x:v>0</x:v>
      </x:c>
      <x:c r="B535" s="2" t="str">
        <x:v>Cycle 4</x:v>
      </x:c>
      <x:c r="C535" s="2" t="str">
        <x:v>Phase 3</x:v>
      </x:c>
      <x:c r="D535" s="2" t="str">
        <x:v>Cards</x:v>
      </x:c>
      <x:c r="E535" s="56" t="str">
        <x:v>RA.CA.3.1</x:v>
      </x:c>
      <x:c r="F535" s="14" t="str">
        <x:v>Finalize results and supporting documentation</x:v>
      </x:c>
      <x:c r="G535" s="5"/>
      <x:c r="H535" s="11"/>
      <x:c r="I535" s="11" t="n">
        <x:f>'Cycles &amp; Guide'!$D$13</x:f>
        <x:v>46387</x:v>
      </x:c>
      <x:c r="J535" s="11"/>
      <x:c r="K535" s="29"/>
      <x:c r="L535" s="2" t="str">
        <x:f>IF(O535=1,"Complete",IF(A535,"Checklist open",IF(H535&lt;&gt;"","In progress","Not started")))</x:f>
        <x:v>Not started</x:v>
      </x:c>
      <x:c r="M535" s="2" t="str">
        <x:v>Task</x:v>
      </x:c>
      <x:c r="N535" s="2" t="str">
        <x:v>RA.CA.3.1.2026.CY4</x:v>
      </x:c>
      <x:c r="O535" s="2" t="n">
        <x:f>R535</x:f>
        <x:v>0</x:v>
      </x:c>
      <x:c r="P535" s="2"/>
      <x:c r="Q535" s="2" t="n">
        <x:v>1</x:v>
      </x:c>
      <x:c r="R535" s="2" t="n">
        <x:f>IF(A535,1,0)</x:f>
        <x:v>0</x:v>
      </x:c>
      <x:c r="S535" s="2" t="n">
        <x:f>SUBTOTAL(103,N535)</x:f>
        <x:v>1</x:v>
      </x:c>
    </x:row>
    <x:row r="536" ht="42" customHeight="1">
      <x:c r="A536" s="28" t="b">
        <x:v>0</x:v>
      </x:c>
      <x:c r="B536" s="2" t="str">
        <x:v>Cycle 4</x:v>
      </x:c>
      <x:c r="C536" s="2" t="str">
        <x:v>Phase 3</x:v>
      </x:c>
      <x:c r="D536" s="2" t="str">
        <x:v>Cards</x:v>
      </x:c>
      <x:c r="E536" s="56" t="str">
        <x:v>RA.CA.3.2</x:v>
      </x:c>
      <x:c r="F536" s="14" t="str">
        <x:v>Maintain and update the evidence package prior to handoff to D&amp;I</x:v>
      </x:c>
      <x:c r="G536" s="5"/>
      <x:c r="H536" s="11"/>
      <x:c r="I536" s="11" t="n">
        <x:f>'Cycles &amp; Guide'!$D$13</x:f>
        <x:v>46387</x:v>
      </x:c>
      <x:c r="J536" s="11"/>
      <x:c r="K536" s="29"/>
      <x:c r="L536" s="2" t="str">
        <x:f>IF(O536=1,"Complete",IF(A536,"Checklist open",IF(H536&lt;&gt;"","In progress","Not started")))</x:f>
        <x:v>Not started</x:v>
      </x:c>
      <x:c r="M536" s="2" t="str">
        <x:v>Task</x:v>
      </x:c>
      <x:c r="N536" s="2" t="str">
        <x:v>RA.CA.3.2.2026.CY4</x:v>
      </x:c>
      <x:c r="O536" s="2" t="n">
        <x:f>R536</x:f>
        <x:v>0</x:v>
      </x:c>
      <x:c r="P536" s="2"/>
      <x:c r="Q536" s="2" t="n">
        <x:v>1</x:v>
      </x:c>
      <x:c r="R536" s="2" t="n">
        <x:f>IF(A536,1,0)</x:f>
        <x:v>0</x:v>
      </x:c>
      <x:c r="S536" s="2" t="n">
        <x:f>SUBTOTAL(103,N536)</x:f>
        <x:v>1</x:v>
      </x:c>
    </x:row>
    <x:row r="537" ht="42" customHeight="1">
      <x:c r="A537" s="28" t="b">
        <x:v>0</x:v>
      </x:c>
      <x:c r="B537" s="2" t="str">
        <x:v>Cycle 4</x:v>
      </x:c>
      <x:c r="C537" s="2" t="str">
        <x:v>Phase 3</x:v>
      </x:c>
      <x:c r="D537" s="2" t="str">
        <x:v>Cards</x:v>
      </x:c>
      <x:c r="E537" s="56" t="str">
        <x:v>RA.CA.3.3</x:v>
      </x:c>
      <x:c r="F537" s="14" t="str">
        <x:v>Address any outstanding questions or requests from D&amp;I</x:v>
      </x:c>
      <x:c r="G537" s="5"/>
      <x:c r="H537" s="11"/>
      <x:c r="I537" s="11" t="n">
        <x:f>'Cycles &amp; Guide'!$D$13</x:f>
        <x:v>46387</x:v>
      </x:c>
      <x:c r="J537" s="11"/>
      <x:c r="K537" s="29"/>
      <x:c r="L537" s="2" t="str">
        <x:f>IF(O537=1,"Complete",IF(A537,"Checklist open",IF(H537&lt;&gt;"","In progress","Not started")))</x:f>
        <x:v>Not started</x:v>
      </x:c>
      <x:c r="M537" s="2" t="str">
        <x:v>Task</x:v>
      </x:c>
      <x:c r="N537" s="2" t="str">
        <x:v>RA.CA.3.3.2026.CY4</x:v>
      </x:c>
      <x:c r="O537" s="2" t="n">
        <x:f>R537</x:f>
        <x:v>0</x:v>
      </x:c>
      <x:c r="P537" s="2"/>
      <x:c r="Q537" s="2" t="n">
        <x:v>1</x:v>
      </x:c>
      <x:c r="R537" s="2" t="n">
        <x:f>IF(A537,1,0)</x:f>
        <x:v>0</x:v>
      </x:c>
      <x:c r="S537" s="2" t="n">
        <x:f>SUBTOTAL(103,N537)</x:f>
        <x:v>1</x:v>
      </x:c>
    </x:row>
    <x:row r="538" ht="42" customHeight="1">
      <x:c r="A538" s="28" t="b">
        <x:v>0</x:v>
      </x:c>
      <x:c r="B538" s="2" t="str">
        <x:v>Cycle 4</x:v>
      </x:c>
      <x:c r="C538" s="2" t="str">
        <x:v>Phase 3</x:v>
      </x:c>
      <x:c r="D538" s="2" t="str">
        <x:v>Cards</x:v>
      </x:c>
      <x:c r="E538" s="56" t="str">
        <x:v>RA.CA.3.4</x:v>
      </x:c>
      <x:c r="F538" s="14" t="str">
        <x:v>Attend Forum meeting with D&amp;I to assist with answering stakeholder questions (as needed)</x:v>
      </x:c>
      <x:c r="G538" s="5"/>
      <x:c r="H538" s="11"/>
      <x:c r="I538" s="11" t="str">
        <x:f>IF(SUMIFS('Cycles &amp; Guide'!$D$23:$D$50,'Cycles &amp; Guide'!$B$23:$B$50,B538,'Cycles &amp; Guide'!$C$23:$C$50,D538)=0,"",SUMIFS('Cycles &amp; Guide'!$D$23:$D$50,'Cycles &amp; Guide'!$B$23:$B$50,B538,'Cycles &amp; Guide'!$C$23:$C$50,D538))</x:f>
      </x:c>
      <x:c r="J538" s="11"/>
      <x:c r="K538" s="29"/>
      <x:c r="L538" s="2" t="str">
        <x:f>IF(O538=1,"Complete",IF(A538,"Checklist open",IF(H538&lt;&gt;"","In progress","Not started")))</x:f>
        <x:v>Not started</x:v>
      </x:c>
      <x:c r="M538" s="2" t="str">
        <x:v>Task</x:v>
      </x:c>
      <x:c r="N538" s="2" t="str">
        <x:v>RA.CA.3.4.2026.CY4</x:v>
      </x:c>
      <x:c r="O538" s="2" t="n">
        <x:f>R538</x:f>
        <x:v>0</x:v>
      </x:c>
      <x:c r="P538" s="2"/>
      <x:c r="Q538" s="2" t="n">
        <x:v>1</x:v>
      </x:c>
      <x:c r="R538" s="2" t="n">
        <x:f>IF(A538,1,0)</x:f>
        <x:v>0</x:v>
      </x:c>
      <x:c r="S538" s="2" t="n">
        <x:f>SUBTOTAL(103,N538)</x:f>
        <x:v>1</x:v>
      </x:c>
    </x:row>
    <x:row r="539" ht="42" customHeight="1">
      <x:c r="A539" s="28" t="b">
        <x:v>0</x:v>
      </x:c>
      <x:c r="B539" s="2" t="str">
        <x:v>Cycle 4</x:v>
      </x:c>
      <x:c r="C539" s="2" t="str">
        <x:v>Phase 1</x:v>
      </x:c>
      <x:c r="D539" s="2" t="str">
        <x:v>CSBBO - Banking Ops</x:v>
      </x:c>
      <x:c r="E539" s="56" t="str">
        <x:v>RA.BO.1.1</x:v>
      </x:c>
      <x:c r="F539" s="14" t="str">
        <x:v>Begin Research process 2 weeks prior to Cycle start</x:v>
      </x:c>
      <x:c r="G539" s="5"/>
      <x:c r="H539" s="11"/>
      <x:c r="I539" s="11" t="n">
        <x:f>'Cycles &amp; Guide'!$C$13-14</x:f>
        <x:v>46282</x:v>
      </x:c>
      <x:c r="J539" s="11"/>
      <x:c r="K539" s="29"/>
      <x:c r="L539" s="2" t="str">
        <x:f>IF(O539=1,"Complete",IF(A539,"Checklist open",IF(H539&lt;&gt;"","In progress","Not started")))</x:f>
        <x:v>Not started</x:v>
      </x:c>
      <x:c r="M539" s="2" t="str">
        <x:v>Task</x:v>
      </x:c>
      <x:c r="N539" s="2" t="str">
        <x:v>RA.BO.1.1.2026.CY4</x:v>
      </x:c>
      <x:c r="O539" s="2" t="n">
        <x:f>R539</x:f>
        <x:v>0</x:v>
      </x:c>
      <x:c r="P539" s="2"/>
      <x:c r="Q539" s="2" t="n">
        <x:v>1</x:v>
      </x:c>
      <x:c r="R539" s="2" t="n">
        <x:f>IF(A539,1,0)</x:f>
        <x:v>0</x:v>
      </x:c>
      <x:c r="S539" s="2" t="n">
        <x:f>SUBTOTAL(103,N539)</x:f>
        <x:v>1</x:v>
      </x:c>
    </x:row>
    <x:row r="540" ht="42" customHeight="1">
      <x:c r="A540" s="28" t="b">
        <x:v>0</x:v>
      </x:c>
      <x:c r="B540" s="2" t="str">
        <x:v>Cycle 4</x:v>
      </x:c>
      <x:c r="C540" s="2" t="str">
        <x:v>Phase 1</x:v>
      </x:c>
      <x:c r="D540" s="2" t="str">
        <x:v>CSBBO - Banking Ops</x:v>
      </x:c>
      <x:c r="E540" s="56" t="str">
        <x:v>RA.BO.1.2</x:v>
      </x:c>
      <x:c r="F540" s="14" t="str">
        <x:v>Conduct initial assessment of each topic recommendation from SharePoint list</x:v>
      </x:c>
      <x:c r="G540" s="5"/>
      <x:c r="H540" s="11"/>
      <x:c r="I540" s="11" t="n">
        <x:f>'Cycles &amp; Guide'!$D$13</x:f>
        <x:v>46387</x:v>
      </x:c>
      <x:c r="J540" s="11"/>
      <x:c r="K540" s="29"/>
      <x:c r="L540" s="2" t="str">
        <x:f>IF(O540=1,"Complete",IF(A540,"Checklist open",IF(H540&lt;&gt;"","In progress","Not started")))</x:f>
        <x:v>Not started</x:v>
      </x:c>
      <x:c r="M540" s="2" t="str">
        <x:v>Task</x:v>
      </x:c>
      <x:c r="N540" s="2" t="str">
        <x:v>RA.BO.1.2.2026.CY4</x:v>
      </x:c>
      <x:c r="O540" s="2" t="n">
        <x:f>R540</x:f>
        <x:v>0</x:v>
      </x:c>
      <x:c r="P540" s="2"/>
      <x:c r="Q540" s="2" t="n">
        <x:v>1</x:v>
      </x:c>
      <x:c r="R540" s="2" t="n">
        <x:f>IF(A540,1,0)</x:f>
        <x:v>0</x:v>
      </x:c>
      <x:c r="S540" s="2" t="n">
        <x:f>SUBTOTAL(103,N540)</x:f>
        <x:v>1</x:v>
      </x:c>
    </x:row>
    <x:row r="541" ht="42" customHeight="1">
      <x:c r="A541" s="28" t="b">
        <x:v>0</x:v>
      </x:c>
      <x:c r="B541" s="2" t="str">
        <x:v>Cycle 4</x:v>
      </x:c>
      <x:c r="C541" s="2" t="str">
        <x:v>Phase 1</x:v>
      </x:c>
      <x:c r="D541" s="2" t="str">
        <x:v>CSBBO - Banking Ops</x:v>
      </x:c>
      <x:c r="E541" s="56" t="str">
        <x:v>RA.BO.1.3</x:v>
      </x:c>
      <x:c r="F541" s="14" t="str">
        <x:v>Identify best topic for Cycle</x:v>
      </x:c>
      <x:c r="G541" s="5"/>
      <x:c r="H541" s="11"/>
      <x:c r="I541" s="11" t="n">
        <x:f>'Cycles &amp; Guide'!$D$13</x:f>
        <x:v>46387</x:v>
      </x:c>
      <x:c r="J541" s="11"/>
      <x:c r="K541" s="29"/>
      <x:c r="L541" s="2" t="str">
        <x:f>IF(O541=1,"Complete",IF(A541,"Checklist open",IF(H541&lt;&gt;"","In progress","Not started")))</x:f>
        <x:v>Not started</x:v>
      </x:c>
      <x:c r="M541" s="2" t="str">
        <x:v>Task</x:v>
      </x:c>
      <x:c r="N541" s="2" t="str">
        <x:v>RA.BO.1.3.2026.CY4</x:v>
      </x:c>
      <x:c r="O541" s="2" t="n">
        <x:f>R541</x:f>
        <x:v>0</x:v>
      </x:c>
      <x:c r="P541" s="2"/>
      <x:c r="Q541" s="2" t="n">
        <x:v>1</x:v>
      </x:c>
      <x:c r="R541" s="2" t="n">
        <x:f>IF(A541,1,0)</x:f>
        <x:v>0</x:v>
      </x:c>
      <x:c r="S541" s="2" t="n">
        <x:f>SUBTOTAL(103,N541)</x:f>
        <x:v>1</x:v>
      </x:c>
    </x:row>
    <x:row r="542" ht="42" customHeight="1">
      <x:c r="A542" s="28" t="b">
        <x:v>0</x:v>
      </x:c>
      <x:c r="B542" s="2" t="str">
        <x:v>Cycle 4</x:v>
      </x:c>
      <x:c r="C542" s="2" t="str">
        <x:v>Phase 1</x:v>
      </x:c>
      <x:c r="D542" s="2" t="str">
        <x:v>CSBBO - Banking Ops</x:v>
      </x:c>
      <x:c r="E542" s="56" t="str">
        <x:v>RA.BO.1.4</x:v>
      </x:c>
      <x:c r="F542" s="14" t="str">
        <x:v>Identify backup topic for Cycle</x:v>
      </x:c>
      <x:c r="G542" s="5"/>
      <x:c r="H542" s="11"/>
      <x:c r="I542" s="11" t="n">
        <x:f>'Cycles &amp; Guide'!$D$13</x:f>
        <x:v>46387</x:v>
      </x:c>
      <x:c r="J542" s="11"/>
      <x:c r="K542" s="29"/>
      <x:c r="L542" s="2" t="str">
        <x:f>IF(O542=1,"Complete",IF(A542,"Checklist open",IF(H542&lt;&gt;"","In progress","Not started")))</x:f>
        <x:v>Not started</x:v>
      </x:c>
      <x:c r="M542" s="2" t="str">
        <x:v>Task</x:v>
      </x:c>
      <x:c r="N542" s="2" t="str">
        <x:v>RA.BO.1.4.2026.CY4</x:v>
      </x:c>
      <x:c r="O542" s="2" t="n">
        <x:f>R542</x:f>
        <x:v>0</x:v>
      </x:c>
      <x:c r="P542" s="2"/>
      <x:c r="Q542" s="2" t="n">
        <x:v>1</x:v>
      </x:c>
      <x:c r="R542" s="2" t="n">
        <x:f>IF(A542,1,0)</x:f>
        <x:v>0</x:v>
      </x:c>
      <x:c r="S542" s="2" t="n">
        <x:f>SUBTOTAL(103,N542)</x:f>
        <x:v>1</x:v>
      </x:c>
    </x:row>
    <x:row r="543" ht="42" customHeight="1">
      <x:c r="A543" s="28" t="b">
        <x:v>0</x:v>
      </x:c>
      <x:c r="B543" s="2" t="str">
        <x:v>Cycle 4</x:v>
      </x:c>
      <x:c r="C543" s="2" t="str">
        <x:v>Phase 1</x:v>
      </x:c>
      <x:c r="D543" s="2" t="str">
        <x:v>CSBBO - Banking Ops</x:v>
      </x:c>
      <x:c r="E543" s="56" t="str">
        <x:v>RA.BO.1.5</x:v>
      </x:c>
      <x:c r="F543" s="14" t="str">
        <x:v>Schedule topic approval meeting with D&amp;I and management</x:v>
      </x:c>
      <x:c r="G543" s="5"/>
      <x:c r="H543" s="11"/>
      <x:c r="I543" s="11" t="n">
        <x:f>'Cycles &amp; Guide'!$D$13</x:f>
        <x:v>46387</x:v>
      </x:c>
      <x:c r="J543" s="11"/>
      <x:c r="K543" s="29"/>
      <x:c r="L543" s="2" t="str">
        <x:f>IF(O543=1,"Complete",IF(A543,"Checklist open",IF(H543&lt;&gt;"","In progress","Not started")))</x:f>
        <x:v>Not started</x:v>
      </x:c>
      <x:c r="M543" s="2" t="str">
        <x:v>Task</x:v>
      </x:c>
      <x:c r="N543" s="2" t="str">
        <x:v>RA.BO.1.5.2026.CY4</x:v>
      </x:c>
      <x:c r="O543" s="2" t="n">
        <x:f>R543</x:f>
        <x:v>0</x:v>
      </x:c>
      <x:c r="P543" s="2"/>
      <x:c r="Q543" s="2" t="n">
        <x:v>1</x:v>
      </x:c>
      <x:c r="R543" s="2" t="n">
        <x:f>IF(A543,1,0)</x:f>
        <x:v>0</x:v>
      </x:c>
      <x:c r="S543" s="2" t="n">
        <x:f>SUBTOTAL(103,N543)</x:f>
        <x:v>1</x:v>
      </x:c>
    </x:row>
    <x:row r="544" ht="42" customHeight="1">
      <x:c r="A544" s="28" t="b">
        <x:v>0</x:v>
      </x:c>
      <x:c r="B544" s="2" t="str">
        <x:v>Cycle 4</x:v>
      </x:c>
      <x:c r="C544" s="2" t="str">
        <x:v>Phase 1</x:v>
      </x:c>
      <x:c r="D544" s="2" t="str">
        <x:v>CSBBO - Banking Ops</x:v>
      </x:c>
      <x:c r="E544" s="56" t="str">
        <x:v>RA.BO.1.6</x:v>
      </x:c>
      <x:c r="F544" s="14" t="str">
        <x:v>Present recommended topic to D&amp;I and management for approval</x:v>
      </x:c>
      <x:c r="G544" s="5"/>
      <x:c r="H544" s="11"/>
      <x:c r="I544" s="11" t="n">
        <x:f>'Cycles &amp; Guide'!$D$13</x:f>
        <x:v>46387</x:v>
      </x:c>
      <x:c r="J544" s="11"/>
      <x:c r="K544" s="29"/>
      <x:c r="L544" s="2" t="str">
        <x:f>IF(O544=1,"Complete",IF(A544,"Checklist open",IF(H544&lt;&gt;"","In progress","Not started")))</x:f>
        <x:v>Not started</x:v>
      </x:c>
      <x:c r="M544" s="2" t="str">
        <x:v>Task</x:v>
      </x:c>
      <x:c r="N544" s="2" t="str">
        <x:v>RA.BO.1.6.2026.CY4</x:v>
      </x:c>
      <x:c r="O544" s="2" t="n">
        <x:f>R544</x:f>
        <x:v>0</x:v>
      </x:c>
      <x:c r="P544" s="2"/>
      <x:c r="Q544" s="2" t="n">
        <x:v>1</x:v>
      </x:c>
      <x:c r="R544" s="2" t="n">
        <x:f>IF(A544,1,0)</x:f>
        <x:v>0</x:v>
      </x:c>
      <x:c r="S544" s="2" t="n">
        <x:f>SUBTOTAL(103,N544)</x:f>
        <x:v>1</x:v>
      </x:c>
    </x:row>
    <x:row r="545" ht="42" customHeight="1">
      <x:c r="A545" s="28" t="b">
        <x:v>0</x:v>
      </x:c>
      <x:c r="B545" s="2" t="str">
        <x:v>Cycle 4</x:v>
      </x:c>
      <x:c r="C545" s="2" t="str">
        <x:v>Phase 1</x:v>
      </x:c>
      <x:c r="D545" s="2" t="str">
        <x:v>CSBBO - Banking Ops</x:v>
      </x:c>
      <x:c r="E545" s="56" t="str">
        <x:v>RA.BO.1.7</x:v>
      </x:c>
      <x:c r="F545" s="14" t="str">
        <x:v>Obtain formal topic selection approval from management via SharePoint</x:v>
      </x:c>
      <x:c r="G545" s="5"/>
      <x:c r="H545" s="11"/>
      <x:c r="I545" s="11" t="n">
        <x:f>'Cycles &amp; Guide'!$D$13</x:f>
        <x:v>46387</x:v>
      </x:c>
      <x:c r="J545" s="11"/>
      <x:c r="K545" s="29"/>
      <x:c r="L545" s="2" t="str">
        <x:f>IF(O545=1,"Complete",IF(A545,"Checklist open",IF(H545&lt;&gt;"","In progress","Not started")))</x:f>
        <x:v>Not started</x:v>
      </x:c>
      <x:c r="M545" s="2" t="str">
        <x:v>Task</x:v>
      </x:c>
      <x:c r="N545" s="2" t="str">
        <x:v>RA.BO.1.7.2026.CY4</x:v>
      </x:c>
      <x:c r="O545" s="2" t="n">
        <x:f>R545</x:f>
        <x:v>0</x:v>
      </x:c>
      <x:c r="P545" s="2"/>
      <x:c r="Q545" s="2" t="n">
        <x:v>1</x:v>
      </x:c>
      <x:c r="R545" s="2" t="n">
        <x:f>IF(A545,1,0)</x:f>
        <x:v>0</x:v>
      </x:c>
      <x:c r="S545" s="2" t="n">
        <x:f>SUBTOTAL(103,N545)</x:f>
        <x:v>1</x:v>
      </x:c>
    </x:row>
    <x:row r="546" ht="42" customHeight="1">
      <x:c r="A546" s="28" t="b">
        <x:v>0</x:v>
      </x:c>
      <x:c r="B546" s="2" t="str">
        <x:v>Cycle 4</x:v>
      </x:c>
      <x:c r="C546" s="2" t="str">
        <x:v>Phase 1</x:v>
      </x:c>
      <x:c r="D546" s="2" t="str">
        <x:v>CSBBO - Banking Ops</x:v>
      </x:c>
      <x:c r="E546" s="56" t="str">
        <x:v>RA.BO.1.8</x:v>
      </x:c>
      <x:c r="F546" s="14" t="str">
        <x:v>Socialize topic selection with product owners and subject matter experts (if known)</x:v>
      </x:c>
      <x:c r="G546" s="5"/>
      <x:c r="H546" s="11"/>
      <x:c r="I546" s="11" t="n">
        <x:f>'Cycles &amp; Guide'!$D$13</x:f>
        <x:v>46387</x:v>
      </x:c>
      <x:c r="J546" s="11"/>
      <x:c r="K546" s="29"/>
      <x:c r="L546" s="2" t="str">
        <x:f>IF(O546=1,"Complete",IF(A546,"Checklist open",IF(H546&lt;&gt;"","In progress","Not started")))</x:f>
        <x:v>Not started</x:v>
      </x:c>
      <x:c r="M546" s="2" t="str">
        <x:v>Task</x:v>
      </x:c>
      <x:c r="N546" s="2" t="str">
        <x:v>RA.BO.1.8.2026.CY4</x:v>
      </x:c>
      <x:c r="O546" s="2" t="n">
        <x:f>R546</x:f>
        <x:v>0</x:v>
      </x:c>
      <x:c r="P546" s="2"/>
      <x:c r="Q546" s="2" t="n">
        <x:v>1</x:v>
      </x:c>
      <x:c r="R546" s="2" t="n">
        <x:f>IF(A546,1,0)</x:f>
        <x:v>0</x:v>
      </x:c>
      <x:c r="S546" s="2" t="n">
        <x:f>SUBTOTAL(103,N546)</x:f>
        <x:v>1</x:v>
      </x:c>
    </x:row>
    <x:row r="547" ht="42" customHeight="1">
      <x:c r="A547" s="28" t="b">
        <x:v>0</x:v>
      </x:c>
      <x:c r="B547" s="2" t="str">
        <x:v>Cycle 4</x:v>
      </x:c>
      <x:c r="C547" s="2" t="str">
        <x:v>Phase 1</x:v>
      </x:c>
      <x:c r="D547" s="2" t="str">
        <x:v>CSBBO - Banking Ops</x:v>
      </x:c>
      <x:c r="E547" s="56" t="str">
        <x:v>RA.BO.1.9</x:v>
      </x:c>
      <x:c r="F547" s="14" t="str">
        <x:v>Assign topic researchers</x:v>
      </x:c>
      <x:c r="G547" s="5"/>
      <x:c r="H547" s="11"/>
      <x:c r="I547" s="11" t="n">
        <x:f>'Cycles &amp; Guide'!$D$13</x:f>
        <x:v>46387</x:v>
      </x:c>
      <x:c r="J547" s="11"/>
      <x:c r="K547" s="29"/>
      <x:c r="L547" s="2" t="str">
        <x:f>IF(O547=1,"Complete",IF(A547,"Checklist open",IF(H547&lt;&gt;"","In progress","Not started")))</x:f>
        <x:v>Not started</x:v>
      </x:c>
      <x:c r="M547" s="2" t="str">
        <x:v>Task</x:v>
      </x:c>
      <x:c r="N547" s="2" t="str">
        <x:v>RA.BO.1.9.2026.CY4</x:v>
      </x:c>
      <x:c r="O547" s="2" t="n">
        <x:f>R547</x:f>
        <x:v>0</x:v>
      </x:c>
      <x:c r="P547" s="2"/>
      <x:c r="Q547" s="2" t="n">
        <x:v>1</x:v>
      </x:c>
      <x:c r="R547" s="2" t="n">
        <x:f>IF(A547,1,0)</x:f>
        <x:v>0</x:v>
      </x:c>
      <x:c r="S547" s="2" t="n">
        <x:f>SUBTOTAL(103,N547)</x:f>
        <x:v>1</x:v>
      </x:c>
    </x:row>
    <x:row r="548" ht="42" customHeight="1">
      <x:c r="A548" s="28" t="b">
        <x:v>0</x:v>
      </x:c>
      <x:c r="B548" s="2" t="str">
        <x:v>Cycle 4</x:v>
      </x:c>
      <x:c r="C548" s="2" t="str">
        <x:v>Phase 2</x:v>
      </x:c>
      <x:c r="D548" s="2" t="str">
        <x:v>CSBBO - Banking Ops</x:v>
      </x:c>
      <x:c r="E548" s="56" t="str">
        <x:v>RA.BO.2.1</x:v>
      </x:c>
      <x:c r="F548" s="14" t="str">
        <x:v>Review data sources</x:v>
      </x:c>
      <x:c r="G548" s="5"/>
      <x:c r="H548" s="11"/>
      <x:c r="I548" s="11" t="n">
        <x:f>'Cycles &amp; Guide'!$D$13</x:f>
        <x:v>46387</x:v>
      </x:c>
      <x:c r="J548" s="11"/>
      <x:c r="K548" s="29"/>
      <x:c r="L548" s="2" t="str">
        <x:f>IF(O548=1,"Complete",IF(A548,"Checklist open",IF(H548&lt;&gt;"","In progress","Not started")))</x:f>
        <x:v>Not started</x:v>
      </x:c>
      <x:c r="M548" s="2" t="str">
        <x:v>Task</x:v>
      </x:c>
      <x:c r="N548" s="2" t="str">
        <x:v>RA.BO.2.1.2026.CY4</x:v>
      </x:c>
      <x:c r="O548" s="2" t="n">
        <x:f>R548</x:f>
        <x:v>0</x:v>
      </x:c>
      <x:c r="P548" s="2"/>
      <x:c r="Q548" s="2" t="n">
        <x:v>1</x:v>
      </x:c>
      <x:c r="R548" s="2" t="n">
        <x:f>IF(A548,1,0)</x:f>
        <x:v>0</x:v>
      </x:c>
      <x:c r="S548" s="2" t="n">
        <x:f>SUBTOTAL(103,N548)</x:f>
        <x:v>1</x:v>
      </x:c>
    </x:row>
    <x:row r="549" ht="42" customHeight="1">
      <x:c r="A549" s="28" t="b">
        <x:v>0</x:v>
      </x:c>
      <x:c r="B549" s="2" t="str">
        <x:v>Cycle 4</x:v>
      </x:c>
      <x:c r="C549" s="2" t="str">
        <x:v>Phase 2</x:v>
      </x:c>
      <x:c r="D549" s="2" t="str">
        <x:v>CSBBO - Banking Ops</x:v>
      </x:c>
      <x:c r="E549" s="56" t="str">
        <x:v>RA.BO.2.2</x:v>
      </x:c>
      <x:c r="F549" s="14" t="str">
        <x:v>Review relevant policies and procedures</x:v>
      </x:c>
      <x:c r="G549" s="5"/>
      <x:c r="H549" s="11"/>
      <x:c r="I549" s="11" t="n">
        <x:f>'Cycles &amp; Guide'!$D$13</x:f>
        <x:v>46387</x:v>
      </x:c>
      <x:c r="J549" s="11"/>
      <x:c r="K549" s="29"/>
      <x:c r="L549" s="2" t="str">
        <x:f>IF(O549=1,"Complete",IF(A549,"Checklist open",IF(H549&lt;&gt;"","In progress","Not started")))</x:f>
        <x:v>Not started</x:v>
      </x:c>
      <x:c r="M549" s="2" t="str">
        <x:v>Task</x:v>
      </x:c>
      <x:c r="N549" s="2" t="str">
        <x:v>RA.BO.2.2.2026.CY4</x:v>
      </x:c>
      <x:c r="O549" s="2" t="n">
        <x:f>R549</x:f>
        <x:v>0</x:v>
      </x:c>
      <x:c r="P549" s="2"/>
      <x:c r="Q549" s="2" t="n">
        <x:v>1</x:v>
      </x:c>
      <x:c r="R549" s="2" t="n">
        <x:f>IF(A549,1,0)</x:f>
        <x:v>0</x:v>
      </x:c>
      <x:c r="S549" s="2" t="n">
        <x:f>SUBTOTAL(103,N549)</x:f>
        <x:v>1</x:v>
      </x:c>
    </x:row>
    <x:row r="550" ht="42" customHeight="1">
      <x:c r="A550" s="28" t="b">
        <x:v>0</x:v>
      </x:c>
      <x:c r="B550" s="2" t="str">
        <x:v>Cycle 4</x:v>
      </x:c>
      <x:c r="C550" s="2" t="str">
        <x:v>Phase 2</x:v>
      </x:c>
      <x:c r="D550" s="2" t="str">
        <x:v>CSBBO - Banking Ops</x:v>
      </x:c>
      <x:c r="E550" s="56" t="str">
        <x:v>RA.BO.2.3</x:v>
      </x:c>
      <x:c r="F550" s="14" t="str">
        <x:v>Meet with SMEs to gain business insight and clarify questions</x:v>
      </x:c>
      <x:c r="G550" s="5"/>
      <x:c r="H550" s="11"/>
      <x:c r="I550" s="11" t="n">
        <x:f>'Cycles &amp; Guide'!$D$13</x:f>
        <x:v>46387</x:v>
      </x:c>
      <x:c r="J550" s="11"/>
      <x:c r="K550" s="29"/>
      <x:c r="L550" s="2" t="str">
        <x:f>IF(O550=1,"Complete",IF(A550,"Checklist open",IF(H550&lt;&gt;"","In progress","Not started")))</x:f>
        <x:v>Not started</x:v>
      </x:c>
      <x:c r="M550" s="2" t="str">
        <x:v>Task</x:v>
      </x:c>
      <x:c r="N550" s="2" t="str">
        <x:v>RA.BO.2.3.2026.CY4</x:v>
      </x:c>
      <x:c r="O550" s="2" t="n">
        <x:f>R550</x:f>
        <x:v>0</x:v>
      </x:c>
      <x:c r="P550" s="2"/>
      <x:c r="Q550" s="2" t="n">
        <x:v>1</x:v>
      </x:c>
      <x:c r="R550" s="2" t="n">
        <x:f>IF(A550,1,0)</x:f>
        <x:v>0</x:v>
      </x:c>
      <x:c r="S550" s="2" t="n">
        <x:f>SUBTOTAL(103,N550)</x:f>
        <x:v>1</x:v>
      </x:c>
    </x:row>
    <x:row r="551" ht="42" customHeight="1">
      <x:c r="A551" s="28" t="b">
        <x:v>0</x:v>
      </x:c>
      <x:c r="B551" s="2" t="str">
        <x:v>Cycle 4</x:v>
      </x:c>
      <x:c r="C551" s="2" t="str">
        <x:v>Phase 2</x:v>
      </x:c>
      <x:c r="D551" s="2" t="str">
        <x:v>CSBBO - Banking Ops</x:v>
      </x:c>
      <x:c r="E551" s="56" t="str">
        <x:v>RA.BO.2.4</x:v>
      </x:c>
      <x:c r="F551" s="14" t="str">
        <x:v>Establish and maintain a recurring meeting with D&amp;I to discuss Cycle progress</x:v>
      </x:c>
      <x:c r="G551" s="5"/>
      <x:c r="H551" s="11"/>
      <x:c r="I551" s="11" t="n">
        <x:f>'Cycles &amp; Guide'!$D$13</x:f>
        <x:v>46387</x:v>
      </x:c>
      <x:c r="J551" s="11"/>
      <x:c r="K551" s="29"/>
      <x:c r="L551" s="2" t="str">
        <x:f>IF(O551=1,"Complete",IF(A551,"Checklist open",IF(H551&lt;&gt;"","In progress","Not started")))</x:f>
        <x:v>Not started</x:v>
      </x:c>
      <x:c r="M551" s="2" t="str">
        <x:v>Task</x:v>
      </x:c>
      <x:c r="N551" s="2" t="str">
        <x:v>RA.BO.2.4.2026.CY4</x:v>
      </x:c>
      <x:c r="O551" s="2" t="n">
        <x:f>R551</x:f>
        <x:v>0</x:v>
      </x:c>
      <x:c r="P551" s="2"/>
      <x:c r="Q551" s="2" t="n">
        <x:v>1</x:v>
      </x:c>
      <x:c r="R551" s="2" t="n">
        <x:f>IF(A551,1,0)</x:f>
        <x:v>0</x:v>
      </x:c>
      <x:c r="S551" s="2" t="n">
        <x:f>SUBTOTAL(103,N551)</x:f>
        <x:v>1</x:v>
      </x:c>
    </x:row>
    <x:row r="552" ht="42" customHeight="1">
      <x:c r="A552" s="28" t="b">
        <x:v>0</x:v>
      </x:c>
      <x:c r="B552" s="2" t="str">
        <x:v>Cycle 4</x:v>
      </x:c>
      <x:c r="C552" s="2" t="str">
        <x:v>Phase 2</x:v>
      </x:c>
      <x:c r="D552" s="2" t="str">
        <x:v>CSBBO - Banking Ops</x:v>
      </x:c>
      <x:c r="E552" s="56" t="str">
        <x:v>RA.BO.2.5</x:v>
      </x:c>
      <x:c r="F552" s="14" t="str">
        <x:v>Perform data testing and sampling</x:v>
      </x:c>
      <x:c r="G552" s="5"/>
      <x:c r="H552" s="11"/>
      <x:c r="I552" s="11" t="n">
        <x:f>'Cycles &amp; Guide'!$D$13</x:f>
        <x:v>46387</x:v>
      </x:c>
      <x:c r="J552" s="11"/>
      <x:c r="K552" s="29"/>
      <x:c r="L552" s="2" t="str">
        <x:f>IF(O552=1,"Complete",IF(A552,"Checklist open",IF(H552&lt;&gt;"","In progress","Not started")))</x:f>
        <x:v>Not started</x:v>
      </x:c>
      <x:c r="M552" s="2" t="str">
        <x:v>Task</x:v>
      </x:c>
      <x:c r="N552" s="2" t="str">
        <x:v>RA.BO.2.5.2026.CY4</x:v>
      </x:c>
      <x:c r="O552" s="2" t="n">
        <x:f>R552</x:f>
        <x:v>0</x:v>
      </x:c>
      <x:c r="P552" s="2"/>
      <x:c r="Q552" s="2" t="n">
        <x:v>1</x:v>
      </x:c>
      <x:c r="R552" s="2" t="n">
        <x:f>IF(A552,1,0)</x:f>
        <x:v>0</x:v>
      </x:c>
      <x:c r="S552" s="2" t="n">
        <x:f>SUBTOTAL(103,N552)</x:f>
        <x:v>1</x:v>
      </x:c>
    </x:row>
    <x:row r="553" ht="42" customHeight="1">
      <x:c r="A553" s="28" t="b">
        <x:v>0</x:v>
      </x:c>
      <x:c r="B553" s="2" t="str">
        <x:v>Cycle 4</x:v>
      </x:c>
      <x:c r="C553" s="2" t="str">
        <x:v>Phase 2</x:v>
      </x:c>
      <x:c r="D553" s="2" t="str">
        <x:v>CSBBO - Banking Ops</x:v>
      </x:c>
      <x:c r="E553" s="56" t="str">
        <x:v>RA.BO.2.6</x:v>
      </x:c>
      <x:c r="F553" s="14" t="str">
        <x:v>Complete Positive Testing</x:v>
      </x:c>
      <x:c r="G553" s="5"/>
      <x:c r="H553" s="11"/>
      <x:c r="I553" s="11" t="n">
        <x:f>'Cycles &amp; Guide'!$D$13</x:f>
        <x:v>46387</x:v>
      </x:c>
      <x:c r="J553" s="11"/>
      <x:c r="K553" s="29"/>
      <x:c r="L553" s="2" t="str">
        <x:f>IF(O553=1,"Complete",IF(A553,"Checklist open",IF(H553&lt;&gt;"","In progress","Not started")))</x:f>
        <x:v>Not started</x:v>
      </x:c>
      <x:c r="M553" s="2" t="str">
        <x:v>Task</x:v>
      </x:c>
      <x:c r="N553" s="2" t="str">
        <x:v>RA.BO.2.6.2026.CY4</x:v>
      </x:c>
      <x:c r="O553" s="2" t="n">
        <x:f>R553</x:f>
        <x:v>0</x:v>
      </x:c>
      <x:c r="P553" s="2"/>
      <x:c r="Q553" s="2" t="n">
        <x:v>1</x:v>
      </x:c>
      <x:c r="R553" s="2" t="n">
        <x:f>IF(A553,1,0)</x:f>
        <x:v>0</x:v>
      </x:c>
      <x:c r="S553" s="2" t="n">
        <x:f>SUBTOTAL(103,N553)</x:f>
        <x:v>1</x:v>
      </x:c>
    </x:row>
    <x:row r="554" ht="42" customHeight="1">
      <x:c r="A554" s="28" t="b">
        <x:v>0</x:v>
      </x:c>
      <x:c r="B554" s="2" t="str">
        <x:v>Cycle 4</x:v>
      </x:c>
      <x:c r="C554" s="2" t="str">
        <x:v>Phase 2</x:v>
      </x:c>
      <x:c r="D554" s="2" t="str">
        <x:v>CSBBO - Banking Ops</x:v>
      </x:c>
      <x:c r="E554" s="56" t="str">
        <x:v>RA.BO.2.7</x:v>
      </x:c>
      <x:c r="F554" s="14" t="str">
        <x:v>Complete Negative Testing</x:v>
      </x:c>
      <x:c r="G554" s="5"/>
      <x:c r="H554" s="11"/>
      <x:c r="I554" s="11" t="n">
        <x:f>'Cycles &amp; Guide'!$D$13</x:f>
        <x:v>46387</x:v>
      </x:c>
      <x:c r="J554" s="11"/>
      <x:c r="K554" s="29"/>
      <x:c r="L554" s="2" t="str">
        <x:f>IF(O554=1,"Complete",IF(A554,"Checklist open",IF(H554&lt;&gt;"","In progress","Not started")))</x:f>
        <x:v>Not started</x:v>
      </x:c>
      <x:c r="M554" s="2" t="str">
        <x:v>Task</x:v>
      </x:c>
      <x:c r="N554" s="2" t="str">
        <x:v>RA.BO.2.7.2026.CY4</x:v>
      </x:c>
      <x:c r="O554" s="2" t="n">
        <x:f>R554</x:f>
        <x:v>0</x:v>
      </x:c>
      <x:c r="P554" s="2"/>
      <x:c r="Q554" s="2" t="n">
        <x:v>1</x:v>
      </x:c>
      <x:c r="R554" s="2" t="n">
        <x:f>IF(A554,1,0)</x:f>
        <x:v>0</x:v>
      </x:c>
      <x:c r="S554" s="2" t="n">
        <x:f>SUBTOTAL(103,N554)</x:f>
        <x:v>1</x:v>
      </x:c>
    </x:row>
    <x:row r="555" ht="42" customHeight="1">
      <x:c r="A555" s="28" t="b">
        <x:v>0</x:v>
      </x:c>
      <x:c r="B555" s="2" t="str">
        <x:v>Cycle 4</x:v>
      </x:c>
      <x:c r="C555" s="2" t="str">
        <x:v>Phase 2</x:v>
      </x:c>
      <x:c r="D555" s="2" t="str">
        <x:v>CSBBO - Banking Ops</x:v>
      </x:c>
      <x:c r="E555" s="56" t="str">
        <x:v>RA.BO.2.8</x:v>
      </x:c>
      <x:c r="F555" s="14" t="str">
        <x:v>Request additional data (as needed)</x:v>
      </x:c>
      <x:c r="G555" s="5"/>
      <x:c r="H555" s="11"/>
      <x:c r="I555" s="11" t="n">
        <x:f>'Cycles &amp; Guide'!$D$13</x:f>
        <x:v>46387</x:v>
      </x:c>
      <x:c r="J555" s="11"/>
      <x:c r="K555" s="29"/>
      <x:c r="L555" s="2" t="str">
        <x:f>IF(O555=1,"Complete",IF(A555,"Checklist open",IF(H555&lt;&gt;"","In progress","Not started")))</x:f>
        <x:v>Not started</x:v>
      </x:c>
      <x:c r="M555" s="2" t="str">
        <x:v>Task</x:v>
      </x:c>
      <x:c r="N555" s="2" t="str">
        <x:v>RA.BO.2.8.2026.CY4</x:v>
      </x:c>
      <x:c r="O555" s="2" t="n">
        <x:f>R555</x:f>
        <x:v>0</x:v>
      </x:c>
      <x:c r="P555" s="2"/>
      <x:c r="Q555" s="2" t="n">
        <x:v>1</x:v>
      </x:c>
      <x:c r="R555" s="2" t="n">
        <x:f>IF(A555,1,0)</x:f>
        <x:v>0</x:v>
      </x:c>
      <x:c r="S555" s="2" t="n">
        <x:f>SUBTOTAL(103,N555)</x:f>
        <x:v>1</x:v>
      </x:c>
    </x:row>
    <x:row r="556" ht="42" customHeight="1">
      <x:c r="A556" s="28" t="b">
        <x:v>0</x:v>
      </x:c>
      <x:c r="B556" s="2" t="str">
        <x:v>Cycle 4</x:v>
      </x:c>
      <x:c r="C556" s="2" t="str">
        <x:v>Phase 2</x:v>
      </x:c>
      <x:c r="D556" s="2" t="str">
        <x:v>CSBBO - Banking Ops</x:v>
      </x:c>
      <x:c r="E556" s="56" t="str">
        <x:v>RA.BO.2.9</x:v>
      </x:c>
      <x:c r="F556" s="14" t="str">
        <x:v>Validate or disprove initial hypothesis assumptions</x:v>
      </x:c>
      <x:c r="G556" s="5"/>
      <x:c r="H556" s="11"/>
      <x:c r="I556" s="11" t="n">
        <x:f>'Cycles &amp; Guide'!$D$13</x:f>
        <x:v>46387</x:v>
      </x:c>
      <x:c r="J556" s="11"/>
      <x:c r="K556" s="29"/>
      <x:c r="L556" s="2" t="str">
        <x:f>IF(O556=1,"Complete",IF(A556,"Checklist open",IF(H556&lt;&gt;"","In progress","Not started")))</x:f>
        <x:v>Not started</x:v>
      </x:c>
      <x:c r="M556" s="2" t="str">
        <x:v>Task</x:v>
      </x:c>
      <x:c r="N556" s="2" t="str">
        <x:v>RA.BO.2.9.2026.CY4</x:v>
      </x:c>
      <x:c r="O556" s="2" t="n">
        <x:f>R556</x:f>
        <x:v>0</x:v>
      </x:c>
      <x:c r="P556" s="2"/>
      <x:c r="Q556" s="2" t="n">
        <x:v>1</x:v>
      </x:c>
      <x:c r="R556" s="2" t="n">
        <x:f>IF(A556,1,0)</x:f>
        <x:v>0</x:v>
      </x:c>
      <x:c r="S556" s="2" t="n">
        <x:f>SUBTOTAL(103,N556)</x:f>
        <x:v>1</x:v>
      </x:c>
    </x:row>
    <x:row r="557" ht="42" customHeight="1">
      <x:c r="A557" s="28" t="b">
        <x:v>0</x:v>
      </x:c>
      <x:c r="B557" s="2" t="str">
        <x:v>Cycle 4</x:v>
      </x:c>
      <x:c r="C557" s="2" t="str">
        <x:v>Phase 2</x:v>
      </x:c>
      <x:c r="D557" s="2" t="str">
        <x:v>CSBBO - Banking Ops</x:v>
      </x:c>
      <x:c r="E557" s="56" t="str">
        <x:v>RA.BO.2.10</x:v>
      </x:c>
      <x:c r="F557" s="14" t="str">
        <x:v>Identify and confirm root cause</x:v>
      </x:c>
      <x:c r="G557" s="5"/>
      <x:c r="H557" s="11"/>
      <x:c r="I557" s="11" t="n">
        <x:f>'Cycles &amp; Guide'!$D$13</x:f>
        <x:v>46387</x:v>
      </x:c>
      <x:c r="J557" s="11"/>
      <x:c r="K557" s="29"/>
      <x:c r="L557" s="2" t="str">
        <x:f>IF(O557=1,"Complete",IF(A557,"Checklist open",IF(H557&lt;&gt;"","In progress","Not started")))</x:f>
        <x:v>Not started</x:v>
      </x:c>
      <x:c r="M557" s="2" t="str">
        <x:v>Task</x:v>
      </x:c>
      <x:c r="N557" s="2" t="str">
        <x:v>RA.BO.2.10.2026.CY4</x:v>
      </x:c>
      <x:c r="O557" s="2" t="n">
        <x:f>R557</x:f>
        <x:v>0</x:v>
      </x:c>
      <x:c r="P557" s="2"/>
      <x:c r="Q557" s="2" t="n">
        <x:v>1</x:v>
      </x:c>
      <x:c r="R557" s="2" t="n">
        <x:f>IF(A557,1,0)</x:f>
        <x:v>0</x:v>
      </x:c>
      <x:c r="S557" s="2" t="n">
        <x:f>SUBTOTAL(103,N557)</x:f>
        <x:v>1</x:v>
      </x:c>
    </x:row>
    <x:row r="558" ht="42" customHeight="1">
      <x:c r="A558" s="28" t="b">
        <x:v>0</x:v>
      </x:c>
      <x:c r="B558" s="2" t="str">
        <x:v>Cycle 4</x:v>
      </x:c>
      <x:c r="C558" s="2" t="str">
        <x:v>Phase 3</x:v>
      </x:c>
      <x:c r="D558" s="2" t="str">
        <x:v>CSBBO - Banking Ops</x:v>
      </x:c>
      <x:c r="E558" s="56" t="str">
        <x:v>RA.BO.3.1</x:v>
      </x:c>
      <x:c r="F558" s="14" t="str">
        <x:v>Finalize results and supporting documentation</x:v>
      </x:c>
      <x:c r="G558" s="5"/>
      <x:c r="H558" s="11"/>
      <x:c r="I558" s="11" t="n">
        <x:f>'Cycles &amp; Guide'!$D$13</x:f>
        <x:v>46387</x:v>
      </x:c>
      <x:c r="J558" s="11"/>
      <x:c r="K558" s="29"/>
      <x:c r="L558" s="2" t="str">
        <x:f>IF(O558=1,"Complete",IF(A558,"Checklist open",IF(H558&lt;&gt;"","In progress","Not started")))</x:f>
        <x:v>Not started</x:v>
      </x:c>
      <x:c r="M558" s="2" t="str">
        <x:v>Task</x:v>
      </x:c>
      <x:c r="N558" s="2" t="str">
        <x:v>RA.BO.3.1.2026.CY4</x:v>
      </x:c>
      <x:c r="O558" s="2" t="n">
        <x:f>R558</x:f>
        <x:v>0</x:v>
      </x:c>
      <x:c r="P558" s="2"/>
      <x:c r="Q558" s="2" t="n">
        <x:v>1</x:v>
      </x:c>
      <x:c r="R558" s="2" t="n">
        <x:f>IF(A558,1,0)</x:f>
        <x:v>0</x:v>
      </x:c>
      <x:c r="S558" s="2" t="n">
        <x:f>SUBTOTAL(103,N558)</x:f>
        <x:v>1</x:v>
      </x:c>
    </x:row>
    <x:row r="559" ht="42" customHeight="1">
      <x:c r="A559" s="28" t="b">
        <x:v>0</x:v>
      </x:c>
      <x:c r="B559" s="2" t="str">
        <x:v>Cycle 4</x:v>
      </x:c>
      <x:c r="C559" s="2" t="str">
        <x:v>Phase 3</x:v>
      </x:c>
      <x:c r="D559" s="2" t="str">
        <x:v>CSBBO - Banking Ops</x:v>
      </x:c>
      <x:c r="E559" s="56" t="str">
        <x:v>RA.BO.3.2</x:v>
      </x:c>
      <x:c r="F559" s="14" t="str">
        <x:v>Maintain and update the evidence package prior to handoff to D&amp;I</x:v>
      </x:c>
      <x:c r="G559" s="5"/>
      <x:c r="H559" s="11"/>
      <x:c r="I559" s="11" t="n">
        <x:f>'Cycles &amp; Guide'!$D$13</x:f>
        <x:v>46387</x:v>
      </x:c>
      <x:c r="J559" s="11"/>
      <x:c r="K559" s="29"/>
      <x:c r="L559" s="2" t="str">
        <x:f>IF(O559=1,"Complete",IF(A559,"Checklist open",IF(H559&lt;&gt;"","In progress","Not started")))</x:f>
        <x:v>Not started</x:v>
      </x:c>
      <x:c r="M559" s="2" t="str">
        <x:v>Task</x:v>
      </x:c>
      <x:c r="N559" s="2" t="str">
        <x:v>RA.BO.3.2.2026.CY4</x:v>
      </x:c>
      <x:c r="O559" s="2" t="n">
        <x:f>R559</x:f>
        <x:v>0</x:v>
      </x:c>
      <x:c r="P559" s="2"/>
      <x:c r="Q559" s="2" t="n">
        <x:v>1</x:v>
      </x:c>
      <x:c r="R559" s="2" t="n">
        <x:f>IF(A559,1,0)</x:f>
        <x:v>0</x:v>
      </x:c>
      <x:c r="S559" s="2" t="n">
        <x:f>SUBTOTAL(103,N559)</x:f>
        <x:v>1</x:v>
      </x:c>
    </x:row>
    <x:row r="560" ht="42" customHeight="1">
      <x:c r="A560" s="28" t="b">
        <x:v>0</x:v>
      </x:c>
      <x:c r="B560" s="2" t="str">
        <x:v>Cycle 4</x:v>
      </x:c>
      <x:c r="C560" s="2" t="str">
        <x:v>Phase 3</x:v>
      </x:c>
      <x:c r="D560" s="2" t="str">
        <x:v>CSBBO - Banking Ops</x:v>
      </x:c>
      <x:c r="E560" s="56" t="str">
        <x:v>RA.BO.3.3</x:v>
      </x:c>
      <x:c r="F560" s="14" t="str">
        <x:v>Address any outstanding questions or requests from D&amp;I</x:v>
      </x:c>
      <x:c r="G560" s="5"/>
      <x:c r="H560" s="11"/>
      <x:c r="I560" s="11" t="n">
        <x:f>'Cycles &amp; Guide'!$D$13</x:f>
        <x:v>46387</x:v>
      </x:c>
      <x:c r="J560" s="11"/>
      <x:c r="K560" s="29"/>
      <x:c r="L560" s="2" t="str">
        <x:f>IF(O560=1,"Complete",IF(A560,"Checklist open",IF(H560&lt;&gt;"","In progress","Not started")))</x:f>
        <x:v>Not started</x:v>
      </x:c>
      <x:c r="M560" s="2" t="str">
        <x:v>Task</x:v>
      </x:c>
      <x:c r="N560" s="2" t="str">
        <x:v>RA.BO.3.3.2026.CY4</x:v>
      </x:c>
      <x:c r="O560" s="2" t="n">
        <x:f>R560</x:f>
        <x:v>0</x:v>
      </x:c>
      <x:c r="P560" s="2"/>
      <x:c r="Q560" s="2" t="n">
        <x:v>1</x:v>
      </x:c>
      <x:c r="R560" s="2" t="n">
        <x:f>IF(A560,1,0)</x:f>
        <x:v>0</x:v>
      </x:c>
      <x:c r="S560" s="2" t="n">
        <x:f>SUBTOTAL(103,N560)</x:f>
        <x:v>1</x:v>
      </x:c>
    </x:row>
    <x:row r="561" ht="42" customHeight="1">
      <x:c r="A561" s="28" t="b">
        <x:v>0</x:v>
      </x:c>
      <x:c r="B561" s="2" t="str">
        <x:v>Cycle 4</x:v>
      </x:c>
      <x:c r="C561" s="2" t="str">
        <x:v>Phase 3</x:v>
      </x:c>
      <x:c r="D561" s="2" t="str">
        <x:v>CSBBO - Banking Ops</x:v>
      </x:c>
      <x:c r="E561" s="56" t="str">
        <x:v>RA.BO.3.4</x:v>
      </x:c>
      <x:c r="F561" s="14" t="str">
        <x:v>Attend Forum meeting with D&amp;I to assist with answering stakeholder questions (as needed)</x:v>
      </x:c>
      <x:c r="G561" s="5"/>
      <x:c r="H561" s="11"/>
      <x:c r="I561" s="11" t="str">
        <x:f>IF(SUMIFS('Cycles &amp; Guide'!$D$23:$D$50,'Cycles &amp; Guide'!$B$23:$B$50,B561,'Cycles &amp; Guide'!$C$23:$C$50,D561)=0,"",SUMIFS('Cycles &amp; Guide'!$D$23:$D$50,'Cycles &amp; Guide'!$B$23:$B$50,B561,'Cycles &amp; Guide'!$C$23:$C$50,D561))</x:f>
      </x:c>
      <x:c r="J561" s="11"/>
      <x:c r="K561" s="29"/>
      <x:c r="L561" s="2" t="str">
        <x:f>IF(O561=1,"Complete",IF(A561,"Checklist open",IF(H561&lt;&gt;"","In progress","Not started")))</x:f>
        <x:v>Not started</x:v>
      </x:c>
      <x:c r="M561" s="2" t="str">
        <x:v>Task</x:v>
      </x:c>
      <x:c r="N561" s="2" t="str">
        <x:v>RA.BO.3.4.2026.CY4</x:v>
      </x:c>
      <x:c r="O561" s="2" t="n">
        <x:f>R561</x:f>
        <x:v>0</x:v>
      </x:c>
      <x:c r="P561" s="2"/>
      <x:c r="Q561" s="2" t="n">
        <x:v>1</x:v>
      </x:c>
      <x:c r="R561" s="2" t="n">
        <x:f>IF(A561,1,0)</x:f>
        <x:v>0</x:v>
      </x:c>
      <x:c r="S561" s="2" t="n">
        <x:f>SUBTOTAL(103,N561)</x:f>
        <x:v>1</x:v>
      </x:c>
    </x:row>
    <x:row r="562" ht="42" customHeight="1">
      <x:c r="A562" s="28" t="b">
        <x:v>0</x:v>
      </x:c>
      <x:c r="B562" s="2" t="str">
        <x:v>Cycle 4</x:v>
      </x:c>
      <x:c r="C562" s="2" t="str">
        <x:v>Phase 1</x:v>
      </x:c>
      <x:c r="D562" s="2" t="str">
        <x:v>CSBBO - Customer Service</x:v>
      </x:c>
      <x:c r="E562" s="56" t="str">
        <x:v>RA.CS.1.1</x:v>
      </x:c>
      <x:c r="F562" s="14" t="str">
        <x:v>Begin Research process 2 weeks prior to Cycle start</x:v>
      </x:c>
      <x:c r="G562" s="5"/>
      <x:c r="H562" s="11"/>
      <x:c r="I562" s="11" t="n">
        <x:f>'Cycles &amp; Guide'!$C$13-14</x:f>
        <x:v>46282</x:v>
      </x:c>
      <x:c r="J562" s="11"/>
      <x:c r="K562" s="29"/>
      <x:c r="L562" s="2" t="str">
        <x:f>IF(O562=1,"Complete",IF(A562,"Checklist open",IF(H562&lt;&gt;"","In progress","Not started")))</x:f>
        <x:v>Not started</x:v>
      </x:c>
      <x:c r="M562" s="2" t="str">
        <x:v>Task</x:v>
      </x:c>
      <x:c r="N562" s="2" t="str">
        <x:v>RA.CS.1.1.2026.CY4</x:v>
      </x:c>
      <x:c r="O562" s="2" t="n">
        <x:f>R562</x:f>
        <x:v>0</x:v>
      </x:c>
      <x:c r="P562" s="2"/>
      <x:c r="Q562" s="2" t="n">
        <x:v>1</x:v>
      </x:c>
      <x:c r="R562" s="2" t="n">
        <x:f>IF(A562,1,0)</x:f>
        <x:v>0</x:v>
      </x:c>
      <x:c r="S562" s="2" t="n">
        <x:f>SUBTOTAL(103,N562)</x:f>
        <x:v>1</x:v>
      </x:c>
    </x:row>
    <x:row r="563" ht="42" customHeight="1">
      <x:c r="A563" s="28" t="b">
        <x:v>0</x:v>
      </x:c>
      <x:c r="B563" s="2" t="str">
        <x:v>Cycle 4</x:v>
      </x:c>
      <x:c r="C563" s="2" t="str">
        <x:v>Phase 1</x:v>
      </x:c>
      <x:c r="D563" s="2" t="str">
        <x:v>CSBBO - Customer Service</x:v>
      </x:c>
      <x:c r="E563" s="56" t="str">
        <x:v>RA.CS.1.2</x:v>
      </x:c>
      <x:c r="F563" s="14" t="str">
        <x:v>Conduct initial assessment of each topic recommendation from SharePoint list</x:v>
      </x:c>
      <x:c r="G563" s="5"/>
      <x:c r="H563" s="11"/>
      <x:c r="I563" s="11" t="n">
        <x:f>'Cycles &amp; Guide'!$D$13</x:f>
        <x:v>46387</x:v>
      </x:c>
      <x:c r="J563" s="11"/>
      <x:c r="K563" s="29"/>
      <x:c r="L563" s="2" t="str">
        <x:f>IF(O563=1,"Complete",IF(A563,"Checklist open",IF(H563&lt;&gt;"","In progress","Not started")))</x:f>
        <x:v>Not started</x:v>
      </x:c>
      <x:c r="M563" s="2" t="str">
        <x:v>Task</x:v>
      </x:c>
      <x:c r="N563" s="2" t="str">
        <x:v>RA.CS.1.2.2026.CY4</x:v>
      </x:c>
      <x:c r="O563" s="2" t="n">
        <x:f>R563</x:f>
        <x:v>0</x:v>
      </x:c>
      <x:c r="P563" s="2"/>
      <x:c r="Q563" s="2" t="n">
        <x:v>1</x:v>
      </x:c>
      <x:c r="R563" s="2" t="n">
        <x:f>IF(A563,1,0)</x:f>
        <x:v>0</x:v>
      </x:c>
      <x:c r="S563" s="2" t="n">
        <x:f>SUBTOTAL(103,N563)</x:f>
        <x:v>1</x:v>
      </x:c>
    </x:row>
    <x:row r="564" ht="42" customHeight="1">
      <x:c r="A564" s="28" t="b">
        <x:v>0</x:v>
      </x:c>
      <x:c r="B564" s="2" t="str">
        <x:v>Cycle 4</x:v>
      </x:c>
      <x:c r="C564" s="2" t="str">
        <x:v>Phase 1</x:v>
      </x:c>
      <x:c r="D564" s="2" t="str">
        <x:v>CSBBO - Customer Service</x:v>
      </x:c>
      <x:c r="E564" s="56" t="str">
        <x:v>RA.CS.1.3</x:v>
      </x:c>
      <x:c r="F564" s="14" t="str">
        <x:v>Identify best topic for Cycle</x:v>
      </x:c>
      <x:c r="G564" s="5"/>
      <x:c r="H564" s="11"/>
      <x:c r="I564" s="11" t="n">
        <x:f>'Cycles &amp; Guide'!$D$13</x:f>
        <x:v>46387</x:v>
      </x:c>
      <x:c r="J564" s="11"/>
      <x:c r="K564" s="29"/>
      <x:c r="L564" s="2" t="str">
        <x:f>IF(O564=1,"Complete",IF(A564,"Checklist open",IF(H564&lt;&gt;"","In progress","Not started")))</x:f>
        <x:v>Not started</x:v>
      </x:c>
      <x:c r="M564" s="2" t="str">
        <x:v>Task</x:v>
      </x:c>
      <x:c r="N564" s="2" t="str">
        <x:v>RA.CS.1.3.2026.CY4</x:v>
      </x:c>
      <x:c r="O564" s="2" t="n">
        <x:f>R564</x:f>
        <x:v>0</x:v>
      </x:c>
      <x:c r="P564" s="2"/>
      <x:c r="Q564" s="2" t="n">
        <x:v>1</x:v>
      </x:c>
      <x:c r="R564" s="2" t="n">
        <x:f>IF(A564,1,0)</x:f>
        <x:v>0</x:v>
      </x:c>
      <x:c r="S564" s="2" t="n">
        <x:f>SUBTOTAL(103,N564)</x:f>
        <x:v>1</x:v>
      </x:c>
    </x:row>
    <x:row r="565" ht="42" customHeight="1">
      <x:c r="A565" s="28" t="b">
        <x:v>0</x:v>
      </x:c>
      <x:c r="B565" s="2" t="str">
        <x:v>Cycle 4</x:v>
      </x:c>
      <x:c r="C565" s="2" t="str">
        <x:v>Phase 1</x:v>
      </x:c>
      <x:c r="D565" s="2" t="str">
        <x:v>CSBBO - Customer Service</x:v>
      </x:c>
      <x:c r="E565" s="56" t="str">
        <x:v>RA.CS.1.4</x:v>
      </x:c>
      <x:c r="F565" s="14" t="str">
        <x:v>Identify backup topic for Cycle</x:v>
      </x:c>
      <x:c r="G565" s="5"/>
      <x:c r="H565" s="11"/>
      <x:c r="I565" s="11" t="n">
        <x:f>'Cycles &amp; Guide'!$D$13</x:f>
        <x:v>46387</x:v>
      </x:c>
      <x:c r="J565" s="11"/>
      <x:c r="K565" s="29"/>
      <x:c r="L565" s="2" t="str">
        <x:f>IF(O565=1,"Complete",IF(A565,"Checklist open",IF(H565&lt;&gt;"","In progress","Not started")))</x:f>
        <x:v>Not started</x:v>
      </x:c>
      <x:c r="M565" s="2" t="str">
        <x:v>Task</x:v>
      </x:c>
      <x:c r="N565" s="2" t="str">
        <x:v>RA.CS.1.4.2026.CY4</x:v>
      </x:c>
      <x:c r="O565" s="2" t="n">
        <x:f>R565</x:f>
        <x:v>0</x:v>
      </x:c>
      <x:c r="P565" s="2"/>
      <x:c r="Q565" s="2" t="n">
        <x:v>1</x:v>
      </x:c>
      <x:c r="R565" s="2" t="n">
        <x:f>IF(A565,1,0)</x:f>
        <x:v>0</x:v>
      </x:c>
      <x:c r="S565" s="2" t="n">
        <x:f>SUBTOTAL(103,N565)</x:f>
        <x:v>1</x:v>
      </x:c>
    </x:row>
    <x:row r="566" ht="42" customHeight="1">
      <x:c r="A566" s="28" t="b">
        <x:v>0</x:v>
      </x:c>
      <x:c r="B566" s="2" t="str">
        <x:v>Cycle 4</x:v>
      </x:c>
      <x:c r="C566" s="2" t="str">
        <x:v>Phase 1</x:v>
      </x:c>
      <x:c r="D566" s="2" t="str">
        <x:v>CSBBO - Customer Service</x:v>
      </x:c>
      <x:c r="E566" s="56" t="str">
        <x:v>RA.CS.1.5</x:v>
      </x:c>
      <x:c r="F566" s="14" t="str">
        <x:v>Schedule topic approval meeting with D&amp;I and management</x:v>
      </x:c>
      <x:c r="G566" s="5"/>
      <x:c r="H566" s="11"/>
      <x:c r="I566" s="11" t="n">
        <x:f>'Cycles &amp; Guide'!$D$13</x:f>
        <x:v>46387</x:v>
      </x:c>
      <x:c r="J566" s="11"/>
      <x:c r="K566" s="29"/>
      <x:c r="L566" s="2" t="str">
        <x:f>IF(O566=1,"Complete",IF(A566,"Checklist open",IF(H566&lt;&gt;"","In progress","Not started")))</x:f>
        <x:v>Not started</x:v>
      </x:c>
      <x:c r="M566" s="2" t="str">
        <x:v>Task</x:v>
      </x:c>
      <x:c r="N566" s="2" t="str">
        <x:v>RA.CS.1.5.2026.CY4</x:v>
      </x:c>
      <x:c r="O566" s="2" t="n">
        <x:f>R566</x:f>
        <x:v>0</x:v>
      </x:c>
      <x:c r="P566" s="2"/>
      <x:c r="Q566" s="2" t="n">
        <x:v>1</x:v>
      </x:c>
      <x:c r="R566" s="2" t="n">
        <x:f>IF(A566,1,0)</x:f>
        <x:v>0</x:v>
      </x:c>
      <x:c r="S566" s="2" t="n">
        <x:f>SUBTOTAL(103,N566)</x:f>
        <x:v>1</x:v>
      </x:c>
    </x:row>
    <x:row r="567" ht="42" customHeight="1">
      <x:c r="A567" s="28" t="b">
        <x:v>0</x:v>
      </x:c>
      <x:c r="B567" s="2" t="str">
        <x:v>Cycle 4</x:v>
      </x:c>
      <x:c r="C567" s="2" t="str">
        <x:v>Phase 1</x:v>
      </x:c>
      <x:c r="D567" s="2" t="str">
        <x:v>CSBBO - Customer Service</x:v>
      </x:c>
      <x:c r="E567" s="56" t="str">
        <x:v>RA.CS.1.6</x:v>
      </x:c>
      <x:c r="F567" s="14" t="str">
        <x:v>Present recommended topic to D&amp;I and management for approval</x:v>
      </x:c>
      <x:c r="G567" s="5"/>
      <x:c r="H567" s="11"/>
      <x:c r="I567" s="11" t="n">
        <x:f>'Cycles &amp; Guide'!$D$13</x:f>
        <x:v>46387</x:v>
      </x:c>
      <x:c r="J567" s="11"/>
      <x:c r="K567" s="29"/>
      <x:c r="L567" s="2" t="str">
        <x:f>IF(O567=1,"Complete",IF(A567,"Checklist open",IF(H567&lt;&gt;"","In progress","Not started")))</x:f>
        <x:v>Not started</x:v>
      </x:c>
      <x:c r="M567" s="2" t="str">
        <x:v>Task</x:v>
      </x:c>
      <x:c r="N567" s="2" t="str">
        <x:v>RA.CS.1.6.2026.CY4</x:v>
      </x:c>
      <x:c r="O567" s="2" t="n">
        <x:f>R567</x:f>
        <x:v>0</x:v>
      </x:c>
      <x:c r="P567" s="2"/>
      <x:c r="Q567" s="2" t="n">
        <x:v>1</x:v>
      </x:c>
      <x:c r="R567" s="2" t="n">
        <x:f>IF(A567,1,0)</x:f>
        <x:v>0</x:v>
      </x:c>
      <x:c r="S567" s="2" t="n">
        <x:f>SUBTOTAL(103,N567)</x:f>
        <x:v>1</x:v>
      </x:c>
    </x:row>
    <x:row r="568" ht="42" customHeight="1">
      <x:c r="A568" s="28" t="b">
        <x:v>0</x:v>
      </x:c>
      <x:c r="B568" s="2" t="str">
        <x:v>Cycle 4</x:v>
      </x:c>
      <x:c r="C568" s="2" t="str">
        <x:v>Phase 1</x:v>
      </x:c>
      <x:c r="D568" s="2" t="str">
        <x:v>CSBBO - Customer Service</x:v>
      </x:c>
      <x:c r="E568" s="56" t="str">
        <x:v>RA.CS.1.7</x:v>
      </x:c>
      <x:c r="F568" s="14" t="str">
        <x:v>Obtain formal topic selection approval from management via SharePoint</x:v>
      </x:c>
      <x:c r="G568" s="5"/>
      <x:c r="H568" s="11"/>
      <x:c r="I568" s="11" t="n">
        <x:f>'Cycles &amp; Guide'!$D$13</x:f>
        <x:v>46387</x:v>
      </x:c>
      <x:c r="J568" s="11"/>
      <x:c r="K568" s="29"/>
      <x:c r="L568" s="2" t="str">
        <x:f>IF(O568=1,"Complete",IF(A568,"Checklist open",IF(H568&lt;&gt;"","In progress","Not started")))</x:f>
        <x:v>Not started</x:v>
      </x:c>
      <x:c r="M568" s="2" t="str">
        <x:v>Task</x:v>
      </x:c>
      <x:c r="N568" s="2" t="str">
        <x:v>RA.CS.1.7.2026.CY4</x:v>
      </x:c>
      <x:c r="O568" s="2" t="n">
        <x:f>R568</x:f>
        <x:v>0</x:v>
      </x:c>
      <x:c r="P568" s="2"/>
      <x:c r="Q568" s="2" t="n">
        <x:v>1</x:v>
      </x:c>
      <x:c r="R568" s="2" t="n">
        <x:f>IF(A568,1,0)</x:f>
        <x:v>0</x:v>
      </x:c>
      <x:c r="S568" s="2" t="n">
        <x:f>SUBTOTAL(103,N568)</x:f>
        <x:v>1</x:v>
      </x:c>
    </x:row>
    <x:row r="569" ht="42" customHeight="1">
      <x:c r="A569" s="28" t="b">
        <x:v>0</x:v>
      </x:c>
      <x:c r="B569" s="2" t="str">
        <x:v>Cycle 4</x:v>
      </x:c>
      <x:c r="C569" s="2" t="str">
        <x:v>Phase 1</x:v>
      </x:c>
      <x:c r="D569" s="2" t="str">
        <x:v>CSBBO - Customer Service</x:v>
      </x:c>
      <x:c r="E569" s="56" t="str">
        <x:v>RA.CS.1.8</x:v>
      </x:c>
      <x:c r="F569" s="14" t="str">
        <x:v>Socialize topic selection with product owners and subject matter experts (if known)</x:v>
      </x:c>
      <x:c r="G569" s="5"/>
      <x:c r="H569" s="11"/>
      <x:c r="I569" s="11" t="n">
        <x:f>'Cycles &amp; Guide'!$D$13</x:f>
        <x:v>46387</x:v>
      </x:c>
      <x:c r="J569" s="11"/>
      <x:c r="K569" s="29"/>
      <x:c r="L569" s="2" t="str">
        <x:f>IF(O569=1,"Complete",IF(A569,"Checklist open",IF(H569&lt;&gt;"","In progress","Not started")))</x:f>
        <x:v>Not started</x:v>
      </x:c>
      <x:c r="M569" s="2" t="str">
        <x:v>Task</x:v>
      </x:c>
      <x:c r="N569" s="2" t="str">
        <x:v>RA.CS.1.8.2026.CY4</x:v>
      </x:c>
      <x:c r="O569" s="2" t="n">
        <x:f>R569</x:f>
        <x:v>0</x:v>
      </x:c>
      <x:c r="P569" s="2"/>
      <x:c r="Q569" s="2" t="n">
        <x:v>1</x:v>
      </x:c>
      <x:c r="R569" s="2" t="n">
        <x:f>IF(A569,1,0)</x:f>
        <x:v>0</x:v>
      </x:c>
      <x:c r="S569" s="2" t="n">
        <x:f>SUBTOTAL(103,N569)</x:f>
        <x:v>1</x:v>
      </x:c>
    </x:row>
    <x:row r="570" ht="42" customHeight="1">
      <x:c r="A570" s="28" t="b">
        <x:v>0</x:v>
      </x:c>
      <x:c r="B570" s="2" t="str">
        <x:v>Cycle 4</x:v>
      </x:c>
      <x:c r="C570" s="2" t="str">
        <x:v>Phase 1</x:v>
      </x:c>
      <x:c r="D570" s="2" t="str">
        <x:v>CSBBO - Customer Service</x:v>
      </x:c>
      <x:c r="E570" s="56" t="str">
        <x:v>RA.CS.1.9</x:v>
      </x:c>
      <x:c r="F570" s="14" t="str">
        <x:v>Assign topic researchers</x:v>
      </x:c>
      <x:c r="G570" s="5"/>
      <x:c r="H570" s="11"/>
      <x:c r="I570" s="11" t="n">
        <x:f>'Cycles &amp; Guide'!$D$13</x:f>
        <x:v>46387</x:v>
      </x:c>
      <x:c r="J570" s="11"/>
      <x:c r="K570" s="29"/>
      <x:c r="L570" s="2" t="str">
        <x:f>IF(O570=1,"Complete",IF(A570,"Checklist open",IF(H570&lt;&gt;"","In progress","Not started")))</x:f>
        <x:v>Not started</x:v>
      </x:c>
      <x:c r="M570" s="2" t="str">
        <x:v>Task</x:v>
      </x:c>
      <x:c r="N570" s="2" t="str">
        <x:v>RA.CS.1.9.2026.CY4</x:v>
      </x:c>
      <x:c r="O570" s="2" t="n">
        <x:f>R570</x:f>
        <x:v>0</x:v>
      </x:c>
      <x:c r="P570" s="2"/>
      <x:c r="Q570" s="2" t="n">
        <x:v>1</x:v>
      </x:c>
      <x:c r="R570" s="2" t="n">
        <x:f>IF(A570,1,0)</x:f>
        <x:v>0</x:v>
      </x:c>
      <x:c r="S570" s="2" t="n">
        <x:f>SUBTOTAL(103,N570)</x:f>
        <x:v>1</x:v>
      </x:c>
    </x:row>
    <x:row r="571" ht="42" customHeight="1">
      <x:c r="A571" s="28" t="b">
        <x:v>0</x:v>
      </x:c>
      <x:c r="B571" s="2" t="str">
        <x:v>Cycle 4</x:v>
      </x:c>
      <x:c r="C571" s="2" t="str">
        <x:v>Phase 2</x:v>
      </x:c>
      <x:c r="D571" s="2" t="str">
        <x:v>CSBBO - Customer Service</x:v>
      </x:c>
      <x:c r="E571" s="56" t="str">
        <x:v>RA.CS.2.1</x:v>
      </x:c>
      <x:c r="F571" s="14" t="str">
        <x:v>Review data sources</x:v>
      </x:c>
      <x:c r="G571" s="5"/>
      <x:c r="H571" s="11"/>
      <x:c r="I571" s="11" t="n">
        <x:f>'Cycles &amp; Guide'!$D$13</x:f>
        <x:v>46387</x:v>
      </x:c>
      <x:c r="J571" s="11"/>
      <x:c r="K571" s="29"/>
      <x:c r="L571" s="2" t="str">
        <x:f>IF(O571=1,"Complete",IF(A571,"Checklist open",IF(H571&lt;&gt;"","In progress","Not started")))</x:f>
        <x:v>Not started</x:v>
      </x:c>
      <x:c r="M571" s="2" t="str">
        <x:v>Task</x:v>
      </x:c>
      <x:c r="N571" s="2" t="str">
        <x:v>RA.CS.2.1.2026.CY4</x:v>
      </x:c>
      <x:c r="O571" s="2" t="n">
        <x:f>R571</x:f>
        <x:v>0</x:v>
      </x:c>
      <x:c r="P571" s="2"/>
      <x:c r="Q571" s="2" t="n">
        <x:v>1</x:v>
      </x:c>
      <x:c r="R571" s="2" t="n">
        <x:f>IF(A571,1,0)</x:f>
        <x:v>0</x:v>
      </x:c>
      <x:c r="S571" s="2" t="n">
        <x:f>SUBTOTAL(103,N571)</x:f>
        <x:v>1</x:v>
      </x:c>
    </x:row>
    <x:row r="572" ht="42" customHeight="1">
      <x:c r="A572" s="28" t="b">
        <x:v>0</x:v>
      </x:c>
      <x:c r="B572" s="2" t="str">
        <x:v>Cycle 4</x:v>
      </x:c>
      <x:c r="C572" s="2" t="str">
        <x:v>Phase 2</x:v>
      </x:c>
      <x:c r="D572" s="2" t="str">
        <x:v>CSBBO - Customer Service</x:v>
      </x:c>
      <x:c r="E572" s="56" t="str">
        <x:v>RA.CS.2.2</x:v>
      </x:c>
      <x:c r="F572" s="14" t="str">
        <x:v>Review relevant policies and procedures</x:v>
      </x:c>
      <x:c r="G572" s="5"/>
      <x:c r="H572" s="11"/>
      <x:c r="I572" s="11" t="n">
        <x:f>'Cycles &amp; Guide'!$D$13</x:f>
        <x:v>46387</x:v>
      </x:c>
      <x:c r="J572" s="11"/>
      <x:c r="K572" s="29"/>
      <x:c r="L572" s="2" t="str">
        <x:f>IF(O572=1,"Complete",IF(A572,"Checklist open",IF(H572&lt;&gt;"","In progress","Not started")))</x:f>
        <x:v>Not started</x:v>
      </x:c>
      <x:c r="M572" s="2" t="str">
        <x:v>Task</x:v>
      </x:c>
      <x:c r="N572" s="2" t="str">
        <x:v>RA.CS.2.2.2026.CY4</x:v>
      </x:c>
      <x:c r="O572" s="2" t="n">
        <x:f>R572</x:f>
        <x:v>0</x:v>
      </x:c>
      <x:c r="P572" s="2"/>
      <x:c r="Q572" s="2" t="n">
        <x:v>1</x:v>
      </x:c>
      <x:c r="R572" s="2" t="n">
        <x:f>IF(A572,1,0)</x:f>
        <x:v>0</x:v>
      </x:c>
      <x:c r="S572" s="2" t="n">
        <x:f>SUBTOTAL(103,N572)</x:f>
        <x:v>1</x:v>
      </x:c>
    </x:row>
    <x:row r="573" ht="42" customHeight="1">
      <x:c r="A573" s="28" t="b">
        <x:v>0</x:v>
      </x:c>
      <x:c r="B573" s="2" t="str">
        <x:v>Cycle 4</x:v>
      </x:c>
      <x:c r="C573" s="2" t="str">
        <x:v>Phase 2</x:v>
      </x:c>
      <x:c r="D573" s="2" t="str">
        <x:v>CSBBO - Customer Service</x:v>
      </x:c>
      <x:c r="E573" s="56" t="str">
        <x:v>RA.CS.2.3</x:v>
      </x:c>
      <x:c r="F573" s="14" t="str">
        <x:v>Meet with SMEs to gain business insight and clarify questions</x:v>
      </x:c>
      <x:c r="G573" s="5"/>
      <x:c r="H573" s="11"/>
      <x:c r="I573" s="11" t="n">
        <x:f>'Cycles &amp; Guide'!$D$13</x:f>
        <x:v>46387</x:v>
      </x:c>
      <x:c r="J573" s="11"/>
      <x:c r="K573" s="29"/>
      <x:c r="L573" s="2" t="str">
        <x:f>IF(O573=1,"Complete",IF(A573,"Checklist open",IF(H573&lt;&gt;"","In progress","Not started")))</x:f>
        <x:v>Not started</x:v>
      </x:c>
      <x:c r="M573" s="2" t="str">
        <x:v>Task</x:v>
      </x:c>
      <x:c r="N573" s="2" t="str">
        <x:v>RA.CS.2.3.2026.CY4</x:v>
      </x:c>
      <x:c r="O573" s="2" t="n">
        <x:f>R573</x:f>
        <x:v>0</x:v>
      </x:c>
      <x:c r="P573" s="2"/>
      <x:c r="Q573" s="2" t="n">
        <x:v>1</x:v>
      </x:c>
      <x:c r="R573" s="2" t="n">
        <x:f>IF(A573,1,0)</x:f>
        <x:v>0</x:v>
      </x:c>
      <x:c r="S573" s="2" t="n">
        <x:f>SUBTOTAL(103,N573)</x:f>
        <x:v>1</x:v>
      </x:c>
    </x:row>
    <x:row r="574" ht="42" customHeight="1">
      <x:c r="A574" s="28" t="b">
        <x:v>0</x:v>
      </x:c>
      <x:c r="B574" s="2" t="str">
        <x:v>Cycle 4</x:v>
      </x:c>
      <x:c r="C574" s="2" t="str">
        <x:v>Phase 2</x:v>
      </x:c>
      <x:c r="D574" s="2" t="str">
        <x:v>CSBBO - Customer Service</x:v>
      </x:c>
      <x:c r="E574" s="56" t="str">
        <x:v>RA.CS.2.4</x:v>
      </x:c>
      <x:c r="F574" s="14" t="str">
        <x:v>Establish and maintain a recurring meeting with D&amp;I to discuss Cycle progress</x:v>
      </x:c>
      <x:c r="G574" s="5"/>
      <x:c r="H574" s="11"/>
      <x:c r="I574" s="11" t="n">
        <x:f>'Cycles &amp; Guide'!$D$13</x:f>
        <x:v>46387</x:v>
      </x:c>
      <x:c r="J574" s="11"/>
      <x:c r="K574" s="29"/>
      <x:c r="L574" s="2" t="str">
        <x:f>IF(O574=1,"Complete",IF(A574,"Checklist open",IF(H574&lt;&gt;"","In progress","Not started")))</x:f>
        <x:v>Not started</x:v>
      </x:c>
      <x:c r="M574" s="2" t="str">
        <x:v>Task</x:v>
      </x:c>
      <x:c r="N574" s="2" t="str">
        <x:v>RA.CS.2.4.2026.CY4</x:v>
      </x:c>
      <x:c r="O574" s="2" t="n">
        <x:f>R574</x:f>
        <x:v>0</x:v>
      </x:c>
      <x:c r="P574" s="2"/>
      <x:c r="Q574" s="2" t="n">
        <x:v>1</x:v>
      </x:c>
      <x:c r="R574" s="2" t="n">
        <x:f>IF(A574,1,0)</x:f>
        <x:v>0</x:v>
      </x:c>
      <x:c r="S574" s="2" t="n">
        <x:f>SUBTOTAL(103,N574)</x:f>
        <x:v>1</x:v>
      </x:c>
    </x:row>
    <x:row r="575" ht="42" customHeight="1">
      <x:c r="A575" s="28" t="b">
        <x:v>0</x:v>
      </x:c>
      <x:c r="B575" s="2" t="str">
        <x:v>Cycle 4</x:v>
      </x:c>
      <x:c r="C575" s="2" t="str">
        <x:v>Phase 2</x:v>
      </x:c>
      <x:c r="D575" s="2" t="str">
        <x:v>CSBBO - Customer Service</x:v>
      </x:c>
      <x:c r="E575" s="56" t="str">
        <x:v>RA.CS.2.5</x:v>
      </x:c>
      <x:c r="F575" s="14" t="str">
        <x:v>Perform data testing and sampling</x:v>
      </x:c>
      <x:c r="G575" s="5"/>
      <x:c r="H575" s="11"/>
      <x:c r="I575" s="11" t="n">
        <x:f>'Cycles &amp; Guide'!$D$13</x:f>
        <x:v>46387</x:v>
      </x:c>
      <x:c r="J575" s="11"/>
      <x:c r="K575" s="29"/>
      <x:c r="L575" s="2" t="str">
        <x:f>IF(O575=1,"Complete",IF(A575,"Checklist open",IF(H575&lt;&gt;"","In progress","Not started")))</x:f>
        <x:v>Not started</x:v>
      </x:c>
      <x:c r="M575" s="2" t="str">
        <x:v>Task</x:v>
      </x:c>
      <x:c r="N575" s="2" t="str">
        <x:v>RA.CS.2.5.2026.CY4</x:v>
      </x:c>
      <x:c r="O575" s="2" t="n">
        <x:f>R575</x:f>
        <x:v>0</x:v>
      </x:c>
      <x:c r="P575" s="2"/>
      <x:c r="Q575" s="2" t="n">
        <x:v>1</x:v>
      </x:c>
      <x:c r="R575" s="2" t="n">
        <x:f>IF(A575,1,0)</x:f>
        <x:v>0</x:v>
      </x:c>
      <x:c r="S575" s="2" t="n">
        <x:f>SUBTOTAL(103,N575)</x:f>
        <x:v>1</x:v>
      </x:c>
    </x:row>
    <x:row r="576" ht="42" customHeight="1">
      <x:c r="A576" s="28" t="b">
        <x:v>0</x:v>
      </x:c>
      <x:c r="B576" s="2" t="str">
        <x:v>Cycle 4</x:v>
      </x:c>
      <x:c r="C576" s="2" t="str">
        <x:v>Phase 2</x:v>
      </x:c>
      <x:c r="D576" s="2" t="str">
        <x:v>CSBBO - Customer Service</x:v>
      </x:c>
      <x:c r="E576" s="56" t="str">
        <x:v>RA.CS.2.6</x:v>
      </x:c>
      <x:c r="F576" s="14" t="str">
        <x:v>Complete Positive Testing</x:v>
      </x:c>
      <x:c r="G576" s="5"/>
      <x:c r="H576" s="11"/>
      <x:c r="I576" s="11" t="n">
        <x:f>'Cycles &amp; Guide'!$D$13</x:f>
        <x:v>46387</x:v>
      </x:c>
      <x:c r="J576" s="11"/>
      <x:c r="K576" s="29"/>
      <x:c r="L576" s="2" t="str">
        <x:f>IF(O576=1,"Complete",IF(A576,"Checklist open",IF(H576&lt;&gt;"","In progress","Not started")))</x:f>
        <x:v>Not started</x:v>
      </x:c>
      <x:c r="M576" s="2" t="str">
        <x:v>Task</x:v>
      </x:c>
      <x:c r="N576" s="2" t="str">
        <x:v>RA.CS.2.6.2026.CY4</x:v>
      </x:c>
      <x:c r="O576" s="2" t="n">
        <x:f>R576</x:f>
        <x:v>0</x:v>
      </x:c>
      <x:c r="P576" s="2"/>
      <x:c r="Q576" s="2" t="n">
        <x:v>1</x:v>
      </x:c>
      <x:c r="R576" s="2" t="n">
        <x:f>IF(A576,1,0)</x:f>
        <x:v>0</x:v>
      </x:c>
      <x:c r="S576" s="2" t="n">
        <x:f>SUBTOTAL(103,N576)</x:f>
        <x:v>1</x:v>
      </x:c>
    </x:row>
    <x:row r="577" ht="42" customHeight="1">
      <x:c r="A577" s="28" t="b">
        <x:v>0</x:v>
      </x:c>
      <x:c r="B577" s="2" t="str">
        <x:v>Cycle 4</x:v>
      </x:c>
      <x:c r="C577" s="2" t="str">
        <x:v>Phase 2</x:v>
      </x:c>
      <x:c r="D577" s="2" t="str">
        <x:v>CSBBO - Customer Service</x:v>
      </x:c>
      <x:c r="E577" s="56" t="str">
        <x:v>RA.CS.2.7</x:v>
      </x:c>
      <x:c r="F577" s="14" t="str">
        <x:v>Complete Negative Testing</x:v>
      </x:c>
      <x:c r="G577" s="5"/>
      <x:c r="H577" s="11"/>
      <x:c r="I577" s="11" t="n">
        <x:f>'Cycles &amp; Guide'!$D$13</x:f>
        <x:v>46387</x:v>
      </x:c>
      <x:c r="J577" s="11"/>
      <x:c r="K577" s="29"/>
      <x:c r="L577" s="2" t="str">
        <x:f>IF(O577=1,"Complete",IF(A577,"Checklist open",IF(H577&lt;&gt;"","In progress","Not started")))</x:f>
        <x:v>Not started</x:v>
      </x:c>
      <x:c r="M577" s="2" t="str">
        <x:v>Task</x:v>
      </x:c>
      <x:c r="N577" s="2" t="str">
        <x:v>RA.CS.2.7.2026.CY4</x:v>
      </x:c>
      <x:c r="O577" s="2" t="n">
        <x:f>R577</x:f>
        <x:v>0</x:v>
      </x:c>
      <x:c r="P577" s="2"/>
      <x:c r="Q577" s="2" t="n">
        <x:v>1</x:v>
      </x:c>
      <x:c r="R577" s="2" t="n">
        <x:f>IF(A577,1,0)</x:f>
        <x:v>0</x:v>
      </x:c>
      <x:c r="S577" s="2" t="n">
        <x:f>SUBTOTAL(103,N577)</x:f>
        <x:v>1</x:v>
      </x:c>
    </x:row>
    <x:row r="578" ht="42" customHeight="1">
      <x:c r="A578" s="28" t="b">
        <x:v>0</x:v>
      </x:c>
      <x:c r="B578" s="2" t="str">
        <x:v>Cycle 4</x:v>
      </x:c>
      <x:c r="C578" s="2" t="str">
        <x:v>Phase 2</x:v>
      </x:c>
      <x:c r="D578" s="2" t="str">
        <x:v>CSBBO - Customer Service</x:v>
      </x:c>
      <x:c r="E578" s="56" t="str">
        <x:v>RA.CS.2.8</x:v>
      </x:c>
      <x:c r="F578" s="14" t="str">
        <x:v>Request additional data (as needed)</x:v>
      </x:c>
      <x:c r="G578" s="5"/>
      <x:c r="H578" s="11"/>
      <x:c r="I578" s="11" t="n">
        <x:f>'Cycles &amp; Guide'!$D$13</x:f>
        <x:v>46387</x:v>
      </x:c>
      <x:c r="J578" s="11"/>
      <x:c r="K578" s="29"/>
      <x:c r="L578" s="2" t="str">
        <x:f>IF(O578=1,"Complete",IF(A578,"Checklist open",IF(H578&lt;&gt;"","In progress","Not started")))</x:f>
        <x:v>Not started</x:v>
      </x:c>
      <x:c r="M578" s="2" t="str">
        <x:v>Task</x:v>
      </x:c>
      <x:c r="N578" s="2" t="str">
        <x:v>RA.CS.2.8.2026.CY4</x:v>
      </x:c>
      <x:c r="O578" s="2" t="n">
        <x:f>R578</x:f>
        <x:v>0</x:v>
      </x:c>
      <x:c r="P578" s="2"/>
      <x:c r="Q578" s="2" t="n">
        <x:v>1</x:v>
      </x:c>
      <x:c r="R578" s="2" t="n">
        <x:f>IF(A578,1,0)</x:f>
        <x:v>0</x:v>
      </x:c>
      <x:c r="S578" s="2" t="n">
        <x:f>SUBTOTAL(103,N578)</x:f>
        <x:v>1</x:v>
      </x:c>
    </x:row>
    <x:row r="579" ht="42" customHeight="1">
      <x:c r="A579" s="28" t="b">
        <x:v>0</x:v>
      </x:c>
      <x:c r="B579" s="2" t="str">
        <x:v>Cycle 4</x:v>
      </x:c>
      <x:c r="C579" s="2" t="str">
        <x:v>Phase 2</x:v>
      </x:c>
      <x:c r="D579" s="2" t="str">
        <x:v>CSBBO - Customer Service</x:v>
      </x:c>
      <x:c r="E579" s="56" t="str">
        <x:v>RA.CS.2.9</x:v>
      </x:c>
      <x:c r="F579" s="14" t="str">
        <x:v>Validate or disprove initial hypothesis assumptions</x:v>
      </x:c>
      <x:c r="G579" s="5"/>
      <x:c r="H579" s="11"/>
      <x:c r="I579" s="11" t="n">
        <x:f>'Cycles &amp; Guide'!$D$13</x:f>
        <x:v>46387</x:v>
      </x:c>
      <x:c r="J579" s="11"/>
      <x:c r="K579" s="29"/>
      <x:c r="L579" s="2" t="str">
        <x:f>IF(O579=1,"Complete",IF(A579,"Checklist open",IF(H579&lt;&gt;"","In progress","Not started")))</x:f>
        <x:v>Not started</x:v>
      </x:c>
      <x:c r="M579" s="2" t="str">
        <x:v>Task</x:v>
      </x:c>
      <x:c r="N579" s="2" t="str">
        <x:v>RA.CS.2.9.2026.CY4</x:v>
      </x:c>
      <x:c r="O579" s="2" t="n">
        <x:f>R579</x:f>
        <x:v>0</x:v>
      </x:c>
      <x:c r="P579" s="2"/>
      <x:c r="Q579" s="2" t="n">
        <x:v>1</x:v>
      </x:c>
      <x:c r="R579" s="2" t="n">
        <x:f>IF(A579,1,0)</x:f>
        <x:v>0</x:v>
      </x:c>
      <x:c r="S579" s="2" t="n">
        <x:f>SUBTOTAL(103,N579)</x:f>
        <x:v>1</x:v>
      </x:c>
    </x:row>
    <x:row r="580" ht="42" customHeight="1">
      <x:c r="A580" s="28" t="b">
        <x:v>0</x:v>
      </x:c>
      <x:c r="B580" s="2" t="str">
        <x:v>Cycle 4</x:v>
      </x:c>
      <x:c r="C580" s="2" t="str">
        <x:v>Phase 2</x:v>
      </x:c>
      <x:c r="D580" s="2" t="str">
        <x:v>CSBBO - Customer Service</x:v>
      </x:c>
      <x:c r="E580" s="56" t="str">
        <x:v>RA.CS.2.10</x:v>
      </x:c>
      <x:c r="F580" s="14" t="str">
        <x:v>Identify and confirm root cause</x:v>
      </x:c>
      <x:c r="G580" s="5"/>
      <x:c r="H580" s="11"/>
      <x:c r="I580" s="11" t="n">
        <x:f>'Cycles &amp; Guide'!$D$13</x:f>
        <x:v>46387</x:v>
      </x:c>
      <x:c r="J580" s="11"/>
      <x:c r="K580" s="29"/>
      <x:c r="L580" s="2" t="str">
        <x:f>IF(O580=1,"Complete",IF(A580,"Checklist open",IF(H580&lt;&gt;"","In progress","Not started")))</x:f>
        <x:v>Not started</x:v>
      </x:c>
      <x:c r="M580" s="2" t="str">
        <x:v>Task</x:v>
      </x:c>
      <x:c r="N580" s="2" t="str">
        <x:v>RA.CS.2.10.2026.CY4</x:v>
      </x:c>
      <x:c r="O580" s="2" t="n">
        <x:f>R580</x:f>
        <x:v>0</x:v>
      </x:c>
      <x:c r="P580" s="2"/>
      <x:c r="Q580" s="2" t="n">
        <x:v>1</x:v>
      </x:c>
      <x:c r="R580" s="2" t="n">
        <x:f>IF(A580,1,0)</x:f>
        <x:v>0</x:v>
      </x:c>
      <x:c r="S580" s="2" t="n">
        <x:f>SUBTOTAL(103,N580)</x:f>
        <x:v>1</x:v>
      </x:c>
    </x:row>
    <x:row r="581" ht="42" customHeight="1">
      <x:c r="A581" s="28" t="b">
        <x:v>0</x:v>
      </x:c>
      <x:c r="B581" s="2" t="str">
        <x:v>Cycle 4</x:v>
      </x:c>
      <x:c r="C581" s="2" t="str">
        <x:v>Phase 3</x:v>
      </x:c>
      <x:c r="D581" s="2" t="str">
        <x:v>CSBBO - Customer Service</x:v>
      </x:c>
      <x:c r="E581" s="56" t="str">
        <x:v>RA.CS.3.1</x:v>
      </x:c>
      <x:c r="F581" s="14" t="str">
        <x:v>Finalize results and supporting documentation</x:v>
      </x:c>
      <x:c r="G581" s="5"/>
      <x:c r="H581" s="11"/>
      <x:c r="I581" s="11" t="n">
        <x:f>'Cycles &amp; Guide'!$D$13</x:f>
        <x:v>46387</x:v>
      </x:c>
      <x:c r="J581" s="11"/>
      <x:c r="K581" s="29"/>
      <x:c r="L581" s="2" t="str">
        <x:f>IF(O581=1,"Complete",IF(A581,"Checklist open",IF(H581&lt;&gt;"","In progress","Not started")))</x:f>
        <x:v>Not started</x:v>
      </x:c>
      <x:c r="M581" s="2" t="str">
        <x:v>Task</x:v>
      </x:c>
      <x:c r="N581" s="2" t="str">
        <x:v>RA.CS.3.1.2026.CY4</x:v>
      </x:c>
      <x:c r="O581" s="2" t="n">
        <x:f>R581</x:f>
        <x:v>0</x:v>
      </x:c>
      <x:c r="P581" s="2"/>
      <x:c r="Q581" s="2" t="n">
        <x:v>1</x:v>
      </x:c>
      <x:c r="R581" s="2" t="n">
        <x:f>IF(A581,1,0)</x:f>
        <x:v>0</x:v>
      </x:c>
      <x:c r="S581" s="2" t="n">
        <x:f>SUBTOTAL(103,N581)</x:f>
        <x:v>1</x:v>
      </x:c>
    </x:row>
    <x:row r="582" ht="42" customHeight="1">
      <x:c r="A582" s="28" t="b">
        <x:v>0</x:v>
      </x:c>
      <x:c r="B582" s="2" t="str">
        <x:v>Cycle 4</x:v>
      </x:c>
      <x:c r="C582" s="2" t="str">
        <x:v>Phase 3</x:v>
      </x:c>
      <x:c r="D582" s="2" t="str">
        <x:v>CSBBO - Customer Service</x:v>
      </x:c>
      <x:c r="E582" s="56" t="str">
        <x:v>RA.CS.3.2</x:v>
      </x:c>
      <x:c r="F582" s="14" t="str">
        <x:v>Maintain and update the evidence package prior to handoff to D&amp;I</x:v>
      </x:c>
      <x:c r="G582" s="5"/>
      <x:c r="H582" s="11"/>
      <x:c r="I582" s="11" t="n">
        <x:f>'Cycles &amp; Guide'!$D$13</x:f>
        <x:v>46387</x:v>
      </x:c>
      <x:c r="J582" s="11"/>
      <x:c r="K582" s="29"/>
      <x:c r="L582" s="2" t="str">
        <x:f>IF(O582=1,"Complete",IF(A582,"Checklist open",IF(H582&lt;&gt;"","In progress","Not started")))</x:f>
        <x:v>Not started</x:v>
      </x:c>
      <x:c r="M582" s="2" t="str">
        <x:v>Task</x:v>
      </x:c>
      <x:c r="N582" s="2" t="str">
        <x:v>RA.CS.3.2.2026.CY4</x:v>
      </x:c>
      <x:c r="O582" s="2" t="n">
        <x:f>R582</x:f>
        <x:v>0</x:v>
      </x:c>
      <x:c r="P582" s="2"/>
      <x:c r="Q582" s="2" t="n">
        <x:v>1</x:v>
      </x:c>
      <x:c r="R582" s="2" t="n">
        <x:f>IF(A582,1,0)</x:f>
        <x:v>0</x:v>
      </x:c>
      <x:c r="S582" s="2" t="n">
        <x:f>SUBTOTAL(103,N582)</x:f>
        <x:v>1</x:v>
      </x:c>
    </x:row>
    <x:row r="583" ht="42" customHeight="1">
      <x:c r="A583" s="28" t="b">
        <x:v>0</x:v>
      </x:c>
      <x:c r="B583" s="2" t="str">
        <x:v>Cycle 4</x:v>
      </x:c>
      <x:c r="C583" s="2" t="str">
        <x:v>Phase 3</x:v>
      </x:c>
      <x:c r="D583" s="2" t="str">
        <x:v>CSBBO - Customer Service</x:v>
      </x:c>
      <x:c r="E583" s="56" t="str">
        <x:v>RA.CS.3.3</x:v>
      </x:c>
      <x:c r="F583" s="14" t="str">
        <x:v>Address any outstanding questions or requests from D&amp;I</x:v>
      </x:c>
      <x:c r="G583" s="5"/>
      <x:c r="H583" s="11"/>
      <x:c r="I583" s="11" t="n">
        <x:f>'Cycles &amp; Guide'!$D$13</x:f>
        <x:v>46387</x:v>
      </x:c>
      <x:c r="J583" s="11"/>
      <x:c r="K583" s="29"/>
      <x:c r="L583" s="2" t="str">
        <x:f>IF(O583=1,"Complete",IF(A583,"Checklist open",IF(H583&lt;&gt;"","In progress","Not started")))</x:f>
        <x:v>Not started</x:v>
      </x:c>
      <x:c r="M583" s="2" t="str">
        <x:v>Task</x:v>
      </x:c>
      <x:c r="N583" s="2" t="str">
        <x:v>RA.CS.3.3.2026.CY4</x:v>
      </x:c>
      <x:c r="O583" s="2" t="n">
        <x:f>R583</x:f>
        <x:v>0</x:v>
      </x:c>
      <x:c r="P583" s="2"/>
      <x:c r="Q583" s="2" t="n">
        <x:v>1</x:v>
      </x:c>
      <x:c r="R583" s="2" t="n">
        <x:f>IF(A583,1,0)</x:f>
        <x:v>0</x:v>
      </x:c>
      <x:c r="S583" s="2" t="n">
        <x:f>SUBTOTAL(103,N583)</x:f>
        <x:v>1</x:v>
      </x:c>
    </x:row>
    <x:row r="584" ht="42" customHeight="1">
      <x:c r="A584" s="28" t="b">
        <x:v>0</x:v>
      </x:c>
      <x:c r="B584" s="2" t="str">
        <x:v>Cycle 4</x:v>
      </x:c>
      <x:c r="C584" s="2" t="str">
        <x:v>Phase 3</x:v>
      </x:c>
      <x:c r="D584" s="2" t="str">
        <x:v>CSBBO - Customer Service</x:v>
      </x:c>
      <x:c r="E584" s="56" t="str">
        <x:v>RA.CS.3.4</x:v>
      </x:c>
      <x:c r="F584" s="14" t="str">
        <x:v>Attend Forum meeting with D&amp;I to assist with answering stakeholder questions (as needed)</x:v>
      </x:c>
      <x:c r="G584" s="5"/>
      <x:c r="H584" s="11"/>
      <x:c r="I584" s="11" t="str">
        <x:f>IF(SUMIFS('Cycles &amp; Guide'!$D$23:$D$50,'Cycles &amp; Guide'!$B$23:$B$50,B584,'Cycles &amp; Guide'!$C$23:$C$50,D584)=0,"",SUMIFS('Cycles &amp; Guide'!$D$23:$D$50,'Cycles &amp; Guide'!$B$23:$B$50,B584,'Cycles &amp; Guide'!$C$23:$C$50,D584))</x:f>
      </x:c>
      <x:c r="J584" s="11"/>
      <x:c r="K584" s="29"/>
      <x:c r="L584" s="2" t="str">
        <x:f>IF(O584=1,"Complete",IF(A584,"Checklist open",IF(H584&lt;&gt;"","In progress","Not started")))</x:f>
        <x:v>Not started</x:v>
      </x:c>
      <x:c r="M584" s="2" t="str">
        <x:v>Task</x:v>
      </x:c>
      <x:c r="N584" s="2" t="str">
        <x:v>RA.CS.3.4.2026.CY4</x:v>
      </x:c>
      <x:c r="O584" s="2" t="n">
        <x:f>R584</x:f>
        <x:v>0</x:v>
      </x:c>
      <x:c r="P584" s="2"/>
      <x:c r="Q584" s="2" t="n">
        <x:v>1</x:v>
      </x:c>
      <x:c r="R584" s="2" t="n">
        <x:f>IF(A584,1,0)</x:f>
        <x:v>0</x:v>
      </x:c>
      <x:c r="S584" s="2" t="n">
        <x:f>SUBTOTAL(103,N584)</x:f>
        <x:v>1</x:v>
      </x:c>
    </x:row>
    <x:row r="585" ht="42" customHeight="1">
      <x:c r="A585" s="28" t="b">
        <x:v>0</x:v>
      </x:c>
      <x:c r="B585" s="2" t="str">
        <x:v>Cycle 4</x:v>
      </x:c>
      <x:c r="C585" s="2" t="str">
        <x:v>Phase 1</x:v>
      </x:c>
      <x:c r="D585" s="2" t="str">
        <x:v>FCM</x:v>
      </x:c>
      <x:c r="E585" s="56" t="str">
        <x:v>RA.FC.1.1</x:v>
      </x:c>
      <x:c r="F585" s="14" t="str">
        <x:v>Begin Research process 2 weeks prior to Cycle start</x:v>
      </x:c>
      <x:c r="G585" s="5"/>
      <x:c r="H585" s="11"/>
      <x:c r="I585" s="11" t="n">
        <x:f>'Cycles &amp; Guide'!$C$13-14</x:f>
        <x:v>46282</x:v>
      </x:c>
      <x:c r="J585" s="11"/>
      <x:c r="K585" s="29"/>
      <x:c r="L585" s="2" t="str">
        <x:f>IF(O585=1,"Complete",IF(A585,"Checklist open",IF(H585&lt;&gt;"","In progress","Not started")))</x:f>
        <x:v>Not started</x:v>
      </x:c>
      <x:c r="M585" s="2" t="str">
        <x:v>Task</x:v>
      </x:c>
      <x:c r="N585" s="2" t="str">
        <x:v>RA.FC.1.1.2026.CY4</x:v>
      </x:c>
      <x:c r="O585" s="2" t="n">
        <x:f>R585</x:f>
        <x:v>0</x:v>
      </x:c>
      <x:c r="P585" s="2"/>
      <x:c r="Q585" s="2" t="n">
        <x:v>1</x:v>
      </x:c>
      <x:c r="R585" s="2" t="n">
        <x:f>IF(A585,1,0)</x:f>
        <x:v>0</x:v>
      </x:c>
      <x:c r="S585" s="2" t="n">
        <x:f>SUBTOTAL(103,N585)</x:f>
        <x:v>1</x:v>
      </x:c>
    </x:row>
    <x:row r="586" ht="42" customHeight="1">
      <x:c r="A586" s="28" t="b">
        <x:v>0</x:v>
      </x:c>
      <x:c r="B586" s="2" t="str">
        <x:v>Cycle 4</x:v>
      </x:c>
      <x:c r="C586" s="2" t="str">
        <x:v>Phase 1</x:v>
      </x:c>
      <x:c r="D586" s="2" t="str">
        <x:v>FCM</x:v>
      </x:c>
      <x:c r="E586" s="56" t="str">
        <x:v>RA.FC.1.2</x:v>
      </x:c>
      <x:c r="F586" s="14" t="str">
        <x:v>Conduct initial assessment of each topic recommendation from SharePoint list</x:v>
      </x:c>
      <x:c r="G586" s="5"/>
      <x:c r="H586" s="11"/>
      <x:c r="I586" s="11" t="n">
        <x:f>'Cycles &amp; Guide'!$D$13</x:f>
        <x:v>46387</x:v>
      </x:c>
      <x:c r="J586" s="11"/>
      <x:c r="K586" s="29"/>
      <x:c r="L586" s="2" t="str">
        <x:f>IF(O586=1,"Complete",IF(A586,"Checklist open",IF(H586&lt;&gt;"","In progress","Not started")))</x:f>
        <x:v>Not started</x:v>
      </x:c>
      <x:c r="M586" s="2" t="str">
        <x:v>Task</x:v>
      </x:c>
      <x:c r="N586" s="2" t="str">
        <x:v>RA.FC.1.2.2026.CY4</x:v>
      </x:c>
      <x:c r="O586" s="2" t="n">
        <x:f>R586</x:f>
        <x:v>0</x:v>
      </x:c>
      <x:c r="P586" s="2"/>
      <x:c r="Q586" s="2" t="n">
        <x:v>1</x:v>
      </x:c>
      <x:c r="R586" s="2" t="n">
        <x:f>IF(A586,1,0)</x:f>
        <x:v>0</x:v>
      </x:c>
      <x:c r="S586" s="2" t="n">
        <x:f>SUBTOTAL(103,N586)</x:f>
        <x:v>1</x:v>
      </x:c>
    </x:row>
    <x:row r="587" ht="42" customHeight="1">
      <x:c r="A587" s="28" t="b">
        <x:v>0</x:v>
      </x:c>
      <x:c r="B587" s="2" t="str">
        <x:v>Cycle 4</x:v>
      </x:c>
      <x:c r="C587" s="2" t="str">
        <x:v>Phase 1</x:v>
      </x:c>
      <x:c r="D587" s="2" t="str">
        <x:v>FCM</x:v>
      </x:c>
      <x:c r="E587" s="56" t="str">
        <x:v>RA.FC.1.3</x:v>
      </x:c>
      <x:c r="F587" s="14" t="str">
        <x:v>Identify best topic for Cycle</x:v>
      </x:c>
      <x:c r="G587" s="5"/>
      <x:c r="H587" s="11"/>
      <x:c r="I587" s="11" t="n">
        <x:f>'Cycles &amp; Guide'!$D$13</x:f>
        <x:v>46387</x:v>
      </x:c>
      <x:c r="J587" s="11"/>
      <x:c r="K587" s="29"/>
      <x:c r="L587" s="2" t="str">
        <x:f>IF(O587=1,"Complete",IF(A587,"Checklist open",IF(H587&lt;&gt;"","In progress","Not started")))</x:f>
        <x:v>Not started</x:v>
      </x:c>
      <x:c r="M587" s="2" t="str">
        <x:v>Task</x:v>
      </x:c>
      <x:c r="N587" s="2" t="str">
        <x:v>RA.FC.1.3.2026.CY4</x:v>
      </x:c>
      <x:c r="O587" s="2" t="n">
        <x:f>R587</x:f>
        <x:v>0</x:v>
      </x:c>
      <x:c r="P587" s="2"/>
      <x:c r="Q587" s="2" t="n">
        <x:v>1</x:v>
      </x:c>
      <x:c r="R587" s="2" t="n">
        <x:f>IF(A587,1,0)</x:f>
        <x:v>0</x:v>
      </x:c>
      <x:c r="S587" s="2" t="n">
        <x:f>SUBTOTAL(103,N587)</x:f>
        <x:v>1</x:v>
      </x:c>
    </x:row>
    <x:row r="588" ht="42" customHeight="1">
      <x:c r="A588" s="28" t="b">
        <x:v>0</x:v>
      </x:c>
      <x:c r="B588" s="2" t="str">
        <x:v>Cycle 4</x:v>
      </x:c>
      <x:c r="C588" s="2" t="str">
        <x:v>Phase 1</x:v>
      </x:c>
      <x:c r="D588" s="2" t="str">
        <x:v>FCM</x:v>
      </x:c>
      <x:c r="E588" s="56" t="str">
        <x:v>RA.FC.1.4</x:v>
      </x:c>
      <x:c r="F588" s="14" t="str">
        <x:v>Identify backup topic for Cycle</x:v>
      </x:c>
      <x:c r="G588" s="5"/>
      <x:c r="H588" s="11"/>
      <x:c r="I588" s="11" t="n">
        <x:f>'Cycles &amp; Guide'!$D$13</x:f>
        <x:v>46387</x:v>
      </x:c>
      <x:c r="J588" s="11"/>
      <x:c r="K588" s="29"/>
      <x:c r="L588" s="2" t="str">
        <x:f>IF(O588=1,"Complete",IF(A588,"Checklist open",IF(H588&lt;&gt;"","In progress","Not started")))</x:f>
        <x:v>Not started</x:v>
      </x:c>
      <x:c r="M588" s="2" t="str">
        <x:v>Task</x:v>
      </x:c>
      <x:c r="N588" s="2" t="str">
        <x:v>RA.FC.1.4.2026.CY4</x:v>
      </x:c>
      <x:c r="O588" s="2" t="n">
        <x:f>R588</x:f>
        <x:v>0</x:v>
      </x:c>
      <x:c r="P588" s="2"/>
      <x:c r="Q588" s="2" t="n">
        <x:v>1</x:v>
      </x:c>
      <x:c r="R588" s="2" t="n">
        <x:f>IF(A588,1,0)</x:f>
        <x:v>0</x:v>
      </x:c>
      <x:c r="S588" s="2" t="n">
        <x:f>SUBTOTAL(103,N588)</x:f>
        <x:v>1</x:v>
      </x:c>
    </x:row>
    <x:row r="589" ht="42" customHeight="1">
      <x:c r="A589" s="28" t="b">
        <x:v>0</x:v>
      </x:c>
      <x:c r="B589" s="2" t="str">
        <x:v>Cycle 4</x:v>
      </x:c>
      <x:c r="C589" s="2" t="str">
        <x:v>Phase 1</x:v>
      </x:c>
      <x:c r="D589" s="2" t="str">
        <x:v>FCM</x:v>
      </x:c>
      <x:c r="E589" s="56" t="str">
        <x:v>RA.FC.1.5</x:v>
      </x:c>
      <x:c r="F589" s="14" t="str">
        <x:v>Schedule topic approval meeting with D&amp;I and management</x:v>
      </x:c>
      <x:c r="G589" s="5"/>
      <x:c r="H589" s="11"/>
      <x:c r="I589" s="11" t="n">
        <x:f>'Cycles &amp; Guide'!$D$13</x:f>
        <x:v>46387</x:v>
      </x:c>
      <x:c r="J589" s="11"/>
      <x:c r="K589" s="29"/>
      <x:c r="L589" s="2" t="str">
        <x:f>IF(O589=1,"Complete",IF(A589,"Checklist open",IF(H589&lt;&gt;"","In progress","Not started")))</x:f>
        <x:v>Not started</x:v>
      </x:c>
      <x:c r="M589" s="2" t="str">
        <x:v>Task</x:v>
      </x:c>
      <x:c r="N589" s="2" t="str">
        <x:v>RA.FC.1.5.2026.CY4</x:v>
      </x:c>
      <x:c r="O589" s="2" t="n">
        <x:f>R589</x:f>
        <x:v>0</x:v>
      </x:c>
      <x:c r="P589" s="2"/>
      <x:c r="Q589" s="2" t="n">
        <x:v>1</x:v>
      </x:c>
      <x:c r="R589" s="2" t="n">
        <x:f>IF(A589,1,0)</x:f>
        <x:v>0</x:v>
      </x:c>
      <x:c r="S589" s="2" t="n">
        <x:f>SUBTOTAL(103,N589)</x:f>
        <x:v>1</x:v>
      </x:c>
    </x:row>
    <x:row r="590" ht="42" customHeight="1">
      <x:c r="A590" s="28" t="b">
        <x:v>0</x:v>
      </x:c>
      <x:c r="B590" s="2" t="str">
        <x:v>Cycle 4</x:v>
      </x:c>
      <x:c r="C590" s="2" t="str">
        <x:v>Phase 1</x:v>
      </x:c>
      <x:c r="D590" s="2" t="str">
        <x:v>FCM</x:v>
      </x:c>
      <x:c r="E590" s="56" t="str">
        <x:v>RA.FC.1.6</x:v>
      </x:c>
      <x:c r="F590" s="14" t="str">
        <x:v>Present recommended topic to D&amp;I and management for approval</x:v>
      </x:c>
      <x:c r="G590" s="5"/>
      <x:c r="H590" s="11"/>
      <x:c r="I590" s="11" t="n">
        <x:f>'Cycles &amp; Guide'!$D$13</x:f>
        <x:v>46387</x:v>
      </x:c>
      <x:c r="J590" s="11"/>
      <x:c r="K590" s="29"/>
      <x:c r="L590" s="2" t="str">
        <x:f>IF(O590=1,"Complete",IF(A590,"Checklist open",IF(H590&lt;&gt;"","In progress","Not started")))</x:f>
        <x:v>Not started</x:v>
      </x:c>
      <x:c r="M590" s="2" t="str">
        <x:v>Task</x:v>
      </x:c>
      <x:c r="N590" s="2" t="str">
        <x:v>RA.FC.1.6.2026.CY4</x:v>
      </x:c>
      <x:c r="O590" s="2" t="n">
        <x:f>R590</x:f>
        <x:v>0</x:v>
      </x:c>
      <x:c r="P590" s="2"/>
      <x:c r="Q590" s="2" t="n">
        <x:v>1</x:v>
      </x:c>
      <x:c r="R590" s="2" t="n">
        <x:f>IF(A590,1,0)</x:f>
        <x:v>0</x:v>
      </x:c>
      <x:c r="S590" s="2" t="n">
        <x:f>SUBTOTAL(103,N590)</x:f>
        <x:v>1</x:v>
      </x:c>
    </x:row>
    <x:row r="591" ht="42" customHeight="1">
      <x:c r="A591" s="28" t="b">
        <x:v>0</x:v>
      </x:c>
      <x:c r="B591" s="2" t="str">
        <x:v>Cycle 4</x:v>
      </x:c>
      <x:c r="C591" s="2" t="str">
        <x:v>Phase 1</x:v>
      </x:c>
      <x:c r="D591" s="2" t="str">
        <x:v>FCM</x:v>
      </x:c>
      <x:c r="E591" s="56" t="str">
        <x:v>RA.FC.1.7</x:v>
      </x:c>
      <x:c r="F591" s="14" t="str">
        <x:v>Obtain formal topic selection approval from management via SharePoint</x:v>
      </x:c>
      <x:c r="G591" s="5"/>
      <x:c r="H591" s="11"/>
      <x:c r="I591" s="11" t="n">
        <x:f>'Cycles &amp; Guide'!$D$13</x:f>
        <x:v>46387</x:v>
      </x:c>
      <x:c r="J591" s="11"/>
      <x:c r="K591" s="29"/>
      <x:c r="L591" s="2" t="str">
        <x:f>IF(O591=1,"Complete",IF(A591,"Checklist open",IF(H591&lt;&gt;"","In progress","Not started")))</x:f>
        <x:v>Not started</x:v>
      </x:c>
      <x:c r="M591" s="2" t="str">
        <x:v>Task</x:v>
      </x:c>
      <x:c r="N591" s="2" t="str">
        <x:v>RA.FC.1.7.2026.CY4</x:v>
      </x:c>
      <x:c r="O591" s="2" t="n">
        <x:f>R591</x:f>
        <x:v>0</x:v>
      </x:c>
      <x:c r="P591" s="2"/>
      <x:c r="Q591" s="2" t="n">
        <x:v>1</x:v>
      </x:c>
      <x:c r="R591" s="2" t="n">
        <x:f>IF(A591,1,0)</x:f>
        <x:v>0</x:v>
      </x:c>
      <x:c r="S591" s="2" t="n">
        <x:f>SUBTOTAL(103,N591)</x:f>
        <x:v>1</x:v>
      </x:c>
    </x:row>
    <x:row r="592" ht="42" customHeight="1">
      <x:c r="A592" s="28" t="b">
        <x:v>0</x:v>
      </x:c>
      <x:c r="B592" s="2" t="str">
        <x:v>Cycle 4</x:v>
      </x:c>
      <x:c r="C592" s="2" t="str">
        <x:v>Phase 1</x:v>
      </x:c>
      <x:c r="D592" s="2" t="str">
        <x:v>FCM</x:v>
      </x:c>
      <x:c r="E592" s="56" t="str">
        <x:v>RA.FC.1.8</x:v>
      </x:c>
      <x:c r="F592" s="14" t="str">
        <x:v>Socialize topic selection with product owners and subject matter experts (if known)</x:v>
      </x:c>
      <x:c r="G592" s="5"/>
      <x:c r="H592" s="11"/>
      <x:c r="I592" s="11" t="n">
        <x:f>'Cycles &amp; Guide'!$D$13</x:f>
        <x:v>46387</x:v>
      </x:c>
      <x:c r="J592" s="11"/>
      <x:c r="K592" s="29"/>
      <x:c r="L592" s="2" t="str">
        <x:f>IF(O592=1,"Complete",IF(A592,"Checklist open",IF(H592&lt;&gt;"","In progress","Not started")))</x:f>
        <x:v>Not started</x:v>
      </x:c>
      <x:c r="M592" s="2" t="str">
        <x:v>Task</x:v>
      </x:c>
      <x:c r="N592" s="2" t="str">
        <x:v>RA.FC.1.8.2026.CY4</x:v>
      </x:c>
      <x:c r="O592" s="2" t="n">
        <x:f>R592</x:f>
        <x:v>0</x:v>
      </x:c>
      <x:c r="P592" s="2"/>
      <x:c r="Q592" s="2" t="n">
        <x:v>1</x:v>
      </x:c>
      <x:c r="R592" s="2" t="n">
        <x:f>IF(A592,1,0)</x:f>
        <x:v>0</x:v>
      </x:c>
      <x:c r="S592" s="2" t="n">
        <x:f>SUBTOTAL(103,N592)</x:f>
        <x:v>1</x:v>
      </x:c>
    </x:row>
    <x:row r="593" ht="42" customHeight="1">
      <x:c r="A593" s="28" t="b">
        <x:v>0</x:v>
      </x:c>
      <x:c r="B593" s="2" t="str">
        <x:v>Cycle 4</x:v>
      </x:c>
      <x:c r="C593" s="2" t="str">
        <x:v>Phase 1</x:v>
      </x:c>
      <x:c r="D593" s="2" t="str">
        <x:v>FCM</x:v>
      </x:c>
      <x:c r="E593" s="56" t="str">
        <x:v>RA.FC.1.9</x:v>
      </x:c>
      <x:c r="F593" s="14" t="str">
        <x:v>Assign topic researchers</x:v>
      </x:c>
      <x:c r="G593" s="5"/>
      <x:c r="H593" s="11"/>
      <x:c r="I593" s="11" t="n">
        <x:f>'Cycles &amp; Guide'!$D$13</x:f>
        <x:v>46387</x:v>
      </x:c>
      <x:c r="J593" s="11"/>
      <x:c r="K593" s="29"/>
      <x:c r="L593" s="2" t="str">
        <x:f>IF(O593=1,"Complete",IF(A593,"Checklist open",IF(H593&lt;&gt;"","In progress","Not started")))</x:f>
        <x:v>Not started</x:v>
      </x:c>
      <x:c r="M593" s="2" t="str">
        <x:v>Task</x:v>
      </x:c>
      <x:c r="N593" s="2" t="str">
        <x:v>RA.FC.1.9.2026.CY4</x:v>
      </x:c>
      <x:c r="O593" s="2" t="n">
        <x:f>R593</x:f>
        <x:v>0</x:v>
      </x:c>
      <x:c r="P593" s="2"/>
      <x:c r="Q593" s="2" t="n">
        <x:v>1</x:v>
      </x:c>
      <x:c r="R593" s="2" t="n">
        <x:f>IF(A593,1,0)</x:f>
        <x:v>0</x:v>
      </x:c>
      <x:c r="S593" s="2" t="n">
        <x:f>SUBTOTAL(103,N593)</x:f>
        <x:v>1</x:v>
      </x:c>
    </x:row>
    <x:row r="594" ht="42" customHeight="1">
      <x:c r="A594" s="28" t="b">
        <x:v>0</x:v>
      </x:c>
      <x:c r="B594" s="2" t="str">
        <x:v>Cycle 4</x:v>
      </x:c>
      <x:c r="C594" s="2" t="str">
        <x:v>Phase 2</x:v>
      </x:c>
      <x:c r="D594" s="2" t="str">
        <x:v>FCM</x:v>
      </x:c>
      <x:c r="E594" s="56" t="str">
        <x:v>RA.FC.2.1</x:v>
      </x:c>
      <x:c r="F594" s="14" t="str">
        <x:v>Review data sources</x:v>
      </x:c>
      <x:c r="G594" s="5"/>
      <x:c r="H594" s="11"/>
      <x:c r="I594" s="11" t="n">
        <x:f>'Cycles &amp; Guide'!$D$13</x:f>
        <x:v>46387</x:v>
      </x:c>
      <x:c r="J594" s="11"/>
      <x:c r="K594" s="29"/>
      <x:c r="L594" s="2" t="str">
        <x:f>IF(O594=1,"Complete",IF(A594,"Checklist open",IF(H594&lt;&gt;"","In progress","Not started")))</x:f>
        <x:v>Not started</x:v>
      </x:c>
      <x:c r="M594" s="2" t="str">
        <x:v>Task</x:v>
      </x:c>
      <x:c r="N594" s="2" t="str">
        <x:v>RA.FC.2.1.2026.CY4</x:v>
      </x:c>
      <x:c r="O594" s="2" t="n">
        <x:f>R594</x:f>
        <x:v>0</x:v>
      </x:c>
      <x:c r="P594" s="2"/>
      <x:c r="Q594" s="2" t="n">
        <x:v>1</x:v>
      </x:c>
      <x:c r="R594" s="2" t="n">
        <x:f>IF(A594,1,0)</x:f>
        <x:v>0</x:v>
      </x:c>
      <x:c r="S594" s="2" t="n">
        <x:f>SUBTOTAL(103,N594)</x:f>
        <x:v>1</x:v>
      </x:c>
    </x:row>
    <x:row r="595" ht="42" customHeight="1">
      <x:c r="A595" s="28" t="b">
        <x:v>0</x:v>
      </x:c>
      <x:c r="B595" s="2" t="str">
        <x:v>Cycle 4</x:v>
      </x:c>
      <x:c r="C595" s="2" t="str">
        <x:v>Phase 2</x:v>
      </x:c>
      <x:c r="D595" s="2" t="str">
        <x:v>FCM</x:v>
      </x:c>
      <x:c r="E595" s="56" t="str">
        <x:v>RA.FC.2.2</x:v>
      </x:c>
      <x:c r="F595" s="14" t="str">
        <x:v>Review relevant policies and procedures</x:v>
      </x:c>
      <x:c r="G595" s="5"/>
      <x:c r="H595" s="11"/>
      <x:c r="I595" s="11" t="n">
        <x:f>'Cycles &amp; Guide'!$D$13</x:f>
        <x:v>46387</x:v>
      </x:c>
      <x:c r="J595" s="11"/>
      <x:c r="K595" s="29"/>
      <x:c r="L595" s="2" t="str">
        <x:f>IF(O595=1,"Complete",IF(A595,"Checklist open",IF(H595&lt;&gt;"","In progress","Not started")))</x:f>
        <x:v>Not started</x:v>
      </x:c>
      <x:c r="M595" s="2" t="str">
        <x:v>Task</x:v>
      </x:c>
      <x:c r="N595" s="2" t="str">
        <x:v>RA.FC.2.2.2026.CY4</x:v>
      </x:c>
      <x:c r="O595" s="2" t="n">
        <x:f>R595</x:f>
        <x:v>0</x:v>
      </x:c>
      <x:c r="P595" s="2"/>
      <x:c r="Q595" s="2" t="n">
        <x:v>1</x:v>
      </x:c>
      <x:c r="R595" s="2" t="n">
        <x:f>IF(A595,1,0)</x:f>
        <x:v>0</x:v>
      </x:c>
      <x:c r="S595" s="2" t="n">
        <x:f>SUBTOTAL(103,N595)</x:f>
        <x:v>1</x:v>
      </x:c>
    </x:row>
    <x:row r="596" ht="42" customHeight="1">
      <x:c r="A596" s="28" t="b">
        <x:v>0</x:v>
      </x:c>
      <x:c r="B596" s="2" t="str">
        <x:v>Cycle 4</x:v>
      </x:c>
      <x:c r="C596" s="2" t="str">
        <x:v>Phase 2</x:v>
      </x:c>
      <x:c r="D596" s="2" t="str">
        <x:v>FCM</x:v>
      </x:c>
      <x:c r="E596" s="56" t="str">
        <x:v>RA.FC.2.3</x:v>
      </x:c>
      <x:c r="F596" s="14" t="str">
        <x:v>Meet with SMEs to gain business insight and clarify questions</x:v>
      </x:c>
      <x:c r="G596" s="5"/>
      <x:c r="H596" s="11"/>
      <x:c r="I596" s="11" t="n">
        <x:f>'Cycles &amp; Guide'!$D$13</x:f>
        <x:v>46387</x:v>
      </x:c>
      <x:c r="J596" s="11"/>
      <x:c r="K596" s="29"/>
      <x:c r="L596" s="2" t="str">
        <x:f>IF(O596=1,"Complete",IF(A596,"Checklist open",IF(H596&lt;&gt;"","In progress","Not started")))</x:f>
        <x:v>Not started</x:v>
      </x:c>
      <x:c r="M596" s="2" t="str">
        <x:v>Task</x:v>
      </x:c>
      <x:c r="N596" s="2" t="str">
        <x:v>RA.FC.2.3.2026.CY4</x:v>
      </x:c>
      <x:c r="O596" s="2" t="n">
        <x:f>R596</x:f>
        <x:v>0</x:v>
      </x:c>
      <x:c r="P596" s="2"/>
      <x:c r="Q596" s="2" t="n">
        <x:v>1</x:v>
      </x:c>
      <x:c r="R596" s="2" t="n">
        <x:f>IF(A596,1,0)</x:f>
        <x:v>0</x:v>
      </x:c>
      <x:c r="S596" s="2" t="n">
        <x:f>SUBTOTAL(103,N596)</x:f>
        <x:v>1</x:v>
      </x:c>
    </x:row>
    <x:row r="597" ht="42" customHeight="1">
      <x:c r="A597" s="28" t="b">
        <x:v>0</x:v>
      </x:c>
      <x:c r="B597" s="2" t="str">
        <x:v>Cycle 4</x:v>
      </x:c>
      <x:c r="C597" s="2" t="str">
        <x:v>Phase 2</x:v>
      </x:c>
      <x:c r="D597" s="2" t="str">
        <x:v>FCM</x:v>
      </x:c>
      <x:c r="E597" s="56" t="str">
        <x:v>RA.FC.2.4</x:v>
      </x:c>
      <x:c r="F597" s="14" t="str">
        <x:v>Establish and maintain a recurring meeting with D&amp;I to discuss Cycle progress</x:v>
      </x:c>
      <x:c r="G597" s="5"/>
      <x:c r="H597" s="11"/>
      <x:c r="I597" s="11" t="n">
        <x:f>'Cycles &amp; Guide'!$D$13</x:f>
        <x:v>46387</x:v>
      </x:c>
      <x:c r="J597" s="11"/>
      <x:c r="K597" s="29"/>
      <x:c r="L597" s="2" t="str">
        <x:f>IF(O597=1,"Complete",IF(A597,"Checklist open",IF(H597&lt;&gt;"","In progress","Not started")))</x:f>
        <x:v>Not started</x:v>
      </x:c>
      <x:c r="M597" s="2" t="str">
        <x:v>Task</x:v>
      </x:c>
      <x:c r="N597" s="2" t="str">
        <x:v>RA.FC.2.4.2026.CY4</x:v>
      </x:c>
      <x:c r="O597" s="2" t="n">
        <x:f>R597</x:f>
        <x:v>0</x:v>
      </x:c>
      <x:c r="P597" s="2"/>
      <x:c r="Q597" s="2" t="n">
        <x:v>1</x:v>
      </x:c>
      <x:c r="R597" s="2" t="n">
        <x:f>IF(A597,1,0)</x:f>
        <x:v>0</x:v>
      </x:c>
      <x:c r="S597" s="2" t="n">
        <x:f>SUBTOTAL(103,N597)</x:f>
        <x:v>1</x:v>
      </x:c>
    </x:row>
    <x:row r="598" ht="42" customHeight="1">
      <x:c r="A598" s="28" t="b">
        <x:v>0</x:v>
      </x:c>
      <x:c r="B598" s="2" t="str">
        <x:v>Cycle 4</x:v>
      </x:c>
      <x:c r="C598" s="2" t="str">
        <x:v>Phase 2</x:v>
      </x:c>
      <x:c r="D598" s="2" t="str">
        <x:v>FCM</x:v>
      </x:c>
      <x:c r="E598" s="56" t="str">
        <x:v>RA.FC.2.5</x:v>
      </x:c>
      <x:c r="F598" s="14" t="str">
        <x:v>Perform data testing and sampling</x:v>
      </x:c>
      <x:c r="G598" s="5"/>
      <x:c r="H598" s="11"/>
      <x:c r="I598" s="11" t="n">
        <x:f>'Cycles &amp; Guide'!$D$13</x:f>
        <x:v>46387</x:v>
      </x:c>
      <x:c r="J598" s="11"/>
      <x:c r="K598" s="29"/>
      <x:c r="L598" s="2" t="str">
        <x:f>IF(O598=1,"Complete",IF(A598,"Checklist open",IF(H598&lt;&gt;"","In progress","Not started")))</x:f>
        <x:v>Not started</x:v>
      </x:c>
      <x:c r="M598" s="2" t="str">
        <x:v>Task</x:v>
      </x:c>
      <x:c r="N598" s="2" t="str">
        <x:v>RA.FC.2.5.2026.CY4</x:v>
      </x:c>
      <x:c r="O598" s="2" t="n">
        <x:f>R598</x:f>
        <x:v>0</x:v>
      </x:c>
      <x:c r="P598" s="2"/>
      <x:c r="Q598" s="2" t="n">
        <x:v>1</x:v>
      </x:c>
      <x:c r="R598" s="2" t="n">
        <x:f>IF(A598,1,0)</x:f>
        <x:v>0</x:v>
      </x:c>
      <x:c r="S598" s="2" t="n">
        <x:f>SUBTOTAL(103,N598)</x:f>
        <x:v>1</x:v>
      </x:c>
    </x:row>
    <x:row r="599" ht="42" customHeight="1">
      <x:c r="A599" s="28" t="b">
        <x:v>0</x:v>
      </x:c>
      <x:c r="B599" s="2" t="str">
        <x:v>Cycle 4</x:v>
      </x:c>
      <x:c r="C599" s="2" t="str">
        <x:v>Phase 2</x:v>
      </x:c>
      <x:c r="D599" s="2" t="str">
        <x:v>FCM</x:v>
      </x:c>
      <x:c r="E599" s="56" t="str">
        <x:v>RA.FC.2.6</x:v>
      </x:c>
      <x:c r="F599" s="14" t="str">
        <x:v>Complete Positive Testing</x:v>
      </x:c>
      <x:c r="G599" s="5"/>
      <x:c r="H599" s="11"/>
      <x:c r="I599" s="11" t="n">
        <x:f>'Cycles &amp; Guide'!$D$13</x:f>
        <x:v>46387</x:v>
      </x:c>
      <x:c r="J599" s="11"/>
      <x:c r="K599" s="29"/>
      <x:c r="L599" s="2" t="str">
        <x:f>IF(O599=1,"Complete",IF(A599,"Checklist open",IF(H599&lt;&gt;"","In progress","Not started")))</x:f>
        <x:v>Not started</x:v>
      </x:c>
      <x:c r="M599" s="2" t="str">
        <x:v>Task</x:v>
      </x:c>
      <x:c r="N599" s="2" t="str">
        <x:v>RA.FC.2.6.2026.CY4</x:v>
      </x:c>
      <x:c r="O599" s="2" t="n">
        <x:f>R599</x:f>
        <x:v>0</x:v>
      </x:c>
      <x:c r="P599" s="2"/>
      <x:c r="Q599" s="2" t="n">
        <x:v>1</x:v>
      </x:c>
      <x:c r="R599" s="2" t="n">
        <x:f>IF(A599,1,0)</x:f>
        <x:v>0</x:v>
      </x:c>
      <x:c r="S599" s="2" t="n">
        <x:f>SUBTOTAL(103,N599)</x:f>
        <x:v>1</x:v>
      </x:c>
    </x:row>
    <x:row r="600" ht="42" customHeight="1">
      <x:c r="A600" s="28" t="b">
        <x:v>0</x:v>
      </x:c>
      <x:c r="B600" s="2" t="str">
        <x:v>Cycle 4</x:v>
      </x:c>
      <x:c r="C600" s="2" t="str">
        <x:v>Phase 2</x:v>
      </x:c>
      <x:c r="D600" s="2" t="str">
        <x:v>FCM</x:v>
      </x:c>
      <x:c r="E600" s="56" t="str">
        <x:v>RA.FC.2.7</x:v>
      </x:c>
      <x:c r="F600" s="14" t="str">
        <x:v>Complete Negative Testing</x:v>
      </x:c>
      <x:c r="G600" s="5"/>
      <x:c r="H600" s="11"/>
      <x:c r="I600" s="11" t="n">
        <x:f>'Cycles &amp; Guide'!$D$13</x:f>
        <x:v>46387</x:v>
      </x:c>
      <x:c r="J600" s="11"/>
      <x:c r="K600" s="29"/>
      <x:c r="L600" s="2" t="str">
        <x:f>IF(O600=1,"Complete",IF(A600,"Checklist open",IF(H600&lt;&gt;"","In progress","Not started")))</x:f>
        <x:v>Not started</x:v>
      </x:c>
      <x:c r="M600" s="2" t="str">
        <x:v>Task</x:v>
      </x:c>
      <x:c r="N600" s="2" t="str">
        <x:v>RA.FC.2.7.2026.CY4</x:v>
      </x:c>
      <x:c r="O600" s="2" t="n">
        <x:f>R600</x:f>
        <x:v>0</x:v>
      </x:c>
      <x:c r="P600" s="2"/>
      <x:c r="Q600" s="2" t="n">
        <x:v>1</x:v>
      </x:c>
      <x:c r="R600" s="2" t="n">
        <x:f>IF(A600,1,0)</x:f>
        <x:v>0</x:v>
      </x:c>
      <x:c r="S600" s="2" t="n">
        <x:f>SUBTOTAL(103,N600)</x:f>
        <x:v>1</x:v>
      </x:c>
    </x:row>
    <x:row r="601" ht="42" customHeight="1">
      <x:c r="A601" s="28" t="b">
        <x:v>0</x:v>
      </x:c>
      <x:c r="B601" s="2" t="str">
        <x:v>Cycle 4</x:v>
      </x:c>
      <x:c r="C601" s="2" t="str">
        <x:v>Phase 2</x:v>
      </x:c>
      <x:c r="D601" s="2" t="str">
        <x:v>FCM</x:v>
      </x:c>
      <x:c r="E601" s="56" t="str">
        <x:v>RA.FC.2.8</x:v>
      </x:c>
      <x:c r="F601" s="14" t="str">
        <x:v>Request additional data (as needed)</x:v>
      </x:c>
      <x:c r="G601" s="5"/>
      <x:c r="H601" s="11"/>
      <x:c r="I601" s="11" t="n">
        <x:f>'Cycles &amp; Guide'!$D$13</x:f>
        <x:v>46387</x:v>
      </x:c>
      <x:c r="J601" s="11"/>
      <x:c r="K601" s="29"/>
      <x:c r="L601" s="2" t="str">
        <x:f>IF(O601=1,"Complete",IF(A601,"Checklist open",IF(H601&lt;&gt;"","In progress","Not started")))</x:f>
        <x:v>Not started</x:v>
      </x:c>
      <x:c r="M601" s="2" t="str">
        <x:v>Task</x:v>
      </x:c>
      <x:c r="N601" s="2" t="str">
        <x:v>RA.FC.2.8.2026.CY4</x:v>
      </x:c>
      <x:c r="O601" s="2" t="n">
        <x:f>R601</x:f>
        <x:v>0</x:v>
      </x:c>
      <x:c r="P601" s="2"/>
      <x:c r="Q601" s="2" t="n">
        <x:v>1</x:v>
      </x:c>
      <x:c r="R601" s="2" t="n">
        <x:f>IF(A601,1,0)</x:f>
        <x:v>0</x:v>
      </x:c>
      <x:c r="S601" s="2" t="n">
        <x:f>SUBTOTAL(103,N601)</x:f>
        <x:v>1</x:v>
      </x:c>
    </x:row>
    <x:row r="602" ht="42" customHeight="1">
      <x:c r="A602" s="28" t="b">
        <x:v>0</x:v>
      </x:c>
      <x:c r="B602" s="2" t="str">
        <x:v>Cycle 4</x:v>
      </x:c>
      <x:c r="C602" s="2" t="str">
        <x:v>Phase 2</x:v>
      </x:c>
      <x:c r="D602" s="2" t="str">
        <x:v>FCM</x:v>
      </x:c>
      <x:c r="E602" s="56" t="str">
        <x:v>RA.FC.2.9</x:v>
      </x:c>
      <x:c r="F602" s="14" t="str">
        <x:v>Validate or disprove initial hypothesis assumptions</x:v>
      </x:c>
      <x:c r="G602" s="5"/>
      <x:c r="H602" s="11"/>
      <x:c r="I602" s="11" t="n">
        <x:f>'Cycles &amp; Guide'!$D$13</x:f>
        <x:v>46387</x:v>
      </x:c>
      <x:c r="J602" s="11"/>
      <x:c r="K602" s="29"/>
      <x:c r="L602" s="2" t="str">
        <x:f>IF(O602=1,"Complete",IF(A602,"Checklist open",IF(H602&lt;&gt;"","In progress","Not started")))</x:f>
        <x:v>Not started</x:v>
      </x:c>
      <x:c r="M602" s="2" t="str">
        <x:v>Task</x:v>
      </x:c>
      <x:c r="N602" s="2" t="str">
        <x:v>RA.FC.2.9.2026.CY4</x:v>
      </x:c>
      <x:c r="O602" s="2" t="n">
        <x:f>R602</x:f>
        <x:v>0</x:v>
      </x:c>
      <x:c r="P602" s="2"/>
      <x:c r="Q602" s="2" t="n">
        <x:v>1</x:v>
      </x:c>
      <x:c r="R602" s="2" t="n">
        <x:f>IF(A602,1,0)</x:f>
        <x:v>0</x:v>
      </x:c>
      <x:c r="S602" s="2" t="n">
        <x:f>SUBTOTAL(103,N602)</x:f>
        <x:v>1</x:v>
      </x:c>
    </x:row>
    <x:row r="603" ht="42" customHeight="1">
      <x:c r="A603" s="28" t="b">
        <x:v>0</x:v>
      </x:c>
      <x:c r="B603" s="2" t="str">
        <x:v>Cycle 4</x:v>
      </x:c>
      <x:c r="C603" s="2" t="str">
        <x:v>Phase 2</x:v>
      </x:c>
      <x:c r="D603" s="2" t="str">
        <x:v>FCM</x:v>
      </x:c>
      <x:c r="E603" s="56" t="str">
        <x:v>RA.FC.2.10</x:v>
      </x:c>
      <x:c r="F603" s="14" t="str">
        <x:v>Identify and confirm root cause</x:v>
      </x:c>
      <x:c r="G603" s="5"/>
      <x:c r="H603" s="11"/>
      <x:c r="I603" s="11" t="n">
        <x:f>'Cycles &amp; Guide'!$D$13</x:f>
        <x:v>46387</x:v>
      </x:c>
      <x:c r="J603" s="11"/>
      <x:c r="K603" s="29"/>
      <x:c r="L603" s="2" t="str">
        <x:f>IF(O603=1,"Complete",IF(A603,"Checklist open",IF(H603&lt;&gt;"","In progress","Not started")))</x:f>
        <x:v>Not started</x:v>
      </x:c>
      <x:c r="M603" s="2" t="str">
        <x:v>Task</x:v>
      </x:c>
      <x:c r="N603" s="2" t="str">
        <x:v>RA.FC.2.10.2026.CY4</x:v>
      </x:c>
      <x:c r="O603" s="2" t="n">
        <x:f>R603</x:f>
        <x:v>0</x:v>
      </x:c>
      <x:c r="P603" s="2"/>
      <x:c r="Q603" s="2" t="n">
        <x:v>1</x:v>
      </x:c>
      <x:c r="R603" s="2" t="n">
        <x:f>IF(A603,1,0)</x:f>
        <x:v>0</x:v>
      </x:c>
      <x:c r="S603" s="2" t="n">
        <x:f>SUBTOTAL(103,N603)</x:f>
        <x:v>1</x:v>
      </x:c>
    </x:row>
    <x:row r="604" ht="42" customHeight="1">
      <x:c r="A604" s="28" t="b">
        <x:v>0</x:v>
      </x:c>
      <x:c r="B604" s="2" t="str">
        <x:v>Cycle 4</x:v>
      </x:c>
      <x:c r="C604" s="2" t="str">
        <x:v>Phase 3</x:v>
      </x:c>
      <x:c r="D604" s="2" t="str">
        <x:v>FCM</x:v>
      </x:c>
      <x:c r="E604" s="56" t="str">
        <x:v>RA.FC.3.1</x:v>
      </x:c>
      <x:c r="F604" s="14" t="str">
        <x:v>Finalize results and supporting documentation</x:v>
      </x:c>
      <x:c r="G604" s="5"/>
      <x:c r="H604" s="11"/>
      <x:c r="I604" s="11" t="n">
        <x:f>'Cycles &amp; Guide'!$D$13</x:f>
        <x:v>46387</x:v>
      </x:c>
      <x:c r="J604" s="11"/>
      <x:c r="K604" s="29"/>
      <x:c r="L604" s="2" t="str">
        <x:f>IF(O604=1,"Complete",IF(A604,"Checklist open",IF(H604&lt;&gt;"","In progress","Not started")))</x:f>
        <x:v>Not started</x:v>
      </x:c>
      <x:c r="M604" s="2" t="str">
        <x:v>Task</x:v>
      </x:c>
      <x:c r="N604" s="2" t="str">
        <x:v>RA.FC.3.1.2026.CY4</x:v>
      </x:c>
      <x:c r="O604" s="2" t="n">
        <x:f>R604</x:f>
        <x:v>0</x:v>
      </x:c>
      <x:c r="P604" s="2"/>
      <x:c r="Q604" s="2" t="n">
        <x:v>1</x:v>
      </x:c>
      <x:c r="R604" s="2" t="n">
        <x:f>IF(A604,1,0)</x:f>
        <x:v>0</x:v>
      </x:c>
      <x:c r="S604" s="2" t="n">
        <x:f>SUBTOTAL(103,N604)</x:f>
        <x:v>1</x:v>
      </x:c>
    </x:row>
    <x:row r="605" ht="42" customHeight="1">
      <x:c r="A605" s="28" t="b">
        <x:v>0</x:v>
      </x:c>
      <x:c r="B605" s="2" t="str">
        <x:v>Cycle 4</x:v>
      </x:c>
      <x:c r="C605" s="2" t="str">
        <x:v>Phase 3</x:v>
      </x:c>
      <x:c r="D605" s="2" t="str">
        <x:v>FCM</x:v>
      </x:c>
      <x:c r="E605" s="56" t="str">
        <x:v>RA.FC.3.2</x:v>
      </x:c>
      <x:c r="F605" s="14" t="str">
        <x:v>Maintain and update the evidence package prior to handoff to D&amp;I</x:v>
      </x:c>
      <x:c r="G605" s="5"/>
      <x:c r="H605" s="11"/>
      <x:c r="I605" s="11" t="n">
        <x:f>'Cycles &amp; Guide'!$D$13</x:f>
        <x:v>46387</x:v>
      </x:c>
      <x:c r="J605" s="11"/>
      <x:c r="K605" s="29"/>
      <x:c r="L605" s="2" t="str">
        <x:f>IF(O605=1,"Complete",IF(A605,"Checklist open",IF(H605&lt;&gt;"","In progress","Not started")))</x:f>
        <x:v>Not started</x:v>
      </x:c>
      <x:c r="M605" s="2" t="str">
        <x:v>Task</x:v>
      </x:c>
      <x:c r="N605" s="2" t="str">
        <x:v>RA.FC.3.2.2026.CY4</x:v>
      </x:c>
      <x:c r="O605" s="2" t="n">
        <x:f>R605</x:f>
        <x:v>0</x:v>
      </x:c>
      <x:c r="P605" s="2"/>
      <x:c r="Q605" s="2" t="n">
        <x:v>1</x:v>
      </x:c>
      <x:c r="R605" s="2" t="n">
        <x:f>IF(A605,1,0)</x:f>
        <x:v>0</x:v>
      </x:c>
      <x:c r="S605" s="2" t="n">
        <x:f>SUBTOTAL(103,N605)</x:f>
        <x:v>1</x:v>
      </x:c>
    </x:row>
    <x:row r="606" ht="42" customHeight="1">
      <x:c r="A606" s="28" t="b">
        <x:v>0</x:v>
      </x:c>
      <x:c r="B606" s="2" t="str">
        <x:v>Cycle 4</x:v>
      </x:c>
      <x:c r="C606" s="2" t="str">
        <x:v>Phase 3</x:v>
      </x:c>
      <x:c r="D606" s="2" t="str">
        <x:v>FCM</x:v>
      </x:c>
      <x:c r="E606" s="56" t="str">
        <x:v>RA.FC.3.3</x:v>
      </x:c>
      <x:c r="F606" s="14" t="str">
        <x:v>Address any outstanding questions or requests from D&amp;I</x:v>
      </x:c>
      <x:c r="G606" s="5"/>
      <x:c r="H606" s="11"/>
      <x:c r="I606" s="11" t="n">
        <x:f>'Cycles &amp; Guide'!$D$13</x:f>
        <x:v>46387</x:v>
      </x:c>
      <x:c r="J606" s="11"/>
      <x:c r="K606" s="29"/>
      <x:c r="L606" s="2" t="str">
        <x:f>IF(O606=1,"Complete",IF(A606,"Checklist open",IF(H606&lt;&gt;"","In progress","Not started")))</x:f>
        <x:v>Not started</x:v>
      </x:c>
      <x:c r="M606" s="2" t="str">
        <x:v>Task</x:v>
      </x:c>
      <x:c r="N606" s="2" t="str">
        <x:v>RA.FC.3.3.2026.CY4</x:v>
      </x:c>
      <x:c r="O606" s="2" t="n">
        <x:f>R606</x:f>
        <x:v>0</x:v>
      </x:c>
      <x:c r="P606" s="2"/>
      <x:c r="Q606" s="2" t="n">
        <x:v>1</x:v>
      </x:c>
      <x:c r="R606" s="2" t="n">
        <x:f>IF(A606,1,0)</x:f>
        <x:v>0</x:v>
      </x:c>
      <x:c r="S606" s="2" t="n">
        <x:f>SUBTOTAL(103,N606)</x:f>
        <x:v>1</x:v>
      </x:c>
    </x:row>
    <x:row r="607" ht="42" customHeight="1">
      <x:c r="A607" s="28" t="b">
        <x:v>0</x:v>
      </x:c>
      <x:c r="B607" s="2" t="str">
        <x:v>Cycle 4</x:v>
      </x:c>
      <x:c r="C607" s="2" t="str">
        <x:v>Phase 3</x:v>
      </x:c>
      <x:c r="D607" s="2" t="str">
        <x:v>FCM</x:v>
      </x:c>
      <x:c r="E607" s="56" t="str">
        <x:v>RA.FC.3.4</x:v>
      </x:c>
      <x:c r="F607" s="14" t="str">
        <x:v>Attend Forum meeting with D&amp;I to assist with answering stakeholder questions (as needed)</x:v>
      </x:c>
      <x:c r="G607" s="5"/>
      <x:c r="H607" s="11"/>
      <x:c r="I607" s="11" t="str">
        <x:f>IF(SUMIFS('Cycles &amp; Guide'!$D$23:$D$50,'Cycles &amp; Guide'!$B$23:$B$50,B607,'Cycles &amp; Guide'!$C$23:$C$50,D607)=0,"",SUMIFS('Cycles &amp; Guide'!$D$23:$D$50,'Cycles &amp; Guide'!$B$23:$B$50,B607,'Cycles &amp; Guide'!$C$23:$C$50,D607))</x:f>
      </x:c>
      <x:c r="J607" s="11"/>
      <x:c r="K607" s="29"/>
      <x:c r="L607" s="2" t="str">
        <x:f>IF(O607=1,"Complete",IF(A607,"Checklist open",IF(H607&lt;&gt;"","In progress","Not started")))</x:f>
        <x:v>Not started</x:v>
      </x:c>
      <x:c r="M607" s="2" t="str">
        <x:v>Task</x:v>
      </x:c>
      <x:c r="N607" s="2" t="str">
        <x:v>RA.FC.3.4.2026.CY4</x:v>
      </x:c>
      <x:c r="O607" s="2" t="n">
        <x:f>R607</x:f>
        <x:v>0</x:v>
      </x:c>
      <x:c r="P607" s="2"/>
      <x:c r="Q607" s="2" t="n">
        <x:v>1</x:v>
      </x:c>
      <x:c r="R607" s="2" t="n">
        <x:f>IF(A607,1,0)</x:f>
        <x:v>0</x:v>
      </x:c>
      <x:c r="S607" s="2" t="n">
        <x:f>SUBTOTAL(103,N607)</x:f>
        <x:v>1</x:v>
      </x:c>
    </x:row>
    <x:row r="608" ht="42" customHeight="1">
      <x:c r="A608" s="28" t="b">
        <x:v>0</x:v>
      </x:c>
      <x:c r="B608" s="2" t="str">
        <x:v>Cycle 4</x:v>
      </x:c>
      <x:c r="C608" s="2" t="str">
        <x:v>Phase 1</x:v>
      </x:c>
      <x:c r="D608" s="2" t="str">
        <x:v>PLL</x:v>
      </x:c>
      <x:c r="E608" s="56" t="str">
        <x:v>RA.PL.1.1</x:v>
      </x:c>
      <x:c r="F608" s="14" t="str">
        <x:v>Begin Research process 2 weeks prior to Cycle start</x:v>
      </x:c>
      <x:c r="G608" s="5"/>
      <x:c r="H608" s="11"/>
      <x:c r="I608" s="11" t="n">
        <x:f>'Cycles &amp; Guide'!$C$13-14</x:f>
        <x:v>46282</x:v>
      </x:c>
      <x:c r="J608" s="11"/>
      <x:c r="K608" s="29"/>
      <x:c r="L608" s="2" t="str">
        <x:f>IF(O608=1,"Complete",IF(A608,"Checklist open",IF(H608&lt;&gt;"","In progress","Not started")))</x:f>
        <x:v>Not started</x:v>
      </x:c>
      <x:c r="M608" s="2" t="str">
        <x:v>Task</x:v>
      </x:c>
      <x:c r="N608" s="2" t="str">
        <x:v>RA.PL.1.1.2026.CY4</x:v>
      </x:c>
      <x:c r="O608" s="2" t="n">
        <x:f>R608</x:f>
        <x:v>0</x:v>
      </x:c>
      <x:c r="P608" s="2"/>
      <x:c r="Q608" s="2" t="n">
        <x:v>1</x:v>
      </x:c>
      <x:c r="R608" s="2" t="n">
        <x:f>IF(A608,1,0)</x:f>
        <x:v>0</x:v>
      </x:c>
      <x:c r="S608" s="2" t="n">
        <x:f>SUBTOTAL(103,N608)</x:f>
        <x:v>1</x:v>
      </x:c>
    </x:row>
    <x:row r="609" ht="42" customHeight="1">
      <x:c r="A609" s="28" t="b">
        <x:v>0</x:v>
      </x:c>
      <x:c r="B609" s="2" t="str">
        <x:v>Cycle 4</x:v>
      </x:c>
      <x:c r="C609" s="2" t="str">
        <x:v>Phase 1</x:v>
      </x:c>
      <x:c r="D609" s="2" t="str">
        <x:v>PLL</x:v>
      </x:c>
      <x:c r="E609" s="56" t="str">
        <x:v>RA.PL.1.2</x:v>
      </x:c>
      <x:c r="F609" s="14" t="str">
        <x:v>Conduct initial assessment of each topic recommendation from SharePoint list</x:v>
      </x:c>
      <x:c r="G609" s="5"/>
      <x:c r="H609" s="11"/>
      <x:c r="I609" s="11" t="n">
        <x:f>'Cycles &amp; Guide'!$D$13</x:f>
        <x:v>46387</x:v>
      </x:c>
      <x:c r="J609" s="11"/>
      <x:c r="K609" s="29"/>
      <x:c r="L609" s="2" t="str">
        <x:f>IF(O609=1,"Complete",IF(A609,"Checklist open",IF(H609&lt;&gt;"","In progress","Not started")))</x:f>
        <x:v>Not started</x:v>
      </x:c>
      <x:c r="M609" s="2" t="str">
        <x:v>Task</x:v>
      </x:c>
      <x:c r="N609" s="2" t="str">
        <x:v>RA.PL.1.2.2026.CY4</x:v>
      </x:c>
      <x:c r="O609" s="2" t="n">
        <x:f>R609</x:f>
        <x:v>0</x:v>
      </x:c>
      <x:c r="P609" s="2"/>
      <x:c r="Q609" s="2" t="n">
        <x:v>1</x:v>
      </x:c>
      <x:c r="R609" s="2" t="n">
        <x:f>IF(A609,1,0)</x:f>
        <x:v>0</x:v>
      </x:c>
      <x:c r="S609" s="2" t="n">
        <x:f>SUBTOTAL(103,N609)</x:f>
        <x:v>1</x:v>
      </x:c>
    </x:row>
    <x:row r="610" ht="42" customHeight="1">
      <x:c r="A610" s="28" t="b">
        <x:v>0</x:v>
      </x:c>
      <x:c r="B610" s="2" t="str">
        <x:v>Cycle 4</x:v>
      </x:c>
      <x:c r="C610" s="2" t="str">
        <x:v>Phase 1</x:v>
      </x:c>
      <x:c r="D610" s="2" t="str">
        <x:v>PLL</x:v>
      </x:c>
      <x:c r="E610" s="56" t="str">
        <x:v>RA.PL.1.3</x:v>
      </x:c>
      <x:c r="F610" s="14" t="str">
        <x:v>Identify best topic for Cycle</x:v>
      </x:c>
      <x:c r="G610" s="5"/>
      <x:c r="H610" s="11"/>
      <x:c r="I610" s="11" t="n">
        <x:f>'Cycles &amp; Guide'!$D$13</x:f>
        <x:v>46387</x:v>
      </x:c>
      <x:c r="J610" s="11"/>
      <x:c r="K610" s="29"/>
      <x:c r="L610" s="2" t="str">
        <x:f>IF(O610=1,"Complete",IF(A610,"Checklist open",IF(H610&lt;&gt;"","In progress","Not started")))</x:f>
        <x:v>Not started</x:v>
      </x:c>
      <x:c r="M610" s="2" t="str">
        <x:v>Task</x:v>
      </x:c>
      <x:c r="N610" s="2" t="str">
        <x:v>RA.PL.1.3.2026.CY4</x:v>
      </x:c>
      <x:c r="O610" s="2" t="n">
        <x:f>R610</x:f>
        <x:v>0</x:v>
      </x:c>
      <x:c r="P610" s="2"/>
      <x:c r="Q610" s="2" t="n">
        <x:v>1</x:v>
      </x:c>
      <x:c r="R610" s="2" t="n">
        <x:f>IF(A610,1,0)</x:f>
        <x:v>0</x:v>
      </x:c>
      <x:c r="S610" s="2" t="n">
        <x:f>SUBTOTAL(103,N610)</x:f>
        <x:v>1</x:v>
      </x:c>
    </x:row>
    <x:row r="611" ht="42" customHeight="1">
      <x:c r="A611" s="28" t="b">
        <x:v>0</x:v>
      </x:c>
      <x:c r="B611" s="2" t="str">
        <x:v>Cycle 4</x:v>
      </x:c>
      <x:c r="C611" s="2" t="str">
        <x:v>Phase 1</x:v>
      </x:c>
      <x:c r="D611" s="2" t="str">
        <x:v>PLL</x:v>
      </x:c>
      <x:c r="E611" s="56" t="str">
        <x:v>RA.PL.1.4</x:v>
      </x:c>
      <x:c r="F611" s="14" t="str">
        <x:v>Identify backup topic for Cycle</x:v>
      </x:c>
      <x:c r="G611" s="5"/>
      <x:c r="H611" s="11"/>
      <x:c r="I611" s="11" t="n">
        <x:f>'Cycles &amp; Guide'!$D$13</x:f>
        <x:v>46387</x:v>
      </x:c>
      <x:c r="J611" s="11"/>
      <x:c r="K611" s="29"/>
      <x:c r="L611" s="2" t="str">
        <x:f>IF(O611=1,"Complete",IF(A611,"Checklist open",IF(H611&lt;&gt;"","In progress","Not started")))</x:f>
        <x:v>Not started</x:v>
      </x:c>
      <x:c r="M611" s="2" t="str">
        <x:v>Task</x:v>
      </x:c>
      <x:c r="N611" s="2" t="str">
        <x:v>RA.PL.1.4.2026.CY4</x:v>
      </x:c>
      <x:c r="O611" s="2" t="n">
        <x:f>R611</x:f>
        <x:v>0</x:v>
      </x:c>
      <x:c r="P611" s="2"/>
      <x:c r="Q611" s="2" t="n">
        <x:v>1</x:v>
      </x:c>
      <x:c r="R611" s="2" t="n">
        <x:f>IF(A611,1,0)</x:f>
        <x:v>0</x:v>
      </x:c>
      <x:c r="S611" s="2" t="n">
        <x:f>SUBTOTAL(103,N611)</x:f>
        <x:v>1</x:v>
      </x:c>
    </x:row>
    <x:row r="612" ht="42" customHeight="1">
      <x:c r="A612" s="28" t="b">
        <x:v>0</x:v>
      </x:c>
      <x:c r="B612" s="2" t="str">
        <x:v>Cycle 4</x:v>
      </x:c>
      <x:c r="C612" s="2" t="str">
        <x:v>Phase 1</x:v>
      </x:c>
      <x:c r="D612" s="2" t="str">
        <x:v>PLL</x:v>
      </x:c>
      <x:c r="E612" s="56" t="str">
        <x:v>RA.PL.1.5</x:v>
      </x:c>
      <x:c r="F612" s="14" t="str">
        <x:v>Schedule topic approval meeting with D&amp;I and management</x:v>
      </x:c>
      <x:c r="G612" s="5"/>
      <x:c r="H612" s="11"/>
      <x:c r="I612" s="11" t="n">
        <x:f>'Cycles &amp; Guide'!$D$13</x:f>
        <x:v>46387</x:v>
      </x:c>
      <x:c r="J612" s="11"/>
      <x:c r="K612" s="29"/>
      <x:c r="L612" s="2" t="str">
        <x:f>IF(O612=1,"Complete",IF(A612,"Checklist open",IF(H612&lt;&gt;"","In progress","Not started")))</x:f>
        <x:v>Not started</x:v>
      </x:c>
      <x:c r="M612" s="2" t="str">
        <x:v>Task</x:v>
      </x:c>
      <x:c r="N612" s="2" t="str">
        <x:v>RA.PL.1.5.2026.CY4</x:v>
      </x:c>
      <x:c r="O612" s="2" t="n">
        <x:f>R612</x:f>
        <x:v>0</x:v>
      </x:c>
      <x:c r="P612" s="2"/>
      <x:c r="Q612" s="2" t="n">
        <x:v>1</x:v>
      </x:c>
      <x:c r="R612" s="2" t="n">
        <x:f>IF(A612,1,0)</x:f>
        <x:v>0</x:v>
      </x:c>
      <x:c r="S612" s="2" t="n">
        <x:f>SUBTOTAL(103,N612)</x:f>
        <x:v>1</x:v>
      </x:c>
    </x:row>
    <x:row r="613" ht="42" customHeight="1">
      <x:c r="A613" s="28" t="b">
        <x:v>0</x:v>
      </x:c>
      <x:c r="B613" s="2" t="str">
        <x:v>Cycle 4</x:v>
      </x:c>
      <x:c r="C613" s="2" t="str">
        <x:v>Phase 1</x:v>
      </x:c>
      <x:c r="D613" s="2" t="str">
        <x:v>PLL</x:v>
      </x:c>
      <x:c r="E613" s="56" t="str">
        <x:v>RA.PL.1.6</x:v>
      </x:c>
      <x:c r="F613" s="14" t="str">
        <x:v>Present recommended topic to D&amp;I and management for approval</x:v>
      </x:c>
      <x:c r="G613" s="5"/>
      <x:c r="H613" s="11"/>
      <x:c r="I613" s="11" t="n">
        <x:f>'Cycles &amp; Guide'!$D$13</x:f>
        <x:v>46387</x:v>
      </x:c>
      <x:c r="J613" s="11"/>
      <x:c r="K613" s="29"/>
      <x:c r="L613" s="2" t="str">
        <x:f>IF(O613=1,"Complete",IF(A613,"Checklist open",IF(H613&lt;&gt;"","In progress","Not started")))</x:f>
        <x:v>Not started</x:v>
      </x:c>
      <x:c r="M613" s="2" t="str">
        <x:v>Task</x:v>
      </x:c>
      <x:c r="N613" s="2" t="str">
        <x:v>RA.PL.1.6.2026.CY4</x:v>
      </x:c>
      <x:c r="O613" s="2" t="n">
        <x:f>R613</x:f>
        <x:v>0</x:v>
      </x:c>
      <x:c r="P613" s="2"/>
      <x:c r="Q613" s="2" t="n">
        <x:v>1</x:v>
      </x:c>
      <x:c r="R613" s="2" t="n">
        <x:f>IF(A613,1,0)</x:f>
        <x:v>0</x:v>
      </x:c>
      <x:c r="S613" s="2" t="n">
        <x:f>SUBTOTAL(103,N613)</x:f>
        <x:v>1</x:v>
      </x:c>
    </x:row>
    <x:row r="614" ht="42" customHeight="1">
      <x:c r="A614" s="28" t="b">
        <x:v>0</x:v>
      </x:c>
      <x:c r="B614" s="2" t="str">
        <x:v>Cycle 4</x:v>
      </x:c>
      <x:c r="C614" s="2" t="str">
        <x:v>Phase 1</x:v>
      </x:c>
      <x:c r="D614" s="2" t="str">
        <x:v>PLL</x:v>
      </x:c>
      <x:c r="E614" s="56" t="str">
        <x:v>RA.PL.1.7</x:v>
      </x:c>
      <x:c r="F614" s="14" t="str">
        <x:v>Obtain formal topic selection approval from management via SharePoint</x:v>
      </x:c>
      <x:c r="G614" s="5"/>
      <x:c r="H614" s="11"/>
      <x:c r="I614" s="11" t="n">
        <x:f>'Cycles &amp; Guide'!$D$13</x:f>
        <x:v>46387</x:v>
      </x:c>
      <x:c r="J614" s="11"/>
      <x:c r="K614" s="29"/>
      <x:c r="L614" s="2" t="str">
        <x:f>IF(O614=1,"Complete",IF(A614,"Checklist open",IF(H614&lt;&gt;"","In progress","Not started")))</x:f>
        <x:v>Not started</x:v>
      </x:c>
      <x:c r="M614" s="2" t="str">
        <x:v>Task</x:v>
      </x:c>
      <x:c r="N614" s="2" t="str">
        <x:v>RA.PL.1.7.2026.CY4</x:v>
      </x:c>
      <x:c r="O614" s="2" t="n">
        <x:f>R614</x:f>
        <x:v>0</x:v>
      </x:c>
      <x:c r="P614" s="2"/>
      <x:c r="Q614" s="2" t="n">
        <x:v>1</x:v>
      </x:c>
      <x:c r="R614" s="2" t="n">
        <x:f>IF(A614,1,0)</x:f>
        <x:v>0</x:v>
      </x:c>
      <x:c r="S614" s="2" t="n">
        <x:f>SUBTOTAL(103,N614)</x:f>
        <x:v>1</x:v>
      </x:c>
    </x:row>
    <x:row r="615" ht="42" customHeight="1">
      <x:c r="A615" s="28" t="b">
        <x:v>0</x:v>
      </x:c>
      <x:c r="B615" s="2" t="str">
        <x:v>Cycle 4</x:v>
      </x:c>
      <x:c r="C615" s="2" t="str">
        <x:v>Phase 1</x:v>
      </x:c>
      <x:c r="D615" s="2" t="str">
        <x:v>PLL</x:v>
      </x:c>
      <x:c r="E615" s="56" t="str">
        <x:v>RA.PL.1.8</x:v>
      </x:c>
      <x:c r="F615" s="14" t="str">
        <x:v>Socialize topic selection with product owners and subject matter experts (if known)</x:v>
      </x:c>
      <x:c r="G615" s="5"/>
      <x:c r="H615" s="11"/>
      <x:c r="I615" s="11" t="n">
        <x:f>'Cycles &amp; Guide'!$D$13</x:f>
        <x:v>46387</x:v>
      </x:c>
      <x:c r="J615" s="11"/>
      <x:c r="K615" s="29"/>
      <x:c r="L615" s="2" t="str">
        <x:f>IF(O615=1,"Complete",IF(A615,"Checklist open",IF(H615&lt;&gt;"","In progress","Not started")))</x:f>
        <x:v>Not started</x:v>
      </x:c>
      <x:c r="M615" s="2" t="str">
        <x:v>Task</x:v>
      </x:c>
      <x:c r="N615" s="2" t="str">
        <x:v>RA.PL.1.8.2026.CY4</x:v>
      </x:c>
      <x:c r="O615" s="2" t="n">
        <x:f>R615</x:f>
        <x:v>0</x:v>
      </x:c>
      <x:c r="P615" s="2"/>
      <x:c r="Q615" s="2" t="n">
        <x:v>1</x:v>
      </x:c>
      <x:c r="R615" s="2" t="n">
        <x:f>IF(A615,1,0)</x:f>
        <x:v>0</x:v>
      </x:c>
      <x:c r="S615" s="2" t="n">
        <x:f>SUBTOTAL(103,N615)</x:f>
        <x:v>1</x:v>
      </x:c>
    </x:row>
    <x:row r="616" ht="42" customHeight="1">
      <x:c r="A616" s="28" t="b">
        <x:v>0</x:v>
      </x:c>
      <x:c r="B616" s="2" t="str">
        <x:v>Cycle 4</x:v>
      </x:c>
      <x:c r="C616" s="2" t="str">
        <x:v>Phase 1</x:v>
      </x:c>
      <x:c r="D616" s="2" t="str">
        <x:v>PLL</x:v>
      </x:c>
      <x:c r="E616" s="56" t="str">
        <x:v>RA.PL.1.9</x:v>
      </x:c>
      <x:c r="F616" s="14" t="str">
        <x:v>Assign topic researchers</x:v>
      </x:c>
      <x:c r="G616" s="5"/>
      <x:c r="H616" s="11"/>
      <x:c r="I616" s="11" t="n">
        <x:f>'Cycles &amp; Guide'!$D$13</x:f>
        <x:v>46387</x:v>
      </x:c>
      <x:c r="J616" s="11"/>
      <x:c r="K616" s="29"/>
      <x:c r="L616" s="2" t="str">
        <x:f>IF(O616=1,"Complete",IF(A616,"Checklist open",IF(H616&lt;&gt;"","In progress","Not started")))</x:f>
        <x:v>Not started</x:v>
      </x:c>
      <x:c r="M616" s="2" t="str">
        <x:v>Task</x:v>
      </x:c>
      <x:c r="N616" s="2" t="str">
        <x:v>RA.PL.1.9.2026.CY4</x:v>
      </x:c>
      <x:c r="O616" s="2" t="n">
        <x:f>R616</x:f>
        <x:v>0</x:v>
      </x:c>
      <x:c r="P616" s="2"/>
      <x:c r="Q616" s="2" t="n">
        <x:v>1</x:v>
      </x:c>
      <x:c r="R616" s="2" t="n">
        <x:f>IF(A616,1,0)</x:f>
        <x:v>0</x:v>
      </x:c>
      <x:c r="S616" s="2" t="n">
        <x:f>SUBTOTAL(103,N616)</x:f>
        <x:v>1</x:v>
      </x:c>
    </x:row>
    <x:row r="617" ht="42" customHeight="1">
      <x:c r="A617" s="28" t="b">
        <x:v>0</x:v>
      </x:c>
      <x:c r="B617" s="2" t="str">
        <x:v>Cycle 4</x:v>
      </x:c>
      <x:c r="C617" s="2" t="str">
        <x:v>Phase 2</x:v>
      </x:c>
      <x:c r="D617" s="2" t="str">
        <x:v>PLL</x:v>
      </x:c>
      <x:c r="E617" s="56" t="str">
        <x:v>RA.PL.2.1</x:v>
      </x:c>
      <x:c r="F617" s="14" t="str">
        <x:v>Review data sources</x:v>
      </x:c>
      <x:c r="G617" s="5"/>
      <x:c r="H617" s="11"/>
      <x:c r="I617" s="11" t="n">
        <x:f>'Cycles &amp; Guide'!$D$13</x:f>
        <x:v>46387</x:v>
      </x:c>
      <x:c r="J617" s="11"/>
      <x:c r="K617" s="29"/>
      <x:c r="L617" s="2" t="str">
        <x:f>IF(O617=1,"Complete",IF(A617,"Checklist open",IF(H617&lt;&gt;"","In progress","Not started")))</x:f>
        <x:v>Not started</x:v>
      </x:c>
      <x:c r="M617" s="2" t="str">
        <x:v>Task</x:v>
      </x:c>
      <x:c r="N617" s="2" t="str">
        <x:v>RA.PL.2.1.2026.CY4</x:v>
      </x:c>
      <x:c r="O617" s="2" t="n">
        <x:f>R617</x:f>
        <x:v>0</x:v>
      </x:c>
      <x:c r="P617" s="2"/>
      <x:c r="Q617" s="2" t="n">
        <x:v>1</x:v>
      </x:c>
      <x:c r="R617" s="2" t="n">
        <x:f>IF(A617,1,0)</x:f>
        <x:v>0</x:v>
      </x:c>
      <x:c r="S617" s="2" t="n">
        <x:f>SUBTOTAL(103,N617)</x:f>
        <x:v>1</x:v>
      </x:c>
    </x:row>
    <x:row r="618" ht="42" customHeight="1">
      <x:c r="A618" s="28" t="b">
        <x:v>0</x:v>
      </x:c>
      <x:c r="B618" s="2" t="str">
        <x:v>Cycle 4</x:v>
      </x:c>
      <x:c r="C618" s="2" t="str">
        <x:v>Phase 2</x:v>
      </x:c>
      <x:c r="D618" s="2" t="str">
        <x:v>PLL</x:v>
      </x:c>
      <x:c r="E618" s="56" t="str">
        <x:v>RA.PL.2.2</x:v>
      </x:c>
      <x:c r="F618" s="14" t="str">
        <x:v>Review relevant policies and procedures</x:v>
      </x:c>
      <x:c r="G618" s="5"/>
      <x:c r="H618" s="11"/>
      <x:c r="I618" s="11" t="n">
        <x:f>'Cycles &amp; Guide'!$D$13</x:f>
        <x:v>46387</x:v>
      </x:c>
      <x:c r="J618" s="11"/>
      <x:c r="K618" s="29"/>
      <x:c r="L618" s="2" t="str">
        <x:f>IF(O618=1,"Complete",IF(A618,"Checklist open",IF(H618&lt;&gt;"","In progress","Not started")))</x:f>
        <x:v>Not started</x:v>
      </x:c>
      <x:c r="M618" s="2" t="str">
        <x:v>Task</x:v>
      </x:c>
      <x:c r="N618" s="2" t="str">
        <x:v>RA.PL.2.2.2026.CY4</x:v>
      </x:c>
      <x:c r="O618" s="2" t="n">
        <x:f>R618</x:f>
        <x:v>0</x:v>
      </x:c>
      <x:c r="P618" s="2"/>
      <x:c r="Q618" s="2" t="n">
        <x:v>1</x:v>
      </x:c>
      <x:c r="R618" s="2" t="n">
        <x:f>IF(A618,1,0)</x:f>
        <x:v>0</x:v>
      </x:c>
      <x:c r="S618" s="2" t="n">
        <x:f>SUBTOTAL(103,N618)</x:f>
        <x:v>1</x:v>
      </x:c>
    </x:row>
    <x:row r="619" ht="42" customHeight="1">
      <x:c r="A619" s="28" t="b">
        <x:v>0</x:v>
      </x:c>
      <x:c r="B619" s="2" t="str">
        <x:v>Cycle 4</x:v>
      </x:c>
      <x:c r="C619" s="2" t="str">
        <x:v>Phase 2</x:v>
      </x:c>
      <x:c r="D619" s="2" t="str">
        <x:v>PLL</x:v>
      </x:c>
      <x:c r="E619" s="56" t="str">
        <x:v>RA.PL.2.3</x:v>
      </x:c>
      <x:c r="F619" s="14" t="str">
        <x:v>Meet with SMEs to gain business insight and clarify questions</x:v>
      </x:c>
      <x:c r="G619" s="5"/>
      <x:c r="H619" s="11"/>
      <x:c r="I619" s="11" t="n">
        <x:f>'Cycles &amp; Guide'!$D$13</x:f>
        <x:v>46387</x:v>
      </x:c>
      <x:c r="J619" s="11"/>
      <x:c r="K619" s="29"/>
      <x:c r="L619" s="2" t="str">
        <x:f>IF(O619=1,"Complete",IF(A619,"Checklist open",IF(H619&lt;&gt;"","In progress","Not started")))</x:f>
        <x:v>Not started</x:v>
      </x:c>
      <x:c r="M619" s="2" t="str">
        <x:v>Task</x:v>
      </x:c>
      <x:c r="N619" s="2" t="str">
        <x:v>RA.PL.2.3.2026.CY4</x:v>
      </x:c>
      <x:c r="O619" s="2" t="n">
        <x:f>R619</x:f>
        <x:v>0</x:v>
      </x:c>
      <x:c r="P619" s="2"/>
      <x:c r="Q619" s="2" t="n">
        <x:v>1</x:v>
      </x:c>
      <x:c r="R619" s="2" t="n">
        <x:f>IF(A619,1,0)</x:f>
        <x:v>0</x:v>
      </x:c>
      <x:c r="S619" s="2" t="n">
        <x:f>SUBTOTAL(103,N619)</x:f>
        <x:v>1</x:v>
      </x:c>
    </x:row>
    <x:row r="620" ht="42" customHeight="1">
      <x:c r="A620" s="28" t="b">
        <x:v>0</x:v>
      </x:c>
      <x:c r="B620" s="2" t="str">
        <x:v>Cycle 4</x:v>
      </x:c>
      <x:c r="C620" s="2" t="str">
        <x:v>Phase 2</x:v>
      </x:c>
      <x:c r="D620" s="2" t="str">
        <x:v>PLL</x:v>
      </x:c>
      <x:c r="E620" s="56" t="str">
        <x:v>RA.PL.2.4</x:v>
      </x:c>
      <x:c r="F620" s="14" t="str">
        <x:v>Establish and maintain a recurring meeting with D&amp;I to discuss Cycle progress</x:v>
      </x:c>
      <x:c r="G620" s="5"/>
      <x:c r="H620" s="11"/>
      <x:c r="I620" s="11" t="n">
        <x:f>'Cycles &amp; Guide'!$D$13</x:f>
        <x:v>46387</x:v>
      </x:c>
      <x:c r="J620" s="11"/>
      <x:c r="K620" s="29"/>
      <x:c r="L620" s="2" t="str">
        <x:f>IF(O620=1,"Complete",IF(A620,"Checklist open",IF(H620&lt;&gt;"","In progress","Not started")))</x:f>
        <x:v>Not started</x:v>
      </x:c>
      <x:c r="M620" s="2" t="str">
        <x:v>Task</x:v>
      </x:c>
      <x:c r="N620" s="2" t="str">
        <x:v>RA.PL.2.4.2026.CY4</x:v>
      </x:c>
      <x:c r="O620" s="2" t="n">
        <x:f>R620</x:f>
        <x:v>0</x:v>
      </x:c>
      <x:c r="P620" s="2"/>
      <x:c r="Q620" s="2" t="n">
        <x:v>1</x:v>
      </x:c>
      <x:c r="R620" s="2" t="n">
        <x:f>IF(A620,1,0)</x:f>
        <x:v>0</x:v>
      </x:c>
      <x:c r="S620" s="2" t="n">
        <x:f>SUBTOTAL(103,N620)</x:f>
        <x:v>1</x:v>
      </x:c>
    </x:row>
    <x:row r="621" ht="42" customHeight="1">
      <x:c r="A621" s="28" t="b">
        <x:v>0</x:v>
      </x:c>
      <x:c r="B621" s="2" t="str">
        <x:v>Cycle 4</x:v>
      </x:c>
      <x:c r="C621" s="2" t="str">
        <x:v>Phase 2</x:v>
      </x:c>
      <x:c r="D621" s="2" t="str">
        <x:v>PLL</x:v>
      </x:c>
      <x:c r="E621" s="56" t="str">
        <x:v>RA.PL.2.5</x:v>
      </x:c>
      <x:c r="F621" s="14" t="str">
        <x:v>Perform data testing and sampling</x:v>
      </x:c>
      <x:c r="G621" s="5"/>
      <x:c r="H621" s="11"/>
      <x:c r="I621" s="11" t="n">
        <x:f>'Cycles &amp; Guide'!$D$13</x:f>
        <x:v>46387</x:v>
      </x:c>
      <x:c r="J621" s="11"/>
      <x:c r="K621" s="29"/>
      <x:c r="L621" s="2" t="str">
        <x:f>IF(O621=1,"Complete",IF(A621,"Checklist open",IF(H621&lt;&gt;"","In progress","Not started")))</x:f>
        <x:v>Not started</x:v>
      </x:c>
      <x:c r="M621" s="2" t="str">
        <x:v>Task</x:v>
      </x:c>
      <x:c r="N621" s="2" t="str">
        <x:v>RA.PL.2.5.2026.CY4</x:v>
      </x:c>
      <x:c r="O621" s="2" t="n">
        <x:f>R621</x:f>
        <x:v>0</x:v>
      </x:c>
      <x:c r="P621" s="2"/>
      <x:c r="Q621" s="2" t="n">
        <x:v>1</x:v>
      </x:c>
      <x:c r="R621" s="2" t="n">
        <x:f>IF(A621,1,0)</x:f>
        <x:v>0</x:v>
      </x:c>
      <x:c r="S621" s="2" t="n">
        <x:f>SUBTOTAL(103,N621)</x:f>
        <x:v>1</x:v>
      </x:c>
    </x:row>
    <x:row r="622" ht="42" customHeight="1">
      <x:c r="A622" s="28" t="b">
        <x:v>0</x:v>
      </x:c>
      <x:c r="B622" s="2" t="str">
        <x:v>Cycle 4</x:v>
      </x:c>
      <x:c r="C622" s="2" t="str">
        <x:v>Phase 2</x:v>
      </x:c>
      <x:c r="D622" s="2" t="str">
        <x:v>PLL</x:v>
      </x:c>
      <x:c r="E622" s="56" t="str">
        <x:v>RA.PL.2.6</x:v>
      </x:c>
      <x:c r="F622" s="14" t="str">
        <x:v>Complete Positive Testing</x:v>
      </x:c>
      <x:c r="G622" s="5"/>
      <x:c r="H622" s="11"/>
      <x:c r="I622" s="11" t="n">
        <x:f>'Cycles &amp; Guide'!$D$13</x:f>
        <x:v>46387</x:v>
      </x:c>
      <x:c r="J622" s="11"/>
      <x:c r="K622" s="29"/>
      <x:c r="L622" s="2" t="str">
        <x:f>IF(O622=1,"Complete",IF(A622,"Checklist open",IF(H622&lt;&gt;"","In progress","Not started")))</x:f>
        <x:v>Not started</x:v>
      </x:c>
      <x:c r="M622" s="2" t="str">
        <x:v>Task</x:v>
      </x:c>
      <x:c r="N622" s="2" t="str">
        <x:v>RA.PL.2.6.2026.CY4</x:v>
      </x:c>
      <x:c r="O622" s="2" t="n">
        <x:f>R622</x:f>
        <x:v>0</x:v>
      </x:c>
      <x:c r="P622" s="2"/>
      <x:c r="Q622" s="2" t="n">
        <x:v>1</x:v>
      </x:c>
      <x:c r="R622" s="2" t="n">
        <x:f>IF(A622,1,0)</x:f>
        <x:v>0</x:v>
      </x:c>
      <x:c r="S622" s="2" t="n">
        <x:f>SUBTOTAL(103,N622)</x:f>
        <x:v>1</x:v>
      </x:c>
    </x:row>
    <x:row r="623" ht="42" customHeight="1">
      <x:c r="A623" s="28" t="b">
        <x:v>0</x:v>
      </x:c>
      <x:c r="B623" s="2" t="str">
        <x:v>Cycle 4</x:v>
      </x:c>
      <x:c r="C623" s="2" t="str">
        <x:v>Phase 2</x:v>
      </x:c>
      <x:c r="D623" s="2" t="str">
        <x:v>PLL</x:v>
      </x:c>
      <x:c r="E623" s="56" t="str">
        <x:v>RA.PL.2.7</x:v>
      </x:c>
      <x:c r="F623" s="14" t="str">
        <x:v>Complete Negative Testing</x:v>
      </x:c>
      <x:c r="G623" s="5"/>
      <x:c r="H623" s="11"/>
      <x:c r="I623" s="11" t="n">
        <x:f>'Cycles &amp; Guide'!$D$13</x:f>
        <x:v>46387</x:v>
      </x:c>
      <x:c r="J623" s="11"/>
      <x:c r="K623" s="29"/>
      <x:c r="L623" s="2" t="str">
        <x:f>IF(O623=1,"Complete",IF(A623,"Checklist open",IF(H623&lt;&gt;"","In progress","Not started")))</x:f>
        <x:v>Not started</x:v>
      </x:c>
      <x:c r="M623" s="2" t="str">
        <x:v>Task</x:v>
      </x:c>
      <x:c r="N623" s="2" t="str">
        <x:v>RA.PL.2.7.2026.CY4</x:v>
      </x:c>
      <x:c r="O623" s="2" t="n">
        <x:f>R623</x:f>
        <x:v>0</x:v>
      </x:c>
      <x:c r="P623" s="2"/>
      <x:c r="Q623" s="2" t="n">
        <x:v>1</x:v>
      </x:c>
      <x:c r="R623" s="2" t="n">
        <x:f>IF(A623,1,0)</x:f>
        <x:v>0</x:v>
      </x:c>
      <x:c r="S623" s="2" t="n">
        <x:f>SUBTOTAL(103,N623)</x:f>
        <x:v>1</x:v>
      </x:c>
    </x:row>
    <x:row r="624" ht="42" customHeight="1">
      <x:c r="A624" s="28" t="b">
        <x:v>0</x:v>
      </x:c>
      <x:c r="B624" s="2" t="str">
        <x:v>Cycle 4</x:v>
      </x:c>
      <x:c r="C624" s="2" t="str">
        <x:v>Phase 2</x:v>
      </x:c>
      <x:c r="D624" s="2" t="str">
        <x:v>PLL</x:v>
      </x:c>
      <x:c r="E624" s="56" t="str">
        <x:v>RA.PL.2.8</x:v>
      </x:c>
      <x:c r="F624" s="14" t="str">
        <x:v>Request additional data (as needed)</x:v>
      </x:c>
      <x:c r="G624" s="5"/>
      <x:c r="H624" s="11"/>
      <x:c r="I624" s="11" t="n">
        <x:f>'Cycles &amp; Guide'!$D$13</x:f>
        <x:v>46387</x:v>
      </x:c>
      <x:c r="J624" s="11"/>
      <x:c r="K624" s="29"/>
      <x:c r="L624" s="2" t="str">
        <x:f>IF(O624=1,"Complete",IF(A624,"Checklist open",IF(H624&lt;&gt;"","In progress","Not started")))</x:f>
        <x:v>Not started</x:v>
      </x:c>
      <x:c r="M624" s="2" t="str">
        <x:v>Task</x:v>
      </x:c>
      <x:c r="N624" s="2" t="str">
        <x:v>RA.PL.2.8.2026.CY4</x:v>
      </x:c>
      <x:c r="O624" s="2" t="n">
        <x:f>R624</x:f>
        <x:v>0</x:v>
      </x:c>
      <x:c r="P624" s="2"/>
      <x:c r="Q624" s="2" t="n">
        <x:v>1</x:v>
      </x:c>
      <x:c r="R624" s="2" t="n">
        <x:f>IF(A624,1,0)</x:f>
        <x:v>0</x:v>
      </x:c>
      <x:c r="S624" s="2" t="n">
        <x:f>SUBTOTAL(103,N624)</x:f>
        <x:v>1</x:v>
      </x:c>
    </x:row>
    <x:row r="625" ht="42" customHeight="1">
      <x:c r="A625" s="28" t="b">
        <x:v>0</x:v>
      </x:c>
      <x:c r="B625" s="2" t="str">
        <x:v>Cycle 4</x:v>
      </x:c>
      <x:c r="C625" s="2" t="str">
        <x:v>Phase 2</x:v>
      </x:c>
      <x:c r="D625" s="2" t="str">
        <x:v>PLL</x:v>
      </x:c>
      <x:c r="E625" s="56" t="str">
        <x:v>RA.PL.2.9</x:v>
      </x:c>
      <x:c r="F625" s="14" t="str">
        <x:v>Validate or disprove initial hypothesis assumptions</x:v>
      </x:c>
      <x:c r="G625" s="5"/>
      <x:c r="H625" s="11"/>
      <x:c r="I625" s="11" t="n">
        <x:f>'Cycles &amp; Guide'!$D$13</x:f>
        <x:v>46387</x:v>
      </x:c>
      <x:c r="J625" s="11"/>
      <x:c r="K625" s="29"/>
      <x:c r="L625" s="2" t="str">
        <x:f>IF(O625=1,"Complete",IF(A625,"Checklist open",IF(H625&lt;&gt;"","In progress","Not started")))</x:f>
        <x:v>Not started</x:v>
      </x:c>
      <x:c r="M625" s="2" t="str">
        <x:v>Task</x:v>
      </x:c>
      <x:c r="N625" s="2" t="str">
        <x:v>RA.PL.2.9.2026.CY4</x:v>
      </x:c>
      <x:c r="O625" s="2" t="n">
        <x:f>R625</x:f>
        <x:v>0</x:v>
      </x:c>
      <x:c r="P625" s="2"/>
      <x:c r="Q625" s="2" t="n">
        <x:v>1</x:v>
      </x:c>
      <x:c r="R625" s="2" t="n">
        <x:f>IF(A625,1,0)</x:f>
        <x:v>0</x:v>
      </x:c>
      <x:c r="S625" s="2" t="n">
        <x:f>SUBTOTAL(103,N625)</x:f>
        <x:v>1</x:v>
      </x:c>
    </x:row>
    <x:row r="626" ht="42" customHeight="1">
      <x:c r="A626" s="28" t="b">
        <x:v>0</x:v>
      </x:c>
      <x:c r="B626" s="2" t="str">
        <x:v>Cycle 4</x:v>
      </x:c>
      <x:c r="C626" s="2" t="str">
        <x:v>Phase 2</x:v>
      </x:c>
      <x:c r="D626" s="2" t="str">
        <x:v>PLL</x:v>
      </x:c>
      <x:c r="E626" s="56" t="str">
        <x:v>RA.PL.2.10</x:v>
      </x:c>
      <x:c r="F626" s="14" t="str">
        <x:v>Identify and confirm root cause</x:v>
      </x:c>
      <x:c r="G626" s="5"/>
      <x:c r="H626" s="11"/>
      <x:c r="I626" s="11" t="n">
        <x:f>'Cycles &amp; Guide'!$D$13</x:f>
        <x:v>46387</x:v>
      </x:c>
      <x:c r="J626" s="11"/>
      <x:c r="K626" s="29"/>
      <x:c r="L626" s="2" t="str">
        <x:f>IF(O626=1,"Complete",IF(A626,"Checklist open",IF(H626&lt;&gt;"","In progress","Not started")))</x:f>
        <x:v>Not started</x:v>
      </x:c>
      <x:c r="M626" s="2" t="str">
        <x:v>Task</x:v>
      </x:c>
      <x:c r="N626" s="2" t="str">
        <x:v>RA.PL.2.10.2026.CY4</x:v>
      </x:c>
      <x:c r="O626" s="2" t="n">
        <x:f>R626</x:f>
        <x:v>0</x:v>
      </x:c>
      <x:c r="P626" s="2"/>
      <x:c r="Q626" s="2" t="n">
        <x:v>1</x:v>
      </x:c>
      <x:c r="R626" s="2" t="n">
        <x:f>IF(A626,1,0)</x:f>
        <x:v>0</x:v>
      </x:c>
      <x:c r="S626" s="2" t="n">
        <x:f>SUBTOTAL(103,N626)</x:f>
        <x:v>1</x:v>
      </x:c>
    </x:row>
    <x:row r="627" ht="42" customHeight="1">
      <x:c r="A627" s="28" t="b">
        <x:v>0</x:v>
      </x:c>
      <x:c r="B627" s="2" t="str">
        <x:v>Cycle 4</x:v>
      </x:c>
      <x:c r="C627" s="2" t="str">
        <x:v>Phase 3</x:v>
      </x:c>
      <x:c r="D627" s="2" t="str">
        <x:v>PLL</x:v>
      </x:c>
      <x:c r="E627" s="56" t="str">
        <x:v>RA.PL.3.1</x:v>
      </x:c>
      <x:c r="F627" s="14" t="str">
        <x:v>Finalize results and supporting documentation</x:v>
      </x:c>
      <x:c r="G627" s="5"/>
      <x:c r="H627" s="11"/>
      <x:c r="I627" s="11" t="n">
        <x:f>'Cycles &amp; Guide'!$D$13</x:f>
        <x:v>46387</x:v>
      </x:c>
      <x:c r="J627" s="11"/>
      <x:c r="K627" s="29"/>
      <x:c r="L627" s="2" t="str">
        <x:f>IF(O627=1,"Complete",IF(A627,"Checklist open",IF(H627&lt;&gt;"","In progress","Not started")))</x:f>
        <x:v>Not started</x:v>
      </x:c>
      <x:c r="M627" s="2" t="str">
        <x:v>Task</x:v>
      </x:c>
      <x:c r="N627" s="2" t="str">
        <x:v>RA.PL.3.1.2026.CY4</x:v>
      </x:c>
      <x:c r="O627" s="2" t="n">
        <x:f>R627</x:f>
        <x:v>0</x:v>
      </x:c>
      <x:c r="P627" s="2"/>
      <x:c r="Q627" s="2" t="n">
        <x:v>1</x:v>
      </x:c>
      <x:c r="R627" s="2" t="n">
        <x:f>IF(A627,1,0)</x:f>
        <x:v>0</x:v>
      </x:c>
      <x:c r="S627" s="2" t="n">
        <x:f>SUBTOTAL(103,N627)</x:f>
        <x:v>1</x:v>
      </x:c>
    </x:row>
    <x:row r="628" ht="42" customHeight="1">
      <x:c r="A628" s="28" t="b">
        <x:v>0</x:v>
      </x:c>
      <x:c r="B628" s="2" t="str">
        <x:v>Cycle 4</x:v>
      </x:c>
      <x:c r="C628" s="2" t="str">
        <x:v>Phase 3</x:v>
      </x:c>
      <x:c r="D628" s="2" t="str">
        <x:v>PLL</x:v>
      </x:c>
      <x:c r="E628" s="56" t="str">
        <x:v>RA.PL.3.2</x:v>
      </x:c>
      <x:c r="F628" s="14" t="str">
        <x:v>Maintain and update the evidence package prior to handoff to D&amp;I</x:v>
      </x:c>
      <x:c r="G628" s="5"/>
      <x:c r="H628" s="11"/>
      <x:c r="I628" s="11" t="n">
        <x:f>'Cycles &amp; Guide'!$D$13</x:f>
        <x:v>46387</x:v>
      </x:c>
      <x:c r="J628" s="11"/>
      <x:c r="K628" s="29"/>
      <x:c r="L628" s="2" t="str">
        <x:f>IF(O628=1,"Complete",IF(A628,"Checklist open",IF(H628&lt;&gt;"","In progress","Not started")))</x:f>
        <x:v>Not started</x:v>
      </x:c>
      <x:c r="M628" s="2" t="str">
        <x:v>Task</x:v>
      </x:c>
      <x:c r="N628" s="2" t="str">
        <x:v>RA.PL.3.2.2026.CY4</x:v>
      </x:c>
      <x:c r="O628" s="2" t="n">
        <x:f>R628</x:f>
        <x:v>0</x:v>
      </x:c>
      <x:c r="P628" s="2"/>
      <x:c r="Q628" s="2" t="n">
        <x:v>1</x:v>
      </x:c>
      <x:c r="R628" s="2" t="n">
        <x:f>IF(A628,1,0)</x:f>
        <x:v>0</x:v>
      </x:c>
      <x:c r="S628" s="2" t="n">
        <x:f>SUBTOTAL(103,N628)</x:f>
        <x:v>1</x:v>
      </x:c>
    </x:row>
    <x:row r="629" ht="42" customHeight="1">
      <x:c r="A629" s="28" t="b">
        <x:v>0</x:v>
      </x:c>
      <x:c r="B629" s="2" t="str">
        <x:v>Cycle 4</x:v>
      </x:c>
      <x:c r="C629" s="2" t="str">
        <x:v>Phase 3</x:v>
      </x:c>
      <x:c r="D629" s="2" t="str">
        <x:v>PLL</x:v>
      </x:c>
      <x:c r="E629" s="56" t="str">
        <x:v>RA.PL.3.3</x:v>
      </x:c>
      <x:c r="F629" s="14" t="str">
        <x:v>Address any outstanding questions or requests from D&amp;I</x:v>
      </x:c>
      <x:c r="G629" s="5"/>
      <x:c r="H629" s="11"/>
      <x:c r="I629" s="11" t="n">
        <x:f>'Cycles &amp; Guide'!$D$13</x:f>
        <x:v>46387</x:v>
      </x:c>
      <x:c r="J629" s="11"/>
      <x:c r="K629" s="29"/>
      <x:c r="L629" s="2" t="str">
        <x:f>IF(O629=1,"Complete",IF(A629,"Checklist open",IF(H629&lt;&gt;"","In progress","Not started")))</x:f>
        <x:v>Not started</x:v>
      </x:c>
      <x:c r="M629" s="2" t="str">
        <x:v>Task</x:v>
      </x:c>
      <x:c r="N629" s="2" t="str">
        <x:v>RA.PL.3.3.2026.CY4</x:v>
      </x:c>
      <x:c r="O629" s="2" t="n">
        <x:f>R629</x:f>
        <x:v>0</x:v>
      </x:c>
      <x:c r="P629" s="2"/>
      <x:c r="Q629" s="2" t="n">
        <x:v>1</x:v>
      </x:c>
      <x:c r="R629" s="2" t="n">
        <x:f>IF(A629,1,0)</x:f>
        <x:v>0</x:v>
      </x:c>
      <x:c r="S629" s="2" t="n">
        <x:f>SUBTOTAL(103,N629)</x:f>
        <x:v>1</x:v>
      </x:c>
    </x:row>
    <x:row r="630" ht="42" customHeight="1">
      <x:c r="A630" s="28" t="b">
        <x:v>0</x:v>
      </x:c>
      <x:c r="B630" s="2" t="str">
        <x:v>Cycle 4</x:v>
      </x:c>
      <x:c r="C630" s="2" t="str">
        <x:v>Phase 3</x:v>
      </x:c>
      <x:c r="D630" s="2" t="str">
        <x:v>PLL</x:v>
      </x:c>
      <x:c r="E630" s="56" t="str">
        <x:v>RA.PL.3.4</x:v>
      </x:c>
      <x:c r="F630" s="14" t="str">
        <x:v>Attend Forum meeting with D&amp;I to assist with answering stakeholder questions (as needed)</x:v>
      </x:c>
      <x:c r="G630" s="5"/>
      <x:c r="H630" s="11"/>
      <x:c r="I630" s="11" t="str">
        <x:f>IF(SUMIFS('Cycles &amp; Guide'!$D$23:$D$50,'Cycles &amp; Guide'!$B$23:$B$50,B630,'Cycles &amp; Guide'!$C$23:$C$50,D630)=0,"",SUMIFS('Cycles &amp; Guide'!$D$23:$D$50,'Cycles &amp; Guide'!$B$23:$B$50,B630,'Cycles &amp; Guide'!$C$23:$C$50,D630))</x:f>
      </x:c>
      <x:c r="J630" s="11"/>
      <x:c r="K630" s="29"/>
      <x:c r="L630" s="2" t="str">
        <x:f>IF(O630=1,"Complete",IF(A630,"Checklist open",IF(H630&lt;&gt;"","In progress","Not started")))</x:f>
        <x:v>Not started</x:v>
      </x:c>
      <x:c r="M630" s="2" t="str">
        <x:v>Task</x:v>
      </x:c>
      <x:c r="N630" s="2" t="str">
        <x:v>RA.PL.3.4.2026.CY4</x:v>
      </x:c>
      <x:c r="O630" s="2" t="n">
        <x:f>R630</x:f>
        <x:v>0</x:v>
      </x:c>
      <x:c r="P630" s="2"/>
      <x:c r="Q630" s="2" t="n">
        <x:v>1</x:v>
      </x:c>
      <x:c r="R630" s="2" t="n">
        <x:f>IF(A630,1,0)</x:f>
        <x:v>0</x:v>
      </x:c>
      <x:c r="S630" s="2" t="n">
        <x:f>SUBTOTAL(103,N630)</x:f>
        <x:v>1</x:v>
      </x:c>
    </x:row>
    <x:row r="631" ht="42" customHeight="1">
      <x:c r="A631" s="28" t="b">
        <x:v>0</x:v>
      </x:c>
      <x:c r="B631" s="2" t="str">
        <x:v>Cycle 4</x:v>
      </x:c>
      <x:c r="C631" s="2" t="str">
        <x:v>Phase 1</x:v>
      </x:c>
      <x:c r="D631" s="2" t="str">
        <x:v>Retail Services</x:v>
      </x:c>
      <x:c r="E631" s="56" t="str">
        <x:v>RA.RS.1.1</x:v>
      </x:c>
      <x:c r="F631" s="14" t="str">
        <x:v>Begin Research process 2 weeks prior to Cycle start</x:v>
      </x:c>
      <x:c r="G631" s="5"/>
      <x:c r="H631" s="11"/>
      <x:c r="I631" s="11" t="n">
        <x:f>'Cycles &amp; Guide'!$C$13-14</x:f>
        <x:v>46282</x:v>
      </x:c>
      <x:c r="J631" s="11"/>
      <x:c r="K631" s="29"/>
      <x:c r="L631" s="2" t="str">
        <x:f>IF(O631=1,"Complete",IF(A631,"Checklist open",IF(H631&lt;&gt;"","In progress","Not started")))</x:f>
        <x:v>Not started</x:v>
      </x:c>
      <x:c r="M631" s="2" t="str">
        <x:v>Task</x:v>
      </x:c>
      <x:c r="N631" s="2" t="str">
        <x:v>RA.RS.1.1.2026.CY4</x:v>
      </x:c>
      <x:c r="O631" s="2" t="n">
        <x:f>R631</x:f>
        <x:v>0</x:v>
      </x:c>
      <x:c r="P631" s="2"/>
      <x:c r="Q631" s="2" t="n">
        <x:v>1</x:v>
      </x:c>
      <x:c r="R631" s="2" t="n">
        <x:f>IF(A631,1,0)</x:f>
        <x:v>0</x:v>
      </x:c>
      <x:c r="S631" s="2" t="n">
        <x:f>SUBTOTAL(103,N631)</x:f>
        <x:v>1</x:v>
      </x:c>
    </x:row>
    <x:row r="632" ht="42" customHeight="1">
      <x:c r="A632" s="28" t="b">
        <x:v>0</x:v>
      </x:c>
      <x:c r="B632" s="2" t="str">
        <x:v>Cycle 4</x:v>
      </x:c>
      <x:c r="C632" s="2" t="str">
        <x:v>Phase 1</x:v>
      </x:c>
      <x:c r="D632" s="2" t="str">
        <x:v>Retail Services</x:v>
      </x:c>
      <x:c r="E632" s="56" t="str">
        <x:v>RA.RS.1.2</x:v>
      </x:c>
      <x:c r="F632" s="14" t="str">
        <x:v>Conduct initial assessment of each topic recommendation from SharePoint list</x:v>
      </x:c>
      <x:c r="G632" s="5"/>
      <x:c r="H632" s="11"/>
      <x:c r="I632" s="11" t="n">
        <x:f>'Cycles &amp; Guide'!$D$13</x:f>
        <x:v>46387</x:v>
      </x:c>
      <x:c r="J632" s="11"/>
      <x:c r="K632" s="29"/>
      <x:c r="L632" s="2" t="str">
        <x:f>IF(O632=1,"Complete",IF(A632,"Checklist open",IF(H632&lt;&gt;"","In progress","Not started")))</x:f>
        <x:v>Not started</x:v>
      </x:c>
      <x:c r="M632" s="2" t="str">
        <x:v>Task</x:v>
      </x:c>
      <x:c r="N632" s="2" t="str">
        <x:v>RA.RS.1.2.2026.CY4</x:v>
      </x:c>
      <x:c r="O632" s="2" t="n">
        <x:f>R632</x:f>
        <x:v>0</x:v>
      </x:c>
      <x:c r="P632" s="2"/>
      <x:c r="Q632" s="2" t="n">
        <x:v>1</x:v>
      </x:c>
      <x:c r="R632" s="2" t="n">
        <x:f>IF(A632,1,0)</x:f>
        <x:v>0</x:v>
      </x:c>
      <x:c r="S632" s="2" t="n">
        <x:f>SUBTOTAL(103,N632)</x:f>
        <x:v>1</x:v>
      </x:c>
    </x:row>
    <x:row r="633" ht="42" customHeight="1">
      <x:c r="A633" s="28" t="b">
        <x:v>0</x:v>
      </x:c>
      <x:c r="B633" s="2" t="str">
        <x:v>Cycle 4</x:v>
      </x:c>
      <x:c r="C633" s="2" t="str">
        <x:v>Phase 1</x:v>
      </x:c>
      <x:c r="D633" s="2" t="str">
        <x:v>Retail Services</x:v>
      </x:c>
      <x:c r="E633" s="56" t="str">
        <x:v>RA.RS.1.3</x:v>
      </x:c>
      <x:c r="F633" s="14" t="str">
        <x:v>Identify best topic for Cycle</x:v>
      </x:c>
      <x:c r="G633" s="5"/>
      <x:c r="H633" s="11"/>
      <x:c r="I633" s="11" t="n">
        <x:f>'Cycles &amp; Guide'!$D$13</x:f>
        <x:v>46387</x:v>
      </x:c>
      <x:c r="J633" s="11"/>
      <x:c r="K633" s="29"/>
      <x:c r="L633" s="2" t="str">
        <x:f>IF(O633=1,"Complete",IF(A633,"Checklist open",IF(H633&lt;&gt;"","In progress","Not started")))</x:f>
        <x:v>Not started</x:v>
      </x:c>
      <x:c r="M633" s="2" t="str">
        <x:v>Task</x:v>
      </x:c>
      <x:c r="N633" s="2" t="str">
        <x:v>RA.RS.1.3.2026.CY4</x:v>
      </x:c>
      <x:c r="O633" s="2" t="n">
        <x:f>R633</x:f>
        <x:v>0</x:v>
      </x:c>
      <x:c r="P633" s="2"/>
      <x:c r="Q633" s="2" t="n">
        <x:v>1</x:v>
      </x:c>
      <x:c r="R633" s="2" t="n">
        <x:f>IF(A633,1,0)</x:f>
        <x:v>0</x:v>
      </x:c>
      <x:c r="S633" s="2" t="n">
        <x:f>SUBTOTAL(103,N633)</x:f>
        <x:v>1</x:v>
      </x:c>
    </x:row>
    <x:row r="634" ht="42" customHeight="1">
      <x:c r="A634" s="28" t="b">
        <x:v>0</x:v>
      </x:c>
      <x:c r="B634" s="2" t="str">
        <x:v>Cycle 4</x:v>
      </x:c>
      <x:c r="C634" s="2" t="str">
        <x:v>Phase 1</x:v>
      </x:c>
      <x:c r="D634" s="2" t="str">
        <x:v>Retail Services</x:v>
      </x:c>
      <x:c r="E634" s="56" t="str">
        <x:v>RA.RS.1.4</x:v>
      </x:c>
      <x:c r="F634" s="14" t="str">
        <x:v>Identify backup topic for Cycle</x:v>
      </x:c>
      <x:c r="G634" s="5"/>
      <x:c r="H634" s="11"/>
      <x:c r="I634" s="11" t="n">
        <x:f>'Cycles &amp; Guide'!$D$13</x:f>
        <x:v>46387</x:v>
      </x:c>
      <x:c r="J634" s="11"/>
      <x:c r="K634" s="29"/>
      <x:c r="L634" s="2" t="str">
        <x:f>IF(O634=1,"Complete",IF(A634,"Checklist open",IF(H634&lt;&gt;"","In progress","Not started")))</x:f>
        <x:v>Not started</x:v>
      </x:c>
      <x:c r="M634" s="2" t="str">
        <x:v>Task</x:v>
      </x:c>
      <x:c r="N634" s="2" t="str">
        <x:v>RA.RS.1.4.2026.CY4</x:v>
      </x:c>
      <x:c r="O634" s="2" t="n">
        <x:f>R634</x:f>
        <x:v>0</x:v>
      </x:c>
      <x:c r="P634" s="2"/>
      <x:c r="Q634" s="2" t="n">
        <x:v>1</x:v>
      </x:c>
      <x:c r="R634" s="2" t="n">
        <x:f>IF(A634,1,0)</x:f>
        <x:v>0</x:v>
      </x:c>
      <x:c r="S634" s="2" t="n">
        <x:f>SUBTOTAL(103,N634)</x:f>
        <x:v>1</x:v>
      </x:c>
    </x:row>
    <x:row r="635" ht="42" customHeight="1">
      <x:c r="A635" s="28" t="b">
        <x:v>0</x:v>
      </x:c>
      <x:c r="B635" s="2" t="str">
        <x:v>Cycle 4</x:v>
      </x:c>
      <x:c r="C635" s="2" t="str">
        <x:v>Phase 1</x:v>
      </x:c>
      <x:c r="D635" s="2" t="str">
        <x:v>Retail Services</x:v>
      </x:c>
      <x:c r="E635" s="56" t="str">
        <x:v>RA.RS.1.5</x:v>
      </x:c>
      <x:c r="F635" s="14" t="str">
        <x:v>Schedule topic approval meeting with D&amp;I and management</x:v>
      </x:c>
      <x:c r="G635" s="5"/>
      <x:c r="H635" s="11"/>
      <x:c r="I635" s="11" t="n">
        <x:f>'Cycles &amp; Guide'!$D$13</x:f>
        <x:v>46387</x:v>
      </x:c>
      <x:c r="J635" s="11"/>
      <x:c r="K635" s="29"/>
      <x:c r="L635" s="2" t="str">
        <x:f>IF(O635=1,"Complete",IF(A635,"Checklist open",IF(H635&lt;&gt;"","In progress","Not started")))</x:f>
        <x:v>Not started</x:v>
      </x:c>
      <x:c r="M635" s="2" t="str">
        <x:v>Task</x:v>
      </x:c>
      <x:c r="N635" s="2" t="str">
        <x:v>RA.RS.1.5.2026.CY4</x:v>
      </x:c>
      <x:c r="O635" s="2" t="n">
        <x:f>R635</x:f>
        <x:v>0</x:v>
      </x:c>
      <x:c r="P635" s="2"/>
      <x:c r="Q635" s="2" t="n">
        <x:v>1</x:v>
      </x:c>
      <x:c r="R635" s="2" t="n">
        <x:f>IF(A635,1,0)</x:f>
        <x:v>0</x:v>
      </x:c>
      <x:c r="S635" s="2" t="n">
        <x:f>SUBTOTAL(103,N635)</x:f>
        <x:v>1</x:v>
      </x:c>
    </x:row>
    <x:row r="636" ht="42" customHeight="1">
      <x:c r="A636" s="28" t="b">
        <x:v>0</x:v>
      </x:c>
      <x:c r="B636" s="2" t="str">
        <x:v>Cycle 4</x:v>
      </x:c>
      <x:c r="C636" s="2" t="str">
        <x:v>Phase 1</x:v>
      </x:c>
      <x:c r="D636" s="2" t="str">
        <x:v>Retail Services</x:v>
      </x:c>
      <x:c r="E636" s="56" t="str">
        <x:v>RA.RS.1.6</x:v>
      </x:c>
      <x:c r="F636" s="14" t="str">
        <x:v>Present recommended topic to D&amp;I and management for approval</x:v>
      </x:c>
      <x:c r="G636" s="5"/>
      <x:c r="H636" s="11"/>
      <x:c r="I636" s="11" t="n">
        <x:f>'Cycles &amp; Guide'!$D$13</x:f>
        <x:v>46387</x:v>
      </x:c>
      <x:c r="J636" s="11"/>
      <x:c r="K636" s="29"/>
      <x:c r="L636" s="2" t="str">
        <x:f>IF(O636=1,"Complete",IF(A636,"Checklist open",IF(H636&lt;&gt;"","In progress","Not started")))</x:f>
        <x:v>Not started</x:v>
      </x:c>
      <x:c r="M636" s="2" t="str">
        <x:v>Task</x:v>
      </x:c>
      <x:c r="N636" s="2" t="str">
        <x:v>RA.RS.1.6.2026.CY4</x:v>
      </x:c>
      <x:c r="O636" s="2" t="n">
        <x:f>R636</x:f>
        <x:v>0</x:v>
      </x:c>
      <x:c r="P636" s="2"/>
      <x:c r="Q636" s="2" t="n">
        <x:v>1</x:v>
      </x:c>
      <x:c r="R636" s="2" t="n">
        <x:f>IF(A636,1,0)</x:f>
        <x:v>0</x:v>
      </x:c>
      <x:c r="S636" s="2" t="n">
        <x:f>SUBTOTAL(103,N636)</x:f>
        <x:v>1</x:v>
      </x:c>
    </x:row>
    <x:row r="637" ht="42" customHeight="1">
      <x:c r="A637" s="28" t="b">
        <x:v>0</x:v>
      </x:c>
      <x:c r="B637" s="2" t="str">
        <x:v>Cycle 4</x:v>
      </x:c>
      <x:c r="C637" s="2" t="str">
        <x:v>Phase 1</x:v>
      </x:c>
      <x:c r="D637" s="2" t="str">
        <x:v>Retail Services</x:v>
      </x:c>
      <x:c r="E637" s="56" t="str">
        <x:v>RA.RS.1.7</x:v>
      </x:c>
      <x:c r="F637" s="14" t="str">
        <x:v>Obtain formal topic selection approval from management via SharePoint</x:v>
      </x:c>
      <x:c r="G637" s="5"/>
      <x:c r="H637" s="11"/>
      <x:c r="I637" s="11" t="n">
        <x:f>'Cycles &amp; Guide'!$D$13</x:f>
        <x:v>46387</x:v>
      </x:c>
      <x:c r="J637" s="11"/>
      <x:c r="K637" s="29"/>
      <x:c r="L637" s="2" t="str">
        <x:f>IF(O637=1,"Complete",IF(A637,"Checklist open",IF(H637&lt;&gt;"","In progress","Not started")))</x:f>
        <x:v>Not started</x:v>
      </x:c>
      <x:c r="M637" s="2" t="str">
        <x:v>Task</x:v>
      </x:c>
      <x:c r="N637" s="2" t="str">
        <x:v>RA.RS.1.7.2026.CY4</x:v>
      </x:c>
      <x:c r="O637" s="2" t="n">
        <x:f>R637</x:f>
        <x:v>0</x:v>
      </x:c>
      <x:c r="P637" s="2"/>
      <x:c r="Q637" s="2" t="n">
        <x:v>1</x:v>
      </x:c>
      <x:c r="R637" s="2" t="n">
        <x:f>IF(A637,1,0)</x:f>
        <x:v>0</x:v>
      </x:c>
      <x:c r="S637" s="2" t="n">
        <x:f>SUBTOTAL(103,N637)</x:f>
        <x:v>1</x:v>
      </x:c>
    </x:row>
    <x:row r="638" ht="42" customHeight="1">
      <x:c r="A638" s="28" t="b">
        <x:v>0</x:v>
      </x:c>
      <x:c r="B638" s="2" t="str">
        <x:v>Cycle 4</x:v>
      </x:c>
      <x:c r="C638" s="2" t="str">
        <x:v>Phase 1</x:v>
      </x:c>
      <x:c r="D638" s="2" t="str">
        <x:v>Retail Services</x:v>
      </x:c>
      <x:c r="E638" s="56" t="str">
        <x:v>RA.RS.1.8</x:v>
      </x:c>
      <x:c r="F638" s="14" t="str">
        <x:v>Socialize topic selection with product owners and subject matter experts (if known)</x:v>
      </x:c>
      <x:c r="G638" s="5"/>
      <x:c r="H638" s="11"/>
      <x:c r="I638" s="11" t="n">
        <x:f>'Cycles &amp; Guide'!$D$13</x:f>
        <x:v>46387</x:v>
      </x:c>
      <x:c r="J638" s="11"/>
      <x:c r="K638" s="29"/>
      <x:c r="L638" s="2" t="str">
        <x:f>IF(O638=1,"Complete",IF(A638,"Checklist open",IF(H638&lt;&gt;"","In progress","Not started")))</x:f>
        <x:v>Not started</x:v>
      </x:c>
      <x:c r="M638" s="2" t="str">
        <x:v>Task</x:v>
      </x:c>
      <x:c r="N638" s="2" t="str">
        <x:v>RA.RS.1.8.2026.CY4</x:v>
      </x:c>
      <x:c r="O638" s="2" t="n">
        <x:f>R638</x:f>
        <x:v>0</x:v>
      </x:c>
      <x:c r="P638" s="2"/>
      <x:c r="Q638" s="2" t="n">
        <x:v>1</x:v>
      </x:c>
      <x:c r="R638" s="2" t="n">
        <x:f>IF(A638,1,0)</x:f>
        <x:v>0</x:v>
      </x:c>
      <x:c r="S638" s="2" t="n">
        <x:f>SUBTOTAL(103,N638)</x:f>
        <x:v>1</x:v>
      </x:c>
    </x:row>
    <x:row r="639" ht="42" customHeight="1">
      <x:c r="A639" s="28" t="b">
        <x:v>0</x:v>
      </x:c>
      <x:c r="B639" s="2" t="str">
        <x:v>Cycle 4</x:v>
      </x:c>
      <x:c r="C639" s="2" t="str">
        <x:v>Phase 1</x:v>
      </x:c>
      <x:c r="D639" s="2" t="str">
        <x:v>Retail Services</x:v>
      </x:c>
      <x:c r="E639" s="56" t="str">
        <x:v>RA.RS.1.9</x:v>
      </x:c>
      <x:c r="F639" s="14" t="str">
        <x:v>Assign topic researchers</x:v>
      </x:c>
      <x:c r="G639" s="5"/>
      <x:c r="H639" s="11"/>
      <x:c r="I639" s="11" t="n">
        <x:f>'Cycles &amp; Guide'!$D$13</x:f>
        <x:v>46387</x:v>
      </x:c>
      <x:c r="J639" s="11"/>
      <x:c r="K639" s="29"/>
      <x:c r="L639" s="2" t="str">
        <x:f>IF(O639=1,"Complete",IF(A639,"Checklist open",IF(H639&lt;&gt;"","In progress","Not started")))</x:f>
        <x:v>Not started</x:v>
      </x:c>
      <x:c r="M639" s="2" t="str">
        <x:v>Task</x:v>
      </x:c>
      <x:c r="N639" s="2" t="str">
        <x:v>RA.RS.1.9.2026.CY4</x:v>
      </x:c>
      <x:c r="O639" s="2" t="n">
        <x:f>R639</x:f>
        <x:v>0</x:v>
      </x:c>
      <x:c r="P639" s="2"/>
      <x:c r="Q639" s="2" t="n">
        <x:v>1</x:v>
      </x:c>
      <x:c r="R639" s="2" t="n">
        <x:f>IF(A639,1,0)</x:f>
        <x:v>0</x:v>
      </x:c>
      <x:c r="S639" s="2" t="n">
        <x:f>SUBTOTAL(103,N639)</x:f>
        <x:v>1</x:v>
      </x:c>
    </x:row>
    <x:row r="640" ht="42" customHeight="1">
      <x:c r="A640" s="28" t="b">
        <x:v>0</x:v>
      </x:c>
      <x:c r="B640" s="2" t="str">
        <x:v>Cycle 4</x:v>
      </x:c>
      <x:c r="C640" s="2" t="str">
        <x:v>Phase 2</x:v>
      </x:c>
      <x:c r="D640" s="2" t="str">
        <x:v>Retail Services</x:v>
      </x:c>
      <x:c r="E640" s="56" t="str">
        <x:v>RA.RS.2.1</x:v>
      </x:c>
      <x:c r="F640" s="14" t="str">
        <x:v>Review data sources</x:v>
      </x:c>
      <x:c r="G640" s="5"/>
      <x:c r="H640" s="11"/>
      <x:c r="I640" s="11" t="n">
        <x:f>'Cycles &amp; Guide'!$D$13</x:f>
        <x:v>46387</x:v>
      </x:c>
      <x:c r="J640" s="11"/>
      <x:c r="K640" s="29"/>
      <x:c r="L640" s="2" t="str">
        <x:f>IF(O640=1,"Complete",IF(A640,"Checklist open",IF(H640&lt;&gt;"","In progress","Not started")))</x:f>
        <x:v>Not started</x:v>
      </x:c>
      <x:c r="M640" s="2" t="str">
        <x:v>Task</x:v>
      </x:c>
      <x:c r="N640" s="2" t="str">
        <x:v>RA.RS.2.1.2026.CY4</x:v>
      </x:c>
      <x:c r="O640" s="2" t="n">
        <x:f>R640</x:f>
        <x:v>0</x:v>
      </x:c>
      <x:c r="P640" s="2"/>
      <x:c r="Q640" s="2" t="n">
        <x:v>1</x:v>
      </x:c>
      <x:c r="R640" s="2" t="n">
        <x:f>IF(A640,1,0)</x:f>
        <x:v>0</x:v>
      </x:c>
      <x:c r="S640" s="2" t="n">
        <x:f>SUBTOTAL(103,N640)</x:f>
        <x:v>1</x:v>
      </x:c>
    </x:row>
    <x:row r="641" ht="42" customHeight="1">
      <x:c r="A641" s="28" t="b">
        <x:v>0</x:v>
      </x:c>
      <x:c r="B641" s="2" t="str">
        <x:v>Cycle 4</x:v>
      </x:c>
      <x:c r="C641" s="2" t="str">
        <x:v>Phase 2</x:v>
      </x:c>
      <x:c r="D641" s="2" t="str">
        <x:v>Retail Services</x:v>
      </x:c>
      <x:c r="E641" s="56" t="str">
        <x:v>RA.RS.2.2</x:v>
      </x:c>
      <x:c r="F641" s="14" t="str">
        <x:v>Review relevant policies and procedures</x:v>
      </x:c>
      <x:c r="G641" s="5"/>
      <x:c r="H641" s="11"/>
      <x:c r="I641" s="11" t="n">
        <x:f>'Cycles &amp; Guide'!$D$13</x:f>
        <x:v>46387</x:v>
      </x:c>
      <x:c r="J641" s="11"/>
      <x:c r="K641" s="29"/>
      <x:c r="L641" s="2" t="str">
        <x:f>IF(O641=1,"Complete",IF(A641,"Checklist open",IF(H641&lt;&gt;"","In progress","Not started")))</x:f>
        <x:v>Not started</x:v>
      </x:c>
      <x:c r="M641" s="2" t="str">
        <x:v>Task</x:v>
      </x:c>
      <x:c r="N641" s="2" t="str">
        <x:v>RA.RS.2.2.2026.CY4</x:v>
      </x:c>
      <x:c r="O641" s="2" t="n">
        <x:f>R641</x:f>
        <x:v>0</x:v>
      </x:c>
      <x:c r="P641" s="2"/>
      <x:c r="Q641" s="2" t="n">
        <x:v>1</x:v>
      </x:c>
      <x:c r="R641" s="2" t="n">
        <x:f>IF(A641,1,0)</x:f>
        <x:v>0</x:v>
      </x:c>
      <x:c r="S641" s="2" t="n">
        <x:f>SUBTOTAL(103,N641)</x:f>
        <x:v>1</x:v>
      </x:c>
    </x:row>
    <x:row r="642" ht="42" customHeight="1">
      <x:c r="A642" s="28" t="b">
        <x:v>0</x:v>
      </x:c>
      <x:c r="B642" s="2" t="str">
        <x:v>Cycle 4</x:v>
      </x:c>
      <x:c r="C642" s="2" t="str">
        <x:v>Phase 2</x:v>
      </x:c>
      <x:c r="D642" s="2" t="str">
        <x:v>Retail Services</x:v>
      </x:c>
      <x:c r="E642" s="56" t="str">
        <x:v>RA.RS.2.3</x:v>
      </x:c>
      <x:c r="F642" s="14" t="str">
        <x:v>Meet with SMEs to gain business insight and clarify questions</x:v>
      </x:c>
      <x:c r="G642" s="5"/>
      <x:c r="H642" s="11"/>
      <x:c r="I642" s="11" t="n">
        <x:f>'Cycles &amp; Guide'!$D$13</x:f>
        <x:v>46387</x:v>
      </x:c>
      <x:c r="J642" s="11"/>
      <x:c r="K642" s="29"/>
      <x:c r="L642" s="2" t="str">
        <x:f>IF(O642=1,"Complete",IF(A642,"Checklist open",IF(H642&lt;&gt;"","In progress","Not started")))</x:f>
        <x:v>Not started</x:v>
      </x:c>
      <x:c r="M642" s="2" t="str">
        <x:v>Task</x:v>
      </x:c>
      <x:c r="N642" s="2" t="str">
        <x:v>RA.RS.2.3.2026.CY4</x:v>
      </x:c>
      <x:c r="O642" s="2" t="n">
        <x:f>R642</x:f>
        <x:v>0</x:v>
      </x:c>
      <x:c r="P642" s="2"/>
      <x:c r="Q642" s="2" t="n">
        <x:v>1</x:v>
      </x:c>
      <x:c r="R642" s="2" t="n">
        <x:f>IF(A642,1,0)</x:f>
        <x:v>0</x:v>
      </x:c>
      <x:c r="S642" s="2" t="n">
        <x:f>SUBTOTAL(103,N642)</x:f>
        <x:v>1</x:v>
      </x:c>
    </x:row>
    <x:row r="643" ht="42" customHeight="1">
      <x:c r="A643" s="28" t="b">
        <x:v>0</x:v>
      </x:c>
      <x:c r="B643" s="2" t="str">
        <x:v>Cycle 4</x:v>
      </x:c>
      <x:c r="C643" s="2" t="str">
        <x:v>Phase 2</x:v>
      </x:c>
      <x:c r="D643" s="2" t="str">
        <x:v>Retail Services</x:v>
      </x:c>
      <x:c r="E643" s="56" t="str">
        <x:v>RA.RS.2.4</x:v>
      </x:c>
      <x:c r="F643" s="14" t="str">
        <x:v>Establish and maintain a recurring meeting with D&amp;I to discuss Cycle progress</x:v>
      </x:c>
      <x:c r="G643" s="5"/>
      <x:c r="H643" s="11"/>
      <x:c r="I643" s="11" t="n">
        <x:f>'Cycles &amp; Guide'!$D$13</x:f>
        <x:v>46387</x:v>
      </x:c>
      <x:c r="J643" s="11"/>
      <x:c r="K643" s="29"/>
      <x:c r="L643" s="2" t="str">
        <x:f>IF(O643=1,"Complete",IF(A643,"Checklist open",IF(H643&lt;&gt;"","In progress","Not started")))</x:f>
        <x:v>Not started</x:v>
      </x:c>
      <x:c r="M643" s="2" t="str">
        <x:v>Task</x:v>
      </x:c>
      <x:c r="N643" s="2" t="str">
        <x:v>RA.RS.2.4.2026.CY4</x:v>
      </x:c>
      <x:c r="O643" s="2" t="n">
        <x:f>R643</x:f>
        <x:v>0</x:v>
      </x:c>
      <x:c r="P643" s="2"/>
      <x:c r="Q643" s="2" t="n">
        <x:v>1</x:v>
      </x:c>
      <x:c r="R643" s="2" t="n">
        <x:f>IF(A643,1,0)</x:f>
        <x:v>0</x:v>
      </x:c>
      <x:c r="S643" s="2" t="n">
        <x:f>SUBTOTAL(103,N643)</x:f>
        <x:v>1</x:v>
      </x:c>
    </x:row>
    <x:row r="644" ht="42" customHeight="1">
      <x:c r="A644" s="28" t="b">
        <x:v>0</x:v>
      </x:c>
      <x:c r="B644" s="2" t="str">
        <x:v>Cycle 4</x:v>
      </x:c>
      <x:c r="C644" s="2" t="str">
        <x:v>Phase 2</x:v>
      </x:c>
      <x:c r="D644" s="2" t="str">
        <x:v>Retail Services</x:v>
      </x:c>
      <x:c r="E644" s="56" t="str">
        <x:v>RA.RS.2.5</x:v>
      </x:c>
      <x:c r="F644" s="14" t="str">
        <x:v>Perform data testing and sampling</x:v>
      </x:c>
      <x:c r="G644" s="5"/>
      <x:c r="H644" s="11"/>
      <x:c r="I644" s="11" t="n">
        <x:f>'Cycles &amp; Guide'!$D$13</x:f>
        <x:v>46387</x:v>
      </x:c>
      <x:c r="J644" s="11"/>
      <x:c r="K644" s="29"/>
      <x:c r="L644" s="2" t="str">
        <x:f>IF(O644=1,"Complete",IF(A644,"Checklist open",IF(H644&lt;&gt;"","In progress","Not started")))</x:f>
        <x:v>Not started</x:v>
      </x:c>
      <x:c r="M644" s="2" t="str">
        <x:v>Task</x:v>
      </x:c>
      <x:c r="N644" s="2" t="str">
        <x:v>RA.RS.2.5.2026.CY4</x:v>
      </x:c>
      <x:c r="O644" s="2" t="n">
        <x:f>R644</x:f>
        <x:v>0</x:v>
      </x:c>
      <x:c r="P644" s="2"/>
      <x:c r="Q644" s="2" t="n">
        <x:v>1</x:v>
      </x:c>
      <x:c r="R644" s="2" t="n">
        <x:f>IF(A644,1,0)</x:f>
        <x:v>0</x:v>
      </x:c>
      <x:c r="S644" s="2" t="n">
        <x:f>SUBTOTAL(103,N644)</x:f>
        <x:v>1</x:v>
      </x:c>
    </x:row>
    <x:row r="645" ht="42" customHeight="1">
      <x:c r="A645" s="28" t="b">
        <x:v>0</x:v>
      </x:c>
      <x:c r="B645" s="2" t="str">
        <x:v>Cycle 4</x:v>
      </x:c>
      <x:c r="C645" s="2" t="str">
        <x:v>Phase 2</x:v>
      </x:c>
      <x:c r="D645" s="2" t="str">
        <x:v>Retail Services</x:v>
      </x:c>
      <x:c r="E645" s="56" t="str">
        <x:v>RA.RS.2.6</x:v>
      </x:c>
      <x:c r="F645" s="14" t="str">
        <x:v>Complete Positive Testing</x:v>
      </x:c>
      <x:c r="G645" s="5"/>
      <x:c r="H645" s="11"/>
      <x:c r="I645" s="11" t="n">
        <x:f>'Cycles &amp; Guide'!$D$13</x:f>
        <x:v>46387</x:v>
      </x:c>
      <x:c r="J645" s="11"/>
      <x:c r="K645" s="29"/>
      <x:c r="L645" s="2" t="str">
        <x:f>IF(O645=1,"Complete",IF(A645,"Checklist open",IF(H645&lt;&gt;"","In progress","Not started")))</x:f>
        <x:v>Not started</x:v>
      </x:c>
      <x:c r="M645" s="2" t="str">
        <x:v>Task</x:v>
      </x:c>
      <x:c r="N645" s="2" t="str">
        <x:v>RA.RS.2.6.2026.CY4</x:v>
      </x:c>
      <x:c r="O645" s="2" t="n">
        <x:f>R645</x:f>
        <x:v>0</x:v>
      </x:c>
      <x:c r="P645" s="2"/>
      <x:c r="Q645" s="2" t="n">
        <x:v>1</x:v>
      </x:c>
      <x:c r="R645" s="2" t="n">
        <x:f>IF(A645,1,0)</x:f>
        <x:v>0</x:v>
      </x:c>
      <x:c r="S645" s="2" t="n">
        <x:f>SUBTOTAL(103,N645)</x:f>
        <x:v>1</x:v>
      </x:c>
    </x:row>
    <x:row r="646" ht="42" customHeight="1">
      <x:c r="A646" s="28" t="b">
        <x:v>0</x:v>
      </x:c>
      <x:c r="B646" s="2" t="str">
        <x:v>Cycle 4</x:v>
      </x:c>
      <x:c r="C646" s="2" t="str">
        <x:v>Phase 2</x:v>
      </x:c>
      <x:c r="D646" s="2" t="str">
        <x:v>Retail Services</x:v>
      </x:c>
      <x:c r="E646" s="56" t="str">
        <x:v>RA.RS.2.7</x:v>
      </x:c>
      <x:c r="F646" s="14" t="str">
        <x:v>Complete Negative Testing</x:v>
      </x:c>
      <x:c r="G646" s="5"/>
      <x:c r="H646" s="11"/>
      <x:c r="I646" s="11" t="n">
        <x:f>'Cycles &amp; Guide'!$D$13</x:f>
        <x:v>46387</x:v>
      </x:c>
      <x:c r="J646" s="11"/>
      <x:c r="K646" s="29"/>
      <x:c r="L646" s="2" t="str">
        <x:f>IF(O646=1,"Complete",IF(A646,"Checklist open",IF(H646&lt;&gt;"","In progress","Not started")))</x:f>
        <x:v>Not started</x:v>
      </x:c>
      <x:c r="M646" s="2" t="str">
        <x:v>Task</x:v>
      </x:c>
      <x:c r="N646" s="2" t="str">
        <x:v>RA.RS.2.7.2026.CY4</x:v>
      </x:c>
      <x:c r="O646" s="2" t="n">
        <x:f>R646</x:f>
        <x:v>0</x:v>
      </x:c>
      <x:c r="P646" s="2"/>
      <x:c r="Q646" s="2" t="n">
        <x:v>1</x:v>
      </x:c>
      <x:c r="R646" s="2" t="n">
        <x:f>IF(A646,1,0)</x:f>
        <x:v>0</x:v>
      </x:c>
      <x:c r="S646" s="2" t="n">
        <x:f>SUBTOTAL(103,N646)</x:f>
        <x:v>1</x:v>
      </x:c>
    </x:row>
    <x:row r="647" ht="42" customHeight="1">
      <x:c r="A647" s="28" t="b">
        <x:v>0</x:v>
      </x:c>
      <x:c r="B647" s="2" t="str">
        <x:v>Cycle 4</x:v>
      </x:c>
      <x:c r="C647" s="2" t="str">
        <x:v>Phase 2</x:v>
      </x:c>
      <x:c r="D647" s="2" t="str">
        <x:v>Retail Services</x:v>
      </x:c>
      <x:c r="E647" s="56" t="str">
        <x:v>RA.RS.2.8</x:v>
      </x:c>
      <x:c r="F647" s="14" t="str">
        <x:v>Request additional data (as needed)</x:v>
      </x:c>
      <x:c r="G647" s="5"/>
      <x:c r="H647" s="11"/>
      <x:c r="I647" s="11" t="n">
        <x:f>'Cycles &amp; Guide'!$D$13</x:f>
        <x:v>46387</x:v>
      </x:c>
      <x:c r="J647" s="11"/>
      <x:c r="K647" s="29"/>
      <x:c r="L647" s="2" t="str">
        <x:f>IF(O647=1,"Complete",IF(A647,"Checklist open",IF(H647&lt;&gt;"","In progress","Not started")))</x:f>
        <x:v>Not started</x:v>
      </x:c>
      <x:c r="M647" s="2" t="str">
        <x:v>Task</x:v>
      </x:c>
      <x:c r="N647" s="2" t="str">
        <x:v>RA.RS.2.8.2026.CY4</x:v>
      </x:c>
      <x:c r="O647" s="2" t="n">
        <x:f>R647</x:f>
        <x:v>0</x:v>
      </x:c>
      <x:c r="P647" s="2"/>
      <x:c r="Q647" s="2" t="n">
        <x:v>1</x:v>
      </x:c>
      <x:c r="R647" s="2" t="n">
        <x:f>IF(A647,1,0)</x:f>
        <x:v>0</x:v>
      </x:c>
      <x:c r="S647" s="2" t="n">
        <x:f>SUBTOTAL(103,N647)</x:f>
        <x:v>1</x:v>
      </x:c>
    </x:row>
    <x:row r="648" ht="42" customHeight="1">
      <x:c r="A648" s="28" t="b">
        <x:v>0</x:v>
      </x:c>
      <x:c r="B648" s="2" t="str">
        <x:v>Cycle 4</x:v>
      </x:c>
      <x:c r="C648" s="2" t="str">
        <x:v>Phase 2</x:v>
      </x:c>
      <x:c r="D648" s="2" t="str">
        <x:v>Retail Services</x:v>
      </x:c>
      <x:c r="E648" s="56" t="str">
        <x:v>RA.RS.2.9</x:v>
      </x:c>
      <x:c r="F648" s="14" t="str">
        <x:v>Validate or disprove initial hypothesis assumptions</x:v>
      </x:c>
      <x:c r="G648" s="5"/>
      <x:c r="H648" s="11"/>
      <x:c r="I648" s="11" t="n">
        <x:f>'Cycles &amp; Guide'!$D$13</x:f>
        <x:v>46387</x:v>
      </x:c>
      <x:c r="J648" s="11"/>
      <x:c r="K648" s="29"/>
      <x:c r="L648" s="2" t="str">
        <x:f>IF(O648=1,"Complete",IF(A648,"Checklist open",IF(H648&lt;&gt;"","In progress","Not started")))</x:f>
        <x:v>Not started</x:v>
      </x:c>
      <x:c r="M648" s="2" t="str">
        <x:v>Task</x:v>
      </x:c>
      <x:c r="N648" s="2" t="str">
        <x:v>RA.RS.2.9.2026.CY4</x:v>
      </x:c>
      <x:c r="O648" s="2" t="n">
        <x:f>R648</x:f>
        <x:v>0</x:v>
      </x:c>
      <x:c r="P648" s="2"/>
      <x:c r="Q648" s="2" t="n">
        <x:v>1</x:v>
      </x:c>
      <x:c r="R648" s="2" t="n">
        <x:f>IF(A648,1,0)</x:f>
        <x:v>0</x:v>
      </x:c>
      <x:c r="S648" s="2" t="n">
        <x:f>SUBTOTAL(103,N648)</x:f>
        <x:v>1</x:v>
      </x:c>
    </x:row>
    <x:row r="649" ht="42" customHeight="1">
      <x:c r="A649" s="28" t="b">
        <x:v>0</x:v>
      </x:c>
      <x:c r="B649" s="2" t="str">
        <x:v>Cycle 4</x:v>
      </x:c>
      <x:c r="C649" s="2" t="str">
        <x:v>Phase 2</x:v>
      </x:c>
      <x:c r="D649" s="2" t="str">
        <x:v>Retail Services</x:v>
      </x:c>
      <x:c r="E649" s="56" t="str">
        <x:v>RA.RS.2.10</x:v>
      </x:c>
      <x:c r="F649" s="14" t="str">
        <x:v>Identify and confirm root cause</x:v>
      </x:c>
      <x:c r="G649" s="5"/>
      <x:c r="H649" s="11"/>
      <x:c r="I649" s="11" t="n">
        <x:f>'Cycles &amp; Guide'!$D$13</x:f>
        <x:v>46387</x:v>
      </x:c>
      <x:c r="J649" s="11"/>
      <x:c r="K649" s="29"/>
      <x:c r="L649" s="2" t="str">
        <x:f>IF(O649=1,"Complete",IF(A649,"Checklist open",IF(H649&lt;&gt;"","In progress","Not started")))</x:f>
        <x:v>Not started</x:v>
      </x:c>
      <x:c r="M649" s="2" t="str">
        <x:v>Task</x:v>
      </x:c>
      <x:c r="N649" s="2" t="str">
        <x:v>RA.RS.2.10.2026.CY4</x:v>
      </x:c>
      <x:c r="O649" s="2" t="n">
        <x:f>R649</x:f>
        <x:v>0</x:v>
      </x:c>
      <x:c r="P649" s="2"/>
      <x:c r="Q649" s="2" t="n">
        <x:v>1</x:v>
      </x:c>
      <x:c r="R649" s="2" t="n">
        <x:f>IF(A649,1,0)</x:f>
        <x:v>0</x:v>
      </x:c>
      <x:c r="S649" s="2" t="n">
        <x:f>SUBTOTAL(103,N649)</x:f>
        <x:v>1</x:v>
      </x:c>
    </x:row>
    <x:row r="650" ht="42" customHeight="1">
      <x:c r="A650" s="28" t="b">
        <x:v>0</x:v>
      </x:c>
      <x:c r="B650" s="2" t="str">
        <x:v>Cycle 4</x:v>
      </x:c>
      <x:c r="C650" s="2" t="str">
        <x:v>Phase 3</x:v>
      </x:c>
      <x:c r="D650" s="2" t="str">
        <x:v>Retail Services</x:v>
      </x:c>
      <x:c r="E650" s="56" t="str">
        <x:v>RA.RS.3.1</x:v>
      </x:c>
      <x:c r="F650" s="14" t="str">
        <x:v>Finalize results and supporting documentation</x:v>
      </x:c>
      <x:c r="G650" s="5"/>
      <x:c r="H650" s="11"/>
      <x:c r="I650" s="11" t="n">
        <x:f>'Cycles &amp; Guide'!$D$13</x:f>
        <x:v>46387</x:v>
      </x:c>
      <x:c r="J650" s="11"/>
      <x:c r="K650" s="29"/>
      <x:c r="L650" s="2" t="str">
        <x:f>IF(O650=1,"Complete",IF(A650,"Checklist open",IF(H650&lt;&gt;"","In progress","Not started")))</x:f>
        <x:v>Not started</x:v>
      </x:c>
      <x:c r="M650" s="2" t="str">
        <x:v>Task</x:v>
      </x:c>
      <x:c r="N650" s="2" t="str">
        <x:v>RA.RS.3.1.2026.CY4</x:v>
      </x:c>
      <x:c r="O650" s="2" t="n">
        <x:f>R650</x:f>
        <x:v>0</x:v>
      </x:c>
      <x:c r="P650" s="2"/>
      <x:c r="Q650" s="2" t="n">
        <x:v>1</x:v>
      </x:c>
      <x:c r="R650" s="2" t="n">
        <x:f>IF(A650,1,0)</x:f>
        <x:v>0</x:v>
      </x:c>
      <x:c r="S650" s="2" t="n">
        <x:f>SUBTOTAL(103,N650)</x:f>
        <x:v>1</x:v>
      </x:c>
    </x:row>
    <x:row r="651" ht="42" customHeight="1">
      <x:c r="A651" s="28" t="b">
        <x:v>0</x:v>
      </x:c>
      <x:c r="B651" s="2" t="str">
        <x:v>Cycle 4</x:v>
      </x:c>
      <x:c r="C651" s="2" t="str">
        <x:v>Phase 3</x:v>
      </x:c>
      <x:c r="D651" s="2" t="str">
        <x:v>Retail Services</x:v>
      </x:c>
      <x:c r="E651" s="56" t="str">
        <x:v>RA.RS.3.2</x:v>
      </x:c>
      <x:c r="F651" s="14" t="str">
        <x:v>Maintain and update the evidence package prior to handoff to D&amp;I</x:v>
      </x:c>
      <x:c r="G651" s="5"/>
      <x:c r="H651" s="11"/>
      <x:c r="I651" s="11" t="n">
        <x:f>'Cycles &amp; Guide'!$D$13</x:f>
        <x:v>46387</x:v>
      </x:c>
      <x:c r="J651" s="11"/>
      <x:c r="K651" s="29"/>
      <x:c r="L651" s="2" t="str">
        <x:f>IF(O651=1,"Complete",IF(A651,"Checklist open",IF(H651&lt;&gt;"","In progress","Not started")))</x:f>
        <x:v>Not started</x:v>
      </x:c>
      <x:c r="M651" s="2" t="str">
        <x:v>Task</x:v>
      </x:c>
      <x:c r="N651" s="2" t="str">
        <x:v>RA.RS.3.2.2026.CY4</x:v>
      </x:c>
      <x:c r="O651" s="2" t="n">
        <x:f>R651</x:f>
        <x:v>0</x:v>
      </x:c>
      <x:c r="P651" s="2"/>
      <x:c r="Q651" s="2" t="n">
        <x:v>1</x:v>
      </x:c>
      <x:c r="R651" s="2" t="n">
        <x:f>IF(A651,1,0)</x:f>
        <x:v>0</x:v>
      </x:c>
      <x:c r="S651" s="2" t="n">
        <x:f>SUBTOTAL(103,N651)</x:f>
        <x:v>1</x:v>
      </x:c>
    </x:row>
    <x:row r="652" ht="42" customHeight="1">
      <x:c r="A652" s="28" t="b">
        <x:v>0</x:v>
      </x:c>
      <x:c r="B652" s="2" t="str">
        <x:v>Cycle 4</x:v>
      </x:c>
      <x:c r="C652" s="2" t="str">
        <x:v>Phase 3</x:v>
      </x:c>
      <x:c r="D652" s="2" t="str">
        <x:v>Retail Services</x:v>
      </x:c>
      <x:c r="E652" s="56" t="str">
        <x:v>RA.RS.3.3</x:v>
      </x:c>
      <x:c r="F652" s="14" t="str">
        <x:v>Address any outstanding questions or requests from D&amp;I</x:v>
      </x:c>
      <x:c r="G652" s="5"/>
      <x:c r="H652" s="11"/>
      <x:c r="I652" s="11" t="n">
        <x:f>'Cycles &amp; Guide'!$D$13</x:f>
        <x:v>46387</x:v>
      </x:c>
      <x:c r="J652" s="11"/>
      <x:c r="K652" s="29"/>
      <x:c r="L652" s="2" t="str">
        <x:f>IF(O652=1,"Complete",IF(A652,"Checklist open",IF(H652&lt;&gt;"","In progress","Not started")))</x:f>
        <x:v>Not started</x:v>
      </x:c>
      <x:c r="M652" s="2" t="str">
        <x:v>Task</x:v>
      </x:c>
      <x:c r="N652" s="2" t="str">
        <x:v>RA.RS.3.3.2026.CY4</x:v>
      </x:c>
      <x:c r="O652" s="2" t="n">
        <x:f>R652</x:f>
        <x:v>0</x:v>
      </x:c>
      <x:c r="P652" s="2"/>
      <x:c r="Q652" s="2" t="n">
        <x:v>1</x:v>
      </x:c>
      <x:c r="R652" s="2" t="n">
        <x:f>IF(A652,1,0)</x:f>
        <x:v>0</x:v>
      </x:c>
      <x:c r="S652" s="2" t="n">
        <x:f>SUBTOTAL(103,N652)</x:f>
        <x:v>1</x:v>
      </x:c>
    </x:row>
    <x:row r="653" ht="42" customHeight="1">
      <x:c r="A653" s="28" t="b">
        <x:v>0</x:v>
      </x:c>
      <x:c r="B653" s="2" t="str">
        <x:v>Cycle 4</x:v>
      </x:c>
      <x:c r="C653" s="2" t="str">
        <x:v>Phase 3</x:v>
      </x:c>
      <x:c r="D653" s="2" t="str">
        <x:v>Retail Services</x:v>
      </x:c>
      <x:c r="E653" s="56" t="str">
        <x:v>RA.RS.3.4</x:v>
      </x:c>
      <x:c r="F653" s="14" t="str">
        <x:v>Attend Forum meeting with D&amp;I to assist with answering stakeholder questions (as needed)</x:v>
      </x:c>
      <x:c r="G653" s="5"/>
      <x:c r="H653" s="11"/>
      <x:c r="I653" s="11" t="str">
        <x:f>IF(SUMIFS('Cycles &amp; Guide'!$D$23:$D$50,'Cycles &amp; Guide'!$B$23:$B$50,B653,'Cycles &amp; Guide'!$C$23:$C$50,D653)=0,"",SUMIFS('Cycles &amp; Guide'!$D$23:$D$50,'Cycles &amp; Guide'!$B$23:$B$50,B653,'Cycles &amp; Guide'!$C$23:$C$50,D653))</x:f>
      </x:c>
      <x:c r="J653" s="11"/>
      <x:c r="K653" s="29"/>
      <x:c r="L653" s="2" t="str">
        <x:f>IF(O653=1,"Complete",IF(A653,"Checklist open",IF(H653&lt;&gt;"","In progress","Not started")))</x:f>
        <x:v>Not started</x:v>
      </x:c>
      <x:c r="M653" s="2" t="str">
        <x:v>Task</x:v>
      </x:c>
      <x:c r="N653" s="2" t="str">
        <x:v>RA.RS.3.4.2026.CY4</x:v>
      </x:c>
      <x:c r="O653" s="2" t="n">
        <x:f>R653</x:f>
        <x:v>0</x:v>
      </x:c>
      <x:c r="P653" s="2"/>
      <x:c r="Q653" s="2" t="n">
        <x:v>1</x:v>
      </x:c>
      <x:c r="R653" s="2" t="n">
        <x:f>IF(A653,1,0)</x:f>
        <x:v>0</x:v>
      </x:c>
      <x:c r="S653" s="2" t="n">
        <x:f>SUBTOTAL(103,N653)</x:f>
        <x:v>1</x:v>
      </x:c>
    </x:row>
  </x:sheetData>
  <x:mergeCells>
    <x:mergeCell ref="A1:B1"/>
    <x:mergeCell ref="C1:D1"/>
    <x:mergeCell ref="E1:F1"/>
    <x:mergeCell ref="G1:J1"/>
  </x:mergeCells>
  <x:conditionalFormatting sqref="L10:L653">
    <x:cfRule type="expression" dxfId="4" priority="1">
      <x:formula>$O10=1</x:formula>
    </x:cfRule>
    <x:cfRule type="expression" dxfId="5" priority="2">
      <x:formula>$L10="Checklist open"</x:formula>
    </x:cfRule>
  </x:conditionalFormatting>
  <x:conditionalFormatting sqref="I10:I653">
    <x:cfRule type="expression" dxfId="6" priority="3">
      <x:formula>AND($Q10=1,$O10=0,ISNUMBER($I10),$I10&lt;TODAY())</x:formula>
    </x:cfRule>
  </x:conditionalFormatting>
  <x:conditionalFormatting sqref="J10:J653">
    <x:cfRule type="expression" dxfId="7" priority="4">
      <x:formula>AND($Q10=1,$O10=1,$J10="")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1303bb9714e47d0"/>
  </x:tableParts>
</x:worksheet>
</file>

<file path=xl/worksheets/sheet4.xml><?xml version="1.0" encoding="utf-8"?>
<x:worksheet xmlns:x="http://schemas.openxmlformats.org/spreadsheetml/2006/main">
  <x:sheetPr>
    <x:tabColor rgb="FFA73F57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28" hidden="0" customWidth="1"/>
    <x:col min="5" max="5" width="21" hidden="0" customWidth="1"/>
    <x:col min="6" max="6" width="80" hidden="0" customWidth="1"/>
    <x:col min="7" max="7" width="22" hidden="0" customWidth="1"/>
    <x:col min="8" max="8" width="14" hidden="0" customWidth="1"/>
    <x:col min="9" max="9" width="14" hidden="0" customWidth="1"/>
    <x:col min="10" max="10" width="16" hidden="0" customWidth="1"/>
    <x:col min="11" max="11" width="42" hidden="0" customWidth="1"/>
    <x:col min="12" max="12" width="22" hidden="0" customWidth="1"/>
    <x:col min="13" max="13" width="13" hidden="1" customWidth="1"/>
    <x:col min="14" max="14" width="30" hidden="1" customWidth="1"/>
    <x:col min="15" max="15" width="12" hidden="1" customWidth="1"/>
    <x:col min="16" max="16" width="30" hidden="1" customWidth="1"/>
    <x:col min="17" max="17" width="12" hidden="1" customWidth="1"/>
    <x:col min="18" max="18" width="12" hidden="1" customWidth="1"/>
    <x:col min="19" max="19" width="12" hidden="1" customWidth="1"/>
  </x:cols>
  <x:sheetData>
    <x:row r="1" ht="29" customHeight="1">
      <x:c r="A1" s="19" t="str">
        <x:f>HYPERLINK("#'Dashboard'!A1","Dashboard")</x:f>
        <x:v>Dashboard</x:v>
      </x:c>
      <x:c r="B1" s="19"/>
      <x:c r="C1" s="19" t="str">
        <x:f>HYPERLINK("#'Data &amp; Reporting'!A1","Data &amp; Reporting")</x:f>
        <x:v>Data &amp; Reporting</x:v>
      </x:c>
      <x:c r="D1" s="19"/>
      <x:c r="E1" s="19" t="str">
        <x:f>HYPERLINK("#'Research &amp; Analysis'!A1","Research &amp; Analysis")</x:f>
        <x:v>Research &amp; Analysis</x:v>
      </x:c>
      <x:c r="F1" s="19"/>
      <x:c r="G1" s="21" t="str">
        <x:f>HYPERLINK("#'Design &amp; Insights'!A1","Design &amp; Insights")</x:f>
        <x:v>Design &amp; Insights</x:v>
      </x:c>
      <x:c r="H1" s="21"/>
      <x:c r="I1" s="21"/>
      <x:c r="J1" s="21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30" customHeight="1">
      <x:c r="A3" s="4" t="str">
        <x:v>Design &amp; Insights tasks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2" t="str">
        <x:v>Filter Cycle, Phase, and Business Group in row 9. Check Done and update the amber fields below.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2" customHeight="1">
      <x:c r="A5" s="2" t="str">
        <x:v>Use the Dashboard tab for combined filters and a matching task list across all three teams.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22" customHeight="1">
      <x:c r="A7" s="2" t="str">
        <x:v>Visible parent tasks</x:v>
      </x:c>
      <x:c r="B7" s="2"/>
      <x:c r="C7" s="2" t="n">
        <x:f>SUBTOTAL(109,Q10:Q569)</x:f>
        <x:v>560</x:v>
      </x:c>
      <x:c r="D7" s="2" t="str">
        <x:v>Visible complete</x:v>
      </x:c>
      <x:c r="E7" s="2" t="n">
        <x:f>SUMPRODUCT(Q10:Q569,O10:O569,S10:S569)</x:f>
        <x:v>0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</x:row>
    <x:row r="8" ht="22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</x:row>
    <x:row r="9" ht="32" customHeight="1">
      <x:c r="A9" s="45" t="str">
        <x:v>Done</x:v>
      </x:c>
      <x:c r="B9" s="45" t="str">
        <x:v>Cycle</x:v>
      </x:c>
      <x:c r="C9" s="45" t="str">
        <x:v>Phase</x:v>
      </x:c>
      <x:c r="D9" s="45" t="str">
        <x:v>Business Group</x:v>
      </x:c>
      <x:c r="E9" s="45" t="str">
        <x:v>Task ID</x:v>
      </x:c>
      <x:c r="F9" s="45" t="str">
        <x:v>Task Description / Checklist</x:v>
      </x:c>
      <x:c r="G9" s="45" t="str">
        <x:v>Assigned To</x:v>
      </x:c>
      <x:c r="H9" s="45" t="str">
        <x:v>Start Date</x:v>
      </x:c>
      <x:c r="I9" s="45" t="str">
        <x:v>Due Date</x:v>
      </x:c>
      <x:c r="J9" s="45" t="str">
        <x:v>Completed Date</x:v>
      </x:c>
      <x:c r="K9" s="45" t="str">
        <x:v>Comments</x:v>
      </x:c>
      <x:c r="L9" s="45" t="str">
        <x:v>Status</x:v>
      </x:c>
      <x:c r="M9" s="45" t="str">
        <x:v>Row Type</x:v>
      </x:c>
      <x:c r="N9" s="45" t="str">
        <x:v>Cycle Record ID</x:v>
      </x:c>
      <x:c r="O9" s="45" t="str">
        <x:v>Complete Flag</x:v>
      </x:c>
      <x:c r="P9" s="45" t="str">
        <x:v>Parent Cycle Record ID</x:v>
      </x:c>
      <x:c r="Q9" s="45" t="str">
        <x:v>Parent Flag</x:v>
      </x:c>
      <x:c r="R9" s="45" t="str">
        <x:v>Checked Flag</x:v>
      </x:c>
      <x:c r="S9" s="45" t="str">
        <x:v>Visible</x:v>
      </x:c>
    </x:row>
    <x:row r="10" ht="42" customHeight="1">
      <x:c r="A10" s="28" t="b">
        <x:v>0</x:v>
      </x:c>
      <x:c r="B10" s="2" t="str">
        <x:v>Cycle 1</x:v>
      </x:c>
      <x:c r="C10" s="2" t="str">
        <x:v>Phase 1</x:v>
      </x:c>
      <x:c r="D10" s="2" t="str">
        <x:v>Auto</x:v>
      </x:c>
      <x:c r="E10" s="56" t="str">
        <x:v>DI.AU.1.1</x:v>
      </x:c>
      <x:c r="F10" s="14" t="str">
        <x:v>Receive and review potential research topics at least 2 weeks prior to Cycle start date</x:v>
      </x:c>
      <x:c r="G10" s="5"/>
      <x:c r="H10" s="11"/>
      <x:c r="I10" s="11" t="n">
        <x:f>'Cycles &amp; Guide'!$C$10-14</x:f>
        <x:v>46009</x:v>
      </x:c>
      <x:c r="J10" s="11"/>
      <x:c r="K10" s="29"/>
      <x:c r="L10" s="2" t="str">
        <x:f>IF(O10=1,"Complete",IF(A10,"Checklist open",IF(H10&lt;&gt;"","In progress","Not started")))</x:f>
        <x:v>Not started</x:v>
      </x:c>
      <x:c r="M10" s="2" t="str">
        <x:v>Task</x:v>
      </x:c>
      <x:c r="N10" s="2" t="str">
        <x:v>DI.AU.1.1.2026.CY1</x:v>
      </x:c>
      <x:c r="O10" s="2" t="n">
        <x:f>R10</x:f>
        <x:v>0</x:v>
      </x:c>
      <x:c r="P10" s="2"/>
      <x:c r="Q10" s="2" t="n">
        <x:v>1</x:v>
      </x:c>
      <x:c r="R10" s="2" t="n">
        <x:f>IF(A10,1,0)</x:f>
        <x:v>0</x:v>
      </x:c>
      <x:c r="S10" s="2" t="n">
        <x:f>SUBTOTAL(103,N10)</x:f>
        <x:v>1</x:v>
      </x:c>
    </x:row>
    <x:row r="11" ht="42" customHeight="1">
      <x:c r="A11" s="28" t="b">
        <x:v>0</x:v>
      </x:c>
      <x:c r="B11" s="2" t="str">
        <x:v>Cycle 1</x:v>
      </x:c>
      <x:c r="C11" s="2" t="str">
        <x:v>Phase 1</x:v>
      </x:c>
      <x:c r="D11" s="2" t="str">
        <x:v>Auto</x:v>
      </x:c>
      <x:c r="E11" s="56" t="str">
        <x:v>DI.AU.1.2</x:v>
      </x:c>
      <x:c r="F11" s="14" t="str">
        <x:v>Communicate any feedback on preferences or concerns with topics identified</x:v>
      </x:c>
      <x:c r="G11" s="5"/>
      <x:c r="H11" s="11"/>
      <x:c r="I11" s="11" t="n">
        <x:f>'Cycles &amp; Guide'!$D$10</x:f>
        <x:v>46112</x:v>
      </x:c>
      <x:c r="J11" s="11"/>
      <x:c r="K11" s="29"/>
      <x:c r="L11" s="2" t="str">
        <x:f>IF(O11=1,"Complete",IF(A11,"Checklist open",IF(H11&lt;&gt;"","In progress","Not started")))</x:f>
        <x:v>Not started</x:v>
      </x:c>
      <x:c r="M11" s="2" t="str">
        <x:v>Task</x:v>
      </x:c>
      <x:c r="N11" s="2" t="str">
        <x:v>DI.AU.1.2.2026.CY1</x:v>
      </x:c>
      <x:c r="O11" s="2" t="n">
        <x:f>R11</x:f>
        <x:v>0</x:v>
      </x:c>
      <x:c r="P11" s="2"/>
      <x:c r="Q11" s="2" t="n">
        <x:v>1</x:v>
      </x:c>
      <x:c r="R11" s="2" t="n">
        <x:f>IF(A11,1,0)</x:f>
        <x:v>0</x:v>
      </x:c>
      <x:c r="S11" s="2" t="n">
        <x:f>SUBTOTAL(103,N11)</x:f>
        <x:v>1</x:v>
      </x:c>
    </x:row>
    <x:row r="12" ht="42" customHeight="1">
      <x:c r="A12" s="28" t="b">
        <x:v>0</x:v>
      </x:c>
      <x:c r="B12" s="2" t="str">
        <x:v>Cycle 1</x:v>
      </x:c>
      <x:c r="C12" s="2" t="str">
        <x:v>Phase 1</x:v>
      </x:c>
      <x:c r="D12" s="2" t="str">
        <x:v>Auto</x:v>
      </x:c>
      <x:c r="E12" s="56" t="str">
        <x:v>DI.AU.1.3</x:v>
      </x:c>
      <x:c r="F12" s="14" t="str">
        <x:v>Conduct high-level preliminary review of complaints within proposed topics</x:v>
      </x:c>
      <x:c r="G12" s="5"/>
      <x:c r="H12" s="11"/>
      <x:c r="I12" s="11" t="n">
        <x:f>'Cycles &amp; Guide'!$D$10</x:f>
        <x:v>46112</x:v>
      </x:c>
      <x:c r="J12" s="11"/>
      <x:c r="K12" s="29"/>
      <x:c r="L12" s="2" t="str">
        <x:f>IF(O12=1,"Complete",IF(A12,"Checklist open",IF(H12&lt;&gt;"","In progress","Not started")))</x:f>
        <x:v>Not started</x:v>
      </x:c>
      <x:c r="M12" s="2" t="str">
        <x:v>Task</x:v>
      </x:c>
      <x:c r="N12" s="2" t="str">
        <x:v>DI.AU.1.3.2026.CY1</x:v>
      </x:c>
      <x:c r="O12" s="2" t="n">
        <x:f>R12</x:f>
        <x:v>0</x:v>
      </x:c>
      <x:c r="P12" s="2"/>
      <x:c r="Q12" s="2" t="n">
        <x:v>1</x:v>
      </x:c>
      <x:c r="R12" s="2" t="n">
        <x:f>IF(A12,1,0)</x:f>
        <x:v>0</x:v>
      </x:c>
      <x:c r="S12" s="2" t="n">
        <x:f>SUBTOTAL(103,N12)</x:f>
        <x:v>1</x:v>
      </x:c>
    </x:row>
    <x:row r="13" ht="42" customHeight="1">
      <x:c r="A13" s="28" t="b">
        <x:v>0</x:v>
      </x:c>
      <x:c r="B13" s="2" t="str">
        <x:v>Cycle 1</x:v>
      </x:c>
      <x:c r="C13" s="2" t="str">
        <x:v>Phase 1</x:v>
      </x:c>
      <x:c r="D13" s="2" t="str">
        <x:v>Auto</x:v>
      </x:c>
      <x:c r="E13" s="56" t="str">
        <x:v>DI.AU.1.4</x:v>
      </x:c>
      <x:c r="F13" s="14" t="str">
        <x:v>Meet with Research to discuss which topic to select based on potential impact</x:v>
      </x:c>
      <x:c r="G13" s="5"/>
      <x:c r="H13" s="11"/>
      <x:c r="I13" s="11" t="n">
        <x:f>'Cycles &amp; Guide'!$D$10</x:f>
        <x:v>46112</x:v>
      </x:c>
      <x:c r="J13" s="11"/>
      <x:c r="K13" s="29"/>
      <x:c r="L13" s="2" t="str">
        <x:f>IF(O13=1,"Complete",IF(A13,"Checklist open",IF(H13&lt;&gt;"","In progress","Not started")))</x:f>
        <x:v>Not started</x:v>
      </x:c>
      <x:c r="M13" s="2" t="str">
        <x:v>Task</x:v>
      </x:c>
      <x:c r="N13" s="2" t="str">
        <x:v>DI.AU.1.4.2026.CY1</x:v>
      </x:c>
      <x:c r="O13" s="2" t="n">
        <x:f>R13</x:f>
        <x:v>0</x:v>
      </x:c>
      <x:c r="P13" s="2"/>
      <x:c r="Q13" s="2" t="n">
        <x:v>1</x:v>
      </x:c>
      <x:c r="R13" s="2" t="n">
        <x:f>IF(A13,1,0)</x:f>
        <x:v>0</x:v>
      </x:c>
      <x:c r="S13" s="2" t="n">
        <x:f>SUBTOTAL(103,N13)</x:f>
        <x:v>1</x:v>
      </x:c>
    </x:row>
    <x:row r="14" ht="42" customHeight="1">
      <x:c r="A14" s="28" t="b">
        <x:v>0</x:v>
      </x:c>
      <x:c r="B14" s="2" t="str">
        <x:v>Cycle 1</x:v>
      </x:c>
      <x:c r="C14" s="2" t="str">
        <x:v>Phase 1</x:v>
      </x:c>
      <x:c r="D14" s="2" t="str">
        <x:v>Auto</x:v>
      </x:c>
      <x:c r="E14" s="56" t="str">
        <x:v>DI.AU.1.5</x:v>
      </x:c>
      <x:c r="F14" s="14" t="str">
        <x:v>Confirm with Research the recommended topic for approval</x:v>
      </x:c>
      <x:c r="G14" s="5"/>
      <x:c r="H14" s="11"/>
      <x:c r="I14" s="11" t="n">
        <x:f>'Cycles &amp; Guide'!$D$10</x:f>
        <x:v>46112</x:v>
      </x:c>
      <x:c r="J14" s="11"/>
      <x:c r="K14" s="29"/>
      <x:c r="L14" s="2" t="str">
        <x:f>IF(O14=1,"Complete",IF(A14,"Checklist open",IF(H14&lt;&gt;"","In progress","Not started")))</x:f>
        <x:v>Not started</x:v>
      </x:c>
      <x:c r="M14" s="2" t="str">
        <x:v>Task</x:v>
      </x:c>
      <x:c r="N14" s="2" t="str">
        <x:v>DI.AU.1.5.2026.CY1</x:v>
      </x:c>
      <x:c r="O14" s="2" t="n">
        <x:f>R14</x:f>
        <x:v>0</x:v>
      </x:c>
      <x:c r="P14" s="2"/>
      <x:c r="Q14" s="2" t="n">
        <x:v>1</x:v>
      </x:c>
      <x:c r="R14" s="2" t="n">
        <x:f>IF(A14,1,0)</x:f>
        <x:v>0</x:v>
      </x:c>
      <x:c r="S14" s="2" t="n">
        <x:f>SUBTOTAL(103,N14)</x:f>
        <x:v>1</x:v>
      </x:c>
    </x:row>
    <x:row r="15" ht="42" customHeight="1">
      <x:c r="A15" s="28" t="b">
        <x:v>0</x:v>
      </x:c>
      <x:c r="B15" s="2" t="str">
        <x:v>Cycle 1</x:v>
      </x:c>
      <x:c r="C15" s="2" t="str">
        <x:v>Phase 1</x:v>
      </x:c>
      <x:c r="D15" s="2" t="str">
        <x:v>Auto</x:v>
      </x:c>
      <x:c r="E15" s="56" t="str">
        <x:v>DI.AU.1.6</x:v>
      </x:c>
      <x:c r="F15" s="14" t="str">
        <x:v>Send topic selection socialization email to all key stakeholders on the first day of the review Cycle</x:v>
      </x:c>
      <x:c r="G15" s="5"/>
      <x:c r="H15" s="11"/>
      <x:c r="I15" s="11" t="n">
        <x:f>'Cycles &amp; Guide'!$C$10</x:f>
        <x:v>46023</x:v>
      </x:c>
      <x:c r="J15" s="11"/>
      <x:c r="K15" s="29"/>
      <x:c r="L15" s="2" t="str">
        <x:f>IF(O15=1,"Complete",IF(A15,"Checklist open",IF(H15&lt;&gt;"","In progress","Not started")))</x:f>
        <x:v>Not started</x:v>
      </x:c>
      <x:c r="M15" s="2" t="str">
        <x:v>Task</x:v>
      </x:c>
      <x:c r="N15" s="2" t="str">
        <x:v>DI.AU.1.6.2026.CY1</x:v>
      </x:c>
      <x:c r="O15" s="2" t="n">
        <x:f>R15</x:f>
        <x:v>0</x:v>
      </x:c>
      <x:c r="P15" s="2"/>
      <x:c r="Q15" s="2" t="n">
        <x:v>1</x:v>
      </x:c>
      <x:c r="R15" s="2" t="n">
        <x:f>IF(A15,1,0)</x:f>
        <x:v>0</x:v>
      </x:c>
      <x:c r="S15" s="2" t="n">
        <x:f>SUBTOTAL(103,N15)</x:f>
        <x:v>1</x:v>
      </x:c>
    </x:row>
    <x:row r="16" ht="42" customHeight="1">
      <x:c r="A16" s="28" t="b">
        <x:v>0</x:v>
      </x:c>
      <x:c r="B16" s="2" t="str">
        <x:v>Cycle 1</x:v>
      </x:c>
      <x:c r="C16" s="2" t="str">
        <x:v>Phase 2</x:v>
      </x:c>
      <x:c r="D16" s="2" t="str">
        <x:v>Auto</x:v>
      </x:c>
      <x:c r="E16" s="56" t="str">
        <x:v>DI.AU.2.1</x:v>
      </x:c>
      <x:c r="F16" s="14" t="str">
        <x:v>Meet regularly with Research to stay informed on progress, findings, and potential enhancement</x:v>
      </x:c>
      <x:c r="G16" s="5"/>
      <x:c r="H16" s="11"/>
      <x:c r="I16" s="11" t="n">
        <x:f>'Cycles &amp; Guide'!$D$10</x:f>
        <x:v>46112</x:v>
      </x:c>
      <x:c r="J16" s="11"/>
      <x:c r="K16" s="29"/>
      <x:c r="L16" s="2" t="str">
        <x:f>IF(O16=1,"Complete",IF(A16,"Checklist open",IF(H16&lt;&gt;"","In progress","Not started")))</x:f>
        <x:v>Not started</x:v>
      </x:c>
      <x:c r="M16" s="2" t="str">
        <x:v>Task</x:v>
      </x:c>
      <x:c r="N16" s="2" t="str">
        <x:v>DI.AU.2.1.2026.CY1</x:v>
      </x:c>
      <x:c r="O16" s="2" t="n">
        <x:f>R16</x:f>
        <x:v>0</x:v>
      </x:c>
      <x:c r="P16" s="2"/>
      <x:c r="Q16" s="2" t="n">
        <x:v>1</x:v>
      </x:c>
      <x:c r="R16" s="2" t="n">
        <x:f>IF(A16,1,0)</x:f>
        <x:v>0</x:v>
      </x:c>
      <x:c r="S16" s="2" t="n">
        <x:f>SUBTOTAL(103,N16)</x:f>
        <x:v>1</x:v>
      </x:c>
    </x:row>
    <x:row r="17" ht="42" customHeight="1">
      <x:c r="A17" s="28" t="b">
        <x:v>0</x:v>
      </x:c>
      <x:c r="B17" s="2" t="str">
        <x:v>Cycle 1</x:v>
      </x:c>
      <x:c r="C17" s="2" t="str">
        <x:v>Phase 2</x:v>
      </x:c>
      <x:c r="D17" s="2" t="str">
        <x:v>Auto</x:v>
      </x:c>
      <x:c r="E17" s="56" t="str">
        <x:v>DI.AU.2.2</x:v>
      </x:c>
      <x:c r="F17" s="14" t="str">
        <x:v>Collaborate with Research on research plan specifics</x:v>
      </x:c>
      <x:c r="G17" s="5"/>
      <x:c r="H17" s="11"/>
      <x:c r="I17" s="11" t="n">
        <x:f>'Cycles &amp; Guide'!$D$10</x:f>
        <x:v>46112</x:v>
      </x:c>
      <x:c r="J17" s="11"/>
      <x:c r="K17" s="29"/>
      <x:c r="L17" s="2" t="str">
        <x:f>IF(O17=1,"Complete",IF(A17,"Checklist open",IF(H17&lt;&gt;"","In progress","Not started")))</x:f>
        <x:v>Not started</x:v>
      </x:c>
      <x:c r="M17" s="2" t="str">
        <x:v>Task</x:v>
      </x:c>
      <x:c r="N17" s="2" t="str">
        <x:v>DI.AU.2.2.2026.CY1</x:v>
      </x:c>
      <x:c r="O17" s="2" t="n">
        <x:f>R17</x:f>
        <x:v>0</x:v>
      </x:c>
      <x:c r="P17" s="2"/>
      <x:c r="Q17" s="2" t="n">
        <x:v>1</x:v>
      </x:c>
      <x:c r="R17" s="2" t="n">
        <x:f>IF(A17,1,0)</x:f>
        <x:v>0</x:v>
      </x:c>
      <x:c r="S17" s="2" t="n">
        <x:f>SUBTOTAL(103,N17)</x:f>
        <x:v>1</x:v>
      </x:c>
    </x:row>
    <x:row r="18" ht="42" customHeight="1">
      <x:c r="A18" s="28" t="b">
        <x:v>0</x:v>
      </x:c>
      <x:c r="B18" s="2" t="str">
        <x:v>Cycle 1</x:v>
      </x:c>
      <x:c r="C18" s="2" t="str">
        <x:v>Phase 2</x:v>
      </x:c>
      <x:c r="D18" s="2" t="str">
        <x:v>Auto</x:v>
      </x:c>
      <x:c r="E18" s="56" t="str">
        <x:v>DI.AU.2.3</x:v>
      </x:c>
      <x:c r="F18" s="14" t="str">
        <x:v>Participate in SME insight meetings to gain perspective and appetite on potential enhancements</x:v>
      </x:c>
      <x:c r="G18" s="5"/>
      <x:c r="H18" s="11"/>
      <x:c r="I18" s="11" t="n">
        <x:f>'Cycles &amp; Guide'!$D$10</x:f>
        <x:v>46112</x:v>
      </x:c>
      <x:c r="J18" s="11"/>
      <x:c r="K18" s="29"/>
      <x:c r="L18" s="2" t="str">
        <x:f>IF(O18=1,"Complete",IF(A18,"Checklist open",IF(H18&lt;&gt;"","In progress","Not started")))</x:f>
        <x:v>Not started</x:v>
      </x:c>
      <x:c r="M18" s="2" t="str">
        <x:v>Task</x:v>
      </x:c>
      <x:c r="N18" s="2" t="str">
        <x:v>DI.AU.2.3.2026.CY1</x:v>
      </x:c>
      <x:c r="O18" s="2" t="n">
        <x:f>R18</x:f>
        <x:v>0</x:v>
      </x:c>
      <x:c r="P18" s="2"/>
      <x:c r="Q18" s="2" t="n">
        <x:v>1</x:v>
      </x:c>
      <x:c r="R18" s="2" t="n">
        <x:f>IF(A18,1,0)</x:f>
        <x:v>0</x:v>
      </x:c>
      <x:c r="S18" s="2" t="n">
        <x:f>SUBTOTAL(103,N18)</x:f>
        <x:v>1</x:v>
      </x:c>
    </x:row>
    <x:row r="19" ht="42" customHeight="1">
      <x:c r="A19" s="28" t="b">
        <x:v>0</x:v>
      </x:c>
      <x:c r="B19" s="2" t="str">
        <x:v>Cycle 1</x:v>
      </x:c>
      <x:c r="C19" s="2" t="str">
        <x:v>Phase 2</x:v>
      </x:c>
      <x:c r="D19" s="2" t="str">
        <x:v>Auto</x:v>
      </x:c>
      <x:c r="E19" s="56" t="str">
        <x:v>DI.AU.2.4</x:v>
      </x:c>
      <x:c r="F19" s="14" t="str">
        <x:v>Begin development of presentation materials as Research is being completed</x:v>
      </x:c>
      <x:c r="G19" s="5"/>
      <x:c r="H19" s="11"/>
      <x:c r="I19" s="11" t="n">
        <x:f>'Cycles &amp; Guide'!$D$10</x:f>
        <x:v>46112</x:v>
      </x:c>
      <x:c r="J19" s="11"/>
      <x:c r="K19" s="29"/>
      <x:c r="L19" s="2" t="str">
        <x:f>IF(O19=1,"Complete",IF(A19,"Checklist open",IF(H19&lt;&gt;"","In progress","Not started")))</x:f>
        <x:v>Not started</x:v>
      </x:c>
      <x:c r="M19" s="2" t="str">
        <x:v>Task</x:v>
      </x:c>
      <x:c r="N19" s="2" t="str">
        <x:v>DI.AU.2.4.2026.CY1</x:v>
      </x:c>
      <x:c r="O19" s="2" t="n">
        <x:f>R19</x:f>
        <x:v>0</x:v>
      </x:c>
      <x:c r="P19" s="2"/>
      <x:c r="Q19" s="2" t="n">
        <x:v>1</x:v>
      </x:c>
      <x:c r="R19" s="2" t="n">
        <x:f>IF(A19,1,0)</x:f>
        <x:v>0</x:v>
      </x:c>
      <x:c r="S19" s="2" t="n">
        <x:f>SUBTOTAL(103,N19)</x:f>
        <x:v>1</x:v>
      </x:c>
    </x:row>
    <x:row r="20" ht="42" customHeight="1">
      <x:c r="A20" s="28" t="b">
        <x:v>0</x:v>
      </x:c>
      <x:c r="B20" s="2" t="str">
        <x:v>Cycle 1</x:v>
      </x:c>
      <x:c r="C20" s="2" t="str">
        <x:v>Phase 2</x:v>
      </x:c>
      <x:c r="D20" s="2" t="str">
        <x:v>Auto</x:v>
      </x:c>
      <x:c r="E20" s="56" t="str">
        <x:v>DI.AU.2.5</x:v>
      </x:c>
      <x:c r="F20" s="14" t="str">
        <x:v>Draft initial enhancement recommendations (as applicable)</x:v>
      </x:c>
      <x:c r="G20" s="5"/>
      <x:c r="H20" s="11"/>
      <x:c r="I20" s="11" t="n">
        <x:f>'Cycles &amp; Guide'!$D$10</x:f>
        <x:v>46112</x:v>
      </x:c>
      <x:c r="J20" s="11"/>
      <x:c r="K20" s="29"/>
      <x:c r="L20" s="2" t="str">
        <x:f>IF(O20=1,"Complete",IF(A20,"Checklist open",IF(H20&lt;&gt;"","In progress","Not started")))</x:f>
        <x:v>Not started</x:v>
      </x:c>
      <x:c r="M20" s="2" t="str">
        <x:v>Task</x:v>
      </x:c>
      <x:c r="N20" s="2" t="str">
        <x:v>DI.AU.2.5.2026.CY1</x:v>
      </x:c>
      <x:c r="O20" s="2" t="n">
        <x:f>R20</x:f>
        <x:v>0</x:v>
      </x:c>
      <x:c r="P20" s="2"/>
      <x:c r="Q20" s="2" t="n">
        <x:v>1</x:v>
      </x:c>
      <x:c r="R20" s="2" t="n">
        <x:f>IF(A20,1,0)</x:f>
        <x:v>0</x:v>
      </x:c>
      <x:c r="S20" s="2" t="n">
        <x:f>SUBTOTAL(103,N20)</x:f>
        <x:v>1</x:v>
      </x:c>
    </x:row>
    <x:row r="21" ht="42" customHeight="1">
      <x:c r="A21" s="28" t="b">
        <x:v>0</x:v>
      </x:c>
      <x:c r="B21" s="2" t="str">
        <x:v>Cycle 1</x:v>
      </x:c>
      <x:c r="C21" s="2" t="str">
        <x:v>Phase 2</x:v>
      </x:c>
      <x:c r="D21" s="2" t="str">
        <x:v>Auto</x:v>
      </x:c>
      <x:c r="E21" s="56" t="str">
        <x:v>DI.AU.2.6</x:v>
      </x:c>
      <x:c r="F21" s="14" t="str">
        <x:v>Finalize presentation deck draft at conclusion of Research phase</x:v>
      </x:c>
      <x:c r="G21" s="5"/>
      <x:c r="H21" s="11"/>
      <x:c r="I21" s="11" t="n">
        <x:f>'Cycles &amp; Guide'!$D$10</x:f>
        <x:v>46112</x:v>
      </x:c>
      <x:c r="J21" s="11"/>
      <x:c r="K21" s="29"/>
      <x:c r="L21" s="2" t="str">
        <x:f>IF(O21=1,"Complete",IF(A21,"Checklist open",IF(H21&lt;&gt;"","In progress","Not started")))</x:f>
        <x:v>Not started</x:v>
      </x:c>
      <x:c r="M21" s="2" t="str">
        <x:v>Task</x:v>
      </x:c>
      <x:c r="N21" s="2" t="str">
        <x:v>DI.AU.2.6.2026.CY1</x:v>
      </x:c>
      <x:c r="O21" s="2" t="n">
        <x:f>R21</x:f>
        <x:v>0</x:v>
      </x:c>
      <x:c r="P21" s="2"/>
      <x:c r="Q21" s="2" t="n">
        <x:v>1</x:v>
      </x:c>
      <x:c r="R21" s="2" t="n">
        <x:f>IF(A21,1,0)</x:f>
        <x:v>0</x:v>
      </x:c>
      <x:c r="S21" s="2" t="n">
        <x:f>SUBTOTAL(103,N21)</x:f>
        <x:v>1</x:v>
      </x:c>
    </x:row>
    <x:row r="22" ht="42" customHeight="1">
      <x:c r="A22" s="28" t="b">
        <x:v>0</x:v>
      </x:c>
      <x:c r="B22" s="2" t="str">
        <x:v>Cycle 1</x:v>
      </x:c>
      <x:c r="C22" s="2" t="str">
        <x:v>Phase 2</x:v>
      </x:c>
      <x:c r="D22" s="2" t="str">
        <x:v>Auto</x:v>
      </x:c>
      <x:c r="E22" s="56" t="str">
        <x:v>DI.AU.2.7</x:v>
      </x:c>
      <x:c r="F22" s="14" t="str">
        <x:v>Update Outcome portion of research plan with current enhancement verbiage (as needed)</x:v>
      </x:c>
      <x:c r="G22" s="5"/>
      <x:c r="H22" s="11"/>
      <x:c r="I22" s="11" t="n">
        <x:f>'Cycles &amp; Guide'!$D$10</x:f>
        <x:v>46112</x:v>
      </x:c>
      <x:c r="J22" s="11"/>
      <x:c r="K22" s="29"/>
      <x:c r="L22" s="2" t="str">
        <x:f>IF(O22=1,"Complete",IF(A22,"Checklist open",IF(H22&lt;&gt;"","In progress","Not started")))</x:f>
        <x:v>Not started</x:v>
      </x:c>
      <x:c r="M22" s="2" t="str">
        <x:v>Task</x:v>
      </x:c>
      <x:c r="N22" s="2" t="str">
        <x:v>DI.AU.2.7.2026.CY1</x:v>
      </x:c>
      <x:c r="O22" s="2" t="n">
        <x:f>R22</x:f>
        <x:v>0</x:v>
      </x:c>
      <x:c r="P22" s="2"/>
      <x:c r="Q22" s="2" t="n">
        <x:v>1</x:v>
      </x:c>
      <x:c r="R22" s="2" t="n">
        <x:f>IF(A22,1,0)</x:f>
        <x:v>0</x:v>
      </x:c>
      <x:c r="S22" s="2" t="n">
        <x:f>SUBTOTAL(103,N22)</x:f>
        <x:v>1</x:v>
      </x:c>
    </x:row>
    <x:row r="23" ht="42" customHeight="1">
      <x:c r="A23" s="28" t="b">
        <x:v>0</x:v>
      </x:c>
      <x:c r="B23" s="2" t="str">
        <x:v>Cycle 1</x:v>
      </x:c>
      <x:c r="C23" s="2" t="str">
        <x:v>Phase 3</x:v>
      </x:c>
      <x:c r="D23" s="2" t="str">
        <x:v>Auto</x:v>
      </x:c>
      <x:c r="E23" s="56" t="str">
        <x:v>DI.AU.3.1</x:v>
      </x:c>
      <x:c r="F23" s="14" t="str">
        <x:v>Confirm list of required &amp; optional attendees for pre-socialization meeting</x:v>
      </x:c>
      <x:c r="G23" s="5"/>
      <x:c r="H23" s="11"/>
      <x:c r="I23" s="11" t="n">
        <x:f>'Cycles &amp; Guide'!$D$10</x:f>
        <x:v>46112</x:v>
      </x:c>
      <x:c r="J23" s="11"/>
      <x:c r="K23" s="29"/>
      <x:c r="L23" s="2" t="str">
        <x:f>IF(O23=1,"Complete",IF(A23,"Checklist open",IF(H23&lt;&gt;"","In progress","Not started")))</x:f>
        <x:v>Not started</x:v>
      </x:c>
      <x:c r="M23" s="2" t="str">
        <x:v>Task</x:v>
      </x:c>
      <x:c r="N23" s="2" t="str">
        <x:v>DI.AU.3.1.2026.CY1</x:v>
      </x:c>
      <x:c r="O23" s="2" t="n">
        <x:f>R23</x:f>
        <x:v>0</x:v>
      </x:c>
      <x:c r="P23" s="2"/>
      <x:c r="Q23" s="2" t="n">
        <x:v>1</x:v>
      </x:c>
      <x:c r="R23" s="2" t="n">
        <x:f>IF(A23,1,0)</x:f>
        <x:v>0</x:v>
      </x:c>
      <x:c r="S23" s="2" t="n">
        <x:f>SUBTOTAL(103,N23)</x:f>
        <x:v>1</x:v>
      </x:c>
    </x:row>
    <x:row r="24" ht="42" customHeight="1">
      <x:c r="A24" s="28" t="b">
        <x:v>0</x:v>
      </x:c>
      <x:c r="B24" s="2" t="str">
        <x:v>Cycle 1</x:v>
      </x:c>
      <x:c r="C24" s="2" t="str">
        <x:v>Phase 3</x:v>
      </x:c>
      <x:c r="D24" s="2" t="str">
        <x:v>Auto</x:v>
      </x:c>
      <x:c r="E24" s="56" t="str">
        <x:v>DI.AU.3.2</x:v>
      </x:c>
      <x:c r="F24" s="14" t="str">
        <x:v>Schedule pre-socialization meeting 1 week prior to RCA Forum</x:v>
      </x:c>
      <x:c r="G24" s="5"/>
      <x:c r="H24" s="11"/>
      <x:c r="I24" s="11" t="str">
        <x:f>IF(SUMIFS('Cycles &amp; Guide'!$D$23:$D$50,'Cycles &amp; Guide'!$B$23:$B$50,B24,'Cycles &amp; Guide'!$C$23:$C$50,D24)=0,"",SUMIFS('Cycles &amp; Guide'!$D$23:$D$50,'Cycles &amp; Guide'!$B$23:$B$50,B24,'Cycles &amp; Guide'!$C$23:$C$50,D24)-7)</x:f>
      </x:c>
      <x:c r="J24" s="11"/>
      <x:c r="K24" s="29"/>
      <x:c r="L24" s="2" t="str">
        <x:f>IF(O24=1,"Complete",IF(A24,"Checklist open",IF(H24&lt;&gt;"","In progress","Not started")))</x:f>
        <x:v>Not started</x:v>
      </x:c>
      <x:c r="M24" s="2" t="str">
        <x:v>Task</x:v>
      </x:c>
      <x:c r="N24" s="2" t="str">
        <x:v>DI.AU.3.2.2026.CY1</x:v>
      </x:c>
      <x:c r="O24" s="2" t="n">
        <x:f>R24</x:f>
        <x:v>0</x:v>
      </x:c>
      <x:c r="P24" s="2"/>
      <x:c r="Q24" s="2" t="n">
        <x:v>1</x:v>
      </x:c>
      <x:c r="R24" s="2" t="n">
        <x:f>IF(A24,1,0)</x:f>
        <x:v>0</x:v>
      </x:c>
      <x:c r="S24" s="2" t="n">
        <x:f>SUBTOTAL(103,N24)</x:f>
        <x:v>1</x:v>
      </x:c>
    </x:row>
    <x:row r="25" ht="42" customHeight="1">
      <x:c r="A25" s="28" t="b">
        <x:v>0</x:v>
      </x:c>
      <x:c r="B25" s="2" t="str">
        <x:v>Cycle 1</x:v>
      </x:c>
      <x:c r="C25" s="2" t="str">
        <x:v>Phase 3</x:v>
      </x:c>
      <x:c r="D25" s="2" t="str">
        <x:v>Auto</x:v>
      </x:c>
      <x:c r="E25" s="56" t="str">
        <x:v>DI.AU.3.3</x:v>
      </x:c>
      <x:c r="F25" s="14" t="str">
        <x:v>Present findings, conclusions, and recommendation to SMEs</x:v>
      </x:c>
      <x:c r="G25" s="5"/>
      <x:c r="H25" s="11"/>
      <x:c r="I25" s="11" t="n">
        <x:f>'Cycles &amp; Guide'!$D$10</x:f>
        <x:v>46112</x:v>
      </x:c>
      <x:c r="J25" s="11"/>
      <x:c r="K25" s="29"/>
      <x:c r="L25" s="2" t="str">
        <x:f>IF(O25=1,"Complete",IF(A25,"Checklist open",IF(H25&lt;&gt;"","In progress","Not started")))</x:f>
        <x:v>Not started</x:v>
      </x:c>
      <x:c r="M25" s="2" t="str">
        <x:v>Task</x:v>
      </x:c>
      <x:c r="N25" s="2" t="str">
        <x:v>DI.AU.3.3.2026.CY1</x:v>
      </x:c>
      <x:c r="O25" s="2" t="n">
        <x:f>R25</x:f>
        <x:v>0</x:v>
      </x:c>
      <x:c r="P25" s="2"/>
      <x:c r="Q25" s="2" t="n">
        <x:v>1</x:v>
      </x:c>
      <x:c r="R25" s="2" t="n">
        <x:f>IF(A25,1,0)</x:f>
        <x:v>0</x:v>
      </x:c>
      <x:c r="S25" s="2" t="n">
        <x:f>SUBTOTAL(103,N25)</x:f>
        <x:v>1</x:v>
      </x:c>
    </x:row>
    <x:row r="26" ht="42" customHeight="1">
      <x:c r="A26" s="28" t="b">
        <x:v>0</x:v>
      </x:c>
      <x:c r="B26" s="2" t="str">
        <x:v>Cycle 1</x:v>
      </x:c>
      <x:c r="C26" s="2" t="str">
        <x:v>Phase 3</x:v>
      </x:c>
      <x:c r="D26" s="2" t="str">
        <x:v>Auto</x:v>
      </x:c>
      <x:c r="E26" s="56" t="str">
        <x:v>DI.AU.3.4</x:v>
      </x:c>
      <x:c r="F26" s="14" t="str">
        <x:v>Update Outcome portion of research plan (as needed)</x:v>
      </x:c>
      <x:c r="G26" s="5"/>
      <x:c r="H26" s="11"/>
      <x:c r="I26" s="11" t="n">
        <x:f>'Cycles &amp; Guide'!$D$10</x:f>
        <x:v>46112</x:v>
      </x:c>
      <x:c r="J26" s="11"/>
      <x:c r="K26" s="29"/>
      <x:c r="L26" s="2" t="str">
        <x:f>IF(O26=1,"Complete",IF(A26,"Checklist open",IF(H26&lt;&gt;"","In progress","Not started")))</x:f>
        <x:v>Not started</x:v>
      </x:c>
      <x:c r="M26" s="2" t="str">
        <x:v>Task</x:v>
      </x:c>
      <x:c r="N26" s="2" t="str">
        <x:v>DI.AU.3.4.2026.CY1</x:v>
      </x:c>
      <x:c r="O26" s="2" t="n">
        <x:f>R26</x:f>
        <x:v>0</x:v>
      </x:c>
      <x:c r="P26" s="2"/>
      <x:c r="Q26" s="2" t="n">
        <x:v>1</x:v>
      </x:c>
      <x:c r="R26" s="2" t="n">
        <x:f>IF(A26,1,0)</x:f>
        <x:v>0</x:v>
      </x:c>
      <x:c r="S26" s="2" t="n">
        <x:f>SUBTOTAL(103,N26)</x:f>
        <x:v>1</x:v>
      </x:c>
    </x:row>
    <x:row r="27" ht="42" customHeight="1">
      <x:c r="A27" s="28" t="b">
        <x:v>0</x:v>
      </x:c>
      <x:c r="B27" s="2" t="str">
        <x:v>Cycle 1</x:v>
      </x:c>
      <x:c r="C27" s="2" t="str">
        <x:v>Phase 3</x:v>
      </x:c>
      <x:c r="D27" s="2" t="str">
        <x:v>Auto</x:v>
      </x:c>
      <x:c r="E27" s="56" t="str">
        <x:v>DI.AU.3.5</x:v>
      </x:c>
      <x:c r="F27" s="14" t="str">
        <x:v>Finalize presentation deck by incorporating pre-socialization feedback (as needed)</x:v>
      </x:c>
      <x:c r="G27" s="5"/>
      <x:c r="H27" s="11"/>
      <x:c r="I27" s="11" t="n">
        <x:f>'Cycles &amp; Guide'!$D$10</x:f>
        <x:v>46112</x:v>
      </x:c>
      <x:c r="J27" s="11"/>
      <x:c r="K27" s="29"/>
      <x:c r="L27" s="2" t="str">
        <x:f>IF(O27=1,"Complete",IF(A27,"Checklist open",IF(H27&lt;&gt;"","In progress","Not started")))</x:f>
        <x:v>Not started</x:v>
      </x:c>
      <x:c r="M27" s="2" t="str">
        <x:v>Task</x:v>
      </x:c>
      <x:c r="N27" s="2" t="str">
        <x:v>DI.AU.3.5.2026.CY1</x:v>
      </x:c>
      <x:c r="O27" s="2" t="n">
        <x:f>R27</x:f>
        <x:v>0</x:v>
      </x:c>
      <x:c r="P27" s="2"/>
      <x:c r="Q27" s="2" t="n">
        <x:v>1</x:v>
      </x:c>
      <x:c r="R27" s="2" t="n">
        <x:f>IF(A27,1,0)</x:f>
        <x:v>0</x:v>
      </x:c>
      <x:c r="S27" s="2" t="n">
        <x:f>SUBTOTAL(103,N27)</x:f>
        <x:v>1</x:v>
      </x:c>
    </x:row>
    <x:row r="28" ht="42" customHeight="1">
      <x:c r="A28" s="28" t="b">
        <x:v>0</x:v>
      </x:c>
      <x:c r="B28" s="2" t="str">
        <x:v>Cycle 1</x:v>
      </x:c>
      <x:c r="C28" s="2" t="str">
        <x:v>Phase 3</x:v>
      </x:c>
      <x:c r="D28" s="2" t="str">
        <x:v>Auto</x:v>
      </x:c>
      <x:c r="E28" s="56" t="str">
        <x:v>DI.AU.3.6</x:v>
      </x:c>
      <x:c r="F28" s="14" t="str">
        <x:v>Ensure final deck is communicated to Forum attendees</x:v>
      </x:c>
      <x:c r="G28" s="5"/>
      <x:c r="H28" s="11"/>
      <x:c r="I28" s="11" t="n">
        <x:f>'Cycles &amp; Guide'!$D$10</x:f>
        <x:v>46112</x:v>
      </x:c>
      <x:c r="J28" s="11"/>
      <x:c r="K28" s="29"/>
      <x:c r="L28" s="2" t="str">
        <x:f>IF(O28=1,"Complete",IF(A28,"Checklist open",IF(H28&lt;&gt;"","In progress","Not started")))</x:f>
        <x:v>Not started</x:v>
      </x:c>
      <x:c r="M28" s="2" t="str">
        <x:v>Task</x:v>
      </x:c>
      <x:c r="N28" s="2" t="str">
        <x:v>DI.AU.3.6.2026.CY1</x:v>
      </x:c>
      <x:c r="O28" s="2" t="n">
        <x:f>R28</x:f>
        <x:v>0</x:v>
      </x:c>
      <x:c r="P28" s="2"/>
      <x:c r="Q28" s="2" t="n">
        <x:v>1</x:v>
      </x:c>
      <x:c r="R28" s="2" t="n">
        <x:f>IF(A28,1,0)</x:f>
        <x:v>0</x:v>
      </x:c>
      <x:c r="S28" s="2" t="n">
        <x:f>SUBTOTAL(103,N28)</x:f>
        <x:v>1</x:v>
      </x:c>
    </x:row>
    <x:row r="29" ht="42" customHeight="1">
      <x:c r="A29" s="28" t="b">
        <x:v>0</x:v>
      </x:c>
      <x:c r="B29" s="2" t="str">
        <x:v>Cycle 1</x:v>
      </x:c>
      <x:c r="C29" s="2" t="str">
        <x:v>Phase 3</x:v>
      </x:c>
      <x:c r="D29" s="2" t="str">
        <x:v>Auto</x:v>
      </x:c>
      <x:c r="E29" s="56" t="str">
        <x:v>DI.AU.3.7</x:v>
      </x:c>
      <x:c r="F29" s="14" t="str">
        <x:v>Present material in RCA Cycle Forum</x:v>
      </x:c>
      <x:c r="G29" s="5"/>
      <x:c r="H29" s="11"/>
      <x:c r="I29" s="11" t="str">
        <x:f>IF(SUMIFS('Cycles &amp; Guide'!$D$23:$D$50,'Cycles &amp; Guide'!$B$23:$B$50,B29,'Cycles &amp; Guide'!$C$23:$C$50,D29)=0,"",SUMIFS('Cycles &amp; Guide'!$D$23:$D$50,'Cycles &amp; Guide'!$B$23:$B$50,B29,'Cycles &amp; Guide'!$C$23:$C$50,D29))</x:f>
      </x:c>
      <x:c r="J29" s="11"/>
      <x:c r="K29" s="29"/>
      <x:c r="L29" s="2" t="str">
        <x:f>IF(O29=1,"Complete",IF(A29,"Checklist open",IF(H29&lt;&gt;"","In progress","Not started")))</x:f>
        <x:v>Not started</x:v>
      </x:c>
      <x:c r="M29" s="2" t="str">
        <x:v>Task</x:v>
      </x:c>
      <x:c r="N29" s="2" t="str">
        <x:v>DI.AU.3.7.2026.CY1</x:v>
      </x:c>
      <x:c r="O29" s="2" t="n">
        <x:f>R29</x:f>
        <x:v>0</x:v>
      </x:c>
      <x:c r="P29" s="2"/>
      <x:c r="Q29" s="2" t="n">
        <x:v>1</x:v>
      </x:c>
      <x:c r="R29" s="2" t="n">
        <x:f>IF(A29,1,0)</x:f>
        <x:v>0</x:v>
      </x:c>
      <x:c r="S29" s="2" t="n">
        <x:f>SUBTOTAL(103,N29)</x:f>
        <x:v>1</x:v>
      </x:c>
    </x:row>
    <x:row r="30" ht="42" customHeight="1">
      <x:c r="A30" s="28" t="b">
        <x:v>0</x:v>
      </x:c>
      <x:c r="B30" s="2" t="str">
        <x:v>Cycle 1</x:v>
      </x:c>
      <x:c r="C30" s="2" t="str">
        <x:v>Phase 1</x:v>
      </x:c>
      <x:c r="D30" s="2" t="str">
        <x:v>Cards</x:v>
      </x:c>
      <x:c r="E30" s="56" t="str">
        <x:v>DI.CA.1.1</x:v>
      </x:c>
      <x:c r="F30" s="14" t="str">
        <x:v>Receive and review potential research topics at least 2 weeks prior to Cycle start date</x:v>
      </x:c>
      <x:c r="G30" s="5"/>
      <x:c r="H30" s="11"/>
      <x:c r="I30" s="11" t="n">
        <x:f>'Cycles &amp; Guide'!$C$10-14</x:f>
        <x:v>46009</x:v>
      </x:c>
      <x:c r="J30" s="11"/>
      <x:c r="K30" s="29"/>
      <x:c r="L30" s="2" t="str">
        <x:f>IF(O30=1,"Complete",IF(A30,"Checklist open",IF(H30&lt;&gt;"","In progress","Not started")))</x:f>
        <x:v>Not started</x:v>
      </x:c>
      <x:c r="M30" s="2" t="str">
        <x:v>Task</x:v>
      </x:c>
      <x:c r="N30" s="2" t="str">
        <x:v>DI.CA.1.1.2026.CY1</x:v>
      </x:c>
      <x:c r="O30" s="2" t="n">
        <x:f>R30</x:f>
        <x:v>0</x:v>
      </x:c>
      <x:c r="P30" s="2"/>
      <x:c r="Q30" s="2" t="n">
        <x:v>1</x:v>
      </x:c>
      <x:c r="R30" s="2" t="n">
        <x:f>IF(A30,1,0)</x:f>
        <x:v>0</x:v>
      </x:c>
      <x:c r="S30" s="2" t="n">
        <x:f>SUBTOTAL(103,N30)</x:f>
        <x:v>1</x:v>
      </x:c>
    </x:row>
    <x:row r="31" ht="42" customHeight="1">
      <x:c r="A31" s="28" t="b">
        <x:v>0</x:v>
      </x:c>
      <x:c r="B31" s="2" t="str">
        <x:v>Cycle 1</x:v>
      </x:c>
      <x:c r="C31" s="2" t="str">
        <x:v>Phase 1</x:v>
      </x:c>
      <x:c r="D31" s="2" t="str">
        <x:v>Cards</x:v>
      </x:c>
      <x:c r="E31" s="56" t="str">
        <x:v>DI.CA.1.2</x:v>
      </x:c>
      <x:c r="F31" s="14" t="str">
        <x:v>Communicate any feedback on preferences or concerns with topics identified</x:v>
      </x:c>
      <x:c r="G31" s="5"/>
      <x:c r="H31" s="11"/>
      <x:c r="I31" s="11" t="n">
        <x:f>'Cycles &amp; Guide'!$D$10</x:f>
        <x:v>46112</x:v>
      </x:c>
      <x:c r="J31" s="11"/>
      <x:c r="K31" s="29"/>
      <x:c r="L31" s="2" t="str">
        <x:f>IF(O31=1,"Complete",IF(A31,"Checklist open",IF(H31&lt;&gt;"","In progress","Not started")))</x:f>
        <x:v>Not started</x:v>
      </x:c>
      <x:c r="M31" s="2" t="str">
        <x:v>Task</x:v>
      </x:c>
      <x:c r="N31" s="2" t="str">
        <x:v>DI.CA.1.2.2026.CY1</x:v>
      </x:c>
      <x:c r="O31" s="2" t="n">
        <x:f>R31</x:f>
        <x:v>0</x:v>
      </x:c>
      <x:c r="P31" s="2"/>
      <x:c r="Q31" s="2" t="n">
        <x:v>1</x:v>
      </x:c>
      <x:c r="R31" s="2" t="n">
        <x:f>IF(A31,1,0)</x:f>
        <x:v>0</x:v>
      </x:c>
      <x:c r="S31" s="2" t="n">
        <x:f>SUBTOTAL(103,N31)</x:f>
        <x:v>1</x:v>
      </x:c>
    </x:row>
    <x:row r="32" ht="42" customHeight="1">
      <x:c r="A32" s="28" t="b">
        <x:v>0</x:v>
      </x:c>
      <x:c r="B32" s="2" t="str">
        <x:v>Cycle 1</x:v>
      </x:c>
      <x:c r="C32" s="2" t="str">
        <x:v>Phase 1</x:v>
      </x:c>
      <x:c r="D32" s="2" t="str">
        <x:v>Cards</x:v>
      </x:c>
      <x:c r="E32" s="56" t="str">
        <x:v>DI.CA.1.3</x:v>
      </x:c>
      <x:c r="F32" s="14" t="str">
        <x:v>Conduct high-level preliminary review of complaints within proposed topics</x:v>
      </x:c>
      <x:c r="G32" s="5"/>
      <x:c r="H32" s="11"/>
      <x:c r="I32" s="11" t="n">
        <x:f>'Cycles &amp; Guide'!$D$10</x:f>
        <x:v>46112</x:v>
      </x:c>
      <x:c r="J32" s="11"/>
      <x:c r="K32" s="29"/>
      <x:c r="L32" s="2" t="str">
        <x:f>IF(O32=1,"Complete",IF(A32,"Checklist open",IF(H32&lt;&gt;"","In progress","Not started")))</x:f>
        <x:v>Not started</x:v>
      </x:c>
      <x:c r="M32" s="2" t="str">
        <x:v>Task</x:v>
      </x:c>
      <x:c r="N32" s="2" t="str">
        <x:v>DI.CA.1.3.2026.CY1</x:v>
      </x:c>
      <x:c r="O32" s="2" t="n">
        <x:f>R32</x:f>
        <x:v>0</x:v>
      </x:c>
      <x:c r="P32" s="2"/>
      <x:c r="Q32" s="2" t="n">
        <x:v>1</x:v>
      </x:c>
      <x:c r="R32" s="2" t="n">
        <x:f>IF(A32,1,0)</x:f>
        <x:v>0</x:v>
      </x:c>
      <x:c r="S32" s="2" t="n">
        <x:f>SUBTOTAL(103,N32)</x:f>
        <x:v>1</x:v>
      </x:c>
    </x:row>
    <x:row r="33" ht="42" customHeight="1">
      <x:c r="A33" s="28" t="b">
        <x:v>0</x:v>
      </x:c>
      <x:c r="B33" s="2" t="str">
        <x:v>Cycle 1</x:v>
      </x:c>
      <x:c r="C33" s="2" t="str">
        <x:v>Phase 1</x:v>
      </x:c>
      <x:c r="D33" s="2" t="str">
        <x:v>Cards</x:v>
      </x:c>
      <x:c r="E33" s="56" t="str">
        <x:v>DI.CA.1.4</x:v>
      </x:c>
      <x:c r="F33" s="14" t="str">
        <x:v>Meet with Research to discuss which topic to select based on potential impact</x:v>
      </x:c>
      <x:c r="G33" s="5"/>
      <x:c r="H33" s="11"/>
      <x:c r="I33" s="11" t="n">
        <x:f>'Cycles &amp; Guide'!$D$10</x:f>
        <x:v>46112</x:v>
      </x:c>
      <x:c r="J33" s="11"/>
      <x:c r="K33" s="29"/>
      <x:c r="L33" s="2" t="str">
        <x:f>IF(O33=1,"Complete",IF(A33,"Checklist open",IF(H33&lt;&gt;"","In progress","Not started")))</x:f>
        <x:v>Not started</x:v>
      </x:c>
      <x:c r="M33" s="2" t="str">
        <x:v>Task</x:v>
      </x:c>
      <x:c r="N33" s="2" t="str">
        <x:v>DI.CA.1.4.2026.CY1</x:v>
      </x:c>
      <x:c r="O33" s="2" t="n">
        <x:f>R33</x:f>
        <x:v>0</x:v>
      </x:c>
      <x:c r="P33" s="2"/>
      <x:c r="Q33" s="2" t="n">
        <x:v>1</x:v>
      </x:c>
      <x:c r="R33" s="2" t="n">
        <x:f>IF(A33,1,0)</x:f>
        <x:v>0</x:v>
      </x:c>
      <x:c r="S33" s="2" t="n">
        <x:f>SUBTOTAL(103,N33)</x:f>
        <x:v>1</x:v>
      </x:c>
    </x:row>
    <x:row r="34" ht="42" customHeight="1">
      <x:c r="A34" s="28" t="b">
        <x:v>0</x:v>
      </x:c>
      <x:c r="B34" s="2" t="str">
        <x:v>Cycle 1</x:v>
      </x:c>
      <x:c r="C34" s="2" t="str">
        <x:v>Phase 1</x:v>
      </x:c>
      <x:c r="D34" s="2" t="str">
        <x:v>Cards</x:v>
      </x:c>
      <x:c r="E34" s="56" t="str">
        <x:v>DI.CA.1.5</x:v>
      </x:c>
      <x:c r="F34" s="14" t="str">
        <x:v>Confirm with Research the recommended topic for approval</x:v>
      </x:c>
      <x:c r="G34" s="5"/>
      <x:c r="H34" s="11"/>
      <x:c r="I34" s="11" t="n">
        <x:f>'Cycles &amp; Guide'!$D$10</x:f>
        <x:v>46112</x:v>
      </x:c>
      <x:c r="J34" s="11"/>
      <x:c r="K34" s="29"/>
      <x:c r="L34" s="2" t="str">
        <x:f>IF(O34=1,"Complete",IF(A34,"Checklist open",IF(H34&lt;&gt;"","In progress","Not started")))</x:f>
        <x:v>Not started</x:v>
      </x:c>
      <x:c r="M34" s="2" t="str">
        <x:v>Task</x:v>
      </x:c>
      <x:c r="N34" s="2" t="str">
        <x:v>DI.CA.1.5.2026.CY1</x:v>
      </x:c>
      <x:c r="O34" s="2" t="n">
        <x:f>R34</x:f>
        <x:v>0</x:v>
      </x:c>
      <x:c r="P34" s="2"/>
      <x:c r="Q34" s="2" t="n">
        <x:v>1</x:v>
      </x:c>
      <x:c r="R34" s="2" t="n">
        <x:f>IF(A34,1,0)</x:f>
        <x:v>0</x:v>
      </x:c>
      <x:c r="S34" s="2" t="n">
        <x:f>SUBTOTAL(103,N34)</x:f>
        <x:v>1</x:v>
      </x:c>
    </x:row>
    <x:row r="35" ht="42" customHeight="1">
      <x:c r="A35" s="28" t="b">
        <x:v>0</x:v>
      </x:c>
      <x:c r="B35" s="2" t="str">
        <x:v>Cycle 1</x:v>
      </x:c>
      <x:c r="C35" s="2" t="str">
        <x:v>Phase 1</x:v>
      </x:c>
      <x:c r="D35" s="2" t="str">
        <x:v>Cards</x:v>
      </x:c>
      <x:c r="E35" s="56" t="str">
        <x:v>DI.CA.1.6</x:v>
      </x:c>
      <x:c r="F35" s="14" t="str">
        <x:v>Send topic selection socialization email to all key stakeholders on the first day of the review Cycle</x:v>
      </x:c>
      <x:c r="G35" s="5"/>
      <x:c r="H35" s="11"/>
      <x:c r="I35" s="11" t="n">
        <x:f>'Cycles &amp; Guide'!$C$10</x:f>
        <x:v>46023</x:v>
      </x:c>
      <x:c r="J35" s="11"/>
      <x:c r="K35" s="29"/>
      <x:c r="L35" s="2" t="str">
        <x:f>IF(O35=1,"Complete",IF(A35,"Checklist open",IF(H35&lt;&gt;"","In progress","Not started")))</x:f>
        <x:v>Not started</x:v>
      </x:c>
      <x:c r="M35" s="2" t="str">
        <x:v>Task</x:v>
      </x:c>
      <x:c r="N35" s="2" t="str">
        <x:v>DI.CA.1.6.2026.CY1</x:v>
      </x:c>
      <x:c r="O35" s="2" t="n">
        <x:f>R35</x:f>
        <x:v>0</x:v>
      </x:c>
      <x:c r="P35" s="2"/>
      <x:c r="Q35" s="2" t="n">
        <x:v>1</x:v>
      </x:c>
      <x:c r="R35" s="2" t="n">
        <x:f>IF(A35,1,0)</x:f>
        <x:v>0</x:v>
      </x:c>
      <x:c r="S35" s="2" t="n">
        <x:f>SUBTOTAL(103,N35)</x:f>
        <x:v>1</x:v>
      </x:c>
    </x:row>
    <x:row r="36" ht="42" customHeight="1">
      <x:c r="A36" s="28" t="b">
        <x:v>0</x:v>
      </x:c>
      <x:c r="B36" s="2" t="str">
        <x:v>Cycle 1</x:v>
      </x:c>
      <x:c r="C36" s="2" t="str">
        <x:v>Phase 2</x:v>
      </x:c>
      <x:c r="D36" s="2" t="str">
        <x:v>Cards</x:v>
      </x:c>
      <x:c r="E36" s="56" t="str">
        <x:v>DI.CA.2.1</x:v>
      </x:c>
      <x:c r="F36" s="14" t="str">
        <x:v>Meet regularly with Research to stay informed on progress, findings, and potential enhancement</x:v>
      </x:c>
      <x:c r="G36" s="5"/>
      <x:c r="H36" s="11"/>
      <x:c r="I36" s="11" t="n">
        <x:f>'Cycles &amp; Guide'!$D$10</x:f>
        <x:v>46112</x:v>
      </x:c>
      <x:c r="J36" s="11"/>
      <x:c r="K36" s="29"/>
      <x:c r="L36" s="2" t="str">
        <x:f>IF(O36=1,"Complete",IF(A36,"Checklist open",IF(H36&lt;&gt;"","In progress","Not started")))</x:f>
        <x:v>Not started</x:v>
      </x:c>
      <x:c r="M36" s="2" t="str">
        <x:v>Task</x:v>
      </x:c>
      <x:c r="N36" s="2" t="str">
        <x:v>DI.CA.2.1.2026.CY1</x:v>
      </x:c>
      <x:c r="O36" s="2" t="n">
        <x:f>R36</x:f>
        <x:v>0</x:v>
      </x:c>
      <x:c r="P36" s="2"/>
      <x:c r="Q36" s="2" t="n">
        <x:v>1</x:v>
      </x:c>
      <x:c r="R36" s="2" t="n">
        <x:f>IF(A36,1,0)</x:f>
        <x:v>0</x:v>
      </x:c>
      <x:c r="S36" s="2" t="n">
        <x:f>SUBTOTAL(103,N36)</x:f>
        <x:v>1</x:v>
      </x:c>
    </x:row>
    <x:row r="37" ht="42" customHeight="1">
      <x:c r="A37" s="28" t="b">
        <x:v>0</x:v>
      </x:c>
      <x:c r="B37" s="2" t="str">
        <x:v>Cycle 1</x:v>
      </x:c>
      <x:c r="C37" s="2" t="str">
        <x:v>Phase 2</x:v>
      </x:c>
      <x:c r="D37" s="2" t="str">
        <x:v>Cards</x:v>
      </x:c>
      <x:c r="E37" s="56" t="str">
        <x:v>DI.CA.2.2</x:v>
      </x:c>
      <x:c r="F37" s="14" t="str">
        <x:v>Collaborate with Research on research plan specifics</x:v>
      </x:c>
      <x:c r="G37" s="5"/>
      <x:c r="H37" s="11"/>
      <x:c r="I37" s="11" t="n">
        <x:f>'Cycles &amp; Guide'!$D$10</x:f>
        <x:v>46112</x:v>
      </x:c>
      <x:c r="J37" s="11"/>
      <x:c r="K37" s="29"/>
      <x:c r="L37" s="2" t="str">
        <x:f>IF(O37=1,"Complete",IF(A37,"Checklist open",IF(H37&lt;&gt;"","In progress","Not started")))</x:f>
        <x:v>Not started</x:v>
      </x:c>
      <x:c r="M37" s="2" t="str">
        <x:v>Task</x:v>
      </x:c>
      <x:c r="N37" s="2" t="str">
        <x:v>DI.CA.2.2.2026.CY1</x:v>
      </x:c>
      <x:c r="O37" s="2" t="n">
        <x:f>R37</x:f>
        <x:v>0</x:v>
      </x:c>
      <x:c r="P37" s="2"/>
      <x:c r="Q37" s="2" t="n">
        <x:v>1</x:v>
      </x:c>
      <x:c r="R37" s="2" t="n">
        <x:f>IF(A37,1,0)</x:f>
        <x:v>0</x:v>
      </x:c>
      <x:c r="S37" s="2" t="n">
        <x:f>SUBTOTAL(103,N37)</x:f>
        <x:v>1</x:v>
      </x:c>
    </x:row>
    <x:row r="38" ht="42" customHeight="1">
      <x:c r="A38" s="28" t="b">
        <x:v>0</x:v>
      </x:c>
      <x:c r="B38" s="2" t="str">
        <x:v>Cycle 1</x:v>
      </x:c>
      <x:c r="C38" s="2" t="str">
        <x:v>Phase 2</x:v>
      </x:c>
      <x:c r="D38" s="2" t="str">
        <x:v>Cards</x:v>
      </x:c>
      <x:c r="E38" s="56" t="str">
        <x:v>DI.CA.2.3</x:v>
      </x:c>
      <x:c r="F38" s="14" t="str">
        <x:v>Participate in SME insight meetings to gain perspective and appetite on potential enhancements</x:v>
      </x:c>
      <x:c r="G38" s="5"/>
      <x:c r="H38" s="11"/>
      <x:c r="I38" s="11" t="n">
        <x:f>'Cycles &amp; Guide'!$D$10</x:f>
        <x:v>46112</x:v>
      </x:c>
      <x:c r="J38" s="11"/>
      <x:c r="K38" s="29"/>
      <x:c r="L38" s="2" t="str">
        <x:f>IF(O38=1,"Complete",IF(A38,"Checklist open",IF(H38&lt;&gt;"","In progress","Not started")))</x:f>
        <x:v>Not started</x:v>
      </x:c>
      <x:c r="M38" s="2" t="str">
        <x:v>Task</x:v>
      </x:c>
      <x:c r="N38" s="2" t="str">
        <x:v>DI.CA.2.3.2026.CY1</x:v>
      </x:c>
      <x:c r="O38" s="2" t="n">
        <x:f>R38</x:f>
        <x:v>0</x:v>
      </x:c>
      <x:c r="P38" s="2"/>
      <x:c r="Q38" s="2" t="n">
        <x:v>1</x:v>
      </x:c>
      <x:c r="R38" s="2" t="n">
        <x:f>IF(A38,1,0)</x:f>
        <x:v>0</x:v>
      </x:c>
      <x:c r="S38" s="2" t="n">
        <x:f>SUBTOTAL(103,N38)</x:f>
        <x:v>1</x:v>
      </x:c>
    </x:row>
    <x:row r="39" ht="42" customHeight="1">
      <x:c r="A39" s="28" t="b">
        <x:v>0</x:v>
      </x:c>
      <x:c r="B39" s="2" t="str">
        <x:v>Cycle 1</x:v>
      </x:c>
      <x:c r="C39" s="2" t="str">
        <x:v>Phase 2</x:v>
      </x:c>
      <x:c r="D39" s="2" t="str">
        <x:v>Cards</x:v>
      </x:c>
      <x:c r="E39" s="56" t="str">
        <x:v>DI.CA.2.4</x:v>
      </x:c>
      <x:c r="F39" s="14" t="str">
        <x:v>Begin development of presentation materials as Research is being completed</x:v>
      </x:c>
      <x:c r="G39" s="5"/>
      <x:c r="H39" s="11"/>
      <x:c r="I39" s="11" t="n">
        <x:f>'Cycles &amp; Guide'!$D$10</x:f>
        <x:v>46112</x:v>
      </x:c>
      <x:c r="J39" s="11"/>
      <x:c r="K39" s="29"/>
      <x:c r="L39" s="2" t="str">
        <x:f>IF(O39=1,"Complete",IF(A39,"Checklist open",IF(H39&lt;&gt;"","In progress","Not started")))</x:f>
        <x:v>Not started</x:v>
      </x:c>
      <x:c r="M39" s="2" t="str">
        <x:v>Task</x:v>
      </x:c>
      <x:c r="N39" s="2" t="str">
        <x:v>DI.CA.2.4.2026.CY1</x:v>
      </x:c>
      <x:c r="O39" s="2" t="n">
        <x:f>R39</x:f>
        <x:v>0</x:v>
      </x:c>
      <x:c r="P39" s="2"/>
      <x:c r="Q39" s="2" t="n">
        <x:v>1</x:v>
      </x:c>
      <x:c r="R39" s="2" t="n">
        <x:f>IF(A39,1,0)</x:f>
        <x:v>0</x:v>
      </x:c>
      <x:c r="S39" s="2" t="n">
        <x:f>SUBTOTAL(103,N39)</x:f>
        <x:v>1</x:v>
      </x:c>
    </x:row>
    <x:row r="40" ht="42" customHeight="1">
      <x:c r="A40" s="28" t="b">
        <x:v>0</x:v>
      </x:c>
      <x:c r="B40" s="2" t="str">
        <x:v>Cycle 1</x:v>
      </x:c>
      <x:c r="C40" s="2" t="str">
        <x:v>Phase 2</x:v>
      </x:c>
      <x:c r="D40" s="2" t="str">
        <x:v>Cards</x:v>
      </x:c>
      <x:c r="E40" s="56" t="str">
        <x:v>DI.CA.2.5</x:v>
      </x:c>
      <x:c r="F40" s="14" t="str">
        <x:v>Draft initial enhancement recommendations (as applicable)</x:v>
      </x:c>
      <x:c r="G40" s="5"/>
      <x:c r="H40" s="11"/>
      <x:c r="I40" s="11" t="n">
        <x:f>'Cycles &amp; Guide'!$D$10</x:f>
        <x:v>46112</x:v>
      </x:c>
      <x:c r="J40" s="11"/>
      <x:c r="K40" s="29"/>
      <x:c r="L40" s="2" t="str">
        <x:f>IF(O40=1,"Complete",IF(A40,"Checklist open",IF(H40&lt;&gt;"","In progress","Not started")))</x:f>
        <x:v>Not started</x:v>
      </x:c>
      <x:c r="M40" s="2" t="str">
        <x:v>Task</x:v>
      </x:c>
      <x:c r="N40" s="2" t="str">
        <x:v>DI.CA.2.5.2026.CY1</x:v>
      </x:c>
      <x:c r="O40" s="2" t="n">
        <x:f>R40</x:f>
        <x:v>0</x:v>
      </x:c>
      <x:c r="P40" s="2"/>
      <x:c r="Q40" s="2" t="n">
        <x:v>1</x:v>
      </x:c>
      <x:c r="R40" s="2" t="n">
        <x:f>IF(A40,1,0)</x:f>
        <x:v>0</x:v>
      </x:c>
      <x:c r="S40" s="2" t="n">
        <x:f>SUBTOTAL(103,N40)</x:f>
        <x:v>1</x:v>
      </x:c>
    </x:row>
    <x:row r="41" ht="42" customHeight="1">
      <x:c r="A41" s="28" t="b">
        <x:v>0</x:v>
      </x:c>
      <x:c r="B41" s="2" t="str">
        <x:v>Cycle 1</x:v>
      </x:c>
      <x:c r="C41" s="2" t="str">
        <x:v>Phase 2</x:v>
      </x:c>
      <x:c r="D41" s="2" t="str">
        <x:v>Cards</x:v>
      </x:c>
      <x:c r="E41" s="56" t="str">
        <x:v>DI.CA.2.6</x:v>
      </x:c>
      <x:c r="F41" s="14" t="str">
        <x:v>Finalize presentation deck draft at conclusion of Research phase</x:v>
      </x:c>
      <x:c r="G41" s="5"/>
      <x:c r="H41" s="11"/>
      <x:c r="I41" s="11" t="n">
        <x:f>'Cycles &amp; Guide'!$D$10</x:f>
        <x:v>46112</x:v>
      </x:c>
      <x:c r="J41" s="11"/>
      <x:c r="K41" s="29"/>
      <x:c r="L41" s="2" t="str">
        <x:f>IF(O41=1,"Complete",IF(A41,"Checklist open",IF(H41&lt;&gt;"","In progress","Not started")))</x:f>
        <x:v>Not started</x:v>
      </x:c>
      <x:c r="M41" s="2" t="str">
        <x:v>Task</x:v>
      </x:c>
      <x:c r="N41" s="2" t="str">
        <x:v>DI.CA.2.6.2026.CY1</x:v>
      </x:c>
      <x:c r="O41" s="2" t="n">
        <x:f>R41</x:f>
        <x:v>0</x:v>
      </x:c>
      <x:c r="P41" s="2"/>
      <x:c r="Q41" s="2" t="n">
        <x:v>1</x:v>
      </x:c>
      <x:c r="R41" s="2" t="n">
        <x:f>IF(A41,1,0)</x:f>
        <x:v>0</x:v>
      </x:c>
      <x:c r="S41" s="2" t="n">
        <x:f>SUBTOTAL(103,N41)</x:f>
        <x:v>1</x:v>
      </x:c>
    </x:row>
    <x:row r="42" ht="42" customHeight="1">
      <x:c r="A42" s="28" t="b">
        <x:v>0</x:v>
      </x:c>
      <x:c r="B42" s="2" t="str">
        <x:v>Cycle 1</x:v>
      </x:c>
      <x:c r="C42" s="2" t="str">
        <x:v>Phase 2</x:v>
      </x:c>
      <x:c r="D42" s="2" t="str">
        <x:v>Cards</x:v>
      </x:c>
      <x:c r="E42" s="56" t="str">
        <x:v>DI.CA.2.7</x:v>
      </x:c>
      <x:c r="F42" s="14" t="str">
        <x:v>Update Outcome portion of research plan with current enhancement verbiage (as needed)</x:v>
      </x:c>
      <x:c r="G42" s="5"/>
      <x:c r="H42" s="11"/>
      <x:c r="I42" s="11" t="n">
        <x:f>'Cycles &amp; Guide'!$D$10</x:f>
        <x:v>46112</x:v>
      </x:c>
      <x:c r="J42" s="11"/>
      <x:c r="K42" s="29"/>
      <x:c r="L42" s="2" t="str">
        <x:f>IF(O42=1,"Complete",IF(A42,"Checklist open",IF(H42&lt;&gt;"","In progress","Not started")))</x:f>
        <x:v>Not started</x:v>
      </x:c>
      <x:c r="M42" s="2" t="str">
        <x:v>Task</x:v>
      </x:c>
      <x:c r="N42" s="2" t="str">
        <x:v>DI.CA.2.7.2026.CY1</x:v>
      </x:c>
      <x:c r="O42" s="2" t="n">
        <x:f>R42</x:f>
        <x:v>0</x:v>
      </x:c>
      <x:c r="P42" s="2"/>
      <x:c r="Q42" s="2" t="n">
        <x:v>1</x:v>
      </x:c>
      <x:c r="R42" s="2" t="n">
        <x:f>IF(A42,1,0)</x:f>
        <x:v>0</x:v>
      </x:c>
      <x:c r="S42" s="2" t="n">
        <x:f>SUBTOTAL(103,N42)</x:f>
        <x:v>1</x:v>
      </x:c>
    </x:row>
    <x:row r="43" ht="42" customHeight="1">
      <x:c r="A43" s="28" t="b">
        <x:v>0</x:v>
      </x:c>
      <x:c r="B43" s="2" t="str">
        <x:v>Cycle 1</x:v>
      </x:c>
      <x:c r="C43" s="2" t="str">
        <x:v>Phase 3</x:v>
      </x:c>
      <x:c r="D43" s="2" t="str">
        <x:v>Cards</x:v>
      </x:c>
      <x:c r="E43" s="56" t="str">
        <x:v>DI.CA.3.1</x:v>
      </x:c>
      <x:c r="F43" s="14" t="str">
        <x:v>Confirm list of required &amp; optional attendees for pre-socialization meeting</x:v>
      </x:c>
      <x:c r="G43" s="5"/>
      <x:c r="H43" s="11"/>
      <x:c r="I43" s="11" t="n">
        <x:f>'Cycles &amp; Guide'!$D$10</x:f>
        <x:v>46112</x:v>
      </x:c>
      <x:c r="J43" s="11"/>
      <x:c r="K43" s="29"/>
      <x:c r="L43" s="2" t="str">
        <x:f>IF(O43=1,"Complete",IF(A43,"Checklist open",IF(H43&lt;&gt;"","In progress","Not started")))</x:f>
        <x:v>Not started</x:v>
      </x:c>
      <x:c r="M43" s="2" t="str">
        <x:v>Task</x:v>
      </x:c>
      <x:c r="N43" s="2" t="str">
        <x:v>DI.CA.3.1.2026.CY1</x:v>
      </x:c>
      <x:c r="O43" s="2" t="n">
        <x:f>R43</x:f>
        <x:v>0</x:v>
      </x:c>
      <x:c r="P43" s="2"/>
      <x:c r="Q43" s="2" t="n">
        <x:v>1</x:v>
      </x:c>
      <x:c r="R43" s="2" t="n">
        <x:f>IF(A43,1,0)</x:f>
        <x:v>0</x:v>
      </x:c>
      <x:c r="S43" s="2" t="n">
        <x:f>SUBTOTAL(103,N43)</x:f>
        <x:v>1</x:v>
      </x:c>
    </x:row>
    <x:row r="44" ht="42" customHeight="1">
      <x:c r="A44" s="28" t="b">
        <x:v>0</x:v>
      </x:c>
      <x:c r="B44" s="2" t="str">
        <x:v>Cycle 1</x:v>
      </x:c>
      <x:c r="C44" s="2" t="str">
        <x:v>Phase 3</x:v>
      </x:c>
      <x:c r="D44" s="2" t="str">
        <x:v>Cards</x:v>
      </x:c>
      <x:c r="E44" s="56" t="str">
        <x:v>DI.CA.3.2</x:v>
      </x:c>
      <x:c r="F44" s="14" t="str">
        <x:v>Schedule pre-socialization meeting 1 week prior to RCA Forum</x:v>
      </x:c>
      <x:c r="G44" s="5"/>
      <x:c r="H44" s="11"/>
      <x:c r="I44" s="11" t="str">
        <x:f>IF(SUMIFS('Cycles &amp; Guide'!$D$23:$D$50,'Cycles &amp; Guide'!$B$23:$B$50,B44,'Cycles &amp; Guide'!$C$23:$C$50,D44)=0,"",SUMIFS('Cycles &amp; Guide'!$D$23:$D$50,'Cycles &amp; Guide'!$B$23:$B$50,B44,'Cycles &amp; Guide'!$C$23:$C$50,D44)-7)</x:f>
      </x:c>
      <x:c r="J44" s="11"/>
      <x:c r="K44" s="29"/>
      <x:c r="L44" s="2" t="str">
        <x:f>IF(O44=1,"Complete",IF(A44,"Checklist open",IF(H44&lt;&gt;"","In progress","Not started")))</x:f>
        <x:v>Not started</x:v>
      </x:c>
      <x:c r="M44" s="2" t="str">
        <x:v>Task</x:v>
      </x:c>
      <x:c r="N44" s="2" t="str">
        <x:v>DI.CA.3.2.2026.CY1</x:v>
      </x:c>
      <x:c r="O44" s="2" t="n">
        <x:f>R44</x:f>
        <x:v>0</x:v>
      </x:c>
      <x:c r="P44" s="2"/>
      <x:c r="Q44" s="2" t="n">
        <x:v>1</x:v>
      </x:c>
      <x:c r="R44" s="2" t="n">
        <x:f>IF(A44,1,0)</x:f>
        <x:v>0</x:v>
      </x:c>
      <x:c r="S44" s="2" t="n">
        <x:f>SUBTOTAL(103,N44)</x:f>
        <x:v>1</x:v>
      </x:c>
    </x:row>
    <x:row r="45" ht="42" customHeight="1">
      <x:c r="A45" s="28" t="b">
        <x:v>0</x:v>
      </x:c>
      <x:c r="B45" s="2" t="str">
        <x:v>Cycle 1</x:v>
      </x:c>
      <x:c r="C45" s="2" t="str">
        <x:v>Phase 3</x:v>
      </x:c>
      <x:c r="D45" s="2" t="str">
        <x:v>Cards</x:v>
      </x:c>
      <x:c r="E45" s="56" t="str">
        <x:v>DI.CA.3.3</x:v>
      </x:c>
      <x:c r="F45" s="14" t="str">
        <x:v>Present findings, conclusions, and recommendation to SMEs</x:v>
      </x:c>
      <x:c r="G45" s="5"/>
      <x:c r="H45" s="11"/>
      <x:c r="I45" s="11" t="n">
        <x:f>'Cycles &amp; Guide'!$D$10</x:f>
        <x:v>46112</x:v>
      </x:c>
      <x:c r="J45" s="11"/>
      <x:c r="K45" s="29"/>
      <x:c r="L45" s="2" t="str">
        <x:f>IF(O45=1,"Complete",IF(A45,"Checklist open",IF(H45&lt;&gt;"","In progress","Not started")))</x:f>
        <x:v>Not started</x:v>
      </x:c>
      <x:c r="M45" s="2" t="str">
        <x:v>Task</x:v>
      </x:c>
      <x:c r="N45" s="2" t="str">
        <x:v>DI.CA.3.3.2026.CY1</x:v>
      </x:c>
      <x:c r="O45" s="2" t="n">
        <x:f>R45</x:f>
        <x:v>0</x:v>
      </x:c>
      <x:c r="P45" s="2"/>
      <x:c r="Q45" s="2" t="n">
        <x:v>1</x:v>
      </x:c>
      <x:c r="R45" s="2" t="n">
        <x:f>IF(A45,1,0)</x:f>
        <x:v>0</x:v>
      </x:c>
      <x:c r="S45" s="2" t="n">
        <x:f>SUBTOTAL(103,N45)</x:f>
        <x:v>1</x:v>
      </x:c>
    </x:row>
    <x:row r="46" ht="42" customHeight="1">
      <x:c r="A46" s="28" t="b">
        <x:v>0</x:v>
      </x:c>
      <x:c r="B46" s="2" t="str">
        <x:v>Cycle 1</x:v>
      </x:c>
      <x:c r="C46" s="2" t="str">
        <x:v>Phase 3</x:v>
      </x:c>
      <x:c r="D46" s="2" t="str">
        <x:v>Cards</x:v>
      </x:c>
      <x:c r="E46" s="56" t="str">
        <x:v>DI.CA.3.4</x:v>
      </x:c>
      <x:c r="F46" s="14" t="str">
        <x:v>Update Outcome portion of research plan (as needed)</x:v>
      </x:c>
      <x:c r="G46" s="5"/>
      <x:c r="H46" s="11"/>
      <x:c r="I46" s="11" t="n">
        <x:f>'Cycles &amp; Guide'!$D$10</x:f>
        <x:v>46112</x:v>
      </x:c>
      <x:c r="J46" s="11"/>
      <x:c r="K46" s="29"/>
      <x:c r="L46" s="2" t="str">
        <x:f>IF(O46=1,"Complete",IF(A46,"Checklist open",IF(H46&lt;&gt;"","In progress","Not started")))</x:f>
        <x:v>Not started</x:v>
      </x:c>
      <x:c r="M46" s="2" t="str">
        <x:v>Task</x:v>
      </x:c>
      <x:c r="N46" s="2" t="str">
        <x:v>DI.CA.3.4.2026.CY1</x:v>
      </x:c>
      <x:c r="O46" s="2" t="n">
        <x:f>R46</x:f>
        <x:v>0</x:v>
      </x:c>
      <x:c r="P46" s="2"/>
      <x:c r="Q46" s="2" t="n">
        <x:v>1</x:v>
      </x:c>
      <x:c r="R46" s="2" t="n">
        <x:f>IF(A46,1,0)</x:f>
        <x:v>0</x:v>
      </x:c>
      <x:c r="S46" s="2" t="n">
        <x:f>SUBTOTAL(103,N46)</x:f>
        <x:v>1</x:v>
      </x:c>
    </x:row>
    <x:row r="47" ht="42" customHeight="1">
      <x:c r="A47" s="28" t="b">
        <x:v>0</x:v>
      </x:c>
      <x:c r="B47" s="2" t="str">
        <x:v>Cycle 1</x:v>
      </x:c>
      <x:c r="C47" s="2" t="str">
        <x:v>Phase 3</x:v>
      </x:c>
      <x:c r="D47" s="2" t="str">
        <x:v>Cards</x:v>
      </x:c>
      <x:c r="E47" s="56" t="str">
        <x:v>DI.CA.3.5</x:v>
      </x:c>
      <x:c r="F47" s="14" t="str">
        <x:v>Finalize presentation deck by incorporating pre-socialization feedback (as needed)</x:v>
      </x:c>
      <x:c r="G47" s="5"/>
      <x:c r="H47" s="11"/>
      <x:c r="I47" s="11" t="n">
        <x:f>'Cycles &amp; Guide'!$D$10</x:f>
        <x:v>46112</x:v>
      </x:c>
      <x:c r="J47" s="11"/>
      <x:c r="K47" s="29"/>
      <x:c r="L47" s="2" t="str">
        <x:f>IF(O47=1,"Complete",IF(A47,"Checklist open",IF(H47&lt;&gt;"","In progress","Not started")))</x:f>
        <x:v>Not started</x:v>
      </x:c>
      <x:c r="M47" s="2" t="str">
        <x:v>Task</x:v>
      </x:c>
      <x:c r="N47" s="2" t="str">
        <x:v>DI.CA.3.5.2026.CY1</x:v>
      </x:c>
      <x:c r="O47" s="2" t="n">
        <x:f>R47</x:f>
        <x:v>0</x:v>
      </x:c>
      <x:c r="P47" s="2"/>
      <x:c r="Q47" s="2" t="n">
        <x:v>1</x:v>
      </x:c>
      <x:c r="R47" s="2" t="n">
        <x:f>IF(A47,1,0)</x:f>
        <x:v>0</x:v>
      </x:c>
      <x:c r="S47" s="2" t="n">
        <x:f>SUBTOTAL(103,N47)</x:f>
        <x:v>1</x:v>
      </x:c>
    </x:row>
    <x:row r="48" ht="42" customHeight="1">
      <x:c r="A48" s="28" t="b">
        <x:v>0</x:v>
      </x:c>
      <x:c r="B48" s="2" t="str">
        <x:v>Cycle 1</x:v>
      </x:c>
      <x:c r="C48" s="2" t="str">
        <x:v>Phase 3</x:v>
      </x:c>
      <x:c r="D48" s="2" t="str">
        <x:v>Cards</x:v>
      </x:c>
      <x:c r="E48" s="56" t="str">
        <x:v>DI.CA.3.6</x:v>
      </x:c>
      <x:c r="F48" s="14" t="str">
        <x:v>Ensure final deck is communicated to Forum attendees</x:v>
      </x:c>
      <x:c r="G48" s="5"/>
      <x:c r="H48" s="11"/>
      <x:c r="I48" s="11" t="n">
        <x:f>'Cycles &amp; Guide'!$D$10</x:f>
        <x:v>46112</x:v>
      </x:c>
      <x:c r="J48" s="11"/>
      <x:c r="K48" s="29"/>
      <x:c r="L48" s="2" t="str">
        <x:f>IF(O48=1,"Complete",IF(A48,"Checklist open",IF(H48&lt;&gt;"","In progress","Not started")))</x:f>
        <x:v>Not started</x:v>
      </x:c>
      <x:c r="M48" s="2" t="str">
        <x:v>Task</x:v>
      </x:c>
      <x:c r="N48" s="2" t="str">
        <x:v>DI.CA.3.6.2026.CY1</x:v>
      </x:c>
      <x:c r="O48" s="2" t="n">
        <x:f>R48</x:f>
        <x:v>0</x:v>
      </x:c>
      <x:c r="P48" s="2"/>
      <x:c r="Q48" s="2" t="n">
        <x:v>1</x:v>
      </x:c>
      <x:c r="R48" s="2" t="n">
        <x:f>IF(A48,1,0)</x:f>
        <x:v>0</x:v>
      </x:c>
      <x:c r="S48" s="2" t="n">
        <x:f>SUBTOTAL(103,N48)</x:f>
        <x:v>1</x:v>
      </x:c>
    </x:row>
    <x:row r="49" ht="42" customHeight="1">
      <x:c r="A49" s="28" t="b">
        <x:v>0</x:v>
      </x:c>
      <x:c r="B49" s="2" t="str">
        <x:v>Cycle 1</x:v>
      </x:c>
      <x:c r="C49" s="2" t="str">
        <x:v>Phase 3</x:v>
      </x:c>
      <x:c r="D49" s="2" t="str">
        <x:v>Cards</x:v>
      </x:c>
      <x:c r="E49" s="56" t="str">
        <x:v>DI.CA.3.7</x:v>
      </x:c>
      <x:c r="F49" s="14" t="str">
        <x:v>Present material in RCA Cycle Forum</x:v>
      </x:c>
      <x:c r="G49" s="5"/>
      <x:c r="H49" s="11"/>
      <x:c r="I49" s="11" t="str">
        <x:f>IF(SUMIFS('Cycles &amp; Guide'!$D$23:$D$50,'Cycles &amp; Guide'!$B$23:$B$50,B49,'Cycles &amp; Guide'!$C$23:$C$50,D49)=0,"",SUMIFS('Cycles &amp; Guide'!$D$23:$D$50,'Cycles &amp; Guide'!$B$23:$B$50,B49,'Cycles &amp; Guide'!$C$23:$C$50,D49))</x:f>
      </x:c>
      <x:c r="J49" s="11"/>
      <x:c r="K49" s="29"/>
      <x:c r="L49" s="2" t="str">
        <x:f>IF(O49=1,"Complete",IF(A49,"Checklist open",IF(H49&lt;&gt;"","In progress","Not started")))</x:f>
        <x:v>Not started</x:v>
      </x:c>
      <x:c r="M49" s="2" t="str">
        <x:v>Task</x:v>
      </x:c>
      <x:c r="N49" s="2" t="str">
        <x:v>DI.CA.3.7.2026.CY1</x:v>
      </x:c>
      <x:c r="O49" s="2" t="n">
        <x:f>R49</x:f>
        <x:v>0</x:v>
      </x:c>
      <x:c r="P49" s="2"/>
      <x:c r="Q49" s="2" t="n">
        <x:v>1</x:v>
      </x:c>
      <x:c r="R49" s="2" t="n">
        <x:f>IF(A49,1,0)</x:f>
        <x:v>0</x:v>
      </x:c>
      <x:c r="S49" s="2" t="n">
        <x:f>SUBTOTAL(103,N49)</x:f>
        <x:v>1</x:v>
      </x:c>
    </x:row>
    <x:row r="50" ht="42" customHeight="1">
      <x:c r="A50" s="28" t="b">
        <x:v>0</x:v>
      </x:c>
      <x:c r="B50" s="2" t="str">
        <x:v>Cycle 1</x:v>
      </x:c>
      <x:c r="C50" s="2" t="str">
        <x:v>Phase 1</x:v>
      </x:c>
      <x:c r="D50" s="2" t="str">
        <x:v>CSBBO - Banking Ops</x:v>
      </x:c>
      <x:c r="E50" s="56" t="str">
        <x:v>DI.BO.1.1</x:v>
      </x:c>
      <x:c r="F50" s="14" t="str">
        <x:v>Receive and review potential research topics at least 2 weeks prior to Cycle start date</x:v>
      </x:c>
      <x:c r="G50" s="5"/>
      <x:c r="H50" s="11"/>
      <x:c r="I50" s="11" t="n">
        <x:f>'Cycles &amp; Guide'!$C$10-14</x:f>
        <x:v>46009</x:v>
      </x:c>
      <x:c r="J50" s="11"/>
      <x:c r="K50" s="29"/>
      <x:c r="L50" s="2" t="str">
        <x:f>IF(O50=1,"Complete",IF(A50,"Checklist open",IF(H50&lt;&gt;"","In progress","Not started")))</x:f>
        <x:v>Not started</x:v>
      </x:c>
      <x:c r="M50" s="2" t="str">
        <x:v>Task</x:v>
      </x:c>
      <x:c r="N50" s="2" t="str">
        <x:v>DI.BO.1.1.2026.CY1</x:v>
      </x:c>
      <x:c r="O50" s="2" t="n">
        <x:f>R50</x:f>
        <x:v>0</x:v>
      </x:c>
      <x:c r="P50" s="2"/>
      <x:c r="Q50" s="2" t="n">
        <x:v>1</x:v>
      </x:c>
      <x:c r="R50" s="2" t="n">
        <x:f>IF(A50,1,0)</x:f>
        <x:v>0</x:v>
      </x:c>
      <x:c r="S50" s="2" t="n">
        <x:f>SUBTOTAL(103,N50)</x:f>
        <x:v>1</x:v>
      </x:c>
    </x:row>
    <x:row r="51" ht="42" customHeight="1">
      <x:c r="A51" s="28" t="b">
        <x:v>0</x:v>
      </x:c>
      <x:c r="B51" s="2" t="str">
        <x:v>Cycle 1</x:v>
      </x:c>
      <x:c r="C51" s="2" t="str">
        <x:v>Phase 1</x:v>
      </x:c>
      <x:c r="D51" s="2" t="str">
        <x:v>CSBBO - Banking Ops</x:v>
      </x:c>
      <x:c r="E51" s="56" t="str">
        <x:v>DI.BO.1.2</x:v>
      </x:c>
      <x:c r="F51" s="14" t="str">
        <x:v>Communicate any feedback on preferences or concerns with topics identified</x:v>
      </x:c>
      <x:c r="G51" s="5"/>
      <x:c r="H51" s="11"/>
      <x:c r="I51" s="11" t="n">
        <x:f>'Cycles &amp; Guide'!$D$10</x:f>
        <x:v>46112</x:v>
      </x:c>
      <x:c r="J51" s="11"/>
      <x:c r="K51" s="29"/>
      <x:c r="L51" s="2" t="str">
        <x:f>IF(O51=1,"Complete",IF(A51,"Checklist open",IF(H51&lt;&gt;"","In progress","Not started")))</x:f>
        <x:v>Not started</x:v>
      </x:c>
      <x:c r="M51" s="2" t="str">
        <x:v>Task</x:v>
      </x:c>
      <x:c r="N51" s="2" t="str">
        <x:v>DI.BO.1.2.2026.CY1</x:v>
      </x:c>
      <x:c r="O51" s="2" t="n">
        <x:f>R51</x:f>
        <x:v>0</x:v>
      </x:c>
      <x:c r="P51" s="2"/>
      <x:c r="Q51" s="2" t="n">
        <x:v>1</x:v>
      </x:c>
      <x:c r="R51" s="2" t="n">
        <x:f>IF(A51,1,0)</x:f>
        <x:v>0</x:v>
      </x:c>
      <x:c r="S51" s="2" t="n">
        <x:f>SUBTOTAL(103,N51)</x:f>
        <x:v>1</x:v>
      </x:c>
    </x:row>
    <x:row r="52" ht="42" customHeight="1">
      <x:c r="A52" s="28" t="b">
        <x:v>0</x:v>
      </x:c>
      <x:c r="B52" s="2" t="str">
        <x:v>Cycle 1</x:v>
      </x:c>
      <x:c r="C52" s="2" t="str">
        <x:v>Phase 1</x:v>
      </x:c>
      <x:c r="D52" s="2" t="str">
        <x:v>CSBBO - Banking Ops</x:v>
      </x:c>
      <x:c r="E52" s="56" t="str">
        <x:v>DI.BO.1.3</x:v>
      </x:c>
      <x:c r="F52" s="14" t="str">
        <x:v>Conduct high-level preliminary review of complaints within proposed topics</x:v>
      </x:c>
      <x:c r="G52" s="5"/>
      <x:c r="H52" s="11"/>
      <x:c r="I52" s="11" t="n">
        <x:f>'Cycles &amp; Guide'!$D$10</x:f>
        <x:v>46112</x:v>
      </x:c>
      <x:c r="J52" s="11"/>
      <x:c r="K52" s="29"/>
      <x:c r="L52" s="2" t="str">
        <x:f>IF(O52=1,"Complete",IF(A52,"Checklist open",IF(H52&lt;&gt;"","In progress","Not started")))</x:f>
        <x:v>Not started</x:v>
      </x:c>
      <x:c r="M52" s="2" t="str">
        <x:v>Task</x:v>
      </x:c>
      <x:c r="N52" s="2" t="str">
        <x:v>DI.BO.1.3.2026.CY1</x:v>
      </x:c>
      <x:c r="O52" s="2" t="n">
        <x:f>R52</x:f>
        <x:v>0</x:v>
      </x:c>
      <x:c r="P52" s="2"/>
      <x:c r="Q52" s="2" t="n">
        <x:v>1</x:v>
      </x:c>
      <x:c r="R52" s="2" t="n">
        <x:f>IF(A52,1,0)</x:f>
        <x:v>0</x:v>
      </x:c>
      <x:c r="S52" s="2" t="n">
        <x:f>SUBTOTAL(103,N52)</x:f>
        <x:v>1</x:v>
      </x:c>
    </x:row>
    <x:row r="53" ht="42" customHeight="1">
      <x:c r="A53" s="28" t="b">
        <x:v>0</x:v>
      </x:c>
      <x:c r="B53" s="2" t="str">
        <x:v>Cycle 1</x:v>
      </x:c>
      <x:c r="C53" s="2" t="str">
        <x:v>Phase 1</x:v>
      </x:c>
      <x:c r="D53" s="2" t="str">
        <x:v>CSBBO - Banking Ops</x:v>
      </x:c>
      <x:c r="E53" s="56" t="str">
        <x:v>DI.BO.1.4</x:v>
      </x:c>
      <x:c r="F53" s="14" t="str">
        <x:v>Meet with Research to discuss which topic to select based on potential impact</x:v>
      </x:c>
      <x:c r="G53" s="5"/>
      <x:c r="H53" s="11"/>
      <x:c r="I53" s="11" t="n">
        <x:f>'Cycles &amp; Guide'!$D$10</x:f>
        <x:v>46112</x:v>
      </x:c>
      <x:c r="J53" s="11"/>
      <x:c r="K53" s="29"/>
      <x:c r="L53" s="2" t="str">
        <x:f>IF(O53=1,"Complete",IF(A53,"Checklist open",IF(H53&lt;&gt;"","In progress","Not started")))</x:f>
        <x:v>Not started</x:v>
      </x:c>
      <x:c r="M53" s="2" t="str">
        <x:v>Task</x:v>
      </x:c>
      <x:c r="N53" s="2" t="str">
        <x:v>DI.BO.1.4.2026.CY1</x:v>
      </x:c>
      <x:c r="O53" s="2" t="n">
        <x:f>R53</x:f>
        <x:v>0</x:v>
      </x:c>
      <x:c r="P53" s="2"/>
      <x:c r="Q53" s="2" t="n">
        <x:v>1</x:v>
      </x:c>
      <x:c r="R53" s="2" t="n">
        <x:f>IF(A53,1,0)</x:f>
        <x:v>0</x:v>
      </x:c>
      <x:c r="S53" s="2" t="n">
        <x:f>SUBTOTAL(103,N53)</x:f>
        <x:v>1</x:v>
      </x:c>
    </x:row>
    <x:row r="54" ht="42" customHeight="1">
      <x:c r="A54" s="28" t="b">
        <x:v>0</x:v>
      </x:c>
      <x:c r="B54" s="2" t="str">
        <x:v>Cycle 1</x:v>
      </x:c>
      <x:c r="C54" s="2" t="str">
        <x:v>Phase 1</x:v>
      </x:c>
      <x:c r="D54" s="2" t="str">
        <x:v>CSBBO - Banking Ops</x:v>
      </x:c>
      <x:c r="E54" s="56" t="str">
        <x:v>DI.BO.1.5</x:v>
      </x:c>
      <x:c r="F54" s="14" t="str">
        <x:v>Confirm with Research the recommended topic for approval</x:v>
      </x:c>
      <x:c r="G54" s="5"/>
      <x:c r="H54" s="11"/>
      <x:c r="I54" s="11" t="n">
        <x:f>'Cycles &amp; Guide'!$D$10</x:f>
        <x:v>46112</x:v>
      </x:c>
      <x:c r="J54" s="11"/>
      <x:c r="K54" s="29"/>
      <x:c r="L54" s="2" t="str">
        <x:f>IF(O54=1,"Complete",IF(A54,"Checklist open",IF(H54&lt;&gt;"","In progress","Not started")))</x:f>
        <x:v>Not started</x:v>
      </x:c>
      <x:c r="M54" s="2" t="str">
        <x:v>Task</x:v>
      </x:c>
      <x:c r="N54" s="2" t="str">
        <x:v>DI.BO.1.5.2026.CY1</x:v>
      </x:c>
      <x:c r="O54" s="2" t="n">
        <x:f>R54</x:f>
        <x:v>0</x:v>
      </x:c>
      <x:c r="P54" s="2"/>
      <x:c r="Q54" s="2" t="n">
        <x:v>1</x:v>
      </x:c>
      <x:c r="R54" s="2" t="n">
        <x:f>IF(A54,1,0)</x:f>
        <x:v>0</x:v>
      </x:c>
      <x:c r="S54" s="2" t="n">
        <x:f>SUBTOTAL(103,N54)</x:f>
        <x:v>1</x:v>
      </x:c>
    </x:row>
    <x:row r="55" ht="42" customHeight="1">
      <x:c r="A55" s="28" t="b">
        <x:v>0</x:v>
      </x:c>
      <x:c r="B55" s="2" t="str">
        <x:v>Cycle 1</x:v>
      </x:c>
      <x:c r="C55" s="2" t="str">
        <x:v>Phase 1</x:v>
      </x:c>
      <x:c r="D55" s="2" t="str">
        <x:v>CSBBO - Banking Ops</x:v>
      </x:c>
      <x:c r="E55" s="56" t="str">
        <x:v>DI.BO.1.6</x:v>
      </x:c>
      <x:c r="F55" s="14" t="str">
        <x:v>Send topic selection socialization email to all key stakeholders on the first day of the review Cycle</x:v>
      </x:c>
      <x:c r="G55" s="5"/>
      <x:c r="H55" s="11"/>
      <x:c r="I55" s="11" t="n">
        <x:f>'Cycles &amp; Guide'!$C$10</x:f>
        <x:v>46023</x:v>
      </x:c>
      <x:c r="J55" s="11"/>
      <x:c r="K55" s="29"/>
      <x:c r="L55" s="2" t="str">
        <x:f>IF(O55=1,"Complete",IF(A55,"Checklist open",IF(H55&lt;&gt;"","In progress","Not started")))</x:f>
        <x:v>Not started</x:v>
      </x:c>
      <x:c r="M55" s="2" t="str">
        <x:v>Task</x:v>
      </x:c>
      <x:c r="N55" s="2" t="str">
        <x:v>DI.BO.1.6.2026.CY1</x:v>
      </x:c>
      <x:c r="O55" s="2" t="n">
        <x:f>R55</x:f>
        <x:v>0</x:v>
      </x:c>
      <x:c r="P55" s="2"/>
      <x:c r="Q55" s="2" t="n">
        <x:v>1</x:v>
      </x:c>
      <x:c r="R55" s="2" t="n">
        <x:f>IF(A55,1,0)</x:f>
        <x:v>0</x:v>
      </x:c>
      <x:c r="S55" s="2" t="n">
        <x:f>SUBTOTAL(103,N55)</x:f>
        <x:v>1</x:v>
      </x:c>
    </x:row>
    <x:row r="56" ht="42" customHeight="1">
      <x:c r="A56" s="28" t="b">
        <x:v>0</x:v>
      </x:c>
      <x:c r="B56" s="2" t="str">
        <x:v>Cycle 1</x:v>
      </x:c>
      <x:c r="C56" s="2" t="str">
        <x:v>Phase 2</x:v>
      </x:c>
      <x:c r="D56" s="2" t="str">
        <x:v>CSBBO - Banking Ops</x:v>
      </x:c>
      <x:c r="E56" s="56" t="str">
        <x:v>DI.BO.2.1</x:v>
      </x:c>
      <x:c r="F56" s="14" t="str">
        <x:v>Meet regularly with Research to stay informed on progress, findings, and potential enhancement</x:v>
      </x:c>
      <x:c r="G56" s="5"/>
      <x:c r="H56" s="11"/>
      <x:c r="I56" s="11" t="n">
        <x:f>'Cycles &amp; Guide'!$D$10</x:f>
        <x:v>46112</x:v>
      </x:c>
      <x:c r="J56" s="11"/>
      <x:c r="K56" s="29"/>
      <x:c r="L56" s="2" t="str">
        <x:f>IF(O56=1,"Complete",IF(A56,"Checklist open",IF(H56&lt;&gt;"","In progress","Not started")))</x:f>
        <x:v>Not started</x:v>
      </x:c>
      <x:c r="M56" s="2" t="str">
        <x:v>Task</x:v>
      </x:c>
      <x:c r="N56" s="2" t="str">
        <x:v>DI.BO.2.1.2026.CY1</x:v>
      </x:c>
      <x:c r="O56" s="2" t="n">
        <x:f>R56</x:f>
        <x:v>0</x:v>
      </x:c>
      <x:c r="P56" s="2"/>
      <x:c r="Q56" s="2" t="n">
        <x:v>1</x:v>
      </x:c>
      <x:c r="R56" s="2" t="n">
        <x:f>IF(A56,1,0)</x:f>
        <x:v>0</x:v>
      </x:c>
      <x:c r="S56" s="2" t="n">
        <x:f>SUBTOTAL(103,N56)</x:f>
        <x:v>1</x:v>
      </x:c>
    </x:row>
    <x:row r="57" ht="42" customHeight="1">
      <x:c r="A57" s="28" t="b">
        <x:v>0</x:v>
      </x:c>
      <x:c r="B57" s="2" t="str">
        <x:v>Cycle 1</x:v>
      </x:c>
      <x:c r="C57" s="2" t="str">
        <x:v>Phase 2</x:v>
      </x:c>
      <x:c r="D57" s="2" t="str">
        <x:v>CSBBO - Banking Ops</x:v>
      </x:c>
      <x:c r="E57" s="56" t="str">
        <x:v>DI.BO.2.2</x:v>
      </x:c>
      <x:c r="F57" s="14" t="str">
        <x:v>Collaborate with Research on research plan specifics</x:v>
      </x:c>
      <x:c r="G57" s="5"/>
      <x:c r="H57" s="11"/>
      <x:c r="I57" s="11" t="n">
        <x:f>'Cycles &amp; Guide'!$D$10</x:f>
        <x:v>46112</x:v>
      </x:c>
      <x:c r="J57" s="11"/>
      <x:c r="K57" s="29"/>
      <x:c r="L57" s="2" t="str">
        <x:f>IF(O57=1,"Complete",IF(A57,"Checklist open",IF(H57&lt;&gt;"","In progress","Not started")))</x:f>
        <x:v>Not started</x:v>
      </x:c>
      <x:c r="M57" s="2" t="str">
        <x:v>Task</x:v>
      </x:c>
      <x:c r="N57" s="2" t="str">
        <x:v>DI.BO.2.2.2026.CY1</x:v>
      </x:c>
      <x:c r="O57" s="2" t="n">
        <x:f>R57</x:f>
        <x:v>0</x:v>
      </x:c>
      <x:c r="P57" s="2"/>
      <x:c r="Q57" s="2" t="n">
        <x:v>1</x:v>
      </x:c>
      <x:c r="R57" s="2" t="n">
        <x:f>IF(A57,1,0)</x:f>
        <x:v>0</x:v>
      </x:c>
      <x:c r="S57" s="2" t="n">
        <x:f>SUBTOTAL(103,N57)</x:f>
        <x:v>1</x:v>
      </x:c>
    </x:row>
    <x:row r="58" ht="42" customHeight="1">
      <x:c r="A58" s="28" t="b">
        <x:v>0</x:v>
      </x:c>
      <x:c r="B58" s="2" t="str">
        <x:v>Cycle 1</x:v>
      </x:c>
      <x:c r="C58" s="2" t="str">
        <x:v>Phase 2</x:v>
      </x:c>
      <x:c r="D58" s="2" t="str">
        <x:v>CSBBO - Banking Ops</x:v>
      </x:c>
      <x:c r="E58" s="56" t="str">
        <x:v>DI.BO.2.3</x:v>
      </x:c>
      <x:c r="F58" s="14" t="str">
        <x:v>Participate in SME insight meetings to gain perspective and appetite on potential enhancements</x:v>
      </x:c>
      <x:c r="G58" s="5"/>
      <x:c r="H58" s="11"/>
      <x:c r="I58" s="11" t="n">
        <x:f>'Cycles &amp; Guide'!$D$10</x:f>
        <x:v>46112</x:v>
      </x:c>
      <x:c r="J58" s="11"/>
      <x:c r="K58" s="29"/>
      <x:c r="L58" s="2" t="str">
        <x:f>IF(O58=1,"Complete",IF(A58,"Checklist open",IF(H58&lt;&gt;"","In progress","Not started")))</x:f>
        <x:v>Not started</x:v>
      </x:c>
      <x:c r="M58" s="2" t="str">
        <x:v>Task</x:v>
      </x:c>
      <x:c r="N58" s="2" t="str">
        <x:v>DI.BO.2.3.2026.CY1</x:v>
      </x:c>
      <x:c r="O58" s="2" t="n">
        <x:f>R58</x:f>
        <x:v>0</x:v>
      </x:c>
      <x:c r="P58" s="2"/>
      <x:c r="Q58" s="2" t="n">
        <x:v>1</x:v>
      </x:c>
      <x:c r="R58" s="2" t="n">
        <x:f>IF(A58,1,0)</x:f>
        <x:v>0</x:v>
      </x:c>
      <x:c r="S58" s="2" t="n">
        <x:f>SUBTOTAL(103,N58)</x:f>
        <x:v>1</x:v>
      </x:c>
    </x:row>
    <x:row r="59" ht="42" customHeight="1">
      <x:c r="A59" s="28" t="b">
        <x:v>0</x:v>
      </x:c>
      <x:c r="B59" s="2" t="str">
        <x:v>Cycle 1</x:v>
      </x:c>
      <x:c r="C59" s="2" t="str">
        <x:v>Phase 2</x:v>
      </x:c>
      <x:c r="D59" s="2" t="str">
        <x:v>CSBBO - Banking Ops</x:v>
      </x:c>
      <x:c r="E59" s="56" t="str">
        <x:v>DI.BO.2.4</x:v>
      </x:c>
      <x:c r="F59" s="14" t="str">
        <x:v>Begin development of presentation materials as Research is being completed</x:v>
      </x:c>
      <x:c r="G59" s="5"/>
      <x:c r="H59" s="11"/>
      <x:c r="I59" s="11" t="n">
        <x:f>'Cycles &amp; Guide'!$D$10</x:f>
        <x:v>46112</x:v>
      </x:c>
      <x:c r="J59" s="11"/>
      <x:c r="K59" s="29"/>
      <x:c r="L59" s="2" t="str">
        <x:f>IF(O59=1,"Complete",IF(A59,"Checklist open",IF(H59&lt;&gt;"","In progress","Not started")))</x:f>
        <x:v>Not started</x:v>
      </x:c>
      <x:c r="M59" s="2" t="str">
        <x:v>Task</x:v>
      </x:c>
      <x:c r="N59" s="2" t="str">
        <x:v>DI.BO.2.4.2026.CY1</x:v>
      </x:c>
      <x:c r="O59" s="2" t="n">
        <x:f>R59</x:f>
        <x:v>0</x:v>
      </x:c>
      <x:c r="P59" s="2"/>
      <x:c r="Q59" s="2" t="n">
        <x:v>1</x:v>
      </x:c>
      <x:c r="R59" s="2" t="n">
        <x:f>IF(A59,1,0)</x:f>
        <x:v>0</x:v>
      </x:c>
      <x:c r="S59" s="2" t="n">
        <x:f>SUBTOTAL(103,N59)</x:f>
        <x:v>1</x:v>
      </x:c>
    </x:row>
    <x:row r="60" ht="42" customHeight="1">
      <x:c r="A60" s="28" t="b">
        <x:v>0</x:v>
      </x:c>
      <x:c r="B60" s="2" t="str">
        <x:v>Cycle 1</x:v>
      </x:c>
      <x:c r="C60" s="2" t="str">
        <x:v>Phase 2</x:v>
      </x:c>
      <x:c r="D60" s="2" t="str">
        <x:v>CSBBO - Banking Ops</x:v>
      </x:c>
      <x:c r="E60" s="56" t="str">
        <x:v>DI.BO.2.5</x:v>
      </x:c>
      <x:c r="F60" s="14" t="str">
        <x:v>Draft initial enhancement recommendations (as applicable)</x:v>
      </x:c>
      <x:c r="G60" s="5"/>
      <x:c r="H60" s="11"/>
      <x:c r="I60" s="11" t="n">
        <x:f>'Cycles &amp; Guide'!$D$10</x:f>
        <x:v>46112</x:v>
      </x:c>
      <x:c r="J60" s="11"/>
      <x:c r="K60" s="29"/>
      <x:c r="L60" s="2" t="str">
        <x:f>IF(O60=1,"Complete",IF(A60,"Checklist open",IF(H60&lt;&gt;"","In progress","Not started")))</x:f>
        <x:v>Not started</x:v>
      </x:c>
      <x:c r="M60" s="2" t="str">
        <x:v>Task</x:v>
      </x:c>
      <x:c r="N60" s="2" t="str">
        <x:v>DI.BO.2.5.2026.CY1</x:v>
      </x:c>
      <x:c r="O60" s="2" t="n">
        <x:f>R60</x:f>
        <x:v>0</x:v>
      </x:c>
      <x:c r="P60" s="2"/>
      <x:c r="Q60" s="2" t="n">
        <x:v>1</x:v>
      </x:c>
      <x:c r="R60" s="2" t="n">
        <x:f>IF(A60,1,0)</x:f>
        <x:v>0</x:v>
      </x:c>
      <x:c r="S60" s="2" t="n">
        <x:f>SUBTOTAL(103,N60)</x:f>
        <x:v>1</x:v>
      </x:c>
    </x:row>
    <x:row r="61" ht="42" customHeight="1">
      <x:c r="A61" s="28" t="b">
        <x:v>0</x:v>
      </x:c>
      <x:c r="B61" s="2" t="str">
        <x:v>Cycle 1</x:v>
      </x:c>
      <x:c r="C61" s="2" t="str">
        <x:v>Phase 2</x:v>
      </x:c>
      <x:c r="D61" s="2" t="str">
        <x:v>CSBBO - Banking Ops</x:v>
      </x:c>
      <x:c r="E61" s="56" t="str">
        <x:v>DI.BO.2.6</x:v>
      </x:c>
      <x:c r="F61" s="14" t="str">
        <x:v>Finalize presentation deck draft at conclusion of Research phase</x:v>
      </x:c>
      <x:c r="G61" s="5"/>
      <x:c r="H61" s="11"/>
      <x:c r="I61" s="11" t="n">
        <x:f>'Cycles &amp; Guide'!$D$10</x:f>
        <x:v>46112</x:v>
      </x:c>
      <x:c r="J61" s="11"/>
      <x:c r="K61" s="29"/>
      <x:c r="L61" s="2" t="str">
        <x:f>IF(O61=1,"Complete",IF(A61,"Checklist open",IF(H61&lt;&gt;"","In progress","Not started")))</x:f>
        <x:v>Not started</x:v>
      </x:c>
      <x:c r="M61" s="2" t="str">
        <x:v>Task</x:v>
      </x:c>
      <x:c r="N61" s="2" t="str">
        <x:v>DI.BO.2.6.2026.CY1</x:v>
      </x:c>
      <x:c r="O61" s="2" t="n">
        <x:f>R61</x:f>
        <x:v>0</x:v>
      </x:c>
      <x:c r="P61" s="2"/>
      <x:c r="Q61" s="2" t="n">
        <x:v>1</x:v>
      </x:c>
      <x:c r="R61" s="2" t="n">
        <x:f>IF(A61,1,0)</x:f>
        <x:v>0</x:v>
      </x:c>
      <x:c r="S61" s="2" t="n">
        <x:f>SUBTOTAL(103,N61)</x:f>
        <x:v>1</x:v>
      </x:c>
    </x:row>
    <x:row r="62" ht="42" customHeight="1">
      <x:c r="A62" s="28" t="b">
        <x:v>0</x:v>
      </x:c>
      <x:c r="B62" s="2" t="str">
        <x:v>Cycle 1</x:v>
      </x:c>
      <x:c r="C62" s="2" t="str">
        <x:v>Phase 2</x:v>
      </x:c>
      <x:c r="D62" s="2" t="str">
        <x:v>CSBBO - Banking Ops</x:v>
      </x:c>
      <x:c r="E62" s="56" t="str">
        <x:v>DI.BO.2.7</x:v>
      </x:c>
      <x:c r="F62" s="14" t="str">
        <x:v>Update Outcome portion of research plan with current enhancement verbiage (as needed)</x:v>
      </x:c>
      <x:c r="G62" s="5"/>
      <x:c r="H62" s="11"/>
      <x:c r="I62" s="11" t="n">
        <x:f>'Cycles &amp; Guide'!$D$10</x:f>
        <x:v>46112</x:v>
      </x:c>
      <x:c r="J62" s="11"/>
      <x:c r="K62" s="29"/>
      <x:c r="L62" s="2" t="str">
        <x:f>IF(O62=1,"Complete",IF(A62,"Checklist open",IF(H62&lt;&gt;"","In progress","Not started")))</x:f>
        <x:v>Not started</x:v>
      </x:c>
      <x:c r="M62" s="2" t="str">
        <x:v>Task</x:v>
      </x:c>
      <x:c r="N62" s="2" t="str">
        <x:v>DI.BO.2.7.2026.CY1</x:v>
      </x:c>
      <x:c r="O62" s="2" t="n">
        <x:f>R62</x:f>
        <x:v>0</x:v>
      </x:c>
      <x:c r="P62" s="2"/>
      <x:c r="Q62" s="2" t="n">
        <x:v>1</x:v>
      </x:c>
      <x:c r="R62" s="2" t="n">
        <x:f>IF(A62,1,0)</x:f>
        <x:v>0</x:v>
      </x:c>
      <x:c r="S62" s="2" t="n">
        <x:f>SUBTOTAL(103,N62)</x:f>
        <x:v>1</x:v>
      </x:c>
    </x:row>
    <x:row r="63" ht="42" customHeight="1">
      <x:c r="A63" s="28" t="b">
        <x:v>0</x:v>
      </x:c>
      <x:c r="B63" s="2" t="str">
        <x:v>Cycle 1</x:v>
      </x:c>
      <x:c r="C63" s="2" t="str">
        <x:v>Phase 3</x:v>
      </x:c>
      <x:c r="D63" s="2" t="str">
        <x:v>CSBBO - Banking Ops</x:v>
      </x:c>
      <x:c r="E63" s="56" t="str">
        <x:v>DI.BO.3.1</x:v>
      </x:c>
      <x:c r="F63" s="14" t="str">
        <x:v>Confirm list of required &amp; optional attendees for pre-socialization meeting</x:v>
      </x:c>
      <x:c r="G63" s="5"/>
      <x:c r="H63" s="11"/>
      <x:c r="I63" s="11" t="n">
        <x:f>'Cycles &amp; Guide'!$D$10</x:f>
        <x:v>46112</x:v>
      </x:c>
      <x:c r="J63" s="11"/>
      <x:c r="K63" s="29"/>
      <x:c r="L63" s="2" t="str">
        <x:f>IF(O63=1,"Complete",IF(A63,"Checklist open",IF(H63&lt;&gt;"","In progress","Not started")))</x:f>
        <x:v>Not started</x:v>
      </x:c>
      <x:c r="M63" s="2" t="str">
        <x:v>Task</x:v>
      </x:c>
      <x:c r="N63" s="2" t="str">
        <x:v>DI.BO.3.1.2026.CY1</x:v>
      </x:c>
      <x:c r="O63" s="2" t="n">
        <x:f>R63</x:f>
        <x:v>0</x:v>
      </x:c>
      <x:c r="P63" s="2"/>
      <x:c r="Q63" s="2" t="n">
        <x:v>1</x:v>
      </x:c>
      <x:c r="R63" s="2" t="n">
        <x:f>IF(A63,1,0)</x:f>
        <x:v>0</x:v>
      </x:c>
      <x:c r="S63" s="2" t="n">
        <x:f>SUBTOTAL(103,N63)</x:f>
        <x:v>1</x:v>
      </x:c>
    </x:row>
    <x:row r="64" ht="42" customHeight="1">
      <x:c r="A64" s="28" t="b">
        <x:v>0</x:v>
      </x:c>
      <x:c r="B64" s="2" t="str">
        <x:v>Cycle 1</x:v>
      </x:c>
      <x:c r="C64" s="2" t="str">
        <x:v>Phase 3</x:v>
      </x:c>
      <x:c r="D64" s="2" t="str">
        <x:v>CSBBO - Banking Ops</x:v>
      </x:c>
      <x:c r="E64" s="56" t="str">
        <x:v>DI.BO.3.2</x:v>
      </x:c>
      <x:c r="F64" s="14" t="str">
        <x:v>Schedule pre-socialization meeting 1 week prior to RCA Forum</x:v>
      </x:c>
      <x:c r="G64" s="5"/>
      <x:c r="H64" s="11"/>
      <x:c r="I64" s="11" t="str">
        <x:f>IF(SUMIFS('Cycles &amp; Guide'!$D$23:$D$50,'Cycles &amp; Guide'!$B$23:$B$50,B64,'Cycles &amp; Guide'!$C$23:$C$50,D64)=0,"",SUMIFS('Cycles &amp; Guide'!$D$23:$D$50,'Cycles &amp; Guide'!$B$23:$B$50,B64,'Cycles &amp; Guide'!$C$23:$C$50,D64)-7)</x:f>
      </x:c>
      <x:c r="J64" s="11"/>
      <x:c r="K64" s="29"/>
      <x:c r="L64" s="2" t="str">
        <x:f>IF(O64=1,"Complete",IF(A64,"Checklist open",IF(H64&lt;&gt;"","In progress","Not started")))</x:f>
        <x:v>Not started</x:v>
      </x:c>
      <x:c r="M64" s="2" t="str">
        <x:v>Task</x:v>
      </x:c>
      <x:c r="N64" s="2" t="str">
        <x:v>DI.BO.3.2.2026.CY1</x:v>
      </x:c>
      <x:c r="O64" s="2" t="n">
        <x:f>R64</x:f>
        <x:v>0</x:v>
      </x:c>
      <x:c r="P64" s="2"/>
      <x:c r="Q64" s="2" t="n">
        <x:v>1</x:v>
      </x:c>
      <x:c r="R64" s="2" t="n">
        <x:f>IF(A64,1,0)</x:f>
        <x:v>0</x:v>
      </x:c>
      <x:c r="S64" s="2" t="n">
        <x:f>SUBTOTAL(103,N64)</x:f>
        <x:v>1</x:v>
      </x:c>
    </x:row>
    <x:row r="65" ht="42" customHeight="1">
      <x:c r="A65" s="28" t="b">
        <x:v>0</x:v>
      </x:c>
      <x:c r="B65" s="2" t="str">
        <x:v>Cycle 1</x:v>
      </x:c>
      <x:c r="C65" s="2" t="str">
        <x:v>Phase 3</x:v>
      </x:c>
      <x:c r="D65" s="2" t="str">
        <x:v>CSBBO - Banking Ops</x:v>
      </x:c>
      <x:c r="E65" s="56" t="str">
        <x:v>DI.BO.3.3</x:v>
      </x:c>
      <x:c r="F65" s="14" t="str">
        <x:v>Present findings, conclusions, and recommendation to SMEs</x:v>
      </x:c>
      <x:c r="G65" s="5"/>
      <x:c r="H65" s="11"/>
      <x:c r="I65" s="11" t="n">
        <x:f>'Cycles &amp; Guide'!$D$10</x:f>
        <x:v>46112</x:v>
      </x:c>
      <x:c r="J65" s="11"/>
      <x:c r="K65" s="29"/>
      <x:c r="L65" s="2" t="str">
        <x:f>IF(O65=1,"Complete",IF(A65,"Checklist open",IF(H65&lt;&gt;"","In progress","Not started")))</x:f>
        <x:v>Not started</x:v>
      </x:c>
      <x:c r="M65" s="2" t="str">
        <x:v>Task</x:v>
      </x:c>
      <x:c r="N65" s="2" t="str">
        <x:v>DI.BO.3.3.2026.CY1</x:v>
      </x:c>
      <x:c r="O65" s="2" t="n">
        <x:f>R65</x:f>
        <x:v>0</x:v>
      </x:c>
      <x:c r="P65" s="2"/>
      <x:c r="Q65" s="2" t="n">
        <x:v>1</x:v>
      </x:c>
      <x:c r="R65" s="2" t="n">
        <x:f>IF(A65,1,0)</x:f>
        <x:v>0</x:v>
      </x:c>
      <x:c r="S65" s="2" t="n">
        <x:f>SUBTOTAL(103,N65)</x:f>
        <x:v>1</x:v>
      </x:c>
    </x:row>
    <x:row r="66" ht="42" customHeight="1">
      <x:c r="A66" s="28" t="b">
        <x:v>0</x:v>
      </x:c>
      <x:c r="B66" s="2" t="str">
        <x:v>Cycle 1</x:v>
      </x:c>
      <x:c r="C66" s="2" t="str">
        <x:v>Phase 3</x:v>
      </x:c>
      <x:c r="D66" s="2" t="str">
        <x:v>CSBBO - Banking Ops</x:v>
      </x:c>
      <x:c r="E66" s="56" t="str">
        <x:v>DI.BO.3.4</x:v>
      </x:c>
      <x:c r="F66" s="14" t="str">
        <x:v>Update Outcome portion of research plan (as needed)</x:v>
      </x:c>
      <x:c r="G66" s="5"/>
      <x:c r="H66" s="11"/>
      <x:c r="I66" s="11" t="n">
        <x:f>'Cycles &amp; Guide'!$D$10</x:f>
        <x:v>46112</x:v>
      </x:c>
      <x:c r="J66" s="11"/>
      <x:c r="K66" s="29"/>
      <x:c r="L66" s="2" t="str">
        <x:f>IF(O66=1,"Complete",IF(A66,"Checklist open",IF(H66&lt;&gt;"","In progress","Not started")))</x:f>
        <x:v>Not started</x:v>
      </x:c>
      <x:c r="M66" s="2" t="str">
        <x:v>Task</x:v>
      </x:c>
      <x:c r="N66" s="2" t="str">
        <x:v>DI.BO.3.4.2026.CY1</x:v>
      </x:c>
      <x:c r="O66" s="2" t="n">
        <x:f>R66</x:f>
        <x:v>0</x:v>
      </x:c>
      <x:c r="P66" s="2"/>
      <x:c r="Q66" s="2" t="n">
        <x:v>1</x:v>
      </x:c>
      <x:c r="R66" s="2" t="n">
        <x:f>IF(A66,1,0)</x:f>
        <x:v>0</x:v>
      </x:c>
      <x:c r="S66" s="2" t="n">
        <x:f>SUBTOTAL(103,N66)</x:f>
        <x:v>1</x:v>
      </x:c>
    </x:row>
    <x:row r="67" ht="42" customHeight="1">
      <x:c r="A67" s="28" t="b">
        <x:v>0</x:v>
      </x:c>
      <x:c r="B67" s="2" t="str">
        <x:v>Cycle 1</x:v>
      </x:c>
      <x:c r="C67" s="2" t="str">
        <x:v>Phase 3</x:v>
      </x:c>
      <x:c r="D67" s="2" t="str">
        <x:v>CSBBO - Banking Ops</x:v>
      </x:c>
      <x:c r="E67" s="56" t="str">
        <x:v>DI.BO.3.5</x:v>
      </x:c>
      <x:c r="F67" s="14" t="str">
        <x:v>Finalize presentation deck by incorporating pre-socialization feedback (as needed)</x:v>
      </x:c>
      <x:c r="G67" s="5"/>
      <x:c r="H67" s="11"/>
      <x:c r="I67" s="11" t="n">
        <x:f>'Cycles &amp; Guide'!$D$10</x:f>
        <x:v>46112</x:v>
      </x:c>
      <x:c r="J67" s="11"/>
      <x:c r="K67" s="29"/>
      <x:c r="L67" s="2" t="str">
        <x:f>IF(O67=1,"Complete",IF(A67,"Checklist open",IF(H67&lt;&gt;"","In progress","Not started")))</x:f>
        <x:v>Not started</x:v>
      </x:c>
      <x:c r="M67" s="2" t="str">
        <x:v>Task</x:v>
      </x:c>
      <x:c r="N67" s="2" t="str">
        <x:v>DI.BO.3.5.2026.CY1</x:v>
      </x:c>
      <x:c r="O67" s="2" t="n">
        <x:f>R67</x:f>
        <x:v>0</x:v>
      </x:c>
      <x:c r="P67" s="2"/>
      <x:c r="Q67" s="2" t="n">
        <x:v>1</x:v>
      </x:c>
      <x:c r="R67" s="2" t="n">
        <x:f>IF(A67,1,0)</x:f>
        <x:v>0</x:v>
      </x:c>
      <x:c r="S67" s="2" t="n">
        <x:f>SUBTOTAL(103,N67)</x:f>
        <x:v>1</x:v>
      </x:c>
    </x:row>
    <x:row r="68" ht="42" customHeight="1">
      <x:c r="A68" s="28" t="b">
        <x:v>0</x:v>
      </x:c>
      <x:c r="B68" s="2" t="str">
        <x:v>Cycle 1</x:v>
      </x:c>
      <x:c r="C68" s="2" t="str">
        <x:v>Phase 3</x:v>
      </x:c>
      <x:c r="D68" s="2" t="str">
        <x:v>CSBBO - Banking Ops</x:v>
      </x:c>
      <x:c r="E68" s="56" t="str">
        <x:v>DI.BO.3.6</x:v>
      </x:c>
      <x:c r="F68" s="14" t="str">
        <x:v>Ensure final deck is communicated to Forum attendees</x:v>
      </x:c>
      <x:c r="G68" s="5"/>
      <x:c r="H68" s="11"/>
      <x:c r="I68" s="11" t="n">
        <x:f>'Cycles &amp; Guide'!$D$10</x:f>
        <x:v>46112</x:v>
      </x:c>
      <x:c r="J68" s="11"/>
      <x:c r="K68" s="29"/>
      <x:c r="L68" s="2" t="str">
        <x:f>IF(O68=1,"Complete",IF(A68,"Checklist open",IF(H68&lt;&gt;"","In progress","Not started")))</x:f>
        <x:v>Not started</x:v>
      </x:c>
      <x:c r="M68" s="2" t="str">
        <x:v>Task</x:v>
      </x:c>
      <x:c r="N68" s="2" t="str">
        <x:v>DI.BO.3.6.2026.CY1</x:v>
      </x:c>
      <x:c r="O68" s="2" t="n">
        <x:f>R68</x:f>
        <x:v>0</x:v>
      </x:c>
      <x:c r="P68" s="2"/>
      <x:c r="Q68" s="2" t="n">
        <x:v>1</x:v>
      </x:c>
      <x:c r="R68" s="2" t="n">
        <x:f>IF(A68,1,0)</x:f>
        <x:v>0</x:v>
      </x:c>
      <x:c r="S68" s="2" t="n">
        <x:f>SUBTOTAL(103,N68)</x:f>
        <x:v>1</x:v>
      </x:c>
    </x:row>
    <x:row r="69" ht="42" customHeight="1">
      <x:c r="A69" s="28" t="b">
        <x:v>0</x:v>
      </x:c>
      <x:c r="B69" s="2" t="str">
        <x:v>Cycle 1</x:v>
      </x:c>
      <x:c r="C69" s="2" t="str">
        <x:v>Phase 3</x:v>
      </x:c>
      <x:c r="D69" s="2" t="str">
        <x:v>CSBBO - Banking Ops</x:v>
      </x:c>
      <x:c r="E69" s="56" t="str">
        <x:v>DI.BO.3.7</x:v>
      </x:c>
      <x:c r="F69" s="14" t="str">
        <x:v>Present material in RCA Cycle Forum</x:v>
      </x:c>
      <x:c r="G69" s="5"/>
      <x:c r="H69" s="11"/>
      <x:c r="I69" s="11" t="str">
        <x:f>IF(SUMIFS('Cycles &amp; Guide'!$D$23:$D$50,'Cycles &amp; Guide'!$B$23:$B$50,B69,'Cycles &amp; Guide'!$C$23:$C$50,D69)=0,"",SUMIFS('Cycles &amp; Guide'!$D$23:$D$50,'Cycles &amp; Guide'!$B$23:$B$50,B69,'Cycles &amp; Guide'!$C$23:$C$50,D69))</x:f>
      </x:c>
      <x:c r="J69" s="11"/>
      <x:c r="K69" s="29"/>
      <x:c r="L69" s="2" t="str">
        <x:f>IF(O69=1,"Complete",IF(A69,"Checklist open",IF(H69&lt;&gt;"","In progress","Not started")))</x:f>
        <x:v>Not started</x:v>
      </x:c>
      <x:c r="M69" s="2" t="str">
        <x:v>Task</x:v>
      </x:c>
      <x:c r="N69" s="2" t="str">
        <x:v>DI.BO.3.7.2026.CY1</x:v>
      </x:c>
      <x:c r="O69" s="2" t="n">
        <x:f>R69</x:f>
        <x:v>0</x:v>
      </x:c>
      <x:c r="P69" s="2"/>
      <x:c r="Q69" s="2" t="n">
        <x:v>1</x:v>
      </x:c>
      <x:c r="R69" s="2" t="n">
        <x:f>IF(A69,1,0)</x:f>
        <x:v>0</x:v>
      </x:c>
      <x:c r="S69" s="2" t="n">
        <x:f>SUBTOTAL(103,N69)</x:f>
        <x:v>1</x:v>
      </x:c>
    </x:row>
    <x:row r="70" ht="42" customHeight="1">
      <x:c r="A70" s="28" t="b">
        <x:v>0</x:v>
      </x:c>
      <x:c r="B70" s="2" t="str">
        <x:v>Cycle 1</x:v>
      </x:c>
      <x:c r="C70" s="2" t="str">
        <x:v>Phase 1</x:v>
      </x:c>
      <x:c r="D70" s="2" t="str">
        <x:v>CSBBO - Customer Service</x:v>
      </x:c>
      <x:c r="E70" s="56" t="str">
        <x:v>DI.CS.1.1</x:v>
      </x:c>
      <x:c r="F70" s="14" t="str">
        <x:v>Receive and review potential research topics at least 2 weeks prior to Cycle start date</x:v>
      </x:c>
      <x:c r="G70" s="5"/>
      <x:c r="H70" s="11"/>
      <x:c r="I70" s="11" t="n">
        <x:f>'Cycles &amp; Guide'!$C$10-14</x:f>
        <x:v>46009</x:v>
      </x:c>
      <x:c r="J70" s="11"/>
      <x:c r="K70" s="29"/>
      <x:c r="L70" s="2" t="str">
        <x:f>IF(O70=1,"Complete",IF(A70,"Checklist open",IF(H70&lt;&gt;"","In progress","Not started")))</x:f>
        <x:v>Not started</x:v>
      </x:c>
      <x:c r="M70" s="2" t="str">
        <x:v>Task</x:v>
      </x:c>
      <x:c r="N70" s="2" t="str">
        <x:v>DI.CS.1.1.2026.CY1</x:v>
      </x:c>
      <x:c r="O70" s="2" t="n">
        <x:f>R70</x:f>
        <x:v>0</x:v>
      </x:c>
      <x:c r="P70" s="2"/>
      <x:c r="Q70" s="2" t="n">
        <x:v>1</x:v>
      </x:c>
      <x:c r="R70" s="2" t="n">
        <x:f>IF(A70,1,0)</x:f>
        <x:v>0</x:v>
      </x:c>
      <x:c r="S70" s="2" t="n">
        <x:f>SUBTOTAL(103,N70)</x:f>
        <x:v>1</x:v>
      </x:c>
    </x:row>
    <x:row r="71" ht="42" customHeight="1">
      <x:c r="A71" s="28" t="b">
        <x:v>0</x:v>
      </x:c>
      <x:c r="B71" s="2" t="str">
        <x:v>Cycle 1</x:v>
      </x:c>
      <x:c r="C71" s="2" t="str">
        <x:v>Phase 1</x:v>
      </x:c>
      <x:c r="D71" s="2" t="str">
        <x:v>CSBBO - Customer Service</x:v>
      </x:c>
      <x:c r="E71" s="56" t="str">
        <x:v>DI.CS.1.2</x:v>
      </x:c>
      <x:c r="F71" s="14" t="str">
        <x:v>Communicate any feedback on preferences or concerns with topics identified</x:v>
      </x:c>
      <x:c r="G71" s="5"/>
      <x:c r="H71" s="11"/>
      <x:c r="I71" s="11" t="n">
        <x:f>'Cycles &amp; Guide'!$D$10</x:f>
        <x:v>46112</x:v>
      </x:c>
      <x:c r="J71" s="11"/>
      <x:c r="K71" s="29"/>
      <x:c r="L71" s="2" t="str">
        <x:f>IF(O71=1,"Complete",IF(A71,"Checklist open",IF(H71&lt;&gt;"","In progress","Not started")))</x:f>
        <x:v>Not started</x:v>
      </x:c>
      <x:c r="M71" s="2" t="str">
        <x:v>Task</x:v>
      </x:c>
      <x:c r="N71" s="2" t="str">
        <x:v>DI.CS.1.2.2026.CY1</x:v>
      </x:c>
      <x:c r="O71" s="2" t="n">
        <x:f>R71</x:f>
        <x:v>0</x:v>
      </x:c>
      <x:c r="P71" s="2"/>
      <x:c r="Q71" s="2" t="n">
        <x:v>1</x:v>
      </x:c>
      <x:c r="R71" s="2" t="n">
        <x:f>IF(A71,1,0)</x:f>
        <x:v>0</x:v>
      </x:c>
      <x:c r="S71" s="2" t="n">
        <x:f>SUBTOTAL(103,N71)</x:f>
        <x:v>1</x:v>
      </x:c>
    </x:row>
    <x:row r="72" ht="42" customHeight="1">
      <x:c r="A72" s="28" t="b">
        <x:v>0</x:v>
      </x:c>
      <x:c r="B72" s="2" t="str">
        <x:v>Cycle 1</x:v>
      </x:c>
      <x:c r="C72" s="2" t="str">
        <x:v>Phase 1</x:v>
      </x:c>
      <x:c r="D72" s="2" t="str">
        <x:v>CSBBO - Customer Service</x:v>
      </x:c>
      <x:c r="E72" s="56" t="str">
        <x:v>DI.CS.1.3</x:v>
      </x:c>
      <x:c r="F72" s="14" t="str">
        <x:v>Conduct high-level preliminary review of complaints within proposed topics</x:v>
      </x:c>
      <x:c r="G72" s="5"/>
      <x:c r="H72" s="11"/>
      <x:c r="I72" s="11" t="n">
        <x:f>'Cycles &amp; Guide'!$D$10</x:f>
        <x:v>46112</x:v>
      </x:c>
      <x:c r="J72" s="11"/>
      <x:c r="K72" s="29"/>
      <x:c r="L72" s="2" t="str">
        <x:f>IF(O72=1,"Complete",IF(A72,"Checklist open",IF(H72&lt;&gt;"","In progress","Not started")))</x:f>
        <x:v>Not started</x:v>
      </x:c>
      <x:c r="M72" s="2" t="str">
        <x:v>Task</x:v>
      </x:c>
      <x:c r="N72" s="2" t="str">
        <x:v>DI.CS.1.3.2026.CY1</x:v>
      </x:c>
      <x:c r="O72" s="2" t="n">
        <x:f>R72</x:f>
        <x:v>0</x:v>
      </x:c>
      <x:c r="P72" s="2"/>
      <x:c r="Q72" s="2" t="n">
        <x:v>1</x:v>
      </x:c>
      <x:c r="R72" s="2" t="n">
        <x:f>IF(A72,1,0)</x:f>
        <x:v>0</x:v>
      </x:c>
      <x:c r="S72" s="2" t="n">
        <x:f>SUBTOTAL(103,N72)</x:f>
        <x:v>1</x:v>
      </x:c>
    </x:row>
    <x:row r="73" ht="42" customHeight="1">
      <x:c r="A73" s="28" t="b">
        <x:v>0</x:v>
      </x:c>
      <x:c r="B73" s="2" t="str">
        <x:v>Cycle 1</x:v>
      </x:c>
      <x:c r="C73" s="2" t="str">
        <x:v>Phase 1</x:v>
      </x:c>
      <x:c r="D73" s="2" t="str">
        <x:v>CSBBO - Customer Service</x:v>
      </x:c>
      <x:c r="E73" s="56" t="str">
        <x:v>DI.CS.1.4</x:v>
      </x:c>
      <x:c r="F73" s="14" t="str">
        <x:v>Meet with Research to discuss which topic to select based on potential impact</x:v>
      </x:c>
      <x:c r="G73" s="5"/>
      <x:c r="H73" s="11"/>
      <x:c r="I73" s="11" t="n">
        <x:f>'Cycles &amp; Guide'!$D$10</x:f>
        <x:v>46112</x:v>
      </x:c>
      <x:c r="J73" s="11"/>
      <x:c r="K73" s="29"/>
      <x:c r="L73" s="2" t="str">
        <x:f>IF(O73=1,"Complete",IF(A73,"Checklist open",IF(H73&lt;&gt;"","In progress","Not started")))</x:f>
        <x:v>Not started</x:v>
      </x:c>
      <x:c r="M73" s="2" t="str">
        <x:v>Task</x:v>
      </x:c>
      <x:c r="N73" s="2" t="str">
        <x:v>DI.CS.1.4.2026.CY1</x:v>
      </x:c>
      <x:c r="O73" s="2" t="n">
        <x:f>R73</x:f>
        <x:v>0</x:v>
      </x:c>
      <x:c r="P73" s="2"/>
      <x:c r="Q73" s="2" t="n">
        <x:v>1</x:v>
      </x:c>
      <x:c r="R73" s="2" t="n">
        <x:f>IF(A73,1,0)</x:f>
        <x:v>0</x:v>
      </x:c>
      <x:c r="S73" s="2" t="n">
        <x:f>SUBTOTAL(103,N73)</x:f>
        <x:v>1</x:v>
      </x:c>
    </x:row>
    <x:row r="74" ht="42" customHeight="1">
      <x:c r="A74" s="28" t="b">
        <x:v>0</x:v>
      </x:c>
      <x:c r="B74" s="2" t="str">
        <x:v>Cycle 1</x:v>
      </x:c>
      <x:c r="C74" s="2" t="str">
        <x:v>Phase 1</x:v>
      </x:c>
      <x:c r="D74" s="2" t="str">
        <x:v>CSBBO - Customer Service</x:v>
      </x:c>
      <x:c r="E74" s="56" t="str">
        <x:v>DI.CS.1.5</x:v>
      </x:c>
      <x:c r="F74" s="14" t="str">
        <x:v>Confirm with Research the recommended topic for approval</x:v>
      </x:c>
      <x:c r="G74" s="5"/>
      <x:c r="H74" s="11"/>
      <x:c r="I74" s="11" t="n">
        <x:f>'Cycles &amp; Guide'!$D$10</x:f>
        <x:v>46112</x:v>
      </x:c>
      <x:c r="J74" s="11"/>
      <x:c r="K74" s="29"/>
      <x:c r="L74" s="2" t="str">
        <x:f>IF(O74=1,"Complete",IF(A74,"Checklist open",IF(H74&lt;&gt;"","In progress","Not started")))</x:f>
        <x:v>Not started</x:v>
      </x:c>
      <x:c r="M74" s="2" t="str">
        <x:v>Task</x:v>
      </x:c>
      <x:c r="N74" s="2" t="str">
        <x:v>DI.CS.1.5.2026.CY1</x:v>
      </x:c>
      <x:c r="O74" s="2" t="n">
        <x:f>R74</x:f>
        <x:v>0</x:v>
      </x:c>
      <x:c r="P74" s="2"/>
      <x:c r="Q74" s="2" t="n">
        <x:v>1</x:v>
      </x:c>
      <x:c r="R74" s="2" t="n">
        <x:f>IF(A74,1,0)</x:f>
        <x:v>0</x:v>
      </x:c>
      <x:c r="S74" s="2" t="n">
        <x:f>SUBTOTAL(103,N74)</x:f>
        <x:v>1</x:v>
      </x:c>
    </x:row>
    <x:row r="75" ht="42" customHeight="1">
      <x:c r="A75" s="28" t="b">
        <x:v>0</x:v>
      </x:c>
      <x:c r="B75" s="2" t="str">
        <x:v>Cycle 1</x:v>
      </x:c>
      <x:c r="C75" s="2" t="str">
        <x:v>Phase 1</x:v>
      </x:c>
      <x:c r="D75" s="2" t="str">
        <x:v>CSBBO - Customer Service</x:v>
      </x:c>
      <x:c r="E75" s="56" t="str">
        <x:v>DI.CS.1.6</x:v>
      </x:c>
      <x:c r="F75" s="14" t="str">
        <x:v>Send topic selection socialization email to all key stakeholders on the first day of the review Cycle</x:v>
      </x:c>
      <x:c r="G75" s="5"/>
      <x:c r="H75" s="11"/>
      <x:c r="I75" s="11" t="n">
        <x:f>'Cycles &amp; Guide'!$C$10</x:f>
        <x:v>46023</x:v>
      </x:c>
      <x:c r="J75" s="11"/>
      <x:c r="K75" s="29"/>
      <x:c r="L75" s="2" t="str">
        <x:f>IF(O75=1,"Complete",IF(A75,"Checklist open",IF(H75&lt;&gt;"","In progress","Not started")))</x:f>
        <x:v>Not started</x:v>
      </x:c>
      <x:c r="M75" s="2" t="str">
        <x:v>Task</x:v>
      </x:c>
      <x:c r="N75" s="2" t="str">
        <x:v>DI.CS.1.6.2026.CY1</x:v>
      </x:c>
      <x:c r="O75" s="2" t="n">
        <x:f>R75</x:f>
        <x:v>0</x:v>
      </x:c>
      <x:c r="P75" s="2"/>
      <x:c r="Q75" s="2" t="n">
        <x:v>1</x:v>
      </x:c>
      <x:c r="R75" s="2" t="n">
        <x:f>IF(A75,1,0)</x:f>
        <x:v>0</x:v>
      </x:c>
      <x:c r="S75" s="2" t="n">
        <x:f>SUBTOTAL(103,N75)</x:f>
        <x:v>1</x:v>
      </x:c>
    </x:row>
    <x:row r="76" ht="42" customHeight="1">
      <x:c r="A76" s="28" t="b">
        <x:v>0</x:v>
      </x:c>
      <x:c r="B76" s="2" t="str">
        <x:v>Cycle 1</x:v>
      </x:c>
      <x:c r="C76" s="2" t="str">
        <x:v>Phase 2</x:v>
      </x:c>
      <x:c r="D76" s="2" t="str">
        <x:v>CSBBO - Customer Service</x:v>
      </x:c>
      <x:c r="E76" s="56" t="str">
        <x:v>DI.CS.2.1</x:v>
      </x:c>
      <x:c r="F76" s="14" t="str">
        <x:v>Meet regularly with Research to stay informed on progress, findings, and potential enhancement</x:v>
      </x:c>
      <x:c r="G76" s="5"/>
      <x:c r="H76" s="11"/>
      <x:c r="I76" s="11" t="n">
        <x:f>'Cycles &amp; Guide'!$D$10</x:f>
        <x:v>46112</x:v>
      </x:c>
      <x:c r="J76" s="11"/>
      <x:c r="K76" s="29"/>
      <x:c r="L76" s="2" t="str">
        <x:f>IF(O76=1,"Complete",IF(A76,"Checklist open",IF(H76&lt;&gt;"","In progress","Not started")))</x:f>
        <x:v>Not started</x:v>
      </x:c>
      <x:c r="M76" s="2" t="str">
        <x:v>Task</x:v>
      </x:c>
      <x:c r="N76" s="2" t="str">
        <x:v>DI.CS.2.1.2026.CY1</x:v>
      </x:c>
      <x:c r="O76" s="2" t="n">
        <x:f>R76</x:f>
        <x:v>0</x:v>
      </x:c>
      <x:c r="P76" s="2"/>
      <x:c r="Q76" s="2" t="n">
        <x:v>1</x:v>
      </x:c>
      <x:c r="R76" s="2" t="n">
        <x:f>IF(A76,1,0)</x:f>
        <x:v>0</x:v>
      </x:c>
      <x:c r="S76" s="2" t="n">
        <x:f>SUBTOTAL(103,N76)</x:f>
        <x:v>1</x:v>
      </x:c>
    </x:row>
    <x:row r="77" ht="42" customHeight="1">
      <x:c r="A77" s="28" t="b">
        <x:v>0</x:v>
      </x:c>
      <x:c r="B77" s="2" t="str">
        <x:v>Cycle 1</x:v>
      </x:c>
      <x:c r="C77" s="2" t="str">
        <x:v>Phase 2</x:v>
      </x:c>
      <x:c r="D77" s="2" t="str">
        <x:v>CSBBO - Customer Service</x:v>
      </x:c>
      <x:c r="E77" s="56" t="str">
        <x:v>DI.CS.2.2</x:v>
      </x:c>
      <x:c r="F77" s="14" t="str">
        <x:v>Collaborate with Research on research plan specifics</x:v>
      </x:c>
      <x:c r="G77" s="5"/>
      <x:c r="H77" s="11"/>
      <x:c r="I77" s="11" t="n">
        <x:f>'Cycles &amp; Guide'!$D$10</x:f>
        <x:v>46112</x:v>
      </x:c>
      <x:c r="J77" s="11"/>
      <x:c r="K77" s="29"/>
      <x:c r="L77" s="2" t="str">
        <x:f>IF(O77=1,"Complete",IF(A77,"Checklist open",IF(H77&lt;&gt;"","In progress","Not started")))</x:f>
        <x:v>Not started</x:v>
      </x:c>
      <x:c r="M77" s="2" t="str">
        <x:v>Task</x:v>
      </x:c>
      <x:c r="N77" s="2" t="str">
        <x:v>DI.CS.2.2.2026.CY1</x:v>
      </x:c>
      <x:c r="O77" s="2" t="n">
        <x:f>R77</x:f>
        <x:v>0</x:v>
      </x:c>
      <x:c r="P77" s="2"/>
      <x:c r="Q77" s="2" t="n">
        <x:v>1</x:v>
      </x:c>
      <x:c r="R77" s="2" t="n">
        <x:f>IF(A77,1,0)</x:f>
        <x:v>0</x:v>
      </x:c>
      <x:c r="S77" s="2" t="n">
        <x:f>SUBTOTAL(103,N77)</x:f>
        <x:v>1</x:v>
      </x:c>
    </x:row>
    <x:row r="78" ht="42" customHeight="1">
      <x:c r="A78" s="28" t="b">
        <x:v>0</x:v>
      </x:c>
      <x:c r="B78" s="2" t="str">
        <x:v>Cycle 1</x:v>
      </x:c>
      <x:c r="C78" s="2" t="str">
        <x:v>Phase 2</x:v>
      </x:c>
      <x:c r="D78" s="2" t="str">
        <x:v>CSBBO - Customer Service</x:v>
      </x:c>
      <x:c r="E78" s="56" t="str">
        <x:v>DI.CS.2.3</x:v>
      </x:c>
      <x:c r="F78" s="14" t="str">
        <x:v>Participate in SME insight meetings to gain perspective and appetite on potential enhancements</x:v>
      </x:c>
      <x:c r="G78" s="5"/>
      <x:c r="H78" s="11"/>
      <x:c r="I78" s="11" t="n">
        <x:f>'Cycles &amp; Guide'!$D$10</x:f>
        <x:v>46112</x:v>
      </x:c>
      <x:c r="J78" s="11"/>
      <x:c r="K78" s="29"/>
      <x:c r="L78" s="2" t="str">
        <x:f>IF(O78=1,"Complete",IF(A78,"Checklist open",IF(H78&lt;&gt;"","In progress","Not started")))</x:f>
        <x:v>Not started</x:v>
      </x:c>
      <x:c r="M78" s="2" t="str">
        <x:v>Task</x:v>
      </x:c>
      <x:c r="N78" s="2" t="str">
        <x:v>DI.CS.2.3.2026.CY1</x:v>
      </x:c>
      <x:c r="O78" s="2" t="n">
        <x:f>R78</x:f>
        <x:v>0</x:v>
      </x:c>
      <x:c r="P78" s="2"/>
      <x:c r="Q78" s="2" t="n">
        <x:v>1</x:v>
      </x:c>
      <x:c r="R78" s="2" t="n">
        <x:f>IF(A78,1,0)</x:f>
        <x:v>0</x:v>
      </x:c>
      <x:c r="S78" s="2" t="n">
        <x:f>SUBTOTAL(103,N78)</x:f>
        <x:v>1</x:v>
      </x:c>
    </x:row>
    <x:row r="79" ht="42" customHeight="1">
      <x:c r="A79" s="28" t="b">
        <x:v>0</x:v>
      </x:c>
      <x:c r="B79" s="2" t="str">
        <x:v>Cycle 1</x:v>
      </x:c>
      <x:c r="C79" s="2" t="str">
        <x:v>Phase 2</x:v>
      </x:c>
      <x:c r="D79" s="2" t="str">
        <x:v>CSBBO - Customer Service</x:v>
      </x:c>
      <x:c r="E79" s="56" t="str">
        <x:v>DI.CS.2.4</x:v>
      </x:c>
      <x:c r="F79" s="14" t="str">
        <x:v>Begin development of presentation materials as Research is being completed</x:v>
      </x:c>
      <x:c r="G79" s="5"/>
      <x:c r="H79" s="11"/>
      <x:c r="I79" s="11" t="n">
        <x:f>'Cycles &amp; Guide'!$D$10</x:f>
        <x:v>46112</x:v>
      </x:c>
      <x:c r="J79" s="11"/>
      <x:c r="K79" s="29"/>
      <x:c r="L79" s="2" t="str">
        <x:f>IF(O79=1,"Complete",IF(A79,"Checklist open",IF(H79&lt;&gt;"","In progress","Not started")))</x:f>
        <x:v>Not started</x:v>
      </x:c>
      <x:c r="M79" s="2" t="str">
        <x:v>Task</x:v>
      </x:c>
      <x:c r="N79" s="2" t="str">
        <x:v>DI.CS.2.4.2026.CY1</x:v>
      </x:c>
      <x:c r="O79" s="2" t="n">
        <x:f>R79</x:f>
        <x:v>0</x:v>
      </x:c>
      <x:c r="P79" s="2"/>
      <x:c r="Q79" s="2" t="n">
        <x:v>1</x:v>
      </x:c>
      <x:c r="R79" s="2" t="n">
        <x:f>IF(A79,1,0)</x:f>
        <x:v>0</x:v>
      </x:c>
      <x:c r="S79" s="2" t="n">
        <x:f>SUBTOTAL(103,N79)</x:f>
        <x:v>1</x:v>
      </x:c>
    </x:row>
    <x:row r="80" ht="42" customHeight="1">
      <x:c r="A80" s="28" t="b">
        <x:v>0</x:v>
      </x:c>
      <x:c r="B80" s="2" t="str">
        <x:v>Cycle 1</x:v>
      </x:c>
      <x:c r="C80" s="2" t="str">
        <x:v>Phase 2</x:v>
      </x:c>
      <x:c r="D80" s="2" t="str">
        <x:v>CSBBO - Customer Service</x:v>
      </x:c>
      <x:c r="E80" s="56" t="str">
        <x:v>DI.CS.2.5</x:v>
      </x:c>
      <x:c r="F80" s="14" t="str">
        <x:v>Draft initial enhancement recommendations (as applicable)</x:v>
      </x:c>
      <x:c r="G80" s="5"/>
      <x:c r="H80" s="11"/>
      <x:c r="I80" s="11" t="n">
        <x:f>'Cycles &amp; Guide'!$D$10</x:f>
        <x:v>46112</x:v>
      </x:c>
      <x:c r="J80" s="11"/>
      <x:c r="K80" s="29"/>
      <x:c r="L80" s="2" t="str">
        <x:f>IF(O80=1,"Complete",IF(A80,"Checklist open",IF(H80&lt;&gt;"","In progress","Not started")))</x:f>
        <x:v>Not started</x:v>
      </x:c>
      <x:c r="M80" s="2" t="str">
        <x:v>Task</x:v>
      </x:c>
      <x:c r="N80" s="2" t="str">
        <x:v>DI.CS.2.5.2026.CY1</x:v>
      </x:c>
      <x:c r="O80" s="2" t="n">
        <x:f>R80</x:f>
        <x:v>0</x:v>
      </x:c>
      <x:c r="P80" s="2"/>
      <x:c r="Q80" s="2" t="n">
        <x:v>1</x:v>
      </x:c>
      <x:c r="R80" s="2" t="n">
        <x:f>IF(A80,1,0)</x:f>
        <x:v>0</x:v>
      </x:c>
      <x:c r="S80" s="2" t="n">
        <x:f>SUBTOTAL(103,N80)</x:f>
        <x:v>1</x:v>
      </x:c>
    </x:row>
    <x:row r="81" ht="42" customHeight="1">
      <x:c r="A81" s="28" t="b">
        <x:v>0</x:v>
      </x:c>
      <x:c r="B81" s="2" t="str">
        <x:v>Cycle 1</x:v>
      </x:c>
      <x:c r="C81" s="2" t="str">
        <x:v>Phase 2</x:v>
      </x:c>
      <x:c r="D81" s="2" t="str">
        <x:v>CSBBO - Customer Service</x:v>
      </x:c>
      <x:c r="E81" s="56" t="str">
        <x:v>DI.CS.2.6</x:v>
      </x:c>
      <x:c r="F81" s="14" t="str">
        <x:v>Finalize presentation deck draft at conclusion of Research phase</x:v>
      </x:c>
      <x:c r="G81" s="5"/>
      <x:c r="H81" s="11"/>
      <x:c r="I81" s="11" t="n">
        <x:f>'Cycles &amp; Guide'!$D$10</x:f>
        <x:v>46112</x:v>
      </x:c>
      <x:c r="J81" s="11"/>
      <x:c r="K81" s="29"/>
      <x:c r="L81" s="2" t="str">
        <x:f>IF(O81=1,"Complete",IF(A81,"Checklist open",IF(H81&lt;&gt;"","In progress","Not started")))</x:f>
        <x:v>Not started</x:v>
      </x:c>
      <x:c r="M81" s="2" t="str">
        <x:v>Task</x:v>
      </x:c>
      <x:c r="N81" s="2" t="str">
        <x:v>DI.CS.2.6.2026.CY1</x:v>
      </x:c>
      <x:c r="O81" s="2" t="n">
        <x:f>R81</x:f>
        <x:v>0</x:v>
      </x:c>
      <x:c r="P81" s="2"/>
      <x:c r="Q81" s="2" t="n">
        <x:v>1</x:v>
      </x:c>
      <x:c r="R81" s="2" t="n">
        <x:f>IF(A81,1,0)</x:f>
        <x:v>0</x:v>
      </x:c>
      <x:c r="S81" s="2" t="n">
        <x:f>SUBTOTAL(103,N81)</x:f>
        <x:v>1</x:v>
      </x:c>
    </x:row>
    <x:row r="82" ht="42" customHeight="1">
      <x:c r="A82" s="28" t="b">
        <x:v>0</x:v>
      </x:c>
      <x:c r="B82" s="2" t="str">
        <x:v>Cycle 1</x:v>
      </x:c>
      <x:c r="C82" s="2" t="str">
        <x:v>Phase 2</x:v>
      </x:c>
      <x:c r="D82" s="2" t="str">
        <x:v>CSBBO - Customer Service</x:v>
      </x:c>
      <x:c r="E82" s="56" t="str">
        <x:v>DI.CS.2.7</x:v>
      </x:c>
      <x:c r="F82" s="14" t="str">
        <x:v>Update Outcome portion of research plan with current enhancement verbiage (as needed)</x:v>
      </x:c>
      <x:c r="G82" s="5"/>
      <x:c r="H82" s="11"/>
      <x:c r="I82" s="11" t="n">
        <x:f>'Cycles &amp; Guide'!$D$10</x:f>
        <x:v>46112</x:v>
      </x:c>
      <x:c r="J82" s="11"/>
      <x:c r="K82" s="29"/>
      <x:c r="L82" s="2" t="str">
        <x:f>IF(O82=1,"Complete",IF(A82,"Checklist open",IF(H82&lt;&gt;"","In progress","Not started")))</x:f>
        <x:v>Not started</x:v>
      </x:c>
      <x:c r="M82" s="2" t="str">
        <x:v>Task</x:v>
      </x:c>
      <x:c r="N82" s="2" t="str">
        <x:v>DI.CS.2.7.2026.CY1</x:v>
      </x:c>
      <x:c r="O82" s="2" t="n">
        <x:f>R82</x:f>
        <x:v>0</x:v>
      </x:c>
      <x:c r="P82" s="2"/>
      <x:c r="Q82" s="2" t="n">
        <x:v>1</x:v>
      </x:c>
      <x:c r="R82" s="2" t="n">
        <x:f>IF(A82,1,0)</x:f>
        <x:v>0</x:v>
      </x:c>
      <x:c r="S82" s="2" t="n">
        <x:f>SUBTOTAL(103,N82)</x:f>
        <x:v>1</x:v>
      </x:c>
    </x:row>
    <x:row r="83" ht="42" customHeight="1">
      <x:c r="A83" s="28" t="b">
        <x:v>0</x:v>
      </x:c>
      <x:c r="B83" s="2" t="str">
        <x:v>Cycle 1</x:v>
      </x:c>
      <x:c r="C83" s="2" t="str">
        <x:v>Phase 3</x:v>
      </x:c>
      <x:c r="D83" s="2" t="str">
        <x:v>CSBBO - Customer Service</x:v>
      </x:c>
      <x:c r="E83" s="56" t="str">
        <x:v>DI.CS.3.1</x:v>
      </x:c>
      <x:c r="F83" s="14" t="str">
        <x:v>Confirm list of required &amp; optional attendees for pre-socialization meeting</x:v>
      </x:c>
      <x:c r="G83" s="5"/>
      <x:c r="H83" s="11"/>
      <x:c r="I83" s="11" t="n">
        <x:f>'Cycles &amp; Guide'!$D$10</x:f>
        <x:v>46112</x:v>
      </x:c>
      <x:c r="J83" s="11"/>
      <x:c r="K83" s="29"/>
      <x:c r="L83" s="2" t="str">
        <x:f>IF(O83=1,"Complete",IF(A83,"Checklist open",IF(H83&lt;&gt;"","In progress","Not started")))</x:f>
        <x:v>Not started</x:v>
      </x:c>
      <x:c r="M83" s="2" t="str">
        <x:v>Task</x:v>
      </x:c>
      <x:c r="N83" s="2" t="str">
        <x:v>DI.CS.3.1.2026.CY1</x:v>
      </x:c>
      <x:c r="O83" s="2" t="n">
        <x:f>R83</x:f>
        <x:v>0</x:v>
      </x:c>
      <x:c r="P83" s="2"/>
      <x:c r="Q83" s="2" t="n">
        <x:v>1</x:v>
      </x:c>
      <x:c r="R83" s="2" t="n">
        <x:f>IF(A83,1,0)</x:f>
        <x:v>0</x:v>
      </x:c>
      <x:c r="S83" s="2" t="n">
        <x:f>SUBTOTAL(103,N83)</x:f>
        <x:v>1</x:v>
      </x:c>
    </x:row>
    <x:row r="84" ht="42" customHeight="1">
      <x:c r="A84" s="28" t="b">
        <x:v>0</x:v>
      </x:c>
      <x:c r="B84" s="2" t="str">
        <x:v>Cycle 1</x:v>
      </x:c>
      <x:c r="C84" s="2" t="str">
        <x:v>Phase 3</x:v>
      </x:c>
      <x:c r="D84" s="2" t="str">
        <x:v>CSBBO - Customer Service</x:v>
      </x:c>
      <x:c r="E84" s="56" t="str">
        <x:v>DI.CS.3.2</x:v>
      </x:c>
      <x:c r="F84" s="14" t="str">
        <x:v>Schedule pre-socialization meeting 1 week prior to RCA Forum</x:v>
      </x:c>
      <x:c r="G84" s="5"/>
      <x:c r="H84" s="11"/>
      <x:c r="I84" s="11" t="str">
        <x:f>IF(SUMIFS('Cycles &amp; Guide'!$D$23:$D$50,'Cycles &amp; Guide'!$B$23:$B$50,B84,'Cycles &amp; Guide'!$C$23:$C$50,D84)=0,"",SUMIFS('Cycles &amp; Guide'!$D$23:$D$50,'Cycles &amp; Guide'!$B$23:$B$50,B84,'Cycles &amp; Guide'!$C$23:$C$50,D84)-7)</x:f>
      </x:c>
      <x:c r="J84" s="11"/>
      <x:c r="K84" s="29"/>
      <x:c r="L84" s="2" t="str">
        <x:f>IF(O84=1,"Complete",IF(A84,"Checklist open",IF(H84&lt;&gt;"","In progress","Not started")))</x:f>
        <x:v>Not started</x:v>
      </x:c>
      <x:c r="M84" s="2" t="str">
        <x:v>Task</x:v>
      </x:c>
      <x:c r="N84" s="2" t="str">
        <x:v>DI.CS.3.2.2026.CY1</x:v>
      </x:c>
      <x:c r="O84" s="2" t="n">
        <x:f>R84</x:f>
        <x:v>0</x:v>
      </x:c>
      <x:c r="P84" s="2"/>
      <x:c r="Q84" s="2" t="n">
        <x:v>1</x:v>
      </x:c>
      <x:c r="R84" s="2" t="n">
        <x:f>IF(A84,1,0)</x:f>
        <x:v>0</x:v>
      </x:c>
      <x:c r="S84" s="2" t="n">
        <x:f>SUBTOTAL(103,N84)</x:f>
        <x:v>1</x:v>
      </x:c>
    </x:row>
    <x:row r="85" ht="42" customHeight="1">
      <x:c r="A85" s="28" t="b">
        <x:v>0</x:v>
      </x:c>
      <x:c r="B85" s="2" t="str">
        <x:v>Cycle 1</x:v>
      </x:c>
      <x:c r="C85" s="2" t="str">
        <x:v>Phase 3</x:v>
      </x:c>
      <x:c r="D85" s="2" t="str">
        <x:v>CSBBO - Customer Service</x:v>
      </x:c>
      <x:c r="E85" s="56" t="str">
        <x:v>DI.CS.3.3</x:v>
      </x:c>
      <x:c r="F85" s="14" t="str">
        <x:v>Present findings, conclusions, and recommendation to SMEs</x:v>
      </x:c>
      <x:c r="G85" s="5"/>
      <x:c r="H85" s="11"/>
      <x:c r="I85" s="11" t="n">
        <x:f>'Cycles &amp; Guide'!$D$10</x:f>
        <x:v>46112</x:v>
      </x:c>
      <x:c r="J85" s="11"/>
      <x:c r="K85" s="29"/>
      <x:c r="L85" s="2" t="str">
        <x:f>IF(O85=1,"Complete",IF(A85,"Checklist open",IF(H85&lt;&gt;"","In progress","Not started")))</x:f>
        <x:v>Not started</x:v>
      </x:c>
      <x:c r="M85" s="2" t="str">
        <x:v>Task</x:v>
      </x:c>
      <x:c r="N85" s="2" t="str">
        <x:v>DI.CS.3.3.2026.CY1</x:v>
      </x:c>
      <x:c r="O85" s="2" t="n">
        <x:f>R85</x:f>
        <x:v>0</x:v>
      </x:c>
      <x:c r="P85" s="2"/>
      <x:c r="Q85" s="2" t="n">
        <x:v>1</x:v>
      </x:c>
      <x:c r="R85" s="2" t="n">
        <x:f>IF(A85,1,0)</x:f>
        <x:v>0</x:v>
      </x:c>
      <x:c r="S85" s="2" t="n">
        <x:f>SUBTOTAL(103,N85)</x:f>
        <x:v>1</x:v>
      </x:c>
    </x:row>
    <x:row r="86" ht="42" customHeight="1">
      <x:c r="A86" s="28" t="b">
        <x:v>0</x:v>
      </x:c>
      <x:c r="B86" s="2" t="str">
        <x:v>Cycle 1</x:v>
      </x:c>
      <x:c r="C86" s="2" t="str">
        <x:v>Phase 3</x:v>
      </x:c>
      <x:c r="D86" s="2" t="str">
        <x:v>CSBBO - Customer Service</x:v>
      </x:c>
      <x:c r="E86" s="56" t="str">
        <x:v>DI.CS.3.4</x:v>
      </x:c>
      <x:c r="F86" s="14" t="str">
        <x:v>Update Outcome portion of research plan (as needed)</x:v>
      </x:c>
      <x:c r="G86" s="5"/>
      <x:c r="H86" s="11"/>
      <x:c r="I86" s="11" t="n">
        <x:f>'Cycles &amp; Guide'!$D$10</x:f>
        <x:v>46112</x:v>
      </x:c>
      <x:c r="J86" s="11"/>
      <x:c r="K86" s="29"/>
      <x:c r="L86" s="2" t="str">
        <x:f>IF(O86=1,"Complete",IF(A86,"Checklist open",IF(H86&lt;&gt;"","In progress","Not started")))</x:f>
        <x:v>Not started</x:v>
      </x:c>
      <x:c r="M86" s="2" t="str">
        <x:v>Task</x:v>
      </x:c>
      <x:c r="N86" s="2" t="str">
        <x:v>DI.CS.3.4.2026.CY1</x:v>
      </x:c>
      <x:c r="O86" s="2" t="n">
        <x:f>R86</x:f>
        <x:v>0</x:v>
      </x:c>
      <x:c r="P86" s="2"/>
      <x:c r="Q86" s="2" t="n">
        <x:v>1</x:v>
      </x:c>
      <x:c r="R86" s="2" t="n">
        <x:f>IF(A86,1,0)</x:f>
        <x:v>0</x:v>
      </x:c>
      <x:c r="S86" s="2" t="n">
        <x:f>SUBTOTAL(103,N86)</x:f>
        <x:v>1</x:v>
      </x:c>
    </x:row>
    <x:row r="87" ht="42" customHeight="1">
      <x:c r="A87" s="28" t="b">
        <x:v>0</x:v>
      </x:c>
      <x:c r="B87" s="2" t="str">
        <x:v>Cycle 1</x:v>
      </x:c>
      <x:c r="C87" s="2" t="str">
        <x:v>Phase 3</x:v>
      </x:c>
      <x:c r="D87" s="2" t="str">
        <x:v>CSBBO - Customer Service</x:v>
      </x:c>
      <x:c r="E87" s="56" t="str">
        <x:v>DI.CS.3.5</x:v>
      </x:c>
      <x:c r="F87" s="14" t="str">
        <x:v>Finalize presentation deck by incorporating pre-socialization feedback (as needed)</x:v>
      </x:c>
      <x:c r="G87" s="5"/>
      <x:c r="H87" s="11"/>
      <x:c r="I87" s="11" t="n">
        <x:f>'Cycles &amp; Guide'!$D$10</x:f>
        <x:v>46112</x:v>
      </x:c>
      <x:c r="J87" s="11"/>
      <x:c r="K87" s="29"/>
      <x:c r="L87" s="2" t="str">
        <x:f>IF(O87=1,"Complete",IF(A87,"Checklist open",IF(H87&lt;&gt;"","In progress","Not started")))</x:f>
        <x:v>Not started</x:v>
      </x:c>
      <x:c r="M87" s="2" t="str">
        <x:v>Task</x:v>
      </x:c>
      <x:c r="N87" s="2" t="str">
        <x:v>DI.CS.3.5.2026.CY1</x:v>
      </x:c>
      <x:c r="O87" s="2" t="n">
        <x:f>R87</x:f>
        <x:v>0</x:v>
      </x:c>
      <x:c r="P87" s="2"/>
      <x:c r="Q87" s="2" t="n">
        <x:v>1</x:v>
      </x:c>
      <x:c r="R87" s="2" t="n">
        <x:f>IF(A87,1,0)</x:f>
        <x:v>0</x:v>
      </x:c>
      <x:c r="S87" s="2" t="n">
        <x:f>SUBTOTAL(103,N87)</x:f>
        <x:v>1</x:v>
      </x:c>
    </x:row>
    <x:row r="88" ht="42" customHeight="1">
      <x:c r="A88" s="28" t="b">
        <x:v>0</x:v>
      </x:c>
      <x:c r="B88" s="2" t="str">
        <x:v>Cycle 1</x:v>
      </x:c>
      <x:c r="C88" s="2" t="str">
        <x:v>Phase 3</x:v>
      </x:c>
      <x:c r="D88" s="2" t="str">
        <x:v>CSBBO - Customer Service</x:v>
      </x:c>
      <x:c r="E88" s="56" t="str">
        <x:v>DI.CS.3.6</x:v>
      </x:c>
      <x:c r="F88" s="14" t="str">
        <x:v>Ensure final deck is communicated to Forum attendees</x:v>
      </x:c>
      <x:c r="G88" s="5"/>
      <x:c r="H88" s="11"/>
      <x:c r="I88" s="11" t="n">
        <x:f>'Cycles &amp; Guide'!$D$10</x:f>
        <x:v>46112</x:v>
      </x:c>
      <x:c r="J88" s="11"/>
      <x:c r="K88" s="29"/>
      <x:c r="L88" s="2" t="str">
        <x:f>IF(O88=1,"Complete",IF(A88,"Checklist open",IF(H88&lt;&gt;"","In progress","Not started")))</x:f>
        <x:v>Not started</x:v>
      </x:c>
      <x:c r="M88" s="2" t="str">
        <x:v>Task</x:v>
      </x:c>
      <x:c r="N88" s="2" t="str">
        <x:v>DI.CS.3.6.2026.CY1</x:v>
      </x:c>
      <x:c r="O88" s="2" t="n">
        <x:f>R88</x:f>
        <x:v>0</x:v>
      </x:c>
      <x:c r="P88" s="2"/>
      <x:c r="Q88" s="2" t="n">
        <x:v>1</x:v>
      </x:c>
      <x:c r="R88" s="2" t="n">
        <x:f>IF(A88,1,0)</x:f>
        <x:v>0</x:v>
      </x:c>
      <x:c r="S88" s="2" t="n">
        <x:f>SUBTOTAL(103,N88)</x:f>
        <x:v>1</x:v>
      </x:c>
    </x:row>
    <x:row r="89" ht="42" customHeight="1">
      <x:c r="A89" s="28" t="b">
        <x:v>0</x:v>
      </x:c>
      <x:c r="B89" s="2" t="str">
        <x:v>Cycle 1</x:v>
      </x:c>
      <x:c r="C89" s="2" t="str">
        <x:v>Phase 3</x:v>
      </x:c>
      <x:c r="D89" s="2" t="str">
        <x:v>CSBBO - Customer Service</x:v>
      </x:c>
      <x:c r="E89" s="56" t="str">
        <x:v>DI.CS.3.7</x:v>
      </x:c>
      <x:c r="F89" s="14" t="str">
        <x:v>Present material in RCA Cycle Forum</x:v>
      </x:c>
      <x:c r="G89" s="5"/>
      <x:c r="H89" s="11"/>
      <x:c r="I89" s="11" t="str">
        <x:f>IF(SUMIFS('Cycles &amp; Guide'!$D$23:$D$50,'Cycles &amp; Guide'!$B$23:$B$50,B89,'Cycles &amp; Guide'!$C$23:$C$50,D89)=0,"",SUMIFS('Cycles &amp; Guide'!$D$23:$D$50,'Cycles &amp; Guide'!$B$23:$B$50,B89,'Cycles &amp; Guide'!$C$23:$C$50,D89))</x:f>
      </x:c>
      <x:c r="J89" s="11"/>
      <x:c r="K89" s="29"/>
      <x:c r="L89" s="2" t="str">
        <x:f>IF(O89=1,"Complete",IF(A89,"Checklist open",IF(H89&lt;&gt;"","In progress","Not started")))</x:f>
        <x:v>Not started</x:v>
      </x:c>
      <x:c r="M89" s="2" t="str">
        <x:v>Task</x:v>
      </x:c>
      <x:c r="N89" s="2" t="str">
        <x:v>DI.CS.3.7.2026.CY1</x:v>
      </x:c>
      <x:c r="O89" s="2" t="n">
        <x:f>R89</x:f>
        <x:v>0</x:v>
      </x:c>
      <x:c r="P89" s="2"/>
      <x:c r="Q89" s="2" t="n">
        <x:v>1</x:v>
      </x:c>
      <x:c r="R89" s="2" t="n">
        <x:f>IF(A89,1,0)</x:f>
        <x:v>0</x:v>
      </x:c>
      <x:c r="S89" s="2" t="n">
        <x:f>SUBTOTAL(103,N89)</x:f>
        <x:v>1</x:v>
      </x:c>
    </x:row>
    <x:row r="90" ht="42" customHeight="1">
      <x:c r="A90" s="28" t="b">
        <x:v>0</x:v>
      </x:c>
      <x:c r="B90" s="2" t="str">
        <x:v>Cycle 1</x:v>
      </x:c>
      <x:c r="C90" s="2" t="str">
        <x:v>Phase 1</x:v>
      </x:c>
      <x:c r="D90" s="2" t="str">
        <x:v>FCM</x:v>
      </x:c>
      <x:c r="E90" s="56" t="str">
        <x:v>DI.FC.1.1</x:v>
      </x:c>
      <x:c r="F90" s="14" t="str">
        <x:v>Receive and review potential research topics at least 2 weeks prior to Cycle start date</x:v>
      </x:c>
      <x:c r="G90" s="5"/>
      <x:c r="H90" s="11"/>
      <x:c r="I90" s="11" t="n">
        <x:f>'Cycles &amp; Guide'!$C$10-14</x:f>
        <x:v>46009</x:v>
      </x:c>
      <x:c r="J90" s="11"/>
      <x:c r="K90" s="29"/>
      <x:c r="L90" s="2" t="str">
        <x:f>IF(O90=1,"Complete",IF(A90,"Checklist open",IF(H90&lt;&gt;"","In progress","Not started")))</x:f>
        <x:v>Not started</x:v>
      </x:c>
      <x:c r="M90" s="2" t="str">
        <x:v>Task</x:v>
      </x:c>
      <x:c r="N90" s="2" t="str">
        <x:v>DI.FC.1.1.2026.CY1</x:v>
      </x:c>
      <x:c r="O90" s="2" t="n">
        <x:f>R90</x:f>
        <x:v>0</x:v>
      </x:c>
      <x:c r="P90" s="2"/>
      <x:c r="Q90" s="2" t="n">
        <x:v>1</x:v>
      </x:c>
      <x:c r="R90" s="2" t="n">
        <x:f>IF(A90,1,0)</x:f>
        <x:v>0</x:v>
      </x:c>
      <x:c r="S90" s="2" t="n">
        <x:f>SUBTOTAL(103,N90)</x:f>
        <x:v>1</x:v>
      </x:c>
    </x:row>
    <x:row r="91" ht="42" customHeight="1">
      <x:c r="A91" s="28" t="b">
        <x:v>0</x:v>
      </x:c>
      <x:c r="B91" s="2" t="str">
        <x:v>Cycle 1</x:v>
      </x:c>
      <x:c r="C91" s="2" t="str">
        <x:v>Phase 1</x:v>
      </x:c>
      <x:c r="D91" s="2" t="str">
        <x:v>FCM</x:v>
      </x:c>
      <x:c r="E91" s="56" t="str">
        <x:v>DI.FC.1.2</x:v>
      </x:c>
      <x:c r="F91" s="14" t="str">
        <x:v>Communicate any feedback on preferences or concerns with topics identified</x:v>
      </x:c>
      <x:c r="G91" s="5"/>
      <x:c r="H91" s="11"/>
      <x:c r="I91" s="11" t="n">
        <x:f>'Cycles &amp; Guide'!$D$10</x:f>
        <x:v>46112</x:v>
      </x:c>
      <x:c r="J91" s="11"/>
      <x:c r="K91" s="29"/>
      <x:c r="L91" s="2" t="str">
        <x:f>IF(O91=1,"Complete",IF(A91,"Checklist open",IF(H91&lt;&gt;"","In progress","Not started")))</x:f>
        <x:v>Not started</x:v>
      </x:c>
      <x:c r="M91" s="2" t="str">
        <x:v>Task</x:v>
      </x:c>
      <x:c r="N91" s="2" t="str">
        <x:v>DI.FC.1.2.2026.CY1</x:v>
      </x:c>
      <x:c r="O91" s="2" t="n">
        <x:f>R91</x:f>
        <x:v>0</x:v>
      </x:c>
      <x:c r="P91" s="2"/>
      <x:c r="Q91" s="2" t="n">
        <x:v>1</x:v>
      </x:c>
      <x:c r="R91" s="2" t="n">
        <x:f>IF(A91,1,0)</x:f>
        <x:v>0</x:v>
      </x:c>
      <x:c r="S91" s="2" t="n">
        <x:f>SUBTOTAL(103,N91)</x:f>
        <x:v>1</x:v>
      </x:c>
    </x:row>
    <x:row r="92" ht="42" customHeight="1">
      <x:c r="A92" s="28" t="b">
        <x:v>0</x:v>
      </x:c>
      <x:c r="B92" s="2" t="str">
        <x:v>Cycle 1</x:v>
      </x:c>
      <x:c r="C92" s="2" t="str">
        <x:v>Phase 1</x:v>
      </x:c>
      <x:c r="D92" s="2" t="str">
        <x:v>FCM</x:v>
      </x:c>
      <x:c r="E92" s="56" t="str">
        <x:v>DI.FC.1.3</x:v>
      </x:c>
      <x:c r="F92" s="14" t="str">
        <x:v>Conduct high-level preliminary review of complaints within proposed topics</x:v>
      </x:c>
      <x:c r="G92" s="5"/>
      <x:c r="H92" s="11"/>
      <x:c r="I92" s="11" t="n">
        <x:f>'Cycles &amp; Guide'!$D$10</x:f>
        <x:v>46112</x:v>
      </x:c>
      <x:c r="J92" s="11"/>
      <x:c r="K92" s="29"/>
      <x:c r="L92" s="2" t="str">
        <x:f>IF(O92=1,"Complete",IF(A92,"Checklist open",IF(H92&lt;&gt;"","In progress","Not started")))</x:f>
        <x:v>Not started</x:v>
      </x:c>
      <x:c r="M92" s="2" t="str">
        <x:v>Task</x:v>
      </x:c>
      <x:c r="N92" s="2" t="str">
        <x:v>DI.FC.1.3.2026.CY1</x:v>
      </x:c>
      <x:c r="O92" s="2" t="n">
        <x:f>R92</x:f>
        <x:v>0</x:v>
      </x:c>
      <x:c r="P92" s="2"/>
      <x:c r="Q92" s="2" t="n">
        <x:v>1</x:v>
      </x:c>
      <x:c r="R92" s="2" t="n">
        <x:f>IF(A92,1,0)</x:f>
        <x:v>0</x:v>
      </x:c>
      <x:c r="S92" s="2" t="n">
        <x:f>SUBTOTAL(103,N92)</x:f>
        <x:v>1</x:v>
      </x:c>
    </x:row>
    <x:row r="93" ht="42" customHeight="1">
      <x:c r="A93" s="28" t="b">
        <x:v>0</x:v>
      </x:c>
      <x:c r="B93" s="2" t="str">
        <x:v>Cycle 1</x:v>
      </x:c>
      <x:c r="C93" s="2" t="str">
        <x:v>Phase 1</x:v>
      </x:c>
      <x:c r="D93" s="2" t="str">
        <x:v>FCM</x:v>
      </x:c>
      <x:c r="E93" s="56" t="str">
        <x:v>DI.FC.1.4</x:v>
      </x:c>
      <x:c r="F93" s="14" t="str">
        <x:v>Meet with Research to discuss which topic to select based on potential impact</x:v>
      </x:c>
      <x:c r="G93" s="5"/>
      <x:c r="H93" s="11"/>
      <x:c r="I93" s="11" t="n">
        <x:f>'Cycles &amp; Guide'!$D$10</x:f>
        <x:v>46112</x:v>
      </x:c>
      <x:c r="J93" s="11"/>
      <x:c r="K93" s="29"/>
      <x:c r="L93" s="2" t="str">
        <x:f>IF(O93=1,"Complete",IF(A93,"Checklist open",IF(H93&lt;&gt;"","In progress","Not started")))</x:f>
        <x:v>Not started</x:v>
      </x:c>
      <x:c r="M93" s="2" t="str">
        <x:v>Task</x:v>
      </x:c>
      <x:c r="N93" s="2" t="str">
        <x:v>DI.FC.1.4.2026.CY1</x:v>
      </x:c>
      <x:c r="O93" s="2" t="n">
        <x:f>R93</x:f>
        <x:v>0</x:v>
      </x:c>
      <x:c r="P93" s="2"/>
      <x:c r="Q93" s="2" t="n">
        <x:v>1</x:v>
      </x:c>
      <x:c r="R93" s="2" t="n">
        <x:f>IF(A93,1,0)</x:f>
        <x:v>0</x:v>
      </x:c>
      <x:c r="S93" s="2" t="n">
        <x:f>SUBTOTAL(103,N93)</x:f>
        <x:v>1</x:v>
      </x:c>
    </x:row>
    <x:row r="94" ht="42" customHeight="1">
      <x:c r="A94" s="28" t="b">
        <x:v>0</x:v>
      </x:c>
      <x:c r="B94" s="2" t="str">
        <x:v>Cycle 1</x:v>
      </x:c>
      <x:c r="C94" s="2" t="str">
        <x:v>Phase 1</x:v>
      </x:c>
      <x:c r="D94" s="2" t="str">
        <x:v>FCM</x:v>
      </x:c>
      <x:c r="E94" s="56" t="str">
        <x:v>DI.FC.1.5</x:v>
      </x:c>
      <x:c r="F94" s="14" t="str">
        <x:v>Confirm with Research the recommended topic for approval</x:v>
      </x:c>
      <x:c r="G94" s="5"/>
      <x:c r="H94" s="11"/>
      <x:c r="I94" s="11" t="n">
        <x:f>'Cycles &amp; Guide'!$D$10</x:f>
        <x:v>46112</x:v>
      </x:c>
      <x:c r="J94" s="11"/>
      <x:c r="K94" s="29"/>
      <x:c r="L94" s="2" t="str">
        <x:f>IF(O94=1,"Complete",IF(A94,"Checklist open",IF(H94&lt;&gt;"","In progress","Not started")))</x:f>
        <x:v>Not started</x:v>
      </x:c>
      <x:c r="M94" s="2" t="str">
        <x:v>Task</x:v>
      </x:c>
      <x:c r="N94" s="2" t="str">
        <x:v>DI.FC.1.5.2026.CY1</x:v>
      </x:c>
      <x:c r="O94" s="2" t="n">
        <x:f>R94</x:f>
        <x:v>0</x:v>
      </x:c>
      <x:c r="P94" s="2"/>
      <x:c r="Q94" s="2" t="n">
        <x:v>1</x:v>
      </x:c>
      <x:c r="R94" s="2" t="n">
        <x:f>IF(A94,1,0)</x:f>
        <x:v>0</x:v>
      </x:c>
      <x:c r="S94" s="2" t="n">
        <x:f>SUBTOTAL(103,N94)</x:f>
        <x:v>1</x:v>
      </x:c>
    </x:row>
    <x:row r="95" ht="42" customHeight="1">
      <x:c r="A95" s="28" t="b">
        <x:v>0</x:v>
      </x:c>
      <x:c r="B95" s="2" t="str">
        <x:v>Cycle 1</x:v>
      </x:c>
      <x:c r="C95" s="2" t="str">
        <x:v>Phase 1</x:v>
      </x:c>
      <x:c r="D95" s="2" t="str">
        <x:v>FCM</x:v>
      </x:c>
      <x:c r="E95" s="56" t="str">
        <x:v>DI.FC.1.6</x:v>
      </x:c>
      <x:c r="F95" s="14" t="str">
        <x:v>Send topic selection socialization email to all key stakeholders on the first day of the review Cycle</x:v>
      </x:c>
      <x:c r="G95" s="5"/>
      <x:c r="H95" s="11"/>
      <x:c r="I95" s="11" t="n">
        <x:f>'Cycles &amp; Guide'!$C$10</x:f>
        <x:v>46023</x:v>
      </x:c>
      <x:c r="J95" s="11"/>
      <x:c r="K95" s="29"/>
      <x:c r="L95" s="2" t="str">
        <x:f>IF(O95=1,"Complete",IF(A95,"Checklist open",IF(H95&lt;&gt;"","In progress","Not started")))</x:f>
        <x:v>Not started</x:v>
      </x:c>
      <x:c r="M95" s="2" t="str">
        <x:v>Task</x:v>
      </x:c>
      <x:c r="N95" s="2" t="str">
        <x:v>DI.FC.1.6.2026.CY1</x:v>
      </x:c>
      <x:c r="O95" s="2" t="n">
        <x:f>R95</x:f>
        <x:v>0</x:v>
      </x:c>
      <x:c r="P95" s="2"/>
      <x:c r="Q95" s="2" t="n">
        <x:v>1</x:v>
      </x:c>
      <x:c r="R95" s="2" t="n">
        <x:f>IF(A95,1,0)</x:f>
        <x:v>0</x:v>
      </x:c>
      <x:c r="S95" s="2" t="n">
        <x:f>SUBTOTAL(103,N95)</x:f>
        <x:v>1</x:v>
      </x:c>
    </x:row>
    <x:row r="96" ht="42" customHeight="1">
      <x:c r="A96" s="28" t="b">
        <x:v>0</x:v>
      </x:c>
      <x:c r="B96" s="2" t="str">
        <x:v>Cycle 1</x:v>
      </x:c>
      <x:c r="C96" s="2" t="str">
        <x:v>Phase 2</x:v>
      </x:c>
      <x:c r="D96" s="2" t="str">
        <x:v>FCM</x:v>
      </x:c>
      <x:c r="E96" s="56" t="str">
        <x:v>DI.FC.2.1</x:v>
      </x:c>
      <x:c r="F96" s="14" t="str">
        <x:v>Meet regularly with Research to stay informed on progress, findings, and potential enhancement</x:v>
      </x:c>
      <x:c r="G96" s="5"/>
      <x:c r="H96" s="11"/>
      <x:c r="I96" s="11" t="n">
        <x:f>'Cycles &amp; Guide'!$D$10</x:f>
        <x:v>46112</x:v>
      </x:c>
      <x:c r="J96" s="11"/>
      <x:c r="K96" s="29"/>
      <x:c r="L96" s="2" t="str">
        <x:f>IF(O96=1,"Complete",IF(A96,"Checklist open",IF(H96&lt;&gt;"","In progress","Not started")))</x:f>
        <x:v>Not started</x:v>
      </x:c>
      <x:c r="M96" s="2" t="str">
        <x:v>Task</x:v>
      </x:c>
      <x:c r="N96" s="2" t="str">
        <x:v>DI.FC.2.1.2026.CY1</x:v>
      </x:c>
      <x:c r="O96" s="2" t="n">
        <x:f>R96</x:f>
        <x:v>0</x:v>
      </x:c>
      <x:c r="P96" s="2"/>
      <x:c r="Q96" s="2" t="n">
        <x:v>1</x:v>
      </x:c>
      <x:c r="R96" s="2" t="n">
        <x:f>IF(A96,1,0)</x:f>
        <x:v>0</x:v>
      </x:c>
      <x:c r="S96" s="2" t="n">
        <x:f>SUBTOTAL(103,N96)</x:f>
        <x:v>1</x:v>
      </x:c>
    </x:row>
    <x:row r="97" ht="42" customHeight="1">
      <x:c r="A97" s="28" t="b">
        <x:v>0</x:v>
      </x:c>
      <x:c r="B97" s="2" t="str">
        <x:v>Cycle 1</x:v>
      </x:c>
      <x:c r="C97" s="2" t="str">
        <x:v>Phase 2</x:v>
      </x:c>
      <x:c r="D97" s="2" t="str">
        <x:v>FCM</x:v>
      </x:c>
      <x:c r="E97" s="56" t="str">
        <x:v>DI.FC.2.2</x:v>
      </x:c>
      <x:c r="F97" s="14" t="str">
        <x:v>Collaborate with Research on research plan specifics</x:v>
      </x:c>
      <x:c r="G97" s="5"/>
      <x:c r="H97" s="11"/>
      <x:c r="I97" s="11" t="n">
        <x:f>'Cycles &amp; Guide'!$D$10</x:f>
        <x:v>46112</x:v>
      </x:c>
      <x:c r="J97" s="11"/>
      <x:c r="K97" s="29"/>
      <x:c r="L97" s="2" t="str">
        <x:f>IF(O97=1,"Complete",IF(A97,"Checklist open",IF(H97&lt;&gt;"","In progress","Not started")))</x:f>
        <x:v>Not started</x:v>
      </x:c>
      <x:c r="M97" s="2" t="str">
        <x:v>Task</x:v>
      </x:c>
      <x:c r="N97" s="2" t="str">
        <x:v>DI.FC.2.2.2026.CY1</x:v>
      </x:c>
      <x:c r="O97" s="2" t="n">
        <x:f>R97</x:f>
        <x:v>0</x:v>
      </x:c>
      <x:c r="P97" s="2"/>
      <x:c r="Q97" s="2" t="n">
        <x:v>1</x:v>
      </x:c>
      <x:c r="R97" s="2" t="n">
        <x:f>IF(A97,1,0)</x:f>
        <x:v>0</x:v>
      </x:c>
      <x:c r="S97" s="2" t="n">
        <x:f>SUBTOTAL(103,N97)</x:f>
        <x:v>1</x:v>
      </x:c>
    </x:row>
    <x:row r="98" ht="42" customHeight="1">
      <x:c r="A98" s="28" t="b">
        <x:v>0</x:v>
      </x:c>
      <x:c r="B98" s="2" t="str">
        <x:v>Cycle 1</x:v>
      </x:c>
      <x:c r="C98" s="2" t="str">
        <x:v>Phase 2</x:v>
      </x:c>
      <x:c r="D98" s="2" t="str">
        <x:v>FCM</x:v>
      </x:c>
      <x:c r="E98" s="56" t="str">
        <x:v>DI.FC.2.3</x:v>
      </x:c>
      <x:c r="F98" s="14" t="str">
        <x:v>Participate in SME insight meetings to gain perspective and appetite on potential enhancements</x:v>
      </x:c>
      <x:c r="G98" s="5"/>
      <x:c r="H98" s="11"/>
      <x:c r="I98" s="11" t="n">
        <x:f>'Cycles &amp; Guide'!$D$10</x:f>
        <x:v>46112</x:v>
      </x:c>
      <x:c r="J98" s="11"/>
      <x:c r="K98" s="29"/>
      <x:c r="L98" s="2" t="str">
        <x:f>IF(O98=1,"Complete",IF(A98,"Checklist open",IF(H98&lt;&gt;"","In progress","Not started")))</x:f>
        <x:v>Not started</x:v>
      </x:c>
      <x:c r="M98" s="2" t="str">
        <x:v>Task</x:v>
      </x:c>
      <x:c r="N98" s="2" t="str">
        <x:v>DI.FC.2.3.2026.CY1</x:v>
      </x:c>
      <x:c r="O98" s="2" t="n">
        <x:f>R98</x:f>
        <x:v>0</x:v>
      </x:c>
      <x:c r="P98" s="2"/>
      <x:c r="Q98" s="2" t="n">
        <x:v>1</x:v>
      </x:c>
      <x:c r="R98" s="2" t="n">
        <x:f>IF(A98,1,0)</x:f>
        <x:v>0</x:v>
      </x:c>
      <x:c r="S98" s="2" t="n">
        <x:f>SUBTOTAL(103,N98)</x:f>
        <x:v>1</x:v>
      </x:c>
    </x:row>
    <x:row r="99" ht="42" customHeight="1">
      <x:c r="A99" s="28" t="b">
        <x:v>0</x:v>
      </x:c>
      <x:c r="B99" s="2" t="str">
        <x:v>Cycle 1</x:v>
      </x:c>
      <x:c r="C99" s="2" t="str">
        <x:v>Phase 2</x:v>
      </x:c>
      <x:c r="D99" s="2" t="str">
        <x:v>FCM</x:v>
      </x:c>
      <x:c r="E99" s="56" t="str">
        <x:v>DI.FC.2.4</x:v>
      </x:c>
      <x:c r="F99" s="14" t="str">
        <x:v>Begin development of presentation materials as Research is being completed</x:v>
      </x:c>
      <x:c r="G99" s="5"/>
      <x:c r="H99" s="11"/>
      <x:c r="I99" s="11" t="n">
        <x:f>'Cycles &amp; Guide'!$D$10</x:f>
        <x:v>46112</x:v>
      </x:c>
      <x:c r="J99" s="11"/>
      <x:c r="K99" s="29"/>
      <x:c r="L99" s="2" t="str">
        <x:f>IF(O99=1,"Complete",IF(A99,"Checklist open",IF(H99&lt;&gt;"","In progress","Not started")))</x:f>
        <x:v>Not started</x:v>
      </x:c>
      <x:c r="M99" s="2" t="str">
        <x:v>Task</x:v>
      </x:c>
      <x:c r="N99" s="2" t="str">
        <x:v>DI.FC.2.4.2026.CY1</x:v>
      </x:c>
      <x:c r="O99" s="2" t="n">
        <x:f>R99</x:f>
        <x:v>0</x:v>
      </x:c>
      <x:c r="P99" s="2"/>
      <x:c r="Q99" s="2" t="n">
        <x:v>1</x:v>
      </x:c>
      <x:c r="R99" s="2" t="n">
        <x:f>IF(A99,1,0)</x:f>
        <x:v>0</x:v>
      </x:c>
      <x:c r="S99" s="2" t="n">
        <x:f>SUBTOTAL(103,N99)</x:f>
        <x:v>1</x:v>
      </x:c>
    </x:row>
    <x:row r="100" ht="42" customHeight="1">
      <x:c r="A100" s="28" t="b">
        <x:v>0</x:v>
      </x:c>
      <x:c r="B100" s="2" t="str">
        <x:v>Cycle 1</x:v>
      </x:c>
      <x:c r="C100" s="2" t="str">
        <x:v>Phase 2</x:v>
      </x:c>
      <x:c r="D100" s="2" t="str">
        <x:v>FCM</x:v>
      </x:c>
      <x:c r="E100" s="56" t="str">
        <x:v>DI.FC.2.5</x:v>
      </x:c>
      <x:c r="F100" s="14" t="str">
        <x:v>Draft initial enhancement recommendations (as applicable)</x:v>
      </x:c>
      <x:c r="G100" s="5"/>
      <x:c r="H100" s="11"/>
      <x:c r="I100" s="11" t="n">
        <x:f>'Cycles &amp; Guide'!$D$10</x:f>
        <x:v>46112</x:v>
      </x:c>
      <x:c r="J100" s="11"/>
      <x:c r="K100" s="29"/>
      <x:c r="L100" s="2" t="str">
        <x:f>IF(O100=1,"Complete",IF(A100,"Checklist open",IF(H100&lt;&gt;"","In progress","Not started")))</x:f>
        <x:v>Not started</x:v>
      </x:c>
      <x:c r="M100" s="2" t="str">
        <x:v>Task</x:v>
      </x:c>
      <x:c r="N100" s="2" t="str">
        <x:v>DI.FC.2.5.2026.CY1</x:v>
      </x:c>
      <x:c r="O100" s="2" t="n">
        <x:f>R100</x:f>
        <x:v>0</x:v>
      </x:c>
      <x:c r="P100" s="2"/>
      <x:c r="Q100" s="2" t="n">
        <x:v>1</x:v>
      </x:c>
      <x:c r="R100" s="2" t="n">
        <x:f>IF(A100,1,0)</x:f>
        <x:v>0</x:v>
      </x:c>
      <x:c r="S100" s="2" t="n">
        <x:f>SUBTOTAL(103,N100)</x:f>
        <x:v>1</x:v>
      </x:c>
    </x:row>
    <x:row r="101" ht="42" customHeight="1">
      <x:c r="A101" s="28" t="b">
        <x:v>0</x:v>
      </x:c>
      <x:c r="B101" s="2" t="str">
        <x:v>Cycle 1</x:v>
      </x:c>
      <x:c r="C101" s="2" t="str">
        <x:v>Phase 2</x:v>
      </x:c>
      <x:c r="D101" s="2" t="str">
        <x:v>FCM</x:v>
      </x:c>
      <x:c r="E101" s="56" t="str">
        <x:v>DI.FC.2.6</x:v>
      </x:c>
      <x:c r="F101" s="14" t="str">
        <x:v>Finalize presentation deck draft at conclusion of Research phase</x:v>
      </x:c>
      <x:c r="G101" s="5"/>
      <x:c r="H101" s="11"/>
      <x:c r="I101" s="11" t="n">
        <x:f>'Cycles &amp; Guide'!$D$10</x:f>
        <x:v>46112</x:v>
      </x:c>
      <x:c r="J101" s="11"/>
      <x:c r="K101" s="29"/>
      <x:c r="L101" s="2" t="str">
        <x:f>IF(O101=1,"Complete",IF(A101,"Checklist open",IF(H101&lt;&gt;"","In progress","Not started")))</x:f>
        <x:v>Not started</x:v>
      </x:c>
      <x:c r="M101" s="2" t="str">
        <x:v>Task</x:v>
      </x:c>
      <x:c r="N101" s="2" t="str">
        <x:v>DI.FC.2.6.2026.CY1</x:v>
      </x:c>
      <x:c r="O101" s="2" t="n">
        <x:f>R101</x:f>
        <x:v>0</x:v>
      </x:c>
      <x:c r="P101" s="2"/>
      <x:c r="Q101" s="2" t="n">
        <x:v>1</x:v>
      </x:c>
      <x:c r="R101" s="2" t="n">
        <x:f>IF(A101,1,0)</x:f>
        <x:v>0</x:v>
      </x:c>
      <x:c r="S101" s="2" t="n">
        <x:f>SUBTOTAL(103,N101)</x:f>
        <x:v>1</x:v>
      </x:c>
    </x:row>
    <x:row r="102" ht="42" customHeight="1">
      <x:c r="A102" s="28" t="b">
        <x:v>0</x:v>
      </x:c>
      <x:c r="B102" s="2" t="str">
        <x:v>Cycle 1</x:v>
      </x:c>
      <x:c r="C102" s="2" t="str">
        <x:v>Phase 2</x:v>
      </x:c>
      <x:c r="D102" s="2" t="str">
        <x:v>FCM</x:v>
      </x:c>
      <x:c r="E102" s="56" t="str">
        <x:v>DI.FC.2.7</x:v>
      </x:c>
      <x:c r="F102" s="14" t="str">
        <x:v>Update Outcome portion of research plan with current enhancement verbiage (as needed)</x:v>
      </x:c>
      <x:c r="G102" s="5"/>
      <x:c r="H102" s="11"/>
      <x:c r="I102" s="11" t="n">
        <x:f>'Cycles &amp; Guide'!$D$10</x:f>
        <x:v>46112</x:v>
      </x:c>
      <x:c r="J102" s="11"/>
      <x:c r="K102" s="29"/>
      <x:c r="L102" s="2" t="str">
        <x:f>IF(O102=1,"Complete",IF(A102,"Checklist open",IF(H102&lt;&gt;"","In progress","Not started")))</x:f>
        <x:v>Not started</x:v>
      </x:c>
      <x:c r="M102" s="2" t="str">
        <x:v>Task</x:v>
      </x:c>
      <x:c r="N102" s="2" t="str">
        <x:v>DI.FC.2.7.2026.CY1</x:v>
      </x:c>
      <x:c r="O102" s="2" t="n">
        <x:f>R102</x:f>
        <x:v>0</x:v>
      </x:c>
      <x:c r="P102" s="2"/>
      <x:c r="Q102" s="2" t="n">
        <x:v>1</x:v>
      </x:c>
      <x:c r="R102" s="2" t="n">
        <x:f>IF(A102,1,0)</x:f>
        <x:v>0</x:v>
      </x:c>
      <x:c r="S102" s="2" t="n">
        <x:f>SUBTOTAL(103,N102)</x:f>
        <x:v>1</x:v>
      </x:c>
    </x:row>
    <x:row r="103" ht="42" customHeight="1">
      <x:c r="A103" s="28" t="b">
        <x:v>0</x:v>
      </x:c>
      <x:c r="B103" s="2" t="str">
        <x:v>Cycle 1</x:v>
      </x:c>
      <x:c r="C103" s="2" t="str">
        <x:v>Phase 3</x:v>
      </x:c>
      <x:c r="D103" s="2" t="str">
        <x:v>FCM</x:v>
      </x:c>
      <x:c r="E103" s="56" t="str">
        <x:v>DI.FC.3.1</x:v>
      </x:c>
      <x:c r="F103" s="14" t="str">
        <x:v>Confirm list of required &amp; optional attendees for pre-socialization meeting</x:v>
      </x:c>
      <x:c r="G103" s="5"/>
      <x:c r="H103" s="11"/>
      <x:c r="I103" s="11" t="n">
        <x:f>'Cycles &amp; Guide'!$D$10</x:f>
        <x:v>46112</x:v>
      </x:c>
      <x:c r="J103" s="11"/>
      <x:c r="K103" s="29"/>
      <x:c r="L103" s="2" t="str">
        <x:f>IF(O103=1,"Complete",IF(A103,"Checklist open",IF(H103&lt;&gt;"","In progress","Not started")))</x:f>
        <x:v>Not started</x:v>
      </x:c>
      <x:c r="M103" s="2" t="str">
        <x:v>Task</x:v>
      </x:c>
      <x:c r="N103" s="2" t="str">
        <x:v>DI.FC.3.1.2026.CY1</x:v>
      </x:c>
      <x:c r="O103" s="2" t="n">
        <x:f>R103</x:f>
        <x:v>0</x:v>
      </x:c>
      <x:c r="P103" s="2"/>
      <x:c r="Q103" s="2" t="n">
        <x:v>1</x:v>
      </x:c>
      <x:c r="R103" s="2" t="n">
        <x:f>IF(A103,1,0)</x:f>
        <x:v>0</x:v>
      </x:c>
      <x:c r="S103" s="2" t="n">
        <x:f>SUBTOTAL(103,N103)</x:f>
        <x:v>1</x:v>
      </x:c>
    </x:row>
    <x:row r="104" ht="42" customHeight="1">
      <x:c r="A104" s="28" t="b">
        <x:v>0</x:v>
      </x:c>
      <x:c r="B104" s="2" t="str">
        <x:v>Cycle 1</x:v>
      </x:c>
      <x:c r="C104" s="2" t="str">
        <x:v>Phase 3</x:v>
      </x:c>
      <x:c r="D104" s="2" t="str">
        <x:v>FCM</x:v>
      </x:c>
      <x:c r="E104" s="56" t="str">
        <x:v>DI.FC.3.2</x:v>
      </x:c>
      <x:c r="F104" s="14" t="str">
        <x:v>Schedule pre-socialization meeting 1 week prior to RCA Forum</x:v>
      </x:c>
      <x:c r="G104" s="5"/>
      <x:c r="H104" s="11"/>
      <x:c r="I104" s="11" t="str">
        <x:f>IF(SUMIFS('Cycles &amp; Guide'!$D$23:$D$50,'Cycles &amp; Guide'!$B$23:$B$50,B104,'Cycles &amp; Guide'!$C$23:$C$50,D104)=0,"",SUMIFS('Cycles &amp; Guide'!$D$23:$D$50,'Cycles &amp; Guide'!$B$23:$B$50,B104,'Cycles &amp; Guide'!$C$23:$C$50,D104)-7)</x:f>
      </x:c>
      <x:c r="J104" s="11"/>
      <x:c r="K104" s="29"/>
      <x:c r="L104" s="2" t="str">
        <x:f>IF(O104=1,"Complete",IF(A104,"Checklist open",IF(H104&lt;&gt;"","In progress","Not started")))</x:f>
        <x:v>Not started</x:v>
      </x:c>
      <x:c r="M104" s="2" t="str">
        <x:v>Task</x:v>
      </x:c>
      <x:c r="N104" s="2" t="str">
        <x:v>DI.FC.3.2.2026.CY1</x:v>
      </x:c>
      <x:c r="O104" s="2" t="n">
        <x:f>R104</x:f>
        <x:v>0</x:v>
      </x:c>
      <x:c r="P104" s="2"/>
      <x:c r="Q104" s="2" t="n">
        <x:v>1</x:v>
      </x:c>
      <x:c r="R104" s="2" t="n">
        <x:f>IF(A104,1,0)</x:f>
        <x:v>0</x:v>
      </x:c>
      <x:c r="S104" s="2" t="n">
        <x:f>SUBTOTAL(103,N104)</x:f>
        <x:v>1</x:v>
      </x:c>
    </x:row>
    <x:row r="105" ht="42" customHeight="1">
      <x:c r="A105" s="28" t="b">
        <x:v>0</x:v>
      </x:c>
      <x:c r="B105" s="2" t="str">
        <x:v>Cycle 1</x:v>
      </x:c>
      <x:c r="C105" s="2" t="str">
        <x:v>Phase 3</x:v>
      </x:c>
      <x:c r="D105" s="2" t="str">
        <x:v>FCM</x:v>
      </x:c>
      <x:c r="E105" s="56" t="str">
        <x:v>DI.FC.3.3</x:v>
      </x:c>
      <x:c r="F105" s="14" t="str">
        <x:v>Present findings, conclusions, and recommendation to SMEs</x:v>
      </x:c>
      <x:c r="G105" s="5"/>
      <x:c r="H105" s="11"/>
      <x:c r="I105" s="11" t="n">
        <x:f>'Cycles &amp; Guide'!$D$10</x:f>
        <x:v>46112</x:v>
      </x:c>
      <x:c r="J105" s="11"/>
      <x:c r="K105" s="29"/>
      <x:c r="L105" s="2" t="str">
        <x:f>IF(O105=1,"Complete",IF(A105,"Checklist open",IF(H105&lt;&gt;"","In progress","Not started")))</x:f>
        <x:v>Not started</x:v>
      </x:c>
      <x:c r="M105" s="2" t="str">
        <x:v>Task</x:v>
      </x:c>
      <x:c r="N105" s="2" t="str">
        <x:v>DI.FC.3.3.2026.CY1</x:v>
      </x:c>
      <x:c r="O105" s="2" t="n">
        <x:f>R105</x:f>
        <x:v>0</x:v>
      </x:c>
      <x:c r="P105" s="2"/>
      <x:c r="Q105" s="2" t="n">
        <x:v>1</x:v>
      </x:c>
      <x:c r="R105" s="2" t="n">
        <x:f>IF(A105,1,0)</x:f>
        <x:v>0</x:v>
      </x:c>
      <x:c r="S105" s="2" t="n">
        <x:f>SUBTOTAL(103,N105)</x:f>
        <x:v>1</x:v>
      </x:c>
    </x:row>
    <x:row r="106" ht="42" customHeight="1">
      <x:c r="A106" s="28" t="b">
        <x:v>0</x:v>
      </x:c>
      <x:c r="B106" s="2" t="str">
        <x:v>Cycle 1</x:v>
      </x:c>
      <x:c r="C106" s="2" t="str">
        <x:v>Phase 3</x:v>
      </x:c>
      <x:c r="D106" s="2" t="str">
        <x:v>FCM</x:v>
      </x:c>
      <x:c r="E106" s="56" t="str">
        <x:v>DI.FC.3.4</x:v>
      </x:c>
      <x:c r="F106" s="14" t="str">
        <x:v>Update Outcome portion of research plan (as needed)</x:v>
      </x:c>
      <x:c r="G106" s="5"/>
      <x:c r="H106" s="11"/>
      <x:c r="I106" s="11" t="n">
        <x:f>'Cycles &amp; Guide'!$D$10</x:f>
        <x:v>46112</x:v>
      </x:c>
      <x:c r="J106" s="11"/>
      <x:c r="K106" s="29"/>
      <x:c r="L106" s="2" t="str">
        <x:f>IF(O106=1,"Complete",IF(A106,"Checklist open",IF(H106&lt;&gt;"","In progress","Not started")))</x:f>
        <x:v>Not started</x:v>
      </x:c>
      <x:c r="M106" s="2" t="str">
        <x:v>Task</x:v>
      </x:c>
      <x:c r="N106" s="2" t="str">
        <x:v>DI.FC.3.4.2026.CY1</x:v>
      </x:c>
      <x:c r="O106" s="2" t="n">
        <x:f>R106</x:f>
        <x:v>0</x:v>
      </x:c>
      <x:c r="P106" s="2"/>
      <x:c r="Q106" s="2" t="n">
        <x:v>1</x:v>
      </x:c>
      <x:c r="R106" s="2" t="n">
        <x:f>IF(A106,1,0)</x:f>
        <x:v>0</x:v>
      </x:c>
      <x:c r="S106" s="2" t="n">
        <x:f>SUBTOTAL(103,N106)</x:f>
        <x:v>1</x:v>
      </x:c>
    </x:row>
    <x:row r="107" ht="42" customHeight="1">
      <x:c r="A107" s="28" t="b">
        <x:v>0</x:v>
      </x:c>
      <x:c r="B107" s="2" t="str">
        <x:v>Cycle 1</x:v>
      </x:c>
      <x:c r="C107" s="2" t="str">
        <x:v>Phase 3</x:v>
      </x:c>
      <x:c r="D107" s="2" t="str">
        <x:v>FCM</x:v>
      </x:c>
      <x:c r="E107" s="56" t="str">
        <x:v>DI.FC.3.5</x:v>
      </x:c>
      <x:c r="F107" s="14" t="str">
        <x:v>Finalize presentation deck by incorporating pre-socialization feedback (as needed)</x:v>
      </x:c>
      <x:c r="G107" s="5"/>
      <x:c r="H107" s="11"/>
      <x:c r="I107" s="11" t="n">
        <x:f>'Cycles &amp; Guide'!$D$10</x:f>
        <x:v>46112</x:v>
      </x:c>
      <x:c r="J107" s="11"/>
      <x:c r="K107" s="29"/>
      <x:c r="L107" s="2" t="str">
        <x:f>IF(O107=1,"Complete",IF(A107,"Checklist open",IF(H107&lt;&gt;"","In progress","Not started")))</x:f>
        <x:v>Not started</x:v>
      </x:c>
      <x:c r="M107" s="2" t="str">
        <x:v>Task</x:v>
      </x:c>
      <x:c r="N107" s="2" t="str">
        <x:v>DI.FC.3.5.2026.CY1</x:v>
      </x:c>
      <x:c r="O107" s="2" t="n">
        <x:f>R107</x:f>
        <x:v>0</x:v>
      </x:c>
      <x:c r="P107" s="2"/>
      <x:c r="Q107" s="2" t="n">
        <x:v>1</x:v>
      </x:c>
      <x:c r="R107" s="2" t="n">
        <x:f>IF(A107,1,0)</x:f>
        <x:v>0</x:v>
      </x:c>
      <x:c r="S107" s="2" t="n">
        <x:f>SUBTOTAL(103,N107)</x:f>
        <x:v>1</x:v>
      </x:c>
    </x:row>
    <x:row r="108" ht="42" customHeight="1">
      <x:c r="A108" s="28" t="b">
        <x:v>0</x:v>
      </x:c>
      <x:c r="B108" s="2" t="str">
        <x:v>Cycle 1</x:v>
      </x:c>
      <x:c r="C108" s="2" t="str">
        <x:v>Phase 3</x:v>
      </x:c>
      <x:c r="D108" s="2" t="str">
        <x:v>FCM</x:v>
      </x:c>
      <x:c r="E108" s="56" t="str">
        <x:v>DI.FC.3.6</x:v>
      </x:c>
      <x:c r="F108" s="14" t="str">
        <x:v>Ensure final deck is communicated to Forum attendees</x:v>
      </x:c>
      <x:c r="G108" s="5"/>
      <x:c r="H108" s="11"/>
      <x:c r="I108" s="11" t="n">
        <x:f>'Cycles &amp; Guide'!$D$10</x:f>
        <x:v>46112</x:v>
      </x:c>
      <x:c r="J108" s="11"/>
      <x:c r="K108" s="29"/>
      <x:c r="L108" s="2" t="str">
        <x:f>IF(O108=1,"Complete",IF(A108,"Checklist open",IF(H108&lt;&gt;"","In progress","Not started")))</x:f>
        <x:v>Not started</x:v>
      </x:c>
      <x:c r="M108" s="2" t="str">
        <x:v>Task</x:v>
      </x:c>
      <x:c r="N108" s="2" t="str">
        <x:v>DI.FC.3.6.2026.CY1</x:v>
      </x:c>
      <x:c r="O108" s="2" t="n">
        <x:f>R108</x:f>
        <x:v>0</x:v>
      </x:c>
      <x:c r="P108" s="2"/>
      <x:c r="Q108" s="2" t="n">
        <x:v>1</x:v>
      </x:c>
      <x:c r="R108" s="2" t="n">
        <x:f>IF(A108,1,0)</x:f>
        <x:v>0</x:v>
      </x:c>
      <x:c r="S108" s="2" t="n">
        <x:f>SUBTOTAL(103,N108)</x:f>
        <x:v>1</x:v>
      </x:c>
    </x:row>
    <x:row r="109" ht="42" customHeight="1">
      <x:c r="A109" s="28" t="b">
        <x:v>0</x:v>
      </x:c>
      <x:c r="B109" s="2" t="str">
        <x:v>Cycle 1</x:v>
      </x:c>
      <x:c r="C109" s="2" t="str">
        <x:v>Phase 3</x:v>
      </x:c>
      <x:c r="D109" s="2" t="str">
        <x:v>FCM</x:v>
      </x:c>
      <x:c r="E109" s="56" t="str">
        <x:v>DI.FC.3.7</x:v>
      </x:c>
      <x:c r="F109" s="14" t="str">
        <x:v>Present material in RCA Cycle Forum</x:v>
      </x:c>
      <x:c r="G109" s="5"/>
      <x:c r="H109" s="11"/>
      <x:c r="I109" s="11" t="str">
        <x:f>IF(SUMIFS('Cycles &amp; Guide'!$D$23:$D$50,'Cycles &amp; Guide'!$B$23:$B$50,B109,'Cycles &amp; Guide'!$C$23:$C$50,D109)=0,"",SUMIFS('Cycles &amp; Guide'!$D$23:$D$50,'Cycles &amp; Guide'!$B$23:$B$50,B109,'Cycles &amp; Guide'!$C$23:$C$50,D109))</x:f>
      </x:c>
      <x:c r="J109" s="11"/>
      <x:c r="K109" s="29"/>
      <x:c r="L109" s="2" t="str">
        <x:f>IF(O109=1,"Complete",IF(A109,"Checklist open",IF(H109&lt;&gt;"","In progress","Not started")))</x:f>
        <x:v>Not started</x:v>
      </x:c>
      <x:c r="M109" s="2" t="str">
        <x:v>Task</x:v>
      </x:c>
      <x:c r="N109" s="2" t="str">
        <x:v>DI.FC.3.7.2026.CY1</x:v>
      </x:c>
      <x:c r="O109" s="2" t="n">
        <x:f>R109</x:f>
        <x:v>0</x:v>
      </x:c>
      <x:c r="P109" s="2"/>
      <x:c r="Q109" s="2" t="n">
        <x:v>1</x:v>
      </x:c>
      <x:c r="R109" s="2" t="n">
        <x:f>IF(A109,1,0)</x:f>
        <x:v>0</x:v>
      </x:c>
      <x:c r="S109" s="2" t="n">
        <x:f>SUBTOTAL(103,N109)</x:f>
        <x:v>1</x:v>
      </x:c>
    </x:row>
    <x:row r="110" ht="42" customHeight="1">
      <x:c r="A110" s="28" t="b">
        <x:v>0</x:v>
      </x:c>
      <x:c r="B110" s="2" t="str">
        <x:v>Cycle 1</x:v>
      </x:c>
      <x:c r="C110" s="2" t="str">
        <x:v>Phase 1</x:v>
      </x:c>
      <x:c r="D110" s="2" t="str">
        <x:v>PLL</x:v>
      </x:c>
      <x:c r="E110" s="56" t="str">
        <x:v>DI.PL.1.1</x:v>
      </x:c>
      <x:c r="F110" s="14" t="str">
        <x:v>Receive and review potential research topics at least 2 weeks prior to Cycle start date</x:v>
      </x:c>
      <x:c r="G110" s="5"/>
      <x:c r="H110" s="11"/>
      <x:c r="I110" s="11" t="n">
        <x:f>'Cycles &amp; Guide'!$C$10-14</x:f>
        <x:v>46009</x:v>
      </x:c>
      <x:c r="J110" s="11"/>
      <x:c r="K110" s="29"/>
      <x:c r="L110" s="2" t="str">
        <x:f>IF(O110=1,"Complete",IF(A110,"Checklist open",IF(H110&lt;&gt;"","In progress","Not started")))</x:f>
        <x:v>Not started</x:v>
      </x:c>
      <x:c r="M110" s="2" t="str">
        <x:v>Task</x:v>
      </x:c>
      <x:c r="N110" s="2" t="str">
        <x:v>DI.PL.1.1.2026.CY1</x:v>
      </x:c>
      <x:c r="O110" s="2" t="n">
        <x:f>R110</x:f>
        <x:v>0</x:v>
      </x:c>
      <x:c r="P110" s="2"/>
      <x:c r="Q110" s="2" t="n">
        <x:v>1</x:v>
      </x:c>
      <x:c r="R110" s="2" t="n">
        <x:f>IF(A110,1,0)</x:f>
        <x:v>0</x:v>
      </x:c>
      <x:c r="S110" s="2" t="n">
        <x:f>SUBTOTAL(103,N110)</x:f>
        <x:v>1</x:v>
      </x:c>
    </x:row>
    <x:row r="111" ht="42" customHeight="1">
      <x:c r="A111" s="28" t="b">
        <x:v>0</x:v>
      </x:c>
      <x:c r="B111" s="2" t="str">
        <x:v>Cycle 1</x:v>
      </x:c>
      <x:c r="C111" s="2" t="str">
        <x:v>Phase 1</x:v>
      </x:c>
      <x:c r="D111" s="2" t="str">
        <x:v>PLL</x:v>
      </x:c>
      <x:c r="E111" s="56" t="str">
        <x:v>DI.PL.1.2</x:v>
      </x:c>
      <x:c r="F111" s="14" t="str">
        <x:v>Communicate any feedback on preferences or concerns with topics identified</x:v>
      </x:c>
      <x:c r="G111" s="5"/>
      <x:c r="H111" s="11"/>
      <x:c r="I111" s="11" t="n">
        <x:f>'Cycles &amp; Guide'!$D$10</x:f>
        <x:v>46112</x:v>
      </x:c>
      <x:c r="J111" s="11"/>
      <x:c r="K111" s="29"/>
      <x:c r="L111" s="2" t="str">
        <x:f>IF(O111=1,"Complete",IF(A111,"Checklist open",IF(H111&lt;&gt;"","In progress","Not started")))</x:f>
        <x:v>Not started</x:v>
      </x:c>
      <x:c r="M111" s="2" t="str">
        <x:v>Task</x:v>
      </x:c>
      <x:c r="N111" s="2" t="str">
        <x:v>DI.PL.1.2.2026.CY1</x:v>
      </x:c>
      <x:c r="O111" s="2" t="n">
        <x:f>R111</x:f>
        <x:v>0</x:v>
      </x:c>
      <x:c r="P111" s="2"/>
      <x:c r="Q111" s="2" t="n">
        <x:v>1</x:v>
      </x:c>
      <x:c r="R111" s="2" t="n">
        <x:f>IF(A111,1,0)</x:f>
        <x:v>0</x:v>
      </x:c>
      <x:c r="S111" s="2" t="n">
        <x:f>SUBTOTAL(103,N111)</x:f>
        <x:v>1</x:v>
      </x:c>
    </x:row>
    <x:row r="112" ht="42" customHeight="1">
      <x:c r="A112" s="28" t="b">
        <x:v>0</x:v>
      </x:c>
      <x:c r="B112" s="2" t="str">
        <x:v>Cycle 1</x:v>
      </x:c>
      <x:c r="C112" s="2" t="str">
        <x:v>Phase 1</x:v>
      </x:c>
      <x:c r="D112" s="2" t="str">
        <x:v>PLL</x:v>
      </x:c>
      <x:c r="E112" s="56" t="str">
        <x:v>DI.PL.1.3</x:v>
      </x:c>
      <x:c r="F112" s="14" t="str">
        <x:v>Conduct high-level preliminary review of complaints within proposed topics</x:v>
      </x:c>
      <x:c r="G112" s="5"/>
      <x:c r="H112" s="11"/>
      <x:c r="I112" s="11" t="n">
        <x:f>'Cycles &amp; Guide'!$D$10</x:f>
        <x:v>46112</x:v>
      </x:c>
      <x:c r="J112" s="11"/>
      <x:c r="K112" s="29"/>
      <x:c r="L112" s="2" t="str">
        <x:f>IF(O112=1,"Complete",IF(A112,"Checklist open",IF(H112&lt;&gt;"","In progress","Not started")))</x:f>
        <x:v>Not started</x:v>
      </x:c>
      <x:c r="M112" s="2" t="str">
        <x:v>Task</x:v>
      </x:c>
      <x:c r="N112" s="2" t="str">
        <x:v>DI.PL.1.3.2026.CY1</x:v>
      </x:c>
      <x:c r="O112" s="2" t="n">
        <x:f>R112</x:f>
        <x:v>0</x:v>
      </x:c>
      <x:c r="P112" s="2"/>
      <x:c r="Q112" s="2" t="n">
        <x:v>1</x:v>
      </x:c>
      <x:c r="R112" s="2" t="n">
        <x:f>IF(A112,1,0)</x:f>
        <x:v>0</x:v>
      </x:c>
      <x:c r="S112" s="2" t="n">
        <x:f>SUBTOTAL(103,N112)</x:f>
        <x:v>1</x:v>
      </x:c>
    </x:row>
    <x:row r="113" ht="42" customHeight="1">
      <x:c r="A113" s="28" t="b">
        <x:v>0</x:v>
      </x:c>
      <x:c r="B113" s="2" t="str">
        <x:v>Cycle 1</x:v>
      </x:c>
      <x:c r="C113" s="2" t="str">
        <x:v>Phase 1</x:v>
      </x:c>
      <x:c r="D113" s="2" t="str">
        <x:v>PLL</x:v>
      </x:c>
      <x:c r="E113" s="56" t="str">
        <x:v>DI.PL.1.4</x:v>
      </x:c>
      <x:c r="F113" s="14" t="str">
        <x:v>Meet with Research to discuss which topic to select based on potential impact</x:v>
      </x:c>
      <x:c r="G113" s="5"/>
      <x:c r="H113" s="11"/>
      <x:c r="I113" s="11" t="n">
        <x:f>'Cycles &amp; Guide'!$D$10</x:f>
        <x:v>46112</x:v>
      </x:c>
      <x:c r="J113" s="11"/>
      <x:c r="K113" s="29"/>
      <x:c r="L113" s="2" t="str">
        <x:f>IF(O113=1,"Complete",IF(A113,"Checklist open",IF(H113&lt;&gt;"","In progress","Not started")))</x:f>
        <x:v>Not started</x:v>
      </x:c>
      <x:c r="M113" s="2" t="str">
        <x:v>Task</x:v>
      </x:c>
      <x:c r="N113" s="2" t="str">
        <x:v>DI.PL.1.4.2026.CY1</x:v>
      </x:c>
      <x:c r="O113" s="2" t="n">
        <x:f>R113</x:f>
        <x:v>0</x:v>
      </x:c>
      <x:c r="P113" s="2"/>
      <x:c r="Q113" s="2" t="n">
        <x:v>1</x:v>
      </x:c>
      <x:c r="R113" s="2" t="n">
        <x:f>IF(A113,1,0)</x:f>
        <x:v>0</x:v>
      </x:c>
      <x:c r="S113" s="2" t="n">
        <x:f>SUBTOTAL(103,N113)</x:f>
        <x:v>1</x:v>
      </x:c>
    </x:row>
    <x:row r="114" ht="42" customHeight="1">
      <x:c r="A114" s="28" t="b">
        <x:v>0</x:v>
      </x:c>
      <x:c r="B114" s="2" t="str">
        <x:v>Cycle 1</x:v>
      </x:c>
      <x:c r="C114" s="2" t="str">
        <x:v>Phase 1</x:v>
      </x:c>
      <x:c r="D114" s="2" t="str">
        <x:v>PLL</x:v>
      </x:c>
      <x:c r="E114" s="56" t="str">
        <x:v>DI.PL.1.5</x:v>
      </x:c>
      <x:c r="F114" s="14" t="str">
        <x:v>Confirm with Research the recommended topic for approval</x:v>
      </x:c>
      <x:c r="G114" s="5"/>
      <x:c r="H114" s="11"/>
      <x:c r="I114" s="11" t="n">
        <x:f>'Cycles &amp; Guide'!$D$10</x:f>
        <x:v>46112</x:v>
      </x:c>
      <x:c r="J114" s="11"/>
      <x:c r="K114" s="29"/>
      <x:c r="L114" s="2" t="str">
        <x:f>IF(O114=1,"Complete",IF(A114,"Checklist open",IF(H114&lt;&gt;"","In progress","Not started")))</x:f>
        <x:v>Not started</x:v>
      </x:c>
      <x:c r="M114" s="2" t="str">
        <x:v>Task</x:v>
      </x:c>
      <x:c r="N114" s="2" t="str">
        <x:v>DI.PL.1.5.2026.CY1</x:v>
      </x:c>
      <x:c r="O114" s="2" t="n">
        <x:f>R114</x:f>
        <x:v>0</x:v>
      </x:c>
      <x:c r="P114" s="2"/>
      <x:c r="Q114" s="2" t="n">
        <x:v>1</x:v>
      </x:c>
      <x:c r="R114" s="2" t="n">
        <x:f>IF(A114,1,0)</x:f>
        <x:v>0</x:v>
      </x:c>
      <x:c r="S114" s="2" t="n">
        <x:f>SUBTOTAL(103,N114)</x:f>
        <x:v>1</x:v>
      </x:c>
    </x:row>
    <x:row r="115" ht="42" customHeight="1">
      <x:c r="A115" s="28" t="b">
        <x:v>0</x:v>
      </x:c>
      <x:c r="B115" s="2" t="str">
        <x:v>Cycle 1</x:v>
      </x:c>
      <x:c r="C115" s="2" t="str">
        <x:v>Phase 1</x:v>
      </x:c>
      <x:c r="D115" s="2" t="str">
        <x:v>PLL</x:v>
      </x:c>
      <x:c r="E115" s="56" t="str">
        <x:v>DI.PL.1.6</x:v>
      </x:c>
      <x:c r="F115" s="14" t="str">
        <x:v>Send topic selection socialization email to all key stakeholders on the first day of the review Cycle</x:v>
      </x:c>
      <x:c r="G115" s="5"/>
      <x:c r="H115" s="11"/>
      <x:c r="I115" s="11" t="n">
        <x:f>'Cycles &amp; Guide'!$C$10</x:f>
        <x:v>46023</x:v>
      </x:c>
      <x:c r="J115" s="11"/>
      <x:c r="K115" s="29"/>
      <x:c r="L115" s="2" t="str">
        <x:f>IF(O115=1,"Complete",IF(A115,"Checklist open",IF(H115&lt;&gt;"","In progress","Not started")))</x:f>
        <x:v>Not started</x:v>
      </x:c>
      <x:c r="M115" s="2" t="str">
        <x:v>Task</x:v>
      </x:c>
      <x:c r="N115" s="2" t="str">
        <x:v>DI.PL.1.6.2026.CY1</x:v>
      </x:c>
      <x:c r="O115" s="2" t="n">
        <x:f>R115</x:f>
        <x:v>0</x:v>
      </x:c>
      <x:c r="P115" s="2"/>
      <x:c r="Q115" s="2" t="n">
        <x:v>1</x:v>
      </x:c>
      <x:c r="R115" s="2" t="n">
        <x:f>IF(A115,1,0)</x:f>
        <x:v>0</x:v>
      </x:c>
      <x:c r="S115" s="2" t="n">
        <x:f>SUBTOTAL(103,N115)</x:f>
        <x:v>1</x:v>
      </x:c>
    </x:row>
    <x:row r="116" ht="42" customHeight="1">
      <x:c r="A116" s="28" t="b">
        <x:v>0</x:v>
      </x:c>
      <x:c r="B116" s="2" t="str">
        <x:v>Cycle 1</x:v>
      </x:c>
      <x:c r="C116" s="2" t="str">
        <x:v>Phase 2</x:v>
      </x:c>
      <x:c r="D116" s="2" t="str">
        <x:v>PLL</x:v>
      </x:c>
      <x:c r="E116" s="56" t="str">
        <x:v>DI.PL.2.1</x:v>
      </x:c>
      <x:c r="F116" s="14" t="str">
        <x:v>Meet regularly with Research to stay informed on progress, findings, and potential enhancement</x:v>
      </x:c>
      <x:c r="G116" s="5"/>
      <x:c r="H116" s="11"/>
      <x:c r="I116" s="11" t="n">
        <x:f>'Cycles &amp; Guide'!$D$10</x:f>
        <x:v>46112</x:v>
      </x:c>
      <x:c r="J116" s="11"/>
      <x:c r="K116" s="29"/>
      <x:c r="L116" s="2" t="str">
        <x:f>IF(O116=1,"Complete",IF(A116,"Checklist open",IF(H116&lt;&gt;"","In progress","Not started")))</x:f>
        <x:v>Not started</x:v>
      </x:c>
      <x:c r="M116" s="2" t="str">
        <x:v>Task</x:v>
      </x:c>
      <x:c r="N116" s="2" t="str">
        <x:v>DI.PL.2.1.2026.CY1</x:v>
      </x:c>
      <x:c r="O116" s="2" t="n">
        <x:f>R116</x:f>
        <x:v>0</x:v>
      </x:c>
      <x:c r="P116" s="2"/>
      <x:c r="Q116" s="2" t="n">
        <x:v>1</x:v>
      </x:c>
      <x:c r="R116" s="2" t="n">
        <x:f>IF(A116,1,0)</x:f>
        <x:v>0</x:v>
      </x:c>
      <x:c r="S116" s="2" t="n">
        <x:f>SUBTOTAL(103,N116)</x:f>
        <x:v>1</x:v>
      </x:c>
    </x:row>
    <x:row r="117" ht="42" customHeight="1">
      <x:c r="A117" s="28" t="b">
        <x:v>0</x:v>
      </x:c>
      <x:c r="B117" s="2" t="str">
        <x:v>Cycle 1</x:v>
      </x:c>
      <x:c r="C117" s="2" t="str">
        <x:v>Phase 2</x:v>
      </x:c>
      <x:c r="D117" s="2" t="str">
        <x:v>PLL</x:v>
      </x:c>
      <x:c r="E117" s="56" t="str">
        <x:v>DI.PL.2.2</x:v>
      </x:c>
      <x:c r="F117" s="14" t="str">
        <x:v>Collaborate with Research on research plan specifics</x:v>
      </x:c>
      <x:c r="G117" s="5"/>
      <x:c r="H117" s="11"/>
      <x:c r="I117" s="11" t="n">
        <x:f>'Cycles &amp; Guide'!$D$10</x:f>
        <x:v>46112</x:v>
      </x:c>
      <x:c r="J117" s="11"/>
      <x:c r="K117" s="29"/>
      <x:c r="L117" s="2" t="str">
        <x:f>IF(O117=1,"Complete",IF(A117,"Checklist open",IF(H117&lt;&gt;"","In progress","Not started")))</x:f>
        <x:v>Not started</x:v>
      </x:c>
      <x:c r="M117" s="2" t="str">
        <x:v>Task</x:v>
      </x:c>
      <x:c r="N117" s="2" t="str">
        <x:v>DI.PL.2.2.2026.CY1</x:v>
      </x:c>
      <x:c r="O117" s="2" t="n">
        <x:f>R117</x:f>
        <x:v>0</x:v>
      </x:c>
      <x:c r="P117" s="2"/>
      <x:c r="Q117" s="2" t="n">
        <x:v>1</x:v>
      </x:c>
      <x:c r="R117" s="2" t="n">
        <x:f>IF(A117,1,0)</x:f>
        <x:v>0</x:v>
      </x:c>
      <x:c r="S117" s="2" t="n">
        <x:f>SUBTOTAL(103,N117)</x:f>
        <x:v>1</x:v>
      </x:c>
    </x:row>
    <x:row r="118" ht="42" customHeight="1">
      <x:c r="A118" s="28" t="b">
        <x:v>0</x:v>
      </x:c>
      <x:c r="B118" s="2" t="str">
        <x:v>Cycle 1</x:v>
      </x:c>
      <x:c r="C118" s="2" t="str">
        <x:v>Phase 2</x:v>
      </x:c>
      <x:c r="D118" s="2" t="str">
        <x:v>PLL</x:v>
      </x:c>
      <x:c r="E118" s="56" t="str">
        <x:v>DI.PL.2.3</x:v>
      </x:c>
      <x:c r="F118" s="14" t="str">
        <x:v>Participate in SME insight meetings to gain perspective and appetite on potential enhancements</x:v>
      </x:c>
      <x:c r="G118" s="5"/>
      <x:c r="H118" s="11"/>
      <x:c r="I118" s="11" t="n">
        <x:f>'Cycles &amp; Guide'!$D$10</x:f>
        <x:v>46112</x:v>
      </x:c>
      <x:c r="J118" s="11"/>
      <x:c r="K118" s="29"/>
      <x:c r="L118" s="2" t="str">
        <x:f>IF(O118=1,"Complete",IF(A118,"Checklist open",IF(H118&lt;&gt;"","In progress","Not started")))</x:f>
        <x:v>Not started</x:v>
      </x:c>
      <x:c r="M118" s="2" t="str">
        <x:v>Task</x:v>
      </x:c>
      <x:c r="N118" s="2" t="str">
        <x:v>DI.PL.2.3.2026.CY1</x:v>
      </x:c>
      <x:c r="O118" s="2" t="n">
        <x:f>R118</x:f>
        <x:v>0</x:v>
      </x:c>
      <x:c r="P118" s="2"/>
      <x:c r="Q118" s="2" t="n">
        <x:v>1</x:v>
      </x:c>
      <x:c r="R118" s="2" t="n">
        <x:f>IF(A118,1,0)</x:f>
        <x:v>0</x:v>
      </x:c>
      <x:c r="S118" s="2" t="n">
        <x:f>SUBTOTAL(103,N118)</x:f>
        <x:v>1</x:v>
      </x:c>
    </x:row>
    <x:row r="119" ht="42" customHeight="1">
      <x:c r="A119" s="28" t="b">
        <x:v>0</x:v>
      </x:c>
      <x:c r="B119" s="2" t="str">
        <x:v>Cycle 1</x:v>
      </x:c>
      <x:c r="C119" s="2" t="str">
        <x:v>Phase 2</x:v>
      </x:c>
      <x:c r="D119" s="2" t="str">
        <x:v>PLL</x:v>
      </x:c>
      <x:c r="E119" s="56" t="str">
        <x:v>DI.PL.2.4</x:v>
      </x:c>
      <x:c r="F119" s="14" t="str">
        <x:v>Begin development of presentation materials as Research is being completed</x:v>
      </x:c>
      <x:c r="G119" s="5"/>
      <x:c r="H119" s="11"/>
      <x:c r="I119" s="11" t="n">
        <x:f>'Cycles &amp; Guide'!$D$10</x:f>
        <x:v>46112</x:v>
      </x:c>
      <x:c r="J119" s="11"/>
      <x:c r="K119" s="29"/>
      <x:c r="L119" s="2" t="str">
        <x:f>IF(O119=1,"Complete",IF(A119,"Checklist open",IF(H119&lt;&gt;"","In progress","Not started")))</x:f>
        <x:v>Not started</x:v>
      </x:c>
      <x:c r="M119" s="2" t="str">
        <x:v>Task</x:v>
      </x:c>
      <x:c r="N119" s="2" t="str">
        <x:v>DI.PL.2.4.2026.CY1</x:v>
      </x:c>
      <x:c r="O119" s="2" t="n">
        <x:f>R119</x:f>
        <x:v>0</x:v>
      </x:c>
      <x:c r="P119" s="2"/>
      <x:c r="Q119" s="2" t="n">
        <x:v>1</x:v>
      </x:c>
      <x:c r="R119" s="2" t="n">
        <x:f>IF(A119,1,0)</x:f>
        <x:v>0</x:v>
      </x:c>
      <x:c r="S119" s="2" t="n">
        <x:f>SUBTOTAL(103,N119)</x:f>
        <x:v>1</x:v>
      </x:c>
    </x:row>
    <x:row r="120" ht="42" customHeight="1">
      <x:c r="A120" s="28" t="b">
        <x:v>0</x:v>
      </x:c>
      <x:c r="B120" s="2" t="str">
        <x:v>Cycle 1</x:v>
      </x:c>
      <x:c r="C120" s="2" t="str">
        <x:v>Phase 2</x:v>
      </x:c>
      <x:c r="D120" s="2" t="str">
        <x:v>PLL</x:v>
      </x:c>
      <x:c r="E120" s="56" t="str">
        <x:v>DI.PL.2.5</x:v>
      </x:c>
      <x:c r="F120" s="14" t="str">
        <x:v>Draft initial enhancement recommendations (as applicable)</x:v>
      </x:c>
      <x:c r="G120" s="5"/>
      <x:c r="H120" s="11"/>
      <x:c r="I120" s="11" t="n">
        <x:f>'Cycles &amp; Guide'!$D$10</x:f>
        <x:v>46112</x:v>
      </x:c>
      <x:c r="J120" s="11"/>
      <x:c r="K120" s="29"/>
      <x:c r="L120" s="2" t="str">
        <x:f>IF(O120=1,"Complete",IF(A120,"Checklist open",IF(H120&lt;&gt;"","In progress","Not started")))</x:f>
        <x:v>Not started</x:v>
      </x:c>
      <x:c r="M120" s="2" t="str">
        <x:v>Task</x:v>
      </x:c>
      <x:c r="N120" s="2" t="str">
        <x:v>DI.PL.2.5.2026.CY1</x:v>
      </x:c>
      <x:c r="O120" s="2" t="n">
        <x:f>R120</x:f>
        <x:v>0</x:v>
      </x:c>
      <x:c r="P120" s="2"/>
      <x:c r="Q120" s="2" t="n">
        <x:v>1</x:v>
      </x:c>
      <x:c r="R120" s="2" t="n">
        <x:f>IF(A120,1,0)</x:f>
        <x:v>0</x:v>
      </x:c>
      <x:c r="S120" s="2" t="n">
        <x:f>SUBTOTAL(103,N120)</x:f>
        <x:v>1</x:v>
      </x:c>
    </x:row>
    <x:row r="121" ht="42" customHeight="1">
      <x:c r="A121" s="28" t="b">
        <x:v>0</x:v>
      </x:c>
      <x:c r="B121" s="2" t="str">
        <x:v>Cycle 1</x:v>
      </x:c>
      <x:c r="C121" s="2" t="str">
        <x:v>Phase 2</x:v>
      </x:c>
      <x:c r="D121" s="2" t="str">
        <x:v>PLL</x:v>
      </x:c>
      <x:c r="E121" s="56" t="str">
        <x:v>DI.PL.2.6</x:v>
      </x:c>
      <x:c r="F121" s="14" t="str">
        <x:v>Finalize presentation deck draft at conclusion of Research phase</x:v>
      </x:c>
      <x:c r="G121" s="5"/>
      <x:c r="H121" s="11"/>
      <x:c r="I121" s="11" t="n">
        <x:f>'Cycles &amp; Guide'!$D$10</x:f>
        <x:v>46112</x:v>
      </x:c>
      <x:c r="J121" s="11"/>
      <x:c r="K121" s="29"/>
      <x:c r="L121" s="2" t="str">
        <x:f>IF(O121=1,"Complete",IF(A121,"Checklist open",IF(H121&lt;&gt;"","In progress","Not started")))</x:f>
        <x:v>Not started</x:v>
      </x:c>
      <x:c r="M121" s="2" t="str">
        <x:v>Task</x:v>
      </x:c>
      <x:c r="N121" s="2" t="str">
        <x:v>DI.PL.2.6.2026.CY1</x:v>
      </x:c>
      <x:c r="O121" s="2" t="n">
        <x:f>R121</x:f>
        <x:v>0</x:v>
      </x:c>
      <x:c r="P121" s="2"/>
      <x:c r="Q121" s="2" t="n">
        <x:v>1</x:v>
      </x:c>
      <x:c r="R121" s="2" t="n">
        <x:f>IF(A121,1,0)</x:f>
        <x:v>0</x:v>
      </x:c>
      <x:c r="S121" s="2" t="n">
        <x:f>SUBTOTAL(103,N121)</x:f>
        <x:v>1</x:v>
      </x:c>
    </x:row>
    <x:row r="122" ht="42" customHeight="1">
      <x:c r="A122" s="28" t="b">
        <x:v>0</x:v>
      </x:c>
      <x:c r="B122" s="2" t="str">
        <x:v>Cycle 1</x:v>
      </x:c>
      <x:c r="C122" s="2" t="str">
        <x:v>Phase 2</x:v>
      </x:c>
      <x:c r="D122" s="2" t="str">
        <x:v>PLL</x:v>
      </x:c>
      <x:c r="E122" s="56" t="str">
        <x:v>DI.PL.2.7</x:v>
      </x:c>
      <x:c r="F122" s="14" t="str">
        <x:v>Update Outcome portion of research plan with current enhancement verbiage (as needed)</x:v>
      </x:c>
      <x:c r="G122" s="5"/>
      <x:c r="H122" s="11"/>
      <x:c r="I122" s="11" t="n">
        <x:f>'Cycles &amp; Guide'!$D$10</x:f>
        <x:v>46112</x:v>
      </x:c>
      <x:c r="J122" s="11"/>
      <x:c r="K122" s="29"/>
      <x:c r="L122" s="2" t="str">
        <x:f>IF(O122=1,"Complete",IF(A122,"Checklist open",IF(H122&lt;&gt;"","In progress","Not started")))</x:f>
        <x:v>Not started</x:v>
      </x:c>
      <x:c r="M122" s="2" t="str">
        <x:v>Task</x:v>
      </x:c>
      <x:c r="N122" s="2" t="str">
        <x:v>DI.PL.2.7.2026.CY1</x:v>
      </x:c>
      <x:c r="O122" s="2" t="n">
        <x:f>R122</x:f>
        <x:v>0</x:v>
      </x:c>
      <x:c r="P122" s="2"/>
      <x:c r="Q122" s="2" t="n">
        <x:v>1</x:v>
      </x:c>
      <x:c r="R122" s="2" t="n">
        <x:f>IF(A122,1,0)</x:f>
        <x:v>0</x:v>
      </x:c>
      <x:c r="S122" s="2" t="n">
        <x:f>SUBTOTAL(103,N122)</x:f>
        <x:v>1</x:v>
      </x:c>
    </x:row>
    <x:row r="123" ht="42" customHeight="1">
      <x:c r="A123" s="28" t="b">
        <x:v>0</x:v>
      </x:c>
      <x:c r="B123" s="2" t="str">
        <x:v>Cycle 1</x:v>
      </x:c>
      <x:c r="C123" s="2" t="str">
        <x:v>Phase 3</x:v>
      </x:c>
      <x:c r="D123" s="2" t="str">
        <x:v>PLL</x:v>
      </x:c>
      <x:c r="E123" s="56" t="str">
        <x:v>DI.PL.3.1</x:v>
      </x:c>
      <x:c r="F123" s="14" t="str">
        <x:v>Confirm list of required &amp; optional attendees for pre-socialization meeting</x:v>
      </x:c>
      <x:c r="G123" s="5"/>
      <x:c r="H123" s="11"/>
      <x:c r="I123" s="11" t="n">
        <x:f>'Cycles &amp; Guide'!$D$10</x:f>
        <x:v>46112</x:v>
      </x:c>
      <x:c r="J123" s="11"/>
      <x:c r="K123" s="29"/>
      <x:c r="L123" s="2" t="str">
        <x:f>IF(O123=1,"Complete",IF(A123,"Checklist open",IF(H123&lt;&gt;"","In progress","Not started")))</x:f>
        <x:v>Not started</x:v>
      </x:c>
      <x:c r="M123" s="2" t="str">
        <x:v>Task</x:v>
      </x:c>
      <x:c r="N123" s="2" t="str">
        <x:v>DI.PL.3.1.2026.CY1</x:v>
      </x:c>
      <x:c r="O123" s="2" t="n">
        <x:f>R123</x:f>
        <x:v>0</x:v>
      </x:c>
      <x:c r="P123" s="2"/>
      <x:c r="Q123" s="2" t="n">
        <x:v>1</x:v>
      </x:c>
      <x:c r="R123" s="2" t="n">
        <x:f>IF(A123,1,0)</x:f>
        <x:v>0</x:v>
      </x:c>
      <x:c r="S123" s="2" t="n">
        <x:f>SUBTOTAL(103,N123)</x:f>
        <x:v>1</x:v>
      </x:c>
    </x:row>
    <x:row r="124" ht="42" customHeight="1">
      <x:c r="A124" s="28" t="b">
        <x:v>0</x:v>
      </x:c>
      <x:c r="B124" s="2" t="str">
        <x:v>Cycle 1</x:v>
      </x:c>
      <x:c r="C124" s="2" t="str">
        <x:v>Phase 3</x:v>
      </x:c>
      <x:c r="D124" s="2" t="str">
        <x:v>PLL</x:v>
      </x:c>
      <x:c r="E124" s="56" t="str">
        <x:v>DI.PL.3.2</x:v>
      </x:c>
      <x:c r="F124" s="14" t="str">
        <x:v>Schedule pre-socialization meeting 1 week prior to RCA Forum</x:v>
      </x:c>
      <x:c r="G124" s="5"/>
      <x:c r="H124" s="11"/>
      <x:c r="I124" s="11" t="str">
        <x:f>IF(SUMIFS('Cycles &amp; Guide'!$D$23:$D$50,'Cycles &amp; Guide'!$B$23:$B$50,B124,'Cycles &amp; Guide'!$C$23:$C$50,D124)=0,"",SUMIFS('Cycles &amp; Guide'!$D$23:$D$50,'Cycles &amp; Guide'!$B$23:$B$50,B124,'Cycles &amp; Guide'!$C$23:$C$50,D124)-7)</x:f>
      </x:c>
      <x:c r="J124" s="11"/>
      <x:c r="K124" s="29"/>
      <x:c r="L124" s="2" t="str">
        <x:f>IF(O124=1,"Complete",IF(A124,"Checklist open",IF(H124&lt;&gt;"","In progress","Not started")))</x:f>
        <x:v>Not started</x:v>
      </x:c>
      <x:c r="M124" s="2" t="str">
        <x:v>Task</x:v>
      </x:c>
      <x:c r="N124" s="2" t="str">
        <x:v>DI.PL.3.2.2026.CY1</x:v>
      </x:c>
      <x:c r="O124" s="2" t="n">
        <x:f>R124</x:f>
        <x:v>0</x:v>
      </x:c>
      <x:c r="P124" s="2"/>
      <x:c r="Q124" s="2" t="n">
        <x:v>1</x:v>
      </x:c>
      <x:c r="R124" s="2" t="n">
        <x:f>IF(A124,1,0)</x:f>
        <x:v>0</x:v>
      </x:c>
      <x:c r="S124" s="2" t="n">
        <x:f>SUBTOTAL(103,N124)</x:f>
        <x:v>1</x:v>
      </x:c>
    </x:row>
    <x:row r="125" ht="42" customHeight="1">
      <x:c r="A125" s="28" t="b">
        <x:v>0</x:v>
      </x:c>
      <x:c r="B125" s="2" t="str">
        <x:v>Cycle 1</x:v>
      </x:c>
      <x:c r="C125" s="2" t="str">
        <x:v>Phase 3</x:v>
      </x:c>
      <x:c r="D125" s="2" t="str">
        <x:v>PLL</x:v>
      </x:c>
      <x:c r="E125" s="56" t="str">
        <x:v>DI.PL.3.3</x:v>
      </x:c>
      <x:c r="F125" s="14" t="str">
        <x:v>Present findings, conclusions, and recommendation to SMEs</x:v>
      </x:c>
      <x:c r="G125" s="5"/>
      <x:c r="H125" s="11"/>
      <x:c r="I125" s="11" t="n">
        <x:f>'Cycles &amp; Guide'!$D$10</x:f>
        <x:v>46112</x:v>
      </x:c>
      <x:c r="J125" s="11"/>
      <x:c r="K125" s="29"/>
      <x:c r="L125" s="2" t="str">
        <x:f>IF(O125=1,"Complete",IF(A125,"Checklist open",IF(H125&lt;&gt;"","In progress","Not started")))</x:f>
        <x:v>Not started</x:v>
      </x:c>
      <x:c r="M125" s="2" t="str">
        <x:v>Task</x:v>
      </x:c>
      <x:c r="N125" s="2" t="str">
        <x:v>DI.PL.3.3.2026.CY1</x:v>
      </x:c>
      <x:c r="O125" s="2" t="n">
        <x:f>R125</x:f>
        <x:v>0</x:v>
      </x:c>
      <x:c r="P125" s="2"/>
      <x:c r="Q125" s="2" t="n">
        <x:v>1</x:v>
      </x:c>
      <x:c r="R125" s="2" t="n">
        <x:f>IF(A125,1,0)</x:f>
        <x:v>0</x:v>
      </x:c>
      <x:c r="S125" s="2" t="n">
        <x:f>SUBTOTAL(103,N125)</x:f>
        <x:v>1</x:v>
      </x:c>
    </x:row>
    <x:row r="126" ht="42" customHeight="1">
      <x:c r="A126" s="28" t="b">
        <x:v>0</x:v>
      </x:c>
      <x:c r="B126" s="2" t="str">
        <x:v>Cycle 1</x:v>
      </x:c>
      <x:c r="C126" s="2" t="str">
        <x:v>Phase 3</x:v>
      </x:c>
      <x:c r="D126" s="2" t="str">
        <x:v>PLL</x:v>
      </x:c>
      <x:c r="E126" s="56" t="str">
        <x:v>DI.PL.3.4</x:v>
      </x:c>
      <x:c r="F126" s="14" t="str">
        <x:v>Update Outcome portion of research plan (as needed)</x:v>
      </x:c>
      <x:c r="G126" s="5"/>
      <x:c r="H126" s="11"/>
      <x:c r="I126" s="11" t="n">
        <x:f>'Cycles &amp; Guide'!$D$10</x:f>
        <x:v>46112</x:v>
      </x:c>
      <x:c r="J126" s="11"/>
      <x:c r="K126" s="29"/>
      <x:c r="L126" s="2" t="str">
        <x:f>IF(O126=1,"Complete",IF(A126,"Checklist open",IF(H126&lt;&gt;"","In progress","Not started")))</x:f>
        <x:v>Not started</x:v>
      </x:c>
      <x:c r="M126" s="2" t="str">
        <x:v>Task</x:v>
      </x:c>
      <x:c r="N126" s="2" t="str">
        <x:v>DI.PL.3.4.2026.CY1</x:v>
      </x:c>
      <x:c r="O126" s="2" t="n">
        <x:f>R126</x:f>
        <x:v>0</x:v>
      </x:c>
      <x:c r="P126" s="2"/>
      <x:c r="Q126" s="2" t="n">
        <x:v>1</x:v>
      </x:c>
      <x:c r="R126" s="2" t="n">
        <x:f>IF(A126,1,0)</x:f>
        <x:v>0</x:v>
      </x:c>
      <x:c r="S126" s="2" t="n">
        <x:f>SUBTOTAL(103,N126)</x:f>
        <x:v>1</x:v>
      </x:c>
    </x:row>
    <x:row r="127" ht="42" customHeight="1">
      <x:c r="A127" s="28" t="b">
        <x:v>0</x:v>
      </x:c>
      <x:c r="B127" s="2" t="str">
        <x:v>Cycle 1</x:v>
      </x:c>
      <x:c r="C127" s="2" t="str">
        <x:v>Phase 3</x:v>
      </x:c>
      <x:c r="D127" s="2" t="str">
        <x:v>PLL</x:v>
      </x:c>
      <x:c r="E127" s="56" t="str">
        <x:v>DI.PL.3.5</x:v>
      </x:c>
      <x:c r="F127" s="14" t="str">
        <x:v>Finalize presentation deck by incorporating pre-socialization feedback (as needed)</x:v>
      </x:c>
      <x:c r="G127" s="5"/>
      <x:c r="H127" s="11"/>
      <x:c r="I127" s="11" t="n">
        <x:f>'Cycles &amp; Guide'!$D$10</x:f>
        <x:v>46112</x:v>
      </x:c>
      <x:c r="J127" s="11"/>
      <x:c r="K127" s="29"/>
      <x:c r="L127" s="2" t="str">
        <x:f>IF(O127=1,"Complete",IF(A127,"Checklist open",IF(H127&lt;&gt;"","In progress","Not started")))</x:f>
        <x:v>Not started</x:v>
      </x:c>
      <x:c r="M127" s="2" t="str">
        <x:v>Task</x:v>
      </x:c>
      <x:c r="N127" s="2" t="str">
        <x:v>DI.PL.3.5.2026.CY1</x:v>
      </x:c>
      <x:c r="O127" s="2" t="n">
        <x:f>R127</x:f>
        <x:v>0</x:v>
      </x:c>
      <x:c r="P127" s="2"/>
      <x:c r="Q127" s="2" t="n">
        <x:v>1</x:v>
      </x:c>
      <x:c r="R127" s="2" t="n">
        <x:f>IF(A127,1,0)</x:f>
        <x:v>0</x:v>
      </x:c>
      <x:c r="S127" s="2" t="n">
        <x:f>SUBTOTAL(103,N127)</x:f>
        <x:v>1</x:v>
      </x:c>
    </x:row>
    <x:row r="128" ht="42" customHeight="1">
      <x:c r="A128" s="28" t="b">
        <x:v>0</x:v>
      </x:c>
      <x:c r="B128" s="2" t="str">
        <x:v>Cycle 1</x:v>
      </x:c>
      <x:c r="C128" s="2" t="str">
        <x:v>Phase 3</x:v>
      </x:c>
      <x:c r="D128" s="2" t="str">
        <x:v>PLL</x:v>
      </x:c>
      <x:c r="E128" s="56" t="str">
        <x:v>DI.PL.3.6</x:v>
      </x:c>
      <x:c r="F128" s="14" t="str">
        <x:v>Ensure final deck is communicated to Forum attendees</x:v>
      </x:c>
      <x:c r="G128" s="5"/>
      <x:c r="H128" s="11"/>
      <x:c r="I128" s="11" t="n">
        <x:f>'Cycles &amp; Guide'!$D$10</x:f>
        <x:v>46112</x:v>
      </x:c>
      <x:c r="J128" s="11"/>
      <x:c r="K128" s="29"/>
      <x:c r="L128" s="2" t="str">
        <x:f>IF(O128=1,"Complete",IF(A128,"Checklist open",IF(H128&lt;&gt;"","In progress","Not started")))</x:f>
        <x:v>Not started</x:v>
      </x:c>
      <x:c r="M128" s="2" t="str">
        <x:v>Task</x:v>
      </x:c>
      <x:c r="N128" s="2" t="str">
        <x:v>DI.PL.3.6.2026.CY1</x:v>
      </x:c>
      <x:c r="O128" s="2" t="n">
        <x:f>R128</x:f>
        <x:v>0</x:v>
      </x:c>
      <x:c r="P128" s="2"/>
      <x:c r="Q128" s="2" t="n">
        <x:v>1</x:v>
      </x:c>
      <x:c r="R128" s="2" t="n">
        <x:f>IF(A128,1,0)</x:f>
        <x:v>0</x:v>
      </x:c>
      <x:c r="S128" s="2" t="n">
        <x:f>SUBTOTAL(103,N128)</x:f>
        <x:v>1</x:v>
      </x:c>
    </x:row>
    <x:row r="129" ht="42" customHeight="1">
      <x:c r="A129" s="28" t="b">
        <x:v>0</x:v>
      </x:c>
      <x:c r="B129" s="2" t="str">
        <x:v>Cycle 1</x:v>
      </x:c>
      <x:c r="C129" s="2" t="str">
        <x:v>Phase 3</x:v>
      </x:c>
      <x:c r="D129" s="2" t="str">
        <x:v>PLL</x:v>
      </x:c>
      <x:c r="E129" s="56" t="str">
        <x:v>DI.PL.3.7</x:v>
      </x:c>
      <x:c r="F129" s="14" t="str">
        <x:v>Present material in RCA Cycle Forum</x:v>
      </x:c>
      <x:c r="G129" s="5"/>
      <x:c r="H129" s="11"/>
      <x:c r="I129" s="11" t="str">
        <x:f>IF(SUMIFS('Cycles &amp; Guide'!$D$23:$D$50,'Cycles &amp; Guide'!$B$23:$B$50,B129,'Cycles &amp; Guide'!$C$23:$C$50,D129)=0,"",SUMIFS('Cycles &amp; Guide'!$D$23:$D$50,'Cycles &amp; Guide'!$B$23:$B$50,B129,'Cycles &amp; Guide'!$C$23:$C$50,D129))</x:f>
      </x:c>
      <x:c r="J129" s="11"/>
      <x:c r="K129" s="29"/>
      <x:c r="L129" s="2" t="str">
        <x:f>IF(O129=1,"Complete",IF(A129,"Checklist open",IF(H129&lt;&gt;"","In progress","Not started")))</x:f>
        <x:v>Not started</x:v>
      </x:c>
      <x:c r="M129" s="2" t="str">
        <x:v>Task</x:v>
      </x:c>
      <x:c r="N129" s="2" t="str">
        <x:v>DI.PL.3.7.2026.CY1</x:v>
      </x:c>
      <x:c r="O129" s="2" t="n">
        <x:f>R129</x:f>
        <x:v>0</x:v>
      </x:c>
      <x:c r="P129" s="2"/>
      <x:c r="Q129" s="2" t="n">
        <x:v>1</x:v>
      </x:c>
      <x:c r="R129" s="2" t="n">
        <x:f>IF(A129,1,0)</x:f>
        <x:v>0</x:v>
      </x:c>
      <x:c r="S129" s="2" t="n">
        <x:f>SUBTOTAL(103,N129)</x:f>
        <x:v>1</x:v>
      </x:c>
    </x:row>
    <x:row r="130" ht="42" customHeight="1">
      <x:c r="A130" s="28" t="b">
        <x:v>0</x:v>
      </x:c>
      <x:c r="B130" s="2" t="str">
        <x:v>Cycle 1</x:v>
      </x:c>
      <x:c r="C130" s="2" t="str">
        <x:v>Phase 1</x:v>
      </x:c>
      <x:c r="D130" s="2" t="str">
        <x:v>Retail Services</x:v>
      </x:c>
      <x:c r="E130" s="56" t="str">
        <x:v>DI.RS.1.1</x:v>
      </x:c>
      <x:c r="F130" s="14" t="str">
        <x:v>Receive and review potential research topics at least 2 weeks prior to Cycle start date</x:v>
      </x:c>
      <x:c r="G130" s="5"/>
      <x:c r="H130" s="11"/>
      <x:c r="I130" s="11" t="n">
        <x:f>'Cycles &amp; Guide'!$C$10-14</x:f>
        <x:v>46009</x:v>
      </x:c>
      <x:c r="J130" s="11"/>
      <x:c r="K130" s="29"/>
      <x:c r="L130" s="2" t="str">
        <x:f>IF(O130=1,"Complete",IF(A130,"Checklist open",IF(H130&lt;&gt;"","In progress","Not started")))</x:f>
        <x:v>Not started</x:v>
      </x:c>
      <x:c r="M130" s="2" t="str">
        <x:v>Task</x:v>
      </x:c>
      <x:c r="N130" s="2" t="str">
        <x:v>DI.RS.1.1.2026.CY1</x:v>
      </x:c>
      <x:c r="O130" s="2" t="n">
        <x:f>R130</x:f>
        <x:v>0</x:v>
      </x:c>
      <x:c r="P130" s="2"/>
      <x:c r="Q130" s="2" t="n">
        <x:v>1</x:v>
      </x:c>
      <x:c r="R130" s="2" t="n">
        <x:f>IF(A130,1,0)</x:f>
        <x:v>0</x:v>
      </x:c>
      <x:c r="S130" s="2" t="n">
        <x:f>SUBTOTAL(103,N130)</x:f>
        <x:v>1</x:v>
      </x:c>
    </x:row>
    <x:row r="131" ht="42" customHeight="1">
      <x:c r="A131" s="28" t="b">
        <x:v>0</x:v>
      </x:c>
      <x:c r="B131" s="2" t="str">
        <x:v>Cycle 1</x:v>
      </x:c>
      <x:c r="C131" s="2" t="str">
        <x:v>Phase 1</x:v>
      </x:c>
      <x:c r="D131" s="2" t="str">
        <x:v>Retail Services</x:v>
      </x:c>
      <x:c r="E131" s="56" t="str">
        <x:v>DI.RS.1.2</x:v>
      </x:c>
      <x:c r="F131" s="14" t="str">
        <x:v>Communicate any feedback on preferences or concerns with topics identified</x:v>
      </x:c>
      <x:c r="G131" s="5"/>
      <x:c r="H131" s="11"/>
      <x:c r="I131" s="11" t="n">
        <x:f>'Cycles &amp; Guide'!$D$10</x:f>
        <x:v>46112</x:v>
      </x:c>
      <x:c r="J131" s="11"/>
      <x:c r="K131" s="29"/>
      <x:c r="L131" s="2" t="str">
        <x:f>IF(O131=1,"Complete",IF(A131,"Checklist open",IF(H131&lt;&gt;"","In progress","Not started")))</x:f>
        <x:v>Not started</x:v>
      </x:c>
      <x:c r="M131" s="2" t="str">
        <x:v>Task</x:v>
      </x:c>
      <x:c r="N131" s="2" t="str">
        <x:v>DI.RS.1.2.2026.CY1</x:v>
      </x:c>
      <x:c r="O131" s="2" t="n">
        <x:f>R131</x:f>
        <x:v>0</x:v>
      </x:c>
      <x:c r="P131" s="2"/>
      <x:c r="Q131" s="2" t="n">
        <x:v>1</x:v>
      </x:c>
      <x:c r="R131" s="2" t="n">
        <x:f>IF(A131,1,0)</x:f>
        <x:v>0</x:v>
      </x:c>
      <x:c r="S131" s="2" t="n">
        <x:f>SUBTOTAL(103,N131)</x:f>
        <x:v>1</x:v>
      </x:c>
    </x:row>
    <x:row r="132" ht="42" customHeight="1">
      <x:c r="A132" s="28" t="b">
        <x:v>0</x:v>
      </x:c>
      <x:c r="B132" s="2" t="str">
        <x:v>Cycle 1</x:v>
      </x:c>
      <x:c r="C132" s="2" t="str">
        <x:v>Phase 1</x:v>
      </x:c>
      <x:c r="D132" s="2" t="str">
        <x:v>Retail Services</x:v>
      </x:c>
      <x:c r="E132" s="56" t="str">
        <x:v>DI.RS.1.3</x:v>
      </x:c>
      <x:c r="F132" s="14" t="str">
        <x:v>Conduct high-level preliminary review of complaints within proposed topics</x:v>
      </x:c>
      <x:c r="G132" s="5"/>
      <x:c r="H132" s="11"/>
      <x:c r="I132" s="11" t="n">
        <x:f>'Cycles &amp; Guide'!$D$10</x:f>
        <x:v>46112</x:v>
      </x:c>
      <x:c r="J132" s="11"/>
      <x:c r="K132" s="29"/>
      <x:c r="L132" s="2" t="str">
        <x:f>IF(O132=1,"Complete",IF(A132,"Checklist open",IF(H132&lt;&gt;"","In progress","Not started")))</x:f>
        <x:v>Not started</x:v>
      </x:c>
      <x:c r="M132" s="2" t="str">
        <x:v>Task</x:v>
      </x:c>
      <x:c r="N132" s="2" t="str">
        <x:v>DI.RS.1.3.2026.CY1</x:v>
      </x:c>
      <x:c r="O132" s="2" t="n">
        <x:f>R132</x:f>
        <x:v>0</x:v>
      </x:c>
      <x:c r="P132" s="2"/>
      <x:c r="Q132" s="2" t="n">
        <x:v>1</x:v>
      </x:c>
      <x:c r="R132" s="2" t="n">
        <x:f>IF(A132,1,0)</x:f>
        <x:v>0</x:v>
      </x:c>
      <x:c r="S132" s="2" t="n">
        <x:f>SUBTOTAL(103,N132)</x:f>
        <x:v>1</x:v>
      </x:c>
    </x:row>
    <x:row r="133" ht="42" customHeight="1">
      <x:c r="A133" s="28" t="b">
        <x:v>0</x:v>
      </x:c>
      <x:c r="B133" s="2" t="str">
        <x:v>Cycle 1</x:v>
      </x:c>
      <x:c r="C133" s="2" t="str">
        <x:v>Phase 1</x:v>
      </x:c>
      <x:c r="D133" s="2" t="str">
        <x:v>Retail Services</x:v>
      </x:c>
      <x:c r="E133" s="56" t="str">
        <x:v>DI.RS.1.4</x:v>
      </x:c>
      <x:c r="F133" s="14" t="str">
        <x:v>Meet with Research to discuss which topic to select based on potential impact</x:v>
      </x:c>
      <x:c r="G133" s="5"/>
      <x:c r="H133" s="11"/>
      <x:c r="I133" s="11" t="n">
        <x:f>'Cycles &amp; Guide'!$D$10</x:f>
        <x:v>46112</x:v>
      </x:c>
      <x:c r="J133" s="11"/>
      <x:c r="K133" s="29"/>
      <x:c r="L133" s="2" t="str">
        <x:f>IF(O133=1,"Complete",IF(A133,"Checklist open",IF(H133&lt;&gt;"","In progress","Not started")))</x:f>
        <x:v>Not started</x:v>
      </x:c>
      <x:c r="M133" s="2" t="str">
        <x:v>Task</x:v>
      </x:c>
      <x:c r="N133" s="2" t="str">
        <x:v>DI.RS.1.4.2026.CY1</x:v>
      </x:c>
      <x:c r="O133" s="2" t="n">
        <x:f>R133</x:f>
        <x:v>0</x:v>
      </x:c>
      <x:c r="P133" s="2"/>
      <x:c r="Q133" s="2" t="n">
        <x:v>1</x:v>
      </x:c>
      <x:c r="R133" s="2" t="n">
        <x:f>IF(A133,1,0)</x:f>
        <x:v>0</x:v>
      </x:c>
      <x:c r="S133" s="2" t="n">
        <x:f>SUBTOTAL(103,N133)</x:f>
        <x:v>1</x:v>
      </x:c>
    </x:row>
    <x:row r="134" ht="42" customHeight="1">
      <x:c r="A134" s="28" t="b">
        <x:v>0</x:v>
      </x:c>
      <x:c r="B134" s="2" t="str">
        <x:v>Cycle 1</x:v>
      </x:c>
      <x:c r="C134" s="2" t="str">
        <x:v>Phase 1</x:v>
      </x:c>
      <x:c r="D134" s="2" t="str">
        <x:v>Retail Services</x:v>
      </x:c>
      <x:c r="E134" s="56" t="str">
        <x:v>DI.RS.1.5</x:v>
      </x:c>
      <x:c r="F134" s="14" t="str">
        <x:v>Confirm with Research the recommended topic for approval</x:v>
      </x:c>
      <x:c r="G134" s="5"/>
      <x:c r="H134" s="11"/>
      <x:c r="I134" s="11" t="n">
        <x:f>'Cycles &amp; Guide'!$D$10</x:f>
        <x:v>46112</x:v>
      </x:c>
      <x:c r="J134" s="11"/>
      <x:c r="K134" s="29"/>
      <x:c r="L134" s="2" t="str">
        <x:f>IF(O134=1,"Complete",IF(A134,"Checklist open",IF(H134&lt;&gt;"","In progress","Not started")))</x:f>
        <x:v>Not started</x:v>
      </x:c>
      <x:c r="M134" s="2" t="str">
        <x:v>Task</x:v>
      </x:c>
      <x:c r="N134" s="2" t="str">
        <x:v>DI.RS.1.5.2026.CY1</x:v>
      </x:c>
      <x:c r="O134" s="2" t="n">
        <x:f>R134</x:f>
        <x:v>0</x:v>
      </x:c>
      <x:c r="P134" s="2"/>
      <x:c r="Q134" s="2" t="n">
        <x:v>1</x:v>
      </x:c>
      <x:c r="R134" s="2" t="n">
        <x:f>IF(A134,1,0)</x:f>
        <x:v>0</x:v>
      </x:c>
      <x:c r="S134" s="2" t="n">
        <x:f>SUBTOTAL(103,N134)</x:f>
        <x:v>1</x:v>
      </x:c>
    </x:row>
    <x:row r="135" ht="42" customHeight="1">
      <x:c r="A135" s="28" t="b">
        <x:v>0</x:v>
      </x:c>
      <x:c r="B135" s="2" t="str">
        <x:v>Cycle 1</x:v>
      </x:c>
      <x:c r="C135" s="2" t="str">
        <x:v>Phase 1</x:v>
      </x:c>
      <x:c r="D135" s="2" t="str">
        <x:v>Retail Services</x:v>
      </x:c>
      <x:c r="E135" s="56" t="str">
        <x:v>DI.RS.1.6</x:v>
      </x:c>
      <x:c r="F135" s="14" t="str">
        <x:v>Send topic selection socialization email to all key stakeholders on the first day of the review Cycle</x:v>
      </x:c>
      <x:c r="G135" s="5"/>
      <x:c r="H135" s="11"/>
      <x:c r="I135" s="11" t="n">
        <x:f>'Cycles &amp; Guide'!$C$10</x:f>
        <x:v>46023</x:v>
      </x:c>
      <x:c r="J135" s="11"/>
      <x:c r="K135" s="29"/>
      <x:c r="L135" s="2" t="str">
        <x:f>IF(O135=1,"Complete",IF(A135,"Checklist open",IF(H135&lt;&gt;"","In progress","Not started")))</x:f>
        <x:v>Not started</x:v>
      </x:c>
      <x:c r="M135" s="2" t="str">
        <x:v>Task</x:v>
      </x:c>
      <x:c r="N135" s="2" t="str">
        <x:v>DI.RS.1.6.2026.CY1</x:v>
      </x:c>
      <x:c r="O135" s="2" t="n">
        <x:f>R135</x:f>
        <x:v>0</x:v>
      </x:c>
      <x:c r="P135" s="2"/>
      <x:c r="Q135" s="2" t="n">
        <x:v>1</x:v>
      </x:c>
      <x:c r="R135" s="2" t="n">
        <x:f>IF(A135,1,0)</x:f>
        <x:v>0</x:v>
      </x:c>
      <x:c r="S135" s="2" t="n">
        <x:f>SUBTOTAL(103,N135)</x:f>
        <x:v>1</x:v>
      </x:c>
    </x:row>
    <x:row r="136" ht="42" customHeight="1">
      <x:c r="A136" s="28" t="b">
        <x:v>0</x:v>
      </x:c>
      <x:c r="B136" s="2" t="str">
        <x:v>Cycle 1</x:v>
      </x:c>
      <x:c r="C136" s="2" t="str">
        <x:v>Phase 2</x:v>
      </x:c>
      <x:c r="D136" s="2" t="str">
        <x:v>Retail Services</x:v>
      </x:c>
      <x:c r="E136" s="56" t="str">
        <x:v>DI.RS.2.1</x:v>
      </x:c>
      <x:c r="F136" s="14" t="str">
        <x:v>Meet regularly with Research to stay informed on progress, findings, and potential enhancement</x:v>
      </x:c>
      <x:c r="G136" s="5"/>
      <x:c r="H136" s="11"/>
      <x:c r="I136" s="11" t="n">
        <x:f>'Cycles &amp; Guide'!$D$10</x:f>
        <x:v>46112</x:v>
      </x:c>
      <x:c r="J136" s="11"/>
      <x:c r="K136" s="29"/>
      <x:c r="L136" s="2" t="str">
        <x:f>IF(O136=1,"Complete",IF(A136,"Checklist open",IF(H136&lt;&gt;"","In progress","Not started")))</x:f>
        <x:v>Not started</x:v>
      </x:c>
      <x:c r="M136" s="2" t="str">
        <x:v>Task</x:v>
      </x:c>
      <x:c r="N136" s="2" t="str">
        <x:v>DI.RS.2.1.2026.CY1</x:v>
      </x:c>
      <x:c r="O136" s="2" t="n">
        <x:f>R136</x:f>
        <x:v>0</x:v>
      </x:c>
      <x:c r="P136" s="2"/>
      <x:c r="Q136" s="2" t="n">
        <x:v>1</x:v>
      </x:c>
      <x:c r="R136" s="2" t="n">
        <x:f>IF(A136,1,0)</x:f>
        <x:v>0</x:v>
      </x:c>
      <x:c r="S136" s="2" t="n">
        <x:f>SUBTOTAL(103,N136)</x:f>
        <x:v>1</x:v>
      </x:c>
    </x:row>
    <x:row r="137" ht="42" customHeight="1">
      <x:c r="A137" s="28" t="b">
        <x:v>0</x:v>
      </x:c>
      <x:c r="B137" s="2" t="str">
        <x:v>Cycle 1</x:v>
      </x:c>
      <x:c r="C137" s="2" t="str">
        <x:v>Phase 2</x:v>
      </x:c>
      <x:c r="D137" s="2" t="str">
        <x:v>Retail Services</x:v>
      </x:c>
      <x:c r="E137" s="56" t="str">
        <x:v>DI.RS.2.2</x:v>
      </x:c>
      <x:c r="F137" s="14" t="str">
        <x:v>Collaborate with Research on research plan specifics</x:v>
      </x:c>
      <x:c r="G137" s="5"/>
      <x:c r="H137" s="11"/>
      <x:c r="I137" s="11" t="n">
        <x:f>'Cycles &amp; Guide'!$D$10</x:f>
        <x:v>46112</x:v>
      </x:c>
      <x:c r="J137" s="11"/>
      <x:c r="K137" s="29"/>
      <x:c r="L137" s="2" t="str">
        <x:f>IF(O137=1,"Complete",IF(A137,"Checklist open",IF(H137&lt;&gt;"","In progress","Not started")))</x:f>
        <x:v>Not started</x:v>
      </x:c>
      <x:c r="M137" s="2" t="str">
        <x:v>Task</x:v>
      </x:c>
      <x:c r="N137" s="2" t="str">
        <x:v>DI.RS.2.2.2026.CY1</x:v>
      </x:c>
      <x:c r="O137" s="2" t="n">
        <x:f>R137</x:f>
        <x:v>0</x:v>
      </x:c>
      <x:c r="P137" s="2"/>
      <x:c r="Q137" s="2" t="n">
        <x:v>1</x:v>
      </x:c>
      <x:c r="R137" s="2" t="n">
        <x:f>IF(A137,1,0)</x:f>
        <x:v>0</x:v>
      </x:c>
      <x:c r="S137" s="2" t="n">
        <x:f>SUBTOTAL(103,N137)</x:f>
        <x:v>1</x:v>
      </x:c>
    </x:row>
    <x:row r="138" ht="42" customHeight="1">
      <x:c r="A138" s="28" t="b">
        <x:v>0</x:v>
      </x:c>
      <x:c r="B138" s="2" t="str">
        <x:v>Cycle 1</x:v>
      </x:c>
      <x:c r="C138" s="2" t="str">
        <x:v>Phase 2</x:v>
      </x:c>
      <x:c r="D138" s="2" t="str">
        <x:v>Retail Services</x:v>
      </x:c>
      <x:c r="E138" s="56" t="str">
        <x:v>DI.RS.2.3</x:v>
      </x:c>
      <x:c r="F138" s="14" t="str">
        <x:v>Participate in SME insight meetings to gain perspective and appetite on potential enhancements</x:v>
      </x:c>
      <x:c r="G138" s="5"/>
      <x:c r="H138" s="11"/>
      <x:c r="I138" s="11" t="n">
        <x:f>'Cycles &amp; Guide'!$D$10</x:f>
        <x:v>46112</x:v>
      </x:c>
      <x:c r="J138" s="11"/>
      <x:c r="K138" s="29"/>
      <x:c r="L138" s="2" t="str">
        <x:f>IF(O138=1,"Complete",IF(A138,"Checklist open",IF(H138&lt;&gt;"","In progress","Not started")))</x:f>
        <x:v>Not started</x:v>
      </x:c>
      <x:c r="M138" s="2" t="str">
        <x:v>Task</x:v>
      </x:c>
      <x:c r="N138" s="2" t="str">
        <x:v>DI.RS.2.3.2026.CY1</x:v>
      </x:c>
      <x:c r="O138" s="2" t="n">
        <x:f>R138</x:f>
        <x:v>0</x:v>
      </x:c>
      <x:c r="P138" s="2"/>
      <x:c r="Q138" s="2" t="n">
        <x:v>1</x:v>
      </x:c>
      <x:c r="R138" s="2" t="n">
        <x:f>IF(A138,1,0)</x:f>
        <x:v>0</x:v>
      </x:c>
      <x:c r="S138" s="2" t="n">
        <x:f>SUBTOTAL(103,N138)</x:f>
        <x:v>1</x:v>
      </x:c>
    </x:row>
    <x:row r="139" ht="42" customHeight="1">
      <x:c r="A139" s="28" t="b">
        <x:v>0</x:v>
      </x:c>
      <x:c r="B139" s="2" t="str">
        <x:v>Cycle 1</x:v>
      </x:c>
      <x:c r="C139" s="2" t="str">
        <x:v>Phase 2</x:v>
      </x:c>
      <x:c r="D139" s="2" t="str">
        <x:v>Retail Services</x:v>
      </x:c>
      <x:c r="E139" s="56" t="str">
        <x:v>DI.RS.2.4</x:v>
      </x:c>
      <x:c r="F139" s="14" t="str">
        <x:v>Begin development of presentation materials as Research is being completed</x:v>
      </x:c>
      <x:c r="G139" s="5"/>
      <x:c r="H139" s="11"/>
      <x:c r="I139" s="11" t="n">
        <x:f>'Cycles &amp; Guide'!$D$10</x:f>
        <x:v>46112</x:v>
      </x:c>
      <x:c r="J139" s="11"/>
      <x:c r="K139" s="29"/>
      <x:c r="L139" s="2" t="str">
        <x:f>IF(O139=1,"Complete",IF(A139,"Checklist open",IF(H139&lt;&gt;"","In progress","Not started")))</x:f>
        <x:v>Not started</x:v>
      </x:c>
      <x:c r="M139" s="2" t="str">
        <x:v>Task</x:v>
      </x:c>
      <x:c r="N139" s="2" t="str">
        <x:v>DI.RS.2.4.2026.CY1</x:v>
      </x:c>
      <x:c r="O139" s="2" t="n">
        <x:f>R139</x:f>
        <x:v>0</x:v>
      </x:c>
      <x:c r="P139" s="2"/>
      <x:c r="Q139" s="2" t="n">
        <x:v>1</x:v>
      </x:c>
      <x:c r="R139" s="2" t="n">
        <x:f>IF(A139,1,0)</x:f>
        <x:v>0</x:v>
      </x:c>
      <x:c r="S139" s="2" t="n">
        <x:f>SUBTOTAL(103,N139)</x:f>
        <x:v>1</x:v>
      </x:c>
    </x:row>
    <x:row r="140" ht="42" customHeight="1">
      <x:c r="A140" s="28" t="b">
        <x:v>0</x:v>
      </x:c>
      <x:c r="B140" s="2" t="str">
        <x:v>Cycle 1</x:v>
      </x:c>
      <x:c r="C140" s="2" t="str">
        <x:v>Phase 2</x:v>
      </x:c>
      <x:c r="D140" s="2" t="str">
        <x:v>Retail Services</x:v>
      </x:c>
      <x:c r="E140" s="56" t="str">
        <x:v>DI.RS.2.5</x:v>
      </x:c>
      <x:c r="F140" s="14" t="str">
        <x:v>Draft initial enhancement recommendations (as applicable)</x:v>
      </x:c>
      <x:c r="G140" s="5"/>
      <x:c r="H140" s="11"/>
      <x:c r="I140" s="11" t="n">
        <x:f>'Cycles &amp; Guide'!$D$10</x:f>
        <x:v>46112</x:v>
      </x:c>
      <x:c r="J140" s="11"/>
      <x:c r="K140" s="29"/>
      <x:c r="L140" s="2" t="str">
        <x:f>IF(O140=1,"Complete",IF(A140,"Checklist open",IF(H140&lt;&gt;"","In progress","Not started")))</x:f>
        <x:v>Not started</x:v>
      </x:c>
      <x:c r="M140" s="2" t="str">
        <x:v>Task</x:v>
      </x:c>
      <x:c r="N140" s="2" t="str">
        <x:v>DI.RS.2.5.2026.CY1</x:v>
      </x:c>
      <x:c r="O140" s="2" t="n">
        <x:f>R140</x:f>
        <x:v>0</x:v>
      </x:c>
      <x:c r="P140" s="2"/>
      <x:c r="Q140" s="2" t="n">
        <x:v>1</x:v>
      </x:c>
      <x:c r="R140" s="2" t="n">
        <x:f>IF(A140,1,0)</x:f>
        <x:v>0</x:v>
      </x:c>
      <x:c r="S140" s="2" t="n">
        <x:f>SUBTOTAL(103,N140)</x:f>
        <x:v>1</x:v>
      </x:c>
    </x:row>
    <x:row r="141" ht="42" customHeight="1">
      <x:c r="A141" s="28" t="b">
        <x:v>0</x:v>
      </x:c>
      <x:c r="B141" s="2" t="str">
        <x:v>Cycle 1</x:v>
      </x:c>
      <x:c r="C141" s="2" t="str">
        <x:v>Phase 2</x:v>
      </x:c>
      <x:c r="D141" s="2" t="str">
        <x:v>Retail Services</x:v>
      </x:c>
      <x:c r="E141" s="56" t="str">
        <x:v>DI.RS.2.6</x:v>
      </x:c>
      <x:c r="F141" s="14" t="str">
        <x:v>Finalize presentation deck draft at conclusion of Research phase</x:v>
      </x:c>
      <x:c r="G141" s="5"/>
      <x:c r="H141" s="11"/>
      <x:c r="I141" s="11" t="n">
        <x:f>'Cycles &amp; Guide'!$D$10</x:f>
        <x:v>46112</x:v>
      </x:c>
      <x:c r="J141" s="11"/>
      <x:c r="K141" s="29"/>
      <x:c r="L141" s="2" t="str">
        <x:f>IF(O141=1,"Complete",IF(A141,"Checklist open",IF(H141&lt;&gt;"","In progress","Not started")))</x:f>
        <x:v>Not started</x:v>
      </x:c>
      <x:c r="M141" s="2" t="str">
        <x:v>Task</x:v>
      </x:c>
      <x:c r="N141" s="2" t="str">
        <x:v>DI.RS.2.6.2026.CY1</x:v>
      </x:c>
      <x:c r="O141" s="2" t="n">
        <x:f>R141</x:f>
        <x:v>0</x:v>
      </x:c>
      <x:c r="P141" s="2"/>
      <x:c r="Q141" s="2" t="n">
        <x:v>1</x:v>
      </x:c>
      <x:c r="R141" s="2" t="n">
        <x:f>IF(A141,1,0)</x:f>
        <x:v>0</x:v>
      </x:c>
      <x:c r="S141" s="2" t="n">
        <x:f>SUBTOTAL(103,N141)</x:f>
        <x:v>1</x:v>
      </x:c>
    </x:row>
    <x:row r="142" ht="42" customHeight="1">
      <x:c r="A142" s="28" t="b">
        <x:v>0</x:v>
      </x:c>
      <x:c r="B142" s="2" t="str">
        <x:v>Cycle 1</x:v>
      </x:c>
      <x:c r="C142" s="2" t="str">
        <x:v>Phase 2</x:v>
      </x:c>
      <x:c r="D142" s="2" t="str">
        <x:v>Retail Services</x:v>
      </x:c>
      <x:c r="E142" s="56" t="str">
        <x:v>DI.RS.2.7</x:v>
      </x:c>
      <x:c r="F142" s="14" t="str">
        <x:v>Update Outcome portion of research plan with current enhancement verbiage (as needed)</x:v>
      </x:c>
      <x:c r="G142" s="5"/>
      <x:c r="H142" s="11"/>
      <x:c r="I142" s="11" t="n">
        <x:f>'Cycles &amp; Guide'!$D$10</x:f>
        <x:v>46112</x:v>
      </x:c>
      <x:c r="J142" s="11"/>
      <x:c r="K142" s="29"/>
      <x:c r="L142" s="2" t="str">
        <x:f>IF(O142=1,"Complete",IF(A142,"Checklist open",IF(H142&lt;&gt;"","In progress","Not started")))</x:f>
        <x:v>Not started</x:v>
      </x:c>
      <x:c r="M142" s="2" t="str">
        <x:v>Task</x:v>
      </x:c>
      <x:c r="N142" s="2" t="str">
        <x:v>DI.RS.2.7.2026.CY1</x:v>
      </x:c>
      <x:c r="O142" s="2" t="n">
        <x:f>R142</x:f>
        <x:v>0</x:v>
      </x:c>
      <x:c r="P142" s="2"/>
      <x:c r="Q142" s="2" t="n">
        <x:v>1</x:v>
      </x:c>
      <x:c r="R142" s="2" t="n">
        <x:f>IF(A142,1,0)</x:f>
        <x:v>0</x:v>
      </x:c>
      <x:c r="S142" s="2" t="n">
        <x:f>SUBTOTAL(103,N142)</x:f>
        <x:v>1</x:v>
      </x:c>
    </x:row>
    <x:row r="143" ht="42" customHeight="1">
      <x:c r="A143" s="28" t="b">
        <x:v>0</x:v>
      </x:c>
      <x:c r="B143" s="2" t="str">
        <x:v>Cycle 1</x:v>
      </x:c>
      <x:c r="C143" s="2" t="str">
        <x:v>Phase 3</x:v>
      </x:c>
      <x:c r="D143" s="2" t="str">
        <x:v>Retail Services</x:v>
      </x:c>
      <x:c r="E143" s="56" t="str">
        <x:v>DI.RS.3.1</x:v>
      </x:c>
      <x:c r="F143" s="14" t="str">
        <x:v>Confirm list of required &amp; optional attendees for pre-socialization meeting</x:v>
      </x:c>
      <x:c r="G143" s="5"/>
      <x:c r="H143" s="11"/>
      <x:c r="I143" s="11" t="n">
        <x:f>'Cycles &amp; Guide'!$D$10</x:f>
        <x:v>46112</x:v>
      </x:c>
      <x:c r="J143" s="11"/>
      <x:c r="K143" s="29"/>
      <x:c r="L143" s="2" t="str">
        <x:f>IF(O143=1,"Complete",IF(A143,"Checklist open",IF(H143&lt;&gt;"","In progress","Not started")))</x:f>
        <x:v>Not started</x:v>
      </x:c>
      <x:c r="M143" s="2" t="str">
        <x:v>Task</x:v>
      </x:c>
      <x:c r="N143" s="2" t="str">
        <x:v>DI.RS.3.1.2026.CY1</x:v>
      </x:c>
      <x:c r="O143" s="2" t="n">
        <x:f>R143</x:f>
        <x:v>0</x:v>
      </x:c>
      <x:c r="P143" s="2"/>
      <x:c r="Q143" s="2" t="n">
        <x:v>1</x:v>
      </x:c>
      <x:c r="R143" s="2" t="n">
        <x:f>IF(A143,1,0)</x:f>
        <x:v>0</x:v>
      </x:c>
      <x:c r="S143" s="2" t="n">
        <x:f>SUBTOTAL(103,N143)</x:f>
        <x:v>1</x:v>
      </x:c>
    </x:row>
    <x:row r="144" ht="42" customHeight="1">
      <x:c r="A144" s="28" t="b">
        <x:v>0</x:v>
      </x:c>
      <x:c r="B144" s="2" t="str">
        <x:v>Cycle 1</x:v>
      </x:c>
      <x:c r="C144" s="2" t="str">
        <x:v>Phase 3</x:v>
      </x:c>
      <x:c r="D144" s="2" t="str">
        <x:v>Retail Services</x:v>
      </x:c>
      <x:c r="E144" s="56" t="str">
        <x:v>DI.RS.3.2</x:v>
      </x:c>
      <x:c r="F144" s="14" t="str">
        <x:v>Schedule pre-socialization meeting 1 week prior to RCA Forum</x:v>
      </x:c>
      <x:c r="G144" s="5"/>
      <x:c r="H144" s="11"/>
      <x:c r="I144" s="11" t="str">
        <x:f>IF(SUMIFS('Cycles &amp; Guide'!$D$23:$D$50,'Cycles &amp; Guide'!$B$23:$B$50,B144,'Cycles &amp; Guide'!$C$23:$C$50,D144)=0,"",SUMIFS('Cycles &amp; Guide'!$D$23:$D$50,'Cycles &amp; Guide'!$B$23:$B$50,B144,'Cycles &amp; Guide'!$C$23:$C$50,D144)-7)</x:f>
      </x:c>
      <x:c r="J144" s="11"/>
      <x:c r="K144" s="29"/>
      <x:c r="L144" s="2" t="str">
        <x:f>IF(O144=1,"Complete",IF(A144,"Checklist open",IF(H144&lt;&gt;"","In progress","Not started")))</x:f>
        <x:v>Not started</x:v>
      </x:c>
      <x:c r="M144" s="2" t="str">
        <x:v>Task</x:v>
      </x:c>
      <x:c r="N144" s="2" t="str">
        <x:v>DI.RS.3.2.2026.CY1</x:v>
      </x:c>
      <x:c r="O144" s="2" t="n">
        <x:f>R144</x:f>
        <x:v>0</x:v>
      </x:c>
      <x:c r="P144" s="2"/>
      <x:c r="Q144" s="2" t="n">
        <x:v>1</x:v>
      </x:c>
      <x:c r="R144" s="2" t="n">
        <x:f>IF(A144,1,0)</x:f>
        <x:v>0</x:v>
      </x:c>
      <x:c r="S144" s="2" t="n">
        <x:f>SUBTOTAL(103,N144)</x:f>
        <x:v>1</x:v>
      </x:c>
    </x:row>
    <x:row r="145" ht="42" customHeight="1">
      <x:c r="A145" s="28" t="b">
        <x:v>0</x:v>
      </x:c>
      <x:c r="B145" s="2" t="str">
        <x:v>Cycle 1</x:v>
      </x:c>
      <x:c r="C145" s="2" t="str">
        <x:v>Phase 3</x:v>
      </x:c>
      <x:c r="D145" s="2" t="str">
        <x:v>Retail Services</x:v>
      </x:c>
      <x:c r="E145" s="56" t="str">
        <x:v>DI.RS.3.3</x:v>
      </x:c>
      <x:c r="F145" s="14" t="str">
        <x:v>Present findings, conclusions, and recommendation to SMEs</x:v>
      </x:c>
      <x:c r="G145" s="5"/>
      <x:c r="H145" s="11"/>
      <x:c r="I145" s="11" t="n">
        <x:f>'Cycles &amp; Guide'!$D$10</x:f>
        <x:v>46112</x:v>
      </x:c>
      <x:c r="J145" s="11"/>
      <x:c r="K145" s="29"/>
      <x:c r="L145" s="2" t="str">
        <x:f>IF(O145=1,"Complete",IF(A145,"Checklist open",IF(H145&lt;&gt;"","In progress","Not started")))</x:f>
        <x:v>Not started</x:v>
      </x:c>
      <x:c r="M145" s="2" t="str">
        <x:v>Task</x:v>
      </x:c>
      <x:c r="N145" s="2" t="str">
        <x:v>DI.RS.3.3.2026.CY1</x:v>
      </x:c>
      <x:c r="O145" s="2" t="n">
        <x:f>R145</x:f>
        <x:v>0</x:v>
      </x:c>
      <x:c r="P145" s="2"/>
      <x:c r="Q145" s="2" t="n">
        <x:v>1</x:v>
      </x:c>
      <x:c r="R145" s="2" t="n">
        <x:f>IF(A145,1,0)</x:f>
        <x:v>0</x:v>
      </x:c>
      <x:c r="S145" s="2" t="n">
        <x:f>SUBTOTAL(103,N145)</x:f>
        <x:v>1</x:v>
      </x:c>
    </x:row>
    <x:row r="146" ht="42" customHeight="1">
      <x:c r="A146" s="28" t="b">
        <x:v>0</x:v>
      </x:c>
      <x:c r="B146" s="2" t="str">
        <x:v>Cycle 1</x:v>
      </x:c>
      <x:c r="C146" s="2" t="str">
        <x:v>Phase 3</x:v>
      </x:c>
      <x:c r="D146" s="2" t="str">
        <x:v>Retail Services</x:v>
      </x:c>
      <x:c r="E146" s="56" t="str">
        <x:v>DI.RS.3.4</x:v>
      </x:c>
      <x:c r="F146" s="14" t="str">
        <x:v>Update Outcome portion of research plan (as needed)</x:v>
      </x:c>
      <x:c r="G146" s="5"/>
      <x:c r="H146" s="11"/>
      <x:c r="I146" s="11" t="n">
        <x:f>'Cycles &amp; Guide'!$D$10</x:f>
        <x:v>46112</x:v>
      </x:c>
      <x:c r="J146" s="11"/>
      <x:c r="K146" s="29"/>
      <x:c r="L146" s="2" t="str">
        <x:f>IF(O146=1,"Complete",IF(A146,"Checklist open",IF(H146&lt;&gt;"","In progress","Not started")))</x:f>
        <x:v>Not started</x:v>
      </x:c>
      <x:c r="M146" s="2" t="str">
        <x:v>Task</x:v>
      </x:c>
      <x:c r="N146" s="2" t="str">
        <x:v>DI.RS.3.4.2026.CY1</x:v>
      </x:c>
      <x:c r="O146" s="2" t="n">
        <x:f>R146</x:f>
        <x:v>0</x:v>
      </x:c>
      <x:c r="P146" s="2"/>
      <x:c r="Q146" s="2" t="n">
        <x:v>1</x:v>
      </x:c>
      <x:c r="R146" s="2" t="n">
        <x:f>IF(A146,1,0)</x:f>
        <x:v>0</x:v>
      </x:c>
      <x:c r="S146" s="2" t="n">
        <x:f>SUBTOTAL(103,N146)</x:f>
        <x:v>1</x:v>
      </x:c>
    </x:row>
    <x:row r="147" ht="42" customHeight="1">
      <x:c r="A147" s="28" t="b">
        <x:v>0</x:v>
      </x:c>
      <x:c r="B147" s="2" t="str">
        <x:v>Cycle 1</x:v>
      </x:c>
      <x:c r="C147" s="2" t="str">
        <x:v>Phase 3</x:v>
      </x:c>
      <x:c r="D147" s="2" t="str">
        <x:v>Retail Services</x:v>
      </x:c>
      <x:c r="E147" s="56" t="str">
        <x:v>DI.RS.3.5</x:v>
      </x:c>
      <x:c r="F147" s="14" t="str">
        <x:v>Finalize presentation deck by incorporating pre-socialization feedback (as needed)</x:v>
      </x:c>
      <x:c r="G147" s="5"/>
      <x:c r="H147" s="11"/>
      <x:c r="I147" s="11" t="n">
        <x:f>'Cycles &amp; Guide'!$D$10</x:f>
        <x:v>46112</x:v>
      </x:c>
      <x:c r="J147" s="11"/>
      <x:c r="K147" s="29"/>
      <x:c r="L147" s="2" t="str">
        <x:f>IF(O147=1,"Complete",IF(A147,"Checklist open",IF(H147&lt;&gt;"","In progress","Not started")))</x:f>
        <x:v>Not started</x:v>
      </x:c>
      <x:c r="M147" s="2" t="str">
        <x:v>Task</x:v>
      </x:c>
      <x:c r="N147" s="2" t="str">
        <x:v>DI.RS.3.5.2026.CY1</x:v>
      </x:c>
      <x:c r="O147" s="2" t="n">
        <x:f>R147</x:f>
        <x:v>0</x:v>
      </x:c>
      <x:c r="P147" s="2"/>
      <x:c r="Q147" s="2" t="n">
        <x:v>1</x:v>
      </x:c>
      <x:c r="R147" s="2" t="n">
        <x:f>IF(A147,1,0)</x:f>
        <x:v>0</x:v>
      </x:c>
      <x:c r="S147" s="2" t="n">
        <x:f>SUBTOTAL(103,N147)</x:f>
        <x:v>1</x:v>
      </x:c>
    </x:row>
    <x:row r="148" ht="42" customHeight="1">
      <x:c r="A148" s="28" t="b">
        <x:v>0</x:v>
      </x:c>
      <x:c r="B148" s="2" t="str">
        <x:v>Cycle 1</x:v>
      </x:c>
      <x:c r="C148" s="2" t="str">
        <x:v>Phase 3</x:v>
      </x:c>
      <x:c r="D148" s="2" t="str">
        <x:v>Retail Services</x:v>
      </x:c>
      <x:c r="E148" s="56" t="str">
        <x:v>DI.RS.3.6</x:v>
      </x:c>
      <x:c r="F148" s="14" t="str">
        <x:v>Ensure final deck is communicated to Forum attendees</x:v>
      </x:c>
      <x:c r="G148" s="5"/>
      <x:c r="H148" s="11"/>
      <x:c r="I148" s="11" t="n">
        <x:f>'Cycles &amp; Guide'!$D$10</x:f>
        <x:v>46112</x:v>
      </x:c>
      <x:c r="J148" s="11"/>
      <x:c r="K148" s="29"/>
      <x:c r="L148" s="2" t="str">
        <x:f>IF(O148=1,"Complete",IF(A148,"Checklist open",IF(H148&lt;&gt;"","In progress","Not started")))</x:f>
        <x:v>Not started</x:v>
      </x:c>
      <x:c r="M148" s="2" t="str">
        <x:v>Task</x:v>
      </x:c>
      <x:c r="N148" s="2" t="str">
        <x:v>DI.RS.3.6.2026.CY1</x:v>
      </x:c>
      <x:c r="O148" s="2" t="n">
        <x:f>R148</x:f>
        <x:v>0</x:v>
      </x:c>
      <x:c r="P148" s="2"/>
      <x:c r="Q148" s="2" t="n">
        <x:v>1</x:v>
      </x:c>
      <x:c r="R148" s="2" t="n">
        <x:f>IF(A148,1,0)</x:f>
        <x:v>0</x:v>
      </x:c>
      <x:c r="S148" s="2" t="n">
        <x:f>SUBTOTAL(103,N148)</x:f>
        <x:v>1</x:v>
      </x:c>
    </x:row>
    <x:row r="149" ht="42" customHeight="1">
      <x:c r="A149" s="28" t="b">
        <x:v>0</x:v>
      </x:c>
      <x:c r="B149" s="2" t="str">
        <x:v>Cycle 1</x:v>
      </x:c>
      <x:c r="C149" s="2" t="str">
        <x:v>Phase 3</x:v>
      </x:c>
      <x:c r="D149" s="2" t="str">
        <x:v>Retail Services</x:v>
      </x:c>
      <x:c r="E149" s="56" t="str">
        <x:v>DI.RS.3.7</x:v>
      </x:c>
      <x:c r="F149" s="14" t="str">
        <x:v>Present material in RCA Cycle Forum</x:v>
      </x:c>
      <x:c r="G149" s="5"/>
      <x:c r="H149" s="11"/>
      <x:c r="I149" s="11" t="str">
        <x:f>IF(SUMIFS('Cycles &amp; Guide'!$D$23:$D$50,'Cycles &amp; Guide'!$B$23:$B$50,B149,'Cycles &amp; Guide'!$C$23:$C$50,D149)=0,"",SUMIFS('Cycles &amp; Guide'!$D$23:$D$50,'Cycles &amp; Guide'!$B$23:$B$50,B149,'Cycles &amp; Guide'!$C$23:$C$50,D149))</x:f>
      </x:c>
      <x:c r="J149" s="11"/>
      <x:c r="K149" s="29"/>
      <x:c r="L149" s="2" t="str">
        <x:f>IF(O149=1,"Complete",IF(A149,"Checklist open",IF(H149&lt;&gt;"","In progress","Not started")))</x:f>
        <x:v>Not started</x:v>
      </x:c>
      <x:c r="M149" s="2" t="str">
        <x:v>Task</x:v>
      </x:c>
      <x:c r="N149" s="2" t="str">
        <x:v>DI.RS.3.7.2026.CY1</x:v>
      </x:c>
      <x:c r="O149" s="2" t="n">
        <x:f>R149</x:f>
        <x:v>0</x:v>
      </x:c>
      <x:c r="P149" s="2"/>
      <x:c r="Q149" s="2" t="n">
        <x:v>1</x:v>
      </x:c>
      <x:c r="R149" s="2" t="n">
        <x:f>IF(A149,1,0)</x:f>
        <x:v>0</x:v>
      </x:c>
      <x:c r="S149" s="2" t="n">
        <x:f>SUBTOTAL(103,N149)</x:f>
        <x:v>1</x:v>
      </x:c>
    </x:row>
    <x:row r="150" ht="42" customHeight="1">
      <x:c r="A150" s="28" t="b">
        <x:v>0</x:v>
      </x:c>
      <x:c r="B150" s="2" t="str">
        <x:v>Cycle 2</x:v>
      </x:c>
      <x:c r="C150" s="2" t="str">
        <x:v>Phase 1</x:v>
      </x:c>
      <x:c r="D150" s="2" t="str">
        <x:v>Auto</x:v>
      </x:c>
      <x:c r="E150" s="56" t="str">
        <x:v>DI.AU.1.1</x:v>
      </x:c>
      <x:c r="F150" s="14" t="str">
        <x:v>Receive and review potential research topics at least 2 weeks prior to Cycle start date</x:v>
      </x:c>
      <x:c r="G150" s="5"/>
      <x:c r="H150" s="11"/>
      <x:c r="I150" s="11" t="n">
        <x:f>'Cycles &amp; Guide'!$C$11-14</x:f>
        <x:v>46099</x:v>
      </x:c>
      <x:c r="J150" s="11"/>
      <x:c r="K150" s="29"/>
      <x:c r="L150" s="2" t="str">
        <x:f>IF(O150=1,"Complete",IF(A150,"Checklist open",IF(H150&lt;&gt;"","In progress","Not started")))</x:f>
        <x:v>Not started</x:v>
      </x:c>
      <x:c r="M150" s="2" t="str">
        <x:v>Task</x:v>
      </x:c>
      <x:c r="N150" s="2" t="str">
        <x:v>DI.AU.1.1.2026.CY2</x:v>
      </x:c>
      <x:c r="O150" s="2" t="n">
        <x:f>R150</x:f>
        <x:v>0</x:v>
      </x:c>
      <x:c r="P150" s="2"/>
      <x:c r="Q150" s="2" t="n">
        <x:v>1</x:v>
      </x:c>
      <x:c r="R150" s="2" t="n">
        <x:f>IF(A150,1,0)</x:f>
        <x:v>0</x:v>
      </x:c>
      <x:c r="S150" s="2" t="n">
        <x:f>SUBTOTAL(103,N150)</x:f>
        <x:v>1</x:v>
      </x:c>
    </x:row>
    <x:row r="151" ht="42" customHeight="1">
      <x:c r="A151" s="28" t="b">
        <x:v>0</x:v>
      </x:c>
      <x:c r="B151" s="2" t="str">
        <x:v>Cycle 2</x:v>
      </x:c>
      <x:c r="C151" s="2" t="str">
        <x:v>Phase 1</x:v>
      </x:c>
      <x:c r="D151" s="2" t="str">
        <x:v>Auto</x:v>
      </x:c>
      <x:c r="E151" s="56" t="str">
        <x:v>DI.AU.1.2</x:v>
      </x:c>
      <x:c r="F151" s="14" t="str">
        <x:v>Communicate any feedback on preferences or concerns with topics identified</x:v>
      </x:c>
      <x:c r="G151" s="5"/>
      <x:c r="H151" s="11"/>
      <x:c r="I151" s="11" t="n">
        <x:f>'Cycles &amp; Guide'!$D$11</x:f>
        <x:v>46203</x:v>
      </x:c>
      <x:c r="J151" s="11"/>
      <x:c r="K151" s="29"/>
      <x:c r="L151" s="2" t="str">
        <x:f>IF(O151=1,"Complete",IF(A151,"Checklist open",IF(H151&lt;&gt;"","In progress","Not started")))</x:f>
        <x:v>Not started</x:v>
      </x:c>
      <x:c r="M151" s="2" t="str">
        <x:v>Task</x:v>
      </x:c>
      <x:c r="N151" s="2" t="str">
        <x:v>DI.AU.1.2.2026.CY2</x:v>
      </x:c>
      <x:c r="O151" s="2" t="n">
        <x:f>R151</x:f>
        <x:v>0</x:v>
      </x:c>
      <x:c r="P151" s="2"/>
      <x:c r="Q151" s="2" t="n">
        <x:v>1</x:v>
      </x:c>
      <x:c r="R151" s="2" t="n">
        <x:f>IF(A151,1,0)</x:f>
        <x:v>0</x:v>
      </x:c>
      <x:c r="S151" s="2" t="n">
        <x:f>SUBTOTAL(103,N151)</x:f>
        <x:v>1</x:v>
      </x:c>
    </x:row>
    <x:row r="152" ht="42" customHeight="1">
      <x:c r="A152" s="28" t="b">
        <x:v>0</x:v>
      </x:c>
      <x:c r="B152" s="2" t="str">
        <x:v>Cycle 2</x:v>
      </x:c>
      <x:c r="C152" s="2" t="str">
        <x:v>Phase 1</x:v>
      </x:c>
      <x:c r="D152" s="2" t="str">
        <x:v>Auto</x:v>
      </x:c>
      <x:c r="E152" s="56" t="str">
        <x:v>DI.AU.1.3</x:v>
      </x:c>
      <x:c r="F152" s="14" t="str">
        <x:v>Conduct high-level preliminary review of complaints within proposed topics</x:v>
      </x:c>
      <x:c r="G152" s="5"/>
      <x:c r="H152" s="11"/>
      <x:c r="I152" s="11" t="n">
        <x:f>'Cycles &amp; Guide'!$D$11</x:f>
        <x:v>46203</x:v>
      </x:c>
      <x:c r="J152" s="11"/>
      <x:c r="K152" s="29"/>
      <x:c r="L152" s="2" t="str">
        <x:f>IF(O152=1,"Complete",IF(A152,"Checklist open",IF(H152&lt;&gt;"","In progress","Not started")))</x:f>
        <x:v>Not started</x:v>
      </x:c>
      <x:c r="M152" s="2" t="str">
        <x:v>Task</x:v>
      </x:c>
      <x:c r="N152" s="2" t="str">
        <x:v>DI.AU.1.3.2026.CY2</x:v>
      </x:c>
      <x:c r="O152" s="2" t="n">
        <x:f>R152</x:f>
        <x:v>0</x:v>
      </x:c>
      <x:c r="P152" s="2"/>
      <x:c r="Q152" s="2" t="n">
        <x:v>1</x:v>
      </x:c>
      <x:c r="R152" s="2" t="n">
        <x:f>IF(A152,1,0)</x:f>
        <x:v>0</x:v>
      </x:c>
      <x:c r="S152" s="2" t="n">
        <x:f>SUBTOTAL(103,N152)</x:f>
        <x:v>1</x:v>
      </x:c>
    </x:row>
    <x:row r="153" ht="42" customHeight="1">
      <x:c r="A153" s="28" t="b">
        <x:v>0</x:v>
      </x:c>
      <x:c r="B153" s="2" t="str">
        <x:v>Cycle 2</x:v>
      </x:c>
      <x:c r="C153" s="2" t="str">
        <x:v>Phase 1</x:v>
      </x:c>
      <x:c r="D153" s="2" t="str">
        <x:v>Auto</x:v>
      </x:c>
      <x:c r="E153" s="56" t="str">
        <x:v>DI.AU.1.4</x:v>
      </x:c>
      <x:c r="F153" s="14" t="str">
        <x:v>Meet with Research to discuss which topic to select based on potential impact</x:v>
      </x:c>
      <x:c r="G153" s="5"/>
      <x:c r="H153" s="11"/>
      <x:c r="I153" s="11" t="n">
        <x:f>'Cycles &amp; Guide'!$D$11</x:f>
        <x:v>46203</x:v>
      </x:c>
      <x:c r="J153" s="11"/>
      <x:c r="K153" s="29"/>
      <x:c r="L153" s="2" t="str">
        <x:f>IF(O153=1,"Complete",IF(A153,"Checklist open",IF(H153&lt;&gt;"","In progress","Not started")))</x:f>
        <x:v>Not started</x:v>
      </x:c>
      <x:c r="M153" s="2" t="str">
        <x:v>Task</x:v>
      </x:c>
      <x:c r="N153" s="2" t="str">
        <x:v>DI.AU.1.4.2026.CY2</x:v>
      </x:c>
      <x:c r="O153" s="2" t="n">
        <x:f>R153</x:f>
        <x:v>0</x:v>
      </x:c>
      <x:c r="P153" s="2"/>
      <x:c r="Q153" s="2" t="n">
        <x:v>1</x:v>
      </x:c>
      <x:c r="R153" s="2" t="n">
        <x:f>IF(A153,1,0)</x:f>
        <x:v>0</x:v>
      </x:c>
      <x:c r="S153" s="2" t="n">
        <x:f>SUBTOTAL(103,N153)</x:f>
        <x:v>1</x:v>
      </x:c>
    </x:row>
    <x:row r="154" ht="42" customHeight="1">
      <x:c r="A154" s="28" t="b">
        <x:v>0</x:v>
      </x:c>
      <x:c r="B154" s="2" t="str">
        <x:v>Cycle 2</x:v>
      </x:c>
      <x:c r="C154" s="2" t="str">
        <x:v>Phase 1</x:v>
      </x:c>
      <x:c r="D154" s="2" t="str">
        <x:v>Auto</x:v>
      </x:c>
      <x:c r="E154" s="56" t="str">
        <x:v>DI.AU.1.5</x:v>
      </x:c>
      <x:c r="F154" s="14" t="str">
        <x:v>Confirm with Research the recommended topic for approval</x:v>
      </x:c>
      <x:c r="G154" s="5"/>
      <x:c r="H154" s="11"/>
      <x:c r="I154" s="11" t="n">
        <x:f>'Cycles &amp; Guide'!$D$11</x:f>
        <x:v>46203</x:v>
      </x:c>
      <x:c r="J154" s="11"/>
      <x:c r="K154" s="29"/>
      <x:c r="L154" s="2" t="str">
        <x:f>IF(O154=1,"Complete",IF(A154,"Checklist open",IF(H154&lt;&gt;"","In progress","Not started")))</x:f>
        <x:v>Not started</x:v>
      </x:c>
      <x:c r="M154" s="2" t="str">
        <x:v>Task</x:v>
      </x:c>
      <x:c r="N154" s="2" t="str">
        <x:v>DI.AU.1.5.2026.CY2</x:v>
      </x:c>
      <x:c r="O154" s="2" t="n">
        <x:f>R154</x:f>
        <x:v>0</x:v>
      </x:c>
      <x:c r="P154" s="2"/>
      <x:c r="Q154" s="2" t="n">
        <x:v>1</x:v>
      </x:c>
      <x:c r="R154" s="2" t="n">
        <x:f>IF(A154,1,0)</x:f>
        <x:v>0</x:v>
      </x:c>
      <x:c r="S154" s="2" t="n">
        <x:f>SUBTOTAL(103,N154)</x:f>
        <x:v>1</x:v>
      </x:c>
    </x:row>
    <x:row r="155" ht="42" customHeight="1">
      <x:c r="A155" s="28" t="b">
        <x:v>0</x:v>
      </x:c>
      <x:c r="B155" s="2" t="str">
        <x:v>Cycle 2</x:v>
      </x:c>
      <x:c r="C155" s="2" t="str">
        <x:v>Phase 1</x:v>
      </x:c>
      <x:c r="D155" s="2" t="str">
        <x:v>Auto</x:v>
      </x:c>
      <x:c r="E155" s="56" t="str">
        <x:v>DI.AU.1.6</x:v>
      </x:c>
      <x:c r="F155" s="14" t="str">
        <x:v>Send topic selection socialization email to all key stakeholders on the first day of the review Cycle</x:v>
      </x:c>
      <x:c r="G155" s="5"/>
      <x:c r="H155" s="11"/>
      <x:c r="I155" s="11" t="n">
        <x:f>'Cycles &amp; Guide'!$C$11</x:f>
        <x:v>46113</x:v>
      </x:c>
      <x:c r="J155" s="11"/>
      <x:c r="K155" s="29"/>
      <x:c r="L155" s="2" t="str">
        <x:f>IF(O155=1,"Complete",IF(A155,"Checklist open",IF(H155&lt;&gt;"","In progress","Not started")))</x:f>
        <x:v>Not started</x:v>
      </x:c>
      <x:c r="M155" s="2" t="str">
        <x:v>Task</x:v>
      </x:c>
      <x:c r="N155" s="2" t="str">
        <x:v>DI.AU.1.6.2026.CY2</x:v>
      </x:c>
      <x:c r="O155" s="2" t="n">
        <x:f>R155</x:f>
        <x:v>0</x:v>
      </x:c>
      <x:c r="P155" s="2"/>
      <x:c r="Q155" s="2" t="n">
        <x:v>1</x:v>
      </x:c>
      <x:c r="R155" s="2" t="n">
        <x:f>IF(A155,1,0)</x:f>
        <x:v>0</x:v>
      </x:c>
      <x:c r="S155" s="2" t="n">
        <x:f>SUBTOTAL(103,N155)</x:f>
        <x:v>1</x:v>
      </x:c>
    </x:row>
    <x:row r="156" ht="42" customHeight="1">
      <x:c r="A156" s="28" t="b">
        <x:v>0</x:v>
      </x:c>
      <x:c r="B156" s="2" t="str">
        <x:v>Cycle 2</x:v>
      </x:c>
      <x:c r="C156" s="2" t="str">
        <x:v>Phase 2</x:v>
      </x:c>
      <x:c r="D156" s="2" t="str">
        <x:v>Auto</x:v>
      </x:c>
      <x:c r="E156" s="56" t="str">
        <x:v>DI.AU.2.1</x:v>
      </x:c>
      <x:c r="F156" s="14" t="str">
        <x:v>Meet regularly with Research to stay informed on progress, findings, and potential enhancement</x:v>
      </x:c>
      <x:c r="G156" s="5"/>
      <x:c r="H156" s="11"/>
      <x:c r="I156" s="11" t="n">
        <x:f>'Cycles &amp; Guide'!$D$11</x:f>
        <x:v>46203</x:v>
      </x:c>
      <x:c r="J156" s="11"/>
      <x:c r="K156" s="29"/>
      <x:c r="L156" s="2" t="str">
        <x:f>IF(O156=1,"Complete",IF(A156,"Checklist open",IF(H156&lt;&gt;"","In progress","Not started")))</x:f>
        <x:v>Not started</x:v>
      </x:c>
      <x:c r="M156" s="2" t="str">
        <x:v>Task</x:v>
      </x:c>
      <x:c r="N156" s="2" t="str">
        <x:v>DI.AU.2.1.2026.CY2</x:v>
      </x:c>
      <x:c r="O156" s="2" t="n">
        <x:f>R156</x:f>
        <x:v>0</x:v>
      </x:c>
      <x:c r="P156" s="2"/>
      <x:c r="Q156" s="2" t="n">
        <x:v>1</x:v>
      </x:c>
      <x:c r="R156" s="2" t="n">
        <x:f>IF(A156,1,0)</x:f>
        <x:v>0</x:v>
      </x:c>
      <x:c r="S156" s="2" t="n">
        <x:f>SUBTOTAL(103,N156)</x:f>
        <x:v>1</x:v>
      </x:c>
    </x:row>
    <x:row r="157" ht="42" customHeight="1">
      <x:c r="A157" s="28" t="b">
        <x:v>0</x:v>
      </x:c>
      <x:c r="B157" s="2" t="str">
        <x:v>Cycle 2</x:v>
      </x:c>
      <x:c r="C157" s="2" t="str">
        <x:v>Phase 2</x:v>
      </x:c>
      <x:c r="D157" s="2" t="str">
        <x:v>Auto</x:v>
      </x:c>
      <x:c r="E157" s="56" t="str">
        <x:v>DI.AU.2.2</x:v>
      </x:c>
      <x:c r="F157" s="14" t="str">
        <x:v>Collaborate with Research on research plan specifics</x:v>
      </x:c>
      <x:c r="G157" s="5"/>
      <x:c r="H157" s="11"/>
      <x:c r="I157" s="11" t="n">
        <x:f>'Cycles &amp; Guide'!$D$11</x:f>
        <x:v>46203</x:v>
      </x:c>
      <x:c r="J157" s="11"/>
      <x:c r="K157" s="29"/>
      <x:c r="L157" s="2" t="str">
        <x:f>IF(O157=1,"Complete",IF(A157,"Checklist open",IF(H157&lt;&gt;"","In progress","Not started")))</x:f>
        <x:v>Not started</x:v>
      </x:c>
      <x:c r="M157" s="2" t="str">
        <x:v>Task</x:v>
      </x:c>
      <x:c r="N157" s="2" t="str">
        <x:v>DI.AU.2.2.2026.CY2</x:v>
      </x:c>
      <x:c r="O157" s="2" t="n">
        <x:f>R157</x:f>
        <x:v>0</x:v>
      </x:c>
      <x:c r="P157" s="2"/>
      <x:c r="Q157" s="2" t="n">
        <x:v>1</x:v>
      </x:c>
      <x:c r="R157" s="2" t="n">
        <x:f>IF(A157,1,0)</x:f>
        <x:v>0</x:v>
      </x:c>
      <x:c r="S157" s="2" t="n">
        <x:f>SUBTOTAL(103,N157)</x:f>
        <x:v>1</x:v>
      </x:c>
    </x:row>
    <x:row r="158" ht="42" customHeight="1">
      <x:c r="A158" s="28" t="b">
        <x:v>0</x:v>
      </x:c>
      <x:c r="B158" s="2" t="str">
        <x:v>Cycle 2</x:v>
      </x:c>
      <x:c r="C158" s="2" t="str">
        <x:v>Phase 2</x:v>
      </x:c>
      <x:c r="D158" s="2" t="str">
        <x:v>Auto</x:v>
      </x:c>
      <x:c r="E158" s="56" t="str">
        <x:v>DI.AU.2.3</x:v>
      </x:c>
      <x:c r="F158" s="14" t="str">
        <x:v>Participate in SME insight meetings to gain perspective and appetite on potential enhancements</x:v>
      </x:c>
      <x:c r="G158" s="5"/>
      <x:c r="H158" s="11"/>
      <x:c r="I158" s="11" t="n">
        <x:f>'Cycles &amp; Guide'!$D$11</x:f>
        <x:v>46203</x:v>
      </x:c>
      <x:c r="J158" s="11"/>
      <x:c r="K158" s="29"/>
      <x:c r="L158" s="2" t="str">
        <x:f>IF(O158=1,"Complete",IF(A158,"Checklist open",IF(H158&lt;&gt;"","In progress","Not started")))</x:f>
        <x:v>Not started</x:v>
      </x:c>
      <x:c r="M158" s="2" t="str">
        <x:v>Task</x:v>
      </x:c>
      <x:c r="N158" s="2" t="str">
        <x:v>DI.AU.2.3.2026.CY2</x:v>
      </x:c>
      <x:c r="O158" s="2" t="n">
        <x:f>R158</x:f>
        <x:v>0</x:v>
      </x:c>
      <x:c r="P158" s="2"/>
      <x:c r="Q158" s="2" t="n">
        <x:v>1</x:v>
      </x:c>
      <x:c r="R158" s="2" t="n">
        <x:f>IF(A158,1,0)</x:f>
        <x:v>0</x:v>
      </x:c>
      <x:c r="S158" s="2" t="n">
        <x:f>SUBTOTAL(103,N158)</x:f>
        <x:v>1</x:v>
      </x:c>
    </x:row>
    <x:row r="159" ht="42" customHeight="1">
      <x:c r="A159" s="28" t="b">
        <x:v>0</x:v>
      </x:c>
      <x:c r="B159" s="2" t="str">
        <x:v>Cycle 2</x:v>
      </x:c>
      <x:c r="C159" s="2" t="str">
        <x:v>Phase 2</x:v>
      </x:c>
      <x:c r="D159" s="2" t="str">
        <x:v>Auto</x:v>
      </x:c>
      <x:c r="E159" s="56" t="str">
        <x:v>DI.AU.2.4</x:v>
      </x:c>
      <x:c r="F159" s="14" t="str">
        <x:v>Begin development of presentation materials as Research is being completed</x:v>
      </x:c>
      <x:c r="G159" s="5"/>
      <x:c r="H159" s="11"/>
      <x:c r="I159" s="11" t="n">
        <x:f>'Cycles &amp; Guide'!$D$11</x:f>
        <x:v>46203</x:v>
      </x:c>
      <x:c r="J159" s="11"/>
      <x:c r="K159" s="29"/>
      <x:c r="L159" s="2" t="str">
        <x:f>IF(O159=1,"Complete",IF(A159,"Checklist open",IF(H159&lt;&gt;"","In progress","Not started")))</x:f>
        <x:v>Not started</x:v>
      </x:c>
      <x:c r="M159" s="2" t="str">
        <x:v>Task</x:v>
      </x:c>
      <x:c r="N159" s="2" t="str">
        <x:v>DI.AU.2.4.2026.CY2</x:v>
      </x:c>
      <x:c r="O159" s="2" t="n">
        <x:f>R159</x:f>
        <x:v>0</x:v>
      </x:c>
      <x:c r="P159" s="2"/>
      <x:c r="Q159" s="2" t="n">
        <x:v>1</x:v>
      </x:c>
      <x:c r="R159" s="2" t="n">
        <x:f>IF(A159,1,0)</x:f>
        <x:v>0</x:v>
      </x:c>
      <x:c r="S159" s="2" t="n">
        <x:f>SUBTOTAL(103,N159)</x:f>
        <x:v>1</x:v>
      </x:c>
    </x:row>
    <x:row r="160" ht="42" customHeight="1">
      <x:c r="A160" s="28" t="b">
        <x:v>0</x:v>
      </x:c>
      <x:c r="B160" s="2" t="str">
        <x:v>Cycle 2</x:v>
      </x:c>
      <x:c r="C160" s="2" t="str">
        <x:v>Phase 2</x:v>
      </x:c>
      <x:c r="D160" s="2" t="str">
        <x:v>Auto</x:v>
      </x:c>
      <x:c r="E160" s="56" t="str">
        <x:v>DI.AU.2.5</x:v>
      </x:c>
      <x:c r="F160" s="14" t="str">
        <x:v>Draft initial enhancement recommendations (as applicable)</x:v>
      </x:c>
      <x:c r="G160" s="5"/>
      <x:c r="H160" s="11"/>
      <x:c r="I160" s="11" t="n">
        <x:f>'Cycles &amp; Guide'!$D$11</x:f>
        <x:v>46203</x:v>
      </x:c>
      <x:c r="J160" s="11"/>
      <x:c r="K160" s="29"/>
      <x:c r="L160" s="2" t="str">
        <x:f>IF(O160=1,"Complete",IF(A160,"Checklist open",IF(H160&lt;&gt;"","In progress","Not started")))</x:f>
        <x:v>Not started</x:v>
      </x:c>
      <x:c r="M160" s="2" t="str">
        <x:v>Task</x:v>
      </x:c>
      <x:c r="N160" s="2" t="str">
        <x:v>DI.AU.2.5.2026.CY2</x:v>
      </x:c>
      <x:c r="O160" s="2" t="n">
        <x:f>R160</x:f>
        <x:v>0</x:v>
      </x:c>
      <x:c r="P160" s="2"/>
      <x:c r="Q160" s="2" t="n">
        <x:v>1</x:v>
      </x:c>
      <x:c r="R160" s="2" t="n">
        <x:f>IF(A160,1,0)</x:f>
        <x:v>0</x:v>
      </x:c>
      <x:c r="S160" s="2" t="n">
        <x:f>SUBTOTAL(103,N160)</x:f>
        <x:v>1</x:v>
      </x:c>
    </x:row>
    <x:row r="161" ht="42" customHeight="1">
      <x:c r="A161" s="28" t="b">
        <x:v>0</x:v>
      </x:c>
      <x:c r="B161" s="2" t="str">
        <x:v>Cycle 2</x:v>
      </x:c>
      <x:c r="C161" s="2" t="str">
        <x:v>Phase 2</x:v>
      </x:c>
      <x:c r="D161" s="2" t="str">
        <x:v>Auto</x:v>
      </x:c>
      <x:c r="E161" s="56" t="str">
        <x:v>DI.AU.2.6</x:v>
      </x:c>
      <x:c r="F161" s="14" t="str">
        <x:v>Finalize presentation deck draft at conclusion of Research phase</x:v>
      </x:c>
      <x:c r="G161" s="5"/>
      <x:c r="H161" s="11"/>
      <x:c r="I161" s="11" t="n">
        <x:f>'Cycles &amp; Guide'!$D$11</x:f>
        <x:v>46203</x:v>
      </x:c>
      <x:c r="J161" s="11"/>
      <x:c r="K161" s="29"/>
      <x:c r="L161" s="2" t="str">
        <x:f>IF(O161=1,"Complete",IF(A161,"Checklist open",IF(H161&lt;&gt;"","In progress","Not started")))</x:f>
        <x:v>Not started</x:v>
      </x:c>
      <x:c r="M161" s="2" t="str">
        <x:v>Task</x:v>
      </x:c>
      <x:c r="N161" s="2" t="str">
        <x:v>DI.AU.2.6.2026.CY2</x:v>
      </x:c>
      <x:c r="O161" s="2" t="n">
        <x:f>R161</x:f>
        <x:v>0</x:v>
      </x:c>
      <x:c r="P161" s="2"/>
      <x:c r="Q161" s="2" t="n">
        <x:v>1</x:v>
      </x:c>
      <x:c r="R161" s="2" t="n">
        <x:f>IF(A161,1,0)</x:f>
        <x:v>0</x:v>
      </x:c>
      <x:c r="S161" s="2" t="n">
        <x:f>SUBTOTAL(103,N161)</x:f>
        <x:v>1</x:v>
      </x:c>
    </x:row>
    <x:row r="162" ht="42" customHeight="1">
      <x:c r="A162" s="28" t="b">
        <x:v>0</x:v>
      </x:c>
      <x:c r="B162" s="2" t="str">
        <x:v>Cycle 2</x:v>
      </x:c>
      <x:c r="C162" s="2" t="str">
        <x:v>Phase 2</x:v>
      </x:c>
      <x:c r="D162" s="2" t="str">
        <x:v>Auto</x:v>
      </x:c>
      <x:c r="E162" s="56" t="str">
        <x:v>DI.AU.2.7</x:v>
      </x:c>
      <x:c r="F162" s="14" t="str">
        <x:v>Update Outcome portion of research plan with current enhancement verbiage (as needed)</x:v>
      </x:c>
      <x:c r="G162" s="5"/>
      <x:c r="H162" s="11"/>
      <x:c r="I162" s="11" t="n">
        <x:f>'Cycles &amp; Guide'!$D$11</x:f>
        <x:v>46203</x:v>
      </x:c>
      <x:c r="J162" s="11"/>
      <x:c r="K162" s="29"/>
      <x:c r="L162" s="2" t="str">
        <x:f>IF(O162=1,"Complete",IF(A162,"Checklist open",IF(H162&lt;&gt;"","In progress","Not started")))</x:f>
        <x:v>Not started</x:v>
      </x:c>
      <x:c r="M162" s="2" t="str">
        <x:v>Task</x:v>
      </x:c>
      <x:c r="N162" s="2" t="str">
        <x:v>DI.AU.2.7.2026.CY2</x:v>
      </x:c>
      <x:c r="O162" s="2" t="n">
        <x:f>R162</x:f>
        <x:v>0</x:v>
      </x:c>
      <x:c r="P162" s="2"/>
      <x:c r="Q162" s="2" t="n">
        <x:v>1</x:v>
      </x:c>
      <x:c r="R162" s="2" t="n">
        <x:f>IF(A162,1,0)</x:f>
        <x:v>0</x:v>
      </x:c>
      <x:c r="S162" s="2" t="n">
        <x:f>SUBTOTAL(103,N162)</x:f>
        <x:v>1</x:v>
      </x:c>
    </x:row>
    <x:row r="163" ht="42" customHeight="1">
      <x:c r="A163" s="28" t="b">
        <x:v>0</x:v>
      </x:c>
      <x:c r="B163" s="2" t="str">
        <x:v>Cycle 2</x:v>
      </x:c>
      <x:c r="C163" s="2" t="str">
        <x:v>Phase 3</x:v>
      </x:c>
      <x:c r="D163" s="2" t="str">
        <x:v>Auto</x:v>
      </x:c>
      <x:c r="E163" s="56" t="str">
        <x:v>DI.AU.3.1</x:v>
      </x:c>
      <x:c r="F163" s="14" t="str">
        <x:v>Confirm list of required &amp; optional attendees for pre-socialization meeting</x:v>
      </x:c>
      <x:c r="G163" s="5"/>
      <x:c r="H163" s="11"/>
      <x:c r="I163" s="11" t="n">
        <x:f>'Cycles &amp; Guide'!$D$11</x:f>
        <x:v>46203</x:v>
      </x:c>
      <x:c r="J163" s="11"/>
      <x:c r="K163" s="29"/>
      <x:c r="L163" s="2" t="str">
        <x:f>IF(O163=1,"Complete",IF(A163,"Checklist open",IF(H163&lt;&gt;"","In progress","Not started")))</x:f>
        <x:v>Not started</x:v>
      </x:c>
      <x:c r="M163" s="2" t="str">
        <x:v>Task</x:v>
      </x:c>
      <x:c r="N163" s="2" t="str">
        <x:v>DI.AU.3.1.2026.CY2</x:v>
      </x:c>
      <x:c r="O163" s="2" t="n">
        <x:f>R163</x:f>
        <x:v>0</x:v>
      </x:c>
      <x:c r="P163" s="2"/>
      <x:c r="Q163" s="2" t="n">
        <x:v>1</x:v>
      </x:c>
      <x:c r="R163" s="2" t="n">
        <x:f>IF(A163,1,0)</x:f>
        <x:v>0</x:v>
      </x:c>
      <x:c r="S163" s="2" t="n">
        <x:f>SUBTOTAL(103,N163)</x:f>
        <x:v>1</x:v>
      </x:c>
    </x:row>
    <x:row r="164" ht="42" customHeight="1">
      <x:c r="A164" s="28" t="b">
        <x:v>0</x:v>
      </x:c>
      <x:c r="B164" s="2" t="str">
        <x:v>Cycle 2</x:v>
      </x:c>
      <x:c r="C164" s="2" t="str">
        <x:v>Phase 3</x:v>
      </x:c>
      <x:c r="D164" s="2" t="str">
        <x:v>Auto</x:v>
      </x:c>
      <x:c r="E164" s="56" t="str">
        <x:v>DI.AU.3.2</x:v>
      </x:c>
      <x:c r="F164" s="14" t="str">
        <x:v>Schedule pre-socialization meeting 1 week prior to RCA Forum</x:v>
      </x:c>
      <x:c r="G164" s="5"/>
      <x:c r="H164" s="11"/>
      <x:c r="I164" s="11" t="str">
        <x:f>IF(SUMIFS('Cycles &amp; Guide'!$D$23:$D$50,'Cycles &amp; Guide'!$B$23:$B$50,B164,'Cycles &amp; Guide'!$C$23:$C$50,D164)=0,"",SUMIFS('Cycles &amp; Guide'!$D$23:$D$50,'Cycles &amp; Guide'!$B$23:$B$50,B164,'Cycles &amp; Guide'!$C$23:$C$50,D164)-7)</x:f>
      </x:c>
      <x:c r="J164" s="11"/>
      <x:c r="K164" s="29"/>
      <x:c r="L164" s="2" t="str">
        <x:f>IF(O164=1,"Complete",IF(A164,"Checklist open",IF(H164&lt;&gt;"","In progress","Not started")))</x:f>
        <x:v>Not started</x:v>
      </x:c>
      <x:c r="M164" s="2" t="str">
        <x:v>Task</x:v>
      </x:c>
      <x:c r="N164" s="2" t="str">
        <x:v>DI.AU.3.2.2026.CY2</x:v>
      </x:c>
      <x:c r="O164" s="2" t="n">
        <x:f>R164</x:f>
        <x:v>0</x:v>
      </x:c>
      <x:c r="P164" s="2"/>
      <x:c r="Q164" s="2" t="n">
        <x:v>1</x:v>
      </x:c>
      <x:c r="R164" s="2" t="n">
        <x:f>IF(A164,1,0)</x:f>
        <x:v>0</x:v>
      </x:c>
      <x:c r="S164" s="2" t="n">
        <x:f>SUBTOTAL(103,N164)</x:f>
        <x:v>1</x:v>
      </x:c>
    </x:row>
    <x:row r="165" ht="42" customHeight="1">
      <x:c r="A165" s="28" t="b">
        <x:v>0</x:v>
      </x:c>
      <x:c r="B165" s="2" t="str">
        <x:v>Cycle 2</x:v>
      </x:c>
      <x:c r="C165" s="2" t="str">
        <x:v>Phase 3</x:v>
      </x:c>
      <x:c r="D165" s="2" t="str">
        <x:v>Auto</x:v>
      </x:c>
      <x:c r="E165" s="56" t="str">
        <x:v>DI.AU.3.3</x:v>
      </x:c>
      <x:c r="F165" s="14" t="str">
        <x:v>Present findings, conclusions, and recommendation to SMEs</x:v>
      </x:c>
      <x:c r="G165" s="5"/>
      <x:c r="H165" s="11"/>
      <x:c r="I165" s="11" t="n">
        <x:f>'Cycles &amp; Guide'!$D$11</x:f>
        <x:v>46203</x:v>
      </x:c>
      <x:c r="J165" s="11"/>
      <x:c r="K165" s="29"/>
      <x:c r="L165" s="2" t="str">
        <x:f>IF(O165=1,"Complete",IF(A165,"Checklist open",IF(H165&lt;&gt;"","In progress","Not started")))</x:f>
        <x:v>Not started</x:v>
      </x:c>
      <x:c r="M165" s="2" t="str">
        <x:v>Task</x:v>
      </x:c>
      <x:c r="N165" s="2" t="str">
        <x:v>DI.AU.3.3.2026.CY2</x:v>
      </x:c>
      <x:c r="O165" s="2" t="n">
        <x:f>R165</x:f>
        <x:v>0</x:v>
      </x:c>
      <x:c r="P165" s="2"/>
      <x:c r="Q165" s="2" t="n">
        <x:v>1</x:v>
      </x:c>
      <x:c r="R165" s="2" t="n">
        <x:f>IF(A165,1,0)</x:f>
        <x:v>0</x:v>
      </x:c>
      <x:c r="S165" s="2" t="n">
        <x:f>SUBTOTAL(103,N165)</x:f>
        <x:v>1</x:v>
      </x:c>
    </x:row>
    <x:row r="166" ht="42" customHeight="1">
      <x:c r="A166" s="28" t="b">
        <x:v>0</x:v>
      </x:c>
      <x:c r="B166" s="2" t="str">
        <x:v>Cycle 2</x:v>
      </x:c>
      <x:c r="C166" s="2" t="str">
        <x:v>Phase 3</x:v>
      </x:c>
      <x:c r="D166" s="2" t="str">
        <x:v>Auto</x:v>
      </x:c>
      <x:c r="E166" s="56" t="str">
        <x:v>DI.AU.3.4</x:v>
      </x:c>
      <x:c r="F166" s="14" t="str">
        <x:v>Update Outcome portion of research plan (as needed)</x:v>
      </x:c>
      <x:c r="G166" s="5"/>
      <x:c r="H166" s="11"/>
      <x:c r="I166" s="11" t="n">
        <x:f>'Cycles &amp; Guide'!$D$11</x:f>
        <x:v>46203</x:v>
      </x:c>
      <x:c r="J166" s="11"/>
      <x:c r="K166" s="29"/>
      <x:c r="L166" s="2" t="str">
        <x:f>IF(O166=1,"Complete",IF(A166,"Checklist open",IF(H166&lt;&gt;"","In progress","Not started")))</x:f>
        <x:v>Not started</x:v>
      </x:c>
      <x:c r="M166" s="2" t="str">
        <x:v>Task</x:v>
      </x:c>
      <x:c r="N166" s="2" t="str">
        <x:v>DI.AU.3.4.2026.CY2</x:v>
      </x:c>
      <x:c r="O166" s="2" t="n">
        <x:f>R166</x:f>
        <x:v>0</x:v>
      </x:c>
      <x:c r="P166" s="2"/>
      <x:c r="Q166" s="2" t="n">
        <x:v>1</x:v>
      </x:c>
      <x:c r="R166" s="2" t="n">
        <x:f>IF(A166,1,0)</x:f>
        <x:v>0</x:v>
      </x:c>
      <x:c r="S166" s="2" t="n">
        <x:f>SUBTOTAL(103,N166)</x:f>
        <x:v>1</x:v>
      </x:c>
    </x:row>
    <x:row r="167" ht="42" customHeight="1">
      <x:c r="A167" s="28" t="b">
        <x:v>0</x:v>
      </x:c>
      <x:c r="B167" s="2" t="str">
        <x:v>Cycle 2</x:v>
      </x:c>
      <x:c r="C167" s="2" t="str">
        <x:v>Phase 3</x:v>
      </x:c>
      <x:c r="D167" s="2" t="str">
        <x:v>Auto</x:v>
      </x:c>
      <x:c r="E167" s="56" t="str">
        <x:v>DI.AU.3.5</x:v>
      </x:c>
      <x:c r="F167" s="14" t="str">
        <x:v>Finalize presentation deck by incorporating pre-socialization feedback (as needed)</x:v>
      </x:c>
      <x:c r="G167" s="5"/>
      <x:c r="H167" s="11"/>
      <x:c r="I167" s="11" t="n">
        <x:f>'Cycles &amp; Guide'!$D$11</x:f>
        <x:v>46203</x:v>
      </x:c>
      <x:c r="J167" s="11"/>
      <x:c r="K167" s="29"/>
      <x:c r="L167" s="2" t="str">
        <x:f>IF(O167=1,"Complete",IF(A167,"Checklist open",IF(H167&lt;&gt;"","In progress","Not started")))</x:f>
        <x:v>Not started</x:v>
      </x:c>
      <x:c r="M167" s="2" t="str">
        <x:v>Task</x:v>
      </x:c>
      <x:c r="N167" s="2" t="str">
        <x:v>DI.AU.3.5.2026.CY2</x:v>
      </x:c>
      <x:c r="O167" s="2" t="n">
        <x:f>R167</x:f>
        <x:v>0</x:v>
      </x:c>
      <x:c r="P167" s="2"/>
      <x:c r="Q167" s="2" t="n">
        <x:v>1</x:v>
      </x:c>
      <x:c r="R167" s="2" t="n">
        <x:f>IF(A167,1,0)</x:f>
        <x:v>0</x:v>
      </x:c>
      <x:c r="S167" s="2" t="n">
        <x:f>SUBTOTAL(103,N167)</x:f>
        <x:v>1</x:v>
      </x:c>
    </x:row>
    <x:row r="168" ht="42" customHeight="1">
      <x:c r="A168" s="28" t="b">
        <x:v>0</x:v>
      </x:c>
      <x:c r="B168" s="2" t="str">
        <x:v>Cycle 2</x:v>
      </x:c>
      <x:c r="C168" s="2" t="str">
        <x:v>Phase 3</x:v>
      </x:c>
      <x:c r="D168" s="2" t="str">
        <x:v>Auto</x:v>
      </x:c>
      <x:c r="E168" s="56" t="str">
        <x:v>DI.AU.3.6</x:v>
      </x:c>
      <x:c r="F168" s="14" t="str">
        <x:v>Ensure final deck is communicated to Forum attendees</x:v>
      </x:c>
      <x:c r="G168" s="5"/>
      <x:c r="H168" s="11"/>
      <x:c r="I168" s="11" t="n">
        <x:f>'Cycles &amp; Guide'!$D$11</x:f>
        <x:v>46203</x:v>
      </x:c>
      <x:c r="J168" s="11"/>
      <x:c r="K168" s="29"/>
      <x:c r="L168" s="2" t="str">
        <x:f>IF(O168=1,"Complete",IF(A168,"Checklist open",IF(H168&lt;&gt;"","In progress","Not started")))</x:f>
        <x:v>Not started</x:v>
      </x:c>
      <x:c r="M168" s="2" t="str">
        <x:v>Task</x:v>
      </x:c>
      <x:c r="N168" s="2" t="str">
        <x:v>DI.AU.3.6.2026.CY2</x:v>
      </x:c>
      <x:c r="O168" s="2" t="n">
        <x:f>R168</x:f>
        <x:v>0</x:v>
      </x:c>
      <x:c r="P168" s="2"/>
      <x:c r="Q168" s="2" t="n">
        <x:v>1</x:v>
      </x:c>
      <x:c r="R168" s="2" t="n">
        <x:f>IF(A168,1,0)</x:f>
        <x:v>0</x:v>
      </x:c>
      <x:c r="S168" s="2" t="n">
        <x:f>SUBTOTAL(103,N168)</x:f>
        <x:v>1</x:v>
      </x:c>
    </x:row>
    <x:row r="169" ht="42" customHeight="1">
      <x:c r="A169" s="28" t="b">
        <x:v>0</x:v>
      </x:c>
      <x:c r="B169" s="2" t="str">
        <x:v>Cycle 2</x:v>
      </x:c>
      <x:c r="C169" s="2" t="str">
        <x:v>Phase 3</x:v>
      </x:c>
      <x:c r="D169" s="2" t="str">
        <x:v>Auto</x:v>
      </x:c>
      <x:c r="E169" s="56" t="str">
        <x:v>DI.AU.3.7</x:v>
      </x:c>
      <x:c r="F169" s="14" t="str">
        <x:v>Present material in RCA Cycle Forum</x:v>
      </x:c>
      <x:c r="G169" s="5"/>
      <x:c r="H169" s="11"/>
      <x:c r="I169" s="11" t="str">
        <x:f>IF(SUMIFS('Cycles &amp; Guide'!$D$23:$D$50,'Cycles &amp; Guide'!$B$23:$B$50,B169,'Cycles &amp; Guide'!$C$23:$C$50,D169)=0,"",SUMIFS('Cycles &amp; Guide'!$D$23:$D$50,'Cycles &amp; Guide'!$B$23:$B$50,B169,'Cycles &amp; Guide'!$C$23:$C$50,D169))</x:f>
      </x:c>
      <x:c r="J169" s="11"/>
      <x:c r="K169" s="29"/>
      <x:c r="L169" s="2" t="str">
        <x:f>IF(O169=1,"Complete",IF(A169,"Checklist open",IF(H169&lt;&gt;"","In progress","Not started")))</x:f>
        <x:v>Not started</x:v>
      </x:c>
      <x:c r="M169" s="2" t="str">
        <x:v>Task</x:v>
      </x:c>
      <x:c r="N169" s="2" t="str">
        <x:v>DI.AU.3.7.2026.CY2</x:v>
      </x:c>
      <x:c r="O169" s="2" t="n">
        <x:f>R169</x:f>
        <x:v>0</x:v>
      </x:c>
      <x:c r="P169" s="2"/>
      <x:c r="Q169" s="2" t="n">
        <x:v>1</x:v>
      </x:c>
      <x:c r="R169" s="2" t="n">
        <x:f>IF(A169,1,0)</x:f>
        <x:v>0</x:v>
      </x:c>
      <x:c r="S169" s="2" t="n">
        <x:f>SUBTOTAL(103,N169)</x:f>
        <x:v>1</x:v>
      </x:c>
    </x:row>
    <x:row r="170" ht="42" customHeight="1">
      <x:c r="A170" s="28" t="b">
        <x:v>0</x:v>
      </x:c>
      <x:c r="B170" s="2" t="str">
        <x:v>Cycle 2</x:v>
      </x:c>
      <x:c r="C170" s="2" t="str">
        <x:v>Phase 1</x:v>
      </x:c>
      <x:c r="D170" s="2" t="str">
        <x:v>Cards</x:v>
      </x:c>
      <x:c r="E170" s="56" t="str">
        <x:v>DI.CA.1.1</x:v>
      </x:c>
      <x:c r="F170" s="14" t="str">
        <x:v>Receive and review potential research topics at least 2 weeks prior to Cycle start date</x:v>
      </x:c>
      <x:c r="G170" s="5"/>
      <x:c r="H170" s="11"/>
      <x:c r="I170" s="11" t="n">
        <x:f>'Cycles &amp; Guide'!$C$11-14</x:f>
        <x:v>46099</x:v>
      </x:c>
      <x:c r="J170" s="11"/>
      <x:c r="K170" s="29"/>
      <x:c r="L170" s="2" t="str">
        <x:f>IF(O170=1,"Complete",IF(A170,"Checklist open",IF(H170&lt;&gt;"","In progress","Not started")))</x:f>
        <x:v>Not started</x:v>
      </x:c>
      <x:c r="M170" s="2" t="str">
        <x:v>Task</x:v>
      </x:c>
      <x:c r="N170" s="2" t="str">
        <x:v>DI.CA.1.1.2026.CY2</x:v>
      </x:c>
      <x:c r="O170" s="2" t="n">
        <x:f>R170</x:f>
        <x:v>0</x:v>
      </x:c>
      <x:c r="P170" s="2"/>
      <x:c r="Q170" s="2" t="n">
        <x:v>1</x:v>
      </x:c>
      <x:c r="R170" s="2" t="n">
        <x:f>IF(A170,1,0)</x:f>
        <x:v>0</x:v>
      </x:c>
      <x:c r="S170" s="2" t="n">
        <x:f>SUBTOTAL(103,N170)</x:f>
        <x:v>1</x:v>
      </x:c>
    </x:row>
    <x:row r="171" ht="42" customHeight="1">
      <x:c r="A171" s="28" t="b">
        <x:v>0</x:v>
      </x:c>
      <x:c r="B171" s="2" t="str">
        <x:v>Cycle 2</x:v>
      </x:c>
      <x:c r="C171" s="2" t="str">
        <x:v>Phase 1</x:v>
      </x:c>
      <x:c r="D171" s="2" t="str">
        <x:v>Cards</x:v>
      </x:c>
      <x:c r="E171" s="56" t="str">
        <x:v>DI.CA.1.2</x:v>
      </x:c>
      <x:c r="F171" s="14" t="str">
        <x:v>Communicate any feedback on preferences or concerns with topics identified</x:v>
      </x:c>
      <x:c r="G171" s="5"/>
      <x:c r="H171" s="11"/>
      <x:c r="I171" s="11" t="n">
        <x:f>'Cycles &amp; Guide'!$D$11</x:f>
        <x:v>46203</x:v>
      </x:c>
      <x:c r="J171" s="11"/>
      <x:c r="K171" s="29"/>
      <x:c r="L171" s="2" t="str">
        <x:f>IF(O171=1,"Complete",IF(A171,"Checklist open",IF(H171&lt;&gt;"","In progress","Not started")))</x:f>
        <x:v>Not started</x:v>
      </x:c>
      <x:c r="M171" s="2" t="str">
        <x:v>Task</x:v>
      </x:c>
      <x:c r="N171" s="2" t="str">
        <x:v>DI.CA.1.2.2026.CY2</x:v>
      </x:c>
      <x:c r="O171" s="2" t="n">
        <x:f>R171</x:f>
        <x:v>0</x:v>
      </x:c>
      <x:c r="P171" s="2"/>
      <x:c r="Q171" s="2" t="n">
        <x:v>1</x:v>
      </x:c>
      <x:c r="R171" s="2" t="n">
        <x:f>IF(A171,1,0)</x:f>
        <x:v>0</x:v>
      </x:c>
      <x:c r="S171" s="2" t="n">
        <x:f>SUBTOTAL(103,N171)</x:f>
        <x:v>1</x:v>
      </x:c>
    </x:row>
    <x:row r="172" ht="42" customHeight="1">
      <x:c r="A172" s="28" t="b">
        <x:v>0</x:v>
      </x:c>
      <x:c r="B172" s="2" t="str">
        <x:v>Cycle 2</x:v>
      </x:c>
      <x:c r="C172" s="2" t="str">
        <x:v>Phase 1</x:v>
      </x:c>
      <x:c r="D172" s="2" t="str">
        <x:v>Cards</x:v>
      </x:c>
      <x:c r="E172" s="56" t="str">
        <x:v>DI.CA.1.3</x:v>
      </x:c>
      <x:c r="F172" s="14" t="str">
        <x:v>Conduct high-level preliminary review of complaints within proposed topics</x:v>
      </x:c>
      <x:c r="G172" s="5"/>
      <x:c r="H172" s="11"/>
      <x:c r="I172" s="11" t="n">
        <x:f>'Cycles &amp; Guide'!$D$11</x:f>
        <x:v>46203</x:v>
      </x:c>
      <x:c r="J172" s="11"/>
      <x:c r="K172" s="29"/>
      <x:c r="L172" s="2" t="str">
        <x:f>IF(O172=1,"Complete",IF(A172,"Checklist open",IF(H172&lt;&gt;"","In progress","Not started")))</x:f>
        <x:v>Not started</x:v>
      </x:c>
      <x:c r="M172" s="2" t="str">
        <x:v>Task</x:v>
      </x:c>
      <x:c r="N172" s="2" t="str">
        <x:v>DI.CA.1.3.2026.CY2</x:v>
      </x:c>
      <x:c r="O172" s="2" t="n">
        <x:f>R172</x:f>
        <x:v>0</x:v>
      </x:c>
      <x:c r="P172" s="2"/>
      <x:c r="Q172" s="2" t="n">
        <x:v>1</x:v>
      </x:c>
      <x:c r="R172" s="2" t="n">
        <x:f>IF(A172,1,0)</x:f>
        <x:v>0</x:v>
      </x:c>
      <x:c r="S172" s="2" t="n">
        <x:f>SUBTOTAL(103,N172)</x:f>
        <x:v>1</x:v>
      </x:c>
    </x:row>
    <x:row r="173" ht="42" customHeight="1">
      <x:c r="A173" s="28" t="b">
        <x:v>0</x:v>
      </x:c>
      <x:c r="B173" s="2" t="str">
        <x:v>Cycle 2</x:v>
      </x:c>
      <x:c r="C173" s="2" t="str">
        <x:v>Phase 1</x:v>
      </x:c>
      <x:c r="D173" s="2" t="str">
        <x:v>Cards</x:v>
      </x:c>
      <x:c r="E173" s="56" t="str">
        <x:v>DI.CA.1.4</x:v>
      </x:c>
      <x:c r="F173" s="14" t="str">
        <x:v>Meet with Research to discuss which topic to select based on potential impact</x:v>
      </x:c>
      <x:c r="G173" s="5"/>
      <x:c r="H173" s="11"/>
      <x:c r="I173" s="11" t="n">
        <x:f>'Cycles &amp; Guide'!$D$11</x:f>
        <x:v>46203</x:v>
      </x:c>
      <x:c r="J173" s="11"/>
      <x:c r="K173" s="29"/>
      <x:c r="L173" s="2" t="str">
        <x:f>IF(O173=1,"Complete",IF(A173,"Checklist open",IF(H173&lt;&gt;"","In progress","Not started")))</x:f>
        <x:v>Not started</x:v>
      </x:c>
      <x:c r="M173" s="2" t="str">
        <x:v>Task</x:v>
      </x:c>
      <x:c r="N173" s="2" t="str">
        <x:v>DI.CA.1.4.2026.CY2</x:v>
      </x:c>
      <x:c r="O173" s="2" t="n">
        <x:f>R173</x:f>
        <x:v>0</x:v>
      </x:c>
      <x:c r="P173" s="2"/>
      <x:c r="Q173" s="2" t="n">
        <x:v>1</x:v>
      </x:c>
      <x:c r="R173" s="2" t="n">
        <x:f>IF(A173,1,0)</x:f>
        <x:v>0</x:v>
      </x:c>
      <x:c r="S173" s="2" t="n">
        <x:f>SUBTOTAL(103,N173)</x:f>
        <x:v>1</x:v>
      </x:c>
    </x:row>
    <x:row r="174" ht="42" customHeight="1">
      <x:c r="A174" s="28" t="b">
        <x:v>0</x:v>
      </x:c>
      <x:c r="B174" s="2" t="str">
        <x:v>Cycle 2</x:v>
      </x:c>
      <x:c r="C174" s="2" t="str">
        <x:v>Phase 1</x:v>
      </x:c>
      <x:c r="D174" s="2" t="str">
        <x:v>Cards</x:v>
      </x:c>
      <x:c r="E174" s="56" t="str">
        <x:v>DI.CA.1.5</x:v>
      </x:c>
      <x:c r="F174" s="14" t="str">
        <x:v>Confirm with Research the recommended topic for approval</x:v>
      </x:c>
      <x:c r="G174" s="5"/>
      <x:c r="H174" s="11"/>
      <x:c r="I174" s="11" t="n">
        <x:f>'Cycles &amp; Guide'!$D$11</x:f>
        <x:v>46203</x:v>
      </x:c>
      <x:c r="J174" s="11"/>
      <x:c r="K174" s="29"/>
      <x:c r="L174" s="2" t="str">
        <x:f>IF(O174=1,"Complete",IF(A174,"Checklist open",IF(H174&lt;&gt;"","In progress","Not started")))</x:f>
        <x:v>Not started</x:v>
      </x:c>
      <x:c r="M174" s="2" t="str">
        <x:v>Task</x:v>
      </x:c>
      <x:c r="N174" s="2" t="str">
        <x:v>DI.CA.1.5.2026.CY2</x:v>
      </x:c>
      <x:c r="O174" s="2" t="n">
        <x:f>R174</x:f>
        <x:v>0</x:v>
      </x:c>
      <x:c r="P174" s="2"/>
      <x:c r="Q174" s="2" t="n">
        <x:v>1</x:v>
      </x:c>
      <x:c r="R174" s="2" t="n">
        <x:f>IF(A174,1,0)</x:f>
        <x:v>0</x:v>
      </x:c>
      <x:c r="S174" s="2" t="n">
        <x:f>SUBTOTAL(103,N174)</x:f>
        <x:v>1</x:v>
      </x:c>
    </x:row>
    <x:row r="175" ht="42" customHeight="1">
      <x:c r="A175" s="28" t="b">
        <x:v>0</x:v>
      </x:c>
      <x:c r="B175" s="2" t="str">
        <x:v>Cycle 2</x:v>
      </x:c>
      <x:c r="C175" s="2" t="str">
        <x:v>Phase 1</x:v>
      </x:c>
      <x:c r="D175" s="2" t="str">
        <x:v>Cards</x:v>
      </x:c>
      <x:c r="E175" s="56" t="str">
        <x:v>DI.CA.1.6</x:v>
      </x:c>
      <x:c r="F175" s="14" t="str">
        <x:v>Send topic selection socialization email to all key stakeholders on the first day of the review Cycle</x:v>
      </x:c>
      <x:c r="G175" s="5"/>
      <x:c r="H175" s="11"/>
      <x:c r="I175" s="11" t="n">
        <x:f>'Cycles &amp; Guide'!$C$11</x:f>
        <x:v>46113</x:v>
      </x:c>
      <x:c r="J175" s="11"/>
      <x:c r="K175" s="29"/>
      <x:c r="L175" s="2" t="str">
        <x:f>IF(O175=1,"Complete",IF(A175,"Checklist open",IF(H175&lt;&gt;"","In progress","Not started")))</x:f>
        <x:v>Not started</x:v>
      </x:c>
      <x:c r="M175" s="2" t="str">
        <x:v>Task</x:v>
      </x:c>
      <x:c r="N175" s="2" t="str">
        <x:v>DI.CA.1.6.2026.CY2</x:v>
      </x:c>
      <x:c r="O175" s="2" t="n">
        <x:f>R175</x:f>
        <x:v>0</x:v>
      </x:c>
      <x:c r="P175" s="2"/>
      <x:c r="Q175" s="2" t="n">
        <x:v>1</x:v>
      </x:c>
      <x:c r="R175" s="2" t="n">
        <x:f>IF(A175,1,0)</x:f>
        <x:v>0</x:v>
      </x:c>
      <x:c r="S175" s="2" t="n">
        <x:f>SUBTOTAL(103,N175)</x:f>
        <x:v>1</x:v>
      </x:c>
    </x:row>
    <x:row r="176" ht="42" customHeight="1">
      <x:c r="A176" s="28" t="b">
        <x:v>0</x:v>
      </x:c>
      <x:c r="B176" s="2" t="str">
        <x:v>Cycle 2</x:v>
      </x:c>
      <x:c r="C176" s="2" t="str">
        <x:v>Phase 2</x:v>
      </x:c>
      <x:c r="D176" s="2" t="str">
        <x:v>Cards</x:v>
      </x:c>
      <x:c r="E176" s="56" t="str">
        <x:v>DI.CA.2.1</x:v>
      </x:c>
      <x:c r="F176" s="14" t="str">
        <x:v>Meet regularly with Research to stay informed on progress, findings, and potential enhancement</x:v>
      </x:c>
      <x:c r="G176" s="5"/>
      <x:c r="H176" s="11"/>
      <x:c r="I176" s="11" t="n">
        <x:f>'Cycles &amp; Guide'!$D$11</x:f>
        <x:v>46203</x:v>
      </x:c>
      <x:c r="J176" s="11"/>
      <x:c r="K176" s="29"/>
      <x:c r="L176" s="2" t="str">
        <x:f>IF(O176=1,"Complete",IF(A176,"Checklist open",IF(H176&lt;&gt;"","In progress","Not started")))</x:f>
        <x:v>Not started</x:v>
      </x:c>
      <x:c r="M176" s="2" t="str">
        <x:v>Task</x:v>
      </x:c>
      <x:c r="N176" s="2" t="str">
        <x:v>DI.CA.2.1.2026.CY2</x:v>
      </x:c>
      <x:c r="O176" s="2" t="n">
        <x:f>R176</x:f>
        <x:v>0</x:v>
      </x:c>
      <x:c r="P176" s="2"/>
      <x:c r="Q176" s="2" t="n">
        <x:v>1</x:v>
      </x:c>
      <x:c r="R176" s="2" t="n">
        <x:f>IF(A176,1,0)</x:f>
        <x:v>0</x:v>
      </x:c>
      <x:c r="S176" s="2" t="n">
        <x:f>SUBTOTAL(103,N176)</x:f>
        <x:v>1</x:v>
      </x:c>
    </x:row>
    <x:row r="177" ht="42" customHeight="1">
      <x:c r="A177" s="28" t="b">
        <x:v>0</x:v>
      </x:c>
      <x:c r="B177" s="2" t="str">
        <x:v>Cycle 2</x:v>
      </x:c>
      <x:c r="C177" s="2" t="str">
        <x:v>Phase 2</x:v>
      </x:c>
      <x:c r="D177" s="2" t="str">
        <x:v>Cards</x:v>
      </x:c>
      <x:c r="E177" s="56" t="str">
        <x:v>DI.CA.2.2</x:v>
      </x:c>
      <x:c r="F177" s="14" t="str">
        <x:v>Collaborate with Research on research plan specifics</x:v>
      </x:c>
      <x:c r="G177" s="5"/>
      <x:c r="H177" s="11"/>
      <x:c r="I177" s="11" t="n">
        <x:f>'Cycles &amp; Guide'!$D$11</x:f>
        <x:v>46203</x:v>
      </x:c>
      <x:c r="J177" s="11"/>
      <x:c r="K177" s="29"/>
      <x:c r="L177" s="2" t="str">
        <x:f>IF(O177=1,"Complete",IF(A177,"Checklist open",IF(H177&lt;&gt;"","In progress","Not started")))</x:f>
        <x:v>Not started</x:v>
      </x:c>
      <x:c r="M177" s="2" t="str">
        <x:v>Task</x:v>
      </x:c>
      <x:c r="N177" s="2" t="str">
        <x:v>DI.CA.2.2.2026.CY2</x:v>
      </x:c>
      <x:c r="O177" s="2" t="n">
        <x:f>R177</x:f>
        <x:v>0</x:v>
      </x:c>
      <x:c r="P177" s="2"/>
      <x:c r="Q177" s="2" t="n">
        <x:v>1</x:v>
      </x:c>
      <x:c r="R177" s="2" t="n">
        <x:f>IF(A177,1,0)</x:f>
        <x:v>0</x:v>
      </x:c>
      <x:c r="S177" s="2" t="n">
        <x:f>SUBTOTAL(103,N177)</x:f>
        <x:v>1</x:v>
      </x:c>
    </x:row>
    <x:row r="178" ht="42" customHeight="1">
      <x:c r="A178" s="28" t="b">
        <x:v>0</x:v>
      </x:c>
      <x:c r="B178" s="2" t="str">
        <x:v>Cycle 2</x:v>
      </x:c>
      <x:c r="C178" s="2" t="str">
        <x:v>Phase 2</x:v>
      </x:c>
      <x:c r="D178" s="2" t="str">
        <x:v>Cards</x:v>
      </x:c>
      <x:c r="E178" s="56" t="str">
        <x:v>DI.CA.2.3</x:v>
      </x:c>
      <x:c r="F178" s="14" t="str">
        <x:v>Participate in SME insight meetings to gain perspective and appetite on potential enhancements</x:v>
      </x:c>
      <x:c r="G178" s="5"/>
      <x:c r="H178" s="11"/>
      <x:c r="I178" s="11" t="n">
        <x:f>'Cycles &amp; Guide'!$D$11</x:f>
        <x:v>46203</x:v>
      </x:c>
      <x:c r="J178" s="11"/>
      <x:c r="K178" s="29"/>
      <x:c r="L178" s="2" t="str">
        <x:f>IF(O178=1,"Complete",IF(A178,"Checklist open",IF(H178&lt;&gt;"","In progress","Not started")))</x:f>
        <x:v>Not started</x:v>
      </x:c>
      <x:c r="M178" s="2" t="str">
        <x:v>Task</x:v>
      </x:c>
      <x:c r="N178" s="2" t="str">
        <x:v>DI.CA.2.3.2026.CY2</x:v>
      </x:c>
      <x:c r="O178" s="2" t="n">
        <x:f>R178</x:f>
        <x:v>0</x:v>
      </x:c>
      <x:c r="P178" s="2"/>
      <x:c r="Q178" s="2" t="n">
        <x:v>1</x:v>
      </x:c>
      <x:c r="R178" s="2" t="n">
        <x:f>IF(A178,1,0)</x:f>
        <x:v>0</x:v>
      </x:c>
      <x:c r="S178" s="2" t="n">
        <x:f>SUBTOTAL(103,N178)</x:f>
        <x:v>1</x:v>
      </x:c>
    </x:row>
    <x:row r="179" ht="42" customHeight="1">
      <x:c r="A179" s="28" t="b">
        <x:v>0</x:v>
      </x:c>
      <x:c r="B179" s="2" t="str">
        <x:v>Cycle 2</x:v>
      </x:c>
      <x:c r="C179" s="2" t="str">
        <x:v>Phase 2</x:v>
      </x:c>
      <x:c r="D179" s="2" t="str">
        <x:v>Cards</x:v>
      </x:c>
      <x:c r="E179" s="56" t="str">
        <x:v>DI.CA.2.4</x:v>
      </x:c>
      <x:c r="F179" s="14" t="str">
        <x:v>Begin development of presentation materials as Research is being completed</x:v>
      </x:c>
      <x:c r="G179" s="5"/>
      <x:c r="H179" s="11"/>
      <x:c r="I179" s="11" t="n">
        <x:f>'Cycles &amp; Guide'!$D$11</x:f>
        <x:v>46203</x:v>
      </x:c>
      <x:c r="J179" s="11"/>
      <x:c r="K179" s="29"/>
      <x:c r="L179" s="2" t="str">
        <x:f>IF(O179=1,"Complete",IF(A179,"Checklist open",IF(H179&lt;&gt;"","In progress","Not started")))</x:f>
        <x:v>Not started</x:v>
      </x:c>
      <x:c r="M179" s="2" t="str">
        <x:v>Task</x:v>
      </x:c>
      <x:c r="N179" s="2" t="str">
        <x:v>DI.CA.2.4.2026.CY2</x:v>
      </x:c>
      <x:c r="O179" s="2" t="n">
        <x:f>R179</x:f>
        <x:v>0</x:v>
      </x:c>
      <x:c r="P179" s="2"/>
      <x:c r="Q179" s="2" t="n">
        <x:v>1</x:v>
      </x:c>
      <x:c r="R179" s="2" t="n">
        <x:f>IF(A179,1,0)</x:f>
        <x:v>0</x:v>
      </x:c>
      <x:c r="S179" s="2" t="n">
        <x:f>SUBTOTAL(103,N179)</x:f>
        <x:v>1</x:v>
      </x:c>
    </x:row>
    <x:row r="180" ht="42" customHeight="1">
      <x:c r="A180" s="28" t="b">
        <x:v>0</x:v>
      </x:c>
      <x:c r="B180" s="2" t="str">
        <x:v>Cycle 2</x:v>
      </x:c>
      <x:c r="C180" s="2" t="str">
        <x:v>Phase 2</x:v>
      </x:c>
      <x:c r="D180" s="2" t="str">
        <x:v>Cards</x:v>
      </x:c>
      <x:c r="E180" s="56" t="str">
        <x:v>DI.CA.2.5</x:v>
      </x:c>
      <x:c r="F180" s="14" t="str">
        <x:v>Draft initial enhancement recommendations (as applicable)</x:v>
      </x:c>
      <x:c r="G180" s="5"/>
      <x:c r="H180" s="11"/>
      <x:c r="I180" s="11" t="n">
        <x:f>'Cycles &amp; Guide'!$D$11</x:f>
        <x:v>46203</x:v>
      </x:c>
      <x:c r="J180" s="11"/>
      <x:c r="K180" s="29"/>
      <x:c r="L180" s="2" t="str">
        <x:f>IF(O180=1,"Complete",IF(A180,"Checklist open",IF(H180&lt;&gt;"","In progress","Not started")))</x:f>
        <x:v>Not started</x:v>
      </x:c>
      <x:c r="M180" s="2" t="str">
        <x:v>Task</x:v>
      </x:c>
      <x:c r="N180" s="2" t="str">
        <x:v>DI.CA.2.5.2026.CY2</x:v>
      </x:c>
      <x:c r="O180" s="2" t="n">
        <x:f>R180</x:f>
        <x:v>0</x:v>
      </x:c>
      <x:c r="P180" s="2"/>
      <x:c r="Q180" s="2" t="n">
        <x:v>1</x:v>
      </x:c>
      <x:c r="R180" s="2" t="n">
        <x:f>IF(A180,1,0)</x:f>
        <x:v>0</x:v>
      </x:c>
      <x:c r="S180" s="2" t="n">
        <x:f>SUBTOTAL(103,N180)</x:f>
        <x:v>1</x:v>
      </x:c>
    </x:row>
    <x:row r="181" ht="42" customHeight="1">
      <x:c r="A181" s="28" t="b">
        <x:v>0</x:v>
      </x:c>
      <x:c r="B181" s="2" t="str">
        <x:v>Cycle 2</x:v>
      </x:c>
      <x:c r="C181" s="2" t="str">
        <x:v>Phase 2</x:v>
      </x:c>
      <x:c r="D181" s="2" t="str">
        <x:v>Cards</x:v>
      </x:c>
      <x:c r="E181" s="56" t="str">
        <x:v>DI.CA.2.6</x:v>
      </x:c>
      <x:c r="F181" s="14" t="str">
        <x:v>Finalize presentation deck draft at conclusion of Research phase</x:v>
      </x:c>
      <x:c r="G181" s="5"/>
      <x:c r="H181" s="11"/>
      <x:c r="I181" s="11" t="n">
        <x:f>'Cycles &amp; Guide'!$D$11</x:f>
        <x:v>46203</x:v>
      </x:c>
      <x:c r="J181" s="11"/>
      <x:c r="K181" s="29"/>
      <x:c r="L181" s="2" t="str">
        <x:f>IF(O181=1,"Complete",IF(A181,"Checklist open",IF(H181&lt;&gt;"","In progress","Not started")))</x:f>
        <x:v>Not started</x:v>
      </x:c>
      <x:c r="M181" s="2" t="str">
        <x:v>Task</x:v>
      </x:c>
      <x:c r="N181" s="2" t="str">
        <x:v>DI.CA.2.6.2026.CY2</x:v>
      </x:c>
      <x:c r="O181" s="2" t="n">
        <x:f>R181</x:f>
        <x:v>0</x:v>
      </x:c>
      <x:c r="P181" s="2"/>
      <x:c r="Q181" s="2" t="n">
        <x:v>1</x:v>
      </x:c>
      <x:c r="R181" s="2" t="n">
        <x:f>IF(A181,1,0)</x:f>
        <x:v>0</x:v>
      </x:c>
      <x:c r="S181" s="2" t="n">
        <x:f>SUBTOTAL(103,N181)</x:f>
        <x:v>1</x:v>
      </x:c>
    </x:row>
    <x:row r="182" ht="42" customHeight="1">
      <x:c r="A182" s="28" t="b">
        <x:v>0</x:v>
      </x:c>
      <x:c r="B182" s="2" t="str">
        <x:v>Cycle 2</x:v>
      </x:c>
      <x:c r="C182" s="2" t="str">
        <x:v>Phase 2</x:v>
      </x:c>
      <x:c r="D182" s="2" t="str">
        <x:v>Cards</x:v>
      </x:c>
      <x:c r="E182" s="56" t="str">
        <x:v>DI.CA.2.7</x:v>
      </x:c>
      <x:c r="F182" s="14" t="str">
        <x:v>Update Outcome portion of research plan with current enhancement verbiage (as needed)</x:v>
      </x:c>
      <x:c r="G182" s="5"/>
      <x:c r="H182" s="11"/>
      <x:c r="I182" s="11" t="n">
        <x:f>'Cycles &amp; Guide'!$D$11</x:f>
        <x:v>46203</x:v>
      </x:c>
      <x:c r="J182" s="11"/>
      <x:c r="K182" s="29"/>
      <x:c r="L182" s="2" t="str">
        <x:f>IF(O182=1,"Complete",IF(A182,"Checklist open",IF(H182&lt;&gt;"","In progress","Not started")))</x:f>
        <x:v>Not started</x:v>
      </x:c>
      <x:c r="M182" s="2" t="str">
        <x:v>Task</x:v>
      </x:c>
      <x:c r="N182" s="2" t="str">
        <x:v>DI.CA.2.7.2026.CY2</x:v>
      </x:c>
      <x:c r="O182" s="2" t="n">
        <x:f>R182</x:f>
        <x:v>0</x:v>
      </x:c>
      <x:c r="P182" s="2"/>
      <x:c r="Q182" s="2" t="n">
        <x:v>1</x:v>
      </x:c>
      <x:c r="R182" s="2" t="n">
        <x:f>IF(A182,1,0)</x:f>
        <x:v>0</x:v>
      </x:c>
      <x:c r="S182" s="2" t="n">
        <x:f>SUBTOTAL(103,N182)</x:f>
        <x:v>1</x:v>
      </x:c>
    </x:row>
    <x:row r="183" ht="42" customHeight="1">
      <x:c r="A183" s="28" t="b">
        <x:v>0</x:v>
      </x:c>
      <x:c r="B183" s="2" t="str">
        <x:v>Cycle 2</x:v>
      </x:c>
      <x:c r="C183" s="2" t="str">
        <x:v>Phase 3</x:v>
      </x:c>
      <x:c r="D183" s="2" t="str">
        <x:v>Cards</x:v>
      </x:c>
      <x:c r="E183" s="56" t="str">
        <x:v>DI.CA.3.1</x:v>
      </x:c>
      <x:c r="F183" s="14" t="str">
        <x:v>Confirm list of required &amp; optional attendees for pre-socialization meeting</x:v>
      </x:c>
      <x:c r="G183" s="5"/>
      <x:c r="H183" s="11"/>
      <x:c r="I183" s="11" t="n">
        <x:f>'Cycles &amp; Guide'!$D$11</x:f>
        <x:v>46203</x:v>
      </x:c>
      <x:c r="J183" s="11"/>
      <x:c r="K183" s="29"/>
      <x:c r="L183" s="2" t="str">
        <x:f>IF(O183=1,"Complete",IF(A183,"Checklist open",IF(H183&lt;&gt;"","In progress","Not started")))</x:f>
        <x:v>Not started</x:v>
      </x:c>
      <x:c r="M183" s="2" t="str">
        <x:v>Task</x:v>
      </x:c>
      <x:c r="N183" s="2" t="str">
        <x:v>DI.CA.3.1.2026.CY2</x:v>
      </x:c>
      <x:c r="O183" s="2" t="n">
        <x:f>R183</x:f>
        <x:v>0</x:v>
      </x:c>
      <x:c r="P183" s="2"/>
      <x:c r="Q183" s="2" t="n">
        <x:v>1</x:v>
      </x:c>
      <x:c r="R183" s="2" t="n">
        <x:f>IF(A183,1,0)</x:f>
        <x:v>0</x:v>
      </x:c>
      <x:c r="S183" s="2" t="n">
        <x:f>SUBTOTAL(103,N183)</x:f>
        <x:v>1</x:v>
      </x:c>
    </x:row>
    <x:row r="184" ht="42" customHeight="1">
      <x:c r="A184" s="28" t="b">
        <x:v>0</x:v>
      </x:c>
      <x:c r="B184" s="2" t="str">
        <x:v>Cycle 2</x:v>
      </x:c>
      <x:c r="C184" s="2" t="str">
        <x:v>Phase 3</x:v>
      </x:c>
      <x:c r="D184" s="2" t="str">
        <x:v>Cards</x:v>
      </x:c>
      <x:c r="E184" s="56" t="str">
        <x:v>DI.CA.3.2</x:v>
      </x:c>
      <x:c r="F184" s="14" t="str">
        <x:v>Schedule pre-socialization meeting 1 week prior to RCA Forum</x:v>
      </x:c>
      <x:c r="G184" s="5"/>
      <x:c r="H184" s="11"/>
      <x:c r="I184" s="11" t="str">
        <x:f>IF(SUMIFS('Cycles &amp; Guide'!$D$23:$D$50,'Cycles &amp; Guide'!$B$23:$B$50,B184,'Cycles &amp; Guide'!$C$23:$C$50,D184)=0,"",SUMIFS('Cycles &amp; Guide'!$D$23:$D$50,'Cycles &amp; Guide'!$B$23:$B$50,B184,'Cycles &amp; Guide'!$C$23:$C$50,D184)-7)</x:f>
      </x:c>
      <x:c r="J184" s="11"/>
      <x:c r="K184" s="29"/>
      <x:c r="L184" s="2" t="str">
        <x:f>IF(O184=1,"Complete",IF(A184,"Checklist open",IF(H184&lt;&gt;"","In progress","Not started")))</x:f>
        <x:v>Not started</x:v>
      </x:c>
      <x:c r="M184" s="2" t="str">
        <x:v>Task</x:v>
      </x:c>
      <x:c r="N184" s="2" t="str">
        <x:v>DI.CA.3.2.2026.CY2</x:v>
      </x:c>
      <x:c r="O184" s="2" t="n">
        <x:f>R184</x:f>
        <x:v>0</x:v>
      </x:c>
      <x:c r="P184" s="2"/>
      <x:c r="Q184" s="2" t="n">
        <x:v>1</x:v>
      </x:c>
      <x:c r="R184" s="2" t="n">
        <x:f>IF(A184,1,0)</x:f>
        <x:v>0</x:v>
      </x:c>
      <x:c r="S184" s="2" t="n">
        <x:f>SUBTOTAL(103,N184)</x:f>
        <x:v>1</x:v>
      </x:c>
    </x:row>
    <x:row r="185" ht="42" customHeight="1">
      <x:c r="A185" s="28" t="b">
        <x:v>0</x:v>
      </x:c>
      <x:c r="B185" s="2" t="str">
        <x:v>Cycle 2</x:v>
      </x:c>
      <x:c r="C185" s="2" t="str">
        <x:v>Phase 3</x:v>
      </x:c>
      <x:c r="D185" s="2" t="str">
        <x:v>Cards</x:v>
      </x:c>
      <x:c r="E185" s="56" t="str">
        <x:v>DI.CA.3.3</x:v>
      </x:c>
      <x:c r="F185" s="14" t="str">
        <x:v>Present findings, conclusions, and recommendation to SMEs</x:v>
      </x:c>
      <x:c r="G185" s="5"/>
      <x:c r="H185" s="11"/>
      <x:c r="I185" s="11" t="n">
        <x:f>'Cycles &amp; Guide'!$D$11</x:f>
        <x:v>46203</x:v>
      </x:c>
      <x:c r="J185" s="11"/>
      <x:c r="K185" s="29"/>
      <x:c r="L185" s="2" t="str">
        <x:f>IF(O185=1,"Complete",IF(A185,"Checklist open",IF(H185&lt;&gt;"","In progress","Not started")))</x:f>
        <x:v>Not started</x:v>
      </x:c>
      <x:c r="M185" s="2" t="str">
        <x:v>Task</x:v>
      </x:c>
      <x:c r="N185" s="2" t="str">
        <x:v>DI.CA.3.3.2026.CY2</x:v>
      </x:c>
      <x:c r="O185" s="2" t="n">
        <x:f>R185</x:f>
        <x:v>0</x:v>
      </x:c>
      <x:c r="P185" s="2"/>
      <x:c r="Q185" s="2" t="n">
        <x:v>1</x:v>
      </x:c>
      <x:c r="R185" s="2" t="n">
        <x:f>IF(A185,1,0)</x:f>
        <x:v>0</x:v>
      </x:c>
      <x:c r="S185" s="2" t="n">
        <x:f>SUBTOTAL(103,N185)</x:f>
        <x:v>1</x:v>
      </x:c>
    </x:row>
    <x:row r="186" ht="42" customHeight="1">
      <x:c r="A186" s="28" t="b">
        <x:v>0</x:v>
      </x:c>
      <x:c r="B186" s="2" t="str">
        <x:v>Cycle 2</x:v>
      </x:c>
      <x:c r="C186" s="2" t="str">
        <x:v>Phase 3</x:v>
      </x:c>
      <x:c r="D186" s="2" t="str">
        <x:v>Cards</x:v>
      </x:c>
      <x:c r="E186" s="56" t="str">
        <x:v>DI.CA.3.4</x:v>
      </x:c>
      <x:c r="F186" s="14" t="str">
        <x:v>Update Outcome portion of research plan (as needed)</x:v>
      </x:c>
      <x:c r="G186" s="5"/>
      <x:c r="H186" s="11"/>
      <x:c r="I186" s="11" t="n">
        <x:f>'Cycles &amp; Guide'!$D$11</x:f>
        <x:v>46203</x:v>
      </x:c>
      <x:c r="J186" s="11"/>
      <x:c r="K186" s="29"/>
      <x:c r="L186" s="2" t="str">
        <x:f>IF(O186=1,"Complete",IF(A186,"Checklist open",IF(H186&lt;&gt;"","In progress","Not started")))</x:f>
        <x:v>Not started</x:v>
      </x:c>
      <x:c r="M186" s="2" t="str">
        <x:v>Task</x:v>
      </x:c>
      <x:c r="N186" s="2" t="str">
        <x:v>DI.CA.3.4.2026.CY2</x:v>
      </x:c>
      <x:c r="O186" s="2" t="n">
        <x:f>R186</x:f>
        <x:v>0</x:v>
      </x:c>
      <x:c r="P186" s="2"/>
      <x:c r="Q186" s="2" t="n">
        <x:v>1</x:v>
      </x:c>
      <x:c r="R186" s="2" t="n">
        <x:f>IF(A186,1,0)</x:f>
        <x:v>0</x:v>
      </x:c>
      <x:c r="S186" s="2" t="n">
        <x:f>SUBTOTAL(103,N186)</x:f>
        <x:v>1</x:v>
      </x:c>
    </x:row>
    <x:row r="187" ht="42" customHeight="1">
      <x:c r="A187" s="28" t="b">
        <x:v>0</x:v>
      </x:c>
      <x:c r="B187" s="2" t="str">
        <x:v>Cycle 2</x:v>
      </x:c>
      <x:c r="C187" s="2" t="str">
        <x:v>Phase 3</x:v>
      </x:c>
      <x:c r="D187" s="2" t="str">
        <x:v>Cards</x:v>
      </x:c>
      <x:c r="E187" s="56" t="str">
        <x:v>DI.CA.3.5</x:v>
      </x:c>
      <x:c r="F187" s="14" t="str">
        <x:v>Finalize presentation deck by incorporating pre-socialization feedback (as needed)</x:v>
      </x:c>
      <x:c r="G187" s="5"/>
      <x:c r="H187" s="11"/>
      <x:c r="I187" s="11" t="n">
        <x:f>'Cycles &amp; Guide'!$D$11</x:f>
        <x:v>46203</x:v>
      </x:c>
      <x:c r="J187" s="11"/>
      <x:c r="K187" s="29"/>
      <x:c r="L187" s="2" t="str">
        <x:f>IF(O187=1,"Complete",IF(A187,"Checklist open",IF(H187&lt;&gt;"","In progress","Not started")))</x:f>
        <x:v>Not started</x:v>
      </x:c>
      <x:c r="M187" s="2" t="str">
        <x:v>Task</x:v>
      </x:c>
      <x:c r="N187" s="2" t="str">
        <x:v>DI.CA.3.5.2026.CY2</x:v>
      </x:c>
      <x:c r="O187" s="2" t="n">
        <x:f>R187</x:f>
        <x:v>0</x:v>
      </x:c>
      <x:c r="P187" s="2"/>
      <x:c r="Q187" s="2" t="n">
        <x:v>1</x:v>
      </x:c>
      <x:c r="R187" s="2" t="n">
        <x:f>IF(A187,1,0)</x:f>
        <x:v>0</x:v>
      </x:c>
      <x:c r="S187" s="2" t="n">
        <x:f>SUBTOTAL(103,N187)</x:f>
        <x:v>1</x:v>
      </x:c>
    </x:row>
    <x:row r="188" ht="42" customHeight="1">
      <x:c r="A188" s="28" t="b">
        <x:v>0</x:v>
      </x:c>
      <x:c r="B188" s="2" t="str">
        <x:v>Cycle 2</x:v>
      </x:c>
      <x:c r="C188" s="2" t="str">
        <x:v>Phase 3</x:v>
      </x:c>
      <x:c r="D188" s="2" t="str">
        <x:v>Cards</x:v>
      </x:c>
      <x:c r="E188" s="56" t="str">
        <x:v>DI.CA.3.6</x:v>
      </x:c>
      <x:c r="F188" s="14" t="str">
        <x:v>Ensure final deck is communicated to Forum attendees</x:v>
      </x:c>
      <x:c r="G188" s="5"/>
      <x:c r="H188" s="11"/>
      <x:c r="I188" s="11" t="n">
        <x:f>'Cycles &amp; Guide'!$D$11</x:f>
        <x:v>46203</x:v>
      </x:c>
      <x:c r="J188" s="11"/>
      <x:c r="K188" s="29"/>
      <x:c r="L188" s="2" t="str">
        <x:f>IF(O188=1,"Complete",IF(A188,"Checklist open",IF(H188&lt;&gt;"","In progress","Not started")))</x:f>
        <x:v>Not started</x:v>
      </x:c>
      <x:c r="M188" s="2" t="str">
        <x:v>Task</x:v>
      </x:c>
      <x:c r="N188" s="2" t="str">
        <x:v>DI.CA.3.6.2026.CY2</x:v>
      </x:c>
      <x:c r="O188" s="2" t="n">
        <x:f>R188</x:f>
        <x:v>0</x:v>
      </x:c>
      <x:c r="P188" s="2"/>
      <x:c r="Q188" s="2" t="n">
        <x:v>1</x:v>
      </x:c>
      <x:c r="R188" s="2" t="n">
        <x:f>IF(A188,1,0)</x:f>
        <x:v>0</x:v>
      </x:c>
      <x:c r="S188" s="2" t="n">
        <x:f>SUBTOTAL(103,N188)</x:f>
        <x:v>1</x:v>
      </x:c>
    </x:row>
    <x:row r="189" ht="42" customHeight="1">
      <x:c r="A189" s="28" t="b">
        <x:v>0</x:v>
      </x:c>
      <x:c r="B189" s="2" t="str">
        <x:v>Cycle 2</x:v>
      </x:c>
      <x:c r="C189" s="2" t="str">
        <x:v>Phase 3</x:v>
      </x:c>
      <x:c r="D189" s="2" t="str">
        <x:v>Cards</x:v>
      </x:c>
      <x:c r="E189" s="56" t="str">
        <x:v>DI.CA.3.7</x:v>
      </x:c>
      <x:c r="F189" s="14" t="str">
        <x:v>Present material in RCA Cycle Forum</x:v>
      </x:c>
      <x:c r="G189" s="5"/>
      <x:c r="H189" s="11"/>
      <x:c r="I189" s="11" t="str">
        <x:f>IF(SUMIFS('Cycles &amp; Guide'!$D$23:$D$50,'Cycles &amp; Guide'!$B$23:$B$50,B189,'Cycles &amp; Guide'!$C$23:$C$50,D189)=0,"",SUMIFS('Cycles &amp; Guide'!$D$23:$D$50,'Cycles &amp; Guide'!$B$23:$B$50,B189,'Cycles &amp; Guide'!$C$23:$C$50,D189))</x:f>
      </x:c>
      <x:c r="J189" s="11"/>
      <x:c r="K189" s="29"/>
      <x:c r="L189" s="2" t="str">
        <x:f>IF(O189=1,"Complete",IF(A189,"Checklist open",IF(H189&lt;&gt;"","In progress","Not started")))</x:f>
        <x:v>Not started</x:v>
      </x:c>
      <x:c r="M189" s="2" t="str">
        <x:v>Task</x:v>
      </x:c>
      <x:c r="N189" s="2" t="str">
        <x:v>DI.CA.3.7.2026.CY2</x:v>
      </x:c>
      <x:c r="O189" s="2" t="n">
        <x:f>R189</x:f>
        <x:v>0</x:v>
      </x:c>
      <x:c r="P189" s="2"/>
      <x:c r="Q189" s="2" t="n">
        <x:v>1</x:v>
      </x:c>
      <x:c r="R189" s="2" t="n">
        <x:f>IF(A189,1,0)</x:f>
        <x:v>0</x:v>
      </x:c>
      <x:c r="S189" s="2" t="n">
        <x:f>SUBTOTAL(103,N189)</x:f>
        <x:v>1</x:v>
      </x:c>
    </x:row>
    <x:row r="190" ht="42" customHeight="1">
      <x:c r="A190" s="28" t="b">
        <x:v>0</x:v>
      </x:c>
      <x:c r="B190" s="2" t="str">
        <x:v>Cycle 2</x:v>
      </x:c>
      <x:c r="C190" s="2" t="str">
        <x:v>Phase 1</x:v>
      </x:c>
      <x:c r="D190" s="2" t="str">
        <x:v>CSBBO - Banking Ops</x:v>
      </x:c>
      <x:c r="E190" s="56" t="str">
        <x:v>DI.BO.1.1</x:v>
      </x:c>
      <x:c r="F190" s="14" t="str">
        <x:v>Receive and review potential research topics at least 2 weeks prior to Cycle start date</x:v>
      </x:c>
      <x:c r="G190" s="5"/>
      <x:c r="H190" s="11"/>
      <x:c r="I190" s="11" t="n">
        <x:f>'Cycles &amp; Guide'!$C$11-14</x:f>
        <x:v>46099</x:v>
      </x:c>
      <x:c r="J190" s="11"/>
      <x:c r="K190" s="29"/>
      <x:c r="L190" s="2" t="str">
        <x:f>IF(O190=1,"Complete",IF(A190,"Checklist open",IF(H190&lt;&gt;"","In progress","Not started")))</x:f>
        <x:v>Not started</x:v>
      </x:c>
      <x:c r="M190" s="2" t="str">
        <x:v>Task</x:v>
      </x:c>
      <x:c r="N190" s="2" t="str">
        <x:v>DI.BO.1.1.2026.CY2</x:v>
      </x:c>
      <x:c r="O190" s="2" t="n">
        <x:f>R190</x:f>
        <x:v>0</x:v>
      </x:c>
      <x:c r="P190" s="2"/>
      <x:c r="Q190" s="2" t="n">
        <x:v>1</x:v>
      </x:c>
      <x:c r="R190" s="2" t="n">
        <x:f>IF(A190,1,0)</x:f>
        <x:v>0</x:v>
      </x:c>
      <x:c r="S190" s="2" t="n">
        <x:f>SUBTOTAL(103,N190)</x:f>
        <x:v>1</x:v>
      </x:c>
    </x:row>
    <x:row r="191" ht="42" customHeight="1">
      <x:c r="A191" s="28" t="b">
        <x:v>0</x:v>
      </x:c>
      <x:c r="B191" s="2" t="str">
        <x:v>Cycle 2</x:v>
      </x:c>
      <x:c r="C191" s="2" t="str">
        <x:v>Phase 1</x:v>
      </x:c>
      <x:c r="D191" s="2" t="str">
        <x:v>CSBBO - Banking Ops</x:v>
      </x:c>
      <x:c r="E191" s="56" t="str">
        <x:v>DI.BO.1.2</x:v>
      </x:c>
      <x:c r="F191" s="14" t="str">
        <x:v>Communicate any feedback on preferences or concerns with topics identified</x:v>
      </x:c>
      <x:c r="G191" s="5"/>
      <x:c r="H191" s="11"/>
      <x:c r="I191" s="11" t="n">
        <x:f>'Cycles &amp; Guide'!$D$11</x:f>
        <x:v>46203</x:v>
      </x:c>
      <x:c r="J191" s="11"/>
      <x:c r="K191" s="29"/>
      <x:c r="L191" s="2" t="str">
        <x:f>IF(O191=1,"Complete",IF(A191,"Checklist open",IF(H191&lt;&gt;"","In progress","Not started")))</x:f>
        <x:v>Not started</x:v>
      </x:c>
      <x:c r="M191" s="2" t="str">
        <x:v>Task</x:v>
      </x:c>
      <x:c r="N191" s="2" t="str">
        <x:v>DI.BO.1.2.2026.CY2</x:v>
      </x:c>
      <x:c r="O191" s="2" t="n">
        <x:f>R191</x:f>
        <x:v>0</x:v>
      </x:c>
      <x:c r="P191" s="2"/>
      <x:c r="Q191" s="2" t="n">
        <x:v>1</x:v>
      </x:c>
      <x:c r="R191" s="2" t="n">
        <x:f>IF(A191,1,0)</x:f>
        <x:v>0</x:v>
      </x:c>
      <x:c r="S191" s="2" t="n">
        <x:f>SUBTOTAL(103,N191)</x:f>
        <x:v>1</x:v>
      </x:c>
    </x:row>
    <x:row r="192" ht="42" customHeight="1">
      <x:c r="A192" s="28" t="b">
        <x:v>0</x:v>
      </x:c>
      <x:c r="B192" s="2" t="str">
        <x:v>Cycle 2</x:v>
      </x:c>
      <x:c r="C192" s="2" t="str">
        <x:v>Phase 1</x:v>
      </x:c>
      <x:c r="D192" s="2" t="str">
        <x:v>CSBBO - Banking Ops</x:v>
      </x:c>
      <x:c r="E192" s="56" t="str">
        <x:v>DI.BO.1.3</x:v>
      </x:c>
      <x:c r="F192" s="14" t="str">
        <x:v>Conduct high-level preliminary review of complaints within proposed topics</x:v>
      </x:c>
      <x:c r="G192" s="5"/>
      <x:c r="H192" s="11"/>
      <x:c r="I192" s="11" t="n">
        <x:f>'Cycles &amp; Guide'!$D$11</x:f>
        <x:v>46203</x:v>
      </x:c>
      <x:c r="J192" s="11"/>
      <x:c r="K192" s="29"/>
      <x:c r="L192" s="2" t="str">
        <x:f>IF(O192=1,"Complete",IF(A192,"Checklist open",IF(H192&lt;&gt;"","In progress","Not started")))</x:f>
        <x:v>Not started</x:v>
      </x:c>
      <x:c r="M192" s="2" t="str">
        <x:v>Task</x:v>
      </x:c>
      <x:c r="N192" s="2" t="str">
        <x:v>DI.BO.1.3.2026.CY2</x:v>
      </x:c>
      <x:c r="O192" s="2" t="n">
        <x:f>R192</x:f>
        <x:v>0</x:v>
      </x:c>
      <x:c r="P192" s="2"/>
      <x:c r="Q192" s="2" t="n">
        <x:v>1</x:v>
      </x:c>
      <x:c r="R192" s="2" t="n">
        <x:f>IF(A192,1,0)</x:f>
        <x:v>0</x:v>
      </x:c>
      <x:c r="S192" s="2" t="n">
        <x:f>SUBTOTAL(103,N192)</x:f>
        <x:v>1</x:v>
      </x:c>
    </x:row>
    <x:row r="193" ht="42" customHeight="1">
      <x:c r="A193" s="28" t="b">
        <x:v>0</x:v>
      </x:c>
      <x:c r="B193" s="2" t="str">
        <x:v>Cycle 2</x:v>
      </x:c>
      <x:c r="C193" s="2" t="str">
        <x:v>Phase 1</x:v>
      </x:c>
      <x:c r="D193" s="2" t="str">
        <x:v>CSBBO - Banking Ops</x:v>
      </x:c>
      <x:c r="E193" s="56" t="str">
        <x:v>DI.BO.1.4</x:v>
      </x:c>
      <x:c r="F193" s="14" t="str">
        <x:v>Meet with Research to discuss which topic to select based on potential impact</x:v>
      </x:c>
      <x:c r="G193" s="5"/>
      <x:c r="H193" s="11"/>
      <x:c r="I193" s="11" t="n">
        <x:f>'Cycles &amp; Guide'!$D$11</x:f>
        <x:v>46203</x:v>
      </x:c>
      <x:c r="J193" s="11"/>
      <x:c r="K193" s="29"/>
      <x:c r="L193" s="2" t="str">
        <x:f>IF(O193=1,"Complete",IF(A193,"Checklist open",IF(H193&lt;&gt;"","In progress","Not started")))</x:f>
        <x:v>Not started</x:v>
      </x:c>
      <x:c r="M193" s="2" t="str">
        <x:v>Task</x:v>
      </x:c>
      <x:c r="N193" s="2" t="str">
        <x:v>DI.BO.1.4.2026.CY2</x:v>
      </x:c>
      <x:c r="O193" s="2" t="n">
        <x:f>R193</x:f>
        <x:v>0</x:v>
      </x:c>
      <x:c r="P193" s="2"/>
      <x:c r="Q193" s="2" t="n">
        <x:v>1</x:v>
      </x:c>
      <x:c r="R193" s="2" t="n">
        <x:f>IF(A193,1,0)</x:f>
        <x:v>0</x:v>
      </x:c>
      <x:c r="S193" s="2" t="n">
        <x:f>SUBTOTAL(103,N193)</x:f>
        <x:v>1</x:v>
      </x:c>
    </x:row>
    <x:row r="194" ht="42" customHeight="1">
      <x:c r="A194" s="28" t="b">
        <x:v>0</x:v>
      </x:c>
      <x:c r="B194" s="2" t="str">
        <x:v>Cycle 2</x:v>
      </x:c>
      <x:c r="C194" s="2" t="str">
        <x:v>Phase 1</x:v>
      </x:c>
      <x:c r="D194" s="2" t="str">
        <x:v>CSBBO - Banking Ops</x:v>
      </x:c>
      <x:c r="E194" s="56" t="str">
        <x:v>DI.BO.1.5</x:v>
      </x:c>
      <x:c r="F194" s="14" t="str">
        <x:v>Confirm with Research the recommended topic for approval</x:v>
      </x:c>
      <x:c r="G194" s="5"/>
      <x:c r="H194" s="11"/>
      <x:c r="I194" s="11" t="n">
        <x:f>'Cycles &amp; Guide'!$D$11</x:f>
        <x:v>46203</x:v>
      </x:c>
      <x:c r="J194" s="11"/>
      <x:c r="K194" s="29"/>
      <x:c r="L194" s="2" t="str">
        <x:f>IF(O194=1,"Complete",IF(A194,"Checklist open",IF(H194&lt;&gt;"","In progress","Not started")))</x:f>
        <x:v>Not started</x:v>
      </x:c>
      <x:c r="M194" s="2" t="str">
        <x:v>Task</x:v>
      </x:c>
      <x:c r="N194" s="2" t="str">
        <x:v>DI.BO.1.5.2026.CY2</x:v>
      </x:c>
      <x:c r="O194" s="2" t="n">
        <x:f>R194</x:f>
        <x:v>0</x:v>
      </x:c>
      <x:c r="P194" s="2"/>
      <x:c r="Q194" s="2" t="n">
        <x:v>1</x:v>
      </x:c>
      <x:c r="R194" s="2" t="n">
        <x:f>IF(A194,1,0)</x:f>
        <x:v>0</x:v>
      </x:c>
      <x:c r="S194" s="2" t="n">
        <x:f>SUBTOTAL(103,N194)</x:f>
        <x:v>1</x:v>
      </x:c>
    </x:row>
    <x:row r="195" ht="42" customHeight="1">
      <x:c r="A195" s="28" t="b">
        <x:v>0</x:v>
      </x:c>
      <x:c r="B195" s="2" t="str">
        <x:v>Cycle 2</x:v>
      </x:c>
      <x:c r="C195" s="2" t="str">
        <x:v>Phase 1</x:v>
      </x:c>
      <x:c r="D195" s="2" t="str">
        <x:v>CSBBO - Banking Ops</x:v>
      </x:c>
      <x:c r="E195" s="56" t="str">
        <x:v>DI.BO.1.6</x:v>
      </x:c>
      <x:c r="F195" s="14" t="str">
        <x:v>Send topic selection socialization email to all key stakeholders on the first day of the review Cycle</x:v>
      </x:c>
      <x:c r="G195" s="5"/>
      <x:c r="H195" s="11"/>
      <x:c r="I195" s="11" t="n">
        <x:f>'Cycles &amp; Guide'!$C$11</x:f>
        <x:v>46113</x:v>
      </x:c>
      <x:c r="J195" s="11"/>
      <x:c r="K195" s="29"/>
      <x:c r="L195" s="2" t="str">
        <x:f>IF(O195=1,"Complete",IF(A195,"Checklist open",IF(H195&lt;&gt;"","In progress","Not started")))</x:f>
        <x:v>Not started</x:v>
      </x:c>
      <x:c r="M195" s="2" t="str">
        <x:v>Task</x:v>
      </x:c>
      <x:c r="N195" s="2" t="str">
        <x:v>DI.BO.1.6.2026.CY2</x:v>
      </x:c>
      <x:c r="O195" s="2" t="n">
        <x:f>R195</x:f>
        <x:v>0</x:v>
      </x:c>
      <x:c r="P195" s="2"/>
      <x:c r="Q195" s="2" t="n">
        <x:v>1</x:v>
      </x:c>
      <x:c r="R195" s="2" t="n">
        <x:f>IF(A195,1,0)</x:f>
        <x:v>0</x:v>
      </x:c>
      <x:c r="S195" s="2" t="n">
        <x:f>SUBTOTAL(103,N195)</x:f>
        <x:v>1</x:v>
      </x:c>
    </x:row>
    <x:row r="196" ht="42" customHeight="1">
      <x:c r="A196" s="28" t="b">
        <x:v>0</x:v>
      </x:c>
      <x:c r="B196" s="2" t="str">
        <x:v>Cycle 2</x:v>
      </x:c>
      <x:c r="C196" s="2" t="str">
        <x:v>Phase 2</x:v>
      </x:c>
      <x:c r="D196" s="2" t="str">
        <x:v>CSBBO - Banking Ops</x:v>
      </x:c>
      <x:c r="E196" s="56" t="str">
        <x:v>DI.BO.2.1</x:v>
      </x:c>
      <x:c r="F196" s="14" t="str">
        <x:v>Meet regularly with Research to stay informed on progress, findings, and potential enhancement</x:v>
      </x:c>
      <x:c r="G196" s="5"/>
      <x:c r="H196" s="11"/>
      <x:c r="I196" s="11" t="n">
        <x:f>'Cycles &amp; Guide'!$D$11</x:f>
        <x:v>46203</x:v>
      </x:c>
      <x:c r="J196" s="11"/>
      <x:c r="K196" s="29"/>
      <x:c r="L196" s="2" t="str">
        <x:f>IF(O196=1,"Complete",IF(A196,"Checklist open",IF(H196&lt;&gt;"","In progress","Not started")))</x:f>
        <x:v>Not started</x:v>
      </x:c>
      <x:c r="M196" s="2" t="str">
        <x:v>Task</x:v>
      </x:c>
      <x:c r="N196" s="2" t="str">
        <x:v>DI.BO.2.1.2026.CY2</x:v>
      </x:c>
      <x:c r="O196" s="2" t="n">
        <x:f>R196</x:f>
        <x:v>0</x:v>
      </x:c>
      <x:c r="P196" s="2"/>
      <x:c r="Q196" s="2" t="n">
        <x:v>1</x:v>
      </x:c>
      <x:c r="R196" s="2" t="n">
        <x:f>IF(A196,1,0)</x:f>
        <x:v>0</x:v>
      </x:c>
      <x:c r="S196" s="2" t="n">
        <x:f>SUBTOTAL(103,N196)</x:f>
        <x:v>1</x:v>
      </x:c>
    </x:row>
    <x:row r="197" ht="42" customHeight="1">
      <x:c r="A197" s="28" t="b">
        <x:v>0</x:v>
      </x:c>
      <x:c r="B197" s="2" t="str">
        <x:v>Cycle 2</x:v>
      </x:c>
      <x:c r="C197" s="2" t="str">
        <x:v>Phase 2</x:v>
      </x:c>
      <x:c r="D197" s="2" t="str">
        <x:v>CSBBO - Banking Ops</x:v>
      </x:c>
      <x:c r="E197" s="56" t="str">
        <x:v>DI.BO.2.2</x:v>
      </x:c>
      <x:c r="F197" s="14" t="str">
        <x:v>Collaborate with Research on research plan specifics</x:v>
      </x:c>
      <x:c r="G197" s="5"/>
      <x:c r="H197" s="11"/>
      <x:c r="I197" s="11" t="n">
        <x:f>'Cycles &amp; Guide'!$D$11</x:f>
        <x:v>46203</x:v>
      </x:c>
      <x:c r="J197" s="11"/>
      <x:c r="K197" s="29"/>
      <x:c r="L197" s="2" t="str">
        <x:f>IF(O197=1,"Complete",IF(A197,"Checklist open",IF(H197&lt;&gt;"","In progress","Not started")))</x:f>
        <x:v>Not started</x:v>
      </x:c>
      <x:c r="M197" s="2" t="str">
        <x:v>Task</x:v>
      </x:c>
      <x:c r="N197" s="2" t="str">
        <x:v>DI.BO.2.2.2026.CY2</x:v>
      </x:c>
      <x:c r="O197" s="2" t="n">
        <x:f>R197</x:f>
        <x:v>0</x:v>
      </x:c>
      <x:c r="P197" s="2"/>
      <x:c r="Q197" s="2" t="n">
        <x:v>1</x:v>
      </x:c>
      <x:c r="R197" s="2" t="n">
        <x:f>IF(A197,1,0)</x:f>
        <x:v>0</x:v>
      </x:c>
      <x:c r="S197" s="2" t="n">
        <x:f>SUBTOTAL(103,N197)</x:f>
        <x:v>1</x:v>
      </x:c>
    </x:row>
    <x:row r="198" ht="42" customHeight="1">
      <x:c r="A198" s="28" t="b">
        <x:v>0</x:v>
      </x:c>
      <x:c r="B198" s="2" t="str">
        <x:v>Cycle 2</x:v>
      </x:c>
      <x:c r="C198" s="2" t="str">
        <x:v>Phase 2</x:v>
      </x:c>
      <x:c r="D198" s="2" t="str">
        <x:v>CSBBO - Banking Ops</x:v>
      </x:c>
      <x:c r="E198" s="56" t="str">
        <x:v>DI.BO.2.3</x:v>
      </x:c>
      <x:c r="F198" s="14" t="str">
        <x:v>Participate in SME insight meetings to gain perspective and appetite on potential enhancements</x:v>
      </x:c>
      <x:c r="G198" s="5"/>
      <x:c r="H198" s="11"/>
      <x:c r="I198" s="11" t="n">
        <x:f>'Cycles &amp; Guide'!$D$11</x:f>
        <x:v>46203</x:v>
      </x:c>
      <x:c r="J198" s="11"/>
      <x:c r="K198" s="29"/>
      <x:c r="L198" s="2" t="str">
        <x:f>IF(O198=1,"Complete",IF(A198,"Checklist open",IF(H198&lt;&gt;"","In progress","Not started")))</x:f>
        <x:v>Not started</x:v>
      </x:c>
      <x:c r="M198" s="2" t="str">
        <x:v>Task</x:v>
      </x:c>
      <x:c r="N198" s="2" t="str">
        <x:v>DI.BO.2.3.2026.CY2</x:v>
      </x:c>
      <x:c r="O198" s="2" t="n">
        <x:f>R198</x:f>
        <x:v>0</x:v>
      </x:c>
      <x:c r="P198" s="2"/>
      <x:c r="Q198" s="2" t="n">
        <x:v>1</x:v>
      </x:c>
      <x:c r="R198" s="2" t="n">
        <x:f>IF(A198,1,0)</x:f>
        <x:v>0</x:v>
      </x:c>
      <x:c r="S198" s="2" t="n">
        <x:f>SUBTOTAL(103,N198)</x:f>
        <x:v>1</x:v>
      </x:c>
    </x:row>
    <x:row r="199" ht="42" customHeight="1">
      <x:c r="A199" s="28" t="b">
        <x:v>0</x:v>
      </x:c>
      <x:c r="B199" s="2" t="str">
        <x:v>Cycle 2</x:v>
      </x:c>
      <x:c r="C199" s="2" t="str">
        <x:v>Phase 2</x:v>
      </x:c>
      <x:c r="D199" s="2" t="str">
        <x:v>CSBBO - Banking Ops</x:v>
      </x:c>
      <x:c r="E199" s="56" t="str">
        <x:v>DI.BO.2.4</x:v>
      </x:c>
      <x:c r="F199" s="14" t="str">
        <x:v>Begin development of presentation materials as Research is being completed</x:v>
      </x:c>
      <x:c r="G199" s="5"/>
      <x:c r="H199" s="11"/>
      <x:c r="I199" s="11" t="n">
        <x:f>'Cycles &amp; Guide'!$D$11</x:f>
        <x:v>46203</x:v>
      </x:c>
      <x:c r="J199" s="11"/>
      <x:c r="K199" s="29"/>
      <x:c r="L199" s="2" t="str">
        <x:f>IF(O199=1,"Complete",IF(A199,"Checklist open",IF(H199&lt;&gt;"","In progress","Not started")))</x:f>
        <x:v>Not started</x:v>
      </x:c>
      <x:c r="M199" s="2" t="str">
        <x:v>Task</x:v>
      </x:c>
      <x:c r="N199" s="2" t="str">
        <x:v>DI.BO.2.4.2026.CY2</x:v>
      </x:c>
      <x:c r="O199" s="2" t="n">
        <x:f>R199</x:f>
        <x:v>0</x:v>
      </x:c>
      <x:c r="P199" s="2"/>
      <x:c r="Q199" s="2" t="n">
        <x:v>1</x:v>
      </x:c>
      <x:c r="R199" s="2" t="n">
        <x:f>IF(A199,1,0)</x:f>
        <x:v>0</x:v>
      </x:c>
      <x:c r="S199" s="2" t="n">
        <x:f>SUBTOTAL(103,N199)</x:f>
        <x:v>1</x:v>
      </x:c>
    </x:row>
    <x:row r="200" ht="42" customHeight="1">
      <x:c r="A200" s="28" t="b">
        <x:v>0</x:v>
      </x:c>
      <x:c r="B200" s="2" t="str">
        <x:v>Cycle 2</x:v>
      </x:c>
      <x:c r="C200" s="2" t="str">
        <x:v>Phase 2</x:v>
      </x:c>
      <x:c r="D200" s="2" t="str">
        <x:v>CSBBO - Banking Ops</x:v>
      </x:c>
      <x:c r="E200" s="56" t="str">
        <x:v>DI.BO.2.5</x:v>
      </x:c>
      <x:c r="F200" s="14" t="str">
        <x:v>Draft initial enhancement recommendations (as applicable)</x:v>
      </x:c>
      <x:c r="G200" s="5"/>
      <x:c r="H200" s="11"/>
      <x:c r="I200" s="11" t="n">
        <x:f>'Cycles &amp; Guide'!$D$11</x:f>
        <x:v>46203</x:v>
      </x:c>
      <x:c r="J200" s="11"/>
      <x:c r="K200" s="29"/>
      <x:c r="L200" s="2" t="str">
        <x:f>IF(O200=1,"Complete",IF(A200,"Checklist open",IF(H200&lt;&gt;"","In progress","Not started")))</x:f>
        <x:v>Not started</x:v>
      </x:c>
      <x:c r="M200" s="2" t="str">
        <x:v>Task</x:v>
      </x:c>
      <x:c r="N200" s="2" t="str">
        <x:v>DI.BO.2.5.2026.CY2</x:v>
      </x:c>
      <x:c r="O200" s="2" t="n">
        <x:f>R200</x:f>
        <x:v>0</x:v>
      </x:c>
      <x:c r="P200" s="2"/>
      <x:c r="Q200" s="2" t="n">
        <x:v>1</x:v>
      </x:c>
      <x:c r="R200" s="2" t="n">
        <x:f>IF(A200,1,0)</x:f>
        <x:v>0</x:v>
      </x:c>
      <x:c r="S200" s="2" t="n">
        <x:f>SUBTOTAL(103,N200)</x:f>
        <x:v>1</x:v>
      </x:c>
    </x:row>
    <x:row r="201" ht="42" customHeight="1">
      <x:c r="A201" s="28" t="b">
        <x:v>0</x:v>
      </x:c>
      <x:c r="B201" s="2" t="str">
        <x:v>Cycle 2</x:v>
      </x:c>
      <x:c r="C201" s="2" t="str">
        <x:v>Phase 2</x:v>
      </x:c>
      <x:c r="D201" s="2" t="str">
        <x:v>CSBBO - Banking Ops</x:v>
      </x:c>
      <x:c r="E201" s="56" t="str">
        <x:v>DI.BO.2.6</x:v>
      </x:c>
      <x:c r="F201" s="14" t="str">
        <x:v>Finalize presentation deck draft at conclusion of Research phase</x:v>
      </x:c>
      <x:c r="G201" s="5"/>
      <x:c r="H201" s="11"/>
      <x:c r="I201" s="11" t="n">
        <x:f>'Cycles &amp; Guide'!$D$11</x:f>
        <x:v>46203</x:v>
      </x:c>
      <x:c r="J201" s="11"/>
      <x:c r="K201" s="29"/>
      <x:c r="L201" s="2" t="str">
        <x:f>IF(O201=1,"Complete",IF(A201,"Checklist open",IF(H201&lt;&gt;"","In progress","Not started")))</x:f>
        <x:v>Not started</x:v>
      </x:c>
      <x:c r="M201" s="2" t="str">
        <x:v>Task</x:v>
      </x:c>
      <x:c r="N201" s="2" t="str">
        <x:v>DI.BO.2.6.2026.CY2</x:v>
      </x:c>
      <x:c r="O201" s="2" t="n">
        <x:f>R201</x:f>
        <x:v>0</x:v>
      </x:c>
      <x:c r="P201" s="2"/>
      <x:c r="Q201" s="2" t="n">
        <x:v>1</x:v>
      </x:c>
      <x:c r="R201" s="2" t="n">
        <x:f>IF(A201,1,0)</x:f>
        <x:v>0</x:v>
      </x:c>
      <x:c r="S201" s="2" t="n">
        <x:f>SUBTOTAL(103,N201)</x:f>
        <x:v>1</x:v>
      </x:c>
    </x:row>
    <x:row r="202" ht="42" customHeight="1">
      <x:c r="A202" s="28" t="b">
        <x:v>0</x:v>
      </x:c>
      <x:c r="B202" s="2" t="str">
        <x:v>Cycle 2</x:v>
      </x:c>
      <x:c r="C202" s="2" t="str">
        <x:v>Phase 2</x:v>
      </x:c>
      <x:c r="D202" s="2" t="str">
        <x:v>CSBBO - Banking Ops</x:v>
      </x:c>
      <x:c r="E202" s="56" t="str">
        <x:v>DI.BO.2.7</x:v>
      </x:c>
      <x:c r="F202" s="14" t="str">
        <x:v>Update Outcome portion of research plan with current enhancement verbiage (as needed)</x:v>
      </x:c>
      <x:c r="G202" s="5"/>
      <x:c r="H202" s="11"/>
      <x:c r="I202" s="11" t="n">
        <x:f>'Cycles &amp; Guide'!$D$11</x:f>
        <x:v>46203</x:v>
      </x:c>
      <x:c r="J202" s="11"/>
      <x:c r="K202" s="29"/>
      <x:c r="L202" s="2" t="str">
        <x:f>IF(O202=1,"Complete",IF(A202,"Checklist open",IF(H202&lt;&gt;"","In progress","Not started")))</x:f>
        <x:v>Not started</x:v>
      </x:c>
      <x:c r="M202" s="2" t="str">
        <x:v>Task</x:v>
      </x:c>
      <x:c r="N202" s="2" t="str">
        <x:v>DI.BO.2.7.2026.CY2</x:v>
      </x:c>
      <x:c r="O202" s="2" t="n">
        <x:f>R202</x:f>
        <x:v>0</x:v>
      </x:c>
      <x:c r="P202" s="2"/>
      <x:c r="Q202" s="2" t="n">
        <x:v>1</x:v>
      </x:c>
      <x:c r="R202" s="2" t="n">
        <x:f>IF(A202,1,0)</x:f>
        <x:v>0</x:v>
      </x:c>
      <x:c r="S202" s="2" t="n">
        <x:f>SUBTOTAL(103,N202)</x:f>
        <x:v>1</x:v>
      </x:c>
    </x:row>
    <x:row r="203" ht="42" customHeight="1">
      <x:c r="A203" s="28" t="b">
        <x:v>0</x:v>
      </x:c>
      <x:c r="B203" s="2" t="str">
        <x:v>Cycle 2</x:v>
      </x:c>
      <x:c r="C203" s="2" t="str">
        <x:v>Phase 3</x:v>
      </x:c>
      <x:c r="D203" s="2" t="str">
        <x:v>CSBBO - Banking Ops</x:v>
      </x:c>
      <x:c r="E203" s="56" t="str">
        <x:v>DI.BO.3.1</x:v>
      </x:c>
      <x:c r="F203" s="14" t="str">
        <x:v>Confirm list of required &amp; optional attendees for pre-socialization meeting</x:v>
      </x:c>
      <x:c r="G203" s="5"/>
      <x:c r="H203" s="11"/>
      <x:c r="I203" s="11" t="n">
        <x:f>'Cycles &amp; Guide'!$D$11</x:f>
        <x:v>46203</x:v>
      </x:c>
      <x:c r="J203" s="11"/>
      <x:c r="K203" s="29"/>
      <x:c r="L203" s="2" t="str">
        <x:f>IF(O203=1,"Complete",IF(A203,"Checklist open",IF(H203&lt;&gt;"","In progress","Not started")))</x:f>
        <x:v>Not started</x:v>
      </x:c>
      <x:c r="M203" s="2" t="str">
        <x:v>Task</x:v>
      </x:c>
      <x:c r="N203" s="2" t="str">
        <x:v>DI.BO.3.1.2026.CY2</x:v>
      </x:c>
      <x:c r="O203" s="2" t="n">
        <x:f>R203</x:f>
        <x:v>0</x:v>
      </x:c>
      <x:c r="P203" s="2"/>
      <x:c r="Q203" s="2" t="n">
        <x:v>1</x:v>
      </x:c>
      <x:c r="R203" s="2" t="n">
        <x:f>IF(A203,1,0)</x:f>
        <x:v>0</x:v>
      </x:c>
      <x:c r="S203" s="2" t="n">
        <x:f>SUBTOTAL(103,N203)</x:f>
        <x:v>1</x:v>
      </x:c>
    </x:row>
    <x:row r="204" ht="42" customHeight="1">
      <x:c r="A204" s="28" t="b">
        <x:v>0</x:v>
      </x:c>
      <x:c r="B204" s="2" t="str">
        <x:v>Cycle 2</x:v>
      </x:c>
      <x:c r="C204" s="2" t="str">
        <x:v>Phase 3</x:v>
      </x:c>
      <x:c r="D204" s="2" t="str">
        <x:v>CSBBO - Banking Ops</x:v>
      </x:c>
      <x:c r="E204" s="56" t="str">
        <x:v>DI.BO.3.2</x:v>
      </x:c>
      <x:c r="F204" s="14" t="str">
        <x:v>Schedule pre-socialization meeting 1 week prior to RCA Forum</x:v>
      </x:c>
      <x:c r="G204" s="5"/>
      <x:c r="H204" s="11"/>
      <x:c r="I204" s="11" t="str">
        <x:f>IF(SUMIFS('Cycles &amp; Guide'!$D$23:$D$50,'Cycles &amp; Guide'!$B$23:$B$50,B204,'Cycles &amp; Guide'!$C$23:$C$50,D204)=0,"",SUMIFS('Cycles &amp; Guide'!$D$23:$D$50,'Cycles &amp; Guide'!$B$23:$B$50,B204,'Cycles &amp; Guide'!$C$23:$C$50,D204)-7)</x:f>
      </x:c>
      <x:c r="J204" s="11"/>
      <x:c r="K204" s="29"/>
      <x:c r="L204" s="2" t="str">
        <x:f>IF(O204=1,"Complete",IF(A204,"Checklist open",IF(H204&lt;&gt;"","In progress","Not started")))</x:f>
        <x:v>Not started</x:v>
      </x:c>
      <x:c r="M204" s="2" t="str">
        <x:v>Task</x:v>
      </x:c>
      <x:c r="N204" s="2" t="str">
        <x:v>DI.BO.3.2.2026.CY2</x:v>
      </x:c>
      <x:c r="O204" s="2" t="n">
        <x:f>R204</x:f>
        <x:v>0</x:v>
      </x:c>
      <x:c r="P204" s="2"/>
      <x:c r="Q204" s="2" t="n">
        <x:v>1</x:v>
      </x:c>
      <x:c r="R204" s="2" t="n">
        <x:f>IF(A204,1,0)</x:f>
        <x:v>0</x:v>
      </x:c>
      <x:c r="S204" s="2" t="n">
        <x:f>SUBTOTAL(103,N204)</x:f>
        <x:v>1</x:v>
      </x:c>
    </x:row>
    <x:row r="205" ht="42" customHeight="1">
      <x:c r="A205" s="28" t="b">
        <x:v>0</x:v>
      </x:c>
      <x:c r="B205" s="2" t="str">
        <x:v>Cycle 2</x:v>
      </x:c>
      <x:c r="C205" s="2" t="str">
        <x:v>Phase 3</x:v>
      </x:c>
      <x:c r="D205" s="2" t="str">
        <x:v>CSBBO - Banking Ops</x:v>
      </x:c>
      <x:c r="E205" s="56" t="str">
        <x:v>DI.BO.3.3</x:v>
      </x:c>
      <x:c r="F205" s="14" t="str">
        <x:v>Present findings, conclusions, and recommendation to SMEs</x:v>
      </x:c>
      <x:c r="G205" s="5"/>
      <x:c r="H205" s="11"/>
      <x:c r="I205" s="11" t="n">
        <x:f>'Cycles &amp; Guide'!$D$11</x:f>
        <x:v>46203</x:v>
      </x:c>
      <x:c r="J205" s="11"/>
      <x:c r="K205" s="29"/>
      <x:c r="L205" s="2" t="str">
        <x:f>IF(O205=1,"Complete",IF(A205,"Checklist open",IF(H205&lt;&gt;"","In progress","Not started")))</x:f>
        <x:v>Not started</x:v>
      </x:c>
      <x:c r="M205" s="2" t="str">
        <x:v>Task</x:v>
      </x:c>
      <x:c r="N205" s="2" t="str">
        <x:v>DI.BO.3.3.2026.CY2</x:v>
      </x:c>
      <x:c r="O205" s="2" t="n">
        <x:f>R205</x:f>
        <x:v>0</x:v>
      </x:c>
      <x:c r="P205" s="2"/>
      <x:c r="Q205" s="2" t="n">
        <x:v>1</x:v>
      </x:c>
      <x:c r="R205" s="2" t="n">
        <x:f>IF(A205,1,0)</x:f>
        <x:v>0</x:v>
      </x:c>
      <x:c r="S205" s="2" t="n">
        <x:f>SUBTOTAL(103,N205)</x:f>
        <x:v>1</x:v>
      </x:c>
    </x:row>
    <x:row r="206" ht="42" customHeight="1">
      <x:c r="A206" s="28" t="b">
        <x:v>0</x:v>
      </x:c>
      <x:c r="B206" s="2" t="str">
        <x:v>Cycle 2</x:v>
      </x:c>
      <x:c r="C206" s="2" t="str">
        <x:v>Phase 3</x:v>
      </x:c>
      <x:c r="D206" s="2" t="str">
        <x:v>CSBBO - Banking Ops</x:v>
      </x:c>
      <x:c r="E206" s="56" t="str">
        <x:v>DI.BO.3.4</x:v>
      </x:c>
      <x:c r="F206" s="14" t="str">
        <x:v>Update Outcome portion of research plan (as needed)</x:v>
      </x:c>
      <x:c r="G206" s="5"/>
      <x:c r="H206" s="11"/>
      <x:c r="I206" s="11" t="n">
        <x:f>'Cycles &amp; Guide'!$D$11</x:f>
        <x:v>46203</x:v>
      </x:c>
      <x:c r="J206" s="11"/>
      <x:c r="K206" s="29"/>
      <x:c r="L206" s="2" t="str">
        <x:f>IF(O206=1,"Complete",IF(A206,"Checklist open",IF(H206&lt;&gt;"","In progress","Not started")))</x:f>
        <x:v>Not started</x:v>
      </x:c>
      <x:c r="M206" s="2" t="str">
        <x:v>Task</x:v>
      </x:c>
      <x:c r="N206" s="2" t="str">
        <x:v>DI.BO.3.4.2026.CY2</x:v>
      </x:c>
      <x:c r="O206" s="2" t="n">
        <x:f>R206</x:f>
        <x:v>0</x:v>
      </x:c>
      <x:c r="P206" s="2"/>
      <x:c r="Q206" s="2" t="n">
        <x:v>1</x:v>
      </x:c>
      <x:c r="R206" s="2" t="n">
        <x:f>IF(A206,1,0)</x:f>
        <x:v>0</x:v>
      </x:c>
      <x:c r="S206" s="2" t="n">
        <x:f>SUBTOTAL(103,N206)</x:f>
        <x:v>1</x:v>
      </x:c>
    </x:row>
    <x:row r="207" ht="42" customHeight="1">
      <x:c r="A207" s="28" t="b">
        <x:v>0</x:v>
      </x:c>
      <x:c r="B207" s="2" t="str">
        <x:v>Cycle 2</x:v>
      </x:c>
      <x:c r="C207" s="2" t="str">
        <x:v>Phase 3</x:v>
      </x:c>
      <x:c r="D207" s="2" t="str">
        <x:v>CSBBO - Banking Ops</x:v>
      </x:c>
      <x:c r="E207" s="56" t="str">
        <x:v>DI.BO.3.5</x:v>
      </x:c>
      <x:c r="F207" s="14" t="str">
        <x:v>Finalize presentation deck by incorporating pre-socialization feedback (as needed)</x:v>
      </x:c>
      <x:c r="G207" s="5"/>
      <x:c r="H207" s="11"/>
      <x:c r="I207" s="11" t="n">
        <x:f>'Cycles &amp; Guide'!$D$11</x:f>
        <x:v>46203</x:v>
      </x:c>
      <x:c r="J207" s="11"/>
      <x:c r="K207" s="29"/>
      <x:c r="L207" s="2" t="str">
        <x:f>IF(O207=1,"Complete",IF(A207,"Checklist open",IF(H207&lt;&gt;"","In progress","Not started")))</x:f>
        <x:v>Not started</x:v>
      </x:c>
      <x:c r="M207" s="2" t="str">
        <x:v>Task</x:v>
      </x:c>
      <x:c r="N207" s="2" t="str">
        <x:v>DI.BO.3.5.2026.CY2</x:v>
      </x:c>
      <x:c r="O207" s="2" t="n">
        <x:f>R207</x:f>
        <x:v>0</x:v>
      </x:c>
      <x:c r="P207" s="2"/>
      <x:c r="Q207" s="2" t="n">
        <x:v>1</x:v>
      </x:c>
      <x:c r="R207" s="2" t="n">
        <x:f>IF(A207,1,0)</x:f>
        <x:v>0</x:v>
      </x:c>
      <x:c r="S207" s="2" t="n">
        <x:f>SUBTOTAL(103,N207)</x:f>
        <x:v>1</x:v>
      </x:c>
    </x:row>
    <x:row r="208" ht="42" customHeight="1">
      <x:c r="A208" s="28" t="b">
        <x:v>0</x:v>
      </x:c>
      <x:c r="B208" s="2" t="str">
        <x:v>Cycle 2</x:v>
      </x:c>
      <x:c r="C208" s="2" t="str">
        <x:v>Phase 3</x:v>
      </x:c>
      <x:c r="D208" s="2" t="str">
        <x:v>CSBBO - Banking Ops</x:v>
      </x:c>
      <x:c r="E208" s="56" t="str">
        <x:v>DI.BO.3.6</x:v>
      </x:c>
      <x:c r="F208" s="14" t="str">
        <x:v>Ensure final deck is communicated to Forum attendees</x:v>
      </x:c>
      <x:c r="G208" s="5"/>
      <x:c r="H208" s="11"/>
      <x:c r="I208" s="11" t="n">
        <x:f>'Cycles &amp; Guide'!$D$11</x:f>
        <x:v>46203</x:v>
      </x:c>
      <x:c r="J208" s="11"/>
      <x:c r="K208" s="29"/>
      <x:c r="L208" s="2" t="str">
        <x:f>IF(O208=1,"Complete",IF(A208,"Checklist open",IF(H208&lt;&gt;"","In progress","Not started")))</x:f>
        <x:v>Not started</x:v>
      </x:c>
      <x:c r="M208" s="2" t="str">
        <x:v>Task</x:v>
      </x:c>
      <x:c r="N208" s="2" t="str">
        <x:v>DI.BO.3.6.2026.CY2</x:v>
      </x:c>
      <x:c r="O208" s="2" t="n">
        <x:f>R208</x:f>
        <x:v>0</x:v>
      </x:c>
      <x:c r="P208" s="2"/>
      <x:c r="Q208" s="2" t="n">
        <x:v>1</x:v>
      </x:c>
      <x:c r="R208" s="2" t="n">
        <x:f>IF(A208,1,0)</x:f>
        <x:v>0</x:v>
      </x:c>
      <x:c r="S208" s="2" t="n">
        <x:f>SUBTOTAL(103,N208)</x:f>
        <x:v>1</x:v>
      </x:c>
    </x:row>
    <x:row r="209" ht="42" customHeight="1">
      <x:c r="A209" s="28" t="b">
        <x:v>0</x:v>
      </x:c>
      <x:c r="B209" s="2" t="str">
        <x:v>Cycle 2</x:v>
      </x:c>
      <x:c r="C209" s="2" t="str">
        <x:v>Phase 3</x:v>
      </x:c>
      <x:c r="D209" s="2" t="str">
        <x:v>CSBBO - Banking Ops</x:v>
      </x:c>
      <x:c r="E209" s="56" t="str">
        <x:v>DI.BO.3.7</x:v>
      </x:c>
      <x:c r="F209" s="14" t="str">
        <x:v>Present material in RCA Cycle Forum</x:v>
      </x:c>
      <x:c r="G209" s="5"/>
      <x:c r="H209" s="11"/>
      <x:c r="I209" s="11" t="str">
        <x:f>IF(SUMIFS('Cycles &amp; Guide'!$D$23:$D$50,'Cycles &amp; Guide'!$B$23:$B$50,B209,'Cycles &amp; Guide'!$C$23:$C$50,D209)=0,"",SUMIFS('Cycles &amp; Guide'!$D$23:$D$50,'Cycles &amp; Guide'!$B$23:$B$50,B209,'Cycles &amp; Guide'!$C$23:$C$50,D209))</x:f>
      </x:c>
      <x:c r="J209" s="11"/>
      <x:c r="K209" s="29"/>
      <x:c r="L209" s="2" t="str">
        <x:f>IF(O209=1,"Complete",IF(A209,"Checklist open",IF(H209&lt;&gt;"","In progress","Not started")))</x:f>
        <x:v>Not started</x:v>
      </x:c>
      <x:c r="M209" s="2" t="str">
        <x:v>Task</x:v>
      </x:c>
      <x:c r="N209" s="2" t="str">
        <x:v>DI.BO.3.7.2026.CY2</x:v>
      </x:c>
      <x:c r="O209" s="2" t="n">
        <x:f>R209</x:f>
        <x:v>0</x:v>
      </x:c>
      <x:c r="P209" s="2"/>
      <x:c r="Q209" s="2" t="n">
        <x:v>1</x:v>
      </x:c>
      <x:c r="R209" s="2" t="n">
        <x:f>IF(A209,1,0)</x:f>
        <x:v>0</x:v>
      </x:c>
      <x:c r="S209" s="2" t="n">
        <x:f>SUBTOTAL(103,N209)</x:f>
        <x:v>1</x:v>
      </x:c>
    </x:row>
    <x:row r="210" ht="42" customHeight="1">
      <x:c r="A210" s="28" t="b">
        <x:v>0</x:v>
      </x:c>
      <x:c r="B210" s="2" t="str">
        <x:v>Cycle 2</x:v>
      </x:c>
      <x:c r="C210" s="2" t="str">
        <x:v>Phase 1</x:v>
      </x:c>
      <x:c r="D210" s="2" t="str">
        <x:v>CSBBO - Customer Service</x:v>
      </x:c>
      <x:c r="E210" s="56" t="str">
        <x:v>DI.CS.1.1</x:v>
      </x:c>
      <x:c r="F210" s="14" t="str">
        <x:v>Receive and review potential research topics at least 2 weeks prior to Cycle start date</x:v>
      </x:c>
      <x:c r="G210" s="5"/>
      <x:c r="H210" s="11"/>
      <x:c r="I210" s="11" t="n">
        <x:f>'Cycles &amp; Guide'!$C$11-14</x:f>
        <x:v>46099</x:v>
      </x:c>
      <x:c r="J210" s="11"/>
      <x:c r="K210" s="29"/>
      <x:c r="L210" s="2" t="str">
        <x:f>IF(O210=1,"Complete",IF(A210,"Checklist open",IF(H210&lt;&gt;"","In progress","Not started")))</x:f>
        <x:v>Not started</x:v>
      </x:c>
      <x:c r="M210" s="2" t="str">
        <x:v>Task</x:v>
      </x:c>
      <x:c r="N210" s="2" t="str">
        <x:v>DI.CS.1.1.2026.CY2</x:v>
      </x:c>
      <x:c r="O210" s="2" t="n">
        <x:f>R210</x:f>
        <x:v>0</x:v>
      </x:c>
      <x:c r="P210" s="2"/>
      <x:c r="Q210" s="2" t="n">
        <x:v>1</x:v>
      </x:c>
      <x:c r="R210" s="2" t="n">
        <x:f>IF(A210,1,0)</x:f>
        <x:v>0</x:v>
      </x:c>
      <x:c r="S210" s="2" t="n">
        <x:f>SUBTOTAL(103,N210)</x:f>
        <x:v>1</x:v>
      </x:c>
    </x:row>
    <x:row r="211" ht="42" customHeight="1">
      <x:c r="A211" s="28" t="b">
        <x:v>0</x:v>
      </x:c>
      <x:c r="B211" s="2" t="str">
        <x:v>Cycle 2</x:v>
      </x:c>
      <x:c r="C211" s="2" t="str">
        <x:v>Phase 1</x:v>
      </x:c>
      <x:c r="D211" s="2" t="str">
        <x:v>CSBBO - Customer Service</x:v>
      </x:c>
      <x:c r="E211" s="56" t="str">
        <x:v>DI.CS.1.2</x:v>
      </x:c>
      <x:c r="F211" s="14" t="str">
        <x:v>Communicate any feedback on preferences or concerns with topics identified</x:v>
      </x:c>
      <x:c r="G211" s="5"/>
      <x:c r="H211" s="11"/>
      <x:c r="I211" s="11" t="n">
        <x:f>'Cycles &amp; Guide'!$D$11</x:f>
        <x:v>46203</x:v>
      </x:c>
      <x:c r="J211" s="11"/>
      <x:c r="K211" s="29"/>
      <x:c r="L211" s="2" t="str">
        <x:f>IF(O211=1,"Complete",IF(A211,"Checklist open",IF(H211&lt;&gt;"","In progress","Not started")))</x:f>
        <x:v>Not started</x:v>
      </x:c>
      <x:c r="M211" s="2" t="str">
        <x:v>Task</x:v>
      </x:c>
      <x:c r="N211" s="2" t="str">
        <x:v>DI.CS.1.2.2026.CY2</x:v>
      </x:c>
      <x:c r="O211" s="2" t="n">
        <x:f>R211</x:f>
        <x:v>0</x:v>
      </x:c>
      <x:c r="P211" s="2"/>
      <x:c r="Q211" s="2" t="n">
        <x:v>1</x:v>
      </x:c>
      <x:c r="R211" s="2" t="n">
        <x:f>IF(A211,1,0)</x:f>
        <x:v>0</x:v>
      </x:c>
      <x:c r="S211" s="2" t="n">
        <x:f>SUBTOTAL(103,N211)</x:f>
        <x:v>1</x:v>
      </x:c>
    </x:row>
    <x:row r="212" ht="42" customHeight="1">
      <x:c r="A212" s="28" t="b">
        <x:v>0</x:v>
      </x:c>
      <x:c r="B212" s="2" t="str">
        <x:v>Cycle 2</x:v>
      </x:c>
      <x:c r="C212" s="2" t="str">
        <x:v>Phase 1</x:v>
      </x:c>
      <x:c r="D212" s="2" t="str">
        <x:v>CSBBO - Customer Service</x:v>
      </x:c>
      <x:c r="E212" s="56" t="str">
        <x:v>DI.CS.1.3</x:v>
      </x:c>
      <x:c r="F212" s="14" t="str">
        <x:v>Conduct high-level preliminary review of complaints within proposed topics</x:v>
      </x:c>
      <x:c r="G212" s="5"/>
      <x:c r="H212" s="11"/>
      <x:c r="I212" s="11" t="n">
        <x:f>'Cycles &amp; Guide'!$D$11</x:f>
        <x:v>46203</x:v>
      </x:c>
      <x:c r="J212" s="11"/>
      <x:c r="K212" s="29"/>
      <x:c r="L212" s="2" t="str">
        <x:f>IF(O212=1,"Complete",IF(A212,"Checklist open",IF(H212&lt;&gt;"","In progress","Not started")))</x:f>
        <x:v>Not started</x:v>
      </x:c>
      <x:c r="M212" s="2" t="str">
        <x:v>Task</x:v>
      </x:c>
      <x:c r="N212" s="2" t="str">
        <x:v>DI.CS.1.3.2026.CY2</x:v>
      </x:c>
      <x:c r="O212" s="2" t="n">
        <x:f>R212</x:f>
        <x:v>0</x:v>
      </x:c>
      <x:c r="P212" s="2"/>
      <x:c r="Q212" s="2" t="n">
        <x:v>1</x:v>
      </x:c>
      <x:c r="R212" s="2" t="n">
        <x:f>IF(A212,1,0)</x:f>
        <x:v>0</x:v>
      </x:c>
      <x:c r="S212" s="2" t="n">
        <x:f>SUBTOTAL(103,N212)</x:f>
        <x:v>1</x:v>
      </x:c>
    </x:row>
    <x:row r="213" ht="42" customHeight="1">
      <x:c r="A213" s="28" t="b">
        <x:v>0</x:v>
      </x:c>
      <x:c r="B213" s="2" t="str">
        <x:v>Cycle 2</x:v>
      </x:c>
      <x:c r="C213" s="2" t="str">
        <x:v>Phase 1</x:v>
      </x:c>
      <x:c r="D213" s="2" t="str">
        <x:v>CSBBO - Customer Service</x:v>
      </x:c>
      <x:c r="E213" s="56" t="str">
        <x:v>DI.CS.1.4</x:v>
      </x:c>
      <x:c r="F213" s="14" t="str">
        <x:v>Meet with Research to discuss which topic to select based on potential impact</x:v>
      </x:c>
      <x:c r="G213" s="5"/>
      <x:c r="H213" s="11"/>
      <x:c r="I213" s="11" t="n">
        <x:f>'Cycles &amp; Guide'!$D$11</x:f>
        <x:v>46203</x:v>
      </x:c>
      <x:c r="J213" s="11"/>
      <x:c r="K213" s="29"/>
      <x:c r="L213" s="2" t="str">
        <x:f>IF(O213=1,"Complete",IF(A213,"Checklist open",IF(H213&lt;&gt;"","In progress","Not started")))</x:f>
        <x:v>Not started</x:v>
      </x:c>
      <x:c r="M213" s="2" t="str">
        <x:v>Task</x:v>
      </x:c>
      <x:c r="N213" s="2" t="str">
        <x:v>DI.CS.1.4.2026.CY2</x:v>
      </x:c>
      <x:c r="O213" s="2" t="n">
        <x:f>R213</x:f>
        <x:v>0</x:v>
      </x:c>
      <x:c r="P213" s="2"/>
      <x:c r="Q213" s="2" t="n">
        <x:v>1</x:v>
      </x:c>
      <x:c r="R213" s="2" t="n">
        <x:f>IF(A213,1,0)</x:f>
        <x:v>0</x:v>
      </x:c>
      <x:c r="S213" s="2" t="n">
        <x:f>SUBTOTAL(103,N213)</x:f>
        <x:v>1</x:v>
      </x:c>
    </x:row>
    <x:row r="214" ht="42" customHeight="1">
      <x:c r="A214" s="28" t="b">
        <x:v>0</x:v>
      </x:c>
      <x:c r="B214" s="2" t="str">
        <x:v>Cycle 2</x:v>
      </x:c>
      <x:c r="C214" s="2" t="str">
        <x:v>Phase 1</x:v>
      </x:c>
      <x:c r="D214" s="2" t="str">
        <x:v>CSBBO - Customer Service</x:v>
      </x:c>
      <x:c r="E214" s="56" t="str">
        <x:v>DI.CS.1.5</x:v>
      </x:c>
      <x:c r="F214" s="14" t="str">
        <x:v>Confirm with Research the recommended topic for approval</x:v>
      </x:c>
      <x:c r="G214" s="5"/>
      <x:c r="H214" s="11"/>
      <x:c r="I214" s="11" t="n">
        <x:f>'Cycles &amp; Guide'!$D$11</x:f>
        <x:v>46203</x:v>
      </x:c>
      <x:c r="J214" s="11"/>
      <x:c r="K214" s="29"/>
      <x:c r="L214" s="2" t="str">
        <x:f>IF(O214=1,"Complete",IF(A214,"Checklist open",IF(H214&lt;&gt;"","In progress","Not started")))</x:f>
        <x:v>Not started</x:v>
      </x:c>
      <x:c r="M214" s="2" t="str">
        <x:v>Task</x:v>
      </x:c>
      <x:c r="N214" s="2" t="str">
        <x:v>DI.CS.1.5.2026.CY2</x:v>
      </x:c>
      <x:c r="O214" s="2" t="n">
        <x:f>R214</x:f>
        <x:v>0</x:v>
      </x:c>
      <x:c r="P214" s="2"/>
      <x:c r="Q214" s="2" t="n">
        <x:v>1</x:v>
      </x:c>
      <x:c r="R214" s="2" t="n">
        <x:f>IF(A214,1,0)</x:f>
        <x:v>0</x:v>
      </x:c>
      <x:c r="S214" s="2" t="n">
        <x:f>SUBTOTAL(103,N214)</x:f>
        <x:v>1</x:v>
      </x:c>
    </x:row>
    <x:row r="215" ht="42" customHeight="1">
      <x:c r="A215" s="28" t="b">
        <x:v>0</x:v>
      </x:c>
      <x:c r="B215" s="2" t="str">
        <x:v>Cycle 2</x:v>
      </x:c>
      <x:c r="C215" s="2" t="str">
        <x:v>Phase 1</x:v>
      </x:c>
      <x:c r="D215" s="2" t="str">
        <x:v>CSBBO - Customer Service</x:v>
      </x:c>
      <x:c r="E215" s="56" t="str">
        <x:v>DI.CS.1.6</x:v>
      </x:c>
      <x:c r="F215" s="14" t="str">
        <x:v>Send topic selection socialization email to all key stakeholders on the first day of the review Cycle</x:v>
      </x:c>
      <x:c r="G215" s="5"/>
      <x:c r="H215" s="11"/>
      <x:c r="I215" s="11" t="n">
        <x:f>'Cycles &amp; Guide'!$C$11</x:f>
        <x:v>46113</x:v>
      </x:c>
      <x:c r="J215" s="11"/>
      <x:c r="K215" s="29"/>
      <x:c r="L215" s="2" t="str">
        <x:f>IF(O215=1,"Complete",IF(A215,"Checklist open",IF(H215&lt;&gt;"","In progress","Not started")))</x:f>
        <x:v>Not started</x:v>
      </x:c>
      <x:c r="M215" s="2" t="str">
        <x:v>Task</x:v>
      </x:c>
      <x:c r="N215" s="2" t="str">
        <x:v>DI.CS.1.6.2026.CY2</x:v>
      </x:c>
      <x:c r="O215" s="2" t="n">
        <x:f>R215</x:f>
        <x:v>0</x:v>
      </x:c>
      <x:c r="P215" s="2"/>
      <x:c r="Q215" s="2" t="n">
        <x:v>1</x:v>
      </x:c>
      <x:c r="R215" s="2" t="n">
        <x:f>IF(A215,1,0)</x:f>
        <x:v>0</x:v>
      </x:c>
      <x:c r="S215" s="2" t="n">
        <x:f>SUBTOTAL(103,N215)</x:f>
        <x:v>1</x:v>
      </x:c>
    </x:row>
    <x:row r="216" ht="42" customHeight="1">
      <x:c r="A216" s="28" t="b">
        <x:v>0</x:v>
      </x:c>
      <x:c r="B216" s="2" t="str">
        <x:v>Cycle 2</x:v>
      </x:c>
      <x:c r="C216" s="2" t="str">
        <x:v>Phase 2</x:v>
      </x:c>
      <x:c r="D216" s="2" t="str">
        <x:v>CSBBO - Customer Service</x:v>
      </x:c>
      <x:c r="E216" s="56" t="str">
        <x:v>DI.CS.2.1</x:v>
      </x:c>
      <x:c r="F216" s="14" t="str">
        <x:v>Meet regularly with Research to stay informed on progress, findings, and potential enhancement</x:v>
      </x:c>
      <x:c r="G216" s="5"/>
      <x:c r="H216" s="11"/>
      <x:c r="I216" s="11" t="n">
        <x:f>'Cycles &amp; Guide'!$D$11</x:f>
        <x:v>46203</x:v>
      </x:c>
      <x:c r="J216" s="11"/>
      <x:c r="K216" s="29"/>
      <x:c r="L216" s="2" t="str">
        <x:f>IF(O216=1,"Complete",IF(A216,"Checklist open",IF(H216&lt;&gt;"","In progress","Not started")))</x:f>
        <x:v>Not started</x:v>
      </x:c>
      <x:c r="M216" s="2" t="str">
        <x:v>Task</x:v>
      </x:c>
      <x:c r="N216" s="2" t="str">
        <x:v>DI.CS.2.1.2026.CY2</x:v>
      </x:c>
      <x:c r="O216" s="2" t="n">
        <x:f>R216</x:f>
        <x:v>0</x:v>
      </x:c>
      <x:c r="P216" s="2"/>
      <x:c r="Q216" s="2" t="n">
        <x:v>1</x:v>
      </x:c>
      <x:c r="R216" s="2" t="n">
        <x:f>IF(A216,1,0)</x:f>
        <x:v>0</x:v>
      </x:c>
      <x:c r="S216" s="2" t="n">
        <x:f>SUBTOTAL(103,N216)</x:f>
        <x:v>1</x:v>
      </x:c>
    </x:row>
    <x:row r="217" ht="42" customHeight="1">
      <x:c r="A217" s="28" t="b">
        <x:v>0</x:v>
      </x:c>
      <x:c r="B217" s="2" t="str">
        <x:v>Cycle 2</x:v>
      </x:c>
      <x:c r="C217" s="2" t="str">
        <x:v>Phase 2</x:v>
      </x:c>
      <x:c r="D217" s="2" t="str">
        <x:v>CSBBO - Customer Service</x:v>
      </x:c>
      <x:c r="E217" s="56" t="str">
        <x:v>DI.CS.2.2</x:v>
      </x:c>
      <x:c r="F217" s="14" t="str">
        <x:v>Collaborate with Research on research plan specifics</x:v>
      </x:c>
      <x:c r="G217" s="5"/>
      <x:c r="H217" s="11"/>
      <x:c r="I217" s="11" t="n">
        <x:f>'Cycles &amp; Guide'!$D$11</x:f>
        <x:v>46203</x:v>
      </x:c>
      <x:c r="J217" s="11"/>
      <x:c r="K217" s="29"/>
      <x:c r="L217" s="2" t="str">
        <x:f>IF(O217=1,"Complete",IF(A217,"Checklist open",IF(H217&lt;&gt;"","In progress","Not started")))</x:f>
        <x:v>Not started</x:v>
      </x:c>
      <x:c r="M217" s="2" t="str">
        <x:v>Task</x:v>
      </x:c>
      <x:c r="N217" s="2" t="str">
        <x:v>DI.CS.2.2.2026.CY2</x:v>
      </x:c>
      <x:c r="O217" s="2" t="n">
        <x:f>R217</x:f>
        <x:v>0</x:v>
      </x:c>
      <x:c r="P217" s="2"/>
      <x:c r="Q217" s="2" t="n">
        <x:v>1</x:v>
      </x:c>
      <x:c r="R217" s="2" t="n">
        <x:f>IF(A217,1,0)</x:f>
        <x:v>0</x:v>
      </x:c>
      <x:c r="S217" s="2" t="n">
        <x:f>SUBTOTAL(103,N217)</x:f>
        <x:v>1</x:v>
      </x:c>
    </x:row>
    <x:row r="218" ht="42" customHeight="1">
      <x:c r="A218" s="28" t="b">
        <x:v>0</x:v>
      </x:c>
      <x:c r="B218" s="2" t="str">
        <x:v>Cycle 2</x:v>
      </x:c>
      <x:c r="C218" s="2" t="str">
        <x:v>Phase 2</x:v>
      </x:c>
      <x:c r="D218" s="2" t="str">
        <x:v>CSBBO - Customer Service</x:v>
      </x:c>
      <x:c r="E218" s="56" t="str">
        <x:v>DI.CS.2.3</x:v>
      </x:c>
      <x:c r="F218" s="14" t="str">
        <x:v>Participate in SME insight meetings to gain perspective and appetite on potential enhancements</x:v>
      </x:c>
      <x:c r="G218" s="5"/>
      <x:c r="H218" s="11"/>
      <x:c r="I218" s="11" t="n">
        <x:f>'Cycles &amp; Guide'!$D$11</x:f>
        <x:v>46203</x:v>
      </x:c>
      <x:c r="J218" s="11"/>
      <x:c r="K218" s="29"/>
      <x:c r="L218" s="2" t="str">
        <x:f>IF(O218=1,"Complete",IF(A218,"Checklist open",IF(H218&lt;&gt;"","In progress","Not started")))</x:f>
        <x:v>Not started</x:v>
      </x:c>
      <x:c r="M218" s="2" t="str">
        <x:v>Task</x:v>
      </x:c>
      <x:c r="N218" s="2" t="str">
        <x:v>DI.CS.2.3.2026.CY2</x:v>
      </x:c>
      <x:c r="O218" s="2" t="n">
        <x:f>R218</x:f>
        <x:v>0</x:v>
      </x:c>
      <x:c r="P218" s="2"/>
      <x:c r="Q218" s="2" t="n">
        <x:v>1</x:v>
      </x:c>
      <x:c r="R218" s="2" t="n">
        <x:f>IF(A218,1,0)</x:f>
        <x:v>0</x:v>
      </x:c>
      <x:c r="S218" s="2" t="n">
        <x:f>SUBTOTAL(103,N218)</x:f>
        <x:v>1</x:v>
      </x:c>
    </x:row>
    <x:row r="219" ht="42" customHeight="1">
      <x:c r="A219" s="28" t="b">
        <x:v>0</x:v>
      </x:c>
      <x:c r="B219" s="2" t="str">
        <x:v>Cycle 2</x:v>
      </x:c>
      <x:c r="C219" s="2" t="str">
        <x:v>Phase 2</x:v>
      </x:c>
      <x:c r="D219" s="2" t="str">
        <x:v>CSBBO - Customer Service</x:v>
      </x:c>
      <x:c r="E219" s="56" t="str">
        <x:v>DI.CS.2.4</x:v>
      </x:c>
      <x:c r="F219" s="14" t="str">
        <x:v>Begin development of presentation materials as Research is being completed</x:v>
      </x:c>
      <x:c r="G219" s="5"/>
      <x:c r="H219" s="11"/>
      <x:c r="I219" s="11" t="n">
        <x:f>'Cycles &amp; Guide'!$D$11</x:f>
        <x:v>46203</x:v>
      </x:c>
      <x:c r="J219" s="11"/>
      <x:c r="K219" s="29"/>
      <x:c r="L219" s="2" t="str">
        <x:f>IF(O219=1,"Complete",IF(A219,"Checklist open",IF(H219&lt;&gt;"","In progress","Not started")))</x:f>
        <x:v>Not started</x:v>
      </x:c>
      <x:c r="M219" s="2" t="str">
        <x:v>Task</x:v>
      </x:c>
      <x:c r="N219" s="2" t="str">
        <x:v>DI.CS.2.4.2026.CY2</x:v>
      </x:c>
      <x:c r="O219" s="2" t="n">
        <x:f>R219</x:f>
        <x:v>0</x:v>
      </x:c>
      <x:c r="P219" s="2"/>
      <x:c r="Q219" s="2" t="n">
        <x:v>1</x:v>
      </x:c>
      <x:c r="R219" s="2" t="n">
        <x:f>IF(A219,1,0)</x:f>
        <x:v>0</x:v>
      </x:c>
      <x:c r="S219" s="2" t="n">
        <x:f>SUBTOTAL(103,N219)</x:f>
        <x:v>1</x:v>
      </x:c>
    </x:row>
    <x:row r="220" ht="42" customHeight="1">
      <x:c r="A220" s="28" t="b">
        <x:v>0</x:v>
      </x:c>
      <x:c r="B220" s="2" t="str">
        <x:v>Cycle 2</x:v>
      </x:c>
      <x:c r="C220" s="2" t="str">
        <x:v>Phase 2</x:v>
      </x:c>
      <x:c r="D220" s="2" t="str">
        <x:v>CSBBO - Customer Service</x:v>
      </x:c>
      <x:c r="E220" s="56" t="str">
        <x:v>DI.CS.2.5</x:v>
      </x:c>
      <x:c r="F220" s="14" t="str">
        <x:v>Draft initial enhancement recommendations (as applicable)</x:v>
      </x:c>
      <x:c r="G220" s="5"/>
      <x:c r="H220" s="11"/>
      <x:c r="I220" s="11" t="n">
        <x:f>'Cycles &amp; Guide'!$D$11</x:f>
        <x:v>46203</x:v>
      </x:c>
      <x:c r="J220" s="11"/>
      <x:c r="K220" s="29"/>
      <x:c r="L220" s="2" t="str">
        <x:f>IF(O220=1,"Complete",IF(A220,"Checklist open",IF(H220&lt;&gt;"","In progress","Not started")))</x:f>
        <x:v>Not started</x:v>
      </x:c>
      <x:c r="M220" s="2" t="str">
        <x:v>Task</x:v>
      </x:c>
      <x:c r="N220" s="2" t="str">
        <x:v>DI.CS.2.5.2026.CY2</x:v>
      </x:c>
      <x:c r="O220" s="2" t="n">
        <x:f>R220</x:f>
        <x:v>0</x:v>
      </x:c>
      <x:c r="P220" s="2"/>
      <x:c r="Q220" s="2" t="n">
        <x:v>1</x:v>
      </x:c>
      <x:c r="R220" s="2" t="n">
        <x:f>IF(A220,1,0)</x:f>
        <x:v>0</x:v>
      </x:c>
      <x:c r="S220" s="2" t="n">
        <x:f>SUBTOTAL(103,N220)</x:f>
        <x:v>1</x:v>
      </x:c>
    </x:row>
    <x:row r="221" ht="42" customHeight="1">
      <x:c r="A221" s="28" t="b">
        <x:v>0</x:v>
      </x:c>
      <x:c r="B221" s="2" t="str">
        <x:v>Cycle 2</x:v>
      </x:c>
      <x:c r="C221" s="2" t="str">
        <x:v>Phase 2</x:v>
      </x:c>
      <x:c r="D221" s="2" t="str">
        <x:v>CSBBO - Customer Service</x:v>
      </x:c>
      <x:c r="E221" s="56" t="str">
        <x:v>DI.CS.2.6</x:v>
      </x:c>
      <x:c r="F221" s="14" t="str">
        <x:v>Finalize presentation deck draft at conclusion of Research phase</x:v>
      </x:c>
      <x:c r="G221" s="5"/>
      <x:c r="H221" s="11"/>
      <x:c r="I221" s="11" t="n">
        <x:f>'Cycles &amp; Guide'!$D$11</x:f>
        <x:v>46203</x:v>
      </x:c>
      <x:c r="J221" s="11"/>
      <x:c r="K221" s="29"/>
      <x:c r="L221" s="2" t="str">
        <x:f>IF(O221=1,"Complete",IF(A221,"Checklist open",IF(H221&lt;&gt;"","In progress","Not started")))</x:f>
        <x:v>Not started</x:v>
      </x:c>
      <x:c r="M221" s="2" t="str">
        <x:v>Task</x:v>
      </x:c>
      <x:c r="N221" s="2" t="str">
        <x:v>DI.CS.2.6.2026.CY2</x:v>
      </x:c>
      <x:c r="O221" s="2" t="n">
        <x:f>R221</x:f>
        <x:v>0</x:v>
      </x:c>
      <x:c r="P221" s="2"/>
      <x:c r="Q221" s="2" t="n">
        <x:v>1</x:v>
      </x:c>
      <x:c r="R221" s="2" t="n">
        <x:f>IF(A221,1,0)</x:f>
        <x:v>0</x:v>
      </x:c>
      <x:c r="S221" s="2" t="n">
        <x:f>SUBTOTAL(103,N221)</x:f>
        <x:v>1</x:v>
      </x:c>
    </x:row>
    <x:row r="222" ht="42" customHeight="1">
      <x:c r="A222" s="28" t="b">
        <x:v>0</x:v>
      </x:c>
      <x:c r="B222" s="2" t="str">
        <x:v>Cycle 2</x:v>
      </x:c>
      <x:c r="C222" s="2" t="str">
        <x:v>Phase 2</x:v>
      </x:c>
      <x:c r="D222" s="2" t="str">
        <x:v>CSBBO - Customer Service</x:v>
      </x:c>
      <x:c r="E222" s="56" t="str">
        <x:v>DI.CS.2.7</x:v>
      </x:c>
      <x:c r="F222" s="14" t="str">
        <x:v>Update Outcome portion of research plan with current enhancement verbiage (as needed)</x:v>
      </x:c>
      <x:c r="G222" s="5"/>
      <x:c r="H222" s="11"/>
      <x:c r="I222" s="11" t="n">
        <x:f>'Cycles &amp; Guide'!$D$11</x:f>
        <x:v>46203</x:v>
      </x:c>
      <x:c r="J222" s="11"/>
      <x:c r="K222" s="29"/>
      <x:c r="L222" s="2" t="str">
        <x:f>IF(O222=1,"Complete",IF(A222,"Checklist open",IF(H222&lt;&gt;"","In progress","Not started")))</x:f>
        <x:v>Not started</x:v>
      </x:c>
      <x:c r="M222" s="2" t="str">
        <x:v>Task</x:v>
      </x:c>
      <x:c r="N222" s="2" t="str">
        <x:v>DI.CS.2.7.2026.CY2</x:v>
      </x:c>
      <x:c r="O222" s="2" t="n">
        <x:f>R222</x:f>
        <x:v>0</x:v>
      </x:c>
      <x:c r="P222" s="2"/>
      <x:c r="Q222" s="2" t="n">
        <x:v>1</x:v>
      </x:c>
      <x:c r="R222" s="2" t="n">
        <x:f>IF(A222,1,0)</x:f>
        <x:v>0</x:v>
      </x:c>
      <x:c r="S222" s="2" t="n">
        <x:f>SUBTOTAL(103,N222)</x:f>
        <x:v>1</x:v>
      </x:c>
    </x:row>
    <x:row r="223" ht="42" customHeight="1">
      <x:c r="A223" s="28" t="b">
        <x:v>0</x:v>
      </x:c>
      <x:c r="B223" s="2" t="str">
        <x:v>Cycle 2</x:v>
      </x:c>
      <x:c r="C223" s="2" t="str">
        <x:v>Phase 3</x:v>
      </x:c>
      <x:c r="D223" s="2" t="str">
        <x:v>CSBBO - Customer Service</x:v>
      </x:c>
      <x:c r="E223" s="56" t="str">
        <x:v>DI.CS.3.1</x:v>
      </x:c>
      <x:c r="F223" s="14" t="str">
        <x:v>Confirm list of required &amp; optional attendees for pre-socialization meeting</x:v>
      </x:c>
      <x:c r="G223" s="5"/>
      <x:c r="H223" s="11"/>
      <x:c r="I223" s="11" t="n">
        <x:f>'Cycles &amp; Guide'!$D$11</x:f>
        <x:v>46203</x:v>
      </x:c>
      <x:c r="J223" s="11"/>
      <x:c r="K223" s="29"/>
      <x:c r="L223" s="2" t="str">
        <x:f>IF(O223=1,"Complete",IF(A223,"Checklist open",IF(H223&lt;&gt;"","In progress","Not started")))</x:f>
        <x:v>Not started</x:v>
      </x:c>
      <x:c r="M223" s="2" t="str">
        <x:v>Task</x:v>
      </x:c>
      <x:c r="N223" s="2" t="str">
        <x:v>DI.CS.3.1.2026.CY2</x:v>
      </x:c>
      <x:c r="O223" s="2" t="n">
        <x:f>R223</x:f>
        <x:v>0</x:v>
      </x:c>
      <x:c r="P223" s="2"/>
      <x:c r="Q223" s="2" t="n">
        <x:v>1</x:v>
      </x:c>
      <x:c r="R223" s="2" t="n">
        <x:f>IF(A223,1,0)</x:f>
        <x:v>0</x:v>
      </x:c>
      <x:c r="S223" s="2" t="n">
        <x:f>SUBTOTAL(103,N223)</x:f>
        <x:v>1</x:v>
      </x:c>
    </x:row>
    <x:row r="224" ht="42" customHeight="1">
      <x:c r="A224" s="28" t="b">
        <x:v>0</x:v>
      </x:c>
      <x:c r="B224" s="2" t="str">
        <x:v>Cycle 2</x:v>
      </x:c>
      <x:c r="C224" s="2" t="str">
        <x:v>Phase 3</x:v>
      </x:c>
      <x:c r="D224" s="2" t="str">
        <x:v>CSBBO - Customer Service</x:v>
      </x:c>
      <x:c r="E224" s="56" t="str">
        <x:v>DI.CS.3.2</x:v>
      </x:c>
      <x:c r="F224" s="14" t="str">
        <x:v>Schedule pre-socialization meeting 1 week prior to RCA Forum</x:v>
      </x:c>
      <x:c r="G224" s="5"/>
      <x:c r="H224" s="11"/>
      <x:c r="I224" s="11" t="str">
        <x:f>IF(SUMIFS('Cycles &amp; Guide'!$D$23:$D$50,'Cycles &amp; Guide'!$B$23:$B$50,B224,'Cycles &amp; Guide'!$C$23:$C$50,D224)=0,"",SUMIFS('Cycles &amp; Guide'!$D$23:$D$50,'Cycles &amp; Guide'!$B$23:$B$50,B224,'Cycles &amp; Guide'!$C$23:$C$50,D224)-7)</x:f>
      </x:c>
      <x:c r="J224" s="11"/>
      <x:c r="K224" s="29"/>
      <x:c r="L224" s="2" t="str">
        <x:f>IF(O224=1,"Complete",IF(A224,"Checklist open",IF(H224&lt;&gt;"","In progress","Not started")))</x:f>
        <x:v>Not started</x:v>
      </x:c>
      <x:c r="M224" s="2" t="str">
        <x:v>Task</x:v>
      </x:c>
      <x:c r="N224" s="2" t="str">
        <x:v>DI.CS.3.2.2026.CY2</x:v>
      </x:c>
      <x:c r="O224" s="2" t="n">
        <x:f>R224</x:f>
        <x:v>0</x:v>
      </x:c>
      <x:c r="P224" s="2"/>
      <x:c r="Q224" s="2" t="n">
        <x:v>1</x:v>
      </x:c>
      <x:c r="R224" s="2" t="n">
        <x:f>IF(A224,1,0)</x:f>
        <x:v>0</x:v>
      </x:c>
      <x:c r="S224" s="2" t="n">
        <x:f>SUBTOTAL(103,N224)</x:f>
        <x:v>1</x:v>
      </x:c>
    </x:row>
    <x:row r="225" ht="42" customHeight="1">
      <x:c r="A225" s="28" t="b">
        <x:v>0</x:v>
      </x:c>
      <x:c r="B225" s="2" t="str">
        <x:v>Cycle 2</x:v>
      </x:c>
      <x:c r="C225" s="2" t="str">
        <x:v>Phase 3</x:v>
      </x:c>
      <x:c r="D225" s="2" t="str">
        <x:v>CSBBO - Customer Service</x:v>
      </x:c>
      <x:c r="E225" s="56" t="str">
        <x:v>DI.CS.3.3</x:v>
      </x:c>
      <x:c r="F225" s="14" t="str">
        <x:v>Present findings, conclusions, and recommendation to SMEs</x:v>
      </x:c>
      <x:c r="G225" s="5"/>
      <x:c r="H225" s="11"/>
      <x:c r="I225" s="11" t="n">
        <x:f>'Cycles &amp; Guide'!$D$11</x:f>
        <x:v>46203</x:v>
      </x:c>
      <x:c r="J225" s="11"/>
      <x:c r="K225" s="29"/>
      <x:c r="L225" s="2" t="str">
        <x:f>IF(O225=1,"Complete",IF(A225,"Checklist open",IF(H225&lt;&gt;"","In progress","Not started")))</x:f>
        <x:v>Not started</x:v>
      </x:c>
      <x:c r="M225" s="2" t="str">
        <x:v>Task</x:v>
      </x:c>
      <x:c r="N225" s="2" t="str">
        <x:v>DI.CS.3.3.2026.CY2</x:v>
      </x:c>
      <x:c r="O225" s="2" t="n">
        <x:f>R225</x:f>
        <x:v>0</x:v>
      </x:c>
      <x:c r="P225" s="2"/>
      <x:c r="Q225" s="2" t="n">
        <x:v>1</x:v>
      </x:c>
      <x:c r="R225" s="2" t="n">
        <x:f>IF(A225,1,0)</x:f>
        <x:v>0</x:v>
      </x:c>
      <x:c r="S225" s="2" t="n">
        <x:f>SUBTOTAL(103,N225)</x:f>
        <x:v>1</x:v>
      </x:c>
    </x:row>
    <x:row r="226" ht="42" customHeight="1">
      <x:c r="A226" s="28" t="b">
        <x:v>0</x:v>
      </x:c>
      <x:c r="B226" s="2" t="str">
        <x:v>Cycle 2</x:v>
      </x:c>
      <x:c r="C226" s="2" t="str">
        <x:v>Phase 3</x:v>
      </x:c>
      <x:c r="D226" s="2" t="str">
        <x:v>CSBBO - Customer Service</x:v>
      </x:c>
      <x:c r="E226" s="56" t="str">
        <x:v>DI.CS.3.4</x:v>
      </x:c>
      <x:c r="F226" s="14" t="str">
        <x:v>Update Outcome portion of research plan (as needed)</x:v>
      </x:c>
      <x:c r="G226" s="5"/>
      <x:c r="H226" s="11"/>
      <x:c r="I226" s="11" t="n">
        <x:f>'Cycles &amp; Guide'!$D$11</x:f>
        <x:v>46203</x:v>
      </x:c>
      <x:c r="J226" s="11"/>
      <x:c r="K226" s="29"/>
      <x:c r="L226" s="2" t="str">
        <x:f>IF(O226=1,"Complete",IF(A226,"Checklist open",IF(H226&lt;&gt;"","In progress","Not started")))</x:f>
        <x:v>Not started</x:v>
      </x:c>
      <x:c r="M226" s="2" t="str">
        <x:v>Task</x:v>
      </x:c>
      <x:c r="N226" s="2" t="str">
        <x:v>DI.CS.3.4.2026.CY2</x:v>
      </x:c>
      <x:c r="O226" s="2" t="n">
        <x:f>R226</x:f>
        <x:v>0</x:v>
      </x:c>
      <x:c r="P226" s="2"/>
      <x:c r="Q226" s="2" t="n">
        <x:v>1</x:v>
      </x:c>
      <x:c r="R226" s="2" t="n">
        <x:f>IF(A226,1,0)</x:f>
        <x:v>0</x:v>
      </x:c>
      <x:c r="S226" s="2" t="n">
        <x:f>SUBTOTAL(103,N226)</x:f>
        <x:v>1</x:v>
      </x:c>
    </x:row>
    <x:row r="227" ht="42" customHeight="1">
      <x:c r="A227" s="28" t="b">
        <x:v>0</x:v>
      </x:c>
      <x:c r="B227" s="2" t="str">
        <x:v>Cycle 2</x:v>
      </x:c>
      <x:c r="C227" s="2" t="str">
        <x:v>Phase 3</x:v>
      </x:c>
      <x:c r="D227" s="2" t="str">
        <x:v>CSBBO - Customer Service</x:v>
      </x:c>
      <x:c r="E227" s="56" t="str">
        <x:v>DI.CS.3.5</x:v>
      </x:c>
      <x:c r="F227" s="14" t="str">
        <x:v>Finalize presentation deck by incorporating pre-socialization feedback (as needed)</x:v>
      </x:c>
      <x:c r="G227" s="5"/>
      <x:c r="H227" s="11"/>
      <x:c r="I227" s="11" t="n">
        <x:f>'Cycles &amp; Guide'!$D$11</x:f>
        <x:v>46203</x:v>
      </x:c>
      <x:c r="J227" s="11"/>
      <x:c r="K227" s="29"/>
      <x:c r="L227" s="2" t="str">
        <x:f>IF(O227=1,"Complete",IF(A227,"Checklist open",IF(H227&lt;&gt;"","In progress","Not started")))</x:f>
        <x:v>Not started</x:v>
      </x:c>
      <x:c r="M227" s="2" t="str">
        <x:v>Task</x:v>
      </x:c>
      <x:c r="N227" s="2" t="str">
        <x:v>DI.CS.3.5.2026.CY2</x:v>
      </x:c>
      <x:c r="O227" s="2" t="n">
        <x:f>R227</x:f>
        <x:v>0</x:v>
      </x:c>
      <x:c r="P227" s="2"/>
      <x:c r="Q227" s="2" t="n">
        <x:v>1</x:v>
      </x:c>
      <x:c r="R227" s="2" t="n">
        <x:f>IF(A227,1,0)</x:f>
        <x:v>0</x:v>
      </x:c>
      <x:c r="S227" s="2" t="n">
        <x:f>SUBTOTAL(103,N227)</x:f>
        <x:v>1</x:v>
      </x:c>
    </x:row>
    <x:row r="228" ht="42" customHeight="1">
      <x:c r="A228" s="28" t="b">
        <x:v>0</x:v>
      </x:c>
      <x:c r="B228" s="2" t="str">
        <x:v>Cycle 2</x:v>
      </x:c>
      <x:c r="C228" s="2" t="str">
        <x:v>Phase 3</x:v>
      </x:c>
      <x:c r="D228" s="2" t="str">
        <x:v>CSBBO - Customer Service</x:v>
      </x:c>
      <x:c r="E228" s="56" t="str">
        <x:v>DI.CS.3.6</x:v>
      </x:c>
      <x:c r="F228" s="14" t="str">
        <x:v>Ensure final deck is communicated to Forum attendees</x:v>
      </x:c>
      <x:c r="G228" s="5"/>
      <x:c r="H228" s="11"/>
      <x:c r="I228" s="11" t="n">
        <x:f>'Cycles &amp; Guide'!$D$11</x:f>
        <x:v>46203</x:v>
      </x:c>
      <x:c r="J228" s="11"/>
      <x:c r="K228" s="29"/>
      <x:c r="L228" s="2" t="str">
        <x:f>IF(O228=1,"Complete",IF(A228,"Checklist open",IF(H228&lt;&gt;"","In progress","Not started")))</x:f>
        <x:v>Not started</x:v>
      </x:c>
      <x:c r="M228" s="2" t="str">
        <x:v>Task</x:v>
      </x:c>
      <x:c r="N228" s="2" t="str">
        <x:v>DI.CS.3.6.2026.CY2</x:v>
      </x:c>
      <x:c r="O228" s="2" t="n">
        <x:f>R228</x:f>
        <x:v>0</x:v>
      </x:c>
      <x:c r="P228" s="2"/>
      <x:c r="Q228" s="2" t="n">
        <x:v>1</x:v>
      </x:c>
      <x:c r="R228" s="2" t="n">
        <x:f>IF(A228,1,0)</x:f>
        <x:v>0</x:v>
      </x:c>
      <x:c r="S228" s="2" t="n">
        <x:f>SUBTOTAL(103,N228)</x:f>
        <x:v>1</x:v>
      </x:c>
    </x:row>
    <x:row r="229" ht="42" customHeight="1">
      <x:c r="A229" s="28" t="b">
        <x:v>0</x:v>
      </x:c>
      <x:c r="B229" s="2" t="str">
        <x:v>Cycle 2</x:v>
      </x:c>
      <x:c r="C229" s="2" t="str">
        <x:v>Phase 3</x:v>
      </x:c>
      <x:c r="D229" s="2" t="str">
        <x:v>CSBBO - Customer Service</x:v>
      </x:c>
      <x:c r="E229" s="56" t="str">
        <x:v>DI.CS.3.7</x:v>
      </x:c>
      <x:c r="F229" s="14" t="str">
        <x:v>Present material in RCA Cycle Forum</x:v>
      </x:c>
      <x:c r="G229" s="5"/>
      <x:c r="H229" s="11"/>
      <x:c r="I229" s="11" t="str">
        <x:f>IF(SUMIFS('Cycles &amp; Guide'!$D$23:$D$50,'Cycles &amp; Guide'!$B$23:$B$50,B229,'Cycles &amp; Guide'!$C$23:$C$50,D229)=0,"",SUMIFS('Cycles &amp; Guide'!$D$23:$D$50,'Cycles &amp; Guide'!$B$23:$B$50,B229,'Cycles &amp; Guide'!$C$23:$C$50,D229))</x:f>
      </x:c>
      <x:c r="J229" s="11"/>
      <x:c r="K229" s="29"/>
      <x:c r="L229" s="2" t="str">
        <x:f>IF(O229=1,"Complete",IF(A229,"Checklist open",IF(H229&lt;&gt;"","In progress","Not started")))</x:f>
        <x:v>Not started</x:v>
      </x:c>
      <x:c r="M229" s="2" t="str">
        <x:v>Task</x:v>
      </x:c>
      <x:c r="N229" s="2" t="str">
        <x:v>DI.CS.3.7.2026.CY2</x:v>
      </x:c>
      <x:c r="O229" s="2" t="n">
        <x:f>R229</x:f>
        <x:v>0</x:v>
      </x:c>
      <x:c r="P229" s="2"/>
      <x:c r="Q229" s="2" t="n">
        <x:v>1</x:v>
      </x:c>
      <x:c r="R229" s="2" t="n">
        <x:f>IF(A229,1,0)</x:f>
        <x:v>0</x:v>
      </x:c>
      <x:c r="S229" s="2" t="n">
        <x:f>SUBTOTAL(103,N229)</x:f>
        <x:v>1</x:v>
      </x:c>
    </x:row>
    <x:row r="230" ht="42" customHeight="1">
      <x:c r="A230" s="28" t="b">
        <x:v>0</x:v>
      </x:c>
      <x:c r="B230" s="2" t="str">
        <x:v>Cycle 2</x:v>
      </x:c>
      <x:c r="C230" s="2" t="str">
        <x:v>Phase 1</x:v>
      </x:c>
      <x:c r="D230" s="2" t="str">
        <x:v>FCM</x:v>
      </x:c>
      <x:c r="E230" s="56" t="str">
        <x:v>DI.FC.1.1</x:v>
      </x:c>
      <x:c r="F230" s="14" t="str">
        <x:v>Receive and review potential research topics at least 2 weeks prior to Cycle start date</x:v>
      </x:c>
      <x:c r="G230" s="5"/>
      <x:c r="H230" s="11"/>
      <x:c r="I230" s="11" t="n">
        <x:f>'Cycles &amp; Guide'!$C$11-14</x:f>
        <x:v>46099</x:v>
      </x:c>
      <x:c r="J230" s="11"/>
      <x:c r="K230" s="29"/>
      <x:c r="L230" s="2" t="str">
        <x:f>IF(O230=1,"Complete",IF(A230,"Checklist open",IF(H230&lt;&gt;"","In progress","Not started")))</x:f>
        <x:v>Not started</x:v>
      </x:c>
      <x:c r="M230" s="2" t="str">
        <x:v>Task</x:v>
      </x:c>
      <x:c r="N230" s="2" t="str">
        <x:v>DI.FC.1.1.2026.CY2</x:v>
      </x:c>
      <x:c r="O230" s="2" t="n">
        <x:f>R230</x:f>
        <x:v>0</x:v>
      </x:c>
      <x:c r="P230" s="2"/>
      <x:c r="Q230" s="2" t="n">
        <x:v>1</x:v>
      </x:c>
      <x:c r="R230" s="2" t="n">
        <x:f>IF(A230,1,0)</x:f>
        <x:v>0</x:v>
      </x:c>
      <x:c r="S230" s="2" t="n">
        <x:f>SUBTOTAL(103,N230)</x:f>
        <x:v>1</x:v>
      </x:c>
    </x:row>
    <x:row r="231" ht="42" customHeight="1">
      <x:c r="A231" s="28" t="b">
        <x:v>0</x:v>
      </x:c>
      <x:c r="B231" s="2" t="str">
        <x:v>Cycle 2</x:v>
      </x:c>
      <x:c r="C231" s="2" t="str">
        <x:v>Phase 1</x:v>
      </x:c>
      <x:c r="D231" s="2" t="str">
        <x:v>FCM</x:v>
      </x:c>
      <x:c r="E231" s="56" t="str">
        <x:v>DI.FC.1.2</x:v>
      </x:c>
      <x:c r="F231" s="14" t="str">
        <x:v>Communicate any feedback on preferences or concerns with topics identified</x:v>
      </x:c>
      <x:c r="G231" s="5"/>
      <x:c r="H231" s="11"/>
      <x:c r="I231" s="11" t="n">
        <x:f>'Cycles &amp; Guide'!$D$11</x:f>
        <x:v>46203</x:v>
      </x:c>
      <x:c r="J231" s="11"/>
      <x:c r="K231" s="29"/>
      <x:c r="L231" s="2" t="str">
        <x:f>IF(O231=1,"Complete",IF(A231,"Checklist open",IF(H231&lt;&gt;"","In progress","Not started")))</x:f>
        <x:v>Not started</x:v>
      </x:c>
      <x:c r="M231" s="2" t="str">
        <x:v>Task</x:v>
      </x:c>
      <x:c r="N231" s="2" t="str">
        <x:v>DI.FC.1.2.2026.CY2</x:v>
      </x:c>
      <x:c r="O231" s="2" t="n">
        <x:f>R231</x:f>
        <x:v>0</x:v>
      </x:c>
      <x:c r="P231" s="2"/>
      <x:c r="Q231" s="2" t="n">
        <x:v>1</x:v>
      </x:c>
      <x:c r="R231" s="2" t="n">
        <x:f>IF(A231,1,0)</x:f>
        <x:v>0</x:v>
      </x:c>
      <x:c r="S231" s="2" t="n">
        <x:f>SUBTOTAL(103,N231)</x:f>
        <x:v>1</x:v>
      </x:c>
    </x:row>
    <x:row r="232" ht="42" customHeight="1">
      <x:c r="A232" s="28" t="b">
        <x:v>0</x:v>
      </x:c>
      <x:c r="B232" s="2" t="str">
        <x:v>Cycle 2</x:v>
      </x:c>
      <x:c r="C232" s="2" t="str">
        <x:v>Phase 1</x:v>
      </x:c>
      <x:c r="D232" s="2" t="str">
        <x:v>FCM</x:v>
      </x:c>
      <x:c r="E232" s="56" t="str">
        <x:v>DI.FC.1.3</x:v>
      </x:c>
      <x:c r="F232" s="14" t="str">
        <x:v>Conduct high-level preliminary review of complaints within proposed topics</x:v>
      </x:c>
      <x:c r="G232" s="5"/>
      <x:c r="H232" s="11"/>
      <x:c r="I232" s="11" t="n">
        <x:f>'Cycles &amp; Guide'!$D$11</x:f>
        <x:v>46203</x:v>
      </x:c>
      <x:c r="J232" s="11"/>
      <x:c r="K232" s="29"/>
      <x:c r="L232" s="2" t="str">
        <x:f>IF(O232=1,"Complete",IF(A232,"Checklist open",IF(H232&lt;&gt;"","In progress","Not started")))</x:f>
        <x:v>Not started</x:v>
      </x:c>
      <x:c r="M232" s="2" t="str">
        <x:v>Task</x:v>
      </x:c>
      <x:c r="N232" s="2" t="str">
        <x:v>DI.FC.1.3.2026.CY2</x:v>
      </x:c>
      <x:c r="O232" s="2" t="n">
        <x:f>R232</x:f>
        <x:v>0</x:v>
      </x:c>
      <x:c r="P232" s="2"/>
      <x:c r="Q232" s="2" t="n">
        <x:v>1</x:v>
      </x:c>
      <x:c r="R232" s="2" t="n">
        <x:f>IF(A232,1,0)</x:f>
        <x:v>0</x:v>
      </x:c>
      <x:c r="S232" s="2" t="n">
        <x:f>SUBTOTAL(103,N232)</x:f>
        <x:v>1</x:v>
      </x:c>
    </x:row>
    <x:row r="233" ht="42" customHeight="1">
      <x:c r="A233" s="28" t="b">
        <x:v>0</x:v>
      </x:c>
      <x:c r="B233" s="2" t="str">
        <x:v>Cycle 2</x:v>
      </x:c>
      <x:c r="C233" s="2" t="str">
        <x:v>Phase 1</x:v>
      </x:c>
      <x:c r="D233" s="2" t="str">
        <x:v>FCM</x:v>
      </x:c>
      <x:c r="E233" s="56" t="str">
        <x:v>DI.FC.1.4</x:v>
      </x:c>
      <x:c r="F233" s="14" t="str">
        <x:v>Meet with Research to discuss which topic to select based on potential impact</x:v>
      </x:c>
      <x:c r="G233" s="5"/>
      <x:c r="H233" s="11"/>
      <x:c r="I233" s="11" t="n">
        <x:f>'Cycles &amp; Guide'!$D$11</x:f>
        <x:v>46203</x:v>
      </x:c>
      <x:c r="J233" s="11"/>
      <x:c r="K233" s="29"/>
      <x:c r="L233" s="2" t="str">
        <x:f>IF(O233=1,"Complete",IF(A233,"Checklist open",IF(H233&lt;&gt;"","In progress","Not started")))</x:f>
        <x:v>Not started</x:v>
      </x:c>
      <x:c r="M233" s="2" t="str">
        <x:v>Task</x:v>
      </x:c>
      <x:c r="N233" s="2" t="str">
        <x:v>DI.FC.1.4.2026.CY2</x:v>
      </x:c>
      <x:c r="O233" s="2" t="n">
        <x:f>R233</x:f>
        <x:v>0</x:v>
      </x:c>
      <x:c r="P233" s="2"/>
      <x:c r="Q233" s="2" t="n">
        <x:v>1</x:v>
      </x:c>
      <x:c r="R233" s="2" t="n">
        <x:f>IF(A233,1,0)</x:f>
        <x:v>0</x:v>
      </x:c>
      <x:c r="S233" s="2" t="n">
        <x:f>SUBTOTAL(103,N233)</x:f>
        <x:v>1</x:v>
      </x:c>
    </x:row>
    <x:row r="234" ht="42" customHeight="1">
      <x:c r="A234" s="28" t="b">
        <x:v>0</x:v>
      </x:c>
      <x:c r="B234" s="2" t="str">
        <x:v>Cycle 2</x:v>
      </x:c>
      <x:c r="C234" s="2" t="str">
        <x:v>Phase 1</x:v>
      </x:c>
      <x:c r="D234" s="2" t="str">
        <x:v>FCM</x:v>
      </x:c>
      <x:c r="E234" s="56" t="str">
        <x:v>DI.FC.1.5</x:v>
      </x:c>
      <x:c r="F234" s="14" t="str">
        <x:v>Confirm with Research the recommended topic for approval</x:v>
      </x:c>
      <x:c r="G234" s="5"/>
      <x:c r="H234" s="11"/>
      <x:c r="I234" s="11" t="n">
        <x:f>'Cycles &amp; Guide'!$D$11</x:f>
        <x:v>46203</x:v>
      </x:c>
      <x:c r="J234" s="11"/>
      <x:c r="K234" s="29"/>
      <x:c r="L234" s="2" t="str">
        <x:f>IF(O234=1,"Complete",IF(A234,"Checklist open",IF(H234&lt;&gt;"","In progress","Not started")))</x:f>
        <x:v>Not started</x:v>
      </x:c>
      <x:c r="M234" s="2" t="str">
        <x:v>Task</x:v>
      </x:c>
      <x:c r="N234" s="2" t="str">
        <x:v>DI.FC.1.5.2026.CY2</x:v>
      </x:c>
      <x:c r="O234" s="2" t="n">
        <x:f>R234</x:f>
        <x:v>0</x:v>
      </x:c>
      <x:c r="P234" s="2"/>
      <x:c r="Q234" s="2" t="n">
        <x:v>1</x:v>
      </x:c>
      <x:c r="R234" s="2" t="n">
        <x:f>IF(A234,1,0)</x:f>
        <x:v>0</x:v>
      </x:c>
      <x:c r="S234" s="2" t="n">
        <x:f>SUBTOTAL(103,N234)</x:f>
        <x:v>1</x:v>
      </x:c>
    </x:row>
    <x:row r="235" ht="42" customHeight="1">
      <x:c r="A235" s="28" t="b">
        <x:v>0</x:v>
      </x:c>
      <x:c r="B235" s="2" t="str">
        <x:v>Cycle 2</x:v>
      </x:c>
      <x:c r="C235" s="2" t="str">
        <x:v>Phase 1</x:v>
      </x:c>
      <x:c r="D235" s="2" t="str">
        <x:v>FCM</x:v>
      </x:c>
      <x:c r="E235" s="56" t="str">
        <x:v>DI.FC.1.6</x:v>
      </x:c>
      <x:c r="F235" s="14" t="str">
        <x:v>Send topic selection socialization email to all key stakeholders on the first day of the review Cycle</x:v>
      </x:c>
      <x:c r="G235" s="5"/>
      <x:c r="H235" s="11"/>
      <x:c r="I235" s="11" t="n">
        <x:f>'Cycles &amp; Guide'!$C$11</x:f>
        <x:v>46113</x:v>
      </x:c>
      <x:c r="J235" s="11"/>
      <x:c r="K235" s="29"/>
      <x:c r="L235" s="2" t="str">
        <x:f>IF(O235=1,"Complete",IF(A235,"Checklist open",IF(H235&lt;&gt;"","In progress","Not started")))</x:f>
        <x:v>Not started</x:v>
      </x:c>
      <x:c r="M235" s="2" t="str">
        <x:v>Task</x:v>
      </x:c>
      <x:c r="N235" s="2" t="str">
        <x:v>DI.FC.1.6.2026.CY2</x:v>
      </x:c>
      <x:c r="O235" s="2" t="n">
        <x:f>R235</x:f>
        <x:v>0</x:v>
      </x:c>
      <x:c r="P235" s="2"/>
      <x:c r="Q235" s="2" t="n">
        <x:v>1</x:v>
      </x:c>
      <x:c r="R235" s="2" t="n">
        <x:f>IF(A235,1,0)</x:f>
        <x:v>0</x:v>
      </x:c>
      <x:c r="S235" s="2" t="n">
        <x:f>SUBTOTAL(103,N235)</x:f>
        <x:v>1</x:v>
      </x:c>
    </x:row>
    <x:row r="236" ht="42" customHeight="1">
      <x:c r="A236" s="28" t="b">
        <x:v>0</x:v>
      </x:c>
      <x:c r="B236" s="2" t="str">
        <x:v>Cycle 2</x:v>
      </x:c>
      <x:c r="C236" s="2" t="str">
        <x:v>Phase 2</x:v>
      </x:c>
      <x:c r="D236" s="2" t="str">
        <x:v>FCM</x:v>
      </x:c>
      <x:c r="E236" s="56" t="str">
        <x:v>DI.FC.2.1</x:v>
      </x:c>
      <x:c r="F236" s="14" t="str">
        <x:v>Meet regularly with Research to stay informed on progress, findings, and potential enhancement</x:v>
      </x:c>
      <x:c r="G236" s="5"/>
      <x:c r="H236" s="11"/>
      <x:c r="I236" s="11" t="n">
        <x:f>'Cycles &amp; Guide'!$D$11</x:f>
        <x:v>46203</x:v>
      </x:c>
      <x:c r="J236" s="11"/>
      <x:c r="K236" s="29"/>
      <x:c r="L236" s="2" t="str">
        <x:f>IF(O236=1,"Complete",IF(A236,"Checklist open",IF(H236&lt;&gt;"","In progress","Not started")))</x:f>
        <x:v>Not started</x:v>
      </x:c>
      <x:c r="M236" s="2" t="str">
        <x:v>Task</x:v>
      </x:c>
      <x:c r="N236" s="2" t="str">
        <x:v>DI.FC.2.1.2026.CY2</x:v>
      </x:c>
      <x:c r="O236" s="2" t="n">
        <x:f>R236</x:f>
        <x:v>0</x:v>
      </x:c>
      <x:c r="P236" s="2"/>
      <x:c r="Q236" s="2" t="n">
        <x:v>1</x:v>
      </x:c>
      <x:c r="R236" s="2" t="n">
        <x:f>IF(A236,1,0)</x:f>
        <x:v>0</x:v>
      </x:c>
      <x:c r="S236" s="2" t="n">
        <x:f>SUBTOTAL(103,N236)</x:f>
        <x:v>1</x:v>
      </x:c>
    </x:row>
    <x:row r="237" ht="42" customHeight="1">
      <x:c r="A237" s="28" t="b">
        <x:v>0</x:v>
      </x:c>
      <x:c r="B237" s="2" t="str">
        <x:v>Cycle 2</x:v>
      </x:c>
      <x:c r="C237" s="2" t="str">
        <x:v>Phase 2</x:v>
      </x:c>
      <x:c r="D237" s="2" t="str">
        <x:v>FCM</x:v>
      </x:c>
      <x:c r="E237" s="56" t="str">
        <x:v>DI.FC.2.2</x:v>
      </x:c>
      <x:c r="F237" s="14" t="str">
        <x:v>Collaborate with Research on research plan specifics</x:v>
      </x:c>
      <x:c r="G237" s="5"/>
      <x:c r="H237" s="11"/>
      <x:c r="I237" s="11" t="n">
        <x:f>'Cycles &amp; Guide'!$D$11</x:f>
        <x:v>46203</x:v>
      </x:c>
      <x:c r="J237" s="11"/>
      <x:c r="K237" s="29"/>
      <x:c r="L237" s="2" t="str">
        <x:f>IF(O237=1,"Complete",IF(A237,"Checklist open",IF(H237&lt;&gt;"","In progress","Not started")))</x:f>
        <x:v>Not started</x:v>
      </x:c>
      <x:c r="M237" s="2" t="str">
        <x:v>Task</x:v>
      </x:c>
      <x:c r="N237" s="2" t="str">
        <x:v>DI.FC.2.2.2026.CY2</x:v>
      </x:c>
      <x:c r="O237" s="2" t="n">
        <x:f>R237</x:f>
        <x:v>0</x:v>
      </x:c>
      <x:c r="P237" s="2"/>
      <x:c r="Q237" s="2" t="n">
        <x:v>1</x:v>
      </x:c>
      <x:c r="R237" s="2" t="n">
        <x:f>IF(A237,1,0)</x:f>
        <x:v>0</x:v>
      </x:c>
      <x:c r="S237" s="2" t="n">
        <x:f>SUBTOTAL(103,N237)</x:f>
        <x:v>1</x:v>
      </x:c>
    </x:row>
    <x:row r="238" ht="42" customHeight="1">
      <x:c r="A238" s="28" t="b">
        <x:v>0</x:v>
      </x:c>
      <x:c r="B238" s="2" t="str">
        <x:v>Cycle 2</x:v>
      </x:c>
      <x:c r="C238" s="2" t="str">
        <x:v>Phase 2</x:v>
      </x:c>
      <x:c r="D238" s="2" t="str">
        <x:v>FCM</x:v>
      </x:c>
      <x:c r="E238" s="56" t="str">
        <x:v>DI.FC.2.3</x:v>
      </x:c>
      <x:c r="F238" s="14" t="str">
        <x:v>Participate in SME insight meetings to gain perspective and appetite on potential enhancements</x:v>
      </x:c>
      <x:c r="G238" s="5"/>
      <x:c r="H238" s="11"/>
      <x:c r="I238" s="11" t="n">
        <x:f>'Cycles &amp; Guide'!$D$11</x:f>
        <x:v>46203</x:v>
      </x:c>
      <x:c r="J238" s="11"/>
      <x:c r="K238" s="29"/>
      <x:c r="L238" s="2" t="str">
        <x:f>IF(O238=1,"Complete",IF(A238,"Checklist open",IF(H238&lt;&gt;"","In progress","Not started")))</x:f>
        <x:v>Not started</x:v>
      </x:c>
      <x:c r="M238" s="2" t="str">
        <x:v>Task</x:v>
      </x:c>
      <x:c r="N238" s="2" t="str">
        <x:v>DI.FC.2.3.2026.CY2</x:v>
      </x:c>
      <x:c r="O238" s="2" t="n">
        <x:f>R238</x:f>
        <x:v>0</x:v>
      </x:c>
      <x:c r="P238" s="2"/>
      <x:c r="Q238" s="2" t="n">
        <x:v>1</x:v>
      </x:c>
      <x:c r="R238" s="2" t="n">
        <x:f>IF(A238,1,0)</x:f>
        <x:v>0</x:v>
      </x:c>
      <x:c r="S238" s="2" t="n">
        <x:f>SUBTOTAL(103,N238)</x:f>
        <x:v>1</x:v>
      </x:c>
    </x:row>
    <x:row r="239" ht="42" customHeight="1">
      <x:c r="A239" s="28" t="b">
        <x:v>0</x:v>
      </x:c>
      <x:c r="B239" s="2" t="str">
        <x:v>Cycle 2</x:v>
      </x:c>
      <x:c r="C239" s="2" t="str">
        <x:v>Phase 2</x:v>
      </x:c>
      <x:c r="D239" s="2" t="str">
        <x:v>FCM</x:v>
      </x:c>
      <x:c r="E239" s="56" t="str">
        <x:v>DI.FC.2.4</x:v>
      </x:c>
      <x:c r="F239" s="14" t="str">
        <x:v>Begin development of presentation materials as Research is being completed</x:v>
      </x:c>
      <x:c r="G239" s="5"/>
      <x:c r="H239" s="11"/>
      <x:c r="I239" s="11" t="n">
        <x:f>'Cycles &amp; Guide'!$D$11</x:f>
        <x:v>46203</x:v>
      </x:c>
      <x:c r="J239" s="11"/>
      <x:c r="K239" s="29"/>
      <x:c r="L239" s="2" t="str">
        <x:f>IF(O239=1,"Complete",IF(A239,"Checklist open",IF(H239&lt;&gt;"","In progress","Not started")))</x:f>
        <x:v>Not started</x:v>
      </x:c>
      <x:c r="M239" s="2" t="str">
        <x:v>Task</x:v>
      </x:c>
      <x:c r="N239" s="2" t="str">
        <x:v>DI.FC.2.4.2026.CY2</x:v>
      </x:c>
      <x:c r="O239" s="2" t="n">
        <x:f>R239</x:f>
        <x:v>0</x:v>
      </x:c>
      <x:c r="P239" s="2"/>
      <x:c r="Q239" s="2" t="n">
        <x:v>1</x:v>
      </x:c>
      <x:c r="R239" s="2" t="n">
        <x:f>IF(A239,1,0)</x:f>
        <x:v>0</x:v>
      </x:c>
      <x:c r="S239" s="2" t="n">
        <x:f>SUBTOTAL(103,N239)</x:f>
        <x:v>1</x:v>
      </x:c>
    </x:row>
    <x:row r="240" ht="42" customHeight="1">
      <x:c r="A240" s="28" t="b">
        <x:v>0</x:v>
      </x:c>
      <x:c r="B240" s="2" t="str">
        <x:v>Cycle 2</x:v>
      </x:c>
      <x:c r="C240" s="2" t="str">
        <x:v>Phase 2</x:v>
      </x:c>
      <x:c r="D240" s="2" t="str">
        <x:v>FCM</x:v>
      </x:c>
      <x:c r="E240" s="56" t="str">
        <x:v>DI.FC.2.5</x:v>
      </x:c>
      <x:c r="F240" s="14" t="str">
        <x:v>Draft initial enhancement recommendations (as applicable)</x:v>
      </x:c>
      <x:c r="G240" s="5"/>
      <x:c r="H240" s="11"/>
      <x:c r="I240" s="11" t="n">
        <x:f>'Cycles &amp; Guide'!$D$11</x:f>
        <x:v>46203</x:v>
      </x:c>
      <x:c r="J240" s="11"/>
      <x:c r="K240" s="29"/>
      <x:c r="L240" s="2" t="str">
        <x:f>IF(O240=1,"Complete",IF(A240,"Checklist open",IF(H240&lt;&gt;"","In progress","Not started")))</x:f>
        <x:v>Not started</x:v>
      </x:c>
      <x:c r="M240" s="2" t="str">
        <x:v>Task</x:v>
      </x:c>
      <x:c r="N240" s="2" t="str">
        <x:v>DI.FC.2.5.2026.CY2</x:v>
      </x:c>
      <x:c r="O240" s="2" t="n">
        <x:f>R240</x:f>
        <x:v>0</x:v>
      </x:c>
      <x:c r="P240" s="2"/>
      <x:c r="Q240" s="2" t="n">
        <x:v>1</x:v>
      </x:c>
      <x:c r="R240" s="2" t="n">
        <x:f>IF(A240,1,0)</x:f>
        <x:v>0</x:v>
      </x:c>
      <x:c r="S240" s="2" t="n">
        <x:f>SUBTOTAL(103,N240)</x:f>
        <x:v>1</x:v>
      </x:c>
    </x:row>
    <x:row r="241" ht="42" customHeight="1">
      <x:c r="A241" s="28" t="b">
        <x:v>0</x:v>
      </x:c>
      <x:c r="B241" s="2" t="str">
        <x:v>Cycle 2</x:v>
      </x:c>
      <x:c r="C241" s="2" t="str">
        <x:v>Phase 2</x:v>
      </x:c>
      <x:c r="D241" s="2" t="str">
        <x:v>FCM</x:v>
      </x:c>
      <x:c r="E241" s="56" t="str">
        <x:v>DI.FC.2.6</x:v>
      </x:c>
      <x:c r="F241" s="14" t="str">
        <x:v>Finalize presentation deck draft at conclusion of Research phase</x:v>
      </x:c>
      <x:c r="G241" s="5"/>
      <x:c r="H241" s="11"/>
      <x:c r="I241" s="11" t="n">
        <x:f>'Cycles &amp; Guide'!$D$11</x:f>
        <x:v>46203</x:v>
      </x:c>
      <x:c r="J241" s="11"/>
      <x:c r="K241" s="29"/>
      <x:c r="L241" s="2" t="str">
        <x:f>IF(O241=1,"Complete",IF(A241,"Checklist open",IF(H241&lt;&gt;"","In progress","Not started")))</x:f>
        <x:v>Not started</x:v>
      </x:c>
      <x:c r="M241" s="2" t="str">
        <x:v>Task</x:v>
      </x:c>
      <x:c r="N241" s="2" t="str">
        <x:v>DI.FC.2.6.2026.CY2</x:v>
      </x:c>
      <x:c r="O241" s="2" t="n">
        <x:f>R241</x:f>
        <x:v>0</x:v>
      </x:c>
      <x:c r="P241" s="2"/>
      <x:c r="Q241" s="2" t="n">
        <x:v>1</x:v>
      </x:c>
      <x:c r="R241" s="2" t="n">
        <x:f>IF(A241,1,0)</x:f>
        <x:v>0</x:v>
      </x:c>
      <x:c r="S241" s="2" t="n">
        <x:f>SUBTOTAL(103,N241)</x:f>
        <x:v>1</x:v>
      </x:c>
    </x:row>
    <x:row r="242" ht="42" customHeight="1">
      <x:c r="A242" s="28" t="b">
        <x:v>0</x:v>
      </x:c>
      <x:c r="B242" s="2" t="str">
        <x:v>Cycle 2</x:v>
      </x:c>
      <x:c r="C242" s="2" t="str">
        <x:v>Phase 2</x:v>
      </x:c>
      <x:c r="D242" s="2" t="str">
        <x:v>FCM</x:v>
      </x:c>
      <x:c r="E242" s="56" t="str">
        <x:v>DI.FC.2.7</x:v>
      </x:c>
      <x:c r="F242" s="14" t="str">
        <x:v>Update Outcome portion of research plan with current enhancement verbiage (as needed)</x:v>
      </x:c>
      <x:c r="G242" s="5"/>
      <x:c r="H242" s="11"/>
      <x:c r="I242" s="11" t="n">
        <x:f>'Cycles &amp; Guide'!$D$11</x:f>
        <x:v>46203</x:v>
      </x:c>
      <x:c r="J242" s="11"/>
      <x:c r="K242" s="29"/>
      <x:c r="L242" s="2" t="str">
        <x:f>IF(O242=1,"Complete",IF(A242,"Checklist open",IF(H242&lt;&gt;"","In progress","Not started")))</x:f>
        <x:v>Not started</x:v>
      </x:c>
      <x:c r="M242" s="2" t="str">
        <x:v>Task</x:v>
      </x:c>
      <x:c r="N242" s="2" t="str">
        <x:v>DI.FC.2.7.2026.CY2</x:v>
      </x:c>
      <x:c r="O242" s="2" t="n">
        <x:f>R242</x:f>
        <x:v>0</x:v>
      </x:c>
      <x:c r="P242" s="2"/>
      <x:c r="Q242" s="2" t="n">
        <x:v>1</x:v>
      </x:c>
      <x:c r="R242" s="2" t="n">
        <x:f>IF(A242,1,0)</x:f>
        <x:v>0</x:v>
      </x:c>
      <x:c r="S242" s="2" t="n">
        <x:f>SUBTOTAL(103,N242)</x:f>
        <x:v>1</x:v>
      </x:c>
    </x:row>
    <x:row r="243" ht="42" customHeight="1">
      <x:c r="A243" s="28" t="b">
        <x:v>0</x:v>
      </x:c>
      <x:c r="B243" s="2" t="str">
        <x:v>Cycle 2</x:v>
      </x:c>
      <x:c r="C243" s="2" t="str">
        <x:v>Phase 3</x:v>
      </x:c>
      <x:c r="D243" s="2" t="str">
        <x:v>FCM</x:v>
      </x:c>
      <x:c r="E243" s="56" t="str">
        <x:v>DI.FC.3.1</x:v>
      </x:c>
      <x:c r="F243" s="14" t="str">
        <x:v>Confirm list of required &amp; optional attendees for pre-socialization meeting</x:v>
      </x:c>
      <x:c r="G243" s="5"/>
      <x:c r="H243" s="11"/>
      <x:c r="I243" s="11" t="n">
        <x:f>'Cycles &amp; Guide'!$D$11</x:f>
        <x:v>46203</x:v>
      </x:c>
      <x:c r="J243" s="11"/>
      <x:c r="K243" s="29"/>
      <x:c r="L243" s="2" t="str">
        <x:f>IF(O243=1,"Complete",IF(A243,"Checklist open",IF(H243&lt;&gt;"","In progress","Not started")))</x:f>
        <x:v>Not started</x:v>
      </x:c>
      <x:c r="M243" s="2" t="str">
        <x:v>Task</x:v>
      </x:c>
      <x:c r="N243" s="2" t="str">
        <x:v>DI.FC.3.1.2026.CY2</x:v>
      </x:c>
      <x:c r="O243" s="2" t="n">
        <x:f>R243</x:f>
        <x:v>0</x:v>
      </x:c>
      <x:c r="P243" s="2"/>
      <x:c r="Q243" s="2" t="n">
        <x:v>1</x:v>
      </x:c>
      <x:c r="R243" s="2" t="n">
        <x:f>IF(A243,1,0)</x:f>
        <x:v>0</x:v>
      </x:c>
      <x:c r="S243" s="2" t="n">
        <x:f>SUBTOTAL(103,N243)</x:f>
        <x:v>1</x:v>
      </x:c>
    </x:row>
    <x:row r="244" ht="42" customHeight="1">
      <x:c r="A244" s="28" t="b">
        <x:v>0</x:v>
      </x:c>
      <x:c r="B244" s="2" t="str">
        <x:v>Cycle 2</x:v>
      </x:c>
      <x:c r="C244" s="2" t="str">
        <x:v>Phase 3</x:v>
      </x:c>
      <x:c r="D244" s="2" t="str">
        <x:v>FCM</x:v>
      </x:c>
      <x:c r="E244" s="56" t="str">
        <x:v>DI.FC.3.2</x:v>
      </x:c>
      <x:c r="F244" s="14" t="str">
        <x:v>Schedule pre-socialization meeting 1 week prior to RCA Forum</x:v>
      </x:c>
      <x:c r="G244" s="5"/>
      <x:c r="H244" s="11"/>
      <x:c r="I244" s="11" t="str">
        <x:f>IF(SUMIFS('Cycles &amp; Guide'!$D$23:$D$50,'Cycles &amp; Guide'!$B$23:$B$50,B244,'Cycles &amp; Guide'!$C$23:$C$50,D244)=0,"",SUMIFS('Cycles &amp; Guide'!$D$23:$D$50,'Cycles &amp; Guide'!$B$23:$B$50,B244,'Cycles &amp; Guide'!$C$23:$C$50,D244)-7)</x:f>
      </x:c>
      <x:c r="J244" s="11"/>
      <x:c r="K244" s="29"/>
      <x:c r="L244" s="2" t="str">
        <x:f>IF(O244=1,"Complete",IF(A244,"Checklist open",IF(H244&lt;&gt;"","In progress","Not started")))</x:f>
        <x:v>Not started</x:v>
      </x:c>
      <x:c r="M244" s="2" t="str">
        <x:v>Task</x:v>
      </x:c>
      <x:c r="N244" s="2" t="str">
        <x:v>DI.FC.3.2.2026.CY2</x:v>
      </x:c>
      <x:c r="O244" s="2" t="n">
        <x:f>R244</x:f>
        <x:v>0</x:v>
      </x:c>
      <x:c r="P244" s="2"/>
      <x:c r="Q244" s="2" t="n">
        <x:v>1</x:v>
      </x:c>
      <x:c r="R244" s="2" t="n">
        <x:f>IF(A244,1,0)</x:f>
        <x:v>0</x:v>
      </x:c>
      <x:c r="S244" s="2" t="n">
        <x:f>SUBTOTAL(103,N244)</x:f>
        <x:v>1</x:v>
      </x:c>
    </x:row>
    <x:row r="245" ht="42" customHeight="1">
      <x:c r="A245" s="28" t="b">
        <x:v>0</x:v>
      </x:c>
      <x:c r="B245" s="2" t="str">
        <x:v>Cycle 2</x:v>
      </x:c>
      <x:c r="C245" s="2" t="str">
        <x:v>Phase 3</x:v>
      </x:c>
      <x:c r="D245" s="2" t="str">
        <x:v>FCM</x:v>
      </x:c>
      <x:c r="E245" s="56" t="str">
        <x:v>DI.FC.3.3</x:v>
      </x:c>
      <x:c r="F245" s="14" t="str">
        <x:v>Present findings, conclusions, and recommendation to SMEs</x:v>
      </x:c>
      <x:c r="G245" s="5"/>
      <x:c r="H245" s="11"/>
      <x:c r="I245" s="11" t="n">
        <x:f>'Cycles &amp; Guide'!$D$11</x:f>
        <x:v>46203</x:v>
      </x:c>
      <x:c r="J245" s="11"/>
      <x:c r="K245" s="29"/>
      <x:c r="L245" s="2" t="str">
        <x:f>IF(O245=1,"Complete",IF(A245,"Checklist open",IF(H245&lt;&gt;"","In progress","Not started")))</x:f>
        <x:v>Not started</x:v>
      </x:c>
      <x:c r="M245" s="2" t="str">
        <x:v>Task</x:v>
      </x:c>
      <x:c r="N245" s="2" t="str">
        <x:v>DI.FC.3.3.2026.CY2</x:v>
      </x:c>
      <x:c r="O245" s="2" t="n">
        <x:f>R245</x:f>
        <x:v>0</x:v>
      </x:c>
      <x:c r="P245" s="2"/>
      <x:c r="Q245" s="2" t="n">
        <x:v>1</x:v>
      </x:c>
      <x:c r="R245" s="2" t="n">
        <x:f>IF(A245,1,0)</x:f>
        <x:v>0</x:v>
      </x:c>
      <x:c r="S245" s="2" t="n">
        <x:f>SUBTOTAL(103,N245)</x:f>
        <x:v>1</x:v>
      </x:c>
    </x:row>
    <x:row r="246" ht="42" customHeight="1">
      <x:c r="A246" s="28" t="b">
        <x:v>0</x:v>
      </x:c>
      <x:c r="B246" s="2" t="str">
        <x:v>Cycle 2</x:v>
      </x:c>
      <x:c r="C246" s="2" t="str">
        <x:v>Phase 3</x:v>
      </x:c>
      <x:c r="D246" s="2" t="str">
        <x:v>FCM</x:v>
      </x:c>
      <x:c r="E246" s="56" t="str">
        <x:v>DI.FC.3.4</x:v>
      </x:c>
      <x:c r="F246" s="14" t="str">
        <x:v>Update Outcome portion of research plan (as needed)</x:v>
      </x:c>
      <x:c r="G246" s="5"/>
      <x:c r="H246" s="11"/>
      <x:c r="I246" s="11" t="n">
        <x:f>'Cycles &amp; Guide'!$D$11</x:f>
        <x:v>46203</x:v>
      </x:c>
      <x:c r="J246" s="11"/>
      <x:c r="K246" s="29"/>
      <x:c r="L246" s="2" t="str">
        <x:f>IF(O246=1,"Complete",IF(A246,"Checklist open",IF(H246&lt;&gt;"","In progress","Not started")))</x:f>
        <x:v>Not started</x:v>
      </x:c>
      <x:c r="M246" s="2" t="str">
        <x:v>Task</x:v>
      </x:c>
      <x:c r="N246" s="2" t="str">
        <x:v>DI.FC.3.4.2026.CY2</x:v>
      </x:c>
      <x:c r="O246" s="2" t="n">
        <x:f>R246</x:f>
        <x:v>0</x:v>
      </x:c>
      <x:c r="P246" s="2"/>
      <x:c r="Q246" s="2" t="n">
        <x:v>1</x:v>
      </x:c>
      <x:c r="R246" s="2" t="n">
        <x:f>IF(A246,1,0)</x:f>
        <x:v>0</x:v>
      </x:c>
      <x:c r="S246" s="2" t="n">
        <x:f>SUBTOTAL(103,N246)</x:f>
        <x:v>1</x:v>
      </x:c>
    </x:row>
    <x:row r="247" ht="42" customHeight="1">
      <x:c r="A247" s="28" t="b">
        <x:v>0</x:v>
      </x:c>
      <x:c r="B247" s="2" t="str">
        <x:v>Cycle 2</x:v>
      </x:c>
      <x:c r="C247" s="2" t="str">
        <x:v>Phase 3</x:v>
      </x:c>
      <x:c r="D247" s="2" t="str">
        <x:v>FCM</x:v>
      </x:c>
      <x:c r="E247" s="56" t="str">
        <x:v>DI.FC.3.5</x:v>
      </x:c>
      <x:c r="F247" s="14" t="str">
        <x:v>Finalize presentation deck by incorporating pre-socialization feedback (as needed)</x:v>
      </x:c>
      <x:c r="G247" s="5"/>
      <x:c r="H247" s="11"/>
      <x:c r="I247" s="11" t="n">
        <x:f>'Cycles &amp; Guide'!$D$11</x:f>
        <x:v>46203</x:v>
      </x:c>
      <x:c r="J247" s="11"/>
      <x:c r="K247" s="29"/>
      <x:c r="L247" s="2" t="str">
        <x:f>IF(O247=1,"Complete",IF(A247,"Checklist open",IF(H247&lt;&gt;"","In progress","Not started")))</x:f>
        <x:v>Not started</x:v>
      </x:c>
      <x:c r="M247" s="2" t="str">
        <x:v>Task</x:v>
      </x:c>
      <x:c r="N247" s="2" t="str">
        <x:v>DI.FC.3.5.2026.CY2</x:v>
      </x:c>
      <x:c r="O247" s="2" t="n">
        <x:f>R247</x:f>
        <x:v>0</x:v>
      </x:c>
      <x:c r="P247" s="2"/>
      <x:c r="Q247" s="2" t="n">
        <x:v>1</x:v>
      </x:c>
      <x:c r="R247" s="2" t="n">
        <x:f>IF(A247,1,0)</x:f>
        <x:v>0</x:v>
      </x:c>
      <x:c r="S247" s="2" t="n">
        <x:f>SUBTOTAL(103,N247)</x:f>
        <x:v>1</x:v>
      </x:c>
    </x:row>
    <x:row r="248" ht="42" customHeight="1">
      <x:c r="A248" s="28" t="b">
        <x:v>0</x:v>
      </x:c>
      <x:c r="B248" s="2" t="str">
        <x:v>Cycle 2</x:v>
      </x:c>
      <x:c r="C248" s="2" t="str">
        <x:v>Phase 3</x:v>
      </x:c>
      <x:c r="D248" s="2" t="str">
        <x:v>FCM</x:v>
      </x:c>
      <x:c r="E248" s="56" t="str">
        <x:v>DI.FC.3.6</x:v>
      </x:c>
      <x:c r="F248" s="14" t="str">
        <x:v>Ensure final deck is communicated to Forum attendees</x:v>
      </x:c>
      <x:c r="G248" s="5"/>
      <x:c r="H248" s="11"/>
      <x:c r="I248" s="11" t="n">
        <x:f>'Cycles &amp; Guide'!$D$11</x:f>
        <x:v>46203</x:v>
      </x:c>
      <x:c r="J248" s="11"/>
      <x:c r="K248" s="29"/>
      <x:c r="L248" s="2" t="str">
        <x:f>IF(O248=1,"Complete",IF(A248,"Checklist open",IF(H248&lt;&gt;"","In progress","Not started")))</x:f>
        <x:v>Not started</x:v>
      </x:c>
      <x:c r="M248" s="2" t="str">
        <x:v>Task</x:v>
      </x:c>
      <x:c r="N248" s="2" t="str">
        <x:v>DI.FC.3.6.2026.CY2</x:v>
      </x:c>
      <x:c r="O248" s="2" t="n">
        <x:f>R248</x:f>
        <x:v>0</x:v>
      </x:c>
      <x:c r="P248" s="2"/>
      <x:c r="Q248" s="2" t="n">
        <x:v>1</x:v>
      </x:c>
      <x:c r="R248" s="2" t="n">
        <x:f>IF(A248,1,0)</x:f>
        <x:v>0</x:v>
      </x:c>
      <x:c r="S248" s="2" t="n">
        <x:f>SUBTOTAL(103,N248)</x:f>
        <x:v>1</x:v>
      </x:c>
    </x:row>
    <x:row r="249" ht="42" customHeight="1">
      <x:c r="A249" s="28" t="b">
        <x:v>0</x:v>
      </x:c>
      <x:c r="B249" s="2" t="str">
        <x:v>Cycle 2</x:v>
      </x:c>
      <x:c r="C249" s="2" t="str">
        <x:v>Phase 3</x:v>
      </x:c>
      <x:c r="D249" s="2" t="str">
        <x:v>FCM</x:v>
      </x:c>
      <x:c r="E249" s="56" t="str">
        <x:v>DI.FC.3.7</x:v>
      </x:c>
      <x:c r="F249" s="14" t="str">
        <x:v>Present material in RCA Cycle Forum</x:v>
      </x:c>
      <x:c r="G249" s="5"/>
      <x:c r="H249" s="11"/>
      <x:c r="I249" s="11" t="str">
        <x:f>IF(SUMIFS('Cycles &amp; Guide'!$D$23:$D$50,'Cycles &amp; Guide'!$B$23:$B$50,B249,'Cycles &amp; Guide'!$C$23:$C$50,D249)=0,"",SUMIFS('Cycles &amp; Guide'!$D$23:$D$50,'Cycles &amp; Guide'!$B$23:$B$50,B249,'Cycles &amp; Guide'!$C$23:$C$50,D249))</x:f>
      </x:c>
      <x:c r="J249" s="11"/>
      <x:c r="K249" s="29"/>
      <x:c r="L249" s="2" t="str">
        <x:f>IF(O249=1,"Complete",IF(A249,"Checklist open",IF(H249&lt;&gt;"","In progress","Not started")))</x:f>
        <x:v>Not started</x:v>
      </x:c>
      <x:c r="M249" s="2" t="str">
        <x:v>Task</x:v>
      </x:c>
      <x:c r="N249" s="2" t="str">
        <x:v>DI.FC.3.7.2026.CY2</x:v>
      </x:c>
      <x:c r="O249" s="2" t="n">
        <x:f>R249</x:f>
        <x:v>0</x:v>
      </x:c>
      <x:c r="P249" s="2"/>
      <x:c r="Q249" s="2" t="n">
        <x:v>1</x:v>
      </x:c>
      <x:c r="R249" s="2" t="n">
        <x:f>IF(A249,1,0)</x:f>
        <x:v>0</x:v>
      </x:c>
      <x:c r="S249" s="2" t="n">
        <x:f>SUBTOTAL(103,N249)</x:f>
        <x:v>1</x:v>
      </x:c>
    </x:row>
    <x:row r="250" ht="42" customHeight="1">
      <x:c r="A250" s="28" t="b">
        <x:v>0</x:v>
      </x:c>
      <x:c r="B250" s="2" t="str">
        <x:v>Cycle 2</x:v>
      </x:c>
      <x:c r="C250" s="2" t="str">
        <x:v>Phase 1</x:v>
      </x:c>
      <x:c r="D250" s="2" t="str">
        <x:v>PLL</x:v>
      </x:c>
      <x:c r="E250" s="56" t="str">
        <x:v>DI.PL.1.1</x:v>
      </x:c>
      <x:c r="F250" s="14" t="str">
        <x:v>Receive and review potential research topics at least 2 weeks prior to Cycle start date</x:v>
      </x:c>
      <x:c r="G250" s="5"/>
      <x:c r="H250" s="11"/>
      <x:c r="I250" s="11" t="n">
        <x:f>'Cycles &amp; Guide'!$C$11-14</x:f>
        <x:v>46099</x:v>
      </x:c>
      <x:c r="J250" s="11"/>
      <x:c r="K250" s="29"/>
      <x:c r="L250" s="2" t="str">
        <x:f>IF(O250=1,"Complete",IF(A250,"Checklist open",IF(H250&lt;&gt;"","In progress","Not started")))</x:f>
        <x:v>Not started</x:v>
      </x:c>
      <x:c r="M250" s="2" t="str">
        <x:v>Task</x:v>
      </x:c>
      <x:c r="N250" s="2" t="str">
        <x:v>DI.PL.1.1.2026.CY2</x:v>
      </x:c>
      <x:c r="O250" s="2" t="n">
        <x:f>R250</x:f>
        <x:v>0</x:v>
      </x:c>
      <x:c r="P250" s="2"/>
      <x:c r="Q250" s="2" t="n">
        <x:v>1</x:v>
      </x:c>
      <x:c r="R250" s="2" t="n">
        <x:f>IF(A250,1,0)</x:f>
        <x:v>0</x:v>
      </x:c>
      <x:c r="S250" s="2" t="n">
        <x:f>SUBTOTAL(103,N250)</x:f>
        <x:v>1</x:v>
      </x:c>
    </x:row>
    <x:row r="251" ht="42" customHeight="1">
      <x:c r="A251" s="28" t="b">
        <x:v>0</x:v>
      </x:c>
      <x:c r="B251" s="2" t="str">
        <x:v>Cycle 2</x:v>
      </x:c>
      <x:c r="C251" s="2" t="str">
        <x:v>Phase 1</x:v>
      </x:c>
      <x:c r="D251" s="2" t="str">
        <x:v>PLL</x:v>
      </x:c>
      <x:c r="E251" s="56" t="str">
        <x:v>DI.PL.1.2</x:v>
      </x:c>
      <x:c r="F251" s="14" t="str">
        <x:v>Communicate any feedback on preferences or concerns with topics identified</x:v>
      </x:c>
      <x:c r="G251" s="5"/>
      <x:c r="H251" s="11"/>
      <x:c r="I251" s="11" t="n">
        <x:f>'Cycles &amp; Guide'!$D$11</x:f>
        <x:v>46203</x:v>
      </x:c>
      <x:c r="J251" s="11"/>
      <x:c r="K251" s="29"/>
      <x:c r="L251" s="2" t="str">
        <x:f>IF(O251=1,"Complete",IF(A251,"Checklist open",IF(H251&lt;&gt;"","In progress","Not started")))</x:f>
        <x:v>Not started</x:v>
      </x:c>
      <x:c r="M251" s="2" t="str">
        <x:v>Task</x:v>
      </x:c>
      <x:c r="N251" s="2" t="str">
        <x:v>DI.PL.1.2.2026.CY2</x:v>
      </x:c>
      <x:c r="O251" s="2" t="n">
        <x:f>R251</x:f>
        <x:v>0</x:v>
      </x:c>
      <x:c r="P251" s="2"/>
      <x:c r="Q251" s="2" t="n">
        <x:v>1</x:v>
      </x:c>
      <x:c r="R251" s="2" t="n">
        <x:f>IF(A251,1,0)</x:f>
        <x:v>0</x:v>
      </x:c>
      <x:c r="S251" s="2" t="n">
        <x:f>SUBTOTAL(103,N251)</x:f>
        <x:v>1</x:v>
      </x:c>
    </x:row>
    <x:row r="252" ht="42" customHeight="1">
      <x:c r="A252" s="28" t="b">
        <x:v>0</x:v>
      </x:c>
      <x:c r="B252" s="2" t="str">
        <x:v>Cycle 2</x:v>
      </x:c>
      <x:c r="C252" s="2" t="str">
        <x:v>Phase 1</x:v>
      </x:c>
      <x:c r="D252" s="2" t="str">
        <x:v>PLL</x:v>
      </x:c>
      <x:c r="E252" s="56" t="str">
        <x:v>DI.PL.1.3</x:v>
      </x:c>
      <x:c r="F252" s="14" t="str">
        <x:v>Conduct high-level preliminary review of complaints within proposed topics</x:v>
      </x:c>
      <x:c r="G252" s="5"/>
      <x:c r="H252" s="11"/>
      <x:c r="I252" s="11" t="n">
        <x:f>'Cycles &amp; Guide'!$D$11</x:f>
        <x:v>46203</x:v>
      </x:c>
      <x:c r="J252" s="11"/>
      <x:c r="K252" s="29"/>
      <x:c r="L252" s="2" t="str">
        <x:f>IF(O252=1,"Complete",IF(A252,"Checklist open",IF(H252&lt;&gt;"","In progress","Not started")))</x:f>
        <x:v>Not started</x:v>
      </x:c>
      <x:c r="M252" s="2" t="str">
        <x:v>Task</x:v>
      </x:c>
      <x:c r="N252" s="2" t="str">
        <x:v>DI.PL.1.3.2026.CY2</x:v>
      </x:c>
      <x:c r="O252" s="2" t="n">
        <x:f>R252</x:f>
        <x:v>0</x:v>
      </x:c>
      <x:c r="P252" s="2"/>
      <x:c r="Q252" s="2" t="n">
        <x:v>1</x:v>
      </x:c>
      <x:c r="R252" s="2" t="n">
        <x:f>IF(A252,1,0)</x:f>
        <x:v>0</x:v>
      </x:c>
      <x:c r="S252" s="2" t="n">
        <x:f>SUBTOTAL(103,N252)</x:f>
        <x:v>1</x:v>
      </x:c>
    </x:row>
    <x:row r="253" ht="42" customHeight="1">
      <x:c r="A253" s="28" t="b">
        <x:v>0</x:v>
      </x:c>
      <x:c r="B253" s="2" t="str">
        <x:v>Cycle 2</x:v>
      </x:c>
      <x:c r="C253" s="2" t="str">
        <x:v>Phase 1</x:v>
      </x:c>
      <x:c r="D253" s="2" t="str">
        <x:v>PLL</x:v>
      </x:c>
      <x:c r="E253" s="56" t="str">
        <x:v>DI.PL.1.4</x:v>
      </x:c>
      <x:c r="F253" s="14" t="str">
        <x:v>Meet with Research to discuss which topic to select based on potential impact</x:v>
      </x:c>
      <x:c r="G253" s="5"/>
      <x:c r="H253" s="11"/>
      <x:c r="I253" s="11" t="n">
        <x:f>'Cycles &amp; Guide'!$D$11</x:f>
        <x:v>46203</x:v>
      </x:c>
      <x:c r="J253" s="11"/>
      <x:c r="K253" s="29"/>
      <x:c r="L253" s="2" t="str">
        <x:f>IF(O253=1,"Complete",IF(A253,"Checklist open",IF(H253&lt;&gt;"","In progress","Not started")))</x:f>
        <x:v>Not started</x:v>
      </x:c>
      <x:c r="M253" s="2" t="str">
        <x:v>Task</x:v>
      </x:c>
      <x:c r="N253" s="2" t="str">
        <x:v>DI.PL.1.4.2026.CY2</x:v>
      </x:c>
      <x:c r="O253" s="2" t="n">
        <x:f>R253</x:f>
        <x:v>0</x:v>
      </x:c>
      <x:c r="P253" s="2"/>
      <x:c r="Q253" s="2" t="n">
        <x:v>1</x:v>
      </x:c>
      <x:c r="R253" s="2" t="n">
        <x:f>IF(A253,1,0)</x:f>
        <x:v>0</x:v>
      </x:c>
      <x:c r="S253" s="2" t="n">
        <x:f>SUBTOTAL(103,N253)</x:f>
        <x:v>1</x:v>
      </x:c>
    </x:row>
    <x:row r="254" ht="42" customHeight="1">
      <x:c r="A254" s="28" t="b">
        <x:v>0</x:v>
      </x:c>
      <x:c r="B254" s="2" t="str">
        <x:v>Cycle 2</x:v>
      </x:c>
      <x:c r="C254" s="2" t="str">
        <x:v>Phase 1</x:v>
      </x:c>
      <x:c r="D254" s="2" t="str">
        <x:v>PLL</x:v>
      </x:c>
      <x:c r="E254" s="56" t="str">
        <x:v>DI.PL.1.5</x:v>
      </x:c>
      <x:c r="F254" s="14" t="str">
        <x:v>Confirm with Research the recommended topic for approval</x:v>
      </x:c>
      <x:c r="G254" s="5"/>
      <x:c r="H254" s="11"/>
      <x:c r="I254" s="11" t="n">
        <x:f>'Cycles &amp; Guide'!$D$11</x:f>
        <x:v>46203</x:v>
      </x:c>
      <x:c r="J254" s="11"/>
      <x:c r="K254" s="29"/>
      <x:c r="L254" s="2" t="str">
        <x:f>IF(O254=1,"Complete",IF(A254,"Checklist open",IF(H254&lt;&gt;"","In progress","Not started")))</x:f>
        <x:v>Not started</x:v>
      </x:c>
      <x:c r="M254" s="2" t="str">
        <x:v>Task</x:v>
      </x:c>
      <x:c r="N254" s="2" t="str">
        <x:v>DI.PL.1.5.2026.CY2</x:v>
      </x:c>
      <x:c r="O254" s="2" t="n">
        <x:f>R254</x:f>
        <x:v>0</x:v>
      </x:c>
      <x:c r="P254" s="2"/>
      <x:c r="Q254" s="2" t="n">
        <x:v>1</x:v>
      </x:c>
      <x:c r="R254" s="2" t="n">
        <x:f>IF(A254,1,0)</x:f>
        <x:v>0</x:v>
      </x:c>
      <x:c r="S254" s="2" t="n">
        <x:f>SUBTOTAL(103,N254)</x:f>
        <x:v>1</x:v>
      </x:c>
    </x:row>
    <x:row r="255" ht="42" customHeight="1">
      <x:c r="A255" s="28" t="b">
        <x:v>0</x:v>
      </x:c>
      <x:c r="B255" s="2" t="str">
        <x:v>Cycle 2</x:v>
      </x:c>
      <x:c r="C255" s="2" t="str">
        <x:v>Phase 1</x:v>
      </x:c>
      <x:c r="D255" s="2" t="str">
        <x:v>PLL</x:v>
      </x:c>
      <x:c r="E255" s="56" t="str">
        <x:v>DI.PL.1.6</x:v>
      </x:c>
      <x:c r="F255" s="14" t="str">
        <x:v>Send topic selection socialization email to all key stakeholders on the first day of the review Cycle</x:v>
      </x:c>
      <x:c r="G255" s="5"/>
      <x:c r="H255" s="11"/>
      <x:c r="I255" s="11" t="n">
        <x:f>'Cycles &amp; Guide'!$C$11</x:f>
        <x:v>46113</x:v>
      </x:c>
      <x:c r="J255" s="11"/>
      <x:c r="K255" s="29"/>
      <x:c r="L255" s="2" t="str">
        <x:f>IF(O255=1,"Complete",IF(A255,"Checklist open",IF(H255&lt;&gt;"","In progress","Not started")))</x:f>
        <x:v>Not started</x:v>
      </x:c>
      <x:c r="M255" s="2" t="str">
        <x:v>Task</x:v>
      </x:c>
      <x:c r="N255" s="2" t="str">
        <x:v>DI.PL.1.6.2026.CY2</x:v>
      </x:c>
      <x:c r="O255" s="2" t="n">
        <x:f>R255</x:f>
        <x:v>0</x:v>
      </x:c>
      <x:c r="P255" s="2"/>
      <x:c r="Q255" s="2" t="n">
        <x:v>1</x:v>
      </x:c>
      <x:c r="R255" s="2" t="n">
        <x:f>IF(A255,1,0)</x:f>
        <x:v>0</x:v>
      </x:c>
      <x:c r="S255" s="2" t="n">
        <x:f>SUBTOTAL(103,N255)</x:f>
        <x:v>1</x:v>
      </x:c>
    </x:row>
    <x:row r="256" ht="42" customHeight="1">
      <x:c r="A256" s="28" t="b">
        <x:v>0</x:v>
      </x:c>
      <x:c r="B256" s="2" t="str">
        <x:v>Cycle 2</x:v>
      </x:c>
      <x:c r="C256" s="2" t="str">
        <x:v>Phase 2</x:v>
      </x:c>
      <x:c r="D256" s="2" t="str">
        <x:v>PLL</x:v>
      </x:c>
      <x:c r="E256" s="56" t="str">
        <x:v>DI.PL.2.1</x:v>
      </x:c>
      <x:c r="F256" s="14" t="str">
        <x:v>Meet regularly with Research to stay informed on progress, findings, and potential enhancement</x:v>
      </x:c>
      <x:c r="G256" s="5"/>
      <x:c r="H256" s="11"/>
      <x:c r="I256" s="11" t="n">
        <x:f>'Cycles &amp; Guide'!$D$11</x:f>
        <x:v>46203</x:v>
      </x:c>
      <x:c r="J256" s="11"/>
      <x:c r="K256" s="29"/>
      <x:c r="L256" s="2" t="str">
        <x:f>IF(O256=1,"Complete",IF(A256,"Checklist open",IF(H256&lt;&gt;"","In progress","Not started")))</x:f>
        <x:v>Not started</x:v>
      </x:c>
      <x:c r="M256" s="2" t="str">
        <x:v>Task</x:v>
      </x:c>
      <x:c r="N256" s="2" t="str">
        <x:v>DI.PL.2.1.2026.CY2</x:v>
      </x:c>
      <x:c r="O256" s="2" t="n">
        <x:f>R256</x:f>
        <x:v>0</x:v>
      </x:c>
      <x:c r="P256" s="2"/>
      <x:c r="Q256" s="2" t="n">
        <x:v>1</x:v>
      </x:c>
      <x:c r="R256" s="2" t="n">
        <x:f>IF(A256,1,0)</x:f>
        <x:v>0</x:v>
      </x:c>
      <x:c r="S256" s="2" t="n">
        <x:f>SUBTOTAL(103,N256)</x:f>
        <x:v>1</x:v>
      </x:c>
    </x:row>
    <x:row r="257" ht="42" customHeight="1">
      <x:c r="A257" s="28" t="b">
        <x:v>0</x:v>
      </x:c>
      <x:c r="B257" s="2" t="str">
        <x:v>Cycle 2</x:v>
      </x:c>
      <x:c r="C257" s="2" t="str">
        <x:v>Phase 2</x:v>
      </x:c>
      <x:c r="D257" s="2" t="str">
        <x:v>PLL</x:v>
      </x:c>
      <x:c r="E257" s="56" t="str">
        <x:v>DI.PL.2.2</x:v>
      </x:c>
      <x:c r="F257" s="14" t="str">
        <x:v>Collaborate with Research on research plan specifics</x:v>
      </x:c>
      <x:c r="G257" s="5"/>
      <x:c r="H257" s="11"/>
      <x:c r="I257" s="11" t="n">
        <x:f>'Cycles &amp; Guide'!$D$11</x:f>
        <x:v>46203</x:v>
      </x:c>
      <x:c r="J257" s="11"/>
      <x:c r="K257" s="29"/>
      <x:c r="L257" s="2" t="str">
        <x:f>IF(O257=1,"Complete",IF(A257,"Checklist open",IF(H257&lt;&gt;"","In progress","Not started")))</x:f>
        <x:v>Not started</x:v>
      </x:c>
      <x:c r="M257" s="2" t="str">
        <x:v>Task</x:v>
      </x:c>
      <x:c r="N257" s="2" t="str">
        <x:v>DI.PL.2.2.2026.CY2</x:v>
      </x:c>
      <x:c r="O257" s="2" t="n">
        <x:f>R257</x:f>
        <x:v>0</x:v>
      </x:c>
      <x:c r="P257" s="2"/>
      <x:c r="Q257" s="2" t="n">
        <x:v>1</x:v>
      </x:c>
      <x:c r="R257" s="2" t="n">
        <x:f>IF(A257,1,0)</x:f>
        <x:v>0</x:v>
      </x:c>
      <x:c r="S257" s="2" t="n">
        <x:f>SUBTOTAL(103,N257)</x:f>
        <x:v>1</x:v>
      </x:c>
    </x:row>
    <x:row r="258" ht="42" customHeight="1">
      <x:c r="A258" s="28" t="b">
        <x:v>0</x:v>
      </x:c>
      <x:c r="B258" s="2" t="str">
        <x:v>Cycle 2</x:v>
      </x:c>
      <x:c r="C258" s="2" t="str">
        <x:v>Phase 2</x:v>
      </x:c>
      <x:c r="D258" s="2" t="str">
        <x:v>PLL</x:v>
      </x:c>
      <x:c r="E258" s="56" t="str">
        <x:v>DI.PL.2.3</x:v>
      </x:c>
      <x:c r="F258" s="14" t="str">
        <x:v>Participate in SME insight meetings to gain perspective and appetite on potential enhancements</x:v>
      </x:c>
      <x:c r="G258" s="5"/>
      <x:c r="H258" s="11"/>
      <x:c r="I258" s="11" t="n">
        <x:f>'Cycles &amp; Guide'!$D$11</x:f>
        <x:v>46203</x:v>
      </x:c>
      <x:c r="J258" s="11"/>
      <x:c r="K258" s="29"/>
      <x:c r="L258" s="2" t="str">
        <x:f>IF(O258=1,"Complete",IF(A258,"Checklist open",IF(H258&lt;&gt;"","In progress","Not started")))</x:f>
        <x:v>Not started</x:v>
      </x:c>
      <x:c r="M258" s="2" t="str">
        <x:v>Task</x:v>
      </x:c>
      <x:c r="N258" s="2" t="str">
        <x:v>DI.PL.2.3.2026.CY2</x:v>
      </x:c>
      <x:c r="O258" s="2" t="n">
        <x:f>R258</x:f>
        <x:v>0</x:v>
      </x:c>
      <x:c r="P258" s="2"/>
      <x:c r="Q258" s="2" t="n">
        <x:v>1</x:v>
      </x:c>
      <x:c r="R258" s="2" t="n">
        <x:f>IF(A258,1,0)</x:f>
        <x:v>0</x:v>
      </x:c>
      <x:c r="S258" s="2" t="n">
        <x:f>SUBTOTAL(103,N258)</x:f>
        <x:v>1</x:v>
      </x:c>
    </x:row>
    <x:row r="259" ht="42" customHeight="1">
      <x:c r="A259" s="28" t="b">
        <x:v>0</x:v>
      </x:c>
      <x:c r="B259" s="2" t="str">
        <x:v>Cycle 2</x:v>
      </x:c>
      <x:c r="C259" s="2" t="str">
        <x:v>Phase 2</x:v>
      </x:c>
      <x:c r="D259" s="2" t="str">
        <x:v>PLL</x:v>
      </x:c>
      <x:c r="E259" s="56" t="str">
        <x:v>DI.PL.2.4</x:v>
      </x:c>
      <x:c r="F259" s="14" t="str">
        <x:v>Begin development of presentation materials as Research is being completed</x:v>
      </x:c>
      <x:c r="G259" s="5"/>
      <x:c r="H259" s="11"/>
      <x:c r="I259" s="11" t="n">
        <x:f>'Cycles &amp; Guide'!$D$11</x:f>
        <x:v>46203</x:v>
      </x:c>
      <x:c r="J259" s="11"/>
      <x:c r="K259" s="29"/>
      <x:c r="L259" s="2" t="str">
        <x:f>IF(O259=1,"Complete",IF(A259,"Checklist open",IF(H259&lt;&gt;"","In progress","Not started")))</x:f>
        <x:v>Not started</x:v>
      </x:c>
      <x:c r="M259" s="2" t="str">
        <x:v>Task</x:v>
      </x:c>
      <x:c r="N259" s="2" t="str">
        <x:v>DI.PL.2.4.2026.CY2</x:v>
      </x:c>
      <x:c r="O259" s="2" t="n">
        <x:f>R259</x:f>
        <x:v>0</x:v>
      </x:c>
      <x:c r="P259" s="2"/>
      <x:c r="Q259" s="2" t="n">
        <x:v>1</x:v>
      </x:c>
      <x:c r="R259" s="2" t="n">
        <x:f>IF(A259,1,0)</x:f>
        <x:v>0</x:v>
      </x:c>
      <x:c r="S259" s="2" t="n">
        <x:f>SUBTOTAL(103,N259)</x:f>
        <x:v>1</x:v>
      </x:c>
    </x:row>
    <x:row r="260" ht="42" customHeight="1">
      <x:c r="A260" s="28" t="b">
        <x:v>0</x:v>
      </x:c>
      <x:c r="B260" s="2" t="str">
        <x:v>Cycle 2</x:v>
      </x:c>
      <x:c r="C260" s="2" t="str">
        <x:v>Phase 2</x:v>
      </x:c>
      <x:c r="D260" s="2" t="str">
        <x:v>PLL</x:v>
      </x:c>
      <x:c r="E260" s="56" t="str">
        <x:v>DI.PL.2.5</x:v>
      </x:c>
      <x:c r="F260" s="14" t="str">
        <x:v>Draft initial enhancement recommendations (as applicable)</x:v>
      </x:c>
      <x:c r="G260" s="5"/>
      <x:c r="H260" s="11"/>
      <x:c r="I260" s="11" t="n">
        <x:f>'Cycles &amp; Guide'!$D$11</x:f>
        <x:v>46203</x:v>
      </x:c>
      <x:c r="J260" s="11"/>
      <x:c r="K260" s="29"/>
      <x:c r="L260" s="2" t="str">
        <x:f>IF(O260=1,"Complete",IF(A260,"Checklist open",IF(H260&lt;&gt;"","In progress","Not started")))</x:f>
        <x:v>Not started</x:v>
      </x:c>
      <x:c r="M260" s="2" t="str">
        <x:v>Task</x:v>
      </x:c>
      <x:c r="N260" s="2" t="str">
        <x:v>DI.PL.2.5.2026.CY2</x:v>
      </x:c>
      <x:c r="O260" s="2" t="n">
        <x:f>R260</x:f>
        <x:v>0</x:v>
      </x:c>
      <x:c r="P260" s="2"/>
      <x:c r="Q260" s="2" t="n">
        <x:v>1</x:v>
      </x:c>
      <x:c r="R260" s="2" t="n">
        <x:f>IF(A260,1,0)</x:f>
        <x:v>0</x:v>
      </x:c>
      <x:c r="S260" s="2" t="n">
        <x:f>SUBTOTAL(103,N260)</x:f>
        <x:v>1</x:v>
      </x:c>
    </x:row>
    <x:row r="261" ht="42" customHeight="1">
      <x:c r="A261" s="28" t="b">
        <x:v>0</x:v>
      </x:c>
      <x:c r="B261" s="2" t="str">
        <x:v>Cycle 2</x:v>
      </x:c>
      <x:c r="C261" s="2" t="str">
        <x:v>Phase 2</x:v>
      </x:c>
      <x:c r="D261" s="2" t="str">
        <x:v>PLL</x:v>
      </x:c>
      <x:c r="E261" s="56" t="str">
        <x:v>DI.PL.2.6</x:v>
      </x:c>
      <x:c r="F261" s="14" t="str">
        <x:v>Finalize presentation deck draft at conclusion of Research phase</x:v>
      </x:c>
      <x:c r="G261" s="5"/>
      <x:c r="H261" s="11"/>
      <x:c r="I261" s="11" t="n">
        <x:f>'Cycles &amp; Guide'!$D$11</x:f>
        <x:v>46203</x:v>
      </x:c>
      <x:c r="J261" s="11"/>
      <x:c r="K261" s="29"/>
      <x:c r="L261" s="2" t="str">
        <x:f>IF(O261=1,"Complete",IF(A261,"Checklist open",IF(H261&lt;&gt;"","In progress","Not started")))</x:f>
        <x:v>Not started</x:v>
      </x:c>
      <x:c r="M261" s="2" t="str">
        <x:v>Task</x:v>
      </x:c>
      <x:c r="N261" s="2" t="str">
        <x:v>DI.PL.2.6.2026.CY2</x:v>
      </x:c>
      <x:c r="O261" s="2" t="n">
        <x:f>R261</x:f>
        <x:v>0</x:v>
      </x:c>
      <x:c r="P261" s="2"/>
      <x:c r="Q261" s="2" t="n">
        <x:v>1</x:v>
      </x:c>
      <x:c r="R261" s="2" t="n">
        <x:f>IF(A261,1,0)</x:f>
        <x:v>0</x:v>
      </x:c>
      <x:c r="S261" s="2" t="n">
        <x:f>SUBTOTAL(103,N261)</x:f>
        <x:v>1</x:v>
      </x:c>
    </x:row>
    <x:row r="262" ht="42" customHeight="1">
      <x:c r="A262" s="28" t="b">
        <x:v>0</x:v>
      </x:c>
      <x:c r="B262" s="2" t="str">
        <x:v>Cycle 2</x:v>
      </x:c>
      <x:c r="C262" s="2" t="str">
        <x:v>Phase 2</x:v>
      </x:c>
      <x:c r="D262" s="2" t="str">
        <x:v>PLL</x:v>
      </x:c>
      <x:c r="E262" s="56" t="str">
        <x:v>DI.PL.2.7</x:v>
      </x:c>
      <x:c r="F262" s="14" t="str">
        <x:v>Update Outcome portion of research plan with current enhancement verbiage (as needed)</x:v>
      </x:c>
      <x:c r="G262" s="5"/>
      <x:c r="H262" s="11"/>
      <x:c r="I262" s="11" t="n">
        <x:f>'Cycles &amp; Guide'!$D$11</x:f>
        <x:v>46203</x:v>
      </x:c>
      <x:c r="J262" s="11"/>
      <x:c r="K262" s="29"/>
      <x:c r="L262" s="2" t="str">
        <x:f>IF(O262=1,"Complete",IF(A262,"Checklist open",IF(H262&lt;&gt;"","In progress","Not started")))</x:f>
        <x:v>Not started</x:v>
      </x:c>
      <x:c r="M262" s="2" t="str">
        <x:v>Task</x:v>
      </x:c>
      <x:c r="N262" s="2" t="str">
        <x:v>DI.PL.2.7.2026.CY2</x:v>
      </x:c>
      <x:c r="O262" s="2" t="n">
        <x:f>R262</x:f>
        <x:v>0</x:v>
      </x:c>
      <x:c r="P262" s="2"/>
      <x:c r="Q262" s="2" t="n">
        <x:v>1</x:v>
      </x:c>
      <x:c r="R262" s="2" t="n">
        <x:f>IF(A262,1,0)</x:f>
        <x:v>0</x:v>
      </x:c>
      <x:c r="S262" s="2" t="n">
        <x:f>SUBTOTAL(103,N262)</x:f>
        <x:v>1</x:v>
      </x:c>
    </x:row>
    <x:row r="263" ht="42" customHeight="1">
      <x:c r="A263" s="28" t="b">
        <x:v>0</x:v>
      </x:c>
      <x:c r="B263" s="2" t="str">
        <x:v>Cycle 2</x:v>
      </x:c>
      <x:c r="C263" s="2" t="str">
        <x:v>Phase 3</x:v>
      </x:c>
      <x:c r="D263" s="2" t="str">
        <x:v>PLL</x:v>
      </x:c>
      <x:c r="E263" s="56" t="str">
        <x:v>DI.PL.3.1</x:v>
      </x:c>
      <x:c r="F263" s="14" t="str">
        <x:v>Confirm list of required &amp; optional attendees for pre-socialization meeting</x:v>
      </x:c>
      <x:c r="G263" s="5"/>
      <x:c r="H263" s="11"/>
      <x:c r="I263" s="11" t="n">
        <x:f>'Cycles &amp; Guide'!$D$11</x:f>
        <x:v>46203</x:v>
      </x:c>
      <x:c r="J263" s="11"/>
      <x:c r="K263" s="29"/>
      <x:c r="L263" s="2" t="str">
        <x:f>IF(O263=1,"Complete",IF(A263,"Checklist open",IF(H263&lt;&gt;"","In progress","Not started")))</x:f>
        <x:v>Not started</x:v>
      </x:c>
      <x:c r="M263" s="2" t="str">
        <x:v>Task</x:v>
      </x:c>
      <x:c r="N263" s="2" t="str">
        <x:v>DI.PL.3.1.2026.CY2</x:v>
      </x:c>
      <x:c r="O263" s="2" t="n">
        <x:f>R263</x:f>
        <x:v>0</x:v>
      </x:c>
      <x:c r="P263" s="2"/>
      <x:c r="Q263" s="2" t="n">
        <x:v>1</x:v>
      </x:c>
      <x:c r="R263" s="2" t="n">
        <x:f>IF(A263,1,0)</x:f>
        <x:v>0</x:v>
      </x:c>
      <x:c r="S263" s="2" t="n">
        <x:f>SUBTOTAL(103,N263)</x:f>
        <x:v>1</x:v>
      </x:c>
    </x:row>
    <x:row r="264" ht="42" customHeight="1">
      <x:c r="A264" s="28" t="b">
        <x:v>0</x:v>
      </x:c>
      <x:c r="B264" s="2" t="str">
        <x:v>Cycle 2</x:v>
      </x:c>
      <x:c r="C264" s="2" t="str">
        <x:v>Phase 3</x:v>
      </x:c>
      <x:c r="D264" s="2" t="str">
        <x:v>PLL</x:v>
      </x:c>
      <x:c r="E264" s="56" t="str">
        <x:v>DI.PL.3.2</x:v>
      </x:c>
      <x:c r="F264" s="14" t="str">
        <x:v>Schedule pre-socialization meeting 1 week prior to RCA Forum</x:v>
      </x:c>
      <x:c r="G264" s="5"/>
      <x:c r="H264" s="11"/>
      <x:c r="I264" s="11" t="str">
        <x:f>IF(SUMIFS('Cycles &amp; Guide'!$D$23:$D$50,'Cycles &amp; Guide'!$B$23:$B$50,B264,'Cycles &amp; Guide'!$C$23:$C$50,D264)=0,"",SUMIFS('Cycles &amp; Guide'!$D$23:$D$50,'Cycles &amp; Guide'!$B$23:$B$50,B264,'Cycles &amp; Guide'!$C$23:$C$50,D264)-7)</x:f>
      </x:c>
      <x:c r="J264" s="11"/>
      <x:c r="K264" s="29"/>
      <x:c r="L264" s="2" t="str">
        <x:f>IF(O264=1,"Complete",IF(A264,"Checklist open",IF(H264&lt;&gt;"","In progress","Not started")))</x:f>
        <x:v>Not started</x:v>
      </x:c>
      <x:c r="M264" s="2" t="str">
        <x:v>Task</x:v>
      </x:c>
      <x:c r="N264" s="2" t="str">
        <x:v>DI.PL.3.2.2026.CY2</x:v>
      </x:c>
      <x:c r="O264" s="2" t="n">
        <x:f>R264</x:f>
        <x:v>0</x:v>
      </x:c>
      <x:c r="P264" s="2"/>
      <x:c r="Q264" s="2" t="n">
        <x:v>1</x:v>
      </x:c>
      <x:c r="R264" s="2" t="n">
        <x:f>IF(A264,1,0)</x:f>
        <x:v>0</x:v>
      </x:c>
      <x:c r="S264" s="2" t="n">
        <x:f>SUBTOTAL(103,N264)</x:f>
        <x:v>1</x:v>
      </x:c>
    </x:row>
    <x:row r="265" ht="42" customHeight="1">
      <x:c r="A265" s="28" t="b">
        <x:v>0</x:v>
      </x:c>
      <x:c r="B265" s="2" t="str">
        <x:v>Cycle 2</x:v>
      </x:c>
      <x:c r="C265" s="2" t="str">
        <x:v>Phase 3</x:v>
      </x:c>
      <x:c r="D265" s="2" t="str">
        <x:v>PLL</x:v>
      </x:c>
      <x:c r="E265" s="56" t="str">
        <x:v>DI.PL.3.3</x:v>
      </x:c>
      <x:c r="F265" s="14" t="str">
        <x:v>Present findings, conclusions, and recommendation to SMEs</x:v>
      </x:c>
      <x:c r="G265" s="5"/>
      <x:c r="H265" s="11"/>
      <x:c r="I265" s="11" t="n">
        <x:f>'Cycles &amp; Guide'!$D$11</x:f>
        <x:v>46203</x:v>
      </x:c>
      <x:c r="J265" s="11"/>
      <x:c r="K265" s="29"/>
      <x:c r="L265" s="2" t="str">
        <x:f>IF(O265=1,"Complete",IF(A265,"Checklist open",IF(H265&lt;&gt;"","In progress","Not started")))</x:f>
        <x:v>Not started</x:v>
      </x:c>
      <x:c r="M265" s="2" t="str">
        <x:v>Task</x:v>
      </x:c>
      <x:c r="N265" s="2" t="str">
        <x:v>DI.PL.3.3.2026.CY2</x:v>
      </x:c>
      <x:c r="O265" s="2" t="n">
        <x:f>R265</x:f>
        <x:v>0</x:v>
      </x:c>
      <x:c r="P265" s="2"/>
      <x:c r="Q265" s="2" t="n">
        <x:v>1</x:v>
      </x:c>
      <x:c r="R265" s="2" t="n">
        <x:f>IF(A265,1,0)</x:f>
        <x:v>0</x:v>
      </x:c>
      <x:c r="S265" s="2" t="n">
        <x:f>SUBTOTAL(103,N265)</x:f>
        <x:v>1</x:v>
      </x:c>
    </x:row>
    <x:row r="266" ht="42" customHeight="1">
      <x:c r="A266" s="28" t="b">
        <x:v>0</x:v>
      </x:c>
      <x:c r="B266" s="2" t="str">
        <x:v>Cycle 2</x:v>
      </x:c>
      <x:c r="C266" s="2" t="str">
        <x:v>Phase 3</x:v>
      </x:c>
      <x:c r="D266" s="2" t="str">
        <x:v>PLL</x:v>
      </x:c>
      <x:c r="E266" s="56" t="str">
        <x:v>DI.PL.3.4</x:v>
      </x:c>
      <x:c r="F266" s="14" t="str">
        <x:v>Update Outcome portion of research plan (as needed)</x:v>
      </x:c>
      <x:c r="G266" s="5"/>
      <x:c r="H266" s="11"/>
      <x:c r="I266" s="11" t="n">
        <x:f>'Cycles &amp; Guide'!$D$11</x:f>
        <x:v>46203</x:v>
      </x:c>
      <x:c r="J266" s="11"/>
      <x:c r="K266" s="29"/>
      <x:c r="L266" s="2" t="str">
        <x:f>IF(O266=1,"Complete",IF(A266,"Checklist open",IF(H266&lt;&gt;"","In progress","Not started")))</x:f>
        <x:v>Not started</x:v>
      </x:c>
      <x:c r="M266" s="2" t="str">
        <x:v>Task</x:v>
      </x:c>
      <x:c r="N266" s="2" t="str">
        <x:v>DI.PL.3.4.2026.CY2</x:v>
      </x:c>
      <x:c r="O266" s="2" t="n">
        <x:f>R266</x:f>
        <x:v>0</x:v>
      </x:c>
      <x:c r="P266" s="2"/>
      <x:c r="Q266" s="2" t="n">
        <x:v>1</x:v>
      </x:c>
      <x:c r="R266" s="2" t="n">
        <x:f>IF(A266,1,0)</x:f>
        <x:v>0</x:v>
      </x:c>
      <x:c r="S266" s="2" t="n">
        <x:f>SUBTOTAL(103,N266)</x:f>
        <x:v>1</x:v>
      </x:c>
    </x:row>
    <x:row r="267" ht="42" customHeight="1">
      <x:c r="A267" s="28" t="b">
        <x:v>0</x:v>
      </x:c>
      <x:c r="B267" s="2" t="str">
        <x:v>Cycle 2</x:v>
      </x:c>
      <x:c r="C267" s="2" t="str">
        <x:v>Phase 3</x:v>
      </x:c>
      <x:c r="D267" s="2" t="str">
        <x:v>PLL</x:v>
      </x:c>
      <x:c r="E267" s="56" t="str">
        <x:v>DI.PL.3.5</x:v>
      </x:c>
      <x:c r="F267" s="14" t="str">
        <x:v>Finalize presentation deck by incorporating pre-socialization feedback (as needed)</x:v>
      </x:c>
      <x:c r="G267" s="5"/>
      <x:c r="H267" s="11"/>
      <x:c r="I267" s="11" t="n">
        <x:f>'Cycles &amp; Guide'!$D$11</x:f>
        <x:v>46203</x:v>
      </x:c>
      <x:c r="J267" s="11"/>
      <x:c r="K267" s="29"/>
      <x:c r="L267" s="2" t="str">
        <x:f>IF(O267=1,"Complete",IF(A267,"Checklist open",IF(H267&lt;&gt;"","In progress","Not started")))</x:f>
        <x:v>Not started</x:v>
      </x:c>
      <x:c r="M267" s="2" t="str">
        <x:v>Task</x:v>
      </x:c>
      <x:c r="N267" s="2" t="str">
        <x:v>DI.PL.3.5.2026.CY2</x:v>
      </x:c>
      <x:c r="O267" s="2" t="n">
        <x:f>R267</x:f>
        <x:v>0</x:v>
      </x:c>
      <x:c r="P267" s="2"/>
      <x:c r="Q267" s="2" t="n">
        <x:v>1</x:v>
      </x:c>
      <x:c r="R267" s="2" t="n">
        <x:f>IF(A267,1,0)</x:f>
        <x:v>0</x:v>
      </x:c>
      <x:c r="S267" s="2" t="n">
        <x:f>SUBTOTAL(103,N267)</x:f>
        <x:v>1</x:v>
      </x:c>
    </x:row>
    <x:row r="268" ht="42" customHeight="1">
      <x:c r="A268" s="28" t="b">
        <x:v>0</x:v>
      </x:c>
      <x:c r="B268" s="2" t="str">
        <x:v>Cycle 2</x:v>
      </x:c>
      <x:c r="C268" s="2" t="str">
        <x:v>Phase 3</x:v>
      </x:c>
      <x:c r="D268" s="2" t="str">
        <x:v>PLL</x:v>
      </x:c>
      <x:c r="E268" s="56" t="str">
        <x:v>DI.PL.3.6</x:v>
      </x:c>
      <x:c r="F268" s="14" t="str">
        <x:v>Ensure final deck is communicated to Forum attendees</x:v>
      </x:c>
      <x:c r="G268" s="5"/>
      <x:c r="H268" s="11"/>
      <x:c r="I268" s="11" t="n">
        <x:f>'Cycles &amp; Guide'!$D$11</x:f>
        <x:v>46203</x:v>
      </x:c>
      <x:c r="J268" s="11"/>
      <x:c r="K268" s="29"/>
      <x:c r="L268" s="2" t="str">
        <x:f>IF(O268=1,"Complete",IF(A268,"Checklist open",IF(H268&lt;&gt;"","In progress","Not started")))</x:f>
        <x:v>Not started</x:v>
      </x:c>
      <x:c r="M268" s="2" t="str">
        <x:v>Task</x:v>
      </x:c>
      <x:c r="N268" s="2" t="str">
        <x:v>DI.PL.3.6.2026.CY2</x:v>
      </x:c>
      <x:c r="O268" s="2" t="n">
        <x:f>R268</x:f>
        <x:v>0</x:v>
      </x:c>
      <x:c r="P268" s="2"/>
      <x:c r="Q268" s="2" t="n">
        <x:v>1</x:v>
      </x:c>
      <x:c r="R268" s="2" t="n">
        <x:f>IF(A268,1,0)</x:f>
        <x:v>0</x:v>
      </x:c>
      <x:c r="S268" s="2" t="n">
        <x:f>SUBTOTAL(103,N268)</x:f>
        <x:v>1</x:v>
      </x:c>
    </x:row>
    <x:row r="269" ht="42" customHeight="1">
      <x:c r="A269" s="28" t="b">
        <x:v>0</x:v>
      </x:c>
      <x:c r="B269" s="2" t="str">
        <x:v>Cycle 2</x:v>
      </x:c>
      <x:c r="C269" s="2" t="str">
        <x:v>Phase 3</x:v>
      </x:c>
      <x:c r="D269" s="2" t="str">
        <x:v>PLL</x:v>
      </x:c>
      <x:c r="E269" s="56" t="str">
        <x:v>DI.PL.3.7</x:v>
      </x:c>
      <x:c r="F269" s="14" t="str">
        <x:v>Present material in RCA Cycle Forum</x:v>
      </x:c>
      <x:c r="G269" s="5"/>
      <x:c r="H269" s="11"/>
      <x:c r="I269" s="11" t="str">
        <x:f>IF(SUMIFS('Cycles &amp; Guide'!$D$23:$D$50,'Cycles &amp; Guide'!$B$23:$B$50,B269,'Cycles &amp; Guide'!$C$23:$C$50,D269)=0,"",SUMIFS('Cycles &amp; Guide'!$D$23:$D$50,'Cycles &amp; Guide'!$B$23:$B$50,B269,'Cycles &amp; Guide'!$C$23:$C$50,D269))</x:f>
      </x:c>
      <x:c r="J269" s="11"/>
      <x:c r="K269" s="29"/>
      <x:c r="L269" s="2" t="str">
        <x:f>IF(O269=1,"Complete",IF(A269,"Checklist open",IF(H269&lt;&gt;"","In progress","Not started")))</x:f>
        <x:v>Not started</x:v>
      </x:c>
      <x:c r="M269" s="2" t="str">
        <x:v>Task</x:v>
      </x:c>
      <x:c r="N269" s="2" t="str">
        <x:v>DI.PL.3.7.2026.CY2</x:v>
      </x:c>
      <x:c r="O269" s="2" t="n">
        <x:f>R269</x:f>
        <x:v>0</x:v>
      </x:c>
      <x:c r="P269" s="2"/>
      <x:c r="Q269" s="2" t="n">
        <x:v>1</x:v>
      </x:c>
      <x:c r="R269" s="2" t="n">
        <x:f>IF(A269,1,0)</x:f>
        <x:v>0</x:v>
      </x:c>
      <x:c r="S269" s="2" t="n">
        <x:f>SUBTOTAL(103,N269)</x:f>
        <x:v>1</x:v>
      </x:c>
    </x:row>
    <x:row r="270" ht="42" customHeight="1">
      <x:c r="A270" s="28" t="b">
        <x:v>0</x:v>
      </x:c>
      <x:c r="B270" s="2" t="str">
        <x:v>Cycle 2</x:v>
      </x:c>
      <x:c r="C270" s="2" t="str">
        <x:v>Phase 1</x:v>
      </x:c>
      <x:c r="D270" s="2" t="str">
        <x:v>Retail Services</x:v>
      </x:c>
      <x:c r="E270" s="56" t="str">
        <x:v>DI.RS.1.1</x:v>
      </x:c>
      <x:c r="F270" s="14" t="str">
        <x:v>Receive and review potential research topics at least 2 weeks prior to Cycle start date</x:v>
      </x:c>
      <x:c r="G270" s="5"/>
      <x:c r="H270" s="11"/>
      <x:c r="I270" s="11" t="n">
        <x:f>'Cycles &amp; Guide'!$C$11-14</x:f>
        <x:v>46099</x:v>
      </x:c>
      <x:c r="J270" s="11"/>
      <x:c r="K270" s="29"/>
      <x:c r="L270" s="2" t="str">
        <x:f>IF(O270=1,"Complete",IF(A270,"Checklist open",IF(H270&lt;&gt;"","In progress","Not started")))</x:f>
        <x:v>Not started</x:v>
      </x:c>
      <x:c r="M270" s="2" t="str">
        <x:v>Task</x:v>
      </x:c>
      <x:c r="N270" s="2" t="str">
        <x:v>DI.RS.1.1.2026.CY2</x:v>
      </x:c>
      <x:c r="O270" s="2" t="n">
        <x:f>R270</x:f>
        <x:v>0</x:v>
      </x:c>
      <x:c r="P270" s="2"/>
      <x:c r="Q270" s="2" t="n">
        <x:v>1</x:v>
      </x:c>
      <x:c r="R270" s="2" t="n">
        <x:f>IF(A270,1,0)</x:f>
        <x:v>0</x:v>
      </x:c>
      <x:c r="S270" s="2" t="n">
        <x:f>SUBTOTAL(103,N270)</x:f>
        <x:v>1</x:v>
      </x:c>
    </x:row>
    <x:row r="271" ht="42" customHeight="1">
      <x:c r="A271" s="28" t="b">
        <x:v>0</x:v>
      </x:c>
      <x:c r="B271" s="2" t="str">
        <x:v>Cycle 2</x:v>
      </x:c>
      <x:c r="C271" s="2" t="str">
        <x:v>Phase 1</x:v>
      </x:c>
      <x:c r="D271" s="2" t="str">
        <x:v>Retail Services</x:v>
      </x:c>
      <x:c r="E271" s="56" t="str">
        <x:v>DI.RS.1.2</x:v>
      </x:c>
      <x:c r="F271" s="14" t="str">
        <x:v>Communicate any feedback on preferences or concerns with topics identified</x:v>
      </x:c>
      <x:c r="G271" s="5"/>
      <x:c r="H271" s="11"/>
      <x:c r="I271" s="11" t="n">
        <x:f>'Cycles &amp; Guide'!$D$11</x:f>
        <x:v>46203</x:v>
      </x:c>
      <x:c r="J271" s="11"/>
      <x:c r="K271" s="29"/>
      <x:c r="L271" s="2" t="str">
        <x:f>IF(O271=1,"Complete",IF(A271,"Checklist open",IF(H271&lt;&gt;"","In progress","Not started")))</x:f>
        <x:v>Not started</x:v>
      </x:c>
      <x:c r="M271" s="2" t="str">
        <x:v>Task</x:v>
      </x:c>
      <x:c r="N271" s="2" t="str">
        <x:v>DI.RS.1.2.2026.CY2</x:v>
      </x:c>
      <x:c r="O271" s="2" t="n">
        <x:f>R271</x:f>
        <x:v>0</x:v>
      </x:c>
      <x:c r="P271" s="2"/>
      <x:c r="Q271" s="2" t="n">
        <x:v>1</x:v>
      </x:c>
      <x:c r="R271" s="2" t="n">
        <x:f>IF(A271,1,0)</x:f>
        <x:v>0</x:v>
      </x:c>
      <x:c r="S271" s="2" t="n">
        <x:f>SUBTOTAL(103,N271)</x:f>
        <x:v>1</x:v>
      </x:c>
    </x:row>
    <x:row r="272" ht="42" customHeight="1">
      <x:c r="A272" s="28" t="b">
        <x:v>0</x:v>
      </x:c>
      <x:c r="B272" s="2" t="str">
        <x:v>Cycle 2</x:v>
      </x:c>
      <x:c r="C272" s="2" t="str">
        <x:v>Phase 1</x:v>
      </x:c>
      <x:c r="D272" s="2" t="str">
        <x:v>Retail Services</x:v>
      </x:c>
      <x:c r="E272" s="56" t="str">
        <x:v>DI.RS.1.3</x:v>
      </x:c>
      <x:c r="F272" s="14" t="str">
        <x:v>Conduct high-level preliminary review of complaints within proposed topics</x:v>
      </x:c>
      <x:c r="G272" s="5"/>
      <x:c r="H272" s="11"/>
      <x:c r="I272" s="11" t="n">
        <x:f>'Cycles &amp; Guide'!$D$11</x:f>
        <x:v>46203</x:v>
      </x:c>
      <x:c r="J272" s="11"/>
      <x:c r="K272" s="29"/>
      <x:c r="L272" s="2" t="str">
        <x:f>IF(O272=1,"Complete",IF(A272,"Checklist open",IF(H272&lt;&gt;"","In progress","Not started")))</x:f>
        <x:v>Not started</x:v>
      </x:c>
      <x:c r="M272" s="2" t="str">
        <x:v>Task</x:v>
      </x:c>
      <x:c r="N272" s="2" t="str">
        <x:v>DI.RS.1.3.2026.CY2</x:v>
      </x:c>
      <x:c r="O272" s="2" t="n">
        <x:f>R272</x:f>
        <x:v>0</x:v>
      </x:c>
      <x:c r="P272" s="2"/>
      <x:c r="Q272" s="2" t="n">
        <x:v>1</x:v>
      </x:c>
      <x:c r="R272" s="2" t="n">
        <x:f>IF(A272,1,0)</x:f>
        <x:v>0</x:v>
      </x:c>
      <x:c r="S272" s="2" t="n">
        <x:f>SUBTOTAL(103,N272)</x:f>
        <x:v>1</x:v>
      </x:c>
    </x:row>
    <x:row r="273" ht="42" customHeight="1">
      <x:c r="A273" s="28" t="b">
        <x:v>0</x:v>
      </x:c>
      <x:c r="B273" s="2" t="str">
        <x:v>Cycle 2</x:v>
      </x:c>
      <x:c r="C273" s="2" t="str">
        <x:v>Phase 1</x:v>
      </x:c>
      <x:c r="D273" s="2" t="str">
        <x:v>Retail Services</x:v>
      </x:c>
      <x:c r="E273" s="56" t="str">
        <x:v>DI.RS.1.4</x:v>
      </x:c>
      <x:c r="F273" s="14" t="str">
        <x:v>Meet with Research to discuss which topic to select based on potential impact</x:v>
      </x:c>
      <x:c r="G273" s="5"/>
      <x:c r="H273" s="11"/>
      <x:c r="I273" s="11" t="n">
        <x:f>'Cycles &amp; Guide'!$D$11</x:f>
        <x:v>46203</x:v>
      </x:c>
      <x:c r="J273" s="11"/>
      <x:c r="K273" s="29"/>
      <x:c r="L273" s="2" t="str">
        <x:f>IF(O273=1,"Complete",IF(A273,"Checklist open",IF(H273&lt;&gt;"","In progress","Not started")))</x:f>
        <x:v>Not started</x:v>
      </x:c>
      <x:c r="M273" s="2" t="str">
        <x:v>Task</x:v>
      </x:c>
      <x:c r="N273" s="2" t="str">
        <x:v>DI.RS.1.4.2026.CY2</x:v>
      </x:c>
      <x:c r="O273" s="2" t="n">
        <x:f>R273</x:f>
        <x:v>0</x:v>
      </x:c>
      <x:c r="P273" s="2"/>
      <x:c r="Q273" s="2" t="n">
        <x:v>1</x:v>
      </x:c>
      <x:c r="R273" s="2" t="n">
        <x:f>IF(A273,1,0)</x:f>
        <x:v>0</x:v>
      </x:c>
      <x:c r="S273" s="2" t="n">
        <x:f>SUBTOTAL(103,N273)</x:f>
        <x:v>1</x:v>
      </x:c>
    </x:row>
    <x:row r="274" ht="42" customHeight="1">
      <x:c r="A274" s="28" t="b">
        <x:v>0</x:v>
      </x:c>
      <x:c r="B274" s="2" t="str">
        <x:v>Cycle 2</x:v>
      </x:c>
      <x:c r="C274" s="2" t="str">
        <x:v>Phase 1</x:v>
      </x:c>
      <x:c r="D274" s="2" t="str">
        <x:v>Retail Services</x:v>
      </x:c>
      <x:c r="E274" s="56" t="str">
        <x:v>DI.RS.1.5</x:v>
      </x:c>
      <x:c r="F274" s="14" t="str">
        <x:v>Confirm with Research the recommended topic for approval</x:v>
      </x:c>
      <x:c r="G274" s="5"/>
      <x:c r="H274" s="11"/>
      <x:c r="I274" s="11" t="n">
        <x:f>'Cycles &amp; Guide'!$D$11</x:f>
        <x:v>46203</x:v>
      </x:c>
      <x:c r="J274" s="11"/>
      <x:c r="K274" s="29"/>
      <x:c r="L274" s="2" t="str">
        <x:f>IF(O274=1,"Complete",IF(A274,"Checklist open",IF(H274&lt;&gt;"","In progress","Not started")))</x:f>
        <x:v>Not started</x:v>
      </x:c>
      <x:c r="M274" s="2" t="str">
        <x:v>Task</x:v>
      </x:c>
      <x:c r="N274" s="2" t="str">
        <x:v>DI.RS.1.5.2026.CY2</x:v>
      </x:c>
      <x:c r="O274" s="2" t="n">
        <x:f>R274</x:f>
        <x:v>0</x:v>
      </x:c>
      <x:c r="P274" s="2"/>
      <x:c r="Q274" s="2" t="n">
        <x:v>1</x:v>
      </x:c>
      <x:c r="R274" s="2" t="n">
        <x:f>IF(A274,1,0)</x:f>
        <x:v>0</x:v>
      </x:c>
      <x:c r="S274" s="2" t="n">
        <x:f>SUBTOTAL(103,N274)</x:f>
        <x:v>1</x:v>
      </x:c>
    </x:row>
    <x:row r="275" ht="42" customHeight="1">
      <x:c r="A275" s="28" t="b">
        <x:v>0</x:v>
      </x:c>
      <x:c r="B275" s="2" t="str">
        <x:v>Cycle 2</x:v>
      </x:c>
      <x:c r="C275" s="2" t="str">
        <x:v>Phase 1</x:v>
      </x:c>
      <x:c r="D275" s="2" t="str">
        <x:v>Retail Services</x:v>
      </x:c>
      <x:c r="E275" s="56" t="str">
        <x:v>DI.RS.1.6</x:v>
      </x:c>
      <x:c r="F275" s="14" t="str">
        <x:v>Send topic selection socialization email to all key stakeholders on the first day of the review Cycle</x:v>
      </x:c>
      <x:c r="G275" s="5"/>
      <x:c r="H275" s="11"/>
      <x:c r="I275" s="11" t="n">
        <x:f>'Cycles &amp; Guide'!$C$11</x:f>
        <x:v>46113</x:v>
      </x:c>
      <x:c r="J275" s="11"/>
      <x:c r="K275" s="29"/>
      <x:c r="L275" s="2" t="str">
        <x:f>IF(O275=1,"Complete",IF(A275,"Checklist open",IF(H275&lt;&gt;"","In progress","Not started")))</x:f>
        <x:v>Not started</x:v>
      </x:c>
      <x:c r="M275" s="2" t="str">
        <x:v>Task</x:v>
      </x:c>
      <x:c r="N275" s="2" t="str">
        <x:v>DI.RS.1.6.2026.CY2</x:v>
      </x:c>
      <x:c r="O275" s="2" t="n">
        <x:f>R275</x:f>
        <x:v>0</x:v>
      </x:c>
      <x:c r="P275" s="2"/>
      <x:c r="Q275" s="2" t="n">
        <x:v>1</x:v>
      </x:c>
      <x:c r="R275" s="2" t="n">
        <x:f>IF(A275,1,0)</x:f>
        <x:v>0</x:v>
      </x:c>
      <x:c r="S275" s="2" t="n">
        <x:f>SUBTOTAL(103,N275)</x:f>
        <x:v>1</x:v>
      </x:c>
    </x:row>
    <x:row r="276" ht="42" customHeight="1">
      <x:c r="A276" s="28" t="b">
        <x:v>0</x:v>
      </x:c>
      <x:c r="B276" s="2" t="str">
        <x:v>Cycle 2</x:v>
      </x:c>
      <x:c r="C276" s="2" t="str">
        <x:v>Phase 2</x:v>
      </x:c>
      <x:c r="D276" s="2" t="str">
        <x:v>Retail Services</x:v>
      </x:c>
      <x:c r="E276" s="56" t="str">
        <x:v>DI.RS.2.1</x:v>
      </x:c>
      <x:c r="F276" s="14" t="str">
        <x:v>Meet regularly with Research to stay informed on progress, findings, and potential enhancement</x:v>
      </x:c>
      <x:c r="G276" s="5"/>
      <x:c r="H276" s="11"/>
      <x:c r="I276" s="11" t="n">
        <x:f>'Cycles &amp; Guide'!$D$11</x:f>
        <x:v>46203</x:v>
      </x:c>
      <x:c r="J276" s="11"/>
      <x:c r="K276" s="29"/>
      <x:c r="L276" s="2" t="str">
        <x:f>IF(O276=1,"Complete",IF(A276,"Checklist open",IF(H276&lt;&gt;"","In progress","Not started")))</x:f>
        <x:v>Not started</x:v>
      </x:c>
      <x:c r="M276" s="2" t="str">
        <x:v>Task</x:v>
      </x:c>
      <x:c r="N276" s="2" t="str">
        <x:v>DI.RS.2.1.2026.CY2</x:v>
      </x:c>
      <x:c r="O276" s="2" t="n">
        <x:f>R276</x:f>
        <x:v>0</x:v>
      </x:c>
      <x:c r="P276" s="2"/>
      <x:c r="Q276" s="2" t="n">
        <x:v>1</x:v>
      </x:c>
      <x:c r="R276" s="2" t="n">
        <x:f>IF(A276,1,0)</x:f>
        <x:v>0</x:v>
      </x:c>
      <x:c r="S276" s="2" t="n">
        <x:f>SUBTOTAL(103,N276)</x:f>
        <x:v>1</x:v>
      </x:c>
    </x:row>
    <x:row r="277" ht="42" customHeight="1">
      <x:c r="A277" s="28" t="b">
        <x:v>0</x:v>
      </x:c>
      <x:c r="B277" s="2" t="str">
        <x:v>Cycle 2</x:v>
      </x:c>
      <x:c r="C277" s="2" t="str">
        <x:v>Phase 2</x:v>
      </x:c>
      <x:c r="D277" s="2" t="str">
        <x:v>Retail Services</x:v>
      </x:c>
      <x:c r="E277" s="56" t="str">
        <x:v>DI.RS.2.2</x:v>
      </x:c>
      <x:c r="F277" s="14" t="str">
        <x:v>Collaborate with Research on research plan specifics</x:v>
      </x:c>
      <x:c r="G277" s="5"/>
      <x:c r="H277" s="11"/>
      <x:c r="I277" s="11" t="n">
        <x:f>'Cycles &amp; Guide'!$D$11</x:f>
        <x:v>46203</x:v>
      </x:c>
      <x:c r="J277" s="11"/>
      <x:c r="K277" s="29"/>
      <x:c r="L277" s="2" t="str">
        <x:f>IF(O277=1,"Complete",IF(A277,"Checklist open",IF(H277&lt;&gt;"","In progress","Not started")))</x:f>
        <x:v>Not started</x:v>
      </x:c>
      <x:c r="M277" s="2" t="str">
        <x:v>Task</x:v>
      </x:c>
      <x:c r="N277" s="2" t="str">
        <x:v>DI.RS.2.2.2026.CY2</x:v>
      </x:c>
      <x:c r="O277" s="2" t="n">
        <x:f>R277</x:f>
        <x:v>0</x:v>
      </x:c>
      <x:c r="P277" s="2"/>
      <x:c r="Q277" s="2" t="n">
        <x:v>1</x:v>
      </x:c>
      <x:c r="R277" s="2" t="n">
        <x:f>IF(A277,1,0)</x:f>
        <x:v>0</x:v>
      </x:c>
      <x:c r="S277" s="2" t="n">
        <x:f>SUBTOTAL(103,N277)</x:f>
        <x:v>1</x:v>
      </x:c>
    </x:row>
    <x:row r="278" ht="42" customHeight="1">
      <x:c r="A278" s="28" t="b">
        <x:v>0</x:v>
      </x:c>
      <x:c r="B278" s="2" t="str">
        <x:v>Cycle 2</x:v>
      </x:c>
      <x:c r="C278" s="2" t="str">
        <x:v>Phase 2</x:v>
      </x:c>
      <x:c r="D278" s="2" t="str">
        <x:v>Retail Services</x:v>
      </x:c>
      <x:c r="E278" s="56" t="str">
        <x:v>DI.RS.2.3</x:v>
      </x:c>
      <x:c r="F278" s="14" t="str">
        <x:v>Participate in SME insight meetings to gain perspective and appetite on potential enhancements</x:v>
      </x:c>
      <x:c r="G278" s="5"/>
      <x:c r="H278" s="11"/>
      <x:c r="I278" s="11" t="n">
        <x:f>'Cycles &amp; Guide'!$D$11</x:f>
        <x:v>46203</x:v>
      </x:c>
      <x:c r="J278" s="11"/>
      <x:c r="K278" s="29"/>
      <x:c r="L278" s="2" t="str">
        <x:f>IF(O278=1,"Complete",IF(A278,"Checklist open",IF(H278&lt;&gt;"","In progress","Not started")))</x:f>
        <x:v>Not started</x:v>
      </x:c>
      <x:c r="M278" s="2" t="str">
        <x:v>Task</x:v>
      </x:c>
      <x:c r="N278" s="2" t="str">
        <x:v>DI.RS.2.3.2026.CY2</x:v>
      </x:c>
      <x:c r="O278" s="2" t="n">
        <x:f>R278</x:f>
        <x:v>0</x:v>
      </x:c>
      <x:c r="P278" s="2"/>
      <x:c r="Q278" s="2" t="n">
        <x:v>1</x:v>
      </x:c>
      <x:c r="R278" s="2" t="n">
        <x:f>IF(A278,1,0)</x:f>
        <x:v>0</x:v>
      </x:c>
      <x:c r="S278" s="2" t="n">
        <x:f>SUBTOTAL(103,N278)</x:f>
        <x:v>1</x:v>
      </x:c>
    </x:row>
    <x:row r="279" ht="42" customHeight="1">
      <x:c r="A279" s="28" t="b">
        <x:v>0</x:v>
      </x:c>
      <x:c r="B279" s="2" t="str">
        <x:v>Cycle 2</x:v>
      </x:c>
      <x:c r="C279" s="2" t="str">
        <x:v>Phase 2</x:v>
      </x:c>
      <x:c r="D279" s="2" t="str">
        <x:v>Retail Services</x:v>
      </x:c>
      <x:c r="E279" s="56" t="str">
        <x:v>DI.RS.2.4</x:v>
      </x:c>
      <x:c r="F279" s="14" t="str">
        <x:v>Begin development of presentation materials as Research is being completed</x:v>
      </x:c>
      <x:c r="G279" s="5"/>
      <x:c r="H279" s="11"/>
      <x:c r="I279" s="11" t="n">
        <x:f>'Cycles &amp; Guide'!$D$11</x:f>
        <x:v>46203</x:v>
      </x:c>
      <x:c r="J279" s="11"/>
      <x:c r="K279" s="29"/>
      <x:c r="L279" s="2" t="str">
        <x:f>IF(O279=1,"Complete",IF(A279,"Checklist open",IF(H279&lt;&gt;"","In progress","Not started")))</x:f>
        <x:v>Not started</x:v>
      </x:c>
      <x:c r="M279" s="2" t="str">
        <x:v>Task</x:v>
      </x:c>
      <x:c r="N279" s="2" t="str">
        <x:v>DI.RS.2.4.2026.CY2</x:v>
      </x:c>
      <x:c r="O279" s="2" t="n">
        <x:f>R279</x:f>
        <x:v>0</x:v>
      </x:c>
      <x:c r="P279" s="2"/>
      <x:c r="Q279" s="2" t="n">
        <x:v>1</x:v>
      </x:c>
      <x:c r="R279" s="2" t="n">
        <x:f>IF(A279,1,0)</x:f>
        <x:v>0</x:v>
      </x:c>
      <x:c r="S279" s="2" t="n">
        <x:f>SUBTOTAL(103,N279)</x:f>
        <x:v>1</x:v>
      </x:c>
    </x:row>
    <x:row r="280" ht="42" customHeight="1">
      <x:c r="A280" s="28" t="b">
        <x:v>0</x:v>
      </x:c>
      <x:c r="B280" s="2" t="str">
        <x:v>Cycle 2</x:v>
      </x:c>
      <x:c r="C280" s="2" t="str">
        <x:v>Phase 2</x:v>
      </x:c>
      <x:c r="D280" s="2" t="str">
        <x:v>Retail Services</x:v>
      </x:c>
      <x:c r="E280" s="56" t="str">
        <x:v>DI.RS.2.5</x:v>
      </x:c>
      <x:c r="F280" s="14" t="str">
        <x:v>Draft initial enhancement recommendations (as applicable)</x:v>
      </x:c>
      <x:c r="G280" s="5"/>
      <x:c r="H280" s="11"/>
      <x:c r="I280" s="11" t="n">
        <x:f>'Cycles &amp; Guide'!$D$11</x:f>
        <x:v>46203</x:v>
      </x:c>
      <x:c r="J280" s="11"/>
      <x:c r="K280" s="29"/>
      <x:c r="L280" s="2" t="str">
        <x:f>IF(O280=1,"Complete",IF(A280,"Checklist open",IF(H280&lt;&gt;"","In progress","Not started")))</x:f>
        <x:v>Not started</x:v>
      </x:c>
      <x:c r="M280" s="2" t="str">
        <x:v>Task</x:v>
      </x:c>
      <x:c r="N280" s="2" t="str">
        <x:v>DI.RS.2.5.2026.CY2</x:v>
      </x:c>
      <x:c r="O280" s="2" t="n">
        <x:f>R280</x:f>
        <x:v>0</x:v>
      </x:c>
      <x:c r="P280" s="2"/>
      <x:c r="Q280" s="2" t="n">
        <x:v>1</x:v>
      </x:c>
      <x:c r="R280" s="2" t="n">
        <x:f>IF(A280,1,0)</x:f>
        <x:v>0</x:v>
      </x:c>
      <x:c r="S280" s="2" t="n">
        <x:f>SUBTOTAL(103,N280)</x:f>
        <x:v>1</x:v>
      </x:c>
    </x:row>
    <x:row r="281" ht="42" customHeight="1">
      <x:c r="A281" s="28" t="b">
        <x:v>0</x:v>
      </x:c>
      <x:c r="B281" s="2" t="str">
        <x:v>Cycle 2</x:v>
      </x:c>
      <x:c r="C281" s="2" t="str">
        <x:v>Phase 2</x:v>
      </x:c>
      <x:c r="D281" s="2" t="str">
        <x:v>Retail Services</x:v>
      </x:c>
      <x:c r="E281" s="56" t="str">
        <x:v>DI.RS.2.6</x:v>
      </x:c>
      <x:c r="F281" s="14" t="str">
        <x:v>Finalize presentation deck draft at conclusion of Research phase</x:v>
      </x:c>
      <x:c r="G281" s="5"/>
      <x:c r="H281" s="11"/>
      <x:c r="I281" s="11" t="n">
        <x:f>'Cycles &amp; Guide'!$D$11</x:f>
        <x:v>46203</x:v>
      </x:c>
      <x:c r="J281" s="11"/>
      <x:c r="K281" s="29"/>
      <x:c r="L281" s="2" t="str">
        <x:f>IF(O281=1,"Complete",IF(A281,"Checklist open",IF(H281&lt;&gt;"","In progress","Not started")))</x:f>
        <x:v>Not started</x:v>
      </x:c>
      <x:c r="M281" s="2" t="str">
        <x:v>Task</x:v>
      </x:c>
      <x:c r="N281" s="2" t="str">
        <x:v>DI.RS.2.6.2026.CY2</x:v>
      </x:c>
      <x:c r="O281" s="2" t="n">
        <x:f>R281</x:f>
        <x:v>0</x:v>
      </x:c>
      <x:c r="P281" s="2"/>
      <x:c r="Q281" s="2" t="n">
        <x:v>1</x:v>
      </x:c>
      <x:c r="R281" s="2" t="n">
        <x:f>IF(A281,1,0)</x:f>
        <x:v>0</x:v>
      </x:c>
      <x:c r="S281" s="2" t="n">
        <x:f>SUBTOTAL(103,N281)</x:f>
        <x:v>1</x:v>
      </x:c>
    </x:row>
    <x:row r="282" ht="42" customHeight="1">
      <x:c r="A282" s="28" t="b">
        <x:v>0</x:v>
      </x:c>
      <x:c r="B282" s="2" t="str">
        <x:v>Cycle 2</x:v>
      </x:c>
      <x:c r="C282" s="2" t="str">
        <x:v>Phase 2</x:v>
      </x:c>
      <x:c r="D282" s="2" t="str">
        <x:v>Retail Services</x:v>
      </x:c>
      <x:c r="E282" s="56" t="str">
        <x:v>DI.RS.2.7</x:v>
      </x:c>
      <x:c r="F282" s="14" t="str">
        <x:v>Update Outcome portion of research plan with current enhancement verbiage (as needed)</x:v>
      </x:c>
      <x:c r="G282" s="5"/>
      <x:c r="H282" s="11"/>
      <x:c r="I282" s="11" t="n">
        <x:f>'Cycles &amp; Guide'!$D$11</x:f>
        <x:v>46203</x:v>
      </x:c>
      <x:c r="J282" s="11"/>
      <x:c r="K282" s="29"/>
      <x:c r="L282" s="2" t="str">
        <x:f>IF(O282=1,"Complete",IF(A282,"Checklist open",IF(H282&lt;&gt;"","In progress","Not started")))</x:f>
        <x:v>Not started</x:v>
      </x:c>
      <x:c r="M282" s="2" t="str">
        <x:v>Task</x:v>
      </x:c>
      <x:c r="N282" s="2" t="str">
        <x:v>DI.RS.2.7.2026.CY2</x:v>
      </x:c>
      <x:c r="O282" s="2" t="n">
        <x:f>R282</x:f>
        <x:v>0</x:v>
      </x:c>
      <x:c r="P282" s="2"/>
      <x:c r="Q282" s="2" t="n">
        <x:v>1</x:v>
      </x:c>
      <x:c r="R282" s="2" t="n">
        <x:f>IF(A282,1,0)</x:f>
        <x:v>0</x:v>
      </x:c>
      <x:c r="S282" s="2" t="n">
        <x:f>SUBTOTAL(103,N282)</x:f>
        <x:v>1</x:v>
      </x:c>
    </x:row>
    <x:row r="283" ht="42" customHeight="1">
      <x:c r="A283" s="28" t="b">
        <x:v>0</x:v>
      </x:c>
      <x:c r="B283" s="2" t="str">
        <x:v>Cycle 2</x:v>
      </x:c>
      <x:c r="C283" s="2" t="str">
        <x:v>Phase 3</x:v>
      </x:c>
      <x:c r="D283" s="2" t="str">
        <x:v>Retail Services</x:v>
      </x:c>
      <x:c r="E283" s="56" t="str">
        <x:v>DI.RS.3.1</x:v>
      </x:c>
      <x:c r="F283" s="14" t="str">
        <x:v>Confirm list of required &amp; optional attendees for pre-socialization meeting</x:v>
      </x:c>
      <x:c r="G283" s="5"/>
      <x:c r="H283" s="11"/>
      <x:c r="I283" s="11" t="n">
        <x:f>'Cycles &amp; Guide'!$D$11</x:f>
        <x:v>46203</x:v>
      </x:c>
      <x:c r="J283" s="11"/>
      <x:c r="K283" s="29"/>
      <x:c r="L283" s="2" t="str">
        <x:f>IF(O283=1,"Complete",IF(A283,"Checklist open",IF(H283&lt;&gt;"","In progress","Not started")))</x:f>
        <x:v>Not started</x:v>
      </x:c>
      <x:c r="M283" s="2" t="str">
        <x:v>Task</x:v>
      </x:c>
      <x:c r="N283" s="2" t="str">
        <x:v>DI.RS.3.1.2026.CY2</x:v>
      </x:c>
      <x:c r="O283" s="2" t="n">
        <x:f>R283</x:f>
        <x:v>0</x:v>
      </x:c>
      <x:c r="P283" s="2"/>
      <x:c r="Q283" s="2" t="n">
        <x:v>1</x:v>
      </x:c>
      <x:c r="R283" s="2" t="n">
        <x:f>IF(A283,1,0)</x:f>
        <x:v>0</x:v>
      </x:c>
      <x:c r="S283" s="2" t="n">
        <x:f>SUBTOTAL(103,N283)</x:f>
        <x:v>1</x:v>
      </x:c>
    </x:row>
    <x:row r="284" ht="42" customHeight="1">
      <x:c r="A284" s="28" t="b">
        <x:v>0</x:v>
      </x:c>
      <x:c r="B284" s="2" t="str">
        <x:v>Cycle 2</x:v>
      </x:c>
      <x:c r="C284" s="2" t="str">
        <x:v>Phase 3</x:v>
      </x:c>
      <x:c r="D284" s="2" t="str">
        <x:v>Retail Services</x:v>
      </x:c>
      <x:c r="E284" s="56" t="str">
        <x:v>DI.RS.3.2</x:v>
      </x:c>
      <x:c r="F284" s="14" t="str">
        <x:v>Schedule pre-socialization meeting 1 week prior to RCA Forum</x:v>
      </x:c>
      <x:c r="G284" s="5"/>
      <x:c r="H284" s="11"/>
      <x:c r="I284" s="11" t="str">
        <x:f>IF(SUMIFS('Cycles &amp; Guide'!$D$23:$D$50,'Cycles &amp; Guide'!$B$23:$B$50,B284,'Cycles &amp; Guide'!$C$23:$C$50,D284)=0,"",SUMIFS('Cycles &amp; Guide'!$D$23:$D$50,'Cycles &amp; Guide'!$B$23:$B$50,B284,'Cycles &amp; Guide'!$C$23:$C$50,D284)-7)</x:f>
      </x:c>
      <x:c r="J284" s="11"/>
      <x:c r="K284" s="29"/>
      <x:c r="L284" s="2" t="str">
        <x:f>IF(O284=1,"Complete",IF(A284,"Checklist open",IF(H284&lt;&gt;"","In progress","Not started")))</x:f>
        <x:v>Not started</x:v>
      </x:c>
      <x:c r="M284" s="2" t="str">
        <x:v>Task</x:v>
      </x:c>
      <x:c r="N284" s="2" t="str">
        <x:v>DI.RS.3.2.2026.CY2</x:v>
      </x:c>
      <x:c r="O284" s="2" t="n">
        <x:f>R284</x:f>
        <x:v>0</x:v>
      </x:c>
      <x:c r="P284" s="2"/>
      <x:c r="Q284" s="2" t="n">
        <x:v>1</x:v>
      </x:c>
      <x:c r="R284" s="2" t="n">
        <x:f>IF(A284,1,0)</x:f>
        <x:v>0</x:v>
      </x:c>
      <x:c r="S284" s="2" t="n">
        <x:f>SUBTOTAL(103,N284)</x:f>
        <x:v>1</x:v>
      </x:c>
    </x:row>
    <x:row r="285" ht="42" customHeight="1">
      <x:c r="A285" s="28" t="b">
        <x:v>0</x:v>
      </x:c>
      <x:c r="B285" s="2" t="str">
        <x:v>Cycle 2</x:v>
      </x:c>
      <x:c r="C285" s="2" t="str">
        <x:v>Phase 3</x:v>
      </x:c>
      <x:c r="D285" s="2" t="str">
        <x:v>Retail Services</x:v>
      </x:c>
      <x:c r="E285" s="56" t="str">
        <x:v>DI.RS.3.3</x:v>
      </x:c>
      <x:c r="F285" s="14" t="str">
        <x:v>Present findings, conclusions, and recommendation to SMEs</x:v>
      </x:c>
      <x:c r="G285" s="5"/>
      <x:c r="H285" s="11"/>
      <x:c r="I285" s="11" t="n">
        <x:f>'Cycles &amp; Guide'!$D$11</x:f>
        <x:v>46203</x:v>
      </x:c>
      <x:c r="J285" s="11"/>
      <x:c r="K285" s="29"/>
      <x:c r="L285" s="2" t="str">
        <x:f>IF(O285=1,"Complete",IF(A285,"Checklist open",IF(H285&lt;&gt;"","In progress","Not started")))</x:f>
        <x:v>Not started</x:v>
      </x:c>
      <x:c r="M285" s="2" t="str">
        <x:v>Task</x:v>
      </x:c>
      <x:c r="N285" s="2" t="str">
        <x:v>DI.RS.3.3.2026.CY2</x:v>
      </x:c>
      <x:c r="O285" s="2" t="n">
        <x:f>R285</x:f>
        <x:v>0</x:v>
      </x:c>
      <x:c r="P285" s="2"/>
      <x:c r="Q285" s="2" t="n">
        <x:v>1</x:v>
      </x:c>
      <x:c r="R285" s="2" t="n">
        <x:f>IF(A285,1,0)</x:f>
        <x:v>0</x:v>
      </x:c>
      <x:c r="S285" s="2" t="n">
        <x:f>SUBTOTAL(103,N285)</x:f>
        <x:v>1</x:v>
      </x:c>
    </x:row>
    <x:row r="286" ht="42" customHeight="1">
      <x:c r="A286" s="28" t="b">
        <x:v>0</x:v>
      </x:c>
      <x:c r="B286" s="2" t="str">
        <x:v>Cycle 2</x:v>
      </x:c>
      <x:c r="C286" s="2" t="str">
        <x:v>Phase 3</x:v>
      </x:c>
      <x:c r="D286" s="2" t="str">
        <x:v>Retail Services</x:v>
      </x:c>
      <x:c r="E286" s="56" t="str">
        <x:v>DI.RS.3.4</x:v>
      </x:c>
      <x:c r="F286" s="14" t="str">
        <x:v>Update Outcome portion of research plan (as needed)</x:v>
      </x:c>
      <x:c r="G286" s="5"/>
      <x:c r="H286" s="11"/>
      <x:c r="I286" s="11" t="n">
        <x:f>'Cycles &amp; Guide'!$D$11</x:f>
        <x:v>46203</x:v>
      </x:c>
      <x:c r="J286" s="11"/>
      <x:c r="K286" s="29"/>
      <x:c r="L286" s="2" t="str">
        <x:f>IF(O286=1,"Complete",IF(A286,"Checklist open",IF(H286&lt;&gt;"","In progress","Not started")))</x:f>
        <x:v>Not started</x:v>
      </x:c>
      <x:c r="M286" s="2" t="str">
        <x:v>Task</x:v>
      </x:c>
      <x:c r="N286" s="2" t="str">
        <x:v>DI.RS.3.4.2026.CY2</x:v>
      </x:c>
      <x:c r="O286" s="2" t="n">
        <x:f>R286</x:f>
        <x:v>0</x:v>
      </x:c>
      <x:c r="P286" s="2"/>
      <x:c r="Q286" s="2" t="n">
        <x:v>1</x:v>
      </x:c>
      <x:c r="R286" s="2" t="n">
        <x:f>IF(A286,1,0)</x:f>
        <x:v>0</x:v>
      </x:c>
      <x:c r="S286" s="2" t="n">
        <x:f>SUBTOTAL(103,N286)</x:f>
        <x:v>1</x:v>
      </x:c>
    </x:row>
    <x:row r="287" ht="42" customHeight="1">
      <x:c r="A287" s="28" t="b">
        <x:v>0</x:v>
      </x:c>
      <x:c r="B287" s="2" t="str">
        <x:v>Cycle 2</x:v>
      </x:c>
      <x:c r="C287" s="2" t="str">
        <x:v>Phase 3</x:v>
      </x:c>
      <x:c r="D287" s="2" t="str">
        <x:v>Retail Services</x:v>
      </x:c>
      <x:c r="E287" s="56" t="str">
        <x:v>DI.RS.3.5</x:v>
      </x:c>
      <x:c r="F287" s="14" t="str">
        <x:v>Finalize presentation deck by incorporating pre-socialization feedback (as needed)</x:v>
      </x:c>
      <x:c r="G287" s="5"/>
      <x:c r="H287" s="11"/>
      <x:c r="I287" s="11" t="n">
        <x:f>'Cycles &amp; Guide'!$D$11</x:f>
        <x:v>46203</x:v>
      </x:c>
      <x:c r="J287" s="11"/>
      <x:c r="K287" s="29"/>
      <x:c r="L287" s="2" t="str">
        <x:f>IF(O287=1,"Complete",IF(A287,"Checklist open",IF(H287&lt;&gt;"","In progress","Not started")))</x:f>
        <x:v>Not started</x:v>
      </x:c>
      <x:c r="M287" s="2" t="str">
        <x:v>Task</x:v>
      </x:c>
      <x:c r="N287" s="2" t="str">
        <x:v>DI.RS.3.5.2026.CY2</x:v>
      </x:c>
      <x:c r="O287" s="2" t="n">
        <x:f>R287</x:f>
        <x:v>0</x:v>
      </x:c>
      <x:c r="P287" s="2"/>
      <x:c r="Q287" s="2" t="n">
        <x:v>1</x:v>
      </x:c>
      <x:c r="R287" s="2" t="n">
        <x:f>IF(A287,1,0)</x:f>
        <x:v>0</x:v>
      </x:c>
      <x:c r="S287" s="2" t="n">
        <x:f>SUBTOTAL(103,N287)</x:f>
        <x:v>1</x:v>
      </x:c>
    </x:row>
    <x:row r="288" ht="42" customHeight="1">
      <x:c r="A288" s="28" t="b">
        <x:v>0</x:v>
      </x:c>
      <x:c r="B288" s="2" t="str">
        <x:v>Cycle 2</x:v>
      </x:c>
      <x:c r="C288" s="2" t="str">
        <x:v>Phase 3</x:v>
      </x:c>
      <x:c r="D288" s="2" t="str">
        <x:v>Retail Services</x:v>
      </x:c>
      <x:c r="E288" s="56" t="str">
        <x:v>DI.RS.3.6</x:v>
      </x:c>
      <x:c r="F288" s="14" t="str">
        <x:v>Ensure final deck is communicated to Forum attendees</x:v>
      </x:c>
      <x:c r="G288" s="5"/>
      <x:c r="H288" s="11"/>
      <x:c r="I288" s="11" t="n">
        <x:f>'Cycles &amp; Guide'!$D$11</x:f>
        <x:v>46203</x:v>
      </x:c>
      <x:c r="J288" s="11"/>
      <x:c r="K288" s="29"/>
      <x:c r="L288" s="2" t="str">
        <x:f>IF(O288=1,"Complete",IF(A288,"Checklist open",IF(H288&lt;&gt;"","In progress","Not started")))</x:f>
        <x:v>Not started</x:v>
      </x:c>
      <x:c r="M288" s="2" t="str">
        <x:v>Task</x:v>
      </x:c>
      <x:c r="N288" s="2" t="str">
        <x:v>DI.RS.3.6.2026.CY2</x:v>
      </x:c>
      <x:c r="O288" s="2" t="n">
        <x:f>R288</x:f>
        <x:v>0</x:v>
      </x:c>
      <x:c r="P288" s="2"/>
      <x:c r="Q288" s="2" t="n">
        <x:v>1</x:v>
      </x:c>
      <x:c r="R288" s="2" t="n">
        <x:f>IF(A288,1,0)</x:f>
        <x:v>0</x:v>
      </x:c>
      <x:c r="S288" s="2" t="n">
        <x:f>SUBTOTAL(103,N288)</x:f>
        <x:v>1</x:v>
      </x:c>
    </x:row>
    <x:row r="289" ht="42" customHeight="1">
      <x:c r="A289" s="28" t="b">
        <x:v>0</x:v>
      </x:c>
      <x:c r="B289" s="2" t="str">
        <x:v>Cycle 2</x:v>
      </x:c>
      <x:c r="C289" s="2" t="str">
        <x:v>Phase 3</x:v>
      </x:c>
      <x:c r="D289" s="2" t="str">
        <x:v>Retail Services</x:v>
      </x:c>
      <x:c r="E289" s="56" t="str">
        <x:v>DI.RS.3.7</x:v>
      </x:c>
      <x:c r="F289" s="14" t="str">
        <x:v>Present material in RCA Cycle Forum</x:v>
      </x:c>
      <x:c r="G289" s="5"/>
      <x:c r="H289" s="11"/>
      <x:c r="I289" s="11" t="str">
        <x:f>IF(SUMIFS('Cycles &amp; Guide'!$D$23:$D$50,'Cycles &amp; Guide'!$B$23:$B$50,B289,'Cycles &amp; Guide'!$C$23:$C$50,D289)=0,"",SUMIFS('Cycles &amp; Guide'!$D$23:$D$50,'Cycles &amp; Guide'!$B$23:$B$50,B289,'Cycles &amp; Guide'!$C$23:$C$50,D289))</x:f>
      </x:c>
      <x:c r="J289" s="11"/>
      <x:c r="K289" s="29"/>
      <x:c r="L289" s="2" t="str">
        <x:f>IF(O289=1,"Complete",IF(A289,"Checklist open",IF(H289&lt;&gt;"","In progress","Not started")))</x:f>
        <x:v>Not started</x:v>
      </x:c>
      <x:c r="M289" s="2" t="str">
        <x:v>Task</x:v>
      </x:c>
      <x:c r="N289" s="2" t="str">
        <x:v>DI.RS.3.7.2026.CY2</x:v>
      </x:c>
      <x:c r="O289" s="2" t="n">
        <x:f>R289</x:f>
        <x:v>0</x:v>
      </x:c>
      <x:c r="P289" s="2"/>
      <x:c r="Q289" s="2" t="n">
        <x:v>1</x:v>
      </x:c>
      <x:c r="R289" s="2" t="n">
        <x:f>IF(A289,1,0)</x:f>
        <x:v>0</x:v>
      </x:c>
      <x:c r="S289" s="2" t="n">
        <x:f>SUBTOTAL(103,N289)</x:f>
        <x:v>1</x:v>
      </x:c>
    </x:row>
    <x:row r="290" ht="42" customHeight="1">
      <x:c r="A290" s="28" t="b">
        <x:v>0</x:v>
      </x:c>
      <x:c r="B290" s="2" t="str">
        <x:v>Cycle 3</x:v>
      </x:c>
      <x:c r="C290" s="2" t="str">
        <x:v>Phase 1</x:v>
      </x:c>
      <x:c r="D290" s="2" t="str">
        <x:v>Auto</x:v>
      </x:c>
      <x:c r="E290" s="56" t="str">
        <x:v>DI.AU.1.1</x:v>
      </x:c>
      <x:c r="F290" s="14" t="str">
        <x:v>Receive and review potential research topics at least 2 weeks prior to Cycle start date</x:v>
      </x:c>
      <x:c r="G290" s="5"/>
      <x:c r="H290" s="11"/>
      <x:c r="I290" s="11" t="n">
        <x:f>'Cycles &amp; Guide'!$C$12-14</x:f>
        <x:v>46190</x:v>
      </x:c>
      <x:c r="J290" s="11"/>
      <x:c r="K290" s="29"/>
      <x:c r="L290" s="2" t="str">
        <x:f>IF(O290=1,"Complete",IF(A290,"Checklist open",IF(H290&lt;&gt;"","In progress","Not started")))</x:f>
        <x:v>Not started</x:v>
      </x:c>
      <x:c r="M290" s="2" t="str">
        <x:v>Task</x:v>
      </x:c>
      <x:c r="N290" s="2" t="str">
        <x:v>DI.AU.1.1.2026.CY3</x:v>
      </x:c>
      <x:c r="O290" s="2" t="n">
        <x:f>R290</x:f>
        <x:v>0</x:v>
      </x:c>
      <x:c r="P290" s="2"/>
      <x:c r="Q290" s="2" t="n">
        <x:v>1</x:v>
      </x:c>
      <x:c r="R290" s="2" t="n">
        <x:f>IF(A290,1,0)</x:f>
        <x:v>0</x:v>
      </x:c>
      <x:c r="S290" s="2" t="n">
        <x:f>SUBTOTAL(103,N290)</x:f>
        <x:v>1</x:v>
      </x:c>
    </x:row>
    <x:row r="291" ht="42" customHeight="1">
      <x:c r="A291" s="28" t="b">
        <x:v>0</x:v>
      </x:c>
      <x:c r="B291" s="2" t="str">
        <x:v>Cycle 3</x:v>
      </x:c>
      <x:c r="C291" s="2" t="str">
        <x:v>Phase 1</x:v>
      </x:c>
      <x:c r="D291" s="2" t="str">
        <x:v>Auto</x:v>
      </x:c>
      <x:c r="E291" s="56" t="str">
        <x:v>DI.AU.1.2</x:v>
      </x:c>
      <x:c r="F291" s="14" t="str">
        <x:v>Communicate any feedback on preferences or concerns with topics identified</x:v>
      </x:c>
      <x:c r="G291" s="5"/>
      <x:c r="H291" s="11"/>
      <x:c r="I291" s="11" t="n">
        <x:f>'Cycles &amp; Guide'!$D$12</x:f>
        <x:v>46295</x:v>
      </x:c>
      <x:c r="J291" s="11"/>
      <x:c r="K291" s="29"/>
      <x:c r="L291" s="2" t="str">
        <x:f>IF(O291=1,"Complete",IF(A291,"Checklist open",IF(H291&lt;&gt;"","In progress","Not started")))</x:f>
        <x:v>Not started</x:v>
      </x:c>
      <x:c r="M291" s="2" t="str">
        <x:v>Task</x:v>
      </x:c>
      <x:c r="N291" s="2" t="str">
        <x:v>DI.AU.1.2.2026.CY3</x:v>
      </x:c>
      <x:c r="O291" s="2" t="n">
        <x:f>R291</x:f>
        <x:v>0</x:v>
      </x:c>
      <x:c r="P291" s="2"/>
      <x:c r="Q291" s="2" t="n">
        <x:v>1</x:v>
      </x:c>
      <x:c r="R291" s="2" t="n">
        <x:f>IF(A291,1,0)</x:f>
        <x:v>0</x:v>
      </x:c>
      <x:c r="S291" s="2" t="n">
        <x:f>SUBTOTAL(103,N291)</x:f>
        <x:v>1</x:v>
      </x:c>
    </x:row>
    <x:row r="292" ht="42" customHeight="1">
      <x:c r="A292" s="28" t="b">
        <x:v>0</x:v>
      </x:c>
      <x:c r="B292" s="2" t="str">
        <x:v>Cycle 3</x:v>
      </x:c>
      <x:c r="C292" s="2" t="str">
        <x:v>Phase 1</x:v>
      </x:c>
      <x:c r="D292" s="2" t="str">
        <x:v>Auto</x:v>
      </x:c>
      <x:c r="E292" s="56" t="str">
        <x:v>DI.AU.1.3</x:v>
      </x:c>
      <x:c r="F292" s="14" t="str">
        <x:v>Conduct high-level preliminary review of complaints within proposed topics</x:v>
      </x:c>
      <x:c r="G292" s="5"/>
      <x:c r="H292" s="11"/>
      <x:c r="I292" s="11" t="n">
        <x:f>'Cycles &amp; Guide'!$D$12</x:f>
        <x:v>46295</x:v>
      </x:c>
      <x:c r="J292" s="11"/>
      <x:c r="K292" s="29"/>
      <x:c r="L292" s="2" t="str">
        <x:f>IF(O292=1,"Complete",IF(A292,"Checklist open",IF(H292&lt;&gt;"","In progress","Not started")))</x:f>
        <x:v>Not started</x:v>
      </x:c>
      <x:c r="M292" s="2" t="str">
        <x:v>Task</x:v>
      </x:c>
      <x:c r="N292" s="2" t="str">
        <x:v>DI.AU.1.3.2026.CY3</x:v>
      </x:c>
      <x:c r="O292" s="2" t="n">
        <x:f>R292</x:f>
        <x:v>0</x:v>
      </x:c>
      <x:c r="P292" s="2"/>
      <x:c r="Q292" s="2" t="n">
        <x:v>1</x:v>
      </x:c>
      <x:c r="R292" s="2" t="n">
        <x:f>IF(A292,1,0)</x:f>
        <x:v>0</x:v>
      </x:c>
      <x:c r="S292" s="2" t="n">
        <x:f>SUBTOTAL(103,N292)</x:f>
        <x:v>1</x:v>
      </x:c>
    </x:row>
    <x:row r="293" ht="42" customHeight="1">
      <x:c r="A293" s="28" t="b">
        <x:v>0</x:v>
      </x:c>
      <x:c r="B293" s="2" t="str">
        <x:v>Cycle 3</x:v>
      </x:c>
      <x:c r="C293" s="2" t="str">
        <x:v>Phase 1</x:v>
      </x:c>
      <x:c r="D293" s="2" t="str">
        <x:v>Auto</x:v>
      </x:c>
      <x:c r="E293" s="56" t="str">
        <x:v>DI.AU.1.4</x:v>
      </x:c>
      <x:c r="F293" s="14" t="str">
        <x:v>Meet with Research to discuss which topic to select based on potential impact</x:v>
      </x:c>
      <x:c r="G293" s="5"/>
      <x:c r="H293" s="11"/>
      <x:c r="I293" s="11" t="n">
        <x:f>'Cycles &amp; Guide'!$D$12</x:f>
        <x:v>46295</x:v>
      </x:c>
      <x:c r="J293" s="11"/>
      <x:c r="K293" s="29"/>
      <x:c r="L293" s="2" t="str">
        <x:f>IF(O293=1,"Complete",IF(A293,"Checklist open",IF(H293&lt;&gt;"","In progress","Not started")))</x:f>
        <x:v>Not started</x:v>
      </x:c>
      <x:c r="M293" s="2" t="str">
        <x:v>Task</x:v>
      </x:c>
      <x:c r="N293" s="2" t="str">
        <x:v>DI.AU.1.4.2026.CY3</x:v>
      </x:c>
      <x:c r="O293" s="2" t="n">
        <x:f>R293</x:f>
        <x:v>0</x:v>
      </x:c>
      <x:c r="P293" s="2"/>
      <x:c r="Q293" s="2" t="n">
        <x:v>1</x:v>
      </x:c>
      <x:c r="R293" s="2" t="n">
        <x:f>IF(A293,1,0)</x:f>
        <x:v>0</x:v>
      </x:c>
      <x:c r="S293" s="2" t="n">
        <x:f>SUBTOTAL(103,N293)</x:f>
        <x:v>1</x:v>
      </x:c>
    </x:row>
    <x:row r="294" ht="42" customHeight="1">
      <x:c r="A294" s="28" t="b">
        <x:v>0</x:v>
      </x:c>
      <x:c r="B294" s="2" t="str">
        <x:v>Cycle 3</x:v>
      </x:c>
      <x:c r="C294" s="2" t="str">
        <x:v>Phase 1</x:v>
      </x:c>
      <x:c r="D294" s="2" t="str">
        <x:v>Auto</x:v>
      </x:c>
      <x:c r="E294" s="56" t="str">
        <x:v>DI.AU.1.5</x:v>
      </x:c>
      <x:c r="F294" s="14" t="str">
        <x:v>Confirm with Research the recommended topic for approval</x:v>
      </x:c>
      <x:c r="G294" s="5"/>
      <x:c r="H294" s="11"/>
      <x:c r="I294" s="11" t="n">
        <x:f>'Cycles &amp; Guide'!$D$12</x:f>
        <x:v>46295</x:v>
      </x:c>
      <x:c r="J294" s="11"/>
      <x:c r="K294" s="29"/>
      <x:c r="L294" s="2" t="str">
        <x:f>IF(O294=1,"Complete",IF(A294,"Checklist open",IF(H294&lt;&gt;"","In progress","Not started")))</x:f>
        <x:v>Not started</x:v>
      </x:c>
      <x:c r="M294" s="2" t="str">
        <x:v>Task</x:v>
      </x:c>
      <x:c r="N294" s="2" t="str">
        <x:v>DI.AU.1.5.2026.CY3</x:v>
      </x:c>
      <x:c r="O294" s="2" t="n">
        <x:f>R294</x:f>
        <x:v>0</x:v>
      </x:c>
      <x:c r="P294" s="2"/>
      <x:c r="Q294" s="2" t="n">
        <x:v>1</x:v>
      </x:c>
      <x:c r="R294" s="2" t="n">
        <x:f>IF(A294,1,0)</x:f>
        <x:v>0</x:v>
      </x:c>
      <x:c r="S294" s="2" t="n">
        <x:f>SUBTOTAL(103,N294)</x:f>
        <x:v>1</x:v>
      </x:c>
    </x:row>
    <x:row r="295" ht="42" customHeight="1">
      <x:c r="A295" s="28" t="b">
        <x:v>0</x:v>
      </x:c>
      <x:c r="B295" s="2" t="str">
        <x:v>Cycle 3</x:v>
      </x:c>
      <x:c r="C295" s="2" t="str">
        <x:v>Phase 1</x:v>
      </x:c>
      <x:c r="D295" s="2" t="str">
        <x:v>Auto</x:v>
      </x:c>
      <x:c r="E295" s="56" t="str">
        <x:v>DI.AU.1.6</x:v>
      </x:c>
      <x:c r="F295" s="14" t="str">
        <x:v>Send topic selection socialization email to all key stakeholders on the first day of the review Cycle</x:v>
      </x:c>
      <x:c r="G295" s="5"/>
      <x:c r="H295" s="11"/>
      <x:c r="I295" s="11" t="n">
        <x:f>'Cycles &amp; Guide'!$C$12</x:f>
        <x:v>46204</x:v>
      </x:c>
      <x:c r="J295" s="11"/>
      <x:c r="K295" s="29"/>
      <x:c r="L295" s="2" t="str">
        <x:f>IF(O295=1,"Complete",IF(A295,"Checklist open",IF(H295&lt;&gt;"","In progress","Not started")))</x:f>
        <x:v>Not started</x:v>
      </x:c>
      <x:c r="M295" s="2" t="str">
        <x:v>Task</x:v>
      </x:c>
      <x:c r="N295" s="2" t="str">
        <x:v>DI.AU.1.6.2026.CY3</x:v>
      </x:c>
      <x:c r="O295" s="2" t="n">
        <x:f>R295</x:f>
        <x:v>0</x:v>
      </x:c>
      <x:c r="P295" s="2"/>
      <x:c r="Q295" s="2" t="n">
        <x:v>1</x:v>
      </x:c>
      <x:c r="R295" s="2" t="n">
        <x:f>IF(A295,1,0)</x:f>
        <x:v>0</x:v>
      </x:c>
      <x:c r="S295" s="2" t="n">
        <x:f>SUBTOTAL(103,N295)</x:f>
        <x:v>1</x:v>
      </x:c>
    </x:row>
    <x:row r="296" ht="42" customHeight="1">
      <x:c r="A296" s="28" t="b">
        <x:v>0</x:v>
      </x:c>
      <x:c r="B296" s="2" t="str">
        <x:v>Cycle 3</x:v>
      </x:c>
      <x:c r="C296" s="2" t="str">
        <x:v>Phase 2</x:v>
      </x:c>
      <x:c r="D296" s="2" t="str">
        <x:v>Auto</x:v>
      </x:c>
      <x:c r="E296" s="56" t="str">
        <x:v>DI.AU.2.1</x:v>
      </x:c>
      <x:c r="F296" s="14" t="str">
        <x:v>Meet regularly with Research to stay informed on progress, findings, and potential enhancement</x:v>
      </x:c>
      <x:c r="G296" s="5"/>
      <x:c r="H296" s="11"/>
      <x:c r="I296" s="11" t="n">
        <x:f>'Cycles &amp; Guide'!$D$12</x:f>
        <x:v>46295</x:v>
      </x:c>
      <x:c r="J296" s="11"/>
      <x:c r="K296" s="29"/>
      <x:c r="L296" s="2" t="str">
        <x:f>IF(O296=1,"Complete",IF(A296,"Checklist open",IF(H296&lt;&gt;"","In progress","Not started")))</x:f>
        <x:v>Not started</x:v>
      </x:c>
      <x:c r="M296" s="2" t="str">
        <x:v>Task</x:v>
      </x:c>
      <x:c r="N296" s="2" t="str">
        <x:v>DI.AU.2.1.2026.CY3</x:v>
      </x:c>
      <x:c r="O296" s="2" t="n">
        <x:f>R296</x:f>
        <x:v>0</x:v>
      </x:c>
      <x:c r="P296" s="2"/>
      <x:c r="Q296" s="2" t="n">
        <x:v>1</x:v>
      </x:c>
      <x:c r="R296" s="2" t="n">
        <x:f>IF(A296,1,0)</x:f>
        <x:v>0</x:v>
      </x:c>
      <x:c r="S296" s="2" t="n">
        <x:f>SUBTOTAL(103,N296)</x:f>
        <x:v>1</x:v>
      </x:c>
    </x:row>
    <x:row r="297" ht="42" customHeight="1">
      <x:c r="A297" s="28" t="b">
        <x:v>0</x:v>
      </x:c>
      <x:c r="B297" s="2" t="str">
        <x:v>Cycle 3</x:v>
      </x:c>
      <x:c r="C297" s="2" t="str">
        <x:v>Phase 2</x:v>
      </x:c>
      <x:c r="D297" s="2" t="str">
        <x:v>Auto</x:v>
      </x:c>
      <x:c r="E297" s="56" t="str">
        <x:v>DI.AU.2.2</x:v>
      </x:c>
      <x:c r="F297" s="14" t="str">
        <x:v>Collaborate with Research on research plan specifics</x:v>
      </x:c>
      <x:c r="G297" s="5"/>
      <x:c r="H297" s="11"/>
      <x:c r="I297" s="11" t="n">
        <x:f>'Cycles &amp; Guide'!$D$12</x:f>
        <x:v>46295</x:v>
      </x:c>
      <x:c r="J297" s="11"/>
      <x:c r="K297" s="29"/>
      <x:c r="L297" s="2" t="str">
        <x:f>IF(O297=1,"Complete",IF(A297,"Checklist open",IF(H297&lt;&gt;"","In progress","Not started")))</x:f>
        <x:v>Not started</x:v>
      </x:c>
      <x:c r="M297" s="2" t="str">
        <x:v>Task</x:v>
      </x:c>
      <x:c r="N297" s="2" t="str">
        <x:v>DI.AU.2.2.2026.CY3</x:v>
      </x:c>
      <x:c r="O297" s="2" t="n">
        <x:f>R297</x:f>
        <x:v>0</x:v>
      </x:c>
      <x:c r="P297" s="2"/>
      <x:c r="Q297" s="2" t="n">
        <x:v>1</x:v>
      </x:c>
      <x:c r="R297" s="2" t="n">
        <x:f>IF(A297,1,0)</x:f>
        <x:v>0</x:v>
      </x:c>
      <x:c r="S297" s="2" t="n">
        <x:f>SUBTOTAL(103,N297)</x:f>
        <x:v>1</x:v>
      </x:c>
    </x:row>
    <x:row r="298" ht="42" customHeight="1">
      <x:c r="A298" s="28" t="b">
        <x:v>0</x:v>
      </x:c>
      <x:c r="B298" s="2" t="str">
        <x:v>Cycle 3</x:v>
      </x:c>
      <x:c r="C298" s="2" t="str">
        <x:v>Phase 2</x:v>
      </x:c>
      <x:c r="D298" s="2" t="str">
        <x:v>Auto</x:v>
      </x:c>
      <x:c r="E298" s="56" t="str">
        <x:v>DI.AU.2.3</x:v>
      </x:c>
      <x:c r="F298" s="14" t="str">
        <x:v>Participate in SME insight meetings to gain perspective and appetite on potential enhancements</x:v>
      </x:c>
      <x:c r="G298" s="5"/>
      <x:c r="H298" s="11"/>
      <x:c r="I298" s="11" t="n">
        <x:f>'Cycles &amp; Guide'!$D$12</x:f>
        <x:v>46295</x:v>
      </x:c>
      <x:c r="J298" s="11"/>
      <x:c r="K298" s="29"/>
      <x:c r="L298" s="2" t="str">
        <x:f>IF(O298=1,"Complete",IF(A298,"Checklist open",IF(H298&lt;&gt;"","In progress","Not started")))</x:f>
        <x:v>Not started</x:v>
      </x:c>
      <x:c r="M298" s="2" t="str">
        <x:v>Task</x:v>
      </x:c>
      <x:c r="N298" s="2" t="str">
        <x:v>DI.AU.2.3.2026.CY3</x:v>
      </x:c>
      <x:c r="O298" s="2" t="n">
        <x:f>R298</x:f>
        <x:v>0</x:v>
      </x:c>
      <x:c r="P298" s="2"/>
      <x:c r="Q298" s="2" t="n">
        <x:v>1</x:v>
      </x:c>
      <x:c r="R298" s="2" t="n">
        <x:f>IF(A298,1,0)</x:f>
        <x:v>0</x:v>
      </x:c>
      <x:c r="S298" s="2" t="n">
        <x:f>SUBTOTAL(103,N298)</x:f>
        <x:v>1</x:v>
      </x:c>
    </x:row>
    <x:row r="299" ht="42" customHeight="1">
      <x:c r="A299" s="28" t="b">
        <x:v>0</x:v>
      </x:c>
      <x:c r="B299" s="2" t="str">
        <x:v>Cycle 3</x:v>
      </x:c>
      <x:c r="C299" s="2" t="str">
        <x:v>Phase 2</x:v>
      </x:c>
      <x:c r="D299" s="2" t="str">
        <x:v>Auto</x:v>
      </x:c>
      <x:c r="E299" s="56" t="str">
        <x:v>DI.AU.2.4</x:v>
      </x:c>
      <x:c r="F299" s="14" t="str">
        <x:v>Begin development of presentation materials as Research is being completed</x:v>
      </x:c>
      <x:c r="G299" s="5"/>
      <x:c r="H299" s="11"/>
      <x:c r="I299" s="11" t="n">
        <x:f>'Cycles &amp; Guide'!$D$12</x:f>
        <x:v>46295</x:v>
      </x:c>
      <x:c r="J299" s="11"/>
      <x:c r="K299" s="29"/>
      <x:c r="L299" s="2" t="str">
        <x:f>IF(O299=1,"Complete",IF(A299,"Checklist open",IF(H299&lt;&gt;"","In progress","Not started")))</x:f>
        <x:v>Not started</x:v>
      </x:c>
      <x:c r="M299" s="2" t="str">
        <x:v>Task</x:v>
      </x:c>
      <x:c r="N299" s="2" t="str">
        <x:v>DI.AU.2.4.2026.CY3</x:v>
      </x:c>
      <x:c r="O299" s="2" t="n">
        <x:f>R299</x:f>
        <x:v>0</x:v>
      </x:c>
      <x:c r="P299" s="2"/>
      <x:c r="Q299" s="2" t="n">
        <x:v>1</x:v>
      </x:c>
      <x:c r="R299" s="2" t="n">
        <x:f>IF(A299,1,0)</x:f>
        <x:v>0</x:v>
      </x:c>
      <x:c r="S299" s="2" t="n">
        <x:f>SUBTOTAL(103,N299)</x:f>
        <x:v>1</x:v>
      </x:c>
    </x:row>
    <x:row r="300" ht="42" customHeight="1">
      <x:c r="A300" s="28" t="b">
        <x:v>0</x:v>
      </x:c>
      <x:c r="B300" s="2" t="str">
        <x:v>Cycle 3</x:v>
      </x:c>
      <x:c r="C300" s="2" t="str">
        <x:v>Phase 2</x:v>
      </x:c>
      <x:c r="D300" s="2" t="str">
        <x:v>Auto</x:v>
      </x:c>
      <x:c r="E300" s="56" t="str">
        <x:v>DI.AU.2.5</x:v>
      </x:c>
      <x:c r="F300" s="14" t="str">
        <x:v>Draft initial enhancement recommendations (as applicable)</x:v>
      </x:c>
      <x:c r="G300" s="5"/>
      <x:c r="H300" s="11"/>
      <x:c r="I300" s="11" t="n">
        <x:f>'Cycles &amp; Guide'!$D$12</x:f>
        <x:v>46295</x:v>
      </x:c>
      <x:c r="J300" s="11"/>
      <x:c r="K300" s="29"/>
      <x:c r="L300" s="2" t="str">
        <x:f>IF(O300=1,"Complete",IF(A300,"Checklist open",IF(H300&lt;&gt;"","In progress","Not started")))</x:f>
        <x:v>Not started</x:v>
      </x:c>
      <x:c r="M300" s="2" t="str">
        <x:v>Task</x:v>
      </x:c>
      <x:c r="N300" s="2" t="str">
        <x:v>DI.AU.2.5.2026.CY3</x:v>
      </x:c>
      <x:c r="O300" s="2" t="n">
        <x:f>R300</x:f>
        <x:v>0</x:v>
      </x:c>
      <x:c r="P300" s="2"/>
      <x:c r="Q300" s="2" t="n">
        <x:v>1</x:v>
      </x:c>
      <x:c r="R300" s="2" t="n">
        <x:f>IF(A300,1,0)</x:f>
        <x:v>0</x:v>
      </x:c>
      <x:c r="S300" s="2" t="n">
        <x:f>SUBTOTAL(103,N300)</x:f>
        <x:v>1</x:v>
      </x:c>
    </x:row>
    <x:row r="301" ht="42" customHeight="1">
      <x:c r="A301" s="28" t="b">
        <x:v>0</x:v>
      </x:c>
      <x:c r="B301" s="2" t="str">
        <x:v>Cycle 3</x:v>
      </x:c>
      <x:c r="C301" s="2" t="str">
        <x:v>Phase 2</x:v>
      </x:c>
      <x:c r="D301" s="2" t="str">
        <x:v>Auto</x:v>
      </x:c>
      <x:c r="E301" s="56" t="str">
        <x:v>DI.AU.2.6</x:v>
      </x:c>
      <x:c r="F301" s="14" t="str">
        <x:v>Finalize presentation deck draft at conclusion of Research phase</x:v>
      </x:c>
      <x:c r="G301" s="5"/>
      <x:c r="H301" s="11"/>
      <x:c r="I301" s="11" t="n">
        <x:f>'Cycles &amp; Guide'!$D$12</x:f>
        <x:v>46295</x:v>
      </x:c>
      <x:c r="J301" s="11"/>
      <x:c r="K301" s="29"/>
      <x:c r="L301" s="2" t="str">
        <x:f>IF(O301=1,"Complete",IF(A301,"Checklist open",IF(H301&lt;&gt;"","In progress","Not started")))</x:f>
        <x:v>Not started</x:v>
      </x:c>
      <x:c r="M301" s="2" t="str">
        <x:v>Task</x:v>
      </x:c>
      <x:c r="N301" s="2" t="str">
        <x:v>DI.AU.2.6.2026.CY3</x:v>
      </x:c>
      <x:c r="O301" s="2" t="n">
        <x:f>R301</x:f>
        <x:v>0</x:v>
      </x:c>
      <x:c r="P301" s="2"/>
      <x:c r="Q301" s="2" t="n">
        <x:v>1</x:v>
      </x:c>
      <x:c r="R301" s="2" t="n">
        <x:f>IF(A301,1,0)</x:f>
        <x:v>0</x:v>
      </x:c>
      <x:c r="S301" s="2" t="n">
        <x:f>SUBTOTAL(103,N301)</x:f>
        <x:v>1</x:v>
      </x:c>
    </x:row>
    <x:row r="302" ht="42" customHeight="1">
      <x:c r="A302" s="28" t="b">
        <x:v>0</x:v>
      </x:c>
      <x:c r="B302" s="2" t="str">
        <x:v>Cycle 3</x:v>
      </x:c>
      <x:c r="C302" s="2" t="str">
        <x:v>Phase 2</x:v>
      </x:c>
      <x:c r="D302" s="2" t="str">
        <x:v>Auto</x:v>
      </x:c>
      <x:c r="E302" s="56" t="str">
        <x:v>DI.AU.2.7</x:v>
      </x:c>
      <x:c r="F302" s="14" t="str">
        <x:v>Update Outcome portion of research plan with current enhancement verbiage (as needed)</x:v>
      </x:c>
      <x:c r="G302" s="5"/>
      <x:c r="H302" s="11"/>
      <x:c r="I302" s="11" t="n">
        <x:f>'Cycles &amp; Guide'!$D$12</x:f>
        <x:v>46295</x:v>
      </x:c>
      <x:c r="J302" s="11"/>
      <x:c r="K302" s="29"/>
      <x:c r="L302" s="2" t="str">
        <x:f>IF(O302=1,"Complete",IF(A302,"Checklist open",IF(H302&lt;&gt;"","In progress","Not started")))</x:f>
        <x:v>Not started</x:v>
      </x:c>
      <x:c r="M302" s="2" t="str">
        <x:v>Task</x:v>
      </x:c>
      <x:c r="N302" s="2" t="str">
        <x:v>DI.AU.2.7.2026.CY3</x:v>
      </x:c>
      <x:c r="O302" s="2" t="n">
        <x:f>R302</x:f>
        <x:v>0</x:v>
      </x:c>
      <x:c r="P302" s="2"/>
      <x:c r="Q302" s="2" t="n">
        <x:v>1</x:v>
      </x:c>
      <x:c r="R302" s="2" t="n">
        <x:f>IF(A302,1,0)</x:f>
        <x:v>0</x:v>
      </x:c>
      <x:c r="S302" s="2" t="n">
        <x:f>SUBTOTAL(103,N302)</x:f>
        <x:v>1</x:v>
      </x:c>
    </x:row>
    <x:row r="303" ht="42" customHeight="1">
      <x:c r="A303" s="28" t="b">
        <x:v>0</x:v>
      </x:c>
      <x:c r="B303" s="2" t="str">
        <x:v>Cycle 3</x:v>
      </x:c>
      <x:c r="C303" s="2" t="str">
        <x:v>Phase 3</x:v>
      </x:c>
      <x:c r="D303" s="2" t="str">
        <x:v>Auto</x:v>
      </x:c>
      <x:c r="E303" s="56" t="str">
        <x:v>DI.AU.3.1</x:v>
      </x:c>
      <x:c r="F303" s="14" t="str">
        <x:v>Confirm list of required &amp; optional attendees for pre-socialization meeting</x:v>
      </x:c>
      <x:c r="G303" s="5"/>
      <x:c r="H303" s="11"/>
      <x:c r="I303" s="11" t="n">
        <x:f>'Cycles &amp; Guide'!$D$12</x:f>
        <x:v>46295</x:v>
      </x:c>
      <x:c r="J303" s="11"/>
      <x:c r="K303" s="29"/>
      <x:c r="L303" s="2" t="str">
        <x:f>IF(O303=1,"Complete",IF(A303,"Checklist open",IF(H303&lt;&gt;"","In progress","Not started")))</x:f>
        <x:v>Not started</x:v>
      </x:c>
      <x:c r="M303" s="2" t="str">
        <x:v>Task</x:v>
      </x:c>
      <x:c r="N303" s="2" t="str">
        <x:v>DI.AU.3.1.2026.CY3</x:v>
      </x:c>
      <x:c r="O303" s="2" t="n">
        <x:f>R303</x:f>
        <x:v>0</x:v>
      </x:c>
      <x:c r="P303" s="2"/>
      <x:c r="Q303" s="2" t="n">
        <x:v>1</x:v>
      </x:c>
      <x:c r="R303" s="2" t="n">
        <x:f>IF(A303,1,0)</x:f>
        <x:v>0</x:v>
      </x:c>
      <x:c r="S303" s="2" t="n">
        <x:f>SUBTOTAL(103,N303)</x:f>
        <x:v>1</x:v>
      </x:c>
    </x:row>
    <x:row r="304" ht="42" customHeight="1">
      <x:c r="A304" s="28" t="b">
        <x:v>0</x:v>
      </x:c>
      <x:c r="B304" s="2" t="str">
        <x:v>Cycle 3</x:v>
      </x:c>
      <x:c r="C304" s="2" t="str">
        <x:v>Phase 3</x:v>
      </x:c>
      <x:c r="D304" s="2" t="str">
        <x:v>Auto</x:v>
      </x:c>
      <x:c r="E304" s="56" t="str">
        <x:v>DI.AU.3.2</x:v>
      </x:c>
      <x:c r="F304" s="14" t="str">
        <x:v>Schedule pre-socialization meeting 1 week prior to RCA Forum</x:v>
      </x:c>
      <x:c r="G304" s="5"/>
      <x:c r="H304" s="11"/>
      <x:c r="I304" s="11" t="str">
        <x:f>IF(SUMIFS('Cycles &amp; Guide'!$D$23:$D$50,'Cycles &amp; Guide'!$B$23:$B$50,B304,'Cycles &amp; Guide'!$C$23:$C$50,D304)=0,"",SUMIFS('Cycles &amp; Guide'!$D$23:$D$50,'Cycles &amp; Guide'!$B$23:$B$50,B304,'Cycles &amp; Guide'!$C$23:$C$50,D304)-7)</x:f>
      </x:c>
      <x:c r="J304" s="11"/>
      <x:c r="K304" s="29"/>
      <x:c r="L304" s="2" t="str">
        <x:f>IF(O304=1,"Complete",IF(A304,"Checklist open",IF(H304&lt;&gt;"","In progress","Not started")))</x:f>
        <x:v>Not started</x:v>
      </x:c>
      <x:c r="M304" s="2" t="str">
        <x:v>Task</x:v>
      </x:c>
      <x:c r="N304" s="2" t="str">
        <x:v>DI.AU.3.2.2026.CY3</x:v>
      </x:c>
      <x:c r="O304" s="2" t="n">
        <x:f>R304</x:f>
        <x:v>0</x:v>
      </x:c>
      <x:c r="P304" s="2"/>
      <x:c r="Q304" s="2" t="n">
        <x:v>1</x:v>
      </x:c>
      <x:c r="R304" s="2" t="n">
        <x:f>IF(A304,1,0)</x:f>
        <x:v>0</x:v>
      </x:c>
      <x:c r="S304" s="2" t="n">
        <x:f>SUBTOTAL(103,N304)</x:f>
        <x:v>1</x:v>
      </x:c>
    </x:row>
    <x:row r="305" ht="42" customHeight="1">
      <x:c r="A305" s="28" t="b">
        <x:v>0</x:v>
      </x:c>
      <x:c r="B305" s="2" t="str">
        <x:v>Cycle 3</x:v>
      </x:c>
      <x:c r="C305" s="2" t="str">
        <x:v>Phase 3</x:v>
      </x:c>
      <x:c r="D305" s="2" t="str">
        <x:v>Auto</x:v>
      </x:c>
      <x:c r="E305" s="56" t="str">
        <x:v>DI.AU.3.3</x:v>
      </x:c>
      <x:c r="F305" s="14" t="str">
        <x:v>Present findings, conclusions, and recommendation to SMEs</x:v>
      </x:c>
      <x:c r="G305" s="5"/>
      <x:c r="H305" s="11"/>
      <x:c r="I305" s="11" t="n">
        <x:f>'Cycles &amp; Guide'!$D$12</x:f>
        <x:v>46295</x:v>
      </x:c>
      <x:c r="J305" s="11"/>
      <x:c r="K305" s="29"/>
      <x:c r="L305" s="2" t="str">
        <x:f>IF(O305=1,"Complete",IF(A305,"Checklist open",IF(H305&lt;&gt;"","In progress","Not started")))</x:f>
        <x:v>Not started</x:v>
      </x:c>
      <x:c r="M305" s="2" t="str">
        <x:v>Task</x:v>
      </x:c>
      <x:c r="N305" s="2" t="str">
        <x:v>DI.AU.3.3.2026.CY3</x:v>
      </x:c>
      <x:c r="O305" s="2" t="n">
        <x:f>R305</x:f>
        <x:v>0</x:v>
      </x:c>
      <x:c r="P305" s="2"/>
      <x:c r="Q305" s="2" t="n">
        <x:v>1</x:v>
      </x:c>
      <x:c r="R305" s="2" t="n">
        <x:f>IF(A305,1,0)</x:f>
        <x:v>0</x:v>
      </x:c>
      <x:c r="S305" s="2" t="n">
        <x:f>SUBTOTAL(103,N305)</x:f>
        <x:v>1</x:v>
      </x:c>
    </x:row>
    <x:row r="306" ht="42" customHeight="1">
      <x:c r="A306" s="28" t="b">
        <x:v>0</x:v>
      </x:c>
      <x:c r="B306" s="2" t="str">
        <x:v>Cycle 3</x:v>
      </x:c>
      <x:c r="C306" s="2" t="str">
        <x:v>Phase 3</x:v>
      </x:c>
      <x:c r="D306" s="2" t="str">
        <x:v>Auto</x:v>
      </x:c>
      <x:c r="E306" s="56" t="str">
        <x:v>DI.AU.3.4</x:v>
      </x:c>
      <x:c r="F306" s="14" t="str">
        <x:v>Update Outcome portion of research plan (as needed)</x:v>
      </x:c>
      <x:c r="G306" s="5"/>
      <x:c r="H306" s="11"/>
      <x:c r="I306" s="11" t="n">
        <x:f>'Cycles &amp; Guide'!$D$12</x:f>
        <x:v>46295</x:v>
      </x:c>
      <x:c r="J306" s="11"/>
      <x:c r="K306" s="29"/>
      <x:c r="L306" s="2" t="str">
        <x:f>IF(O306=1,"Complete",IF(A306,"Checklist open",IF(H306&lt;&gt;"","In progress","Not started")))</x:f>
        <x:v>Not started</x:v>
      </x:c>
      <x:c r="M306" s="2" t="str">
        <x:v>Task</x:v>
      </x:c>
      <x:c r="N306" s="2" t="str">
        <x:v>DI.AU.3.4.2026.CY3</x:v>
      </x:c>
      <x:c r="O306" s="2" t="n">
        <x:f>R306</x:f>
        <x:v>0</x:v>
      </x:c>
      <x:c r="P306" s="2"/>
      <x:c r="Q306" s="2" t="n">
        <x:v>1</x:v>
      </x:c>
      <x:c r="R306" s="2" t="n">
        <x:f>IF(A306,1,0)</x:f>
        <x:v>0</x:v>
      </x:c>
      <x:c r="S306" s="2" t="n">
        <x:f>SUBTOTAL(103,N306)</x:f>
        <x:v>1</x:v>
      </x:c>
    </x:row>
    <x:row r="307" ht="42" customHeight="1">
      <x:c r="A307" s="28" t="b">
        <x:v>0</x:v>
      </x:c>
      <x:c r="B307" s="2" t="str">
        <x:v>Cycle 3</x:v>
      </x:c>
      <x:c r="C307" s="2" t="str">
        <x:v>Phase 3</x:v>
      </x:c>
      <x:c r="D307" s="2" t="str">
        <x:v>Auto</x:v>
      </x:c>
      <x:c r="E307" s="56" t="str">
        <x:v>DI.AU.3.5</x:v>
      </x:c>
      <x:c r="F307" s="14" t="str">
        <x:v>Finalize presentation deck by incorporating pre-socialization feedback (as needed)</x:v>
      </x:c>
      <x:c r="G307" s="5"/>
      <x:c r="H307" s="11"/>
      <x:c r="I307" s="11" t="n">
        <x:f>'Cycles &amp; Guide'!$D$12</x:f>
        <x:v>46295</x:v>
      </x:c>
      <x:c r="J307" s="11"/>
      <x:c r="K307" s="29"/>
      <x:c r="L307" s="2" t="str">
        <x:f>IF(O307=1,"Complete",IF(A307,"Checklist open",IF(H307&lt;&gt;"","In progress","Not started")))</x:f>
        <x:v>Not started</x:v>
      </x:c>
      <x:c r="M307" s="2" t="str">
        <x:v>Task</x:v>
      </x:c>
      <x:c r="N307" s="2" t="str">
        <x:v>DI.AU.3.5.2026.CY3</x:v>
      </x:c>
      <x:c r="O307" s="2" t="n">
        <x:f>R307</x:f>
        <x:v>0</x:v>
      </x:c>
      <x:c r="P307" s="2"/>
      <x:c r="Q307" s="2" t="n">
        <x:v>1</x:v>
      </x:c>
      <x:c r="R307" s="2" t="n">
        <x:f>IF(A307,1,0)</x:f>
        <x:v>0</x:v>
      </x:c>
      <x:c r="S307" s="2" t="n">
        <x:f>SUBTOTAL(103,N307)</x:f>
        <x:v>1</x:v>
      </x:c>
    </x:row>
    <x:row r="308" ht="42" customHeight="1">
      <x:c r="A308" s="28" t="b">
        <x:v>0</x:v>
      </x:c>
      <x:c r="B308" s="2" t="str">
        <x:v>Cycle 3</x:v>
      </x:c>
      <x:c r="C308" s="2" t="str">
        <x:v>Phase 3</x:v>
      </x:c>
      <x:c r="D308" s="2" t="str">
        <x:v>Auto</x:v>
      </x:c>
      <x:c r="E308" s="56" t="str">
        <x:v>DI.AU.3.6</x:v>
      </x:c>
      <x:c r="F308" s="14" t="str">
        <x:v>Ensure final deck is communicated to Forum attendees</x:v>
      </x:c>
      <x:c r="G308" s="5"/>
      <x:c r="H308" s="11"/>
      <x:c r="I308" s="11" t="n">
        <x:f>'Cycles &amp; Guide'!$D$12</x:f>
        <x:v>46295</x:v>
      </x:c>
      <x:c r="J308" s="11"/>
      <x:c r="K308" s="29"/>
      <x:c r="L308" s="2" t="str">
        <x:f>IF(O308=1,"Complete",IF(A308,"Checklist open",IF(H308&lt;&gt;"","In progress","Not started")))</x:f>
        <x:v>Not started</x:v>
      </x:c>
      <x:c r="M308" s="2" t="str">
        <x:v>Task</x:v>
      </x:c>
      <x:c r="N308" s="2" t="str">
        <x:v>DI.AU.3.6.2026.CY3</x:v>
      </x:c>
      <x:c r="O308" s="2" t="n">
        <x:f>R308</x:f>
        <x:v>0</x:v>
      </x:c>
      <x:c r="P308" s="2"/>
      <x:c r="Q308" s="2" t="n">
        <x:v>1</x:v>
      </x:c>
      <x:c r="R308" s="2" t="n">
        <x:f>IF(A308,1,0)</x:f>
        <x:v>0</x:v>
      </x:c>
      <x:c r="S308" s="2" t="n">
        <x:f>SUBTOTAL(103,N308)</x:f>
        <x:v>1</x:v>
      </x:c>
    </x:row>
    <x:row r="309" ht="42" customHeight="1">
      <x:c r="A309" s="28" t="b">
        <x:v>0</x:v>
      </x:c>
      <x:c r="B309" s="2" t="str">
        <x:v>Cycle 3</x:v>
      </x:c>
      <x:c r="C309" s="2" t="str">
        <x:v>Phase 3</x:v>
      </x:c>
      <x:c r="D309" s="2" t="str">
        <x:v>Auto</x:v>
      </x:c>
      <x:c r="E309" s="56" t="str">
        <x:v>DI.AU.3.7</x:v>
      </x:c>
      <x:c r="F309" s="14" t="str">
        <x:v>Present material in RCA Cycle Forum</x:v>
      </x:c>
      <x:c r="G309" s="5"/>
      <x:c r="H309" s="11"/>
      <x:c r="I309" s="11" t="str">
        <x:f>IF(SUMIFS('Cycles &amp; Guide'!$D$23:$D$50,'Cycles &amp; Guide'!$B$23:$B$50,B309,'Cycles &amp; Guide'!$C$23:$C$50,D309)=0,"",SUMIFS('Cycles &amp; Guide'!$D$23:$D$50,'Cycles &amp; Guide'!$B$23:$B$50,B309,'Cycles &amp; Guide'!$C$23:$C$50,D309))</x:f>
      </x:c>
      <x:c r="J309" s="11"/>
      <x:c r="K309" s="29"/>
      <x:c r="L309" s="2" t="str">
        <x:f>IF(O309=1,"Complete",IF(A309,"Checklist open",IF(H309&lt;&gt;"","In progress","Not started")))</x:f>
        <x:v>Not started</x:v>
      </x:c>
      <x:c r="M309" s="2" t="str">
        <x:v>Task</x:v>
      </x:c>
      <x:c r="N309" s="2" t="str">
        <x:v>DI.AU.3.7.2026.CY3</x:v>
      </x:c>
      <x:c r="O309" s="2" t="n">
        <x:f>R309</x:f>
        <x:v>0</x:v>
      </x:c>
      <x:c r="P309" s="2"/>
      <x:c r="Q309" s="2" t="n">
        <x:v>1</x:v>
      </x:c>
      <x:c r="R309" s="2" t="n">
        <x:f>IF(A309,1,0)</x:f>
        <x:v>0</x:v>
      </x:c>
      <x:c r="S309" s="2" t="n">
        <x:f>SUBTOTAL(103,N309)</x:f>
        <x:v>1</x:v>
      </x:c>
    </x:row>
    <x:row r="310" ht="42" customHeight="1">
      <x:c r="A310" s="28" t="b">
        <x:v>0</x:v>
      </x:c>
      <x:c r="B310" s="2" t="str">
        <x:v>Cycle 3</x:v>
      </x:c>
      <x:c r="C310" s="2" t="str">
        <x:v>Phase 1</x:v>
      </x:c>
      <x:c r="D310" s="2" t="str">
        <x:v>Cards</x:v>
      </x:c>
      <x:c r="E310" s="56" t="str">
        <x:v>DI.CA.1.1</x:v>
      </x:c>
      <x:c r="F310" s="14" t="str">
        <x:v>Receive and review potential research topics at least 2 weeks prior to Cycle start date</x:v>
      </x:c>
      <x:c r="G310" s="5"/>
      <x:c r="H310" s="11"/>
      <x:c r="I310" s="11" t="n">
        <x:f>'Cycles &amp; Guide'!$C$12-14</x:f>
        <x:v>46190</x:v>
      </x:c>
      <x:c r="J310" s="11"/>
      <x:c r="K310" s="29"/>
      <x:c r="L310" s="2" t="str">
        <x:f>IF(O310=1,"Complete",IF(A310,"Checklist open",IF(H310&lt;&gt;"","In progress","Not started")))</x:f>
        <x:v>Not started</x:v>
      </x:c>
      <x:c r="M310" s="2" t="str">
        <x:v>Task</x:v>
      </x:c>
      <x:c r="N310" s="2" t="str">
        <x:v>DI.CA.1.1.2026.CY3</x:v>
      </x:c>
      <x:c r="O310" s="2" t="n">
        <x:f>R310</x:f>
        <x:v>0</x:v>
      </x:c>
      <x:c r="P310" s="2"/>
      <x:c r="Q310" s="2" t="n">
        <x:v>1</x:v>
      </x:c>
      <x:c r="R310" s="2" t="n">
        <x:f>IF(A310,1,0)</x:f>
        <x:v>0</x:v>
      </x:c>
      <x:c r="S310" s="2" t="n">
        <x:f>SUBTOTAL(103,N310)</x:f>
        <x:v>1</x:v>
      </x:c>
    </x:row>
    <x:row r="311" ht="42" customHeight="1">
      <x:c r="A311" s="28" t="b">
        <x:v>0</x:v>
      </x:c>
      <x:c r="B311" s="2" t="str">
        <x:v>Cycle 3</x:v>
      </x:c>
      <x:c r="C311" s="2" t="str">
        <x:v>Phase 1</x:v>
      </x:c>
      <x:c r="D311" s="2" t="str">
        <x:v>Cards</x:v>
      </x:c>
      <x:c r="E311" s="56" t="str">
        <x:v>DI.CA.1.2</x:v>
      </x:c>
      <x:c r="F311" s="14" t="str">
        <x:v>Communicate any feedback on preferences or concerns with topics identified</x:v>
      </x:c>
      <x:c r="G311" s="5"/>
      <x:c r="H311" s="11"/>
      <x:c r="I311" s="11" t="n">
        <x:f>'Cycles &amp; Guide'!$D$12</x:f>
        <x:v>46295</x:v>
      </x:c>
      <x:c r="J311" s="11"/>
      <x:c r="K311" s="29"/>
      <x:c r="L311" s="2" t="str">
        <x:f>IF(O311=1,"Complete",IF(A311,"Checklist open",IF(H311&lt;&gt;"","In progress","Not started")))</x:f>
        <x:v>Not started</x:v>
      </x:c>
      <x:c r="M311" s="2" t="str">
        <x:v>Task</x:v>
      </x:c>
      <x:c r="N311" s="2" t="str">
        <x:v>DI.CA.1.2.2026.CY3</x:v>
      </x:c>
      <x:c r="O311" s="2" t="n">
        <x:f>R311</x:f>
        <x:v>0</x:v>
      </x:c>
      <x:c r="P311" s="2"/>
      <x:c r="Q311" s="2" t="n">
        <x:v>1</x:v>
      </x:c>
      <x:c r="R311" s="2" t="n">
        <x:f>IF(A311,1,0)</x:f>
        <x:v>0</x:v>
      </x:c>
      <x:c r="S311" s="2" t="n">
        <x:f>SUBTOTAL(103,N311)</x:f>
        <x:v>1</x:v>
      </x:c>
    </x:row>
    <x:row r="312" ht="42" customHeight="1">
      <x:c r="A312" s="28" t="b">
        <x:v>0</x:v>
      </x:c>
      <x:c r="B312" s="2" t="str">
        <x:v>Cycle 3</x:v>
      </x:c>
      <x:c r="C312" s="2" t="str">
        <x:v>Phase 1</x:v>
      </x:c>
      <x:c r="D312" s="2" t="str">
        <x:v>Cards</x:v>
      </x:c>
      <x:c r="E312" s="56" t="str">
        <x:v>DI.CA.1.3</x:v>
      </x:c>
      <x:c r="F312" s="14" t="str">
        <x:v>Conduct high-level preliminary review of complaints within proposed topics</x:v>
      </x:c>
      <x:c r="G312" s="5"/>
      <x:c r="H312" s="11"/>
      <x:c r="I312" s="11" t="n">
        <x:f>'Cycles &amp; Guide'!$D$12</x:f>
        <x:v>46295</x:v>
      </x:c>
      <x:c r="J312" s="11"/>
      <x:c r="K312" s="29"/>
      <x:c r="L312" s="2" t="str">
        <x:f>IF(O312=1,"Complete",IF(A312,"Checklist open",IF(H312&lt;&gt;"","In progress","Not started")))</x:f>
        <x:v>Not started</x:v>
      </x:c>
      <x:c r="M312" s="2" t="str">
        <x:v>Task</x:v>
      </x:c>
      <x:c r="N312" s="2" t="str">
        <x:v>DI.CA.1.3.2026.CY3</x:v>
      </x:c>
      <x:c r="O312" s="2" t="n">
        <x:f>R312</x:f>
        <x:v>0</x:v>
      </x:c>
      <x:c r="P312" s="2"/>
      <x:c r="Q312" s="2" t="n">
        <x:v>1</x:v>
      </x:c>
      <x:c r="R312" s="2" t="n">
        <x:f>IF(A312,1,0)</x:f>
        <x:v>0</x:v>
      </x:c>
      <x:c r="S312" s="2" t="n">
        <x:f>SUBTOTAL(103,N312)</x:f>
        <x:v>1</x:v>
      </x:c>
    </x:row>
    <x:row r="313" ht="42" customHeight="1">
      <x:c r="A313" s="28" t="b">
        <x:v>0</x:v>
      </x:c>
      <x:c r="B313" s="2" t="str">
        <x:v>Cycle 3</x:v>
      </x:c>
      <x:c r="C313" s="2" t="str">
        <x:v>Phase 1</x:v>
      </x:c>
      <x:c r="D313" s="2" t="str">
        <x:v>Cards</x:v>
      </x:c>
      <x:c r="E313" s="56" t="str">
        <x:v>DI.CA.1.4</x:v>
      </x:c>
      <x:c r="F313" s="14" t="str">
        <x:v>Meet with Research to discuss which topic to select based on potential impact</x:v>
      </x:c>
      <x:c r="G313" s="5"/>
      <x:c r="H313" s="11"/>
      <x:c r="I313" s="11" t="n">
        <x:f>'Cycles &amp; Guide'!$D$12</x:f>
        <x:v>46295</x:v>
      </x:c>
      <x:c r="J313" s="11"/>
      <x:c r="K313" s="29"/>
      <x:c r="L313" s="2" t="str">
        <x:f>IF(O313=1,"Complete",IF(A313,"Checklist open",IF(H313&lt;&gt;"","In progress","Not started")))</x:f>
        <x:v>Not started</x:v>
      </x:c>
      <x:c r="M313" s="2" t="str">
        <x:v>Task</x:v>
      </x:c>
      <x:c r="N313" s="2" t="str">
        <x:v>DI.CA.1.4.2026.CY3</x:v>
      </x:c>
      <x:c r="O313" s="2" t="n">
        <x:f>R313</x:f>
        <x:v>0</x:v>
      </x:c>
      <x:c r="P313" s="2"/>
      <x:c r="Q313" s="2" t="n">
        <x:v>1</x:v>
      </x:c>
      <x:c r="R313" s="2" t="n">
        <x:f>IF(A313,1,0)</x:f>
        <x:v>0</x:v>
      </x:c>
      <x:c r="S313" s="2" t="n">
        <x:f>SUBTOTAL(103,N313)</x:f>
        <x:v>1</x:v>
      </x:c>
    </x:row>
    <x:row r="314" ht="42" customHeight="1">
      <x:c r="A314" s="28" t="b">
        <x:v>0</x:v>
      </x:c>
      <x:c r="B314" s="2" t="str">
        <x:v>Cycle 3</x:v>
      </x:c>
      <x:c r="C314" s="2" t="str">
        <x:v>Phase 1</x:v>
      </x:c>
      <x:c r="D314" s="2" t="str">
        <x:v>Cards</x:v>
      </x:c>
      <x:c r="E314" s="56" t="str">
        <x:v>DI.CA.1.5</x:v>
      </x:c>
      <x:c r="F314" s="14" t="str">
        <x:v>Confirm with Research the recommended topic for approval</x:v>
      </x:c>
      <x:c r="G314" s="5"/>
      <x:c r="H314" s="11"/>
      <x:c r="I314" s="11" t="n">
        <x:f>'Cycles &amp; Guide'!$D$12</x:f>
        <x:v>46295</x:v>
      </x:c>
      <x:c r="J314" s="11"/>
      <x:c r="K314" s="29"/>
      <x:c r="L314" s="2" t="str">
        <x:f>IF(O314=1,"Complete",IF(A314,"Checklist open",IF(H314&lt;&gt;"","In progress","Not started")))</x:f>
        <x:v>Not started</x:v>
      </x:c>
      <x:c r="M314" s="2" t="str">
        <x:v>Task</x:v>
      </x:c>
      <x:c r="N314" s="2" t="str">
        <x:v>DI.CA.1.5.2026.CY3</x:v>
      </x:c>
      <x:c r="O314" s="2" t="n">
        <x:f>R314</x:f>
        <x:v>0</x:v>
      </x:c>
      <x:c r="P314" s="2"/>
      <x:c r="Q314" s="2" t="n">
        <x:v>1</x:v>
      </x:c>
      <x:c r="R314" s="2" t="n">
        <x:f>IF(A314,1,0)</x:f>
        <x:v>0</x:v>
      </x:c>
      <x:c r="S314" s="2" t="n">
        <x:f>SUBTOTAL(103,N314)</x:f>
        <x:v>1</x:v>
      </x:c>
    </x:row>
    <x:row r="315" ht="42" customHeight="1">
      <x:c r="A315" s="28" t="b">
        <x:v>0</x:v>
      </x:c>
      <x:c r="B315" s="2" t="str">
        <x:v>Cycle 3</x:v>
      </x:c>
      <x:c r="C315" s="2" t="str">
        <x:v>Phase 1</x:v>
      </x:c>
      <x:c r="D315" s="2" t="str">
        <x:v>Cards</x:v>
      </x:c>
      <x:c r="E315" s="56" t="str">
        <x:v>DI.CA.1.6</x:v>
      </x:c>
      <x:c r="F315" s="14" t="str">
        <x:v>Send topic selection socialization email to all key stakeholders on the first day of the review Cycle</x:v>
      </x:c>
      <x:c r="G315" s="5"/>
      <x:c r="H315" s="11"/>
      <x:c r="I315" s="11" t="n">
        <x:f>'Cycles &amp; Guide'!$C$12</x:f>
        <x:v>46204</x:v>
      </x:c>
      <x:c r="J315" s="11"/>
      <x:c r="K315" s="29"/>
      <x:c r="L315" s="2" t="str">
        <x:f>IF(O315=1,"Complete",IF(A315,"Checklist open",IF(H315&lt;&gt;"","In progress","Not started")))</x:f>
        <x:v>Not started</x:v>
      </x:c>
      <x:c r="M315" s="2" t="str">
        <x:v>Task</x:v>
      </x:c>
      <x:c r="N315" s="2" t="str">
        <x:v>DI.CA.1.6.2026.CY3</x:v>
      </x:c>
      <x:c r="O315" s="2" t="n">
        <x:f>R315</x:f>
        <x:v>0</x:v>
      </x:c>
      <x:c r="P315" s="2"/>
      <x:c r="Q315" s="2" t="n">
        <x:v>1</x:v>
      </x:c>
      <x:c r="R315" s="2" t="n">
        <x:f>IF(A315,1,0)</x:f>
        <x:v>0</x:v>
      </x:c>
      <x:c r="S315" s="2" t="n">
        <x:f>SUBTOTAL(103,N315)</x:f>
        <x:v>1</x:v>
      </x:c>
    </x:row>
    <x:row r="316" ht="42" customHeight="1">
      <x:c r="A316" s="28" t="b">
        <x:v>0</x:v>
      </x:c>
      <x:c r="B316" s="2" t="str">
        <x:v>Cycle 3</x:v>
      </x:c>
      <x:c r="C316" s="2" t="str">
        <x:v>Phase 2</x:v>
      </x:c>
      <x:c r="D316" s="2" t="str">
        <x:v>Cards</x:v>
      </x:c>
      <x:c r="E316" s="56" t="str">
        <x:v>DI.CA.2.1</x:v>
      </x:c>
      <x:c r="F316" s="14" t="str">
        <x:v>Meet regularly with Research to stay informed on progress, findings, and potential enhancement</x:v>
      </x:c>
      <x:c r="G316" s="5"/>
      <x:c r="H316" s="11"/>
      <x:c r="I316" s="11" t="n">
        <x:f>'Cycles &amp; Guide'!$D$12</x:f>
        <x:v>46295</x:v>
      </x:c>
      <x:c r="J316" s="11"/>
      <x:c r="K316" s="29"/>
      <x:c r="L316" s="2" t="str">
        <x:f>IF(O316=1,"Complete",IF(A316,"Checklist open",IF(H316&lt;&gt;"","In progress","Not started")))</x:f>
        <x:v>Not started</x:v>
      </x:c>
      <x:c r="M316" s="2" t="str">
        <x:v>Task</x:v>
      </x:c>
      <x:c r="N316" s="2" t="str">
        <x:v>DI.CA.2.1.2026.CY3</x:v>
      </x:c>
      <x:c r="O316" s="2" t="n">
        <x:f>R316</x:f>
        <x:v>0</x:v>
      </x:c>
      <x:c r="P316" s="2"/>
      <x:c r="Q316" s="2" t="n">
        <x:v>1</x:v>
      </x:c>
      <x:c r="R316" s="2" t="n">
        <x:f>IF(A316,1,0)</x:f>
        <x:v>0</x:v>
      </x:c>
      <x:c r="S316" s="2" t="n">
        <x:f>SUBTOTAL(103,N316)</x:f>
        <x:v>1</x:v>
      </x:c>
    </x:row>
    <x:row r="317" ht="42" customHeight="1">
      <x:c r="A317" s="28" t="b">
        <x:v>0</x:v>
      </x:c>
      <x:c r="B317" s="2" t="str">
        <x:v>Cycle 3</x:v>
      </x:c>
      <x:c r="C317" s="2" t="str">
        <x:v>Phase 2</x:v>
      </x:c>
      <x:c r="D317" s="2" t="str">
        <x:v>Cards</x:v>
      </x:c>
      <x:c r="E317" s="56" t="str">
        <x:v>DI.CA.2.2</x:v>
      </x:c>
      <x:c r="F317" s="14" t="str">
        <x:v>Collaborate with Research on research plan specifics</x:v>
      </x:c>
      <x:c r="G317" s="5"/>
      <x:c r="H317" s="11"/>
      <x:c r="I317" s="11" t="n">
        <x:f>'Cycles &amp; Guide'!$D$12</x:f>
        <x:v>46295</x:v>
      </x:c>
      <x:c r="J317" s="11"/>
      <x:c r="K317" s="29"/>
      <x:c r="L317" s="2" t="str">
        <x:f>IF(O317=1,"Complete",IF(A317,"Checklist open",IF(H317&lt;&gt;"","In progress","Not started")))</x:f>
        <x:v>Not started</x:v>
      </x:c>
      <x:c r="M317" s="2" t="str">
        <x:v>Task</x:v>
      </x:c>
      <x:c r="N317" s="2" t="str">
        <x:v>DI.CA.2.2.2026.CY3</x:v>
      </x:c>
      <x:c r="O317" s="2" t="n">
        <x:f>R317</x:f>
        <x:v>0</x:v>
      </x:c>
      <x:c r="P317" s="2"/>
      <x:c r="Q317" s="2" t="n">
        <x:v>1</x:v>
      </x:c>
      <x:c r="R317" s="2" t="n">
        <x:f>IF(A317,1,0)</x:f>
        <x:v>0</x:v>
      </x:c>
      <x:c r="S317" s="2" t="n">
        <x:f>SUBTOTAL(103,N317)</x:f>
        <x:v>1</x:v>
      </x:c>
    </x:row>
    <x:row r="318" ht="42" customHeight="1">
      <x:c r="A318" s="28" t="b">
        <x:v>0</x:v>
      </x:c>
      <x:c r="B318" s="2" t="str">
        <x:v>Cycle 3</x:v>
      </x:c>
      <x:c r="C318" s="2" t="str">
        <x:v>Phase 2</x:v>
      </x:c>
      <x:c r="D318" s="2" t="str">
        <x:v>Cards</x:v>
      </x:c>
      <x:c r="E318" s="56" t="str">
        <x:v>DI.CA.2.3</x:v>
      </x:c>
      <x:c r="F318" s="14" t="str">
        <x:v>Participate in SME insight meetings to gain perspective and appetite on potential enhancements</x:v>
      </x:c>
      <x:c r="G318" s="5"/>
      <x:c r="H318" s="11"/>
      <x:c r="I318" s="11" t="n">
        <x:f>'Cycles &amp; Guide'!$D$12</x:f>
        <x:v>46295</x:v>
      </x:c>
      <x:c r="J318" s="11"/>
      <x:c r="K318" s="29"/>
      <x:c r="L318" s="2" t="str">
        <x:f>IF(O318=1,"Complete",IF(A318,"Checklist open",IF(H318&lt;&gt;"","In progress","Not started")))</x:f>
        <x:v>Not started</x:v>
      </x:c>
      <x:c r="M318" s="2" t="str">
        <x:v>Task</x:v>
      </x:c>
      <x:c r="N318" s="2" t="str">
        <x:v>DI.CA.2.3.2026.CY3</x:v>
      </x:c>
      <x:c r="O318" s="2" t="n">
        <x:f>R318</x:f>
        <x:v>0</x:v>
      </x:c>
      <x:c r="P318" s="2"/>
      <x:c r="Q318" s="2" t="n">
        <x:v>1</x:v>
      </x:c>
      <x:c r="R318" s="2" t="n">
        <x:f>IF(A318,1,0)</x:f>
        <x:v>0</x:v>
      </x:c>
      <x:c r="S318" s="2" t="n">
        <x:f>SUBTOTAL(103,N318)</x:f>
        <x:v>1</x:v>
      </x:c>
    </x:row>
    <x:row r="319" ht="42" customHeight="1">
      <x:c r="A319" s="28" t="b">
        <x:v>0</x:v>
      </x:c>
      <x:c r="B319" s="2" t="str">
        <x:v>Cycle 3</x:v>
      </x:c>
      <x:c r="C319" s="2" t="str">
        <x:v>Phase 2</x:v>
      </x:c>
      <x:c r="D319" s="2" t="str">
        <x:v>Cards</x:v>
      </x:c>
      <x:c r="E319" s="56" t="str">
        <x:v>DI.CA.2.4</x:v>
      </x:c>
      <x:c r="F319" s="14" t="str">
        <x:v>Begin development of presentation materials as Research is being completed</x:v>
      </x:c>
      <x:c r="G319" s="5"/>
      <x:c r="H319" s="11"/>
      <x:c r="I319" s="11" t="n">
        <x:f>'Cycles &amp; Guide'!$D$12</x:f>
        <x:v>46295</x:v>
      </x:c>
      <x:c r="J319" s="11"/>
      <x:c r="K319" s="29"/>
      <x:c r="L319" s="2" t="str">
        <x:f>IF(O319=1,"Complete",IF(A319,"Checklist open",IF(H319&lt;&gt;"","In progress","Not started")))</x:f>
        <x:v>Not started</x:v>
      </x:c>
      <x:c r="M319" s="2" t="str">
        <x:v>Task</x:v>
      </x:c>
      <x:c r="N319" s="2" t="str">
        <x:v>DI.CA.2.4.2026.CY3</x:v>
      </x:c>
      <x:c r="O319" s="2" t="n">
        <x:f>R319</x:f>
        <x:v>0</x:v>
      </x:c>
      <x:c r="P319" s="2"/>
      <x:c r="Q319" s="2" t="n">
        <x:v>1</x:v>
      </x:c>
      <x:c r="R319" s="2" t="n">
        <x:f>IF(A319,1,0)</x:f>
        <x:v>0</x:v>
      </x:c>
      <x:c r="S319" s="2" t="n">
        <x:f>SUBTOTAL(103,N319)</x:f>
        <x:v>1</x:v>
      </x:c>
    </x:row>
    <x:row r="320" ht="42" customHeight="1">
      <x:c r="A320" s="28" t="b">
        <x:v>0</x:v>
      </x:c>
      <x:c r="B320" s="2" t="str">
        <x:v>Cycle 3</x:v>
      </x:c>
      <x:c r="C320" s="2" t="str">
        <x:v>Phase 2</x:v>
      </x:c>
      <x:c r="D320" s="2" t="str">
        <x:v>Cards</x:v>
      </x:c>
      <x:c r="E320" s="56" t="str">
        <x:v>DI.CA.2.5</x:v>
      </x:c>
      <x:c r="F320" s="14" t="str">
        <x:v>Draft initial enhancement recommendations (as applicable)</x:v>
      </x:c>
      <x:c r="G320" s="5"/>
      <x:c r="H320" s="11"/>
      <x:c r="I320" s="11" t="n">
        <x:f>'Cycles &amp; Guide'!$D$12</x:f>
        <x:v>46295</x:v>
      </x:c>
      <x:c r="J320" s="11"/>
      <x:c r="K320" s="29"/>
      <x:c r="L320" s="2" t="str">
        <x:f>IF(O320=1,"Complete",IF(A320,"Checklist open",IF(H320&lt;&gt;"","In progress","Not started")))</x:f>
        <x:v>Not started</x:v>
      </x:c>
      <x:c r="M320" s="2" t="str">
        <x:v>Task</x:v>
      </x:c>
      <x:c r="N320" s="2" t="str">
        <x:v>DI.CA.2.5.2026.CY3</x:v>
      </x:c>
      <x:c r="O320" s="2" t="n">
        <x:f>R320</x:f>
        <x:v>0</x:v>
      </x:c>
      <x:c r="P320" s="2"/>
      <x:c r="Q320" s="2" t="n">
        <x:v>1</x:v>
      </x:c>
      <x:c r="R320" s="2" t="n">
        <x:f>IF(A320,1,0)</x:f>
        <x:v>0</x:v>
      </x:c>
      <x:c r="S320" s="2" t="n">
        <x:f>SUBTOTAL(103,N320)</x:f>
        <x:v>1</x:v>
      </x:c>
    </x:row>
    <x:row r="321" ht="42" customHeight="1">
      <x:c r="A321" s="28" t="b">
        <x:v>0</x:v>
      </x:c>
      <x:c r="B321" s="2" t="str">
        <x:v>Cycle 3</x:v>
      </x:c>
      <x:c r="C321" s="2" t="str">
        <x:v>Phase 2</x:v>
      </x:c>
      <x:c r="D321" s="2" t="str">
        <x:v>Cards</x:v>
      </x:c>
      <x:c r="E321" s="56" t="str">
        <x:v>DI.CA.2.6</x:v>
      </x:c>
      <x:c r="F321" s="14" t="str">
        <x:v>Finalize presentation deck draft at conclusion of Research phase</x:v>
      </x:c>
      <x:c r="G321" s="5"/>
      <x:c r="H321" s="11"/>
      <x:c r="I321" s="11" t="n">
        <x:f>'Cycles &amp; Guide'!$D$12</x:f>
        <x:v>46295</x:v>
      </x:c>
      <x:c r="J321" s="11"/>
      <x:c r="K321" s="29"/>
      <x:c r="L321" s="2" t="str">
        <x:f>IF(O321=1,"Complete",IF(A321,"Checklist open",IF(H321&lt;&gt;"","In progress","Not started")))</x:f>
        <x:v>Not started</x:v>
      </x:c>
      <x:c r="M321" s="2" t="str">
        <x:v>Task</x:v>
      </x:c>
      <x:c r="N321" s="2" t="str">
        <x:v>DI.CA.2.6.2026.CY3</x:v>
      </x:c>
      <x:c r="O321" s="2" t="n">
        <x:f>R321</x:f>
        <x:v>0</x:v>
      </x:c>
      <x:c r="P321" s="2"/>
      <x:c r="Q321" s="2" t="n">
        <x:v>1</x:v>
      </x:c>
      <x:c r="R321" s="2" t="n">
        <x:f>IF(A321,1,0)</x:f>
        <x:v>0</x:v>
      </x:c>
      <x:c r="S321" s="2" t="n">
        <x:f>SUBTOTAL(103,N321)</x:f>
        <x:v>1</x:v>
      </x:c>
    </x:row>
    <x:row r="322" ht="42" customHeight="1">
      <x:c r="A322" s="28" t="b">
        <x:v>0</x:v>
      </x:c>
      <x:c r="B322" s="2" t="str">
        <x:v>Cycle 3</x:v>
      </x:c>
      <x:c r="C322" s="2" t="str">
        <x:v>Phase 2</x:v>
      </x:c>
      <x:c r="D322" s="2" t="str">
        <x:v>Cards</x:v>
      </x:c>
      <x:c r="E322" s="56" t="str">
        <x:v>DI.CA.2.7</x:v>
      </x:c>
      <x:c r="F322" s="14" t="str">
        <x:v>Update Outcome portion of research plan with current enhancement verbiage (as needed)</x:v>
      </x:c>
      <x:c r="G322" s="5"/>
      <x:c r="H322" s="11"/>
      <x:c r="I322" s="11" t="n">
        <x:f>'Cycles &amp; Guide'!$D$12</x:f>
        <x:v>46295</x:v>
      </x:c>
      <x:c r="J322" s="11"/>
      <x:c r="K322" s="29"/>
      <x:c r="L322" s="2" t="str">
        <x:f>IF(O322=1,"Complete",IF(A322,"Checklist open",IF(H322&lt;&gt;"","In progress","Not started")))</x:f>
        <x:v>Not started</x:v>
      </x:c>
      <x:c r="M322" s="2" t="str">
        <x:v>Task</x:v>
      </x:c>
      <x:c r="N322" s="2" t="str">
        <x:v>DI.CA.2.7.2026.CY3</x:v>
      </x:c>
      <x:c r="O322" s="2" t="n">
        <x:f>R322</x:f>
        <x:v>0</x:v>
      </x:c>
      <x:c r="P322" s="2"/>
      <x:c r="Q322" s="2" t="n">
        <x:v>1</x:v>
      </x:c>
      <x:c r="R322" s="2" t="n">
        <x:f>IF(A322,1,0)</x:f>
        <x:v>0</x:v>
      </x:c>
      <x:c r="S322" s="2" t="n">
        <x:f>SUBTOTAL(103,N322)</x:f>
        <x:v>1</x:v>
      </x:c>
    </x:row>
    <x:row r="323" ht="42" customHeight="1">
      <x:c r="A323" s="28" t="b">
        <x:v>0</x:v>
      </x:c>
      <x:c r="B323" s="2" t="str">
        <x:v>Cycle 3</x:v>
      </x:c>
      <x:c r="C323" s="2" t="str">
        <x:v>Phase 3</x:v>
      </x:c>
      <x:c r="D323" s="2" t="str">
        <x:v>Cards</x:v>
      </x:c>
      <x:c r="E323" s="56" t="str">
        <x:v>DI.CA.3.1</x:v>
      </x:c>
      <x:c r="F323" s="14" t="str">
        <x:v>Confirm list of required &amp; optional attendees for pre-socialization meeting</x:v>
      </x:c>
      <x:c r="G323" s="5"/>
      <x:c r="H323" s="11"/>
      <x:c r="I323" s="11" t="n">
        <x:f>'Cycles &amp; Guide'!$D$12</x:f>
        <x:v>46295</x:v>
      </x:c>
      <x:c r="J323" s="11"/>
      <x:c r="K323" s="29"/>
      <x:c r="L323" s="2" t="str">
        <x:f>IF(O323=1,"Complete",IF(A323,"Checklist open",IF(H323&lt;&gt;"","In progress","Not started")))</x:f>
        <x:v>Not started</x:v>
      </x:c>
      <x:c r="M323" s="2" t="str">
        <x:v>Task</x:v>
      </x:c>
      <x:c r="N323" s="2" t="str">
        <x:v>DI.CA.3.1.2026.CY3</x:v>
      </x:c>
      <x:c r="O323" s="2" t="n">
        <x:f>R323</x:f>
        <x:v>0</x:v>
      </x:c>
      <x:c r="P323" s="2"/>
      <x:c r="Q323" s="2" t="n">
        <x:v>1</x:v>
      </x:c>
      <x:c r="R323" s="2" t="n">
        <x:f>IF(A323,1,0)</x:f>
        <x:v>0</x:v>
      </x:c>
      <x:c r="S323" s="2" t="n">
        <x:f>SUBTOTAL(103,N323)</x:f>
        <x:v>1</x:v>
      </x:c>
    </x:row>
    <x:row r="324" ht="42" customHeight="1">
      <x:c r="A324" s="28" t="b">
        <x:v>0</x:v>
      </x:c>
      <x:c r="B324" s="2" t="str">
        <x:v>Cycle 3</x:v>
      </x:c>
      <x:c r="C324" s="2" t="str">
        <x:v>Phase 3</x:v>
      </x:c>
      <x:c r="D324" s="2" t="str">
        <x:v>Cards</x:v>
      </x:c>
      <x:c r="E324" s="56" t="str">
        <x:v>DI.CA.3.2</x:v>
      </x:c>
      <x:c r="F324" s="14" t="str">
        <x:v>Schedule pre-socialization meeting 1 week prior to RCA Forum</x:v>
      </x:c>
      <x:c r="G324" s="5"/>
      <x:c r="H324" s="11"/>
      <x:c r="I324" s="11" t="str">
        <x:f>IF(SUMIFS('Cycles &amp; Guide'!$D$23:$D$50,'Cycles &amp; Guide'!$B$23:$B$50,B324,'Cycles &amp; Guide'!$C$23:$C$50,D324)=0,"",SUMIFS('Cycles &amp; Guide'!$D$23:$D$50,'Cycles &amp; Guide'!$B$23:$B$50,B324,'Cycles &amp; Guide'!$C$23:$C$50,D324)-7)</x:f>
      </x:c>
      <x:c r="J324" s="11"/>
      <x:c r="K324" s="29"/>
      <x:c r="L324" s="2" t="str">
        <x:f>IF(O324=1,"Complete",IF(A324,"Checklist open",IF(H324&lt;&gt;"","In progress","Not started")))</x:f>
        <x:v>Not started</x:v>
      </x:c>
      <x:c r="M324" s="2" t="str">
        <x:v>Task</x:v>
      </x:c>
      <x:c r="N324" s="2" t="str">
        <x:v>DI.CA.3.2.2026.CY3</x:v>
      </x:c>
      <x:c r="O324" s="2" t="n">
        <x:f>R324</x:f>
        <x:v>0</x:v>
      </x:c>
      <x:c r="P324" s="2"/>
      <x:c r="Q324" s="2" t="n">
        <x:v>1</x:v>
      </x:c>
      <x:c r="R324" s="2" t="n">
        <x:f>IF(A324,1,0)</x:f>
        <x:v>0</x:v>
      </x:c>
      <x:c r="S324" s="2" t="n">
        <x:f>SUBTOTAL(103,N324)</x:f>
        <x:v>1</x:v>
      </x:c>
    </x:row>
    <x:row r="325" ht="42" customHeight="1">
      <x:c r="A325" s="28" t="b">
        <x:v>0</x:v>
      </x:c>
      <x:c r="B325" s="2" t="str">
        <x:v>Cycle 3</x:v>
      </x:c>
      <x:c r="C325" s="2" t="str">
        <x:v>Phase 3</x:v>
      </x:c>
      <x:c r="D325" s="2" t="str">
        <x:v>Cards</x:v>
      </x:c>
      <x:c r="E325" s="56" t="str">
        <x:v>DI.CA.3.3</x:v>
      </x:c>
      <x:c r="F325" s="14" t="str">
        <x:v>Present findings, conclusions, and recommendation to SMEs</x:v>
      </x:c>
      <x:c r="G325" s="5"/>
      <x:c r="H325" s="11"/>
      <x:c r="I325" s="11" t="n">
        <x:f>'Cycles &amp; Guide'!$D$12</x:f>
        <x:v>46295</x:v>
      </x:c>
      <x:c r="J325" s="11"/>
      <x:c r="K325" s="29"/>
      <x:c r="L325" s="2" t="str">
        <x:f>IF(O325=1,"Complete",IF(A325,"Checklist open",IF(H325&lt;&gt;"","In progress","Not started")))</x:f>
        <x:v>Not started</x:v>
      </x:c>
      <x:c r="M325" s="2" t="str">
        <x:v>Task</x:v>
      </x:c>
      <x:c r="N325" s="2" t="str">
        <x:v>DI.CA.3.3.2026.CY3</x:v>
      </x:c>
      <x:c r="O325" s="2" t="n">
        <x:f>R325</x:f>
        <x:v>0</x:v>
      </x:c>
      <x:c r="P325" s="2"/>
      <x:c r="Q325" s="2" t="n">
        <x:v>1</x:v>
      </x:c>
      <x:c r="R325" s="2" t="n">
        <x:f>IF(A325,1,0)</x:f>
        <x:v>0</x:v>
      </x:c>
      <x:c r="S325" s="2" t="n">
        <x:f>SUBTOTAL(103,N325)</x:f>
        <x:v>1</x:v>
      </x:c>
    </x:row>
    <x:row r="326" ht="42" customHeight="1">
      <x:c r="A326" s="28" t="b">
        <x:v>0</x:v>
      </x:c>
      <x:c r="B326" s="2" t="str">
        <x:v>Cycle 3</x:v>
      </x:c>
      <x:c r="C326" s="2" t="str">
        <x:v>Phase 3</x:v>
      </x:c>
      <x:c r="D326" s="2" t="str">
        <x:v>Cards</x:v>
      </x:c>
      <x:c r="E326" s="56" t="str">
        <x:v>DI.CA.3.4</x:v>
      </x:c>
      <x:c r="F326" s="14" t="str">
        <x:v>Update Outcome portion of research plan (as needed)</x:v>
      </x:c>
      <x:c r="G326" s="5"/>
      <x:c r="H326" s="11"/>
      <x:c r="I326" s="11" t="n">
        <x:f>'Cycles &amp; Guide'!$D$12</x:f>
        <x:v>46295</x:v>
      </x:c>
      <x:c r="J326" s="11"/>
      <x:c r="K326" s="29"/>
      <x:c r="L326" s="2" t="str">
        <x:f>IF(O326=1,"Complete",IF(A326,"Checklist open",IF(H326&lt;&gt;"","In progress","Not started")))</x:f>
        <x:v>Not started</x:v>
      </x:c>
      <x:c r="M326" s="2" t="str">
        <x:v>Task</x:v>
      </x:c>
      <x:c r="N326" s="2" t="str">
        <x:v>DI.CA.3.4.2026.CY3</x:v>
      </x:c>
      <x:c r="O326" s="2" t="n">
        <x:f>R326</x:f>
        <x:v>0</x:v>
      </x:c>
      <x:c r="P326" s="2"/>
      <x:c r="Q326" s="2" t="n">
        <x:v>1</x:v>
      </x:c>
      <x:c r="R326" s="2" t="n">
        <x:f>IF(A326,1,0)</x:f>
        <x:v>0</x:v>
      </x:c>
      <x:c r="S326" s="2" t="n">
        <x:f>SUBTOTAL(103,N326)</x:f>
        <x:v>1</x:v>
      </x:c>
    </x:row>
    <x:row r="327" ht="42" customHeight="1">
      <x:c r="A327" s="28" t="b">
        <x:v>0</x:v>
      </x:c>
      <x:c r="B327" s="2" t="str">
        <x:v>Cycle 3</x:v>
      </x:c>
      <x:c r="C327" s="2" t="str">
        <x:v>Phase 3</x:v>
      </x:c>
      <x:c r="D327" s="2" t="str">
        <x:v>Cards</x:v>
      </x:c>
      <x:c r="E327" s="56" t="str">
        <x:v>DI.CA.3.5</x:v>
      </x:c>
      <x:c r="F327" s="14" t="str">
        <x:v>Finalize presentation deck by incorporating pre-socialization feedback (as needed)</x:v>
      </x:c>
      <x:c r="G327" s="5"/>
      <x:c r="H327" s="11"/>
      <x:c r="I327" s="11" t="n">
        <x:f>'Cycles &amp; Guide'!$D$12</x:f>
        <x:v>46295</x:v>
      </x:c>
      <x:c r="J327" s="11"/>
      <x:c r="K327" s="29"/>
      <x:c r="L327" s="2" t="str">
        <x:f>IF(O327=1,"Complete",IF(A327,"Checklist open",IF(H327&lt;&gt;"","In progress","Not started")))</x:f>
        <x:v>Not started</x:v>
      </x:c>
      <x:c r="M327" s="2" t="str">
        <x:v>Task</x:v>
      </x:c>
      <x:c r="N327" s="2" t="str">
        <x:v>DI.CA.3.5.2026.CY3</x:v>
      </x:c>
      <x:c r="O327" s="2" t="n">
        <x:f>R327</x:f>
        <x:v>0</x:v>
      </x:c>
      <x:c r="P327" s="2"/>
      <x:c r="Q327" s="2" t="n">
        <x:v>1</x:v>
      </x:c>
      <x:c r="R327" s="2" t="n">
        <x:f>IF(A327,1,0)</x:f>
        <x:v>0</x:v>
      </x:c>
      <x:c r="S327" s="2" t="n">
        <x:f>SUBTOTAL(103,N327)</x:f>
        <x:v>1</x:v>
      </x:c>
    </x:row>
    <x:row r="328" ht="42" customHeight="1">
      <x:c r="A328" s="28" t="b">
        <x:v>0</x:v>
      </x:c>
      <x:c r="B328" s="2" t="str">
        <x:v>Cycle 3</x:v>
      </x:c>
      <x:c r="C328" s="2" t="str">
        <x:v>Phase 3</x:v>
      </x:c>
      <x:c r="D328" s="2" t="str">
        <x:v>Cards</x:v>
      </x:c>
      <x:c r="E328" s="56" t="str">
        <x:v>DI.CA.3.6</x:v>
      </x:c>
      <x:c r="F328" s="14" t="str">
        <x:v>Ensure final deck is communicated to Forum attendees</x:v>
      </x:c>
      <x:c r="G328" s="5"/>
      <x:c r="H328" s="11"/>
      <x:c r="I328" s="11" t="n">
        <x:f>'Cycles &amp; Guide'!$D$12</x:f>
        <x:v>46295</x:v>
      </x:c>
      <x:c r="J328" s="11"/>
      <x:c r="K328" s="29"/>
      <x:c r="L328" s="2" t="str">
        <x:f>IF(O328=1,"Complete",IF(A328,"Checklist open",IF(H328&lt;&gt;"","In progress","Not started")))</x:f>
        <x:v>Not started</x:v>
      </x:c>
      <x:c r="M328" s="2" t="str">
        <x:v>Task</x:v>
      </x:c>
      <x:c r="N328" s="2" t="str">
        <x:v>DI.CA.3.6.2026.CY3</x:v>
      </x:c>
      <x:c r="O328" s="2" t="n">
        <x:f>R328</x:f>
        <x:v>0</x:v>
      </x:c>
      <x:c r="P328" s="2"/>
      <x:c r="Q328" s="2" t="n">
        <x:v>1</x:v>
      </x:c>
      <x:c r="R328" s="2" t="n">
        <x:f>IF(A328,1,0)</x:f>
        <x:v>0</x:v>
      </x:c>
      <x:c r="S328" s="2" t="n">
        <x:f>SUBTOTAL(103,N328)</x:f>
        <x:v>1</x:v>
      </x:c>
    </x:row>
    <x:row r="329" ht="42" customHeight="1">
      <x:c r="A329" s="28" t="b">
        <x:v>0</x:v>
      </x:c>
      <x:c r="B329" s="2" t="str">
        <x:v>Cycle 3</x:v>
      </x:c>
      <x:c r="C329" s="2" t="str">
        <x:v>Phase 3</x:v>
      </x:c>
      <x:c r="D329" s="2" t="str">
        <x:v>Cards</x:v>
      </x:c>
      <x:c r="E329" s="56" t="str">
        <x:v>DI.CA.3.7</x:v>
      </x:c>
      <x:c r="F329" s="14" t="str">
        <x:v>Present material in RCA Cycle Forum</x:v>
      </x:c>
      <x:c r="G329" s="5"/>
      <x:c r="H329" s="11"/>
      <x:c r="I329" s="11" t="str">
        <x:f>IF(SUMIFS('Cycles &amp; Guide'!$D$23:$D$50,'Cycles &amp; Guide'!$B$23:$B$50,B329,'Cycles &amp; Guide'!$C$23:$C$50,D329)=0,"",SUMIFS('Cycles &amp; Guide'!$D$23:$D$50,'Cycles &amp; Guide'!$B$23:$B$50,B329,'Cycles &amp; Guide'!$C$23:$C$50,D329))</x:f>
      </x:c>
      <x:c r="J329" s="11"/>
      <x:c r="K329" s="29"/>
      <x:c r="L329" s="2" t="str">
        <x:f>IF(O329=1,"Complete",IF(A329,"Checklist open",IF(H329&lt;&gt;"","In progress","Not started")))</x:f>
        <x:v>Not started</x:v>
      </x:c>
      <x:c r="M329" s="2" t="str">
        <x:v>Task</x:v>
      </x:c>
      <x:c r="N329" s="2" t="str">
        <x:v>DI.CA.3.7.2026.CY3</x:v>
      </x:c>
      <x:c r="O329" s="2" t="n">
        <x:f>R329</x:f>
        <x:v>0</x:v>
      </x:c>
      <x:c r="P329" s="2"/>
      <x:c r="Q329" s="2" t="n">
        <x:v>1</x:v>
      </x:c>
      <x:c r="R329" s="2" t="n">
        <x:f>IF(A329,1,0)</x:f>
        <x:v>0</x:v>
      </x:c>
      <x:c r="S329" s="2" t="n">
        <x:f>SUBTOTAL(103,N329)</x:f>
        <x:v>1</x:v>
      </x:c>
    </x:row>
    <x:row r="330" ht="42" customHeight="1">
      <x:c r="A330" s="28" t="b">
        <x:v>0</x:v>
      </x:c>
      <x:c r="B330" s="2" t="str">
        <x:v>Cycle 3</x:v>
      </x:c>
      <x:c r="C330" s="2" t="str">
        <x:v>Phase 1</x:v>
      </x:c>
      <x:c r="D330" s="2" t="str">
        <x:v>CSBBO - Banking Ops</x:v>
      </x:c>
      <x:c r="E330" s="56" t="str">
        <x:v>DI.BO.1.1</x:v>
      </x:c>
      <x:c r="F330" s="14" t="str">
        <x:v>Receive and review potential research topics at least 2 weeks prior to Cycle start date</x:v>
      </x:c>
      <x:c r="G330" s="5"/>
      <x:c r="H330" s="11"/>
      <x:c r="I330" s="11" t="n">
        <x:f>'Cycles &amp; Guide'!$C$12-14</x:f>
        <x:v>46190</x:v>
      </x:c>
      <x:c r="J330" s="11"/>
      <x:c r="K330" s="29"/>
      <x:c r="L330" s="2" t="str">
        <x:f>IF(O330=1,"Complete",IF(A330,"Checklist open",IF(H330&lt;&gt;"","In progress","Not started")))</x:f>
        <x:v>Not started</x:v>
      </x:c>
      <x:c r="M330" s="2" t="str">
        <x:v>Task</x:v>
      </x:c>
      <x:c r="N330" s="2" t="str">
        <x:v>DI.BO.1.1.2026.CY3</x:v>
      </x:c>
      <x:c r="O330" s="2" t="n">
        <x:f>R330</x:f>
        <x:v>0</x:v>
      </x:c>
      <x:c r="P330" s="2"/>
      <x:c r="Q330" s="2" t="n">
        <x:v>1</x:v>
      </x:c>
      <x:c r="R330" s="2" t="n">
        <x:f>IF(A330,1,0)</x:f>
        <x:v>0</x:v>
      </x:c>
      <x:c r="S330" s="2" t="n">
        <x:f>SUBTOTAL(103,N330)</x:f>
        <x:v>1</x:v>
      </x:c>
    </x:row>
    <x:row r="331" ht="42" customHeight="1">
      <x:c r="A331" s="28" t="b">
        <x:v>0</x:v>
      </x:c>
      <x:c r="B331" s="2" t="str">
        <x:v>Cycle 3</x:v>
      </x:c>
      <x:c r="C331" s="2" t="str">
        <x:v>Phase 1</x:v>
      </x:c>
      <x:c r="D331" s="2" t="str">
        <x:v>CSBBO - Banking Ops</x:v>
      </x:c>
      <x:c r="E331" s="56" t="str">
        <x:v>DI.BO.1.2</x:v>
      </x:c>
      <x:c r="F331" s="14" t="str">
        <x:v>Communicate any feedback on preferences or concerns with topics identified</x:v>
      </x:c>
      <x:c r="G331" s="5"/>
      <x:c r="H331" s="11"/>
      <x:c r="I331" s="11" t="n">
        <x:f>'Cycles &amp; Guide'!$D$12</x:f>
        <x:v>46295</x:v>
      </x:c>
      <x:c r="J331" s="11"/>
      <x:c r="K331" s="29"/>
      <x:c r="L331" s="2" t="str">
        <x:f>IF(O331=1,"Complete",IF(A331,"Checklist open",IF(H331&lt;&gt;"","In progress","Not started")))</x:f>
        <x:v>Not started</x:v>
      </x:c>
      <x:c r="M331" s="2" t="str">
        <x:v>Task</x:v>
      </x:c>
      <x:c r="N331" s="2" t="str">
        <x:v>DI.BO.1.2.2026.CY3</x:v>
      </x:c>
      <x:c r="O331" s="2" t="n">
        <x:f>R331</x:f>
        <x:v>0</x:v>
      </x:c>
      <x:c r="P331" s="2"/>
      <x:c r="Q331" s="2" t="n">
        <x:v>1</x:v>
      </x:c>
      <x:c r="R331" s="2" t="n">
        <x:f>IF(A331,1,0)</x:f>
        <x:v>0</x:v>
      </x:c>
      <x:c r="S331" s="2" t="n">
        <x:f>SUBTOTAL(103,N331)</x:f>
        <x:v>1</x:v>
      </x:c>
    </x:row>
    <x:row r="332" ht="42" customHeight="1">
      <x:c r="A332" s="28" t="b">
        <x:v>0</x:v>
      </x:c>
      <x:c r="B332" s="2" t="str">
        <x:v>Cycle 3</x:v>
      </x:c>
      <x:c r="C332" s="2" t="str">
        <x:v>Phase 1</x:v>
      </x:c>
      <x:c r="D332" s="2" t="str">
        <x:v>CSBBO - Banking Ops</x:v>
      </x:c>
      <x:c r="E332" s="56" t="str">
        <x:v>DI.BO.1.3</x:v>
      </x:c>
      <x:c r="F332" s="14" t="str">
        <x:v>Conduct high-level preliminary review of complaints within proposed topics</x:v>
      </x:c>
      <x:c r="G332" s="5"/>
      <x:c r="H332" s="11"/>
      <x:c r="I332" s="11" t="n">
        <x:f>'Cycles &amp; Guide'!$D$12</x:f>
        <x:v>46295</x:v>
      </x:c>
      <x:c r="J332" s="11"/>
      <x:c r="K332" s="29"/>
      <x:c r="L332" s="2" t="str">
        <x:f>IF(O332=1,"Complete",IF(A332,"Checklist open",IF(H332&lt;&gt;"","In progress","Not started")))</x:f>
        <x:v>Not started</x:v>
      </x:c>
      <x:c r="M332" s="2" t="str">
        <x:v>Task</x:v>
      </x:c>
      <x:c r="N332" s="2" t="str">
        <x:v>DI.BO.1.3.2026.CY3</x:v>
      </x:c>
      <x:c r="O332" s="2" t="n">
        <x:f>R332</x:f>
        <x:v>0</x:v>
      </x:c>
      <x:c r="P332" s="2"/>
      <x:c r="Q332" s="2" t="n">
        <x:v>1</x:v>
      </x:c>
      <x:c r="R332" s="2" t="n">
        <x:f>IF(A332,1,0)</x:f>
        <x:v>0</x:v>
      </x:c>
      <x:c r="S332" s="2" t="n">
        <x:f>SUBTOTAL(103,N332)</x:f>
        <x:v>1</x:v>
      </x:c>
    </x:row>
    <x:row r="333" ht="42" customHeight="1">
      <x:c r="A333" s="28" t="b">
        <x:v>0</x:v>
      </x:c>
      <x:c r="B333" s="2" t="str">
        <x:v>Cycle 3</x:v>
      </x:c>
      <x:c r="C333" s="2" t="str">
        <x:v>Phase 1</x:v>
      </x:c>
      <x:c r="D333" s="2" t="str">
        <x:v>CSBBO - Banking Ops</x:v>
      </x:c>
      <x:c r="E333" s="56" t="str">
        <x:v>DI.BO.1.4</x:v>
      </x:c>
      <x:c r="F333" s="14" t="str">
        <x:v>Meet with Research to discuss which topic to select based on potential impact</x:v>
      </x:c>
      <x:c r="G333" s="5"/>
      <x:c r="H333" s="11"/>
      <x:c r="I333" s="11" t="n">
        <x:f>'Cycles &amp; Guide'!$D$12</x:f>
        <x:v>46295</x:v>
      </x:c>
      <x:c r="J333" s="11"/>
      <x:c r="K333" s="29"/>
      <x:c r="L333" s="2" t="str">
        <x:f>IF(O333=1,"Complete",IF(A333,"Checklist open",IF(H333&lt;&gt;"","In progress","Not started")))</x:f>
        <x:v>Not started</x:v>
      </x:c>
      <x:c r="M333" s="2" t="str">
        <x:v>Task</x:v>
      </x:c>
      <x:c r="N333" s="2" t="str">
        <x:v>DI.BO.1.4.2026.CY3</x:v>
      </x:c>
      <x:c r="O333" s="2" t="n">
        <x:f>R333</x:f>
        <x:v>0</x:v>
      </x:c>
      <x:c r="P333" s="2"/>
      <x:c r="Q333" s="2" t="n">
        <x:v>1</x:v>
      </x:c>
      <x:c r="R333" s="2" t="n">
        <x:f>IF(A333,1,0)</x:f>
        <x:v>0</x:v>
      </x:c>
      <x:c r="S333" s="2" t="n">
        <x:f>SUBTOTAL(103,N333)</x:f>
        <x:v>1</x:v>
      </x:c>
    </x:row>
    <x:row r="334" ht="42" customHeight="1">
      <x:c r="A334" s="28" t="b">
        <x:v>0</x:v>
      </x:c>
      <x:c r="B334" s="2" t="str">
        <x:v>Cycle 3</x:v>
      </x:c>
      <x:c r="C334" s="2" t="str">
        <x:v>Phase 1</x:v>
      </x:c>
      <x:c r="D334" s="2" t="str">
        <x:v>CSBBO - Banking Ops</x:v>
      </x:c>
      <x:c r="E334" s="56" t="str">
        <x:v>DI.BO.1.5</x:v>
      </x:c>
      <x:c r="F334" s="14" t="str">
        <x:v>Confirm with Research the recommended topic for approval</x:v>
      </x:c>
      <x:c r="G334" s="5"/>
      <x:c r="H334" s="11"/>
      <x:c r="I334" s="11" t="n">
        <x:f>'Cycles &amp; Guide'!$D$12</x:f>
        <x:v>46295</x:v>
      </x:c>
      <x:c r="J334" s="11"/>
      <x:c r="K334" s="29"/>
      <x:c r="L334" s="2" t="str">
        <x:f>IF(O334=1,"Complete",IF(A334,"Checklist open",IF(H334&lt;&gt;"","In progress","Not started")))</x:f>
        <x:v>Not started</x:v>
      </x:c>
      <x:c r="M334" s="2" t="str">
        <x:v>Task</x:v>
      </x:c>
      <x:c r="N334" s="2" t="str">
        <x:v>DI.BO.1.5.2026.CY3</x:v>
      </x:c>
      <x:c r="O334" s="2" t="n">
        <x:f>R334</x:f>
        <x:v>0</x:v>
      </x:c>
      <x:c r="P334" s="2"/>
      <x:c r="Q334" s="2" t="n">
        <x:v>1</x:v>
      </x:c>
      <x:c r="R334" s="2" t="n">
        <x:f>IF(A334,1,0)</x:f>
        <x:v>0</x:v>
      </x:c>
      <x:c r="S334" s="2" t="n">
        <x:f>SUBTOTAL(103,N334)</x:f>
        <x:v>1</x:v>
      </x:c>
    </x:row>
    <x:row r="335" ht="42" customHeight="1">
      <x:c r="A335" s="28" t="b">
        <x:v>0</x:v>
      </x:c>
      <x:c r="B335" s="2" t="str">
        <x:v>Cycle 3</x:v>
      </x:c>
      <x:c r="C335" s="2" t="str">
        <x:v>Phase 1</x:v>
      </x:c>
      <x:c r="D335" s="2" t="str">
        <x:v>CSBBO - Banking Ops</x:v>
      </x:c>
      <x:c r="E335" s="56" t="str">
        <x:v>DI.BO.1.6</x:v>
      </x:c>
      <x:c r="F335" s="14" t="str">
        <x:v>Send topic selection socialization email to all key stakeholders on the first day of the review Cycle</x:v>
      </x:c>
      <x:c r="G335" s="5"/>
      <x:c r="H335" s="11"/>
      <x:c r="I335" s="11" t="n">
        <x:f>'Cycles &amp; Guide'!$C$12</x:f>
        <x:v>46204</x:v>
      </x:c>
      <x:c r="J335" s="11"/>
      <x:c r="K335" s="29"/>
      <x:c r="L335" s="2" t="str">
        <x:f>IF(O335=1,"Complete",IF(A335,"Checklist open",IF(H335&lt;&gt;"","In progress","Not started")))</x:f>
        <x:v>Not started</x:v>
      </x:c>
      <x:c r="M335" s="2" t="str">
        <x:v>Task</x:v>
      </x:c>
      <x:c r="N335" s="2" t="str">
        <x:v>DI.BO.1.6.2026.CY3</x:v>
      </x:c>
      <x:c r="O335" s="2" t="n">
        <x:f>R335</x:f>
        <x:v>0</x:v>
      </x:c>
      <x:c r="P335" s="2"/>
      <x:c r="Q335" s="2" t="n">
        <x:v>1</x:v>
      </x:c>
      <x:c r="R335" s="2" t="n">
        <x:f>IF(A335,1,0)</x:f>
        <x:v>0</x:v>
      </x:c>
      <x:c r="S335" s="2" t="n">
        <x:f>SUBTOTAL(103,N335)</x:f>
        <x:v>1</x:v>
      </x:c>
    </x:row>
    <x:row r="336" ht="42" customHeight="1">
      <x:c r="A336" s="28" t="b">
        <x:v>0</x:v>
      </x:c>
      <x:c r="B336" s="2" t="str">
        <x:v>Cycle 3</x:v>
      </x:c>
      <x:c r="C336" s="2" t="str">
        <x:v>Phase 2</x:v>
      </x:c>
      <x:c r="D336" s="2" t="str">
        <x:v>CSBBO - Banking Ops</x:v>
      </x:c>
      <x:c r="E336" s="56" t="str">
        <x:v>DI.BO.2.1</x:v>
      </x:c>
      <x:c r="F336" s="14" t="str">
        <x:v>Meet regularly with Research to stay informed on progress, findings, and potential enhancement</x:v>
      </x:c>
      <x:c r="G336" s="5"/>
      <x:c r="H336" s="11"/>
      <x:c r="I336" s="11" t="n">
        <x:f>'Cycles &amp; Guide'!$D$12</x:f>
        <x:v>46295</x:v>
      </x:c>
      <x:c r="J336" s="11"/>
      <x:c r="K336" s="29"/>
      <x:c r="L336" s="2" t="str">
        <x:f>IF(O336=1,"Complete",IF(A336,"Checklist open",IF(H336&lt;&gt;"","In progress","Not started")))</x:f>
        <x:v>Not started</x:v>
      </x:c>
      <x:c r="M336" s="2" t="str">
        <x:v>Task</x:v>
      </x:c>
      <x:c r="N336" s="2" t="str">
        <x:v>DI.BO.2.1.2026.CY3</x:v>
      </x:c>
      <x:c r="O336" s="2" t="n">
        <x:f>R336</x:f>
        <x:v>0</x:v>
      </x:c>
      <x:c r="P336" s="2"/>
      <x:c r="Q336" s="2" t="n">
        <x:v>1</x:v>
      </x:c>
      <x:c r="R336" s="2" t="n">
        <x:f>IF(A336,1,0)</x:f>
        <x:v>0</x:v>
      </x:c>
      <x:c r="S336" s="2" t="n">
        <x:f>SUBTOTAL(103,N336)</x:f>
        <x:v>1</x:v>
      </x:c>
    </x:row>
    <x:row r="337" ht="42" customHeight="1">
      <x:c r="A337" s="28" t="b">
        <x:v>0</x:v>
      </x:c>
      <x:c r="B337" s="2" t="str">
        <x:v>Cycle 3</x:v>
      </x:c>
      <x:c r="C337" s="2" t="str">
        <x:v>Phase 2</x:v>
      </x:c>
      <x:c r="D337" s="2" t="str">
        <x:v>CSBBO - Banking Ops</x:v>
      </x:c>
      <x:c r="E337" s="56" t="str">
        <x:v>DI.BO.2.2</x:v>
      </x:c>
      <x:c r="F337" s="14" t="str">
        <x:v>Collaborate with Research on research plan specifics</x:v>
      </x:c>
      <x:c r="G337" s="5"/>
      <x:c r="H337" s="11"/>
      <x:c r="I337" s="11" t="n">
        <x:f>'Cycles &amp; Guide'!$D$12</x:f>
        <x:v>46295</x:v>
      </x:c>
      <x:c r="J337" s="11"/>
      <x:c r="K337" s="29"/>
      <x:c r="L337" s="2" t="str">
        <x:f>IF(O337=1,"Complete",IF(A337,"Checklist open",IF(H337&lt;&gt;"","In progress","Not started")))</x:f>
        <x:v>Not started</x:v>
      </x:c>
      <x:c r="M337" s="2" t="str">
        <x:v>Task</x:v>
      </x:c>
      <x:c r="N337" s="2" t="str">
        <x:v>DI.BO.2.2.2026.CY3</x:v>
      </x:c>
      <x:c r="O337" s="2" t="n">
        <x:f>R337</x:f>
        <x:v>0</x:v>
      </x:c>
      <x:c r="P337" s="2"/>
      <x:c r="Q337" s="2" t="n">
        <x:v>1</x:v>
      </x:c>
      <x:c r="R337" s="2" t="n">
        <x:f>IF(A337,1,0)</x:f>
        <x:v>0</x:v>
      </x:c>
      <x:c r="S337" s="2" t="n">
        <x:f>SUBTOTAL(103,N337)</x:f>
        <x:v>1</x:v>
      </x:c>
    </x:row>
    <x:row r="338" ht="42" customHeight="1">
      <x:c r="A338" s="28" t="b">
        <x:v>0</x:v>
      </x:c>
      <x:c r="B338" s="2" t="str">
        <x:v>Cycle 3</x:v>
      </x:c>
      <x:c r="C338" s="2" t="str">
        <x:v>Phase 2</x:v>
      </x:c>
      <x:c r="D338" s="2" t="str">
        <x:v>CSBBO - Banking Ops</x:v>
      </x:c>
      <x:c r="E338" s="56" t="str">
        <x:v>DI.BO.2.3</x:v>
      </x:c>
      <x:c r="F338" s="14" t="str">
        <x:v>Participate in SME insight meetings to gain perspective and appetite on potential enhancements</x:v>
      </x:c>
      <x:c r="G338" s="5"/>
      <x:c r="H338" s="11"/>
      <x:c r="I338" s="11" t="n">
        <x:f>'Cycles &amp; Guide'!$D$12</x:f>
        <x:v>46295</x:v>
      </x:c>
      <x:c r="J338" s="11"/>
      <x:c r="K338" s="29"/>
      <x:c r="L338" s="2" t="str">
        <x:f>IF(O338=1,"Complete",IF(A338,"Checklist open",IF(H338&lt;&gt;"","In progress","Not started")))</x:f>
        <x:v>Not started</x:v>
      </x:c>
      <x:c r="M338" s="2" t="str">
        <x:v>Task</x:v>
      </x:c>
      <x:c r="N338" s="2" t="str">
        <x:v>DI.BO.2.3.2026.CY3</x:v>
      </x:c>
      <x:c r="O338" s="2" t="n">
        <x:f>R338</x:f>
        <x:v>0</x:v>
      </x:c>
      <x:c r="P338" s="2"/>
      <x:c r="Q338" s="2" t="n">
        <x:v>1</x:v>
      </x:c>
      <x:c r="R338" s="2" t="n">
        <x:f>IF(A338,1,0)</x:f>
        <x:v>0</x:v>
      </x:c>
      <x:c r="S338" s="2" t="n">
        <x:f>SUBTOTAL(103,N338)</x:f>
        <x:v>1</x:v>
      </x:c>
    </x:row>
    <x:row r="339" ht="42" customHeight="1">
      <x:c r="A339" s="28" t="b">
        <x:v>0</x:v>
      </x:c>
      <x:c r="B339" s="2" t="str">
        <x:v>Cycle 3</x:v>
      </x:c>
      <x:c r="C339" s="2" t="str">
        <x:v>Phase 2</x:v>
      </x:c>
      <x:c r="D339" s="2" t="str">
        <x:v>CSBBO - Banking Ops</x:v>
      </x:c>
      <x:c r="E339" s="56" t="str">
        <x:v>DI.BO.2.4</x:v>
      </x:c>
      <x:c r="F339" s="14" t="str">
        <x:v>Begin development of presentation materials as Research is being completed</x:v>
      </x:c>
      <x:c r="G339" s="5"/>
      <x:c r="H339" s="11"/>
      <x:c r="I339" s="11" t="n">
        <x:f>'Cycles &amp; Guide'!$D$12</x:f>
        <x:v>46295</x:v>
      </x:c>
      <x:c r="J339" s="11"/>
      <x:c r="K339" s="29"/>
      <x:c r="L339" s="2" t="str">
        <x:f>IF(O339=1,"Complete",IF(A339,"Checklist open",IF(H339&lt;&gt;"","In progress","Not started")))</x:f>
        <x:v>Not started</x:v>
      </x:c>
      <x:c r="M339" s="2" t="str">
        <x:v>Task</x:v>
      </x:c>
      <x:c r="N339" s="2" t="str">
        <x:v>DI.BO.2.4.2026.CY3</x:v>
      </x:c>
      <x:c r="O339" s="2" t="n">
        <x:f>R339</x:f>
        <x:v>0</x:v>
      </x:c>
      <x:c r="P339" s="2"/>
      <x:c r="Q339" s="2" t="n">
        <x:v>1</x:v>
      </x:c>
      <x:c r="R339" s="2" t="n">
        <x:f>IF(A339,1,0)</x:f>
        <x:v>0</x:v>
      </x:c>
      <x:c r="S339" s="2" t="n">
        <x:f>SUBTOTAL(103,N339)</x:f>
        <x:v>1</x:v>
      </x:c>
    </x:row>
    <x:row r="340" ht="42" customHeight="1">
      <x:c r="A340" s="28" t="b">
        <x:v>0</x:v>
      </x:c>
      <x:c r="B340" s="2" t="str">
        <x:v>Cycle 3</x:v>
      </x:c>
      <x:c r="C340" s="2" t="str">
        <x:v>Phase 2</x:v>
      </x:c>
      <x:c r="D340" s="2" t="str">
        <x:v>CSBBO - Banking Ops</x:v>
      </x:c>
      <x:c r="E340" s="56" t="str">
        <x:v>DI.BO.2.5</x:v>
      </x:c>
      <x:c r="F340" s="14" t="str">
        <x:v>Draft initial enhancement recommendations (as applicable)</x:v>
      </x:c>
      <x:c r="G340" s="5"/>
      <x:c r="H340" s="11"/>
      <x:c r="I340" s="11" t="n">
        <x:f>'Cycles &amp; Guide'!$D$12</x:f>
        <x:v>46295</x:v>
      </x:c>
      <x:c r="J340" s="11"/>
      <x:c r="K340" s="29"/>
      <x:c r="L340" s="2" t="str">
        <x:f>IF(O340=1,"Complete",IF(A340,"Checklist open",IF(H340&lt;&gt;"","In progress","Not started")))</x:f>
        <x:v>Not started</x:v>
      </x:c>
      <x:c r="M340" s="2" t="str">
        <x:v>Task</x:v>
      </x:c>
      <x:c r="N340" s="2" t="str">
        <x:v>DI.BO.2.5.2026.CY3</x:v>
      </x:c>
      <x:c r="O340" s="2" t="n">
        <x:f>R340</x:f>
        <x:v>0</x:v>
      </x:c>
      <x:c r="P340" s="2"/>
      <x:c r="Q340" s="2" t="n">
        <x:v>1</x:v>
      </x:c>
      <x:c r="R340" s="2" t="n">
        <x:f>IF(A340,1,0)</x:f>
        <x:v>0</x:v>
      </x:c>
      <x:c r="S340" s="2" t="n">
        <x:f>SUBTOTAL(103,N340)</x:f>
        <x:v>1</x:v>
      </x:c>
    </x:row>
    <x:row r="341" ht="42" customHeight="1">
      <x:c r="A341" s="28" t="b">
        <x:v>0</x:v>
      </x:c>
      <x:c r="B341" s="2" t="str">
        <x:v>Cycle 3</x:v>
      </x:c>
      <x:c r="C341" s="2" t="str">
        <x:v>Phase 2</x:v>
      </x:c>
      <x:c r="D341" s="2" t="str">
        <x:v>CSBBO - Banking Ops</x:v>
      </x:c>
      <x:c r="E341" s="56" t="str">
        <x:v>DI.BO.2.6</x:v>
      </x:c>
      <x:c r="F341" s="14" t="str">
        <x:v>Finalize presentation deck draft at conclusion of Research phase</x:v>
      </x:c>
      <x:c r="G341" s="5"/>
      <x:c r="H341" s="11"/>
      <x:c r="I341" s="11" t="n">
        <x:f>'Cycles &amp; Guide'!$D$12</x:f>
        <x:v>46295</x:v>
      </x:c>
      <x:c r="J341" s="11"/>
      <x:c r="K341" s="29"/>
      <x:c r="L341" s="2" t="str">
        <x:f>IF(O341=1,"Complete",IF(A341,"Checklist open",IF(H341&lt;&gt;"","In progress","Not started")))</x:f>
        <x:v>Not started</x:v>
      </x:c>
      <x:c r="M341" s="2" t="str">
        <x:v>Task</x:v>
      </x:c>
      <x:c r="N341" s="2" t="str">
        <x:v>DI.BO.2.6.2026.CY3</x:v>
      </x:c>
      <x:c r="O341" s="2" t="n">
        <x:f>R341</x:f>
        <x:v>0</x:v>
      </x:c>
      <x:c r="P341" s="2"/>
      <x:c r="Q341" s="2" t="n">
        <x:v>1</x:v>
      </x:c>
      <x:c r="R341" s="2" t="n">
        <x:f>IF(A341,1,0)</x:f>
        <x:v>0</x:v>
      </x:c>
      <x:c r="S341" s="2" t="n">
        <x:f>SUBTOTAL(103,N341)</x:f>
        <x:v>1</x:v>
      </x:c>
    </x:row>
    <x:row r="342" ht="42" customHeight="1">
      <x:c r="A342" s="28" t="b">
        <x:v>0</x:v>
      </x:c>
      <x:c r="B342" s="2" t="str">
        <x:v>Cycle 3</x:v>
      </x:c>
      <x:c r="C342" s="2" t="str">
        <x:v>Phase 2</x:v>
      </x:c>
      <x:c r="D342" s="2" t="str">
        <x:v>CSBBO - Banking Ops</x:v>
      </x:c>
      <x:c r="E342" s="56" t="str">
        <x:v>DI.BO.2.7</x:v>
      </x:c>
      <x:c r="F342" s="14" t="str">
        <x:v>Update Outcome portion of research plan with current enhancement verbiage (as needed)</x:v>
      </x:c>
      <x:c r="G342" s="5"/>
      <x:c r="H342" s="11"/>
      <x:c r="I342" s="11" t="n">
        <x:f>'Cycles &amp; Guide'!$D$12</x:f>
        <x:v>46295</x:v>
      </x:c>
      <x:c r="J342" s="11"/>
      <x:c r="K342" s="29"/>
      <x:c r="L342" s="2" t="str">
        <x:f>IF(O342=1,"Complete",IF(A342,"Checklist open",IF(H342&lt;&gt;"","In progress","Not started")))</x:f>
        <x:v>Not started</x:v>
      </x:c>
      <x:c r="M342" s="2" t="str">
        <x:v>Task</x:v>
      </x:c>
      <x:c r="N342" s="2" t="str">
        <x:v>DI.BO.2.7.2026.CY3</x:v>
      </x:c>
      <x:c r="O342" s="2" t="n">
        <x:f>R342</x:f>
        <x:v>0</x:v>
      </x:c>
      <x:c r="P342" s="2"/>
      <x:c r="Q342" s="2" t="n">
        <x:v>1</x:v>
      </x:c>
      <x:c r="R342" s="2" t="n">
        <x:f>IF(A342,1,0)</x:f>
        <x:v>0</x:v>
      </x:c>
      <x:c r="S342" s="2" t="n">
        <x:f>SUBTOTAL(103,N342)</x:f>
        <x:v>1</x:v>
      </x:c>
    </x:row>
    <x:row r="343" ht="42" customHeight="1">
      <x:c r="A343" s="28" t="b">
        <x:v>0</x:v>
      </x:c>
      <x:c r="B343" s="2" t="str">
        <x:v>Cycle 3</x:v>
      </x:c>
      <x:c r="C343" s="2" t="str">
        <x:v>Phase 3</x:v>
      </x:c>
      <x:c r="D343" s="2" t="str">
        <x:v>CSBBO - Banking Ops</x:v>
      </x:c>
      <x:c r="E343" s="56" t="str">
        <x:v>DI.BO.3.1</x:v>
      </x:c>
      <x:c r="F343" s="14" t="str">
        <x:v>Confirm list of required &amp; optional attendees for pre-socialization meeting</x:v>
      </x:c>
      <x:c r="G343" s="5"/>
      <x:c r="H343" s="11"/>
      <x:c r="I343" s="11" t="n">
        <x:f>'Cycles &amp; Guide'!$D$12</x:f>
        <x:v>46295</x:v>
      </x:c>
      <x:c r="J343" s="11"/>
      <x:c r="K343" s="29"/>
      <x:c r="L343" s="2" t="str">
        <x:f>IF(O343=1,"Complete",IF(A343,"Checklist open",IF(H343&lt;&gt;"","In progress","Not started")))</x:f>
        <x:v>Not started</x:v>
      </x:c>
      <x:c r="M343" s="2" t="str">
        <x:v>Task</x:v>
      </x:c>
      <x:c r="N343" s="2" t="str">
        <x:v>DI.BO.3.1.2026.CY3</x:v>
      </x:c>
      <x:c r="O343" s="2" t="n">
        <x:f>R343</x:f>
        <x:v>0</x:v>
      </x:c>
      <x:c r="P343" s="2"/>
      <x:c r="Q343" s="2" t="n">
        <x:v>1</x:v>
      </x:c>
      <x:c r="R343" s="2" t="n">
        <x:f>IF(A343,1,0)</x:f>
        <x:v>0</x:v>
      </x:c>
      <x:c r="S343" s="2" t="n">
        <x:f>SUBTOTAL(103,N343)</x:f>
        <x:v>1</x:v>
      </x:c>
    </x:row>
    <x:row r="344" ht="42" customHeight="1">
      <x:c r="A344" s="28" t="b">
        <x:v>0</x:v>
      </x:c>
      <x:c r="B344" s="2" t="str">
        <x:v>Cycle 3</x:v>
      </x:c>
      <x:c r="C344" s="2" t="str">
        <x:v>Phase 3</x:v>
      </x:c>
      <x:c r="D344" s="2" t="str">
        <x:v>CSBBO - Banking Ops</x:v>
      </x:c>
      <x:c r="E344" s="56" t="str">
        <x:v>DI.BO.3.2</x:v>
      </x:c>
      <x:c r="F344" s="14" t="str">
        <x:v>Schedule pre-socialization meeting 1 week prior to RCA Forum</x:v>
      </x:c>
      <x:c r="G344" s="5"/>
      <x:c r="H344" s="11"/>
      <x:c r="I344" s="11" t="str">
        <x:f>IF(SUMIFS('Cycles &amp; Guide'!$D$23:$D$50,'Cycles &amp; Guide'!$B$23:$B$50,B344,'Cycles &amp; Guide'!$C$23:$C$50,D344)=0,"",SUMIFS('Cycles &amp; Guide'!$D$23:$D$50,'Cycles &amp; Guide'!$B$23:$B$50,B344,'Cycles &amp; Guide'!$C$23:$C$50,D344)-7)</x:f>
      </x:c>
      <x:c r="J344" s="11"/>
      <x:c r="K344" s="29"/>
      <x:c r="L344" s="2" t="str">
        <x:f>IF(O344=1,"Complete",IF(A344,"Checklist open",IF(H344&lt;&gt;"","In progress","Not started")))</x:f>
        <x:v>Not started</x:v>
      </x:c>
      <x:c r="M344" s="2" t="str">
        <x:v>Task</x:v>
      </x:c>
      <x:c r="N344" s="2" t="str">
        <x:v>DI.BO.3.2.2026.CY3</x:v>
      </x:c>
      <x:c r="O344" s="2" t="n">
        <x:f>R344</x:f>
        <x:v>0</x:v>
      </x:c>
      <x:c r="P344" s="2"/>
      <x:c r="Q344" s="2" t="n">
        <x:v>1</x:v>
      </x:c>
      <x:c r="R344" s="2" t="n">
        <x:f>IF(A344,1,0)</x:f>
        <x:v>0</x:v>
      </x:c>
      <x:c r="S344" s="2" t="n">
        <x:f>SUBTOTAL(103,N344)</x:f>
        <x:v>1</x:v>
      </x:c>
    </x:row>
    <x:row r="345" ht="42" customHeight="1">
      <x:c r="A345" s="28" t="b">
        <x:v>0</x:v>
      </x:c>
      <x:c r="B345" s="2" t="str">
        <x:v>Cycle 3</x:v>
      </x:c>
      <x:c r="C345" s="2" t="str">
        <x:v>Phase 3</x:v>
      </x:c>
      <x:c r="D345" s="2" t="str">
        <x:v>CSBBO - Banking Ops</x:v>
      </x:c>
      <x:c r="E345" s="56" t="str">
        <x:v>DI.BO.3.3</x:v>
      </x:c>
      <x:c r="F345" s="14" t="str">
        <x:v>Present findings, conclusions, and recommendation to SMEs</x:v>
      </x:c>
      <x:c r="G345" s="5"/>
      <x:c r="H345" s="11"/>
      <x:c r="I345" s="11" t="n">
        <x:f>'Cycles &amp; Guide'!$D$12</x:f>
        <x:v>46295</x:v>
      </x:c>
      <x:c r="J345" s="11"/>
      <x:c r="K345" s="29"/>
      <x:c r="L345" s="2" t="str">
        <x:f>IF(O345=1,"Complete",IF(A345,"Checklist open",IF(H345&lt;&gt;"","In progress","Not started")))</x:f>
        <x:v>Not started</x:v>
      </x:c>
      <x:c r="M345" s="2" t="str">
        <x:v>Task</x:v>
      </x:c>
      <x:c r="N345" s="2" t="str">
        <x:v>DI.BO.3.3.2026.CY3</x:v>
      </x:c>
      <x:c r="O345" s="2" t="n">
        <x:f>R345</x:f>
        <x:v>0</x:v>
      </x:c>
      <x:c r="P345" s="2"/>
      <x:c r="Q345" s="2" t="n">
        <x:v>1</x:v>
      </x:c>
      <x:c r="R345" s="2" t="n">
        <x:f>IF(A345,1,0)</x:f>
        <x:v>0</x:v>
      </x:c>
      <x:c r="S345" s="2" t="n">
        <x:f>SUBTOTAL(103,N345)</x:f>
        <x:v>1</x:v>
      </x:c>
    </x:row>
    <x:row r="346" ht="42" customHeight="1">
      <x:c r="A346" s="28" t="b">
        <x:v>0</x:v>
      </x:c>
      <x:c r="B346" s="2" t="str">
        <x:v>Cycle 3</x:v>
      </x:c>
      <x:c r="C346" s="2" t="str">
        <x:v>Phase 3</x:v>
      </x:c>
      <x:c r="D346" s="2" t="str">
        <x:v>CSBBO - Banking Ops</x:v>
      </x:c>
      <x:c r="E346" s="56" t="str">
        <x:v>DI.BO.3.4</x:v>
      </x:c>
      <x:c r="F346" s="14" t="str">
        <x:v>Update Outcome portion of research plan (as needed)</x:v>
      </x:c>
      <x:c r="G346" s="5"/>
      <x:c r="H346" s="11"/>
      <x:c r="I346" s="11" t="n">
        <x:f>'Cycles &amp; Guide'!$D$12</x:f>
        <x:v>46295</x:v>
      </x:c>
      <x:c r="J346" s="11"/>
      <x:c r="K346" s="29"/>
      <x:c r="L346" s="2" t="str">
        <x:f>IF(O346=1,"Complete",IF(A346,"Checklist open",IF(H346&lt;&gt;"","In progress","Not started")))</x:f>
        <x:v>Not started</x:v>
      </x:c>
      <x:c r="M346" s="2" t="str">
        <x:v>Task</x:v>
      </x:c>
      <x:c r="N346" s="2" t="str">
        <x:v>DI.BO.3.4.2026.CY3</x:v>
      </x:c>
      <x:c r="O346" s="2" t="n">
        <x:f>R346</x:f>
        <x:v>0</x:v>
      </x:c>
      <x:c r="P346" s="2"/>
      <x:c r="Q346" s="2" t="n">
        <x:v>1</x:v>
      </x:c>
      <x:c r="R346" s="2" t="n">
        <x:f>IF(A346,1,0)</x:f>
        <x:v>0</x:v>
      </x:c>
      <x:c r="S346" s="2" t="n">
        <x:f>SUBTOTAL(103,N346)</x:f>
        <x:v>1</x:v>
      </x:c>
    </x:row>
    <x:row r="347" ht="42" customHeight="1">
      <x:c r="A347" s="28" t="b">
        <x:v>0</x:v>
      </x:c>
      <x:c r="B347" s="2" t="str">
        <x:v>Cycle 3</x:v>
      </x:c>
      <x:c r="C347" s="2" t="str">
        <x:v>Phase 3</x:v>
      </x:c>
      <x:c r="D347" s="2" t="str">
        <x:v>CSBBO - Banking Ops</x:v>
      </x:c>
      <x:c r="E347" s="56" t="str">
        <x:v>DI.BO.3.5</x:v>
      </x:c>
      <x:c r="F347" s="14" t="str">
        <x:v>Finalize presentation deck by incorporating pre-socialization feedback (as needed)</x:v>
      </x:c>
      <x:c r="G347" s="5"/>
      <x:c r="H347" s="11"/>
      <x:c r="I347" s="11" t="n">
        <x:f>'Cycles &amp; Guide'!$D$12</x:f>
        <x:v>46295</x:v>
      </x:c>
      <x:c r="J347" s="11"/>
      <x:c r="K347" s="29"/>
      <x:c r="L347" s="2" t="str">
        <x:f>IF(O347=1,"Complete",IF(A347,"Checklist open",IF(H347&lt;&gt;"","In progress","Not started")))</x:f>
        <x:v>Not started</x:v>
      </x:c>
      <x:c r="M347" s="2" t="str">
        <x:v>Task</x:v>
      </x:c>
      <x:c r="N347" s="2" t="str">
        <x:v>DI.BO.3.5.2026.CY3</x:v>
      </x:c>
      <x:c r="O347" s="2" t="n">
        <x:f>R347</x:f>
        <x:v>0</x:v>
      </x:c>
      <x:c r="P347" s="2"/>
      <x:c r="Q347" s="2" t="n">
        <x:v>1</x:v>
      </x:c>
      <x:c r="R347" s="2" t="n">
        <x:f>IF(A347,1,0)</x:f>
        <x:v>0</x:v>
      </x:c>
      <x:c r="S347" s="2" t="n">
        <x:f>SUBTOTAL(103,N347)</x:f>
        <x:v>1</x:v>
      </x:c>
    </x:row>
    <x:row r="348" ht="42" customHeight="1">
      <x:c r="A348" s="28" t="b">
        <x:v>0</x:v>
      </x:c>
      <x:c r="B348" s="2" t="str">
        <x:v>Cycle 3</x:v>
      </x:c>
      <x:c r="C348" s="2" t="str">
        <x:v>Phase 3</x:v>
      </x:c>
      <x:c r="D348" s="2" t="str">
        <x:v>CSBBO - Banking Ops</x:v>
      </x:c>
      <x:c r="E348" s="56" t="str">
        <x:v>DI.BO.3.6</x:v>
      </x:c>
      <x:c r="F348" s="14" t="str">
        <x:v>Ensure final deck is communicated to Forum attendees</x:v>
      </x:c>
      <x:c r="G348" s="5"/>
      <x:c r="H348" s="11"/>
      <x:c r="I348" s="11" t="n">
        <x:f>'Cycles &amp; Guide'!$D$12</x:f>
        <x:v>46295</x:v>
      </x:c>
      <x:c r="J348" s="11"/>
      <x:c r="K348" s="29"/>
      <x:c r="L348" s="2" t="str">
        <x:f>IF(O348=1,"Complete",IF(A348,"Checklist open",IF(H348&lt;&gt;"","In progress","Not started")))</x:f>
        <x:v>Not started</x:v>
      </x:c>
      <x:c r="M348" s="2" t="str">
        <x:v>Task</x:v>
      </x:c>
      <x:c r="N348" s="2" t="str">
        <x:v>DI.BO.3.6.2026.CY3</x:v>
      </x:c>
      <x:c r="O348" s="2" t="n">
        <x:f>R348</x:f>
        <x:v>0</x:v>
      </x:c>
      <x:c r="P348" s="2"/>
      <x:c r="Q348" s="2" t="n">
        <x:v>1</x:v>
      </x:c>
      <x:c r="R348" s="2" t="n">
        <x:f>IF(A348,1,0)</x:f>
        <x:v>0</x:v>
      </x:c>
      <x:c r="S348" s="2" t="n">
        <x:f>SUBTOTAL(103,N348)</x:f>
        <x:v>1</x:v>
      </x:c>
    </x:row>
    <x:row r="349" ht="42" customHeight="1">
      <x:c r="A349" s="28" t="b">
        <x:v>0</x:v>
      </x:c>
      <x:c r="B349" s="2" t="str">
        <x:v>Cycle 3</x:v>
      </x:c>
      <x:c r="C349" s="2" t="str">
        <x:v>Phase 3</x:v>
      </x:c>
      <x:c r="D349" s="2" t="str">
        <x:v>CSBBO - Banking Ops</x:v>
      </x:c>
      <x:c r="E349" s="56" t="str">
        <x:v>DI.BO.3.7</x:v>
      </x:c>
      <x:c r="F349" s="14" t="str">
        <x:v>Present material in RCA Cycle Forum</x:v>
      </x:c>
      <x:c r="G349" s="5"/>
      <x:c r="H349" s="11"/>
      <x:c r="I349" s="11" t="str">
        <x:f>IF(SUMIFS('Cycles &amp; Guide'!$D$23:$D$50,'Cycles &amp; Guide'!$B$23:$B$50,B349,'Cycles &amp; Guide'!$C$23:$C$50,D349)=0,"",SUMIFS('Cycles &amp; Guide'!$D$23:$D$50,'Cycles &amp; Guide'!$B$23:$B$50,B349,'Cycles &amp; Guide'!$C$23:$C$50,D349))</x:f>
      </x:c>
      <x:c r="J349" s="11"/>
      <x:c r="K349" s="29"/>
      <x:c r="L349" s="2" t="str">
        <x:f>IF(O349=1,"Complete",IF(A349,"Checklist open",IF(H349&lt;&gt;"","In progress","Not started")))</x:f>
        <x:v>Not started</x:v>
      </x:c>
      <x:c r="M349" s="2" t="str">
        <x:v>Task</x:v>
      </x:c>
      <x:c r="N349" s="2" t="str">
        <x:v>DI.BO.3.7.2026.CY3</x:v>
      </x:c>
      <x:c r="O349" s="2" t="n">
        <x:f>R349</x:f>
        <x:v>0</x:v>
      </x:c>
      <x:c r="P349" s="2"/>
      <x:c r="Q349" s="2" t="n">
        <x:v>1</x:v>
      </x:c>
      <x:c r="R349" s="2" t="n">
        <x:f>IF(A349,1,0)</x:f>
        <x:v>0</x:v>
      </x:c>
      <x:c r="S349" s="2" t="n">
        <x:f>SUBTOTAL(103,N349)</x:f>
        <x:v>1</x:v>
      </x:c>
    </x:row>
    <x:row r="350" ht="42" customHeight="1">
      <x:c r="A350" s="28" t="b">
        <x:v>0</x:v>
      </x:c>
      <x:c r="B350" s="2" t="str">
        <x:v>Cycle 3</x:v>
      </x:c>
      <x:c r="C350" s="2" t="str">
        <x:v>Phase 1</x:v>
      </x:c>
      <x:c r="D350" s="2" t="str">
        <x:v>CSBBO - Customer Service</x:v>
      </x:c>
      <x:c r="E350" s="56" t="str">
        <x:v>DI.CS.1.1</x:v>
      </x:c>
      <x:c r="F350" s="14" t="str">
        <x:v>Receive and review potential research topics at least 2 weeks prior to Cycle start date</x:v>
      </x:c>
      <x:c r="G350" s="5"/>
      <x:c r="H350" s="11"/>
      <x:c r="I350" s="11" t="n">
        <x:f>'Cycles &amp; Guide'!$C$12-14</x:f>
        <x:v>46190</x:v>
      </x:c>
      <x:c r="J350" s="11"/>
      <x:c r="K350" s="29"/>
      <x:c r="L350" s="2" t="str">
        <x:f>IF(O350=1,"Complete",IF(A350,"Checklist open",IF(H350&lt;&gt;"","In progress","Not started")))</x:f>
        <x:v>Not started</x:v>
      </x:c>
      <x:c r="M350" s="2" t="str">
        <x:v>Task</x:v>
      </x:c>
      <x:c r="N350" s="2" t="str">
        <x:v>DI.CS.1.1.2026.CY3</x:v>
      </x:c>
      <x:c r="O350" s="2" t="n">
        <x:f>R350</x:f>
        <x:v>0</x:v>
      </x:c>
      <x:c r="P350" s="2"/>
      <x:c r="Q350" s="2" t="n">
        <x:v>1</x:v>
      </x:c>
      <x:c r="R350" s="2" t="n">
        <x:f>IF(A350,1,0)</x:f>
        <x:v>0</x:v>
      </x:c>
      <x:c r="S350" s="2" t="n">
        <x:f>SUBTOTAL(103,N350)</x:f>
        <x:v>1</x:v>
      </x:c>
    </x:row>
    <x:row r="351" ht="42" customHeight="1">
      <x:c r="A351" s="28" t="b">
        <x:v>0</x:v>
      </x:c>
      <x:c r="B351" s="2" t="str">
        <x:v>Cycle 3</x:v>
      </x:c>
      <x:c r="C351" s="2" t="str">
        <x:v>Phase 1</x:v>
      </x:c>
      <x:c r="D351" s="2" t="str">
        <x:v>CSBBO - Customer Service</x:v>
      </x:c>
      <x:c r="E351" s="56" t="str">
        <x:v>DI.CS.1.2</x:v>
      </x:c>
      <x:c r="F351" s="14" t="str">
        <x:v>Communicate any feedback on preferences or concerns with topics identified</x:v>
      </x:c>
      <x:c r="G351" s="5"/>
      <x:c r="H351" s="11"/>
      <x:c r="I351" s="11" t="n">
        <x:f>'Cycles &amp; Guide'!$D$12</x:f>
        <x:v>46295</x:v>
      </x:c>
      <x:c r="J351" s="11"/>
      <x:c r="K351" s="29"/>
      <x:c r="L351" s="2" t="str">
        <x:f>IF(O351=1,"Complete",IF(A351,"Checklist open",IF(H351&lt;&gt;"","In progress","Not started")))</x:f>
        <x:v>Not started</x:v>
      </x:c>
      <x:c r="M351" s="2" t="str">
        <x:v>Task</x:v>
      </x:c>
      <x:c r="N351" s="2" t="str">
        <x:v>DI.CS.1.2.2026.CY3</x:v>
      </x:c>
      <x:c r="O351" s="2" t="n">
        <x:f>R351</x:f>
        <x:v>0</x:v>
      </x:c>
      <x:c r="P351" s="2"/>
      <x:c r="Q351" s="2" t="n">
        <x:v>1</x:v>
      </x:c>
      <x:c r="R351" s="2" t="n">
        <x:f>IF(A351,1,0)</x:f>
        <x:v>0</x:v>
      </x:c>
      <x:c r="S351" s="2" t="n">
        <x:f>SUBTOTAL(103,N351)</x:f>
        <x:v>1</x:v>
      </x:c>
    </x:row>
    <x:row r="352" ht="42" customHeight="1">
      <x:c r="A352" s="28" t="b">
        <x:v>0</x:v>
      </x:c>
      <x:c r="B352" s="2" t="str">
        <x:v>Cycle 3</x:v>
      </x:c>
      <x:c r="C352" s="2" t="str">
        <x:v>Phase 1</x:v>
      </x:c>
      <x:c r="D352" s="2" t="str">
        <x:v>CSBBO - Customer Service</x:v>
      </x:c>
      <x:c r="E352" s="56" t="str">
        <x:v>DI.CS.1.3</x:v>
      </x:c>
      <x:c r="F352" s="14" t="str">
        <x:v>Conduct high-level preliminary review of complaints within proposed topics</x:v>
      </x:c>
      <x:c r="G352" s="5"/>
      <x:c r="H352" s="11"/>
      <x:c r="I352" s="11" t="n">
        <x:f>'Cycles &amp; Guide'!$D$12</x:f>
        <x:v>46295</x:v>
      </x:c>
      <x:c r="J352" s="11"/>
      <x:c r="K352" s="29"/>
      <x:c r="L352" s="2" t="str">
        <x:f>IF(O352=1,"Complete",IF(A352,"Checklist open",IF(H352&lt;&gt;"","In progress","Not started")))</x:f>
        <x:v>Not started</x:v>
      </x:c>
      <x:c r="M352" s="2" t="str">
        <x:v>Task</x:v>
      </x:c>
      <x:c r="N352" s="2" t="str">
        <x:v>DI.CS.1.3.2026.CY3</x:v>
      </x:c>
      <x:c r="O352" s="2" t="n">
        <x:f>R352</x:f>
        <x:v>0</x:v>
      </x:c>
      <x:c r="P352" s="2"/>
      <x:c r="Q352" s="2" t="n">
        <x:v>1</x:v>
      </x:c>
      <x:c r="R352" s="2" t="n">
        <x:f>IF(A352,1,0)</x:f>
        <x:v>0</x:v>
      </x:c>
      <x:c r="S352" s="2" t="n">
        <x:f>SUBTOTAL(103,N352)</x:f>
        <x:v>1</x:v>
      </x:c>
    </x:row>
    <x:row r="353" ht="42" customHeight="1">
      <x:c r="A353" s="28" t="b">
        <x:v>0</x:v>
      </x:c>
      <x:c r="B353" s="2" t="str">
        <x:v>Cycle 3</x:v>
      </x:c>
      <x:c r="C353" s="2" t="str">
        <x:v>Phase 1</x:v>
      </x:c>
      <x:c r="D353" s="2" t="str">
        <x:v>CSBBO - Customer Service</x:v>
      </x:c>
      <x:c r="E353" s="56" t="str">
        <x:v>DI.CS.1.4</x:v>
      </x:c>
      <x:c r="F353" s="14" t="str">
        <x:v>Meet with Research to discuss which topic to select based on potential impact</x:v>
      </x:c>
      <x:c r="G353" s="5"/>
      <x:c r="H353" s="11"/>
      <x:c r="I353" s="11" t="n">
        <x:f>'Cycles &amp; Guide'!$D$12</x:f>
        <x:v>46295</x:v>
      </x:c>
      <x:c r="J353" s="11"/>
      <x:c r="K353" s="29"/>
      <x:c r="L353" s="2" t="str">
        <x:f>IF(O353=1,"Complete",IF(A353,"Checklist open",IF(H353&lt;&gt;"","In progress","Not started")))</x:f>
        <x:v>Not started</x:v>
      </x:c>
      <x:c r="M353" s="2" t="str">
        <x:v>Task</x:v>
      </x:c>
      <x:c r="N353" s="2" t="str">
        <x:v>DI.CS.1.4.2026.CY3</x:v>
      </x:c>
      <x:c r="O353" s="2" t="n">
        <x:f>R353</x:f>
        <x:v>0</x:v>
      </x:c>
      <x:c r="P353" s="2"/>
      <x:c r="Q353" s="2" t="n">
        <x:v>1</x:v>
      </x:c>
      <x:c r="R353" s="2" t="n">
        <x:f>IF(A353,1,0)</x:f>
        <x:v>0</x:v>
      </x:c>
      <x:c r="S353" s="2" t="n">
        <x:f>SUBTOTAL(103,N353)</x:f>
        <x:v>1</x:v>
      </x:c>
    </x:row>
    <x:row r="354" ht="42" customHeight="1">
      <x:c r="A354" s="28" t="b">
        <x:v>0</x:v>
      </x:c>
      <x:c r="B354" s="2" t="str">
        <x:v>Cycle 3</x:v>
      </x:c>
      <x:c r="C354" s="2" t="str">
        <x:v>Phase 1</x:v>
      </x:c>
      <x:c r="D354" s="2" t="str">
        <x:v>CSBBO - Customer Service</x:v>
      </x:c>
      <x:c r="E354" s="56" t="str">
        <x:v>DI.CS.1.5</x:v>
      </x:c>
      <x:c r="F354" s="14" t="str">
        <x:v>Confirm with Research the recommended topic for approval</x:v>
      </x:c>
      <x:c r="G354" s="5"/>
      <x:c r="H354" s="11"/>
      <x:c r="I354" s="11" t="n">
        <x:f>'Cycles &amp; Guide'!$D$12</x:f>
        <x:v>46295</x:v>
      </x:c>
      <x:c r="J354" s="11"/>
      <x:c r="K354" s="29"/>
      <x:c r="L354" s="2" t="str">
        <x:f>IF(O354=1,"Complete",IF(A354,"Checklist open",IF(H354&lt;&gt;"","In progress","Not started")))</x:f>
        <x:v>Not started</x:v>
      </x:c>
      <x:c r="M354" s="2" t="str">
        <x:v>Task</x:v>
      </x:c>
      <x:c r="N354" s="2" t="str">
        <x:v>DI.CS.1.5.2026.CY3</x:v>
      </x:c>
      <x:c r="O354" s="2" t="n">
        <x:f>R354</x:f>
        <x:v>0</x:v>
      </x:c>
      <x:c r="P354" s="2"/>
      <x:c r="Q354" s="2" t="n">
        <x:v>1</x:v>
      </x:c>
      <x:c r="R354" s="2" t="n">
        <x:f>IF(A354,1,0)</x:f>
        <x:v>0</x:v>
      </x:c>
      <x:c r="S354" s="2" t="n">
        <x:f>SUBTOTAL(103,N354)</x:f>
        <x:v>1</x:v>
      </x:c>
    </x:row>
    <x:row r="355" ht="42" customHeight="1">
      <x:c r="A355" s="28" t="b">
        <x:v>0</x:v>
      </x:c>
      <x:c r="B355" s="2" t="str">
        <x:v>Cycle 3</x:v>
      </x:c>
      <x:c r="C355" s="2" t="str">
        <x:v>Phase 1</x:v>
      </x:c>
      <x:c r="D355" s="2" t="str">
        <x:v>CSBBO - Customer Service</x:v>
      </x:c>
      <x:c r="E355" s="56" t="str">
        <x:v>DI.CS.1.6</x:v>
      </x:c>
      <x:c r="F355" s="14" t="str">
        <x:v>Send topic selection socialization email to all key stakeholders on the first day of the review Cycle</x:v>
      </x:c>
      <x:c r="G355" s="5"/>
      <x:c r="H355" s="11"/>
      <x:c r="I355" s="11" t="n">
        <x:f>'Cycles &amp; Guide'!$C$12</x:f>
        <x:v>46204</x:v>
      </x:c>
      <x:c r="J355" s="11"/>
      <x:c r="K355" s="29"/>
      <x:c r="L355" s="2" t="str">
        <x:f>IF(O355=1,"Complete",IF(A355,"Checklist open",IF(H355&lt;&gt;"","In progress","Not started")))</x:f>
        <x:v>Not started</x:v>
      </x:c>
      <x:c r="M355" s="2" t="str">
        <x:v>Task</x:v>
      </x:c>
      <x:c r="N355" s="2" t="str">
        <x:v>DI.CS.1.6.2026.CY3</x:v>
      </x:c>
      <x:c r="O355" s="2" t="n">
        <x:f>R355</x:f>
        <x:v>0</x:v>
      </x:c>
      <x:c r="P355" s="2"/>
      <x:c r="Q355" s="2" t="n">
        <x:v>1</x:v>
      </x:c>
      <x:c r="R355" s="2" t="n">
        <x:f>IF(A355,1,0)</x:f>
        <x:v>0</x:v>
      </x:c>
      <x:c r="S355" s="2" t="n">
        <x:f>SUBTOTAL(103,N355)</x:f>
        <x:v>1</x:v>
      </x:c>
    </x:row>
    <x:row r="356" ht="42" customHeight="1">
      <x:c r="A356" s="28" t="b">
        <x:v>0</x:v>
      </x:c>
      <x:c r="B356" s="2" t="str">
        <x:v>Cycle 3</x:v>
      </x:c>
      <x:c r="C356" s="2" t="str">
        <x:v>Phase 2</x:v>
      </x:c>
      <x:c r="D356" s="2" t="str">
        <x:v>CSBBO - Customer Service</x:v>
      </x:c>
      <x:c r="E356" s="56" t="str">
        <x:v>DI.CS.2.1</x:v>
      </x:c>
      <x:c r="F356" s="14" t="str">
        <x:v>Meet regularly with Research to stay informed on progress, findings, and potential enhancement</x:v>
      </x:c>
      <x:c r="G356" s="5"/>
      <x:c r="H356" s="11"/>
      <x:c r="I356" s="11" t="n">
        <x:f>'Cycles &amp; Guide'!$D$12</x:f>
        <x:v>46295</x:v>
      </x:c>
      <x:c r="J356" s="11"/>
      <x:c r="K356" s="29"/>
      <x:c r="L356" s="2" t="str">
        <x:f>IF(O356=1,"Complete",IF(A356,"Checklist open",IF(H356&lt;&gt;"","In progress","Not started")))</x:f>
        <x:v>Not started</x:v>
      </x:c>
      <x:c r="M356" s="2" t="str">
        <x:v>Task</x:v>
      </x:c>
      <x:c r="N356" s="2" t="str">
        <x:v>DI.CS.2.1.2026.CY3</x:v>
      </x:c>
      <x:c r="O356" s="2" t="n">
        <x:f>R356</x:f>
        <x:v>0</x:v>
      </x:c>
      <x:c r="P356" s="2"/>
      <x:c r="Q356" s="2" t="n">
        <x:v>1</x:v>
      </x:c>
      <x:c r="R356" s="2" t="n">
        <x:f>IF(A356,1,0)</x:f>
        <x:v>0</x:v>
      </x:c>
      <x:c r="S356" s="2" t="n">
        <x:f>SUBTOTAL(103,N356)</x:f>
        <x:v>1</x:v>
      </x:c>
    </x:row>
    <x:row r="357" ht="42" customHeight="1">
      <x:c r="A357" s="28" t="b">
        <x:v>0</x:v>
      </x:c>
      <x:c r="B357" s="2" t="str">
        <x:v>Cycle 3</x:v>
      </x:c>
      <x:c r="C357" s="2" t="str">
        <x:v>Phase 2</x:v>
      </x:c>
      <x:c r="D357" s="2" t="str">
        <x:v>CSBBO - Customer Service</x:v>
      </x:c>
      <x:c r="E357" s="56" t="str">
        <x:v>DI.CS.2.2</x:v>
      </x:c>
      <x:c r="F357" s="14" t="str">
        <x:v>Collaborate with Research on research plan specifics</x:v>
      </x:c>
      <x:c r="G357" s="5"/>
      <x:c r="H357" s="11"/>
      <x:c r="I357" s="11" t="n">
        <x:f>'Cycles &amp; Guide'!$D$12</x:f>
        <x:v>46295</x:v>
      </x:c>
      <x:c r="J357" s="11"/>
      <x:c r="K357" s="29"/>
      <x:c r="L357" s="2" t="str">
        <x:f>IF(O357=1,"Complete",IF(A357,"Checklist open",IF(H357&lt;&gt;"","In progress","Not started")))</x:f>
        <x:v>Not started</x:v>
      </x:c>
      <x:c r="M357" s="2" t="str">
        <x:v>Task</x:v>
      </x:c>
      <x:c r="N357" s="2" t="str">
        <x:v>DI.CS.2.2.2026.CY3</x:v>
      </x:c>
      <x:c r="O357" s="2" t="n">
        <x:f>R357</x:f>
        <x:v>0</x:v>
      </x:c>
      <x:c r="P357" s="2"/>
      <x:c r="Q357" s="2" t="n">
        <x:v>1</x:v>
      </x:c>
      <x:c r="R357" s="2" t="n">
        <x:f>IF(A357,1,0)</x:f>
        <x:v>0</x:v>
      </x:c>
      <x:c r="S357" s="2" t="n">
        <x:f>SUBTOTAL(103,N357)</x:f>
        <x:v>1</x:v>
      </x:c>
    </x:row>
    <x:row r="358" ht="42" customHeight="1">
      <x:c r="A358" s="28" t="b">
        <x:v>0</x:v>
      </x:c>
      <x:c r="B358" s="2" t="str">
        <x:v>Cycle 3</x:v>
      </x:c>
      <x:c r="C358" s="2" t="str">
        <x:v>Phase 2</x:v>
      </x:c>
      <x:c r="D358" s="2" t="str">
        <x:v>CSBBO - Customer Service</x:v>
      </x:c>
      <x:c r="E358" s="56" t="str">
        <x:v>DI.CS.2.3</x:v>
      </x:c>
      <x:c r="F358" s="14" t="str">
        <x:v>Participate in SME insight meetings to gain perspective and appetite on potential enhancements</x:v>
      </x:c>
      <x:c r="G358" s="5"/>
      <x:c r="H358" s="11"/>
      <x:c r="I358" s="11" t="n">
        <x:f>'Cycles &amp; Guide'!$D$12</x:f>
        <x:v>46295</x:v>
      </x:c>
      <x:c r="J358" s="11"/>
      <x:c r="K358" s="29"/>
      <x:c r="L358" s="2" t="str">
        <x:f>IF(O358=1,"Complete",IF(A358,"Checklist open",IF(H358&lt;&gt;"","In progress","Not started")))</x:f>
        <x:v>Not started</x:v>
      </x:c>
      <x:c r="M358" s="2" t="str">
        <x:v>Task</x:v>
      </x:c>
      <x:c r="N358" s="2" t="str">
        <x:v>DI.CS.2.3.2026.CY3</x:v>
      </x:c>
      <x:c r="O358" s="2" t="n">
        <x:f>R358</x:f>
        <x:v>0</x:v>
      </x:c>
      <x:c r="P358" s="2"/>
      <x:c r="Q358" s="2" t="n">
        <x:v>1</x:v>
      </x:c>
      <x:c r="R358" s="2" t="n">
        <x:f>IF(A358,1,0)</x:f>
        <x:v>0</x:v>
      </x:c>
      <x:c r="S358" s="2" t="n">
        <x:f>SUBTOTAL(103,N358)</x:f>
        <x:v>1</x:v>
      </x:c>
    </x:row>
    <x:row r="359" ht="42" customHeight="1">
      <x:c r="A359" s="28" t="b">
        <x:v>0</x:v>
      </x:c>
      <x:c r="B359" s="2" t="str">
        <x:v>Cycle 3</x:v>
      </x:c>
      <x:c r="C359" s="2" t="str">
        <x:v>Phase 2</x:v>
      </x:c>
      <x:c r="D359" s="2" t="str">
        <x:v>CSBBO - Customer Service</x:v>
      </x:c>
      <x:c r="E359" s="56" t="str">
        <x:v>DI.CS.2.4</x:v>
      </x:c>
      <x:c r="F359" s="14" t="str">
        <x:v>Begin development of presentation materials as Research is being completed</x:v>
      </x:c>
      <x:c r="G359" s="5"/>
      <x:c r="H359" s="11"/>
      <x:c r="I359" s="11" t="n">
        <x:f>'Cycles &amp; Guide'!$D$12</x:f>
        <x:v>46295</x:v>
      </x:c>
      <x:c r="J359" s="11"/>
      <x:c r="K359" s="29"/>
      <x:c r="L359" s="2" t="str">
        <x:f>IF(O359=1,"Complete",IF(A359,"Checklist open",IF(H359&lt;&gt;"","In progress","Not started")))</x:f>
        <x:v>Not started</x:v>
      </x:c>
      <x:c r="M359" s="2" t="str">
        <x:v>Task</x:v>
      </x:c>
      <x:c r="N359" s="2" t="str">
        <x:v>DI.CS.2.4.2026.CY3</x:v>
      </x:c>
      <x:c r="O359" s="2" t="n">
        <x:f>R359</x:f>
        <x:v>0</x:v>
      </x:c>
      <x:c r="P359" s="2"/>
      <x:c r="Q359" s="2" t="n">
        <x:v>1</x:v>
      </x:c>
      <x:c r="R359" s="2" t="n">
        <x:f>IF(A359,1,0)</x:f>
        <x:v>0</x:v>
      </x:c>
      <x:c r="S359" s="2" t="n">
        <x:f>SUBTOTAL(103,N359)</x:f>
        <x:v>1</x:v>
      </x:c>
    </x:row>
    <x:row r="360" ht="42" customHeight="1">
      <x:c r="A360" s="28" t="b">
        <x:v>0</x:v>
      </x:c>
      <x:c r="B360" s="2" t="str">
        <x:v>Cycle 3</x:v>
      </x:c>
      <x:c r="C360" s="2" t="str">
        <x:v>Phase 2</x:v>
      </x:c>
      <x:c r="D360" s="2" t="str">
        <x:v>CSBBO - Customer Service</x:v>
      </x:c>
      <x:c r="E360" s="56" t="str">
        <x:v>DI.CS.2.5</x:v>
      </x:c>
      <x:c r="F360" s="14" t="str">
        <x:v>Draft initial enhancement recommendations (as applicable)</x:v>
      </x:c>
      <x:c r="G360" s="5"/>
      <x:c r="H360" s="11"/>
      <x:c r="I360" s="11" t="n">
        <x:f>'Cycles &amp; Guide'!$D$12</x:f>
        <x:v>46295</x:v>
      </x:c>
      <x:c r="J360" s="11"/>
      <x:c r="K360" s="29"/>
      <x:c r="L360" s="2" t="str">
        <x:f>IF(O360=1,"Complete",IF(A360,"Checklist open",IF(H360&lt;&gt;"","In progress","Not started")))</x:f>
        <x:v>Not started</x:v>
      </x:c>
      <x:c r="M360" s="2" t="str">
        <x:v>Task</x:v>
      </x:c>
      <x:c r="N360" s="2" t="str">
        <x:v>DI.CS.2.5.2026.CY3</x:v>
      </x:c>
      <x:c r="O360" s="2" t="n">
        <x:f>R360</x:f>
        <x:v>0</x:v>
      </x:c>
      <x:c r="P360" s="2"/>
      <x:c r="Q360" s="2" t="n">
        <x:v>1</x:v>
      </x:c>
      <x:c r="R360" s="2" t="n">
        <x:f>IF(A360,1,0)</x:f>
        <x:v>0</x:v>
      </x:c>
      <x:c r="S360" s="2" t="n">
        <x:f>SUBTOTAL(103,N360)</x:f>
        <x:v>1</x:v>
      </x:c>
    </x:row>
    <x:row r="361" ht="42" customHeight="1">
      <x:c r="A361" s="28" t="b">
        <x:v>0</x:v>
      </x:c>
      <x:c r="B361" s="2" t="str">
        <x:v>Cycle 3</x:v>
      </x:c>
      <x:c r="C361" s="2" t="str">
        <x:v>Phase 2</x:v>
      </x:c>
      <x:c r="D361" s="2" t="str">
        <x:v>CSBBO - Customer Service</x:v>
      </x:c>
      <x:c r="E361" s="56" t="str">
        <x:v>DI.CS.2.6</x:v>
      </x:c>
      <x:c r="F361" s="14" t="str">
        <x:v>Finalize presentation deck draft at conclusion of Research phase</x:v>
      </x:c>
      <x:c r="G361" s="5"/>
      <x:c r="H361" s="11"/>
      <x:c r="I361" s="11" t="n">
        <x:f>'Cycles &amp; Guide'!$D$12</x:f>
        <x:v>46295</x:v>
      </x:c>
      <x:c r="J361" s="11"/>
      <x:c r="K361" s="29"/>
      <x:c r="L361" s="2" t="str">
        <x:f>IF(O361=1,"Complete",IF(A361,"Checklist open",IF(H361&lt;&gt;"","In progress","Not started")))</x:f>
        <x:v>Not started</x:v>
      </x:c>
      <x:c r="M361" s="2" t="str">
        <x:v>Task</x:v>
      </x:c>
      <x:c r="N361" s="2" t="str">
        <x:v>DI.CS.2.6.2026.CY3</x:v>
      </x:c>
      <x:c r="O361" s="2" t="n">
        <x:f>R361</x:f>
        <x:v>0</x:v>
      </x:c>
      <x:c r="P361" s="2"/>
      <x:c r="Q361" s="2" t="n">
        <x:v>1</x:v>
      </x:c>
      <x:c r="R361" s="2" t="n">
        <x:f>IF(A361,1,0)</x:f>
        <x:v>0</x:v>
      </x:c>
      <x:c r="S361" s="2" t="n">
        <x:f>SUBTOTAL(103,N361)</x:f>
        <x:v>1</x:v>
      </x:c>
    </x:row>
    <x:row r="362" ht="42" customHeight="1">
      <x:c r="A362" s="28" t="b">
        <x:v>0</x:v>
      </x:c>
      <x:c r="B362" s="2" t="str">
        <x:v>Cycle 3</x:v>
      </x:c>
      <x:c r="C362" s="2" t="str">
        <x:v>Phase 2</x:v>
      </x:c>
      <x:c r="D362" s="2" t="str">
        <x:v>CSBBO - Customer Service</x:v>
      </x:c>
      <x:c r="E362" s="56" t="str">
        <x:v>DI.CS.2.7</x:v>
      </x:c>
      <x:c r="F362" s="14" t="str">
        <x:v>Update Outcome portion of research plan with current enhancement verbiage (as needed)</x:v>
      </x:c>
      <x:c r="G362" s="5"/>
      <x:c r="H362" s="11"/>
      <x:c r="I362" s="11" t="n">
        <x:f>'Cycles &amp; Guide'!$D$12</x:f>
        <x:v>46295</x:v>
      </x:c>
      <x:c r="J362" s="11"/>
      <x:c r="K362" s="29"/>
      <x:c r="L362" s="2" t="str">
        <x:f>IF(O362=1,"Complete",IF(A362,"Checklist open",IF(H362&lt;&gt;"","In progress","Not started")))</x:f>
        <x:v>Not started</x:v>
      </x:c>
      <x:c r="M362" s="2" t="str">
        <x:v>Task</x:v>
      </x:c>
      <x:c r="N362" s="2" t="str">
        <x:v>DI.CS.2.7.2026.CY3</x:v>
      </x:c>
      <x:c r="O362" s="2" t="n">
        <x:f>R362</x:f>
        <x:v>0</x:v>
      </x:c>
      <x:c r="P362" s="2"/>
      <x:c r="Q362" s="2" t="n">
        <x:v>1</x:v>
      </x:c>
      <x:c r="R362" s="2" t="n">
        <x:f>IF(A362,1,0)</x:f>
        <x:v>0</x:v>
      </x:c>
      <x:c r="S362" s="2" t="n">
        <x:f>SUBTOTAL(103,N362)</x:f>
        <x:v>1</x:v>
      </x:c>
    </x:row>
    <x:row r="363" ht="42" customHeight="1">
      <x:c r="A363" s="28" t="b">
        <x:v>0</x:v>
      </x:c>
      <x:c r="B363" s="2" t="str">
        <x:v>Cycle 3</x:v>
      </x:c>
      <x:c r="C363" s="2" t="str">
        <x:v>Phase 3</x:v>
      </x:c>
      <x:c r="D363" s="2" t="str">
        <x:v>CSBBO - Customer Service</x:v>
      </x:c>
      <x:c r="E363" s="56" t="str">
        <x:v>DI.CS.3.1</x:v>
      </x:c>
      <x:c r="F363" s="14" t="str">
        <x:v>Confirm list of required &amp; optional attendees for pre-socialization meeting</x:v>
      </x:c>
      <x:c r="G363" s="5"/>
      <x:c r="H363" s="11"/>
      <x:c r="I363" s="11" t="n">
        <x:f>'Cycles &amp; Guide'!$D$12</x:f>
        <x:v>46295</x:v>
      </x:c>
      <x:c r="J363" s="11"/>
      <x:c r="K363" s="29"/>
      <x:c r="L363" s="2" t="str">
        <x:f>IF(O363=1,"Complete",IF(A363,"Checklist open",IF(H363&lt;&gt;"","In progress","Not started")))</x:f>
        <x:v>Not started</x:v>
      </x:c>
      <x:c r="M363" s="2" t="str">
        <x:v>Task</x:v>
      </x:c>
      <x:c r="N363" s="2" t="str">
        <x:v>DI.CS.3.1.2026.CY3</x:v>
      </x:c>
      <x:c r="O363" s="2" t="n">
        <x:f>R363</x:f>
        <x:v>0</x:v>
      </x:c>
      <x:c r="P363" s="2"/>
      <x:c r="Q363" s="2" t="n">
        <x:v>1</x:v>
      </x:c>
      <x:c r="R363" s="2" t="n">
        <x:f>IF(A363,1,0)</x:f>
        <x:v>0</x:v>
      </x:c>
      <x:c r="S363" s="2" t="n">
        <x:f>SUBTOTAL(103,N363)</x:f>
        <x:v>1</x:v>
      </x:c>
    </x:row>
    <x:row r="364" ht="42" customHeight="1">
      <x:c r="A364" s="28" t="b">
        <x:v>0</x:v>
      </x:c>
      <x:c r="B364" s="2" t="str">
        <x:v>Cycle 3</x:v>
      </x:c>
      <x:c r="C364" s="2" t="str">
        <x:v>Phase 3</x:v>
      </x:c>
      <x:c r="D364" s="2" t="str">
        <x:v>CSBBO - Customer Service</x:v>
      </x:c>
      <x:c r="E364" s="56" t="str">
        <x:v>DI.CS.3.2</x:v>
      </x:c>
      <x:c r="F364" s="14" t="str">
        <x:v>Schedule pre-socialization meeting 1 week prior to RCA Forum</x:v>
      </x:c>
      <x:c r="G364" s="5"/>
      <x:c r="H364" s="11"/>
      <x:c r="I364" s="11" t="str">
        <x:f>IF(SUMIFS('Cycles &amp; Guide'!$D$23:$D$50,'Cycles &amp; Guide'!$B$23:$B$50,B364,'Cycles &amp; Guide'!$C$23:$C$50,D364)=0,"",SUMIFS('Cycles &amp; Guide'!$D$23:$D$50,'Cycles &amp; Guide'!$B$23:$B$50,B364,'Cycles &amp; Guide'!$C$23:$C$50,D364)-7)</x:f>
      </x:c>
      <x:c r="J364" s="11"/>
      <x:c r="K364" s="29"/>
      <x:c r="L364" s="2" t="str">
        <x:f>IF(O364=1,"Complete",IF(A364,"Checklist open",IF(H364&lt;&gt;"","In progress","Not started")))</x:f>
        <x:v>Not started</x:v>
      </x:c>
      <x:c r="M364" s="2" t="str">
        <x:v>Task</x:v>
      </x:c>
      <x:c r="N364" s="2" t="str">
        <x:v>DI.CS.3.2.2026.CY3</x:v>
      </x:c>
      <x:c r="O364" s="2" t="n">
        <x:f>R364</x:f>
        <x:v>0</x:v>
      </x:c>
      <x:c r="P364" s="2"/>
      <x:c r="Q364" s="2" t="n">
        <x:v>1</x:v>
      </x:c>
      <x:c r="R364" s="2" t="n">
        <x:f>IF(A364,1,0)</x:f>
        <x:v>0</x:v>
      </x:c>
      <x:c r="S364" s="2" t="n">
        <x:f>SUBTOTAL(103,N364)</x:f>
        <x:v>1</x:v>
      </x:c>
    </x:row>
    <x:row r="365" ht="42" customHeight="1">
      <x:c r="A365" s="28" t="b">
        <x:v>0</x:v>
      </x:c>
      <x:c r="B365" s="2" t="str">
        <x:v>Cycle 3</x:v>
      </x:c>
      <x:c r="C365" s="2" t="str">
        <x:v>Phase 3</x:v>
      </x:c>
      <x:c r="D365" s="2" t="str">
        <x:v>CSBBO - Customer Service</x:v>
      </x:c>
      <x:c r="E365" s="56" t="str">
        <x:v>DI.CS.3.3</x:v>
      </x:c>
      <x:c r="F365" s="14" t="str">
        <x:v>Present findings, conclusions, and recommendation to SMEs</x:v>
      </x:c>
      <x:c r="G365" s="5"/>
      <x:c r="H365" s="11"/>
      <x:c r="I365" s="11" t="n">
        <x:f>'Cycles &amp; Guide'!$D$12</x:f>
        <x:v>46295</x:v>
      </x:c>
      <x:c r="J365" s="11"/>
      <x:c r="K365" s="29"/>
      <x:c r="L365" s="2" t="str">
        <x:f>IF(O365=1,"Complete",IF(A365,"Checklist open",IF(H365&lt;&gt;"","In progress","Not started")))</x:f>
        <x:v>Not started</x:v>
      </x:c>
      <x:c r="M365" s="2" t="str">
        <x:v>Task</x:v>
      </x:c>
      <x:c r="N365" s="2" t="str">
        <x:v>DI.CS.3.3.2026.CY3</x:v>
      </x:c>
      <x:c r="O365" s="2" t="n">
        <x:f>R365</x:f>
        <x:v>0</x:v>
      </x:c>
      <x:c r="P365" s="2"/>
      <x:c r="Q365" s="2" t="n">
        <x:v>1</x:v>
      </x:c>
      <x:c r="R365" s="2" t="n">
        <x:f>IF(A365,1,0)</x:f>
        <x:v>0</x:v>
      </x:c>
      <x:c r="S365" s="2" t="n">
        <x:f>SUBTOTAL(103,N365)</x:f>
        <x:v>1</x:v>
      </x:c>
    </x:row>
    <x:row r="366" ht="42" customHeight="1">
      <x:c r="A366" s="28" t="b">
        <x:v>0</x:v>
      </x:c>
      <x:c r="B366" s="2" t="str">
        <x:v>Cycle 3</x:v>
      </x:c>
      <x:c r="C366" s="2" t="str">
        <x:v>Phase 3</x:v>
      </x:c>
      <x:c r="D366" s="2" t="str">
        <x:v>CSBBO - Customer Service</x:v>
      </x:c>
      <x:c r="E366" s="56" t="str">
        <x:v>DI.CS.3.4</x:v>
      </x:c>
      <x:c r="F366" s="14" t="str">
        <x:v>Update Outcome portion of research plan (as needed)</x:v>
      </x:c>
      <x:c r="G366" s="5"/>
      <x:c r="H366" s="11"/>
      <x:c r="I366" s="11" t="n">
        <x:f>'Cycles &amp; Guide'!$D$12</x:f>
        <x:v>46295</x:v>
      </x:c>
      <x:c r="J366" s="11"/>
      <x:c r="K366" s="29"/>
      <x:c r="L366" s="2" t="str">
        <x:f>IF(O366=1,"Complete",IF(A366,"Checklist open",IF(H366&lt;&gt;"","In progress","Not started")))</x:f>
        <x:v>Not started</x:v>
      </x:c>
      <x:c r="M366" s="2" t="str">
        <x:v>Task</x:v>
      </x:c>
      <x:c r="N366" s="2" t="str">
        <x:v>DI.CS.3.4.2026.CY3</x:v>
      </x:c>
      <x:c r="O366" s="2" t="n">
        <x:f>R366</x:f>
        <x:v>0</x:v>
      </x:c>
      <x:c r="P366" s="2"/>
      <x:c r="Q366" s="2" t="n">
        <x:v>1</x:v>
      </x:c>
      <x:c r="R366" s="2" t="n">
        <x:f>IF(A366,1,0)</x:f>
        <x:v>0</x:v>
      </x:c>
      <x:c r="S366" s="2" t="n">
        <x:f>SUBTOTAL(103,N366)</x:f>
        <x:v>1</x:v>
      </x:c>
    </x:row>
    <x:row r="367" ht="42" customHeight="1">
      <x:c r="A367" s="28" t="b">
        <x:v>0</x:v>
      </x:c>
      <x:c r="B367" s="2" t="str">
        <x:v>Cycle 3</x:v>
      </x:c>
      <x:c r="C367" s="2" t="str">
        <x:v>Phase 3</x:v>
      </x:c>
      <x:c r="D367" s="2" t="str">
        <x:v>CSBBO - Customer Service</x:v>
      </x:c>
      <x:c r="E367" s="56" t="str">
        <x:v>DI.CS.3.5</x:v>
      </x:c>
      <x:c r="F367" s="14" t="str">
        <x:v>Finalize presentation deck by incorporating pre-socialization feedback (as needed)</x:v>
      </x:c>
      <x:c r="G367" s="5"/>
      <x:c r="H367" s="11"/>
      <x:c r="I367" s="11" t="n">
        <x:f>'Cycles &amp; Guide'!$D$12</x:f>
        <x:v>46295</x:v>
      </x:c>
      <x:c r="J367" s="11"/>
      <x:c r="K367" s="29"/>
      <x:c r="L367" s="2" t="str">
        <x:f>IF(O367=1,"Complete",IF(A367,"Checklist open",IF(H367&lt;&gt;"","In progress","Not started")))</x:f>
        <x:v>Not started</x:v>
      </x:c>
      <x:c r="M367" s="2" t="str">
        <x:v>Task</x:v>
      </x:c>
      <x:c r="N367" s="2" t="str">
        <x:v>DI.CS.3.5.2026.CY3</x:v>
      </x:c>
      <x:c r="O367" s="2" t="n">
        <x:f>R367</x:f>
        <x:v>0</x:v>
      </x:c>
      <x:c r="P367" s="2"/>
      <x:c r="Q367" s="2" t="n">
        <x:v>1</x:v>
      </x:c>
      <x:c r="R367" s="2" t="n">
        <x:f>IF(A367,1,0)</x:f>
        <x:v>0</x:v>
      </x:c>
      <x:c r="S367" s="2" t="n">
        <x:f>SUBTOTAL(103,N367)</x:f>
        <x:v>1</x:v>
      </x:c>
    </x:row>
    <x:row r="368" ht="42" customHeight="1">
      <x:c r="A368" s="28" t="b">
        <x:v>0</x:v>
      </x:c>
      <x:c r="B368" s="2" t="str">
        <x:v>Cycle 3</x:v>
      </x:c>
      <x:c r="C368" s="2" t="str">
        <x:v>Phase 3</x:v>
      </x:c>
      <x:c r="D368" s="2" t="str">
        <x:v>CSBBO - Customer Service</x:v>
      </x:c>
      <x:c r="E368" s="56" t="str">
        <x:v>DI.CS.3.6</x:v>
      </x:c>
      <x:c r="F368" s="14" t="str">
        <x:v>Ensure final deck is communicated to Forum attendees</x:v>
      </x:c>
      <x:c r="G368" s="5"/>
      <x:c r="H368" s="11"/>
      <x:c r="I368" s="11" t="n">
        <x:f>'Cycles &amp; Guide'!$D$12</x:f>
        <x:v>46295</x:v>
      </x:c>
      <x:c r="J368" s="11"/>
      <x:c r="K368" s="29"/>
      <x:c r="L368" s="2" t="str">
        <x:f>IF(O368=1,"Complete",IF(A368,"Checklist open",IF(H368&lt;&gt;"","In progress","Not started")))</x:f>
        <x:v>Not started</x:v>
      </x:c>
      <x:c r="M368" s="2" t="str">
        <x:v>Task</x:v>
      </x:c>
      <x:c r="N368" s="2" t="str">
        <x:v>DI.CS.3.6.2026.CY3</x:v>
      </x:c>
      <x:c r="O368" s="2" t="n">
        <x:f>R368</x:f>
        <x:v>0</x:v>
      </x:c>
      <x:c r="P368" s="2"/>
      <x:c r="Q368" s="2" t="n">
        <x:v>1</x:v>
      </x:c>
      <x:c r="R368" s="2" t="n">
        <x:f>IF(A368,1,0)</x:f>
        <x:v>0</x:v>
      </x:c>
      <x:c r="S368" s="2" t="n">
        <x:f>SUBTOTAL(103,N368)</x:f>
        <x:v>1</x:v>
      </x:c>
    </x:row>
    <x:row r="369" ht="42" customHeight="1">
      <x:c r="A369" s="28" t="b">
        <x:v>0</x:v>
      </x:c>
      <x:c r="B369" s="2" t="str">
        <x:v>Cycle 3</x:v>
      </x:c>
      <x:c r="C369" s="2" t="str">
        <x:v>Phase 3</x:v>
      </x:c>
      <x:c r="D369" s="2" t="str">
        <x:v>CSBBO - Customer Service</x:v>
      </x:c>
      <x:c r="E369" s="56" t="str">
        <x:v>DI.CS.3.7</x:v>
      </x:c>
      <x:c r="F369" s="14" t="str">
        <x:v>Present material in RCA Cycle Forum</x:v>
      </x:c>
      <x:c r="G369" s="5"/>
      <x:c r="H369" s="11"/>
      <x:c r="I369" s="11" t="str">
        <x:f>IF(SUMIFS('Cycles &amp; Guide'!$D$23:$D$50,'Cycles &amp; Guide'!$B$23:$B$50,B369,'Cycles &amp; Guide'!$C$23:$C$50,D369)=0,"",SUMIFS('Cycles &amp; Guide'!$D$23:$D$50,'Cycles &amp; Guide'!$B$23:$B$50,B369,'Cycles &amp; Guide'!$C$23:$C$50,D369))</x:f>
      </x:c>
      <x:c r="J369" s="11"/>
      <x:c r="K369" s="29"/>
      <x:c r="L369" s="2" t="str">
        <x:f>IF(O369=1,"Complete",IF(A369,"Checklist open",IF(H369&lt;&gt;"","In progress","Not started")))</x:f>
        <x:v>Not started</x:v>
      </x:c>
      <x:c r="M369" s="2" t="str">
        <x:v>Task</x:v>
      </x:c>
      <x:c r="N369" s="2" t="str">
        <x:v>DI.CS.3.7.2026.CY3</x:v>
      </x:c>
      <x:c r="O369" s="2" t="n">
        <x:f>R369</x:f>
        <x:v>0</x:v>
      </x:c>
      <x:c r="P369" s="2"/>
      <x:c r="Q369" s="2" t="n">
        <x:v>1</x:v>
      </x:c>
      <x:c r="R369" s="2" t="n">
        <x:f>IF(A369,1,0)</x:f>
        <x:v>0</x:v>
      </x:c>
      <x:c r="S369" s="2" t="n">
        <x:f>SUBTOTAL(103,N369)</x:f>
        <x:v>1</x:v>
      </x:c>
    </x:row>
    <x:row r="370" ht="42" customHeight="1">
      <x:c r="A370" s="28" t="b">
        <x:v>0</x:v>
      </x:c>
      <x:c r="B370" s="2" t="str">
        <x:v>Cycle 3</x:v>
      </x:c>
      <x:c r="C370" s="2" t="str">
        <x:v>Phase 1</x:v>
      </x:c>
      <x:c r="D370" s="2" t="str">
        <x:v>FCM</x:v>
      </x:c>
      <x:c r="E370" s="56" t="str">
        <x:v>DI.FC.1.1</x:v>
      </x:c>
      <x:c r="F370" s="14" t="str">
        <x:v>Receive and review potential research topics at least 2 weeks prior to Cycle start date</x:v>
      </x:c>
      <x:c r="G370" s="5"/>
      <x:c r="H370" s="11"/>
      <x:c r="I370" s="11" t="n">
        <x:f>'Cycles &amp; Guide'!$C$12-14</x:f>
        <x:v>46190</x:v>
      </x:c>
      <x:c r="J370" s="11"/>
      <x:c r="K370" s="29"/>
      <x:c r="L370" s="2" t="str">
        <x:f>IF(O370=1,"Complete",IF(A370,"Checklist open",IF(H370&lt;&gt;"","In progress","Not started")))</x:f>
        <x:v>Not started</x:v>
      </x:c>
      <x:c r="M370" s="2" t="str">
        <x:v>Task</x:v>
      </x:c>
      <x:c r="N370" s="2" t="str">
        <x:v>DI.FC.1.1.2026.CY3</x:v>
      </x:c>
      <x:c r="O370" s="2" t="n">
        <x:f>R370</x:f>
        <x:v>0</x:v>
      </x:c>
      <x:c r="P370" s="2"/>
      <x:c r="Q370" s="2" t="n">
        <x:v>1</x:v>
      </x:c>
      <x:c r="R370" s="2" t="n">
        <x:f>IF(A370,1,0)</x:f>
        <x:v>0</x:v>
      </x:c>
      <x:c r="S370" s="2" t="n">
        <x:f>SUBTOTAL(103,N370)</x:f>
        <x:v>1</x:v>
      </x:c>
    </x:row>
    <x:row r="371" ht="42" customHeight="1">
      <x:c r="A371" s="28" t="b">
        <x:v>0</x:v>
      </x:c>
      <x:c r="B371" s="2" t="str">
        <x:v>Cycle 3</x:v>
      </x:c>
      <x:c r="C371" s="2" t="str">
        <x:v>Phase 1</x:v>
      </x:c>
      <x:c r="D371" s="2" t="str">
        <x:v>FCM</x:v>
      </x:c>
      <x:c r="E371" s="56" t="str">
        <x:v>DI.FC.1.2</x:v>
      </x:c>
      <x:c r="F371" s="14" t="str">
        <x:v>Communicate any feedback on preferences or concerns with topics identified</x:v>
      </x:c>
      <x:c r="G371" s="5"/>
      <x:c r="H371" s="11"/>
      <x:c r="I371" s="11" t="n">
        <x:f>'Cycles &amp; Guide'!$D$12</x:f>
        <x:v>46295</x:v>
      </x:c>
      <x:c r="J371" s="11"/>
      <x:c r="K371" s="29"/>
      <x:c r="L371" s="2" t="str">
        <x:f>IF(O371=1,"Complete",IF(A371,"Checklist open",IF(H371&lt;&gt;"","In progress","Not started")))</x:f>
        <x:v>Not started</x:v>
      </x:c>
      <x:c r="M371" s="2" t="str">
        <x:v>Task</x:v>
      </x:c>
      <x:c r="N371" s="2" t="str">
        <x:v>DI.FC.1.2.2026.CY3</x:v>
      </x:c>
      <x:c r="O371" s="2" t="n">
        <x:f>R371</x:f>
        <x:v>0</x:v>
      </x:c>
      <x:c r="P371" s="2"/>
      <x:c r="Q371" s="2" t="n">
        <x:v>1</x:v>
      </x:c>
      <x:c r="R371" s="2" t="n">
        <x:f>IF(A371,1,0)</x:f>
        <x:v>0</x:v>
      </x:c>
      <x:c r="S371" s="2" t="n">
        <x:f>SUBTOTAL(103,N371)</x:f>
        <x:v>1</x:v>
      </x:c>
    </x:row>
    <x:row r="372" ht="42" customHeight="1">
      <x:c r="A372" s="28" t="b">
        <x:v>0</x:v>
      </x:c>
      <x:c r="B372" s="2" t="str">
        <x:v>Cycle 3</x:v>
      </x:c>
      <x:c r="C372" s="2" t="str">
        <x:v>Phase 1</x:v>
      </x:c>
      <x:c r="D372" s="2" t="str">
        <x:v>FCM</x:v>
      </x:c>
      <x:c r="E372" s="56" t="str">
        <x:v>DI.FC.1.3</x:v>
      </x:c>
      <x:c r="F372" s="14" t="str">
        <x:v>Conduct high-level preliminary review of complaints within proposed topics</x:v>
      </x:c>
      <x:c r="G372" s="5"/>
      <x:c r="H372" s="11"/>
      <x:c r="I372" s="11" t="n">
        <x:f>'Cycles &amp; Guide'!$D$12</x:f>
        <x:v>46295</x:v>
      </x:c>
      <x:c r="J372" s="11"/>
      <x:c r="K372" s="29"/>
      <x:c r="L372" s="2" t="str">
        <x:f>IF(O372=1,"Complete",IF(A372,"Checklist open",IF(H372&lt;&gt;"","In progress","Not started")))</x:f>
        <x:v>Not started</x:v>
      </x:c>
      <x:c r="M372" s="2" t="str">
        <x:v>Task</x:v>
      </x:c>
      <x:c r="N372" s="2" t="str">
        <x:v>DI.FC.1.3.2026.CY3</x:v>
      </x:c>
      <x:c r="O372" s="2" t="n">
        <x:f>R372</x:f>
        <x:v>0</x:v>
      </x:c>
      <x:c r="P372" s="2"/>
      <x:c r="Q372" s="2" t="n">
        <x:v>1</x:v>
      </x:c>
      <x:c r="R372" s="2" t="n">
        <x:f>IF(A372,1,0)</x:f>
        <x:v>0</x:v>
      </x:c>
      <x:c r="S372" s="2" t="n">
        <x:f>SUBTOTAL(103,N372)</x:f>
        <x:v>1</x:v>
      </x:c>
    </x:row>
    <x:row r="373" ht="42" customHeight="1">
      <x:c r="A373" s="28" t="b">
        <x:v>0</x:v>
      </x:c>
      <x:c r="B373" s="2" t="str">
        <x:v>Cycle 3</x:v>
      </x:c>
      <x:c r="C373" s="2" t="str">
        <x:v>Phase 1</x:v>
      </x:c>
      <x:c r="D373" s="2" t="str">
        <x:v>FCM</x:v>
      </x:c>
      <x:c r="E373" s="56" t="str">
        <x:v>DI.FC.1.4</x:v>
      </x:c>
      <x:c r="F373" s="14" t="str">
        <x:v>Meet with Research to discuss which topic to select based on potential impact</x:v>
      </x:c>
      <x:c r="G373" s="5"/>
      <x:c r="H373" s="11"/>
      <x:c r="I373" s="11" t="n">
        <x:f>'Cycles &amp; Guide'!$D$12</x:f>
        <x:v>46295</x:v>
      </x:c>
      <x:c r="J373" s="11"/>
      <x:c r="K373" s="29"/>
      <x:c r="L373" s="2" t="str">
        <x:f>IF(O373=1,"Complete",IF(A373,"Checklist open",IF(H373&lt;&gt;"","In progress","Not started")))</x:f>
        <x:v>Not started</x:v>
      </x:c>
      <x:c r="M373" s="2" t="str">
        <x:v>Task</x:v>
      </x:c>
      <x:c r="N373" s="2" t="str">
        <x:v>DI.FC.1.4.2026.CY3</x:v>
      </x:c>
      <x:c r="O373" s="2" t="n">
        <x:f>R373</x:f>
        <x:v>0</x:v>
      </x:c>
      <x:c r="P373" s="2"/>
      <x:c r="Q373" s="2" t="n">
        <x:v>1</x:v>
      </x:c>
      <x:c r="R373" s="2" t="n">
        <x:f>IF(A373,1,0)</x:f>
        <x:v>0</x:v>
      </x:c>
      <x:c r="S373" s="2" t="n">
        <x:f>SUBTOTAL(103,N373)</x:f>
        <x:v>1</x:v>
      </x:c>
    </x:row>
    <x:row r="374" ht="42" customHeight="1">
      <x:c r="A374" s="28" t="b">
        <x:v>0</x:v>
      </x:c>
      <x:c r="B374" s="2" t="str">
        <x:v>Cycle 3</x:v>
      </x:c>
      <x:c r="C374" s="2" t="str">
        <x:v>Phase 1</x:v>
      </x:c>
      <x:c r="D374" s="2" t="str">
        <x:v>FCM</x:v>
      </x:c>
      <x:c r="E374" s="56" t="str">
        <x:v>DI.FC.1.5</x:v>
      </x:c>
      <x:c r="F374" s="14" t="str">
        <x:v>Confirm with Research the recommended topic for approval</x:v>
      </x:c>
      <x:c r="G374" s="5"/>
      <x:c r="H374" s="11"/>
      <x:c r="I374" s="11" t="n">
        <x:f>'Cycles &amp; Guide'!$D$12</x:f>
        <x:v>46295</x:v>
      </x:c>
      <x:c r="J374" s="11"/>
      <x:c r="K374" s="29"/>
      <x:c r="L374" s="2" t="str">
        <x:f>IF(O374=1,"Complete",IF(A374,"Checklist open",IF(H374&lt;&gt;"","In progress","Not started")))</x:f>
        <x:v>Not started</x:v>
      </x:c>
      <x:c r="M374" s="2" t="str">
        <x:v>Task</x:v>
      </x:c>
      <x:c r="N374" s="2" t="str">
        <x:v>DI.FC.1.5.2026.CY3</x:v>
      </x:c>
      <x:c r="O374" s="2" t="n">
        <x:f>R374</x:f>
        <x:v>0</x:v>
      </x:c>
      <x:c r="P374" s="2"/>
      <x:c r="Q374" s="2" t="n">
        <x:v>1</x:v>
      </x:c>
      <x:c r="R374" s="2" t="n">
        <x:f>IF(A374,1,0)</x:f>
        <x:v>0</x:v>
      </x:c>
      <x:c r="S374" s="2" t="n">
        <x:f>SUBTOTAL(103,N374)</x:f>
        <x:v>1</x:v>
      </x:c>
    </x:row>
    <x:row r="375" ht="42" customHeight="1">
      <x:c r="A375" s="28" t="b">
        <x:v>0</x:v>
      </x:c>
      <x:c r="B375" s="2" t="str">
        <x:v>Cycle 3</x:v>
      </x:c>
      <x:c r="C375" s="2" t="str">
        <x:v>Phase 1</x:v>
      </x:c>
      <x:c r="D375" s="2" t="str">
        <x:v>FCM</x:v>
      </x:c>
      <x:c r="E375" s="56" t="str">
        <x:v>DI.FC.1.6</x:v>
      </x:c>
      <x:c r="F375" s="14" t="str">
        <x:v>Send topic selection socialization email to all key stakeholders on the first day of the review Cycle</x:v>
      </x:c>
      <x:c r="G375" s="5"/>
      <x:c r="H375" s="11"/>
      <x:c r="I375" s="11" t="n">
        <x:f>'Cycles &amp; Guide'!$C$12</x:f>
        <x:v>46204</x:v>
      </x:c>
      <x:c r="J375" s="11"/>
      <x:c r="K375" s="29"/>
      <x:c r="L375" s="2" t="str">
        <x:f>IF(O375=1,"Complete",IF(A375,"Checklist open",IF(H375&lt;&gt;"","In progress","Not started")))</x:f>
        <x:v>Not started</x:v>
      </x:c>
      <x:c r="M375" s="2" t="str">
        <x:v>Task</x:v>
      </x:c>
      <x:c r="N375" s="2" t="str">
        <x:v>DI.FC.1.6.2026.CY3</x:v>
      </x:c>
      <x:c r="O375" s="2" t="n">
        <x:f>R375</x:f>
        <x:v>0</x:v>
      </x:c>
      <x:c r="P375" s="2"/>
      <x:c r="Q375" s="2" t="n">
        <x:v>1</x:v>
      </x:c>
      <x:c r="R375" s="2" t="n">
        <x:f>IF(A375,1,0)</x:f>
        <x:v>0</x:v>
      </x:c>
      <x:c r="S375" s="2" t="n">
        <x:f>SUBTOTAL(103,N375)</x:f>
        <x:v>1</x:v>
      </x:c>
    </x:row>
    <x:row r="376" ht="42" customHeight="1">
      <x:c r="A376" s="28" t="b">
        <x:v>0</x:v>
      </x:c>
      <x:c r="B376" s="2" t="str">
        <x:v>Cycle 3</x:v>
      </x:c>
      <x:c r="C376" s="2" t="str">
        <x:v>Phase 2</x:v>
      </x:c>
      <x:c r="D376" s="2" t="str">
        <x:v>FCM</x:v>
      </x:c>
      <x:c r="E376" s="56" t="str">
        <x:v>DI.FC.2.1</x:v>
      </x:c>
      <x:c r="F376" s="14" t="str">
        <x:v>Meet regularly with Research to stay informed on progress, findings, and potential enhancement</x:v>
      </x:c>
      <x:c r="G376" s="5"/>
      <x:c r="H376" s="11"/>
      <x:c r="I376" s="11" t="n">
        <x:f>'Cycles &amp; Guide'!$D$12</x:f>
        <x:v>46295</x:v>
      </x:c>
      <x:c r="J376" s="11"/>
      <x:c r="K376" s="29"/>
      <x:c r="L376" s="2" t="str">
        <x:f>IF(O376=1,"Complete",IF(A376,"Checklist open",IF(H376&lt;&gt;"","In progress","Not started")))</x:f>
        <x:v>Not started</x:v>
      </x:c>
      <x:c r="M376" s="2" t="str">
        <x:v>Task</x:v>
      </x:c>
      <x:c r="N376" s="2" t="str">
        <x:v>DI.FC.2.1.2026.CY3</x:v>
      </x:c>
      <x:c r="O376" s="2" t="n">
        <x:f>R376</x:f>
        <x:v>0</x:v>
      </x:c>
      <x:c r="P376" s="2"/>
      <x:c r="Q376" s="2" t="n">
        <x:v>1</x:v>
      </x:c>
      <x:c r="R376" s="2" t="n">
        <x:f>IF(A376,1,0)</x:f>
        <x:v>0</x:v>
      </x:c>
      <x:c r="S376" s="2" t="n">
        <x:f>SUBTOTAL(103,N376)</x:f>
        <x:v>1</x:v>
      </x:c>
    </x:row>
    <x:row r="377" ht="42" customHeight="1">
      <x:c r="A377" s="28" t="b">
        <x:v>0</x:v>
      </x:c>
      <x:c r="B377" s="2" t="str">
        <x:v>Cycle 3</x:v>
      </x:c>
      <x:c r="C377" s="2" t="str">
        <x:v>Phase 2</x:v>
      </x:c>
      <x:c r="D377" s="2" t="str">
        <x:v>FCM</x:v>
      </x:c>
      <x:c r="E377" s="56" t="str">
        <x:v>DI.FC.2.2</x:v>
      </x:c>
      <x:c r="F377" s="14" t="str">
        <x:v>Collaborate with Research on research plan specifics</x:v>
      </x:c>
      <x:c r="G377" s="5"/>
      <x:c r="H377" s="11"/>
      <x:c r="I377" s="11" t="n">
        <x:f>'Cycles &amp; Guide'!$D$12</x:f>
        <x:v>46295</x:v>
      </x:c>
      <x:c r="J377" s="11"/>
      <x:c r="K377" s="29"/>
      <x:c r="L377" s="2" t="str">
        <x:f>IF(O377=1,"Complete",IF(A377,"Checklist open",IF(H377&lt;&gt;"","In progress","Not started")))</x:f>
        <x:v>Not started</x:v>
      </x:c>
      <x:c r="M377" s="2" t="str">
        <x:v>Task</x:v>
      </x:c>
      <x:c r="N377" s="2" t="str">
        <x:v>DI.FC.2.2.2026.CY3</x:v>
      </x:c>
      <x:c r="O377" s="2" t="n">
        <x:f>R377</x:f>
        <x:v>0</x:v>
      </x:c>
      <x:c r="P377" s="2"/>
      <x:c r="Q377" s="2" t="n">
        <x:v>1</x:v>
      </x:c>
      <x:c r="R377" s="2" t="n">
        <x:f>IF(A377,1,0)</x:f>
        <x:v>0</x:v>
      </x:c>
      <x:c r="S377" s="2" t="n">
        <x:f>SUBTOTAL(103,N377)</x:f>
        <x:v>1</x:v>
      </x:c>
    </x:row>
    <x:row r="378" ht="42" customHeight="1">
      <x:c r="A378" s="28" t="b">
        <x:v>0</x:v>
      </x:c>
      <x:c r="B378" s="2" t="str">
        <x:v>Cycle 3</x:v>
      </x:c>
      <x:c r="C378" s="2" t="str">
        <x:v>Phase 2</x:v>
      </x:c>
      <x:c r="D378" s="2" t="str">
        <x:v>FCM</x:v>
      </x:c>
      <x:c r="E378" s="56" t="str">
        <x:v>DI.FC.2.3</x:v>
      </x:c>
      <x:c r="F378" s="14" t="str">
        <x:v>Participate in SME insight meetings to gain perspective and appetite on potential enhancements</x:v>
      </x:c>
      <x:c r="G378" s="5"/>
      <x:c r="H378" s="11"/>
      <x:c r="I378" s="11" t="n">
        <x:f>'Cycles &amp; Guide'!$D$12</x:f>
        <x:v>46295</x:v>
      </x:c>
      <x:c r="J378" s="11"/>
      <x:c r="K378" s="29"/>
      <x:c r="L378" s="2" t="str">
        <x:f>IF(O378=1,"Complete",IF(A378,"Checklist open",IF(H378&lt;&gt;"","In progress","Not started")))</x:f>
        <x:v>Not started</x:v>
      </x:c>
      <x:c r="M378" s="2" t="str">
        <x:v>Task</x:v>
      </x:c>
      <x:c r="N378" s="2" t="str">
        <x:v>DI.FC.2.3.2026.CY3</x:v>
      </x:c>
      <x:c r="O378" s="2" t="n">
        <x:f>R378</x:f>
        <x:v>0</x:v>
      </x:c>
      <x:c r="P378" s="2"/>
      <x:c r="Q378" s="2" t="n">
        <x:v>1</x:v>
      </x:c>
      <x:c r="R378" s="2" t="n">
        <x:f>IF(A378,1,0)</x:f>
        <x:v>0</x:v>
      </x:c>
      <x:c r="S378" s="2" t="n">
        <x:f>SUBTOTAL(103,N378)</x:f>
        <x:v>1</x:v>
      </x:c>
    </x:row>
    <x:row r="379" ht="42" customHeight="1">
      <x:c r="A379" s="28" t="b">
        <x:v>0</x:v>
      </x:c>
      <x:c r="B379" s="2" t="str">
        <x:v>Cycle 3</x:v>
      </x:c>
      <x:c r="C379" s="2" t="str">
        <x:v>Phase 2</x:v>
      </x:c>
      <x:c r="D379" s="2" t="str">
        <x:v>FCM</x:v>
      </x:c>
      <x:c r="E379" s="56" t="str">
        <x:v>DI.FC.2.4</x:v>
      </x:c>
      <x:c r="F379" s="14" t="str">
        <x:v>Begin development of presentation materials as Research is being completed</x:v>
      </x:c>
      <x:c r="G379" s="5"/>
      <x:c r="H379" s="11"/>
      <x:c r="I379" s="11" t="n">
        <x:f>'Cycles &amp; Guide'!$D$12</x:f>
        <x:v>46295</x:v>
      </x:c>
      <x:c r="J379" s="11"/>
      <x:c r="K379" s="29"/>
      <x:c r="L379" s="2" t="str">
        <x:f>IF(O379=1,"Complete",IF(A379,"Checklist open",IF(H379&lt;&gt;"","In progress","Not started")))</x:f>
        <x:v>Not started</x:v>
      </x:c>
      <x:c r="M379" s="2" t="str">
        <x:v>Task</x:v>
      </x:c>
      <x:c r="N379" s="2" t="str">
        <x:v>DI.FC.2.4.2026.CY3</x:v>
      </x:c>
      <x:c r="O379" s="2" t="n">
        <x:f>R379</x:f>
        <x:v>0</x:v>
      </x:c>
      <x:c r="P379" s="2"/>
      <x:c r="Q379" s="2" t="n">
        <x:v>1</x:v>
      </x:c>
      <x:c r="R379" s="2" t="n">
        <x:f>IF(A379,1,0)</x:f>
        <x:v>0</x:v>
      </x:c>
      <x:c r="S379" s="2" t="n">
        <x:f>SUBTOTAL(103,N379)</x:f>
        <x:v>1</x:v>
      </x:c>
    </x:row>
    <x:row r="380" ht="42" customHeight="1">
      <x:c r="A380" s="28" t="b">
        <x:v>0</x:v>
      </x:c>
      <x:c r="B380" s="2" t="str">
        <x:v>Cycle 3</x:v>
      </x:c>
      <x:c r="C380" s="2" t="str">
        <x:v>Phase 2</x:v>
      </x:c>
      <x:c r="D380" s="2" t="str">
        <x:v>FCM</x:v>
      </x:c>
      <x:c r="E380" s="56" t="str">
        <x:v>DI.FC.2.5</x:v>
      </x:c>
      <x:c r="F380" s="14" t="str">
        <x:v>Draft initial enhancement recommendations (as applicable)</x:v>
      </x:c>
      <x:c r="G380" s="5"/>
      <x:c r="H380" s="11"/>
      <x:c r="I380" s="11" t="n">
        <x:f>'Cycles &amp; Guide'!$D$12</x:f>
        <x:v>46295</x:v>
      </x:c>
      <x:c r="J380" s="11"/>
      <x:c r="K380" s="29"/>
      <x:c r="L380" s="2" t="str">
        <x:f>IF(O380=1,"Complete",IF(A380,"Checklist open",IF(H380&lt;&gt;"","In progress","Not started")))</x:f>
        <x:v>Not started</x:v>
      </x:c>
      <x:c r="M380" s="2" t="str">
        <x:v>Task</x:v>
      </x:c>
      <x:c r="N380" s="2" t="str">
        <x:v>DI.FC.2.5.2026.CY3</x:v>
      </x:c>
      <x:c r="O380" s="2" t="n">
        <x:f>R380</x:f>
        <x:v>0</x:v>
      </x:c>
      <x:c r="P380" s="2"/>
      <x:c r="Q380" s="2" t="n">
        <x:v>1</x:v>
      </x:c>
      <x:c r="R380" s="2" t="n">
        <x:f>IF(A380,1,0)</x:f>
        <x:v>0</x:v>
      </x:c>
      <x:c r="S380" s="2" t="n">
        <x:f>SUBTOTAL(103,N380)</x:f>
        <x:v>1</x:v>
      </x:c>
    </x:row>
    <x:row r="381" ht="42" customHeight="1">
      <x:c r="A381" s="28" t="b">
        <x:v>0</x:v>
      </x:c>
      <x:c r="B381" s="2" t="str">
        <x:v>Cycle 3</x:v>
      </x:c>
      <x:c r="C381" s="2" t="str">
        <x:v>Phase 2</x:v>
      </x:c>
      <x:c r="D381" s="2" t="str">
        <x:v>FCM</x:v>
      </x:c>
      <x:c r="E381" s="56" t="str">
        <x:v>DI.FC.2.6</x:v>
      </x:c>
      <x:c r="F381" s="14" t="str">
        <x:v>Finalize presentation deck draft at conclusion of Research phase</x:v>
      </x:c>
      <x:c r="G381" s="5"/>
      <x:c r="H381" s="11"/>
      <x:c r="I381" s="11" t="n">
        <x:f>'Cycles &amp; Guide'!$D$12</x:f>
        <x:v>46295</x:v>
      </x:c>
      <x:c r="J381" s="11"/>
      <x:c r="K381" s="29"/>
      <x:c r="L381" s="2" t="str">
        <x:f>IF(O381=1,"Complete",IF(A381,"Checklist open",IF(H381&lt;&gt;"","In progress","Not started")))</x:f>
        <x:v>Not started</x:v>
      </x:c>
      <x:c r="M381" s="2" t="str">
        <x:v>Task</x:v>
      </x:c>
      <x:c r="N381" s="2" t="str">
        <x:v>DI.FC.2.6.2026.CY3</x:v>
      </x:c>
      <x:c r="O381" s="2" t="n">
        <x:f>R381</x:f>
        <x:v>0</x:v>
      </x:c>
      <x:c r="P381" s="2"/>
      <x:c r="Q381" s="2" t="n">
        <x:v>1</x:v>
      </x:c>
      <x:c r="R381" s="2" t="n">
        <x:f>IF(A381,1,0)</x:f>
        <x:v>0</x:v>
      </x:c>
      <x:c r="S381" s="2" t="n">
        <x:f>SUBTOTAL(103,N381)</x:f>
        <x:v>1</x:v>
      </x:c>
    </x:row>
    <x:row r="382" ht="42" customHeight="1">
      <x:c r="A382" s="28" t="b">
        <x:v>0</x:v>
      </x:c>
      <x:c r="B382" s="2" t="str">
        <x:v>Cycle 3</x:v>
      </x:c>
      <x:c r="C382" s="2" t="str">
        <x:v>Phase 2</x:v>
      </x:c>
      <x:c r="D382" s="2" t="str">
        <x:v>FCM</x:v>
      </x:c>
      <x:c r="E382" s="56" t="str">
        <x:v>DI.FC.2.7</x:v>
      </x:c>
      <x:c r="F382" s="14" t="str">
        <x:v>Update Outcome portion of research plan with current enhancement verbiage (as needed)</x:v>
      </x:c>
      <x:c r="G382" s="5"/>
      <x:c r="H382" s="11"/>
      <x:c r="I382" s="11" t="n">
        <x:f>'Cycles &amp; Guide'!$D$12</x:f>
        <x:v>46295</x:v>
      </x:c>
      <x:c r="J382" s="11"/>
      <x:c r="K382" s="29"/>
      <x:c r="L382" s="2" t="str">
        <x:f>IF(O382=1,"Complete",IF(A382,"Checklist open",IF(H382&lt;&gt;"","In progress","Not started")))</x:f>
        <x:v>Not started</x:v>
      </x:c>
      <x:c r="M382" s="2" t="str">
        <x:v>Task</x:v>
      </x:c>
      <x:c r="N382" s="2" t="str">
        <x:v>DI.FC.2.7.2026.CY3</x:v>
      </x:c>
      <x:c r="O382" s="2" t="n">
        <x:f>R382</x:f>
        <x:v>0</x:v>
      </x:c>
      <x:c r="P382" s="2"/>
      <x:c r="Q382" s="2" t="n">
        <x:v>1</x:v>
      </x:c>
      <x:c r="R382" s="2" t="n">
        <x:f>IF(A382,1,0)</x:f>
        <x:v>0</x:v>
      </x:c>
      <x:c r="S382" s="2" t="n">
        <x:f>SUBTOTAL(103,N382)</x:f>
        <x:v>1</x:v>
      </x:c>
    </x:row>
    <x:row r="383" ht="42" customHeight="1">
      <x:c r="A383" s="28" t="b">
        <x:v>0</x:v>
      </x:c>
      <x:c r="B383" s="2" t="str">
        <x:v>Cycle 3</x:v>
      </x:c>
      <x:c r="C383" s="2" t="str">
        <x:v>Phase 3</x:v>
      </x:c>
      <x:c r="D383" s="2" t="str">
        <x:v>FCM</x:v>
      </x:c>
      <x:c r="E383" s="56" t="str">
        <x:v>DI.FC.3.1</x:v>
      </x:c>
      <x:c r="F383" s="14" t="str">
        <x:v>Confirm list of required &amp; optional attendees for pre-socialization meeting</x:v>
      </x:c>
      <x:c r="G383" s="5"/>
      <x:c r="H383" s="11"/>
      <x:c r="I383" s="11" t="n">
        <x:f>'Cycles &amp; Guide'!$D$12</x:f>
        <x:v>46295</x:v>
      </x:c>
      <x:c r="J383" s="11"/>
      <x:c r="K383" s="29"/>
      <x:c r="L383" s="2" t="str">
        <x:f>IF(O383=1,"Complete",IF(A383,"Checklist open",IF(H383&lt;&gt;"","In progress","Not started")))</x:f>
        <x:v>Not started</x:v>
      </x:c>
      <x:c r="M383" s="2" t="str">
        <x:v>Task</x:v>
      </x:c>
      <x:c r="N383" s="2" t="str">
        <x:v>DI.FC.3.1.2026.CY3</x:v>
      </x:c>
      <x:c r="O383" s="2" t="n">
        <x:f>R383</x:f>
        <x:v>0</x:v>
      </x:c>
      <x:c r="P383" s="2"/>
      <x:c r="Q383" s="2" t="n">
        <x:v>1</x:v>
      </x:c>
      <x:c r="R383" s="2" t="n">
        <x:f>IF(A383,1,0)</x:f>
        <x:v>0</x:v>
      </x:c>
      <x:c r="S383" s="2" t="n">
        <x:f>SUBTOTAL(103,N383)</x:f>
        <x:v>1</x:v>
      </x:c>
    </x:row>
    <x:row r="384" ht="42" customHeight="1">
      <x:c r="A384" s="28" t="b">
        <x:v>0</x:v>
      </x:c>
      <x:c r="B384" s="2" t="str">
        <x:v>Cycle 3</x:v>
      </x:c>
      <x:c r="C384" s="2" t="str">
        <x:v>Phase 3</x:v>
      </x:c>
      <x:c r="D384" s="2" t="str">
        <x:v>FCM</x:v>
      </x:c>
      <x:c r="E384" s="56" t="str">
        <x:v>DI.FC.3.2</x:v>
      </x:c>
      <x:c r="F384" s="14" t="str">
        <x:v>Schedule pre-socialization meeting 1 week prior to RCA Forum</x:v>
      </x:c>
      <x:c r="G384" s="5"/>
      <x:c r="H384" s="11"/>
      <x:c r="I384" s="11" t="str">
        <x:f>IF(SUMIFS('Cycles &amp; Guide'!$D$23:$D$50,'Cycles &amp; Guide'!$B$23:$B$50,B384,'Cycles &amp; Guide'!$C$23:$C$50,D384)=0,"",SUMIFS('Cycles &amp; Guide'!$D$23:$D$50,'Cycles &amp; Guide'!$B$23:$B$50,B384,'Cycles &amp; Guide'!$C$23:$C$50,D384)-7)</x:f>
      </x:c>
      <x:c r="J384" s="11"/>
      <x:c r="K384" s="29"/>
      <x:c r="L384" s="2" t="str">
        <x:f>IF(O384=1,"Complete",IF(A384,"Checklist open",IF(H384&lt;&gt;"","In progress","Not started")))</x:f>
        <x:v>Not started</x:v>
      </x:c>
      <x:c r="M384" s="2" t="str">
        <x:v>Task</x:v>
      </x:c>
      <x:c r="N384" s="2" t="str">
        <x:v>DI.FC.3.2.2026.CY3</x:v>
      </x:c>
      <x:c r="O384" s="2" t="n">
        <x:f>R384</x:f>
        <x:v>0</x:v>
      </x:c>
      <x:c r="P384" s="2"/>
      <x:c r="Q384" s="2" t="n">
        <x:v>1</x:v>
      </x:c>
      <x:c r="R384" s="2" t="n">
        <x:f>IF(A384,1,0)</x:f>
        <x:v>0</x:v>
      </x:c>
      <x:c r="S384" s="2" t="n">
        <x:f>SUBTOTAL(103,N384)</x:f>
        <x:v>1</x:v>
      </x:c>
    </x:row>
    <x:row r="385" ht="42" customHeight="1">
      <x:c r="A385" s="28" t="b">
        <x:v>0</x:v>
      </x:c>
      <x:c r="B385" s="2" t="str">
        <x:v>Cycle 3</x:v>
      </x:c>
      <x:c r="C385" s="2" t="str">
        <x:v>Phase 3</x:v>
      </x:c>
      <x:c r="D385" s="2" t="str">
        <x:v>FCM</x:v>
      </x:c>
      <x:c r="E385" s="56" t="str">
        <x:v>DI.FC.3.3</x:v>
      </x:c>
      <x:c r="F385" s="14" t="str">
        <x:v>Present findings, conclusions, and recommendation to SMEs</x:v>
      </x:c>
      <x:c r="G385" s="5"/>
      <x:c r="H385" s="11"/>
      <x:c r="I385" s="11" t="n">
        <x:f>'Cycles &amp; Guide'!$D$12</x:f>
        <x:v>46295</x:v>
      </x:c>
      <x:c r="J385" s="11"/>
      <x:c r="K385" s="29"/>
      <x:c r="L385" s="2" t="str">
        <x:f>IF(O385=1,"Complete",IF(A385,"Checklist open",IF(H385&lt;&gt;"","In progress","Not started")))</x:f>
        <x:v>Not started</x:v>
      </x:c>
      <x:c r="M385" s="2" t="str">
        <x:v>Task</x:v>
      </x:c>
      <x:c r="N385" s="2" t="str">
        <x:v>DI.FC.3.3.2026.CY3</x:v>
      </x:c>
      <x:c r="O385" s="2" t="n">
        <x:f>R385</x:f>
        <x:v>0</x:v>
      </x:c>
      <x:c r="P385" s="2"/>
      <x:c r="Q385" s="2" t="n">
        <x:v>1</x:v>
      </x:c>
      <x:c r="R385" s="2" t="n">
        <x:f>IF(A385,1,0)</x:f>
        <x:v>0</x:v>
      </x:c>
      <x:c r="S385" s="2" t="n">
        <x:f>SUBTOTAL(103,N385)</x:f>
        <x:v>1</x:v>
      </x:c>
    </x:row>
    <x:row r="386" ht="42" customHeight="1">
      <x:c r="A386" s="28" t="b">
        <x:v>0</x:v>
      </x:c>
      <x:c r="B386" s="2" t="str">
        <x:v>Cycle 3</x:v>
      </x:c>
      <x:c r="C386" s="2" t="str">
        <x:v>Phase 3</x:v>
      </x:c>
      <x:c r="D386" s="2" t="str">
        <x:v>FCM</x:v>
      </x:c>
      <x:c r="E386" s="56" t="str">
        <x:v>DI.FC.3.4</x:v>
      </x:c>
      <x:c r="F386" s="14" t="str">
        <x:v>Update Outcome portion of research plan (as needed)</x:v>
      </x:c>
      <x:c r="G386" s="5"/>
      <x:c r="H386" s="11"/>
      <x:c r="I386" s="11" t="n">
        <x:f>'Cycles &amp; Guide'!$D$12</x:f>
        <x:v>46295</x:v>
      </x:c>
      <x:c r="J386" s="11"/>
      <x:c r="K386" s="29"/>
      <x:c r="L386" s="2" t="str">
        <x:f>IF(O386=1,"Complete",IF(A386,"Checklist open",IF(H386&lt;&gt;"","In progress","Not started")))</x:f>
        <x:v>Not started</x:v>
      </x:c>
      <x:c r="M386" s="2" t="str">
        <x:v>Task</x:v>
      </x:c>
      <x:c r="N386" s="2" t="str">
        <x:v>DI.FC.3.4.2026.CY3</x:v>
      </x:c>
      <x:c r="O386" s="2" t="n">
        <x:f>R386</x:f>
        <x:v>0</x:v>
      </x:c>
      <x:c r="P386" s="2"/>
      <x:c r="Q386" s="2" t="n">
        <x:v>1</x:v>
      </x:c>
      <x:c r="R386" s="2" t="n">
        <x:f>IF(A386,1,0)</x:f>
        <x:v>0</x:v>
      </x:c>
      <x:c r="S386" s="2" t="n">
        <x:f>SUBTOTAL(103,N386)</x:f>
        <x:v>1</x:v>
      </x:c>
    </x:row>
    <x:row r="387" ht="42" customHeight="1">
      <x:c r="A387" s="28" t="b">
        <x:v>0</x:v>
      </x:c>
      <x:c r="B387" s="2" t="str">
        <x:v>Cycle 3</x:v>
      </x:c>
      <x:c r="C387" s="2" t="str">
        <x:v>Phase 3</x:v>
      </x:c>
      <x:c r="D387" s="2" t="str">
        <x:v>FCM</x:v>
      </x:c>
      <x:c r="E387" s="56" t="str">
        <x:v>DI.FC.3.5</x:v>
      </x:c>
      <x:c r="F387" s="14" t="str">
        <x:v>Finalize presentation deck by incorporating pre-socialization feedback (as needed)</x:v>
      </x:c>
      <x:c r="G387" s="5"/>
      <x:c r="H387" s="11"/>
      <x:c r="I387" s="11" t="n">
        <x:f>'Cycles &amp; Guide'!$D$12</x:f>
        <x:v>46295</x:v>
      </x:c>
      <x:c r="J387" s="11"/>
      <x:c r="K387" s="29"/>
      <x:c r="L387" s="2" t="str">
        <x:f>IF(O387=1,"Complete",IF(A387,"Checklist open",IF(H387&lt;&gt;"","In progress","Not started")))</x:f>
        <x:v>Not started</x:v>
      </x:c>
      <x:c r="M387" s="2" t="str">
        <x:v>Task</x:v>
      </x:c>
      <x:c r="N387" s="2" t="str">
        <x:v>DI.FC.3.5.2026.CY3</x:v>
      </x:c>
      <x:c r="O387" s="2" t="n">
        <x:f>R387</x:f>
        <x:v>0</x:v>
      </x:c>
      <x:c r="P387" s="2"/>
      <x:c r="Q387" s="2" t="n">
        <x:v>1</x:v>
      </x:c>
      <x:c r="R387" s="2" t="n">
        <x:f>IF(A387,1,0)</x:f>
        <x:v>0</x:v>
      </x:c>
      <x:c r="S387" s="2" t="n">
        <x:f>SUBTOTAL(103,N387)</x:f>
        <x:v>1</x:v>
      </x:c>
    </x:row>
    <x:row r="388" ht="42" customHeight="1">
      <x:c r="A388" s="28" t="b">
        <x:v>0</x:v>
      </x:c>
      <x:c r="B388" s="2" t="str">
        <x:v>Cycle 3</x:v>
      </x:c>
      <x:c r="C388" s="2" t="str">
        <x:v>Phase 3</x:v>
      </x:c>
      <x:c r="D388" s="2" t="str">
        <x:v>FCM</x:v>
      </x:c>
      <x:c r="E388" s="56" t="str">
        <x:v>DI.FC.3.6</x:v>
      </x:c>
      <x:c r="F388" s="14" t="str">
        <x:v>Ensure final deck is communicated to Forum attendees</x:v>
      </x:c>
      <x:c r="G388" s="5"/>
      <x:c r="H388" s="11"/>
      <x:c r="I388" s="11" t="n">
        <x:f>'Cycles &amp; Guide'!$D$12</x:f>
        <x:v>46295</x:v>
      </x:c>
      <x:c r="J388" s="11"/>
      <x:c r="K388" s="29"/>
      <x:c r="L388" s="2" t="str">
        <x:f>IF(O388=1,"Complete",IF(A388,"Checklist open",IF(H388&lt;&gt;"","In progress","Not started")))</x:f>
        <x:v>Not started</x:v>
      </x:c>
      <x:c r="M388" s="2" t="str">
        <x:v>Task</x:v>
      </x:c>
      <x:c r="N388" s="2" t="str">
        <x:v>DI.FC.3.6.2026.CY3</x:v>
      </x:c>
      <x:c r="O388" s="2" t="n">
        <x:f>R388</x:f>
        <x:v>0</x:v>
      </x:c>
      <x:c r="P388" s="2"/>
      <x:c r="Q388" s="2" t="n">
        <x:v>1</x:v>
      </x:c>
      <x:c r="R388" s="2" t="n">
        <x:f>IF(A388,1,0)</x:f>
        <x:v>0</x:v>
      </x:c>
      <x:c r="S388" s="2" t="n">
        <x:f>SUBTOTAL(103,N388)</x:f>
        <x:v>1</x:v>
      </x:c>
    </x:row>
    <x:row r="389" ht="42" customHeight="1">
      <x:c r="A389" s="28" t="b">
        <x:v>0</x:v>
      </x:c>
      <x:c r="B389" s="2" t="str">
        <x:v>Cycle 3</x:v>
      </x:c>
      <x:c r="C389" s="2" t="str">
        <x:v>Phase 3</x:v>
      </x:c>
      <x:c r="D389" s="2" t="str">
        <x:v>FCM</x:v>
      </x:c>
      <x:c r="E389" s="56" t="str">
        <x:v>DI.FC.3.7</x:v>
      </x:c>
      <x:c r="F389" s="14" t="str">
        <x:v>Present material in RCA Cycle Forum</x:v>
      </x:c>
      <x:c r="G389" s="5"/>
      <x:c r="H389" s="11"/>
      <x:c r="I389" s="11" t="str">
        <x:f>IF(SUMIFS('Cycles &amp; Guide'!$D$23:$D$50,'Cycles &amp; Guide'!$B$23:$B$50,B389,'Cycles &amp; Guide'!$C$23:$C$50,D389)=0,"",SUMIFS('Cycles &amp; Guide'!$D$23:$D$50,'Cycles &amp; Guide'!$B$23:$B$50,B389,'Cycles &amp; Guide'!$C$23:$C$50,D389))</x:f>
      </x:c>
      <x:c r="J389" s="11"/>
      <x:c r="K389" s="29"/>
      <x:c r="L389" s="2" t="str">
        <x:f>IF(O389=1,"Complete",IF(A389,"Checklist open",IF(H389&lt;&gt;"","In progress","Not started")))</x:f>
        <x:v>Not started</x:v>
      </x:c>
      <x:c r="M389" s="2" t="str">
        <x:v>Task</x:v>
      </x:c>
      <x:c r="N389" s="2" t="str">
        <x:v>DI.FC.3.7.2026.CY3</x:v>
      </x:c>
      <x:c r="O389" s="2" t="n">
        <x:f>R389</x:f>
        <x:v>0</x:v>
      </x:c>
      <x:c r="P389" s="2"/>
      <x:c r="Q389" s="2" t="n">
        <x:v>1</x:v>
      </x:c>
      <x:c r="R389" s="2" t="n">
        <x:f>IF(A389,1,0)</x:f>
        <x:v>0</x:v>
      </x:c>
      <x:c r="S389" s="2" t="n">
        <x:f>SUBTOTAL(103,N389)</x:f>
        <x:v>1</x:v>
      </x:c>
    </x:row>
    <x:row r="390" ht="42" customHeight="1">
      <x:c r="A390" s="28" t="b">
        <x:v>0</x:v>
      </x:c>
      <x:c r="B390" s="2" t="str">
        <x:v>Cycle 3</x:v>
      </x:c>
      <x:c r="C390" s="2" t="str">
        <x:v>Phase 1</x:v>
      </x:c>
      <x:c r="D390" s="2" t="str">
        <x:v>PLL</x:v>
      </x:c>
      <x:c r="E390" s="56" t="str">
        <x:v>DI.PL.1.1</x:v>
      </x:c>
      <x:c r="F390" s="14" t="str">
        <x:v>Receive and review potential research topics at least 2 weeks prior to Cycle start date</x:v>
      </x:c>
      <x:c r="G390" s="5"/>
      <x:c r="H390" s="11"/>
      <x:c r="I390" s="11" t="n">
        <x:f>'Cycles &amp; Guide'!$C$12-14</x:f>
        <x:v>46190</x:v>
      </x:c>
      <x:c r="J390" s="11"/>
      <x:c r="K390" s="29"/>
      <x:c r="L390" s="2" t="str">
        <x:f>IF(O390=1,"Complete",IF(A390,"Checklist open",IF(H390&lt;&gt;"","In progress","Not started")))</x:f>
        <x:v>Not started</x:v>
      </x:c>
      <x:c r="M390" s="2" t="str">
        <x:v>Task</x:v>
      </x:c>
      <x:c r="N390" s="2" t="str">
        <x:v>DI.PL.1.1.2026.CY3</x:v>
      </x:c>
      <x:c r="O390" s="2" t="n">
        <x:f>R390</x:f>
        <x:v>0</x:v>
      </x:c>
      <x:c r="P390" s="2"/>
      <x:c r="Q390" s="2" t="n">
        <x:v>1</x:v>
      </x:c>
      <x:c r="R390" s="2" t="n">
        <x:f>IF(A390,1,0)</x:f>
        <x:v>0</x:v>
      </x:c>
      <x:c r="S390" s="2" t="n">
        <x:f>SUBTOTAL(103,N390)</x:f>
        <x:v>1</x:v>
      </x:c>
    </x:row>
    <x:row r="391" ht="42" customHeight="1">
      <x:c r="A391" s="28" t="b">
        <x:v>0</x:v>
      </x:c>
      <x:c r="B391" s="2" t="str">
        <x:v>Cycle 3</x:v>
      </x:c>
      <x:c r="C391" s="2" t="str">
        <x:v>Phase 1</x:v>
      </x:c>
      <x:c r="D391" s="2" t="str">
        <x:v>PLL</x:v>
      </x:c>
      <x:c r="E391" s="56" t="str">
        <x:v>DI.PL.1.2</x:v>
      </x:c>
      <x:c r="F391" s="14" t="str">
        <x:v>Communicate any feedback on preferences or concerns with topics identified</x:v>
      </x:c>
      <x:c r="G391" s="5"/>
      <x:c r="H391" s="11"/>
      <x:c r="I391" s="11" t="n">
        <x:f>'Cycles &amp; Guide'!$D$12</x:f>
        <x:v>46295</x:v>
      </x:c>
      <x:c r="J391" s="11"/>
      <x:c r="K391" s="29"/>
      <x:c r="L391" s="2" t="str">
        <x:f>IF(O391=1,"Complete",IF(A391,"Checklist open",IF(H391&lt;&gt;"","In progress","Not started")))</x:f>
        <x:v>Not started</x:v>
      </x:c>
      <x:c r="M391" s="2" t="str">
        <x:v>Task</x:v>
      </x:c>
      <x:c r="N391" s="2" t="str">
        <x:v>DI.PL.1.2.2026.CY3</x:v>
      </x:c>
      <x:c r="O391" s="2" t="n">
        <x:f>R391</x:f>
        <x:v>0</x:v>
      </x:c>
      <x:c r="P391" s="2"/>
      <x:c r="Q391" s="2" t="n">
        <x:v>1</x:v>
      </x:c>
      <x:c r="R391" s="2" t="n">
        <x:f>IF(A391,1,0)</x:f>
        <x:v>0</x:v>
      </x:c>
      <x:c r="S391" s="2" t="n">
        <x:f>SUBTOTAL(103,N391)</x:f>
        <x:v>1</x:v>
      </x:c>
    </x:row>
    <x:row r="392" ht="42" customHeight="1">
      <x:c r="A392" s="28" t="b">
        <x:v>0</x:v>
      </x:c>
      <x:c r="B392" s="2" t="str">
        <x:v>Cycle 3</x:v>
      </x:c>
      <x:c r="C392" s="2" t="str">
        <x:v>Phase 1</x:v>
      </x:c>
      <x:c r="D392" s="2" t="str">
        <x:v>PLL</x:v>
      </x:c>
      <x:c r="E392" s="56" t="str">
        <x:v>DI.PL.1.3</x:v>
      </x:c>
      <x:c r="F392" s="14" t="str">
        <x:v>Conduct high-level preliminary review of complaints within proposed topics</x:v>
      </x:c>
      <x:c r="G392" s="5"/>
      <x:c r="H392" s="11"/>
      <x:c r="I392" s="11" t="n">
        <x:f>'Cycles &amp; Guide'!$D$12</x:f>
        <x:v>46295</x:v>
      </x:c>
      <x:c r="J392" s="11"/>
      <x:c r="K392" s="29"/>
      <x:c r="L392" s="2" t="str">
        <x:f>IF(O392=1,"Complete",IF(A392,"Checklist open",IF(H392&lt;&gt;"","In progress","Not started")))</x:f>
        <x:v>Not started</x:v>
      </x:c>
      <x:c r="M392" s="2" t="str">
        <x:v>Task</x:v>
      </x:c>
      <x:c r="N392" s="2" t="str">
        <x:v>DI.PL.1.3.2026.CY3</x:v>
      </x:c>
      <x:c r="O392" s="2" t="n">
        <x:f>R392</x:f>
        <x:v>0</x:v>
      </x:c>
      <x:c r="P392" s="2"/>
      <x:c r="Q392" s="2" t="n">
        <x:v>1</x:v>
      </x:c>
      <x:c r="R392" s="2" t="n">
        <x:f>IF(A392,1,0)</x:f>
        <x:v>0</x:v>
      </x:c>
      <x:c r="S392" s="2" t="n">
        <x:f>SUBTOTAL(103,N392)</x:f>
        <x:v>1</x:v>
      </x:c>
    </x:row>
    <x:row r="393" ht="42" customHeight="1">
      <x:c r="A393" s="28" t="b">
        <x:v>0</x:v>
      </x:c>
      <x:c r="B393" s="2" t="str">
        <x:v>Cycle 3</x:v>
      </x:c>
      <x:c r="C393" s="2" t="str">
        <x:v>Phase 1</x:v>
      </x:c>
      <x:c r="D393" s="2" t="str">
        <x:v>PLL</x:v>
      </x:c>
      <x:c r="E393" s="56" t="str">
        <x:v>DI.PL.1.4</x:v>
      </x:c>
      <x:c r="F393" s="14" t="str">
        <x:v>Meet with Research to discuss which topic to select based on potential impact</x:v>
      </x:c>
      <x:c r="G393" s="5"/>
      <x:c r="H393" s="11"/>
      <x:c r="I393" s="11" t="n">
        <x:f>'Cycles &amp; Guide'!$D$12</x:f>
        <x:v>46295</x:v>
      </x:c>
      <x:c r="J393" s="11"/>
      <x:c r="K393" s="29"/>
      <x:c r="L393" s="2" t="str">
        <x:f>IF(O393=1,"Complete",IF(A393,"Checklist open",IF(H393&lt;&gt;"","In progress","Not started")))</x:f>
        <x:v>Not started</x:v>
      </x:c>
      <x:c r="M393" s="2" t="str">
        <x:v>Task</x:v>
      </x:c>
      <x:c r="N393" s="2" t="str">
        <x:v>DI.PL.1.4.2026.CY3</x:v>
      </x:c>
      <x:c r="O393" s="2" t="n">
        <x:f>R393</x:f>
        <x:v>0</x:v>
      </x:c>
      <x:c r="P393" s="2"/>
      <x:c r="Q393" s="2" t="n">
        <x:v>1</x:v>
      </x:c>
      <x:c r="R393" s="2" t="n">
        <x:f>IF(A393,1,0)</x:f>
        <x:v>0</x:v>
      </x:c>
      <x:c r="S393" s="2" t="n">
        <x:f>SUBTOTAL(103,N393)</x:f>
        <x:v>1</x:v>
      </x:c>
    </x:row>
    <x:row r="394" ht="42" customHeight="1">
      <x:c r="A394" s="28" t="b">
        <x:v>0</x:v>
      </x:c>
      <x:c r="B394" s="2" t="str">
        <x:v>Cycle 3</x:v>
      </x:c>
      <x:c r="C394" s="2" t="str">
        <x:v>Phase 1</x:v>
      </x:c>
      <x:c r="D394" s="2" t="str">
        <x:v>PLL</x:v>
      </x:c>
      <x:c r="E394" s="56" t="str">
        <x:v>DI.PL.1.5</x:v>
      </x:c>
      <x:c r="F394" s="14" t="str">
        <x:v>Confirm with Research the recommended topic for approval</x:v>
      </x:c>
      <x:c r="G394" s="5"/>
      <x:c r="H394" s="11"/>
      <x:c r="I394" s="11" t="n">
        <x:f>'Cycles &amp; Guide'!$D$12</x:f>
        <x:v>46295</x:v>
      </x:c>
      <x:c r="J394" s="11"/>
      <x:c r="K394" s="29"/>
      <x:c r="L394" s="2" t="str">
        <x:f>IF(O394=1,"Complete",IF(A394,"Checklist open",IF(H394&lt;&gt;"","In progress","Not started")))</x:f>
        <x:v>Not started</x:v>
      </x:c>
      <x:c r="M394" s="2" t="str">
        <x:v>Task</x:v>
      </x:c>
      <x:c r="N394" s="2" t="str">
        <x:v>DI.PL.1.5.2026.CY3</x:v>
      </x:c>
      <x:c r="O394" s="2" t="n">
        <x:f>R394</x:f>
        <x:v>0</x:v>
      </x:c>
      <x:c r="P394" s="2"/>
      <x:c r="Q394" s="2" t="n">
        <x:v>1</x:v>
      </x:c>
      <x:c r="R394" s="2" t="n">
        <x:f>IF(A394,1,0)</x:f>
        <x:v>0</x:v>
      </x:c>
      <x:c r="S394" s="2" t="n">
        <x:f>SUBTOTAL(103,N394)</x:f>
        <x:v>1</x:v>
      </x:c>
    </x:row>
    <x:row r="395" ht="42" customHeight="1">
      <x:c r="A395" s="28" t="b">
        <x:v>0</x:v>
      </x:c>
      <x:c r="B395" s="2" t="str">
        <x:v>Cycle 3</x:v>
      </x:c>
      <x:c r="C395" s="2" t="str">
        <x:v>Phase 1</x:v>
      </x:c>
      <x:c r="D395" s="2" t="str">
        <x:v>PLL</x:v>
      </x:c>
      <x:c r="E395" s="56" t="str">
        <x:v>DI.PL.1.6</x:v>
      </x:c>
      <x:c r="F395" s="14" t="str">
        <x:v>Send topic selection socialization email to all key stakeholders on the first day of the review Cycle</x:v>
      </x:c>
      <x:c r="G395" s="5"/>
      <x:c r="H395" s="11"/>
      <x:c r="I395" s="11" t="n">
        <x:f>'Cycles &amp; Guide'!$C$12</x:f>
        <x:v>46204</x:v>
      </x:c>
      <x:c r="J395" s="11"/>
      <x:c r="K395" s="29"/>
      <x:c r="L395" s="2" t="str">
        <x:f>IF(O395=1,"Complete",IF(A395,"Checklist open",IF(H395&lt;&gt;"","In progress","Not started")))</x:f>
        <x:v>Not started</x:v>
      </x:c>
      <x:c r="M395" s="2" t="str">
        <x:v>Task</x:v>
      </x:c>
      <x:c r="N395" s="2" t="str">
        <x:v>DI.PL.1.6.2026.CY3</x:v>
      </x:c>
      <x:c r="O395" s="2" t="n">
        <x:f>R395</x:f>
        <x:v>0</x:v>
      </x:c>
      <x:c r="P395" s="2"/>
      <x:c r="Q395" s="2" t="n">
        <x:v>1</x:v>
      </x:c>
      <x:c r="R395" s="2" t="n">
        <x:f>IF(A395,1,0)</x:f>
        <x:v>0</x:v>
      </x:c>
      <x:c r="S395" s="2" t="n">
        <x:f>SUBTOTAL(103,N395)</x:f>
        <x:v>1</x:v>
      </x:c>
    </x:row>
    <x:row r="396" ht="42" customHeight="1">
      <x:c r="A396" s="28" t="b">
        <x:v>0</x:v>
      </x:c>
      <x:c r="B396" s="2" t="str">
        <x:v>Cycle 3</x:v>
      </x:c>
      <x:c r="C396" s="2" t="str">
        <x:v>Phase 2</x:v>
      </x:c>
      <x:c r="D396" s="2" t="str">
        <x:v>PLL</x:v>
      </x:c>
      <x:c r="E396" s="56" t="str">
        <x:v>DI.PL.2.1</x:v>
      </x:c>
      <x:c r="F396" s="14" t="str">
        <x:v>Meet regularly with Research to stay informed on progress, findings, and potential enhancement</x:v>
      </x:c>
      <x:c r="G396" s="5"/>
      <x:c r="H396" s="11"/>
      <x:c r="I396" s="11" t="n">
        <x:f>'Cycles &amp; Guide'!$D$12</x:f>
        <x:v>46295</x:v>
      </x:c>
      <x:c r="J396" s="11"/>
      <x:c r="K396" s="29"/>
      <x:c r="L396" s="2" t="str">
        <x:f>IF(O396=1,"Complete",IF(A396,"Checklist open",IF(H396&lt;&gt;"","In progress","Not started")))</x:f>
        <x:v>Not started</x:v>
      </x:c>
      <x:c r="M396" s="2" t="str">
        <x:v>Task</x:v>
      </x:c>
      <x:c r="N396" s="2" t="str">
        <x:v>DI.PL.2.1.2026.CY3</x:v>
      </x:c>
      <x:c r="O396" s="2" t="n">
        <x:f>R396</x:f>
        <x:v>0</x:v>
      </x:c>
      <x:c r="P396" s="2"/>
      <x:c r="Q396" s="2" t="n">
        <x:v>1</x:v>
      </x:c>
      <x:c r="R396" s="2" t="n">
        <x:f>IF(A396,1,0)</x:f>
        <x:v>0</x:v>
      </x:c>
      <x:c r="S396" s="2" t="n">
        <x:f>SUBTOTAL(103,N396)</x:f>
        <x:v>1</x:v>
      </x:c>
    </x:row>
    <x:row r="397" ht="42" customHeight="1">
      <x:c r="A397" s="28" t="b">
        <x:v>0</x:v>
      </x:c>
      <x:c r="B397" s="2" t="str">
        <x:v>Cycle 3</x:v>
      </x:c>
      <x:c r="C397" s="2" t="str">
        <x:v>Phase 2</x:v>
      </x:c>
      <x:c r="D397" s="2" t="str">
        <x:v>PLL</x:v>
      </x:c>
      <x:c r="E397" s="56" t="str">
        <x:v>DI.PL.2.2</x:v>
      </x:c>
      <x:c r="F397" s="14" t="str">
        <x:v>Collaborate with Research on research plan specifics</x:v>
      </x:c>
      <x:c r="G397" s="5"/>
      <x:c r="H397" s="11"/>
      <x:c r="I397" s="11" t="n">
        <x:f>'Cycles &amp; Guide'!$D$12</x:f>
        <x:v>46295</x:v>
      </x:c>
      <x:c r="J397" s="11"/>
      <x:c r="K397" s="29"/>
      <x:c r="L397" s="2" t="str">
        <x:f>IF(O397=1,"Complete",IF(A397,"Checklist open",IF(H397&lt;&gt;"","In progress","Not started")))</x:f>
        <x:v>Not started</x:v>
      </x:c>
      <x:c r="M397" s="2" t="str">
        <x:v>Task</x:v>
      </x:c>
      <x:c r="N397" s="2" t="str">
        <x:v>DI.PL.2.2.2026.CY3</x:v>
      </x:c>
      <x:c r="O397" s="2" t="n">
        <x:f>R397</x:f>
        <x:v>0</x:v>
      </x:c>
      <x:c r="P397" s="2"/>
      <x:c r="Q397" s="2" t="n">
        <x:v>1</x:v>
      </x:c>
      <x:c r="R397" s="2" t="n">
        <x:f>IF(A397,1,0)</x:f>
        <x:v>0</x:v>
      </x:c>
      <x:c r="S397" s="2" t="n">
        <x:f>SUBTOTAL(103,N397)</x:f>
        <x:v>1</x:v>
      </x:c>
    </x:row>
    <x:row r="398" ht="42" customHeight="1">
      <x:c r="A398" s="28" t="b">
        <x:v>0</x:v>
      </x:c>
      <x:c r="B398" s="2" t="str">
        <x:v>Cycle 3</x:v>
      </x:c>
      <x:c r="C398" s="2" t="str">
        <x:v>Phase 2</x:v>
      </x:c>
      <x:c r="D398" s="2" t="str">
        <x:v>PLL</x:v>
      </x:c>
      <x:c r="E398" s="56" t="str">
        <x:v>DI.PL.2.3</x:v>
      </x:c>
      <x:c r="F398" s="14" t="str">
        <x:v>Participate in SME insight meetings to gain perspective and appetite on potential enhancements</x:v>
      </x:c>
      <x:c r="G398" s="5"/>
      <x:c r="H398" s="11"/>
      <x:c r="I398" s="11" t="n">
        <x:f>'Cycles &amp; Guide'!$D$12</x:f>
        <x:v>46295</x:v>
      </x:c>
      <x:c r="J398" s="11"/>
      <x:c r="K398" s="29"/>
      <x:c r="L398" s="2" t="str">
        <x:f>IF(O398=1,"Complete",IF(A398,"Checklist open",IF(H398&lt;&gt;"","In progress","Not started")))</x:f>
        <x:v>Not started</x:v>
      </x:c>
      <x:c r="M398" s="2" t="str">
        <x:v>Task</x:v>
      </x:c>
      <x:c r="N398" s="2" t="str">
        <x:v>DI.PL.2.3.2026.CY3</x:v>
      </x:c>
      <x:c r="O398" s="2" t="n">
        <x:f>R398</x:f>
        <x:v>0</x:v>
      </x:c>
      <x:c r="P398" s="2"/>
      <x:c r="Q398" s="2" t="n">
        <x:v>1</x:v>
      </x:c>
      <x:c r="R398" s="2" t="n">
        <x:f>IF(A398,1,0)</x:f>
        <x:v>0</x:v>
      </x:c>
      <x:c r="S398" s="2" t="n">
        <x:f>SUBTOTAL(103,N398)</x:f>
        <x:v>1</x:v>
      </x:c>
    </x:row>
    <x:row r="399" ht="42" customHeight="1">
      <x:c r="A399" s="28" t="b">
        <x:v>0</x:v>
      </x:c>
      <x:c r="B399" s="2" t="str">
        <x:v>Cycle 3</x:v>
      </x:c>
      <x:c r="C399" s="2" t="str">
        <x:v>Phase 2</x:v>
      </x:c>
      <x:c r="D399" s="2" t="str">
        <x:v>PLL</x:v>
      </x:c>
      <x:c r="E399" s="56" t="str">
        <x:v>DI.PL.2.4</x:v>
      </x:c>
      <x:c r="F399" s="14" t="str">
        <x:v>Begin development of presentation materials as Research is being completed</x:v>
      </x:c>
      <x:c r="G399" s="5"/>
      <x:c r="H399" s="11"/>
      <x:c r="I399" s="11" t="n">
        <x:f>'Cycles &amp; Guide'!$D$12</x:f>
        <x:v>46295</x:v>
      </x:c>
      <x:c r="J399" s="11"/>
      <x:c r="K399" s="29"/>
      <x:c r="L399" s="2" t="str">
        <x:f>IF(O399=1,"Complete",IF(A399,"Checklist open",IF(H399&lt;&gt;"","In progress","Not started")))</x:f>
        <x:v>Not started</x:v>
      </x:c>
      <x:c r="M399" s="2" t="str">
        <x:v>Task</x:v>
      </x:c>
      <x:c r="N399" s="2" t="str">
        <x:v>DI.PL.2.4.2026.CY3</x:v>
      </x:c>
      <x:c r="O399" s="2" t="n">
        <x:f>R399</x:f>
        <x:v>0</x:v>
      </x:c>
      <x:c r="P399" s="2"/>
      <x:c r="Q399" s="2" t="n">
        <x:v>1</x:v>
      </x:c>
      <x:c r="R399" s="2" t="n">
        <x:f>IF(A399,1,0)</x:f>
        <x:v>0</x:v>
      </x:c>
      <x:c r="S399" s="2" t="n">
        <x:f>SUBTOTAL(103,N399)</x:f>
        <x:v>1</x:v>
      </x:c>
    </x:row>
    <x:row r="400" ht="42" customHeight="1">
      <x:c r="A400" s="28" t="b">
        <x:v>0</x:v>
      </x:c>
      <x:c r="B400" s="2" t="str">
        <x:v>Cycle 3</x:v>
      </x:c>
      <x:c r="C400" s="2" t="str">
        <x:v>Phase 2</x:v>
      </x:c>
      <x:c r="D400" s="2" t="str">
        <x:v>PLL</x:v>
      </x:c>
      <x:c r="E400" s="56" t="str">
        <x:v>DI.PL.2.5</x:v>
      </x:c>
      <x:c r="F400" s="14" t="str">
        <x:v>Draft initial enhancement recommendations (as applicable)</x:v>
      </x:c>
      <x:c r="G400" s="5"/>
      <x:c r="H400" s="11"/>
      <x:c r="I400" s="11" t="n">
        <x:f>'Cycles &amp; Guide'!$D$12</x:f>
        <x:v>46295</x:v>
      </x:c>
      <x:c r="J400" s="11"/>
      <x:c r="K400" s="29"/>
      <x:c r="L400" s="2" t="str">
        <x:f>IF(O400=1,"Complete",IF(A400,"Checklist open",IF(H400&lt;&gt;"","In progress","Not started")))</x:f>
        <x:v>Not started</x:v>
      </x:c>
      <x:c r="M400" s="2" t="str">
        <x:v>Task</x:v>
      </x:c>
      <x:c r="N400" s="2" t="str">
        <x:v>DI.PL.2.5.2026.CY3</x:v>
      </x:c>
      <x:c r="O400" s="2" t="n">
        <x:f>R400</x:f>
        <x:v>0</x:v>
      </x:c>
      <x:c r="P400" s="2"/>
      <x:c r="Q400" s="2" t="n">
        <x:v>1</x:v>
      </x:c>
      <x:c r="R400" s="2" t="n">
        <x:f>IF(A400,1,0)</x:f>
        <x:v>0</x:v>
      </x:c>
      <x:c r="S400" s="2" t="n">
        <x:f>SUBTOTAL(103,N400)</x:f>
        <x:v>1</x:v>
      </x:c>
    </x:row>
    <x:row r="401" ht="42" customHeight="1">
      <x:c r="A401" s="28" t="b">
        <x:v>0</x:v>
      </x:c>
      <x:c r="B401" s="2" t="str">
        <x:v>Cycle 3</x:v>
      </x:c>
      <x:c r="C401" s="2" t="str">
        <x:v>Phase 2</x:v>
      </x:c>
      <x:c r="D401" s="2" t="str">
        <x:v>PLL</x:v>
      </x:c>
      <x:c r="E401" s="56" t="str">
        <x:v>DI.PL.2.6</x:v>
      </x:c>
      <x:c r="F401" s="14" t="str">
        <x:v>Finalize presentation deck draft at conclusion of Research phase</x:v>
      </x:c>
      <x:c r="G401" s="5"/>
      <x:c r="H401" s="11"/>
      <x:c r="I401" s="11" t="n">
        <x:f>'Cycles &amp; Guide'!$D$12</x:f>
        <x:v>46295</x:v>
      </x:c>
      <x:c r="J401" s="11"/>
      <x:c r="K401" s="29"/>
      <x:c r="L401" s="2" t="str">
        <x:f>IF(O401=1,"Complete",IF(A401,"Checklist open",IF(H401&lt;&gt;"","In progress","Not started")))</x:f>
        <x:v>Not started</x:v>
      </x:c>
      <x:c r="M401" s="2" t="str">
        <x:v>Task</x:v>
      </x:c>
      <x:c r="N401" s="2" t="str">
        <x:v>DI.PL.2.6.2026.CY3</x:v>
      </x:c>
      <x:c r="O401" s="2" t="n">
        <x:f>R401</x:f>
        <x:v>0</x:v>
      </x:c>
      <x:c r="P401" s="2"/>
      <x:c r="Q401" s="2" t="n">
        <x:v>1</x:v>
      </x:c>
      <x:c r="R401" s="2" t="n">
        <x:f>IF(A401,1,0)</x:f>
        <x:v>0</x:v>
      </x:c>
      <x:c r="S401" s="2" t="n">
        <x:f>SUBTOTAL(103,N401)</x:f>
        <x:v>1</x:v>
      </x:c>
    </x:row>
    <x:row r="402" ht="42" customHeight="1">
      <x:c r="A402" s="28" t="b">
        <x:v>0</x:v>
      </x:c>
      <x:c r="B402" s="2" t="str">
        <x:v>Cycle 3</x:v>
      </x:c>
      <x:c r="C402" s="2" t="str">
        <x:v>Phase 2</x:v>
      </x:c>
      <x:c r="D402" s="2" t="str">
        <x:v>PLL</x:v>
      </x:c>
      <x:c r="E402" s="56" t="str">
        <x:v>DI.PL.2.7</x:v>
      </x:c>
      <x:c r="F402" s="14" t="str">
        <x:v>Update Outcome portion of research plan with current enhancement verbiage (as needed)</x:v>
      </x:c>
      <x:c r="G402" s="5"/>
      <x:c r="H402" s="11"/>
      <x:c r="I402" s="11" t="n">
        <x:f>'Cycles &amp; Guide'!$D$12</x:f>
        <x:v>46295</x:v>
      </x:c>
      <x:c r="J402" s="11"/>
      <x:c r="K402" s="29"/>
      <x:c r="L402" s="2" t="str">
        <x:f>IF(O402=1,"Complete",IF(A402,"Checklist open",IF(H402&lt;&gt;"","In progress","Not started")))</x:f>
        <x:v>Not started</x:v>
      </x:c>
      <x:c r="M402" s="2" t="str">
        <x:v>Task</x:v>
      </x:c>
      <x:c r="N402" s="2" t="str">
        <x:v>DI.PL.2.7.2026.CY3</x:v>
      </x:c>
      <x:c r="O402" s="2" t="n">
        <x:f>R402</x:f>
        <x:v>0</x:v>
      </x:c>
      <x:c r="P402" s="2"/>
      <x:c r="Q402" s="2" t="n">
        <x:v>1</x:v>
      </x:c>
      <x:c r="R402" s="2" t="n">
        <x:f>IF(A402,1,0)</x:f>
        <x:v>0</x:v>
      </x:c>
      <x:c r="S402" s="2" t="n">
        <x:f>SUBTOTAL(103,N402)</x:f>
        <x:v>1</x:v>
      </x:c>
    </x:row>
    <x:row r="403" ht="42" customHeight="1">
      <x:c r="A403" s="28" t="b">
        <x:v>0</x:v>
      </x:c>
      <x:c r="B403" s="2" t="str">
        <x:v>Cycle 3</x:v>
      </x:c>
      <x:c r="C403" s="2" t="str">
        <x:v>Phase 3</x:v>
      </x:c>
      <x:c r="D403" s="2" t="str">
        <x:v>PLL</x:v>
      </x:c>
      <x:c r="E403" s="56" t="str">
        <x:v>DI.PL.3.1</x:v>
      </x:c>
      <x:c r="F403" s="14" t="str">
        <x:v>Confirm list of required &amp; optional attendees for pre-socialization meeting</x:v>
      </x:c>
      <x:c r="G403" s="5"/>
      <x:c r="H403" s="11"/>
      <x:c r="I403" s="11" t="n">
        <x:f>'Cycles &amp; Guide'!$D$12</x:f>
        <x:v>46295</x:v>
      </x:c>
      <x:c r="J403" s="11"/>
      <x:c r="K403" s="29"/>
      <x:c r="L403" s="2" t="str">
        <x:f>IF(O403=1,"Complete",IF(A403,"Checklist open",IF(H403&lt;&gt;"","In progress","Not started")))</x:f>
        <x:v>Not started</x:v>
      </x:c>
      <x:c r="M403" s="2" t="str">
        <x:v>Task</x:v>
      </x:c>
      <x:c r="N403" s="2" t="str">
        <x:v>DI.PL.3.1.2026.CY3</x:v>
      </x:c>
      <x:c r="O403" s="2" t="n">
        <x:f>R403</x:f>
        <x:v>0</x:v>
      </x:c>
      <x:c r="P403" s="2"/>
      <x:c r="Q403" s="2" t="n">
        <x:v>1</x:v>
      </x:c>
      <x:c r="R403" s="2" t="n">
        <x:f>IF(A403,1,0)</x:f>
        <x:v>0</x:v>
      </x:c>
      <x:c r="S403" s="2" t="n">
        <x:f>SUBTOTAL(103,N403)</x:f>
        <x:v>1</x:v>
      </x:c>
    </x:row>
    <x:row r="404" ht="42" customHeight="1">
      <x:c r="A404" s="28" t="b">
        <x:v>0</x:v>
      </x:c>
      <x:c r="B404" s="2" t="str">
        <x:v>Cycle 3</x:v>
      </x:c>
      <x:c r="C404" s="2" t="str">
        <x:v>Phase 3</x:v>
      </x:c>
      <x:c r="D404" s="2" t="str">
        <x:v>PLL</x:v>
      </x:c>
      <x:c r="E404" s="56" t="str">
        <x:v>DI.PL.3.2</x:v>
      </x:c>
      <x:c r="F404" s="14" t="str">
        <x:v>Schedule pre-socialization meeting 1 week prior to RCA Forum</x:v>
      </x:c>
      <x:c r="G404" s="5"/>
      <x:c r="H404" s="11"/>
      <x:c r="I404" s="11" t="str">
        <x:f>IF(SUMIFS('Cycles &amp; Guide'!$D$23:$D$50,'Cycles &amp; Guide'!$B$23:$B$50,B404,'Cycles &amp; Guide'!$C$23:$C$50,D404)=0,"",SUMIFS('Cycles &amp; Guide'!$D$23:$D$50,'Cycles &amp; Guide'!$B$23:$B$50,B404,'Cycles &amp; Guide'!$C$23:$C$50,D404)-7)</x:f>
      </x:c>
      <x:c r="J404" s="11"/>
      <x:c r="K404" s="29"/>
      <x:c r="L404" s="2" t="str">
        <x:f>IF(O404=1,"Complete",IF(A404,"Checklist open",IF(H404&lt;&gt;"","In progress","Not started")))</x:f>
        <x:v>Not started</x:v>
      </x:c>
      <x:c r="M404" s="2" t="str">
        <x:v>Task</x:v>
      </x:c>
      <x:c r="N404" s="2" t="str">
        <x:v>DI.PL.3.2.2026.CY3</x:v>
      </x:c>
      <x:c r="O404" s="2" t="n">
        <x:f>R404</x:f>
        <x:v>0</x:v>
      </x:c>
      <x:c r="P404" s="2"/>
      <x:c r="Q404" s="2" t="n">
        <x:v>1</x:v>
      </x:c>
      <x:c r="R404" s="2" t="n">
        <x:f>IF(A404,1,0)</x:f>
        <x:v>0</x:v>
      </x:c>
      <x:c r="S404" s="2" t="n">
        <x:f>SUBTOTAL(103,N404)</x:f>
        <x:v>1</x:v>
      </x:c>
    </x:row>
    <x:row r="405" ht="42" customHeight="1">
      <x:c r="A405" s="28" t="b">
        <x:v>0</x:v>
      </x:c>
      <x:c r="B405" s="2" t="str">
        <x:v>Cycle 3</x:v>
      </x:c>
      <x:c r="C405" s="2" t="str">
        <x:v>Phase 3</x:v>
      </x:c>
      <x:c r="D405" s="2" t="str">
        <x:v>PLL</x:v>
      </x:c>
      <x:c r="E405" s="56" t="str">
        <x:v>DI.PL.3.3</x:v>
      </x:c>
      <x:c r="F405" s="14" t="str">
        <x:v>Present findings, conclusions, and recommendation to SMEs</x:v>
      </x:c>
      <x:c r="G405" s="5"/>
      <x:c r="H405" s="11"/>
      <x:c r="I405" s="11" t="n">
        <x:f>'Cycles &amp; Guide'!$D$12</x:f>
        <x:v>46295</x:v>
      </x:c>
      <x:c r="J405" s="11"/>
      <x:c r="K405" s="29"/>
      <x:c r="L405" s="2" t="str">
        <x:f>IF(O405=1,"Complete",IF(A405,"Checklist open",IF(H405&lt;&gt;"","In progress","Not started")))</x:f>
        <x:v>Not started</x:v>
      </x:c>
      <x:c r="M405" s="2" t="str">
        <x:v>Task</x:v>
      </x:c>
      <x:c r="N405" s="2" t="str">
        <x:v>DI.PL.3.3.2026.CY3</x:v>
      </x:c>
      <x:c r="O405" s="2" t="n">
        <x:f>R405</x:f>
        <x:v>0</x:v>
      </x:c>
      <x:c r="P405" s="2"/>
      <x:c r="Q405" s="2" t="n">
        <x:v>1</x:v>
      </x:c>
      <x:c r="R405" s="2" t="n">
        <x:f>IF(A405,1,0)</x:f>
        <x:v>0</x:v>
      </x:c>
      <x:c r="S405" s="2" t="n">
        <x:f>SUBTOTAL(103,N405)</x:f>
        <x:v>1</x:v>
      </x:c>
    </x:row>
    <x:row r="406" ht="42" customHeight="1">
      <x:c r="A406" s="28" t="b">
        <x:v>0</x:v>
      </x:c>
      <x:c r="B406" s="2" t="str">
        <x:v>Cycle 3</x:v>
      </x:c>
      <x:c r="C406" s="2" t="str">
        <x:v>Phase 3</x:v>
      </x:c>
      <x:c r="D406" s="2" t="str">
        <x:v>PLL</x:v>
      </x:c>
      <x:c r="E406" s="56" t="str">
        <x:v>DI.PL.3.4</x:v>
      </x:c>
      <x:c r="F406" s="14" t="str">
        <x:v>Update Outcome portion of research plan (as needed)</x:v>
      </x:c>
      <x:c r="G406" s="5"/>
      <x:c r="H406" s="11"/>
      <x:c r="I406" s="11" t="n">
        <x:f>'Cycles &amp; Guide'!$D$12</x:f>
        <x:v>46295</x:v>
      </x:c>
      <x:c r="J406" s="11"/>
      <x:c r="K406" s="29"/>
      <x:c r="L406" s="2" t="str">
        <x:f>IF(O406=1,"Complete",IF(A406,"Checklist open",IF(H406&lt;&gt;"","In progress","Not started")))</x:f>
        <x:v>Not started</x:v>
      </x:c>
      <x:c r="M406" s="2" t="str">
        <x:v>Task</x:v>
      </x:c>
      <x:c r="N406" s="2" t="str">
        <x:v>DI.PL.3.4.2026.CY3</x:v>
      </x:c>
      <x:c r="O406" s="2" t="n">
        <x:f>R406</x:f>
        <x:v>0</x:v>
      </x:c>
      <x:c r="P406" s="2"/>
      <x:c r="Q406" s="2" t="n">
        <x:v>1</x:v>
      </x:c>
      <x:c r="R406" s="2" t="n">
        <x:f>IF(A406,1,0)</x:f>
        <x:v>0</x:v>
      </x:c>
      <x:c r="S406" s="2" t="n">
        <x:f>SUBTOTAL(103,N406)</x:f>
        <x:v>1</x:v>
      </x:c>
    </x:row>
    <x:row r="407" ht="42" customHeight="1">
      <x:c r="A407" s="28" t="b">
        <x:v>0</x:v>
      </x:c>
      <x:c r="B407" s="2" t="str">
        <x:v>Cycle 3</x:v>
      </x:c>
      <x:c r="C407" s="2" t="str">
        <x:v>Phase 3</x:v>
      </x:c>
      <x:c r="D407" s="2" t="str">
        <x:v>PLL</x:v>
      </x:c>
      <x:c r="E407" s="56" t="str">
        <x:v>DI.PL.3.5</x:v>
      </x:c>
      <x:c r="F407" s="14" t="str">
        <x:v>Finalize presentation deck by incorporating pre-socialization feedback (as needed)</x:v>
      </x:c>
      <x:c r="G407" s="5"/>
      <x:c r="H407" s="11"/>
      <x:c r="I407" s="11" t="n">
        <x:f>'Cycles &amp; Guide'!$D$12</x:f>
        <x:v>46295</x:v>
      </x:c>
      <x:c r="J407" s="11"/>
      <x:c r="K407" s="29"/>
      <x:c r="L407" s="2" t="str">
        <x:f>IF(O407=1,"Complete",IF(A407,"Checklist open",IF(H407&lt;&gt;"","In progress","Not started")))</x:f>
        <x:v>Not started</x:v>
      </x:c>
      <x:c r="M407" s="2" t="str">
        <x:v>Task</x:v>
      </x:c>
      <x:c r="N407" s="2" t="str">
        <x:v>DI.PL.3.5.2026.CY3</x:v>
      </x:c>
      <x:c r="O407" s="2" t="n">
        <x:f>R407</x:f>
        <x:v>0</x:v>
      </x:c>
      <x:c r="P407" s="2"/>
      <x:c r="Q407" s="2" t="n">
        <x:v>1</x:v>
      </x:c>
      <x:c r="R407" s="2" t="n">
        <x:f>IF(A407,1,0)</x:f>
        <x:v>0</x:v>
      </x:c>
      <x:c r="S407" s="2" t="n">
        <x:f>SUBTOTAL(103,N407)</x:f>
        <x:v>1</x:v>
      </x:c>
    </x:row>
    <x:row r="408" ht="42" customHeight="1">
      <x:c r="A408" s="28" t="b">
        <x:v>0</x:v>
      </x:c>
      <x:c r="B408" s="2" t="str">
        <x:v>Cycle 3</x:v>
      </x:c>
      <x:c r="C408" s="2" t="str">
        <x:v>Phase 3</x:v>
      </x:c>
      <x:c r="D408" s="2" t="str">
        <x:v>PLL</x:v>
      </x:c>
      <x:c r="E408" s="56" t="str">
        <x:v>DI.PL.3.6</x:v>
      </x:c>
      <x:c r="F408" s="14" t="str">
        <x:v>Ensure final deck is communicated to Forum attendees</x:v>
      </x:c>
      <x:c r="G408" s="5"/>
      <x:c r="H408" s="11"/>
      <x:c r="I408" s="11" t="n">
        <x:f>'Cycles &amp; Guide'!$D$12</x:f>
        <x:v>46295</x:v>
      </x:c>
      <x:c r="J408" s="11"/>
      <x:c r="K408" s="29"/>
      <x:c r="L408" s="2" t="str">
        <x:f>IF(O408=1,"Complete",IF(A408,"Checklist open",IF(H408&lt;&gt;"","In progress","Not started")))</x:f>
        <x:v>Not started</x:v>
      </x:c>
      <x:c r="M408" s="2" t="str">
        <x:v>Task</x:v>
      </x:c>
      <x:c r="N408" s="2" t="str">
        <x:v>DI.PL.3.6.2026.CY3</x:v>
      </x:c>
      <x:c r="O408" s="2" t="n">
        <x:f>R408</x:f>
        <x:v>0</x:v>
      </x:c>
      <x:c r="P408" s="2"/>
      <x:c r="Q408" s="2" t="n">
        <x:v>1</x:v>
      </x:c>
      <x:c r="R408" s="2" t="n">
        <x:f>IF(A408,1,0)</x:f>
        <x:v>0</x:v>
      </x:c>
      <x:c r="S408" s="2" t="n">
        <x:f>SUBTOTAL(103,N408)</x:f>
        <x:v>1</x:v>
      </x:c>
    </x:row>
    <x:row r="409" ht="42" customHeight="1">
      <x:c r="A409" s="28" t="b">
        <x:v>0</x:v>
      </x:c>
      <x:c r="B409" s="2" t="str">
        <x:v>Cycle 3</x:v>
      </x:c>
      <x:c r="C409" s="2" t="str">
        <x:v>Phase 3</x:v>
      </x:c>
      <x:c r="D409" s="2" t="str">
        <x:v>PLL</x:v>
      </x:c>
      <x:c r="E409" s="56" t="str">
        <x:v>DI.PL.3.7</x:v>
      </x:c>
      <x:c r="F409" s="14" t="str">
        <x:v>Present material in RCA Cycle Forum</x:v>
      </x:c>
      <x:c r="G409" s="5"/>
      <x:c r="H409" s="11"/>
      <x:c r="I409" s="11" t="str">
        <x:f>IF(SUMIFS('Cycles &amp; Guide'!$D$23:$D$50,'Cycles &amp; Guide'!$B$23:$B$50,B409,'Cycles &amp; Guide'!$C$23:$C$50,D409)=0,"",SUMIFS('Cycles &amp; Guide'!$D$23:$D$50,'Cycles &amp; Guide'!$B$23:$B$50,B409,'Cycles &amp; Guide'!$C$23:$C$50,D409))</x:f>
      </x:c>
      <x:c r="J409" s="11"/>
      <x:c r="K409" s="29"/>
      <x:c r="L409" s="2" t="str">
        <x:f>IF(O409=1,"Complete",IF(A409,"Checklist open",IF(H409&lt;&gt;"","In progress","Not started")))</x:f>
        <x:v>Not started</x:v>
      </x:c>
      <x:c r="M409" s="2" t="str">
        <x:v>Task</x:v>
      </x:c>
      <x:c r="N409" s="2" t="str">
        <x:v>DI.PL.3.7.2026.CY3</x:v>
      </x:c>
      <x:c r="O409" s="2" t="n">
        <x:f>R409</x:f>
        <x:v>0</x:v>
      </x:c>
      <x:c r="P409" s="2"/>
      <x:c r="Q409" s="2" t="n">
        <x:v>1</x:v>
      </x:c>
      <x:c r="R409" s="2" t="n">
        <x:f>IF(A409,1,0)</x:f>
        <x:v>0</x:v>
      </x:c>
      <x:c r="S409" s="2" t="n">
        <x:f>SUBTOTAL(103,N409)</x:f>
        <x:v>1</x:v>
      </x:c>
    </x:row>
    <x:row r="410" ht="42" customHeight="1">
      <x:c r="A410" s="28" t="b">
        <x:v>0</x:v>
      </x:c>
      <x:c r="B410" s="2" t="str">
        <x:v>Cycle 3</x:v>
      </x:c>
      <x:c r="C410" s="2" t="str">
        <x:v>Phase 1</x:v>
      </x:c>
      <x:c r="D410" s="2" t="str">
        <x:v>Retail Services</x:v>
      </x:c>
      <x:c r="E410" s="56" t="str">
        <x:v>DI.RS.1.1</x:v>
      </x:c>
      <x:c r="F410" s="14" t="str">
        <x:v>Receive and review potential research topics at least 2 weeks prior to Cycle start date</x:v>
      </x:c>
      <x:c r="G410" s="5"/>
      <x:c r="H410" s="11"/>
      <x:c r="I410" s="11" t="n">
        <x:f>'Cycles &amp; Guide'!$C$12-14</x:f>
        <x:v>46190</x:v>
      </x:c>
      <x:c r="J410" s="11"/>
      <x:c r="K410" s="29"/>
      <x:c r="L410" s="2" t="str">
        <x:f>IF(O410=1,"Complete",IF(A410,"Checklist open",IF(H410&lt;&gt;"","In progress","Not started")))</x:f>
        <x:v>Not started</x:v>
      </x:c>
      <x:c r="M410" s="2" t="str">
        <x:v>Task</x:v>
      </x:c>
      <x:c r="N410" s="2" t="str">
        <x:v>DI.RS.1.1.2026.CY3</x:v>
      </x:c>
      <x:c r="O410" s="2" t="n">
        <x:f>R410</x:f>
        <x:v>0</x:v>
      </x:c>
      <x:c r="P410" s="2"/>
      <x:c r="Q410" s="2" t="n">
        <x:v>1</x:v>
      </x:c>
      <x:c r="R410" s="2" t="n">
        <x:f>IF(A410,1,0)</x:f>
        <x:v>0</x:v>
      </x:c>
      <x:c r="S410" s="2" t="n">
        <x:f>SUBTOTAL(103,N410)</x:f>
        <x:v>1</x:v>
      </x:c>
    </x:row>
    <x:row r="411" ht="42" customHeight="1">
      <x:c r="A411" s="28" t="b">
        <x:v>0</x:v>
      </x:c>
      <x:c r="B411" s="2" t="str">
        <x:v>Cycle 3</x:v>
      </x:c>
      <x:c r="C411" s="2" t="str">
        <x:v>Phase 1</x:v>
      </x:c>
      <x:c r="D411" s="2" t="str">
        <x:v>Retail Services</x:v>
      </x:c>
      <x:c r="E411" s="56" t="str">
        <x:v>DI.RS.1.2</x:v>
      </x:c>
      <x:c r="F411" s="14" t="str">
        <x:v>Communicate any feedback on preferences or concerns with topics identified</x:v>
      </x:c>
      <x:c r="G411" s="5"/>
      <x:c r="H411" s="11"/>
      <x:c r="I411" s="11" t="n">
        <x:f>'Cycles &amp; Guide'!$D$12</x:f>
        <x:v>46295</x:v>
      </x:c>
      <x:c r="J411" s="11"/>
      <x:c r="K411" s="29"/>
      <x:c r="L411" s="2" t="str">
        <x:f>IF(O411=1,"Complete",IF(A411,"Checklist open",IF(H411&lt;&gt;"","In progress","Not started")))</x:f>
        <x:v>Not started</x:v>
      </x:c>
      <x:c r="M411" s="2" t="str">
        <x:v>Task</x:v>
      </x:c>
      <x:c r="N411" s="2" t="str">
        <x:v>DI.RS.1.2.2026.CY3</x:v>
      </x:c>
      <x:c r="O411" s="2" t="n">
        <x:f>R411</x:f>
        <x:v>0</x:v>
      </x:c>
      <x:c r="P411" s="2"/>
      <x:c r="Q411" s="2" t="n">
        <x:v>1</x:v>
      </x:c>
      <x:c r="R411" s="2" t="n">
        <x:f>IF(A411,1,0)</x:f>
        <x:v>0</x:v>
      </x:c>
      <x:c r="S411" s="2" t="n">
        <x:f>SUBTOTAL(103,N411)</x:f>
        <x:v>1</x:v>
      </x:c>
    </x:row>
    <x:row r="412" ht="42" customHeight="1">
      <x:c r="A412" s="28" t="b">
        <x:v>0</x:v>
      </x:c>
      <x:c r="B412" s="2" t="str">
        <x:v>Cycle 3</x:v>
      </x:c>
      <x:c r="C412" s="2" t="str">
        <x:v>Phase 1</x:v>
      </x:c>
      <x:c r="D412" s="2" t="str">
        <x:v>Retail Services</x:v>
      </x:c>
      <x:c r="E412" s="56" t="str">
        <x:v>DI.RS.1.3</x:v>
      </x:c>
      <x:c r="F412" s="14" t="str">
        <x:v>Conduct high-level preliminary review of complaints within proposed topics</x:v>
      </x:c>
      <x:c r="G412" s="5"/>
      <x:c r="H412" s="11"/>
      <x:c r="I412" s="11" t="n">
        <x:f>'Cycles &amp; Guide'!$D$12</x:f>
        <x:v>46295</x:v>
      </x:c>
      <x:c r="J412" s="11"/>
      <x:c r="K412" s="29"/>
      <x:c r="L412" s="2" t="str">
        <x:f>IF(O412=1,"Complete",IF(A412,"Checklist open",IF(H412&lt;&gt;"","In progress","Not started")))</x:f>
        <x:v>Not started</x:v>
      </x:c>
      <x:c r="M412" s="2" t="str">
        <x:v>Task</x:v>
      </x:c>
      <x:c r="N412" s="2" t="str">
        <x:v>DI.RS.1.3.2026.CY3</x:v>
      </x:c>
      <x:c r="O412" s="2" t="n">
        <x:f>R412</x:f>
        <x:v>0</x:v>
      </x:c>
      <x:c r="P412" s="2"/>
      <x:c r="Q412" s="2" t="n">
        <x:v>1</x:v>
      </x:c>
      <x:c r="R412" s="2" t="n">
        <x:f>IF(A412,1,0)</x:f>
        <x:v>0</x:v>
      </x:c>
      <x:c r="S412" s="2" t="n">
        <x:f>SUBTOTAL(103,N412)</x:f>
        <x:v>1</x:v>
      </x:c>
    </x:row>
    <x:row r="413" ht="42" customHeight="1">
      <x:c r="A413" s="28" t="b">
        <x:v>0</x:v>
      </x:c>
      <x:c r="B413" s="2" t="str">
        <x:v>Cycle 3</x:v>
      </x:c>
      <x:c r="C413" s="2" t="str">
        <x:v>Phase 1</x:v>
      </x:c>
      <x:c r="D413" s="2" t="str">
        <x:v>Retail Services</x:v>
      </x:c>
      <x:c r="E413" s="56" t="str">
        <x:v>DI.RS.1.4</x:v>
      </x:c>
      <x:c r="F413" s="14" t="str">
        <x:v>Meet with Research to discuss which topic to select based on potential impact</x:v>
      </x:c>
      <x:c r="G413" s="5"/>
      <x:c r="H413" s="11"/>
      <x:c r="I413" s="11" t="n">
        <x:f>'Cycles &amp; Guide'!$D$12</x:f>
        <x:v>46295</x:v>
      </x:c>
      <x:c r="J413" s="11"/>
      <x:c r="K413" s="29"/>
      <x:c r="L413" s="2" t="str">
        <x:f>IF(O413=1,"Complete",IF(A413,"Checklist open",IF(H413&lt;&gt;"","In progress","Not started")))</x:f>
        <x:v>Not started</x:v>
      </x:c>
      <x:c r="M413" s="2" t="str">
        <x:v>Task</x:v>
      </x:c>
      <x:c r="N413" s="2" t="str">
        <x:v>DI.RS.1.4.2026.CY3</x:v>
      </x:c>
      <x:c r="O413" s="2" t="n">
        <x:f>R413</x:f>
        <x:v>0</x:v>
      </x:c>
      <x:c r="P413" s="2"/>
      <x:c r="Q413" s="2" t="n">
        <x:v>1</x:v>
      </x:c>
      <x:c r="R413" s="2" t="n">
        <x:f>IF(A413,1,0)</x:f>
        <x:v>0</x:v>
      </x:c>
      <x:c r="S413" s="2" t="n">
        <x:f>SUBTOTAL(103,N413)</x:f>
        <x:v>1</x:v>
      </x:c>
    </x:row>
    <x:row r="414" ht="42" customHeight="1">
      <x:c r="A414" s="28" t="b">
        <x:v>0</x:v>
      </x:c>
      <x:c r="B414" s="2" t="str">
        <x:v>Cycle 3</x:v>
      </x:c>
      <x:c r="C414" s="2" t="str">
        <x:v>Phase 1</x:v>
      </x:c>
      <x:c r="D414" s="2" t="str">
        <x:v>Retail Services</x:v>
      </x:c>
      <x:c r="E414" s="56" t="str">
        <x:v>DI.RS.1.5</x:v>
      </x:c>
      <x:c r="F414" s="14" t="str">
        <x:v>Confirm with Research the recommended topic for approval</x:v>
      </x:c>
      <x:c r="G414" s="5"/>
      <x:c r="H414" s="11"/>
      <x:c r="I414" s="11" t="n">
        <x:f>'Cycles &amp; Guide'!$D$12</x:f>
        <x:v>46295</x:v>
      </x:c>
      <x:c r="J414" s="11"/>
      <x:c r="K414" s="29"/>
      <x:c r="L414" s="2" t="str">
        <x:f>IF(O414=1,"Complete",IF(A414,"Checklist open",IF(H414&lt;&gt;"","In progress","Not started")))</x:f>
        <x:v>Not started</x:v>
      </x:c>
      <x:c r="M414" s="2" t="str">
        <x:v>Task</x:v>
      </x:c>
      <x:c r="N414" s="2" t="str">
        <x:v>DI.RS.1.5.2026.CY3</x:v>
      </x:c>
      <x:c r="O414" s="2" t="n">
        <x:f>R414</x:f>
        <x:v>0</x:v>
      </x:c>
      <x:c r="P414" s="2"/>
      <x:c r="Q414" s="2" t="n">
        <x:v>1</x:v>
      </x:c>
      <x:c r="R414" s="2" t="n">
        <x:f>IF(A414,1,0)</x:f>
        <x:v>0</x:v>
      </x:c>
      <x:c r="S414" s="2" t="n">
        <x:f>SUBTOTAL(103,N414)</x:f>
        <x:v>1</x:v>
      </x:c>
    </x:row>
    <x:row r="415" ht="42" customHeight="1">
      <x:c r="A415" s="28" t="b">
        <x:v>0</x:v>
      </x:c>
      <x:c r="B415" s="2" t="str">
        <x:v>Cycle 3</x:v>
      </x:c>
      <x:c r="C415" s="2" t="str">
        <x:v>Phase 1</x:v>
      </x:c>
      <x:c r="D415" s="2" t="str">
        <x:v>Retail Services</x:v>
      </x:c>
      <x:c r="E415" s="56" t="str">
        <x:v>DI.RS.1.6</x:v>
      </x:c>
      <x:c r="F415" s="14" t="str">
        <x:v>Send topic selection socialization email to all key stakeholders on the first day of the review Cycle</x:v>
      </x:c>
      <x:c r="G415" s="5"/>
      <x:c r="H415" s="11"/>
      <x:c r="I415" s="11" t="n">
        <x:f>'Cycles &amp; Guide'!$C$12</x:f>
        <x:v>46204</x:v>
      </x:c>
      <x:c r="J415" s="11"/>
      <x:c r="K415" s="29"/>
      <x:c r="L415" s="2" t="str">
        <x:f>IF(O415=1,"Complete",IF(A415,"Checklist open",IF(H415&lt;&gt;"","In progress","Not started")))</x:f>
        <x:v>Not started</x:v>
      </x:c>
      <x:c r="M415" s="2" t="str">
        <x:v>Task</x:v>
      </x:c>
      <x:c r="N415" s="2" t="str">
        <x:v>DI.RS.1.6.2026.CY3</x:v>
      </x:c>
      <x:c r="O415" s="2" t="n">
        <x:f>R415</x:f>
        <x:v>0</x:v>
      </x:c>
      <x:c r="P415" s="2"/>
      <x:c r="Q415" s="2" t="n">
        <x:v>1</x:v>
      </x:c>
      <x:c r="R415" s="2" t="n">
        <x:f>IF(A415,1,0)</x:f>
        <x:v>0</x:v>
      </x:c>
      <x:c r="S415" s="2" t="n">
        <x:f>SUBTOTAL(103,N415)</x:f>
        <x:v>1</x:v>
      </x:c>
    </x:row>
    <x:row r="416" ht="42" customHeight="1">
      <x:c r="A416" s="28" t="b">
        <x:v>0</x:v>
      </x:c>
      <x:c r="B416" s="2" t="str">
        <x:v>Cycle 3</x:v>
      </x:c>
      <x:c r="C416" s="2" t="str">
        <x:v>Phase 2</x:v>
      </x:c>
      <x:c r="D416" s="2" t="str">
        <x:v>Retail Services</x:v>
      </x:c>
      <x:c r="E416" s="56" t="str">
        <x:v>DI.RS.2.1</x:v>
      </x:c>
      <x:c r="F416" s="14" t="str">
        <x:v>Meet regularly with Research to stay informed on progress, findings, and potential enhancement</x:v>
      </x:c>
      <x:c r="G416" s="5"/>
      <x:c r="H416" s="11"/>
      <x:c r="I416" s="11" t="n">
        <x:f>'Cycles &amp; Guide'!$D$12</x:f>
        <x:v>46295</x:v>
      </x:c>
      <x:c r="J416" s="11"/>
      <x:c r="K416" s="29"/>
      <x:c r="L416" s="2" t="str">
        <x:f>IF(O416=1,"Complete",IF(A416,"Checklist open",IF(H416&lt;&gt;"","In progress","Not started")))</x:f>
        <x:v>Not started</x:v>
      </x:c>
      <x:c r="M416" s="2" t="str">
        <x:v>Task</x:v>
      </x:c>
      <x:c r="N416" s="2" t="str">
        <x:v>DI.RS.2.1.2026.CY3</x:v>
      </x:c>
      <x:c r="O416" s="2" t="n">
        <x:f>R416</x:f>
        <x:v>0</x:v>
      </x:c>
      <x:c r="P416" s="2"/>
      <x:c r="Q416" s="2" t="n">
        <x:v>1</x:v>
      </x:c>
      <x:c r="R416" s="2" t="n">
        <x:f>IF(A416,1,0)</x:f>
        <x:v>0</x:v>
      </x:c>
      <x:c r="S416" s="2" t="n">
        <x:f>SUBTOTAL(103,N416)</x:f>
        <x:v>1</x:v>
      </x:c>
    </x:row>
    <x:row r="417" ht="42" customHeight="1">
      <x:c r="A417" s="28" t="b">
        <x:v>0</x:v>
      </x:c>
      <x:c r="B417" s="2" t="str">
        <x:v>Cycle 3</x:v>
      </x:c>
      <x:c r="C417" s="2" t="str">
        <x:v>Phase 2</x:v>
      </x:c>
      <x:c r="D417" s="2" t="str">
        <x:v>Retail Services</x:v>
      </x:c>
      <x:c r="E417" s="56" t="str">
        <x:v>DI.RS.2.2</x:v>
      </x:c>
      <x:c r="F417" s="14" t="str">
        <x:v>Collaborate with Research on research plan specifics</x:v>
      </x:c>
      <x:c r="G417" s="5"/>
      <x:c r="H417" s="11"/>
      <x:c r="I417" s="11" t="n">
        <x:f>'Cycles &amp; Guide'!$D$12</x:f>
        <x:v>46295</x:v>
      </x:c>
      <x:c r="J417" s="11"/>
      <x:c r="K417" s="29"/>
      <x:c r="L417" s="2" t="str">
        <x:f>IF(O417=1,"Complete",IF(A417,"Checklist open",IF(H417&lt;&gt;"","In progress","Not started")))</x:f>
        <x:v>Not started</x:v>
      </x:c>
      <x:c r="M417" s="2" t="str">
        <x:v>Task</x:v>
      </x:c>
      <x:c r="N417" s="2" t="str">
        <x:v>DI.RS.2.2.2026.CY3</x:v>
      </x:c>
      <x:c r="O417" s="2" t="n">
        <x:f>R417</x:f>
        <x:v>0</x:v>
      </x:c>
      <x:c r="P417" s="2"/>
      <x:c r="Q417" s="2" t="n">
        <x:v>1</x:v>
      </x:c>
      <x:c r="R417" s="2" t="n">
        <x:f>IF(A417,1,0)</x:f>
        <x:v>0</x:v>
      </x:c>
      <x:c r="S417" s="2" t="n">
        <x:f>SUBTOTAL(103,N417)</x:f>
        <x:v>1</x:v>
      </x:c>
    </x:row>
    <x:row r="418" ht="42" customHeight="1">
      <x:c r="A418" s="28" t="b">
        <x:v>0</x:v>
      </x:c>
      <x:c r="B418" s="2" t="str">
        <x:v>Cycle 3</x:v>
      </x:c>
      <x:c r="C418" s="2" t="str">
        <x:v>Phase 2</x:v>
      </x:c>
      <x:c r="D418" s="2" t="str">
        <x:v>Retail Services</x:v>
      </x:c>
      <x:c r="E418" s="56" t="str">
        <x:v>DI.RS.2.3</x:v>
      </x:c>
      <x:c r="F418" s="14" t="str">
        <x:v>Participate in SME insight meetings to gain perspective and appetite on potential enhancements</x:v>
      </x:c>
      <x:c r="G418" s="5"/>
      <x:c r="H418" s="11"/>
      <x:c r="I418" s="11" t="n">
        <x:f>'Cycles &amp; Guide'!$D$12</x:f>
        <x:v>46295</x:v>
      </x:c>
      <x:c r="J418" s="11"/>
      <x:c r="K418" s="29"/>
      <x:c r="L418" s="2" t="str">
        <x:f>IF(O418=1,"Complete",IF(A418,"Checklist open",IF(H418&lt;&gt;"","In progress","Not started")))</x:f>
        <x:v>Not started</x:v>
      </x:c>
      <x:c r="M418" s="2" t="str">
        <x:v>Task</x:v>
      </x:c>
      <x:c r="N418" s="2" t="str">
        <x:v>DI.RS.2.3.2026.CY3</x:v>
      </x:c>
      <x:c r="O418" s="2" t="n">
        <x:f>R418</x:f>
        <x:v>0</x:v>
      </x:c>
      <x:c r="P418" s="2"/>
      <x:c r="Q418" s="2" t="n">
        <x:v>1</x:v>
      </x:c>
      <x:c r="R418" s="2" t="n">
        <x:f>IF(A418,1,0)</x:f>
        <x:v>0</x:v>
      </x:c>
      <x:c r="S418" s="2" t="n">
        <x:f>SUBTOTAL(103,N418)</x:f>
        <x:v>1</x:v>
      </x:c>
    </x:row>
    <x:row r="419" ht="42" customHeight="1">
      <x:c r="A419" s="28" t="b">
        <x:v>0</x:v>
      </x:c>
      <x:c r="B419" s="2" t="str">
        <x:v>Cycle 3</x:v>
      </x:c>
      <x:c r="C419" s="2" t="str">
        <x:v>Phase 2</x:v>
      </x:c>
      <x:c r="D419" s="2" t="str">
        <x:v>Retail Services</x:v>
      </x:c>
      <x:c r="E419" s="56" t="str">
        <x:v>DI.RS.2.4</x:v>
      </x:c>
      <x:c r="F419" s="14" t="str">
        <x:v>Begin development of presentation materials as Research is being completed</x:v>
      </x:c>
      <x:c r="G419" s="5"/>
      <x:c r="H419" s="11"/>
      <x:c r="I419" s="11" t="n">
        <x:f>'Cycles &amp; Guide'!$D$12</x:f>
        <x:v>46295</x:v>
      </x:c>
      <x:c r="J419" s="11"/>
      <x:c r="K419" s="29"/>
      <x:c r="L419" s="2" t="str">
        <x:f>IF(O419=1,"Complete",IF(A419,"Checklist open",IF(H419&lt;&gt;"","In progress","Not started")))</x:f>
        <x:v>Not started</x:v>
      </x:c>
      <x:c r="M419" s="2" t="str">
        <x:v>Task</x:v>
      </x:c>
      <x:c r="N419" s="2" t="str">
        <x:v>DI.RS.2.4.2026.CY3</x:v>
      </x:c>
      <x:c r="O419" s="2" t="n">
        <x:f>R419</x:f>
        <x:v>0</x:v>
      </x:c>
      <x:c r="P419" s="2"/>
      <x:c r="Q419" s="2" t="n">
        <x:v>1</x:v>
      </x:c>
      <x:c r="R419" s="2" t="n">
        <x:f>IF(A419,1,0)</x:f>
        <x:v>0</x:v>
      </x:c>
      <x:c r="S419" s="2" t="n">
        <x:f>SUBTOTAL(103,N419)</x:f>
        <x:v>1</x:v>
      </x:c>
    </x:row>
    <x:row r="420" ht="42" customHeight="1">
      <x:c r="A420" s="28" t="b">
        <x:v>0</x:v>
      </x:c>
      <x:c r="B420" s="2" t="str">
        <x:v>Cycle 3</x:v>
      </x:c>
      <x:c r="C420" s="2" t="str">
        <x:v>Phase 2</x:v>
      </x:c>
      <x:c r="D420" s="2" t="str">
        <x:v>Retail Services</x:v>
      </x:c>
      <x:c r="E420" s="56" t="str">
        <x:v>DI.RS.2.5</x:v>
      </x:c>
      <x:c r="F420" s="14" t="str">
        <x:v>Draft initial enhancement recommendations (as applicable)</x:v>
      </x:c>
      <x:c r="G420" s="5"/>
      <x:c r="H420" s="11"/>
      <x:c r="I420" s="11" t="n">
        <x:f>'Cycles &amp; Guide'!$D$12</x:f>
        <x:v>46295</x:v>
      </x:c>
      <x:c r="J420" s="11"/>
      <x:c r="K420" s="29"/>
      <x:c r="L420" s="2" t="str">
        <x:f>IF(O420=1,"Complete",IF(A420,"Checklist open",IF(H420&lt;&gt;"","In progress","Not started")))</x:f>
        <x:v>Not started</x:v>
      </x:c>
      <x:c r="M420" s="2" t="str">
        <x:v>Task</x:v>
      </x:c>
      <x:c r="N420" s="2" t="str">
        <x:v>DI.RS.2.5.2026.CY3</x:v>
      </x:c>
      <x:c r="O420" s="2" t="n">
        <x:f>R420</x:f>
        <x:v>0</x:v>
      </x:c>
      <x:c r="P420" s="2"/>
      <x:c r="Q420" s="2" t="n">
        <x:v>1</x:v>
      </x:c>
      <x:c r="R420" s="2" t="n">
        <x:f>IF(A420,1,0)</x:f>
        <x:v>0</x:v>
      </x:c>
      <x:c r="S420" s="2" t="n">
        <x:f>SUBTOTAL(103,N420)</x:f>
        <x:v>1</x:v>
      </x:c>
    </x:row>
    <x:row r="421" ht="42" customHeight="1">
      <x:c r="A421" s="28" t="b">
        <x:v>0</x:v>
      </x:c>
      <x:c r="B421" s="2" t="str">
        <x:v>Cycle 3</x:v>
      </x:c>
      <x:c r="C421" s="2" t="str">
        <x:v>Phase 2</x:v>
      </x:c>
      <x:c r="D421" s="2" t="str">
        <x:v>Retail Services</x:v>
      </x:c>
      <x:c r="E421" s="56" t="str">
        <x:v>DI.RS.2.6</x:v>
      </x:c>
      <x:c r="F421" s="14" t="str">
        <x:v>Finalize presentation deck draft at conclusion of Research phase</x:v>
      </x:c>
      <x:c r="G421" s="5"/>
      <x:c r="H421" s="11"/>
      <x:c r="I421" s="11" t="n">
        <x:f>'Cycles &amp; Guide'!$D$12</x:f>
        <x:v>46295</x:v>
      </x:c>
      <x:c r="J421" s="11"/>
      <x:c r="K421" s="29"/>
      <x:c r="L421" s="2" t="str">
        <x:f>IF(O421=1,"Complete",IF(A421,"Checklist open",IF(H421&lt;&gt;"","In progress","Not started")))</x:f>
        <x:v>Not started</x:v>
      </x:c>
      <x:c r="M421" s="2" t="str">
        <x:v>Task</x:v>
      </x:c>
      <x:c r="N421" s="2" t="str">
        <x:v>DI.RS.2.6.2026.CY3</x:v>
      </x:c>
      <x:c r="O421" s="2" t="n">
        <x:f>R421</x:f>
        <x:v>0</x:v>
      </x:c>
      <x:c r="P421" s="2"/>
      <x:c r="Q421" s="2" t="n">
        <x:v>1</x:v>
      </x:c>
      <x:c r="R421" s="2" t="n">
        <x:f>IF(A421,1,0)</x:f>
        <x:v>0</x:v>
      </x:c>
      <x:c r="S421" s="2" t="n">
        <x:f>SUBTOTAL(103,N421)</x:f>
        <x:v>1</x:v>
      </x:c>
    </x:row>
    <x:row r="422" ht="42" customHeight="1">
      <x:c r="A422" s="28" t="b">
        <x:v>0</x:v>
      </x:c>
      <x:c r="B422" s="2" t="str">
        <x:v>Cycle 3</x:v>
      </x:c>
      <x:c r="C422" s="2" t="str">
        <x:v>Phase 2</x:v>
      </x:c>
      <x:c r="D422" s="2" t="str">
        <x:v>Retail Services</x:v>
      </x:c>
      <x:c r="E422" s="56" t="str">
        <x:v>DI.RS.2.7</x:v>
      </x:c>
      <x:c r="F422" s="14" t="str">
        <x:v>Update Outcome portion of research plan with current enhancement verbiage (as needed)</x:v>
      </x:c>
      <x:c r="G422" s="5"/>
      <x:c r="H422" s="11"/>
      <x:c r="I422" s="11" t="n">
        <x:f>'Cycles &amp; Guide'!$D$12</x:f>
        <x:v>46295</x:v>
      </x:c>
      <x:c r="J422" s="11"/>
      <x:c r="K422" s="29"/>
      <x:c r="L422" s="2" t="str">
        <x:f>IF(O422=1,"Complete",IF(A422,"Checklist open",IF(H422&lt;&gt;"","In progress","Not started")))</x:f>
        <x:v>Not started</x:v>
      </x:c>
      <x:c r="M422" s="2" t="str">
        <x:v>Task</x:v>
      </x:c>
      <x:c r="N422" s="2" t="str">
        <x:v>DI.RS.2.7.2026.CY3</x:v>
      </x:c>
      <x:c r="O422" s="2" t="n">
        <x:f>R422</x:f>
        <x:v>0</x:v>
      </x:c>
      <x:c r="P422" s="2"/>
      <x:c r="Q422" s="2" t="n">
        <x:v>1</x:v>
      </x:c>
      <x:c r="R422" s="2" t="n">
        <x:f>IF(A422,1,0)</x:f>
        <x:v>0</x:v>
      </x:c>
      <x:c r="S422" s="2" t="n">
        <x:f>SUBTOTAL(103,N422)</x:f>
        <x:v>1</x:v>
      </x:c>
    </x:row>
    <x:row r="423" ht="42" customHeight="1">
      <x:c r="A423" s="28" t="b">
        <x:v>0</x:v>
      </x:c>
      <x:c r="B423" s="2" t="str">
        <x:v>Cycle 3</x:v>
      </x:c>
      <x:c r="C423" s="2" t="str">
        <x:v>Phase 3</x:v>
      </x:c>
      <x:c r="D423" s="2" t="str">
        <x:v>Retail Services</x:v>
      </x:c>
      <x:c r="E423" s="56" t="str">
        <x:v>DI.RS.3.1</x:v>
      </x:c>
      <x:c r="F423" s="14" t="str">
        <x:v>Confirm list of required &amp; optional attendees for pre-socialization meeting</x:v>
      </x:c>
      <x:c r="G423" s="5"/>
      <x:c r="H423" s="11"/>
      <x:c r="I423" s="11" t="n">
        <x:f>'Cycles &amp; Guide'!$D$12</x:f>
        <x:v>46295</x:v>
      </x:c>
      <x:c r="J423" s="11"/>
      <x:c r="K423" s="29"/>
      <x:c r="L423" s="2" t="str">
        <x:f>IF(O423=1,"Complete",IF(A423,"Checklist open",IF(H423&lt;&gt;"","In progress","Not started")))</x:f>
        <x:v>Not started</x:v>
      </x:c>
      <x:c r="M423" s="2" t="str">
        <x:v>Task</x:v>
      </x:c>
      <x:c r="N423" s="2" t="str">
        <x:v>DI.RS.3.1.2026.CY3</x:v>
      </x:c>
      <x:c r="O423" s="2" t="n">
        <x:f>R423</x:f>
        <x:v>0</x:v>
      </x:c>
      <x:c r="P423" s="2"/>
      <x:c r="Q423" s="2" t="n">
        <x:v>1</x:v>
      </x:c>
      <x:c r="R423" s="2" t="n">
        <x:f>IF(A423,1,0)</x:f>
        <x:v>0</x:v>
      </x:c>
      <x:c r="S423" s="2" t="n">
        <x:f>SUBTOTAL(103,N423)</x:f>
        <x:v>1</x:v>
      </x:c>
    </x:row>
    <x:row r="424" ht="42" customHeight="1">
      <x:c r="A424" s="28" t="b">
        <x:v>0</x:v>
      </x:c>
      <x:c r="B424" s="2" t="str">
        <x:v>Cycle 3</x:v>
      </x:c>
      <x:c r="C424" s="2" t="str">
        <x:v>Phase 3</x:v>
      </x:c>
      <x:c r="D424" s="2" t="str">
        <x:v>Retail Services</x:v>
      </x:c>
      <x:c r="E424" s="56" t="str">
        <x:v>DI.RS.3.2</x:v>
      </x:c>
      <x:c r="F424" s="14" t="str">
        <x:v>Schedule pre-socialization meeting 1 week prior to RCA Forum</x:v>
      </x:c>
      <x:c r="G424" s="5"/>
      <x:c r="H424" s="11"/>
      <x:c r="I424" s="11" t="str">
        <x:f>IF(SUMIFS('Cycles &amp; Guide'!$D$23:$D$50,'Cycles &amp; Guide'!$B$23:$B$50,B424,'Cycles &amp; Guide'!$C$23:$C$50,D424)=0,"",SUMIFS('Cycles &amp; Guide'!$D$23:$D$50,'Cycles &amp; Guide'!$B$23:$B$50,B424,'Cycles &amp; Guide'!$C$23:$C$50,D424)-7)</x:f>
      </x:c>
      <x:c r="J424" s="11"/>
      <x:c r="K424" s="29"/>
      <x:c r="L424" s="2" t="str">
        <x:f>IF(O424=1,"Complete",IF(A424,"Checklist open",IF(H424&lt;&gt;"","In progress","Not started")))</x:f>
        <x:v>Not started</x:v>
      </x:c>
      <x:c r="M424" s="2" t="str">
        <x:v>Task</x:v>
      </x:c>
      <x:c r="N424" s="2" t="str">
        <x:v>DI.RS.3.2.2026.CY3</x:v>
      </x:c>
      <x:c r="O424" s="2" t="n">
        <x:f>R424</x:f>
        <x:v>0</x:v>
      </x:c>
      <x:c r="P424" s="2"/>
      <x:c r="Q424" s="2" t="n">
        <x:v>1</x:v>
      </x:c>
      <x:c r="R424" s="2" t="n">
        <x:f>IF(A424,1,0)</x:f>
        <x:v>0</x:v>
      </x:c>
      <x:c r="S424" s="2" t="n">
        <x:f>SUBTOTAL(103,N424)</x:f>
        <x:v>1</x:v>
      </x:c>
    </x:row>
    <x:row r="425" ht="42" customHeight="1">
      <x:c r="A425" s="28" t="b">
        <x:v>0</x:v>
      </x:c>
      <x:c r="B425" s="2" t="str">
        <x:v>Cycle 3</x:v>
      </x:c>
      <x:c r="C425" s="2" t="str">
        <x:v>Phase 3</x:v>
      </x:c>
      <x:c r="D425" s="2" t="str">
        <x:v>Retail Services</x:v>
      </x:c>
      <x:c r="E425" s="56" t="str">
        <x:v>DI.RS.3.3</x:v>
      </x:c>
      <x:c r="F425" s="14" t="str">
        <x:v>Present findings, conclusions, and recommendation to SMEs</x:v>
      </x:c>
      <x:c r="G425" s="5"/>
      <x:c r="H425" s="11"/>
      <x:c r="I425" s="11" t="n">
        <x:f>'Cycles &amp; Guide'!$D$12</x:f>
        <x:v>46295</x:v>
      </x:c>
      <x:c r="J425" s="11"/>
      <x:c r="K425" s="29"/>
      <x:c r="L425" s="2" t="str">
        <x:f>IF(O425=1,"Complete",IF(A425,"Checklist open",IF(H425&lt;&gt;"","In progress","Not started")))</x:f>
        <x:v>Not started</x:v>
      </x:c>
      <x:c r="M425" s="2" t="str">
        <x:v>Task</x:v>
      </x:c>
      <x:c r="N425" s="2" t="str">
        <x:v>DI.RS.3.3.2026.CY3</x:v>
      </x:c>
      <x:c r="O425" s="2" t="n">
        <x:f>R425</x:f>
        <x:v>0</x:v>
      </x:c>
      <x:c r="P425" s="2"/>
      <x:c r="Q425" s="2" t="n">
        <x:v>1</x:v>
      </x:c>
      <x:c r="R425" s="2" t="n">
        <x:f>IF(A425,1,0)</x:f>
        <x:v>0</x:v>
      </x:c>
      <x:c r="S425" s="2" t="n">
        <x:f>SUBTOTAL(103,N425)</x:f>
        <x:v>1</x:v>
      </x:c>
    </x:row>
    <x:row r="426" ht="42" customHeight="1">
      <x:c r="A426" s="28" t="b">
        <x:v>0</x:v>
      </x:c>
      <x:c r="B426" s="2" t="str">
        <x:v>Cycle 3</x:v>
      </x:c>
      <x:c r="C426" s="2" t="str">
        <x:v>Phase 3</x:v>
      </x:c>
      <x:c r="D426" s="2" t="str">
        <x:v>Retail Services</x:v>
      </x:c>
      <x:c r="E426" s="56" t="str">
        <x:v>DI.RS.3.4</x:v>
      </x:c>
      <x:c r="F426" s="14" t="str">
        <x:v>Update Outcome portion of research plan (as needed)</x:v>
      </x:c>
      <x:c r="G426" s="5"/>
      <x:c r="H426" s="11"/>
      <x:c r="I426" s="11" t="n">
        <x:f>'Cycles &amp; Guide'!$D$12</x:f>
        <x:v>46295</x:v>
      </x:c>
      <x:c r="J426" s="11"/>
      <x:c r="K426" s="29"/>
      <x:c r="L426" s="2" t="str">
        <x:f>IF(O426=1,"Complete",IF(A426,"Checklist open",IF(H426&lt;&gt;"","In progress","Not started")))</x:f>
        <x:v>Not started</x:v>
      </x:c>
      <x:c r="M426" s="2" t="str">
        <x:v>Task</x:v>
      </x:c>
      <x:c r="N426" s="2" t="str">
        <x:v>DI.RS.3.4.2026.CY3</x:v>
      </x:c>
      <x:c r="O426" s="2" t="n">
        <x:f>R426</x:f>
        <x:v>0</x:v>
      </x:c>
      <x:c r="P426" s="2"/>
      <x:c r="Q426" s="2" t="n">
        <x:v>1</x:v>
      </x:c>
      <x:c r="R426" s="2" t="n">
        <x:f>IF(A426,1,0)</x:f>
        <x:v>0</x:v>
      </x:c>
      <x:c r="S426" s="2" t="n">
        <x:f>SUBTOTAL(103,N426)</x:f>
        <x:v>1</x:v>
      </x:c>
    </x:row>
    <x:row r="427" ht="42" customHeight="1">
      <x:c r="A427" s="28" t="b">
        <x:v>0</x:v>
      </x:c>
      <x:c r="B427" s="2" t="str">
        <x:v>Cycle 3</x:v>
      </x:c>
      <x:c r="C427" s="2" t="str">
        <x:v>Phase 3</x:v>
      </x:c>
      <x:c r="D427" s="2" t="str">
        <x:v>Retail Services</x:v>
      </x:c>
      <x:c r="E427" s="56" t="str">
        <x:v>DI.RS.3.5</x:v>
      </x:c>
      <x:c r="F427" s="14" t="str">
        <x:v>Finalize presentation deck by incorporating pre-socialization feedback (as needed)</x:v>
      </x:c>
      <x:c r="G427" s="5"/>
      <x:c r="H427" s="11"/>
      <x:c r="I427" s="11" t="n">
        <x:f>'Cycles &amp; Guide'!$D$12</x:f>
        <x:v>46295</x:v>
      </x:c>
      <x:c r="J427" s="11"/>
      <x:c r="K427" s="29"/>
      <x:c r="L427" s="2" t="str">
        <x:f>IF(O427=1,"Complete",IF(A427,"Checklist open",IF(H427&lt;&gt;"","In progress","Not started")))</x:f>
        <x:v>Not started</x:v>
      </x:c>
      <x:c r="M427" s="2" t="str">
        <x:v>Task</x:v>
      </x:c>
      <x:c r="N427" s="2" t="str">
        <x:v>DI.RS.3.5.2026.CY3</x:v>
      </x:c>
      <x:c r="O427" s="2" t="n">
        <x:f>R427</x:f>
        <x:v>0</x:v>
      </x:c>
      <x:c r="P427" s="2"/>
      <x:c r="Q427" s="2" t="n">
        <x:v>1</x:v>
      </x:c>
      <x:c r="R427" s="2" t="n">
        <x:f>IF(A427,1,0)</x:f>
        <x:v>0</x:v>
      </x:c>
      <x:c r="S427" s="2" t="n">
        <x:f>SUBTOTAL(103,N427)</x:f>
        <x:v>1</x:v>
      </x:c>
    </x:row>
    <x:row r="428" ht="42" customHeight="1">
      <x:c r="A428" s="28" t="b">
        <x:v>0</x:v>
      </x:c>
      <x:c r="B428" s="2" t="str">
        <x:v>Cycle 3</x:v>
      </x:c>
      <x:c r="C428" s="2" t="str">
        <x:v>Phase 3</x:v>
      </x:c>
      <x:c r="D428" s="2" t="str">
        <x:v>Retail Services</x:v>
      </x:c>
      <x:c r="E428" s="56" t="str">
        <x:v>DI.RS.3.6</x:v>
      </x:c>
      <x:c r="F428" s="14" t="str">
        <x:v>Ensure final deck is communicated to Forum attendees</x:v>
      </x:c>
      <x:c r="G428" s="5"/>
      <x:c r="H428" s="11"/>
      <x:c r="I428" s="11" t="n">
        <x:f>'Cycles &amp; Guide'!$D$12</x:f>
        <x:v>46295</x:v>
      </x:c>
      <x:c r="J428" s="11"/>
      <x:c r="K428" s="29"/>
      <x:c r="L428" s="2" t="str">
        <x:f>IF(O428=1,"Complete",IF(A428,"Checklist open",IF(H428&lt;&gt;"","In progress","Not started")))</x:f>
        <x:v>Not started</x:v>
      </x:c>
      <x:c r="M428" s="2" t="str">
        <x:v>Task</x:v>
      </x:c>
      <x:c r="N428" s="2" t="str">
        <x:v>DI.RS.3.6.2026.CY3</x:v>
      </x:c>
      <x:c r="O428" s="2" t="n">
        <x:f>R428</x:f>
        <x:v>0</x:v>
      </x:c>
      <x:c r="P428" s="2"/>
      <x:c r="Q428" s="2" t="n">
        <x:v>1</x:v>
      </x:c>
      <x:c r="R428" s="2" t="n">
        <x:f>IF(A428,1,0)</x:f>
        <x:v>0</x:v>
      </x:c>
      <x:c r="S428" s="2" t="n">
        <x:f>SUBTOTAL(103,N428)</x:f>
        <x:v>1</x:v>
      </x:c>
    </x:row>
    <x:row r="429" ht="42" customHeight="1">
      <x:c r="A429" s="28" t="b">
        <x:v>0</x:v>
      </x:c>
      <x:c r="B429" s="2" t="str">
        <x:v>Cycle 3</x:v>
      </x:c>
      <x:c r="C429" s="2" t="str">
        <x:v>Phase 3</x:v>
      </x:c>
      <x:c r="D429" s="2" t="str">
        <x:v>Retail Services</x:v>
      </x:c>
      <x:c r="E429" s="56" t="str">
        <x:v>DI.RS.3.7</x:v>
      </x:c>
      <x:c r="F429" s="14" t="str">
        <x:v>Present material in RCA Cycle Forum</x:v>
      </x:c>
      <x:c r="G429" s="5"/>
      <x:c r="H429" s="11"/>
      <x:c r="I429" s="11" t="str">
        <x:f>IF(SUMIFS('Cycles &amp; Guide'!$D$23:$D$50,'Cycles &amp; Guide'!$B$23:$B$50,B429,'Cycles &amp; Guide'!$C$23:$C$50,D429)=0,"",SUMIFS('Cycles &amp; Guide'!$D$23:$D$50,'Cycles &amp; Guide'!$B$23:$B$50,B429,'Cycles &amp; Guide'!$C$23:$C$50,D429))</x:f>
      </x:c>
      <x:c r="J429" s="11"/>
      <x:c r="K429" s="29"/>
      <x:c r="L429" s="2" t="str">
        <x:f>IF(O429=1,"Complete",IF(A429,"Checklist open",IF(H429&lt;&gt;"","In progress","Not started")))</x:f>
        <x:v>Not started</x:v>
      </x:c>
      <x:c r="M429" s="2" t="str">
        <x:v>Task</x:v>
      </x:c>
      <x:c r="N429" s="2" t="str">
        <x:v>DI.RS.3.7.2026.CY3</x:v>
      </x:c>
      <x:c r="O429" s="2" t="n">
        <x:f>R429</x:f>
        <x:v>0</x:v>
      </x:c>
      <x:c r="P429" s="2"/>
      <x:c r="Q429" s="2" t="n">
        <x:v>1</x:v>
      </x:c>
      <x:c r="R429" s="2" t="n">
        <x:f>IF(A429,1,0)</x:f>
        <x:v>0</x:v>
      </x:c>
      <x:c r="S429" s="2" t="n">
        <x:f>SUBTOTAL(103,N429)</x:f>
        <x:v>1</x:v>
      </x:c>
    </x:row>
    <x:row r="430" ht="42" customHeight="1">
      <x:c r="A430" s="28" t="b">
        <x:v>0</x:v>
      </x:c>
      <x:c r="B430" s="2" t="str">
        <x:v>Cycle 4</x:v>
      </x:c>
      <x:c r="C430" s="2" t="str">
        <x:v>Phase 1</x:v>
      </x:c>
      <x:c r="D430" s="2" t="str">
        <x:v>Auto</x:v>
      </x:c>
      <x:c r="E430" s="56" t="str">
        <x:v>DI.AU.1.1</x:v>
      </x:c>
      <x:c r="F430" s="14" t="str">
        <x:v>Receive and review potential research topics at least 2 weeks prior to Cycle start date</x:v>
      </x:c>
      <x:c r="G430" s="5"/>
      <x:c r="H430" s="11"/>
      <x:c r="I430" s="11" t="n">
        <x:f>'Cycles &amp; Guide'!$C$13-14</x:f>
        <x:v>46282</x:v>
      </x:c>
      <x:c r="J430" s="11"/>
      <x:c r="K430" s="29"/>
      <x:c r="L430" s="2" t="str">
        <x:f>IF(O430=1,"Complete",IF(A430,"Checklist open",IF(H430&lt;&gt;"","In progress","Not started")))</x:f>
        <x:v>Not started</x:v>
      </x:c>
      <x:c r="M430" s="2" t="str">
        <x:v>Task</x:v>
      </x:c>
      <x:c r="N430" s="2" t="str">
        <x:v>DI.AU.1.1.2026.CY4</x:v>
      </x:c>
      <x:c r="O430" s="2" t="n">
        <x:f>R430</x:f>
        <x:v>0</x:v>
      </x:c>
      <x:c r="P430" s="2"/>
      <x:c r="Q430" s="2" t="n">
        <x:v>1</x:v>
      </x:c>
      <x:c r="R430" s="2" t="n">
        <x:f>IF(A430,1,0)</x:f>
        <x:v>0</x:v>
      </x:c>
      <x:c r="S430" s="2" t="n">
        <x:f>SUBTOTAL(103,N430)</x:f>
        <x:v>1</x:v>
      </x:c>
    </x:row>
    <x:row r="431" ht="42" customHeight="1">
      <x:c r="A431" s="28" t="b">
        <x:v>0</x:v>
      </x:c>
      <x:c r="B431" s="2" t="str">
        <x:v>Cycle 4</x:v>
      </x:c>
      <x:c r="C431" s="2" t="str">
        <x:v>Phase 1</x:v>
      </x:c>
      <x:c r="D431" s="2" t="str">
        <x:v>Auto</x:v>
      </x:c>
      <x:c r="E431" s="56" t="str">
        <x:v>DI.AU.1.2</x:v>
      </x:c>
      <x:c r="F431" s="14" t="str">
        <x:v>Communicate any feedback on preferences or concerns with topics identified</x:v>
      </x:c>
      <x:c r="G431" s="5"/>
      <x:c r="H431" s="11"/>
      <x:c r="I431" s="11" t="n">
        <x:f>'Cycles &amp; Guide'!$D$13</x:f>
        <x:v>46387</x:v>
      </x:c>
      <x:c r="J431" s="11"/>
      <x:c r="K431" s="29"/>
      <x:c r="L431" s="2" t="str">
        <x:f>IF(O431=1,"Complete",IF(A431,"Checklist open",IF(H431&lt;&gt;"","In progress","Not started")))</x:f>
        <x:v>Not started</x:v>
      </x:c>
      <x:c r="M431" s="2" t="str">
        <x:v>Task</x:v>
      </x:c>
      <x:c r="N431" s="2" t="str">
        <x:v>DI.AU.1.2.2026.CY4</x:v>
      </x:c>
      <x:c r="O431" s="2" t="n">
        <x:f>R431</x:f>
        <x:v>0</x:v>
      </x:c>
      <x:c r="P431" s="2"/>
      <x:c r="Q431" s="2" t="n">
        <x:v>1</x:v>
      </x:c>
      <x:c r="R431" s="2" t="n">
        <x:f>IF(A431,1,0)</x:f>
        <x:v>0</x:v>
      </x:c>
      <x:c r="S431" s="2" t="n">
        <x:f>SUBTOTAL(103,N431)</x:f>
        <x:v>1</x:v>
      </x:c>
    </x:row>
    <x:row r="432" ht="42" customHeight="1">
      <x:c r="A432" s="28" t="b">
        <x:v>0</x:v>
      </x:c>
      <x:c r="B432" s="2" t="str">
        <x:v>Cycle 4</x:v>
      </x:c>
      <x:c r="C432" s="2" t="str">
        <x:v>Phase 1</x:v>
      </x:c>
      <x:c r="D432" s="2" t="str">
        <x:v>Auto</x:v>
      </x:c>
      <x:c r="E432" s="56" t="str">
        <x:v>DI.AU.1.3</x:v>
      </x:c>
      <x:c r="F432" s="14" t="str">
        <x:v>Conduct high-level preliminary review of complaints within proposed topics</x:v>
      </x:c>
      <x:c r="G432" s="5"/>
      <x:c r="H432" s="11"/>
      <x:c r="I432" s="11" t="n">
        <x:f>'Cycles &amp; Guide'!$D$13</x:f>
        <x:v>46387</x:v>
      </x:c>
      <x:c r="J432" s="11"/>
      <x:c r="K432" s="29"/>
      <x:c r="L432" s="2" t="str">
        <x:f>IF(O432=1,"Complete",IF(A432,"Checklist open",IF(H432&lt;&gt;"","In progress","Not started")))</x:f>
        <x:v>Not started</x:v>
      </x:c>
      <x:c r="M432" s="2" t="str">
        <x:v>Task</x:v>
      </x:c>
      <x:c r="N432" s="2" t="str">
        <x:v>DI.AU.1.3.2026.CY4</x:v>
      </x:c>
      <x:c r="O432" s="2" t="n">
        <x:f>R432</x:f>
        <x:v>0</x:v>
      </x:c>
      <x:c r="P432" s="2"/>
      <x:c r="Q432" s="2" t="n">
        <x:v>1</x:v>
      </x:c>
      <x:c r="R432" s="2" t="n">
        <x:f>IF(A432,1,0)</x:f>
        <x:v>0</x:v>
      </x:c>
      <x:c r="S432" s="2" t="n">
        <x:f>SUBTOTAL(103,N432)</x:f>
        <x:v>1</x:v>
      </x:c>
    </x:row>
    <x:row r="433" ht="42" customHeight="1">
      <x:c r="A433" s="28" t="b">
        <x:v>0</x:v>
      </x:c>
      <x:c r="B433" s="2" t="str">
        <x:v>Cycle 4</x:v>
      </x:c>
      <x:c r="C433" s="2" t="str">
        <x:v>Phase 1</x:v>
      </x:c>
      <x:c r="D433" s="2" t="str">
        <x:v>Auto</x:v>
      </x:c>
      <x:c r="E433" s="56" t="str">
        <x:v>DI.AU.1.4</x:v>
      </x:c>
      <x:c r="F433" s="14" t="str">
        <x:v>Meet with Research to discuss which topic to select based on potential impact</x:v>
      </x:c>
      <x:c r="G433" s="5"/>
      <x:c r="H433" s="11"/>
      <x:c r="I433" s="11" t="n">
        <x:f>'Cycles &amp; Guide'!$D$13</x:f>
        <x:v>46387</x:v>
      </x:c>
      <x:c r="J433" s="11"/>
      <x:c r="K433" s="29"/>
      <x:c r="L433" s="2" t="str">
        <x:f>IF(O433=1,"Complete",IF(A433,"Checklist open",IF(H433&lt;&gt;"","In progress","Not started")))</x:f>
        <x:v>Not started</x:v>
      </x:c>
      <x:c r="M433" s="2" t="str">
        <x:v>Task</x:v>
      </x:c>
      <x:c r="N433" s="2" t="str">
        <x:v>DI.AU.1.4.2026.CY4</x:v>
      </x:c>
      <x:c r="O433" s="2" t="n">
        <x:f>R433</x:f>
        <x:v>0</x:v>
      </x:c>
      <x:c r="P433" s="2"/>
      <x:c r="Q433" s="2" t="n">
        <x:v>1</x:v>
      </x:c>
      <x:c r="R433" s="2" t="n">
        <x:f>IF(A433,1,0)</x:f>
        <x:v>0</x:v>
      </x:c>
      <x:c r="S433" s="2" t="n">
        <x:f>SUBTOTAL(103,N433)</x:f>
        <x:v>1</x:v>
      </x:c>
    </x:row>
    <x:row r="434" ht="42" customHeight="1">
      <x:c r="A434" s="28" t="b">
        <x:v>0</x:v>
      </x:c>
      <x:c r="B434" s="2" t="str">
        <x:v>Cycle 4</x:v>
      </x:c>
      <x:c r="C434" s="2" t="str">
        <x:v>Phase 1</x:v>
      </x:c>
      <x:c r="D434" s="2" t="str">
        <x:v>Auto</x:v>
      </x:c>
      <x:c r="E434" s="56" t="str">
        <x:v>DI.AU.1.5</x:v>
      </x:c>
      <x:c r="F434" s="14" t="str">
        <x:v>Confirm with Research the recommended topic for approval</x:v>
      </x:c>
      <x:c r="G434" s="5"/>
      <x:c r="H434" s="11"/>
      <x:c r="I434" s="11" t="n">
        <x:f>'Cycles &amp; Guide'!$D$13</x:f>
        <x:v>46387</x:v>
      </x:c>
      <x:c r="J434" s="11"/>
      <x:c r="K434" s="29"/>
      <x:c r="L434" s="2" t="str">
        <x:f>IF(O434=1,"Complete",IF(A434,"Checklist open",IF(H434&lt;&gt;"","In progress","Not started")))</x:f>
        <x:v>Not started</x:v>
      </x:c>
      <x:c r="M434" s="2" t="str">
        <x:v>Task</x:v>
      </x:c>
      <x:c r="N434" s="2" t="str">
        <x:v>DI.AU.1.5.2026.CY4</x:v>
      </x:c>
      <x:c r="O434" s="2" t="n">
        <x:f>R434</x:f>
        <x:v>0</x:v>
      </x:c>
      <x:c r="P434" s="2"/>
      <x:c r="Q434" s="2" t="n">
        <x:v>1</x:v>
      </x:c>
      <x:c r="R434" s="2" t="n">
        <x:f>IF(A434,1,0)</x:f>
        <x:v>0</x:v>
      </x:c>
      <x:c r="S434" s="2" t="n">
        <x:f>SUBTOTAL(103,N434)</x:f>
        <x:v>1</x:v>
      </x:c>
    </x:row>
    <x:row r="435" ht="42" customHeight="1">
      <x:c r="A435" s="28" t="b">
        <x:v>0</x:v>
      </x:c>
      <x:c r="B435" s="2" t="str">
        <x:v>Cycle 4</x:v>
      </x:c>
      <x:c r="C435" s="2" t="str">
        <x:v>Phase 1</x:v>
      </x:c>
      <x:c r="D435" s="2" t="str">
        <x:v>Auto</x:v>
      </x:c>
      <x:c r="E435" s="56" t="str">
        <x:v>DI.AU.1.6</x:v>
      </x:c>
      <x:c r="F435" s="14" t="str">
        <x:v>Send topic selection socialization email to all key stakeholders on the first day of the review Cycle</x:v>
      </x:c>
      <x:c r="G435" s="5"/>
      <x:c r="H435" s="11"/>
      <x:c r="I435" s="11" t="n">
        <x:f>'Cycles &amp; Guide'!$C$13</x:f>
        <x:v>46296</x:v>
      </x:c>
      <x:c r="J435" s="11"/>
      <x:c r="K435" s="29"/>
      <x:c r="L435" s="2" t="str">
        <x:f>IF(O435=1,"Complete",IF(A435,"Checklist open",IF(H435&lt;&gt;"","In progress","Not started")))</x:f>
        <x:v>Not started</x:v>
      </x:c>
      <x:c r="M435" s="2" t="str">
        <x:v>Task</x:v>
      </x:c>
      <x:c r="N435" s="2" t="str">
        <x:v>DI.AU.1.6.2026.CY4</x:v>
      </x:c>
      <x:c r="O435" s="2" t="n">
        <x:f>R435</x:f>
        <x:v>0</x:v>
      </x:c>
      <x:c r="P435" s="2"/>
      <x:c r="Q435" s="2" t="n">
        <x:v>1</x:v>
      </x:c>
      <x:c r="R435" s="2" t="n">
        <x:f>IF(A435,1,0)</x:f>
        <x:v>0</x:v>
      </x:c>
      <x:c r="S435" s="2" t="n">
        <x:f>SUBTOTAL(103,N435)</x:f>
        <x:v>1</x:v>
      </x:c>
    </x:row>
    <x:row r="436" ht="42" customHeight="1">
      <x:c r="A436" s="28" t="b">
        <x:v>0</x:v>
      </x:c>
      <x:c r="B436" s="2" t="str">
        <x:v>Cycle 4</x:v>
      </x:c>
      <x:c r="C436" s="2" t="str">
        <x:v>Phase 2</x:v>
      </x:c>
      <x:c r="D436" s="2" t="str">
        <x:v>Auto</x:v>
      </x:c>
      <x:c r="E436" s="56" t="str">
        <x:v>DI.AU.2.1</x:v>
      </x:c>
      <x:c r="F436" s="14" t="str">
        <x:v>Meet regularly with Research to stay informed on progress, findings, and potential enhancement</x:v>
      </x:c>
      <x:c r="G436" s="5"/>
      <x:c r="H436" s="11"/>
      <x:c r="I436" s="11" t="n">
        <x:f>'Cycles &amp; Guide'!$D$13</x:f>
        <x:v>46387</x:v>
      </x:c>
      <x:c r="J436" s="11"/>
      <x:c r="K436" s="29"/>
      <x:c r="L436" s="2" t="str">
        <x:f>IF(O436=1,"Complete",IF(A436,"Checklist open",IF(H436&lt;&gt;"","In progress","Not started")))</x:f>
        <x:v>Not started</x:v>
      </x:c>
      <x:c r="M436" s="2" t="str">
        <x:v>Task</x:v>
      </x:c>
      <x:c r="N436" s="2" t="str">
        <x:v>DI.AU.2.1.2026.CY4</x:v>
      </x:c>
      <x:c r="O436" s="2" t="n">
        <x:f>R436</x:f>
        <x:v>0</x:v>
      </x:c>
      <x:c r="P436" s="2"/>
      <x:c r="Q436" s="2" t="n">
        <x:v>1</x:v>
      </x:c>
      <x:c r="R436" s="2" t="n">
        <x:f>IF(A436,1,0)</x:f>
        <x:v>0</x:v>
      </x:c>
      <x:c r="S436" s="2" t="n">
        <x:f>SUBTOTAL(103,N436)</x:f>
        <x:v>1</x:v>
      </x:c>
    </x:row>
    <x:row r="437" ht="42" customHeight="1">
      <x:c r="A437" s="28" t="b">
        <x:v>0</x:v>
      </x:c>
      <x:c r="B437" s="2" t="str">
        <x:v>Cycle 4</x:v>
      </x:c>
      <x:c r="C437" s="2" t="str">
        <x:v>Phase 2</x:v>
      </x:c>
      <x:c r="D437" s="2" t="str">
        <x:v>Auto</x:v>
      </x:c>
      <x:c r="E437" s="56" t="str">
        <x:v>DI.AU.2.2</x:v>
      </x:c>
      <x:c r="F437" s="14" t="str">
        <x:v>Collaborate with Research on research plan specifics</x:v>
      </x:c>
      <x:c r="G437" s="5"/>
      <x:c r="H437" s="11"/>
      <x:c r="I437" s="11" t="n">
        <x:f>'Cycles &amp; Guide'!$D$13</x:f>
        <x:v>46387</x:v>
      </x:c>
      <x:c r="J437" s="11"/>
      <x:c r="K437" s="29"/>
      <x:c r="L437" s="2" t="str">
        <x:f>IF(O437=1,"Complete",IF(A437,"Checklist open",IF(H437&lt;&gt;"","In progress","Not started")))</x:f>
        <x:v>Not started</x:v>
      </x:c>
      <x:c r="M437" s="2" t="str">
        <x:v>Task</x:v>
      </x:c>
      <x:c r="N437" s="2" t="str">
        <x:v>DI.AU.2.2.2026.CY4</x:v>
      </x:c>
      <x:c r="O437" s="2" t="n">
        <x:f>R437</x:f>
        <x:v>0</x:v>
      </x:c>
      <x:c r="P437" s="2"/>
      <x:c r="Q437" s="2" t="n">
        <x:v>1</x:v>
      </x:c>
      <x:c r="R437" s="2" t="n">
        <x:f>IF(A437,1,0)</x:f>
        <x:v>0</x:v>
      </x:c>
      <x:c r="S437" s="2" t="n">
        <x:f>SUBTOTAL(103,N437)</x:f>
        <x:v>1</x:v>
      </x:c>
    </x:row>
    <x:row r="438" ht="42" customHeight="1">
      <x:c r="A438" s="28" t="b">
        <x:v>0</x:v>
      </x:c>
      <x:c r="B438" s="2" t="str">
        <x:v>Cycle 4</x:v>
      </x:c>
      <x:c r="C438" s="2" t="str">
        <x:v>Phase 2</x:v>
      </x:c>
      <x:c r="D438" s="2" t="str">
        <x:v>Auto</x:v>
      </x:c>
      <x:c r="E438" s="56" t="str">
        <x:v>DI.AU.2.3</x:v>
      </x:c>
      <x:c r="F438" s="14" t="str">
        <x:v>Participate in SME insight meetings to gain perspective and appetite on potential enhancements</x:v>
      </x:c>
      <x:c r="G438" s="5"/>
      <x:c r="H438" s="11"/>
      <x:c r="I438" s="11" t="n">
        <x:f>'Cycles &amp; Guide'!$D$13</x:f>
        <x:v>46387</x:v>
      </x:c>
      <x:c r="J438" s="11"/>
      <x:c r="K438" s="29"/>
      <x:c r="L438" s="2" t="str">
        <x:f>IF(O438=1,"Complete",IF(A438,"Checklist open",IF(H438&lt;&gt;"","In progress","Not started")))</x:f>
        <x:v>Not started</x:v>
      </x:c>
      <x:c r="M438" s="2" t="str">
        <x:v>Task</x:v>
      </x:c>
      <x:c r="N438" s="2" t="str">
        <x:v>DI.AU.2.3.2026.CY4</x:v>
      </x:c>
      <x:c r="O438" s="2" t="n">
        <x:f>R438</x:f>
        <x:v>0</x:v>
      </x:c>
      <x:c r="P438" s="2"/>
      <x:c r="Q438" s="2" t="n">
        <x:v>1</x:v>
      </x:c>
      <x:c r="R438" s="2" t="n">
        <x:f>IF(A438,1,0)</x:f>
        <x:v>0</x:v>
      </x:c>
      <x:c r="S438" s="2" t="n">
        <x:f>SUBTOTAL(103,N438)</x:f>
        <x:v>1</x:v>
      </x:c>
    </x:row>
    <x:row r="439" ht="42" customHeight="1">
      <x:c r="A439" s="28" t="b">
        <x:v>0</x:v>
      </x:c>
      <x:c r="B439" s="2" t="str">
        <x:v>Cycle 4</x:v>
      </x:c>
      <x:c r="C439" s="2" t="str">
        <x:v>Phase 2</x:v>
      </x:c>
      <x:c r="D439" s="2" t="str">
        <x:v>Auto</x:v>
      </x:c>
      <x:c r="E439" s="56" t="str">
        <x:v>DI.AU.2.4</x:v>
      </x:c>
      <x:c r="F439" s="14" t="str">
        <x:v>Begin development of presentation materials as Research is being completed</x:v>
      </x:c>
      <x:c r="G439" s="5"/>
      <x:c r="H439" s="11"/>
      <x:c r="I439" s="11" t="n">
        <x:f>'Cycles &amp; Guide'!$D$13</x:f>
        <x:v>46387</x:v>
      </x:c>
      <x:c r="J439" s="11"/>
      <x:c r="K439" s="29"/>
      <x:c r="L439" s="2" t="str">
        <x:f>IF(O439=1,"Complete",IF(A439,"Checklist open",IF(H439&lt;&gt;"","In progress","Not started")))</x:f>
        <x:v>Not started</x:v>
      </x:c>
      <x:c r="M439" s="2" t="str">
        <x:v>Task</x:v>
      </x:c>
      <x:c r="N439" s="2" t="str">
        <x:v>DI.AU.2.4.2026.CY4</x:v>
      </x:c>
      <x:c r="O439" s="2" t="n">
        <x:f>R439</x:f>
        <x:v>0</x:v>
      </x:c>
      <x:c r="P439" s="2"/>
      <x:c r="Q439" s="2" t="n">
        <x:v>1</x:v>
      </x:c>
      <x:c r="R439" s="2" t="n">
        <x:f>IF(A439,1,0)</x:f>
        <x:v>0</x:v>
      </x:c>
      <x:c r="S439" s="2" t="n">
        <x:f>SUBTOTAL(103,N439)</x:f>
        <x:v>1</x:v>
      </x:c>
    </x:row>
    <x:row r="440" ht="42" customHeight="1">
      <x:c r="A440" s="28" t="b">
        <x:v>0</x:v>
      </x:c>
      <x:c r="B440" s="2" t="str">
        <x:v>Cycle 4</x:v>
      </x:c>
      <x:c r="C440" s="2" t="str">
        <x:v>Phase 2</x:v>
      </x:c>
      <x:c r="D440" s="2" t="str">
        <x:v>Auto</x:v>
      </x:c>
      <x:c r="E440" s="56" t="str">
        <x:v>DI.AU.2.5</x:v>
      </x:c>
      <x:c r="F440" s="14" t="str">
        <x:v>Draft initial enhancement recommendations (as applicable)</x:v>
      </x:c>
      <x:c r="G440" s="5"/>
      <x:c r="H440" s="11"/>
      <x:c r="I440" s="11" t="n">
        <x:f>'Cycles &amp; Guide'!$D$13</x:f>
        <x:v>46387</x:v>
      </x:c>
      <x:c r="J440" s="11"/>
      <x:c r="K440" s="29"/>
      <x:c r="L440" s="2" t="str">
        <x:f>IF(O440=1,"Complete",IF(A440,"Checklist open",IF(H440&lt;&gt;"","In progress","Not started")))</x:f>
        <x:v>Not started</x:v>
      </x:c>
      <x:c r="M440" s="2" t="str">
        <x:v>Task</x:v>
      </x:c>
      <x:c r="N440" s="2" t="str">
        <x:v>DI.AU.2.5.2026.CY4</x:v>
      </x:c>
      <x:c r="O440" s="2" t="n">
        <x:f>R440</x:f>
        <x:v>0</x:v>
      </x:c>
      <x:c r="P440" s="2"/>
      <x:c r="Q440" s="2" t="n">
        <x:v>1</x:v>
      </x:c>
      <x:c r="R440" s="2" t="n">
        <x:f>IF(A440,1,0)</x:f>
        <x:v>0</x:v>
      </x:c>
      <x:c r="S440" s="2" t="n">
        <x:f>SUBTOTAL(103,N440)</x:f>
        <x:v>1</x:v>
      </x:c>
    </x:row>
    <x:row r="441" ht="42" customHeight="1">
      <x:c r="A441" s="28" t="b">
        <x:v>0</x:v>
      </x:c>
      <x:c r="B441" s="2" t="str">
        <x:v>Cycle 4</x:v>
      </x:c>
      <x:c r="C441" s="2" t="str">
        <x:v>Phase 2</x:v>
      </x:c>
      <x:c r="D441" s="2" t="str">
        <x:v>Auto</x:v>
      </x:c>
      <x:c r="E441" s="56" t="str">
        <x:v>DI.AU.2.6</x:v>
      </x:c>
      <x:c r="F441" s="14" t="str">
        <x:v>Finalize presentation deck draft at conclusion of Research phase</x:v>
      </x:c>
      <x:c r="G441" s="5"/>
      <x:c r="H441" s="11"/>
      <x:c r="I441" s="11" t="n">
        <x:f>'Cycles &amp; Guide'!$D$13</x:f>
        <x:v>46387</x:v>
      </x:c>
      <x:c r="J441" s="11"/>
      <x:c r="K441" s="29"/>
      <x:c r="L441" s="2" t="str">
        <x:f>IF(O441=1,"Complete",IF(A441,"Checklist open",IF(H441&lt;&gt;"","In progress","Not started")))</x:f>
        <x:v>Not started</x:v>
      </x:c>
      <x:c r="M441" s="2" t="str">
        <x:v>Task</x:v>
      </x:c>
      <x:c r="N441" s="2" t="str">
        <x:v>DI.AU.2.6.2026.CY4</x:v>
      </x:c>
      <x:c r="O441" s="2" t="n">
        <x:f>R441</x:f>
        <x:v>0</x:v>
      </x:c>
      <x:c r="P441" s="2"/>
      <x:c r="Q441" s="2" t="n">
        <x:v>1</x:v>
      </x:c>
      <x:c r="R441" s="2" t="n">
        <x:f>IF(A441,1,0)</x:f>
        <x:v>0</x:v>
      </x:c>
      <x:c r="S441" s="2" t="n">
        <x:f>SUBTOTAL(103,N441)</x:f>
        <x:v>1</x:v>
      </x:c>
    </x:row>
    <x:row r="442" ht="42" customHeight="1">
      <x:c r="A442" s="28" t="b">
        <x:v>0</x:v>
      </x:c>
      <x:c r="B442" s="2" t="str">
        <x:v>Cycle 4</x:v>
      </x:c>
      <x:c r="C442" s="2" t="str">
        <x:v>Phase 2</x:v>
      </x:c>
      <x:c r="D442" s="2" t="str">
        <x:v>Auto</x:v>
      </x:c>
      <x:c r="E442" s="56" t="str">
        <x:v>DI.AU.2.7</x:v>
      </x:c>
      <x:c r="F442" s="14" t="str">
        <x:v>Update Outcome portion of research plan with current enhancement verbiage (as needed)</x:v>
      </x:c>
      <x:c r="G442" s="5"/>
      <x:c r="H442" s="11"/>
      <x:c r="I442" s="11" t="n">
        <x:f>'Cycles &amp; Guide'!$D$13</x:f>
        <x:v>46387</x:v>
      </x:c>
      <x:c r="J442" s="11"/>
      <x:c r="K442" s="29"/>
      <x:c r="L442" s="2" t="str">
        <x:f>IF(O442=1,"Complete",IF(A442,"Checklist open",IF(H442&lt;&gt;"","In progress","Not started")))</x:f>
        <x:v>Not started</x:v>
      </x:c>
      <x:c r="M442" s="2" t="str">
        <x:v>Task</x:v>
      </x:c>
      <x:c r="N442" s="2" t="str">
        <x:v>DI.AU.2.7.2026.CY4</x:v>
      </x:c>
      <x:c r="O442" s="2" t="n">
        <x:f>R442</x:f>
        <x:v>0</x:v>
      </x:c>
      <x:c r="P442" s="2"/>
      <x:c r="Q442" s="2" t="n">
        <x:v>1</x:v>
      </x:c>
      <x:c r="R442" s="2" t="n">
        <x:f>IF(A442,1,0)</x:f>
        <x:v>0</x:v>
      </x:c>
      <x:c r="S442" s="2" t="n">
        <x:f>SUBTOTAL(103,N442)</x:f>
        <x:v>1</x:v>
      </x:c>
    </x:row>
    <x:row r="443" ht="42" customHeight="1">
      <x:c r="A443" s="28" t="b">
        <x:v>0</x:v>
      </x:c>
      <x:c r="B443" s="2" t="str">
        <x:v>Cycle 4</x:v>
      </x:c>
      <x:c r="C443" s="2" t="str">
        <x:v>Phase 3</x:v>
      </x:c>
      <x:c r="D443" s="2" t="str">
        <x:v>Auto</x:v>
      </x:c>
      <x:c r="E443" s="56" t="str">
        <x:v>DI.AU.3.1</x:v>
      </x:c>
      <x:c r="F443" s="14" t="str">
        <x:v>Confirm list of required &amp; optional attendees for pre-socialization meeting</x:v>
      </x:c>
      <x:c r="G443" s="5"/>
      <x:c r="H443" s="11"/>
      <x:c r="I443" s="11" t="n">
        <x:f>'Cycles &amp; Guide'!$D$13</x:f>
        <x:v>46387</x:v>
      </x:c>
      <x:c r="J443" s="11"/>
      <x:c r="K443" s="29"/>
      <x:c r="L443" s="2" t="str">
        <x:f>IF(O443=1,"Complete",IF(A443,"Checklist open",IF(H443&lt;&gt;"","In progress","Not started")))</x:f>
        <x:v>Not started</x:v>
      </x:c>
      <x:c r="M443" s="2" t="str">
        <x:v>Task</x:v>
      </x:c>
      <x:c r="N443" s="2" t="str">
        <x:v>DI.AU.3.1.2026.CY4</x:v>
      </x:c>
      <x:c r="O443" s="2" t="n">
        <x:f>R443</x:f>
        <x:v>0</x:v>
      </x:c>
      <x:c r="P443" s="2"/>
      <x:c r="Q443" s="2" t="n">
        <x:v>1</x:v>
      </x:c>
      <x:c r="R443" s="2" t="n">
        <x:f>IF(A443,1,0)</x:f>
        <x:v>0</x:v>
      </x:c>
      <x:c r="S443" s="2" t="n">
        <x:f>SUBTOTAL(103,N443)</x:f>
        <x:v>1</x:v>
      </x:c>
    </x:row>
    <x:row r="444" ht="42" customHeight="1">
      <x:c r="A444" s="28" t="b">
        <x:v>0</x:v>
      </x:c>
      <x:c r="B444" s="2" t="str">
        <x:v>Cycle 4</x:v>
      </x:c>
      <x:c r="C444" s="2" t="str">
        <x:v>Phase 3</x:v>
      </x:c>
      <x:c r="D444" s="2" t="str">
        <x:v>Auto</x:v>
      </x:c>
      <x:c r="E444" s="56" t="str">
        <x:v>DI.AU.3.2</x:v>
      </x:c>
      <x:c r="F444" s="14" t="str">
        <x:v>Schedule pre-socialization meeting 1 week prior to RCA Forum</x:v>
      </x:c>
      <x:c r="G444" s="5"/>
      <x:c r="H444" s="11"/>
      <x:c r="I444" s="11" t="str">
        <x:f>IF(SUMIFS('Cycles &amp; Guide'!$D$23:$D$50,'Cycles &amp; Guide'!$B$23:$B$50,B444,'Cycles &amp; Guide'!$C$23:$C$50,D444)=0,"",SUMIFS('Cycles &amp; Guide'!$D$23:$D$50,'Cycles &amp; Guide'!$B$23:$B$50,B444,'Cycles &amp; Guide'!$C$23:$C$50,D444)-7)</x:f>
      </x:c>
      <x:c r="J444" s="11"/>
      <x:c r="K444" s="29"/>
      <x:c r="L444" s="2" t="str">
        <x:f>IF(O444=1,"Complete",IF(A444,"Checklist open",IF(H444&lt;&gt;"","In progress","Not started")))</x:f>
        <x:v>Not started</x:v>
      </x:c>
      <x:c r="M444" s="2" t="str">
        <x:v>Task</x:v>
      </x:c>
      <x:c r="N444" s="2" t="str">
        <x:v>DI.AU.3.2.2026.CY4</x:v>
      </x:c>
      <x:c r="O444" s="2" t="n">
        <x:f>R444</x:f>
        <x:v>0</x:v>
      </x:c>
      <x:c r="P444" s="2"/>
      <x:c r="Q444" s="2" t="n">
        <x:v>1</x:v>
      </x:c>
      <x:c r="R444" s="2" t="n">
        <x:f>IF(A444,1,0)</x:f>
        <x:v>0</x:v>
      </x:c>
      <x:c r="S444" s="2" t="n">
        <x:f>SUBTOTAL(103,N444)</x:f>
        <x:v>1</x:v>
      </x:c>
    </x:row>
    <x:row r="445" ht="42" customHeight="1">
      <x:c r="A445" s="28" t="b">
        <x:v>0</x:v>
      </x:c>
      <x:c r="B445" s="2" t="str">
        <x:v>Cycle 4</x:v>
      </x:c>
      <x:c r="C445" s="2" t="str">
        <x:v>Phase 3</x:v>
      </x:c>
      <x:c r="D445" s="2" t="str">
        <x:v>Auto</x:v>
      </x:c>
      <x:c r="E445" s="56" t="str">
        <x:v>DI.AU.3.3</x:v>
      </x:c>
      <x:c r="F445" s="14" t="str">
        <x:v>Present findings, conclusions, and recommendation to SMEs</x:v>
      </x:c>
      <x:c r="G445" s="5"/>
      <x:c r="H445" s="11"/>
      <x:c r="I445" s="11" t="n">
        <x:f>'Cycles &amp; Guide'!$D$13</x:f>
        <x:v>46387</x:v>
      </x:c>
      <x:c r="J445" s="11"/>
      <x:c r="K445" s="29"/>
      <x:c r="L445" s="2" t="str">
        <x:f>IF(O445=1,"Complete",IF(A445,"Checklist open",IF(H445&lt;&gt;"","In progress","Not started")))</x:f>
        <x:v>Not started</x:v>
      </x:c>
      <x:c r="M445" s="2" t="str">
        <x:v>Task</x:v>
      </x:c>
      <x:c r="N445" s="2" t="str">
        <x:v>DI.AU.3.3.2026.CY4</x:v>
      </x:c>
      <x:c r="O445" s="2" t="n">
        <x:f>R445</x:f>
        <x:v>0</x:v>
      </x:c>
      <x:c r="P445" s="2"/>
      <x:c r="Q445" s="2" t="n">
        <x:v>1</x:v>
      </x:c>
      <x:c r="R445" s="2" t="n">
        <x:f>IF(A445,1,0)</x:f>
        <x:v>0</x:v>
      </x:c>
      <x:c r="S445" s="2" t="n">
        <x:f>SUBTOTAL(103,N445)</x:f>
        <x:v>1</x:v>
      </x:c>
    </x:row>
    <x:row r="446" ht="42" customHeight="1">
      <x:c r="A446" s="28" t="b">
        <x:v>0</x:v>
      </x:c>
      <x:c r="B446" s="2" t="str">
        <x:v>Cycle 4</x:v>
      </x:c>
      <x:c r="C446" s="2" t="str">
        <x:v>Phase 3</x:v>
      </x:c>
      <x:c r="D446" s="2" t="str">
        <x:v>Auto</x:v>
      </x:c>
      <x:c r="E446" s="56" t="str">
        <x:v>DI.AU.3.4</x:v>
      </x:c>
      <x:c r="F446" s="14" t="str">
        <x:v>Update Outcome portion of research plan (as needed)</x:v>
      </x:c>
      <x:c r="G446" s="5"/>
      <x:c r="H446" s="11"/>
      <x:c r="I446" s="11" t="n">
        <x:f>'Cycles &amp; Guide'!$D$13</x:f>
        <x:v>46387</x:v>
      </x:c>
      <x:c r="J446" s="11"/>
      <x:c r="K446" s="29"/>
      <x:c r="L446" s="2" t="str">
        <x:f>IF(O446=1,"Complete",IF(A446,"Checklist open",IF(H446&lt;&gt;"","In progress","Not started")))</x:f>
        <x:v>Not started</x:v>
      </x:c>
      <x:c r="M446" s="2" t="str">
        <x:v>Task</x:v>
      </x:c>
      <x:c r="N446" s="2" t="str">
        <x:v>DI.AU.3.4.2026.CY4</x:v>
      </x:c>
      <x:c r="O446" s="2" t="n">
        <x:f>R446</x:f>
        <x:v>0</x:v>
      </x:c>
      <x:c r="P446" s="2"/>
      <x:c r="Q446" s="2" t="n">
        <x:v>1</x:v>
      </x:c>
      <x:c r="R446" s="2" t="n">
        <x:f>IF(A446,1,0)</x:f>
        <x:v>0</x:v>
      </x:c>
      <x:c r="S446" s="2" t="n">
        <x:f>SUBTOTAL(103,N446)</x:f>
        <x:v>1</x:v>
      </x:c>
    </x:row>
    <x:row r="447" ht="42" customHeight="1">
      <x:c r="A447" s="28" t="b">
        <x:v>0</x:v>
      </x:c>
      <x:c r="B447" s="2" t="str">
        <x:v>Cycle 4</x:v>
      </x:c>
      <x:c r="C447" s="2" t="str">
        <x:v>Phase 3</x:v>
      </x:c>
      <x:c r="D447" s="2" t="str">
        <x:v>Auto</x:v>
      </x:c>
      <x:c r="E447" s="56" t="str">
        <x:v>DI.AU.3.5</x:v>
      </x:c>
      <x:c r="F447" s="14" t="str">
        <x:v>Finalize presentation deck by incorporating pre-socialization feedback (as needed)</x:v>
      </x:c>
      <x:c r="G447" s="5"/>
      <x:c r="H447" s="11"/>
      <x:c r="I447" s="11" t="n">
        <x:f>'Cycles &amp; Guide'!$D$13</x:f>
        <x:v>46387</x:v>
      </x:c>
      <x:c r="J447" s="11"/>
      <x:c r="K447" s="29"/>
      <x:c r="L447" s="2" t="str">
        <x:f>IF(O447=1,"Complete",IF(A447,"Checklist open",IF(H447&lt;&gt;"","In progress","Not started")))</x:f>
        <x:v>Not started</x:v>
      </x:c>
      <x:c r="M447" s="2" t="str">
        <x:v>Task</x:v>
      </x:c>
      <x:c r="N447" s="2" t="str">
        <x:v>DI.AU.3.5.2026.CY4</x:v>
      </x:c>
      <x:c r="O447" s="2" t="n">
        <x:f>R447</x:f>
        <x:v>0</x:v>
      </x:c>
      <x:c r="P447" s="2"/>
      <x:c r="Q447" s="2" t="n">
        <x:v>1</x:v>
      </x:c>
      <x:c r="R447" s="2" t="n">
        <x:f>IF(A447,1,0)</x:f>
        <x:v>0</x:v>
      </x:c>
      <x:c r="S447" s="2" t="n">
        <x:f>SUBTOTAL(103,N447)</x:f>
        <x:v>1</x:v>
      </x:c>
    </x:row>
    <x:row r="448" ht="42" customHeight="1">
      <x:c r="A448" s="28" t="b">
        <x:v>0</x:v>
      </x:c>
      <x:c r="B448" s="2" t="str">
        <x:v>Cycle 4</x:v>
      </x:c>
      <x:c r="C448" s="2" t="str">
        <x:v>Phase 3</x:v>
      </x:c>
      <x:c r="D448" s="2" t="str">
        <x:v>Auto</x:v>
      </x:c>
      <x:c r="E448" s="56" t="str">
        <x:v>DI.AU.3.6</x:v>
      </x:c>
      <x:c r="F448" s="14" t="str">
        <x:v>Ensure final deck is communicated to Forum attendees</x:v>
      </x:c>
      <x:c r="G448" s="5"/>
      <x:c r="H448" s="11"/>
      <x:c r="I448" s="11" t="n">
        <x:f>'Cycles &amp; Guide'!$D$13</x:f>
        <x:v>46387</x:v>
      </x:c>
      <x:c r="J448" s="11"/>
      <x:c r="K448" s="29"/>
      <x:c r="L448" s="2" t="str">
        <x:f>IF(O448=1,"Complete",IF(A448,"Checklist open",IF(H448&lt;&gt;"","In progress","Not started")))</x:f>
        <x:v>Not started</x:v>
      </x:c>
      <x:c r="M448" s="2" t="str">
        <x:v>Task</x:v>
      </x:c>
      <x:c r="N448" s="2" t="str">
        <x:v>DI.AU.3.6.2026.CY4</x:v>
      </x:c>
      <x:c r="O448" s="2" t="n">
        <x:f>R448</x:f>
        <x:v>0</x:v>
      </x:c>
      <x:c r="P448" s="2"/>
      <x:c r="Q448" s="2" t="n">
        <x:v>1</x:v>
      </x:c>
      <x:c r="R448" s="2" t="n">
        <x:f>IF(A448,1,0)</x:f>
        <x:v>0</x:v>
      </x:c>
      <x:c r="S448" s="2" t="n">
        <x:f>SUBTOTAL(103,N448)</x:f>
        <x:v>1</x:v>
      </x:c>
    </x:row>
    <x:row r="449" ht="42" customHeight="1">
      <x:c r="A449" s="28" t="b">
        <x:v>0</x:v>
      </x:c>
      <x:c r="B449" s="2" t="str">
        <x:v>Cycle 4</x:v>
      </x:c>
      <x:c r="C449" s="2" t="str">
        <x:v>Phase 3</x:v>
      </x:c>
      <x:c r="D449" s="2" t="str">
        <x:v>Auto</x:v>
      </x:c>
      <x:c r="E449" s="56" t="str">
        <x:v>DI.AU.3.7</x:v>
      </x:c>
      <x:c r="F449" s="14" t="str">
        <x:v>Present material in RCA Cycle Forum</x:v>
      </x:c>
      <x:c r="G449" s="5"/>
      <x:c r="H449" s="11"/>
      <x:c r="I449" s="11" t="str">
        <x:f>IF(SUMIFS('Cycles &amp; Guide'!$D$23:$D$50,'Cycles &amp; Guide'!$B$23:$B$50,B449,'Cycles &amp; Guide'!$C$23:$C$50,D449)=0,"",SUMIFS('Cycles &amp; Guide'!$D$23:$D$50,'Cycles &amp; Guide'!$B$23:$B$50,B449,'Cycles &amp; Guide'!$C$23:$C$50,D449))</x:f>
      </x:c>
      <x:c r="J449" s="11"/>
      <x:c r="K449" s="29"/>
      <x:c r="L449" s="2" t="str">
        <x:f>IF(O449=1,"Complete",IF(A449,"Checklist open",IF(H449&lt;&gt;"","In progress","Not started")))</x:f>
        <x:v>Not started</x:v>
      </x:c>
      <x:c r="M449" s="2" t="str">
        <x:v>Task</x:v>
      </x:c>
      <x:c r="N449" s="2" t="str">
        <x:v>DI.AU.3.7.2026.CY4</x:v>
      </x:c>
      <x:c r="O449" s="2" t="n">
        <x:f>R449</x:f>
        <x:v>0</x:v>
      </x:c>
      <x:c r="P449" s="2"/>
      <x:c r="Q449" s="2" t="n">
        <x:v>1</x:v>
      </x:c>
      <x:c r="R449" s="2" t="n">
        <x:f>IF(A449,1,0)</x:f>
        <x:v>0</x:v>
      </x:c>
      <x:c r="S449" s="2" t="n">
        <x:f>SUBTOTAL(103,N449)</x:f>
        <x:v>1</x:v>
      </x:c>
    </x:row>
    <x:row r="450" ht="42" customHeight="1">
      <x:c r="A450" s="28" t="b">
        <x:v>0</x:v>
      </x:c>
      <x:c r="B450" s="2" t="str">
        <x:v>Cycle 4</x:v>
      </x:c>
      <x:c r="C450" s="2" t="str">
        <x:v>Phase 1</x:v>
      </x:c>
      <x:c r="D450" s="2" t="str">
        <x:v>Cards</x:v>
      </x:c>
      <x:c r="E450" s="56" t="str">
        <x:v>DI.CA.1.1</x:v>
      </x:c>
      <x:c r="F450" s="14" t="str">
        <x:v>Receive and review potential research topics at least 2 weeks prior to Cycle start date</x:v>
      </x:c>
      <x:c r="G450" s="5"/>
      <x:c r="H450" s="11"/>
      <x:c r="I450" s="11" t="n">
        <x:f>'Cycles &amp; Guide'!$C$13-14</x:f>
        <x:v>46282</x:v>
      </x:c>
      <x:c r="J450" s="11"/>
      <x:c r="K450" s="29"/>
      <x:c r="L450" s="2" t="str">
        <x:f>IF(O450=1,"Complete",IF(A450,"Checklist open",IF(H450&lt;&gt;"","In progress","Not started")))</x:f>
        <x:v>Not started</x:v>
      </x:c>
      <x:c r="M450" s="2" t="str">
        <x:v>Task</x:v>
      </x:c>
      <x:c r="N450" s="2" t="str">
        <x:v>DI.CA.1.1.2026.CY4</x:v>
      </x:c>
      <x:c r="O450" s="2" t="n">
        <x:f>R450</x:f>
        <x:v>0</x:v>
      </x:c>
      <x:c r="P450" s="2"/>
      <x:c r="Q450" s="2" t="n">
        <x:v>1</x:v>
      </x:c>
      <x:c r="R450" s="2" t="n">
        <x:f>IF(A450,1,0)</x:f>
        <x:v>0</x:v>
      </x:c>
      <x:c r="S450" s="2" t="n">
        <x:f>SUBTOTAL(103,N450)</x:f>
        <x:v>1</x:v>
      </x:c>
    </x:row>
    <x:row r="451" ht="42" customHeight="1">
      <x:c r="A451" s="28" t="b">
        <x:v>0</x:v>
      </x:c>
      <x:c r="B451" s="2" t="str">
        <x:v>Cycle 4</x:v>
      </x:c>
      <x:c r="C451" s="2" t="str">
        <x:v>Phase 1</x:v>
      </x:c>
      <x:c r="D451" s="2" t="str">
        <x:v>Cards</x:v>
      </x:c>
      <x:c r="E451" s="56" t="str">
        <x:v>DI.CA.1.2</x:v>
      </x:c>
      <x:c r="F451" s="14" t="str">
        <x:v>Communicate any feedback on preferences or concerns with topics identified</x:v>
      </x:c>
      <x:c r="G451" s="5"/>
      <x:c r="H451" s="11"/>
      <x:c r="I451" s="11" t="n">
        <x:f>'Cycles &amp; Guide'!$D$13</x:f>
        <x:v>46387</x:v>
      </x:c>
      <x:c r="J451" s="11"/>
      <x:c r="K451" s="29"/>
      <x:c r="L451" s="2" t="str">
        <x:f>IF(O451=1,"Complete",IF(A451,"Checklist open",IF(H451&lt;&gt;"","In progress","Not started")))</x:f>
        <x:v>Not started</x:v>
      </x:c>
      <x:c r="M451" s="2" t="str">
        <x:v>Task</x:v>
      </x:c>
      <x:c r="N451" s="2" t="str">
        <x:v>DI.CA.1.2.2026.CY4</x:v>
      </x:c>
      <x:c r="O451" s="2" t="n">
        <x:f>R451</x:f>
        <x:v>0</x:v>
      </x:c>
      <x:c r="P451" s="2"/>
      <x:c r="Q451" s="2" t="n">
        <x:v>1</x:v>
      </x:c>
      <x:c r="R451" s="2" t="n">
        <x:f>IF(A451,1,0)</x:f>
        <x:v>0</x:v>
      </x:c>
      <x:c r="S451" s="2" t="n">
        <x:f>SUBTOTAL(103,N451)</x:f>
        <x:v>1</x:v>
      </x:c>
    </x:row>
    <x:row r="452" ht="42" customHeight="1">
      <x:c r="A452" s="28" t="b">
        <x:v>0</x:v>
      </x:c>
      <x:c r="B452" s="2" t="str">
        <x:v>Cycle 4</x:v>
      </x:c>
      <x:c r="C452" s="2" t="str">
        <x:v>Phase 1</x:v>
      </x:c>
      <x:c r="D452" s="2" t="str">
        <x:v>Cards</x:v>
      </x:c>
      <x:c r="E452" s="56" t="str">
        <x:v>DI.CA.1.3</x:v>
      </x:c>
      <x:c r="F452" s="14" t="str">
        <x:v>Conduct high-level preliminary review of complaints within proposed topics</x:v>
      </x:c>
      <x:c r="G452" s="5"/>
      <x:c r="H452" s="11"/>
      <x:c r="I452" s="11" t="n">
        <x:f>'Cycles &amp; Guide'!$D$13</x:f>
        <x:v>46387</x:v>
      </x:c>
      <x:c r="J452" s="11"/>
      <x:c r="K452" s="29"/>
      <x:c r="L452" s="2" t="str">
        <x:f>IF(O452=1,"Complete",IF(A452,"Checklist open",IF(H452&lt;&gt;"","In progress","Not started")))</x:f>
        <x:v>Not started</x:v>
      </x:c>
      <x:c r="M452" s="2" t="str">
        <x:v>Task</x:v>
      </x:c>
      <x:c r="N452" s="2" t="str">
        <x:v>DI.CA.1.3.2026.CY4</x:v>
      </x:c>
      <x:c r="O452" s="2" t="n">
        <x:f>R452</x:f>
        <x:v>0</x:v>
      </x:c>
      <x:c r="P452" s="2"/>
      <x:c r="Q452" s="2" t="n">
        <x:v>1</x:v>
      </x:c>
      <x:c r="R452" s="2" t="n">
        <x:f>IF(A452,1,0)</x:f>
        <x:v>0</x:v>
      </x:c>
      <x:c r="S452" s="2" t="n">
        <x:f>SUBTOTAL(103,N452)</x:f>
        <x:v>1</x:v>
      </x:c>
    </x:row>
    <x:row r="453" ht="42" customHeight="1">
      <x:c r="A453" s="28" t="b">
        <x:v>0</x:v>
      </x:c>
      <x:c r="B453" s="2" t="str">
        <x:v>Cycle 4</x:v>
      </x:c>
      <x:c r="C453" s="2" t="str">
        <x:v>Phase 1</x:v>
      </x:c>
      <x:c r="D453" s="2" t="str">
        <x:v>Cards</x:v>
      </x:c>
      <x:c r="E453" s="56" t="str">
        <x:v>DI.CA.1.4</x:v>
      </x:c>
      <x:c r="F453" s="14" t="str">
        <x:v>Meet with Research to discuss which topic to select based on potential impact</x:v>
      </x:c>
      <x:c r="G453" s="5"/>
      <x:c r="H453" s="11"/>
      <x:c r="I453" s="11" t="n">
        <x:f>'Cycles &amp; Guide'!$D$13</x:f>
        <x:v>46387</x:v>
      </x:c>
      <x:c r="J453" s="11"/>
      <x:c r="K453" s="29"/>
      <x:c r="L453" s="2" t="str">
        <x:f>IF(O453=1,"Complete",IF(A453,"Checklist open",IF(H453&lt;&gt;"","In progress","Not started")))</x:f>
        <x:v>Not started</x:v>
      </x:c>
      <x:c r="M453" s="2" t="str">
        <x:v>Task</x:v>
      </x:c>
      <x:c r="N453" s="2" t="str">
        <x:v>DI.CA.1.4.2026.CY4</x:v>
      </x:c>
      <x:c r="O453" s="2" t="n">
        <x:f>R453</x:f>
        <x:v>0</x:v>
      </x:c>
      <x:c r="P453" s="2"/>
      <x:c r="Q453" s="2" t="n">
        <x:v>1</x:v>
      </x:c>
      <x:c r="R453" s="2" t="n">
        <x:f>IF(A453,1,0)</x:f>
        <x:v>0</x:v>
      </x:c>
      <x:c r="S453" s="2" t="n">
        <x:f>SUBTOTAL(103,N453)</x:f>
        <x:v>1</x:v>
      </x:c>
    </x:row>
    <x:row r="454" ht="42" customHeight="1">
      <x:c r="A454" s="28" t="b">
        <x:v>0</x:v>
      </x:c>
      <x:c r="B454" s="2" t="str">
        <x:v>Cycle 4</x:v>
      </x:c>
      <x:c r="C454" s="2" t="str">
        <x:v>Phase 1</x:v>
      </x:c>
      <x:c r="D454" s="2" t="str">
        <x:v>Cards</x:v>
      </x:c>
      <x:c r="E454" s="56" t="str">
        <x:v>DI.CA.1.5</x:v>
      </x:c>
      <x:c r="F454" s="14" t="str">
        <x:v>Confirm with Research the recommended topic for approval</x:v>
      </x:c>
      <x:c r="G454" s="5"/>
      <x:c r="H454" s="11"/>
      <x:c r="I454" s="11" t="n">
        <x:f>'Cycles &amp; Guide'!$D$13</x:f>
        <x:v>46387</x:v>
      </x:c>
      <x:c r="J454" s="11"/>
      <x:c r="K454" s="29"/>
      <x:c r="L454" s="2" t="str">
        <x:f>IF(O454=1,"Complete",IF(A454,"Checklist open",IF(H454&lt;&gt;"","In progress","Not started")))</x:f>
        <x:v>Not started</x:v>
      </x:c>
      <x:c r="M454" s="2" t="str">
        <x:v>Task</x:v>
      </x:c>
      <x:c r="N454" s="2" t="str">
        <x:v>DI.CA.1.5.2026.CY4</x:v>
      </x:c>
      <x:c r="O454" s="2" t="n">
        <x:f>R454</x:f>
        <x:v>0</x:v>
      </x:c>
      <x:c r="P454" s="2"/>
      <x:c r="Q454" s="2" t="n">
        <x:v>1</x:v>
      </x:c>
      <x:c r="R454" s="2" t="n">
        <x:f>IF(A454,1,0)</x:f>
        <x:v>0</x:v>
      </x:c>
      <x:c r="S454" s="2" t="n">
        <x:f>SUBTOTAL(103,N454)</x:f>
        <x:v>1</x:v>
      </x:c>
    </x:row>
    <x:row r="455" ht="42" customHeight="1">
      <x:c r="A455" s="28" t="b">
        <x:v>0</x:v>
      </x:c>
      <x:c r="B455" s="2" t="str">
        <x:v>Cycle 4</x:v>
      </x:c>
      <x:c r="C455" s="2" t="str">
        <x:v>Phase 1</x:v>
      </x:c>
      <x:c r="D455" s="2" t="str">
        <x:v>Cards</x:v>
      </x:c>
      <x:c r="E455" s="56" t="str">
        <x:v>DI.CA.1.6</x:v>
      </x:c>
      <x:c r="F455" s="14" t="str">
        <x:v>Send topic selection socialization email to all key stakeholders on the first day of the review Cycle</x:v>
      </x:c>
      <x:c r="G455" s="5"/>
      <x:c r="H455" s="11"/>
      <x:c r="I455" s="11" t="n">
        <x:f>'Cycles &amp; Guide'!$C$13</x:f>
        <x:v>46296</x:v>
      </x:c>
      <x:c r="J455" s="11"/>
      <x:c r="K455" s="29"/>
      <x:c r="L455" s="2" t="str">
        <x:f>IF(O455=1,"Complete",IF(A455,"Checklist open",IF(H455&lt;&gt;"","In progress","Not started")))</x:f>
        <x:v>Not started</x:v>
      </x:c>
      <x:c r="M455" s="2" t="str">
        <x:v>Task</x:v>
      </x:c>
      <x:c r="N455" s="2" t="str">
        <x:v>DI.CA.1.6.2026.CY4</x:v>
      </x:c>
      <x:c r="O455" s="2" t="n">
        <x:f>R455</x:f>
        <x:v>0</x:v>
      </x:c>
      <x:c r="P455" s="2"/>
      <x:c r="Q455" s="2" t="n">
        <x:v>1</x:v>
      </x:c>
      <x:c r="R455" s="2" t="n">
        <x:f>IF(A455,1,0)</x:f>
        <x:v>0</x:v>
      </x:c>
      <x:c r="S455" s="2" t="n">
        <x:f>SUBTOTAL(103,N455)</x:f>
        <x:v>1</x:v>
      </x:c>
    </x:row>
    <x:row r="456" ht="42" customHeight="1">
      <x:c r="A456" s="28" t="b">
        <x:v>0</x:v>
      </x:c>
      <x:c r="B456" s="2" t="str">
        <x:v>Cycle 4</x:v>
      </x:c>
      <x:c r="C456" s="2" t="str">
        <x:v>Phase 2</x:v>
      </x:c>
      <x:c r="D456" s="2" t="str">
        <x:v>Cards</x:v>
      </x:c>
      <x:c r="E456" s="56" t="str">
        <x:v>DI.CA.2.1</x:v>
      </x:c>
      <x:c r="F456" s="14" t="str">
        <x:v>Meet regularly with Research to stay informed on progress, findings, and potential enhancement</x:v>
      </x:c>
      <x:c r="G456" s="5"/>
      <x:c r="H456" s="11"/>
      <x:c r="I456" s="11" t="n">
        <x:f>'Cycles &amp; Guide'!$D$13</x:f>
        <x:v>46387</x:v>
      </x:c>
      <x:c r="J456" s="11"/>
      <x:c r="K456" s="29"/>
      <x:c r="L456" s="2" t="str">
        <x:f>IF(O456=1,"Complete",IF(A456,"Checklist open",IF(H456&lt;&gt;"","In progress","Not started")))</x:f>
        <x:v>Not started</x:v>
      </x:c>
      <x:c r="M456" s="2" t="str">
        <x:v>Task</x:v>
      </x:c>
      <x:c r="N456" s="2" t="str">
        <x:v>DI.CA.2.1.2026.CY4</x:v>
      </x:c>
      <x:c r="O456" s="2" t="n">
        <x:f>R456</x:f>
        <x:v>0</x:v>
      </x:c>
      <x:c r="P456" s="2"/>
      <x:c r="Q456" s="2" t="n">
        <x:v>1</x:v>
      </x:c>
      <x:c r="R456" s="2" t="n">
        <x:f>IF(A456,1,0)</x:f>
        <x:v>0</x:v>
      </x:c>
      <x:c r="S456" s="2" t="n">
        <x:f>SUBTOTAL(103,N456)</x:f>
        <x:v>1</x:v>
      </x:c>
    </x:row>
    <x:row r="457" ht="42" customHeight="1">
      <x:c r="A457" s="28" t="b">
        <x:v>0</x:v>
      </x:c>
      <x:c r="B457" s="2" t="str">
        <x:v>Cycle 4</x:v>
      </x:c>
      <x:c r="C457" s="2" t="str">
        <x:v>Phase 2</x:v>
      </x:c>
      <x:c r="D457" s="2" t="str">
        <x:v>Cards</x:v>
      </x:c>
      <x:c r="E457" s="56" t="str">
        <x:v>DI.CA.2.2</x:v>
      </x:c>
      <x:c r="F457" s="14" t="str">
        <x:v>Collaborate with Research on research plan specifics</x:v>
      </x:c>
      <x:c r="G457" s="5"/>
      <x:c r="H457" s="11"/>
      <x:c r="I457" s="11" t="n">
        <x:f>'Cycles &amp; Guide'!$D$13</x:f>
        <x:v>46387</x:v>
      </x:c>
      <x:c r="J457" s="11"/>
      <x:c r="K457" s="29"/>
      <x:c r="L457" s="2" t="str">
        <x:f>IF(O457=1,"Complete",IF(A457,"Checklist open",IF(H457&lt;&gt;"","In progress","Not started")))</x:f>
        <x:v>Not started</x:v>
      </x:c>
      <x:c r="M457" s="2" t="str">
        <x:v>Task</x:v>
      </x:c>
      <x:c r="N457" s="2" t="str">
        <x:v>DI.CA.2.2.2026.CY4</x:v>
      </x:c>
      <x:c r="O457" s="2" t="n">
        <x:f>R457</x:f>
        <x:v>0</x:v>
      </x:c>
      <x:c r="P457" s="2"/>
      <x:c r="Q457" s="2" t="n">
        <x:v>1</x:v>
      </x:c>
      <x:c r="R457" s="2" t="n">
        <x:f>IF(A457,1,0)</x:f>
        <x:v>0</x:v>
      </x:c>
      <x:c r="S457" s="2" t="n">
        <x:f>SUBTOTAL(103,N457)</x:f>
        <x:v>1</x:v>
      </x:c>
    </x:row>
    <x:row r="458" ht="42" customHeight="1">
      <x:c r="A458" s="28" t="b">
        <x:v>0</x:v>
      </x:c>
      <x:c r="B458" s="2" t="str">
        <x:v>Cycle 4</x:v>
      </x:c>
      <x:c r="C458" s="2" t="str">
        <x:v>Phase 2</x:v>
      </x:c>
      <x:c r="D458" s="2" t="str">
        <x:v>Cards</x:v>
      </x:c>
      <x:c r="E458" s="56" t="str">
        <x:v>DI.CA.2.3</x:v>
      </x:c>
      <x:c r="F458" s="14" t="str">
        <x:v>Participate in SME insight meetings to gain perspective and appetite on potential enhancements</x:v>
      </x:c>
      <x:c r="G458" s="5"/>
      <x:c r="H458" s="11"/>
      <x:c r="I458" s="11" t="n">
        <x:f>'Cycles &amp; Guide'!$D$13</x:f>
        <x:v>46387</x:v>
      </x:c>
      <x:c r="J458" s="11"/>
      <x:c r="K458" s="29"/>
      <x:c r="L458" s="2" t="str">
        <x:f>IF(O458=1,"Complete",IF(A458,"Checklist open",IF(H458&lt;&gt;"","In progress","Not started")))</x:f>
        <x:v>Not started</x:v>
      </x:c>
      <x:c r="M458" s="2" t="str">
        <x:v>Task</x:v>
      </x:c>
      <x:c r="N458" s="2" t="str">
        <x:v>DI.CA.2.3.2026.CY4</x:v>
      </x:c>
      <x:c r="O458" s="2" t="n">
        <x:f>R458</x:f>
        <x:v>0</x:v>
      </x:c>
      <x:c r="P458" s="2"/>
      <x:c r="Q458" s="2" t="n">
        <x:v>1</x:v>
      </x:c>
      <x:c r="R458" s="2" t="n">
        <x:f>IF(A458,1,0)</x:f>
        <x:v>0</x:v>
      </x:c>
      <x:c r="S458" s="2" t="n">
        <x:f>SUBTOTAL(103,N458)</x:f>
        <x:v>1</x:v>
      </x:c>
    </x:row>
    <x:row r="459" ht="42" customHeight="1">
      <x:c r="A459" s="28" t="b">
        <x:v>0</x:v>
      </x:c>
      <x:c r="B459" s="2" t="str">
        <x:v>Cycle 4</x:v>
      </x:c>
      <x:c r="C459" s="2" t="str">
        <x:v>Phase 2</x:v>
      </x:c>
      <x:c r="D459" s="2" t="str">
        <x:v>Cards</x:v>
      </x:c>
      <x:c r="E459" s="56" t="str">
        <x:v>DI.CA.2.4</x:v>
      </x:c>
      <x:c r="F459" s="14" t="str">
        <x:v>Begin development of presentation materials as Research is being completed</x:v>
      </x:c>
      <x:c r="G459" s="5"/>
      <x:c r="H459" s="11"/>
      <x:c r="I459" s="11" t="n">
        <x:f>'Cycles &amp; Guide'!$D$13</x:f>
        <x:v>46387</x:v>
      </x:c>
      <x:c r="J459" s="11"/>
      <x:c r="K459" s="29"/>
      <x:c r="L459" s="2" t="str">
        <x:f>IF(O459=1,"Complete",IF(A459,"Checklist open",IF(H459&lt;&gt;"","In progress","Not started")))</x:f>
        <x:v>Not started</x:v>
      </x:c>
      <x:c r="M459" s="2" t="str">
        <x:v>Task</x:v>
      </x:c>
      <x:c r="N459" s="2" t="str">
        <x:v>DI.CA.2.4.2026.CY4</x:v>
      </x:c>
      <x:c r="O459" s="2" t="n">
        <x:f>R459</x:f>
        <x:v>0</x:v>
      </x:c>
      <x:c r="P459" s="2"/>
      <x:c r="Q459" s="2" t="n">
        <x:v>1</x:v>
      </x:c>
      <x:c r="R459" s="2" t="n">
        <x:f>IF(A459,1,0)</x:f>
        <x:v>0</x:v>
      </x:c>
      <x:c r="S459" s="2" t="n">
        <x:f>SUBTOTAL(103,N459)</x:f>
        <x:v>1</x:v>
      </x:c>
    </x:row>
    <x:row r="460" ht="42" customHeight="1">
      <x:c r="A460" s="28" t="b">
        <x:v>0</x:v>
      </x:c>
      <x:c r="B460" s="2" t="str">
        <x:v>Cycle 4</x:v>
      </x:c>
      <x:c r="C460" s="2" t="str">
        <x:v>Phase 2</x:v>
      </x:c>
      <x:c r="D460" s="2" t="str">
        <x:v>Cards</x:v>
      </x:c>
      <x:c r="E460" s="56" t="str">
        <x:v>DI.CA.2.5</x:v>
      </x:c>
      <x:c r="F460" s="14" t="str">
        <x:v>Draft initial enhancement recommendations (as applicable)</x:v>
      </x:c>
      <x:c r="G460" s="5"/>
      <x:c r="H460" s="11"/>
      <x:c r="I460" s="11" t="n">
        <x:f>'Cycles &amp; Guide'!$D$13</x:f>
        <x:v>46387</x:v>
      </x:c>
      <x:c r="J460" s="11"/>
      <x:c r="K460" s="29"/>
      <x:c r="L460" s="2" t="str">
        <x:f>IF(O460=1,"Complete",IF(A460,"Checklist open",IF(H460&lt;&gt;"","In progress","Not started")))</x:f>
        <x:v>Not started</x:v>
      </x:c>
      <x:c r="M460" s="2" t="str">
        <x:v>Task</x:v>
      </x:c>
      <x:c r="N460" s="2" t="str">
        <x:v>DI.CA.2.5.2026.CY4</x:v>
      </x:c>
      <x:c r="O460" s="2" t="n">
        <x:f>R460</x:f>
        <x:v>0</x:v>
      </x:c>
      <x:c r="P460" s="2"/>
      <x:c r="Q460" s="2" t="n">
        <x:v>1</x:v>
      </x:c>
      <x:c r="R460" s="2" t="n">
        <x:f>IF(A460,1,0)</x:f>
        <x:v>0</x:v>
      </x:c>
      <x:c r="S460" s="2" t="n">
        <x:f>SUBTOTAL(103,N460)</x:f>
        <x:v>1</x:v>
      </x:c>
    </x:row>
    <x:row r="461" ht="42" customHeight="1">
      <x:c r="A461" s="28" t="b">
        <x:v>0</x:v>
      </x:c>
      <x:c r="B461" s="2" t="str">
        <x:v>Cycle 4</x:v>
      </x:c>
      <x:c r="C461" s="2" t="str">
        <x:v>Phase 2</x:v>
      </x:c>
      <x:c r="D461" s="2" t="str">
        <x:v>Cards</x:v>
      </x:c>
      <x:c r="E461" s="56" t="str">
        <x:v>DI.CA.2.6</x:v>
      </x:c>
      <x:c r="F461" s="14" t="str">
        <x:v>Finalize presentation deck draft at conclusion of Research phase</x:v>
      </x:c>
      <x:c r="G461" s="5"/>
      <x:c r="H461" s="11"/>
      <x:c r="I461" s="11" t="n">
        <x:f>'Cycles &amp; Guide'!$D$13</x:f>
        <x:v>46387</x:v>
      </x:c>
      <x:c r="J461" s="11"/>
      <x:c r="K461" s="29"/>
      <x:c r="L461" s="2" t="str">
        <x:f>IF(O461=1,"Complete",IF(A461,"Checklist open",IF(H461&lt;&gt;"","In progress","Not started")))</x:f>
        <x:v>Not started</x:v>
      </x:c>
      <x:c r="M461" s="2" t="str">
        <x:v>Task</x:v>
      </x:c>
      <x:c r="N461" s="2" t="str">
        <x:v>DI.CA.2.6.2026.CY4</x:v>
      </x:c>
      <x:c r="O461" s="2" t="n">
        <x:f>R461</x:f>
        <x:v>0</x:v>
      </x:c>
      <x:c r="P461" s="2"/>
      <x:c r="Q461" s="2" t="n">
        <x:v>1</x:v>
      </x:c>
      <x:c r="R461" s="2" t="n">
        <x:f>IF(A461,1,0)</x:f>
        <x:v>0</x:v>
      </x:c>
      <x:c r="S461" s="2" t="n">
        <x:f>SUBTOTAL(103,N461)</x:f>
        <x:v>1</x:v>
      </x:c>
    </x:row>
    <x:row r="462" ht="42" customHeight="1">
      <x:c r="A462" s="28" t="b">
        <x:v>0</x:v>
      </x:c>
      <x:c r="B462" s="2" t="str">
        <x:v>Cycle 4</x:v>
      </x:c>
      <x:c r="C462" s="2" t="str">
        <x:v>Phase 2</x:v>
      </x:c>
      <x:c r="D462" s="2" t="str">
        <x:v>Cards</x:v>
      </x:c>
      <x:c r="E462" s="56" t="str">
        <x:v>DI.CA.2.7</x:v>
      </x:c>
      <x:c r="F462" s="14" t="str">
        <x:v>Update Outcome portion of research plan with current enhancement verbiage (as needed)</x:v>
      </x:c>
      <x:c r="G462" s="5"/>
      <x:c r="H462" s="11"/>
      <x:c r="I462" s="11" t="n">
        <x:f>'Cycles &amp; Guide'!$D$13</x:f>
        <x:v>46387</x:v>
      </x:c>
      <x:c r="J462" s="11"/>
      <x:c r="K462" s="29"/>
      <x:c r="L462" s="2" t="str">
        <x:f>IF(O462=1,"Complete",IF(A462,"Checklist open",IF(H462&lt;&gt;"","In progress","Not started")))</x:f>
        <x:v>Not started</x:v>
      </x:c>
      <x:c r="M462" s="2" t="str">
        <x:v>Task</x:v>
      </x:c>
      <x:c r="N462" s="2" t="str">
        <x:v>DI.CA.2.7.2026.CY4</x:v>
      </x:c>
      <x:c r="O462" s="2" t="n">
        <x:f>R462</x:f>
        <x:v>0</x:v>
      </x:c>
      <x:c r="P462" s="2"/>
      <x:c r="Q462" s="2" t="n">
        <x:v>1</x:v>
      </x:c>
      <x:c r="R462" s="2" t="n">
        <x:f>IF(A462,1,0)</x:f>
        <x:v>0</x:v>
      </x:c>
      <x:c r="S462" s="2" t="n">
        <x:f>SUBTOTAL(103,N462)</x:f>
        <x:v>1</x:v>
      </x:c>
    </x:row>
    <x:row r="463" ht="42" customHeight="1">
      <x:c r="A463" s="28" t="b">
        <x:v>0</x:v>
      </x:c>
      <x:c r="B463" s="2" t="str">
        <x:v>Cycle 4</x:v>
      </x:c>
      <x:c r="C463" s="2" t="str">
        <x:v>Phase 3</x:v>
      </x:c>
      <x:c r="D463" s="2" t="str">
        <x:v>Cards</x:v>
      </x:c>
      <x:c r="E463" s="56" t="str">
        <x:v>DI.CA.3.1</x:v>
      </x:c>
      <x:c r="F463" s="14" t="str">
        <x:v>Confirm list of required &amp; optional attendees for pre-socialization meeting</x:v>
      </x:c>
      <x:c r="G463" s="5"/>
      <x:c r="H463" s="11"/>
      <x:c r="I463" s="11" t="n">
        <x:f>'Cycles &amp; Guide'!$D$13</x:f>
        <x:v>46387</x:v>
      </x:c>
      <x:c r="J463" s="11"/>
      <x:c r="K463" s="29"/>
      <x:c r="L463" s="2" t="str">
        <x:f>IF(O463=1,"Complete",IF(A463,"Checklist open",IF(H463&lt;&gt;"","In progress","Not started")))</x:f>
        <x:v>Not started</x:v>
      </x:c>
      <x:c r="M463" s="2" t="str">
        <x:v>Task</x:v>
      </x:c>
      <x:c r="N463" s="2" t="str">
        <x:v>DI.CA.3.1.2026.CY4</x:v>
      </x:c>
      <x:c r="O463" s="2" t="n">
        <x:f>R463</x:f>
        <x:v>0</x:v>
      </x:c>
      <x:c r="P463" s="2"/>
      <x:c r="Q463" s="2" t="n">
        <x:v>1</x:v>
      </x:c>
      <x:c r="R463" s="2" t="n">
        <x:f>IF(A463,1,0)</x:f>
        <x:v>0</x:v>
      </x:c>
      <x:c r="S463" s="2" t="n">
        <x:f>SUBTOTAL(103,N463)</x:f>
        <x:v>1</x:v>
      </x:c>
    </x:row>
    <x:row r="464" ht="42" customHeight="1">
      <x:c r="A464" s="28" t="b">
        <x:v>0</x:v>
      </x:c>
      <x:c r="B464" s="2" t="str">
        <x:v>Cycle 4</x:v>
      </x:c>
      <x:c r="C464" s="2" t="str">
        <x:v>Phase 3</x:v>
      </x:c>
      <x:c r="D464" s="2" t="str">
        <x:v>Cards</x:v>
      </x:c>
      <x:c r="E464" s="56" t="str">
        <x:v>DI.CA.3.2</x:v>
      </x:c>
      <x:c r="F464" s="14" t="str">
        <x:v>Schedule pre-socialization meeting 1 week prior to RCA Forum</x:v>
      </x:c>
      <x:c r="G464" s="5"/>
      <x:c r="H464" s="11"/>
      <x:c r="I464" s="11" t="str">
        <x:f>IF(SUMIFS('Cycles &amp; Guide'!$D$23:$D$50,'Cycles &amp; Guide'!$B$23:$B$50,B464,'Cycles &amp; Guide'!$C$23:$C$50,D464)=0,"",SUMIFS('Cycles &amp; Guide'!$D$23:$D$50,'Cycles &amp; Guide'!$B$23:$B$50,B464,'Cycles &amp; Guide'!$C$23:$C$50,D464)-7)</x:f>
      </x:c>
      <x:c r="J464" s="11"/>
      <x:c r="K464" s="29"/>
      <x:c r="L464" s="2" t="str">
        <x:f>IF(O464=1,"Complete",IF(A464,"Checklist open",IF(H464&lt;&gt;"","In progress","Not started")))</x:f>
        <x:v>Not started</x:v>
      </x:c>
      <x:c r="M464" s="2" t="str">
        <x:v>Task</x:v>
      </x:c>
      <x:c r="N464" s="2" t="str">
        <x:v>DI.CA.3.2.2026.CY4</x:v>
      </x:c>
      <x:c r="O464" s="2" t="n">
        <x:f>R464</x:f>
        <x:v>0</x:v>
      </x:c>
      <x:c r="P464" s="2"/>
      <x:c r="Q464" s="2" t="n">
        <x:v>1</x:v>
      </x:c>
      <x:c r="R464" s="2" t="n">
        <x:f>IF(A464,1,0)</x:f>
        <x:v>0</x:v>
      </x:c>
      <x:c r="S464" s="2" t="n">
        <x:f>SUBTOTAL(103,N464)</x:f>
        <x:v>1</x:v>
      </x:c>
    </x:row>
    <x:row r="465" ht="42" customHeight="1">
      <x:c r="A465" s="28" t="b">
        <x:v>0</x:v>
      </x:c>
      <x:c r="B465" s="2" t="str">
        <x:v>Cycle 4</x:v>
      </x:c>
      <x:c r="C465" s="2" t="str">
        <x:v>Phase 3</x:v>
      </x:c>
      <x:c r="D465" s="2" t="str">
        <x:v>Cards</x:v>
      </x:c>
      <x:c r="E465" s="56" t="str">
        <x:v>DI.CA.3.3</x:v>
      </x:c>
      <x:c r="F465" s="14" t="str">
        <x:v>Present findings, conclusions, and recommendation to SMEs</x:v>
      </x:c>
      <x:c r="G465" s="5"/>
      <x:c r="H465" s="11"/>
      <x:c r="I465" s="11" t="n">
        <x:f>'Cycles &amp; Guide'!$D$13</x:f>
        <x:v>46387</x:v>
      </x:c>
      <x:c r="J465" s="11"/>
      <x:c r="K465" s="29"/>
      <x:c r="L465" s="2" t="str">
        <x:f>IF(O465=1,"Complete",IF(A465,"Checklist open",IF(H465&lt;&gt;"","In progress","Not started")))</x:f>
        <x:v>Not started</x:v>
      </x:c>
      <x:c r="M465" s="2" t="str">
        <x:v>Task</x:v>
      </x:c>
      <x:c r="N465" s="2" t="str">
        <x:v>DI.CA.3.3.2026.CY4</x:v>
      </x:c>
      <x:c r="O465" s="2" t="n">
        <x:f>R465</x:f>
        <x:v>0</x:v>
      </x:c>
      <x:c r="P465" s="2"/>
      <x:c r="Q465" s="2" t="n">
        <x:v>1</x:v>
      </x:c>
      <x:c r="R465" s="2" t="n">
        <x:f>IF(A465,1,0)</x:f>
        <x:v>0</x:v>
      </x:c>
      <x:c r="S465" s="2" t="n">
        <x:f>SUBTOTAL(103,N465)</x:f>
        <x:v>1</x:v>
      </x:c>
    </x:row>
    <x:row r="466" ht="42" customHeight="1">
      <x:c r="A466" s="28" t="b">
        <x:v>0</x:v>
      </x:c>
      <x:c r="B466" s="2" t="str">
        <x:v>Cycle 4</x:v>
      </x:c>
      <x:c r="C466" s="2" t="str">
        <x:v>Phase 3</x:v>
      </x:c>
      <x:c r="D466" s="2" t="str">
        <x:v>Cards</x:v>
      </x:c>
      <x:c r="E466" s="56" t="str">
        <x:v>DI.CA.3.4</x:v>
      </x:c>
      <x:c r="F466" s="14" t="str">
        <x:v>Update Outcome portion of research plan (as needed)</x:v>
      </x:c>
      <x:c r="G466" s="5"/>
      <x:c r="H466" s="11"/>
      <x:c r="I466" s="11" t="n">
        <x:f>'Cycles &amp; Guide'!$D$13</x:f>
        <x:v>46387</x:v>
      </x:c>
      <x:c r="J466" s="11"/>
      <x:c r="K466" s="29"/>
      <x:c r="L466" s="2" t="str">
        <x:f>IF(O466=1,"Complete",IF(A466,"Checklist open",IF(H466&lt;&gt;"","In progress","Not started")))</x:f>
        <x:v>Not started</x:v>
      </x:c>
      <x:c r="M466" s="2" t="str">
        <x:v>Task</x:v>
      </x:c>
      <x:c r="N466" s="2" t="str">
        <x:v>DI.CA.3.4.2026.CY4</x:v>
      </x:c>
      <x:c r="O466" s="2" t="n">
        <x:f>R466</x:f>
        <x:v>0</x:v>
      </x:c>
      <x:c r="P466" s="2"/>
      <x:c r="Q466" s="2" t="n">
        <x:v>1</x:v>
      </x:c>
      <x:c r="R466" s="2" t="n">
        <x:f>IF(A466,1,0)</x:f>
        <x:v>0</x:v>
      </x:c>
      <x:c r="S466" s="2" t="n">
        <x:f>SUBTOTAL(103,N466)</x:f>
        <x:v>1</x:v>
      </x:c>
    </x:row>
    <x:row r="467" ht="42" customHeight="1">
      <x:c r="A467" s="28" t="b">
        <x:v>0</x:v>
      </x:c>
      <x:c r="B467" s="2" t="str">
        <x:v>Cycle 4</x:v>
      </x:c>
      <x:c r="C467" s="2" t="str">
        <x:v>Phase 3</x:v>
      </x:c>
      <x:c r="D467" s="2" t="str">
        <x:v>Cards</x:v>
      </x:c>
      <x:c r="E467" s="56" t="str">
        <x:v>DI.CA.3.5</x:v>
      </x:c>
      <x:c r="F467" s="14" t="str">
        <x:v>Finalize presentation deck by incorporating pre-socialization feedback (as needed)</x:v>
      </x:c>
      <x:c r="G467" s="5"/>
      <x:c r="H467" s="11"/>
      <x:c r="I467" s="11" t="n">
        <x:f>'Cycles &amp; Guide'!$D$13</x:f>
        <x:v>46387</x:v>
      </x:c>
      <x:c r="J467" s="11"/>
      <x:c r="K467" s="29"/>
      <x:c r="L467" s="2" t="str">
        <x:f>IF(O467=1,"Complete",IF(A467,"Checklist open",IF(H467&lt;&gt;"","In progress","Not started")))</x:f>
        <x:v>Not started</x:v>
      </x:c>
      <x:c r="M467" s="2" t="str">
        <x:v>Task</x:v>
      </x:c>
      <x:c r="N467" s="2" t="str">
        <x:v>DI.CA.3.5.2026.CY4</x:v>
      </x:c>
      <x:c r="O467" s="2" t="n">
        <x:f>R467</x:f>
        <x:v>0</x:v>
      </x:c>
      <x:c r="P467" s="2"/>
      <x:c r="Q467" s="2" t="n">
        <x:v>1</x:v>
      </x:c>
      <x:c r="R467" s="2" t="n">
        <x:f>IF(A467,1,0)</x:f>
        <x:v>0</x:v>
      </x:c>
      <x:c r="S467" s="2" t="n">
        <x:f>SUBTOTAL(103,N467)</x:f>
        <x:v>1</x:v>
      </x:c>
    </x:row>
    <x:row r="468" ht="42" customHeight="1">
      <x:c r="A468" s="28" t="b">
        <x:v>0</x:v>
      </x:c>
      <x:c r="B468" s="2" t="str">
        <x:v>Cycle 4</x:v>
      </x:c>
      <x:c r="C468" s="2" t="str">
        <x:v>Phase 3</x:v>
      </x:c>
      <x:c r="D468" s="2" t="str">
        <x:v>Cards</x:v>
      </x:c>
      <x:c r="E468" s="56" t="str">
        <x:v>DI.CA.3.6</x:v>
      </x:c>
      <x:c r="F468" s="14" t="str">
        <x:v>Ensure final deck is communicated to Forum attendees</x:v>
      </x:c>
      <x:c r="G468" s="5"/>
      <x:c r="H468" s="11"/>
      <x:c r="I468" s="11" t="n">
        <x:f>'Cycles &amp; Guide'!$D$13</x:f>
        <x:v>46387</x:v>
      </x:c>
      <x:c r="J468" s="11"/>
      <x:c r="K468" s="29"/>
      <x:c r="L468" s="2" t="str">
        <x:f>IF(O468=1,"Complete",IF(A468,"Checklist open",IF(H468&lt;&gt;"","In progress","Not started")))</x:f>
        <x:v>Not started</x:v>
      </x:c>
      <x:c r="M468" s="2" t="str">
        <x:v>Task</x:v>
      </x:c>
      <x:c r="N468" s="2" t="str">
        <x:v>DI.CA.3.6.2026.CY4</x:v>
      </x:c>
      <x:c r="O468" s="2" t="n">
        <x:f>R468</x:f>
        <x:v>0</x:v>
      </x:c>
      <x:c r="P468" s="2"/>
      <x:c r="Q468" s="2" t="n">
        <x:v>1</x:v>
      </x:c>
      <x:c r="R468" s="2" t="n">
        <x:f>IF(A468,1,0)</x:f>
        <x:v>0</x:v>
      </x:c>
      <x:c r="S468" s="2" t="n">
        <x:f>SUBTOTAL(103,N468)</x:f>
        <x:v>1</x:v>
      </x:c>
    </x:row>
    <x:row r="469" ht="42" customHeight="1">
      <x:c r="A469" s="28" t="b">
        <x:v>0</x:v>
      </x:c>
      <x:c r="B469" s="2" t="str">
        <x:v>Cycle 4</x:v>
      </x:c>
      <x:c r="C469" s="2" t="str">
        <x:v>Phase 3</x:v>
      </x:c>
      <x:c r="D469" s="2" t="str">
        <x:v>Cards</x:v>
      </x:c>
      <x:c r="E469" s="56" t="str">
        <x:v>DI.CA.3.7</x:v>
      </x:c>
      <x:c r="F469" s="14" t="str">
        <x:v>Present material in RCA Cycle Forum</x:v>
      </x:c>
      <x:c r="G469" s="5"/>
      <x:c r="H469" s="11"/>
      <x:c r="I469" s="11" t="str">
        <x:f>IF(SUMIFS('Cycles &amp; Guide'!$D$23:$D$50,'Cycles &amp; Guide'!$B$23:$B$50,B469,'Cycles &amp; Guide'!$C$23:$C$50,D469)=0,"",SUMIFS('Cycles &amp; Guide'!$D$23:$D$50,'Cycles &amp; Guide'!$B$23:$B$50,B469,'Cycles &amp; Guide'!$C$23:$C$50,D469))</x:f>
      </x:c>
      <x:c r="J469" s="11"/>
      <x:c r="K469" s="29"/>
      <x:c r="L469" s="2" t="str">
        <x:f>IF(O469=1,"Complete",IF(A469,"Checklist open",IF(H469&lt;&gt;"","In progress","Not started")))</x:f>
        <x:v>Not started</x:v>
      </x:c>
      <x:c r="M469" s="2" t="str">
        <x:v>Task</x:v>
      </x:c>
      <x:c r="N469" s="2" t="str">
        <x:v>DI.CA.3.7.2026.CY4</x:v>
      </x:c>
      <x:c r="O469" s="2" t="n">
        <x:f>R469</x:f>
        <x:v>0</x:v>
      </x:c>
      <x:c r="P469" s="2"/>
      <x:c r="Q469" s="2" t="n">
        <x:v>1</x:v>
      </x:c>
      <x:c r="R469" s="2" t="n">
        <x:f>IF(A469,1,0)</x:f>
        <x:v>0</x:v>
      </x:c>
      <x:c r="S469" s="2" t="n">
        <x:f>SUBTOTAL(103,N469)</x:f>
        <x:v>1</x:v>
      </x:c>
    </x:row>
    <x:row r="470" ht="42" customHeight="1">
      <x:c r="A470" s="28" t="b">
        <x:v>0</x:v>
      </x:c>
      <x:c r="B470" s="2" t="str">
        <x:v>Cycle 4</x:v>
      </x:c>
      <x:c r="C470" s="2" t="str">
        <x:v>Phase 1</x:v>
      </x:c>
      <x:c r="D470" s="2" t="str">
        <x:v>CSBBO - Banking Ops</x:v>
      </x:c>
      <x:c r="E470" s="56" t="str">
        <x:v>DI.BO.1.1</x:v>
      </x:c>
      <x:c r="F470" s="14" t="str">
        <x:v>Receive and review potential research topics at least 2 weeks prior to Cycle start date</x:v>
      </x:c>
      <x:c r="G470" s="5"/>
      <x:c r="H470" s="11"/>
      <x:c r="I470" s="11" t="n">
        <x:f>'Cycles &amp; Guide'!$C$13-14</x:f>
        <x:v>46282</x:v>
      </x:c>
      <x:c r="J470" s="11"/>
      <x:c r="K470" s="29"/>
      <x:c r="L470" s="2" t="str">
        <x:f>IF(O470=1,"Complete",IF(A470,"Checklist open",IF(H470&lt;&gt;"","In progress","Not started")))</x:f>
        <x:v>Not started</x:v>
      </x:c>
      <x:c r="M470" s="2" t="str">
        <x:v>Task</x:v>
      </x:c>
      <x:c r="N470" s="2" t="str">
        <x:v>DI.BO.1.1.2026.CY4</x:v>
      </x:c>
      <x:c r="O470" s="2" t="n">
        <x:f>R470</x:f>
        <x:v>0</x:v>
      </x:c>
      <x:c r="P470" s="2"/>
      <x:c r="Q470" s="2" t="n">
        <x:v>1</x:v>
      </x:c>
      <x:c r="R470" s="2" t="n">
        <x:f>IF(A470,1,0)</x:f>
        <x:v>0</x:v>
      </x:c>
      <x:c r="S470" s="2" t="n">
        <x:f>SUBTOTAL(103,N470)</x:f>
        <x:v>1</x:v>
      </x:c>
    </x:row>
    <x:row r="471" ht="42" customHeight="1">
      <x:c r="A471" s="28" t="b">
        <x:v>0</x:v>
      </x:c>
      <x:c r="B471" s="2" t="str">
        <x:v>Cycle 4</x:v>
      </x:c>
      <x:c r="C471" s="2" t="str">
        <x:v>Phase 1</x:v>
      </x:c>
      <x:c r="D471" s="2" t="str">
        <x:v>CSBBO - Banking Ops</x:v>
      </x:c>
      <x:c r="E471" s="56" t="str">
        <x:v>DI.BO.1.2</x:v>
      </x:c>
      <x:c r="F471" s="14" t="str">
        <x:v>Communicate any feedback on preferences or concerns with topics identified</x:v>
      </x:c>
      <x:c r="G471" s="5"/>
      <x:c r="H471" s="11"/>
      <x:c r="I471" s="11" t="n">
        <x:f>'Cycles &amp; Guide'!$D$13</x:f>
        <x:v>46387</x:v>
      </x:c>
      <x:c r="J471" s="11"/>
      <x:c r="K471" s="29"/>
      <x:c r="L471" s="2" t="str">
        <x:f>IF(O471=1,"Complete",IF(A471,"Checklist open",IF(H471&lt;&gt;"","In progress","Not started")))</x:f>
        <x:v>Not started</x:v>
      </x:c>
      <x:c r="M471" s="2" t="str">
        <x:v>Task</x:v>
      </x:c>
      <x:c r="N471" s="2" t="str">
        <x:v>DI.BO.1.2.2026.CY4</x:v>
      </x:c>
      <x:c r="O471" s="2" t="n">
        <x:f>R471</x:f>
        <x:v>0</x:v>
      </x:c>
      <x:c r="P471" s="2"/>
      <x:c r="Q471" s="2" t="n">
        <x:v>1</x:v>
      </x:c>
      <x:c r="R471" s="2" t="n">
        <x:f>IF(A471,1,0)</x:f>
        <x:v>0</x:v>
      </x:c>
      <x:c r="S471" s="2" t="n">
        <x:f>SUBTOTAL(103,N471)</x:f>
        <x:v>1</x:v>
      </x:c>
    </x:row>
    <x:row r="472" ht="42" customHeight="1">
      <x:c r="A472" s="28" t="b">
        <x:v>0</x:v>
      </x:c>
      <x:c r="B472" s="2" t="str">
        <x:v>Cycle 4</x:v>
      </x:c>
      <x:c r="C472" s="2" t="str">
        <x:v>Phase 1</x:v>
      </x:c>
      <x:c r="D472" s="2" t="str">
        <x:v>CSBBO - Banking Ops</x:v>
      </x:c>
      <x:c r="E472" s="56" t="str">
        <x:v>DI.BO.1.3</x:v>
      </x:c>
      <x:c r="F472" s="14" t="str">
        <x:v>Conduct high-level preliminary review of complaints within proposed topics</x:v>
      </x:c>
      <x:c r="G472" s="5"/>
      <x:c r="H472" s="11"/>
      <x:c r="I472" s="11" t="n">
        <x:f>'Cycles &amp; Guide'!$D$13</x:f>
        <x:v>46387</x:v>
      </x:c>
      <x:c r="J472" s="11"/>
      <x:c r="K472" s="29"/>
      <x:c r="L472" s="2" t="str">
        <x:f>IF(O472=1,"Complete",IF(A472,"Checklist open",IF(H472&lt;&gt;"","In progress","Not started")))</x:f>
        <x:v>Not started</x:v>
      </x:c>
      <x:c r="M472" s="2" t="str">
        <x:v>Task</x:v>
      </x:c>
      <x:c r="N472" s="2" t="str">
        <x:v>DI.BO.1.3.2026.CY4</x:v>
      </x:c>
      <x:c r="O472" s="2" t="n">
        <x:f>R472</x:f>
        <x:v>0</x:v>
      </x:c>
      <x:c r="P472" s="2"/>
      <x:c r="Q472" s="2" t="n">
        <x:v>1</x:v>
      </x:c>
      <x:c r="R472" s="2" t="n">
        <x:f>IF(A472,1,0)</x:f>
        <x:v>0</x:v>
      </x:c>
      <x:c r="S472" s="2" t="n">
        <x:f>SUBTOTAL(103,N472)</x:f>
        <x:v>1</x:v>
      </x:c>
    </x:row>
    <x:row r="473" ht="42" customHeight="1">
      <x:c r="A473" s="28" t="b">
        <x:v>0</x:v>
      </x:c>
      <x:c r="B473" s="2" t="str">
        <x:v>Cycle 4</x:v>
      </x:c>
      <x:c r="C473" s="2" t="str">
        <x:v>Phase 1</x:v>
      </x:c>
      <x:c r="D473" s="2" t="str">
        <x:v>CSBBO - Banking Ops</x:v>
      </x:c>
      <x:c r="E473" s="56" t="str">
        <x:v>DI.BO.1.4</x:v>
      </x:c>
      <x:c r="F473" s="14" t="str">
        <x:v>Meet with Research to discuss which topic to select based on potential impact</x:v>
      </x:c>
      <x:c r="G473" s="5"/>
      <x:c r="H473" s="11"/>
      <x:c r="I473" s="11" t="n">
        <x:f>'Cycles &amp; Guide'!$D$13</x:f>
        <x:v>46387</x:v>
      </x:c>
      <x:c r="J473" s="11"/>
      <x:c r="K473" s="29"/>
      <x:c r="L473" s="2" t="str">
        <x:f>IF(O473=1,"Complete",IF(A473,"Checklist open",IF(H473&lt;&gt;"","In progress","Not started")))</x:f>
        <x:v>Not started</x:v>
      </x:c>
      <x:c r="M473" s="2" t="str">
        <x:v>Task</x:v>
      </x:c>
      <x:c r="N473" s="2" t="str">
        <x:v>DI.BO.1.4.2026.CY4</x:v>
      </x:c>
      <x:c r="O473" s="2" t="n">
        <x:f>R473</x:f>
        <x:v>0</x:v>
      </x:c>
      <x:c r="P473" s="2"/>
      <x:c r="Q473" s="2" t="n">
        <x:v>1</x:v>
      </x:c>
      <x:c r="R473" s="2" t="n">
        <x:f>IF(A473,1,0)</x:f>
        <x:v>0</x:v>
      </x:c>
      <x:c r="S473" s="2" t="n">
        <x:f>SUBTOTAL(103,N473)</x:f>
        <x:v>1</x:v>
      </x:c>
    </x:row>
    <x:row r="474" ht="42" customHeight="1">
      <x:c r="A474" s="28" t="b">
        <x:v>0</x:v>
      </x:c>
      <x:c r="B474" s="2" t="str">
        <x:v>Cycle 4</x:v>
      </x:c>
      <x:c r="C474" s="2" t="str">
        <x:v>Phase 1</x:v>
      </x:c>
      <x:c r="D474" s="2" t="str">
        <x:v>CSBBO - Banking Ops</x:v>
      </x:c>
      <x:c r="E474" s="56" t="str">
        <x:v>DI.BO.1.5</x:v>
      </x:c>
      <x:c r="F474" s="14" t="str">
        <x:v>Confirm with Research the recommended topic for approval</x:v>
      </x:c>
      <x:c r="G474" s="5"/>
      <x:c r="H474" s="11"/>
      <x:c r="I474" s="11" t="n">
        <x:f>'Cycles &amp; Guide'!$D$13</x:f>
        <x:v>46387</x:v>
      </x:c>
      <x:c r="J474" s="11"/>
      <x:c r="K474" s="29"/>
      <x:c r="L474" s="2" t="str">
        <x:f>IF(O474=1,"Complete",IF(A474,"Checklist open",IF(H474&lt;&gt;"","In progress","Not started")))</x:f>
        <x:v>Not started</x:v>
      </x:c>
      <x:c r="M474" s="2" t="str">
        <x:v>Task</x:v>
      </x:c>
      <x:c r="N474" s="2" t="str">
        <x:v>DI.BO.1.5.2026.CY4</x:v>
      </x:c>
      <x:c r="O474" s="2" t="n">
        <x:f>R474</x:f>
        <x:v>0</x:v>
      </x:c>
      <x:c r="P474" s="2"/>
      <x:c r="Q474" s="2" t="n">
        <x:v>1</x:v>
      </x:c>
      <x:c r="R474" s="2" t="n">
        <x:f>IF(A474,1,0)</x:f>
        <x:v>0</x:v>
      </x:c>
      <x:c r="S474" s="2" t="n">
        <x:f>SUBTOTAL(103,N474)</x:f>
        <x:v>1</x:v>
      </x:c>
    </x:row>
    <x:row r="475" ht="42" customHeight="1">
      <x:c r="A475" s="28" t="b">
        <x:v>0</x:v>
      </x:c>
      <x:c r="B475" s="2" t="str">
        <x:v>Cycle 4</x:v>
      </x:c>
      <x:c r="C475" s="2" t="str">
        <x:v>Phase 1</x:v>
      </x:c>
      <x:c r="D475" s="2" t="str">
        <x:v>CSBBO - Banking Ops</x:v>
      </x:c>
      <x:c r="E475" s="56" t="str">
        <x:v>DI.BO.1.6</x:v>
      </x:c>
      <x:c r="F475" s="14" t="str">
        <x:v>Send topic selection socialization email to all key stakeholders on the first day of the review Cycle</x:v>
      </x:c>
      <x:c r="G475" s="5"/>
      <x:c r="H475" s="11"/>
      <x:c r="I475" s="11" t="n">
        <x:f>'Cycles &amp; Guide'!$C$13</x:f>
        <x:v>46296</x:v>
      </x:c>
      <x:c r="J475" s="11"/>
      <x:c r="K475" s="29"/>
      <x:c r="L475" s="2" t="str">
        <x:f>IF(O475=1,"Complete",IF(A475,"Checklist open",IF(H475&lt;&gt;"","In progress","Not started")))</x:f>
        <x:v>Not started</x:v>
      </x:c>
      <x:c r="M475" s="2" t="str">
        <x:v>Task</x:v>
      </x:c>
      <x:c r="N475" s="2" t="str">
        <x:v>DI.BO.1.6.2026.CY4</x:v>
      </x:c>
      <x:c r="O475" s="2" t="n">
        <x:f>R475</x:f>
        <x:v>0</x:v>
      </x:c>
      <x:c r="P475" s="2"/>
      <x:c r="Q475" s="2" t="n">
        <x:v>1</x:v>
      </x:c>
      <x:c r="R475" s="2" t="n">
        <x:f>IF(A475,1,0)</x:f>
        <x:v>0</x:v>
      </x:c>
      <x:c r="S475" s="2" t="n">
        <x:f>SUBTOTAL(103,N475)</x:f>
        <x:v>1</x:v>
      </x:c>
    </x:row>
    <x:row r="476" ht="42" customHeight="1">
      <x:c r="A476" s="28" t="b">
        <x:v>0</x:v>
      </x:c>
      <x:c r="B476" s="2" t="str">
        <x:v>Cycle 4</x:v>
      </x:c>
      <x:c r="C476" s="2" t="str">
        <x:v>Phase 2</x:v>
      </x:c>
      <x:c r="D476" s="2" t="str">
        <x:v>CSBBO - Banking Ops</x:v>
      </x:c>
      <x:c r="E476" s="56" t="str">
        <x:v>DI.BO.2.1</x:v>
      </x:c>
      <x:c r="F476" s="14" t="str">
        <x:v>Meet regularly with Research to stay informed on progress, findings, and potential enhancement</x:v>
      </x:c>
      <x:c r="G476" s="5"/>
      <x:c r="H476" s="11"/>
      <x:c r="I476" s="11" t="n">
        <x:f>'Cycles &amp; Guide'!$D$13</x:f>
        <x:v>46387</x:v>
      </x:c>
      <x:c r="J476" s="11"/>
      <x:c r="K476" s="29"/>
      <x:c r="L476" s="2" t="str">
        <x:f>IF(O476=1,"Complete",IF(A476,"Checklist open",IF(H476&lt;&gt;"","In progress","Not started")))</x:f>
        <x:v>Not started</x:v>
      </x:c>
      <x:c r="M476" s="2" t="str">
        <x:v>Task</x:v>
      </x:c>
      <x:c r="N476" s="2" t="str">
        <x:v>DI.BO.2.1.2026.CY4</x:v>
      </x:c>
      <x:c r="O476" s="2" t="n">
        <x:f>R476</x:f>
        <x:v>0</x:v>
      </x:c>
      <x:c r="P476" s="2"/>
      <x:c r="Q476" s="2" t="n">
        <x:v>1</x:v>
      </x:c>
      <x:c r="R476" s="2" t="n">
        <x:f>IF(A476,1,0)</x:f>
        <x:v>0</x:v>
      </x:c>
      <x:c r="S476" s="2" t="n">
        <x:f>SUBTOTAL(103,N476)</x:f>
        <x:v>1</x:v>
      </x:c>
    </x:row>
    <x:row r="477" ht="42" customHeight="1">
      <x:c r="A477" s="28" t="b">
        <x:v>0</x:v>
      </x:c>
      <x:c r="B477" s="2" t="str">
        <x:v>Cycle 4</x:v>
      </x:c>
      <x:c r="C477" s="2" t="str">
        <x:v>Phase 2</x:v>
      </x:c>
      <x:c r="D477" s="2" t="str">
        <x:v>CSBBO - Banking Ops</x:v>
      </x:c>
      <x:c r="E477" s="56" t="str">
        <x:v>DI.BO.2.2</x:v>
      </x:c>
      <x:c r="F477" s="14" t="str">
        <x:v>Collaborate with Research on research plan specifics</x:v>
      </x:c>
      <x:c r="G477" s="5"/>
      <x:c r="H477" s="11"/>
      <x:c r="I477" s="11" t="n">
        <x:f>'Cycles &amp; Guide'!$D$13</x:f>
        <x:v>46387</x:v>
      </x:c>
      <x:c r="J477" s="11"/>
      <x:c r="K477" s="29"/>
      <x:c r="L477" s="2" t="str">
        <x:f>IF(O477=1,"Complete",IF(A477,"Checklist open",IF(H477&lt;&gt;"","In progress","Not started")))</x:f>
        <x:v>Not started</x:v>
      </x:c>
      <x:c r="M477" s="2" t="str">
        <x:v>Task</x:v>
      </x:c>
      <x:c r="N477" s="2" t="str">
        <x:v>DI.BO.2.2.2026.CY4</x:v>
      </x:c>
      <x:c r="O477" s="2" t="n">
        <x:f>R477</x:f>
        <x:v>0</x:v>
      </x:c>
      <x:c r="P477" s="2"/>
      <x:c r="Q477" s="2" t="n">
        <x:v>1</x:v>
      </x:c>
      <x:c r="R477" s="2" t="n">
        <x:f>IF(A477,1,0)</x:f>
        <x:v>0</x:v>
      </x:c>
      <x:c r="S477" s="2" t="n">
        <x:f>SUBTOTAL(103,N477)</x:f>
        <x:v>1</x:v>
      </x:c>
    </x:row>
    <x:row r="478" ht="42" customHeight="1">
      <x:c r="A478" s="28" t="b">
        <x:v>0</x:v>
      </x:c>
      <x:c r="B478" s="2" t="str">
        <x:v>Cycle 4</x:v>
      </x:c>
      <x:c r="C478" s="2" t="str">
        <x:v>Phase 2</x:v>
      </x:c>
      <x:c r="D478" s="2" t="str">
        <x:v>CSBBO - Banking Ops</x:v>
      </x:c>
      <x:c r="E478" s="56" t="str">
        <x:v>DI.BO.2.3</x:v>
      </x:c>
      <x:c r="F478" s="14" t="str">
        <x:v>Participate in SME insight meetings to gain perspective and appetite on potential enhancements</x:v>
      </x:c>
      <x:c r="G478" s="5"/>
      <x:c r="H478" s="11"/>
      <x:c r="I478" s="11" t="n">
        <x:f>'Cycles &amp; Guide'!$D$13</x:f>
        <x:v>46387</x:v>
      </x:c>
      <x:c r="J478" s="11"/>
      <x:c r="K478" s="29"/>
      <x:c r="L478" s="2" t="str">
        <x:f>IF(O478=1,"Complete",IF(A478,"Checklist open",IF(H478&lt;&gt;"","In progress","Not started")))</x:f>
        <x:v>Not started</x:v>
      </x:c>
      <x:c r="M478" s="2" t="str">
        <x:v>Task</x:v>
      </x:c>
      <x:c r="N478" s="2" t="str">
        <x:v>DI.BO.2.3.2026.CY4</x:v>
      </x:c>
      <x:c r="O478" s="2" t="n">
        <x:f>R478</x:f>
        <x:v>0</x:v>
      </x:c>
      <x:c r="P478" s="2"/>
      <x:c r="Q478" s="2" t="n">
        <x:v>1</x:v>
      </x:c>
      <x:c r="R478" s="2" t="n">
        <x:f>IF(A478,1,0)</x:f>
        <x:v>0</x:v>
      </x:c>
      <x:c r="S478" s="2" t="n">
        <x:f>SUBTOTAL(103,N478)</x:f>
        <x:v>1</x:v>
      </x:c>
    </x:row>
    <x:row r="479" ht="42" customHeight="1">
      <x:c r="A479" s="28" t="b">
        <x:v>0</x:v>
      </x:c>
      <x:c r="B479" s="2" t="str">
        <x:v>Cycle 4</x:v>
      </x:c>
      <x:c r="C479" s="2" t="str">
        <x:v>Phase 2</x:v>
      </x:c>
      <x:c r="D479" s="2" t="str">
        <x:v>CSBBO - Banking Ops</x:v>
      </x:c>
      <x:c r="E479" s="56" t="str">
        <x:v>DI.BO.2.4</x:v>
      </x:c>
      <x:c r="F479" s="14" t="str">
        <x:v>Begin development of presentation materials as Research is being completed</x:v>
      </x:c>
      <x:c r="G479" s="5"/>
      <x:c r="H479" s="11"/>
      <x:c r="I479" s="11" t="n">
        <x:f>'Cycles &amp; Guide'!$D$13</x:f>
        <x:v>46387</x:v>
      </x:c>
      <x:c r="J479" s="11"/>
      <x:c r="K479" s="29"/>
      <x:c r="L479" s="2" t="str">
        <x:f>IF(O479=1,"Complete",IF(A479,"Checklist open",IF(H479&lt;&gt;"","In progress","Not started")))</x:f>
        <x:v>Not started</x:v>
      </x:c>
      <x:c r="M479" s="2" t="str">
        <x:v>Task</x:v>
      </x:c>
      <x:c r="N479" s="2" t="str">
        <x:v>DI.BO.2.4.2026.CY4</x:v>
      </x:c>
      <x:c r="O479" s="2" t="n">
        <x:f>R479</x:f>
        <x:v>0</x:v>
      </x:c>
      <x:c r="P479" s="2"/>
      <x:c r="Q479" s="2" t="n">
        <x:v>1</x:v>
      </x:c>
      <x:c r="R479" s="2" t="n">
        <x:f>IF(A479,1,0)</x:f>
        <x:v>0</x:v>
      </x:c>
      <x:c r="S479" s="2" t="n">
        <x:f>SUBTOTAL(103,N479)</x:f>
        <x:v>1</x:v>
      </x:c>
    </x:row>
    <x:row r="480" ht="42" customHeight="1">
      <x:c r="A480" s="28" t="b">
        <x:v>0</x:v>
      </x:c>
      <x:c r="B480" s="2" t="str">
        <x:v>Cycle 4</x:v>
      </x:c>
      <x:c r="C480" s="2" t="str">
        <x:v>Phase 2</x:v>
      </x:c>
      <x:c r="D480" s="2" t="str">
        <x:v>CSBBO - Banking Ops</x:v>
      </x:c>
      <x:c r="E480" s="56" t="str">
        <x:v>DI.BO.2.5</x:v>
      </x:c>
      <x:c r="F480" s="14" t="str">
        <x:v>Draft initial enhancement recommendations (as applicable)</x:v>
      </x:c>
      <x:c r="G480" s="5"/>
      <x:c r="H480" s="11"/>
      <x:c r="I480" s="11" t="n">
        <x:f>'Cycles &amp; Guide'!$D$13</x:f>
        <x:v>46387</x:v>
      </x:c>
      <x:c r="J480" s="11"/>
      <x:c r="K480" s="29"/>
      <x:c r="L480" s="2" t="str">
        <x:f>IF(O480=1,"Complete",IF(A480,"Checklist open",IF(H480&lt;&gt;"","In progress","Not started")))</x:f>
        <x:v>Not started</x:v>
      </x:c>
      <x:c r="M480" s="2" t="str">
        <x:v>Task</x:v>
      </x:c>
      <x:c r="N480" s="2" t="str">
        <x:v>DI.BO.2.5.2026.CY4</x:v>
      </x:c>
      <x:c r="O480" s="2" t="n">
        <x:f>R480</x:f>
        <x:v>0</x:v>
      </x:c>
      <x:c r="P480" s="2"/>
      <x:c r="Q480" s="2" t="n">
        <x:v>1</x:v>
      </x:c>
      <x:c r="R480" s="2" t="n">
        <x:f>IF(A480,1,0)</x:f>
        <x:v>0</x:v>
      </x:c>
      <x:c r="S480" s="2" t="n">
        <x:f>SUBTOTAL(103,N480)</x:f>
        <x:v>1</x:v>
      </x:c>
    </x:row>
    <x:row r="481" ht="42" customHeight="1">
      <x:c r="A481" s="28" t="b">
        <x:v>0</x:v>
      </x:c>
      <x:c r="B481" s="2" t="str">
        <x:v>Cycle 4</x:v>
      </x:c>
      <x:c r="C481" s="2" t="str">
        <x:v>Phase 2</x:v>
      </x:c>
      <x:c r="D481" s="2" t="str">
        <x:v>CSBBO - Banking Ops</x:v>
      </x:c>
      <x:c r="E481" s="56" t="str">
        <x:v>DI.BO.2.6</x:v>
      </x:c>
      <x:c r="F481" s="14" t="str">
        <x:v>Finalize presentation deck draft at conclusion of Research phase</x:v>
      </x:c>
      <x:c r="G481" s="5"/>
      <x:c r="H481" s="11"/>
      <x:c r="I481" s="11" t="n">
        <x:f>'Cycles &amp; Guide'!$D$13</x:f>
        <x:v>46387</x:v>
      </x:c>
      <x:c r="J481" s="11"/>
      <x:c r="K481" s="29"/>
      <x:c r="L481" s="2" t="str">
        <x:f>IF(O481=1,"Complete",IF(A481,"Checklist open",IF(H481&lt;&gt;"","In progress","Not started")))</x:f>
        <x:v>Not started</x:v>
      </x:c>
      <x:c r="M481" s="2" t="str">
        <x:v>Task</x:v>
      </x:c>
      <x:c r="N481" s="2" t="str">
        <x:v>DI.BO.2.6.2026.CY4</x:v>
      </x:c>
      <x:c r="O481" s="2" t="n">
        <x:f>R481</x:f>
        <x:v>0</x:v>
      </x:c>
      <x:c r="P481" s="2"/>
      <x:c r="Q481" s="2" t="n">
        <x:v>1</x:v>
      </x:c>
      <x:c r="R481" s="2" t="n">
        <x:f>IF(A481,1,0)</x:f>
        <x:v>0</x:v>
      </x:c>
      <x:c r="S481" s="2" t="n">
        <x:f>SUBTOTAL(103,N481)</x:f>
        <x:v>1</x:v>
      </x:c>
    </x:row>
    <x:row r="482" ht="42" customHeight="1">
      <x:c r="A482" s="28" t="b">
        <x:v>0</x:v>
      </x:c>
      <x:c r="B482" s="2" t="str">
        <x:v>Cycle 4</x:v>
      </x:c>
      <x:c r="C482" s="2" t="str">
        <x:v>Phase 2</x:v>
      </x:c>
      <x:c r="D482" s="2" t="str">
        <x:v>CSBBO - Banking Ops</x:v>
      </x:c>
      <x:c r="E482" s="56" t="str">
        <x:v>DI.BO.2.7</x:v>
      </x:c>
      <x:c r="F482" s="14" t="str">
        <x:v>Update Outcome portion of research plan with current enhancement verbiage (as needed)</x:v>
      </x:c>
      <x:c r="G482" s="5"/>
      <x:c r="H482" s="11"/>
      <x:c r="I482" s="11" t="n">
        <x:f>'Cycles &amp; Guide'!$D$13</x:f>
        <x:v>46387</x:v>
      </x:c>
      <x:c r="J482" s="11"/>
      <x:c r="K482" s="29"/>
      <x:c r="L482" s="2" t="str">
        <x:f>IF(O482=1,"Complete",IF(A482,"Checklist open",IF(H482&lt;&gt;"","In progress","Not started")))</x:f>
        <x:v>Not started</x:v>
      </x:c>
      <x:c r="M482" s="2" t="str">
        <x:v>Task</x:v>
      </x:c>
      <x:c r="N482" s="2" t="str">
        <x:v>DI.BO.2.7.2026.CY4</x:v>
      </x:c>
      <x:c r="O482" s="2" t="n">
        <x:f>R482</x:f>
        <x:v>0</x:v>
      </x:c>
      <x:c r="P482" s="2"/>
      <x:c r="Q482" s="2" t="n">
        <x:v>1</x:v>
      </x:c>
      <x:c r="R482" s="2" t="n">
        <x:f>IF(A482,1,0)</x:f>
        <x:v>0</x:v>
      </x:c>
      <x:c r="S482" s="2" t="n">
        <x:f>SUBTOTAL(103,N482)</x:f>
        <x:v>1</x:v>
      </x:c>
    </x:row>
    <x:row r="483" ht="42" customHeight="1">
      <x:c r="A483" s="28" t="b">
        <x:v>0</x:v>
      </x:c>
      <x:c r="B483" s="2" t="str">
        <x:v>Cycle 4</x:v>
      </x:c>
      <x:c r="C483" s="2" t="str">
        <x:v>Phase 3</x:v>
      </x:c>
      <x:c r="D483" s="2" t="str">
        <x:v>CSBBO - Banking Ops</x:v>
      </x:c>
      <x:c r="E483" s="56" t="str">
        <x:v>DI.BO.3.1</x:v>
      </x:c>
      <x:c r="F483" s="14" t="str">
        <x:v>Confirm list of required &amp; optional attendees for pre-socialization meeting</x:v>
      </x:c>
      <x:c r="G483" s="5"/>
      <x:c r="H483" s="11"/>
      <x:c r="I483" s="11" t="n">
        <x:f>'Cycles &amp; Guide'!$D$13</x:f>
        <x:v>46387</x:v>
      </x:c>
      <x:c r="J483" s="11"/>
      <x:c r="K483" s="29"/>
      <x:c r="L483" s="2" t="str">
        <x:f>IF(O483=1,"Complete",IF(A483,"Checklist open",IF(H483&lt;&gt;"","In progress","Not started")))</x:f>
        <x:v>Not started</x:v>
      </x:c>
      <x:c r="M483" s="2" t="str">
        <x:v>Task</x:v>
      </x:c>
      <x:c r="N483" s="2" t="str">
        <x:v>DI.BO.3.1.2026.CY4</x:v>
      </x:c>
      <x:c r="O483" s="2" t="n">
        <x:f>R483</x:f>
        <x:v>0</x:v>
      </x:c>
      <x:c r="P483" s="2"/>
      <x:c r="Q483" s="2" t="n">
        <x:v>1</x:v>
      </x:c>
      <x:c r="R483" s="2" t="n">
        <x:f>IF(A483,1,0)</x:f>
        <x:v>0</x:v>
      </x:c>
      <x:c r="S483" s="2" t="n">
        <x:f>SUBTOTAL(103,N483)</x:f>
        <x:v>1</x:v>
      </x:c>
    </x:row>
    <x:row r="484" ht="42" customHeight="1">
      <x:c r="A484" s="28" t="b">
        <x:v>0</x:v>
      </x:c>
      <x:c r="B484" s="2" t="str">
        <x:v>Cycle 4</x:v>
      </x:c>
      <x:c r="C484" s="2" t="str">
        <x:v>Phase 3</x:v>
      </x:c>
      <x:c r="D484" s="2" t="str">
        <x:v>CSBBO - Banking Ops</x:v>
      </x:c>
      <x:c r="E484" s="56" t="str">
        <x:v>DI.BO.3.2</x:v>
      </x:c>
      <x:c r="F484" s="14" t="str">
        <x:v>Schedule pre-socialization meeting 1 week prior to RCA Forum</x:v>
      </x:c>
      <x:c r="G484" s="5"/>
      <x:c r="H484" s="11"/>
      <x:c r="I484" s="11" t="str">
        <x:f>IF(SUMIFS('Cycles &amp; Guide'!$D$23:$D$50,'Cycles &amp; Guide'!$B$23:$B$50,B484,'Cycles &amp; Guide'!$C$23:$C$50,D484)=0,"",SUMIFS('Cycles &amp; Guide'!$D$23:$D$50,'Cycles &amp; Guide'!$B$23:$B$50,B484,'Cycles &amp; Guide'!$C$23:$C$50,D484)-7)</x:f>
      </x:c>
      <x:c r="J484" s="11"/>
      <x:c r="K484" s="29"/>
      <x:c r="L484" s="2" t="str">
        <x:f>IF(O484=1,"Complete",IF(A484,"Checklist open",IF(H484&lt;&gt;"","In progress","Not started")))</x:f>
        <x:v>Not started</x:v>
      </x:c>
      <x:c r="M484" s="2" t="str">
        <x:v>Task</x:v>
      </x:c>
      <x:c r="N484" s="2" t="str">
        <x:v>DI.BO.3.2.2026.CY4</x:v>
      </x:c>
      <x:c r="O484" s="2" t="n">
        <x:f>R484</x:f>
        <x:v>0</x:v>
      </x:c>
      <x:c r="P484" s="2"/>
      <x:c r="Q484" s="2" t="n">
        <x:v>1</x:v>
      </x:c>
      <x:c r="R484" s="2" t="n">
        <x:f>IF(A484,1,0)</x:f>
        <x:v>0</x:v>
      </x:c>
      <x:c r="S484" s="2" t="n">
        <x:f>SUBTOTAL(103,N484)</x:f>
        <x:v>1</x:v>
      </x:c>
    </x:row>
    <x:row r="485" ht="42" customHeight="1">
      <x:c r="A485" s="28" t="b">
        <x:v>0</x:v>
      </x:c>
      <x:c r="B485" s="2" t="str">
        <x:v>Cycle 4</x:v>
      </x:c>
      <x:c r="C485" s="2" t="str">
        <x:v>Phase 3</x:v>
      </x:c>
      <x:c r="D485" s="2" t="str">
        <x:v>CSBBO - Banking Ops</x:v>
      </x:c>
      <x:c r="E485" s="56" t="str">
        <x:v>DI.BO.3.3</x:v>
      </x:c>
      <x:c r="F485" s="14" t="str">
        <x:v>Present findings, conclusions, and recommendation to SMEs</x:v>
      </x:c>
      <x:c r="G485" s="5"/>
      <x:c r="H485" s="11"/>
      <x:c r="I485" s="11" t="n">
        <x:f>'Cycles &amp; Guide'!$D$13</x:f>
        <x:v>46387</x:v>
      </x:c>
      <x:c r="J485" s="11"/>
      <x:c r="K485" s="29"/>
      <x:c r="L485" s="2" t="str">
        <x:f>IF(O485=1,"Complete",IF(A485,"Checklist open",IF(H485&lt;&gt;"","In progress","Not started")))</x:f>
        <x:v>Not started</x:v>
      </x:c>
      <x:c r="M485" s="2" t="str">
        <x:v>Task</x:v>
      </x:c>
      <x:c r="N485" s="2" t="str">
        <x:v>DI.BO.3.3.2026.CY4</x:v>
      </x:c>
      <x:c r="O485" s="2" t="n">
        <x:f>R485</x:f>
        <x:v>0</x:v>
      </x:c>
      <x:c r="P485" s="2"/>
      <x:c r="Q485" s="2" t="n">
        <x:v>1</x:v>
      </x:c>
      <x:c r="R485" s="2" t="n">
        <x:f>IF(A485,1,0)</x:f>
        <x:v>0</x:v>
      </x:c>
      <x:c r="S485" s="2" t="n">
        <x:f>SUBTOTAL(103,N485)</x:f>
        <x:v>1</x:v>
      </x:c>
    </x:row>
    <x:row r="486" ht="42" customHeight="1">
      <x:c r="A486" s="28" t="b">
        <x:v>0</x:v>
      </x:c>
      <x:c r="B486" s="2" t="str">
        <x:v>Cycle 4</x:v>
      </x:c>
      <x:c r="C486" s="2" t="str">
        <x:v>Phase 3</x:v>
      </x:c>
      <x:c r="D486" s="2" t="str">
        <x:v>CSBBO - Banking Ops</x:v>
      </x:c>
      <x:c r="E486" s="56" t="str">
        <x:v>DI.BO.3.4</x:v>
      </x:c>
      <x:c r="F486" s="14" t="str">
        <x:v>Update Outcome portion of research plan (as needed)</x:v>
      </x:c>
      <x:c r="G486" s="5"/>
      <x:c r="H486" s="11"/>
      <x:c r="I486" s="11" t="n">
        <x:f>'Cycles &amp; Guide'!$D$13</x:f>
        <x:v>46387</x:v>
      </x:c>
      <x:c r="J486" s="11"/>
      <x:c r="K486" s="29"/>
      <x:c r="L486" s="2" t="str">
        <x:f>IF(O486=1,"Complete",IF(A486,"Checklist open",IF(H486&lt;&gt;"","In progress","Not started")))</x:f>
        <x:v>Not started</x:v>
      </x:c>
      <x:c r="M486" s="2" t="str">
        <x:v>Task</x:v>
      </x:c>
      <x:c r="N486" s="2" t="str">
        <x:v>DI.BO.3.4.2026.CY4</x:v>
      </x:c>
      <x:c r="O486" s="2" t="n">
        <x:f>R486</x:f>
        <x:v>0</x:v>
      </x:c>
      <x:c r="P486" s="2"/>
      <x:c r="Q486" s="2" t="n">
        <x:v>1</x:v>
      </x:c>
      <x:c r="R486" s="2" t="n">
        <x:f>IF(A486,1,0)</x:f>
        <x:v>0</x:v>
      </x:c>
      <x:c r="S486" s="2" t="n">
        <x:f>SUBTOTAL(103,N486)</x:f>
        <x:v>1</x:v>
      </x:c>
    </x:row>
    <x:row r="487" ht="42" customHeight="1">
      <x:c r="A487" s="28" t="b">
        <x:v>0</x:v>
      </x:c>
      <x:c r="B487" s="2" t="str">
        <x:v>Cycle 4</x:v>
      </x:c>
      <x:c r="C487" s="2" t="str">
        <x:v>Phase 3</x:v>
      </x:c>
      <x:c r="D487" s="2" t="str">
        <x:v>CSBBO - Banking Ops</x:v>
      </x:c>
      <x:c r="E487" s="56" t="str">
        <x:v>DI.BO.3.5</x:v>
      </x:c>
      <x:c r="F487" s="14" t="str">
        <x:v>Finalize presentation deck by incorporating pre-socialization feedback (as needed)</x:v>
      </x:c>
      <x:c r="G487" s="5"/>
      <x:c r="H487" s="11"/>
      <x:c r="I487" s="11" t="n">
        <x:f>'Cycles &amp; Guide'!$D$13</x:f>
        <x:v>46387</x:v>
      </x:c>
      <x:c r="J487" s="11"/>
      <x:c r="K487" s="29"/>
      <x:c r="L487" s="2" t="str">
        <x:f>IF(O487=1,"Complete",IF(A487,"Checklist open",IF(H487&lt;&gt;"","In progress","Not started")))</x:f>
        <x:v>Not started</x:v>
      </x:c>
      <x:c r="M487" s="2" t="str">
        <x:v>Task</x:v>
      </x:c>
      <x:c r="N487" s="2" t="str">
        <x:v>DI.BO.3.5.2026.CY4</x:v>
      </x:c>
      <x:c r="O487" s="2" t="n">
        <x:f>R487</x:f>
        <x:v>0</x:v>
      </x:c>
      <x:c r="P487" s="2"/>
      <x:c r="Q487" s="2" t="n">
        <x:v>1</x:v>
      </x:c>
      <x:c r="R487" s="2" t="n">
        <x:f>IF(A487,1,0)</x:f>
        <x:v>0</x:v>
      </x:c>
      <x:c r="S487" s="2" t="n">
        <x:f>SUBTOTAL(103,N487)</x:f>
        <x:v>1</x:v>
      </x:c>
    </x:row>
    <x:row r="488" ht="42" customHeight="1">
      <x:c r="A488" s="28" t="b">
        <x:v>0</x:v>
      </x:c>
      <x:c r="B488" s="2" t="str">
        <x:v>Cycle 4</x:v>
      </x:c>
      <x:c r="C488" s="2" t="str">
        <x:v>Phase 3</x:v>
      </x:c>
      <x:c r="D488" s="2" t="str">
        <x:v>CSBBO - Banking Ops</x:v>
      </x:c>
      <x:c r="E488" s="56" t="str">
        <x:v>DI.BO.3.6</x:v>
      </x:c>
      <x:c r="F488" s="14" t="str">
        <x:v>Ensure final deck is communicated to Forum attendees</x:v>
      </x:c>
      <x:c r="G488" s="5"/>
      <x:c r="H488" s="11"/>
      <x:c r="I488" s="11" t="n">
        <x:f>'Cycles &amp; Guide'!$D$13</x:f>
        <x:v>46387</x:v>
      </x:c>
      <x:c r="J488" s="11"/>
      <x:c r="K488" s="29"/>
      <x:c r="L488" s="2" t="str">
        <x:f>IF(O488=1,"Complete",IF(A488,"Checklist open",IF(H488&lt;&gt;"","In progress","Not started")))</x:f>
        <x:v>Not started</x:v>
      </x:c>
      <x:c r="M488" s="2" t="str">
        <x:v>Task</x:v>
      </x:c>
      <x:c r="N488" s="2" t="str">
        <x:v>DI.BO.3.6.2026.CY4</x:v>
      </x:c>
      <x:c r="O488" s="2" t="n">
        <x:f>R488</x:f>
        <x:v>0</x:v>
      </x:c>
      <x:c r="P488" s="2"/>
      <x:c r="Q488" s="2" t="n">
        <x:v>1</x:v>
      </x:c>
      <x:c r="R488" s="2" t="n">
        <x:f>IF(A488,1,0)</x:f>
        <x:v>0</x:v>
      </x:c>
      <x:c r="S488" s="2" t="n">
        <x:f>SUBTOTAL(103,N488)</x:f>
        <x:v>1</x:v>
      </x:c>
    </x:row>
    <x:row r="489" ht="42" customHeight="1">
      <x:c r="A489" s="28" t="b">
        <x:v>0</x:v>
      </x:c>
      <x:c r="B489" s="2" t="str">
        <x:v>Cycle 4</x:v>
      </x:c>
      <x:c r="C489" s="2" t="str">
        <x:v>Phase 3</x:v>
      </x:c>
      <x:c r="D489" s="2" t="str">
        <x:v>CSBBO - Banking Ops</x:v>
      </x:c>
      <x:c r="E489" s="56" t="str">
        <x:v>DI.BO.3.7</x:v>
      </x:c>
      <x:c r="F489" s="14" t="str">
        <x:v>Present material in RCA Cycle Forum</x:v>
      </x:c>
      <x:c r="G489" s="5"/>
      <x:c r="H489" s="11"/>
      <x:c r="I489" s="11" t="str">
        <x:f>IF(SUMIFS('Cycles &amp; Guide'!$D$23:$D$50,'Cycles &amp; Guide'!$B$23:$B$50,B489,'Cycles &amp; Guide'!$C$23:$C$50,D489)=0,"",SUMIFS('Cycles &amp; Guide'!$D$23:$D$50,'Cycles &amp; Guide'!$B$23:$B$50,B489,'Cycles &amp; Guide'!$C$23:$C$50,D489))</x:f>
      </x:c>
      <x:c r="J489" s="11"/>
      <x:c r="K489" s="29"/>
      <x:c r="L489" s="2" t="str">
        <x:f>IF(O489=1,"Complete",IF(A489,"Checklist open",IF(H489&lt;&gt;"","In progress","Not started")))</x:f>
        <x:v>Not started</x:v>
      </x:c>
      <x:c r="M489" s="2" t="str">
        <x:v>Task</x:v>
      </x:c>
      <x:c r="N489" s="2" t="str">
        <x:v>DI.BO.3.7.2026.CY4</x:v>
      </x:c>
      <x:c r="O489" s="2" t="n">
        <x:f>R489</x:f>
        <x:v>0</x:v>
      </x:c>
      <x:c r="P489" s="2"/>
      <x:c r="Q489" s="2" t="n">
        <x:v>1</x:v>
      </x:c>
      <x:c r="R489" s="2" t="n">
        <x:f>IF(A489,1,0)</x:f>
        <x:v>0</x:v>
      </x:c>
      <x:c r="S489" s="2" t="n">
        <x:f>SUBTOTAL(103,N489)</x:f>
        <x:v>1</x:v>
      </x:c>
    </x:row>
    <x:row r="490" ht="42" customHeight="1">
      <x:c r="A490" s="28" t="b">
        <x:v>0</x:v>
      </x:c>
      <x:c r="B490" s="2" t="str">
        <x:v>Cycle 4</x:v>
      </x:c>
      <x:c r="C490" s="2" t="str">
        <x:v>Phase 1</x:v>
      </x:c>
      <x:c r="D490" s="2" t="str">
        <x:v>CSBBO - Customer Service</x:v>
      </x:c>
      <x:c r="E490" s="56" t="str">
        <x:v>DI.CS.1.1</x:v>
      </x:c>
      <x:c r="F490" s="14" t="str">
        <x:v>Receive and review potential research topics at least 2 weeks prior to Cycle start date</x:v>
      </x:c>
      <x:c r="G490" s="5"/>
      <x:c r="H490" s="11"/>
      <x:c r="I490" s="11" t="n">
        <x:f>'Cycles &amp; Guide'!$C$13-14</x:f>
        <x:v>46282</x:v>
      </x:c>
      <x:c r="J490" s="11"/>
      <x:c r="K490" s="29"/>
      <x:c r="L490" s="2" t="str">
        <x:f>IF(O490=1,"Complete",IF(A490,"Checklist open",IF(H490&lt;&gt;"","In progress","Not started")))</x:f>
        <x:v>Not started</x:v>
      </x:c>
      <x:c r="M490" s="2" t="str">
        <x:v>Task</x:v>
      </x:c>
      <x:c r="N490" s="2" t="str">
        <x:v>DI.CS.1.1.2026.CY4</x:v>
      </x:c>
      <x:c r="O490" s="2" t="n">
        <x:f>R490</x:f>
        <x:v>0</x:v>
      </x:c>
      <x:c r="P490" s="2"/>
      <x:c r="Q490" s="2" t="n">
        <x:v>1</x:v>
      </x:c>
      <x:c r="R490" s="2" t="n">
        <x:f>IF(A490,1,0)</x:f>
        <x:v>0</x:v>
      </x:c>
      <x:c r="S490" s="2" t="n">
        <x:f>SUBTOTAL(103,N490)</x:f>
        <x:v>1</x:v>
      </x:c>
    </x:row>
    <x:row r="491" ht="42" customHeight="1">
      <x:c r="A491" s="28" t="b">
        <x:v>0</x:v>
      </x:c>
      <x:c r="B491" s="2" t="str">
        <x:v>Cycle 4</x:v>
      </x:c>
      <x:c r="C491" s="2" t="str">
        <x:v>Phase 1</x:v>
      </x:c>
      <x:c r="D491" s="2" t="str">
        <x:v>CSBBO - Customer Service</x:v>
      </x:c>
      <x:c r="E491" s="56" t="str">
        <x:v>DI.CS.1.2</x:v>
      </x:c>
      <x:c r="F491" s="14" t="str">
        <x:v>Communicate any feedback on preferences or concerns with topics identified</x:v>
      </x:c>
      <x:c r="G491" s="5"/>
      <x:c r="H491" s="11"/>
      <x:c r="I491" s="11" t="n">
        <x:f>'Cycles &amp; Guide'!$D$13</x:f>
        <x:v>46387</x:v>
      </x:c>
      <x:c r="J491" s="11"/>
      <x:c r="K491" s="29"/>
      <x:c r="L491" s="2" t="str">
        <x:f>IF(O491=1,"Complete",IF(A491,"Checklist open",IF(H491&lt;&gt;"","In progress","Not started")))</x:f>
        <x:v>Not started</x:v>
      </x:c>
      <x:c r="M491" s="2" t="str">
        <x:v>Task</x:v>
      </x:c>
      <x:c r="N491" s="2" t="str">
        <x:v>DI.CS.1.2.2026.CY4</x:v>
      </x:c>
      <x:c r="O491" s="2" t="n">
        <x:f>R491</x:f>
        <x:v>0</x:v>
      </x:c>
      <x:c r="P491" s="2"/>
      <x:c r="Q491" s="2" t="n">
        <x:v>1</x:v>
      </x:c>
      <x:c r="R491" s="2" t="n">
        <x:f>IF(A491,1,0)</x:f>
        <x:v>0</x:v>
      </x:c>
      <x:c r="S491" s="2" t="n">
        <x:f>SUBTOTAL(103,N491)</x:f>
        <x:v>1</x:v>
      </x:c>
    </x:row>
    <x:row r="492" ht="42" customHeight="1">
      <x:c r="A492" s="28" t="b">
        <x:v>0</x:v>
      </x:c>
      <x:c r="B492" s="2" t="str">
        <x:v>Cycle 4</x:v>
      </x:c>
      <x:c r="C492" s="2" t="str">
        <x:v>Phase 1</x:v>
      </x:c>
      <x:c r="D492" s="2" t="str">
        <x:v>CSBBO - Customer Service</x:v>
      </x:c>
      <x:c r="E492" s="56" t="str">
        <x:v>DI.CS.1.3</x:v>
      </x:c>
      <x:c r="F492" s="14" t="str">
        <x:v>Conduct high-level preliminary review of complaints within proposed topics</x:v>
      </x:c>
      <x:c r="G492" s="5"/>
      <x:c r="H492" s="11"/>
      <x:c r="I492" s="11" t="n">
        <x:f>'Cycles &amp; Guide'!$D$13</x:f>
        <x:v>46387</x:v>
      </x:c>
      <x:c r="J492" s="11"/>
      <x:c r="K492" s="29"/>
      <x:c r="L492" s="2" t="str">
        <x:f>IF(O492=1,"Complete",IF(A492,"Checklist open",IF(H492&lt;&gt;"","In progress","Not started")))</x:f>
        <x:v>Not started</x:v>
      </x:c>
      <x:c r="M492" s="2" t="str">
        <x:v>Task</x:v>
      </x:c>
      <x:c r="N492" s="2" t="str">
        <x:v>DI.CS.1.3.2026.CY4</x:v>
      </x:c>
      <x:c r="O492" s="2" t="n">
        <x:f>R492</x:f>
        <x:v>0</x:v>
      </x:c>
      <x:c r="P492" s="2"/>
      <x:c r="Q492" s="2" t="n">
        <x:v>1</x:v>
      </x:c>
      <x:c r="R492" s="2" t="n">
        <x:f>IF(A492,1,0)</x:f>
        <x:v>0</x:v>
      </x:c>
      <x:c r="S492" s="2" t="n">
        <x:f>SUBTOTAL(103,N492)</x:f>
        <x:v>1</x:v>
      </x:c>
    </x:row>
    <x:row r="493" ht="42" customHeight="1">
      <x:c r="A493" s="28" t="b">
        <x:v>0</x:v>
      </x:c>
      <x:c r="B493" s="2" t="str">
        <x:v>Cycle 4</x:v>
      </x:c>
      <x:c r="C493" s="2" t="str">
        <x:v>Phase 1</x:v>
      </x:c>
      <x:c r="D493" s="2" t="str">
        <x:v>CSBBO - Customer Service</x:v>
      </x:c>
      <x:c r="E493" s="56" t="str">
        <x:v>DI.CS.1.4</x:v>
      </x:c>
      <x:c r="F493" s="14" t="str">
        <x:v>Meet with Research to discuss which topic to select based on potential impact</x:v>
      </x:c>
      <x:c r="G493" s="5"/>
      <x:c r="H493" s="11"/>
      <x:c r="I493" s="11" t="n">
        <x:f>'Cycles &amp; Guide'!$D$13</x:f>
        <x:v>46387</x:v>
      </x:c>
      <x:c r="J493" s="11"/>
      <x:c r="K493" s="29"/>
      <x:c r="L493" s="2" t="str">
        <x:f>IF(O493=1,"Complete",IF(A493,"Checklist open",IF(H493&lt;&gt;"","In progress","Not started")))</x:f>
        <x:v>Not started</x:v>
      </x:c>
      <x:c r="M493" s="2" t="str">
        <x:v>Task</x:v>
      </x:c>
      <x:c r="N493" s="2" t="str">
        <x:v>DI.CS.1.4.2026.CY4</x:v>
      </x:c>
      <x:c r="O493" s="2" t="n">
        <x:f>R493</x:f>
        <x:v>0</x:v>
      </x:c>
      <x:c r="P493" s="2"/>
      <x:c r="Q493" s="2" t="n">
        <x:v>1</x:v>
      </x:c>
      <x:c r="R493" s="2" t="n">
        <x:f>IF(A493,1,0)</x:f>
        <x:v>0</x:v>
      </x:c>
      <x:c r="S493" s="2" t="n">
        <x:f>SUBTOTAL(103,N493)</x:f>
        <x:v>1</x:v>
      </x:c>
    </x:row>
    <x:row r="494" ht="42" customHeight="1">
      <x:c r="A494" s="28" t="b">
        <x:v>0</x:v>
      </x:c>
      <x:c r="B494" s="2" t="str">
        <x:v>Cycle 4</x:v>
      </x:c>
      <x:c r="C494" s="2" t="str">
        <x:v>Phase 1</x:v>
      </x:c>
      <x:c r="D494" s="2" t="str">
        <x:v>CSBBO - Customer Service</x:v>
      </x:c>
      <x:c r="E494" s="56" t="str">
        <x:v>DI.CS.1.5</x:v>
      </x:c>
      <x:c r="F494" s="14" t="str">
        <x:v>Confirm with Research the recommended topic for approval</x:v>
      </x:c>
      <x:c r="G494" s="5"/>
      <x:c r="H494" s="11"/>
      <x:c r="I494" s="11" t="n">
        <x:f>'Cycles &amp; Guide'!$D$13</x:f>
        <x:v>46387</x:v>
      </x:c>
      <x:c r="J494" s="11"/>
      <x:c r="K494" s="29"/>
      <x:c r="L494" s="2" t="str">
        <x:f>IF(O494=1,"Complete",IF(A494,"Checklist open",IF(H494&lt;&gt;"","In progress","Not started")))</x:f>
        <x:v>Not started</x:v>
      </x:c>
      <x:c r="M494" s="2" t="str">
        <x:v>Task</x:v>
      </x:c>
      <x:c r="N494" s="2" t="str">
        <x:v>DI.CS.1.5.2026.CY4</x:v>
      </x:c>
      <x:c r="O494" s="2" t="n">
        <x:f>R494</x:f>
        <x:v>0</x:v>
      </x:c>
      <x:c r="P494" s="2"/>
      <x:c r="Q494" s="2" t="n">
        <x:v>1</x:v>
      </x:c>
      <x:c r="R494" s="2" t="n">
        <x:f>IF(A494,1,0)</x:f>
        <x:v>0</x:v>
      </x:c>
      <x:c r="S494" s="2" t="n">
        <x:f>SUBTOTAL(103,N494)</x:f>
        <x:v>1</x:v>
      </x:c>
    </x:row>
    <x:row r="495" ht="42" customHeight="1">
      <x:c r="A495" s="28" t="b">
        <x:v>0</x:v>
      </x:c>
      <x:c r="B495" s="2" t="str">
        <x:v>Cycle 4</x:v>
      </x:c>
      <x:c r="C495" s="2" t="str">
        <x:v>Phase 1</x:v>
      </x:c>
      <x:c r="D495" s="2" t="str">
        <x:v>CSBBO - Customer Service</x:v>
      </x:c>
      <x:c r="E495" s="56" t="str">
        <x:v>DI.CS.1.6</x:v>
      </x:c>
      <x:c r="F495" s="14" t="str">
        <x:v>Send topic selection socialization email to all key stakeholders on the first day of the review Cycle</x:v>
      </x:c>
      <x:c r="G495" s="5"/>
      <x:c r="H495" s="11"/>
      <x:c r="I495" s="11" t="n">
        <x:f>'Cycles &amp; Guide'!$C$13</x:f>
        <x:v>46296</x:v>
      </x:c>
      <x:c r="J495" s="11"/>
      <x:c r="K495" s="29"/>
      <x:c r="L495" s="2" t="str">
        <x:f>IF(O495=1,"Complete",IF(A495,"Checklist open",IF(H495&lt;&gt;"","In progress","Not started")))</x:f>
        <x:v>Not started</x:v>
      </x:c>
      <x:c r="M495" s="2" t="str">
        <x:v>Task</x:v>
      </x:c>
      <x:c r="N495" s="2" t="str">
        <x:v>DI.CS.1.6.2026.CY4</x:v>
      </x:c>
      <x:c r="O495" s="2" t="n">
        <x:f>R495</x:f>
        <x:v>0</x:v>
      </x:c>
      <x:c r="P495" s="2"/>
      <x:c r="Q495" s="2" t="n">
        <x:v>1</x:v>
      </x:c>
      <x:c r="R495" s="2" t="n">
        <x:f>IF(A495,1,0)</x:f>
        <x:v>0</x:v>
      </x:c>
      <x:c r="S495" s="2" t="n">
        <x:f>SUBTOTAL(103,N495)</x:f>
        <x:v>1</x:v>
      </x:c>
    </x:row>
    <x:row r="496" ht="42" customHeight="1">
      <x:c r="A496" s="28" t="b">
        <x:v>0</x:v>
      </x:c>
      <x:c r="B496" s="2" t="str">
        <x:v>Cycle 4</x:v>
      </x:c>
      <x:c r="C496" s="2" t="str">
        <x:v>Phase 2</x:v>
      </x:c>
      <x:c r="D496" s="2" t="str">
        <x:v>CSBBO - Customer Service</x:v>
      </x:c>
      <x:c r="E496" s="56" t="str">
        <x:v>DI.CS.2.1</x:v>
      </x:c>
      <x:c r="F496" s="14" t="str">
        <x:v>Meet regularly with Research to stay informed on progress, findings, and potential enhancement</x:v>
      </x:c>
      <x:c r="G496" s="5"/>
      <x:c r="H496" s="11"/>
      <x:c r="I496" s="11" t="n">
        <x:f>'Cycles &amp; Guide'!$D$13</x:f>
        <x:v>46387</x:v>
      </x:c>
      <x:c r="J496" s="11"/>
      <x:c r="K496" s="29"/>
      <x:c r="L496" s="2" t="str">
        <x:f>IF(O496=1,"Complete",IF(A496,"Checklist open",IF(H496&lt;&gt;"","In progress","Not started")))</x:f>
        <x:v>Not started</x:v>
      </x:c>
      <x:c r="M496" s="2" t="str">
        <x:v>Task</x:v>
      </x:c>
      <x:c r="N496" s="2" t="str">
        <x:v>DI.CS.2.1.2026.CY4</x:v>
      </x:c>
      <x:c r="O496" s="2" t="n">
        <x:f>R496</x:f>
        <x:v>0</x:v>
      </x:c>
      <x:c r="P496" s="2"/>
      <x:c r="Q496" s="2" t="n">
        <x:v>1</x:v>
      </x:c>
      <x:c r="R496" s="2" t="n">
        <x:f>IF(A496,1,0)</x:f>
        <x:v>0</x:v>
      </x:c>
      <x:c r="S496" s="2" t="n">
        <x:f>SUBTOTAL(103,N496)</x:f>
        <x:v>1</x:v>
      </x:c>
    </x:row>
    <x:row r="497" ht="42" customHeight="1">
      <x:c r="A497" s="28" t="b">
        <x:v>0</x:v>
      </x:c>
      <x:c r="B497" s="2" t="str">
        <x:v>Cycle 4</x:v>
      </x:c>
      <x:c r="C497" s="2" t="str">
        <x:v>Phase 2</x:v>
      </x:c>
      <x:c r="D497" s="2" t="str">
        <x:v>CSBBO - Customer Service</x:v>
      </x:c>
      <x:c r="E497" s="56" t="str">
        <x:v>DI.CS.2.2</x:v>
      </x:c>
      <x:c r="F497" s="14" t="str">
        <x:v>Collaborate with Research on research plan specifics</x:v>
      </x:c>
      <x:c r="G497" s="5"/>
      <x:c r="H497" s="11"/>
      <x:c r="I497" s="11" t="n">
        <x:f>'Cycles &amp; Guide'!$D$13</x:f>
        <x:v>46387</x:v>
      </x:c>
      <x:c r="J497" s="11"/>
      <x:c r="K497" s="29"/>
      <x:c r="L497" s="2" t="str">
        <x:f>IF(O497=1,"Complete",IF(A497,"Checklist open",IF(H497&lt;&gt;"","In progress","Not started")))</x:f>
        <x:v>Not started</x:v>
      </x:c>
      <x:c r="M497" s="2" t="str">
        <x:v>Task</x:v>
      </x:c>
      <x:c r="N497" s="2" t="str">
        <x:v>DI.CS.2.2.2026.CY4</x:v>
      </x:c>
      <x:c r="O497" s="2" t="n">
        <x:f>R497</x:f>
        <x:v>0</x:v>
      </x:c>
      <x:c r="P497" s="2"/>
      <x:c r="Q497" s="2" t="n">
        <x:v>1</x:v>
      </x:c>
      <x:c r="R497" s="2" t="n">
        <x:f>IF(A497,1,0)</x:f>
        <x:v>0</x:v>
      </x:c>
      <x:c r="S497" s="2" t="n">
        <x:f>SUBTOTAL(103,N497)</x:f>
        <x:v>1</x:v>
      </x:c>
    </x:row>
    <x:row r="498" ht="42" customHeight="1">
      <x:c r="A498" s="28" t="b">
        <x:v>0</x:v>
      </x:c>
      <x:c r="B498" s="2" t="str">
        <x:v>Cycle 4</x:v>
      </x:c>
      <x:c r="C498" s="2" t="str">
        <x:v>Phase 2</x:v>
      </x:c>
      <x:c r="D498" s="2" t="str">
        <x:v>CSBBO - Customer Service</x:v>
      </x:c>
      <x:c r="E498" s="56" t="str">
        <x:v>DI.CS.2.3</x:v>
      </x:c>
      <x:c r="F498" s="14" t="str">
        <x:v>Participate in SME insight meetings to gain perspective and appetite on potential enhancements</x:v>
      </x:c>
      <x:c r="G498" s="5"/>
      <x:c r="H498" s="11"/>
      <x:c r="I498" s="11" t="n">
        <x:f>'Cycles &amp; Guide'!$D$13</x:f>
        <x:v>46387</x:v>
      </x:c>
      <x:c r="J498" s="11"/>
      <x:c r="K498" s="29"/>
      <x:c r="L498" s="2" t="str">
        <x:f>IF(O498=1,"Complete",IF(A498,"Checklist open",IF(H498&lt;&gt;"","In progress","Not started")))</x:f>
        <x:v>Not started</x:v>
      </x:c>
      <x:c r="M498" s="2" t="str">
        <x:v>Task</x:v>
      </x:c>
      <x:c r="N498" s="2" t="str">
        <x:v>DI.CS.2.3.2026.CY4</x:v>
      </x:c>
      <x:c r="O498" s="2" t="n">
        <x:f>R498</x:f>
        <x:v>0</x:v>
      </x:c>
      <x:c r="P498" s="2"/>
      <x:c r="Q498" s="2" t="n">
        <x:v>1</x:v>
      </x:c>
      <x:c r="R498" s="2" t="n">
        <x:f>IF(A498,1,0)</x:f>
        <x:v>0</x:v>
      </x:c>
      <x:c r="S498" s="2" t="n">
        <x:f>SUBTOTAL(103,N498)</x:f>
        <x:v>1</x:v>
      </x:c>
    </x:row>
    <x:row r="499" ht="42" customHeight="1">
      <x:c r="A499" s="28" t="b">
        <x:v>0</x:v>
      </x:c>
      <x:c r="B499" s="2" t="str">
        <x:v>Cycle 4</x:v>
      </x:c>
      <x:c r="C499" s="2" t="str">
        <x:v>Phase 2</x:v>
      </x:c>
      <x:c r="D499" s="2" t="str">
        <x:v>CSBBO - Customer Service</x:v>
      </x:c>
      <x:c r="E499" s="56" t="str">
        <x:v>DI.CS.2.4</x:v>
      </x:c>
      <x:c r="F499" s="14" t="str">
        <x:v>Begin development of presentation materials as Research is being completed</x:v>
      </x:c>
      <x:c r="G499" s="5"/>
      <x:c r="H499" s="11"/>
      <x:c r="I499" s="11" t="n">
        <x:f>'Cycles &amp; Guide'!$D$13</x:f>
        <x:v>46387</x:v>
      </x:c>
      <x:c r="J499" s="11"/>
      <x:c r="K499" s="29"/>
      <x:c r="L499" s="2" t="str">
        <x:f>IF(O499=1,"Complete",IF(A499,"Checklist open",IF(H499&lt;&gt;"","In progress","Not started")))</x:f>
        <x:v>Not started</x:v>
      </x:c>
      <x:c r="M499" s="2" t="str">
        <x:v>Task</x:v>
      </x:c>
      <x:c r="N499" s="2" t="str">
        <x:v>DI.CS.2.4.2026.CY4</x:v>
      </x:c>
      <x:c r="O499" s="2" t="n">
        <x:f>R499</x:f>
        <x:v>0</x:v>
      </x:c>
      <x:c r="P499" s="2"/>
      <x:c r="Q499" s="2" t="n">
        <x:v>1</x:v>
      </x:c>
      <x:c r="R499" s="2" t="n">
        <x:f>IF(A499,1,0)</x:f>
        <x:v>0</x:v>
      </x:c>
      <x:c r="S499" s="2" t="n">
        <x:f>SUBTOTAL(103,N499)</x:f>
        <x:v>1</x:v>
      </x:c>
    </x:row>
    <x:row r="500" ht="42" customHeight="1">
      <x:c r="A500" s="28" t="b">
        <x:v>0</x:v>
      </x:c>
      <x:c r="B500" s="2" t="str">
        <x:v>Cycle 4</x:v>
      </x:c>
      <x:c r="C500" s="2" t="str">
        <x:v>Phase 2</x:v>
      </x:c>
      <x:c r="D500" s="2" t="str">
        <x:v>CSBBO - Customer Service</x:v>
      </x:c>
      <x:c r="E500" s="56" t="str">
        <x:v>DI.CS.2.5</x:v>
      </x:c>
      <x:c r="F500" s="14" t="str">
        <x:v>Draft initial enhancement recommendations (as applicable)</x:v>
      </x:c>
      <x:c r="G500" s="5"/>
      <x:c r="H500" s="11"/>
      <x:c r="I500" s="11" t="n">
        <x:f>'Cycles &amp; Guide'!$D$13</x:f>
        <x:v>46387</x:v>
      </x:c>
      <x:c r="J500" s="11"/>
      <x:c r="K500" s="29"/>
      <x:c r="L500" s="2" t="str">
        <x:f>IF(O500=1,"Complete",IF(A500,"Checklist open",IF(H500&lt;&gt;"","In progress","Not started")))</x:f>
        <x:v>Not started</x:v>
      </x:c>
      <x:c r="M500" s="2" t="str">
        <x:v>Task</x:v>
      </x:c>
      <x:c r="N500" s="2" t="str">
        <x:v>DI.CS.2.5.2026.CY4</x:v>
      </x:c>
      <x:c r="O500" s="2" t="n">
        <x:f>R500</x:f>
        <x:v>0</x:v>
      </x:c>
      <x:c r="P500" s="2"/>
      <x:c r="Q500" s="2" t="n">
        <x:v>1</x:v>
      </x:c>
      <x:c r="R500" s="2" t="n">
        <x:f>IF(A500,1,0)</x:f>
        <x:v>0</x:v>
      </x:c>
      <x:c r="S500" s="2" t="n">
        <x:f>SUBTOTAL(103,N500)</x:f>
        <x:v>1</x:v>
      </x:c>
    </x:row>
    <x:row r="501" ht="42" customHeight="1">
      <x:c r="A501" s="28" t="b">
        <x:v>0</x:v>
      </x:c>
      <x:c r="B501" s="2" t="str">
        <x:v>Cycle 4</x:v>
      </x:c>
      <x:c r="C501" s="2" t="str">
        <x:v>Phase 2</x:v>
      </x:c>
      <x:c r="D501" s="2" t="str">
        <x:v>CSBBO - Customer Service</x:v>
      </x:c>
      <x:c r="E501" s="56" t="str">
        <x:v>DI.CS.2.6</x:v>
      </x:c>
      <x:c r="F501" s="14" t="str">
        <x:v>Finalize presentation deck draft at conclusion of Research phase</x:v>
      </x:c>
      <x:c r="G501" s="5"/>
      <x:c r="H501" s="11"/>
      <x:c r="I501" s="11" t="n">
        <x:f>'Cycles &amp; Guide'!$D$13</x:f>
        <x:v>46387</x:v>
      </x:c>
      <x:c r="J501" s="11"/>
      <x:c r="K501" s="29"/>
      <x:c r="L501" s="2" t="str">
        <x:f>IF(O501=1,"Complete",IF(A501,"Checklist open",IF(H501&lt;&gt;"","In progress","Not started")))</x:f>
        <x:v>Not started</x:v>
      </x:c>
      <x:c r="M501" s="2" t="str">
        <x:v>Task</x:v>
      </x:c>
      <x:c r="N501" s="2" t="str">
        <x:v>DI.CS.2.6.2026.CY4</x:v>
      </x:c>
      <x:c r="O501" s="2" t="n">
        <x:f>R501</x:f>
        <x:v>0</x:v>
      </x:c>
      <x:c r="P501" s="2"/>
      <x:c r="Q501" s="2" t="n">
        <x:v>1</x:v>
      </x:c>
      <x:c r="R501" s="2" t="n">
        <x:f>IF(A501,1,0)</x:f>
        <x:v>0</x:v>
      </x:c>
      <x:c r="S501" s="2" t="n">
        <x:f>SUBTOTAL(103,N501)</x:f>
        <x:v>1</x:v>
      </x:c>
    </x:row>
    <x:row r="502" ht="42" customHeight="1">
      <x:c r="A502" s="28" t="b">
        <x:v>0</x:v>
      </x:c>
      <x:c r="B502" s="2" t="str">
        <x:v>Cycle 4</x:v>
      </x:c>
      <x:c r="C502" s="2" t="str">
        <x:v>Phase 2</x:v>
      </x:c>
      <x:c r="D502" s="2" t="str">
        <x:v>CSBBO - Customer Service</x:v>
      </x:c>
      <x:c r="E502" s="56" t="str">
        <x:v>DI.CS.2.7</x:v>
      </x:c>
      <x:c r="F502" s="14" t="str">
        <x:v>Update Outcome portion of research plan with current enhancement verbiage (as needed)</x:v>
      </x:c>
      <x:c r="G502" s="5"/>
      <x:c r="H502" s="11"/>
      <x:c r="I502" s="11" t="n">
        <x:f>'Cycles &amp; Guide'!$D$13</x:f>
        <x:v>46387</x:v>
      </x:c>
      <x:c r="J502" s="11"/>
      <x:c r="K502" s="29"/>
      <x:c r="L502" s="2" t="str">
        <x:f>IF(O502=1,"Complete",IF(A502,"Checklist open",IF(H502&lt;&gt;"","In progress","Not started")))</x:f>
        <x:v>Not started</x:v>
      </x:c>
      <x:c r="M502" s="2" t="str">
        <x:v>Task</x:v>
      </x:c>
      <x:c r="N502" s="2" t="str">
        <x:v>DI.CS.2.7.2026.CY4</x:v>
      </x:c>
      <x:c r="O502" s="2" t="n">
        <x:f>R502</x:f>
        <x:v>0</x:v>
      </x:c>
      <x:c r="P502" s="2"/>
      <x:c r="Q502" s="2" t="n">
        <x:v>1</x:v>
      </x:c>
      <x:c r="R502" s="2" t="n">
        <x:f>IF(A502,1,0)</x:f>
        <x:v>0</x:v>
      </x:c>
      <x:c r="S502" s="2" t="n">
        <x:f>SUBTOTAL(103,N502)</x:f>
        <x:v>1</x:v>
      </x:c>
    </x:row>
    <x:row r="503" ht="42" customHeight="1">
      <x:c r="A503" s="28" t="b">
        <x:v>0</x:v>
      </x:c>
      <x:c r="B503" s="2" t="str">
        <x:v>Cycle 4</x:v>
      </x:c>
      <x:c r="C503" s="2" t="str">
        <x:v>Phase 3</x:v>
      </x:c>
      <x:c r="D503" s="2" t="str">
        <x:v>CSBBO - Customer Service</x:v>
      </x:c>
      <x:c r="E503" s="56" t="str">
        <x:v>DI.CS.3.1</x:v>
      </x:c>
      <x:c r="F503" s="14" t="str">
        <x:v>Confirm list of required &amp; optional attendees for pre-socialization meeting</x:v>
      </x:c>
      <x:c r="G503" s="5"/>
      <x:c r="H503" s="11"/>
      <x:c r="I503" s="11" t="n">
        <x:f>'Cycles &amp; Guide'!$D$13</x:f>
        <x:v>46387</x:v>
      </x:c>
      <x:c r="J503" s="11"/>
      <x:c r="K503" s="29"/>
      <x:c r="L503" s="2" t="str">
        <x:f>IF(O503=1,"Complete",IF(A503,"Checklist open",IF(H503&lt;&gt;"","In progress","Not started")))</x:f>
        <x:v>Not started</x:v>
      </x:c>
      <x:c r="M503" s="2" t="str">
        <x:v>Task</x:v>
      </x:c>
      <x:c r="N503" s="2" t="str">
        <x:v>DI.CS.3.1.2026.CY4</x:v>
      </x:c>
      <x:c r="O503" s="2" t="n">
        <x:f>R503</x:f>
        <x:v>0</x:v>
      </x:c>
      <x:c r="P503" s="2"/>
      <x:c r="Q503" s="2" t="n">
        <x:v>1</x:v>
      </x:c>
      <x:c r="R503" s="2" t="n">
        <x:f>IF(A503,1,0)</x:f>
        <x:v>0</x:v>
      </x:c>
      <x:c r="S503" s="2" t="n">
        <x:f>SUBTOTAL(103,N503)</x:f>
        <x:v>1</x:v>
      </x:c>
    </x:row>
    <x:row r="504" ht="42" customHeight="1">
      <x:c r="A504" s="28" t="b">
        <x:v>0</x:v>
      </x:c>
      <x:c r="B504" s="2" t="str">
        <x:v>Cycle 4</x:v>
      </x:c>
      <x:c r="C504" s="2" t="str">
        <x:v>Phase 3</x:v>
      </x:c>
      <x:c r="D504" s="2" t="str">
        <x:v>CSBBO - Customer Service</x:v>
      </x:c>
      <x:c r="E504" s="56" t="str">
        <x:v>DI.CS.3.2</x:v>
      </x:c>
      <x:c r="F504" s="14" t="str">
        <x:v>Schedule pre-socialization meeting 1 week prior to RCA Forum</x:v>
      </x:c>
      <x:c r="G504" s="5"/>
      <x:c r="H504" s="11"/>
      <x:c r="I504" s="11" t="str">
        <x:f>IF(SUMIFS('Cycles &amp; Guide'!$D$23:$D$50,'Cycles &amp; Guide'!$B$23:$B$50,B504,'Cycles &amp; Guide'!$C$23:$C$50,D504)=0,"",SUMIFS('Cycles &amp; Guide'!$D$23:$D$50,'Cycles &amp; Guide'!$B$23:$B$50,B504,'Cycles &amp; Guide'!$C$23:$C$50,D504)-7)</x:f>
      </x:c>
      <x:c r="J504" s="11"/>
      <x:c r="K504" s="29"/>
      <x:c r="L504" s="2" t="str">
        <x:f>IF(O504=1,"Complete",IF(A504,"Checklist open",IF(H504&lt;&gt;"","In progress","Not started")))</x:f>
        <x:v>Not started</x:v>
      </x:c>
      <x:c r="M504" s="2" t="str">
        <x:v>Task</x:v>
      </x:c>
      <x:c r="N504" s="2" t="str">
        <x:v>DI.CS.3.2.2026.CY4</x:v>
      </x:c>
      <x:c r="O504" s="2" t="n">
        <x:f>R504</x:f>
        <x:v>0</x:v>
      </x:c>
      <x:c r="P504" s="2"/>
      <x:c r="Q504" s="2" t="n">
        <x:v>1</x:v>
      </x:c>
      <x:c r="R504" s="2" t="n">
        <x:f>IF(A504,1,0)</x:f>
        <x:v>0</x:v>
      </x:c>
      <x:c r="S504" s="2" t="n">
        <x:f>SUBTOTAL(103,N504)</x:f>
        <x:v>1</x:v>
      </x:c>
    </x:row>
    <x:row r="505" ht="42" customHeight="1">
      <x:c r="A505" s="28" t="b">
        <x:v>0</x:v>
      </x:c>
      <x:c r="B505" s="2" t="str">
        <x:v>Cycle 4</x:v>
      </x:c>
      <x:c r="C505" s="2" t="str">
        <x:v>Phase 3</x:v>
      </x:c>
      <x:c r="D505" s="2" t="str">
        <x:v>CSBBO - Customer Service</x:v>
      </x:c>
      <x:c r="E505" s="56" t="str">
        <x:v>DI.CS.3.3</x:v>
      </x:c>
      <x:c r="F505" s="14" t="str">
        <x:v>Present findings, conclusions, and recommendation to SMEs</x:v>
      </x:c>
      <x:c r="G505" s="5"/>
      <x:c r="H505" s="11"/>
      <x:c r="I505" s="11" t="n">
        <x:f>'Cycles &amp; Guide'!$D$13</x:f>
        <x:v>46387</x:v>
      </x:c>
      <x:c r="J505" s="11"/>
      <x:c r="K505" s="29"/>
      <x:c r="L505" s="2" t="str">
        <x:f>IF(O505=1,"Complete",IF(A505,"Checklist open",IF(H505&lt;&gt;"","In progress","Not started")))</x:f>
        <x:v>Not started</x:v>
      </x:c>
      <x:c r="M505" s="2" t="str">
        <x:v>Task</x:v>
      </x:c>
      <x:c r="N505" s="2" t="str">
        <x:v>DI.CS.3.3.2026.CY4</x:v>
      </x:c>
      <x:c r="O505" s="2" t="n">
        <x:f>R505</x:f>
        <x:v>0</x:v>
      </x:c>
      <x:c r="P505" s="2"/>
      <x:c r="Q505" s="2" t="n">
        <x:v>1</x:v>
      </x:c>
      <x:c r="R505" s="2" t="n">
        <x:f>IF(A505,1,0)</x:f>
        <x:v>0</x:v>
      </x:c>
      <x:c r="S505" s="2" t="n">
        <x:f>SUBTOTAL(103,N505)</x:f>
        <x:v>1</x:v>
      </x:c>
    </x:row>
    <x:row r="506" ht="42" customHeight="1">
      <x:c r="A506" s="28" t="b">
        <x:v>0</x:v>
      </x:c>
      <x:c r="B506" s="2" t="str">
        <x:v>Cycle 4</x:v>
      </x:c>
      <x:c r="C506" s="2" t="str">
        <x:v>Phase 3</x:v>
      </x:c>
      <x:c r="D506" s="2" t="str">
        <x:v>CSBBO - Customer Service</x:v>
      </x:c>
      <x:c r="E506" s="56" t="str">
        <x:v>DI.CS.3.4</x:v>
      </x:c>
      <x:c r="F506" s="14" t="str">
        <x:v>Update Outcome portion of research plan (as needed)</x:v>
      </x:c>
      <x:c r="G506" s="5"/>
      <x:c r="H506" s="11"/>
      <x:c r="I506" s="11" t="n">
        <x:f>'Cycles &amp; Guide'!$D$13</x:f>
        <x:v>46387</x:v>
      </x:c>
      <x:c r="J506" s="11"/>
      <x:c r="K506" s="29"/>
      <x:c r="L506" s="2" t="str">
        <x:f>IF(O506=1,"Complete",IF(A506,"Checklist open",IF(H506&lt;&gt;"","In progress","Not started")))</x:f>
        <x:v>Not started</x:v>
      </x:c>
      <x:c r="M506" s="2" t="str">
        <x:v>Task</x:v>
      </x:c>
      <x:c r="N506" s="2" t="str">
        <x:v>DI.CS.3.4.2026.CY4</x:v>
      </x:c>
      <x:c r="O506" s="2" t="n">
        <x:f>R506</x:f>
        <x:v>0</x:v>
      </x:c>
      <x:c r="P506" s="2"/>
      <x:c r="Q506" s="2" t="n">
        <x:v>1</x:v>
      </x:c>
      <x:c r="R506" s="2" t="n">
        <x:f>IF(A506,1,0)</x:f>
        <x:v>0</x:v>
      </x:c>
      <x:c r="S506" s="2" t="n">
        <x:f>SUBTOTAL(103,N506)</x:f>
        <x:v>1</x:v>
      </x:c>
    </x:row>
    <x:row r="507" ht="42" customHeight="1">
      <x:c r="A507" s="28" t="b">
        <x:v>0</x:v>
      </x:c>
      <x:c r="B507" s="2" t="str">
        <x:v>Cycle 4</x:v>
      </x:c>
      <x:c r="C507" s="2" t="str">
        <x:v>Phase 3</x:v>
      </x:c>
      <x:c r="D507" s="2" t="str">
        <x:v>CSBBO - Customer Service</x:v>
      </x:c>
      <x:c r="E507" s="56" t="str">
        <x:v>DI.CS.3.5</x:v>
      </x:c>
      <x:c r="F507" s="14" t="str">
        <x:v>Finalize presentation deck by incorporating pre-socialization feedback (as needed)</x:v>
      </x:c>
      <x:c r="G507" s="5"/>
      <x:c r="H507" s="11"/>
      <x:c r="I507" s="11" t="n">
        <x:f>'Cycles &amp; Guide'!$D$13</x:f>
        <x:v>46387</x:v>
      </x:c>
      <x:c r="J507" s="11"/>
      <x:c r="K507" s="29"/>
      <x:c r="L507" s="2" t="str">
        <x:f>IF(O507=1,"Complete",IF(A507,"Checklist open",IF(H507&lt;&gt;"","In progress","Not started")))</x:f>
        <x:v>Not started</x:v>
      </x:c>
      <x:c r="M507" s="2" t="str">
        <x:v>Task</x:v>
      </x:c>
      <x:c r="N507" s="2" t="str">
        <x:v>DI.CS.3.5.2026.CY4</x:v>
      </x:c>
      <x:c r="O507" s="2" t="n">
        <x:f>R507</x:f>
        <x:v>0</x:v>
      </x:c>
      <x:c r="P507" s="2"/>
      <x:c r="Q507" s="2" t="n">
        <x:v>1</x:v>
      </x:c>
      <x:c r="R507" s="2" t="n">
        <x:f>IF(A507,1,0)</x:f>
        <x:v>0</x:v>
      </x:c>
      <x:c r="S507" s="2" t="n">
        <x:f>SUBTOTAL(103,N507)</x:f>
        <x:v>1</x:v>
      </x:c>
    </x:row>
    <x:row r="508" ht="42" customHeight="1">
      <x:c r="A508" s="28" t="b">
        <x:v>0</x:v>
      </x:c>
      <x:c r="B508" s="2" t="str">
        <x:v>Cycle 4</x:v>
      </x:c>
      <x:c r="C508" s="2" t="str">
        <x:v>Phase 3</x:v>
      </x:c>
      <x:c r="D508" s="2" t="str">
        <x:v>CSBBO - Customer Service</x:v>
      </x:c>
      <x:c r="E508" s="56" t="str">
        <x:v>DI.CS.3.6</x:v>
      </x:c>
      <x:c r="F508" s="14" t="str">
        <x:v>Ensure final deck is communicated to Forum attendees</x:v>
      </x:c>
      <x:c r="G508" s="5"/>
      <x:c r="H508" s="11"/>
      <x:c r="I508" s="11" t="n">
        <x:f>'Cycles &amp; Guide'!$D$13</x:f>
        <x:v>46387</x:v>
      </x:c>
      <x:c r="J508" s="11"/>
      <x:c r="K508" s="29"/>
      <x:c r="L508" s="2" t="str">
        <x:f>IF(O508=1,"Complete",IF(A508,"Checklist open",IF(H508&lt;&gt;"","In progress","Not started")))</x:f>
        <x:v>Not started</x:v>
      </x:c>
      <x:c r="M508" s="2" t="str">
        <x:v>Task</x:v>
      </x:c>
      <x:c r="N508" s="2" t="str">
        <x:v>DI.CS.3.6.2026.CY4</x:v>
      </x:c>
      <x:c r="O508" s="2" t="n">
        <x:f>R508</x:f>
        <x:v>0</x:v>
      </x:c>
      <x:c r="P508" s="2"/>
      <x:c r="Q508" s="2" t="n">
        <x:v>1</x:v>
      </x:c>
      <x:c r="R508" s="2" t="n">
        <x:f>IF(A508,1,0)</x:f>
        <x:v>0</x:v>
      </x:c>
      <x:c r="S508" s="2" t="n">
        <x:f>SUBTOTAL(103,N508)</x:f>
        <x:v>1</x:v>
      </x:c>
    </x:row>
    <x:row r="509" ht="42" customHeight="1">
      <x:c r="A509" s="28" t="b">
        <x:v>0</x:v>
      </x:c>
      <x:c r="B509" s="2" t="str">
        <x:v>Cycle 4</x:v>
      </x:c>
      <x:c r="C509" s="2" t="str">
        <x:v>Phase 3</x:v>
      </x:c>
      <x:c r="D509" s="2" t="str">
        <x:v>CSBBO - Customer Service</x:v>
      </x:c>
      <x:c r="E509" s="56" t="str">
        <x:v>DI.CS.3.7</x:v>
      </x:c>
      <x:c r="F509" s="14" t="str">
        <x:v>Present material in RCA Cycle Forum</x:v>
      </x:c>
      <x:c r="G509" s="5"/>
      <x:c r="H509" s="11"/>
      <x:c r="I509" s="11" t="str">
        <x:f>IF(SUMIFS('Cycles &amp; Guide'!$D$23:$D$50,'Cycles &amp; Guide'!$B$23:$B$50,B509,'Cycles &amp; Guide'!$C$23:$C$50,D509)=0,"",SUMIFS('Cycles &amp; Guide'!$D$23:$D$50,'Cycles &amp; Guide'!$B$23:$B$50,B509,'Cycles &amp; Guide'!$C$23:$C$50,D509))</x:f>
      </x:c>
      <x:c r="J509" s="11"/>
      <x:c r="K509" s="29"/>
      <x:c r="L509" s="2" t="str">
        <x:f>IF(O509=1,"Complete",IF(A509,"Checklist open",IF(H509&lt;&gt;"","In progress","Not started")))</x:f>
        <x:v>Not started</x:v>
      </x:c>
      <x:c r="M509" s="2" t="str">
        <x:v>Task</x:v>
      </x:c>
      <x:c r="N509" s="2" t="str">
        <x:v>DI.CS.3.7.2026.CY4</x:v>
      </x:c>
      <x:c r="O509" s="2" t="n">
        <x:f>R509</x:f>
        <x:v>0</x:v>
      </x:c>
      <x:c r="P509" s="2"/>
      <x:c r="Q509" s="2" t="n">
        <x:v>1</x:v>
      </x:c>
      <x:c r="R509" s="2" t="n">
        <x:f>IF(A509,1,0)</x:f>
        <x:v>0</x:v>
      </x:c>
      <x:c r="S509" s="2" t="n">
        <x:f>SUBTOTAL(103,N509)</x:f>
        <x:v>1</x:v>
      </x:c>
    </x:row>
    <x:row r="510" ht="42" customHeight="1">
      <x:c r="A510" s="28" t="b">
        <x:v>0</x:v>
      </x:c>
      <x:c r="B510" s="2" t="str">
        <x:v>Cycle 4</x:v>
      </x:c>
      <x:c r="C510" s="2" t="str">
        <x:v>Phase 1</x:v>
      </x:c>
      <x:c r="D510" s="2" t="str">
        <x:v>FCM</x:v>
      </x:c>
      <x:c r="E510" s="56" t="str">
        <x:v>DI.FC.1.1</x:v>
      </x:c>
      <x:c r="F510" s="14" t="str">
        <x:v>Receive and review potential research topics at least 2 weeks prior to Cycle start date</x:v>
      </x:c>
      <x:c r="G510" s="5"/>
      <x:c r="H510" s="11"/>
      <x:c r="I510" s="11" t="n">
        <x:f>'Cycles &amp; Guide'!$C$13-14</x:f>
        <x:v>46282</x:v>
      </x:c>
      <x:c r="J510" s="11"/>
      <x:c r="K510" s="29"/>
      <x:c r="L510" s="2" t="str">
        <x:f>IF(O510=1,"Complete",IF(A510,"Checklist open",IF(H510&lt;&gt;"","In progress","Not started")))</x:f>
        <x:v>Not started</x:v>
      </x:c>
      <x:c r="M510" s="2" t="str">
        <x:v>Task</x:v>
      </x:c>
      <x:c r="N510" s="2" t="str">
        <x:v>DI.FC.1.1.2026.CY4</x:v>
      </x:c>
      <x:c r="O510" s="2" t="n">
        <x:f>R510</x:f>
        <x:v>0</x:v>
      </x:c>
      <x:c r="P510" s="2"/>
      <x:c r="Q510" s="2" t="n">
        <x:v>1</x:v>
      </x:c>
      <x:c r="R510" s="2" t="n">
        <x:f>IF(A510,1,0)</x:f>
        <x:v>0</x:v>
      </x:c>
      <x:c r="S510" s="2" t="n">
        <x:f>SUBTOTAL(103,N510)</x:f>
        <x:v>1</x:v>
      </x:c>
    </x:row>
    <x:row r="511" ht="42" customHeight="1">
      <x:c r="A511" s="28" t="b">
        <x:v>0</x:v>
      </x:c>
      <x:c r="B511" s="2" t="str">
        <x:v>Cycle 4</x:v>
      </x:c>
      <x:c r="C511" s="2" t="str">
        <x:v>Phase 1</x:v>
      </x:c>
      <x:c r="D511" s="2" t="str">
        <x:v>FCM</x:v>
      </x:c>
      <x:c r="E511" s="56" t="str">
        <x:v>DI.FC.1.2</x:v>
      </x:c>
      <x:c r="F511" s="14" t="str">
        <x:v>Communicate any feedback on preferences or concerns with topics identified</x:v>
      </x:c>
      <x:c r="G511" s="5"/>
      <x:c r="H511" s="11"/>
      <x:c r="I511" s="11" t="n">
        <x:f>'Cycles &amp; Guide'!$D$13</x:f>
        <x:v>46387</x:v>
      </x:c>
      <x:c r="J511" s="11"/>
      <x:c r="K511" s="29"/>
      <x:c r="L511" s="2" t="str">
        <x:f>IF(O511=1,"Complete",IF(A511,"Checklist open",IF(H511&lt;&gt;"","In progress","Not started")))</x:f>
        <x:v>Not started</x:v>
      </x:c>
      <x:c r="M511" s="2" t="str">
        <x:v>Task</x:v>
      </x:c>
      <x:c r="N511" s="2" t="str">
        <x:v>DI.FC.1.2.2026.CY4</x:v>
      </x:c>
      <x:c r="O511" s="2" t="n">
        <x:f>R511</x:f>
        <x:v>0</x:v>
      </x:c>
      <x:c r="P511" s="2"/>
      <x:c r="Q511" s="2" t="n">
        <x:v>1</x:v>
      </x:c>
      <x:c r="R511" s="2" t="n">
        <x:f>IF(A511,1,0)</x:f>
        <x:v>0</x:v>
      </x:c>
      <x:c r="S511" s="2" t="n">
        <x:f>SUBTOTAL(103,N511)</x:f>
        <x:v>1</x:v>
      </x:c>
    </x:row>
    <x:row r="512" ht="42" customHeight="1">
      <x:c r="A512" s="28" t="b">
        <x:v>0</x:v>
      </x:c>
      <x:c r="B512" s="2" t="str">
        <x:v>Cycle 4</x:v>
      </x:c>
      <x:c r="C512" s="2" t="str">
        <x:v>Phase 1</x:v>
      </x:c>
      <x:c r="D512" s="2" t="str">
        <x:v>FCM</x:v>
      </x:c>
      <x:c r="E512" s="56" t="str">
        <x:v>DI.FC.1.3</x:v>
      </x:c>
      <x:c r="F512" s="14" t="str">
        <x:v>Conduct high-level preliminary review of complaints within proposed topics</x:v>
      </x:c>
      <x:c r="G512" s="5"/>
      <x:c r="H512" s="11"/>
      <x:c r="I512" s="11" t="n">
        <x:f>'Cycles &amp; Guide'!$D$13</x:f>
        <x:v>46387</x:v>
      </x:c>
      <x:c r="J512" s="11"/>
      <x:c r="K512" s="29"/>
      <x:c r="L512" s="2" t="str">
        <x:f>IF(O512=1,"Complete",IF(A512,"Checklist open",IF(H512&lt;&gt;"","In progress","Not started")))</x:f>
        <x:v>Not started</x:v>
      </x:c>
      <x:c r="M512" s="2" t="str">
        <x:v>Task</x:v>
      </x:c>
      <x:c r="N512" s="2" t="str">
        <x:v>DI.FC.1.3.2026.CY4</x:v>
      </x:c>
      <x:c r="O512" s="2" t="n">
        <x:f>R512</x:f>
        <x:v>0</x:v>
      </x:c>
      <x:c r="P512" s="2"/>
      <x:c r="Q512" s="2" t="n">
        <x:v>1</x:v>
      </x:c>
      <x:c r="R512" s="2" t="n">
        <x:f>IF(A512,1,0)</x:f>
        <x:v>0</x:v>
      </x:c>
      <x:c r="S512" s="2" t="n">
        <x:f>SUBTOTAL(103,N512)</x:f>
        <x:v>1</x:v>
      </x:c>
    </x:row>
    <x:row r="513" ht="42" customHeight="1">
      <x:c r="A513" s="28" t="b">
        <x:v>0</x:v>
      </x:c>
      <x:c r="B513" s="2" t="str">
        <x:v>Cycle 4</x:v>
      </x:c>
      <x:c r="C513" s="2" t="str">
        <x:v>Phase 1</x:v>
      </x:c>
      <x:c r="D513" s="2" t="str">
        <x:v>FCM</x:v>
      </x:c>
      <x:c r="E513" s="56" t="str">
        <x:v>DI.FC.1.4</x:v>
      </x:c>
      <x:c r="F513" s="14" t="str">
        <x:v>Meet with Research to discuss which topic to select based on potential impact</x:v>
      </x:c>
      <x:c r="G513" s="5"/>
      <x:c r="H513" s="11"/>
      <x:c r="I513" s="11" t="n">
        <x:f>'Cycles &amp; Guide'!$D$13</x:f>
        <x:v>46387</x:v>
      </x:c>
      <x:c r="J513" s="11"/>
      <x:c r="K513" s="29"/>
      <x:c r="L513" s="2" t="str">
        <x:f>IF(O513=1,"Complete",IF(A513,"Checklist open",IF(H513&lt;&gt;"","In progress","Not started")))</x:f>
        <x:v>Not started</x:v>
      </x:c>
      <x:c r="M513" s="2" t="str">
        <x:v>Task</x:v>
      </x:c>
      <x:c r="N513" s="2" t="str">
        <x:v>DI.FC.1.4.2026.CY4</x:v>
      </x:c>
      <x:c r="O513" s="2" t="n">
        <x:f>R513</x:f>
        <x:v>0</x:v>
      </x:c>
      <x:c r="P513" s="2"/>
      <x:c r="Q513" s="2" t="n">
        <x:v>1</x:v>
      </x:c>
      <x:c r="R513" s="2" t="n">
        <x:f>IF(A513,1,0)</x:f>
        <x:v>0</x:v>
      </x:c>
      <x:c r="S513" s="2" t="n">
        <x:f>SUBTOTAL(103,N513)</x:f>
        <x:v>1</x:v>
      </x:c>
    </x:row>
    <x:row r="514" ht="42" customHeight="1">
      <x:c r="A514" s="28" t="b">
        <x:v>0</x:v>
      </x:c>
      <x:c r="B514" s="2" t="str">
        <x:v>Cycle 4</x:v>
      </x:c>
      <x:c r="C514" s="2" t="str">
        <x:v>Phase 1</x:v>
      </x:c>
      <x:c r="D514" s="2" t="str">
        <x:v>FCM</x:v>
      </x:c>
      <x:c r="E514" s="56" t="str">
        <x:v>DI.FC.1.5</x:v>
      </x:c>
      <x:c r="F514" s="14" t="str">
        <x:v>Confirm with Research the recommended topic for approval</x:v>
      </x:c>
      <x:c r="G514" s="5"/>
      <x:c r="H514" s="11"/>
      <x:c r="I514" s="11" t="n">
        <x:f>'Cycles &amp; Guide'!$D$13</x:f>
        <x:v>46387</x:v>
      </x:c>
      <x:c r="J514" s="11"/>
      <x:c r="K514" s="29"/>
      <x:c r="L514" s="2" t="str">
        <x:f>IF(O514=1,"Complete",IF(A514,"Checklist open",IF(H514&lt;&gt;"","In progress","Not started")))</x:f>
        <x:v>Not started</x:v>
      </x:c>
      <x:c r="M514" s="2" t="str">
        <x:v>Task</x:v>
      </x:c>
      <x:c r="N514" s="2" t="str">
        <x:v>DI.FC.1.5.2026.CY4</x:v>
      </x:c>
      <x:c r="O514" s="2" t="n">
        <x:f>R514</x:f>
        <x:v>0</x:v>
      </x:c>
      <x:c r="P514" s="2"/>
      <x:c r="Q514" s="2" t="n">
        <x:v>1</x:v>
      </x:c>
      <x:c r="R514" s="2" t="n">
        <x:f>IF(A514,1,0)</x:f>
        <x:v>0</x:v>
      </x:c>
      <x:c r="S514" s="2" t="n">
        <x:f>SUBTOTAL(103,N514)</x:f>
        <x:v>1</x:v>
      </x:c>
    </x:row>
    <x:row r="515" ht="42" customHeight="1">
      <x:c r="A515" s="28" t="b">
        <x:v>0</x:v>
      </x:c>
      <x:c r="B515" s="2" t="str">
        <x:v>Cycle 4</x:v>
      </x:c>
      <x:c r="C515" s="2" t="str">
        <x:v>Phase 1</x:v>
      </x:c>
      <x:c r="D515" s="2" t="str">
        <x:v>FCM</x:v>
      </x:c>
      <x:c r="E515" s="56" t="str">
        <x:v>DI.FC.1.6</x:v>
      </x:c>
      <x:c r="F515" s="14" t="str">
        <x:v>Send topic selection socialization email to all key stakeholders on the first day of the review Cycle</x:v>
      </x:c>
      <x:c r="G515" s="5"/>
      <x:c r="H515" s="11"/>
      <x:c r="I515" s="11" t="n">
        <x:f>'Cycles &amp; Guide'!$C$13</x:f>
        <x:v>46296</x:v>
      </x:c>
      <x:c r="J515" s="11"/>
      <x:c r="K515" s="29"/>
      <x:c r="L515" s="2" t="str">
        <x:f>IF(O515=1,"Complete",IF(A515,"Checklist open",IF(H515&lt;&gt;"","In progress","Not started")))</x:f>
        <x:v>Not started</x:v>
      </x:c>
      <x:c r="M515" s="2" t="str">
        <x:v>Task</x:v>
      </x:c>
      <x:c r="N515" s="2" t="str">
        <x:v>DI.FC.1.6.2026.CY4</x:v>
      </x:c>
      <x:c r="O515" s="2" t="n">
        <x:f>R515</x:f>
        <x:v>0</x:v>
      </x:c>
      <x:c r="P515" s="2"/>
      <x:c r="Q515" s="2" t="n">
        <x:v>1</x:v>
      </x:c>
      <x:c r="R515" s="2" t="n">
        <x:f>IF(A515,1,0)</x:f>
        <x:v>0</x:v>
      </x:c>
      <x:c r="S515" s="2" t="n">
        <x:f>SUBTOTAL(103,N515)</x:f>
        <x:v>1</x:v>
      </x:c>
    </x:row>
    <x:row r="516" ht="42" customHeight="1">
      <x:c r="A516" s="28" t="b">
        <x:v>0</x:v>
      </x:c>
      <x:c r="B516" s="2" t="str">
        <x:v>Cycle 4</x:v>
      </x:c>
      <x:c r="C516" s="2" t="str">
        <x:v>Phase 2</x:v>
      </x:c>
      <x:c r="D516" s="2" t="str">
        <x:v>FCM</x:v>
      </x:c>
      <x:c r="E516" s="56" t="str">
        <x:v>DI.FC.2.1</x:v>
      </x:c>
      <x:c r="F516" s="14" t="str">
        <x:v>Meet regularly with Research to stay informed on progress, findings, and potential enhancement</x:v>
      </x:c>
      <x:c r="G516" s="5"/>
      <x:c r="H516" s="11"/>
      <x:c r="I516" s="11" t="n">
        <x:f>'Cycles &amp; Guide'!$D$13</x:f>
        <x:v>46387</x:v>
      </x:c>
      <x:c r="J516" s="11"/>
      <x:c r="K516" s="29"/>
      <x:c r="L516" s="2" t="str">
        <x:f>IF(O516=1,"Complete",IF(A516,"Checklist open",IF(H516&lt;&gt;"","In progress","Not started")))</x:f>
        <x:v>Not started</x:v>
      </x:c>
      <x:c r="M516" s="2" t="str">
        <x:v>Task</x:v>
      </x:c>
      <x:c r="N516" s="2" t="str">
        <x:v>DI.FC.2.1.2026.CY4</x:v>
      </x:c>
      <x:c r="O516" s="2" t="n">
        <x:f>R516</x:f>
        <x:v>0</x:v>
      </x:c>
      <x:c r="P516" s="2"/>
      <x:c r="Q516" s="2" t="n">
        <x:v>1</x:v>
      </x:c>
      <x:c r="R516" s="2" t="n">
        <x:f>IF(A516,1,0)</x:f>
        <x:v>0</x:v>
      </x:c>
      <x:c r="S516" s="2" t="n">
        <x:f>SUBTOTAL(103,N516)</x:f>
        <x:v>1</x:v>
      </x:c>
    </x:row>
    <x:row r="517" ht="42" customHeight="1">
      <x:c r="A517" s="28" t="b">
        <x:v>0</x:v>
      </x:c>
      <x:c r="B517" s="2" t="str">
        <x:v>Cycle 4</x:v>
      </x:c>
      <x:c r="C517" s="2" t="str">
        <x:v>Phase 2</x:v>
      </x:c>
      <x:c r="D517" s="2" t="str">
        <x:v>FCM</x:v>
      </x:c>
      <x:c r="E517" s="56" t="str">
        <x:v>DI.FC.2.2</x:v>
      </x:c>
      <x:c r="F517" s="14" t="str">
        <x:v>Collaborate with Research on research plan specifics</x:v>
      </x:c>
      <x:c r="G517" s="5"/>
      <x:c r="H517" s="11"/>
      <x:c r="I517" s="11" t="n">
        <x:f>'Cycles &amp; Guide'!$D$13</x:f>
        <x:v>46387</x:v>
      </x:c>
      <x:c r="J517" s="11"/>
      <x:c r="K517" s="29"/>
      <x:c r="L517" s="2" t="str">
        <x:f>IF(O517=1,"Complete",IF(A517,"Checklist open",IF(H517&lt;&gt;"","In progress","Not started")))</x:f>
        <x:v>Not started</x:v>
      </x:c>
      <x:c r="M517" s="2" t="str">
        <x:v>Task</x:v>
      </x:c>
      <x:c r="N517" s="2" t="str">
        <x:v>DI.FC.2.2.2026.CY4</x:v>
      </x:c>
      <x:c r="O517" s="2" t="n">
        <x:f>R517</x:f>
        <x:v>0</x:v>
      </x:c>
      <x:c r="P517" s="2"/>
      <x:c r="Q517" s="2" t="n">
        <x:v>1</x:v>
      </x:c>
      <x:c r="R517" s="2" t="n">
        <x:f>IF(A517,1,0)</x:f>
        <x:v>0</x:v>
      </x:c>
      <x:c r="S517" s="2" t="n">
        <x:f>SUBTOTAL(103,N517)</x:f>
        <x:v>1</x:v>
      </x:c>
    </x:row>
    <x:row r="518" ht="42" customHeight="1">
      <x:c r="A518" s="28" t="b">
        <x:v>0</x:v>
      </x:c>
      <x:c r="B518" s="2" t="str">
        <x:v>Cycle 4</x:v>
      </x:c>
      <x:c r="C518" s="2" t="str">
        <x:v>Phase 2</x:v>
      </x:c>
      <x:c r="D518" s="2" t="str">
        <x:v>FCM</x:v>
      </x:c>
      <x:c r="E518" s="56" t="str">
        <x:v>DI.FC.2.3</x:v>
      </x:c>
      <x:c r="F518" s="14" t="str">
        <x:v>Participate in SME insight meetings to gain perspective and appetite on potential enhancements</x:v>
      </x:c>
      <x:c r="G518" s="5"/>
      <x:c r="H518" s="11"/>
      <x:c r="I518" s="11" t="n">
        <x:f>'Cycles &amp; Guide'!$D$13</x:f>
        <x:v>46387</x:v>
      </x:c>
      <x:c r="J518" s="11"/>
      <x:c r="K518" s="29"/>
      <x:c r="L518" s="2" t="str">
        <x:f>IF(O518=1,"Complete",IF(A518,"Checklist open",IF(H518&lt;&gt;"","In progress","Not started")))</x:f>
        <x:v>Not started</x:v>
      </x:c>
      <x:c r="M518" s="2" t="str">
        <x:v>Task</x:v>
      </x:c>
      <x:c r="N518" s="2" t="str">
        <x:v>DI.FC.2.3.2026.CY4</x:v>
      </x:c>
      <x:c r="O518" s="2" t="n">
        <x:f>R518</x:f>
        <x:v>0</x:v>
      </x:c>
      <x:c r="P518" s="2"/>
      <x:c r="Q518" s="2" t="n">
        <x:v>1</x:v>
      </x:c>
      <x:c r="R518" s="2" t="n">
        <x:f>IF(A518,1,0)</x:f>
        <x:v>0</x:v>
      </x:c>
      <x:c r="S518" s="2" t="n">
        <x:f>SUBTOTAL(103,N518)</x:f>
        <x:v>1</x:v>
      </x:c>
    </x:row>
    <x:row r="519" ht="42" customHeight="1">
      <x:c r="A519" s="28" t="b">
        <x:v>0</x:v>
      </x:c>
      <x:c r="B519" s="2" t="str">
        <x:v>Cycle 4</x:v>
      </x:c>
      <x:c r="C519" s="2" t="str">
        <x:v>Phase 2</x:v>
      </x:c>
      <x:c r="D519" s="2" t="str">
        <x:v>FCM</x:v>
      </x:c>
      <x:c r="E519" s="56" t="str">
        <x:v>DI.FC.2.4</x:v>
      </x:c>
      <x:c r="F519" s="14" t="str">
        <x:v>Begin development of presentation materials as Research is being completed</x:v>
      </x:c>
      <x:c r="G519" s="5"/>
      <x:c r="H519" s="11"/>
      <x:c r="I519" s="11" t="n">
        <x:f>'Cycles &amp; Guide'!$D$13</x:f>
        <x:v>46387</x:v>
      </x:c>
      <x:c r="J519" s="11"/>
      <x:c r="K519" s="29"/>
      <x:c r="L519" s="2" t="str">
        <x:f>IF(O519=1,"Complete",IF(A519,"Checklist open",IF(H519&lt;&gt;"","In progress","Not started")))</x:f>
        <x:v>Not started</x:v>
      </x:c>
      <x:c r="M519" s="2" t="str">
        <x:v>Task</x:v>
      </x:c>
      <x:c r="N519" s="2" t="str">
        <x:v>DI.FC.2.4.2026.CY4</x:v>
      </x:c>
      <x:c r="O519" s="2" t="n">
        <x:f>R519</x:f>
        <x:v>0</x:v>
      </x:c>
      <x:c r="P519" s="2"/>
      <x:c r="Q519" s="2" t="n">
        <x:v>1</x:v>
      </x:c>
      <x:c r="R519" s="2" t="n">
        <x:f>IF(A519,1,0)</x:f>
        <x:v>0</x:v>
      </x:c>
      <x:c r="S519" s="2" t="n">
        <x:f>SUBTOTAL(103,N519)</x:f>
        <x:v>1</x:v>
      </x:c>
    </x:row>
    <x:row r="520" ht="42" customHeight="1">
      <x:c r="A520" s="28" t="b">
        <x:v>0</x:v>
      </x:c>
      <x:c r="B520" s="2" t="str">
        <x:v>Cycle 4</x:v>
      </x:c>
      <x:c r="C520" s="2" t="str">
        <x:v>Phase 2</x:v>
      </x:c>
      <x:c r="D520" s="2" t="str">
        <x:v>FCM</x:v>
      </x:c>
      <x:c r="E520" s="56" t="str">
        <x:v>DI.FC.2.5</x:v>
      </x:c>
      <x:c r="F520" s="14" t="str">
        <x:v>Draft initial enhancement recommendations (as applicable)</x:v>
      </x:c>
      <x:c r="G520" s="5"/>
      <x:c r="H520" s="11"/>
      <x:c r="I520" s="11" t="n">
        <x:f>'Cycles &amp; Guide'!$D$13</x:f>
        <x:v>46387</x:v>
      </x:c>
      <x:c r="J520" s="11"/>
      <x:c r="K520" s="29"/>
      <x:c r="L520" s="2" t="str">
        <x:f>IF(O520=1,"Complete",IF(A520,"Checklist open",IF(H520&lt;&gt;"","In progress","Not started")))</x:f>
        <x:v>Not started</x:v>
      </x:c>
      <x:c r="M520" s="2" t="str">
        <x:v>Task</x:v>
      </x:c>
      <x:c r="N520" s="2" t="str">
        <x:v>DI.FC.2.5.2026.CY4</x:v>
      </x:c>
      <x:c r="O520" s="2" t="n">
        <x:f>R520</x:f>
        <x:v>0</x:v>
      </x:c>
      <x:c r="P520" s="2"/>
      <x:c r="Q520" s="2" t="n">
        <x:v>1</x:v>
      </x:c>
      <x:c r="R520" s="2" t="n">
        <x:f>IF(A520,1,0)</x:f>
        <x:v>0</x:v>
      </x:c>
      <x:c r="S520" s="2" t="n">
        <x:f>SUBTOTAL(103,N520)</x:f>
        <x:v>1</x:v>
      </x:c>
    </x:row>
    <x:row r="521" ht="42" customHeight="1">
      <x:c r="A521" s="28" t="b">
        <x:v>0</x:v>
      </x:c>
      <x:c r="B521" s="2" t="str">
        <x:v>Cycle 4</x:v>
      </x:c>
      <x:c r="C521" s="2" t="str">
        <x:v>Phase 2</x:v>
      </x:c>
      <x:c r="D521" s="2" t="str">
        <x:v>FCM</x:v>
      </x:c>
      <x:c r="E521" s="56" t="str">
        <x:v>DI.FC.2.6</x:v>
      </x:c>
      <x:c r="F521" s="14" t="str">
        <x:v>Finalize presentation deck draft at conclusion of Research phase</x:v>
      </x:c>
      <x:c r="G521" s="5"/>
      <x:c r="H521" s="11"/>
      <x:c r="I521" s="11" t="n">
        <x:f>'Cycles &amp; Guide'!$D$13</x:f>
        <x:v>46387</x:v>
      </x:c>
      <x:c r="J521" s="11"/>
      <x:c r="K521" s="29"/>
      <x:c r="L521" s="2" t="str">
        <x:f>IF(O521=1,"Complete",IF(A521,"Checklist open",IF(H521&lt;&gt;"","In progress","Not started")))</x:f>
        <x:v>Not started</x:v>
      </x:c>
      <x:c r="M521" s="2" t="str">
        <x:v>Task</x:v>
      </x:c>
      <x:c r="N521" s="2" t="str">
        <x:v>DI.FC.2.6.2026.CY4</x:v>
      </x:c>
      <x:c r="O521" s="2" t="n">
        <x:f>R521</x:f>
        <x:v>0</x:v>
      </x:c>
      <x:c r="P521" s="2"/>
      <x:c r="Q521" s="2" t="n">
        <x:v>1</x:v>
      </x:c>
      <x:c r="R521" s="2" t="n">
        <x:f>IF(A521,1,0)</x:f>
        <x:v>0</x:v>
      </x:c>
      <x:c r="S521" s="2" t="n">
        <x:f>SUBTOTAL(103,N521)</x:f>
        <x:v>1</x:v>
      </x:c>
    </x:row>
    <x:row r="522" ht="42" customHeight="1">
      <x:c r="A522" s="28" t="b">
        <x:v>0</x:v>
      </x:c>
      <x:c r="B522" s="2" t="str">
        <x:v>Cycle 4</x:v>
      </x:c>
      <x:c r="C522" s="2" t="str">
        <x:v>Phase 2</x:v>
      </x:c>
      <x:c r="D522" s="2" t="str">
        <x:v>FCM</x:v>
      </x:c>
      <x:c r="E522" s="56" t="str">
        <x:v>DI.FC.2.7</x:v>
      </x:c>
      <x:c r="F522" s="14" t="str">
        <x:v>Update Outcome portion of research plan with current enhancement verbiage (as needed)</x:v>
      </x:c>
      <x:c r="G522" s="5"/>
      <x:c r="H522" s="11"/>
      <x:c r="I522" s="11" t="n">
        <x:f>'Cycles &amp; Guide'!$D$13</x:f>
        <x:v>46387</x:v>
      </x:c>
      <x:c r="J522" s="11"/>
      <x:c r="K522" s="29"/>
      <x:c r="L522" s="2" t="str">
        <x:f>IF(O522=1,"Complete",IF(A522,"Checklist open",IF(H522&lt;&gt;"","In progress","Not started")))</x:f>
        <x:v>Not started</x:v>
      </x:c>
      <x:c r="M522" s="2" t="str">
        <x:v>Task</x:v>
      </x:c>
      <x:c r="N522" s="2" t="str">
        <x:v>DI.FC.2.7.2026.CY4</x:v>
      </x:c>
      <x:c r="O522" s="2" t="n">
        <x:f>R522</x:f>
        <x:v>0</x:v>
      </x:c>
      <x:c r="P522" s="2"/>
      <x:c r="Q522" s="2" t="n">
        <x:v>1</x:v>
      </x:c>
      <x:c r="R522" s="2" t="n">
        <x:f>IF(A522,1,0)</x:f>
        <x:v>0</x:v>
      </x:c>
      <x:c r="S522" s="2" t="n">
        <x:f>SUBTOTAL(103,N522)</x:f>
        <x:v>1</x:v>
      </x:c>
    </x:row>
    <x:row r="523" ht="42" customHeight="1">
      <x:c r="A523" s="28" t="b">
        <x:v>0</x:v>
      </x:c>
      <x:c r="B523" s="2" t="str">
        <x:v>Cycle 4</x:v>
      </x:c>
      <x:c r="C523" s="2" t="str">
        <x:v>Phase 3</x:v>
      </x:c>
      <x:c r="D523" s="2" t="str">
        <x:v>FCM</x:v>
      </x:c>
      <x:c r="E523" s="56" t="str">
        <x:v>DI.FC.3.1</x:v>
      </x:c>
      <x:c r="F523" s="14" t="str">
        <x:v>Confirm list of required &amp; optional attendees for pre-socialization meeting</x:v>
      </x:c>
      <x:c r="G523" s="5"/>
      <x:c r="H523" s="11"/>
      <x:c r="I523" s="11" t="n">
        <x:f>'Cycles &amp; Guide'!$D$13</x:f>
        <x:v>46387</x:v>
      </x:c>
      <x:c r="J523" s="11"/>
      <x:c r="K523" s="29"/>
      <x:c r="L523" s="2" t="str">
        <x:f>IF(O523=1,"Complete",IF(A523,"Checklist open",IF(H523&lt;&gt;"","In progress","Not started")))</x:f>
        <x:v>Not started</x:v>
      </x:c>
      <x:c r="M523" s="2" t="str">
        <x:v>Task</x:v>
      </x:c>
      <x:c r="N523" s="2" t="str">
        <x:v>DI.FC.3.1.2026.CY4</x:v>
      </x:c>
      <x:c r="O523" s="2" t="n">
        <x:f>R523</x:f>
        <x:v>0</x:v>
      </x:c>
      <x:c r="P523" s="2"/>
      <x:c r="Q523" s="2" t="n">
        <x:v>1</x:v>
      </x:c>
      <x:c r="R523" s="2" t="n">
        <x:f>IF(A523,1,0)</x:f>
        <x:v>0</x:v>
      </x:c>
      <x:c r="S523" s="2" t="n">
        <x:f>SUBTOTAL(103,N523)</x:f>
        <x:v>1</x:v>
      </x:c>
    </x:row>
    <x:row r="524" ht="42" customHeight="1">
      <x:c r="A524" s="28" t="b">
        <x:v>0</x:v>
      </x:c>
      <x:c r="B524" s="2" t="str">
        <x:v>Cycle 4</x:v>
      </x:c>
      <x:c r="C524" s="2" t="str">
        <x:v>Phase 3</x:v>
      </x:c>
      <x:c r="D524" s="2" t="str">
        <x:v>FCM</x:v>
      </x:c>
      <x:c r="E524" s="56" t="str">
        <x:v>DI.FC.3.2</x:v>
      </x:c>
      <x:c r="F524" s="14" t="str">
        <x:v>Schedule pre-socialization meeting 1 week prior to RCA Forum</x:v>
      </x:c>
      <x:c r="G524" s="5"/>
      <x:c r="H524" s="11"/>
      <x:c r="I524" s="11" t="str">
        <x:f>IF(SUMIFS('Cycles &amp; Guide'!$D$23:$D$50,'Cycles &amp; Guide'!$B$23:$B$50,B524,'Cycles &amp; Guide'!$C$23:$C$50,D524)=0,"",SUMIFS('Cycles &amp; Guide'!$D$23:$D$50,'Cycles &amp; Guide'!$B$23:$B$50,B524,'Cycles &amp; Guide'!$C$23:$C$50,D524)-7)</x:f>
      </x:c>
      <x:c r="J524" s="11"/>
      <x:c r="K524" s="29"/>
      <x:c r="L524" s="2" t="str">
        <x:f>IF(O524=1,"Complete",IF(A524,"Checklist open",IF(H524&lt;&gt;"","In progress","Not started")))</x:f>
        <x:v>Not started</x:v>
      </x:c>
      <x:c r="M524" s="2" t="str">
        <x:v>Task</x:v>
      </x:c>
      <x:c r="N524" s="2" t="str">
        <x:v>DI.FC.3.2.2026.CY4</x:v>
      </x:c>
      <x:c r="O524" s="2" t="n">
        <x:f>R524</x:f>
        <x:v>0</x:v>
      </x:c>
      <x:c r="P524" s="2"/>
      <x:c r="Q524" s="2" t="n">
        <x:v>1</x:v>
      </x:c>
      <x:c r="R524" s="2" t="n">
        <x:f>IF(A524,1,0)</x:f>
        <x:v>0</x:v>
      </x:c>
      <x:c r="S524" s="2" t="n">
        <x:f>SUBTOTAL(103,N524)</x:f>
        <x:v>1</x:v>
      </x:c>
    </x:row>
    <x:row r="525" ht="42" customHeight="1">
      <x:c r="A525" s="28" t="b">
        <x:v>0</x:v>
      </x:c>
      <x:c r="B525" s="2" t="str">
        <x:v>Cycle 4</x:v>
      </x:c>
      <x:c r="C525" s="2" t="str">
        <x:v>Phase 3</x:v>
      </x:c>
      <x:c r="D525" s="2" t="str">
        <x:v>FCM</x:v>
      </x:c>
      <x:c r="E525" s="56" t="str">
        <x:v>DI.FC.3.3</x:v>
      </x:c>
      <x:c r="F525" s="14" t="str">
        <x:v>Present findings, conclusions, and recommendation to SMEs</x:v>
      </x:c>
      <x:c r="G525" s="5"/>
      <x:c r="H525" s="11"/>
      <x:c r="I525" s="11" t="n">
        <x:f>'Cycles &amp; Guide'!$D$13</x:f>
        <x:v>46387</x:v>
      </x:c>
      <x:c r="J525" s="11"/>
      <x:c r="K525" s="29"/>
      <x:c r="L525" s="2" t="str">
        <x:f>IF(O525=1,"Complete",IF(A525,"Checklist open",IF(H525&lt;&gt;"","In progress","Not started")))</x:f>
        <x:v>Not started</x:v>
      </x:c>
      <x:c r="M525" s="2" t="str">
        <x:v>Task</x:v>
      </x:c>
      <x:c r="N525" s="2" t="str">
        <x:v>DI.FC.3.3.2026.CY4</x:v>
      </x:c>
      <x:c r="O525" s="2" t="n">
        <x:f>R525</x:f>
        <x:v>0</x:v>
      </x:c>
      <x:c r="P525" s="2"/>
      <x:c r="Q525" s="2" t="n">
        <x:v>1</x:v>
      </x:c>
      <x:c r="R525" s="2" t="n">
        <x:f>IF(A525,1,0)</x:f>
        <x:v>0</x:v>
      </x:c>
      <x:c r="S525" s="2" t="n">
        <x:f>SUBTOTAL(103,N525)</x:f>
        <x:v>1</x:v>
      </x:c>
    </x:row>
    <x:row r="526" ht="42" customHeight="1">
      <x:c r="A526" s="28" t="b">
        <x:v>0</x:v>
      </x:c>
      <x:c r="B526" s="2" t="str">
        <x:v>Cycle 4</x:v>
      </x:c>
      <x:c r="C526" s="2" t="str">
        <x:v>Phase 3</x:v>
      </x:c>
      <x:c r="D526" s="2" t="str">
        <x:v>FCM</x:v>
      </x:c>
      <x:c r="E526" s="56" t="str">
        <x:v>DI.FC.3.4</x:v>
      </x:c>
      <x:c r="F526" s="14" t="str">
        <x:v>Update Outcome portion of research plan (as needed)</x:v>
      </x:c>
      <x:c r="G526" s="5"/>
      <x:c r="H526" s="11"/>
      <x:c r="I526" s="11" t="n">
        <x:f>'Cycles &amp; Guide'!$D$13</x:f>
        <x:v>46387</x:v>
      </x:c>
      <x:c r="J526" s="11"/>
      <x:c r="K526" s="29"/>
      <x:c r="L526" s="2" t="str">
        <x:f>IF(O526=1,"Complete",IF(A526,"Checklist open",IF(H526&lt;&gt;"","In progress","Not started")))</x:f>
        <x:v>Not started</x:v>
      </x:c>
      <x:c r="M526" s="2" t="str">
        <x:v>Task</x:v>
      </x:c>
      <x:c r="N526" s="2" t="str">
        <x:v>DI.FC.3.4.2026.CY4</x:v>
      </x:c>
      <x:c r="O526" s="2" t="n">
        <x:f>R526</x:f>
        <x:v>0</x:v>
      </x:c>
      <x:c r="P526" s="2"/>
      <x:c r="Q526" s="2" t="n">
        <x:v>1</x:v>
      </x:c>
      <x:c r="R526" s="2" t="n">
        <x:f>IF(A526,1,0)</x:f>
        <x:v>0</x:v>
      </x:c>
      <x:c r="S526" s="2" t="n">
        <x:f>SUBTOTAL(103,N526)</x:f>
        <x:v>1</x:v>
      </x:c>
    </x:row>
    <x:row r="527" ht="42" customHeight="1">
      <x:c r="A527" s="28" t="b">
        <x:v>0</x:v>
      </x:c>
      <x:c r="B527" s="2" t="str">
        <x:v>Cycle 4</x:v>
      </x:c>
      <x:c r="C527" s="2" t="str">
        <x:v>Phase 3</x:v>
      </x:c>
      <x:c r="D527" s="2" t="str">
        <x:v>FCM</x:v>
      </x:c>
      <x:c r="E527" s="56" t="str">
        <x:v>DI.FC.3.5</x:v>
      </x:c>
      <x:c r="F527" s="14" t="str">
        <x:v>Finalize presentation deck by incorporating pre-socialization feedback (as needed)</x:v>
      </x:c>
      <x:c r="G527" s="5"/>
      <x:c r="H527" s="11"/>
      <x:c r="I527" s="11" t="n">
        <x:f>'Cycles &amp; Guide'!$D$13</x:f>
        <x:v>46387</x:v>
      </x:c>
      <x:c r="J527" s="11"/>
      <x:c r="K527" s="29"/>
      <x:c r="L527" s="2" t="str">
        <x:f>IF(O527=1,"Complete",IF(A527,"Checklist open",IF(H527&lt;&gt;"","In progress","Not started")))</x:f>
        <x:v>Not started</x:v>
      </x:c>
      <x:c r="M527" s="2" t="str">
        <x:v>Task</x:v>
      </x:c>
      <x:c r="N527" s="2" t="str">
        <x:v>DI.FC.3.5.2026.CY4</x:v>
      </x:c>
      <x:c r="O527" s="2" t="n">
        <x:f>R527</x:f>
        <x:v>0</x:v>
      </x:c>
      <x:c r="P527" s="2"/>
      <x:c r="Q527" s="2" t="n">
        <x:v>1</x:v>
      </x:c>
      <x:c r="R527" s="2" t="n">
        <x:f>IF(A527,1,0)</x:f>
        <x:v>0</x:v>
      </x:c>
      <x:c r="S527" s="2" t="n">
        <x:f>SUBTOTAL(103,N527)</x:f>
        <x:v>1</x:v>
      </x:c>
    </x:row>
    <x:row r="528" ht="42" customHeight="1">
      <x:c r="A528" s="28" t="b">
        <x:v>0</x:v>
      </x:c>
      <x:c r="B528" s="2" t="str">
        <x:v>Cycle 4</x:v>
      </x:c>
      <x:c r="C528" s="2" t="str">
        <x:v>Phase 3</x:v>
      </x:c>
      <x:c r="D528" s="2" t="str">
        <x:v>FCM</x:v>
      </x:c>
      <x:c r="E528" s="56" t="str">
        <x:v>DI.FC.3.6</x:v>
      </x:c>
      <x:c r="F528" s="14" t="str">
        <x:v>Ensure final deck is communicated to Forum attendees</x:v>
      </x:c>
      <x:c r="G528" s="5"/>
      <x:c r="H528" s="11"/>
      <x:c r="I528" s="11" t="n">
        <x:f>'Cycles &amp; Guide'!$D$13</x:f>
        <x:v>46387</x:v>
      </x:c>
      <x:c r="J528" s="11"/>
      <x:c r="K528" s="29"/>
      <x:c r="L528" s="2" t="str">
        <x:f>IF(O528=1,"Complete",IF(A528,"Checklist open",IF(H528&lt;&gt;"","In progress","Not started")))</x:f>
        <x:v>Not started</x:v>
      </x:c>
      <x:c r="M528" s="2" t="str">
        <x:v>Task</x:v>
      </x:c>
      <x:c r="N528" s="2" t="str">
        <x:v>DI.FC.3.6.2026.CY4</x:v>
      </x:c>
      <x:c r="O528" s="2" t="n">
        <x:f>R528</x:f>
        <x:v>0</x:v>
      </x:c>
      <x:c r="P528" s="2"/>
      <x:c r="Q528" s="2" t="n">
        <x:v>1</x:v>
      </x:c>
      <x:c r="R528" s="2" t="n">
        <x:f>IF(A528,1,0)</x:f>
        <x:v>0</x:v>
      </x:c>
      <x:c r="S528" s="2" t="n">
        <x:f>SUBTOTAL(103,N528)</x:f>
        <x:v>1</x:v>
      </x:c>
    </x:row>
    <x:row r="529" ht="42" customHeight="1">
      <x:c r="A529" s="28" t="b">
        <x:v>0</x:v>
      </x:c>
      <x:c r="B529" s="2" t="str">
        <x:v>Cycle 4</x:v>
      </x:c>
      <x:c r="C529" s="2" t="str">
        <x:v>Phase 3</x:v>
      </x:c>
      <x:c r="D529" s="2" t="str">
        <x:v>FCM</x:v>
      </x:c>
      <x:c r="E529" s="56" t="str">
        <x:v>DI.FC.3.7</x:v>
      </x:c>
      <x:c r="F529" s="14" t="str">
        <x:v>Present material in RCA Cycle Forum</x:v>
      </x:c>
      <x:c r="G529" s="5"/>
      <x:c r="H529" s="11"/>
      <x:c r="I529" s="11" t="str">
        <x:f>IF(SUMIFS('Cycles &amp; Guide'!$D$23:$D$50,'Cycles &amp; Guide'!$B$23:$B$50,B529,'Cycles &amp; Guide'!$C$23:$C$50,D529)=0,"",SUMIFS('Cycles &amp; Guide'!$D$23:$D$50,'Cycles &amp; Guide'!$B$23:$B$50,B529,'Cycles &amp; Guide'!$C$23:$C$50,D529))</x:f>
      </x:c>
      <x:c r="J529" s="11"/>
      <x:c r="K529" s="29"/>
      <x:c r="L529" s="2" t="str">
        <x:f>IF(O529=1,"Complete",IF(A529,"Checklist open",IF(H529&lt;&gt;"","In progress","Not started")))</x:f>
        <x:v>Not started</x:v>
      </x:c>
      <x:c r="M529" s="2" t="str">
        <x:v>Task</x:v>
      </x:c>
      <x:c r="N529" s="2" t="str">
        <x:v>DI.FC.3.7.2026.CY4</x:v>
      </x:c>
      <x:c r="O529" s="2" t="n">
        <x:f>R529</x:f>
        <x:v>0</x:v>
      </x:c>
      <x:c r="P529" s="2"/>
      <x:c r="Q529" s="2" t="n">
        <x:v>1</x:v>
      </x:c>
      <x:c r="R529" s="2" t="n">
        <x:f>IF(A529,1,0)</x:f>
        <x:v>0</x:v>
      </x:c>
      <x:c r="S529" s="2" t="n">
        <x:f>SUBTOTAL(103,N529)</x:f>
        <x:v>1</x:v>
      </x:c>
    </x:row>
    <x:row r="530" ht="42" customHeight="1">
      <x:c r="A530" s="28" t="b">
        <x:v>0</x:v>
      </x:c>
      <x:c r="B530" s="2" t="str">
        <x:v>Cycle 4</x:v>
      </x:c>
      <x:c r="C530" s="2" t="str">
        <x:v>Phase 1</x:v>
      </x:c>
      <x:c r="D530" s="2" t="str">
        <x:v>PLL</x:v>
      </x:c>
      <x:c r="E530" s="56" t="str">
        <x:v>DI.PL.1.1</x:v>
      </x:c>
      <x:c r="F530" s="14" t="str">
        <x:v>Receive and review potential research topics at least 2 weeks prior to Cycle start date</x:v>
      </x:c>
      <x:c r="G530" s="5"/>
      <x:c r="H530" s="11"/>
      <x:c r="I530" s="11" t="n">
        <x:f>'Cycles &amp; Guide'!$C$13-14</x:f>
        <x:v>46282</x:v>
      </x:c>
      <x:c r="J530" s="11"/>
      <x:c r="K530" s="29"/>
      <x:c r="L530" s="2" t="str">
        <x:f>IF(O530=1,"Complete",IF(A530,"Checklist open",IF(H530&lt;&gt;"","In progress","Not started")))</x:f>
        <x:v>Not started</x:v>
      </x:c>
      <x:c r="M530" s="2" t="str">
        <x:v>Task</x:v>
      </x:c>
      <x:c r="N530" s="2" t="str">
        <x:v>DI.PL.1.1.2026.CY4</x:v>
      </x:c>
      <x:c r="O530" s="2" t="n">
        <x:f>R530</x:f>
        <x:v>0</x:v>
      </x:c>
      <x:c r="P530" s="2"/>
      <x:c r="Q530" s="2" t="n">
        <x:v>1</x:v>
      </x:c>
      <x:c r="R530" s="2" t="n">
        <x:f>IF(A530,1,0)</x:f>
        <x:v>0</x:v>
      </x:c>
      <x:c r="S530" s="2" t="n">
        <x:f>SUBTOTAL(103,N530)</x:f>
        <x:v>1</x:v>
      </x:c>
    </x:row>
    <x:row r="531" ht="42" customHeight="1">
      <x:c r="A531" s="28" t="b">
        <x:v>0</x:v>
      </x:c>
      <x:c r="B531" s="2" t="str">
        <x:v>Cycle 4</x:v>
      </x:c>
      <x:c r="C531" s="2" t="str">
        <x:v>Phase 1</x:v>
      </x:c>
      <x:c r="D531" s="2" t="str">
        <x:v>PLL</x:v>
      </x:c>
      <x:c r="E531" s="56" t="str">
        <x:v>DI.PL.1.2</x:v>
      </x:c>
      <x:c r="F531" s="14" t="str">
        <x:v>Communicate any feedback on preferences or concerns with topics identified</x:v>
      </x:c>
      <x:c r="G531" s="5"/>
      <x:c r="H531" s="11"/>
      <x:c r="I531" s="11" t="n">
        <x:f>'Cycles &amp; Guide'!$D$13</x:f>
        <x:v>46387</x:v>
      </x:c>
      <x:c r="J531" s="11"/>
      <x:c r="K531" s="29"/>
      <x:c r="L531" s="2" t="str">
        <x:f>IF(O531=1,"Complete",IF(A531,"Checklist open",IF(H531&lt;&gt;"","In progress","Not started")))</x:f>
        <x:v>Not started</x:v>
      </x:c>
      <x:c r="M531" s="2" t="str">
        <x:v>Task</x:v>
      </x:c>
      <x:c r="N531" s="2" t="str">
        <x:v>DI.PL.1.2.2026.CY4</x:v>
      </x:c>
      <x:c r="O531" s="2" t="n">
        <x:f>R531</x:f>
        <x:v>0</x:v>
      </x:c>
      <x:c r="P531" s="2"/>
      <x:c r="Q531" s="2" t="n">
        <x:v>1</x:v>
      </x:c>
      <x:c r="R531" s="2" t="n">
        <x:f>IF(A531,1,0)</x:f>
        <x:v>0</x:v>
      </x:c>
      <x:c r="S531" s="2" t="n">
        <x:f>SUBTOTAL(103,N531)</x:f>
        <x:v>1</x:v>
      </x:c>
    </x:row>
    <x:row r="532" ht="42" customHeight="1">
      <x:c r="A532" s="28" t="b">
        <x:v>0</x:v>
      </x:c>
      <x:c r="B532" s="2" t="str">
        <x:v>Cycle 4</x:v>
      </x:c>
      <x:c r="C532" s="2" t="str">
        <x:v>Phase 1</x:v>
      </x:c>
      <x:c r="D532" s="2" t="str">
        <x:v>PLL</x:v>
      </x:c>
      <x:c r="E532" s="56" t="str">
        <x:v>DI.PL.1.3</x:v>
      </x:c>
      <x:c r="F532" s="14" t="str">
        <x:v>Conduct high-level preliminary review of complaints within proposed topics</x:v>
      </x:c>
      <x:c r="G532" s="5"/>
      <x:c r="H532" s="11"/>
      <x:c r="I532" s="11" t="n">
        <x:f>'Cycles &amp; Guide'!$D$13</x:f>
        <x:v>46387</x:v>
      </x:c>
      <x:c r="J532" s="11"/>
      <x:c r="K532" s="29"/>
      <x:c r="L532" s="2" t="str">
        <x:f>IF(O532=1,"Complete",IF(A532,"Checklist open",IF(H532&lt;&gt;"","In progress","Not started")))</x:f>
        <x:v>Not started</x:v>
      </x:c>
      <x:c r="M532" s="2" t="str">
        <x:v>Task</x:v>
      </x:c>
      <x:c r="N532" s="2" t="str">
        <x:v>DI.PL.1.3.2026.CY4</x:v>
      </x:c>
      <x:c r="O532" s="2" t="n">
        <x:f>R532</x:f>
        <x:v>0</x:v>
      </x:c>
      <x:c r="P532" s="2"/>
      <x:c r="Q532" s="2" t="n">
        <x:v>1</x:v>
      </x:c>
      <x:c r="R532" s="2" t="n">
        <x:f>IF(A532,1,0)</x:f>
        <x:v>0</x:v>
      </x:c>
      <x:c r="S532" s="2" t="n">
        <x:f>SUBTOTAL(103,N532)</x:f>
        <x:v>1</x:v>
      </x:c>
    </x:row>
    <x:row r="533" ht="42" customHeight="1">
      <x:c r="A533" s="28" t="b">
        <x:v>0</x:v>
      </x:c>
      <x:c r="B533" s="2" t="str">
        <x:v>Cycle 4</x:v>
      </x:c>
      <x:c r="C533" s="2" t="str">
        <x:v>Phase 1</x:v>
      </x:c>
      <x:c r="D533" s="2" t="str">
        <x:v>PLL</x:v>
      </x:c>
      <x:c r="E533" s="56" t="str">
        <x:v>DI.PL.1.4</x:v>
      </x:c>
      <x:c r="F533" s="14" t="str">
        <x:v>Meet with Research to discuss which topic to select based on potential impact</x:v>
      </x:c>
      <x:c r="G533" s="5"/>
      <x:c r="H533" s="11"/>
      <x:c r="I533" s="11" t="n">
        <x:f>'Cycles &amp; Guide'!$D$13</x:f>
        <x:v>46387</x:v>
      </x:c>
      <x:c r="J533" s="11"/>
      <x:c r="K533" s="29"/>
      <x:c r="L533" s="2" t="str">
        <x:f>IF(O533=1,"Complete",IF(A533,"Checklist open",IF(H533&lt;&gt;"","In progress","Not started")))</x:f>
        <x:v>Not started</x:v>
      </x:c>
      <x:c r="M533" s="2" t="str">
        <x:v>Task</x:v>
      </x:c>
      <x:c r="N533" s="2" t="str">
        <x:v>DI.PL.1.4.2026.CY4</x:v>
      </x:c>
      <x:c r="O533" s="2" t="n">
        <x:f>R533</x:f>
        <x:v>0</x:v>
      </x:c>
      <x:c r="P533" s="2"/>
      <x:c r="Q533" s="2" t="n">
        <x:v>1</x:v>
      </x:c>
      <x:c r="R533" s="2" t="n">
        <x:f>IF(A533,1,0)</x:f>
        <x:v>0</x:v>
      </x:c>
      <x:c r="S533" s="2" t="n">
        <x:f>SUBTOTAL(103,N533)</x:f>
        <x:v>1</x:v>
      </x:c>
    </x:row>
    <x:row r="534" ht="42" customHeight="1">
      <x:c r="A534" s="28" t="b">
        <x:v>0</x:v>
      </x:c>
      <x:c r="B534" s="2" t="str">
        <x:v>Cycle 4</x:v>
      </x:c>
      <x:c r="C534" s="2" t="str">
        <x:v>Phase 1</x:v>
      </x:c>
      <x:c r="D534" s="2" t="str">
        <x:v>PLL</x:v>
      </x:c>
      <x:c r="E534" s="56" t="str">
        <x:v>DI.PL.1.5</x:v>
      </x:c>
      <x:c r="F534" s="14" t="str">
        <x:v>Confirm with Research the recommended topic for approval</x:v>
      </x:c>
      <x:c r="G534" s="5"/>
      <x:c r="H534" s="11"/>
      <x:c r="I534" s="11" t="n">
        <x:f>'Cycles &amp; Guide'!$D$13</x:f>
        <x:v>46387</x:v>
      </x:c>
      <x:c r="J534" s="11"/>
      <x:c r="K534" s="29"/>
      <x:c r="L534" s="2" t="str">
        <x:f>IF(O534=1,"Complete",IF(A534,"Checklist open",IF(H534&lt;&gt;"","In progress","Not started")))</x:f>
        <x:v>Not started</x:v>
      </x:c>
      <x:c r="M534" s="2" t="str">
        <x:v>Task</x:v>
      </x:c>
      <x:c r="N534" s="2" t="str">
        <x:v>DI.PL.1.5.2026.CY4</x:v>
      </x:c>
      <x:c r="O534" s="2" t="n">
        <x:f>R534</x:f>
        <x:v>0</x:v>
      </x:c>
      <x:c r="P534" s="2"/>
      <x:c r="Q534" s="2" t="n">
        <x:v>1</x:v>
      </x:c>
      <x:c r="R534" s="2" t="n">
        <x:f>IF(A534,1,0)</x:f>
        <x:v>0</x:v>
      </x:c>
      <x:c r="S534" s="2" t="n">
        <x:f>SUBTOTAL(103,N534)</x:f>
        <x:v>1</x:v>
      </x:c>
    </x:row>
    <x:row r="535" ht="42" customHeight="1">
      <x:c r="A535" s="28" t="b">
        <x:v>0</x:v>
      </x:c>
      <x:c r="B535" s="2" t="str">
        <x:v>Cycle 4</x:v>
      </x:c>
      <x:c r="C535" s="2" t="str">
        <x:v>Phase 1</x:v>
      </x:c>
      <x:c r="D535" s="2" t="str">
        <x:v>PLL</x:v>
      </x:c>
      <x:c r="E535" s="56" t="str">
        <x:v>DI.PL.1.6</x:v>
      </x:c>
      <x:c r="F535" s="14" t="str">
        <x:v>Send topic selection socialization email to all key stakeholders on the first day of the review Cycle</x:v>
      </x:c>
      <x:c r="G535" s="5"/>
      <x:c r="H535" s="11"/>
      <x:c r="I535" s="11" t="n">
        <x:f>'Cycles &amp; Guide'!$C$13</x:f>
        <x:v>46296</x:v>
      </x:c>
      <x:c r="J535" s="11"/>
      <x:c r="K535" s="29"/>
      <x:c r="L535" s="2" t="str">
        <x:f>IF(O535=1,"Complete",IF(A535,"Checklist open",IF(H535&lt;&gt;"","In progress","Not started")))</x:f>
        <x:v>Not started</x:v>
      </x:c>
      <x:c r="M535" s="2" t="str">
        <x:v>Task</x:v>
      </x:c>
      <x:c r="N535" s="2" t="str">
        <x:v>DI.PL.1.6.2026.CY4</x:v>
      </x:c>
      <x:c r="O535" s="2" t="n">
        <x:f>R535</x:f>
        <x:v>0</x:v>
      </x:c>
      <x:c r="P535" s="2"/>
      <x:c r="Q535" s="2" t="n">
        <x:v>1</x:v>
      </x:c>
      <x:c r="R535" s="2" t="n">
        <x:f>IF(A535,1,0)</x:f>
        <x:v>0</x:v>
      </x:c>
      <x:c r="S535" s="2" t="n">
        <x:f>SUBTOTAL(103,N535)</x:f>
        <x:v>1</x:v>
      </x:c>
    </x:row>
    <x:row r="536" ht="42" customHeight="1">
      <x:c r="A536" s="28" t="b">
        <x:v>0</x:v>
      </x:c>
      <x:c r="B536" s="2" t="str">
        <x:v>Cycle 4</x:v>
      </x:c>
      <x:c r="C536" s="2" t="str">
        <x:v>Phase 2</x:v>
      </x:c>
      <x:c r="D536" s="2" t="str">
        <x:v>PLL</x:v>
      </x:c>
      <x:c r="E536" s="56" t="str">
        <x:v>DI.PL.2.1</x:v>
      </x:c>
      <x:c r="F536" s="14" t="str">
        <x:v>Meet regularly with Research to stay informed on progress, findings, and potential enhancement</x:v>
      </x:c>
      <x:c r="G536" s="5"/>
      <x:c r="H536" s="11"/>
      <x:c r="I536" s="11" t="n">
        <x:f>'Cycles &amp; Guide'!$D$13</x:f>
        <x:v>46387</x:v>
      </x:c>
      <x:c r="J536" s="11"/>
      <x:c r="K536" s="29"/>
      <x:c r="L536" s="2" t="str">
        <x:f>IF(O536=1,"Complete",IF(A536,"Checklist open",IF(H536&lt;&gt;"","In progress","Not started")))</x:f>
        <x:v>Not started</x:v>
      </x:c>
      <x:c r="M536" s="2" t="str">
        <x:v>Task</x:v>
      </x:c>
      <x:c r="N536" s="2" t="str">
        <x:v>DI.PL.2.1.2026.CY4</x:v>
      </x:c>
      <x:c r="O536" s="2" t="n">
        <x:f>R536</x:f>
        <x:v>0</x:v>
      </x:c>
      <x:c r="P536" s="2"/>
      <x:c r="Q536" s="2" t="n">
        <x:v>1</x:v>
      </x:c>
      <x:c r="R536" s="2" t="n">
        <x:f>IF(A536,1,0)</x:f>
        <x:v>0</x:v>
      </x:c>
      <x:c r="S536" s="2" t="n">
        <x:f>SUBTOTAL(103,N536)</x:f>
        <x:v>1</x:v>
      </x:c>
    </x:row>
    <x:row r="537" ht="42" customHeight="1">
      <x:c r="A537" s="28" t="b">
        <x:v>0</x:v>
      </x:c>
      <x:c r="B537" s="2" t="str">
        <x:v>Cycle 4</x:v>
      </x:c>
      <x:c r="C537" s="2" t="str">
        <x:v>Phase 2</x:v>
      </x:c>
      <x:c r="D537" s="2" t="str">
        <x:v>PLL</x:v>
      </x:c>
      <x:c r="E537" s="56" t="str">
        <x:v>DI.PL.2.2</x:v>
      </x:c>
      <x:c r="F537" s="14" t="str">
        <x:v>Collaborate with Research on research plan specifics</x:v>
      </x:c>
      <x:c r="G537" s="5"/>
      <x:c r="H537" s="11"/>
      <x:c r="I537" s="11" t="n">
        <x:f>'Cycles &amp; Guide'!$D$13</x:f>
        <x:v>46387</x:v>
      </x:c>
      <x:c r="J537" s="11"/>
      <x:c r="K537" s="29"/>
      <x:c r="L537" s="2" t="str">
        <x:f>IF(O537=1,"Complete",IF(A537,"Checklist open",IF(H537&lt;&gt;"","In progress","Not started")))</x:f>
        <x:v>Not started</x:v>
      </x:c>
      <x:c r="M537" s="2" t="str">
        <x:v>Task</x:v>
      </x:c>
      <x:c r="N537" s="2" t="str">
        <x:v>DI.PL.2.2.2026.CY4</x:v>
      </x:c>
      <x:c r="O537" s="2" t="n">
        <x:f>R537</x:f>
        <x:v>0</x:v>
      </x:c>
      <x:c r="P537" s="2"/>
      <x:c r="Q537" s="2" t="n">
        <x:v>1</x:v>
      </x:c>
      <x:c r="R537" s="2" t="n">
        <x:f>IF(A537,1,0)</x:f>
        <x:v>0</x:v>
      </x:c>
      <x:c r="S537" s="2" t="n">
        <x:f>SUBTOTAL(103,N537)</x:f>
        <x:v>1</x:v>
      </x:c>
    </x:row>
    <x:row r="538" ht="42" customHeight="1">
      <x:c r="A538" s="28" t="b">
        <x:v>0</x:v>
      </x:c>
      <x:c r="B538" s="2" t="str">
        <x:v>Cycle 4</x:v>
      </x:c>
      <x:c r="C538" s="2" t="str">
        <x:v>Phase 2</x:v>
      </x:c>
      <x:c r="D538" s="2" t="str">
        <x:v>PLL</x:v>
      </x:c>
      <x:c r="E538" s="56" t="str">
        <x:v>DI.PL.2.3</x:v>
      </x:c>
      <x:c r="F538" s="14" t="str">
        <x:v>Participate in SME insight meetings to gain perspective and appetite on potential enhancements</x:v>
      </x:c>
      <x:c r="G538" s="5"/>
      <x:c r="H538" s="11"/>
      <x:c r="I538" s="11" t="n">
        <x:f>'Cycles &amp; Guide'!$D$13</x:f>
        <x:v>46387</x:v>
      </x:c>
      <x:c r="J538" s="11"/>
      <x:c r="K538" s="29"/>
      <x:c r="L538" s="2" t="str">
        <x:f>IF(O538=1,"Complete",IF(A538,"Checklist open",IF(H538&lt;&gt;"","In progress","Not started")))</x:f>
        <x:v>Not started</x:v>
      </x:c>
      <x:c r="M538" s="2" t="str">
        <x:v>Task</x:v>
      </x:c>
      <x:c r="N538" s="2" t="str">
        <x:v>DI.PL.2.3.2026.CY4</x:v>
      </x:c>
      <x:c r="O538" s="2" t="n">
        <x:f>R538</x:f>
        <x:v>0</x:v>
      </x:c>
      <x:c r="P538" s="2"/>
      <x:c r="Q538" s="2" t="n">
        <x:v>1</x:v>
      </x:c>
      <x:c r="R538" s="2" t="n">
        <x:f>IF(A538,1,0)</x:f>
        <x:v>0</x:v>
      </x:c>
      <x:c r="S538" s="2" t="n">
        <x:f>SUBTOTAL(103,N538)</x:f>
        <x:v>1</x:v>
      </x:c>
    </x:row>
    <x:row r="539" ht="42" customHeight="1">
      <x:c r="A539" s="28" t="b">
        <x:v>0</x:v>
      </x:c>
      <x:c r="B539" s="2" t="str">
        <x:v>Cycle 4</x:v>
      </x:c>
      <x:c r="C539" s="2" t="str">
        <x:v>Phase 2</x:v>
      </x:c>
      <x:c r="D539" s="2" t="str">
        <x:v>PLL</x:v>
      </x:c>
      <x:c r="E539" s="56" t="str">
        <x:v>DI.PL.2.4</x:v>
      </x:c>
      <x:c r="F539" s="14" t="str">
        <x:v>Begin development of presentation materials as Research is being completed</x:v>
      </x:c>
      <x:c r="G539" s="5"/>
      <x:c r="H539" s="11"/>
      <x:c r="I539" s="11" t="n">
        <x:f>'Cycles &amp; Guide'!$D$13</x:f>
        <x:v>46387</x:v>
      </x:c>
      <x:c r="J539" s="11"/>
      <x:c r="K539" s="29"/>
      <x:c r="L539" s="2" t="str">
        <x:f>IF(O539=1,"Complete",IF(A539,"Checklist open",IF(H539&lt;&gt;"","In progress","Not started")))</x:f>
        <x:v>Not started</x:v>
      </x:c>
      <x:c r="M539" s="2" t="str">
        <x:v>Task</x:v>
      </x:c>
      <x:c r="N539" s="2" t="str">
        <x:v>DI.PL.2.4.2026.CY4</x:v>
      </x:c>
      <x:c r="O539" s="2" t="n">
        <x:f>R539</x:f>
        <x:v>0</x:v>
      </x:c>
      <x:c r="P539" s="2"/>
      <x:c r="Q539" s="2" t="n">
        <x:v>1</x:v>
      </x:c>
      <x:c r="R539" s="2" t="n">
        <x:f>IF(A539,1,0)</x:f>
        <x:v>0</x:v>
      </x:c>
      <x:c r="S539" s="2" t="n">
        <x:f>SUBTOTAL(103,N539)</x:f>
        <x:v>1</x:v>
      </x:c>
    </x:row>
    <x:row r="540" ht="42" customHeight="1">
      <x:c r="A540" s="28" t="b">
        <x:v>0</x:v>
      </x:c>
      <x:c r="B540" s="2" t="str">
        <x:v>Cycle 4</x:v>
      </x:c>
      <x:c r="C540" s="2" t="str">
        <x:v>Phase 2</x:v>
      </x:c>
      <x:c r="D540" s="2" t="str">
        <x:v>PLL</x:v>
      </x:c>
      <x:c r="E540" s="56" t="str">
        <x:v>DI.PL.2.5</x:v>
      </x:c>
      <x:c r="F540" s="14" t="str">
        <x:v>Draft initial enhancement recommendations (as applicable)</x:v>
      </x:c>
      <x:c r="G540" s="5"/>
      <x:c r="H540" s="11"/>
      <x:c r="I540" s="11" t="n">
        <x:f>'Cycles &amp; Guide'!$D$13</x:f>
        <x:v>46387</x:v>
      </x:c>
      <x:c r="J540" s="11"/>
      <x:c r="K540" s="29"/>
      <x:c r="L540" s="2" t="str">
        <x:f>IF(O540=1,"Complete",IF(A540,"Checklist open",IF(H540&lt;&gt;"","In progress","Not started")))</x:f>
        <x:v>Not started</x:v>
      </x:c>
      <x:c r="M540" s="2" t="str">
        <x:v>Task</x:v>
      </x:c>
      <x:c r="N540" s="2" t="str">
        <x:v>DI.PL.2.5.2026.CY4</x:v>
      </x:c>
      <x:c r="O540" s="2" t="n">
        <x:f>R540</x:f>
        <x:v>0</x:v>
      </x:c>
      <x:c r="P540" s="2"/>
      <x:c r="Q540" s="2" t="n">
        <x:v>1</x:v>
      </x:c>
      <x:c r="R540" s="2" t="n">
        <x:f>IF(A540,1,0)</x:f>
        <x:v>0</x:v>
      </x:c>
      <x:c r="S540" s="2" t="n">
        <x:f>SUBTOTAL(103,N540)</x:f>
        <x:v>1</x:v>
      </x:c>
    </x:row>
    <x:row r="541" ht="42" customHeight="1">
      <x:c r="A541" s="28" t="b">
        <x:v>0</x:v>
      </x:c>
      <x:c r="B541" s="2" t="str">
        <x:v>Cycle 4</x:v>
      </x:c>
      <x:c r="C541" s="2" t="str">
        <x:v>Phase 2</x:v>
      </x:c>
      <x:c r="D541" s="2" t="str">
        <x:v>PLL</x:v>
      </x:c>
      <x:c r="E541" s="56" t="str">
        <x:v>DI.PL.2.6</x:v>
      </x:c>
      <x:c r="F541" s="14" t="str">
        <x:v>Finalize presentation deck draft at conclusion of Research phase</x:v>
      </x:c>
      <x:c r="G541" s="5"/>
      <x:c r="H541" s="11"/>
      <x:c r="I541" s="11" t="n">
        <x:f>'Cycles &amp; Guide'!$D$13</x:f>
        <x:v>46387</x:v>
      </x:c>
      <x:c r="J541" s="11"/>
      <x:c r="K541" s="29"/>
      <x:c r="L541" s="2" t="str">
        <x:f>IF(O541=1,"Complete",IF(A541,"Checklist open",IF(H541&lt;&gt;"","In progress","Not started")))</x:f>
        <x:v>Not started</x:v>
      </x:c>
      <x:c r="M541" s="2" t="str">
        <x:v>Task</x:v>
      </x:c>
      <x:c r="N541" s="2" t="str">
        <x:v>DI.PL.2.6.2026.CY4</x:v>
      </x:c>
      <x:c r="O541" s="2" t="n">
        <x:f>R541</x:f>
        <x:v>0</x:v>
      </x:c>
      <x:c r="P541" s="2"/>
      <x:c r="Q541" s="2" t="n">
        <x:v>1</x:v>
      </x:c>
      <x:c r="R541" s="2" t="n">
        <x:f>IF(A541,1,0)</x:f>
        <x:v>0</x:v>
      </x:c>
      <x:c r="S541" s="2" t="n">
        <x:f>SUBTOTAL(103,N541)</x:f>
        <x:v>1</x:v>
      </x:c>
    </x:row>
    <x:row r="542" ht="42" customHeight="1">
      <x:c r="A542" s="28" t="b">
        <x:v>0</x:v>
      </x:c>
      <x:c r="B542" s="2" t="str">
        <x:v>Cycle 4</x:v>
      </x:c>
      <x:c r="C542" s="2" t="str">
        <x:v>Phase 2</x:v>
      </x:c>
      <x:c r="D542" s="2" t="str">
        <x:v>PLL</x:v>
      </x:c>
      <x:c r="E542" s="56" t="str">
        <x:v>DI.PL.2.7</x:v>
      </x:c>
      <x:c r="F542" s="14" t="str">
        <x:v>Update Outcome portion of research plan with current enhancement verbiage (as needed)</x:v>
      </x:c>
      <x:c r="G542" s="5"/>
      <x:c r="H542" s="11"/>
      <x:c r="I542" s="11" t="n">
        <x:f>'Cycles &amp; Guide'!$D$13</x:f>
        <x:v>46387</x:v>
      </x:c>
      <x:c r="J542" s="11"/>
      <x:c r="K542" s="29"/>
      <x:c r="L542" s="2" t="str">
        <x:f>IF(O542=1,"Complete",IF(A542,"Checklist open",IF(H542&lt;&gt;"","In progress","Not started")))</x:f>
        <x:v>Not started</x:v>
      </x:c>
      <x:c r="M542" s="2" t="str">
        <x:v>Task</x:v>
      </x:c>
      <x:c r="N542" s="2" t="str">
        <x:v>DI.PL.2.7.2026.CY4</x:v>
      </x:c>
      <x:c r="O542" s="2" t="n">
        <x:f>R542</x:f>
        <x:v>0</x:v>
      </x:c>
      <x:c r="P542" s="2"/>
      <x:c r="Q542" s="2" t="n">
        <x:v>1</x:v>
      </x:c>
      <x:c r="R542" s="2" t="n">
        <x:f>IF(A542,1,0)</x:f>
        <x:v>0</x:v>
      </x:c>
      <x:c r="S542" s="2" t="n">
        <x:f>SUBTOTAL(103,N542)</x:f>
        <x:v>1</x:v>
      </x:c>
    </x:row>
    <x:row r="543" ht="42" customHeight="1">
      <x:c r="A543" s="28" t="b">
        <x:v>0</x:v>
      </x:c>
      <x:c r="B543" s="2" t="str">
        <x:v>Cycle 4</x:v>
      </x:c>
      <x:c r="C543" s="2" t="str">
        <x:v>Phase 3</x:v>
      </x:c>
      <x:c r="D543" s="2" t="str">
        <x:v>PLL</x:v>
      </x:c>
      <x:c r="E543" s="56" t="str">
        <x:v>DI.PL.3.1</x:v>
      </x:c>
      <x:c r="F543" s="14" t="str">
        <x:v>Confirm list of required &amp; optional attendees for pre-socialization meeting</x:v>
      </x:c>
      <x:c r="G543" s="5"/>
      <x:c r="H543" s="11"/>
      <x:c r="I543" s="11" t="n">
        <x:f>'Cycles &amp; Guide'!$D$13</x:f>
        <x:v>46387</x:v>
      </x:c>
      <x:c r="J543" s="11"/>
      <x:c r="K543" s="29"/>
      <x:c r="L543" s="2" t="str">
        <x:f>IF(O543=1,"Complete",IF(A543,"Checklist open",IF(H543&lt;&gt;"","In progress","Not started")))</x:f>
        <x:v>Not started</x:v>
      </x:c>
      <x:c r="M543" s="2" t="str">
        <x:v>Task</x:v>
      </x:c>
      <x:c r="N543" s="2" t="str">
        <x:v>DI.PL.3.1.2026.CY4</x:v>
      </x:c>
      <x:c r="O543" s="2" t="n">
        <x:f>R543</x:f>
        <x:v>0</x:v>
      </x:c>
      <x:c r="P543" s="2"/>
      <x:c r="Q543" s="2" t="n">
        <x:v>1</x:v>
      </x:c>
      <x:c r="R543" s="2" t="n">
        <x:f>IF(A543,1,0)</x:f>
        <x:v>0</x:v>
      </x:c>
      <x:c r="S543" s="2" t="n">
        <x:f>SUBTOTAL(103,N543)</x:f>
        <x:v>1</x:v>
      </x:c>
    </x:row>
    <x:row r="544" ht="42" customHeight="1">
      <x:c r="A544" s="28" t="b">
        <x:v>0</x:v>
      </x:c>
      <x:c r="B544" s="2" t="str">
        <x:v>Cycle 4</x:v>
      </x:c>
      <x:c r="C544" s="2" t="str">
        <x:v>Phase 3</x:v>
      </x:c>
      <x:c r="D544" s="2" t="str">
        <x:v>PLL</x:v>
      </x:c>
      <x:c r="E544" s="56" t="str">
        <x:v>DI.PL.3.2</x:v>
      </x:c>
      <x:c r="F544" s="14" t="str">
        <x:v>Schedule pre-socialization meeting 1 week prior to RCA Forum</x:v>
      </x:c>
      <x:c r="G544" s="5"/>
      <x:c r="H544" s="11"/>
      <x:c r="I544" s="11" t="str">
        <x:f>IF(SUMIFS('Cycles &amp; Guide'!$D$23:$D$50,'Cycles &amp; Guide'!$B$23:$B$50,B544,'Cycles &amp; Guide'!$C$23:$C$50,D544)=0,"",SUMIFS('Cycles &amp; Guide'!$D$23:$D$50,'Cycles &amp; Guide'!$B$23:$B$50,B544,'Cycles &amp; Guide'!$C$23:$C$50,D544)-7)</x:f>
      </x:c>
      <x:c r="J544" s="11"/>
      <x:c r="K544" s="29"/>
      <x:c r="L544" s="2" t="str">
        <x:f>IF(O544=1,"Complete",IF(A544,"Checklist open",IF(H544&lt;&gt;"","In progress","Not started")))</x:f>
        <x:v>Not started</x:v>
      </x:c>
      <x:c r="M544" s="2" t="str">
        <x:v>Task</x:v>
      </x:c>
      <x:c r="N544" s="2" t="str">
        <x:v>DI.PL.3.2.2026.CY4</x:v>
      </x:c>
      <x:c r="O544" s="2" t="n">
        <x:f>R544</x:f>
        <x:v>0</x:v>
      </x:c>
      <x:c r="P544" s="2"/>
      <x:c r="Q544" s="2" t="n">
        <x:v>1</x:v>
      </x:c>
      <x:c r="R544" s="2" t="n">
        <x:f>IF(A544,1,0)</x:f>
        <x:v>0</x:v>
      </x:c>
      <x:c r="S544" s="2" t="n">
        <x:f>SUBTOTAL(103,N544)</x:f>
        <x:v>1</x:v>
      </x:c>
    </x:row>
    <x:row r="545" ht="42" customHeight="1">
      <x:c r="A545" s="28" t="b">
        <x:v>0</x:v>
      </x:c>
      <x:c r="B545" s="2" t="str">
        <x:v>Cycle 4</x:v>
      </x:c>
      <x:c r="C545" s="2" t="str">
        <x:v>Phase 3</x:v>
      </x:c>
      <x:c r="D545" s="2" t="str">
        <x:v>PLL</x:v>
      </x:c>
      <x:c r="E545" s="56" t="str">
        <x:v>DI.PL.3.3</x:v>
      </x:c>
      <x:c r="F545" s="14" t="str">
        <x:v>Present findings, conclusions, and recommendation to SMEs</x:v>
      </x:c>
      <x:c r="G545" s="5"/>
      <x:c r="H545" s="11"/>
      <x:c r="I545" s="11" t="n">
        <x:f>'Cycles &amp; Guide'!$D$13</x:f>
        <x:v>46387</x:v>
      </x:c>
      <x:c r="J545" s="11"/>
      <x:c r="K545" s="29"/>
      <x:c r="L545" s="2" t="str">
        <x:f>IF(O545=1,"Complete",IF(A545,"Checklist open",IF(H545&lt;&gt;"","In progress","Not started")))</x:f>
        <x:v>Not started</x:v>
      </x:c>
      <x:c r="M545" s="2" t="str">
        <x:v>Task</x:v>
      </x:c>
      <x:c r="N545" s="2" t="str">
        <x:v>DI.PL.3.3.2026.CY4</x:v>
      </x:c>
      <x:c r="O545" s="2" t="n">
        <x:f>R545</x:f>
        <x:v>0</x:v>
      </x:c>
      <x:c r="P545" s="2"/>
      <x:c r="Q545" s="2" t="n">
        <x:v>1</x:v>
      </x:c>
      <x:c r="R545" s="2" t="n">
        <x:f>IF(A545,1,0)</x:f>
        <x:v>0</x:v>
      </x:c>
      <x:c r="S545" s="2" t="n">
        <x:f>SUBTOTAL(103,N545)</x:f>
        <x:v>1</x:v>
      </x:c>
    </x:row>
    <x:row r="546" ht="42" customHeight="1">
      <x:c r="A546" s="28" t="b">
        <x:v>0</x:v>
      </x:c>
      <x:c r="B546" s="2" t="str">
        <x:v>Cycle 4</x:v>
      </x:c>
      <x:c r="C546" s="2" t="str">
        <x:v>Phase 3</x:v>
      </x:c>
      <x:c r="D546" s="2" t="str">
        <x:v>PLL</x:v>
      </x:c>
      <x:c r="E546" s="56" t="str">
        <x:v>DI.PL.3.4</x:v>
      </x:c>
      <x:c r="F546" s="14" t="str">
        <x:v>Update Outcome portion of research plan (as needed)</x:v>
      </x:c>
      <x:c r="G546" s="5"/>
      <x:c r="H546" s="11"/>
      <x:c r="I546" s="11" t="n">
        <x:f>'Cycles &amp; Guide'!$D$13</x:f>
        <x:v>46387</x:v>
      </x:c>
      <x:c r="J546" s="11"/>
      <x:c r="K546" s="29"/>
      <x:c r="L546" s="2" t="str">
        <x:f>IF(O546=1,"Complete",IF(A546,"Checklist open",IF(H546&lt;&gt;"","In progress","Not started")))</x:f>
        <x:v>Not started</x:v>
      </x:c>
      <x:c r="M546" s="2" t="str">
        <x:v>Task</x:v>
      </x:c>
      <x:c r="N546" s="2" t="str">
        <x:v>DI.PL.3.4.2026.CY4</x:v>
      </x:c>
      <x:c r="O546" s="2" t="n">
        <x:f>R546</x:f>
        <x:v>0</x:v>
      </x:c>
      <x:c r="P546" s="2"/>
      <x:c r="Q546" s="2" t="n">
        <x:v>1</x:v>
      </x:c>
      <x:c r="R546" s="2" t="n">
        <x:f>IF(A546,1,0)</x:f>
        <x:v>0</x:v>
      </x:c>
      <x:c r="S546" s="2" t="n">
        <x:f>SUBTOTAL(103,N546)</x:f>
        <x:v>1</x:v>
      </x:c>
    </x:row>
    <x:row r="547" ht="42" customHeight="1">
      <x:c r="A547" s="28" t="b">
        <x:v>0</x:v>
      </x:c>
      <x:c r="B547" s="2" t="str">
        <x:v>Cycle 4</x:v>
      </x:c>
      <x:c r="C547" s="2" t="str">
        <x:v>Phase 3</x:v>
      </x:c>
      <x:c r="D547" s="2" t="str">
        <x:v>PLL</x:v>
      </x:c>
      <x:c r="E547" s="56" t="str">
        <x:v>DI.PL.3.5</x:v>
      </x:c>
      <x:c r="F547" s="14" t="str">
        <x:v>Finalize presentation deck by incorporating pre-socialization feedback (as needed)</x:v>
      </x:c>
      <x:c r="G547" s="5"/>
      <x:c r="H547" s="11"/>
      <x:c r="I547" s="11" t="n">
        <x:f>'Cycles &amp; Guide'!$D$13</x:f>
        <x:v>46387</x:v>
      </x:c>
      <x:c r="J547" s="11"/>
      <x:c r="K547" s="29"/>
      <x:c r="L547" s="2" t="str">
        <x:f>IF(O547=1,"Complete",IF(A547,"Checklist open",IF(H547&lt;&gt;"","In progress","Not started")))</x:f>
        <x:v>Not started</x:v>
      </x:c>
      <x:c r="M547" s="2" t="str">
        <x:v>Task</x:v>
      </x:c>
      <x:c r="N547" s="2" t="str">
        <x:v>DI.PL.3.5.2026.CY4</x:v>
      </x:c>
      <x:c r="O547" s="2" t="n">
        <x:f>R547</x:f>
        <x:v>0</x:v>
      </x:c>
      <x:c r="P547" s="2"/>
      <x:c r="Q547" s="2" t="n">
        <x:v>1</x:v>
      </x:c>
      <x:c r="R547" s="2" t="n">
        <x:f>IF(A547,1,0)</x:f>
        <x:v>0</x:v>
      </x:c>
      <x:c r="S547" s="2" t="n">
        <x:f>SUBTOTAL(103,N547)</x:f>
        <x:v>1</x:v>
      </x:c>
    </x:row>
    <x:row r="548" ht="42" customHeight="1">
      <x:c r="A548" s="28" t="b">
        <x:v>0</x:v>
      </x:c>
      <x:c r="B548" s="2" t="str">
        <x:v>Cycle 4</x:v>
      </x:c>
      <x:c r="C548" s="2" t="str">
        <x:v>Phase 3</x:v>
      </x:c>
      <x:c r="D548" s="2" t="str">
        <x:v>PLL</x:v>
      </x:c>
      <x:c r="E548" s="56" t="str">
        <x:v>DI.PL.3.6</x:v>
      </x:c>
      <x:c r="F548" s="14" t="str">
        <x:v>Ensure final deck is communicated to Forum attendees</x:v>
      </x:c>
      <x:c r="G548" s="5"/>
      <x:c r="H548" s="11"/>
      <x:c r="I548" s="11" t="n">
        <x:f>'Cycles &amp; Guide'!$D$13</x:f>
        <x:v>46387</x:v>
      </x:c>
      <x:c r="J548" s="11"/>
      <x:c r="K548" s="29"/>
      <x:c r="L548" s="2" t="str">
        <x:f>IF(O548=1,"Complete",IF(A548,"Checklist open",IF(H548&lt;&gt;"","In progress","Not started")))</x:f>
        <x:v>Not started</x:v>
      </x:c>
      <x:c r="M548" s="2" t="str">
        <x:v>Task</x:v>
      </x:c>
      <x:c r="N548" s="2" t="str">
        <x:v>DI.PL.3.6.2026.CY4</x:v>
      </x:c>
      <x:c r="O548" s="2" t="n">
        <x:f>R548</x:f>
        <x:v>0</x:v>
      </x:c>
      <x:c r="P548" s="2"/>
      <x:c r="Q548" s="2" t="n">
        <x:v>1</x:v>
      </x:c>
      <x:c r="R548" s="2" t="n">
        <x:f>IF(A548,1,0)</x:f>
        <x:v>0</x:v>
      </x:c>
      <x:c r="S548" s="2" t="n">
        <x:f>SUBTOTAL(103,N548)</x:f>
        <x:v>1</x:v>
      </x:c>
    </x:row>
    <x:row r="549" ht="42" customHeight="1">
      <x:c r="A549" s="28" t="b">
        <x:v>0</x:v>
      </x:c>
      <x:c r="B549" s="2" t="str">
        <x:v>Cycle 4</x:v>
      </x:c>
      <x:c r="C549" s="2" t="str">
        <x:v>Phase 3</x:v>
      </x:c>
      <x:c r="D549" s="2" t="str">
        <x:v>PLL</x:v>
      </x:c>
      <x:c r="E549" s="56" t="str">
        <x:v>DI.PL.3.7</x:v>
      </x:c>
      <x:c r="F549" s="14" t="str">
        <x:v>Present material in RCA Cycle Forum</x:v>
      </x:c>
      <x:c r="G549" s="5"/>
      <x:c r="H549" s="11"/>
      <x:c r="I549" s="11" t="str">
        <x:f>IF(SUMIFS('Cycles &amp; Guide'!$D$23:$D$50,'Cycles &amp; Guide'!$B$23:$B$50,B549,'Cycles &amp; Guide'!$C$23:$C$50,D549)=0,"",SUMIFS('Cycles &amp; Guide'!$D$23:$D$50,'Cycles &amp; Guide'!$B$23:$B$50,B549,'Cycles &amp; Guide'!$C$23:$C$50,D549))</x:f>
      </x:c>
      <x:c r="J549" s="11"/>
      <x:c r="K549" s="29"/>
      <x:c r="L549" s="2" t="str">
        <x:f>IF(O549=1,"Complete",IF(A549,"Checklist open",IF(H549&lt;&gt;"","In progress","Not started")))</x:f>
        <x:v>Not started</x:v>
      </x:c>
      <x:c r="M549" s="2" t="str">
        <x:v>Task</x:v>
      </x:c>
      <x:c r="N549" s="2" t="str">
        <x:v>DI.PL.3.7.2026.CY4</x:v>
      </x:c>
      <x:c r="O549" s="2" t="n">
        <x:f>R549</x:f>
        <x:v>0</x:v>
      </x:c>
      <x:c r="P549" s="2"/>
      <x:c r="Q549" s="2" t="n">
        <x:v>1</x:v>
      </x:c>
      <x:c r="R549" s="2" t="n">
        <x:f>IF(A549,1,0)</x:f>
        <x:v>0</x:v>
      </x:c>
      <x:c r="S549" s="2" t="n">
        <x:f>SUBTOTAL(103,N549)</x:f>
        <x:v>1</x:v>
      </x:c>
    </x:row>
    <x:row r="550" ht="42" customHeight="1">
      <x:c r="A550" s="28" t="b">
        <x:v>0</x:v>
      </x:c>
      <x:c r="B550" s="2" t="str">
        <x:v>Cycle 4</x:v>
      </x:c>
      <x:c r="C550" s="2" t="str">
        <x:v>Phase 1</x:v>
      </x:c>
      <x:c r="D550" s="2" t="str">
        <x:v>Retail Services</x:v>
      </x:c>
      <x:c r="E550" s="56" t="str">
        <x:v>DI.RS.1.1</x:v>
      </x:c>
      <x:c r="F550" s="14" t="str">
        <x:v>Receive and review potential research topics at least 2 weeks prior to Cycle start date</x:v>
      </x:c>
      <x:c r="G550" s="5"/>
      <x:c r="H550" s="11"/>
      <x:c r="I550" s="11" t="n">
        <x:f>'Cycles &amp; Guide'!$C$13-14</x:f>
        <x:v>46282</x:v>
      </x:c>
      <x:c r="J550" s="11"/>
      <x:c r="K550" s="29"/>
      <x:c r="L550" s="2" t="str">
        <x:f>IF(O550=1,"Complete",IF(A550,"Checklist open",IF(H550&lt;&gt;"","In progress","Not started")))</x:f>
        <x:v>Not started</x:v>
      </x:c>
      <x:c r="M550" s="2" t="str">
        <x:v>Task</x:v>
      </x:c>
      <x:c r="N550" s="2" t="str">
        <x:v>DI.RS.1.1.2026.CY4</x:v>
      </x:c>
      <x:c r="O550" s="2" t="n">
        <x:f>R550</x:f>
        <x:v>0</x:v>
      </x:c>
      <x:c r="P550" s="2"/>
      <x:c r="Q550" s="2" t="n">
        <x:v>1</x:v>
      </x:c>
      <x:c r="R550" s="2" t="n">
        <x:f>IF(A550,1,0)</x:f>
        <x:v>0</x:v>
      </x:c>
      <x:c r="S550" s="2" t="n">
        <x:f>SUBTOTAL(103,N550)</x:f>
        <x:v>1</x:v>
      </x:c>
    </x:row>
    <x:row r="551" ht="42" customHeight="1">
      <x:c r="A551" s="28" t="b">
        <x:v>0</x:v>
      </x:c>
      <x:c r="B551" s="2" t="str">
        <x:v>Cycle 4</x:v>
      </x:c>
      <x:c r="C551" s="2" t="str">
        <x:v>Phase 1</x:v>
      </x:c>
      <x:c r="D551" s="2" t="str">
        <x:v>Retail Services</x:v>
      </x:c>
      <x:c r="E551" s="56" t="str">
        <x:v>DI.RS.1.2</x:v>
      </x:c>
      <x:c r="F551" s="14" t="str">
        <x:v>Communicate any feedback on preferences or concerns with topics identified</x:v>
      </x:c>
      <x:c r="G551" s="5"/>
      <x:c r="H551" s="11"/>
      <x:c r="I551" s="11" t="n">
        <x:f>'Cycles &amp; Guide'!$D$13</x:f>
        <x:v>46387</x:v>
      </x:c>
      <x:c r="J551" s="11"/>
      <x:c r="K551" s="29"/>
      <x:c r="L551" s="2" t="str">
        <x:f>IF(O551=1,"Complete",IF(A551,"Checklist open",IF(H551&lt;&gt;"","In progress","Not started")))</x:f>
        <x:v>Not started</x:v>
      </x:c>
      <x:c r="M551" s="2" t="str">
        <x:v>Task</x:v>
      </x:c>
      <x:c r="N551" s="2" t="str">
        <x:v>DI.RS.1.2.2026.CY4</x:v>
      </x:c>
      <x:c r="O551" s="2" t="n">
        <x:f>R551</x:f>
        <x:v>0</x:v>
      </x:c>
      <x:c r="P551" s="2"/>
      <x:c r="Q551" s="2" t="n">
        <x:v>1</x:v>
      </x:c>
      <x:c r="R551" s="2" t="n">
        <x:f>IF(A551,1,0)</x:f>
        <x:v>0</x:v>
      </x:c>
      <x:c r="S551" s="2" t="n">
        <x:f>SUBTOTAL(103,N551)</x:f>
        <x:v>1</x:v>
      </x:c>
    </x:row>
    <x:row r="552" ht="42" customHeight="1">
      <x:c r="A552" s="28" t="b">
        <x:v>0</x:v>
      </x:c>
      <x:c r="B552" s="2" t="str">
        <x:v>Cycle 4</x:v>
      </x:c>
      <x:c r="C552" s="2" t="str">
        <x:v>Phase 1</x:v>
      </x:c>
      <x:c r="D552" s="2" t="str">
        <x:v>Retail Services</x:v>
      </x:c>
      <x:c r="E552" s="56" t="str">
        <x:v>DI.RS.1.3</x:v>
      </x:c>
      <x:c r="F552" s="14" t="str">
        <x:v>Conduct high-level preliminary review of complaints within proposed topics</x:v>
      </x:c>
      <x:c r="G552" s="5"/>
      <x:c r="H552" s="11"/>
      <x:c r="I552" s="11" t="n">
        <x:f>'Cycles &amp; Guide'!$D$13</x:f>
        <x:v>46387</x:v>
      </x:c>
      <x:c r="J552" s="11"/>
      <x:c r="K552" s="29"/>
      <x:c r="L552" s="2" t="str">
        <x:f>IF(O552=1,"Complete",IF(A552,"Checklist open",IF(H552&lt;&gt;"","In progress","Not started")))</x:f>
        <x:v>Not started</x:v>
      </x:c>
      <x:c r="M552" s="2" t="str">
        <x:v>Task</x:v>
      </x:c>
      <x:c r="N552" s="2" t="str">
        <x:v>DI.RS.1.3.2026.CY4</x:v>
      </x:c>
      <x:c r="O552" s="2" t="n">
        <x:f>R552</x:f>
        <x:v>0</x:v>
      </x:c>
      <x:c r="P552" s="2"/>
      <x:c r="Q552" s="2" t="n">
        <x:v>1</x:v>
      </x:c>
      <x:c r="R552" s="2" t="n">
        <x:f>IF(A552,1,0)</x:f>
        <x:v>0</x:v>
      </x:c>
      <x:c r="S552" s="2" t="n">
        <x:f>SUBTOTAL(103,N552)</x:f>
        <x:v>1</x:v>
      </x:c>
    </x:row>
    <x:row r="553" ht="42" customHeight="1">
      <x:c r="A553" s="28" t="b">
        <x:v>0</x:v>
      </x:c>
      <x:c r="B553" s="2" t="str">
        <x:v>Cycle 4</x:v>
      </x:c>
      <x:c r="C553" s="2" t="str">
        <x:v>Phase 1</x:v>
      </x:c>
      <x:c r="D553" s="2" t="str">
        <x:v>Retail Services</x:v>
      </x:c>
      <x:c r="E553" s="56" t="str">
        <x:v>DI.RS.1.4</x:v>
      </x:c>
      <x:c r="F553" s="14" t="str">
        <x:v>Meet with Research to discuss which topic to select based on potential impact</x:v>
      </x:c>
      <x:c r="G553" s="5"/>
      <x:c r="H553" s="11"/>
      <x:c r="I553" s="11" t="n">
        <x:f>'Cycles &amp; Guide'!$D$13</x:f>
        <x:v>46387</x:v>
      </x:c>
      <x:c r="J553" s="11"/>
      <x:c r="K553" s="29"/>
      <x:c r="L553" s="2" t="str">
        <x:f>IF(O553=1,"Complete",IF(A553,"Checklist open",IF(H553&lt;&gt;"","In progress","Not started")))</x:f>
        <x:v>Not started</x:v>
      </x:c>
      <x:c r="M553" s="2" t="str">
        <x:v>Task</x:v>
      </x:c>
      <x:c r="N553" s="2" t="str">
        <x:v>DI.RS.1.4.2026.CY4</x:v>
      </x:c>
      <x:c r="O553" s="2" t="n">
        <x:f>R553</x:f>
        <x:v>0</x:v>
      </x:c>
      <x:c r="P553" s="2"/>
      <x:c r="Q553" s="2" t="n">
        <x:v>1</x:v>
      </x:c>
      <x:c r="R553" s="2" t="n">
        <x:f>IF(A553,1,0)</x:f>
        <x:v>0</x:v>
      </x:c>
      <x:c r="S553" s="2" t="n">
        <x:f>SUBTOTAL(103,N553)</x:f>
        <x:v>1</x:v>
      </x:c>
    </x:row>
    <x:row r="554" ht="42" customHeight="1">
      <x:c r="A554" s="28" t="b">
        <x:v>0</x:v>
      </x:c>
      <x:c r="B554" s="2" t="str">
        <x:v>Cycle 4</x:v>
      </x:c>
      <x:c r="C554" s="2" t="str">
        <x:v>Phase 1</x:v>
      </x:c>
      <x:c r="D554" s="2" t="str">
        <x:v>Retail Services</x:v>
      </x:c>
      <x:c r="E554" s="56" t="str">
        <x:v>DI.RS.1.5</x:v>
      </x:c>
      <x:c r="F554" s="14" t="str">
        <x:v>Confirm with Research the recommended topic for approval</x:v>
      </x:c>
      <x:c r="G554" s="5"/>
      <x:c r="H554" s="11"/>
      <x:c r="I554" s="11" t="n">
        <x:f>'Cycles &amp; Guide'!$D$13</x:f>
        <x:v>46387</x:v>
      </x:c>
      <x:c r="J554" s="11"/>
      <x:c r="K554" s="29"/>
      <x:c r="L554" s="2" t="str">
        <x:f>IF(O554=1,"Complete",IF(A554,"Checklist open",IF(H554&lt;&gt;"","In progress","Not started")))</x:f>
        <x:v>Not started</x:v>
      </x:c>
      <x:c r="M554" s="2" t="str">
        <x:v>Task</x:v>
      </x:c>
      <x:c r="N554" s="2" t="str">
        <x:v>DI.RS.1.5.2026.CY4</x:v>
      </x:c>
      <x:c r="O554" s="2" t="n">
        <x:f>R554</x:f>
        <x:v>0</x:v>
      </x:c>
      <x:c r="P554" s="2"/>
      <x:c r="Q554" s="2" t="n">
        <x:v>1</x:v>
      </x:c>
      <x:c r="R554" s="2" t="n">
        <x:f>IF(A554,1,0)</x:f>
        <x:v>0</x:v>
      </x:c>
      <x:c r="S554" s="2" t="n">
        <x:f>SUBTOTAL(103,N554)</x:f>
        <x:v>1</x:v>
      </x:c>
    </x:row>
    <x:row r="555" ht="42" customHeight="1">
      <x:c r="A555" s="28" t="b">
        <x:v>0</x:v>
      </x:c>
      <x:c r="B555" s="2" t="str">
        <x:v>Cycle 4</x:v>
      </x:c>
      <x:c r="C555" s="2" t="str">
        <x:v>Phase 1</x:v>
      </x:c>
      <x:c r="D555" s="2" t="str">
        <x:v>Retail Services</x:v>
      </x:c>
      <x:c r="E555" s="56" t="str">
        <x:v>DI.RS.1.6</x:v>
      </x:c>
      <x:c r="F555" s="14" t="str">
        <x:v>Send topic selection socialization email to all key stakeholders on the first day of the review Cycle</x:v>
      </x:c>
      <x:c r="G555" s="5"/>
      <x:c r="H555" s="11"/>
      <x:c r="I555" s="11" t="n">
        <x:f>'Cycles &amp; Guide'!$C$13</x:f>
        <x:v>46296</x:v>
      </x:c>
      <x:c r="J555" s="11"/>
      <x:c r="K555" s="29"/>
      <x:c r="L555" s="2" t="str">
        <x:f>IF(O555=1,"Complete",IF(A555,"Checklist open",IF(H555&lt;&gt;"","In progress","Not started")))</x:f>
        <x:v>Not started</x:v>
      </x:c>
      <x:c r="M555" s="2" t="str">
        <x:v>Task</x:v>
      </x:c>
      <x:c r="N555" s="2" t="str">
        <x:v>DI.RS.1.6.2026.CY4</x:v>
      </x:c>
      <x:c r="O555" s="2" t="n">
        <x:f>R555</x:f>
        <x:v>0</x:v>
      </x:c>
      <x:c r="P555" s="2"/>
      <x:c r="Q555" s="2" t="n">
        <x:v>1</x:v>
      </x:c>
      <x:c r="R555" s="2" t="n">
        <x:f>IF(A555,1,0)</x:f>
        <x:v>0</x:v>
      </x:c>
      <x:c r="S555" s="2" t="n">
        <x:f>SUBTOTAL(103,N555)</x:f>
        <x:v>1</x:v>
      </x:c>
    </x:row>
    <x:row r="556" ht="42" customHeight="1">
      <x:c r="A556" s="28" t="b">
        <x:v>0</x:v>
      </x:c>
      <x:c r="B556" s="2" t="str">
        <x:v>Cycle 4</x:v>
      </x:c>
      <x:c r="C556" s="2" t="str">
        <x:v>Phase 2</x:v>
      </x:c>
      <x:c r="D556" s="2" t="str">
        <x:v>Retail Services</x:v>
      </x:c>
      <x:c r="E556" s="56" t="str">
        <x:v>DI.RS.2.1</x:v>
      </x:c>
      <x:c r="F556" s="14" t="str">
        <x:v>Meet regularly with Research to stay informed on progress, findings, and potential enhancement</x:v>
      </x:c>
      <x:c r="G556" s="5"/>
      <x:c r="H556" s="11"/>
      <x:c r="I556" s="11" t="n">
        <x:f>'Cycles &amp; Guide'!$D$13</x:f>
        <x:v>46387</x:v>
      </x:c>
      <x:c r="J556" s="11"/>
      <x:c r="K556" s="29"/>
      <x:c r="L556" s="2" t="str">
        <x:f>IF(O556=1,"Complete",IF(A556,"Checklist open",IF(H556&lt;&gt;"","In progress","Not started")))</x:f>
        <x:v>Not started</x:v>
      </x:c>
      <x:c r="M556" s="2" t="str">
        <x:v>Task</x:v>
      </x:c>
      <x:c r="N556" s="2" t="str">
        <x:v>DI.RS.2.1.2026.CY4</x:v>
      </x:c>
      <x:c r="O556" s="2" t="n">
        <x:f>R556</x:f>
        <x:v>0</x:v>
      </x:c>
      <x:c r="P556" s="2"/>
      <x:c r="Q556" s="2" t="n">
        <x:v>1</x:v>
      </x:c>
      <x:c r="R556" s="2" t="n">
        <x:f>IF(A556,1,0)</x:f>
        <x:v>0</x:v>
      </x:c>
      <x:c r="S556" s="2" t="n">
        <x:f>SUBTOTAL(103,N556)</x:f>
        <x:v>1</x:v>
      </x:c>
    </x:row>
    <x:row r="557" ht="42" customHeight="1">
      <x:c r="A557" s="28" t="b">
        <x:v>0</x:v>
      </x:c>
      <x:c r="B557" s="2" t="str">
        <x:v>Cycle 4</x:v>
      </x:c>
      <x:c r="C557" s="2" t="str">
        <x:v>Phase 2</x:v>
      </x:c>
      <x:c r="D557" s="2" t="str">
        <x:v>Retail Services</x:v>
      </x:c>
      <x:c r="E557" s="56" t="str">
        <x:v>DI.RS.2.2</x:v>
      </x:c>
      <x:c r="F557" s="14" t="str">
        <x:v>Collaborate with Research on research plan specifics</x:v>
      </x:c>
      <x:c r="G557" s="5"/>
      <x:c r="H557" s="11"/>
      <x:c r="I557" s="11" t="n">
        <x:f>'Cycles &amp; Guide'!$D$13</x:f>
        <x:v>46387</x:v>
      </x:c>
      <x:c r="J557" s="11"/>
      <x:c r="K557" s="29"/>
      <x:c r="L557" s="2" t="str">
        <x:f>IF(O557=1,"Complete",IF(A557,"Checklist open",IF(H557&lt;&gt;"","In progress","Not started")))</x:f>
        <x:v>Not started</x:v>
      </x:c>
      <x:c r="M557" s="2" t="str">
        <x:v>Task</x:v>
      </x:c>
      <x:c r="N557" s="2" t="str">
        <x:v>DI.RS.2.2.2026.CY4</x:v>
      </x:c>
      <x:c r="O557" s="2" t="n">
        <x:f>R557</x:f>
        <x:v>0</x:v>
      </x:c>
      <x:c r="P557" s="2"/>
      <x:c r="Q557" s="2" t="n">
        <x:v>1</x:v>
      </x:c>
      <x:c r="R557" s="2" t="n">
        <x:f>IF(A557,1,0)</x:f>
        <x:v>0</x:v>
      </x:c>
      <x:c r="S557" s="2" t="n">
        <x:f>SUBTOTAL(103,N557)</x:f>
        <x:v>1</x:v>
      </x:c>
    </x:row>
    <x:row r="558" ht="42" customHeight="1">
      <x:c r="A558" s="28" t="b">
        <x:v>0</x:v>
      </x:c>
      <x:c r="B558" s="2" t="str">
        <x:v>Cycle 4</x:v>
      </x:c>
      <x:c r="C558" s="2" t="str">
        <x:v>Phase 2</x:v>
      </x:c>
      <x:c r="D558" s="2" t="str">
        <x:v>Retail Services</x:v>
      </x:c>
      <x:c r="E558" s="56" t="str">
        <x:v>DI.RS.2.3</x:v>
      </x:c>
      <x:c r="F558" s="14" t="str">
        <x:v>Participate in SME insight meetings to gain perspective and appetite on potential enhancements</x:v>
      </x:c>
      <x:c r="G558" s="5"/>
      <x:c r="H558" s="11"/>
      <x:c r="I558" s="11" t="n">
        <x:f>'Cycles &amp; Guide'!$D$13</x:f>
        <x:v>46387</x:v>
      </x:c>
      <x:c r="J558" s="11"/>
      <x:c r="K558" s="29"/>
      <x:c r="L558" s="2" t="str">
        <x:f>IF(O558=1,"Complete",IF(A558,"Checklist open",IF(H558&lt;&gt;"","In progress","Not started")))</x:f>
        <x:v>Not started</x:v>
      </x:c>
      <x:c r="M558" s="2" t="str">
        <x:v>Task</x:v>
      </x:c>
      <x:c r="N558" s="2" t="str">
        <x:v>DI.RS.2.3.2026.CY4</x:v>
      </x:c>
      <x:c r="O558" s="2" t="n">
        <x:f>R558</x:f>
        <x:v>0</x:v>
      </x:c>
      <x:c r="P558" s="2"/>
      <x:c r="Q558" s="2" t="n">
        <x:v>1</x:v>
      </x:c>
      <x:c r="R558" s="2" t="n">
        <x:f>IF(A558,1,0)</x:f>
        <x:v>0</x:v>
      </x:c>
      <x:c r="S558" s="2" t="n">
        <x:f>SUBTOTAL(103,N558)</x:f>
        <x:v>1</x:v>
      </x:c>
    </x:row>
    <x:row r="559" ht="42" customHeight="1">
      <x:c r="A559" s="28" t="b">
        <x:v>0</x:v>
      </x:c>
      <x:c r="B559" s="2" t="str">
        <x:v>Cycle 4</x:v>
      </x:c>
      <x:c r="C559" s="2" t="str">
        <x:v>Phase 2</x:v>
      </x:c>
      <x:c r="D559" s="2" t="str">
        <x:v>Retail Services</x:v>
      </x:c>
      <x:c r="E559" s="56" t="str">
        <x:v>DI.RS.2.4</x:v>
      </x:c>
      <x:c r="F559" s="14" t="str">
        <x:v>Begin development of presentation materials as Research is being completed</x:v>
      </x:c>
      <x:c r="G559" s="5"/>
      <x:c r="H559" s="11"/>
      <x:c r="I559" s="11" t="n">
        <x:f>'Cycles &amp; Guide'!$D$13</x:f>
        <x:v>46387</x:v>
      </x:c>
      <x:c r="J559" s="11"/>
      <x:c r="K559" s="29"/>
      <x:c r="L559" s="2" t="str">
        <x:f>IF(O559=1,"Complete",IF(A559,"Checklist open",IF(H559&lt;&gt;"","In progress","Not started")))</x:f>
        <x:v>Not started</x:v>
      </x:c>
      <x:c r="M559" s="2" t="str">
        <x:v>Task</x:v>
      </x:c>
      <x:c r="N559" s="2" t="str">
        <x:v>DI.RS.2.4.2026.CY4</x:v>
      </x:c>
      <x:c r="O559" s="2" t="n">
        <x:f>R559</x:f>
        <x:v>0</x:v>
      </x:c>
      <x:c r="P559" s="2"/>
      <x:c r="Q559" s="2" t="n">
        <x:v>1</x:v>
      </x:c>
      <x:c r="R559" s="2" t="n">
        <x:f>IF(A559,1,0)</x:f>
        <x:v>0</x:v>
      </x:c>
      <x:c r="S559" s="2" t="n">
        <x:f>SUBTOTAL(103,N559)</x:f>
        <x:v>1</x:v>
      </x:c>
    </x:row>
    <x:row r="560" ht="42" customHeight="1">
      <x:c r="A560" s="28" t="b">
        <x:v>0</x:v>
      </x:c>
      <x:c r="B560" s="2" t="str">
        <x:v>Cycle 4</x:v>
      </x:c>
      <x:c r="C560" s="2" t="str">
        <x:v>Phase 2</x:v>
      </x:c>
      <x:c r="D560" s="2" t="str">
        <x:v>Retail Services</x:v>
      </x:c>
      <x:c r="E560" s="56" t="str">
        <x:v>DI.RS.2.5</x:v>
      </x:c>
      <x:c r="F560" s="14" t="str">
        <x:v>Draft initial enhancement recommendations (as applicable)</x:v>
      </x:c>
      <x:c r="G560" s="5"/>
      <x:c r="H560" s="11"/>
      <x:c r="I560" s="11" t="n">
        <x:f>'Cycles &amp; Guide'!$D$13</x:f>
        <x:v>46387</x:v>
      </x:c>
      <x:c r="J560" s="11"/>
      <x:c r="K560" s="29"/>
      <x:c r="L560" s="2" t="str">
        <x:f>IF(O560=1,"Complete",IF(A560,"Checklist open",IF(H560&lt;&gt;"","In progress","Not started")))</x:f>
        <x:v>Not started</x:v>
      </x:c>
      <x:c r="M560" s="2" t="str">
        <x:v>Task</x:v>
      </x:c>
      <x:c r="N560" s="2" t="str">
        <x:v>DI.RS.2.5.2026.CY4</x:v>
      </x:c>
      <x:c r="O560" s="2" t="n">
        <x:f>R560</x:f>
        <x:v>0</x:v>
      </x:c>
      <x:c r="P560" s="2"/>
      <x:c r="Q560" s="2" t="n">
        <x:v>1</x:v>
      </x:c>
      <x:c r="R560" s="2" t="n">
        <x:f>IF(A560,1,0)</x:f>
        <x:v>0</x:v>
      </x:c>
      <x:c r="S560" s="2" t="n">
        <x:f>SUBTOTAL(103,N560)</x:f>
        <x:v>1</x:v>
      </x:c>
    </x:row>
    <x:row r="561" ht="42" customHeight="1">
      <x:c r="A561" s="28" t="b">
        <x:v>0</x:v>
      </x:c>
      <x:c r="B561" s="2" t="str">
        <x:v>Cycle 4</x:v>
      </x:c>
      <x:c r="C561" s="2" t="str">
        <x:v>Phase 2</x:v>
      </x:c>
      <x:c r="D561" s="2" t="str">
        <x:v>Retail Services</x:v>
      </x:c>
      <x:c r="E561" s="56" t="str">
        <x:v>DI.RS.2.6</x:v>
      </x:c>
      <x:c r="F561" s="14" t="str">
        <x:v>Finalize presentation deck draft at conclusion of Research phase</x:v>
      </x:c>
      <x:c r="G561" s="5"/>
      <x:c r="H561" s="11"/>
      <x:c r="I561" s="11" t="n">
        <x:f>'Cycles &amp; Guide'!$D$13</x:f>
        <x:v>46387</x:v>
      </x:c>
      <x:c r="J561" s="11"/>
      <x:c r="K561" s="29"/>
      <x:c r="L561" s="2" t="str">
        <x:f>IF(O561=1,"Complete",IF(A561,"Checklist open",IF(H561&lt;&gt;"","In progress","Not started")))</x:f>
        <x:v>Not started</x:v>
      </x:c>
      <x:c r="M561" s="2" t="str">
        <x:v>Task</x:v>
      </x:c>
      <x:c r="N561" s="2" t="str">
        <x:v>DI.RS.2.6.2026.CY4</x:v>
      </x:c>
      <x:c r="O561" s="2" t="n">
        <x:f>R561</x:f>
        <x:v>0</x:v>
      </x:c>
      <x:c r="P561" s="2"/>
      <x:c r="Q561" s="2" t="n">
        <x:v>1</x:v>
      </x:c>
      <x:c r="R561" s="2" t="n">
        <x:f>IF(A561,1,0)</x:f>
        <x:v>0</x:v>
      </x:c>
      <x:c r="S561" s="2" t="n">
        <x:f>SUBTOTAL(103,N561)</x:f>
        <x:v>1</x:v>
      </x:c>
    </x:row>
    <x:row r="562" ht="42" customHeight="1">
      <x:c r="A562" s="28" t="b">
        <x:v>0</x:v>
      </x:c>
      <x:c r="B562" s="2" t="str">
        <x:v>Cycle 4</x:v>
      </x:c>
      <x:c r="C562" s="2" t="str">
        <x:v>Phase 2</x:v>
      </x:c>
      <x:c r="D562" s="2" t="str">
        <x:v>Retail Services</x:v>
      </x:c>
      <x:c r="E562" s="56" t="str">
        <x:v>DI.RS.2.7</x:v>
      </x:c>
      <x:c r="F562" s="14" t="str">
        <x:v>Update Outcome portion of research plan with current enhancement verbiage (as needed)</x:v>
      </x:c>
      <x:c r="G562" s="5"/>
      <x:c r="H562" s="11"/>
      <x:c r="I562" s="11" t="n">
        <x:f>'Cycles &amp; Guide'!$D$13</x:f>
        <x:v>46387</x:v>
      </x:c>
      <x:c r="J562" s="11"/>
      <x:c r="K562" s="29"/>
      <x:c r="L562" s="2" t="str">
        <x:f>IF(O562=1,"Complete",IF(A562,"Checklist open",IF(H562&lt;&gt;"","In progress","Not started")))</x:f>
        <x:v>Not started</x:v>
      </x:c>
      <x:c r="M562" s="2" t="str">
        <x:v>Task</x:v>
      </x:c>
      <x:c r="N562" s="2" t="str">
        <x:v>DI.RS.2.7.2026.CY4</x:v>
      </x:c>
      <x:c r="O562" s="2" t="n">
        <x:f>R562</x:f>
        <x:v>0</x:v>
      </x:c>
      <x:c r="P562" s="2"/>
      <x:c r="Q562" s="2" t="n">
        <x:v>1</x:v>
      </x:c>
      <x:c r="R562" s="2" t="n">
        <x:f>IF(A562,1,0)</x:f>
        <x:v>0</x:v>
      </x:c>
      <x:c r="S562" s="2" t="n">
        <x:f>SUBTOTAL(103,N562)</x:f>
        <x:v>1</x:v>
      </x:c>
    </x:row>
    <x:row r="563" ht="42" customHeight="1">
      <x:c r="A563" s="28" t="b">
        <x:v>0</x:v>
      </x:c>
      <x:c r="B563" s="2" t="str">
        <x:v>Cycle 4</x:v>
      </x:c>
      <x:c r="C563" s="2" t="str">
        <x:v>Phase 3</x:v>
      </x:c>
      <x:c r="D563" s="2" t="str">
        <x:v>Retail Services</x:v>
      </x:c>
      <x:c r="E563" s="56" t="str">
        <x:v>DI.RS.3.1</x:v>
      </x:c>
      <x:c r="F563" s="14" t="str">
        <x:v>Confirm list of required &amp; optional attendees for pre-socialization meeting</x:v>
      </x:c>
      <x:c r="G563" s="5"/>
      <x:c r="H563" s="11"/>
      <x:c r="I563" s="11" t="n">
        <x:f>'Cycles &amp; Guide'!$D$13</x:f>
        <x:v>46387</x:v>
      </x:c>
      <x:c r="J563" s="11"/>
      <x:c r="K563" s="29"/>
      <x:c r="L563" s="2" t="str">
        <x:f>IF(O563=1,"Complete",IF(A563,"Checklist open",IF(H563&lt;&gt;"","In progress","Not started")))</x:f>
        <x:v>Not started</x:v>
      </x:c>
      <x:c r="M563" s="2" t="str">
        <x:v>Task</x:v>
      </x:c>
      <x:c r="N563" s="2" t="str">
        <x:v>DI.RS.3.1.2026.CY4</x:v>
      </x:c>
      <x:c r="O563" s="2" t="n">
        <x:f>R563</x:f>
        <x:v>0</x:v>
      </x:c>
      <x:c r="P563" s="2"/>
      <x:c r="Q563" s="2" t="n">
        <x:v>1</x:v>
      </x:c>
      <x:c r="R563" s="2" t="n">
        <x:f>IF(A563,1,0)</x:f>
        <x:v>0</x:v>
      </x:c>
      <x:c r="S563" s="2" t="n">
        <x:f>SUBTOTAL(103,N563)</x:f>
        <x:v>1</x:v>
      </x:c>
    </x:row>
    <x:row r="564" ht="42" customHeight="1">
      <x:c r="A564" s="28" t="b">
        <x:v>0</x:v>
      </x:c>
      <x:c r="B564" s="2" t="str">
        <x:v>Cycle 4</x:v>
      </x:c>
      <x:c r="C564" s="2" t="str">
        <x:v>Phase 3</x:v>
      </x:c>
      <x:c r="D564" s="2" t="str">
        <x:v>Retail Services</x:v>
      </x:c>
      <x:c r="E564" s="56" t="str">
        <x:v>DI.RS.3.2</x:v>
      </x:c>
      <x:c r="F564" s="14" t="str">
        <x:v>Schedule pre-socialization meeting 1 week prior to RCA Forum</x:v>
      </x:c>
      <x:c r="G564" s="5"/>
      <x:c r="H564" s="11"/>
      <x:c r="I564" s="11" t="str">
        <x:f>IF(SUMIFS('Cycles &amp; Guide'!$D$23:$D$50,'Cycles &amp; Guide'!$B$23:$B$50,B564,'Cycles &amp; Guide'!$C$23:$C$50,D564)=0,"",SUMIFS('Cycles &amp; Guide'!$D$23:$D$50,'Cycles &amp; Guide'!$B$23:$B$50,B564,'Cycles &amp; Guide'!$C$23:$C$50,D564)-7)</x:f>
      </x:c>
      <x:c r="J564" s="11"/>
      <x:c r="K564" s="29"/>
      <x:c r="L564" s="2" t="str">
        <x:f>IF(O564=1,"Complete",IF(A564,"Checklist open",IF(H564&lt;&gt;"","In progress","Not started")))</x:f>
        <x:v>Not started</x:v>
      </x:c>
      <x:c r="M564" s="2" t="str">
        <x:v>Task</x:v>
      </x:c>
      <x:c r="N564" s="2" t="str">
        <x:v>DI.RS.3.2.2026.CY4</x:v>
      </x:c>
      <x:c r="O564" s="2" t="n">
        <x:f>R564</x:f>
        <x:v>0</x:v>
      </x:c>
      <x:c r="P564" s="2"/>
      <x:c r="Q564" s="2" t="n">
        <x:v>1</x:v>
      </x:c>
      <x:c r="R564" s="2" t="n">
        <x:f>IF(A564,1,0)</x:f>
        <x:v>0</x:v>
      </x:c>
      <x:c r="S564" s="2" t="n">
        <x:f>SUBTOTAL(103,N564)</x:f>
        <x:v>1</x:v>
      </x:c>
    </x:row>
    <x:row r="565" ht="42" customHeight="1">
      <x:c r="A565" s="28" t="b">
        <x:v>0</x:v>
      </x:c>
      <x:c r="B565" s="2" t="str">
        <x:v>Cycle 4</x:v>
      </x:c>
      <x:c r="C565" s="2" t="str">
        <x:v>Phase 3</x:v>
      </x:c>
      <x:c r="D565" s="2" t="str">
        <x:v>Retail Services</x:v>
      </x:c>
      <x:c r="E565" s="56" t="str">
        <x:v>DI.RS.3.3</x:v>
      </x:c>
      <x:c r="F565" s="14" t="str">
        <x:v>Present findings, conclusions, and recommendation to SMEs</x:v>
      </x:c>
      <x:c r="G565" s="5"/>
      <x:c r="H565" s="11"/>
      <x:c r="I565" s="11" t="n">
        <x:f>'Cycles &amp; Guide'!$D$13</x:f>
        <x:v>46387</x:v>
      </x:c>
      <x:c r="J565" s="11"/>
      <x:c r="K565" s="29"/>
      <x:c r="L565" s="2" t="str">
        <x:f>IF(O565=1,"Complete",IF(A565,"Checklist open",IF(H565&lt;&gt;"","In progress","Not started")))</x:f>
        <x:v>Not started</x:v>
      </x:c>
      <x:c r="M565" s="2" t="str">
        <x:v>Task</x:v>
      </x:c>
      <x:c r="N565" s="2" t="str">
        <x:v>DI.RS.3.3.2026.CY4</x:v>
      </x:c>
      <x:c r="O565" s="2" t="n">
        <x:f>R565</x:f>
        <x:v>0</x:v>
      </x:c>
      <x:c r="P565" s="2"/>
      <x:c r="Q565" s="2" t="n">
        <x:v>1</x:v>
      </x:c>
      <x:c r="R565" s="2" t="n">
        <x:f>IF(A565,1,0)</x:f>
        <x:v>0</x:v>
      </x:c>
      <x:c r="S565" s="2" t="n">
        <x:f>SUBTOTAL(103,N565)</x:f>
        <x:v>1</x:v>
      </x:c>
    </x:row>
    <x:row r="566" ht="42" customHeight="1">
      <x:c r="A566" s="28" t="b">
        <x:v>0</x:v>
      </x:c>
      <x:c r="B566" s="2" t="str">
        <x:v>Cycle 4</x:v>
      </x:c>
      <x:c r="C566" s="2" t="str">
        <x:v>Phase 3</x:v>
      </x:c>
      <x:c r="D566" s="2" t="str">
        <x:v>Retail Services</x:v>
      </x:c>
      <x:c r="E566" s="56" t="str">
        <x:v>DI.RS.3.4</x:v>
      </x:c>
      <x:c r="F566" s="14" t="str">
        <x:v>Update Outcome portion of research plan (as needed)</x:v>
      </x:c>
      <x:c r="G566" s="5"/>
      <x:c r="H566" s="11"/>
      <x:c r="I566" s="11" t="n">
        <x:f>'Cycles &amp; Guide'!$D$13</x:f>
        <x:v>46387</x:v>
      </x:c>
      <x:c r="J566" s="11"/>
      <x:c r="K566" s="29"/>
      <x:c r="L566" s="2" t="str">
        <x:f>IF(O566=1,"Complete",IF(A566,"Checklist open",IF(H566&lt;&gt;"","In progress","Not started")))</x:f>
        <x:v>Not started</x:v>
      </x:c>
      <x:c r="M566" s="2" t="str">
        <x:v>Task</x:v>
      </x:c>
      <x:c r="N566" s="2" t="str">
        <x:v>DI.RS.3.4.2026.CY4</x:v>
      </x:c>
      <x:c r="O566" s="2" t="n">
        <x:f>R566</x:f>
        <x:v>0</x:v>
      </x:c>
      <x:c r="P566" s="2"/>
      <x:c r="Q566" s="2" t="n">
        <x:v>1</x:v>
      </x:c>
      <x:c r="R566" s="2" t="n">
        <x:f>IF(A566,1,0)</x:f>
        <x:v>0</x:v>
      </x:c>
      <x:c r="S566" s="2" t="n">
        <x:f>SUBTOTAL(103,N566)</x:f>
        <x:v>1</x:v>
      </x:c>
    </x:row>
    <x:row r="567" ht="42" customHeight="1">
      <x:c r="A567" s="28" t="b">
        <x:v>0</x:v>
      </x:c>
      <x:c r="B567" s="2" t="str">
        <x:v>Cycle 4</x:v>
      </x:c>
      <x:c r="C567" s="2" t="str">
        <x:v>Phase 3</x:v>
      </x:c>
      <x:c r="D567" s="2" t="str">
        <x:v>Retail Services</x:v>
      </x:c>
      <x:c r="E567" s="56" t="str">
        <x:v>DI.RS.3.5</x:v>
      </x:c>
      <x:c r="F567" s="14" t="str">
        <x:v>Finalize presentation deck by incorporating pre-socialization feedback (as needed)</x:v>
      </x:c>
      <x:c r="G567" s="5"/>
      <x:c r="H567" s="11"/>
      <x:c r="I567" s="11" t="n">
        <x:f>'Cycles &amp; Guide'!$D$13</x:f>
        <x:v>46387</x:v>
      </x:c>
      <x:c r="J567" s="11"/>
      <x:c r="K567" s="29"/>
      <x:c r="L567" s="2" t="str">
        <x:f>IF(O567=1,"Complete",IF(A567,"Checklist open",IF(H567&lt;&gt;"","In progress","Not started")))</x:f>
        <x:v>Not started</x:v>
      </x:c>
      <x:c r="M567" s="2" t="str">
        <x:v>Task</x:v>
      </x:c>
      <x:c r="N567" s="2" t="str">
        <x:v>DI.RS.3.5.2026.CY4</x:v>
      </x:c>
      <x:c r="O567" s="2" t="n">
        <x:f>R567</x:f>
        <x:v>0</x:v>
      </x:c>
      <x:c r="P567" s="2"/>
      <x:c r="Q567" s="2" t="n">
        <x:v>1</x:v>
      </x:c>
      <x:c r="R567" s="2" t="n">
        <x:f>IF(A567,1,0)</x:f>
        <x:v>0</x:v>
      </x:c>
      <x:c r="S567" s="2" t="n">
        <x:f>SUBTOTAL(103,N567)</x:f>
        <x:v>1</x:v>
      </x:c>
    </x:row>
    <x:row r="568" ht="42" customHeight="1">
      <x:c r="A568" s="28" t="b">
        <x:v>0</x:v>
      </x:c>
      <x:c r="B568" s="2" t="str">
        <x:v>Cycle 4</x:v>
      </x:c>
      <x:c r="C568" s="2" t="str">
        <x:v>Phase 3</x:v>
      </x:c>
      <x:c r="D568" s="2" t="str">
        <x:v>Retail Services</x:v>
      </x:c>
      <x:c r="E568" s="56" t="str">
        <x:v>DI.RS.3.6</x:v>
      </x:c>
      <x:c r="F568" s="14" t="str">
        <x:v>Ensure final deck is communicated to Forum attendees</x:v>
      </x:c>
      <x:c r="G568" s="5"/>
      <x:c r="H568" s="11"/>
      <x:c r="I568" s="11" t="n">
        <x:f>'Cycles &amp; Guide'!$D$13</x:f>
        <x:v>46387</x:v>
      </x:c>
      <x:c r="J568" s="11"/>
      <x:c r="K568" s="29"/>
      <x:c r="L568" s="2" t="str">
        <x:f>IF(O568=1,"Complete",IF(A568,"Checklist open",IF(H568&lt;&gt;"","In progress","Not started")))</x:f>
        <x:v>Not started</x:v>
      </x:c>
      <x:c r="M568" s="2" t="str">
        <x:v>Task</x:v>
      </x:c>
      <x:c r="N568" s="2" t="str">
        <x:v>DI.RS.3.6.2026.CY4</x:v>
      </x:c>
      <x:c r="O568" s="2" t="n">
        <x:f>R568</x:f>
        <x:v>0</x:v>
      </x:c>
      <x:c r="P568" s="2"/>
      <x:c r="Q568" s="2" t="n">
        <x:v>1</x:v>
      </x:c>
      <x:c r="R568" s="2" t="n">
        <x:f>IF(A568,1,0)</x:f>
        <x:v>0</x:v>
      </x:c>
      <x:c r="S568" s="2" t="n">
        <x:f>SUBTOTAL(103,N568)</x:f>
        <x:v>1</x:v>
      </x:c>
    </x:row>
    <x:row r="569" ht="42" customHeight="1">
      <x:c r="A569" s="28" t="b">
        <x:v>0</x:v>
      </x:c>
      <x:c r="B569" s="2" t="str">
        <x:v>Cycle 4</x:v>
      </x:c>
      <x:c r="C569" s="2" t="str">
        <x:v>Phase 3</x:v>
      </x:c>
      <x:c r="D569" s="2" t="str">
        <x:v>Retail Services</x:v>
      </x:c>
      <x:c r="E569" s="56" t="str">
        <x:v>DI.RS.3.7</x:v>
      </x:c>
      <x:c r="F569" s="14" t="str">
        <x:v>Present material in RCA Cycle Forum</x:v>
      </x:c>
      <x:c r="G569" s="5"/>
      <x:c r="H569" s="11"/>
      <x:c r="I569" s="11" t="str">
        <x:f>IF(SUMIFS('Cycles &amp; Guide'!$D$23:$D$50,'Cycles &amp; Guide'!$B$23:$B$50,B569,'Cycles &amp; Guide'!$C$23:$C$50,D569)=0,"",SUMIFS('Cycles &amp; Guide'!$D$23:$D$50,'Cycles &amp; Guide'!$B$23:$B$50,B569,'Cycles &amp; Guide'!$C$23:$C$50,D569))</x:f>
      </x:c>
      <x:c r="J569" s="11"/>
      <x:c r="K569" s="29"/>
      <x:c r="L569" s="2" t="str">
        <x:f>IF(O569=1,"Complete",IF(A569,"Checklist open",IF(H569&lt;&gt;"","In progress","Not started")))</x:f>
        <x:v>Not started</x:v>
      </x:c>
      <x:c r="M569" s="2" t="str">
        <x:v>Task</x:v>
      </x:c>
      <x:c r="N569" s="2" t="str">
        <x:v>DI.RS.3.7.2026.CY4</x:v>
      </x:c>
      <x:c r="O569" s="2" t="n">
        <x:f>R569</x:f>
        <x:v>0</x:v>
      </x:c>
      <x:c r="P569" s="2"/>
      <x:c r="Q569" s="2" t="n">
        <x:v>1</x:v>
      </x:c>
      <x:c r="R569" s="2" t="n">
        <x:f>IF(A569,1,0)</x:f>
        <x:v>0</x:v>
      </x:c>
      <x:c r="S569" s="2" t="n">
        <x:f>SUBTOTAL(103,N569)</x:f>
        <x:v>1</x:v>
      </x:c>
    </x:row>
  </x:sheetData>
  <x:mergeCells>
    <x:mergeCell ref="A1:B1"/>
    <x:mergeCell ref="C1:D1"/>
    <x:mergeCell ref="E1:F1"/>
    <x:mergeCell ref="G1:J1"/>
  </x:mergeCells>
  <x:conditionalFormatting sqref="L10:L569">
    <x:cfRule type="expression" dxfId="8" priority="1">
      <x:formula>$O10=1</x:formula>
    </x:cfRule>
    <x:cfRule type="expression" dxfId="9" priority="2">
      <x:formula>$L10="Checklist open"</x:formula>
    </x:cfRule>
  </x:conditionalFormatting>
  <x:conditionalFormatting sqref="I10:I569">
    <x:cfRule type="expression" dxfId="10" priority="3">
      <x:formula>AND($Q10=1,$O10=0,ISNUMBER($I10),$I10&lt;TODAY())</x:formula>
    </x:cfRule>
  </x:conditionalFormatting>
  <x:conditionalFormatting sqref="J10:J569">
    <x:cfRule type="expression" dxfId="11" priority="4">
      <x:formula>AND($Q10=1,$O10=1,$J10="")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2bcc53a47c1438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28" hidden="0" customWidth="1"/>
    <x:col min="5" max="5" width="25" hidden="0" customWidth="1"/>
    <x:col min="6" max="6" width="21" hidden="0" customWidth="1"/>
    <x:col min="7" max="7" width="80" hidden="0" customWidth="1"/>
    <x:col min="8" max="8" width="22" hidden="0" customWidth="1"/>
    <x:col min="9" max="9" width="14" hidden="0" customWidth="1"/>
    <x:col min="10" max="10" width="14" hidden="0" customWidth="1"/>
    <x:col min="11" max="11" width="16" hidden="0" customWidth="1"/>
    <x:col min="12" max="12" width="42" hidden="0" customWidth="1"/>
    <x:col min="13" max="13" width="12" hidden="1" customWidth="1"/>
    <x:col min="14" max="14" width="21" hidden="0" customWidth="1"/>
    <x:col min="15" max="15" width="30" hidden="1" customWidth="1"/>
    <x:col min="16" max="16" width="12" hidden="1" customWidth="1"/>
    <x:col min="17" max="17" width="12" hidden="1" customWidth="1"/>
    <x:col min="18" max="18" width="12" hidden="1" customWidth="1"/>
    <x:col min="19" max="19" width="12" hidden="1" customWidth="1"/>
    <x:col min="20" max="20" width="25" hidden="1" customWidth="1"/>
    <x:col min="21" max="21" width="12" hidden="1" customWidth="1"/>
    <x:col min="22" max="22" width="12" hidden="1" customWidth="1"/>
    <x:col min="23" max="23" width="14" hidden="1" customWidth="1"/>
  </x:cols>
  <x:sheetData>
    <x:row r="1" ht="29" customHeight="1">
      <x:c r="A1" s="19" t="str">
        <x:f>HYPERLINK("#'Dashboard'!A1","Dashboard")</x:f>
        <x:v>Dashboard</x:v>
      </x:c>
      <x:c r="B1" s="19"/>
      <x:c r="C1" s="19" t="str">
        <x:f>HYPERLINK("#'Data &amp; Reporting'!A1","Data &amp; Reporting")</x:f>
        <x:v>Data &amp; Reporting</x:v>
      </x:c>
      <x:c r="D1" s="19"/>
      <x:c r="E1" s="19" t="str">
        <x:f>HYPERLINK("#'Research &amp; Analysis'!A1","Research &amp; Analysis")</x:f>
        <x:v>Research &amp; Analysis</x:v>
      </x:c>
      <x:c r="F1" s="19"/>
      <x:c r="G1" s="19" t="str">
        <x:f>HYPERLINK("#'Design &amp; Insights'!A1","Design &amp; Insights")</x:f>
        <x:v>Design &amp; Insights</x:v>
      </x:c>
      <x:c r="H1" s="19"/>
      <x:c r="I1" s="19"/>
      <x:c r="J1" s="19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22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30" customHeight="1">
      <x:c r="A3" s="4" t="str">
        <x:v>All tasks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22" customHeight="1">
      <x:c r="A4" s="2" t="str">
        <x:v>Consolidated view. Select Open to edit the task on its team worksheet. Data &amp; Reporting checklists sit below their parent tasks.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 ht="22" customHeight="1">
      <x:c r="A5" s="2" t="str">
        <x:v>Use the table filters here or the five Dashboard selectors. Only parent tasks count toward completion totals.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</x:row>
    <x:row r="7" ht="22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</x:row>
    <x:row r="8" ht="22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</x:row>
    <x:row r="9" ht="32" customHeight="1">
      <x:c r="A9" s="10" t="str">
        <x:v>Open</x:v>
      </x:c>
      <x:c r="B9" s="10" t="str">
        <x:v>Cycle</x:v>
      </x:c>
      <x:c r="C9" s="10" t="str">
        <x:v>Phase</x:v>
      </x:c>
      <x:c r="D9" s="10" t="str">
        <x:v>Business Group</x:v>
      </x:c>
      <x:c r="E9" s="10" t="str">
        <x:v>Team</x:v>
      </x:c>
      <x:c r="F9" s="10" t="str">
        <x:v>Task ID</x:v>
      </x:c>
      <x:c r="G9" s="10" t="str">
        <x:v>Task Description / Checklist</x:v>
      </x:c>
      <x:c r="H9" s="10" t="str">
        <x:v>Assigned To</x:v>
      </x:c>
      <x:c r="I9" s="10" t="str">
        <x:v>Start Date</x:v>
      </x:c>
      <x:c r="J9" s="10" t="str">
        <x:v>Due Date</x:v>
      </x:c>
      <x:c r="K9" s="10" t="str">
        <x:v>Completed Date</x:v>
      </x:c>
      <x:c r="L9" s="10" t="str">
        <x:v>Comments</x:v>
      </x:c>
      <x:c r="M9" s="10" t="str">
        <x:v>Parent Flag</x:v>
      </x:c>
      <x:c r="N9" s="10" t="str">
        <x:v>Status</x:v>
      </x:c>
      <x:c r="O9" s="10" t="str">
        <x:v>Cycle Record ID</x:v>
      </x:c>
      <x:c r="P9" s="10" t="str">
        <x:v>Complete Flag</x:v>
      </x:c>
      <x:c r="Q9" s="10" t="str">
        <x:v>Visible</x:v>
      </x:c>
      <x:c r="R9" s="10" t="str">
        <x:v>Dashboard Match</x:v>
      </x:c>
      <x:c r="S9" s="10" t="str">
        <x:v>Match Order</x:v>
      </x:c>
      <x:c r="T9" s="10" t="str">
        <x:v>Source Sheet</x:v>
      </x:c>
      <x:c r="U9" s="10" t="str">
        <x:v>Source Row</x:v>
      </x:c>
      <x:c r="V9" s="10" t="str">
        <x:v>Overdue Flag</x:v>
      </x:c>
      <x:c r="W9" s="10" t="str">
        <x:v>Row Type</x:v>
      </x:c>
    </x:row>
    <x:row r="10" ht="40" customHeight="1">
      <x:c r="A10" s="3" t="str">
        <x:f>HYPERLINK("#'Data &amp; Reporting'!A10","Open")</x:f>
        <x:v>Open</x:v>
      </x:c>
      <x:c r="B10" s="2" t="str">
        <x:f>'Data &amp; Reporting'!B10</x:f>
        <x:v>Cycle 1</x:v>
      </x:c>
      <x:c r="C10" s="2" t="str">
        <x:f>'Data &amp; Reporting'!C10</x:f>
        <x:v>Phase 1</x:v>
      </x:c>
      <x:c r="D10" s="2" t="str">
        <x:f>'Data &amp; Reporting'!D10</x:f>
        <x:v>Auto</x:v>
      </x:c>
      <x:c r="E10" s="2" t="str">
        <x:v>Data &amp; Reporting</x:v>
      </x:c>
      <x:c r="F10" s="56" t="str">
        <x:f>'Data &amp; Reporting'!E10</x:f>
        <x:v>DR.AU.1.1</x:v>
      </x:c>
      <x:c r="G10" s="14" t="str">
        <x:f>'Data &amp; Reporting'!F10</x:f>
        <x:v>Review data sources 3 weeks prior to Cycle start (Complaints, Gen AI, Loudspeaker, NPS, etc.)</x:v>
      </x:c>
      <x:c r="H10" s="2" t="str">
        <x:f>IF('Data &amp; Reporting'!G10="","",'Data &amp; Reporting'!G10)</x:f>
      </x:c>
      <x:c r="I10" s="12" t="str">
        <x:f>IF('Data &amp; Reporting'!H10="","",'Data &amp; Reporting'!H10)</x:f>
      </x:c>
      <x:c r="J10" s="12" t="n">
        <x:f>IF('Data &amp; Reporting'!I10="","",'Data &amp; Reporting'!I10)</x:f>
        <x:v>46002</x:v>
      </x:c>
      <x:c r="K10" s="12" t="str">
        <x:f>IF('Data &amp; Reporting'!J10="","",'Data &amp; Reporting'!J10)</x:f>
      </x:c>
      <x:c r="L10" s="2" t="str">
        <x:f>IF('Data &amp; Reporting'!K10="","",'Data &amp; Reporting'!K10)</x:f>
      </x:c>
      <x:c r="M10" s="2" t="n">
        <x:f>'Data &amp; Reporting'!Q10</x:f>
        <x:v>1</x:v>
      </x:c>
      <x:c r="N10" s="2" t="str">
        <x:f>'Data &amp; Reporting'!L10</x:f>
        <x:v>Not started</x:v>
      </x:c>
      <x:c r="O10" s="2" t="str">
        <x:f>'Data &amp; Reporting'!N10</x:f>
        <x:v>DR.AU.1.1.2026.CY1</x:v>
      </x:c>
      <x:c r="P10" s="2" t="n">
        <x:f>'Data &amp; Reporting'!O10</x:f>
        <x:v>0</x:v>
      </x:c>
      <x:c r="Q10" s="2" t="n">
        <x:f>SUBTOTAL(103,O10)</x:f>
        <x:v>1</x:v>
      </x:c>
      <x:c r="R10" s="2" t="n">
        <x:f>IF(AND(M10=1,OR(Dashboard!$B$7="All",Dashboard!$B$7='Cycles &amp; Guide'!$C$5),OR(Dashboard!$D$7="All",Dashboard!$D$7=B10),OR(Dashboard!$F$7="All",Dashboard!$F$7=C10),OR(Dashboard!$H$7="All",Dashboard!$H$7=D10),OR(Dashboard!$K$7="All",Dashboard!$K$7=E10)),1,0)</x:f>
        <x:v>1</x:v>
      </x:c>
      <x:c r="S10" s="2" t="n">
        <x:f>IF(R10=1,SUM($R$10:R10),0)</x:f>
        <x:v>1</x:v>
      </x:c>
      <x:c r="T10" s="2" t="str">
        <x:v>Data &amp; Reporting</x:v>
      </x:c>
      <x:c r="U10" s="2" t="n">
        <x:v>10</x:v>
      </x:c>
      <x:c r="V10" s="2" t="n">
        <x:f>IF(AND(M10=1,P10=0,ISNUMBER(J10),J10&lt;TODAY()),1,0)</x:f>
        <x:v>1</x:v>
      </x:c>
      <x:c r="W10" s="2" t="str">
        <x:f>'Data &amp; Reporting'!M10</x:f>
        <x:v>Task</x:v>
      </x:c>
    </x:row>
    <x:row r="11" ht="40" customHeight="1">
      <x:c r="A11" s="3" t="str">
        <x:f>HYPERLINK("#'Data &amp; Reporting'!A11","Open")</x:f>
        <x:v>Open</x:v>
      </x:c>
      <x:c r="B11" s="2" t="str">
        <x:f>'Data &amp; Reporting'!B11</x:f>
        <x:v>Cycle 1</x:v>
      </x:c>
      <x:c r="C11" s="2" t="str">
        <x:f>'Data &amp; Reporting'!C11</x:f>
        <x:v>Phase 1</x:v>
      </x:c>
      <x:c r="D11" s="2" t="str">
        <x:f>'Data &amp; Reporting'!D11</x:f>
        <x:v>Auto</x:v>
      </x:c>
      <x:c r="E11" s="2" t="str">
        <x:v>Data &amp; Reporting</x:v>
      </x:c>
      <x:c r="F11" s="56" t="str">
        <x:f>'Data &amp; Reporting'!E11</x:f>
        <x:v>DR.AU.1.2</x:v>
      </x:c>
      <x:c r="G11" s="14" t="str">
        <x:f>'Data &amp; Reporting'!F11</x:f>
        <x:v>Identify two potential topics for the upcoming Cycle</x:v>
      </x:c>
      <x:c r="H11" s="2" t="str">
        <x:f>IF('Data &amp; Reporting'!G11="","",'Data &amp; Reporting'!G11)</x:f>
      </x:c>
      <x:c r="I11" s="12" t="str">
        <x:f>IF('Data &amp; Reporting'!H11="","",'Data &amp; Reporting'!H11)</x:f>
      </x:c>
      <x:c r="J11" s="12" t="n">
        <x:f>IF('Data &amp; Reporting'!I11="","",'Data &amp; Reporting'!I11)</x:f>
        <x:v>46112</x:v>
      </x:c>
      <x:c r="K11" s="12" t="str">
        <x:f>IF('Data &amp; Reporting'!J11="","",'Data &amp; Reporting'!J11)</x:f>
      </x:c>
      <x:c r="L11" s="2" t="str">
        <x:f>IF('Data &amp; Reporting'!K11="","",'Data &amp; Reporting'!K11)</x:f>
      </x:c>
      <x:c r="M11" s="2" t="n">
        <x:f>'Data &amp; Reporting'!Q11</x:f>
        <x:v>1</x:v>
      </x:c>
      <x:c r="N11" s="2" t="str">
        <x:f>'Data &amp; Reporting'!L11</x:f>
        <x:v>Not started</x:v>
      </x:c>
      <x:c r="O11" s="2" t="str">
        <x:f>'Data &amp; Reporting'!N11</x:f>
        <x:v>DR.AU.1.2.2026.CY1</x:v>
      </x:c>
      <x:c r="P11" s="2" t="n">
        <x:f>'Data &amp; Reporting'!O11</x:f>
        <x:v>0</x:v>
      </x:c>
      <x:c r="Q11" s="2" t="n">
        <x:f>SUBTOTAL(103,O11)</x:f>
        <x:v>1</x:v>
      </x:c>
      <x:c r="R11" s="2" t="n">
        <x:f>IF(AND(M11=1,OR(Dashboard!$B$7="All",Dashboard!$B$7='Cycles &amp; Guide'!$C$5),OR(Dashboard!$D$7="All",Dashboard!$D$7=B11),OR(Dashboard!$F$7="All",Dashboard!$F$7=C11),OR(Dashboard!$H$7="All",Dashboard!$H$7=D11),OR(Dashboard!$K$7="All",Dashboard!$K$7=E11)),1,0)</x:f>
        <x:v>1</x:v>
      </x:c>
      <x:c r="S11" s="2" t="n">
        <x:f>IF(R11=1,SUM($R$10:R11),0)</x:f>
        <x:v>2</x:v>
      </x:c>
      <x:c r="T11" s="2" t="str">
        <x:v>Data &amp; Reporting</x:v>
      </x:c>
      <x:c r="U11" s="2" t="n">
        <x:v>11</x:v>
      </x:c>
      <x:c r="V11" s="2" t="n">
        <x:f>IF(AND(M11=1,P11=0,ISNUMBER(J11),J11&lt;TODAY()),1,0)</x:f>
        <x:v>1</x:v>
      </x:c>
      <x:c r="W11" s="2" t="str">
        <x:f>'Data &amp; Reporting'!M11</x:f>
        <x:v>Task</x:v>
      </x:c>
    </x:row>
    <x:row r="12" ht="40" customHeight="1">
      <x:c r="A12" s="3" t="str">
        <x:f>HYPERLINK("#'Data &amp; Reporting'!A12","Open")</x:f>
        <x:v>Open</x:v>
      </x:c>
      <x:c r="B12" s="2" t="str">
        <x:f>'Data &amp; Reporting'!B12</x:f>
        <x:v>Cycle 1</x:v>
      </x:c>
      <x:c r="C12" s="2" t="str">
        <x:f>'Data &amp; Reporting'!C12</x:f>
        <x:v>Phase 1</x:v>
      </x:c>
      <x:c r="D12" s="2" t="str">
        <x:f>'Data &amp; Reporting'!D12</x:f>
        <x:v>Auto</x:v>
      </x:c>
      <x:c r="E12" s="2" t="str">
        <x:v>Data &amp; Reporting</x:v>
      </x:c>
      <x:c r="F12" s="56" t="str">
        <x:f>'Data &amp; Reporting'!E12</x:f>
        <x:v>DR.AU.1.3</x:v>
      </x:c>
      <x:c r="G12" s="14" t="str">
        <x:f>'Data &amp; Reporting'!F12</x:f>
        <x:v>Extract data for both potential topics, ensuring all checklist items below are included/completed</x:v>
      </x:c>
      <x:c r="H12" s="2" t="str">
        <x:f>IF('Data &amp; Reporting'!G12="","",'Data &amp; Reporting'!G12)</x:f>
      </x:c>
      <x:c r="I12" s="12" t="str">
        <x:f>IF('Data &amp; Reporting'!H12="","",'Data &amp; Reporting'!H12)</x:f>
      </x:c>
      <x:c r="J12" s="12" t="n">
        <x:f>IF('Data &amp; Reporting'!I12="","",'Data &amp; Reporting'!I12)</x:f>
        <x:v>46112</x:v>
      </x:c>
      <x:c r="K12" s="12" t="str">
        <x:f>IF('Data &amp; Reporting'!J12="","",'Data &amp; Reporting'!J12)</x:f>
      </x:c>
      <x:c r="L12" s="2" t="str">
        <x:f>IF('Data &amp; Reporting'!K12="","",'Data &amp; Reporting'!K12)</x:f>
      </x:c>
      <x:c r="M12" s="2" t="n">
        <x:f>'Data &amp; Reporting'!Q12</x:f>
        <x:v>1</x:v>
      </x:c>
      <x:c r="N12" s="2" t="str">
        <x:f>'Data &amp; Reporting'!L12</x:f>
        <x:v>Not started</x:v>
      </x:c>
      <x:c r="O12" s="2" t="str">
        <x:f>'Data &amp; Reporting'!N12</x:f>
        <x:v>DR.AU.1.3.2026.CY1</x:v>
      </x:c>
      <x:c r="P12" s="2" t="n">
        <x:f>'Data &amp; Reporting'!O12</x:f>
        <x:v>0</x:v>
      </x:c>
      <x:c r="Q12" s="2" t="n">
        <x:f>SUBTOTAL(103,O12)</x:f>
        <x:v>1</x:v>
      </x:c>
      <x:c r="R12" s="2" t="n">
        <x:f>IF(AND(M12=1,OR(Dashboard!$B$7="All",Dashboard!$B$7='Cycles &amp; Guide'!$C$5),OR(Dashboard!$D$7="All",Dashboard!$D$7=B12),OR(Dashboard!$F$7="All",Dashboard!$F$7=C12),OR(Dashboard!$H$7="All",Dashboard!$H$7=D12),OR(Dashboard!$K$7="All",Dashboard!$K$7=E12)),1,0)</x:f>
        <x:v>1</x:v>
      </x:c>
      <x:c r="S12" s="2" t="n">
        <x:f>IF(R12=1,SUM($R$10:R12),0)</x:f>
        <x:v>3</x:v>
      </x:c>
      <x:c r="T12" s="2" t="str">
        <x:v>Data &amp; Reporting</x:v>
      </x:c>
      <x:c r="U12" s="2" t="n">
        <x:v>12</x:v>
      </x:c>
      <x:c r="V12" s="2" t="n">
        <x:f>IF(AND(M12=1,P12=0,ISNUMBER(J12),J12&lt;TODAY()),1,0)</x:f>
        <x:v>1</x:v>
      </x:c>
      <x:c r="W12" s="2" t="str">
        <x:f>'Data &amp; Reporting'!M12</x:f>
        <x:v>Task</x:v>
      </x:c>
    </x:row>
    <x:row r="13" ht="40" customHeight="1">
      <x:c r="A13" s="3" t="str">
        <x:f>HYPERLINK("#'Data &amp; Reporting'!A13","Open")</x:f>
        <x:v>Open</x:v>
      </x:c>
      <x:c r="B13" s="2" t="str">
        <x:f>'Data &amp; Reporting'!B13</x:f>
        <x:v>Cycle 1</x:v>
      </x:c>
      <x:c r="C13" s="2" t="str">
        <x:f>'Data &amp; Reporting'!C13</x:f>
        <x:v>Phase 1</x:v>
      </x:c>
      <x:c r="D13" s="2" t="str">
        <x:f>'Data &amp; Reporting'!D13</x:f>
        <x:v>Auto</x:v>
      </x:c>
      <x:c r="E13" s="2" t="str">
        <x:v>Data &amp; Reporting</x:v>
      </x:c>
      <x:c r="F13" s="56" t="str">
        <x:f>'Data &amp; Reporting'!E13</x:f>
        <x:v>DR.AU.1.3.C01</x:v>
      </x:c>
      <x:c r="G13" s="14" t="str">
        <x:f>'Data &amp; Reporting'!F13</x:f>
        <x:v>    Document date range extracted</x:v>
      </x:c>
      <x:c r="H13" s="2" t="str">
        <x:f>IF('Data &amp; Reporting'!G13="","",'Data &amp; Reporting'!G13)</x:f>
      </x:c>
      <x:c r="I13" s="12" t="str">
        <x:f>IF('Data &amp; Reporting'!H13="","",'Data &amp; Reporting'!H13)</x:f>
      </x:c>
      <x:c r="J13" s="12" t="str">
        <x:f>IF('Data &amp; Reporting'!I13="","",'Data &amp; Reporting'!I13)</x:f>
      </x:c>
      <x:c r="K13" s="12" t="str">
        <x:f>IF('Data &amp; Reporting'!J13="","",'Data &amp; Reporting'!J13)</x:f>
      </x:c>
      <x:c r="L13" s="2" t="str">
        <x:f>IF('Data &amp; Reporting'!K13="","",'Data &amp; Reporting'!K13)</x:f>
      </x:c>
      <x:c r="M13" s="2" t="n">
        <x:f>'Data &amp; Reporting'!Q13</x:f>
        <x:v>0</x:v>
      </x:c>
      <x:c r="N13" s="2" t="str">
        <x:f>'Data &amp; Reporting'!L13</x:f>
        <x:v>Open check</x:v>
      </x:c>
      <x:c r="O13" s="2" t="str">
        <x:f>'Data &amp; Reporting'!N13</x:f>
        <x:v>DR.AU.1.3.C01.2026.CY1</x:v>
      </x:c>
      <x:c r="P13" s="2" t="n">
        <x:f>'Data &amp; Reporting'!O13</x:f>
        <x:v>0</x:v>
      </x:c>
      <x:c r="Q13" s="2" t="n">
        <x:f>SUBTOTAL(103,O13)</x:f>
        <x:v>1</x:v>
      </x:c>
      <x:c r="R13" s="2" t="n">
        <x:f>IF(AND(M13=1,OR(Dashboard!$B$7="All",Dashboard!$B$7='Cycles &amp; Guide'!$C$5),OR(Dashboard!$D$7="All",Dashboard!$D$7=B13),OR(Dashboard!$F$7="All",Dashboard!$F$7=C13),OR(Dashboard!$H$7="All",Dashboard!$H$7=D13),OR(Dashboard!$K$7="All",Dashboard!$K$7=E13)),1,0)</x:f>
        <x:v>0</x:v>
      </x:c>
      <x:c r="S13" s="2" t="n">
        <x:f>IF(R13=1,SUM($R$10:R13),0)</x:f>
        <x:v>0</x:v>
      </x:c>
      <x:c r="T13" s="2" t="str">
        <x:v>Data &amp; Reporting</x:v>
      </x:c>
      <x:c r="U13" s="2" t="n">
        <x:v>13</x:v>
      </x:c>
      <x:c r="V13" s="2" t="n">
        <x:f>IF(AND(M13=1,P13=0,ISNUMBER(J13),J13&lt;TODAY()),1,0)</x:f>
        <x:v>0</x:v>
      </x:c>
      <x:c r="W13" s="2" t="str">
        <x:f>'Data &amp; Reporting'!M13</x:f>
        <x:v>Checklist</x:v>
      </x:c>
    </x:row>
    <x:row r="14" ht="40" customHeight="1">
      <x:c r="A14" s="3" t="str">
        <x:f>HYPERLINK("#'Data &amp; Reporting'!A14","Open")</x:f>
        <x:v>Open</x:v>
      </x:c>
      <x:c r="B14" s="2" t="str">
        <x:f>'Data &amp; Reporting'!B14</x:f>
        <x:v>Cycle 1</x:v>
      </x:c>
      <x:c r="C14" s="2" t="str">
        <x:f>'Data &amp; Reporting'!C14</x:f>
        <x:v>Phase 1</x:v>
      </x:c>
      <x:c r="D14" s="2" t="str">
        <x:f>'Data &amp; Reporting'!D14</x:f>
        <x:v>Auto</x:v>
      </x:c>
      <x:c r="E14" s="2" t="str">
        <x:v>Data &amp; Reporting</x:v>
      </x:c>
      <x:c r="F14" s="56" t="str">
        <x:f>'Data &amp; Reporting'!E14</x:f>
        <x:v>DR.AU.1.3.C02</x:v>
      </x:c>
      <x:c r="G14" s="14" t="str">
        <x:f>'Data &amp; Reporting'!F14</x:f>
        <x:v>    Document date of data pull</x:v>
      </x:c>
      <x:c r="H14" s="2" t="str">
        <x:f>IF('Data &amp; Reporting'!G14="","",'Data &amp; Reporting'!G14)</x:f>
      </x:c>
      <x:c r="I14" s="12" t="str">
        <x:f>IF('Data &amp; Reporting'!H14="","",'Data &amp; Reporting'!H14)</x:f>
      </x:c>
      <x:c r="J14" s="12" t="str">
        <x:f>IF('Data &amp; Reporting'!I14="","",'Data &amp; Reporting'!I14)</x:f>
      </x:c>
      <x:c r="K14" s="12" t="str">
        <x:f>IF('Data &amp; Reporting'!J14="","",'Data &amp; Reporting'!J14)</x:f>
      </x:c>
      <x:c r="L14" s="2" t="str">
        <x:f>IF('Data &amp; Reporting'!K14="","",'Data &amp; Reporting'!K14)</x:f>
      </x:c>
      <x:c r="M14" s="2" t="n">
        <x:f>'Data &amp; Reporting'!Q14</x:f>
        <x:v>0</x:v>
      </x:c>
      <x:c r="N14" s="2" t="str">
        <x:f>'Data &amp; Reporting'!L14</x:f>
        <x:v>Open check</x:v>
      </x:c>
      <x:c r="O14" s="2" t="str">
        <x:f>'Data &amp; Reporting'!N14</x:f>
        <x:v>DR.AU.1.3.C02.2026.CY1</x:v>
      </x:c>
      <x:c r="P14" s="2" t="n">
        <x:f>'Data &amp; Reporting'!O14</x:f>
        <x:v>0</x:v>
      </x:c>
      <x:c r="Q14" s="2" t="n">
        <x:f>SUBTOTAL(103,O14)</x:f>
        <x:v>1</x:v>
      </x:c>
      <x:c r="R14" s="2" t="n">
        <x:f>IF(AND(M14=1,OR(Dashboard!$B$7="All",Dashboard!$B$7='Cycles &amp; Guide'!$C$5),OR(Dashboard!$D$7="All",Dashboard!$D$7=B14),OR(Dashboard!$F$7="All",Dashboard!$F$7=C14),OR(Dashboard!$H$7="All",Dashboard!$H$7=D14),OR(Dashboard!$K$7="All",Dashboard!$K$7=E14)),1,0)</x:f>
        <x:v>0</x:v>
      </x:c>
      <x:c r="S14" s="2" t="n">
        <x:f>IF(R14=1,SUM($R$10:R14),0)</x:f>
        <x:v>0</x:v>
      </x:c>
      <x:c r="T14" s="2" t="str">
        <x:v>Data &amp; Reporting</x:v>
      </x:c>
      <x:c r="U14" s="2" t="n">
        <x:v>14</x:v>
      </x:c>
      <x:c r="V14" s="2" t="n">
        <x:f>IF(AND(M14=1,P14=0,ISNUMBER(J14),J14&lt;TODAY()),1,0)</x:f>
        <x:v>0</x:v>
      </x:c>
      <x:c r="W14" s="2" t="str">
        <x:f>'Data &amp; Reporting'!M14</x:f>
        <x:v>Checklist</x:v>
      </x:c>
    </x:row>
    <x:row r="15" ht="40" customHeight="1">
      <x:c r="A15" s="3" t="str">
        <x:f>HYPERLINK("#'Data &amp; Reporting'!A15","Open")</x:f>
        <x:v>Open</x:v>
      </x:c>
      <x:c r="B15" s="2" t="str">
        <x:f>'Data &amp; Reporting'!B15</x:f>
        <x:v>Cycle 1</x:v>
      </x:c>
      <x:c r="C15" s="2" t="str">
        <x:f>'Data &amp; Reporting'!C15</x:f>
        <x:v>Phase 1</x:v>
      </x:c>
      <x:c r="D15" s="2" t="str">
        <x:f>'Data &amp; Reporting'!D15</x:f>
        <x:v>Auto</x:v>
      </x:c>
      <x:c r="E15" s="2" t="str">
        <x:v>Data &amp; Reporting</x:v>
      </x:c>
      <x:c r="F15" s="56" t="str">
        <x:f>'Data &amp; Reporting'!E15</x:f>
        <x:v>DR.AU.1.3.C03</x:v>
      </x:c>
      <x:c r="G15" s="14" t="str">
        <x:f>'Data &amp; Reporting'!F15</x:f>
        <x:v>    Document population details</x:v>
      </x:c>
      <x:c r="H15" s="2" t="str">
        <x:f>IF('Data &amp; Reporting'!G15="","",'Data &amp; Reporting'!G15)</x:f>
      </x:c>
      <x:c r="I15" s="12" t="str">
        <x:f>IF('Data &amp; Reporting'!H15="","",'Data &amp; Reporting'!H15)</x:f>
      </x:c>
      <x:c r="J15" s="12" t="str">
        <x:f>IF('Data &amp; Reporting'!I15="","",'Data &amp; Reporting'!I15)</x:f>
      </x:c>
      <x:c r="K15" s="12" t="str">
        <x:f>IF('Data &amp; Reporting'!J15="","",'Data &amp; Reporting'!J15)</x:f>
      </x:c>
      <x:c r="L15" s="2" t="str">
        <x:f>IF('Data &amp; Reporting'!K15="","",'Data &amp; Reporting'!K15)</x:f>
      </x:c>
      <x:c r="M15" s="2" t="n">
        <x:f>'Data &amp; Reporting'!Q15</x:f>
        <x:v>0</x:v>
      </x:c>
      <x:c r="N15" s="2" t="str">
        <x:f>'Data &amp; Reporting'!L15</x:f>
        <x:v>Open check</x:v>
      </x:c>
      <x:c r="O15" s="2" t="str">
        <x:f>'Data &amp; Reporting'!N15</x:f>
        <x:v>DR.AU.1.3.C03.2026.CY1</x:v>
      </x:c>
      <x:c r="P15" s="2" t="n">
        <x:f>'Data &amp; Reporting'!O15</x:f>
        <x:v>0</x:v>
      </x:c>
      <x:c r="Q15" s="2" t="n">
        <x:f>SUBTOTAL(103,O15)</x:f>
        <x:v>1</x:v>
      </x:c>
      <x:c r="R15" s="2" t="n">
        <x:f>IF(AND(M15=1,OR(Dashboard!$B$7="All",Dashboard!$B$7='Cycles &amp; Guide'!$C$5),OR(Dashboard!$D$7="All",Dashboard!$D$7=B15),OR(Dashboard!$F$7="All",Dashboard!$F$7=C15),OR(Dashboard!$H$7="All",Dashboard!$H$7=D15),OR(Dashboard!$K$7="All",Dashboard!$K$7=E15)),1,0)</x:f>
        <x:v>0</x:v>
      </x:c>
      <x:c r="S15" s="2" t="n">
        <x:f>IF(R15=1,SUM($R$10:R15),0)</x:f>
        <x:v>0</x:v>
      </x:c>
      <x:c r="T15" s="2" t="str">
        <x:v>Data &amp; Reporting</x:v>
      </x:c>
      <x:c r="U15" s="2" t="n">
        <x:v>15</x:v>
      </x:c>
      <x:c r="V15" s="2" t="n">
        <x:f>IF(AND(M15=1,P15=0,ISNUMBER(J15),J15&lt;TODAY()),1,0)</x:f>
        <x:v>0</x:v>
      </x:c>
      <x:c r="W15" s="2" t="str">
        <x:f>'Data &amp; Reporting'!M15</x:f>
        <x:v>Checklist</x:v>
      </x:c>
    </x:row>
    <x:row r="16" ht="40" customHeight="1">
      <x:c r="A16" s="3" t="str">
        <x:f>HYPERLINK("#'Data &amp; Reporting'!A16","Open")</x:f>
        <x:v>Open</x:v>
      </x:c>
      <x:c r="B16" s="2" t="str">
        <x:f>'Data &amp; Reporting'!B16</x:f>
        <x:v>Cycle 1</x:v>
      </x:c>
      <x:c r="C16" s="2" t="str">
        <x:f>'Data &amp; Reporting'!C16</x:f>
        <x:v>Phase 1</x:v>
      </x:c>
      <x:c r="D16" s="2" t="str">
        <x:f>'Data &amp; Reporting'!D16</x:f>
        <x:v>Auto</x:v>
      </x:c>
      <x:c r="E16" s="2" t="str">
        <x:v>Data &amp; Reporting</x:v>
      </x:c>
      <x:c r="F16" s="56" t="str">
        <x:f>'Data &amp; Reporting'!E16</x:f>
        <x:v>DR.AU.1.3.C04</x:v>
      </x:c>
      <x:c r="G16" s="14" t="str">
        <x:f>'Data &amp; Reporting'!F16</x:f>
        <x:v>    Validate no data is missing</x:v>
      </x:c>
      <x:c r="H16" s="2" t="str">
        <x:f>IF('Data &amp; Reporting'!G16="","",'Data &amp; Reporting'!G16)</x:f>
      </x:c>
      <x:c r="I16" s="12" t="str">
        <x:f>IF('Data &amp; Reporting'!H16="","",'Data &amp; Reporting'!H16)</x:f>
      </x:c>
      <x:c r="J16" s="12" t="str">
        <x:f>IF('Data &amp; Reporting'!I16="","",'Data &amp; Reporting'!I16)</x:f>
      </x:c>
      <x:c r="K16" s="12" t="str">
        <x:f>IF('Data &amp; Reporting'!J16="","",'Data &amp; Reporting'!J16)</x:f>
      </x:c>
      <x:c r="L16" s="2" t="str">
        <x:f>IF('Data &amp; Reporting'!K16="","",'Data &amp; Reporting'!K16)</x:f>
      </x:c>
      <x:c r="M16" s="2" t="n">
        <x:f>'Data &amp; Reporting'!Q16</x:f>
        <x:v>0</x:v>
      </x:c>
      <x:c r="N16" s="2" t="str">
        <x:f>'Data &amp; Reporting'!L16</x:f>
        <x:v>Open check</x:v>
      </x:c>
      <x:c r="O16" s="2" t="str">
        <x:f>'Data &amp; Reporting'!N16</x:f>
        <x:v>DR.AU.1.3.C04.2026.CY1</x:v>
      </x:c>
      <x:c r="P16" s="2" t="n">
        <x:f>'Data &amp; Reporting'!O16</x:f>
        <x:v>0</x:v>
      </x:c>
      <x:c r="Q16" s="2" t="n">
        <x:f>SUBTOTAL(103,O16)</x:f>
        <x:v>1</x:v>
      </x:c>
      <x:c r="R16" s="2" t="n">
        <x:f>IF(AND(M16=1,OR(Dashboard!$B$7="All",Dashboard!$B$7='Cycles &amp; Guide'!$C$5),OR(Dashboard!$D$7="All",Dashboard!$D$7=B16),OR(Dashboard!$F$7="All",Dashboard!$F$7=C16),OR(Dashboard!$H$7="All",Dashboard!$H$7=D16),OR(Dashboard!$K$7="All",Dashboard!$K$7=E16)),1,0)</x:f>
        <x:v>0</x:v>
      </x:c>
      <x:c r="S16" s="2" t="n">
        <x:f>IF(R16=1,SUM($R$10:R16),0)</x:f>
        <x:v>0</x:v>
      </x:c>
      <x:c r="T16" s="2" t="str">
        <x:v>Data &amp; Reporting</x:v>
      </x:c>
      <x:c r="U16" s="2" t="n">
        <x:v>16</x:v>
      </x:c>
      <x:c r="V16" s="2" t="n">
        <x:f>IF(AND(M16=1,P16=0,ISNUMBER(J16),J16&lt;TODAY()),1,0)</x:f>
        <x:v>0</x:v>
      </x:c>
      <x:c r="W16" s="2" t="str">
        <x:f>'Data &amp; Reporting'!M16</x:f>
        <x:v>Checklist</x:v>
      </x:c>
    </x:row>
    <x:row r="17" ht="40" customHeight="1">
      <x:c r="A17" s="3" t="str">
        <x:f>HYPERLINK("#'Data &amp; Reporting'!A17","Open")</x:f>
        <x:v>Open</x:v>
      </x:c>
      <x:c r="B17" s="2" t="str">
        <x:f>'Data &amp; Reporting'!B17</x:f>
        <x:v>Cycle 1</x:v>
      </x:c>
      <x:c r="C17" s="2" t="str">
        <x:f>'Data &amp; Reporting'!C17</x:f>
        <x:v>Phase 1</x:v>
      </x:c>
      <x:c r="D17" s="2" t="str">
        <x:f>'Data &amp; Reporting'!D17</x:f>
        <x:v>Auto</x:v>
      </x:c>
      <x:c r="E17" s="2" t="str">
        <x:v>Data &amp; Reporting</x:v>
      </x:c>
      <x:c r="F17" s="56" t="str">
        <x:f>'Data &amp; Reporting'!E17</x:f>
        <x:v>DR.AU.1.3.C05</x:v>
      </x:c>
      <x:c r="G17" s="14" t="str">
        <x:f>'Data &amp; Reporting'!F17</x:f>
        <x:v>    Validate accuracy of data</x:v>
      </x:c>
      <x:c r="H17" s="2" t="str">
        <x:f>IF('Data &amp; Reporting'!G17="","",'Data &amp; Reporting'!G17)</x:f>
      </x:c>
      <x:c r="I17" s="12" t="str">
        <x:f>IF('Data &amp; Reporting'!H17="","",'Data &amp; Reporting'!H17)</x:f>
      </x:c>
      <x:c r="J17" s="12" t="str">
        <x:f>IF('Data &amp; Reporting'!I17="","",'Data &amp; Reporting'!I17)</x:f>
      </x:c>
      <x:c r="K17" s="12" t="str">
        <x:f>IF('Data &amp; Reporting'!J17="","",'Data &amp; Reporting'!J17)</x:f>
      </x:c>
      <x:c r="L17" s="2" t="str">
        <x:f>IF('Data &amp; Reporting'!K17="","",'Data &amp; Reporting'!K17)</x:f>
      </x:c>
      <x:c r="M17" s="2" t="n">
        <x:f>'Data &amp; Reporting'!Q17</x:f>
        <x:v>0</x:v>
      </x:c>
      <x:c r="N17" s="2" t="str">
        <x:f>'Data &amp; Reporting'!L17</x:f>
        <x:v>Open check</x:v>
      </x:c>
      <x:c r="O17" s="2" t="str">
        <x:f>'Data &amp; Reporting'!N17</x:f>
        <x:v>DR.AU.1.3.C05.2026.CY1</x:v>
      </x:c>
      <x:c r="P17" s="2" t="n">
        <x:f>'Data &amp; Reporting'!O17</x:f>
        <x:v>0</x:v>
      </x:c>
      <x:c r="Q17" s="2" t="n">
        <x:f>SUBTOTAL(103,O17)</x:f>
        <x:v>1</x:v>
      </x:c>
      <x:c r="R17" s="2" t="n">
        <x:f>IF(AND(M17=1,OR(Dashboard!$B$7="All",Dashboard!$B$7='Cycles &amp; Guide'!$C$5),OR(Dashboard!$D$7="All",Dashboard!$D$7=B17),OR(Dashboard!$F$7="All",Dashboard!$F$7=C17),OR(Dashboard!$H$7="All",Dashboard!$H$7=D17),OR(Dashboard!$K$7="All",Dashboard!$K$7=E17)),1,0)</x:f>
        <x:v>0</x:v>
      </x:c>
      <x:c r="S17" s="2" t="n">
        <x:f>IF(R17=1,SUM($R$10:R17),0)</x:f>
        <x:v>0</x:v>
      </x:c>
      <x:c r="T17" s="2" t="str">
        <x:v>Data &amp; Reporting</x:v>
      </x:c>
      <x:c r="U17" s="2" t="n">
        <x:v>17</x:v>
      </x:c>
      <x:c r="V17" s="2" t="n">
        <x:f>IF(AND(M17=1,P17=0,ISNUMBER(J17),J17&lt;TODAY()),1,0)</x:f>
        <x:v>0</x:v>
      </x:c>
      <x:c r="W17" s="2" t="str">
        <x:f>'Data &amp; Reporting'!M17</x:f>
        <x:v>Checklist</x:v>
      </x:c>
    </x:row>
    <x:row r="18" ht="40" customHeight="1">
      <x:c r="A18" s="3" t="str">
        <x:f>HYPERLINK("#'Data &amp; Reporting'!A18","Open")</x:f>
        <x:v>Open</x:v>
      </x:c>
      <x:c r="B18" s="2" t="str">
        <x:f>'Data &amp; Reporting'!B18</x:f>
        <x:v>Cycle 1</x:v>
      </x:c>
      <x:c r="C18" s="2" t="str">
        <x:f>'Data &amp; Reporting'!C18</x:f>
        <x:v>Phase 1</x:v>
      </x:c>
      <x:c r="D18" s="2" t="str">
        <x:f>'Data &amp; Reporting'!D18</x:f>
        <x:v>Auto</x:v>
      </x:c>
      <x:c r="E18" s="2" t="str">
        <x:v>Data &amp; Reporting</x:v>
      </x:c>
      <x:c r="F18" s="56" t="str">
        <x:f>'Data &amp; Reporting'!E18</x:f>
        <x:v>DR.AU.1.3.C06</x:v>
      </x:c>
      <x:c r="G18" s="14" t="str">
        <x:f>'Data &amp; Reporting'!F18</x:f>
        <x:v>    Validate no duplicate data is provided</x:v>
      </x:c>
      <x:c r="H18" s="2" t="str">
        <x:f>IF('Data &amp; Reporting'!G18="","",'Data &amp; Reporting'!G18)</x:f>
      </x:c>
      <x:c r="I18" s="12" t="str">
        <x:f>IF('Data &amp; Reporting'!H18="","",'Data &amp; Reporting'!H18)</x:f>
      </x:c>
      <x:c r="J18" s="12" t="str">
        <x:f>IF('Data &amp; Reporting'!I18="","",'Data &amp; Reporting'!I18)</x:f>
      </x:c>
      <x:c r="K18" s="12" t="str">
        <x:f>IF('Data &amp; Reporting'!J18="","",'Data &amp; Reporting'!J18)</x:f>
      </x:c>
      <x:c r="L18" s="2" t="str">
        <x:f>IF('Data &amp; Reporting'!K18="","",'Data &amp; Reporting'!K18)</x:f>
      </x:c>
      <x:c r="M18" s="2" t="n">
        <x:f>'Data &amp; Reporting'!Q18</x:f>
        <x:v>0</x:v>
      </x:c>
      <x:c r="N18" s="2" t="str">
        <x:f>'Data &amp; Reporting'!L18</x:f>
        <x:v>Open check</x:v>
      </x:c>
      <x:c r="O18" s="2" t="str">
        <x:f>'Data &amp; Reporting'!N18</x:f>
        <x:v>DR.AU.1.3.C06.2026.CY1</x:v>
      </x:c>
      <x:c r="P18" s="2" t="n">
        <x:f>'Data &amp; Reporting'!O18</x:f>
        <x:v>0</x:v>
      </x:c>
      <x:c r="Q18" s="2" t="n">
        <x:f>SUBTOTAL(103,O18)</x:f>
        <x:v>1</x:v>
      </x:c>
      <x:c r="R18" s="2" t="n">
        <x:f>IF(AND(M18=1,OR(Dashboard!$B$7="All",Dashboard!$B$7='Cycles &amp; Guide'!$C$5),OR(Dashboard!$D$7="All",Dashboard!$D$7=B18),OR(Dashboard!$F$7="All",Dashboard!$F$7=C18),OR(Dashboard!$H$7="All",Dashboard!$H$7=D18),OR(Dashboard!$K$7="All",Dashboard!$K$7=E18)),1,0)</x:f>
        <x:v>0</x:v>
      </x:c>
      <x:c r="S18" s="2" t="n">
        <x:f>IF(R18=1,SUM($R$10:R18),0)</x:f>
        <x:v>0</x:v>
      </x:c>
      <x:c r="T18" s="2" t="str">
        <x:v>Data &amp; Reporting</x:v>
      </x:c>
      <x:c r="U18" s="2" t="n">
        <x:v>18</x:v>
      </x:c>
      <x:c r="V18" s="2" t="n">
        <x:f>IF(AND(M18=1,P18=0,ISNUMBER(J18),J18&lt;TODAY()),1,0)</x:f>
        <x:v>0</x:v>
      </x:c>
      <x:c r="W18" s="2" t="str">
        <x:f>'Data &amp; Reporting'!M18</x:f>
        <x:v>Checklist</x:v>
      </x:c>
    </x:row>
    <x:row r="19" ht="40" customHeight="1">
      <x:c r="A19" s="3" t="str">
        <x:f>HYPERLINK("#'Data &amp; Reporting'!A19","Open")</x:f>
        <x:v>Open</x:v>
      </x:c>
      <x:c r="B19" s="2" t="str">
        <x:f>'Data &amp; Reporting'!B19</x:f>
        <x:v>Cycle 1</x:v>
      </x:c>
      <x:c r="C19" s="2" t="str">
        <x:f>'Data &amp; Reporting'!C19</x:f>
        <x:v>Phase 1</x:v>
      </x:c>
      <x:c r="D19" s="2" t="str">
        <x:f>'Data &amp; Reporting'!D19</x:f>
        <x:v>Auto</x:v>
      </x:c>
      <x:c r="E19" s="2" t="str">
        <x:v>Data &amp; Reporting</x:v>
      </x:c>
      <x:c r="F19" s="56" t="str">
        <x:f>'Data &amp; Reporting'!E19</x:f>
        <x:v>DR.AU.1.3.C07</x:v>
      </x:c>
      <x:c r="G19" s="14" t="str">
        <x:f>'Data &amp; Reporting'!F19</x:f>
        <x:v>    Document any data exclusions along with justification (as needed)</x:v>
      </x:c>
      <x:c r="H19" s="2" t="str">
        <x:f>IF('Data &amp; Reporting'!G19="","",'Data &amp; Reporting'!G19)</x:f>
      </x:c>
      <x:c r="I19" s="12" t="str">
        <x:f>IF('Data &amp; Reporting'!H19="","",'Data &amp; Reporting'!H19)</x:f>
      </x:c>
      <x:c r="J19" s="12" t="str">
        <x:f>IF('Data &amp; Reporting'!I19="","",'Data &amp; Reporting'!I19)</x:f>
      </x:c>
      <x:c r="K19" s="12" t="str">
        <x:f>IF('Data &amp; Reporting'!J19="","",'Data &amp; Reporting'!J19)</x:f>
      </x:c>
      <x:c r="L19" s="2" t="str">
        <x:f>IF('Data &amp; Reporting'!K19="","",'Data &amp; Reporting'!K19)</x:f>
      </x:c>
      <x:c r="M19" s="2" t="n">
        <x:f>'Data &amp; Reporting'!Q19</x:f>
        <x:v>0</x:v>
      </x:c>
      <x:c r="N19" s="2" t="str">
        <x:f>'Data &amp; Reporting'!L19</x:f>
        <x:v>Open check</x:v>
      </x:c>
      <x:c r="O19" s="2" t="str">
        <x:f>'Data &amp; Reporting'!N19</x:f>
        <x:v>DR.AU.1.3.C07.2026.CY1</x:v>
      </x:c>
      <x:c r="P19" s="2" t="n">
        <x:f>'Data &amp; Reporting'!O19</x:f>
        <x:v>0</x:v>
      </x:c>
      <x:c r="Q19" s="2" t="n">
        <x:f>SUBTOTAL(103,O19)</x:f>
        <x:v>1</x:v>
      </x:c>
      <x:c r="R19" s="2" t="n">
        <x:f>IF(AND(M19=1,OR(Dashboard!$B$7="All",Dashboard!$B$7='Cycles &amp; Guide'!$C$5),OR(Dashboard!$D$7="All",Dashboard!$D$7=B19),OR(Dashboard!$F$7="All",Dashboard!$F$7=C19),OR(Dashboard!$H$7="All",Dashboard!$H$7=D19),OR(Dashboard!$K$7="All",Dashboard!$K$7=E19)),1,0)</x:f>
        <x:v>0</x:v>
      </x:c>
      <x:c r="S19" s="2" t="n">
        <x:f>IF(R19=1,SUM($R$10:R19),0)</x:f>
        <x:v>0</x:v>
      </x:c>
      <x:c r="T19" s="2" t="str">
        <x:v>Data &amp; Reporting</x:v>
      </x:c>
      <x:c r="U19" s="2" t="n">
        <x:v>19</x:v>
      </x:c>
      <x:c r="V19" s="2" t="n">
        <x:f>IF(AND(M19=1,P19=0,ISNUMBER(J19),J19&lt;TODAY()),1,0)</x:f>
        <x:v>0</x:v>
      </x:c>
      <x:c r="W19" s="2" t="str">
        <x:f>'Data &amp; Reporting'!M19</x:f>
        <x:v>Checklist</x:v>
      </x:c>
    </x:row>
    <x:row r="20" ht="40" customHeight="1">
      <x:c r="A20" s="3" t="str">
        <x:f>HYPERLINK("#'Data &amp; Reporting'!A20","Open")</x:f>
        <x:v>Open</x:v>
      </x:c>
      <x:c r="B20" s="2" t="str">
        <x:f>'Data &amp; Reporting'!B20</x:f>
        <x:v>Cycle 1</x:v>
      </x:c>
      <x:c r="C20" s="2" t="str">
        <x:f>'Data &amp; Reporting'!C20</x:f>
        <x:v>Phase 1</x:v>
      </x:c>
      <x:c r="D20" s="2" t="str">
        <x:f>'Data &amp; Reporting'!D20</x:f>
        <x:v>Auto</x:v>
      </x:c>
      <x:c r="E20" s="2" t="str">
        <x:v>Data &amp; Reporting</x:v>
      </x:c>
      <x:c r="F20" s="56" t="str">
        <x:f>'Data &amp; Reporting'!E20</x:f>
        <x:v>DR.AU.1.3.C08</x:v>
      </x:c>
      <x:c r="G20" s="14" t="str">
        <x:f>'Data &amp; Reporting'!F20</x:f>
        <x:v>    Document any assumptions made with the data (as needed)</x:v>
      </x:c>
      <x:c r="H20" s="2" t="str">
        <x:f>IF('Data &amp; Reporting'!G20="","",'Data &amp; Reporting'!G20)</x:f>
      </x:c>
      <x:c r="I20" s="12" t="str">
        <x:f>IF('Data &amp; Reporting'!H20="","",'Data &amp; Reporting'!H20)</x:f>
      </x:c>
      <x:c r="J20" s="12" t="str">
        <x:f>IF('Data &amp; Reporting'!I20="","",'Data &amp; Reporting'!I20)</x:f>
      </x:c>
      <x:c r="K20" s="12" t="str">
        <x:f>IF('Data &amp; Reporting'!J20="","",'Data &amp; Reporting'!J20)</x:f>
      </x:c>
      <x:c r="L20" s="2" t="str">
        <x:f>IF('Data &amp; Reporting'!K20="","",'Data &amp; Reporting'!K20)</x:f>
      </x:c>
      <x:c r="M20" s="2" t="n">
        <x:f>'Data &amp; Reporting'!Q20</x:f>
        <x:v>0</x:v>
      </x:c>
      <x:c r="N20" s="2" t="str">
        <x:f>'Data &amp; Reporting'!L20</x:f>
        <x:v>Open check</x:v>
      </x:c>
      <x:c r="O20" s="2" t="str">
        <x:f>'Data &amp; Reporting'!N20</x:f>
        <x:v>DR.AU.1.3.C08.2026.CY1</x:v>
      </x:c>
      <x:c r="P20" s="2" t="n">
        <x:f>'Data &amp; Reporting'!O20</x:f>
        <x:v>0</x:v>
      </x:c>
      <x:c r="Q20" s="2" t="n">
        <x:f>SUBTOTAL(103,O20)</x:f>
        <x:v>1</x:v>
      </x:c>
      <x:c r="R20" s="2" t="n">
        <x:f>IF(AND(M20=1,OR(Dashboard!$B$7="All",Dashboard!$B$7='Cycles &amp; Guide'!$C$5),OR(Dashboard!$D$7="All",Dashboard!$D$7=B20),OR(Dashboard!$F$7="All",Dashboard!$F$7=C20),OR(Dashboard!$H$7="All",Dashboard!$H$7=D20),OR(Dashboard!$K$7="All",Dashboard!$K$7=E20)),1,0)</x:f>
        <x:v>0</x:v>
      </x:c>
      <x:c r="S20" s="2" t="n">
        <x:f>IF(R20=1,SUM($R$10:R20),0)</x:f>
        <x:v>0</x:v>
      </x:c>
      <x:c r="T20" s="2" t="str">
        <x:v>Data &amp; Reporting</x:v>
      </x:c>
      <x:c r="U20" s="2" t="n">
        <x:v>20</x:v>
      </x:c>
      <x:c r="V20" s="2" t="n">
        <x:f>IF(AND(M20=1,P20=0,ISNUMBER(J20),J20&lt;TODAY()),1,0)</x:f>
        <x:v>0</x:v>
      </x:c>
      <x:c r="W20" s="2" t="str">
        <x:f>'Data &amp; Reporting'!M20</x:f>
        <x:v>Checklist</x:v>
      </x:c>
    </x:row>
    <x:row r="21" ht="40" customHeight="1">
      <x:c r="A21" s="3" t="str">
        <x:f>HYPERLINK("#'Data &amp; Reporting'!A21","Open")</x:f>
        <x:v>Open</x:v>
      </x:c>
      <x:c r="B21" s="2" t="str">
        <x:f>'Data &amp; Reporting'!B21</x:f>
        <x:v>Cycle 1</x:v>
      </x:c>
      <x:c r="C21" s="2" t="str">
        <x:f>'Data &amp; Reporting'!C21</x:f>
        <x:v>Phase 1</x:v>
      </x:c>
      <x:c r="D21" s="2" t="str">
        <x:f>'Data &amp; Reporting'!D21</x:f>
        <x:v>Auto</x:v>
      </x:c>
      <x:c r="E21" s="2" t="str">
        <x:v>Data &amp; Reporting</x:v>
      </x:c>
      <x:c r="F21" s="56" t="str">
        <x:f>'Data &amp; Reporting'!E21</x:f>
        <x:v>DR.AU.1.3.C09</x:v>
      </x:c>
      <x:c r="G21" s="14" t="str">
        <x:f>'Data &amp; Reporting'!F21</x:f>
        <x:v>    Document any data limitations or constraints clearly (as needed)</x:v>
      </x:c>
      <x:c r="H21" s="2" t="str">
        <x:f>IF('Data &amp; Reporting'!G21="","",'Data &amp; Reporting'!G21)</x:f>
      </x:c>
      <x:c r="I21" s="12" t="str">
        <x:f>IF('Data &amp; Reporting'!H21="","",'Data &amp; Reporting'!H21)</x:f>
      </x:c>
      <x:c r="J21" s="12" t="str">
        <x:f>IF('Data &amp; Reporting'!I21="","",'Data &amp; Reporting'!I21)</x:f>
      </x:c>
      <x:c r="K21" s="12" t="str">
        <x:f>IF('Data &amp; Reporting'!J21="","",'Data &amp; Reporting'!J21)</x:f>
      </x:c>
      <x:c r="L21" s="2" t="str">
        <x:f>IF('Data &amp; Reporting'!K21="","",'Data &amp; Reporting'!K21)</x:f>
      </x:c>
      <x:c r="M21" s="2" t="n">
        <x:f>'Data &amp; Reporting'!Q21</x:f>
        <x:v>0</x:v>
      </x:c>
      <x:c r="N21" s="2" t="str">
        <x:f>'Data &amp; Reporting'!L21</x:f>
        <x:v>Open check</x:v>
      </x:c>
      <x:c r="O21" s="2" t="str">
        <x:f>'Data &amp; Reporting'!N21</x:f>
        <x:v>DR.AU.1.3.C09.2026.CY1</x:v>
      </x:c>
      <x:c r="P21" s="2" t="n">
        <x:f>'Data &amp; Reporting'!O21</x:f>
        <x:v>0</x:v>
      </x:c>
      <x:c r="Q21" s="2" t="n">
        <x:f>SUBTOTAL(103,O21)</x:f>
        <x:v>1</x:v>
      </x:c>
      <x:c r="R21" s="2" t="n">
        <x:f>IF(AND(M21=1,OR(Dashboard!$B$7="All",Dashboard!$B$7='Cycles &amp; Guide'!$C$5),OR(Dashboard!$D$7="All",Dashboard!$D$7=B21),OR(Dashboard!$F$7="All",Dashboard!$F$7=C21),OR(Dashboard!$H$7="All",Dashboard!$H$7=D21),OR(Dashboard!$K$7="All",Dashboard!$K$7=E21)),1,0)</x:f>
        <x:v>0</x:v>
      </x:c>
      <x:c r="S21" s="2" t="n">
        <x:f>IF(R21=1,SUM($R$10:R21),0)</x:f>
        <x:v>0</x:v>
      </x:c>
      <x:c r="T21" s="2" t="str">
        <x:v>Data &amp; Reporting</x:v>
      </x:c>
      <x:c r="U21" s="2" t="n">
        <x:v>21</x:v>
      </x:c>
      <x:c r="V21" s="2" t="n">
        <x:f>IF(AND(M21=1,P21=0,ISNUMBER(J21),J21&lt;TODAY()),1,0)</x:f>
        <x:v>0</x:v>
      </x:c>
      <x:c r="W21" s="2" t="str">
        <x:f>'Data &amp; Reporting'!M21</x:f>
        <x:v>Checklist</x:v>
      </x:c>
    </x:row>
    <x:row r="22" ht="40" customHeight="1">
      <x:c r="A22" s="3" t="str">
        <x:f>HYPERLINK("#'Data &amp; Reporting'!A22","Open")</x:f>
        <x:v>Open</x:v>
      </x:c>
      <x:c r="B22" s="2" t="str">
        <x:f>'Data &amp; Reporting'!B22</x:f>
        <x:v>Cycle 1</x:v>
      </x:c>
      <x:c r="C22" s="2" t="str">
        <x:f>'Data &amp; Reporting'!C22</x:f>
        <x:v>Phase 1</x:v>
      </x:c>
      <x:c r="D22" s="2" t="str">
        <x:f>'Data &amp; Reporting'!D22</x:f>
        <x:v>Auto</x:v>
      </x:c>
      <x:c r="E22" s="2" t="str">
        <x:v>Data &amp; Reporting</x:v>
      </x:c>
      <x:c r="F22" s="56" t="str">
        <x:f>'Data &amp; Reporting'!E22</x:f>
        <x:v>DR.AU.1.3.C10</x:v>
      </x:c>
      <x:c r="G22" s="14" t="str">
        <x:f>'Data &amp; Reporting'!F22</x:f>
        <x:v>    Document data dictionary or field definitions for columns/rows</x:v>
      </x:c>
      <x:c r="H22" s="2" t="str">
        <x:f>IF('Data &amp; Reporting'!G22="","",'Data &amp; Reporting'!G22)</x:f>
      </x:c>
      <x:c r="I22" s="12" t="str">
        <x:f>IF('Data &amp; Reporting'!H22="","",'Data &amp; Reporting'!H22)</x:f>
      </x:c>
      <x:c r="J22" s="12" t="str">
        <x:f>IF('Data &amp; Reporting'!I22="","",'Data &amp; Reporting'!I22)</x:f>
      </x:c>
      <x:c r="K22" s="12" t="str">
        <x:f>IF('Data &amp; Reporting'!J22="","",'Data &amp; Reporting'!J22)</x:f>
      </x:c>
      <x:c r="L22" s="2" t="str">
        <x:f>IF('Data &amp; Reporting'!K22="","",'Data &amp; Reporting'!K22)</x:f>
      </x:c>
      <x:c r="M22" s="2" t="n">
        <x:f>'Data &amp; Reporting'!Q22</x:f>
        <x:v>0</x:v>
      </x:c>
      <x:c r="N22" s="2" t="str">
        <x:f>'Data &amp; Reporting'!L22</x:f>
        <x:v>Open check</x:v>
      </x:c>
      <x:c r="O22" s="2" t="str">
        <x:f>'Data &amp; Reporting'!N22</x:f>
        <x:v>DR.AU.1.3.C10.2026.CY1</x:v>
      </x:c>
      <x:c r="P22" s="2" t="n">
        <x:f>'Data &amp; Reporting'!O22</x:f>
        <x:v>0</x:v>
      </x:c>
      <x:c r="Q22" s="2" t="n">
        <x:f>SUBTOTAL(103,O22)</x:f>
        <x:v>1</x:v>
      </x:c>
      <x:c r="R22" s="2" t="n">
        <x:f>IF(AND(M22=1,OR(Dashboard!$B$7="All",Dashboard!$B$7='Cycles &amp; Guide'!$C$5),OR(Dashboard!$D$7="All",Dashboard!$D$7=B22),OR(Dashboard!$F$7="All",Dashboard!$F$7=C22),OR(Dashboard!$H$7="All",Dashboard!$H$7=D22),OR(Dashboard!$K$7="All",Dashboard!$K$7=E22)),1,0)</x:f>
        <x:v>0</x:v>
      </x:c>
      <x:c r="S22" s="2" t="n">
        <x:f>IF(R22=1,SUM($R$10:R22),0)</x:f>
        <x:v>0</x:v>
      </x:c>
      <x:c r="T22" s="2" t="str">
        <x:v>Data &amp; Reporting</x:v>
      </x:c>
      <x:c r="U22" s="2" t="n">
        <x:v>22</x:v>
      </x:c>
      <x:c r="V22" s="2" t="n">
        <x:f>IF(AND(M22=1,P22=0,ISNUMBER(J22),J22&lt;TODAY()),1,0)</x:f>
        <x:v>0</x:v>
      </x:c>
      <x:c r="W22" s="2" t="str">
        <x:f>'Data &amp; Reporting'!M22</x:f>
        <x:v>Checklist</x:v>
      </x:c>
    </x:row>
    <x:row r="23" ht="40" customHeight="1">
      <x:c r="A23" s="3" t="str">
        <x:f>HYPERLINK("#'Data &amp; Reporting'!A23","Open")</x:f>
        <x:v>Open</x:v>
      </x:c>
      <x:c r="B23" s="2" t="str">
        <x:f>'Data &amp; Reporting'!B23</x:f>
        <x:v>Cycle 1</x:v>
      </x:c>
      <x:c r="C23" s="2" t="str">
        <x:f>'Data &amp; Reporting'!C23</x:f>
        <x:v>Phase 1</x:v>
      </x:c>
      <x:c r="D23" s="2" t="str">
        <x:f>'Data &amp; Reporting'!D23</x:f>
        <x:v>Auto</x:v>
      </x:c>
      <x:c r="E23" s="2" t="str">
        <x:v>Data &amp; Reporting</x:v>
      </x:c>
      <x:c r="F23" s="56" t="str">
        <x:f>'Data &amp; Reporting'!E23</x:f>
        <x:v>DR.AU.1.3.C11</x:v>
      </x:c>
      <x:c r="G23" s="14" t="str">
        <x:f>'Data &amp; Reporting'!F23</x:f>
        <x:v>    Document emerging trends, patterns, or concentrations along with supporting data</x:v>
      </x:c>
      <x:c r="H23" s="2" t="str">
        <x:f>IF('Data &amp; Reporting'!G23="","",'Data &amp; Reporting'!G23)</x:f>
      </x:c>
      <x:c r="I23" s="12" t="str">
        <x:f>IF('Data &amp; Reporting'!H23="","",'Data &amp; Reporting'!H23)</x:f>
      </x:c>
      <x:c r="J23" s="12" t="str">
        <x:f>IF('Data &amp; Reporting'!I23="","",'Data &amp; Reporting'!I23)</x:f>
      </x:c>
      <x:c r="K23" s="12" t="str">
        <x:f>IF('Data &amp; Reporting'!J23="","",'Data &amp; Reporting'!J23)</x:f>
      </x:c>
      <x:c r="L23" s="2" t="str">
        <x:f>IF('Data &amp; Reporting'!K23="","",'Data &amp; Reporting'!K23)</x:f>
      </x:c>
      <x:c r="M23" s="2" t="n">
        <x:f>'Data &amp; Reporting'!Q23</x:f>
        <x:v>0</x:v>
      </x:c>
      <x:c r="N23" s="2" t="str">
        <x:f>'Data &amp; Reporting'!L23</x:f>
        <x:v>Open check</x:v>
      </x:c>
      <x:c r="O23" s="2" t="str">
        <x:f>'Data &amp; Reporting'!N23</x:f>
        <x:v>DR.AU.1.3.C11.2026.CY1</x:v>
      </x:c>
      <x:c r="P23" s="2" t="n">
        <x:f>'Data &amp; Reporting'!O23</x:f>
        <x:v>0</x:v>
      </x:c>
      <x:c r="Q23" s="2" t="n">
        <x:f>SUBTOTAL(103,O23)</x:f>
        <x:v>1</x:v>
      </x:c>
      <x:c r="R23" s="2" t="n">
        <x:f>IF(AND(M23=1,OR(Dashboard!$B$7="All",Dashboard!$B$7='Cycles &amp; Guide'!$C$5),OR(Dashboard!$D$7="All",Dashboard!$D$7=B23),OR(Dashboard!$F$7="All",Dashboard!$F$7=C23),OR(Dashboard!$H$7="All",Dashboard!$H$7=D23),OR(Dashboard!$K$7="All",Dashboard!$K$7=E23)),1,0)</x:f>
        <x:v>0</x:v>
      </x:c>
      <x:c r="S23" s="2" t="n">
        <x:f>IF(R23=1,SUM($R$10:R23),0)</x:f>
        <x:v>0</x:v>
      </x:c>
      <x:c r="T23" s="2" t="str">
        <x:v>Data &amp; Reporting</x:v>
      </x:c>
      <x:c r="U23" s="2" t="n">
        <x:v>23</x:v>
      </x:c>
      <x:c r="V23" s="2" t="n">
        <x:f>IF(AND(M23=1,P23=0,ISNUMBER(J23),J23&lt;TODAY()),1,0)</x:f>
        <x:v>0</x:v>
      </x:c>
      <x:c r="W23" s="2" t="str">
        <x:f>'Data &amp; Reporting'!M23</x:f>
        <x:v>Checklist</x:v>
      </x:c>
    </x:row>
    <x:row r="24" ht="40" customHeight="1">
      <x:c r="A24" s="3" t="str">
        <x:f>HYPERLINK("#'Data &amp; Reporting'!A24","Open")</x:f>
        <x:v>Open</x:v>
      </x:c>
      <x:c r="B24" s="2" t="str">
        <x:f>'Data &amp; Reporting'!B24</x:f>
        <x:v>Cycle 1</x:v>
      </x:c>
      <x:c r="C24" s="2" t="str">
        <x:f>'Data &amp; Reporting'!C24</x:f>
        <x:v>Phase 1</x:v>
      </x:c>
      <x:c r="D24" s="2" t="str">
        <x:f>'Data &amp; Reporting'!D24</x:f>
        <x:v>Auto</x:v>
      </x:c>
      <x:c r="E24" s="2" t="str">
        <x:v>Data &amp; Reporting</x:v>
      </x:c>
      <x:c r="F24" s="56" t="str">
        <x:f>'Data &amp; Reporting'!E24</x:f>
        <x:v>DR.AU.1.3.C12</x:v>
      </x:c>
      <x:c r="G24" s="14" t="str">
        <x:f>'Data &amp; Reporting'!F24</x:f>
        <x:v>    Document any severe spikes in volume along with context (as needed)</x:v>
      </x:c>
      <x:c r="H24" s="2" t="str">
        <x:f>IF('Data &amp; Reporting'!G24="","",'Data &amp; Reporting'!G24)</x:f>
      </x:c>
      <x:c r="I24" s="12" t="str">
        <x:f>IF('Data &amp; Reporting'!H24="","",'Data &amp; Reporting'!H24)</x:f>
      </x:c>
      <x:c r="J24" s="12" t="str">
        <x:f>IF('Data &amp; Reporting'!I24="","",'Data &amp; Reporting'!I24)</x:f>
      </x:c>
      <x:c r="K24" s="12" t="str">
        <x:f>IF('Data &amp; Reporting'!J24="","",'Data &amp; Reporting'!J24)</x:f>
      </x:c>
      <x:c r="L24" s="2" t="str">
        <x:f>IF('Data &amp; Reporting'!K24="","",'Data &amp; Reporting'!K24)</x:f>
      </x:c>
      <x:c r="M24" s="2" t="n">
        <x:f>'Data &amp; Reporting'!Q24</x:f>
        <x:v>0</x:v>
      </x:c>
      <x:c r="N24" s="2" t="str">
        <x:f>'Data &amp; Reporting'!L24</x:f>
        <x:v>Open check</x:v>
      </x:c>
      <x:c r="O24" s="2" t="str">
        <x:f>'Data &amp; Reporting'!N24</x:f>
        <x:v>DR.AU.1.3.C12.2026.CY1</x:v>
      </x:c>
      <x:c r="P24" s="2" t="n">
        <x:f>'Data &amp; Reporting'!O24</x:f>
        <x:v>0</x:v>
      </x:c>
      <x:c r="Q24" s="2" t="n">
        <x:f>SUBTOTAL(103,O24)</x:f>
        <x:v>1</x:v>
      </x:c>
      <x:c r="R24" s="2" t="n">
        <x:f>IF(AND(M24=1,OR(Dashboard!$B$7="All",Dashboard!$B$7='Cycles &amp; Guide'!$C$5),OR(Dashboard!$D$7="All",Dashboard!$D$7=B24),OR(Dashboard!$F$7="All",Dashboard!$F$7=C24),OR(Dashboard!$H$7="All",Dashboard!$H$7=D24),OR(Dashboard!$K$7="All",Dashboard!$K$7=E24)),1,0)</x:f>
        <x:v>0</x:v>
      </x:c>
      <x:c r="S24" s="2" t="n">
        <x:f>IF(R24=1,SUM($R$10:R24),0)</x:f>
        <x:v>0</x:v>
      </x:c>
      <x:c r="T24" s="2" t="str">
        <x:v>Data &amp; Reporting</x:v>
      </x:c>
      <x:c r="U24" s="2" t="n">
        <x:v>24</x:v>
      </x:c>
      <x:c r="V24" s="2" t="n">
        <x:f>IF(AND(M24=1,P24=0,ISNUMBER(J24),J24&lt;TODAY()),1,0)</x:f>
        <x:v>0</x:v>
      </x:c>
      <x:c r="W24" s="2" t="str">
        <x:f>'Data &amp; Reporting'!M24</x:f>
        <x:v>Checklist</x:v>
      </x:c>
    </x:row>
    <x:row r="25" ht="40" customHeight="1">
      <x:c r="A25" s="3" t="str">
        <x:f>HYPERLINK("#'Data &amp; Reporting'!A25","Open")</x:f>
        <x:v>Open</x:v>
      </x:c>
      <x:c r="B25" s="2" t="str">
        <x:f>'Data &amp; Reporting'!B25</x:f>
        <x:v>Cycle 1</x:v>
      </x:c>
      <x:c r="C25" s="2" t="str">
        <x:f>'Data &amp; Reporting'!C25</x:f>
        <x:v>Phase 1</x:v>
      </x:c>
      <x:c r="D25" s="2" t="str">
        <x:f>'Data &amp; Reporting'!D25</x:f>
        <x:v>Auto</x:v>
      </x:c>
      <x:c r="E25" s="2" t="str">
        <x:v>Data &amp; Reporting</x:v>
      </x:c>
      <x:c r="F25" s="56" t="str">
        <x:f>'Data &amp; Reporting'!E25</x:f>
        <x:v>DR.AU.1.3.C13</x:v>
      </x:c>
      <x:c r="G25" s="14" t="str">
        <x:f>'Data &amp; Reporting'!F25</x:f>
        <x:v>    Document clear summary explaining how the data connects to the potential topic</x:v>
      </x:c>
      <x:c r="H25" s="2" t="str">
        <x:f>IF('Data &amp; Reporting'!G25="","",'Data &amp; Reporting'!G25)</x:f>
      </x:c>
      <x:c r="I25" s="12" t="str">
        <x:f>IF('Data &amp; Reporting'!H25="","",'Data &amp; Reporting'!H25)</x:f>
      </x:c>
      <x:c r="J25" s="12" t="str">
        <x:f>IF('Data &amp; Reporting'!I25="","",'Data &amp; Reporting'!I25)</x:f>
      </x:c>
      <x:c r="K25" s="12" t="str">
        <x:f>IF('Data &amp; Reporting'!J25="","",'Data &amp; Reporting'!J25)</x:f>
      </x:c>
      <x:c r="L25" s="2" t="str">
        <x:f>IF('Data &amp; Reporting'!K25="","",'Data &amp; Reporting'!K25)</x:f>
      </x:c>
      <x:c r="M25" s="2" t="n">
        <x:f>'Data &amp; Reporting'!Q25</x:f>
        <x:v>0</x:v>
      </x:c>
      <x:c r="N25" s="2" t="str">
        <x:f>'Data &amp; Reporting'!L25</x:f>
        <x:v>Open check</x:v>
      </x:c>
      <x:c r="O25" s="2" t="str">
        <x:f>'Data &amp; Reporting'!N25</x:f>
        <x:v>DR.AU.1.3.C13.2026.CY1</x:v>
      </x:c>
      <x:c r="P25" s="2" t="n">
        <x:f>'Data &amp; Reporting'!O25</x:f>
        <x:v>0</x:v>
      </x:c>
      <x:c r="Q25" s="2" t="n">
        <x:f>SUBTOTAL(103,O25)</x:f>
        <x:v>1</x:v>
      </x:c>
      <x:c r="R25" s="2" t="n">
        <x:f>IF(AND(M25=1,OR(Dashboard!$B$7="All",Dashboard!$B$7='Cycles &amp; Guide'!$C$5),OR(Dashboard!$D$7="All",Dashboard!$D$7=B25),OR(Dashboard!$F$7="All",Dashboard!$F$7=C25),OR(Dashboard!$H$7="All",Dashboard!$H$7=D25),OR(Dashboard!$K$7="All",Dashboard!$K$7=E25)),1,0)</x:f>
        <x:v>0</x:v>
      </x:c>
      <x:c r="S25" s="2" t="n">
        <x:f>IF(R25=1,SUM($R$10:R25),0)</x:f>
        <x:v>0</x:v>
      </x:c>
      <x:c r="T25" s="2" t="str">
        <x:v>Data &amp; Reporting</x:v>
      </x:c>
      <x:c r="U25" s="2" t="n">
        <x:v>25</x:v>
      </x:c>
      <x:c r="V25" s="2" t="n">
        <x:f>IF(AND(M25=1,P25=0,ISNUMBER(J25),J25&lt;TODAY()),1,0)</x:f>
        <x:v>0</x:v>
      </x:c>
      <x:c r="W25" s="2" t="str">
        <x:f>'Data &amp; Reporting'!M25</x:f>
        <x:v>Checklist</x:v>
      </x:c>
    </x:row>
    <x:row r="26" ht="40" customHeight="1">
      <x:c r="A26" s="3" t="str">
        <x:f>HYPERLINK("#'Data &amp; Reporting'!A26","Open")</x:f>
        <x:v>Open</x:v>
      </x:c>
      <x:c r="B26" s="2" t="str">
        <x:f>'Data &amp; Reporting'!B26</x:f>
        <x:v>Cycle 1</x:v>
      </x:c>
      <x:c r="C26" s="2" t="str">
        <x:f>'Data &amp; Reporting'!C26</x:f>
        <x:v>Phase 2</x:v>
      </x:c>
      <x:c r="D26" s="2" t="str">
        <x:f>'Data &amp; Reporting'!D26</x:f>
        <x:v>Auto</x:v>
      </x:c>
      <x:c r="E26" s="2" t="str">
        <x:v>Data &amp; Reporting</x:v>
      </x:c>
      <x:c r="F26" s="56" t="str">
        <x:f>'Data &amp; Reporting'!E26</x:f>
        <x:v>DR.AU.2.1</x:v>
      </x:c>
      <x:c r="G26" s="14" t="str">
        <x:f>'Data &amp; Reporting'!F26</x:f>
        <x:v>Ensure data is clean, structured, and usable without manipulation needed</x:v>
      </x:c>
      <x:c r="H26" s="2" t="str">
        <x:f>IF('Data &amp; Reporting'!G26="","",'Data &amp; Reporting'!G26)</x:f>
      </x:c>
      <x:c r="I26" s="12" t="str">
        <x:f>IF('Data &amp; Reporting'!H26="","",'Data &amp; Reporting'!H26)</x:f>
      </x:c>
      <x:c r="J26" s="12" t="n">
        <x:f>IF('Data &amp; Reporting'!I26="","",'Data &amp; Reporting'!I26)</x:f>
        <x:v>46112</x:v>
      </x:c>
      <x:c r="K26" s="12" t="str">
        <x:f>IF('Data &amp; Reporting'!J26="","",'Data &amp; Reporting'!J26)</x:f>
      </x:c>
      <x:c r="L26" s="2" t="str">
        <x:f>IF('Data &amp; Reporting'!K26="","",'Data &amp; Reporting'!K26)</x:f>
      </x:c>
      <x:c r="M26" s="2" t="n">
        <x:f>'Data &amp; Reporting'!Q26</x:f>
        <x:v>1</x:v>
      </x:c>
      <x:c r="N26" s="2" t="str">
        <x:f>'Data &amp; Reporting'!L26</x:f>
        <x:v>Not started</x:v>
      </x:c>
      <x:c r="O26" s="2" t="str">
        <x:f>'Data &amp; Reporting'!N26</x:f>
        <x:v>DR.AU.2.1.2026.CY1</x:v>
      </x:c>
      <x:c r="P26" s="2" t="n">
        <x:f>'Data &amp; Reporting'!O26</x:f>
        <x:v>0</x:v>
      </x:c>
      <x:c r="Q26" s="2" t="n">
        <x:f>SUBTOTAL(103,O26)</x:f>
        <x:v>1</x:v>
      </x:c>
      <x:c r="R26" s="2" t="n">
        <x:f>IF(AND(M26=1,OR(Dashboard!$B$7="All",Dashboard!$B$7='Cycles &amp; Guide'!$C$5),OR(Dashboard!$D$7="All",Dashboard!$D$7=B26),OR(Dashboard!$F$7="All",Dashboard!$F$7=C26),OR(Dashboard!$H$7="All",Dashboard!$H$7=D26),OR(Dashboard!$K$7="All",Dashboard!$K$7=E26)),1,0)</x:f>
        <x:v>1</x:v>
      </x:c>
      <x:c r="S26" s="2" t="n">
        <x:f>IF(R26=1,SUM($R$10:R26),0)</x:f>
        <x:v>4</x:v>
      </x:c>
      <x:c r="T26" s="2" t="str">
        <x:v>Data &amp; Reporting</x:v>
      </x:c>
      <x:c r="U26" s="2" t="n">
        <x:v>26</x:v>
      </x:c>
      <x:c r="V26" s="2" t="n">
        <x:f>IF(AND(M26=1,P26=0,ISNUMBER(J26),J26&lt;TODAY()),1,0)</x:f>
        <x:v>1</x:v>
      </x:c>
      <x:c r="W26" s="2" t="str">
        <x:f>'Data &amp; Reporting'!M26</x:f>
        <x:v>Task</x:v>
      </x:c>
    </x:row>
    <x:row r="27" ht="40" customHeight="1">
      <x:c r="A27" s="3" t="str">
        <x:f>HYPERLINK("#'Data &amp; Reporting'!A27","Open")</x:f>
        <x:v>Open</x:v>
      </x:c>
      <x:c r="B27" s="2" t="str">
        <x:f>'Data &amp; Reporting'!B27</x:f>
        <x:v>Cycle 1</x:v>
      </x:c>
      <x:c r="C27" s="2" t="str">
        <x:f>'Data &amp; Reporting'!C27</x:f>
        <x:v>Phase 2</x:v>
      </x:c>
      <x:c r="D27" s="2" t="str">
        <x:f>'Data &amp; Reporting'!D27</x:f>
        <x:v>Auto</x:v>
      </x:c>
      <x:c r="E27" s="2" t="str">
        <x:v>Data &amp; Reporting</x:v>
      </x:c>
      <x:c r="F27" s="56" t="str">
        <x:f>'Data &amp; Reporting'!E27</x:f>
        <x:v>DR.AU.2.2</x:v>
      </x:c>
      <x:c r="G27" s="14" t="str">
        <x:f>'Data &amp; Reporting'!F27</x:f>
        <x:v>Clearly document rationale for each topic recommendation within the SharePoint list</x:v>
      </x:c>
      <x:c r="H27" s="2" t="str">
        <x:f>IF('Data &amp; Reporting'!G27="","",'Data &amp; Reporting'!G27)</x:f>
      </x:c>
      <x:c r="I27" s="12" t="str">
        <x:f>IF('Data &amp; Reporting'!H27="","",'Data &amp; Reporting'!H27)</x:f>
      </x:c>
      <x:c r="J27" s="12" t="n">
        <x:f>IF('Data &amp; Reporting'!I27="","",'Data &amp; Reporting'!I27)</x:f>
        <x:v>46112</x:v>
      </x:c>
      <x:c r="K27" s="12" t="str">
        <x:f>IF('Data &amp; Reporting'!J27="","",'Data &amp; Reporting'!J27)</x:f>
      </x:c>
      <x:c r="L27" s="2" t="str">
        <x:f>IF('Data &amp; Reporting'!K27="","",'Data &amp; Reporting'!K27)</x:f>
      </x:c>
      <x:c r="M27" s="2" t="n">
        <x:f>'Data &amp; Reporting'!Q27</x:f>
        <x:v>1</x:v>
      </x:c>
      <x:c r="N27" s="2" t="str">
        <x:f>'Data &amp; Reporting'!L27</x:f>
        <x:v>Not started</x:v>
      </x:c>
      <x:c r="O27" s="2" t="str">
        <x:f>'Data &amp; Reporting'!N27</x:f>
        <x:v>DR.AU.2.2.2026.CY1</x:v>
      </x:c>
      <x:c r="P27" s="2" t="n">
        <x:f>'Data &amp; Reporting'!O27</x:f>
        <x:v>0</x:v>
      </x:c>
      <x:c r="Q27" s="2" t="n">
        <x:f>SUBTOTAL(103,O27)</x:f>
        <x:v>1</x:v>
      </x:c>
      <x:c r="R27" s="2" t="n">
        <x:f>IF(AND(M27=1,OR(Dashboard!$B$7="All",Dashboard!$B$7='Cycles &amp; Guide'!$C$5),OR(Dashboard!$D$7="All",Dashboard!$D$7=B27),OR(Dashboard!$F$7="All",Dashboard!$F$7=C27),OR(Dashboard!$H$7="All",Dashboard!$H$7=D27),OR(Dashboard!$K$7="All",Dashboard!$K$7=E27)),1,0)</x:f>
        <x:v>1</x:v>
      </x:c>
      <x:c r="S27" s="2" t="n">
        <x:f>IF(R27=1,SUM($R$10:R27),0)</x:f>
        <x:v>5</x:v>
      </x:c>
      <x:c r="T27" s="2" t="str">
        <x:v>Data &amp; Reporting</x:v>
      </x:c>
      <x:c r="U27" s="2" t="n">
        <x:v>27</x:v>
      </x:c>
      <x:c r="V27" s="2" t="n">
        <x:f>IF(AND(M27=1,P27=0,ISNUMBER(J27),J27&lt;TODAY()),1,0)</x:f>
        <x:v>1</x:v>
      </x:c>
      <x:c r="W27" s="2" t="str">
        <x:f>'Data &amp; Reporting'!M27</x:f>
        <x:v>Task</x:v>
      </x:c>
    </x:row>
    <x:row r="28" ht="40" customHeight="1">
      <x:c r="A28" s="3" t="str">
        <x:f>HYPERLINK("#'Data &amp; Reporting'!A28","Open")</x:f>
        <x:v>Open</x:v>
      </x:c>
      <x:c r="B28" s="2" t="str">
        <x:f>'Data &amp; Reporting'!B28</x:f>
        <x:v>Cycle 1</x:v>
      </x:c>
      <x:c r="C28" s="2" t="str">
        <x:f>'Data &amp; Reporting'!C28</x:f>
        <x:v>Phase 2</x:v>
      </x:c>
      <x:c r="D28" s="2" t="str">
        <x:f>'Data &amp; Reporting'!D28</x:f>
        <x:v>Auto</x:v>
      </x:c>
      <x:c r="E28" s="2" t="str">
        <x:v>Data &amp; Reporting</x:v>
      </x:c>
      <x:c r="F28" s="56" t="str">
        <x:f>'Data &amp; Reporting'!E28</x:f>
        <x:v>DR.AU.2.3</x:v>
      </x:c>
      <x:c r="G28" s="14" t="str">
        <x:f>'Data &amp; Reporting'!F28</x:f>
        <x:v>Verify topic is eligible for RCA and does not conflict with Attorney Client Privilege</x:v>
      </x:c>
      <x:c r="H28" s="2" t="str">
        <x:f>IF('Data &amp; Reporting'!G28="","",'Data &amp; Reporting'!G28)</x:f>
      </x:c>
      <x:c r="I28" s="12" t="str">
        <x:f>IF('Data &amp; Reporting'!H28="","",'Data &amp; Reporting'!H28)</x:f>
      </x:c>
      <x:c r="J28" s="12" t="n">
        <x:f>IF('Data &amp; Reporting'!I28="","",'Data &amp; Reporting'!I28)</x:f>
        <x:v>46112</x:v>
      </x:c>
      <x:c r="K28" s="12" t="str">
        <x:f>IF('Data &amp; Reporting'!J28="","",'Data &amp; Reporting'!J28)</x:f>
      </x:c>
      <x:c r="L28" s="2" t="str">
        <x:f>IF('Data &amp; Reporting'!K28="","",'Data &amp; Reporting'!K28)</x:f>
      </x:c>
      <x:c r="M28" s="2" t="n">
        <x:f>'Data &amp; Reporting'!Q28</x:f>
        <x:v>1</x:v>
      </x:c>
      <x:c r="N28" s="2" t="str">
        <x:f>'Data &amp; Reporting'!L28</x:f>
        <x:v>Not started</x:v>
      </x:c>
      <x:c r="O28" s="2" t="str">
        <x:f>'Data &amp; Reporting'!N28</x:f>
        <x:v>DR.AU.2.3.2026.CY1</x:v>
      </x:c>
      <x:c r="P28" s="2" t="n">
        <x:f>'Data &amp; Reporting'!O28</x:f>
        <x:v>0</x:v>
      </x:c>
      <x:c r="Q28" s="2" t="n">
        <x:f>SUBTOTAL(103,O28)</x:f>
        <x:v>1</x:v>
      </x:c>
      <x:c r="R28" s="2" t="n">
        <x:f>IF(AND(M28=1,OR(Dashboard!$B$7="All",Dashboard!$B$7='Cycles &amp; Guide'!$C$5),OR(Dashboard!$D$7="All",Dashboard!$D$7=B28),OR(Dashboard!$F$7="All",Dashboard!$F$7=C28),OR(Dashboard!$H$7="All",Dashboard!$H$7=D28),OR(Dashboard!$K$7="All",Dashboard!$K$7=E28)),1,0)</x:f>
        <x:v>1</x:v>
      </x:c>
      <x:c r="S28" s="2" t="n">
        <x:f>IF(R28=1,SUM($R$10:R28),0)</x:f>
        <x:v>6</x:v>
      </x:c>
      <x:c r="T28" s="2" t="str">
        <x:v>Data &amp; Reporting</x:v>
      </x:c>
      <x:c r="U28" s="2" t="n">
        <x:v>28</x:v>
      </x:c>
      <x:c r="V28" s="2" t="n">
        <x:f>IF(AND(M28=1,P28=0,ISNUMBER(J28),J28&lt;TODAY()),1,0)</x:f>
        <x:v>1</x:v>
      </x:c>
      <x:c r="W28" s="2" t="str">
        <x:f>'Data &amp; Reporting'!M28</x:f>
        <x:v>Task</x:v>
      </x:c>
    </x:row>
    <x:row r="29" ht="40" customHeight="1">
      <x:c r="A29" s="3" t="str">
        <x:f>HYPERLINK("#'Data &amp; Reporting'!A29","Open")</x:f>
        <x:v>Open</x:v>
      </x:c>
      <x:c r="B29" s="2" t="str">
        <x:f>'Data &amp; Reporting'!B29</x:f>
        <x:v>Cycle 1</x:v>
      </x:c>
      <x:c r="C29" s="2" t="str">
        <x:f>'Data &amp; Reporting'!C29</x:f>
        <x:v>Phase 2</x:v>
      </x:c>
      <x:c r="D29" s="2" t="str">
        <x:f>'Data &amp; Reporting'!D29</x:f>
        <x:v>Auto</x:v>
      </x:c>
      <x:c r="E29" s="2" t="str">
        <x:v>Data &amp; Reporting</x:v>
      </x:c>
      <x:c r="F29" s="56" t="str">
        <x:f>'Data &amp; Reporting'!E29</x:f>
        <x:v>DR.AU.2.4</x:v>
      </x:c>
      <x:c r="G29" s="14" t="str">
        <x:f>'Data &amp; Reporting'!F29</x:f>
        <x:v>Ensure data is free of errors and anomalies prior to hand-off to Research</x:v>
      </x:c>
      <x:c r="H29" s="2" t="str">
        <x:f>IF('Data &amp; Reporting'!G29="","",'Data &amp; Reporting'!G29)</x:f>
      </x:c>
      <x:c r="I29" s="12" t="str">
        <x:f>IF('Data &amp; Reporting'!H29="","",'Data &amp; Reporting'!H29)</x:f>
      </x:c>
      <x:c r="J29" s="12" t="n">
        <x:f>IF('Data &amp; Reporting'!I29="","",'Data &amp; Reporting'!I29)</x:f>
        <x:v>46112</x:v>
      </x:c>
      <x:c r="K29" s="12" t="str">
        <x:f>IF('Data &amp; Reporting'!J29="","",'Data &amp; Reporting'!J29)</x:f>
      </x:c>
      <x:c r="L29" s="2" t="str">
        <x:f>IF('Data &amp; Reporting'!K29="","",'Data &amp; Reporting'!K29)</x:f>
      </x:c>
      <x:c r="M29" s="2" t="n">
        <x:f>'Data &amp; Reporting'!Q29</x:f>
        <x:v>1</x:v>
      </x:c>
      <x:c r="N29" s="2" t="str">
        <x:f>'Data &amp; Reporting'!L29</x:f>
        <x:v>Not started</x:v>
      </x:c>
      <x:c r="O29" s="2" t="str">
        <x:f>'Data &amp; Reporting'!N29</x:f>
        <x:v>DR.AU.2.4.2026.CY1</x:v>
      </x:c>
      <x:c r="P29" s="2" t="n">
        <x:f>'Data &amp; Reporting'!O29</x:f>
        <x:v>0</x:v>
      </x:c>
      <x:c r="Q29" s="2" t="n">
        <x:f>SUBTOTAL(103,O29)</x:f>
        <x:v>1</x:v>
      </x:c>
      <x:c r="R29" s="2" t="n">
        <x:f>IF(AND(M29=1,OR(Dashboard!$B$7="All",Dashboard!$B$7='Cycles &amp; Guide'!$C$5),OR(Dashboard!$D$7="All",Dashboard!$D$7=B29),OR(Dashboard!$F$7="All",Dashboard!$F$7=C29),OR(Dashboard!$H$7="All",Dashboard!$H$7=D29),OR(Dashboard!$K$7="All",Dashboard!$K$7=E29)),1,0)</x:f>
        <x:v>1</x:v>
      </x:c>
      <x:c r="S29" s="2" t="n">
        <x:f>IF(R29=1,SUM($R$10:R29),0)</x:f>
        <x:v>7</x:v>
      </x:c>
      <x:c r="T29" s="2" t="str">
        <x:v>Data &amp; Reporting</x:v>
      </x:c>
      <x:c r="U29" s="2" t="n">
        <x:v>29</x:v>
      </x:c>
      <x:c r="V29" s="2" t="n">
        <x:f>IF(AND(M29=1,P29=0,ISNUMBER(J29),J29&lt;TODAY()),1,0)</x:f>
        <x:v>1</x:v>
      </x:c>
      <x:c r="W29" s="2" t="str">
        <x:f>'Data &amp; Reporting'!M29</x:f>
        <x:v>Task</x:v>
      </x:c>
    </x:row>
    <x:row r="30" ht="40" customHeight="1">
      <x:c r="A30" s="3" t="str">
        <x:f>HYPERLINK("#'Data &amp; Reporting'!A30","Open")</x:f>
        <x:v>Open</x:v>
      </x:c>
      <x:c r="B30" s="2" t="str">
        <x:f>'Data &amp; Reporting'!B30</x:f>
        <x:v>Cycle 1</x:v>
      </x:c>
      <x:c r="C30" s="2" t="str">
        <x:f>'Data &amp; Reporting'!C30</x:f>
        <x:v>Phase 2</x:v>
      </x:c>
      <x:c r="D30" s="2" t="str">
        <x:f>'Data &amp; Reporting'!D30</x:f>
        <x:v>Auto</x:v>
      </x:c>
      <x:c r="E30" s="2" t="str">
        <x:v>Data &amp; Reporting</x:v>
      </x:c>
      <x:c r="F30" s="56" t="str">
        <x:f>'Data &amp; Reporting'!E30</x:f>
        <x:v>DR.AU.2.5</x:v>
      </x:c>
      <x:c r="G30" s="14" t="str">
        <x:f>'Data &amp; Reporting'!F30</x:f>
        <x:v>Ensure topic is not a duplicate from a previous Cycle</x:v>
      </x:c>
      <x:c r="H30" s="2" t="str">
        <x:f>IF('Data &amp; Reporting'!G30="","",'Data &amp; Reporting'!G30)</x:f>
      </x:c>
      <x:c r="I30" s="12" t="str">
        <x:f>IF('Data &amp; Reporting'!H30="","",'Data &amp; Reporting'!H30)</x:f>
      </x:c>
      <x:c r="J30" s="12" t="n">
        <x:f>IF('Data &amp; Reporting'!I30="","",'Data &amp; Reporting'!I30)</x:f>
        <x:v>46112</x:v>
      </x:c>
      <x:c r="K30" s="12" t="str">
        <x:f>IF('Data &amp; Reporting'!J30="","",'Data &amp; Reporting'!J30)</x:f>
      </x:c>
      <x:c r="L30" s="2" t="str">
        <x:f>IF('Data &amp; Reporting'!K30="","",'Data &amp; Reporting'!K30)</x:f>
      </x:c>
      <x:c r="M30" s="2" t="n">
        <x:f>'Data &amp; Reporting'!Q30</x:f>
        <x:v>1</x:v>
      </x:c>
      <x:c r="N30" s="2" t="str">
        <x:f>'Data &amp; Reporting'!L30</x:f>
        <x:v>Not started</x:v>
      </x:c>
      <x:c r="O30" s="2" t="str">
        <x:f>'Data &amp; Reporting'!N30</x:f>
        <x:v>DR.AU.2.5.2026.CY1</x:v>
      </x:c>
      <x:c r="P30" s="2" t="n">
        <x:f>'Data &amp; Reporting'!O30</x:f>
        <x:v>0</x:v>
      </x:c>
      <x:c r="Q30" s="2" t="n">
        <x:f>SUBTOTAL(103,O30)</x:f>
        <x:v>1</x:v>
      </x:c>
      <x:c r="R30" s="2" t="n">
        <x:f>IF(AND(M30=1,OR(Dashboard!$B$7="All",Dashboard!$B$7='Cycles &amp; Guide'!$C$5),OR(Dashboard!$D$7="All",Dashboard!$D$7=B30),OR(Dashboard!$F$7="All",Dashboard!$F$7=C30),OR(Dashboard!$H$7="All",Dashboard!$H$7=D30),OR(Dashboard!$K$7="All",Dashboard!$K$7=E30)),1,0)</x:f>
        <x:v>1</x:v>
      </x:c>
      <x:c r="S30" s="2" t="n">
        <x:f>IF(R30=1,SUM($R$10:R30),0)</x:f>
        <x:v>8</x:v>
      </x:c>
      <x:c r="T30" s="2" t="str">
        <x:v>Data &amp; Reporting</x:v>
      </x:c>
      <x:c r="U30" s="2" t="n">
        <x:v>30</x:v>
      </x:c>
      <x:c r="V30" s="2" t="n">
        <x:f>IF(AND(M30=1,P30=0,ISNUMBER(J30),J30&lt;TODAY()),1,0)</x:f>
        <x:v>1</x:v>
      </x:c>
      <x:c r="W30" s="2" t="str">
        <x:f>'Data &amp; Reporting'!M30</x:f>
        <x:v>Task</x:v>
      </x:c>
    </x:row>
    <x:row r="31" ht="40" customHeight="1">
      <x:c r="A31" s="3" t="str">
        <x:f>HYPERLINK("#'Data &amp; Reporting'!A31","Open")</x:f>
        <x:v>Open</x:v>
      </x:c>
      <x:c r="B31" s="2" t="str">
        <x:f>'Data &amp; Reporting'!B31</x:f>
        <x:v>Cycle 1</x:v>
      </x:c>
      <x:c r="C31" s="2" t="str">
        <x:f>'Data &amp; Reporting'!C31</x:f>
        <x:v>Phase 2</x:v>
      </x:c>
      <x:c r="D31" s="2" t="str">
        <x:f>'Data &amp; Reporting'!D31</x:f>
        <x:v>Auto</x:v>
      </x:c>
      <x:c r="E31" s="2" t="str">
        <x:v>Data &amp; Reporting</x:v>
      </x:c>
      <x:c r="F31" s="56" t="str">
        <x:f>'Data &amp; Reporting'!E31</x:f>
        <x:v>DR.AU.2.6</x:v>
      </x:c>
      <x:c r="G31" s="14" t="str">
        <x:f>'Data &amp; Reporting'!F31</x:f>
        <x:v>Document clear distinctions between facts, assumptions, and hypotheses within the data package</x:v>
      </x:c>
      <x:c r="H31" s="2" t="str">
        <x:f>IF('Data &amp; Reporting'!G31="","",'Data &amp; Reporting'!G31)</x:f>
      </x:c>
      <x:c r="I31" s="12" t="str">
        <x:f>IF('Data &amp; Reporting'!H31="","",'Data &amp; Reporting'!H31)</x:f>
      </x:c>
      <x:c r="J31" s="12" t="n">
        <x:f>IF('Data &amp; Reporting'!I31="","",'Data &amp; Reporting'!I31)</x:f>
        <x:v>46112</x:v>
      </x:c>
      <x:c r="K31" s="12" t="str">
        <x:f>IF('Data &amp; Reporting'!J31="","",'Data &amp; Reporting'!J31)</x:f>
      </x:c>
      <x:c r="L31" s="2" t="str">
        <x:f>IF('Data &amp; Reporting'!K31="","",'Data &amp; Reporting'!K31)</x:f>
      </x:c>
      <x:c r="M31" s="2" t="n">
        <x:f>'Data &amp; Reporting'!Q31</x:f>
        <x:v>1</x:v>
      </x:c>
      <x:c r="N31" s="2" t="str">
        <x:f>'Data &amp; Reporting'!L31</x:f>
        <x:v>Not started</x:v>
      </x:c>
      <x:c r="O31" s="2" t="str">
        <x:f>'Data &amp; Reporting'!N31</x:f>
        <x:v>DR.AU.2.6.2026.CY1</x:v>
      </x:c>
      <x:c r="P31" s="2" t="n">
        <x:f>'Data &amp; Reporting'!O31</x:f>
        <x:v>0</x:v>
      </x:c>
      <x:c r="Q31" s="2" t="n">
        <x:f>SUBTOTAL(103,O31)</x:f>
        <x:v>1</x:v>
      </x:c>
      <x:c r="R31" s="2" t="n">
        <x:f>IF(AND(M31=1,OR(Dashboard!$B$7="All",Dashboard!$B$7='Cycles &amp; Guide'!$C$5),OR(Dashboard!$D$7="All",Dashboard!$D$7=B31),OR(Dashboard!$F$7="All",Dashboard!$F$7=C31),OR(Dashboard!$H$7="All",Dashboard!$H$7=D31),OR(Dashboard!$K$7="All",Dashboard!$K$7=E31)),1,0)</x:f>
        <x:v>1</x:v>
      </x:c>
      <x:c r="S31" s="2" t="n">
        <x:f>IF(R31=1,SUM($R$10:R31),0)</x:f>
        <x:v>9</x:v>
      </x:c>
      <x:c r="T31" s="2" t="str">
        <x:v>Data &amp; Reporting</x:v>
      </x:c>
      <x:c r="U31" s="2" t="n">
        <x:v>31</x:v>
      </x:c>
      <x:c r="V31" s="2" t="n">
        <x:f>IF(AND(M31=1,P31=0,ISNUMBER(J31),J31&lt;TODAY()),1,0)</x:f>
        <x:v>1</x:v>
      </x:c>
      <x:c r="W31" s="2" t="str">
        <x:f>'Data &amp; Reporting'!M31</x:f>
        <x:v>Task</x:v>
      </x:c>
    </x:row>
    <x:row r="32" ht="40" customHeight="1">
      <x:c r="A32" s="3" t="str">
        <x:f>HYPERLINK("#'Data &amp; Reporting'!A32","Open")</x:f>
        <x:v>Open</x:v>
      </x:c>
      <x:c r="B32" s="2" t="str">
        <x:f>'Data &amp; Reporting'!B32</x:f>
        <x:v>Cycle 1</x:v>
      </x:c>
      <x:c r="C32" s="2" t="str">
        <x:f>'Data &amp; Reporting'!C32</x:f>
        <x:v>Phase 3</x:v>
      </x:c>
      <x:c r="D32" s="2" t="str">
        <x:f>'Data &amp; Reporting'!D32</x:f>
        <x:v>Auto</x:v>
      </x:c>
      <x:c r="E32" s="2" t="str">
        <x:v>Data &amp; Reporting</x:v>
      </x:c>
      <x:c r="F32" s="56" t="str">
        <x:f>'Data &amp; Reporting'!E32</x:f>
        <x:v>DR.AU.3.1</x:v>
      </x:c>
      <x:c r="G32" s="14" t="str">
        <x:f>'Data &amp; Reporting'!F32</x:f>
        <x:v>Clearly document rationale for each topic recommendation within the SharePoint list item</x:v>
      </x:c>
      <x:c r="H32" s="2" t="str">
        <x:f>IF('Data &amp; Reporting'!G32="","",'Data &amp; Reporting'!G32)</x:f>
      </x:c>
      <x:c r="I32" s="12" t="str">
        <x:f>IF('Data &amp; Reporting'!H32="","",'Data &amp; Reporting'!H32)</x:f>
      </x:c>
      <x:c r="J32" s="12" t="n">
        <x:f>IF('Data &amp; Reporting'!I32="","",'Data &amp; Reporting'!I32)</x:f>
        <x:v>46112</x:v>
      </x:c>
      <x:c r="K32" s="12" t="str">
        <x:f>IF('Data &amp; Reporting'!J32="","",'Data &amp; Reporting'!J32)</x:f>
      </x:c>
      <x:c r="L32" s="2" t="str">
        <x:f>IF('Data &amp; Reporting'!K32="","",'Data &amp; Reporting'!K32)</x:f>
      </x:c>
      <x:c r="M32" s="2" t="n">
        <x:f>'Data &amp; Reporting'!Q32</x:f>
        <x:v>1</x:v>
      </x:c>
      <x:c r="N32" s="2" t="str">
        <x:f>'Data &amp; Reporting'!L32</x:f>
        <x:v>Not started</x:v>
      </x:c>
      <x:c r="O32" s="2" t="str">
        <x:f>'Data &amp; Reporting'!N32</x:f>
        <x:v>DR.AU.3.1.2026.CY1</x:v>
      </x:c>
      <x:c r="P32" s="2" t="n">
        <x:f>'Data &amp; Reporting'!O32</x:f>
        <x:v>0</x:v>
      </x:c>
      <x:c r="Q32" s="2" t="n">
        <x:f>SUBTOTAL(103,O32)</x:f>
        <x:v>1</x:v>
      </x:c>
      <x:c r="R32" s="2" t="n">
        <x:f>IF(AND(M32=1,OR(Dashboard!$B$7="All",Dashboard!$B$7='Cycles &amp; Guide'!$C$5),OR(Dashboard!$D$7="All",Dashboard!$D$7=B32),OR(Dashboard!$F$7="All",Dashboard!$F$7=C32),OR(Dashboard!$H$7="All",Dashboard!$H$7=D32),OR(Dashboard!$K$7="All",Dashboard!$K$7=E32)),1,0)</x:f>
        <x:v>1</x:v>
      </x:c>
      <x:c r="S32" s="2" t="n">
        <x:f>IF(R32=1,SUM($R$10:R32),0)</x:f>
        <x:v>10</x:v>
      </x:c>
      <x:c r="T32" s="2" t="str">
        <x:v>Data &amp; Reporting</x:v>
      </x:c>
      <x:c r="U32" s="2" t="n">
        <x:v>32</x:v>
      </x:c>
      <x:c r="V32" s="2" t="n">
        <x:f>IF(AND(M32=1,P32=0,ISNUMBER(J32),J32&lt;TODAY()),1,0)</x:f>
        <x:v>1</x:v>
      </x:c>
      <x:c r="W32" s="2" t="str">
        <x:f>'Data &amp; Reporting'!M32</x:f>
        <x:v>Task</x:v>
      </x:c>
    </x:row>
    <x:row r="33" ht="40" customHeight="1">
      <x:c r="A33" s="3" t="str">
        <x:f>HYPERLINK("#'Data &amp; Reporting'!A33","Open")</x:f>
        <x:v>Open</x:v>
      </x:c>
      <x:c r="B33" s="2" t="str">
        <x:f>'Data &amp; Reporting'!B33</x:f>
        <x:v>Cycle 1</x:v>
      </x:c>
      <x:c r="C33" s="2" t="str">
        <x:f>'Data &amp; Reporting'!C33</x:f>
        <x:v>Phase 3</x:v>
      </x:c>
      <x:c r="D33" s="2" t="str">
        <x:f>'Data &amp; Reporting'!D33</x:f>
        <x:v>Auto</x:v>
      </x:c>
      <x:c r="E33" s="2" t="str">
        <x:v>Data &amp; Reporting</x:v>
      </x:c>
      <x:c r="F33" s="56" t="str">
        <x:f>'Data &amp; Reporting'!E33</x:f>
        <x:v>DR.AU.3.2</x:v>
      </x:c>
      <x:c r="G33" s="14" t="str">
        <x:f>'Data &amp; Reporting'!F33</x:f>
        <x:v>Attach the data package for each topic recommendation within the SharePoint list item</x:v>
      </x:c>
      <x:c r="H33" s="2" t="str">
        <x:f>IF('Data &amp; Reporting'!G33="","",'Data &amp; Reporting'!G33)</x:f>
      </x:c>
      <x:c r="I33" s="12" t="str">
        <x:f>IF('Data &amp; Reporting'!H33="","",'Data &amp; Reporting'!H33)</x:f>
      </x:c>
      <x:c r="J33" s="12" t="n">
        <x:f>IF('Data &amp; Reporting'!I33="","",'Data &amp; Reporting'!I33)</x:f>
        <x:v>46112</x:v>
      </x:c>
      <x:c r="K33" s="12" t="str">
        <x:f>IF('Data &amp; Reporting'!J33="","",'Data &amp; Reporting'!J33)</x:f>
      </x:c>
      <x:c r="L33" s="2" t="str">
        <x:f>IF('Data &amp; Reporting'!K33="","",'Data &amp; Reporting'!K33)</x:f>
      </x:c>
      <x:c r="M33" s="2" t="n">
        <x:f>'Data &amp; Reporting'!Q33</x:f>
        <x:v>1</x:v>
      </x:c>
      <x:c r="N33" s="2" t="str">
        <x:f>'Data &amp; Reporting'!L33</x:f>
        <x:v>Not started</x:v>
      </x:c>
      <x:c r="O33" s="2" t="str">
        <x:f>'Data &amp; Reporting'!N33</x:f>
        <x:v>DR.AU.3.2.2026.CY1</x:v>
      </x:c>
      <x:c r="P33" s="2" t="n">
        <x:f>'Data &amp; Reporting'!O33</x:f>
        <x:v>0</x:v>
      </x:c>
      <x:c r="Q33" s="2" t="n">
        <x:f>SUBTOTAL(103,O33)</x:f>
        <x:v>1</x:v>
      </x:c>
      <x:c r="R33" s="2" t="n">
        <x:f>IF(AND(M33=1,OR(Dashboard!$B$7="All",Dashboard!$B$7='Cycles &amp; Guide'!$C$5),OR(Dashboard!$D$7="All",Dashboard!$D$7=B33),OR(Dashboard!$F$7="All",Dashboard!$F$7=C33),OR(Dashboard!$H$7="All",Dashboard!$H$7=D33),OR(Dashboard!$K$7="All",Dashboard!$K$7=E33)),1,0)</x:f>
        <x:v>1</x:v>
      </x:c>
      <x:c r="S33" s="2" t="n">
        <x:f>IF(R33=1,SUM($R$10:R33),0)</x:f>
        <x:v>11</x:v>
      </x:c>
      <x:c r="T33" s="2" t="str">
        <x:v>Data &amp; Reporting</x:v>
      </x:c>
      <x:c r="U33" s="2" t="n">
        <x:v>33</x:v>
      </x:c>
      <x:c r="V33" s="2" t="n">
        <x:f>IF(AND(M33=1,P33=0,ISNUMBER(J33),J33&lt;TODAY()),1,0)</x:f>
        <x:v>1</x:v>
      </x:c>
      <x:c r="W33" s="2" t="str">
        <x:f>'Data &amp; Reporting'!M33</x:f>
        <x:v>Task</x:v>
      </x:c>
    </x:row>
    <x:row r="34" ht="40" customHeight="1">
      <x:c r="A34" s="3" t="str">
        <x:f>HYPERLINK("#'Data &amp; Reporting'!A34","Open")</x:f>
        <x:v>Open</x:v>
      </x:c>
      <x:c r="B34" s="2" t="str">
        <x:f>'Data &amp; Reporting'!B34</x:f>
        <x:v>Cycle 1</x:v>
      </x:c>
      <x:c r="C34" s="2" t="str">
        <x:f>'Data &amp; Reporting'!C34</x:f>
        <x:v>Phase 3</x:v>
      </x:c>
      <x:c r="D34" s="2" t="str">
        <x:f>'Data &amp; Reporting'!D34</x:f>
        <x:v>Auto</x:v>
      </x:c>
      <x:c r="E34" s="2" t="str">
        <x:v>Data &amp; Reporting</x:v>
      </x:c>
      <x:c r="F34" s="56" t="str">
        <x:f>'Data &amp; Reporting'!E34</x:f>
        <x:v>DR.AU.3.3</x:v>
      </x:c>
      <x:c r="G34" s="14" t="str">
        <x:f>'Data &amp; Reporting'!F34</x:f>
        <x:v>Confirm data privileges have been granted, ensuring each pillar can access</x:v>
      </x:c>
      <x:c r="H34" s="2" t="str">
        <x:f>IF('Data &amp; Reporting'!G34="","",'Data &amp; Reporting'!G34)</x:f>
      </x:c>
      <x:c r="I34" s="12" t="str">
        <x:f>IF('Data &amp; Reporting'!H34="","",'Data &amp; Reporting'!H34)</x:f>
      </x:c>
      <x:c r="J34" s="12" t="n">
        <x:f>IF('Data &amp; Reporting'!I34="","",'Data &amp; Reporting'!I34)</x:f>
        <x:v>46112</x:v>
      </x:c>
      <x:c r="K34" s="12" t="str">
        <x:f>IF('Data &amp; Reporting'!J34="","",'Data &amp; Reporting'!J34)</x:f>
      </x:c>
      <x:c r="L34" s="2" t="str">
        <x:f>IF('Data &amp; Reporting'!K34="","",'Data &amp; Reporting'!K34)</x:f>
      </x:c>
      <x:c r="M34" s="2" t="n">
        <x:f>'Data &amp; Reporting'!Q34</x:f>
        <x:v>1</x:v>
      </x:c>
      <x:c r="N34" s="2" t="str">
        <x:f>'Data &amp; Reporting'!L34</x:f>
        <x:v>Not started</x:v>
      </x:c>
      <x:c r="O34" s="2" t="str">
        <x:f>'Data &amp; Reporting'!N34</x:f>
        <x:v>DR.AU.3.3.2026.CY1</x:v>
      </x:c>
      <x:c r="P34" s="2" t="n">
        <x:f>'Data &amp; Reporting'!O34</x:f>
        <x:v>0</x:v>
      </x:c>
      <x:c r="Q34" s="2" t="n">
        <x:f>SUBTOTAL(103,O34)</x:f>
        <x:v>1</x:v>
      </x:c>
      <x:c r="R34" s="2" t="n">
        <x:f>IF(AND(M34=1,OR(Dashboard!$B$7="All",Dashboard!$B$7='Cycles &amp; Guide'!$C$5),OR(Dashboard!$D$7="All",Dashboard!$D$7=B34),OR(Dashboard!$F$7="All",Dashboard!$F$7=C34),OR(Dashboard!$H$7="All",Dashboard!$H$7=D34),OR(Dashboard!$K$7="All",Dashboard!$K$7=E34)),1,0)</x:f>
        <x:v>1</x:v>
      </x:c>
      <x:c r="S34" s="2" t="n">
        <x:f>IF(R34=1,SUM($R$10:R34),0)</x:f>
        <x:v>12</x:v>
      </x:c>
      <x:c r="T34" s="2" t="str">
        <x:v>Data &amp; Reporting</x:v>
      </x:c>
      <x:c r="U34" s="2" t="n">
        <x:v>34</x:v>
      </x:c>
      <x:c r="V34" s="2" t="n">
        <x:f>IF(AND(M34=1,P34=0,ISNUMBER(J34),J34&lt;TODAY()),1,0)</x:f>
        <x:v>1</x:v>
      </x:c>
      <x:c r="W34" s="2" t="str">
        <x:f>'Data &amp; Reporting'!M34</x:f>
        <x:v>Task</x:v>
      </x:c>
    </x:row>
    <x:row r="35" ht="40" customHeight="1">
      <x:c r="A35" s="3" t="str">
        <x:f>HYPERLINK("#'Data &amp; Reporting'!A35","Open")</x:f>
        <x:v>Open</x:v>
      </x:c>
      <x:c r="B35" s="2" t="str">
        <x:f>'Data &amp; Reporting'!B35</x:f>
        <x:v>Cycle 1</x:v>
      </x:c>
      <x:c r="C35" s="2" t="str">
        <x:f>'Data &amp; Reporting'!C35</x:f>
        <x:v>Phase 3</x:v>
      </x:c>
      <x:c r="D35" s="2" t="str">
        <x:f>'Data &amp; Reporting'!D35</x:f>
        <x:v>Auto</x:v>
      </x:c>
      <x:c r="E35" s="2" t="str">
        <x:v>Data &amp; Reporting</x:v>
      </x:c>
      <x:c r="F35" s="56" t="str">
        <x:f>'Data &amp; Reporting'!E35</x:f>
        <x:v>DR.AU.3.4</x:v>
      </x:c>
      <x:c r="G35" s="14" t="str">
        <x:f>'Data &amp; Reporting'!F35</x:f>
        <x:v>Ensure Power Automate notifications were correctly triggered within Microsoft Teams</x:v>
      </x:c>
      <x:c r="H35" s="2" t="str">
        <x:f>IF('Data &amp; Reporting'!G35="","",'Data &amp; Reporting'!G35)</x:f>
      </x:c>
      <x:c r="I35" s="12" t="str">
        <x:f>IF('Data &amp; Reporting'!H35="","",'Data &amp; Reporting'!H35)</x:f>
      </x:c>
      <x:c r="J35" s="12" t="n">
        <x:f>IF('Data &amp; Reporting'!I35="","",'Data &amp; Reporting'!I35)</x:f>
        <x:v>46112</x:v>
      </x:c>
      <x:c r="K35" s="12" t="str">
        <x:f>IF('Data &amp; Reporting'!J35="","",'Data &amp; Reporting'!J35)</x:f>
      </x:c>
      <x:c r="L35" s="2" t="str">
        <x:f>IF('Data &amp; Reporting'!K35="","",'Data &amp; Reporting'!K35)</x:f>
      </x:c>
      <x:c r="M35" s="2" t="n">
        <x:f>'Data &amp; Reporting'!Q35</x:f>
        <x:v>1</x:v>
      </x:c>
      <x:c r="N35" s="2" t="str">
        <x:f>'Data &amp; Reporting'!L35</x:f>
        <x:v>Not started</x:v>
      </x:c>
      <x:c r="O35" s="2" t="str">
        <x:f>'Data &amp; Reporting'!N35</x:f>
        <x:v>DR.AU.3.4.2026.CY1</x:v>
      </x:c>
      <x:c r="P35" s="2" t="n">
        <x:f>'Data &amp; Reporting'!O35</x:f>
        <x:v>0</x:v>
      </x:c>
      <x:c r="Q35" s="2" t="n">
        <x:f>SUBTOTAL(103,O35)</x:f>
        <x:v>1</x:v>
      </x:c>
      <x:c r="R35" s="2" t="n">
        <x:f>IF(AND(M35=1,OR(Dashboard!$B$7="All",Dashboard!$B$7='Cycles &amp; Guide'!$C$5),OR(Dashboard!$D$7="All",Dashboard!$D$7=B35),OR(Dashboard!$F$7="All",Dashboard!$F$7=C35),OR(Dashboard!$H$7="All",Dashboard!$H$7=D35),OR(Dashboard!$K$7="All",Dashboard!$K$7=E35)),1,0)</x:f>
        <x:v>1</x:v>
      </x:c>
      <x:c r="S35" s="2" t="n">
        <x:f>IF(R35=1,SUM($R$10:R35),0)</x:f>
        <x:v>13</x:v>
      </x:c>
      <x:c r="T35" s="2" t="str">
        <x:v>Data &amp; Reporting</x:v>
      </x:c>
      <x:c r="U35" s="2" t="n">
        <x:v>35</x:v>
      </x:c>
      <x:c r="V35" s="2" t="n">
        <x:f>IF(AND(M35=1,P35=0,ISNUMBER(J35),J35&lt;TODAY()),1,0)</x:f>
        <x:v>1</x:v>
      </x:c>
      <x:c r="W35" s="2" t="str">
        <x:f>'Data &amp; Reporting'!M35</x:f>
        <x:v>Task</x:v>
      </x:c>
    </x:row>
    <x:row r="36" ht="40" customHeight="1">
      <x:c r="A36" s="3" t="str">
        <x:f>HYPERLINK("#'Data &amp; Reporting'!A36","Open")</x:f>
        <x:v>Open</x:v>
      </x:c>
      <x:c r="B36" s="2" t="str">
        <x:f>'Data &amp; Reporting'!B36</x:f>
        <x:v>Cycle 1</x:v>
      </x:c>
      <x:c r="C36" s="2" t="str">
        <x:f>'Data &amp; Reporting'!C36</x:f>
        <x:v>Phase 1</x:v>
      </x:c>
      <x:c r="D36" s="2" t="str">
        <x:f>'Data &amp; Reporting'!D36</x:f>
        <x:v>Cards</x:v>
      </x:c>
      <x:c r="E36" s="2" t="str">
        <x:v>Data &amp; Reporting</x:v>
      </x:c>
      <x:c r="F36" s="56" t="str">
        <x:f>'Data &amp; Reporting'!E36</x:f>
        <x:v>DR.CA.1.1</x:v>
      </x:c>
      <x:c r="G36" s="14" t="str">
        <x:f>'Data &amp; Reporting'!F36</x:f>
        <x:v>Review data sources 3 weeks prior to Cycle start (Complaints, Gen AI, Loudspeaker, NPS, etc.)</x:v>
      </x:c>
      <x:c r="H36" s="2" t="str">
        <x:f>IF('Data &amp; Reporting'!G36="","",'Data &amp; Reporting'!G36)</x:f>
      </x:c>
      <x:c r="I36" s="12" t="str">
        <x:f>IF('Data &amp; Reporting'!H36="","",'Data &amp; Reporting'!H36)</x:f>
      </x:c>
      <x:c r="J36" s="12" t="n">
        <x:f>IF('Data &amp; Reporting'!I36="","",'Data &amp; Reporting'!I36)</x:f>
        <x:v>46002</x:v>
      </x:c>
      <x:c r="K36" s="12" t="str">
        <x:f>IF('Data &amp; Reporting'!J36="","",'Data &amp; Reporting'!J36)</x:f>
      </x:c>
      <x:c r="L36" s="2" t="str">
        <x:f>IF('Data &amp; Reporting'!K36="","",'Data &amp; Reporting'!K36)</x:f>
      </x:c>
      <x:c r="M36" s="2" t="n">
        <x:f>'Data &amp; Reporting'!Q36</x:f>
        <x:v>1</x:v>
      </x:c>
      <x:c r="N36" s="2" t="str">
        <x:f>'Data &amp; Reporting'!L36</x:f>
        <x:v>Not started</x:v>
      </x:c>
      <x:c r="O36" s="2" t="str">
        <x:f>'Data &amp; Reporting'!N36</x:f>
        <x:v>DR.CA.1.1.2026.CY1</x:v>
      </x:c>
      <x:c r="P36" s="2" t="n">
        <x:f>'Data &amp; Reporting'!O36</x:f>
        <x:v>0</x:v>
      </x:c>
      <x:c r="Q36" s="2" t="n">
        <x:f>SUBTOTAL(103,O36)</x:f>
        <x:v>1</x:v>
      </x:c>
      <x:c r="R36" s="2" t="n">
        <x:f>IF(AND(M36=1,OR(Dashboard!$B$7="All",Dashboard!$B$7='Cycles &amp; Guide'!$C$5),OR(Dashboard!$D$7="All",Dashboard!$D$7=B36),OR(Dashboard!$F$7="All",Dashboard!$F$7=C36),OR(Dashboard!$H$7="All",Dashboard!$H$7=D36),OR(Dashboard!$K$7="All",Dashboard!$K$7=E36)),1,0)</x:f>
        <x:v>1</x:v>
      </x:c>
      <x:c r="S36" s="2" t="n">
        <x:f>IF(R36=1,SUM($R$10:R36),0)</x:f>
        <x:v>14</x:v>
      </x:c>
      <x:c r="T36" s="2" t="str">
        <x:v>Data &amp; Reporting</x:v>
      </x:c>
      <x:c r="U36" s="2" t="n">
        <x:v>36</x:v>
      </x:c>
      <x:c r="V36" s="2" t="n">
        <x:f>IF(AND(M36=1,P36=0,ISNUMBER(J36),J36&lt;TODAY()),1,0)</x:f>
        <x:v>1</x:v>
      </x:c>
      <x:c r="W36" s="2" t="str">
        <x:f>'Data &amp; Reporting'!M36</x:f>
        <x:v>Task</x:v>
      </x:c>
    </x:row>
    <x:row r="37" ht="40" customHeight="1">
      <x:c r="A37" s="3" t="str">
        <x:f>HYPERLINK("#'Data &amp; Reporting'!A37","Open")</x:f>
        <x:v>Open</x:v>
      </x:c>
      <x:c r="B37" s="2" t="str">
        <x:f>'Data &amp; Reporting'!B37</x:f>
        <x:v>Cycle 1</x:v>
      </x:c>
      <x:c r="C37" s="2" t="str">
        <x:f>'Data &amp; Reporting'!C37</x:f>
        <x:v>Phase 1</x:v>
      </x:c>
      <x:c r="D37" s="2" t="str">
        <x:f>'Data &amp; Reporting'!D37</x:f>
        <x:v>Cards</x:v>
      </x:c>
      <x:c r="E37" s="2" t="str">
        <x:v>Data &amp; Reporting</x:v>
      </x:c>
      <x:c r="F37" s="56" t="str">
        <x:f>'Data &amp; Reporting'!E37</x:f>
        <x:v>DR.CA.1.2</x:v>
      </x:c>
      <x:c r="G37" s="14" t="str">
        <x:f>'Data &amp; Reporting'!F37</x:f>
        <x:v>Identify two potential topics for the upcoming Cycle</x:v>
      </x:c>
      <x:c r="H37" s="2" t="str">
        <x:f>IF('Data &amp; Reporting'!G37="","",'Data &amp; Reporting'!G37)</x:f>
      </x:c>
      <x:c r="I37" s="12" t="str">
        <x:f>IF('Data &amp; Reporting'!H37="","",'Data &amp; Reporting'!H37)</x:f>
      </x:c>
      <x:c r="J37" s="12" t="n">
        <x:f>IF('Data &amp; Reporting'!I37="","",'Data &amp; Reporting'!I37)</x:f>
        <x:v>46112</x:v>
      </x:c>
      <x:c r="K37" s="12" t="str">
        <x:f>IF('Data &amp; Reporting'!J37="","",'Data &amp; Reporting'!J37)</x:f>
      </x:c>
      <x:c r="L37" s="2" t="str">
        <x:f>IF('Data &amp; Reporting'!K37="","",'Data &amp; Reporting'!K37)</x:f>
      </x:c>
      <x:c r="M37" s="2" t="n">
        <x:f>'Data &amp; Reporting'!Q37</x:f>
        <x:v>1</x:v>
      </x:c>
      <x:c r="N37" s="2" t="str">
        <x:f>'Data &amp; Reporting'!L37</x:f>
        <x:v>Not started</x:v>
      </x:c>
      <x:c r="O37" s="2" t="str">
        <x:f>'Data &amp; Reporting'!N37</x:f>
        <x:v>DR.CA.1.2.2026.CY1</x:v>
      </x:c>
      <x:c r="P37" s="2" t="n">
        <x:f>'Data &amp; Reporting'!O37</x:f>
        <x:v>0</x:v>
      </x:c>
      <x:c r="Q37" s="2" t="n">
        <x:f>SUBTOTAL(103,O37)</x:f>
        <x:v>1</x:v>
      </x:c>
      <x:c r="R37" s="2" t="n">
        <x:f>IF(AND(M37=1,OR(Dashboard!$B$7="All",Dashboard!$B$7='Cycles &amp; Guide'!$C$5),OR(Dashboard!$D$7="All",Dashboard!$D$7=B37),OR(Dashboard!$F$7="All",Dashboard!$F$7=C37),OR(Dashboard!$H$7="All",Dashboard!$H$7=D37),OR(Dashboard!$K$7="All",Dashboard!$K$7=E37)),1,0)</x:f>
        <x:v>1</x:v>
      </x:c>
      <x:c r="S37" s="2" t="n">
        <x:f>IF(R37=1,SUM($R$10:R37),0)</x:f>
        <x:v>15</x:v>
      </x:c>
      <x:c r="T37" s="2" t="str">
        <x:v>Data &amp; Reporting</x:v>
      </x:c>
      <x:c r="U37" s="2" t="n">
        <x:v>37</x:v>
      </x:c>
      <x:c r="V37" s="2" t="n">
        <x:f>IF(AND(M37=1,P37=0,ISNUMBER(J37),J37&lt;TODAY()),1,0)</x:f>
        <x:v>1</x:v>
      </x:c>
      <x:c r="W37" s="2" t="str">
        <x:f>'Data &amp; Reporting'!M37</x:f>
        <x:v>Task</x:v>
      </x:c>
    </x:row>
    <x:row r="38" ht="40" customHeight="1">
      <x:c r="A38" s="3" t="str">
        <x:f>HYPERLINK("#'Data &amp; Reporting'!A38","Open")</x:f>
        <x:v>Open</x:v>
      </x:c>
      <x:c r="B38" s="2" t="str">
        <x:f>'Data &amp; Reporting'!B38</x:f>
        <x:v>Cycle 1</x:v>
      </x:c>
      <x:c r="C38" s="2" t="str">
        <x:f>'Data &amp; Reporting'!C38</x:f>
        <x:v>Phase 1</x:v>
      </x:c>
      <x:c r="D38" s="2" t="str">
        <x:f>'Data &amp; Reporting'!D38</x:f>
        <x:v>Cards</x:v>
      </x:c>
      <x:c r="E38" s="2" t="str">
        <x:v>Data &amp; Reporting</x:v>
      </x:c>
      <x:c r="F38" s="56" t="str">
        <x:f>'Data &amp; Reporting'!E38</x:f>
        <x:v>DR.CA.1.3</x:v>
      </x:c>
      <x:c r="G38" s="14" t="str">
        <x:f>'Data &amp; Reporting'!F38</x:f>
        <x:v>Extract data for both potential topics, ensuring all checklist items below are included/completed</x:v>
      </x:c>
      <x:c r="H38" s="2" t="str">
        <x:f>IF('Data &amp; Reporting'!G38="","",'Data &amp; Reporting'!G38)</x:f>
      </x:c>
      <x:c r="I38" s="12" t="str">
        <x:f>IF('Data &amp; Reporting'!H38="","",'Data &amp; Reporting'!H38)</x:f>
      </x:c>
      <x:c r="J38" s="12" t="n">
        <x:f>IF('Data &amp; Reporting'!I38="","",'Data &amp; Reporting'!I38)</x:f>
        <x:v>46112</x:v>
      </x:c>
      <x:c r="K38" s="12" t="str">
        <x:f>IF('Data &amp; Reporting'!J38="","",'Data &amp; Reporting'!J38)</x:f>
      </x:c>
      <x:c r="L38" s="2" t="str">
        <x:f>IF('Data &amp; Reporting'!K38="","",'Data &amp; Reporting'!K38)</x:f>
      </x:c>
      <x:c r="M38" s="2" t="n">
        <x:f>'Data &amp; Reporting'!Q38</x:f>
        <x:v>1</x:v>
      </x:c>
      <x:c r="N38" s="2" t="str">
        <x:f>'Data &amp; Reporting'!L38</x:f>
        <x:v>Not started</x:v>
      </x:c>
      <x:c r="O38" s="2" t="str">
        <x:f>'Data &amp; Reporting'!N38</x:f>
        <x:v>DR.CA.1.3.2026.CY1</x:v>
      </x:c>
      <x:c r="P38" s="2" t="n">
        <x:f>'Data &amp; Reporting'!O38</x:f>
        <x:v>0</x:v>
      </x:c>
      <x:c r="Q38" s="2" t="n">
        <x:f>SUBTOTAL(103,O38)</x:f>
        <x:v>1</x:v>
      </x:c>
      <x:c r="R38" s="2" t="n">
        <x:f>IF(AND(M38=1,OR(Dashboard!$B$7="All",Dashboard!$B$7='Cycles &amp; Guide'!$C$5),OR(Dashboard!$D$7="All",Dashboard!$D$7=B38),OR(Dashboard!$F$7="All",Dashboard!$F$7=C38),OR(Dashboard!$H$7="All",Dashboard!$H$7=D38),OR(Dashboard!$K$7="All",Dashboard!$K$7=E38)),1,0)</x:f>
        <x:v>1</x:v>
      </x:c>
      <x:c r="S38" s="2" t="n">
        <x:f>IF(R38=1,SUM($R$10:R38),0)</x:f>
        <x:v>16</x:v>
      </x:c>
      <x:c r="T38" s="2" t="str">
        <x:v>Data &amp; Reporting</x:v>
      </x:c>
      <x:c r="U38" s="2" t="n">
        <x:v>38</x:v>
      </x:c>
      <x:c r="V38" s="2" t="n">
        <x:f>IF(AND(M38=1,P38=0,ISNUMBER(J38),J38&lt;TODAY()),1,0)</x:f>
        <x:v>1</x:v>
      </x:c>
      <x:c r="W38" s="2" t="str">
        <x:f>'Data &amp; Reporting'!M38</x:f>
        <x:v>Task</x:v>
      </x:c>
    </x:row>
    <x:row r="39" ht="40" customHeight="1">
      <x:c r="A39" s="3" t="str">
        <x:f>HYPERLINK("#'Data &amp; Reporting'!A39","Open")</x:f>
        <x:v>Open</x:v>
      </x:c>
      <x:c r="B39" s="2" t="str">
        <x:f>'Data &amp; Reporting'!B39</x:f>
        <x:v>Cycle 1</x:v>
      </x:c>
      <x:c r="C39" s="2" t="str">
        <x:f>'Data &amp; Reporting'!C39</x:f>
        <x:v>Phase 1</x:v>
      </x:c>
      <x:c r="D39" s="2" t="str">
        <x:f>'Data &amp; Reporting'!D39</x:f>
        <x:v>Cards</x:v>
      </x:c>
      <x:c r="E39" s="2" t="str">
        <x:v>Data &amp; Reporting</x:v>
      </x:c>
      <x:c r="F39" s="56" t="str">
        <x:f>'Data &amp; Reporting'!E39</x:f>
        <x:v>DR.CA.1.3.C01</x:v>
      </x:c>
      <x:c r="G39" s="14" t="str">
        <x:f>'Data &amp; Reporting'!F39</x:f>
        <x:v>    Document date range extracted</x:v>
      </x:c>
      <x:c r="H39" s="2" t="str">
        <x:f>IF('Data &amp; Reporting'!G39="","",'Data &amp; Reporting'!G39)</x:f>
      </x:c>
      <x:c r="I39" s="12" t="str">
        <x:f>IF('Data &amp; Reporting'!H39="","",'Data &amp; Reporting'!H39)</x:f>
      </x:c>
      <x:c r="J39" s="12" t="str">
        <x:f>IF('Data &amp; Reporting'!I39="","",'Data &amp; Reporting'!I39)</x:f>
      </x:c>
      <x:c r="K39" s="12" t="str">
        <x:f>IF('Data &amp; Reporting'!J39="","",'Data &amp; Reporting'!J39)</x:f>
      </x:c>
      <x:c r="L39" s="2" t="str">
        <x:f>IF('Data &amp; Reporting'!K39="","",'Data &amp; Reporting'!K39)</x:f>
      </x:c>
      <x:c r="M39" s="2" t="n">
        <x:f>'Data &amp; Reporting'!Q39</x:f>
        <x:v>0</x:v>
      </x:c>
      <x:c r="N39" s="2" t="str">
        <x:f>'Data &amp; Reporting'!L39</x:f>
        <x:v>Open check</x:v>
      </x:c>
      <x:c r="O39" s="2" t="str">
        <x:f>'Data &amp; Reporting'!N39</x:f>
        <x:v>DR.CA.1.3.C01.2026.CY1</x:v>
      </x:c>
      <x:c r="P39" s="2" t="n">
        <x:f>'Data &amp; Reporting'!O39</x:f>
        <x:v>0</x:v>
      </x:c>
      <x:c r="Q39" s="2" t="n">
        <x:f>SUBTOTAL(103,O39)</x:f>
        <x:v>1</x:v>
      </x:c>
      <x:c r="R39" s="2" t="n">
        <x:f>IF(AND(M39=1,OR(Dashboard!$B$7="All",Dashboard!$B$7='Cycles &amp; Guide'!$C$5),OR(Dashboard!$D$7="All",Dashboard!$D$7=B39),OR(Dashboard!$F$7="All",Dashboard!$F$7=C39),OR(Dashboard!$H$7="All",Dashboard!$H$7=D39),OR(Dashboard!$K$7="All",Dashboard!$K$7=E39)),1,0)</x:f>
        <x:v>0</x:v>
      </x:c>
      <x:c r="S39" s="2" t="n">
        <x:f>IF(R39=1,SUM($R$10:R39),0)</x:f>
        <x:v>0</x:v>
      </x:c>
      <x:c r="T39" s="2" t="str">
        <x:v>Data &amp; Reporting</x:v>
      </x:c>
      <x:c r="U39" s="2" t="n">
        <x:v>39</x:v>
      </x:c>
      <x:c r="V39" s="2" t="n">
        <x:f>IF(AND(M39=1,P39=0,ISNUMBER(J39),J39&lt;TODAY()),1,0)</x:f>
        <x:v>0</x:v>
      </x:c>
      <x:c r="W39" s="2" t="str">
        <x:f>'Data &amp; Reporting'!M39</x:f>
        <x:v>Checklist</x:v>
      </x:c>
    </x:row>
    <x:row r="40" ht="40" customHeight="1">
      <x:c r="A40" s="3" t="str">
        <x:f>HYPERLINK("#'Data &amp; Reporting'!A40","Open")</x:f>
        <x:v>Open</x:v>
      </x:c>
      <x:c r="B40" s="2" t="str">
        <x:f>'Data &amp; Reporting'!B40</x:f>
        <x:v>Cycle 1</x:v>
      </x:c>
      <x:c r="C40" s="2" t="str">
        <x:f>'Data &amp; Reporting'!C40</x:f>
        <x:v>Phase 1</x:v>
      </x:c>
      <x:c r="D40" s="2" t="str">
        <x:f>'Data &amp; Reporting'!D40</x:f>
        <x:v>Cards</x:v>
      </x:c>
      <x:c r="E40" s="2" t="str">
        <x:v>Data &amp; Reporting</x:v>
      </x:c>
      <x:c r="F40" s="56" t="str">
        <x:f>'Data &amp; Reporting'!E40</x:f>
        <x:v>DR.CA.1.3.C02</x:v>
      </x:c>
      <x:c r="G40" s="14" t="str">
        <x:f>'Data &amp; Reporting'!F40</x:f>
        <x:v>    Document date of data pull</x:v>
      </x:c>
      <x:c r="H40" s="2" t="str">
        <x:f>IF('Data &amp; Reporting'!G40="","",'Data &amp; Reporting'!G40)</x:f>
      </x:c>
      <x:c r="I40" s="12" t="str">
        <x:f>IF('Data &amp; Reporting'!H40="","",'Data &amp; Reporting'!H40)</x:f>
      </x:c>
      <x:c r="J40" s="12" t="str">
        <x:f>IF('Data &amp; Reporting'!I40="","",'Data &amp; Reporting'!I40)</x:f>
      </x:c>
      <x:c r="K40" s="12" t="str">
        <x:f>IF('Data &amp; Reporting'!J40="","",'Data &amp; Reporting'!J40)</x:f>
      </x:c>
      <x:c r="L40" s="2" t="str">
        <x:f>IF('Data &amp; Reporting'!K40="","",'Data &amp; Reporting'!K40)</x:f>
      </x:c>
      <x:c r="M40" s="2" t="n">
        <x:f>'Data &amp; Reporting'!Q40</x:f>
        <x:v>0</x:v>
      </x:c>
      <x:c r="N40" s="2" t="str">
        <x:f>'Data &amp; Reporting'!L40</x:f>
        <x:v>Open check</x:v>
      </x:c>
      <x:c r="O40" s="2" t="str">
        <x:f>'Data &amp; Reporting'!N40</x:f>
        <x:v>DR.CA.1.3.C02.2026.CY1</x:v>
      </x:c>
      <x:c r="P40" s="2" t="n">
        <x:f>'Data &amp; Reporting'!O40</x:f>
        <x:v>0</x:v>
      </x:c>
      <x:c r="Q40" s="2" t="n">
        <x:f>SUBTOTAL(103,O40)</x:f>
        <x:v>1</x:v>
      </x:c>
      <x:c r="R40" s="2" t="n">
        <x:f>IF(AND(M40=1,OR(Dashboard!$B$7="All",Dashboard!$B$7='Cycles &amp; Guide'!$C$5),OR(Dashboard!$D$7="All",Dashboard!$D$7=B40),OR(Dashboard!$F$7="All",Dashboard!$F$7=C40),OR(Dashboard!$H$7="All",Dashboard!$H$7=D40),OR(Dashboard!$K$7="All",Dashboard!$K$7=E40)),1,0)</x:f>
        <x:v>0</x:v>
      </x:c>
      <x:c r="S40" s="2" t="n">
        <x:f>IF(R40=1,SUM($R$10:R40),0)</x:f>
        <x:v>0</x:v>
      </x:c>
      <x:c r="T40" s="2" t="str">
        <x:v>Data &amp; Reporting</x:v>
      </x:c>
      <x:c r="U40" s="2" t="n">
        <x:v>40</x:v>
      </x:c>
      <x:c r="V40" s="2" t="n">
        <x:f>IF(AND(M40=1,P40=0,ISNUMBER(J40),J40&lt;TODAY()),1,0)</x:f>
        <x:v>0</x:v>
      </x:c>
      <x:c r="W40" s="2" t="str">
        <x:f>'Data &amp; Reporting'!M40</x:f>
        <x:v>Checklist</x:v>
      </x:c>
    </x:row>
    <x:row r="41" ht="40" customHeight="1">
      <x:c r="A41" s="3" t="str">
        <x:f>HYPERLINK("#'Data &amp; Reporting'!A41","Open")</x:f>
        <x:v>Open</x:v>
      </x:c>
      <x:c r="B41" s="2" t="str">
        <x:f>'Data &amp; Reporting'!B41</x:f>
        <x:v>Cycle 1</x:v>
      </x:c>
      <x:c r="C41" s="2" t="str">
        <x:f>'Data &amp; Reporting'!C41</x:f>
        <x:v>Phase 1</x:v>
      </x:c>
      <x:c r="D41" s="2" t="str">
        <x:f>'Data &amp; Reporting'!D41</x:f>
        <x:v>Cards</x:v>
      </x:c>
      <x:c r="E41" s="2" t="str">
        <x:v>Data &amp; Reporting</x:v>
      </x:c>
      <x:c r="F41" s="56" t="str">
        <x:f>'Data &amp; Reporting'!E41</x:f>
        <x:v>DR.CA.1.3.C03</x:v>
      </x:c>
      <x:c r="G41" s="14" t="str">
        <x:f>'Data &amp; Reporting'!F41</x:f>
        <x:v>    Document population details</x:v>
      </x:c>
      <x:c r="H41" s="2" t="str">
        <x:f>IF('Data &amp; Reporting'!G41="","",'Data &amp; Reporting'!G41)</x:f>
      </x:c>
      <x:c r="I41" s="12" t="str">
        <x:f>IF('Data &amp; Reporting'!H41="","",'Data &amp; Reporting'!H41)</x:f>
      </x:c>
      <x:c r="J41" s="12" t="str">
        <x:f>IF('Data &amp; Reporting'!I41="","",'Data &amp; Reporting'!I41)</x:f>
      </x:c>
      <x:c r="K41" s="12" t="str">
        <x:f>IF('Data &amp; Reporting'!J41="","",'Data &amp; Reporting'!J41)</x:f>
      </x:c>
      <x:c r="L41" s="2" t="str">
        <x:f>IF('Data &amp; Reporting'!K41="","",'Data &amp; Reporting'!K41)</x:f>
      </x:c>
      <x:c r="M41" s="2" t="n">
        <x:f>'Data &amp; Reporting'!Q41</x:f>
        <x:v>0</x:v>
      </x:c>
      <x:c r="N41" s="2" t="str">
        <x:f>'Data &amp; Reporting'!L41</x:f>
        <x:v>Open check</x:v>
      </x:c>
      <x:c r="O41" s="2" t="str">
        <x:f>'Data &amp; Reporting'!N41</x:f>
        <x:v>DR.CA.1.3.C03.2026.CY1</x:v>
      </x:c>
      <x:c r="P41" s="2" t="n">
        <x:f>'Data &amp; Reporting'!O41</x:f>
        <x:v>0</x:v>
      </x:c>
      <x:c r="Q41" s="2" t="n">
        <x:f>SUBTOTAL(103,O41)</x:f>
        <x:v>1</x:v>
      </x:c>
      <x:c r="R41" s="2" t="n">
        <x:f>IF(AND(M41=1,OR(Dashboard!$B$7="All",Dashboard!$B$7='Cycles &amp; Guide'!$C$5),OR(Dashboard!$D$7="All",Dashboard!$D$7=B41),OR(Dashboard!$F$7="All",Dashboard!$F$7=C41),OR(Dashboard!$H$7="All",Dashboard!$H$7=D41),OR(Dashboard!$K$7="All",Dashboard!$K$7=E41)),1,0)</x:f>
        <x:v>0</x:v>
      </x:c>
      <x:c r="S41" s="2" t="n">
        <x:f>IF(R41=1,SUM($R$10:R41),0)</x:f>
        <x:v>0</x:v>
      </x:c>
      <x:c r="T41" s="2" t="str">
        <x:v>Data &amp; Reporting</x:v>
      </x:c>
      <x:c r="U41" s="2" t="n">
        <x:v>41</x:v>
      </x:c>
      <x:c r="V41" s="2" t="n">
        <x:f>IF(AND(M41=1,P41=0,ISNUMBER(J41),J41&lt;TODAY()),1,0)</x:f>
        <x:v>0</x:v>
      </x:c>
      <x:c r="W41" s="2" t="str">
        <x:f>'Data &amp; Reporting'!M41</x:f>
        <x:v>Checklist</x:v>
      </x:c>
    </x:row>
    <x:row r="42" ht="40" customHeight="1">
      <x:c r="A42" s="3" t="str">
        <x:f>HYPERLINK("#'Data &amp; Reporting'!A42","Open")</x:f>
        <x:v>Open</x:v>
      </x:c>
      <x:c r="B42" s="2" t="str">
        <x:f>'Data &amp; Reporting'!B42</x:f>
        <x:v>Cycle 1</x:v>
      </x:c>
      <x:c r="C42" s="2" t="str">
        <x:f>'Data &amp; Reporting'!C42</x:f>
        <x:v>Phase 1</x:v>
      </x:c>
      <x:c r="D42" s="2" t="str">
        <x:f>'Data &amp; Reporting'!D42</x:f>
        <x:v>Cards</x:v>
      </x:c>
      <x:c r="E42" s="2" t="str">
        <x:v>Data &amp; Reporting</x:v>
      </x:c>
      <x:c r="F42" s="56" t="str">
        <x:f>'Data &amp; Reporting'!E42</x:f>
        <x:v>DR.CA.1.3.C04</x:v>
      </x:c>
      <x:c r="G42" s="14" t="str">
        <x:f>'Data &amp; Reporting'!F42</x:f>
        <x:v>    Validate no data is missing</x:v>
      </x:c>
      <x:c r="H42" s="2" t="str">
        <x:f>IF('Data &amp; Reporting'!G42="","",'Data &amp; Reporting'!G42)</x:f>
      </x:c>
      <x:c r="I42" s="12" t="str">
        <x:f>IF('Data &amp; Reporting'!H42="","",'Data &amp; Reporting'!H42)</x:f>
      </x:c>
      <x:c r="J42" s="12" t="str">
        <x:f>IF('Data &amp; Reporting'!I42="","",'Data &amp; Reporting'!I42)</x:f>
      </x:c>
      <x:c r="K42" s="12" t="str">
        <x:f>IF('Data &amp; Reporting'!J42="","",'Data &amp; Reporting'!J42)</x:f>
      </x:c>
      <x:c r="L42" s="2" t="str">
        <x:f>IF('Data &amp; Reporting'!K42="","",'Data &amp; Reporting'!K42)</x:f>
      </x:c>
      <x:c r="M42" s="2" t="n">
        <x:f>'Data &amp; Reporting'!Q42</x:f>
        <x:v>0</x:v>
      </x:c>
      <x:c r="N42" s="2" t="str">
        <x:f>'Data &amp; Reporting'!L42</x:f>
        <x:v>Open check</x:v>
      </x:c>
      <x:c r="O42" s="2" t="str">
        <x:f>'Data &amp; Reporting'!N42</x:f>
        <x:v>DR.CA.1.3.C04.2026.CY1</x:v>
      </x:c>
      <x:c r="P42" s="2" t="n">
        <x:f>'Data &amp; Reporting'!O42</x:f>
        <x:v>0</x:v>
      </x:c>
      <x:c r="Q42" s="2" t="n">
        <x:f>SUBTOTAL(103,O42)</x:f>
        <x:v>1</x:v>
      </x:c>
      <x:c r="R42" s="2" t="n">
        <x:f>IF(AND(M42=1,OR(Dashboard!$B$7="All",Dashboard!$B$7='Cycles &amp; Guide'!$C$5),OR(Dashboard!$D$7="All",Dashboard!$D$7=B42),OR(Dashboard!$F$7="All",Dashboard!$F$7=C42),OR(Dashboard!$H$7="All",Dashboard!$H$7=D42),OR(Dashboard!$K$7="All",Dashboard!$K$7=E42)),1,0)</x:f>
        <x:v>0</x:v>
      </x:c>
      <x:c r="S42" s="2" t="n">
        <x:f>IF(R42=1,SUM($R$10:R42),0)</x:f>
        <x:v>0</x:v>
      </x:c>
      <x:c r="T42" s="2" t="str">
        <x:v>Data &amp; Reporting</x:v>
      </x:c>
      <x:c r="U42" s="2" t="n">
        <x:v>42</x:v>
      </x:c>
      <x:c r="V42" s="2" t="n">
        <x:f>IF(AND(M42=1,P42=0,ISNUMBER(J42),J42&lt;TODAY()),1,0)</x:f>
        <x:v>0</x:v>
      </x:c>
      <x:c r="W42" s="2" t="str">
        <x:f>'Data &amp; Reporting'!M42</x:f>
        <x:v>Checklist</x:v>
      </x:c>
    </x:row>
    <x:row r="43" ht="40" customHeight="1">
      <x:c r="A43" s="3" t="str">
        <x:f>HYPERLINK("#'Data &amp; Reporting'!A43","Open")</x:f>
        <x:v>Open</x:v>
      </x:c>
      <x:c r="B43" s="2" t="str">
        <x:f>'Data &amp; Reporting'!B43</x:f>
        <x:v>Cycle 1</x:v>
      </x:c>
      <x:c r="C43" s="2" t="str">
        <x:f>'Data &amp; Reporting'!C43</x:f>
        <x:v>Phase 1</x:v>
      </x:c>
      <x:c r="D43" s="2" t="str">
        <x:f>'Data &amp; Reporting'!D43</x:f>
        <x:v>Cards</x:v>
      </x:c>
      <x:c r="E43" s="2" t="str">
        <x:v>Data &amp; Reporting</x:v>
      </x:c>
      <x:c r="F43" s="56" t="str">
        <x:f>'Data &amp; Reporting'!E43</x:f>
        <x:v>DR.CA.1.3.C05</x:v>
      </x:c>
      <x:c r="G43" s="14" t="str">
        <x:f>'Data &amp; Reporting'!F43</x:f>
        <x:v>    Validate accuracy of data</x:v>
      </x:c>
      <x:c r="H43" s="2" t="str">
        <x:f>IF('Data &amp; Reporting'!G43="","",'Data &amp; Reporting'!G43)</x:f>
      </x:c>
      <x:c r="I43" s="12" t="str">
        <x:f>IF('Data &amp; Reporting'!H43="","",'Data &amp; Reporting'!H43)</x:f>
      </x:c>
      <x:c r="J43" s="12" t="str">
        <x:f>IF('Data &amp; Reporting'!I43="","",'Data &amp; Reporting'!I43)</x:f>
      </x:c>
      <x:c r="K43" s="12" t="str">
        <x:f>IF('Data &amp; Reporting'!J43="","",'Data &amp; Reporting'!J43)</x:f>
      </x:c>
      <x:c r="L43" s="2" t="str">
        <x:f>IF('Data &amp; Reporting'!K43="","",'Data &amp; Reporting'!K43)</x:f>
      </x:c>
      <x:c r="M43" s="2" t="n">
        <x:f>'Data &amp; Reporting'!Q43</x:f>
        <x:v>0</x:v>
      </x:c>
      <x:c r="N43" s="2" t="str">
        <x:f>'Data &amp; Reporting'!L43</x:f>
        <x:v>Open check</x:v>
      </x:c>
      <x:c r="O43" s="2" t="str">
        <x:f>'Data &amp; Reporting'!N43</x:f>
        <x:v>DR.CA.1.3.C05.2026.CY1</x:v>
      </x:c>
      <x:c r="P43" s="2" t="n">
        <x:f>'Data &amp; Reporting'!O43</x:f>
        <x:v>0</x:v>
      </x:c>
      <x:c r="Q43" s="2" t="n">
        <x:f>SUBTOTAL(103,O43)</x:f>
        <x:v>1</x:v>
      </x:c>
      <x:c r="R43" s="2" t="n">
        <x:f>IF(AND(M43=1,OR(Dashboard!$B$7="All",Dashboard!$B$7='Cycles &amp; Guide'!$C$5),OR(Dashboard!$D$7="All",Dashboard!$D$7=B43),OR(Dashboard!$F$7="All",Dashboard!$F$7=C43),OR(Dashboard!$H$7="All",Dashboard!$H$7=D43),OR(Dashboard!$K$7="All",Dashboard!$K$7=E43)),1,0)</x:f>
        <x:v>0</x:v>
      </x:c>
      <x:c r="S43" s="2" t="n">
        <x:f>IF(R43=1,SUM($R$10:R43),0)</x:f>
        <x:v>0</x:v>
      </x:c>
      <x:c r="T43" s="2" t="str">
        <x:v>Data &amp; Reporting</x:v>
      </x:c>
      <x:c r="U43" s="2" t="n">
        <x:v>43</x:v>
      </x:c>
      <x:c r="V43" s="2" t="n">
        <x:f>IF(AND(M43=1,P43=0,ISNUMBER(J43),J43&lt;TODAY()),1,0)</x:f>
        <x:v>0</x:v>
      </x:c>
      <x:c r="W43" s="2" t="str">
        <x:f>'Data &amp; Reporting'!M43</x:f>
        <x:v>Checklist</x:v>
      </x:c>
    </x:row>
    <x:row r="44" ht="40" customHeight="1">
      <x:c r="A44" s="3" t="str">
        <x:f>HYPERLINK("#'Data &amp; Reporting'!A44","Open")</x:f>
        <x:v>Open</x:v>
      </x:c>
      <x:c r="B44" s="2" t="str">
        <x:f>'Data &amp; Reporting'!B44</x:f>
        <x:v>Cycle 1</x:v>
      </x:c>
      <x:c r="C44" s="2" t="str">
        <x:f>'Data &amp; Reporting'!C44</x:f>
        <x:v>Phase 1</x:v>
      </x:c>
      <x:c r="D44" s="2" t="str">
        <x:f>'Data &amp; Reporting'!D44</x:f>
        <x:v>Cards</x:v>
      </x:c>
      <x:c r="E44" s="2" t="str">
        <x:v>Data &amp; Reporting</x:v>
      </x:c>
      <x:c r="F44" s="56" t="str">
        <x:f>'Data &amp; Reporting'!E44</x:f>
        <x:v>DR.CA.1.3.C06</x:v>
      </x:c>
      <x:c r="G44" s="14" t="str">
        <x:f>'Data &amp; Reporting'!F44</x:f>
        <x:v>    Validate no duplicate data is provided</x:v>
      </x:c>
      <x:c r="H44" s="2" t="str">
        <x:f>IF('Data &amp; Reporting'!G44="","",'Data &amp; Reporting'!G44)</x:f>
      </x:c>
      <x:c r="I44" s="12" t="str">
        <x:f>IF('Data &amp; Reporting'!H44="","",'Data &amp; Reporting'!H44)</x:f>
      </x:c>
      <x:c r="J44" s="12" t="str">
        <x:f>IF('Data &amp; Reporting'!I44="","",'Data &amp; Reporting'!I44)</x:f>
      </x:c>
      <x:c r="K44" s="12" t="str">
        <x:f>IF('Data &amp; Reporting'!J44="","",'Data &amp; Reporting'!J44)</x:f>
      </x:c>
      <x:c r="L44" s="2" t="str">
        <x:f>IF('Data &amp; Reporting'!K44="","",'Data &amp; Reporting'!K44)</x:f>
      </x:c>
      <x:c r="M44" s="2" t="n">
        <x:f>'Data &amp; Reporting'!Q44</x:f>
        <x:v>0</x:v>
      </x:c>
      <x:c r="N44" s="2" t="str">
        <x:f>'Data &amp; Reporting'!L44</x:f>
        <x:v>Open check</x:v>
      </x:c>
      <x:c r="O44" s="2" t="str">
        <x:f>'Data &amp; Reporting'!N44</x:f>
        <x:v>DR.CA.1.3.C06.2026.CY1</x:v>
      </x:c>
      <x:c r="P44" s="2" t="n">
        <x:f>'Data &amp; Reporting'!O44</x:f>
        <x:v>0</x:v>
      </x:c>
      <x:c r="Q44" s="2" t="n">
        <x:f>SUBTOTAL(103,O44)</x:f>
        <x:v>1</x:v>
      </x:c>
      <x:c r="R44" s="2" t="n">
        <x:f>IF(AND(M44=1,OR(Dashboard!$B$7="All",Dashboard!$B$7='Cycles &amp; Guide'!$C$5),OR(Dashboard!$D$7="All",Dashboard!$D$7=B44),OR(Dashboard!$F$7="All",Dashboard!$F$7=C44),OR(Dashboard!$H$7="All",Dashboard!$H$7=D44),OR(Dashboard!$K$7="All",Dashboard!$K$7=E44)),1,0)</x:f>
        <x:v>0</x:v>
      </x:c>
      <x:c r="S44" s="2" t="n">
        <x:f>IF(R44=1,SUM($R$10:R44),0)</x:f>
        <x:v>0</x:v>
      </x:c>
      <x:c r="T44" s="2" t="str">
        <x:v>Data &amp; Reporting</x:v>
      </x:c>
      <x:c r="U44" s="2" t="n">
        <x:v>44</x:v>
      </x:c>
      <x:c r="V44" s="2" t="n">
        <x:f>IF(AND(M44=1,P44=0,ISNUMBER(J44),J44&lt;TODAY()),1,0)</x:f>
        <x:v>0</x:v>
      </x:c>
      <x:c r="W44" s="2" t="str">
        <x:f>'Data &amp; Reporting'!M44</x:f>
        <x:v>Checklist</x:v>
      </x:c>
    </x:row>
    <x:row r="45" ht="40" customHeight="1">
      <x:c r="A45" s="3" t="str">
        <x:f>HYPERLINK("#'Data &amp; Reporting'!A45","Open")</x:f>
        <x:v>Open</x:v>
      </x:c>
      <x:c r="B45" s="2" t="str">
        <x:f>'Data &amp; Reporting'!B45</x:f>
        <x:v>Cycle 1</x:v>
      </x:c>
      <x:c r="C45" s="2" t="str">
        <x:f>'Data &amp; Reporting'!C45</x:f>
        <x:v>Phase 1</x:v>
      </x:c>
      <x:c r="D45" s="2" t="str">
        <x:f>'Data &amp; Reporting'!D45</x:f>
        <x:v>Cards</x:v>
      </x:c>
      <x:c r="E45" s="2" t="str">
        <x:v>Data &amp; Reporting</x:v>
      </x:c>
      <x:c r="F45" s="56" t="str">
        <x:f>'Data &amp; Reporting'!E45</x:f>
        <x:v>DR.CA.1.3.C07</x:v>
      </x:c>
      <x:c r="G45" s="14" t="str">
        <x:f>'Data &amp; Reporting'!F45</x:f>
        <x:v>    Document any data exclusions along with justification (as needed)</x:v>
      </x:c>
      <x:c r="H45" s="2" t="str">
        <x:f>IF('Data &amp; Reporting'!G45="","",'Data &amp; Reporting'!G45)</x:f>
      </x:c>
      <x:c r="I45" s="12" t="str">
        <x:f>IF('Data &amp; Reporting'!H45="","",'Data &amp; Reporting'!H45)</x:f>
      </x:c>
      <x:c r="J45" s="12" t="str">
        <x:f>IF('Data &amp; Reporting'!I45="","",'Data &amp; Reporting'!I45)</x:f>
      </x:c>
      <x:c r="K45" s="12" t="str">
        <x:f>IF('Data &amp; Reporting'!J45="","",'Data &amp; Reporting'!J45)</x:f>
      </x:c>
      <x:c r="L45" s="2" t="str">
        <x:f>IF('Data &amp; Reporting'!K45="","",'Data &amp; Reporting'!K45)</x:f>
      </x:c>
      <x:c r="M45" s="2" t="n">
        <x:f>'Data &amp; Reporting'!Q45</x:f>
        <x:v>0</x:v>
      </x:c>
      <x:c r="N45" s="2" t="str">
        <x:f>'Data &amp; Reporting'!L45</x:f>
        <x:v>Open check</x:v>
      </x:c>
      <x:c r="O45" s="2" t="str">
        <x:f>'Data &amp; Reporting'!N45</x:f>
        <x:v>DR.CA.1.3.C07.2026.CY1</x:v>
      </x:c>
      <x:c r="P45" s="2" t="n">
        <x:f>'Data &amp; Reporting'!O45</x:f>
        <x:v>0</x:v>
      </x:c>
      <x:c r="Q45" s="2" t="n">
        <x:f>SUBTOTAL(103,O45)</x:f>
        <x:v>1</x:v>
      </x:c>
      <x:c r="R45" s="2" t="n">
        <x:f>IF(AND(M45=1,OR(Dashboard!$B$7="All",Dashboard!$B$7='Cycles &amp; Guide'!$C$5),OR(Dashboard!$D$7="All",Dashboard!$D$7=B45),OR(Dashboard!$F$7="All",Dashboard!$F$7=C45),OR(Dashboard!$H$7="All",Dashboard!$H$7=D45),OR(Dashboard!$K$7="All",Dashboard!$K$7=E45)),1,0)</x:f>
        <x:v>0</x:v>
      </x:c>
      <x:c r="S45" s="2" t="n">
        <x:f>IF(R45=1,SUM($R$10:R45),0)</x:f>
        <x:v>0</x:v>
      </x:c>
      <x:c r="T45" s="2" t="str">
        <x:v>Data &amp; Reporting</x:v>
      </x:c>
      <x:c r="U45" s="2" t="n">
        <x:v>45</x:v>
      </x:c>
      <x:c r="V45" s="2" t="n">
        <x:f>IF(AND(M45=1,P45=0,ISNUMBER(J45),J45&lt;TODAY()),1,0)</x:f>
        <x:v>0</x:v>
      </x:c>
      <x:c r="W45" s="2" t="str">
        <x:f>'Data &amp; Reporting'!M45</x:f>
        <x:v>Checklist</x:v>
      </x:c>
    </x:row>
    <x:row r="46" ht="40" customHeight="1">
      <x:c r="A46" s="3" t="str">
        <x:f>HYPERLINK("#'Data &amp; Reporting'!A46","Open")</x:f>
        <x:v>Open</x:v>
      </x:c>
      <x:c r="B46" s="2" t="str">
        <x:f>'Data &amp; Reporting'!B46</x:f>
        <x:v>Cycle 1</x:v>
      </x:c>
      <x:c r="C46" s="2" t="str">
        <x:f>'Data &amp; Reporting'!C46</x:f>
        <x:v>Phase 1</x:v>
      </x:c>
      <x:c r="D46" s="2" t="str">
        <x:f>'Data &amp; Reporting'!D46</x:f>
        <x:v>Cards</x:v>
      </x:c>
      <x:c r="E46" s="2" t="str">
        <x:v>Data &amp; Reporting</x:v>
      </x:c>
      <x:c r="F46" s="56" t="str">
        <x:f>'Data &amp; Reporting'!E46</x:f>
        <x:v>DR.CA.1.3.C08</x:v>
      </x:c>
      <x:c r="G46" s="14" t="str">
        <x:f>'Data &amp; Reporting'!F46</x:f>
        <x:v>    Document any assumptions made with the data (as needed)</x:v>
      </x:c>
      <x:c r="H46" s="2" t="str">
        <x:f>IF('Data &amp; Reporting'!G46="","",'Data &amp; Reporting'!G46)</x:f>
      </x:c>
      <x:c r="I46" s="12" t="str">
        <x:f>IF('Data &amp; Reporting'!H46="","",'Data &amp; Reporting'!H46)</x:f>
      </x:c>
      <x:c r="J46" s="12" t="str">
        <x:f>IF('Data &amp; Reporting'!I46="","",'Data &amp; Reporting'!I46)</x:f>
      </x:c>
      <x:c r="K46" s="12" t="str">
        <x:f>IF('Data &amp; Reporting'!J46="","",'Data &amp; Reporting'!J46)</x:f>
      </x:c>
      <x:c r="L46" s="2" t="str">
        <x:f>IF('Data &amp; Reporting'!K46="","",'Data &amp; Reporting'!K46)</x:f>
      </x:c>
      <x:c r="M46" s="2" t="n">
        <x:f>'Data &amp; Reporting'!Q46</x:f>
        <x:v>0</x:v>
      </x:c>
      <x:c r="N46" s="2" t="str">
        <x:f>'Data &amp; Reporting'!L46</x:f>
        <x:v>Open check</x:v>
      </x:c>
      <x:c r="O46" s="2" t="str">
        <x:f>'Data &amp; Reporting'!N46</x:f>
        <x:v>DR.CA.1.3.C08.2026.CY1</x:v>
      </x:c>
      <x:c r="P46" s="2" t="n">
        <x:f>'Data &amp; Reporting'!O46</x:f>
        <x:v>0</x:v>
      </x:c>
      <x:c r="Q46" s="2" t="n">
        <x:f>SUBTOTAL(103,O46)</x:f>
        <x:v>1</x:v>
      </x:c>
      <x:c r="R46" s="2" t="n">
        <x:f>IF(AND(M46=1,OR(Dashboard!$B$7="All",Dashboard!$B$7='Cycles &amp; Guide'!$C$5),OR(Dashboard!$D$7="All",Dashboard!$D$7=B46),OR(Dashboard!$F$7="All",Dashboard!$F$7=C46),OR(Dashboard!$H$7="All",Dashboard!$H$7=D46),OR(Dashboard!$K$7="All",Dashboard!$K$7=E46)),1,0)</x:f>
        <x:v>0</x:v>
      </x:c>
      <x:c r="S46" s="2" t="n">
        <x:f>IF(R46=1,SUM($R$10:R46),0)</x:f>
        <x:v>0</x:v>
      </x:c>
      <x:c r="T46" s="2" t="str">
        <x:v>Data &amp; Reporting</x:v>
      </x:c>
      <x:c r="U46" s="2" t="n">
        <x:v>46</x:v>
      </x:c>
      <x:c r="V46" s="2" t="n">
        <x:f>IF(AND(M46=1,P46=0,ISNUMBER(J46),J46&lt;TODAY()),1,0)</x:f>
        <x:v>0</x:v>
      </x:c>
      <x:c r="W46" s="2" t="str">
        <x:f>'Data &amp; Reporting'!M46</x:f>
        <x:v>Checklist</x:v>
      </x:c>
    </x:row>
    <x:row r="47" ht="40" customHeight="1">
      <x:c r="A47" s="3" t="str">
        <x:f>HYPERLINK("#'Data &amp; Reporting'!A47","Open")</x:f>
        <x:v>Open</x:v>
      </x:c>
      <x:c r="B47" s="2" t="str">
        <x:f>'Data &amp; Reporting'!B47</x:f>
        <x:v>Cycle 1</x:v>
      </x:c>
      <x:c r="C47" s="2" t="str">
        <x:f>'Data &amp; Reporting'!C47</x:f>
        <x:v>Phase 1</x:v>
      </x:c>
      <x:c r="D47" s="2" t="str">
        <x:f>'Data &amp; Reporting'!D47</x:f>
        <x:v>Cards</x:v>
      </x:c>
      <x:c r="E47" s="2" t="str">
        <x:v>Data &amp; Reporting</x:v>
      </x:c>
      <x:c r="F47" s="56" t="str">
        <x:f>'Data &amp; Reporting'!E47</x:f>
        <x:v>DR.CA.1.3.C09</x:v>
      </x:c>
      <x:c r="G47" s="14" t="str">
        <x:f>'Data &amp; Reporting'!F47</x:f>
        <x:v>    Document any data limitations or constraints clearly (as needed)</x:v>
      </x:c>
      <x:c r="H47" s="2" t="str">
        <x:f>IF('Data &amp; Reporting'!G47="","",'Data &amp; Reporting'!G47)</x:f>
      </x:c>
      <x:c r="I47" s="12" t="str">
        <x:f>IF('Data &amp; Reporting'!H47="","",'Data &amp; Reporting'!H47)</x:f>
      </x:c>
      <x:c r="J47" s="12" t="str">
        <x:f>IF('Data &amp; Reporting'!I47="","",'Data &amp; Reporting'!I47)</x:f>
      </x:c>
      <x:c r="K47" s="12" t="str">
        <x:f>IF('Data &amp; Reporting'!J47="","",'Data &amp; Reporting'!J47)</x:f>
      </x:c>
      <x:c r="L47" s="2" t="str">
        <x:f>IF('Data &amp; Reporting'!K47="","",'Data &amp; Reporting'!K47)</x:f>
      </x:c>
      <x:c r="M47" s="2" t="n">
        <x:f>'Data &amp; Reporting'!Q47</x:f>
        <x:v>0</x:v>
      </x:c>
      <x:c r="N47" s="2" t="str">
        <x:f>'Data &amp; Reporting'!L47</x:f>
        <x:v>Open check</x:v>
      </x:c>
      <x:c r="O47" s="2" t="str">
        <x:f>'Data &amp; Reporting'!N47</x:f>
        <x:v>DR.CA.1.3.C09.2026.CY1</x:v>
      </x:c>
      <x:c r="P47" s="2" t="n">
        <x:f>'Data &amp; Reporting'!O47</x:f>
        <x:v>0</x:v>
      </x:c>
      <x:c r="Q47" s="2" t="n">
        <x:f>SUBTOTAL(103,O47)</x:f>
        <x:v>1</x:v>
      </x:c>
      <x:c r="R47" s="2" t="n">
        <x:f>IF(AND(M47=1,OR(Dashboard!$B$7="All",Dashboard!$B$7='Cycles &amp; Guide'!$C$5),OR(Dashboard!$D$7="All",Dashboard!$D$7=B47),OR(Dashboard!$F$7="All",Dashboard!$F$7=C47),OR(Dashboard!$H$7="All",Dashboard!$H$7=D47),OR(Dashboard!$K$7="All",Dashboard!$K$7=E47)),1,0)</x:f>
        <x:v>0</x:v>
      </x:c>
      <x:c r="S47" s="2" t="n">
        <x:f>IF(R47=1,SUM($R$10:R47),0)</x:f>
        <x:v>0</x:v>
      </x:c>
      <x:c r="T47" s="2" t="str">
        <x:v>Data &amp; Reporting</x:v>
      </x:c>
      <x:c r="U47" s="2" t="n">
        <x:v>47</x:v>
      </x:c>
      <x:c r="V47" s="2" t="n">
        <x:f>IF(AND(M47=1,P47=0,ISNUMBER(J47),J47&lt;TODAY()),1,0)</x:f>
        <x:v>0</x:v>
      </x:c>
      <x:c r="W47" s="2" t="str">
        <x:f>'Data &amp; Reporting'!M47</x:f>
        <x:v>Checklist</x:v>
      </x:c>
    </x:row>
    <x:row r="48" ht="40" customHeight="1">
      <x:c r="A48" s="3" t="str">
        <x:f>HYPERLINK("#'Data &amp; Reporting'!A48","Open")</x:f>
        <x:v>Open</x:v>
      </x:c>
      <x:c r="B48" s="2" t="str">
        <x:f>'Data &amp; Reporting'!B48</x:f>
        <x:v>Cycle 1</x:v>
      </x:c>
      <x:c r="C48" s="2" t="str">
        <x:f>'Data &amp; Reporting'!C48</x:f>
        <x:v>Phase 1</x:v>
      </x:c>
      <x:c r="D48" s="2" t="str">
        <x:f>'Data &amp; Reporting'!D48</x:f>
        <x:v>Cards</x:v>
      </x:c>
      <x:c r="E48" s="2" t="str">
        <x:v>Data &amp; Reporting</x:v>
      </x:c>
      <x:c r="F48" s="56" t="str">
        <x:f>'Data &amp; Reporting'!E48</x:f>
        <x:v>DR.CA.1.3.C10</x:v>
      </x:c>
      <x:c r="G48" s="14" t="str">
        <x:f>'Data &amp; Reporting'!F48</x:f>
        <x:v>    Document data dictionary or field definitions for columns/rows</x:v>
      </x:c>
      <x:c r="H48" s="2" t="str">
        <x:f>IF('Data &amp; Reporting'!G48="","",'Data &amp; Reporting'!G48)</x:f>
      </x:c>
      <x:c r="I48" s="12" t="str">
        <x:f>IF('Data &amp; Reporting'!H48="","",'Data &amp; Reporting'!H48)</x:f>
      </x:c>
      <x:c r="J48" s="12" t="str">
        <x:f>IF('Data &amp; Reporting'!I48="","",'Data &amp; Reporting'!I48)</x:f>
      </x:c>
      <x:c r="K48" s="12" t="str">
        <x:f>IF('Data &amp; Reporting'!J48="","",'Data &amp; Reporting'!J48)</x:f>
      </x:c>
      <x:c r="L48" s="2" t="str">
        <x:f>IF('Data &amp; Reporting'!K48="","",'Data &amp; Reporting'!K48)</x:f>
      </x:c>
      <x:c r="M48" s="2" t="n">
        <x:f>'Data &amp; Reporting'!Q48</x:f>
        <x:v>0</x:v>
      </x:c>
      <x:c r="N48" s="2" t="str">
        <x:f>'Data &amp; Reporting'!L48</x:f>
        <x:v>Open check</x:v>
      </x:c>
      <x:c r="O48" s="2" t="str">
        <x:f>'Data &amp; Reporting'!N48</x:f>
        <x:v>DR.CA.1.3.C10.2026.CY1</x:v>
      </x:c>
      <x:c r="P48" s="2" t="n">
        <x:f>'Data &amp; Reporting'!O48</x:f>
        <x:v>0</x:v>
      </x:c>
      <x:c r="Q48" s="2" t="n">
        <x:f>SUBTOTAL(103,O48)</x:f>
        <x:v>1</x:v>
      </x:c>
      <x:c r="R48" s="2" t="n">
        <x:f>IF(AND(M48=1,OR(Dashboard!$B$7="All",Dashboard!$B$7='Cycles &amp; Guide'!$C$5),OR(Dashboard!$D$7="All",Dashboard!$D$7=B48),OR(Dashboard!$F$7="All",Dashboard!$F$7=C48),OR(Dashboard!$H$7="All",Dashboard!$H$7=D48),OR(Dashboard!$K$7="All",Dashboard!$K$7=E48)),1,0)</x:f>
        <x:v>0</x:v>
      </x:c>
      <x:c r="S48" s="2" t="n">
        <x:f>IF(R48=1,SUM($R$10:R48),0)</x:f>
        <x:v>0</x:v>
      </x:c>
      <x:c r="T48" s="2" t="str">
        <x:v>Data &amp; Reporting</x:v>
      </x:c>
      <x:c r="U48" s="2" t="n">
        <x:v>48</x:v>
      </x:c>
      <x:c r="V48" s="2" t="n">
        <x:f>IF(AND(M48=1,P48=0,ISNUMBER(J48),J48&lt;TODAY()),1,0)</x:f>
        <x:v>0</x:v>
      </x:c>
      <x:c r="W48" s="2" t="str">
        <x:f>'Data &amp; Reporting'!M48</x:f>
        <x:v>Checklist</x:v>
      </x:c>
    </x:row>
    <x:row r="49" ht="40" customHeight="1">
      <x:c r="A49" s="3" t="str">
        <x:f>HYPERLINK("#'Data &amp; Reporting'!A49","Open")</x:f>
        <x:v>Open</x:v>
      </x:c>
      <x:c r="B49" s="2" t="str">
        <x:f>'Data &amp; Reporting'!B49</x:f>
        <x:v>Cycle 1</x:v>
      </x:c>
      <x:c r="C49" s="2" t="str">
        <x:f>'Data &amp; Reporting'!C49</x:f>
        <x:v>Phase 1</x:v>
      </x:c>
      <x:c r="D49" s="2" t="str">
        <x:f>'Data &amp; Reporting'!D49</x:f>
        <x:v>Cards</x:v>
      </x:c>
      <x:c r="E49" s="2" t="str">
        <x:v>Data &amp; Reporting</x:v>
      </x:c>
      <x:c r="F49" s="56" t="str">
        <x:f>'Data &amp; Reporting'!E49</x:f>
        <x:v>DR.CA.1.3.C11</x:v>
      </x:c>
      <x:c r="G49" s="14" t="str">
        <x:f>'Data &amp; Reporting'!F49</x:f>
        <x:v>    Document emerging trends, patterns, or concentrations along with supporting data</x:v>
      </x:c>
      <x:c r="H49" s="2" t="str">
        <x:f>IF('Data &amp; Reporting'!G49="","",'Data &amp; Reporting'!G49)</x:f>
      </x:c>
      <x:c r="I49" s="12" t="str">
        <x:f>IF('Data &amp; Reporting'!H49="","",'Data &amp; Reporting'!H49)</x:f>
      </x:c>
      <x:c r="J49" s="12" t="str">
        <x:f>IF('Data &amp; Reporting'!I49="","",'Data &amp; Reporting'!I49)</x:f>
      </x:c>
      <x:c r="K49" s="12" t="str">
        <x:f>IF('Data &amp; Reporting'!J49="","",'Data &amp; Reporting'!J49)</x:f>
      </x:c>
      <x:c r="L49" s="2" t="str">
        <x:f>IF('Data &amp; Reporting'!K49="","",'Data &amp; Reporting'!K49)</x:f>
      </x:c>
      <x:c r="M49" s="2" t="n">
        <x:f>'Data &amp; Reporting'!Q49</x:f>
        <x:v>0</x:v>
      </x:c>
      <x:c r="N49" s="2" t="str">
        <x:f>'Data &amp; Reporting'!L49</x:f>
        <x:v>Open check</x:v>
      </x:c>
      <x:c r="O49" s="2" t="str">
        <x:f>'Data &amp; Reporting'!N49</x:f>
        <x:v>DR.CA.1.3.C11.2026.CY1</x:v>
      </x:c>
      <x:c r="P49" s="2" t="n">
        <x:f>'Data &amp; Reporting'!O49</x:f>
        <x:v>0</x:v>
      </x:c>
      <x:c r="Q49" s="2" t="n">
        <x:f>SUBTOTAL(103,O49)</x:f>
        <x:v>1</x:v>
      </x:c>
      <x:c r="R49" s="2" t="n">
        <x:f>IF(AND(M49=1,OR(Dashboard!$B$7="All",Dashboard!$B$7='Cycles &amp; Guide'!$C$5),OR(Dashboard!$D$7="All",Dashboard!$D$7=B49),OR(Dashboard!$F$7="All",Dashboard!$F$7=C49),OR(Dashboard!$H$7="All",Dashboard!$H$7=D49),OR(Dashboard!$K$7="All",Dashboard!$K$7=E49)),1,0)</x:f>
        <x:v>0</x:v>
      </x:c>
      <x:c r="S49" s="2" t="n">
        <x:f>IF(R49=1,SUM($R$10:R49),0)</x:f>
        <x:v>0</x:v>
      </x:c>
      <x:c r="T49" s="2" t="str">
        <x:v>Data &amp; Reporting</x:v>
      </x:c>
      <x:c r="U49" s="2" t="n">
        <x:v>49</x:v>
      </x:c>
      <x:c r="V49" s="2" t="n">
        <x:f>IF(AND(M49=1,P49=0,ISNUMBER(J49),J49&lt;TODAY()),1,0)</x:f>
        <x:v>0</x:v>
      </x:c>
      <x:c r="W49" s="2" t="str">
        <x:f>'Data &amp; Reporting'!M49</x:f>
        <x:v>Checklist</x:v>
      </x:c>
    </x:row>
    <x:row r="50" ht="40" customHeight="1">
      <x:c r="A50" s="3" t="str">
        <x:f>HYPERLINK("#'Data &amp; Reporting'!A50","Open")</x:f>
        <x:v>Open</x:v>
      </x:c>
      <x:c r="B50" s="2" t="str">
        <x:f>'Data &amp; Reporting'!B50</x:f>
        <x:v>Cycle 1</x:v>
      </x:c>
      <x:c r="C50" s="2" t="str">
        <x:f>'Data &amp; Reporting'!C50</x:f>
        <x:v>Phase 1</x:v>
      </x:c>
      <x:c r="D50" s="2" t="str">
        <x:f>'Data &amp; Reporting'!D50</x:f>
        <x:v>Cards</x:v>
      </x:c>
      <x:c r="E50" s="2" t="str">
        <x:v>Data &amp; Reporting</x:v>
      </x:c>
      <x:c r="F50" s="56" t="str">
        <x:f>'Data &amp; Reporting'!E50</x:f>
        <x:v>DR.CA.1.3.C12</x:v>
      </x:c>
      <x:c r="G50" s="14" t="str">
        <x:f>'Data &amp; Reporting'!F50</x:f>
        <x:v>    Document any severe spikes in volume along with context (as needed)</x:v>
      </x:c>
      <x:c r="H50" s="2" t="str">
        <x:f>IF('Data &amp; Reporting'!G50="","",'Data &amp; Reporting'!G50)</x:f>
      </x:c>
      <x:c r="I50" s="12" t="str">
        <x:f>IF('Data &amp; Reporting'!H50="","",'Data &amp; Reporting'!H50)</x:f>
      </x:c>
      <x:c r="J50" s="12" t="str">
        <x:f>IF('Data &amp; Reporting'!I50="","",'Data &amp; Reporting'!I50)</x:f>
      </x:c>
      <x:c r="K50" s="12" t="str">
        <x:f>IF('Data &amp; Reporting'!J50="","",'Data &amp; Reporting'!J50)</x:f>
      </x:c>
      <x:c r="L50" s="2" t="str">
        <x:f>IF('Data &amp; Reporting'!K50="","",'Data &amp; Reporting'!K50)</x:f>
      </x:c>
      <x:c r="M50" s="2" t="n">
        <x:f>'Data &amp; Reporting'!Q50</x:f>
        <x:v>0</x:v>
      </x:c>
      <x:c r="N50" s="2" t="str">
        <x:f>'Data &amp; Reporting'!L50</x:f>
        <x:v>Open check</x:v>
      </x:c>
      <x:c r="O50" s="2" t="str">
        <x:f>'Data &amp; Reporting'!N50</x:f>
        <x:v>DR.CA.1.3.C12.2026.CY1</x:v>
      </x:c>
      <x:c r="P50" s="2" t="n">
        <x:f>'Data &amp; Reporting'!O50</x:f>
        <x:v>0</x:v>
      </x:c>
      <x:c r="Q50" s="2" t="n">
        <x:f>SUBTOTAL(103,O50)</x:f>
        <x:v>1</x:v>
      </x:c>
      <x:c r="R50" s="2" t="n">
        <x:f>IF(AND(M50=1,OR(Dashboard!$B$7="All",Dashboard!$B$7='Cycles &amp; Guide'!$C$5),OR(Dashboard!$D$7="All",Dashboard!$D$7=B50),OR(Dashboard!$F$7="All",Dashboard!$F$7=C50),OR(Dashboard!$H$7="All",Dashboard!$H$7=D50),OR(Dashboard!$K$7="All",Dashboard!$K$7=E50)),1,0)</x:f>
        <x:v>0</x:v>
      </x:c>
      <x:c r="S50" s="2" t="n">
        <x:f>IF(R50=1,SUM($R$10:R50),0)</x:f>
        <x:v>0</x:v>
      </x:c>
      <x:c r="T50" s="2" t="str">
        <x:v>Data &amp; Reporting</x:v>
      </x:c>
      <x:c r="U50" s="2" t="n">
        <x:v>50</x:v>
      </x:c>
      <x:c r="V50" s="2" t="n">
        <x:f>IF(AND(M50=1,P50=0,ISNUMBER(J50),J50&lt;TODAY()),1,0)</x:f>
        <x:v>0</x:v>
      </x:c>
      <x:c r="W50" s="2" t="str">
        <x:f>'Data &amp; Reporting'!M50</x:f>
        <x:v>Checklist</x:v>
      </x:c>
    </x:row>
    <x:row r="51" ht="40" customHeight="1">
      <x:c r="A51" s="3" t="str">
        <x:f>HYPERLINK("#'Data &amp; Reporting'!A51","Open")</x:f>
        <x:v>Open</x:v>
      </x:c>
      <x:c r="B51" s="2" t="str">
        <x:f>'Data &amp; Reporting'!B51</x:f>
        <x:v>Cycle 1</x:v>
      </x:c>
      <x:c r="C51" s="2" t="str">
        <x:f>'Data &amp; Reporting'!C51</x:f>
        <x:v>Phase 1</x:v>
      </x:c>
      <x:c r="D51" s="2" t="str">
        <x:f>'Data &amp; Reporting'!D51</x:f>
        <x:v>Cards</x:v>
      </x:c>
      <x:c r="E51" s="2" t="str">
        <x:v>Data &amp; Reporting</x:v>
      </x:c>
      <x:c r="F51" s="56" t="str">
        <x:f>'Data &amp; Reporting'!E51</x:f>
        <x:v>DR.CA.1.3.C13</x:v>
      </x:c>
      <x:c r="G51" s="14" t="str">
        <x:f>'Data &amp; Reporting'!F51</x:f>
        <x:v>    Document clear summary explaining how the data connects to the potential topic</x:v>
      </x:c>
      <x:c r="H51" s="2" t="str">
        <x:f>IF('Data &amp; Reporting'!G51="","",'Data &amp; Reporting'!G51)</x:f>
      </x:c>
      <x:c r="I51" s="12" t="str">
        <x:f>IF('Data &amp; Reporting'!H51="","",'Data &amp; Reporting'!H51)</x:f>
      </x:c>
      <x:c r="J51" s="12" t="str">
        <x:f>IF('Data &amp; Reporting'!I51="","",'Data &amp; Reporting'!I51)</x:f>
      </x:c>
      <x:c r="K51" s="12" t="str">
        <x:f>IF('Data &amp; Reporting'!J51="","",'Data &amp; Reporting'!J51)</x:f>
      </x:c>
      <x:c r="L51" s="2" t="str">
        <x:f>IF('Data &amp; Reporting'!K51="","",'Data &amp; Reporting'!K51)</x:f>
      </x:c>
      <x:c r="M51" s="2" t="n">
        <x:f>'Data &amp; Reporting'!Q51</x:f>
        <x:v>0</x:v>
      </x:c>
      <x:c r="N51" s="2" t="str">
        <x:f>'Data &amp; Reporting'!L51</x:f>
        <x:v>Open check</x:v>
      </x:c>
      <x:c r="O51" s="2" t="str">
        <x:f>'Data &amp; Reporting'!N51</x:f>
        <x:v>DR.CA.1.3.C13.2026.CY1</x:v>
      </x:c>
      <x:c r="P51" s="2" t="n">
        <x:f>'Data &amp; Reporting'!O51</x:f>
        <x:v>0</x:v>
      </x:c>
      <x:c r="Q51" s="2" t="n">
        <x:f>SUBTOTAL(103,O51)</x:f>
        <x:v>1</x:v>
      </x:c>
      <x:c r="R51" s="2" t="n">
        <x:f>IF(AND(M51=1,OR(Dashboard!$B$7="All",Dashboard!$B$7='Cycles &amp; Guide'!$C$5),OR(Dashboard!$D$7="All",Dashboard!$D$7=B51),OR(Dashboard!$F$7="All",Dashboard!$F$7=C51),OR(Dashboard!$H$7="All",Dashboard!$H$7=D51),OR(Dashboard!$K$7="All",Dashboard!$K$7=E51)),1,0)</x:f>
        <x:v>0</x:v>
      </x:c>
      <x:c r="S51" s="2" t="n">
        <x:f>IF(R51=1,SUM($R$10:R51),0)</x:f>
        <x:v>0</x:v>
      </x:c>
      <x:c r="T51" s="2" t="str">
        <x:v>Data &amp; Reporting</x:v>
      </x:c>
      <x:c r="U51" s="2" t="n">
        <x:v>51</x:v>
      </x:c>
      <x:c r="V51" s="2" t="n">
        <x:f>IF(AND(M51=1,P51=0,ISNUMBER(J51),J51&lt;TODAY()),1,0)</x:f>
        <x:v>0</x:v>
      </x:c>
      <x:c r="W51" s="2" t="str">
        <x:f>'Data &amp; Reporting'!M51</x:f>
        <x:v>Checklist</x:v>
      </x:c>
    </x:row>
    <x:row r="52" ht="40" customHeight="1">
      <x:c r="A52" s="3" t="str">
        <x:f>HYPERLINK("#'Data &amp; Reporting'!A52","Open")</x:f>
        <x:v>Open</x:v>
      </x:c>
      <x:c r="B52" s="2" t="str">
        <x:f>'Data &amp; Reporting'!B52</x:f>
        <x:v>Cycle 1</x:v>
      </x:c>
      <x:c r="C52" s="2" t="str">
        <x:f>'Data &amp; Reporting'!C52</x:f>
        <x:v>Phase 2</x:v>
      </x:c>
      <x:c r="D52" s="2" t="str">
        <x:f>'Data &amp; Reporting'!D52</x:f>
        <x:v>Cards</x:v>
      </x:c>
      <x:c r="E52" s="2" t="str">
        <x:v>Data &amp; Reporting</x:v>
      </x:c>
      <x:c r="F52" s="56" t="str">
        <x:f>'Data &amp; Reporting'!E52</x:f>
        <x:v>DR.CA.2.1</x:v>
      </x:c>
      <x:c r="G52" s="14" t="str">
        <x:f>'Data &amp; Reporting'!F52</x:f>
        <x:v>Ensure data is clean, structured, and usable without manipulation needed</x:v>
      </x:c>
      <x:c r="H52" s="2" t="str">
        <x:f>IF('Data &amp; Reporting'!G52="","",'Data &amp; Reporting'!G52)</x:f>
      </x:c>
      <x:c r="I52" s="12" t="str">
        <x:f>IF('Data &amp; Reporting'!H52="","",'Data &amp; Reporting'!H52)</x:f>
      </x:c>
      <x:c r="J52" s="12" t="n">
        <x:f>IF('Data &amp; Reporting'!I52="","",'Data &amp; Reporting'!I52)</x:f>
        <x:v>46112</x:v>
      </x:c>
      <x:c r="K52" s="12" t="str">
        <x:f>IF('Data &amp; Reporting'!J52="","",'Data &amp; Reporting'!J52)</x:f>
      </x:c>
      <x:c r="L52" s="2" t="str">
        <x:f>IF('Data &amp; Reporting'!K52="","",'Data &amp; Reporting'!K52)</x:f>
      </x:c>
      <x:c r="M52" s="2" t="n">
        <x:f>'Data &amp; Reporting'!Q52</x:f>
        <x:v>1</x:v>
      </x:c>
      <x:c r="N52" s="2" t="str">
        <x:f>'Data &amp; Reporting'!L52</x:f>
        <x:v>Not started</x:v>
      </x:c>
      <x:c r="O52" s="2" t="str">
        <x:f>'Data &amp; Reporting'!N52</x:f>
        <x:v>DR.CA.2.1.2026.CY1</x:v>
      </x:c>
      <x:c r="P52" s="2" t="n">
        <x:f>'Data &amp; Reporting'!O52</x:f>
        <x:v>0</x:v>
      </x:c>
      <x:c r="Q52" s="2" t="n">
        <x:f>SUBTOTAL(103,O52)</x:f>
        <x:v>1</x:v>
      </x:c>
      <x:c r="R52" s="2" t="n">
        <x:f>IF(AND(M52=1,OR(Dashboard!$B$7="All",Dashboard!$B$7='Cycles &amp; Guide'!$C$5),OR(Dashboard!$D$7="All",Dashboard!$D$7=B52),OR(Dashboard!$F$7="All",Dashboard!$F$7=C52),OR(Dashboard!$H$7="All",Dashboard!$H$7=D52),OR(Dashboard!$K$7="All",Dashboard!$K$7=E52)),1,0)</x:f>
        <x:v>1</x:v>
      </x:c>
      <x:c r="S52" s="2" t="n">
        <x:f>IF(R52=1,SUM($R$10:R52),0)</x:f>
        <x:v>17</x:v>
      </x:c>
      <x:c r="T52" s="2" t="str">
        <x:v>Data &amp; Reporting</x:v>
      </x:c>
      <x:c r="U52" s="2" t="n">
        <x:v>52</x:v>
      </x:c>
      <x:c r="V52" s="2" t="n">
        <x:f>IF(AND(M52=1,P52=0,ISNUMBER(J52),J52&lt;TODAY()),1,0)</x:f>
        <x:v>1</x:v>
      </x:c>
      <x:c r="W52" s="2" t="str">
        <x:f>'Data &amp; Reporting'!M52</x:f>
        <x:v>Task</x:v>
      </x:c>
    </x:row>
    <x:row r="53" ht="40" customHeight="1">
      <x:c r="A53" s="3" t="str">
        <x:f>HYPERLINK("#'Data &amp; Reporting'!A53","Open")</x:f>
        <x:v>Open</x:v>
      </x:c>
      <x:c r="B53" s="2" t="str">
        <x:f>'Data &amp; Reporting'!B53</x:f>
        <x:v>Cycle 1</x:v>
      </x:c>
      <x:c r="C53" s="2" t="str">
        <x:f>'Data &amp; Reporting'!C53</x:f>
        <x:v>Phase 2</x:v>
      </x:c>
      <x:c r="D53" s="2" t="str">
        <x:f>'Data &amp; Reporting'!D53</x:f>
        <x:v>Cards</x:v>
      </x:c>
      <x:c r="E53" s="2" t="str">
        <x:v>Data &amp; Reporting</x:v>
      </x:c>
      <x:c r="F53" s="56" t="str">
        <x:f>'Data &amp; Reporting'!E53</x:f>
        <x:v>DR.CA.2.2</x:v>
      </x:c>
      <x:c r="G53" s="14" t="str">
        <x:f>'Data &amp; Reporting'!F53</x:f>
        <x:v>Clearly document rationale for each topic recommendation within the SharePoint list</x:v>
      </x:c>
      <x:c r="H53" s="2" t="str">
        <x:f>IF('Data &amp; Reporting'!G53="","",'Data &amp; Reporting'!G53)</x:f>
      </x:c>
      <x:c r="I53" s="12" t="str">
        <x:f>IF('Data &amp; Reporting'!H53="","",'Data &amp; Reporting'!H53)</x:f>
      </x:c>
      <x:c r="J53" s="12" t="n">
        <x:f>IF('Data &amp; Reporting'!I53="","",'Data &amp; Reporting'!I53)</x:f>
        <x:v>46112</x:v>
      </x:c>
      <x:c r="K53" s="12" t="str">
        <x:f>IF('Data &amp; Reporting'!J53="","",'Data &amp; Reporting'!J53)</x:f>
      </x:c>
      <x:c r="L53" s="2" t="str">
        <x:f>IF('Data &amp; Reporting'!K53="","",'Data &amp; Reporting'!K53)</x:f>
      </x:c>
      <x:c r="M53" s="2" t="n">
        <x:f>'Data &amp; Reporting'!Q53</x:f>
        <x:v>1</x:v>
      </x:c>
      <x:c r="N53" s="2" t="str">
        <x:f>'Data &amp; Reporting'!L53</x:f>
        <x:v>Not started</x:v>
      </x:c>
      <x:c r="O53" s="2" t="str">
        <x:f>'Data &amp; Reporting'!N53</x:f>
        <x:v>DR.CA.2.2.2026.CY1</x:v>
      </x:c>
      <x:c r="P53" s="2" t="n">
        <x:f>'Data &amp; Reporting'!O53</x:f>
        <x:v>0</x:v>
      </x:c>
      <x:c r="Q53" s="2" t="n">
        <x:f>SUBTOTAL(103,O53)</x:f>
        <x:v>1</x:v>
      </x:c>
      <x:c r="R53" s="2" t="n">
        <x:f>IF(AND(M53=1,OR(Dashboard!$B$7="All",Dashboard!$B$7='Cycles &amp; Guide'!$C$5),OR(Dashboard!$D$7="All",Dashboard!$D$7=B53),OR(Dashboard!$F$7="All",Dashboard!$F$7=C53),OR(Dashboard!$H$7="All",Dashboard!$H$7=D53),OR(Dashboard!$K$7="All",Dashboard!$K$7=E53)),1,0)</x:f>
        <x:v>1</x:v>
      </x:c>
      <x:c r="S53" s="2" t="n">
        <x:f>IF(R53=1,SUM($R$10:R53),0)</x:f>
        <x:v>18</x:v>
      </x:c>
      <x:c r="T53" s="2" t="str">
        <x:v>Data &amp; Reporting</x:v>
      </x:c>
      <x:c r="U53" s="2" t="n">
        <x:v>53</x:v>
      </x:c>
      <x:c r="V53" s="2" t="n">
        <x:f>IF(AND(M53=1,P53=0,ISNUMBER(J53),J53&lt;TODAY()),1,0)</x:f>
        <x:v>1</x:v>
      </x:c>
      <x:c r="W53" s="2" t="str">
        <x:f>'Data &amp; Reporting'!M53</x:f>
        <x:v>Task</x:v>
      </x:c>
    </x:row>
    <x:row r="54" ht="40" customHeight="1">
      <x:c r="A54" s="3" t="str">
        <x:f>HYPERLINK("#'Data &amp; Reporting'!A54","Open")</x:f>
        <x:v>Open</x:v>
      </x:c>
      <x:c r="B54" s="2" t="str">
        <x:f>'Data &amp; Reporting'!B54</x:f>
        <x:v>Cycle 1</x:v>
      </x:c>
      <x:c r="C54" s="2" t="str">
        <x:f>'Data &amp; Reporting'!C54</x:f>
        <x:v>Phase 2</x:v>
      </x:c>
      <x:c r="D54" s="2" t="str">
        <x:f>'Data &amp; Reporting'!D54</x:f>
        <x:v>Cards</x:v>
      </x:c>
      <x:c r="E54" s="2" t="str">
        <x:v>Data &amp; Reporting</x:v>
      </x:c>
      <x:c r="F54" s="56" t="str">
        <x:f>'Data &amp; Reporting'!E54</x:f>
        <x:v>DR.CA.2.3</x:v>
      </x:c>
      <x:c r="G54" s="14" t="str">
        <x:f>'Data &amp; Reporting'!F54</x:f>
        <x:v>Verify topic is eligible for RCA and does not conflict with Attorney Client Privilege</x:v>
      </x:c>
      <x:c r="H54" s="2" t="str">
        <x:f>IF('Data &amp; Reporting'!G54="","",'Data &amp; Reporting'!G54)</x:f>
      </x:c>
      <x:c r="I54" s="12" t="str">
        <x:f>IF('Data &amp; Reporting'!H54="","",'Data &amp; Reporting'!H54)</x:f>
      </x:c>
      <x:c r="J54" s="12" t="n">
        <x:f>IF('Data &amp; Reporting'!I54="","",'Data &amp; Reporting'!I54)</x:f>
        <x:v>46112</x:v>
      </x:c>
      <x:c r="K54" s="12" t="str">
        <x:f>IF('Data &amp; Reporting'!J54="","",'Data &amp; Reporting'!J54)</x:f>
      </x:c>
      <x:c r="L54" s="2" t="str">
        <x:f>IF('Data &amp; Reporting'!K54="","",'Data &amp; Reporting'!K54)</x:f>
      </x:c>
      <x:c r="M54" s="2" t="n">
        <x:f>'Data &amp; Reporting'!Q54</x:f>
        <x:v>1</x:v>
      </x:c>
      <x:c r="N54" s="2" t="str">
        <x:f>'Data &amp; Reporting'!L54</x:f>
        <x:v>Not started</x:v>
      </x:c>
      <x:c r="O54" s="2" t="str">
        <x:f>'Data &amp; Reporting'!N54</x:f>
        <x:v>DR.CA.2.3.2026.CY1</x:v>
      </x:c>
      <x:c r="P54" s="2" t="n">
        <x:f>'Data &amp; Reporting'!O54</x:f>
        <x:v>0</x:v>
      </x:c>
      <x:c r="Q54" s="2" t="n">
        <x:f>SUBTOTAL(103,O54)</x:f>
        <x:v>1</x:v>
      </x:c>
      <x:c r="R54" s="2" t="n">
        <x:f>IF(AND(M54=1,OR(Dashboard!$B$7="All",Dashboard!$B$7='Cycles &amp; Guide'!$C$5),OR(Dashboard!$D$7="All",Dashboard!$D$7=B54),OR(Dashboard!$F$7="All",Dashboard!$F$7=C54),OR(Dashboard!$H$7="All",Dashboard!$H$7=D54),OR(Dashboard!$K$7="All",Dashboard!$K$7=E54)),1,0)</x:f>
        <x:v>1</x:v>
      </x:c>
      <x:c r="S54" s="2" t="n">
        <x:f>IF(R54=1,SUM($R$10:R54),0)</x:f>
        <x:v>19</x:v>
      </x:c>
      <x:c r="T54" s="2" t="str">
        <x:v>Data &amp; Reporting</x:v>
      </x:c>
      <x:c r="U54" s="2" t="n">
        <x:v>54</x:v>
      </x:c>
      <x:c r="V54" s="2" t="n">
        <x:f>IF(AND(M54=1,P54=0,ISNUMBER(J54),J54&lt;TODAY()),1,0)</x:f>
        <x:v>1</x:v>
      </x:c>
      <x:c r="W54" s="2" t="str">
        <x:f>'Data &amp; Reporting'!M54</x:f>
        <x:v>Task</x:v>
      </x:c>
    </x:row>
    <x:row r="55" ht="40" customHeight="1">
      <x:c r="A55" s="3" t="str">
        <x:f>HYPERLINK("#'Data &amp; Reporting'!A55","Open")</x:f>
        <x:v>Open</x:v>
      </x:c>
      <x:c r="B55" s="2" t="str">
        <x:f>'Data &amp; Reporting'!B55</x:f>
        <x:v>Cycle 1</x:v>
      </x:c>
      <x:c r="C55" s="2" t="str">
        <x:f>'Data &amp; Reporting'!C55</x:f>
        <x:v>Phase 2</x:v>
      </x:c>
      <x:c r="D55" s="2" t="str">
        <x:f>'Data &amp; Reporting'!D55</x:f>
        <x:v>Cards</x:v>
      </x:c>
      <x:c r="E55" s="2" t="str">
        <x:v>Data &amp; Reporting</x:v>
      </x:c>
      <x:c r="F55" s="56" t="str">
        <x:f>'Data &amp; Reporting'!E55</x:f>
        <x:v>DR.CA.2.4</x:v>
      </x:c>
      <x:c r="G55" s="14" t="str">
        <x:f>'Data &amp; Reporting'!F55</x:f>
        <x:v>Ensure data is free of errors and anomalies prior to hand-off to Research</x:v>
      </x:c>
      <x:c r="H55" s="2" t="str">
        <x:f>IF('Data &amp; Reporting'!G55="","",'Data &amp; Reporting'!G55)</x:f>
      </x:c>
      <x:c r="I55" s="12" t="str">
        <x:f>IF('Data &amp; Reporting'!H55="","",'Data &amp; Reporting'!H55)</x:f>
      </x:c>
      <x:c r="J55" s="12" t="n">
        <x:f>IF('Data &amp; Reporting'!I55="","",'Data &amp; Reporting'!I55)</x:f>
        <x:v>46112</x:v>
      </x:c>
      <x:c r="K55" s="12" t="str">
        <x:f>IF('Data &amp; Reporting'!J55="","",'Data &amp; Reporting'!J55)</x:f>
      </x:c>
      <x:c r="L55" s="2" t="str">
        <x:f>IF('Data &amp; Reporting'!K55="","",'Data &amp; Reporting'!K55)</x:f>
      </x:c>
      <x:c r="M55" s="2" t="n">
        <x:f>'Data &amp; Reporting'!Q55</x:f>
        <x:v>1</x:v>
      </x:c>
      <x:c r="N55" s="2" t="str">
        <x:f>'Data &amp; Reporting'!L55</x:f>
        <x:v>Not started</x:v>
      </x:c>
      <x:c r="O55" s="2" t="str">
        <x:f>'Data &amp; Reporting'!N55</x:f>
        <x:v>DR.CA.2.4.2026.CY1</x:v>
      </x:c>
      <x:c r="P55" s="2" t="n">
        <x:f>'Data &amp; Reporting'!O55</x:f>
        <x:v>0</x:v>
      </x:c>
      <x:c r="Q55" s="2" t="n">
        <x:f>SUBTOTAL(103,O55)</x:f>
        <x:v>1</x:v>
      </x:c>
      <x:c r="R55" s="2" t="n">
        <x:f>IF(AND(M55=1,OR(Dashboard!$B$7="All",Dashboard!$B$7='Cycles &amp; Guide'!$C$5),OR(Dashboard!$D$7="All",Dashboard!$D$7=B55),OR(Dashboard!$F$7="All",Dashboard!$F$7=C55),OR(Dashboard!$H$7="All",Dashboard!$H$7=D55),OR(Dashboard!$K$7="All",Dashboard!$K$7=E55)),1,0)</x:f>
        <x:v>1</x:v>
      </x:c>
      <x:c r="S55" s="2" t="n">
        <x:f>IF(R55=1,SUM($R$10:R55),0)</x:f>
        <x:v>20</x:v>
      </x:c>
      <x:c r="T55" s="2" t="str">
        <x:v>Data &amp; Reporting</x:v>
      </x:c>
      <x:c r="U55" s="2" t="n">
        <x:v>55</x:v>
      </x:c>
      <x:c r="V55" s="2" t="n">
        <x:f>IF(AND(M55=1,P55=0,ISNUMBER(J55),J55&lt;TODAY()),1,0)</x:f>
        <x:v>1</x:v>
      </x:c>
      <x:c r="W55" s="2" t="str">
        <x:f>'Data &amp; Reporting'!M55</x:f>
        <x:v>Task</x:v>
      </x:c>
    </x:row>
    <x:row r="56" ht="40" customHeight="1">
      <x:c r="A56" s="3" t="str">
        <x:f>HYPERLINK("#'Data &amp; Reporting'!A56","Open")</x:f>
        <x:v>Open</x:v>
      </x:c>
      <x:c r="B56" s="2" t="str">
        <x:f>'Data &amp; Reporting'!B56</x:f>
        <x:v>Cycle 1</x:v>
      </x:c>
      <x:c r="C56" s="2" t="str">
        <x:f>'Data &amp; Reporting'!C56</x:f>
        <x:v>Phase 2</x:v>
      </x:c>
      <x:c r="D56" s="2" t="str">
        <x:f>'Data &amp; Reporting'!D56</x:f>
        <x:v>Cards</x:v>
      </x:c>
      <x:c r="E56" s="2" t="str">
        <x:v>Data &amp; Reporting</x:v>
      </x:c>
      <x:c r="F56" s="56" t="str">
        <x:f>'Data &amp; Reporting'!E56</x:f>
        <x:v>DR.CA.2.5</x:v>
      </x:c>
      <x:c r="G56" s="14" t="str">
        <x:f>'Data &amp; Reporting'!F56</x:f>
        <x:v>Ensure topic is not a duplicate from a previous Cycle</x:v>
      </x:c>
      <x:c r="H56" s="2" t="str">
        <x:f>IF('Data &amp; Reporting'!G56="","",'Data &amp; Reporting'!G56)</x:f>
      </x:c>
      <x:c r="I56" s="12" t="str">
        <x:f>IF('Data &amp; Reporting'!H56="","",'Data &amp; Reporting'!H56)</x:f>
      </x:c>
      <x:c r="J56" s="12" t="n">
        <x:f>IF('Data &amp; Reporting'!I56="","",'Data &amp; Reporting'!I56)</x:f>
        <x:v>46112</x:v>
      </x:c>
      <x:c r="K56" s="12" t="str">
        <x:f>IF('Data &amp; Reporting'!J56="","",'Data &amp; Reporting'!J56)</x:f>
      </x:c>
      <x:c r="L56" s="2" t="str">
        <x:f>IF('Data &amp; Reporting'!K56="","",'Data &amp; Reporting'!K56)</x:f>
      </x:c>
      <x:c r="M56" s="2" t="n">
        <x:f>'Data &amp; Reporting'!Q56</x:f>
        <x:v>1</x:v>
      </x:c>
      <x:c r="N56" s="2" t="str">
        <x:f>'Data &amp; Reporting'!L56</x:f>
        <x:v>Not started</x:v>
      </x:c>
      <x:c r="O56" s="2" t="str">
        <x:f>'Data &amp; Reporting'!N56</x:f>
        <x:v>DR.CA.2.5.2026.CY1</x:v>
      </x:c>
      <x:c r="P56" s="2" t="n">
        <x:f>'Data &amp; Reporting'!O56</x:f>
        <x:v>0</x:v>
      </x:c>
      <x:c r="Q56" s="2" t="n">
        <x:f>SUBTOTAL(103,O56)</x:f>
        <x:v>1</x:v>
      </x:c>
      <x:c r="R56" s="2" t="n">
        <x:f>IF(AND(M56=1,OR(Dashboard!$B$7="All",Dashboard!$B$7='Cycles &amp; Guide'!$C$5),OR(Dashboard!$D$7="All",Dashboard!$D$7=B56),OR(Dashboard!$F$7="All",Dashboard!$F$7=C56),OR(Dashboard!$H$7="All",Dashboard!$H$7=D56),OR(Dashboard!$K$7="All",Dashboard!$K$7=E56)),1,0)</x:f>
        <x:v>1</x:v>
      </x:c>
      <x:c r="S56" s="2" t="n">
        <x:f>IF(R56=1,SUM($R$10:R56),0)</x:f>
        <x:v>21</x:v>
      </x:c>
      <x:c r="T56" s="2" t="str">
        <x:v>Data &amp; Reporting</x:v>
      </x:c>
      <x:c r="U56" s="2" t="n">
        <x:v>56</x:v>
      </x:c>
      <x:c r="V56" s="2" t="n">
        <x:f>IF(AND(M56=1,P56=0,ISNUMBER(J56),J56&lt;TODAY()),1,0)</x:f>
        <x:v>1</x:v>
      </x:c>
      <x:c r="W56" s="2" t="str">
        <x:f>'Data &amp; Reporting'!M56</x:f>
        <x:v>Task</x:v>
      </x:c>
    </x:row>
    <x:row r="57" ht="40" customHeight="1">
      <x:c r="A57" s="3" t="str">
        <x:f>HYPERLINK("#'Data &amp; Reporting'!A57","Open")</x:f>
        <x:v>Open</x:v>
      </x:c>
      <x:c r="B57" s="2" t="str">
        <x:f>'Data &amp; Reporting'!B57</x:f>
        <x:v>Cycle 1</x:v>
      </x:c>
      <x:c r="C57" s="2" t="str">
        <x:f>'Data &amp; Reporting'!C57</x:f>
        <x:v>Phase 2</x:v>
      </x:c>
      <x:c r="D57" s="2" t="str">
        <x:f>'Data &amp; Reporting'!D57</x:f>
        <x:v>Cards</x:v>
      </x:c>
      <x:c r="E57" s="2" t="str">
        <x:v>Data &amp; Reporting</x:v>
      </x:c>
      <x:c r="F57" s="56" t="str">
        <x:f>'Data &amp; Reporting'!E57</x:f>
        <x:v>DR.CA.2.6</x:v>
      </x:c>
      <x:c r="G57" s="14" t="str">
        <x:f>'Data &amp; Reporting'!F57</x:f>
        <x:v>Document clear distinctions between facts, assumptions, and hypotheses within the data package</x:v>
      </x:c>
      <x:c r="H57" s="2" t="str">
        <x:f>IF('Data &amp; Reporting'!G57="","",'Data &amp; Reporting'!G57)</x:f>
      </x:c>
      <x:c r="I57" s="12" t="str">
        <x:f>IF('Data &amp; Reporting'!H57="","",'Data &amp; Reporting'!H57)</x:f>
      </x:c>
      <x:c r="J57" s="12" t="n">
        <x:f>IF('Data &amp; Reporting'!I57="","",'Data &amp; Reporting'!I57)</x:f>
        <x:v>46112</x:v>
      </x:c>
      <x:c r="K57" s="12" t="str">
        <x:f>IF('Data &amp; Reporting'!J57="","",'Data &amp; Reporting'!J57)</x:f>
      </x:c>
      <x:c r="L57" s="2" t="str">
        <x:f>IF('Data &amp; Reporting'!K57="","",'Data &amp; Reporting'!K57)</x:f>
      </x:c>
      <x:c r="M57" s="2" t="n">
        <x:f>'Data &amp; Reporting'!Q57</x:f>
        <x:v>1</x:v>
      </x:c>
      <x:c r="N57" s="2" t="str">
        <x:f>'Data &amp; Reporting'!L57</x:f>
        <x:v>Not started</x:v>
      </x:c>
      <x:c r="O57" s="2" t="str">
        <x:f>'Data &amp; Reporting'!N57</x:f>
        <x:v>DR.CA.2.6.2026.CY1</x:v>
      </x:c>
      <x:c r="P57" s="2" t="n">
        <x:f>'Data &amp; Reporting'!O57</x:f>
        <x:v>0</x:v>
      </x:c>
      <x:c r="Q57" s="2" t="n">
        <x:f>SUBTOTAL(103,O57)</x:f>
        <x:v>1</x:v>
      </x:c>
      <x:c r="R57" s="2" t="n">
        <x:f>IF(AND(M57=1,OR(Dashboard!$B$7="All",Dashboard!$B$7='Cycles &amp; Guide'!$C$5),OR(Dashboard!$D$7="All",Dashboard!$D$7=B57),OR(Dashboard!$F$7="All",Dashboard!$F$7=C57),OR(Dashboard!$H$7="All",Dashboard!$H$7=D57),OR(Dashboard!$K$7="All",Dashboard!$K$7=E57)),1,0)</x:f>
        <x:v>1</x:v>
      </x:c>
      <x:c r="S57" s="2" t="n">
        <x:f>IF(R57=1,SUM($R$10:R57),0)</x:f>
        <x:v>22</x:v>
      </x:c>
      <x:c r="T57" s="2" t="str">
        <x:v>Data &amp; Reporting</x:v>
      </x:c>
      <x:c r="U57" s="2" t="n">
        <x:v>57</x:v>
      </x:c>
      <x:c r="V57" s="2" t="n">
        <x:f>IF(AND(M57=1,P57=0,ISNUMBER(J57),J57&lt;TODAY()),1,0)</x:f>
        <x:v>1</x:v>
      </x:c>
      <x:c r="W57" s="2" t="str">
        <x:f>'Data &amp; Reporting'!M57</x:f>
        <x:v>Task</x:v>
      </x:c>
    </x:row>
    <x:row r="58" ht="40" customHeight="1">
      <x:c r="A58" s="3" t="str">
        <x:f>HYPERLINK("#'Data &amp; Reporting'!A58","Open")</x:f>
        <x:v>Open</x:v>
      </x:c>
      <x:c r="B58" s="2" t="str">
        <x:f>'Data &amp; Reporting'!B58</x:f>
        <x:v>Cycle 1</x:v>
      </x:c>
      <x:c r="C58" s="2" t="str">
        <x:f>'Data &amp; Reporting'!C58</x:f>
        <x:v>Phase 3</x:v>
      </x:c>
      <x:c r="D58" s="2" t="str">
        <x:f>'Data &amp; Reporting'!D58</x:f>
        <x:v>Cards</x:v>
      </x:c>
      <x:c r="E58" s="2" t="str">
        <x:v>Data &amp; Reporting</x:v>
      </x:c>
      <x:c r="F58" s="56" t="str">
        <x:f>'Data &amp; Reporting'!E58</x:f>
        <x:v>DR.CA.3.1</x:v>
      </x:c>
      <x:c r="G58" s="14" t="str">
        <x:f>'Data &amp; Reporting'!F58</x:f>
        <x:v>Clearly document rationale for each topic recommendation within the SharePoint list item</x:v>
      </x:c>
      <x:c r="H58" s="2" t="str">
        <x:f>IF('Data &amp; Reporting'!G58="","",'Data &amp; Reporting'!G58)</x:f>
      </x:c>
      <x:c r="I58" s="12" t="str">
        <x:f>IF('Data &amp; Reporting'!H58="","",'Data &amp; Reporting'!H58)</x:f>
      </x:c>
      <x:c r="J58" s="12" t="n">
        <x:f>IF('Data &amp; Reporting'!I58="","",'Data &amp; Reporting'!I58)</x:f>
        <x:v>46112</x:v>
      </x:c>
      <x:c r="K58" s="12" t="str">
        <x:f>IF('Data &amp; Reporting'!J58="","",'Data &amp; Reporting'!J58)</x:f>
      </x:c>
      <x:c r="L58" s="2" t="str">
        <x:f>IF('Data &amp; Reporting'!K58="","",'Data &amp; Reporting'!K58)</x:f>
      </x:c>
      <x:c r="M58" s="2" t="n">
        <x:f>'Data &amp; Reporting'!Q58</x:f>
        <x:v>1</x:v>
      </x:c>
      <x:c r="N58" s="2" t="str">
        <x:f>'Data &amp; Reporting'!L58</x:f>
        <x:v>Not started</x:v>
      </x:c>
      <x:c r="O58" s="2" t="str">
        <x:f>'Data &amp; Reporting'!N58</x:f>
        <x:v>DR.CA.3.1.2026.CY1</x:v>
      </x:c>
      <x:c r="P58" s="2" t="n">
        <x:f>'Data &amp; Reporting'!O58</x:f>
        <x:v>0</x:v>
      </x:c>
      <x:c r="Q58" s="2" t="n">
        <x:f>SUBTOTAL(103,O58)</x:f>
        <x:v>1</x:v>
      </x:c>
      <x:c r="R58" s="2" t="n">
        <x:f>IF(AND(M58=1,OR(Dashboard!$B$7="All",Dashboard!$B$7='Cycles &amp; Guide'!$C$5),OR(Dashboard!$D$7="All",Dashboard!$D$7=B58),OR(Dashboard!$F$7="All",Dashboard!$F$7=C58),OR(Dashboard!$H$7="All",Dashboard!$H$7=D58),OR(Dashboard!$K$7="All",Dashboard!$K$7=E58)),1,0)</x:f>
        <x:v>1</x:v>
      </x:c>
      <x:c r="S58" s="2" t="n">
        <x:f>IF(R58=1,SUM($R$10:R58),0)</x:f>
        <x:v>23</x:v>
      </x:c>
      <x:c r="T58" s="2" t="str">
        <x:v>Data &amp; Reporting</x:v>
      </x:c>
      <x:c r="U58" s="2" t="n">
        <x:v>58</x:v>
      </x:c>
      <x:c r="V58" s="2" t="n">
        <x:f>IF(AND(M58=1,P58=0,ISNUMBER(J58),J58&lt;TODAY()),1,0)</x:f>
        <x:v>1</x:v>
      </x:c>
      <x:c r="W58" s="2" t="str">
        <x:f>'Data &amp; Reporting'!M58</x:f>
        <x:v>Task</x:v>
      </x:c>
    </x:row>
    <x:row r="59" ht="40" customHeight="1">
      <x:c r="A59" s="3" t="str">
        <x:f>HYPERLINK("#'Data &amp; Reporting'!A59","Open")</x:f>
        <x:v>Open</x:v>
      </x:c>
      <x:c r="B59" s="2" t="str">
        <x:f>'Data &amp; Reporting'!B59</x:f>
        <x:v>Cycle 1</x:v>
      </x:c>
      <x:c r="C59" s="2" t="str">
        <x:f>'Data &amp; Reporting'!C59</x:f>
        <x:v>Phase 3</x:v>
      </x:c>
      <x:c r="D59" s="2" t="str">
        <x:f>'Data &amp; Reporting'!D59</x:f>
        <x:v>Cards</x:v>
      </x:c>
      <x:c r="E59" s="2" t="str">
        <x:v>Data &amp; Reporting</x:v>
      </x:c>
      <x:c r="F59" s="56" t="str">
        <x:f>'Data &amp; Reporting'!E59</x:f>
        <x:v>DR.CA.3.2</x:v>
      </x:c>
      <x:c r="G59" s="14" t="str">
        <x:f>'Data &amp; Reporting'!F59</x:f>
        <x:v>Attach the data package for each topic recommendation within the SharePoint list item</x:v>
      </x:c>
      <x:c r="H59" s="2" t="str">
        <x:f>IF('Data &amp; Reporting'!G59="","",'Data &amp; Reporting'!G59)</x:f>
      </x:c>
      <x:c r="I59" s="12" t="str">
        <x:f>IF('Data &amp; Reporting'!H59="","",'Data &amp; Reporting'!H59)</x:f>
      </x:c>
      <x:c r="J59" s="12" t="n">
        <x:f>IF('Data &amp; Reporting'!I59="","",'Data &amp; Reporting'!I59)</x:f>
        <x:v>46112</x:v>
      </x:c>
      <x:c r="K59" s="12" t="str">
        <x:f>IF('Data &amp; Reporting'!J59="","",'Data &amp; Reporting'!J59)</x:f>
      </x:c>
      <x:c r="L59" s="2" t="str">
        <x:f>IF('Data &amp; Reporting'!K59="","",'Data &amp; Reporting'!K59)</x:f>
      </x:c>
      <x:c r="M59" s="2" t="n">
        <x:f>'Data &amp; Reporting'!Q59</x:f>
        <x:v>1</x:v>
      </x:c>
      <x:c r="N59" s="2" t="str">
        <x:f>'Data &amp; Reporting'!L59</x:f>
        <x:v>Not started</x:v>
      </x:c>
      <x:c r="O59" s="2" t="str">
        <x:f>'Data &amp; Reporting'!N59</x:f>
        <x:v>DR.CA.3.2.2026.CY1</x:v>
      </x:c>
      <x:c r="P59" s="2" t="n">
        <x:f>'Data &amp; Reporting'!O59</x:f>
        <x:v>0</x:v>
      </x:c>
      <x:c r="Q59" s="2" t="n">
        <x:f>SUBTOTAL(103,O59)</x:f>
        <x:v>1</x:v>
      </x:c>
      <x:c r="R59" s="2" t="n">
        <x:f>IF(AND(M59=1,OR(Dashboard!$B$7="All",Dashboard!$B$7='Cycles &amp; Guide'!$C$5),OR(Dashboard!$D$7="All",Dashboard!$D$7=B59),OR(Dashboard!$F$7="All",Dashboard!$F$7=C59),OR(Dashboard!$H$7="All",Dashboard!$H$7=D59),OR(Dashboard!$K$7="All",Dashboard!$K$7=E59)),1,0)</x:f>
        <x:v>1</x:v>
      </x:c>
      <x:c r="S59" s="2" t="n">
        <x:f>IF(R59=1,SUM($R$10:R59),0)</x:f>
        <x:v>24</x:v>
      </x:c>
      <x:c r="T59" s="2" t="str">
        <x:v>Data &amp; Reporting</x:v>
      </x:c>
      <x:c r="U59" s="2" t="n">
        <x:v>59</x:v>
      </x:c>
      <x:c r="V59" s="2" t="n">
        <x:f>IF(AND(M59=1,P59=0,ISNUMBER(J59),J59&lt;TODAY()),1,0)</x:f>
        <x:v>1</x:v>
      </x:c>
      <x:c r="W59" s="2" t="str">
        <x:f>'Data &amp; Reporting'!M59</x:f>
        <x:v>Task</x:v>
      </x:c>
    </x:row>
    <x:row r="60" ht="40" customHeight="1">
      <x:c r="A60" s="3" t="str">
        <x:f>HYPERLINK("#'Data &amp; Reporting'!A60","Open")</x:f>
        <x:v>Open</x:v>
      </x:c>
      <x:c r="B60" s="2" t="str">
        <x:f>'Data &amp; Reporting'!B60</x:f>
        <x:v>Cycle 1</x:v>
      </x:c>
      <x:c r="C60" s="2" t="str">
        <x:f>'Data &amp; Reporting'!C60</x:f>
        <x:v>Phase 3</x:v>
      </x:c>
      <x:c r="D60" s="2" t="str">
        <x:f>'Data &amp; Reporting'!D60</x:f>
        <x:v>Cards</x:v>
      </x:c>
      <x:c r="E60" s="2" t="str">
        <x:v>Data &amp; Reporting</x:v>
      </x:c>
      <x:c r="F60" s="56" t="str">
        <x:f>'Data &amp; Reporting'!E60</x:f>
        <x:v>DR.CA.3.3</x:v>
      </x:c>
      <x:c r="G60" s="14" t="str">
        <x:f>'Data &amp; Reporting'!F60</x:f>
        <x:v>Confirm data privileges have been granted, ensuring each pillar can access</x:v>
      </x:c>
      <x:c r="H60" s="2" t="str">
        <x:f>IF('Data &amp; Reporting'!G60="","",'Data &amp; Reporting'!G60)</x:f>
      </x:c>
      <x:c r="I60" s="12" t="str">
        <x:f>IF('Data &amp; Reporting'!H60="","",'Data &amp; Reporting'!H60)</x:f>
      </x:c>
      <x:c r="J60" s="12" t="n">
        <x:f>IF('Data &amp; Reporting'!I60="","",'Data &amp; Reporting'!I60)</x:f>
        <x:v>46112</x:v>
      </x:c>
      <x:c r="K60" s="12" t="str">
        <x:f>IF('Data &amp; Reporting'!J60="","",'Data &amp; Reporting'!J60)</x:f>
      </x:c>
      <x:c r="L60" s="2" t="str">
        <x:f>IF('Data &amp; Reporting'!K60="","",'Data &amp; Reporting'!K60)</x:f>
      </x:c>
      <x:c r="M60" s="2" t="n">
        <x:f>'Data &amp; Reporting'!Q60</x:f>
        <x:v>1</x:v>
      </x:c>
      <x:c r="N60" s="2" t="str">
        <x:f>'Data &amp; Reporting'!L60</x:f>
        <x:v>Not started</x:v>
      </x:c>
      <x:c r="O60" s="2" t="str">
        <x:f>'Data &amp; Reporting'!N60</x:f>
        <x:v>DR.CA.3.3.2026.CY1</x:v>
      </x:c>
      <x:c r="P60" s="2" t="n">
        <x:f>'Data &amp; Reporting'!O60</x:f>
        <x:v>0</x:v>
      </x:c>
      <x:c r="Q60" s="2" t="n">
        <x:f>SUBTOTAL(103,O60)</x:f>
        <x:v>1</x:v>
      </x:c>
      <x:c r="R60" s="2" t="n">
        <x:f>IF(AND(M60=1,OR(Dashboard!$B$7="All",Dashboard!$B$7='Cycles &amp; Guide'!$C$5),OR(Dashboard!$D$7="All",Dashboard!$D$7=B60),OR(Dashboard!$F$7="All",Dashboard!$F$7=C60),OR(Dashboard!$H$7="All",Dashboard!$H$7=D60),OR(Dashboard!$K$7="All",Dashboard!$K$7=E60)),1,0)</x:f>
        <x:v>1</x:v>
      </x:c>
      <x:c r="S60" s="2" t="n">
        <x:f>IF(R60=1,SUM($R$10:R60),0)</x:f>
        <x:v>25</x:v>
      </x:c>
      <x:c r="T60" s="2" t="str">
        <x:v>Data &amp; Reporting</x:v>
      </x:c>
      <x:c r="U60" s="2" t="n">
        <x:v>60</x:v>
      </x:c>
      <x:c r="V60" s="2" t="n">
        <x:f>IF(AND(M60=1,P60=0,ISNUMBER(J60),J60&lt;TODAY()),1,0)</x:f>
        <x:v>1</x:v>
      </x:c>
      <x:c r="W60" s="2" t="str">
        <x:f>'Data &amp; Reporting'!M60</x:f>
        <x:v>Task</x:v>
      </x:c>
    </x:row>
    <x:row r="61" ht="40" customHeight="1">
      <x:c r="A61" s="3" t="str">
        <x:f>HYPERLINK("#'Data &amp; Reporting'!A61","Open")</x:f>
        <x:v>Open</x:v>
      </x:c>
      <x:c r="B61" s="2" t="str">
        <x:f>'Data &amp; Reporting'!B61</x:f>
        <x:v>Cycle 1</x:v>
      </x:c>
      <x:c r="C61" s="2" t="str">
        <x:f>'Data &amp; Reporting'!C61</x:f>
        <x:v>Phase 3</x:v>
      </x:c>
      <x:c r="D61" s="2" t="str">
        <x:f>'Data &amp; Reporting'!D61</x:f>
        <x:v>Cards</x:v>
      </x:c>
      <x:c r="E61" s="2" t="str">
        <x:v>Data &amp; Reporting</x:v>
      </x:c>
      <x:c r="F61" s="56" t="str">
        <x:f>'Data &amp; Reporting'!E61</x:f>
        <x:v>DR.CA.3.4</x:v>
      </x:c>
      <x:c r="G61" s="14" t="str">
        <x:f>'Data &amp; Reporting'!F61</x:f>
        <x:v>Ensure Power Automate notifications were correctly triggered within Microsoft Teams</x:v>
      </x:c>
      <x:c r="H61" s="2" t="str">
        <x:f>IF('Data &amp; Reporting'!G61="","",'Data &amp; Reporting'!G61)</x:f>
      </x:c>
      <x:c r="I61" s="12" t="str">
        <x:f>IF('Data &amp; Reporting'!H61="","",'Data &amp; Reporting'!H61)</x:f>
      </x:c>
      <x:c r="J61" s="12" t="n">
        <x:f>IF('Data &amp; Reporting'!I61="","",'Data &amp; Reporting'!I61)</x:f>
        <x:v>46112</x:v>
      </x:c>
      <x:c r="K61" s="12" t="str">
        <x:f>IF('Data &amp; Reporting'!J61="","",'Data &amp; Reporting'!J61)</x:f>
      </x:c>
      <x:c r="L61" s="2" t="str">
        <x:f>IF('Data &amp; Reporting'!K61="","",'Data &amp; Reporting'!K61)</x:f>
      </x:c>
      <x:c r="M61" s="2" t="n">
        <x:f>'Data &amp; Reporting'!Q61</x:f>
        <x:v>1</x:v>
      </x:c>
      <x:c r="N61" s="2" t="str">
        <x:f>'Data &amp; Reporting'!L61</x:f>
        <x:v>Not started</x:v>
      </x:c>
      <x:c r="O61" s="2" t="str">
        <x:f>'Data &amp; Reporting'!N61</x:f>
        <x:v>DR.CA.3.4.2026.CY1</x:v>
      </x:c>
      <x:c r="P61" s="2" t="n">
        <x:f>'Data &amp; Reporting'!O61</x:f>
        <x:v>0</x:v>
      </x:c>
      <x:c r="Q61" s="2" t="n">
        <x:f>SUBTOTAL(103,O61)</x:f>
        <x:v>1</x:v>
      </x:c>
      <x:c r="R61" s="2" t="n">
        <x:f>IF(AND(M61=1,OR(Dashboard!$B$7="All",Dashboard!$B$7='Cycles &amp; Guide'!$C$5),OR(Dashboard!$D$7="All",Dashboard!$D$7=B61),OR(Dashboard!$F$7="All",Dashboard!$F$7=C61),OR(Dashboard!$H$7="All",Dashboard!$H$7=D61),OR(Dashboard!$K$7="All",Dashboard!$K$7=E61)),1,0)</x:f>
        <x:v>1</x:v>
      </x:c>
      <x:c r="S61" s="2" t="n">
        <x:f>IF(R61=1,SUM($R$10:R61),0)</x:f>
        <x:v>26</x:v>
      </x:c>
      <x:c r="T61" s="2" t="str">
        <x:v>Data &amp; Reporting</x:v>
      </x:c>
      <x:c r="U61" s="2" t="n">
        <x:v>61</x:v>
      </x:c>
      <x:c r="V61" s="2" t="n">
        <x:f>IF(AND(M61=1,P61=0,ISNUMBER(J61),J61&lt;TODAY()),1,0)</x:f>
        <x:v>1</x:v>
      </x:c>
      <x:c r="W61" s="2" t="str">
        <x:f>'Data &amp; Reporting'!M61</x:f>
        <x:v>Task</x:v>
      </x:c>
    </x:row>
    <x:row r="62" ht="40" customHeight="1">
      <x:c r="A62" s="3" t="str">
        <x:f>HYPERLINK("#'Data &amp; Reporting'!A62","Open")</x:f>
        <x:v>Open</x:v>
      </x:c>
      <x:c r="B62" s="2" t="str">
        <x:f>'Data &amp; Reporting'!B62</x:f>
        <x:v>Cycle 1</x:v>
      </x:c>
      <x:c r="C62" s="2" t="str">
        <x:f>'Data &amp; Reporting'!C62</x:f>
        <x:v>Phase 1</x:v>
      </x:c>
      <x:c r="D62" s="2" t="str">
        <x:f>'Data &amp; Reporting'!D62</x:f>
        <x:v>CSBBO - Banking Ops</x:v>
      </x:c>
      <x:c r="E62" s="2" t="str">
        <x:v>Data &amp; Reporting</x:v>
      </x:c>
      <x:c r="F62" s="56" t="str">
        <x:f>'Data &amp; Reporting'!E62</x:f>
        <x:v>DR.BO.1.1</x:v>
      </x:c>
      <x:c r="G62" s="14" t="str">
        <x:f>'Data &amp; Reporting'!F62</x:f>
        <x:v>Review data sources 3 weeks prior to Cycle start (Complaints, Gen AI, Loudspeaker, NPS, etc.)</x:v>
      </x:c>
      <x:c r="H62" s="2" t="str">
        <x:f>IF('Data &amp; Reporting'!G62="","",'Data &amp; Reporting'!G62)</x:f>
      </x:c>
      <x:c r="I62" s="12" t="str">
        <x:f>IF('Data &amp; Reporting'!H62="","",'Data &amp; Reporting'!H62)</x:f>
      </x:c>
      <x:c r="J62" s="12" t="n">
        <x:f>IF('Data &amp; Reporting'!I62="","",'Data &amp; Reporting'!I62)</x:f>
        <x:v>46002</x:v>
      </x:c>
      <x:c r="K62" s="12" t="str">
        <x:f>IF('Data &amp; Reporting'!J62="","",'Data &amp; Reporting'!J62)</x:f>
      </x:c>
      <x:c r="L62" s="2" t="str">
        <x:f>IF('Data &amp; Reporting'!K62="","",'Data &amp; Reporting'!K62)</x:f>
      </x:c>
      <x:c r="M62" s="2" t="n">
        <x:f>'Data &amp; Reporting'!Q62</x:f>
        <x:v>1</x:v>
      </x:c>
      <x:c r="N62" s="2" t="str">
        <x:f>'Data &amp; Reporting'!L62</x:f>
        <x:v>Not started</x:v>
      </x:c>
      <x:c r="O62" s="2" t="str">
        <x:f>'Data &amp; Reporting'!N62</x:f>
        <x:v>DR.BO.1.1.2026.CY1</x:v>
      </x:c>
      <x:c r="P62" s="2" t="n">
        <x:f>'Data &amp; Reporting'!O62</x:f>
        <x:v>0</x:v>
      </x:c>
      <x:c r="Q62" s="2" t="n">
        <x:f>SUBTOTAL(103,O62)</x:f>
        <x:v>1</x:v>
      </x:c>
      <x:c r="R62" s="2" t="n">
        <x:f>IF(AND(M62=1,OR(Dashboard!$B$7="All",Dashboard!$B$7='Cycles &amp; Guide'!$C$5),OR(Dashboard!$D$7="All",Dashboard!$D$7=B62),OR(Dashboard!$F$7="All",Dashboard!$F$7=C62),OR(Dashboard!$H$7="All",Dashboard!$H$7=D62),OR(Dashboard!$K$7="All",Dashboard!$K$7=E62)),1,0)</x:f>
        <x:v>1</x:v>
      </x:c>
      <x:c r="S62" s="2" t="n">
        <x:f>IF(R62=1,SUM($R$10:R62),0)</x:f>
        <x:v>27</x:v>
      </x:c>
      <x:c r="T62" s="2" t="str">
        <x:v>Data &amp; Reporting</x:v>
      </x:c>
      <x:c r="U62" s="2" t="n">
        <x:v>62</x:v>
      </x:c>
      <x:c r="V62" s="2" t="n">
        <x:f>IF(AND(M62=1,P62=0,ISNUMBER(J62),J62&lt;TODAY()),1,0)</x:f>
        <x:v>1</x:v>
      </x:c>
      <x:c r="W62" s="2" t="str">
        <x:f>'Data &amp; Reporting'!M62</x:f>
        <x:v>Task</x:v>
      </x:c>
    </x:row>
    <x:row r="63" ht="40" customHeight="1">
      <x:c r="A63" s="3" t="str">
        <x:f>HYPERLINK("#'Data &amp; Reporting'!A63","Open")</x:f>
        <x:v>Open</x:v>
      </x:c>
      <x:c r="B63" s="2" t="str">
        <x:f>'Data &amp; Reporting'!B63</x:f>
        <x:v>Cycle 1</x:v>
      </x:c>
      <x:c r="C63" s="2" t="str">
        <x:f>'Data &amp; Reporting'!C63</x:f>
        <x:v>Phase 1</x:v>
      </x:c>
      <x:c r="D63" s="2" t="str">
        <x:f>'Data &amp; Reporting'!D63</x:f>
        <x:v>CSBBO - Banking Ops</x:v>
      </x:c>
      <x:c r="E63" s="2" t="str">
        <x:v>Data &amp; Reporting</x:v>
      </x:c>
      <x:c r="F63" s="56" t="str">
        <x:f>'Data &amp; Reporting'!E63</x:f>
        <x:v>DR.BO.1.2</x:v>
      </x:c>
      <x:c r="G63" s="14" t="str">
        <x:f>'Data &amp; Reporting'!F63</x:f>
        <x:v>Identify two potential topics for the upcoming Cycle</x:v>
      </x:c>
      <x:c r="H63" s="2" t="str">
        <x:f>IF('Data &amp; Reporting'!G63="","",'Data &amp; Reporting'!G63)</x:f>
      </x:c>
      <x:c r="I63" s="12" t="str">
        <x:f>IF('Data &amp; Reporting'!H63="","",'Data &amp; Reporting'!H63)</x:f>
      </x:c>
      <x:c r="J63" s="12" t="n">
        <x:f>IF('Data &amp; Reporting'!I63="","",'Data &amp; Reporting'!I63)</x:f>
        <x:v>46112</x:v>
      </x:c>
      <x:c r="K63" s="12" t="str">
        <x:f>IF('Data &amp; Reporting'!J63="","",'Data &amp; Reporting'!J63)</x:f>
      </x:c>
      <x:c r="L63" s="2" t="str">
        <x:f>IF('Data &amp; Reporting'!K63="","",'Data &amp; Reporting'!K63)</x:f>
      </x:c>
      <x:c r="M63" s="2" t="n">
        <x:f>'Data &amp; Reporting'!Q63</x:f>
        <x:v>1</x:v>
      </x:c>
      <x:c r="N63" s="2" t="str">
        <x:f>'Data &amp; Reporting'!L63</x:f>
        <x:v>Not started</x:v>
      </x:c>
      <x:c r="O63" s="2" t="str">
        <x:f>'Data &amp; Reporting'!N63</x:f>
        <x:v>DR.BO.1.2.2026.CY1</x:v>
      </x:c>
      <x:c r="P63" s="2" t="n">
        <x:f>'Data &amp; Reporting'!O63</x:f>
        <x:v>0</x:v>
      </x:c>
      <x:c r="Q63" s="2" t="n">
        <x:f>SUBTOTAL(103,O63)</x:f>
        <x:v>1</x:v>
      </x:c>
      <x:c r="R63" s="2" t="n">
        <x:f>IF(AND(M63=1,OR(Dashboard!$B$7="All",Dashboard!$B$7='Cycles &amp; Guide'!$C$5),OR(Dashboard!$D$7="All",Dashboard!$D$7=B63),OR(Dashboard!$F$7="All",Dashboard!$F$7=C63),OR(Dashboard!$H$7="All",Dashboard!$H$7=D63),OR(Dashboard!$K$7="All",Dashboard!$K$7=E63)),1,0)</x:f>
        <x:v>1</x:v>
      </x:c>
      <x:c r="S63" s="2" t="n">
        <x:f>IF(R63=1,SUM($R$10:R63),0)</x:f>
        <x:v>28</x:v>
      </x:c>
      <x:c r="T63" s="2" t="str">
        <x:v>Data &amp; Reporting</x:v>
      </x:c>
      <x:c r="U63" s="2" t="n">
        <x:v>63</x:v>
      </x:c>
      <x:c r="V63" s="2" t="n">
        <x:f>IF(AND(M63=1,P63=0,ISNUMBER(J63),J63&lt;TODAY()),1,0)</x:f>
        <x:v>1</x:v>
      </x:c>
      <x:c r="W63" s="2" t="str">
        <x:f>'Data &amp; Reporting'!M63</x:f>
        <x:v>Task</x:v>
      </x:c>
    </x:row>
    <x:row r="64" ht="40" customHeight="1">
      <x:c r="A64" s="3" t="str">
        <x:f>HYPERLINK("#'Data &amp; Reporting'!A64","Open")</x:f>
        <x:v>Open</x:v>
      </x:c>
      <x:c r="B64" s="2" t="str">
        <x:f>'Data &amp; Reporting'!B64</x:f>
        <x:v>Cycle 1</x:v>
      </x:c>
      <x:c r="C64" s="2" t="str">
        <x:f>'Data &amp; Reporting'!C64</x:f>
        <x:v>Phase 1</x:v>
      </x:c>
      <x:c r="D64" s="2" t="str">
        <x:f>'Data &amp; Reporting'!D64</x:f>
        <x:v>CSBBO - Banking Ops</x:v>
      </x:c>
      <x:c r="E64" s="2" t="str">
        <x:v>Data &amp; Reporting</x:v>
      </x:c>
      <x:c r="F64" s="56" t="str">
        <x:f>'Data &amp; Reporting'!E64</x:f>
        <x:v>DR.BO.1.3</x:v>
      </x:c>
      <x:c r="G64" s="14" t="str">
        <x:f>'Data &amp; Reporting'!F64</x:f>
        <x:v>Extract data for both potential topics, ensuring all checklist items below are included/completed</x:v>
      </x:c>
      <x:c r="H64" s="2" t="str">
        <x:f>IF('Data &amp; Reporting'!G64="","",'Data &amp; Reporting'!G64)</x:f>
      </x:c>
      <x:c r="I64" s="12" t="str">
        <x:f>IF('Data &amp; Reporting'!H64="","",'Data &amp; Reporting'!H64)</x:f>
      </x:c>
      <x:c r="J64" s="12" t="n">
        <x:f>IF('Data &amp; Reporting'!I64="","",'Data &amp; Reporting'!I64)</x:f>
        <x:v>46112</x:v>
      </x:c>
      <x:c r="K64" s="12" t="str">
        <x:f>IF('Data &amp; Reporting'!J64="","",'Data &amp; Reporting'!J64)</x:f>
      </x:c>
      <x:c r="L64" s="2" t="str">
        <x:f>IF('Data &amp; Reporting'!K64="","",'Data &amp; Reporting'!K64)</x:f>
      </x:c>
      <x:c r="M64" s="2" t="n">
        <x:f>'Data &amp; Reporting'!Q64</x:f>
        <x:v>1</x:v>
      </x:c>
      <x:c r="N64" s="2" t="str">
        <x:f>'Data &amp; Reporting'!L64</x:f>
        <x:v>Not started</x:v>
      </x:c>
      <x:c r="O64" s="2" t="str">
        <x:f>'Data &amp; Reporting'!N64</x:f>
        <x:v>DR.BO.1.3.2026.CY1</x:v>
      </x:c>
      <x:c r="P64" s="2" t="n">
        <x:f>'Data &amp; Reporting'!O64</x:f>
        <x:v>0</x:v>
      </x:c>
      <x:c r="Q64" s="2" t="n">
        <x:f>SUBTOTAL(103,O64)</x:f>
        <x:v>1</x:v>
      </x:c>
      <x:c r="R64" s="2" t="n">
        <x:f>IF(AND(M64=1,OR(Dashboard!$B$7="All",Dashboard!$B$7='Cycles &amp; Guide'!$C$5),OR(Dashboard!$D$7="All",Dashboard!$D$7=B64),OR(Dashboard!$F$7="All",Dashboard!$F$7=C64),OR(Dashboard!$H$7="All",Dashboard!$H$7=D64),OR(Dashboard!$K$7="All",Dashboard!$K$7=E64)),1,0)</x:f>
        <x:v>1</x:v>
      </x:c>
      <x:c r="S64" s="2" t="n">
        <x:f>IF(R64=1,SUM($R$10:R64),0)</x:f>
        <x:v>29</x:v>
      </x:c>
      <x:c r="T64" s="2" t="str">
        <x:v>Data &amp; Reporting</x:v>
      </x:c>
      <x:c r="U64" s="2" t="n">
        <x:v>64</x:v>
      </x:c>
      <x:c r="V64" s="2" t="n">
        <x:f>IF(AND(M64=1,P64=0,ISNUMBER(J64),J64&lt;TODAY()),1,0)</x:f>
        <x:v>1</x:v>
      </x:c>
      <x:c r="W64" s="2" t="str">
        <x:f>'Data &amp; Reporting'!M64</x:f>
        <x:v>Task</x:v>
      </x:c>
    </x:row>
    <x:row r="65" ht="40" customHeight="1">
      <x:c r="A65" s="3" t="str">
        <x:f>HYPERLINK("#'Data &amp; Reporting'!A65","Open")</x:f>
        <x:v>Open</x:v>
      </x:c>
      <x:c r="B65" s="2" t="str">
        <x:f>'Data &amp; Reporting'!B65</x:f>
        <x:v>Cycle 1</x:v>
      </x:c>
      <x:c r="C65" s="2" t="str">
        <x:f>'Data &amp; Reporting'!C65</x:f>
        <x:v>Phase 1</x:v>
      </x:c>
      <x:c r="D65" s="2" t="str">
        <x:f>'Data &amp; Reporting'!D65</x:f>
        <x:v>CSBBO - Banking Ops</x:v>
      </x:c>
      <x:c r="E65" s="2" t="str">
        <x:v>Data &amp; Reporting</x:v>
      </x:c>
      <x:c r="F65" s="56" t="str">
        <x:f>'Data &amp; Reporting'!E65</x:f>
        <x:v>DR.BO.1.3.C01</x:v>
      </x:c>
      <x:c r="G65" s="14" t="str">
        <x:f>'Data &amp; Reporting'!F65</x:f>
        <x:v>    Document date range extracted</x:v>
      </x:c>
      <x:c r="H65" s="2" t="str">
        <x:f>IF('Data &amp; Reporting'!G65="","",'Data &amp; Reporting'!G65)</x:f>
      </x:c>
      <x:c r="I65" s="12" t="str">
        <x:f>IF('Data &amp; Reporting'!H65="","",'Data &amp; Reporting'!H65)</x:f>
      </x:c>
      <x:c r="J65" s="12" t="str">
        <x:f>IF('Data &amp; Reporting'!I65="","",'Data &amp; Reporting'!I65)</x:f>
      </x:c>
      <x:c r="K65" s="12" t="str">
        <x:f>IF('Data &amp; Reporting'!J65="","",'Data &amp; Reporting'!J65)</x:f>
      </x:c>
      <x:c r="L65" s="2" t="str">
        <x:f>IF('Data &amp; Reporting'!K65="","",'Data &amp; Reporting'!K65)</x:f>
      </x:c>
      <x:c r="M65" s="2" t="n">
        <x:f>'Data &amp; Reporting'!Q65</x:f>
        <x:v>0</x:v>
      </x:c>
      <x:c r="N65" s="2" t="str">
        <x:f>'Data &amp; Reporting'!L65</x:f>
        <x:v>Open check</x:v>
      </x:c>
      <x:c r="O65" s="2" t="str">
        <x:f>'Data &amp; Reporting'!N65</x:f>
        <x:v>DR.BO.1.3.C01.2026.CY1</x:v>
      </x:c>
      <x:c r="P65" s="2" t="n">
        <x:f>'Data &amp; Reporting'!O65</x:f>
        <x:v>0</x:v>
      </x:c>
      <x:c r="Q65" s="2" t="n">
        <x:f>SUBTOTAL(103,O65)</x:f>
        <x:v>1</x:v>
      </x:c>
      <x:c r="R65" s="2" t="n">
        <x:f>IF(AND(M65=1,OR(Dashboard!$B$7="All",Dashboard!$B$7='Cycles &amp; Guide'!$C$5),OR(Dashboard!$D$7="All",Dashboard!$D$7=B65),OR(Dashboard!$F$7="All",Dashboard!$F$7=C65),OR(Dashboard!$H$7="All",Dashboard!$H$7=D65),OR(Dashboard!$K$7="All",Dashboard!$K$7=E65)),1,0)</x:f>
        <x:v>0</x:v>
      </x:c>
      <x:c r="S65" s="2" t="n">
        <x:f>IF(R65=1,SUM($R$10:R65),0)</x:f>
        <x:v>0</x:v>
      </x:c>
      <x:c r="T65" s="2" t="str">
        <x:v>Data &amp; Reporting</x:v>
      </x:c>
      <x:c r="U65" s="2" t="n">
        <x:v>65</x:v>
      </x:c>
      <x:c r="V65" s="2" t="n">
        <x:f>IF(AND(M65=1,P65=0,ISNUMBER(J65),J65&lt;TODAY()),1,0)</x:f>
        <x:v>0</x:v>
      </x:c>
      <x:c r="W65" s="2" t="str">
        <x:f>'Data &amp; Reporting'!M65</x:f>
        <x:v>Checklist</x:v>
      </x:c>
    </x:row>
    <x:row r="66" ht="40" customHeight="1">
      <x:c r="A66" s="3" t="str">
        <x:f>HYPERLINK("#'Data &amp; Reporting'!A66","Open")</x:f>
        <x:v>Open</x:v>
      </x:c>
      <x:c r="B66" s="2" t="str">
        <x:f>'Data &amp; Reporting'!B66</x:f>
        <x:v>Cycle 1</x:v>
      </x:c>
      <x:c r="C66" s="2" t="str">
        <x:f>'Data &amp; Reporting'!C66</x:f>
        <x:v>Phase 1</x:v>
      </x:c>
      <x:c r="D66" s="2" t="str">
        <x:f>'Data &amp; Reporting'!D66</x:f>
        <x:v>CSBBO - Banking Ops</x:v>
      </x:c>
      <x:c r="E66" s="2" t="str">
        <x:v>Data &amp; Reporting</x:v>
      </x:c>
      <x:c r="F66" s="56" t="str">
        <x:f>'Data &amp; Reporting'!E66</x:f>
        <x:v>DR.BO.1.3.C02</x:v>
      </x:c>
      <x:c r="G66" s="14" t="str">
        <x:f>'Data &amp; Reporting'!F66</x:f>
        <x:v>    Document date of data pull</x:v>
      </x:c>
      <x:c r="H66" s="2" t="str">
        <x:f>IF('Data &amp; Reporting'!G66="","",'Data &amp; Reporting'!G66)</x:f>
      </x:c>
      <x:c r="I66" s="12" t="str">
        <x:f>IF('Data &amp; Reporting'!H66="","",'Data &amp; Reporting'!H66)</x:f>
      </x:c>
      <x:c r="J66" s="12" t="str">
        <x:f>IF('Data &amp; Reporting'!I66="","",'Data &amp; Reporting'!I66)</x:f>
      </x:c>
      <x:c r="K66" s="12" t="str">
        <x:f>IF('Data &amp; Reporting'!J66="","",'Data &amp; Reporting'!J66)</x:f>
      </x:c>
      <x:c r="L66" s="2" t="str">
        <x:f>IF('Data &amp; Reporting'!K66="","",'Data &amp; Reporting'!K66)</x:f>
      </x:c>
      <x:c r="M66" s="2" t="n">
        <x:f>'Data &amp; Reporting'!Q66</x:f>
        <x:v>0</x:v>
      </x:c>
      <x:c r="N66" s="2" t="str">
        <x:f>'Data &amp; Reporting'!L66</x:f>
        <x:v>Open check</x:v>
      </x:c>
      <x:c r="O66" s="2" t="str">
        <x:f>'Data &amp; Reporting'!N66</x:f>
        <x:v>DR.BO.1.3.C02.2026.CY1</x:v>
      </x:c>
      <x:c r="P66" s="2" t="n">
        <x:f>'Data &amp; Reporting'!O66</x:f>
        <x:v>0</x:v>
      </x:c>
      <x:c r="Q66" s="2" t="n">
        <x:f>SUBTOTAL(103,O66)</x:f>
        <x:v>1</x:v>
      </x:c>
      <x:c r="R66" s="2" t="n">
        <x:f>IF(AND(M66=1,OR(Dashboard!$B$7="All",Dashboard!$B$7='Cycles &amp; Guide'!$C$5),OR(Dashboard!$D$7="All",Dashboard!$D$7=B66),OR(Dashboard!$F$7="All",Dashboard!$F$7=C66),OR(Dashboard!$H$7="All",Dashboard!$H$7=D66),OR(Dashboard!$K$7="All",Dashboard!$K$7=E66)),1,0)</x:f>
        <x:v>0</x:v>
      </x:c>
      <x:c r="S66" s="2" t="n">
        <x:f>IF(R66=1,SUM($R$10:R66),0)</x:f>
        <x:v>0</x:v>
      </x:c>
      <x:c r="T66" s="2" t="str">
        <x:v>Data &amp; Reporting</x:v>
      </x:c>
      <x:c r="U66" s="2" t="n">
        <x:v>66</x:v>
      </x:c>
      <x:c r="V66" s="2" t="n">
        <x:f>IF(AND(M66=1,P66=0,ISNUMBER(J66),J66&lt;TODAY()),1,0)</x:f>
        <x:v>0</x:v>
      </x:c>
      <x:c r="W66" s="2" t="str">
        <x:f>'Data &amp; Reporting'!M66</x:f>
        <x:v>Checklist</x:v>
      </x:c>
    </x:row>
    <x:row r="67" ht="40" customHeight="1">
      <x:c r="A67" s="3" t="str">
        <x:f>HYPERLINK("#'Data &amp; Reporting'!A67","Open")</x:f>
        <x:v>Open</x:v>
      </x:c>
      <x:c r="B67" s="2" t="str">
        <x:f>'Data &amp; Reporting'!B67</x:f>
        <x:v>Cycle 1</x:v>
      </x:c>
      <x:c r="C67" s="2" t="str">
        <x:f>'Data &amp; Reporting'!C67</x:f>
        <x:v>Phase 1</x:v>
      </x:c>
      <x:c r="D67" s="2" t="str">
        <x:f>'Data &amp; Reporting'!D67</x:f>
        <x:v>CSBBO - Banking Ops</x:v>
      </x:c>
      <x:c r="E67" s="2" t="str">
        <x:v>Data &amp; Reporting</x:v>
      </x:c>
      <x:c r="F67" s="56" t="str">
        <x:f>'Data &amp; Reporting'!E67</x:f>
        <x:v>DR.BO.1.3.C03</x:v>
      </x:c>
      <x:c r="G67" s="14" t="str">
        <x:f>'Data &amp; Reporting'!F67</x:f>
        <x:v>    Document population details</x:v>
      </x:c>
      <x:c r="H67" s="2" t="str">
        <x:f>IF('Data &amp; Reporting'!G67="","",'Data &amp; Reporting'!G67)</x:f>
      </x:c>
      <x:c r="I67" s="12" t="str">
        <x:f>IF('Data &amp; Reporting'!H67="","",'Data &amp; Reporting'!H67)</x:f>
      </x:c>
      <x:c r="J67" s="12" t="str">
        <x:f>IF('Data &amp; Reporting'!I67="","",'Data &amp; Reporting'!I67)</x:f>
      </x:c>
      <x:c r="K67" s="12" t="str">
        <x:f>IF('Data &amp; Reporting'!J67="","",'Data &amp; Reporting'!J67)</x:f>
      </x:c>
      <x:c r="L67" s="2" t="str">
        <x:f>IF('Data &amp; Reporting'!K67="","",'Data &amp; Reporting'!K67)</x:f>
      </x:c>
      <x:c r="M67" s="2" t="n">
        <x:f>'Data &amp; Reporting'!Q67</x:f>
        <x:v>0</x:v>
      </x:c>
      <x:c r="N67" s="2" t="str">
        <x:f>'Data &amp; Reporting'!L67</x:f>
        <x:v>Open check</x:v>
      </x:c>
      <x:c r="O67" s="2" t="str">
        <x:f>'Data &amp; Reporting'!N67</x:f>
        <x:v>DR.BO.1.3.C03.2026.CY1</x:v>
      </x:c>
      <x:c r="P67" s="2" t="n">
        <x:f>'Data &amp; Reporting'!O67</x:f>
        <x:v>0</x:v>
      </x:c>
      <x:c r="Q67" s="2" t="n">
        <x:f>SUBTOTAL(103,O67)</x:f>
        <x:v>1</x:v>
      </x:c>
      <x:c r="R67" s="2" t="n">
        <x:f>IF(AND(M67=1,OR(Dashboard!$B$7="All",Dashboard!$B$7='Cycles &amp; Guide'!$C$5),OR(Dashboard!$D$7="All",Dashboard!$D$7=B67),OR(Dashboard!$F$7="All",Dashboard!$F$7=C67),OR(Dashboard!$H$7="All",Dashboard!$H$7=D67),OR(Dashboard!$K$7="All",Dashboard!$K$7=E67)),1,0)</x:f>
        <x:v>0</x:v>
      </x:c>
      <x:c r="S67" s="2" t="n">
        <x:f>IF(R67=1,SUM($R$10:R67),0)</x:f>
        <x:v>0</x:v>
      </x:c>
      <x:c r="T67" s="2" t="str">
        <x:v>Data &amp; Reporting</x:v>
      </x:c>
      <x:c r="U67" s="2" t="n">
        <x:v>67</x:v>
      </x:c>
      <x:c r="V67" s="2" t="n">
        <x:f>IF(AND(M67=1,P67=0,ISNUMBER(J67),J67&lt;TODAY()),1,0)</x:f>
        <x:v>0</x:v>
      </x:c>
      <x:c r="W67" s="2" t="str">
        <x:f>'Data &amp; Reporting'!M67</x:f>
        <x:v>Checklist</x:v>
      </x:c>
    </x:row>
    <x:row r="68" ht="40" customHeight="1">
      <x:c r="A68" s="3" t="str">
        <x:f>HYPERLINK("#'Data &amp; Reporting'!A68","Open")</x:f>
        <x:v>Open</x:v>
      </x:c>
      <x:c r="B68" s="2" t="str">
        <x:f>'Data &amp; Reporting'!B68</x:f>
        <x:v>Cycle 1</x:v>
      </x:c>
      <x:c r="C68" s="2" t="str">
        <x:f>'Data &amp; Reporting'!C68</x:f>
        <x:v>Phase 1</x:v>
      </x:c>
      <x:c r="D68" s="2" t="str">
        <x:f>'Data &amp; Reporting'!D68</x:f>
        <x:v>CSBBO - Banking Ops</x:v>
      </x:c>
      <x:c r="E68" s="2" t="str">
        <x:v>Data &amp; Reporting</x:v>
      </x:c>
      <x:c r="F68" s="56" t="str">
        <x:f>'Data &amp; Reporting'!E68</x:f>
        <x:v>DR.BO.1.3.C04</x:v>
      </x:c>
      <x:c r="G68" s="14" t="str">
        <x:f>'Data &amp; Reporting'!F68</x:f>
        <x:v>    Validate no data is missing</x:v>
      </x:c>
      <x:c r="H68" s="2" t="str">
        <x:f>IF('Data &amp; Reporting'!G68="","",'Data &amp; Reporting'!G68)</x:f>
      </x:c>
      <x:c r="I68" s="12" t="str">
        <x:f>IF('Data &amp; Reporting'!H68="","",'Data &amp; Reporting'!H68)</x:f>
      </x:c>
      <x:c r="J68" s="12" t="str">
        <x:f>IF('Data &amp; Reporting'!I68="","",'Data &amp; Reporting'!I68)</x:f>
      </x:c>
      <x:c r="K68" s="12" t="str">
        <x:f>IF('Data &amp; Reporting'!J68="","",'Data &amp; Reporting'!J68)</x:f>
      </x:c>
      <x:c r="L68" s="2" t="str">
        <x:f>IF('Data &amp; Reporting'!K68="","",'Data &amp; Reporting'!K68)</x:f>
      </x:c>
      <x:c r="M68" s="2" t="n">
        <x:f>'Data &amp; Reporting'!Q68</x:f>
        <x:v>0</x:v>
      </x:c>
      <x:c r="N68" s="2" t="str">
        <x:f>'Data &amp; Reporting'!L68</x:f>
        <x:v>Open check</x:v>
      </x:c>
      <x:c r="O68" s="2" t="str">
        <x:f>'Data &amp; Reporting'!N68</x:f>
        <x:v>DR.BO.1.3.C04.2026.CY1</x:v>
      </x:c>
      <x:c r="P68" s="2" t="n">
        <x:f>'Data &amp; Reporting'!O68</x:f>
        <x:v>0</x:v>
      </x:c>
      <x:c r="Q68" s="2" t="n">
        <x:f>SUBTOTAL(103,O68)</x:f>
        <x:v>1</x:v>
      </x:c>
      <x:c r="R68" s="2" t="n">
        <x:f>IF(AND(M68=1,OR(Dashboard!$B$7="All",Dashboard!$B$7='Cycles &amp; Guide'!$C$5),OR(Dashboard!$D$7="All",Dashboard!$D$7=B68),OR(Dashboard!$F$7="All",Dashboard!$F$7=C68),OR(Dashboard!$H$7="All",Dashboard!$H$7=D68),OR(Dashboard!$K$7="All",Dashboard!$K$7=E68)),1,0)</x:f>
        <x:v>0</x:v>
      </x:c>
      <x:c r="S68" s="2" t="n">
        <x:f>IF(R68=1,SUM($R$10:R68),0)</x:f>
        <x:v>0</x:v>
      </x:c>
      <x:c r="T68" s="2" t="str">
        <x:v>Data &amp; Reporting</x:v>
      </x:c>
      <x:c r="U68" s="2" t="n">
        <x:v>68</x:v>
      </x:c>
      <x:c r="V68" s="2" t="n">
        <x:f>IF(AND(M68=1,P68=0,ISNUMBER(J68),J68&lt;TODAY()),1,0)</x:f>
        <x:v>0</x:v>
      </x:c>
      <x:c r="W68" s="2" t="str">
        <x:f>'Data &amp; Reporting'!M68</x:f>
        <x:v>Checklist</x:v>
      </x:c>
    </x:row>
    <x:row r="69" ht="40" customHeight="1">
      <x:c r="A69" s="3" t="str">
        <x:f>HYPERLINK("#'Data &amp; Reporting'!A69","Open")</x:f>
        <x:v>Open</x:v>
      </x:c>
      <x:c r="B69" s="2" t="str">
        <x:f>'Data &amp; Reporting'!B69</x:f>
        <x:v>Cycle 1</x:v>
      </x:c>
      <x:c r="C69" s="2" t="str">
        <x:f>'Data &amp; Reporting'!C69</x:f>
        <x:v>Phase 1</x:v>
      </x:c>
      <x:c r="D69" s="2" t="str">
        <x:f>'Data &amp; Reporting'!D69</x:f>
        <x:v>CSBBO - Banking Ops</x:v>
      </x:c>
      <x:c r="E69" s="2" t="str">
        <x:v>Data &amp; Reporting</x:v>
      </x:c>
      <x:c r="F69" s="56" t="str">
        <x:f>'Data &amp; Reporting'!E69</x:f>
        <x:v>DR.BO.1.3.C05</x:v>
      </x:c>
      <x:c r="G69" s="14" t="str">
        <x:f>'Data &amp; Reporting'!F69</x:f>
        <x:v>    Validate accuracy of data</x:v>
      </x:c>
      <x:c r="H69" s="2" t="str">
        <x:f>IF('Data &amp; Reporting'!G69="","",'Data &amp; Reporting'!G69)</x:f>
      </x:c>
      <x:c r="I69" s="12" t="str">
        <x:f>IF('Data &amp; Reporting'!H69="","",'Data &amp; Reporting'!H69)</x:f>
      </x:c>
      <x:c r="J69" s="12" t="str">
        <x:f>IF('Data &amp; Reporting'!I69="","",'Data &amp; Reporting'!I69)</x:f>
      </x:c>
      <x:c r="K69" s="12" t="str">
        <x:f>IF('Data &amp; Reporting'!J69="","",'Data &amp; Reporting'!J69)</x:f>
      </x:c>
      <x:c r="L69" s="2" t="str">
        <x:f>IF('Data &amp; Reporting'!K69="","",'Data &amp; Reporting'!K69)</x:f>
      </x:c>
      <x:c r="M69" s="2" t="n">
        <x:f>'Data &amp; Reporting'!Q69</x:f>
        <x:v>0</x:v>
      </x:c>
      <x:c r="N69" s="2" t="str">
        <x:f>'Data &amp; Reporting'!L69</x:f>
        <x:v>Open check</x:v>
      </x:c>
      <x:c r="O69" s="2" t="str">
        <x:f>'Data &amp; Reporting'!N69</x:f>
        <x:v>DR.BO.1.3.C05.2026.CY1</x:v>
      </x:c>
      <x:c r="P69" s="2" t="n">
        <x:f>'Data &amp; Reporting'!O69</x:f>
        <x:v>0</x:v>
      </x:c>
      <x:c r="Q69" s="2" t="n">
        <x:f>SUBTOTAL(103,O69)</x:f>
        <x:v>1</x:v>
      </x:c>
      <x:c r="R69" s="2" t="n">
        <x:f>IF(AND(M69=1,OR(Dashboard!$B$7="All",Dashboard!$B$7='Cycles &amp; Guide'!$C$5),OR(Dashboard!$D$7="All",Dashboard!$D$7=B69),OR(Dashboard!$F$7="All",Dashboard!$F$7=C69),OR(Dashboard!$H$7="All",Dashboard!$H$7=D69),OR(Dashboard!$K$7="All",Dashboard!$K$7=E69)),1,0)</x:f>
        <x:v>0</x:v>
      </x:c>
      <x:c r="S69" s="2" t="n">
        <x:f>IF(R69=1,SUM($R$10:R69),0)</x:f>
        <x:v>0</x:v>
      </x:c>
      <x:c r="T69" s="2" t="str">
        <x:v>Data &amp; Reporting</x:v>
      </x:c>
      <x:c r="U69" s="2" t="n">
        <x:v>69</x:v>
      </x:c>
      <x:c r="V69" s="2" t="n">
        <x:f>IF(AND(M69=1,P69=0,ISNUMBER(J69),J69&lt;TODAY()),1,0)</x:f>
        <x:v>0</x:v>
      </x:c>
      <x:c r="W69" s="2" t="str">
        <x:f>'Data &amp; Reporting'!M69</x:f>
        <x:v>Checklist</x:v>
      </x:c>
    </x:row>
    <x:row r="70" ht="40" customHeight="1">
      <x:c r="A70" s="3" t="str">
        <x:f>HYPERLINK("#'Data &amp; Reporting'!A70","Open")</x:f>
        <x:v>Open</x:v>
      </x:c>
      <x:c r="B70" s="2" t="str">
        <x:f>'Data &amp; Reporting'!B70</x:f>
        <x:v>Cycle 1</x:v>
      </x:c>
      <x:c r="C70" s="2" t="str">
        <x:f>'Data &amp; Reporting'!C70</x:f>
        <x:v>Phase 1</x:v>
      </x:c>
      <x:c r="D70" s="2" t="str">
        <x:f>'Data &amp; Reporting'!D70</x:f>
        <x:v>CSBBO - Banking Ops</x:v>
      </x:c>
      <x:c r="E70" s="2" t="str">
        <x:v>Data &amp; Reporting</x:v>
      </x:c>
      <x:c r="F70" s="56" t="str">
        <x:f>'Data &amp; Reporting'!E70</x:f>
        <x:v>DR.BO.1.3.C06</x:v>
      </x:c>
      <x:c r="G70" s="14" t="str">
        <x:f>'Data &amp; Reporting'!F70</x:f>
        <x:v>    Validate no duplicate data is provided</x:v>
      </x:c>
      <x:c r="H70" s="2" t="str">
        <x:f>IF('Data &amp; Reporting'!G70="","",'Data &amp; Reporting'!G70)</x:f>
      </x:c>
      <x:c r="I70" s="12" t="str">
        <x:f>IF('Data &amp; Reporting'!H70="","",'Data &amp; Reporting'!H70)</x:f>
      </x:c>
      <x:c r="J70" s="12" t="str">
        <x:f>IF('Data &amp; Reporting'!I70="","",'Data &amp; Reporting'!I70)</x:f>
      </x:c>
      <x:c r="K70" s="12" t="str">
        <x:f>IF('Data &amp; Reporting'!J70="","",'Data &amp; Reporting'!J70)</x:f>
      </x:c>
      <x:c r="L70" s="2" t="str">
        <x:f>IF('Data &amp; Reporting'!K70="","",'Data &amp; Reporting'!K70)</x:f>
      </x:c>
      <x:c r="M70" s="2" t="n">
        <x:f>'Data &amp; Reporting'!Q70</x:f>
        <x:v>0</x:v>
      </x:c>
      <x:c r="N70" s="2" t="str">
        <x:f>'Data &amp; Reporting'!L70</x:f>
        <x:v>Open check</x:v>
      </x:c>
      <x:c r="O70" s="2" t="str">
        <x:f>'Data &amp; Reporting'!N70</x:f>
        <x:v>DR.BO.1.3.C06.2026.CY1</x:v>
      </x:c>
      <x:c r="P70" s="2" t="n">
        <x:f>'Data &amp; Reporting'!O70</x:f>
        <x:v>0</x:v>
      </x:c>
      <x:c r="Q70" s="2" t="n">
        <x:f>SUBTOTAL(103,O70)</x:f>
        <x:v>1</x:v>
      </x:c>
      <x:c r="R70" s="2" t="n">
        <x:f>IF(AND(M70=1,OR(Dashboard!$B$7="All",Dashboard!$B$7='Cycles &amp; Guide'!$C$5),OR(Dashboard!$D$7="All",Dashboard!$D$7=B70),OR(Dashboard!$F$7="All",Dashboard!$F$7=C70),OR(Dashboard!$H$7="All",Dashboard!$H$7=D70),OR(Dashboard!$K$7="All",Dashboard!$K$7=E70)),1,0)</x:f>
        <x:v>0</x:v>
      </x:c>
      <x:c r="S70" s="2" t="n">
        <x:f>IF(R70=1,SUM($R$10:R70),0)</x:f>
        <x:v>0</x:v>
      </x:c>
      <x:c r="T70" s="2" t="str">
        <x:v>Data &amp; Reporting</x:v>
      </x:c>
      <x:c r="U70" s="2" t="n">
        <x:v>70</x:v>
      </x:c>
      <x:c r="V70" s="2" t="n">
        <x:f>IF(AND(M70=1,P70=0,ISNUMBER(J70),J70&lt;TODAY()),1,0)</x:f>
        <x:v>0</x:v>
      </x:c>
      <x:c r="W70" s="2" t="str">
        <x:f>'Data &amp; Reporting'!M70</x:f>
        <x:v>Checklist</x:v>
      </x:c>
    </x:row>
    <x:row r="71" ht="40" customHeight="1">
      <x:c r="A71" s="3" t="str">
        <x:f>HYPERLINK("#'Data &amp; Reporting'!A71","Open")</x:f>
        <x:v>Open</x:v>
      </x:c>
      <x:c r="B71" s="2" t="str">
        <x:f>'Data &amp; Reporting'!B71</x:f>
        <x:v>Cycle 1</x:v>
      </x:c>
      <x:c r="C71" s="2" t="str">
        <x:f>'Data &amp; Reporting'!C71</x:f>
        <x:v>Phase 1</x:v>
      </x:c>
      <x:c r="D71" s="2" t="str">
        <x:f>'Data &amp; Reporting'!D71</x:f>
        <x:v>CSBBO - Banking Ops</x:v>
      </x:c>
      <x:c r="E71" s="2" t="str">
        <x:v>Data &amp; Reporting</x:v>
      </x:c>
      <x:c r="F71" s="56" t="str">
        <x:f>'Data &amp; Reporting'!E71</x:f>
        <x:v>DR.BO.1.3.C07</x:v>
      </x:c>
      <x:c r="G71" s="14" t="str">
        <x:f>'Data &amp; Reporting'!F71</x:f>
        <x:v>    Document any data exclusions along with justification (as needed)</x:v>
      </x:c>
      <x:c r="H71" s="2" t="str">
        <x:f>IF('Data &amp; Reporting'!G71="","",'Data &amp; Reporting'!G71)</x:f>
      </x:c>
      <x:c r="I71" s="12" t="str">
        <x:f>IF('Data &amp; Reporting'!H71="","",'Data &amp; Reporting'!H71)</x:f>
      </x:c>
      <x:c r="J71" s="12" t="str">
        <x:f>IF('Data &amp; Reporting'!I71="","",'Data &amp; Reporting'!I71)</x:f>
      </x:c>
      <x:c r="K71" s="12" t="str">
        <x:f>IF('Data &amp; Reporting'!J71="","",'Data &amp; Reporting'!J71)</x:f>
      </x:c>
      <x:c r="L71" s="2" t="str">
        <x:f>IF('Data &amp; Reporting'!K71="","",'Data &amp; Reporting'!K71)</x:f>
      </x:c>
      <x:c r="M71" s="2" t="n">
        <x:f>'Data &amp; Reporting'!Q71</x:f>
        <x:v>0</x:v>
      </x:c>
      <x:c r="N71" s="2" t="str">
        <x:f>'Data &amp; Reporting'!L71</x:f>
        <x:v>Open check</x:v>
      </x:c>
      <x:c r="O71" s="2" t="str">
        <x:f>'Data &amp; Reporting'!N71</x:f>
        <x:v>DR.BO.1.3.C07.2026.CY1</x:v>
      </x:c>
      <x:c r="P71" s="2" t="n">
        <x:f>'Data &amp; Reporting'!O71</x:f>
        <x:v>0</x:v>
      </x:c>
      <x:c r="Q71" s="2" t="n">
        <x:f>SUBTOTAL(103,O71)</x:f>
        <x:v>1</x:v>
      </x:c>
      <x:c r="R71" s="2" t="n">
        <x:f>IF(AND(M71=1,OR(Dashboard!$B$7="All",Dashboard!$B$7='Cycles &amp; Guide'!$C$5),OR(Dashboard!$D$7="All",Dashboard!$D$7=B71),OR(Dashboard!$F$7="All",Dashboard!$F$7=C71),OR(Dashboard!$H$7="All",Dashboard!$H$7=D71),OR(Dashboard!$K$7="All",Dashboard!$K$7=E71)),1,0)</x:f>
        <x:v>0</x:v>
      </x:c>
      <x:c r="S71" s="2" t="n">
        <x:f>IF(R71=1,SUM($R$10:R71),0)</x:f>
        <x:v>0</x:v>
      </x:c>
      <x:c r="T71" s="2" t="str">
        <x:v>Data &amp; Reporting</x:v>
      </x:c>
      <x:c r="U71" s="2" t="n">
        <x:v>71</x:v>
      </x:c>
      <x:c r="V71" s="2" t="n">
        <x:f>IF(AND(M71=1,P71=0,ISNUMBER(J71),J71&lt;TODAY()),1,0)</x:f>
        <x:v>0</x:v>
      </x:c>
      <x:c r="W71" s="2" t="str">
        <x:f>'Data &amp; Reporting'!M71</x:f>
        <x:v>Checklist</x:v>
      </x:c>
    </x:row>
    <x:row r="72" ht="40" customHeight="1">
      <x:c r="A72" s="3" t="str">
        <x:f>HYPERLINK("#'Data &amp; Reporting'!A72","Open")</x:f>
        <x:v>Open</x:v>
      </x:c>
      <x:c r="B72" s="2" t="str">
        <x:f>'Data &amp; Reporting'!B72</x:f>
        <x:v>Cycle 1</x:v>
      </x:c>
      <x:c r="C72" s="2" t="str">
        <x:f>'Data &amp; Reporting'!C72</x:f>
        <x:v>Phase 1</x:v>
      </x:c>
      <x:c r="D72" s="2" t="str">
        <x:f>'Data &amp; Reporting'!D72</x:f>
        <x:v>CSBBO - Banking Ops</x:v>
      </x:c>
      <x:c r="E72" s="2" t="str">
        <x:v>Data &amp; Reporting</x:v>
      </x:c>
      <x:c r="F72" s="56" t="str">
        <x:f>'Data &amp; Reporting'!E72</x:f>
        <x:v>DR.BO.1.3.C08</x:v>
      </x:c>
      <x:c r="G72" s="14" t="str">
        <x:f>'Data &amp; Reporting'!F72</x:f>
        <x:v>    Document any assumptions made with the data (as needed)</x:v>
      </x:c>
      <x:c r="H72" s="2" t="str">
        <x:f>IF('Data &amp; Reporting'!G72="","",'Data &amp; Reporting'!G72)</x:f>
      </x:c>
      <x:c r="I72" s="12" t="str">
        <x:f>IF('Data &amp; Reporting'!H72="","",'Data &amp; Reporting'!H72)</x:f>
      </x:c>
      <x:c r="J72" s="12" t="str">
        <x:f>IF('Data &amp; Reporting'!I72="","",'Data &amp; Reporting'!I72)</x:f>
      </x:c>
      <x:c r="K72" s="12" t="str">
        <x:f>IF('Data &amp; Reporting'!J72="","",'Data &amp; Reporting'!J72)</x:f>
      </x:c>
      <x:c r="L72" s="2" t="str">
        <x:f>IF('Data &amp; Reporting'!K72="","",'Data &amp; Reporting'!K72)</x:f>
      </x:c>
      <x:c r="M72" s="2" t="n">
        <x:f>'Data &amp; Reporting'!Q72</x:f>
        <x:v>0</x:v>
      </x:c>
      <x:c r="N72" s="2" t="str">
        <x:f>'Data &amp; Reporting'!L72</x:f>
        <x:v>Open check</x:v>
      </x:c>
      <x:c r="O72" s="2" t="str">
        <x:f>'Data &amp; Reporting'!N72</x:f>
        <x:v>DR.BO.1.3.C08.2026.CY1</x:v>
      </x:c>
      <x:c r="P72" s="2" t="n">
        <x:f>'Data &amp; Reporting'!O72</x:f>
        <x:v>0</x:v>
      </x:c>
      <x:c r="Q72" s="2" t="n">
        <x:f>SUBTOTAL(103,O72)</x:f>
        <x:v>1</x:v>
      </x:c>
      <x:c r="R72" s="2" t="n">
        <x:f>IF(AND(M72=1,OR(Dashboard!$B$7="All",Dashboard!$B$7='Cycles &amp; Guide'!$C$5),OR(Dashboard!$D$7="All",Dashboard!$D$7=B72),OR(Dashboard!$F$7="All",Dashboard!$F$7=C72),OR(Dashboard!$H$7="All",Dashboard!$H$7=D72),OR(Dashboard!$K$7="All",Dashboard!$K$7=E72)),1,0)</x:f>
        <x:v>0</x:v>
      </x:c>
      <x:c r="S72" s="2" t="n">
        <x:f>IF(R72=1,SUM($R$10:R72),0)</x:f>
        <x:v>0</x:v>
      </x:c>
      <x:c r="T72" s="2" t="str">
        <x:v>Data &amp; Reporting</x:v>
      </x:c>
      <x:c r="U72" s="2" t="n">
        <x:v>72</x:v>
      </x:c>
      <x:c r="V72" s="2" t="n">
        <x:f>IF(AND(M72=1,P72=0,ISNUMBER(J72),J72&lt;TODAY()),1,0)</x:f>
        <x:v>0</x:v>
      </x:c>
      <x:c r="W72" s="2" t="str">
        <x:f>'Data &amp; Reporting'!M72</x:f>
        <x:v>Checklist</x:v>
      </x:c>
    </x:row>
    <x:row r="73" ht="40" customHeight="1">
      <x:c r="A73" s="3" t="str">
        <x:f>HYPERLINK("#'Data &amp; Reporting'!A73","Open")</x:f>
        <x:v>Open</x:v>
      </x:c>
      <x:c r="B73" s="2" t="str">
        <x:f>'Data &amp; Reporting'!B73</x:f>
        <x:v>Cycle 1</x:v>
      </x:c>
      <x:c r="C73" s="2" t="str">
        <x:f>'Data &amp; Reporting'!C73</x:f>
        <x:v>Phase 1</x:v>
      </x:c>
      <x:c r="D73" s="2" t="str">
        <x:f>'Data &amp; Reporting'!D73</x:f>
        <x:v>CSBBO - Banking Ops</x:v>
      </x:c>
      <x:c r="E73" s="2" t="str">
        <x:v>Data &amp; Reporting</x:v>
      </x:c>
      <x:c r="F73" s="56" t="str">
        <x:f>'Data &amp; Reporting'!E73</x:f>
        <x:v>DR.BO.1.3.C09</x:v>
      </x:c>
      <x:c r="G73" s="14" t="str">
        <x:f>'Data &amp; Reporting'!F73</x:f>
        <x:v>    Document any data limitations or constraints clearly (as needed)</x:v>
      </x:c>
      <x:c r="H73" s="2" t="str">
        <x:f>IF('Data &amp; Reporting'!G73="","",'Data &amp; Reporting'!G73)</x:f>
      </x:c>
      <x:c r="I73" s="12" t="str">
        <x:f>IF('Data &amp; Reporting'!H73="","",'Data &amp; Reporting'!H73)</x:f>
      </x:c>
      <x:c r="J73" s="12" t="str">
        <x:f>IF('Data &amp; Reporting'!I73="","",'Data &amp; Reporting'!I73)</x:f>
      </x:c>
      <x:c r="K73" s="12" t="str">
        <x:f>IF('Data &amp; Reporting'!J73="","",'Data &amp; Reporting'!J73)</x:f>
      </x:c>
      <x:c r="L73" s="2" t="str">
        <x:f>IF('Data &amp; Reporting'!K73="","",'Data &amp; Reporting'!K73)</x:f>
      </x:c>
      <x:c r="M73" s="2" t="n">
        <x:f>'Data &amp; Reporting'!Q73</x:f>
        <x:v>0</x:v>
      </x:c>
      <x:c r="N73" s="2" t="str">
        <x:f>'Data &amp; Reporting'!L73</x:f>
        <x:v>Open check</x:v>
      </x:c>
      <x:c r="O73" s="2" t="str">
        <x:f>'Data &amp; Reporting'!N73</x:f>
        <x:v>DR.BO.1.3.C09.2026.CY1</x:v>
      </x:c>
      <x:c r="P73" s="2" t="n">
        <x:f>'Data &amp; Reporting'!O73</x:f>
        <x:v>0</x:v>
      </x:c>
      <x:c r="Q73" s="2" t="n">
        <x:f>SUBTOTAL(103,O73)</x:f>
        <x:v>1</x:v>
      </x:c>
      <x:c r="R73" s="2" t="n">
        <x:f>IF(AND(M73=1,OR(Dashboard!$B$7="All",Dashboard!$B$7='Cycles &amp; Guide'!$C$5),OR(Dashboard!$D$7="All",Dashboard!$D$7=B73),OR(Dashboard!$F$7="All",Dashboard!$F$7=C73),OR(Dashboard!$H$7="All",Dashboard!$H$7=D73),OR(Dashboard!$K$7="All",Dashboard!$K$7=E73)),1,0)</x:f>
        <x:v>0</x:v>
      </x:c>
      <x:c r="S73" s="2" t="n">
        <x:f>IF(R73=1,SUM($R$10:R73),0)</x:f>
        <x:v>0</x:v>
      </x:c>
      <x:c r="T73" s="2" t="str">
        <x:v>Data &amp; Reporting</x:v>
      </x:c>
      <x:c r="U73" s="2" t="n">
        <x:v>73</x:v>
      </x:c>
      <x:c r="V73" s="2" t="n">
        <x:f>IF(AND(M73=1,P73=0,ISNUMBER(J73),J73&lt;TODAY()),1,0)</x:f>
        <x:v>0</x:v>
      </x:c>
      <x:c r="W73" s="2" t="str">
        <x:f>'Data &amp; Reporting'!M73</x:f>
        <x:v>Checklist</x:v>
      </x:c>
    </x:row>
    <x:row r="74" ht="40" customHeight="1">
      <x:c r="A74" s="3" t="str">
        <x:f>HYPERLINK("#'Data &amp; Reporting'!A74","Open")</x:f>
        <x:v>Open</x:v>
      </x:c>
      <x:c r="B74" s="2" t="str">
        <x:f>'Data &amp; Reporting'!B74</x:f>
        <x:v>Cycle 1</x:v>
      </x:c>
      <x:c r="C74" s="2" t="str">
        <x:f>'Data &amp; Reporting'!C74</x:f>
        <x:v>Phase 1</x:v>
      </x:c>
      <x:c r="D74" s="2" t="str">
        <x:f>'Data &amp; Reporting'!D74</x:f>
        <x:v>CSBBO - Banking Ops</x:v>
      </x:c>
      <x:c r="E74" s="2" t="str">
        <x:v>Data &amp; Reporting</x:v>
      </x:c>
      <x:c r="F74" s="56" t="str">
        <x:f>'Data &amp; Reporting'!E74</x:f>
        <x:v>DR.BO.1.3.C10</x:v>
      </x:c>
      <x:c r="G74" s="14" t="str">
        <x:f>'Data &amp; Reporting'!F74</x:f>
        <x:v>    Document data dictionary or field definitions for columns/rows</x:v>
      </x:c>
      <x:c r="H74" s="2" t="str">
        <x:f>IF('Data &amp; Reporting'!G74="","",'Data &amp; Reporting'!G74)</x:f>
      </x:c>
      <x:c r="I74" s="12" t="str">
        <x:f>IF('Data &amp; Reporting'!H74="","",'Data &amp; Reporting'!H74)</x:f>
      </x:c>
      <x:c r="J74" s="12" t="str">
        <x:f>IF('Data &amp; Reporting'!I74="","",'Data &amp; Reporting'!I74)</x:f>
      </x:c>
      <x:c r="K74" s="12" t="str">
        <x:f>IF('Data &amp; Reporting'!J74="","",'Data &amp; Reporting'!J74)</x:f>
      </x:c>
      <x:c r="L74" s="2" t="str">
        <x:f>IF('Data &amp; Reporting'!K74="","",'Data &amp; Reporting'!K74)</x:f>
      </x:c>
      <x:c r="M74" s="2" t="n">
        <x:f>'Data &amp; Reporting'!Q74</x:f>
        <x:v>0</x:v>
      </x:c>
      <x:c r="N74" s="2" t="str">
        <x:f>'Data &amp; Reporting'!L74</x:f>
        <x:v>Open check</x:v>
      </x:c>
      <x:c r="O74" s="2" t="str">
        <x:f>'Data &amp; Reporting'!N74</x:f>
        <x:v>DR.BO.1.3.C10.2026.CY1</x:v>
      </x:c>
      <x:c r="P74" s="2" t="n">
        <x:f>'Data &amp; Reporting'!O74</x:f>
        <x:v>0</x:v>
      </x:c>
      <x:c r="Q74" s="2" t="n">
        <x:f>SUBTOTAL(103,O74)</x:f>
        <x:v>1</x:v>
      </x:c>
      <x:c r="R74" s="2" t="n">
        <x:f>IF(AND(M74=1,OR(Dashboard!$B$7="All",Dashboard!$B$7='Cycles &amp; Guide'!$C$5),OR(Dashboard!$D$7="All",Dashboard!$D$7=B74),OR(Dashboard!$F$7="All",Dashboard!$F$7=C74),OR(Dashboard!$H$7="All",Dashboard!$H$7=D74),OR(Dashboard!$K$7="All",Dashboard!$K$7=E74)),1,0)</x:f>
        <x:v>0</x:v>
      </x:c>
      <x:c r="S74" s="2" t="n">
        <x:f>IF(R74=1,SUM($R$10:R74),0)</x:f>
        <x:v>0</x:v>
      </x:c>
      <x:c r="T74" s="2" t="str">
        <x:v>Data &amp; Reporting</x:v>
      </x:c>
      <x:c r="U74" s="2" t="n">
        <x:v>74</x:v>
      </x:c>
      <x:c r="V74" s="2" t="n">
        <x:f>IF(AND(M74=1,P74=0,ISNUMBER(J74),J74&lt;TODAY()),1,0)</x:f>
        <x:v>0</x:v>
      </x:c>
      <x:c r="W74" s="2" t="str">
        <x:f>'Data &amp; Reporting'!M74</x:f>
        <x:v>Checklist</x:v>
      </x:c>
    </x:row>
    <x:row r="75" ht="40" customHeight="1">
      <x:c r="A75" s="3" t="str">
        <x:f>HYPERLINK("#'Data &amp; Reporting'!A75","Open")</x:f>
        <x:v>Open</x:v>
      </x:c>
      <x:c r="B75" s="2" t="str">
        <x:f>'Data &amp; Reporting'!B75</x:f>
        <x:v>Cycle 1</x:v>
      </x:c>
      <x:c r="C75" s="2" t="str">
        <x:f>'Data &amp; Reporting'!C75</x:f>
        <x:v>Phase 1</x:v>
      </x:c>
      <x:c r="D75" s="2" t="str">
        <x:f>'Data &amp; Reporting'!D75</x:f>
        <x:v>CSBBO - Banking Ops</x:v>
      </x:c>
      <x:c r="E75" s="2" t="str">
        <x:v>Data &amp; Reporting</x:v>
      </x:c>
      <x:c r="F75" s="56" t="str">
        <x:f>'Data &amp; Reporting'!E75</x:f>
        <x:v>DR.BO.1.3.C11</x:v>
      </x:c>
      <x:c r="G75" s="14" t="str">
        <x:f>'Data &amp; Reporting'!F75</x:f>
        <x:v>    Document emerging trends, patterns, or concentrations along with supporting data</x:v>
      </x:c>
      <x:c r="H75" s="2" t="str">
        <x:f>IF('Data &amp; Reporting'!G75="","",'Data &amp; Reporting'!G75)</x:f>
      </x:c>
      <x:c r="I75" s="12" t="str">
        <x:f>IF('Data &amp; Reporting'!H75="","",'Data &amp; Reporting'!H75)</x:f>
      </x:c>
      <x:c r="J75" s="12" t="str">
        <x:f>IF('Data &amp; Reporting'!I75="","",'Data &amp; Reporting'!I75)</x:f>
      </x:c>
      <x:c r="K75" s="12" t="str">
        <x:f>IF('Data &amp; Reporting'!J75="","",'Data &amp; Reporting'!J75)</x:f>
      </x:c>
      <x:c r="L75" s="2" t="str">
        <x:f>IF('Data &amp; Reporting'!K75="","",'Data &amp; Reporting'!K75)</x:f>
      </x:c>
      <x:c r="M75" s="2" t="n">
        <x:f>'Data &amp; Reporting'!Q75</x:f>
        <x:v>0</x:v>
      </x:c>
      <x:c r="N75" s="2" t="str">
        <x:f>'Data &amp; Reporting'!L75</x:f>
        <x:v>Open check</x:v>
      </x:c>
      <x:c r="O75" s="2" t="str">
        <x:f>'Data &amp; Reporting'!N75</x:f>
        <x:v>DR.BO.1.3.C11.2026.CY1</x:v>
      </x:c>
      <x:c r="P75" s="2" t="n">
        <x:f>'Data &amp; Reporting'!O75</x:f>
        <x:v>0</x:v>
      </x:c>
      <x:c r="Q75" s="2" t="n">
        <x:f>SUBTOTAL(103,O75)</x:f>
        <x:v>1</x:v>
      </x:c>
      <x:c r="R75" s="2" t="n">
        <x:f>IF(AND(M75=1,OR(Dashboard!$B$7="All",Dashboard!$B$7='Cycles &amp; Guide'!$C$5),OR(Dashboard!$D$7="All",Dashboard!$D$7=B75),OR(Dashboard!$F$7="All",Dashboard!$F$7=C75),OR(Dashboard!$H$7="All",Dashboard!$H$7=D75),OR(Dashboard!$K$7="All",Dashboard!$K$7=E75)),1,0)</x:f>
        <x:v>0</x:v>
      </x:c>
      <x:c r="S75" s="2" t="n">
        <x:f>IF(R75=1,SUM($R$10:R75),0)</x:f>
        <x:v>0</x:v>
      </x:c>
      <x:c r="T75" s="2" t="str">
        <x:v>Data &amp; Reporting</x:v>
      </x:c>
      <x:c r="U75" s="2" t="n">
        <x:v>75</x:v>
      </x:c>
      <x:c r="V75" s="2" t="n">
        <x:f>IF(AND(M75=1,P75=0,ISNUMBER(J75),J75&lt;TODAY()),1,0)</x:f>
        <x:v>0</x:v>
      </x:c>
      <x:c r="W75" s="2" t="str">
        <x:f>'Data &amp; Reporting'!M75</x:f>
        <x:v>Checklist</x:v>
      </x:c>
    </x:row>
    <x:row r="76" ht="40" customHeight="1">
      <x:c r="A76" s="3" t="str">
        <x:f>HYPERLINK("#'Data &amp; Reporting'!A76","Open")</x:f>
        <x:v>Open</x:v>
      </x:c>
      <x:c r="B76" s="2" t="str">
        <x:f>'Data &amp; Reporting'!B76</x:f>
        <x:v>Cycle 1</x:v>
      </x:c>
      <x:c r="C76" s="2" t="str">
        <x:f>'Data &amp; Reporting'!C76</x:f>
        <x:v>Phase 1</x:v>
      </x:c>
      <x:c r="D76" s="2" t="str">
        <x:f>'Data &amp; Reporting'!D76</x:f>
        <x:v>CSBBO - Banking Ops</x:v>
      </x:c>
      <x:c r="E76" s="2" t="str">
        <x:v>Data &amp; Reporting</x:v>
      </x:c>
      <x:c r="F76" s="56" t="str">
        <x:f>'Data &amp; Reporting'!E76</x:f>
        <x:v>DR.BO.1.3.C12</x:v>
      </x:c>
      <x:c r="G76" s="14" t="str">
        <x:f>'Data &amp; Reporting'!F76</x:f>
        <x:v>    Document any severe spikes in volume along with context (as needed)</x:v>
      </x:c>
      <x:c r="H76" s="2" t="str">
        <x:f>IF('Data &amp; Reporting'!G76="","",'Data &amp; Reporting'!G76)</x:f>
      </x:c>
      <x:c r="I76" s="12" t="str">
        <x:f>IF('Data &amp; Reporting'!H76="","",'Data &amp; Reporting'!H76)</x:f>
      </x:c>
      <x:c r="J76" s="12" t="str">
        <x:f>IF('Data &amp; Reporting'!I76="","",'Data &amp; Reporting'!I76)</x:f>
      </x:c>
      <x:c r="K76" s="12" t="str">
        <x:f>IF('Data &amp; Reporting'!J76="","",'Data &amp; Reporting'!J76)</x:f>
      </x:c>
      <x:c r="L76" s="2" t="str">
        <x:f>IF('Data &amp; Reporting'!K76="","",'Data &amp; Reporting'!K76)</x:f>
      </x:c>
      <x:c r="M76" s="2" t="n">
        <x:f>'Data &amp; Reporting'!Q76</x:f>
        <x:v>0</x:v>
      </x:c>
      <x:c r="N76" s="2" t="str">
        <x:f>'Data &amp; Reporting'!L76</x:f>
        <x:v>Open check</x:v>
      </x:c>
      <x:c r="O76" s="2" t="str">
        <x:f>'Data &amp; Reporting'!N76</x:f>
        <x:v>DR.BO.1.3.C12.2026.CY1</x:v>
      </x:c>
      <x:c r="P76" s="2" t="n">
        <x:f>'Data &amp; Reporting'!O76</x:f>
        <x:v>0</x:v>
      </x:c>
      <x:c r="Q76" s="2" t="n">
        <x:f>SUBTOTAL(103,O76)</x:f>
        <x:v>1</x:v>
      </x:c>
      <x:c r="R76" s="2" t="n">
        <x:f>IF(AND(M76=1,OR(Dashboard!$B$7="All",Dashboard!$B$7='Cycles &amp; Guide'!$C$5),OR(Dashboard!$D$7="All",Dashboard!$D$7=B76),OR(Dashboard!$F$7="All",Dashboard!$F$7=C76),OR(Dashboard!$H$7="All",Dashboard!$H$7=D76),OR(Dashboard!$K$7="All",Dashboard!$K$7=E76)),1,0)</x:f>
        <x:v>0</x:v>
      </x:c>
      <x:c r="S76" s="2" t="n">
        <x:f>IF(R76=1,SUM($R$10:R76),0)</x:f>
        <x:v>0</x:v>
      </x:c>
      <x:c r="T76" s="2" t="str">
        <x:v>Data &amp; Reporting</x:v>
      </x:c>
      <x:c r="U76" s="2" t="n">
        <x:v>76</x:v>
      </x:c>
      <x:c r="V76" s="2" t="n">
        <x:f>IF(AND(M76=1,P76=0,ISNUMBER(J76),J76&lt;TODAY()),1,0)</x:f>
        <x:v>0</x:v>
      </x:c>
      <x:c r="W76" s="2" t="str">
        <x:f>'Data &amp; Reporting'!M76</x:f>
        <x:v>Checklist</x:v>
      </x:c>
    </x:row>
    <x:row r="77" ht="40" customHeight="1">
      <x:c r="A77" s="3" t="str">
        <x:f>HYPERLINK("#'Data &amp; Reporting'!A77","Open")</x:f>
        <x:v>Open</x:v>
      </x:c>
      <x:c r="B77" s="2" t="str">
        <x:f>'Data &amp; Reporting'!B77</x:f>
        <x:v>Cycle 1</x:v>
      </x:c>
      <x:c r="C77" s="2" t="str">
        <x:f>'Data &amp; Reporting'!C77</x:f>
        <x:v>Phase 1</x:v>
      </x:c>
      <x:c r="D77" s="2" t="str">
        <x:f>'Data &amp; Reporting'!D77</x:f>
        <x:v>CSBBO - Banking Ops</x:v>
      </x:c>
      <x:c r="E77" s="2" t="str">
        <x:v>Data &amp; Reporting</x:v>
      </x:c>
      <x:c r="F77" s="56" t="str">
        <x:f>'Data &amp; Reporting'!E77</x:f>
        <x:v>DR.BO.1.3.C13</x:v>
      </x:c>
      <x:c r="G77" s="14" t="str">
        <x:f>'Data &amp; Reporting'!F77</x:f>
        <x:v>    Document clear summary explaining how the data connects to the potential topic</x:v>
      </x:c>
      <x:c r="H77" s="2" t="str">
        <x:f>IF('Data &amp; Reporting'!G77="","",'Data &amp; Reporting'!G77)</x:f>
      </x:c>
      <x:c r="I77" s="12" t="str">
        <x:f>IF('Data &amp; Reporting'!H77="","",'Data &amp; Reporting'!H77)</x:f>
      </x:c>
      <x:c r="J77" s="12" t="str">
        <x:f>IF('Data &amp; Reporting'!I77="","",'Data &amp; Reporting'!I77)</x:f>
      </x:c>
      <x:c r="K77" s="12" t="str">
        <x:f>IF('Data &amp; Reporting'!J77="","",'Data &amp; Reporting'!J77)</x:f>
      </x:c>
      <x:c r="L77" s="2" t="str">
        <x:f>IF('Data &amp; Reporting'!K77="","",'Data &amp; Reporting'!K77)</x:f>
      </x:c>
      <x:c r="M77" s="2" t="n">
        <x:f>'Data &amp; Reporting'!Q77</x:f>
        <x:v>0</x:v>
      </x:c>
      <x:c r="N77" s="2" t="str">
        <x:f>'Data &amp; Reporting'!L77</x:f>
        <x:v>Open check</x:v>
      </x:c>
      <x:c r="O77" s="2" t="str">
        <x:f>'Data &amp; Reporting'!N77</x:f>
        <x:v>DR.BO.1.3.C13.2026.CY1</x:v>
      </x:c>
      <x:c r="P77" s="2" t="n">
        <x:f>'Data &amp; Reporting'!O77</x:f>
        <x:v>0</x:v>
      </x:c>
      <x:c r="Q77" s="2" t="n">
        <x:f>SUBTOTAL(103,O77)</x:f>
        <x:v>1</x:v>
      </x:c>
      <x:c r="R77" s="2" t="n">
        <x:f>IF(AND(M77=1,OR(Dashboard!$B$7="All",Dashboard!$B$7='Cycles &amp; Guide'!$C$5),OR(Dashboard!$D$7="All",Dashboard!$D$7=B77),OR(Dashboard!$F$7="All",Dashboard!$F$7=C77),OR(Dashboard!$H$7="All",Dashboard!$H$7=D77),OR(Dashboard!$K$7="All",Dashboard!$K$7=E77)),1,0)</x:f>
        <x:v>0</x:v>
      </x:c>
      <x:c r="S77" s="2" t="n">
        <x:f>IF(R77=1,SUM($R$10:R77),0)</x:f>
        <x:v>0</x:v>
      </x:c>
      <x:c r="T77" s="2" t="str">
        <x:v>Data &amp; Reporting</x:v>
      </x:c>
      <x:c r="U77" s="2" t="n">
        <x:v>77</x:v>
      </x:c>
      <x:c r="V77" s="2" t="n">
        <x:f>IF(AND(M77=1,P77=0,ISNUMBER(J77),J77&lt;TODAY()),1,0)</x:f>
        <x:v>0</x:v>
      </x:c>
      <x:c r="W77" s="2" t="str">
        <x:f>'Data &amp; Reporting'!M77</x:f>
        <x:v>Checklist</x:v>
      </x:c>
    </x:row>
    <x:row r="78" ht="40" customHeight="1">
      <x:c r="A78" s="3" t="str">
        <x:f>HYPERLINK("#'Data &amp; Reporting'!A78","Open")</x:f>
        <x:v>Open</x:v>
      </x:c>
      <x:c r="B78" s="2" t="str">
        <x:f>'Data &amp; Reporting'!B78</x:f>
        <x:v>Cycle 1</x:v>
      </x:c>
      <x:c r="C78" s="2" t="str">
        <x:f>'Data &amp; Reporting'!C78</x:f>
        <x:v>Phase 2</x:v>
      </x:c>
      <x:c r="D78" s="2" t="str">
        <x:f>'Data &amp; Reporting'!D78</x:f>
        <x:v>CSBBO - Banking Ops</x:v>
      </x:c>
      <x:c r="E78" s="2" t="str">
        <x:v>Data &amp; Reporting</x:v>
      </x:c>
      <x:c r="F78" s="56" t="str">
        <x:f>'Data &amp; Reporting'!E78</x:f>
        <x:v>DR.BO.2.1</x:v>
      </x:c>
      <x:c r="G78" s="14" t="str">
        <x:f>'Data &amp; Reporting'!F78</x:f>
        <x:v>Ensure data is clean, structured, and usable without manipulation needed</x:v>
      </x:c>
      <x:c r="H78" s="2" t="str">
        <x:f>IF('Data &amp; Reporting'!G78="","",'Data &amp; Reporting'!G78)</x:f>
      </x:c>
      <x:c r="I78" s="12" t="str">
        <x:f>IF('Data &amp; Reporting'!H78="","",'Data &amp; Reporting'!H78)</x:f>
      </x:c>
      <x:c r="J78" s="12" t="n">
        <x:f>IF('Data &amp; Reporting'!I78="","",'Data &amp; Reporting'!I78)</x:f>
        <x:v>46112</x:v>
      </x:c>
      <x:c r="K78" s="12" t="str">
        <x:f>IF('Data &amp; Reporting'!J78="","",'Data &amp; Reporting'!J78)</x:f>
      </x:c>
      <x:c r="L78" s="2" t="str">
        <x:f>IF('Data &amp; Reporting'!K78="","",'Data &amp; Reporting'!K78)</x:f>
      </x:c>
      <x:c r="M78" s="2" t="n">
        <x:f>'Data &amp; Reporting'!Q78</x:f>
        <x:v>1</x:v>
      </x:c>
      <x:c r="N78" s="2" t="str">
        <x:f>'Data &amp; Reporting'!L78</x:f>
        <x:v>Not started</x:v>
      </x:c>
      <x:c r="O78" s="2" t="str">
        <x:f>'Data &amp; Reporting'!N78</x:f>
        <x:v>DR.BO.2.1.2026.CY1</x:v>
      </x:c>
      <x:c r="P78" s="2" t="n">
        <x:f>'Data &amp; Reporting'!O78</x:f>
        <x:v>0</x:v>
      </x:c>
      <x:c r="Q78" s="2" t="n">
        <x:f>SUBTOTAL(103,O78)</x:f>
        <x:v>1</x:v>
      </x:c>
      <x:c r="R78" s="2" t="n">
        <x:f>IF(AND(M78=1,OR(Dashboard!$B$7="All",Dashboard!$B$7='Cycles &amp; Guide'!$C$5),OR(Dashboard!$D$7="All",Dashboard!$D$7=B78),OR(Dashboard!$F$7="All",Dashboard!$F$7=C78),OR(Dashboard!$H$7="All",Dashboard!$H$7=D78),OR(Dashboard!$K$7="All",Dashboard!$K$7=E78)),1,0)</x:f>
        <x:v>1</x:v>
      </x:c>
      <x:c r="S78" s="2" t="n">
        <x:f>IF(R78=1,SUM($R$10:R78),0)</x:f>
        <x:v>30</x:v>
      </x:c>
      <x:c r="T78" s="2" t="str">
        <x:v>Data &amp; Reporting</x:v>
      </x:c>
      <x:c r="U78" s="2" t="n">
        <x:v>78</x:v>
      </x:c>
      <x:c r="V78" s="2" t="n">
        <x:f>IF(AND(M78=1,P78=0,ISNUMBER(J78),J78&lt;TODAY()),1,0)</x:f>
        <x:v>1</x:v>
      </x:c>
      <x:c r="W78" s="2" t="str">
        <x:f>'Data &amp; Reporting'!M78</x:f>
        <x:v>Task</x:v>
      </x:c>
    </x:row>
    <x:row r="79" ht="40" customHeight="1">
      <x:c r="A79" s="3" t="str">
        <x:f>HYPERLINK("#'Data &amp; Reporting'!A79","Open")</x:f>
        <x:v>Open</x:v>
      </x:c>
      <x:c r="B79" s="2" t="str">
        <x:f>'Data &amp; Reporting'!B79</x:f>
        <x:v>Cycle 1</x:v>
      </x:c>
      <x:c r="C79" s="2" t="str">
        <x:f>'Data &amp; Reporting'!C79</x:f>
        <x:v>Phase 2</x:v>
      </x:c>
      <x:c r="D79" s="2" t="str">
        <x:f>'Data &amp; Reporting'!D79</x:f>
        <x:v>CSBBO - Banking Ops</x:v>
      </x:c>
      <x:c r="E79" s="2" t="str">
        <x:v>Data &amp; Reporting</x:v>
      </x:c>
      <x:c r="F79" s="56" t="str">
        <x:f>'Data &amp; Reporting'!E79</x:f>
        <x:v>DR.BO.2.2</x:v>
      </x:c>
      <x:c r="G79" s="14" t="str">
        <x:f>'Data &amp; Reporting'!F79</x:f>
        <x:v>Clearly document rationale for each topic recommendation within the SharePoint list</x:v>
      </x:c>
      <x:c r="H79" s="2" t="str">
        <x:f>IF('Data &amp; Reporting'!G79="","",'Data &amp; Reporting'!G79)</x:f>
      </x:c>
      <x:c r="I79" s="12" t="str">
        <x:f>IF('Data &amp; Reporting'!H79="","",'Data &amp; Reporting'!H79)</x:f>
      </x:c>
      <x:c r="J79" s="12" t="n">
        <x:f>IF('Data &amp; Reporting'!I79="","",'Data &amp; Reporting'!I79)</x:f>
        <x:v>46112</x:v>
      </x:c>
      <x:c r="K79" s="12" t="str">
        <x:f>IF('Data &amp; Reporting'!J79="","",'Data &amp; Reporting'!J79)</x:f>
      </x:c>
      <x:c r="L79" s="2" t="str">
        <x:f>IF('Data &amp; Reporting'!K79="","",'Data &amp; Reporting'!K79)</x:f>
      </x:c>
      <x:c r="M79" s="2" t="n">
        <x:f>'Data &amp; Reporting'!Q79</x:f>
        <x:v>1</x:v>
      </x:c>
      <x:c r="N79" s="2" t="str">
        <x:f>'Data &amp; Reporting'!L79</x:f>
        <x:v>Not started</x:v>
      </x:c>
      <x:c r="O79" s="2" t="str">
        <x:f>'Data &amp; Reporting'!N79</x:f>
        <x:v>DR.BO.2.2.2026.CY1</x:v>
      </x:c>
      <x:c r="P79" s="2" t="n">
        <x:f>'Data &amp; Reporting'!O79</x:f>
        <x:v>0</x:v>
      </x:c>
      <x:c r="Q79" s="2" t="n">
        <x:f>SUBTOTAL(103,O79)</x:f>
        <x:v>1</x:v>
      </x:c>
      <x:c r="R79" s="2" t="n">
        <x:f>IF(AND(M79=1,OR(Dashboard!$B$7="All",Dashboard!$B$7='Cycles &amp; Guide'!$C$5),OR(Dashboard!$D$7="All",Dashboard!$D$7=B79),OR(Dashboard!$F$7="All",Dashboard!$F$7=C79),OR(Dashboard!$H$7="All",Dashboard!$H$7=D79),OR(Dashboard!$K$7="All",Dashboard!$K$7=E79)),1,0)</x:f>
        <x:v>1</x:v>
      </x:c>
      <x:c r="S79" s="2" t="n">
        <x:f>IF(R79=1,SUM($R$10:R79),0)</x:f>
        <x:v>31</x:v>
      </x:c>
      <x:c r="T79" s="2" t="str">
        <x:v>Data &amp; Reporting</x:v>
      </x:c>
      <x:c r="U79" s="2" t="n">
        <x:v>79</x:v>
      </x:c>
      <x:c r="V79" s="2" t="n">
        <x:f>IF(AND(M79=1,P79=0,ISNUMBER(J79),J79&lt;TODAY()),1,0)</x:f>
        <x:v>1</x:v>
      </x:c>
      <x:c r="W79" s="2" t="str">
        <x:f>'Data &amp; Reporting'!M79</x:f>
        <x:v>Task</x:v>
      </x:c>
    </x:row>
    <x:row r="80" ht="40" customHeight="1">
      <x:c r="A80" s="3" t="str">
        <x:f>HYPERLINK("#'Data &amp; Reporting'!A80","Open")</x:f>
        <x:v>Open</x:v>
      </x:c>
      <x:c r="B80" s="2" t="str">
        <x:f>'Data &amp; Reporting'!B80</x:f>
        <x:v>Cycle 1</x:v>
      </x:c>
      <x:c r="C80" s="2" t="str">
        <x:f>'Data &amp; Reporting'!C80</x:f>
        <x:v>Phase 2</x:v>
      </x:c>
      <x:c r="D80" s="2" t="str">
        <x:f>'Data &amp; Reporting'!D80</x:f>
        <x:v>CSBBO - Banking Ops</x:v>
      </x:c>
      <x:c r="E80" s="2" t="str">
        <x:v>Data &amp; Reporting</x:v>
      </x:c>
      <x:c r="F80" s="56" t="str">
        <x:f>'Data &amp; Reporting'!E80</x:f>
        <x:v>DR.BO.2.3</x:v>
      </x:c>
      <x:c r="G80" s="14" t="str">
        <x:f>'Data &amp; Reporting'!F80</x:f>
        <x:v>Verify topic is eligible for RCA and does not conflict with Attorney Client Privilege</x:v>
      </x:c>
      <x:c r="H80" s="2" t="str">
        <x:f>IF('Data &amp; Reporting'!G80="","",'Data &amp; Reporting'!G80)</x:f>
      </x:c>
      <x:c r="I80" s="12" t="str">
        <x:f>IF('Data &amp; Reporting'!H80="","",'Data &amp; Reporting'!H80)</x:f>
      </x:c>
      <x:c r="J80" s="12" t="n">
        <x:f>IF('Data &amp; Reporting'!I80="","",'Data &amp; Reporting'!I80)</x:f>
        <x:v>46112</x:v>
      </x:c>
      <x:c r="K80" s="12" t="str">
        <x:f>IF('Data &amp; Reporting'!J80="","",'Data &amp; Reporting'!J80)</x:f>
      </x:c>
      <x:c r="L80" s="2" t="str">
        <x:f>IF('Data &amp; Reporting'!K80="","",'Data &amp; Reporting'!K80)</x:f>
      </x:c>
      <x:c r="M80" s="2" t="n">
        <x:f>'Data &amp; Reporting'!Q80</x:f>
        <x:v>1</x:v>
      </x:c>
      <x:c r="N80" s="2" t="str">
        <x:f>'Data &amp; Reporting'!L80</x:f>
        <x:v>Not started</x:v>
      </x:c>
      <x:c r="O80" s="2" t="str">
        <x:f>'Data &amp; Reporting'!N80</x:f>
        <x:v>DR.BO.2.3.2026.CY1</x:v>
      </x:c>
      <x:c r="P80" s="2" t="n">
        <x:f>'Data &amp; Reporting'!O80</x:f>
        <x:v>0</x:v>
      </x:c>
      <x:c r="Q80" s="2" t="n">
        <x:f>SUBTOTAL(103,O80)</x:f>
        <x:v>1</x:v>
      </x:c>
      <x:c r="R80" s="2" t="n">
        <x:f>IF(AND(M80=1,OR(Dashboard!$B$7="All",Dashboard!$B$7='Cycles &amp; Guide'!$C$5),OR(Dashboard!$D$7="All",Dashboard!$D$7=B80),OR(Dashboard!$F$7="All",Dashboard!$F$7=C80),OR(Dashboard!$H$7="All",Dashboard!$H$7=D80),OR(Dashboard!$K$7="All",Dashboard!$K$7=E80)),1,0)</x:f>
        <x:v>1</x:v>
      </x:c>
      <x:c r="S80" s="2" t="n">
        <x:f>IF(R80=1,SUM($R$10:R80),0)</x:f>
        <x:v>32</x:v>
      </x:c>
      <x:c r="T80" s="2" t="str">
        <x:v>Data &amp; Reporting</x:v>
      </x:c>
      <x:c r="U80" s="2" t="n">
        <x:v>80</x:v>
      </x:c>
      <x:c r="V80" s="2" t="n">
        <x:f>IF(AND(M80=1,P80=0,ISNUMBER(J80),J80&lt;TODAY()),1,0)</x:f>
        <x:v>1</x:v>
      </x:c>
      <x:c r="W80" s="2" t="str">
        <x:f>'Data &amp; Reporting'!M80</x:f>
        <x:v>Task</x:v>
      </x:c>
    </x:row>
    <x:row r="81" ht="40" customHeight="1">
      <x:c r="A81" s="3" t="str">
        <x:f>HYPERLINK("#'Data &amp; Reporting'!A81","Open")</x:f>
        <x:v>Open</x:v>
      </x:c>
      <x:c r="B81" s="2" t="str">
        <x:f>'Data &amp; Reporting'!B81</x:f>
        <x:v>Cycle 1</x:v>
      </x:c>
      <x:c r="C81" s="2" t="str">
        <x:f>'Data &amp; Reporting'!C81</x:f>
        <x:v>Phase 2</x:v>
      </x:c>
      <x:c r="D81" s="2" t="str">
        <x:f>'Data &amp; Reporting'!D81</x:f>
        <x:v>CSBBO - Banking Ops</x:v>
      </x:c>
      <x:c r="E81" s="2" t="str">
        <x:v>Data &amp; Reporting</x:v>
      </x:c>
      <x:c r="F81" s="56" t="str">
        <x:f>'Data &amp; Reporting'!E81</x:f>
        <x:v>DR.BO.2.4</x:v>
      </x:c>
      <x:c r="G81" s="14" t="str">
        <x:f>'Data &amp; Reporting'!F81</x:f>
        <x:v>Ensure data is free of errors and anomalies prior to hand-off to Research</x:v>
      </x:c>
      <x:c r="H81" s="2" t="str">
        <x:f>IF('Data &amp; Reporting'!G81="","",'Data &amp; Reporting'!G81)</x:f>
      </x:c>
      <x:c r="I81" s="12" t="str">
        <x:f>IF('Data &amp; Reporting'!H81="","",'Data &amp; Reporting'!H81)</x:f>
      </x:c>
      <x:c r="J81" s="12" t="n">
        <x:f>IF('Data &amp; Reporting'!I81="","",'Data &amp; Reporting'!I81)</x:f>
        <x:v>46112</x:v>
      </x:c>
      <x:c r="K81" s="12" t="str">
        <x:f>IF('Data &amp; Reporting'!J81="","",'Data &amp; Reporting'!J81)</x:f>
      </x:c>
      <x:c r="L81" s="2" t="str">
        <x:f>IF('Data &amp; Reporting'!K81="","",'Data &amp; Reporting'!K81)</x:f>
      </x:c>
      <x:c r="M81" s="2" t="n">
        <x:f>'Data &amp; Reporting'!Q81</x:f>
        <x:v>1</x:v>
      </x:c>
      <x:c r="N81" s="2" t="str">
        <x:f>'Data &amp; Reporting'!L81</x:f>
        <x:v>Not started</x:v>
      </x:c>
      <x:c r="O81" s="2" t="str">
        <x:f>'Data &amp; Reporting'!N81</x:f>
        <x:v>DR.BO.2.4.2026.CY1</x:v>
      </x:c>
      <x:c r="P81" s="2" t="n">
        <x:f>'Data &amp; Reporting'!O81</x:f>
        <x:v>0</x:v>
      </x:c>
      <x:c r="Q81" s="2" t="n">
        <x:f>SUBTOTAL(103,O81)</x:f>
        <x:v>1</x:v>
      </x:c>
      <x:c r="R81" s="2" t="n">
        <x:f>IF(AND(M81=1,OR(Dashboard!$B$7="All",Dashboard!$B$7='Cycles &amp; Guide'!$C$5),OR(Dashboard!$D$7="All",Dashboard!$D$7=B81),OR(Dashboard!$F$7="All",Dashboard!$F$7=C81),OR(Dashboard!$H$7="All",Dashboard!$H$7=D81),OR(Dashboard!$K$7="All",Dashboard!$K$7=E81)),1,0)</x:f>
        <x:v>1</x:v>
      </x:c>
      <x:c r="S81" s="2" t="n">
        <x:f>IF(R81=1,SUM($R$10:R81),0)</x:f>
        <x:v>33</x:v>
      </x:c>
      <x:c r="T81" s="2" t="str">
        <x:v>Data &amp; Reporting</x:v>
      </x:c>
      <x:c r="U81" s="2" t="n">
        <x:v>81</x:v>
      </x:c>
      <x:c r="V81" s="2" t="n">
        <x:f>IF(AND(M81=1,P81=0,ISNUMBER(J81),J81&lt;TODAY()),1,0)</x:f>
        <x:v>1</x:v>
      </x:c>
      <x:c r="W81" s="2" t="str">
        <x:f>'Data &amp; Reporting'!M81</x:f>
        <x:v>Task</x:v>
      </x:c>
    </x:row>
    <x:row r="82" ht="40" customHeight="1">
      <x:c r="A82" s="3" t="str">
        <x:f>HYPERLINK("#'Data &amp; Reporting'!A82","Open")</x:f>
        <x:v>Open</x:v>
      </x:c>
      <x:c r="B82" s="2" t="str">
        <x:f>'Data &amp; Reporting'!B82</x:f>
        <x:v>Cycle 1</x:v>
      </x:c>
      <x:c r="C82" s="2" t="str">
        <x:f>'Data &amp; Reporting'!C82</x:f>
        <x:v>Phase 2</x:v>
      </x:c>
      <x:c r="D82" s="2" t="str">
        <x:f>'Data &amp; Reporting'!D82</x:f>
        <x:v>CSBBO - Banking Ops</x:v>
      </x:c>
      <x:c r="E82" s="2" t="str">
        <x:v>Data &amp; Reporting</x:v>
      </x:c>
      <x:c r="F82" s="56" t="str">
        <x:f>'Data &amp; Reporting'!E82</x:f>
        <x:v>DR.BO.2.5</x:v>
      </x:c>
      <x:c r="G82" s="14" t="str">
        <x:f>'Data &amp; Reporting'!F82</x:f>
        <x:v>Ensure topic is not a duplicate from a previous Cycle</x:v>
      </x:c>
      <x:c r="H82" s="2" t="str">
        <x:f>IF('Data &amp; Reporting'!G82="","",'Data &amp; Reporting'!G82)</x:f>
      </x:c>
      <x:c r="I82" s="12" t="str">
        <x:f>IF('Data &amp; Reporting'!H82="","",'Data &amp; Reporting'!H82)</x:f>
      </x:c>
      <x:c r="J82" s="12" t="n">
        <x:f>IF('Data &amp; Reporting'!I82="","",'Data &amp; Reporting'!I82)</x:f>
        <x:v>46112</x:v>
      </x:c>
      <x:c r="K82" s="12" t="str">
        <x:f>IF('Data &amp; Reporting'!J82="","",'Data &amp; Reporting'!J82)</x:f>
      </x:c>
      <x:c r="L82" s="2" t="str">
        <x:f>IF('Data &amp; Reporting'!K82="","",'Data &amp; Reporting'!K82)</x:f>
      </x:c>
      <x:c r="M82" s="2" t="n">
        <x:f>'Data &amp; Reporting'!Q82</x:f>
        <x:v>1</x:v>
      </x:c>
      <x:c r="N82" s="2" t="str">
        <x:f>'Data &amp; Reporting'!L82</x:f>
        <x:v>Not started</x:v>
      </x:c>
      <x:c r="O82" s="2" t="str">
        <x:f>'Data &amp; Reporting'!N82</x:f>
        <x:v>DR.BO.2.5.2026.CY1</x:v>
      </x:c>
      <x:c r="P82" s="2" t="n">
        <x:f>'Data &amp; Reporting'!O82</x:f>
        <x:v>0</x:v>
      </x:c>
      <x:c r="Q82" s="2" t="n">
        <x:f>SUBTOTAL(103,O82)</x:f>
        <x:v>1</x:v>
      </x:c>
      <x:c r="R82" s="2" t="n">
        <x:f>IF(AND(M82=1,OR(Dashboard!$B$7="All",Dashboard!$B$7='Cycles &amp; Guide'!$C$5),OR(Dashboard!$D$7="All",Dashboard!$D$7=B82),OR(Dashboard!$F$7="All",Dashboard!$F$7=C82),OR(Dashboard!$H$7="All",Dashboard!$H$7=D82),OR(Dashboard!$K$7="All",Dashboard!$K$7=E82)),1,0)</x:f>
        <x:v>1</x:v>
      </x:c>
      <x:c r="S82" s="2" t="n">
        <x:f>IF(R82=1,SUM($R$10:R82),0)</x:f>
        <x:v>34</x:v>
      </x:c>
      <x:c r="T82" s="2" t="str">
        <x:v>Data &amp; Reporting</x:v>
      </x:c>
      <x:c r="U82" s="2" t="n">
        <x:v>82</x:v>
      </x:c>
      <x:c r="V82" s="2" t="n">
        <x:f>IF(AND(M82=1,P82=0,ISNUMBER(J82),J82&lt;TODAY()),1,0)</x:f>
        <x:v>1</x:v>
      </x:c>
      <x:c r="W82" s="2" t="str">
        <x:f>'Data &amp; Reporting'!M82</x:f>
        <x:v>Task</x:v>
      </x:c>
    </x:row>
    <x:row r="83" ht="40" customHeight="1">
      <x:c r="A83" s="3" t="str">
        <x:f>HYPERLINK("#'Data &amp; Reporting'!A83","Open")</x:f>
        <x:v>Open</x:v>
      </x:c>
      <x:c r="B83" s="2" t="str">
        <x:f>'Data &amp; Reporting'!B83</x:f>
        <x:v>Cycle 1</x:v>
      </x:c>
      <x:c r="C83" s="2" t="str">
        <x:f>'Data &amp; Reporting'!C83</x:f>
        <x:v>Phase 2</x:v>
      </x:c>
      <x:c r="D83" s="2" t="str">
        <x:f>'Data &amp; Reporting'!D83</x:f>
        <x:v>CSBBO - Banking Ops</x:v>
      </x:c>
      <x:c r="E83" s="2" t="str">
        <x:v>Data &amp; Reporting</x:v>
      </x:c>
      <x:c r="F83" s="56" t="str">
        <x:f>'Data &amp; Reporting'!E83</x:f>
        <x:v>DR.BO.2.6</x:v>
      </x:c>
      <x:c r="G83" s="14" t="str">
        <x:f>'Data &amp; Reporting'!F83</x:f>
        <x:v>Document clear distinctions between facts, assumptions, and hypotheses within the data package</x:v>
      </x:c>
      <x:c r="H83" s="2" t="str">
        <x:f>IF('Data &amp; Reporting'!G83="","",'Data &amp; Reporting'!G83)</x:f>
      </x:c>
      <x:c r="I83" s="12" t="str">
        <x:f>IF('Data &amp; Reporting'!H83="","",'Data &amp; Reporting'!H83)</x:f>
      </x:c>
      <x:c r="J83" s="12" t="n">
        <x:f>IF('Data &amp; Reporting'!I83="","",'Data &amp; Reporting'!I83)</x:f>
        <x:v>46112</x:v>
      </x:c>
      <x:c r="K83" s="12" t="str">
        <x:f>IF('Data &amp; Reporting'!J83="","",'Data &amp; Reporting'!J83)</x:f>
      </x:c>
      <x:c r="L83" s="2" t="str">
        <x:f>IF('Data &amp; Reporting'!K83="","",'Data &amp; Reporting'!K83)</x:f>
      </x:c>
      <x:c r="M83" s="2" t="n">
        <x:f>'Data &amp; Reporting'!Q83</x:f>
        <x:v>1</x:v>
      </x:c>
      <x:c r="N83" s="2" t="str">
        <x:f>'Data &amp; Reporting'!L83</x:f>
        <x:v>Not started</x:v>
      </x:c>
      <x:c r="O83" s="2" t="str">
        <x:f>'Data &amp; Reporting'!N83</x:f>
        <x:v>DR.BO.2.6.2026.CY1</x:v>
      </x:c>
      <x:c r="P83" s="2" t="n">
        <x:f>'Data &amp; Reporting'!O83</x:f>
        <x:v>0</x:v>
      </x:c>
      <x:c r="Q83" s="2" t="n">
        <x:f>SUBTOTAL(103,O83)</x:f>
        <x:v>1</x:v>
      </x:c>
      <x:c r="R83" s="2" t="n">
        <x:f>IF(AND(M83=1,OR(Dashboard!$B$7="All",Dashboard!$B$7='Cycles &amp; Guide'!$C$5),OR(Dashboard!$D$7="All",Dashboard!$D$7=B83),OR(Dashboard!$F$7="All",Dashboard!$F$7=C83),OR(Dashboard!$H$7="All",Dashboard!$H$7=D83),OR(Dashboard!$K$7="All",Dashboard!$K$7=E83)),1,0)</x:f>
        <x:v>1</x:v>
      </x:c>
      <x:c r="S83" s="2" t="n">
        <x:f>IF(R83=1,SUM($R$10:R83),0)</x:f>
        <x:v>35</x:v>
      </x:c>
      <x:c r="T83" s="2" t="str">
        <x:v>Data &amp; Reporting</x:v>
      </x:c>
      <x:c r="U83" s="2" t="n">
        <x:v>83</x:v>
      </x:c>
      <x:c r="V83" s="2" t="n">
        <x:f>IF(AND(M83=1,P83=0,ISNUMBER(J83),J83&lt;TODAY()),1,0)</x:f>
        <x:v>1</x:v>
      </x:c>
      <x:c r="W83" s="2" t="str">
        <x:f>'Data &amp; Reporting'!M83</x:f>
        <x:v>Task</x:v>
      </x:c>
    </x:row>
    <x:row r="84" ht="40" customHeight="1">
      <x:c r="A84" s="3" t="str">
        <x:f>HYPERLINK("#'Data &amp; Reporting'!A84","Open")</x:f>
        <x:v>Open</x:v>
      </x:c>
      <x:c r="B84" s="2" t="str">
        <x:f>'Data &amp; Reporting'!B84</x:f>
        <x:v>Cycle 1</x:v>
      </x:c>
      <x:c r="C84" s="2" t="str">
        <x:f>'Data &amp; Reporting'!C84</x:f>
        <x:v>Phase 3</x:v>
      </x:c>
      <x:c r="D84" s="2" t="str">
        <x:f>'Data &amp; Reporting'!D84</x:f>
        <x:v>CSBBO - Banking Ops</x:v>
      </x:c>
      <x:c r="E84" s="2" t="str">
        <x:v>Data &amp; Reporting</x:v>
      </x:c>
      <x:c r="F84" s="56" t="str">
        <x:f>'Data &amp; Reporting'!E84</x:f>
        <x:v>DR.BO.3.1</x:v>
      </x:c>
      <x:c r="G84" s="14" t="str">
        <x:f>'Data &amp; Reporting'!F84</x:f>
        <x:v>Clearly document rationale for each topic recommendation within the SharePoint list item</x:v>
      </x:c>
      <x:c r="H84" s="2" t="str">
        <x:f>IF('Data &amp; Reporting'!G84="","",'Data &amp; Reporting'!G84)</x:f>
      </x:c>
      <x:c r="I84" s="12" t="str">
        <x:f>IF('Data &amp; Reporting'!H84="","",'Data &amp; Reporting'!H84)</x:f>
      </x:c>
      <x:c r="J84" s="12" t="n">
        <x:f>IF('Data &amp; Reporting'!I84="","",'Data &amp; Reporting'!I84)</x:f>
        <x:v>46112</x:v>
      </x:c>
      <x:c r="K84" s="12" t="str">
        <x:f>IF('Data &amp; Reporting'!J84="","",'Data &amp; Reporting'!J84)</x:f>
      </x:c>
      <x:c r="L84" s="2" t="str">
        <x:f>IF('Data &amp; Reporting'!K84="","",'Data &amp; Reporting'!K84)</x:f>
      </x:c>
      <x:c r="M84" s="2" t="n">
        <x:f>'Data &amp; Reporting'!Q84</x:f>
        <x:v>1</x:v>
      </x:c>
      <x:c r="N84" s="2" t="str">
        <x:f>'Data &amp; Reporting'!L84</x:f>
        <x:v>Not started</x:v>
      </x:c>
      <x:c r="O84" s="2" t="str">
        <x:f>'Data &amp; Reporting'!N84</x:f>
        <x:v>DR.BO.3.1.2026.CY1</x:v>
      </x:c>
      <x:c r="P84" s="2" t="n">
        <x:f>'Data &amp; Reporting'!O84</x:f>
        <x:v>0</x:v>
      </x:c>
      <x:c r="Q84" s="2" t="n">
        <x:f>SUBTOTAL(103,O84)</x:f>
        <x:v>1</x:v>
      </x:c>
      <x:c r="R84" s="2" t="n">
        <x:f>IF(AND(M84=1,OR(Dashboard!$B$7="All",Dashboard!$B$7='Cycles &amp; Guide'!$C$5),OR(Dashboard!$D$7="All",Dashboard!$D$7=B84),OR(Dashboard!$F$7="All",Dashboard!$F$7=C84),OR(Dashboard!$H$7="All",Dashboard!$H$7=D84),OR(Dashboard!$K$7="All",Dashboard!$K$7=E84)),1,0)</x:f>
        <x:v>1</x:v>
      </x:c>
      <x:c r="S84" s="2" t="n">
        <x:f>IF(R84=1,SUM($R$10:R84),0)</x:f>
        <x:v>36</x:v>
      </x:c>
      <x:c r="T84" s="2" t="str">
        <x:v>Data &amp; Reporting</x:v>
      </x:c>
      <x:c r="U84" s="2" t="n">
        <x:v>84</x:v>
      </x:c>
      <x:c r="V84" s="2" t="n">
        <x:f>IF(AND(M84=1,P84=0,ISNUMBER(J84),J84&lt;TODAY()),1,0)</x:f>
        <x:v>1</x:v>
      </x:c>
      <x:c r="W84" s="2" t="str">
        <x:f>'Data &amp; Reporting'!M84</x:f>
        <x:v>Task</x:v>
      </x:c>
    </x:row>
    <x:row r="85" ht="40" customHeight="1">
      <x:c r="A85" s="3" t="str">
        <x:f>HYPERLINK("#'Data &amp; Reporting'!A85","Open")</x:f>
        <x:v>Open</x:v>
      </x:c>
      <x:c r="B85" s="2" t="str">
        <x:f>'Data &amp; Reporting'!B85</x:f>
        <x:v>Cycle 1</x:v>
      </x:c>
      <x:c r="C85" s="2" t="str">
        <x:f>'Data &amp; Reporting'!C85</x:f>
        <x:v>Phase 3</x:v>
      </x:c>
      <x:c r="D85" s="2" t="str">
        <x:f>'Data &amp; Reporting'!D85</x:f>
        <x:v>CSBBO - Banking Ops</x:v>
      </x:c>
      <x:c r="E85" s="2" t="str">
        <x:v>Data &amp; Reporting</x:v>
      </x:c>
      <x:c r="F85" s="56" t="str">
        <x:f>'Data &amp; Reporting'!E85</x:f>
        <x:v>DR.BO.3.2</x:v>
      </x:c>
      <x:c r="G85" s="14" t="str">
        <x:f>'Data &amp; Reporting'!F85</x:f>
        <x:v>Attach the data package for each topic recommendation within the SharePoint list item</x:v>
      </x:c>
      <x:c r="H85" s="2" t="str">
        <x:f>IF('Data &amp; Reporting'!G85="","",'Data &amp; Reporting'!G85)</x:f>
      </x:c>
      <x:c r="I85" s="12" t="str">
        <x:f>IF('Data &amp; Reporting'!H85="","",'Data &amp; Reporting'!H85)</x:f>
      </x:c>
      <x:c r="J85" s="12" t="n">
        <x:f>IF('Data &amp; Reporting'!I85="","",'Data &amp; Reporting'!I85)</x:f>
        <x:v>46112</x:v>
      </x:c>
      <x:c r="K85" s="12" t="str">
        <x:f>IF('Data &amp; Reporting'!J85="","",'Data &amp; Reporting'!J85)</x:f>
      </x:c>
      <x:c r="L85" s="2" t="str">
        <x:f>IF('Data &amp; Reporting'!K85="","",'Data &amp; Reporting'!K85)</x:f>
      </x:c>
      <x:c r="M85" s="2" t="n">
        <x:f>'Data &amp; Reporting'!Q85</x:f>
        <x:v>1</x:v>
      </x:c>
      <x:c r="N85" s="2" t="str">
        <x:f>'Data &amp; Reporting'!L85</x:f>
        <x:v>Not started</x:v>
      </x:c>
      <x:c r="O85" s="2" t="str">
        <x:f>'Data &amp; Reporting'!N85</x:f>
        <x:v>DR.BO.3.2.2026.CY1</x:v>
      </x:c>
      <x:c r="P85" s="2" t="n">
        <x:f>'Data &amp; Reporting'!O85</x:f>
        <x:v>0</x:v>
      </x:c>
      <x:c r="Q85" s="2" t="n">
        <x:f>SUBTOTAL(103,O85)</x:f>
        <x:v>1</x:v>
      </x:c>
      <x:c r="R85" s="2" t="n">
        <x:f>IF(AND(M85=1,OR(Dashboard!$B$7="All",Dashboard!$B$7='Cycles &amp; Guide'!$C$5),OR(Dashboard!$D$7="All",Dashboard!$D$7=B85),OR(Dashboard!$F$7="All",Dashboard!$F$7=C85),OR(Dashboard!$H$7="All",Dashboard!$H$7=D85),OR(Dashboard!$K$7="All",Dashboard!$K$7=E85)),1,0)</x:f>
        <x:v>1</x:v>
      </x:c>
      <x:c r="S85" s="2" t="n">
        <x:f>IF(R85=1,SUM($R$10:R85),0)</x:f>
        <x:v>37</x:v>
      </x:c>
      <x:c r="T85" s="2" t="str">
        <x:v>Data &amp; Reporting</x:v>
      </x:c>
      <x:c r="U85" s="2" t="n">
        <x:v>85</x:v>
      </x:c>
      <x:c r="V85" s="2" t="n">
        <x:f>IF(AND(M85=1,P85=0,ISNUMBER(J85),J85&lt;TODAY()),1,0)</x:f>
        <x:v>1</x:v>
      </x:c>
      <x:c r="W85" s="2" t="str">
        <x:f>'Data &amp; Reporting'!M85</x:f>
        <x:v>Task</x:v>
      </x:c>
    </x:row>
    <x:row r="86" ht="40" customHeight="1">
      <x:c r="A86" s="3" t="str">
        <x:f>HYPERLINK("#'Data &amp; Reporting'!A86","Open")</x:f>
        <x:v>Open</x:v>
      </x:c>
      <x:c r="B86" s="2" t="str">
        <x:f>'Data &amp; Reporting'!B86</x:f>
        <x:v>Cycle 1</x:v>
      </x:c>
      <x:c r="C86" s="2" t="str">
        <x:f>'Data &amp; Reporting'!C86</x:f>
        <x:v>Phase 3</x:v>
      </x:c>
      <x:c r="D86" s="2" t="str">
        <x:f>'Data &amp; Reporting'!D86</x:f>
        <x:v>CSBBO - Banking Ops</x:v>
      </x:c>
      <x:c r="E86" s="2" t="str">
        <x:v>Data &amp; Reporting</x:v>
      </x:c>
      <x:c r="F86" s="56" t="str">
        <x:f>'Data &amp; Reporting'!E86</x:f>
        <x:v>DR.BO.3.3</x:v>
      </x:c>
      <x:c r="G86" s="14" t="str">
        <x:f>'Data &amp; Reporting'!F86</x:f>
        <x:v>Confirm data privileges have been granted, ensuring each pillar can access</x:v>
      </x:c>
      <x:c r="H86" s="2" t="str">
        <x:f>IF('Data &amp; Reporting'!G86="","",'Data &amp; Reporting'!G86)</x:f>
      </x:c>
      <x:c r="I86" s="12" t="str">
        <x:f>IF('Data &amp; Reporting'!H86="","",'Data &amp; Reporting'!H86)</x:f>
      </x:c>
      <x:c r="J86" s="12" t="n">
        <x:f>IF('Data &amp; Reporting'!I86="","",'Data &amp; Reporting'!I86)</x:f>
        <x:v>46112</x:v>
      </x:c>
      <x:c r="K86" s="12" t="str">
        <x:f>IF('Data &amp; Reporting'!J86="","",'Data &amp; Reporting'!J86)</x:f>
      </x:c>
      <x:c r="L86" s="2" t="str">
        <x:f>IF('Data &amp; Reporting'!K86="","",'Data &amp; Reporting'!K86)</x:f>
      </x:c>
      <x:c r="M86" s="2" t="n">
        <x:f>'Data &amp; Reporting'!Q86</x:f>
        <x:v>1</x:v>
      </x:c>
      <x:c r="N86" s="2" t="str">
        <x:f>'Data &amp; Reporting'!L86</x:f>
        <x:v>Not started</x:v>
      </x:c>
      <x:c r="O86" s="2" t="str">
        <x:f>'Data &amp; Reporting'!N86</x:f>
        <x:v>DR.BO.3.3.2026.CY1</x:v>
      </x:c>
      <x:c r="P86" s="2" t="n">
        <x:f>'Data &amp; Reporting'!O86</x:f>
        <x:v>0</x:v>
      </x:c>
      <x:c r="Q86" s="2" t="n">
        <x:f>SUBTOTAL(103,O86)</x:f>
        <x:v>1</x:v>
      </x:c>
      <x:c r="R86" s="2" t="n">
        <x:f>IF(AND(M86=1,OR(Dashboard!$B$7="All",Dashboard!$B$7='Cycles &amp; Guide'!$C$5),OR(Dashboard!$D$7="All",Dashboard!$D$7=B86),OR(Dashboard!$F$7="All",Dashboard!$F$7=C86),OR(Dashboard!$H$7="All",Dashboard!$H$7=D86),OR(Dashboard!$K$7="All",Dashboard!$K$7=E86)),1,0)</x:f>
        <x:v>1</x:v>
      </x:c>
      <x:c r="S86" s="2" t="n">
        <x:f>IF(R86=1,SUM($R$10:R86),0)</x:f>
        <x:v>38</x:v>
      </x:c>
      <x:c r="T86" s="2" t="str">
        <x:v>Data &amp; Reporting</x:v>
      </x:c>
      <x:c r="U86" s="2" t="n">
        <x:v>86</x:v>
      </x:c>
      <x:c r="V86" s="2" t="n">
        <x:f>IF(AND(M86=1,P86=0,ISNUMBER(J86),J86&lt;TODAY()),1,0)</x:f>
        <x:v>1</x:v>
      </x:c>
      <x:c r="W86" s="2" t="str">
        <x:f>'Data &amp; Reporting'!M86</x:f>
        <x:v>Task</x:v>
      </x:c>
    </x:row>
    <x:row r="87" ht="40" customHeight="1">
      <x:c r="A87" s="3" t="str">
        <x:f>HYPERLINK("#'Data &amp; Reporting'!A87","Open")</x:f>
        <x:v>Open</x:v>
      </x:c>
      <x:c r="B87" s="2" t="str">
        <x:f>'Data &amp; Reporting'!B87</x:f>
        <x:v>Cycle 1</x:v>
      </x:c>
      <x:c r="C87" s="2" t="str">
        <x:f>'Data &amp; Reporting'!C87</x:f>
        <x:v>Phase 3</x:v>
      </x:c>
      <x:c r="D87" s="2" t="str">
        <x:f>'Data &amp; Reporting'!D87</x:f>
        <x:v>CSBBO - Banking Ops</x:v>
      </x:c>
      <x:c r="E87" s="2" t="str">
        <x:v>Data &amp; Reporting</x:v>
      </x:c>
      <x:c r="F87" s="56" t="str">
        <x:f>'Data &amp; Reporting'!E87</x:f>
        <x:v>DR.BO.3.4</x:v>
      </x:c>
      <x:c r="G87" s="14" t="str">
        <x:f>'Data &amp; Reporting'!F87</x:f>
        <x:v>Ensure Power Automate notifications were correctly triggered within Microsoft Teams</x:v>
      </x:c>
      <x:c r="H87" s="2" t="str">
        <x:f>IF('Data &amp; Reporting'!G87="","",'Data &amp; Reporting'!G87)</x:f>
      </x:c>
      <x:c r="I87" s="12" t="str">
        <x:f>IF('Data &amp; Reporting'!H87="","",'Data &amp; Reporting'!H87)</x:f>
      </x:c>
      <x:c r="J87" s="12" t="n">
        <x:f>IF('Data &amp; Reporting'!I87="","",'Data &amp; Reporting'!I87)</x:f>
        <x:v>46112</x:v>
      </x:c>
      <x:c r="K87" s="12" t="str">
        <x:f>IF('Data &amp; Reporting'!J87="","",'Data &amp; Reporting'!J87)</x:f>
      </x:c>
      <x:c r="L87" s="2" t="str">
        <x:f>IF('Data &amp; Reporting'!K87="","",'Data &amp; Reporting'!K87)</x:f>
      </x:c>
      <x:c r="M87" s="2" t="n">
        <x:f>'Data &amp; Reporting'!Q87</x:f>
        <x:v>1</x:v>
      </x:c>
      <x:c r="N87" s="2" t="str">
        <x:f>'Data &amp; Reporting'!L87</x:f>
        <x:v>Not started</x:v>
      </x:c>
      <x:c r="O87" s="2" t="str">
        <x:f>'Data &amp; Reporting'!N87</x:f>
        <x:v>DR.BO.3.4.2026.CY1</x:v>
      </x:c>
      <x:c r="P87" s="2" t="n">
        <x:f>'Data &amp; Reporting'!O87</x:f>
        <x:v>0</x:v>
      </x:c>
      <x:c r="Q87" s="2" t="n">
        <x:f>SUBTOTAL(103,O87)</x:f>
        <x:v>1</x:v>
      </x:c>
      <x:c r="R87" s="2" t="n">
        <x:f>IF(AND(M87=1,OR(Dashboard!$B$7="All",Dashboard!$B$7='Cycles &amp; Guide'!$C$5),OR(Dashboard!$D$7="All",Dashboard!$D$7=B87),OR(Dashboard!$F$7="All",Dashboard!$F$7=C87),OR(Dashboard!$H$7="All",Dashboard!$H$7=D87),OR(Dashboard!$K$7="All",Dashboard!$K$7=E87)),1,0)</x:f>
        <x:v>1</x:v>
      </x:c>
      <x:c r="S87" s="2" t="n">
        <x:f>IF(R87=1,SUM($R$10:R87),0)</x:f>
        <x:v>39</x:v>
      </x:c>
      <x:c r="T87" s="2" t="str">
        <x:v>Data &amp; Reporting</x:v>
      </x:c>
      <x:c r="U87" s="2" t="n">
        <x:v>87</x:v>
      </x:c>
      <x:c r="V87" s="2" t="n">
        <x:f>IF(AND(M87=1,P87=0,ISNUMBER(J87),J87&lt;TODAY()),1,0)</x:f>
        <x:v>1</x:v>
      </x:c>
      <x:c r="W87" s="2" t="str">
        <x:f>'Data &amp; Reporting'!M87</x:f>
        <x:v>Task</x:v>
      </x:c>
    </x:row>
    <x:row r="88" ht="40" customHeight="1">
      <x:c r="A88" s="3" t="str">
        <x:f>HYPERLINK("#'Data &amp; Reporting'!A88","Open")</x:f>
        <x:v>Open</x:v>
      </x:c>
      <x:c r="B88" s="2" t="str">
        <x:f>'Data &amp; Reporting'!B88</x:f>
        <x:v>Cycle 1</x:v>
      </x:c>
      <x:c r="C88" s="2" t="str">
        <x:f>'Data &amp; Reporting'!C88</x:f>
        <x:v>Phase 1</x:v>
      </x:c>
      <x:c r="D88" s="2" t="str">
        <x:f>'Data &amp; Reporting'!D88</x:f>
        <x:v>CSBBO - Customer Service</x:v>
      </x:c>
      <x:c r="E88" s="2" t="str">
        <x:v>Data &amp; Reporting</x:v>
      </x:c>
      <x:c r="F88" s="56" t="str">
        <x:f>'Data &amp; Reporting'!E88</x:f>
        <x:v>DR.CS.1.1</x:v>
      </x:c>
      <x:c r="G88" s="14" t="str">
        <x:f>'Data &amp; Reporting'!F88</x:f>
        <x:v>Review data sources 3 weeks prior to Cycle start (Complaints, Gen AI, Loudspeaker, NPS, etc.)</x:v>
      </x:c>
      <x:c r="H88" s="2" t="str">
        <x:f>IF('Data &amp; Reporting'!G88="","",'Data &amp; Reporting'!G88)</x:f>
      </x:c>
      <x:c r="I88" s="12" t="str">
        <x:f>IF('Data &amp; Reporting'!H88="","",'Data &amp; Reporting'!H88)</x:f>
      </x:c>
      <x:c r="J88" s="12" t="n">
        <x:f>IF('Data &amp; Reporting'!I88="","",'Data &amp; Reporting'!I88)</x:f>
        <x:v>46002</x:v>
      </x:c>
      <x:c r="K88" s="12" t="str">
        <x:f>IF('Data &amp; Reporting'!J88="","",'Data &amp; Reporting'!J88)</x:f>
      </x:c>
      <x:c r="L88" s="2" t="str">
        <x:f>IF('Data &amp; Reporting'!K88="","",'Data &amp; Reporting'!K88)</x:f>
      </x:c>
      <x:c r="M88" s="2" t="n">
        <x:f>'Data &amp; Reporting'!Q88</x:f>
        <x:v>1</x:v>
      </x:c>
      <x:c r="N88" s="2" t="str">
        <x:f>'Data &amp; Reporting'!L88</x:f>
        <x:v>Not started</x:v>
      </x:c>
      <x:c r="O88" s="2" t="str">
        <x:f>'Data &amp; Reporting'!N88</x:f>
        <x:v>DR.CS.1.1.2026.CY1</x:v>
      </x:c>
      <x:c r="P88" s="2" t="n">
        <x:f>'Data &amp; Reporting'!O88</x:f>
        <x:v>0</x:v>
      </x:c>
      <x:c r="Q88" s="2" t="n">
        <x:f>SUBTOTAL(103,O88)</x:f>
        <x:v>1</x:v>
      </x:c>
      <x:c r="R88" s="2" t="n">
        <x:f>IF(AND(M88=1,OR(Dashboard!$B$7="All",Dashboard!$B$7='Cycles &amp; Guide'!$C$5),OR(Dashboard!$D$7="All",Dashboard!$D$7=B88),OR(Dashboard!$F$7="All",Dashboard!$F$7=C88),OR(Dashboard!$H$7="All",Dashboard!$H$7=D88),OR(Dashboard!$K$7="All",Dashboard!$K$7=E88)),1,0)</x:f>
        <x:v>1</x:v>
      </x:c>
      <x:c r="S88" s="2" t="n">
        <x:f>IF(R88=1,SUM($R$10:R88),0)</x:f>
        <x:v>40</x:v>
      </x:c>
      <x:c r="T88" s="2" t="str">
        <x:v>Data &amp; Reporting</x:v>
      </x:c>
      <x:c r="U88" s="2" t="n">
        <x:v>88</x:v>
      </x:c>
      <x:c r="V88" s="2" t="n">
        <x:f>IF(AND(M88=1,P88=0,ISNUMBER(J88),J88&lt;TODAY()),1,0)</x:f>
        <x:v>1</x:v>
      </x:c>
      <x:c r="W88" s="2" t="str">
        <x:f>'Data &amp; Reporting'!M88</x:f>
        <x:v>Task</x:v>
      </x:c>
    </x:row>
    <x:row r="89" ht="40" customHeight="1">
      <x:c r="A89" s="3" t="str">
        <x:f>HYPERLINK("#'Data &amp; Reporting'!A89","Open")</x:f>
        <x:v>Open</x:v>
      </x:c>
      <x:c r="B89" s="2" t="str">
        <x:f>'Data &amp; Reporting'!B89</x:f>
        <x:v>Cycle 1</x:v>
      </x:c>
      <x:c r="C89" s="2" t="str">
        <x:f>'Data &amp; Reporting'!C89</x:f>
        <x:v>Phase 1</x:v>
      </x:c>
      <x:c r="D89" s="2" t="str">
        <x:f>'Data &amp; Reporting'!D89</x:f>
        <x:v>CSBBO - Customer Service</x:v>
      </x:c>
      <x:c r="E89" s="2" t="str">
        <x:v>Data &amp; Reporting</x:v>
      </x:c>
      <x:c r="F89" s="56" t="str">
        <x:f>'Data &amp; Reporting'!E89</x:f>
        <x:v>DR.CS.1.2</x:v>
      </x:c>
      <x:c r="G89" s="14" t="str">
        <x:f>'Data &amp; Reporting'!F89</x:f>
        <x:v>Identify two potential topics for the upcoming Cycle</x:v>
      </x:c>
      <x:c r="H89" s="2" t="str">
        <x:f>IF('Data &amp; Reporting'!G89="","",'Data &amp; Reporting'!G89)</x:f>
      </x:c>
      <x:c r="I89" s="12" t="str">
        <x:f>IF('Data &amp; Reporting'!H89="","",'Data &amp; Reporting'!H89)</x:f>
      </x:c>
      <x:c r="J89" s="12" t="n">
        <x:f>IF('Data &amp; Reporting'!I89="","",'Data &amp; Reporting'!I89)</x:f>
        <x:v>46112</x:v>
      </x:c>
      <x:c r="K89" s="12" t="str">
        <x:f>IF('Data &amp; Reporting'!J89="","",'Data &amp; Reporting'!J89)</x:f>
      </x:c>
      <x:c r="L89" s="2" t="str">
        <x:f>IF('Data &amp; Reporting'!K89="","",'Data &amp; Reporting'!K89)</x:f>
      </x:c>
      <x:c r="M89" s="2" t="n">
        <x:f>'Data &amp; Reporting'!Q89</x:f>
        <x:v>1</x:v>
      </x:c>
      <x:c r="N89" s="2" t="str">
        <x:f>'Data &amp; Reporting'!L89</x:f>
        <x:v>Not started</x:v>
      </x:c>
      <x:c r="O89" s="2" t="str">
        <x:f>'Data &amp; Reporting'!N89</x:f>
        <x:v>DR.CS.1.2.2026.CY1</x:v>
      </x:c>
      <x:c r="P89" s="2" t="n">
        <x:f>'Data &amp; Reporting'!O89</x:f>
        <x:v>0</x:v>
      </x:c>
      <x:c r="Q89" s="2" t="n">
        <x:f>SUBTOTAL(103,O89)</x:f>
        <x:v>1</x:v>
      </x:c>
      <x:c r="R89" s="2" t="n">
        <x:f>IF(AND(M89=1,OR(Dashboard!$B$7="All",Dashboard!$B$7='Cycles &amp; Guide'!$C$5),OR(Dashboard!$D$7="All",Dashboard!$D$7=B89),OR(Dashboard!$F$7="All",Dashboard!$F$7=C89),OR(Dashboard!$H$7="All",Dashboard!$H$7=D89),OR(Dashboard!$K$7="All",Dashboard!$K$7=E89)),1,0)</x:f>
        <x:v>1</x:v>
      </x:c>
      <x:c r="S89" s="2" t="n">
        <x:f>IF(R89=1,SUM($R$10:R89),0)</x:f>
        <x:v>41</x:v>
      </x:c>
      <x:c r="T89" s="2" t="str">
        <x:v>Data &amp; Reporting</x:v>
      </x:c>
      <x:c r="U89" s="2" t="n">
        <x:v>89</x:v>
      </x:c>
      <x:c r="V89" s="2" t="n">
        <x:f>IF(AND(M89=1,P89=0,ISNUMBER(J89),J89&lt;TODAY()),1,0)</x:f>
        <x:v>1</x:v>
      </x:c>
      <x:c r="W89" s="2" t="str">
        <x:f>'Data &amp; Reporting'!M89</x:f>
        <x:v>Task</x:v>
      </x:c>
    </x:row>
    <x:row r="90" ht="40" customHeight="1">
      <x:c r="A90" s="3" t="str">
        <x:f>HYPERLINK("#'Data &amp; Reporting'!A90","Open")</x:f>
        <x:v>Open</x:v>
      </x:c>
      <x:c r="B90" s="2" t="str">
        <x:f>'Data &amp; Reporting'!B90</x:f>
        <x:v>Cycle 1</x:v>
      </x:c>
      <x:c r="C90" s="2" t="str">
        <x:f>'Data &amp; Reporting'!C90</x:f>
        <x:v>Phase 1</x:v>
      </x:c>
      <x:c r="D90" s="2" t="str">
        <x:f>'Data &amp; Reporting'!D90</x:f>
        <x:v>CSBBO - Customer Service</x:v>
      </x:c>
      <x:c r="E90" s="2" t="str">
        <x:v>Data &amp; Reporting</x:v>
      </x:c>
      <x:c r="F90" s="56" t="str">
        <x:f>'Data &amp; Reporting'!E90</x:f>
        <x:v>DR.CS.1.3</x:v>
      </x:c>
      <x:c r="G90" s="14" t="str">
        <x:f>'Data &amp; Reporting'!F90</x:f>
        <x:v>Extract data for both potential topics, ensuring all checklist items below are included/completed</x:v>
      </x:c>
      <x:c r="H90" s="2" t="str">
        <x:f>IF('Data &amp; Reporting'!G90="","",'Data &amp; Reporting'!G90)</x:f>
      </x:c>
      <x:c r="I90" s="12" t="str">
        <x:f>IF('Data &amp; Reporting'!H90="","",'Data &amp; Reporting'!H90)</x:f>
      </x:c>
      <x:c r="J90" s="12" t="n">
        <x:f>IF('Data &amp; Reporting'!I90="","",'Data &amp; Reporting'!I90)</x:f>
        <x:v>46112</x:v>
      </x:c>
      <x:c r="K90" s="12" t="str">
        <x:f>IF('Data &amp; Reporting'!J90="","",'Data &amp; Reporting'!J90)</x:f>
      </x:c>
      <x:c r="L90" s="2" t="str">
        <x:f>IF('Data &amp; Reporting'!K90="","",'Data &amp; Reporting'!K90)</x:f>
      </x:c>
      <x:c r="M90" s="2" t="n">
        <x:f>'Data &amp; Reporting'!Q90</x:f>
        <x:v>1</x:v>
      </x:c>
      <x:c r="N90" s="2" t="str">
        <x:f>'Data &amp; Reporting'!L90</x:f>
        <x:v>Not started</x:v>
      </x:c>
      <x:c r="O90" s="2" t="str">
        <x:f>'Data &amp; Reporting'!N90</x:f>
        <x:v>DR.CS.1.3.2026.CY1</x:v>
      </x:c>
      <x:c r="P90" s="2" t="n">
        <x:f>'Data &amp; Reporting'!O90</x:f>
        <x:v>0</x:v>
      </x:c>
      <x:c r="Q90" s="2" t="n">
        <x:f>SUBTOTAL(103,O90)</x:f>
        <x:v>1</x:v>
      </x:c>
      <x:c r="R90" s="2" t="n">
        <x:f>IF(AND(M90=1,OR(Dashboard!$B$7="All",Dashboard!$B$7='Cycles &amp; Guide'!$C$5),OR(Dashboard!$D$7="All",Dashboard!$D$7=B90),OR(Dashboard!$F$7="All",Dashboard!$F$7=C90),OR(Dashboard!$H$7="All",Dashboard!$H$7=D90),OR(Dashboard!$K$7="All",Dashboard!$K$7=E90)),1,0)</x:f>
        <x:v>1</x:v>
      </x:c>
      <x:c r="S90" s="2" t="n">
        <x:f>IF(R90=1,SUM($R$10:R90),0)</x:f>
        <x:v>42</x:v>
      </x:c>
      <x:c r="T90" s="2" t="str">
        <x:v>Data &amp; Reporting</x:v>
      </x:c>
      <x:c r="U90" s="2" t="n">
        <x:v>90</x:v>
      </x:c>
      <x:c r="V90" s="2" t="n">
        <x:f>IF(AND(M90=1,P90=0,ISNUMBER(J90),J90&lt;TODAY()),1,0)</x:f>
        <x:v>1</x:v>
      </x:c>
      <x:c r="W90" s="2" t="str">
        <x:f>'Data &amp; Reporting'!M90</x:f>
        <x:v>Task</x:v>
      </x:c>
    </x:row>
    <x:row r="91" ht="40" customHeight="1">
      <x:c r="A91" s="3" t="str">
        <x:f>HYPERLINK("#'Data &amp; Reporting'!A91","Open")</x:f>
        <x:v>Open</x:v>
      </x:c>
      <x:c r="B91" s="2" t="str">
        <x:f>'Data &amp; Reporting'!B91</x:f>
        <x:v>Cycle 1</x:v>
      </x:c>
      <x:c r="C91" s="2" t="str">
        <x:f>'Data &amp; Reporting'!C91</x:f>
        <x:v>Phase 1</x:v>
      </x:c>
      <x:c r="D91" s="2" t="str">
        <x:f>'Data &amp; Reporting'!D91</x:f>
        <x:v>CSBBO - Customer Service</x:v>
      </x:c>
      <x:c r="E91" s="2" t="str">
        <x:v>Data &amp; Reporting</x:v>
      </x:c>
      <x:c r="F91" s="56" t="str">
        <x:f>'Data &amp; Reporting'!E91</x:f>
        <x:v>DR.CS.1.3.C01</x:v>
      </x:c>
      <x:c r="G91" s="14" t="str">
        <x:f>'Data &amp; Reporting'!F91</x:f>
        <x:v>    Document date range extracted</x:v>
      </x:c>
      <x:c r="H91" s="2" t="str">
        <x:f>IF('Data &amp; Reporting'!G91="","",'Data &amp; Reporting'!G91)</x:f>
      </x:c>
      <x:c r="I91" s="12" t="str">
        <x:f>IF('Data &amp; Reporting'!H91="","",'Data &amp; Reporting'!H91)</x:f>
      </x:c>
      <x:c r="J91" s="12" t="str">
        <x:f>IF('Data &amp; Reporting'!I91="","",'Data &amp; Reporting'!I91)</x:f>
      </x:c>
      <x:c r="K91" s="12" t="str">
        <x:f>IF('Data &amp; Reporting'!J91="","",'Data &amp; Reporting'!J91)</x:f>
      </x:c>
      <x:c r="L91" s="2" t="str">
        <x:f>IF('Data &amp; Reporting'!K91="","",'Data &amp; Reporting'!K91)</x:f>
      </x:c>
      <x:c r="M91" s="2" t="n">
        <x:f>'Data &amp; Reporting'!Q91</x:f>
        <x:v>0</x:v>
      </x:c>
      <x:c r="N91" s="2" t="str">
        <x:f>'Data &amp; Reporting'!L91</x:f>
        <x:v>Open check</x:v>
      </x:c>
      <x:c r="O91" s="2" t="str">
        <x:f>'Data &amp; Reporting'!N91</x:f>
        <x:v>DR.CS.1.3.C01.2026.CY1</x:v>
      </x:c>
      <x:c r="P91" s="2" t="n">
        <x:f>'Data &amp; Reporting'!O91</x:f>
        <x:v>0</x:v>
      </x:c>
      <x:c r="Q91" s="2" t="n">
        <x:f>SUBTOTAL(103,O91)</x:f>
        <x:v>1</x:v>
      </x:c>
      <x:c r="R91" s="2" t="n">
        <x:f>IF(AND(M91=1,OR(Dashboard!$B$7="All",Dashboard!$B$7='Cycles &amp; Guide'!$C$5),OR(Dashboard!$D$7="All",Dashboard!$D$7=B91),OR(Dashboard!$F$7="All",Dashboard!$F$7=C91),OR(Dashboard!$H$7="All",Dashboard!$H$7=D91),OR(Dashboard!$K$7="All",Dashboard!$K$7=E91)),1,0)</x:f>
        <x:v>0</x:v>
      </x:c>
      <x:c r="S91" s="2" t="n">
        <x:f>IF(R91=1,SUM($R$10:R91),0)</x:f>
        <x:v>0</x:v>
      </x:c>
      <x:c r="T91" s="2" t="str">
        <x:v>Data &amp; Reporting</x:v>
      </x:c>
      <x:c r="U91" s="2" t="n">
        <x:v>91</x:v>
      </x:c>
      <x:c r="V91" s="2" t="n">
        <x:f>IF(AND(M91=1,P91=0,ISNUMBER(J91),J91&lt;TODAY()),1,0)</x:f>
        <x:v>0</x:v>
      </x:c>
      <x:c r="W91" s="2" t="str">
        <x:f>'Data &amp; Reporting'!M91</x:f>
        <x:v>Checklist</x:v>
      </x:c>
    </x:row>
    <x:row r="92" ht="40" customHeight="1">
      <x:c r="A92" s="3" t="str">
        <x:f>HYPERLINK("#'Data &amp; Reporting'!A92","Open")</x:f>
        <x:v>Open</x:v>
      </x:c>
      <x:c r="B92" s="2" t="str">
        <x:f>'Data &amp; Reporting'!B92</x:f>
        <x:v>Cycle 1</x:v>
      </x:c>
      <x:c r="C92" s="2" t="str">
        <x:f>'Data &amp; Reporting'!C92</x:f>
        <x:v>Phase 1</x:v>
      </x:c>
      <x:c r="D92" s="2" t="str">
        <x:f>'Data &amp; Reporting'!D92</x:f>
        <x:v>CSBBO - Customer Service</x:v>
      </x:c>
      <x:c r="E92" s="2" t="str">
        <x:v>Data &amp; Reporting</x:v>
      </x:c>
      <x:c r="F92" s="56" t="str">
        <x:f>'Data &amp; Reporting'!E92</x:f>
        <x:v>DR.CS.1.3.C02</x:v>
      </x:c>
      <x:c r="G92" s="14" t="str">
        <x:f>'Data &amp; Reporting'!F92</x:f>
        <x:v>    Document date of data pull</x:v>
      </x:c>
      <x:c r="H92" s="2" t="str">
        <x:f>IF('Data &amp; Reporting'!G92="","",'Data &amp; Reporting'!G92)</x:f>
      </x:c>
      <x:c r="I92" s="12" t="str">
        <x:f>IF('Data &amp; Reporting'!H92="","",'Data &amp; Reporting'!H92)</x:f>
      </x:c>
      <x:c r="J92" s="12" t="str">
        <x:f>IF('Data &amp; Reporting'!I92="","",'Data &amp; Reporting'!I92)</x:f>
      </x:c>
      <x:c r="K92" s="12" t="str">
        <x:f>IF('Data &amp; Reporting'!J92="","",'Data &amp; Reporting'!J92)</x:f>
      </x:c>
      <x:c r="L92" s="2" t="str">
        <x:f>IF('Data &amp; Reporting'!K92="","",'Data &amp; Reporting'!K92)</x:f>
      </x:c>
      <x:c r="M92" s="2" t="n">
        <x:f>'Data &amp; Reporting'!Q92</x:f>
        <x:v>0</x:v>
      </x:c>
      <x:c r="N92" s="2" t="str">
        <x:f>'Data &amp; Reporting'!L92</x:f>
        <x:v>Open check</x:v>
      </x:c>
      <x:c r="O92" s="2" t="str">
        <x:f>'Data &amp; Reporting'!N92</x:f>
        <x:v>DR.CS.1.3.C02.2026.CY1</x:v>
      </x:c>
      <x:c r="P92" s="2" t="n">
        <x:f>'Data &amp; Reporting'!O92</x:f>
        <x:v>0</x:v>
      </x:c>
      <x:c r="Q92" s="2" t="n">
        <x:f>SUBTOTAL(103,O92)</x:f>
        <x:v>1</x:v>
      </x:c>
      <x:c r="R92" s="2" t="n">
        <x:f>IF(AND(M92=1,OR(Dashboard!$B$7="All",Dashboard!$B$7='Cycles &amp; Guide'!$C$5),OR(Dashboard!$D$7="All",Dashboard!$D$7=B92),OR(Dashboard!$F$7="All",Dashboard!$F$7=C92),OR(Dashboard!$H$7="All",Dashboard!$H$7=D92),OR(Dashboard!$K$7="All",Dashboard!$K$7=E92)),1,0)</x:f>
        <x:v>0</x:v>
      </x:c>
      <x:c r="S92" s="2" t="n">
        <x:f>IF(R92=1,SUM($R$10:R92),0)</x:f>
        <x:v>0</x:v>
      </x:c>
      <x:c r="T92" s="2" t="str">
        <x:v>Data &amp; Reporting</x:v>
      </x:c>
      <x:c r="U92" s="2" t="n">
        <x:v>92</x:v>
      </x:c>
      <x:c r="V92" s="2" t="n">
        <x:f>IF(AND(M92=1,P92=0,ISNUMBER(J92),J92&lt;TODAY()),1,0)</x:f>
        <x:v>0</x:v>
      </x:c>
      <x:c r="W92" s="2" t="str">
        <x:f>'Data &amp; Reporting'!M92</x:f>
        <x:v>Checklist</x:v>
      </x:c>
    </x:row>
    <x:row r="93" ht="40" customHeight="1">
      <x:c r="A93" s="3" t="str">
        <x:f>HYPERLINK("#'Data &amp; Reporting'!A93","Open")</x:f>
        <x:v>Open</x:v>
      </x:c>
      <x:c r="B93" s="2" t="str">
        <x:f>'Data &amp; Reporting'!B93</x:f>
        <x:v>Cycle 1</x:v>
      </x:c>
      <x:c r="C93" s="2" t="str">
        <x:f>'Data &amp; Reporting'!C93</x:f>
        <x:v>Phase 1</x:v>
      </x:c>
      <x:c r="D93" s="2" t="str">
        <x:f>'Data &amp; Reporting'!D93</x:f>
        <x:v>CSBBO - Customer Service</x:v>
      </x:c>
      <x:c r="E93" s="2" t="str">
        <x:v>Data &amp; Reporting</x:v>
      </x:c>
      <x:c r="F93" s="56" t="str">
        <x:f>'Data &amp; Reporting'!E93</x:f>
        <x:v>DR.CS.1.3.C03</x:v>
      </x:c>
      <x:c r="G93" s="14" t="str">
        <x:f>'Data &amp; Reporting'!F93</x:f>
        <x:v>    Document population details</x:v>
      </x:c>
      <x:c r="H93" s="2" t="str">
        <x:f>IF('Data &amp; Reporting'!G93="","",'Data &amp; Reporting'!G93)</x:f>
      </x:c>
      <x:c r="I93" s="12" t="str">
        <x:f>IF('Data &amp; Reporting'!H93="","",'Data &amp; Reporting'!H93)</x:f>
      </x:c>
      <x:c r="J93" s="12" t="str">
        <x:f>IF('Data &amp; Reporting'!I93="","",'Data &amp; Reporting'!I93)</x:f>
      </x:c>
      <x:c r="K93" s="12" t="str">
        <x:f>IF('Data &amp; Reporting'!J93="","",'Data &amp; Reporting'!J93)</x:f>
      </x:c>
      <x:c r="L93" s="2" t="str">
        <x:f>IF('Data &amp; Reporting'!K93="","",'Data &amp; Reporting'!K93)</x:f>
      </x:c>
      <x:c r="M93" s="2" t="n">
        <x:f>'Data &amp; Reporting'!Q93</x:f>
        <x:v>0</x:v>
      </x:c>
      <x:c r="N93" s="2" t="str">
        <x:f>'Data &amp; Reporting'!L93</x:f>
        <x:v>Open check</x:v>
      </x:c>
      <x:c r="O93" s="2" t="str">
        <x:f>'Data &amp; Reporting'!N93</x:f>
        <x:v>DR.CS.1.3.C03.2026.CY1</x:v>
      </x:c>
      <x:c r="P93" s="2" t="n">
        <x:f>'Data &amp; Reporting'!O93</x:f>
        <x:v>0</x:v>
      </x:c>
      <x:c r="Q93" s="2" t="n">
        <x:f>SUBTOTAL(103,O93)</x:f>
        <x:v>1</x:v>
      </x:c>
      <x:c r="R93" s="2" t="n">
        <x:f>IF(AND(M93=1,OR(Dashboard!$B$7="All",Dashboard!$B$7='Cycles &amp; Guide'!$C$5),OR(Dashboard!$D$7="All",Dashboard!$D$7=B93),OR(Dashboard!$F$7="All",Dashboard!$F$7=C93),OR(Dashboard!$H$7="All",Dashboard!$H$7=D93),OR(Dashboard!$K$7="All",Dashboard!$K$7=E93)),1,0)</x:f>
        <x:v>0</x:v>
      </x:c>
      <x:c r="S93" s="2" t="n">
        <x:f>IF(R93=1,SUM($R$10:R93),0)</x:f>
        <x:v>0</x:v>
      </x:c>
      <x:c r="T93" s="2" t="str">
        <x:v>Data &amp; Reporting</x:v>
      </x:c>
      <x:c r="U93" s="2" t="n">
        <x:v>93</x:v>
      </x:c>
      <x:c r="V93" s="2" t="n">
        <x:f>IF(AND(M93=1,P93=0,ISNUMBER(J93),J93&lt;TODAY()),1,0)</x:f>
        <x:v>0</x:v>
      </x:c>
      <x:c r="W93" s="2" t="str">
        <x:f>'Data &amp; Reporting'!M93</x:f>
        <x:v>Checklist</x:v>
      </x:c>
    </x:row>
    <x:row r="94" ht="40" customHeight="1">
      <x:c r="A94" s="3" t="str">
        <x:f>HYPERLINK("#'Data &amp; Reporting'!A94","Open")</x:f>
        <x:v>Open</x:v>
      </x:c>
      <x:c r="B94" s="2" t="str">
        <x:f>'Data &amp; Reporting'!B94</x:f>
        <x:v>Cycle 1</x:v>
      </x:c>
      <x:c r="C94" s="2" t="str">
        <x:f>'Data &amp; Reporting'!C94</x:f>
        <x:v>Phase 1</x:v>
      </x:c>
      <x:c r="D94" s="2" t="str">
        <x:f>'Data &amp; Reporting'!D94</x:f>
        <x:v>CSBBO - Customer Service</x:v>
      </x:c>
      <x:c r="E94" s="2" t="str">
        <x:v>Data &amp; Reporting</x:v>
      </x:c>
      <x:c r="F94" s="56" t="str">
        <x:f>'Data &amp; Reporting'!E94</x:f>
        <x:v>DR.CS.1.3.C04</x:v>
      </x:c>
      <x:c r="G94" s="14" t="str">
        <x:f>'Data &amp; Reporting'!F94</x:f>
        <x:v>    Validate no data is missing</x:v>
      </x:c>
      <x:c r="H94" s="2" t="str">
        <x:f>IF('Data &amp; Reporting'!G94="","",'Data &amp; Reporting'!G94)</x:f>
      </x:c>
      <x:c r="I94" s="12" t="str">
        <x:f>IF('Data &amp; Reporting'!H94="","",'Data &amp; Reporting'!H94)</x:f>
      </x:c>
      <x:c r="J94" s="12" t="str">
        <x:f>IF('Data &amp; Reporting'!I94="","",'Data &amp; Reporting'!I94)</x:f>
      </x:c>
      <x:c r="K94" s="12" t="str">
        <x:f>IF('Data &amp; Reporting'!J94="","",'Data &amp; Reporting'!J94)</x:f>
      </x:c>
      <x:c r="L94" s="2" t="str">
        <x:f>IF('Data &amp; Reporting'!K94="","",'Data &amp; Reporting'!K94)</x:f>
      </x:c>
      <x:c r="M94" s="2" t="n">
        <x:f>'Data &amp; Reporting'!Q94</x:f>
        <x:v>0</x:v>
      </x:c>
      <x:c r="N94" s="2" t="str">
        <x:f>'Data &amp; Reporting'!L94</x:f>
        <x:v>Open check</x:v>
      </x:c>
      <x:c r="O94" s="2" t="str">
        <x:f>'Data &amp; Reporting'!N94</x:f>
        <x:v>DR.CS.1.3.C04.2026.CY1</x:v>
      </x:c>
      <x:c r="P94" s="2" t="n">
        <x:f>'Data &amp; Reporting'!O94</x:f>
        <x:v>0</x:v>
      </x:c>
      <x:c r="Q94" s="2" t="n">
        <x:f>SUBTOTAL(103,O94)</x:f>
        <x:v>1</x:v>
      </x:c>
      <x:c r="R94" s="2" t="n">
        <x:f>IF(AND(M94=1,OR(Dashboard!$B$7="All",Dashboard!$B$7='Cycles &amp; Guide'!$C$5),OR(Dashboard!$D$7="All",Dashboard!$D$7=B94),OR(Dashboard!$F$7="All",Dashboard!$F$7=C94),OR(Dashboard!$H$7="All",Dashboard!$H$7=D94),OR(Dashboard!$K$7="All",Dashboard!$K$7=E94)),1,0)</x:f>
        <x:v>0</x:v>
      </x:c>
      <x:c r="S94" s="2" t="n">
        <x:f>IF(R94=1,SUM($R$10:R94),0)</x:f>
        <x:v>0</x:v>
      </x:c>
      <x:c r="T94" s="2" t="str">
        <x:v>Data &amp; Reporting</x:v>
      </x:c>
      <x:c r="U94" s="2" t="n">
        <x:v>94</x:v>
      </x:c>
      <x:c r="V94" s="2" t="n">
        <x:f>IF(AND(M94=1,P94=0,ISNUMBER(J94),J94&lt;TODAY()),1,0)</x:f>
        <x:v>0</x:v>
      </x:c>
      <x:c r="W94" s="2" t="str">
        <x:f>'Data &amp; Reporting'!M94</x:f>
        <x:v>Checklist</x:v>
      </x:c>
    </x:row>
    <x:row r="95" ht="40" customHeight="1">
      <x:c r="A95" s="3" t="str">
        <x:f>HYPERLINK("#'Data &amp; Reporting'!A95","Open")</x:f>
        <x:v>Open</x:v>
      </x:c>
      <x:c r="B95" s="2" t="str">
        <x:f>'Data &amp; Reporting'!B95</x:f>
        <x:v>Cycle 1</x:v>
      </x:c>
      <x:c r="C95" s="2" t="str">
        <x:f>'Data &amp; Reporting'!C95</x:f>
        <x:v>Phase 1</x:v>
      </x:c>
      <x:c r="D95" s="2" t="str">
        <x:f>'Data &amp; Reporting'!D95</x:f>
        <x:v>CSBBO - Customer Service</x:v>
      </x:c>
      <x:c r="E95" s="2" t="str">
        <x:v>Data &amp; Reporting</x:v>
      </x:c>
      <x:c r="F95" s="56" t="str">
        <x:f>'Data &amp; Reporting'!E95</x:f>
        <x:v>DR.CS.1.3.C05</x:v>
      </x:c>
      <x:c r="G95" s="14" t="str">
        <x:f>'Data &amp; Reporting'!F95</x:f>
        <x:v>    Validate accuracy of data</x:v>
      </x:c>
      <x:c r="H95" s="2" t="str">
        <x:f>IF('Data &amp; Reporting'!G95="","",'Data &amp; Reporting'!G95)</x:f>
      </x:c>
      <x:c r="I95" s="12" t="str">
        <x:f>IF('Data &amp; Reporting'!H95="","",'Data &amp; Reporting'!H95)</x:f>
      </x:c>
      <x:c r="J95" s="12" t="str">
        <x:f>IF('Data &amp; Reporting'!I95="","",'Data &amp; Reporting'!I95)</x:f>
      </x:c>
      <x:c r="K95" s="12" t="str">
        <x:f>IF('Data &amp; Reporting'!J95="","",'Data &amp; Reporting'!J95)</x:f>
      </x:c>
      <x:c r="L95" s="2" t="str">
        <x:f>IF('Data &amp; Reporting'!K95="","",'Data &amp; Reporting'!K95)</x:f>
      </x:c>
      <x:c r="M95" s="2" t="n">
        <x:f>'Data &amp; Reporting'!Q95</x:f>
        <x:v>0</x:v>
      </x:c>
      <x:c r="N95" s="2" t="str">
        <x:f>'Data &amp; Reporting'!L95</x:f>
        <x:v>Open check</x:v>
      </x:c>
      <x:c r="O95" s="2" t="str">
        <x:f>'Data &amp; Reporting'!N95</x:f>
        <x:v>DR.CS.1.3.C05.2026.CY1</x:v>
      </x:c>
      <x:c r="P95" s="2" t="n">
        <x:f>'Data &amp; Reporting'!O95</x:f>
        <x:v>0</x:v>
      </x:c>
      <x:c r="Q95" s="2" t="n">
        <x:f>SUBTOTAL(103,O95)</x:f>
        <x:v>1</x:v>
      </x:c>
      <x:c r="R95" s="2" t="n">
        <x:f>IF(AND(M95=1,OR(Dashboard!$B$7="All",Dashboard!$B$7='Cycles &amp; Guide'!$C$5),OR(Dashboard!$D$7="All",Dashboard!$D$7=B95),OR(Dashboard!$F$7="All",Dashboard!$F$7=C95),OR(Dashboard!$H$7="All",Dashboard!$H$7=D95),OR(Dashboard!$K$7="All",Dashboard!$K$7=E95)),1,0)</x:f>
        <x:v>0</x:v>
      </x:c>
      <x:c r="S95" s="2" t="n">
        <x:f>IF(R95=1,SUM($R$10:R95),0)</x:f>
        <x:v>0</x:v>
      </x:c>
      <x:c r="T95" s="2" t="str">
        <x:v>Data &amp; Reporting</x:v>
      </x:c>
      <x:c r="U95" s="2" t="n">
        <x:v>95</x:v>
      </x:c>
      <x:c r="V95" s="2" t="n">
        <x:f>IF(AND(M95=1,P95=0,ISNUMBER(J95),J95&lt;TODAY()),1,0)</x:f>
        <x:v>0</x:v>
      </x:c>
      <x:c r="W95" s="2" t="str">
        <x:f>'Data &amp; Reporting'!M95</x:f>
        <x:v>Checklist</x:v>
      </x:c>
    </x:row>
    <x:row r="96" ht="40" customHeight="1">
      <x:c r="A96" s="3" t="str">
        <x:f>HYPERLINK("#'Data &amp; Reporting'!A96","Open")</x:f>
        <x:v>Open</x:v>
      </x:c>
      <x:c r="B96" s="2" t="str">
        <x:f>'Data &amp; Reporting'!B96</x:f>
        <x:v>Cycle 1</x:v>
      </x:c>
      <x:c r="C96" s="2" t="str">
        <x:f>'Data &amp; Reporting'!C96</x:f>
        <x:v>Phase 1</x:v>
      </x:c>
      <x:c r="D96" s="2" t="str">
        <x:f>'Data &amp; Reporting'!D96</x:f>
        <x:v>CSBBO - Customer Service</x:v>
      </x:c>
      <x:c r="E96" s="2" t="str">
        <x:v>Data &amp; Reporting</x:v>
      </x:c>
      <x:c r="F96" s="56" t="str">
        <x:f>'Data &amp; Reporting'!E96</x:f>
        <x:v>DR.CS.1.3.C06</x:v>
      </x:c>
      <x:c r="G96" s="14" t="str">
        <x:f>'Data &amp; Reporting'!F96</x:f>
        <x:v>    Validate no duplicate data is provided</x:v>
      </x:c>
      <x:c r="H96" s="2" t="str">
        <x:f>IF('Data &amp; Reporting'!G96="","",'Data &amp; Reporting'!G96)</x:f>
      </x:c>
      <x:c r="I96" s="12" t="str">
        <x:f>IF('Data &amp; Reporting'!H96="","",'Data &amp; Reporting'!H96)</x:f>
      </x:c>
      <x:c r="J96" s="12" t="str">
        <x:f>IF('Data &amp; Reporting'!I96="","",'Data &amp; Reporting'!I96)</x:f>
      </x:c>
      <x:c r="K96" s="12" t="str">
        <x:f>IF('Data &amp; Reporting'!J96="","",'Data &amp; Reporting'!J96)</x:f>
      </x:c>
      <x:c r="L96" s="2" t="str">
        <x:f>IF('Data &amp; Reporting'!K96="","",'Data &amp; Reporting'!K96)</x:f>
      </x:c>
      <x:c r="M96" s="2" t="n">
        <x:f>'Data &amp; Reporting'!Q96</x:f>
        <x:v>0</x:v>
      </x:c>
      <x:c r="N96" s="2" t="str">
        <x:f>'Data &amp; Reporting'!L96</x:f>
        <x:v>Open check</x:v>
      </x:c>
      <x:c r="O96" s="2" t="str">
        <x:f>'Data &amp; Reporting'!N96</x:f>
        <x:v>DR.CS.1.3.C06.2026.CY1</x:v>
      </x:c>
      <x:c r="P96" s="2" t="n">
        <x:f>'Data &amp; Reporting'!O96</x:f>
        <x:v>0</x:v>
      </x:c>
      <x:c r="Q96" s="2" t="n">
        <x:f>SUBTOTAL(103,O96)</x:f>
        <x:v>1</x:v>
      </x:c>
      <x:c r="R96" s="2" t="n">
        <x:f>IF(AND(M96=1,OR(Dashboard!$B$7="All",Dashboard!$B$7='Cycles &amp; Guide'!$C$5),OR(Dashboard!$D$7="All",Dashboard!$D$7=B96),OR(Dashboard!$F$7="All",Dashboard!$F$7=C96),OR(Dashboard!$H$7="All",Dashboard!$H$7=D96),OR(Dashboard!$K$7="All",Dashboard!$K$7=E96)),1,0)</x:f>
        <x:v>0</x:v>
      </x:c>
      <x:c r="S96" s="2" t="n">
        <x:f>IF(R96=1,SUM($R$10:R96),0)</x:f>
        <x:v>0</x:v>
      </x:c>
      <x:c r="T96" s="2" t="str">
        <x:v>Data &amp; Reporting</x:v>
      </x:c>
      <x:c r="U96" s="2" t="n">
        <x:v>96</x:v>
      </x:c>
      <x:c r="V96" s="2" t="n">
        <x:f>IF(AND(M96=1,P96=0,ISNUMBER(J96),J96&lt;TODAY()),1,0)</x:f>
        <x:v>0</x:v>
      </x:c>
      <x:c r="W96" s="2" t="str">
        <x:f>'Data &amp; Reporting'!M96</x:f>
        <x:v>Checklist</x:v>
      </x:c>
    </x:row>
    <x:row r="97" ht="40" customHeight="1">
      <x:c r="A97" s="3" t="str">
        <x:f>HYPERLINK("#'Data &amp; Reporting'!A97","Open")</x:f>
        <x:v>Open</x:v>
      </x:c>
      <x:c r="B97" s="2" t="str">
        <x:f>'Data &amp; Reporting'!B97</x:f>
        <x:v>Cycle 1</x:v>
      </x:c>
      <x:c r="C97" s="2" t="str">
        <x:f>'Data &amp; Reporting'!C97</x:f>
        <x:v>Phase 1</x:v>
      </x:c>
      <x:c r="D97" s="2" t="str">
        <x:f>'Data &amp; Reporting'!D97</x:f>
        <x:v>CSBBO - Customer Service</x:v>
      </x:c>
      <x:c r="E97" s="2" t="str">
        <x:v>Data &amp; Reporting</x:v>
      </x:c>
      <x:c r="F97" s="56" t="str">
        <x:f>'Data &amp; Reporting'!E97</x:f>
        <x:v>DR.CS.1.3.C07</x:v>
      </x:c>
      <x:c r="G97" s="14" t="str">
        <x:f>'Data &amp; Reporting'!F97</x:f>
        <x:v>    Document any data exclusions along with justification (as needed)</x:v>
      </x:c>
      <x:c r="H97" s="2" t="str">
        <x:f>IF('Data &amp; Reporting'!G97="","",'Data &amp; Reporting'!G97)</x:f>
      </x:c>
      <x:c r="I97" s="12" t="str">
        <x:f>IF('Data &amp; Reporting'!H97="","",'Data &amp; Reporting'!H97)</x:f>
      </x:c>
      <x:c r="J97" s="12" t="str">
        <x:f>IF('Data &amp; Reporting'!I97="","",'Data &amp; Reporting'!I97)</x:f>
      </x:c>
      <x:c r="K97" s="12" t="str">
        <x:f>IF('Data &amp; Reporting'!J97="","",'Data &amp; Reporting'!J97)</x:f>
      </x:c>
      <x:c r="L97" s="2" t="str">
        <x:f>IF('Data &amp; Reporting'!K97="","",'Data &amp; Reporting'!K97)</x:f>
      </x:c>
      <x:c r="M97" s="2" t="n">
        <x:f>'Data &amp; Reporting'!Q97</x:f>
        <x:v>0</x:v>
      </x:c>
      <x:c r="N97" s="2" t="str">
        <x:f>'Data &amp; Reporting'!L97</x:f>
        <x:v>Open check</x:v>
      </x:c>
      <x:c r="O97" s="2" t="str">
        <x:f>'Data &amp; Reporting'!N97</x:f>
        <x:v>DR.CS.1.3.C07.2026.CY1</x:v>
      </x:c>
      <x:c r="P97" s="2" t="n">
        <x:f>'Data &amp; Reporting'!O97</x:f>
        <x:v>0</x:v>
      </x:c>
      <x:c r="Q97" s="2" t="n">
        <x:f>SUBTOTAL(103,O97)</x:f>
        <x:v>1</x:v>
      </x:c>
      <x:c r="R97" s="2" t="n">
        <x:f>IF(AND(M97=1,OR(Dashboard!$B$7="All",Dashboard!$B$7='Cycles &amp; Guide'!$C$5),OR(Dashboard!$D$7="All",Dashboard!$D$7=B97),OR(Dashboard!$F$7="All",Dashboard!$F$7=C97),OR(Dashboard!$H$7="All",Dashboard!$H$7=D97),OR(Dashboard!$K$7="All",Dashboard!$K$7=E97)),1,0)</x:f>
        <x:v>0</x:v>
      </x:c>
      <x:c r="S97" s="2" t="n">
        <x:f>IF(R97=1,SUM($R$10:R97),0)</x:f>
        <x:v>0</x:v>
      </x:c>
      <x:c r="T97" s="2" t="str">
        <x:v>Data &amp; Reporting</x:v>
      </x:c>
      <x:c r="U97" s="2" t="n">
        <x:v>97</x:v>
      </x:c>
      <x:c r="V97" s="2" t="n">
        <x:f>IF(AND(M97=1,P97=0,ISNUMBER(J97),J97&lt;TODAY()),1,0)</x:f>
        <x:v>0</x:v>
      </x:c>
      <x:c r="W97" s="2" t="str">
        <x:f>'Data &amp; Reporting'!M97</x:f>
        <x:v>Checklist</x:v>
      </x:c>
    </x:row>
    <x:row r="98" ht="40" customHeight="1">
      <x:c r="A98" s="3" t="str">
        <x:f>HYPERLINK("#'Data &amp; Reporting'!A98","Open")</x:f>
        <x:v>Open</x:v>
      </x:c>
      <x:c r="B98" s="2" t="str">
        <x:f>'Data &amp; Reporting'!B98</x:f>
        <x:v>Cycle 1</x:v>
      </x:c>
      <x:c r="C98" s="2" t="str">
        <x:f>'Data &amp; Reporting'!C98</x:f>
        <x:v>Phase 1</x:v>
      </x:c>
      <x:c r="D98" s="2" t="str">
        <x:f>'Data &amp; Reporting'!D98</x:f>
        <x:v>CSBBO - Customer Service</x:v>
      </x:c>
      <x:c r="E98" s="2" t="str">
        <x:v>Data &amp; Reporting</x:v>
      </x:c>
      <x:c r="F98" s="56" t="str">
        <x:f>'Data &amp; Reporting'!E98</x:f>
        <x:v>DR.CS.1.3.C08</x:v>
      </x:c>
      <x:c r="G98" s="14" t="str">
        <x:f>'Data &amp; Reporting'!F98</x:f>
        <x:v>    Document any assumptions made with the data (as needed)</x:v>
      </x:c>
      <x:c r="H98" s="2" t="str">
        <x:f>IF('Data &amp; Reporting'!G98="","",'Data &amp; Reporting'!G98)</x:f>
      </x:c>
      <x:c r="I98" s="12" t="str">
        <x:f>IF('Data &amp; Reporting'!H98="","",'Data &amp; Reporting'!H98)</x:f>
      </x:c>
      <x:c r="J98" s="12" t="str">
        <x:f>IF('Data &amp; Reporting'!I98="","",'Data &amp; Reporting'!I98)</x:f>
      </x:c>
      <x:c r="K98" s="12" t="str">
        <x:f>IF('Data &amp; Reporting'!J98="","",'Data &amp; Reporting'!J98)</x:f>
      </x:c>
      <x:c r="L98" s="2" t="str">
        <x:f>IF('Data &amp; Reporting'!K98="","",'Data &amp; Reporting'!K98)</x:f>
      </x:c>
      <x:c r="M98" s="2" t="n">
        <x:f>'Data &amp; Reporting'!Q98</x:f>
        <x:v>0</x:v>
      </x:c>
      <x:c r="N98" s="2" t="str">
        <x:f>'Data &amp; Reporting'!L98</x:f>
        <x:v>Open check</x:v>
      </x:c>
      <x:c r="O98" s="2" t="str">
        <x:f>'Data &amp; Reporting'!N98</x:f>
        <x:v>DR.CS.1.3.C08.2026.CY1</x:v>
      </x:c>
      <x:c r="P98" s="2" t="n">
        <x:f>'Data &amp; Reporting'!O98</x:f>
        <x:v>0</x:v>
      </x:c>
      <x:c r="Q98" s="2" t="n">
        <x:f>SUBTOTAL(103,O98)</x:f>
        <x:v>1</x:v>
      </x:c>
      <x:c r="R98" s="2" t="n">
        <x:f>IF(AND(M98=1,OR(Dashboard!$B$7="All",Dashboard!$B$7='Cycles &amp; Guide'!$C$5),OR(Dashboard!$D$7="All",Dashboard!$D$7=B98),OR(Dashboard!$F$7="All",Dashboard!$F$7=C98),OR(Dashboard!$H$7="All",Dashboard!$H$7=D98),OR(Dashboard!$K$7="All",Dashboard!$K$7=E98)),1,0)</x:f>
        <x:v>0</x:v>
      </x:c>
      <x:c r="S98" s="2" t="n">
        <x:f>IF(R98=1,SUM($R$10:R98),0)</x:f>
        <x:v>0</x:v>
      </x:c>
      <x:c r="T98" s="2" t="str">
        <x:v>Data &amp; Reporting</x:v>
      </x:c>
      <x:c r="U98" s="2" t="n">
        <x:v>98</x:v>
      </x:c>
      <x:c r="V98" s="2" t="n">
        <x:f>IF(AND(M98=1,P98=0,ISNUMBER(J98),J98&lt;TODAY()),1,0)</x:f>
        <x:v>0</x:v>
      </x:c>
      <x:c r="W98" s="2" t="str">
        <x:f>'Data &amp; Reporting'!M98</x:f>
        <x:v>Checklist</x:v>
      </x:c>
    </x:row>
    <x:row r="99" ht="40" customHeight="1">
      <x:c r="A99" s="3" t="str">
        <x:f>HYPERLINK("#'Data &amp; Reporting'!A99","Open")</x:f>
        <x:v>Open</x:v>
      </x:c>
      <x:c r="B99" s="2" t="str">
        <x:f>'Data &amp; Reporting'!B99</x:f>
        <x:v>Cycle 1</x:v>
      </x:c>
      <x:c r="C99" s="2" t="str">
        <x:f>'Data &amp; Reporting'!C99</x:f>
        <x:v>Phase 1</x:v>
      </x:c>
      <x:c r="D99" s="2" t="str">
        <x:f>'Data &amp; Reporting'!D99</x:f>
        <x:v>CSBBO - Customer Service</x:v>
      </x:c>
      <x:c r="E99" s="2" t="str">
        <x:v>Data &amp; Reporting</x:v>
      </x:c>
      <x:c r="F99" s="56" t="str">
        <x:f>'Data &amp; Reporting'!E99</x:f>
        <x:v>DR.CS.1.3.C09</x:v>
      </x:c>
      <x:c r="G99" s="14" t="str">
        <x:f>'Data &amp; Reporting'!F99</x:f>
        <x:v>    Document any data limitations or constraints clearly (as needed)</x:v>
      </x:c>
      <x:c r="H99" s="2" t="str">
        <x:f>IF('Data &amp; Reporting'!G99="","",'Data &amp; Reporting'!G99)</x:f>
      </x:c>
      <x:c r="I99" s="12" t="str">
        <x:f>IF('Data &amp; Reporting'!H99="","",'Data &amp; Reporting'!H99)</x:f>
      </x:c>
      <x:c r="J99" s="12" t="str">
        <x:f>IF('Data &amp; Reporting'!I99="","",'Data &amp; Reporting'!I99)</x:f>
      </x:c>
      <x:c r="K99" s="12" t="str">
        <x:f>IF('Data &amp; Reporting'!J99="","",'Data &amp; Reporting'!J99)</x:f>
      </x:c>
      <x:c r="L99" s="2" t="str">
        <x:f>IF('Data &amp; Reporting'!K99="","",'Data &amp; Reporting'!K99)</x:f>
      </x:c>
      <x:c r="M99" s="2" t="n">
        <x:f>'Data &amp; Reporting'!Q99</x:f>
        <x:v>0</x:v>
      </x:c>
      <x:c r="N99" s="2" t="str">
        <x:f>'Data &amp; Reporting'!L99</x:f>
        <x:v>Open check</x:v>
      </x:c>
      <x:c r="O99" s="2" t="str">
        <x:f>'Data &amp; Reporting'!N99</x:f>
        <x:v>DR.CS.1.3.C09.2026.CY1</x:v>
      </x:c>
      <x:c r="P99" s="2" t="n">
        <x:f>'Data &amp; Reporting'!O99</x:f>
        <x:v>0</x:v>
      </x:c>
      <x:c r="Q99" s="2" t="n">
        <x:f>SUBTOTAL(103,O99)</x:f>
        <x:v>1</x:v>
      </x:c>
      <x:c r="R99" s="2" t="n">
        <x:f>IF(AND(M99=1,OR(Dashboard!$B$7="All",Dashboard!$B$7='Cycles &amp; Guide'!$C$5),OR(Dashboard!$D$7="All",Dashboard!$D$7=B99),OR(Dashboard!$F$7="All",Dashboard!$F$7=C99),OR(Dashboard!$H$7="All",Dashboard!$H$7=D99),OR(Dashboard!$K$7="All",Dashboard!$K$7=E99)),1,0)</x:f>
        <x:v>0</x:v>
      </x:c>
      <x:c r="S99" s="2" t="n">
        <x:f>IF(R99=1,SUM($R$10:R99),0)</x:f>
        <x:v>0</x:v>
      </x:c>
      <x:c r="T99" s="2" t="str">
        <x:v>Data &amp; Reporting</x:v>
      </x:c>
      <x:c r="U99" s="2" t="n">
        <x:v>99</x:v>
      </x:c>
      <x:c r="V99" s="2" t="n">
        <x:f>IF(AND(M99=1,P99=0,ISNUMBER(J99),J99&lt;TODAY()),1,0)</x:f>
        <x:v>0</x:v>
      </x:c>
      <x:c r="W99" s="2" t="str">
        <x:f>'Data &amp; Reporting'!M99</x:f>
        <x:v>Checklist</x:v>
      </x:c>
    </x:row>
    <x:row r="100" ht="40" customHeight="1">
      <x:c r="A100" s="3" t="str">
        <x:f>HYPERLINK("#'Data &amp; Reporting'!A100","Open")</x:f>
        <x:v>Open</x:v>
      </x:c>
      <x:c r="B100" s="2" t="str">
        <x:f>'Data &amp; Reporting'!B100</x:f>
        <x:v>Cycle 1</x:v>
      </x:c>
      <x:c r="C100" s="2" t="str">
        <x:f>'Data &amp; Reporting'!C100</x:f>
        <x:v>Phase 1</x:v>
      </x:c>
      <x:c r="D100" s="2" t="str">
        <x:f>'Data &amp; Reporting'!D100</x:f>
        <x:v>CSBBO - Customer Service</x:v>
      </x:c>
      <x:c r="E100" s="2" t="str">
        <x:v>Data &amp; Reporting</x:v>
      </x:c>
      <x:c r="F100" s="56" t="str">
        <x:f>'Data &amp; Reporting'!E100</x:f>
        <x:v>DR.CS.1.3.C10</x:v>
      </x:c>
      <x:c r="G100" s="14" t="str">
        <x:f>'Data &amp; Reporting'!F100</x:f>
        <x:v>    Document data dictionary or field definitions for columns/rows</x:v>
      </x:c>
      <x:c r="H100" s="2" t="str">
        <x:f>IF('Data &amp; Reporting'!G100="","",'Data &amp; Reporting'!G100)</x:f>
      </x:c>
      <x:c r="I100" s="12" t="str">
        <x:f>IF('Data &amp; Reporting'!H100="","",'Data &amp; Reporting'!H100)</x:f>
      </x:c>
      <x:c r="J100" s="12" t="str">
        <x:f>IF('Data &amp; Reporting'!I100="","",'Data &amp; Reporting'!I100)</x:f>
      </x:c>
      <x:c r="K100" s="12" t="str">
        <x:f>IF('Data &amp; Reporting'!J100="","",'Data &amp; Reporting'!J100)</x:f>
      </x:c>
      <x:c r="L100" s="2" t="str">
        <x:f>IF('Data &amp; Reporting'!K100="","",'Data &amp; Reporting'!K100)</x:f>
      </x:c>
      <x:c r="M100" s="2" t="n">
        <x:f>'Data &amp; Reporting'!Q100</x:f>
        <x:v>0</x:v>
      </x:c>
      <x:c r="N100" s="2" t="str">
        <x:f>'Data &amp; Reporting'!L100</x:f>
        <x:v>Open check</x:v>
      </x:c>
      <x:c r="O100" s="2" t="str">
        <x:f>'Data &amp; Reporting'!N100</x:f>
        <x:v>DR.CS.1.3.C10.2026.CY1</x:v>
      </x:c>
      <x:c r="P100" s="2" t="n">
        <x:f>'Data &amp; Reporting'!O100</x:f>
        <x:v>0</x:v>
      </x:c>
      <x:c r="Q100" s="2" t="n">
        <x:f>SUBTOTAL(103,O100)</x:f>
        <x:v>1</x:v>
      </x:c>
      <x:c r="R100" s="2" t="n">
        <x:f>IF(AND(M100=1,OR(Dashboard!$B$7="All",Dashboard!$B$7='Cycles &amp; Guide'!$C$5),OR(Dashboard!$D$7="All",Dashboard!$D$7=B100),OR(Dashboard!$F$7="All",Dashboard!$F$7=C100),OR(Dashboard!$H$7="All",Dashboard!$H$7=D100),OR(Dashboard!$K$7="All",Dashboard!$K$7=E100)),1,0)</x:f>
        <x:v>0</x:v>
      </x:c>
      <x:c r="S100" s="2" t="n">
        <x:f>IF(R100=1,SUM($R$10:R100),0)</x:f>
        <x:v>0</x:v>
      </x:c>
      <x:c r="T100" s="2" t="str">
        <x:v>Data &amp; Reporting</x:v>
      </x:c>
      <x:c r="U100" s="2" t="n">
        <x:v>100</x:v>
      </x:c>
      <x:c r="V100" s="2" t="n">
        <x:f>IF(AND(M100=1,P100=0,ISNUMBER(J100),J100&lt;TODAY()),1,0)</x:f>
        <x:v>0</x:v>
      </x:c>
      <x:c r="W100" s="2" t="str">
        <x:f>'Data &amp; Reporting'!M100</x:f>
        <x:v>Checklist</x:v>
      </x:c>
    </x:row>
    <x:row r="101" ht="40" customHeight="1">
      <x:c r="A101" s="3" t="str">
        <x:f>HYPERLINK("#'Data &amp; Reporting'!A101","Open")</x:f>
        <x:v>Open</x:v>
      </x:c>
      <x:c r="B101" s="2" t="str">
        <x:f>'Data &amp; Reporting'!B101</x:f>
        <x:v>Cycle 1</x:v>
      </x:c>
      <x:c r="C101" s="2" t="str">
        <x:f>'Data &amp; Reporting'!C101</x:f>
        <x:v>Phase 1</x:v>
      </x:c>
      <x:c r="D101" s="2" t="str">
        <x:f>'Data &amp; Reporting'!D101</x:f>
        <x:v>CSBBO - Customer Service</x:v>
      </x:c>
      <x:c r="E101" s="2" t="str">
        <x:v>Data &amp; Reporting</x:v>
      </x:c>
      <x:c r="F101" s="56" t="str">
        <x:f>'Data &amp; Reporting'!E101</x:f>
        <x:v>DR.CS.1.3.C11</x:v>
      </x:c>
      <x:c r="G101" s="14" t="str">
        <x:f>'Data &amp; Reporting'!F101</x:f>
        <x:v>    Document emerging trends, patterns, or concentrations along with supporting data</x:v>
      </x:c>
      <x:c r="H101" s="2" t="str">
        <x:f>IF('Data &amp; Reporting'!G101="","",'Data &amp; Reporting'!G101)</x:f>
      </x:c>
      <x:c r="I101" s="12" t="str">
        <x:f>IF('Data &amp; Reporting'!H101="","",'Data &amp; Reporting'!H101)</x:f>
      </x:c>
      <x:c r="J101" s="12" t="str">
        <x:f>IF('Data &amp; Reporting'!I101="","",'Data &amp; Reporting'!I101)</x:f>
      </x:c>
      <x:c r="K101" s="12" t="str">
        <x:f>IF('Data &amp; Reporting'!J101="","",'Data &amp; Reporting'!J101)</x:f>
      </x:c>
      <x:c r="L101" s="2" t="str">
        <x:f>IF('Data &amp; Reporting'!K101="","",'Data &amp; Reporting'!K101)</x:f>
      </x:c>
      <x:c r="M101" s="2" t="n">
        <x:f>'Data &amp; Reporting'!Q101</x:f>
        <x:v>0</x:v>
      </x:c>
      <x:c r="N101" s="2" t="str">
        <x:f>'Data &amp; Reporting'!L101</x:f>
        <x:v>Open check</x:v>
      </x:c>
      <x:c r="O101" s="2" t="str">
        <x:f>'Data &amp; Reporting'!N101</x:f>
        <x:v>DR.CS.1.3.C11.2026.CY1</x:v>
      </x:c>
      <x:c r="P101" s="2" t="n">
        <x:f>'Data &amp; Reporting'!O101</x:f>
        <x:v>0</x:v>
      </x:c>
      <x:c r="Q101" s="2" t="n">
        <x:f>SUBTOTAL(103,O101)</x:f>
        <x:v>1</x:v>
      </x:c>
      <x:c r="R101" s="2" t="n">
        <x:f>IF(AND(M101=1,OR(Dashboard!$B$7="All",Dashboard!$B$7='Cycles &amp; Guide'!$C$5),OR(Dashboard!$D$7="All",Dashboard!$D$7=B101),OR(Dashboard!$F$7="All",Dashboard!$F$7=C101),OR(Dashboard!$H$7="All",Dashboard!$H$7=D101),OR(Dashboard!$K$7="All",Dashboard!$K$7=E101)),1,0)</x:f>
        <x:v>0</x:v>
      </x:c>
      <x:c r="S101" s="2" t="n">
        <x:f>IF(R101=1,SUM($R$10:R101),0)</x:f>
        <x:v>0</x:v>
      </x:c>
      <x:c r="T101" s="2" t="str">
        <x:v>Data &amp; Reporting</x:v>
      </x:c>
      <x:c r="U101" s="2" t="n">
        <x:v>101</x:v>
      </x:c>
      <x:c r="V101" s="2" t="n">
        <x:f>IF(AND(M101=1,P101=0,ISNUMBER(J101),J101&lt;TODAY()),1,0)</x:f>
        <x:v>0</x:v>
      </x:c>
      <x:c r="W101" s="2" t="str">
        <x:f>'Data &amp; Reporting'!M101</x:f>
        <x:v>Checklist</x:v>
      </x:c>
    </x:row>
    <x:row r="102" ht="40" customHeight="1">
      <x:c r="A102" s="3" t="str">
        <x:f>HYPERLINK("#'Data &amp; Reporting'!A102","Open")</x:f>
        <x:v>Open</x:v>
      </x:c>
      <x:c r="B102" s="2" t="str">
        <x:f>'Data &amp; Reporting'!B102</x:f>
        <x:v>Cycle 1</x:v>
      </x:c>
      <x:c r="C102" s="2" t="str">
        <x:f>'Data &amp; Reporting'!C102</x:f>
        <x:v>Phase 1</x:v>
      </x:c>
      <x:c r="D102" s="2" t="str">
        <x:f>'Data &amp; Reporting'!D102</x:f>
        <x:v>CSBBO - Customer Service</x:v>
      </x:c>
      <x:c r="E102" s="2" t="str">
        <x:v>Data &amp; Reporting</x:v>
      </x:c>
      <x:c r="F102" s="56" t="str">
        <x:f>'Data &amp; Reporting'!E102</x:f>
        <x:v>DR.CS.1.3.C12</x:v>
      </x:c>
      <x:c r="G102" s="14" t="str">
        <x:f>'Data &amp; Reporting'!F102</x:f>
        <x:v>    Document any severe spikes in volume along with context (as needed)</x:v>
      </x:c>
      <x:c r="H102" s="2" t="str">
        <x:f>IF('Data &amp; Reporting'!G102="","",'Data &amp; Reporting'!G102)</x:f>
      </x:c>
      <x:c r="I102" s="12" t="str">
        <x:f>IF('Data &amp; Reporting'!H102="","",'Data &amp; Reporting'!H102)</x:f>
      </x:c>
      <x:c r="J102" s="12" t="str">
        <x:f>IF('Data &amp; Reporting'!I102="","",'Data &amp; Reporting'!I102)</x:f>
      </x:c>
      <x:c r="K102" s="12" t="str">
        <x:f>IF('Data &amp; Reporting'!J102="","",'Data &amp; Reporting'!J102)</x:f>
      </x:c>
      <x:c r="L102" s="2" t="str">
        <x:f>IF('Data &amp; Reporting'!K102="","",'Data &amp; Reporting'!K102)</x:f>
      </x:c>
      <x:c r="M102" s="2" t="n">
        <x:f>'Data &amp; Reporting'!Q102</x:f>
        <x:v>0</x:v>
      </x:c>
      <x:c r="N102" s="2" t="str">
        <x:f>'Data &amp; Reporting'!L102</x:f>
        <x:v>Open check</x:v>
      </x:c>
      <x:c r="O102" s="2" t="str">
        <x:f>'Data &amp; Reporting'!N102</x:f>
        <x:v>DR.CS.1.3.C12.2026.CY1</x:v>
      </x:c>
      <x:c r="P102" s="2" t="n">
        <x:f>'Data &amp; Reporting'!O102</x:f>
        <x:v>0</x:v>
      </x:c>
      <x:c r="Q102" s="2" t="n">
        <x:f>SUBTOTAL(103,O102)</x:f>
        <x:v>1</x:v>
      </x:c>
      <x:c r="R102" s="2" t="n">
        <x:f>IF(AND(M102=1,OR(Dashboard!$B$7="All",Dashboard!$B$7='Cycles &amp; Guide'!$C$5),OR(Dashboard!$D$7="All",Dashboard!$D$7=B102),OR(Dashboard!$F$7="All",Dashboard!$F$7=C102),OR(Dashboard!$H$7="All",Dashboard!$H$7=D102),OR(Dashboard!$K$7="All",Dashboard!$K$7=E102)),1,0)</x:f>
        <x:v>0</x:v>
      </x:c>
      <x:c r="S102" s="2" t="n">
        <x:f>IF(R102=1,SUM($R$10:R102),0)</x:f>
        <x:v>0</x:v>
      </x:c>
      <x:c r="T102" s="2" t="str">
        <x:v>Data &amp; Reporting</x:v>
      </x:c>
      <x:c r="U102" s="2" t="n">
        <x:v>102</x:v>
      </x:c>
      <x:c r="V102" s="2" t="n">
        <x:f>IF(AND(M102=1,P102=0,ISNUMBER(J102),J102&lt;TODAY()),1,0)</x:f>
        <x:v>0</x:v>
      </x:c>
      <x:c r="W102" s="2" t="str">
        <x:f>'Data &amp; Reporting'!M102</x:f>
        <x:v>Checklist</x:v>
      </x:c>
    </x:row>
    <x:row r="103" ht="40" customHeight="1">
      <x:c r="A103" s="3" t="str">
        <x:f>HYPERLINK("#'Data &amp; Reporting'!A103","Open")</x:f>
        <x:v>Open</x:v>
      </x:c>
      <x:c r="B103" s="2" t="str">
        <x:f>'Data &amp; Reporting'!B103</x:f>
        <x:v>Cycle 1</x:v>
      </x:c>
      <x:c r="C103" s="2" t="str">
        <x:f>'Data &amp; Reporting'!C103</x:f>
        <x:v>Phase 1</x:v>
      </x:c>
      <x:c r="D103" s="2" t="str">
        <x:f>'Data &amp; Reporting'!D103</x:f>
        <x:v>CSBBO - Customer Service</x:v>
      </x:c>
      <x:c r="E103" s="2" t="str">
        <x:v>Data &amp; Reporting</x:v>
      </x:c>
      <x:c r="F103" s="56" t="str">
        <x:f>'Data &amp; Reporting'!E103</x:f>
        <x:v>DR.CS.1.3.C13</x:v>
      </x:c>
      <x:c r="G103" s="14" t="str">
        <x:f>'Data &amp; Reporting'!F103</x:f>
        <x:v>    Document clear summary explaining how the data connects to the potential topic</x:v>
      </x:c>
      <x:c r="H103" s="2" t="str">
        <x:f>IF('Data &amp; Reporting'!G103="","",'Data &amp; Reporting'!G103)</x:f>
      </x:c>
      <x:c r="I103" s="12" t="str">
        <x:f>IF('Data &amp; Reporting'!H103="","",'Data &amp; Reporting'!H103)</x:f>
      </x:c>
      <x:c r="J103" s="12" t="str">
        <x:f>IF('Data &amp; Reporting'!I103="","",'Data &amp; Reporting'!I103)</x:f>
      </x:c>
      <x:c r="K103" s="12" t="str">
        <x:f>IF('Data &amp; Reporting'!J103="","",'Data &amp; Reporting'!J103)</x:f>
      </x:c>
      <x:c r="L103" s="2" t="str">
        <x:f>IF('Data &amp; Reporting'!K103="","",'Data &amp; Reporting'!K103)</x:f>
      </x:c>
      <x:c r="M103" s="2" t="n">
        <x:f>'Data &amp; Reporting'!Q103</x:f>
        <x:v>0</x:v>
      </x:c>
      <x:c r="N103" s="2" t="str">
        <x:f>'Data &amp; Reporting'!L103</x:f>
        <x:v>Open check</x:v>
      </x:c>
      <x:c r="O103" s="2" t="str">
        <x:f>'Data &amp; Reporting'!N103</x:f>
        <x:v>DR.CS.1.3.C13.2026.CY1</x:v>
      </x:c>
      <x:c r="P103" s="2" t="n">
        <x:f>'Data &amp; Reporting'!O103</x:f>
        <x:v>0</x:v>
      </x:c>
      <x:c r="Q103" s="2" t="n">
        <x:f>SUBTOTAL(103,O103)</x:f>
        <x:v>1</x:v>
      </x:c>
      <x:c r="R103" s="2" t="n">
        <x:f>IF(AND(M103=1,OR(Dashboard!$B$7="All",Dashboard!$B$7='Cycles &amp; Guide'!$C$5),OR(Dashboard!$D$7="All",Dashboard!$D$7=B103),OR(Dashboard!$F$7="All",Dashboard!$F$7=C103),OR(Dashboard!$H$7="All",Dashboard!$H$7=D103),OR(Dashboard!$K$7="All",Dashboard!$K$7=E103)),1,0)</x:f>
        <x:v>0</x:v>
      </x:c>
      <x:c r="S103" s="2" t="n">
        <x:f>IF(R103=1,SUM($R$10:R103),0)</x:f>
        <x:v>0</x:v>
      </x:c>
      <x:c r="T103" s="2" t="str">
        <x:v>Data &amp; Reporting</x:v>
      </x:c>
      <x:c r="U103" s="2" t="n">
        <x:v>103</x:v>
      </x:c>
      <x:c r="V103" s="2" t="n">
        <x:f>IF(AND(M103=1,P103=0,ISNUMBER(J103),J103&lt;TODAY()),1,0)</x:f>
        <x:v>0</x:v>
      </x:c>
      <x:c r="W103" s="2" t="str">
        <x:f>'Data &amp; Reporting'!M103</x:f>
        <x:v>Checklist</x:v>
      </x:c>
    </x:row>
    <x:row r="104" ht="40" customHeight="1">
      <x:c r="A104" s="3" t="str">
        <x:f>HYPERLINK("#'Data &amp; Reporting'!A104","Open")</x:f>
        <x:v>Open</x:v>
      </x:c>
      <x:c r="B104" s="2" t="str">
        <x:f>'Data &amp; Reporting'!B104</x:f>
        <x:v>Cycle 1</x:v>
      </x:c>
      <x:c r="C104" s="2" t="str">
        <x:f>'Data &amp; Reporting'!C104</x:f>
        <x:v>Phase 2</x:v>
      </x:c>
      <x:c r="D104" s="2" t="str">
        <x:f>'Data &amp; Reporting'!D104</x:f>
        <x:v>CSBBO - Customer Service</x:v>
      </x:c>
      <x:c r="E104" s="2" t="str">
        <x:v>Data &amp; Reporting</x:v>
      </x:c>
      <x:c r="F104" s="56" t="str">
        <x:f>'Data &amp; Reporting'!E104</x:f>
        <x:v>DR.CS.2.1</x:v>
      </x:c>
      <x:c r="G104" s="14" t="str">
        <x:f>'Data &amp; Reporting'!F104</x:f>
        <x:v>Ensure data is clean, structured, and usable without manipulation needed</x:v>
      </x:c>
      <x:c r="H104" s="2" t="str">
        <x:f>IF('Data &amp; Reporting'!G104="","",'Data &amp; Reporting'!G104)</x:f>
      </x:c>
      <x:c r="I104" s="12" t="str">
        <x:f>IF('Data &amp; Reporting'!H104="","",'Data &amp; Reporting'!H104)</x:f>
      </x:c>
      <x:c r="J104" s="12" t="n">
        <x:f>IF('Data &amp; Reporting'!I104="","",'Data &amp; Reporting'!I104)</x:f>
        <x:v>46112</x:v>
      </x:c>
      <x:c r="K104" s="12" t="str">
        <x:f>IF('Data &amp; Reporting'!J104="","",'Data &amp; Reporting'!J104)</x:f>
      </x:c>
      <x:c r="L104" s="2" t="str">
        <x:f>IF('Data &amp; Reporting'!K104="","",'Data &amp; Reporting'!K104)</x:f>
      </x:c>
      <x:c r="M104" s="2" t="n">
        <x:f>'Data &amp; Reporting'!Q104</x:f>
        <x:v>1</x:v>
      </x:c>
      <x:c r="N104" s="2" t="str">
        <x:f>'Data &amp; Reporting'!L104</x:f>
        <x:v>Not started</x:v>
      </x:c>
      <x:c r="O104" s="2" t="str">
        <x:f>'Data &amp; Reporting'!N104</x:f>
        <x:v>DR.CS.2.1.2026.CY1</x:v>
      </x:c>
      <x:c r="P104" s="2" t="n">
        <x:f>'Data &amp; Reporting'!O104</x:f>
        <x:v>0</x:v>
      </x:c>
      <x:c r="Q104" s="2" t="n">
        <x:f>SUBTOTAL(103,O104)</x:f>
        <x:v>1</x:v>
      </x:c>
      <x:c r="R104" s="2" t="n">
        <x:f>IF(AND(M104=1,OR(Dashboard!$B$7="All",Dashboard!$B$7='Cycles &amp; Guide'!$C$5),OR(Dashboard!$D$7="All",Dashboard!$D$7=B104),OR(Dashboard!$F$7="All",Dashboard!$F$7=C104),OR(Dashboard!$H$7="All",Dashboard!$H$7=D104),OR(Dashboard!$K$7="All",Dashboard!$K$7=E104)),1,0)</x:f>
        <x:v>1</x:v>
      </x:c>
      <x:c r="S104" s="2" t="n">
        <x:f>IF(R104=1,SUM($R$10:R104),0)</x:f>
        <x:v>43</x:v>
      </x:c>
      <x:c r="T104" s="2" t="str">
        <x:v>Data &amp; Reporting</x:v>
      </x:c>
      <x:c r="U104" s="2" t="n">
        <x:v>104</x:v>
      </x:c>
      <x:c r="V104" s="2" t="n">
        <x:f>IF(AND(M104=1,P104=0,ISNUMBER(J104),J104&lt;TODAY()),1,0)</x:f>
        <x:v>1</x:v>
      </x:c>
      <x:c r="W104" s="2" t="str">
        <x:f>'Data &amp; Reporting'!M104</x:f>
        <x:v>Task</x:v>
      </x:c>
    </x:row>
    <x:row r="105" ht="40" customHeight="1">
      <x:c r="A105" s="3" t="str">
        <x:f>HYPERLINK("#'Data &amp; Reporting'!A105","Open")</x:f>
        <x:v>Open</x:v>
      </x:c>
      <x:c r="B105" s="2" t="str">
        <x:f>'Data &amp; Reporting'!B105</x:f>
        <x:v>Cycle 1</x:v>
      </x:c>
      <x:c r="C105" s="2" t="str">
        <x:f>'Data &amp; Reporting'!C105</x:f>
        <x:v>Phase 2</x:v>
      </x:c>
      <x:c r="D105" s="2" t="str">
        <x:f>'Data &amp; Reporting'!D105</x:f>
        <x:v>CSBBO - Customer Service</x:v>
      </x:c>
      <x:c r="E105" s="2" t="str">
        <x:v>Data &amp; Reporting</x:v>
      </x:c>
      <x:c r="F105" s="56" t="str">
        <x:f>'Data &amp; Reporting'!E105</x:f>
        <x:v>DR.CS.2.2</x:v>
      </x:c>
      <x:c r="G105" s="14" t="str">
        <x:f>'Data &amp; Reporting'!F105</x:f>
        <x:v>Clearly document rationale for each topic recommendation within the SharePoint list</x:v>
      </x:c>
      <x:c r="H105" s="2" t="str">
        <x:f>IF('Data &amp; Reporting'!G105="","",'Data &amp; Reporting'!G105)</x:f>
      </x:c>
      <x:c r="I105" s="12" t="str">
        <x:f>IF('Data &amp; Reporting'!H105="","",'Data &amp; Reporting'!H105)</x:f>
      </x:c>
      <x:c r="J105" s="12" t="n">
        <x:f>IF('Data &amp; Reporting'!I105="","",'Data &amp; Reporting'!I105)</x:f>
        <x:v>46112</x:v>
      </x:c>
      <x:c r="K105" s="12" t="str">
        <x:f>IF('Data &amp; Reporting'!J105="","",'Data &amp; Reporting'!J105)</x:f>
      </x:c>
      <x:c r="L105" s="2" t="str">
        <x:f>IF('Data &amp; Reporting'!K105="","",'Data &amp; Reporting'!K105)</x:f>
      </x:c>
      <x:c r="M105" s="2" t="n">
        <x:f>'Data &amp; Reporting'!Q105</x:f>
        <x:v>1</x:v>
      </x:c>
      <x:c r="N105" s="2" t="str">
        <x:f>'Data &amp; Reporting'!L105</x:f>
        <x:v>Not started</x:v>
      </x:c>
      <x:c r="O105" s="2" t="str">
        <x:f>'Data &amp; Reporting'!N105</x:f>
        <x:v>DR.CS.2.2.2026.CY1</x:v>
      </x:c>
      <x:c r="P105" s="2" t="n">
        <x:f>'Data &amp; Reporting'!O105</x:f>
        <x:v>0</x:v>
      </x:c>
      <x:c r="Q105" s="2" t="n">
        <x:f>SUBTOTAL(103,O105)</x:f>
        <x:v>1</x:v>
      </x:c>
      <x:c r="R105" s="2" t="n">
        <x:f>IF(AND(M105=1,OR(Dashboard!$B$7="All",Dashboard!$B$7='Cycles &amp; Guide'!$C$5),OR(Dashboard!$D$7="All",Dashboard!$D$7=B105),OR(Dashboard!$F$7="All",Dashboard!$F$7=C105),OR(Dashboard!$H$7="All",Dashboard!$H$7=D105),OR(Dashboard!$K$7="All",Dashboard!$K$7=E105)),1,0)</x:f>
        <x:v>1</x:v>
      </x:c>
      <x:c r="S105" s="2" t="n">
        <x:f>IF(R105=1,SUM($R$10:R105),0)</x:f>
        <x:v>44</x:v>
      </x:c>
      <x:c r="T105" s="2" t="str">
        <x:v>Data &amp; Reporting</x:v>
      </x:c>
      <x:c r="U105" s="2" t="n">
        <x:v>105</x:v>
      </x:c>
      <x:c r="V105" s="2" t="n">
        <x:f>IF(AND(M105=1,P105=0,ISNUMBER(J105),J105&lt;TODAY()),1,0)</x:f>
        <x:v>1</x:v>
      </x:c>
      <x:c r="W105" s="2" t="str">
        <x:f>'Data &amp; Reporting'!M105</x:f>
        <x:v>Task</x:v>
      </x:c>
    </x:row>
    <x:row r="106" ht="40" customHeight="1">
      <x:c r="A106" s="3" t="str">
        <x:f>HYPERLINK("#'Data &amp; Reporting'!A106","Open")</x:f>
        <x:v>Open</x:v>
      </x:c>
      <x:c r="B106" s="2" t="str">
        <x:f>'Data &amp; Reporting'!B106</x:f>
        <x:v>Cycle 1</x:v>
      </x:c>
      <x:c r="C106" s="2" t="str">
        <x:f>'Data &amp; Reporting'!C106</x:f>
        <x:v>Phase 2</x:v>
      </x:c>
      <x:c r="D106" s="2" t="str">
        <x:f>'Data &amp; Reporting'!D106</x:f>
        <x:v>CSBBO - Customer Service</x:v>
      </x:c>
      <x:c r="E106" s="2" t="str">
        <x:v>Data &amp; Reporting</x:v>
      </x:c>
      <x:c r="F106" s="56" t="str">
        <x:f>'Data &amp; Reporting'!E106</x:f>
        <x:v>DR.CS.2.3</x:v>
      </x:c>
      <x:c r="G106" s="14" t="str">
        <x:f>'Data &amp; Reporting'!F106</x:f>
        <x:v>Verify topic is eligible for RCA and does not conflict with Attorney Client Privilege</x:v>
      </x:c>
      <x:c r="H106" s="2" t="str">
        <x:f>IF('Data &amp; Reporting'!G106="","",'Data &amp; Reporting'!G106)</x:f>
      </x:c>
      <x:c r="I106" s="12" t="str">
        <x:f>IF('Data &amp; Reporting'!H106="","",'Data &amp; Reporting'!H106)</x:f>
      </x:c>
      <x:c r="J106" s="12" t="n">
        <x:f>IF('Data &amp; Reporting'!I106="","",'Data &amp; Reporting'!I106)</x:f>
        <x:v>46112</x:v>
      </x:c>
      <x:c r="K106" s="12" t="str">
        <x:f>IF('Data &amp; Reporting'!J106="","",'Data &amp; Reporting'!J106)</x:f>
      </x:c>
      <x:c r="L106" s="2" t="str">
        <x:f>IF('Data &amp; Reporting'!K106="","",'Data &amp; Reporting'!K106)</x:f>
      </x:c>
      <x:c r="M106" s="2" t="n">
        <x:f>'Data &amp; Reporting'!Q106</x:f>
        <x:v>1</x:v>
      </x:c>
      <x:c r="N106" s="2" t="str">
        <x:f>'Data &amp; Reporting'!L106</x:f>
        <x:v>Not started</x:v>
      </x:c>
      <x:c r="O106" s="2" t="str">
        <x:f>'Data &amp; Reporting'!N106</x:f>
        <x:v>DR.CS.2.3.2026.CY1</x:v>
      </x:c>
      <x:c r="P106" s="2" t="n">
        <x:f>'Data &amp; Reporting'!O106</x:f>
        <x:v>0</x:v>
      </x:c>
      <x:c r="Q106" s="2" t="n">
        <x:f>SUBTOTAL(103,O106)</x:f>
        <x:v>1</x:v>
      </x:c>
      <x:c r="R106" s="2" t="n">
        <x:f>IF(AND(M106=1,OR(Dashboard!$B$7="All",Dashboard!$B$7='Cycles &amp; Guide'!$C$5),OR(Dashboard!$D$7="All",Dashboard!$D$7=B106),OR(Dashboard!$F$7="All",Dashboard!$F$7=C106),OR(Dashboard!$H$7="All",Dashboard!$H$7=D106),OR(Dashboard!$K$7="All",Dashboard!$K$7=E106)),1,0)</x:f>
        <x:v>1</x:v>
      </x:c>
      <x:c r="S106" s="2" t="n">
        <x:f>IF(R106=1,SUM($R$10:R106),0)</x:f>
        <x:v>45</x:v>
      </x:c>
      <x:c r="T106" s="2" t="str">
        <x:v>Data &amp; Reporting</x:v>
      </x:c>
      <x:c r="U106" s="2" t="n">
        <x:v>106</x:v>
      </x:c>
      <x:c r="V106" s="2" t="n">
        <x:f>IF(AND(M106=1,P106=0,ISNUMBER(J106),J106&lt;TODAY()),1,0)</x:f>
        <x:v>1</x:v>
      </x:c>
      <x:c r="W106" s="2" t="str">
        <x:f>'Data &amp; Reporting'!M106</x:f>
        <x:v>Task</x:v>
      </x:c>
    </x:row>
    <x:row r="107" ht="40" customHeight="1">
      <x:c r="A107" s="3" t="str">
        <x:f>HYPERLINK("#'Data &amp; Reporting'!A107","Open")</x:f>
        <x:v>Open</x:v>
      </x:c>
      <x:c r="B107" s="2" t="str">
        <x:f>'Data &amp; Reporting'!B107</x:f>
        <x:v>Cycle 1</x:v>
      </x:c>
      <x:c r="C107" s="2" t="str">
        <x:f>'Data &amp; Reporting'!C107</x:f>
        <x:v>Phase 2</x:v>
      </x:c>
      <x:c r="D107" s="2" t="str">
        <x:f>'Data &amp; Reporting'!D107</x:f>
        <x:v>CSBBO - Customer Service</x:v>
      </x:c>
      <x:c r="E107" s="2" t="str">
        <x:v>Data &amp; Reporting</x:v>
      </x:c>
      <x:c r="F107" s="56" t="str">
        <x:f>'Data &amp; Reporting'!E107</x:f>
        <x:v>DR.CS.2.4</x:v>
      </x:c>
      <x:c r="G107" s="14" t="str">
        <x:f>'Data &amp; Reporting'!F107</x:f>
        <x:v>Ensure data is free of errors and anomalies prior to hand-off to Research</x:v>
      </x:c>
      <x:c r="H107" s="2" t="str">
        <x:f>IF('Data &amp; Reporting'!G107="","",'Data &amp; Reporting'!G107)</x:f>
      </x:c>
      <x:c r="I107" s="12" t="str">
        <x:f>IF('Data &amp; Reporting'!H107="","",'Data &amp; Reporting'!H107)</x:f>
      </x:c>
      <x:c r="J107" s="12" t="n">
        <x:f>IF('Data &amp; Reporting'!I107="","",'Data &amp; Reporting'!I107)</x:f>
        <x:v>46112</x:v>
      </x:c>
      <x:c r="K107" s="12" t="str">
        <x:f>IF('Data &amp; Reporting'!J107="","",'Data &amp; Reporting'!J107)</x:f>
      </x:c>
      <x:c r="L107" s="2" t="str">
        <x:f>IF('Data &amp; Reporting'!K107="","",'Data &amp; Reporting'!K107)</x:f>
      </x:c>
      <x:c r="M107" s="2" t="n">
        <x:f>'Data &amp; Reporting'!Q107</x:f>
        <x:v>1</x:v>
      </x:c>
      <x:c r="N107" s="2" t="str">
        <x:f>'Data &amp; Reporting'!L107</x:f>
        <x:v>Not started</x:v>
      </x:c>
      <x:c r="O107" s="2" t="str">
        <x:f>'Data &amp; Reporting'!N107</x:f>
        <x:v>DR.CS.2.4.2026.CY1</x:v>
      </x:c>
      <x:c r="P107" s="2" t="n">
        <x:f>'Data &amp; Reporting'!O107</x:f>
        <x:v>0</x:v>
      </x:c>
      <x:c r="Q107" s="2" t="n">
        <x:f>SUBTOTAL(103,O107)</x:f>
        <x:v>1</x:v>
      </x:c>
      <x:c r="R107" s="2" t="n">
        <x:f>IF(AND(M107=1,OR(Dashboard!$B$7="All",Dashboard!$B$7='Cycles &amp; Guide'!$C$5),OR(Dashboard!$D$7="All",Dashboard!$D$7=B107),OR(Dashboard!$F$7="All",Dashboard!$F$7=C107),OR(Dashboard!$H$7="All",Dashboard!$H$7=D107),OR(Dashboard!$K$7="All",Dashboard!$K$7=E107)),1,0)</x:f>
        <x:v>1</x:v>
      </x:c>
      <x:c r="S107" s="2" t="n">
        <x:f>IF(R107=1,SUM($R$10:R107),0)</x:f>
        <x:v>46</x:v>
      </x:c>
      <x:c r="T107" s="2" t="str">
        <x:v>Data &amp; Reporting</x:v>
      </x:c>
      <x:c r="U107" s="2" t="n">
        <x:v>107</x:v>
      </x:c>
      <x:c r="V107" s="2" t="n">
        <x:f>IF(AND(M107=1,P107=0,ISNUMBER(J107),J107&lt;TODAY()),1,0)</x:f>
        <x:v>1</x:v>
      </x:c>
      <x:c r="W107" s="2" t="str">
        <x:f>'Data &amp; Reporting'!M107</x:f>
        <x:v>Task</x:v>
      </x:c>
    </x:row>
    <x:row r="108" ht="40" customHeight="1">
      <x:c r="A108" s="3" t="str">
        <x:f>HYPERLINK("#'Data &amp; Reporting'!A108","Open")</x:f>
        <x:v>Open</x:v>
      </x:c>
      <x:c r="B108" s="2" t="str">
        <x:f>'Data &amp; Reporting'!B108</x:f>
        <x:v>Cycle 1</x:v>
      </x:c>
      <x:c r="C108" s="2" t="str">
        <x:f>'Data &amp; Reporting'!C108</x:f>
        <x:v>Phase 2</x:v>
      </x:c>
      <x:c r="D108" s="2" t="str">
        <x:f>'Data &amp; Reporting'!D108</x:f>
        <x:v>CSBBO - Customer Service</x:v>
      </x:c>
      <x:c r="E108" s="2" t="str">
        <x:v>Data &amp; Reporting</x:v>
      </x:c>
      <x:c r="F108" s="56" t="str">
        <x:f>'Data &amp; Reporting'!E108</x:f>
        <x:v>DR.CS.2.5</x:v>
      </x:c>
      <x:c r="G108" s="14" t="str">
        <x:f>'Data &amp; Reporting'!F108</x:f>
        <x:v>Ensure topic is not a duplicate from a previous Cycle</x:v>
      </x:c>
      <x:c r="H108" s="2" t="str">
        <x:f>IF('Data &amp; Reporting'!G108="","",'Data &amp; Reporting'!G108)</x:f>
      </x:c>
      <x:c r="I108" s="12" t="str">
        <x:f>IF('Data &amp; Reporting'!H108="","",'Data &amp; Reporting'!H108)</x:f>
      </x:c>
      <x:c r="J108" s="12" t="n">
        <x:f>IF('Data &amp; Reporting'!I108="","",'Data &amp; Reporting'!I108)</x:f>
        <x:v>46112</x:v>
      </x:c>
      <x:c r="K108" s="12" t="str">
        <x:f>IF('Data &amp; Reporting'!J108="","",'Data &amp; Reporting'!J108)</x:f>
      </x:c>
      <x:c r="L108" s="2" t="str">
        <x:f>IF('Data &amp; Reporting'!K108="","",'Data &amp; Reporting'!K108)</x:f>
      </x:c>
      <x:c r="M108" s="2" t="n">
        <x:f>'Data &amp; Reporting'!Q108</x:f>
        <x:v>1</x:v>
      </x:c>
      <x:c r="N108" s="2" t="str">
        <x:f>'Data &amp; Reporting'!L108</x:f>
        <x:v>Not started</x:v>
      </x:c>
      <x:c r="O108" s="2" t="str">
        <x:f>'Data &amp; Reporting'!N108</x:f>
        <x:v>DR.CS.2.5.2026.CY1</x:v>
      </x:c>
      <x:c r="P108" s="2" t="n">
        <x:f>'Data &amp; Reporting'!O108</x:f>
        <x:v>0</x:v>
      </x:c>
      <x:c r="Q108" s="2" t="n">
        <x:f>SUBTOTAL(103,O108)</x:f>
        <x:v>1</x:v>
      </x:c>
      <x:c r="R108" s="2" t="n">
        <x:f>IF(AND(M108=1,OR(Dashboard!$B$7="All",Dashboard!$B$7='Cycles &amp; Guide'!$C$5),OR(Dashboard!$D$7="All",Dashboard!$D$7=B108),OR(Dashboard!$F$7="All",Dashboard!$F$7=C108),OR(Dashboard!$H$7="All",Dashboard!$H$7=D108),OR(Dashboard!$K$7="All",Dashboard!$K$7=E108)),1,0)</x:f>
        <x:v>1</x:v>
      </x:c>
      <x:c r="S108" s="2" t="n">
        <x:f>IF(R108=1,SUM($R$10:R108),0)</x:f>
        <x:v>47</x:v>
      </x:c>
      <x:c r="T108" s="2" t="str">
        <x:v>Data &amp; Reporting</x:v>
      </x:c>
      <x:c r="U108" s="2" t="n">
        <x:v>108</x:v>
      </x:c>
      <x:c r="V108" s="2" t="n">
        <x:f>IF(AND(M108=1,P108=0,ISNUMBER(J108),J108&lt;TODAY()),1,0)</x:f>
        <x:v>1</x:v>
      </x:c>
      <x:c r="W108" s="2" t="str">
        <x:f>'Data &amp; Reporting'!M108</x:f>
        <x:v>Task</x:v>
      </x:c>
    </x:row>
    <x:row r="109" ht="40" customHeight="1">
      <x:c r="A109" s="3" t="str">
        <x:f>HYPERLINK("#'Data &amp; Reporting'!A109","Open")</x:f>
        <x:v>Open</x:v>
      </x:c>
      <x:c r="B109" s="2" t="str">
        <x:f>'Data &amp; Reporting'!B109</x:f>
        <x:v>Cycle 1</x:v>
      </x:c>
      <x:c r="C109" s="2" t="str">
        <x:f>'Data &amp; Reporting'!C109</x:f>
        <x:v>Phase 2</x:v>
      </x:c>
      <x:c r="D109" s="2" t="str">
        <x:f>'Data &amp; Reporting'!D109</x:f>
        <x:v>CSBBO - Customer Service</x:v>
      </x:c>
      <x:c r="E109" s="2" t="str">
        <x:v>Data &amp; Reporting</x:v>
      </x:c>
      <x:c r="F109" s="56" t="str">
        <x:f>'Data &amp; Reporting'!E109</x:f>
        <x:v>DR.CS.2.6</x:v>
      </x:c>
      <x:c r="G109" s="14" t="str">
        <x:f>'Data &amp; Reporting'!F109</x:f>
        <x:v>Document clear distinctions between facts, assumptions, and hypotheses within the data package</x:v>
      </x:c>
      <x:c r="H109" s="2" t="str">
        <x:f>IF('Data &amp; Reporting'!G109="","",'Data &amp; Reporting'!G109)</x:f>
      </x:c>
      <x:c r="I109" s="12" t="str">
        <x:f>IF('Data &amp; Reporting'!H109="","",'Data &amp; Reporting'!H109)</x:f>
      </x:c>
      <x:c r="J109" s="12" t="n">
        <x:f>IF('Data &amp; Reporting'!I109="","",'Data &amp; Reporting'!I109)</x:f>
        <x:v>46112</x:v>
      </x:c>
      <x:c r="K109" s="12" t="str">
        <x:f>IF('Data &amp; Reporting'!J109="","",'Data &amp; Reporting'!J109)</x:f>
      </x:c>
      <x:c r="L109" s="2" t="str">
        <x:f>IF('Data &amp; Reporting'!K109="","",'Data &amp; Reporting'!K109)</x:f>
      </x:c>
      <x:c r="M109" s="2" t="n">
        <x:f>'Data &amp; Reporting'!Q109</x:f>
        <x:v>1</x:v>
      </x:c>
      <x:c r="N109" s="2" t="str">
        <x:f>'Data &amp; Reporting'!L109</x:f>
        <x:v>Not started</x:v>
      </x:c>
      <x:c r="O109" s="2" t="str">
        <x:f>'Data &amp; Reporting'!N109</x:f>
        <x:v>DR.CS.2.6.2026.CY1</x:v>
      </x:c>
      <x:c r="P109" s="2" t="n">
        <x:f>'Data &amp; Reporting'!O109</x:f>
        <x:v>0</x:v>
      </x:c>
      <x:c r="Q109" s="2" t="n">
        <x:f>SUBTOTAL(103,O109)</x:f>
        <x:v>1</x:v>
      </x:c>
      <x:c r="R109" s="2" t="n">
        <x:f>IF(AND(M109=1,OR(Dashboard!$B$7="All",Dashboard!$B$7='Cycles &amp; Guide'!$C$5),OR(Dashboard!$D$7="All",Dashboard!$D$7=B109),OR(Dashboard!$F$7="All",Dashboard!$F$7=C109),OR(Dashboard!$H$7="All",Dashboard!$H$7=D109),OR(Dashboard!$K$7="All",Dashboard!$K$7=E109)),1,0)</x:f>
        <x:v>1</x:v>
      </x:c>
      <x:c r="S109" s="2" t="n">
        <x:f>IF(R109=1,SUM($R$10:R109),0)</x:f>
        <x:v>48</x:v>
      </x:c>
      <x:c r="T109" s="2" t="str">
        <x:v>Data &amp; Reporting</x:v>
      </x:c>
      <x:c r="U109" s="2" t="n">
        <x:v>109</x:v>
      </x:c>
      <x:c r="V109" s="2" t="n">
        <x:f>IF(AND(M109=1,P109=0,ISNUMBER(J109),J109&lt;TODAY()),1,0)</x:f>
        <x:v>1</x:v>
      </x:c>
      <x:c r="W109" s="2" t="str">
        <x:f>'Data &amp; Reporting'!M109</x:f>
        <x:v>Task</x:v>
      </x:c>
    </x:row>
    <x:row r="110" ht="40" customHeight="1">
      <x:c r="A110" s="3" t="str">
        <x:f>HYPERLINK("#'Data &amp; Reporting'!A110","Open")</x:f>
        <x:v>Open</x:v>
      </x:c>
      <x:c r="B110" s="2" t="str">
        <x:f>'Data &amp; Reporting'!B110</x:f>
        <x:v>Cycle 1</x:v>
      </x:c>
      <x:c r="C110" s="2" t="str">
        <x:f>'Data &amp; Reporting'!C110</x:f>
        <x:v>Phase 3</x:v>
      </x:c>
      <x:c r="D110" s="2" t="str">
        <x:f>'Data &amp; Reporting'!D110</x:f>
        <x:v>CSBBO - Customer Service</x:v>
      </x:c>
      <x:c r="E110" s="2" t="str">
        <x:v>Data &amp; Reporting</x:v>
      </x:c>
      <x:c r="F110" s="56" t="str">
        <x:f>'Data &amp; Reporting'!E110</x:f>
        <x:v>DR.CS.3.1</x:v>
      </x:c>
      <x:c r="G110" s="14" t="str">
        <x:f>'Data &amp; Reporting'!F110</x:f>
        <x:v>Clearly document rationale for each topic recommendation within the SharePoint list item</x:v>
      </x:c>
      <x:c r="H110" s="2" t="str">
        <x:f>IF('Data &amp; Reporting'!G110="","",'Data &amp; Reporting'!G110)</x:f>
      </x:c>
      <x:c r="I110" s="12" t="str">
        <x:f>IF('Data &amp; Reporting'!H110="","",'Data &amp; Reporting'!H110)</x:f>
      </x:c>
      <x:c r="J110" s="12" t="n">
        <x:f>IF('Data &amp; Reporting'!I110="","",'Data &amp; Reporting'!I110)</x:f>
        <x:v>46112</x:v>
      </x:c>
      <x:c r="K110" s="12" t="str">
        <x:f>IF('Data &amp; Reporting'!J110="","",'Data &amp; Reporting'!J110)</x:f>
      </x:c>
      <x:c r="L110" s="2" t="str">
        <x:f>IF('Data &amp; Reporting'!K110="","",'Data &amp; Reporting'!K110)</x:f>
      </x:c>
      <x:c r="M110" s="2" t="n">
        <x:f>'Data &amp; Reporting'!Q110</x:f>
        <x:v>1</x:v>
      </x:c>
      <x:c r="N110" s="2" t="str">
        <x:f>'Data &amp; Reporting'!L110</x:f>
        <x:v>Not started</x:v>
      </x:c>
      <x:c r="O110" s="2" t="str">
        <x:f>'Data &amp; Reporting'!N110</x:f>
        <x:v>DR.CS.3.1.2026.CY1</x:v>
      </x:c>
      <x:c r="P110" s="2" t="n">
        <x:f>'Data &amp; Reporting'!O110</x:f>
        <x:v>0</x:v>
      </x:c>
      <x:c r="Q110" s="2" t="n">
        <x:f>SUBTOTAL(103,O110)</x:f>
        <x:v>1</x:v>
      </x:c>
      <x:c r="R110" s="2" t="n">
        <x:f>IF(AND(M110=1,OR(Dashboard!$B$7="All",Dashboard!$B$7='Cycles &amp; Guide'!$C$5),OR(Dashboard!$D$7="All",Dashboard!$D$7=B110),OR(Dashboard!$F$7="All",Dashboard!$F$7=C110),OR(Dashboard!$H$7="All",Dashboard!$H$7=D110),OR(Dashboard!$K$7="All",Dashboard!$K$7=E110)),1,0)</x:f>
        <x:v>1</x:v>
      </x:c>
      <x:c r="S110" s="2" t="n">
        <x:f>IF(R110=1,SUM($R$10:R110),0)</x:f>
        <x:v>49</x:v>
      </x:c>
      <x:c r="T110" s="2" t="str">
        <x:v>Data &amp; Reporting</x:v>
      </x:c>
      <x:c r="U110" s="2" t="n">
        <x:v>110</x:v>
      </x:c>
      <x:c r="V110" s="2" t="n">
        <x:f>IF(AND(M110=1,P110=0,ISNUMBER(J110),J110&lt;TODAY()),1,0)</x:f>
        <x:v>1</x:v>
      </x:c>
      <x:c r="W110" s="2" t="str">
        <x:f>'Data &amp; Reporting'!M110</x:f>
        <x:v>Task</x:v>
      </x:c>
    </x:row>
    <x:row r="111" ht="40" customHeight="1">
      <x:c r="A111" s="3" t="str">
        <x:f>HYPERLINK("#'Data &amp; Reporting'!A111","Open")</x:f>
        <x:v>Open</x:v>
      </x:c>
      <x:c r="B111" s="2" t="str">
        <x:f>'Data &amp; Reporting'!B111</x:f>
        <x:v>Cycle 1</x:v>
      </x:c>
      <x:c r="C111" s="2" t="str">
        <x:f>'Data &amp; Reporting'!C111</x:f>
        <x:v>Phase 3</x:v>
      </x:c>
      <x:c r="D111" s="2" t="str">
        <x:f>'Data &amp; Reporting'!D111</x:f>
        <x:v>CSBBO - Customer Service</x:v>
      </x:c>
      <x:c r="E111" s="2" t="str">
        <x:v>Data &amp; Reporting</x:v>
      </x:c>
      <x:c r="F111" s="56" t="str">
        <x:f>'Data &amp; Reporting'!E111</x:f>
        <x:v>DR.CS.3.2</x:v>
      </x:c>
      <x:c r="G111" s="14" t="str">
        <x:f>'Data &amp; Reporting'!F111</x:f>
        <x:v>Attach the data package for each topic recommendation within the SharePoint list item</x:v>
      </x:c>
      <x:c r="H111" s="2" t="str">
        <x:f>IF('Data &amp; Reporting'!G111="","",'Data &amp; Reporting'!G111)</x:f>
      </x:c>
      <x:c r="I111" s="12" t="str">
        <x:f>IF('Data &amp; Reporting'!H111="","",'Data &amp; Reporting'!H111)</x:f>
      </x:c>
      <x:c r="J111" s="12" t="n">
        <x:f>IF('Data &amp; Reporting'!I111="","",'Data &amp; Reporting'!I111)</x:f>
        <x:v>46112</x:v>
      </x:c>
      <x:c r="K111" s="12" t="str">
        <x:f>IF('Data &amp; Reporting'!J111="","",'Data &amp; Reporting'!J111)</x:f>
      </x:c>
      <x:c r="L111" s="2" t="str">
        <x:f>IF('Data &amp; Reporting'!K111="","",'Data &amp; Reporting'!K111)</x:f>
      </x:c>
      <x:c r="M111" s="2" t="n">
        <x:f>'Data &amp; Reporting'!Q111</x:f>
        <x:v>1</x:v>
      </x:c>
      <x:c r="N111" s="2" t="str">
        <x:f>'Data &amp; Reporting'!L111</x:f>
        <x:v>Not started</x:v>
      </x:c>
      <x:c r="O111" s="2" t="str">
        <x:f>'Data &amp; Reporting'!N111</x:f>
        <x:v>DR.CS.3.2.2026.CY1</x:v>
      </x:c>
      <x:c r="P111" s="2" t="n">
        <x:f>'Data &amp; Reporting'!O111</x:f>
        <x:v>0</x:v>
      </x:c>
      <x:c r="Q111" s="2" t="n">
        <x:f>SUBTOTAL(103,O111)</x:f>
        <x:v>1</x:v>
      </x:c>
      <x:c r="R111" s="2" t="n">
        <x:f>IF(AND(M111=1,OR(Dashboard!$B$7="All",Dashboard!$B$7='Cycles &amp; Guide'!$C$5),OR(Dashboard!$D$7="All",Dashboard!$D$7=B111),OR(Dashboard!$F$7="All",Dashboard!$F$7=C111),OR(Dashboard!$H$7="All",Dashboard!$H$7=D111),OR(Dashboard!$K$7="All",Dashboard!$K$7=E111)),1,0)</x:f>
        <x:v>1</x:v>
      </x:c>
      <x:c r="S111" s="2" t="n">
        <x:f>IF(R111=1,SUM($R$10:R111),0)</x:f>
        <x:v>50</x:v>
      </x:c>
      <x:c r="T111" s="2" t="str">
        <x:v>Data &amp; Reporting</x:v>
      </x:c>
      <x:c r="U111" s="2" t="n">
        <x:v>111</x:v>
      </x:c>
      <x:c r="V111" s="2" t="n">
        <x:f>IF(AND(M111=1,P111=0,ISNUMBER(J111),J111&lt;TODAY()),1,0)</x:f>
        <x:v>1</x:v>
      </x:c>
      <x:c r="W111" s="2" t="str">
        <x:f>'Data &amp; Reporting'!M111</x:f>
        <x:v>Task</x:v>
      </x:c>
    </x:row>
    <x:row r="112" ht="40" customHeight="1">
      <x:c r="A112" s="3" t="str">
        <x:f>HYPERLINK("#'Data &amp; Reporting'!A112","Open")</x:f>
        <x:v>Open</x:v>
      </x:c>
      <x:c r="B112" s="2" t="str">
        <x:f>'Data &amp; Reporting'!B112</x:f>
        <x:v>Cycle 1</x:v>
      </x:c>
      <x:c r="C112" s="2" t="str">
        <x:f>'Data &amp; Reporting'!C112</x:f>
        <x:v>Phase 3</x:v>
      </x:c>
      <x:c r="D112" s="2" t="str">
        <x:f>'Data &amp; Reporting'!D112</x:f>
        <x:v>CSBBO - Customer Service</x:v>
      </x:c>
      <x:c r="E112" s="2" t="str">
        <x:v>Data &amp; Reporting</x:v>
      </x:c>
      <x:c r="F112" s="56" t="str">
        <x:f>'Data &amp; Reporting'!E112</x:f>
        <x:v>DR.CS.3.3</x:v>
      </x:c>
      <x:c r="G112" s="14" t="str">
        <x:f>'Data &amp; Reporting'!F112</x:f>
        <x:v>Confirm data privileges have been granted, ensuring each pillar can access</x:v>
      </x:c>
      <x:c r="H112" s="2" t="str">
        <x:f>IF('Data &amp; Reporting'!G112="","",'Data &amp; Reporting'!G112)</x:f>
      </x:c>
      <x:c r="I112" s="12" t="str">
        <x:f>IF('Data &amp; Reporting'!H112="","",'Data &amp; Reporting'!H112)</x:f>
      </x:c>
      <x:c r="J112" s="12" t="n">
        <x:f>IF('Data &amp; Reporting'!I112="","",'Data &amp; Reporting'!I112)</x:f>
        <x:v>46112</x:v>
      </x:c>
      <x:c r="K112" s="12" t="str">
        <x:f>IF('Data &amp; Reporting'!J112="","",'Data &amp; Reporting'!J112)</x:f>
      </x:c>
      <x:c r="L112" s="2" t="str">
        <x:f>IF('Data &amp; Reporting'!K112="","",'Data &amp; Reporting'!K112)</x:f>
      </x:c>
      <x:c r="M112" s="2" t="n">
        <x:f>'Data &amp; Reporting'!Q112</x:f>
        <x:v>1</x:v>
      </x:c>
      <x:c r="N112" s="2" t="str">
        <x:f>'Data &amp; Reporting'!L112</x:f>
        <x:v>Not started</x:v>
      </x:c>
      <x:c r="O112" s="2" t="str">
        <x:f>'Data &amp; Reporting'!N112</x:f>
        <x:v>DR.CS.3.3.2026.CY1</x:v>
      </x:c>
      <x:c r="P112" s="2" t="n">
        <x:f>'Data &amp; Reporting'!O112</x:f>
        <x:v>0</x:v>
      </x:c>
      <x:c r="Q112" s="2" t="n">
        <x:f>SUBTOTAL(103,O112)</x:f>
        <x:v>1</x:v>
      </x:c>
      <x:c r="R112" s="2" t="n">
        <x:f>IF(AND(M112=1,OR(Dashboard!$B$7="All",Dashboard!$B$7='Cycles &amp; Guide'!$C$5),OR(Dashboard!$D$7="All",Dashboard!$D$7=B112),OR(Dashboard!$F$7="All",Dashboard!$F$7=C112),OR(Dashboard!$H$7="All",Dashboard!$H$7=D112),OR(Dashboard!$K$7="All",Dashboard!$K$7=E112)),1,0)</x:f>
        <x:v>1</x:v>
      </x:c>
      <x:c r="S112" s="2" t="n">
        <x:f>IF(R112=1,SUM($R$10:R112),0)</x:f>
        <x:v>51</x:v>
      </x:c>
      <x:c r="T112" s="2" t="str">
        <x:v>Data &amp; Reporting</x:v>
      </x:c>
      <x:c r="U112" s="2" t="n">
        <x:v>112</x:v>
      </x:c>
      <x:c r="V112" s="2" t="n">
        <x:f>IF(AND(M112=1,P112=0,ISNUMBER(J112),J112&lt;TODAY()),1,0)</x:f>
        <x:v>1</x:v>
      </x:c>
      <x:c r="W112" s="2" t="str">
        <x:f>'Data &amp; Reporting'!M112</x:f>
        <x:v>Task</x:v>
      </x:c>
    </x:row>
    <x:row r="113" ht="40" customHeight="1">
      <x:c r="A113" s="3" t="str">
        <x:f>HYPERLINK("#'Data &amp; Reporting'!A113","Open")</x:f>
        <x:v>Open</x:v>
      </x:c>
      <x:c r="B113" s="2" t="str">
        <x:f>'Data &amp; Reporting'!B113</x:f>
        <x:v>Cycle 1</x:v>
      </x:c>
      <x:c r="C113" s="2" t="str">
        <x:f>'Data &amp; Reporting'!C113</x:f>
        <x:v>Phase 3</x:v>
      </x:c>
      <x:c r="D113" s="2" t="str">
        <x:f>'Data &amp; Reporting'!D113</x:f>
        <x:v>CSBBO - Customer Service</x:v>
      </x:c>
      <x:c r="E113" s="2" t="str">
        <x:v>Data &amp; Reporting</x:v>
      </x:c>
      <x:c r="F113" s="56" t="str">
        <x:f>'Data &amp; Reporting'!E113</x:f>
        <x:v>DR.CS.3.4</x:v>
      </x:c>
      <x:c r="G113" s="14" t="str">
        <x:f>'Data &amp; Reporting'!F113</x:f>
        <x:v>Ensure Power Automate notifications were correctly triggered within Microsoft Teams</x:v>
      </x:c>
      <x:c r="H113" s="2" t="str">
        <x:f>IF('Data &amp; Reporting'!G113="","",'Data &amp; Reporting'!G113)</x:f>
      </x:c>
      <x:c r="I113" s="12" t="str">
        <x:f>IF('Data &amp; Reporting'!H113="","",'Data &amp; Reporting'!H113)</x:f>
      </x:c>
      <x:c r="J113" s="12" t="n">
        <x:f>IF('Data &amp; Reporting'!I113="","",'Data &amp; Reporting'!I113)</x:f>
        <x:v>46112</x:v>
      </x:c>
      <x:c r="K113" s="12" t="str">
        <x:f>IF('Data &amp; Reporting'!J113="","",'Data &amp; Reporting'!J113)</x:f>
      </x:c>
      <x:c r="L113" s="2" t="str">
        <x:f>IF('Data &amp; Reporting'!K113="","",'Data &amp; Reporting'!K113)</x:f>
      </x:c>
      <x:c r="M113" s="2" t="n">
        <x:f>'Data &amp; Reporting'!Q113</x:f>
        <x:v>1</x:v>
      </x:c>
      <x:c r="N113" s="2" t="str">
        <x:f>'Data &amp; Reporting'!L113</x:f>
        <x:v>Not started</x:v>
      </x:c>
      <x:c r="O113" s="2" t="str">
        <x:f>'Data &amp; Reporting'!N113</x:f>
        <x:v>DR.CS.3.4.2026.CY1</x:v>
      </x:c>
      <x:c r="P113" s="2" t="n">
        <x:f>'Data &amp; Reporting'!O113</x:f>
        <x:v>0</x:v>
      </x:c>
      <x:c r="Q113" s="2" t="n">
        <x:f>SUBTOTAL(103,O113)</x:f>
        <x:v>1</x:v>
      </x:c>
      <x:c r="R113" s="2" t="n">
        <x:f>IF(AND(M113=1,OR(Dashboard!$B$7="All",Dashboard!$B$7='Cycles &amp; Guide'!$C$5),OR(Dashboard!$D$7="All",Dashboard!$D$7=B113),OR(Dashboard!$F$7="All",Dashboard!$F$7=C113),OR(Dashboard!$H$7="All",Dashboard!$H$7=D113),OR(Dashboard!$K$7="All",Dashboard!$K$7=E113)),1,0)</x:f>
        <x:v>1</x:v>
      </x:c>
      <x:c r="S113" s="2" t="n">
        <x:f>IF(R113=1,SUM($R$10:R113),0)</x:f>
        <x:v>52</x:v>
      </x:c>
      <x:c r="T113" s="2" t="str">
        <x:v>Data &amp; Reporting</x:v>
      </x:c>
      <x:c r="U113" s="2" t="n">
        <x:v>113</x:v>
      </x:c>
      <x:c r="V113" s="2" t="n">
        <x:f>IF(AND(M113=1,P113=0,ISNUMBER(J113),J113&lt;TODAY()),1,0)</x:f>
        <x:v>1</x:v>
      </x:c>
      <x:c r="W113" s="2" t="str">
        <x:f>'Data &amp; Reporting'!M113</x:f>
        <x:v>Task</x:v>
      </x:c>
    </x:row>
    <x:row r="114" ht="40" customHeight="1">
      <x:c r="A114" s="3" t="str">
        <x:f>HYPERLINK("#'Data &amp; Reporting'!A114","Open")</x:f>
        <x:v>Open</x:v>
      </x:c>
      <x:c r="B114" s="2" t="str">
        <x:f>'Data &amp; Reporting'!B114</x:f>
        <x:v>Cycle 1</x:v>
      </x:c>
      <x:c r="C114" s="2" t="str">
        <x:f>'Data &amp; Reporting'!C114</x:f>
        <x:v>Phase 1</x:v>
      </x:c>
      <x:c r="D114" s="2" t="str">
        <x:f>'Data &amp; Reporting'!D114</x:f>
        <x:v>FCM</x:v>
      </x:c>
      <x:c r="E114" s="2" t="str">
        <x:v>Data &amp; Reporting</x:v>
      </x:c>
      <x:c r="F114" s="56" t="str">
        <x:f>'Data &amp; Reporting'!E114</x:f>
        <x:v>DR.FC.1.1</x:v>
      </x:c>
      <x:c r="G114" s="14" t="str">
        <x:f>'Data &amp; Reporting'!F114</x:f>
        <x:v>Review data sources 3 weeks prior to Cycle start (Complaints, Gen AI, Loudspeaker, NPS, etc.)</x:v>
      </x:c>
      <x:c r="H114" s="2" t="str">
        <x:f>IF('Data &amp; Reporting'!G114="","",'Data &amp; Reporting'!G114)</x:f>
      </x:c>
      <x:c r="I114" s="12" t="str">
        <x:f>IF('Data &amp; Reporting'!H114="","",'Data &amp; Reporting'!H114)</x:f>
      </x:c>
      <x:c r="J114" s="12" t="n">
        <x:f>IF('Data &amp; Reporting'!I114="","",'Data &amp; Reporting'!I114)</x:f>
        <x:v>46002</x:v>
      </x:c>
      <x:c r="K114" s="12" t="str">
        <x:f>IF('Data &amp; Reporting'!J114="","",'Data &amp; Reporting'!J114)</x:f>
      </x:c>
      <x:c r="L114" s="2" t="str">
        <x:f>IF('Data &amp; Reporting'!K114="","",'Data &amp; Reporting'!K114)</x:f>
      </x:c>
      <x:c r="M114" s="2" t="n">
        <x:f>'Data &amp; Reporting'!Q114</x:f>
        <x:v>1</x:v>
      </x:c>
      <x:c r="N114" s="2" t="str">
        <x:f>'Data &amp; Reporting'!L114</x:f>
        <x:v>Not started</x:v>
      </x:c>
      <x:c r="O114" s="2" t="str">
        <x:f>'Data &amp; Reporting'!N114</x:f>
        <x:v>DR.FC.1.1.2026.CY1</x:v>
      </x:c>
      <x:c r="P114" s="2" t="n">
        <x:f>'Data &amp; Reporting'!O114</x:f>
        <x:v>0</x:v>
      </x:c>
      <x:c r="Q114" s="2" t="n">
        <x:f>SUBTOTAL(103,O114)</x:f>
        <x:v>1</x:v>
      </x:c>
      <x:c r="R114" s="2" t="n">
        <x:f>IF(AND(M114=1,OR(Dashboard!$B$7="All",Dashboard!$B$7='Cycles &amp; Guide'!$C$5),OR(Dashboard!$D$7="All",Dashboard!$D$7=B114),OR(Dashboard!$F$7="All",Dashboard!$F$7=C114),OR(Dashboard!$H$7="All",Dashboard!$H$7=D114),OR(Dashboard!$K$7="All",Dashboard!$K$7=E114)),1,0)</x:f>
        <x:v>1</x:v>
      </x:c>
      <x:c r="S114" s="2" t="n">
        <x:f>IF(R114=1,SUM($R$10:R114),0)</x:f>
        <x:v>53</x:v>
      </x:c>
      <x:c r="T114" s="2" t="str">
        <x:v>Data &amp; Reporting</x:v>
      </x:c>
      <x:c r="U114" s="2" t="n">
        <x:v>114</x:v>
      </x:c>
      <x:c r="V114" s="2" t="n">
        <x:f>IF(AND(M114=1,P114=0,ISNUMBER(J114),J114&lt;TODAY()),1,0)</x:f>
        <x:v>1</x:v>
      </x:c>
      <x:c r="W114" s="2" t="str">
        <x:f>'Data &amp; Reporting'!M114</x:f>
        <x:v>Task</x:v>
      </x:c>
    </x:row>
    <x:row r="115" ht="40" customHeight="1">
      <x:c r="A115" s="3" t="str">
        <x:f>HYPERLINK("#'Data &amp; Reporting'!A115","Open")</x:f>
        <x:v>Open</x:v>
      </x:c>
      <x:c r="B115" s="2" t="str">
        <x:f>'Data &amp; Reporting'!B115</x:f>
        <x:v>Cycle 1</x:v>
      </x:c>
      <x:c r="C115" s="2" t="str">
        <x:f>'Data &amp; Reporting'!C115</x:f>
        <x:v>Phase 1</x:v>
      </x:c>
      <x:c r="D115" s="2" t="str">
        <x:f>'Data &amp; Reporting'!D115</x:f>
        <x:v>FCM</x:v>
      </x:c>
      <x:c r="E115" s="2" t="str">
        <x:v>Data &amp; Reporting</x:v>
      </x:c>
      <x:c r="F115" s="56" t="str">
        <x:f>'Data &amp; Reporting'!E115</x:f>
        <x:v>DR.FC.1.2</x:v>
      </x:c>
      <x:c r="G115" s="14" t="str">
        <x:f>'Data &amp; Reporting'!F115</x:f>
        <x:v>Identify two potential topics for the upcoming Cycle</x:v>
      </x:c>
      <x:c r="H115" s="2" t="str">
        <x:f>IF('Data &amp; Reporting'!G115="","",'Data &amp; Reporting'!G115)</x:f>
      </x:c>
      <x:c r="I115" s="12" t="str">
        <x:f>IF('Data &amp; Reporting'!H115="","",'Data &amp; Reporting'!H115)</x:f>
      </x:c>
      <x:c r="J115" s="12" t="n">
        <x:f>IF('Data &amp; Reporting'!I115="","",'Data &amp; Reporting'!I115)</x:f>
        <x:v>46112</x:v>
      </x:c>
      <x:c r="K115" s="12" t="str">
        <x:f>IF('Data &amp; Reporting'!J115="","",'Data &amp; Reporting'!J115)</x:f>
      </x:c>
      <x:c r="L115" s="2" t="str">
        <x:f>IF('Data &amp; Reporting'!K115="","",'Data &amp; Reporting'!K115)</x:f>
      </x:c>
      <x:c r="M115" s="2" t="n">
        <x:f>'Data &amp; Reporting'!Q115</x:f>
        <x:v>1</x:v>
      </x:c>
      <x:c r="N115" s="2" t="str">
        <x:f>'Data &amp; Reporting'!L115</x:f>
        <x:v>Not started</x:v>
      </x:c>
      <x:c r="O115" s="2" t="str">
        <x:f>'Data &amp; Reporting'!N115</x:f>
        <x:v>DR.FC.1.2.2026.CY1</x:v>
      </x:c>
      <x:c r="P115" s="2" t="n">
        <x:f>'Data &amp; Reporting'!O115</x:f>
        <x:v>0</x:v>
      </x:c>
      <x:c r="Q115" s="2" t="n">
        <x:f>SUBTOTAL(103,O115)</x:f>
        <x:v>1</x:v>
      </x:c>
      <x:c r="R115" s="2" t="n">
        <x:f>IF(AND(M115=1,OR(Dashboard!$B$7="All",Dashboard!$B$7='Cycles &amp; Guide'!$C$5),OR(Dashboard!$D$7="All",Dashboard!$D$7=B115),OR(Dashboard!$F$7="All",Dashboard!$F$7=C115),OR(Dashboard!$H$7="All",Dashboard!$H$7=D115),OR(Dashboard!$K$7="All",Dashboard!$K$7=E115)),1,0)</x:f>
        <x:v>1</x:v>
      </x:c>
      <x:c r="S115" s="2" t="n">
        <x:f>IF(R115=1,SUM($R$10:R115),0)</x:f>
        <x:v>54</x:v>
      </x:c>
      <x:c r="T115" s="2" t="str">
        <x:v>Data &amp; Reporting</x:v>
      </x:c>
      <x:c r="U115" s="2" t="n">
        <x:v>115</x:v>
      </x:c>
      <x:c r="V115" s="2" t="n">
        <x:f>IF(AND(M115=1,P115=0,ISNUMBER(J115),J115&lt;TODAY()),1,0)</x:f>
        <x:v>1</x:v>
      </x:c>
      <x:c r="W115" s="2" t="str">
        <x:f>'Data &amp; Reporting'!M115</x:f>
        <x:v>Task</x:v>
      </x:c>
    </x:row>
    <x:row r="116" ht="40" customHeight="1">
      <x:c r="A116" s="3" t="str">
        <x:f>HYPERLINK("#'Data &amp; Reporting'!A116","Open")</x:f>
        <x:v>Open</x:v>
      </x:c>
      <x:c r="B116" s="2" t="str">
        <x:f>'Data &amp; Reporting'!B116</x:f>
        <x:v>Cycle 1</x:v>
      </x:c>
      <x:c r="C116" s="2" t="str">
        <x:f>'Data &amp; Reporting'!C116</x:f>
        <x:v>Phase 1</x:v>
      </x:c>
      <x:c r="D116" s="2" t="str">
        <x:f>'Data &amp; Reporting'!D116</x:f>
        <x:v>FCM</x:v>
      </x:c>
      <x:c r="E116" s="2" t="str">
        <x:v>Data &amp; Reporting</x:v>
      </x:c>
      <x:c r="F116" s="56" t="str">
        <x:f>'Data &amp; Reporting'!E116</x:f>
        <x:v>DR.FC.1.3</x:v>
      </x:c>
      <x:c r="G116" s="14" t="str">
        <x:f>'Data &amp; Reporting'!F116</x:f>
        <x:v>Extract data for both potential topics, ensuring all checklist items below are included/completed</x:v>
      </x:c>
      <x:c r="H116" s="2" t="str">
        <x:f>IF('Data &amp; Reporting'!G116="","",'Data &amp; Reporting'!G116)</x:f>
      </x:c>
      <x:c r="I116" s="12" t="str">
        <x:f>IF('Data &amp; Reporting'!H116="","",'Data &amp; Reporting'!H116)</x:f>
      </x:c>
      <x:c r="J116" s="12" t="n">
        <x:f>IF('Data &amp; Reporting'!I116="","",'Data &amp; Reporting'!I116)</x:f>
        <x:v>46112</x:v>
      </x:c>
      <x:c r="K116" s="12" t="str">
        <x:f>IF('Data &amp; Reporting'!J116="","",'Data &amp; Reporting'!J116)</x:f>
      </x:c>
      <x:c r="L116" s="2" t="str">
        <x:f>IF('Data &amp; Reporting'!K116="","",'Data &amp; Reporting'!K116)</x:f>
      </x:c>
      <x:c r="M116" s="2" t="n">
        <x:f>'Data &amp; Reporting'!Q116</x:f>
        <x:v>1</x:v>
      </x:c>
      <x:c r="N116" s="2" t="str">
        <x:f>'Data &amp; Reporting'!L116</x:f>
        <x:v>Not started</x:v>
      </x:c>
      <x:c r="O116" s="2" t="str">
        <x:f>'Data &amp; Reporting'!N116</x:f>
        <x:v>DR.FC.1.3.2026.CY1</x:v>
      </x:c>
      <x:c r="P116" s="2" t="n">
        <x:f>'Data &amp; Reporting'!O116</x:f>
        <x:v>0</x:v>
      </x:c>
      <x:c r="Q116" s="2" t="n">
        <x:f>SUBTOTAL(103,O116)</x:f>
        <x:v>1</x:v>
      </x:c>
      <x:c r="R116" s="2" t="n">
        <x:f>IF(AND(M116=1,OR(Dashboard!$B$7="All",Dashboard!$B$7='Cycles &amp; Guide'!$C$5),OR(Dashboard!$D$7="All",Dashboard!$D$7=B116),OR(Dashboard!$F$7="All",Dashboard!$F$7=C116),OR(Dashboard!$H$7="All",Dashboard!$H$7=D116),OR(Dashboard!$K$7="All",Dashboard!$K$7=E116)),1,0)</x:f>
        <x:v>1</x:v>
      </x:c>
      <x:c r="S116" s="2" t="n">
        <x:f>IF(R116=1,SUM($R$10:R116),0)</x:f>
        <x:v>55</x:v>
      </x:c>
      <x:c r="T116" s="2" t="str">
        <x:v>Data &amp; Reporting</x:v>
      </x:c>
      <x:c r="U116" s="2" t="n">
        <x:v>116</x:v>
      </x:c>
      <x:c r="V116" s="2" t="n">
        <x:f>IF(AND(M116=1,P116=0,ISNUMBER(J116),J116&lt;TODAY()),1,0)</x:f>
        <x:v>1</x:v>
      </x:c>
      <x:c r="W116" s="2" t="str">
        <x:f>'Data &amp; Reporting'!M116</x:f>
        <x:v>Task</x:v>
      </x:c>
    </x:row>
    <x:row r="117" ht="40" customHeight="1">
      <x:c r="A117" s="3" t="str">
        <x:f>HYPERLINK("#'Data &amp; Reporting'!A117","Open")</x:f>
        <x:v>Open</x:v>
      </x:c>
      <x:c r="B117" s="2" t="str">
        <x:f>'Data &amp; Reporting'!B117</x:f>
        <x:v>Cycle 1</x:v>
      </x:c>
      <x:c r="C117" s="2" t="str">
        <x:f>'Data &amp; Reporting'!C117</x:f>
        <x:v>Phase 1</x:v>
      </x:c>
      <x:c r="D117" s="2" t="str">
        <x:f>'Data &amp; Reporting'!D117</x:f>
        <x:v>FCM</x:v>
      </x:c>
      <x:c r="E117" s="2" t="str">
        <x:v>Data &amp; Reporting</x:v>
      </x:c>
      <x:c r="F117" s="56" t="str">
        <x:f>'Data &amp; Reporting'!E117</x:f>
        <x:v>DR.FC.1.3.C01</x:v>
      </x:c>
      <x:c r="G117" s="14" t="str">
        <x:f>'Data &amp; Reporting'!F117</x:f>
        <x:v>    Document date range extracted</x:v>
      </x:c>
      <x:c r="H117" s="2" t="str">
        <x:f>IF('Data &amp; Reporting'!G117="","",'Data &amp; Reporting'!G117)</x:f>
      </x:c>
      <x:c r="I117" s="12" t="str">
        <x:f>IF('Data &amp; Reporting'!H117="","",'Data &amp; Reporting'!H117)</x:f>
      </x:c>
      <x:c r="J117" s="12" t="str">
        <x:f>IF('Data &amp; Reporting'!I117="","",'Data &amp; Reporting'!I117)</x:f>
      </x:c>
      <x:c r="K117" s="12" t="str">
        <x:f>IF('Data &amp; Reporting'!J117="","",'Data &amp; Reporting'!J117)</x:f>
      </x:c>
      <x:c r="L117" s="2" t="str">
        <x:f>IF('Data &amp; Reporting'!K117="","",'Data &amp; Reporting'!K117)</x:f>
      </x:c>
      <x:c r="M117" s="2" t="n">
        <x:f>'Data &amp; Reporting'!Q117</x:f>
        <x:v>0</x:v>
      </x:c>
      <x:c r="N117" s="2" t="str">
        <x:f>'Data &amp; Reporting'!L117</x:f>
        <x:v>Open check</x:v>
      </x:c>
      <x:c r="O117" s="2" t="str">
        <x:f>'Data &amp; Reporting'!N117</x:f>
        <x:v>DR.FC.1.3.C01.2026.CY1</x:v>
      </x:c>
      <x:c r="P117" s="2" t="n">
        <x:f>'Data &amp; Reporting'!O117</x:f>
        <x:v>0</x:v>
      </x:c>
      <x:c r="Q117" s="2" t="n">
        <x:f>SUBTOTAL(103,O117)</x:f>
        <x:v>1</x:v>
      </x:c>
      <x:c r="R117" s="2" t="n">
        <x:f>IF(AND(M117=1,OR(Dashboard!$B$7="All",Dashboard!$B$7='Cycles &amp; Guide'!$C$5),OR(Dashboard!$D$7="All",Dashboard!$D$7=B117),OR(Dashboard!$F$7="All",Dashboard!$F$7=C117),OR(Dashboard!$H$7="All",Dashboard!$H$7=D117),OR(Dashboard!$K$7="All",Dashboard!$K$7=E117)),1,0)</x:f>
        <x:v>0</x:v>
      </x:c>
      <x:c r="S117" s="2" t="n">
        <x:f>IF(R117=1,SUM($R$10:R117),0)</x:f>
        <x:v>0</x:v>
      </x:c>
      <x:c r="T117" s="2" t="str">
        <x:v>Data &amp; Reporting</x:v>
      </x:c>
      <x:c r="U117" s="2" t="n">
        <x:v>117</x:v>
      </x:c>
      <x:c r="V117" s="2" t="n">
        <x:f>IF(AND(M117=1,P117=0,ISNUMBER(J117),J117&lt;TODAY()),1,0)</x:f>
        <x:v>0</x:v>
      </x:c>
      <x:c r="W117" s="2" t="str">
        <x:f>'Data &amp; Reporting'!M117</x:f>
        <x:v>Checklist</x:v>
      </x:c>
    </x:row>
    <x:row r="118" ht="40" customHeight="1">
      <x:c r="A118" s="3" t="str">
        <x:f>HYPERLINK("#'Data &amp; Reporting'!A118","Open")</x:f>
        <x:v>Open</x:v>
      </x:c>
      <x:c r="B118" s="2" t="str">
        <x:f>'Data &amp; Reporting'!B118</x:f>
        <x:v>Cycle 1</x:v>
      </x:c>
      <x:c r="C118" s="2" t="str">
        <x:f>'Data &amp; Reporting'!C118</x:f>
        <x:v>Phase 1</x:v>
      </x:c>
      <x:c r="D118" s="2" t="str">
        <x:f>'Data &amp; Reporting'!D118</x:f>
        <x:v>FCM</x:v>
      </x:c>
      <x:c r="E118" s="2" t="str">
        <x:v>Data &amp; Reporting</x:v>
      </x:c>
      <x:c r="F118" s="56" t="str">
        <x:f>'Data &amp; Reporting'!E118</x:f>
        <x:v>DR.FC.1.3.C02</x:v>
      </x:c>
      <x:c r="G118" s="14" t="str">
        <x:f>'Data &amp; Reporting'!F118</x:f>
        <x:v>    Document date of data pull</x:v>
      </x:c>
      <x:c r="H118" s="2" t="str">
        <x:f>IF('Data &amp; Reporting'!G118="","",'Data &amp; Reporting'!G118)</x:f>
      </x:c>
      <x:c r="I118" s="12" t="str">
        <x:f>IF('Data &amp; Reporting'!H118="","",'Data &amp; Reporting'!H118)</x:f>
      </x:c>
      <x:c r="J118" s="12" t="str">
        <x:f>IF('Data &amp; Reporting'!I118="","",'Data &amp; Reporting'!I118)</x:f>
      </x:c>
      <x:c r="K118" s="12" t="str">
        <x:f>IF('Data &amp; Reporting'!J118="","",'Data &amp; Reporting'!J118)</x:f>
      </x:c>
      <x:c r="L118" s="2" t="str">
        <x:f>IF('Data &amp; Reporting'!K118="","",'Data &amp; Reporting'!K118)</x:f>
      </x:c>
      <x:c r="M118" s="2" t="n">
        <x:f>'Data &amp; Reporting'!Q118</x:f>
        <x:v>0</x:v>
      </x:c>
      <x:c r="N118" s="2" t="str">
        <x:f>'Data &amp; Reporting'!L118</x:f>
        <x:v>Open check</x:v>
      </x:c>
      <x:c r="O118" s="2" t="str">
        <x:f>'Data &amp; Reporting'!N118</x:f>
        <x:v>DR.FC.1.3.C02.2026.CY1</x:v>
      </x:c>
      <x:c r="P118" s="2" t="n">
        <x:f>'Data &amp; Reporting'!O118</x:f>
        <x:v>0</x:v>
      </x:c>
      <x:c r="Q118" s="2" t="n">
        <x:f>SUBTOTAL(103,O118)</x:f>
        <x:v>1</x:v>
      </x:c>
      <x:c r="R118" s="2" t="n">
        <x:f>IF(AND(M118=1,OR(Dashboard!$B$7="All",Dashboard!$B$7='Cycles &amp; Guide'!$C$5),OR(Dashboard!$D$7="All",Dashboard!$D$7=B118),OR(Dashboard!$F$7="All",Dashboard!$F$7=C118),OR(Dashboard!$H$7="All",Dashboard!$H$7=D118),OR(Dashboard!$K$7="All",Dashboard!$K$7=E118)),1,0)</x:f>
        <x:v>0</x:v>
      </x:c>
      <x:c r="S118" s="2" t="n">
        <x:f>IF(R118=1,SUM($R$10:R118),0)</x:f>
        <x:v>0</x:v>
      </x:c>
      <x:c r="T118" s="2" t="str">
        <x:v>Data &amp; Reporting</x:v>
      </x:c>
      <x:c r="U118" s="2" t="n">
        <x:v>118</x:v>
      </x:c>
      <x:c r="V118" s="2" t="n">
        <x:f>IF(AND(M118=1,P118=0,ISNUMBER(J118),J118&lt;TODAY()),1,0)</x:f>
        <x:v>0</x:v>
      </x:c>
      <x:c r="W118" s="2" t="str">
        <x:f>'Data &amp; Reporting'!M118</x:f>
        <x:v>Checklist</x:v>
      </x:c>
    </x:row>
    <x:row r="119" ht="40" customHeight="1">
      <x:c r="A119" s="3" t="str">
        <x:f>HYPERLINK("#'Data &amp; Reporting'!A119","Open")</x:f>
        <x:v>Open</x:v>
      </x:c>
      <x:c r="B119" s="2" t="str">
        <x:f>'Data &amp; Reporting'!B119</x:f>
        <x:v>Cycle 1</x:v>
      </x:c>
      <x:c r="C119" s="2" t="str">
        <x:f>'Data &amp; Reporting'!C119</x:f>
        <x:v>Phase 1</x:v>
      </x:c>
      <x:c r="D119" s="2" t="str">
        <x:f>'Data &amp; Reporting'!D119</x:f>
        <x:v>FCM</x:v>
      </x:c>
      <x:c r="E119" s="2" t="str">
        <x:v>Data &amp; Reporting</x:v>
      </x:c>
      <x:c r="F119" s="56" t="str">
        <x:f>'Data &amp; Reporting'!E119</x:f>
        <x:v>DR.FC.1.3.C03</x:v>
      </x:c>
      <x:c r="G119" s="14" t="str">
        <x:f>'Data &amp; Reporting'!F119</x:f>
        <x:v>    Document population details</x:v>
      </x:c>
      <x:c r="H119" s="2" t="str">
        <x:f>IF('Data &amp; Reporting'!G119="","",'Data &amp; Reporting'!G119)</x:f>
      </x:c>
      <x:c r="I119" s="12" t="str">
        <x:f>IF('Data &amp; Reporting'!H119="","",'Data &amp; Reporting'!H119)</x:f>
      </x:c>
      <x:c r="J119" s="12" t="str">
        <x:f>IF('Data &amp; Reporting'!I119="","",'Data &amp; Reporting'!I119)</x:f>
      </x:c>
      <x:c r="K119" s="12" t="str">
        <x:f>IF('Data &amp; Reporting'!J119="","",'Data &amp; Reporting'!J119)</x:f>
      </x:c>
      <x:c r="L119" s="2" t="str">
        <x:f>IF('Data &amp; Reporting'!K119="","",'Data &amp; Reporting'!K119)</x:f>
      </x:c>
      <x:c r="M119" s="2" t="n">
        <x:f>'Data &amp; Reporting'!Q119</x:f>
        <x:v>0</x:v>
      </x:c>
      <x:c r="N119" s="2" t="str">
        <x:f>'Data &amp; Reporting'!L119</x:f>
        <x:v>Open check</x:v>
      </x:c>
      <x:c r="O119" s="2" t="str">
        <x:f>'Data &amp; Reporting'!N119</x:f>
        <x:v>DR.FC.1.3.C03.2026.CY1</x:v>
      </x:c>
      <x:c r="P119" s="2" t="n">
        <x:f>'Data &amp; Reporting'!O119</x:f>
        <x:v>0</x:v>
      </x:c>
      <x:c r="Q119" s="2" t="n">
        <x:f>SUBTOTAL(103,O119)</x:f>
        <x:v>1</x:v>
      </x:c>
      <x:c r="R119" s="2" t="n">
        <x:f>IF(AND(M119=1,OR(Dashboard!$B$7="All",Dashboard!$B$7='Cycles &amp; Guide'!$C$5),OR(Dashboard!$D$7="All",Dashboard!$D$7=B119),OR(Dashboard!$F$7="All",Dashboard!$F$7=C119),OR(Dashboard!$H$7="All",Dashboard!$H$7=D119),OR(Dashboard!$K$7="All",Dashboard!$K$7=E119)),1,0)</x:f>
        <x:v>0</x:v>
      </x:c>
      <x:c r="S119" s="2" t="n">
        <x:f>IF(R119=1,SUM($R$10:R119),0)</x:f>
        <x:v>0</x:v>
      </x:c>
      <x:c r="T119" s="2" t="str">
        <x:v>Data &amp; Reporting</x:v>
      </x:c>
      <x:c r="U119" s="2" t="n">
        <x:v>119</x:v>
      </x:c>
      <x:c r="V119" s="2" t="n">
        <x:f>IF(AND(M119=1,P119=0,ISNUMBER(J119),J119&lt;TODAY()),1,0)</x:f>
        <x:v>0</x:v>
      </x:c>
      <x:c r="W119" s="2" t="str">
        <x:f>'Data &amp; Reporting'!M119</x:f>
        <x:v>Checklist</x:v>
      </x:c>
    </x:row>
    <x:row r="120" ht="40" customHeight="1">
      <x:c r="A120" s="3" t="str">
        <x:f>HYPERLINK("#'Data &amp; Reporting'!A120","Open")</x:f>
        <x:v>Open</x:v>
      </x:c>
      <x:c r="B120" s="2" t="str">
        <x:f>'Data &amp; Reporting'!B120</x:f>
        <x:v>Cycle 1</x:v>
      </x:c>
      <x:c r="C120" s="2" t="str">
        <x:f>'Data &amp; Reporting'!C120</x:f>
        <x:v>Phase 1</x:v>
      </x:c>
      <x:c r="D120" s="2" t="str">
        <x:f>'Data &amp; Reporting'!D120</x:f>
        <x:v>FCM</x:v>
      </x:c>
      <x:c r="E120" s="2" t="str">
        <x:v>Data &amp; Reporting</x:v>
      </x:c>
      <x:c r="F120" s="56" t="str">
        <x:f>'Data &amp; Reporting'!E120</x:f>
        <x:v>DR.FC.1.3.C04</x:v>
      </x:c>
      <x:c r="G120" s="14" t="str">
        <x:f>'Data &amp; Reporting'!F120</x:f>
        <x:v>    Validate no data is missing</x:v>
      </x:c>
      <x:c r="H120" s="2" t="str">
        <x:f>IF('Data &amp; Reporting'!G120="","",'Data &amp; Reporting'!G120)</x:f>
      </x:c>
      <x:c r="I120" s="12" t="str">
        <x:f>IF('Data &amp; Reporting'!H120="","",'Data &amp; Reporting'!H120)</x:f>
      </x:c>
      <x:c r="J120" s="12" t="str">
        <x:f>IF('Data &amp; Reporting'!I120="","",'Data &amp; Reporting'!I120)</x:f>
      </x:c>
      <x:c r="K120" s="12" t="str">
        <x:f>IF('Data &amp; Reporting'!J120="","",'Data &amp; Reporting'!J120)</x:f>
      </x:c>
      <x:c r="L120" s="2" t="str">
        <x:f>IF('Data &amp; Reporting'!K120="","",'Data &amp; Reporting'!K120)</x:f>
      </x:c>
      <x:c r="M120" s="2" t="n">
        <x:f>'Data &amp; Reporting'!Q120</x:f>
        <x:v>0</x:v>
      </x:c>
      <x:c r="N120" s="2" t="str">
        <x:f>'Data &amp; Reporting'!L120</x:f>
        <x:v>Open check</x:v>
      </x:c>
      <x:c r="O120" s="2" t="str">
        <x:f>'Data &amp; Reporting'!N120</x:f>
        <x:v>DR.FC.1.3.C04.2026.CY1</x:v>
      </x:c>
      <x:c r="P120" s="2" t="n">
        <x:f>'Data &amp; Reporting'!O120</x:f>
        <x:v>0</x:v>
      </x:c>
      <x:c r="Q120" s="2" t="n">
        <x:f>SUBTOTAL(103,O120)</x:f>
        <x:v>1</x:v>
      </x:c>
      <x:c r="R120" s="2" t="n">
        <x:f>IF(AND(M120=1,OR(Dashboard!$B$7="All",Dashboard!$B$7='Cycles &amp; Guide'!$C$5),OR(Dashboard!$D$7="All",Dashboard!$D$7=B120),OR(Dashboard!$F$7="All",Dashboard!$F$7=C120),OR(Dashboard!$H$7="All",Dashboard!$H$7=D120),OR(Dashboard!$K$7="All",Dashboard!$K$7=E120)),1,0)</x:f>
        <x:v>0</x:v>
      </x:c>
      <x:c r="S120" s="2" t="n">
        <x:f>IF(R120=1,SUM($R$10:R120),0)</x:f>
        <x:v>0</x:v>
      </x:c>
      <x:c r="T120" s="2" t="str">
        <x:v>Data &amp; Reporting</x:v>
      </x:c>
      <x:c r="U120" s="2" t="n">
        <x:v>120</x:v>
      </x:c>
      <x:c r="V120" s="2" t="n">
        <x:f>IF(AND(M120=1,P120=0,ISNUMBER(J120),J120&lt;TODAY()),1,0)</x:f>
        <x:v>0</x:v>
      </x:c>
      <x:c r="W120" s="2" t="str">
        <x:f>'Data &amp; Reporting'!M120</x:f>
        <x:v>Checklist</x:v>
      </x:c>
    </x:row>
    <x:row r="121" ht="40" customHeight="1">
      <x:c r="A121" s="3" t="str">
        <x:f>HYPERLINK("#'Data &amp; Reporting'!A121","Open")</x:f>
        <x:v>Open</x:v>
      </x:c>
      <x:c r="B121" s="2" t="str">
        <x:f>'Data &amp; Reporting'!B121</x:f>
        <x:v>Cycle 1</x:v>
      </x:c>
      <x:c r="C121" s="2" t="str">
        <x:f>'Data &amp; Reporting'!C121</x:f>
        <x:v>Phase 1</x:v>
      </x:c>
      <x:c r="D121" s="2" t="str">
        <x:f>'Data &amp; Reporting'!D121</x:f>
        <x:v>FCM</x:v>
      </x:c>
      <x:c r="E121" s="2" t="str">
        <x:v>Data &amp; Reporting</x:v>
      </x:c>
      <x:c r="F121" s="56" t="str">
        <x:f>'Data &amp; Reporting'!E121</x:f>
        <x:v>DR.FC.1.3.C05</x:v>
      </x:c>
      <x:c r="G121" s="14" t="str">
        <x:f>'Data &amp; Reporting'!F121</x:f>
        <x:v>    Validate accuracy of data</x:v>
      </x:c>
      <x:c r="H121" s="2" t="str">
        <x:f>IF('Data &amp; Reporting'!G121="","",'Data &amp; Reporting'!G121)</x:f>
      </x:c>
      <x:c r="I121" s="12" t="str">
        <x:f>IF('Data &amp; Reporting'!H121="","",'Data &amp; Reporting'!H121)</x:f>
      </x:c>
      <x:c r="J121" s="12" t="str">
        <x:f>IF('Data &amp; Reporting'!I121="","",'Data &amp; Reporting'!I121)</x:f>
      </x:c>
      <x:c r="K121" s="12" t="str">
        <x:f>IF('Data &amp; Reporting'!J121="","",'Data &amp; Reporting'!J121)</x:f>
      </x:c>
      <x:c r="L121" s="2" t="str">
        <x:f>IF('Data &amp; Reporting'!K121="","",'Data &amp; Reporting'!K121)</x:f>
      </x:c>
      <x:c r="M121" s="2" t="n">
        <x:f>'Data &amp; Reporting'!Q121</x:f>
        <x:v>0</x:v>
      </x:c>
      <x:c r="N121" s="2" t="str">
        <x:f>'Data &amp; Reporting'!L121</x:f>
        <x:v>Open check</x:v>
      </x:c>
      <x:c r="O121" s="2" t="str">
        <x:f>'Data &amp; Reporting'!N121</x:f>
        <x:v>DR.FC.1.3.C05.2026.CY1</x:v>
      </x:c>
      <x:c r="P121" s="2" t="n">
        <x:f>'Data &amp; Reporting'!O121</x:f>
        <x:v>0</x:v>
      </x:c>
      <x:c r="Q121" s="2" t="n">
        <x:f>SUBTOTAL(103,O121)</x:f>
        <x:v>1</x:v>
      </x:c>
      <x:c r="R121" s="2" t="n">
        <x:f>IF(AND(M121=1,OR(Dashboard!$B$7="All",Dashboard!$B$7='Cycles &amp; Guide'!$C$5),OR(Dashboard!$D$7="All",Dashboard!$D$7=B121),OR(Dashboard!$F$7="All",Dashboard!$F$7=C121),OR(Dashboard!$H$7="All",Dashboard!$H$7=D121),OR(Dashboard!$K$7="All",Dashboard!$K$7=E121)),1,0)</x:f>
        <x:v>0</x:v>
      </x:c>
      <x:c r="S121" s="2" t="n">
        <x:f>IF(R121=1,SUM($R$10:R121),0)</x:f>
        <x:v>0</x:v>
      </x:c>
      <x:c r="T121" s="2" t="str">
        <x:v>Data &amp; Reporting</x:v>
      </x:c>
      <x:c r="U121" s="2" t="n">
        <x:v>121</x:v>
      </x:c>
      <x:c r="V121" s="2" t="n">
        <x:f>IF(AND(M121=1,P121=0,ISNUMBER(J121),J121&lt;TODAY()),1,0)</x:f>
        <x:v>0</x:v>
      </x:c>
      <x:c r="W121" s="2" t="str">
        <x:f>'Data &amp; Reporting'!M121</x:f>
        <x:v>Checklist</x:v>
      </x:c>
    </x:row>
    <x:row r="122" ht="40" customHeight="1">
      <x:c r="A122" s="3" t="str">
        <x:f>HYPERLINK("#'Data &amp; Reporting'!A122","Open")</x:f>
        <x:v>Open</x:v>
      </x:c>
      <x:c r="B122" s="2" t="str">
        <x:f>'Data &amp; Reporting'!B122</x:f>
        <x:v>Cycle 1</x:v>
      </x:c>
      <x:c r="C122" s="2" t="str">
        <x:f>'Data &amp; Reporting'!C122</x:f>
        <x:v>Phase 1</x:v>
      </x:c>
      <x:c r="D122" s="2" t="str">
        <x:f>'Data &amp; Reporting'!D122</x:f>
        <x:v>FCM</x:v>
      </x:c>
      <x:c r="E122" s="2" t="str">
        <x:v>Data &amp; Reporting</x:v>
      </x:c>
      <x:c r="F122" s="56" t="str">
        <x:f>'Data &amp; Reporting'!E122</x:f>
        <x:v>DR.FC.1.3.C06</x:v>
      </x:c>
      <x:c r="G122" s="14" t="str">
        <x:f>'Data &amp; Reporting'!F122</x:f>
        <x:v>    Validate no duplicate data is provided</x:v>
      </x:c>
      <x:c r="H122" s="2" t="str">
        <x:f>IF('Data &amp; Reporting'!G122="","",'Data &amp; Reporting'!G122)</x:f>
      </x:c>
      <x:c r="I122" s="12" t="str">
        <x:f>IF('Data &amp; Reporting'!H122="","",'Data &amp; Reporting'!H122)</x:f>
      </x:c>
      <x:c r="J122" s="12" t="str">
        <x:f>IF('Data &amp; Reporting'!I122="","",'Data &amp; Reporting'!I122)</x:f>
      </x:c>
      <x:c r="K122" s="12" t="str">
        <x:f>IF('Data &amp; Reporting'!J122="","",'Data &amp; Reporting'!J122)</x:f>
      </x:c>
      <x:c r="L122" s="2" t="str">
        <x:f>IF('Data &amp; Reporting'!K122="","",'Data &amp; Reporting'!K122)</x:f>
      </x:c>
      <x:c r="M122" s="2" t="n">
        <x:f>'Data &amp; Reporting'!Q122</x:f>
        <x:v>0</x:v>
      </x:c>
      <x:c r="N122" s="2" t="str">
        <x:f>'Data &amp; Reporting'!L122</x:f>
        <x:v>Open check</x:v>
      </x:c>
      <x:c r="O122" s="2" t="str">
        <x:f>'Data &amp; Reporting'!N122</x:f>
        <x:v>DR.FC.1.3.C06.2026.CY1</x:v>
      </x:c>
      <x:c r="P122" s="2" t="n">
        <x:f>'Data &amp; Reporting'!O122</x:f>
        <x:v>0</x:v>
      </x:c>
      <x:c r="Q122" s="2" t="n">
        <x:f>SUBTOTAL(103,O122)</x:f>
        <x:v>1</x:v>
      </x:c>
      <x:c r="R122" s="2" t="n">
        <x:f>IF(AND(M122=1,OR(Dashboard!$B$7="All",Dashboard!$B$7='Cycles &amp; Guide'!$C$5),OR(Dashboard!$D$7="All",Dashboard!$D$7=B122),OR(Dashboard!$F$7="All",Dashboard!$F$7=C122),OR(Dashboard!$H$7="All",Dashboard!$H$7=D122),OR(Dashboard!$K$7="All",Dashboard!$K$7=E122)),1,0)</x:f>
        <x:v>0</x:v>
      </x:c>
      <x:c r="S122" s="2" t="n">
        <x:f>IF(R122=1,SUM($R$10:R122),0)</x:f>
        <x:v>0</x:v>
      </x:c>
      <x:c r="T122" s="2" t="str">
        <x:v>Data &amp; Reporting</x:v>
      </x:c>
      <x:c r="U122" s="2" t="n">
        <x:v>122</x:v>
      </x:c>
      <x:c r="V122" s="2" t="n">
        <x:f>IF(AND(M122=1,P122=0,ISNUMBER(J122),J122&lt;TODAY()),1,0)</x:f>
        <x:v>0</x:v>
      </x:c>
      <x:c r="W122" s="2" t="str">
        <x:f>'Data &amp; Reporting'!M122</x:f>
        <x:v>Checklist</x:v>
      </x:c>
    </x:row>
    <x:row r="123" ht="40" customHeight="1">
      <x:c r="A123" s="3" t="str">
        <x:f>HYPERLINK("#'Data &amp; Reporting'!A123","Open")</x:f>
        <x:v>Open</x:v>
      </x:c>
      <x:c r="B123" s="2" t="str">
        <x:f>'Data &amp; Reporting'!B123</x:f>
        <x:v>Cycle 1</x:v>
      </x:c>
      <x:c r="C123" s="2" t="str">
        <x:f>'Data &amp; Reporting'!C123</x:f>
        <x:v>Phase 1</x:v>
      </x:c>
      <x:c r="D123" s="2" t="str">
        <x:f>'Data &amp; Reporting'!D123</x:f>
        <x:v>FCM</x:v>
      </x:c>
      <x:c r="E123" s="2" t="str">
        <x:v>Data &amp; Reporting</x:v>
      </x:c>
      <x:c r="F123" s="56" t="str">
        <x:f>'Data &amp; Reporting'!E123</x:f>
        <x:v>DR.FC.1.3.C07</x:v>
      </x:c>
      <x:c r="G123" s="14" t="str">
        <x:f>'Data &amp; Reporting'!F123</x:f>
        <x:v>    Document any data exclusions along with justification (as needed)</x:v>
      </x:c>
      <x:c r="H123" s="2" t="str">
        <x:f>IF('Data &amp; Reporting'!G123="","",'Data &amp; Reporting'!G123)</x:f>
      </x:c>
      <x:c r="I123" s="12" t="str">
        <x:f>IF('Data &amp; Reporting'!H123="","",'Data &amp; Reporting'!H123)</x:f>
      </x:c>
      <x:c r="J123" s="12" t="str">
        <x:f>IF('Data &amp; Reporting'!I123="","",'Data &amp; Reporting'!I123)</x:f>
      </x:c>
      <x:c r="K123" s="12" t="str">
        <x:f>IF('Data &amp; Reporting'!J123="","",'Data &amp; Reporting'!J123)</x:f>
      </x:c>
      <x:c r="L123" s="2" t="str">
        <x:f>IF('Data &amp; Reporting'!K123="","",'Data &amp; Reporting'!K123)</x:f>
      </x:c>
      <x:c r="M123" s="2" t="n">
        <x:f>'Data &amp; Reporting'!Q123</x:f>
        <x:v>0</x:v>
      </x:c>
      <x:c r="N123" s="2" t="str">
        <x:f>'Data &amp; Reporting'!L123</x:f>
        <x:v>Open check</x:v>
      </x:c>
      <x:c r="O123" s="2" t="str">
        <x:f>'Data &amp; Reporting'!N123</x:f>
        <x:v>DR.FC.1.3.C07.2026.CY1</x:v>
      </x:c>
      <x:c r="P123" s="2" t="n">
        <x:f>'Data &amp; Reporting'!O123</x:f>
        <x:v>0</x:v>
      </x:c>
      <x:c r="Q123" s="2" t="n">
        <x:f>SUBTOTAL(103,O123)</x:f>
        <x:v>1</x:v>
      </x:c>
      <x:c r="R123" s="2" t="n">
        <x:f>IF(AND(M123=1,OR(Dashboard!$B$7="All",Dashboard!$B$7='Cycles &amp; Guide'!$C$5),OR(Dashboard!$D$7="All",Dashboard!$D$7=B123),OR(Dashboard!$F$7="All",Dashboard!$F$7=C123),OR(Dashboard!$H$7="All",Dashboard!$H$7=D123),OR(Dashboard!$K$7="All",Dashboard!$K$7=E123)),1,0)</x:f>
        <x:v>0</x:v>
      </x:c>
      <x:c r="S123" s="2" t="n">
        <x:f>IF(R123=1,SUM($R$10:R123),0)</x:f>
        <x:v>0</x:v>
      </x:c>
      <x:c r="T123" s="2" t="str">
        <x:v>Data &amp; Reporting</x:v>
      </x:c>
      <x:c r="U123" s="2" t="n">
        <x:v>123</x:v>
      </x:c>
      <x:c r="V123" s="2" t="n">
        <x:f>IF(AND(M123=1,P123=0,ISNUMBER(J123),J123&lt;TODAY()),1,0)</x:f>
        <x:v>0</x:v>
      </x:c>
      <x:c r="W123" s="2" t="str">
        <x:f>'Data &amp; Reporting'!M123</x:f>
        <x:v>Checklist</x:v>
      </x:c>
    </x:row>
    <x:row r="124" ht="40" customHeight="1">
      <x:c r="A124" s="3" t="str">
        <x:f>HYPERLINK("#'Data &amp; Reporting'!A124","Open")</x:f>
        <x:v>Open</x:v>
      </x:c>
      <x:c r="B124" s="2" t="str">
        <x:f>'Data &amp; Reporting'!B124</x:f>
        <x:v>Cycle 1</x:v>
      </x:c>
      <x:c r="C124" s="2" t="str">
        <x:f>'Data &amp; Reporting'!C124</x:f>
        <x:v>Phase 1</x:v>
      </x:c>
      <x:c r="D124" s="2" t="str">
        <x:f>'Data &amp; Reporting'!D124</x:f>
        <x:v>FCM</x:v>
      </x:c>
      <x:c r="E124" s="2" t="str">
        <x:v>Data &amp; Reporting</x:v>
      </x:c>
      <x:c r="F124" s="56" t="str">
        <x:f>'Data &amp; Reporting'!E124</x:f>
        <x:v>DR.FC.1.3.C08</x:v>
      </x:c>
      <x:c r="G124" s="14" t="str">
        <x:f>'Data &amp; Reporting'!F124</x:f>
        <x:v>    Document any assumptions made with the data (as needed)</x:v>
      </x:c>
      <x:c r="H124" s="2" t="str">
        <x:f>IF('Data &amp; Reporting'!G124="","",'Data &amp; Reporting'!G124)</x:f>
      </x:c>
      <x:c r="I124" s="12" t="str">
        <x:f>IF('Data &amp; Reporting'!H124="","",'Data &amp; Reporting'!H124)</x:f>
      </x:c>
      <x:c r="J124" s="12" t="str">
        <x:f>IF('Data &amp; Reporting'!I124="","",'Data &amp; Reporting'!I124)</x:f>
      </x:c>
      <x:c r="K124" s="12" t="str">
        <x:f>IF('Data &amp; Reporting'!J124="","",'Data &amp; Reporting'!J124)</x:f>
      </x:c>
      <x:c r="L124" s="2" t="str">
        <x:f>IF('Data &amp; Reporting'!K124="","",'Data &amp; Reporting'!K124)</x:f>
      </x:c>
      <x:c r="M124" s="2" t="n">
        <x:f>'Data &amp; Reporting'!Q124</x:f>
        <x:v>0</x:v>
      </x:c>
      <x:c r="N124" s="2" t="str">
        <x:f>'Data &amp; Reporting'!L124</x:f>
        <x:v>Open check</x:v>
      </x:c>
      <x:c r="O124" s="2" t="str">
        <x:f>'Data &amp; Reporting'!N124</x:f>
        <x:v>DR.FC.1.3.C08.2026.CY1</x:v>
      </x:c>
      <x:c r="P124" s="2" t="n">
        <x:f>'Data &amp; Reporting'!O124</x:f>
        <x:v>0</x:v>
      </x:c>
      <x:c r="Q124" s="2" t="n">
        <x:f>SUBTOTAL(103,O124)</x:f>
        <x:v>1</x:v>
      </x:c>
      <x:c r="R124" s="2" t="n">
        <x:f>IF(AND(M124=1,OR(Dashboard!$B$7="All",Dashboard!$B$7='Cycles &amp; Guide'!$C$5),OR(Dashboard!$D$7="All",Dashboard!$D$7=B124),OR(Dashboard!$F$7="All",Dashboard!$F$7=C124),OR(Dashboard!$H$7="All",Dashboard!$H$7=D124),OR(Dashboard!$K$7="All",Dashboard!$K$7=E124)),1,0)</x:f>
        <x:v>0</x:v>
      </x:c>
      <x:c r="S124" s="2" t="n">
        <x:f>IF(R124=1,SUM($R$10:R124),0)</x:f>
        <x:v>0</x:v>
      </x:c>
      <x:c r="T124" s="2" t="str">
        <x:v>Data &amp; Reporting</x:v>
      </x:c>
      <x:c r="U124" s="2" t="n">
        <x:v>124</x:v>
      </x:c>
      <x:c r="V124" s="2" t="n">
        <x:f>IF(AND(M124=1,P124=0,ISNUMBER(J124),J124&lt;TODAY()),1,0)</x:f>
        <x:v>0</x:v>
      </x:c>
      <x:c r="W124" s="2" t="str">
        <x:f>'Data &amp; Reporting'!M124</x:f>
        <x:v>Checklist</x:v>
      </x:c>
    </x:row>
    <x:row r="125" ht="40" customHeight="1">
      <x:c r="A125" s="3" t="str">
        <x:f>HYPERLINK("#'Data &amp; Reporting'!A125","Open")</x:f>
        <x:v>Open</x:v>
      </x:c>
      <x:c r="B125" s="2" t="str">
        <x:f>'Data &amp; Reporting'!B125</x:f>
        <x:v>Cycle 1</x:v>
      </x:c>
      <x:c r="C125" s="2" t="str">
        <x:f>'Data &amp; Reporting'!C125</x:f>
        <x:v>Phase 1</x:v>
      </x:c>
      <x:c r="D125" s="2" t="str">
        <x:f>'Data &amp; Reporting'!D125</x:f>
        <x:v>FCM</x:v>
      </x:c>
      <x:c r="E125" s="2" t="str">
        <x:v>Data &amp; Reporting</x:v>
      </x:c>
      <x:c r="F125" s="56" t="str">
        <x:f>'Data &amp; Reporting'!E125</x:f>
        <x:v>DR.FC.1.3.C09</x:v>
      </x:c>
      <x:c r="G125" s="14" t="str">
        <x:f>'Data &amp; Reporting'!F125</x:f>
        <x:v>    Document any data limitations or constraints clearly (as needed)</x:v>
      </x:c>
      <x:c r="H125" s="2" t="str">
        <x:f>IF('Data &amp; Reporting'!G125="","",'Data &amp; Reporting'!G125)</x:f>
      </x:c>
      <x:c r="I125" s="12" t="str">
        <x:f>IF('Data &amp; Reporting'!H125="","",'Data &amp; Reporting'!H125)</x:f>
      </x:c>
      <x:c r="J125" s="12" t="str">
        <x:f>IF('Data &amp; Reporting'!I125="","",'Data &amp; Reporting'!I125)</x:f>
      </x:c>
      <x:c r="K125" s="12" t="str">
        <x:f>IF('Data &amp; Reporting'!J125="","",'Data &amp; Reporting'!J125)</x:f>
      </x:c>
      <x:c r="L125" s="2" t="str">
        <x:f>IF('Data &amp; Reporting'!K125="","",'Data &amp; Reporting'!K125)</x:f>
      </x:c>
      <x:c r="M125" s="2" t="n">
        <x:f>'Data &amp; Reporting'!Q125</x:f>
        <x:v>0</x:v>
      </x:c>
      <x:c r="N125" s="2" t="str">
        <x:f>'Data &amp; Reporting'!L125</x:f>
        <x:v>Open check</x:v>
      </x:c>
      <x:c r="O125" s="2" t="str">
        <x:f>'Data &amp; Reporting'!N125</x:f>
        <x:v>DR.FC.1.3.C09.2026.CY1</x:v>
      </x:c>
      <x:c r="P125" s="2" t="n">
        <x:f>'Data &amp; Reporting'!O125</x:f>
        <x:v>0</x:v>
      </x:c>
      <x:c r="Q125" s="2" t="n">
        <x:f>SUBTOTAL(103,O125)</x:f>
        <x:v>1</x:v>
      </x:c>
      <x:c r="R125" s="2" t="n">
        <x:f>IF(AND(M125=1,OR(Dashboard!$B$7="All",Dashboard!$B$7='Cycles &amp; Guide'!$C$5),OR(Dashboard!$D$7="All",Dashboard!$D$7=B125),OR(Dashboard!$F$7="All",Dashboard!$F$7=C125),OR(Dashboard!$H$7="All",Dashboard!$H$7=D125),OR(Dashboard!$K$7="All",Dashboard!$K$7=E125)),1,0)</x:f>
        <x:v>0</x:v>
      </x:c>
      <x:c r="S125" s="2" t="n">
        <x:f>IF(R125=1,SUM($R$10:R125),0)</x:f>
        <x:v>0</x:v>
      </x:c>
      <x:c r="T125" s="2" t="str">
        <x:v>Data &amp; Reporting</x:v>
      </x:c>
      <x:c r="U125" s="2" t="n">
        <x:v>125</x:v>
      </x:c>
      <x:c r="V125" s="2" t="n">
        <x:f>IF(AND(M125=1,P125=0,ISNUMBER(J125),J125&lt;TODAY()),1,0)</x:f>
        <x:v>0</x:v>
      </x:c>
      <x:c r="W125" s="2" t="str">
        <x:f>'Data &amp; Reporting'!M125</x:f>
        <x:v>Checklist</x:v>
      </x:c>
    </x:row>
    <x:row r="126" ht="40" customHeight="1">
      <x:c r="A126" s="3" t="str">
        <x:f>HYPERLINK("#'Data &amp; Reporting'!A126","Open")</x:f>
        <x:v>Open</x:v>
      </x:c>
      <x:c r="B126" s="2" t="str">
        <x:f>'Data &amp; Reporting'!B126</x:f>
        <x:v>Cycle 1</x:v>
      </x:c>
      <x:c r="C126" s="2" t="str">
        <x:f>'Data &amp; Reporting'!C126</x:f>
        <x:v>Phase 1</x:v>
      </x:c>
      <x:c r="D126" s="2" t="str">
        <x:f>'Data &amp; Reporting'!D126</x:f>
        <x:v>FCM</x:v>
      </x:c>
      <x:c r="E126" s="2" t="str">
        <x:v>Data &amp; Reporting</x:v>
      </x:c>
      <x:c r="F126" s="56" t="str">
        <x:f>'Data &amp; Reporting'!E126</x:f>
        <x:v>DR.FC.1.3.C10</x:v>
      </x:c>
      <x:c r="G126" s="14" t="str">
        <x:f>'Data &amp; Reporting'!F126</x:f>
        <x:v>    Document data dictionary or field definitions for columns/rows</x:v>
      </x:c>
      <x:c r="H126" s="2" t="str">
        <x:f>IF('Data &amp; Reporting'!G126="","",'Data &amp; Reporting'!G126)</x:f>
      </x:c>
      <x:c r="I126" s="12" t="str">
        <x:f>IF('Data &amp; Reporting'!H126="","",'Data &amp; Reporting'!H126)</x:f>
      </x:c>
      <x:c r="J126" s="12" t="str">
        <x:f>IF('Data &amp; Reporting'!I126="","",'Data &amp; Reporting'!I126)</x:f>
      </x:c>
      <x:c r="K126" s="12" t="str">
        <x:f>IF('Data &amp; Reporting'!J126="","",'Data &amp; Reporting'!J126)</x:f>
      </x:c>
      <x:c r="L126" s="2" t="str">
        <x:f>IF('Data &amp; Reporting'!K126="","",'Data &amp; Reporting'!K126)</x:f>
      </x:c>
      <x:c r="M126" s="2" t="n">
        <x:f>'Data &amp; Reporting'!Q126</x:f>
        <x:v>0</x:v>
      </x:c>
      <x:c r="N126" s="2" t="str">
        <x:f>'Data &amp; Reporting'!L126</x:f>
        <x:v>Open check</x:v>
      </x:c>
      <x:c r="O126" s="2" t="str">
        <x:f>'Data &amp; Reporting'!N126</x:f>
        <x:v>DR.FC.1.3.C10.2026.CY1</x:v>
      </x:c>
      <x:c r="P126" s="2" t="n">
        <x:f>'Data &amp; Reporting'!O126</x:f>
        <x:v>0</x:v>
      </x:c>
      <x:c r="Q126" s="2" t="n">
        <x:f>SUBTOTAL(103,O126)</x:f>
        <x:v>1</x:v>
      </x:c>
      <x:c r="R126" s="2" t="n">
        <x:f>IF(AND(M126=1,OR(Dashboard!$B$7="All",Dashboard!$B$7='Cycles &amp; Guide'!$C$5),OR(Dashboard!$D$7="All",Dashboard!$D$7=B126),OR(Dashboard!$F$7="All",Dashboard!$F$7=C126),OR(Dashboard!$H$7="All",Dashboard!$H$7=D126),OR(Dashboard!$K$7="All",Dashboard!$K$7=E126)),1,0)</x:f>
        <x:v>0</x:v>
      </x:c>
      <x:c r="S126" s="2" t="n">
        <x:f>IF(R126=1,SUM($R$10:R126),0)</x:f>
        <x:v>0</x:v>
      </x:c>
      <x:c r="T126" s="2" t="str">
        <x:v>Data &amp; Reporting</x:v>
      </x:c>
      <x:c r="U126" s="2" t="n">
        <x:v>126</x:v>
      </x:c>
      <x:c r="V126" s="2" t="n">
        <x:f>IF(AND(M126=1,P126=0,ISNUMBER(J126),J126&lt;TODAY()),1,0)</x:f>
        <x:v>0</x:v>
      </x:c>
      <x:c r="W126" s="2" t="str">
        <x:f>'Data &amp; Reporting'!M126</x:f>
        <x:v>Checklist</x:v>
      </x:c>
    </x:row>
    <x:row r="127" ht="40" customHeight="1">
      <x:c r="A127" s="3" t="str">
        <x:f>HYPERLINK("#'Data &amp; Reporting'!A127","Open")</x:f>
        <x:v>Open</x:v>
      </x:c>
      <x:c r="B127" s="2" t="str">
        <x:f>'Data &amp; Reporting'!B127</x:f>
        <x:v>Cycle 1</x:v>
      </x:c>
      <x:c r="C127" s="2" t="str">
        <x:f>'Data &amp; Reporting'!C127</x:f>
        <x:v>Phase 1</x:v>
      </x:c>
      <x:c r="D127" s="2" t="str">
        <x:f>'Data &amp; Reporting'!D127</x:f>
        <x:v>FCM</x:v>
      </x:c>
      <x:c r="E127" s="2" t="str">
        <x:v>Data &amp; Reporting</x:v>
      </x:c>
      <x:c r="F127" s="56" t="str">
        <x:f>'Data &amp; Reporting'!E127</x:f>
        <x:v>DR.FC.1.3.C11</x:v>
      </x:c>
      <x:c r="G127" s="14" t="str">
        <x:f>'Data &amp; Reporting'!F127</x:f>
        <x:v>    Document emerging trends, patterns, or concentrations along with supporting data</x:v>
      </x:c>
      <x:c r="H127" s="2" t="str">
        <x:f>IF('Data &amp; Reporting'!G127="","",'Data &amp; Reporting'!G127)</x:f>
      </x:c>
      <x:c r="I127" s="12" t="str">
        <x:f>IF('Data &amp; Reporting'!H127="","",'Data &amp; Reporting'!H127)</x:f>
      </x:c>
      <x:c r="J127" s="12" t="str">
        <x:f>IF('Data &amp; Reporting'!I127="","",'Data &amp; Reporting'!I127)</x:f>
      </x:c>
      <x:c r="K127" s="12" t="str">
        <x:f>IF('Data &amp; Reporting'!J127="","",'Data &amp; Reporting'!J127)</x:f>
      </x:c>
      <x:c r="L127" s="2" t="str">
        <x:f>IF('Data &amp; Reporting'!K127="","",'Data &amp; Reporting'!K127)</x:f>
      </x:c>
      <x:c r="M127" s="2" t="n">
        <x:f>'Data &amp; Reporting'!Q127</x:f>
        <x:v>0</x:v>
      </x:c>
      <x:c r="N127" s="2" t="str">
        <x:f>'Data &amp; Reporting'!L127</x:f>
        <x:v>Open check</x:v>
      </x:c>
      <x:c r="O127" s="2" t="str">
        <x:f>'Data &amp; Reporting'!N127</x:f>
        <x:v>DR.FC.1.3.C11.2026.CY1</x:v>
      </x:c>
      <x:c r="P127" s="2" t="n">
        <x:f>'Data &amp; Reporting'!O127</x:f>
        <x:v>0</x:v>
      </x:c>
      <x:c r="Q127" s="2" t="n">
        <x:f>SUBTOTAL(103,O127)</x:f>
        <x:v>1</x:v>
      </x:c>
      <x:c r="R127" s="2" t="n">
        <x:f>IF(AND(M127=1,OR(Dashboard!$B$7="All",Dashboard!$B$7='Cycles &amp; Guide'!$C$5),OR(Dashboard!$D$7="All",Dashboard!$D$7=B127),OR(Dashboard!$F$7="All",Dashboard!$F$7=C127),OR(Dashboard!$H$7="All",Dashboard!$H$7=D127),OR(Dashboard!$K$7="All",Dashboard!$K$7=E127)),1,0)</x:f>
        <x:v>0</x:v>
      </x:c>
      <x:c r="S127" s="2" t="n">
        <x:f>IF(R127=1,SUM($R$10:R127),0)</x:f>
        <x:v>0</x:v>
      </x:c>
      <x:c r="T127" s="2" t="str">
        <x:v>Data &amp; Reporting</x:v>
      </x:c>
      <x:c r="U127" s="2" t="n">
        <x:v>127</x:v>
      </x:c>
      <x:c r="V127" s="2" t="n">
        <x:f>IF(AND(M127=1,P127=0,ISNUMBER(J127),J127&lt;TODAY()),1,0)</x:f>
        <x:v>0</x:v>
      </x:c>
      <x:c r="W127" s="2" t="str">
        <x:f>'Data &amp; Reporting'!M127</x:f>
        <x:v>Checklist</x:v>
      </x:c>
    </x:row>
    <x:row r="128" ht="40" customHeight="1">
      <x:c r="A128" s="3" t="str">
        <x:f>HYPERLINK("#'Data &amp; Reporting'!A128","Open")</x:f>
        <x:v>Open</x:v>
      </x:c>
      <x:c r="B128" s="2" t="str">
        <x:f>'Data &amp; Reporting'!B128</x:f>
        <x:v>Cycle 1</x:v>
      </x:c>
      <x:c r="C128" s="2" t="str">
        <x:f>'Data &amp; Reporting'!C128</x:f>
        <x:v>Phase 1</x:v>
      </x:c>
      <x:c r="D128" s="2" t="str">
        <x:f>'Data &amp; Reporting'!D128</x:f>
        <x:v>FCM</x:v>
      </x:c>
      <x:c r="E128" s="2" t="str">
        <x:v>Data &amp; Reporting</x:v>
      </x:c>
      <x:c r="F128" s="56" t="str">
        <x:f>'Data &amp; Reporting'!E128</x:f>
        <x:v>DR.FC.1.3.C12</x:v>
      </x:c>
      <x:c r="G128" s="14" t="str">
        <x:f>'Data &amp; Reporting'!F128</x:f>
        <x:v>    Document any severe spikes in volume along with context (as needed)</x:v>
      </x:c>
      <x:c r="H128" s="2" t="str">
        <x:f>IF('Data &amp; Reporting'!G128="","",'Data &amp; Reporting'!G128)</x:f>
      </x:c>
      <x:c r="I128" s="12" t="str">
        <x:f>IF('Data &amp; Reporting'!H128="","",'Data &amp; Reporting'!H128)</x:f>
      </x:c>
      <x:c r="J128" s="12" t="str">
        <x:f>IF('Data &amp; Reporting'!I128="","",'Data &amp; Reporting'!I128)</x:f>
      </x:c>
      <x:c r="K128" s="12" t="str">
        <x:f>IF('Data &amp; Reporting'!J128="","",'Data &amp; Reporting'!J128)</x:f>
      </x:c>
      <x:c r="L128" s="2" t="str">
        <x:f>IF('Data &amp; Reporting'!K128="","",'Data &amp; Reporting'!K128)</x:f>
      </x:c>
      <x:c r="M128" s="2" t="n">
        <x:f>'Data &amp; Reporting'!Q128</x:f>
        <x:v>0</x:v>
      </x:c>
      <x:c r="N128" s="2" t="str">
        <x:f>'Data &amp; Reporting'!L128</x:f>
        <x:v>Open check</x:v>
      </x:c>
      <x:c r="O128" s="2" t="str">
        <x:f>'Data &amp; Reporting'!N128</x:f>
        <x:v>DR.FC.1.3.C12.2026.CY1</x:v>
      </x:c>
      <x:c r="P128" s="2" t="n">
        <x:f>'Data &amp; Reporting'!O128</x:f>
        <x:v>0</x:v>
      </x:c>
      <x:c r="Q128" s="2" t="n">
        <x:f>SUBTOTAL(103,O128)</x:f>
        <x:v>1</x:v>
      </x:c>
      <x:c r="R128" s="2" t="n">
        <x:f>IF(AND(M128=1,OR(Dashboard!$B$7="All",Dashboard!$B$7='Cycles &amp; Guide'!$C$5),OR(Dashboard!$D$7="All",Dashboard!$D$7=B128),OR(Dashboard!$F$7="All",Dashboard!$F$7=C128),OR(Dashboard!$H$7="All",Dashboard!$H$7=D128),OR(Dashboard!$K$7="All",Dashboard!$K$7=E128)),1,0)</x:f>
        <x:v>0</x:v>
      </x:c>
      <x:c r="S128" s="2" t="n">
        <x:f>IF(R128=1,SUM($R$10:R128),0)</x:f>
        <x:v>0</x:v>
      </x:c>
      <x:c r="T128" s="2" t="str">
        <x:v>Data &amp; Reporting</x:v>
      </x:c>
      <x:c r="U128" s="2" t="n">
        <x:v>128</x:v>
      </x:c>
      <x:c r="V128" s="2" t="n">
        <x:f>IF(AND(M128=1,P128=0,ISNUMBER(J128),J128&lt;TODAY()),1,0)</x:f>
        <x:v>0</x:v>
      </x:c>
      <x:c r="W128" s="2" t="str">
        <x:f>'Data &amp; Reporting'!M128</x:f>
        <x:v>Checklist</x:v>
      </x:c>
    </x:row>
    <x:row r="129" ht="40" customHeight="1">
      <x:c r="A129" s="3" t="str">
        <x:f>HYPERLINK("#'Data &amp; Reporting'!A129","Open")</x:f>
        <x:v>Open</x:v>
      </x:c>
      <x:c r="B129" s="2" t="str">
        <x:f>'Data &amp; Reporting'!B129</x:f>
        <x:v>Cycle 1</x:v>
      </x:c>
      <x:c r="C129" s="2" t="str">
        <x:f>'Data &amp; Reporting'!C129</x:f>
        <x:v>Phase 1</x:v>
      </x:c>
      <x:c r="D129" s="2" t="str">
        <x:f>'Data &amp; Reporting'!D129</x:f>
        <x:v>FCM</x:v>
      </x:c>
      <x:c r="E129" s="2" t="str">
        <x:v>Data &amp; Reporting</x:v>
      </x:c>
      <x:c r="F129" s="56" t="str">
        <x:f>'Data &amp; Reporting'!E129</x:f>
        <x:v>DR.FC.1.3.C13</x:v>
      </x:c>
      <x:c r="G129" s="14" t="str">
        <x:f>'Data &amp; Reporting'!F129</x:f>
        <x:v>    Document clear summary explaining how the data connects to the potential topic</x:v>
      </x:c>
      <x:c r="H129" s="2" t="str">
        <x:f>IF('Data &amp; Reporting'!G129="","",'Data &amp; Reporting'!G129)</x:f>
      </x:c>
      <x:c r="I129" s="12" t="str">
        <x:f>IF('Data &amp; Reporting'!H129="","",'Data &amp; Reporting'!H129)</x:f>
      </x:c>
      <x:c r="J129" s="12" t="str">
        <x:f>IF('Data &amp; Reporting'!I129="","",'Data &amp; Reporting'!I129)</x:f>
      </x:c>
      <x:c r="K129" s="12" t="str">
        <x:f>IF('Data &amp; Reporting'!J129="","",'Data &amp; Reporting'!J129)</x:f>
      </x:c>
      <x:c r="L129" s="2" t="str">
        <x:f>IF('Data &amp; Reporting'!K129="","",'Data &amp; Reporting'!K129)</x:f>
      </x:c>
      <x:c r="M129" s="2" t="n">
        <x:f>'Data &amp; Reporting'!Q129</x:f>
        <x:v>0</x:v>
      </x:c>
      <x:c r="N129" s="2" t="str">
        <x:f>'Data &amp; Reporting'!L129</x:f>
        <x:v>Open check</x:v>
      </x:c>
      <x:c r="O129" s="2" t="str">
        <x:f>'Data &amp; Reporting'!N129</x:f>
        <x:v>DR.FC.1.3.C13.2026.CY1</x:v>
      </x:c>
      <x:c r="P129" s="2" t="n">
        <x:f>'Data &amp; Reporting'!O129</x:f>
        <x:v>0</x:v>
      </x:c>
      <x:c r="Q129" s="2" t="n">
        <x:f>SUBTOTAL(103,O129)</x:f>
        <x:v>1</x:v>
      </x:c>
      <x:c r="R129" s="2" t="n">
        <x:f>IF(AND(M129=1,OR(Dashboard!$B$7="All",Dashboard!$B$7='Cycles &amp; Guide'!$C$5),OR(Dashboard!$D$7="All",Dashboard!$D$7=B129),OR(Dashboard!$F$7="All",Dashboard!$F$7=C129),OR(Dashboard!$H$7="All",Dashboard!$H$7=D129),OR(Dashboard!$K$7="All",Dashboard!$K$7=E129)),1,0)</x:f>
        <x:v>0</x:v>
      </x:c>
      <x:c r="S129" s="2" t="n">
        <x:f>IF(R129=1,SUM($R$10:R129),0)</x:f>
        <x:v>0</x:v>
      </x:c>
      <x:c r="T129" s="2" t="str">
        <x:v>Data &amp; Reporting</x:v>
      </x:c>
      <x:c r="U129" s="2" t="n">
        <x:v>129</x:v>
      </x:c>
      <x:c r="V129" s="2" t="n">
        <x:f>IF(AND(M129=1,P129=0,ISNUMBER(J129),J129&lt;TODAY()),1,0)</x:f>
        <x:v>0</x:v>
      </x:c>
      <x:c r="W129" s="2" t="str">
        <x:f>'Data &amp; Reporting'!M129</x:f>
        <x:v>Checklist</x:v>
      </x:c>
    </x:row>
    <x:row r="130" ht="40" customHeight="1">
      <x:c r="A130" s="3" t="str">
        <x:f>HYPERLINK("#'Data &amp; Reporting'!A130","Open")</x:f>
        <x:v>Open</x:v>
      </x:c>
      <x:c r="B130" s="2" t="str">
        <x:f>'Data &amp; Reporting'!B130</x:f>
        <x:v>Cycle 1</x:v>
      </x:c>
      <x:c r="C130" s="2" t="str">
        <x:f>'Data &amp; Reporting'!C130</x:f>
        <x:v>Phase 2</x:v>
      </x:c>
      <x:c r="D130" s="2" t="str">
        <x:f>'Data &amp; Reporting'!D130</x:f>
        <x:v>FCM</x:v>
      </x:c>
      <x:c r="E130" s="2" t="str">
        <x:v>Data &amp; Reporting</x:v>
      </x:c>
      <x:c r="F130" s="56" t="str">
        <x:f>'Data &amp; Reporting'!E130</x:f>
        <x:v>DR.FC.2.1</x:v>
      </x:c>
      <x:c r="G130" s="14" t="str">
        <x:f>'Data &amp; Reporting'!F130</x:f>
        <x:v>Ensure data is clean, structured, and usable without manipulation needed</x:v>
      </x:c>
      <x:c r="H130" s="2" t="str">
        <x:f>IF('Data &amp; Reporting'!G130="","",'Data &amp; Reporting'!G130)</x:f>
      </x:c>
      <x:c r="I130" s="12" t="str">
        <x:f>IF('Data &amp; Reporting'!H130="","",'Data &amp; Reporting'!H130)</x:f>
      </x:c>
      <x:c r="J130" s="12" t="n">
        <x:f>IF('Data &amp; Reporting'!I130="","",'Data &amp; Reporting'!I130)</x:f>
        <x:v>46112</x:v>
      </x:c>
      <x:c r="K130" s="12" t="str">
        <x:f>IF('Data &amp; Reporting'!J130="","",'Data &amp; Reporting'!J130)</x:f>
      </x:c>
      <x:c r="L130" s="2" t="str">
        <x:f>IF('Data &amp; Reporting'!K130="","",'Data &amp; Reporting'!K130)</x:f>
      </x:c>
      <x:c r="M130" s="2" t="n">
        <x:f>'Data &amp; Reporting'!Q130</x:f>
        <x:v>1</x:v>
      </x:c>
      <x:c r="N130" s="2" t="str">
        <x:f>'Data &amp; Reporting'!L130</x:f>
        <x:v>Not started</x:v>
      </x:c>
      <x:c r="O130" s="2" t="str">
        <x:f>'Data &amp; Reporting'!N130</x:f>
        <x:v>DR.FC.2.1.2026.CY1</x:v>
      </x:c>
      <x:c r="P130" s="2" t="n">
        <x:f>'Data &amp; Reporting'!O130</x:f>
        <x:v>0</x:v>
      </x:c>
      <x:c r="Q130" s="2" t="n">
        <x:f>SUBTOTAL(103,O130)</x:f>
        <x:v>1</x:v>
      </x:c>
      <x:c r="R130" s="2" t="n">
        <x:f>IF(AND(M130=1,OR(Dashboard!$B$7="All",Dashboard!$B$7='Cycles &amp; Guide'!$C$5),OR(Dashboard!$D$7="All",Dashboard!$D$7=B130),OR(Dashboard!$F$7="All",Dashboard!$F$7=C130),OR(Dashboard!$H$7="All",Dashboard!$H$7=D130),OR(Dashboard!$K$7="All",Dashboard!$K$7=E130)),1,0)</x:f>
        <x:v>1</x:v>
      </x:c>
      <x:c r="S130" s="2" t="n">
        <x:f>IF(R130=1,SUM($R$10:R130),0)</x:f>
        <x:v>56</x:v>
      </x:c>
      <x:c r="T130" s="2" t="str">
        <x:v>Data &amp; Reporting</x:v>
      </x:c>
      <x:c r="U130" s="2" t="n">
        <x:v>130</x:v>
      </x:c>
      <x:c r="V130" s="2" t="n">
        <x:f>IF(AND(M130=1,P130=0,ISNUMBER(J130),J130&lt;TODAY()),1,0)</x:f>
        <x:v>1</x:v>
      </x:c>
      <x:c r="W130" s="2" t="str">
        <x:f>'Data &amp; Reporting'!M130</x:f>
        <x:v>Task</x:v>
      </x:c>
    </x:row>
    <x:row r="131" ht="40" customHeight="1">
      <x:c r="A131" s="3" t="str">
        <x:f>HYPERLINK("#'Data &amp; Reporting'!A131","Open")</x:f>
        <x:v>Open</x:v>
      </x:c>
      <x:c r="B131" s="2" t="str">
        <x:f>'Data &amp; Reporting'!B131</x:f>
        <x:v>Cycle 1</x:v>
      </x:c>
      <x:c r="C131" s="2" t="str">
        <x:f>'Data &amp; Reporting'!C131</x:f>
        <x:v>Phase 2</x:v>
      </x:c>
      <x:c r="D131" s="2" t="str">
        <x:f>'Data &amp; Reporting'!D131</x:f>
        <x:v>FCM</x:v>
      </x:c>
      <x:c r="E131" s="2" t="str">
        <x:v>Data &amp; Reporting</x:v>
      </x:c>
      <x:c r="F131" s="56" t="str">
        <x:f>'Data &amp; Reporting'!E131</x:f>
        <x:v>DR.FC.2.2</x:v>
      </x:c>
      <x:c r="G131" s="14" t="str">
        <x:f>'Data &amp; Reporting'!F131</x:f>
        <x:v>Clearly document rationale for each topic recommendation within the SharePoint list</x:v>
      </x:c>
      <x:c r="H131" s="2" t="str">
        <x:f>IF('Data &amp; Reporting'!G131="","",'Data &amp; Reporting'!G131)</x:f>
      </x:c>
      <x:c r="I131" s="12" t="str">
        <x:f>IF('Data &amp; Reporting'!H131="","",'Data &amp; Reporting'!H131)</x:f>
      </x:c>
      <x:c r="J131" s="12" t="n">
        <x:f>IF('Data &amp; Reporting'!I131="","",'Data &amp; Reporting'!I131)</x:f>
        <x:v>46112</x:v>
      </x:c>
      <x:c r="K131" s="12" t="str">
        <x:f>IF('Data &amp; Reporting'!J131="","",'Data &amp; Reporting'!J131)</x:f>
      </x:c>
      <x:c r="L131" s="2" t="str">
        <x:f>IF('Data &amp; Reporting'!K131="","",'Data &amp; Reporting'!K131)</x:f>
      </x:c>
      <x:c r="M131" s="2" t="n">
        <x:f>'Data &amp; Reporting'!Q131</x:f>
        <x:v>1</x:v>
      </x:c>
      <x:c r="N131" s="2" t="str">
        <x:f>'Data &amp; Reporting'!L131</x:f>
        <x:v>Not started</x:v>
      </x:c>
      <x:c r="O131" s="2" t="str">
        <x:f>'Data &amp; Reporting'!N131</x:f>
        <x:v>DR.FC.2.2.2026.CY1</x:v>
      </x:c>
      <x:c r="P131" s="2" t="n">
        <x:f>'Data &amp; Reporting'!O131</x:f>
        <x:v>0</x:v>
      </x:c>
      <x:c r="Q131" s="2" t="n">
        <x:f>SUBTOTAL(103,O131)</x:f>
        <x:v>1</x:v>
      </x:c>
      <x:c r="R131" s="2" t="n">
        <x:f>IF(AND(M131=1,OR(Dashboard!$B$7="All",Dashboard!$B$7='Cycles &amp; Guide'!$C$5),OR(Dashboard!$D$7="All",Dashboard!$D$7=B131),OR(Dashboard!$F$7="All",Dashboard!$F$7=C131),OR(Dashboard!$H$7="All",Dashboard!$H$7=D131),OR(Dashboard!$K$7="All",Dashboard!$K$7=E131)),1,0)</x:f>
        <x:v>1</x:v>
      </x:c>
      <x:c r="S131" s="2" t="n">
        <x:f>IF(R131=1,SUM($R$10:R131),0)</x:f>
        <x:v>57</x:v>
      </x:c>
      <x:c r="T131" s="2" t="str">
        <x:v>Data &amp; Reporting</x:v>
      </x:c>
      <x:c r="U131" s="2" t="n">
        <x:v>131</x:v>
      </x:c>
      <x:c r="V131" s="2" t="n">
        <x:f>IF(AND(M131=1,P131=0,ISNUMBER(J131),J131&lt;TODAY()),1,0)</x:f>
        <x:v>1</x:v>
      </x:c>
      <x:c r="W131" s="2" t="str">
        <x:f>'Data &amp; Reporting'!M131</x:f>
        <x:v>Task</x:v>
      </x:c>
    </x:row>
    <x:row r="132" ht="40" customHeight="1">
      <x:c r="A132" s="3" t="str">
        <x:f>HYPERLINK("#'Data &amp; Reporting'!A132","Open")</x:f>
        <x:v>Open</x:v>
      </x:c>
      <x:c r="B132" s="2" t="str">
        <x:f>'Data &amp; Reporting'!B132</x:f>
        <x:v>Cycle 1</x:v>
      </x:c>
      <x:c r="C132" s="2" t="str">
        <x:f>'Data &amp; Reporting'!C132</x:f>
        <x:v>Phase 2</x:v>
      </x:c>
      <x:c r="D132" s="2" t="str">
        <x:f>'Data &amp; Reporting'!D132</x:f>
        <x:v>FCM</x:v>
      </x:c>
      <x:c r="E132" s="2" t="str">
        <x:v>Data &amp; Reporting</x:v>
      </x:c>
      <x:c r="F132" s="56" t="str">
        <x:f>'Data &amp; Reporting'!E132</x:f>
        <x:v>DR.FC.2.3</x:v>
      </x:c>
      <x:c r="G132" s="14" t="str">
        <x:f>'Data &amp; Reporting'!F132</x:f>
        <x:v>Verify topic is eligible for RCA and does not conflict with Attorney Client Privilege</x:v>
      </x:c>
      <x:c r="H132" s="2" t="str">
        <x:f>IF('Data &amp; Reporting'!G132="","",'Data &amp; Reporting'!G132)</x:f>
      </x:c>
      <x:c r="I132" s="12" t="str">
        <x:f>IF('Data &amp; Reporting'!H132="","",'Data &amp; Reporting'!H132)</x:f>
      </x:c>
      <x:c r="J132" s="12" t="n">
        <x:f>IF('Data &amp; Reporting'!I132="","",'Data &amp; Reporting'!I132)</x:f>
        <x:v>46112</x:v>
      </x:c>
      <x:c r="K132" s="12" t="str">
        <x:f>IF('Data &amp; Reporting'!J132="","",'Data &amp; Reporting'!J132)</x:f>
      </x:c>
      <x:c r="L132" s="2" t="str">
        <x:f>IF('Data &amp; Reporting'!K132="","",'Data &amp; Reporting'!K132)</x:f>
      </x:c>
      <x:c r="M132" s="2" t="n">
        <x:f>'Data &amp; Reporting'!Q132</x:f>
        <x:v>1</x:v>
      </x:c>
      <x:c r="N132" s="2" t="str">
        <x:f>'Data &amp; Reporting'!L132</x:f>
        <x:v>Not started</x:v>
      </x:c>
      <x:c r="O132" s="2" t="str">
        <x:f>'Data &amp; Reporting'!N132</x:f>
        <x:v>DR.FC.2.3.2026.CY1</x:v>
      </x:c>
      <x:c r="P132" s="2" t="n">
        <x:f>'Data &amp; Reporting'!O132</x:f>
        <x:v>0</x:v>
      </x:c>
      <x:c r="Q132" s="2" t="n">
        <x:f>SUBTOTAL(103,O132)</x:f>
        <x:v>1</x:v>
      </x:c>
      <x:c r="R132" s="2" t="n">
        <x:f>IF(AND(M132=1,OR(Dashboard!$B$7="All",Dashboard!$B$7='Cycles &amp; Guide'!$C$5),OR(Dashboard!$D$7="All",Dashboard!$D$7=B132),OR(Dashboard!$F$7="All",Dashboard!$F$7=C132),OR(Dashboard!$H$7="All",Dashboard!$H$7=D132),OR(Dashboard!$K$7="All",Dashboard!$K$7=E132)),1,0)</x:f>
        <x:v>1</x:v>
      </x:c>
      <x:c r="S132" s="2" t="n">
        <x:f>IF(R132=1,SUM($R$10:R132),0)</x:f>
        <x:v>58</x:v>
      </x:c>
      <x:c r="T132" s="2" t="str">
        <x:v>Data &amp; Reporting</x:v>
      </x:c>
      <x:c r="U132" s="2" t="n">
        <x:v>132</x:v>
      </x:c>
      <x:c r="V132" s="2" t="n">
        <x:f>IF(AND(M132=1,P132=0,ISNUMBER(J132),J132&lt;TODAY()),1,0)</x:f>
        <x:v>1</x:v>
      </x:c>
      <x:c r="W132" s="2" t="str">
        <x:f>'Data &amp; Reporting'!M132</x:f>
        <x:v>Task</x:v>
      </x:c>
    </x:row>
    <x:row r="133" ht="40" customHeight="1">
      <x:c r="A133" s="3" t="str">
        <x:f>HYPERLINK("#'Data &amp; Reporting'!A133","Open")</x:f>
        <x:v>Open</x:v>
      </x:c>
      <x:c r="B133" s="2" t="str">
        <x:f>'Data &amp; Reporting'!B133</x:f>
        <x:v>Cycle 1</x:v>
      </x:c>
      <x:c r="C133" s="2" t="str">
        <x:f>'Data &amp; Reporting'!C133</x:f>
        <x:v>Phase 2</x:v>
      </x:c>
      <x:c r="D133" s="2" t="str">
        <x:f>'Data &amp; Reporting'!D133</x:f>
        <x:v>FCM</x:v>
      </x:c>
      <x:c r="E133" s="2" t="str">
        <x:v>Data &amp; Reporting</x:v>
      </x:c>
      <x:c r="F133" s="56" t="str">
        <x:f>'Data &amp; Reporting'!E133</x:f>
        <x:v>DR.FC.2.4</x:v>
      </x:c>
      <x:c r="G133" s="14" t="str">
        <x:f>'Data &amp; Reporting'!F133</x:f>
        <x:v>Ensure data is free of errors and anomalies prior to hand-off to Research</x:v>
      </x:c>
      <x:c r="H133" s="2" t="str">
        <x:f>IF('Data &amp; Reporting'!G133="","",'Data &amp; Reporting'!G133)</x:f>
      </x:c>
      <x:c r="I133" s="12" t="str">
        <x:f>IF('Data &amp; Reporting'!H133="","",'Data &amp; Reporting'!H133)</x:f>
      </x:c>
      <x:c r="J133" s="12" t="n">
        <x:f>IF('Data &amp; Reporting'!I133="","",'Data &amp; Reporting'!I133)</x:f>
        <x:v>46112</x:v>
      </x:c>
      <x:c r="K133" s="12" t="str">
        <x:f>IF('Data &amp; Reporting'!J133="","",'Data &amp; Reporting'!J133)</x:f>
      </x:c>
      <x:c r="L133" s="2" t="str">
        <x:f>IF('Data &amp; Reporting'!K133="","",'Data &amp; Reporting'!K133)</x:f>
      </x:c>
      <x:c r="M133" s="2" t="n">
        <x:f>'Data &amp; Reporting'!Q133</x:f>
        <x:v>1</x:v>
      </x:c>
      <x:c r="N133" s="2" t="str">
        <x:f>'Data &amp; Reporting'!L133</x:f>
        <x:v>Not started</x:v>
      </x:c>
      <x:c r="O133" s="2" t="str">
        <x:f>'Data &amp; Reporting'!N133</x:f>
        <x:v>DR.FC.2.4.2026.CY1</x:v>
      </x:c>
      <x:c r="P133" s="2" t="n">
        <x:f>'Data &amp; Reporting'!O133</x:f>
        <x:v>0</x:v>
      </x:c>
      <x:c r="Q133" s="2" t="n">
        <x:f>SUBTOTAL(103,O133)</x:f>
        <x:v>1</x:v>
      </x:c>
      <x:c r="R133" s="2" t="n">
        <x:f>IF(AND(M133=1,OR(Dashboard!$B$7="All",Dashboard!$B$7='Cycles &amp; Guide'!$C$5),OR(Dashboard!$D$7="All",Dashboard!$D$7=B133),OR(Dashboard!$F$7="All",Dashboard!$F$7=C133),OR(Dashboard!$H$7="All",Dashboard!$H$7=D133),OR(Dashboard!$K$7="All",Dashboard!$K$7=E133)),1,0)</x:f>
        <x:v>1</x:v>
      </x:c>
      <x:c r="S133" s="2" t="n">
        <x:f>IF(R133=1,SUM($R$10:R133),0)</x:f>
        <x:v>59</x:v>
      </x:c>
      <x:c r="T133" s="2" t="str">
        <x:v>Data &amp; Reporting</x:v>
      </x:c>
      <x:c r="U133" s="2" t="n">
        <x:v>133</x:v>
      </x:c>
      <x:c r="V133" s="2" t="n">
        <x:f>IF(AND(M133=1,P133=0,ISNUMBER(J133),J133&lt;TODAY()),1,0)</x:f>
        <x:v>1</x:v>
      </x:c>
      <x:c r="W133" s="2" t="str">
        <x:f>'Data &amp; Reporting'!M133</x:f>
        <x:v>Task</x:v>
      </x:c>
    </x:row>
    <x:row r="134" ht="40" customHeight="1">
      <x:c r="A134" s="3" t="str">
        <x:f>HYPERLINK("#'Data &amp; Reporting'!A134","Open")</x:f>
        <x:v>Open</x:v>
      </x:c>
      <x:c r="B134" s="2" t="str">
        <x:f>'Data &amp; Reporting'!B134</x:f>
        <x:v>Cycle 1</x:v>
      </x:c>
      <x:c r="C134" s="2" t="str">
        <x:f>'Data &amp; Reporting'!C134</x:f>
        <x:v>Phase 2</x:v>
      </x:c>
      <x:c r="D134" s="2" t="str">
        <x:f>'Data &amp; Reporting'!D134</x:f>
        <x:v>FCM</x:v>
      </x:c>
      <x:c r="E134" s="2" t="str">
        <x:v>Data &amp; Reporting</x:v>
      </x:c>
      <x:c r="F134" s="56" t="str">
        <x:f>'Data &amp; Reporting'!E134</x:f>
        <x:v>DR.FC.2.5</x:v>
      </x:c>
      <x:c r="G134" s="14" t="str">
        <x:f>'Data &amp; Reporting'!F134</x:f>
        <x:v>Ensure topic is not a duplicate from a previous Cycle</x:v>
      </x:c>
      <x:c r="H134" s="2" t="str">
        <x:f>IF('Data &amp; Reporting'!G134="","",'Data &amp; Reporting'!G134)</x:f>
      </x:c>
      <x:c r="I134" s="12" t="str">
        <x:f>IF('Data &amp; Reporting'!H134="","",'Data &amp; Reporting'!H134)</x:f>
      </x:c>
      <x:c r="J134" s="12" t="n">
        <x:f>IF('Data &amp; Reporting'!I134="","",'Data &amp; Reporting'!I134)</x:f>
        <x:v>46112</x:v>
      </x:c>
      <x:c r="K134" s="12" t="str">
        <x:f>IF('Data &amp; Reporting'!J134="","",'Data &amp; Reporting'!J134)</x:f>
      </x:c>
      <x:c r="L134" s="2" t="str">
        <x:f>IF('Data &amp; Reporting'!K134="","",'Data &amp; Reporting'!K134)</x:f>
      </x:c>
      <x:c r="M134" s="2" t="n">
        <x:f>'Data &amp; Reporting'!Q134</x:f>
        <x:v>1</x:v>
      </x:c>
      <x:c r="N134" s="2" t="str">
        <x:f>'Data &amp; Reporting'!L134</x:f>
        <x:v>Not started</x:v>
      </x:c>
      <x:c r="O134" s="2" t="str">
        <x:f>'Data &amp; Reporting'!N134</x:f>
        <x:v>DR.FC.2.5.2026.CY1</x:v>
      </x:c>
      <x:c r="P134" s="2" t="n">
        <x:f>'Data &amp; Reporting'!O134</x:f>
        <x:v>0</x:v>
      </x:c>
      <x:c r="Q134" s="2" t="n">
        <x:f>SUBTOTAL(103,O134)</x:f>
        <x:v>1</x:v>
      </x:c>
      <x:c r="R134" s="2" t="n">
        <x:f>IF(AND(M134=1,OR(Dashboard!$B$7="All",Dashboard!$B$7='Cycles &amp; Guide'!$C$5),OR(Dashboard!$D$7="All",Dashboard!$D$7=B134),OR(Dashboard!$F$7="All",Dashboard!$F$7=C134),OR(Dashboard!$H$7="All",Dashboard!$H$7=D134),OR(Dashboard!$K$7="All",Dashboard!$K$7=E134)),1,0)</x:f>
        <x:v>1</x:v>
      </x:c>
      <x:c r="S134" s="2" t="n">
        <x:f>IF(R134=1,SUM($R$10:R134),0)</x:f>
        <x:v>60</x:v>
      </x:c>
      <x:c r="T134" s="2" t="str">
        <x:v>Data &amp; Reporting</x:v>
      </x:c>
      <x:c r="U134" s="2" t="n">
        <x:v>134</x:v>
      </x:c>
      <x:c r="V134" s="2" t="n">
        <x:f>IF(AND(M134=1,P134=0,ISNUMBER(J134),J134&lt;TODAY()),1,0)</x:f>
        <x:v>1</x:v>
      </x:c>
      <x:c r="W134" s="2" t="str">
        <x:f>'Data &amp; Reporting'!M134</x:f>
        <x:v>Task</x:v>
      </x:c>
    </x:row>
    <x:row r="135" ht="40" customHeight="1">
      <x:c r="A135" s="3" t="str">
        <x:f>HYPERLINK("#'Data &amp; Reporting'!A135","Open")</x:f>
        <x:v>Open</x:v>
      </x:c>
      <x:c r="B135" s="2" t="str">
        <x:f>'Data &amp; Reporting'!B135</x:f>
        <x:v>Cycle 1</x:v>
      </x:c>
      <x:c r="C135" s="2" t="str">
        <x:f>'Data &amp; Reporting'!C135</x:f>
        <x:v>Phase 2</x:v>
      </x:c>
      <x:c r="D135" s="2" t="str">
        <x:f>'Data &amp; Reporting'!D135</x:f>
        <x:v>FCM</x:v>
      </x:c>
      <x:c r="E135" s="2" t="str">
        <x:v>Data &amp; Reporting</x:v>
      </x:c>
      <x:c r="F135" s="56" t="str">
        <x:f>'Data &amp; Reporting'!E135</x:f>
        <x:v>DR.FC.2.6</x:v>
      </x:c>
      <x:c r="G135" s="14" t="str">
        <x:f>'Data &amp; Reporting'!F135</x:f>
        <x:v>Document clear distinctions between facts, assumptions, and hypotheses within the data package</x:v>
      </x:c>
      <x:c r="H135" s="2" t="str">
        <x:f>IF('Data &amp; Reporting'!G135="","",'Data &amp; Reporting'!G135)</x:f>
      </x:c>
      <x:c r="I135" s="12" t="str">
        <x:f>IF('Data &amp; Reporting'!H135="","",'Data &amp; Reporting'!H135)</x:f>
      </x:c>
      <x:c r="J135" s="12" t="n">
        <x:f>IF('Data &amp; Reporting'!I135="","",'Data &amp; Reporting'!I135)</x:f>
        <x:v>46112</x:v>
      </x:c>
      <x:c r="K135" s="12" t="str">
        <x:f>IF('Data &amp; Reporting'!J135="","",'Data &amp; Reporting'!J135)</x:f>
      </x:c>
      <x:c r="L135" s="2" t="str">
        <x:f>IF('Data &amp; Reporting'!K135="","",'Data &amp; Reporting'!K135)</x:f>
      </x:c>
      <x:c r="M135" s="2" t="n">
        <x:f>'Data &amp; Reporting'!Q135</x:f>
        <x:v>1</x:v>
      </x:c>
      <x:c r="N135" s="2" t="str">
        <x:f>'Data &amp; Reporting'!L135</x:f>
        <x:v>Not started</x:v>
      </x:c>
      <x:c r="O135" s="2" t="str">
        <x:f>'Data &amp; Reporting'!N135</x:f>
        <x:v>DR.FC.2.6.2026.CY1</x:v>
      </x:c>
      <x:c r="P135" s="2" t="n">
        <x:f>'Data &amp; Reporting'!O135</x:f>
        <x:v>0</x:v>
      </x:c>
      <x:c r="Q135" s="2" t="n">
        <x:f>SUBTOTAL(103,O135)</x:f>
        <x:v>1</x:v>
      </x:c>
      <x:c r="R135" s="2" t="n">
        <x:f>IF(AND(M135=1,OR(Dashboard!$B$7="All",Dashboard!$B$7='Cycles &amp; Guide'!$C$5),OR(Dashboard!$D$7="All",Dashboard!$D$7=B135),OR(Dashboard!$F$7="All",Dashboard!$F$7=C135),OR(Dashboard!$H$7="All",Dashboard!$H$7=D135),OR(Dashboard!$K$7="All",Dashboard!$K$7=E135)),1,0)</x:f>
        <x:v>1</x:v>
      </x:c>
      <x:c r="S135" s="2" t="n">
        <x:f>IF(R135=1,SUM($R$10:R135),0)</x:f>
        <x:v>61</x:v>
      </x:c>
      <x:c r="T135" s="2" t="str">
        <x:v>Data &amp; Reporting</x:v>
      </x:c>
      <x:c r="U135" s="2" t="n">
        <x:v>135</x:v>
      </x:c>
      <x:c r="V135" s="2" t="n">
        <x:f>IF(AND(M135=1,P135=0,ISNUMBER(J135),J135&lt;TODAY()),1,0)</x:f>
        <x:v>1</x:v>
      </x:c>
      <x:c r="W135" s="2" t="str">
        <x:f>'Data &amp; Reporting'!M135</x:f>
        <x:v>Task</x:v>
      </x:c>
    </x:row>
    <x:row r="136" ht="40" customHeight="1">
      <x:c r="A136" s="3" t="str">
        <x:f>HYPERLINK("#'Data &amp; Reporting'!A136","Open")</x:f>
        <x:v>Open</x:v>
      </x:c>
      <x:c r="B136" s="2" t="str">
        <x:f>'Data &amp; Reporting'!B136</x:f>
        <x:v>Cycle 1</x:v>
      </x:c>
      <x:c r="C136" s="2" t="str">
        <x:f>'Data &amp; Reporting'!C136</x:f>
        <x:v>Phase 3</x:v>
      </x:c>
      <x:c r="D136" s="2" t="str">
        <x:f>'Data &amp; Reporting'!D136</x:f>
        <x:v>FCM</x:v>
      </x:c>
      <x:c r="E136" s="2" t="str">
        <x:v>Data &amp; Reporting</x:v>
      </x:c>
      <x:c r="F136" s="56" t="str">
        <x:f>'Data &amp; Reporting'!E136</x:f>
        <x:v>DR.FC.3.1</x:v>
      </x:c>
      <x:c r="G136" s="14" t="str">
        <x:f>'Data &amp; Reporting'!F136</x:f>
        <x:v>Clearly document rationale for each topic recommendation within the SharePoint list item</x:v>
      </x:c>
      <x:c r="H136" s="2" t="str">
        <x:f>IF('Data &amp; Reporting'!G136="","",'Data &amp; Reporting'!G136)</x:f>
      </x:c>
      <x:c r="I136" s="12" t="str">
        <x:f>IF('Data &amp; Reporting'!H136="","",'Data &amp; Reporting'!H136)</x:f>
      </x:c>
      <x:c r="J136" s="12" t="n">
        <x:f>IF('Data &amp; Reporting'!I136="","",'Data &amp; Reporting'!I136)</x:f>
        <x:v>46112</x:v>
      </x:c>
      <x:c r="K136" s="12" t="str">
        <x:f>IF('Data &amp; Reporting'!J136="","",'Data &amp; Reporting'!J136)</x:f>
      </x:c>
      <x:c r="L136" s="2" t="str">
        <x:f>IF('Data &amp; Reporting'!K136="","",'Data &amp; Reporting'!K136)</x:f>
      </x:c>
      <x:c r="M136" s="2" t="n">
        <x:f>'Data &amp; Reporting'!Q136</x:f>
        <x:v>1</x:v>
      </x:c>
      <x:c r="N136" s="2" t="str">
        <x:f>'Data &amp; Reporting'!L136</x:f>
        <x:v>Not started</x:v>
      </x:c>
      <x:c r="O136" s="2" t="str">
        <x:f>'Data &amp; Reporting'!N136</x:f>
        <x:v>DR.FC.3.1.2026.CY1</x:v>
      </x:c>
      <x:c r="P136" s="2" t="n">
        <x:f>'Data &amp; Reporting'!O136</x:f>
        <x:v>0</x:v>
      </x:c>
      <x:c r="Q136" s="2" t="n">
        <x:f>SUBTOTAL(103,O136)</x:f>
        <x:v>1</x:v>
      </x:c>
      <x:c r="R136" s="2" t="n">
        <x:f>IF(AND(M136=1,OR(Dashboard!$B$7="All",Dashboard!$B$7='Cycles &amp; Guide'!$C$5),OR(Dashboard!$D$7="All",Dashboard!$D$7=B136),OR(Dashboard!$F$7="All",Dashboard!$F$7=C136),OR(Dashboard!$H$7="All",Dashboard!$H$7=D136),OR(Dashboard!$K$7="All",Dashboard!$K$7=E136)),1,0)</x:f>
        <x:v>1</x:v>
      </x:c>
      <x:c r="S136" s="2" t="n">
        <x:f>IF(R136=1,SUM($R$10:R136),0)</x:f>
        <x:v>62</x:v>
      </x:c>
      <x:c r="T136" s="2" t="str">
        <x:v>Data &amp; Reporting</x:v>
      </x:c>
      <x:c r="U136" s="2" t="n">
        <x:v>136</x:v>
      </x:c>
      <x:c r="V136" s="2" t="n">
        <x:f>IF(AND(M136=1,P136=0,ISNUMBER(J136),J136&lt;TODAY()),1,0)</x:f>
        <x:v>1</x:v>
      </x:c>
      <x:c r="W136" s="2" t="str">
        <x:f>'Data &amp; Reporting'!M136</x:f>
        <x:v>Task</x:v>
      </x:c>
    </x:row>
    <x:row r="137" ht="40" customHeight="1">
      <x:c r="A137" s="3" t="str">
        <x:f>HYPERLINK("#'Data &amp; Reporting'!A137","Open")</x:f>
        <x:v>Open</x:v>
      </x:c>
      <x:c r="B137" s="2" t="str">
        <x:f>'Data &amp; Reporting'!B137</x:f>
        <x:v>Cycle 1</x:v>
      </x:c>
      <x:c r="C137" s="2" t="str">
        <x:f>'Data &amp; Reporting'!C137</x:f>
        <x:v>Phase 3</x:v>
      </x:c>
      <x:c r="D137" s="2" t="str">
        <x:f>'Data &amp; Reporting'!D137</x:f>
        <x:v>FCM</x:v>
      </x:c>
      <x:c r="E137" s="2" t="str">
        <x:v>Data &amp; Reporting</x:v>
      </x:c>
      <x:c r="F137" s="56" t="str">
        <x:f>'Data &amp; Reporting'!E137</x:f>
        <x:v>DR.FC.3.2</x:v>
      </x:c>
      <x:c r="G137" s="14" t="str">
        <x:f>'Data &amp; Reporting'!F137</x:f>
        <x:v>Attach the data package for each topic recommendation within the SharePoint list item</x:v>
      </x:c>
      <x:c r="H137" s="2" t="str">
        <x:f>IF('Data &amp; Reporting'!G137="","",'Data &amp; Reporting'!G137)</x:f>
      </x:c>
      <x:c r="I137" s="12" t="str">
        <x:f>IF('Data &amp; Reporting'!H137="","",'Data &amp; Reporting'!H137)</x:f>
      </x:c>
      <x:c r="J137" s="12" t="n">
        <x:f>IF('Data &amp; Reporting'!I137="","",'Data &amp; Reporting'!I137)</x:f>
        <x:v>46112</x:v>
      </x:c>
      <x:c r="K137" s="12" t="str">
        <x:f>IF('Data &amp; Reporting'!J137="","",'Data &amp; Reporting'!J137)</x:f>
      </x:c>
      <x:c r="L137" s="2" t="str">
        <x:f>IF('Data &amp; Reporting'!K137="","",'Data &amp; Reporting'!K137)</x:f>
      </x:c>
      <x:c r="M137" s="2" t="n">
        <x:f>'Data &amp; Reporting'!Q137</x:f>
        <x:v>1</x:v>
      </x:c>
      <x:c r="N137" s="2" t="str">
        <x:f>'Data &amp; Reporting'!L137</x:f>
        <x:v>Not started</x:v>
      </x:c>
      <x:c r="O137" s="2" t="str">
        <x:f>'Data &amp; Reporting'!N137</x:f>
        <x:v>DR.FC.3.2.2026.CY1</x:v>
      </x:c>
      <x:c r="P137" s="2" t="n">
        <x:f>'Data &amp; Reporting'!O137</x:f>
        <x:v>0</x:v>
      </x:c>
      <x:c r="Q137" s="2" t="n">
        <x:f>SUBTOTAL(103,O137)</x:f>
        <x:v>1</x:v>
      </x:c>
      <x:c r="R137" s="2" t="n">
        <x:f>IF(AND(M137=1,OR(Dashboard!$B$7="All",Dashboard!$B$7='Cycles &amp; Guide'!$C$5),OR(Dashboard!$D$7="All",Dashboard!$D$7=B137),OR(Dashboard!$F$7="All",Dashboard!$F$7=C137),OR(Dashboard!$H$7="All",Dashboard!$H$7=D137),OR(Dashboard!$K$7="All",Dashboard!$K$7=E137)),1,0)</x:f>
        <x:v>1</x:v>
      </x:c>
      <x:c r="S137" s="2" t="n">
        <x:f>IF(R137=1,SUM($R$10:R137),0)</x:f>
        <x:v>63</x:v>
      </x:c>
      <x:c r="T137" s="2" t="str">
        <x:v>Data &amp; Reporting</x:v>
      </x:c>
      <x:c r="U137" s="2" t="n">
        <x:v>137</x:v>
      </x:c>
      <x:c r="V137" s="2" t="n">
        <x:f>IF(AND(M137=1,P137=0,ISNUMBER(J137),J137&lt;TODAY()),1,0)</x:f>
        <x:v>1</x:v>
      </x:c>
      <x:c r="W137" s="2" t="str">
        <x:f>'Data &amp; Reporting'!M137</x:f>
        <x:v>Task</x:v>
      </x:c>
    </x:row>
    <x:row r="138" ht="40" customHeight="1">
      <x:c r="A138" s="3" t="str">
        <x:f>HYPERLINK("#'Data &amp; Reporting'!A138","Open")</x:f>
        <x:v>Open</x:v>
      </x:c>
      <x:c r="B138" s="2" t="str">
        <x:f>'Data &amp; Reporting'!B138</x:f>
        <x:v>Cycle 1</x:v>
      </x:c>
      <x:c r="C138" s="2" t="str">
        <x:f>'Data &amp; Reporting'!C138</x:f>
        <x:v>Phase 3</x:v>
      </x:c>
      <x:c r="D138" s="2" t="str">
        <x:f>'Data &amp; Reporting'!D138</x:f>
        <x:v>FCM</x:v>
      </x:c>
      <x:c r="E138" s="2" t="str">
        <x:v>Data &amp; Reporting</x:v>
      </x:c>
      <x:c r="F138" s="56" t="str">
        <x:f>'Data &amp; Reporting'!E138</x:f>
        <x:v>DR.FC.3.3</x:v>
      </x:c>
      <x:c r="G138" s="14" t="str">
        <x:f>'Data &amp; Reporting'!F138</x:f>
        <x:v>Confirm data privileges have been granted, ensuring each pillar can access</x:v>
      </x:c>
      <x:c r="H138" s="2" t="str">
        <x:f>IF('Data &amp; Reporting'!G138="","",'Data &amp; Reporting'!G138)</x:f>
      </x:c>
      <x:c r="I138" s="12" t="str">
        <x:f>IF('Data &amp; Reporting'!H138="","",'Data &amp; Reporting'!H138)</x:f>
      </x:c>
      <x:c r="J138" s="12" t="n">
        <x:f>IF('Data &amp; Reporting'!I138="","",'Data &amp; Reporting'!I138)</x:f>
        <x:v>46112</x:v>
      </x:c>
      <x:c r="K138" s="12" t="str">
        <x:f>IF('Data &amp; Reporting'!J138="","",'Data &amp; Reporting'!J138)</x:f>
      </x:c>
      <x:c r="L138" s="2" t="str">
        <x:f>IF('Data &amp; Reporting'!K138="","",'Data &amp; Reporting'!K138)</x:f>
      </x:c>
      <x:c r="M138" s="2" t="n">
        <x:f>'Data &amp; Reporting'!Q138</x:f>
        <x:v>1</x:v>
      </x:c>
      <x:c r="N138" s="2" t="str">
        <x:f>'Data &amp; Reporting'!L138</x:f>
        <x:v>Not started</x:v>
      </x:c>
      <x:c r="O138" s="2" t="str">
        <x:f>'Data &amp; Reporting'!N138</x:f>
        <x:v>DR.FC.3.3.2026.CY1</x:v>
      </x:c>
      <x:c r="P138" s="2" t="n">
        <x:f>'Data &amp; Reporting'!O138</x:f>
        <x:v>0</x:v>
      </x:c>
      <x:c r="Q138" s="2" t="n">
        <x:f>SUBTOTAL(103,O138)</x:f>
        <x:v>1</x:v>
      </x:c>
      <x:c r="R138" s="2" t="n">
        <x:f>IF(AND(M138=1,OR(Dashboard!$B$7="All",Dashboard!$B$7='Cycles &amp; Guide'!$C$5),OR(Dashboard!$D$7="All",Dashboard!$D$7=B138),OR(Dashboard!$F$7="All",Dashboard!$F$7=C138),OR(Dashboard!$H$7="All",Dashboard!$H$7=D138),OR(Dashboard!$K$7="All",Dashboard!$K$7=E138)),1,0)</x:f>
        <x:v>1</x:v>
      </x:c>
      <x:c r="S138" s="2" t="n">
        <x:f>IF(R138=1,SUM($R$10:R138),0)</x:f>
        <x:v>64</x:v>
      </x:c>
      <x:c r="T138" s="2" t="str">
        <x:v>Data &amp; Reporting</x:v>
      </x:c>
      <x:c r="U138" s="2" t="n">
        <x:v>138</x:v>
      </x:c>
      <x:c r="V138" s="2" t="n">
        <x:f>IF(AND(M138=1,P138=0,ISNUMBER(J138),J138&lt;TODAY()),1,0)</x:f>
        <x:v>1</x:v>
      </x:c>
      <x:c r="W138" s="2" t="str">
        <x:f>'Data &amp; Reporting'!M138</x:f>
        <x:v>Task</x:v>
      </x:c>
    </x:row>
    <x:row r="139" ht="40" customHeight="1">
      <x:c r="A139" s="3" t="str">
        <x:f>HYPERLINK("#'Data &amp; Reporting'!A139","Open")</x:f>
        <x:v>Open</x:v>
      </x:c>
      <x:c r="B139" s="2" t="str">
        <x:f>'Data &amp; Reporting'!B139</x:f>
        <x:v>Cycle 1</x:v>
      </x:c>
      <x:c r="C139" s="2" t="str">
        <x:f>'Data &amp; Reporting'!C139</x:f>
        <x:v>Phase 3</x:v>
      </x:c>
      <x:c r="D139" s="2" t="str">
        <x:f>'Data &amp; Reporting'!D139</x:f>
        <x:v>FCM</x:v>
      </x:c>
      <x:c r="E139" s="2" t="str">
        <x:v>Data &amp; Reporting</x:v>
      </x:c>
      <x:c r="F139" s="56" t="str">
        <x:f>'Data &amp; Reporting'!E139</x:f>
        <x:v>DR.FC.3.4</x:v>
      </x:c>
      <x:c r="G139" s="14" t="str">
        <x:f>'Data &amp; Reporting'!F139</x:f>
        <x:v>Ensure Power Automate notifications were correctly triggered within Microsoft Teams</x:v>
      </x:c>
      <x:c r="H139" s="2" t="str">
        <x:f>IF('Data &amp; Reporting'!G139="","",'Data &amp; Reporting'!G139)</x:f>
      </x:c>
      <x:c r="I139" s="12" t="str">
        <x:f>IF('Data &amp; Reporting'!H139="","",'Data &amp; Reporting'!H139)</x:f>
      </x:c>
      <x:c r="J139" s="12" t="n">
        <x:f>IF('Data &amp; Reporting'!I139="","",'Data &amp; Reporting'!I139)</x:f>
        <x:v>46112</x:v>
      </x:c>
      <x:c r="K139" s="12" t="str">
        <x:f>IF('Data &amp; Reporting'!J139="","",'Data &amp; Reporting'!J139)</x:f>
      </x:c>
      <x:c r="L139" s="2" t="str">
        <x:f>IF('Data &amp; Reporting'!K139="","",'Data &amp; Reporting'!K139)</x:f>
      </x:c>
      <x:c r="M139" s="2" t="n">
        <x:f>'Data &amp; Reporting'!Q139</x:f>
        <x:v>1</x:v>
      </x:c>
      <x:c r="N139" s="2" t="str">
        <x:f>'Data &amp; Reporting'!L139</x:f>
        <x:v>Not started</x:v>
      </x:c>
      <x:c r="O139" s="2" t="str">
        <x:f>'Data &amp; Reporting'!N139</x:f>
        <x:v>DR.FC.3.4.2026.CY1</x:v>
      </x:c>
      <x:c r="P139" s="2" t="n">
        <x:f>'Data &amp; Reporting'!O139</x:f>
        <x:v>0</x:v>
      </x:c>
      <x:c r="Q139" s="2" t="n">
        <x:f>SUBTOTAL(103,O139)</x:f>
        <x:v>1</x:v>
      </x:c>
      <x:c r="R139" s="2" t="n">
        <x:f>IF(AND(M139=1,OR(Dashboard!$B$7="All",Dashboard!$B$7='Cycles &amp; Guide'!$C$5),OR(Dashboard!$D$7="All",Dashboard!$D$7=B139),OR(Dashboard!$F$7="All",Dashboard!$F$7=C139),OR(Dashboard!$H$7="All",Dashboard!$H$7=D139),OR(Dashboard!$K$7="All",Dashboard!$K$7=E139)),1,0)</x:f>
        <x:v>1</x:v>
      </x:c>
      <x:c r="S139" s="2" t="n">
        <x:f>IF(R139=1,SUM($R$10:R139),0)</x:f>
        <x:v>65</x:v>
      </x:c>
      <x:c r="T139" s="2" t="str">
        <x:v>Data &amp; Reporting</x:v>
      </x:c>
      <x:c r="U139" s="2" t="n">
        <x:v>139</x:v>
      </x:c>
      <x:c r="V139" s="2" t="n">
        <x:f>IF(AND(M139=1,P139=0,ISNUMBER(J139),J139&lt;TODAY()),1,0)</x:f>
        <x:v>1</x:v>
      </x:c>
      <x:c r="W139" s="2" t="str">
        <x:f>'Data &amp; Reporting'!M139</x:f>
        <x:v>Task</x:v>
      </x:c>
    </x:row>
    <x:row r="140" ht="40" customHeight="1">
      <x:c r="A140" s="3" t="str">
        <x:f>HYPERLINK("#'Data &amp; Reporting'!A140","Open")</x:f>
        <x:v>Open</x:v>
      </x:c>
      <x:c r="B140" s="2" t="str">
        <x:f>'Data &amp; Reporting'!B140</x:f>
        <x:v>Cycle 1</x:v>
      </x:c>
      <x:c r="C140" s="2" t="str">
        <x:f>'Data &amp; Reporting'!C140</x:f>
        <x:v>Phase 1</x:v>
      </x:c>
      <x:c r="D140" s="2" t="str">
        <x:f>'Data &amp; Reporting'!D140</x:f>
        <x:v>PLL</x:v>
      </x:c>
      <x:c r="E140" s="2" t="str">
        <x:v>Data &amp; Reporting</x:v>
      </x:c>
      <x:c r="F140" s="56" t="str">
        <x:f>'Data &amp; Reporting'!E140</x:f>
        <x:v>DR.PL.1.1</x:v>
      </x:c>
      <x:c r="G140" s="14" t="str">
        <x:f>'Data &amp; Reporting'!F140</x:f>
        <x:v>Review data sources 3 weeks prior to Cycle start (Complaints, Gen AI, Loudspeaker, NPS, etc.)</x:v>
      </x:c>
      <x:c r="H140" s="2" t="str">
        <x:f>IF('Data &amp; Reporting'!G140="","",'Data &amp; Reporting'!G140)</x:f>
      </x:c>
      <x:c r="I140" s="12" t="str">
        <x:f>IF('Data &amp; Reporting'!H140="","",'Data &amp; Reporting'!H140)</x:f>
      </x:c>
      <x:c r="J140" s="12" t="n">
        <x:f>IF('Data &amp; Reporting'!I140="","",'Data &amp; Reporting'!I140)</x:f>
        <x:v>46002</x:v>
      </x:c>
      <x:c r="K140" s="12" t="str">
        <x:f>IF('Data &amp; Reporting'!J140="","",'Data &amp; Reporting'!J140)</x:f>
      </x:c>
      <x:c r="L140" s="2" t="str">
        <x:f>IF('Data &amp; Reporting'!K140="","",'Data &amp; Reporting'!K140)</x:f>
      </x:c>
      <x:c r="M140" s="2" t="n">
        <x:f>'Data &amp; Reporting'!Q140</x:f>
        <x:v>1</x:v>
      </x:c>
      <x:c r="N140" s="2" t="str">
        <x:f>'Data &amp; Reporting'!L140</x:f>
        <x:v>Not started</x:v>
      </x:c>
      <x:c r="O140" s="2" t="str">
        <x:f>'Data &amp; Reporting'!N140</x:f>
        <x:v>DR.PL.1.1.2026.CY1</x:v>
      </x:c>
      <x:c r="P140" s="2" t="n">
        <x:f>'Data &amp; Reporting'!O140</x:f>
        <x:v>0</x:v>
      </x:c>
      <x:c r="Q140" s="2" t="n">
        <x:f>SUBTOTAL(103,O140)</x:f>
        <x:v>1</x:v>
      </x:c>
      <x:c r="R140" s="2" t="n">
        <x:f>IF(AND(M140=1,OR(Dashboard!$B$7="All",Dashboard!$B$7='Cycles &amp; Guide'!$C$5),OR(Dashboard!$D$7="All",Dashboard!$D$7=B140),OR(Dashboard!$F$7="All",Dashboard!$F$7=C140),OR(Dashboard!$H$7="All",Dashboard!$H$7=D140),OR(Dashboard!$K$7="All",Dashboard!$K$7=E140)),1,0)</x:f>
        <x:v>1</x:v>
      </x:c>
      <x:c r="S140" s="2" t="n">
        <x:f>IF(R140=1,SUM($R$10:R140),0)</x:f>
        <x:v>66</x:v>
      </x:c>
      <x:c r="T140" s="2" t="str">
        <x:v>Data &amp; Reporting</x:v>
      </x:c>
      <x:c r="U140" s="2" t="n">
        <x:v>140</x:v>
      </x:c>
      <x:c r="V140" s="2" t="n">
        <x:f>IF(AND(M140=1,P140=0,ISNUMBER(J140),J140&lt;TODAY()),1,0)</x:f>
        <x:v>1</x:v>
      </x:c>
      <x:c r="W140" s="2" t="str">
        <x:f>'Data &amp; Reporting'!M140</x:f>
        <x:v>Task</x:v>
      </x:c>
    </x:row>
    <x:row r="141" ht="40" customHeight="1">
      <x:c r="A141" s="3" t="str">
        <x:f>HYPERLINK("#'Data &amp; Reporting'!A141","Open")</x:f>
        <x:v>Open</x:v>
      </x:c>
      <x:c r="B141" s="2" t="str">
        <x:f>'Data &amp; Reporting'!B141</x:f>
        <x:v>Cycle 1</x:v>
      </x:c>
      <x:c r="C141" s="2" t="str">
        <x:f>'Data &amp; Reporting'!C141</x:f>
        <x:v>Phase 1</x:v>
      </x:c>
      <x:c r="D141" s="2" t="str">
        <x:f>'Data &amp; Reporting'!D141</x:f>
        <x:v>PLL</x:v>
      </x:c>
      <x:c r="E141" s="2" t="str">
        <x:v>Data &amp; Reporting</x:v>
      </x:c>
      <x:c r="F141" s="56" t="str">
        <x:f>'Data &amp; Reporting'!E141</x:f>
        <x:v>DR.PL.1.2</x:v>
      </x:c>
      <x:c r="G141" s="14" t="str">
        <x:f>'Data &amp; Reporting'!F141</x:f>
        <x:v>Identify two potential topics for the upcoming Cycle</x:v>
      </x:c>
      <x:c r="H141" s="2" t="str">
        <x:f>IF('Data &amp; Reporting'!G141="","",'Data &amp; Reporting'!G141)</x:f>
      </x:c>
      <x:c r="I141" s="12" t="str">
        <x:f>IF('Data &amp; Reporting'!H141="","",'Data &amp; Reporting'!H141)</x:f>
      </x:c>
      <x:c r="J141" s="12" t="n">
        <x:f>IF('Data &amp; Reporting'!I141="","",'Data &amp; Reporting'!I141)</x:f>
        <x:v>46112</x:v>
      </x:c>
      <x:c r="K141" s="12" t="str">
        <x:f>IF('Data &amp; Reporting'!J141="","",'Data &amp; Reporting'!J141)</x:f>
      </x:c>
      <x:c r="L141" s="2" t="str">
        <x:f>IF('Data &amp; Reporting'!K141="","",'Data &amp; Reporting'!K141)</x:f>
      </x:c>
      <x:c r="M141" s="2" t="n">
        <x:f>'Data &amp; Reporting'!Q141</x:f>
        <x:v>1</x:v>
      </x:c>
      <x:c r="N141" s="2" t="str">
        <x:f>'Data &amp; Reporting'!L141</x:f>
        <x:v>Not started</x:v>
      </x:c>
      <x:c r="O141" s="2" t="str">
        <x:f>'Data &amp; Reporting'!N141</x:f>
        <x:v>DR.PL.1.2.2026.CY1</x:v>
      </x:c>
      <x:c r="P141" s="2" t="n">
        <x:f>'Data &amp; Reporting'!O141</x:f>
        <x:v>0</x:v>
      </x:c>
      <x:c r="Q141" s="2" t="n">
        <x:f>SUBTOTAL(103,O141)</x:f>
        <x:v>1</x:v>
      </x:c>
      <x:c r="R141" s="2" t="n">
        <x:f>IF(AND(M141=1,OR(Dashboard!$B$7="All",Dashboard!$B$7='Cycles &amp; Guide'!$C$5),OR(Dashboard!$D$7="All",Dashboard!$D$7=B141),OR(Dashboard!$F$7="All",Dashboard!$F$7=C141),OR(Dashboard!$H$7="All",Dashboard!$H$7=D141),OR(Dashboard!$K$7="All",Dashboard!$K$7=E141)),1,0)</x:f>
        <x:v>1</x:v>
      </x:c>
      <x:c r="S141" s="2" t="n">
        <x:f>IF(R141=1,SUM($R$10:R141),0)</x:f>
        <x:v>67</x:v>
      </x:c>
      <x:c r="T141" s="2" t="str">
        <x:v>Data &amp; Reporting</x:v>
      </x:c>
      <x:c r="U141" s="2" t="n">
        <x:v>141</x:v>
      </x:c>
      <x:c r="V141" s="2" t="n">
        <x:f>IF(AND(M141=1,P141=0,ISNUMBER(J141),J141&lt;TODAY()),1,0)</x:f>
        <x:v>1</x:v>
      </x:c>
      <x:c r="W141" s="2" t="str">
        <x:f>'Data &amp; Reporting'!M141</x:f>
        <x:v>Task</x:v>
      </x:c>
    </x:row>
    <x:row r="142" ht="40" customHeight="1">
      <x:c r="A142" s="3" t="str">
        <x:f>HYPERLINK("#'Data &amp; Reporting'!A142","Open")</x:f>
        <x:v>Open</x:v>
      </x:c>
      <x:c r="B142" s="2" t="str">
        <x:f>'Data &amp; Reporting'!B142</x:f>
        <x:v>Cycle 1</x:v>
      </x:c>
      <x:c r="C142" s="2" t="str">
        <x:f>'Data &amp; Reporting'!C142</x:f>
        <x:v>Phase 1</x:v>
      </x:c>
      <x:c r="D142" s="2" t="str">
        <x:f>'Data &amp; Reporting'!D142</x:f>
        <x:v>PLL</x:v>
      </x:c>
      <x:c r="E142" s="2" t="str">
        <x:v>Data &amp; Reporting</x:v>
      </x:c>
      <x:c r="F142" s="56" t="str">
        <x:f>'Data &amp; Reporting'!E142</x:f>
        <x:v>DR.PL.1.3</x:v>
      </x:c>
      <x:c r="G142" s="14" t="str">
        <x:f>'Data &amp; Reporting'!F142</x:f>
        <x:v>Extract data for both potential topics, ensuring all checklist items below are included/completed</x:v>
      </x:c>
      <x:c r="H142" s="2" t="str">
        <x:f>IF('Data &amp; Reporting'!G142="","",'Data &amp; Reporting'!G142)</x:f>
      </x:c>
      <x:c r="I142" s="12" t="str">
        <x:f>IF('Data &amp; Reporting'!H142="","",'Data &amp; Reporting'!H142)</x:f>
      </x:c>
      <x:c r="J142" s="12" t="n">
        <x:f>IF('Data &amp; Reporting'!I142="","",'Data &amp; Reporting'!I142)</x:f>
        <x:v>46112</x:v>
      </x:c>
      <x:c r="K142" s="12" t="str">
        <x:f>IF('Data &amp; Reporting'!J142="","",'Data &amp; Reporting'!J142)</x:f>
      </x:c>
      <x:c r="L142" s="2" t="str">
        <x:f>IF('Data &amp; Reporting'!K142="","",'Data &amp; Reporting'!K142)</x:f>
      </x:c>
      <x:c r="M142" s="2" t="n">
        <x:f>'Data &amp; Reporting'!Q142</x:f>
        <x:v>1</x:v>
      </x:c>
      <x:c r="N142" s="2" t="str">
        <x:f>'Data &amp; Reporting'!L142</x:f>
        <x:v>Not started</x:v>
      </x:c>
      <x:c r="O142" s="2" t="str">
        <x:f>'Data &amp; Reporting'!N142</x:f>
        <x:v>DR.PL.1.3.2026.CY1</x:v>
      </x:c>
      <x:c r="P142" s="2" t="n">
        <x:f>'Data &amp; Reporting'!O142</x:f>
        <x:v>0</x:v>
      </x:c>
      <x:c r="Q142" s="2" t="n">
        <x:f>SUBTOTAL(103,O142)</x:f>
        <x:v>1</x:v>
      </x:c>
      <x:c r="R142" s="2" t="n">
        <x:f>IF(AND(M142=1,OR(Dashboard!$B$7="All",Dashboard!$B$7='Cycles &amp; Guide'!$C$5),OR(Dashboard!$D$7="All",Dashboard!$D$7=B142),OR(Dashboard!$F$7="All",Dashboard!$F$7=C142),OR(Dashboard!$H$7="All",Dashboard!$H$7=D142),OR(Dashboard!$K$7="All",Dashboard!$K$7=E142)),1,0)</x:f>
        <x:v>1</x:v>
      </x:c>
      <x:c r="S142" s="2" t="n">
        <x:f>IF(R142=1,SUM($R$10:R142),0)</x:f>
        <x:v>68</x:v>
      </x:c>
      <x:c r="T142" s="2" t="str">
        <x:v>Data &amp; Reporting</x:v>
      </x:c>
      <x:c r="U142" s="2" t="n">
        <x:v>142</x:v>
      </x:c>
      <x:c r="V142" s="2" t="n">
        <x:f>IF(AND(M142=1,P142=0,ISNUMBER(J142),J142&lt;TODAY()),1,0)</x:f>
        <x:v>1</x:v>
      </x:c>
      <x:c r="W142" s="2" t="str">
        <x:f>'Data &amp; Reporting'!M142</x:f>
        <x:v>Task</x:v>
      </x:c>
    </x:row>
    <x:row r="143" ht="40" customHeight="1">
      <x:c r="A143" s="3" t="str">
        <x:f>HYPERLINK("#'Data &amp; Reporting'!A143","Open")</x:f>
        <x:v>Open</x:v>
      </x:c>
      <x:c r="B143" s="2" t="str">
        <x:f>'Data &amp; Reporting'!B143</x:f>
        <x:v>Cycle 1</x:v>
      </x:c>
      <x:c r="C143" s="2" t="str">
        <x:f>'Data &amp; Reporting'!C143</x:f>
        <x:v>Phase 1</x:v>
      </x:c>
      <x:c r="D143" s="2" t="str">
        <x:f>'Data &amp; Reporting'!D143</x:f>
        <x:v>PLL</x:v>
      </x:c>
      <x:c r="E143" s="2" t="str">
        <x:v>Data &amp; Reporting</x:v>
      </x:c>
      <x:c r="F143" s="56" t="str">
        <x:f>'Data &amp; Reporting'!E143</x:f>
        <x:v>DR.PL.1.3.C01</x:v>
      </x:c>
      <x:c r="G143" s="14" t="str">
        <x:f>'Data &amp; Reporting'!F143</x:f>
        <x:v>    Document date range extracted</x:v>
      </x:c>
      <x:c r="H143" s="2" t="str">
        <x:f>IF('Data &amp; Reporting'!G143="","",'Data &amp; Reporting'!G143)</x:f>
      </x:c>
      <x:c r="I143" s="12" t="str">
        <x:f>IF('Data &amp; Reporting'!H143="","",'Data &amp; Reporting'!H143)</x:f>
      </x:c>
      <x:c r="J143" s="12" t="str">
        <x:f>IF('Data &amp; Reporting'!I143="","",'Data &amp; Reporting'!I143)</x:f>
      </x:c>
      <x:c r="K143" s="12" t="str">
        <x:f>IF('Data &amp; Reporting'!J143="","",'Data &amp; Reporting'!J143)</x:f>
      </x:c>
      <x:c r="L143" s="2" t="str">
        <x:f>IF('Data &amp; Reporting'!K143="","",'Data &amp; Reporting'!K143)</x:f>
      </x:c>
      <x:c r="M143" s="2" t="n">
        <x:f>'Data &amp; Reporting'!Q143</x:f>
        <x:v>0</x:v>
      </x:c>
      <x:c r="N143" s="2" t="str">
        <x:f>'Data &amp; Reporting'!L143</x:f>
        <x:v>Open check</x:v>
      </x:c>
      <x:c r="O143" s="2" t="str">
        <x:f>'Data &amp; Reporting'!N143</x:f>
        <x:v>DR.PL.1.3.C01.2026.CY1</x:v>
      </x:c>
      <x:c r="P143" s="2" t="n">
        <x:f>'Data &amp; Reporting'!O143</x:f>
        <x:v>0</x:v>
      </x:c>
      <x:c r="Q143" s="2" t="n">
        <x:f>SUBTOTAL(103,O143)</x:f>
        <x:v>1</x:v>
      </x:c>
      <x:c r="R143" s="2" t="n">
        <x:f>IF(AND(M143=1,OR(Dashboard!$B$7="All",Dashboard!$B$7='Cycles &amp; Guide'!$C$5),OR(Dashboard!$D$7="All",Dashboard!$D$7=B143),OR(Dashboard!$F$7="All",Dashboard!$F$7=C143),OR(Dashboard!$H$7="All",Dashboard!$H$7=D143),OR(Dashboard!$K$7="All",Dashboard!$K$7=E143)),1,0)</x:f>
        <x:v>0</x:v>
      </x:c>
      <x:c r="S143" s="2" t="n">
        <x:f>IF(R143=1,SUM($R$10:R143),0)</x:f>
        <x:v>0</x:v>
      </x:c>
      <x:c r="T143" s="2" t="str">
        <x:v>Data &amp; Reporting</x:v>
      </x:c>
      <x:c r="U143" s="2" t="n">
        <x:v>143</x:v>
      </x:c>
      <x:c r="V143" s="2" t="n">
        <x:f>IF(AND(M143=1,P143=0,ISNUMBER(J143),J143&lt;TODAY()),1,0)</x:f>
        <x:v>0</x:v>
      </x:c>
      <x:c r="W143" s="2" t="str">
        <x:f>'Data &amp; Reporting'!M143</x:f>
        <x:v>Checklist</x:v>
      </x:c>
    </x:row>
    <x:row r="144" ht="40" customHeight="1">
      <x:c r="A144" s="3" t="str">
        <x:f>HYPERLINK("#'Data &amp; Reporting'!A144","Open")</x:f>
        <x:v>Open</x:v>
      </x:c>
      <x:c r="B144" s="2" t="str">
        <x:f>'Data &amp; Reporting'!B144</x:f>
        <x:v>Cycle 1</x:v>
      </x:c>
      <x:c r="C144" s="2" t="str">
        <x:f>'Data &amp; Reporting'!C144</x:f>
        <x:v>Phase 1</x:v>
      </x:c>
      <x:c r="D144" s="2" t="str">
        <x:f>'Data &amp; Reporting'!D144</x:f>
        <x:v>PLL</x:v>
      </x:c>
      <x:c r="E144" s="2" t="str">
        <x:v>Data &amp; Reporting</x:v>
      </x:c>
      <x:c r="F144" s="56" t="str">
        <x:f>'Data &amp; Reporting'!E144</x:f>
        <x:v>DR.PL.1.3.C02</x:v>
      </x:c>
      <x:c r="G144" s="14" t="str">
        <x:f>'Data &amp; Reporting'!F144</x:f>
        <x:v>    Document date of data pull</x:v>
      </x:c>
      <x:c r="H144" s="2" t="str">
        <x:f>IF('Data &amp; Reporting'!G144="","",'Data &amp; Reporting'!G144)</x:f>
      </x:c>
      <x:c r="I144" s="12" t="str">
        <x:f>IF('Data &amp; Reporting'!H144="","",'Data &amp; Reporting'!H144)</x:f>
      </x:c>
      <x:c r="J144" s="12" t="str">
        <x:f>IF('Data &amp; Reporting'!I144="","",'Data &amp; Reporting'!I144)</x:f>
      </x:c>
      <x:c r="K144" s="12" t="str">
        <x:f>IF('Data &amp; Reporting'!J144="","",'Data &amp; Reporting'!J144)</x:f>
      </x:c>
      <x:c r="L144" s="2" t="str">
        <x:f>IF('Data &amp; Reporting'!K144="","",'Data &amp; Reporting'!K144)</x:f>
      </x:c>
      <x:c r="M144" s="2" t="n">
        <x:f>'Data &amp; Reporting'!Q144</x:f>
        <x:v>0</x:v>
      </x:c>
      <x:c r="N144" s="2" t="str">
        <x:f>'Data &amp; Reporting'!L144</x:f>
        <x:v>Open check</x:v>
      </x:c>
      <x:c r="O144" s="2" t="str">
        <x:f>'Data &amp; Reporting'!N144</x:f>
        <x:v>DR.PL.1.3.C02.2026.CY1</x:v>
      </x:c>
      <x:c r="P144" s="2" t="n">
        <x:f>'Data &amp; Reporting'!O144</x:f>
        <x:v>0</x:v>
      </x:c>
      <x:c r="Q144" s="2" t="n">
        <x:f>SUBTOTAL(103,O144)</x:f>
        <x:v>1</x:v>
      </x:c>
      <x:c r="R144" s="2" t="n">
        <x:f>IF(AND(M144=1,OR(Dashboard!$B$7="All",Dashboard!$B$7='Cycles &amp; Guide'!$C$5),OR(Dashboard!$D$7="All",Dashboard!$D$7=B144),OR(Dashboard!$F$7="All",Dashboard!$F$7=C144),OR(Dashboard!$H$7="All",Dashboard!$H$7=D144),OR(Dashboard!$K$7="All",Dashboard!$K$7=E144)),1,0)</x:f>
        <x:v>0</x:v>
      </x:c>
      <x:c r="S144" s="2" t="n">
        <x:f>IF(R144=1,SUM($R$10:R144),0)</x:f>
        <x:v>0</x:v>
      </x:c>
      <x:c r="T144" s="2" t="str">
        <x:v>Data &amp; Reporting</x:v>
      </x:c>
      <x:c r="U144" s="2" t="n">
        <x:v>144</x:v>
      </x:c>
      <x:c r="V144" s="2" t="n">
        <x:f>IF(AND(M144=1,P144=0,ISNUMBER(J144),J144&lt;TODAY()),1,0)</x:f>
        <x:v>0</x:v>
      </x:c>
      <x:c r="W144" s="2" t="str">
        <x:f>'Data &amp; Reporting'!M144</x:f>
        <x:v>Checklist</x:v>
      </x:c>
    </x:row>
    <x:row r="145" ht="40" customHeight="1">
      <x:c r="A145" s="3" t="str">
        <x:f>HYPERLINK("#'Data &amp; Reporting'!A145","Open")</x:f>
        <x:v>Open</x:v>
      </x:c>
      <x:c r="B145" s="2" t="str">
        <x:f>'Data &amp; Reporting'!B145</x:f>
        <x:v>Cycle 1</x:v>
      </x:c>
      <x:c r="C145" s="2" t="str">
        <x:f>'Data &amp; Reporting'!C145</x:f>
        <x:v>Phase 1</x:v>
      </x:c>
      <x:c r="D145" s="2" t="str">
        <x:f>'Data &amp; Reporting'!D145</x:f>
        <x:v>PLL</x:v>
      </x:c>
      <x:c r="E145" s="2" t="str">
        <x:v>Data &amp; Reporting</x:v>
      </x:c>
      <x:c r="F145" s="56" t="str">
        <x:f>'Data &amp; Reporting'!E145</x:f>
        <x:v>DR.PL.1.3.C03</x:v>
      </x:c>
      <x:c r="G145" s="14" t="str">
        <x:f>'Data &amp; Reporting'!F145</x:f>
        <x:v>    Document population details</x:v>
      </x:c>
      <x:c r="H145" s="2" t="str">
        <x:f>IF('Data &amp; Reporting'!G145="","",'Data &amp; Reporting'!G145)</x:f>
      </x:c>
      <x:c r="I145" s="12" t="str">
        <x:f>IF('Data &amp; Reporting'!H145="","",'Data &amp; Reporting'!H145)</x:f>
      </x:c>
      <x:c r="J145" s="12" t="str">
        <x:f>IF('Data &amp; Reporting'!I145="","",'Data &amp; Reporting'!I145)</x:f>
      </x:c>
      <x:c r="K145" s="12" t="str">
        <x:f>IF('Data &amp; Reporting'!J145="","",'Data &amp; Reporting'!J145)</x:f>
      </x:c>
      <x:c r="L145" s="2" t="str">
        <x:f>IF('Data &amp; Reporting'!K145="","",'Data &amp; Reporting'!K145)</x:f>
      </x:c>
      <x:c r="M145" s="2" t="n">
        <x:f>'Data &amp; Reporting'!Q145</x:f>
        <x:v>0</x:v>
      </x:c>
      <x:c r="N145" s="2" t="str">
        <x:f>'Data &amp; Reporting'!L145</x:f>
        <x:v>Open check</x:v>
      </x:c>
      <x:c r="O145" s="2" t="str">
        <x:f>'Data &amp; Reporting'!N145</x:f>
        <x:v>DR.PL.1.3.C03.2026.CY1</x:v>
      </x:c>
      <x:c r="P145" s="2" t="n">
        <x:f>'Data &amp; Reporting'!O145</x:f>
        <x:v>0</x:v>
      </x:c>
      <x:c r="Q145" s="2" t="n">
        <x:f>SUBTOTAL(103,O145)</x:f>
        <x:v>1</x:v>
      </x:c>
      <x:c r="R145" s="2" t="n">
        <x:f>IF(AND(M145=1,OR(Dashboard!$B$7="All",Dashboard!$B$7='Cycles &amp; Guide'!$C$5),OR(Dashboard!$D$7="All",Dashboard!$D$7=B145),OR(Dashboard!$F$7="All",Dashboard!$F$7=C145),OR(Dashboard!$H$7="All",Dashboard!$H$7=D145),OR(Dashboard!$K$7="All",Dashboard!$K$7=E145)),1,0)</x:f>
        <x:v>0</x:v>
      </x:c>
      <x:c r="S145" s="2" t="n">
        <x:f>IF(R145=1,SUM($R$10:R145),0)</x:f>
        <x:v>0</x:v>
      </x:c>
      <x:c r="T145" s="2" t="str">
        <x:v>Data &amp; Reporting</x:v>
      </x:c>
      <x:c r="U145" s="2" t="n">
        <x:v>145</x:v>
      </x:c>
      <x:c r="V145" s="2" t="n">
        <x:f>IF(AND(M145=1,P145=0,ISNUMBER(J145),J145&lt;TODAY()),1,0)</x:f>
        <x:v>0</x:v>
      </x:c>
      <x:c r="W145" s="2" t="str">
        <x:f>'Data &amp; Reporting'!M145</x:f>
        <x:v>Checklist</x:v>
      </x:c>
    </x:row>
    <x:row r="146" ht="40" customHeight="1">
      <x:c r="A146" s="3" t="str">
        <x:f>HYPERLINK("#'Data &amp; Reporting'!A146","Open")</x:f>
        <x:v>Open</x:v>
      </x:c>
      <x:c r="B146" s="2" t="str">
        <x:f>'Data &amp; Reporting'!B146</x:f>
        <x:v>Cycle 1</x:v>
      </x:c>
      <x:c r="C146" s="2" t="str">
        <x:f>'Data &amp; Reporting'!C146</x:f>
        <x:v>Phase 1</x:v>
      </x:c>
      <x:c r="D146" s="2" t="str">
        <x:f>'Data &amp; Reporting'!D146</x:f>
        <x:v>PLL</x:v>
      </x:c>
      <x:c r="E146" s="2" t="str">
        <x:v>Data &amp; Reporting</x:v>
      </x:c>
      <x:c r="F146" s="56" t="str">
        <x:f>'Data &amp; Reporting'!E146</x:f>
        <x:v>DR.PL.1.3.C04</x:v>
      </x:c>
      <x:c r="G146" s="14" t="str">
        <x:f>'Data &amp; Reporting'!F146</x:f>
        <x:v>    Validate no data is missing</x:v>
      </x:c>
      <x:c r="H146" s="2" t="str">
        <x:f>IF('Data &amp; Reporting'!G146="","",'Data &amp; Reporting'!G146)</x:f>
      </x:c>
      <x:c r="I146" s="12" t="str">
        <x:f>IF('Data &amp; Reporting'!H146="","",'Data &amp; Reporting'!H146)</x:f>
      </x:c>
      <x:c r="J146" s="12" t="str">
        <x:f>IF('Data &amp; Reporting'!I146="","",'Data &amp; Reporting'!I146)</x:f>
      </x:c>
      <x:c r="K146" s="12" t="str">
        <x:f>IF('Data &amp; Reporting'!J146="","",'Data &amp; Reporting'!J146)</x:f>
      </x:c>
      <x:c r="L146" s="2" t="str">
        <x:f>IF('Data &amp; Reporting'!K146="","",'Data &amp; Reporting'!K146)</x:f>
      </x:c>
      <x:c r="M146" s="2" t="n">
        <x:f>'Data &amp; Reporting'!Q146</x:f>
        <x:v>0</x:v>
      </x:c>
      <x:c r="N146" s="2" t="str">
        <x:f>'Data &amp; Reporting'!L146</x:f>
        <x:v>Open check</x:v>
      </x:c>
      <x:c r="O146" s="2" t="str">
        <x:f>'Data &amp; Reporting'!N146</x:f>
        <x:v>DR.PL.1.3.C04.2026.CY1</x:v>
      </x:c>
      <x:c r="P146" s="2" t="n">
        <x:f>'Data &amp; Reporting'!O146</x:f>
        <x:v>0</x:v>
      </x:c>
      <x:c r="Q146" s="2" t="n">
        <x:f>SUBTOTAL(103,O146)</x:f>
        <x:v>1</x:v>
      </x:c>
      <x:c r="R146" s="2" t="n">
        <x:f>IF(AND(M146=1,OR(Dashboard!$B$7="All",Dashboard!$B$7='Cycles &amp; Guide'!$C$5),OR(Dashboard!$D$7="All",Dashboard!$D$7=B146),OR(Dashboard!$F$7="All",Dashboard!$F$7=C146),OR(Dashboard!$H$7="All",Dashboard!$H$7=D146),OR(Dashboard!$K$7="All",Dashboard!$K$7=E146)),1,0)</x:f>
        <x:v>0</x:v>
      </x:c>
      <x:c r="S146" s="2" t="n">
        <x:f>IF(R146=1,SUM($R$10:R146),0)</x:f>
        <x:v>0</x:v>
      </x:c>
      <x:c r="T146" s="2" t="str">
        <x:v>Data &amp; Reporting</x:v>
      </x:c>
      <x:c r="U146" s="2" t="n">
        <x:v>146</x:v>
      </x:c>
      <x:c r="V146" s="2" t="n">
        <x:f>IF(AND(M146=1,P146=0,ISNUMBER(J146),J146&lt;TODAY()),1,0)</x:f>
        <x:v>0</x:v>
      </x:c>
      <x:c r="W146" s="2" t="str">
        <x:f>'Data &amp; Reporting'!M146</x:f>
        <x:v>Checklist</x:v>
      </x:c>
    </x:row>
    <x:row r="147" ht="40" customHeight="1">
      <x:c r="A147" s="3" t="str">
        <x:f>HYPERLINK("#'Data &amp; Reporting'!A147","Open")</x:f>
        <x:v>Open</x:v>
      </x:c>
      <x:c r="B147" s="2" t="str">
        <x:f>'Data &amp; Reporting'!B147</x:f>
        <x:v>Cycle 1</x:v>
      </x:c>
      <x:c r="C147" s="2" t="str">
        <x:f>'Data &amp; Reporting'!C147</x:f>
        <x:v>Phase 1</x:v>
      </x:c>
      <x:c r="D147" s="2" t="str">
        <x:f>'Data &amp; Reporting'!D147</x:f>
        <x:v>PLL</x:v>
      </x:c>
      <x:c r="E147" s="2" t="str">
        <x:v>Data &amp; Reporting</x:v>
      </x:c>
      <x:c r="F147" s="56" t="str">
        <x:f>'Data &amp; Reporting'!E147</x:f>
        <x:v>DR.PL.1.3.C05</x:v>
      </x:c>
      <x:c r="G147" s="14" t="str">
        <x:f>'Data &amp; Reporting'!F147</x:f>
        <x:v>    Validate accuracy of data</x:v>
      </x:c>
      <x:c r="H147" s="2" t="str">
        <x:f>IF('Data &amp; Reporting'!G147="","",'Data &amp; Reporting'!G147)</x:f>
      </x:c>
      <x:c r="I147" s="12" t="str">
        <x:f>IF('Data &amp; Reporting'!H147="","",'Data &amp; Reporting'!H147)</x:f>
      </x:c>
      <x:c r="J147" s="12" t="str">
        <x:f>IF('Data &amp; Reporting'!I147="","",'Data &amp; Reporting'!I147)</x:f>
      </x:c>
      <x:c r="K147" s="12" t="str">
        <x:f>IF('Data &amp; Reporting'!J147="","",'Data &amp; Reporting'!J147)</x:f>
      </x:c>
      <x:c r="L147" s="2" t="str">
        <x:f>IF('Data &amp; Reporting'!K147="","",'Data &amp; Reporting'!K147)</x:f>
      </x:c>
      <x:c r="M147" s="2" t="n">
        <x:f>'Data &amp; Reporting'!Q147</x:f>
        <x:v>0</x:v>
      </x:c>
      <x:c r="N147" s="2" t="str">
        <x:f>'Data &amp; Reporting'!L147</x:f>
        <x:v>Open check</x:v>
      </x:c>
      <x:c r="O147" s="2" t="str">
        <x:f>'Data &amp; Reporting'!N147</x:f>
        <x:v>DR.PL.1.3.C05.2026.CY1</x:v>
      </x:c>
      <x:c r="P147" s="2" t="n">
        <x:f>'Data &amp; Reporting'!O147</x:f>
        <x:v>0</x:v>
      </x:c>
      <x:c r="Q147" s="2" t="n">
        <x:f>SUBTOTAL(103,O147)</x:f>
        <x:v>1</x:v>
      </x:c>
      <x:c r="R147" s="2" t="n">
        <x:f>IF(AND(M147=1,OR(Dashboard!$B$7="All",Dashboard!$B$7='Cycles &amp; Guide'!$C$5),OR(Dashboard!$D$7="All",Dashboard!$D$7=B147),OR(Dashboard!$F$7="All",Dashboard!$F$7=C147),OR(Dashboard!$H$7="All",Dashboard!$H$7=D147),OR(Dashboard!$K$7="All",Dashboard!$K$7=E147)),1,0)</x:f>
        <x:v>0</x:v>
      </x:c>
      <x:c r="S147" s="2" t="n">
        <x:f>IF(R147=1,SUM($R$10:R147),0)</x:f>
        <x:v>0</x:v>
      </x:c>
      <x:c r="T147" s="2" t="str">
        <x:v>Data &amp; Reporting</x:v>
      </x:c>
      <x:c r="U147" s="2" t="n">
        <x:v>147</x:v>
      </x:c>
      <x:c r="V147" s="2" t="n">
        <x:f>IF(AND(M147=1,P147=0,ISNUMBER(J147),J147&lt;TODAY()),1,0)</x:f>
        <x:v>0</x:v>
      </x:c>
      <x:c r="W147" s="2" t="str">
        <x:f>'Data &amp; Reporting'!M147</x:f>
        <x:v>Checklist</x:v>
      </x:c>
    </x:row>
    <x:row r="148" ht="40" customHeight="1">
      <x:c r="A148" s="3" t="str">
        <x:f>HYPERLINK("#'Data &amp; Reporting'!A148","Open")</x:f>
        <x:v>Open</x:v>
      </x:c>
      <x:c r="B148" s="2" t="str">
        <x:f>'Data &amp; Reporting'!B148</x:f>
        <x:v>Cycle 1</x:v>
      </x:c>
      <x:c r="C148" s="2" t="str">
        <x:f>'Data &amp; Reporting'!C148</x:f>
        <x:v>Phase 1</x:v>
      </x:c>
      <x:c r="D148" s="2" t="str">
        <x:f>'Data &amp; Reporting'!D148</x:f>
        <x:v>PLL</x:v>
      </x:c>
      <x:c r="E148" s="2" t="str">
        <x:v>Data &amp; Reporting</x:v>
      </x:c>
      <x:c r="F148" s="56" t="str">
        <x:f>'Data &amp; Reporting'!E148</x:f>
        <x:v>DR.PL.1.3.C06</x:v>
      </x:c>
      <x:c r="G148" s="14" t="str">
        <x:f>'Data &amp; Reporting'!F148</x:f>
        <x:v>    Validate no duplicate data is provided</x:v>
      </x:c>
      <x:c r="H148" s="2" t="str">
        <x:f>IF('Data &amp; Reporting'!G148="","",'Data &amp; Reporting'!G148)</x:f>
      </x:c>
      <x:c r="I148" s="12" t="str">
        <x:f>IF('Data &amp; Reporting'!H148="","",'Data &amp; Reporting'!H148)</x:f>
      </x:c>
      <x:c r="J148" s="12" t="str">
        <x:f>IF('Data &amp; Reporting'!I148="","",'Data &amp; Reporting'!I148)</x:f>
      </x:c>
      <x:c r="K148" s="12" t="str">
        <x:f>IF('Data &amp; Reporting'!J148="","",'Data &amp; Reporting'!J148)</x:f>
      </x:c>
      <x:c r="L148" s="2" t="str">
        <x:f>IF('Data &amp; Reporting'!K148="","",'Data &amp; Reporting'!K148)</x:f>
      </x:c>
      <x:c r="M148" s="2" t="n">
        <x:f>'Data &amp; Reporting'!Q148</x:f>
        <x:v>0</x:v>
      </x:c>
      <x:c r="N148" s="2" t="str">
        <x:f>'Data &amp; Reporting'!L148</x:f>
        <x:v>Open check</x:v>
      </x:c>
      <x:c r="O148" s="2" t="str">
        <x:f>'Data &amp; Reporting'!N148</x:f>
        <x:v>DR.PL.1.3.C06.2026.CY1</x:v>
      </x:c>
      <x:c r="P148" s="2" t="n">
        <x:f>'Data &amp; Reporting'!O148</x:f>
        <x:v>0</x:v>
      </x:c>
      <x:c r="Q148" s="2" t="n">
        <x:f>SUBTOTAL(103,O148)</x:f>
        <x:v>1</x:v>
      </x:c>
      <x:c r="R148" s="2" t="n">
        <x:f>IF(AND(M148=1,OR(Dashboard!$B$7="All",Dashboard!$B$7='Cycles &amp; Guide'!$C$5),OR(Dashboard!$D$7="All",Dashboard!$D$7=B148),OR(Dashboard!$F$7="All",Dashboard!$F$7=C148),OR(Dashboard!$H$7="All",Dashboard!$H$7=D148),OR(Dashboard!$K$7="All",Dashboard!$K$7=E148)),1,0)</x:f>
        <x:v>0</x:v>
      </x:c>
      <x:c r="S148" s="2" t="n">
        <x:f>IF(R148=1,SUM($R$10:R148),0)</x:f>
        <x:v>0</x:v>
      </x:c>
      <x:c r="T148" s="2" t="str">
        <x:v>Data &amp; Reporting</x:v>
      </x:c>
      <x:c r="U148" s="2" t="n">
        <x:v>148</x:v>
      </x:c>
      <x:c r="V148" s="2" t="n">
        <x:f>IF(AND(M148=1,P148=0,ISNUMBER(J148),J148&lt;TODAY()),1,0)</x:f>
        <x:v>0</x:v>
      </x:c>
      <x:c r="W148" s="2" t="str">
        <x:f>'Data &amp; Reporting'!M148</x:f>
        <x:v>Checklist</x:v>
      </x:c>
    </x:row>
    <x:row r="149" ht="40" customHeight="1">
      <x:c r="A149" s="3" t="str">
        <x:f>HYPERLINK("#'Data &amp; Reporting'!A149","Open")</x:f>
        <x:v>Open</x:v>
      </x:c>
      <x:c r="B149" s="2" t="str">
        <x:f>'Data &amp; Reporting'!B149</x:f>
        <x:v>Cycle 1</x:v>
      </x:c>
      <x:c r="C149" s="2" t="str">
        <x:f>'Data &amp; Reporting'!C149</x:f>
        <x:v>Phase 1</x:v>
      </x:c>
      <x:c r="D149" s="2" t="str">
        <x:f>'Data &amp; Reporting'!D149</x:f>
        <x:v>PLL</x:v>
      </x:c>
      <x:c r="E149" s="2" t="str">
        <x:v>Data &amp; Reporting</x:v>
      </x:c>
      <x:c r="F149" s="56" t="str">
        <x:f>'Data &amp; Reporting'!E149</x:f>
        <x:v>DR.PL.1.3.C07</x:v>
      </x:c>
      <x:c r="G149" s="14" t="str">
        <x:f>'Data &amp; Reporting'!F149</x:f>
        <x:v>    Document any data exclusions along with justification (as needed)</x:v>
      </x:c>
      <x:c r="H149" s="2" t="str">
        <x:f>IF('Data &amp; Reporting'!G149="","",'Data &amp; Reporting'!G149)</x:f>
      </x:c>
      <x:c r="I149" s="12" t="str">
        <x:f>IF('Data &amp; Reporting'!H149="","",'Data &amp; Reporting'!H149)</x:f>
      </x:c>
      <x:c r="J149" s="12" t="str">
        <x:f>IF('Data &amp; Reporting'!I149="","",'Data &amp; Reporting'!I149)</x:f>
      </x:c>
      <x:c r="K149" s="12" t="str">
        <x:f>IF('Data &amp; Reporting'!J149="","",'Data &amp; Reporting'!J149)</x:f>
      </x:c>
      <x:c r="L149" s="2" t="str">
        <x:f>IF('Data &amp; Reporting'!K149="","",'Data &amp; Reporting'!K149)</x:f>
      </x:c>
      <x:c r="M149" s="2" t="n">
        <x:f>'Data &amp; Reporting'!Q149</x:f>
        <x:v>0</x:v>
      </x:c>
      <x:c r="N149" s="2" t="str">
        <x:f>'Data &amp; Reporting'!L149</x:f>
        <x:v>Open check</x:v>
      </x:c>
      <x:c r="O149" s="2" t="str">
        <x:f>'Data &amp; Reporting'!N149</x:f>
        <x:v>DR.PL.1.3.C07.2026.CY1</x:v>
      </x:c>
      <x:c r="P149" s="2" t="n">
        <x:f>'Data &amp; Reporting'!O149</x:f>
        <x:v>0</x:v>
      </x:c>
      <x:c r="Q149" s="2" t="n">
        <x:f>SUBTOTAL(103,O149)</x:f>
        <x:v>1</x:v>
      </x:c>
      <x:c r="R149" s="2" t="n">
        <x:f>IF(AND(M149=1,OR(Dashboard!$B$7="All",Dashboard!$B$7='Cycles &amp; Guide'!$C$5),OR(Dashboard!$D$7="All",Dashboard!$D$7=B149),OR(Dashboard!$F$7="All",Dashboard!$F$7=C149),OR(Dashboard!$H$7="All",Dashboard!$H$7=D149),OR(Dashboard!$K$7="All",Dashboard!$K$7=E149)),1,0)</x:f>
        <x:v>0</x:v>
      </x:c>
      <x:c r="S149" s="2" t="n">
        <x:f>IF(R149=1,SUM($R$10:R149),0)</x:f>
        <x:v>0</x:v>
      </x:c>
      <x:c r="T149" s="2" t="str">
        <x:v>Data &amp; Reporting</x:v>
      </x:c>
      <x:c r="U149" s="2" t="n">
        <x:v>149</x:v>
      </x:c>
      <x:c r="V149" s="2" t="n">
        <x:f>IF(AND(M149=1,P149=0,ISNUMBER(J149),J149&lt;TODAY()),1,0)</x:f>
        <x:v>0</x:v>
      </x:c>
      <x:c r="W149" s="2" t="str">
        <x:f>'Data &amp; Reporting'!M149</x:f>
        <x:v>Checklist</x:v>
      </x:c>
    </x:row>
    <x:row r="150" ht="40" customHeight="1">
      <x:c r="A150" s="3" t="str">
        <x:f>HYPERLINK("#'Data &amp; Reporting'!A150","Open")</x:f>
        <x:v>Open</x:v>
      </x:c>
      <x:c r="B150" s="2" t="str">
        <x:f>'Data &amp; Reporting'!B150</x:f>
        <x:v>Cycle 1</x:v>
      </x:c>
      <x:c r="C150" s="2" t="str">
        <x:f>'Data &amp; Reporting'!C150</x:f>
        <x:v>Phase 1</x:v>
      </x:c>
      <x:c r="D150" s="2" t="str">
        <x:f>'Data &amp; Reporting'!D150</x:f>
        <x:v>PLL</x:v>
      </x:c>
      <x:c r="E150" s="2" t="str">
        <x:v>Data &amp; Reporting</x:v>
      </x:c>
      <x:c r="F150" s="56" t="str">
        <x:f>'Data &amp; Reporting'!E150</x:f>
        <x:v>DR.PL.1.3.C08</x:v>
      </x:c>
      <x:c r="G150" s="14" t="str">
        <x:f>'Data &amp; Reporting'!F150</x:f>
        <x:v>    Document any assumptions made with the data (as needed)</x:v>
      </x:c>
      <x:c r="H150" s="2" t="str">
        <x:f>IF('Data &amp; Reporting'!G150="","",'Data &amp; Reporting'!G150)</x:f>
      </x:c>
      <x:c r="I150" s="12" t="str">
        <x:f>IF('Data &amp; Reporting'!H150="","",'Data &amp; Reporting'!H150)</x:f>
      </x:c>
      <x:c r="J150" s="12" t="str">
        <x:f>IF('Data &amp; Reporting'!I150="","",'Data &amp; Reporting'!I150)</x:f>
      </x:c>
      <x:c r="K150" s="12" t="str">
        <x:f>IF('Data &amp; Reporting'!J150="","",'Data &amp; Reporting'!J150)</x:f>
      </x:c>
      <x:c r="L150" s="2" t="str">
        <x:f>IF('Data &amp; Reporting'!K150="","",'Data &amp; Reporting'!K150)</x:f>
      </x:c>
      <x:c r="M150" s="2" t="n">
        <x:f>'Data &amp; Reporting'!Q150</x:f>
        <x:v>0</x:v>
      </x:c>
      <x:c r="N150" s="2" t="str">
        <x:f>'Data &amp; Reporting'!L150</x:f>
        <x:v>Open check</x:v>
      </x:c>
      <x:c r="O150" s="2" t="str">
        <x:f>'Data &amp; Reporting'!N150</x:f>
        <x:v>DR.PL.1.3.C08.2026.CY1</x:v>
      </x:c>
      <x:c r="P150" s="2" t="n">
        <x:f>'Data &amp; Reporting'!O150</x:f>
        <x:v>0</x:v>
      </x:c>
      <x:c r="Q150" s="2" t="n">
        <x:f>SUBTOTAL(103,O150)</x:f>
        <x:v>1</x:v>
      </x:c>
      <x:c r="R150" s="2" t="n">
        <x:f>IF(AND(M150=1,OR(Dashboard!$B$7="All",Dashboard!$B$7='Cycles &amp; Guide'!$C$5),OR(Dashboard!$D$7="All",Dashboard!$D$7=B150),OR(Dashboard!$F$7="All",Dashboard!$F$7=C150),OR(Dashboard!$H$7="All",Dashboard!$H$7=D150),OR(Dashboard!$K$7="All",Dashboard!$K$7=E150)),1,0)</x:f>
        <x:v>0</x:v>
      </x:c>
      <x:c r="S150" s="2" t="n">
        <x:f>IF(R150=1,SUM($R$10:R150),0)</x:f>
        <x:v>0</x:v>
      </x:c>
      <x:c r="T150" s="2" t="str">
        <x:v>Data &amp; Reporting</x:v>
      </x:c>
      <x:c r="U150" s="2" t="n">
        <x:v>150</x:v>
      </x:c>
      <x:c r="V150" s="2" t="n">
        <x:f>IF(AND(M150=1,P150=0,ISNUMBER(J150),J150&lt;TODAY()),1,0)</x:f>
        <x:v>0</x:v>
      </x:c>
      <x:c r="W150" s="2" t="str">
        <x:f>'Data &amp; Reporting'!M150</x:f>
        <x:v>Checklist</x:v>
      </x:c>
    </x:row>
    <x:row r="151" ht="40" customHeight="1">
      <x:c r="A151" s="3" t="str">
        <x:f>HYPERLINK("#'Data &amp; Reporting'!A151","Open")</x:f>
        <x:v>Open</x:v>
      </x:c>
      <x:c r="B151" s="2" t="str">
        <x:f>'Data &amp; Reporting'!B151</x:f>
        <x:v>Cycle 1</x:v>
      </x:c>
      <x:c r="C151" s="2" t="str">
        <x:f>'Data &amp; Reporting'!C151</x:f>
        <x:v>Phase 1</x:v>
      </x:c>
      <x:c r="D151" s="2" t="str">
        <x:f>'Data &amp; Reporting'!D151</x:f>
        <x:v>PLL</x:v>
      </x:c>
      <x:c r="E151" s="2" t="str">
        <x:v>Data &amp; Reporting</x:v>
      </x:c>
      <x:c r="F151" s="56" t="str">
        <x:f>'Data &amp; Reporting'!E151</x:f>
        <x:v>DR.PL.1.3.C09</x:v>
      </x:c>
      <x:c r="G151" s="14" t="str">
        <x:f>'Data &amp; Reporting'!F151</x:f>
        <x:v>    Document any data limitations or constraints clearly (as needed)</x:v>
      </x:c>
      <x:c r="H151" s="2" t="str">
        <x:f>IF('Data &amp; Reporting'!G151="","",'Data &amp; Reporting'!G151)</x:f>
      </x:c>
      <x:c r="I151" s="12" t="str">
        <x:f>IF('Data &amp; Reporting'!H151="","",'Data &amp; Reporting'!H151)</x:f>
      </x:c>
      <x:c r="J151" s="12" t="str">
        <x:f>IF('Data &amp; Reporting'!I151="","",'Data &amp; Reporting'!I151)</x:f>
      </x:c>
      <x:c r="K151" s="12" t="str">
        <x:f>IF('Data &amp; Reporting'!J151="","",'Data &amp; Reporting'!J151)</x:f>
      </x:c>
      <x:c r="L151" s="2" t="str">
        <x:f>IF('Data &amp; Reporting'!K151="","",'Data &amp; Reporting'!K151)</x:f>
      </x:c>
      <x:c r="M151" s="2" t="n">
        <x:f>'Data &amp; Reporting'!Q151</x:f>
        <x:v>0</x:v>
      </x:c>
      <x:c r="N151" s="2" t="str">
        <x:f>'Data &amp; Reporting'!L151</x:f>
        <x:v>Open check</x:v>
      </x:c>
      <x:c r="O151" s="2" t="str">
        <x:f>'Data &amp; Reporting'!N151</x:f>
        <x:v>DR.PL.1.3.C09.2026.CY1</x:v>
      </x:c>
      <x:c r="P151" s="2" t="n">
        <x:f>'Data &amp; Reporting'!O151</x:f>
        <x:v>0</x:v>
      </x:c>
      <x:c r="Q151" s="2" t="n">
        <x:f>SUBTOTAL(103,O151)</x:f>
        <x:v>1</x:v>
      </x:c>
      <x:c r="R151" s="2" t="n">
        <x:f>IF(AND(M151=1,OR(Dashboard!$B$7="All",Dashboard!$B$7='Cycles &amp; Guide'!$C$5),OR(Dashboard!$D$7="All",Dashboard!$D$7=B151),OR(Dashboard!$F$7="All",Dashboard!$F$7=C151),OR(Dashboard!$H$7="All",Dashboard!$H$7=D151),OR(Dashboard!$K$7="All",Dashboard!$K$7=E151)),1,0)</x:f>
        <x:v>0</x:v>
      </x:c>
      <x:c r="S151" s="2" t="n">
        <x:f>IF(R151=1,SUM($R$10:R151),0)</x:f>
        <x:v>0</x:v>
      </x:c>
      <x:c r="T151" s="2" t="str">
        <x:v>Data &amp; Reporting</x:v>
      </x:c>
      <x:c r="U151" s="2" t="n">
        <x:v>151</x:v>
      </x:c>
      <x:c r="V151" s="2" t="n">
        <x:f>IF(AND(M151=1,P151=0,ISNUMBER(J151),J151&lt;TODAY()),1,0)</x:f>
        <x:v>0</x:v>
      </x:c>
      <x:c r="W151" s="2" t="str">
        <x:f>'Data &amp; Reporting'!M151</x:f>
        <x:v>Checklist</x:v>
      </x:c>
    </x:row>
    <x:row r="152" ht="40" customHeight="1">
      <x:c r="A152" s="3" t="str">
        <x:f>HYPERLINK("#'Data &amp; Reporting'!A152","Open")</x:f>
        <x:v>Open</x:v>
      </x:c>
      <x:c r="B152" s="2" t="str">
        <x:f>'Data &amp; Reporting'!B152</x:f>
        <x:v>Cycle 1</x:v>
      </x:c>
      <x:c r="C152" s="2" t="str">
        <x:f>'Data &amp; Reporting'!C152</x:f>
        <x:v>Phase 1</x:v>
      </x:c>
      <x:c r="D152" s="2" t="str">
        <x:f>'Data &amp; Reporting'!D152</x:f>
        <x:v>PLL</x:v>
      </x:c>
      <x:c r="E152" s="2" t="str">
        <x:v>Data &amp; Reporting</x:v>
      </x:c>
      <x:c r="F152" s="56" t="str">
        <x:f>'Data &amp; Reporting'!E152</x:f>
        <x:v>DR.PL.1.3.C10</x:v>
      </x:c>
      <x:c r="G152" s="14" t="str">
        <x:f>'Data &amp; Reporting'!F152</x:f>
        <x:v>    Document data dictionary or field definitions for columns/rows</x:v>
      </x:c>
      <x:c r="H152" s="2" t="str">
        <x:f>IF('Data &amp; Reporting'!G152="","",'Data &amp; Reporting'!G152)</x:f>
      </x:c>
      <x:c r="I152" s="12" t="str">
        <x:f>IF('Data &amp; Reporting'!H152="","",'Data &amp; Reporting'!H152)</x:f>
      </x:c>
      <x:c r="J152" s="12" t="str">
        <x:f>IF('Data &amp; Reporting'!I152="","",'Data &amp; Reporting'!I152)</x:f>
      </x:c>
      <x:c r="K152" s="12" t="str">
        <x:f>IF('Data &amp; Reporting'!J152="","",'Data &amp; Reporting'!J152)</x:f>
      </x:c>
      <x:c r="L152" s="2" t="str">
        <x:f>IF('Data &amp; Reporting'!K152="","",'Data &amp; Reporting'!K152)</x:f>
      </x:c>
      <x:c r="M152" s="2" t="n">
        <x:f>'Data &amp; Reporting'!Q152</x:f>
        <x:v>0</x:v>
      </x:c>
      <x:c r="N152" s="2" t="str">
        <x:f>'Data &amp; Reporting'!L152</x:f>
        <x:v>Open check</x:v>
      </x:c>
      <x:c r="O152" s="2" t="str">
        <x:f>'Data &amp; Reporting'!N152</x:f>
        <x:v>DR.PL.1.3.C10.2026.CY1</x:v>
      </x:c>
      <x:c r="P152" s="2" t="n">
        <x:f>'Data &amp; Reporting'!O152</x:f>
        <x:v>0</x:v>
      </x:c>
      <x:c r="Q152" s="2" t="n">
        <x:f>SUBTOTAL(103,O152)</x:f>
        <x:v>1</x:v>
      </x:c>
      <x:c r="R152" s="2" t="n">
        <x:f>IF(AND(M152=1,OR(Dashboard!$B$7="All",Dashboard!$B$7='Cycles &amp; Guide'!$C$5),OR(Dashboard!$D$7="All",Dashboard!$D$7=B152),OR(Dashboard!$F$7="All",Dashboard!$F$7=C152),OR(Dashboard!$H$7="All",Dashboard!$H$7=D152),OR(Dashboard!$K$7="All",Dashboard!$K$7=E152)),1,0)</x:f>
        <x:v>0</x:v>
      </x:c>
      <x:c r="S152" s="2" t="n">
        <x:f>IF(R152=1,SUM($R$10:R152),0)</x:f>
        <x:v>0</x:v>
      </x:c>
      <x:c r="T152" s="2" t="str">
        <x:v>Data &amp; Reporting</x:v>
      </x:c>
      <x:c r="U152" s="2" t="n">
        <x:v>152</x:v>
      </x:c>
      <x:c r="V152" s="2" t="n">
        <x:f>IF(AND(M152=1,P152=0,ISNUMBER(J152),J152&lt;TODAY()),1,0)</x:f>
        <x:v>0</x:v>
      </x:c>
      <x:c r="W152" s="2" t="str">
        <x:f>'Data &amp; Reporting'!M152</x:f>
        <x:v>Checklist</x:v>
      </x:c>
    </x:row>
    <x:row r="153" ht="40" customHeight="1">
      <x:c r="A153" s="3" t="str">
        <x:f>HYPERLINK("#'Data &amp; Reporting'!A153","Open")</x:f>
        <x:v>Open</x:v>
      </x:c>
      <x:c r="B153" s="2" t="str">
        <x:f>'Data &amp; Reporting'!B153</x:f>
        <x:v>Cycle 1</x:v>
      </x:c>
      <x:c r="C153" s="2" t="str">
        <x:f>'Data &amp; Reporting'!C153</x:f>
        <x:v>Phase 1</x:v>
      </x:c>
      <x:c r="D153" s="2" t="str">
        <x:f>'Data &amp; Reporting'!D153</x:f>
        <x:v>PLL</x:v>
      </x:c>
      <x:c r="E153" s="2" t="str">
        <x:v>Data &amp; Reporting</x:v>
      </x:c>
      <x:c r="F153" s="56" t="str">
        <x:f>'Data &amp; Reporting'!E153</x:f>
        <x:v>DR.PL.1.3.C11</x:v>
      </x:c>
      <x:c r="G153" s="14" t="str">
        <x:f>'Data &amp; Reporting'!F153</x:f>
        <x:v>    Document emerging trends, patterns, or concentrations along with supporting data</x:v>
      </x:c>
      <x:c r="H153" s="2" t="str">
        <x:f>IF('Data &amp; Reporting'!G153="","",'Data &amp; Reporting'!G153)</x:f>
      </x:c>
      <x:c r="I153" s="12" t="str">
        <x:f>IF('Data &amp; Reporting'!H153="","",'Data &amp; Reporting'!H153)</x:f>
      </x:c>
      <x:c r="J153" s="12" t="str">
        <x:f>IF('Data &amp; Reporting'!I153="","",'Data &amp; Reporting'!I153)</x:f>
      </x:c>
      <x:c r="K153" s="12" t="str">
        <x:f>IF('Data &amp; Reporting'!J153="","",'Data &amp; Reporting'!J153)</x:f>
      </x:c>
      <x:c r="L153" s="2" t="str">
        <x:f>IF('Data &amp; Reporting'!K153="","",'Data &amp; Reporting'!K153)</x:f>
      </x:c>
      <x:c r="M153" s="2" t="n">
        <x:f>'Data &amp; Reporting'!Q153</x:f>
        <x:v>0</x:v>
      </x:c>
      <x:c r="N153" s="2" t="str">
        <x:f>'Data &amp; Reporting'!L153</x:f>
        <x:v>Open check</x:v>
      </x:c>
      <x:c r="O153" s="2" t="str">
        <x:f>'Data &amp; Reporting'!N153</x:f>
        <x:v>DR.PL.1.3.C11.2026.CY1</x:v>
      </x:c>
      <x:c r="P153" s="2" t="n">
        <x:f>'Data &amp; Reporting'!O153</x:f>
        <x:v>0</x:v>
      </x:c>
      <x:c r="Q153" s="2" t="n">
        <x:f>SUBTOTAL(103,O153)</x:f>
        <x:v>1</x:v>
      </x:c>
      <x:c r="R153" s="2" t="n">
        <x:f>IF(AND(M153=1,OR(Dashboard!$B$7="All",Dashboard!$B$7='Cycles &amp; Guide'!$C$5),OR(Dashboard!$D$7="All",Dashboard!$D$7=B153),OR(Dashboard!$F$7="All",Dashboard!$F$7=C153),OR(Dashboard!$H$7="All",Dashboard!$H$7=D153),OR(Dashboard!$K$7="All",Dashboard!$K$7=E153)),1,0)</x:f>
        <x:v>0</x:v>
      </x:c>
      <x:c r="S153" s="2" t="n">
        <x:f>IF(R153=1,SUM($R$10:R153),0)</x:f>
        <x:v>0</x:v>
      </x:c>
      <x:c r="T153" s="2" t="str">
        <x:v>Data &amp; Reporting</x:v>
      </x:c>
      <x:c r="U153" s="2" t="n">
        <x:v>153</x:v>
      </x:c>
      <x:c r="V153" s="2" t="n">
        <x:f>IF(AND(M153=1,P153=0,ISNUMBER(J153),J153&lt;TODAY()),1,0)</x:f>
        <x:v>0</x:v>
      </x:c>
      <x:c r="W153" s="2" t="str">
        <x:f>'Data &amp; Reporting'!M153</x:f>
        <x:v>Checklist</x:v>
      </x:c>
    </x:row>
    <x:row r="154" ht="40" customHeight="1">
      <x:c r="A154" s="3" t="str">
        <x:f>HYPERLINK("#'Data &amp; Reporting'!A154","Open")</x:f>
        <x:v>Open</x:v>
      </x:c>
      <x:c r="B154" s="2" t="str">
        <x:f>'Data &amp; Reporting'!B154</x:f>
        <x:v>Cycle 1</x:v>
      </x:c>
      <x:c r="C154" s="2" t="str">
        <x:f>'Data &amp; Reporting'!C154</x:f>
        <x:v>Phase 1</x:v>
      </x:c>
      <x:c r="D154" s="2" t="str">
        <x:f>'Data &amp; Reporting'!D154</x:f>
        <x:v>PLL</x:v>
      </x:c>
      <x:c r="E154" s="2" t="str">
        <x:v>Data &amp; Reporting</x:v>
      </x:c>
      <x:c r="F154" s="56" t="str">
        <x:f>'Data &amp; Reporting'!E154</x:f>
        <x:v>DR.PL.1.3.C12</x:v>
      </x:c>
      <x:c r="G154" s="14" t="str">
        <x:f>'Data &amp; Reporting'!F154</x:f>
        <x:v>    Document any severe spikes in volume along with context (as needed)</x:v>
      </x:c>
      <x:c r="H154" s="2" t="str">
        <x:f>IF('Data &amp; Reporting'!G154="","",'Data &amp; Reporting'!G154)</x:f>
      </x:c>
      <x:c r="I154" s="12" t="str">
        <x:f>IF('Data &amp; Reporting'!H154="","",'Data &amp; Reporting'!H154)</x:f>
      </x:c>
      <x:c r="J154" s="12" t="str">
        <x:f>IF('Data &amp; Reporting'!I154="","",'Data &amp; Reporting'!I154)</x:f>
      </x:c>
      <x:c r="K154" s="12" t="str">
        <x:f>IF('Data &amp; Reporting'!J154="","",'Data &amp; Reporting'!J154)</x:f>
      </x:c>
      <x:c r="L154" s="2" t="str">
        <x:f>IF('Data &amp; Reporting'!K154="","",'Data &amp; Reporting'!K154)</x:f>
      </x:c>
      <x:c r="M154" s="2" t="n">
        <x:f>'Data &amp; Reporting'!Q154</x:f>
        <x:v>0</x:v>
      </x:c>
      <x:c r="N154" s="2" t="str">
        <x:f>'Data &amp; Reporting'!L154</x:f>
        <x:v>Open check</x:v>
      </x:c>
      <x:c r="O154" s="2" t="str">
        <x:f>'Data &amp; Reporting'!N154</x:f>
        <x:v>DR.PL.1.3.C12.2026.CY1</x:v>
      </x:c>
      <x:c r="P154" s="2" t="n">
        <x:f>'Data &amp; Reporting'!O154</x:f>
        <x:v>0</x:v>
      </x:c>
      <x:c r="Q154" s="2" t="n">
        <x:f>SUBTOTAL(103,O154)</x:f>
        <x:v>1</x:v>
      </x:c>
      <x:c r="R154" s="2" t="n">
        <x:f>IF(AND(M154=1,OR(Dashboard!$B$7="All",Dashboard!$B$7='Cycles &amp; Guide'!$C$5),OR(Dashboard!$D$7="All",Dashboard!$D$7=B154),OR(Dashboard!$F$7="All",Dashboard!$F$7=C154),OR(Dashboard!$H$7="All",Dashboard!$H$7=D154),OR(Dashboard!$K$7="All",Dashboard!$K$7=E154)),1,0)</x:f>
        <x:v>0</x:v>
      </x:c>
      <x:c r="S154" s="2" t="n">
        <x:f>IF(R154=1,SUM($R$10:R154),0)</x:f>
        <x:v>0</x:v>
      </x:c>
      <x:c r="T154" s="2" t="str">
        <x:v>Data &amp; Reporting</x:v>
      </x:c>
      <x:c r="U154" s="2" t="n">
        <x:v>154</x:v>
      </x:c>
      <x:c r="V154" s="2" t="n">
        <x:f>IF(AND(M154=1,P154=0,ISNUMBER(J154),J154&lt;TODAY()),1,0)</x:f>
        <x:v>0</x:v>
      </x:c>
      <x:c r="W154" s="2" t="str">
        <x:f>'Data &amp; Reporting'!M154</x:f>
        <x:v>Checklist</x:v>
      </x:c>
    </x:row>
    <x:row r="155" ht="40" customHeight="1">
      <x:c r="A155" s="3" t="str">
        <x:f>HYPERLINK("#'Data &amp; Reporting'!A155","Open")</x:f>
        <x:v>Open</x:v>
      </x:c>
      <x:c r="B155" s="2" t="str">
        <x:f>'Data &amp; Reporting'!B155</x:f>
        <x:v>Cycle 1</x:v>
      </x:c>
      <x:c r="C155" s="2" t="str">
        <x:f>'Data &amp; Reporting'!C155</x:f>
        <x:v>Phase 1</x:v>
      </x:c>
      <x:c r="D155" s="2" t="str">
        <x:f>'Data &amp; Reporting'!D155</x:f>
        <x:v>PLL</x:v>
      </x:c>
      <x:c r="E155" s="2" t="str">
        <x:v>Data &amp; Reporting</x:v>
      </x:c>
      <x:c r="F155" s="56" t="str">
        <x:f>'Data &amp; Reporting'!E155</x:f>
        <x:v>DR.PL.1.3.C13</x:v>
      </x:c>
      <x:c r="G155" s="14" t="str">
        <x:f>'Data &amp; Reporting'!F155</x:f>
        <x:v>    Document clear summary explaining how the data connects to the potential topic</x:v>
      </x:c>
      <x:c r="H155" s="2" t="str">
        <x:f>IF('Data &amp; Reporting'!G155="","",'Data &amp; Reporting'!G155)</x:f>
      </x:c>
      <x:c r="I155" s="12" t="str">
        <x:f>IF('Data &amp; Reporting'!H155="","",'Data &amp; Reporting'!H155)</x:f>
      </x:c>
      <x:c r="J155" s="12" t="str">
        <x:f>IF('Data &amp; Reporting'!I155="","",'Data &amp; Reporting'!I155)</x:f>
      </x:c>
      <x:c r="K155" s="12" t="str">
        <x:f>IF('Data &amp; Reporting'!J155="","",'Data &amp; Reporting'!J155)</x:f>
      </x:c>
      <x:c r="L155" s="2" t="str">
        <x:f>IF('Data &amp; Reporting'!K155="","",'Data &amp; Reporting'!K155)</x:f>
      </x:c>
      <x:c r="M155" s="2" t="n">
        <x:f>'Data &amp; Reporting'!Q155</x:f>
        <x:v>0</x:v>
      </x:c>
      <x:c r="N155" s="2" t="str">
        <x:f>'Data &amp; Reporting'!L155</x:f>
        <x:v>Open check</x:v>
      </x:c>
      <x:c r="O155" s="2" t="str">
        <x:f>'Data &amp; Reporting'!N155</x:f>
        <x:v>DR.PL.1.3.C13.2026.CY1</x:v>
      </x:c>
      <x:c r="P155" s="2" t="n">
        <x:f>'Data &amp; Reporting'!O155</x:f>
        <x:v>0</x:v>
      </x:c>
      <x:c r="Q155" s="2" t="n">
        <x:f>SUBTOTAL(103,O155)</x:f>
        <x:v>1</x:v>
      </x:c>
      <x:c r="R155" s="2" t="n">
        <x:f>IF(AND(M155=1,OR(Dashboard!$B$7="All",Dashboard!$B$7='Cycles &amp; Guide'!$C$5),OR(Dashboard!$D$7="All",Dashboard!$D$7=B155),OR(Dashboard!$F$7="All",Dashboard!$F$7=C155),OR(Dashboard!$H$7="All",Dashboard!$H$7=D155),OR(Dashboard!$K$7="All",Dashboard!$K$7=E155)),1,0)</x:f>
        <x:v>0</x:v>
      </x:c>
      <x:c r="S155" s="2" t="n">
        <x:f>IF(R155=1,SUM($R$10:R155),0)</x:f>
        <x:v>0</x:v>
      </x:c>
      <x:c r="T155" s="2" t="str">
        <x:v>Data &amp; Reporting</x:v>
      </x:c>
      <x:c r="U155" s="2" t="n">
        <x:v>155</x:v>
      </x:c>
      <x:c r="V155" s="2" t="n">
        <x:f>IF(AND(M155=1,P155=0,ISNUMBER(J155),J155&lt;TODAY()),1,0)</x:f>
        <x:v>0</x:v>
      </x:c>
      <x:c r="W155" s="2" t="str">
        <x:f>'Data &amp; Reporting'!M155</x:f>
        <x:v>Checklist</x:v>
      </x:c>
    </x:row>
    <x:row r="156" ht="40" customHeight="1">
      <x:c r="A156" s="3" t="str">
        <x:f>HYPERLINK("#'Data &amp; Reporting'!A156","Open")</x:f>
        <x:v>Open</x:v>
      </x:c>
      <x:c r="B156" s="2" t="str">
        <x:f>'Data &amp; Reporting'!B156</x:f>
        <x:v>Cycle 1</x:v>
      </x:c>
      <x:c r="C156" s="2" t="str">
        <x:f>'Data &amp; Reporting'!C156</x:f>
        <x:v>Phase 2</x:v>
      </x:c>
      <x:c r="D156" s="2" t="str">
        <x:f>'Data &amp; Reporting'!D156</x:f>
        <x:v>PLL</x:v>
      </x:c>
      <x:c r="E156" s="2" t="str">
        <x:v>Data &amp; Reporting</x:v>
      </x:c>
      <x:c r="F156" s="56" t="str">
        <x:f>'Data &amp; Reporting'!E156</x:f>
        <x:v>DR.PL.2.1</x:v>
      </x:c>
      <x:c r="G156" s="14" t="str">
        <x:f>'Data &amp; Reporting'!F156</x:f>
        <x:v>Ensure data is clean, structured, and usable without manipulation needed</x:v>
      </x:c>
      <x:c r="H156" s="2" t="str">
        <x:f>IF('Data &amp; Reporting'!G156="","",'Data &amp; Reporting'!G156)</x:f>
      </x:c>
      <x:c r="I156" s="12" t="str">
        <x:f>IF('Data &amp; Reporting'!H156="","",'Data &amp; Reporting'!H156)</x:f>
      </x:c>
      <x:c r="J156" s="12" t="n">
        <x:f>IF('Data &amp; Reporting'!I156="","",'Data &amp; Reporting'!I156)</x:f>
        <x:v>46112</x:v>
      </x:c>
      <x:c r="K156" s="12" t="str">
        <x:f>IF('Data &amp; Reporting'!J156="","",'Data &amp; Reporting'!J156)</x:f>
      </x:c>
      <x:c r="L156" s="2" t="str">
        <x:f>IF('Data &amp; Reporting'!K156="","",'Data &amp; Reporting'!K156)</x:f>
      </x:c>
      <x:c r="M156" s="2" t="n">
        <x:f>'Data &amp; Reporting'!Q156</x:f>
        <x:v>1</x:v>
      </x:c>
      <x:c r="N156" s="2" t="str">
        <x:f>'Data &amp; Reporting'!L156</x:f>
        <x:v>Not started</x:v>
      </x:c>
      <x:c r="O156" s="2" t="str">
        <x:f>'Data &amp; Reporting'!N156</x:f>
        <x:v>DR.PL.2.1.2026.CY1</x:v>
      </x:c>
      <x:c r="P156" s="2" t="n">
        <x:f>'Data &amp; Reporting'!O156</x:f>
        <x:v>0</x:v>
      </x:c>
      <x:c r="Q156" s="2" t="n">
        <x:f>SUBTOTAL(103,O156)</x:f>
        <x:v>1</x:v>
      </x:c>
      <x:c r="R156" s="2" t="n">
        <x:f>IF(AND(M156=1,OR(Dashboard!$B$7="All",Dashboard!$B$7='Cycles &amp; Guide'!$C$5),OR(Dashboard!$D$7="All",Dashboard!$D$7=B156),OR(Dashboard!$F$7="All",Dashboard!$F$7=C156),OR(Dashboard!$H$7="All",Dashboard!$H$7=D156),OR(Dashboard!$K$7="All",Dashboard!$K$7=E156)),1,0)</x:f>
        <x:v>1</x:v>
      </x:c>
      <x:c r="S156" s="2" t="n">
        <x:f>IF(R156=1,SUM($R$10:R156),0)</x:f>
        <x:v>69</x:v>
      </x:c>
      <x:c r="T156" s="2" t="str">
        <x:v>Data &amp; Reporting</x:v>
      </x:c>
      <x:c r="U156" s="2" t="n">
        <x:v>156</x:v>
      </x:c>
      <x:c r="V156" s="2" t="n">
        <x:f>IF(AND(M156=1,P156=0,ISNUMBER(J156),J156&lt;TODAY()),1,0)</x:f>
        <x:v>1</x:v>
      </x:c>
      <x:c r="W156" s="2" t="str">
        <x:f>'Data &amp; Reporting'!M156</x:f>
        <x:v>Task</x:v>
      </x:c>
    </x:row>
    <x:row r="157" ht="40" customHeight="1">
      <x:c r="A157" s="3" t="str">
        <x:f>HYPERLINK("#'Data &amp; Reporting'!A157","Open")</x:f>
        <x:v>Open</x:v>
      </x:c>
      <x:c r="B157" s="2" t="str">
        <x:f>'Data &amp; Reporting'!B157</x:f>
        <x:v>Cycle 1</x:v>
      </x:c>
      <x:c r="C157" s="2" t="str">
        <x:f>'Data &amp; Reporting'!C157</x:f>
        <x:v>Phase 2</x:v>
      </x:c>
      <x:c r="D157" s="2" t="str">
        <x:f>'Data &amp; Reporting'!D157</x:f>
        <x:v>PLL</x:v>
      </x:c>
      <x:c r="E157" s="2" t="str">
        <x:v>Data &amp; Reporting</x:v>
      </x:c>
      <x:c r="F157" s="56" t="str">
        <x:f>'Data &amp; Reporting'!E157</x:f>
        <x:v>DR.PL.2.2</x:v>
      </x:c>
      <x:c r="G157" s="14" t="str">
        <x:f>'Data &amp; Reporting'!F157</x:f>
        <x:v>Clearly document rationale for each topic recommendation within the SharePoint list</x:v>
      </x:c>
      <x:c r="H157" s="2" t="str">
        <x:f>IF('Data &amp; Reporting'!G157="","",'Data &amp; Reporting'!G157)</x:f>
      </x:c>
      <x:c r="I157" s="12" t="str">
        <x:f>IF('Data &amp; Reporting'!H157="","",'Data &amp; Reporting'!H157)</x:f>
      </x:c>
      <x:c r="J157" s="12" t="n">
        <x:f>IF('Data &amp; Reporting'!I157="","",'Data &amp; Reporting'!I157)</x:f>
        <x:v>46112</x:v>
      </x:c>
      <x:c r="K157" s="12" t="str">
        <x:f>IF('Data &amp; Reporting'!J157="","",'Data &amp; Reporting'!J157)</x:f>
      </x:c>
      <x:c r="L157" s="2" t="str">
        <x:f>IF('Data &amp; Reporting'!K157="","",'Data &amp; Reporting'!K157)</x:f>
      </x:c>
      <x:c r="M157" s="2" t="n">
        <x:f>'Data &amp; Reporting'!Q157</x:f>
        <x:v>1</x:v>
      </x:c>
      <x:c r="N157" s="2" t="str">
        <x:f>'Data &amp; Reporting'!L157</x:f>
        <x:v>Not started</x:v>
      </x:c>
      <x:c r="O157" s="2" t="str">
        <x:f>'Data &amp; Reporting'!N157</x:f>
        <x:v>DR.PL.2.2.2026.CY1</x:v>
      </x:c>
      <x:c r="P157" s="2" t="n">
        <x:f>'Data &amp; Reporting'!O157</x:f>
        <x:v>0</x:v>
      </x:c>
      <x:c r="Q157" s="2" t="n">
        <x:f>SUBTOTAL(103,O157)</x:f>
        <x:v>1</x:v>
      </x:c>
      <x:c r="R157" s="2" t="n">
        <x:f>IF(AND(M157=1,OR(Dashboard!$B$7="All",Dashboard!$B$7='Cycles &amp; Guide'!$C$5),OR(Dashboard!$D$7="All",Dashboard!$D$7=B157),OR(Dashboard!$F$7="All",Dashboard!$F$7=C157),OR(Dashboard!$H$7="All",Dashboard!$H$7=D157),OR(Dashboard!$K$7="All",Dashboard!$K$7=E157)),1,0)</x:f>
        <x:v>1</x:v>
      </x:c>
      <x:c r="S157" s="2" t="n">
        <x:f>IF(R157=1,SUM($R$10:R157),0)</x:f>
        <x:v>70</x:v>
      </x:c>
      <x:c r="T157" s="2" t="str">
        <x:v>Data &amp; Reporting</x:v>
      </x:c>
      <x:c r="U157" s="2" t="n">
        <x:v>157</x:v>
      </x:c>
      <x:c r="V157" s="2" t="n">
        <x:f>IF(AND(M157=1,P157=0,ISNUMBER(J157),J157&lt;TODAY()),1,0)</x:f>
        <x:v>1</x:v>
      </x:c>
      <x:c r="W157" s="2" t="str">
        <x:f>'Data &amp; Reporting'!M157</x:f>
        <x:v>Task</x:v>
      </x:c>
    </x:row>
    <x:row r="158" ht="40" customHeight="1">
      <x:c r="A158" s="3" t="str">
        <x:f>HYPERLINK("#'Data &amp; Reporting'!A158","Open")</x:f>
        <x:v>Open</x:v>
      </x:c>
      <x:c r="B158" s="2" t="str">
        <x:f>'Data &amp; Reporting'!B158</x:f>
        <x:v>Cycle 1</x:v>
      </x:c>
      <x:c r="C158" s="2" t="str">
        <x:f>'Data &amp; Reporting'!C158</x:f>
        <x:v>Phase 2</x:v>
      </x:c>
      <x:c r="D158" s="2" t="str">
        <x:f>'Data &amp; Reporting'!D158</x:f>
        <x:v>PLL</x:v>
      </x:c>
      <x:c r="E158" s="2" t="str">
        <x:v>Data &amp; Reporting</x:v>
      </x:c>
      <x:c r="F158" s="56" t="str">
        <x:f>'Data &amp; Reporting'!E158</x:f>
        <x:v>DR.PL.2.3</x:v>
      </x:c>
      <x:c r="G158" s="14" t="str">
        <x:f>'Data &amp; Reporting'!F158</x:f>
        <x:v>Verify topic is eligible for RCA and does not conflict with Attorney Client Privilege</x:v>
      </x:c>
      <x:c r="H158" s="2" t="str">
        <x:f>IF('Data &amp; Reporting'!G158="","",'Data &amp; Reporting'!G158)</x:f>
      </x:c>
      <x:c r="I158" s="12" t="str">
        <x:f>IF('Data &amp; Reporting'!H158="","",'Data &amp; Reporting'!H158)</x:f>
      </x:c>
      <x:c r="J158" s="12" t="n">
        <x:f>IF('Data &amp; Reporting'!I158="","",'Data &amp; Reporting'!I158)</x:f>
        <x:v>46112</x:v>
      </x:c>
      <x:c r="K158" s="12" t="str">
        <x:f>IF('Data &amp; Reporting'!J158="","",'Data &amp; Reporting'!J158)</x:f>
      </x:c>
      <x:c r="L158" s="2" t="str">
        <x:f>IF('Data &amp; Reporting'!K158="","",'Data &amp; Reporting'!K158)</x:f>
      </x:c>
      <x:c r="M158" s="2" t="n">
        <x:f>'Data &amp; Reporting'!Q158</x:f>
        <x:v>1</x:v>
      </x:c>
      <x:c r="N158" s="2" t="str">
        <x:f>'Data &amp; Reporting'!L158</x:f>
        <x:v>Not started</x:v>
      </x:c>
      <x:c r="O158" s="2" t="str">
        <x:f>'Data &amp; Reporting'!N158</x:f>
        <x:v>DR.PL.2.3.2026.CY1</x:v>
      </x:c>
      <x:c r="P158" s="2" t="n">
        <x:f>'Data &amp; Reporting'!O158</x:f>
        <x:v>0</x:v>
      </x:c>
      <x:c r="Q158" s="2" t="n">
        <x:f>SUBTOTAL(103,O158)</x:f>
        <x:v>1</x:v>
      </x:c>
      <x:c r="R158" s="2" t="n">
        <x:f>IF(AND(M158=1,OR(Dashboard!$B$7="All",Dashboard!$B$7='Cycles &amp; Guide'!$C$5),OR(Dashboard!$D$7="All",Dashboard!$D$7=B158),OR(Dashboard!$F$7="All",Dashboard!$F$7=C158),OR(Dashboard!$H$7="All",Dashboard!$H$7=D158),OR(Dashboard!$K$7="All",Dashboard!$K$7=E158)),1,0)</x:f>
        <x:v>1</x:v>
      </x:c>
      <x:c r="S158" s="2" t="n">
        <x:f>IF(R158=1,SUM($R$10:R158),0)</x:f>
        <x:v>71</x:v>
      </x:c>
      <x:c r="T158" s="2" t="str">
        <x:v>Data &amp; Reporting</x:v>
      </x:c>
      <x:c r="U158" s="2" t="n">
        <x:v>158</x:v>
      </x:c>
      <x:c r="V158" s="2" t="n">
        <x:f>IF(AND(M158=1,P158=0,ISNUMBER(J158),J158&lt;TODAY()),1,0)</x:f>
        <x:v>1</x:v>
      </x:c>
      <x:c r="W158" s="2" t="str">
        <x:f>'Data &amp; Reporting'!M158</x:f>
        <x:v>Task</x:v>
      </x:c>
    </x:row>
    <x:row r="159" ht="40" customHeight="1">
      <x:c r="A159" s="3" t="str">
        <x:f>HYPERLINK("#'Data &amp; Reporting'!A159","Open")</x:f>
        <x:v>Open</x:v>
      </x:c>
      <x:c r="B159" s="2" t="str">
        <x:f>'Data &amp; Reporting'!B159</x:f>
        <x:v>Cycle 1</x:v>
      </x:c>
      <x:c r="C159" s="2" t="str">
        <x:f>'Data &amp; Reporting'!C159</x:f>
        <x:v>Phase 2</x:v>
      </x:c>
      <x:c r="D159" s="2" t="str">
        <x:f>'Data &amp; Reporting'!D159</x:f>
        <x:v>PLL</x:v>
      </x:c>
      <x:c r="E159" s="2" t="str">
        <x:v>Data &amp; Reporting</x:v>
      </x:c>
      <x:c r="F159" s="56" t="str">
        <x:f>'Data &amp; Reporting'!E159</x:f>
        <x:v>DR.PL.2.4</x:v>
      </x:c>
      <x:c r="G159" s="14" t="str">
        <x:f>'Data &amp; Reporting'!F159</x:f>
        <x:v>Ensure data is free of errors and anomalies prior to hand-off to Research</x:v>
      </x:c>
      <x:c r="H159" s="2" t="str">
        <x:f>IF('Data &amp; Reporting'!G159="","",'Data &amp; Reporting'!G159)</x:f>
      </x:c>
      <x:c r="I159" s="12" t="str">
        <x:f>IF('Data &amp; Reporting'!H159="","",'Data &amp; Reporting'!H159)</x:f>
      </x:c>
      <x:c r="J159" s="12" t="n">
        <x:f>IF('Data &amp; Reporting'!I159="","",'Data &amp; Reporting'!I159)</x:f>
        <x:v>46112</x:v>
      </x:c>
      <x:c r="K159" s="12" t="str">
        <x:f>IF('Data &amp; Reporting'!J159="","",'Data &amp; Reporting'!J159)</x:f>
      </x:c>
      <x:c r="L159" s="2" t="str">
        <x:f>IF('Data &amp; Reporting'!K159="","",'Data &amp; Reporting'!K159)</x:f>
      </x:c>
      <x:c r="M159" s="2" t="n">
        <x:f>'Data &amp; Reporting'!Q159</x:f>
        <x:v>1</x:v>
      </x:c>
      <x:c r="N159" s="2" t="str">
        <x:f>'Data &amp; Reporting'!L159</x:f>
        <x:v>Not started</x:v>
      </x:c>
      <x:c r="O159" s="2" t="str">
        <x:f>'Data &amp; Reporting'!N159</x:f>
        <x:v>DR.PL.2.4.2026.CY1</x:v>
      </x:c>
      <x:c r="P159" s="2" t="n">
        <x:f>'Data &amp; Reporting'!O159</x:f>
        <x:v>0</x:v>
      </x:c>
      <x:c r="Q159" s="2" t="n">
        <x:f>SUBTOTAL(103,O159)</x:f>
        <x:v>1</x:v>
      </x:c>
      <x:c r="R159" s="2" t="n">
        <x:f>IF(AND(M159=1,OR(Dashboard!$B$7="All",Dashboard!$B$7='Cycles &amp; Guide'!$C$5),OR(Dashboard!$D$7="All",Dashboard!$D$7=B159),OR(Dashboard!$F$7="All",Dashboard!$F$7=C159),OR(Dashboard!$H$7="All",Dashboard!$H$7=D159),OR(Dashboard!$K$7="All",Dashboard!$K$7=E159)),1,0)</x:f>
        <x:v>1</x:v>
      </x:c>
      <x:c r="S159" s="2" t="n">
        <x:f>IF(R159=1,SUM($R$10:R159),0)</x:f>
        <x:v>72</x:v>
      </x:c>
      <x:c r="T159" s="2" t="str">
        <x:v>Data &amp; Reporting</x:v>
      </x:c>
      <x:c r="U159" s="2" t="n">
        <x:v>159</x:v>
      </x:c>
      <x:c r="V159" s="2" t="n">
        <x:f>IF(AND(M159=1,P159=0,ISNUMBER(J159),J159&lt;TODAY()),1,0)</x:f>
        <x:v>1</x:v>
      </x:c>
      <x:c r="W159" s="2" t="str">
        <x:f>'Data &amp; Reporting'!M159</x:f>
        <x:v>Task</x:v>
      </x:c>
    </x:row>
    <x:row r="160" ht="40" customHeight="1">
      <x:c r="A160" s="3" t="str">
        <x:f>HYPERLINK("#'Data &amp; Reporting'!A160","Open")</x:f>
        <x:v>Open</x:v>
      </x:c>
      <x:c r="B160" s="2" t="str">
        <x:f>'Data &amp; Reporting'!B160</x:f>
        <x:v>Cycle 1</x:v>
      </x:c>
      <x:c r="C160" s="2" t="str">
        <x:f>'Data &amp; Reporting'!C160</x:f>
        <x:v>Phase 2</x:v>
      </x:c>
      <x:c r="D160" s="2" t="str">
        <x:f>'Data &amp; Reporting'!D160</x:f>
        <x:v>PLL</x:v>
      </x:c>
      <x:c r="E160" s="2" t="str">
        <x:v>Data &amp; Reporting</x:v>
      </x:c>
      <x:c r="F160" s="56" t="str">
        <x:f>'Data &amp; Reporting'!E160</x:f>
        <x:v>DR.PL.2.5</x:v>
      </x:c>
      <x:c r="G160" s="14" t="str">
        <x:f>'Data &amp; Reporting'!F160</x:f>
        <x:v>Ensure topic is not a duplicate from a previous Cycle</x:v>
      </x:c>
      <x:c r="H160" s="2" t="str">
        <x:f>IF('Data &amp; Reporting'!G160="","",'Data &amp; Reporting'!G160)</x:f>
      </x:c>
      <x:c r="I160" s="12" t="str">
        <x:f>IF('Data &amp; Reporting'!H160="","",'Data &amp; Reporting'!H160)</x:f>
      </x:c>
      <x:c r="J160" s="12" t="n">
        <x:f>IF('Data &amp; Reporting'!I160="","",'Data &amp; Reporting'!I160)</x:f>
        <x:v>46112</x:v>
      </x:c>
      <x:c r="K160" s="12" t="str">
        <x:f>IF('Data &amp; Reporting'!J160="","",'Data &amp; Reporting'!J160)</x:f>
      </x:c>
      <x:c r="L160" s="2" t="str">
        <x:f>IF('Data &amp; Reporting'!K160="","",'Data &amp; Reporting'!K160)</x:f>
      </x:c>
      <x:c r="M160" s="2" t="n">
        <x:f>'Data &amp; Reporting'!Q160</x:f>
        <x:v>1</x:v>
      </x:c>
      <x:c r="N160" s="2" t="str">
        <x:f>'Data &amp; Reporting'!L160</x:f>
        <x:v>Not started</x:v>
      </x:c>
      <x:c r="O160" s="2" t="str">
        <x:f>'Data &amp; Reporting'!N160</x:f>
        <x:v>DR.PL.2.5.2026.CY1</x:v>
      </x:c>
      <x:c r="P160" s="2" t="n">
        <x:f>'Data &amp; Reporting'!O160</x:f>
        <x:v>0</x:v>
      </x:c>
      <x:c r="Q160" s="2" t="n">
        <x:f>SUBTOTAL(103,O160)</x:f>
        <x:v>1</x:v>
      </x:c>
      <x:c r="R160" s="2" t="n">
        <x:f>IF(AND(M160=1,OR(Dashboard!$B$7="All",Dashboard!$B$7='Cycles &amp; Guide'!$C$5),OR(Dashboard!$D$7="All",Dashboard!$D$7=B160),OR(Dashboard!$F$7="All",Dashboard!$F$7=C160),OR(Dashboard!$H$7="All",Dashboard!$H$7=D160),OR(Dashboard!$K$7="All",Dashboard!$K$7=E160)),1,0)</x:f>
        <x:v>1</x:v>
      </x:c>
      <x:c r="S160" s="2" t="n">
        <x:f>IF(R160=1,SUM($R$10:R160),0)</x:f>
        <x:v>73</x:v>
      </x:c>
      <x:c r="T160" s="2" t="str">
        <x:v>Data &amp; Reporting</x:v>
      </x:c>
      <x:c r="U160" s="2" t="n">
        <x:v>160</x:v>
      </x:c>
      <x:c r="V160" s="2" t="n">
        <x:f>IF(AND(M160=1,P160=0,ISNUMBER(J160),J160&lt;TODAY()),1,0)</x:f>
        <x:v>1</x:v>
      </x:c>
      <x:c r="W160" s="2" t="str">
        <x:f>'Data &amp; Reporting'!M160</x:f>
        <x:v>Task</x:v>
      </x:c>
    </x:row>
    <x:row r="161" ht="40" customHeight="1">
      <x:c r="A161" s="3" t="str">
        <x:f>HYPERLINK("#'Data &amp; Reporting'!A161","Open")</x:f>
        <x:v>Open</x:v>
      </x:c>
      <x:c r="B161" s="2" t="str">
        <x:f>'Data &amp; Reporting'!B161</x:f>
        <x:v>Cycle 1</x:v>
      </x:c>
      <x:c r="C161" s="2" t="str">
        <x:f>'Data &amp; Reporting'!C161</x:f>
        <x:v>Phase 2</x:v>
      </x:c>
      <x:c r="D161" s="2" t="str">
        <x:f>'Data &amp; Reporting'!D161</x:f>
        <x:v>PLL</x:v>
      </x:c>
      <x:c r="E161" s="2" t="str">
        <x:v>Data &amp; Reporting</x:v>
      </x:c>
      <x:c r="F161" s="56" t="str">
        <x:f>'Data &amp; Reporting'!E161</x:f>
        <x:v>DR.PL.2.6</x:v>
      </x:c>
      <x:c r="G161" s="14" t="str">
        <x:f>'Data &amp; Reporting'!F161</x:f>
        <x:v>Document clear distinctions between facts, assumptions, and hypotheses within the data package</x:v>
      </x:c>
      <x:c r="H161" s="2" t="str">
        <x:f>IF('Data &amp; Reporting'!G161="","",'Data &amp; Reporting'!G161)</x:f>
      </x:c>
      <x:c r="I161" s="12" t="str">
        <x:f>IF('Data &amp; Reporting'!H161="","",'Data &amp; Reporting'!H161)</x:f>
      </x:c>
      <x:c r="J161" s="12" t="n">
        <x:f>IF('Data &amp; Reporting'!I161="","",'Data &amp; Reporting'!I161)</x:f>
        <x:v>46112</x:v>
      </x:c>
      <x:c r="K161" s="12" t="str">
        <x:f>IF('Data &amp; Reporting'!J161="","",'Data &amp; Reporting'!J161)</x:f>
      </x:c>
      <x:c r="L161" s="2" t="str">
        <x:f>IF('Data &amp; Reporting'!K161="","",'Data &amp; Reporting'!K161)</x:f>
      </x:c>
      <x:c r="M161" s="2" t="n">
        <x:f>'Data &amp; Reporting'!Q161</x:f>
        <x:v>1</x:v>
      </x:c>
      <x:c r="N161" s="2" t="str">
        <x:f>'Data &amp; Reporting'!L161</x:f>
        <x:v>Not started</x:v>
      </x:c>
      <x:c r="O161" s="2" t="str">
        <x:f>'Data &amp; Reporting'!N161</x:f>
        <x:v>DR.PL.2.6.2026.CY1</x:v>
      </x:c>
      <x:c r="P161" s="2" t="n">
        <x:f>'Data &amp; Reporting'!O161</x:f>
        <x:v>0</x:v>
      </x:c>
      <x:c r="Q161" s="2" t="n">
        <x:f>SUBTOTAL(103,O161)</x:f>
        <x:v>1</x:v>
      </x:c>
      <x:c r="R161" s="2" t="n">
        <x:f>IF(AND(M161=1,OR(Dashboard!$B$7="All",Dashboard!$B$7='Cycles &amp; Guide'!$C$5),OR(Dashboard!$D$7="All",Dashboard!$D$7=B161),OR(Dashboard!$F$7="All",Dashboard!$F$7=C161),OR(Dashboard!$H$7="All",Dashboard!$H$7=D161),OR(Dashboard!$K$7="All",Dashboard!$K$7=E161)),1,0)</x:f>
        <x:v>1</x:v>
      </x:c>
      <x:c r="S161" s="2" t="n">
        <x:f>IF(R161=1,SUM($R$10:R161),0)</x:f>
        <x:v>74</x:v>
      </x:c>
      <x:c r="T161" s="2" t="str">
        <x:v>Data &amp; Reporting</x:v>
      </x:c>
      <x:c r="U161" s="2" t="n">
        <x:v>161</x:v>
      </x:c>
      <x:c r="V161" s="2" t="n">
        <x:f>IF(AND(M161=1,P161=0,ISNUMBER(J161),J161&lt;TODAY()),1,0)</x:f>
        <x:v>1</x:v>
      </x:c>
      <x:c r="W161" s="2" t="str">
        <x:f>'Data &amp; Reporting'!M161</x:f>
        <x:v>Task</x:v>
      </x:c>
    </x:row>
    <x:row r="162" ht="40" customHeight="1">
      <x:c r="A162" s="3" t="str">
        <x:f>HYPERLINK("#'Data &amp; Reporting'!A162","Open")</x:f>
        <x:v>Open</x:v>
      </x:c>
      <x:c r="B162" s="2" t="str">
        <x:f>'Data &amp; Reporting'!B162</x:f>
        <x:v>Cycle 1</x:v>
      </x:c>
      <x:c r="C162" s="2" t="str">
        <x:f>'Data &amp; Reporting'!C162</x:f>
        <x:v>Phase 3</x:v>
      </x:c>
      <x:c r="D162" s="2" t="str">
        <x:f>'Data &amp; Reporting'!D162</x:f>
        <x:v>PLL</x:v>
      </x:c>
      <x:c r="E162" s="2" t="str">
        <x:v>Data &amp; Reporting</x:v>
      </x:c>
      <x:c r="F162" s="56" t="str">
        <x:f>'Data &amp; Reporting'!E162</x:f>
        <x:v>DR.PL.3.1</x:v>
      </x:c>
      <x:c r="G162" s="14" t="str">
        <x:f>'Data &amp; Reporting'!F162</x:f>
        <x:v>Clearly document rationale for each topic recommendation within the SharePoint list item</x:v>
      </x:c>
      <x:c r="H162" s="2" t="str">
        <x:f>IF('Data &amp; Reporting'!G162="","",'Data &amp; Reporting'!G162)</x:f>
      </x:c>
      <x:c r="I162" s="12" t="str">
        <x:f>IF('Data &amp; Reporting'!H162="","",'Data &amp; Reporting'!H162)</x:f>
      </x:c>
      <x:c r="J162" s="12" t="n">
        <x:f>IF('Data &amp; Reporting'!I162="","",'Data &amp; Reporting'!I162)</x:f>
        <x:v>46112</x:v>
      </x:c>
      <x:c r="K162" s="12" t="str">
        <x:f>IF('Data &amp; Reporting'!J162="","",'Data &amp; Reporting'!J162)</x:f>
      </x:c>
      <x:c r="L162" s="2" t="str">
        <x:f>IF('Data &amp; Reporting'!K162="","",'Data &amp; Reporting'!K162)</x:f>
      </x:c>
      <x:c r="M162" s="2" t="n">
        <x:f>'Data &amp; Reporting'!Q162</x:f>
        <x:v>1</x:v>
      </x:c>
      <x:c r="N162" s="2" t="str">
        <x:f>'Data &amp; Reporting'!L162</x:f>
        <x:v>Not started</x:v>
      </x:c>
      <x:c r="O162" s="2" t="str">
        <x:f>'Data &amp; Reporting'!N162</x:f>
        <x:v>DR.PL.3.1.2026.CY1</x:v>
      </x:c>
      <x:c r="P162" s="2" t="n">
        <x:f>'Data &amp; Reporting'!O162</x:f>
        <x:v>0</x:v>
      </x:c>
      <x:c r="Q162" s="2" t="n">
        <x:f>SUBTOTAL(103,O162)</x:f>
        <x:v>1</x:v>
      </x:c>
      <x:c r="R162" s="2" t="n">
        <x:f>IF(AND(M162=1,OR(Dashboard!$B$7="All",Dashboard!$B$7='Cycles &amp; Guide'!$C$5),OR(Dashboard!$D$7="All",Dashboard!$D$7=B162),OR(Dashboard!$F$7="All",Dashboard!$F$7=C162),OR(Dashboard!$H$7="All",Dashboard!$H$7=D162),OR(Dashboard!$K$7="All",Dashboard!$K$7=E162)),1,0)</x:f>
        <x:v>1</x:v>
      </x:c>
      <x:c r="S162" s="2" t="n">
        <x:f>IF(R162=1,SUM($R$10:R162),0)</x:f>
        <x:v>75</x:v>
      </x:c>
      <x:c r="T162" s="2" t="str">
        <x:v>Data &amp; Reporting</x:v>
      </x:c>
      <x:c r="U162" s="2" t="n">
        <x:v>162</x:v>
      </x:c>
      <x:c r="V162" s="2" t="n">
        <x:f>IF(AND(M162=1,P162=0,ISNUMBER(J162),J162&lt;TODAY()),1,0)</x:f>
        <x:v>1</x:v>
      </x:c>
      <x:c r="W162" s="2" t="str">
        <x:f>'Data &amp; Reporting'!M162</x:f>
        <x:v>Task</x:v>
      </x:c>
    </x:row>
    <x:row r="163" ht="40" customHeight="1">
      <x:c r="A163" s="3" t="str">
        <x:f>HYPERLINK("#'Data &amp; Reporting'!A163","Open")</x:f>
        <x:v>Open</x:v>
      </x:c>
      <x:c r="B163" s="2" t="str">
        <x:f>'Data &amp; Reporting'!B163</x:f>
        <x:v>Cycle 1</x:v>
      </x:c>
      <x:c r="C163" s="2" t="str">
        <x:f>'Data &amp; Reporting'!C163</x:f>
        <x:v>Phase 3</x:v>
      </x:c>
      <x:c r="D163" s="2" t="str">
        <x:f>'Data &amp; Reporting'!D163</x:f>
        <x:v>PLL</x:v>
      </x:c>
      <x:c r="E163" s="2" t="str">
        <x:v>Data &amp; Reporting</x:v>
      </x:c>
      <x:c r="F163" s="56" t="str">
        <x:f>'Data &amp; Reporting'!E163</x:f>
        <x:v>DR.PL.3.2</x:v>
      </x:c>
      <x:c r="G163" s="14" t="str">
        <x:f>'Data &amp; Reporting'!F163</x:f>
        <x:v>Attach the data package for each topic recommendation within the SharePoint list item</x:v>
      </x:c>
      <x:c r="H163" s="2" t="str">
        <x:f>IF('Data &amp; Reporting'!G163="","",'Data &amp; Reporting'!G163)</x:f>
      </x:c>
      <x:c r="I163" s="12" t="str">
        <x:f>IF('Data &amp; Reporting'!H163="","",'Data &amp; Reporting'!H163)</x:f>
      </x:c>
      <x:c r="J163" s="12" t="n">
        <x:f>IF('Data &amp; Reporting'!I163="","",'Data &amp; Reporting'!I163)</x:f>
        <x:v>46112</x:v>
      </x:c>
      <x:c r="K163" s="12" t="str">
        <x:f>IF('Data &amp; Reporting'!J163="","",'Data &amp; Reporting'!J163)</x:f>
      </x:c>
      <x:c r="L163" s="2" t="str">
        <x:f>IF('Data &amp; Reporting'!K163="","",'Data &amp; Reporting'!K163)</x:f>
      </x:c>
      <x:c r="M163" s="2" t="n">
        <x:f>'Data &amp; Reporting'!Q163</x:f>
        <x:v>1</x:v>
      </x:c>
      <x:c r="N163" s="2" t="str">
        <x:f>'Data &amp; Reporting'!L163</x:f>
        <x:v>Not started</x:v>
      </x:c>
      <x:c r="O163" s="2" t="str">
        <x:f>'Data &amp; Reporting'!N163</x:f>
        <x:v>DR.PL.3.2.2026.CY1</x:v>
      </x:c>
      <x:c r="P163" s="2" t="n">
        <x:f>'Data &amp; Reporting'!O163</x:f>
        <x:v>0</x:v>
      </x:c>
      <x:c r="Q163" s="2" t="n">
        <x:f>SUBTOTAL(103,O163)</x:f>
        <x:v>1</x:v>
      </x:c>
      <x:c r="R163" s="2" t="n">
        <x:f>IF(AND(M163=1,OR(Dashboard!$B$7="All",Dashboard!$B$7='Cycles &amp; Guide'!$C$5),OR(Dashboard!$D$7="All",Dashboard!$D$7=B163),OR(Dashboard!$F$7="All",Dashboard!$F$7=C163),OR(Dashboard!$H$7="All",Dashboard!$H$7=D163),OR(Dashboard!$K$7="All",Dashboard!$K$7=E163)),1,0)</x:f>
        <x:v>1</x:v>
      </x:c>
      <x:c r="S163" s="2" t="n">
        <x:f>IF(R163=1,SUM($R$10:R163),0)</x:f>
        <x:v>76</x:v>
      </x:c>
      <x:c r="T163" s="2" t="str">
        <x:v>Data &amp; Reporting</x:v>
      </x:c>
      <x:c r="U163" s="2" t="n">
        <x:v>163</x:v>
      </x:c>
      <x:c r="V163" s="2" t="n">
        <x:f>IF(AND(M163=1,P163=0,ISNUMBER(J163),J163&lt;TODAY()),1,0)</x:f>
        <x:v>1</x:v>
      </x:c>
      <x:c r="W163" s="2" t="str">
        <x:f>'Data &amp; Reporting'!M163</x:f>
        <x:v>Task</x:v>
      </x:c>
    </x:row>
    <x:row r="164" ht="40" customHeight="1">
      <x:c r="A164" s="3" t="str">
        <x:f>HYPERLINK("#'Data &amp; Reporting'!A164","Open")</x:f>
        <x:v>Open</x:v>
      </x:c>
      <x:c r="B164" s="2" t="str">
        <x:f>'Data &amp; Reporting'!B164</x:f>
        <x:v>Cycle 1</x:v>
      </x:c>
      <x:c r="C164" s="2" t="str">
        <x:f>'Data &amp; Reporting'!C164</x:f>
        <x:v>Phase 3</x:v>
      </x:c>
      <x:c r="D164" s="2" t="str">
        <x:f>'Data &amp; Reporting'!D164</x:f>
        <x:v>PLL</x:v>
      </x:c>
      <x:c r="E164" s="2" t="str">
        <x:v>Data &amp; Reporting</x:v>
      </x:c>
      <x:c r="F164" s="56" t="str">
        <x:f>'Data &amp; Reporting'!E164</x:f>
        <x:v>DR.PL.3.3</x:v>
      </x:c>
      <x:c r="G164" s="14" t="str">
        <x:f>'Data &amp; Reporting'!F164</x:f>
        <x:v>Confirm data privileges have been granted, ensuring each pillar can access</x:v>
      </x:c>
      <x:c r="H164" s="2" t="str">
        <x:f>IF('Data &amp; Reporting'!G164="","",'Data &amp; Reporting'!G164)</x:f>
      </x:c>
      <x:c r="I164" s="12" t="str">
        <x:f>IF('Data &amp; Reporting'!H164="","",'Data &amp; Reporting'!H164)</x:f>
      </x:c>
      <x:c r="J164" s="12" t="n">
        <x:f>IF('Data &amp; Reporting'!I164="","",'Data &amp; Reporting'!I164)</x:f>
        <x:v>46112</x:v>
      </x:c>
      <x:c r="K164" s="12" t="str">
        <x:f>IF('Data &amp; Reporting'!J164="","",'Data &amp; Reporting'!J164)</x:f>
      </x:c>
      <x:c r="L164" s="2" t="str">
        <x:f>IF('Data &amp; Reporting'!K164="","",'Data &amp; Reporting'!K164)</x:f>
      </x:c>
      <x:c r="M164" s="2" t="n">
        <x:f>'Data &amp; Reporting'!Q164</x:f>
        <x:v>1</x:v>
      </x:c>
      <x:c r="N164" s="2" t="str">
        <x:f>'Data &amp; Reporting'!L164</x:f>
        <x:v>Not started</x:v>
      </x:c>
      <x:c r="O164" s="2" t="str">
        <x:f>'Data &amp; Reporting'!N164</x:f>
        <x:v>DR.PL.3.3.2026.CY1</x:v>
      </x:c>
      <x:c r="P164" s="2" t="n">
        <x:f>'Data &amp; Reporting'!O164</x:f>
        <x:v>0</x:v>
      </x:c>
      <x:c r="Q164" s="2" t="n">
        <x:f>SUBTOTAL(103,O164)</x:f>
        <x:v>1</x:v>
      </x:c>
      <x:c r="R164" s="2" t="n">
        <x:f>IF(AND(M164=1,OR(Dashboard!$B$7="All",Dashboard!$B$7='Cycles &amp; Guide'!$C$5),OR(Dashboard!$D$7="All",Dashboard!$D$7=B164),OR(Dashboard!$F$7="All",Dashboard!$F$7=C164),OR(Dashboard!$H$7="All",Dashboard!$H$7=D164),OR(Dashboard!$K$7="All",Dashboard!$K$7=E164)),1,0)</x:f>
        <x:v>1</x:v>
      </x:c>
      <x:c r="S164" s="2" t="n">
        <x:f>IF(R164=1,SUM($R$10:R164),0)</x:f>
        <x:v>77</x:v>
      </x:c>
      <x:c r="T164" s="2" t="str">
        <x:v>Data &amp; Reporting</x:v>
      </x:c>
      <x:c r="U164" s="2" t="n">
        <x:v>164</x:v>
      </x:c>
      <x:c r="V164" s="2" t="n">
        <x:f>IF(AND(M164=1,P164=0,ISNUMBER(J164),J164&lt;TODAY()),1,0)</x:f>
        <x:v>1</x:v>
      </x:c>
      <x:c r="W164" s="2" t="str">
        <x:f>'Data &amp; Reporting'!M164</x:f>
        <x:v>Task</x:v>
      </x:c>
    </x:row>
    <x:row r="165" ht="40" customHeight="1">
      <x:c r="A165" s="3" t="str">
        <x:f>HYPERLINK("#'Data &amp; Reporting'!A165","Open")</x:f>
        <x:v>Open</x:v>
      </x:c>
      <x:c r="B165" s="2" t="str">
        <x:f>'Data &amp; Reporting'!B165</x:f>
        <x:v>Cycle 1</x:v>
      </x:c>
      <x:c r="C165" s="2" t="str">
        <x:f>'Data &amp; Reporting'!C165</x:f>
        <x:v>Phase 3</x:v>
      </x:c>
      <x:c r="D165" s="2" t="str">
        <x:f>'Data &amp; Reporting'!D165</x:f>
        <x:v>PLL</x:v>
      </x:c>
      <x:c r="E165" s="2" t="str">
        <x:v>Data &amp; Reporting</x:v>
      </x:c>
      <x:c r="F165" s="56" t="str">
        <x:f>'Data &amp; Reporting'!E165</x:f>
        <x:v>DR.PL.3.4</x:v>
      </x:c>
      <x:c r="G165" s="14" t="str">
        <x:f>'Data &amp; Reporting'!F165</x:f>
        <x:v>Ensure Power Automate notifications were correctly triggered within Microsoft Teams</x:v>
      </x:c>
      <x:c r="H165" s="2" t="str">
        <x:f>IF('Data &amp; Reporting'!G165="","",'Data &amp; Reporting'!G165)</x:f>
      </x:c>
      <x:c r="I165" s="12" t="str">
        <x:f>IF('Data &amp; Reporting'!H165="","",'Data &amp; Reporting'!H165)</x:f>
      </x:c>
      <x:c r="J165" s="12" t="n">
        <x:f>IF('Data &amp; Reporting'!I165="","",'Data &amp; Reporting'!I165)</x:f>
        <x:v>46112</x:v>
      </x:c>
      <x:c r="K165" s="12" t="str">
        <x:f>IF('Data &amp; Reporting'!J165="","",'Data &amp; Reporting'!J165)</x:f>
      </x:c>
      <x:c r="L165" s="2" t="str">
        <x:f>IF('Data &amp; Reporting'!K165="","",'Data &amp; Reporting'!K165)</x:f>
      </x:c>
      <x:c r="M165" s="2" t="n">
        <x:f>'Data &amp; Reporting'!Q165</x:f>
        <x:v>1</x:v>
      </x:c>
      <x:c r="N165" s="2" t="str">
        <x:f>'Data &amp; Reporting'!L165</x:f>
        <x:v>Not started</x:v>
      </x:c>
      <x:c r="O165" s="2" t="str">
        <x:f>'Data &amp; Reporting'!N165</x:f>
        <x:v>DR.PL.3.4.2026.CY1</x:v>
      </x:c>
      <x:c r="P165" s="2" t="n">
        <x:f>'Data &amp; Reporting'!O165</x:f>
        <x:v>0</x:v>
      </x:c>
      <x:c r="Q165" s="2" t="n">
        <x:f>SUBTOTAL(103,O165)</x:f>
        <x:v>1</x:v>
      </x:c>
      <x:c r="R165" s="2" t="n">
        <x:f>IF(AND(M165=1,OR(Dashboard!$B$7="All",Dashboard!$B$7='Cycles &amp; Guide'!$C$5),OR(Dashboard!$D$7="All",Dashboard!$D$7=B165),OR(Dashboard!$F$7="All",Dashboard!$F$7=C165),OR(Dashboard!$H$7="All",Dashboard!$H$7=D165),OR(Dashboard!$K$7="All",Dashboard!$K$7=E165)),1,0)</x:f>
        <x:v>1</x:v>
      </x:c>
      <x:c r="S165" s="2" t="n">
        <x:f>IF(R165=1,SUM($R$10:R165),0)</x:f>
        <x:v>78</x:v>
      </x:c>
      <x:c r="T165" s="2" t="str">
        <x:v>Data &amp; Reporting</x:v>
      </x:c>
      <x:c r="U165" s="2" t="n">
        <x:v>165</x:v>
      </x:c>
      <x:c r="V165" s="2" t="n">
        <x:f>IF(AND(M165=1,P165=0,ISNUMBER(J165),J165&lt;TODAY()),1,0)</x:f>
        <x:v>1</x:v>
      </x:c>
      <x:c r="W165" s="2" t="str">
        <x:f>'Data &amp; Reporting'!M165</x:f>
        <x:v>Task</x:v>
      </x:c>
    </x:row>
    <x:row r="166" ht="40" customHeight="1">
      <x:c r="A166" s="3" t="str">
        <x:f>HYPERLINK("#'Data &amp; Reporting'!A166","Open")</x:f>
        <x:v>Open</x:v>
      </x:c>
      <x:c r="B166" s="2" t="str">
        <x:f>'Data &amp; Reporting'!B166</x:f>
        <x:v>Cycle 1</x:v>
      </x:c>
      <x:c r="C166" s="2" t="str">
        <x:f>'Data &amp; Reporting'!C166</x:f>
        <x:v>Phase 1</x:v>
      </x:c>
      <x:c r="D166" s="2" t="str">
        <x:f>'Data &amp; Reporting'!D166</x:f>
        <x:v>Retail Services</x:v>
      </x:c>
      <x:c r="E166" s="2" t="str">
        <x:v>Data &amp; Reporting</x:v>
      </x:c>
      <x:c r="F166" s="56" t="str">
        <x:f>'Data &amp; Reporting'!E166</x:f>
        <x:v>DR.RS.1.1</x:v>
      </x:c>
      <x:c r="G166" s="14" t="str">
        <x:f>'Data &amp; Reporting'!F166</x:f>
        <x:v>Review data sources 3 weeks prior to Cycle start (Complaints, Gen AI, Loudspeaker, NPS, etc.)</x:v>
      </x:c>
      <x:c r="H166" s="2" t="str">
        <x:f>IF('Data &amp; Reporting'!G166="","",'Data &amp; Reporting'!G166)</x:f>
      </x:c>
      <x:c r="I166" s="12" t="str">
        <x:f>IF('Data &amp; Reporting'!H166="","",'Data &amp; Reporting'!H166)</x:f>
      </x:c>
      <x:c r="J166" s="12" t="n">
        <x:f>IF('Data &amp; Reporting'!I166="","",'Data &amp; Reporting'!I166)</x:f>
        <x:v>46002</x:v>
      </x:c>
      <x:c r="K166" s="12" t="str">
        <x:f>IF('Data &amp; Reporting'!J166="","",'Data &amp; Reporting'!J166)</x:f>
      </x:c>
      <x:c r="L166" s="2" t="str">
        <x:f>IF('Data &amp; Reporting'!K166="","",'Data &amp; Reporting'!K166)</x:f>
      </x:c>
      <x:c r="M166" s="2" t="n">
        <x:f>'Data &amp; Reporting'!Q166</x:f>
        <x:v>1</x:v>
      </x:c>
      <x:c r="N166" s="2" t="str">
        <x:f>'Data &amp; Reporting'!L166</x:f>
        <x:v>Not started</x:v>
      </x:c>
      <x:c r="O166" s="2" t="str">
        <x:f>'Data &amp; Reporting'!N166</x:f>
        <x:v>DR.RS.1.1.2026.CY1</x:v>
      </x:c>
      <x:c r="P166" s="2" t="n">
        <x:f>'Data &amp; Reporting'!O166</x:f>
        <x:v>0</x:v>
      </x:c>
      <x:c r="Q166" s="2" t="n">
        <x:f>SUBTOTAL(103,O166)</x:f>
        <x:v>1</x:v>
      </x:c>
      <x:c r="R166" s="2" t="n">
        <x:f>IF(AND(M166=1,OR(Dashboard!$B$7="All",Dashboard!$B$7='Cycles &amp; Guide'!$C$5),OR(Dashboard!$D$7="All",Dashboard!$D$7=B166),OR(Dashboard!$F$7="All",Dashboard!$F$7=C166),OR(Dashboard!$H$7="All",Dashboard!$H$7=D166),OR(Dashboard!$K$7="All",Dashboard!$K$7=E166)),1,0)</x:f>
        <x:v>1</x:v>
      </x:c>
      <x:c r="S166" s="2" t="n">
        <x:f>IF(R166=1,SUM($R$10:R166),0)</x:f>
        <x:v>79</x:v>
      </x:c>
      <x:c r="T166" s="2" t="str">
        <x:v>Data &amp; Reporting</x:v>
      </x:c>
      <x:c r="U166" s="2" t="n">
        <x:v>166</x:v>
      </x:c>
      <x:c r="V166" s="2" t="n">
        <x:f>IF(AND(M166=1,P166=0,ISNUMBER(J166),J166&lt;TODAY()),1,0)</x:f>
        <x:v>1</x:v>
      </x:c>
      <x:c r="W166" s="2" t="str">
        <x:f>'Data &amp; Reporting'!M166</x:f>
        <x:v>Task</x:v>
      </x:c>
    </x:row>
    <x:row r="167" ht="40" customHeight="1">
      <x:c r="A167" s="3" t="str">
        <x:f>HYPERLINK("#'Data &amp; Reporting'!A167","Open")</x:f>
        <x:v>Open</x:v>
      </x:c>
      <x:c r="B167" s="2" t="str">
        <x:f>'Data &amp; Reporting'!B167</x:f>
        <x:v>Cycle 1</x:v>
      </x:c>
      <x:c r="C167" s="2" t="str">
        <x:f>'Data &amp; Reporting'!C167</x:f>
        <x:v>Phase 1</x:v>
      </x:c>
      <x:c r="D167" s="2" t="str">
        <x:f>'Data &amp; Reporting'!D167</x:f>
        <x:v>Retail Services</x:v>
      </x:c>
      <x:c r="E167" s="2" t="str">
        <x:v>Data &amp; Reporting</x:v>
      </x:c>
      <x:c r="F167" s="56" t="str">
        <x:f>'Data &amp; Reporting'!E167</x:f>
        <x:v>DR.RS.1.2</x:v>
      </x:c>
      <x:c r="G167" s="14" t="str">
        <x:f>'Data &amp; Reporting'!F167</x:f>
        <x:v>Identify two potential topics for the upcoming Cycle</x:v>
      </x:c>
      <x:c r="H167" s="2" t="str">
        <x:f>IF('Data &amp; Reporting'!G167="","",'Data &amp; Reporting'!G167)</x:f>
      </x:c>
      <x:c r="I167" s="12" t="str">
        <x:f>IF('Data &amp; Reporting'!H167="","",'Data &amp; Reporting'!H167)</x:f>
      </x:c>
      <x:c r="J167" s="12" t="n">
        <x:f>IF('Data &amp; Reporting'!I167="","",'Data &amp; Reporting'!I167)</x:f>
        <x:v>46112</x:v>
      </x:c>
      <x:c r="K167" s="12" t="str">
        <x:f>IF('Data &amp; Reporting'!J167="","",'Data &amp; Reporting'!J167)</x:f>
      </x:c>
      <x:c r="L167" s="2" t="str">
        <x:f>IF('Data &amp; Reporting'!K167="","",'Data &amp; Reporting'!K167)</x:f>
      </x:c>
      <x:c r="M167" s="2" t="n">
        <x:f>'Data &amp; Reporting'!Q167</x:f>
        <x:v>1</x:v>
      </x:c>
      <x:c r="N167" s="2" t="str">
        <x:f>'Data &amp; Reporting'!L167</x:f>
        <x:v>Not started</x:v>
      </x:c>
      <x:c r="O167" s="2" t="str">
        <x:f>'Data &amp; Reporting'!N167</x:f>
        <x:v>DR.RS.1.2.2026.CY1</x:v>
      </x:c>
      <x:c r="P167" s="2" t="n">
        <x:f>'Data &amp; Reporting'!O167</x:f>
        <x:v>0</x:v>
      </x:c>
      <x:c r="Q167" s="2" t="n">
        <x:f>SUBTOTAL(103,O167)</x:f>
        <x:v>1</x:v>
      </x:c>
      <x:c r="R167" s="2" t="n">
        <x:f>IF(AND(M167=1,OR(Dashboard!$B$7="All",Dashboard!$B$7='Cycles &amp; Guide'!$C$5),OR(Dashboard!$D$7="All",Dashboard!$D$7=B167),OR(Dashboard!$F$7="All",Dashboard!$F$7=C167),OR(Dashboard!$H$7="All",Dashboard!$H$7=D167),OR(Dashboard!$K$7="All",Dashboard!$K$7=E167)),1,0)</x:f>
        <x:v>1</x:v>
      </x:c>
      <x:c r="S167" s="2" t="n">
        <x:f>IF(R167=1,SUM($R$10:R167),0)</x:f>
        <x:v>80</x:v>
      </x:c>
      <x:c r="T167" s="2" t="str">
        <x:v>Data &amp; Reporting</x:v>
      </x:c>
      <x:c r="U167" s="2" t="n">
        <x:v>167</x:v>
      </x:c>
      <x:c r="V167" s="2" t="n">
        <x:f>IF(AND(M167=1,P167=0,ISNUMBER(J167),J167&lt;TODAY()),1,0)</x:f>
        <x:v>1</x:v>
      </x:c>
      <x:c r="W167" s="2" t="str">
        <x:f>'Data &amp; Reporting'!M167</x:f>
        <x:v>Task</x:v>
      </x:c>
    </x:row>
    <x:row r="168" ht="40" customHeight="1">
      <x:c r="A168" s="3" t="str">
        <x:f>HYPERLINK("#'Data &amp; Reporting'!A168","Open")</x:f>
        <x:v>Open</x:v>
      </x:c>
      <x:c r="B168" s="2" t="str">
        <x:f>'Data &amp; Reporting'!B168</x:f>
        <x:v>Cycle 1</x:v>
      </x:c>
      <x:c r="C168" s="2" t="str">
        <x:f>'Data &amp; Reporting'!C168</x:f>
        <x:v>Phase 1</x:v>
      </x:c>
      <x:c r="D168" s="2" t="str">
        <x:f>'Data &amp; Reporting'!D168</x:f>
        <x:v>Retail Services</x:v>
      </x:c>
      <x:c r="E168" s="2" t="str">
        <x:v>Data &amp; Reporting</x:v>
      </x:c>
      <x:c r="F168" s="56" t="str">
        <x:f>'Data &amp; Reporting'!E168</x:f>
        <x:v>DR.RS.1.3</x:v>
      </x:c>
      <x:c r="G168" s="14" t="str">
        <x:f>'Data &amp; Reporting'!F168</x:f>
        <x:v>Extract data for both potential topics, ensuring all checklist items below are included/completed</x:v>
      </x:c>
      <x:c r="H168" s="2" t="str">
        <x:f>IF('Data &amp; Reporting'!G168="","",'Data &amp; Reporting'!G168)</x:f>
      </x:c>
      <x:c r="I168" s="12" t="str">
        <x:f>IF('Data &amp; Reporting'!H168="","",'Data &amp; Reporting'!H168)</x:f>
      </x:c>
      <x:c r="J168" s="12" t="n">
        <x:f>IF('Data &amp; Reporting'!I168="","",'Data &amp; Reporting'!I168)</x:f>
        <x:v>46112</x:v>
      </x:c>
      <x:c r="K168" s="12" t="str">
        <x:f>IF('Data &amp; Reporting'!J168="","",'Data &amp; Reporting'!J168)</x:f>
      </x:c>
      <x:c r="L168" s="2" t="str">
        <x:f>IF('Data &amp; Reporting'!K168="","",'Data &amp; Reporting'!K168)</x:f>
      </x:c>
      <x:c r="M168" s="2" t="n">
        <x:f>'Data &amp; Reporting'!Q168</x:f>
        <x:v>1</x:v>
      </x:c>
      <x:c r="N168" s="2" t="str">
        <x:f>'Data &amp; Reporting'!L168</x:f>
        <x:v>Not started</x:v>
      </x:c>
      <x:c r="O168" s="2" t="str">
        <x:f>'Data &amp; Reporting'!N168</x:f>
        <x:v>DR.RS.1.3.2026.CY1</x:v>
      </x:c>
      <x:c r="P168" s="2" t="n">
        <x:f>'Data &amp; Reporting'!O168</x:f>
        <x:v>0</x:v>
      </x:c>
      <x:c r="Q168" s="2" t="n">
        <x:f>SUBTOTAL(103,O168)</x:f>
        <x:v>1</x:v>
      </x:c>
      <x:c r="R168" s="2" t="n">
        <x:f>IF(AND(M168=1,OR(Dashboard!$B$7="All",Dashboard!$B$7='Cycles &amp; Guide'!$C$5),OR(Dashboard!$D$7="All",Dashboard!$D$7=B168),OR(Dashboard!$F$7="All",Dashboard!$F$7=C168),OR(Dashboard!$H$7="All",Dashboard!$H$7=D168),OR(Dashboard!$K$7="All",Dashboard!$K$7=E168)),1,0)</x:f>
        <x:v>1</x:v>
      </x:c>
      <x:c r="S168" s="2" t="n">
        <x:f>IF(R168=1,SUM($R$10:R168),0)</x:f>
        <x:v>81</x:v>
      </x:c>
      <x:c r="T168" s="2" t="str">
        <x:v>Data &amp; Reporting</x:v>
      </x:c>
      <x:c r="U168" s="2" t="n">
        <x:v>168</x:v>
      </x:c>
      <x:c r="V168" s="2" t="n">
        <x:f>IF(AND(M168=1,P168=0,ISNUMBER(J168),J168&lt;TODAY()),1,0)</x:f>
        <x:v>1</x:v>
      </x:c>
      <x:c r="W168" s="2" t="str">
        <x:f>'Data &amp; Reporting'!M168</x:f>
        <x:v>Task</x:v>
      </x:c>
    </x:row>
    <x:row r="169" ht="40" customHeight="1">
      <x:c r="A169" s="3" t="str">
        <x:f>HYPERLINK("#'Data &amp; Reporting'!A169","Open")</x:f>
        <x:v>Open</x:v>
      </x:c>
      <x:c r="B169" s="2" t="str">
        <x:f>'Data &amp; Reporting'!B169</x:f>
        <x:v>Cycle 1</x:v>
      </x:c>
      <x:c r="C169" s="2" t="str">
        <x:f>'Data &amp; Reporting'!C169</x:f>
        <x:v>Phase 1</x:v>
      </x:c>
      <x:c r="D169" s="2" t="str">
        <x:f>'Data &amp; Reporting'!D169</x:f>
        <x:v>Retail Services</x:v>
      </x:c>
      <x:c r="E169" s="2" t="str">
        <x:v>Data &amp; Reporting</x:v>
      </x:c>
      <x:c r="F169" s="56" t="str">
        <x:f>'Data &amp; Reporting'!E169</x:f>
        <x:v>DR.RS.1.3.C01</x:v>
      </x:c>
      <x:c r="G169" s="14" t="str">
        <x:f>'Data &amp; Reporting'!F169</x:f>
        <x:v>    Document date range extracted</x:v>
      </x:c>
      <x:c r="H169" s="2" t="str">
        <x:f>IF('Data &amp; Reporting'!G169="","",'Data &amp; Reporting'!G169)</x:f>
      </x:c>
      <x:c r="I169" s="12" t="str">
        <x:f>IF('Data &amp; Reporting'!H169="","",'Data &amp; Reporting'!H169)</x:f>
      </x:c>
      <x:c r="J169" s="12" t="str">
        <x:f>IF('Data &amp; Reporting'!I169="","",'Data &amp; Reporting'!I169)</x:f>
      </x:c>
      <x:c r="K169" s="12" t="str">
        <x:f>IF('Data &amp; Reporting'!J169="","",'Data &amp; Reporting'!J169)</x:f>
      </x:c>
      <x:c r="L169" s="2" t="str">
        <x:f>IF('Data &amp; Reporting'!K169="","",'Data &amp; Reporting'!K169)</x:f>
      </x:c>
      <x:c r="M169" s="2" t="n">
        <x:f>'Data &amp; Reporting'!Q169</x:f>
        <x:v>0</x:v>
      </x:c>
      <x:c r="N169" s="2" t="str">
        <x:f>'Data &amp; Reporting'!L169</x:f>
        <x:v>Open check</x:v>
      </x:c>
      <x:c r="O169" s="2" t="str">
        <x:f>'Data &amp; Reporting'!N169</x:f>
        <x:v>DR.RS.1.3.C01.2026.CY1</x:v>
      </x:c>
      <x:c r="P169" s="2" t="n">
        <x:f>'Data &amp; Reporting'!O169</x:f>
        <x:v>0</x:v>
      </x:c>
      <x:c r="Q169" s="2" t="n">
        <x:f>SUBTOTAL(103,O169)</x:f>
        <x:v>1</x:v>
      </x:c>
      <x:c r="R169" s="2" t="n">
        <x:f>IF(AND(M169=1,OR(Dashboard!$B$7="All",Dashboard!$B$7='Cycles &amp; Guide'!$C$5),OR(Dashboard!$D$7="All",Dashboard!$D$7=B169),OR(Dashboard!$F$7="All",Dashboard!$F$7=C169),OR(Dashboard!$H$7="All",Dashboard!$H$7=D169),OR(Dashboard!$K$7="All",Dashboard!$K$7=E169)),1,0)</x:f>
        <x:v>0</x:v>
      </x:c>
      <x:c r="S169" s="2" t="n">
        <x:f>IF(R169=1,SUM($R$10:R169),0)</x:f>
        <x:v>0</x:v>
      </x:c>
      <x:c r="T169" s="2" t="str">
        <x:v>Data &amp; Reporting</x:v>
      </x:c>
      <x:c r="U169" s="2" t="n">
        <x:v>169</x:v>
      </x:c>
      <x:c r="V169" s="2" t="n">
        <x:f>IF(AND(M169=1,P169=0,ISNUMBER(J169),J169&lt;TODAY()),1,0)</x:f>
        <x:v>0</x:v>
      </x:c>
      <x:c r="W169" s="2" t="str">
        <x:f>'Data &amp; Reporting'!M169</x:f>
        <x:v>Checklist</x:v>
      </x:c>
    </x:row>
    <x:row r="170" ht="40" customHeight="1">
      <x:c r="A170" s="3" t="str">
        <x:f>HYPERLINK("#'Data &amp; Reporting'!A170","Open")</x:f>
        <x:v>Open</x:v>
      </x:c>
      <x:c r="B170" s="2" t="str">
        <x:f>'Data &amp; Reporting'!B170</x:f>
        <x:v>Cycle 1</x:v>
      </x:c>
      <x:c r="C170" s="2" t="str">
        <x:f>'Data &amp; Reporting'!C170</x:f>
        <x:v>Phase 1</x:v>
      </x:c>
      <x:c r="D170" s="2" t="str">
        <x:f>'Data &amp; Reporting'!D170</x:f>
        <x:v>Retail Services</x:v>
      </x:c>
      <x:c r="E170" s="2" t="str">
        <x:v>Data &amp; Reporting</x:v>
      </x:c>
      <x:c r="F170" s="56" t="str">
        <x:f>'Data &amp; Reporting'!E170</x:f>
        <x:v>DR.RS.1.3.C02</x:v>
      </x:c>
      <x:c r="G170" s="14" t="str">
        <x:f>'Data &amp; Reporting'!F170</x:f>
        <x:v>    Document date of data pull</x:v>
      </x:c>
      <x:c r="H170" s="2" t="str">
        <x:f>IF('Data &amp; Reporting'!G170="","",'Data &amp; Reporting'!G170)</x:f>
      </x:c>
      <x:c r="I170" s="12" t="str">
        <x:f>IF('Data &amp; Reporting'!H170="","",'Data &amp; Reporting'!H170)</x:f>
      </x:c>
      <x:c r="J170" s="12" t="str">
        <x:f>IF('Data &amp; Reporting'!I170="","",'Data &amp; Reporting'!I170)</x:f>
      </x:c>
      <x:c r="K170" s="12" t="str">
        <x:f>IF('Data &amp; Reporting'!J170="","",'Data &amp; Reporting'!J170)</x:f>
      </x:c>
      <x:c r="L170" s="2" t="str">
        <x:f>IF('Data &amp; Reporting'!K170="","",'Data &amp; Reporting'!K170)</x:f>
      </x:c>
      <x:c r="M170" s="2" t="n">
        <x:f>'Data &amp; Reporting'!Q170</x:f>
        <x:v>0</x:v>
      </x:c>
      <x:c r="N170" s="2" t="str">
        <x:f>'Data &amp; Reporting'!L170</x:f>
        <x:v>Open check</x:v>
      </x:c>
      <x:c r="O170" s="2" t="str">
        <x:f>'Data &amp; Reporting'!N170</x:f>
        <x:v>DR.RS.1.3.C02.2026.CY1</x:v>
      </x:c>
      <x:c r="P170" s="2" t="n">
        <x:f>'Data &amp; Reporting'!O170</x:f>
        <x:v>0</x:v>
      </x:c>
      <x:c r="Q170" s="2" t="n">
        <x:f>SUBTOTAL(103,O170)</x:f>
        <x:v>1</x:v>
      </x:c>
      <x:c r="R170" s="2" t="n">
        <x:f>IF(AND(M170=1,OR(Dashboard!$B$7="All",Dashboard!$B$7='Cycles &amp; Guide'!$C$5),OR(Dashboard!$D$7="All",Dashboard!$D$7=B170),OR(Dashboard!$F$7="All",Dashboard!$F$7=C170),OR(Dashboard!$H$7="All",Dashboard!$H$7=D170),OR(Dashboard!$K$7="All",Dashboard!$K$7=E170)),1,0)</x:f>
        <x:v>0</x:v>
      </x:c>
      <x:c r="S170" s="2" t="n">
        <x:f>IF(R170=1,SUM($R$10:R170),0)</x:f>
        <x:v>0</x:v>
      </x:c>
      <x:c r="T170" s="2" t="str">
        <x:v>Data &amp; Reporting</x:v>
      </x:c>
      <x:c r="U170" s="2" t="n">
        <x:v>170</x:v>
      </x:c>
      <x:c r="V170" s="2" t="n">
        <x:f>IF(AND(M170=1,P170=0,ISNUMBER(J170),J170&lt;TODAY()),1,0)</x:f>
        <x:v>0</x:v>
      </x:c>
      <x:c r="W170" s="2" t="str">
        <x:f>'Data &amp; Reporting'!M170</x:f>
        <x:v>Checklist</x:v>
      </x:c>
    </x:row>
    <x:row r="171" ht="40" customHeight="1">
      <x:c r="A171" s="3" t="str">
        <x:f>HYPERLINK("#'Data &amp; Reporting'!A171","Open")</x:f>
        <x:v>Open</x:v>
      </x:c>
      <x:c r="B171" s="2" t="str">
        <x:f>'Data &amp; Reporting'!B171</x:f>
        <x:v>Cycle 1</x:v>
      </x:c>
      <x:c r="C171" s="2" t="str">
        <x:f>'Data &amp; Reporting'!C171</x:f>
        <x:v>Phase 1</x:v>
      </x:c>
      <x:c r="D171" s="2" t="str">
        <x:f>'Data &amp; Reporting'!D171</x:f>
        <x:v>Retail Services</x:v>
      </x:c>
      <x:c r="E171" s="2" t="str">
        <x:v>Data &amp; Reporting</x:v>
      </x:c>
      <x:c r="F171" s="56" t="str">
        <x:f>'Data &amp; Reporting'!E171</x:f>
        <x:v>DR.RS.1.3.C03</x:v>
      </x:c>
      <x:c r="G171" s="14" t="str">
        <x:f>'Data &amp; Reporting'!F171</x:f>
        <x:v>    Document population details</x:v>
      </x:c>
      <x:c r="H171" s="2" t="str">
        <x:f>IF('Data &amp; Reporting'!G171="","",'Data &amp; Reporting'!G171)</x:f>
      </x:c>
      <x:c r="I171" s="12" t="str">
        <x:f>IF('Data &amp; Reporting'!H171="","",'Data &amp; Reporting'!H171)</x:f>
      </x:c>
      <x:c r="J171" s="12" t="str">
        <x:f>IF('Data &amp; Reporting'!I171="","",'Data &amp; Reporting'!I171)</x:f>
      </x:c>
      <x:c r="K171" s="12" t="str">
        <x:f>IF('Data &amp; Reporting'!J171="","",'Data &amp; Reporting'!J171)</x:f>
      </x:c>
      <x:c r="L171" s="2" t="str">
        <x:f>IF('Data &amp; Reporting'!K171="","",'Data &amp; Reporting'!K171)</x:f>
      </x:c>
      <x:c r="M171" s="2" t="n">
        <x:f>'Data &amp; Reporting'!Q171</x:f>
        <x:v>0</x:v>
      </x:c>
      <x:c r="N171" s="2" t="str">
        <x:f>'Data &amp; Reporting'!L171</x:f>
        <x:v>Open check</x:v>
      </x:c>
      <x:c r="O171" s="2" t="str">
        <x:f>'Data &amp; Reporting'!N171</x:f>
        <x:v>DR.RS.1.3.C03.2026.CY1</x:v>
      </x:c>
      <x:c r="P171" s="2" t="n">
        <x:f>'Data &amp; Reporting'!O171</x:f>
        <x:v>0</x:v>
      </x:c>
      <x:c r="Q171" s="2" t="n">
        <x:f>SUBTOTAL(103,O171)</x:f>
        <x:v>1</x:v>
      </x:c>
      <x:c r="R171" s="2" t="n">
        <x:f>IF(AND(M171=1,OR(Dashboard!$B$7="All",Dashboard!$B$7='Cycles &amp; Guide'!$C$5),OR(Dashboard!$D$7="All",Dashboard!$D$7=B171),OR(Dashboard!$F$7="All",Dashboard!$F$7=C171),OR(Dashboard!$H$7="All",Dashboard!$H$7=D171),OR(Dashboard!$K$7="All",Dashboard!$K$7=E171)),1,0)</x:f>
        <x:v>0</x:v>
      </x:c>
      <x:c r="S171" s="2" t="n">
        <x:f>IF(R171=1,SUM($R$10:R171),0)</x:f>
        <x:v>0</x:v>
      </x:c>
      <x:c r="T171" s="2" t="str">
        <x:v>Data &amp; Reporting</x:v>
      </x:c>
      <x:c r="U171" s="2" t="n">
        <x:v>171</x:v>
      </x:c>
      <x:c r="V171" s="2" t="n">
        <x:f>IF(AND(M171=1,P171=0,ISNUMBER(J171),J171&lt;TODAY()),1,0)</x:f>
        <x:v>0</x:v>
      </x:c>
      <x:c r="W171" s="2" t="str">
        <x:f>'Data &amp; Reporting'!M171</x:f>
        <x:v>Checklist</x:v>
      </x:c>
    </x:row>
    <x:row r="172" ht="40" customHeight="1">
      <x:c r="A172" s="3" t="str">
        <x:f>HYPERLINK("#'Data &amp; Reporting'!A172","Open")</x:f>
        <x:v>Open</x:v>
      </x:c>
      <x:c r="B172" s="2" t="str">
        <x:f>'Data &amp; Reporting'!B172</x:f>
        <x:v>Cycle 1</x:v>
      </x:c>
      <x:c r="C172" s="2" t="str">
        <x:f>'Data &amp; Reporting'!C172</x:f>
        <x:v>Phase 1</x:v>
      </x:c>
      <x:c r="D172" s="2" t="str">
        <x:f>'Data &amp; Reporting'!D172</x:f>
        <x:v>Retail Services</x:v>
      </x:c>
      <x:c r="E172" s="2" t="str">
        <x:v>Data &amp; Reporting</x:v>
      </x:c>
      <x:c r="F172" s="56" t="str">
        <x:f>'Data &amp; Reporting'!E172</x:f>
        <x:v>DR.RS.1.3.C04</x:v>
      </x:c>
      <x:c r="G172" s="14" t="str">
        <x:f>'Data &amp; Reporting'!F172</x:f>
        <x:v>    Validate no data is missing</x:v>
      </x:c>
      <x:c r="H172" s="2" t="str">
        <x:f>IF('Data &amp; Reporting'!G172="","",'Data &amp; Reporting'!G172)</x:f>
      </x:c>
      <x:c r="I172" s="12" t="str">
        <x:f>IF('Data &amp; Reporting'!H172="","",'Data &amp; Reporting'!H172)</x:f>
      </x:c>
      <x:c r="J172" s="12" t="str">
        <x:f>IF('Data &amp; Reporting'!I172="","",'Data &amp; Reporting'!I172)</x:f>
      </x:c>
      <x:c r="K172" s="12" t="str">
        <x:f>IF('Data &amp; Reporting'!J172="","",'Data &amp; Reporting'!J172)</x:f>
      </x:c>
      <x:c r="L172" s="2" t="str">
        <x:f>IF('Data &amp; Reporting'!K172="","",'Data &amp; Reporting'!K172)</x:f>
      </x:c>
      <x:c r="M172" s="2" t="n">
        <x:f>'Data &amp; Reporting'!Q172</x:f>
        <x:v>0</x:v>
      </x:c>
      <x:c r="N172" s="2" t="str">
        <x:f>'Data &amp; Reporting'!L172</x:f>
        <x:v>Open check</x:v>
      </x:c>
      <x:c r="O172" s="2" t="str">
        <x:f>'Data &amp; Reporting'!N172</x:f>
        <x:v>DR.RS.1.3.C04.2026.CY1</x:v>
      </x:c>
      <x:c r="P172" s="2" t="n">
        <x:f>'Data &amp; Reporting'!O172</x:f>
        <x:v>0</x:v>
      </x:c>
      <x:c r="Q172" s="2" t="n">
        <x:f>SUBTOTAL(103,O172)</x:f>
        <x:v>1</x:v>
      </x:c>
      <x:c r="R172" s="2" t="n">
        <x:f>IF(AND(M172=1,OR(Dashboard!$B$7="All",Dashboard!$B$7='Cycles &amp; Guide'!$C$5),OR(Dashboard!$D$7="All",Dashboard!$D$7=B172),OR(Dashboard!$F$7="All",Dashboard!$F$7=C172),OR(Dashboard!$H$7="All",Dashboard!$H$7=D172),OR(Dashboard!$K$7="All",Dashboard!$K$7=E172)),1,0)</x:f>
        <x:v>0</x:v>
      </x:c>
      <x:c r="S172" s="2" t="n">
        <x:f>IF(R172=1,SUM($R$10:R172),0)</x:f>
        <x:v>0</x:v>
      </x:c>
      <x:c r="T172" s="2" t="str">
        <x:v>Data &amp; Reporting</x:v>
      </x:c>
      <x:c r="U172" s="2" t="n">
        <x:v>172</x:v>
      </x:c>
      <x:c r="V172" s="2" t="n">
        <x:f>IF(AND(M172=1,P172=0,ISNUMBER(J172),J172&lt;TODAY()),1,0)</x:f>
        <x:v>0</x:v>
      </x:c>
      <x:c r="W172" s="2" t="str">
        <x:f>'Data &amp; Reporting'!M172</x:f>
        <x:v>Checklist</x:v>
      </x:c>
    </x:row>
    <x:row r="173" ht="40" customHeight="1">
      <x:c r="A173" s="3" t="str">
        <x:f>HYPERLINK("#'Data &amp; Reporting'!A173","Open")</x:f>
        <x:v>Open</x:v>
      </x:c>
      <x:c r="B173" s="2" t="str">
        <x:f>'Data &amp; Reporting'!B173</x:f>
        <x:v>Cycle 1</x:v>
      </x:c>
      <x:c r="C173" s="2" t="str">
        <x:f>'Data &amp; Reporting'!C173</x:f>
        <x:v>Phase 1</x:v>
      </x:c>
      <x:c r="D173" s="2" t="str">
        <x:f>'Data &amp; Reporting'!D173</x:f>
        <x:v>Retail Services</x:v>
      </x:c>
      <x:c r="E173" s="2" t="str">
        <x:v>Data &amp; Reporting</x:v>
      </x:c>
      <x:c r="F173" s="56" t="str">
        <x:f>'Data &amp; Reporting'!E173</x:f>
        <x:v>DR.RS.1.3.C05</x:v>
      </x:c>
      <x:c r="G173" s="14" t="str">
        <x:f>'Data &amp; Reporting'!F173</x:f>
        <x:v>    Validate accuracy of data</x:v>
      </x:c>
      <x:c r="H173" s="2" t="str">
        <x:f>IF('Data &amp; Reporting'!G173="","",'Data &amp; Reporting'!G173)</x:f>
      </x:c>
      <x:c r="I173" s="12" t="str">
        <x:f>IF('Data &amp; Reporting'!H173="","",'Data &amp; Reporting'!H173)</x:f>
      </x:c>
      <x:c r="J173" s="12" t="str">
        <x:f>IF('Data &amp; Reporting'!I173="","",'Data &amp; Reporting'!I173)</x:f>
      </x:c>
      <x:c r="K173" s="12" t="str">
        <x:f>IF('Data &amp; Reporting'!J173="","",'Data &amp; Reporting'!J173)</x:f>
      </x:c>
      <x:c r="L173" s="2" t="str">
        <x:f>IF('Data &amp; Reporting'!K173="","",'Data &amp; Reporting'!K173)</x:f>
      </x:c>
      <x:c r="M173" s="2" t="n">
        <x:f>'Data &amp; Reporting'!Q173</x:f>
        <x:v>0</x:v>
      </x:c>
      <x:c r="N173" s="2" t="str">
        <x:f>'Data &amp; Reporting'!L173</x:f>
        <x:v>Open check</x:v>
      </x:c>
      <x:c r="O173" s="2" t="str">
        <x:f>'Data &amp; Reporting'!N173</x:f>
        <x:v>DR.RS.1.3.C05.2026.CY1</x:v>
      </x:c>
      <x:c r="P173" s="2" t="n">
        <x:f>'Data &amp; Reporting'!O173</x:f>
        <x:v>0</x:v>
      </x:c>
      <x:c r="Q173" s="2" t="n">
        <x:f>SUBTOTAL(103,O173)</x:f>
        <x:v>1</x:v>
      </x:c>
      <x:c r="R173" s="2" t="n">
        <x:f>IF(AND(M173=1,OR(Dashboard!$B$7="All",Dashboard!$B$7='Cycles &amp; Guide'!$C$5),OR(Dashboard!$D$7="All",Dashboard!$D$7=B173),OR(Dashboard!$F$7="All",Dashboard!$F$7=C173),OR(Dashboard!$H$7="All",Dashboard!$H$7=D173),OR(Dashboard!$K$7="All",Dashboard!$K$7=E173)),1,0)</x:f>
        <x:v>0</x:v>
      </x:c>
      <x:c r="S173" s="2" t="n">
        <x:f>IF(R173=1,SUM($R$10:R173),0)</x:f>
        <x:v>0</x:v>
      </x:c>
      <x:c r="T173" s="2" t="str">
        <x:v>Data &amp; Reporting</x:v>
      </x:c>
      <x:c r="U173" s="2" t="n">
        <x:v>173</x:v>
      </x:c>
      <x:c r="V173" s="2" t="n">
        <x:f>IF(AND(M173=1,P173=0,ISNUMBER(J173),J173&lt;TODAY()),1,0)</x:f>
        <x:v>0</x:v>
      </x:c>
      <x:c r="W173" s="2" t="str">
        <x:f>'Data &amp; Reporting'!M173</x:f>
        <x:v>Checklist</x:v>
      </x:c>
    </x:row>
    <x:row r="174" ht="40" customHeight="1">
      <x:c r="A174" s="3" t="str">
        <x:f>HYPERLINK("#'Data &amp; Reporting'!A174","Open")</x:f>
        <x:v>Open</x:v>
      </x:c>
      <x:c r="B174" s="2" t="str">
        <x:f>'Data &amp; Reporting'!B174</x:f>
        <x:v>Cycle 1</x:v>
      </x:c>
      <x:c r="C174" s="2" t="str">
        <x:f>'Data &amp; Reporting'!C174</x:f>
        <x:v>Phase 1</x:v>
      </x:c>
      <x:c r="D174" s="2" t="str">
        <x:f>'Data &amp; Reporting'!D174</x:f>
        <x:v>Retail Services</x:v>
      </x:c>
      <x:c r="E174" s="2" t="str">
        <x:v>Data &amp; Reporting</x:v>
      </x:c>
      <x:c r="F174" s="56" t="str">
        <x:f>'Data &amp; Reporting'!E174</x:f>
        <x:v>DR.RS.1.3.C06</x:v>
      </x:c>
      <x:c r="G174" s="14" t="str">
        <x:f>'Data &amp; Reporting'!F174</x:f>
        <x:v>    Validate no duplicate data is provided</x:v>
      </x:c>
      <x:c r="H174" s="2" t="str">
        <x:f>IF('Data &amp; Reporting'!G174="","",'Data &amp; Reporting'!G174)</x:f>
      </x:c>
      <x:c r="I174" s="12" t="str">
        <x:f>IF('Data &amp; Reporting'!H174="","",'Data &amp; Reporting'!H174)</x:f>
      </x:c>
      <x:c r="J174" s="12" t="str">
        <x:f>IF('Data &amp; Reporting'!I174="","",'Data &amp; Reporting'!I174)</x:f>
      </x:c>
      <x:c r="K174" s="12" t="str">
        <x:f>IF('Data &amp; Reporting'!J174="","",'Data &amp; Reporting'!J174)</x:f>
      </x:c>
      <x:c r="L174" s="2" t="str">
        <x:f>IF('Data &amp; Reporting'!K174="","",'Data &amp; Reporting'!K174)</x:f>
      </x:c>
      <x:c r="M174" s="2" t="n">
        <x:f>'Data &amp; Reporting'!Q174</x:f>
        <x:v>0</x:v>
      </x:c>
      <x:c r="N174" s="2" t="str">
        <x:f>'Data &amp; Reporting'!L174</x:f>
        <x:v>Open check</x:v>
      </x:c>
      <x:c r="O174" s="2" t="str">
        <x:f>'Data &amp; Reporting'!N174</x:f>
        <x:v>DR.RS.1.3.C06.2026.CY1</x:v>
      </x:c>
      <x:c r="P174" s="2" t="n">
        <x:f>'Data &amp; Reporting'!O174</x:f>
        <x:v>0</x:v>
      </x:c>
      <x:c r="Q174" s="2" t="n">
        <x:f>SUBTOTAL(103,O174)</x:f>
        <x:v>1</x:v>
      </x:c>
      <x:c r="R174" s="2" t="n">
        <x:f>IF(AND(M174=1,OR(Dashboard!$B$7="All",Dashboard!$B$7='Cycles &amp; Guide'!$C$5),OR(Dashboard!$D$7="All",Dashboard!$D$7=B174),OR(Dashboard!$F$7="All",Dashboard!$F$7=C174),OR(Dashboard!$H$7="All",Dashboard!$H$7=D174),OR(Dashboard!$K$7="All",Dashboard!$K$7=E174)),1,0)</x:f>
        <x:v>0</x:v>
      </x:c>
      <x:c r="S174" s="2" t="n">
        <x:f>IF(R174=1,SUM($R$10:R174),0)</x:f>
        <x:v>0</x:v>
      </x:c>
      <x:c r="T174" s="2" t="str">
        <x:v>Data &amp; Reporting</x:v>
      </x:c>
      <x:c r="U174" s="2" t="n">
        <x:v>174</x:v>
      </x:c>
      <x:c r="V174" s="2" t="n">
        <x:f>IF(AND(M174=1,P174=0,ISNUMBER(J174),J174&lt;TODAY()),1,0)</x:f>
        <x:v>0</x:v>
      </x:c>
      <x:c r="W174" s="2" t="str">
        <x:f>'Data &amp; Reporting'!M174</x:f>
        <x:v>Checklist</x:v>
      </x:c>
    </x:row>
    <x:row r="175" ht="40" customHeight="1">
      <x:c r="A175" s="3" t="str">
        <x:f>HYPERLINK("#'Data &amp; Reporting'!A175","Open")</x:f>
        <x:v>Open</x:v>
      </x:c>
      <x:c r="B175" s="2" t="str">
        <x:f>'Data &amp; Reporting'!B175</x:f>
        <x:v>Cycle 1</x:v>
      </x:c>
      <x:c r="C175" s="2" t="str">
        <x:f>'Data &amp; Reporting'!C175</x:f>
        <x:v>Phase 1</x:v>
      </x:c>
      <x:c r="D175" s="2" t="str">
        <x:f>'Data &amp; Reporting'!D175</x:f>
        <x:v>Retail Services</x:v>
      </x:c>
      <x:c r="E175" s="2" t="str">
        <x:v>Data &amp; Reporting</x:v>
      </x:c>
      <x:c r="F175" s="56" t="str">
        <x:f>'Data &amp; Reporting'!E175</x:f>
        <x:v>DR.RS.1.3.C07</x:v>
      </x:c>
      <x:c r="G175" s="14" t="str">
        <x:f>'Data &amp; Reporting'!F175</x:f>
        <x:v>    Document any data exclusions along with justification (as needed)</x:v>
      </x:c>
      <x:c r="H175" s="2" t="str">
        <x:f>IF('Data &amp; Reporting'!G175="","",'Data &amp; Reporting'!G175)</x:f>
      </x:c>
      <x:c r="I175" s="12" t="str">
        <x:f>IF('Data &amp; Reporting'!H175="","",'Data &amp; Reporting'!H175)</x:f>
      </x:c>
      <x:c r="J175" s="12" t="str">
        <x:f>IF('Data &amp; Reporting'!I175="","",'Data &amp; Reporting'!I175)</x:f>
      </x:c>
      <x:c r="K175" s="12" t="str">
        <x:f>IF('Data &amp; Reporting'!J175="","",'Data &amp; Reporting'!J175)</x:f>
      </x:c>
      <x:c r="L175" s="2" t="str">
        <x:f>IF('Data &amp; Reporting'!K175="","",'Data &amp; Reporting'!K175)</x:f>
      </x:c>
      <x:c r="M175" s="2" t="n">
        <x:f>'Data &amp; Reporting'!Q175</x:f>
        <x:v>0</x:v>
      </x:c>
      <x:c r="N175" s="2" t="str">
        <x:f>'Data &amp; Reporting'!L175</x:f>
        <x:v>Open check</x:v>
      </x:c>
      <x:c r="O175" s="2" t="str">
        <x:f>'Data &amp; Reporting'!N175</x:f>
        <x:v>DR.RS.1.3.C07.2026.CY1</x:v>
      </x:c>
      <x:c r="P175" s="2" t="n">
        <x:f>'Data &amp; Reporting'!O175</x:f>
        <x:v>0</x:v>
      </x:c>
      <x:c r="Q175" s="2" t="n">
        <x:f>SUBTOTAL(103,O175)</x:f>
        <x:v>1</x:v>
      </x:c>
      <x:c r="R175" s="2" t="n">
        <x:f>IF(AND(M175=1,OR(Dashboard!$B$7="All",Dashboard!$B$7='Cycles &amp; Guide'!$C$5),OR(Dashboard!$D$7="All",Dashboard!$D$7=B175),OR(Dashboard!$F$7="All",Dashboard!$F$7=C175),OR(Dashboard!$H$7="All",Dashboard!$H$7=D175),OR(Dashboard!$K$7="All",Dashboard!$K$7=E175)),1,0)</x:f>
        <x:v>0</x:v>
      </x:c>
      <x:c r="S175" s="2" t="n">
        <x:f>IF(R175=1,SUM($R$10:R175),0)</x:f>
        <x:v>0</x:v>
      </x:c>
      <x:c r="T175" s="2" t="str">
        <x:v>Data &amp; Reporting</x:v>
      </x:c>
      <x:c r="U175" s="2" t="n">
        <x:v>175</x:v>
      </x:c>
      <x:c r="V175" s="2" t="n">
        <x:f>IF(AND(M175=1,P175=0,ISNUMBER(J175),J175&lt;TODAY()),1,0)</x:f>
        <x:v>0</x:v>
      </x:c>
      <x:c r="W175" s="2" t="str">
        <x:f>'Data &amp; Reporting'!M175</x:f>
        <x:v>Checklist</x:v>
      </x:c>
    </x:row>
    <x:row r="176" ht="40" customHeight="1">
      <x:c r="A176" s="3" t="str">
        <x:f>HYPERLINK("#'Data &amp; Reporting'!A176","Open")</x:f>
        <x:v>Open</x:v>
      </x:c>
      <x:c r="B176" s="2" t="str">
        <x:f>'Data &amp; Reporting'!B176</x:f>
        <x:v>Cycle 1</x:v>
      </x:c>
      <x:c r="C176" s="2" t="str">
        <x:f>'Data &amp; Reporting'!C176</x:f>
        <x:v>Phase 1</x:v>
      </x:c>
      <x:c r="D176" s="2" t="str">
        <x:f>'Data &amp; Reporting'!D176</x:f>
        <x:v>Retail Services</x:v>
      </x:c>
      <x:c r="E176" s="2" t="str">
        <x:v>Data &amp; Reporting</x:v>
      </x:c>
      <x:c r="F176" s="56" t="str">
        <x:f>'Data &amp; Reporting'!E176</x:f>
        <x:v>DR.RS.1.3.C08</x:v>
      </x:c>
      <x:c r="G176" s="14" t="str">
        <x:f>'Data &amp; Reporting'!F176</x:f>
        <x:v>    Document any assumptions made with the data (as needed)</x:v>
      </x:c>
      <x:c r="H176" s="2" t="str">
        <x:f>IF('Data &amp; Reporting'!G176="","",'Data &amp; Reporting'!G176)</x:f>
      </x:c>
      <x:c r="I176" s="12" t="str">
        <x:f>IF('Data &amp; Reporting'!H176="","",'Data &amp; Reporting'!H176)</x:f>
      </x:c>
      <x:c r="J176" s="12" t="str">
        <x:f>IF('Data &amp; Reporting'!I176="","",'Data &amp; Reporting'!I176)</x:f>
      </x:c>
      <x:c r="K176" s="12" t="str">
        <x:f>IF('Data &amp; Reporting'!J176="","",'Data &amp; Reporting'!J176)</x:f>
      </x:c>
      <x:c r="L176" s="2" t="str">
        <x:f>IF('Data &amp; Reporting'!K176="","",'Data &amp; Reporting'!K176)</x:f>
      </x:c>
      <x:c r="M176" s="2" t="n">
        <x:f>'Data &amp; Reporting'!Q176</x:f>
        <x:v>0</x:v>
      </x:c>
      <x:c r="N176" s="2" t="str">
        <x:f>'Data &amp; Reporting'!L176</x:f>
        <x:v>Open check</x:v>
      </x:c>
      <x:c r="O176" s="2" t="str">
        <x:f>'Data &amp; Reporting'!N176</x:f>
        <x:v>DR.RS.1.3.C08.2026.CY1</x:v>
      </x:c>
      <x:c r="P176" s="2" t="n">
        <x:f>'Data &amp; Reporting'!O176</x:f>
        <x:v>0</x:v>
      </x:c>
      <x:c r="Q176" s="2" t="n">
        <x:f>SUBTOTAL(103,O176)</x:f>
        <x:v>1</x:v>
      </x:c>
      <x:c r="R176" s="2" t="n">
        <x:f>IF(AND(M176=1,OR(Dashboard!$B$7="All",Dashboard!$B$7='Cycles &amp; Guide'!$C$5),OR(Dashboard!$D$7="All",Dashboard!$D$7=B176),OR(Dashboard!$F$7="All",Dashboard!$F$7=C176),OR(Dashboard!$H$7="All",Dashboard!$H$7=D176),OR(Dashboard!$K$7="All",Dashboard!$K$7=E176)),1,0)</x:f>
        <x:v>0</x:v>
      </x:c>
      <x:c r="S176" s="2" t="n">
        <x:f>IF(R176=1,SUM($R$10:R176),0)</x:f>
        <x:v>0</x:v>
      </x:c>
      <x:c r="T176" s="2" t="str">
        <x:v>Data &amp; Reporting</x:v>
      </x:c>
      <x:c r="U176" s="2" t="n">
        <x:v>176</x:v>
      </x:c>
      <x:c r="V176" s="2" t="n">
        <x:f>IF(AND(M176=1,P176=0,ISNUMBER(J176),J176&lt;TODAY()),1,0)</x:f>
        <x:v>0</x:v>
      </x:c>
      <x:c r="W176" s="2" t="str">
        <x:f>'Data &amp; Reporting'!M176</x:f>
        <x:v>Checklist</x:v>
      </x:c>
    </x:row>
    <x:row r="177" ht="40" customHeight="1">
      <x:c r="A177" s="3" t="str">
        <x:f>HYPERLINK("#'Data &amp; Reporting'!A177","Open")</x:f>
        <x:v>Open</x:v>
      </x:c>
      <x:c r="B177" s="2" t="str">
        <x:f>'Data &amp; Reporting'!B177</x:f>
        <x:v>Cycle 1</x:v>
      </x:c>
      <x:c r="C177" s="2" t="str">
        <x:f>'Data &amp; Reporting'!C177</x:f>
        <x:v>Phase 1</x:v>
      </x:c>
      <x:c r="D177" s="2" t="str">
        <x:f>'Data &amp; Reporting'!D177</x:f>
        <x:v>Retail Services</x:v>
      </x:c>
      <x:c r="E177" s="2" t="str">
        <x:v>Data &amp; Reporting</x:v>
      </x:c>
      <x:c r="F177" s="56" t="str">
        <x:f>'Data &amp; Reporting'!E177</x:f>
        <x:v>DR.RS.1.3.C09</x:v>
      </x:c>
      <x:c r="G177" s="14" t="str">
        <x:f>'Data &amp; Reporting'!F177</x:f>
        <x:v>    Document any data limitations or constraints clearly (as needed)</x:v>
      </x:c>
      <x:c r="H177" s="2" t="str">
        <x:f>IF('Data &amp; Reporting'!G177="","",'Data &amp; Reporting'!G177)</x:f>
      </x:c>
      <x:c r="I177" s="12" t="str">
        <x:f>IF('Data &amp; Reporting'!H177="","",'Data &amp; Reporting'!H177)</x:f>
      </x:c>
      <x:c r="J177" s="12" t="str">
        <x:f>IF('Data &amp; Reporting'!I177="","",'Data &amp; Reporting'!I177)</x:f>
      </x:c>
      <x:c r="K177" s="12" t="str">
        <x:f>IF('Data &amp; Reporting'!J177="","",'Data &amp; Reporting'!J177)</x:f>
      </x:c>
      <x:c r="L177" s="2" t="str">
        <x:f>IF('Data &amp; Reporting'!K177="","",'Data &amp; Reporting'!K177)</x:f>
      </x:c>
      <x:c r="M177" s="2" t="n">
        <x:f>'Data &amp; Reporting'!Q177</x:f>
        <x:v>0</x:v>
      </x:c>
      <x:c r="N177" s="2" t="str">
        <x:f>'Data &amp; Reporting'!L177</x:f>
        <x:v>Open check</x:v>
      </x:c>
      <x:c r="O177" s="2" t="str">
        <x:f>'Data &amp; Reporting'!N177</x:f>
        <x:v>DR.RS.1.3.C09.2026.CY1</x:v>
      </x:c>
      <x:c r="P177" s="2" t="n">
        <x:f>'Data &amp; Reporting'!O177</x:f>
        <x:v>0</x:v>
      </x:c>
      <x:c r="Q177" s="2" t="n">
        <x:f>SUBTOTAL(103,O177)</x:f>
        <x:v>1</x:v>
      </x:c>
      <x:c r="R177" s="2" t="n">
        <x:f>IF(AND(M177=1,OR(Dashboard!$B$7="All",Dashboard!$B$7='Cycles &amp; Guide'!$C$5),OR(Dashboard!$D$7="All",Dashboard!$D$7=B177),OR(Dashboard!$F$7="All",Dashboard!$F$7=C177),OR(Dashboard!$H$7="All",Dashboard!$H$7=D177),OR(Dashboard!$K$7="All",Dashboard!$K$7=E177)),1,0)</x:f>
        <x:v>0</x:v>
      </x:c>
      <x:c r="S177" s="2" t="n">
        <x:f>IF(R177=1,SUM($R$10:R177),0)</x:f>
        <x:v>0</x:v>
      </x:c>
      <x:c r="T177" s="2" t="str">
        <x:v>Data &amp; Reporting</x:v>
      </x:c>
      <x:c r="U177" s="2" t="n">
        <x:v>177</x:v>
      </x:c>
      <x:c r="V177" s="2" t="n">
        <x:f>IF(AND(M177=1,P177=0,ISNUMBER(J177),J177&lt;TODAY()),1,0)</x:f>
        <x:v>0</x:v>
      </x:c>
      <x:c r="W177" s="2" t="str">
        <x:f>'Data &amp; Reporting'!M177</x:f>
        <x:v>Checklist</x:v>
      </x:c>
    </x:row>
    <x:row r="178" ht="40" customHeight="1">
      <x:c r="A178" s="3" t="str">
        <x:f>HYPERLINK("#'Data &amp; Reporting'!A178","Open")</x:f>
        <x:v>Open</x:v>
      </x:c>
      <x:c r="B178" s="2" t="str">
        <x:f>'Data &amp; Reporting'!B178</x:f>
        <x:v>Cycle 1</x:v>
      </x:c>
      <x:c r="C178" s="2" t="str">
        <x:f>'Data &amp; Reporting'!C178</x:f>
        <x:v>Phase 1</x:v>
      </x:c>
      <x:c r="D178" s="2" t="str">
        <x:f>'Data &amp; Reporting'!D178</x:f>
        <x:v>Retail Services</x:v>
      </x:c>
      <x:c r="E178" s="2" t="str">
        <x:v>Data &amp; Reporting</x:v>
      </x:c>
      <x:c r="F178" s="56" t="str">
        <x:f>'Data &amp; Reporting'!E178</x:f>
        <x:v>DR.RS.1.3.C10</x:v>
      </x:c>
      <x:c r="G178" s="14" t="str">
        <x:f>'Data &amp; Reporting'!F178</x:f>
        <x:v>    Document data dictionary or field definitions for columns/rows</x:v>
      </x:c>
      <x:c r="H178" s="2" t="str">
        <x:f>IF('Data &amp; Reporting'!G178="","",'Data &amp; Reporting'!G178)</x:f>
      </x:c>
      <x:c r="I178" s="12" t="str">
        <x:f>IF('Data &amp; Reporting'!H178="","",'Data &amp; Reporting'!H178)</x:f>
      </x:c>
      <x:c r="J178" s="12" t="str">
        <x:f>IF('Data &amp; Reporting'!I178="","",'Data &amp; Reporting'!I178)</x:f>
      </x:c>
      <x:c r="K178" s="12" t="str">
        <x:f>IF('Data &amp; Reporting'!J178="","",'Data &amp; Reporting'!J178)</x:f>
      </x:c>
      <x:c r="L178" s="2" t="str">
        <x:f>IF('Data &amp; Reporting'!K178="","",'Data &amp; Reporting'!K178)</x:f>
      </x:c>
      <x:c r="M178" s="2" t="n">
        <x:f>'Data &amp; Reporting'!Q178</x:f>
        <x:v>0</x:v>
      </x:c>
      <x:c r="N178" s="2" t="str">
        <x:f>'Data &amp; Reporting'!L178</x:f>
        <x:v>Open check</x:v>
      </x:c>
      <x:c r="O178" s="2" t="str">
        <x:f>'Data &amp; Reporting'!N178</x:f>
        <x:v>DR.RS.1.3.C10.2026.CY1</x:v>
      </x:c>
      <x:c r="P178" s="2" t="n">
        <x:f>'Data &amp; Reporting'!O178</x:f>
        <x:v>0</x:v>
      </x:c>
      <x:c r="Q178" s="2" t="n">
        <x:f>SUBTOTAL(103,O178)</x:f>
        <x:v>1</x:v>
      </x:c>
      <x:c r="R178" s="2" t="n">
        <x:f>IF(AND(M178=1,OR(Dashboard!$B$7="All",Dashboard!$B$7='Cycles &amp; Guide'!$C$5),OR(Dashboard!$D$7="All",Dashboard!$D$7=B178),OR(Dashboard!$F$7="All",Dashboard!$F$7=C178),OR(Dashboard!$H$7="All",Dashboard!$H$7=D178),OR(Dashboard!$K$7="All",Dashboard!$K$7=E178)),1,0)</x:f>
        <x:v>0</x:v>
      </x:c>
      <x:c r="S178" s="2" t="n">
        <x:f>IF(R178=1,SUM($R$10:R178),0)</x:f>
        <x:v>0</x:v>
      </x:c>
      <x:c r="T178" s="2" t="str">
        <x:v>Data &amp; Reporting</x:v>
      </x:c>
      <x:c r="U178" s="2" t="n">
        <x:v>178</x:v>
      </x:c>
      <x:c r="V178" s="2" t="n">
        <x:f>IF(AND(M178=1,P178=0,ISNUMBER(J178),J178&lt;TODAY()),1,0)</x:f>
        <x:v>0</x:v>
      </x:c>
      <x:c r="W178" s="2" t="str">
        <x:f>'Data &amp; Reporting'!M178</x:f>
        <x:v>Checklist</x:v>
      </x:c>
    </x:row>
    <x:row r="179" ht="40" customHeight="1">
      <x:c r="A179" s="3" t="str">
        <x:f>HYPERLINK("#'Data &amp; Reporting'!A179","Open")</x:f>
        <x:v>Open</x:v>
      </x:c>
      <x:c r="B179" s="2" t="str">
        <x:f>'Data &amp; Reporting'!B179</x:f>
        <x:v>Cycle 1</x:v>
      </x:c>
      <x:c r="C179" s="2" t="str">
        <x:f>'Data &amp; Reporting'!C179</x:f>
        <x:v>Phase 1</x:v>
      </x:c>
      <x:c r="D179" s="2" t="str">
        <x:f>'Data &amp; Reporting'!D179</x:f>
        <x:v>Retail Services</x:v>
      </x:c>
      <x:c r="E179" s="2" t="str">
        <x:v>Data &amp; Reporting</x:v>
      </x:c>
      <x:c r="F179" s="56" t="str">
        <x:f>'Data &amp; Reporting'!E179</x:f>
        <x:v>DR.RS.1.3.C11</x:v>
      </x:c>
      <x:c r="G179" s="14" t="str">
        <x:f>'Data &amp; Reporting'!F179</x:f>
        <x:v>    Document emerging trends, patterns, or concentrations along with supporting data</x:v>
      </x:c>
      <x:c r="H179" s="2" t="str">
        <x:f>IF('Data &amp; Reporting'!G179="","",'Data &amp; Reporting'!G179)</x:f>
      </x:c>
      <x:c r="I179" s="12" t="str">
        <x:f>IF('Data &amp; Reporting'!H179="","",'Data &amp; Reporting'!H179)</x:f>
      </x:c>
      <x:c r="J179" s="12" t="str">
        <x:f>IF('Data &amp; Reporting'!I179="","",'Data &amp; Reporting'!I179)</x:f>
      </x:c>
      <x:c r="K179" s="12" t="str">
        <x:f>IF('Data &amp; Reporting'!J179="","",'Data &amp; Reporting'!J179)</x:f>
      </x:c>
      <x:c r="L179" s="2" t="str">
        <x:f>IF('Data &amp; Reporting'!K179="","",'Data &amp; Reporting'!K179)</x:f>
      </x:c>
      <x:c r="M179" s="2" t="n">
        <x:f>'Data &amp; Reporting'!Q179</x:f>
        <x:v>0</x:v>
      </x:c>
      <x:c r="N179" s="2" t="str">
        <x:f>'Data &amp; Reporting'!L179</x:f>
        <x:v>Open check</x:v>
      </x:c>
      <x:c r="O179" s="2" t="str">
        <x:f>'Data &amp; Reporting'!N179</x:f>
        <x:v>DR.RS.1.3.C11.2026.CY1</x:v>
      </x:c>
      <x:c r="P179" s="2" t="n">
        <x:f>'Data &amp; Reporting'!O179</x:f>
        <x:v>0</x:v>
      </x:c>
      <x:c r="Q179" s="2" t="n">
        <x:f>SUBTOTAL(103,O179)</x:f>
        <x:v>1</x:v>
      </x:c>
      <x:c r="R179" s="2" t="n">
        <x:f>IF(AND(M179=1,OR(Dashboard!$B$7="All",Dashboard!$B$7='Cycles &amp; Guide'!$C$5),OR(Dashboard!$D$7="All",Dashboard!$D$7=B179),OR(Dashboard!$F$7="All",Dashboard!$F$7=C179),OR(Dashboard!$H$7="All",Dashboard!$H$7=D179),OR(Dashboard!$K$7="All",Dashboard!$K$7=E179)),1,0)</x:f>
        <x:v>0</x:v>
      </x:c>
      <x:c r="S179" s="2" t="n">
        <x:f>IF(R179=1,SUM($R$10:R179),0)</x:f>
        <x:v>0</x:v>
      </x:c>
      <x:c r="T179" s="2" t="str">
        <x:v>Data &amp; Reporting</x:v>
      </x:c>
      <x:c r="U179" s="2" t="n">
        <x:v>179</x:v>
      </x:c>
      <x:c r="V179" s="2" t="n">
        <x:f>IF(AND(M179=1,P179=0,ISNUMBER(J179),J179&lt;TODAY()),1,0)</x:f>
        <x:v>0</x:v>
      </x:c>
      <x:c r="W179" s="2" t="str">
        <x:f>'Data &amp; Reporting'!M179</x:f>
        <x:v>Checklist</x:v>
      </x:c>
    </x:row>
    <x:row r="180" ht="40" customHeight="1">
      <x:c r="A180" s="3" t="str">
        <x:f>HYPERLINK("#'Data &amp; Reporting'!A180","Open")</x:f>
        <x:v>Open</x:v>
      </x:c>
      <x:c r="B180" s="2" t="str">
        <x:f>'Data &amp; Reporting'!B180</x:f>
        <x:v>Cycle 1</x:v>
      </x:c>
      <x:c r="C180" s="2" t="str">
        <x:f>'Data &amp; Reporting'!C180</x:f>
        <x:v>Phase 1</x:v>
      </x:c>
      <x:c r="D180" s="2" t="str">
        <x:f>'Data &amp; Reporting'!D180</x:f>
        <x:v>Retail Services</x:v>
      </x:c>
      <x:c r="E180" s="2" t="str">
        <x:v>Data &amp; Reporting</x:v>
      </x:c>
      <x:c r="F180" s="56" t="str">
        <x:f>'Data &amp; Reporting'!E180</x:f>
        <x:v>DR.RS.1.3.C12</x:v>
      </x:c>
      <x:c r="G180" s="14" t="str">
        <x:f>'Data &amp; Reporting'!F180</x:f>
        <x:v>    Document any severe spikes in volume along with context (as needed)</x:v>
      </x:c>
      <x:c r="H180" s="2" t="str">
        <x:f>IF('Data &amp; Reporting'!G180="","",'Data &amp; Reporting'!G180)</x:f>
      </x:c>
      <x:c r="I180" s="12" t="str">
        <x:f>IF('Data &amp; Reporting'!H180="","",'Data &amp; Reporting'!H180)</x:f>
      </x:c>
      <x:c r="J180" s="12" t="str">
        <x:f>IF('Data &amp; Reporting'!I180="","",'Data &amp; Reporting'!I180)</x:f>
      </x:c>
      <x:c r="K180" s="12" t="str">
        <x:f>IF('Data &amp; Reporting'!J180="","",'Data &amp; Reporting'!J180)</x:f>
      </x:c>
      <x:c r="L180" s="2" t="str">
        <x:f>IF('Data &amp; Reporting'!K180="","",'Data &amp; Reporting'!K180)</x:f>
      </x:c>
      <x:c r="M180" s="2" t="n">
        <x:f>'Data &amp; Reporting'!Q180</x:f>
        <x:v>0</x:v>
      </x:c>
      <x:c r="N180" s="2" t="str">
        <x:f>'Data &amp; Reporting'!L180</x:f>
        <x:v>Open check</x:v>
      </x:c>
      <x:c r="O180" s="2" t="str">
        <x:f>'Data &amp; Reporting'!N180</x:f>
        <x:v>DR.RS.1.3.C12.2026.CY1</x:v>
      </x:c>
      <x:c r="P180" s="2" t="n">
        <x:f>'Data &amp; Reporting'!O180</x:f>
        <x:v>0</x:v>
      </x:c>
      <x:c r="Q180" s="2" t="n">
        <x:f>SUBTOTAL(103,O180)</x:f>
        <x:v>1</x:v>
      </x:c>
      <x:c r="R180" s="2" t="n">
        <x:f>IF(AND(M180=1,OR(Dashboard!$B$7="All",Dashboard!$B$7='Cycles &amp; Guide'!$C$5),OR(Dashboard!$D$7="All",Dashboard!$D$7=B180),OR(Dashboard!$F$7="All",Dashboard!$F$7=C180),OR(Dashboard!$H$7="All",Dashboard!$H$7=D180),OR(Dashboard!$K$7="All",Dashboard!$K$7=E180)),1,0)</x:f>
        <x:v>0</x:v>
      </x:c>
      <x:c r="S180" s="2" t="n">
        <x:f>IF(R180=1,SUM($R$10:R180),0)</x:f>
        <x:v>0</x:v>
      </x:c>
      <x:c r="T180" s="2" t="str">
        <x:v>Data &amp; Reporting</x:v>
      </x:c>
      <x:c r="U180" s="2" t="n">
        <x:v>180</x:v>
      </x:c>
      <x:c r="V180" s="2" t="n">
        <x:f>IF(AND(M180=1,P180=0,ISNUMBER(J180),J180&lt;TODAY()),1,0)</x:f>
        <x:v>0</x:v>
      </x:c>
      <x:c r="W180" s="2" t="str">
        <x:f>'Data &amp; Reporting'!M180</x:f>
        <x:v>Checklist</x:v>
      </x:c>
    </x:row>
    <x:row r="181" ht="40" customHeight="1">
      <x:c r="A181" s="3" t="str">
        <x:f>HYPERLINK("#'Data &amp; Reporting'!A181","Open")</x:f>
        <x:v>Open</x:v>
      </x:c>
      <x:c r="B181" s="2" t="str">
        <x:f>'Data &amp; Reporting'!B181</x:f>
        <x:v>Cycle 1</x:v>
      </x:c>
      <x:c r="C181" s="2" t="str">
        <x:f>'Data &amp; Reporting'!C181</x:f>
        <x:v>Phase 1</x:v>
      </x:c>
      <x:c r="D181" s="2" t="str">
        <x:f>'Data &amp; Reporting'!D181</x:f>
        <x:v>Retail Services</x:v>
      </x:c>
      <x:c r="E181" s="2" t="str">
        <x:v>Data &amp; Reporting</x:v>
      </x:c>
      <x:c r="F181" s="56" t="str">
        <x:f>'Data &amp; Reporting'!E181</x:f>
        <x:v>DR.RS.1.3.C13</x:v>
      </x:c>
      <x:c r="G181" s="14" t="str">
        <x:f>'Data &amp; Reporting'!F181</x:f>
        <x:v>    Document clear summary explaining how the data connects to the potential topic</x:v>
      </x:c>
      <x:c r="H181" s="2" t="str">
        <x:f>IF('Data &amp; Reporting'!G181="","",'Data &amp; Reporting'!G181)</x:f>
      </x:c>
      <x:c r="I181" s="12" t="str">
        <x:f>IF('Data &amp; Reporting'!H181="","",'Data &amp; Reporting'!H181)</x:f>
      </x:c>
      <x:c r="J181" s="12" t="str">
        <x:f>IF('Data &amp; Reporting'!I181="","",'Data &amp; Reporting'!I181)</x:f>
      </x:c>
      <x:c r="K181" s="12" t="str">
        <x:f>IF('Data &amp; Reporting'!J181="","",'Data &amp; Reporting'!J181)</x:f>
      </x:c>
      <x:c r="L181" s="2" t="str">
        <x:f>IF('Data &amp; Reporting'!K181="","",'Data &amp; Reporting'!K181)</x:f>
      </x:c>
      <x:c r="M181" s="2" t="n">
        <x:f>'Data &amp; Reporting'!Q181</x:f>
        <x:v>0</x:v>
      </x:c>
      <x:c r="N181" s="2" t="str">
        <x:f>'Data &amp; Reporting'!L181</x:f>
        <x:v>Open check</x:v>
      </x:c>
      <x:c r="O181" s="2" t="str">
        <x:f>'Data &amp; Reporting'!N181</x:f>
        <x:v>DR.RS.1.3.C13.2026.CY1</x:v>
      </x:c>
      <x:c r="P181" s="2" t="n">
        <x:f>'Data &amp; Reporting'!O181</x:f>
        <x:v>0</x:v>
      </x:c>
      <x:c r="Q181" s="2" t="n">
        <x:f>SUBTOTAL(103,O181)</x:f>
        <x:v>1</x:v>
      </x:c>
      <x:c r="R181" s="2" t="n">
        <x:f>IF(AND(M181=1,OR(Dashboard!$B$7="All",Dashboard!$B$7='Cycles &amp; Guide'!$C$5),OR(Dashboard!$D$7="All",Dashboard!$D$7=B181),OR(Dashboard!$F$7="All",Dashboard!$F$7=C181),OR(Dashboard!$H$7="All",Dashboard!$H$7=D181),OR(Dashboard!$K$7="All",Dashboard!$K$7=E181)),1,0)</x:f>
        <x:v>0</x:v>
      </x:c>
      <x:c r="S181" s="2" t="n">
        <x:f>IF(R181=1,SUM($R$10:R181),0)</x:f>
        <x:v>0</x:v>
      </x:c>
      <x:c r="T181" s="2" t="str">
        <x:v>Data &amp; Reporting</x:v>
      </x:c>
      <x:c r="U181" s="2" t="n">
        <x:v>181</x:v>
      </x:c>
      <x:c r="V181" s="2" t="n">
        <x:f>IF(AND(M181=1,P181=0,ISNUMBER(J181),J181&lt;TODAY()),1,0)</x:f>
        <x:v>0</x:v>
      </x:c>
      <x:c r="W181" s="2" t="str">
        <x:f>'Data &amp; Reporting'!M181</x:f>
        <x:v>Checklist</x:v>
      </x:c>
    </x:row>
    <x:row r="182" ht="40" customHeight="1">
      <x:c r="A182" s="3" t="str">
        <x:f>HYPERLINK("#'Data &amp; Reporting'!A182","Open")</x:f>
        <x:v>Open</x:v>
      </x:c>
      <x:c r="B182" s="2" t="str">
        <x:f>'Data &amp; Reporting'!B182</x:f>
        <x:v>Cycle 1</x:v>
      </x:c>
      <x:c r="C182" s="2" t="str">
        <x:f>'Data &amp; Reporting'!C182</x:f>
        <x:v>Phase 2</x:v>
      </x:c>
      <x:c r="D182" s="2" t="str">
        <x:f>'Data &amp; Reporting'!D182</x:f>
        <x:v>Retail Services</x:v>
      </x:c>
      <x:c r="E182" s="2" t="str">
        <x:v>Data &amp; Reporting</x:v>
      </x:c>
      <x:c r="F182" s="56" t="str">
        <x:f>'Data &amp; Reporting'!E182</x:f>
        <x:v>DR.RS.2.1</x:v>
      </x:c>
      <x:c r="G182" s="14" t="str">
        <x:f>'Data &amp; Reporting'!F182</x:f>
        <x:v>Ensure data is clean, structured, and usable without manipulation needed</x:v>
      </x:c>
      <x:c r="H182" s="2" t="str">
        <x:f>IF('Data &amp; Reporting'!G182="","",'Data &amp; Reporting'!G182)</x:f>
      </x:c>
      <x:c r="I182" s="12" t="str">
        <x:f>IF('Data &amp; Reporting'!H182="","",'Data &amp; Reporting'!H182)</x:f>
      </x:c>
      <x:c r="J182" s="12" t="n">
        <x:f>IF('Data &amp; Reporting'!I182="","",'Data &amp; Reporting'!I182)</x:f>
        <x:v>46112</x:v>
      </x:c>
      <x:c r="K182" s="12" t="str">
        <x:f>IF('Data &amp; Reporting'!J182="","",'Data &amp; Reporting'!J182)</x:f>
      </x:c>
      <x:c r="L182" s="2" t="str">
        <x:f>IF('Data &amp; Reporting'!K182="","",'Data &amp; Reporting'!K182)</x:f>
      </x:c>
      <x:c r="M182" s="2" t="n">
        <x:f>'Data &amp; Reporting'!Q182</x:f>
        <x:v>1</x:v>
      </x:c>
      <x:c r="N182" s="2" t="str">
        <x:f>'Data &amp; Reporting'!L182</x:f>
        <x:v>Not started</x:v>
      </x:c>
      <x:c r="O182" s="2" t="str">
        <x:f>'Data &amp; Reporting'!N182</x:f>
        <x:v>DR.RS.2.1.2026.CY1</x:v>
      </x:c>
      <x:c r="P182" s="2" t="n">
        <x:f>'Data &amp; Reporting'!O182</x:f>
        <x:v>0</x:v>
      </x:c>
      <x:c r="Q182" s="2" t="n">
        <x:f>SUBTOTAL(103,O182)</x:f>
        <x:v>1</x:v>
      </x:c>
      <x:c r="R182" s="2" t="n">
        <x:f>IF(AND(M182=1,OR(Dashboard!$B$7="All",Dashboard!$B$7='Cycles &amp; Guide'!$C$5),OR(Dashboard!$D$7="All",Dashboard!$D$7=B182),OR(Dashboard!$F$7="All",Dashboard!$F$7=C182),OR(Dashboard!$H$7="All",Dashboard!$H$7=D182),OR(Dashboard!$K$7="All",Dashboard!$K$7=E182)),1,0)</x:f>
        <x:v>1</x:v>
      </x:c>
      <x:c r="S182" s="2" t="n">
        <x:f>IF(R182=1,SUM($R$10:R182),0)</x:f>
        <x:v>82</x:v>
      </x:c>
      <x:c r="T182" s="2" t="str">
        <x:v>Data &amp; Reporting</x:v>
      </x:c>
      <x:c r="U182" s="2" t="n">
        <x:v>182</x:v>
      </x:c>
      <x:c r="V182" s="2" t="n">
        <x:f>IF(AND(M182=1,P182=0,ISNUMBER(J182),J182&lt;TODAY()),1,0)</x:f>
        <x:v>1</x:v>
      </x:c>
      <x:c r="W182" s="2" t="str">
        <x:f>'Data &amp; Reporting'!M182</x:f>
        <x:v>Task</x:v>
      </x:c>
    </x:row>
    <x:row r="183" ht="40" customHeight="1">
      <x:c r="A183" s="3" t="str">
        <x:f>HYPERLINK("#'Data &amp; Reporting'!A183","Open")</x:f>
        <x:v>Open</x:v>
      </x:c>
      <x:c r="B183" s="2" t="str">
        <x:f>'Data &amp; Reporting'!B183</x:f>
        <x:v>Cycle 1</x:v>
      </x:c>
      <x:c r="C183" s="2" t="str">
        <x:f>'Data &amp; Reporting'!C183</x:f>
        <x:v>Phase 2</x:v>
      </x:c>
      <x:c r="D183" s="2" t="str">
        <x:f>'Data &amp; Reporting'!D183</x:f>
        <x:v>Retail Services</x:v>
      </x:c>
      <x:c r="E183" s="2" t="str">
        <x:v>Data &amp; Reporting</x:v>
      </x:c>
      <x:c r="F183" s="56" t="str">
        <x:f>'Data &amp; Reporting'!E183</x:f>
        <x:v>DR.RS.2.2</x:v>
      </x:c>
      <x:c r="G183" s="14" t="str">
        <x:f>'Data &amp; Reporting'!F183</x:f>
        <x:v>Clearly document rationale for each topic recommendation within the SharePoint list</x:v>
      </x:c>
      <x:c r="H183" s="2" t="str">
        <x:f>IF('Data &amp; Reporting'!G183="","",'Data &amp; Reporting'!G183)</x:f>
      </x:c>
      <x:c r="I183" s="12" t="str">
        <x:f>IF('Data &amp; Reporting'!H183="","",'Data &amp; Reporting'!H183)</x:f>
      </x:c>
      <x:c r="J183" s="12" t="n">
        <x:f>IF('Data &amp; Reporting'!I183="","",'Data &amp; Reporting'!I183)</x:f>
        <x:v>46112</x:v>
      </x:c>
      <x:c r="K183" s="12" t="str">
        <x:f>IF('Data &amp; Reporting'!J183="","",'Data &amp; Reporting'!J183)</x:f>
      </x:c>
      <x:c r="L183" s="2" t="str">
        <x:f>IF('Data &amp; Reporting'!K183="","",'Data &amp; Reporting'!K183)</x:f>
      </x:c>
      <x:c r="M183" s="2" t="n">
        <x:f>'Data &amp; Reporting'!Q183</x:f>
        <x:v>1</x:v>
      </x:c>
      <x:c r="N183" s="2" t="str">
        <x:f>'Data &amp; Reporting'!L183</x:f>
        <x:v>Not started</x:v>
      </x:c>
      <x:c r="O183" s="2" t="str">
        <x:f>'Data &amp; Reporting'!N183</x:f>
        <x:v>DR.RS.2.2.2026.CY1</x:v>
      </x:c>
      <x:c r="P183" s="2" t="n">
        <x:f>'Data &amp; Reporting'!O183</x:f>
        <x:v>0</x:v>
      </x:c>
      <x:c r="Q183" s="2" t="n">
        <x:f>SUBTOTAL(103,O183)</x:f>
        <x:v>1</x:v>
      </x:c>
      <x:c r="R183" s="2" t="n">
        <x:f>IF(AND(M183=1,OR(Dashboard!$B$7="All",Dashboard!$B$7='Cycles &amp; Guide'!$C$5),OR(Dashboard!$D$7="All",Dashboard!$D$7=B183),OR(Dashboard!$F$7="All",Dashboard!$F$7=C183),OR(Dashboard!$H$7="All",Dashboard!$H$7=D183),OR(Dashboard!$K$7="All",Dashboard!$K$7=E183)),1,0)</x:f>
        <x:v>1</x:v>
      </x:c>
      <x:c r="S183" s="2" t="n">
        <x:f>IF(R183=1,SUM($R$10:R183),0)</x:f>
        <x:v>83</x:v>
      </x:c>
      <x:c r="T183" s="2" t="str">
        <x:v>Data &amp; Reporting</x:v>
      </x:c>
      <x:c r="U183" s="2" t="n">
        <x:v>183</x:v>
      </x:c>
      <x:c r="V183" s="2" t="n">
        <x:f>IF(AND(M183=1,P183=0,ISNUMBER(J183),J183&lt;TODAY()),1,0)</x:f>
        <x:v>1</x:v>
      </x:c>
      <x:c r="W183" s="2" t="str">
        <x:f>'Data &amp; Reporting'!M183</x:f>
        <x:v>Task</x:v>
      </x:c>
    </x:row>
    <x:row r="184" ht="40" customHeight="1">
      <x:c r="A184" s="3" t="str">
        <x:f>HYPERLINK("#'Data &amp; Reporting'!A184","Open")</x:f>
        <x:v>Open</x:v>
      </x:c>
      <x:c r="B184" s="2" t="str">
        <x:f>'Data &amp; Reporting'!B184</x:f>
        <x:v>Cycle 1</x:v>
      </x:c>
      <x:c r="C184" s="2" t="str">
        <x:f>'Data &amp; Reporting'!C184</x:f>
        <x:v>Phase 2</x:v>
      </x:c>
      <x:c r="D184" s="2" t="str">
        <x:f>'Data &amp; Reporting'!D184</x:f>
        <x:v>Retail Services</x:v>
      </x:c>
      <x:c r="E184" s="2" t="str">
        <x:v>Data &amp; Reporting</x:v>
      </x:c>
      <x:c r="F184" s="56" t="str">
        <x:f>'Data &amp; Reporting'!E184</x:f>
        <x:v>DR.RS.2.3</x:v>
      </x:c>
      <x:c r="G184" s="14" t="str">
        <x:f>'Data &amp; Reporting'!F184</x:f>
        <x:v>Verify topic is eligible for RCA and does not conflict with Attorney Client Privilege</x:v>
      </x:c>
      <x:c r="H184" s="2" t="str">
        <x:f>IF('Data &amp; Reporting'!G184="","",'Data &amp; Reporting'!G184)</x:f>
      </x:c>
      <x:c r="I184" s="12" t="str">
        <x:f>IF('Data &amp; Reporting'!H184="","",'Data &amp; Reporting'!H184)</x:f>
      </x:c>
      <x:c r="J184" s="12" t="n">
        <x:f>IF('Data &amp; Reporting'!I184="","",'Data &amp; Reporting'!I184)</x:f>
        <x:v>46112</x:v>
      </x:c>
      <x:c r="K184" s="12" t="str">
        <x:f>IF('Data &amp; Reporting'!J184="","",'Data &amp; Reporting'!J184)</x:f>
      </x:c>
      <x:c r="L184" s="2" t="str">
        <x:f>IF('Data &amp; Reporting'!K184="","",'Data &amp; Reporting'!K184)</x:f>
      </x:c>
      <x:c r="M184" s="2" t="n">
        <x:f>'Data &amp; Reporting'!Q184</x:f>
        <x:v>1</x:v>
      </x:c>
      <x:c r="N184" s="2" t="str">
        <x:f>'Data &amp; Reporting'!L184</x:f>
        <x:v>Not started</x:v>
      </x:c>
      <x:c r="O184" s="2" t="str">
        <x:f>'Data &amp; Reporting'!N184</x:f>
        <x:v>DR.RS.2.3.2026.CY1</x:v>
      </x:c>
      <x:c r="P184" s="2" t="n">
        <x:f>'Data &amp; Reporting'!O184</x:f>
        <x:v>0</x:v>
      </x:c>
      <x:c r="Q184" s="2" t="n">
        <x:f>SUBTOTAL(103,O184)</x:f>
        <x:v>1</x:v>
      </x:c>
      <x:c r="R184" s="2" t="n">
        <x:f>IF(AND(M184=1,OR(Dashboard!$B$7="All",Dashboard!$B$7='Cycles &amp; Guide'!$C$5),OR(Dashboard!$D$7="All",Dashboard!$D$7=B184),OR(Dashboard!$F$7="All",Dashboard!$F$7=C184),OR(Dashboard!$H$7="All",Dashboard!$H$7=D184),OR(Dashboard!$K$7="All",Dashboard!$K$7=E184)),1,0)</x:f>
        <x:v>1</x:v>
      </x:c>
      <x:c r="S184" s="2" t="n">
        <x:f>IF(R184=1,SUM($R$10:R184),0)</x:f>
        <x:v>84</x:v>
      </x:c>
      <x:c r="T184" s="2" t="str">
        <x:v>Data &amp; Reporting</x:v>
      </x:c>
      <x:c r="U184" s="2" t="n">
        <x:v>184</x:v>
      </x:c>
      <x:c r="V184" s="2" t="n">
        <x:f>IF(AND(M184=1,P184=0,ISNUMBER(J184),J184&lt;TODAY()),1,0)</x:f>
        <x:v>1</x:v>
      </x:c>
      <x:c r="W184" s="2" t="str">
        <x:f>'Data &amp; Reporting'!M184</x:f>
        <x:v>Task</x:v>
      </x:c>
    </x:row>
    <x:row r="185" ht="40" customHeight="1">
      <x:c r="A185" s="3" t="str">
        <x:f>HYPERLINK("#'Data &amp; Reporting'!A185","Open")</x:f>
        <x:v>Open</x:v>
      </x:c>
      <x:c r="B185" s="2" t="str">
        <x:f>'Data &amp; Reporting'!B185</x:f>
        <x:v>Cycle 1</x:v>
      </x:c>
      <x:c r="C185" s="2" t="str">
        <x:f>'Data &amp; Reporting'!C185</x:f>
        <x:v>Phase 2</x:v>
      </x:c>
      <x:c r="D185" s="2" t="str">
        <x:f>'Data &amp; Reporting'!D185</x:f>
        <x:v>Retail Services</x:v>
      </x:c>
      <x:c r="E185" s="2" t="str">
        <x:v>Data &amp; Reporting</x:v>
      </x:c>
      <x:c r="F185" s="56" t="str">
        <x:f>'Data &amp; Reporting'!E185</x:f>
        <x:v>DR.RS.2.4</x:v>
      </x:c>
      <x:c r="G185" s="14" t="str">
        <x:f>'Data &amp; Reporting'!F185</x:f>
        <x:v>Ensure data is free of errors and anomalies prior to hand-off to Research</x:v>
      </x:c>
      <x:c r="H185" s="2" t="str">
        <x:f>IF('Data &amp; Reporting'!G185="","",'Data &amp; Reporting'!G185)</x:f>
      </x:c>
      <x:c r="I185" s="12" t="str">
        <x:f>IF('Data &amp; Reporting'!H185="","",'Data &amp; Reporting'!H185)</x:f>
      </x:c>
      <x:c r="J185" s="12" t="n">
        <x:f>IF('Data &amp; Reporting'!I185="","",'Data &amp; Reporting'!I185)</x:f>
        <x:v>46112</x:v>
      </x:c>
      <x:c r="K185" s="12" t="str">
        <x:f>IF('Data &amp; Reporting'!J185="","",'Data &amp; Reporting'!J185)</x:f>
      </x:c>
      <x:c r="L185" s="2" t="str">
        <x:f>IF('Data &amp; Reporting'!K185="","",'Data &amp; Reporting'!K185)</x:f>
      </x:c>
      <x:c r="M185" s="2" t="n">
        <x:f>'Data &amp; Reporting'!Q185</x:f>
        <x:v>1</x:v>
      </x:c>
      <x:c r="N185" s="2" t="str">
        <x:f>'Data &amp; Reporting'!L185</x:f>
        <x:v>Not started</x:v>
      </x:c>
      <x:c r="O185" s="2" t="str">
        <x:f>'Data &amp; Reporting'!N185</x:f>
        <x:v>DR.RS.2.4.2026.CY1</x:v>
      </x:c>
      <x:c r="P185" s="2" t="n">
        <x:f>'Data &amp; Reporting'!O185</x:f>
        <x:v>0</x:v>
      </x:c>
      <x:c r="Q185" s="2" t="n">
        <x:f>SUBTOTAL(103,O185)</x:f>
        <x:v>1</x:v>
      </x:c>
      <x:c r="R185" s="2" t="n">
        <x:f>IF(AND(M185=1,OR(Dashboard!$B$7="All",Dashboard!$B$7='Cycles &amp; Guide'!$C$5),OR(Dashboard!$D$7="All",Dashboard!$D$7=B185),OR(Dashboard!$F$7="All",Dashboard!$F$7=C185),OR(Dashboard!$H$7="All",Dashboard!$H$7=D185),OR(Dashboard!$K$7="All",Dashboard!$K$7=E185)),1,0)</x:f>
        <x:v>1</x:v>
      </x:c>
      <x:c r="S185" s="2" t="n">
        <x:f>IF(R185=1,SUM($R$10:R185),0)</x:f>
        <x:v>85</x:v>
      </x:c>
      <x:c r="T185" s="2" t="str">
        <x:v>Data &amp; Reporting</x:v>
      </x:c>
      <x:c r="U185" s="2" t="n">
        <x:v>185</x:v>
      </x:c>
      <x:c r="V185" s="2" t="n">
        <x:f>IF(AND(M185=1,P185=0,ISNUMBER(J185),J185&lt;TODAY()),1,0)</x:f>
        <x:v>1</x:v>
      </x:c>
      <x:c r="W185" s="2" t="str">
        <x:f>'Data &amp; Reporting'!M185</x:f>
        <x:v>Task</x:v>
      </x:c>
    </x:row>
    <x:row r="186" ht="40" customHeight="1">
      <x:c r="A186" s="3" t="str">
        <x:f>HYPERLINK("#'Data &amp; Reporting'!A186","Open")</x:f>
        <x:v>Open</x:v>
      </x:c>
      <x:c r="B186" s="2" t="str">
        <x:f>'Data &amp; Reporting'!B186</x:f>
        <x:v>Cycle 1</x:v>
      </x:c>
      <x:c r="C186" s="2" t="str">
        <x:f>'Data &amp; Reporting'!C186</x:f>
        <x:v>Phase 2</x:v>
      </x:c>
      <x:c r="D186" s="2" t="str">
        <x:f>'Data &amp; Reporting'!D186</x:f>
        <x:v>Retail Services</x:v>
      </x:c>
      <x:c r="E186" s="2" t="str">
        <x:v>Data &amp; Reporting</x:v>
      </x:c>
      <x:c r="F186" s="56" t="str">
        <x:f>'Data &amp; Reporting'!E186</x:f>
        <x:v>DR.RS.2.5</x:v>
      </x:c>
      <x:c r="G186" s="14" t="str">
        <x:f>'Data &amp; Reporting'!F186</x:f>
        <x:v>Ensure topic is not a duplicate from a previous Cycle</x:v>
      </x:c>
      <x:c r="H186" s="2" t="str">
        <x:f>IF('Data &amp; Reporting'!G186="","",'Data &amp; Reporting'!G186)</x:f>
      </x:c>
      <x:c r="I186" s="12" t="str">
        <x:f>IF('Data &amp; Reporting'!H186="","",'Data &amp; Reporting'!H186)</x:f>
      </x:c>
      <x:c r="J186" s="12" t="n">
        <x:f>IF('Data &amp; Reporting'!I186="","",'Data &amp; Reporting'!I186)</x:f>
        <x:v>46112</x:v>
      </x:c>
      <x:c r="K186" s="12" t="str">
        <x:f>IF('Data &amp; Reporting'!J186="","",'Data &amp; Reporting'!J186)</x:f>
      </x:c>
      <x:c r="L186" s="2" t="str">
        <x:f>IF('Data &amp; Reporting'!K186="","",'Data &amp; Reporting'!K186)</x:f>
      </x:c>
      <x:c r="M186" s="2" t="n">
        <x:f>'Data &amp; Reporting'!Q186</x:f>
        <x:v>1</x:v>
      </x:c>
      <x:c r="N186" s="2" t="str">
        <x:f>'Data &amp; Reporting'!L186</x:f>
        <x:v>Not started</x:v>
      </x:c>
      <x:c r="O186" s="2" t="str">
        <x:f>'Data &amp; Reporting'!N186</x:f>
        <x:v>DR.RS.2.5.2026.CY1</x:v>
      </x:c>
      <x:c r="P186" s="2" t="n">
        <x:f>'Data &amp; Reporting'!O186</x:f>
        <x:v>0</x:v>
      </x:c>
      <x:c r="Q186" s="2" t="n">
        <x:f>SUBTOTAL(103,O186)</x:f>
        <x:v>1</x:v>
      </x:c>
      <x:c r="R186" s="2" t="n">
        <x:f>IF(AND(M186=1,OR(Dashboard!$B$7="All",Dashboard!$B$7='Cycles &amp; Guide'!$C$5),OR(Dashboard!$D$7="All",Dashboard!$D$7=B186),OR(Dashboard!$F$7="All",Dashboard!$F$7=C186),OR(Dashboard!$H$7="All",Dashboard!$H$7=D186),OR(Dashboard!$K$7="All",Dashboard!$K$7=E186)),1,0)</x:f>
        <x:v>1</x:v>
      </x:c>
      <x:c r="S186" s="2" t="n">
        <x:f>IF(R186=1,SUM($R$10:R186),0)</x:f>
        <x:v>86</x:v>
      </x:c>
      <x:c r="T186" s="2" t="str">
        <x:v>Data &amp; Reporting</x:v>
      </x:c>
      <x:c r="U186" s="2" t="n">
        <x:v>186</x:v>
      </x:c>
      <x:c r="V186" s="2" t="n">
        <x:f>IF(AND(M186=1,P186=0,ISNUMBER(J186),J186&lt;TODAY()),1,0)</x:f>
        <x:v>1</x:v>
      </x:c>
      <x:c r="W186" s="2" t="str">
        <x:f>'Data &amp; Reporting'!M186</x:f>
        <x:v>Task</x:v>
      </x:c>
    </x:row>
    <x:row r="187" ht="40" customHeight="1">
      <x:c r="A187" s="3" t="str">
        <x:f>HYPERLINK("#'Data &amp; Reporting'!A187","Open")</x:f>
        <x:v>Open</x:v>
      </x:c>
      <x:c r="B187" s="2" t="str">
        <x:f>'Data &amp; Reporting'!B187</x:f>
        <x:v>Cycle 1</x:v>
      </x:c>
      <x:c r="C187" s="2" t="str">
        <x:f>'Data &amp; Reporting'!C187</x:f>
        <x:v>Phase 2</x:v>
      </x:c>
      <x:c r="D187" s="2" t="str">
        <x:f>'Data &amp; Reporting'!D187</x:f>
        <x:v>Retail Services</x:v>
      </x:c>
      <x:c r="E187" s="2" t="str">
        <x:v>Data &amp; Reporting</x:v>
      </x:c>
      <x:c r="F187" s="56" t="str">
        <x:f>'Data &amp; Reporting'!E187</x:f>
        <x:v>DR.RS.2.6</x:v>
      </x:c>
      <x:c r="G187" s="14" t="str">
        <x:f>'Data &amp; Reporting'!F187</x:f>
        <x:v>Document clear distinctions between facts, assumptions, and hypotheses within the data package</x:v>
      </x:c>
      <x:c r="H187" s="2" t="str">
        <x:f>IF('Data &amp; Reporting'!G187="","",'Data &amp; Reporting'!G187)</x:f>
      </x:c>
      <x:c r="I187" s="12" t="str">
        <x:f>IF('Data &amp; Reporting'!H187="","",'Data &amp; Reporting'!H187)</x:f>
      </x:c>
      <x:c r="J187" s="12" t="n">
        <x:f>IF('Data &amp; Reporting'!I187="","",'Data &amp; Reporting'!I187)</x:f>
        <x:v>46112</x:v>
      </x:c>
      <x:c r="K187" s="12" t="str">
        <x:f>IF('Data &amp; Reporting'!J187="","",'Data &amp; Reporting'!J187)</x:f>
      </x:c>
      <x:c r="L187" s="2" t="str">
        <x:f>IF('Data &amp; Reporting'!K187="","",'Data &amp; Reporting'!K187)</x:f>
      </x:c>
      <x:c r="M187" s="2" t="n">
        <x:f>'Data &amp; Reporting'!Q187</x:f>
        <x:v>1</x:v>
      </x:c>
      <x:c r="N187" s="2" t="str">
        <x:f>'Data &amp; Reporting'!L187</x:f>
        <x:v>Not started</x:v>
      </x:c>
      <x:c r="O187" s="2" t="str">
        <x:f>'Data &amp; Reporting'!N187</x:f>
        <x:v>DR.RS.2.6.2026.CY1</x:v>
      </x:c>
      <x:c r="P187" s="2" t="n">
        <x:f>'Data &amp; Reporting'!O187</x:f>
        <x:v>0</x:v>
      </x:c>
      <x:c r="Q187" s="2" t="n">
        <x:f>SUBTOTAL(103,O187)</x:f>
        <x:v>1</x:v>
      </x:c>
      <x:c r="R187" s="2" t="n">
        <x:f>IF(AND(M187=1,OR(Dashboard!$B$7="All",Dashboard!$B$7='Cycles &amp; Guide'!$C$5),OR(Dashboard!$D$7="All",Dashboard!$D$7=B187),OR(Dashboard!$F$7="All",Dashboard!$F$7=C187),OR(Dashboard!$H$7="All",Dashboard!$H$7=D187),OR(Dashboard!$K$7="All",Dashboard!$K$7=E187)),1,0)</x:f>
        <x:v>1</x:v>
      </x:c>
      <x:c r="S187" s="2" t="n">
        <x:f>IF(R187=1,SUM($R$10:R187),0)</x:f>
        <x:v>87</x:v>
      </x:c>
      <x:c r="T187" s="2" t="str">
        <x:v>Data &amp; Reporting</x:v>
      </x:c>
      <x:c r="U187" s="2" t="n">
        <x:v>187</x:v>
      </x:c>
      <x:c r="V187" s="2" t="n">
        <x:f>IF(AND(M187=1,P187=0,ISNUMBER(J187),J187&lt;TODAY()),1,0)</x:f>
        <x:v>1</x:v>
      </x:c>
      <x:c r="W187" s="2" t="str">
        <x:f>'Data &amp; Reporting'!M187</x:f>
        <x:v>Task</x:v>
      </x:c>
    </x:row>
    <x:row r="188" ht="40" customHeight="1">
      <x:c r="A188" s="3" t="str">
        <x:f>HYPERLINK("#'Data &amp; Reporting'!A188","Open")</x:f>
        <x:v>Open</x:v>
      </x:c>
      <x:c r="B188" s="2" t="str">
        <x:f>'Data &amp; Reporting'!B188</x:f>
        <x:v>Cycle 1</x:v>
      </x:c>
      <x:c r="C188" s="2" t="str">
        <x:f>'Data &amp; Reporting'!C188</x:f>
        <x:v>Phase 3</x:v>
      </x:c>
      <x:c r="D188" s="2" t="str">
        <x:f>'Data &amp; Reporting'!D188</x:f>
        <x:v>Retail Services</x:v>
      </x:c>
      <x:c r="E188" s="2" t="str">
        <x:v>Data &amp; Reporting</x:v>
      </x:c>
      <x:c r="F188" s="56" t="str">
        <x:f>'Data &amp; Reporting'!E188</x:f>
        <x:v>DR.RS.3.1</x:v>
      </x:c>
      <x:c r="G188" s="14" t="str">
        <x:f>'Data &amp; Reporting'!F188</x:f>
        <x:v>Clearly document rationale for each topic recommendation within the SharePoint list item</x:v>
      </x:c>
      <x:c r="H188" s="2" t="str">
        <x:f>IF('Data &amp; Reporting'!G188="","",'Data &amp; Reporting'!G188)</x:f>
      </x:c>
      <x:c r="I188" s="12" t="str">
        <x:f>IF('Data &amp; Reporting'!H188="","",'Data &amp; Reporting'!H188)</x:f>
      </x:c>
      <x:c r="J188" s="12" t="n">
        <x:f>IF('Data &amp; Reporting'!I188="","",'Data &amp; Reporting'!I188)</x:f>
        <x:v>46112</x:v>
      </x:c>
      <x:c r="K188" s="12" t="str">
        <x:f>IF('Data &amp; Reporting'!J188="","",'Data &amp; Reporting'!J188)</x:f>
      </x:c>
      <x:c r="L188" s="2" t="str">
        <x:f>IF('Data &amp; Reporting'!K188="","",'Data &amp; Reporting'!K188)</x:f>
      </x:c>
      <x:c r="M188" s="2" t="n">
        <x:f>'Data &amp; Reporting'!Q188</x:f>
        <x:v>1</x:v>
      </x:c>
      <x:c r="N188" s="2" t="str">
        <x:f>'Data &amp; Reporting'!L188</x:f>
        <x:v>Not started</x:v>
      </x:c>
      <x:c r="O188" s="2" t="str">
        <x:f>'Data &amp; Reporting'!N188</x:f>
        <x:v>DR.RS.3.1.2026.CY1</x:v>
      </x:c>
      <x:c r="P188" s="2" t="n">
        <x:f>'Data &amp; Reporting'!O188</x:f>
        <x:v>0</x:v>
      </x:c>
      <x:c r="Q188" s="2" t="n">
        <x:f>SUBTOTAL(103,O188)</x:f>
        <x:v>1</x:v>
      </x:c>
      <x:c r="R188" s="2" t="n">
        <x:f>IF(AND(M188=1,OR(Dashboard!$B$7="All",Dashboard!$B$7='Cycles &amp; Guide'!$C$5),OR(Dashboard!$D$7="All",Dashboard!$D$7=B188),OR(Dashboard!$F$7="All",Dashboard!$F$7=C188),OR(Dashboard!$H$7="All",Dashboard!$H$7=D188),OR(Dashboard!$K$7="All",Dashboard!$K$7=E188)),1,0)</x:f>
        <x:v>1</x:v>
      </x:c>
      <x:c r="S188" s="2" t="n">
        <x:f>IF(R188=1,SUM($R$10:R188),0)</x:f>
        <x:v>88</x:v>
      </x:c>
      <x:c r="T188" s="2" t="str">
        <x:v>Data &amp; Reporting</x:v>
      </x:c>
      <x:c r="U188" s="2" t="n">
        <x:v>188</x:v>
      </x:c>
      <x:c r="V188" s="2" t="n">
        <x:f>IF(AND(M188=1,P188=0,ISNUMBER(J188),J188&lt;TODAY()),1,0)</x:f>
        <x:v>1</x:v>
      </x:c>
      <x:c r="W188" s="2" t="str">
        <x:f>'Data &amp; Reporting'!M188</x:f>
        <x:v>Task</x:v>
      </x:c>
    </x:row>
    <x:row r="189" ht="40" customHeight="1">
      <x:c r="A189" s="3" t="str">
        <x:f>HYPERLINK("#'Data &amp; Reporting'!A189","Open")</x:f>
        <x:v>Open</x:v>
      </x:c>
      <x:c r="B189" s="2" t="str">
        <x:f>'Data &amp; Reporting'!B189</x:f>
        <x:v>Cycle 1</x:v>
      </x:c>
      <x:c r="C189" s="2" t="str">
        <x:f>'Data &amp; Reporting'!C189</x:f>
        <x:v>Phase 3</x:v>
      </x:c>
      <x:c r="D189" s="2" t="str">
        <x:f>'Data &amp; Reporting'!D189</x:f>
        <x:v>Retail Services</x:v>
      </x:c>
      <x:c r="E189" s="2" t="str">
        <x:v>Data &amp; Reporting</x:v>
      </x:c>
      <x:c r="F189" s="56" t="str">
        <x:f>'Data &amp; Reporting'!E189</x:f>
        <x:v>DR.RS.3.2</x:v>
      </x:c>
      <x:c r="G189" s="14" t="str">
        <x:f>'Data &amp; Reporting'!F189</x:f>
        <x:v>Attach the data package for each topic recommendation within the SharePoint list item</x:v>
      </x:c>
      <x:c r="H189" s="2" t="str">
        <x:f>IF('Data &amp; Reporting'!G189="","",'Data &amp; Reporting'!G189)</x:f>
      </x:c>
      <x:c r="I189" s="12" t="str">
        <x:f>IF('Data &amp; Reporting'!H189="","",'Data &amp; Reporting'!H189)</x:f>
      </x:c>
      <x:c r="J189" s="12" t="n">
        <x:f>IF('Data &amp; Reporting'!I189="","",'Data &amp; Reporting'!I189)</x:f>
        <x:v>46112</x:v>
      </x:c>
      <x:c r="K189" s="12" t="str">
        <x:f>IF('Data &amp; Reporting'!J189="","",'Data &amp; Reporting'!J189)</x:f>
      </x:c>
      <x:c r="L189" s="2" t="str">
        <x:f>IF('Data &amp; Reporting'!K189="","",'Data &amp; Reporting'!K189)</x:f>
      </x:c>
      <x:c r="M189" s="2" t="n">
        <x:f>'Data &amp; Reporting'!Q189</x:f>
        <x:v>1</x:v>
      </x:c>
      <x:c r="N189" s="2" t="str">
        <x:f>'Data &amp; Reporting'!L189</x:f>
        <x:v>Not started</x:v>
      </x:c>
      <x:c r="O189" s="2" t="str">
        <x:f>'Data &amp; Reporting'!N189</x:f>
        <x:v>DR.RS.3.2.2026.CY1</x:v>
      </x:c>
      <x:c r="P189" s="2" t="n">
        <x:f>'Data &amp; Reporting'!O189</x:f>
        <x:v>0</x:v>
      </x:c>
      <x:c r="Q189" s="2" t="n">
        <x:f>SUBTOTAL(103,O189)</x:f>
        <x:v>1</x:v>
      </x:c>
      <x:c r="R189" s="2" t="n">
        <x:f>IF(AND(M189=1,OR(Dashboard!$B$7="All",Dashboard!$B$7='Cycles &amp; Guide'!$C$5),OR(Dashboard!$D$7="All",Dashboard!$D$7=B189),OR(Dashboard!$F$7="All",Dashboard!$F$7=C189),OR(Dashboard!$H$7="All",Dashboard!$H$7=D189),OR(Dashboard!$K$7="All",Dashboard!$K$7=E189)),1,0)</x:f>
        <x:v>1</x:v>
      </x:c>
      <x:c r="S189" s="2" t="n">
        <x:f>IF(R189=1,SUM($R$10:R189),0)</x:f>
        <x:v>89</x:v>
      </x:c>
      <x:c r="T189" s="2" t="str">
        <x:v>Data &amp; Reporting</x:v>
      </x:c>
      <x:c r="U189" s="2" t="n">
        <x:v>189</x:v>
      </x:c>
      <x:c r="V189" s="2" t="n">
        <x:f>IF(AND(M189=1,P189=0,ISNUMBER(J189),J189&lt;TODAY()),1,0)</x:f>
        <x:v>1</x:v>
      </x:c>
      <x:c r="W189" s="2" t="str">
        <x:f>'Data &amp; Reporting'!M189</x:f>
        <x:v>Task</x:v>
      </x:c>
    </x:row>
    <x:row r="190" ht="40" customHeight="1">
      <x:c r="A190" s="3" t="str">
        <x:f>HYPERLINK("#'Data &amp; Reporting'!A190","Open")</x:f>
        <x:v>Open</x:v>
      </x:c>
      <x:c r="B190" s="2" t="str">
        <x:f>'Data &amp; Reporting'!B190</x:f>
        <x:v>Cycle 1</x:v>
      </x:c>
      <x:c r="C190" s="2" t="str">
        <x:f>'Data &amp; Reporting'!C190</x:f>
        <x:v>Phase 3</x:v>
      </x:c>
      <x:c r="D190" s="2" t="str">
        <x:f>'Data &amp; Reporting'!D190</x:f>
        <x:v>Retail Services</x:v>
      </x:c>
      <x:c r="E190" s="2" t="str">
        <x:v>Data &amp; Reporting</x:v>
      </x:c>
      <x:c r="F190" s="56" t="str">
        <x:f>'Data &amp; Reporting'!E190</x:f>
        <x:v>DR.RS.3.3</x:v>
      </x:c>
      <x:c r="G190" s="14" t="str">
        <x:f>'Data &amp; Reporting'!F190</x:f>
        <x:v>Confirm data privileges have been granted, ensuring each pillar can access</x:v>
      </x:c>
      <x:c r="H190" s="2" t="str">
        <x:f>IF('Data &amp; Reporting'!G190="","",'Data &amp; Reporting'!G190)</x:f>
      </x:c>
      <x:c r="I190" s="12" t="str">
        <x:f>IF('Data &amp; Reporting'!H190="","",'Data &amp; Reporting'!H190)</x:f>
      </x:c>
      <x:c r="J190" s="12" t="n">
        <x:f>IF('Data &amp; Reporting'!I190="","",'Data &amp; Reporting'!I190)</x:f>
        <x:v>46112</x:v>
      </x:c>
      <x:c r="K190" s="12" t="str">
        <x:f>IF('Data &amp; Reporting'!J190="","",'Data &amp; Reporting'!J190)</x:f>
      </x:c>
      <x:c r="L190" s="2" t="str">
        <x:f>IF('Data &amp; Reporting'!K190="","",'Data &amp; Reporting'!K190)</x:f>
      </x:c>
      <x:c r="M190" s="2" t="n">
        <x:f>'Data &amp; Reporting'!Q190</x:f>
        <x:v>1</x:v>
      </x:c>
      <x:c r="N190" s="2" t="str">
        <x:f>'Data &amp; Reporting'!L190</x:f>
        <x:v>Not started</x:v>
      </x:c>
      <x:c r="O190" s="2" t="str">
        <x:f>'Data &amp; Reporting'!N190</x:f>
        <x:v>DR.RS.3.3.2026.CY1</x:v>
      </x:c>
      <x:c r="P190" s="2" t="n">
        <x:f>'Data &amp; Reporting'!O190</x:f>
        <x:v>0</x:v>
      </x:c>
      <x:c r="Q190" s="2" t="n">
        <x:f>SUBTOTAL(103,O190)</x:f>
        <x:v>1</x:v>
      </x:c>
      <x:c r="R190" s="2" t="n">
        <x:f>IF(AND(M190=1,OR(Dashboard!$B$7="All",Dashboard!$B$7='Cycles &amp; Guide'!$C$5),OR(Dashboard!$D$7="All",Dashboard!$D$7=B190),OR(Dashboard!$F$7="All",Dashboard!$F$7=C190),OR(Dashboard!$H$7="All",Dashboard!$H$7=D190),OR(Dashboard!$K$7="All",Dashboard!$K$7=E190)),1,0)</x:f>
        <x:v>1</x:v>
      </x:c>
      <x:c r="S190" s="2" t="n">
        <x:f>IF(R190=1,SUM($R$10:R190),0)</x:f>
        <x:v>90</x:v>
      </x:c>
      <x:c r="T190" s="2" t="str">
        <x:v>Data &amp; Reporting</x:v>
      </x:c>
      <x:c r="U190" s="2" t="n">
        <x:v>190</x:v>
      </x:c>
      <x:c r="V190" s="2" t="n">
        <x:f>IF(AND(M190=1,P190=0,ISNUMBER(J190),J190&lt;TODAY()),1,0)</x:f>
        <x:v>1</x:v>
      </x:c>
      <x:c r="W190" s="2" t="str">
        <x:f>'Data &amp; Reporting'!M190</x:f>
        <x:v>Task</x:v>
      </x:c>
    </x:row>
    <x:row r="191" ht="40" customHeight="1">
      <x:c r="A191" s="3" t="str">
        <x:f>HYPERLINK("#'Data &amp; Reporting'!A191","Open")</x:f>
        <x:v>Open</x:v>
      </x:c>
      <x:c r="B191" s="2" t="str">
        <x:f>'Data &amp; Reporting'!B191</x:f>
        <x:v>Cycle 1</x:v>
      </x:c>
      <x:c r="C191" s="2" t="str">
        <x:f>'Data &amp; Reporting'!C191</x:f>
        <x:v>Phase 3</x:v>
      </x:c>
      <x:c r="D191" s="2" t="str">
        <x:f>'Data &amp; Reporting'!D191</x:f>
        <x:v>Retail Services</x:v>
      </x:c>
      <x:c r="E191" s="2" t="str">
        <x:v>Data &amp; Reporting</x:v>
      </x:c>
      <x:c r="F191" s="56" t="str">
        <x:f>'Data &amp; Reporting'!E191</x:f>
        <x:v>DR.RS.3.4</x:v>
      </x:c>
      <x:c r="G191" s="14" t="str">
        <x:f>'Data &amp; Reporting'!F191</x:f>
        <x:v>Ensure Power Automate notifications were correctly triggered within Microsoft Teams</x:v>
      </x:c>
      <x:c r="H191" s="2" t="str">
        <x:f>IF('Data &amp; Reporting'!G191="","",'Data &amp; Reporting'!G191)</x:f>
      </x:c>
      <x:c r="I191" s="12" t="str">
        <x:f>IF('Data &amp; Reporting'!H191="","",'Data &amp; Reporting'!H191)</x:f>
      </x:c>
      <x:c r="J191" s="12" t="n">
        <x:f>IF('Data &amp; Reporting'!I191="","",'Data &amp; Reporting'!I191)</x:f>
        <x:v>46112</x:v>
      </x:c>
      <x:c r="K191" s="12" t="str">
        <x:f>IF('Data &amp; Reporting'!J191="","",'Data &amp; Reporting'!J191)</x:f>
      </x:c>
      <x:c r="L191" s="2" t="str">
        <x:f>IF('Data &amp; Reporting'!K191="","",'Data &amp; Reporting'!K191)</x:f>
      </x:c>
      <x:c r="M191" s="2" t="n">
        <x:f>'Data &amp; Reporting'!Q191</x:f>
        <x:v>1</x:v>
      </x:c>
      <x:c r="N191" s="2" t="str">
        <x:f>'Data &amp; Reporting'!L191</x:f>
        <x:v>Not started</x:v>
      </x:c>
      <x:c r="O191" s="2" t="str">
        <x:f>'Data &amp; Reporting'!N191</x:f>
        <x:v>DR.RS.3.4.2026.CY1</x:v>
      </x:c>
      <x:c r="P191" s="2" t="n">
        <x:f>'Data &amp; Reporting'!O191</x:f>
        <x:v>0</x:v>
      </x:c>
      <x:c r="Q191" s="2" t="n">
        <x:f>SUBTOTAL(103,O191)</x:f>
        <x:v>1</x:v>
      </x:c>
      <x:c r="R191" s="2" t="n">
        <x:f>IF(AND(M191=1,OR(Dashboard!$B$7="All",Dashboard!$B$7='Cycles &amp; Guide'!$C$5),OR(Dashboard!$D$7="All",Dashboard!$D$7=B191),OR(Dashboard!$F$7="All",Dashboard!$F$7=C191),OR(Dashboard!$H$7="All",Dashboard!$H$7=D191),OR(Dashboard!$K$7="All",Dashboard!$K$7=E191)),1,0)</x:f>
        <x:v>1</x:v>
      </x:c>
      <x:c r="S191" s="2" t="n">
        <x:f>IF(R191=1,SUM($R$10:R191),0)</x:f>
        <x:v>91</x:v>
      </x:c>
      <x:c r="T191" s="2" t="str">
        <x:v>Data &amp; Reporting</x:v>
      </x:c>
      <x:c r="U191" s="2" t="n">
        <x:v>191</x:v>
      </x:c>
      <x:c r="V191" s="2" t="n">
        <x:f>IF(AND(M191=1,P191=0,ISNUMBER(J191),J191&lt;TODAY()),1,0)</x:f>
        <x:v>1</x:v>
      </x:c>
      <x:c r="W191" s="2" t="str">
        <x:f>'Data &amp; Reporting'!M191</x:f>
        <x:v>Task</x:v>
      </x:c>
    </x:row>
    <x:row r="192" ht="40" customHeight="1">
      <x:c r="A192" s="3" t="str">
        <x:f>HYPERLINK("#'Data &amp; Reporting'!A192","Open")</x:f>
        <x:v>Open</x:v>
      </x:c>
      <x:c r="B192" s="2" t="str">
        <x:f>'Data &amp; Reporting'!B192</x:f>
        <x:v>Cycle 2</x:v>
      </x:c>
      <x:c r="C192" s="2" t="str">
        <x:f>'Data &amp; Reporting'!C192</x:f>
        <x:v>Phase 1</x:v>
      </x:c>
      <x:c r="D192" s="2" t="str">
        <x:f>'Data &amp; Reporting'!D192</x:f>
        <x:v>Auto</x:v>
      </x:c>
      <x:c r="E192" s="2" t="str">
        <x:v>Data &amp; Reporting</x:v>
      </x:c>
      <x:c r="F192" s="56" t="str">
        <x:f>'Data &amp; Reporting'!E192</x:f>
        <x:v>DR.AU.1.1</x:v>
      </x:c>
      <x:c r="G192" s="14" t="str">
        <x:f>'Data &amp; Reporting'!F192</x:f>
        <x:v>Review data sources 3 weeks prior to Cycle start (Complaints, Gen AI, Loudspeaker, NPS, etc.)</x:v>
      </x:c>
      <x:c r="H192" s="2" t="str">
        <x:f>IF('Data &amp; Reporting'!G192="","",'Data &amp; Reporting'!G192)</x:f>
      </x:c>
      <x:c r="I192" s="12" t="str">
        <x:f>IF('Data &amp; Reporting'!H192="","",'Data &amp; Reporting'!H192)</x:f>
      </x:c>
      <x:c r="J192" s="12" t="n">
        <x:f>IF('Data &amp; Reporting'!I192="","",'Data &amp; Reporting'!I192)</x:f>
        <x:v>46092</x:v>
      </x:c>
      <x:c r="K192" s="12" t="str">
        <x:f>IF('Data &amp; Reporting'!J192="","",'Data &amp; Reporting'!J192)</x:f>
      </x:c>
      <x:c r="L192" s="2" t="str">
        <x:f>IF('Data &amp; Reporting'!K192="","",'Data &amp; Reporting'!K192)</x:f>
      </x:c>
      <x:c r="M192" s="2" t="n">
        <x:f>'Data &amp; Reporting'!Q192</x:f>
        <x:v>1</x:v>
      </x:c>
      <x:c r="N192" s="2" t="str">
        <x:f>'Data &amp; Reporting'!L192</x:f>
        <x:v>Not started</x:v>
      </x:c>
      <x:c r="O192" s="2" t="str">
        <x:f>'Data &amp; Reporting'!N192</x:f>
        <x:v>DR.AU.1.1.2026.CY2</x:v>
      </x:c>
      <x:c r="P192" s="2" t="n">
        <x:f>'Data &amp; Reporting'!O192</x:f>
        <x:v>0</x:v>
      </x:c>
      <x:c r="Q192" s="2" t="n">
        <x:f>SUBTOTAL(103,O192)</x:f>
        <x:v>1</x:v>
      </x:c>
      <x:c r="R192" s="2" t="n">
        <x:f>IF(AND(M192=1,OR(Dashboard!$B$7="All",Dashboard!$B$7='Cycles &amp; Guide'!$C$5),OR(Dashboard!$D$7="All",Dashboard!$D$7=B192),OR(Dashboard!$F$7="All",Dashboard!$F$7=C192),OR(Dashboard!$H$7="All",Dashboard!$H$7=D192),OR(Dashboard!$K$7="All",Dashboard!$K$7=E192)),1,0)</x:f>
        <x:v>1</x:v>
      </x:c>
      <x:c r="S192" s="2" t="n">
        <x:f>IF(R192=1,SUM($R$10:R192),0)</x:f>
        <x:v>92</x:v>
      </x:c>
      <x:c r="T192" s="2" t="str">
        <x:v>Data &amp; Reporting</x:v>
      </x:c>
      <x:c r="U192" s="2" t="n">
        <x:v>192</x:v>
      </x:c>
      <x:c r="V192" s="2" t="n">
        <x:f>IF(AND(M192=1,P192=0,ISNUMBER(J192),J192&lt;TODAY()),1,0)</x:f>
        <x:v>1</x:v>
      </x:c>
      <x:c r="W192" s="2" t="str">
        <x:f>'Data &amp; Reporting'!M192</x:f>
        <x:v>Task</x:v>
      </x:c>
    </x:row>
    <x:row r="193" ht="40" customHeight="1">
      <x:c r="A193" s="3" t="str">
        <x:f>HYPERLINK("#'Data &amp; Reporting'!A193","Open")</x:f>
        <x:v>Open</x:v>
      </x:c>
      <x:c r="B193" s="2" t="str">
        <x:f>'Data &amp; Reporting'!B193</x:f>
        <x:v>Cycle 2</x:v>
      </x:c>
      <x:c r="C193" s="2" t="str">
        <x:f>'Data &amp; Reporting'!C193</x:f>
        <x:v>Phase 1</x:v>
      </x:c>
      <x:c r="D193" s="2" t="str">
        <x:f>'Data &amp; Reporting'!D193</x:f>
        <x:v>Auto</x:v>
      </x:c>
      <x:c r="E193" s="2" t="str">
        <x:v>Data &amp; Reporting</x:v>
      </x:c>
      <x:c r="F193" s="56" t="str">
        <x:f>'Data &amp; Reporting'!E193</x:f>
        <x:v>DR.AU.1.2</x:v>
      </x:c>
      <x:c r="G193" s="14" t="str">
        <x:f>'Data &amp; Reporting'!F193</x:f>
        <x:v>Identify two potential topics for the upcoming Cycle</x:v>
      </x:c>
      <x:c r="H193" s="2" t="str">
        <x:f>IF('Data &amp; Reporting'!G193="","",'Data &amp; Reporting'!G193)</x:f>
      </x:c>
      <x:c r="I193" s="12" t="str">
        <x:f>IF('Data &amp; Reporting'!H193="","",'Data &amp; Reporting'!H193)</x:f>
      </x:c>
      <x:c r="J193" s="12" t="n">
        <x:f>IF('Data &amp; Reporting'!I193="","",'Data &amp; Reporting'!I193)</x:f>
        <x:v>46203</x:v>
      </x:c>
      <x:c r="K193" s="12" t="str">
        <x:f>IF('Data &amp; Reporting'!J193="","",'Data &amp; Reporting'!J193)</x:f>
      </x:c>
      <x:c r="L193" s="2" t="str">
        <x:f>IF('Data &amp; Reporting'!K193="","",'Data &amp; Reporting'!K193)</x:f>
      </x:c>
      <x:c r="M193" s="2" t="n">
        <x:f>'Data &amp; Reporting'!Q193</x:f>
        <x:v>1</x:v>
      </x:c>
      <x:c r="N193" s="2" t="str">
        <x:f>'Data &amp; Reporting'!L193</x:f>
        <x:v>Not started</x:v>
      </x:c>
      <x:c r="O193" s="2" t="str">
        <x:f>'Data &amp; Reporting'!N193</x:f>
        <x:v>DR.AU.1.2.2026.CY2</x:v>
      </x:c>
      <x:c r="P193" s="2" t="n">
        <x:f>'Data &amp; Reporting'!O193</x:f>
        <x:v>0</x:v>
      </x:c>
      <x:c r="Q193" s="2" t="n">
        <x:f>SUBTOTAL(103,O193)</x:f>
        <x:v>1</x:v>
      </x:c>
      <x:c r="R193" s="2" t="n">
        <x:f>IF(AND(M193=1,OR(Dashboard!$B$7="All",Dashboard!$B$7='Cycles &amp; Guide'!$C$5),OR(Dashboard!$D$7="All",Dashboard!$D$7=B193),OR(Dashboard!$F$7="All",Dashboard!$F$7=C193),OR(Dashboard!$H$7="All",Dashboard!$H$7=D193),OR(Dashboard!$K$7="All",Dashboard!$K$7=E193)),1,0)</x:f>
        <x:v>1</x:v>
      </x:c>
      <x:c r="S193" s="2" t="n">
        <x:f>IF(R193=1,SUM($R$10:R193),0)</x:f>
        <x:v>93</x:v>
      </x:c>
      <x:c r="T193" s="2" t="str">
        <x:v>Data &amp; Reporting</x:v>
      </x:c>
      <x:c r="U193" s="2" t="n">
        <x:v>193</x:v>
      </x:c>
      <x:c r="V193" s="2" t="n">
        <x:f>IF(AND(M193=1,P193=0,ISNUMBER(J193),J193&lt;TODAY()),1,0)</x:f>
        <x:v>1</x:v>
      </x:c>
      <x:c r="W193" s="2" t="str">
        <x:f>'Data &amp; Reporting'!M193</x:f>
        <x:v>Task</x:v>
      </x:c>
    </x:row>
    <x:row r="194" ht="40" customHeight="1">
      <x:c r="A194" s="3" t="str">
        <x:f>HYPERLINK("#'Data &amp; Reporting'!A194","Open")</x:f>
        <x:v>Open</x:v>
      </x:c>
      <x:c r="B194" s="2" t="str">
        <x:f>'Data &amp; Reporting'!B194</x:f>
        <x:v>Cycle 2</x:v>
      </x:c>
      <x:c r="C194" s="2" t="str">
        <x:f>'Data &amp; Reporting'!C194</x:f>
        <x:v>Phase 1</x:v>
      </x:c>
      <x:c r="D194" s="2" t="str">
        <x:f>'Data &amp; Reporting'!D194</x:f>
        <x:v>Auto</x:v>
      </x:c>
      <x:c r="E194" s="2" t="str">
        <x:v>Data &amp; Reporting</x:v>
      </x:c>
      <x:c r="F194" s="56" t="str">
        <x:f>'Data &amp; Reporting'!E194</x:f>
        <x:v>DR.AU.1.3</x:v>
      </x:c>
      <x:c r="G194" s="14" t="str">
        <x:f>'Data &amp; Reporting'!F194</x:f>
        <x:v>Extract data for both potential topics, ensuring all checklist items below are included/completed</x:v>
      </x:c>
      <x:c r="H194" s="2" t="str">
        <x:f>IF('Data &amp; Reporting'!G194="","",'Data &amp; Reporting'!G194)</x:f>
      </x:c>
      <x:c r="I194" s="12" t="str">
        <x:f>IF('Data &amp; Reporting'!H194="","",'Data &amp; Reporting'!H194)</x:f>
      </x:c>
      <x:c r="J194" s="12" t="n">
        <x:f>IF('Data &amp; Reporting'!I194="","",'Data &amp; Reporting'!I194)</x:f>
        <x:v>46203</x:v>
      </x:c>
      <x:c r="K194" s="12" t="str">
        <x:f>IF('Data &amp; Reporting'!J194="","",'Data &amp; Reporting'!J194)</x:f>
      </x:c>
      <x:c r="L194" s="2" t="str">
        <x:f>IF('Data &amp; Reporting'!K194="","",'Data &amp; Reporting'!K194)</x:f>
      </x:c>
      <x:c r="M194" s="2" t="n">
        <x:f>'Data &amp; Reporting'!Q194</x:f>
        <x:v>1</x:v>
      </x:c>
      <x:c r="N194" s="2" t="str">
        <x:f>'Data &amp; Reporting'!L194</x:f>
        <x:v>Not started</x:v>
      </x:c>
      <x:c r="O194" s="2" t="str">
        <x:f>'Data &amp; Reporting'!N194</x:f>
        <x:v>DR.AU.1.3.2026.CY2</x:v>
      </x:c>
      <x:c r="P194" s="2" t="n">
        <x:f>'Data &amp; Reporting'!O194</x:f>
        <x:v>0</x:v>
      </x:c>
      <x:c r="Q194" s="2" t="n">
        <x:f>SUBTOTAL(103,O194)</x:f>
        <x:v>1</x:v>
      </x:c>
      <x:c r="R194" s="2" t="n">
        <x:f>IF(AND(M194=1,OR(Dashboard!$B$7="All",Dashboard!$B$7='Cycles &amp; Guide'!$C$5),OR(Dashboard!$D$7="All",Dashboard!$D$7=B194),OR(Dashboard!$F$7="All",Dashboard!$F$7=C194),OR(Dashboard!$H$7="All",Dashboard!$H$7=D194),OR(Dashboard!$K$7="All",Dashboard!$K$7=E194)),1,0)</x:f>
        <x:v>1</x:v>
      </x:c>
      <x:c r="S194" s="2" t="n">
        <x:f>IF(R194=1,SUM($R$10:R194),0)</x:f>
        <x:v>94</x:v>
      </x:c>
      <x:c r="T194" s="2" t="str">
        <x:v>Data &amp; Reporting</x:v>
      </x:c>
      <x:c r="U194" s="2" t="n">
        <x:v>194</x:v>
      </x:c>
      <x:c r="V194" s="2" t="n">
        <x:f>IF(AND(M194=1,P194=0,ISNUMBER(J194),J194&lt;TODAY()),1,0)</x:f>
        <x:v>1</x:v>
      </x:c>
      <x:c r="W194" s="2" t="str">
        <x:f>'Data &amp; Reporting'!M194</x:f>
        <x:v>Task</x:v>
      </x:c>
    </x:row>
    <x:row r="195" ht="40" customHeight="1">
      <x:c r="A195" s="3" t="str">
        <x:f>HYPERLINK("#'Data &amp; Reporting'!A195","Open")</x:f>
        <x:v>Open</x:v>
      </x:c>
      <x:c r="B195" s="2" t="str">
        <x:f>'Data &amp; Reporting'!B195</x:f>
        <x:v>Cycle 2</x:v>
      </x:c>
      <x:c r="C195" s="2" t="str">
        <x:f>'Data &amp; Reporting'!C195</x:f>
        <x:v>Phase 1</x:v>
      </x:c>
      <x:c r="D195" s="2" t="str">
        <x:f>'Data &amp; Reporting'!D195</x:f>
        <x:v>Auto</x:v>
      </x:c>
      <x:c r="E195" s="2" t="str">
        <x:v>Data &amp; Reporting</x:v>
      </x:c>
      <x:c r="F195" s="56" t="str">
        <x:f>'Data &amp; Reporting'!E195</x:f>
        <x:v>DR.AU.1.3.C01</x:v>
      </x:c>
      <x:c r="G195" s="14" t="str">
        <x:f>'Data &amp; Reporting'!F195</x:f>
        <x:v>    Document date range extracted</x:v>
      </x:c>
      <x:c r="H195" s="2" t="str">
        <x:f>IF('Data &amp; Reporting'!G195="","",'Data &amp; Reporting'!G195)</x:f>
      </x:c>
      <x:c r="I195" s="12" t="str">
        <x:f>IF('Data &amp; Reporting'!H195="","",'Data &amp; Reporting'!H195)</x:f>
      </x:c>
      <x:c r="J195" s="12" t="str">
        <x:f>IF('Data &amp; Reporting'!I195="","",'Data &amp; Reporting'!I195)</x:f>
      </x:c>
      <x:c r="K195" s="12" t="str">
        <x:f>IF('Data &amp; Reporting'!J195="","",'Data &amp; Reporting'!J195)</x:f>
      </x:c>
      <x:c r="L195" s="2" t="str">
        <x:f>IF('Data &amp; Reporting'!K195="","",'Data &amp; Reporting'!K195)</x:f>
      </x:c>
      <x:c r="M195" s="2" t="n">
        <x:f>'Data &amp; Reporting'!Q195</x:f>
        <x:v>0</x:v>
      </x:c>
      <x:c r="N195" s="2" t="str">
        <x:f>'Data &amp; Reporting'!L195</x:f>
        <x:v>Open check</x:v>
      </x:c>
      <x:c r="O195" s="2" t="str">
        <x:f>'Data &amp; Reporting'!N195</x:f>
        <x:v>DR.AU.1.3.C01.2026.CY2</x:v>
      </x:c>
      <x:c r="P195" s="2" t="n">
        <x:f>'Data &amp; Reporting'!O195</x:f>
        <x:v>0</x:v>
      </x:c>
      <x:c r="Q195" s="2" t="n">
        <x:f>SUBTOTAL(103,O195)</x:f>
        <x:v>1</x:v>
      </x:c>
      <x:c r="R195" s="2" t="n">
        <x:f>IF(AND(M195=1,OR(Dashboard!$B$7="All",Dashboard!$B$7='Cycles &amp; Guide'!$C$5),OR(Dashboard!$D$7="All",Dashboard!$D$7=B195),OR(Dashboard!$F$7="All",Dashboard!$F$7=C195),OR(Dashboard!$H$7="All",Dashboard!$H$7=D195),OR(Dashboard!$K$7="All",Dashboard!$K$7=E195)),1,0)</x:f>
        <x:v>0</x:v>
      </x:c>
      <x:c r="S195" s="2" t="n">
        <x:f>IF(R195=1,SUM($R$10:R195),0)</x:f>
        <x:v>0</x:v>
      </x:c>
      <x:c r="T195" s="2" t="str">
        <x:v>Data &amp; Reporting</x:v>
      </x:c>
      <x:c r="U195" s="2" t="n">
        <x:v>195</x:v>
      </x:c>
      <x:c r="V195" s="2" t="n">
        <x:f>IF(AND(M195=1,P195=0,ISNUMBER(J195),J195&lt;TODAY()),1,0)</x:f>
        <x:v>0</x:v>
      </x:c>
      <x:c r="W195" s="2" t="str">
        <x:f>'Data &amp; Reporting'!M195</x:f>
        <x:v>Checklist</x:v>
      </x:c>
    </x:row>
    <x:row r="196" ht="40" customHeight="1">
      <x:c r="A196" s="3" t="str">
        <x:f>HYPERLINK("#'Data &amp; Reporting'!A196","Open")</x:f>
        <x:v>Open</x:v>
      </x:c>
      <x:c r="B196" s="2" t="str">
        <x:f>'Data &amp; Reporting'!B196</x:f>
        <x:v>Cycle 2</x:v>
      </x:c>
      <x:c r="C196" s="2" t="str">
        <x:f>'Data &amp; Reporting'!C196</x:f>
        <x:v>Phase 1</x:v>
      </x:c>
      <x:c r="D196" s="2" t="str">
        <x:f>'Data &amp; Reporting'!D196</x:f>
        <x:v>Auto</x:v>
      </x:c>
      <x:c r="E196" s="2" t="str">
        <x:v>Data &amp; Reporting</x:v>
      </x:c>
      <x:c r="F196" s="56" t="str">
        <x:f>'Data &amp; Reporting'!E196</x:f>
        <x:v>DR.AU.1.3.C02</x:v>
      </x:c>
      <x:c r="G196" s="14" t="str">
        <x:f>'Data &amp; Reporting'!F196</x:f>
        <x:v>    Document date of data pull</x:v>
      </x:c>
      <x:c r="H196" s="2" t="str">
        <x:f>IF('Data &amp; Reporting'!G196="","",'Data &amp; Reporting'!G196)</x:f>
      </x:c>
      <x:c r="I196" s="12" t="str">
        <x:f>IF('Data &amp; Reporting'!H196="","",'Data &amp; Reporting'!H196)</x:f>
      </x:c>
      <x:c r="J196" s="12" t="str">
        <x:f>IF('Data &amp; Reporting'!I196="","",'Data &amp; Reporting'!I196)</x:f>
      </x:c>
      <x:c r="K196" s="12" t="str">
        <x:f>IF('Data &amp; Reporting'!J196="","",'Data &amp; Reporting'!J196)</x:f>
      </x:c>
      <x:c r="L196" s="2" t="str">
        <x:f>IF('Data &amp; Reporting'!K196="","",'Data &amp; Reporting'!K196)</x:f>
      </x:c>
      <x:c r="M196" s="2" t="n">
        <x:f>'Data &amp; Reporting'!Q196</x:f>
        <x:v>0</x:v>
      </x:c>
      <x:c r="N196" s="2" t="str">
        <x:f>'Data &amp; Reporting'!L196</x:f>
        <x:v>Open check</x:v>
      </x:c>
      <x:c r="O196" s="2" t="str">
        <x:f>'Data &amp; Reporting'!N196</x:f>
        <x:v>DR.AU.1.3.C02.2026.CY2</x:v>
      </x:c>
      <x:c r="P196" s="2" t="n">
        <x:f>'Data &amp; Reporting'!O196</x:f>
        <x:v>0</x:v>
      </x:c>
      <x:c r="Q196" s="2" t="n">
        <x:f>SUBTOTAL(103,O196)</x:f>
        <x:v>1</x:v>
      </x:c>
      <x:c r="R196" s="2" t="n">
        <x:f>IF(AND(M196=1,OR(Dashboard!$B$7="All",Dashboard!$B$7='Cycles &amp; Guide'!$C$5),OR(Dashboard!$D$7="All",Dashboard!$D$7=B196),OR(Dashboard!$F$7="All",Dashboard!$F$7=C196),OR(Dashboard!$H$7="All",Dashboard!$H$7=D196),OR(Dashboard!$K$7="All",Dashboard!$K$7=E196)),1,0)</x:f>
        <x:v>0</x:v>
      </x:c>
      <x:c r="S196" s="2" t="n">
        <x:f>IF(R196=1,SUM($R$10:R196),0)</x:f>
        <x:v>0</x:v>
      </x:c>
      <x:c r="T196" s="2" t="str">
        <x:v>Data &amp; Reporting</x:v>
      </x:c>
      <x:c r="U196" s="2" t="n">
        <x:v>196</x:v>
      </x:c>
      <x:c r="V196" s="2" t="n">
        <x:f>IF(AND(M196=1,P196=0,ISNUMBER(J196),J196&lt;TODAY()),1,0)</x:f>
        <x:v>0</x:v>
      </x:c>
      <x:c r="W196" s="2" t="str">
        <x:f>'Data &amp; Reporting'!M196</x:f>
        <x:v>Checklist</x:v>
      </x:c>
    </x:row>
    <x:row r="197" ht="40" customHeight="1">
      <x:c r="A197" s="3" t="str">
        <x:f>HYPERLINK("#'Data &amp; Reporting'!A197","Open")</x:f>
        <x:v>Open</x:v>
      </x:c>
      <x:c r="B197" s="2" t="str">
        <x:f>'Data &amp; Reporting'!B197</x:f>
        <x:v>Cycle 2</x:v>
      </x:c>
      <x:c r="C197" s="2" t="str">
        <x:f>'Data &amp; Reporting'!C197</x:f>
        <x:v>Phase 1</x:v>
      </x:c>
      <x:c r="D197" s="2" t="str">
        <x:f>'Data &amp; Reporting'!D197</x:f>
        <x:v>Auto</x:v>
      </x:c>
      <x:c r="E197" s="2" t="str">
        <x:v>Data &amp; Reporting</x:v>
      </x:c>
      <x:c r="F197" s="56" t="str">
        <x:f>'Data &amp; Reporting'!E197</x:f>
        <x:v>DR.AU.1.3.C03</x:v>
      </x:c>
      <x:c r="G197" s="14" t="str">
        <x:f>'Data &amp; Reporting'!F197</x:f>
        <x:v>    Document population details</x:v>
      </x:c>
      <x:c r="H197" s="2" t="str">
        <x:f>IF('Data &amp; Reporting'!G197="","",'Data &amp; Reporting'!G197)</x:f>
      </x:c>
      <x:c r="I197" s="12" t="str">
        <x:f>IF('Data &amp; Reporting'!H197="","",'Data &amp; Reporting'!H197)</x:f>
      </x:c>
      <x:c r="J197" s="12" t="str">
        <x:f>IF('Data &amp; Reporting'!I197="","",'Data &amp; Reporting'!I197)</x:f>
      </x:c>
      <x:c r="K197" s="12" t="str">
        <x:f>IF('Data &amp; Reporting'!J197="","",'Data &amp; Reporting'!J197)</x:f>
      </x:c>
      <x:c r="L197" s="2" t="str">
        <x:f>IF('Data &amp; Reporting'!K197="","",'Data &amp; Reporting'!K197)</x:f>
      </x:c>
      <x:c r="M197" s="2" t="n">
        <x:f>'Data &amp; Reporting'!Q197</x:f>
        <x:v>0</x:v>
      </x:c>
      <x:c r="N197" s="2" t="str">
        <x:f>'Data &amp; Reporting'!L197</x:f>
        <x:v>Open check</x:v>
      </x:c>
      <x:c r="O197" s="2" t="str">
        <x:f>'Data &amp; Reporting'!N197</x:f>
        <x:v>DR.AU.1.3.C03.2026.CY2</x:v>
      </x:c>
      <x:c r="P197" s="2" t="n">
        <x:f>'Data &amp; Reporting'!O197</x:f>
        <x:v>0</x:v>
      </x:c>
      <x:c r="Q197" s="2" t="n">
        <x:f>SUBTOTAL(103,O197)</x:f>
        <x:v>1</x:v>
      </x:c>
      <x:c r="R197" s="2" t="n">
        <x:f>IF(AND(M197=1,OR(Dashboard!$B$7="All",Dashboard!$B$7='Cycles &amp; Guide'!$C$5),OR(Dashboard!$D$7="All",Dashboard!$D$7=B197),OR(Dashboard!$F$7="All",Dashboard!$F$7=C197),OR(Dashboard!$H$7="All",Dashboard!$H$7=D197),OR(Dashboard!$K$7="All",Dashboard!$K$7=E197)),1,0)</x:f>
        <x:v>0</x:v>
      </x:c>
      <x:c r="S197" s="2" t="n">
        <x:f>IF(R197=1,SUM($R$10:R197),0)</x:f>
        <x:v>0</x:v>
      </x:c>
      <x:c r="T197" s="2" t="str">
        <x:v>Data &amp; Reporting</x:v>
      </x:c>
      <x:c r="U197" s="2" t="n">
        <x:v>197</x:v>
      </x:c>
      <x:c r="V197" s="2" t="n">
        <x:f>IF(AND(M197=1,P197=0,ISNUMBER(J197),J197&lt;TODAY()),1,0)</x:f>
        <x:v>0</x:v>
      </x:c>
      <x:c r="W197" s="2" t="str">
        <x:f>'Data &amp; Reporting'!M197</x:f>
        <x:v>Checklist</x:v>
      </x:c>
    </x:row>
    <x:row r="198" ht="40" customHeight="1">
      <x:c r="A198" s="3" t="str">
        <x:f>HYPERLINK("#'Data &amp; Reporting'!A198","Open")</x:f>
        <x:v>Open</x:v>
      </x:c>
      <x:c r="B198" s="2" t="str">
        <x:f>'Data &amp; Reporting'!B198</x:f>
        <x:v>Cycle 2</x:v>
      </x:c>
      <x:c r="C198" s="2" t="str">
        <x:f>'Data &amp; Reporting'!C198</x:f>
        <x:v>Phase 1</x:v>
      </x:c>
      <x:c r="D198" s="2" t="str">
        <x:f>'Data &amp; Reporting'!D198</x:f>
        <x:v>Auto</x:v>
      </x:c>
      <x:c r="E198" s="2" t="str">
        <x:v>Data &amp; Reporting</x:v>
      </x:c>
      <x:c r="F198" s="56" t="str">
        <x:f>'Data &amp; Reporting'!E198</x:f>
        <x:v>DR.AU.1.3.C04</x:v>
      </x:c>
      <x:c r="G198" s="14" t="str">
        <x:f>'Data &amp; Reporting'!F198</x:f>
        <x:v>    Validate no data is missing</x:v>
      </x:c>
      <x:c r="H198" s="2" t="str">
        <x:f>IF('Data &amp; Reporting'!G198="","",'Data &amp; Reporting'!G198)</x:f>
      </x:c>
      <x:c r="I198" s="12" t="str">
        <x:f>IF('Data &amp; Reporting'!H198="","",'Data &amp; Reporting'!H198)</x:f>
      </x:c>
      <x:c r="J198" s="12" t="str">
        <x:f>IF('Data &amp; Reporting'!I198="","",'Data &amp; Reporting'!I198)</x:f>
      </x:c>
      <x:c r="K198" s="12" t="str">
        <x:f>IF('Data &amp; Reporting'!J198="","",'Data &amp; Reporting'!J198)</x:f>
      </x:c>
      <x:c r="L198" s="2" t="str">
        <x:f>IF('Data &amp; Reporting'!K198="","",'Data &amp; Reporting'!K198)</x:f>
      </x:c>
      <x:c r="M198" s="2" t="n">
        <x:f>'Data &amp; Reporting'!Q198</x:f>
        <x:v>0</x:v>
      </x:c>
      <x:c r="N198" s="2" t="str">
        <x:f>'Data &amp; Reporting'!L198</x:f>
        <x:v>Open check</x:v>
      </x:c>
      <x:c r="O198" s="2" t="str">
        <x:f>'Data &amp; Reporting'!N198</x:f>
        <x:v>DR.AU.1.3.C04.2026.CY2</x:v>
      </x:c>
      <x:c r="P198" s="2" t="n">
        <x:f>'Data &amp; Reporting'!O198</x:f>
        <x:v>0</x:v>
      </x:c>
      <x:c r="Q198" s="2" t="n">
        <x:f>SUBTOTAL(103,O198)</x:f>
        <x:v>1</x:v>
      </x:c>
      <x:c r="R198" s="2" t="n">
        <x:f>IF(AND(M198=1,OR(Dashboard!$B$7="All",Dashboard!$B$7='Cycles &amp; Guide'!$C$5),OR(Dashboard!$D$7="All",Dashboard!$D$7=B198),OR(Dashboard!$F$7="All",Dashboard!$F$7=C198),OR(Dashboard!$H$7="All",Dashboard!$H$7=D198),OR(Dashboard!$K$7="All",Dashboard!$K$7=E198)),1,0)</x:f>
        <x:v>0</x:v>
      </x:c>
      <x:c r="S198" s="2" t="n">
        <x:f>IF(R198=1,SUM($R$10:R198),0)</x:f>
        <x:v>0</x:v>
      </x:c>
      <x:c r="T198" s="2" t="str">
        <x:v>Data &amp; Reporting</x:v>
      </x:c>
      <x:c r="U198" s="2" t="n">
        <x:v>198</x:v>
      </x:c>
      <x:c r="V198" s="2" t="n">
        <x:f>IF(AND(M198=1,P198=0,ISNUMBER(J198),J198&lt;TODAY()),1,0)</x:f>
        <x:v>0</x:v>
      </x:c>
      <x:c r="W198" s="2" t="str">
        <x:f>'Data &amp; Reporting'!M198</x:f>
        <x:v>Checklist</x:v>
      </x:c>
    </x:row>
    <x:row r="199" ht="40" customHeight="1">
      <x:c r="A199" s="3" t="str">
        <x:f>HYPERLINK("#'Data &amp; Reporting'!A199","Open")</x:f>
        <x:v>Open</x:v>
      </x:c>
      <x:c r="B199" s="2" t="str">
        <x:f>'Data &amp; Reporting'!B199</x:f>
        <x:v>Cycle 2</x:v>
      </x:c>
      <x:c r="C199" s="2" t="str">
        <x:f>'Data &amp; Reporting'!C199</x:f>
        <x:v>Phase 1</x:v>
      </x:c>
      <x:c r="D199" s="2" t="str">
        <x:f>'Data &amp; Reporting'!D199</x:f>
        <x:v>Auto</x:v>
      </x:c>
      <x:c r="E199" s="2" t="str">
        <x:v>Data &amp; Reporting</x:v>
      </x:c>
      <x:c r="F199" s="56" t="str">
        <x:f>'Data &amp; Reporting'!E199</x:f>
        <x:v>DR.AU.1.3.C05</x:v>
      </x:c>
      <x:c r="G199" s="14" t="str">
        <x:f>'Data &amp; Reporting'!F199</x:f>
        <x:v>    Validate accuracy of data</x:v>
      </x:c>
      <x:c r="H199" s="2" t="str">
        <x:f>IF('Data &amp; Reporting'!G199="","",'Data &amp; Reporting'!G199)</x:f>
      </x:c>
      <x:c r="I199" s="12" t="str">
        <x:f>IF('Data &amp; Reporting'!H199="","",'Data &amp; Reporting'!H199)</x:f>
      </x:c>
      <x:c r="J199" s="12" t="str">
        <x:f>IF('Data &amp; Reporting'!I199="","",'Data &amp; Reporting'!I199)</x:f>
      </x:c>
      <x:c r="K199" s="12" t="str">
        <x:f>IF('Data &amp; Reporting'!J199="","",'Data &amp; Reporting'!J199)</x:f>
      </x:c>
      <x:c r="L199" s="2" t="str">
        <x:f>IF('Data &amp; Reporting'!K199="","",'Data &amp; Reporting'!K199)</x:f>
      </x:c>
      <x:c r="M199" s="2" t="n">
        <x:f>'Data &amp; Reporting'!Q199</x:f>
        <x:v>0</x:v>
      </x:c>
      <x:c r="N199" s="2" t="str">
        <x:f>'Data &amp; Reporting'!L199</x:f>
        <x:v>Open check</x:v>
      </x:c>
      <x:c r="O199" s="2" t="str">
        <x:f>'Data &amp; Reporting'!N199</x:f>
        <x:v>DR.AU.1.3.C05.2026.CY2</x:v>
      </x:c>
      <x:c r="P199" s="2" t="n">
        <x:f>'Data &amp; Reporting'!O199</x:f>
        <x:v>0</x:v>
      </x:c>
      <x:c r="Q199" s="2" t="n">
        <x:f>SUBTOTAL(103,O199)</x:f>
        <x:v>1</x:v>
      </x:c>
      <x:c r="R199" s="2" t="n">
        <x:f>IF(AND(M199=1,OR(Dashboard!$B$7="All",Dashboard!$B$7='Cycles &amp; Guide'!$C$5),OR(Dashboard!$D$7="All",Dashboard!$D$7=B199),OR(Dashboard!$F$7="All",Dashboard!$F$7=C199),OR(Dashboard!$H$7="All",Dashboard!$H$7=D199),OR(Dashboard!$K$7="All",Dashboard!$K$7=E199)),1,0)</x:f>
        <x:v>0</x:v>
      </x:c>
      <x:c r="S199" s="2" t="n">
        <x:f>IF(R199=1,SUM($R$10:R199),0)</x:f>
        <x:v>0</x:v>
      </x:c>
      <x:c r="T199" s="2" t="str">
        <x:v>Data &amp; Reporting</x:v>
      </x:c>
      <x:c r="U199" s="2" t="n">
        <x:v>199</x:v>
      </x:c>
      <x:c r="V199" s="2" t="n">
        <x:f>IF(AND(M199=1,P199=0,ISNUMBER(J199),J199&lt;TODAY()),1,0)</x:f>
        <x:v>0</x:v>
      </x:c>
      <x:c r="W199" s="2" t="str">
        <x:f>'Data &amp; Reporting'!M199</x:f>
        <x:v>Checklist</x:v>
      </x:c>
    </x:row>
    <x:row r="200" ht="40" customHeight="1">
      <x:c r="A200" s="3" t="str">
        <x:f>HYPERLINK("#'Data &amp; Reporting'!A200","Open")</x:f>
        <x:v>Open</x:v>
      </x:c>
      <x:c r="B200" s="2" t="str">
        <x:f>'Data &amp; Reporting'!B200</x:f>
        <x:v>Cycle 2</x:v>
      </x:c>
      <x:c r="C200" s="2" t="str">
        <x:f>'Data &amp; Reporting'!C200</x:f>
        <x:v>Phase 1</x:v>
      </x:c>
      <x:c r="D200" s="2" t="str">
        <x:f>'Data &amp; Reporting'!D200</x:f>
        <x:v>Auto</x:v>
      </x:c>
      <x:c r="E200" s="2" t="str">
        <x:v>Data &amp; Reporting</x:v>
      </x:c>
      <x:c r="F200" s="56" t="str">
        <x:f>'Data &amp; Reporting'!E200</x:f>
        <x:v>DR.AU.1.3.C06</x:v>
      </x:c>
      <x:c r="G200" s="14" t="str">
        <x:f>'Data &amp; Reporting'!F200</x:f>
        <x:v>    Validate no duplicate data is provided</x:v>
      </x:c>
      <x:c r="H200" s="2" t="str">
        <x:f>IF('Data &amp; Reporting'!G200="","",'Data &amp; Reporting'!G200)</x:f>
      </x:c>
      <x:c r="I200" s="12" t="str">
        <x:f>IF('Data &amp; Reporting'!H200="","",'Data &amp; Reporting'!H200)</x:f>
      </x:c>
      <x:c r="J200" s="12" t="str">
        <x:f>IF('Data &amp; Reporting'!I200="","",'Data &amp; Reporting'!I200)</x:f>
      </x:c>
      <x:c r="K200" s="12" t="str">
        <x:f>IF('Data &amp; Reporting'!J200="","",'Data &amp; Reporting'!J200)</x:f>
      </x:c>
      <x:c r="L200" s="2" t="str">
        <x:f>IF('Data &amp; Reporting'!K200="","",'Data &amp; Reporting'!K200)</x:f>
      </x:c>
      <x:c r="M200" s="2" t="n">
        <x:f>'Data &amp; Reporting'!Q200</x:f>
        <x:v>0</x:v>
      </x:c>
      <x:c r="N200" s="2" t="str">
        <x:f>'Data &amp; Reporting'!L200</x:f>
        <x:v>Open check</x:v>
      </x:c>
      <x:c r="O200" s="2" t="str">
        <x:f>'Data &amp; Reporting'!N200</x:f>
        <x:v>DR.AU.1.3.C06.2026.CY2</x:v>
      </x:c>
      <x:c r="P200" s="2" t="n">
        <x:f>'Data &amp; Reporting'!O200</x:f>
        <x:v>0</x:v>
      </x:c>
      <x:c r="Q200" s="2" t="n">
        <x:f>SUBTOTAL(103,O200)</x:f>
        <x:v>1</x:v>
      </x:c>
      <x:c r="R200" s="2" t="n">
        <x:f>IF(AND(M200=1,OR(Dashboard!$B$7="All",Dashboard!$B$7='Cycles &amp; Guide'!$C$5),OR(Dashboard!$D$7="All",Dashboard!$D$7=B200),OR(Dashboard!$F$7="All",Dashboard!$F$7=C200),OR(Dashboard!$H$7="All",Dashboard!$H$7=D200),OR(Dashboard!$K$7="All",Dashboard!$K$7=E200)),1,0)</x:f>
        <x:v>0</x:v>
      </x:c>
      <x:c r="S200" s="2" t="n">
        <x:f>IF(R200=1,SUM($R$10:R200),0)</x:f>
        <x:v>0</x:v>
      </x:c>
      <x:c r="T200" s="2" t="str">
        <x:v>Data &amp; Reporting</x:v>
      </x:c>
      <x:c r="U200" s="2" t="n">
        <x:v>200</x:v>
      </x:c>
      <x:c r="V200" s="2" t="n">
        <x:f>IF(AND(M200=1,P200=0,ISNUMBER(J200),J200&lt;TODAY()),1,0)</x:f>
        <x:v>0</x:v>
      </x:c>
      <x:c r="W200" s="2" t="str">
        <x:f>'Data &amp; Reporting'!M200</x:f>
        <x:v>Checklist</x:v>
      </x:c>
    </x:row>
    <x:row r="201" ht="40" customHeight="1">
      <x:c r="A201" s="3" t="str">
        <x:f>HYPERLINK("#'Data &amp; Reporting'!A201","Open")</x:f>
        <x:v>Open</x:v>
      </x:c>
      <x:c r="B201" s="2" t="str">
        <x:f>'Data &amp; Reporting'!B201</x:f>
        <x:v>Cycle 2</x:v>
      </x:c>
      <x:c r="C201" s="2" t="str">
        <x:f>'Data &amp; Reporting'!C201</x:f>
        <x:v>Phase 1</x:v>
      </x:c>
      <x:c r="D201" s="2" t="str">
        <x:f>'Data &amp; Reporting'!D201</x:f>
        <x:v>Auto</x:v>
      </x:c>
      <x:c r="E201" s="2" t="str">
        <x:v>Data &amp; Reporting</x:v>
      </x:c>
      <x:c r="F201" s="56" t="str">
        <x:f>'Data &amp; Reporting'!E201</x:f>
        <x:v>DR.AU.1.3.C07</x:v>
      </x:c>
      <x:c r="G201" s="14" t="str">
        <x:f>'Data &amp; Reporting'!F201</x:f>
        <x:v>    Document any data exclusions along with justification (as needed)</x:v>
      </x:c>
      <x:c r="H201" s="2" t="str">
        <x:f>IF('Data &amp; Reporting'!G201="","",'Data &amp; Reporting'!G201)</x:f>
      </x:c>
      <x:c r="I201" s="12" t="str">
        <x:f>IF('Data &amp; Reporting'!H201="","",'Data &amp; Reporting'!H201)</x:f>
      </x:c>
      <x:c r="J201" s="12" t="str">
        <x:f>IF('Data &amp; Reporting'!I201="","",'Data &amp; Reporting'!I201)</x:f>
      </x:c>
      <x:c r="K201" s="12" t="str">
        <x:f>IF('Data &amp; Reporting'!J201="","",'Data &amp; Reporting'!J201)</x:f>
      </x:c>
      <x:c r="L201" s="2" t="str">
        <x:f>IF('Data &amp; Reporting'!K201="","",'Data &amp; Reporting'!K201)</x:f>
      </x:c>
      <x:c r="M201" s="2" t="n">
        <x:f>'Data &amp; Reporting'!Q201</x:f>
        <x:v>0</x:v>
      </x:c>
      <x:c r="N201" s="2" t="str">
        <x:f>'Data &amp; Reporting'!L201</x:f>
        <x:v>Open check</x:v>
      </x:c>
      <x:c r="O201" s="2" t="str">
        <x:f>'Data &amp; Reporting'!N201</x:f>
        <x:v>DR.AU.1.3.C07.2026.CY2</x:v>
      </x:c>
      <x:c r="P201" s="2" t="n">
        <x:f>'Data &amp; Reporting'!O201</x:f>
        <x:v>0</x:v>
      </x:c>
      <x:c r="Q201" s="2" t="n">
        <x:f>SUBTOTAL(103,O201)</x:f>
        <x:v>1</x:v>
      </x:c>
      <x:c r="R201" s="2" t="n">
        <x:f>IF(AND(M201=1,OR(Dashboard!$B$7="All",Dashboard!$B$7='Cycles &amp; Guide'!$C$5),OR(Dashboard!$D$7="All",Dashboard!$D$7=B201),OR(Dashboard!$F$7="All",Dashboard!$F$7=C201),OR(Dashboard!$H$7="All",Dashboard!$H$7=D201),OR(Dashboard!$K$7="All",Dashboard!$K$7=E201)),1,0)</x:f>
        <x:v>0</x:v>
      </x:c>
      <x:c r="S201" s="2" t="n">
        <x:f>IF(R201=1,SUM($R$10:R201),0)</x:f>
        <x:v>0</x:v>
      </x:c>
      <x:c r="T201" s="2" t="str">
        <x:v>Data &amp; Reporting</x:v>
      </x:c>
      <x:c r="U201" s="2" t="n">
        <x:v>201</x:v>
      </x:c>
      <x:c r="V201" s="2" t="n">
        <x:f>IF(AND(M201=1,P201=0,ISNUMBER(J201),J201&lt;TODAY()),1,0)</x:f>
        <x:v>0</x:v>
      </x:c>
      <x:c r="W201" s="2" t="str">
        <x:f>'Data &amp; Reporting'!M201</x:f>
        <x:v>Checklist</x:v>
      </x:c>
    </x:row>
    <x:row r="202" ht="40" customHeight="1">
      <x:c r="A202" s="3" t="str">
        <x:f>HYPERLINK("#'Data &amp; Reporting'!A202","Open")</x:f>
        <x:v>Open</x:v>
      </x:c>
      <x:c r="B202" s="2" t="str">
        <x:f>'Data &amp; Reporting'!B202</x:f>
        <x:v>Cycle 2</x:v>
      </x:c>
      <x:c r="C202" s="2" t="str">
        <x:f>'Data &amp; Reporting'!C202</x:f>
        <x:v>Phase 1</x:v>
      </x:c>
      <x:c r="D202" s="2" t="str">
        <x:f>'Data &amp; Reporting'!D202</x:f>
        <x:v>Auto</x:v>
      </x:c>
      <x:c r="E202" s="2" t="str">
        <x:v>Data &amp; Reporting</x:v>
      </x:c>
      <x:c r="F202" s="56" t="str">
        <x:f>'Data &amp; Reporting'!E202</x:f>
        <x:v>DR.AU.1.3.C08</x:v>
      </x:c>
      <x:c r="G202" s="14" t="str">
        <x:f>'Data &amp; Reporting'!F202</x:f>
        <x:v>    Document any assumptions made with the data (as needed)</x:v>
      </x:c>
      <x:c r="H202" s="2" t="str">
        <x:f>IF('Data &amp; Reporting'!G202="","",'Data &amp; Reporting'!G202)</x:f>
      </x:c>
      <x:c r="I202" s="12" t="str">
        <x:f>IF('Data &amp; Reporting'!H202="","",'Data &amp; Reporting'!H202)</x:f>
      </x:c>
      <x:c r="J202" s="12" t="str">
        <x:f>IF('Data &amp; Reporting'!I202="","",'Data &amp; Reporting'!I202)</x:f>
      </x:c>
      <x:c r="K202" s="12" t="str">
        <x:f>IF('Data &amp; Reporting'!J202="","",'Data &amp; Reporting'!J202)</x:f>
      </x:c>
      <x:c r="L202" s="2" t="str">
        <x:f>IF('Data &amp; Reporting'!K202="","",'Data &amp; Reporting'!K202)</x:f>
      </x:c>
      <x:c r="M202" s="2" t="n">
        <x:f>'Data &amp; Reporting'!Q202</x:f>
        <x:v>0</x:v>
      </x:c>
      <x:c r="N202" s="2" t="str">
        <x:f>'Data &amp; Reporting'!L202</x:f>
        <x:v>Open check</x:v>
      </x:c>
      <x:c r="O202" s="2" t="str">
        <x:f>'Data &amp; Reporting'!N202</x:f>
        <x:v>DR.AU.1.3.C08.2026.CY2</x:v>
      </x:c>
      <x:c r="P202" s="2" t="n">
        <x:f>'Data &amp; Reporting'!O202</x:f>
        <x:v>0</x:v>
      </x:c>
      <x:c r="Q202" s="2" t="n">
        <x:f>SUBTOTAL(103,O202)</x:f>
        <x:v>1</x:v>
      </x:c>
      <x:c r="R202" s="2" t="n">
        <x:f>IF(AND(M202=1,OR(Dashboard!$B$7="All",Dashboard!$B$7='Cycles &amp; Guide'!$C$5),OR(Dashboard!$D$7="All",Dashboard!$D$7=B202),OR(Dashboard!$F$7="All",Dashboard!$F$7=C202),OR(Dashboard!$H$7="All",Dashboard!$H$7=D202),OR(Dashboard!$K$7="All",Dashboard!$K$7=E202)),1,0)</x:f>
        <x:v>0</x:v>
      </x:c>
      <x:c r="S202" s="2" t="n">
        <x:f>IF(R202=1,SUM($R$10:R202),0)</x:f>
        <x:v>0</x:v>
      </x:c>
      <x:c r="T202" s="2" t="str">
        <x:v>Data &amp; Reporting</x:v>
      </x:c>
      <x:c r="U202" s="2" t="n">
        <x:v>202</x:v>
      </x:c>
      <x:c r="V202" s="2" t="n">
        <x:f>IF(AND(M202=1,P202=0,ISNUMBER(J202),J202&lt;TODAY()),1,0)</x:f>
        <x:v>0</x:v>
      </x:c>
      <x:c r="W202" s="2" t="str">
        <x:f>'Data &amp; Reporting'!M202</x:f>
        <x:v>Checklist</x:v>
      </x:c>
    </x:row>
    <x:row r="203" ht="40" customHeight="1">
      <x:c r="A203" s="3" t="str">
        <x:f>HYPERLINK("#'Data &amp; Reporting'!A203","Open")</x:f>
        <x:v>Open</x:v>
      </x:c>
      <x:c r="B203" s="2" t="str">
        <x:f>'Data &amp; Reporting'!B203</x:f>
        <x:v>Cycle 2</x:v>
      </x:c>
      <x:c r="C203" s="2" t="str">
        <x:f>'Data &amp; Reporting'!C203</x:f>
        <x:v>Phase 1</x:v>
      </x:c>
      <x:c r="D203" s="2" t="str">
        <x:f>'Data &amp; Reporting'!D203</x:f>
        <x:v>Auto</x:v>
      </x:c>
      <x:c r="E203" s="2" t="str">
        <x:v>Data &amp; Reporting</x:v>
      </x:c>
      <x:c r="F203" s="56" t="str">
        <x:f>'Data &amp; Reporting'!E203</x:f>
        <x:v>DR.AU.1.3.C09</x:v>
      </x:c>
      <x:c r="G203" s="14" t="str">
        <x:f>'Data &amp; Reporting'!F203</x:f>
        <x:v>    Document any data limitations or constraints clearly (as needed)</x:v>
      </x:c>
      <x:c r="H203" s="2" t="str">
        <x:f>IF('Data &amp; Reporting'!G203="","",'Data &amp; Reporting'!G203)</x:f>
      </x:c>
      <x:c r="I203" s="12" t="str">
        <x:f>IF('Data &amp; Reporting'!H203="","",'Data &amp; Reporting'!H203)</x:f>
      </x:c>
      <x:c r="J203" s="12" t="str">
        <x:f>IF('Data &amp; Reporting'!I203="","",'Data &amp; Reporting'!I203)</x:f>
      </x:c>
      <x:c r="K203" s="12" t="str">
        <x:f>IF('Data &amp; Reporting'!J203="","",'Data &amp; Reporting'!J203)</x:f>
      </x:c>
      <x:c r="L203" s="2" t="str">
        <x:f>IF('Data &amp; Reporting'!K203="","",'Data &amp; Reporting'!K203)</x:f>
      </x:c>
      <x:c r="M203" s="2" t="n">
        <x:f>'Data &amp; Reporting'!Q203</x:f>
        <x:v>0</x:v>
      </x:c>
      <x:c r="N203" s="2" t="str">
        <x:f>'Data &amp; Reporting'!L203</x:f>
        <x:v>Open check</x:v>
      </x:c>
      <x:c r="O203" s="2" t="str">
        <x:f>'Data &amp; Reporting'!N203</x:f>
        <x:v>DR.AU.1.3.C09.2026.CY2</x:v>
      </x:c>
      <x:c r="P203" s="2" t="n">
        <x:f>'Data &amp; Reporting'!O203</x:f>
        <x:v>0</x:v>
      </x:c>
      <x:c r="Q203" s="2" t="n">
        <x:f>SUBTOTAL(103,O203)</x:f>
        <x:v>1</x:v>
      </x:c>
      <x:c r="R203" s="2" t="n">
        <x:f>IF(AND(M203=1,OR(Dashboard!$B$7="All",Dashboard!$B$7='Cycles &amp; Guide'!$C$5),OR(Dashboard!$D$7="All",Dashboard!$D$7=B203),OR(Dashboard!$F$7="All",Dashboard!$F$7=C203),OR(Dashboard!$H$7="All",Dashboard!$H$7=D203),OR(Dashboard!$K$7="All",Dashboard!$K$7=E203)),1,0)</x:f>
        <x:v>0</x:v>
      </x:c>
      <x:c r="S203" s="2" t="n">
        <x:f>IF(R203=1,SUM($R$10:R203),0)</x:f>
        <x:v>0</x:v>
      </x:c>
      <x:c r="T203" s="2" t="str">
        <x:v>Data &amp; Reporting</x:v>
      </x:c>
      <x:c r="U203" s="2" t="n">
        <x:v>203</x:v>
      </x:c>
      <x:c r="V203" s="2" t="n">
        <x:f>IF(AND(M203=1,P203=0,ISNUMBER(J203),J203&lt;TODAY()),1,0)</x:f>
        <x:v>0</x:v>
      </x:c>
      <x:c r="W203" s="2" t="str">
        <x:f>'Data &amp; Reporting'!M203</x:f>
        <x:v>Checklist</x:v>
      </x:c>
    </x:row>
    <x:row r="204" ht="40" customHeight="1">
      <x:c r="A204" s="3" t="str">
        <x:f>HYPERLINK("#'Data &amp; Reporting'!A204","Open")</x:f>
        <x:v>Open</x:v>
      </x:c>
      <x:c r="B204" s="2" t="str">
        <x:f>'Data &amp; Reporting'!B204</x:f>
        <x:v>Cycle 2</x:v>
      </x:c>
      <x:c r="C204" s="2" t="str">
        <x:f>'Data &amp; Reporting'!C204</x:f>
        <x:v>Phase 1</x:v>
      </x:c>
      <x:c r="D204" s="2" t="str">
        <x:f>'Data &amp; Reporting'!D204</x:f>
        <x:v>Auto</x:v>
      </x:c>
      <x:c r="E204" s="2" t="str">
        <x:v>Data &amp; Reporting</x:v>
      </x:c>
      <x:c r="F204" s="56" t="str">
        <x:f>'Data &amp; Reporting'!E204</x:f>
        <x:v>DR.AU.1.3.C10</x:v>
      </x:c>
      <x:c r="G204" s="14" t="str">
        <x:f>'Data &amp; Reporting'!F204</x:f>
        <x:v>    Document data dictionary or field definitions for columns/rows</x:v>
      </x:c>
      <x:c r="H204" s="2" t="str">
        <x:f>IF('Data &amp; Reporting'!G204="","",'Data &amp; Reporting'!G204)</x:f>
      </x:c>
      <x:c r="I204" s="12" t="str">
        <x:f>IF('Data &amp; Reporting'!H204="","",'Data &amp; Reporting'!H204)</x:f>
      </x:c>
      <x:c r="J204" s="12" t="str">
        <x:f>IF('Data &amp; Reporting'!I204="","",'Data &amp; Reporting'!I204)</x:f>
      </x:c>
      <x:c r="K204" s="12" t="str">
        <x:f>IF('Data &amp; Reporting'!J204="","",'Data &amp; Reporting'!J204)</x:f>
      </x:c>
      <x:c r="L204" s="2" t="str">
        <x:f>IF('Data &amp; Reporting'!K204="","",'Data &amp; Reporting'!K204)</x:f>
      </x:c>
      <x:c r="M204" s="2" t="n">
        <x:f>'Data &amp; Reporting'!Q204</x:f>
        <x:v>0</x:v>
      </x:c>
      <x:c r="N204" s="2" t="str">
        <x:f>'Data &amp; Reporting'!L204</x:f>
        <x:v>Open check</x:v>
      </x:c>
      <x:c r="O204" s="2" t="str">
        <x:f>'Data &amp; Reporting'!N204</x:f>
        <x:v>DR.AU.1.3.C10.2026.CY2</x:v>
      </x:c>
      <x:c r="P204" s="2" t="n">
        <x:f>'Data &amp; Reporting'!O204</x:f>
        <x:v>0</x:v>
      </x:c>
      <x:c r="Q204" s="2" t="n">
        <x:f>SUBTOTAL(103,O204)</x:f>
        <x:v>1</x:v>
      </x:c>
      <x:c r="R204" s="2" t="n">
        <x:f>IF(AND(M204=1,OR(Dashboard!$B$7="All",Dashboard!$B$7='Cycles &amp; Guide'!$C$5),OR(Dashboard!$D$7="All",Dashboard!$D$7=B204),OR(Dashboard!$F$7="All",Dashboard!$F$7=C204),OR(Dashboard!$H$7="All",Dashboard!$H$7=D204),OR(Dashboard!$K$7="All",Dashboard!$K$7=E204)),1,0)</x:f>
        <x:v>0</x:v>
      </x:c>
      <x:c r="S204" s="2" t="n">
        <x:f>IF(R204=1,SUM($R$10:R204),0)</x:f>
        <x:v>0</x:v>
      </x:c>
      <x:c r="T204" s="2" t="str">
        <x:v>Data &amp; Reporting</x:v>
      </x:c>
      <x:c r="U204" s="2" t="n">
        <x:v>204</x:v>
      </x:c>
      <x:c r="V204" s="2" t="n">
        <x:f>IF(AND(M204=1,P204=0,ISNUMBER(J204),J204&lt;TODAY()),1,0)</x:f>
        <x:v>0</x:v>
      </x:c>
      <x:c r="W204" s="2" t="str">
        <x:f>'Data &amp; Reporting'!M204</x:f>
        <x:v>Checklist</x:v>
      </x:c>
    </x:row>
    <x:row r="205" ht="40" customHeight="1">
      <x:c r="A205" s="3" t="str">
        <x:f>HYPERLINK("#'Data &amp; Reporting'!A205","Open")</x:f>
        <x:v>Open</x:v>
      </x:c>
      <x:c r="B205" s="2" t="str">
        <x:f>'Data &amp; Reporting'!B205</x:f>
        <x:v>Cycle 2</x:v>
      </x:c>
      <x:c r="C205" s="2" t="str">
        <x:f>'Data &amp; Reporting'!C205</x:f>
        <x:v>Phase 1</x:v>
      </x:c>
      <x:c r="D205" s="2" t="str">
        <x:f>'Data &amp; Reporting'!D205</x:f>
        <x:v>Auto</x:v>
      </x:c>
      <x:c r="E205" s="2" t="str">
        <x:v>Data &amp; Reporting</x:v>
      </x:c>
      <x:c r="F205" s="56" t="str">
        <x:f>'Data &amp; Reporting'!E205</x:f>
        <x:v>DR.AU.1.3.C11</x:v>
      </x:c>
      <x:c r="G205" s="14" t="str">
        <x:f>'Data &amp; Reporting'!F205</x:f>
        <x:v>    Document emerging trends, patterns, or concentrations along with supporting data</x:v>
      </x:c>
      <x:c r="H205" s="2" t="str">
        <x:f>IF('Data &amp; Reporting'!G205="","",'Data &amp; Reporting'!G205)</x:f>
      </x:c>
      <x:c r="I205" s="12" t="str">
        <x:f>IF('Data &amp; Reporting'!H205="","",'Data &amp; Reporting'!H205)</x:f>
      </x:c>
      <x:c r="J205" s="12" t="str">
        <x:f>IF('Data &amp; Reporting'!I205="","",'Data &amp; Reporting'!I205)</x:f>
      </x:c>
      <x:c r="K205" s="12" t="str">
        <x:f>IF('Data &amp; Reporting'!J205="","",'Data &amp; Reporting'!J205)</x:f>
      </x:c>
      <x:c r="L205" s="2" t="str">
        <x:f>IF('Data &amp; Reporting'!K205="","",'Data &amp; Reporting'!K205)</x:f>
      </x:c>
      <x:c r="M205" s="2" t="n">
        <x:f>'Data &amp; Reporting'!Q205</x:f>
        <x:v>0</x:v>
      </x:c>
      <x:c r="N205" s="2" t="str">
        <x:f>'Data &amp; Reporting'!L205</x:f>
        <x:v>Open check</x:v>
      </x:c>
      <x:c r="O205" s="2" t="str">
        <x:f>'Data &amp; Reporting'!N205</x:f>
        <x:v>DR.AU.1.3.C11.2026.CY2</x:v>
      </x:c>
      <x:c r="P205" s="2" t="n">
        <x:f>'Data &amp; Reporting'!O205</x:f>
        <x:v>0</x:v>
      </x:c>
      <x:c r="Q205" s="2" t="n">
        <x:f>SUBTOTAL(103,O205)</x:f>
        <x:v>1</x:v>
      </x:c>
      <x:c r="R205" s="2" t="n">
        <x:f>IF(AND(M205=1,OR(Dashboard!$B$7="All",Dashboard!$B$7='Cycles &amp; Guide'!$C$5),OR(Dashboard!$D$7="All",Dashboard!$D$7=B205),OR(Dashboard!$F$7="All",Dashboard!$F$7=C205),OR(Dashboard!$H$7="All",Dashboard!$H$7=D205),OR(Dashboard!$K$7="All",Dashboard!$K$7=E205)),1,0)</x:f>
        <x:v>0</x:v>
      </x:c>
      <x:c r="S205" s="2" t="n">
        <x:f>IF(R205=1,SUM($R$10:R205),0)</x:f>
        <x:v>0</x:v>
      </x:c>
      <x:c r="T205" s="2" t="str">
        <x:v>Data &amp; Reporting</x:v>
      </x:c>
      <x:c r="U205" s="2" t="n">
        <x:v>205</x:v>
      </x:c>
      <x:c r="V205" s="2" t="n">
        <x:f>IF(AND(M205=1,P205=0,ISNUMBER(J205),J205&lt;TODAY()),1,0)</x:f>
        <x:v>0</x:v>
      </x:c>
      <x:c r="W205" s="2" t="str">
        <x:f>'Data &amp; Reporting'!M205</x:f>
        <x:v>Checklist</x:v>
      </x:c>
    </x:row>
    <x:row r="206" ht="40" customHeight="1">
      <x:c r="A206" s="3" t="str">
        <x:f>HYPERLINK("#'Data &amp; Reporting'!A206","Open")</x:f>
        <x:v>Open</x:v>
      </x:c>
      <x:c r="B206" s="2" t="str">
        <x:f>'Data &amp; Reporting'!B206</x:f>
        <x:v>Cycle 2</x:v>
      </x:c>
      <x:c r="C206" s="2" t="str">
        <x:f>'Data &amp; Reporting'!C206</x:f>
        <x:v>Phase 1</x:v>
      </x:c>
      <x:c r="D206" s="2" t="str">
        <x:f>'Data &amp; Reporting'!D206</x:f>
        <x:v>Auto</x:v>
      </x:c>
      <x:c r="E206" s="2" t="str">
        <x:v>Data &amp; Reporting</x:v>
      </x:c>
      <x:c r="F206" s="56" t="str">
        <x:f>'Data &amp; Reporting'!E206</x:f>
        <x:v>DR.AU.1.3.C12</x:v>
      </x:c>
      <x:c r="G206" s="14" t="str">
        <x:f>'Data &amp; Reporting'!F206</x:f>
        <x:v>    Document any severe spikes in volume along with context (as needed)</x:v>
      </x:c>
      <x:c r="H206" s="2" t="str">
        <x:f>IF('Data &amp; Reporting'!G206="","",'Data &amp; Reporting'!G206)</x:f>
      </x:c>
      <x:c r="I206" s="12" t="str">
        <x:f>IF('Data &amp; Reporting'!H206="","",'Data &amp; Reporting'!H206)</x:f>
      </x:c>
      <x:c r="J206" s="12" t="str">
        <x:f>IF('Data &amp; Reporting'!I206="","",'Data &amp; Reporting'!I206)</x:f>
      </x:c>
      <x:c r="K206" s="12" t="str">
        <x:f>IF('Data &amp; Reporting'!J206="","",'Data &amp; Reporting'!J206)</x:f>
      </x:c>
      <x:c r="L206" s="2" t="str">
        <x:f>IF('Data &amp; Reporting'!K206="","",'Data &amp; Reporting'!K206)</x:f>
      </x:c>
      <x:c r="M206" s="2" t="n">
        <x:f>'Data &amp; Reporting'!Q206</x:f>
        <x:v>0</x:v>
      </x:c>
      <x:c r="N206" s="2" t="str">
        <x:f>'Data &amp; Reporting'!L206</x:f>
        <x:v>Open check</x:v>
      </x:c>
      <x:c r="O206" s="2" t="str">
        <x:f>'Data &amp; Reporting'!N206</x:f>
        <x:v>DR.AU.1.3.C12.2026.CY2</x:v>
      </x:c>
      <x:c r="P206" s="2" t="n">
        <x:f>'Data &amp; Reporting'!O206</x:f>
        <x:v>0</x:v>
      </x:c>
      <x:c r="Q206" s="2" t="n">
        <x:f>SUBTOTAL(103,O206)</x:f>
        <x:v>1</x:v>
      </x:c>
      <x:c r="R206" s="2" t="n">
        <x:f>IF(AND(M206=1,OR(Dashboard!$B$7="All",Dashboard!$B$7='Cycles &amp; Guide'!$C$5),OR(Dashboard!$D$7="All",Dashboard!$D$7=B206),OR(Dashboard!$F$7="All",Dashboard!$F$7=C206),OR(Dashboard!$H$7="All",Dashboard!$H$7=D206),OR(Dashboard!$K$7="All",Dashboard!$K$7=E206)),1,0)</x:f>
        <x:v>0</x:v>
      </x:c>
      <x:c r="S206" s="2" t="n">
        <x:f>IF(R206=1,SUM($R$10:R206),0)</x:f>
        <x:v>0</x:v>
      </x:c>
      <x:c r="T206" s="2" t="str">
        <x:v>Data &amp; Reporting</x:v>
      </x:c>
      <x:c r="U206" s="2" t="n">
        <x:v>206</x:v>
      </x:c>
      <x:c r="V206" s="2" t="n">
        <x:f>IF(AND(M206=1,P206=0,ISNUMBER(J206),J206&lt;TODAY()),1,0)</x:f>
        <x:v>0</x:v>
      </x:c>
      <x:c r="W206" s="2" t="str">
        <x:f>'Data &amp; Reporting'!M206</x:f>
        <x:v>Checklist</x:v>
      </x:c>
    </x:row>
    <x:row r="207" ht="40" customHeight="1">
      <x:c r="A207" s="3" t="str">
        <x:f>HYPERLINK("#'Data &amp; Reporting'!A207","Open")</x:f>
        <x:v>Open</x:v>
      </x:c>
      <x:c r="B207" s="2" t="str">
        <x:f>'Data &amp; Reporting'!B207</x:f>
        <x:v>Cycle 2</x:v>
      </x:c>
      <x:c r="C207" s="2" t="str">
        <x:f>'Data &amp; Reporting'!C207</x:f>
        <x:v>Phase 1</x:v>
      </x:c>
      <x:c r="D207" s="2" t="str">
        <x:f>'Data &amp; Reporting'!D207</x:f>
        <x:v>Auto</x:v>
      </x:c>
      <x:c r="E207" s="2" t="str">
        <x:v>Data &amp; Reporting</x:v>
      </x:c>
      <x:c r="F207" s="56" t="str">
        <x:f>'Data &amp; Reporting'!E207</x:f>
        <x:v>DR.AU.1.3.C13</x:v>
      </x:c>
      <x:c r="G207" s="14" t="str">
        <x:f>'Data &amp; Reporting'!F207</x:f>
        <x:v>    Document clear summary explaining how the data connects to the potential topic</x:v>
      </x:c>
      <x:c r="H207" s="2" t="str">
        <x:f>IF('Data &amp; Reporting'!G207="","",'Data &amp; Reporting'!G207)</x:f>
      </x:c>
      <x:c r="I207" s="12" t="str">
        <x:f>IF('Data &amp; Reporting'!H207="","",'Data &amp; Reporting'!H207)</x:f>
      </x:c>
      <x:c r="J207" s="12" t="str">
        <x:f>IF('Data &amp; Reporting'!I207="","",'Data &amp; Reporting'!I207)</x:f>
      </x:c>
      <x:c r="K207" s="12" t="str">
        <x:f>IF('Data &amp; Reporting'!J207="","",'Data &amp; Reporting'!J207)</x:f>
      </x:c>
      <x:c r="L207" s="2" t="str">
        <x:f>IF('Data &amp; Reporting'!K207="","",'Data &amp; Reporting'!K207)</x:f>
      </x:c>
      <x:c r="M207" s="2" t="n">
        <x:f>'Data &amp; Reporting'!Q207</x:f>
        <x:v>0</x:v>
      </x:c>
      <x:c r="N207" s="2" t="str">
        <x:f>'Data &amp; Reporting'!L207</x:f>
        <x:v>Open check</x:v>
      </x:c>
      <x:c r="O207" s="2" t="str">
        <x:f>'Data &amp; Reporting'!N207</x:f>
        <x:v>DR.AU.1.3.C13.2026.CY2</x:v>
      </x:c>
      <x:c r="P207" s="2" t="n">
        <x:f>'Data &amp; Reporting'!O207</x:f>
        <x:v>0</x:v>
      </x:c>
      <x:c r="Q207" s="2" t="n">
        <x:f>SUBTOTAL(103,O207)</x:f>
        <x:v>1</x:v>
      </x:c>
      <x:c r="R207" s="2" t="n">
        <x:f>IF(AND(M207=1,OR(Dashboard!$B$7="All",Dashboard!$B$7='Cycles &amp; Guide'!$C$5),OR(Dashboard!$D$7="All",Dashboard!$D$7=B207),OR(Dashboard!$F$7="All",Dashboard!$F$7=C207),OR(Dashboard!$H$7="All",Dashboard!$H$7=D207),OR(Dashboard!$K$7="All",Dashboard!$K$7=E207)),1,0)</x:f>
        <x:v>0</x:v>
      </x:c>
      <x:c r="S207" s="2" t="n">
        <x:f>IF(R207=1,SUM($R$10:R207),0)</x:f>
        <x:v>0</x:v>
      </x:c>
      <x:c r="T207" s="2" t="str">
        <x:v>Data &amp; Reporting</x:v>
      </x:c>
      <x:c r="U207" s="2" t="n">
        <x:v>207</x:v>
      </x:c>
      <x:c r="V207" s="2" t="n">
        <x:f>IF(AND(M207=1,P207=0,ISNUMBER(J207),J207&lt;TODAY()),1,0)</x:f>
        <x:v>0</x:v>
      </x:c>
      <x:c r="W207" s="2" t="str">
        <x:f>'Data &amp; Reporting'!M207</x:f>
        <x:v>Checklist</x:v>
      </x:c>
    </x:row>
    <x:row r="208" ht="40" customHeight="1">
      <x:c r="A208" s="3" t="str">
        <x:f>HYPERLINK("#'Data &amp; Reporting'!A208","Open")</x:f>
        <x:v>Open</x:v>
      </x:c>
      <x:c r="B208" s="2" t="str">
        <x:f>'Data &amp; Reporting'!B208</x:f>
        <x:v>Cycle 2</x:v>
      </x:c>
      <x:c r="C208" s="2" t="str">
        <x:f>'Data &amp; Reporting'!C208</x:f>
        <x:v>Phase 2</x:v>
      </x:c>
      <x:c r="D208" s="2" t="str">
        <x:f>'Data &amp; Reporting'!D208</x:f>
        <x:v>Auto</x:v>
      </x:c>
      <x:c r="E208" s="2" t="str">
        <x:v>Data &amp; Reporting</x:v>
      </x:c>
      <x:c r="F208" s="56" t="str">
        <x:f>'Data &amp; Reporting'!E208</x:f>
        <x:v>DR.AU.2.1</x:v>
      </x:c>
      <x:c r="G208" s="14" t="str">
        <x:f>'Data &amp; Reporting'!F208</x:f>
        <x:v>Ensure data is clean, structured, and usable without manipulation needed</x:v>
      </x:c>
      <x:c r="H208" s="2" t="str">
        <x:f>IF('Data &amp; Reporting'!G208="","",'Data &amp; Reporting'!G208)</x:f>
      </x:c>
      <x:c r="I208" s="12" t="str">
        <x:f>IF('Data &amp; Reporting'!H208="","",'Data &amp; Reporting'!H208)</x:f>
      </x:c>
      <x:c r="J208" s="12" t="n">
        <x:f>IF('Data &amp; Reporting'!I208="","",'Data &amp; Reporting'!I208)</x:f>
        <x:v>46203</x:v>
      </x:c>
      <x:c r="K208" s="12" t="str">
        <x:f>IF('Data &amp; Reporting'!J208="","",'Data &amp; Reporting'!J208)</x:f>
      </x:c>
      <x:c r="L208" s="2" t="str">
        <x:f>IF('Data &amp; Reporting'!K208="","",'Data &amp; Reporting'!K208)</x:f>
      </x:c>
      <x:c r="M208" s="2" t="n">
        <x:f>'Data &amp; Reporting'!Q208</x:f>
        <x:v>1</x:v>
      </x:c>
      <x:c r="N208" s="2" t="str">
        <x:f>'Data &amp; Reporting'!L208</x:f>
        <x:v>Not started</x:v>
      </x:c>
      <x:c r="O208" s="2" t="str">
        <x:f>'Data &amp; Reporting'!N208</x:f>
        <x:v>DR.AU.2.1.2026.CY2</x:v>
      </x:c>
      <x:c r="P208" s="2" t="n">
        <x:f>'Data &amp; Reporting'!O208</x:f>
        <x:v>0</x:v>
      </x:c>
      <x:c r="Q208" s="2" t="n">
        <x:f>SUBTOTAL(103,O208)</x:f>
        <x:v>1</x:v>
      </x:c>
      <x:c r="R208" s="2" t="n">
        <x:f>IF(AND(M208=1,OR(Dashboard!$B$7="All",Dashboard!$B$7='Cycles &amp; Guide'!$C$5),OR(Dashboard!$D$7="All",Dashboard!$D$7=B208),OR(Dashboard!$F$7="All",Dashboard!$F$7=C208),OR(Dashboard!$H$7="All",Dashboard!$H$7=D208),OR(Dashboard!$K$7="All",Dashboard!$K$7=E208)),1,0)</x:f>
        <x:v>1</x:v>
      </x:c>
      <x:c r="S208" s="2" t="n">
        <x:f>IF(R208=1,SUM($R$10:R208),0)</x:f>
        <x:v>95</x:v>
      </x:c>
      <x:c r="T208" s="2" t="str">
        <x:v>Data &amp; Reporting</x:v>
      </x:c>
      <x:c r="U208" s="2" t="n">
        <x:v>208</x:v>
      </x:c>
      <x:c r="V208" s="2" t="n">
        <x:f>IF(AND(M208=1,P208=0,ISNUMBER(J208),J208&lt;TODAY()),1,0)</x:f>
        <x:v>1</x:v>
      </x:c>
      <x:c r="W208" s="2" t="str">
        <x:f>'Data &amp; Reporting'!M208</x:f>
        <x:v>Task</x:v>
      </x:c>
    </x:row>
    <x:row r="209" ht="40" customHeight="1">
      <x:c r="A209" s="3" t="str">
        <x:f>HYPERLINK("#'Data &amp; Reporting'!A209","Open")</x:f>
        <x:v>Open</x:v>
      </x:c>
      <x:c r="B209" s="2" t="str">
        <x:f>'Data &amp; Reporting'!B209</x:f>
        <x:v>Cycle 2</x:v>
      </x:c>
      <x:c r="C209" s="2" t="str">
        <x:f>'Data &amp; Reporting'!C209</x:f>
        <x:v>Phase 2</x:v>
      </x:c>
      <x:c r="D209" s="2" t="str">
        <x:f>'Data &amp; Reporting'!D209</x:f>
        <x:v>Auto</x:v>
      </x:c>
      <x:c r="E209" s="2" t="str">
        <x:v>Data &amp; Reporting</x:v>
      </x:c>
      <x:c r="F209" s="56" t="str">
        <x:f>'Data &amp; Reporting'!E209</x:f>
        <x:v>DR.AU.2.2</x:v>
      </x:c>
      <x:c r="G209" s="14" t="str">
        <x:f>'Data &amp; Reporting'!F209</x:f>
        <x:v>Clearly document rationale for each topic recommendation within the SharePoint list</x:v>
      </x:c>
      <x:c r="H209" s="2" t="str">
        <x:f>IF('Data &amp; Reporting'!G209="","",'Data &amp; Reporting'!G209)</x:f>
      </x:c>
      <x:c r="I209" s="12" t="str">
        <x:f>IF('Data &amp; Reporting'!H209="","",'Data &amp; Reporting'!H209)</x:f>
      </x:c>
      <x:c r="J209" s="12" t="n">
        <x:f>IF('Data &amp; Reporting'!I209="","",'Data &amp; Reporting'!I209)</x:f>
        <x:v>46203</x:v>
      </x:c>
      <x:c r="K209" s="12" t="str">
        <x:f>IF('Data &amp; Reporting'!J209="","",'Data &amp; Reporting'!J209)</x:f>
      </x:c>
      <x:c r="L209" s="2" t="str">
        <x:f>IF('Data &amp; Reporting'!K209="","",'Data &amp; Reporting'!K209)</x:f>
      </x:c>
      <x:c r="M209" s="2" t="n">
        <x:f>'Data &amp; Reporting'!Q209</x:f>
        <x:v>1</x:v>
      </x:c>
      <x:c r="N209" s="2" t="str">
        <x:f>'Data &amp; Reporting'!L209</x:f>
        <x:v>Not started</x:v>
      </x:c>
      <x:c r="O209" s="2" t="str">
        <x:f>'Data &amp; Reporting'!N209</x:f>
        <x:v>DR.AU.2.2.2026.CY2</x:v>
      </x:c>
      <x:c r="P209" s="2" t="n">
        <x:f>'Data &amp; Reporting'!O209</x:f>
        <x:v>0</x:v>
      </x:c>
      <x:c r="Q209" s="2" t="n">
        <x:f>SUBTOTAL(103,O209)</x:f>
        <x:v>1</x:v>
      </x:c>
      <x:c r="R209" s="2" t="n">
        <x:f>IF(AND(M209=1,OR(Dashboard!$B$7="All",Dashboard!$B$7='Cycles &amp; Guide'!$C$5),OR(Dashboard!$D$7="All",Dashboard!$D$7=B209),OR(Dashboard!$F$7="All",Dashboard!$F$7=C209),OR(Dashboard!$H$7="All",Dashboard!$H$7=D209),OR(Dashboard!$K$7="All",Dashboard!$K$7=E209)),1,0)</x:f>
        <x:v>1</x:v>
      </x:c>
      <x:c r="S209" s="2" t="n">
        <x:f>IF(R209=1,SUM($R$10:R209),0)</x:f>
        <x:v>96</x:v>
      </x:c>
      <x:c r="T209" s="2" t="str">
        <x:v>Data &amp; Reporting</x:v>
      </x:c>
      <x:c r="U209" s="2" t="n">
        <x:v>209</x:v>
      </x:c>
      <x:c r="V209" s="2" t="n">
        <x:f>IF(AND(M209=1,P209=0,ISNUMBER(J209),J209&lt;TODAY()),1,0)</x:f>
        <x:v>1</x:v>
      </x:c>
      <x:c r="W209" s="2" t="str">
        <x:f>'Data &amp; Reporting'!M209</x:f>
        <x:v>Task</x:v>
      </x:c>
    </x:row>
    <x:row r="210" ht="40" customHeight="1">
      <x:c r="A210" s="3" t="str">
        <x:f>HYPERLINK("#'Data &amp; Reporting'!A210","Open")</x:f>
        <x:v>Open</x:v>
      </x:c>
      <x:c r="B210" s="2" t="str">
        <x:f>'Data &amp; Reporting'!B210</x:f>
        <x:v>Cycle 2</x:v>
      </x:c>
      <x:c r="C210" s="2" t="str">
        <x:f>'Data &amp; Reporting'!C210</x:f>
        <x:v>Phase 2</x:v>
      </x:c>
      <x:c r="D210" s="2" t="str">
        <x:f>'Data &amp; Reporting'!D210</x:f>
        <x:v>Auto</x:v>
      </x:c>
      <x:c r="E210" s="2" t="str">
        <x:v>Data &amp; Reporting</x:v>
      </x:c>
      <x:c r="F210" s="56" t="str">
        <x:f>'Data &amp; Reporting'!E210</x:f>
        <x:v>DR.AU.2.3</x:v>
      </x:c>
      <x:c r="G210" s="14" t="str">
        <x:f>'Data &amp; Reporting'!F210</x:f>
        <x:v>Verify topic is eligible for RCA and does not conflict with Attorney Client Privilege</x:v>
      </x:c>
      <x:c r="H210" s="2" t="str">
        <x:f>IF('Data &amp; Reporting'!G210="","",'Data &amp; Reporting'!G210)</x:f>
      </x:c>
      <x:c r="I210" s="12" t="str">
        <x:f>IF('Data &amp; Reporting'!H210="","",'Data &amp; Reporting'!H210)</x:f>
      </x:c>
      <x:c r="J210" s="12" t="n">
        <x:f>IF('Data &amp; Reporting'!I210="","",'Data &amp; Reporting'!I210)</x:f>
        <x:v>46203</x:v>
      </x:c>
      <x:c r="K210" s="12" t="str">
        <x:f>IF('Data &amp; Reporting'!J210="","",'Data &amp; Reporting'!J210)</x:f>
      </x:c>
      <x:c r="L210" s="2" t="str">
        <x:f>IF('Data &amp; Reporting'!K210="","",'Data &amp; Reporting'!K210)</x:f>
      </x:c>
      <x:c r="M210" s="2" t="n">
        <x:f>'Data &amp; Reporting'!Q210</x:f>
        <x:v>1</x:v>
      </x:c>
      <x:c r="N210" s="2" t="str">
        <x:f>'Data &amp; Reporting'!L210</x:f>
        <x:v>Not started</x:v>
      </x:c>
      <x:c r="O210" s="2" t="str">
        <x:f>'Data &amp; Reporting'!N210</x:f>
        <x:v>DR.AU.2.3.2026.CY2</x:v>
      </x:c>
      <x:c r="P210" s="2" t="n">
        <x:f>'Data &amp; Reporting'!O210</x:f>
        <x:v>0</x:v>
      </x:c>
      <x:c r="Q210" s="2" t="n">
        <x:f>SUBTOTAL(103,O210)</x:f>
        <x:v>1</x:v>
      </x:c>
      <x:c r="R210" s="2" t="n">
        <x:f>IF(AND(M210=1,OR(Dashboard!$B$7="All",Dashboard!$B$7='Cycles &amp; Guide'!$C$5),OR(Dashboard!$D$7="All",Dashboard!$D$7=B210),OR(Dashboard!$F$7="All",Dashboard!$F$7=C210),OR(Dashboard!$H$7="All",Dashboard!$H$7=D210),OR(Dashboard!$K$7="All",Dashboard!$K$7=E210)),1,0)</x:f>
        <x:v>1</x:v>
      </x:c>
      <x:c r="S210" s="2" t="n">
        <x:f>IF(R210=1,SUM($R$10:R210),0)</x:f>
        <x:v>97</x:v>
      </x:c>
      <x:c r="T210" s="2" t="str">
        <x:v>Data &amp; Reporting</x:v>
      </x:c>
      <x:c r="U210" s="2" t="n">
        <x:v>210</x:v>
      </x:c>
      <x:c r="V210" s="2" t="n">
        <x:f>IF(AND(M210=1,P210=0,ISNUMBER(J210),J210&lt;TODAY()),1,0)</x:f>
        <x:v>1</x:v>
      </x:c>
      <x:c r="W210" s="2" t="str">
        <x:f>'Data &amp; Reporting'!M210</x:f>
        <x:v>Task</x:v>
      </x:c>
    </x:row>
    <x:row r="211" ht="40" customHeight="1">
      <x:c r="A211" s="3" t="str">
        <x:f>HYPERLINK("#'Data &amp; Reporting'!A211","Open")</x:f>
        <x:v>Open</x:v>
      </x:c>
      <x:c r="B211" s="2" t="str">
        <x:f>'Data &amp; Reporting'!B211</x:f>
        <x:v>Cycle 2</x:v>
      </x:c>
      <x:c r="C211" s="2" t="str">
        <x:f>'Data &amp; Reporting'!C211</x:f>
        <x:v>Phase 2</x:v>
      </x:c>
      <x:c r="D211" s="2" t="str">
        <x:f>'Data &amp; Reporting'!D211</x:f>
        <x:v>Auto</x:v>
      </x:c>
      <x:c r="E211" s="2" t="str">
        <x:v>Data &amp; Reporting</x:v>
      </x:c>
      <x:c r="F211" s="56" t="str">
        <x:f>'Data &amp; Reporting'!E211</x:f>
        <x:v>DR.AU.2.4</x:v>
      </x:c>
      <x:c r="G211" s="14" t="str">
        <x:f>'Data &amp; Reporting'!F211</x:f>
        <x:v>Ensure data is free of errors and anomalies prior to hand-off to Research</x:v>
      </x:c>
      <x:c r="H211" s="2" t="str">
        <x:f>IF('Data &amp; Reporting'!G211="","",'Data &amp; Reporting'!G211)</x:f>
      </x:c>
      <x:c r="I211" s="12" t="str">
        <x:f>IF('Data &amp; Reporting'!H211="","",'Data &amp; Reporting'!H211)</x:f>
      </x:c>
      <x:c r="J211" s="12" t="n">
        <x:f>IF('Data &amp; Reporting'!I211="","",'Data &amp; Reporting'!I211)</x:f>
        <x:v>46203</x:v>
      </x:c>
      <x:c r="K211" s="12" t="str">
        <x:f>IF('Data &amp; Reporting'!J211="","",'Data &amp; Reporting'!J211)</x:f>
      </x:c>
      <x:c r="L211" s="2" t="str">
        <x:f>IF('Data &amp; Reporting'!K211="","",'Data &amp; Reporting'!K211)</x:f>
      </x:c>
      <x:c r="M211" s="2" t="n">
        <x:f>'Data &amp; Reporting'!Q211</x:f>
        <x:v>1</x:v>
      </x:c>
      <x:c r="N211" s="2" t="str">
        <x:f>'Data &amp; Reporting'!L211</x:f>
        <x:v>Not started</x:v>
      </x:c>
      <x:c r="O211" s="2" t="str">
        <x:f>'Data &amp; Reporting'!N211</x:f>
        <x:v>DR.AU.2.4.2026.CY2</x:v>
      </x:c>
      <x:c r="P211" s="2" t="n">
        <x:f>'Data &amp; Reporting'!O211</x:f>
        <x:v>0</x:v>
      </x:c>
      <x:c r="Q211" s="2" t="n">
        <x:f>SUBTOTAL(103,O211)</x:f>
        <x:v>1</x:v>
      </x:c>
      <x:c r="R211" s="2" t="n">
        <x:f>IF(AND(M211=1,OR(Dashboard!$B$7="All",Dashboard!$B$7='Cycles &amp; Guide'!$C$5),OR(Dashboard!$D$7="All",Dashboard!$D$7=B211),OR(Dashboard!$F$7="All",Dashboard!$F$7=C211),OR(Dashboard!$H$7="All",Dashboard!$H$7=D211),OR(Dashboard!$K$7="All",Dashboard!$K$7=E211)),1,0)</x:f>
        <x:v>1</x:v>
      </x:c>
      <x:c r="S211" s="2" t="n">
        <x:f>IF(R211=1,SUM($R$10:R211),0)</x:f>
        <x:v>98</x:v>
      </x:c>
      <x:c r="T211" s="2" t="str">
        <x:v>Data &amp; Reporting</x:v>
      </x:c>
      <x:c r="U211" s="2" t="n">
        <x:v>211</x:v>
      </x:c>
      <x:c r="V211" s="2" t="n">
        <x:f>IF(AND(M211=1,P211=0,ISNUMBER(J211),J211&lt;TODAY()),1,0)</x:f>
        <x:v>1</x:v>
      </x:c>
      <x:c r="W211" s="2" t="str">
        <x:f>'Data &amp; Reporting'!M211</x:f>
        <x:v>Task</x:v>
      </x:c>
    </x:row>
    <x:row r="212" ht="40" customHeight="1">
      <x:c r="A212" s="3" t="str">
        <x:f>HYPERLINK("#'Data &amp; Reporting'!A212","Open")</x:f>
        <x:v>Open</x:v>
      </x:c>
      <x:c r="B212" s="2" t="str">
        <x:f>'Data &amp; Reporting'!B212</x:f>
        <x:v>Cycle 2</x:v>
      </x:c>
      <x:c r="C212" s="2" t="str">
        <x:f>'Data &amp; Reporting'!C212</x:f>
        <x:v>Phase 2</x:v>
      </x:c>
      <x:c r="D212" s="2" t="str">
        <x:f>'Data &amp; Reporting'!D212</x:f>
        <x:v>Auto</x:v>
      </x:c>
      <x:c r="E212" s="2" t="str">
        <x:v>Data &amp; Reporting</x:v>
      </x:c>
      <x:c r="F212" s="56" t="str">
        <x:f>'Data &amp; Reporting'!E212</x:f>
        <x:v>DR.AU.2.5</x:v>
      </x:c>
      <x:c r="G212" s="14" t="str">
        <x:f>'Data &amp; Reporting'!F212</x:f>
        <x:v>Ensure topic is not a duplicate from a previous Cycle</x:v>
      </x:c>
      <x:c r="H212" s="2" t="str">
        <x:f>IF('Data &amp; Reporting'!G212="","",'Data &amp; Reporting'!G212)</x:f>
      </x:c>
      <x:c r="I212" s="12" t="str">
        <x:f>IF('Data &amp; Reporting'!H212="","",'Data &amp; Reporting'!H212)</x:f>
      </x:c>
      <x:c r="J212" s="12" t="n">
        <x:f>IF('Data &amp; Reporting'!I212="","",'Data &amp; Reporting'!I212)</x:f>
        <x:v>46203</x:v>
      </x:c>
      <x:c r="K212" s="12" t="str">
        <x:f>IF('Data &amp; Reporting'!J212="","",'Data &amp; Reporting'!J212)</x:f>
      </x:c>
      <x:c r="L212" s="2" t="str">
        <x:f>IF('Data &amp; Reporting'!K212="","",'Data &amp; Reporting'!K212)</x:f>
      </x:c>
      <x:c r="M212" s="2" t="n">
        <x:f>'Data &amp; Reporting'!Q212</x:f>
        <x:v>1</x:v>
      </x:c>
      <x:c r="N212" s="2" t="str">
        <x:f>'Data &amp; Reporting'!L212</x:f>
        <x:v>Not started</x:v>
      </x:c>
      <x:c r="O212" s="2" t="str">
        <x:f>'Data &amp; Reporting'!N212</x:f>
        <x:v>DR.AU.2.5.2026.CY2</x:v>
      </x:c>
      <x:c r="P212" s="2" t="n">
        <x:f>'Data &amp; Reporting'!O212</x:f>
        <x:v>0</x:v>
      </x:c>
      <x:c r="Q212" s="2" t="n">
        <x:f>SUBTOTAL(103,O212)</x:f>
        <x:v>1</x:v>
      </x:c>
      <x:c r="R212" s="2" t="n">
        <x:f>IF(AND(M212=1,OR(Dashboard!$B$7="All",Dashboard!$B$7='Cycles &amp; Guide'!$C$5),OR(Dashboard!$D$7="All",Dashboard!$D$7=B212),OR(Dashboard!$F$7="All",Dashboard!$F$7=C212),OR(Dashboard!$H$7="All",Dashboard!$H$7=D212),OR(Dashboard!$K$7="All",Dashboard!$K$7=E212)),1,0)</x:f>
        <x:v>1</x:v>
      </x:c>
      <x:c r="S212" s="2" t="n">
        <x:f>IF(R212=1,SUM($R$10:R212),0)</x:f>
        <x:v>99</x:v>
      </x:c>
      <x:c r="T212" s="2" t="str">
        <x:v>Data &amp; Reporting</x:v>
      </x:c>
      <x:c r="U212" s="2" t="n">
        <x:v>212</x:v>
      </x:c>
      <x:c r="V212" s="2" t="n">
        <x:f>IF(AND(M212=1,P212=0,ISNUMBER(J212),J212&lt;TODAY()),1,0)</x:f>
        <x:v>1</x:v>
      </x:c>
      <x:c r="W212" s="2" t="str">
        <x:f>'Data &amp; Reporting'!M212</x:f>
        <x:v>Task</x:v>
      </x:c>
    </x:row>
    <x:row r="213" ht="40" customHeight="1">
      <x:c r="A213" s="3" t="str">
        <x:f>HYPERLINK("#'Data &amp; Reporting'!A213","Open")</x:f>
        <x:v>Open</x:v>
      </x:c>
      <x:c r="B213" s="2" t="str">
        <x:f>'Data &amp; Reporting'!B213</x:f>
        <x:v>Cycle 2</x:v>
      </x:c>
      <x:c r="C213" s="2" t="str">
        <x:f>'Data &amp; Reporting'!C213</x:f>
        <x:v>Phase 2</x:v>
      </x:c>
      <x:c r="D213" s="2" t="str">
        <x:f>'Data &amp; Reporting'!D213</x:f>
        <x:v>Auto</x:v>
      </x:c>
      <x:c r="E213" s="2" t="str">
        <x:v>Data &amp; Reporting</x:v>
      </x:c>
      <x:c r="F213" s="56" t="str">
        <x:f>'Data &amp; Reporting'!E213</x:f>
        <x:v>DR.AU.2.6</x:v>
      </x:c>
      <x:c r="G213" s="14" t="str">
        <x:f>'Data &amp; Reporting'!F213</x:f>
        <x:v>Document clear distinctions between facts, assumptions, and hypotheses within the data package</x:v>
      </x:c>
      <x:c r="H213" s="2" t="str">
        <x:f>IF('Data &amp; Reporting'!G213="","",'Data &amp; Reporting'!G213)</x:f>
      </x:c>
      <x:c r="I213" s="12" t="str">
        <x:f>IF('Data &amp; Reporting'!H213="","",'Data &amp; Reporting'!H213)</x:f>
      </x:c>
      <x:c r="J213" s="12" t="n">
        <x:f>IF('Data &amp; Reporting'!I213="","",'Data &amp; Reporting'!I213)</x:f>
        <x:v>46203</x:v>
      </x:c>
      <x:c r="K213" s="12" t="str">
        <x:f>IF('Data &amp; Reporting'!J213="","",'Data &amp; Reporting'!J213)</x:f>
      </x:c>
      <x:c r="L213" s="2" t="str">
        <x:f>IF('Data &amp; Reporting'!K213="","",'Data &amp; Reporting'!K213)</x:f>
      </x:c>
      <x:c r="M213" s="2" t="n">
        <x:f>'Data &amp; Reporting'!Q213</x:f>
        <x:v>1</x:v>
      </x:c>
      <x:c r="N213" s="2" t="str">
        <x:f>'Data &amp; Reporting'!L213</x:f>
        <x:v>Not started</x:v>
      </x:c>
      <x:c r="O213" s="2" t="str">
        <x:f>'Data &amp; Reporting'!N213</x:f>
        <x:v>DR.AU.2.6.2026.CY2</x:v>
      </x:c>
      <x:c r="P213" s="2" t="n">
        <x:f>'Data &amp; Reporting'!O213</x:f>
        <x:v>0</x:v>
      </x:c>
      <x:c r="Q213" s="2" t="n">
        <x:f>SUBTOTAL(103,O213)</x:f>
        <x:v>1</x:v>
      </x:c>
      <x:c r="R213" s="2" t="n">
        <x:f>IF(AND(M213=1,OR(Dashboard!$B$7="All",Dashboard!$B$7='Cycles &amp; Guide'!$C$5),OR(Dashboard!$D$7="All",Dashboard!$D$7=B213),OR(Dashboard!$F$7="All",Dashboard!$F$7=C213),OR(Dashboard!$H$7="All",Dashboard!$H$7=D213),OR(Dashboard!$K$7="All",Dashboard!$K$7=E213)),1,0)</x:f>
        <x:v>1</x:v>
      </x:c>
      <x:c r="S213" s="2" t="n">
        <x:f>IF(R213=1,SUM($R$10:R213),0)</x:f>
        <x:v>100</x:v>
      </x:c>
      <x:c r="T213" s="2" t="str">
        <x:v>Data &amp; Reporting</x:v>
      </x:c>
      <x:c r="U213" s="2" t="n">
        <x:v>213</x:v>
      </x:c>
      <x:c r="V213" s="2" t="n">
        <x:f>IF(AND(M213=1,P213=0,ISNUMBER(J213),J213&lt;TODAY()),1,0)</x:f>
        <x:v>1</x:v>
      </x:c>
      <x:c r="W213" s="2" t="str">
        <x:f>'Data &amp; Reporting'!M213</x:f>
        <x:v>Task</x:v>
      </x:c>
    </x:row>
    <x:row r="214" ht="40" customHeight="1">
      <x:c r="A214" s="3" t="str">
        <x:f>HYPERLINK("#'Data &amp; Reporting'!A214","Open")</x:f>
        <x:v>Open</x:v>
      </x:c>
      <x:c r="B214" s="2" t="str">
        <x:f>'Data &amp; Reporting'!B214</x:f>
        <x:v>Cycle 2</x:v>
      </x:c>
      <x:c r="C214" s="2" t="str">
        <x:f>'Data &amp; Reporting'!C214</x:f>
        <x:v>Phase 3</x:v>
      </x:c>
      <x:c r="D214" s="2" t="str">
        <x:f>'Data &amp; Reporting'!D214</x:f>
        <x:v>Auto</x:v>
      </x:c>
      <x:c r="E214" s="2" t="str">
        <x:v>Data &amp; Reporting</x:v>
      </x:c>
      <x:c r="F214" s="56" t="str">
        <x:f>'Data &amp; Reporting'!E214</x:f>
        <x:v>DR.AU.3.1</x:v>
      </x:c>
      <x:c r="G214" s="14" t="str">
        <x:f>'Data &amp; Reporting'!F214</x:f>
        <x:v>Clearly document rationale for each topic recommendation within the SharePoint list item</x:v>
      </x:c>
      <x:c r="H214" s="2" t="str">
        <x:f>IF('Data &amp; Reporting'!G214="","",'Data &amp; Reporting'!G214)</x:f>
      </x:c>
      <x:c r="I214" s="12" t="str">
        <x:f>IF('Data &amp; Reporting'!H214="","",'Data &amp; Reporting'!H214)</x:f>
      </x:c>
      <x:c r="J214" s="12" t="n">
        <x:f>IF('Data &amp; Reporting'!I214="","",'Data &amp; Reporting'!I214)</x:f>
        <x:v>46203</x:v>
      </x:c>
      <x:c r="K214" s="12" t="str">
        <x:f>IF('Data &amp; Reporting'!J214="","",'Data &amp; Reporting'!J214)</x:f>
      </x:c>
      <x:c r="L214" s="2" t="str">
        <x:f>IF('Data &amp; Reporting'!K214="","",'Data &amp; Reporting'!K214)</x:f>
      </x:c>
      <x:c r="M214" s="2" t="n">
        <x:f>'Data &amp; Reporting'!Q214</x:f>
        <x:v>1</x:v>
      </x:c>
      <x:c r="N214" s="2" t="str">
        <x:f>'Data &amp; Reporting'!L214</x:f>
        <x:v>Not started</x:v>
      </x:c>
      <x:c r="O214" s="2" t="str">
        <x:f>'Data &amp; Reporting'!N214</x:f>
        <x:v>DR.AU.3.1.2026.CY2</x:v>
      </x:c>
      <x:c r="P214" s="2" t="n">
        <x:f>'Data &amp; Reporting'!O214</x:f>
        <x:v>0</x:v>
      </x:c>
      <x:c r="Q214" s="2" t="n">
        <x:f>SUBTOTAL(103,O214)</x:f>
        <x:v>1</x:v>
      </x:c>
      <x:c r="R214" s="2" t="n">
        <x:f>IF(AND(M214=1,OR(Dashboard!$B$7="All",Dashboard!$B$7='Cycles &amp; Guide'!$C$5),OR(Dashboard!$D$7="All",Dashboard!$D$7=B214),OR(Dashboard!$F$7="All",Dashboard!$F$7=C214),OR(Dashboard!$H$7="All",Dashboard!$H$7=D214),OR(Dashboard!$K$7="All",Dashboard!$K$7=E214)),1,0)</x:f>
        <x:v>1</x:v>
      </x:c>
      <x:c r="S214" s="2" t="n">
        <x:f>IF(R214=1,SUM($R$10:R214),0)</x:f>
        <x:v>101</x:v>
      </x:c>
      <x:c r="T214" s="2" t="str">
        <x:v>Data &amp; Reporting</x:v>
      </x:c>
      <x:c r="U214" s="2" t="n">
        <x:v>214</x:v>
      </x:c>
      <x:c r="V214" s="2" t="n">
        <x:f>IF(AND(M214=1,P214=0,ISNUMBER(J214),J214&lt;TODAY()),1,0)</x:f>
        <x:v>1</x:v>
      </x:c>
      <x:c r="W214" s="2" t="str">
        <x:f>'Data &amp; Reporting'!M214</x:f>
        <x:v>Task</x:v>
      </x:c>
    </x:row>
    <x:row r="215" ht="40" customHeight="1">
      <x:c r="A215" s="3" t="str">
        <x:f>HYPERLINK("#'Data &amp; Reporting'!A215","Open")</x:f>
        <x:v>Open</x:v>
      </x:c>
      <x:c r="B215" s="2" t="str">
        <x:f>'Data &amp; Reporting'!B215</x:f>
        <x:v>Cycle 2</x:v>
      </x:c>
      <x:c r="C215" s="2" t="str">
        <x:f>'Data &amp; Reporting'!C215</x:f>
        <x:v>Phase 3</x:v>
      </x:c>
      <x:c r="D215" s="2" t="str">
        <x:f>'Data &amp; Reporting'!D215</x:f>
        <x:v>Auto</x:v>
      </x:c>
      <x:c r="E215" s="2" t="str">
        <x:v>Data &amp; Reporting</x:v>
      </x:c>
      <x:c r="F215" s="56" t="str">
        <x:f>'Data &amp; Reporting'!E215</x:f>
        <x:v>DR.AU.3.2</x:v>
      </x:c>
      <x:c r="G215" s="14" t="str">
        <x:f>'Data &amp; Reporting'!F215</x:f>
        <x:v>Attach the data package for each topic recommendation within the SharePoint list item</x:v>
      </x:c>
      <x:c r="H215" s="2" t="str">
        <x:f>IF('Data &amp; Reporting'!G215="","",'Data &amp; Reporting'!G215)</x:f>
      </x:c>
      <x:c r="I215" s="12" t="str">
        <x:f>IF('Data &amp; Reporting'!H215="","",'Data &amp; Reporting'!H215)</x:f>
      </x:c>
      <x:c r="J215" s="12" t="n">
        <x:f>IF('Data &amp; Reporting'!I215="","",'Data &amp; Reporting'!I215)</x:f>
        <x:v>46203</x:v>
      </x:c>
      <x:c r="K215" s="12" t="str">
        <x:f>IF('Data &amp; Reporting'!J215="","",'Data &amp; Reporting'!J215)</x:f>
      </x:c>
      <x:c r="L215" s="2" t="str">
        <x:f>IF('Data &amp; Reporting'!K215="","",'Data &amp; Reporting'!K215)</x:f>
      </x:c>
      <x:c r="M215" s="2" t="n">
        <x:f>'Data &amp; Reporting'!Q215</x:f>
        <x:v>1</x:v>
      </x:c>
      <x:c r="N215" s="2" t="str">
        <x:f>'Data &amp; Reporting'!L215</x:f>
        <x:v>Not started</x:v>
      </x:c>
      <x:c r="O215" s="2" t="str">
        <x:f>'Data &amp; Reporting'!N215</x:f>
        <x:v>DR.AU.3.2.2026.CY2</x:v>
      </x:c>
      <x:c r="P215" s="2" t="n">
        <x:f>'Data &amp; Reporting'!O215</x:f>
        <x:v>0</x:v>
      </x:c>
      <x:c r="Q215" s="2" t="n">
        <x:f>SUBTOTAL(103,O215)</x:f>
        <x:v>1</x:v>
      </x:c>
      <x:c r="R215" s="2" t="n">
        <x:f>IF(AND(M215=1,OR(Dashboard!$B$7="All",Dashboard!$B$7='Cycles &amp; Guide'!$C$5),OR(Dashboard!$D$7="All",Dashboard!$D$7=B215),OR(Dashboard!$F$7="All",Dashboard!$F$7=C215),OR(Dashboard!$H$7="All",Dashboard!$H$7=D215),OR(Dashboard!$K$7="All",Dashboard!$K$7=E215)),1,0)</x:f>
        <x:v>1</x:v>
      </x:c>
      <x:c r="S215" s="2" t="n">
        <x:f>IF(R215=1,SUM($R$10:R215),0)</x:f>
        <x:v>102</x:v>
      </x:c>
      <x:c r="T215" s="2" t="str">
        <x:v>Data &amp; Reporting</x:v>
      </x:c>
      <x:c r="U215" s="2" t="n">
        <x:v>215</x:v>
      </x:c>
      <x:c r="V215" s="2" t="n">
        <x:f>IF(AND(M215=1,P215=0,ISNUMBER(J215),J215&lt;TODAY()),1,0)</x:f>
        <x:v>1</x:v>
      </x:c>
      <x:c r="W215" s="2" t="str">
        <x:f>'Data &amp; Reporting'!M215</x:f>
        <x:v>Task</x:v>
      </x:c>
    </x:row>
    <x:row r="216" ht="40" customHeight="1">
      <x:c r="A216" s="3" t="str">
        <x:f>HYPERLINK("#'Data &amp; Reporting'!A216","Open")</x:f>
        <x:v>Open</x:v>
      </x:c>
      <x:c r="B216" s="2" t="str">
        <x:f>'Data &amp; Reporting'!B216</x:f>
        <x:v>Cycle 2</x:v>
      </x:c>
      <x:c r="C216" s="2" t="str">
        <x:f>'Data &amp; Reporting'!C216</x:f>
        <x:v>Phase 3</x:v>
      </x:c>
      <x:c r="D216" s="2" t="str">
        <x:f>'Data &amp; Reporting'!D216</x:f>
        <x:v>Auto</x:v>
      </x:c>
      <x:c r="E216" s="2" t="str">
        <x:v>Data &amp; Reporting</x:v>
      </x:c>
      <x:c r="F216" s="56" t="str">
        <x:f>'Data &amp; Reporting'!E216</x:f>
        <x:v>DR.AU.3.3</x:v>
      </x:c>
      <x:c r="G216" s="14" t="str">
        <x:f>'Data &amp; Reporting'!F216</x:f>
        <x:v>Confirm data privileges have been granted, ensuring each pillar can access</x:v>
      </x:c>
      <x:c r="H216" s="2" t="str">
        <x:f>IF('Data &amp; Reporting'!G216="","",'Data &amp; Reporting'!G216)</x:f>
      </x:c>
      <x:c r="I216" s="12" t="str">
        <x:f>IF('Data &amp; Reporting'!H216="","",'Data &amp; Reporting'!H216)</x:f>
      </x:c>
      <x:c r="J216" s="12" t="n">
        <x:f>IF('Data &amp; Reporting'!I216="","",'Data &amp; Reporting'!I216)</x:f>
        <x:v>46203</x:v>
      </x:c>
      <x:c r="K216" s="12" t="str">
        <x:f>IF('Data &amp; Reporting'!J216="","",'Data &amp; Reporting'!J216)</x:f>
      </x:c>
      <x:c r="L216" s="2" t="str">
        <x:f>IF('Data &amp; Reporting'!K216="","",'Data &amp; Reporting'!K216)</x:f>
      </x:c>
      <x:c r="M216" s="2" t="n">
        <x:f>'Data &amp; Reporting'!Q216</x:f>
        <x:v>1</x:v>
      </x:c>
      <x:c r="N216" s="2" t="str">
        <x:f>'Data &amp; Reporting'!L216</x:f>
        <x:v>Not started</x:v>
      </x:c>
      <x:c r="O216" s="2" t="str">
        <x:f>'Data &amp; Reporting'!N216</x:f>
        <x:v>DR.AU.3.3.2026.CY2</x:v>
      </x:c>
      <x:c r="P216" s="2" t="n">
        <x:f>'Data &amp; Reporting'!O216</x:f>
        <x:v>0</x:v>
      </x:c>
      <x:c r="Q216" s="2" t="n">
        <x:f>SUBTOTAL(103,O216)</x:f>
        <x:v>1</x:v>
      </x:c>
      <x:c r="R216" s="2" t="n">
        <x:f>IF(AND(M216=1,OR(Dashboard!$B$7="All",Dashboard!$B$7='Cycles &amp; Guide'!$C$5),OR(Dashboard!$D$7="All",Dashboard!$D$7=B216),OR(Dashboard!$F$7="All",Dashboard!$F$7=C216),OR(Dashboard!$H$7="All",Dashboard!$H$7=D216),OR(Dashboard!$K$7="All",Dashboard!$K$7=E216)),1,0)</x:f>
        <x:v>1</x:v>
      </x:c>
      <x:c r="S216" s="2" t="n">
        <x:f>IF(R216=1,SUM($R$10:R216),0)</x:f>
        <x:v>103</x:v>
      </x:c>
      <x:c r="T216" s="2" t="str">
        <x:v>Data &amp; Reporting</x:v>
      </x:c>
      <x:c r="U216" s="2" t="n">
        <x:v>216</x:v>
      </x:c>
      <x:c r="V216" s="2" t="n">
        <x:f>IF(AND(M216=1,P216=0,ISNUMBER(J216),J216&lt;TODAY()),1,0)</x:f>
        <x:v>1</x:v>
      </x:c>
      <x:c r="W216" s="2" t="str">
        <x:f>'Data &amp; Reporting'!M216</x:f>
        <x:v>Task</x:v>
      </x:c>
    </x:row>
    <x:row r="217" ht="40" customHeight="1">
      <x:c r="A217" s="3" t="str">
        <x:f>HYPERLINK("#'Data &amp; Reporting'!A217","Open")</x:f>
        <x:v>Open</x:v>
      </x:c>
      <x:c r="B217" s="2" t="str">
        <x:f>'Data &amp; Reporting'!B217</x:f>
        <x:v>Cycle 2</x:v>
      </x:c>
      <x:c r="C217" s="2" t="str">
        <x:f>'Data &amp; Reporting'!C217</x:f>
        <x:v>Phase 3</x:v>
      </x:c>
      <x:c r="D217" s="2" t="str">
        <x:f>'Data &amp; Reporting'!D217</x:f>
        <x:v>Auto</x:v>
      </x:c>
      <x:c r="E217" s="2" t="str">
        <x:v>Data &amp; Reporting</x:v>
      </x:c>
      <x:c r="F217" s="56" t="str">
        <x:f>'Data &amp; Reporting'!E217</x:f>
        <x:v>DR.AU.3.4</x:v>
      </x:c>
      <x:c r="G217" s="14" t="str">
        <x:f>'Data &amp; Reporting'!F217</x:f>
        <x:v>Ensure Power Automate notifications were correctly triggered within Microsoft Teams</x:v>
      </x:c>
      <x:c r="H217" s="2" t="str">
        <x:f>IF('Data &amp; Reporting'!G217="","",'Data &amp; Reporting'!G217)</x:f>
      </x:c>
      <x:c r="I217" s="12" t="str">
        <x:f>IF('Data &amp; Reporting'!H217="","",'Data &amp; Reporting'!H217)</x:f>
      </x:c>
      <x:c r="J217" s="12" t="n">
        <x:f>IF('Data &amp; Reporting'!I217="","",'Data &amp; Reporting'!I217)</x:f>
        <x:v>46203</x:v>
      </x:c>
      <x:c r="K217" s="12" t="str">
        <x:f>IF('Data &amp; Reporting'!J217="","",'Data &amp; Reporting'!J217)</x:f>
      </x:c>
      <x:c r="L217" s="2" t="str">
        <x:f>IF('Data &amp; Reporting'!K217="","",'Data &amp; Reporting'!K217)</x:f>
      </x:c>
      <x:c r="M217" s="2" t="n">
        <x:f>'Data &amp; Reporting'!Q217</x:f>
        <x:v>1</x:v>
      </x:c>
      <x:c r="N217" s="2" t="str">
        <x:f>'Data &amp; Reporting'!L217</x:f>
        <x:v>Not started</x:v>
      </x:c>
      <x:c r="O217" s="2" t="str">
        <x:f>'Data &amp; Reporting'!N217</x:f>
        <x:v>DR.AU.3.4.2026.CY2</x:v>
      </x:c>
      <x:c r="P217" s="2" t="n">
        <x:f>'Data &amp; Reporting'!O217</x:f>
        <x:v>0</x:v>
      </x:c>
      <x:c r="Q217" s="2" t="n">
        <x:f>SUBTOTAL(103,O217)</x:f>
        <x:v>1</x:v>
      </x:c>
      <x:c r="R217" s="2" t="n">
        <x:f>IF(AND(M217=1,OR(Dashboard!$B$7="All",Dashboard!$B$7='Cycles &amp; Guide'!$C$5),OR(Dashboard!$D$7="All",Dashboard!$D$7=B217),OR(Dashboard!$F$7="All",Dashboard!$F$7=C217),OR(Dashboard!$H$7="All",Dashboard!$H$7=D217),OR(Dashboard!$K$7="All",Dashboard!$K$7=E217)),1,0)</x:f>
        <x:v>1</x:v>
      </x:c>
      <x:c r="S217" s="2" t="n">
        <x:f>IF(R217=1,SUM($R$10:R217),0)</x:f>
        <x:v>104</x:v>
      </x:c>
      <x:c r="T217" s="2" t="str">
        <x:v>Data &amp; Reporting</x:v>
      </x:c>
      <x:c r="U217" s="2" t="n">
        <x:v>217</x:v>
      </x:c>
      <x:c r="V217" s="2" t="n">
        <x:f>IF(AND(M217=1,P217=0,ISNUMBER(J217),J217&lt;TODAY()),1,0)</x:f>
        <x:v>1</x:v>
      </x:c>
      <x:c r="W217" s="2" t="str">
        <x:f>'Data &amp; Reporting'!M217</x:f>
        <x:v>Task</x:v>
      </x:c>
    </x:row>
    <x:row r="218" ht="40" customHeight="1">
      <x:c r="A218" s="3" t="str">
        <x:f>HYPERLINK("#'Data &amp; Reporting'!A218","Open")</x:f>
        <x:v>Open</x:v>
      </x:c>
      <x:c r="B218" s="2" t="str">
        <x:f>'Data &amp; Reporting'!B218</x:f>
        <x:v>Cycle 2</x:v>
      </x:c>
      <x:c r="C218" s="2" t="str">
        <x:f>'Data &amp; Reporting'!C218</x:f>
        <x:v>Phase 1</x:v>
      </x:c>
      <x:c r="D218" s="2" t="str">
        <x:f>'Data &amp; Reporting'!D218</x:f>
        <x:v>Cards</x:v>
      </x:c>
      <x:c r="E218" s="2" t="str">
        <x:v>Data &amp; Reporting</x:v>
      </x:c>
      <x:c r="F218" s="56" t="str">
        <x:f>'Data &amp; Reporting'!E218</x:f>
        <x:v>DR.CA.1.1</x:v>
      </x:c>
      <x:c r="G218" s="14" t="str">
        <x:f>'Data &amp; Reporting'!F218</x:f>
        <x:v>Review data sources 3 weeks prior to Cycle start (Complaints, Gen AI, Loudspeaker, NPS, etc.)</x:v>
      </x:c>
      <x:c r="H218" s="2" t="str">
        <x:f>IF('Data &amp; Reporting'!G218="","",'Data &amp; Reporting'!G218)</x:f>
      </x:c>
      <x:c r="I218" s="12" t="str">
        <x:f>IF('Data &amp; Reporting'!H218="","",'Data &amp; Reporting'!H218)</x:f>
      </x:c>
      <x:c r="J218" s="12" t="n">
        <x:f>IF('Data &amp; Reporting'!I218="","",'Data &amp; Reporting'!I218)</x:f>
        <x:v>46092</x:v>
      </x:c>
      <x:c r="K218" s="12" t="str">
        <x:f>IF('Data &amp; Reporting'!J218="","",'Data &amp; Reporting'!J218)</x:f>
      </x:c>
      <x:c r="L218" s="2" t="str">
        <x:f>IF('Data &amp; Reporting'!K218="","",'Data &amp; Reporting'!K218)</x:f>
      </x:c>
      <x:c r="M218" s="2" t="n">
        <x:f>'Data &amp; Reporting'!Q218</x:f>
        <x:v>1</x:v>
      </x:c>
      <x:c r="N218" s="2" t="str">
        <x:f>'Data &amp; Reporting'!L218</x:f>
        <x:v>Not started</x:v>
      </x:c>
      <x:c r="O218" s="2" t="str">
        <x:f>'Data &amp; Reporting'!N218</x:f>
        <x:v>DR.CA.1.1.2026.CY2</x:v>
      </x:c>
      <x:c r="P218" s="2" t="n">
        <x:f>'Data &amp; Reporting'!O218</x:f>
        <x:v>0</x:v>
      </x:c>
      <x:c r="Q218" s="2" t="n">
        <x:f>SUBTOTAL(103,O218)</x:f>
        <x:v>1</x:v>
      </x:c>
      <x:c r="R218" s="2" t="n">
        <x:f>IF(AND(M218=1,OR(Dashboard!$B$7="All",Dashboard!$B$7='Cycles &amp; Guide'!$C$5),OR(Dashboard!$D$7="All",Dashboard!$D$7=B218),OR(Dashboard!$F$7="All",Dashboard!$F$7=C218),OR(Dashboard!$H$7="All",Dashboard!$H$7=D218),OR(Dashboard!$K$7="All",Dashboard!$K$7=E218)),1,0)</x:f>
        <x:v>1</x:v>
      </x:c>
      <x:c r="S218" s="2" t="n">
        <x:f>IF(R218=1,SUM($R$10:R218),0)</x:f>
        <x:v>105</x:v>
      </x:c>
      <x:c r="T218" s="2" t="str">
        <x:v>Data &amp; Reporting</x:v>
      </x:c>
      <x:c r="U218" s="2" t="n">
        <x:v>218</x:v>
      </x:c>
      <x:c r="V218" s="2" t="n">
        <x:f>IF(AND(M218=1,P218=0,ISNUMBER(J218),J218&lt;TODAY()),1,0)</x:f>
        <x:v>1</x:v>
      </x:c>
      <x:c r="W218" s="2" t="str">
        <x:f>'Data &amp; Reporting'!M218</x:f>
        <x:v>Task</x:v>
      </x:c>
    </x:row>
    <x:row r="219" ht="40" customHeight="1">
      <x:c r="A219" s="3" t="str">
        <x:f>HYPERLINK("#'Data &amp; Reporting'!A219","Open")</x:f>
        <x:v>Open</x:v>
      </x:c>
      <x:c r="B219" s="2" t="str">
        <x:f>'Data &amp; Reporting'!B219</x:f>
        <x:v>Cycle 2</x:v>
      </x:c>
      <x:c r="C219" s="2" t="str">
        <x:f>'Data &amp; Reporting'!C219</x:f>
        <x:v>Phase 1</x:v>
      </x:c>
      <x:c r="D219" s="2" t="str">
        <x:f>'Data &amp; Reporting'!D219</x:f>
        <x:v>Cards</x:v>
      </x:c>
      <x:c r="E219" s="2" t="str">
        <x:v>Data &amp; Reporting</x:v>
      </x:c>
      <x:c r="F219" s="56" t="str">
        <x:f>'Data &amp; Reporting'!E219</x:f>
        <x:v>DR.CA.1.2</x:v>
      </x:c>
      <x:c r="G219" s="14" t="str">
        <x:f>'Data &amp; Reporting'!F219</x:f>
        <x:v>Identify two potential topics for the upcoming Cycle</x:v>
      </x:c>
      <x:c r="H219" s="2" t="str">
        <x:f>IF('Data &amp; Reporting'!G219="","",'Data &amp; Reporting'!G219)</x:f>
      </x:c>
      <x:c r="I219" s="12" t="str">
        <x:f>IF('Data &amp; Reporting'!H219="","",'Data &amp; Reporting'!H219)</x:f>
      </x:c>
      <x:c r="J219" s="12" t="n">
        <x:f>IF('Data &amp; Reporting'!I219="","",'Data &amp; Reporting'!I219)</x:f>
        <x:v>46203</x:v>
      </x:c>
      <x:c r="K219" s="12" t="str">
        <x:f>IF('Data &amp; Reporting'!J219="","",'Data &amp; Reporting'!J219)</x:f>
      </x:c>
      <x:c r="L219" s="2" t="str">
        <x:f>IF('Data &amp; Reporting'!K219="","",'Data &amp; Reporting'!K219)</x:f>
      </x:c>
      <x:c r="M219" s="2" t="n">
        <x:f>'Data &amp; Reporting'!Q219</x:f>
        <x:v>1</x:v>
      </x:c>
      <x:c r="N219" s="2" t="str">
        <x:f>'Data &amp; Reporting'!L219</x:f>
        <x:v>Not started</x:v>
      </x:c>
      <x:c r="O219" s="2" t="str">
        <x:f>'Data &amp; Reporting'!N219</x:f>
        <x:v>DR.CA.1.2.2026.CY2</x:v>
      </x:c>
      <x:c r="P219" s="2" t="n">
        <x:f>'Data &amp; Reporting'!O219</x:f>
        <x:v>0</x:v>
      </x:c>
      <x:c r="Q219" s="2" t="n">
        <x:f>SUBTOTAL(103,O219)</x:f>
        <x:v>1</x:v>
      </x:c>
      <x:c r="R219" s="2" t="n">
        <x:f>IF(AND(M219=1,OR(Dashboard!$B$7="All",Dashboard!$B$7='Cycles &amp; Guide'!$C$5),OR(Dashboard!$D$7="All",Dashboard!$D$7=B219),OR(Dashboard!$F$7="All",Dashboard!$F$7=C219),OR(Dashboard!$H$7="All",Dashboard!$H$7=D219),OR(Dashboard!$K$7="All",Dashboard!$K$7=E219)),1,0)</x:f>
        <x:v>1</x:v>
      </x:c>
      <x:c r="S219" s="2" t="n">
        <x:f>IF(R219=1,SUM($R$10:R219),0)</x:f>
        <x:v>106</x:v>
      </x:c>
      <x:c r="T219" s="2" t="str">
        <x:v>Data &amp; Reporting</x:v>
      </x:c>
      <x:c r="U219" s="2" t="n">
        <x:v>219</x:v>
      </x:c>
      <x:c r="V219" s="2" t="n">
        <x:f>IF(AND(M219=1,P219=0,ISNUMBER(J219),J219&lt;TODAY()),1,0)</x:f>
        <x:v>1</x:v>
      </x:c>
      <x:c r="W219" s="2" t="str">
        <x:f>'Data &amp; Reporting'!M219</x:f>
        <x:v>Task</x:v>
      </x:c>
    </x:row>
    <x:row r="220" ht="40" customHeight="1">
      <x:c r="A220" s="3" t="str">
        <x:f>HYPERLINK("#'Data &amp; Reporting'!A220","Open")</x:f>
        <x:v>Open</x:v>
      </x:c>
      <x:c r="B220" s="2" t="str">
        <x:f>'Data &amp; Reporting'!B220</x:f>
        <x:v>Cycle 2</x:v>
      </x:c>
      <x:c r="C220" s="2" t="str">
        <x:f>'Data &amp; Reporting'!C220</x:f>
        <x:v>Phase 1</x:v>
      </x:c>
      <x:c r="D220" s="2" t="str">
        <x:f>'Data &amp; Reporting'!D220</x:f>
        <x:v>Cards</x:v>
      </x:c>
      <x:c r="E220" s="2" t="str">
        <x:v>Data &amp; Reporting</x:v>
      </x:c>
      <x:c r="F220" s="56" t="str">
        <x:f>'Data &amp; Reporting'!E220</x:f>
        <x:v>DR.CA.1.3</x:v>
      </x:c>
      <x:c r="G220" s="14" t="str">
        <x:f>'Data &amp; Reporting'!F220</x:f>
        <x:v>Extract data for both potential topics, ensuring all checklist items below are included/completed</x:v>
      </x:c>
      <x:c r="H220" s="2" t="str">
        <x:f>IF('Data &amp; Reporting'!G220="","",'Data &amp; Reporting'!G220)</x:f>
      </x:c>
      <x:c r="I220" s="12" t="str">
        <x:f>IF('Data &amp; Reporting'!H220="","",'Data &amp; Reporting'!H220)</x:f>
      </x:c>
      <x:c r="J220" s="12" t="n">
        <x:f>IF('Data &amp; Reporting'!I220="","",'Data &amp; Reporting'!I220)</x:f>
        <x:v>46203</x:v>
      </x:c>
      <x:c r="K220" s="12" t="str">
        <x:f>IF('Data &amp; Reporting'!J220="","",'Data &amp; Reporting'!J220)</x:f>
      </x:c>
      <x:c r="L220" s="2" t="str">
        <x:f>IF('Data &amp; Reporting'!K220="","",'Data &amp; Reporting'!K220)</x:f>
      </x:c>
      <x:c r="M220" s="2" t="n">
        <x:f>'Data &amp; Reporting'!Q220</x:f>
        <x:v>1</x:v>
      </x:c>
      <x:c r="N220" s="2" t="str">
        <x:f>'Data &amp; Reporting'!L220</x:f>
        <x:v>Not started</x:v>
      </x:c>
      <x:c r="O220" s="2" t="str">
        <x:f>'Data &amp; Reporting'!N220</x:f>
        <x:v>DR.CA.1.3.2026.CY2</x:v>
      </x:c>
      <x:c r="P220" s="2" t="n">
        <x:f>'Data &amp; Reporting'!O220</x:f>
        <x:v>0</x:v>
      </x:c>
      <x:c r="Q220" s="2" t="n">
        <x:f>SUBTOTAL(103,O220)</x:f>
        <x:v>1</x:v>
      </x:c>
      <x:c r="R220" s="2" t="n">
        <x:f>IF(AND(M220=1,OR(Dashboard!$B$7="All",Dashboard!$B$7='Cycles &amp; Guide'!$C$5),OR(Dashboard!$D$7="All",Dashboard!$D$7=B220),OR(Dashboard!$F$7="All",Dashboard!$F$7=C220),OR(Dashboard!$H$7="All",Dashboard!$H$7=D220),OR(Dashboard!$K$7="All",Dashboard!$K$7=E220)),1,0)</x:f>
        <x:v>1</x:v>
      </x:c>
      <x:c r="S220" s="2" t="n">
        <x:f>IF(R220=1,SUM($R$10:R220),0)</x:f>
        <x:v>107</x:v>
      </x:c>
      <x:c r="T220" s="2" t="str">
        <x:v>Data &amp; Reporting</x:v>
      </x:c>
      <x:c r="U220" s="2" t="n">
        <x:v>220</x:v>
      </x:c>
      <x:c r="V220" s="2" t="n">
        <x:f>IF(AND(M220=1,P220=0,ISNUMBER(J220),J220&lt;TODAY()),1,0)</x:f>
        <x:v>1</x:v>
      </x:c>
      <x:c r="W220" s="2" t="str">
        <x:f>'Data &amp; Reporting'!M220</x:f>
        <x:v>Task</x:v>
      </x:c>
    </x:row>
    <x:row r="221" ht="40" customHeight="1">
      <x:c r="A221" s="3" t="str">
        <x:f>HYPERLINK("#'Data &amp; Reporting'!A221","Open")</x:f>
        <x:v>Open</x:v>
      </x:c>
      <x:c r="B221" s="2" t="str">
        <x:f>'Data &amp; Reporting'!B221</x:f>
        <x:v>Cycle 2</x:v>
      </x:c>
      <x:c r="C221" s="2" t="str">
        <x:f>'Data &amp; Reporting'!C221</x:f>
        <x:v>Phase 1</x:v>
      </x:c>
      <x:c r="D221" s="2" t="str">
        <x:f>'Data &amp; Reporting'!D221</x:f>
        <x:v>Cards</x:v>
      </x:c>
      <x:c r="E221" s="2" t="str">
        <x:v>Data &amp; Reporting</x:v>
      </x:c>
      <x:c r="F221" s="56" t="str">
        <x:f>'Data &amp; Reporting'!E221</x:f>
        <x:v>DR.CA.1.3.C01</x:v>
      </x:c>
      <x:c r="G221" s="14" t="str">
        <x:f>'Data &amp; Reporting'!F221</x:f>
        <x:v>    Document date range extracted</x:v>
      </x:c>
      <x:c r="H221" s="2" t="str">
        <x:f>IF('Data &amp; Reporting'!G221="","",'Data &amp; Reporting'!G221)</x:f>
      </x:c>
      <x:c r="I221" s="12" t="str">
        <x:f>IF('Data &amp; Reporting'!H221="","",'Data &amp; Reporting'!H221)</x:f>
      </x:c>
      <x:c r="J221" s="12" t="str">
        <x:f>IF('Data &amp; Reporting'!I221="","",'Data &amp; Reporting'!I221)</x:f>
      </x:c>
      <x:c r="K221" s="12" t="str">
        <x:f>IF('Data &amp; Reporting'!J221="","",'Data &amp; Reporting'!J221)</x:f>
      </x:c>
      <x:c r="L221" s="2" t="str">
        <x:f>IF('Data &amp; Reporting'!K221="","",'Data &amp; Reporting'!K221)</x:f>
      </x:c>
      <x:c r="M221" s="2" t="n">
        <x:f>'Data &amp; Reporting'!Q221</x:f>
        <x:v>0</x:v>
      </x:c>
      <x:c r="N221" s="2" t="str">
        <x:f>'Data &amp; Reporting'!L221</x:f>
        <x:v>Open check</x:v>
      </x:c>
      <x:c r="O221" s="2" t="str">
        <x:f>'Data &amp; Reporting'!N221</x:f>
        <x:v>DR.CA.1.3.C01.2026.CY2</x:v>
      </x:c>
      <x:c r="P221" s="2" t="n">
        <x:f>'Data &amp; Reporting'!O221</x:f>
        <x:v>0</x:v>
      </x:c>
      <x:c r="Q221" s="2" t="n">
        <x:f>SUBTOTAL(103,O221)</x:f>
        <x:v>1</x:v>
      </x:c>
      <x:c r="R221" s="2" t="n">
        <x:f>IF(AND(M221=1,OR(Dashboard!$B$7="All",Dashboard!$B$7='Cycles &amp; Guide'!$C$5),OR(Dashboard!$D$7="All",Dashboard!$D$7=B221),OR(Dashboard!$F$7="All",Dashboard!$F$7=C221),OR(Dashboard!$H$7="All",Dashboard!$H$7=D221),OR(Dashboard!$K$7="All",Dashboard!$K$7=E221)),1,0)</x:f>
        <x:v>0</x:v>
      </x:c>
      <x:c r="S221" s="2" t="n">
        <x:f>IF(R221=1,SUM($R$10:R221),0)</x:f>
        <x:v>0</x:v>
      </x:c>
      <x:c r="T221" s="2" t="str">
        <x:v>Data &amp; Reporting</x:v>
      </x:c>
      <x:c r="U221" s="2" t="n">
        <x:v>221</x:v>
      </x:c>
      <x:c r="V221" s="2" t="n">
        <x:f>IF(AND(M221=1,P221=0,ISNUMBER(J221),J221&lt;TODAY()),1,0)</x:f>
        <x:v>0</x:v>
      </x:c>
      <x:c r="W221" s="2" t="str">
        <x:f>'Data &amp; Reporting'!M221</x:f>
        <x:v>Checklist</x:v>
      </x:c>
    </x:row>
    <x:row r="222" ht="40" customHeight="1">
      <x:c r="A222" s="3" t="str">
        <x:f>HYPERLINK("#'Data &amp; Reporting'!A222","Open")</x:f>
        <x:v>Open</x:v>
      </x:c>
      <x:c r="B222" s="2" t="str">
        <x:f>'Data &amp; Reporting'!B222</x:f>
        <x:v>Cycle 2</x:v>
      </x:c>
      <x:c r="C222" s="2" t="str">
        <x:f>'Data &amp; Reporting'!C222</x:f>
        <x:v>Phase 1</x:v>
      </x:c>
      <x:c r="D222" s="2" t="str">
        <x:f>'Data &amp; Reporting'!D222</x:f>
        <x:v>Cards</x:v>
      </x:c>
      <x:c r="E222" s="2" t="str">
        <x:v>Data &amp; Reporting</x:v>
      </x:c>
      <x:c r="F222" s="56" t="str">
        <x:f>'Data &amp; Reporting'!E222</x:f>
        <x:v>DR.CA.1.3.C02</x:v>
      </x:c>
      <x:c r="G222" s="14" t="str">
        <x:f>'Data &amp; Reporting'!F222</x:f>
        <x:v>    Document date of data pull</x:v>
      </x:c>
      <x:c r="H222" s="2" t="str">
        <x:f>IF('Data &amp; Reporting'!G222="","",'Data &amp; Reporting'!G222)</x:f>
      </x:c>
      <x:c r="I222" s="12" t="str">
        <x:f>IF('Data &amp; Reporting'!H222="","",'Data &amp; Reporting'!H222)</x:f>
      </x:c>
      <x:c r="J222" s="12" t="str">
        <x:f>IF('Data &amp; Reporting'!I222="","",'Data &amp; Reporting'!I222)</x:f>
      </x:c>
      <x:c r="K222" s="12" t="str">
        <x:f>IF('Data &amp; Reporting'!J222="","",'Data &amp; Reporting'!J222)</x:f>
      </x:c>
      <x:c r="L222" s="2" t="str">
        <x:f>IF('Data &amp; Reporting'!K222="","",'Data &amp; Reporting'!K222)</x:f>
      </x:c>
      <x:c r="M222" s="2" t="n">
        <x:f>'Data &amp; Reporting'!Q222</x:f>
        <x:v>0</x:v>
      </x:c>
      <x:c r="N222" s="2" t="str">
        <x:f>'Data &amp; Reporting'!L222</x:f>
        <x:v>Open check</x:v>
      </x:c>
      <x:c r="O222" s="2" t="str">
        <x:f>'Data &amp; Reporting'!N222</x:f>
        <x:v>DR.CA.1.3.C02.2026.CY2</x:v>
      </x:c>
      <x:c r="P222" s="2" t="n">
        <x:f>'Data &amp; Reporting'!O222</x:f>
        <x:v>0</x:v>
      </x:c>
      <x:c r="Q222" s="2" t="n">
        <x:f>SUBTOTAL(103,O222)</x:f>
        <x:v>1</x:v>
      </x:c>
      <x:c r="R222" s="2" t="n">
        <x:f>IF(AND(M222=1,OR(Dashboard!$B$7="All",Dashboard!$B$7='Cycles &amp; Guide'!$C$5),OR(Dashboard!$D$7="All",Dashboard!$D$7=B222),OR(Dashboard!$F$7="All",Dashboard!$F$7=C222),OR(Dashboard!$H$7="All",Dashboard!$H$7=D222),OR(Dashboard!$K$7="All",Dashboard!$K$7=E222)),1,0)</x:f>
        <x:v>0</x:v>
      </x:c>
      <x:c r="S222" s="2" t="n">
        <x:f>IF(R222=1,SUM($R$10:R222),0)</x:f>
        <x:v>0</x:v>
      </x:c>
      <x:c r="T222" s="2" t="str">
        <x:v>Data &amp; Reporting</x:v>
      </x:c>
      <x:c r="U222" s="2" t="n">
        <x:v>222</x:v>
      </x:c>
      <x:c r="V222" s="2" t="n">
        <x:f>IF(AND(M222=1,P222=0,ISNUMBER(J222),J222&lt;TODAY()),1,0)</x:f>
        <x:v>0</x:v>
      </x:c>
      <x:c r="W222" s="2" t="str">
        <x:f>'Data &amp; Reporting'!M222</x:f>
        <x:v>Checklist</x:v>
      </x:c>
    </x:row>
    <x:row r="223" ht="40" customHeight="1">
      <x:c r="A223" s="3" t="str">
        <x:f>HYPERLINK("#'Data &amp; Reporting'!A223","Open")</x:f>
        <x:v>Open</x:v>
      </x:c>
      <x:c r="B223" s="2" t="str">
        <x:f>'Data &amp; Reporting'!B223</x:f>
        <x:v>Cycle 2</x:v>
      </x:c>
      <x:c r="C223" s="2" t="str">
        <x:f>'Data &amp; Reporting'!C223</x:f>
        <x:v>Phase 1</x:v>
      </x:c>
      <x:c r="D223" s="2" t="str">
        <x:f>'Data &amp; Reporting'!D223</x:f>
        <x:v>Cards</x:v>
      </x:c>
      <x:c r="E223" s="2" t="str">
        <x:v>Data &amp; Reporting</x:v>
      </x:c>
      <x:c r="F223" s="56" t="str">
        <x:f>'Data &amp; Reporting'!E223</x:f>
        <x:v>DR.CA.1.3.C03</x:v>
      </x:c>
      <x:c r="G223" s="14" t="str">
        <x:f>'Data &amp; Reporting'!F223</x:f>
        <x:v>    Document population details</x:v>
      </x:c>
      <x:c r="H223" s="2" t="str">
        <x:f>IF('Data &amp; Reporting'!G223="","",'Data &amp; Reporting'!G223)</x:f>
      </x:c>
      <x:c r="I223" s="12" t="str">
        <x:f>IF('Data &amp; Reporting'!H223="","",'Data &amp; Reporting'!H223)</x:f>
      </x:c>
      <x:c r="J223" s="12" t="str">
        <x:f>IF('Data &amp; Reporting'!I223="","",'Data &amp; Reporting'!I223)</x:f>
      </x:c>
      <x:c r="K223" s="12" t="str">
        <x:f>IF('Data &amp; Reporting'!J223="","",'Data &amp; Reporting'!J223)</x:f>
      </x:c>
      <x:c r="L223" s="2" t="str">
        <x:f>IF('Data &amp; Reporting'!K223="","",'Data &amp; Reporting'!K223)</x:f>
      </x:c>
      <x:c r="M223" s="2" t="n">
        <x:f>'Data &amp; Reporting'!Q223</x:f>
        <x:v>0</x:v>
      </x:c>
      <x:c r="N223" s="2" t="str">
        <x:f>'Data &amp; Reporting'!L223</x:f>
        <x:v>Open check</x:v>
      </x:c>
      <x:c r="O223" s="2" t="str">
        <x:f>'Data &amp; Reporting'!N223</x:f>
        <x:v>DR.CA.1.3.C03.2026.CY2</x:v>
      </x:c>
      <x:c r="P223" s="2" t="n">
        <x:f>'Data &amp; Reporting'!O223</x:f>
        <x:v>0</x:v>
      </x:c>
      <x:c r="Q223" s="2" t="n">
        <x:f>SUBTOTAL(103,O223)</x:f>
        <x:v>1</x:v>
      </x:c>
      <x:c r="R223" s="2" t="n">
        <x:f>IF(AND(M223=1,OR(Dashboard!$B$7="All",Dashboard!$B$7='Cycles &amp; Guide'!$C$5),OR(Dashboard!$D$7="All",Dashboard!$D$7=B223),OR(Dashboard!$F$7="All",Dashboard!$F$7=C223),OR(Dashboard!$H$7="All",Dashboard!$H$7=D223),OR(Dashboard!$K$7="All",Dashboard!$K$7=E223)),1,0)</x:f>
        <x:v>0</x:v>
      </x:c>
      <x:c r="S223" s="2" t="n">
        <x:f>IF(R223=1,SUM($R$10:R223),0)</x:f>
        <x:v>0</x:v>
      </x:c>
      <x:c r="T223" s="2" t="str">
        <x:v>Data &amp; Reporting</x:v>
      </x:c>
      <x:c r="U223" s="2" t="n">
        <x:v>223</x:v>
      </x:c>
      <x:c r="V223" s="2" t="n">
        <x:f>IF(AND(M223=1,P223=0,ISNUMBER(J223),J223&lt;TODAY()),1,0)</x:f>
        <x:v>0</x:v>
      </x:c>
      <x:c r="W223" s="2" t="str">
        <x:f>'Data &amp; Reporting'!M223</x:f>
        <x:v>Checklist</x:v>
      </x:c>
    </x:row>
    <x:row r="224" ht="40" customHeight="1">
      <x:c r="A224" s="3" t="str">
        <x:f>HYPERLINK("#'Data &amp; Reporting'!A224","Open")</x:f>
        <x:v>Open</x:v>
      </x:c>
      <x:c r="B224" s="2" t="str">
        <x:f>'Data &amp; Reporting'!B224</x:f>
        <x:v>Cycle 2</x:v>
      </x:c>
      <x:c r="C224" s="2" t="str">
        <x:f>'Data &amp; Reporting'!C224</x:f>
        <x:v>Phase 1</x:v>
      </x:c>
      <x:c r="D224" s="2" t="str">
        <x:f>'Data &amp; Reporting'!D224</x:f>
        <x:v>Cards</x:v>
      </x:c>
      <x:c r="E224" s="2" t="str">
        <x:v>Data &amp; Reporting</x:v>
      </x:c>
      <x:c r="F224" s="56" t="str">
        <x:f>'Data &amp; Reporting'!E224</x:f>
        <x:v>DR.CA.1.3.C04</x:v>
      </x:c>
      <x:c r="G224" s="14" t="str">
        <x:f>'Data &amp; Reporting'!F224</x:f>
        <x:v>    Validate no data is missing</x:v>
      </x:c>
      <x:c r="H224" s="2" t="str">
        <x:f>IF('Data &amp; Reporting'!G224="","",'Data &amp; Reporting'!G224)</x:f>
      </x:c>
      <x:c r="I224" s="12" t="str">
        <x:f>IF('Data &amp; Reporting'!H224="","",'Data &amp; Reporting'!H224)</x:f>
      </x:c>
      <x:c r="J224" s="12" t="str">
        <x:f>IF('Data &amp; Reporting'!I224="","",'Data &amp; Reporting'!I224)</x:f>
      </x:c>
      <x:c r="K224" s="12" t="str">
        <x:f>IF('Data &amp; Reporting'!J224="","",'Data &amp; Reporting'!J224)</x:f>
      </x:c>
      <x:c r="L224" s="2" t="str">
        <x:f>IF('Data &amp; Reporting'!K224="","",'Data &amp; Reporting'!K224)</x:f>
      </x:c>
      <x:c r="M224" s="2" t="n">
        <x:f>'Data &amp; Reporting'!Q224</x:f>
        <x:v>0</x:v>
      </x:c>
      <x:c r="N224" s="2" t="str">
        <x:f>'Data &amp; Reporting'!L224</x:f>
        <x:v>Open check</x:v>
      </x:c>
      <x:c r="O224" s="2" t="str">
        <x:f>'Data &amp; Reporting'!N224</x:f>
        <x:v>DR.CA.1.3.C04.2026.CY2</x:v>
      </x:c>
      <x:c r="P224" s="2" t="n">
        <x:f>'Data &amp; Reporting'!O224</x:f>
        <x:v>0</x:v>
      </x:c>
      <x:c r="Q224" s="2" t="n">
        <x:f>SUBTOTAL(103,O224)</x:f>
        <x:v>1</x:v>
      </x:c>
      <x:c r="R224" s="2" t="n">
        <x:f>IF(AND(M224=1,OR(Dashboard!$B$7="All",Dashboard!$B$7='Cycles &amp; Guide'!$C$5),OR(Dashboard!$D$7="All",Dashboard!$D$7=B224),OR(Dashboard!$F$7="All",Dashboard!$F$7=C224),OR(Dashboard!$H$7="All",Dashboard!$H$7=D224),OR(Dashboard!$K$7="All",Dashboard!$K$7=E224)),1,0)</x:f>
        <x:v>0</x:v>
      </x:c>
      <x:c r="S224" s="2" t="n">
        <x:f>IF(R224=1,SUM($R$10:R224),0)</x:f>
        <x:v>0</x:v>
      </x:c>
      <x:c r="T224" s="2" t="str">
        <x:v>Data &amp; Reporting</x:v>
      </x:c>
      <x:c r="U224" s="2" t="n">
        <x:v>224</x:v>
      </x:c>
      <x:c r="V224" s="2" t="n">
        <x:f>IF(AND(M224=1,P224=0,ISNUMBER(J224),J224&lt;TODAY()),1,0)</x:f>
        <x:v>0</x:v>
      </x:c>
      <x:c r="W224" s="2" t="str">
        <x:f>'Data &amp; Reporting'!M224</x:f>
        <x:v>Checklist</x:v>
      </x:c>
    </x:row>
    <x:row r="225" ht="40" customHeight="1">
      <x:c r="A225" s="3" t="str">
        <x:f>HYPERLINK("#'Data &amp; Reporting'!A225","Open")</x:f>
        <x:v>Open</x:v>
      </x:c>
      <x:c r="B225" s="2" t="str">
        <x:f>'Data &amp; Reporting'!B225</x:f>
        <x:v>Cycle 2</x:v>
      </x:c>
      <x:c r="C225" s="2" t="str">
        <x:f>'Data &amp; Reporting'!C225</x:f>
        <x:v>Phase 1</x:v>
      </x:c>
      <x:c r="D225" s="2" t="str">
        <x:f>'Data &amp; Reporting'!D225</x:f>
        <x:v>Cards</x:v>
      </x:c>
      <x:c r="E225" s="2" t="str">
        <x:v>Data &amp; Reporting</x:v>
      </x:c>
      <x:c r="F225" s="56" t="str">
        <x:f>'Data &amp; Reporting'!E225</x:f>
        <x:v>DR.CA.1.3.C05</x:v>
      </x:c>
      <x:c r="G225" s="14" t="str">
        <x:f>'Data &amp; Reporting'!F225</x:f>
        <x:v>    Validate accuracy of data</x:v>
      </x:c>
      <x:c r="H225" s="2" t="str">
        <x:f>IF('Data &amp; Reporting'!G225="","",'Data &amp; Reporting'!G225)</x:f>
      </x:c>
      <x:c r="I225" s="12" t="str">
        <x:f>IF('Data &amp; Reporting'!H225="","",'Data &amp; Reporting'!H225)</x:f>
      </x:c>
      <x:c r="J225" s="12" t="str">
        <x:f>IF('Data &amp; Reporting'!I225="","",'Data &amp; Reporting'!I225)</x:f>
      </x:c>
      <x:c r="K225" s="12" t="str">
        <x:f>IF('Data &amp; Reporting'!J225="","",'Data &amp; Reporting'!J225)</x:f>
      </x:c>
      <x:c r="L225" s="2" t="str">
        <x:f>IF('Data &amp; Reporting'!K225="","",'Data &amp; Reporting'!K225)</x:f>
      </x:c>
      <x:c r="M225" s="2" t="n">
        <x:f>'Data &amp; Reporting'!Q225</x:f>
        <x:v>0</x:v>
      </x:c>
      <x:c r="N225" s="2" t="str">
        <x:f>'Data &amp; Reporting'!L225</x:f>
        <x:v>Open check</x:v>
      </x:c>
      <x:c r="O225" s="2" t="str">
        <x:f>'Data &amp; Reporting'!N225</x:f>
        <x:v>DR.CA.1.3.C05.2026.CY2</x:v>
      </x:c>
      <x:c r="P225" s="2" t="n">
        <x:f>'Data &amp; Reporting'!O225</x:f>
        <x:v>0</x:v>
      </x:c>
      <x:c r="Q225" s="2" t="n">
        <x:f>SUBTOTAL(103,O225)</x:f>
        <x:v>1</x:v>
      </x:c>
      <x:c r="R225" s="2" t="n">
        <x:f>IF(AND(M225=1,OR(Dashboard!$B$7="All",Dashboard!$B$7='Cycles &amp; Guide'!$C$5),OR(Dashboard!$D$7="All",Dashboard!$D$7=B225),OR(Dashboard!$F$7="All",Dashboard!$F$7=C225),OR(Dashboard!$H$7="All",Dashboard!$H$7=D225),OR(Dashboard!$K$7="All",Dashboard!$K$7=E225)),1,0)</x:f>
        <x:v>0</x:v>
      </x:c>
      <x:c r="S225" s="2" t="n">
        <x:f>IF(R225=1,SUM($R$10:R225),0)</x:f>
        <x:v>0</x:v>
      </x:c>
      <x:c r="T225" s="2" t="str">
        <x:v>Data &amp; Reporting</x:v>
      </x:c>
      <x:c r="U225" s="2" t="n">
        <x:v>225</x:v>
      </x:c>
      <x:c r="V225" s="2" t="n">
        <x:f>IF(AND(M225=1,P225=0,ISNUMBER(J225),J225&lt;TODAY()),1,0)</x:f>
        <x:v>0</x:v>
      </x:c>
      <x:c r="W225" s="2" t="str">
        <x:f>'Data &amp; Reporting'!M225</x:f>
        <x:v>Checklist</x:v>
      </x:c>
    </x:row>
    <x:row r="226" ht="40" customHeight="1">
      <x:c r="A226" s="3" t="str">
        <x:f>HYPERLINK("#'Data &amp; Reporting'!A226","Open")</x:f>
        <x:v>Open</x:v>
      </x:c>
      <x:c r="B226" s="2" t="str">
        <x:f>'Data &amp; Reporting'!B226</x:f>
        <x:v>Cycle 2</x:v>
      </x:c>
      <x:c r="C226" s="2" t="str">
        <x:f>'Data &amp; Reporting'!C226</x:f>
        <x:v>Phase 1</x:v>
      </x:c>
      <x:c r="D226" s="2" t="str">
        <x:f>'Data &amp; Reporting'!D226</x:f>
        <x:v>Cards</x:v>
      </x:c>
      <x:c r="E226" s="2" t="str">
        <x:v>Data &amp; Reporting</x:v>
      </x:c>
      <x:c r="F226" s="56" t="str">
        <x:f>'Data &amp; Reporting'!E226</x:f>
        <x:v>DR.CA.1.3.C06</x:v>
      </x:c>
      <x:c r="G226" s="14" t="str">
        <x:f>'Data &amp; Reporting'!F226</x:f>
        <x:v>    Validate no duplicate data is provided</x:v>
      </x:c>
      <x:c r="H226" s="2" t="str">
        <x:f>IF('Data &amp; Reporting'!G226="","",'Data &amp; Reporting'!G226)</x:f>
      </x:c>
      <x:c r="I226" s="12" t="str">
        <x:f>IF('Data &amp; Reporting'!H226="","",'Data &amp; Reporting'!H226)</x:f>
      </x:c>
      <x:c r="J226" s="12" t="str">
        <x:f>IF('Data &amp; Reporting'!I226="","",'Data &amp; Reporting'!I226)</x:f>
      </x:c>
      <x:c r="K226" s="12" t="str">
        <x:f>IF('Data &amp; Reporting'!J226="","",'Data &amp; Reporting'!J226)</x:f>
      </x:c>
      <x:c r="L226" s="2" t="str">
        <x:f>IF('Data &amp; Reporting'!K226="","",'Data &amp; Reporting'!K226)</x:f>
      </x:c>
      <x:c r="M226" s="2" t="n">
        <x:f>'Data &amp; Reporting'!Q226</x:f>
        <x:v>0</x:v>
      </x:c>
      <x:c r="N226" s="2" t="str">
        <x:f>'Data &amp; Reporting'!L226</x:f>
        <x:v>Open check</x:v>
      </x:c>
      <x:c r="O226" s="2" t="str">
        <x:f>'Data &amp; Reporting'!N226</x:f>
        <x:v>DR.CA.1.3.C06.2026.CY2</x:v>
      </x:c>
      <x:c r="P226" s="2" t="n">
        <x:f>'Data &amp; Reporting'!O226</x:f>
        <x:v>0</x:v>
      </x:c>
      <x:c r="Q226" s="2" t="n">
        <x:f>SUBTOTAL(103,O226)</x:f>
        <x:v>1</x:v>
      </x:c>
      <x:c r="R226" s="2" t="n">
        <x:f>IF(AND(M226=1,OR(Dashboard!$B$7="All",Dashboard!$B$7='Cycles &amp; Guide'!$C$5),OR(Dashboard!$D$7="All",Dashboard!$D$7=B226),OR(Dashboard!$F$7="All",Dashboard!$F$7=C226),OR(Dashboard!$H$7="All",Dashboard!$H$7=D226),OR(Dashboard!$K$7="All",Dashboard!$K$7=E226)),1,0)</x:f>
        <x:v>0</x:v>
      </x:c>
      <x:c r="S226" s="2" t="n">
        <x:f>IF(R226=1,SUM($R$10:R226),0)</x:f>
        <x:v>0</x:v>
      </x:c>
      <x:c r="T226" s="2" t="str">
        <x:v>Data &amp; Reporting</x:v>
      </x:c>
      <x:c r="U226" s="2" t="n">
        <x:v>226</x:v>
      </x:c>
      <x:c r="V226" s="2" t="n">
        <x:f>IF(AND(M226=1,P226=0,ISNUMBER(J226),J226&lt;TODAY()),1,0)</x:f>
        <x:v>0</x:v>
      </x:c>
      <x:c r="W226" s="2" t="str">
        <x:f>'Data &amp; Reporting'!M226</x:f>
        <x:v>Checklist</x:v>
      </x:c>
    </x:row>
    <x:row r="227" ht="40" customHeight="1">
      <x:c r="A227" s="3" t="str">
        <x:f>HYPERLINK("#'Data &amp; Reporting'!A227","Open")</x:f>
        <x:v>Open</x:v>
      </x:c>
      <x:c r="B227" s="2" t="str">
        <x:f>'Data &amp; Reporting'!B227</x:f>
        <x:v>Cycle 2</x:v>
      </x:c>
      <x:c r="C227" s="2" t="str">
        <x:f>'Data &amp; Reporting'!C227</x:f>
        <x:v>Phase 1</x:v>
      </x:c>
      <x:c r="D227" s="2" t="str">
        <x:f>'Data &amp; Reporting'!D227</x:f>
        <x:v>Cards</x:v>
      </x:c>
      <x:c r="E227" s="2" t="str">
        <x:v>Data &amp; Reporting</x:v>
      </x:c>
      <x:c r="F227" s="56" t="str">
        <x:f>'Data &amp; Reporting'!E227</x:f>
        <x:v>DR.CA.1.3.C07</x:v>
      </x:c>
      <x:c r="G227" s="14" t="str">
        <x:f>'Data &amp; Reporting'!F227</x:f>
        <x:v>    Document any data exclusions along with justification (as needed)</x:v>
      </x:c>
      <x:c r="H227" s="2" t="str">
        <x:f>IF('Data &amp; Reporting'!G227="","",'Data &amp; Reporting'!G227)</x:f>
      </x:c>
      <x:c r="I227" s="12" t="str">
        <x:f>IF('Data &amp; Reporting'!H227="","",'Data &amp; Reporting'!H227)</x:f>
      </x:c>
      <x:c r="J227" s="12" t="str">
        <x:f>IF('Data &amp; Reporting'!I227="","",'Data &amp; Reporting'!I227)</x:f>
      </x:c>
      <x:c r="K227" s="12" t="str">
        <x:f>IF('Data &amp; Reporting'!J227="","",'Data &amp; Reporting'!J227)</x:f>
      </x:c>
      <x:c r="L227" s="2" t="str">
        <x:f>IF('Data &amp; Reporting'!K227="","",'Data &amp; Reporting'!K227)</x:f>
      </x:c>
      <x:c r="M227" s="2" t="n">
        <x:f>'Data &amp; Reporting'!Q227</x:f>
        <x:v>0</x:v>
      </x:c>
      <x:c r="N227" s="2" t="str">
        <x:f>'Data &amp; Reporting'!L227</x:f>
        <x:v>Open check</x:v>
      </x:c>
      <x:c r="O227" s="2" t="str">
        <x:f>'Data &amp; Reporting'!N227</x:f>
        <x:v>DR.CA.1.3.C07.2026.CY2</x:v>
      </x:c>
      <x:c r="P227" s="2" t="n">
        <x:f>'Data &amp; Reporting'!O227</x:f>
        <x:v>0</x:v>
      </x:c>
      <x:c r="Q227" s="2" t="n">
        <x:f>SUBTOTAL(103,O227)</x:f>
        <x:v>1</x:v>
      </x:c>
      <x:c r="R227" s="2" t="n">
        <x:f>IF(AND(M227=1,OR(Dashboard!$B$7="All",Dashboard!$B$7='Cycles &amp; Guide'!$C$5),OR(Dashboard!$D$7="All",Dashboard!$D$7=B227),OR(Dashboard!$F$7="All",Dashboard!$F$7=C227),OR(Dashboard!$H$7="All",Dashboard!$H$7=D227),OR(Dashboard!$K$7="All",Dashboard!$K$7=E227)),1,0)</x:f>
        <x:v>0</x:v>
      </x:c>
      <x:c r="S227" s="2" t="n">
        <x:f>IF(R227=1,SUM($R$10:R227),0)</x:f>
        <x:v>0</x:v>
      </x:c>
      <x:c r="T227" s="2" t="str">
        <x:v>Data &amp; Reporting</x:v>
      </x:c>
      <x:c r="U227" s="2" t="n">
        <x:v>227</x:v>
      </x:c>
      <x:c r="V227" s="2" t="n">
        <x:f>IF(AND(M227=1,P227=0,ISNUMBER(J227),J227&lt;TODAY()),1,0)</x:f>
        <x:v>0</x:v>
      </x:c>
      <x:c r="W227" s="2" t="str">
        <x:f>'Data &amp; Reporting'!M227</x:f>
        <x:v>Checklist</x:v>
      </x:c>
    </x:row>
    <x:row r="228" ht="40" customHeight="1">
      <x:c r="A228" s="3" t="str">
        <x:f>HYPERLINK("#'Data &amp; Reporting'!A228","Open")</x:f>
        <x:v>Open</x:v>
      </x:c>
      <x:c r="B228" s="2" t="str">
        <x:f>'Data &amp; Reporting'!B228</x:f>
        <x:v>Cycle 2</x:v>
      </x:c>
      <x:c r="C228" s="2" t="str">
        <x:f>'Data &amp; Reporting'!C228</x:f>
        <x:v>Phase 1</x:v>
      </x:c>
      <x:c r="D228" s="2" t="str">
        <x:f>'Data &amp; Reporting'!D228</x:f>
        <x:v>Cards</x:v>
      </x:c>
      <x:c r="E228" s="2" t="str">
        <x:v>Data &amp; Reporting</x:v>
      </x:c>
      <x:c r="F228" s="56" t="str">
        <x:f>'Data &amp; Reporting'!E228</x:f>
        <x:v>DR.CA.1.3.C08</x:v>
      </x:c>
      <x:c r="G228" s="14" t="str">
        <x:f>'Data &amp; Reporting'!F228</x:f>
        <x:v>    Document any assumptions made with the data (as needed)</x:v>
      </x:c>
      <x:c r="H228" s="2" t="str">
        <x:f>IF('Data &amp; Reporting'!G228="","",'Data &amp; Reporting'!G228)</x:f>
      </x:c>
      <x:c r="I228" s="12" t="str">
        <x:f>IF('Data &amp; Reporting'!H228="","",'Data &amp; Reporting'!H228)</x:f>
      </x:c>
      <x:c r="J228" s="12" t="str">
        <x:f>IF('Data &amp; Reporting'!I228="","",'Data &amp; Reporting'!I228)</x:f>
      </x:c>
      <x:c r="K228" s="12" t="str">
        <x:f>IF('Data &amp; Reporting'!J228="","",'Data &amp; Reporting'!J228)</x:f>
      </x:c>
      <x:c r="L228" s="2" t="str">
        <x:f>IF('Data &amp; Reporting'!K228="","",'Data &amp; Reporting'!K228)</x:f>
      </x:c>
      <x:c r="M228" s="2" t="n">
        <x:f>'Data &amp; Reporting'!Q228</x:f>
        <x:v>0</x:v>
      </x:c>
      <x:c r="N228" s="2" t="str">
        <x:f>'Data &amp; Reporting'!L228</x:f>
        <x:v>Open check</x:v>
      </x:c>
      <x:c r="O228" s="2" t="str">
        <x:f>'Data &amp; Reporting'!N228</x:f>
        <x:v>DR.CA.1.3.C08.2026.CY2</x:v>
      </x:c>
      <x:c r="P228" s="2" t="n">
        <x:f>'Data &amp; Reporting'!O228</x:f>
        <x:v>0</x:v>
      </x:c>
      <x:c r="Q228" s="2" t="n">
        <x:f>SUBTOTAL(103,O228)</x:f>
        <x:v>1</x:v>
      </x:c>
      <x:c r="R228" s="2" t="n">
        <x:f>IF(AND(M228=1,OR(Dashboard!$B$7="All",Dashboard!$B$7='Cycles &amp; Guide'!$C$5),OR(Dashboard!$D$7="All",Dashboard!$D$7=B228),OR(Dashboard!$F$7="All",Dashboard!$F$7=C228),OR(Dashboard!$H$7="All",Dashboard!$H$7=D228),OR(Dashboard!$K$7="All",Dashboard!$K$7=E228)),1,0)</x:f>
        <x:v>0</x:v>
      </x:c>
      <x:c r="S228" s="2" t="n">
        <x:f>IF(R228=1,SUM($R$10:R228),0)</x:f>
        <x:v>0</x:v>
      </x:c>
      <x:c r="T228" s="2" t="str">
        <x:v>Data &amp; Reporting</x:v>
      </x:c>
      <x:c r="U228" s="2" t="n">
        <x:v>228</x:v>
      </x:c>
      <x:c r="V228" s="2" t="n">
        <x:f>IF(AND(M228=1,P228=0,ISNUMBER(J228),J228&lt;TODAY()),1,0)</x:f>
        <x:v>0</x:v>
      </x:c>
      <x:c r="W228" s="2" t="str">
        <x:f>'Data &amp; Reporting'!M228</x:f>
        <x:v>Checklist</x:v>
      </x:c>
    </x:row>
    <x:row r="229" ht="40" customHeight="1">
      <x:c r="A229" s="3" t="str">
        <x:f>HYPERLINK("#'Data &amp; Reporting'!A229","Open")</x:f>
        <x:v>Open</x:v>
      </x:c>
      <x:c r="B229" s="2" t="str">
        <x:f>'Data &amp; Reporting'!B229</x:f>
        <x:v>Cycle 2</x:v>
      </x:c>
      <x:c r="C229" s="2" t="str">
        <x:f>'Data &amp; Reporting'!C229</x:f>
        <x:v>Phase 1</x:v>
      </x:c>
      <x:c r="D229" s="2" t="str">
        <x:f>'Data &amp; Reporting'!D229</x:f>
        <x:v>Cards</x:v>
      </x:c>
      <x:c r="E229" s="2" t="str">
        <x:v>Data &amp; Reporting</x:v>
      </x:c>
      <x:c r="F229" s="56" t="str">
        <x:f>'Data &amp; Reporting'!E229</x:f>
        <x:v>DR.CA.1.3.C09</x:v>
      </x:c>
      <x:c r="G229" s="14" t="str">
        <x:f>'Data &amp; Reporting'!F229</x:f>
        <x:v>    Document any data limitations or constraints clearly (as needed)</x:v>
      </x:c>
      <x:c r="H229" s="2" t="str">
        <x:f>IF('Data &amp; Reporting'!G229="","",'Data &amp; Reporting'!G229)</x:f>
      </x:c>
      <x:c r="I229" s="12" t="str">
        <x:f>IF('Data &amp; Reporting'!H229="","",'Data &amp; Reporting'!H229)</x:f>
      </x:c>
      <x:c r="J229" s="12" t="str">
        <x:f>IF('Data &amp; Reporting'!I229="","",'Data &amp; Reporting'!I229)</x:f>
      </x:c>
      <x:c r="K229" s="12" t="str">
        <x:f>IF('Data &amp; Reporting'!J229="","",'Data &amp; Reporting'!J229)</x:f>
      </x:c>
      <x:c r="L229" s="2" t="str">
        <x:f>IF('Data &amp; Reporting'!K229="","",'Data &amp; Reporting'!K229)</x:f>
      </x:c>
      <x:c r="M229" s="2" t="n">
        <x:f>'Data &amp; Reporting'!Q229</x:f>
        <x:v>0</x:v>
      </x:c>
      <x:c r="N229" s="2" t="str">
        <x:f>'Data &amp; Reporting'!L229</x:f>
        <x:v>Open check</x:v>
      </x:c>
      <x:c r="O229" s="2" t="str">
        <x:f>'Data &amp; Reporting'!N229</x:f>
        <x:v>DR.CA.1.3.C09.2026.CY2</x:v>
      </x:c>
      <x:c r="P229" s="2" t="n">
        <x:f>'Data &amp; Reporting'!O229</x:f>
        <x:v>0</x:v>
      </x:c>
      <x:c r="Q229" s="2" t="n">
        <x:f>SUBTOTAL(103,O229)</x:f>
        <x:v>1</x:v>
      </x:c>
      <x:c r="R229" s="2" t="n">
        <x:f>IF(AND(M229=1,OR(Dashboard!$B$7="All",Dashboard!$B$7='Cycles &amp; Guide'!$C$5),OR(Dashboard!$D$7="All",Dashboard!$D$7=B229),OR(Dashboard!$F$7="All",Dashboard!$F$7=C229),OR(Dashboard!$H$7="All",Dashboard!$H$7=D229),OR(Dashboard!$K$7="All",Dashboard!$K$7=E229)),1,0)</x:f>
        <x:v>0</x:v>
      </x:c>
      <x:c r="S229" s="2" t="n">
        <x:f>IF(R229=1,SUM($R$10:R229),0)</x:f>
        <x:v>0</x:v>
      </x:c>
      <x:c r="T229" s="2" t="str">
        <x:v>Data &amp; Reporting</x:v>
      </x:c>
      <x:c r="U229" s="2" t="n">
        <x:v>229</x:v>
      </x:c>
      <x:c r="V229" s="2" t="n">
        <x:f>IF(AND(M229=1,P229=0,ISNUMBER(J229),J229&lt;TODAY()),1,0)</x:f>
        <x:v>0</x:v>
      </x:c>
      <x:c r="W229" s="2" t="str">
        <x:f>'Data &amp; Reporting'!M229</x:f>
        <x:v>Checklist</x:v>
      </x:c>
    </x:row>
    <x:row r="230" ht="40" customHeight="1">
      <x:c r="A230" s="3" t="str">
        <x:f>HYPERLINK("#'Data &amp; Reporting'!A230","Open")</x:f>
        <x:v>Open</x:v>
      </x:c>
      <x:c r="B230" s="2" t="str">
        <x:f>'Data &amp; Reporting'!B230</x:f>
        <x:v>Cycle 2</x:v>
      </x:c>
      <x:c r="C230" s="2" t="str">
        <x:f>'Data &amp; Reporting'!C230</x:f>
        <x:v>Phase 1</x:v>
      </x:c>
      <x:c r="D230" s="2" t="str">
        <x:f>'Data &amp; Reporting'!D230</x:f>
        <x:v>Cards</x:v>
      </x:c>
      <x:c r="E230" s="2" t="str">
        <x:v>Data &amp; Reporting</x:v>
      </x:c>
      <x:c r="F230" s="56" t="str">
        <x:f>'Data &amp; Reporting'!E230</x:f>
        <x:v>DR.CA.1.3.C10</x:v>
      </x:c>
      <x:c r="G230" s="14" t="str">
        <x:f>'Data &amp; Reporting'!F230</x:f>
        <x:v>    Document data dictionary or field definitions for columns/rows</x:v>
      </x:c>
      <x:c r="H230" s="2" t="str">
        <x:f>IF('Data &amp; Reporting'!G230="","",'Data &amp; Reporting'!G230)</x:f>
      </x:c>
      <x:c r="I230" s="12" t="str">
        <x:f>IF('Data &amp; Reporting'!H230="","",'Data &amp; Reporting'!H230)</x:f>
      </x:c>
      <x:c r="J230" s="12" t="str">
        <x:f>IF('Data &amp; Reporting'!I230="","",'Data &amp; Reporting'!I230)</x:f>
      </x:c>
      <x:c r="K230" s="12" t="str">
        <x:f>IF('Data &amp; Reporting'!J230="","",'Data &amp; Reporting'!J230)</x:f>
      </x:c>
      <x:c r="L230" s="2" t="str">
        <x:f>IF('Data &amp; Reporting'!K230="","",'Data &amp; Reporting'!K230)</x:f>
      </x:c>
      <x:c r="M230" s="2" t="n">
        <x:f>'Data &amp; Reporting'!Q230</x:f>
        <x:v>0</x:v>
      </x:c>
      <x:c r="N230" s="2" t="str">
        <x:f>'Data &amp; Reporting'!L230</x:f>
        <x:v>Open check</x:v>
      </x:c>
      <x:c r="O230" s="2" t="str">
        <x:f>'Data &amp; Reporting'!N230</x:f>
        <x:v>DR.CA.1.3.C10.2026.CY2</x:v>
      </x:c>
      <x:c r="P230" s="2" t="n">
        <x:f>'Data &amp; Reporting'!O230</x:f>
        <x:v>0</x:v>
      </x:c>
      <x:c r="Q230" s="2" t="n">
        <x:f>SUBTOTAL(103,O230)</x:f>
        <x:v>1</x:v>
      </x:c>
      <x:c r="R230" s="2" t="n">
        <x:f>IF(AND(M230=1,OR(Dashboard!$B$7="All",Dashboard!$B$7='Cycles &amp; Guide'!$C$5),OR(Dashboard!$D$7="All",Dashboard!$D$7=B230),OR(Dashboard!$F$7="All",Dashboard!$F$7=C230),OR(Dashboard!$H$7="All",Dashboard!$H$7=D230),OR(Dashboard!$K$7="All",Dashboard!$K$7=E230)),1,0)</x:f>
        <x:v>0</x:v>
      </x:c>
      <x:c r="S230" s="2" t="n">
        <x:f>IF(R230=1,SUM($R$10:R230),0)</x:f>
        <x:v>0</x:v>
      </x:c>
      <x:c r="T230" s="2" t="str">
        <x:v>Data &amp; Reporting</x:v>
      </x:c>
      <x:c r="U230" s="2" t="n">
        <x:v>230</x:v>
      </x:c>
      <x:c r="V230" s="2" t="n">
        <x:f>IF(AND(M230=1,P230=0,ISNUMBER(J230),J230&lt;TODAY()),1,0)</x:f>
        <x:v>0</x:v>
      </x:c>
      <x:c r="W230" s="2" t="str">
        <x:f>'Data &amp; Reporting'!M230</x:f>
        <x:v>Checklist</x:v>
      </x:c>
    </x:row>
    <x:row r="231" ht="40" customHeight="1">
      <x:c r="A231" s="3" t="str">
        <x:f>HYPERLINK("#'Data &amp; Reporting'!A231","Open")</x:f>
        <x:v>Open</x:v>
      </x:c>
      <x:c r="B231" s="2" t="str">
        <x:f>'Data &amp; Reporting'!B231</x:f>
        <x:v>Cycle 2</x:v>
      </x:c>
      <x:c r="C231" s="2" t="str">
        <x:f>'Data &amp; Reporting'!C231</x:f>
        <x:v>Phase 1</x:v>
      </x:c>
      <x:c r="D231" s="2" t="str">
        <x:f>'Data &amp; Reporting'!D231</x:f>
        <x:v>Cards</x:v>
      </x:c>
      <x:c r="E231" s="2" t="str">
        <x:v>Data &amp; Reporting</x:v>
      </x:c>
      <x:c r="F231" s="56" t="str">
        <x:f>'Data &amp; Reporting'!E231</x:f>
        <x:v>DR.CA.1.3.C11</x:v>
      </x:c>
      <x:c r="G231" s="14" t="str">
        <x:f>'Data &amp; Reporting'!F231</x:f>
        <x:v>    Document emerging trends, patterns, or concentrations along with supporting data</x:v>
      </x:c>
      <x:c r="H231" s="2" t="str">
        <x:f>IF('Data &amp; Reporting'!G231="","",'Data &amp; Reporting'!G231)</x:f>
      </x:c>
      <x:c r="I231" s="12" t="str">
        <x:f>IF('Data &amp; Reporting'!H231="","",'Data &amp; Reporting'!H231)</x:f>
      </x:c>
      <x:c r="J231" s="12" t="str">
        <x:f>IF('Data &amp; Reporting'!I231="","",'Data &amp; Reporting'!I231)</x:f>
      </x:c>
      <x:c r="K231" s="12" t="str">
        <x:f>IF('Data &amp; Reporting'!J231="","",'Data &amp; Reporting'!J231)</x:f>
      </x:c>
      <x:c r="L231" s="2" t="str">
        <x:f>IF('Data &amp; Reporting'!K231="","",'Data &amp; Reporting'!K231)</x:f>
      </x:c>
      <x:c r="M231" s="2" t="n">
        <x:f>'Data &amp; Reporting'!Q231</x:f>
        <x:v>0</x:v>
      </x:c>
      <x:c r="N231" s="2" t="str">
        <x:f>'Data &amp; Reporting'!L231</x:f>
        <x:v>Open check</x:v>
      </x:c>
      <x:c r="O231" s="2" t="str">
        <x:f>'Data &amp; Reporting'!N231</x:f>
        <x:v>DR.CA.1.3.C11.2026.CY2</x:v>
      </x:c>
      <x:c r="P231" s="2" t="n">
        <x:f>'Data &amp; Reporting'!O231</x:f>
        <x:v>0</x:v>
      </x:c>
      <x:c r="Q231" s="2" t="n">
        <x:f>SUBTOTAL(103,O231)</x:f>
        <x:v>1</x:v>
      </x:c>
      <x:c r="R231" s="2" t="n">
        <x:f>IF(AND(M231=1,OR(Dashboard!$B$7="All",Dashboard!$B$7='Cycles &amp; Guide'!$C$5),OR(Dashboard!$D$7="All",Dashboard!$D$7=B231),OR(Dashboard!$F$7="All",Dashboard!$F$7=C231),OR(Dashboard!$H$7="All",Dashboard!$H$7=D231),OR(Dashboard!$K$7="All",Dashboard!$K$7=E231)),1,0)</x:f>
        <x:v>0</x:v>
      </x:c>
      <x:c r="S231" s="2" t="n">
        <x:f>IF(R231=1,SUM($R$10:R231),0)</x:f>
        <x:v>0</x:v>
      </x:c>
      <x:c r="T231" s="2" t="str">
        <x:v>Data &amp; Reporting</x:v>
      </x:c>
      <x:c r="U231" s="2" t="n">
        <x:v>231</x:v>
      </x:c>
      <x:c r="V231" s="2" t="n">
        <x:f>IF(AND(M231=1,P231=0,ISNUMBER(J231),J231&lt;TODAY()),1,0)</x:f>
        <x:v>0</x:v>
      </x:c>
      <x:c r="W231" s="2" t="str">
        <x:f>'Data &amp; Reporting'!M231</x:f>
        <x:v>Checklist</x:v>
      </x:c>
    </x:row>
    <x:row r="232" ht="40" customHeight="1">
      <x:c r="A232" s="3" t="str">
        <x:f>HYPERLINK("#'Data &amp; Reporting'!A232","Open")</x:f>
        <x:v>Open</x:v>
      </x:c>
      <x:c r="B232" s="2" t="str">
        <x:f>'Data &amp; Reporting'!B232</x:f>
        <x:v>Cycle 2</x:v>
      </x:c>
      <x:c r="C232" s="2" t="str">
        <x:f>'Data &amp; Reporting'!C232</x:f>
        <x:v>Phase 1</x:v>
      </x:c>
      <x:c r="D232" s="2" t="str">
        <x:f>'Data &amp; Reporting'!D232</x:f>
        <x:v>Cards</x:v>
      </x:c>
      <x:c r="E232" s="2" t="str">
        <x:v>Data &amp; Reporting</x:v>
      </x:c>
      <x:c r="F232" s="56" t="str">
        <x:f>'Data &amp; Reporting'!E232</x:f>
        <x:v>DR.CA.1.3.C12</x:v>
      </x:c>
      <x:c r="G232" s="14" t="str">
        <x:f>'Data &amp; Reporting'!F232</x:f>
        <x:v>    Document any severe spikes in volume along with context (as needed)</x:v>
      </x:c>
      <x:c r="H232" s="2" t="str">
        <x:f>IF('Data &amp; Reporting'!G232="","",'Data &amp; Reporting'!G232)</x:f>
      </x:c>
      <x:c r="I232" s="12" t="str">
        <x:f>IF('Data &amp; Reporting'!H232="","",'Data &amp; Reporting'!H232)</x:f>
      </x:c>
      <x:c r="J232" s="12" t="str">
        <x:f>IF('Data &amp; Reporting'!I232="","",'Data &amp; Reporting'!I232)</x:f>
      </x:c>
      <x:c r="K232" s="12" t="str">
        <x:f>IF('Data &amp; Reporting'!J232="","",'Data &amp; Reporting'!J232)</x:f>
      </x:c>
      <x:c r="L232" s="2" t="str">
        <x:f>IF('Data &amp; Reporting'!K232="","",'Data &amp; Reporting'!K232)</x:f>
      </x:c>
      <x:c r="M232" s="2" t="n">
        <x:f>'Data &amp; Reporting'!Q232</x:f>
        <x:v>0</x:v>
      </x:c>
      <x:c r="N232" s="2" t="str">
        <x:f>'Data &amp; Reporting'!L232</x:f>
        <x:v>Open check</x:v>
      </x:c>
      <x:c r="O232" s="2" t="str">
        <x:f>'Data &amp; Reporting'!N232</x:f>
        <x:v>DR.CA.1.3.C12.2026.CY2</x:v>
      </x:c>
      <x:c r="P232" s="2" t="n">
        <x:f>'Data &amp; Reporting'!O232</x:f>
        <x:v>0</x:v>
      </x:c>
      <x:c r="Q232" s="2" t="n">
        <x:f>SUBTOTAL(103,O232)</x:f>
        <x:v>1</x:v>
      </x:c>
      <x:c r="R232" s="2" t="n">
        <x:f>IF(AND(M232=1,OR(Dashboard!$B$7="All",Dashboard!$B$7='Cycles &amp; Guide'!$C$5),OR(Dashboard!$D$7="All",Dashboard!$D$7=B232),OR(Dashboard!$F$7="All",Dashboard!$F$7=C232),OR(Dashboard!$H$7="All",Dashboard!$H$7=D232),OR(Dashboard!$K$7="All",Dashboard!$K$7=E232)),1,0)</x:f>
        <x:v>0</x:v>
      </x:c>
      <x:c r="S232" s="2" t="n">
        <x:f>IF(R232=1,SUM($R$10:R232),0)</x:f>
        <x:v>0</x:v>
      </x:c>
      <x:c r="T232" s="2" t="str">
        <x:v>Data &amp; Reporting</x:v>
      </x:c>
      <x:c r="U232" s="2" t="n">
        <x:v>232</x:v>
      </x:c>
      <x:c r="V232" s="2" t="n">
        <x:f>IF(AND(M232=1,P232=0,ISNUMBER(J232),J232&lt;TODAY()),1,0)</x:f>
        <x:v>0</x:v>
      </x:c>
      <x:c r="W232" s="2" t="str">
        <x:f>'Data &amp; Reporting'!M232</x:f>
        <x:v>Checklist</x:v>
      </x:c>
    </x:row>
    <x:row r="233" ht="40" customHeight="1">
      <x:c r="A233" s="3" t="str">
        <x:f>HYPERLINK("#'Data &amp; Reporting'!A233","Open")</x:f>
        <x:v>Open</x:v>
      </x:c>
      <x:c r="B233" s="2" t="str">
        <x:f>'Data &amp; Reporting'!B233</x:f>
        <x:v>Cycle 2</x:v>
      </x:c>
      <x:c r="C233" s="2" t="str">
        <x:f>'Data &amp; Reporting'!C233</x:f>
        <x:v>Phase 1</x:v>
      </x:c>
      <x:c r="D233" s="2" t="str">
        <x:f>'Data &amp; Reporting'!D233</x:f>
        <x:v>Cards</x:v>
      </x:c>
      <x:c r="E233" s="2" t="str">
        <x:v>Data &amp; Reporting</x:v>
      </x:c>
      <x:c r="F233" s="56" t="str">
        <x:f>'Data &amp; Reporting'!E233</x:f>
        <x:v>DR.CA.1.3.C13</x:v>
      </x:c>
      <x:c r="G233" s="14" t="str">
        <x:f>'Data &amp; Reporting'!F233</x:f>
        <x:v>    Document clear summary explaining how the data connects to the potential topic</x:v>
      </x:c>
      <x:c r="H233" s="2" t="str">
        <x:f>IF('Data &amp; Reporting'!G233="","",'Data &amp; Reporting'!G233)</x:f>
      </x:c>
      <x:c r="I233" s="12" t="str">
        <x:f>IF('Data &amp; Reporting'!H233="","",'Data &amp; Reporting'!H233)</x:f>
      </x:c>
      <x:c r="J233" s="12" t="str">
        <x:f>IF('Data &amp; Reporting'!I233="","",'Data &amp; Reporting'!I233)</x:f>
      </x:c>
      <x:c r="K233" s="12" t="str">
        <x:f>IF('Data &amp; Reporting'!J233="","",'Data &amp; Reporting'!J233)</x:f>
      </x:c>
      <x:c r="L233" s="2" t="str">
        <x:f>IF('Data &amp; Reporting'!K233="","",'Data &amp; Reporting'!K233)</x:f>
      </x:c>
      <x:c r="M233" s="2" t="n">
        <x:f>'Data &amp; Reporting'!Q233</x:f>
        <x:v>0</x:v>
      </x:c>
      <x:c r="N233" s="2" t="str">
        <x:f>'Data &amp; Reporting'!L233</x:f>
        <x:v>Open check</x:v>
      </x:c>
      <x:c r="O233" s="2" t="str">
        <x:f>'Data &amp; Reporting'!N233</x:f>
        <x:v>DR.CA.1.3.C13.2026.CY2</x:v>
      </x:c>
      <x:c r="P233" s="2" t="n">
        <x:f>'Data &amp; Reporting'!O233</x:f>
        <x:v>0</x:v>
      </x:c>
      <x:c r="Q233" s="2" t="n">
        <x:f>SUBTOTAL(103,O233)</x:f>
        <x:v>1</x:v>
      </x:c>
      <x:c r="R233" s="2" t="n">
        <x:f>IF(AND(M233=1,OR(Dashboard!$B$7="All",Dashboard!$B$7='Cycles &amp; Guide'!$C$5),OR(Dashboard!$D$7="All",Dashboard!$D$7=B233),OR(Dashboard!$F$7="All",Dashboard!$F$7=C233),OR(Dashboard!$H$7="All",Dashboard!$H$7=D233),OR(Dashboard!$K$7="All",Dashboard!$K$7=E233)),1,0)</x:f>
        <x:v>0</x:v>
      </x:c>
      <x:c r="S233" s="2" t="n">
        <x:f>IF(R233=1,SUM($R$10:R233),0)</x:f>
        <x:v>0</x:v>
      </x:c>
      <x:c r="T233" s="2" t="str">
        <x:v>Data &amp; Reporting</x:v>
      </x:c>
      <x:c r="U233" s="2" t="n">
        <x:v>233</x:v>
      </x:c>
      <x:c r="V233" s="2" t="n">
        <x:f>IF(AND(M233=1,P233=0,ISNUMBER(J233),J233&lt;TODAY()),1,0)</x:f>
        <x:v>0</x:v>
      </x:c>
      <x:c r="W233" s="2" t="str">
        <x:f>'Data &amp; Reporting'!M233</x:f>
        <x:v>Checklist</x:v>
      </x:c>
    </x:row>
    <x:row r="234" ht="40" customHeight="1">
      <x:c r="A234" s="3" t="str">
        <x:f>HYPERLINK("#'Data &amp; Reporting'!A234","Open")</x:f>
        <x:v>Open</x:v>
      </x:c>
      <x:c r="B234" s="2" t="str">
        <x:f>'Data &amp; Reporting'!B234</x:f>
        <x:v>Cycle 2</x:v>
      </x:c>
      <x:c r="C234" s="2" t="str">
        <x:f>'Data &amp; Reporting'!C234</x:f>
        <x:v>Phase 2</x:v>
      </x:c>
      <x:c r="D234" s="2" t="str">
        <x:f>'Data &amp; Reporting'!D234</x:f>
        <x:v>Cards</x:v>
      </x:c>
      <x:c r="E234" s="2" t="str">
        <x:v>Data &amp; Reporting</x:v>
      </x:c>
      <x:c r="F234" s="56" t="str">
        <x:f>'Data &amp; Reporting'!E234</x:f>
        <x:v>DR.CA.2.1</x:v>
      </x:c>
      <x:c r="G234" s="14" t="str">
        <x:f>'Data &amp; Reporting'!F234</x:f>
        <x:v>Ensure data is clean, structured, and usable without manipulation needed</x:v>
      </x:c>
      <x:c r="H234" s="2" t="str">
        <x:f>IF('Data &amp; Reporting'!G234="","",'Data &amp; Reporting'!G234)</x:f>
      </x:c>
      <x:c r="I234" s="12" t="str">
        <x:f>IF('Data &amp; Reporting'!H234="","",'Data &amp; Reporting'!H234)</x:f>
      </x:c>
      <x:c r="J234" s="12" t="n">
        <x:f>IF('Data &amp; Reporting'!I234="","",'Data &amp; Reporting'!I234)</x:f>
        <x:v>46203</x:v>
      </x:c>
      <x:c r="K234" s="12" t="str">
        <x:f>IF('Data &amp; Reporting'!J234="","",'Data &amp; Reporting'!J234)</x:f>
      </x:c>
      <x:c r="L234" s="2" t="str">
        <x:f>IF('Data &amp; Reporting'!K234="","",'Data &amp; Reporting'!K234)</x:f>
      </x:c>
      <x:c r="M234" s="2" t="n">
        <x:f>'Data &amp; Reporting'!Q234</x:f>
        <x:v>1</x:v>
      </x:c>
      <x:c r="N234" s="2" t="str">
        <x:f>'Data &amp; Reporting'!L234</x:f>
        <x:v>Not started</x:v>
      </x:c>
      <x:c r="O234" s="2" t="str">
        <x:f>'Data &amp; Reporting'!N234</x:f>
        <x:v>DR.CA.2.1.2026.CY2</x:v>
      </x:c>
      <x:c r="P234" s="2" t="n">
        <x:f>'Data &amp; Reporting'!O234</x:f>
        <x:v>0</x:v>
      </x:c>
      <x:c r="Q234" s="2" t="n">
        <x:f>SUBTOTAL(103,O234)</x:f>
        <x:v>1</x:v>
      </x:c>
      <x:c r="R234" s="2" t="n">
        <x:f>IF(AND(M234=1,OR(Dashboard!$B$7="All",Dashboard!$B$7='Cycles &amp; Guide'!$C$5),OR(Dashboard!$D$7="All",Dashboard!$D$7=B234),OR(Dashboard!$F$7="All",Dashboard!$F$7=C234),OR(Dashboard!$H$7="All",Dashboard!$H$7=D234),OR(Dashboard!$K$7="All",Dashboard!$K$7=E234)),1,0)</x:f>
        <x:v>1</x:v>
      </x:c>
      <x:c r="S234" s="2" t="n">
        <x:f>IF(R234=1,SUM($R$10:R234),0)</x:f>
        <x:v>108</x:v>
      </x:c>
      <x:c r="T234" s="2" t="str">
        <x:v>Data &amp; Reporting</x:v>
      </x:c>
      <x:c r="U234" s="2" t="n">
        <x:v>234</x:v>
      </x:c>
      <x:c r="V234" s="2" t="n">
        <x:f>IF(AND(M234=1,P234=0,ISNUMBER(J234),J234&lt;TODAY()),1,0)</x:f>
        <x:v>1</x:v>
      </x:c>
      <x:c r="W234" s="2" t="str">
        <x:f>'Data &amp; Reporting'!M234</x:f>
        <x:v>Task</x:v>
      </x:c>
    </x:row>
    <x:row r="235" ht="40" customHeight="1">
      <x:c r="A235" s="3" t="str">
        <x:f>HYPERLINK("#'Data &amp; Reporting'!A235","Open")</x:f>
        <x:v>Open</x:v>
      </x:c>
      <x:c r="B235" s="2" t="str">
        <x:f>'Data &amp; Reporting'!B235</x:f>
        <x:v>Cycle 2</x:v>
      </x:c>
      <x:c r="C235" s="2" t="str">
        <x:f>'Data &amp; Reporting'!C235</x:f>
        <x:v>Phase 2</x:v>
      </x:c>
      <x:c r="D235" s="2" t="str">
        <x:f>'Data &amp; Reporting'!D235</x:f>
        <x:v>Cards</x:v>
      </x:c>
      <x:c r="E235" s="2" t="str">
        <x:v>Data &amp; Reporting</x:v>
      </x:c>
      <x:c r="F235" s="56" t="str">
        <x:f>'Data &amp; Reporting'!E235</x:f>
        <x:v>DR.CA.2.2</x:v>
      </x:c>
      <x:c r="G235" s="14" t="str">
        <x:f>'Data &amp; Reporting'!F235</x:f>
        <x:v>Clearly document rationale for each topic recommendation within the SharePoint list</x:v>
      </x:c>
      <x:c r="H235" s="2" t="str">
        <x:f>IF('Data &amp; Reporting'!G235="","",'Data &amp; Reporting'!G235)</x:f>
      </x:c>
      <x:c r="I235" s="12" t="str">
        <x:f>IF('Data &amp; Reporting'!H235="","",'Data &amp; Reporting'!H235)</x:f>
      </x:c>
      <x:c r="J235" s="12" t="n">
        <x:f>IF('Data &amp; Reporting'!I235="","",'Data &amp; Reporting'!I235)</x:f>
        <x:v>46203</x:v>
      </x:c>
      <x:c r="K235" s="12" t="str">
        <x:f>IF('Data &amp; Reporting'!J235="","",'Data &amp; Reporting'!J235)</x:f>
      </x:c>
      <x:c r="L235" s="2" t="str">
        <x:f>IF('Data &amp; Reporting'!K235="","",'Data &amp; Reporting'!K235)</x:f>
      </x:c>
      <x:c r="M235" s="2" t="n">
        <x:f>'Data &amp; Reporting'!Q235</x:f>
        <x:v>1</x:v>
      </x:c>
      <x:c r="N235" s="2" t="str">
        <x:f>'Data &amp; Reporting'!L235</x:f>
        <x:v>Not started</x:v>
      </x:c>
      <x:c r="O235" s="2" t="str">
        <x:f>'Data &amp; Reporting'!N235</x:f>
        <x:v>DR.CA.2.2.2026.CY2</x:v>
      </x:c>
      <x:c r="P235" s="2" t="n">
        <x:f>'Data &amp; Reporting'!O235</x:f>
        <x:v>0</x:v>
      </x:c>
      <x:c r="Q235" s="2" t="n">
        <x:f>SUBTOTAL(103,O235)</x:f>
        <x:v>1</x:v>
      </x:c>
      <x:c r="R235" s="2" t="n">
        <x:f>IF(AND(M235=1,OR(Dashboard!$B$7="All",Dashboard!$B$7='Cycles &amp; Guide'!$C$5),OR(Dashboard!$D$7="All",Dashboard!$D$7=B235),OR(Dashboard!$F$7="All",Dashboard!$F$7=C235),OR(Dashboard!$H$7="All",Dashboard!$H$7=D235),OR(Dashboard!$K$7="All",Dashboard!$K$7=E235)),1,0)</x:f>
        <x:v>1</x:v>
      </x:c>
      <x:c r="S235" s="2" t="n">
        <x:f>IF(R235=1,SUM($R$10:R235),0)</x:f>
        <x:v>109</x:v>
      </x:c>
      <x:c r="T235" s="2" t="str">
        <x:v>Data &amp; Reporting</x:v>
      </x:c>
      <x:c r="U235" s="2" t="n">
        <x:v>235</x:v>
      </x:c>
      <x:c r="V235" s="2" t="n">
        <x:f>IF(AND(M235=1,P235=0,ISNUMBER(J235),J235&lt;TODAY()),1,0)</x:f>
        <x:v>1</x:v>
      </x:c>
      <x:c r="W235" s="2" t="str">
        <x:f>'Data &amp; Reporting'!M235</x:f>
        <x:v>Task</x:v>
      </x:c>
    </x:row>
    <x:row r="236" ht="40" customHeight="1">
      <x:c r="A236" s="3" t="str">
        <x:f>HYPERLINK("#'Data &amp; Reporting'!A236","Open")</x:f>
        <x:v>Open</x:v>
      </x:c>
      <x:c r="B236" s="2" t="str">
        <x:f>'Data &amp; Reporting'!B236</x:f>
        <x:v>Cycle 2</x:v>
      </x:c>
      <x:c r="C236" s="2" t="str">
        <x:f>'Data &amp; Reporting'!C236</x:f>
        <x:v>Phase 2</x:v>
      </x:c>
      <x:c r="D236" s="2" t="str">
        <x:f>'Data &amp; Reporting'!D236</x:f>
        <x:v>Cards</x:v>
      </x:c>
      <x:c r="E236" s="2" t="str">
        <x:v>Data &amp; Reporting</x:v>
      </x:c>
      <x:c r="F236" s="56" t="str">
        <x:f>'Data &amp; Reporting'!E236</x:f>
        <x:v>DR.CA.2.3</x:v>
      </x:c>
      <x:c r="G236" s="14" t="str">
        <x:f>'Data &amp; Reporting'!F236</x:f>
        <x:v>Verify topic is eligible for RCA and does not conflict with Attorney Client Privilege</x:v>
      </x:c>
      <x:c r="H236" s="2" t="str">
        <x:f>IF('Data &amp; Reporting'!G236="","",'Data &amp; Reporting'!G236)</x:f>
      </x:c>
      <x:c r="I236" s="12" t="str">
        <x:f>IF('Data &amp; Reporting'!H236="","",'Data &amp; Reporting'!H236)</x:f>
      </x:c>
      <x:c r="J236" s="12" t="n">
        <x:f>IF('Data &amp; Reporting'!I236="","",'Data &amp; Reporting'!I236)</x:f>
        <x:v>46203</x:v>
      </x:c>
      <x:c r="K236" s="12" t="str">
        <x:f>IF('Data &amp; Reporting'!J236="","",'Data &amp; Reporting'!J236)</x:f>
      </x:c>
      <x:c r="L236" s="2" t="str">
        <x:f>IF('Data &amp; Reporting'!K236="","",'Data &amp; Reporting'!K236)</x:f>
      </x:c>
      <x:c r="M236" s="2" t="n">
        <x:f>'Data &amp; Reporting'!Q236</x:f>
        <x:v>1</x:v>
      </x:c>
      <x:c r="N236" s="2" t="str">
        <x:f>'Data &amp; Reporting'!L236</x:f>
        <x:v>Not started</x:v>
      </x:c>
      <x:c r="O236" s="2" t="str">
        <x:f>'Data &amp; Reporting'!N236</x:f>
        <x:v>DR.CA.2.3.2026.CY2</x:v>
      </x:c>
      <x:c r="P236" s="2" t="n">
        <x:f>'Data &amp; Reporting'!O236</x:f>
        <x:v>0</x:v>
      </x:c>
      <x:c r="Q236" s="2" t="n">
        <x:f>SUBTOTAL(103,O236)</x:f>
        <x:v>1</x:v>
      </x:c>
      <x:c r="R236" s="2" t="n">
        <x:f>IF(AND(M236=1,OR(Dashboard!$B$7="All",Dashboard!$B$7='Cycles &amp; Guide'!$C$5),OR(Dashboard!$D$7="All",Dashboard!$D$7=B236),OR(Dashboard!$F$7="All",Dashboard!$F$7=C236),OR(Dashboard!$H$7="All",Dashboard!$H$7=D236),OR(Dashboard!$K$7="All",Dashboard!$K$7=E236)),1,0)</x:f>
        <x:v>1</x:v>
      </x:c>
      <x:c r="S236" s="2" t="n">
        <x:f>IF(R236=1,SUM($R$10:R236),0)</x:f>
        <x:v>110</x:v>
      </x:c>
      <x:c r="T236" s="2" t="str">
        <x:v>Data &amp; Reporting</x:v>
      </x:c>
      <x:c r="U236" s="2" t="n">
        <x:v>236</x:v>
      </x:c>
      <x:c r="V236" s="2" t="n">
        <x:f>IF(AND(M236=1,P236=0,ISNUMBER(J236),J236&lt;TODAY()),1,0)</x:f>
        <x:v>1</x:v>
      </x:c>
      <x:c r="W236" s="2" t="str">
        <x:f>'Data &amp; Reporting'!M236</x:f>
        <x:v>Task</x:v>
      </x:c>
    </x:row>
    <x:row r="237" ht="40" customHeight="1">
      <x:c r="A237" s="3" t="str">
        <x:f>HYPERLINK("#'Data &amp; Reporting'!A237","Open")</x:f>
        <x:v>Open</x:v>
      </x:c>
      <x:c r="B237" s="2" t="str">
        <x:f>'Data &amp; Reporting'!B237</x:f>
        <x:v>Cycle 2</x:v>
      </x:c>
      <x:c r="C237" s="2" t="str">
        <x:f>'Data &amp; Reporting'!C237</x:f>
        <x:v>Phase 2</x:v>
      </x:c>
      <x:c r="D237" s="2" t="str">
        <x:f>'Data &amp; Reporting'!D237</x:f>
        <x:v>Cards</x:v>
      </x:c>
      <x:c r="E237" s="2" t="str">
        <x:v>Data &amp; Reporting</x:v>
      </x:c>
      <x:c r="F237" s="56" t="str">
        <x:f>'Data &amp; Reporting'!E237</x:f>
        <x:v>DR.CA.2.4</x:v>
      </x:c>
      <x:c r="G237" s="14" t="str">
        <x:f>'Data &amp; Reporting'!F237</x:f>
        <x:v>Ensure data is free of errors and anomalies prior to hand-off to Research</x:v>
      </x:c>
      <x:c r="H237" s="2" t="str">
        <x:f>IF('Data &amp; Reporting'!G237="","",'Data &amp; Reporting'!G237)</x:f>
      </x:c>
      <x:c r="I237" s="12" t="str">
        <x:f>IF('Data &amp; Reporting'!H237="","",'Data &amp; Reporting'!H237)</x:f>
      </x:c>
      <x:c r="J237" s="12" t="n">
        <x:f>IF('Data &amp; Reporting'!I237="","",'Data &amp; Reporting'!I237)</x:f>
        <x:v>46203</x:v>
      </x:c>
      <x:c r="K237" s="12" t="str">
        <x:f>IF('Data &amp; Reporting'!J237="","",'Data &amp; Reporting'!J237)</x:f>
      </x:c>
      <x:c r="L237" s="2" t="str">
        <x:f>IF('Data &amp; Reporting'!K237="","",'Data &amp; Reporting'!K237)</x:f>
      </x:c>
      <x:c r="M237" s="2" t="n">
        <x:f>'Data &amp; Reporting'!Q237</x:f>
        <x:v>1</x:v>
      </x:c>
      <x:c r="N237" s="2" t="str">
        <x:f>'Data &amp; Reporting'!L237</x:f>
        <x:v>Not started</x:v>
      </x:c>
      <x:c r="O237" s="2" t="str">
        <x:f>'Data &amp; Reporting'!N237</x:f>
        <x:v>DR.CA.2.4.2026.CY2</x:v>
      </x:c>
      <x:c r="P237" s="2" t="n">
        <x:f>'Data &amp; Reporting'!O237</x:f>
        <x:v>0</x:v>
      </x:c>
      <x:c r="Q237" s="2" t="n">
        <x:f>SUBTOTAL(103,O237)</x:f>
        <x:v>1</x:v>
      </x:c>
      <x:c r="R237" s="2" t="n">
        <x:f>IF(AND(M237=1,OR(Dashboard!$B$7="All",Dashboard!$B$7='Cycles &amp; Guide'!$C$5),OR(Dashboard!$D$7="All",Dashboard!$D$7=B237),OR(Dashboard!$F$7="All",Dashboard!$F$7=C237),OR(Dashboard!$H$7="All",Dashboard!$H$7=D237),OR(Dashboard!$K$7="All",Dashboard!$K$7=E237)),1,0)</x:f>
        <x:v>1</x:v>
      </x:c>
      <x:c r="S237" s="2" t="n">
        <x:f>IF(R237=1,SUM($R$10:R237),0)</x:f>
        <x:v>111</x:v>
      </x:c>
      <x:c r="T237" s="2" t="str">
        <x:v>Data &amp; Reporting</x:v>
      </x:c>
      <x:c r="U237" s="2" t="n">
        <x:v>237</x:v>
      </x:c>
      <x:c r="V237" s="2" t="n">
        <x:f>IF(AND(M237=1,P237=0,ISNUMBER(J237),J237&lt;TODAY()),1,0)</x:f>
        <x:v>1</x:v>
      </x:c>
      <x:c r="W237" s="2" t="str">
        <x:f>'Data &amp; Reporting'!M237</x:f>
        <x:v>Task</x:v>
      </x:c>
    </x:row>
    <x:row r="238" ht="40" customHeight="1">
      <x:c r="A238" s="3" t="str">
        <x:f>HYPERLINK("#'Data &amp; Reporting'!A238","Open")</x:f>
        <x:v>Open</x:v>
      </x:c>
      <x:c r="B238" s="2" t="str">
        <x:f>'Data &amp; Reporting'!B238</x:f>
        <x:v>Cycle 2</x:v>
      </x:c>
      <x:c r="C238" s="2" t="str">
        <x:f>'Data &amp; Reporting'!C238</x:f>
        <x:v>Phase 2</x:v>
      </x:c>
      <x:c r="D238" s="2" t="str">
        <x:f>'Data &amp; Reporting'!D238</x:f>
        <x:v>Cards</x:v>
      </x:c>
      <x:c r="E238" s="2" t="str">
        <x:v>Data &amp; Reporting</x:v>
      </x:c>
      <x:c r="F238" s="56" t="str">
        <x:f>'Data &amp; Reporting'!E238</x:f>
        <x:v>DR.CA.2.5</x:v>
      </x:c>
      <x:c r="G238" s="14" t="str">
        <x:f>'Data &amp; Reporting'!F238</x:f>
        <x:v>Ensure topic is not a duplicate from a previous Cycle</x:v>
      </x:c>
      <x:c r="H238" s="2" t="str">
        <x:f>IF('Data &amp; Reporting'!G238="","",'Data &amp; Reporting'!G238)</x:f>
      </x:c>
      <x:c r="I238" s="12" t="str">
        <x:f>IF('Data &amp; Reporting'!H238="","",'Data &amp; Reporting'!H238)</x:f>
      </x:c>
      <x:c r="J238" s="12" t="n">
        <x:f>IF('Data &amp; Reporting'!I238="","",'Data &amp; Reporting'!I238)</x:f>
        <x:v>46203</x:v>
      </x:c>
      <x:c r="K238" s="12" t="str">
        <x:f>IF('Data &amp; Reporting'!J238="","",'Data &amp; Reporting'!J238)</x:f>
      </x:c>
      <x:c r="L238" s="2" t="str">
        <x:f>IF('Data &amp; Reporting'!K238="","",'Data &amp; Reporting'!K238)</x:f>
      </x:c>
      <x:c r="M238" s="2" t="n">
        <x:f>'Data &amp; Reporting'!Q238</x:f>
        <x:v>1</x:v>
      </x:c>
      <x:c r="N238" s="2" t="str">
        <x:f>'Data &amp; Reporting'!L238</x:f>
        <x:v>Not started</x:v>
      </x:c>
      <x:c r="O238" s="2" t="str">
        <x:f>'Data &amp; Reporting'!N238</x:f>
        <x:v>DR.CA.2.5.2026.CY2</x:v>
      </x:c>
      <x:c r="P238" s="2" t="n">
        <x:f>'Data &amp; Reporting'!O238</x:f>
        <x:v>0</x:v>
      </x:c>
      <x:c r="Q238" s="2" t="n">
        <x:f>SUBTOTAL(103,O238)</x:f>
        <x:v>1</x:v>
      </x:c>
      <x:c r="R238" s="2" t="n">
        <x:f>IF(AND(M238=1,OR(Dashboard!$B$7="All",Dashboard!$B$7='Cycles &amp; Guide'!$C$5),OR(Dashboard!$D$7="All",Dashboard!$D$7=B238),OR(Dashboard!$F$7="All",Dashboard!$F$7=C238),OR(Dashboard!$H$7="All",Dashboard!$H$7=D238),OR(Dashboard!$K$7="All",Dashboard!$K$7=E238)),1,0)</x:f>
        <x:v>1</x:v>
      </x:c>
      <x:c r="S238" s="2" t="n">
        <x:f>IF(R238=1,SUM($R$10:R238),0)</x:f>
        <x:v>112</x:v>
      </x:c>
      <x:c r="T238" s="2" t="str">
        <x:v>Data &amp; Reporting</x:v>
      </x:c>
      <x:c r="U238" s="2" t="n">
        <x:v>238</x:v>
      </x:c>
      <x:c r="V238" s="2" t="n">
        <x:f>IF(AND(M238=1,P238=0,ISNUMBER(J238),J238&lt;TODAY()),1,0)</x:f>
        <x:v>1</x:v>
      </x:c>
      <x:c r="W238" s="2" t="str">
        <x:f>'Data &amp; Reporting'!M238</x:f>
        <x:v>Task</x:v>
      </x:c>
    </x:row>
    <x:row r="239" ht="40" customHeight="1">
      <x:c r="A239" s="3" t="str">
        <x:f>HYPERLINK("#'Data &amp; Reporting'!A239","Open")</x:f>
        <x:v>Open</x:v>
      </x:c>
      <x:c r="B239" s="2" t="str">
        <x:f>'Data &amp; Reporting'!B239</x:f>
        <x:v>Cycle 2</x:v>
      </x:c>
      <x:c r="C239" s="2" t="str">
        <x:f>'Data &amp; Reporting'!C239</x:f>
        <x:v>Phase 2</x:v>
      </x:c>
      <x:c r="D239" s="2" t="str">
        <x:f>'Data &amp; Reporting'!D239</x:f>
        <x:v>Cards</x:v>
      </x:c>
      <x:c r="E239" s="2" t="str">
        <x:v>Data &amp; Reporting</x:v>
      </x:c>
      <x:c r="F239" s="56" t="str">
        <x:f>'Data &amp; Reporting'!E239</x:f>
        <x:v>DR.CA.2.6</x:v>
      </x:c>
      <x:c r="G239" s="14" t="str">
        <x:f>'Data &amp; Reporting'!F239</x:f>
        <x:v>Document clear distinctions between facts, assumptions, and hypotheses within the data package</x:v>
      </x:c>
      <x:c r="H239" s="2" t="str">
        <x:f>IF('Data &amp; Reporting'!G239="","",'Data &amp; Reporting'!G239)</x:f>
      </x:c>
      <x:c r="I239" s="12" t="str">
        <x:f>IF('Data &amp; Reporting'!H239="","",'Data &amp; Reporting'!H239)</x:f>
      </x:c>
      <x:c r="J239" s="12" t="n">
        <x:f>IF('Data &amp; Reporting'!I239="","",'Data &amp; Reporting'!I239)</x:f>
        <x:v>46203</x:v>
      </x:c>
      <x:c r="K239" s="12" t="str">
        <x:f>IF('Data &amp; Reporting'!J239="","",'Data &amp; Reporting'!J239)</x:f>
      </x:c>
      <x:c r="L239" s="2" t="str">
        <x:f>IF('Data &amp; Reporting'!K239="","",'Data &amp; Reporting'!K239)</x:f>
      </x:c>
      <x:c r="M239" s="2" t="n">
        <x:f>'Data &amp; Reporting'!Q239</x:f>
        <x:v>1</x:v>
      </x:c>
      <x:c r="N239" s="2" t="str">
        <x:f>'Data &amp; Reporting'!L239</x:f>
        <x:v>Not started</x:v>
      </x:c>
      <x:c r="O239" s="2" t="str">
        <x:f>'Data &amp; Reporting'!N239</x:f>
        <x:v>DR.CA.2.6.2026.CY2</x:v>
      </x:c>
      <x:c r="P239" s="2" t="n">
        <x:f>'Data &amp; Reporting'!O239</x:f>
        <x:v>0</x:v>
      </x:c>
      <x:c r="Q239" s="2" t="n">
        <x:f>SUBTOTAL(103,O239)</x:f>
        <x:v>1</x:v>
      </x:c>
      <x:c r="R239" s="2" t="n">
        <x:f>IF(AND(M239=1,OR(Dashboard!$B$7="All",Dashboard!$B$7='Cycles &amp; Guide'!$C$5),OR(Dashboard!$D$7="All",Dashboard!$D$7=B239),OR(Dashboard!$F$7="All",Dashboard!$F$7=C239),OR(Dashboard!$H$7="All",Dashboard!$H$7=D239),OR(Dashboard!$K$7="All",Dashboard!$K$7=E239)),1,0)</x:f>
        <x:v>1</x:v>
      </x:c>
      <x:c r="S239" s="2" t="n">
        <x:f>IF(R239=1,SUM($R$10:R239),0)</x:f>
        <x:v>113</x:v>
      </x:c>
      <x:c r="T239" s="2" t="str">
        <x:v>Data &amp; Reporting</x:v>
      </x:c>
      <x:c r="U239" s="2" t="n">
        <x:v>239</x:v>
      </x:c>
      <x:c r="V239" s="2" t="n">
        <x:f>IF(AND(M239=1,P239=0,ISNUMBER(J239),J239&lt;TODAY()),1,0)</x:f>
        <x:v>1</x:v>
      </x:c>
      <x:c r="W239" s="2" t="str">
        <x:f>'Data &amp; Reporting'!M239</x:f>
        <x:v>Task</x:v>
      </x:c>
    </x:row>
    <x:row r="240" ht="40" customHeight="1">
      <x:c r="A240" s="3" t="str">
        <x:f>HYPERLINK("#'Data &amp; Reporting'!A240","Open")</x:f>
        <x:v>Open</x:v>
      </x:c>
      <x:c r="B240" s="2" t="str">
        <x:f>'Data &amp; Reporting'!B240</x:f>
        <x:v>Cycle 2</x:v>
      </x:c>
      <x:c r="C240" s="2" t="str">
        <x:f>'Data &amp; Reporting'!C240</x:f>
        <x:v>Phase 3</x:v>
      </x:c>
      <x:c r="D240" s="2" t="str">
        <x:f>'Data &amp; Reporting'!D240</x:f>
        <x:v>Cards</x:v>
      </x:c>
      <x:c r="E240" s="2" t="str">
        <x:v>Data &amp; Reporting</x:v>
      </x:c>
      <x:c r="F240" s="56" t="str">
        <x:f>'Data &amp; Reporting'!E240</x:f>
        <x:v>DR.CA.3.1</x:v>
      </x:c>
      <x:c r="G240" s="14" t="str">
        <x:f>'Data &amp; Reporting'!F240</x:f>
        <x:v>Clearly document rationale for each topic recommendation within the SharePoint list item</x:v>
      </x:c>
      <x:c r="H240" s="2" t="str">
        <x:f>IF('Data &amp; Reporting'!G240="","",'Data &amp; Reporting'!G240)</x:f>
      </x:c>
      <x:c r="I240" s="12" t="str">
        <x:f>IF('Data &amp; Reporting'!H240="","",'Data &amp; Reporting'!H240)</x:f>
      </x:c>
      <x:c r="J240" s="12" t="n">
        <x:f>IF('Data &amp; Reporting'!I240="","",'Data &amp; Reporting'!I240)</x:f>
        <x:v>46203</x:v>
      </x:c>
      <x:c r="K240" s="12" t="str">
        <x:f>IF('Data &amp; Reporting'!J240="","",'Data &amp; Reporting'!J240)</x:f>
      </x:c>
      <x:c r="L240" s="2" t="str">
        <x:f>IF('Data &amp; Reporting'!K240="","",'Data &amp; Reporting'!K240)</x:f>
      </x:c>
      <x:c r="M240" s="2" t="n">
        <x:f>'Data &amp; Reporting'!Q240</x:f>
        <x:v>1</x:v>
      </x:c>
      <x:c r="N240" s="2" t="str">
        <x:f>'Data &amp; Reporting'!L240</x:f>
        <x:v>Not started</x:v>
      </x:c>
      <x:c r="O240" s="2" t="str">
        <x:f>'Data &amp; Reporting'!N240</x:f>
        <x:v>DR.CA.3.1.2026.CY2</x:v>
      </x:c>
      <x:c r="P240" s="2" t="n">
        <x:f>'Data &amp; Reporting'!O240</x:f>
        <x:v>0</x:v>
      </x:c>
      <x:c r="Q240" s="2" t="n">
        <x:f>SUBTOTAL(103,O240)</x:f>
        <x:v>1</x:v>
      </x:c>
      <x:c r="R240" s="2" t="n">
        <x:f>IF(AND(M240=1,OR(Dashboard!$B$7="All",Dashboard!$B$7='Cycles &amp; Guide'!$C$5),OR(Dashboard!$D$7="All",Dashboard!$D$7=B240),OR(Dashboard!$F$7="All",Dashboard!$F$7=C240),OR(Dashboard!$H$7="All",Dashboard!$H$7=D240),OR(Dashboard!$K$7="All",Dashboard!$K$7=E240)),1,0)</x:f>
        <x:v>1</x:v>
      </x:c>
      <x:c r="S240" s="2" t="n">
        <x:f>IF(R240=1,SUM($R$10:R240),0)</x:f>
        <x:v>114</x:v>
      </x:c>
      <x:c r="T240" s="2" t="str">
        <x:v>Data &amp; Reporting</x:v>
      </x:c>
      <x:c r="U240" s="2" t="n">
        <x:v>240</x:v>
      </x:c>
      <x:c r="V240" s="2" t="n">
        <x:f>IF(AND(M240=1,P240=0,ISNUMBER(J240),J240&lt;TODAY()),1,0)</x:f>
        <x:v>1</x:v>
      </x:c>
      <x:c r="W240" s="2" t="str">
        <x:f>'Data &amp; Reporting'!M240</x:f>
        <x:v>Task</x:v>
      </x:c>
    </x:row>
    <x:row r="241" ht="40" customHeight="1">
      <x:c r="A241" s="3" t="str">
        <x:f>HYPERLINK("#'Data &amp; Reporting'!A241","Open")</x:f>
        <x:v>Open</x:v>
      </x:c>
      <x:c r="B241" s="2" t="str">
        <x:f>'Data &amp; Reporting'!B241</x:f>
        <x:v>Cycle 2</x:v>
      </x:c>
      <x:c r="C241" s="2" t="str">
        <x:f>'Data &amp; Reporting'!C241</x:f>
        <x:v>Phase 3</x:v>
      </x:c>
      <x:c r="D241" s="2" t="str">
        <x:f>'Data &amp; Reporting'!D241</x:f>
        <x:v>Cards</x:v>
      </x:c>
      <x:c r="E241" s="2" t="str">
        <x:v>Data &amp; Reporting</x:v>
      </x:c>
      <x:c r="F241" s="56" t="str">
        <x:f>'Data &amp; Reporting'!E241</x:f>
        <x:v>DR.CA.3.2</x:v>
      </x:c>
      <x:c r="G241" s="14" t="str">
        <x:f>'Data &amp; Reporting'!F241</x:f>
        <x:v>Attach the data package for each topic recommendation within the SharePoint list item</x:v>
      </x:c>
      <x:c r="H241" s="2" t="str">
        <x:f>IF('Data &amp; Reporting'!G241="","",'Data &amp; Reporting'!G241)</x:f>
      </x:c>
      <x:c r="I241" s="12" t="str">
        <x:f>IF('Data &amp; Reporting'!H241="","",'Data &amp; Reporting'!H241)</x:f>
      </x:c>
      <x:c r="J241" s="12" t="n">
        <x:f>IF('Data &amp; Reporting'!I241="","",'Data &amp; Reporting'!I241)</x:f>
        <x:v>46203</x:v>
      </x:c>
      <x:c r="K241" s="12" t="str">
        <x:f>IF('Data &amp; Reporting'!J241="","",'Data &amp; Reporting'!J241)</x:f>
      </x:c>
      <x:c r="L241" s="2" t="str">
        <x:f>IF('Data &amp; Reporting'!K241="","",'Data &amp; Reporting'!K241)</x:f>
      </x:c>
      <x:c r="M241" s="2" t="n">
        <x:f>'Data &amp; Reporting'!Q241</x:f>
        <x:v>1</x:v>
      </x:c>
      <x:c r="N241" s="2" t="str">
        <x:f>'Data &amp; Reporting'!L241</x:f>
        <x:v>Not started</x:v>
      </x:c>
      <x:c r="O241" s="2" t="str">
        <x:f>'Data &amp; Reporting'!N241</x:f>
        <x:v>DR.CA.3.2.2026.CY2</x:v>
      </x:c>
      <x:c r="P241" s="2" t="n">
        <x:f>'Data &amp; Reporting'!O241</x:f>
        <x:v>0</x:v>
      </x:c>
      <x:c r="Q241" s="2" t="n">
        <x:f>SUBTOTAL(103,O241)</x:f>
        <x:v>1</x:v>
      </x:c>
      <x:c r="R241" s="2" t="n">
        <x:f>IF(AND(M241=1,OR(Dashboard!$B$7="All",Dashboard!$B$7='Cycles &amp; Guide'!$C$5),OR(Dashboard!$D$7="All",Dashboard!$D$7=B241),OR(Dashboard!$F$7="All",Dashboard!$F$7=C241),OR(Dashboard!$H$7="All",Dashboard!$H$7=D241),OR(Dashboard!$K$7="All",Dashboard!$K$7=E241)),1,0)</x:f>
        <x:v>1</x:v>
      </x:c>
      <x:c r="S241" s="2" t="n">
        <x:f>IF(R241=1,SUM($R$10:R241),0)</x:f>
        <x:v>115</x:v>
      </x:c>
      <x:c r="T241" s="2" t="str">
        <x:v>Data &amp; Reporting</x:v>
      </x:c>
      <x:c r="U241" s="2" t="n">
        <x:v>241</x:v>
      </x:c>
      <x:c r="V241" s="2" t="n">
        <x:f>IF(AND(M241=1,P241=0,ISNUMBER(J241),J241&lt;TODAY()),1,0)</x:f>
        <x:v>1</x:v>
      </x:c>
      <x:c r="W241" s="2" t="str">
        <x:f>'Data &amp; Reporting'!M241</x:f>
        <x:v>Task</x:v>
      </x:c>
    </x:row>
    <x:row r="242" ht="40" customHeight="1">
      <x:c r="A242" s="3" t="str">
        <x:f>HYPERLINK("#'Data &amp; Reporting'!A242","Open")</x:f>
        <x:v>Open</x:v>
      </x:c>
      <x:c r="B242" s="2" t="str">
        <x:f>'Data &amp; Reporting'!B242</x:f>
        <x:v>Cycle 2</x:v>
      </x:c>
      <x:c r="C242" s="2" t="str">
        <x:f>'Data &amp; Reporting'!C242</x:f>
        <x:v>Phase 3</x:v>
      </x:c>
      <x:c r="D242" s="2" t="str">
        <x:f>'Data &amp; Reporting'!D242</x:f>
        <x:v>Cards</x:v>
      </x:c>
      <x:c r="E242" s="2" t="str">
        <x:v>Data &amp; Reporting</x:v>
      </x:c>
      <x:c r="F242" s="56" t="str">
        <x:f>'Data &amp; Reporting'!E242</x:f>
        <x:v>DR.CA.3.3</x:v>
      </x:c>
      <x:c r="G242" s="14" t="str">
        <x:f>'Data &amp; Reporting'!F242</x:f>
        <x:v>Confirm data privileges have been granted, ensuring each pillar can access</x:v>
      </x:c>
      <x:c r="H242" s="2" t="str">
        <x:f>IF('Data &amp; Reporting'!G242="","",'Data &amp; Reporting'!G242)</x:f>
      </x:c>
      <x:c r="I242" s="12" t="str">
        <x:f>IF('Data &amp; Reporting'!H242="","",'Data &amp; Reporting'!H242)</x:f>
      </x:c>
      <x:c r="J242" s="12" t="n">
        <x:f>IF('Data &amp; Reporting'!I242="","",'Data &amp; Reporting'!I242)</x:f>
        <x:v>46203</x:v>
      </x:c>
      <x:c r="K242" s="12" t="str">
        <x:f>IF('Data &amp; Reporting'!J242="","",'Data &amp; Reporting'!J242)</x:f>
      </x:c>
      <x:c r="L242" s="2" t="str">
        <x:f>IF('Data &amp; Reporting'!K242="","",'Data &amp; Reporting'!K242)</x:f>
      </x:c>
      <x:c r="M242" s="2" t="n">
        <x:f>'Data &amp; Reporting'!Q242</x:f>
        <x:v>1</x:v>
      </x:c>
      <x:c r="N242" s="2" t="str">
        <x:f>'Data &amp; Reporting'!L242</x:f>
        <x:v>Not started</x:v>
      </x:c>
      <x:c r="O242" s="2" t="str">
        <x:f>'Data &amp; Reporting'!N242</x:f>
        <x:v>DR.CA.3.3.2026.CY2</x:v>
      </x:c>
      <x:c r="P242" s="2" t="n">
        <x:f>'Data &amp; Reporting'!O242</x:f>
        <x:v>0</x:v>
      </x:c>
      <x:c r="Q242" s="2" t="n">
        <x:f>SUBTOTAL(103,O242)</x:f>
        <x:v>1</x:v>
      </x:c>
      <x:c r="R242" s="2" t="n">
        <x:f>IF(AND(M242=1,OR(Dashboard!$B$7="All",Dashboard!$B$7='Cycles &amp; Guide'!$C$5),OR(Dashboard!$D$7="All",Dashboard!$D$7=B242),OR(Dashboard!$F$7="All",Dashboard!$F$7=C242),OR(Dashboard!$H$7="All",Dashboard!$H$7=D242),OR(Dashboard!$K$7="All",Dashboard!$K$7=E242)),1,0)</x:f>
        <x:v>1</x:v>
      </x:c>
      <x:c r="S242" s="2" t="n">
        <x:f>IF(R242=1,SUM($R$10:R242),0)</x:f>
        <x:v>116</x:v>
      </x:c>
      <x:c r="T242" s="2" t="str">
        <x:v>Data &amp; Reporting</x:v>
      </x:c>
      <x:c r="U242" s="2" t="n">
        <x:v>242</x:v>
      </x:c>
      <x:c r="V242" s="2" t="n">
        <x:f>IF(AND(M242=1,P242=0,ISNUMBER(J242),J242&lt;TODAY()),1,0)</x:f>
        <x:v>1</x:v>
      </x:c>
      <x:c r="W242" s="2" t="str">
        <x:f>'Data &amp; Reporting'!M242</x:f>
        <x:v>Task</x:v>
      </x:c>
    </x:row>
    <x:row r="243" ht="40" customHeight="1">
      <x:c r="A243" s="3" t="str">
        <x:f>HYPERLINK("#'Data &amp; Reporting'!A243","Open")</x:f>
        <x:v>Open</x:v>
      </x:c>
      <x:c r="B243" s="2" t="str">
        <x:f>'Data &amp; Reporting'!B243</x:f>
        <x:v>Cycle 2</x:v>
      </x:c>
      <x:c r="C243" s="2" t="str">
        <x:f>'Data &amp; Reporting'!C243</x:f>
        <x:v>Phase 3</x:v>
      </x:c>
      <x:c r="D243" s="2" t="str">
        <x:f>'Data &amp; Reporting'!D243</x:f>
        <x:v>Cards</x:v>
      </x:c>
      <x:c r="E243" s="2" t="str">
        <x:v>Data &amp; Reporting</x:v>
      </x:c>
      <x:c r="F243" s="56" t="str">
        <x:f>'Data &amp; Reporting'!E243</x:f>
        <x:v>DR.CA.3.4</x:v>
      </x:c>
      <x:c r="G243" s="14" t="str">
        <x:f>'Data &amp; Reporting'!F243</x:f>
        <x:v>Ensure Power Automate notifications were correctly triggered within Microsoft Teams</x:v>
      </x:c>
      <x:c r="H243" s="2" t="str">
        <x:f>IF('Data &amp; Reporting'!G243="","",'Data &amp; Reporting'!G243)</x:f>
      </x:c>
      <x:c r="I243" s="12" t="str">
        <x:f>IF('Data &amp; Reporting'!H243="","",'Data &amp; Reporting'!H243)</x:f>
      </x:c>
      <x:c r="J243" s="12" t="n">
        <x:f>IF('Data &amp; Reporting'!I243="","",'Data &amp; Reporting'!I243)</x:f>
        <x:v>46203</x:v>
      </x:c>
      <x:c r="K243" s="12" t="str">
        <x:f>IF('Data &amp; Reporting'!J243="","",'Data &amp; Reporting'!J243)</x:f>
      </x:c>
      <x:c r="L243" s="2" t="str">
        <x:f>IF('Data &amp; Reporting'!K243="","",'Data &amp; Reporting'!K243)</x:f>
      </x:c>
      <x:c r="M243" s="2" t="n">
        <x:f>'Data &amp; Reporting'!Q243</x:f>
        <x:v>1</x:v>
      </x:c>
      <x:c r="N243" s="2" t="str">
        <x:f>'Data &amp; Reporting'!L243</x:f>
        <x:v>Not started</x:v>
      </x:c>
      <x:c r="O243" s="2" t="str">
        <x:f>'Data &amp; Reporting'!N243</x:f>
        <x:v>DR.CA.3.4.2026.CY2</x:v>
      </x:c>
      <x:c r="P243" s="2" t="n">
        <x:f>'Data &amp; Reporting'!O243</x:f>
        <x:v>0</x:v>
      </x:c>
      <x:c r="Q243" s="2" t="n">
        <x:f>SUBTOTAL(103,O243)</x:f>
        <x:v>1</x:v>
      </x:c>
      <x:c r="R243" s="2" t="n">
        <x:f>IF(AND(M243=1,OR(Dashboard!$B$7="All",Dashboard!$B$7='Cycles &amp; Guide'!$C$5),OR(Dashboard!$D$7="All",Dashboard!$D$7=B243),OR(Dashboard!$F$7="All",Dashboard!$F$7=C243),OR(Dashboard!$H$7="All",Dashboard!$H$7=D243),OR(Dashboard!$K$7="All",Dashboard!$K$7=E243)),1,0)</x:f>
        <x:v>1</x:v>
      </x:c>
      <x:c r="S243" s="2" t="n">
        <x:f>IF(R243=1,SUM($R$10:R243),0)</x:f>
        <x:v>117</x:v>
      </x:c>
      <x:c r="T243" s="2" t="str">
        <x:v>Data &amp; Reporting</x:v>
      </x:c>
      <x:c r="U243" s="2" t="n">
        <x:v>243</x:v>
      </x:c>
      <x:c r="V243" s="2" t="n">
        <x:f>IF(AND(M243=1,P243=0,ISNUMBER(J243),J243&lt;TODAY()),1,0)</x:f>
        <x:v>1</x:v>
      </x:c>
      <x:c r="W243" s="2" t="str">
        <x:f>'Data &amp; Reporting'!M243</x:f>
        <x:v>Task</x:v>
      </x:c>
    </x:row>
    <x:row r="244" ht="40" customHeight="1">
      <x:c r="A244" s="3" t="str">
        <x:f>HYPERLINK("#'Data &amp; Reporting'!A244","Open")</x:f>
        <x:v>Open</x:v>
      </x:c>
      <x:c r="B244" s="2" t="str">
        <x:f>'Data &amp; Reporting'!B244</x:f>
        <x:v>Cycle 2</x:v>
      </x:c>
      <x:c r="C244" s="2" t="str">
        <x:f>'Data &amp; Reporting'!C244</x:f>
        <x:v>Phase 1</x:v>
      </x:c>
      <x:c r="D244" s="2" t="str">
        <x:f>'Data &amp; Reporting'!D244</x:f>
        <x:v>CSBBO - Banking Ops</x:v>
      </x:c>
      <x:c r="E244" s="2" t="str">
        <x:v>Data &amp; Reporting</x:v>
      </x:c>
      <x:c r="F244" s="56" t="str">
        <x:f>'Data &amp; Reporting'!E244</x:f>
        <x:v>DR.BO.1.1</x:v>
      </x:c>
      <x:c r="G244" s="14" t="str">
        <x:f>'Data &amp; Reporting'!F244</x:f>
        <x:v>Review data sources 3 weeks prior to Cycle start (Complaints, Gen AI, Loudspeaker, NPS, etc.)</x:v>
      </x:c>
      <x:c r="H244" s="2" t="str">
        <x:f>IF('Data &amp; Reporting'!G244="","",'Data &amp; Reporting'!G244)</x:f>
      </x:c>
      <x:c r="I244" s="12" t="str">
        <x:f>IF('Data &amp; Reporting'!H244="","",'Data &amp; Reporting'!H244)</x:f>
      </x:c>
      <x:c r="J244" s="12" t="n">
        <x:f>IF('Data &amp; Reporting'!I244="","",'Data &amp; Reporting'!I244)</x:f>
        <x:v>46092</x:v>
      </x:c>
      <x:c r="K244" s="12" t="str">
        <x:f>IF('Data &amp; Reporting'!J244="","",'Data &amp; Reporting'!J244)</x:f>
      </x:c>
      <x:c r="L244" s="2" t="str">
        <x:f>IF('Data &amp; Reporting'!K244="","",'Data &amp; Reporting'!K244)</x:f>
      </x:c>
      <x:c r="M244" s="2" t="n">
        <x:f>'Data &amp; Reporting'!Q244</x:f>
        <x:v>1</x:v>
      </x:c>
      <x:c r="N244" s="2" t="str">
        <x:f>'Data &amp; Reporting'!L244</x:f>
        <x:v>Not started</x:v>
      </x:c>
      <x:c r="O244" s="2" t="str">
        <x:f>'Data &amp; Reporting'!N244</x:f>
        <x:v>DR.BO.1.1.2026.CY2</x:v>
      </x:c>
      <x:c r="P244" s="2" t="n">
        <x:f>'Data &amp; Reporting'!O244</x:f>
        <x:v>0</x:v>
      </x:c>
      <x:c r="Q244" s="2" t="n">
        <x:f>SUBTOTAL(103,O244)</x:f>
        <x:v>1</x:v>
      </x:c>
      <x:c r="R244" s="2" t="n">
        <x:f>IF(AND(M244=1,OR(Dashboard!$B$7="All",Dashboard!$B$7='Cycles &amp; Guide'!$C$5),OR(Dashboard!$D$7="All",Dashboard!$D$7=B244),OR(Dashboard!$F$7="All",Dashboard!$F$7=C244),OR(Dashboard!$H$7="All",Dashboard!$H$7=D244),OR(Dashboard!$K$7="All",Dashboard!$K$7=E244)),1,0)</x:f>
        <x:v>1</x:v>
      </x:c>
      <x:c r="S244" s="2" t="n">
        <x:f>IF(R244=1,SUM($R$10:R244),0)</x:f>
        <x:v>118</x:v>
      </x:c>
      <x:c r="T244" s="2" t="str">
        <x:v>Data &amp; Reporting</x:v>
      </x:c>
      <x:c r="U244" s="2" t="n">
        <x:v>244</x:v>
      </x:c>
      <x:c r="V244" s="2" t="n">
        <x:f>IF(AND(M244=1,P244=0,ISNUMBER(J244),J244&lt;TODAY()),1,0)</x:f>
        <x:v>1</x:v>
      </x:c>
      <x:c r="W244" s="2" t="str">
        <x:f>'Data &amp; Reporting'!M244</x:f>
        <x:v>Task</x:v>
      </x:c>
    </x:row>
    <x:row r="245" ht="40" customHeight="1">
      <x:c r="A245" s="3" t="str">
        <x:f>HYPERLINK("#'Data &amp; Reporting'!A245","Open")</x:f>
        <x:v>Open</x:v>
      </x:c>
      <x:c r="B245" s="2" t="str">
        <x:f>'Data &amp; Reporting'!B245</x:f>
        <x:v>Cycle 2</x:v>
      </x:c>
      <x:c r="C245" s="2" t="str">
        <x:f>'Data &amp; Reporting'!C245</x:f>
        <x:v>Phase 1</x:v>
      </x:c>
      <x:c r="D245" s="2" t="str">
        <x:f>'Data &amp; Reporting'!D245</x:f>
        <x:v>CSBBO - Banking Ops</x:v>
      </x:c>
      <x:c r="E245" s="2" t="str">
        <x:v>Data &amp; Reporting</x:v>
      </x:c>
      <x:c r="F245" s="56" t="str">
        <x:f>'Data &amp; Reporting'!E245</x:f>
        <x:v>DR.BO.1.2</x:v>
      </x:c>
      <x:c r="G245" s="14" t="str">
        <x:f>'Data &amp; Reporting'!F245</x:f>
        <x:v>Identify two potential topics for the upcoming Cycle</x:v>
      </x:c>
      <x:c r="H245" s="2" t="str">
        <x:f>IF('Data &amp; Reporting'!G245="","",'Data &amp; Reporting'!G245)</x:f>
      </x:c>
      <x:c r="I245" s="12" t="str">
        <x:f>IF('Data &amp; Reporting'!H245="","",'Data &amp; Reporting'!H245)</x:f>
      </x:c>
      <x:c r="J245" s="12" t="n">
        <x:f>IF('Data &amp; Reporting'!I245="","",'Data &amp; Reporting'!I245)</x:f>
        <x:v>46203</x:v>
      </x:c>
      <x:c r="K245" s="12" t="str">
        <x:f>IF('Data &amp; Reporting'!J245="","",'Data &amp; Reporting'!J245)</x:f>
      </x:c>
      <x:c r="L245" s="2" t="str">
        <x:f>IF('Data &amp; Reporting'!K245="","",'Data &amp; Reporting'!K245)</x:f>
      </x:c>
      <x:c r="M245" s="2" t="n">
        <x:f>'Data &amp; Reporting'!Q245</x:f>
        <x:v>1</x:v>
      </x:c>
      <x:c r="N245" s="2" t="str">
        <x:f>'Data &amp; Reporting'!L245</x:f>
        <x:v>Not started</x:v>
      </x:c>
      <x:c r="O245" s="2" t="str">
        <x:f>'Data &amp; Reporting'!N245</x:f>
        <x:v>DR.BO.1.2.2026.CY2</x:v>
      </x:c>
      <x:c r="P245" s="2" t="n">
        <x:f>'Data &amp; Reporting'!O245</x:f>
        <x:v>0</x:v>
      </x:c>
      <x:c r="Q245" s="2" t="n">
        <x:f>SUBTOTAL(103,O245)</x:f>
        <x:v>1</x:v>
      </x:c>
      <x:c r="R245" s="2" t="n">
        <x:f>IF(AND(M245=1,OR(Dashboard!$B$7="All",Dashboard!$B$7='Cycles &amp; Guide'!$C$5),OR(Dashboard!$D$7="All",Dashboard!$D$7=B245),OR(Dashboard!$F$7="All",Dashboard!$F$7=C245),OR(Dashboard!$H$7="All",Dashboard!$H$7=D245),OR(Dashboard!$K$7="All",Dashboard!$K$7=E245)),1,0)</x:f>
        <x:v>1</x:v>
      </x:c>
      <x:c r="S245" s="2" t="n">
        <x:f>IF(R245=1,SUM($R$10:R245),0)</x:f>
        <x:v>119</x:v>
      </x:c>
      <x:c r="T245" s="2" t="str">
        <x:v>Data &amp; Reporting</x:v>
      </x:c>
      <x:c r="U245" s="2" t="n">
        <x:v>245</x:v>
      </x:c>
      <x:c r="V245" s="2" t="n">
        <x:f>IF(AND(M245=1,P245=0,ISNUMBER(J245),J245&lt;TODAY()),1,0)</x:f>
        <x:v>1</x:v>
      </x:c>
      <x:c r="W245" s="2" t="str">
        <x:f>'Data &amp; Reporting'!M245</x:f>
        <x:v>Task</x:v>
      </x:c>
    </x:row>
    <x:row r="246" ht="40" customHeight="1">
      <x:c r="A246" s="3" t="str">
        <x:f>HYPERLINK("#'Data &amp; Reporting'!A246","Open")</x:f>
        <x:v>Open</x:v>
      </x:c>
      <x:c r="B246" s="2" t="str">
        <x:f>'Data &amp; Reporting'!B246</x:f>
        <x:v>Cycle 2</x:v>
      </x:c>
      <x:c r="C246" s="2" t="str">
        <x:f>'Data &amp; Reporting'!C246</x:f>
        <x:v>Phase 1</x:v>
      </x:c>
      <x:c r="D246" s="2" t="str">
        <x:f>'Data &amp; Reporting'!D246</x:f>
        <x:v>CSBBO - Banking Ops</x:v>
      </x:c>
      <x:c r="E246" s="2" t="str">
        <x:v>Data &amp; Reporting</x:v>
      </x:c>
      <x:c r="F246" s="56" t="str">
        <x:f>'Data &amp; Reporting'!E246</x:f>
        <x:v>DR.BO.1.3</x:v>
      </x:c>
      <x:c r="G246" s="14" t="str">
        <x:f>'Data &amp; Reporting'!F246</x:f>
        <x:v>Extract data for both potential topics, ensuring all checklist items below are included/completed</x:v>
      </x:c>
      <x:c r="H246" s="2" t="str">
        <x:f>IF('Data &amp; Reporting'!G246="","",'Data &amp; Reporting'!G246)</x:f>
      </x:c>
      <x:c r="I246" s="12" t="str">
        <x:f>IF('Data &amp; Reporting'!H246="","",'Data &amp; Reporting'!H246)</x:f>
      </x:c>
      <x:c r="J246" s="12" t="n">
        <x:f>IF('Data &amp; Reporting'!I246="","",'Data &amp; Reporting'!I246)</x:f>
        <x:v>46203</x:v>
      </x:c>
      <x:c r="K246" s="12" t="str">
        <x:f>IF('Data &amp; Reporting'!J246="","",'Data &amp; Reporting'!J246)</x:f>
      </x:c>
      <x:c r="L246" s="2" t="str">
        <x:f>IF('Data &amp; Reporting'!K246="","",'Data &amp; Reporting'!K246)</x:f>
      </x:c>
      <x:c r="M246" s="2" t="n">
        <x:f>'Data &amp; Reporting'!Q246</x:f>
        <x:v>1</x:v>
      </x:c>
      <x:c r="N246" s="2" t="str">
        <x:f>'Data &amp; Reporting'!L246</x:f>
        <x:v>Not started</x:v>
      </x:c>
      <x:c r="O246" s="2" t="str">
        <x:f>'Data &amp; Reporting'!N246</x:f>
        <x:v>DR.BO.1.3.2026.CY2</x:v>
      </x:c>
      <x:c r="P246" s="2" t="n">
        <x:f>'Data &amp; Reporting'!O246</x:f>
        <x:v>0</x:v>
      </x:c>
      <x:c r="Q246" s="2" t="n">
        <x:f>SUBTOTAL(103,O246)</x:f>
        <x:v>1</x:v>
      </x:c>
      <x:c r="R246" s="2" t="n">
        <x:f>IF(AND(M246=1,OR(Dashboard!$B$7="All",Dashboard!$B$7='Cycles &amp; Guide'!$C$5),OR(Dashboard!$D$7="All",Dashboard!$D$7=B246),OR(Dashboard!$F$7="All",Dashboard!$F$7=C246),OR(Dashboard!$H$7="All",Dashboard!$H$7=D246),OR(Dashboard!$K$7="All",Dashboard!$K$7=E246)),1,0)</x:f>
        <x:v>1</x:v>
      </x:c>
      <x:c r="S246" s="2" t="n">
        <x:f>IF(R246=1,SUM($R$10:R246),0)</x:f>
        <x:v>120</x:v>
      </x:c>
      <x:c r="T246" s="2" t="str">
        <x:v>Data &amp; Reporting</x:v>
      </x:c>
      <x:c r="U246" s="2" t="n">
        <x:v>246</x:v>
      </x:c>
      <x:c r="V246" s="2" t="n">
        <x:f>IF(AND(M246=1,P246=0,ISNUMBER(J246),J246&lt;TODAY()),1,0)</x:f>
        <x:v>1</x:v>
      </x:c>
      <x:c r="W246" s="2" t="str">
        <x:f>'Data &amp; Reporting'!M246</x:f>
        <x:v>Task</x:v>
      </x:c>
    </x:row>
    <x:row r="247" ht="40" customHeight="1">
      <x:c r="A247" s="3" t="str">
        <x:f>HYPERLINK("#'Data &amp; Reporting'!A247","Open")</x:f>
        <x:v>Open</x:v>
      </x:c>
      <x:c r="B247" s="2" t="str">
        <x:f>'Data &amp; Reporting'!B247</x:f>
        <x:v>Cycle 2</x:v>
      </x:c>
      <x:c r="C247" s="2" t="str">
        <x:f>'Data &amp; Reporting'!C247</x:f>
        <x:v>Phase 1</x:v>
      </x:c>
      <x:c r="D247" s="2" t="str">
        <x:f>'Data &amp; Reporting'!D247</x:f>
        <x:v>CSBBO - Banking Ops</x:v>
      </x:c>
      <x:c r="E247" s="2" t="str">
        <x:v>Data &amp; Reporting</x:v>
      </x:c>
      <x:c r="F247" s="56" t="str">
        <x:f>'Data &amp; Reporting'!E247</x:f>
        <x:v>DR.BO.1.3.C01</x:v>
      </x:c>
      <x:c r="G247" s="14" t="str">
        <x:f>'Data &amp; Reporting'!F247</x:f>
        <x:v>    Document date range extracted</x:v>
      </x:c>
      <x:c r="H247" s="2" t="str">
        <x:f>IF('Data &amp; Reporting'!G247="","",'Data &amp; Reporting'!G247)</x:f>
      </x:c>
      <x:c r="I247" s="12" t="str">
        <x:f>IF('Data &amp; Reporting'!H247="","",'Data &amp; Reporting'!H247)</x:f>
      </x:c>
      <x:c r="J247" s="12" t="str">
        <x:f>IF('Data &amp; Reporting'!I247="","",'Data &amp; Reporting'!I247)</x:f>
      </x:c>
      <x:c r="K247" s="12" t="str">
        <x:f>IF('Data &amp; Reporting'!J247="","",'Data &amp; Reporting'!J247)</x:f>
      </x:c>
      <x:c r="L247" s="2" t="str">
        <x:f>IF('Data &amp; Reporting'!K247="","",'Data &amp; Reporting'!K247)</x:f>
      </x:c>
      <x:c r="M247" s="2" t="n">
        <x:f>'Data &amp; Reporting'!Q247</x:f>
        <x:v>0</x:v>
      </x:c>
      <x:c r="N247" s="2" t="str">
        <x:f>'Data &amp; Reporting'!L247</x:f>
        <x:v>Open check</x:v>
      </x:c>
      <x:c r="O247" s="2" t="str">
        <x:f>'Data &amp; Reporting'!N247</x:f>
        <x:v>DR.BO.1.3.C01.2026.CY2</x:v>
      </x:c>
      <x:c r="P247" s="2" t="n">
        <x:f>'Data &amp; Reporting'!O247</x:f>
        <x:v>0</x:v>
      </x:c>
      <x:c r="Q247" s="2" t="n">
        <x:f>SUBTOTAL(103,O247)</x:f>
        <x:v>1</x:v>
      </x:c>
      <x:c r="R247" s="2" t="n">
        <x:f>IF(AND(M247=1,OR(Dashboard!$B$7="All",Dashboard!$B$7='Cycles &amp; Guide'!$C$5),OR(Dashboard!$D$7="All",Dashboard!$D$7=B247),OR(Dashboard!$F$7="All",Dashboard!$F$7=C247),OR(Dashboard!$H$7="All",Dashboard!$H$7=D247),OR(Dashboard!$K$7="All",Dashboard!$K$7=E247)),1,0)</x:f>
        <x:v>0</x:v>
      </x:c>
      <x:c r="S247" s="2" t="n">
        <x:f>IF(R247=1,SUM($R$10:R247),0)</x:f>
        <x:v>0</x:v>
      </x:c>
      <x:c r="T247" s="2" t="str">
        <x:v>Data &amp; Reporting</x:v>
      </x:c>
      <x:c r="U247" s="2" t="n">
        <x:v>247</x:v>
      </x:c>
      <x:c r="V247" s="2" t="n">
        <x:f>IF(AND(M247=1,P247=0,ISNUMBER(J247),J247&lt;TODAY()),1,0)</x:f>
        <x:v>0</x:v>
      </x:c>
      <x:c r="W247" s="2" t="str">
        <x:f>'Data &amp; Reporting'!M247</x:f>
        <x:v>Checklist</x:v>
      </x:c>
    </x:row>
    <x:row r="248" ht="40" customHeight="1">
      <x:c r="A248" s="3" t="str">
        <x:f>HYPERLINK("#'Data &amp; Reporting'!A248","Open")</x:f>
        <x:v>Open</x:v>
      </x:c>
      <x:c r="B248" s="2" t="str">
        <x:f>'Data &amp; Reporting'!B248</x:f>
        <x:v>Cycle 2</x:v>
      </x:c>
      <x:c r="C248" s="2" t="str">
        <x:f>'Data &amp; Reporting'!C248</x:f>
        <x:v>Phase 1</x:v>
      </x:c>
      <x:c r="D248" s="2" t="str">
        <x:f>'Data &amp; Reporting'!D248</x:f>
        <x:v>CSBBO - Banking Ops</x:v>
      </x:c>
      <x:c r="E248" s="2" t="str">
        <x:v>Data &amp; Reporting</x:v>
      </x:c>
      <x:c r="F248" s="56" t="str">
        <x:f>'Data &amp; Reporting'!E248</x:f>
        <x:v>DR.BO.1.3.C02</x:v>
      </x:c>
      <x:c r="G248" s="14" t="str">
        <x:f>'Data &amp; Reporting'!F248</x:f>
        <x:v>    Document date of data pull</x:v>
      </x:c>
      <x:c r="H248" s="2" t="str">
        <x:f>IF('Data &amp; Reporting'!G248="","",'Data &amp; Reporting'!G248)</x:f>
      </x:c>
      <x:c r="I248" s="12" t="str">
        <x:f>IF('Data &amp; Reporting'!H248="","",'Data &amp; Reporting'!H248)</x:f>
      </x:c>
      <x:c r="J248" s="12" t="str">
        <x:f>IF('Data &amp; Reporting'!I248="","",'Data &amp; Reporting'!I248)</x:f>
      </x:c>
      <x:c r="K248" s="12" t="str">
        <x:f>IF('Data &amp; Reporting'!J248="","",'Data &amp; Reporting'!J248)</x:f>
      </x:c>
      <x:c r="L248" s="2" t="str">
        <x:f>IF('Data &amp; Reporting'!K248="","",'Data &amp; Reporting'!K248)</x:f>
      </x:c>
      <x:c r="M248" s="2" t="n">
        <x:f>'Data &amp; Reporting'!Q248</x:f>
        <x:v>0</x:v>
      </x:c>
      <x:c r="N248" s="2" t="str">
        <x:f>'Data &amp; Reporting'!L248</x:f>
        <x:v>Open check</x:v>
      </x:c>
      <x:c r="O248" s="2" t="str">
        <x:f>'Data &amp; Reporting'!N248</x:f>
        <x:v>DR.BO.1.3.C02.2026.CY2</x:v>
      </x:c>
      <x:c r="P248" s="2" t="n">
        <x:f>'Data &amp; Reporting'!O248</x:f>
        <x:v>0</x:v>
      </x:c>
      <x:c r="Q248" s="2" t="n">
        <x:f>SUBTOTAL(103,O248)</x:f>
        <x:v>1</x:v>
      </x:c>
      <x:c r="R248" s="2" t="n">
        <x:f>IF(AND(M248=1,OR(Dashboard!$B$7="All",Dashboard!$B$7='Cycles &amp; Guide'!$C$5),OR(Dashboard!$D$7="All",Dashboard!$D$7=B248),OR(Dashboard!$F$7="All",Dashboard!$F$7=C248),OR(Dashboard!$H$7="All",Dashboard!$H$7=D248),OR(Dashboard!$K$7="All",Dashboard!$K$7=E248)),1,0)</x:f>
        <x:v>0</x:v>
      </x:c>
      <x:c r="S248" s="2" t="n">
        <x:f>IF(R248=1,SUM($R$10:R248),0)</x:f>
        <x:v>0</x:v>
      </x:c>
      <x:c r="T248" s="2" t="str">
        <x:v>Data &amp; Reporting</x:v>
      </x:c>
      <x:c r="U248" s="2" t="n">
        <x:v>248</x:v>
      </x:c>
      <x:c r="V248" s="2" t="n">
        <x:f>IF(AND(M248=1,P248=0,ISNUMBER(J248),J248&lt;TODAY()),1,0)</x:f>
        <x:v>0</x:v>
      </x:c>
      <x:c r="W248" s="2" t="str">
        <x:f>'Data &amp; Reporting'!M248</x:f>
        <x:v>Checklist</x:v>
      </x:c>
    </x:row>
    <x:row r="249" ht="40" customHeight="1">
      <x:c r="A249" s="3" t="str">
        <x:f>HYPERLINK("#'Data &amp; Reporting'!A249","Open")</x:f>
        <x:v>Open</x:v>
      </x:c>
      <x:c r="B249" s="2" t="str">
        <x:f>'Data &amp; Reporting'!B249</x:f>
        <x:v>Cycle 2</x:v>
      </x:c>
      <x:c r="C249" s="2" t="str">
        <x:f>'Data &amp; Reporting'!C249</x:f>
        <x:v>Phase 1</x:v>
      </x:c>
      <x:c r="D249" s="2" t="str">
        <x:f>'Data &amp; Reporting'!D249</x:f>
        <x:v>CSBBO - Banking Ops</x:v>
      </x:c>
      <x:c r="E249" s="2" t="str">
        <x:v>Data &amp; Reporting</x:v>
      </x:c>
      <x:c r="F249" s="56" t="str">
        <x:f>'Data &amp; Reporting'!E249</x:f>
        <x:v>DR.BO.1.3.C03</x:v>
      </x:c>
      <x:c r="G249" s="14" t="str">
        <x:f>'Data &amp; Reporting'!F249</x:f>
        <x:v>    Document population details</x:v>
      </x:c>
      <x:c r="H249" s="2" t="str">
        <x:f>IF('Data &amp; Reporting'!G249="","",'Data &amp; Reporting'!G249)</x:f>
      </x:c>
      <x:c r="I249" s="12" t="str">
        <x:f>IF('Data &amp; Reporting'!H249="","",'Data &amp; Reporting'!H249)</x:f>
      </x:c>
      <x:c r="J249" s="12" t="str">
        <x:f>IF('Data &amp; Reporting'!I249="","",'Data &amp; Reporting'!I249)</x:f>
      </x:c>
      <x:c r="K249" s="12" t="str">
        <x:f>IF('Data &amp; Reporting'!J249="","",'Data &amp; Reporting'!J249)</x:f>
      </x:c>
      <x:c r="L249" s="2" t="str">
        <x:f>IF('Data &amp; Reporting'!K249="","",'Data &amp; Reporting'!K249)</x:f>
      </x:c>
      <x:c r="M249" s="2" t="n">
        <x:f>'Data &amp; Reporting'!Q249</x:f>
        <x:v>0</x:v>
      </x:c>
      <x:c r="N249" s="2" t="str">
        <x:f>'Data &amp; Reporting'!L249</x:f>
        <x:v>Open check</x:v>
      </x:c>
      <x:c r="O249" s="2" t="str">
        <x:f>'Data &amp; Reporting'!N249</x:f>
        <x:v>DR.BO.1.3.C03.2026.CY2</x:v>
      </x:c>
      <x:c r="P249" s="2" t="n">
        <x:f>'Data &amp; Reporting'!O249</x:f>
        <x:v>0</x:v>
      </x:c>
      <x:c r="Q249" s="2" t="n">
        <x:f>SUBTOTAL(103,O249)</x:f>
        <x:v>1</x:v>
      </x:c>
      <x:c r="R249" s="2" t="n">
        <x:f>IF(AND(M249=1,OR(Dashboard!$B$7="All",Dashboard!$B$7='Cycles &amp; Guide'!$C$5),OR(Dashboard!$D$7="All",Dashboard!$D$7=B249),OR(Dashboard!$F$7="All",Dashboard!$F$7=C249),OR(Dashboard!$H$7="All",Dashboard!$H$7=D249),OR(Dashboard!$K$7="All",Dashboard!$K$7=E249)),1,0)</x:f>
        <x:v>0</x:v>
      </x:c>
      <x:c r="S249" s="2" t="n">
        <x:f>IF(R249=1,SUM($R$10:R249),0)</x:f>
        <x:v>0</x:v>
      </x:c>
      <x:c r="T249" s="2" t="str">
        <x:v>Data &amp; Reporting</x:v>
      </x:c>
      <x:c r="U249" s="2" t="n">
        <x:v>249</x:v>
      </x:c>
      <x:c r="V249" s="2" t="n">
        <x:f>IF(AND(M249=1,P249=0,ISNUMBER(J249),J249&lt;TODAY()),1,0)</x:f>
        <x:v>0</x:v>
      </x:c>
      <x:c r="W249" s="2" t="str">
        <x:f>'Data &amp; Reporting'!M249</x:f>
        <x:v>Checklist</x:v>
      </x:c>
    </x:row>
    <x:row r="250" ht="40" customHeight="1">
      <x:c r="A250" s="3" t="str">
        <x:f>HYPERLINK("#'Data &amp; Reporting'!A250","Open")</x:f>
        <x:v>Open</x:v>
      </x:c>
      <x:c r="B250" s="2" t="str">
        <x:f>'Data &amp; Reporting'!B250</x:f>
        <x:v>Cycle 2</x:v>
      </x:c>
      <x:c r="C250" s="2" t="str">
        <x:f>'Data &amp; Reporting'!C250</x:f>
        <x:v>Phase 1</x:v>
      </x:c>
      <x:c r="D250" s="2" t="str">
        <x:f>'Data &amp; Reporting'!D250</x:f>
        <x:v>CSBBO - Banking Ops</x:v>
      </x:c>
      <x:c r="E250" s="2" t="str">
        <x:v>Data &amp; Reporting</x:v>
      </x:c>
      <x:c r="F250" s="56" t="str">
        <x:f>'Data &amp; Reporting'!E250</x:f>
        <x:v>DR.BO.1.3.C04</x:v>
      </x:c>
      <x:c r="G250" s="14" t="str">
        <x:f>'Data &amp; Reporting'!F250</x:f>
        <x:v>    Validate no data is missing</x:v>
      </x:c>
      <x:c r="H250" s="2" t="str">
        <x:f>IF('Data &amp; Reporting'!G250="","",'Data &amp; Reporting'!G250)</x:f>
      </x:c>
      <x:c r="I250" s="12" t="str">
        <x:f>IF('Data &amp; Reporting'!H250="","",'Data &amp; Reporting'!H250)</x:f>
      </x:c>
      <x:c r="J250" s="12" t="str">
        <x:f>IF('Data &amp; Reporting'!I250="","",'Data &amp; Reporting'!I250)</x:f>
      </x:c>
      <x:c r="K250" s="12" t="str">
        <x:f>IF('Data &amp; Reporting'!J250="","",'Data &amp; Reporting'!J250)</x:f>
      </x:c>
      <x:c r="L250" s="2" t="str">
        <x:f>IF('Data &amp; Reporting'!K250="","",'Data &amp; Reporting'!K250)</x:f>
      </x:c>
      <x:c r="M250" s="2" t="n">
        <x:f>'Data &amp; Reporting'!Q250</x:f>
        <x:v>0</x:v>
      </x:c>
      <x:c r="N250" s="2" t="str">
        <x:f>'Data &amp; Reporting'!L250</x:f>
        <x:v>Open check</x:v>
      </x:c>
      <x:c r="O250" s="2" t="str">
        <x:f>'Data &amp; Reporting'!N250</x:f>
        <x:v>DR.BO.1.3.C04.2026.CY2</x:v>
      </x:c>
      <x:c r="P250" s="2" t="n">
        <x:f>'Data &amp; Reporting'!O250</x:f>
        <x:v>0</x:v>
      </x:c>
      <x:c r="Q250" s="2" t="n">
        <x:f>SUBTOTAL(103,O250)</x:f>
        <x:v>1</x:v>
      </x:c>
      <x:c r="R250" s="2" t="n">
        <x:f>IF(AND(M250=1,OR(Dashboard!$B$7="All",Dashboard!$B$7='Cycles &amp; Guide'!$C$5),OR(Dashboard!$D$7="All",Dashboard!$D$7=B250),OR(Dashboard!$F$7="All",Dashboard!$F$7=C250),OR(Dashboard!$H$7="All",Dashboard!$H$7=D250),OR(Dashboard!$K$7="All",Dashboard!$K$7=E250)),1,0)</x:f>
        <x:v>0</x:v>
      </x:c>
      <x:c r="S250" s="2" t="n">
        <x:f>IF(R250=1,SUM($R$10:R250),0)</x:f>
        <x:v>0</x:v>
      </x:c>
      <x:c r="T250" s="2" t="str">
        <x:v>Data &amp; Reporting</x:v>
      </x:c>
      <x:c r="U250" s="2" t="n">
        <x:v>250</x:v>
      </x:c>
      <x:c r="V250" s="2" t="n">
        <x:f>IF(AND(M250=1,P250=0,ISNUMBER(J250),J250&lt;TODAY()),1,0)</x:f>
        <x:v>0</x:v>
      </x:c>
      <x:c r="W250" s="2" t="str">
        <x:f>'Data &amp; Reporting'!M250</x:f>
        <x:v>Checklist</x:v>
      </x:c>
    </x:row>
    <x:row r="251" ht="40" customHeight="1">
      <x:c r="A251" s="3" t="str">
        <x:f>HYPERLINK("#'Data &amp; Reporting'!A251","Open")</x:f>
        <x:v>Open</x:v>
      </x:c>
      <x:c r="B251" s="2" t="str">
        <x:f>'Data &amp; Reporting'!B251</x:f>
        <x:v>Cycle 2</x:v>
      </x:c>
      <x:c r="C251" s="2" t="str">
        <x:f>'Data &amp; Reporting'!C251</x:f>
        <x:v>Phase 1</x:v>
      </x:c>
      <x:c r="D251" s="2" t="str">
        <x:f>'Data &amp; Reporting'!D251</x:f>
        <x:v>CSBBO - Banking Ops</x:v>
      </x:c>
      <x:c r="E251" s="2" t="str">
        <x:v>Data &amp; Reporting</x:v>
      </x:c>
      <x:c r="F251" s="56" t="str">
        <x:f>'Data &amp; Reporting'!E251</x:f>
        <x:v>DR.BO.1.3.C05</x:v>
      </x:c>
      <x:c r="G251" s="14" t="str">
        <x:f>'Data &amp; Reporting'!F251</x:f>
        <x:v>    Validate accuracy of data</x:v>
      </x:c>
      <x:c r="H251" s="2" t="str">
        <x:f>IF('Data &amp; Reporting'!G251="","",'Data &amp; Reporting'!G251)</x:f>
      </x:c>
      <x:c r="I251" s="12" t="str">
        <x:f>IF('Data &amp; Reporting'!H251="","",'Data &amp; Reporting'!H251)</x:f>
      </x:c>
      <x:c r="J251" s="12" t="str">
        <x:f>IF('Data &amp; Reporting'!I251="","",'Data &amp; Reporting'!I251)</x:f>
      </x:c>
      <x:c r="K251" s="12" t="str">
        <x:f>IF('Data &amp; Reporting'!J251="","",'Data &amp; Reporting'!J251)</x:f>
      </x:c>
      <x:c r="L251" s="2" t="str">
        <x:f>IF('Data &amp; Reporting'!K251="","",'Data &amp; Reporting'!K251)</x:f>
      </x:c>
      <x:c r="M251" s="2" t="n">
        <x:f>'Data &amp; Reporting'!Q251</x:f>
        <x:v>0</x:v>
      </x:c>
      <x:c r="N251" s="2" t="str">
        <x:f>'Data &amp; Reporting'!L251</x:f>
        <x:v>Open check</x:v>
      </x:c>
      <x:c r="O251" s="2" t="str">
        <x:f>'Data &amp; Reporting'!N251</x:f>
        <x:v>DR.BO.1.3.C05.2026.CY2</x:v>
      </x:c>
      <x:c r="P251" s="2" t="n">
        <x:f>'Data &amp; Reporting'!O251</x:f>
        <x:v>0</x:v>
      </x:c>
      <x:c r="Q251" s="2" t="n">
        <x:f>SUBTOTAL(103,O251)</x:f>
        <x:v>1</x:v>
      </x:c>
      <x:c r="R251" s="2" t="n">
        <x:f>IF(AND(M251=1,OR(Dashboard!$B$7="All",Dashboard!$B$7='Cycles &amp; Guide'!$C$5),OR(Dashboard!$D$7="All",Dashboard!$D$7=B251),OR(Dashboard!$F$7="All",Dashboard!$F$7=C251),OR(Dashboard!$H$7="All",Dashboard!$H$7=D251),OR(Dashboard!$K$7="All",Dashboard!$K$7=E251)),1,0)</x:f>
        <x:v>0</x:v>
      </x:c>
      <x:c r="S251" s="2" t="n">
        <x:f>IF(R251=1,SUM($R$10:R251),0)</x:f>
        <x:v>0</x:v>
      </x:c>
      <x:c r="T251" s="2" t="str">
        <x:v>Data &amp; Reporting</x:v>
      </x:c>
      <x:c r="U251" s="2" t="n">
        <x:v>251</x:v>
      </x:c>
      <x:c r="V251" s="2" t="n">
        <x:f>IF(AND(M251=1,P251=0,ISNUMBER(J251),J251&lt;TODAY()),1,0)</x:f>
        <x:v>0</x:v>
      </x:c>
      <x:c r="W251" s="2" t="str">
        <x:f>'Data &amp; Reporting'!M251</x:f>
        <x:v>Checklist</x:v>
      </x:c>
    </x:row>
    <x:row r="252" ht="40" customHeight="1">
      <x:c r="A252" s="3" t="str">
        <x:f>HYPERLINK("#'Data &amp; Reporting'!A252","Open")</x:f>
        <x:v>Open</x:v>
      </x:c>
      <x:c r="B252" s="2" t="str">
        <x:f>'Data &amp; Reporting'!B252</x:f>
        <x:v>Cycle 2</x:v>
      </x:c>
      <x:c r="C252" s="2" t="str">
        <x:f>'Data &amp; Reporting'!C252</x:f>
        <x:v>Phase 1</x:v>
      </x:c>
      <x:c r="D252" s="2" t="str">
        <x:f>'Data &amp; Reporting'!D252</x:f>
        <x:v>CSBBO - Banking Ops</x:v>
      </x:c>
      <x:c r="E252" s="2" t="str">
        <x:v>Data &amp; Reporting</x:v>
      </x:c>
      <x:c r="F252" s="56" t="str">
        <x:f>'Data &amp; Reporting'!E252</x:f>
        <x:v>DR.BO.1.3.C06</x:v>
      </x:c>
      <x:c r="G252" s="14" t="str">
        <x:f>'Data &amp; Reporting'!F252</x:f>
        <x:v>    Validate no duplicate data is provided</x:v>
      </x:c>
      <x:c r="H252" s="2" t="str">
        <x:f>IF('Data &amp; Reporting'!G252="","",'Data &amp; Reporting'!G252)</x:f>
      </x:c>
      <x:c r="I252" s="12" t="str">
        <x:f>IF('Data &amp; Reporting'!H252="","",'Data &amp; Reporting'!H252)</x:f>
      </x:c>
      <x:c r="J252" s="12" t="str">
        <x:f>IF('Data &amp; Reporting'!I252="","",'Data &amp; Reporting'!I252)</x:f>
      </x:c>
      <x:c r="K252" s="12" t="str">
        <x:f>IF('Data &amp; Reporting'!J252="","",'Data &amp; Reporting'!J252)</x:f>
      </x:c>
      <x:c r="L252" s="2" t="str">
        <x:f>IF('Data &amp; Reporting'!K252="","",'Data &amp; Reporting'!K252)</x:f>
      </x:c>
      <x:c r="M252" s="2" t="n">
        <x:f>'Data &amp; Reporting'!Q252</x:f>
        <x:v>0</x:v>
      </x:c>
      <x:c r="N252" s="2" t="str">
        <x:f>'Data &amp; Reporting'!L252</x:f>
        <x:v>Open check</x:v>
      </x:c>
      <x:c r="O252" s="2" t="str">
        <x:f>'Data &amp; Reporting'!N252</x:f>
        <x:v>DR.BO.1.3.C06.2026.CY2</x:v>
      </x:c>
      <x:c r="P252" s="2" t="n">
        <x:f>'Data &amp; Reporting'!O252</x:f>
        <x:v>0</x:v>
      </x:c>
      <x:c r="Q252" s="2" t="n">
        <x:f>SUBTOTAL(103,O252)</x:f>
        <x:v>1</x:v>
      </x:c>
      <x:c r="R252" s="2" t="n">
        <x:f>IF(AND(M252=1,OR(Dashboard!$B$7="All",Dashboard!$B$7='Cycles &amp; Guide'!$C$5),OR(Dashboard!$D$7="All",Dashboard!$D$7=B252),OR(Dashboard!$F$7="All",Dashboard!$F$7=C252),OR(Dashboard!$H$7="All",Dashboard!$H$7=D252),OR(Dashboard!$K$7="All",Dashboard!$K$7=E252)),1,0)</x:f>
        <x:v>0</x:v>
      </x:c>
      <x:c r="S252" s="2" t="n">
        <x:f>IF(R252=1,SUM($R$10:R252),0)</x:f>
        <x:v>0</x:v>
      </x:c>
      <x:c r="T252" s="2" t="str">
        <x:v>Data &amp; Reporting</x:v>
      </x:c>
      <x:c r="U252" s="2" t="n">
        <x:v>252</x:v>
      </x:c>
      <x:c r="V252" s="2" t="n">
        <x:f>IF(AND(M252=1,P252=0,ISNUMBER(J252),J252&lt;TODAY()),1,0)</x:f>
        <x:v>0</x:v>
      </x:c>
      <x:c r="W252" s="2" t="str">
        <x:f>'Data &amp; Reporting'!M252</x:f>
        <x:v>Checklist</x:v>
      </x:c>
    </x:row>
    <x:row r="253" ht="40" customHeight="1">
      <x:c r="A253" s="3" t="str">
        <x:f>HYPERLINK("#'Data &amp; Reporting'!A253","Open")</x:f>
        <x:v>Open</x:v>
      </x:c>
      <x:c r="B253" s="2" t="str">
        <x:f>'Data &amp; Reporting'!B253</x:f>
        <x:v>Cycle 2</x:v>
      </x:c>
      <x:c r="C253" s="2" t="str">
        <x:f>'Data &amp; Reporting'!C253</x:f>
        <x:v>Phase 1</x:v>
      </x:c>
      <x:c r="D253" s="2" t="str">
        <x:f>'Data &amp; Reporting'!D253</x:f>
        <x:v>CSBBO - Banking Ops</x:v>
      </x:c>
      <x:c r="E253" s="2" t="str">
        <x:v>Data &amp; Reporting</x:v>
      </x:c>
      <x:c r="F253" s="56" t="str">
        <x:f>'Data &amp; Reporting'!E253</x:f>
        <x:v>DR.BO.1.3.C07</x:v>
      </x:c>
      <x:c r="G253" s="14" t="str">
        <x:f>'Data &amp; Reporting'!F253</x:f>
        <x:v>    Document any data exclusions along with justification (as needed)</x:v>
      </x:c>
      <x:c r="H253" s="2" t="str">
        <x:f>IF('Data &amp; Reporting'!G253="","",'Data &amp; Reporting'!G253)</x:f>
      </x:c>
      <x:c r="I253" s="12" t="str">
        <x:f>IF('Data &amp; Reporting'!H253="","",'Data &amp; Reporting'!H253)</x:f>
      </x:c>
      <x:c r="J253" s="12" t="str">
        <x:f>IF('Data &amp; Reporting'!I253="","",'Data &amp; Reporting'!I253)</x:f>
      </x:c>
      <x:c r="K253" s="12" t="str">
        <x:f>IF('Data &amp; Reporting'!J253="","",'Data &amp; Reporting'!J253)</x:f>
      </x:c>
      <x:c r="L253" s="2" t="str">
        <x:f>IF('Data &amp; Reporting'!K253="","",'Data &amp; Reporting'!K253)</x:f>
      </x:c>
      <x:c r="M253" s="2" t="n">
        <x:f>'Data &amp; Reporting'!Q253</x:f>
        <x:v>0</x:v>
      </x:c>
      <x:c r="N253" s="2" t="str">
        <x:f>'Data &amp; Reporting'!L253</x:f>
        <x:v>Open check</x:v>
      </x:c>
      <x:c r="O253" s="2" t="str">
        <x:f>'Data &amp; Reporting'!N253</x:f>
        <x:v>DR.BO.1.3.C07.2026.CY2</x:v>
      </x:c>
      <x:c r="P253" s="2" t="n">
        <x:f>'Data &amp; Reporting'!O253</x:f>
        <x:v>0</x:v>
      </x:c>
      <x:c r="Q253" s="2" t="n">
        <x:f>SUBTOTAL(103,O253)</x:f>
        <x:v>1</x:v>
      </x:c>
      <x:c r="R253" s="2" t="n">
        <x:f>IF(AND(M253=1,OR(Dashboard!$B$7="All",Dashboard!$B$7='Cycles &amp; Guide'!$C$5),OR(Dashboard!$D$7="All",Dashboard!$D$7=B253),OR(Dashboard!$F$7="All",Dashboard!$F$7=C253),OR(Dashboard!$H$7="All",Dashboard!$H$7=D253),OR(Dashboard!$K$7="All",Dashboard!$K$7=E253)),1,0)</x:f>
        <x:v>0</x:v>
      </x:c>
      <x:c r="S253" s="2" t="n">
        <x:f>IF(R253=1,SUM($R$10:R253),0)</x:f>
        <x:v>0</x:v>
      </x:c>
      <x:c r="T253" s="2" t="str">
        <x:v>Data &amp; Reporting</x:v>
      </x:c>
      <x:c r="U253" s="2" t="n">
        <x:v>253</x:v>
      </x:c>
      <x:c r="V253" s="2" t="n">
        <x:f>IF(AND(M253=1,P253=0,ISNUMBER(J253),J253&lt;TODAY()),1,0)</x:f>
        <x:v>0</x:v>
      </x:c>
      <x:c r="W253" s="2" t="str">
        <x:f>'Data &amp; Reporting'!M253</x:f>
        <x:v>Checklist</x:v>
      </x:c>
    </x:row>
    <x:row r="254" ht="40" customHeight="1">
      <x:c r="A254" s="3" t="str">
        <x:f>HYPERLINK("#'Data &amp; Reporting'!A254","Open")</x:f>
        <x:v>Open</x:v>
      </x:c>
      <x:c r="B254" s="2" t="str">
        <x:f>'Data &amp; Reporting'!B254</x:f>
        <x:v>Cycle 2</x:v>
      </x:c>
      <x:c r="C254" s="2" t="str">
        <x:f>'Data &amp; Reporting'!C254</x:f>
        <x:v>Phase 1</x:v>
      </x:c>
      <x:c r="D254" s="2" t="str">
        <x:f>'Data &amp; Reporting'!D254</x:f>
        <x:v>CSBBO - Banking Ops</x:v>
      </x:c>
      <x:c r="E254" s="2" t="str">
        <x:v>Data &amp; Reporting</x:v>
      </x:c>
      <x:c r="F254" s="56" t="str">
        <x:f>'Data &amp; Reporting'!E254</x:f>
        <x:v>DR.BO.1.3.C08</x:v>
      </x:c>
      <x:c r="G254" s="14" t="str">
        <x:f>'Data &amp; Reporting'!F254</x:f>
        <x:v>    Document any assumptions made with the data (as needed)</x:v>
      </x:c>
      <x:c r="H254" s="2" t="str">
        <x:f>IF('Data &amp; Reporting'!G254="","",'Data &amp; Reporting'!G254)</x:f>
      </x:c>
      <x:c r="I254" s="12" t="str">
        <x:f>IF('Data &amp; Reporting'!H254="","",'Data &amp; Reporting'!H254)</x:f>
      </x:c>
      <x:c r="J254" s="12" t="str">
        <x:f>IF('Data &amp; Reporting'!I254="","",'Data &amp; Reporting'!I254)</x:f>
      </x:c>
      <x:c r="K254" s="12" t="str">
        <x:f>IF('Data &amp; Reporting'!J254="","",'Data &amp; Reporting'!J254)</x:f>
      </x:c>
      <x:c r="L254" s="2" t="str">
        <x:f>IF('Data &amp; Reporting'!K254="","",'Data &amp; Reporting'!K254)</x:f>
      </x:c>
      <x:c r="M254" s="2" t="n">
        <x:f>'Data &amp; Reporting'!Q254</x:f>
        <x:v>0</x:v>
      </x:c>
      <x:c r="N254" s="2" t="str">
        <x:f>'Data &amp; Reporting'!L254</x:f>
        <x:v>Open check</x:v>
      </x:c>
      <x:c r="O254" s="2" t="str">
        <x:f>'Data &amp; Reporting'!N254</x:f>
        <x:v>DR.BO.1.3.C08.2026.CY2</x:v>
      </x:c>
      <x:c r="P254" s="2" t="n">
        <x:f>'Data &amp; Reporting'!O254</x:f>
        <x:v>0</x:v>
      </x:c>
      <x:c r="Q254" s="2" t="n">
        <x:f>SUBTOTAL(103,O254)</x:f>
        <x:v>1</x:v>
      </x:c>
      <x:c r="R254" s="2" t="n">
        <x:f>IF(AND(M254=1,OR(Dashboard!$B$7="All",Dashboard!$B$7='Cycles &amp; Guide'!$C$5),OR(Dashboard!$D$7="All",Dashboard!$D$7=B254),OR(Dashboard!$F$7="All",Dashboard!$F$7=C254),OR(Dashboard!$H$7="All",Dashboard!$H$7=D254),OR(Dashboard!$K$7="All",Dashboard!$K$7=E254)),1,0)</x:f>
        <x:v>0</x:v>
      </x:c>
      <x:c r="S254" s="2" t="n">
        <x:f>IF(R254=1,SUM($R$10:R254),0)</x:f>
        <x:v>0</x:v>
      </x:c>
      <x:c r="T254" s="2" t="str">
        <x:v>Data &amp; Reporting</x:v>
      </x:c>
      <x:c r="U254" s="2" t="n">
        <x:v>254</x:v>
      </x:c>
      <x:c r="V254" s="2" t="n">
        <x:f>IF(AND(M254=1,P254=0,ISNUMBER(J254),J254&lt;TODAY()),1,0)</x:f>
        <x:v>0</x:v>
      </x:c>
      <x:c r="W254" s="2" t="str">
        <x:f>'Data &amp; Reporting'!M254</x:f>
        <x:v>Checklist</x:v>
      </x:c>
    </x:row>
    <x:row r="255" ht="40" customHeight="1">
      <x:c r="A255" s="3" t="str">
        <x:f>HYPERLINK("#'Data &amp; Reporting'!A255","Open")</x:f>
        <x:v>Open</x:v>
      </x:c>
      <x:c r="B255" s="2" t="str">
        <x:f>'Data &amp; Reporting'!B255</x:f>
        <x:v>Cycle 2</x:v>
      </x:c>
      <x:c r="C255" s="2" t="str">
        <x:f>'Data &amp; Reporting'!C255</x:f>
        <x:v>Phase 1</x:v>
      </x:c>
      <x:c r="D255" s="2" t="str">
        <x:f>'Data &amp; Reporting'!D255</x:f>
        <x:v>CSBBO - Banking Ops</x:v>
      </x:c>
      <x:c r="E255" s="2" t="str">
        <x:v>Data &amp; Reporting</x:v>
      </x:c>
      <x:c r="F255" s="56" t="str">
        <x:f>'Data &amp; Reporting'!E255</x:f>
        <x:v>DR.BO.1.3.C09</x:v>
      </x:c>
      <x:c r="G255" s="14" t="str">
        <x:f>'Data &amp; Reporting'!F255</x:f>
        <x:v>    Document any data limitations or constraints clearly (as needed)</x:v>
      </x:c>
      <x:c r="H255" s="2" t="str">
        <x:f>IF('Data &amp; Reporting'!G255="","",'Data &amp; Reporting'!G255)</x:f>
      </x:c>
      <x:c r="I255" s="12" t="str">
        <x:f>IF('Data &amp; Reporting'!H255="","",'Data &amp; Reporting'!H255)</x:f>
      </x:c>
      <x:c r="J255" s="12" t="str">
        <x:f>IF('Data &amp; Reporting'!I255="","",'Data &amp; Reporting'!I255)</x:f>
      </x:c>
      <x:c r="K255" s="12" t="str">
        <x:f>IF('Data &amp; Reporting'!J255="","",'Data &amp; Reporting'!J255)</x:f>
      </x:c>
      <x:c r="L255" s="2" t="str">
        <x:f>IF('Data &amp; Reporting'!K255="","",'Data &amp; Reporting'!K255)</x:f>
      </x:c>
      <x:c r="M255" s="2" t="n">
        <x:f>'Data &amp; Reporting'!Q255</x:f>
        <x:v>0</x:v>
      </x:c>
      <x:c r="N255" s="2" t="str">
        <x:f>'Data &amp; Reporting'!L255</x:f>
        <x:v>Open check</x:v>
      </x:c>
      <x:c r="O255" s="2" t="str">
        <x:f>'Data &amp; Reporting'!N255</x:f>
        <x:v>DR.BO.1.3.C09.2026.CY2</x:v>
      </x:c>
      <x:c r="P255" s="2" t="n">
        <x:f>'Data &amp; Reporting'!O255</x:f>
        <x:v>0</x:v>
      </x:c>
      <x:c r="Q255" s="2" t="n">
        <x:f>SUBTOTAL(103,O255)</x:f>
        <x:v>1</x:v>
      </x:c>
      <x:c r="R255" s="2" t="n">
        <x:f>IF(AND(M255=1,OR(Dashboard!$B$7="All",Dashboard!$B$7='Cycles &amp; Guide'!$C$5),OR(Dashboard!$D$7="All",Dashboard!$D$7=B255),OR(Dashboard!$F$7="All",Dashboard!$F$7=C255),OR(Dashboard!$H$7="All",Dashboard!$H$7=D255),OR(Dashboard!$K$7="All",Dashboard!$K$7=E255)),1,0)</x:f>
        <x:v>0</x:v>
      </x:c>
      <x:c r="S255" s="2" t="n">
        <x:f>IF(R255=1,SUM($R$10:R255),0)</x:f>
        <x:v>0</x:v>
      </x:c>
      <x:c r="T255" s="2" t="str">
        <x:v>Data &amp; Reporting</x:v>
      </x:c>
      <x:c r="U255" s="2" t="n">
        <x:v>255</x:v>
      </x:c>
      <x:c r="V255" s="2" t="n">
        <x:f>IF(AND(M255=1,P255=0,ISNUMBER(J255),J255&lt;TODAY()),1,0)</x:f>
        <x:v>0</x:v>
      </x:c>
      <x:c r="W255" s="2" t="str">
        <x:f>'Data &amp; Reporting'!M255</x:f>
        <x:v>Checklist</x:v>
      </x:c>
    </x:row>
    <x:row r="256" ht="40" customHeight="1">
      <x:c r="A256" s="3" t="str">
        <x:f>HYPERLINK("#'Data &amp; Reporting'!A256","Open")</x:f>
        <x:v>Open</x:v>
      </x:c>
      <x:c r="B256" s="2" t="str">
        <x:f>'Data &amp; Reporting'!B256</x:f>
        <x:v>Cycle 2</x:v>
      </x:c>
      <x:c r="C256" s="2" t="str">
        <x:f>'Data &amp; Reporting'!C256</x:f>
        <x:v>Phase 1</x:v>
      </x:c>
      <x:c r="D256" s="2" t="str">
        <x:f>'Data &amp; Reporting'!D256</x:f>
        <x:v>CSBBO - Banking Ops</x:v>
      </x:c>
      <x:c r="E256" s="2" t="str">
        <x:v>Data &amp; Reporting</x:v>
      </x:c>
      <x:c r="F256" s="56" t="str">
        <x:f>'Data &amp; Reporting'!E256</x:f>
        <x:v>DR.BO.1.3.C10</x:v>
      </x:c>
      <x:c r="G256" s="14" t="str">
        <x:f>'Data &amp; Reporting'!F256</x:f>
        <x:v>    Document data dictionary or field definitions for columns/rows</x:v>
      </x:c>
      <x:c r="H256" s="2" t="str">
        <x:f>IF('Data &amp; Reporting'!G256="","",'Data &amp; Reporting'!G256)</x:f>
      </x:c>
      <x:c r="I256" s="12" t="str">
        <x:f>IF('Data &amp; Reporting'!H256="","",'Data &amp; Reporting'!H256)</x:f>
      </x:c>
      <x:c r="J256" s="12" t="str">
        <x:f>IF('Data &amp; Reporting'!I256="","",'Data &amp; Reporting'!I256)</x:f>
      </x:c>
      <x:c r="K256" s="12" t="str">
        <x:f>IF('Data &amp; Reporting'!J256="","",'Data &amp; Reporting'!J256)</x:f>
      </x:c>
      <x:c r="L256" s="2" t="str">
        <x:f>IF('Data &amp; Reporting'!K256="","",'Data &amp; Reporting'!K256)</x:f>
      </x:c>
      <x:c r="M256" s="2" t="n">
        <x:f>'Data &amp; Reporting'!Q256</x:f>
        <x:v>0</x:v>
      </x:c>
      <x:c r="N256" s="2" t="str">
        <x:f>'Data &amp; Reporting'!L256</x:f>
        <x:v>Open check</x:v>
      </x:c>
      <x:c r="O256" s="2" t="str">
        <x:f>'Data &amp; Reporting'!N256</x:f>
        <x:v>DR.BO.1.3.C10.2026.CY2</x:v>
      </x:c>
      <x:c r="P256" s="2" t="n">
        <x:f>'Data &amp; Reporting'!O256</x:f>
        <x:v>0</x:v>
      </x:c>
      <x:c r="Q256" s="2" t="n">
        <x:f>SUBTOTAL(103,O256)</x:f>
        <x:v>1</x:v>
      </x:c>
      <x:c r="R256" s="2" t="n">
        <x:f>IF(AND(M256=1,OR(Dashboard!$B$7="All",Dashboard!$B$7='Cycles &amp; Guide'!$C$5),OR(Dashboard!$D$7="All",Dashboard!$D$7=B256),OR(Dashboard!$F$7="All",Dashboard!$F$7=C256),OR(Dashboard!$H$7="All",Dashboard!$H$7=D256),OR(Dashboard!$K$7="All",Dashboard!$K$7=E256)),1,0)</x:f>
        <x:v>0</x:v>
      </x:c>
      <x:c r="S256" s="2" t="n">
        <x:f>IF(R256=1,SUM($R$10:R256),0)</x:f>
        <x:v>0</x:v>
      </x:c>
      <x:c r="T256" s="2" t="str">
        <x:v>Data &amp; Reporting</x:v>
      </x:c>
      <x:c r="U256" s="2" t="n">
        <x:v>256</x:v>
      </x:c>
      <x:c r="V256" s="2" t="n">
        <x:f>IF(AND(M256=1,P256=0,ISNUMBER(J256),J256&lt;TODAY()),1,0)</x:f>
        <x:v>0</x:v>
      </x:c>
      <x:c r="W256" s="2" t="str">
        <x:f>'Data &amp; Reporting'!M256</x:f>
        <x:v>Checklist</x:v>
      </x:c>
    </x:row>
    <x:row r="257" ht="40" customHeight="1">
      <x:c r="A257" s="3" t="str">
        <x:f>HYPERLINK("#'Data &amp; Reporting'!A257","Open")</x:f>
        <x:v>Open</x:v>
      </x:c>
      <x:c r="B257" s="2" t="str">
        <x:f>'Data &amp; Reporting'!B257</x:f>
        <x:v>Cycle 2</x:v>
      </x:c>
      <x:c r="C257" s="2" t="str">
        <x:f>'Data &amp; Reporting'!C257</x:f>
        <x:v>Phase 1</x:v>
      </x:c>
      <x:c r="D257" s="2" t="str">
        <x:f>'Data &amp; Reporting'!D257</x:f>
        <x:v>CSBBO - Banking Ops</x:v>
      </x:c>
      <x:c r="E257" s="2" t="str">
        <x:v>Data &amp; Reporting</x:v>
      </x:c>
      <x:c r="F257" s="56" t="str">
        <x:f>'Data &amp; Reporting'!E257</x:f>
        <x:v>DR.BO.1.3.C11</x:v>
      </x:c>
      <x:c r="G257" s="14" t="str">
        <x:f>'Data &amp; Reporting'!F257</x:f>
        <x:v>    Document emerging trends, patterns, or concentrations along with supporting data</x:v>
      </x:c>
      <x:c r="H257" s="2" t="str">
        <x:f>IF('Data &amp; Reporting'!G257="","",'Data &amp; Reporting'!G257)</x:f>
      </x:c>
      <x:c r="I257" s="12" t="str">
        <x:f>IF('Data &amp; Reporting'!H257="","",'Data &amp; Reporting'!H257)</x:f>
      </x:c>
      <x:c r="J257" s="12" t="str">
        <x:f>IF('Data &amp; Reporting'!I257="","",'Data &amp; Reporting'!I257)</x:f>
      </x:c>
      <x:c r="K257" s="12" t="str">
        <x:f>IF('Data &amp; Reporting'!J257="","",'Data &amp; Reporting'!J257)</x:f>
      </x:c>
      <x:c r="L257" s="2" t="str">
        <x:f>IF('Data &amp; Reporting'!K257="","",'Data &amp; Reporting'!K257)</x:f>
      </x:c>
      <x:c r="M257" s="2" t="n">
        <x:f>'Data &amp; Reporting'!Q257</x:f>
        <x:v>0</x:v>
      </x:c>
      <x:c r="N257" s="2" t="str">
        <x:f>'Data &amp; Reporting'!L257</x:f>
        <x:v>Open check</x:v>
      </x:c>
      <x:c r="O257" s="2" t="str">
        <x:f>'Data &amp; Reporting'!N257</x:f>
        <x:v>DR.BO.1.3.C11.2026.CY2</x:v>
      </x:c>
      <x:c r="P257" s="2" t="n">
        <x:f>'Data &amp; Reporting'!O257</x:f>
        <x:v>0</x:v>
      </x:c>
      <x:c r="Q257" s="2" t="n">
        <x:f>SUBTOTAL(103,O257)</x:f>
        <x:v>1</x:v>
      </x:c>
      <x:c r="R257" s="2" t="n">
        <x:f>IF(AND(M257=1,OR(Dashboard!$B$7="All",Dashboard!$B$7='Cycles &amp; Guide'!$C$5),OR(Dashboard!$D$7="All",Dashboard!$D$7=B257),OR(Dashboard!$F$7="All",Dashboard!$F$7=C257),OR(Dashboard!$H$7="All",Dashboard!$H$7=D257),OR(Dashboard!$K$7="All",Dashboard!$K$7=E257)),1,0)</x:f>
        <x:v>0</x:v>
      </x:c>
      <x:c r="S257" s="2" t="n">
        <x:f>IF(R257=1,SUM($R$10:R257),0)</x:f>
        <x:v>0</x:v>
      </x:c>
      <x:c r="T257" s="2" t="str">
        <x:v>Data &amp; Reporting</x:v>
      </x:c>
      <x:c r="U257" s="2" t="n">
        <x:v>257</x:v>
      </x:c>
      <x:c r="V257" s="2" t="n">
        <x:f>IF(AND(M257=1,P257=0,ISNUMBER(J257),J257&lt;TODAY()),1,0)</x:f>
        <x:v>0</x:v>
      </x:c>
      <x:c r="W257" s="2" t="str">
        <x:f>'Data &amp; Reporting'!M257</x:f>
        <x:v>Checklist</x:v>
      </x:c>
    </x:row>
    <x:row r="258" ht="40" customHeight="1">
      <x:c r="A258" s="3" t="str">
        <x:f>HYPERLINK("#'Data &amp; Reporting'!A258","Open")</x:f>
        <x:v>Open</x:v>
      </x:c>
      <x:c r="B258" s="2" t="str">
        <x:f>'Data &amp; Reporting'!B258</x:f>
        <x:v>Cycle 2</x:v>
      </x:c>
      <x:c r="C258" s="2" t="str">
        <x:f>'Data &amp; Reporting'!C258</x:f>
        <x:v>Phase 1</x:v>
      </x:c>
      <x:c r="D258" s="2" t="str">
        <x:f>'Data &amp; Reporting'!D258</x:f>
        <x:v>CSBBO - Banking Ops</x:v>
      </x:c>
      <x:c r="E258" s="2" t="str">
        <x:v>Data &amp; Reporting</x:v>
      </x:c>
      <x:c r="F258" s="56" t="str">
        <x:f>'Data &amp; Reporting'!E258</x:f>
        <x:v>DR.BO.1.3.C12</x:v>
      </x:c>
      <x:c r="G258" s="14" t="str">
        <x:f>'Data &amp; Reporting'!F258</x:f>
        <x:v>    Document any severe spikes in volume along with context (as needed)</x:v>
      </x:c>
      <x:c r="H258" s="2" t="str">
        <x:f>IF('Data &amp; Reporting'!G258="","",'Data &amp; Reporting'!G258)</x:f>
      </x:c>
      <x:c r="I258" s="12" t="str">
        <x:f>IF('Data &amp; Reporting'!H258="","",'Data &amp; Reporting'!H258)</x:f>
      </x:c>
      <x:c r="J258" s="12" t="str">
        <x:f>IF('Data &amp; Reporting'!I258="","",'Data &amp; Reporting'!I258)</x:f>
      </x:c>
      <x:c r="K258" s="12" t="str">
        <x:f>IF('Data &amp; Reporting'!J258="","",'Data &amp; Reporting'!J258)</x:f>
      </x:c>
      <x:c r="L258" s="2" t="str">
        <x:f>IF('Data &amp; Reporting'!K258="","",'Data &amp; Reporting'!K258)</x:f>
      </x:c>
      <x:c r="M258" s="2" t="n">
        <x:f>'Data &amp; Reporting'!Q258</x:f>
        <x:v>0</x:v>
      </x:c>
      <x:c r="N258" s="2" t="str">
        <x:f>'Data &amp; Reporting'!L258</x:f>
        <x:v>Open check</x:v>
      </x:c>
      <x:c r="O258" s="2" t="str">
        <x:f>'Data &amp; Reporting'!N258</x:f>
        <x:v>DR.BO.1.3.C12.2026.CY2</x:v>
      </x:c>
      <x:c r="P258" s="2" t="n">
        <x:f>'Data &amp; Reporting'!O258</x:f>
        <x:v>0</x:v>
      </x:c>
      <x:c r="Q258" s="2" t="n">
        <x:f>SUBTOTAL(103,O258)</x:f>
        <x:v>1</x:v>
      </x:c>
      <x:c r="R258" s="2" t="n">
        <x:f>IF(AND(M258=1,OR(Dashboard!$B$7="All",Dashboard!$B$7='Cycles &amp; Guide'!$C$5),OR(Dashboard!$D$7="All",Dashboard!$D$7=B258),OR(Dashboard!$F$7="All",Dashboard!$F$7=C258),OR(Dashboard!$H$7="All",Dashboard!$H$7=D258),OR(Dashboard!$K$7="All",Dashboard!$K$7=E258)),1,0)</x:f>
        <x:v>0</x:v>
      </x:c>
      <x:c r="S258" s="2" t="n">
        <x:f>IF(R258=1,SUM($R$10:R258),0)</x:f>
        <x:v>0</x:v>
      </x:c>
      <x:c r="T258" s="2" t="str">
        <x:v>Data &amp; Reporting</x:v>
      </x:c>
      <x:c r="U258" s="2" t="n">
        <x:v>258</x:v>
      </x:c>
      <x:c r="V258" s="2" t="n">
        <x:f>IF(AND(M258=1,P258=0,ISNUMBER(J258),J258&lt;TODAY()),1,0)</x:f>
        <x:v>0</x:v>
      </x:c>
      <x:c r="W258" s="2" t="str">
        <x:f>'Data &amp; Reporting'!M258</x:f>
        <x:v>Checklist</x:v>
      </x:c>
    </x:row>
    <x:row r="259" ht="40" customHeight="1">
      <x:c r="A259" s="3" t="str">
        <x:f>HYPERLINK("#'Data &amp; Reporting'!A259","Open")</x:f>
        <x:v>Open</x:v>
      </x:c>
      <x:c r="B259" s="2" t="str">
        <x:f>'Data &amp; Reporting'!B259</x:f>
        <x:v>Cycle 2</x:v>
      </x:c>
      <x:c r="C259" s="2" t="str">
        <x:f>'Data &amp; Reporting'!C259</x:f>
        <x:v>Phase 1</x:v>
      </x:c>
      <x:c r="D259" s="2" t="str">
        <x:f>'Data &amp; Reporting'!D259</x:f>
        <x:v>CSBBO - Banking Ops</x:v>
      </x:c>
      <x:c r="E259" s="2" t="str">
        <x:v>Data &amp; Reporting</x:v>
      </x:c>
      <x:c r="F259" s="56" t="str">
        <x:f>'Data &amp; Reporting'!E259</x:f>
        <x:v>DR.BO.1.3.C13</x:v>
      </x:c>
      <x:c r="G259" s="14" t="str">
        <x:f>'Data &amp; Reporting'!F259</x:f>
        <x:v>    Document clear summary explaining how the data connects to the potential topic</x:v>
      </x:c>
      <x:c r="H259" s="2" t="str">
        <x:f>IF('Data &amp; Reporting'!G259="","",'Data &amp; Reporting'!G259)</x:f>
      </x:c>
      <x:c r="I259" s="12" t="str">
        <x:f>IF('Data &amp; Reporting'!H259="","",'Data &amp; Reporting'!H259)</x:f>
      </x:c>
      <x:c r="J259" s="12" t="str">
        <x:f>IF('Data &amp; Reporting'!I259="","",'Data &amp; Reporting'!I259)</x:f>
      </x:c>
      <x:c r="K259" s="12" t="str">
        <x:f>IF('Data &amp; Reporting'!J259="","",'Data &amp; Reporting'!J259)</x:f>
      </x:c>
      <x:c r="L259" s="2" t="str">
        <x:f>IF('Data &amp; Reporting'!K259="","",'Data &amp; Reporting'!K259)</x:f>
      </x:c>
      <x:c r="M259" s="2" t="n">
        <x:f>'Data &amp; Reporting'!Q259</x:f>
        <x:v>0</x:v>
      </x:c>
      <x:c r="N259" s="2" t="str">
        <x:f>'Data &amp; Reporting'!L259</x:f>
        <x:v>Open check</x:v>
      </x:c>
      <x:c r="O259" s="2" t="str">
        <x:f>'Data &amp; Reporting'!N259</x:f>
        <x:v>DR.BO.1.3.C13.2026.CY2</x:v>
      </x:c>
      <x:c r="P259" s="2" t="n">
        <x:f>'Data &amp; Reporting'!O259</x:f>
        <x:v>0</x:v>
      </x:c>
      <x:c r="Q259" s="2" t="n">
        <x:f>SUBTOTAL(103,O259)</x:f>
        <x:v>1</x:v>
      </x:c>
      <x:c r="R259" s="2" t="n">
        <x:f>IF(AND(M259=1,OR(Dashboard!$B$7="All",Dashboard!$B$7='Cycles &amp; Guide'!$C$5),OR(Dashboard!$D$7="All",Dashboard!$D$7=B259),OR(Dashboard!$F$7="All",Dashboard!$F$7=C259),OR(Dashboard!$H$7="All",Dashboard!$H$7=D259),OR(Dashboard!$K$7="All",Dashboard!$K$7=E259)),1,0)</x:f>
        <x:v>0</x:v>
      </x:c>
      <x:c r="S259" s="2" t="n">
        <x:f>IF(R259=1,SUM($R$10:R259),0)</x:f>
        <x:v>0</x:v>
      </x:c>
      <x:c r="T259" s="2" t="str">
        <x:v>Data &amp; Reporting</x:v>
      </x:c>
      <x:c r="U259" s="2" t="n">
        <x:v>259</x:v>
      </x:c>
      <x:c r="V259" s="2" t="n">
        <x:f>IF(AND(M259=1,P259=0,ISNUMBER(J259),J259&lt;TODAY()),1,0)</x:f>
        <x:v>0</x:v>
      </x:c>
      <x:c r="W259" s="2" t="str">
        <x:f>'Data &amp; Reporting'!M259</x:f>
        <x:v>Checklist</x:v>
      </x:c>
    </x:row>
    <x:row r="260" ht="40" customHeight="1">
      <x:c r="A260" s="3" t="str">
        <x:f>HYPERLINK("#'Data &amp; Reporting'!A260","Open")</x:f>
        <x:v>Open</x:v>
      </x:c>
      <x:c r="B260" s="2" t="str">
        <x:f>'Data &amp; Reporting'!B260</x:f>
        <x:v>Cycle 2</x:v>
      </x:c>
      <x:c r="C260" s="2" t="str">
        <x:f>'Data &amp; Reporting'!C260</x:f>
        <x:v>Phase 2</x:v>
      </x:c>
      <x:c r="D260" s="2" t="str">
        <x:f>'Data &amp; Reporting'!D260</x:f>
        <x:v>CSBBO - Banking Ops</x:v>
      </x:c>
      <x:c r="E260" s="2" t="str">
        <x:v>Data &amp; Reporting</x:v>
      </x:c>
      <x:c r="F260" s="56" t="str">
        <x:f>'Data &amp; Reporting'!E260</x:f>
        <x:v>DR.BO.2.1</x:v>
      </x:c>
      <x:c r="G260" s="14" t="str">
        <x:f>'Data &amp; Reporting'!F260</x:f>
        <x:v>Ensure data is clean, structured, and usable without manipulation needed</x:v>
      </x:c>
      <x:c r="H260" s="2" t="str">
        <x:f>IF('Data &amp; Reporting'!G260="","",'Data &amp; Reporting'!G260)</x:f>
      </x:c>
      <x:c r="I260" s="12" t="str">
        <x:f>IF('Data &amp; Reporting'!H260="","",'Data &amp; Reporting'!H260)</x:f>
      </x:c>
      <x:c r="J260" s="12" t="n">
        <x:f>IF('Data &amp; Reporting'!I260="","",'Data &amp; Reporting'!I260)</x:f>
        <x:v>46203</x:v>
      </x:c>
      <x:c r="K260" s="12" t="str">
        <x:f>IF('Data &amp; Reporting'!J260="","",'Data &amp; Reporting'!J260)</x:f>
      </x:c>
      <x:c r="L260" s="2" t="str">
        <x:f>IF('Data &amp; Reporting'!K260="","",'Data &amp; Reporting'!K260)</x:f>
      </x:c>
      <x:c r="M260" s="2" t="n">
        <x:f>'Data &amp; Reporting'!Q260</x:f>
        <x:v>1</x:v>
      </x:c>
      <x:c r="N260" s="2" t="str">
        <x:f>'Data &amp; Reporting'!L260</x:f>
        <x:v>Not started</x:v>
      </x:c>
      <x:c r="O260" s="2" t="str">
        <x:f>'Data &amp; Reporting'!N260</x:f>
        <x:v>DR.BO.2.1.2026.CY2</x:v>
      </x:c>
      <x:c r="P260" s="2" t="n">
        <x:f>'Data &amp; Reporting'!O260</x:f>
        <x:v>0</x:v>
      </x:c>
      <x:c r="Q260" s="2" t="n">
        <x:f>SUBTOTAL(103,O260)</x:f>
        <x:v>1</x:v>
      </x:c>
      <x:c r="R260" s="2" t="n">
        <x:f>IF(AND(M260=1,OR(Dashboard!$B$7="All",Dashboard!$B$7='Cycles &amp; Guide'!$C$5),OR(Dashboard!$D$7="All",Dashboard!$D$7=B260),OR(Dashboard!$F$7="All",Dashboard!$F$7=C260),OR(Dashboard!$H$7="All",Dashboard!$H$7=D260),OR(Dashboard!$K$7="All",Dashboard!$K$7=E260)),1,0)</x:f>
        <x:v>1</x:v>
      </x:c>
      <x:c r="S260" s="2" t="n">
        <x:f>IF(R260=1,SUM($R$10:R260),0)</x:f>
        <x:v>121</x:v>
      </x:c>
      <x:c r="T260" s="2" t="str">
        <x:v>Data &amp; Reporting</x:v>
      </x:c>
      <x:c r="U260" s="2" t="n">
        <x:v>260</x:v>
      </x:c>
      <x:c r="V260" s="2" t="n">
        <x:f>IF(AND(M260=1,P260=0,ISNUMBER(J260),J260&lt;TODAY()),1,0)</x:f>
        <x:v>1</x:v>
      </x:c>
      <x:c r="W260" s="2" t="str">
        <x:f>'Data &amp; Reporting'!M260</x:f>
        <x:v>Task</x:v>
      </x:c>
    </x:row>
    <x:row r="261" ht="40" customHeight="1">
      <x:c r="A261" s="3" t="str">
        <x:f>HYPERLINK("#'Data &amp; Reporting'!A261","Open")</x:f>
        <x:v>Open</x:v>
      </x:c>
      <x:c r="B261" s="2" t="str">
        <x:f>'Data &amp; Reporting'!B261</x:f>
        <x:v>Cycle 2</x:v>
      </x:c>
      <x:c r="C261" s="2" t="str">
        <x:f>'Data &amp; Reporting'!C261</x:f>
        <x:v>Phase 2</x:v>
      </x:c>
      <x:c r="D261" s="2" t="str">
        <x:f>'Data &amp; Reporting'!D261</x:f>
        <x:v>CSBBO - Banking Ops</x:v>
      </x:c>
      <x:c r="E261" s="2" t="str">
        <x:v>Data &amp; Reporting</x:v>
      </x:c>
      <x:c r="F261" s="56" t="str">
        <x:f>'Data &amp; Reporting'!E261</x:f>
        <x:v>DR.BO.2.2</x:v>
      </x:c>
      <x:c r="G261" s="14" t="str">
        <x:f>'Data &amp; Reporting'!F261</x:f>
        <x:v>Clearly document rationale for each topic recommendation within the SharePoint list</x:v>
      </x:c>
      <x:c r="H261" s="2" t="str">
        <x:f>IF('Data &amp; Reporting'!G261="","",'Data &amp; Reporting'!G261)</x:f>
      </x:c>
      <x:c r="I261" s="12" t="str">
        <x:f>IF('Data &amp; Reporting'!H261="","",'Data &amp; Reporting'!H261)</x:f>
      </x:c>
      <x:c r="J261" s="12" t="n">
        <x:f>IF('Data &amp; Reporting'!I261="","",'Data &amp; Reporting'!I261)</x:f>
        <x:v>46203</x:v>
      </x:c>
      <x:c r="K261" s="12" t="str">
        <x:f>IF('Data &amp; Reporting'!J261="","",'Data &amp; Reporting'!J261)</x:f>
      </x:c>
      <x:c r="L261" s="2" t="str">
        <x:f>IF('Data &amp; Reporting'!K261="","",'Data &amp; Reporting'!K261)</x:f>
      </x:c>
      <x:c r="M261" s="2" t="n">
        <x:f>'Data &amp; Reporting'!Q261</x:f>
        <x:v>1</x:v>
      </x:c>
      <x:c r="N261" s="2" t="str">
        <x:f>'Data &amp; Reporting'!L261</x:f>
        <x:v>Not started</x:v>
      </x:c>
      <x:c r="O261" s="2" t="str">
        <x:f>'Data &amp; Reporting'!N261</x:f>
        <x:v>DR.BO.2.2.2026.CY2</x:v>
      </x:c>
      <x:c r="P261" s="2" t="n">
        <x:f>'Data &amp; Reporting'!O261</x:f>
        <x:v>0</x:v>
      </x:c>
      <x:c r="Q261" s="2" t="n">
        <x:f>SUBTOTAL(103,O261)</x:f>
        <x:v>1</x:v>
      </x:c>
      <x:c r="R261" s="2" t="n">
        <x:f>IF(AND(M261=1,OR(Dashboard!$B$7="All",Dashboard!$B$7='Cycles &amp; Guide'!$C$5),OR(Dashboard!$D$7="All",Dashboard!$D$7=B261),OR(Dashboard!$F$7="All",Dashboard!$F$7=C261),OR(Dashboard!$H$7="All",Dashboard!$H$7=D261),OR(Dashboard!$K$7="All",Dashboard!$K$7=E261)),1,0)</x:f>
        <x:v>1</x:v>
      </x:c>
      <x:c r="S261" s="2" t="n">
        <x:f>IF(R261=1,SUM($R$10:R261),0)</x:f>
        <x:v>122</x:v>
      </x:c>
      <x:c r="T261" s="2" t="str">
        <x:v>Data &amp; Reporting</x:v>
      </x:c>
      <x:c r="U261" s="2" t="n">
        <x:v>261</x:v>
      </x:c>
      <x:c r="V261" s="2" t="n">
        <x:f>IF(AND(M261=1,P261=0,ISNUMBER(J261),J261&lt;TODAY()),1,0)</x:f>
        <x:v>1</x:v>
      </x:c>
      <x:c r="W261" s="2" t="str">
        <x:f>'Data &amp; Reporting'!M261</x:f>
        <x:v>Task</x:v>
      </x:c>
    </x:row>
    <x:row r="262" ht="40" customHeight="1">
      <x:c r="A262" s="3" t="str">
        <x:f>HYPERLINK("#'Data &amp; Reporting'!A262","Open")</x:f>
        <x:v>Open</x:v>
      </x:c>
      <x:c r="B262" s="2" t="str">
        <x:f>'Data &amp; Reporting'!B262</x:f>
        <x:v>Cycle 2</x:v>
      </x:c>
      <x:c r="C262" s="2" t="str">
        <x:f>'Data &amp; Reporting'!C262</x:f>
        <x:v>Phase 2</x:v>
      </x:c>
      <x:c r="D262" s="2" t="str">
        <x:f>'Data &amp; Reporting'!D262</x:f>
        <x:v>CSBBO - Banking Ops</x:v>
      </x:c>
      <x:c r="E262" s="2" t="str">
        <x:v>Data &amp; Reporting</x:v>
      </x:c>
      <x:c r="F262" s="56" t="str">
        <x:f>'Data &amp; Reporting'!E262</x:f>
        <x:v>DR.BO.2.3</x:v>
      </x:c>
      <x:c r="G262" s="14" t="str">
        <x:f>'Data &amp; Reporting'!F262</x:f>
        <x:v>Verify topic is eligible for RCA and does not conflict with Attorney Client Privilege</x:v>
      </x:c>
      <x:c r="H262" s="2" t="str">
        <x:f>IF('Data &amp; Reporting'!G262="","",'Data &amp; Reporting'!G262)</x:f>
      </x:c>
      <x:c r="I262" s="12" t="str">
        <x:f>IF('Data &amp; Reporting'!H262="","",'Data &amp; Reporting'!H262)</x:f>
      </x:c>
      <x:c r="J262" s="12" t="n">
        <x:f>IF('Data &amp; Reporting'!I262="","",'Data &amp; Reporting'!I262)</x:f>
        <x:v>46203</x:v>
      </x:c>
      <x:c r="K262" s="12" t="str">
        <x:f>IF('Data &amp; Reporting'!J262="","",'Data &amp; Reporting'!J262)</x:f>
      </x:c>
      <x:c r="L262" s="2" t="str">
        <x:f>IF('Data &amp; Reporting'!K262="","",'Data &amp; Reporting'!K262)</x:f>
      </x:c>
      <x:c r="M262" s="2" t="n">
        <x:f>'Data &amp; Reporting'!Q262</x:f>
        <x:v>1</x:v>
      </x:c>
      <x:c r="N262" s="2" t="str">
        <x:f>'Data &amp; Reporting'!L262</x:f>
        <x:v>Not started</x:v>
      </x:c>
      <x:c r="O262" s="2" t="str">
        <x:f>'Data &amp; Reporting'!N262</x:f>
        <x:v>DR.BO.2.3.2026.CY2</x:v>
      </x:c>
      <x:c r="P262" s="2" t="n">
        <x:f>'Data &amp; Reporting'!O262</x:f>
        <x:v>0</x:v>
      </x:c>
      <x:c r="Q262" s="2" t="n">
        <x:f>SUBTOTAL(103,O262)</x:f>
        <x:v>1</x:v>
      </x:c>
      <x:c r="R262" s="2" t="n">
        <x:f>IF(AND(M262=1,OR(Dashboard!$B$7="All",Dashboard!$B$7='Cycles &amp; Guide'!$C$5),OR(Dashboard!$D$7="All",Dashboard!$D$7=B262),OR(Dashboard!$F$7="All",Dashboard!$F$7=C262),OR(Dashboard!$H$7="All",Dashboard!$H$7=D262),OR(Dashboard!$K$7="All",Dashboard!$K$7=E262)),1,0)</x:f>
        <x:v>1</x:v>
      </x:c>
      <x:c r="S262" s="2" t="n">
        <x:f>IF(R262=1,SUM($R$10:R262),0)</x:f>
        <x:v>123</x:v>
      </x:c>
      <x:c r="T262" s="2" t="str">
        <x:v>Data &amp; Reporting</x:v>
      </x:c>
      <x:c r="U262" s="2" t="n">
        <x:v>262</x:v>
      </x:c>
      <x:c r="V262" s="2" t="n">
        <x:f>IF(AND(M262=1,P262=0,ISNUMBER(J262),J262&lt;TODAY()),1,0)</x:f>
        <x:v>1</x:v>
      </x:c>
      <x:c r="W262" s="2" t="str">
        <x:f>'Data &amp; Reporting'!M262</x:f>
        <x:v>Task</x:v>
      </x:c>
    </x:row>
    <x:row r="263" ht="40" customHeight="1">
      <x:c r="A263" s="3" t="str">
        <x:f>HYPERLINK("#'Data &amp; Reporting'!A263","Open")</x:f>
        <x:v>Open</x:v>
      </x:c>
      <x:c r="B263" s="2" t="str">
        <x:f>'Data &amp; Reporting'!B263</x:f>
        <x:v>Cycle 2</x:v>
      </x:c>
      <x:c r="C263" s="2" t="str">
        <x:f>'Data &amp; Reporting'!C263</x:f>
        <x:v>Phase 2</x:v>
      </x:c>
      <x:c r="D263" s="2" t="str">
        <x:f>'Data &amp; Reporting'!D263</x:f>
        <x:v>CSBBO - Banking Ops</x:v>
      </x:c>
      <x:c r="E263" s="2" t="str">
        <x:v>Data &amp; Reporting</x:v>
      </x:c>
      <x:c r="F263" s="56" t="str">
        <x:f>'Data &amp; Reporting'!E263</x:f>
        <x:v>DR.BO.2.4</x:v>
      </x:c>
      <x:c r="G263" s="14" t="str">
        <x:f>'Data &amp; Reporting'!F263</x:f>
        <x:v>Ensure data is free of errors and anomalies prior to hand-off to Research</x:v>
      </x:c>
      <x:c r="H263" s="2" t="str">
        <x:f>IF('Data &amp; Reporting'!G263="","",'Data &amp; Reporting'!G263)</x:f>
      </x:c>
      <x:c r="I263" s="12" t="str">
        <x:f>IF('Data &amp; Reporting'!H263="","",'Data &amp; Reporting'!H263)</x:f>
      </x:c>
      <x:c r="J263" s="12" t="n">
        <x:f>IF('Data &amp; Reporting'!I263="","",'Data &amp; Reporting'!I263)</x:f>
        <x:v>46203</x:v>
      </x:c>
      <x:c r="K263" s="12" t="str">
        <x:f>IF('Data &amp; Reporting'!J263="","",'Data &amp; Reporting'!J263)</x:f>
      </x:c>
      <x:c r="L263" s="2" t="str">
        <x:f>IF('Data &amp; Reporting'!K263="","",'Data &amp; Reporting'!K263)</x:f>
      </x:c>
      <x:c r="M263" s="2" t="n">
        <x:f>'Data &amp; Reporting'!Q263</x:f>
        <x:v>1</x:v>
      </x:c>
      <x:c r="N263" s="2" t="str">
        <x:f>'Data &amp; Reporting'!L263</x:f>
        <x:v>Not started</x:v>
      </x:c>
      <x:c r="O263" s="2" t="str">
        <x:f>'Data &amp; Reporting'!N263</x:f>
        <x:v>DR.BO.2.4.2026.CY2</x:v>
      </x:c>
      <x:c r="P263" s="2" t="n">
        <x:f>'Data &amp; Reporting'!O263</x:f>
        <x:v>0</x:v>
      </x:c>
      <x:c r="Q263" s="2" t="n">
        <x:f>SUBTOTAL(103,O263)</x:f>
        <x:v>1</x:v>
      </x:c>
      <x:c r="R263" s="2" t="n">
        <x:f>IF(AND(M263=1,OR(Dashboard!$B$7="All",Dashboard!$B$7='Cycles &amp; Guide'!$C$5),OR(Dashboard!$D$7="All",Dashboard!$D$7=B263),OR(Dashboard!$F$7="All",Dashboard!$F$7=C263),OR(Dashboard!$H$7="All",Dashboard!$H$7=D263),OR(Dashboard!$K$7="All",Dashboard!$K$7=E263)),1,0)</x:f>
        <x:v>1</x:v>
      </x:c>
      <x:c r="S263" s="2" t="n">
        <x:f>IF(R263=1,SUM($R$10:R263),0)</x:f>
        <x:v>124</x:v>
      </x:c>
      <x:c r="T263" s="2" t="str">
        <x:v>Data &amp; Reporting</x:v>
      </x:c>
      <x:c r="U263" s="2" t="n">
        <x:v>263</x:v>
      </x:c>
      <x:c r="V263" s="2" t="n">
        <x:f>IF(AND(M263=1,P263=0,ISNUMBER(J263),J263&lt;TODAY()),1,0)</x:f>
        <x:v>1</x:v>
      </x:c>
      <x:c r="W263" s="2" t="str">
        <x:f>'Data &amp; Reporting'!M263</x:f>
        <x:v>Task</x:v>
      </x:c>
    </x:row>
    <x:row r="264" ht="40" customHeight="1">
      <x:c r="A264" s="3" t="str">
        <x:f>HYPERLINK("#'Data &amp; Reporting'!A264","Open")</x:f>
        <x:v>Open</x:v>
      </x:c>
      <x:c r="B264" s="2" t="str">
        <x:f>'Data &amp; Reporting'!B264</x:f>
        <x:v>Cycle 2</x:v>
      </x:c>
      <x:c r="C264" s="2" t="str">
        <x:f>'Data &amp; Reporting'!C264</x:f>
        <x:v>Phase 2</x:v>
      </x:c>
      <x:c r="D264" s="2" t="str">
        <x:f>'Data &amp; Reporting'!D264</x:f>
        <x:v>CSBBO - Banking Ops</x:v>
      </x:c>
      <x:c r="E264" s="2" t="str">
        <x:v>Data &amp; Reporting</x:v>
      </x:c>
      <x:c r="F264" s="56" t="str">
        <x:f>'Data &amp; Reporting'!E264</x:f>
        <x:v>DR.BO.2.5</x:v>
      </x:c>
      <x:c r="G264" s="14" t="str">
        <x:f>'Data &amp; Reporting'!F264</x:f>
        <x:v>Ensure topic is not a duplicate from a previous Cycle</x:v>
      </x:c>
      <x:c r="H264" s="2" t="str">
        <x:f>IF('Data &amp; Reporting'!G264="","",'Data &amp; Reporting'!G264)</x:f>
      </x:c>
      <x:c r="I264" s="12" t="str">
        <x:f>IF('Data &amp; Reporting'!H264="","",'Data &amp; Reporting'!H264)</x:f>
      </x:c>
      <x:c r="J264" s="12" t="n">
        <x:f>IF('Data &amp; Reporting'!I264="","",'Data &amp; Reporting'!I264)</x:f>
        <x:v>46203</x:v>
      </x:c>
      <x:c r="K264" s="12" t="str">
        <x:f>IF('Data &amp; Reporting'!J264="","",'Data &amp; Reporting'!J264)</x:f>
      </x:c>
      <x:c r="L264" s="2" t="str">
        <x:f>IF('Data &amp; Reporting'!K264="","",'Data &amp; Reporting'!K264)</x:f>
      </x:c>
      <x:c r="M264" s="2" t="n">
        <x:f>'Data &amp; Reporting'!Q264</x:f>
        <x:v>1</x:v>
      </x:c>
      <x:c r="N264" s="2" t="str">
        <x:f>'Data &amp; Reporting'!L264</x:f>
        <x:v>Not started</x:v>
      </x:c>
      <x:c r="O264" s="2" t="str">
        <x:f>'Data &amp; Reporting'!N264</x:f>
        <x:v>DR.BO.2.5.2026.CY2</x:v>
      </x:c>
      <x:c r="P264" s="2" t="n">
        <x:f>'Data &amp; Reporting'!O264</x:f>
        <x:v>0</x:v>
      </x:c>
      <x:c r="Q264" s="2" t="n">
        <x:f>SUBTOTAL(103,O264)</x:f>
        <x:v>1</x:v>
      </x:c>
      <x:c r="R264" s="2" t="n">
        <x:f>IF(AND(M264=1,OR(Dashboard!$B$7="All",Dashboard!$B$7='Cycles &amp; Guide'!$C$5),OR(Dashboard!$D$7="All",Dashboard!$D$7=B264),OR(Dashboard!$F$7="All",Dashboard!$F$7=C264),OR(Dashboard!$H$7="All",Dashboard!$H$7=D264),OR(Dashboard!$K$7="All",Dashboard!$K$7=E264)),1,0)</x:f>
        <x:v>1</x:v>
      </x:c>
      <x:c r="S264" s="2" t="n">
        <x:f>IF(R264=1,SUM($R$10:R264),0)</x:f>
        <x:v>125</x:v>
      </x:c>
      <x:c r="T264" s="2" t="str">
        <x:v>Data &amp; Reporting</x:v>
      </x:c>
      <x:c r="U264" s="2" t="n">
        <x:v>264</x:v>
      </x:c>
      <x:c r="V264" s="2" t="n">
        <x:f>IF(AND(M264=1,P264=0,ISNUMBER(J264),J264&lt;TODAY()),1,0)</x:f>
        <x:v>1</x:v>
      </x:c>
      <x:c r="W264" s="2" t="str">
        <x:f>'Data &amp; Reporting'!M264</x:f>
        <x:v>Task</x:v>
      </x:c>
    </x:row>
    <x:row r="265" ht="40" customHeight="1">
      <x:c r="A265" s="3" t="str">
        <x:f>HYPERLINK("#'Data &amp; Reporting'!A265","Open")</x:f>
        <x:v>Open</x:v>
      </x:c>
      <x:c r="B265" s="2" t="str">
        <x:f>'Data &amp; Reporting'!B265</x:f>
        <x:v>Cycle 2</x:v>
      </x:c>
      <x:c r="C265" s="2" t="str">
        <x:f>'Data &amp; Reporting'!C265</x:f>
        <x:v>Phase 2</x:v>
      </x:c>
      <x:c r="D265" s="2" t="str">
        <x:f>'Data &amp; Reporting'!D265</x:f>
        <x:v>CSBBO - Banking Ops</x:v>
      </x:c>
      <x:c r="E265" s="2" t="str">
        <x:v>Data &amp; Reporting</x:v>
      </x:c>
      <x:c r="F265" s="56" t="str">
        <x:f>'Data &amp; Reporting'!E265</x:f>
        <x:v>DR.BO.2.6</x:v>
      </x:c>
      <x:c r="G265" s="14" t="str">
        <x:f>'Data &amp; Reporting'!F265</x:f>
        <x:v>Document clear distinctions between facts, assumptions, and hypotheses within the data package</x:v>
      </x:c>
      <x:c r="H265" s="2" t="str">
        <x:f>IF('Data &amp; Reporting'!G265="","",'Data &amp; Reporting'!G265)</x:f>
      </x:c>
      <x:c r="I265" s="12" t="str">
        <x:f>IF('Data &amp; Reporting'!H265="","",'Data &amp; Reporting'!H265)</x:f>
      </x:c>
      <x:c r="J265" s="12" t="n">
        <x:f>IF('Data &amp; Reporting'!I265="","",'Data &amp; Reporting'!I265)</x:f>
        <x:v>46203</x:v>
      </x:c>
      <x:c r="K265" s="12" t="str">
        <x:f>IF('Data &amp; Reporting'!J265="","",'Data &amp; Reporting'!J265)</x:f>
      </x:c>
      <x:c r="L265" s="2" t="str">
        <x:f>IF('Data &amp; Reporting'!K265="","",'Data &amp; Reporting'!K265)</x:f>
      </x:c>
      <x:c r="M265" s="2" t="n">
        <x:f>'Data &amp; Reporting'!Q265</x:f>
        <x:v>1</x:v>
      </x:c>
      <x:c r="N265" s="2" t="str">
        <x:f>'Data &amp; Reporting'!L265</x:f>
        <x:v>Not started</x:v>
      </x:c>
      <x:c r="O265" s="2" t="str">
        <x:f>'Data &amp; Reporting'!N265</x:f>
        <x:v>DR.BO.2.6.2026.CY2</x:v>
      </x:c>
      <x:c r="P265" s="2" t="n">
        <x:f>'Data &amp; Reporting'!O265</x:f>
        <x:v>0</x:v>
      </x:c>
      <x:c r="Q265" s="2" t="n">
        <x:f>SUBTOTAL(103,O265)</x:f>
        <x:v>1</x:v>
      </x:c>
      <x:c r="R265" s="2" t="n">
        <x:f>IF(AND(M265=1,OR(Dashboard!$B$7="All",Dashboard!$B$7='Cycles &amp; Guide'!$C$5),OR(Dashboard!$D$7="All",Dashboard!$D$7=B265),OR(Dashboard!$F$7="All",Dashboard!$F$7=C265),OR(Dashboard!$H$7="All",Dashboard!$H$7=D265),OR(Dashboard!$K$7="All",Dashboard!$K$7=E265)),1,0)</x:f>
        <x:v>1</x:v>
      </x:c>
      <x:c r="S265" s="2" t="n">
        <x:f>IF(R265=1,SUM($R$10:R265),0)</x:f>
        <x:v>126</x:v>
      </x:c>
      <x:c r="T265" s="2" t="str">
        <x:v>Data &amp; Reporting</x:v>
      </x:c>
      <x:c r="U265" s="2" t="n">
        <x:v>265</x:v>
      </x:c>
      <x:c r="V265" s="2" t="n">
        <x:f>IF(AND(M265=1,P265=0,ISNUMBER(J265),J265&lt;TODAY()),1,0)</x:f>
        <x:v>1</x:v>
      </x:c>
      <x:c r="W265" s="2" t="str">
        <x:f>'Data &amp; Reporting'!M265</x:f>
        <x:v>Task</x:v>
      </x:c>
    </x:row>
    <x:row r="266" ht="40" customHeight="1">
      <x:c r="A266" s="3" t="str">
        <x:f>HYPERLINK("#'Data &amp; Reporting'!A266","Open")</x:f>
        <x:v>Open</x:v>
      </x:c>
      <x:c r="B266" s="2" t="str">
        <x:f>'Data &amp; Reporting'!B266</x:f>
        <x:v>Cycle 2</x:v>
      </x:c>
      <x:c r="C266" s="2" t="str">
        <x:f>'Data &amp; Reporting'!C266</x:f>
        <x:v>Phase 3</x:v>
      </x:c>
      <x:c r="D266" s="2" t="str">
        <x:f>'Data &amp; Reporting'!D266</x:f>
        <x:v>CSBBO - Banking Ops</x:v>
      </x:c>
      <x:c r="E266" s="2" t="str">
        <x:v>Data &amp; Reporting</x:v>
      </x:c>
      <x:c r="F266" s="56" t="str">
        <x:f>'Data &amp; Reporting'!E266</x:f>
        <x:v>DR.BO.3.1</x:v>
      </x:c>
      <x:c r="G266" s="14" t="str">
        <x:f>'Data &amp; Reporting'!F266</x:f>
        <x:v>Clearly document rationale for each topic recommendation within the SharePoint list item</x:v>
      </x:c>
      <x:c r="H266" s="2" t="str">
        <x:f>IF('Data &amp; Reporting'!G266="","",'Data &amp; Reporting'!G266)</x:f>
      </x:c>
      <x:c r="I266" s="12" t="str">
        <x:f>IF('Data &amp; Reporting'!H266="","",'Data &amp; Reporting'!H266)</x:f>
      </x:c>
      <x:c r="J266" s="12" t="n">
        <x:f>IF('Data &amp; Reporting'!I266="","",'Data &amp; Reporting'!I266)</x:f>
        <x:v>46203</x:v>
      </x:c>
      <x:c r="K266" s="12" t="str">
        <x:f>IF('Data &amp; Reporting'!J266="","",'Data &amp; Reporting'!J266)</x:f>
      </x:c>
      <x:c r="L266" s="2" t="str">
        <x:f>IF('Data &amp; Reporting'!K266="","",'Data &amp; Reporting'!K266)</x:f>
      </x:c>
      <x:c r="M266" s="2" t="n">
        <x:f>'Data &amp; Reporting'!Q266</x:f>
        <x:v>1</x:v>
      </x:c>
      <x:c r="N266" s="2" t="str">
        <x:f>'Data &amp; Reporting'!L266</x:f>
        <x:v>Not started</x:v>
      </x:c>
      <x:c r="O266" s="2" t="str">
        <x:f>'Data &amp; Reporting'!N266</x:f>
        <x:v>DR.BO.3.1.2026.CY2</x:v>
      </x:c>
      <x:c r="P266" s="2" t="n">
        <x:f>'Data &amp; Reporting'!O266</x:f>
        <x:v>0</x:v>
      </x:c>
      <x:c r="Q266" s="2" t="n">
        <x:f>SUBTOTAL(103,O266)</x:f>
        <x:v>1</x:v>
      </x:c>
      <x:c r="R266" s="2" t="n">
        <x:f>IF(AND(M266=1,OR(Dashboard!$B$7="All",Dashboard!$B$7='Cycles &amp; Guide'!$C$5),OR(Dashboard!$D$7="All",Dashboard!$D$7=B266),OR(Dashboard!$F$7="All",Dashboard!$F$7=C266),OR(Dashboard!$H$7="All",Dashboard!$H$7=D266),OR(Dashboard!$K$7="All",Dashboard!$K$7=E266)),1,0)</x:f>
        <x:v>1</x:v>
      </x:c>
      <x:c r="S266" s="2" t="n">
        <x:f>IF(R266=1,SUM($R$10:R266),0)</x:f>
        <x:v>127</x:v>
      </x:c>
      <x:c r="T266" s="2" t="str">
        <x:v>Data &amp; Reporting</x:v>
      </x:c>
      <x:c r="U266" s="2" t="n">
        <x:v>266</x:v>
      </x:c>
      <x:c r="V266" s="2" t="n">
        <x:f>IF(AND(M266=1,P266=0,ISNUMBER(J266),J266&lt;TODAY()),1,0)</x:f>
        <x:v>1</x:v>
      </x:c>
      <x:c r="W266" s="2" t="str">
        <x:f>'Data &amp; Reporting'!M266</x:f>
        <x:v>Task</x:v>
      </x:c>
    </x:row>
    <x:row r="267" ht="40" customHeight="1">
      <x:c r="A267" s="3" t="str">
        <x:f>HYPERLINK("#'Data &amp; Reporting'!A267","Open")</x:f>
        <x:v>Open</x:v>
      </x:c>
      <x:c r="B267" s="2" t="str">
        <x:f>'Data &amp; Reporting'!B267</x:f>
        <x:v>Cycle 2</x:v>
      </x:c>
      <x:c r="C267" s="2" t="str">
        <x:f>'Data &amp; Reporting'!C267</x:f>
        <x:v>Phase 3</x:v>
      </x:c>
      <x:c r="D267" s="2" t="str">
        <x:f>'Data &amp; Reporting'!D267</x:f>
        <x:v>CSBBO - Banking Ops</x:v>
      </x:c>
      <x:c r="E267" s="2" t="str">
        <x:v>Data &amp; Reporting</x:v>
      </x:c>
      <x:c r="F267" s="56" t="str">
        <x:f>'Data &amp; Reporting'!E267</x:f>
        <x:v>DR.BO.3.2</x:v>
      </x:c>
      <x:c r="G267" s="14" t="str">
        <x:f>'Data &amp; Reporting'!F267</x:f>
        <x:v>Attach the data package for each topic recommendation within the SharePoint list item</x:v>
      </x:c>
      <x:c r="H267" s="2" t="str">
        <x:f>IF('Data &amp; Reporting'!G267="","",'Data &amp; Reporting'!G267)</x:f>
      </x:c>
      <x:c r="I267" s="12" t="str">
        <x:f>IF('Data &amp; Reporting'!H267="","",'Data &amp; Reporting'!H267)</x:f>
      </x:c>
      <x:c r="J267" s="12" t="n">
        <x:f>IF('Data &amp; Reporting'!I267="","",'Data &amp; Reporting'!I267)</x:f>
        <x:v>46203</x:v>
      </x:c>
      <x:c r="K267" s="12" t="str">
        <x:f>IF('Data &amp; Reporting'!J267="","",'Data &amp; Reporting'!J267)</x:f>
      </x:c>
      <x:c r="L267" s="2" t="str">
        <x:f>IF('Data &amp; Reporting'!K267="","",'Data &amp; Reporting'!K267)</x:f>
      </x:c>
      <x:c r="M267" s="2" t="n">
        <x:f>'Data &amp; Reporting'!Q267</x:f>
        <x:v>1</x:v>
      </x:c>
      <x:c r="N267" s="2" t="str">
        <x:f>'Data &amp; Reporting'!L267</x:f>
        <x:v>Not started</x:v>
      </x:c>
      <x:c r="O267" s="2" t="str">
        <x:f>'Data &amp; Reporting'!N267</x:f>
        <x:v>DR.BO.3.2.2026.CY2</x:v>
      </x:c>
      <x:c r="P267" s="2" t="n">
        <x:f>'Data &amp; Reporting'!O267</x:f>
        <x:v>0</x:v>
      </x:c>
      <x:c r="Q267" s="2" t="n">
        <x:f>SUBTOTAL(103,O267)</x:f>
        <x:v>1</x:v>
      </x:c>
      <x:c r="R267" s="2" t="n">
        <x:f>IF(AND(M267=1,OR(Dashboard!$B$7="All",Dashboard!$B$7='Cycles &amp; Guide'!$C$5),OR(Dashboard!$D$7="All",Dashboard!$D$7=B267),OR(Dashboard!$F$7="All",Dashboard!$F$7=C267),OR(Dashboard!$H$7="All",Dashboard!$H$7=D267),OR(Dashboard!$K$7="All",Dashboard!$K$7=E267)),1,0)</x:f>
        <x:v>1</x:v>
      </x:c>
      <x:c r="S267" s="2" t="n">
        <x:f>IF(R267=1,SUM($R$10:R267),0)</x:f>
        <x:v>128</x:v>
      </x:c>
      <x:c r="T267" s="2" t="str">
        <x:v>Data &amp; Reporting</x:v>
      </x:c>
      <x:c r="U267" s="2" t="n">
        <x:v>267</x:v>
      </x:c>
      <x:c r="V267" s="2" t="n">
        <x:f>IF(AND(M267=1,P267=0,ISNUMBER(J267),J267&lt;TODAY()),1,0)</x:f>
        <x:v>1</x:v>
      </x:c>
      <x:c r="W267" s="2" t="str">
        <x:f>'Data &amp; Reporting'!M267</x:f>
        <x:v>Task</x:v>
      </x:c>
    </x:row>
    <x:row r="268" ht="40" customHeight="1">
      <x:c r="A268" s="3" t="str">
        <x:f>HYPERLINK("#'Data &amp; Reporting'!A268","Open")</x:f>
        <x:v>Open</x:v>
      </x:c>
      <x:c r="B268" s="2" t="str">
        <x:f>'Data &amp; Reporting'!B268</x:f>
        <x:v>Cycle 2</x:v>
      </x:c>
      <x:c r="C268" s="2" t="str">
        <x:f>'Data &amp; Reporting'!C268</x:f>
        <x:v>Phase 3</x:v>
      </x:c>
      <x:c r="D268" s="2" t="str">
        <x:f>'Data &amp; Reporting'!D268</x:f>
        <x:v>CSBBO - Banking Ops</x:v>
      </x:c>
      <x:c r="E268" s="2" t="str">
        <x:v>Data &amp; Reporting</x:v>
      </x:c>
      <x:c r="F268" s="56" t="str">
        <x:f>'Data &amp; Reporting'!E268</x:f>
        <x:v>DR.BO.3.3</x:v>
      </x:c>
      <x:c r="G268" s="14" t="str">
        <x:f>'Data &amp; Reporting'!F268</x:f>
        <x:v>Confirm data privileges have been granted, ensuring each pillar can access</x:v>
      </x:c>
      <x:c r="H268" s="2" t="str">
        <x:f>IF('Data &amp; Reporting'!G268="","",'Data &amp; Reporting'!G268)</x:f>
      </x:c>
      <x:c r="I268" s="12" t="str">
        <x:f>IF('Data &amp; Reporting'!H268="","",'Data &amp; Reporting'!H268)</x:f>
      </x:c>
      <x:c r="J268" s="12" t="n">
        <x:f>IF('Data &amp; Reporting'!I268="","",'Data &amp; Reporting'!I268)</x:f>
        <x:v>46203</x:v>
      </x:c>
      <x:c r="K268" s="12" t="str">
        <x:f>IF('Data &amp; Reporting'!J268="","",'Data &amp; Reporting'!J268)</x:f>
      </x:c>
      <x:c r="L268" s="2" t="str">
        <x:f>IF('Data &amp; Reporting'!K268="","",'Data &amp; Reporting'!K268)</x:f>
      </x:c>
      <x:c r="M268" s="2" t="n">
        <x:f>'Data &amp; Reporting'!Q268</x:f>
        <x:v>1</x:v>
      </x:c>
      <x:c r="N268" s="2" t="str">
        <x:f>'Data &amp; Reporting'!L268</x:f>
        <x:v>Not started</x:v>
      </x:c>
      <x:c r="O268" s="2" t="str">
        <x:f>'Data &amp; Reporting'!N268</x:f>
        <x:v>DR.BO.3.3.2026.CY2</x:v>
      </x:c>
      <x:c r="P268" s="2" t="n">
        <x:f>'Data &amp; Reporting'!O268</x:f>
        <x:v>0</x:v>
      </x:c>
      <x:c r="Q268" s="2" t="n">
        <x:f>SUBTOTAL(103,O268)</x:f>
        <x:v>1</x:v>
      </x:c>
      <x:c r="R268" s="2" t="n">
        <x:f>IF(AND(M268=1,OR(Dashboard!$B$7="All",Dashboard!$B$7='Cycles &amp; Guide'!$C$5),OR(Dashboard!$D$7="All",Dashboard!$D$7=B268),OR(Dashboard!$F$7="All",Dashboard!$F$7=C268),OR(Dashboard!$H$7="All",Dashboard!$H$7=D268),OR(Dashboard!$K$7="All",Dashboard!$K$7=E268)),1,0)</x:f>
        <x:v>1</x:v>
      </x:c>
      <x:c r="S268" s="2" t="n">
        <x:f>IF(R268=1,SUM($R$10:R268),0)</x:f>
        <x:v>129</x:v>
      </x:c>
      <x:c r="T268" s="2" t="str">
        <x:v>Data &amp; Reporting</x:v>
      </x:c>
      <x:c r="U268" s="2" t="n">
        <x:v>268</x:v>
      </x:c>
      <x:c r="V268" s="2" t="n">
        <x:f>IF(AND(M268=1,P268=0,ISNUMBER(J268),J268&lt;TODAY()),1,0)</x:f>
        <x:v>1</x:v>
      </x:c>
      <x:c r="W268" s="2" t="str">
        <x:f>'Data &amp; Reporting'!M268</x:f>
        <x:v>Task</x:v>
      </x:c>
    </x:row>
    <x:row r="269" ht="40" customHeight="1">
      <x:c r="A269" s="3" t="str">
        <x:f>HYPERLINK("#'Data &amp; Reporting'!A269","Open")</x:f>
        <x:v>Open</x:v>
      </x:c>
      <x:c r="B269" s="2" t="str">
        <x:f>'Data &amp; Reporting'!B269</x:f>
        <x:v>Cycle 2</x:v>
      </x:c>
      <x:c r="C269" s="2" t="str">
        <x:f>'Data &amp; Reporting'!C269</x:f>
        <x:v>Phase 3</x:v>
      </x:c>
      <x:c r="D269" s="2" t="str">
        <x:f>'Data &amp; Reporting'!D269</x:f>
        <x:v>CSBBO - Banking Ops</x:v>
      </x:c>
      <x:c r="E269" s="2" t="str">
        <x:v>Data &amp; Reporting</x:v>
      </x:c>
      <x:c r="F269" s="56" t="str">
        <x:f>'Data &amp; Reporting'!E269</x:f>
        <x:v>DR.BO.3.4</x:v>
      </x:c>
      <x:c r="G269" s="14" t="str">
        <x:f>'Data &amp; Reporting'!F269</x:f>
        <x:v>Ensure Power Automate notifications were correctly triggered within Microsoft Teams</x:v>
      </x:c>
      <x:c r="H269" s="2" t="str">
        <x:f>IF('Data &amp; Reporting'!G269="","",'Data &amp; Reporting'!G269)</x:f>
      </x:c>
      <x:c r="I269" s="12" t="str">
        <x:f>IF('Data &amp; Reporting'!H269="","",'Data &amp; Reporting'!H269)</x:f>
      </x:c>
      <x:c r="J269" s="12" t="n">
        <x:f>IF('Data &amp; Reporting'!I269="","",'Data &amp; Reporting'!I269)</x:f>
        <x:v>46203</x:v>
      </x:c>
      <x:c r="K269" s="12" t="str">
        <x:f>IF('Data &amp; Reporting'!J269="","",'Data &amp; Reporting'!J269)</x:f>
      </x:c>
      <x:c r="L269" s="2" t="str">
        <x:f>IF('Data &amp; Reporting'!K269="","",'Data &amp; Reporting'!K269)</x:f>
      </x:c>
      <x:c r="M269" s="2" t="n">
        <x:f>'Data &amp; Reporting'!Q269</x:f>
        <x:v>1</x:v>
      </x:c>
      <x:c r="N269" s="2" t="str">
        <x:f>'Data &amp; Reporting'!L269</x:f>
        <x:v>Not started</x:v>
      </x:c>
      <x:c r="O269" s="2" t="str">
        <x:f>'Data &amp; Reporting'!N269</x:f>
        <x:v>DR.BO.3.4.2026.CY2</x:v>
      </x:c>
      <x:c r="P269" s="2" t="n">
        <x:f>'Data &amp; Reporting'!O269</x:f>
        <x:v>0</x:v>
      </x:c>
      <x:c r="Q269" s="2" t="n">
        <x:f>SUBTOTAL(103,O269)</x:f>
        <x:v>1</x:v>
      </x:c>
      <x:c r="R269" s="2" t="n">
        <x:f>IF(AND(M269=1,OR(Dashboard!$B$7="All",Dashboard!$B$7='Cycles &amp; Guide'!$C$5),OR(Dashboard!$D$7="All",Dashboard!$D$7=B269),OR(Dashboard!$F$7="All",Dashboard!$F$7=C269),OR(Dashboard!$H$7="All",Dashboard!$H$7=D269),OR(Dashboard!$K$7="All",Dashboard!$K$7=E269)),1,0)</x:f>
        <x:v>1</x:v>
      </x:c>
      <x:c r="S269" s="2" t="n">
        <x:f>IF(R269=1,SUM($R$10:R269),0)</x:f>
        <x:v>130</x:v>
      </x:c>
      <x:c r="T269" s="2" t="str">
        <x:v>Data &amp; Reporting</x:v>
      </x:c>
      <x:c r="U269" s="2" t="n">
        <x:v>269</x:v>
      </x:c>
      <x:c r="V269" s="2" t="n">
        <x:f>IF(AND(M269=1,P269=0,ISNUMBER(J269),J269&lt;TODAY()),1,0)</x:f>
        <x:v>1</x:v>
      </x:c>
      <x:c r="W269" s="2" t="str">
        <x:f>'Data &amp; Reporting'!M269</x:f>
        <x:v>Task</x:v>
      </x:c>
    </x:row>
    <x:row r="270" ht="40" customHeight="1">
      <x:c r="A270" s="3" t="str">
        <x:f>HYPERLINK("#'Data &amp; Reporting'!A270","Open")</x:f>
        <x:v>Open</x:v>
      </x:c>
      <x:c r="B270" s="2" t="str">
        <x:f>'Data &amp; Reporting'!B270</x:f>
        <x:v>Cycle 2</x:v>
      </x:c>
      <x:c r="C270" s="2" t="str">
        <x:f>'Data &amp; Reporting'!C270</x:f>
        <x:v>Phase 1</x:v>
      </x:c>
      <x:c r="D270" s="2" t="str">
        <x:f>'Data &amp; Reporting'!D270</x:f>
        <x:v>CSBBO - Customer Service</x:v>
      </x:c>
      <x:c r="E270" s="2" t="str">
        <x:v>Data &amp; Reporting</x:v>
      </x:c>
      <x:c r="F270" s="56" t="str">
        <x:f>'Data &amp; Reporting'!E270</x:f>
        <x:v>DR.CS.1.1</x:v>
      </x:c>
      <x:c r="G270" s="14" t="str">
        <x:f>'Data &amp; Reporting'!F270</x:f>
        <x:v>Review data sources 3 weeks prior to Cycle start (Complaints, Gen AI, Loudspeaker, NPS, etc.)</x:v>
      </x:c>
      <x:c r="H270" s="2" t="str">
        <x:f>IF('Data &amp; Reporting'!G270="","",'Data &amp; Reporting'!G270)</x:f>
      </x:c>
      <x:c r="I270" s="12" t="str">
        <x:f>IF('Data &amp; Reporting'!H270="","",'Data &amp; Reporting'!H270)</x:f>
      </x:c>
      <x:c r="J270" s="12" t="n">
        <x:f>IF('Data &amp; Reporting'!I270="","",'Data &amp; Reporting'!I270)</x:f>
        <x:v>46092</x:v>
      </x:c>
      <x:c r="K270" s="12" t="str">
        <x:f>IF('Data &amp; Reporting'!J270="","",'Data &amp; Reporting'!J270)</x:f>
      </x:c>
      <x:c r="L270" s="2" t="str">
        <x:f>IF('Data &amp; Reporting'!K270="","",'Data &amp; Reporting'!K270)</x:f>
      </x:c>
      <x:c r="M270" s="2" t="n">
        <x:f>'Data &amp; Reporting'!Q270</x:f>
        <x:v>1</x:v>
      </x:c>
      <x:c r="N270" s="2" t="str">
        <x:f>'Data &amp; Reporting'!L270</x:f>
        <x:v>Not started</x:v>
      </x:c>
      <x:c r="O270" s="2" t="str">
        <x:f>'Data &amp; Reporting'!N270</x:f>
        <x:v>DR.CS.1.1.2026.CY2</x:v>
      </x:c>
      <x:c r="P270" s="2" t="n">
        <x:f>'Data &amp; Reporting'!O270</x:f>
        <x:v>0</x:v>
      </x:c>
      <x:c r="Q270" s="2" t="n">
        <x:f>SUBTOTAL(103,O270)</x:f>
        <x:v>1</x:v>
      </x:c>
      <x:c r="R270" s="2" t="n">
        <x:f>IF(AND(M270=1,OR(Dashboard!$B$7="All",Dashboard!$B$7='Cycles &amp; Guide'!$C$5),OR(Dashboard!$D$7="All",Dashboard!$D$7=B270),OR(Dashboard!$F$7="All",Dashboard!$F$7=C270),OR(Dashboard!$H$7="All",Dashboard!$H$7=D270),OR(Dashboard!$K$7="All",Dashboard!$K$7=E270)),1,0)</x:f>
        <x:v>1</x:v>
      </x:c>
      <x:c r="S270" s="2" t="n">
        <x:f>IF(R270=1,SUM($R$10:R270),0)</x:f>
        <x:v>131</x:v>
      </x:c>
      <x:c r="T270" s="2" t="str">
        <x:v>Data &amp; Reporting</x:v>
      </x:c>
      <x:c r="U270" s="2" t="n">
        <x:v>270</x:v>
      </x:c>
      <x:c r="V270" s="2" t="n">
        <x:f>IF(AND(M270=1,P270=0,ISNUMBER(J270),J270&lt;TODAY()),1,0)</x:f>
        <x:v>1</x:v>
      </x:c>
      <x:c r="W270" s="2" t="str">
        <x:f>'Data &amp; Reporting'!M270</x:f>
        <x:v>Task</x:v>
      </x:c>
    </x:row>
    <x:row r="271" ht="40" customHeight="1">
      <x:c r="A271" s="3" t="str">
        <x:f>HYPERLINK("#'Data &amp; Reporting'!A271","Open")</x:f>
        <x:v>Open</x:v>
      </x:c>
      <x:c r="B271" s="2" t="str">
        <x:f>'Data &amp; Reporting'!B271</x:f>
        <x:v>Cycle 2</x:v>
      </x:c>
      <x:c r="C271" s="2" t="str">
        <x:f>'Data &amp; Reporting'!C271</x:f>
        <x:v>Phase 1</x:v>
      </x:c>
      <x:c r="D271" s="2" t="str">
        <x:f>'Data &amp; Reporting'!D271</x:f>
        <x:v>CSBBO - Customer Service</x:v>
      </x:c>
      <x:c r="E271" s="2" t="str">
        <x:v>Data &amp; Reporting</x:v>
      </x:c>
      <x:c r="F271" s="56" t="str">
        <x:f>'Data &amp; Reporting'!E271</x:f>
        <x:v>DR.CS.1.2</x:v>
      </x:c>
      <x:c r="G271" s="14" t="str">
        <x:f>'Data &amp; Reporting'!F271</x:f>
        <x:v>Identify two potential topics for the upcoming Cycle</x:v>
      </x:c>
      <x:c r="H271" s="2" t="str">
        <x:f>IF('Data &amp; Reporting'!G271="","",'Data &amp; Reporting'!G271)</x:f>
      </x:c>
      <x:c r="I271" s="12" t="str">
        <x:f>IF('Data &amp; Reporting'!H271="","",'Data &amp; Reporting'!H271)</x:f>
      </x:c>
      <x:c r="J271" s="12" t="n">
        <x:f>IF('Data &amp; Reporting'!I271="","",'Data &amp; Reporting'!I271)</x:f>
        <x:v>46203</x:v>
      </x:c>
      <x:c r="K271" s="12" t="str">
        <x:f>IF('Data &amp; Reporting'!J271="","",'Data &amp; Reporting'!J271)</x:f>
      </x:c>
      <x:c r="L271" s="2" t="str">
        <x:f>IF('Data &amp; Reporting'!K271="","",'Data &amp; Reporting'!K271)</x:f>
      </x:c>
      <x:c r="M271" s="2" t="n">
        <x:f>'Data &amp; Reporting'!Q271</x:f>
        <x:v>1</x:v>
      </x:c>
      <x:c r="N271" s="2" t="str">
        <x:f>'Data &amp; Reporting'!L271</x:f>
        <x:v>Not started</x:v>
      </x:c>
      <x:c r="O271" s="2" t="str">
        <x:f>'Data &amp; Reporting'!N271</x:f>
        <x:v>DR.CS.1.2.2026.CY2</x:v>
      </x:c>
      <x:c r="P271" s="2" t="n">
        <x:f>'Data &amp; Reporting'!O271</x:f>
        <x:v>0</x:v>
      </x:c>
      <x:c r="Q271" s="2" t="n">
        <x:f>SUBTOTAL(103,O271)</x:f>
        <x:v>1</x:v>
      </x:c>
      <x:c r="R271" s="2" t="n">
        <x:f>IF(AND(M271=1,OR(Dashboard!$B$7="All",Dashboard!$B$7='Cycles &amp; Guide'!$C$5),OR(Dashboard!$D$7="All",Dashboard!$D$7=B271),OR(Dashboard!$F$7="All",Dashboard!$F$7=C271),OR(Dashboard!$H$7="All",Dashboard!$H$7=D271),OR(Dashboard!$K$7="All",Dashboard!$K$7=E271)),1,0)</x:f>
        <x:v>1</x:v>
      </x:c>
      <x:c r="S271" s="2" t="n">
        <x:f>IF(R271=1,SUM($R$10:R271),0)</x:f>
        <x:v>132</x:v>
      </x:c>
      <x:c r="T271" s="2" t="str">
        <x:v>Data &amp; Reporting</x:v>
      </x:c>
      <x:c r="U271" s="2" t="n">
        <x:v>271</x:v>
      </x:c>
      <x:c r="V271" s="2" t="n">
        <x:f>IF(AND(M271=1,P271=0,ISNUMBER(J271),J271&lt;TODAY()),1,0)</x:f>
        <x:v>1</x:v>
      </x:c>
      <x:c r="W271" s="2" t="str">
        <x:f>'Data &amp; Reporting'!M271</x:f>
        <x:v>Task</x:v>
      </x:c>
    </x:row>
    <x:row r="272" ht="40" customHeight="1">
      <x:c r="A272" s="3" t="str">
        <x:f>HYPERLINK("#'Data &amp; Reporting'!A272","Open")</x:f>
        <x:v>Open</x:v>
      </x:c>
      <x:c r="B272" s="2" t="str">
        <x:f>'Data &amp; Reporting'!B272</x:f>
        <x:v>Cycle 2</x:v>
      </x:c>
      <x:c r="C272" s="2" t="str">
        <x:f>'Data &amp; Reporting'!C272</x:f>
        <x:v>Phase 1</x:v>
      </x:c>
      <x:c r="D272" s="2" t="str">
        <x:f>'Data &amp; Reporting'!D272</x:f>
        <x:v>CSBBO - Customer Service</x:v>
      </x:c>
      <x:c r="E272" s="2" t="str">
        <x:v>Data &amp; Reporting</x:v>
      </x:c>
      <x:c r="F272" s="56" t="str">
        <x:f>'Data &amp; Reporting'!E272</x:f>
        <x:v>DR.CS.1.3</x:v>
      </x:c>
      <x:c r="G272" s="14" t="str">
        <x:f>'Data &amp; Reporting'!F272</x:f>
        <x:v>Extract data for both potential topics, ensuring all checklist items below are included/completed</x:v>
      </x:c>
      <x:c r="H272" s="2" t="str">
        <x:f>IF('Data &amp; Reporting'!G272="","",'Data &amp; Reporting'!G272)</x:f>
      </x:c>
      <x:c r="I272" s="12" t="str">
        <x:f>IF('Data &amp; Reporting'!H272="","",'Data &amp; Reporting'!H272)</x:f>
      </x:c>
      <x:c r="J272" s="12" t="n">
        <x:f>IF('Data &amp; Reporting'!I272="","",'Data &amp; Reporting'!I272)</x:f>
        <x:v>46203</x:v>
      </x:c>
      <x:c r="K272" s="12" t="str">
        <x:f>IF('Data &amp; Reporting'!J272="","",'Data &amp; Reporting'!J272)</x:f>
      </x:c>
      <x:c r="L272" s="2" t="str">
        <x:f>IF('Data &amp; Reporting'!K272="","",'Data &amp; Reporting'!K272)</x:f>
      </x:c>
      <x:c r="M272" s="2" t="n">
        <x:f>'Data &amp; Reporting'!Q272</x:f>
        <x:v>1</x:v>
      </x:c>
      <x:c r="N272" s="2" t="str">
        <x:f>'Data &amp; Reporting'!L272</x:f>
        <x:v>Not started</x:v>
      </x:c>
      <x:c r="O272" s="2" t="str">
        <x:f>'Data &amp; Reporting'!N272</x:f>
        <x:v>DR.CS.1.3.2026.CY2</x:v>
      </x:c>
      <x:c r="P272" s="2" t="n">
        <x:f>'Data &amp; Reporting'!O272</x:f>
        <x:v>0</x:v>
      </x:c>
      <x:c r="Q272" s="2" t="n">
        <x:f>SUBTOTAL(103,O272)</x:f>
        <x:v>1</x:v>
      </x:c>
      <x:c r="R272" s="2" t="n">
        <x:f>IF(AND(M272=1,OR(Dashboard!$B$7="All",Dashboard!$B$7='Cycles &amp; Guide'!$C$5),OR(Dashboard!$D$7="All",Dashboard!$D$7=B272),OR(Dashboard!$F$7="All",Dashboard!$F$7=C272),OR(Dashboard!$H$7="All",Dashboard!$H$7=D272),OR(Dashboard!$K$7="All",Dashboard!$K$7=E272)),1,0)</x:f>
        <x:v>1</x:v>
      </x:c>
      <x:c r="S272" s="2" t="n">
        <x:f>IF(R272=1,SUM($R$10:R272),0)</x:f>
        <x:v>133</x:v>
      </x:c>
      <x:c r="T272" s="2" t="str">
        <x:v>Data &amp; Reporting</x:v>
      </x:c>
      <x:c r="U272" s="2" t="n">
        <x:v>272</x:v>
      </x:c>
      <x:c r="V272" s="2" t="n">
        <x:f>IF(AND(M272=1,P272=0,ISNUMBER(J272),J272&lt;TODAY()),1,0)</x:f>
        <x:v>1</x:v>
      </x:c>
      <x:c r="W272" s="2" t="str">
        <x:f>'Data &amp; Reporting'!M272</x:f>
        <x:v>Task</x:v>
      </x:c>
    </x:row>
    <x:row r="273" ht="40" customHeight="1">
      <x:c r="A273" s="3" t="str">
        <x:f>HYPERLINK("#'Data &amp; Reporting'!A273","Open")</x:f>
        <x:v>Open</x:v>
      </x:c>
      <x:c r="B273" s="2" t="str">
        <x:f>'Data &amp; Reporting'!B273</x:f>
        <x:v>Cycle 2</x:v>
      </x:c>
      <x:c r="C273" s="2" t="str">
        <x:f>'Data &amp; Reporting'!C273</x:f>
        <x:v>Phase 1</x:v>
      </x:c>
      <x:c r="D273" s="2" t="str">
        <x:f>'Data &amp; Reporting'!D273</x:f>
        <x:v>CSBBO - Customer Service</x:v>
      </x:c>
      <x:c r="E273" s="2" t="str">
        <x:v>Data &amp; Reporting</x:v>
      </x:c>
      <x:c r="F273" s="56" t="str">
        <x:f>'Data &amp; Reporting'!E273</x:f>
        <x:v>DR.CS.1.3.C01</x:v>
      </x:c>
      <x:c r="G273" s="14" t="str">
        <x:f>'Data &amp; Reporting'!F273</x:f>
        <x:v>    Document date range extracted</x:v>
      </x:c>
      <x:c r="H273" s="2" t="str">
        <x:f>IF('Data &amp; Reporting'!G273="","",'Data &amp; Reporting'!G273)</x:f>
      </x:c>
      <x:c r="I273" s="12" t="str">
        <x:f>IF('Data &amp; Reporting'!H273="","",'Data &amp; Reporting'!H273)</x:f>
      </x:c>
      <x:c r="J273" s="12" t="str">
        <x:f>IF('Data &amp; Reporting'!I273="","",'Data &amp; Reporting'!I273)</x:f>
      </x:c>
      <x:c r="K273" s="12" t="str">
        <x:f>IF('Data &amp; Reporting'!J273="","",'Data &amp; Reporting'!J273)</x:f>
      </x:c>
      <x:c r="L273" s="2" t="str">
        <x:f>IF('Data &amp; Reporting'!K273="","",'Data &amp; Reporting'!K273)</x:f>
      </x:c>
      <x:c r="M273" s="2" t="n">
        <x:f>'Data &amp; Reporting'!Q273</x:f>
        <x:v>0</x:v>
      </x:c>
      <x:c r="N273" s="2" t="str">
        <x:f>'Data &amp; Reporting'!L273</x:f>
        <x:v>Open check</x:v>
      </x:c>
      <x:c r="O273" s="2" t="str">
        <x:f>'Data &amp; Reporting'!N273</x:f>
        <x:v>DR.CS.1.3.C01.2026.CY2</x:v>
      </x:c>
      <x:c r="P273" s="2" t="n">
        <x:f>'Data &amp; Reporting'!O273</x:f>
        <x:v>0</x:v>
      </x:c>
      <x:c r="Q273" s="2" t="n">
        <x:f>SUBTOTAL(103,O273)</x:f>
        <x:v>1</x:v>
      </x:c>
      <x:c r="R273" s="2" t="n">
        <x:f>IF(AND(M273=1,OR(Dashboard!$B$7="All",Dashboard!$B$7='Cycles &amp; Guide'!$C$5),OR(Dashboard!$D$7="All",Dashboard!$D$7=B273),OR(Dashboard!$F$7="All",Dashboard!$F$7=C273),OR(Dashboard!$H$7="All",Dashboard!$H$7=D273),OR(Dashboard!$K$7="All",Dashboard!$K$7=E273)),1,0)</x:f>
        <x:v>0</x:v>
      </x:c>
      <x:c r="S273" s="2" t="n">
        <x:f>IF(R273=1,SUM($R$10:R273),0)</x:f>
        <x:v>0</x:v>
      </x:c>
      <x:c r="T273" s="2" t="str">
        <x:v>Data &amp; Reporting</x:v>
      </x:c>
      <x:c r="U273" s="2" t="n">
        <x:v>273</x:v>
      </x:c>
      <x:c r="V273" s="2" t="n">
        <x:f>IF(AND(M273=1,P273=0,ISNUMBER(J273),J273&lt;TODAY()),1,0)</x:f>
        <x:v>0</x:v>
      </x:c>
      <x:c r="W273" s="2" t="str">
        <x:f>'Data &amp; Reporting'!M273</x:f>
        <x:v>Checklist</x:v>
      </x:c>
    </x:row>
    <x:row r="274" ht="40" customHeight="1">
      <x:c r="A274" s="3" t="str">
        <x:f>HYPERLINK("#'Data &amp; Reporting'!A274","Open")</x:f>
        <x:v>Open</x:v>
      </x:c>
      <x:c r="B274" s="2" t="str">
        <x:f>'Data &amp; Reporting'!B274</x:f>
        <x:v>Cycle 2</x:v>
      </x:c>
      <x:c r="C274" s="2" t="str">
        <x:f>'Data &amp; Reporting'!C274</x:f>
        <x:v>Phase 1</x:v>
      </x:c>
      <x:c r="D274" s="2" t="str">
        <x:f>'Data &amp; Reporting'!D274</x:f>
        <x:v>CSBBO - Customer Service</x:v>
      </x:c>
      <x:c r="E274" s="2" t="str">
        <x:v>Data &amp; Reporting</x:v>
      </x:c>
      <x:c r="F274" s="56" t="str">
        <x:f>'Data &amp; Reporting'!E274</x:f>
        <x:v>DR.CS.1.3.C02</x:v>
      </x:c>
      <x:c r="G274" s="14" t="str">
        <x:f>'Data &amp; Reporting'!F274</x:f>
        <x:v>    Document date of data pull</x:v>
      </x:c>
      <x:c r="H274" s="2" t="str">
        <x:f>IF('Data &amp; Reporting'!G274="","",'Data &amp; Reporting'!G274)</x:f>
      </x:c>
      <x:c r="I274" s="12" t="str">
        <x:f>IF('Data &amp; Reporting'!H274="","",'Data &amp; Reporting'!H274)</x:f>
      </x:c>
      <x:c r="J274" s="12" t="str">
        <x:f>IF('Data &amp; Reporting'!I274="","",'Data &amp; Reporting'!I274)</x:f>
      </x:c>
      <x:c r="K274" s="12" t="str">
        <x:f>IF('Data &amp; Reporting'!J274="","",'Data &amp; Reporting'!J274)</x:f>
      </x:c>
      <x:c r="L274" s="2" t="str">
        <x:f>IF('Data &amp; Reporting'!K274="","",'Data &amp; Reporting'!K274)</x:f>
      </x:c>
      <x:c r="M274" s="2" t="n">
        <x:f>'Data &amp; Reporting'!Q274</x:f>
        <x:v>0</x:v>
      </x:c>
      <x:c r="N274" s="2" t="str">
        <x:f>'Data &amp; Reporting'!L274</x:f>
        <x:v>Open check</x:v>
      </x:c>
      <x:c r="O274" s="2" t="str">
        <x:f>'Data &amp; Reporting'!N274</x:f>
        <x:v>DR.CS.1.3.C02.2026.CY2</x:v>
      </x:c>
      <x:c r="P274" s="2" t="n">
        <x:f>'Data &amp; Reporting'!O274</x:f>
        <x:v>0</x:v>
      </x:c>
      <x:c r="Q274" s="2" t="n">
        <x:f>SUBTOTAL(103,O274)</x:f>
        <x:v>1</x:v>
      </x:c>
      <x:c r="R274" s="2" t="n">
        <x:f>IF(AND(M274=1,OR(Dashboard!$B$7="All",Dashboard!$B$7='Cycles &amp; Guide'!$C$5),OR(Dashboard!$D$7="All",Dashboard!$D$7=B274),OR(Dashboard!$F$7="All",Dashboard!$F$7=C274),OR(Dashboard!$H$7="All",Dashboard!$H$7=D274),OR(Dashboard!$K$7="All",Dashboard!$K$7=E274)),1,0)</x:f>
        <x:v>0</x:v>
      </x:c>
      <x:c r="S274" s="2" t="n">
        <x:f>IF(R274=1,SUM($R$10:R274),0)</x:f>
        <x:v>0</x:v>
      </x:c>
      <x:c r="T274" s="2" t="str">
        <x:v>Data &amp; Reporting</x:v>
      </x:c>
      <x:c r="U274" s="2" t="n">
        <x:v>274</x:v>
      </x:c>
      <x:c r="V274" s="2" t="n">
        <x:f>IF(AND(M274=1,P274=0,ISNUMBER(J274),J274&lt;TODAY()),1,0)</x:f>
        <x:v>0</x:v>
      </x:c>
      <x:c r="W274" s="2" t="str">
        <x:f>'Data &amp; Reporting'!M274</x:f>
        <x:v>Checklist</x:v>
      </x:c>
    </x:row>
    <x:row r="275" ht="40" customHeight="1">
      <x:c r="A275" s="3" t="str">
        <x:f>HYPERLINK("#'Data &amp; Reporting'!A275","Open")</x:f>
        <x:v>Open</x:v>
      </x:c>
      <x:c r="B275" s="2" t="str">
        <x:f>'Data &amp; Reporting'!B275</x:f>
        <x:v>Cycle 2</x:v>
      </x:c>
      <x:c r="C275" s="2" t="str">
        <x:f>'Data &amp; Reporting'!C275</x:f>
        <x:v>Phase 1</x:v>
      </x:c>
      <x:c r="D275" s="2" t="str">
        <x:f>'Data &amp; Reporting'!D275</x:f>
        <x:v>CSBBO - Customer Service</x:v>
      </x:c>
      <x:c r="E275" s="2" t="str">
        <x:v>Data &amp; Reporting</x:v>
      </x:c>
      <x:c r="F275" s="56" t="str">
        <x:f>'Data &amp; Reporting'!E275</x:f>
        <x:v>DR.CS.1.3.C03</x:v>
      </x:c>
      <x:c r="G275" s="14" t="str">
        <x:f>'Data &amp; Reporting'!F275</x:f>
        <x:v>    Document population details</x:v>
      </x:c>
      <x:c r="H275" s="2" t="str">
        <x:f>IF('Data &amp; Reporting'!G275="","",'Data &amp; Reporting'!G275)</x:f>
      </x:c>
      <x:c r="I275" s="12" t="str">
        <x:f>IF('Data &amp; Reporting'!H275="","",'Data &amp; Reporting'!H275)</x:f>
      </x:c>
      <x:c r="J275" s="12" t="str">
        <x:f>IF('Data &amp; Reporting'!I275="","",'Data &amp; Reporting'!I275)</x:f>
      </x:c>
      <x:c r="K275" s="12" t="str">
        <x:f>IF('Data &amp; Reporting'!J275="","",'Data &amp; Reporting'!J275)</x:f>
      </x:c>
      <x:c r="L275" s="2" t="str">
        <x:f>IF('Data &amp; Reporting'!K275="","",'Data &amp; Reporting'!K275)</x:f>
      </x:c>
      <x:c r="M275" s="2" t="n">
        <x:f>'Data &amp; Reporting'!Q275</x:f>
        <x:v>0</x:v>
      </x:c>
      <x:c r="N275" s="2" t="str">
        <x:f>'Data &amp; Reporting'!L275</x:f>
        <x:v>Open check</x:v>
      </x:c>
      <x:c r="O275" s="2" t="str">
        <x:f>'Data &amp; Reporting'!N275</x:f>
        <x:v>DR.CS.1.3.C03.2026.CY2</x:v>
      </x:c>
      <x:c r="P275" s="2" t="n">
        <x:f>'Data &amp; Reporting'!O275</x:f>
        <x:v>0</x:v>
      </x:c>
      <x:c r="Q275" s="2" t="n">
        <x:f>SUBTOTAL(103,O275)</x:f>
        <x:v>1</x:v>
      </x:c>
      <x:c r="R275" s="2" t="n">
        <x:f>IF(AND(M275=1,OR(Dashboard!$B$7="All",Dashboard!$B$7='Cycles &amp; Guide'!$C$5),OR(Dashboard!$D$7="All",Dashboard!$D$7=B275),OR(Dashboard!$F$7="All",Dashboard!$F$7=C275),OR(Dashboard!$H$7="All",Dashboard!$H$7=D275),OR(Dashboard!$K$7="All",Dashboard!$K$7=E275)),1,0)</x:f>
        <x:v>0</x:v>
      </x:c>
      <x:c r="S275" s="2" t="n">
        <x:f>IF(R275=1,SUM($R$10:R275),0)</x:f>
        <x:v>0</x:v>
      </x:c>
      <x:c r="T275" s="2" t="str">
        <x:v>Data &amp; Reporting</x:v>
      </x:c>
      <x:c r="U275" s="2" t="n">
        <x:v>275</x:v>
      </x:c>
      <x:c r="V275" s="2" t="n">
        <x:f>IF(AND(M275=1,P275=0,ISNUMBER(J275),J275&lt;TODAY()),1,0)</x:f>
        <x:v>0</x:v>
      </x:c>
      <x:c r="W275" s="2" t="str">
        <x:f>'Data &amp; Reporting'!M275</x:f>
        <x:v>Checklist</x:v>
      </x:c>
    </x:row>
    <x:row r="276" ht="40" customHeight="1">
      <x:c r="A276" s="3" t="str">
        <x:f>HYPERLINK("#'Data &amp; Reporting'!A276","Open")</x:f>
        <x:v>Open</x:v>
      </x:c>
      <x:c r="B276" s="2" t="str">
        <x:f>'Data &amp; Reporting'!B276</x:f>
        <x:v>Cycle 2</x:v>
      </x:c>
      <x:c r="C276" s="2" t="str">
        <x:f>'Data &amp; Reporting'!C276</x:f>
        <x:v>Phase 1</x:v>
      </x:c>
      <x:c r="D276" s="2" t="str">
        <x:f>'Data &amp; Reporting'!D276</x:f>
        <x:v>CSBBO - Customer Service</x:v>
      </x:c>
      <x:c r="E276" s="2" t="str">
        <x:v>Data &amp; Reporting</x:v>
      </x:c>
      <x:c r="F276" s="56" t="str">
        <x:f>'Data &amp; Reporting'!E276</x:f>
        <x:v>DR.CS.1.3.C04</x:v>
      </x:c>
      <x:c r="G276" s="14" t="str">
        <x:f>'Data &amp; Reporting'!F276</x:f>
        <x:v>    Validate no data is missing</x:v>
      </x:c>
      <x:c r="H276" s="2" t="str">
        <x:f>IF('Data &amp; Reporting'!G276="","",'Data &amp; Reporting'!G276)</x:f>
      </x:c>
      <x:c r="I276" s="12" t="str">
        <x:f>IF('Data &amp; Reporting'!H276="","",'Data &amp; Reporting'!H276)</x:f>
      </x:c>
      <x:c r="J276" s="12" t="str">
        <x:f>IF('Data &amp; Reporting'!I276="","",'Data &amp; Reporting'!I276)</x:f>
      </x:c>
      <x:c r="K276" s="12" t="str">
        <x:f>IF('Data &amp; Reporting'!J276="","",'Data &amp; Reporting'!J276)</x:f>
      </x:c>
      <x:c r="L276" s="2" t="str">
        <x:f>IF('Data &amp; Reporting'!K276="","",'Data &amp; Reporting'!K276)</x:f>
      </x:c>
      <x:c r="M276" s="2" t="n">
        <x:f>'Data &amp; Reporting'!Q276</x:f>
        <x:v>0</x:v>
      </x:c>
      <x:c r="N276" s="2" t="str">
        <x:f>'Data &amp; Reporting'!L276</x:f>
        <x:v>Open check</x:v>
      </x:c>
      <x:c r="O276" s="2" t="str">
        <x:f>'Data &amp; Reporting'!N276</x:f>
        <x:v>DR.CS.1.3.C04.2026.CY2</x:v>
      </x:c>
      <x:c r="P276" s="2" t="n">
        <x:f>'Data &amp; Reporting'!O276</x:f>
        <x:v>0</x:v>
      </x:c>
      <x:c r="Q276" s="2" t="n">
        <x:f>SUBTOTAL(103,O276)</x:f>
        <x:v>1</x:v>
      </x:c>
      <x:c r="R276" s="2" t="n">
        <x:f>IF(AND(M276=1,OR(Dashboard!$B$7="All",Dashboard!$B$7='Cycles &amp; Guide'!$C$5),OR(Dashboard!$D$7="All",Dashboard!$D$7=B276),OR(Dashboard!$F$7="All",Dashboard!$F$7=C276),OR(Dashboard!$H$7="All",Dashboard!$H$7=D276),OR(Dashboard!$K$7="All",Dashboard!$K$7=E276)),1,0)</x:f>
        <x:v>0</x:v>
      </x:c>
      <x:c r="S276" s="2" t="n">
        <x:f>IF(R276=1,SUM($R$10:R276),0)</x:f>
        <x:v>0</x:v>
      </x:c>
      <x:c r="T276" s="2" t="str">
        <x:v>Data &amp; Reporting</x:v>
      </x:c>
      <x:c r="U276" s="2" t="n">
        <x:v>276</x:v>
      </x:c>
      <x:c r="V276" s="2" t="n">
        <x:f>IF(AND(M276=1,P276=0,ISNUMBER(J276),J276&lt;TODAY()),1,0)</x:f>
        <x:v>0</x:v>
      </x:c>
      <x:c r="W276" s="2" t="str">
        <x:f>'Data &amp; Reporting'!M276</x:f>
        <x:v>Checklist</x:v>
      </x:c>
    </x:row>
    <x:row r="277" ht="40" customHeight="1">
      <x:c r="A277" s="3" t="str">
        <x:f>HYPERLINK("#'Data &amp; Reporting'!A277","Open")</x:f>
        <x:v>Open</x:v>
      </x:c>
      <x:c r="B277" s="2" t="str">
        <x:f>'Data &amp; Reporting'!B277</x:f>
        <x:v>Cycle 2</x:v>
      </x:c>
      <x:c r="C277" s="2" t="str">
        <x:f>'Data &amp; Reporting'!C277</x:f>
        <x:v>Phase 1</x:v>
      </x:c>
      <x:c r="D277" s="2" t="str">
        <x:f>'Data &amp; Reporting'!D277</x:f>
        <x:v>CSBBO - Customer Service</x:v>
      </x:c>
      <x:c r="E277" s="2" t="str">
        <x:v>Data &amp; Reporting</x:v>
      </x:c>
      <x:c r="F277" s="56" t="str">
        <x:f>'Data &amp; Reporting'!E277</x:f>
        <x:v>DR.CS.1.3.C05</x:v>
      </x:c>
      <x:c r="G277" s="14" t="str">
        <x:f>'Data &amp; Reporting'!F277</x:f>
        <x:v>    Validate accuracy of data</x:v>
      </x:c>
      <x:c r="H277" s="2" t="str">
        <x:f>IF('Data &amp; Reporting'!G277="","",'Data &amp; Reporting'!G277)</x:f>
      </x:c>
      <x:c r="I277" s="12" t="str">
        <x:f>IF('Data &amp; Reporting'!H277="","",'Data &amp; Reporting'!H277)</x:f>
      </x:c>
      <x:c r="J277" s="12" t="str">
        <x:f>IF('Data &amp; Reporting'!I277="","",'Data &amp; Reporting'!I277)</x:f>
      </x:c>
      <x:c r="K277" s="12" t="str">
        <x:f>IF('Data &amp; Reporting'!J277="","",'Data &amp; Reporting'!J277)</x:f>
      </x:c>
      <x:c r="L277" s="2" t="str">
        <x:f>IF('Data &amp; Reporting'!K277="","",'Data &amp; Reporting'!K277)</x:f>
      </x:c>
      <x:c r="M277" s="2" t="n">
        <x:f>'Data &amp; Reporting'!Q277</x:f>
        <x:v>0</x:v>
      </x:c>
      <x:c r="N277" s="2" t="str">
        <x:f>'Data &amp; Reporting'!L277</x:f>
        <x:v>Open check</x:v>
      </x:c>
      <x:c r="O277" s="2" t="str">
        <x:f>'Data &amp; Reporting'!N277</x:f>
        <x:v>DR.CS.1.3.C05.2026.CY2</x:v>
      </x:c>
      <x:c r="P277" s="2" t="n">
        <x:f>'Data &amp; Reporting'!O277</x:f>
        <x:v>0</x:v>
      </x:c>
      <x:c r="Q277" s="2" t="n">
        <x:f>SUBTOTAL(103,O277)</x:f>
        <x:v>1</x:v>
      </x:c>
      <x:c r="R277" s="2" t="n">
        <x:f>IF(AND(M277=1,OR(Dashboard!$B$7="All",Dashboard!$B$7='Cycles &amp; Guide'!$C$5),OR(Dashboard!$D$7="All",Dashboard!$D$7=B277),OR(Dashboard!$F$7="All",Dashboard!$F$7=C277),OR(Dashboard!$H$7="All",Dashboard!$H$7=D277),OR(Dashboard!$K$7="All",Dashboard!$K$7=E277)),1,0)</x:f>
        <x:v>0</x:v>
      </x:c>
      <x:c r="S277" s="2" t="n">
        <x:f>IF(R277=1,SUM($R$10:R277),0)</x:f>
        <x:v>0</x:v>
      </x:c>
      <x:c r="T277" s="2" t="str">
        <x:v>Data &amp; Reporting</x:v>
      </x:c>
      <x:c r="U277" s="2" t="n">
        <x:v>277</x:v>
      </x:c>
      <x:c r="V277" s="2" t="n">
        <x:f>IF(AND(M277=1,P277=0,ISNUMBER(J277),J277&lt;TODAY()),1,0)</x:f>
        <x:v>0</x:v>
      </x:c>
      <x:c r="W277" s="2" t="str">
        <x:f>'Data &amp; Reporting'!M277</x:f>
        <x:v>Checklist</x:v>
      </x:c>
    </x:row>
    <x:row r="278" ht="40" customHeight="1">
      <x:c r="A278" s="3" t="str">
        <x:f>HYPERLINK("#'Data &amp; Reporting'!A278","Open")</x:f>
        <x:v>Open</x:v>
      </x:c>
      <x:c r="B278" s="2" t="str">
        <x:f>'Data &amp; Reporting'!B278</x:f>
        <x:v>Cycle 2</x:v>
      </x:c>
      <x:c r="C278" s="2" t="str">
        <x:f>'Data &amp; Reporting'!C278</x:f>
        <x:v>Phase 1</x:v>
      </x:c>
      <x:c r="D278" s="2" t="str">
        <x:f>'Data &amp; Reporting'!D278</x:f>
        <x:v>CSBBO - Customer Service</x:v>
      </x:c>
      <x:c r="E278" s="2" t="str">
        <x:v>Data &amp; Reporting</x:v>
      </x:c>
      <x:c r="F278" s="56" t="str">
        <x:f>'Data &amp; Reporting'!E278</x:f>
        <x:v>DR.CS.1.3.C06</x:v>
      </x:c>
      <x:c r="G278" s="14" t="str">
        <x:f>'Data &amp; Reporting'!F278</x:f>
        <x:v>    Validate no duplicate data is provided</x:v>
      </x:c>
      <x:c r="H278" s="2" t="str">
        <x:f>IF('Data &amp; Reporting'!G278="","",'Data &amp; Reporting'!G278)</x:f>
      </x:c>
      <x:c r="I278" s="12" t="str">
        <x:f>IF('Data &amp; Reporting'!H278="","",'Data &amp; Reporting'!H278)</x:f>
      </x:c>
      <x:c r="J278" s="12" t="str">
        <x:f>IF('Data &amp; Reporting'!I278="","",'Data &amp; Reporting'!I278)</x:f>
      </x:c>
      <x:c r="K278" s="12" t="str">
        <x:f>IF('Data &amp; Reporting'!J278="","",'Data &amp; Reporting'!J278)</x:f>
      </x:c>
      <x:c r="L278" s="2" t="str">
        <x:f>IF('Data &amp; Reporting'!K278="","",'Data &amp; Reporting'!K278)</x:f>
      </x:c>
      <x:c r="M278" s="2" t="n">
        <x:f>'Data &amp; Reporting'!Q278</x:f>
        <x:v>0</x:v>
      </x:c>
      <x:c r="N278" s="2" t="str">
        <x:f>'Data &amp; Reporting'!L278</x:f>
        <x:v>Open check</x:v>
      </x:c>
      <x:c r="O278" s="2" t="str">
        <x:f>'Data &amp; Reporting'!N278</x:f>
        <x:v>DR.CS.1.3.C06.2026.CY2</x:v>
      </x:c>
      <x:c r="P278" s="2" t="n">
        <x:f>'Data &amp; Reporting'!O278</x:f>
        <x:v>0</x:v>
      </x:c>
      <x:c r="Q278" s="2" t="n">
        <x:f>SUBTOTAL(103,O278)</x:f>
        <x:v>1</x:v>
      </x:c>
      <x:c r="R278" s="2" t="n">
        <x:f>IF(AND(M278=1,OR(Dashboard!$B$7="All",Dashboard!$B$7='Cycles &amp; Guide'!$C$5),OR(Dashboard!$D$7="All",Dashboard!$D$7=B278),OR(Dashboard!$F$7="All",Dashboard!$F$7=C278),OR(Dashboard!$H$7="All",Dashboard!$H$7=D278),OR(Dashboard!$K$7="All",Dashboard!$K$7=E278)),1,0)</x:f>
        <x:v>0</x:v>
      </x:c>
      <x:c r="S278" s="2" t="n">
        <x:f>IF(R278=1,SUM($R$10:R278),0)</x:f>
        <x:v>0</x:v>
      </x:c>
      <x:c r="T278" s="2" t="str">
        <x:v>Data &amp; Reporting</x:v>
      </x:c>
      <x:c r="U278" s="2" t="n">
        <x:v>278</x:v>
      </x:c>
      <x:c r="V278" s="2" t="n">
        <x:f>IF(AND(M278=1,P278=0,ISNUMBER(J278),J278&lt;TODAY()),1,0)</x:f>
        <x:v>0</x:v>
      </x:c>
      <x:c r="W278" s="2" t="str">
        <x:f>'Data &amp; Reporting'!M278</x:f>
        <x:v>Checklist</x:v>
      </x:c>
    </x:row>
    <x:row r="279" ht="40" customHeight="1">
      <x:c r="A279" s="3" t="str">
        <x:f>HYPERLINK("#'Data &amp; Reporting'!A279","Open")</x:f>
        <x:v>Open</x:v>
      </x:c>
      <x:c r="B279" s="2" t="str">
        <x:f>'Data &amp; Reporting'!B279</x:f>
        <x:v>Cycle 2</x:v>
      </x:c>
      <x:c r="C279" s="2" t="str">
        <x:f>'Data &amp; Reporting'!C279</x:f>
        <x:v>Phase 1</x:v>
      </x:c>
      <x:c r="D279" s="2" t="str">
        <x:f>'Data &amp; Reporting'!D279</x:f>
        <x:v>CSBBO - Customer Service</x:v>
      </x:c>
      <x:c r="E279" s="2" t="str">
        <x:v>Data &amp; Reporting</x:v>
      </x:c>
      <x:c r="F279" s="56" t="str">
        <x:f>'Data &amp; Reporting'!E279</x:f>
        <x:v>DR.CS.1.3.C07</x:v>
      </x:c>
      <x:c r="G279" s="14" t="str">
        <x:f>'Data &amp; Reporting'!F279</x:f>
        <x:v>    Document any data exclusions along with justification (as needed)</x:v>
      </x:c>
      <x:c r="H279" s="2" t="str">
        <x:f>IF('Data &amp; Reporting'!G279="","",'Data &amp; Reporting'!G279)</x:f>
      </x:c>
      <x:c r="I279" s="12" t="str">
        <x:f>IF('Data &amp; Reporting'!H279="","",'Data &amp; Reporting'!H279)</x:f>
      </x:c>
      <x:c r="J279" s="12" t="str">
        <x:f>IF('Data &amp; Reporting'!I279="","",'Data &amp; Reporting'!I279)</x:f>
      </x:c>
      <x:c r="K279" s="12" t="str">
        <x:f>IF('Data &amp; Reporting'!J279="","",'Data &amp; Reporting'!J279)</x:f>
      </x:c>
      <x:c r="L279" s="2" t="str">
        <x:f>IF('Data &amp; Reporting'!K279="","",'Data &amp; Reporting'!K279)</x:f>
      </x:c>
      <x:c r="M279" s="2" t="n">
        <x:f>'Data &amp; Reporting'!Q279</x:f>
        <x:v>0</x:v>
      </x:c>
      <x:c r="N279" s="2" t="str">
        <x:f>'Data &amp; Reporting'!L279</x:f>
        <x:v>Open check</x:v>
      </x:c>
      <x:c r="O279" s="2" t="str">
        <x:f>'Data &amp; Reporting'!N279</x:f>
        <x:v>DR.CS.1.3.C07.2026.CY2</x:v>
      </x:c>
      <x:c r="P279" s="2" t="n">
        <x:f>'Data &amp; Reporting'!O279</x:f>
        <x:v>0</x:v>
      </x:c>
      <x:c r="Q279" s="2" t="n">
        <x:f>SUBTOTAL(103,O279)</x:f>
        <x:v>1</x:v>
      </x:c>
      <x:c r="R279" s="2" t="n">
        <x:f>IF(AND(M279=1,OR(Dashboard!$B$7="All",Dashboard!$B$7='Cycles &amp; Guide'!$C$5),OR(Dashboard!$D$7="All",Dashboard!$D$7=B279),OR(Dashboard!$F$7="All",Dashboard!$F$7=C279),OR(Dashboard!$H$7="All",Dashboard!$H$7=D279),OR(Dashboard!$K$7="All",Dashboard!$K$7=E279)),1,0)</x:f>
        <x:v>0</x:v>
      </x:c>
      <x:c r="S279" s="2" t="n">
        <x:f>IF(R279=1,SUM($R$10:R279),0)</x:f>
        <x:v>0</x:v>
      </x:c>
      <x:c r="T279" s="2" t="str">
        <x:v>Data &amp; Reporting</x:v>
      </x:c>
      <x:c r="U279" s="2" t="n">
        <x:v>279</x:v>
      </x:c>
      <x:c r="V279" s="2" t="n">
        <x:f>IF(AND(M279=1,P279=0,ISNUMBER(J279),J279&lt;TODAY()),1,0)</x:f>
        <x:v>0</x:v>
      </x:c>
      <x:c r="W279" s="2" t="str">
        <x:f>'Data &amp; Reporting'!M279</x:f>
        <x:v>Checklist</x:v>
      </x:c>
    </x:row>
    <x:row r="280" ht="40" customHeight="1">
      <x:c r="A280" s="3" t="str">
        <x:f>HYPERLINK("#'Data &amp; Reporting'!A280","Open")</x:f>
        <x:v>Open</x:v>
      </x:c>
      <x:c r="B280" s="2" t="str">
        <x:f>'Data &amp; Reporting'!B280</x:f>
        <x:v>Cycle 2</x:v>
      </x:c>
      <x:c r="C280" s="2" t="str">
        <x:f>'Data &amp; Reporting'!C280</x:f>
        <x:v>Phase 1</x:v>
      </x:c>
      <x:c r="D280" s="2" t="str">
        <x:f>'Data &amp; Reporting'!D280</x:f>
        <x:v>CSBBO - Customer Service</x:v>
      </x:c>
      <x:c r="E280" s="2" t="str">
        <x:v>Data &amp; Reporting</x:v>
      </x:c>
      <x:c r="F280" s="56" t="str">
        <x:f>'Data &amp; Reporting'!E280</x:f>
        <x:v>DR.CS.1.3.C08</x:v>
      </x:c>
      <x:c r="G280" s="14" t="str">
        <x:f>'Data &amp; Reporting'!F280</x:f>
        <x:v>    Document any assumptions made with the data (as needed)</x:v>
      </x:c>
      <x:c r="H280" s="2" t="str">
        <x:f>IF('Data &amp; Reporting'!G280="","",'Data &amp; Reporting'!G280)</x:f>
      </x:c>
      <x:c r="I280" s="12" t="str">
        <x:f>IF('Data &amp; Reporting'!H280="","",'Data &amp; Reporting'!H280)</x:f>
      </x:c>
      <x:c r="J280" s="12" t="str">
        <x:f>IF('Data &amp; Reporting'!I280="","",'Data &amp; Reporting'!I280)</x:f>
      </x:c>
      <x:c r="K280" s="12" t="str">
        <x:f>IF('Data &amp; Reporting'!J280="","",'Data &amp; Reporting'!J280)</x:f>
      </x:c>
      <x:c r="L280" s="2" t="str">
        <x:f>IF('Data &amp; Reporting'!K280="","",'Data &amp; Reporting'!K280)</x:f>
      </x:c>
      <x:c r="M280" s="2" t="n">
        <x:f>'Data &amp; Reporting'!Q280</x:f>
        <x:v>0</x:v>
      </x:c>
      <x:c r="N280" s="2" t="str">
        <x:f>'Data &amp; Reporting'!L280</x:f>
        <x:v>Open check</x:v>
      </x:c>
      <x:c r="O280" s="2" t="str">
        <x:f>'Data &amp; Reporting'!N280</x:f>
        <x:v>DR.CS.1.3.C08.2026.CY2</x:v>
      </x:c>
      <x:c r="P280" s="2" t="n">
        <x:f>'Data &amp; Reporting'!O280</x:f>
        <x:v>0</x:v>
      </x:c>
      <x:c r="Q280" s="2" t="n">
        <x:f>SUBTOTAL(103,O280)</x:f>
        <x:v>1</x:v>
      </x:c>
      <x:c r="R280" s="2" t="n">
        <x:f>IF(AND(M280=1,OR(Dashboard!$B$7="All",Dashboard!$B$7='Cycles &amp; Guide'!$C$5),OR(Dashboard!$D$7="All",Dashboard!$D$7=B280),OR(Dashboard!$F$7="All",Dashboard!$F$7=C280),OR(Dashboard!$H$7="All",Dashboard!$H$7=D280),OR(Dashboard!$K$7="All",Dashboard!$K$7=E280)),1,0)</x:f>
        <x:v>0</x:v>
      </x:c>
      <x:c r="S280" s="2" t="n">
        <x:f>IF(R280=1,SUM($R$10:R280),0)</x:f>
        <x:v>0</x:v>
      </x:c>
      <x:c r="T280" s="2" t="str">
        <x:v>Data &amp; Reporting</x:v>
      </x:c>
      <x:c r="U280" s="2" t="n">
        <x:v>280</x:v>
      </x:c>
      <x:c r="V280" s="2" t="n">
        <x:f>IF(AND(M280=1,P280=0,ISNUMBER(J280),J280&lt;TODAY()),1,0)</x:f>
        <x:v>0</x:v>
      </x:c>
      <x:c r="W280" s="2" t="str">
        <x:f>'Data &amp; Reporting'!M280</x:f>
        <x:v>Checklist</x:v>
      </x:c>
    </x:row>
    <x:row r="281" ht="40" customHeight="1">
      <x:c r="A281" s="3" t="str">
        <x:f>HYPERLINK("#'Data &amp; Reporting'!A281","Open")</x:f>
        <x:v>Open</x:v>
      </x:c>
      <x:c r="B281" s="2" t="str">
        <x:f>'Data &amp; Reporting'!B281</x:f>
        <x:v>Cycle 2</x:v>
      </x:c>
      <x:c r="C281" s="2" t="str">
        <x:f>'Data &amp; Reporting'!C281</x:f>
        <x:v>Phase 1</x:v>
      </x:c>
      <x:c r="D281" s="2" t="str">
        <x:f>'Data &amp; Reporting'!D281</x:f>
        <x:v>CSBBO - Customer Service</x:v>
      </x:c>
      <x:c r="E281" s="2" t="str">
        <x:v>Data &amp; Reporting</x:v>
      </x:c>
      <x:c r="F281" s="56" t="str">
        <x:f>'Data &amp; Reporting'!E281</x:f>
        <x:v>DR.CS.1.3.C09</x:v>
      </x:c>
      <x:c r="G281" s="14" t="str">
        <x:f>'Data &amp; Reporting'!F281</x:f>
        <x:v>    Document any data limitations or constraints clearly (as needed)</x:v>
      </x:c>
      <x:c r="H281" s="2" t="str">
        <x:f>IF('Data &amp; Reporting'!G281="","",'Data &amp; Reporting'!G281)</x:f>
      </x:c>
      <x:c r="I281" s="12" t="str">
        <x:f>IF('Data &amp; Reporting'!H281="","",'Data &amp; Reporting'!H281)</x:f>
      </x:c>
      <x:c r="J281" s="12" t="str">
        <x:f>IF('Data &amp; Reporting'!I281="","",'Data &amp; Reporting'!I281)</x:f>
      </x:c>
      <x:c r="K281" s="12" t="str">
        <x:f>IF('Data &amp; Reporting'!J281="","",'Data &amp; Reporting'!J281)</x:f>
      </x:c>
      <x:c r="L281" s="2" t="str">
        <x:f>IF('Data &amp; Reporting'!K281="","",'Data &amp; Reporting'!K281)</x:f>
      </x:c>
      <x:c r="M281" s="2" t="n">
        <x:f>'Data &amp; Reporting'!Q281</x:f>
        <x:v>0</x:v>
      </x:c>
      <x:c r="N281" s="2" t="str">
        <x:f>'Data &amp; Reporting'!L281</x:f>
        <x:v>Open check</x:v>
      </x:c>
      <x:c r="O281" s="2" t="str">
        <x:f>'Data &amp; Reporting'!N281</x:f>
        <x:v>DR.CS.1.3.C09.2026.CY2</x:v>
      </x:c>
      <x:c r="P281" s="2" t="n">
        <x:f>'Data &amp; Reporting'!O281</x:f>
        <x:v>0</x:v>
      </x:c>
      <x:c r="Q281" s="2" t="n">
        <x:f>SUBTOTAL(103,O281)</x:f>
        <x:v>1</x:v>
      </x:c>
      <x:c r="R281" s="2" t="n">
        <x:f>IF(AND(M281=1,OR(Dashboard!$B$7="All",Dashboard!$B$7='Cycles &amp; Guide'!$C$5),OR(Dashboard!$D$7="All",Dashboard!$D$7=B281),OR(Dashboard!$F$7="All",Dashboard!$F$7=C281),OR(Dashboard!$H$7="All",Dashboard!$H$7=D281),OR(Dashboard!$K$7="All",Dashboard!$K$7=E281)),1,0)</x:f>
        <x:v>0</x:v>
      </x:c>
      <x:c r="S281" s="2" t="n">
        <x:f>IF(R281=1,SUM($R$10:R281),0)</x:f>
        <x:v>0</x:v>
      </x:c>
      <x:c r="T281" s="2" t="str">
        <x:v>Data &amp; Reporting</x:v>
      </x:c>
      <x:c r="U281" s="2" t="n">
        <x:v>281</x:v>
      </x:c>
      <x:c r="V281" s="2" t="n">
        <x:f>IF(AND(M281=1,P281=0,ISNUMBER(J281),J281&lt;TODAY()),1,0)</x:f>
        <x:v>0</x:v>
      </x:c>
      <x:c r="W281" s="2" t="str">
        <x:f>'Data &amp; Reporting'!M281</x:f>
        <x:v>Checklist</x:v>
      </x:c>
    </x:row>
    <x:row r="282" ht="40" customHeight="1">
      <x:c r="A282" s="3" t="str">
        <x:f>HYPERLINK("#'Data &amp; Reporting'!A282","Open")</x:f>
        <x:v>Open</x:v>
      </x:c>
      <x:c r="B282" s="2" t="str">
        <x:f>'Data &amp; Reporting'!B282</x:f>
        <x:v>Cycle 2</x:v>
      </x:c>
      <x:c r="C282" s="2" t="str">
        <x:f>'Data &amp; Reporting'!C282</x:f>
        <x:v>Phase 1</x:v>
      </x:c>
      <x:c r="D282" s="2" t="str">
        <x:f>'Data &amp; Reporting'!D282</x:f>
        <x:v>CSBBO - Customer Service</x:v>
      </x:c>
      <x:c r="E282" s="2" t="str">
        <x:v>Data &amp; Reporting</x:v>
      </x:c>
      <x:c r="F282" s="56" t="str">
        <x:f>'Data &amp; Reporting'!E282</x:f>
        <x:v>DR.CS.1.3.C10</x:v>
      </x:c>
      <x:c r="G282" s="14" t="str">
        <x:f>'Data &amp; Reporting'!F282</x:f>
        <x:v>    Document data dictionary or field definitions for columns/rows</x:v>
      </x:c>
      <x:c r="H282" s="2" t="str">
        <x:f>IF('Data &amp; Reporting'!G282="","",'Data &amp; Reporting'!G282)</x:f>
      </x:c>
      <x:c r="I282" s="12" t="str">
        <x:f>IF('Data &amp; Reporting'!H282="","",'Data &amp; Reporting'!H282)</x:f>
      </x:c>
      <x:c r="J282" s="12" t="str">
        <x:f>IF('Data &amp; Reporting'!I282="","",'Data &amp; Reporting'!I282)</x:f>
      </x:c>
      <x:c r="K282" s="12" t="str">
        <x:f>IF('Data &amp; Reporting'!J282="","",'Data &amp; Reporting'!J282)</x:f>
      </x:c>
      <x:c r="L282" s="2" t="str">
        <x:f>IF('Data &amp; Reporting'!K282="","",'Data &amp; Reporting'!K282)</x:f>
      </x:c>
      <x:c r="M282" s="2" t="n">
        <x:f>'Data &amp; Reporting'!Q282</x:f>
        <x:v>0</x:v>
      </x:c>
      <x:c r="N282" s="2" t="str">
        <x:f>'Data &amp; Reporting'!L282</x:f>
        <x:v>Open check</x:v>
      </x:c>
      <x:c r="O282" s="2" t="str">
        <x:f>'Data &amp; Reporting'!N282</x:f>
        <x:v>DR.CS.1.3.C10.2026.CY2</x:v>
      </x:c>
      <x:c r="P282" s="2" t="n">
        <x:f>'Data &amp; Reporting'!O282</x:f>
        <x:v>0</x:v>
      </x:c>
      <x:c r="Q282" s="2" t="n">
        <x:f>SUBTOTAL(103,O282)</x:f>
        <x:v>1</x:v>
      </x:c>
      <x:c r="R282" s="2" t="n">
        <x:f>IF(AND(M282=1,OR(Dashboard!$B$7="All",Dashboard!$B$7='Cycles &amp; Guide'!$C$5),OR(Dashboard!$D$7="All",Dashboard!$D$7=B282),OR(Dashboard!$F$7="All",Dashboard!$F$7=C282),OR(Dashboard!$H$7="All",Dashboard!$H$7=D282),OR(Dashboard!$K$7="All",Dashboard!$K$7=E282)),1,0)</x:f>
        <x:v>0</x:v>
      </x:c>
      <x:c r="S282" s="2" t="n">
        <x:f>IF(R282=1,SUM($R$10:R282),0)</x:f>
        <x:v>0</x:v>
      </x:c>
      <x:c r="T282" s="2" t="str">
        <x:v>Data &amp; Reporting</x:v>
      </x:c>
      <x:c r="U282" s="2" t="n">
        <x:v>282</x:v>
      </x:c>
      <x:c r="V282" s="2" t="n">
        <x:f>IF(AND(M282=1,P282=0,ISNUMBER(J282),J282&lt;TODAY()),1,0)</x:f>
        <x:v>0</x:v>
      </x:c>
      <x:c r="W282" s="2" t="str">
        <x:f>'Data &amp; Reporting'!M282</x:f>
        <x:v>Checklist</x:v>
      </x:c>
    </x:row>
    <x:row r="283" ht="40" customHeight="1">
      <x:c r="A283" s="3" t="str">
        <x:f>HYPERLINK("#'Data &amp; Reporting'!A283","Open")</x:f>
        <x:v>Open</x:v>
      </x:c>
      <x:c r="B283" s="2" t="str">
        <x:f>'Data &amp; Reporting'!B283</x:f>
        <x:v>Cycle 2</x:v>
      </x:c>
      <x:c r="C283" s="2" t="str">
        <x:f>'Data &amp; Reporting'!C283</x:f>
        <x:v>Phase 1</x:v>
      </x:c>
      <x:c r="D283" s="2" t="str">
        <x:f>'Data &amp; Reporting'!D283</x:f>
        <x:v>CSBBO - Customer Service</x:v>
      </x:c>
      <x:c r="E283" s="2" t="str">
        <x:v>Data &amp; Reporting</x:v>
      </x:c>
      <x:c r="F283" s="56" t="str">
        <x:f>'Data &amp; Reporting'!E283</x:f>
        <x:v>DR.CS.1.3.C11</x:v>
      </x:c>
      <x:c r="G283" s="14" t="str">
        <x:f>'Data &amp; Reporting'!F283</x:f>
        <x:v>    Document emerging trends, patterns, or concentrations along with supporting data</x:v>
      </x:c>
      <x:c r="H283" s="2" t="str">
        <x:f>IF('Data &amp; Reporting'!G283="","",'Data &amp; Reporting'!G283)</x:f>
      </x:c>
      <x:c r="I283" s="12" t="str">
        <x:f>IF('Data &amp; Reporting'!H283="","",'Data &amp; Reporting'!H283)</x:f>
      </x:c>
      <x:c r="J283" s="12" t="str">
        <x:f>IF('Data &amp; Reporting'!I283="","",'Data &amp; Reporting'!I283)</x:f>
      </x:c>
      <x:c r="K283" s="12" t="str">
        <x:f>IF('Data &amp; Reporting'!J283="","",'Data &amp; Reporting'!J283)</x:f>
      </x:c>
      <x:c r="L283" s="2" t="str">
        <x:f>IF('Data &amp; Reporting'!K283="","",'Data &amp; Reporting'!K283)</x:f>
      </x:c>
      <x:c r="M283" s="2" t="n">
        <x:f>'Data &amp; Reporting'!Q283</x:f>
        <x:v>0</x:v>
      </x:c>
      <x:c r="N283" s="2" t="str">
        <x:f>'Data &amp; Reporting'!L283</x:f>
        <x:v>Open check</x:v>
      </x:c>
      <x:c r="O283" s="2" t="str">
        <x:f>'Data &amp; Reporting'!N283</x:f>
        <x:v>DR.CS.1.3.C11.2026.CY2</x:v>
      </x:c>
      <x:c r="P283" s="2" t="n">
        <x:f>'Data &amp; Reporting'!O283</x:f>
        <x:v>0</x:v>
      </x:c>
      <x:c r="Q283" s="2" t="n">
        <x:f>SUBTOTAL(103,O283)</x:f>
        <x:v>1</x:v>
      </x:c>
      <x:c r="R283" s="2" t="n">
        <x:f>IF(AND(M283=1,OR(Dashboard!$B$7="All",Dashboard!$B$7='Cycles &amp; Guide'!$C$5),OR(Dashboard!$D$7="All",Dashboard!$D$7=B283),OR(Dashboard!$F$7="All",Dashboard!$F$7=C283),OR(Dashboard!$H$7="All",Dashboard!$H$7=D283),OR(Dashboard!$K$7="All",Dashboard!$K$7=E283)),1,0)</x:f>
        <x:v>0</x:v>
      </x:c>
      <x:c r="S283" s="2" t="n">
        <x:f>IF(R283=1,SUM($R$10:R283),0)</x:f>
        <x:v>0</x:v>
      </x:c>
      <x:c r="T283" s="2" t="str">
        <x:v>Data &amp; Reporting</x:v>
      </x:c>
      <x:c r="U283" s="2" t="n">
        <x:v>283</x:v>
      </x:c>
      <x:c r="V283" s="2" t="n">
        <x:f>IF(AND(M283=1,P283=0,ISNUMBER(J283),J283&lt;TODAY()),1,0)</x:f>
        <x:v>0</x:v>
      </x:c>
      <x:c r="W283" s="2" t="str">
        <x:f>'Data &amp; Reporting'!M283</x:f>
        <x:v>Checklist</x:v>
      </x:c>
    </x:row>
    <x:row r="284" ht="40" customHeight="1">
      <x:c r="A284" s="3" t="str">
        <x:f>HYPERLINK("#'Data &amp; Reporting'!A284","Open")</x:f>
        <x:v>Open</x:v>
      </x:c>
      <x:c r="B284" s="2" t="str">
        <x:f>'Data &amp; Reporting'!B284</x:f>
        <x:v>Cycle 2</x:v>
      </x:c>
      <x:c r="C284" s="2" t="str">
        <x:f>'Data &amp; Reporting'!C284</x:f>
        <x:v>Phase 1</x:v>
      </x:c>
      <x:c r="D284" s="2" t="str">
        <x:f>'Data &amp; Reporting'!D284</x:f>
        <x:v>CSBBO - Customer Service</x:v>
      </x:c>
      <x:c r="E284" s="2" t="str">
        <x:v>Data &amp; Reporting</x:v>
      </x:c>
      <x:c r="F284" s="56" t="str">
        <x:f>'Data &amp; Reporting'!E284</x:f>
        <x:v>DR.CS.1.3.C12</x:v>
      </x:c>
      <x:c r="G284" s="14" t="str">
        <x:f>'Data &amp; Reporting'!F284</x:f>
        <x:v>    Document any severe spikes in volume along with context (as needed)</x:v>
      </x:c>
      <x:c r="H284" s="2" t="str">
        <x:f>IF('Data &amp; Reporting'!G284="","",'Data &amp; Reporting'!G284)</x:f>
      </x:c>
      <x:c r="I284" s="12" t="str">
        <x:f>IF('Data &amp; Reporting'!H284="","",'Data &amp; Reporting'!H284)</x:f>
      </x:c>
      <x:c r="J284" s="12" t="str">
        <x:f>IF('Data &amp; Reporting'!I284="","",'Data &amp; Reporting'!I284)</x:f>
      </x:c>
      <x:c r="K284" s="12" t="str">
        <x:f>IF('Data &amp; Reporting'!J284="","",'Data &amp; Reporting'!J284)</x:f>
      </x:c>
      <x:c r="L284" s="2" t="str">
        <x:f>IF('Data &amp; Reporting'!K284="","",'Data &amp; Reporting'!K284)</x:f>
      </x:c>
      <x:c r="M284" s="2" t="n">
        <x:f>'Data &amp; Reporting'!Q284</x:f>
        <x:v>0</x:v>
      </x:c>
      <x:c r="N284" s="2" t="str">
        <x:f>'Data &amp; Reporting'!L284</x:f>
        <x:v>Open check</x:v>
      </x:c>
      <x:c r="O284" s="2" t="str">
        <x:f>'Data &amp; Reporting'!N284</x:f>
        <x:v>DR.CS.1.3.C12.2026.CY2</x:v>
      </x:c>
      <x:c r="P284" s="2" t="n">
        <x:f>'Data &amp; Reporting'!O284</x:f>
        <x:v>0</x:v>
      </x:c>
      <x:c r="Q284" s="2" t="n">
        <x:f>SUBTOTAL(103,O284)</x:f>
        <x:v>1</x:v>
      </x:c>
      <x:c r="R284" s="2" t="n">
        <x:f>IF(AND(M284=1,OR(Dashboard!$B$7="All",Dashboard!$B$7='Cycles &amp; Guide'!$C$5),OR(Dashboard!$D$7="All",Dashboard!$D$7=B284),OR(Dashboard!$F$7="All",Dashboard!$F$7=C284),OR(Dashboard!$H$7="All",Dashboard!$H$7=D284),OR(Dashboard!$K$7="All",Dashboard!$K$7=E284)),1,0)</x:f>
        <x:v>0</x:v>
      </x:c>
      <x:c r="S284" s="2" t="n">
        <x:f>IF(R284=1,SUM($R$10:R284),0)</x:f>
        <x:v>0</x:v>
      </x:c>
      <x:c r="T284" s="2" t="str">
        <x:v>Data &amp; Reporting</x:v>
      </x:c>
      <x:c r="U284" s="2" t="n">
        <x:v>284</x:v>
      </x:c>
      <x:c r="V284" s="2" t="n">
        <x:f>IF(AND(M284=1,P284=0,ISNUMBER(J284),J284&lt;TODAY()),1,0)</x:f>
        <x:v>0</x:v>
      </x:c>
      <x:c r="W284" s="2" t="str">
        <x:f>'Data &amp; Reporting'!M284</x:f>
        <x:v>Checklist</x:v>
      </x:c>
    </x:row>
    <x:row r="285" ht="40" customHeight="1">
      <x:c r="A285" s="3" t="str">
        <x:f>HYPERLINK("#'Data &amp; Reporting'!A285","Open")</x:f>
        <x:v>Open</x:v>
      </x:c>
      <x:c r="B285" s="2" t="str">
        <x:f>'Data &amp; Reporting'!B285</x:f>
        <x:v>Cycle 2</x:v>
      </x:c>
      <x:c r="C285" s="2" t="str">
        <x:f>'Data &amp; Reporting'!C285</x:f>
        <x:v>Phase 1</x:v>
      </x:c>
      <x:c r="D285" s="2" t="str">
        <x:f>'Data &amp; Reporting'!D285</x:f>
        <x:v>CSBBO - Customer Service</x:v>
      </x:c>
      <x:c r="E285" s="2" t="str">
        <x:v>Data &amp; Reporting</x:v>
      </x:c>
      <x:c r="F285" s="56" t="str">
        <x:f>'Data &amp; Reporting'!E285</x:f>
        <x:v>DR.CS.1.3.C13</x:v>
      </x:c>
      <x:c r="G285" s="14" t="str">
        <x:f>'Data &amp; Reporting'!F285</x:f>
        <x:v>    Document clear summary explaining how the data connects to the potential topic</x:v>
      </x:c>
      <x:c r="H285" s="2" t="str">
        <x:f>IF('Data &amp; Reporting'!G285="","",'Data &amp; Reporting'!G285)</x:f>
      </x:c>
      <x:c r="I285" s="12" t="str">
        <x:f>IF('Data &amp; Reporting'!H285="","",'Data &amp; Reporting'!H285)</x:f>
      </x:c>
      <x:c r="J285" s="12" t="str">
        <x:f>IF('Data &amp; Reporting'!I285="","",'Data &amp; Reporting'!I285)</x:f>
      </x:c>
      <x:c r="K285" s="12" t="str">
        <x:f>IF('Data &amp; Reporting'!J285="","",'Data &amp; Reporting'!J285)</x:f>
      </x:c>
      <x:c r="L285" s="2" t="str">
        <x:f>IF('Data &amp; Reporting'!K285="","",'Data &amp; Reporting'!K285)</x:f>
      </x:c>
      <x:c r="M285" s="2" t="n">
        <x:f>'Data &amp; Reporting'!Q285</x:f>
        <x:v>0</x:v>
      </x:c>
      <x:c r="N285" s="2" t="str">
        <x:f>'Data &amp; Reporting'!L285</x:f>
        <x:v>Open check</x:v>
      </x:c>
      <x:c r="O285" s="2" t="str">
        <x:f>'Data &amp; Reporting'!N285</x:f>
        <x:v>DR.CS.1.3.C13.2026.CY2</x:v>
      </x:c>
      <x:c r="P285" s="2" t="n">
        <x:f>'Data &amp; Reporting'!O285</x:f>
        <x:v>0</x:v>
      </x:c>
      <x:c r="Q285" s="2" t="n">
        <x:f>SUBTOTAL(103,O285)</x:f>
        <x:v>1</x:v>
      </x:c>
      <x:c r="R285" s="2" t="n">
        <x:f>IF(AND(M285=1,OR(Dashboard!$B$7="All",Dashboard!$B$7='Cycles &amp; Guide'!$C$5),OR(Dashboard!$D$7="All",Dashboard!$D$7=B285),OR(Dashboard!$F$7="All",Dashboard!$F$7=C285),OR(Dashboard!$H$7="All",Dashboard!$H$7=D285),OR(Dashboard!$K$7="All",Dashboard!$K$7=E285)),1,0)</x:f>
        <x:v>0</x:v>
      </x:c>
      <x:c r="S285" s="2" t="n">
        <x:f>IF(R285=1,SUM($R$10:R285),0)</x:f>
        <x:v>0</x:v>
      </x:c>
      <x:c r="T285" s="2" t="str">
        <x:v>Data &amp; Reporting</x:v>
      </x:c>
      <x:c r="U285" s="2" t="n">
        <x:v>285</x:v>
      </x:c>
      <x:c r="V285" s="2" t="n">
        <x:f>IF(AND(M285=1,P285=0,ISNUMBER(J285),J285&lt;TODAY()),1,0)</x:f>
        <x:v>0</x:v>
      </x:c>
      <x:c r="W285" s="2" t="str">
        <x:f>'Data &amp; Reporting'!M285</x:f>
        <x:v>Checklist</x:v>
      </x:c>
    </x:row>
    <x:row r="286" ht="40" customHeight="1">
      <x:c r="A286" s="3" t="str">
        <x:f>HYPERLINK("#'Data &amp; Reporting'!A286","Open")</x:f>
        <x:v>Open</x:v>
      </x:c>
      <x:c r="B286" s="2" t="str">
        <x:f>'Data &amp; Reporting'!B286</x:f>
        <x:v>Cycle 2</x:v>
      </x:c>
      <x:c r="C286" s="2" t="str">
        <x:f>'Data &amp; Reporting'!C286</x:f>
        <x:v>Phase 2</x:v>
      </x:c>
      <x:c r="D286" s="2" t="str">
        <x:f>'Data &amp; Reporting'!D286</x:f>
        <x:v>CSBBO - Customer Service</x:v>
      </x:c>
      <x:c r="E286" s="2" t="str">
        <x:v>Data &amp; Reporting</x:v>
      </x:c>
      <x:c r="F286" s="56" t="str">
        <x:f>'Data &amp; Reporting'!E286</x:f>
        <x:v>DR.CS.2.1</x:v>
      </x:c>
      <x:c r="G286" s="14" t="str">
        <x:f>'Data &amp; Reporting'!F286</x:f>
        <x:v>Ensure data is clean, structured, and usable without manipulation needed</x:v>
      </x:c>
      <x:c r="H286" s="2" t="str">
        <x:f>IF('Data &amp; Reporting'!G286="","",'Data &amp; Reporting'!G286)</x:f>
      </x:c>
      <x:c r="I286" s="12" t="str">
        <x:f>IF('Data &amp; Reporting'!H286="","",'Data &amp; Reporting'!H286)</x:f>
      </x:c>
      <x:c r="J286" s="12" t="n">
        <x:f>IF('Data &amp; Reporting'!I286="","",'Data &amp; Reporting'!I286)</x:f>
        <x:v>46203</x:v>
      </x:c>
      <x:c r="K286" s="12" t="str">
        <x:f>IF('Data &amp; Reporting'!J286="","",'Data &amp; Reporting'!J286)</x:f>
      </x:c>
      <x:c r="L286" s="2" t="str">
        <x:f>IF('Data &amp; Reporting'!K286="","",'Data &amp; Reporting'!K286)</x:f>
      </x:c>
      <x:c r="M286" s="2" t="n">
        <x:f>'Data &amp; Reporting'!Q286</x:f>
        <x:v>1</x:v>
      </x:c>
      <x:c r="N286" s="2" t="str">
        <x:f>'Data &amp; Reporting'!L286</x:f>
        <x:v>Not started</x:v>
      </x:c>
      <x:c r="O286" s="2" t="str">
        <x:f>'Data &amp; Reporting'!N286</x:f>
        <x:v>DR.CS.2.1.2026.CY2</x:v>
      </x:c>
      <x:c r="P286" s="2" t="n">
        <x:f>'Data &amp; Reporting'!O286</x:f>
        <x:v>0</x:v>
      </x:c>
      <x:c r="Q286" s="2" t="n">
        <x:f>SUBTOTAL(103,O286)</x:f>
        <x:v>1</x:v>
      </x:c>
      <x:c r="R286" s="2" t="n">
        <x:f>IF(AND(M286=1,OR(Dashboard!$B$7="All",Dashboard!$B$7='Cycles &amp; Guide'!$C$5),OR(Dashboard!$D$7="All",Dashboard!$D$7=B286),OR(Dashboard!$F$7="All",Dashboard!$F$7=C286),OR(Dashboard!$H$7="All",Dashboard!$H$7=D286),OR(Dashboard!$K$7="All",Dashboard!$K$7=E286)),1,0)</x:f>
        <x:v>1</x:v>
      </x:c>
      <x:c r="S286" s="2" t="n">
        <x:f>IF(R286=1,SUM($R$10:R286),0)</x:f>
        <x:v>134</x:v>
      </x:c>
      <x:c r="T286" s="2" t="str">
        <x:v>Data &amp; Reporting</x:v>
      </x:c>
      <x:c r="U286" s="2" t="n">
        <x:v>286</x:v>
      </x:c>
      <x:c r="V286" s="2" t="n">
        <x:f>IF(AND(M286=1,P286=0,ISNUMBER(J286),J286&lt;TODAY()),1,0)</x:f>
        <x:v>1</x:v>
      </x:c>
      <x:c r="W286" s="2" t="str">
        <x:f>'Data &amp; Reporting'!M286</x:f>
        <x:v>Task</x:v>
      </x:c>
    </x:row>
    <x:row r="287" ht="40" customHeight="1">
      <x:c r="A287" s="3" t="str">
        <x:f>HYPERLINK("#'Data &amp; Reporting'!A287","Open")</x:f>
        <x:v>Open</x:v>
      </x:c>
      <x:c r="B287" s="2" t="str">
        <x:f>'Data &amp; Reporting'!B287</x:f>
        <x:v>Cycle 2</x:v>
      </x:c>
      <x:c r="C287" s="2" t="str">
        <x:f>'Data &amp; Reporting'!C287</x:f>
        <x:v>Phase 2</x:v>
      </x:c>
      <x:c r="D287" s="2" t="str">
        <x:f>'Data &amp; Reporting'!D287</x:f>
        <x:v>CSBBO - Customer Service</x:v>
      </x:c>
      <x:c r="E287" s="2" t="str">
        <x:v>Data &amp; Reporting</x:v>
      </x:c>
      <x:c r="F287" s="56" t="str">
        <x:f>'Data &amp; Reporting'!E287</x:f>
        <x:v>DR.CS.2.2</x:v>
      </x:c>
      <x:c r="G287" s="14" t="str">
        <x:f>'Data &amp; Reporting'!F287</x:f>
        <x:v>Clearly document rationale for each topic recommendation within the SharePoint list</x:v>
      </x:c>
      <x:c r="H287" s="2" t="str">
        <x:f>IF('Data &amp; Reporting'!G287="","",'Data &amp; Reporting'!G287)</x:f>
      </x:c>
      <x:c r="I287" s="12" t="str">
        <x:f>IF('Data &amp; Reporting'!H287="","",'Data &amp; Reporting'!H287)</x:f>
      </x:c>
      <x:c r="J287" s="12" t="n">
        <x:f>IF('Data &amp; Reporting'!I287="","",'Data &amp; Reporting'!I287)</x:f>
        <x:v>46203</x:v>
      </x:c>
      <x:c r="K287" s="12" t="str">
        <x:f>IF('Data &amp; Reporting'!J287="","",'Data &amp; Reporting'!J287)</x:f>
      </x:c>
      <x:c r="L287" s="2" t="str">
        <x:f>IF('Data &amp; Reporting'!K287="","",'Data &amp; Reporting'!K287)</x:f>
      </x:c>
      <x:c r="M287" s="2" t="n">
        <x:f>'Data &amp; Reporting'!Q287</x:f>
        <x:v>1</x:v>
      </x:c>
      <x:c r="N287" s="2" t="str">
        <x:f>'Data &amp; Reporting'!L287</x:f>
        <x:v>Not started</x:v>
      </x:c>
      <x:c r="O287" s="2" t="str">
        <x:f>'Data &amp; Reporting'!N287</x:f>
        <x:v>DR.CS.2.2.2026.CY2</x:v>
      </x:c>
      <x:c r="P287" s="2" t="n">
        <x:f>'Data &amp; Reporting'!O287</x:f>
        <x:v>0</x:v>
      </x:c>
      <x:c r="Q287" s="2" t="n">
        <x:f>SUBTOTAL(103,O287)</x:f>
        <x:v>1</x:v>
      </x:c>
      <x:c r="R287" s="2" t="n">
        <x:f>IF(AND(M287=1,OR(Dashboard!$B$7="All",Dashboard!$B$7='Cycles &amp; Guide'!$C$5),OR(Dashboard!$D$7="All",Dashboard!$D$7=B287),OR(Dashboard!$F$7="All",Dashboard!$F$7=C287),OR(Dashboard!$H$7="All",Dashboard!$H$7=D287),OR(Dashboard!$K$7="All",Dashboard!$K$7=E287)),1,0)</x:f>
        <x:v>1</x:v>
      </x:c>
      <x:c r="S287" s="2" t="n">
        <x:f>IF(R287=1,SUM($R$10:R287),0)</x:f>
        <x:v>135</x:v>
      </x:c>
      <x:c r="T287" s="2" t="str">
        <x:v>Data &amp; Reporting</x:v>
      </x:c>
      <x:c r="U287" s="2" t="n">
        <x:v>287</x:v>
      </x:c>
      <x:c r="V287" s="2" t="n">
        <x:f>IF(AND(M287=1,P287=0,ISNUMBER(J287),J287&lt;TODAY()),1,0)</x:f>
        <x:v>1</x:v>
      </x:c>
      <x:c r="W287" s="2" t="str">
        <x:f>'Data &amp; Reporting'!M287</x:f>
        <x:v>Task</x:v>
      </x:c>
    </x:row>
    <x:row r="288" ht="40" customHeight="1">
      <x:c r="A288" s="3" t="str">
        <x:f>HYPERLINK("#'Data &amp; Reporting'!A288","Open")</x:f>
        <x:v>Open</x:v>
      </x:c>
      <x:c r="B288" s="2" t="str">
        <x:f>'Data &amp; Reporting'!B288</x:f>
        <x:v>Cycle 2</x:v>
      </x:c>
      <x:c r="C288" s="2" t="str">
        <x:f>'Data &amp; Reporting'!C288</x:f>
        <x:v>Phase 2</x:v>
      </x:c>
      <x:c r="D288" s="2" t="str">
        <x:f>'Data &amp; Reporting'!D288</x:f>
        <x:v>CSBBO - Customer Service</x:v>
      </x:c>
      <x:c r="E288" s="2" t="str">
        <x:v>Data &amp; Reporting</x:v>
      </x:c>
      <x:c r="F288" s="56" t="str">
        <x:f>'Data &amp; Reporting'!E288</x:f>
        <x:v>DR.CS.2.3</x:v>
      </x:c>
      <x:c r="G288" s="14" t="str">
        <x:f>'Data &amp; Reporting'!F288</x:f>
        <x:v>Verify topic is eligible for RCA and does not conflict with Attorney Client Privilege</x:v>
      </x:c>
      <x:c r="H288" s="2" t="str">
        <x:f>IF('Data &amp; Reporting'!G288="","",'Data &amp; Reporting'!G288)</x:f>
      </x:c>
      <x:c r="I288" s="12" t="str">
        <x:f>IF('Data &amp; Reporting'!H288="","",'Data &amp; Reporting'!H288)</x:f>
      </x:c>
      <x:c r="J288" s="12" t="n">
        <x:f>IF('Data &amp; Reporting'!I288="","",'Data &amp; Reporting'!I288)</x:f>
        <x:v>46203</x:v>
      </x:c>
      <x:c r="K288" s="12" t="str">
        <x:f>IF('Data &amp; Reporting'!J288="","",'Data &amp; Reporting'!J288)</x:f>
      </x:c>
      <x:c r="L288" s="2" t="str">
        <x:f>IF('Data &amp; Reporting'!K288="","",'Data &amp; Reporting'!K288)</x:f>
      </x:c>
      <x:c r="M288" s="2" t="n">
        <x:f>'Data &amp; Reporting'!Q288</x:f>
        <x:v>1</x:v>
      </x:c>
      <x:c r="N288" s="2" t="str">
        <x:f>'Data &amp; Reporting'!L288</x:f>
        <x:v>Not started</x:v>
      </x:c>
      <x:c r="O288" s="2" t="str">
        <x:f>'Data &amp; Reporting'!N288</x:f>
        <x:v>DR.CS.2.3.2026.CY2</x:v>
      </x:c>
      <x:c r="P288" s="2" t="n">
        <x:f>'Data &amp; Reporting'!O288</x:f>
        <x:v>0</x:v>
      </x:c>
      <x:c r="Q288" s="2" t="n">
        <x:f>SUBTOTAL(103,O288)</x:f>
        <x:v>1</x:v>
      </x:c>
      <x:c r="R288" s="2" t="n">
        <x:f>IF(AND(M288=1,OR(Dashboard!$B$7="All",Dashboard!$B$7='Cycles &amp; Guide'!$C$5),OR(Dashboard!$D$7="All",Dashboard!$D$7=B288),OR(Dashboard!$F$7="All",Dashboard!$F$7=C288),OR(Dashboard!$H$7="All",Dashboard!$H$7=D288),OR(Dashboard!$K$7="All",Dashboard!$K$7=E288)),1,0)</x:f>
        <x:v>1</x:v>
      </x:c>
      <x:c r="S288" s="2" t="n">
        <x:f>IF(R288=1,SUM($R$10:R288),0)</x:f>
        <x:v>136</x:v>
      </x:c>
      <x:c r="T288" s="2" t="str">
        <x:v>Data &amp; Reporting</x:v>
      </x:c>
      <x:c r="U288" s="2" t="n">
        <x:v>288</x:v>
      </x:c>
      <x:c r="V288" s="2" t="n">
        <x:f>IF(AND(M288=1,P288=0,ISNUMBER(J288),J288&lt;TODAY()),1,0)</x:f>
        <x:v>1</x:v>
      </x:c>
      <x:c r="W288" s="2" t="str">
        <x:f>'Data &amp; Reporting'!M288</x:f>
        <x:v>Task</x:v>
      </x:c>
    </x:row>
    <x:row r="289" ht="40" customHeight="1">
      <x:c r="A289" s="3" t="str">
        <x:f>HYPERLINK("#'Data &amp; Reporting'!A289","Open")</x:f>
        <x:v>Open</x:v>
      </x:c>
      <x:c r="B289" s="2" t="str">
        <x:f>'Data &amp; Reporting'!B289</x:f>
        <x:v>Cycle 2</x:v>
      </x:c>
      <x:c r="C289" s="2" t="str">
        <x:f>'Data &amp; Reporting'!C289</x:f>
        <x:v>Phase 2</x:v>
      </x:c>
      <x:c r="D289" s="2" t="str">
        <x:f>'Data &amp; Reporting'!D289</x:f>
        <x:v>CSBBO - Customer Service</x:v>
      </x:c>
      <x:c r="E289" s="2" t="str">
        <x:v>Data &amp; Reporting</x:v>
      </x:c>
      <x:c r="F289" s="56" t="str">
        <x:f>'Data &amp; Reporting'!E289</x:f>
        <x:v>DR.CS.2.4</x:v>
      </x:c>
      <x:c r="G289" s="14" t="str">
        <x:f>'Data &amp; Reporting'!F289</x:f>
        <x:v>Ensure data is free of errors and anomalies prior to hand-off to Research</x:v>
      </x:c>
      <x:c r="H289" s="2" t="str">
        <x:f>IF('Data &amp; Reporting'!G289="","",'Data &amp; Reporting'!G289)</x:f>
      </x:c>
      <x:c r="I289" s="12" t="str">
        <x:f>IF('Data &amp; Reporting'!H289="","",'Data &amp; Reporting'!H289)</x:f>
      </x:c>
      <x:c r="J289" s="12" t="n">
        <x:f>IF('Data &amp; Reporting'!I289="","",'Data &amp; Reporting'!I289)</x:f>
        <x:v>46203</x:v>
      </x:c>
      <x:c r="K289" s="12" t="str">
        <x:f>IF('Data &amp; Reporting'!J289="","",'Data &amp; Reporting'!J289)</x:f>
      </x:c>
      <x:c r="L289" s="2" t="str">
        <x:f>IF('Data &amp; Reporting'!K289="","",'Data &amp; Reporting'!K289)</x:f>
      </x:c>
      <x:c r="M289" s="2" t="n">
        <x:f>'Data &amp; Reporting'!Q289</x:f>
        <x:v>1</x:v>
      </x:c>
      <x:c r="N289" s="2" t="str">
        <x:f>'Data &amp; Reporting'!L289</x:f>
        <x:v>Not started</x:v>
      </x:c>
      <x:c r="O289" s="2" t="str">
        <x:f>'Data &amp; Reporting'!N289</x:f>
        <x:v>DR.CS.2.4.2026.CY2</x:v>
      </x:c>
      <x:c r="P289" s="2" t="n">
        <x:f>'Data &amp; Reporting'!O289</x:f>
        <x:v>0</x:v>
      </x:c>
      <x:c r="Q289" s="2" t="n">
        <x:f>SUBTOTAL(103,O289)</x:f>
        <x:v>1</x:v>
      </x:c>
      <x:c r="R289" s="2" t="n">
        <x:f>IF(AND(M289=1,OR(Dashboard!$B$7="All",Dashboard!$B$7='Cycles &amp; Guide'!$C$5),OR(Dashboard!$D$7="All",Dashboard!$D$7=B289),OR(Dashboard!$F$7="All",Dashboard!$F$7=C289),OR(Dashboard!$H$7="All",Dashboard!$H$7=D289),OR(Dashboard!$K$7="All",Dashboard!$K$7=E289)),1,0)</x:f>
        <x:v>1</x:v>
      </x:c>
      <x:c r="S289" s="2" t="n">
        <x:f>IF(R289=1,SUM($R$10:R289),0)</x:f>
        <x:v>137</x:v>
      </x:c>
      <x:c r="T289" s="2" t="str">
        <x:v>Data &amp; Reporting</x:v>
      </x:c>
      <x:c r="U289" s="2" t="n">
        <x:v>289</x:v>
      </x:c>
      <x:c r="V289" s="2" t="n">
        <x:f>IF(AND(M289=1,P289=0,ISNUMBER(J289),J289&lt;TODAY()),1,0)</x:f>
        <x:v>1</x:v>
      </x:c>
      <x:c r="W289" s="2" t="str">
        <x:f>'Data &amp; Reporting'!M289</x:f>
        <x:v>Task</x:v>
      </x:c>
    </x:row>
    <x:row r="290" ht="40" customHeight="1">
      <x:c r="A290" s="3" t="str">
        <x:f>HYPERLINK("#'Data &amp; Reporting'!A290","Open")</x:f>
        <x:v>Open</x:v>
      </x:c>
      <x:c r="B290" s="2" t="str">
        <x:f>'Data &amp; Reporting'!B290</x:f>
        <x:v>Cycle 2</x:v>
      </x:c>
      <x:c r="C290" s="2" t="str">
        <x:f>'Data &amp; Reporting'!C290</x:f>
        <x:v>Phase 2</x:v>
      </x:c>
      <x:c r="D290" s="2" t="str">
        <x:f>'Data &amp; Reporting'!D290</x:f>
        <x:v>CSBBO - Customer Service</x:v>
      </x:c>
      <x:c r="E290" s="2" t="str">
        <x:v>Data &amp; Reporting</x:v>
      </x:c>
      <x:c r="F290" s="56" t="str">
        <x:f>'Data &amp; Reporting'!E290</x:f>
        <x:v>DR.CS.2.5</x:v>
      </x:c>
      <x:c r="G290" s="14" t="str">
        <x:f>'Data &amp; Reporting'!F290</x:f>
        <x:v>Ensure topic is not a duplicate from a previous Cycle</x:v>
      </x:c>
      <x:c r="H290" s="2" t="str">
        <x:f>IF('Data &amp; Reporting'!G290="","",'Data &amp; Reporting'!G290)</x:f>
      </x:c>
      <x:c r="I290" s="12" t="str">
        <x:f>IF('Data &amp; Reporting'!H290="","",'Data &amp; Reporting'!H290)</x:f>
      </x:c>
      <x:c r="J290" s="12" t="n">
        <x:f>IF('Data &amp; Reporting'!I290="","",'Data &amp; Reporting'!I290)</x:f>
        <x:v>46203</x:v>
      </x:c>
      <x:c r="K290" s="12" t="str">
        <x:f>IF('Data &amp; Reporting'!J290="","",'Data &amp; Reporting'!J290)</x:f>
      </x:c>
      <x:c r="L290" s="2" t="str">
        <x:f>IF('Data &amp; Reporting'!K290="","",'Data &amp; Reporting'!K290)</x:f>
      </x:c>
      <x:c r="M290" s="2" t="n">
        <x:f>'Data &amp; Reporting'!Q290</x:f>
        <x:v>1</x:v>
      </x:c>
      <x:c r="N290" s="2" t="str">
        <x:f>'Data &amp; Reporting'!L290</x:f>
        <x:v>Not started</x:v>
      </x:c>
      <x:c r="O290" s="2" t="str">
        <x:f>'Data &amp; Reporting'!N290</x:f>
        <x:v>DR.CS.2.5.2026.CY2</x:v>
      </x:c>
      <x:c r="P290" s="2" t="n">
        <x:f>'Data &amp; Reporting'!O290</x:f>
        <x:v>0</x:v>
      </x:c>
      <x:c r="Q290" s="2" t="n">
        <x:f>SUBTOTAL(103,O290)</x:f>
        <x:v>1</x:v>
      </x:c>
      <x:c r="R290" s="2" t="n">
        <x:f>IF(AND(M290=1,OR(Dashboard!$B$7="All",Dashboard!$B$7='Cycles &amp; Guide'!$C$5),OR(Dashboard!$D$7="All",Dashboard!$D$7=B290),OR(Dashboard!$F$7="All",Dashboard!$F$7=C290),OR(Dashboard!$H$7="All",Dashboard!$H$7=D290),OR(Dashboard!$K$7="All",Dashboard!$K$7=E290)),1,0)</x:f>
        <x:v>1</x:v>
      </x:c>
      <x:c r="S290" s="2" t="n">
        <x:f>IF(R290=1,SUM($R$10:R290),0)</x:f>
        <x:v>138</x:v>
      </x:c>
      <x:c r="T290" s="2" t="str">
        <x:v>Data &amp; Reporting</x:v>
      </x:c>
      <x:c r="U290" s="2" t="n">
        <x:v>290</x:v>
      </x:c>
      <x:c r="V290" s="2" t="n">
        <x:f>IF(AND(M290=1,P290=0,ISNUMBER(J290),J290&lt;TODAY()),1,0)</x:f>
        <x:v>1</x:v>
      </x:c>
      <x:c r="W290" s="2" t="str">
        <x:f>'Data &amp; Reporting'!M290</x:f>
        <x:v>Task</x:v>
      </x:c>
    </x:row>
    <x:row r="291" ht="40" customHeight="1">
      <x:c r="A291" s="3" t="str">
        <x:f>HYPERLINK("#'Data &amp; Reporting'!A291","Open")</x:f>
        <x:v>Open</x:v>
      </x:c>
      <x:c r="B291" s="2" t="str">
        <x:f>'Data &amp; Reporting'!B291</x:f>
        <x:v>Cycle 2</x:v>
      </x:c>
      <x:c r="C291" s="2" t="str">
        <x:f>'Data &amp; Reporting'!C291</x:f>
        <x:v>Phase 2</x:v>
      </x:c>
      <x:c r="D291" s="2" t="str">
        <x:f>'Data &amp; Reporting'!D291</x:f>
        <x:v>CSBBO - Customer Service</x:v>
      </x:c>
      <x:c r="E291" s="2" t="str">
        <x:v>Data &amp; Reporting</x:v>
      </x:c>
      <x:c r="F291" s="56" t="str">
        <x:f>'Data &amp; Reporting'!E291</x:f>
        <x:v>DR.CS.2.6</x:v>
      </x:c>
      <x:c r="G291" s="14" t="str">
        <x:f>'Data &amp; Reporting'!F291</x:f>
        <x:v>Document clear distinctions between facts, assumptions, and hypotheses within the data package</x:v>
      </x:c>
      <x:c r="H291" s="2" t="str">
        <x:f>IF('Data &amp; Reporting'!G291="","",'Data &amp; Reporting'!G291)</x:f>
      </x:c>
      <x:c r="I291" s="12" t="str">
        <x:f>IF('Data &amp; Reporting'!H291="","",'Data &amp; Reporting'!H291)</x:f>
      </x:c>
      <x:c r="J291" s="12" t="n">
        <x:f>IF('Data &amp; Reporting'!I291="","",'Data &amp; Reporting'!I291)</x:f>
        <x:v>46203</x:v>
      </x:c>
      <x:c r="K291" s="12" t="str">
        <x:f>IF('Data &amp; Reporting'!J291="","",'Data &amp; Reporting'!J291)</x:f>
      </x:c>
      <x:c r="L291" s="2" t="str">
        <x:f>IF('Data &amp; Reporting'!K291="","",'Data &amp; Reporting'!K291)</x:f>
      </x:c>
      <x:c r="M291" s="2" t="n">
        <x:f>'Data &amp; Reporting'!Q291</x:f>
        <x:v>1</x:v>
      </x:c>
      <x:c r="N291" s="2" t="str">
        <x:f>'Data &amp; Reporting'!L291</x:f>
        <x:v>Not started</x:v>
      </x:c>
      <x:c r="O291" s="2" t="str">
        <x:f>'Data &amp; Reporting'!N291</x:f>
        <x:v>DR.CS.2.6.2026.CY2</x:v>
      </x:c>
      <x:c r="P291" s="2" t="n">
        <x:f>'Data &amp; Reporting'!O291</x:f>
        <x:v>0</x:v>
      </x:c>
      <x:c r="Q291" s="2" t="n">
        <x:f>SUBTOTAL(103,O291)</x:f>
        <x:v>1</x:v>
      </x:c>
      <x:c r="R291" s="2" t="n">
        <x:f>IF(AND(M291=1,OR(Dashboard!$B$7="All",Dashboard!$B$7='Cycles &amp; Guide'!$C$5),OR(Dashboard!$D$7="All",Dashboard!$D$7=B291),OR(Dashboard!$F$7="All",Dashboard!$F$7=C291),OR(Dashboard!$H$7="All",Dashboard!$H$7=D291),OR(Dashboard!$K$7="All",Dashboard!$K$7=E291)),1,0)</x:f>
        <x:v>1</x:v>
      </x:c>
      <x:c r="S291" s="2" t="n">
        <x:f>IF(R291=1,SUM($R$10:R291),0)</x:f>
        <x:v>139</x:v>
      </x:c>
      <x:c r="T291" s="2" t="str">
        <x:v>Data &amp; Reporting</x:v>
      </x:c>
      <x:c r="U291" s="2" t="n">
        <x:v>291</x:v>
      </x:c>
      <x:c r="V291" s="2" t="n">
        <x:f>IF(AND(M291=1,P291=0,ISNUMBER(J291),J291&lt;TODAY()),1,0)</x:f>
        <x:v>1</x:v>
      </x:c>
      <x:c r="W291" s="2" t="str">
        <x:f>'Data &amp; Reporting'!M291</x:f>
        <x:v>Task</x:v>
      </x:c>
    </x:row>
    <x:row r="292" ht="40" customHeight="1">
      <x:c r="A292" s="3" t="str">
        <x:f>HYPERLINK("#'Data &amp; Reporting'!A292","Open")</x:f>
        <x:v>Open</x:v>
      </x:c>
      <x:c r="B292" s="2" t="str">
        <x:f>'Data &amp; Reporting'!B292</x:f>
        <x:v>Cycle 2</x:v>
      </x:c>
      <x:c r="C292" s="2" t="str">
        <x:f>'Data &amp; Reporting'!C292</x:f>
        <x:v>Phase 3</x:v>
      </x:c>
      <x:c r="D292" s="2" t="str">
        <x:f>'Data &amp; Reporting'!D292</x:f>
        <x:v>CSBBO - Customer Service</x:v>
      </x:c>
      <x:c r="E292" s="2" t="str">
        <x:v>Data &amp; Reporting</x:v>
      </x:c>
      <x:c r="F292" s="56" t="str">
        <x:f>'Data &amp; Reporting'!E292</x:f>
        <x:v>DR.CS.3.1</x:v>
      </x:c>
      <x:c r="G292" s="14" t="str">
        <x:f>'Data &amp; Reporting'!F292</x:f>
        <x:v>Clearly document rationale for each topic recommendation within the SharePoint list item</x:v>
      </x:c>
      <x:c r="H292" s="2" t="str">
        <x:f>IF('Data &amp; Reporting'!G292="","",'Data &amp; Reporting'!G292)</x:f>
      </x:c>
      <x:c r="I292" s="12" t="str">
        <x:f>IF('Data &amp; Reporting'!H292="","",'Data &amp; Reporting'!H292)</x:f>
      </x:c>
      <x:c r="J292" s="12" t="n">
        <x:f>IF('Data &amp; Reporting'!I292="","",'Data &amp; Reporting'!I292)</x:f>
        <x:v>46203</x:v>
      </x:c>
      <x:c r="K292" s="12" t="str">
        <x:f>IF('Data &amp; Reporting'!J292="","",'Data &amp; Reporting'!J292)</x:f>
      </x:c>
      <x:c r="L292" s="2" t="str">
        <x:f>IF('Data &amp; Reporting'!K292="","",'Data &amp; Reporting'!K292)</x:f>
      </x:c>
      <x:c r="M292" s="2" t="n">
        <x:f>'Data &amp; Reporting'!Q292</x:f>
        <x:v>1</x:v>
      </x:c>
      <x:c r="N292" s="2" t="str">
        <x:f>'Data &amp; Reporting'!L292</x:f>
        <x:v>Not started</x:v>
      </x:c>
      <x:c r="O292" s="2" t="str">
        <x:f>'Data &amp; Reporting'!N292</x:f>
        <x:v>DR.CS.3.1.2026.CY2</x:v>
      </x:c>
      <x:c r="P292" s="2" t="n">
        <x:f>'Data &amp; Reporting'!O292</x:f>
        <x:v>0</x:v>
      </x:c>
      <x:c r="Q292" s="2" t="n">
        <x:f>SUBTOTAL(103,O292)</x:f>
        <x:v>1</x:v>
      </x:c>
      <x:c r="R292" s="2" t="n">
        <x:f>IF(AND(M292=1,OR(Dashboard!$B$7="All",Dashboard!$B$7='Cycles &amp; Guide'!$C$5),OR(Dashboard!$D$7="All",Dashboard!$D$7=B292),OR(Dashboard!$F$7="All",Dashboard!$F$7=C292),OR(Dashboard!$H$7="All",Dashboard!$H$7=D292),OR(Dashboard!$K$7="All",Dashboard!$K$7=E292)),1,0)</x:f>
        <x:v>1</x:v>
      </x:c>
      <x:c r="S292" s="2" t="n">
        <x:f>IF(R292=1,SUM($R$10:R292),0)</x:f>
        <x:v>140</x:v>
      </x:c>
      <x:c r="T292" s="2" t="str">
        <x:v>Data &amp; Reporting</x:v>
      </x:c>
      <x:c r="U292" s="2" t="n">
        <x:v>292</x:v>
      </x:c>
      <x:c r="V292" s="2" t="n">
        <x:f>IF(AND(M292=1,P292=0,ISNUMBER(J292),J292&lt;TODAY()),1,0)</x:f>
        <x:v>1</x:v>
      </x:c>
      <x:c r="W292" s="2" t="str">
        <x:f>'Data &amp; Reporting'!M292</x:f>
        <x:v>Task</x:v>
      </x:c>
    </x:row>
    <x:row r="293" ht="40" customHeight="1">
      <x:c r="A293" s="3" t="str">
        <x:f>HYPERLINK("#'Data &amp; Reporting'!A293","Open")</x:f>
        <x:v>Open</x:v>
      </x:c>
      <x:c r="B293" s="2" t="str">
        <x:f>'Data &amp; Reporting'!B293</x:f>
        <x:v>Cycle 2</x:v>
      </x:c>
      <x:c r="C293" s="2" t="str">
        <x:f>'Data &amp; Reporting'!C293</x:f>
        <x:v>Phase 3</x:v>
      </x:c>
      <x:c r="D293" s="2" t="str">
        <x:f>'Data &amp; Reporting'!D293</x:f>
        <x:v>CSBBO - Customer Service</x:v>
      </x:c>
      <x:c r="E293" s="2" t="str">
        <x:v>Data &amp; Reporting</x:v>
      </x:c>
      <x:c r="F293" s="56" t="str">
        <x:f>'Data &amp; Reporting'!E293</x:f>
        <x:v>DR.CS.3.2</x:v>
      </x:c>
      <x:c r="G293" s="14" t="str">
        <x:f>'Data &amp; Reporting'!F293</x:f>
        <x:v>Attach the data package for each topic recommendation within the SharePoint list item</x:v>
      </x:c>
      <x:c r="H293" s="2" t="str">
        <x:f>IF('Data &amp; Reporting'!G293="","",'Data &amp; Reporting'!G293)</x:f>
      </x:c>
      <x:c r="I293" s="12" t="str">
        <x:f>IF('Data &amp; Reporting'!H293="","",'Data &amp; Reporting'!H293)</x:f>
      </x:c>
      <x:c r="J293" s="12" t="n">
        <x:f>IF('Data &amp; Reporting'!I293="","",'Data &amp; Reporting'!I293)</x:f>
        <x:v>46203</x:v>
      </x:c>
      <x:c r="K293" s="12" t="str">
        <x:f>IF('Data &amp; Reporting'!J293="","",'Data &amp; Reporting'!J293)</x:f>
      </x:c>
      <x:c r="L293" s="2" t="str">
        <x:f>IF('Data &amp; Reporting'!K293="","",'Data &amp; Reporting'!K293)</x:f>
      </x:c>
      <x:c r="M293" s="2" t="n">
        <x:f>'Data &amp; Reporting'!Q293</x:f>
        <x:v>1</x:v>
      </x:c>
      <x:c r="N293" s="2" t="str">
        <x:f>'Data &amp; Reporting'!L293</x:f>
        <x:v>Not started</x:v>
      </x:c>
      <x:c r="O293" s="2" t="str">
        <x:f>'Data &amp; Reporting'!N293</x:f>
        <x:v>DR.CS.3.2.2026.CY2</x:v>
      </x:c>
      <x:c r="P293" s="2" t="n">
        <x:f>'Data &amp; Reporting'!O293</x:f>
        <x:v>0</x:v>
      </x:c>
      <x:c r="Q293" s="2" t="n">
        <x:f>SUBTOTAL(103,O293)</x:f>
        <x:v>1</x:v>
      </x:c>
      <x:c r="R293" s="2" t="n">
        <x:f>IF(AND(M293=1,OR(Dashboard!$B$7="All",Dashboard!$B$7='Cycles &amp; Guide'!$C$5),OR(Dashboard!$D$7="All",Dashboard!$D$7=B293),OR(Dashboard!$F$7="All",Dashboard!$F$7=C293),OR(Dashboard!$H$7="All",Dashboard!$H$7=D293),OR(Dashboard!$K$7="All",Dashboard!$K$7=E293)),1,0)</x:f>
        <x:v>1</x:v>
      </x:c>
      <x:c r="S293" s="2" t="n">
        <x:f>IF(R293=1,SUM($R$10:R293),0)</x:f>
        <x:v>141</x:v>
      </x:c>
      <x:c r="T293" s="2" t="str">
        <x:v>Data &amp; Reporting</x:v>
      </x:c>
      <x:c r="U293" s="2" t="n">
        <x:v>293</x:v>
      </x:c>
      <x:c r="V293" s="2" t="n">
        <x:f>IF(AND(M293=1,P293=0,ISNUMBER(J293),J293&lt;TODAY()),1,0)</x:f>
        <x:v>1</x:v>
      </x:c>
      <x:c r="W293" s="2" t="str">
        <x:f>'Data &amp; Reporting'!M293</x:f>
        <x:v>Task</x:v>
      </x:c>
    </x:row>
    <x:row r="294" ht="40" customHeight="1">
      <x:c r="A294" s="3" t="str">
        <x:f>HYPERLINK("#'Data &amp; Reporting'!A294","Open")</x:f>
        <x:v>Open</x:v>
      </x:c>
      <x:c r="B294" s="2" t="str">
        <x:f>'Data &amp; Reporting'!B294</x:f>
        <x:v>Cycle 2</x:v>
      </x:c>
      <x:c r="C294" s="2" t="str">
        <x:f>'Data &amp; Reporting'!C294</x:f>
        <x:v>Phase 3</x:v>
      </x:c>
      <x:c r="D294" s="2" t="str">
        <x:f>'Data &amp; Reporting'!D294</x:f>
        <x:v>CSBBO - Customer Service</x:v>
      </x:c>
      <x:c r="E294" s="2" t="str">
        <x:v>Data &amp; Reporting</x:v>
      </x:c>
      <x:c r="F294" s="56" t="str">
        <x:f>'Data &amp; Reporting'!E294</x:f>
        <x:v>DR.CS.3.3</x:v>
      </x:c>
      <x:c r="G294" s="14" t="str">
        <x:f>'Data &amp; Reporting'!F294</x:f>
        <x:v>Confirm data privileges have been granted, ensuring each pillar can access</x:v>
      </x:c>
      <x:c r="H294" s="2" t="str">
        <x:f>IF('Data &amp; Reporting'!G294="","",'Data &amp; Reporting'!G294)</x:f>
      </x:c>
      <x:c r="I294" s="12" t="str">
        <x:f>IF('Data &amp; Reporting'!H294="","",'Data &amp; Reporting'!H294)</x:f>
      </x:c>
      <x:c r="J294" s="12" t="n">
        <x:f>IF('Data &amp; Reporting'!I294="","",'Data &amp; Reporting'!I294)</x:f>
        <x:v>46203</x:v>
      </x:c>
      <x:c r="K294" s="12" t="str">
        <x:f>IF('Data &amp; Reporting'!J294="","",'Data &amp; Reporting'!J294)</x:f>
      </x:c>
      <x:c r="L294" s="2" t="str">
        <x:f>IF('Data &amp; Reporting'!K294="","",'Data &amp; Reporting'!K294)</x:f>
      </x:c>
      <x:c r="M294" s="2" t="n">
        <x:f>'Data &amp; Reporting'!Q294</x:f>
        <x:v>1</x:v>
      </x:c>
      <x:c r="N294" s="2" t="str">
        <x:f>'Data &amp; Reporting'!L294</x:f>
        <x:v>Not started</x:v>
      </x:c>
      <x:c r="O294" s="2" t="str">
        <x:f>'Data &amp; Reporting'!N294</x:f>
        <x:v>DR.CS.3.3.2026.CY2</x:v>
      </x:c>
      <x:c r="P294" s="2" t="n">
        <x:f>'Data &amp; Reporting'!O294</x:f>
        <x:v>0</x:v>
      </x:c>
      <x:c r="Q294" s="2" t="n">
        <x:f>SUBTOTAL(103,O294)</x:f>
        <x:v>1</x:v>
      </x:c>
      <x:c r="R294" s="2" t="n">
        <x:f>IF(AND(M294=1,OR(Dashboard!$B$7="All",Dashboard!$B$7='Cycles &amp; Guide'!$C$5),OR(Dashboard!$D$7="All",Dashboard!$D$7=B294),OR(Dashboard!$F$7="All",Dashboard!$F$7=C294),OR(Dashboard!$H$7="All",Dashboard!$H$7=D294),OR(Dashboard!$K$7="All",Dashboard!$K$7=E294)),1,0)</x:f>
        <x:v>1</x:v>
      </x:c>
      <x:c r="S294" s="2" t="n">
        <x:f>IF(R294=1,SUM($R$10:R294),0)</x:f>
        <x:v>142</x:v>
      </x:c>
      <x:c r="T294" s="2" t="str">
        <x:v>Data &amp; Reporting</x:v>
      </x:c>
      <x:c r="U294" s="2" t="n">
        <x:v>294</x:v>
      </x:c>
      <x:c r="V294" s="2" t="n">
        <x:f>IF(AND(M294=1,P294=0,ISNUMBER(J294),J294&lt;TODAY()),1,0)</x:f>
        <x:v>1</x:v>
      </x:c>
      <x:c r="W294" s="2" t="str">
        <x:f>'Data &amp; Reporting'!M294</x:f>
        <x:v>Task</x:v>
      </x:c>
    </x:row>
    <x:row r="295" ht="40" customHeight="1">
      <x:c r="A295" s="3" t="str">
        <x:f>HYPERLINK("#'Data &amp; Reporting'!A295","Open")</x:f>
        <x:v>Open</x:v>
      </x:c>
      <x:c r="B295" s="2" t="str">
        <x:f>'Data &amp; Reporting'!B295</x:f>
        <x:v>Cycle 2</x:v>
      </x:c>
      <x:c r="C295" s="2" t="str">
        <x:f>'Data &amp; Reporting'!C295</x:f>
        <x:v>Phase 3</x:v>
      </x:c>
      <x:c r="D295" s="2" t="str">
        <x:f>'Data &amp; Reporting'!D295</x:f>
        <x:v>CSBBO - Customer Service</x:v>
      </x:c>
      <x:c r="E295" s="2" t="str">
        <x:v>Data &amp; Reporting</x:v>
      </x:c>
      <x:c r="F295" s="56" t="str">
        <x:f>'Data &amp; Reporting'!E295</x:f>
        <x:v>DR.CS.3.4</x:v>
      </x:c>
      <x:c r="G295" s="14" t="str">
        <x:f>'Data &amp; Reporting'!F295</x:f>
        <x:v>Ensure Power Automate notifications were correctly triggered within Microsoft Teams</x:v>
      </x:c>
      <x:c r="H295" s="2" t="str">
        <x:f>IF('Data &amp; Reporting'!G295="","",'Data &amp; Reporting'!G295)</x:f>
      </x:c>
      <x:c r="I295" s="12" t="str">
        <x:f>IF('Data &amp; Reporting'!H295="","",'Data &amp; Reporting'!H295)</x:f>
      </x:c>
      <x:c r="J295" s="12" t="n">
        <x:f>IF('Data &amp; Reporting'!I295="","",'Data &amp; Reporting'!I295)</x:f>
        <x:v>46203</x:v>
      </x:c>
      <x:c r="K295" s="12" t="str">
        <x:f>IF('Data &amp; Reporting'!J295="","",'Data &amp; Reporting'!J295)</x:f>
      </x:c>
      <x:c r="L295" s="2" t="str">
        <x:f>IF('Data &amp; Reporting'!K295="","",'Data &amp; Reporting'!K295)</x:f>
      </x:c>
      <x:c r="M295" s="2" t="n">
        <x:f>'Data &amp; Reporting'!Q295</x:f>
        <x:v>1</x:v>
      </x:c>
      <x:c r="N295" s="2" t="str">
        <x:f>'Data &amp; Reporting'!L295</x:f>
        <x:v>Not started</x:v>
      </x:c>
      <x:c r="O295" s="2" t="str">
        <x:f>'Data &amp; Reporting'!N295</x:f>
        <x:v>DR.CS.3.4.2026.CY2</x:v>
      </x:c>
      <x:c r="P295" s="2" t="n">
        <x:f>'Data &amp; Reporting'!O295</x:f>
        <x:v>0</x:v>
      </x:c>
      <x:c r="Q295" s="2" t="n">
        <x:f>SUBTOTAL(103,O295)</x:f>
        <x:v>1</x:v>
      </x:c>
      <x:c r="R295" s="2" t="n">
        <x:f>IF(AND(M295=1,OR(Dashboard!$B$7="All",Dashboard!$B$7='Cycles &amp; Guide'!$C$5),OR(Dashboard!$D$7="All",Dashboard!$D$7=B295),OR(Dashboard!$F$7="All",Dashboard!$F$7=C295),OR(Dashboard!$H$7="All",Dashboard!$H$7=D295),OR(Dashboard!$K$7="All",Dashboard!$K$7=E295)),1,0)</x:f>
        <x:v>1</x:v>
      </x:c>
      <x:c r="S295" s="2" t="n">
        <x:f>IF(R295=1,SUM($R$10:R295),0)</x:f>
        <x:v>143</x:v>
      </x:c>
      <x:c r="T295" s="2" t="str">
        <x:v>Data &amp; Reporting</x:v>
      </x:c>
      <x:c r="U295" s="2" t="n">
        <x:v>295</x:v>
      </x:c>
      <x:c r="V295" s="2" t="n">
        <x:f>IF(AND(M295=1,P295=0,ISNUMBER(J295),J295&lt;TODAY()),1,0)</x:f>
        <x:v>1</x:v>
      </x:c>
      <x:c r="W295" s="2" t="str">
        <x:f>'Data &amp; Reporting'!M295</x:f>
        <x:v>Task</x:v>
      </x:c>
    </x:row>
    <x:row r="296" ht="40" customHeight="1">
      <x:c r="A296" s="3" t="str">
        <x:f>HYPERLINK("#'Data &amp; Reporting'!A296","Open")</x:f>
        <x:v>Open</x:v>
      </x:c>
      <x:c r="B296" s="2" t="str">
        <x:f>'Data &amp; Reporting'!B296</x:f>
        <x:v>Cycle 2</x:v>
      </x:c>
      <x:c r="C296" s="2" t="str">
        <x:f>'Data &amp; Reporting'!C296</x:f>
        <x:v>Phase 1</x:v>
      </x:c>
      <x:c r="D296" s="2" t="str">
        <x:f>'Data &amp; Reporting'!D296</x:f>
        <x:v>FCM</x:v>
      </x:c>
      <x:c r="E296" s="2" t="str">
        <x:v>Data &amp; Reporting</x:v>
      </x:c>
      <x:c r="F296" s="56" t="str">
        <x:f>'Data &amp; Reporting'!E296</x:f>
        <x:v>DR.FC.1.1</x:v>
      </x:c>
      <x:c r="G296" s="14" t="str">
        <x:f>'Data &amp; Reporting'!F296</x:f>
        <x:v>Review data sources 3 weeks prior to Cycle start (Complaints, Gen AI, Loudspeaker, NPS, etc.)</x:v>
      </x:c>
      <x:c r="H296" s="2" t="str">
        <x:f>IF('Data &amp; Reporting'!G296="","",'Data &amp; Reporting'!G296)</x:f>
      </x:c>
      <x:c r="I296" s="12" t="str">
        <x:f>IF('Data &amp; Reporting'!H296="","",'Data &amp; Reporting'!H296)</x:f>
      </x:c>
      <x:c r="J296" s="12" t="n">
        <x:f>IF('Data &amp; Reporting'!I296="","",'Data &amp; Reporting'!I296)</x:f>
        <x:v>46092</x:v>
      </x:c>
      <x:c r="K296" s="12" t="str">
        <x:f>IF('Data &amp; Reporting'!J296="","",'Data &amp; Reporting'!J296)</x:f>
      </x:c>
      <x:c r="L296" s="2" t="str">
        <x:f>IF('Data &amp; Reporting'!K296="","",'Data &amp; Reporting'!K296)</x:f>
      </x:c>
      <x:c r="M296" s="2" t="n">
        <x:f>'Data &amp; Reporting'!Q296</x:f>
        <x:v>1</x:v>
      </x:c>
      <x:c r="N296" s="2" t="str">
        <x:f>'Data &amp; Reporting'!L296</x:f>
        <x:v>Not started</x:v>
      </x:c>
      <x:c r="O296" s="2" t="str">
        <x:f>'Data &amp; Reporting'!N296</x:f>
        <x:v>DR.FC.1.1.2026.CY2</x:v>
      </x:c>
      <x:c r="P296" s="2" t="n">
        <x:f>'Data &amp; Reporting'!O296</x:f>
        <x:v>0</x:v>
      </x:c>
      <x:c r="Q296" s="2" t="n">
        <x:f>SUBTOTAL(103,O296)</x:f>
        <x:v>1</x:v>
      </x:c>
      <x:c r="R296" s="2" t="n">
        <x:f>IF(AND(M296=1,OR(Dashboard!$B$7="All",Dashboard!$B$7='Cycles &amp; Guide'!$C$5),OR(Dashboard!$D$7="All",Dashboard!$D$7=B296),OR(Dashboard!$F$7="All",Dashboard!$F$7=C296),OR(Dashboard!$H$7="All",Dashboard!$H$7=D296),OR(Dashboard!$K$7="All",Dashboard!$K$7=E296)),1,0)</x:f>
        <x:v>1</x:v>
      </x:c>
      <x:c r="S296" s="2" t="n">
        <x:f>IF(R296=1,SUM($R$10:R296),0)</x:f>
        <x:v>144</x:v>
      </x:c>
      <x:c r="T296" s="2" t="str">
        <x:v>Data &amp; Reporting</x:v>
      </x:c>
      <x:c r="U296" s="2" t="n">
        <x:v>296</x:v>
      </x:c>
      <x:c r="V296" s="2" t="n">
        <x:f>IF(AND(M296=1,P296=0,ISNUMBER(J296),J296&lt;TODAY()),1,0)</x:f>
        <x:v>1</x:v>
      </x:c>
      <x:c r="W296" s="2" t="str">
        <x:f>'Data &amp; Reporting'!M296</x:f>
        <x:v>Task</x:v>
      </x:c>
    </x:row>
    <x:row r="297" ht="40" customHeight="1">
      <x:c r="A297" s="3" t="str">
        <x:f>HYPERLINK("#'Data &amp; Reporting'!A297","Open")</x:f>
        <x:v>Open</x:v>
      </x:c>
      <x:c r="B297" s="2" t="str">
        <x:f>'Data &amp; Reporting'!B297</x:f>
        <x:v>Cycle 2</x:v>
      </x:c>
      <x:c r="C297" s="2" t="str">
        <x:f>'Data &amp; Reporting'!C297</x:f>
        <x:v>Phase 1</x:v>
      </x:c>
      <x:c r="D297" s="2" t="str">
        <x:f>'Data &amp; Reporting'!D297</x:f>
        <x:v>FCM</x:v>
      </x:c>
      <x:c r="E297" s="2" t="str">
        <x:v>Data &amp; Reporting</x:v>
      </x:c>
      <x:c r="F297" s="56" t="str">
        <x:f>'Data &amp; Reporting'!E297</x:f>
        <x:v>DR.FC.1.2</x:v>
      </x:c>
      <x:c r="G297" s="14" t="str">
        <x:f>'Data &amp; Reporting'!F297</x:f>
        <x:v>Identify two potential topics for the upcoming Cycle</x:v>
      </x:c>
      <x:c r="H297" s="2" t="str">
        <x:f>IF('Data &amp; Reporting'!G297="","",'Data &amp; Reporting'!G297)</x:f>
      </x:c>
      <x:c r="I297" s="12" t="str">
        <x:f>IF('Data &amp; Reporting'!H297="","",'Data &amp; Reporting'!H297)</x:f>
      </x:c>
      <x:c r="J297" s="12" t="n">
        <x:f>IF('Data &amp; Reporting'!I297="","",'Data &amp; Reporting'!I297)</x:f>
        <x:v>46203</x:v>
      </x:c>
      <x:c r="K297" s="12" t="str">
        <x:f>IF('Data &amp; Reporting'!J297="","",'Data &amp; Reporting'!J297)</x:f>
      </x:c>
      <x:c r="L297" s="2" t="str">
        <x:f>IF('Data &amp; Reporting'!K297="","",'Data &amp; Reporting'!K297)</x:f>
      </x:c>
      <x:c r="M297" s="2" t="n">
        <x:f>'Data &amp; Reporting'!Q297</x:f>
        <x:v>1</x:v>
      </x:c>
      <x:c r="N297" s="2" t="str">
        <x:f>'Data &amp; Reporting'!L297</x:f>
        <x:v>Not started</x:v>
      </x:c>
      <x:c r="O297" s="2" t="str">
        <x:f>'Data &amp; Reporting'!N297</x:f>
        <x:v>DR.FC.1.2.2026.CY2</x:v>
      </x:c>
      <x:c r="P297" s="2" t="n">
        <x:f>'Data &amp; Reporting'!O297</x:f>
        <x:v>0</x:v>
      </x:c>
      <x:c r="Q297" s="2" t="n">
        <x:f>SUBTOTAL(103,O297)</x:f>
        <x:v>1</x:v>
      </x:c>
      <x:c r="R297" s="2" t="n">
        <x:f>IF(AND(M297=1,OR(Dashboard!$B$7="All",Dashboard!$B$7='Cycles &amp; Guide'!$C$5),OR(Dashboard!$D$7="All",Dashboard!$D$7=B297),OR(Dashboard!$F$7="All",Dashboard!$F$7=C297),OR(Dashboard!$H$7="All",Dashboard!$H$7=D297),OR(Dashboard!$K$7="All",Dashboard!$K$7=E297)),1,0)</x:f>
        <x:v>1</x:v>
      </x:c>
      <x:c r="S297" s="2" t="n">
        <x:f>IF(R297=1,SUM($R$10:R297),0)</x:f>
        <x:v>145</x:v>
      </x:c>
      <x:c r="T297" s="2" t="str">
        <x:v>Data &amp; Reporting</x:v>
      </x:c>
      <x:c r="U297" s="2" t="n">
        <x:v>297</x:v>
      </x:c>
      <x:c r="V297" s="2" t="n">
        <x:f>IF(AND(M297=1,P297=0,ISNUMBER(J297),J297&lt;TODAY()),1,0)</x:f>
        <x:v>1</x:v>
      </x:c>
      <x:c r="W297" s="2" t="str">
        <x:f>'Data &amp; Reporting'!M297</x:f>
        <x:v>Task</x:v>
      </x:c>
    </x:row>
    <x:row r="298" ht="40" customHeight="1">
      <x:c r="A298" s="3" t="str">
        <x:f>HYPERLINK("#'Data &amp; Reporting'!A298","Open")</x:f>
        <x:v>Open</x:v>
      </x:c>
      <x:c r="B298" s="2" t="str">
        <x:f>'Data &amp; Reporting'!B298</x:f>
        <x:v>Cycle 2</x:v>
      </x:c>
      <x:c r="C298" s="2" t="str">
        <x:f>'Data &amp; Reporting'!C298</x:f>
        <x:v>Phase 1</x:v>
      </x:c>
      <x:c r="D298" s="2" t="str">
        <x:f>'Data &amp; Reporting'!D298</x:f>
        <x:v>FCM</x:v>
      </x:c>
      <x:c r="E298" s="2" t="str">
        <x:v>Data &amp; Reporting</x:v>
      </x:c>
      <x:c r="F298" s="56" t="str">
        <x:f>'Data &amp; Reporting'!E298</x:f>
        <x:v>DR.FC.1.3</x:v>
      </x:c>
      <x:c r="G298" s="14" t="str">
        <x:f>'Data &amp; Reporting'!F298</x:f>
        <x:v>Extract data for both potential topics, ensuring all checklist items below are included/completed</x:v>
      </x:c>
      <x:c r="H298" s="2" t="str">
        <x:f>IF('Data &amp; Reporting'!G298="","",'Data &amp; Reporting'!G298)</x:f>
      </x:c>
      <x:c r="I298" s="12" t="str">
        <x:f>IF('Data &amp; Reporting'!H298="","",'Data &amp; Reporting'!H298)</x:f>
      </x:c>
      <x:c r="J298" s="12" t="n">
        <x:f>IF('Data &amp; Reporting'!I298="","",'Data &amp; Reporting'!I298)</x:f>
        <x:v>46203</x:v>
      </x:c>
      <x:c r="K298" s="12" t="str">
        <x:f>IF('Data &amp; Reporting'!J298="","",'Data &amp; Reporting'!J298)</x:f>
      </x:c>
      <x:c r="L298" s="2" t="str">
        <x:f>IF('Data &amp; Reporting'!K298="","",'Data &amp; Reporting'!K298)</x:f>
      </x:c>
      <x:c r="M298" s="2" t="n">
        <x:f>'Data &amp; Reporting'!Q298</x:f>
        <x:v>1</x:v>
      </x:c>
      <x:c r="N298" s="2" t="str">
        <x:f>'Data &amp; Reporting'!L298</x:f>
        <x:v>Not started</x:v>
      </x:c>
      <x:c r="O298" s="2" t="str">
        <x:f>'Data &amp; Reporting'!N298</x:f>
        <x:v>DR.FC.1.3.2026.CY2</x:v>
      </x:c>
      <x:c r="P298" s="2" t="n">
        <x:f>'Data &amp; Reporting'!O298</x:f>
        <x:v>0</x:v>
      </x:c>
      <x:c r="Q298" s="2" t="n">
        <x:f>SUBTOTAL(103,O298)</x:f>
        <x:v>1</x:v>
      </x:c>
      <x:c r="R298" s="2" t="n">
        <x:f>IF(AND(M298=1,OR(Dashboard!$B$7="All",Dashboard!$B$7='Cycles &amp; Guide'!$C$5),OR(Dashboard!$D$7="All",Dashboard!$D$7=B298),OR(Dashboard!$F$7="All",Dashboard!$F$7=C298),OR(Dashboard!$H$7="All",Dashboard!$H$7=D298),OR(Dashboard!$K$7="All",Dashboard!$K$7=E298)),1,0)</x:f>
        <x:v>1</x:v>
      </x:c>
      <x:c r="S298" s="2" t="n">
        <x:f>IF(R298=1,SUM($R$10:R298),0)</x:f>
        <x:v>146</x:v>
      </x:c>
      <x:c r="T298" s="2" t="str">
        <x:v>Data &amp; Reporting</x:v>
      </x:c>
      <x:c r="U298" s="2" t="n">
        <x:v>298</x:v>
      </x:c>
      <x:c r="V298" s="2" t="n">
        <x:f>IF(AND(M298=1,P298=0,ISNUMBER(J298),J298&lt;TODAY()),1,0)</x:f>
        <x:v>1</x:v>
      </x:c>
      <x:c r="W298" s="2" t="str">
        <x:f>'Data &amp; Reporting'!M298</x:f>
        <x:v>Task</x:v>
      </x:c>
    </x:row>
    <x:row r="299" ht="40" customHeight="1">
      <x:c r="A299" s="3" t="str">
        <x:f>HYPERLINK("#'Data &amp; Reporting'!A299","Open")</x:f>
        <x:v>Open</x:v>
      </x:c>
      <x:c r="B299" s="2" t="str">
        <x:f>'Data &amp; Reporting'!B299</x:f>
        <x:v>Cycle 2</x:v>
      </x:c>
      <x:c r="C299" s="2" t="str">
        <x:f>'Data &amp; Reporting'!C299</x:f>
        <x:v>Phase 1</x:v>
      </x:c>
      <x:c r="D299" s="2" t="str">
        <x:f>'Data &amp; Reporting'!D299</x:f>
        <x:v>FCM</x:v>
      </x:c>
      <x:c r="E299" s="2" t="str">
        <x:v>Data &amp; Reporting</x:v>
      </x:c>
      <x:c r="F299" s="56" t="str">
        <x:f>'Data &amp; Reporting'!E299</x:f>
        <x:v>DR.FC.1.3.C01</x:v>
      </x:c>
      <x:c r="G299" s="14" t="str">
        <x:f>'Data &amp; Reporting'!F299</x:f>
        <x:v>    Document date range extracted</x:v>
      </x:c>
      <x:c r="H299" s="2" t="str">
        <x:f>IF('Data &amp; Reporting'!G299="","",'Data &amp; Reporting'!G299)</x:f>
      </x:c>
      <x:c r="I299" s="12" t="str">
        <x:f>IF('Data &amp; Reporting'!H299="","",'Data &amp; Reporting'!H299)</x:f>
      </x:c>
      <x:c r="J299" s="12" t="str">
        <x:f>IF('Data &amp; Reporting'!I299="","",'Data &amp; Reporting'!I299)</x:f>
      </x:c>
      <x:c r="K299" s="12" t="str">
        <x:f>IF('Data &amp; Reporting'!J299="","",'Data &amp; Reporting'!J299)</x:f>
      </x:c>
      <x:c r="L299" s="2" t="str">
        <x:f>IF('Data &amp; Reporting'!K299="","",'Data &amp; Reporting'!K299)</x:f>
      </x:c>
      <x:c r="M299" s="2" t="n">
        <x:f>'Data &amp; Reporting'!Q299</x:f>
        <x:v>0</x:v>
      </x:c>
      <x:c r="N299" s="2" t="str">
        <x:f>'Data &amp; Reporting'!L299</x:f>
        <x:v>Open check</x:v>
      </x:c>
      <x:c r="O299" s="2" t="str">
        <x:f>'Data &amp; Reporting'!N299</x:f>
        <x:v>DR.FC.1.3.C01.2026.CY2</x:v>
      </x:c>
      <x:c r="P299" s="2" t="n">
        <x:f>'Data &amp; Reporting'!O299</x:f>
        <x:v>0</x:v>
      </x:c>
      <x:c r="Q299" s="2" t="n">
        <x:f>SUBTOTAL(103,O299)</x:f>
        <x:v>1</x:v>
      </x:c>
      <x:c r="R299" s="2" t="n">
        <x:f>IF(AND(M299=1,OR(Dashboard!$B$7="All",Dashboard!$B$7='Cycles &amp; Guide'!$C$5),OR(Dashboard!$D$7="All",Dashboard!$D$7=B299),OR(Dashboard!$F$7="All",Dashboard!$F$7=C299),OR(Dashboard!$H$7="All",Dashboard!$H$7=D299),OR(Dashboard!$K$7="All",Dashboard!$K$7=E299)),1,0)</x:f>
        <x:v>0</x:v>
      </x:c>
      <x:c r="S299" s="2" t="n">
        <x:f>IF(R299=1,SUM($R$10:R299),0)</x:f>
        <x:v>0</x:v>
      </x:c>
      <x:c r="T299" s="2" t="str">
        <x:v>Data &amp; Reporting</x:v>
      </x:c>
      <x:c r="U299" s="2" t="n">
        <x:v>299</x:v>
      </x:c>
      <x:c r="V299" s="2" t="n">
        <x:f>IF(AND(M299=1,P299=0,ISNUMBER(J299),J299&lt;TODAY()),1,0)</x:f>
        <x:v>0</x:v>
      </x:c>
      <x:c r="W299" s="2" t="str">
        <x:f>'Data &amp; Reporting'!M299</x:f>
        <x:v>Checklist</x:v>
      </x:c>
    </x:row>
    <x:row r="300" ht="40" customHeight="1">
      <x:c r="A300" s="3" t="str">
        <x:f>HYPERLINK("#'Data &amp; Reporting'!A300","Open")</x:f>
        <x:v>Open</x:v>
      </x:c>
      <x:c r="B300" s="2" t="str">
        <x:f>'Data &amp; Reporting'!B300</x:f>
        <x:v>Cycle 2</x:v>
      </x:c>
      <x:c r="C300" s="2" t="str">
        <x:f>'Data &amp; Reporting'!C300</x:f>
        <x:v>Phase 1</x:v>
      </x:c>
      <x:c r="D300" s="2" t="str">
        <x:f>'Data &amp; Reporting'!D300</x:f>
        <x:v>FCM</x:v>
      </x:c>
      <x:c r="E300" s="2" t="str">
        <x:v>Data &amp; Reporting</x:v>
      </x:c>
      <x:c r="F300" s="56" t="str">
        <x:f>'Data &amp; Reporting'!E300</x:f>
        <x:v>DR.FC.1.3.C02</x:v>
      </x:c>
      <x:c r="G300" s="14" t="str">
        <x:f>'Data &amp; Reporting'!F300</x:f>
        <x:v>    Document date of data pull</x:v>
      </x:c>
      <x:c r="H300" s="2" t="str">
        <x:f>IF('Data &amp; Reporting'!G300="","",'Data &amp; Reporting'!G300)</x:f>
      </x:c>
      <x:c r="I300" s="12" t="str">
        <x:f>IF('Data &amp; Reporting'!H300="","",'Data &amp; Reporting'!H300)</x:f>
      </x:c>
      <x:c r="J300" s="12" t="str">
        <x:f>IF('Data &amp; Reporting'!I300="","",'Data &amp; Reporting'!I300)</x:f>
      </x:c>
      <x:c r="K300" s="12" t="str">
        <x:f>IF('Data &amp; Reporting'!J300="","",'Data &amp; Reporting'!J300)</x:f>
      </x:c>
      <x:c r="L300" s="2" t="str">
        <x:f>IF('Data &amp; Reporting'!K300="","",'Data &amp; Reporting'!K300)</x:f>
      </x:c>
      <x:c r="M300" s="2" t="n">
        <x:f>'Data &amp; Reporting'!Q300</x:f>
        <x:v>0</x:v>
      </x:c>
      <x:c r="N300" s="2" t="str">
        <x:f>'Data &amp; Reporting'!L300</x:f>
        <x:v>Open check</x:v>
      </x:c>
      <x:c r="O300" s="2" t="str">
        <x:f>'Data &amp; Reporting'!N300</x:f>
        <x:v>DR.FC.1.3.C02.2026.CY2</x:v>
      </x:c>
      <x:c r="P300" s="2" t="n">
        <x:f>'Data &amp; Reporting'!O300</x:f>
        <x:v>0</x:v>
      </x:c>
      <x:c r="Q300" s="2" t="n">
        <x:f>SUBTOTAL(103,O300)</x:f>
        <x:v>1</x:v>
      </x:c>
      <x:c r="R300" s="2" t="n">
        <x:f>IF(AND(M300=1,OR(Dashboard!$B$7="All",Dashboard!$B$7='Cycles &amp; Guide'!$C$5),OR(Dashboard!$D$7="All",Dashboard!$D$7=B300),OR(Dashboard!$F$7="All",Dashboard!$F$7=C300),OR(Dashboard!$H$7="All",Dashboard!$H$7=D300),OR(Dashboard!$K$7="All",Dashboard!$K$7=E300)),1,0)</x:f>
        <x:v>0</x:v>
      </x:c>
      <x:c r="S300" s="2" t="n">
        <x:f>IF(R300=1,SUM($R$10:R300),0)</x:f>
        <x:v>0</x:v>
      </x:c>
      <x:c r="T300" s="2" t="str">
        <x:v>Data &amp; Reporting</x:v>
      </x:c>
      <x:c r="U300" s="2" t="n">
        <x:v>300</x:v>
      </x:c>
      <x:c r="V300" s="2" t="n">
        <x:f>IF(AND(M300=1,P300=0,ISNUMBER(J300),J300&lt;TODAY()),1,0)</x:f>
        <x:v>0</x:v>
      </x:c>
      <x:c r="W300" s="2" t="str">
        <x:f>'Data &amp; Reporting'!M300</x:f>
        <x:v>Checklist</x:v>
      </x:c>
    </x:row>
    <x:row r="301" ht="40" customHeight="1">
      <x:c r="A301" s="3" t="str">
        <x:f>HYPERLINK("#'Data &amp; Reporting'!A301","Open")</x:f>
        <x:v>Open</x:v>
      </x:c>
      <x:c r="B301" s="2" t="str">
        <x:f>'Data &amp; Reporting'!B301</x:f>
        <x:v>Cycle 2</x:v>
      </x:c>
      <x:c r="C301" s="2" t="str">
        <x:f>'Data &amp; Reporting'!C301</x:f>
        <x:v>Phase 1</x:v>
      </x:c>
      <x:c r="D301" s="2" t="str">
        <x:f>'Data &amp; Reporting'!D301</x:f>
        <x:v>FCM</x:v>
      </x:c>
      <x:c r="E301" s="2" t="str">
        <x:v>Data &amp; Reporting</x:v>
      </x:c>
      <x:c r="F301" s="56" t="str">
        <x:f>'Data &amp; Reporting'!E301</x:f>
        <x:v>DR.FC.1.3.C03</x:v>
      </x:c>
      <x:c r="G301" s="14" t="str">
        <x:f>'Data &amp; Reporting'!F301</x:f>
        <x:v>    Document population details</x:v>
      </x:c>
      <x:c r="H301" s="2" t="str">
        <x:f>IF('Data &amp; Reporting'!G301="","",'Data &amp; Reporting'!G301)</x:f>
      </x:c>
      <x:c r="I301" s="12" t="str">
        <x:f>IF('Data &amp; Reporting'!H301="","",'Data &amp; Reporting'!H301)</x:f>
      </x:c>
      <x:c r="J301" s="12" t="str">
        <x:f>IF('Data &amp; Reporting'!I301="","",'Data &amp; Reporting'!I301)</x:f>
      </x:c>
      <x:c r="K301" s="12" t="str">
        <x:f>IF('Data &amp; Reporting'!J301="","",'Data &amp; Reporting'!J301)</x:f>
      </x:c>
      <x:c r="L301" s="2" t="str">
        <x:f>IF('Data &amp; Reporting'!K301="","",'Data &amp; Reporting'!K301)</x:f>
      </x:c>
      <x:c r="M301" s="2" t="n">
        <x:f>'Data &amp; Reporting'!Q301</x:f>
        <x:v>0</x:v>
      </x:c>
      <x:c r="N301" s="2" t="str">
        <x:f>'Data &amp; Reporting'!L301</x:f>
        <x:v>Open check</x:v>
      </x:c>
      <x:c r="O301" s="2" t="str">
        <x:f>'Data &amp; Reporting'!N301</x:f>
        <x:v>DR.FC.1.3.C03.2026.CY2</x:v>
      </x:c>
      <x:c r="P301" s="2" t="n">
        <x:f>'Data &amp; Reporting'!O301</x:f>
        <x:v>0</x:v>
      </x:c>
      <x:c r="Q301" s="2" t="n">
        <x:f>SUBTOTAL(103,O301)</x:f>
        <x:v>1</x:v>
      </x:c>
      <x:c r="R301" s="2" t="n">
        <x:f>IF(AND(M301=1,OR(Dashboard!$B$7="All",Dashboard!$B$7='Cycles &amp; Guide'!$C$5),OR(Dashboard!$D$7="All",Dashboard!$D$7=B301),OR(Dashboard!$F$7="All",Dashboard!$F$7=C301),OR(Dashboard!$H$7="All",Dashboard!$H$7=D301),OR(Dashboard!$K$7="All",Dashboard!$K$7=E301)),1,0)</x:f>
        <x:v>0</x:v>
      </x:c>
      <x:c r="S301" s="2" t="n">
        <x:f>IF(R301=1,SUM($R$10:R301),0)</x:f>
        <x:v>0</x:v>
      </x:c>
      <x:c r="T301" s="2" t="str">
        <x:v>Data &amp; Reporting</x:v>
      </x:c>
      <x:c r="U301" s="2" t="n">
        <x:v>301</x:v>
      </x:c>
      <x:c r="V301" s="2" t="n">
        <x:f>IF(AND(M301=1,P301=0,ISNUMBER(J301),J301&lt;TODAY()),1,0)</x:f>
        <x:v>0</x:v>
      </x:c>
      <x:c r="W301" s="2" t="str">
        <x:f>'Data &amp; Reporting'!M301</x:f>
        <x:v>Checklist</x:v>
      </x:c>
    </x:row>
    <x:row r="302" ht="40" customHeight="1">
      <x:c r="A302" s="3" t="str">
        <x:f>HYPERLINK("#'Data &amp; Reporting'!A302","Open")</x:f>
        <x:v>Open</x:v>
      </x:c>
      <x:c r="B302" s="2" t="str">
        <x:f>'Data &amp; Reporting'!B302</x:f>
        <x:v>Cycle 2</x:v>
      </x:c>
      <x:c r="C302" s="2" t="str">
        <x:f>'Data &amp; Reporting'!C302</x:f>
        <x:v>Phase 1</x:v>
      </x:c>
      <x:c r="D302" s="2" t="str">
        <x:f>'Data &amp; Reporting'!D302</x:f>
        <x:v>FCM</x:v>
      </x:c>
      <x:c r="E302" s="2" t="str">
        <x:v>Data &amp; Reporting</x:v>
      </x:c>
      <x:c r="F302" s="56" t="str">
        <x:f>'Data &amp; Reporting'!E302</x:f>
        <x:v>DR.FC.1.3.C04</x:v>
      </x:c>
      <x:c r="G302" s="14" t="str">
        <x:f>'Data &amp; Reporting'!F302</x:f>
        <x:v>    Validate no data is missing</x:v>
      </x:c>
      <x:c r="H302" s="2" t="str">
        <x:f>IF('Data &amp; Reporting'!G302="","",'Data &amp; Reporting'!G302)</x:f>
      </x:c>
      <x:c r="I302" s="12" t="str">
        <x:f>IF('Data &amp; Reporting'!H302="","",'Data &amp; Reporting'!H302)</x:f>
      </x:c>
      <x:c r="J302" s="12" t="str">
        <x:f>IF('Data &amp; Reporting'!I302="","",'Data &amp; Reporting'!I302)</x:f>
      </x:c>
      <x:c r="K302" s="12" t="str">
        <x:f>IF('Data &amp; Reporting'!J302="","",'Data &amp; Reporting'!J302)</x:f>
      </x:c>
      <x:c r="L302" s="2" t="str">
        <x:f>IF('Data &amp; Reporting'!K302="","",'Data &amp; Reporting'!K302)</x:f>
      </x:c>
      <x:c r="M302" s="2" t="n">
        <x:f>'Data &amp; Reporting'!Q302</x:f>
        <x:v>0</x:v>
      </x:c>
      <x:c r="N302" s="2" t="str">
        <x:f>'Data &amp; Reporting'!L302</x:f>
        <x:v>Open check</x:v>
      </x:c>
      <x:c r="O302" s="2" t="str">
        <x:f>'Data &amp; Reporting'!N302</x:f>
        <x:v>DR.FC.1.3.C04.2026.CY2</x:v>
      </x:c>
      <x:c r="P302" s="2" t="n">
        <x:f>'Data &amp; Reporting'!O302</x:f>
        <x:v>0</x:v>
      </x:c>
      <x:c r="Q302" s="2" t="n">
        <x:f>SUBTOTAL(103,O302)</x:f>
        <x:v>1</x:v>
      </x:c>
      <x:c r="R302" s="2" t="n">
        <x:f>IF(AND(M302=1,OR(Dashboard!$B$7="All",Dashboard!$B$7='Cycles &amp; Guide'!$C$5),OR(Dashboard!$D$7="All",Dashboard!$D$7=B302),OR(Dashboard!$F$7="All",Dashboard!$F$7=C302),OR(Dashboard!$H$7="All",Dashboard!$H$7=D302),OR(Dashboard!$K$7="All",Dashboard!$K$7=E302)),1,0)</x:f>
        <x:v>0</x:v>
      </x:c>
      <x:c r="S302" s="2" t="n">
        <x:f>IF(R302=1,SUM($R$10:R302),0)</x:f>
        <x:v>0</x:v>
      </x:c>
      <x:c r="T302" s="2" t="str">
        <x:v>Data &amp; Reporting</x:v>
      </x:c>
      <x:c r="U302" s="2" t="n">
        <x:v>302</x:v>
      </x:c>
      <x:c r="V302" s="2" t="n">
        <x:f>IF(AND(M302=1,P302=0,ISNUMBER(J302),J302&lt;TODAY()),1,0)</x:f>
        <x:v>0</x:v>
      </x:c>
      <x:c r="W302" s="2" t="str">
        <x:f>'Data &amp; Reporting'!M302</x:f>
        <x:v>Checklist</x:v>
      </x:c>
    </x:row>
    <x:row r="303" ht="40" customHeight="1">
      <x:c r="A303" s="3" t="str">
        <x:f>HYPERLINK("#'Data &amp; Reporting'!A303","Open")</x:f>
        <x:v>Open</x:v>
      </x:c>
      <x:c r="B303" s="2" t="str">
        <x:f>'Data &amp; Reporting'!B303</x:f>
        <x:v>Cycle 2</x:v>
      </x:c>
      <x:c r="C303" s="2" t="str">
        <x:f>'Data &amp; Reporting'!C303</x:f>
        <x:v>Phase 1</x:v>
      </x:c>
      <x:c r="D303" s="2" t="str">
        <x:f>'Data &amp; Reporting'!D303</x:f>
        <x:v>FCM</x:v>
      </x:c>
      <x:c r="E303" s="2" t="str">
        <x:v>Data &amp; Reporting</x:v>
      </x:c>
      <x:c r="F303" s="56" t="str">
        <x:f>'Data &amp; Reporting'!E303</x:f>
        <x:v>DR.FC.1.3.C05</x:v>
      </x:c>
      <x:c r="G303" s="14" t="str">
        <x:f>'Data &amp; Reporting'!F303</x:f>
        <x:v>    Validate accuracy of data</x:v>
      </x:c>
      <x:c r="H303" s="2" t="str">
        <x:f>IF('Data &amp; Reporting'!G303="","",'Data &amp; Reporting'!G303)</x:f>
      </x:c>
      <x:c r="I303" s="12" t="str">
        <x:f>IF('Data &amp; Reporting'!H303="","",'Data &amp; Reporting'!H303)</x:f>
      </x:c>
      <x:c r="J303" s="12" t="str">
        <x:f>IF('Data &amp; Reporting'!I303="","",'Data &amp; Reporting'!I303)</x:f>
      </x:c>
      <x:c r="K303" s="12" t="str">
        <x:f>IF('Data &amp; Reporting'!J303="","",'Data &amp; Reporting'!J303)</x:f>
      </x:c>
      <x:c r="L303" s="2" t="str">
        <x:f>IF('Data &amp; Reporting'!K303="","",'Data &amp; Reporting'!K303)</x:f>
      </x:c>
      <x:c r="M303" s="2" t="n">
        <x:f>'Data &amp; Reporting'!Q303</x:f>
        <x:v>0</x:v>
      </x:c>
      <x:c r="N303" s="2" t="str">
        <x:f>'Data &amp; Reporting'!L303</x:f>
        <x:v>Open check</x:v>
      </x:c>
      <x:c r="O303" s="2" t="str">
        <x:f>'Data &amp; Reporting'!N303</x:f>
        <x:v>DR.FC.1.3.C05.2026.CY2</x:v>
      </x:c>
      <x:c r="P303" s="2" t="n">
        <x:f>'Data &amp; Reporting'!O303</x:f>
        <x:v>0</x:v>
      </x:c>
      <x:c r="Q303" s="2" t="n">
        <x:f>SUBTOTAL(103,O303)</x:f>
        <x:v>1</x:v>
      </x:c>
      <x:c r="R303" s="2" t="n">
        <x:f>IF(AND(M303=1,OR(Dashboard!$B$7="All",Dashboard!$B$7='Cycles &amp; Guide'!$C$5),OR(Dashboard!$D$7="All",Dashboard!$D$7=B303),OR(Dashboard!$F$7="All",Dashboard!$F$7=C303),OR(Dashboard!$H$7="All",Dashboard!$H$7=D303),OR(Dashboard!$K$7="All",Dashboard!$K$7=E303)),1,0)</x:f>
        <x:v>0</x:v>
      </x:c>
      <x:c r="S303" s="2" t="n">
        <x:f>IF(R303=1,SUM($R$10:R303),0)</x:f>
        <x:v>0</x:v>
      </x:c>
      <x:c r="T303" s="2" t="str">
        <x:v>Data &amp; Reporting</x:v>
      </x:c>
      <x:c r="U303" s="2" t="n">
        <x:v>303</x:v>
      </x:c>
      <x:c r="V303" s="2" t="n">
        <x:f>IF(AND(M303=1,P303=0,ISNUMBER(J303),J303&lt;TODAY()),1,0)</x:f>
        <x:v>0</x:v>
      </x:c>
      <x:c r="W303" s="2" t="str">
        <x:f>'Data &amp; Reporting'!M303</x:f>
        <x:v>Checklist</x:v>
      </x:c>
    </x:row>
    <x:row r="304" ht="40" customHeight="1">
      <x:c r="A304" s="3" t="str">
        <x:f>HYPERLINK("#'Data &amp; Reporting'!A304","Open")</x:f>
        <x:v>Open</x:v>
      </x:c>
      <x:c r="B304" s="2" t="str">
        <x:f>'Data &amp; Reporting'!B304</x:f>
        <x:v>Cycle 2</x:v>
      </x:c>
      <x:c r="C304" s="2" t="str">
        <x:f>'Data &amp; Reporting'!C304</x:f>
        <x:v>Phase 1</x:v>
      </x:c>
      <x:c r="D304" s="2" t="str">
        <x:f>'Data &amp; Reporting'!D304</x:f>
        <x:v>FCM</x:v>
      </x:c>
      <x:c r="E304" s="2" t="str">
        <x:v>Data &amp; Reporting</x:v>
      </x:c>
      <x:c r="F304" s="56" t="str">
        <x:f>'Data &amp; Reporting'!E304</x:f>
        <x:v>DR.FC.1.3.C06</x:v>
      </x:c>
      <x:c r="G304" s="14" t="str">
        <x:f>'Data &amp; Reporting'!F304</x:f>
        <x:v>    Validate no duplicate data is provided</x:v>
      </x:c>
      <x:c r="H304" s="2" t="str">
        <x:f>IF('Data &amp; Reporting'!G304="","",'Data &amp; Reporting'!G304)</x:f>
      </x:c>
      <x:c r="I304" s="12" t="str">
        <x:f>IF('Data &amp; Reporting'!H304="","",'Data &amp; Reporting'!H304)</x:f>
      </x:c>
      <x:c r="J304" s="12" t="str">
        <x:f>IF('Data &amp; Reporting'!I304="","",'Data &amp; Reporting'!I304)</x:f>
      </x:c>
      <x:c r="K304" s="12" t="str">
        <x:f>IF('Data &amp; Reporting'!J304="","",'Data &amp; Reporting'!J304)</x:f>
      </x:c>
      <x:c r="L304" s="2" t="str">
        <x:f>IF('Data &amp; Reporting'!K304="","",'Data &amp; Reporting'!K304)</x:f>
      </x:c>
      <x:c r="M304" s="2" t="n">
        <x:f>'Data &amp; Reporting'!Q304</x:f>
        <x:v>0</x:v>
      </x:c>
      <x:c r="N304" s="2" t="str">
        <x:f>'Data &amp; Reporting'!L304</x:f>
        <x:v>Open check</x:v>
      </x:c>
      <x:c r="O304" s="2" t="str">
        <x:f>'Data &amp; Reporting'!N304</x:f>
        <x:v>DR.FC.1.3.C06.2026.CY2</x:v>
      </x:c>
      <x:c r="P304" s="2" t="n">
        <x:f>'Data &amp; Reporting'!O304</x:f>
        <x:v>0</x:v>
      </x:c>
      <x:c r="Q304" s="2" t="n">
        <x:f>SUBTOTAL(103,O304)</x:f>
        <x:v>1</x:v>
      </x:c>
      <x:c r="R304" s="2" t="n">
        <x:f>IF(AND(M304=1,OR(Dashboard!$B$7="All",Dashboard!$B$7='Cycles &amp; Guide'!$C$5),OR(Dashboard!$D$7="All",Dashboard!$D$7=B304),OR(Dashboard!$F$7="All",Dashboard!$F$7=C304),OR(Dashboard!$H$7="All",Dashboard!$H$7=D304),OR(Dashboard!$K$7="All",Dashboard!$K$7=E304)),1,0)</x:f>
        <x:v>0</x:v>
      </x:c>
      <x:c r="S304" s="2" t="n">
        <x:f>IF(R304=1,SUM($R$10:R304),0)</x:f>
        <x:v>0</x:v>
      </x:c>
      <x:c r="T304" s="2" t="str">
        <x:v>Data &amp; Reporting</x:v>
      </x:c>
      <x:c r="U304" s="2" t="n">
        <x:v>304</x:v>
      </x:c>
      <x:c r="V304" s="2" t="n">
        <x:f>IF(AND(M304=1,P304=0,ISNUMBER(J304),J304&lt;TODAY()),1,0)</x:f>
        <x:v>0</x:v>
      </x:c>
      <x:c r="W304" s="2" t="str">
        <x:f>'Data &amp; Reporting'!M304</x:f>
        <x:v>Checklist</x:v>
      </x:c>
    </x:row>
    <x:row r="305" ht="40" customHeight="1">
      <x:c r="A305" s="3" t="str">
        <x:f>HYPERLINK("#'Data &amp; Reporting'!A305","Open")</x:f>
        <x:v>Open</x:v>
      </x:c>
      <x:c r="B305" s="2" t="str">
        <x:f>'Data &amp; Reporting'!B305</x:f>
        <x:v>Cycle 2</x:v>
      </x:c>
      <x:c r="C305" s="2" t="str">
        <x:f>'Data &amp; Reporting'!C305</x:f>
        <x:v>Phase 1</x:v>
      </x:c>
      <x:c r="D305" s="2" t="str">
        <x:f>'Data &amp; Reporting'!D305</x:f>
        <x:v>FCM</x:v>
      </x:c>
      <x:c r="E305" s="2" t="str">
        <x:v>Data &amp; Reporting</x:v>
      </x:c>
      <x:c r="F305" s="56" t="str">
        <x:f>'Data &amp; Reporting'!E305</x:f>
        <x:v>DR.FC.1.3.C07</x:v>
      </x:c>
      <x:c r="G305" s="14" t="str">
        <x:f>'Data &amp; Reporting'!F305</x:f>
        <x:v>    Document any data exclusions along with justification (as needed)</x:v>
      </x:c>
      <x:c r="H305" s="2" t="str">
        <x:f>IF('Data &amp; Reporting'!G305="","",'Data &amp; Reporting'!G305)</x:f>
      </x:c>
      <x:c r="I305" s="12" t="str">
        <x:f>IF('Data &amp; Reporting'!H305="","",'Data &amp; Reporting'!H305)</x:f>
      </x:c>
      <x:c r="J305" s="12" t="str">
        <x:f>IF('Data &amp; Reporting'!I305="","",'Data &amp; Reporting'!I305)</x:f>
      </x:c>
      <x:c r="K305" s="12" t="str">
        <x:f>IF('Data &amp; Reporting'!J305="","",'Data &amp; Reporting'!J305)</x:f>
      </x:c>
      <x:c r="L305" s="2" t="str">
        <x:f>IF('Data &amp; Reporting'!K305="","",'Data &amp; Reporting'!K305)</x:f>
      </x:c>
      <x:c r="M305" s="2" t="n">
        <x:f>'Data &amp; Reporting'!Q305</x:f>
        <x:v>0</x:v>
      </x:c>
      <x:c r="N305" s="2" t="str">
        <x:f>'Data &amp; Reporting'!L305</x:f>
        <x:v>Open check</x:v>
      </x:c>
      <x:c r="O305" s="2" t="str">
        <x:f>'Data &amp; Reporting'!N305</x:f>
        <x:v>DR.FC.1.3.C07.2026.CY2</x:v>
      </x:c>
      <x:c r="P305" s="2" t="n">
        <x:f>'Data &amp; Reporting'!O305</x:f>
        <x:v>0</x:v>
      </x:c>
      <x:c r="Q305" s="2" t="n">
        <x:f>SUBTOTAL(103,O305)</x:f>
        <x:v>1</x:v>
      </x:c>
      <x:c r="R305" s="2" t="n">
        <x:f>IF(AND(M305=1,OR(Dashboard!$B$7="All",Dashboard!$B$7='Cycles &amp; Guide'!$C$5),OR(Dashboard!$D$7="All",Dashboard!$D$7=B305),OR(Dashboard!$F$7="All",Dashboard!$F$7=C305),OR(Dashboard!$H$7="All",Dashboard!$H$7=D305),OR(Dashboard!$K$7="All",Dashboard!$K$7=E305)),1,0)</x:f>
        <x:v>0</x:v>
      </x:c>
      <x:c r="S305" s="2" t="n">
        <x:f>IF(R305=1,SUM($R$10:R305),0)</x:f>
        <x:v>0</x:v>
      </x:c>
      <x:c r="T305" s="2" t="str">
        <x:v>Data &amp; Reporting</x:v>
      </x:c>
      <x:c r="U305" s="2" t="n">
        <x:v>305</x:v>
      </x:c>
      <x:c r="V305" s="2" t="n">
        <x:f>IF(AND(M305=1,P305=0,ISNUMBER(J305),J305&lt;TODAY()),1,0)</x:f>
        <x:v>0</x:v>
      </x:c>
      <x:c r="W305" s="2" t="str">
        <x:f>'Data &amp; Reporting'!M305</x:f>
        <x:v>Checklist</x:v>
      </x:c>
    </x:row>
    <x:row r="306" ht="40" customHeight="1">
      <x:c r="A306" s="3" t="str">
        <x:f>HYPERLINK("#'Data &amp; Reporting'!A306","Open")</x:f>
        <x:v>Open</x:v>
      </x:c>
      <x:c r="B306" s="2" t="str">
        <x:f>'Data &amp; Reporting'!B306</x:f>
        <x:v>Cycle 2</x:v>
      </x:c>
      <x:c r="C306" s="2" t="str">
        <x:f>'Data &amp; Reporting'!C306</x:f>
        <x:v>Phase 1</x:v>
      </x:c>
      <x:c r="D306" s="2" t="str">
        <x:f>'Data &amp; Reporting'!D306</x:f>
        <x:v>FCM</x:v>
      </x:c>
      <x:c r="E306" s="2" t="str">
        <x:v>Data &amp; Reporting</x:v>
      </x:c>
      <x:c r="F306" s="56" t="str">
        <x:f>'Data &amp; Reporting'!E306</x:f>
        <x:v>DR.FC.1.3.C08</x:v>
      </x:c>
      <x:c r="G306" s="14" t="str">
        <x:f>'Data &amp; Reporting'!F306</x:f>
        <x:v>    Document any assumptions made with the data (as needed)</x:v>
      </x:c>
      <x:c r="H306" s="2" t="str">
        <x:f>IF('Data &amp; Reporting'!G306="","",'Data &amp; Reporting'!G306)</x:f>
      </x:c>
      <x:c r="I306" s="12" t="str">
        <x:f>IF('Data &amp; Reporting'!H306="","",'Data &amp; Reporting'!H306)</x:f>
      </x:c>
      <x:c r="J306" s="12" t="str">
        <x:f>IF('Data &amp; Reporting'!I306="","",'Data &amp; Reporting'!I306)</x:f>
      </x:c>
      <x:c r="K306" s="12" t="str">
        <x:f>IF('Data &amp; Reporting'!J306="","",'Data &amp; Reporting'!J306)</x:f>
      </x:c>
      <x:c r="L306" s="2" t="str">
        <x:f>IF('Data &amp; Reporting'!K306="","",'Data &amp; Reporting'!K306)</x:f>
      </x:c>
      <x:c r="M306" s="2" t="n">
        <x:f>'Data &amp; Reporting'!Q306</x:f>
        <x:v>0</x:v>
      </x:c>
      <x:c r="N306" s="2" t="str">
        <x:f>'Data &amp; Reporting'!L306</x:f>
        <x:v>Open check</x:v>
      </x:c>
      <x:c r="O306" s="2" t="str">
        <x:f>'Data &amp; Reporting'!N306</x:f>
        <x:v>DR.FC.1.3.C08.2026.CY2</x:v>
      </x:c>
      <x:c r="P306" s="2" t="n">
        <x:f>'Data &amp; Reporting'!O306</x:f>
        <x:v>0</x:v>
      </x:c>
      <x:c r="Q306" s="2" t="n">
        <x:f>SUBTOTAL(103,O306)</x:f>
        <x:v>1</x:v>
      </x:c>
      <x:c r="R306" s="2" t="n">
        <x:f>IF(AND(M306=1,OR(Dashboard!$B$7="All",Dashboard!$B$7='Cycles &amp; Guide'!$C$5),OR(Dashboard!$D$7="All",Dashboard!$D$7=B306),OR(Dashboard!$F$7="All",Dashboard!$F$7=C306),OR(Dashboard!$H$7="All",Dashboard!$H$7=D306),OR(Dashboard!$K$7="All",Dashboard!$K$7=E306)),1,0)</x:f>
        <x:v>0</x:v>
      </x:c>
      <x:c r="S306" s="2" t="n">
        <x:f>IF(R306=1,SUM($R$10:R306),0)</x:f>
        <x:v>0</x:v>
      </x:c>
      <x:c r="T306" s="2" t="str">
        <x:v>Data &amp; Reporting</x:v>
      </x:c>
      <x:c r="U306" s="2" t="n">
        <x:v>306</x:v>
      </x:c>
      <x:c r="V306" s="2" t="n">
        <x:f>IF(AND(M306=1,P306=0,ISNUMBER(J306),J306&lt;TODAY()),1,0)</x:f>
        <x:v>0</x:v>
      </x:c>
      <x:c r="W306" s="2" t="str">
        <x:f>'Data &amp; Reporting'!M306</x:f>
        <x:v>Checklist</x:v>
      </x:c>
    </x:row>
    <x:row r="307" ht="40" customHeight="1">
      <x:c r="A307" s="3" t="str">
        <x:f>HYPERLINK("#'Data &amp; Reporting'!A307","Open")</x:f>
        <x:v>Open</x:v>
      </x:c>
      <x:c r="B307" s="2" t="str">
        <x:f>'Data &amp; Reporting'!B307</x:f>
        <x:v>Cycle 2</x:v>
      </x:c>
      <x:c r="C307" s="2" t="str">
        <x:f>'Data &amp; Reporting'!C307</x:f>
        <x:v>Phase 1</x:v>
      </x:c>
      <x:c r="D307" s="2" t="str">
        <x:f>'Data &amp; Reporting'!D307</x:f>
        <x:v>FCM</x:v>
      </x:c>
      <x:c r="E307" s="2" t="str">
        <x:v>Data &amp; Reporting</x:v>
      </x:c>
      <x:c r="F307" s="56" t="str">
        <x:f>'Data &amp; Reporting'!E307</x:f>
        <x:v>DR.FC.1.3.C09</x:v>
      </x:c>
      <x:c r="G307" s="14" t="str">
        <x:f>'Data &amp; Reporting'!F307</x:f>
        <x:v>    Document any data limitations or constraints clearly (as needed)</x:v>
      </x:c>
      <x:c r="H307" s="2" t="str">
        <x:f>IF('Data &amp; Reporting'!G307="","",'Data &amp; Reporting'!G307)</x:f>
      </x:c>
      <x:c r="I307" s="12" t="str">
        <x:f>IF('Data &amp; Reporting'!H307="","",'Data &amp; Reporting'!H307)</x:f>
      </x:c>
      <x:c r="J307" s="12" t="str">
        <x:f>IF('Data &amp; Reporting'!I307="","",'Data &amp; Reporting'!I307)</x:f>
      </x:c>
      <x:c r="K307" s="12" t="str">
        <x:f>IF('Data &amp; Reporting'!J307="","",'Data &amp; Reporting'!J307)</x:f>
      </x:c>
      <x:c r="L307" s="2" t="str">
        <x:f>IF('Data &amp; Reporting'!K307="","",'Data &amp; Reporting'!K307)</x:f>
      </x:c>
      <x:c r="M307" s="2" t="n">
        <x:f>'Data &amp; Reporting'!Q307</x:f>
        <x:v>0</x:v>
      </x:c>
      <x:c r="N307" s="2" t="str">
        <x:f>'Data &amp; Reporting'!L307</x:f>
        <x:v>Open check</x:v>
      </x:c>
      <x:c r="O307" s="2" t="str">
        <x:f>'Data &amp; Reporting'!N307</x:f>
        <x:v>DR.FC.1.3.C09.2026.CY2</x:v>
      </x:c>
      <x:c r="P307" s="2" t="n">
        <x:f>'Data &amp; Reporting'!O307</x:f>
        <x:v>0</x:v>
      </x:c>
      <x:c r="Q307" s="2" t="n">
        <x:f>SUBTOTAL(103,O307)</x:f>
        <x:v>1</x:v>
      </x:c>
      <x:c r="R307" s="2" t="n">
        <x:f>IF(AND(M307=1,OR(Dashboard!$B$7="All",Dashboard!$B$7='Cycles &amp; Guide'!$C$5),OR(Dashboard!$D$7="All",Dashboard!$D$7=B307),OR(Dashboard!$F$7="All",Dashboard!$F$7=C307),OR(Dashboard!$H$7="All",Dashboard!$H$7=D307),OR(Dashboard!$K$7="All",Dashboard!$K$7=E307)),1,0)</x:f>
        <x:v>0</x:v>
      </x:c>
      <x:c r="S307" s="2" t="n">
        <x:f>IF(R307=1,SUM($R$10:R307),0)</x:f>
        <x:v>0</x:v>
      </x:c>
      <x:c r="T307" s="2" t="str">
        <x:v>Data &amp; Reporting</x:v>
      </x:c>
      <x:c r="U307" s="2" t="n">
        <x:v>307</x:v>
      </x:c>
      <x:c r="V307" s="2" t="n">
        <x:f>IF(AND(M307=1,P307=0,ISNUMBER(J307),J307&lt;TODAY()),1,0)</x:f>
        <x:v>0</x:v>
      </x:c>
      <x:c r="W307" s="2" t="str">
        <x:f>'Data &amp; Reporting'!M307</x:f>
        <x:v>Checklist</x:v>
      </x:c>
    </x:row>
    <x:row r="308" ht="40" customHeight="1">
      <x:c r="A308" s="3" t="str">
        <x:f>HYPERLINK("#'Data &amp; Reporting'!A308","Open")</x:f>
        <x:v>Open</x:v>
      </x:c>
      <x:c r="B308" s="2" t="str">
        <x:f>'Data &amp; Reporting'!B308</x:f>
        <x:v>Cycle 2</x:v>
      </x:c>
      <x:c r="C308" s="2" t="str">
        <x:f>'Data &amp; Reporting'!C308</x:f>
        <x:v>Phase 1</x:v>
      </x:c>
      <x:c r="D308" s="2" t="str">
        <x:f>'Data &amp; Reporting'!D308</x:f>
        <x:v>FCM</x:v>
      </x:c>
      <x:c r="E308" s="2" t="str">
        <x:v>Data &amp; Reporting</x:v>
      </x:c>
      <x:c r="F308" s="56" t="str">
        <x:f>'Data &amp; Reporting'!E308</x:f>
        <x:v>DR.FC.1.3.C10</x:v>
      </x:c>
      <x:c r="G308" s="14" t="str">
        <x:f>'Data &amp; Reporting'!F308</x:f>
        <x:v>    Document data dictionary or field definitions for columns/rows</x:v>
      </x:c>
      <x:c r="H308" s="2" t="str">
        <x:f>IF('Data &amp; Reporting'!G308="","",'Data &amp; Reporting'!G308)</x:f>
      </x:c>
      <x:c r="I308" s="12" t="str">
        <x:f>IF('Data &amp; Reporting'!H308="","",'Data &amp; Reporting'!H308)</x:f>
      </x:c>
      <x:c r="J308" s="12" t="str">
        <x:f>IF('Data &amp; Reporting'!I308="","",'Data &amp; Reporting'!I308)</x:f>
      </x:c>
      <x:c r="K308" s="12" t="str">
        <x:f>IF('Data &amp; Reporting'!J308="","",'Data &amp; Reporting'!J308)</x:f>
      </x:c>
      <x:c r="L308" s="2" t="str">
        <x:f>IF('Data &amp; Reporting'!K308="","",'Data &amp; Reporting'!K308)</x:f>
      </x:c>
      <x:c r="M308" s="2" t="n">
        <x:f>'Data &amp; Reporting'!Q308</x:f>
        <x:v>0</x:v>
      </x:c>
      <x:c r="N308" s="2" t="str">
        <x:f>'Data &amp; Reporting'!L308</x:f>
        <x:v>Open check</x:v>
      </x:c>
      <x:c r="O308" s="2" t="str">
        <x:f>'Data &amp; Reporting'!N308</x:f>
        <x:v>DR.FC.1.3.C10.2026.CY2</x:v>
      </x:c>
      <x:c r="P308" s="2" t="n">
        <x:f>'Data &amp; Reporting'!O308</x:f>
        <x:v>0</x:v>
      </x:c>
      <x:c r="Q308" s="2" t="n">
        <x:f>SUBTOTAL(103,O308)</x:f>
        <x:v>1</x:v>
      </x:c>
      <x:c r="R308" s="2" t="n">
        <x:f>IF(AND(M308=1,OR(Dashboard!$B$7="All",Dashboard!$B$7='Cycles &amp; Guide'!$C$5),OR(Dashboard!$D$7="All",Dashboard!$D$7=B308),OR(Dashboard!$F$7="All",Dashboard!$F$7=C308),OR(Dashboard!$H$7="All",Dashboard!$H$7=D308),OR(Dashboard!$K$7="All",Dashboard!$K$7=E308)),1,0)</x:f>
        <x:v>0</x:v>
      </x:c>
      <x:c r="S308" s="2" t="n">
        <x:f>IF(R308=1,SUM($R$10:R308),0)</x:f>
        <x:v>0</x:v>
      </x:c>
      <x:c r="T308" s="2" t="str">
        <x:v>Data &amp; Reporting</x:v>
      </x:c>
      <x:c r="U308" s="2" t="n">
        <x:v>308</x:v>
      </x:c>
      <x:c r="V308" s="2" t="n">
        <x:f>IF(AND(M308=1,P308=0,ISNUMBER(J308),J308&lt;TODAY()),1,0)</x:f>
        <x:v>0</x:v>
      </x:c>
      <x:c r="W308" s="2" t="str">
        <x:f>'Data &amp; Reporting'!M308</x:f>
        <x:v>Checklist</x:v>
      </x:c>
    </x:row>
    <x:row r="309" ht="40" customHeight="1">
      <x:c r="A309" s="3" t="str">
        <x:f>HYPERLINK("#'Data &amp; Reporting'!A309","Open")</x:f>
        <x:v>Open</x:v>
      </x:c>
      <x:c r="B309" s="2" t="str">
        <x:f>'Data &amp; Reporting'!B309</x:f>
        <x:v>Cycle 2</x:v>
      </x:c>
      <x:c r="C309" s="2" t="str">
        <x:f>'Data &amp; Reporting'!C309</x:f>
        <x:v>Phase 1</x:v>
      </x:c>
      <x:c r="D309" s="2" t="str">
        <x:f>'Data &amp; Reporting'!D309</x:f>
        <x:v>FCM</x:v>
      </x:c>
      <x:c r="E309" s="2" t="str">
        <x:v>Data &amp; Reporting</x:v>
      </x:c>
      <x:c r="F309" s="56" t="str">
        <x:f>'Data &amp; Reporting'!E309</x:f>
        <x:v>DR.FC.1.3.C11</x:v>
      </x:c>
      <x:c r="G309" s="14" t="str">
        <x:f>'Data &amp; Reporting'!F309</x:f>
        <x:v>    Document emerging trends, patterns, or concentrations along with supporting data</x:v>
      </x:c>
      <x:c r="H309" s="2" t="str">
        <x:f>IF('Data &amp; Reporting'!G309="","",'Data &amp; Reporting'!G309)</x:f>
      </x:c>
      <x:c r="I309" s="12" t="str">
        <x:f>IF('Data &amp; Reporting'!H309="","",'Data &amp; Reporting'!H309)</x:f>
      </x:c>
      <x:c r="J309" s="12" t="str">
        <x:f>IF('Data &amp; Reporting'!I309="","",'Data &amp; Reporting'!I309)</x:f>
      </x:c>
      <x:c r="K309" s="12" t="str">
        <x:f>IF('Data &amp; Reporting'!J309="","",'Data &amp; Reporting'!J309)</x:f>
      </x:c>
      <x:c r="L309" s="2" t="str">
        <x:f>IF('Data &amp; Reporting'!K309="","",'Data &amp; Reporting'!K309)</x:f>
      </x:c>
      <x:c r="M309" s="2" t="n">
        <x:f>'Data &amp; Reporting'!Q309</x:f>
        <x:v>0</x:v>
      </x:c>
      <x:c r="N309" s="2" t="str">
        <x:f>'Data &amp; Reporting'!L309</x:f>
        <x:v>Open check</x:v>
      </x:c>
      <x:c r="O309" s="2" t="str">
        <x:f>'Data &amp; Reporting'!N309</x:f>
        <x:v>DR.FC.1.3.C11.2026.CY2</x:v>
      </x:c>
      <x:c r="P309" s="2" t="n">
        <x:f>'Data &amp; Reporting'!O309</x:f>
        <x:v>0</x:v>
      </x:c>
      <x:c r="Q309" s="2" t="n">
        <x:f>SUBTOTAL(103,O309)</x:f>
        <x:v>1</x:v>
      </x:c>
      <x:c r="R309" s="2" t="n">
        <x:f>IF(AND(M309=1,OR(Dashboard!$B$7="All",Dashboard!$B$7='Cycles &amp; Guide'!$C$5),OR(Dashboard!$D$7="All",Dashboard!$D$7=B309),OR(Dashboard!$F$7="All",Dashboard!$F$7=C309),OR(Dashboard!$H$7="All",Dashboard!$H$7=D309),OR(Dashboard!$K$7="All",Dashboard!$K$7=E309)),1,0)</x:f>
        <x:v>0</x:v>
      </x:c>
      <x:c r="S309" s="2" t="n">
        <x:f>IF(R309=1,SUM($R$10:R309),0)</x:f>
        <x:v>0</x:v>
      </x:c>
      <x:c r="T309" s="2" t="str">
        <x:v>Data &amp; Reporting</x:v>
      </x:c>
      <x:c r="U309" s="2" t="n">
        <x:v>309</x:v>
      </x:c>
      <x:c r="V309" s="2" t="n">
        <x:f>IF(AND(M309=1,P309=0,ISNUMBER(J309),J309&lt;TODAY()),1,0)</x:f>
        <x:v>0</x:v>
      </x:c>
      <x:c r="W309" s="2" t="str">
        <x:f>'Data &amp; Reporting'!M309</x:f>
        <x:v>Checklist</x:v>
      </x:c>
    </x:row>
    <x:row r="310" ht="40" customHeight="1">
      <x:c r="A310" s="3" t="str">
        <x:f>HYPERLINK("#'Data &amp; Reporting'!A310","Open")</x:f>
        <x:v>Open</x:v>
      </x:c>
      <x:c r="B310" s="2" t="str">
        <x:f>'Data &amp; Reporting'!B310</x:f>
        <x:v>Cycle 2</x:v>
      </x:c>
      <x:c r="C310" s="2" t="str">
        <x:f>'Data &amp; Reporting'!C310</x:f>
        <x:v>Phase 1</x:v>
      </x:c>
      <x:c r="D310" s="2" t="str">
        <x:f>'Data &amp; Reporting'!D310</x:f>
        <x:v>FCM</x:v>
      </x:c>
      <x:c r="E310" s="2" t="str">
        <x:v>Data &amp; Reporting</x:v>
      </x:c>
      <x:c r="F310" s="56" t="str">
        <x:f>'Data &amp; Reporting'!E310</x:f>
        <x:v>DR.FC.1.3.C12</x:v>
      </x:c>
      <x:c r="G310" s="14" t="str">
        <x:f>'Data &amp; Reporting'!F310</x:f>
        <x:v>    Document any severe spikes in volume along with context (as needed)</x:v>
      </x:c>
      <x:c r="H310" s="2" t="str">
        <x:f>IF('Data &amp; Reporting'!G310="","",'Data &amp; Reporting'!G310)</x:f>
      </x:c>
      <x:c r="I310" s="12" t="str">
        <x:f>IF('Data &amp; Reporting'!H310="","",'Data &amp; Reporting'!H310)</x:f>
      </x:c>
      <x:c r="J310" s="12" t="str">
        <x:f>IF('Data &amp; Reporting'!I310="","",'Data &amp; Reporting'!I310)</x:f>
      </x:c>
      <x:c r="K310" s="12" t="str">
        <x:f>IF('Data &amp; Reporting'!J310="","",'Data &amp; Reporting'!J310)</x:f>
      </x:c>
      <x:c r="L310" s="2" t="str">
        <x:f>IF('Data &amp; Reporting'!K310="","",'Data &amp; Reporting'!K310)</x:f>
      </x:c>
      <x:c r="M310" s="2" t="n">
        <x:f>'Data &amp; Reporting'!Q310</x:f>
        <x:v>0</x:v>
      </x:c>
      <x:c r="N310" s="2" t="str">
        <x:f>'Data &amp; Reporting'!L310</x:f>
        <x:v>Open check</x:v>
      </x:c>
      <x:c r="O310" s="2" t="str">
        <x:f>'Data &amp; Reporting'!N310</x:f>
        <x:v>DR.FC.1.3.C12.2026.CY2</x:v>
      </x:c>
      <x:c r="P310" s="2" t="n">
        <x:f>'Data &amp; Reporting'!O310</x:f>
        <x:v>0</x:v>
      </x:c>
      <x:c r="Q310" s="2" t="n">
        <x:f>SUBTOTAL(103,O310)</x:f>
        <x:v>1</x:v>
      </x:c>
      <x:c r="R310" s="2" t="n">
        <x:f>IF(AND(M310=1,OR(Dashboard!$B$7="All",Dashboard!$B$7='Cycles &amp; Guide'!$C$5),OR(Dashboard!$D$7="All",Dashboard!$D$7=B310),OR(Dashboard!$F$7="All",Dashboard!$F$7=C310),OR(Dashboard!$H$7="All",Dashboard!$H$7=D310),OR(Dashboard!$K$7="All",Dashboard!$K$7=E310)),1,0)</x:f>
        <x:v>0</x:v>
      </x:c>
      <x:c r="S310" s="2" t="n">
        <x:f>IF(R310=1,SUM($R$10:R310),0)</x:f>
        <x:v>0</x:v>
      </x:c>
      <x:c r="T310" s="2" t="str">
        <x:v>Data &amp; Reporting</x:v>
      </x:c>
      <x:c r="U310" s="2" t="n">
        <x:v>310</x:v>
      </x:c>
      <x:c r="V310" s="2" t="n">
        <x:f>IF(AND(M310=1,P310=0,ISNUMBER(J310),J310&lt;TODAY()),1,0)</x:f>
        <x:v>0</x:v>
      </x:c>
      <x:c r="W310" s="2" t="str">
        <x:f>'Data &amp; Reporting'!M310</x:f>
        <x:v>Checklist</x:v>
      </x:c>
    </x:row>
    <x:row r="311" ht="40" customHeight="1">
      <x:c r="A311" s="3" t="str">
        <x:f>HYPERLINK("#'Data &amp; Reporting'!A311","Open")</x:f>
        <x:v>Open</x:v>
      </x:c>
      <x:c r="B311" s="2" t="str">
        <x:f>'Data &amp; Reporting'!B311</x:f>
        <x:v>Cycle 2</x:v>
      </x:c>
      <x:c r="C311" s="2" t="str">
        <x:f>'Data &amp; Reporting'!C311</x:f>
        <x:v>Phase 1</x:v>
      </x:c>
      <x:c r="D311" s="2" t="str">
        <x:f>'Data &amp; Reporting'!D311</x:f>
        <x:v>FCM</x:v>
      </x:c>
      <x:c r="E311" s="2" t="str">
        <x:v>Data &amp; Reporting</x:v>
      </x:c>
      <x:c r="F311" s="56" t="str">
        <x:f>'Data &amp; Reporting'!E311</x:f>
        <x:v>DR.FC.1.3.C13</x:v>
      </x:c>
      <x:c r="G311" s="14" t="str">
        <x:f>'Data &amp; Reporting'!F311</x:f>
        <x:v>    Document clear summary explaining how the data connects to the potential topic</x:v>
      </x:c>
      <x:c r="H311" s="2" t="str">
        <x:f>IF('Data &amp; Reporting'!G311="","",'Data &amp; Reporting'!G311)</x:f>
      </x:c>
      <x:c r="I311" s="12" t="str">
        <x:f>IF('Data &amp; Reporting'!H311="","",'Data &amp; Reporting'!H311)</x:f>
      </x:c>
      <x:c r="J311" s="12" t="str">
        <x:f>IF('Data &amp; Reporting'!I311="","",'Data &amp; Reporting'!I311)</x:f>
      </x:c>
      <x:c r="K311" s="12" t="str">
        <x:f>IF('Data &amp; Reporting'!J311="","",'Data &amp; Reporting'!J311)</x:f>
      </x:c>
      <x:c r="L311" s="2" t="str">
        <x:f>IF('Data &amp; Reporting'!K311="","",'Data &amp; Reporting'!K311)</x:f>
      </x:c>
      <x:c r="M311" s="2" t="n">
        <x:f>'Data &amp; Reporting'!Q311</x:f>
        <x:v>0</x:v>
      </x:c>
      <x:c r="N311" s="2" t="str">
        <x:f>'Data &amp; Reporting'!L311</x:f>
        <x:v>Open check</x:v>
      </x:c>
      <x:c r="O311" s="2" t="str">
        <x:f>'Data &amp; Reporting'!N311</x:f>
        <x:v>DR.FC.1.3.C13.2026.CY2</x:v>
      </x:c>
      <x:c r="P311" s="2" t="n">
        <x:f>'Data &amp; Reporting'!O311</x:f>
        <x:v>0</x:v>
      </x:c>
      <x:c r="Q311" s="2" t="n">
        <x:f>SUBTOTAL(103,O311)</x:f>
        <x:v>1</x:v>
      </x:c>
      <x:c r="R311" s="2" t="n">
        <x:f>IF(AND(M311=1,OR(Dashboard!$B$7="All",Dashboard!$B$7='Cycles &amp; Guide'!$C$5),OR(Dashboard!$D$7="All",Dashboard!$D$7=B311),OR(Dashboard!$F$7="All",Dashboard!$F$7=C311),OR(Dashboard!$H$7="All",Dashboard!$H$7=D311),OR(Dashboard!$K$7="All",Dashboard!$K$7=E311)),1,0)</x:f>
        <x:v>0</x:v>
      </x:c>
      <x:c r="S311" s="2" t="n">
        <x:f>IF(R311=1,SUM($R$10:R311),0)</x:f>
        <x:v>0</x:v>
      </x:c>
      <x:c r="T311" s="2" t="str">
        <x:v>Data &amp; Reporting</x:v>
      </x:c>
      <x:c r="U311" s="2" t="n">
        <x:v>311</x:v>
      </x:c>
      <x:c r="V311" s="2" t="n">
        <x:f>IF(AND(M311=1,P311=0,ISNUMBER(J311),J311&lt;TODAY()),1,0)</x:f>
        <x:v>0</x:v>
      </x:c>
      <x:c r="W311" s="2" t="str">
        <x:f>'Data &amp; Reporting'!M311</x:f>
        <x:v>Checklist</x:v>
      </x:c>
    </x:row>
    <x:row r="312" ht="40" customHeight="1">
      <x:c r="A312" s="3" t="str">
        <x:f>HYPERLINK("#'Data &amp; Reporting'!A312","Open")</x:f>
        <x:v>Open</x:v>
      </x:c>
      <x:c r="B312" s="2" t="str">
        <x:f>'Data &amp; Reporting'!B312</x:f>
        <x:v>Cycle 2</x:v>
      </x:c>
      <x:c r="C312" s="2" t="str">
        <x:f>'Data &amp; Reporting'!C312</x:f>
        <x:v>Phase 2</x:v>
      </x:c>
      <x:c r="D312" s="2" t="str">
        <x:f>'Data &amp; Reporting'!D312</x:f>
        <x:v>FCM</x:v>
      </x:c>
      <x:c r="E312" s="2" t="str">
        <x:v>Data &amp; Reporting</x:v>
      </x:c>
      <x:c r="F312" s="56" t="str">
        <x:f>'Data &amp; Reporting'!E312</x:f>
        <x:v>DR.FC.2.1</x:v>
      </x:c>
      <x:c r="G312" s="14" t="str">
        <x:f>'Data &amp; Reporting'!F312</x:f>
        <x:v>Ensure data is clean, structured, and usable without manipulation needed</x:v>
      </x:c>
      <x:c r="H312" s="2" t="str">
        <x:f>IF('Data &amp; Reporting'!G312="","",'Data &amp; Reporting'!G312)</x:f>
      </x:c>
      <x:c r="I312" s="12" t="str">
        <x:f>IF('Data &amp; Reporting'!H312="","",'Data &amp; Reporting'!H312)</x:f>
      </x:c>
      <x:c r="J312" s="12" t="n">
        <x:f>IF('Data &amp; Reporting'!I312="","",'Data &amp; Reporting'!I312)</x:f>
        <x:v>46203</x:v>
      </x:c>
      <x:c r="K312" s="12" t="str">
        <x:f>IF('Data &amp; Reporting'!J312="","",'Data &amp; Reporting'!J312)</x:f>
      </x:c>
      <x:c r="L312" s="2" t="str">
        <x:f>IF('Data &amp; Reporting'!K312="","",'Data &amp; Reporting'!K312)</x:f>
      </x:c>
      <x:c r="M312" s="2" t="n">
        <x:f>'Data &amp; Reporting'!Q312</x:f>
        <x:v>1</x:v>
      </x:c>
      <x:c r="N312" s="2" t="str">
        <x:f>'Data &amp; Reporting'!L312</x:f>
        <x:v>Not started</x:v>
      </x:c>
      <x:c r="O312" s="2" t="str">
        <x:f>'Data &amp; Reporting'!N312</x:f>
        <x:v>DR.FC.2.1.2026.CY2</x:v>
      </x:c>
      <x:c r="P312" s="2" t="n">
        <x:f>'Data &amp; Reporting'!O312</x:f>
        <x:v>0</x:v>
      </x:c>
      <x:c r="Q312" s="2" t="n">
        <x:f>SUBTOTAL(103,O312)</x:f>
        <x:v>1</x:v>
      </x:c>
      <x:c r="R312" s="2" t="n">
        <x:f>IF(AND(M312=1,OR(Dashboard!$B$7="All",Dashboard!$B$7='Cycles &amp; Guide'!$C$5),OR(Dashboard!$D$7="All",Dashboard!$D$7=B312),OR(Dashboard!$F$7="All",Dashboard!$F$7=C312),OR(Dashboard!$H$7="All",Dashboard!$H$7=D312),OR(Dashboard!$K$7="All",Dashboard!$K$7=E312)),1,0)</x:f>
        <x:v>1</x:v>
      </x:c>
      <x:c r="S312" s="2" t="n">
        <x:f>IF(R312=1,SUM($R$10:R312),0)</x:f>
        <x:v>147</x:v>
      </x:c>
      <x:c r="T312" s="2" t="str">
        <x:v>Data &amp; Reporting</x:v>
      </x:c>
      <x:c r="U312" s="2" t="n">
        <x:v>312</x:v>
      </x:c>
      <x:c r="V312" s="2" t="n">
        <x:f>IF(AND(M312=1,P312=0,ISNUMBER(J312),J312&lt;TODAY()),1,0)</x:f>
        <x:v>1</x:v>
      </x:c>
      <x:c r="W312" s="2" t="str">
        <x:f>'Data &amp; Reporting'!M312</x:f>
        <x:v>Task</x:v>
      </x:c>
    </x:row>
    <x:row r="313" ht="40" customHeight="1">
      <x:c r="A313" s="3" t="str">
        <x:f>HYPERLINK("#'Data &amp; Reporting'!A313","Open")</x:f>
        <x:v>Open</x:v>
      </x:c>
      <x:c r="B313" s="2" t="str">
        <x:f>'Data &amp; Reporting'!B313</x:f>
        <x:v>Cycle 2</x:v>
      </x:c>
      <x:c r="C313" s="2" t="str">
        <x:f>'Data &amp; Reporting'!C313</x:f>
        <x:v>Phase 2</x:v>
      </x:c>
      <x:c r="D313" s="2" t="str">
        <x:f>'Data &amp; Reporting'!D313</x:f>
        <x:v>FCM</x:v>
      </x:c>
      <x:c r="E313" s="2" t="str">
        <x:v>Data &amp; Reporting</x:v>
      </x:c>
      <x:c r="F313" s="56" t="str">
        <x:f>'Data &amp; Reporting'!E313</x:f>
        <x:v>DR.FC.2.2</x:v>
      </x:c>
      <x:c r="G313" s="14" t="str">
        <x:f>'Data &amp; Reporting'!F313</x:f>
        <x:v>Clearly document rationale for each topic recommendation within the SharePoint list</x:v>
      </x:c>
      <x:c r="H313" s="2" t="str">
        <x:f>IF('Data &amp; Reporting'!G313="","",'Data &amp; Reporting'!G313)</x:f>
      </x:c>
      <x:c r="I313" s="12" t="str">
        <x:f>IF('Data &amp; Reporting'!H313="","",'Data &amp; Reporting'!H313)</x:f>
      </x:c>
      <x:c r="J313" s="12" t="n">
        <x:f>IF('Data &amp; Reporting'!I313="","",'Data &amp; Reporting'!I313)</x:f>
        <x:v>46203</x:v>
      </x:c>
      <x:c r="K313" s="12" t="str">
        <x:f>IF('Data &amp; Reporting'!J313="","",'Data &amp; Reporting'!J313)</x:f>
      </x:c>
      <x:c r="L313" s="2" t="str">
        <x:f>IF('Data &amp; Reporting'!K313="","",'Data &amp; Reporting'!K313)</x:f>
      </x:c>
      <x:c r="M313" s="2" t="n">
        <x:f>'Data &amp; Reporting'!Q313</x:f>
        <x:v>1</x:v>
      </x:c>
      <x:c r="N313" s="2" t="str">
        <x:f>'Data &amp; Reporting'!L313</x:f>
        <x:v>Not started</x:v>
      </x:c>
      <x:c r="O313" s="2" t="str">
        <x:f>'Data &amp; Reporting'!N313</x:f>
        <x:v>DR.FC.2.2.2026.CY2</x:v>
      </x:c>
      <x:c r="P313" s="2" t="n">
        <x:f>'Data &amp; Reporting'!O313</x:f>
        <x:v>0</x:v>
      </x:c>
      <x:c r="Q313" s="2" t="n">
        <x:f>SUBTOTAL(103,O313)</x:f>
        <x:v>1</x:v>
      </x:c>
      <x:c r="R313" s="2" t="n">
        <x:f>IF(AND(M313=1,OR(Dashboard!$B$7="All",Dashboard!$B$7='Cycles &amp; Guide'!$C$5),OR(Dashboard!$D$7="All",Dashboard!$D$7=B313),OR(Dashboard!$F$7="All",Dashboard!$F$7=C313),OR(Dashboard!$H$7="All",Dashboard!$H$7=D313),OR(Dashboard!$K$7="All",Dashboard!$K$7=E313)),1,0)</x:f>
        <x:v>1</x:v>
      </x:c>
      <x:c r="S313" s="2" t="n">
        <x:f>IF(R313=1,SUM($R$10:R313),0)</x:f>
        <x:v>148</x:v>
      </x:c>
      <x:c r="T313" s="2" t="str">
        <x:v>Data &amp; Reporting</x:v>
      </x:c>
      <x:c r="U313" s="2" t="n">
        <x:v>313</x:v>
      </x:c>
      <x:c r="V313" s="2" t="n">
        <x:f>IF(AND(M313=1,P313=0,ISNUMBER(J313),J313&lt;TODAY()),1,0)</x:f>
        <x:v>1</x:v>
      </x:c>
      <x:c r="W313" s="2" t="str">
        <x:f>'Data &amp; Reporting'!M313</x:f>
        <x:v>Task</x:v>
      </x:c>
    </x:row>
    <x:row r="314" ht="40" customHeight="1">
      <x:c r="A314" s="3" t="str">
        <x:f>HYPERLINK("#'Data &amp; Reporting'!A314","Open")</x:f>
        <x:v>Open</x:v>
      </x:c>
      <x:c r="B314" s="2" t="str">
        <x:f>'Data &amp; Reporting'!B314</x:f>
        <x:v>Cycle 2</x:v>
      </x:c>
      <x:c r="C314" s="2" t="str">
        <x:f>'Data &amp; Reporting'!C314</x:f>
        <x:v>Phase 2</x:v>
      </x:c>
      <x:c r="D314" s="2" t="str">
        <x:f>'Data &amp; Reporting'!D314</x:f>
        <x:v>FCM</x:v>
      </x:c>
      <x:c r="E314" s="2" t="str">
        <x:v>Data &amp; Reporting</x:v>
      </x:c>
      <x:c r="F314" s="56" t="str">
        <x:f>'Data &amp; Reporting'!E314</x:f>
        <x:v>DR.FC.2.3</x:v>
      </x:c>
      <x:c r="G314" s="14" t="str">
        <x:f>'Data &amp; Reporting'!F314</x:f>
        <x:v>Verify topic is eligible for RCA and does not conflict with Attorney Client Privilege</x:v>
      </x:c>
      <x:c r="H314" s="2" t="str">
        <x:f>IF('Data &amp; Reporting'!G314="","",'Data &amp; Reporting'!G314)</x:f>
      </x:c>
      <x:c r="I314" s="12" t="str">
        <x:f>IF('Data &amp; Reporting'!H314="","",'Data &amp; Reporting'!H314)</x:f>
      </x:c>
      <x:c r="J314" s="12" t="n">
        <x:f>IF('Data &amp; Reporting'!I314="","",'Data &amp; Reporting'!I314)</x:f>
        <x:v>46203</x:v>
      </x:c>
      <x:c r="K314" s="12" t="str">
        <x:f>IF('Data &amp; Reporting'!J314="","",'Data &amp; Reporting'!J314)</x:f>
      </x:c>
      <x:c r="L314" s="2" t="str">
        <x:f>IF('Data &amp; Reporting'!K314="","",'Data &amp; Reporting'!K314)</x:f>
      </x:c>
      <x:c r="M314" s="2" t="n">
        <x:f>'Data &amp; Reporting'!Q314</x:f>
        <x:v>1</x:v>
      </x:c>
      <x:c r="N314" s="2" t="str">
        <x:f>'Data &amp; Reporting'!L314</x:f>
        <x:v>Not started</x:v>
      </x:c>
      <x:c r="O314" s="2" t="str">
        <x:f>'Data &amp; Reporting'!N314</x:f>
        <x:v>DR.FC.2.3.2026.CY2</x:v>
      </x:c>
      <x:c r="P314" s="2" t="n">
        <x:f>'Data &amp; Reporting'!O314</x:f>
        <x:v>0</x:v>
      </x:c>
      <x:c r="Q314" s="2" t="n">
        <x:f>SUBTOTAL(103,O314)</x:f>
        <x:v>1</x:v>
      </x:c>
      <x:c r="R314" s="2" t="n">
        <x:f>IF(AND(M314=1,OR(Dashboard!$B$7="All",Dashboard!$B$7='Cycles &amp; Guide'!$C$5),OR(Dashboard!$D$7="All",Dashboard!$D$7=B314),OR(Dashboard!$F$7="All",Dashboard!$F$7=C314),OR(Dashboard!$H$7="All",Dashboard!$H$7=D314),OR(Dashboard!$K$7="All",Dashboard!$K$7=E314)),1,0)</x:f>
        <x:v>1</x:v>
      </x:c>
      <x:c r="S314" s="2" t="n">
        <x:f>IF(R314=1,SUM($R$10:R314),0)</x:f>
        <x:v>149</x:v>
      </x:c>
      <x:c r="T314" s="2" t="str">
        <x:v>Data &amp; Reporting</x:v>
      </x:c>
      <x:c r="U314" s="2" t="n">
        <x:v>314</x:v>
      </x:c>
      <x:c r="V314" s="2" t="n">
        <x:f>IF(AND(M314=1,P314=0,ISNUMBER(J314),J314&lt;TODAY()),1,0)</x:f>
        <x:v>1</x:v>
      </x:c>
      <x:c r="W314" s="2" t="str">
        <x:f>'Data &amp; Reporting'!M314</x:f>
        <x:v>Task</x:v>
      </x:c>
    </x:row>
    <x:row r="315" ht="40" customHeight="1">
      <x:c r="A315" s="3" t="str">
        <x:f>HYPERLINK("#'Data &amp; Reporting'!A315","Open")</x:f>
        <x:v>Open</x:v>
      </x:c>
      <x:c r="B315" s="2" t="str">
        <x:f>'Data &amp; Reporting'!B315</x:f>
        <x:v>Cycle 2</x:v>
      </x:c>
      <x:c r="C315" s="2" t="str">
        <x:f>'Data &amp; Reporting'!C315</x:f>
        <x:v>Phase 2</x:v>
      </x:c>
      <x:c r="D315" s="2" t="str">
        <x:f>'Data &amp; Reporting'!D315</x:f>
        <x:v>FCM</x:v>
      </x:c>
      <x:c r="E315" s="2" t="str">
        <x:v>Data &amp; Reporting</x:v>
      </x:c>
      <x:c r="F315" s="56" t="str">
        <x:f>'Data &amp; Reporting'!E315</x:f>
        <x:v>DR.FC.2.4</x:v>
      </x:c>
      <x:c r="G315" s="14" t="str">
        <x:f>'Data &amp; Reporting'!F315</x:f>
        <x:v>Ensure data is free of errors and anomalies prior to hand-off to Research</x:v>
      </x:c>
      <x:c r="H315" s="2" t="str">
        <x:f>IF('Data &amp; Reporting'!G315="","",'Data &amp; Reporting'!G315)</x:f>
      </x:c>
      <x:c r="I315" s="12" t="str">
        <x:f>IF('Data &amp; Reporting'!H315="","",'Data &amp; Reporting'!H315)</x:f>
      </x:c>
      <x:c r="J315" s="12" t="n">
        <x:f>IF('Data &amp; Reporting'!I315="","",'Data &amp; Reporting'!I315)</x:f>
        <x:v>46203</x:v>
      </x:c>
      <x:c r="K315" s="12" t="str">
        <x:f>IF('Data &amp; Reporting'!J315="","",'Data &amp; Reporting'!J315)</x:f>
      </x:c>
      <x:c r="L315" s="2" t="str">
        <x:f>IF('Data &amp; Reporting'!K315="","",'Data &amp; Reporting'!K315)</x:f>
      </x:c>
      <x:c r="M315" s="2" t="n">
        <x:f>'Data &amp; Reporting'!Q315</x:f>
        <x:v>1</x:v>
      </x:c>
      <x:c r="N315" s="2" t="str">
        <x:f>'Data &amp; Reporting'!L315</x:f>
        <x:v>Not started</x:v>
      </x:c>
      <x:c r="O315" s="2" t="str">
        <x:f>'Data &amp; Reporting'!N315</x:f>
        <x:v>DR.FC.2.4.2026.CY2</x:v>
      </x:c>
      <x:c r="P315" s="2" t="n">
        <x:f>'Data &amp; Reporting'!O315</x:f>
        <x:v>0</x:v>
      </x:c>
      <x:c r="Q315" s="2" t="n">
        <x:f>SUBTOTAL(103,O315)</x:f>
        <x:v>1</x:v>
      </x:c>
      <x:c r="R315" s="2" t="n">
        <x:f>IF(AND(M315=1,OR(Dashboard!$B$7="All",Dashboard!$B$7='Cycles &amp; Guide'!$C$5),OR(Dashboard!$D$7="All",Dashboard!$D$7=B315),OR(Dashboard!$F$7="All",Dashboard!$F$7=C315),OR(Dashboard!$H$7="All",Dashboard!$H$7=D315),OR(Dashboard!$K$7="All",Dashboard!$K$7=E315)),1,0)</x:f>
        <x:v>1</x:v>
      </x:c>
      <x:c r="S315" s="2" t="n">
        <x:f>IF(R315=1,SUM($R$10:R315),0)</x:f>
        <x:v>150</x:v>
      </x:c>
      <x:c r="T315" s="2" t="str">
        <x:v>Data &amp; Reporting</x:v>
      </x:c>
      <x:c r="U315" s="2" t="n">
        <x:v>315</x:v>
      </x:c>
      <x:c r="V315" s="2" t="n">
        <x:f>IF(AND(M315=1,P315=0,ISNUMBER(J315),J315&lt;TODAY()),1,0)</x:f>
        <x:v>1</x:v>
      </x:c>
      <x:c r="W315" s="2" t="str">
        <x:f>'Data &amp; Reporting'!M315</x:f>
        <x:v>Task</x:v>
      </x:c>
    </x:row>
    <x:row r="316" ht="40" customHeight="1">
      <x:c r="A316" s="3" t="str">
        <x:f>HYPERLINK("#'Data &amp; Reporting'!A316","Open")</x:f>
        <x:v>Open</x:v>
      </x:c>
      <x:c r="B316" s="2" t="str">
        <x:f>'Data &amp; Reporting'!B316</x:f>
        <x:v>Cycle 2</x:v>
      </x:c>
      <x:c r="C316" s="2" t="str">
        <x:f>'Data &amp; Reporting'!C316</x:f>
        <x:v>Phase 2</x:v>
      </x:c>
      <x:c r="D316" s="2" t="str">
        <x:f>'Data &amp; Reporting'!D316</x:f>
        <x:v>FCM</x:v>
      </x:c>
      <x:c r="E316" s="2" t="str">
        <x:v>Data &amp; Reporting</x:v>
      </x:c>
      <x:c r="F316" s="56" t="str">
        <x:f>'Data &amp; Reporting'!E316</x:f>
        <x:v>DR.FC.2.5</x:v>
      </x:c>
      <x:c r="G316" s="14" t="str">
        <x:f>'Data &amp; Reporting'!F316</x:f>
        <x:v>Ensure topic is not a duplicate from a previous Cycle</x:v>
      </x:c>
      <x:c r="H316" s="2" t="str">
        <x:f>IF('Data &amp; Reporting'!G316="","",'Data &amp; Reporting'!G316)</x:f>
      </x:c>
      <x:c r="I316" s="12" t="str">
        <x:f>IF('Data &amp; Reporting'!H316="","",'Data &amp; Reporting'!H316)</x:f>
      </x:c>
      <x:c r="J316" s="12" t="n">
        <x:f>IF('Data &amp; Reporting'!I316="","",'Data &amp; Reporting'!I316)</x:f>
        <x:v>46203</x:v>
      </x:c>
      <x:c r="K316" s="12" t="str">
        <x:f>IF('Data &amp; Reporting'!J316="","",'Data &amp; Reporting'!J316)</x:f>
      </x:c>
      <x:c r="L316" s="2" t="str">
        <x:f>IF('Data &amp; Reporting'!K316="","",'Data &amp; Reporting'!K316)</x:f>
      </x:c>
      <x:c r="M316" s="2" t="n">
        <x:f>'Data &amp; Reporting'!Q316</x:f>
        <x:v>1</x:v>
      </x:c>
      <x:c r="N316" s="2" t="str">
        <x:f>'Data &amp; Reporting'!L316</x:f>
        <x:v>Not started</x:v>
      </x:c>
      <x:c r="O316" s="2" t="str">
        <x:f>'Data &amp; Reporting'!N316</x:f>
        <x:v>DR.FC.2.5.2026.CY2</x:v>
      </x:c>
      <x:c r="P316" s="2" t="n">
        <x:f>'Data &amp; Reporting'!O316</x:f>
        <x:v>0</x:v>
      </x:c>
      <x:c r="Q316" s="2" t="n">
        <x:f>SUBTOTAL(103,O316)</x:f>
        <x:v>1</x:v>
      </x:c>
      <x:c r="R316" s="2" t="n">
        <x:f>IF(AND(M316=1,OR(Dashboard!$B$7="All",Dashboard!$B$7='Cycles &amp; Guide'!$C$5),OR(Dashboard!$D$7="All",Dashboard!$D$7=B316),OR(Dashboard!$F$7="All",Dashboard!$F$7=C316),OR(Dashboard!$H$7="All",Dashboard!$H$7=D316),OR(Dashboard!$K$7="All",Dashboard!$K$7=E316)),1,0)</x:f>
        <x:v>1</x:v>
      </x:c>
      <x:c r="S316" s="2" t="n">
        <x:f>IF(R316=1,SUM($R$10:R316),0)</x:f>
        <x:v>151</x:v>
      </x:c>
      <x:c r="T316" s="2" t="str">
        <x:v>Data &amp; Reporting</x:v>
      </x:c>
      <x:c r="U316" s="2" t="n">
        <x:v>316</x:v>
      </x:c>
      <x:c r="V316" s="2" t="n">
        <x:f>IF(AND(M316=1,P316=0,ISNUMBER(J316),J316&lt;TODAY()),1,0)</x:f>
        <x:v>1</x:v>
      </x:c>
      <x:c r="W316" s="2" t="str">
        <x:f>'Data &amp; Reporting'!M316</x:f>
        <x:v>Task</x:v>
      </x:c>
    </x:row>
    <x:row r="317" ht="40" customHeight="1">
      <x:c r="A317" s="3" t="str">
        <x:f>HYPERLINK("#'Data &amp; Reporting'!A317","Open")</x:f>
        <x:v>Open</x:v>
      </x:c>
      <x:c r="B317" s="2" t="str">
        <x:f>'Data &amp; Reporting'!B317</x:f>
        <x:v>Cycle 2</x:v>
      </x:c>
      <x:c r="C317" s="2" t="str">
        <x:f>'Data &amp; Reporting'!C317</x:f>
        <x:v>Phase 2</x:v>
      </x:c>
      <x:c r="D317" s="2" t="str">
        <x:f>'Data &amp; Reporting'!D317</x:f>
        <x:v>FCM</x:v>
      </x:c>
      <x:c r="E317" s="2" t="str">
        <x:v>Data &amp; Reporting</x:v>
      </x:c>
      <x:c r="F317" s="56" t="str">
        <x:f>'Data &amp; Reporting'!E317</x:f>
        <x:v>DR.FC.2.6</x:v>
      </x:c>
      <x:c r="G317" s="14" t="str">
        <x:f>'Data &amp; Reporting'!F317</x:f>
        <x:v>Document clear distinctions between facts, assumptions, and hypotheses within the data package</x:v>
      </x:c>
      <x:c r="H317" s="2" t="str">
        <x:f>IF('Data &amp; Reporting'!G317="","",'Data &amp; Reporting'!G317)</x:f>
      </x:c>
      <x:c r="I317" s="12" t="str">
        <x:f>IF('Data &amp; Reporting'!H317="","",'Data &amp; Reporting'!H317)</x:f>
      </x:c>
      <x:c r="J317" s="12" t="n">
        <x:f>IF('Data &amp; Reporting'!I317="","",'Data &amp; Reporting'!I317)</x:f>
        <x:v>46203</x:v>
      </x:c>
      <x:c r="K317" s="12" t="str">
        <x:f>IF('Data &amp; Reporting'!J317="","",'Data &amp; Reporting'!J317)</x:f>
      </x:c>
      <x:c r="L317" s="2" t="str">
        <x:f>IF('Data &amp; Reporting'!K317="","",'Data &amp; Reporting'!K317)</x:f>
      </x:c>
      <x:c r="M317" s="2" t="n">
        <x:f>'Data &amp; Reporting'!Q317</x:f>
        <x:v>1</x:v>
      </x:c>
      <x:c r="N317" s="2" t="str">
        <x:f>'Data &amp; Reporting'!L317</x:f>
        <x:v>Not started</x:v>
      </x:c>
      <x:c r="O317" s="2" t="str">
        <x:f>'Data &amp; Reporting'!N317</x:f>
        <x:v>DR.FC.2.6.2026.CY2</x:v>
      </x:c>
      <x:c r="P317" s="2" t="n">
        <x:f>'Data &amp; Reporting'!O317</x:f>
        <x:v>0</x:v>
      </x:c>
      <x:c r="Q317" s="2" t="n">
        <x:f>SUBTOTAL(103,O317)</x:f>
        <x:v>1</x:v>
      </x:c>
      <x:c r="R317" s="2" t="n">
        <x:f>IF(AND(M317=1,OR(Dashboard!$B$7="All",Dashboard!$B$7='Cycles &amp; Guide'!$C$5),OR(Dashboard!$D$7="All",Dashboard!$D$7=B317),OR(Dashboard!$F$7="All",Dashboard!$F$7=C317),OR(Dashboard!$H$7="All",Dashboard!$H$7=D317),OR(Dashboard!$K$7="All",Dashboard!$K$7=E317)),1,0)</x:f>
        <x:v>1</x:v>
      </x:c>
      <x:c r="S317" s="2" t="n">
        <x:f>IF(R317=1,SUM($R$10:R317),0)</x:f>
        <x:v>152</x:v>
      </x:c>
      <x:c r="T317" s="2" t="str">
        <x:v>Data &amp; Reporting</x:v>
      </x:c>
      <x:c r="U317" s="2" t="n">
        <x:v>317</x:v>
      </x:c>
      <x:c r="V317" s="2" t="n">
        <x:f>IF(AND(M317=1,P317=0,ISNUMBER(J317),J317&lt;TODAY()),1,0)</x:f>
        <x:v>1</x:v>
      </x:c>
      <x:c r="W317" s="2" t="str">
        <x:f>'Data &amp; Reporting'!M317</x:f>
        <x:v>Task</x:v>
      </x:c>
    </x:row>
    <x:row r="318" ht="40" customHeight="1">
      <x:c r="A318" s="3" t="str">
        <x:f>HYPERLINK("#'Data &amp; Reporting'!A318","Open")</x:f>
        <x:v>Open</x:v>
      </x:c>
      <x:c r="B318" s="2" t="str">
        <x:f>'Data &amp; Reporting'!B318</x:f>
        <x:v>Cycle 2</x:v>
      </x:c>
      <x:c r="C318" s="2" t="str">
        <x:f>'Data &amp; Reporting'!C318</x:f>
        <x:v>Phase 3</x:v>
      </x:c>
      <x:c r="D318" s="2" t="str">
        <x:f>'Data &amp; Reporting'!D318</x:f>
        <x:v>FCM</x:v>
      </x:c>
      <x:c r="E318" s="2" t="str">
        <x:v>Data &amp; Reporting</x:v>
      </x:c>
      <x:c r="F318" s="56" t="str">
        <x:f>'Data &amp; Reporting'!E318</x:f>
        <x:v>DR.FC.3.1</x:v>
      </x:c>
      <x:c r="G318" s="14" t="str">
        <x:f>'Data &amp; Reporting'!F318</x:f>
        <x:v>Clearly document rationale for each topic recommendation within the SharePoint list item</x:v>
      </x:c>
      <x:c r="H318" s="2" t="str">
        <x:f>IF('Data &amp; Reporting'!G318="","",'Data &amp; Reporting'!G318)</x:f>
      </x:c>
      <x:c r="I318" s="12" t="str">
        <x:f>IF('Data &amp; Reporting'!H318="","",'Data &amp; Reporting'!H318)</x:f>
      </x:c>
      <x:c r="J318" s="12" t="n">
        <x:f>IF('Data &amp; Reporting'!I318="","",'Data &amp; Reporting'!I318)</x:f>
        <x:v>46203</x:v>
      </x:c>
      <x:c r="K318" s="12" t="str">
        <x:f>IF('Data &amp; Reporting'!J318="","",'Data &amp; Reporting'!J318)</x:f>
      </x:c>
      <x:c r="L318" s="2" t="str">
        <x:f>IF('Data &amp; Reporting'!K318="","",'Data &amp; Reporting'!K318)</x:f>
      </x:c>
      <x:c r="M318" s="2" t="n">
        <x:f>'Data &amp; Reporting'!Q318</x:f>
        <x:v>1</x:v>
      </x:c>
      <x:c r="N318" s="2" t="str">
        <x:f>'Data &amp; Reporting'!L318</x:f>
        <x:v>Not started</x:v>
      </x:c>
      <x:c r="O318" s="2" t="str">
        <x:f>'Data &amp; Reporting'!N318</x:f>
        <x:v>DR.FC.3.1.2026.CY2</x:v>
      </x:c>
      <x:c r="P318" s="2" t="n">
        <x:f>'Data &amp; Reporting'!O318</x:f>
        <x:v>0</x:v>
      </x:c>
      <x:c r="Q318" s="2" t="n">
        <x:f>SUBTOTAL(103,O318)</x:f>
        <x:v>1</x:v>
      </x:c>
      <x:c r="R318" s="2" t="n">
        <x:f>IF(AND(M318=1,OR(Dashboard!$B$7="All",Dashboard!$B$7='Cycles &amp; Guide'!$C$5),OR(Dashboard!$D$7="All",Dashboard!$D$7=B318),OR(Dashboard!$F$7="All",Dashboard!$F$7=C318),OR(Dashboard!$H$7="All",Dashboard!$H$7=D318),OR(Dashboard!$K$7="All",Dashboard!$K$7=E318)),1,0)</x:f>
        <x:v>1</x:v>
      </x:c>
      <x:c r="S318" s="2" t="n">
        <x:f>IF(R318=1,SUM($R$10:R318),0)</x:f>
        <x:v>153</x:v>
      </x:c>
      <x:c r="T318" s="2" t="str">
        <x:v>Data &amp; Reporting</x:v>
      </x:c>
      <x:c r="U318" s="2" t="n">
        <x:v>318</x:v>
      </x:c>
      <x:c r="V318" s="2" t="n">
        <x:f>IF(AND(M318=1,P318=0,ISNUMBER(J318),J318&lt;TODAY()),1,0)</x:f>
        <x:v>1</x:v>
      </x:c>
      <x:c r="W318" s="2" t="str">
        <x:f>'Data &amp; Reporting'!M318</x:f>
        <x:v>Task</x:v>
      </x:c>
    </x:row>
    <x:row r="319" ht="40" customHeight="1">
      <x:c r="A319" s="3" t="str">
        <x:f>HYPERLINK("#'Data &amp; Reporting'!A319","Open")</x:f>
        <x:v>Open</x:v>
      </x:c>
      <x:c r="B319" s="2" t="str">
        <x:f>'Data &amp; Reporting'!B319</x:f>
        <x:v>Cycle 2</x:v>
      </x:c>
      <x:c r="C319" s="2" t="str">
        <x:f>'Data &amp; Reporting'!C319</x:f>
        <x:v>Phase 3</x:v>
      </x:c>
      <x:c r="D319" s="2" t="str">
        <x:f>'Data &amp; Reporting'!D319</x:f>
        <x:v>FCM</x:v>
      </x:c>
      <x:c r="E319" s="2" t="str">
        <x:v>Data &amp; Reporting</x:v>
      </x:c>
      <x:c r="F319" s="56" t="str">
        <x:f>'Data &amp; Reporting'!E319</x:f>
        <x:v>DR.FC.3.2</x:v>
      </x:c>
      <x:c r="G319" s="14" t="str">
        <x:f>'Data &amp; Reporting'!F319</x:f>
        <x:v>Attach the data package for each topic recommendation within the SharePoint list item</x:v>
      </x:c>
      <x:c r="H319" s="2" t="str">
        <x:f>IF('Data &amp; Reporting'!G319="","",'Data &amp; Reporting'!G319)</x:f>
      </x:c>
      <x:c r="I319" s="12" t="str">
        <x:f>IF('Data &amp; Reporting'!H319="","",'Data &amp; Reporting'!H319)</x:f>
      </x:c>
      <x:c r="J319" s="12" t="n">
        <x:f>IF('Data &amp; Reporting'!I319="","",'Data &amp; Reporting'!I319)</x:f>
        <x:v>46203</x:v>
      </x:c>
      <x:c r="K319" s="12" t="str">
        <x:f>IF('Data &amp; Reporting'!J319="","",'Data &amp; Reporting'!J319)</x:f>
      </x:c>
      <x:c r="L319" s="2" t="str">
        <x:f>IF('Data &amp; Reporting'!K319="","",'Data &amp; Reporting'!K319)</x:f>
      </x:c>
      <x:c r="M319" s="2" t="n">
        <x:f>'Data &amp; Reporting'!Q319</x:f>
        <x:v>1</x:v>
      </x:c>
      <x:c r="N319" s="2" t="str">
        <x:f>'Data &amp; Reporting'!L319</x:f>
        <x:v>Not started</x:v>
      </x:c>
      <x:c r="O319" s="2" t="str">
        <x:f>'Data &amp; Reporting'!N319</x:f>
        <x:v>DR.FC.3.2.2026.CY2</x:v>
      </x:c>
      <x:c r="P319" s="2" t="n">
        <x:f>'Data &amp; Reporting'!O319</x:f>
        <x:v>0</x:v>
      </x:c>
      <x:c r="Q319" s="2" t="n">
        <x:f>SUBTOTAL(103,O319)</x:f>
        <x:v>1</x:v>
      </x:c>
      <x:c r="R319" s="2" t="n">
        <x:f>IF(AND(M319=1,OR(Dashboard!$B$7="All",Dashboard!$B$7='Cycles &amp; Guide'!$C$5),OR(Dashboard!$D$7="All",Dashboard!$D$7=B319),OR(Dashboard!$F$7="All",Dashboard!$F$7=C319),OR(Dashboard!$H$7="All",Dashboard!$H$7=D319),OR(Dashboard!$K$7="All",Dashboard!$K$7=E319)),1,0)</x:f>
        <x:v>1</x:v>
      </x:c>
      <x:c r="S319" s="2" t="n">
        <x:f>IF(R319=1,SUM($R$10:R319),0)</x:f>
        <x:v>154</x:v>
      </x:c>
      <x:c r="T319" s="2" t="str">
        <x:v>Data &amp; Reporting</x:v>
      </x:c>
      <x:c r="U319" s="2" t="n">
        <x:v>319</x:v>
      </x:c>
      <x:c r="V319" s="2" t="n">
        <x:f>IF(AND(M319=1,P319=0,ISNUMBER(J319),J319&lt;TODAY()),1,0)</x:f>
        <x:v>1</x:v>
      </x:c>
      <x:c r="W319" s="2" t="str">
        <x:f>'Data &amp; Reporting'!M319</x:f>
        <x:v>Task</x:v>
      </x:c>
    </x:row>
    <x:row r="320" ht="40" customHeight="1">
      <x:c r="A320" s="3" t="str">
        <x:f>HYPERLINK("#'Data &amp; Reporting'!A320","Open")</x:f>
        <x:v>Open</x:v>
      </x:c>
      <x:c r="B320" s="2" t="str">
        <x:f>'Data &amp; Reporting'!B320</x:f>
        <x:v>Cycle 2</x:v>
      </x:c>
      <x:c r="C320" s="2" t="str">
        <x:f>'Data &amp; Reporting'!C320</x:f>
        <x:v>Phase 3</x:v>
      </x:c>
      <x:c r="D320" s="2" t="str">
        <x:f>'Data &amp; Reporting'!D320</x:f>
        <x:v>FCM</x:v>
      </x:c>
      <x:c r="E320" s="2" t="str">
        <x:v>Data &amp; Reporting</x:v>
      </x:c>
      <x:c r="F320" s="56" t="str">
        <x:f>'Data &amp; Reporting'!E320</x:f>
        <x:v>DR.FC.3.3</x:v>
      </x:c>
      <x:c r="G320" s="14" t="str">
        <x:f>'Data &amp; Reporting'!F320</x:f>
        <x:v>Confirm data privileges have been granted, ensuring each pillar can access</x:v>
      </x:c>
      <x:c r="H320" s="2" t="str">
        <x:f>IF('Data &amp; Reporting'!G320="","",'Data &amp; Reporting'!G320)</x:f>
      </x:c>
      <x:c r="I320" s="12" t="str">
        <x:f>IF('Data &amp; Reporting'!H320="","",'Data &amp; Reporting'!H320)</x:f>
      </x:c>
      <x:c r="J320" s="12" t="n">
        <x:f>IF('Data &amp; Reporting'!I320="","",'Data &amp; Reporting'!I320)</x:f>
        <x:v>46203</x:v>
      </x:c>
      <x:c r="K320" s="12" t="str">
        <x:f>IF('Data &amp; Reporting'!J320="","",'Data &amp; Reporting'!J320)</x:f>
      </x:c>
      <x:c r="L320" s="2" t="str">
        <x:f>IF('Data &amp; Reporting'!K320="","",'Data &amp; Reporting'!K320)</x:f>
      </x:c>
      <x:c r="M320" s="2" t="n">
        <x:f>'Data &amp; Reporting'!Q320</x:f>
        <x:v>1</x:v>
      </x:c>
      <x:c r="N320" s="2" t="str">
        <x:f>'Data &amp; Reporting'!L320</x:f>
        <x:v>Not started</x:v>
      </x:c>
      <x:c r="O320" s="2" t="str">
        <x:f>'Data &amp; Reporting'!N320</x:f>
        <x:v>DR.FC.3.3.2026.CY2</x:v>
      </x:c>
      <x:c r="P320" s="2" t="n">
        <x:f>'Data &amp; Reporting'!O320</x:f>
        <x:v>0</x:v>
      </x:c>
      <x:c r="Q320" s="2" t="n">
        <x:f>SUBTOTAL(103,O320)</x:f>
        <x:v>1</x:v>
      </x:c>
      <x:c r="R320" s="2" t="n">
        <x:f>IF(AND(M320=1,OR(Dashboard!$B$7="All",Dashboard!$B$7='Cycles &amp; Guide'!$C$5),OR(Dashboard!$D$7="All",Dashboard!$D$7=B320),OR(Dashboard!$F$7="All",Dashboard!$F$7=C320),OR(Dashboard!$H$7="All",Dashboard!$H$7=D320),OR(Dashboard!$K$7="All",Dashboard!$K$7=E320)),1,0)</x:f>
        <x:v>1</x:v>
      </x:c>
      <x:c r="S320" s="2" t="n">
        <x:f>IF(R320=1,SUM($R$10:R320),0)</x:f>
        <x:v>155</x:v>
      </x:c>
      <x:c r="T320" s="2" t="str">
        <x:v>Data &amp; Reporting</x:v>
      </x:c>
      <x:c r="U320" s="2" t="n">
        <x:v>320</x:v>
      </x:c>
      <x:c r="V320" s="2" t="n">
        <x:f>IF(AND(M320=1,P320=0,ISNUMBER(J320),J320&lt;TODAY()),1,0)</x:f>
        <x:v>1</x:v>
      </x:c>
      <x:c r="W320" s="2" t="str">
        <x:f>'Data &amp; Reporting'!M320</x:f>
        <x:v>Task</x:v>
      </x:c>
    </x:row>
    <x:row r="321" ht="40" customHeight="1">
      <x:c r="A321" s="3" t="str">
        <x:f>HYPERLINK("#'Data &amp; Reporting'!A321","Open")</x:f>
        <x:v>Open</x:v>
      </x:c>
      <x:c r="B321" s="2" t="str">
        <x:f>'Data &amp; Reporting'!B321</x:f>
        <x:v>Cycle 2</x:v>
      </x:c>
      <x:c r="C321" s="2" t="str">
        <x:f>'Data &amp; Reporting'!C321</x:f>
        <x:v>Phase 3</x:v>
      </x:c>
      <x:c r="D321" s="2" t="str">
        <x:f>'Data &amp; Reporting'!D321</x:f>
        <x:v>FCM</x:v>
      </x:c>
      <x:c r="E321" s="2" t="str">
        <x:v>Data &amp; Reporting</x:v>
      </x:c>
      <x:c r="F321" s="56" t="str">
        <x:f>'Data &amp; Reporting'!E321</x:f>
        <x:v>DR.FC.3.4</x:v>
      </x:c>
      <x:c r="G321" s="14" t="str">
        <x:f>'Data &amp; Reporting'!F321</x:f>
        <x:v>Ensure Power Automate notifications were correctly triggered within Microsoft Teams</x:v>
      </x:c>
      <x:c r="H321" s="2" t="str">
        <x:f>IF('Data &amp; Reporting'!G321="","",'Data &amp; Reporting'!G321)</x:f>
      </x:c>
      <x:c r="I321" s="12" t="str">
        <x:f>IF('Data &amp; Reporting'!H321="","",'Data &amp; Reporting'!H321)</x:f>
      </x:c>
      <x:c r="J321" s="12" t="n">
        <x:f>IF('Data &amp; Reporting'!I321="","",'Data &amp; Reporting'!I321)</x:f>
        <x:v>46203</x:v>
      </x:c>
      <x:c r="K321" s="12" t="str">
        <x:f>IF('Data &amp; Reporting'!J321="","",'Data &amp; Reporting'!J321)</x:f>
      </x:c>
      <x:c r="L321" s="2" t="str">
        <x:f>IF('Data &amp; Reporting'!K321="","",'Data &amp; Reporting'!K321)</x:f>
      </x:c>
      <x:c r="M321" s="2" t="n">
        <x:f>'Data &amp; Reporting'!Q321</x:f>
        <x:v>1</x:v>
      </x:c>
      <x:c r="N321" s="2" t="str">
        <x:f>'Data &amp; Reporting'!L321</x:f>
        <x:v>Not started</x:v>
      </x:c>
      <x:c r="O321" s="2" t="str">
        <x:f>'Data &amp; Reporting'!N321</x:f>
        <x:v>DR.FC.3.4.2026.CY2</x:v>
      </x:c>
      <x:c r="P321" s="2" t="n">
        <x:f>'Data &amp; Reporting'!O321</x:f>
        <x:v>0</x:v>
      </x:c>
      <x:c r="Q321" s="2" t="n">
        <x:f>SUBTOTAL(103,O321)</x:f>
        <x:v>1</x:v>
      </x:c>
      <x:c r="R321" s="2" t="n">
        <x:f>IF(AND(M321=1,OR(Dashboard!$B$7="All",Dashboard!$B$7='Cycles &amp; Guide'!$C$5),OR(Dashboard!$D$7="All",Dashboard!$D$7=B321),OR(Dashboard!$F$7="All",Dashboard!$F$7=C321),OR(Dashboard!$H$7="All",Dashboard!$H$7=D321),OR(Dashboard!$K$7="All",Dashboard!$K$7=E321)),1,0)</x:f>
        <x:v>1</x:v>
      </x:c>
      <x:c r="S321" s="2" t="n">
        <x:f>IF(R321=1,SUM($R$10:R321),0)</x:f>
        <x:v>156</x:v>
      </x:c>
      <x:c r="T321" s="2" t="str">
        <x:v>Data &amp; Reporting</x:v>
      </x:c>
      <x:c r="U321" s="2" t="n">
        <x:v>321</x:v>
      </x:c>
      <x:c r="V321" s="2" t="n">
        <x:f>IF(AND(M321=1,P321=0,ISNUMBER(J321),J321&lt;TODAY()),1,0)</x:f>
        <x:v>1</x:v>
      </x:c>
      <x:c r="W321" s="2" t="str">
        <x:f>'Data &amp; Reporting'!M321</x:f>
        <x:v>Task</x:v>
      </x:c>
    </x:row>
    <x:row r="322" ht="40" customHeight="1">
      <x:c r="A322" s="3" t="str">
        <x:f>HYPERLINK("#'Data &amp; Reporting'!A322","Open")</x:f>
        <x:v>Open</x:v>
      </x:c>
      <x:c r="B322" s="2" t="str">
        <x:f>'Data &amp; Reporting'!B322</x:f>
        <x:v>Cycle 2</x:v>
      </x:c>
      <x:c r="C322" s="2" t="str">
        <x:f>'Data &amp; Reporting'!C322</x:f>
        <x:v>Phase 1</x:v>
      </x:c>
      <x:c r="D322" s="2" t="str">
        <x:f>'Data &amp; Reporting'!D322</x:f>
        <x:v>PLL</x:v>
      </x:c>
      <x:c r="E322" s="2" t="str">
        <x:v>Data &amp; Reporting</x:v>
      </x:c>
      <x:c r="F322" s="56" t="str">
        <x:f>'Data &amp; Reporting'!E322</x:f>
        <x:v>DR.PL.1.1</x:v>
      </x:c>
      <x:c r="G322" s="14" t="str">
        <x:f>'Data &amp; Reporting'!F322</x:f>
        <x:v>Review data sources 3 weeks prior to Cycle start (Complaints, Gen AI, Loudspeaker, NPS, etc.)</x:v>
      </x:c>
      <x:c r="H322" s="2" t="str">
        <x:f>IF('Data &amp; Reporting'!G322="","",'Data &amp; Reporting'!G322)</x:f>
      </x:c>
      <x:c r="I322" s="12" t="str">
        <x:f>IF('Data &amp; Reporting'!H322="","",'Data &amp; Reporting'!H322)</x:f>
      </x:c>
      <x:c r="J322" s="12" t="n">
        <x:f>IF('Data &amp; Reporting'!I322="","",'Data &amp; Reporting'!I322)</x:f>
        <x:v>46092</x:v>
      </x:c>
      <x:c r="K322" s="12" t="str">
        <x:f>IF('Data &amp; Reporting'!J322="","",'Data &amp; Reporting'!J322)</x:f>
      </x:c>
      <x:c r="L322" s="2" t="str">
        <x:f>IF('Data &amp; Reporting'!K322="","",'Data &amp; Reporting'!K322)</x:f>
      </x:c>
      <x:c r="M322" s="2" t="n">
        <x:f>'Data &amp; Reporting'!Q322</x:f>
        <x:v>1</x:v>
      </x:c>
      <x:c r="N322" s="2" t="str">
        <x:f>'Data &amp; Reporting'!L322</x:f>
        <x:v>Not started</x:v>
      </x:c>
      <x:c r="O322" s="2" t="str">
        <x:f>'Data &amp; Reporting'!N322</x:f>
        <x:v>DR.PL.1.1.2026.CY2</x:v>
      </x:c>
      <x:c r="P322" s="2" t="n">
        <x:f>'Data &amp; Reporting'!O322</x:f>
        <x:v>0</x:v>
      </x:c>
      <x:c r="Q322" s="2" t="n">
        <x:f>SUBTOTAL(103,O322)</x:f>
        <x:v>1</x:v>
      </x:c>
      <x:c r="R322" s="2" t="n">
        <x:f>IF(AND(M322=1,OR(Dashboard!$B$7="All",Dashboard!$B$7='Cycles &amp; Guide'!$C$5),OR(Dashboard!$D$7="All",Dashboard!$D$7=B322),OR(Dashboard!$F$7="All",Dashboard!$F$7=C322),OR(Dashboard!$H$7="All",Dashboard!$H$7=D322),OR(Dashboard!$K$7="All",Dashboard!$K$7=E322)),1,0)</x:f>
        <x:v>1</x:v>
      </x:c>
      <x:c r="S322" s="2" t="n">
        <x:f>IF(R322=1,SUM($R$10:R322),0)</x:f>
        <x:v>157</x:v>
      </x:c>
      <x:c r="T322" s="2" t="str">
        <x:v>Data &amp; Reporting</x:v>
      </x:c>
      <x:c r="U322" s="2" t="n">
        <x:v>322</x:v>
      </x:c>
      <x:c r="V322" s="2" t="n">
        <x:f>IF(AND(M322=1,P322=0,ISNUMBER(J322),J322&lt;TODAY()),1,0)</x:f>
        <x:v>1</x:v>
      </x:c>
      <x:c r="W322" s="2" t="str">
        <x:f>'Data &amp; Reporting'!M322</x:f>
        <x:v>Task</x:v>
      </x:c>
    </x:row>
    <x:row r="323" ht="40" customHeight="1">
      <x:c r="A323" s="3" t="str">
        <x:f>HYPERLINK("#'Data &amp; Reporting'!A323","Open")</x:f>
        <x:v>Open</x:v>
      </x:c>
      <x:c r="B323" s="2" t="str">
        <x:f>'Data &amp; Reporting'!B323</x:f>
        <x:v>Cycle 2</x:v>
      </x:c>
      <x:c r="C323" s="2" t="str">
        <x:f>'Data &amp; Reporting'!C323</x:f>
        <x:v>Phase 1</x:v>
      </x:c>
      <x:c r="D323" s="2" t="str">
        <x:f>'Data &amp; Reporting'!D323</x:f>
        <x:v>PLL</x:v>
      </x:c>
      <x:c r="E323" s="2" t="str">
        <x:v>Data &amp; Reporting</x:v>
      </x:c>
      <x:c r="F323" s="56" t="str">
        <x:f>'Data &amp; Reporting'!E323</x:f>
        <x:v>DR.PL.1.2</x:v>
      </x:c>
      <x:c r="G323" s="14" t="str">
        <x:f>'Data &amp; Reporting'!F323</x:f>
        <x:v>Identify two potential topics for the upcoming Cycle</x:v>
      </x:c>
      <x:c r="H323" s="2" t="str">
        <x:f>IF('Data &amp; Reporting'!G323="","",'Data &amp; Reporting'!G323)</x:f>
      </x:c>
      <x:c r="I323" s="12" t="str">
        <x:f>IF('Data &amp; Reporting'!H323="","",'Data &amp; Reporting'!H323)</x:f>
      </x:c>
      <x:c r="J323" s="12" t="n">
        <x:f>IF('Data &amp; Reporting'!I323="","",'Data &amp; Reporting'!I323)</x:f>
        <x:v>46203</x:v>
      </x:c>
      <x:c r="K323" s="12" t="str">
        <x:f>IF('Data &amp; Reporting'!J323="","",'Data &amp; Reporting'!J323)</x:f>
      </x:c>
      <x:c r="L323" s="2" t="str">
        <x:f>IF('Data &amp; Reporting'!K323="","",'Data &amp; Reporting'!K323)</x:f>
      </x:c>
      <x:c r="M323" s="2" t="n">
        <x:f>'Data &amp; Reporting'!Q323</x:f>
        <x:v>1</x:v>
      </x:c>
      <x:c r="N323" s="2" t="str">
        <x:f>'Data &amp; Reporting'!L323</x:f>
        <x:v>Not started</x:v>
      </x:c>
      <x:c r="O323" s="2" t="str">
        <x:f>'Data &amp; Reporting'!N323</x:f>
        <x:v>DR.PL.1.2.2026.CY2</x:v>
      </x:c>
      <x:c r="P323" s="2" t="n">
        <x:f>'Data &amp; Reporting'!O323</x:f>
        <x:v>0</x:v>
      </x:c>
      <x:c r="Q323" s="2" t="n">
        <x:f>SUBTOTAL(103,O323)</x:f>
        <x:v>1</x:v>
      </x:c>
      <x:c r="R323" s="2" t="n">
        <x:f>IF(AND(M323=1,OR(Dashboard!$B$7="All",Dashboard!$B$7='Cycles &amp; Guide'!$C$5),OR(Dashboard!$D$7="All",Dashboard!$D$7=B323),OR(Dashboard!$F$7="All",Dashboard!$F$7=C323),OR(Dashboard!$H$7="All",Dashboard!$H$7=D323),OR(Dashboard!$K$7="All",Dashboard!$K$7=E323)),1,0)</x:f>
        <x:v>1</x:v>
      </x:c>
      <x:c r="S323" s="2" t="n">
        <x:f>IF(R323=1,SUM($R$10:R323),0)</x:f>
        <x:v>158</x:v>
      </x:c>
      <x:c r="T323" s="2" t="str">
        <x:v>Data &amp; Reporting</x:v>
      </x:c>
      <x:c r="U323" s="2" t="n">
        <x:v>323</x:v>
      </x:c>
      <x:c r="V323" s="2" t="n">
        <x:f>IF(AND(M323=1,P323=0,ISNUMBER(J323),J323&lt;TODAY()),1,0)</x:f>
        <x:v>1</x:v>
      </x:c>
      <x:c r="W323" s="2" t="str">
        <x:f>'Data &amp; Reporting'!M323</x:f>
        <x:v>Task</x:v>
      </x:c>
    </x:row>
    <x:row r="324" ht="40" customHeight="1">
      <x:c r="A324" s="3" t="str">
        <x:f>HYPERLINK("#'Data &amp; Reporting'!A324","Open")</x:f>
        <x:v>Open</x:v>
      </x:c>
      <x:c r="B324" s="2" t="str">
        <x:f>'Data &amp; Reporting'!B324</x:f>
        <x:v>Cycle 2</x:v>
      </x:c>
      <x:c r="C324" s="2" t="str">
        <x:f>'Data &amp; Reporting'!C324</x:f>
        <x:v>Phase 1</x:v>
      </x:c>
      <x:c r="D324" s="2" t="str">
        <x:f>'Data &amp; Reporting'!D324</x:f>
        <x:v>PLL</x:v>
      </x:c>
      <x:c r="E324" s="2" t="str">
        <x:v>Data &amp; Reporting</x:v>
      </x:c>
      <x:c r="F324" s="56" t="str">
        <x:f>'Data &amp; Reporting'!E324</x:f>
        <x:v>DR.PL.1.3</x:v>
      </x:c>
      <x:c r="G324" s="14" t="str">
        <x:f>'Data &amp; Reporting'!F324</x:f>
        <x:v>Extract data for both potential topics, ensuring all checklist items below are included/completed</x:v>
      </x:c>
      <x:c r="H324" s="2" t="str">
        <x:f>IF('Data &amp; Reporting'!G324="","",'Data &amp; Reporting'!G324)</x:f>
      </x:c>
      <x:c r="I324" s="12" t="str">
        <x:f>IF('Data &amp; Reporting'!H324="","",'Data &amp; Reporting'!H324)</x:f>
      </x:c>
      <x:c r="J324" s="12" t="n">
        <x:f>IF('Data &amp; Reporting'!I324="","",'Data &amp; Reporting'!I324)</x:f>
        <x:v>46203</x:v>
      </x:c>
      <x:c r="K324" s="12" t="str">
        <x:f>IF('Data &amp; Reporting'!J324="","",'Data &amp; Reporting'!J324)</x:f>
      </x:c>
      <x:c r="L324" s="2" t="str">
        <x:f>IF('Data &amp; Reporting'!K324="","",'Data &amp; Reporting'!K324)</x:f>
      </x:c>
      <x:c r="M324" s="2" t="n">
        <x:f>'Data &amp; Reporting'!Q324</x:f>
        <x:v>1</x:v>
      </x:c>
      <x:c r="N324" s="2" t="str">
        <x:f>'Data &amp; Reporting'!L324</x:f>
        <x:v>Not started</x:v>
      </x:c>
      <x:c r="O324" s="2" t="str">
        <x:f>'Data &amp; Reporting'!N324</x:f>
        <x:v>DR.PL.1.3.2026.CY2</x:v>
      </x:c>
      <x:c r="P324" s="2" t="n">
        <x:f>'Data &amp; Reporting'!O324</x:f>
        <x:v>0</x:v>
      </x:c>
      <x:c r="Q324" s="2" t="n">
        <x:f>SUBTOTAL(103,O324)</x:f>
        <x:v>1</x:v>
      </x:c>
      <x:c r="R324" s="2" t="n">
        <x:f>IF(AND(M324=1,OR(Dashboard!$B$7="All",Dashboard!$B$7='Cycles &amp; Guide'!$C$5),OR(Dashboard!$D$7="All",Dashboard!$D$7=B324),OR(Dashboard!$F$7="All",Dashboard!$F$7=C324),OR(Dashboard!$H$7="All",Dashboard!$H$7=D324),OR(Dashboard!$K$7="All",Dashboard!$K$7=E324)),1,0)</x:f>
        <x:v>1</x:v>
      </x:c>
      <x:c r="S324" s="2" t="n">
        <x:f>IF(R324=1,SUM($R$10:R324),0)</x:f>
        <x:v>159</x:v>
      </x:c>
      <x:c r="T324" s="2" t="str">
        <x:v>Data &amp; Reporting</x:v>
      </x:c>
      <x:c r="U324" s="2" t="n">
        <x:v>324</x:v>
      </x:c>
      <x:c r="V324" s="2" t="n">
        <x:f>IF(AND(M324=1,P324=0,ISNUMBER(J324),J324&lt;TODAY()),1,0)</x:f>
        <x:v>1</x:v>
      </x:c>
      <x:c r="W324" s="2" t="str">
        <x:f>'Data &amp; Reporting'!M324</x:f>
        <x:v>Task</x:v>
      </x:c>
    </x:row>
    <x:row r="325" ht="40" customHeight="1">
      <x:c r="A325" s="3" t="str">
        <x:f>HYPERLINK("#'Data &amp; Reporting'!A325","Open")</x:f>
        <x:v>Open</x:v>
      </x:c>
      <x:c r="B325" s="2" t="str">
        <x:f>'Data &amp; Reporting'!B325</x:f>
        <x:v>Cycle 2</x:v>
      </x:c>
      <x:c r="C325" s="2" t="str">
        <x:f>'Data &amp; Reporting'!C325</x:f>
        <x:v>Phase 1</x:v>
      </x:c>
      <x:c r="D325" s="2" t="str">
        <x:f>'Data &amp; Reporting'!D325</x:f>
        <x:v>PLL</x:v>
      </x:c>
      <x:c r="E325" s="2" t="str">
        <x:v>Data &amp; Reporting</x:v>
      </x:c>
      <x:c r="F325" s="56" t="str">
        <x:f>'Data &amp; Reporting'!E325</x:f>
        <x:v>DR.PL.1.3.C01</x:v>
      </x:c>
      <x:c r="G325" s="14" t="str">
        <x:f>'Data &amp; Reporting'!F325</x:f>
        <x:v>    Document date range extracted</x:v>
      </x:c>
      <x:c r="H325" s="2" t="str">
        <x:f>IF('Data &amp; Reporting'!G325="","",'Data &amp; Reporting'!G325)</x:f>
      </x:c>
      <x:c r="I325" s="12" t="str">
        <x:f>IF('Data &amp; Reporting'!H325="","",'Data &amp; Reporting'!H325)</x:f>
      </x:c>
      <x:c r="J325" s="12" t="str">
        <x:f>IF('Data &amp; Reporting'!I325="","",'Data &amp; Reporting'!I325)</x:f>
      </x:c>
      <x:c r="K325" s="12" t="str">
        <x:f>IF('Data &amp; Reporting'!J325="","",'Data &amp; Reporting'!J325)</x:f>
      </x:c>
      <x:c r="L325" s="2" t="str">
        <x:f>IF('Data &amp; Reporting'!K325="","",'Data &amp; Reporting'!K325)</x:f>
      </x:c>
      <x:c r="M325" s="2" t="n">
        <x:f>'Data &amp; Reporting'!Q325</x:f>
        <x:v>0</x:v>
      </x:c>
      <x:c r="N325" s="2" t="str">
        <x:f>'Data &amp; Reporting'!L325</x:f>
        <x:v>Open check</x:v>
      </x:c>
      <x:c r="O325" s="2" t="str">
        <x:f>'Data &amp; Reporting'!N325</x:f>
        <x:v>DR.PL.1.3.C01.2026.CY2</x:v>
      </x:c>
      <x:c r="P325" s="2" t="n">
        <x:f>'Data &amp; Reporting'!O325</x:f>
        <x:v>0</x:v>
      </x:c>
      <x:c r="Q325" s="2" t="n">
        <x:f>SUBTOTAL(103,O325)</x:f>
        <x:v>1</x:v>
      </x:c>
      <x:c r="R325" s="2" t="n">
        <x:f>IF(AND(M325=1,OR(Dashboard!$B$7="All",Dashboard!$B$7='Cycles &amp; Guide'!$C$5),OR(Dashboard!$D$7="All",Dashboard!$D$7=B325),OR(Dashboard!$F$7="All",Dashboard!$F$7=C325),OR(Dashboard!$H$7="All",Dashboard!$H$7=D325),OR(Dashboard!$K$7="All",Dashboard!$K$7=E325)),1,0)</x:f>
        <x:v>0</x:v>
      </x:c>
      <x:c r="S325" s="2" t="n">
        <x:f>IF(R325=1,SUM($R$10:R325),0)</x:f>
        <x:v>0</x:v>
      </x:c>
      <x:c r="T325" s="2" t="str">
        <x:v>Data &amp; Reporting</x:v>
      </x:c>
      <x:c r="U325" s="2" t="n">
        <x:v>325</x:v>
      </x:c>
      <x:c r="V325" s="2" t="n">
        <x:f>IF(AND(M325=1,P325=0,ISNUMBER(J325),J325&lt;TODAY()),1,0)</x:f>
        <x:v>0</x:v>
      </x:c>
      <x:c r="W325" s="2" t="str">
        <x:f>'Data &amp; Reporting'!M325</x:f>
        <x:v>Checklist</x:v>
      </x:c>
    </x:row>
    <x:row r="326" ht="40" customHeight="1">
      <x:c r="A326" s="3" t="str">
        <x:f>HYPERLINK("#'Data &amp; Reporting'!A326","Open")</x:f>
        <x:v>Open</x:v>
      </x:c>
      <x:c r="B326" s="2" t="str">
        <x:f>'Data &amp; Reporting'!B326</x:f>
        <x:v>Cycle 2</x:v>
      </x:c>
      <x:c r="C326" s="2" t="str">
        <x:f>'Data &amp; Reporting'!C326</x:f>
        <x:v>Phase 1</x:v>
      </x:c>
      <x:c r="D326" s="2" t="str">
        <x:f>'Data &amp; Reporting'!D326</x:f>
        <x:v>PLL</x:v>
      </x:c>
      <x:c r="E326" s="2" t="str">
        <x:v>Data &amp; Reporting</x:v>
      </x:c>
      <x:c r="F326" s="56" t="str">
        <x:f>'Data &amp; Reporting'!E326</x:f>
        <x:v>DR.PL.1.3.C02</x:v>
      </x:c>
      <x:c r="G326" s="14" t="str">
        <x:f>'Data &amp; Reporting'!F326</x:f>
        <x:v>    Document date of data pull</x:v>
      </x:c>
      <x:c r="H326" s="2" t="str">
        <x:f>IF('Data &amp; Reporting'!G326="","",'Data &amp; Reporting'!G326)</x:f>
      </x:c>
      <x:c r="I326" s="12" t="str">
        <x:f>IF('Data &amp; Reporting'!H326="","",'Data &amp; Reporting'!H326)</x:f>
      </x:c>
      <x:c r="J326" s="12" t="str">
        <x:f>IF('Data &amp; Reporting'!I326="","",'Data &amp; Reporting'!I326)</x:f>
      </x:c>
      <x:c r="K326" s="12" t="str">
        <x:f>IF('Data &amp; Reporting'!J326="","",'Data &amp; Reporting'!J326)</x:f>
      </x:c>
      <x:c r="L326" s="2" t="str">
        <x:f>IF('Data &amp; Reporting'!K326="","",'Data &amp; Reporting'!K326)</x:f>
      </x:c>
      <x:c r="M326" s="2" t="n">
        <x:f>'Data &amp; Reporting'!Q326</x:f>
        <x:v>0</x:v>
      </x:c>
      <x:c r="N326" s="2" t="str">
        <x:f>'Data &amp; Reporting'!L326</x:f>
        <x:v>Open check</x:v>
      </x:c>
      <x:c r="O326" s="2" t="str">
        <x:f>'Data &amp; Reporting'!N326</x:f>
        <x:v>DR.PL.1.3.C02.2026.CY2</x:v>
      </x:c>
      <x:c r="P326" s="2" t="n">
        <x:f>'Data &amp; Reporting'!O326</x:f>
        <x:v>0</x:v>
      </x:c>
      <x:c r="Q326" s="2" t="n">
        <x:f>SUBTOTAL(103,O326)</x:f>
        <x:v>1</x:v>
      </x:c>
      <x:c r="R326" s="2" t="n">
        <x:f>IF(AND(M326=1,OR(Dashboard!$B$7="All",Dashboard!$B$7='Cycles &amp; Guide'!$C$5),OR(Dashboard!$D$7="All",Dashboard!$D$7=B326),OR(Dashboard!$F$7="All",Dashboard!$F$7=C326),OR(Dashboard!$H$7="All",Dashboard!$H$7=D326),OR(Dashboard!$K$7="All",Dashboard!$K$7=E326)),1,0)</x:f>
        <x:v>0</x:v>
      </x:c>
      <x:c r="S326" s="2" t="n">
        <x:f>IF(R326=1,SUM($R$10:R326),0)</x:f>
        <x:v>0</x:v>
      </x:c>
      <x:c r="T326" s="2" t="str">
        <x:v>Data &amp; Reporting</x:v>
      </x:c>
      <x:c r="U326" s="2" t="n">
        <x:v>326</x:v>
      </x:c>
      <x:c r="V326" s="2" t="n">
        <x:f>IF(AND(M326=1,P326=0,ISNUMBER(J326),J326&lt;TODAY()),1,0)</x:f>
        <x:v>0</x:v>
      </x:c>
      <x:c r="W326" s="2" t="str">
        <x:f>'Data &amp; Reporting'!M326</x:f>
        <x:v>Checklist</x:v>
      </x:c>
    </x:row>
    <x:row r="327" ht="40" customHeight="1">
      <x:c r="A327" s="3" t="str">
        <x:f>HYPERLINK("#'Data &amp; Reporting'!A327","Open")</x:f>
        <x:v>Open</x:v>
      </x:c>
      <x:c r="B327" s="2" t="str">
        <x:f>'Data &amp; Reporting'!B327</x:f>
        <x:v>Cycle 2</x:v>
      </x:c>
      <x:c r="C327" s="2" t="str">
        <x:f>'Data &amp; Reporting'!C327</x:f>
        <x:v>Phase 1</x:v>
      </x:c>
      <x:c r="D327" s="2" t="str">
        <x:f>'Data &amp; Reporting'!D327</x:f>
        <x:v>PLL</x:v>
      </x:c>
      <x:c r="E327" s="2" t="str">
        <x:v>Data &amp; Reporting</x:v>
      </x:c>
      <x:c r="F327" s="56" t="str">
        <x:f>'Data &amp; Reporting'!E327</x:f>
        <x:v>DR.PL.1.3.C03</x:v>
      </x:c>
      <x:c r="G327" s="14" t="str">
        <x:f>'Data &amp; Reporting'!F327</x:f>
        <x:v>    Document population details</x:v>
      </x:c>
      <x:c r="H327" s="2" t="str">
        <x:f>IF('Data &amp; Reporting'!G327="","",'Data &amp; Reporting'!G327)</x:f>
      </x:c>
      <x:c r="I327" s="12" t="str">
        <x:f>IF('Data &amp; Reporting'!H327="","",'Data &amp; Reporting'!H327)</x:f>
      </x:c>
      <x:c r="J327" s="12" t="str">
        <x:f>IF('Data &amp; Reporting'!I327="","",'Data &amp; Reporting'!I327)</x:f>
      </x:c>
      <x:c r="K327" s="12" t="str">
        <x:f>IF('Data &amp; Reporting'!J327="","",'Data &amp; Reporting'!J327)</x:f>
      </x:c>
      <x:c r="L327" s="2" t="str">
        <x:f>IF('Data &amp; Reporting'!K327="","",'Data &amp; Reporting'!K327)</x:f>
      </x:c>
      <x:c r="M327" s="2" t="n">
        <x:f>'Data &amp; Reporting'!Q327</x:f>
        <x:v>0</x:v>
      </x:c>
      <x:c r="N327" s="2" t="str">
        <x:f>'Data &amp; Reporting'!L327</x:f>
        <x:v>Open check</x:v>
      </x:c>
      <x:c r="O327" s="2" t="str">
        <x:f>'Data &amp; Reporting'!N327</x:f>
        <x:v>DR.PL.1.3.C03.2026.CY2</x:v>
      </x:c>
      <x:c r="P327" s="2" t="n">
        <x:f>'Data &amp; Reporting'!O327</x:f>
        <x:v>0</x:v>
      </x:c>
      <x:c r="Q327" s="2" t="n">
        <x:f>SUBTOTAL(103,O327)</x:f>
        <x:v>1</x:v>
      </x:c>
      <x:c r="R327" s="2" t="n">
        <x:f>IF(AND(M327=1,OR(Dashboard!$B$7="All",Dashboard!$B$7='Cycles &amp; Guide'!$C$5),OR(Dashboard!$D$7="All",Dashboard!$D$7=B327),OR(Dashboard!$F$7="All",Dashboard!$F$7=C327),OR(Dashboard!$H$7="All",Dashboard!$H$7=D327),OR(Dashboard!$K$7="All",Dashboard!$K$7=E327)),1,0)</x:f>
        <x:v>0</x:v>
      </x:c>
      <x:c r="S327" s="2" t="n">
        <x:f>IF(R327=1,SUM($R$10:R327),0)</x:f>
        <x:v>0</x:v>
      </x:c>
      <x:c r="T327" s="2" t="str">
        <x:v>Data &amp; Reporting</x:v>
      </x:c>
      <x:c r="U327" s="2" t="n">
        <x:v>327</x:v>
      </x:c>
      <x:c r="V327" s="2" t="n">
        <x:f>IF(AND(M327=1,P327=0,ISNUMBER(J327),J327&lt;TODAY()),1,0)</x:f>
        <x:v>0</x:v>
      </x:c>
      <x:c r="W327" s="2" t="str">
        <x:f>'Data &amp; Reporting'!M327</x:f>
        <x:v>Checklist</x:v>
      </x:c>
    </x:row>
    <x:row r="328" ht="40" customHeight="1">
      <x:c r="A328" s="3" t="str">
        <x:f>HYPERLINK("#'Data &amp; Reporting'!A328","Open")</x:f>
        <x:v>Open</x:v>
      </x:c>
      <x:c r="B328" s="2" t="str">
        <x:f>'Data &amp; Reporting'!B328</x:f>
        <x:v>Cycle 2</x:v>
      </x:c>
      <x:c r="C328" s="2" t="str">
        <x:f>'Data &amp; Reporting'!C328</x:f>
        <x:v>Phase 1</x:v>
      </x:c>
      <x:c r="D328" s="2" t="str">
        <x:f>'Data &amp; Reporting'!D328</x:f>
        <x:v>PLL</x:v>
      </x:c>
      <x:c r="E328" s="2" t="str">
        <x:v>Data &amp; Reporting</x:v>
      </x:c>
      <x:c r="F328" s="56" t="str">
        <x:f>'Data &amp; Reporting'!E328</x:f>
        <x:v>DR.PL.1.3.C04</x:v>
      </x:c>
      <x:c r="G328" s="14" t="str">
        <x:f>'Data &amp; Reporting'!F328</x:f>
        <x:v>    Validate no data is missing</x:v>
      </x:c>
      <x:c r="H328" s="2" t="str">
        <x:f>IF('Data &amp; Reporting'!G328="","",'Data &amp; Reporting'!G328)</x:f>
      </x:c>
      <x:c r="I328" s="12" t="str">
        <x:f>IF('Data &amp; Reporting'!H328="","",'Data &amp; Reporting'!H328)</x:f>
      </x:c>
      <x:c r="J328" s="12" t="str">
        <x:f>IF('Data &amp; Reporting'!I328="","",'Data &amp; Reporting'!I328)</x:f>
      </x:c>
      <x:c r="K328" s="12" t="str">
        <x:f>IF('Data &amp; Reporting'!J328="","",'Data &amp; Reporting'!J328)</x:f>
      </x:c>
      <x:c r="L328" s="2" t="str">
        <x:f>IF('Data &amp; Reporting'!K328="","",'Data &amp; Reporting'!K328)</x:f>
      </x:c>
      <x:c r="M328" s="2" t="n">
        <x:f>'Data &amp; Reporting'!Q328</x:f>
        <x:v>0</x:v>
      </x:c>
      <x:c r="N328" s="2" t="str">
        <x:f>'Data &amp; Reporting'!L328</x:f>
        <x:v>Open check</x:v>
      </x:c>
      <x:c r="O328" s="2" t="str">
        <x:f>'Data &amp; Reporting'!N328</x:f>
        <x:v>DR.PL.1.3.C04.2026.CY2</x:v>
      </x:c>
      <x:c r="P328" s="2" t="n">
        <x:f>'Data &amp; Reporting'!O328</x:f>
        <x:v>0</x:v>
      </x:c>
      <x:c r="Q328" s="2" t="n">
        <x:f>SUBTOTAL(103,O328)</x:f>
        <x:v>1</x:v>
      </x:c>
      <x:c r="R328" s="2" t="n">
        <x:f>IF(AND(M328=1,OR(Dashboard!$B$7="All",Dashboard!$B$7='Cycles &amp; Guide'!$C$5),OR(Dashboard!$D$7="All",Dashboard!$D$7=B328),OR(Dashboard!$F$7="All",Dashboard!$F$7=C328),OR(Dashboard!$H$7="All",Dashboard!$H$7=D328),OR(Dashboard!$K$7="All",Dashboard!$K$7=E328)),1,0)</x:f>
        <x:v>0</x:v>
      </x:c>
      <x:c r="S328" s="2" t="n">
        <x:f>IF(R328=1,SUM($R$10:R328),0)</x:f>
        <x:v>0</x:v>
      </x:c>
      <x:c r="T328" s="2" t="str">
        <x:v>Data &amp; Reporting</x:v>
      </x:c>
      <x:c r="U328" s="2" t="n">
        <x:v>328</x:v>
      </x:c>
      <x:c r="V328" s="2" t="n">
        <x:f>IF(AND(M328=1,P328=0,ISNUMBER(J328),J328&lt;TODAY()),1,0)</x:f>
        <x:v>0</x:v>
      </x:c>
      <x:c r="W328" s="2" t="str">
        <x:f>'Data &amp; Reporting'!M328</x:f>
        <x:v>Checklist</x:v>
      </x:c>
    </x:row>
    <x:row r="329" ht="40" customHeight="1">
      <x:c r="A329" s="3" t="str">
        <x:f>HYPERLINK("#'Data &amp; Reporting'!A329","Open")</x:f>
        <x:v>Open</x:v>
      </x:c>
      <x:c r="B329" s="2" t="str">
        <x:f>'Data &amp; Reporting'!B329</x:f>
        <x:v>Cycle 2</x:v>
      </x:c>
      <x:c r="C329" s="2" t="str">
        <x:f>'Data &amp; Reporting'!C329</x:f>
        <x:v>Phase 1</x:v>
      </x:c>
      <x:c r="D329" s="2" t="str">
        <x:f>'Data &amp; Reporting'!D329</x:f>
        <x:v>PLL</x:v>
      </x:c>
      <x:c r="E329" s="2" t="str">
        <x:v>Data &amp; Reporting</x:v>
      </x:c>
      <x:c r="F329" s="56" t="str">
        <x:f>'Data &amp; Reporting'!E329</x:f>
        <x:v>DR.PL.1.3.C05</x:v>
      </x:c>
      <x:c r="G329" s="14" t="str">
        <x:f>'Data &amp; Reporting'!F329</x:f>
        <x:v>    Validate accuracy of data</x:v>
      </x:c>
      <x:c r="H329" s="2" t="str">
        <x:f>IF('Data &amp; Reporting'!G329="","",'Data &amp; Reporting'!G329)</x:f>
      </x:c>
      <x:c r="I329" s="12" t="str">
        <x:f>IF('Data &amp; Reporting'!H329="","",'Data &amp; Reporting'!H329)</x:f>
      </x:c>
      <x:c r="J329" s="12" t="str">
        <x:f>IF('Data &amp; Reporting'!I329="","",'Data &amp; Reporting'!I329)</x:f>
      </x:c>
      <x:c r="K329" s="12" t="str">
        <x:f>IF('Data &amp; Reporting'!J329="","",'Data &amp; Reporting'!J329)</x:f>
      </x:c>
      <x:c r="L329" s="2" t="str">
        <x:f>IF('Data &amp; Reporting'!K329="","",'Data &amp; Reporting'!K329)</x:f>
      </x:c>
      <x:c r="M329" s="2" t="n">
        <x:f>'Data &amp; Reporting'!Q329</x:f>
        <x:v>0</x:v>
      </x:c>
      <x:c r="N329" s="2" t="str">
        <x:f>'Data &amp; Reporting'!L329</x:f>
        <x:v>Open check</x:v>
      </x:c>
      <x:c r="O329" s="2" t="str">
        <x:f>'Data &amp; Reporting'!N329</x:f>
        <x:v>DR.PL.1.3.C05.2026.CY2</x:v>
      </x:c>
      <x:c r="P329" s="2" t="n">
        <x:f>'Data &amp; Reporting'!O329</x:f>
        <x:v>0</x:v>
      </x:c>
      <x:c r="Q329" s="2" t="n">
        <x:f>SUBTOTAL(103,O329)</x:f>
        <x:v>1</x:v>
      </x:c>
      <x:c r="R329" s="2" t="n">
        <x:f>IF(AND(M329=1,OR(Dashboard!$B$7="All",Dashboard!$B$7='Cycles &amp; Guide'!$C$5),OR(Dashboard!$D$7="All",Dashboard!$D$7=B329),OR(Dashboard!$F$7="All",Dashboard!$F$7=C329),OR(Dashboard!$H$7="All",Dashboard!$H$7=D329),OR(Dashboard!$K$7="All",Dashboard!$K$7=E329)),1,0)</x:f>
        <x:v>0</x:v>
      </x:c>
      <x:c r="S329" s="2" t="n">
        <x:f>IF(R329=1,SUM($R$10:R329),0)</x:f>
        <x:v>0</x:v>
      </x:c>
      <x:c r="T329" s="2" t="str">
        <x:v>Data &amp; Reporting</x:v>
      </x:c>
      <x:c r="U329" s="2" t="n">
        <x:v>329</x:v>
      </x:c>
      <x:c r="V329" s="2" t="n">
        <x:f>IF(AND(M329=1,P329=0,ISNUMBER(J329),J329&lt;TODAY()),1,0)</x:f>
        <x:v>0</x:v>
      </x:c>
      <x:c r="W329" s="2" t="str">
        <x:f>'Data &amp; Reporting'!M329</x:f>
        <x:v>Checklist</x:v>
      </x:c>
    </x:row>
    <x:row r="330" ht="40" customHeight="1">
      <x:c r="A330" s="3" t="str">
        <x:f>HYPERLINK("#'Data &amp; Reporting'!A330","Open")</x:f>
        <x:v>Open</x:v>
      </x:c>
      <x:c r="B330" s="2" t="str">
        <x:f>'Data &amp; Reporting'!B330</x:f>
        <x:v>Cycle 2</x:v>
      </x:c>
      <x:c r="C330" s="2" t="str">
        <x:f>'Data &amp; Reporting'!C330</x:f>
        <x:v>Phase 1</x:v>
      </x:c>
      <x:c r="D330" s="2" t="str">
        <x:f>'Data &amp; Reporting'!D330</x:f>
        <x:v>PLL</x:v>
      </x:c>
      <x:c r="E330" s="2" t="str">
        <x:v>Data &amp; Reporting</x:v>
      </x:c>
      <x:c r="F330" s="56" t="str">
        <x:f>'Data &amp; Reporting'!E330</x:f>
        <x:v>DR.PL.1.3.C06</x:v>
      </x:c>
      <x:c r="G330" s="14" t="str">
        <x:f>'Data &amp; Reporting'!F330</x:f>
        <x:v>    Validate no duplicate data is provided</x:v>
      </x:c>
      <x:c r="H330" s="2" t="str">
        <x:f>IF('Data &amp; Reporting'!G330="","",'Data &amp; Reporting'!G330)</x:f>
      </x:c>
      <x:c r="I330" s="12" t="str">
        <x:f>IF('Data &amp; Reporting'!H330="","",'Data &amp; Reporting'!H330)</x:f>
      </x:c>
      <x:c r="J330" s="12" t="str">
        <x:f>IF('Data &amp; Reporting'!I330="","",'Data &amp; Reporting'!I330)</x:f>
      </x:c>
      <x:c r="K330" s="12" t="str">
        <x:f>IF('Data &amp; Reporting'!J330="","",'Data &amp; Reporting'!J330)</x:f>
      </x:c>
      <x:c r="L330" s="2" t="str">
        <x:f>IF('Data &amp; Reporting'!K330="","",'Data &amp; Reporting'!K330)</x:f>
      </x:c>
      <x:c r="M330" s="2" t="n">
        <x:f>'Data &amp; Reporting'!Q330</x:f>
        <x:v>0</x:v>
      </x:c>
      <x:c r="N330" s="2" t="str">
        <x:f>'Data &amp; Reporting'!L330</x:f>
        <x:v>Open check</x:v>
      </x:c>
      <x:c r="O330" s="2" t="str">
        <x:f>'Data &amp; Reporting'!N330</x:f>
        <x:v>DR.PL.1.3.C06.2026.CY2</x:v>
      </x:c>
      <x:c r="P330" s="2" t="n">
        <x:f>'Data &amp; Reporting'!O330</x:f>
        <x:v>0</x:v>
      </x:c>
      <x:c r="Q330" s="2" t="n">
        <x:f>SUBTOTAL(103,O330)</x:f>
        <x:v>1</x:v>
      </x:c>
      <x:c r="R330" s="2" t="n">
        <x:f>IF(AND(M330=1,OR(Dashboard!$B$7="All",Dashboard!$B$7='Cycles &amp; Guide'!$C$5),OR(Dashboard!$D$7="All",Dashboard!$D$7=B330),OR(Dashboard!$F$7="All",Dashboard!$F$7=C330),OR(Dashboard!$H$7="All",Dashboard!$H$7=D330),OR(Dashboard!$K$7="All",Dashboard!$K$7=E330)),1,0)</x:f>
        <x:v>0</x:v>
      </x:c>
      <x:c r="S330" s="2" t="n">
        <x:f>IF(R330=1,SUM($R$10:R330),0)</x:f>
        <x:v>0</x:v>
      </x:c>
      <x:c r="T330" s="2" t="str">
        <x:v>Data &amp; Reporting</x:v>
      </x:c>
      <x:c r="U330" s="2" t="n">
        <x:v>330</x:v>
      </x:c>
      <x:c r="V330" s="2" t="n">
        <x:f>IF(AND(M330=1,P330=0,ISNUMBER(J330),J330&lt;TODAY()),1,0)</x:f>
        <x:v>0</x:v>
      </x:c>
      <x:c r="W330" s="2" t="str">
        <x:f>'Data &amp; Reporting'!M330</x:f>
        <x:v>Checklist</x:v>
      </x:c>
    </x:row>
    <x:row r="331" ht="40" customHeight="1">
      <x:c r="A331" s="3" t="str">
        <x:f>HYPERLINK("#'Data &amp; Reporting'!A331","Open")</x:f>
        <x:v>Open</x:v>
      </x:c>
      <x:c r="B331" s="2" t="str">
        <x:f>'Data &amp; Reporting'!B331</x:f>
        <x:v>Cycle 2</x:v>
      </x:c>
      <x:c r="C331" s="2" t="str">
        <x:f>'Data &amp; Reporting'!C331</x:f>
        <x:v>Phase 1</x:v>
      </x:c>
      <x:c r="D331" s="2" t="str">
        <x:f>'Data &amp; Reporting'!D331</x:f>
        <x:v>PLL</x:v>
      </x:c>
      <x:c r="E331" s="2" t="str">
        <x:v>Data &amp; Reporting</x:v>
      </x:c>
      <x:c r="F331" s="56" t="str">
        <x:f>'Data &amp; Reporting'!E331</x:f>
        <x:v>DR.PL.1.3.C07</x:v>
      </x:c>
      <x:c r="G331" s="14" t="str">
        <x:f>'Data &amp; Reporting'!F331</x:f>
        <x:v>    Document any data exclusions along with justification (as needed)</x:v>
      </x:c>
      <x:c r="H331" s="2" t="str">
        <x:f>IF('Data &amp; Reporting'!G331="","",'Data &amp; Reporting'!G331)</x:f>
      </x:c>
      <x:c r="I331" s="12" t="str">
        <x:f>IF('Data &amp; Reporting'!H331="","",'Data &amp; Reporting'!H331)</x:f>
      </x:c>
      <x:c r="J331" s="12" t="str">
        <x:f>IF('Data &amp; Reporting'!I331="","",'Data &amp; Reporting'!I331)</x:f>
      </x:c>
      <x:c r="K331" s="12" t="str">
        <x:f>IF('Data &amp; Reporting'!J331="","",'Data &amp; Reporting'!J331)</x:f>
      </x:c>
      <x:c r="L331" s="2" t="str">
        <x:f>IF('Data &amp; Reporting'!K331="","",'Data &amp; Reporting'!K331)</x:f>
      </x:c>
      <x:c r="M331" s="2" t="n">
        <x:f>'Data &amp; Reporting'!Q331</x:f>
        <x:v>0</x:v>
      </x:c>
      <x:c r="N331" s="2" t="str">
        <x:f>'Data &amp; Reporting'!L331</x:f>
        <x:v>Open check</x:v>
      </x:c>
      <x:c r="O331" s="2" t="str">
        <x:f>'Data &amp; Reporting'!N331</x:f>
        <x:v>DR.PL.1.3.C07.2026.CY2</x:v>
      </x:c>
      <x:c r="P331" s="2" t="n">
        <x:f>'Data &amp; Reporting'!O331</x:f>
        <x:v>0</x:v>
      </x:c>
      <x:c r="Q331" s="2" t="n">
        <x:f>SUBTOTAL(103,O331)</x:f>
        <x:v>1</x:v>
      </x:c>
      <x:c r="R331" s="2" t="n">
        <x:f>IF(AND(M331=1,OR(Dashboard!$B$7="All",Dashboard!$B$7='Cycles &amp; Guide'!$C$5),OR(Dashboard!$D$7="All",Dashboard!$D$7=B331),OR(Dashboard!$F$7="All",Dashboard!$F$7=C331),OR(Dashboard!$H$7="All",Dashboard!$H$7=D331),OR(Dashboard!$K$7="All",Dashboard!$K$7=E331)),1,0)</x:f>
        <x:v>0</x:v>
      </x:c>
      <x:c r="S331" s="2" t="n">
        <x:f>IF(R331=1,SUM($R$10:R331),0)</x:f>
        <x:v>0</x:v>
      </x:c>
      <x:c r="T331" s="2" t="str">
        <x:v>Data &amp; Reporting</x:v>
      </x:c>
      <x:c r="U331" s="2" t="n">
        <x:v>331</x:v>
      </x:c>
      <x:c r="V331" s="2" t="n">
        <x:f>IF(AND(M331=1,P331=0,ISNUMBER(J331),J331&lt;TODAY()),1,0)</x:f>
        <x:v>0</x:v>
      </x:c>
      <x:c r="W331" s="2" t="str">
        <x:f>'Data &amp; Reporting'!M331</x:f>
        <x:v>Checklist</x:v>
      </x:c>
    </x:row>
    <x:row r="332" ht="40" customHeight="1">
      <x:c r="A332" s="3" t="str">
        <x:f>HYPERLINK("#'Data &amp; Reporting'!A332","Open")</x:f>
        <x:v>Open</x:v>
      </x:c>
      <x:c r="B332" s="2" t="str">
        <x:f>'Data &amp; Reporting'!B332</x:f>
        <x:v>Cycle 2</x:v>
      </x:c>
      <x:c r="C332" s="2" t="str">
        <x:f>'Data &amp; Reporting'!C332</x:f>
        <x:v>Phase 1</x:v>
      </x:c>
      <x:c r="D332" s="2" t="str">
        <x:f>'Data &amp; Reporting'!D332</x:f>
        <x:v>PLL</x:v>
      </x:c>
      <x:c r="E332" s="2" t="str">
        <x:v>Data &amp; Reporting</x:v>
      </x:c>
      <x:c r="F332" s="56" t="str">
        <x:f>'Data &amp; Reporting'!E332</x:f>
        <x:v>DR.PL.1.3.C08</x:v>
      </x:c>
      <x:c r="G332" s="14" t="str">
        <x:f>'Data &amp; Reporting'!F332</x:f>
        <x:v>    Document any assumptions made with the data (as needed)</x:v>
      </x:c>
      <x:c r="H332" s="2" t="str">
        <x:f>IF('Data &amp; Reporting'!G332="","",'Data &amp; Reporting'!G332)</x:f>
      </x:c>
      <x:c r="I332" s="12" t="str">
        <x:f>IF('Data &amp; Reporting'!H332="","",'Data &amp; Reporting'!H332)</x:f>
      </x:c>
      <x:c r="J332" s="12" t="str">
        <x:f>IF('Data &amp; Reporting'!I332="","",'Data &amp; Reporting'!I332)</x:f>
      </x:c>
      <x:c r="K332" s="12" t="str">
        <x:f>IF('Data &amp; Reporting'!J332="","",'Data &amp; Reporting'!J332)</x:f>
      </x:c>
      <x:c r="L332" s="2" t="str">
        <x:f>IF('Data &amp; Reporting'!K332="","",'Data &amp; Reporting'!K332)</x:f>
      </x:c>
      <x:c r="M332" s="2" t="n">
        <x:f>'Data &amp; Reporting'!Q332</x:f>
        <x:v>0</x:v>
      </x:c>
      <x:c r="N332" s="2" t="str">
        <x:f>'Data &amp; Reporting'!L332</x:f>
        <x:v>Open check</x:v>
      </x:c>
      <x:c r="O332" s="2" t="str">
        <x:f>'Data &amp; Reporting'!N332</x:f>
        <x:v>DR.PL.1.3.C08.2026.CY2</x:v>
      </x:c>
      <x:c r="P332" s="2" t="n">
        <x:f>'Data &amp; Reporting'!O332</x:f>
        <x:v>0</x:v>
      </x:c>
      <x:c r="Q332" s="2" t="n">
        <x:f>SUBTOTAL(103,O332)</x:f>
        <x:v>1</x:v>
      </x:c>
      <x:c r="R332" s="2" t="n">
        <x:f>IF(AND(M332=1,OR(Dashboard!$B$7="All",Dashboard!$B$7='Cycles &amp; Guide'!$C$5),OR(Dashboard!$D$7="All",Dashboard!$D$7=B332),OR(Dashboard!$F$7="All",Dashboard!$F$7=C332),OR(Dashboard!$H$7="All",Dashboard!$H$7=D332),OR(Dashboard!$K$7="All",Dashboard!$K$7=E332)),1,0)</x:f>
        <x:v>0</x:v>
      </x:c>
      <x:c r="S332" s="2" t="n">
        <x:f>IF(R332=1,SUM($R$10:R332),0)</x:f>
        <x:v>0</x:v>
      </x:c>
      <x:c r="T332" s="2" t="str">
        <x:v>Data &amp; Reporting</x:v>
      </x:c>
      <x:c r="U332" s="2" t="n">
        <x:v>332</x:v>
      </x:c>
      <x:c r="V332" s="2" t="n">
        <x:f>IF(AND(M332=1,P332=0,ISNUMBER(J332),J332&lt;TODAY()),1,0)</x:f>
        <x:v>0</x:v>
      </x:c>
      <x:c r="W332" s="2" t="str">
        <x:f>'Data &amp; Reporting'!M332</x:f>
        <x:v>Checklist</x:v>
      </x:c>
    </x:row>
    <x:row r="333" ht="40" customHeight="1">
      <x:c r="A333" s="3" t="str">
        <x:f>HYPERLINK("#'Data &amp; Reporting'!A333","Open")</x:f>
        <x:v>Open</x:v>
      </x:c>
      <x:c r="B333" s="2" t="str">
        <x:f>'Data &amp; Reporting'!B333</x:f>
        <x:v>Cycle 2</x:v>
      </x:c>
      <x:c r="C333" s="2" t="str">
        <x:f>'Data &amp; Reporting'!C333</x:f>
        <x:v>Phase 1</x:v>
      </x:c>
      <x:c r="D333" s="2" t="str">
        <x:f>'Data &amp; Reporting'!D333</x:f>
        <x:v>PLL</x:v>
      </x:c>
      <x:c r="E333" s="2" t="str">
        <x:v>Data &amp; Reporting</x:v>
      </x:c>
      <x:c r="F333" s="56" t="str">
        <x:f>'Data &amp; Reporting'!E333</x:f>
        <x:v>DR.PL.1.3.C09</x:v>
      </x:c>
      <x:c r="G333" s="14" t="str">
        <x:f>'Data &amp; Reporting'!F333</x:f>
        <x:v>    Document any data limitations or constraints clearly (as needed)</x:v>
      </x:c>
      <x:c r="H333" s="2" t="str">
        <x:f>IF('Data &amp; Reporting'!G333="","",'Data &amp; Reporting'!G333)</x:f>
      </x:c>
      <x:c r="I333" s="12" t="str">
        <x:f>IF('Data &amp; Reporting'!H333="","",'Data &amp; Reporting'!H333)</x:f>
      </x:c>
      <x:c r="J333" s="12" t="str">
        <x:f>IF('Data &amp; Reporting'!I333="","",'Data &amp; Reporting'!I333)</x:f>
      </x:c>
      <x:c r="K333" s="12" t="str">
        <x:f>IF('Data &amp; Reporting'!J333="","",'Data &amp; Reporting'!J333)</x:f>
      </x:c>
      <x:c r="L333" s="2" t="str">
        <x:f>IF('Data &amp; Reporting'!K333="","",'Data &amp; Reporting'!K333)</x:f>
      </x:c>
      <x:c r="M333" s="2" t="n">
        <x:f>'Data &amp; Reporting'!Q333</x:f>
        <x:v>0</x:v>
      </x:c>
      <x:c r="N333" s="2" t="str">
        <x:f>'Data &amp; Reporting'!L333</x:f>
        <x:v>Open check</x:v>
      </x:c>
      <x:c r="O333" s="2" t="str">
        <x:f>'Data &amp; Reporting'!N333</x:f>
        <x:v>DR.PL.1.3.C09.2026.CY2</x:v>
      </x:c>
      <x:c r="P333" s="2" t="n">
        <x:f>'Data &amp; Reporting'!O333</x:f>
        <x:v>0</x:v>
      </x:c>
      <x:c r="Q333" s="2" t="n">
        <x:f>SUBTOTAL(103,O333)</x:f>
        <x:v>1</x:v>
      </x:c>
      <x:c r="R333" s="2" t="n">
        <x:f>IF(AND(M333=1,OR(Dashboard!$B$7="All",Dashboard!$B$7='Cycles &amp; Guide'!$C$5),OR(Dashboard!$D$7="All",Dashboard!$D$7=B333),OR(Dashboard!$F$7="All",Dashboard!$F$7=C333),OR(Dashboard!$H$7="All",Dashboard!$H$7=D333),OR(Dashboard!$K$7="All",Dashboard!$K$7=E333)),1,0)</x:f>
        <x:v>0</x:v>
      </x:c>
      <x:c r="S333" s="2" t="n">
        <x:f>IF(R333=1,SUM($R$10:R333),0)</x:f>
        <x:v>0</x:v>
      </x:c>
      <x:c r="T333" s="2" t="str">
        <x:v>Data &amp; Reporting</x:v>
      </x:c>
      <x:c r="U333" s="2" t="n">
        <x:v>333</x:v>
      </x:c>
      <x:c r="V333" s="2" t="n">
        <x:f>IF(AND(M333=1,P333=0,ISNUMBER(J333),J333&lt;TODAY()),1,0)</x:f>
        <x:v>0</x:v>
      </x:c>
      <x:c r="W333" s="2" t="str">
        <x:f>'Data &amp; Reporting'!M333</x:f>
        <x:v>Checklist</x:v>
      </x:c>
    </x:row>
    <x:row r="334" ht="40" customHeight="1">
      <x:c r="A334" s="3" t="str">
        <x:f>HYPERLINK("#'Data &amp; Reporting'!A334","Open")</x:f>
        <x:v>Open</x:v>
      </x:c>
      <x:c r="B334" s="2" t="str">
        <x:f>'Data &amp; Reporting'!B334</x:f>
        <x:v>Cycle 2</x:v>
      </x:c>
      <x:c r="C334" s="2" t="str">
        <x:f>'Data &amp; Reporting'!C334</x:f>
        <x:v>Phase 1</x:v>
      </x:c>
      <x:c r="D334" s="2" t="str">
        <x:f>'Data &amp; Reporting'!D334</x:f>
        <x:v>PLL</x:v>
      </x:c>
      <x:c r="E334" s="2" t="str">
        <x:v>Data &amp; Reporting</x:v>
      </x:c>
      <x:c r="F334" s="56" t="str">
        <x:f>'Data &amp; Reporting'!E334</x:f>
        <x:v>DR.PL.1.3.C10</x:v>
      </x:c>
      <x:c r="G334" s="14" t="str">
        <x:f>'Data &amp; Reporting'!F334</x:f>
        <x:v>    Document data dictionary or field definitions for columns/rows</x:v>
      </x:c>
      <x:c r="H334" s="2" t="str">
        <x:f>IF('Data &amp; Reporting'!G334="","",'Data &amp; Reporting'!G334)</x:f>
      </x:c>
      <x:c r="I334" s="12" t="str">
        <x:f>IF('Data &amp; Reporting'!H334="","",'Data &amp; Reporting'!H334)</x:f>
      </x:c>
      <x:c r="J334" s="12" t="str">
        <x:f>IF('Data &amp; Reporting'!I334="","",'Data &amp; Reporting'!I334)</x:f>
      </x:c>
      <x:c r="K334" s="12" t="str">
        <x:f>IF('Data &amp; Reporting'!J334="","",'Data &amp; Reporting'!J334)</x:f>
      </x:c>
      <x:c r="L334" s="2" t="str">
        <x:f>IF('Data &amp; Reporting'!K334="","",'Data &amp; Reporting'!K334)</x:f>
      </x:c>
      <x:c r="M334" s="2" t="n">
        <x:f>'Data &amp; Reporting'!Q334</x:f>
        <x:v>0</x:v>
      </x:c>
      <x:c r="N334" s="2" t="str">
        <x:f>'Data &amp; Reporting'!L334</x:f>
        <x:v>Open check</x:v>
      </x:c>
      <x:c r="O334" s="2" t="str">
        <x:f>'Data &amp; Reporting'!N334</x:f>
        <x:v>DR.PL.1.3.C10.2026.CY2</x:v>
      </x:c>
      <x:c r="P334" s="2" t="n">
        <x:f>'Data &amp; Reporting'!O334</x:f>
        <x:v>0</x:v>
      </x:c>
      <x:c r="Q334" s="2" t="n">
        <x:f>SUBTOTAL(103,O334)</x:f>
        <x:v>1</x:v>
      </x:c>
      <x:c r="R334" s="2" t="n">
        <x:f>IF(AND(M334=1,OR(Dashboard!$B$7="All",Dashboard!$B$7='Cycles &amp; Guide'!$C$5),OR(Dashboard!$D$7="All",Dashboard!$D$7=B334),OR(Dashboard!$F$7="All",Dashboard!$F$7=C334),OR(Dashboard!$H$7="All",Dashboard!$H$7=D334),OR(Dashboard!$K$7="All",Dashboard!$K$7=E334)),1,0)</x:f>
        <x:v>0</x:v>
      </x:c>
      <x:c r="S334" s="2" t="n">
        <x:f>IF(R334=1,SUM($R$10:R334),0)</x:f>
        <x:v>0</x:v>
      </x:c>
      <x:c r="T334" s="2" t="str">
        <x:v>Data &amp; Reporting</x:v>
      </x:c>
      <x:c r="U334" s="2" t="n">
        <x:v>334</x:v>
      </x:c>
      <x:c r="V334" s="2" t="n">
        <x:f>IF(AND(M334=1,P334=0,ISNUMBER(J334),J334&lt;TODAY()),1,0)</x:f>
        <x:v>0</x:v>
      </x:c>
      <x:c r="W334" s="2" t="str">
        <x:f>'Data &amp; Reporting'!M334</x:f>
        <x:v>Checklist</x:v>
      </x:c>
    </x:row>
    <x:row r="335" ht="40" customHeight="1">
      <x:c r="A335" s="3" t="str">
        <x:f>HYPERLINK("#'Data &amp; Reporting'!A335","Open")</x:f>
        <x:v>Open</x:v>
      </x:c>
      <x:c r="B335" s="2" t="str">
        <x:f>'Data &amp; Reporting'!B335</x:f>
        <x:v>Cycle 2</x:v>
      </x:c>
      <x:c r="C335" s="2" t="str">
        <x:f>'Data &amp; Reporting'!C335</x:f>
        <x:v>Phase 1</x:v>
      </x:c>
      <x:c r="D335" s="2" t="str">
        <x:f>'Data &amp; Reporting'!D335</x:f>
        <x:v>PLL</x:v>
      </x:c>
      <x:c r="E335" s="2" t="str">
        <x:v>Data &amp; Reporting</x:v>
      </x:c>
      <x:c r="F335" s="56" t="str">
        <x:f>'Data &amp; Reporting'!E335</x:f>
        <x:v>DR.PL.1.3.C11</x:v>
      </x:c>
      <x:c r="G335" s="14" t="str">
        <x:f>'Data &amp; Reporting'!F335</x:f>
        <x:v>    Document emerging trends, patterns, or concentrations along with supporting data</x:v>
      </x:c>
      <x:c r="H335" s="2" t="str">
        <x:f>IF('Data &amp; Reporting'!G335="","",'Data &amp; Reporting'!G335)</x:f>
      </x:c>
      <x:c r="I335" s="12" t="str">
        <x:f>IF('Data &amp; Reporting'!H335="","",'Data &amp; Reporting'!H335)</x:f>
      </x:c>
      <x:c r="J335" s="12" t="str">
        <x:f>IF('Data &amp; Reporting'!I335="","",'Data &amp; Reporting'!I335)</x:f>
      </x:c>
      <x:c r="K335" s="12" t="str">
        <x:f>IF('Data &amp; Reporting'!J335="","",'Data &amp; Reporting'!J335)</x:f>
      </x:c>
      <x:c r="L335" s="2" t="str">
        <x:f>IF('Data &amp; Reporting'!K335="","",'Data &amp; Reporting'!K335)</x:f>
      </x:c>
      <x:c r="M335" s="2" t="n">
        <x:f>'Data &amp; Reporting'!Q335</x:f>
        <x:v>0</x:v>
      </x:c>
      <x:c r="N335" s="2" t="str">
        <x:f>'Data &amp; Reporting'!L335</x:f>
        <x:v>Open check</x:v>
      </x:c>
      <x:c r="O335" s="2" t="str">
        <x:f>'Data &amp; Reporting'!N335</x:f>
        <x:v>DR.PL.1.3.C11.2026.CY2</x:v>
      </x:c>
      <x:c r="P335" s="2" t="n">
        <x:f>'Data &amp; Reporting'!O335</x:f>
        <x:v>0</x:v>
      </x:c>
      <x:c r="Q335" s="2" t="n">
        <x:f>SUBTOTAL(103,O335)</x:f>
        <x:v>1</x:v>
      </x:c>
      <x:c r="R335" s="2" t="n">
        <x:f>IF(AND(M335=1,OR(Dashboard!$B$7="All",Dashboard!$B$7='Cycles &amp; Guide'!$C$5),OR(Dashboard!$D$7="All",Dashboard!$D$7=B335),OR(Dashboard!$F$7="All",Dashboard!$F$7=C335),OR(Dashboard!$H$7="All",Dashboard!$H$7=D335),OR(Dashboard!$K$7="All",Dashboard!$K$7=E335)),1,0)</x:f>
        <x:v>0</x:v>
      </x:c>
      <x:c r="S335" s="2" t="n">
        <x:f>IF(R335=1,SUM($R$10:R335),0)</x:f>
        <x:v>0</x:v>
      </x:c>
      <x:c r="T335" s="2" t="str">
        <x:v>Data &amp; Reporting</x:v>
      </x:c>
      <x:c r="U335" s="2" t="n">
        <x:v>335</x:v>
      </x:c>
      <x:c r="V335" s="2" t="n">
        <x:f>IF(AND(M335=1,P335=0,ISNUMBER(J335),J335&lt;TODAY()),1,0)</x:f>
        <x:v>0</x:v>
      </x:c>
      <x:c r="W335" s="2" t="str">
        <x:f>'Data &amp; Reporting'!M335</x:f>
        <x:v>Checklist</x:v>
      </x:c>
    </x:row>
    <x:row r="336" ht="40" customHeight="1">
      <x:c r="A336" s="3" t="str">
        <x:f>HYPERLINK("#'Data &amp; Reporting'!A336","Open")</x:f>
        <x:v>Open</x:v>
      </x:c>
      <x:c r="B336" s="2" t="str">
        <x:f>'Data &amp; Reporting'!B336</x:f>
        <x:v>Cycle 2</x:v>
      </x:c>
      <x:c r="C336" s="2" t="str">
        <x:f>'Data &amp; Reporting'!C336</x:f>
        <x:v>Phase 1</x:v>
      </x:c>
      <x:c r="D336" s="2" t="str">
        <x:f>'Data &amp; Reporting'!D336</x:f>
        <x:v>PLL</x:v>
      </x:c>
      <x:c r="E336" s="2" t="str">
        <x:v>Data &amp; Reporting</x:v>
      </x:c>
      <x:c r="F336" s="56" t="str">
        <x:f>'Data &amp; Reporting'!E336</x:f>
        <x:v>DR.PL.1.3.C12</x:v>
      </x:c>
      <x:c r="G336" s="14" t="str">
        <x:f>'Data &amp; Reporting'!F336</x:f>
        <x:v>    Document any severe spikes in volume along with context (as needed)</x:v>
      </x:c>
      <x:c r="H336" s="2" t="str">
        <x:f>IF('Data &amp; Reporting'!G336="","",'Data &amp; Reporting'!G336)</x:f>
      </x:c>
      <x:c r="I336" s="12" t="str">
        <x:f>IF('Data &amp; Reporting'!H336="","",'Data &amp; Reporting'!H336)</x:f>
      </x:c>
      <x:c r="J336" s="12" t="str">
        <x:f>IF('Data &amp; Reporting'!I336="","",'Data &amp; Reporting'!I336)</x:f>
      </x:c>
      <x:c r="K336" s="12" t="str">
        <x:f>IF('Data &amp; Reporting'!J336="","",'Data &amp; Reporting'!J336)</x:f>
      </x:c>
      <x:c r="L336" s="2" t="str">
        <x:f>IF('Data &amp; Reporting'!K336="","",'Data &amp; Reporting'!K336)</x:f>
      </x:c>
      <x:c r="M336" s="2" t="n">
        <x:f>'Data &amp; Reporting'!Q336</x:f>
        <x:v>0</x:v>
      </x:c>
      <x:c r="N336" s="2" t="str">
        <x:f>'Data &amp; Reporting'!L336</x:f>
        <x:v>Open check</x:v>
      </x:c>
      <x:c r="O336" s="2" t="str">
        <x:f>'Data &amp; Reporting'!N336</x:f>
        <x:v>DR.PL.1.3.C12.2026.CY2</x:v>
      </x:c>
      <x:c r="P336" s="2" t="n">
        <x:f>'Data &amp; Reporting'!O336</x:f>
        <x:v>0</x:v>
      </x:c>
      <x:c r="Q336" s="2" t="n">
        <x:f>SUBTOTAL(103,O336)</x:f>
        <x:v>1</x:v>
      </x:c>
      <x:c r="R336" s="2" t="n">
        <x:f>IF(AND(M336=1,OR(Dashboard!$B$7="All",Dashboard!$B$7='Cycles &amp; Guide'!$C$5),OR(Dashboard!$D$7="All",Dashboard!$D$7=B336),OR(Dashboard!$F$7="All",Dashboard!$F$7=C336),OR(Dashboard!$H$7="All",Dashboard!$H$7=D336),OR(Dashboard!$K$7="All",Dashboard!$K$7=E336)),1,0)</x:f>
        <x:v>0</x:v>
      </x:c>
      <x:c r="S336" s="2" t="n">
        <x:f>IF(R336=1,SUM($R$10:R336),0)</x:f>
        <x:v>0</x:v>
      </x:c>
      <x:c r="T336" s="2" t="str">
        <x:v>Data &amp; Reporting</x:v>
      </x:c>
      <x:c r="U336" s="2" t="n">
        <x:v>336</x:v>
      </x:c>
      <x:c r="V336" s="2" t="n">
        <x:f>IF(AND(M336=1,P336=0,ISNUMBER(J336),J336&lt;TODAY()),1,0)</x:f>
        <x:v>0</x:v>
      </x:c>
      <x:c r="W336" s="2" t="str">
        <x:f>'Data &amp; Reporting'!M336</x:f>
        <x:v>Checklist</x:v>
      </x:c>
    </x:row>
    <x:row r="337" ht="40" customHeight="1">
      <x:c r="A337" s="3" t="str">
        <x:f>HYPERLINK("#'Data &amp; Reporting'!A337","Open")</x:f>
        <x:v>Open</x:v>
      </x:c>
      <x:c r="B337" s="2" t="str">
        <x:f>'Data &amp; Reporting'!B337</x:f>
        <x:v>Cycle 2</x:v>
      </x:c>
      <x:c r="C337" s="2" t="str">
        <x:f>'Data &amp; Reporting'!C337</x:f>
        <x:v>Phase 1</x:v>
      </x:c>
      <x:c r="D337" s="2" t="str">
        <x:f>'Data &amp; Reporting'!D337</x:f>
        <x:v>PLL</x:v>
      </x:c>
      <x:c r="E337" s="2" t="str">
        <x:v>Data &amp; Reporting</x:v>
      </x:c>
      <x:c r="F337" s="56" t="str">
        <x:f>'Data &amp; Reporting'!E337</x:f>
        <x:v>DR.PL.1.3.C13</x:v>
      </x:c>
      <x:c r="G337" s="14" t="str">
        <x:f>'Data &amp; Reporting'!F337</x:f>
        <x:v>    Document clear summary explaining how the data connects to the potential topic</x:v>
      </x:c>
      <x:c r="H337" s="2" t="str">
        <x:f>IF('Data &amp; Reporting'!G337="","",'Data &amp; Reporting'!G337)</x:f>
      </x:c>
      <x:c r="I337" s="12" t="str">
        <x:f>IF('Data &amp; Reporting'!H337="","",'Data &amp; Reporting'!H337)</x:f>
      </x:c>
      <x:c r="J337" s="12" t="str">
        <x:f>IF('Data &amp; Reporting'!I337="","",'Data &amp; Reporting'!I337)</x:f>
      </x:c>
      <x:c r="K337" s="12" t="str">
        <x:f>IF('Data &amp; Reporting'!J337="","",'Data &amp; Reporting'!J337)</x:f>
      </x:c>
      <x:c r="L337" s="2" t="str">
        <x:f>IF('Data &amp; Reporting'!K337="","",'Data &amp; Reporting'!K337)</x:f>
      </x:c>
      <x:c r="M337" s="2" t="n">
        <x:f>'Data &amp; Reporting'!Q337</x:f>
        <x:v>0</x:v>
      </x:c>
      <x:c r="N337" s="2" t="str">
        <x:f>'Data &amp; Reporting'!L337</x:f>
        <x:v>Open check</x:v>
      </x:c>
      <x:c r="O337" s="2" t="str">
        <x:f>'Data &amp; Reporting'!N337</x:f>
        <x:v>DR.PL.1.3.C13.2026.CY2</x:v>
      </x:c>
      <x:c r="P337" s="2" t="n">
        <x:f>'Data &amp; Reporting'!O337</x:f>
        <x:v>0</x:v>
      </x:c>
      <x:c r="Q337" s="2" t="n">
        <x:f>SUBTOTAL(103,O337)</x:f>
        <x:v>1</x:v>
      </x:c>
      <x:c r="R337" s="2" t="n">
        <x:f>IF(AND(M337=1,OR(Dashboard!$B$7="All",Dashboard!$B$7='Cycles &amp; Guide'!$C$5),OR(Dashboard!$D$7="All",Dashboard!$D$7=B337),OR(Dashboard!$F$7="All",Dashboard!$F$7=C337),OR(Dashboard!$H$7="All",Dashboard!$H$7=D337),OR(Dashboard!$K$7="All",Dashboard!$K$7=E337)),1,0)</x:f>
        <x:v>0</x:v>
      </x:c>
      <x:c r="S337" s="2" t="n">
        <x:f>IF(R337=1,SUM($R$10:R337),0)</x:f>
        <x:v>0</x:v>
      </x:c>
      <x:c r="T337" s="2" t="str">
        <x:v>Data &amp; Reporting</x:v>
      </x:c>
      <x:c r="U337" s="2" t="n">
        <x:v>337</x:v>
      </x:c>
      <x:c r="V337" s="2" t="n">
        <x:f>IF(AND(M337=1,P337=0,ISNUMBER(J337),J337&lt;TODAY()),1,0)</x:f>
        <x:v>0</x:v>
      </x:c>
      <x:c r="W337" s="2" t="str">
        <x:f>'Data &amp; Reporting'!M337</x:f>
        <x:v>Checklist</x:v>
      </x:c>
    </x:row>
    <x:row r="338" ht="40" customHeight="1">
      <x:c r="A338" s="3" t="str">
        <x:f>HYPERLINK("#'Data &amp; Reporting'!A338","Open")</x:f>
        <x:v>Open</x:v>
      </x:c>
      <x:c r="B338" s="2" t="str">
        <x:f>'Data &amp; Reporting'!B338</x:f>
        <x:v>Cycle 2</x:v>
      </x:c>
      <x:c r="C338" s="2" t="str">
        <x:f>'Data &amp; Reporting'!C338</x:f>
        <x:v>Phase 2</x:v>
      </x:c>
      <x:c r="D338" s="2" t="str">
        <x:f>'Data &amp; Reporting'!D338</x:f>
        <x:v>PLL</x:v>
      </x:c>
      <x:c r="E338" s="2" t="str">
        <x:v>Data &amp; Reporting</x:v>
      </x:c>
      <x:c r="F338" s="56" t="str">
        <x:f>'Data &amp; Reporting'!E338</x:f>
        <x:v>DR.PL.2.1</x:v>
      </x:c>
      <x:c r="G338" s="14" t="str">
        <x:f>'Data &amp; Reporting'!F338</x:f>
        <x:v>Ensure data is clean, structured, and usable without manipulation needed</x:v>
      </x:c>
      <x:c r="H338" s="2" t="str">
        <x:f>IF('Data &amp; Reporting'!G338="","",'Data &amp; Reporting'!G338)</x:f>
      </x:c>
      <x:c r="I338" s="12" t="str">
        <x:f>IF('Data &amp; Reporting'!H338="","",'Data &amp; Reporting'!H338)</x:f>
      </x:c>
      <x:c r="J338" s="12" t="n">
        <x:f>IF('Data &amp; Reporting'!I338="","",'Data &amp; Reporting'!I338)</x:f>
        <x:v>46203</x:v>
      </x:c>
      <x:c r="K338" s="12" t="str">
        <x:f>IF('Data &amp; Reporting'!J338="","",'Data &amp; Reporting'!J338)</x:f>
      </x:c>
      <x:c r="L338" s="2" t="str">
        <x:f>IF('Data &amp; Reporting'!K338="","",'Data &amp; Reporting'!K338)</x:f>
      </x:c>
      <x:c r="M338" s="2" t="n">
        <x:f>'Data &amp; Reporting'!Q338</x:f>
        <x:v>1</x:v>
      </x:c>
      <x:c r="N338" s="2" t="str">
        <x:f>'Data &amp; Reporting'!L338</x:f>
        <x:v>Not started</x:v>
      </x:c>
      <x:c r="O338" s="2" t="str">
        <x:f>'Data &amp; Reporting'!N338</x:f>
        <x:v>DR.PL.2.1.2026.CY2</x:v>
      </x:c>
      <x:c r="P338" s="2" t="n">
        <x:f>'Data &amp; Reporting'!O338</x:f>
        <x:v>0</x:v>
      </x:c>
      <x:c r="Q338" s="2" t="n">
        <x:f>SUBTOTAL(103,O338)</x:f>
        <x:v>1</x:v>
      </x:c>
      <x:c r="R338" s="2" t="n">
        <x:f>IF(AND(M338=1,OR(Dashboard!$B$7="All",Dashboard!$B$7='Cycles &amp; Guide'!$C$5),OR(Dashboard!$D$7="All",Dashboard!$D$7=B338),OR(Dashboard!$F$7="All",Dashboard!$F$7=C338),OR(Dashboard!$H$7="All",Dashboard!$H$7=D338),OR(Dashboard!$K$7="All",Dashboard!$K$7=E338)),1,0)</x:f>
        <x:v>1</x:v>
      </x:c>
      <x:c r="S338" s="2" t="n">
        <x:f>IF(R338=1,SUM($R$10:R338),0)</x:f>
        <x:v>160</x:v>
      </x:c>
      <x:c r="T338" s="2" t="str">
        <x:v>Data &amp; Reporting</x:v>
      </x:c>
      <x:c r="U338" s="2" t="n">
        <x:v>338</x:v>
      </x:c>
      <x:c r="V338" s="2" t="n">
        <x:f>IF(AND(M338=1,P338=0,ISNUMBER(J338),J338&lt;TODAY()),1,0)</x:f>
        <x:v>1</x:v>
      </x:c>
      <x:c r="W338" s="2" t="str">
        <x:f>'Data &amp; Reporting'!M338</x:f>
        <x:v>Task</x:v>
      </x:c>
    </x:row>
    <x:row r="339" ht="40" customHeight="1">
      <x:c r="A339" s="3" t="str">
        <x:f>HYPERLINK("#'Data &amp; Reporting'!A339","Open")</x:f>
        <x:v>Open</x:v>
      </x:c>
      <x:c r="B339" s="2" t="str">
        <x:f>'Data &amp; Reporting'!B339</x:f>
        <x:v>Cycle 2</x:v>
      </x:c>
      <x:c r="C339" s="2" t="str">
        <x:f>'Data &amp; Reporting'!C339</x:f>
        <x:v>Phase 2</x:v>
      </x:c>
      <x:c r="D339" s="2" t="str">
        <x:f>'Data &amp; Reporting'!D339</x:f>
        <x:v>PLL</x:v>
      </x:c>
      <x:c r="E339" s="2" t="str">
        <x:v>Data &amp; Reporting</x:v>
      </x:c>
      <x:c r="F339" s="56" t="str">
        <x:f>'Data &amp; Reporting'!E339</x:f>
        <x:v>DR.PL.2.2</x:v>
      </x:c>
      <x:c r="G339" s="14" t="str">
        <x:f>'Data &amp; Reporting'!F339</x:f>
        <x:v>Clearly document rationale for each topic recommendation within the SharePoint list</x:v>
      </x:c>
      <x:c r="H339" s="2" t="str">
        <x:f>IF('Data &amp; Reporting'!G339="","",'Data &amp; Reporting'!G339)</x:f>
      </x:c>
      <x:c r="I339" s="12" t="str">
        <x:f>IF('Data &amp; Reporting'!H339="","",'Data &amp; Reporting'!H339)</x:f>
      </x:c>
      <x:c r="J339" s="12" t="n">
        <x:f>IF('Data &amp; Reporting'!I339="","",'Data &amp; Reporting'!I339)</x:f>
        <x:v>46203</x:v>
      </x:c>
      <x:c r="K339" s="12" t="str">
        <x:f>IF('Data &amp; Reporting'!J339="","",'Data &amp; Reporting'!J339)</x:f>
      </x:c>
      <x:c r="L339" s="2" t="str">
        <x:f>IF('Data &amp; Reporting'!K339="","",'Data &amp; Reporting'!K339)</x:f>
      </x:c>
      <x:c r="M339" s="2" t="n">
        <x:f>'Data &amp; Reporting'!Q339</x:f>
        <x:v>1</x:v>
      </x:c>
      <x:c r="N339" s="2" t="str">
        <x:f>'Data &amp; Reporting'!L339</x:f>
        <x:v>Not started</x:v>
      </x:c>
      <x:c r="O339" s="2" t="str">
        <x:f>'Data &amp; Reporting'!N339</x:f>
        <x:v>DR.PL.2.2.2026.CY2</x:v>
      </x:c>
      <x:c r="P339" s="2" t="n">
        <x:f>'Data &amp; Reporting'!O339</x:f>
        <x:v>0</x:v>
      </x:c>
      <x:c r="Q339" s="2" t="n">
        <x:f>SUBTOTAL(103,O339)</x:f>
        <x:v>1</x:v>
      </x:c>
      <x:c r="R339" s="2" t="n">
        <x:f>IF(AND(M339=1,OR(Dashboard!$B$7="All",Dashboard!$B$7='Cycles &amp; Guide'!$C$5),OR(Dashboard!$D$7="All",Dashboard!$D$7=B339),OR(Dashboard!$F$7="All",Dashboard!$F$7=C339),OR(Dashboard!$H$7="All",Dashboard!$H$7=D339),OR(Dashboard!$K$7="All",Dashboard!$K$7=E339)),1,0)</x:f>
        <x:v>1</x:v>
      </x:c>
      <x:c r="S339" s="2" t="n">
        <x:f>IF(R339=1,SUM($R$10:R339),0)</x:f>
        <x:v>161</x:v>
      </x:c>
      <x:c r="T339" s="2" t="str">
        <x:v>Data &amp; Reporting</x:v>
      </x:c>
      <x:c r="U339" s="2" t="n">
        <x:v>339</x:v>
      </x:c>
      <x:c r="V339" s="2" t="n">
        <x:f>IF(AND(M339=1,P339=0,ISNUMBER(J339),J339&lt;TODAY()),1,0)</x:f>
        <x:v>1</x:v>
      </x:c>
      <x:c r="W339" s="2" t="str">
        <x:f>'Data &amp; Reporting'!M339</x:f>
        <x:v>Task</x:v>
      </x:c>
    </x:row>
    <x:row r="340" ht="40" customHeight="1">
      <x:c r="A340" s="3" t="str">
        <x:f>HYPERLINK("#'Data &amp; Reporting'!A340","Open")</x:f>
        <x:v>Open</x:v>
      </x:c>
      <x:c r="B340" s="2" t="str">
        <x:f>'Data &amp; Reporting'!B340</x:f>
        <x:v>Cycle 2</x:v>
      </x:c>
      <x:c r="C340" s="2" t="str">
        <x:f>'Data &amp; Reporting'!C340</x:f>
        <x:v>Phase 2</x:v>
      </x:c>
      <x:c r="D340" s="2" t="str">
        <x:f>'Data &amp; Reporting'!D340</x:f>
        <x:v>PLL</x:v>
      </x:c>
      <x:c r="E340" s="2" t="str">
        <x:v>Data &amp; Reporting</x:v>
      </x:c>
      <x:c r="F340" s="56" t="str">
        <x:f>'Data &amp; Reporting'!E340</x:f>
        <x:v>DR.PL.2.3</x:v>
      </x:c>
      <x:c r="G340" s="14" t="str">
        <x:f>'Data &amp; Reporting'!F340</x:f>
        <x:v>Verify topic is eligible for RCA and does not conflict with Attorney Client Privilege</x:v>
      </x:c>
      <x:c r="H340" s="2" t="str">
        <x:f>IF('Data &amp; Reporting'!G340="","",'Data &amp; Reporting'!G340)</x:f>
      </x:c>
      <x:c r="I340" s="12" t="str">
        <x:f>IF('Data &amp; Reporting'!H340="","",'Data &amp; Reporting'!H340)</x:f>
      </x:c>
      <x:c r="J340" s="12" t="n">
        <x:f>IF('Data &amp; Reporting'!I340="","",'Data &amp; Reporting'!I340)</x:f>
        <x:v>46203</x:v>
      </x:c>
      <x:c r="K340" s="12" t="str">
        <x:f>IF('Data &amp; Reporting'!J340="","",'Data &amp; Reporting'!J340)</x:f>
      </x:c>
      <x:c r="L340" s="2" t="str">
        <x:f>IF('Data &amp; Reporting'!K340="","",'Data &amp; Reporting'!K340)</x:f>
      </x:c>
      <x:c r="M340" s="2" t="n">
        <x:f>'Data &amp; Reporting'!Q340</x:f>
        <x:v>1</x:v>
      </x:c>
      <x:c r="N340" s="2" t="str">
        <x:f>'Data &amp; Reporting'!L340</x:f>
        <x:v>Not started</x:v>
      </x:c>
      <x:c r="O340" s="2" t="str">
        <x:f>'Data &amp; Reporting'!N340</x:f>
        <x:v>DR.PL.2.3.2026.CY2</x:v>
      </x:c>
      <x:c r="P340" s="2" t="n">
        <x:f>'Data &amp; Reporting'!O340</x:f>
        <x:v>0</x:v>
      </x:c>
      <x:c r="Q340" s="2" t="n">
        <x:f>SUBTOTAL(103,O340)</x:f>
        <x:v>1</x:v>
      </x:c>
      <x:c r="R340" s="2" t="n">
        <x:f>IF(AND(M340=1,OR(Dashboard!$B$7="All",Dashboard!$B$7='Cycles &amp; Guide'!$C$5),OR(Dashboard!$D$7="All",Dashboard!$D$7=B340),OR(Dashboard!$F$7="All",Dashboard!$F$7=C340),OR(Dashboard!$H$7="All",Dashboard!$H$7=D340),OR(Dashboard!$K$7="All",Dashboard!$K$7=E340)),1,0)</x:f>
        <x:v>1</x:v>
      </x:c>
      <x:c r="S340" s="2" t="n">
        <x:f>IF(R340=1,SUM($R$10:R340),0)</x:f>
        <x:v>162</x:v>
      </x:c>
      <x:c r="T340" s="2" t="str">
        <x:v>Data &amp; Reporting</x:v>
      </x:c>
      <x:c r="U340" s="2" t="n">
        <x:v>340</x:v>
      </x:c>
      <x:c r="V340" s="2" t="n">
        <x:f>IF(AND(M340=1,P340=0,ISNUMBER(J340),J340&lt;TODAY()),1,0)</x:f>
        <x:v>1</x:v>
      </x:c>
      <x:c r="W340" s="2" t="str">
        <x:f>'Data &amp; Reporting'!M340</x:f>
        <x:v>Task</x:v>
      </x:c>
    </x:row>
    <x:row r="341" ht="40" customHeight="1">
      <x:c r="A341" s="3" t="str">
        <x:f>HYPERLINK("#'Data &amp; Reporting'!A341","Open")</x:f>
        <x:v>Open</x:v>
      </x:c>
      <x:c r="B341" s="2" t="str">
        <x:f>'Data &amp; Reporting'!B341</x:f>
        <x:v>Cycle 2</x:v>
      </x:c>
      <x:c r="C341" s="2" t="str">
        <x:f>'Data &amp; Reporting'!C341</x:f>
        <x:v>Phase 2</x:v>
      </x:c>
      <x:c r="D341" s="2" t="str">
        <x:f>'Data &amp; Reporting'!D341</x:f>
        <x:v>PLL</x:v>
      </x:c>
      <x:c r="E341" s="2" t="str">
        <x:v>Data &amp; Reporting</x:v>
      </x:c>
      <x:c r="F341" s="56" t="str">
        <x:f>'Data &amp; Reporting'!E341</x:f>
        <x:v>DR.PL.2.4</x:v>
      </x:c>
      <x:c r="G341" s="14" t="str">
        <x:f>'Data &amp; Reporting'!F341</x:f>
        <x:v>Ensure data is free of errors and anomalies prior to hand-off to Research</x:v>
      </x:c>
      <x:c r="H341" s="2" t="str">
        <x:f>IF('Data &amp; Reporting'!G341="","",'Data &amp; Reporting'!G341)</x:f>
      </x:c>
      <x:c r="I341" s="12" t="str">
        <x:f>IF('Data &amp; Reporting'!H341="","",'Data &amp; Reporting'!H341)</x:f>
      </x:c>
      <x:c r="J341" s="12" t="n">
        <x:f>IF('Data &amp; Reporting'!I341="","",'Data &amp; Reporting'!I341)</x:f>
        <x:v>46203</x:v>
      </x:c>
      <x:c r="K341" s="12" t="str">
        <x:f>IF('Data &amp; Reporting'!J341="","",'Data &amp; Reporting'!J341)</x:f>
      </x:c>
      <x:c r="L341" s="2" t="str">
        <x:f>IF('Data &amp; Reporting'!K341="","",'Data &amp; Reporting'!K341)</x:f>
      </x:c>
      <x:c r="M341" s="2" t="n">
        <x:f>'Data &amp; Reporting'!Q341</x:f>
        <x:v>1</x:v>
      </x:c>
      <x:c r="N341" s="2" t="str">
        <x:f>'Data &amp; Reporting'!L341</x:f>
        <x:v>Not started</x:v>
      </x:c>
      <x:c r="O341" s="2" t="str">
        <x:f>'Data &amp; Reporting'!N341</x:f>
        <x:v>DR.PL.2.4.2026.CY2</x:v>
      </x:c>
      <x:c r="P341" s="2" t="n">
        <x:f>'Data &amp; Reporting'!O341</x:f>
        <x:v>0</x:v>
      </x:c>
      <x:c r="Q341" s="2" t="n">
        <x:f>SUBTOTAL(103,O341)</x:f>
        <x:v>1</x:v>
      </x:c>
      <x:c r="R341" s="2" t="n">
        <x:f>IF(AND(M341=1,OR(Dashboard!$B$7="All",Dashboard!$B$7='Cycles &amp; Guide'!$C$5),OR(Dashboard!$D$7="All",Dashboard!$D$7=B341),OR(Dashboard!$F$7="All",Dashboard!$F$7=C341),OR(Dashboard!$H$7="All",Dashboard!$H$7=D341),OR(Dashboard!$K$7="All",Dashboard!$K$7=E341)),1,0)</x:f>
        <x:v>1</x:v>
      </x:c>
      <x:c r="S341" s="2" t="n">
        <x:f>IF(R341=1,SUM($R$10:R341),0)</x:f>
        <x:v>163</x:v>
      </x:c>
      <x:c r="T341" s="2" t="str">
        <x:v>Data &amp; Reporting</x:v>
      </x:c>
      <x:c r="U341" s="2" t="n">
        <x:v>341</x:v>
      </x:c>
      <x:c r="V341" s="2" t="n">
        <x:f>IF(AND(M341=1,P341=0,ISNUMBER(J341),J341&lt;TODAY()),1,0)</x:f>
        <x:v>1</x:v>
      </x:c>
      <x:c r="W341" s="2" t="str">
        <x:f>'Data &amp; Reporting'!M341</x:f>
        <x:v>Task</x:v>
      </x:c>
    </x:row>
    <x:row r="342" ht="40" customHeight="1">
      <x:c r="A342" s="3" t="str">
        <x:f>HYPERLINK("#'Data &amp; Reporting'!A342","Open")</x:f>
        <x:v>Open</x:v>
      </x:c>
      <x:c r="B342" s="2" t="str">
        <x:f>'Data &amp; Reporting'!B342</x:f>
        <x:v>Cycle 2</x:v>
      </x:c>
      <x:c r="C342" s="2" t="str">
        <x:f>'Data &amp; Reporting'!C342</x:f>
        <x:v>Phase 2</x:v>
      </x:c>
      <x:c r="D342" s="2" t="str">
        <x:f>'Data &amp; Reporting'!D342</x:f>
        <x:v>PLL</x:v>
      </x:c>
      <x:c r="E342" s="2" t="str">
        <x:v>Data &amp; Reporting</x:v>
      </x:c>
      <x:c r="F342" s="56" t="str">
        <x:f>'Data &amp; Reporting'!E342</x:f>
        <x:v>DR.PL.2.5</x:v>
      </x:c>
      <x:c r="G342" s="14" t="str">
        <x:f>'Data &amp; Reporting'!F342</x:f>
        <x:v>Ensure topic is not a duplicate from a previous Cycle</x:v>
      </x:c>
      <x:c r="H342" s="2" t="str">
        <x:f>IF('Data &amp; Reporting'!G342="","",'Data &amp; Reporting'!G342)</x:f>
      </x:c>
      <x:c r="I342" s="12" t="str">
        <x:f>IF('Data &amp; Reporting'!H342="","",'Data &amp; Reporting'!H342)</x:f>
      </x:c>
      <x:c r="J342" s="12" t="n">
        <x:f>IF('Data &amp; Reporting'!I342="","",'Data &amp; Reporting'!I342)</x:f>
        <x:v>46203</x:v>
      </x:c>
      <x:c r="K342" s="12" t="str">
        <x:f>IF('Data &amp; Reporting'!J342="","",'Data &amp; Reporting'!J342)</x:f>
      </x:c>
      <x:c r="L342" s="2" t="str">
        <x:f>IF('Data &amp; Reporting'!K342="","",'Data &amp; Reporting'!K342)</x:f>
      </x:c>
      <x:c r="M342" s="2" t="n">
        <x:f>'Data &amp; Reporting'!Q342</x:f>
        <x:v>1</x:v>
      </x:c>
      <x:c r="N342" s="2" t="str">
        <x:f>'Data &amp; Reporting'!L342</x:f>
        <x:v>Not started</x:v>
      </x:c>
      <x:c r="O342" s="2" t="str">
        <x:f>'Data &amp; Reporting'!N342</x:f>
        <x:v>DR.PL.2.5.2026.CY2</x:v>
      </x:c>
      <x:c r="P342" s="2" t="n">
        <x:f>'Data &amp; Reporting'!O342</x:f>
        <x:v>0</x:v>
      </x:c>
      <x:c r="Q342" s="2" t="n">
        <x:f>SUBTOTAL(103,O342)</x:f>
        <x:v>1</x:v>
      </x:c>
      <x:c r="R342" s="2" t="n">
        <x:f>IF(AND(M342=1,OR(Dashboard!$B$7="All",Dashboard!$B$7='Cycles &amp; Guide'!$C$5),OR(Dashboard!$D$7="All",Dashboard!$D$7=B342),OR(Dashboard!$F$7="All",Dashboard!$F$7=C342),OR(Dashboard!$H$7="All",Dashboard!$H$7=D342),OR(Dashboard!$K$7="All",Dashboard!$K$7=E342)),1,0)</x:f>
        <x:v>1</x:v>
      </x:c>
      <x:c r="S342" s="2" t="n">
        <x:f>IF(R342=1,SUM($R$10:R342),0)</x:f>
        <x:v>164</x:v>
      </x:c>
      <x:c r="T342" s="2" t="str">
        <x:v>Data &amp; Reporting</x:v>
      </x:c>
      <x:c r="U342" s="2" t="n">
        <x:v>342</x:v>
      </x:c>
      <x:c r="V342" s="2" t="n">
        <x:f>IF(AND(M342=1,P342=0,ISNUMBER(J342),J342&lt;TODAY()),1,0)</x:f>
        <x:v>1</x:v>
      </x:c>
      <x:c r="W342" s="2" t="str">
        <x:f>'Data &amp; Reporting'!M342</x:f>
        <x:v>Task</x:v>
      </x:c>
    </x:row>
    <x:row r="343" ht="40" customHeight="1">
      <x:c r="A343" s="3" t="str">
        <x:f>HYPERLINK("#'Data &amp; Reporting'!A343","Open")</x:f>
        <x:v>Open</x:v>
      </x:c>
      <x:c r="B343" s="2" t="str">
        <x:f>'Data &amp; Reporting'!B343</x:f>
        <x:v>Cycle 2</x:v>
      </x:c>
      <x:c r="C343" s="2" t="str">
        <x:f>'Data &amp; Reporting'!C343</x:f>
        <x:v>Phase 2</x:v>
      </x:c>
      <x:c r="D343" s="2" t="str">
        <x:f>'Data &amp; Reporting'!D343</x:f>
        <x:v>PLL</x:v>
      </x:c>
      <x:c r="E343" s="2" t="str">
        <x:v>Data &amp; Reporting</x:v>
      </x:c>
      <x:c r="F343" s="56" t="str">
        <x:f>'Data &amp; Reporting'!E343</x:f>
        <x:v>DR.PL.2.6</x:v>
      </x:c>
      <x:c r="G343" s="14" t="str">
        <x:f>'Data &amp; Reporting'!F343</x:f>
        <x:v>Document clear distinctions between facts, assumptions, and hypotheses within the data package</x:v>
      </x:c>
      <x:c r="H343" s="2" t="str">
        <x:f>IF('Data &amp; Reporting'!G343="","",'Data &amp; Reporting'!G343)</x:f>
      </x:c>
      <x:c r="I343" s="12" t="str">
        <x:f>IF('Data &amp; Reporting'!H343="","",'Data &amp; Reporting'!H343)</x:f>
      </x:c>
      <x:c r="J343" s="12" t="n">
        <x:f>IF('Data &amp; Reporting'!I343="","",'Data &amp; Reporting'!I343)</x:f>
        <x:v>46203</x:v>
      </x:c>
      <x:c r="K343" s="12" t="str">
        <x:f>IF('Data &amp; Reporting'!J343="","",'Data &amp; Reporting'!J343)</x:f>
      </x:c>
      <x:c r="L343" s="2" t="str">
        <x:f>IF('Data &amp; Reporting'!K343="","",'Data &amp; Reporting'!K343)</x:f>
      </x:c>
      <x:c r="M343" s="2" t="n">
        <x:f>'Data &amp; Reporting'!Q343</x:f>
        <x:v>1</x:v>
      </x:c>
      <x:c r="N343" s="2" t="str">
        <x:f>'Data &amp; Reporting'!L343</x:f>
        <x:v>Not started</x:v>
      </x:c>
      <x:c r="O343" s="2" t="str">
        <x:f>'Data &amp; Reporting'!N343</x:f>
        <x:v>DR.PL.2.6.2026.CY2</x:v>
      </x:c>
      <x:c r="P343" s="2" t="n">
        <x:f>'Data &amp; Reporting'!O343</x:f>
        <x:v>0</x:v>
      </x:c>
      <x:c r="Q343" s="2" t="n">
        <x:f>SUBTOTAL(103,O343)</x:f>
        <x:v>1</x:v>
      </x:c>
      <x:c r="R343" s="2" t="n">
        <x:f>IF(AND(M343=1,OR(Dashboard!$B$7="All",Dashboard!$B$7='Cycles &amp; Guide'!$C$5),OR(Dashboard!$D$7="All",Dashboard!$D$7=B343),OR(Dashboard!$F$7="All",Dashboard!$F$7=C343),OR(Dashboard!$H$7="All",Dashboard!$H$7=D343),OR(Dashboard!$K$7="All",Dashboard!$K$7=E343)),1,0)</x:f>
        <x:v>1</x:v>
      </x:c>
      <x:c r="S343" s="2" t="n">
        <x:f>IF(R343=1,SUM($R$10:R343),0)</x:f>
        <x:v>165</x:v>
      </x:c>
      <x:c r="T343" s="2" t="str">
        <x:v>Data &amp; Reporting</x:v>
      </x:c>
      <x:c r="U343" s="2" t="n">
        <x:v>343</x:v>
      </x:c>
      <x:c r="V343" s="2" t="n">
        <x:f>IF(AND(M343=1,P343=0,ISNUMBER(J343),J343&lt;TODAY()),1,0)</x:f>
        <x:v>1</x:v>
      </x:c>
      <x:c r="W343" s="2" t="str">
        <x:f>'Data &amp; Reporting'!M343</x:f>
        <x:v>Task</x:v>
      </x:c>
    </x:row>
    <x:row r="344" ht="40" customHeight="1">
      <x:c r="A344" s="3" t="str">
        <x:f>HYPERLINK("#'Data &amp; Reporting'!A344","Open")</x:f>
        <x:v>Open</x:v>
      </x:c>
      <x:c r="B344" s="2" t="str">
        <x:f>'Data &amp; Reporting'!B344</x:f>
        <x:v>Cycle 2</x:v>
      </x:c>
      <x:c r="C344" s="2" t="str">
        <x:f>'Data &amp; Reporting'!C344</x:f>
        <x:v>Phase 3</x:v>
      </x:c>
      <x:c r="D344" s="2" t="str">
        <x:f>'Data &amp; Reporting'!D344</x:f>
        <x:v>PLL</x:v>
      </x:c>
      <x:c r="E344" s="2" t="str">
        <x:v>Data &amp; Reporting</x:v>
      </x:c>
      <x:c r="F344" s="56" t="str">
        <x:f>'Data &amp; Reporting'!E344</x:f>
        <x:v>DR.PL.3.1</x:v>
      </x:c>
      <x:c r="G344" s="14" t="str">
        <x:f>'Data &amp; Reporting'!F344</x:f>
        <x:v>Clearly document rationale for each topic recommendation within the SharePoint list item</x:v>
      </x:c>
      <x:c r="H344" s="2" t="str">
        <x:f>IF('Data &amp; Reporting'!G344="","",'Data &amp; Reporting'!G344)</x:f>
      </x:c>
      <x:c r="I344" s="12" t="str">
        <x:f>IF('Data &amp; Reporting'!H344="","",'Data &amp; Reporting'!H344)</x:f>
      </x:c>
      <x:c r="J344" s="12" t="n">
        <x:f>IF('Data &amp; Reporting'!I344="","",'Data &amp; Reporting'!I344)</x:f>
        <x:v>46203</x:v>
      </x:c>
      <x:c r="K344" s="12" t="str">
        <x:f>IF('Data &amp; Reporting'!J344="","",'Data &amp; Reporting'!J344)</x:f>
      </x:c>
      <x:c r="L344" s="2" t="str">
        <x:f>IF('Data &amp; Reporting'!K344="","",'Data &amp; Reporting'!K344)</x:f>
      </x:c>
      <x:c r="M344" s="2" t="n">
        <x:f>'Data &amp; Reporting'!Q344</x:f>
        <x:v>1</x:v>
      </x:c>
      <x:c r="N344" s="2" t="str">
        <x:f>'Data &amp; Reporting'!L344</x:f>
        <x:v>Not started</x:v>
      </x:c>
      <x:c r="O344" s="2" t="str">
        <x:f>'Data &amp; Reporting'!N344</x:f>
        <x:v>DR.PL.3.1.2026.CY2</x:v>
      </x:c>
      <x:c r="P344" s="2" t="n">
        <x:f>'Data &amp; Reporting'!O344</x:f>
        <x:v>0</x:v>
      </x:c>
      <x:c r="Q344" s="2" t="n">
        <x:f>SUBTOTAL(103,O344)</x:f>
        <x:v>1</x:v>
      </x:c>
      <x:c r="R344" s="2" t="n">
        <x:f>IF(AND(M344=1,OR(Dashboard!$B$7="All",Dashboard!$B$7='Cycles &amp; Guide'!$C$5),OR(Dashboard!$D$7="All",Dashboard!$D$7=B344),OR(Dashboard!$F$7="All",Dashboard!$F$7=C344),OR(Dashboard!$H$7="All",Dashboard!$H$7=D344),OR(Dashboard!$K$7="All",Dashboard!$K$7=E344)),1,0)</x:f>
        <x:v>1</x:v>
      </x:c>
      <x:c r="S344" s="2" t="n">
        <x:f>IF(R344=1,SUM($R$10:R344),0)</x:f>
        <x:v>166</x:v>
      </x:c>
      <x:c r="T344" s="2" t="str">
        <x:v>Data &amp; Reporting</x:v>
      </x:c>
      <x:c r="U344" s="2" t="n">
        <x:v>344</x:v>
      </x:c>
      <x:c r="V344" s="2" t="n">
        <x:f>IF(AND(M344=1,P344=0,ISNUMBER(J344),J344&lt;TODAY()),1,0)</x:f>
        <x:v>1</x:v>
      </x:c>
      <x:c r="W344" s="2" t="str">
        <x:f>'Data &amp; Reporting'!M344</x:f>
        <x:v>Task</x:v>
      </x:c>
    </x:row>
    <x:row r="345" ht="40" customHeight="1">
      <x:c r="A345" s="3" t="str">
        <x:f>HYPERLINK("#'Data &amp; Reporting'!A345","Open")</x:f>
        <x:v>Open</x:v>
      </x:c>
      <x:c r="B345" s="2" t="str">
        <x:f>'Data &amp; Reporting'!B345</x:f>
        <x:v>Cycle 2</x:v>
      </x:c>
      <x:c r="C345" s="2" t="str">
        <x:f>'Data &amp; Reporting'!C345</x:f>
        <x:v>Phase 3</x:v>
      </x:c>
      <x:c r="D345" s="2" t="str">
        <x:f>'Data &amp; Reporting'!D345</x:f>
        <x:v>PLL</x:v>
      </x:c>
      <x:c r="E345" s="2" t="str">
        <x:v>Data &amp; Reporting</x:v>
      </x:c>
      <x:c r="F345" s="56" t="str">
        <x:f>'Data &amp; Reporting'!E345</x:f>
        <x:v>DR.PL.3.2</x:v>
      </x:c>
      <x:c r="G345" s="14" t="str">
        <x:f>'Data &amp; Reporting'!F345</x:f>
        <x:v>Attach the data package for each topic recommendation within the SharePoint list item</x:v>
      </x:c>
      <x:c r="H345" s="2" t="str">
        <x:f>IF('Data &amp; Reporting'!G345="","",'Data &amp; Reporting'!G345)</x:f>
      </x:c>
      <x:c r="I345" s="12" t="str">
        <x:f>IF('Data &amp; Reporting'!H345="","",'Data &amp; Reporting'!H345)</x:f>
      </x:c>
      <x:c r="J345" s="12" t="n">
        <x:f>IF('Data &amp; Reporting'!I345="","",'Data &amp; Reporting'!I345)</x:f>
        <x:v>46203</x:v>
      </x:c>
      <x:c r="K345" s="12" t="str">
        <x:f>IF('Data &amp; Reporting'!J345="","",'Data &amp; Reporting'!J345)</x:f>
      </x:c>
      <x:c r="L345" s="2" t="str">
        <x:f>IF('Data &amp; Reporting'!K345="","",'Data &amp; Reporting'!K345)</x:f>
      </x:c>
      <x:c r="M345" s="2" t="n">
        <x:f>'Data &amp; Reporting'!Q345</x:f>
        <x:v>1</x:v>
      </x:c>
      <x:c r="N345" s="2" t="str">
        <x:f>'Data &amp; Reporting'!L345</x:f>
        <x:v>Not started</x:v>
      </x:c>
      <x:c r="O345" s="2" t="str">
        <x:f>'Data &amp; Reporting'!N345</x:f>
        <x:v>DR.PL.3.2.2026.CY2</x:v>
      </x:c>
      <x:c r="P345" s="2" t="n">
        <x:f>'Data &amp; Reporting'!O345</x:f>
        <x:v>0</x:v>
      </x:c>
      <x:c r="Q345" s="2" t="n">
        <x:f>SUBTOTAL(103,O345)</x:f>
        <x:v>1</x:v>
      </x:c>
      <x:c r="R345" s="2" t="n">
        <x:f>IF(AND(M345=1,OR(Dashboard!$B$7="All",Dashboard!$B$7='Cycles &amp; Guide'!$C$5),OR(Dashboard!$D$7="All",Dashboard!$D$7=B345),OR(Dashboard!$F$7="All",Dashboard!$F$7=C345),OR(Dashboard!$H$7="All",Dashboard!$H$7=D345),OR(Dashboard!$K$7="All",Dashboard!$K$7=E345)),1,0)</x:f>
        <x:v>1</x:v>
      </x:c>
      <x:c r="S345" s="2" t="n">
        <x:f>IF(R345=1,SUM($R$10:R345),0)</x:f>
        <x:v>167</x:v>
      </x:c>
      <x:c r="T345" s="2" t="str">
        <x:v>Data &amp; Reporting</x:v>
      </x:c>
      <x:c r="U345" s="2" t="n">
        <x:v>345</x:v>
      </x:c>
      <x:c r="V345" s="2" t="n">
        <x:f>IF(AND(M345=1,P345=0,ISNUMBER(J345),J345&lt;TODAY()),1,0)</x:f>
        <x:v>1</x:v>
      </x:c>
      <x:c r="W345" s="2" t="str">
        <x:f>'Data &amp; Reporting'!M345</x:f>
        <x:v>Task</x:v>
      </x:c>
    </x:row>
    <x:row r="346" ht="40" customHeight="1">
      <x:c r="A346" s="3" t="str">
        <x:f>HYPERLINK("#'Data &amp; Reporting'!A346","Open")</x:f>
        <x:v>Open</x:v>
      </x:c>
      <x:c r="B346" s="2" t="str">
        <x:f>'Data &amp; Reporting'!B346</x:f>
        <x:v>Cycle 2</x:v>
      </x:c>
      <x:c r="C346" s="2" t="str">
        <x:f>'Data &amp; Reporting'!C346</x:f>
        <x:v>Phase 3</x:v>
      </x:c>
      <x:c r="D346" s="2" t="str">
        <x:f>'Data &amp; Reporting'!D346</x:f>
        <x:v>PLL</x:v>
      </x:c>
      <x:c r="E346" s="2" t="str">
        <x:v>Data &amp; Reporting</x:v>
      </x:c>
      <x:c r="F346" s="56" t="str">
        <x:f>'Data &amp; Reporting'!E346</x:f>
        <x:v>DR.PL.3.3</x:v>
      </x:c>
      <x:c r="G346" s="14" t="str">
        <x:f>'Data &amp; Reporting'!F346</x:f>
        <x:v>Confirm data privileges have been granted, ensuring each pillar can access</x:v>
      </x:c>
      <x:c r="H346" s="2" t="str">
        <x:f>IF('Data &amp; Reporting'!G346="","",'Data &amp; Reporting'!G346)</x:f>
      </x:c>
      <x:c r="I346" s="12" t="str">
        <x:f>IF('Data &amp; Reporting'!H346="","",'Data &amp; Reporting'!H346)</x:f>
      </x:c>
      <x:c r="J346" s="12" t="n">
        <x:f>IF('Data &amp; Reporting'!I346="","",'Data &amp; Reporting'!I346)</x:f>
        <x:v>46203</x:v>
      </x:c>
      <x:c r="K346" s="12" t="str">
        <x:f>IF('Data &amp; Reporting'!J346="","",'Data &amp; Reporting'!J346)</x:f>
      </x:c>
      <x:c r="L346" s="2" t="str">
        <x:f>IF('Data &amp; Reporting'!K346="","",'Data &amp; Reporting'!K346)</x:f>
      </x:c>
      <x:c r="M346" s="2" t="n">
        <x:f>'Data &amp; Reporting'!Q346</x:f>
        <x:v>1</x:v>
      </x:c>
      <x:c r="N346" s="2" t="str">
        <x:f>'Data &amp; Reporting'!L346</x:f>
        <x:v>Not started</x:v>
      </x:c>
      <x:c r="O346" s="2" t="str">
        <x:f>'Data &amp; Reporting'!N346</x:f>
        <x:v>DR.PL.3.3.2026.CY2</x:v>
      </x:c>
      <x:c r="P346" s="2" t="n">
        <x:f>'Data &amp; Reporting'!O346</x:f>
        <x:v>0</x:v>
      </x:c>
      <x:c r="Q346" s="2" t="n">
        <x:f>SUBTOTAL(103,O346)</x:f>
        <x:v>1</x:v>
      </x:c>
      <x:c r="R346" s="2" t="n">
        <x:f>IF(AND(M346=1,OR(Dashboard!$B$7="All",Dashboard!$B$7='Cycles &amp; Guide'!$C$5),OR(Dashboard!$D$7="All",Dashboard!$D$7=B346),OR(Dashboard!$F$7="All",Dashboard!$F$7=C346),OR(Dashboard!$H$7="All",Dashboard!$H$7=D346),OR(Dashboard!$K$7="All",Dashboard!$K$7=E346)),1,0)</x:f>
        <x:v>1</x:v>
      </x:c>
      <x:c r="S346" s="2" t="n">
        <x:f>IF(R346=1,SUM($R$10:R346),0)</x:f>
        <x:v>168</x:v>
      </x:c>
      <x:c r="T346" s="2" t="str">
        <x:v>Data &amp; Reporting</x:v>
      </x:c>
      <x:c r="U346" s="2" t="n">
        <x:v>346</x:v>
      </x:c>
      <x:c r="V346" s="2" t="n">
        <x:f>IF(AND(M346=1,P346=0,ISNUMBER(J346),J346&lt;TODAY()),1,0)</x:f>
        <x:v>1</x:v>
      </x:c>
      <x:c r="W346" s="2" t="str">
        <x:f>'Data &amp; Reporting'!M346</x:f>
        <x:v>Task</x:v>
      </x:c>
    </x:row>
    <x:row r="347" ht="40" customHeight="1">
      <x:c r="A347" s="3" t="str">
        <x:f>HYPERLINK("#'Data &amp; Reporting'!A347","Open")</x:f>
        <x:v>Open</x:v>
      </x:c>
      <x:c r="B347" s="2" t="str">
        <x:f>'Data &amp; Reporting'!B347</x:f>
        <x:v>Cycle 2</x:v>
      </x:c>
      <x:c r="C347" s="2" t="str">
        <x:f>'Data &amp; Reporting'!C347</x:f>
        <x:v>Phase 3</x:v>
      </x:c>
      <x:c r="D347" s="2" t="str">
        <x:f>'Data &amp; Reporting'!D347</x:f>
        <x:v>PLL</x:v>
      </x:c>
      <x:c r="E347" s="2" t="str">
        <x:v>Data &amp; Reporting</x:v>
      </x:c>
      <x:c r="F347" s="56" t="str">
        <x:f>'Data &amp; Reporting'!E347</x:f>
        <x:v>DR.PL.3.4</x:v>
      </x:c>
      <x:c r="G347" s="14" t="str">
        <x:f>'Data &amp; Reporting'!F347</x:f>
        <x:v>Ensure Power Automate notifications were correctly triggered within Microsoft Teams</x:v>
      </x:c>
      <x:c r="H347" s="2" t="str">
        <x:f>IF('Data &amp; Reporting'!G347="","",'Data &amp; Reporting'!G347)</x:f>
      </x:c>
      <x:c r="I347" s="12" t="str">
        <x:f>IF('Data &amp; Reporting'!H347="","",'Data &amp; Reporting'!H347)</x:f>
      </x:c>
      <x:c r="J347" s="12" t="n">
        <x:f>IF('Data &amp; Reporting'!I347="","",'Data &amp; Reporting'!I347)</x:f>
        <x:v>46203</x:v>
      </x:c>
      <x:c r="K347" s="12" t="str">
        <x:f>IF('Data &amp; Reporting'!J347="","",'Data &amp; Reporting'!J347)</x:f>
      </x:c>
      <x:c r="L347" s="2" t="str">
        <x:f>IF('Data &amp; Reporting'!K347="","",'Data &amp; Reporting'!K347)</x:f>
      </x:c>
      <x:c r="M347" s="2" t="n">
        <x:f>'Data &amp; Reporting'!Q347</x:f>
        <x:v>1</x:v>
      </x:c>
      <x:c r="N347" s="2" t="str">
        <x:f>'Data &amp; Reporting'!L347</x:f>
        <x:v>Not started</x:v>
      </x:c>
      <x:c r="O347" s="2" t="str">
        <x:f>'Data &amp; Reporting'!N347</x:f>
        <x:v>DR.PL.3.4.2026.CY2</x:v>
      </x:c>
      <x:c r="P347" s="2" t="n">
        <x:f>'Data &amp; Reporting'!O347</x:f>
        <x:v>0</x:v>
      </x:c>
      <x:c r="Q347" s="2" t="n">
        <x:f>SUBTOTAL(103,O347)</x:f>
        <x:v>1</x:v>
      </x:c>
      <x:c r="R347" s="2" t="n">
        <x:f>IF(AND(M347=1,OR(Dashboard!$B$7="All",Dashboard!$B$7='Cycles &amp; Guide'!$C$5),OR(Dashboard!$D$7="All",Dashboard!$D$7=B347),OR(Dashboard!$F$7="All",Dashboard!$F$7=C347),OR(Dashboard!$H$7="All",Dashboard!$H$7=D347),OR(Dashboard!$K$7="All",Dashboard!$K$7=E347)),1,0)</x:f>
        <x:v>1</x:v>
      </x:c>
      <x:c r="S347" s="2" t="n">
        <x:f>IF(R347=1,SUM($R$10:R347),0)</x:f>
        <x:v>169</x:v>
      </x:c>
      <x:c r="T347" s="2" t="str">
        <x:v>Data &amp; Reporting</x:v>
      </x:c>
      <x:c r="U347" s="2" t="n">
        <x:v>347</x:v>
      </x:c>
      <x:c r="V347" s="2" t="n">
        <x:f>IF(AND(M347=1,P347=0,ISNUMBER(J347),J347&lt;TODAY()),1,0)</x:f>
        <x:v>1</x:v>
      </x:c>
      <x:c r="W347" s="2" t="str">
        <x:f>'Data &amp; Reporting'!M347</x:f>
        <x:v>Task</x:v>
      </x:c>
    </x:row>
    <x:row r="348" ht="40" customHeight="1">
      <x:c r="A348" s="3" t="str">
        <x:f>HYPERLINK("#'Data &amp; Reporting'!A348","Open")</x:f>
        <x:v>Open</x:v>
      </x:c>
      <x:c r="B348" s="2" t="str">
        <x:f>'Data &amp; Reporting'!B348</x:f>
        <x:v>Cycle 2</x:v>
      </x:c>
      <x:c r="C348" s="2" t="str">
        <x:f>'Data &amp; Reporting'!C348</x:f>
        <x:v>Phase 1</x:v>
      </x:c>
      <x:c r="D348" s="2" t="str">
        <x:f>'Data &amp; Reporting'!D348</x:f>
        <x:v>Retail Services</x:v>
      </x:c>
      <x:c r="E348" s="2" t="str">
        <x:v>Data &amp; Reporting</x:v>
      </x:c>
      <x:c r="F348" s="56" t="str">
        <x:f>'Data &amp; Reporting'!E348</x:f>
        <x:v>DR.RS.1.1</x:v>
      </x:c>
      <x:c r="G348" s="14" t="str">
        <x:f>'Data &amp; Reporting'!F348</x:f>
        <x:v>Review data sources 3 weeks prior to Cycle start (Complaints, Gen AI, Loudspeaker, NPS, etc.)</x:v>
      </x:c>
      <x:c r="H348" s="2" t="str">
        <x:f>IF('Data &amp; Reporting'!G348="","",'Data &amp; Reporting'!G348)</x:f>
      </x:c>
      <x:c r="I348" s="12" t="str">
        <x:f>IF('Data &amp; Reporting'!H348="","",'Data &amp; Reporting'!H348)</x:f>
      </x:c>
      <x:c r="J348" s="12" t="n">
        <x:f>IF('Data &amp; Reporting'!I348="","",'Data &amp; Reporting'!I348)</x:f>
        <x:v>46092</x:v>
      </x:c>
      <x:c r="K348" s="12" t="str">
        <x:f>IF('Data &amp; Reporting'!J348="","",'Data &amp; Reporting'!J348)</x:f>
      </x:c>
      <x:c r="L348" s="2" t="str">
        <x:f>IF('Data &amp; Reporting'!K348="","",'Data &amp; Reporting'!K348)</x:f>
      </x:c>
      <x:c r="M348" s="2" t="n">
        <x:f>'Data &amp; Reporting'!Q348</x:f>
        <x:v>1</x:v>
      </x:c>
      <x:c r="N348" s="2" t="str">
        <x:f>'Data &amp; Reporting'!L348</x:f>
        <x:v>Not started</x:v>
      </x:c>
      <x:c r="O348" s="2" t="str">
        <x:f>'Data &amp; Reporting'!N348</x:f>
        <x:v>DR.RS.1.1.2026.CY2</x:v>
      </x:c>
      <x:c r="P348" s="2" t="n">
        <x:f>'Data &amp; Reporting'!O348</x:f>
        <x:v>0</x:v>
      </x:c>
      <x:c r="Q348" s="2" t="n">
        <x:f>SUBTOTAL(103,O348)</x:f>
        <x:v>1</x:v>
      </x:c>
      <x:c r="R348" s="2" t="n">
        <x:f>IF(AND(M348=1,OR(Dashboard!$B$7="All",Dashboard!$B$7='Cycles &amp; Guide'!$C$5),OR(Dashboard!$D$7="All",Dashboard!$D$7=B348),OR(Dashboard!$F$7="All",Dashboard!$F$7=C348),OR(Dashboard!$H$7="All",Dashboard!$H$7=D348),OR(Dashboard!$K$7="All",Dashboard!$K$7=E348)),1,0)</x:f>
        <x:v>1</x:v>
      </x:c>
      <x:c r="S348" s="2" t="n">
        <x:f>IF(R348=1,SUM($R$10:R348),0)</x:f>
        <x:v>170</x:v>
      </x:c>
      <x:c r="T348" s="2" t="str">
        <x:v>Data &amp; Reporting</x:v>
      </x:c>
      <x:c r="U348" s="2" t="n">
        <x:v>348</x:v>
      </x:c>
      <x:c r="V348" s="2" t="n">
        <x:f>IF(AND(M348=1,P348=0,ISNUMBER(J348),J348&lt;TODAY()),1,0)</x:f>
        <x:v>1</x:v>
      </x:c>
      <x:c r="W348" s="2" t="str">
        <x:f>'Data &amp; Reporting'!M348</x:f>
        <x:v>Task</x:v>
      </x:c>
    </x:row>
    <x:row r="349" ht="40" customHeight="1">
      <x:c r="A349" s="3" t="str">
        <x:f>HYPERLINK("#'Data &amp; Reporting'!A349","Open")</x:f>
        <x:v>Open</x:v>
      </x:c>
      <x:c r="B349" s="2" t="str">
        <x:f>'Data &amp; Reporting'!B349</x:f>
        <x:v>Cycle 2</x:v>
      </x:c>
      <x:c r="C349" s="2" t="str">
        <x:f>'Data &amp; Reporting'!C349</x:f>
        <x:v>Phase 1</x:v>
      </x:c>
      <x:c r="D349" s="2" t="str">
        <x:f>'Data &amp; Reporting'!D349</x:f>
        <x:v>Retail Services</x:v>
      </x:c>
      <x:c r="E349" s="2" t="str">
        <x:v>Data &amp; Reporting</x:v>
      </x:c>
      <x:c r="F349" s="56" t="str">
        <x:f>'Data &amp; Reporting'!E349</x:f>
        <x:v>DR.RS.1.2</x:v>
      </x:c>
      <x:c r="G349" s="14" t="str">
        <x:f>'Data &amp; Reporting'!F349</x:f>
        <x:v>Identify two potential topics for the upcoming Cycle</x:v>
      </x:c>
      <x:c r="H349" s="2" t="str">
        <x:f>IF('Data &amp; Reporting'!G349="","",'Data &amp; Reporting'!G349)</x:f>
      </x:c>
      <x:c r="I349" s="12" t="str">
        <x:f>IF('Data &amp; Reporting'!H349="","",'Data &amp; Reporting'!H349)</x:f>
      </x:c>
      <x:c r="J349" s="12" t="n">
        <x:f>IF('Data &amp; Reporting'!I349="","",'Data &amp; Reporting'!I349)</x:f>
        <x:v>46203</x:v>
      </x:c>
      <x:c r="K349" s="12" t="str">
        <x:f>IF('Data &amp; Reporting'!J349="","",'Data &amp; Reporting'!J349)</x:f>
      </x:c>
      <x:c r="L349" s="2" t="str">
        <x:f>IF('Data &amp; Reporting'!K349="","",'Data &amp; Reporting'!K349)</x:f>
      </x:c>
      <x:c r="M349" s="2" t="n">
        <x:f>'Data &amp; Reporting'!Q349</x:f>
        <x:v>1</x:v>
      </x:c>
      <x:c r="N349" s="2" t="str">
        <x:f>'Data &amp; Reporting'!L349</x:f>
        <x:v>Not started</x:v>
      </x:c>
      <x:c r="O349" s="2" t="str">
        <x:f>'Data &amp; Reporting'!N349</x:f>
        <x:v>DR.RS.1.2.2026.CY2</x:v>
      </x:c>
      <x:c r="P349" s="2" t="n">
        <x:f>'Data &amp; Reporting'!O349</x:f>
        <x:v>0</x:v>
      </x:c>
      <x:c r="Q349" s="2" t="n">
        <x:f>SUBTOTAL(103,O349)</x:f>
        <x:v>1</x:v>
      </x:c>
      <x:c r="R349" s="2" t="n">
        <x:f>IF(AND(M349=1,OR(Dashboard!$B$7="All",Dashboard!$B$7='Cycles &amp; Guide'!$C$5),OR(Dashboard!$D$7="All",Dashboard!$D$7=B349),OR(Dashboard!$F$7="All",Dashboard!$F$7=C349),OR(Dashboard!$H$7="All",Dashboard!$H$7=D349),OR(Dashboard!$K$7="All",Dashboard!$K$7=E349)),1,0)</x:f>
        <x:v>1</x:v>
      </x:c>
      <x:c r="S349" s="2" t="n">
        <x:f>IF(R349=1,SUM($R$10:R349),0)</x:f>
        <x:v>171</x:v>
      </x:c>
      <x:c r="T349" s="2" t="str">
        <x:v>Data &amp; Reporting</x:v>
      </x:c>
      <x:c r="U349" s="2" t="n">
        <x:v>349</x:v>
      </x:c>
      <x:c r="V349" s="2" t="n">
        <x:f>IF(AND(M349=1,P349=0,ISNUMBER(J349),J349&lt;TODAY()),1,0)</x:f>
        <x:v>1</x:v>
      </x:c>
      <x:c r="W349" s="2" t="str">
        <x:f>'Data &amp; Reporting'!M349</x:f>
        <x:v>Task</x:v>
      </x:c>
    </x:row>
    <x:row r="350" ht="40" customHeight="1">
      <x:c r="A350" s="3" t="str">
        <x:f>HYPERLINK("#'Data &amp; Reporting'!A350","Open")</x:f>
        <x:v>Open</x:v>
      </x:c>
      <x:c r="B350" s="2" t="str">
        <x:f>'Data &amp; Reporting'!B350</x:f>
        <x:v>Cycle 2</x:v>
      </x:c>
      <x:c r="C350" s="2" t="str">
        <x:f>'Data &amp; Reporting'!C350</x:f>
        <x:v>Phase 1</x:v>
      </x:c>
      <x:c r="D350" s="2" t="str">
        <x:f>'Data &amp; Reporting'!D350</x:f>
        <x:v>Retail Services</x:v>
      </x:c>
      <x:c r="E350" s="2" t="str">
        <x:v>Data &amp; Reporting</x:v>
      </x:c>
      <x:c r="F350" s="56" t="str">
        <x:f>'Data &amp; Reporting'!E350</x:f>
        <x:v>DR.RS.1.3</x:v>
      </x:c>
      <x:c r="G350" s="14" t="str">
        <x:f>'Data &amp; Reporting'!F350</x:f>
        <x:v>Extract data for both potential topics, ensuring all checklist items below are included/completed</x:v>
      </x:c>
      <x:c r="H350" s="2" t="str">
        <x:f>IF('Data &amp; Reporting'!G350="","",'Data &amp; Reporting'!G350)</x:f>
      </x:c>
      <x:c r="I350" s="12" t="str">
        <x:f>IF('Data &amp; Reporting'!H350="","",'Data &amp; Reporting'!H350)</x:f>
      </x:c>
      <x:c r="J350" s="12" t="n">
        <x:f>IF('Data &amp; Reporting'!I350="","",'Data &amp; Reporting'!I350)</x:f>
        <x:v>46203</x:v>
      </x:c>
      <x:c r="K350" s="12" t="str">
        <x:f>IF('Data &amp; Reporting'!J350="","",'Data &amp; Reporting'!J350)</x:f>
      </x:c>
      <x:c r="L350" s="2" t="str">
        <x:f>IF('Data &amp; Reporting'!K350="","",'Data &amp; Reporting'!K350)</x:f>
      </x:c>
      <x:c r="M350" s="2" t="n">
        <x:f>'Data &amp; Reporting'!Q350</x:f>
        <x:v>1</x:v>
      </x:c>
      <x:c r="N350" s="2" t="str">
        <x:f>'Data &amp; Reporting'!L350</x:f>
        <x:v>Not started</x:v>
      </x:c>
      <x:c r="O350" s="2" t="str">
        <x:f>'Data &amp; Reporting'!N350</x:f>
        <x:v>DR.RS.1.3.2026.CY2</x:v>
      </x:c>
      <x:c r="P350" s="2" t="n">
        <x:f>'Data &amp; Reporting'!O350</x:f>
        <x:v>0</x:v>
      </x:c>
      <x:c r="Q350" s="2" t="n">
        <x:f>SUBTOTAL(103,O350)</x:f>
        <x:v>1</x:v>
      </x:c>
      <x:c r="R350" s="2" t="n">
        <x:f>IF(AND(M350=1,OR(Dashboard!$B$7="All",Dashboard!$B$7='Cycles &amp; Guide'!$C$5),OR(Dashboard!$D$7="All",Dashboard!$D$7=B350),OR(Dashboard!$F$7="All",Dashboard!$F$7=C350),OR(Dashboard!$H$7="All",Dashboard!$H$7=D350),OR(Dashboard!$K$7="All",Dashboard!$K$7=E350)),1,0)</x:f>
        <x:v>1</x:v>
      </x:c>
      <x:c r="S350" s="2" t="n">
        <x:f>IF(R350=1,SUM($R$10:R350),0)</x:f>
        <x:v>172</x:v>
      </x:c>
      <x:c r="T350" s="2" t="str">
        <x:v>Data &amp; Reporting</x:v>
      </x:c>
      <x:c r="U350" s="2" t="n">
        <x:v>350</x:v>
      </x:c>
      <x:c r="V350" s="2" t="n">
        <x:f>IF(AND(M350=1,P350=0,ISNUMBER(J350),J350&lt;TODAY()),1,0)</x:f>
        <x:v>1</x:v>
      </x:c>
      <x:c r="W350" s="2" t="str">
        <x:f>'Data &amp; Reporting'!M350</x:f>
        <x:v>Task</x:v>
      </x:c>
    </x:row>
    <x:row r="351" ht="40" customHeight="1">
      <x:c r="A351" s="3" t="str">
        <x:f>HYPERLINK("#'Data &amp; Reporting'!A351","Open")</x:f>
        <x:v>Open</x:v>
      </x:c>
      <x:c r="B351" s="2" t="str">
        <x:f>'Data &amp; Reporting'!B351</x:f>
        <x:v>Cycle 2</x:v>
      </x:c>
      <x:c r="C351" s="2" t="str">
        <x:f>'Data &amp; Reporting'!C351</x:f>
        <x:v>Phase 1</x:v>
      </x:c>
      <x:c r="D351" s="2" t="str">
        <x:f>'Data &amp; Reporting'!D351</x:f>
        <x:v>Retail Services</x:v>
      </x:c>
      <x:c r="E351" s="2" t="str">
        <x:v>Data &amp; Reporting</x:v>
      </x:c>
      <x:c r="F351" s="56" t="str">
        <x:f>'Data &amp; Reporting'!E351</x:f>
        <x:v>DR.RS.1.3.C01</x:v>
      </x:c>
      <x:c r="G351" s="14" t="str">
        <x:f>'Data &amp; Reporting'!F351</x:f>
        <x:v>    Document date range extracted</x:v>
      </x:c>
      <x:c r="H351" s="2" t="str">
        <x:f>IF('Data &amp; Reporting'!G351="","",'Data &amp; Reporting'!G351)</x:f>
      </x:c>
      <x:c r="I351" s="12" t="str">
        <x:f>IF('Data &amp; Reporting'!H351="","",'Data &amp; Reporting'!H351)</x:f>
      </x:c>
      <x:c r="J351" s="12" t="str">
        <x:f>IF('Data &amp; Reporting'!I351="","",'Data &amp; Reporting'!I351)</x:f>
      </x:c>
      <x:c r="K351" s="12" t="str">
        <x:f>IF('Data &amp; Reporting'!J351="","",'Data &amp; Reporting'!J351)</x:f>
      </x:c>
      <x:c r="L351" s="2" t="str">
        <x:f>IF('Data &amp; Reporting'!K351="","",'Data &amp; Reporting'!K351)</x:f>
      </x:c>
      <x:c r="M351" s="2" t="n">
        <x:f>'Data &amp; Reporting'!Q351</x:f>
        <x:v>0</x:v>
      </x:c>
      <x:c r="N351" s="2" t="str">
        <x:f>'Data &amp; Reporting'!L351</x:f>
        <x:v>Open check</x:v>
      </x:c>
      <x:c r="O351" s="2" t="str">
        <x:f>'Data &amp; Reporting'!N351</x:f>
        <x:v>DR.RS.1.3.C01.2026.CY2</x:v>
      </x:c>
      <x:c r="P351" s="2" t="n">
        <x:f>'Data &amp; Reporting'!O351</x:f>
        <x:v>0</x:v>
      </x:c>
      <x:c r="Q351" s="2" t="n">
        <x:f>SUBTOTAL(103,O351)</x:f>
        <x:v>1</x:v>
      </x:c>
      <x:c r="R351" s="2" t="n">
        <x:f>IF(AND(M351=1,OR(Dashboard!$B$7="All",Dashboard!$B$7='Cycles &amp; Guide'!$C$5),OR(Dashboard!$D$7="All",Dashboard!$D$7=B351),OR(Dashboard!$F$7="All",Dashboard!$F$7=C351),OR(Dashboard!$H$7="All",Dashboard!$H$7=D351),OR(Dashboard!$K$7="All",Dashboard!$K$7=E351)),1,0)</x:f>
        <x:v>0</x:v>
      </x:c>
      <x:c r="S351" s="2" t="n">
        <x:f>IF(R351=1,SUM($R$10:R351),0)</x:f>
        <x:v>0</x:v>
      </x:c>
      <x:c r="T351" s="2" t="str">
        <x:v>Data &amp; Reporting</x:v>
      </x:c>
      <x:c r="U351" s="2" t="n">
        <x:v>351</x:v>
      </x:c>
      <x:c r="V351" s="2" t="n">
        <x:f>IF(AND(M351=1,P351=0,ISNUMBER(J351),J351&lt;TODAY()),1,0)</x:f>
        <x:v>0</x:v>
      </x:c>
      <x:c r="W351" s="2" t="str">
        <x:f>'Data &amp; Reporting'!M351</x:f>
        <x:v>Checklist</x:v>
      </x:c>
    </x:row>
    <x:row r="352" ht="40" customHeight="1">
      <x:c r="A352" s="3" t="str">
        <x:f>HYPERLINK("#'Data &amp; Reporting'!A352","Open")</x:f>
        <x:v>Open</x:v>
      </x:c>
      <x:c r="B352" s="2" t="str">
        <x:f>'Data &amp; Reporting'!B352</x:f>
        <x:v>Cycle 2</x:v>
      </x:c>
      <x:c r="C352" s="2" t="str">
        <x:f>'Data &amp; Reporting'!C352</x:f>
        <x:v>Phase 1</x:v>
      </x:c>
      <x:c r="D352" s="2" t="str">
        <x:f>'Data &amp; Reporting'!D352</x:f>
        <x:v>Retail Services</x:v>
      </x:c>
      <x:c r="E352" s="2" t="str">
        <x:v>Data &amp; Reporting</x:v>
      </x:c>
      <x:c r="F352" s="56" t="str">
        <x:f>'Data &amp; Reporting'!E352</x:f>
        <x:v>DR.RS.1.3.C02</x:v>
      </x:c>
      <x:c r="G352" s="14" t="str">
        <x:f>'Data &amp; Reporting'!F352</x:f>
        <x:v>    Document date of data pull</x:v>
      </x:c>
      <x:c r="H352" s="2" t="str">
        <x:f>IF('Data &amp; Reporting'!G352="","",'Data &amp; Reporting'!G352)</x:f>
      </x:c>
      <x:c r="I352" s="12" t="str">
        <x:f>IF('Data &amp; Reporting'!H352="","",'Data &amp; Reporting'!H352)</x:f>
      </x:c>
      <x:c r="J352" s="12" t="str">
        <x:f>IF('Data &amp; Reporting'!I352="","",'Data &amp; Reporting'!I352)</x:f>
      </x:c>
      <x:c r="K352" s="12" t="str">
        <x:f>IF('Data &amp; Reporting'!J352="","",'Data &amp; Reporting'!J352)</x:f>
      </x:c>
      <x:c r="L352" s="2" t="str">
        <x:f>IF('Data &amp; Reporting'!K352="","",'Data &amp; Reporting'!K352)</x:f>
      </x:c>
      <x:c r="M352" s="2" t="n">
        <x:f>'Data &amp; Reporting'!Q352</x:f>
        <x:v>0</x:v>
      </x:c>
      <x:c r="N352" s="2" t="str">
        <x:f>'Data &amp; Reporting'!L352</x:f>
        <x:v>Open check</x:v>
      </x:c>
      <x:c r="O352" s="2" t="str">
        <x:f>'Data &amp; Reporting'!N352</x:f>
        <x:v>DR.RS.1.3.C02.2026.CY2</x:v>
      </x:c>
      <x:c r="P352" s="2" t="n">
        <x:f>'Data &amp; Reporting'!O352</x:f>
        <x:v>0</x:v>
      </x:c>
      <x:c r="Q352" s="2" t="n">
        <x:f>SUBTOTAL(103,O352)</x:f>
        <x:v>1</x:v>
      </x:c>
      <x:c r="R352" s="2" t="n">
        <x:f>IF(AND(M352=1,OR(Dashboard!$B$7="All",Dashboard!$B$7='Cycles &amp; Guide'!$C$5),OR(Dashboard!$D$7="All",Dashboard!$D$7=B352),OR(Dashboard!$F$7="All",Dashboard!$F$7=C352),OR(Dashboard!$H$7="All",Dashboard!$H$7=D352),OR(Dashboard!$K$7="All",Dashboard!$K$7=E352)),1,0)</x:f>
        <x:v>0</x:v>
      </x:c>
      <x:c r="S352" s="2" t="n">
        <x:f>IF(R352=1,SUM($R$10:R352),0)</x:f>
        <x:v>0</x:v>
      </x:c>
      <x:c r="T352" s="2" t="str">
        <x:v>Data &amp; Reporting</x:v>
      </x:c>
      <x:c r="U352" s="2" t="n">
        <x:v>352</x:v>
      </x:c>
      <x:c r="V352" s="2" t="n">
        <x:f>IF(AND(M352=1,P352=0,ISNUMBER(J352),J352&lt;TODAY()),1,0)</x:f>
        <x:v>0</x:v>
      </x:c>
      <x:c r="W352" s="2" t="str">
        <x:f>'Data &amp; Reporting'!M352</x:f>
        <x:v>Checklist</x:v>
      </x:c>
    </x:row>
    <x:row r="353" ht="40" customHeight="1">
      <x:c r="A353" s="3" t="str">
        <x:f>HYPERLINK("#'Data &amp; Reporting'!A353","Open")</x:f>
        <x:v>Open</x:v>
      </x:c>
      <x:c r="B353" s="2" t="str">
        <x:f>'Data &amp; Reporting'!B353</x:f>
        <x:v>Cycle 2</x:v>
      </x:c>
      <x:c r="C353" s="2" t="str">
        <x:f>'Data &amp; Reporting'!C353</x:f>
        <x:v>Phase 1</x:v>
      </x:c>
      <x:c r="D353" s="2" t="str">
        <x:f>'Data &amp; Reporting'!D353</x:f>
        <x:v>Retail Services</x:v>
      </x:c>
      <x:c r="E353" s="2" t="str">
        <x:v>Data &amp; Reporting</x:v>
      </x:c>
      <x:c r="F353" s="56" t="str">
        <x:f>'Data &amp; Reporting'!E353</x:f>
        <x:v>DR.RS.1.3.C03</x:v>
      </x:c>
      <x:c r="G353" s="14" t="str">
        <x:f>'Data &amp; Reporting'!F353</x:f>
        <x:v>    Document population details</x:v>
      </x:c>
      <x:c r="H353" s="2" t="str">
        <x:f>IF('Data &amp; Reporting'!G353="","",'Data &amp; Reporting'!G353)</x:f>
      </x:c>
      <x:c r="I353" s="12" t="str">
        <x:f>IF('Data &amp; Reporting'!H353="","",'Data &amp; Reporting'!H353)</x:f>
      </x:c>
      <x:c r="J353" s="12" t="str">
        <x:f>IF('Data &amp; Reporting'!I353="","",'Data &amp; Reporting'!I353)</x:f>
      </x:c>
      <x:c r="K353" s="12" t="str">
        <x:f>IF('Data &amp; Reporting'!J353="","",'Data &amp; Reporting'!J353)</x:f>
      </x:c>
      <x:c r="L353" s="2" t="str">
        <x:f>IF('Data &amp; Reporting'!K353="","",'Data &amp; Reporting'!K353)</x:f>
      </x:c>
      <x:c r="M353" s="2" t="n">
        <x:f>'Data &amp; Reporting'!Q353</x:f>
        <x:v>0</x:v>
      </x:c>
      <x:c r="N353" s="2" t="str">
        <x:f>'Data &amp; Reporting'!L353</x:f>
        <x:v>Open check</x:v>
      </x:c>
      <x:c r="O353" s="2" t="str">
        <x:f>'Data &amp; Reporting'!N353</x:f>
        <x:v>DR.RS.1.3.C03.2026.CY2</x:v>
      </x:c>
      <x:c r="P353" s="2" t="n">
        <x:f>'Data &amp; Reporting'!O353</x:f>
        <x:v>0</x:v>
      </x:c>
      <x:c r="Q353" s="2" t="n">
        <x:f>SUBTOTAL(103,O353)</x:f>
        <x:v>1</x:v>
      </x:c>
      <x:c r="R353" s="2" t="n">
        <x:f>IF(AND(M353=1,OR(Dashboard!$B$7="All",Dashboard!$B$7='Cycles &amp; Guide'!$C$5),OR(Dashboard!$D$7="All",Dashboard!$D$7=B353),OR(Dashboard!$F$7="All",Dashboard!$F$7=C353),OR(Dashboard!$H$7="All",Dashboard!$H$7=D353),OR(Dashboard!$K$7="All",Dashboard!$K$7=E353)),1,0)</x:f>
        <x:v>0</x:v>
      </x:c>
      <x:c r="S353" s="2" t="n">
        <x:f>IF(R353=1,SUM($R$10:R353),0)</x:f>
        <x:v>0</x:v>
      </x:c>
      <x:c r="T353" s="2" t="str">
        <x:v>Data &amp; Reporting</x:v>
      </x:c>
      <x:c r="U353" s="2" t="n">
        <x:v>353</x:v>
      </x:c>
      <x:c r="V353" s="2" t="n">
        <x:f>IF(AND(M353=1,P353=0,ISNUMBER(J353),J353&lt;TODAY()),1,0)</x:f>
        <x:v>0</x:v>
      </x:c>
      <x:c r="W353" s="2" t="str">
        <x:f>'Data &amp; Reporting'!M353</x:f>
        <x:v>Checklist</x:v>
      </x:c>
    </x:row>
    <x:row r="354" ht="40" customHeight="1">
      <x:c r="A354" s="3" t="str">
        <x:f>HYPERLINK("#'Data &amp; Reporting'!A354","Open")</x:f>
        <x:v>Open</x:v>
      </x:c>
      <x:c r="B354" s="2" t="str">
        <x:f>'Data &amp; Reporting'!B354</x:f>
        <x:v>Cycle 2</x:v>
      </x:c>
      <x:c r="C354" s="2" t="str">
        <x:f>'Data &amp; Reporting'!C354</x:f>
        <x:v>Phase 1</x:v>
      </x:c>
      <x:c r="D354" s="2" t="str">
        <x:f>'Data &amp; Reporting'!D354</x:f>
        <x:v>Retail Services</x:v>
      </x:c>
      <x:c r="E354" s="2" t="str">
        <x:v>Data &amp; Reporting</x:v>
      </x:c>
      <x:c r="F354" s="56" t="str">
        <x:f>'Data &amp; Reporting'!E354</x:f>
        <x:v>DR.RS.1.3.C04</x:v>
      </x:c>
      <x:c r="G354" s="14" t="str">
        <x:f>'Data &amp; Reporting'!F354</x:f>
        <x:v>    Validate no data is missing</x:v>
      </x:c>
      <x:c r="H354" s="2" t="str">
        <x:f>IF('Data &amp; Reporting'!G354="","",'Data &amp; Reporting'!G354)</x:f>
      </x:c>
      <x:c r="I354" s="12" t="str">
        <x:f>IF('Data &amp; Reporting'!H354="","",'Data &amp; Reporting'!H354)</x:f>
      </x:c>
      <x:c r="J354" s="12" t="str">
        <x:f>IF('Data &amp; Reporting'!I354="","",'Data &amp; Reporting'!I354)</x:f>
      </x:c>
      <x:c r="K354" s="12" t="str">
        <x:f>IF('Data &amp; Reporting'!J354="","",'Data &amp; Reporting'!J354)</x:f>
      </x:c>
      <x:c r="L354" s="2" t="str">
        <x:f>IF('Data &amp; Reporting'!K354="","",'Data &amp; Reporting'!K354)</x:f>
      </x:c>
      <x:c r="M354" s="2" t="n">
        <x:f>'Data &amp; Reporting'!Q354</x:f>
        <x:v>0</x:v>
      </x:c>
      <x:c r="N354" s="2" t="str">
        <x:f>'Data &amp; Reporting'!L354</x:f>
        <x:v>Open check</x:v>
      </x:c>
      <x:c r="O354" s="2" t="str">
        <x:f>'Data &amp; Reporting'!N354</x:f>
        <x:v>DR.RS.1.3.C04.2026.CY2</x:v>
      </x:c>
      <x:c r="P354" s="2" t="n">
        <x:f>'Data &amp; Reporting'!O354</x:f>
        <x:v>0</x:v>
      </x:c>
      <x:c r="Q354" s="2" t="n">
        <x:f>SUBTOTAL(103,O354)</x:f>
        <x:v>1</x:v>
      </x:c>
      <x:c r="R354" s="2" t="n">
        <x:f>IF(AND(M354=1,OR(Dashboard!$B$7="All",Dashboard!$B$7='Cycles &amp; Guide'!$C$5),OR(Dashboard!$D$7="All",Dashboard!$D$7=B354),OR(Dashboard!$F$7="All",Dashboard!$F$7=C354),OR(Dashboard!$H$7="All",Dashboard!$H$7=D354),OR(Dashboard!$K$7="All",Dashboard!$K$7=E354)),1,0)</x:f>
        <x:v>0</x:v>
      </x:c>
      <x:c r="S354" s="2" t="n">
        <x:f>IF(R354=1,SUM($R$10:R354),0)</x:f>
        <x:v>0</x:v>
      </x:c>
      <x:c r="T354" s="2" t="str">
        <x:v>Data &amp; Reporting</x:v>
      </x:c>
      <x:c r="U354" s="2" t="n">
        <x:v>354</x:v>
      </x:c>
      <x:c r="V354" s="2" t="n">
        <x:f>IF(AND(M354=1,P354=0,ISNUMBER(J354),J354&lt;TODAY()),1,0)</x:f>
        <x:v>0</x:v>
      </x:c>
      <x:c r="W354" s="2" t="str">
        <x:f>'Data &amp; Reporting'!M354</x:f>
        <x:v>Checklist</x:v>
      </x:c>
    </x:row>
    <x:row r="355" ht="40" customHeight="1">
      <x:c r="A355" s="3" t="str">
        <x:f>HYPERLINK("#'Data &amp; Reporting'!A355","Open")</x:f>
        <x:v>Open</x:v>
      </x:c>
      <x:c r="B355" s="2" t="str">
        <x:f>'Data &amp; Reporting'!B355</x:f>
        <x:v>Cycle 2</x:v>
      </x:c>
      <x:c r="C355" s="2" t="str">
        <x:f>'Data &amp; Reporting'!C355</x:f>
        <x:v>Phase 1</x:v>
      </x:c>
      <x:c r="D355" s="2" t="str">
        <x:f>'Data &amp; Reporting'!D355</x:f>
        <x:v>Retail Services</x:v>
      </x:c>
      <x:c r="E355" s="2" t="str">
        <x:v>Data &amp; Reporting</x:v>
      </x:c>
      <x:c r="F355" s="56" t="str">
        <x:f>'Data &amp; Reporting'!E355</x:f>
        <x:v>DR.RS.1.3.C05</x:v>
      </x:c>
      <x:c r="G355" s="14" t="str">
        <x:f>'Data &amp; Reporting'!F355</x:f>
        <x:v>    Validate accuracy of data</x:v>
      </x:c>
      <x:c r="H355" s="2" t="str">
        <x:f>IF('Data &amp; Reporting'!G355="","",'Data &amp; Reporting'!G355)</x:f>
      </x:c>
      <x:c r="I355" s="12" t="str">
        <x:f>IF('Data &amp; Reporting'!H355="","",'Data &amp; Reporting'!H355)</x:f>
      </x:c>
      <x:c r="J355" s="12" t="str">
        <x:f>IF('Data &amp; Reporting'!I355="","",'Data &amp; Reporting'!I355)</x:f>
      </x:c>
      <x:c r="K355" s="12" t="str">
        <x:f>IF('Data &amp; Reporting'!J355="","",'Data &amp; Reporting'!J355)</x:f>
      </x:c>
      <x:c r="L355" s="2" t="str">
        <x:f>IF('Data &amp; Reporting'!K355="","",'Data &amp; Reporting'!K355)</x:f>
      </x:c>
      <x:c r="M355" s="2" t="n">
        <x:f>'Data &amp; Reporting'!Q355</x:f>
        <x:v>0</x:v>
      </x:c>
      <x:c r="N355" s="2" t="str">
        <x:f>'Data &amp; Reporting'!L355</x:f>
        <x:v>Open check</x:v>
      </x:c>
      <x:c r="O355" s="2" t="str">
        <x:f>'Data &amp; Reporting'!N355</x:f>
        <x:v>DR.RS.1.3.C05.2026.CY2</x:v>
      </x:c>
      <x:c r="P355" s="2" t="n">
        <x:f>'Data &amp; Reporting'!O355</x:f>
        <x:v>0</x:v>
      </x:c>
      <x:c r="Q355" s="2" t="n">
        <x:f>SUBTOTAL(103,O355)</x:f>
        <x:v>1</x:v>
      </x:c>
      <x:c r="R355" s="2" t="n">
        <x:f>IF(AND(M355=1,OR(Dashboard!$B$7="All",Dashboard!$B$7='Cycles &amp; Guide'!$C$5),OR(Dashboard!$D$7="All",Dashboard!$D$7=B355),OR(Dashboard!$F$7="All",Dashboard!$F$7=C355),OR(Dashboard!$H$7="All",Dashboard!$H$7=D355),OR(Dashboard!$K$7="All",Dashboard!$K$7=E355)),1,0)</x:f>
        <x:v>0</x:v>
      </x:c>
      <x:c r="S355" s="2" t="n">
        <x:f>IF(R355=1,SUM($R$10:R355),0)</x:f>
        <x:v>0</x:v>
      </x:c>
      <x:c r="T355" s="2" t="str">
        <x:v>Data &amp; Reporting</x:v>
      </x:c>
      <x:c r="U355" s="2" t="n">
        <x:v>355</x:v>
      </x:c>
      <x:c r="V355" s="2" t="n">
        <x:f>IF(AND(M355=1,P355=0,ISNUMBER(J355),J355&lt;TODAY()),1,0)</x:f>
        <x:v>0</x:v>
      </x:c>
      <x:c r="W355" s="2" t="str">
        <x:f>'Data &amp; Reporting'!M355</x:f>
        <x:v>Checklist</x:v>
      </x:c>
    </x:row>
    <x:row r="356" ht="40" customHeight="1">
      <x:c r="A356" s="3" t="str">
        <x:f>HYPERLINK("#'Data &amp; Reporting'!A356","Open")</x:f>
        <x:v>Open</x:v>
      </x:c>
      <x:c r="B356" s="2" t="str">
        <x:f>'Data &amp; Reporting'!B356</x:f>
        <x:v>Cycle 2</x:v>
      </x:c>
      <x:c r="C356" s="2" t="str">
        <x:f>'Data &amp; Reporting'!C356</x:f>
        <x:v>Phase 1</x:v>
      </x:c>
      <x:c r="D356" s="2" t="str">
        <x:f>'Data &amp; Reporting'!D356</x:f>
        <x:v>Retail Services</x:v>
      </x:c>
      <x:c r="E356" s="2" t="str">
        <x:v>Data &amp; Reporting</x:v>
      </x:c>
      <x:c r="F356" s="56" t="str">
        <x:f>'Data &amp; Reporting'!E356</x:f>
        <x:v>DR.RS.1.3.C06</x:v>
      </x:c>
      <x:c r="G356" s="14" t="str">
        <x:f>'Data &amp; Reporting'!F356</x:f>
        <x:v>    Validate no duplicate data is provided</x:v>
      </x:c>
      <x:c r="H356" s="2" t="str">
        <x:f>IF('Data &amp; Reporting'!G356="","",'Data &amp; Reporting'!G356)</x:f>
      </x:c>
      <x:c r="I356" s="12" t="str">
        <x:f>IF('Data &amp; Reporting'!H356="","",'Data &amp; Reporting'!H356)</x:f>
      </x:c>
      <x:c r="J356" s="12" t="str">
        <x:f>IF('Data &amp; Reporting'!I356="","",'Data &amp; Reporting'!I356)</x:f>
      </x:c>
      <x:c r="K356" s="12" t="str">
        <x:f>IF('Data &amp; Reporting'!J356="","",'Data &amp; Reporting'!J356)</x:f>
      </x:c>
      <x:c r="L356" s="2" t="str">
        <x:f>IF('Data &amp; Reporting'!K356="","",'Data &amp; Reporting'!K356)</x:f>
      </x:c>
      <x:c r="M356" s="2" t="n">
        <x:f>'Data &amp; Reporting'!Q356</x:f>
        <x:v>0</x:v>
      </x:c>
      <x:c r="N356" s="2" t="str">
        <x:f>'Data &amp; Reporting'!L356</x:f>
        <x:v>Open check</x:v>
      </x:c>
      <x:c r="O356" s="2" t="str">
        <x:f>'Data &amp; Reporting'!N356</x:f>
        <x:v>DR.RS.1.3.C06.2026.CY2</x:v>
      </x:c>
      <x:c r="P356" s="2" t="n">
        <x:f>'Data &amp; Reporting'!O356</x:f>
        <x:v>0</x:v>
      </x:c>
      <x:c r="Q356" s="2" t="n">
        <x:f>SUBTOTAL(103,O356)</x:f>
        <x:v>1</x:v>
      </x:c>
      <x:c r="R356" s="2" t="n">
        <x:f>IF(AND(M356=1,OR(Dashboard!$B$7="All",Dashboard!$B$7='Cycles &amp; Guide'!$C$5),OR(Dashboard!$D$7="All",Dashboard!$D$7=B356),OR(Dashboard!$F$7="All",Dashboard!$F$7=C356),OR(Dashboard!$H$7="All",Dashboard!$H$7=D356),OR(Dashboard!$K$7="All",Dashboard!$K$7=E356)),1,0)</x:f>
        <x:v>0</x:v>
      </x:c>
      <x:c r="S356" s="2" t="n">
        <x:f>IF(R356=1,SUM($R$10:R356),0)</x:f>
        <x:v>0</x:v>
      </x:c>
      <x:c r="T356" s="2" t="str">
        <x:v>Data &amp; Reporting</x:v>
      </x:c>
      <x:c r="U356" s="2" t="n">
        <x:v>356</x:v>
      </x:c>
      <x:c r="V356" s="2" t="n">
        <x:f>IF(AND(M356=1,P356=0,ISNUMBER(J356),J356&lt;TODAY()),1,0)</x:f>
        <x:v>0</x:v>
      </x:c>
      <x:c r="W356" s="2" t="str">
        <x:f>'Data &amp; Reporting'!M356</x:f>
        <x:v>Checklist</x:v>
      </x:c>
    </x:row>
    <x:row r="357" ht="40" customHeight="1">
      <x:c r="A357" s="3" t="str">
        <x:f>HYPERLINK("#'Data &amp; Reporting'!A357","Open")</x:f>
        <x:v>Open</x:v>
      </x:c>
      <x:c r="B357" s="2" t="str">
        <x:f>'Data &amp; Reporting'!B357</x:f>
        <x:v>Cycle 2</x:v>
      </x:c>
      <x:c r="C357" s="2" t="str">
        <x:f>'Data &amp; Reporting'!C357</x:f>
        <x:v>Phase 1</x:v>
      </x:c>
      <x:c r="D357" s="2" t="str">
        <x:f>'Data &amp; Reporting'!D357</x:f>
        <x:v>Retail Services</x:v>
      </x:c>
      <x:c r="E357" s="2" t="str">
        <x:v>Data &amp; Reporting</x:v>
      </x:c>
      <x:c r="F357" s="56" t="str">
        <x:f>'Data &amp; Reporting'!E357</x:f>
        <x:v>DR.RS.1.3.C07</x:v>
      </x:c>
      <x:c r="G357" s="14" t="str">
        <x:f>'Data &amp; Reporting'!F357</x:f>
        <x:v>    Document any data exclusions along with justification (as needed)</x:v>
      </x:c>
      <x:c r="H357" s="2" t="str">
        <x:f>IF('Data &amp; Reporting'!G357="","",'Data &amp; Reporting'!G357)</x:f>
      </x:c>
      <x:c r="I357" s="12" t="str">
        <x:f>IF('Data &amp; Reporting'!H357="","",'Data &amp; Reporting'!H357)</x:f>
      </x:c>
      <x:c r="J357" s="12" t="str">
        <x:f>IF('Data &amp; Reporting'!I357="","",'Data &amp; Reporting'!I357)</x:f>
      </x:c>
      <x:c r="K357" s="12" t="str">
        <x:f>IF('Data &amp; Reporting'!J357="","",'Data &amp; Reporting'!J357)</x:f>
      </x:c>
      <x:c r="L357" s="2" t="str">
        <x:f>IF('Data &amp; Reporting'!K357="","",'Data &amp; Reporting'!K357)</x:f>
      </x:c>
      <x:c r="M357" s="2" t="n">
        <x:f>'Data &amp; Reporting'!Q357</x:f>
        <x:v>0</x:v>
      </x:c>
      <x:c r="N357" s="2" t="str">
        <x:f>'Data &amp; Reporting'!L357</x:f>
        <x:v>Open check</x:v>
      </x:c>
      <x:c r="O357" s="2" t="str">
        <x:f>'Data &amp; Reporting'!N357</x:f>
        <x:v>DR.RS.1.3.C07.2026.CY2</x:v>
      </x:c>
      <x:c r="P357" s="2" t="n">
        <x:f>'Data &amp; Reporting'!O357</x:f>
        <x:v>0</x:v>
      </x:c>
      <x:c r="Q357" s="2" t="n">
        <x:f>SUBTOTAL(103,O357)</x:f>
        <x:v>1</x:v>
      </x:c>
      <x:c r="R357" s="2" t="n">
        <x:f>IF(AND(M357=1,OR(Dashboard!$B$7="All",Dashboard!$B$7='Cycles &amp; Guide'!$C$5),OR(Dashboard!$D$7="All",Dashboard!$D$7=B357),OR(Dashboard!$F$7="All",Dashboard!$F$7=C357),OR(Dashboard!$H$7="All",Dashboard!$H$7=D357),OR(Dashboard!$K$7="All",Dashboard!$K$7=E357)),1,0)</x:f>
        <x:v>0</x:v>
      </x:c>
      <x:c r="S357" s="2" t="n">
        <x:f>IF(R357=1,SUM($R$10:R357),0)</x:f>
        <x:v>0</x:v>
      </x:c>
      <x:c r="T357" s="2" t="str">
        <x:v>Data &amp; Reporting</x:v>
      </x:c>
      <x:c r="U357" s="2" t="n">
        <x:v>357</x:v>
      </x:c>
      <x:c r="V357" s="2" t="n">
        <x:f>IF(AND(M357=1,P357=0,ISNUMBER(J357),J357&lt;TODAY()),1,0)</x:f>
        <x:v>0</x:v>
      </x:c>
      <x:c r="W357" s="2" t="str">
        <x:f>'Data &amp; Reporting'!M357</x:f>
        <x:v>Checklist</x:v>
      </x:c>
    </x:row>
    <x:row r="358" ht="40" customHeight="1">
      <x:c r="A358" s="3" t="str">
        <x:f>HYPERLINK("#'Data &amp; Reporting'!A358","Open")</x:f>
        <x:v>Open</x:v>
      </x:c>
      <x:c r="B358" s="2" t="str">
        <x:f>'Data &amp; Reporting'!B358</x:f>
        <x:v>Cycle 2</x:v>
      </x:c>
      <x:c r="C358" s="2" t="str">
        <x:f>'Data &amp; Reporting'!C358</x:f>
        <x:v>Phase 1</x:v>
      </x:c>
      <x:c r="D358" s="2" t="str">
        <x:f>'Data &amp; Reporting'!D358</x:f>
        <x:v>Retail Services</x:v>
      </x:c>
      <x:c r="E358" s="2" t="str">
        <x:v>Data &amp; Reporting</x:v>
      </x:c>
      <x:c r="F358" s="56" t="str">
        <x:f>'Data &amp; Reporting'!E358</x:f>
        <x:v>DR.RS.1.3.C08</x:v>
      </x:c>
      <x:c r="G358" s="14" t="str">
        <x:f>'Data &amp; Reporting'!F358</x:f>
        <x:v>    Document any assumptions made with the data (as needed)</x:v>
      </x:c>
      <x:c r="H358" s="2" t="str">
        <x:f>IF('Data &amp; Reporting'!G358="","",'Data &amp; Reporting'!G358)</x:f>
      </x:c>
      <x:c r="I358" s="12" t="str">
        <x:f>IF('Data &amp; Reporting'!H358="","",'Data &amp; Reporting'!H358)</x:f>
      </x:c>
      <x:c r="J358" s="12" t="str">
        <x:f>IF('Data &amp; Reporting'!I358="","",'Data &amp; Reporting'!I358)</x:f>
      </x:c>
      <x:c r="K358" s="12" t="str">
        <x:f>IF('Data &amp; Reporting'!J358="","",'Data &amp; Reporting'!J358)</x:f>
      </x:c>
      <x:c r="L358" s="2" t="str">
        <x:f>IF('Data &amp; Reporting'!K358="","",'Data &amp; Reporting'!K358)</x:f>
      </x:c>
      <x:c r="M358" s="2" t="n">
        <x:f>'Data &amp; Reporting'!Q358</x:f>
        <x:v>0</x:v>
      </x:c>
      <x:c r="N358" s="2" t="str">
        <x:f>'Data &amp; Reporting'!L358</x:f>
        <x:v>Open check</x:v>
      </x:c>
      <x:c r="O358" s="2" t="str">
        <x:f>'Data &amp; Reporting'!N358</x:f>
        <x:v>DR.RS.1.3.C08.2026.CY2</x:v>
      </x:c>
      <x:c r="P358" s="2" t="n">
        <x:f>'Data &amp; Reporting'!O358</x:f>
        <x:v>0</x:v>
      </x:c>
      <x:c r="Q358" s="2" t="n">
        <x:f>SUBTOTAL(103,O358)</x:f>
        <x:v>1</x:v>
      </x:c>
      <x:c r="R358" s="2" t="n">
        <x:f>IF(AND(M358=1,OR(Dashboard!$B$7="All",Dashboard!$B$7='Cycles &amp; Guide'!$C$5),OR(Dashboard!$D$7="All",Dashboard!$D$7=B358),OR(Dashboard!$F$7="All",Dashboard!$F$7=C358),OR(Dashboard!$H$7="All",Dashboard!$H$7=D358),OR(Dashboard!$K$7="All",Dashboard!$K$7=E358)),1,0)</x:f>
        <x:v>0</x:v>
      </x:c>
      <x:c r="S358" s="2" t="n">
        <x:f>IF(R358=1,SUM($R$10:R358),0)</x:f>
        <x:v>0</x:v>
      </x:c>
      <x:c r="T358" s="2" t="str">
        <x:v>Data &amp; Reporting</x:v>
      </x:c>
      <x:c r="U358" s="2" t="n">
        <x:v>358</x:v>
      </x:c>
      <x:c r="V358" s="2" t="n">
        <x:f>IF(AND(M358=1,P358=0,ISNUMBER(J358),J358&lt;TODAY()),1,0)</x:f>
        <x:v>0</x:v>
      </x:c>
      <x:c r="W358" s="2" t="str">
        <x:f>'Data &amp; Reporting'!M358</x:f>
        <x:v>Checklist</x:v>
      </x:c>
    </x:row>
    <x:row r="359" ht="40" customHeight="1">
      <x:c r="A359" s="3" t="str">
        <x:f>HYPERLINK("#'Data &amp; Reporting'!A359","Open")</x:f>
        <x:v>Open</x:v>
      </x:c>
      <x:c r="B359" s="2" t="str">
        <x:f>'Data &amp; Reporting'!B359</x:f>
        <x:v>Cycle 2</x:v>
      </x:c>
      <x:c r="C359" s="2" t="str">
        <x:f>'Data &amp; Reporting'!C359</x:f>
        <x:v>Phase 1</x:v>
      </x:c>
      <x:c r="D359" s="2" t="str">
        <x:f>'Data &amp; Reporting'!D359</x:f>
        <x:v>Retail Services</x:v>
      </x:c>
      <x:c r="E359" s="2" t="str">
        <x:v>Data &amp; Reporting</x:v>
      </x:c>
      <x:c r="F359" s="56" t="str">
        <x:f>'Data &amp; Reporting'!E359</x:f>
        <x:v>DR.RS.1.3.C09</x:v>
      </x:c>
      <x:c r="G359" s="14" t="str">
        <x:f>'Data &amp; Reporting'!F359</x:f>
        <x:v>    Document any data limitations or constraints clearly (as needed)</x:v>
      </x:c>
      <x:c r="H359" s="2" t="str">
        <x:f>IF('Data &amp; Reporting'!G359="","",'Data &amp; Reporting'!G359)</x:f>
      </x:c>
      <x:c r="I359" s="12" t="str">
        <x:f>IF('Data &amp; Reporting'!H359="","",'Data &amp; Reporting'!H359)</x:f>
      </x:c>
      <x:c r="J359" s="12" t="str">
        <x:f>IF('Data &amp; Reporting'!I359="","",'Data &amp; Reporting'!I359)</x:f>
      </x:c>
      <x:c r="K359" s="12" t="str">
        <x:f>IF('Data &amp; Reporting'!J359="","",'Data &amp; Reporting'!J359)</x:f>
      </x:c>
      <x:c r="L359" s="2" t="str">
        <x:f>IF('Data &amp; Reporting'!K359="","",'Data &amp; Reporting'!K359)</x:f>
      </x:c>
      <x:c r="M359" s="2" t="n">
        <x:f>'Data &amp; Reporting'!Q359</x:f>
        <x:v>0</x:v>
      </x:c>
      <x:c r="N359" s="2" t="str">
        <x:f>'Data &amp; Reporting'!L359</x:f>
        <x:v>Open check</x:v>
      </x:c>
      <x:c r="O359" s="2" t="str">
        <x:f>'Data &amp; Reporting'!N359</x:f>
        <x:v>DR.RS.1.3.C09.2026.CY2</x:v>
      </x:c>
      <x:c r="P359" s="2" t="n">
        <x:f>'Data &amp; Reporting'!O359</x:f>
        <x:v>0</x:v>
      </x:c>
      <x:c r="Q359" s="2" t="n">
        <x:f>SUBTOTAL(103,O359)</x:f>
        <x:v>1</x:v>
      </x:c>
      <x:c r="R359" s="2" t="n">
        <x:f>IF(AND(M359=1,OR(Dashboard!$B$7="All",Dashboard!$B$7='Cycles &amp; Guide'!$C$5),OR(Dashboard!$D$7="All",Dashboard!$D$7=B359),OR(Dashboard!$F$7="All",Dashboard!$F$7=C359),OR(Dashboard!$H$7="All",Dashboard!$H$7=D359),OR(Dashboard!$K$7="All",Dashboard!$K$7=E359)),1,0)</x:f>
        <x:v>0</x:v>
      </x:c>
      <x:c r="S359" s="2" t="n">
        <x:f>IF(R359=1,SUM($R$10:R359),0)</x:f>
        <x:v>0</x:v>
      </x:c>
      <x:c r="T359" s="2" t="str">
        <x:v>Data &amp; Reporting</x:v>
      </x:c>
      <x:c r="U359" s="2" t="n">
        <x:v>359</x:v>
      </x:c>
      <x:c r="V359" s="2" t="n">
        <x:f>IF(AND(M359=1,P359=0,ISNUMBER(J359),J359&lt;TODAY()),1,0)</x:f>
        <x:v>0</x:v>
      </x:c>
      <x:c r="W359" s="2" t="str">
        <x:f>'Data &amp; Reporting'!M359</x:f>
        <x:v>Checklist</x:v>
      </x:c>
    </x:row>
    <x:row r="360" ht="40" customHeight="1">
      <x:c r="A360" s="3" t="str">
        <x:f>HYPERLINK("#'Data &amp; Reporting'!A360","Open")</x:f>
        <x:v>Open</x:v>
      </x:c>
      <x:c r="B360" s="2" t="str">
        <x:f>'Data &amp; Reporting'!B360</x:f>
        <x:v>Cycle 2</x:v>
      </x:c>
      <x:c r="C360" s="2" t="str">
        <x:f>'Data &amp; Reporting'!C360</x:f>
        <x:v>Phase 1</x:v>
      </x:c>
      <x:c r="D360" s="2" t="str">
        <x:f>'Data &amp; Reporting'!D360</x:f>
        <x:v>Retail Services</x:v>
      </x:c>
      <x:c r="E360" s="2" t="str">
        <x:v>Data &amp; Reporting</x:v>
      </x:c>
      <x:c r="F360" s="56" t="str">
        <x:f>'Data &amp; Reporting'!E360</x:f>
        <x:v>DR.RS.1.3.C10</x:v>
      </x:c>
      <x:c r="G360" s="14" t="str">
        <x:f>'Data &amp; Reporting'!F360</x:f>
        <x:v>    Document data dictionary or field definitions for columns/rows</x:v>
      </x:c>
      <x:c r="H360" s="2" t="str">
        <x:f>IF('Data &amp; Reporting'!G360="","",'Data &amp; Reporting'!G360)</x:f>
      </x:c>
      <x:c r="I360" s="12" t="str">
        <x:f>IF('Data &amp; Reporting'!H360="","",'Data &amp; Reporting'!H360)</x:f>
      </x:c>
      <x:c r="J360" s="12" t="str">
        <x:f>IF('Data &amp; Reporting'!I360="","",'Data &amp; Reporting'!I360)</x:f>
      </x:c>
      <x:c r="K360" s="12" t="str">
        <x:f>IF('Data &amp; Reporting'!J360="","",'Data &amp; Reporting'!J360)</x:f>
      </x:c>
      <x:c r="L360" s="2" t="str">
        <x:f>IF('Data &amp; Reporting'!K360="","",'Data &amp; Reporting'!K360)</x:f>
      </x:c>
      <x:c r="M360" s="2" t="n">
        <x:f>'Data &amp; Reporting'!Q360</x:f>
        <x:v>0</x:v>
      </x:c>
      <x:c r="N360" s="2" t="str">
        <x:f>'Data &amp; Reporting'!L360</x:f>
        <x:v>Open check</x:v>
      </x:c>
      <x:c r="O360" s="2" t="str">
        <x:f>'Data &amp; Reporting'!N360</x:f>
        <x:v>DR.RS.1.3.C10.2026.CY2</x:v>
      </x:c>
      <x:c r="P360" s="2" t="n">
        <x:f>'Data &amp; Reporting'!O360</x:f>
        <x:v>0</x:v>
      </x:c>
      <x:c r="Q360" s="2" t="n">
        <x:f>SUBTOTAL(103,O360)</x:f>
        <x:v>1</x:v>
      </x:c>
      <x:c r="R360" s="2" t="n">
        <x:f>IF(AND(M360=1,OR(Dashboard!$B$7="All",Dashboard!$B$7='Cycles &amp; Guide'!$C$5),OR(Dashboard!$D$7="All",Dashboard!$D$7=B360),OR(Dashboard!$F$7="All",Dashboard!$F$7=C360),OR(Dashboard!$H$7="All",Dashboard!$H$7=D360),OR(Dashboard!$K$7="All",Dashboard!$K$7=E360)),1,0)</x:f>
        <x:v>0</x:v>
      </x:c>
      <x:c r="S360" s="2" t="n">
        <x:f>IF(R360=1,SUM($R$10:R360),0)</x:f>
        <x:v>0</x:v>
      </x:c>
      <x:c r="T360" s="2" t="str">
        <x:v>Data &amp; Reporting</x:v>
      </x:c>
      <x:c r="U360" s="2" t="n">
        <x:v>360</x:v>
      </x:c>
      <x:c r="V360" s="2" t="n">
        <x:f>IF(AND(M360=1,P360=0,ISNUMBER(J360),J360&lt;TODAY()),1,0)</x:f>
        <x:v>0</x:v>
      </x:c>
      <x:c r="W360" s="2" t="str">
        <x:f>'Data &amp; Reporting'!M360</x:f>
        <x:v>Checklist</x:v>
      </x:c>
    </x:row>
    <x:row r="361" ht="40" customHeight="1">
      <x:c r="A361" s="3" t="str">
        <x:f>HYPERLINK("#'Data &amp; Reporting'!A361","Open")</x:f>
        <x:v>Open</x:v>
      </x:c>
      <x:c r="B361" s="2" t="str">
        <x:f>'Data &amp; Reporting'!B361</x:f>
        <x:v>Cycle 2</x:v>
      </x:c>
      <x:c r="C361" s="2" t="str">
        <x:f>'Data &amp; Reporting'!C361</x:f>
        <x:v>Phase 1</x:v>
      </x:c>
      <x:c r="D361" s="2" t="str">
        <x:f>'Data &amp; Reporting'!D361</x:f>
        <x:v>Retail Services</x:v>
      </x:c>
      <x:c r="E361" s="2" t="str">
        <x:v>Data &amp; Reporting</x:v>
      </x:c>
      <x:c r="F361" s="56" t="str">
        <x:f>'Data &amp; Reporting'!E361</x:f>
        <x:v>DR.RS.1.3.C11</x:v>
      </x:c>
      <x:c r="G361" s="14" t="str">
        <x:f>'Data &amp; Reporting'!F361</x:f>
        <x:v>    Document emerging trends, patterns, or concentrations along with supporting data</x:v>
      </x:c>
      <x:c r="H361" s="2" t="str">
        <x:f>IF('Data &amp; Reporting'!G361="","",'Data &amp; Reporting'!G361)</x:f>
      </x:c>
      <x:c r="I361" s="12" t="str">
        <x:f>IF('Data &amp; Reporting'!H361="","",'Data &amp; Reporting'!H361)</x:f>
      </x:c>
      <x:c r="J361" s="12" t="str">
        <x:f>IF('Data &amp; Reporting'!I361="","",'Data &amp; Reporting'!I361)</x:f>
      </x:c>
      <x:c r="K361" s="12" t="str">
        <x:f>IF('Data &amp; Reporting'!J361="","",'Data &amp; Reporting'!J361)</x:f>
      </x:c>
      <x:c r="L361" s="2" t="str">
        <x:f>IF('Data &amp; Reporting'!K361="","",'Data &amp; Reporting'!K361)</x:f>
      </x:c>
      <x:c r="M361" s="2" t="n">
        <x:f>'Data &amp; Reporting'!Q361</x:f>
        <x:v>0</x:v>
      </x:c>
      <x:c r="N361" s="2" t="str">
        <x:f>'Data &amp; Reporting'!L361</x:f>
        <x:v>Open check</x:v>
      </x:c>
      <x:c r="O361" s="2" t="str">
        <x:f>'Data &amp; Reporting'!N361</x:f>
        <x:v>DR.RS.1.3.C11.2026.CY2</x:v>
      </x:c>
      <x:c r="P361" s="2" t="n">
        <x:f>'Data &amp; Reporting'!O361</x:f>
        <x:v>0</x:v>
      </x:c>
      <x:c r="Q361" s="2" t="n">
        <x:f>SUBTOTAL(103,O361)</x:f>
        <x:v>1</x:v>
      </x:c>
      <x:c r="R361" s="2" t="n">
        <x:f>IF(AND(M361=1,OR(Dashboard!$B$7="All",Dashboard!$B$7='Cycles &amp; Guide'!$C$5),OR(Dashboard!$D$7="All",Dashboard!$D$7=B361),OR(Dashboard!$F$7="All",Dashboard!$F$7=C361),OR(Dashboard!$H$7="All",Dashboard!$H$7=D361),OR(Dashboard!$K$7="All",Dashboard!$K$7=E361)),1,0)</x:f>
        <x:v>0</x:v>
      </x:c>
      <x:c r="S361" s="2" t="n">
        <x:f>IF(R361=1,SUM($R$10:R361),0)</x:f>
        <x:v>0</x:v>
      </x:c>
      <x:c r="T361" s="2" t="str">
        <x:v>Data &amp; Reporting</x:v>
      </x:c>
      <x:c r="U361" s="2" t="n">
        <x:v>361</x:v>
      </x:c>
      <x:c r="V361" s="2" t="n">
        <x:f>IF(AND(M361=1,P361=0,ISNUMBER(J361),J361&lt;TODAY()),1,0)</x:f>
        <x:v>0</x:v>
      </x:c>
      <x:c r="W361" s="2" t="str">
        <x:f>'Data &amp; Reporting'!M361</x:f>
        <x:v>Checklist</x:v>
      </x:c>
    </x:row>
    <x:row r="362" ht="40" customHeight="1">
      <x:c r="A362" s="3" t="str">
        <x:f>HYPERLINK("#'Data &amp; Reporting'!A362","Open")</x:f>
        <x:v>Open</x:v>
      </x:c>
      <x:c r="B362" s="2" t="str">
        <x:f>'Data &amp; Reporting'!B362</x:f>
        <x:v>Cycle 2</x:v>
      </x:c>
      <x:c r="C362" s="2" t="str">
        <x:f>'Data &amp; Reporting'!C362</x:f>
        <x:v>Phase 1</x:v>
      </x:c>
      <x:c r="D362" s="2" t="str">
        <x:f>'Data &amp; Reporting'!D362</x:f>
        <x:v>Retail Services</x:v>
      </x:c>
      <x:c r="E362" s="2" t="str">
        <x:v>Data &amp; Reporting</x:v>
      </x:c>
      <x:c r="F362" s="56" t="str">
        <x:f>'Data &amp; Reporting'!E362</x:f>
        <x:v>DR.RS.1.3.C12</x:v>
      </x:c>
      <x:c r="G362" s="14" t="str">
        <x:f>'Data &amp; Reporting'!F362</x:f>
        <x:v>    Document any severe spikes in volume along with context (as needed)</x:v>
      </x:c>
      <x:c r="H362" s="2" t="str">
        <x:f>IF('Data &amp; Reporting'!G362="","",'Data &amp; Reporting'!G362)</x:f>
      </x:c>
      <x:c r="I362" s="12" t="str">
        <x:f>IF('Data &amp; Reporting'!H362="","",'Data &amp; Reporting'!H362)</x:f>
      </x:c>
      <x:c r="J362" s="12" t="str">
        <x:f>IF('Data &amp; Reporting'!I362="","",'Data &amp; Reporting'!I362)</x:f>
      </x:c>
      <x:c r="K362" s="12" t="str">
        <x:f>IF('Data &amp; Reporting'!J362="","",'Data &amp; Reporting'!J362)</x:f>
      </x:c>
      <x:c r="L362" s="2" t="str">
        <x:f>IF('Data &amp; Reporting'!K362="","",'Data &amp; Reporting'!K362)</x:f>
      </x:c>
      <x:c r="M362" s="2" t="n">
        <x:f>'Data &amp; Reporting'!Q362</x:f>
        <x:v>0</x:v>
      </x:c>
      <x:c r="N362" s="2" t="str">
        <x:f>'Data &amp; Reporting'!L362</x:f>
        <x:v>Open check</x:v>
      </x:c>
      <x:c r="O362" s="2" t="str">
        <x:f>'Data &amp; Reporting'!N362</x:f>
        <x:v>DR.RS.1.3.C12.2026.CY2</x:v>
      </x:c>
      <x:c r="P362" s="2" t="n">
        <x:f>'Data &amp; Reporting'!O362</x:f>
        <x:v>0</x:v>
      </x:c>
      <x:c r="Q362" s="2" t="n">
        <x:f>SUBTOTAL(103,O362)</x:f>
        <x:v>1</x:v>
      </x:c>
      <x:c r="R362" s="2" t="n">
        <x:f>IF(AND(M362=1,OR(Dashboard!$B$7="All",Dashboard!$B$7='Cycles &amp; Guide'!$C$5),OR(Dashboard!$D$7="All",Dashboard!$D$7=B362),OR(Dashboard!$F$7="All",Dashboard!$F$7=C362),OR(Dashboard!$H$7="All",Dashboard!$H$7=D362),OR(Dashboard!$K$7="All",Dashboard!$K$7=E362)),1,0)</x:f>
        <x:v>0</x:v>
      </x:c>
      <x:c r="S362" s="2" t="n">
        <x:f>IF(R362=1,SUM($R$10:R362),0)</x:f>
        <x:v>0</x:v>
      </x:c>
      <x:c r="T362" s="2" t="str">
        <x:v>Data &amp; Reporting</x:v>
      </x:c>
      <x:c r="U362" s="2" t="n">
        <x:v>362</x:v>
      </x:c>
      <x:c r="V362" s="2" t="n">
        <x:f>IF(AND(M362=1,P362=0,ISNUMBER(J362),J362&lt;TODAY()),1,0)</x:f>
        <x:v>0</x:v>
      </x:c>
      <x:c r="W362" s="2" t="str">
        <x:f>'Data &amp; Reporting'!M362</x:f>
        <x:v>Checklist</x:v>
      </x:c>
    </x:row>
    <x:row r="363" ht="40" customHeight="1">
      <x:c r="A363" s="3" t="str">
        <x:f>HYPERLINK("#'Data &amp; Reporting'!A363","Open")</x:f>
        <x:v>Open</x:v>
      </x:c>
      <x:c r="B363" s="2" t="str">
        <x:f>'Data &amp; Reporting'!B363</x:f>
        <x:v>Cycle 2</x:v>
      </x:c>
      <x:c r="C363" s="2" t="str">
        <x:f>'Data &amp; Reporting'!C363</x:f>
        <x:v>Phase 1</x:v>
      </x:c>
      <x:c r="D363" s="2" t="str">
        <x:f>'Data &amp; Reporting'!D363</x:f>
        <x:v>Retail Services</x:v>
      </x:c>
      <x:c r="E363" s="2" t="str">
        <x:v>Data &amp; Reporting</x:v>
      </x:c>
      <x:c r="F363" s="56" t="str">
        <x:f>'Data &amp; Reporting'!E363</x:f>
        <x:v>DR.RS.1.3.C13</x:v>
      </x:c>
      <x:c r="G363" s="14" t="str">
        <x:f>'Data &amp; Reporting'!F363</x:f>
        <x:v>    Document clear summary explaining how the data connects to the potential topic</x:v>
      </x:c>
      <x:c r="H363" s="2" t="str">
        <x:f>IF('Data &amp; Reporting'!G363="","",'Data &amp; Reporting'!G363)</x:f>
      </x:c>
      <x:c r="I363" s="12" t="str">
        <x:f>IF('Data &amp; Reporting'!H363="","",'Data &amp; Reporting'!H363)</x:f>
      </x:c>
      <x:c r="J363" s="12" t="str">
        <x:f>IF('Data &amp; Reporting'!I363="","",'Data &amp; Reporting'!I363)</x:f>
      </x:c>
      <x:c r="K363" s="12" t="str">
        <x:f>IF('Data &amp; Reporting'!J363="","",'Data &amp; Reporting'!J363)</x:f>
      </x:c>
      <x:c r="L363" s="2" t="str">
        <x:f>IF('Data &amp; Reporting'!K363="","",'Data &amp; Reporting'!K363)</x:f>
      </x:c>
      <x:c r="M363" s="2" t="n">
        <x:f>'Data &amp; Reporting'!Q363</x:f>
        <x:v>0</x:v>
      </x:c>
      <x:c r="N363" s="2" t="str">
        <x:f>'Data &amp; Reporting'!L363</x:f>
        <x:v>Open check</x:v>
      </x:c>
      <x:c r="O363" s="2" t="str">
        <x:f>'Data &amp; Reporting'!N363</x:f>
        <x:v>DR.RS.1.3.C13.2026.CY2</x:v>
      </x:c>
      <x:c r="P363" s="2" t="n">
        <x:f>'Data &amp; Reporting'!O363</x:f>
        <x:v>0</x:v>
      </x:c>
      <x:c r="Q363" s="2" t="n">
        <x:f>SUBTOTAL(103,O363)</x:f>
        <x:v>1</x:v>
      </x:c>
      <x:c r="R363" s="2" t="n">
        <x:f>IF(AND(M363=1,OR(Dashboard!$B$7="All",Dashboard!$B$7='Cycles &amp; Guide'!$C$5),OR(Dashboard!$D$7="All",Dashboard!$D$7=B363),OR(Dashboard!$F$7="All",Dashboard!$F$7=C363),OR(Dashboard!$H$7="All",Dashboard!$H$7=D363),OR(Dashboard!$K$7="All",Dashboard!$K$7=E363)),1,0)</x:f>
        <x:v>0</x:v>
      </x:c>
      <x:c r="S363" s="2" t="n">
        <x:f>IF(R363=1,SUM($R$10:R363),0)</x:f>
        <x:v>0</x:v>
      </x:c>
      <x:c r="T363" s="2" t="str">
        <x:v>Data &amp; Reporting</x:v>
      </x:c>
      <x:c r="U363" s="2" t="n">
        <x:v>363</x:v>
      </x:c>
      <x:c r="V363" s="2" t="n">
        <x:f>IF(AND(M363=1,P363=0,ISNUMBER(J363),J363&lt;TODAY()),1,0)</x:f>
        <x:v>0</x:v>
      </x:c>
      <x:c r="W363" s="2" t="str">
        <x:f>'Data &amp; Reporting'!M363</x:f>
        <x:v>Checklist</x:v>
      </x:c>
    </x:row>
    <x:row r="364" ht="40" customHeight="1">
      <x:c r="A364" s="3" t="str">
        <x:f>HYPERLINK("#'Data &amp; Reporting'!A364","Open")</x:f>
        <x:v>Open</x:v>
      </x:c>
      <x:c r="B364" s="2" t="str">
        <x:f>'Data &amp; Reporting'!B364</x:f>
        <x:v>Cycle 2</x:v>
      </x:c>
      <x:c r="C364" s="2" t="str">
        <x:f>'Data &amp; Reporting'!C364</x:f>
        <x:v>Phase 2</x:v>
      </x:c>
      <x:c r="D364" s="2" t="str">
        <x:f>'Data &amp; Reporting'!D364</x:f>
        <x:v>Retail Services</x:v>
      </x:c>
      <x:c r="E364" s="2" t="str">
        <x:v>Data &amp; Reporting</x:v>
      </x:c>
      <x:c r="F364" s="56" t="str">
        <x:f>'Data &amp; Reporting'!E364</x:f>
        <x:v>DR.RS.2.1</x:v>
      </x:c>
      <x:c r="G364" s="14" t="str">
        <x:f>'Data &amp; Reporting'!F364</x:f>
        <x:v>Ensure data is clean, structured, and usable without manipulation needed</x:v>
      </x:c>
      <x:c r="H364" s="2" t="str">
        <x:f>IF('Data &amp; Reporting'!G364="","",'Data &amp; Reporting'!G364)</x:f>
      </x:c>
      <x:c r="I364" s="12" t="str">
        <x:f>IF('Data &amp; Reporting'!H364="","",'Data &amp; Reporting'!H364)</x:f>
      </x:c>
      <x:c r="J364" s="12" t="n">
        <x:f>IF('Data &amp; Reporting'!I364="","",'Data &amp; Reporting'!I364)</x:f>
        <x:v>46203</x:v>
      </x:c>
      <x:c r="K364" s="12" t="str">
        <x:f>IF('Data &amp; Reporting'!J364="","",'Data &amp; Reporting'!J364)</x:f>
      </x:c>
      <x:c r="L364" s="2" t="str">
        <x:f>IF('Data &amp; Reporting'!K364="","",'Data &amp; Reporting'!K364)</x:f>
      </x:c>
      <x:c r="M364" s="2" t="n">
        <x:f>'Data &amp; Reporting'!Q364</x:f>
        <x:v>1</x:v>
      </x:c>
      <x:c r="N364" s="2" t="str">
        <x:f>'Data &amp; Reporting'!L364</x:f>
        <x:v>Not started</x:v>
      </x:c>
      <x:c r="O364" s="2" t="str">
        <x:f>'Data &amp; Reporting'!N364</x:f>
        <x:v>DR.RS.2.1.2026.CY2</x:v>
      </x:c>
      <x:c r="P364" s="2" t="n">
        <x:f>'Data &amp; Reporting'!O364</x:f>
        <x:v>0</x:v>
      </x:c>
      <x:c r="Q364" s="2" t="n">
        <x:f>SUBTOTAL(103,O364)</x:f>
        <x:v>1</x:v>
      </x:c>
      <x:c r="R364" s="2" t="n">
        <x:f>IF(AND(M364=1,OR(Dashboard!$B$7="All",Dashboard!$B$7='Cycles &amp; Guide'!$C$5),OR(Dashboard!$D$7="All",Dashboard!$D$7=B364),OR(Dashboard!$F$7="All",Dashboard!$F$7=C364),OR(Dashboard!$H$7="All",Dashboard!$H$7=D364),OR(Dashboard!$K$7="All",Dashboard!$K$7=E364)),1,0)</x:f>
        <x:v>1</x:v>
      </x:c>
      <x:c r="S364" s="2" t="n">
        <x:f>IF(R364=1,SUM($R$10:R364),0)</x:f>
        <x:v>173</x:v>
      </x:c>
      <x:c r="T364" s="2" t="str">
        <x:v>Data &amp; Reporting</x:v>
      </x:c>
      <x:c r="U364" s="2" t="n">
        <x:v>364</x:v>
      </x:c>
      <x:c r="V364" s="2" t="n">
        <x:f>IF(AND(M364=1,P364=0,ISNUMBER(J364),J364&lt;TODAY()),1,0)</x:f>
        <x:v>1</x:v>
      </x:c>
      <x:c r="W364" s="2" t="str">
        <x:f>'Data &amp; Reporting'!M364</x:f>
        <x:v>Task</x:v>
      </x:c>
    </x:row>
    <x:row r="365" ht="40" customHeight="1">
      <x:c r="A365" s="3" t="str">
        <x:f>HYPERLINK("#'Data &amp; Reporting'!A365","Open")</x:f>
        <x:v>Open</x:v>
      </x:c>
      <x:c r="B365" s="2" t="str">
        <x:f>'Data &amp; Reporting'!B365</x:f>
        <x:v>Cycle 2</x:v>
      </x:c>
      <x:c r="C365" s="2" t="str">
        <x:f>'Data &amp; Reporting'!C365</x:f>
        <x:v>Phase 2</x:v>
      </x:c>
      <x:c r="D365" s="2" t="str">
        <x:f>'Data &amp; Reporting'!D365</x:f>
        <x:v>Retail Services</x:v>
      </x:c>
      <x:c r="E365" s="2" t="str">
        <x:v>Data &amp; Reporting</x:v>
      </x:c>
      <x:c r="F365" s="56" t="str">
        <x:f>'Data &amp; Reporting'!E365</x:f>
        <x:v>DR.RS.2.2</x:v>
      </x:c>
      <x:c r="G365" s="14" t="str">
        <x:f>'Data &amp; Reporting'!F365</x:f>
        <x:v>Clearly document rationale for each topic recommendation within the SharePoint list</x:v>
      </x:c>
      <x:c r="H365" s="2" t="str">
        <x:f>IF('Data &amp; Reporting'!G365="","",'Data &amp; Reporting'!G365)</x:f>
      </x:c>
      <x:c r="I365" s="12" t="str">
        <x:f>IF('Data &amp; Reporting'!H365="","",'Data &amp; Reporting'!H365)</x:f>
      </x:c>
      <x:c r="J365" s="12" t="n">
        <x:f>IF('Data &amp; Reporting'!I365="","",'Data &amp; Reporting'!I365)</x:f>
        <x:v>46203</x:v>
      </x:c>
      <x:c r="K365" s="12" t="str">
        <x:f>IF('Data &amp; Reporting'!J365="","",'Data &amp; Reporting'!J365)</x:f>
      </x:c>
      <x:c r="L365" s="2" t="str">
        <x:f>IF('Data &amp; Reporting'!K365="","",'Data &amp; Reporting'!K365)</x:f>
      </x:c>
      <x:c r="M365" s="2" t="n">
        <x:f>'Data &amp; Reporting'!Q365</x:f>
        <x:v>1</x:v>
      </x:c>
      <x:c r="N365" s="2" t="str">
        <x:f>'Data &amp; Reporting'!L365</x:f>
        <x:v>Not started</x:v>
      </x:c>
      <x:c r="O365" s="2" t="str">
        <x:f>'Data &amp; Reporting'!N365</x:f>
        <x:v>DR.RS.2.2.2026.CY2</x:v>
      </x:c>
      <x:c r="P365" s="2" t="n">
        <x:f>'Data &amp; Reporting'!O365</x:f>
        <x:v>0</x:v>
      </x:c>
      <x:c r="Q365" s="2" t="n">
        <x:f>SUBTOTAL(103,O365)</x:f>
        <x:v>1</x:v>
      </x:c>
      <x:c r="R365" s="2" t="n">
        <x:f>IF(AND(M365=1,OR(Dashboard!$B$7="All",Dashboard!$B$7='Cycles &amp; Guide'!$C$5),OR(Dashboard!$D$7="All",Dashboard!$D$7=B365),OR(Dashboard!$F$7="All",Dashboard!$F$7=C365),OR(Dashboard!$H$7="All",Dashboard!$H$7=D365),OR(Dashboard!$K$7="All",Dashboard!$K$7=E365)),1,0)</x:f>
        <x:v>1</x:v>
      </x:c>
      <x:c r="S365" s="2" t="n">
        <x:f>IF(R365=1,SUM($R$10:R365),0)</x:f>
        <x:v>174</x:v>
      </x:c>
      <x:c r="T365" s="2" t="str">
        <x:v>Data &amp; Reporting</x:v>
      </x:c>
      <x:c r="U365" s="2" t="n">
        <x:v>365</x:v>
      </x:c>
      <x:c r="V365" s="2" t="n">
        <x:f>IF(AND(M365=1,P365=0,ISNUMBER(J365),J365&lt;TODAY()),1,0)</x:f>
        <x:v>1</x:v>
      </x:c>
      <x:c r="W365" s="2" t="str">
        <x:f>'Data &amp; Reporting'!M365</x:f>
        <x:v>Task</x:v>
      </x:c>
    </x:row>
    <x:row r="366" ht="40" customHeight="1">
      <x:c r="A366" s="3" t="str">
        <x:f>HYPERLINK("#'Data &amp; Reporting'!A366","Open")</x:f>
        <x:v>Open</x:v>
      </x:c>
      <x:c r="B366" s="2" t="str">
        <x:f>'Data &amp; Reporting'!B366</x:f>
        <x:v>Cycle 2</x:v>
      </x:c>
      <x:c r="C366" s="2" t="str">
        <x:f>'Data &amp; Reporting'!C366</x:f>
        <x:v>Phase 2</x:v>
      </x:c>
      <x:c r="D366" s="2" t="str">
        <x:f>'Data &amp; Reporting'!D366</x:f>
        <x:v>Retail Services</x:v>
      </x:c>
      <x:c r="E366" s="2" t="str">
        <x:v>Data &amp; Reporting</x:v>
      </x:c>
      <x:c r="F366" s="56" t="str">
        <x:f>'Data &amp; Reporting'!E366</x:f>
        <x:v>DR.RS.2.3</x:v>
      </x:c>
      <x:c r="G366" s="14" t="str">
        <x:f>'Data &amp; Reporting'!F366</x:f>
        <x:v>Verify topic is eligible for RCA and does not conflict with Attorney Client Privilege</x:v>
      </x:c>
      <x:c r="H366" s="2" t="str">
        <x:f>IF('Data &amp; Reporting'!G366="","",'Data &amp; Reporting'!G366)</x:f>
      </x:c>
      <x:c r="I366" s="12" t="str">
        <x:f>IF('Data &amp; Reporting'!H366="","",'Data &amp; Reporting'!H366)</x:f>
      </x:c>
      <x:c r="J366" s="12" t="n">
        <x:f>IF('Data &amp; Reporting'!I366="","",'Data &amp; Reporting'!I366)</x:f>
        <x:v>46203</x:v>
      </x:c>
      <x:c r="K366" s="12" t="str">
        <x:f>IF('Data &amp; Reporting'!J366="","",'Data &amp; Reporting'!J366)</x:f>
      </x:c>
      <x:c r="L366" s="2" t="str">
        <x:f>IF('Data &amp; Reporting'!K366="","",'Data &amp; Reporting'!K366)</x:f>
      </x:c>
      <x:c r="M366" s="2" t="n">
        <x:f>'Data &amp; Reporting'!Q366</x:f>
        <x:v>1</x:v>
      </x:c>
      <x:c r="N366" s="2" t="str">
        <x:f>'Data &amp; Reporting'!L366</x:f>
        <x:v>Not started</x:v>
      </x:c>
      <x:c r="O366" s="2" t="str">
        <x:f>'Data &amp; Reporting'!N366</x:f>
        <x:v>DR.RS.2.3.2026.CY2</x:v>
      </x:c>
      <x:c r="P366" s="2" t="n">
        <x:f>'Data &amp; Reporting'!O366</x:f>
        <x:v>0</x:v>
      </x:c>
      <x:c r="Q366" s="2" t="n">
        <x:f>SUBTOTAL(103,O366)</x:f>
        <x:v>1</x:v>
      </x:c>
      <x:c r="R366" s="2" t="n">
        <x:f>IF(AND(M366=1,OR(Dashboard!$B$7="All",Dashboard!$B$7='Cycles &amp; Guide'!$C$5),OR(Dashboard!$D$7="All",Dashboard!$D$7=B366),OR(Dashboard!$F$7="All",Dashboard!$F$7=C366),OR(Dashboard!$H$7="All",Dashboard!$H$7=D366),OR(Dashboard!$K$7="All",Dashboard!$K$7=E366)),1,0)</x:f>
        <x:v>1</x:v>
      </x:c>
      <x:c r="S366" s="2" t="n">
        <x:f>IF(R366=1,SUM($R$10:R366),0)</x:f>
        <x:v>175</x:v>
      </x:c>
      <x:c r="T366" s="2" t="str">
        <x:v>Data &amp; Reporting</x:v>
      </x:c>
      <x:c r="U366" s="2" t="n">
        <x:v>366</x:v>
      </x:c>
      <x:c r="V366" s="2" t="n">
        <x:f>IF(AND(M366=1,P366=0,ISNUMBER(J366),J366&lt;TODAY()),1,0)</x:f>
        <x:v>1</x:v>
      </x:c>
      <x:c r="W366" s="2" t="str">
        <x:f>'Data &amp; Reporting'!M366</x:f>
        <x:v>Task</x:v>
      </x:c>
    </x:row>
    <x:row r="367" ht="40" customHeight="1">
      <x:c r="A367" s="3" t="str">
        <x:f>HYPERLINK("#'Data &amp; Reporting'!A367","Open")</x:f>
        <x:v>Open</x:v>
      </x:c>
      <x:c r="B367" s="2" t="str">
        <x:f>'Data &amp; Reporting'!B367</x:f>
        <x:v>Cycle 2</x:v>
      </x:c>
      <x:c r="C367" s="2" t="str">
        <x:f>'Data &amp; Reporting'!C367</x:f>
        <x:v>Phase 2</x:v>
      </x:c>
      <x:c r="D367" s="2" t="str">
        <x:f>'Data &amp; Reporting'!D367</x:f>
        <x:v>Retail Services</x:v>
      </x:c>
      <x:c r="E367" s="2" t="str">
        <x:v>Data &amp; Reporting</x:v>
      </x:c>
      <x:c r="F367" s="56" t="str">
        <x:f>'Data &amp; Reporting'!E367</x:f>
        <x:v>DR.RS.2.4</x:v>
      </x:c>
      <x:c r="G367" s="14" t="str">
        <x:f>'Data &amp; Reporting'!F367</x:f>
        <x:v>Ensure data is free of errors and anomalies prior to hand-off to Research</x:v>
      </x:c>
      <x:c r="H367" s="2" t="str">
        <x:f>IF('Data &amp; Reporting'!G367="","",'Data &amp; Reporting'!G367)</x:f>
      </x:c>
      <x:c r="I367" s="12" t="str">
        <x:f>IF('Data &amp; Reporting'!H367="","",'Data &amp; Reporting'!H367)</x:f>
      </x:c>
      <x:c r="J367" s="12" t="n">
        <x:f>IF('Data &amp; Reporting'!I367="","",'Data &amp; Reporting'!I367)</x:f>
        <x:v>46203</x:v>
      </x:c>
      <x:c r="K367" s="12" t="str">
        <x:f>IF('Data &amp; Reporting'!J367="","",'Data &amp; Reporting'!J367)</x:f>
      </x:c>
      <x:c r="L367" s="2" t="str">
        <x:f>IF('Data &amp; Reporting'!K367="","",'Data &amp; Reporting'!K367)</x:f>
      </x:c>
      <x:c r="M367" s="2" t="n">
        <x:f>'Data &amp; Reporting'!Q367</x:f>
        <x:v>1</x:v>
      </x:c>
      <x:c r="N367" s="2" t="str">
        <x:f>'Data &amp; Reporting'!L367</x:f>
        <x:v>Not started</x:v>
      </x:c>
      <x:c r="O367" s="2" t="str">
        <x:f>'Data &amp; Reporting'!N367</x:f>
        <x:v>DR.RS.2.4.2026.CY2</x:v>
      </x:c>
      <x:c r="P367" s="2" t="n">
        <x:f>'Data &amp; Reporting'!O367</x:f>
        <x:v>0</x:v>
      </x:c>
      <x:c r="Q367" s="2" t="n">
        <x:f>SUBTOTAL(103,O367)</x:f>
        <x:v>1</x:v>
      </x:c>
      <x:c r="R367" s="2" t="n">
        <x:f>IF(AND(M367=1,OR(Dashboard!$B$7="All",Dashboard!$B$7='Cycles &amp; Guide'!$C$5),OR(Dashboard!$D$7="All",Dashboard!$D$7=B367),OR(Dashboard!$F$7="All",Dashboard!$F$7=C367),OR(Dashboard!$H$7="All",Dashboard!$H$7=D367),OR(Dashboard!$K$7="All",Dashboard!$K$7=E367)),1,0)</x:f>
        <x:v>1</x:v>
      </x:c>
      <x:c r="S367" s="2" t="n">
        <x:f>IF(R367=1,SUM($R$10:R367),0)</x:f>
        <x:v>176</x:v>
      </x:c>
      <x:c r="T367" s="2" t="str">
        <x:v>Data &amp; Reporting</x:v>
      </x:c>
      <x:c r="U367" s="2" t="n">
        <x:v>367</x:v>
      </x:c>
      <x:c r="V367" s="2" t="n">
        <x:f>IF(AND(M367=1,P367=0,ISNUMBER(J367),J367&lt;TODAY()),1,0)</x:f>
        <x:v>1</x:v>
      </x:c>
      <x:c r="W367" s="2" t="str">
        <x:f>'Data &amp; Reporting'!M367</x:f>
        <x:v>Task</x:v>
      </x:c>
    </x:row>
    <x:row r="368" ht="40" customHeight="1">
      <x:c r="A368" s="3" t="str">
        <x:f>HYPERLINK("#'Data &amp; Reporting'!A368","Open")</x:f>
        <x:v>Open</x:v>
      </x:c>
      <x:c r="B368" s="2" t="str">
        <x:f>'Data &amp; Reporting'!B368</x:f>
        <x:v>Cycle 2</x:v>
      </x:c>
      <x:c r="C368" s="2" t="str">
        <x:f>'Data &amp; Reporting'!C368</x:f>
        <x:v>Phase 2</x:v>
      </x:c>
      <x:c r="D368" s="2" t="str">
        <x:f>'Data &amp; Reporting'!D368</x:f>
        <x:v>Retail Services</x:v>
      </x:c>
      <x:c r="E368" s="2" t="str">
        <x:v>Data &amp; Reporting</x:v>
      </x:c>
      <x:c r="F368" s="56" t="str">
        <x:f>'Data &amp; Reporting'!E368</x:f>
        <x:v>DR.RS.2.5</x:v>
      </x:c>
      <x:c r="G368" s="14" t="str">
        <x:f>'Data &amp; Reporting'!F368</x:f>
        <x:v>Ensure topic is not a duplicate from a previous Cycle</x:v>
      </x:c>
      <x:c r="H368" s="2" t="str">
        <x:f>IF('Data &amp; Reporting'!G368="","",'Data &amp; Reporting'!G368)</x:f>
      </x:c>
      <x:c r="I368" s="12" t="str">
        <x:f>IF('Data &amp; Reporting'!H368="","",'Data &amp; Reporting'!H368)</x:f>
      </x:c>
      <x:c r="J368" s="12" t="n">
        <x:f>IF('Data &amp; Reporting'!I368="","",'Data &amp; Reporting'!I368)</x:f>
        <x:v>46203</x:v>
      </x:c>
      <x:c r="K368" s="12" t="str">
        <x:f>IF('Data &amp; Reporting'!J368="","",'Data &amp; Reporting'!J368)</x:f>
      </x:c>
      <x:c r="L368" s="2" t="str">
        <x:f>IF('Data &amp; Reporting'!K368="","",'Data &amp; Reporting'!K368)</x:f>
      </x:c>
      <x:c r="M368" s="2" t="n">
        <x:f>'Data &amp; Reporting'!Q368</x:f>
        <x:v>1</x:v>
      </x:c>
      <x:c r="N368" s="2" t="str">
        <x:f>'Data &amp; Reporting'!L368</x:f>
        <x:v>Not started</x:v>
      </x:c>
      <x:c r="O368" s="2" t="str">
        <x:f>'Data &amp; Reporting'!N368</x:f>
        <x:v>DR.RS.2.5.2026.CY2</x:v>
      </x:c>
      <x:c r="P368" s="2" t="n">
        <x:f>'Data &amp; Reporting'!O368</x:f>
        <x:v>0</x:v>
      </x:c>
      <x:c r="Q368" s="2" t="n">
        <x:f>SUBTOTAL(103,O368)</x:f>
        <x:v>1</x:v>
      </x:c>
      <x:c r="R368" s="2" t="n">
        <x:f>IF(AND(M368=1,OR(Dashboard!$B$7="All",Dashboard!$B$7='Cycles &amp; Guide'!$C$5),OR(Dashboard!$D$7="All",Dashboard!$D$7=B368),OR(Dashboard!$F$7="All",Dashboard!$F$7=C368),OR(Dashboard!$H$7="All",Dashboard!$H$7=D368),OR(Dashboard!$K$7="All",Dashboard!$K$7=E368)),1,0)</x:f>
        <x:v>1</x:v>
      </x:c>
      <x:c r="S368" s="2" t="n">
        <x:f>IF(R368=1,SUM($R$10:R368),0)</x:f>
        <x:v>177</x:v>
      </x:c>
      <x:c r="T368" s="2" t="str">
        <x:v>Data &amp; Reporting</x:v>
      </x:c>
      <x:c r="U368" s="2" t="n">
        <x:v>368</x:v>
      </x:c>
      <x:c r="V368" s="2" t="n">
        <x:f>IF(AND(M368=1,P368=0,ISNUMBER(J368),J368&lt;TODAY()),1,0)</x:f>
        <x:v>1</x:v>
      </x:c>
      <x:c r="W368" s="2" t="str">
        <x:f>'Data &amp; Reporting'!M368</x:f>
        <x:v>Task</x:v>
      </x:c>
    </x:row>
    <x:row r="369" ht="40" customHeight="1">
      <x:c r="A369" s="3" t="str">
        <x:f>HYPERLINK("#'Data &amp; Reporting'!A369","Open")</x:f>
        <x:v>Open</x:v>
      </x:c>
      <x:c r="B369" s="2" t="str">
        <x:f>'Data &amp; Reporting'!B369</x:f>
        <x:v>Cycle 2</x:v>
      </x:c>
      <x:c r="C369" s="2" t="str">
        <x:f>'Data &amp; Reporting'!C369</x:f>
        <x:v>Phase 2</x:v>
      </x:c>
      <x:c r="D369" s="2" t="str">
        <x:f>'Data &amp; Reporting'!D369</x:f>
        <x:v>Retail Services</x:v>
      </x:c>
      <x:c r="E369" s="2" t="str">
        <x:v>Data &amp; Reporting</x:v>
      </x:c>
      <x:c r="F369" s="56" t="str">
        <x:f>'Data &amp; Reporting'!E369</x:f>
        <x:v>DR.RS.2.6</x:v>
      </x:c>
      <x:c r="G369" s="14" t="str">
        <x:f>'Data &amp; Reporting'!F369</x:f>
        <x:v>Document clear distinctions between facts, assumptions, and hypotheses within the data package</x:v>
      </x:c>
      <x:c r="H369" s="2" t="str">
        <x:f>IF('Data &amp; Reporting'!G369="","",'Data &amp; Reporting'!G369)</x:f>
      </x:c>
      <x:c r="I369" s="12" t="str">
        <x:f>IF('Data &amp; Reporting'!H369="","",'Data &amp; Reporting'!H369)</x:f>
      </x:c>
      <x:c r="J369" s="12" t="n">
        <x:f>IF('Data &amp; Reporting'!I369="","",'Data &amp; Reporting'!I369)</x:f>
        <x:v>46203</x:v>
      </x:c>
      <x:c r="K369" s="12" t="str">
        <x:f>IF('Data &amp; Reporting'!J369="","",'Data &amp; Reporting'!J369)</x:f>
      </x:c>
      <x:c r="L369" s="2" t="str">
        <x:f>IF('Data &amp; Reporting'!K369="","",'Data &amp; Reporting'!K369)</x:f>
      </x:c>
      <x:c r="M369" s="2" t="n">
        <x:f>'Data &amp; Reporting'!Q369</x:f>
        <x:v>1</x:v>
      </x:c>
      <x:c r="N369" s="2" t="str">
        <x:f>'Data &amp; Reporting'!L369</x:f>
        <x:v>Not started</x:v>
      </x:c>
      <x:c r="O369" s="2" t="str">
        <x:f>'Data &amp; Reporting'!N369</x:f>
        <x:v>DR.RS.2.6.2026.CY2</x:v>
      </x:c>
      <x:c r="P369" s="2" t="n">
        <x:f>'Data &amp; Reporting'!O369</x:f>
        <x:v>0</x:v>
      </x:c>
      <x:c r="Q369" s="2" t="n">
        <x:f>SUBTOTAL(103,O369)</x:f>
        <x:v>1</x:v>
      </x:c>
      <x:c r="R369" s="2" t="n">
        <x:f>IF(AND(M369=1,OR(Dashboard!$B$7="All",Dashboard!$B$7='Cycles &amp; Guide'!$C$5),OR(Dashboard!$D$7="All",Dashboard!$D$7=B369),OR(Dashboard!$F$7="All",Dashboard!$F$7=C369),OR(Dashboard!$H$7="All",Dashboard!$H$7=D369),OR(Dashboard!$K$7="All",Dashboard!$K$7=E369)),1,0)</x:f>
        <x:v>1</x:v>
      </x:c>
      <x:c r="S369" s="2" t="n">
        <x:f>IF(R369=1,SUM($R$10:R369),0)</x:f>
        <x:v>178</x:v>
      </x:c>
      <x:c r="T369" s="2" t="str">
        <x:v>Data &amp; Reporting</x:v>
      </x:c>
      <x:c r="U369" s="2" t="n">
        <x:v>369</x:v>
      </x:c>
      <x:c r="V369" s="2" t="n">
        <x:f>IF(AND(M369=1,P369=0,ISNUMBER(J369),J369&lt;TODAY()),1,0)</x:f>
        <x:v>1</x:v>
      </x:c>
      <x:c r="W369" s="2" t="str">
        <x:f>'Data &amp; Reporting'!M369</x:f>
        <x:v>Task</x:v>
      </x:c>
    </x:row>
    <x:row r="370" ht="40" customHeight="1">
      <x:c r="A370" s="3" t="str">
        <x:f>HYPERLINK("#'Data &amp; Reporting'!A370","Open")</x:f>
        <x:v>Open</x:v>
      </x:c>
      <x:c r="B370" s="2" t="str">
        <x:f>'Data &amp; Reporting'!B370</x:f>
        <x:v>Cycle 2</x:v>
      </x:c>
      <x:c r="C370" s="2" t="str">
        <x:f>'Data &amp; Reporting'!C370</x:f>
        <x:v>Phase 3</x:v>
      </x:c>
      <x:c r="D370" s="2" t="str">
        <x:f>'Data &amp; Reporting'!D370</x:f>
        <x:v>Retail Services</x:v>
      </x:c>
      <x:c r="E370" s="2" t="str">
        <x:v>Data &amp; Reporting</x:v>
      </x:c>
      <x:c r="F370" s="56" t="str">
        <x:f>'Data &amp; Reporting'!E370</x:f>
        <x:v>DR.RS.3.1</x:v>
      </x:c>
      <x:c r="G370" s="14" t="str">
        <x:f>'Data &amp; Reporting'!F370</x:f>
        <x:v>Clearly document rationale for each topic recommendation within the SharePoint list item</x:v>
      </x:c>
      <x:c r="H370" s="2" t="str">
        <x:f>IF('Data &amp; Reporting'!G370="","",'Data &amp; Reporting'!G370)</x:f>
      </x:c>
      <x:c r="I370" s="12" t="str">
        <x:f>IF('Data &amp; Reporting'!H370="","",'Data &amp; Reporting'!H370)</x:f>
      </x:c>
      <x:c r="J370" s="12" t="n">
        <x:f>IF('Data &amp; Reporting'!I370="","",'Data &amp; Reporting'!I370)</x:f>
        <x:v>46203</x:v>
      </x:c>
      <x:c r="K370" s="12" t="str">
        <x:f>IF('Data &amp; Reporting'!J370="","",'Data &amp; Reporting'!J370)</x:f>
      </x:c>
      <x:c r="L370" s="2" t="str">
        <x:f>IF('Data &amp; Reporting'!K370="","",'Data &amp; Reporting'!K370)</x:f>
      </x:c>
      <x:c r="M370" s="2" t="n">
        <x:f>'Data &amp; Reporting'!Q370</x:f>
        <x:v>1</x:v>
      </x:c>
      <x:c r="N370" s="2" t="str">
        <x:f>'Data &amp; Reporting'!L370</x:f>
        <x:v>Not started</x:v>
      </x:c>
      <x:c r="O370" s="2" t="str">
        <x:f>'Data &amp; Reporting'!N370</x:f>
        <x:v>DR.RS.3.1.2026.CY2</x:v>
      </x:c>
      <x:c r="P370" s="2" t="n">
        <x:f>'Data &amp; Reporting'!O370</x:f>
        <x:v>0</x:v>
      </x:c>
      <x:c r="Q370" s="2" t="n">
        <x:f>SUBTOTAL(103,O370)</x:f>
        <x:v>1</x:v>
      </x:c>
      <x:c r="R370" s="2" t="n">
        <x:f>IF(AND(M370=1,OR(Dashboard!$B$7="All",Dashboard!$B$7='Cycles &amp; Guide'!$C$5),OR(Dashboard!$D$7="All",Dashboard!$D$7=B370),OR(Dashboard!$F$7="All",Dashboard!$F$7=C370),OR(Dashboard!$H$7="All",Dashboard!$H$7=D370),OR(Dashboard!$K$7="All",Dashboard!$K$7=E370)),1,0)</x:f>
        <x:v>1</x:v>
      </x:c>
      <x:c r="S370" s="2" t="n">
        <x:f>IF(R370=1,SUM($R$10:R370),0)</x:f>
        <x:v>179</x:v>
      </x:c>
      <x:c r="T370" s="2" t="str">
        <x:v>Data &amp; Reporting</x:v>
      </x:c>
      <x:c r="U370" s="2" t="n">
        <x:v>370</x:v>
      </x:c>
      <x:c r="V370" s="2" t="n">
        <x:f>IF(AND(M370=1,P370=0,ISNUMBER(J370),J370&lt;TODAY()),1,0)</x:f>
        <x:v>1</x:v>
      </x:c>
      <x:c r="W370" s="2" t="str">
        <x:f>'Data &amp; Reporting'!M370</x:f>
        <x:v>Task</x:v>
      </x:c>
    </x:row>
    <x:row r="371" ht="40" customHeight="1">
      <x:c r="A371" s="3" t="str">
        <x:f>HYPERLINK("#'Data &amp; Reporting'!A371","Open")</x:f>
        <x:v>Open</x:v>
      </x:c>
      <x:c r="B371" s="2" t="str">
        <x:f>'Data &amp; Reporting'!B371</x:f>
        <x:v>Cycle 2</x:v>
      </x:c>
      <x:c r="C371" s="2" t="str">
        <x:f>'Data &amp; Reporting'!C371</x:f>
        <x:v>Phase 3</x:v>
      </x:c>
      <x:c r="D371" s="2" t="str">
        <x:f>'Data &amp; Reporting'!D371</x:f>
        <x:v>Retail Services</x:v>
      </x:c>
      <x:c r="E371" s="2" t="str">
        <x:v>Data &amp; Reporting</x:v>
      </x:c>
      <x:c r="F371" s="56" t="str">
        <x:f>'Data &amp; Reporting'!E371</x:f>
        <x:v>DR.RS.3.2</x:v>
      </x:c>
      <x:c r="G371" s="14" t="str">
        <x:f>'Data &amp; Reporting'!F371</x:f>
        <x:v>Attach the data package for each topic recommendation within the SharePoint list item</x:v>
      </x:c>
      <x:c r="H371" s="2" t="str">
        <x:f>IF('Data &amp; Reporting'!G371="","",'Data &amp; Reporting'!G371)</x:f>
      </x:c>
      <x:c r="I371" s="12" t="str">
        <x:f>IF('Data &amp; Reporting'!H371="","",'Data &amp; Reporting'!H371)</x:f>
      </x:c>
      <x:c r="J371" s="12" t="n">
        <x:f>IF('Data &amp; Reporting'!I371="","",'Data &amp; Reporting'!I371)</x:f>
        <x:v>46203</x:v>
      </x:c>
      <x:c r="K371" s="12" t="str">
        <x:f>IF('Data &amp; Reporting'!J371="","",'Data &amp; Reporting'!J371)</x:f>
      </x:c>
      <x:c r="L371" s="2" t="str">
        <x:f>IF('Data &amp; Reporting'!K371="","",'Data &amp; Reporting'!K371)</x:f>
      </x:c>
      <x:c r="M371" s="2" t="n">
        <x:f>'Data &amp; Reporting'!Q371</x:f>
        <x:v>1</x:v>
      </x:c>
      <x:c r="N371" s="2" t="str">
        <x:f>'Data &amp; Reporting'!L371</x:f>
        <x:v>Not started</x:v>
      </x:c>
      <x:c r="O371" s="2" t="str">
        <x:f>'Data &amp; Reporting'!N371</x:f>
        <x:v>DR.RS.3.2.2026.CY2</x:v>
      </x:c>
      <x:c r="P371" s="2" t="n">
        <x:f>'Data &amp; Reporting'!O371</x:f>
        <x:v>0</x:v>
      </x:c>
      <x:c r="Q371" s="2" t="n">
        <x:f>SUBTOTAL(103,O371)</x:f>
        <x:v>1</x:v>
      </x:c>
      <x:c r="R371" s="2" t="n">
        <x:f>IF(AND(M371=1,OR(Dashboard!$B$7="All",Dashboard!$B$7='Cycles &amp; Guide'!$C$5),OR(Dashboard!$D$7="All",Dashboard!$D$7=B371),OR(Dashboard!$F$7="All",Dashboard!$F$7=C371),OR(Dashboard!$H$7="All",Dashboard!$H$7=D371),OR(Dashboard!$K$7="All",Dashboard!$K$7=E371)),1,0)</x:f>
        <x:v>1</x:v>
      </x:c>
      <x:c r="S371" s="2" t="n">
        <x:f>IF(R371=1,SUM($R$10:R371),0)</x:f>
        <x:v>180</x:v>
      </x:c>
      <x:c r="T371" s="2" t="str">
        <x:v>Data &amp; Reporting</x:v>
      </x:c>
      <x:c r="U371" s="2" t="n">
        <x:v>371</x:v>
      </x:c>
      <x:c r="V371" s="2" t="n">
        <x:f>IF(AND(M371=1,P371=0,ISNUMBER(J371),J371&lt;TODAY()),1,0)</x:f>
        <x:v>1</x:v>
      </x:c>
      <x:c r="W371" s="2" t="str">
        <x:f>'Data &amp; Reporting'!M371</x:f>
        <x:v>Task</x:v>
      </x:c>
    </x:row>
    <x:row r="372" ht="40" customHeight="1">
      <x:c r="A372" s="3" t="str">
        <x:f>HYPERLINK("#'Data &amp; Reporting'!A372","Open")</x:f>
        <x:v>Open</x:v>
      </x:c>
      <x:c r="B372" s="2" t="str">
        <x:f>'Data &amp; Reporting'!B372</x:f>
        <x:v>Cycle 2</x:v>
      </x:c>
      <x:c r="C372" s="2" t="str">
        <x:f>'Data &amp; Reporting'!C372</x:f>
        <x:v>Phase 3</x:v>
      </x:c>
      <x:c r="D372" s="2" t="str">
        <x:f>'Data &amp; Reporting'!D372</x:f>
        <x:v>Retail Services</x:v>
      </x:c>
      <x:c r="E372" s="2" t="str">
        <x:v>Data &amp; Reporting</x:v>
      </x:c>
      <x:c r="F372" s="56" t="str">
        <x:f>'Data &amp; Reporting'!E372</x:f>
        <x:v>DR.RS.3.3</x:v>
      </x:c>
      <x:c r="G372" s="14" t="str">
        <x:f>'Data &amp; Reporting'!F372</x:f>
        <x:v>Confirm data privileges have been granted, ensuring each pillar can access</x:v>
      </x:c>
      <x:c r="H372" s="2" t="str">
        <x:f>IF('Data &amp; Reporting'!G372="","",'Data &amp; Reporting'!G372)</x:f>
      </x:c>
      <x:c r="I372" s="12" t="str">
        <x:f>IF('Data &amp; Reporting'!H372="","",'Data &amp; Reporting'!H372)</x:f>
      </x:c>
      <x:c r="J372" s="12" t="n">
        <x:f>IF('Data &amp; Reporting'!I372="","",'Data &amp; Reporting'!I372)</x:f>
        <x:v>46203</x:v>
      </x:c>
      <x:c r="K372" s="12" t="str">
        <x:f>IF('Data &amp; Reporting'!J372="","",'Data &amp; Reporting'!J372)</x:f>
      </x:c>
      <x:c r="L372" s="2" t="str">
        <x:f>IF('Data &amp; Reporting'!K372="","",'Data &amp; Reporting'!K372)</x:f>
      </x:c>
      <x:c r="M372" s="2" t="n">
        <x:f>'Data &amp; Reporting'!Q372</x:f>
        <x:v>1</x:v>
      </x:c>
      <x:c r="N372" s="2" t="str">
        <x:f>'Data &amp; Reporting'!L372</x:f>
        <x:v>Not started</x:v>
      </x:c>
      <x:c r="O372" s="2" t="str">
        <x:f>'Data &amp; Reporting'!N372</x:f>
        <x:v>DR.RS.3.3.2026.CY2</x:v>
      </x:c>
      <x:c r="P372" s="2" t="n">
        <x:f>'Data &amp; Reporting'!O372</x:f>
        <x:v>0</x:v>
      </x:c>
      <x:c r="Q372" s="2" t="n">
        <x:f>SUBTOTAL(103,O372)</x:f>
        <x:v>1</x:v>
      </x:c>
      <x:c r="R372" s="2" t="n">
        <x:f>IF(AND(M372=1,OR(Dashboard!$B$7="All",Dashboard!$B$7='Cycles &amp; Guide'!$C$5),OR(Dashboard!$D$7="All",Dashboard!$D$7=B372),OR(Dashboard!$F$7="All",Dashboard!$F$7=C372),OR(Dashboard!$H$7="All",Dashboard!$H$7=D372),OR(Dashboard!$K$7="All",Dashboard!$K$7=E372)),1,0)</x:f>
        <x:v>1</x:v>
      </x:c>
      <x:c r="S372" s="2" t="n">
        <x:f>IF(R372=1,SUM($R$10:R372),0)</x:f>
        <x:v>181</x:v>
      </x:c>
      <x:c r="T372" s="2" t="str">
        <x:v>Data &amp; Reporting</x:v>
      </x:c>
      <x:c r="U372" s="2" t="n">
        <x:v>372</x:v>
      </x:c>
      <x:c r="V372" s="2" t="n">
        <x:f>IF(AND(M372=1,P372=0,ISNUMBER(J372),J372&lt;TODAY()),1,0)</x:f>
        <x:v>1</x:v>
      </x:c>
      <x:c r="W372" s="2" t="str">
        <x:f>'Data &amp; Reporting'!M372</x:f>
        <x:v>Task</x:v>
      </x:c>
    </x:row>
    <x:row r="373" ht="40" customHeight="1">
      <x:c r="A373" s="3" t="str">
        <x:f>HYPERLINK("#'Data &amp; Reporting'!A373","Open")</x:f>
        <x:v>Open</x:v>
      </x:c>
      <x:c r="B373" s="2" t="str">
        <x:f>'Data &amp; Reporting'!B373</x:f>
        <x:v>Cycle 2</x:v>
      </x:c>
      <x:c r="C373" s="2" t="str">
        <x:f>'Data &amp; Reporting'!C373</x:f>
        <x:v>Phase 3</x:v>
      </x:c>
      <x:c r="D373" s="2" t="str">
        <x:f>'Data &amp; Reporting'!D373</x:f>
        <x:v>Retail Services</x:v>
      </x:c>
      <x:c r="E373" s="2" t="str">
        <x:v>Data &amp; Reporting</x:v>
      </x:c>
      <x:c r="F373" s="56" t="str">
        <x:f>'Data &amp; Reporting'!E373</x:f>
        <x:v>DR.RS.3.4</x:v>
      </x:c>
      <x:c r="G373" s="14" t="str">
        <x:f>'Data &amp; Reporting'!F373</x:f>
        <x:v>Ensure Power Automate notifications were correctly triggered within Microsoft Teams</x:v>
      </x:c>
      <x:c r="H373" s="2" t="str">
        <x:f>IF('Data &amp; Reporting'!G373="","",'Data &amp; Reporting'!G373)</x:f>
      </x:c>
      <x:c r="I373" s="12" t="str">
        <x:f>IF('Data &amp; Reporting'!H373="","",'Data &amp; Reporting'!H373)</x:f>
      </x:c>
      <x:c r="J373" s="12" t="n">
        <x:f>IF('Data &amp; Reporting'!I373="","",'Data &amp; Reporting'!I373)</x:f>
        <x:v>46203</x:v>
      </x:c>
      <x:c r="K373" s="12" t="str">
        <x:f>IF('Data &amp; Reporting'!J373="","",'Data &amp; Reporting'!J373)</x:f>
      </x:c>
      <x:c r="L373" s="2" t="str">
        <x:f>IF('Data &amp; Reporting'!K373="","",'Data &amp; Reporting'!K373)</x:f>
      </x:c>
      <x:c r="M373" s="2" t="n">
        <x:f>'Data &amp; Reporting'!Q373</x:f>
        <x:v>1</x:v>
      </x:c>
      <x:c r="N373" s="2" t="str">
        <x:f>'Data &amp; Reporting'!L373</x:f>
        <x:v>Not started</x:v>
      </x:c>
      <x:c r="O373" s="2" t="str">
        <x:f>'Data &amp; Reporting'!N373</x:f>
        <x:v>DR.RS.3.4.2026.CY2</x:v>
      </x:c>
      <x:c r="P373" s="2" t="n">
        <x:f>'Data &amp; Reporting'!O373</x:f>
        <x:v>0</x:v>
      </x:c>
      <x:c r="Q373" s="2" t="n">
        <x:f>SUBTOTAL(103,O373)</x:f>
        <x:v>1</x:v>
      </x:c>
      <x:c r="R373" s="2" t="n">
        <x:f>IF(AND(M373=1,OR(Dashboard!$B$7="All",Dashboard!$B$7='Cycles &amp; Guide'!$C$5),OR(Dashboard!$D$7="All",Dashboard!$D$7=B373),OR(Dashboard!$F$7="All",Dashboard!$F$7=C373),OR(Dashboard!$H$7="All",Dashboard!$H$7=D373),OR(Dashboard!$K$7="All",Dashboard!$K$7=E373)),1,0)</x:f>
        <x:v>1</x:v>
      </x:c>
      <x:c r="S373" s="2" t="n">
        <x:f>IF(R373=1,SUM($R$10:R373),0)</x:f>
        <x:v>182</x:v>
      </x:c>
      <x:c r="T373" s="2" t="str">
        <x:v>Data &amp; Reporting</x:v>
      </x:c>
      <x:c r="U373" s="2" t="n">
        <x:v>373</x:v>
      </x:c>
      <x:c r="V373" s="2" t="n">
        <x:f>IF(AND(M373=1,P373=0,ISNUMBER(J373),J373&lt;TODAY()),1,0)</x:f>
        <x:v>1</x:v>
      </x:c>
      <x:c r="W373" s="2" t="str">
        <x:f>'Data &amp; Reporting'!M373</x:f>
        <x:v>Task</x:v>
      </x:c>
    </x:row>
    <x:row r="374" ht="40" customHeight="1">
      <x:c r="A374" s="3" t="str">
        <x:f>HYPERLINK("#'Data &amp; Reporting'!A374","Open")</x:f>
        <x:v>Open</x:v>
      </x:c>
      <x:c r="B374" s="2" t="str">
        <x:f>'Data &amp; Reporting'!B374</x:f>
        <x:v>Cycle 3</x:v>
      </x:c>
      <x:c r="C374" s="2" t="str">
        <x:f>'Data &amp; Reporting'!C374</x:f>
        <x:v>Phase 1</x:v>
      </x:c>
      <x:c r="D374" s="2" t="str">
        <x:f>'Data &amp; Reporting'!D374</x:f>
        <x:v>Auto</x:v>
      </x:c>
      <x:c r="E374" s="2" t="str">
        <x:v>Data &amp; Reporting</x:v>
      </x:c>
      <x:c r="F374" s="56" t="str">
        <x:f>'Data &amp; Reporting'!E374</x:f>
        <x:v>DR.AU.1.1</x:v>
      </x:c>
      <x:c r="G374" s="14" t="str">
        <x:f>'Data &amp; Reporting'!F374</x:f>
        <x:v>Review data sources 3 weeks prior to Cycle start (Complaints, Gen AI, Loudspeaker, NPS, etc.)</x:v>
      </x:c>
      <x:c r="H374" s="2" t="str">
        <x:f>IF('Data &amp; Reporting'!G374="","",'Data &amp; Reporting'!G374)</x:f>
      </x:c>
      <x:c r="I374" s="12" t="str">
        <x:f>IF('Data &amp; Reporting'!H374="","",'Data &amp; Reporting'!H374)</x:f>
      </x:c>
      <x:c r="J374" s="12" t="n">
        <x:f>IF('Data &amp; Reporting'!I374="","",'Data &amp; Reporting'!I374)</x:f>
        <x:v>46183</x:v>
      </x:c>
      <x:c r="K374" s="12" t="str">
        <x:f>IF('Data &amp; Reporting'!J374="","",'Data &amp; Reporting'!J374)</x:f>
      </x:c>
      <x:c r="L374" s="2" t="str">
        <x:f>IF('Data &amp; Reporting'!K374="","",'Data &amp; Reporting'!K374)</x:f>
      </x:c>
      <x:c r="M374" s="2" t="n">
        <x:f>'Data &amp; Reporting'!Q374</x:f>
        <x:v>1</x:v>
      </x:c>
      <x:c r="N374" s="2" t="str">
        <x:f>'Data &amp; Reporting'!L374</x:f>
        <x:v>Not started</x:v>
      </x:c>
      <x:c r="O374" s="2" t="str">
        <x:f>'Data &amp; Reporting'!N374</x:f>
        <x:v>DR.AU.1.1.2026.CY3</x:v>
      </x:c>
      <x:c r="P374" s="2" t="n">
        <x:f>'Data &amp; Reporting'!O374</x:f>
        <x:v>0</x:v>
      </x:c>
      <x:c r="Q374" s="2" t="n">
        <x:f>SUBTOTAL(103,O374)</x:f>
        <x:v>1</x:v>
      </x:c>
      <x:c r="R374" s="2" t="n">
        <x:f>IF(AND(M374=1,OR(Dashboard!$B$7="All",Dashboard!$B$7='Cycles &amp; Guide'!$C$5),OR(Dashboard!$D$7="All",Dashboard!$D$7=B374),OR(Dashboard!$F$7="All",Dashboard!$F$7=C374),OR(Dashboard!$H$7="All",Dashboard!$H$7=D374),OR(Dashboard!$K$7="All",Dashboard!$K$7=E374)),1,0)</x:f>
        <x:v>1</x:v>
      </x:c>
      <x:c r="S374" s="2" t="n">
        <x:f>IF(R374=1,SUM($R$10:R374),0)</x:f>
        <x:v>183</x:v>
      </x:c>
      <x:c r="T374" s="2" t="str">
        <x:v>Data &amp; Reporting</x:v>
      </x:c>
      <x:c r="U374" s="2" t="n">
        <x:v>374</x:v>
      </x:c>
      <x:c r="V374" s="2" t="n">
        <x:f>IF(AND(M374=1,P374=0,ISNUMBER(J374),J374&lt;TODAY()),1,0)</x:f>
        <x:v>1</x:v>
      </x:c>
      <x:c r="W374" s="2" t="str">
        <x:f>'Data &amp; Reporting'!M374</x:f>
        <x:v>Task</x:v>
      </x:c>
    </x:row>
    <x:row r="375" ht="40" customHeight="1">
      <x:c r="A375" s="3" t="str">
        <x:f>HYPERLINK("#'Data &amp; Reporting'!A375","Open")</x:f>
        <x:v>Open</x:v>
      </x:c>
      <x:c r="B375" s="2" t="str">
        <x:f>'Data &amp; Reporting'!B375</x:f>
        <x:v>Cycle 3</x:v>
      </x:c>
      <x:c r="C375" s="2" t="str">
        <x:f>'Data &amp; Reporting'!C375</x:f>
        <x:v>Phase 1</x:v>
      </x:c>
      <x:c r="D375" s="2" t="str">
        <x:f>'Data &amp; Reporting'!D375</x:f>
        <x:v>Auto</x:v>
      </x:c>
      <x:c r="E375" s="2" t="str">
        <x:v>Data &amp; Reporting</x:v>
      </x:c>
      <x:c r="F375" s="56" t="str">
        <x:f>'Data &amp; Reporting'!E375</x:f>
        <x:v>DR.AU.1.2</x:v>
      </x:c>
      <x:c r="G375" s="14" t="str">
        <x:f>'Data &amp; Reporting'!F375</x:f>
        <x:v>Identify two potential topics for the upcoming Cycle</x:v>
      </x:c>
      <x:c r="H375" s="2" t="str">
        <x:f>IF('Data &amp; Reporting'!G375="","",'Data &amp; Reporting'!G375)</x:f>
      </x:c>
      <x:c r="I375" s="12" t="str">
        <x:f>IF('Data &amp; Reporting'!H375="","",'Data &amp; Reporting'!H375)</x:f>
      </x:c>
      <x:c r="J375" s="12" t="n">
        <x:f>IF('Data &amp; Reporting'!I375="","",'Data &amp; Reporting'!I375)</x:f>
        <x:v>46295</x:v>
      </x:c>
      <x:c r="K375" s="12" t="str">
        <x:f>IF('Data &amp; Reporting'!J375="","",'Data &amp; Reporting'!J375)</x:f>
      </x:c>
      <x:c r="L375" s="2" t="str">
        <x:f>IF('Data &amp; Reporting'!K375="","",'Data &amp; Reporting'!K375)</x:f>
      </x:c>
      <x:c r="M375" s="2" t="n">
        <x:f>'Data &amp; Reporting'!Q375</x:f>
        <x:v>1</x:v>
      </x:c>
      <x:c r="N375" s="2" t="str">
        <x:f>'Data &amp; Reporting'!L375</x:f>
        <x:v>Not started</x:v>
      </x:c>
      <x:c r="O375" s="2" t="str">
        <x:f>'Data &amp; Reporting'!N375</x:f>
        <x:v>DR.AU.1.2.2026.CY3</x:v>
      </x:c>
      <x:c r="P375" s="2" t="n">
        <x:f>'Data &amp; Reporting'!O375</x:f>
        <x:v>0</x:v>
      </x:c>
      <x:c r="Q375" s="2" t="n">
        <x:f>SUBTOTAL(103,O375)</x:f>
        <x:v>1</x:v>
      </x:c>
      <x:c r="R375" s="2" t="n">
        <x:f>IF(AND(M375=1,OR(Dashboard!$B$7="All",Dashboard!$B$7='Cycles &amp; Guide'!$C$5),OR(Dashboard!$D$7="All",Dashboard!$D$7=B375),OR(Dashboard!$F$7="All",Dashboard!$F$7=C375),OR(Dashboard!$H$7="All",Dashboard!$H$7=D375),OR(Dashboard!$K$7="All",Dashboard!$K$7=E375)),1,0)</x:f>
        <x:v>1</x:v>
      </x:c>
      <x:c r="S375" s="2" t="n">
        <x:f>IF(R375=1,SUM($R$10:R375),0)</x:f>
        <x:v>184</x:v>
      </x:c>
      <x:c r="T375" s="2" t="str">
        <x:v>Data &amp; Reporting</x:v>
      </x:c>
      <x:c r="U375" s="2" t="n">
        <x:v>375</x:v>
      </x:c>
      <x:c r="V375" s="2" t="n">
        <x:f>IF(AND(M375=1,P375=0,ISNUMBER(J375),J375&lt;TODAY()),1,0)</x:f>
        <x:v>0</x:v>
      </x:c>
      <x:c r="W375" s="2" t="str">
        <x:f>'Data &amp; Reporting'!M375</x:f>
        <x:v>Task</x:v>
      </x:c>
    </x:row>
    <x:row r="376" ht="40" customHeight="1">
      <x:c r="A376" s="3" t="str">
        <x:f>HYPERLINK("#'Data &amp; Reporting'!A376","Open")</x:f>
        <x:v>Open</x:v>
      </x:c>
      <x:c r="B376" s="2" t="str">
        <x:f>'Data &amp; Reporting'!B376</x:f>
        <x:v>Cycle 3</x:v>
      </x:c>
      <x:c r="C376" s="2" t="str">
        <x:f>'Data &amp; Reporting'!C376</x:f>
        <x:v>Phase 1</x:v>
      </x:c>
      <x:c r="D376" s="2" t="str">
        <x:f>'Data &amp; Reporting'!D376</x:f>
        <x:v>Auto</x:v>
      </x:c>
      <x:c r="E376" s="2" t="str">
        <x:v>Data &amp; Reporting</x:v>
      </x:c>
      <x:c r="F376" s="56" t="str">
        <x:f>'Data &amp; Reporting'!E376</x:f>
        <x:v>DR.AU.1.3</x:v>
      </x:c>
      <x:c r="G376" s="14" t="str">
        <x:f>'Data &amp; Reporting'!F376</x:f>
        <x:v>Extract data for both potential topics, ensuring all checklist items below are included/completed</x:v>
      </x:c>
      <x:c r="H376" s="2" t="str">
        <x:f>IF('Data &amp; Reporting'!G376="","",'Data &amp; Reporting'!G376)</x:f>
      </x:c>
      <x:c r="I376" s="12" t="str">
        <x:f>IF('Data &amp; Reporting'!H376="","",'Data &amp; Reporting'!H376)</x:f>
      </x:c>
      <x:c r="J376" s="12" t="n">
        <x:f>IF('Data &amp; Reporting'!I376="","",'Data &amp; Reporting'!I376)</x:f>
        <x:v>46295</x:v>
      </x:c>
      <x:c r="K376" s="12" t="str">
        <x:f>IF('Data &amp; Reporting'!J376="","",'Data &amp; Reporting'!J376)</x:f>
      </x:c>
      <x:c r="L376" s="2" t="str">
        <x:f>IF('Data &amp; Reporting'!K376="","",'Data &amp; Reporting'!K376)</x:f>
      </x:c>
      <x:c r="M376" s="2" t="n">
        <x:f>'Data &amp; Reporting'!Q376</x:f>
        <x:v>1</x:v>
      </x:c>
      <x:c r="N376" s="2" t="str">
        <x:f>'Data &amp; Reporting'!L376</x:f>
        <x:v>Not started</x:v>
      </x:c>
      <x:c r="O376" s="2" t="str">
        <x:f>'Data &amp; Reporting'!N376</x:f>
        <x:v>DR.AU.1.3.2026.CY3</x:v>
      </x:c>
      <x:c r="P376" s="2" t="n">
        <x:f>'Data &amp; Reporting'!O376</x:f>
        <x:v>0</x:v>
      </x:c>
      <x:c r="Q376" s="2" t="n">
        <x:f>SUBTOTAL(103,O376)</x:f>
        <x:v>1</x:v>
      </x:c>
      <x:c r="R376" s="2" t="n">
        <x:f>IF(AND(M376=1,OR(Dashboard!$B$7="All",Dashboard!$B$7='Cycles &amp; Guide'!$C$5),OR(Dashboard!$D$7="All",Dashboard!$D$7=B376),OR(Dashboard!$F$7="All",Dashboard!$F$7=C376),OR(Dashboard!$H$7="All",Dashboard!$H$7=D376),OR(Dashboard!$K$7="All",Dashboard!$K$7=E376)),1,0)</x:f>
        <x:v>1</x:v>
      </x:c>
      <x:c r="S376" s="2" t="n">
        <x:f>IF(R376=1,SUM($R$10:R376),0)</x:f>
        <x:v>185</x:v>
      </x:c>
      <x:c r="T376" s="2" t="str">
        <x:v>Data &amp; Reporting</x:v>
      </x:c>
      <x:c r="U376" s="2" t="n">
        <x:v>376</x:v>
      </x:c>
      <x:c r="V376" s="2" t="n">
        <x:f>IF(AND(M376=1,P376=0,ISNUMBER(J376),J376&lt;TODAY()),1,0)</x:f>
        <x:v>0</x:v>
      </x:c>
      <x:c r="W376" s="2" t="str">
        <x:f>'Data &amp; Reporting'!M376</x:f>
        <x:v>Task</x:v>
      </x:c>
    </x:row>
    <x:row r="377" ht="40" customHeight="1">
      <x:c r="A377" s="3" t="str">
        <x:f>HYPERLINK("#'Data &amp; Reporting'!A377","Open")</x:f>
        <x:v>Open</x:v>
      </x:c>
      <x:c r="B377" s="2" t="str">
        <x:f>'Data &amp; Reporting'!B377</x:f>
        <x:v>Cycle 3</x:v>
      </x:c>
      <x:c r="C377" s="2" t="str">
        <x:f>'Data &amp; Reporting'!C377</x:f>
        <x:v>Phase 1</x:v>
      </x:c>
      <x:c r="D377" s="2" t="str">
        <x:f>'Data &amp; Reporting'!D377</x:f>
        <x:v>Auto</x:v>
      </x:c>
      <x:c r="E377" s="2" t="str">
        <x:v>Data &amp; Reporting</x:v>
      </x:c>
      <x:c r="F377" s="56" t="str">
        <x:f>'Data &amp; Reporting'!E377</x:f>
        <x:v>DR.AU.1.3.C01</x:v>
      </x:c>
      <x:c r="G377" s="14" t="str">
        <x:f>'Data &amp; Reporting'!F377</x:f>
        <x:v>    Document date range extracted</x:v>
      </x:c>
      <x:c r="H377" s="2" t="str">
        <x:f>IF('Data &amp; Reporting'!G377="","",'Data &amp; Reporting'!G377)</x:f>
      </x:c>
      <x:c r="I377" s="12" t="str">
        <x:f>IF('Data &amp; Reporting'!H377="","",'Data &amp; Reporting'!H377)</x:f>
      </x:c>
      <x:c r="J377" s="12" t="str">
        <x:f>IF('Data &amp; Reporting'!I377="","",'Data &amp; Reporting'!I377)</x:f>
      </x:c>
      <x:c r="K377" s="12" t="str">
        <x:f>IF('Data &amp; Reporting'!J377="","",'Data &amp; Reporting'!J377)</x:f>
      </x:c>
      <x:c r="L377" s="2" t="str">
        <x:f>IF('Data &amp; Reporting'!K377="","",'Data &amp; Reporting'!K377)</x:f>
      </x:c>
      <x:c r="M377" s="2" t="n">
        <x:f>'Data &amp; Reporting'!Q377</x:f>
        <x:v>0</x:v>
      </x:c>
      <x:c r="N377" s="2" t="str">
        <x:f>'Data &amp; Reporting'!L377</x:f>
        <x:v>Open check</x:v>
      </x:c>
      <x:c r="O377" s="2" t="str">
        <x:f>'Data &amp; Reporting'!N377</x:f>
        <x:v>DR.AU.1.3.C01.2026.CY3</x:v>
      </x:c>
      <x:c r="P377" s="2" t="n">
        <x:f>'Data &amp; Reporting'!O377</x:f>
        <x:v>0</x:v>
      </x:c>
      <x:c r="Q377" s="2" t="n">
        <x:f>SUBTOTAL(103,O377)</x:f>
        <x:v>1</x:v>
      </x:c>
      <x:c r="R377" s="2" t="n">
        <x:f>IF(AND(M377=1,OR(Dashboard!$B$7="All",Dashboard!$B$7='Cycles &amp; Guide'!$C$5),OR(Dashboard!$D$7="All",Dashboard!$D$7=B377),OR(Dashboard!$F$7="All",Dashboard!$F$7=C377),OR(Dashboard!$H$7="All",Dashboard!$H$7=D377),OR(Dashboard!$K$7="All",Dashboard!$K$7=E377)),1,0)</x:f>
        <x:v>0</x:v>
      </x:c>
      <x:c r="S377" s="2" t="n">
        <x:f>IF(R377=1,SUM($R$10:R377),0)</x:f>
        <x:v>0</x:v>
      </x:c>
      <x:c r="T377" s="2" t="str">
        <x:v>Data &amp; Reporting</x:v>
      </x:c>
      <x:c r="U377" s="2" t="n">
        <x:v>377</x:v>
      </x:c>
      <x:c r="V377" s="2" t="n">
        <x:f>IF(AND(M377=1,P377=0,ISNUMBER(J377),J377&lt;TODAY()),1,0)</x:f>
        <x:v>0</x:v>
      </x:c>
      <x:c r="W377" s="2" t="str">
        <x:f>'Data &amp; Reporting'!M377</x:f>
        <x:v>Checklist</x:v>
      </x:c>
    </x:row>
    <x:row r="378" ht="40" customHeight="1">
      <x:c r="A378" s="3" t="str">
        <x:f>HYPERLINK("#'Data &amp; Reporting'!A378","Open")</x:f>
        <x:v>Open</x:v>
      </x:c>
      <x:c r="B378" s="2" t="str">
        <x:f>'Data &amp; Reporting'!B378</x:f>
        <x:v>Cycle 3</x:v>
      </x:c>
      <x:c r="C378" s="2" t="str">
        <x:f>'Data &amp; Reporting'!C378</x:f>
        <x:v>Phase 1</x:v>
      </x:c>
      <x:c r="D378" s="2" t="str">
        <x:f>'Data &amp; Reporting'!D378</x:f>
        <x:v>Auto</x:v>
      </x:c>
      <x:c r="E378" s="2" t="str">
        <x:v>Data &amp; Reporting</x:v>
      </x:c>
      <x:c r="F378" s="56" t="str">
        <x:f>'Data &amp; Reporting'!E378</x:f>
        <x:v>DR.AU.1.3.C02</x:v>
      </x:c>
      <x:c r="G378" s="14" t="str">
        <x:f>'Data &amp; Reporting'!F378</x:f>
        <x:v>    Document date of data pull</x:v>
      </x:c>
      <x:c r="H378" s="2" t="str">
        <x:f>IF('Data &amp; Reporting'!G378="","",'Data &amp; Reporting'!G378)</x:f>
      </x:c>
      <x:c r="I378" s="12" t="str">
        <x:f>IF('Data &amp; Reporting'!H378="","",'Data &amp; Reporting'!H378)</x:f>
      </x:c>
      <x:c r="J378" s="12" t="str">
        <x:f>IF('Data &amp; Reporting'!I378="","",'Data &amp; Reporting'!I378)</x:f>
      </x:c>
      <x:c r="K378" s="12" t="str">
        <x:f>IF('Data &amp; Reporting'!J378="","",'Data &amp; Reporting'!J378)</x:f>
      </x:c>
      <x:c r="L378" s="2" t="str">
        <x:f>IF('Data &amp; Reporting'!K378="","",'Data &amp; Reporting'!K378)</x:f>
      </x:c>
      <x:c r="M378" s="2" t="n">
        <x:f>'Data &amp; Reporting'!Q378</x:f>
        <x:v>0</x:v>
      </x:c>
      <x:c r="N378" s="2" t="str">
        <x:f>'Data &amp; Reporting'!L378</x:f>
        <x:v>Open check</x:v>
      </x:c>
      <x:c r="O378" s="2" t="str">
        <x:f>'Data &amp; Reporting'!N378</x:f>
        <x:v>DR.AU.1.3.C02.2026.CY3</x:v>
      </x:c>
      <x:c r="P378" s="2" t="n">
        <x:f>'Data &amp; Reporting'!O378</x:f>
        <x:v>0</x:v>
      </x:c>
      <x:c r="Q378" s="2" t="n">
        <x:f>SUBTOTAL(103,O378)</x:f>
        <x:v>1</x:v>
      </x:c>
      <x:c r="R378" s="2" t="n">
        <x:f>IF(AND(M378=1,OR(Dashboard!$B$7="All",Dashboard!$B$7='Cycles &amp; Guide'!$C$5),OR(Dashboard!$D$7="All",Dashboard!$D$7=B378),OR(Dashboard!$F$7="All",Dashboard!$F$7=C378),OR(Dashboard!$H$7="All",Dashboard!$H$7=D378),OR(Dashboard!$K$7="All",Dashboard!$K$7=E378)),1,0)</x:f>
        <x:v>0</x:v>
      </x:c>
      <x:c r="S378" s="2" t="n">
        <x:f>IF(R378=1,SUM($R$10:R378),0)</x:f>
        <x:v>0</x:v>
      </x:c>
      <x:c r="T378" s="2" t="str">
        <x:v>Data &amp; Reporting</x:v>
      </x:c>
      <x:c r="U378" s="2" t="n">
        <x:v>378</x:v>
      </x:c>
      <x:c r="V378" s="2" t="n">
        <x:f>IF(AND(M378=1,P378=0,ISNUMBER(J378),J378&lt;TODAY()),1,0)</x:f>
        <x:v>0</x:v>
      </x:c>
      <x:c r="W378" s="2" t="str">
        <x:f>'Data &amp; Reporting'!M378</x:f>
        <x:v>Checklist</x:v>
      </x:c>
    </x:row>
    <x:row r="379" ht="40" customHeight="1">
      <x:c r="A379" s="3" t="str">
        <x:f>HYPERLINK("#'Data &amp; Reporting'!A379","Open")</x:f>
        <x:v>Open</x:v>
      </x:c>
      <x:c r="B379" s="2" t="str">
        <x:f>'Data &amp; Reporting'!B379</x:f>
        <x:v>Cycle 3</x:v>
      </x:c>
      <x:c r="C379" s="2" t="str">
        <x:f>'Data &amp; Reporting'!C379</x:f>
        <x:v>Phase 1</x:v>
      </x:c>
      <x:c r="D379" s="2" t="str">
        <x:f>'Data &amp; Reporting'!D379</x:f>
        <x:v>Auto</x:v>
      </x:c>
      <x:c r="E379" s="2" t="str">
        <x:v>Data &amp; Reporting</x:v>
      </x:c>
      <x:c r="F379" s="56" t="str">
        <x:f>'Data &amp; Reporting'!E379</x:f>
        <x:v>DR.AU.1.3.C03</x:v>
      </x:c>
      <x:c r="G379" s="14" t="str">
        <x:f>'Data &amp; Reporting'!F379</x:f>
        <x:v>    Document population details</x:v>
      </x:c>
      <x:c r="H379" s="2" t="str">
        <x:f>IF('Data &amp; Reporting'!G379="","",'Data &amp; Reporting'!G379)</x:f>
      </x:c>
      <x:c r="I379" s="12" t="str">
        <x:f>IF('Data &amp; Reporting'!H379="","",'Data &amp; Reporting'!H379)</x:f>
      </x:c>
      <x:c r="J379" s="12" t="str">
        <x:f>IF('Data &amp; Reporting'!I379="","",'Data &amp; Reporting'!I379)</x:f>
      </x:c>
      <x:c r="K379" s="12" t="str">
        <x:f>IF('Data &amp; Reporting'!J379="","",'Data &amp; Reporting'!J379)</x:f>
      </x:c>
      <x:c r="L379" s="2" t="str">
        <x:f>IF('Data &amp; Reporting'!K379="","",'Data &amp; Reporting'!K379)</x:f>
      </x:c>
      <x:c r="M379" s="2" t="n">
        <x:f>'Data &amp; Reporting'!Q379</x:f>
        <x:v>0</x:v>
      </x:c>
      <x:c r="N379" s="2" t="str">
        <x:f>'Data &amp; Reporting'!L379</x:f>
        <x:v>Open check</x:v>
      </x:c>
      <x:c r="O379" s="2" t="str">
        <x:f>'Data &amp; Reporting'!N379</x:f>
        <x:v>DR.AU.1.3.C03.2026.CY3</x:v>
      </x:c>
      <x:c r="P379" s="2" t="n">
        <x:f>'Data &amp; Reporting'!O379</x:f>
        <x:v>0</x:v>
      </x:c>
      <x:c r="Q379" s="2" t="n">
        <x:f>SUBTOTAL(103,O379)</x:f>
        <x:v>1</x:v>
      </x:c>
      <x:c r="R379" s="2" t="n">
        <x:f>IF(AND(M379=1,OR(Dashboard!$B$7="All",Dashboard!$B$7='Cycles &amp; Guide'!$C$5),OR(Dashboard!$D$7="All",Dashboard!$D$7=B379),OR(Dashboard!$F$7="All",Dashboard!$F$7=C379),OR(Dashboard!$H$7="All",Dashboard!$H$7=D379),OR(Dashboard!$K$7="All",Dashboard!$K$7=E379)),1,0)</x:f>
        <x:v>0</x:v>
      </x:c>
      <x:c r="S379" s="2" t="n">
        <x:f>IF(R379=1,SUM($R$10:R379),0)</x:f>
        <x:v>0</x:v>
      </x:c>
      <x:c r="T379" s="2" t="str">
        <x:v>Data &amp; Reporting</x:v>
      </x:c>
      <x:c r="U379" s="2" t="n">
        <x:v>379</x:v>
      </x:c>
      <x:c r="V379" s="2" t="n">
        <x:f>IF(AND(M379=1,P379=0,ISNUMBER(J379),J379&lt;TODAY()),1,0)</x:f>
        <x:v>0</x:v>
      </x:c>
      <x:c r="W379" s="2" t="str">
        <x:f>'Data &amp; Reporting'!M379</x:f>
        <x:v>Checklist</x:v>
      </x:c>
    </x:row>
    <x:row r="380" ht="40" customHeight="1">
      <x:c r="A380" s="3" t="str">
        <x:f>HYPERLINK("#'Data &amp; Reporting'!A380","Open")</x:f>
        <x:v>Open</x:v>
      </x:c>
      <x:c r="B380" s="2" t="str">
        <x:f>'Data &amp; Reporting'!B380</x:f>
        <x:v>Cycle 3</x:v>
      </x:c>
      <x:c r="C380" s="2" t="str">
        <x:f>'Data &amp; Reporting'!C380</x:f>
        <x:v>Phase 1</x:v>
      </x:c>
      <x:c r="D380" s="2" t="str">
        <x:f>'Data &amp; Reporting'!D380</x:f>
        <x:v>Auto</x:v>
      </x:c>
      <x:c r="E380" s="2" t="str">
        <x:v>Data &amp; Reporting</x:v>
      </x:c>
      <x:c r="F380" s="56" t="str">
        <x:f>'Data &amp; Reporting'!E380</x:f>
        <x:v>DR.AU.1.3.C04</x:v>
      </x:c>
      <x:c r="G380" s="14" t="str">
        <x:f>'Data &amp; Reporting'!F380</x:f>
        <x:v>    Validate no data is missing</x:v>
      </x:c>
      <x:c r="H380" s="2" t="str">
        <x:f>IF('Data &amp; Reporting'!G380="","",'Data &amp; Reporting'!G380)</x:f>
      </x:c>
      <x:c r="I380" s="12" t="str">
        <x:f>IF('Data &amp; Reporting'!H380="","",'Data &amp; Reporting'!H380)</x:f>
      </x:c>
      <x:c r="J380" s="12" t="str">
        <x:f>IF('Data &amp; Reporting'!I380="","",'Data &amp; Reporting'!I380)</x:f>
      </x:c>
      <x:c r="K380" s="12" t="str">
        <x:f>IF('Data &amp; Reporting'!J380="","",'Data &amp; Reporting'!J380)</x:f>
      </x:c>
      <x:c r="L380" s="2" t="str">
        <x:f>IF('Data &amp; Reporting'!K380="","",'Data &amp; Reporting'!K380)</x:f>
      </x:c>
      <x:c r="M380" s="2" t="n">
        <x:f>'Data &amp; Reporting'!Q380</x:f>
        <x:v>0</x:v>
      </x:c>
      <x:c r="N380" s="2" t="str">
        <x:f>'Data &amp; Reporting'!L380</x:f>
        <x:v>Open check</x:v>
      </x:c>
      <x:c r="O380" s="2" t="str">
        <x:f>'Data &amp; Reporting'!N380</x:f>
        <x:v>DR.AU.1.3.C04.2026.CY3</x:v>
      </x:c>
      <x:c r="P380" s="2" t="n">
        <x:f>'Data &amp; Reporting'!O380</x:f>
        <x:v>0</x:v>
      </x:c>
      <x:c r="Q380" s="2" t="n">
        <x:f>SUBTOTAL(103,O380)</x:f>
        <x:v>1</x:v>
      </x:c>
      <x:c r="R380" s="2" t="n">
        <x:f>IF(AND(M380=1,OR(Dashboard!$B$7="All",Dashboard!$B$7='Cycles &amp; Guide'!$C$5),OR(Dashboard!$D$7="All",Dashboard!$D$7=B380),OR(Dashboard!$F$7="All",Dashboard!$F$7=C380),OR(Dashboard!$H$7="All",Dashboard!$H$7=D380),OR(Dashboard!$K$7="All",Dashboard!$K$7=E380)),1,0)</x:f>
        <x:v>0</x:v>
      </x:c>
      <x:c r="S380" s="2" t="n">
        <x:f>IF(R380=1,SUM($R$10:R380),0)</x:f>
        <x:v>0</x:v>
      </x:c>
      <x:c r="T380" s="2" t="str">
        <x:v>Data &amp; Reporting</x:v>
      </x:c>
      <x:c r="U380" s="2" t="n">
        <x:v>380</x:v>
      </x:c>
      <x:c r="V380" s="2" t="n">
        <x:f>IF(AND(M380=1,P380=0,ISNUMBER(J380),J380&lt;TODAY()),1,0)</x:f>
        <x:v>0</x:v>
      </x:c>
      <x:c r="W380" s="2" t="str">
        <x:f>'Data &amp; Reporting'!M380</x:f>
        <x:v>Checklist</x:v>
      </x:c>
    </x:row>
    <x:row r="381" ht="40" customHeight="1">
      <x:c r="A381" s="3" t="str">
        <x:f>HYPERLINK("#'Data &amp; Reporting'!A381","Open")</x:f>
        <x:v>Open</x:v>
      </x:c>
      <x:c r="B381" s="2" t="str">
        <x:f>'Data &amp; Reporting'!B381</x:f>
        <x:v>Cycle 3</x:v>
      </x:c>
      <x:c r="C381" s="2" t="str">
        <x:f>'Data &amp; Reporting'!C381</x:f>
        <x:v>Phase 1</x:v>
      </x:c>
      <x:c r="D381" s="2" t="str">
        <x:f>'Data &amp; Reporting'!D381</x:f>
        <x:v>Auto</x:v>
      </x:c>
      <x:c r="E381" s="2" t="str">
        <x:v>Data &amp; Reporting</x:v>
      </x:c>
      <x:c r="F381" s="56" t="str">
        <x:f>'Data &amp; Reporting'!E381</x:f>
        <x:v>DR.AU.1.3.C05</x:v>
      </x:c>
      <x:c r="G381" s="14" t="str">
        <x:f>'Data &amp; Reporting'!F381</x:f>
        <x:v>    Validate accuracy of data</x:v>
      </x:c>
      <x:c r="H381" s="2" t="str">
        <x:f>IF('Data &amp; Reporting'!G381="","",'Data &amp; Reporting'!G381)</x:f>
      </x:c>
      <x:c r="I381" s="12" t="str">
        <x:f>IF('Data &amp; Reporting'!H381="","",'Data &amp; Reporting'!H381)</x:f>
      </x:c>
      <x:c r="J381" s="12" t="str">
        <x:f>IF('Data &amp; Reporting'!I381="","",'Data &amp; Reporting'!I381)</x:f>
      </x:c>
      <x:c r="K381" s="12" t="str">
        <x:f>IF('Data &amp; Reporting'!J381="","",'Data &amp; Reporting'!J381)</x:f>
      </x:c>
      <x:c r="L381" s="2" t="str">
        <x:f>IF('Data &amp; Reporting'!K381="","",'Data &amp; Reporting'!K381)</x:f>
      </x:c>
      <x:c r="M381" s="2" t="n">
        <x:f>'Data &amp; Reporting'!Q381</x:f>
        <x:v>0</x:v>
      </x:c>
      <x:c r="N381" s="2" t="str">
        <x:f>'Data &amp; Reporting'!L381</x:f>
        <x:v>Open check</x:v>
      </x:c>
      <x:c r="O381" s="2" t="str">
        <x:f>'Data &amp; Reporting'!N381</x:f>
        <x:v>DR.AU.1.3.C05.2026.CY3</x:v>
      </x:c>
      <x:c r="P381" s="2" t="n">
        <x:f>'Data &amp; Reporting'!O381</x:f>
        <x:v>0</x:v>
      </x:c>
      <x:c r="Q381" s="2" t="n">
        <x:f>SUBTOTAL(103,O381)</x:f>
        <x:v>1</x:v>
      </x:c>
      <x:c r="R381" s="2" t="n">
        <x:f>IF(AND(M381=1,OR(Dashboard!$B$7="All",Dashboard!$B$7='Cycles &amp; Guide'!$C$5),OR(Dashboard!$D$7="All",Dashboard!$D$7=B381),OR(Dashboard!$F$7="All",Dashboard!$F$7=C381),OR(Dashboard!$H$7="All",Dashboard!$H$7=D381),OR(Dashboard!$K$7="All",Dashboard!$K$7=E381)),1,0)</x:f>
        <x:v>0</x:v>
      </x:c>
      <x:c r="S381" s="2" t="n">
        <x:f>IF(R381=1,SUM($R$10:R381),0)</x:f>
        <x:v>0</x:v>
      </x:c>
      <x:c r="T381" s="2" t="str">
        <x:v>Data &amp; Reporting</x:v>
      </x:c>
      <x:c r="U381" s="2" t="n">
        <x:v>381</x:v>
      </x:c>
      <x:c r="V381" s="2" t="n">
        <x:f>IF(AND(M381=1,P381=0,ISNUMBER(J381),J381&lt;TODAY()),1,0)</x:f>
        <x:v>0</x:v>
      </x:c>
      <x:c r="W381" s="2" t="str">
        <x:f>'Data &amp; Reporting'!M381</x:f>
        <x:v>Checklist</x:v>
      </x:c>
    </x:row>
    <x:row r="382" ht="40" customHeight="1">
      <x:c r="A382" s="3" t="str">
        <x:f>HYPERLINK("#'Data &amp; Reporting'!A382","Open")</x:f>
        <x:v>Open</x:v>
      </x:c>
      <x:c r="B382" s="2" t="str">
        <x:f>'Data &amp; Reporting'!B382</x:f>
        <x:v>Cycle 3</x:v>
      </x:c>
      <x:c r="C382" s="2" t="str">
        <x:f>'Data &amp; Reporting'!C382</x:f>
        <x:v>Phase 1</x:v>
      </x:c>
      <x:c r="D382" s="2" t="str">
        <x:f>'Data &amp; Reporting'!D382</x:f>
        <x:v>Auto</x:v>
      </x:c>
      <x:c r="E382" s="2" t="str">
        <x:v>Data &amp; Reporting</x:v>
      </x:c>
      <x:c r="F382" s="56" t="str">
        <x:f>'Data &amp; Reporting'!E382</x:f>
        <x:v>DR.AU.1.3.C06</x:v>
      </x:c>
      <x:c r="G382" s="14" t="str">
        <x:f>'Data &amp; Reporting'!F382</x:f>
        <x:v>    Validate no duplicate data is provided</x:v>
      </x:c>
      <x:c r="H382" s="2" t="str">
        <x:f>IF('Data &amp; Reporting'!G382="","",'Data &amp; Reporting'!G382)</x:f>
      </x:c>
      <x:c r="I382" s="12" t="str">
        <x:f>IF('Data &amp; Reporting'!H382="","",'Data &amp; Reporting'!H382)</x:f>
      </x:c>
      <x:c r="J382" s="12" t="str">
        <x:f>IF('Data &amp; Reporting'!I382="","",'Data &amp; Reporting'!I382)</x:f>
      </x:c>
      <x:c r="K382" s="12" t="str">
        <x:f>IF('Data &amp; Reporting'!J382="","",'Data &amp; Reporting'!J382)</x:f>
      </x:c>
      <x:c r="L382" s="2" t="str">
        <x:f>IF('Data &amp; Reporting'!K382="","",'Data &amp; Reporting'!K382)</x:f>
      </x:c>
      <x:c r="M382" s="2" t="n">
        <x:f>'Data &amp; Reporting'!Q382</x:f>
        <x:v>0</x:v>
      </x:c>
      <x:c r="N382" s="2" t="str">
        <x:f>'Data &amp; Reporting'!L382</x:f>
        <x:v>Open check</x:v>
      </x:c>
      <x:c r="O382" s="2" t="str">
        <x:f>'Data &amp; Reporting'!N382</x:f>
        <x:v>DR.AU.1.3.C06.2026.CY3</x:v>
      </x:c>
      <x:c r="P382" s="2" t="n">
        <x:f>'Data &amp; Reporting'!O382</x:f>
        <x:v>0</x:v>
      </x:c>
      <x:c r="Q382" s="2" t="n">
        <x:f>SUBTOTAL(103,O382)</x:f>
        <x:v>1</x:v>
      </x:c>
      <x:c r="R382" s="2" t="n">
        <x:f>IF(AND(M382=1,OR(Dashboard!$B$7="All",Dashboard!$B$7='Cycles &amp; Guide'!$C$5),OR(Dashboard!$D$7="All",Dashboard!$D$7=B382),OR(Dashboard!$F$7="All",Dashboard!$F$7=C382),OR(Dashboard!$H$7="All",Dashboard!$H$7=D382),OR(Dashboard!$K$7="All",Dashboard!$K$7=E382)),1,0)</x:f>
        <x:v>0</x:v>
      </x:c>
      <x:c r="S382" s="2" t="n">
        <x:f>IF(R382=1,SUM($R$10:R382),0)</x:f>
        <x:v>0</x:v>
      </x:c>
      <x:c r="T382" s="2" t="str">
        <x:v>Data &amp; Reporting</x:v>
      </x:c>
      <x:c r="U382" s="2" t="n">
        <x:v>382</x:v>
      </x:c>
      <x:c r="V382" s="2" t="n">
        <x:f>IF(AND(M382=1,P382=0,ISNUMBER(J382),J382&lt;TODAY()),1,0)</x:f>
        <x:v>0</x:v>
      </x:c>
      <x:c r="W382" s="2" t="str">
        <x:f>'Data &amp; Reporting'!M382</x:f>
        <x:v>Checklist</x:v>
      </x:c>
    </x:row>
    <x:row r="383" ht="40" customHeight="1">
      <x:c r="A383" s="3" t="str">
        <x:f>HYPERLINK("#'Data &amp; Reporting'!A383","Open")</x:f>
        <x:v>Open</x:v>
      </x:c>
      <x:c r="B383" s="2" t="str">
        <x:f>'Data &amp; Reporting'!B383</x:f>
        <x:v>Cycle 3</x:v>
      </x:c>
      <x:c r="C383" s="2" t="str">
        <x:f>'Data &amp; Reporting'!C383</x:f>
        <x:v>Phase 1</x:v>
      </x:c>
      <x:c r="D383" s="2" t="str">
        <x:f>'Data &amp; Reporting'!D383</x:f>
        <x:v>Auto</x:v>
      </x:c>
      <x:c r="E383" s="2" t="str">
        <x:v>Data &amp; Reporting</x:v>
      </x:c>
      <x:c r="F383" s="56" t="str">
        <x:f>'Data &amp; Reporting'!E383</x:f>
        <x:v>DR.AU.1.3.C07</x:v>
      </x:c>
      <x:c r="G383" s="14" t="str">
        <x:f>'Data &amp; Reporting'!F383</x:f>
        <x:v>    Document any data exclusions along with justification (as needed)</x:v>
      </x:c>
      <x:c r="H383" s="2" t="str">
        <x:f>IF('Data &amp; Reporting'!G383="","",'Data &amp; Reporting'!G383)</x:f>
      </x:c>
      <x:c r="I383" s="12" t="str">
        <x:f>IF('Data &amp; Reporting'!H383="","",'Data &amp; Reporting'!H383)</x:f>
      </x:c>
      <x:c r="J383" s="12" t="str">
        <x:f>IF('Data &amp; Reporting'!I383="","",'Data &amp; Reporting'!I383)</x:f>
      </x:c>
      <x:c r="K383" s="12" t="str">
        <x:f>IF('Data &amp; Reporting'!J383="","",'Data &amp; Reporting'!J383)</x:f>
      </x:c>
      <x:c r="L383" s="2" t="str">
        <x:f>IF('Data &amp; Reporting'!K383="","",'Data &amp; Reporting'!K383)</x:f>
      </x:c>
      <x:c r="M383" s="2" t="n">
        <x:f>'Data &amp; Reporting'!Q383</x:f>
        <x:v>0</x:v>
      </x:c>
      <x:c r="N383" s="2" t="str">
        <x:f>'Data &amp; Reporting'!L383</x:f>
        <x:v>Open check</x:v>
      </x:c>
      <x:c r="O383" s="2" t="str">
        <x:f>'Data &amp; Reporting'!N383</x:f>
        <x:v>DR.AU.1.3.C07.2026.CY3</x:v>
      </x:c>
      <x:c r="P383" s="2" t="n">
        <x:f>'Data &amp; Reporting'!O383</x:f>
        <x:v>0</x:v>
      </x:c>
      <x:c r="Q383" s="2" t="n">
        <x:f>SUBTOTAL(103,O383)</x:f>
        <x:v>1</x:v>
      </x:c>
      <x:c r="R383" s="2" t="n">
        <x:f>IF(AND(M383=1,OR(Dashboard!$B$7="All",Dashboard!$B$7='Cycles &amp; Guide'!$C$5),OR(Dashboard!$D$7="All",Dashboard!$D$7=B383),OR(Dashboard!$F$7="All",Dashboard!$F$7=C383),OR(Dashboard!$H$7="All",Dashboard!$H$7=D383),OR(Dashboard!$K$7="All",Dashboard!$K$7=E383)),1,0)</x:f>
        <x:v>0</x:v>
      </x:c>
      <x:c r="S383" s="2" t="n">
        <x:f>IF(R383=1,SUM($R$10:R383),0)</x:f>
        <x:v>0</x:v>
      </x:c>
      <x:c r="T383" s="2" t="str">
        <x:v>Data &amp; Reporting</x:v>
      </x:c>
      <x:c r="U383" s="2" t="n">
        <x:v>383</x:v>
      </x:c>
      <x:c r="V383" s="2" t="n">
        <x:f>IF(AND(M383=1,P383=0,ISNUMBER(J383),J383&lt;TODAY()),1,0)</x:f>
        <x:v>0</x:v>
      </x:c>
      <x:c r="W383" s="2" t="str">
        <x:f>'Data &amp; Reporting'!M383</x:f>
        <x:v>Checklist</x:v>
      </x:c>
    </x:row>
    <x:row r="384" ht="40" customHeight="1">
      <x:c r="A384" s="3" t="str">
        <x:f>HYPERLINK("#'Data &amp; Reporting'!A384","Open")</x:f>
        <x:v>Open</x:v>
      </x:c>
      <x:c r="B384" s="2" t="str">
        <x:f>'Data &amp; Reporting'!B384</x:f>
        <x:v>Cycle 3</x:v>
      </x:c>
      <x:c r="C384" s="2" t="str">
        <x:f>'Data &amp; Reporting'!C384</x:f>
        <x:v>Phase 1</x:v>
      </x:c>
      <x:c r="D384" s="2" t="str">
        <x:f>'Data &amp; Reporting'!D384</x:f>
        <x:v>Auto</x:v>
      </x:c>
      <x:c r="E384" s="2" t="str">
        <x:v>Data &amp; Reporting</x:v>
      </x:c>
      <x:c r="F384" s="56" t="str">
        <x:f>'Data &amp; Reporting'!E384</x:f>
        <x:v>DR.AU.1.3.C08</x:v>
      </x:c>
      <x:c r="G384" s="14" t="str">
        <x:f>'Data &amp; Reporting'!F384</x:f>
        <x:v>    Document any assumptions made with the data (as needed)</x:v>
      </x:c>
      <x:c r="H384" s="2" t="str">
        <x:f>IF('Data &amp; Reporting'!G384="","",'Data &amp; Reporting'!G384)</x:f>
      </x:c>
      <x:c r="I384" s="12" t="str">
        <x:f>IF('Data &amp; Reporting'!H384="","",'Data &amp; Reporting'!H384)</x:f>
      </x:c>
      <x:c r="J384" s="12" t="str">
        <x:f>IF('Data &amp; Reporting'!I384="","",'Data &amp; Reporting'!I384)</x:f>
      </x:c>
      <x:c r="K384" s="12" t="str">
        <x:f>IF('Data &amp; Reporting'!J384="","",'Data &amp; Reporting'!J384)</x:f>
      </x:c>
      <x:c r="L384" s="2" t="str">
        <x:f>IF('Data &amp; Reporting'!K384="","",'Data &amp; Reporting'!K384)</x:f>
      </x:c>
      <x:c r="M384" s="2" t="n">
        <x:f>'Data &amp; Reporting'!Q384</x:f>
        <x:v>0</x:v>
      </x:c>
      <x:c r="N384" s="2" t="str">
        <x:f>'Data &amp; Reporting'!L384</x:f>
        <x:v>Open check</x:v>
      </x:c>
      <x:c r="O384" s="2" t="str">
        <x:f>'Data &amp; Reporting'!N384</x:f>
        <x:v>DR.AU.1.3.C08.2026.CY3</x:v>
      </x:c>
      <x:c r="P384" s="2" t="n">
        <x:f>'Data &amp; Reporting'!O384</x:f>
        <x:v>0</x:v>
      </x:c>
      <x:c r="Q384" s="2" t="n">
        <x:f>SUBTOTAL(103,O384)</x:f>
        <x:v>1</x:v>
      </x:c>
      <x:c r="R384" s="2" t="n">
        <x:f>IF(AND(M384=1,OR(Dashboard!$B$7="All",Dashboard!$B$7='Cycles &amp; Guide'!$C$5),OR(Dashboard!$D$7="All",Dashboard!$D$7=B384),OR(Dashboard!$F$7="All",Dashboard!$F$7=C384),OR(Dashboard!$H$7="All",Dashboard!$H$7=D384),OR(Dashboard!$K$7="All",Dashboard!$K$7=E384)),1,0)</x:f>
        <x:v>0</x:v>
      </x:c>
      <x:c r="S384" s="2" t="n">
        <x:f>IF(R384=1,SUM($R$10:R384),0)</x:f>
        <x:v>0</x:v>
      </x:c>
      <x:c r="T384" s="2" t="str">
        <x:v>Data &amp; Reporting</x:v>
      </x:c>
      <x:c r="U384" s="2" t="n">
        <x:v>384</x:v>
      </x:c>
      <x:c r="V384" s="2" t="n">
        <x:f>IF(AND(M384=1,P384=0,ISNUMBER(J384),J384&lt;TODAY()),1,0)</x:f>
        <x:v>0</x:v>
      </x:c>
      <x:c r="W384" s="2" t="str">
        <x:f>'Data &amp; Reporting'!M384</x:f>
        <x:v>Checklist</x:v>
      </x:c>
    </x:row>
    <x:row r="385" ht="40" customHeight="1">
      <x:c r="A385" s="3" t="str">
        <x:f>HYPERLINK("#'Data &amp; Reporting'!A385","Open")</x:f>
        <x:v>Open</x:v>
      </x:c>
      <x:c r="B385" s="2" t="str">
        <x:f>'Data &amp; Reporting'!B385</x:f>
        <x:v>Cycle 3</x:v>
      </x:c>
      <x:c r="C385" s="2" t="str">
        <x:f>'Data &amp; Reporting'!C385</x:f>
        <x:v>Phase 1</x:v>
      </x:c>
      <x:c r="D385" s="2" t="str">
        <x:f>'Data &amp; Reporting'!D385</x:f>
        <x:v>Auto</x:v>
      </x:c>
      <x:c r="E385" s="2" t="str">
        <x:v>Data &amp; Reporting</x:v>
      </x:c>
      <x:c r="F385" s="56" t="str">
        <x:f>'Data &amp; Reporting'!E385</x:f>
        <x:v>DR.AU.1.3.C09</x:v>
      </x:c>
      <x:c r="G385" s="14" t="str">
        <x:f>'Data &amp; Reporting'!F385</x:f>
        <x:v>    Document any data limitations or constraints clearly (as needed)</x:v>
      </x:c>
      <x:c r="H385" s="2" t="str">
        <x:f>IF('Data &amp; Reporting'!G385="","",'Data &amp; Reporting'!G385)</x:f>
      </x:c>
      <x:c r="I385" s="12" t="str">
        <x:f>IF('Data &amp; Reporting'!H385="","",'Data &amp; Reporting'!H385)</x:f>
      </x:c>
      <x:c r="J385" s="12" t="str">
        <x:f>IF('Data &amp; Reporting'!I385="","",'Data &amp; Reporting'!I385)</x:f>
      </x:c>
      <x:c r="K385" s="12" t="str">
        <x:f>IF('Data &amp; Reporting'!J385="","",'Data &amp; Reporting'!J385)</x:f>
      </x:c>
      <x:c r="L385" s="2" t="str">
        <x:f>IF('Data &amp; Reporting'!K385="","",'Data &amp; Reporting'!K385)</x:f>
      </x:c>
      <x:c r="M385" s="2" t="n">
        <x:f>'Data &amp; Reporting'!Q385</x:f>
        <x:v>0</x:v>
      </x:c>
      <x:c r="N385" s="2" t="str">
        <x:f>'Data &amp; Reporting'!L385</x:f>
        <x:v>Open check</x:v>
      </x:c>
      <x:c r="O385" s="2" t="str">
        <x:f>'Data &amp; Reporting'!N385</x:f>
        <x:v>DR.AU.1.3.C09.2026.CY3</x:v>
      </x:c>
      <x:c r="P385" s="2" t="n">
        <x:f>'Data &amp; Reporting'!O385</x:f>
        <x:v>0</x:v>
      </x:c>
      <x:c r="Q385" s="2" t="n">
        <x:f>SUBTOTAL(103,O385)</x:f>
        <x:v>1</x:v>
      </x:c>
      <x:c r="R385" s="2" t="n">
        <x:f>IF(AND(M385=1,OR(Dashboard!$B$7="All",Dashboard!$B$7='Cycles &amp; Guide'!$C$5),OR(Dashboard!$D$7="All",Dashboard!$D$7=B385),OR(Dashboard!$F$7="All",Dashboard!$F$7=C385),OR(Dashboard!$H$7="All",Dashboard!$H$7=D385),OR(Dashboard!$K$7="All",Dashboard!$K$7=E385)),1,0)</x:f>
        <x:v>0</x:v>
      </x:c>
      <x:c r="S385" s="2" t="n">
        <x:f>IF(R385=1,SUM($R$10:R385),0)</x:f>
        <x:v>0</x:v>
      </x:c>
      <x:c r="T385" s="2" t="str">
        <x:v>Data &amp; Reporting</x:v>
      </x:c>
      <x:c r="U385" s="2" t="n">
        <x:v>385</x:v>
      </x:c>
      <x:c r="V385" s="2" t="n">
        <x:f>IF(AND(M385=1,P385=0,ISNUMBER(J385),J385&lt;TODAY()),1,0)</x:f>
        <x:v>0</x:v>
      </x:c>
      <x:c r="W385" s="2" t="str">
        <x:f>'Data &amp; Reporting'!M385</x:f>
        <x:v>Checklist</x:v>
      </x:c>
    </x:row>
    <x:row r="386" ht="40" customHeight="1">
      <x:c r="A386" s="3" t="str">
        <x:f>HYPERLINK("#'Data &amp; Reporting'!A386","Open")</x:f>
        <x:v>Open</x:v>
      </x:c>
      <x:c r="B386" s="2" t="str">
        <x:f>'Data &amp; Reporting'!B386</x:f>
        <x:v>Cycle 3</x:v>
      </x:c>
      <x:c r="C386" s="2" t="str">
        <x:f>'Data &amp; Reporting'!C386</x:f>
        <x:v>Phase 1</x:v>
      </x:c>
      <x:c r="D386" s="2" t="str">
        <x:f>'Data &amp; Reporting'!D386</x:f>
        <x:v>Auto</x:v>
      </x:c>
      <x:c r="E386" s="2" t="str">
        <x:v>Data &amp; Reporting</x:v>
      </x:c>
      <x:c r="F386" s="56" t="str">
        <x:f>'Data &amp; Reporting'!E386</x:f>
        <x:v>DR.AU.1.3.C10</x:v>
      </x:c>
      <x:c r="G386" s="14" t="str">
        <x:f>'Data &amp; Reporting'!F386</x:f>
        <x:v>    Document data dictionary or field definitions for columns/rows</x:v>
      </x:c>
      <x:c r="H386" s="2" t="str">
        <x:f>IF('Data &amp; Reporting'!G386="","",'Data &amp; Reporting'!G386)</x:f>
      </x:c>
      <x:c r="I386" s="12" t="str">
        <x:f>IF('Data &amp; Reporting'!H386="","",'Data &amp; Reporting'!H386)</x:f>
      </x:c>
      <x:c r="J386" s="12" t="str">
        <x:f>IF('Data &amp; Reporting'!I386="","",'Data &amp; Reporting'!I386)</x:f>
      </x:c>
      <x:c r="K386" s="12" t="str">
        <x:f>IF('Data &amp; Reporting'!J386="","",'Data &amp; Reporting'!J386)</x:f>
      </x:c>
      <x:c r="L386" s="2" t="str">
        <x:f>IF('Data &amp; Reporting'!K386="","",'Data &amp; Reporting'!K386)</x:f>
      </x:c>
      <x:c r="M386" s="2" t="n">
        <x:f>'Data &amp; Reporting'!Q386</x:f>
        <x:v>0</x:v>
      </x:c>
      <x:c r="N386" s="2" t="str">
        <x:f>'Data &amp; Reporting'!L386</x:f>
        <x:v>Open check</x:v>
      </x:c>
      <x:c r="O386" s="2" t="str">
        <x:f>'Data &amp; Reporting'!N386</x:f>
        <x:v>DR.AU.1.3.C10.2026.CY3</x:v>
      </x:c>
      <x:c r="P386" s="2" t="n">
        <x:f>'Data &amp; Reporting'!O386</x:f>
        <x:v>0</x:v>
      </x:c>
      <x:c r="Q386" s="2" t="n">
        <x:f>SUBTOTAL(103,O386)</x:f>
        <x:v>1</x:v>
      </x:c>
      <x:c r="R386" s="2" t="n">
        <x:f>IF(AND(M386=1,OR(Dashboard!$B$7="All",Dashboard!$B$7='Cycles &amp; Guide'!$C$5),OR(Dashboard!$D$7="All",Dashboard!$D$7=B386),OR(Dashboard!$F$7="All",Dashboard!$F$7=C386),OR(Dashboard!$H$7="All",Dashboard!$H$7=D386),OR(Dashboard!$K$7="All",Dashboard!$K$7=E386)),1,0)</x:f>
        <x:v>0</x:v>
      </x:c>
      <x:c r="S386" s="2" t="n">
        <x:f>IF(R386=1,SUM($R$10:R386),0)</x:f>
        <x:v>0</x:v>
      </x:c>
      <x:c r="T386" s="2" t="str">
        <x:v>Data &amp; Reporting</x:v>
      </x:c>
      <x:c r="U386" s="2" t="n">
        <x:v>386</x:v>
      </x:c>
      <x:c r="V386" s="2" t="n">
        <x:f>IF(AND(M386=1,P386=0,ISNUMBER(J386),J386&lt;TODAY()),1,0)</x:f>
        <x:v>0</x:v>
      </x:c>
      <x:c r="W386" s="2" t="str">
        <x:f>'Data &amp; Reporting'!M386</x:f>
        <x:v>Checklist</x:v>
      </x:c>
    </x:row>
    <x:row r="387" ht="40" customHeight="1">
      <x:c r="A387" s="3" t="str">
        <x:f>HYPERLINK("#'Data &amp; Reporting'!A387","Open")</x:f>
        <x:v>Open</x:v>
      </x:c>
      <x:c r="B387" s="2" t="str">
        <x:f>'Data &amp; Reporting'!B387</x:f>
        <x:v>Cycle 3</x:v>
      </x:c>
      <x:c r="C387" s="2" t="str">
        <x:f>'Data &amp; Reporting'!C387</x:f>
        <x:v>Phase 1</x:v>
      </x:c>
      <x:c r="D387" s="2" t="str">
        <x:f>'Data &amp; Reporting'!D387</x:f>
        <x:v>Auto</x:v>
      </x:c>
      <x:c r="E387" s="2" t="str">
        <x:v>Data &amp; Reporting</x:v>
      </x:c>
      <x:c r="F387" s="56" t="str">
        <x:f>'Data &amp; Reporting'!E387</x:f>
        <x:v>DR.AU.1.3.C11</x:v>
      </x:c>
      <x:c r="G387" s="14" t="str">
        <x:f>'Data &amp; Reporting'!F387</x:f>
        <x:v>    Document emerging trends, patterns, or concentrations along with supporting data</x:v>
      </x:c>
      <x:c r="H387" s="2" t="str">
        <x:f>IF('Data &amp; Reporting'!G387="","",'Data &amp; Reporting'!G387)</x:f>
      </x:c>
      <x:c r="I387" s="12" t="str">
        <x:f>IF('Data &amp; Reporting'!H387="","",'Data &amp; Reporting'!H387)</x:f>
      </x:c>
      <x:c r="J387" s="12" t="str">
        <x:f>IF('Data &amp; Reporting'!I387="","",'Data &amp; Reporting'!I387)</x:f>
      </x:c>
      <x:c r="K387" s="12" t="str">
        <x:f>IF('Data &amp; Reporting'!J387="","",'Data &amp; Reporting'!J387)</x:f>
      </x:c>
      <x:c r="L387" s="2" t="str">
        <x:f>IF('Data &amp; Reporting'!K387="","",'Data &amp; Reporting'!K387)</x:f>
      </x:c>
      <x:c r="M387" s="2" t="n">
        <x:f>'Data &amp; Reporting'!Q387</x:f>
        <x:v>0</x:v>
      </x:c>
      <x:c r="N387" s="2" t="str">
        <x:f>'Data &amp; Reporting'!L387</x:f>
        <x:v>Open check</x:v>
      </x:c>
      <x:c r="O387" s="2" t="str">
        <x:f>'Data &amp; Reporting'!N387</x:f>
        <x:v>DR.AU.1.3.C11.2026.CY3</x:v>
      </x:c>
      <x:c r="P387" s="2" t="n">
        <x:f>'Data &amp; Reporting'!O387</x:f>
        <x:v>0</x:v>
      </x:c>
      <x:c r="Q387" s="2" t="n">
        <x:f>SUBTOTAL(103,O387)</x:f>
        <x:v>1</x:v>
      </x:c>
      <x:c r="R387" s="2" t="n">
        <x:f>IF(AND(M387=1,OR(Dashboard!$B$7="All",Dashboard!$B$7='Cycles &amp; Guide'!$C$5),OR(Dashboard!$D$7="All",Dashboard!$D$7=B387),OR(Dashboard!$F$7="All",Dashboard!$F$7=C387),OR(Dashboard!$H$7="All",Dashboard!$H$7=D387),OR(Dashboard!$K$7="All",Dashboard!$K$7=E387)),1,0)</x:f>
        <x:v>0</x:v>
      </x:c>
      <x:c r="S387" s="2" t="n">
        <x:f>IF(R387=1,SUM($R$10:R387),0)</x:f>
        <x:v>0</x:v>
      </x:c>
      <x:c r="T387" s="2" t="str">
        <x:v>Data &amp; Reporting</x:v>
      </x:c>
      <x:c r="U387" s="2" t="n">
        <x:v>387</x:v>
      </x:c>
      <x:c r="V387" s="2" t="n">
        <x:f>IF(AND(M387=1,P387=0,ISNUMBER(J387),J387&lt;TODAY()),1,0)</x:f>
        <x:v>0</x:v>
      </x:c>
      <x:c r="W387" s="2" t="str">
        <x:f>'Data &amp; Reporting'!M387</x:f>
        <x:v>Checklist</x:v>
      </x:c>
    </x:row>
    <x:row r="388" ht="40" customHeight="1">
      <x:c r="A388" s="3" t="str">
        <x:f>HYPERLINK("#'Data &amp; Reporting'!A388","Open")</x:f>
        <x:v>Open</x:v>
      </x:c>
      <x:c r="B388" s="2" t="str">
        <x:f>'Data &amp; Reporting'!B388</x:f>
        <x:v>Cycle 3</x:v>
      </x:c>
      <x:c r="C388" s="2" t="str">
        <x:f>'Data &amp; Reporting'!C388</x:f>
        <x:v>Phase 1</x:v>
      </x:c>
      <x:c r="D388" s="2" t="str">
        <x:f>'Data &amp; Reporting'!D388</x:f>
        <x:v>Auto</x:v>
      </x:c>
      <x:c r="E388" s="2" t="str">
        <x:v>Data &amp; Reporting</x:v>
      </x:c>
      <x:c r="F388" s="56" t="str">
        <x:f>'Data &amp; Reporting'!E388</x:f>
        <x:v>DR.AU.1.3.C12</x:v>
      </x:c>
      <x:c r="G388" s="14" t="str">
        <x:f>'Data &amp; Reporting'!F388</x:f>
        <x:v>    Document any severe spikes in volume along with context (as needed)</x:v>
      </x:c>
      <x:c r="H388" s="2" t="str">
        <x:f>IF('Data &amp; Reporting'!G388="","",'Data &amp; Reporting'!G388)</x:f>
      </x:c>
      <x:c r="I388" s="12" t="str">
        <x:f>IF('Data &amp; Reporting'!H388="","",'Data &amp; Reporting'!H388)</x:f>
      </x:c>
      <x:c r="J388" s="12" t="str">
        <x:f>IF('Data &amp; Reporting'!I388="","",'Data &amp; Reporting'!I388)</x:f>
      </x:c>
      <x:c r="K388" s="12" t="str">
        <x:f>IF('Data &amp; Reporting'!J388="","",'Data &amp; Reporting'!J388)</x:f>
      </x:c>
      <x:c r="L388" s="2" t="str">
        <x:f>IF('Data &amp; Reporting'!K388="","",'Data &amp; Reporting'!K388)</x:f>
      </x:c>
      <x:c r="M388" s="2" t="n">
        <x:f>'Data &amp; Reporting'!Q388</x:f>
        <x:v>0</x:v>
      </x:c>
      <x:c r="N388" s="2" t="str">
        <x:f>'Data &amp; Reporting'!L388</x:f>
        <x:v>Open check</x:v>
      </x:c>
      <x:c r="O388" s="2" t="str">
        <x:f>'Data &amp; Reporting'!N388</x:f>
        <x:v>DR.AU.1.3.C12.2026.CY3</x:v>
      </x:c>
      <x:c r="P388" s="2" t="n">
        <x:f>'Data &amp; Reporting'!O388</x:f>
        <x:v>0</x:v>
      </x:c>
      <x:c r="Q388" s="2" t="n">
        <x:f>SUBTOTAL(103,O388)</x:f>
        <x:v>1</x:v>
      </x:c>
      <x:c r="R388" s="2" t="n">
        <x:f>IF(AND(M388=1,OR(Dashboard!$B$7="All",Dashboard!$B$7='Cycles &amp; Guide'!$C$5),OR(Dashboard!$D$7="All",Dashboard!$D$7=B388),OR(Dashboard!$F$7="All",Dashboard!$F$7=C388),OR(Dashboard!$H$7="All",Dashboard!$H$7=D388),OR(Dashboard!$K$7="All",Dashboard!$K$7=E388)),1,0)</x:f>
        <x:v>0</x:v>
      </x:c>
      <x:c r="S388" s="2" t="n">
        <x:f>IF(R388=1,SUM($R$10:R388),0)</x:f>
        <x:v>0</x:v>
      </x:c>
      <x:c r="T388" s="2" t="str">
        <x:v>Data &amp; Reporting</x:v>
      </x:c>
      <x:c r="U388" s="2" t="n">
        <x:v>388</x:v>
      </x:c>
      <x:c r="V388" s="2" t="n">
        <x:f>IF(AND(M388=1,P388=0,ISNUMBER(J388),J388&lt;TODAY()),1,0)</x:f>
        <x:v>0</x:v>
      </x:c>
      <x:c r="W388" s="2" t="str">
        <x:f>'Data &amp; Reporting'!M388</x:f>
        <x:v>Checklist</x:v>
      </x:c>
    </x:row>
    <x:row r="389" ht="40" customHeight="1">
      <x:c r="A389" s="3" t="str">
        <x:f>HYPERLINK("#'Data &amp; Reporting'!A389","Open")</x:f>
        <x:v>Open</x:v>
      </x:c>
      <x:c r="B389" s="2" t="str">
        <x:f>'Data &amp; Reporting'!B389</x:f>
        <x:v>Cycle 3</x:v>
      </x:c>
      <x:c r="C389" s="2" t="str">
        <x:f>'Data &amp; Reporting'!C389</x:f>
        <x:v>Phase 1</x:v>
      </x:c>
      <x:c r="D389" s="2" t="str">
        <x:f>'Data &amp; Reporting'!D389</x:f>
        <x:v>Auto</x:v>
      </x:c>
      <x:c r="E389" s="2" t="str">
        <x:v>Data &amp; Reporting</x:v>
      </x:c>
      <x:c r="F389" s="56" t="str">
        <x:f>'Data &amp; Reporting'!E389</x:f>
        <x:v>DR.AU.1.3.C13</x:v>
      </x:c>
      <x:c r="G389" s="14" t="str">
        <x:f>'Data &amp; Reporting'!F389</x:f>
        <x:v>    Document clear summary explaining how the data connects to the potential topic</x:v>
      </x:c>
      <x:c r="H389" s="2" t="str">
        <x:f>IF('Data &amp; Reporting'!G389="","",'Data &amp; Reporting'!G389)</x:f>
      </x:c>
      <x:c r="I389" s="12" t="str">
        <x:f>IF('Data &amp; Reporting'!H389="","",'Data &amp; Reporting'!H389)</x:f>
      </x:c>
      <x:c r="J389" s="12" t="str">
        <x:f>IF('Data &amp; Reporting'!I389="","",'Data &amp; Reporting'!I389)</x:f>
      </x:c>
      <x:c r="K389" s="12" t="str">
        <x:f>IF('Data &amp; Reporting'!J389="","",'Data &amp; Reporting'!J389)</x:f>
      </x:c>
      <x:c r="L389" s="2" t="str">
        <x:f>IF('Data &amp; Reporting'!K389="","",'Data &amp; Reporting'!K389)</x:f>
      </x:c>
      <x:c r="M389" s="2" t="n">
        <x:f>'Data &amp; Reporting'!Q389</x:f>
        <x:v>0</x:v>
      </x:c>
      <x:c r="N389" s="2" t="str">
        <x:f>'Data &amp; Reporting'!L389</x:f>
        <x:v>Open check</x:v>
      </x:c>
      <x:c r="O389" s="2" t="str">
        <x:f>'Data &amp; Reporting'!N389</x:f>
        <x:v>DR.AU.1.3.C13.2026.CY3</x:v>
      </x:c>
      <x:c r="P389" s="2" t="n">
        <x:f>'Data &amp; Reporting'!O389</x:f>
        <x:v>0</x:v>
      </x:c>
      <x:c r="Q389" s="2" t="n">
        <x:f>SUBTOTAL(103,O389)</x:f>
        <x:v>1</x:v>
      </x:c>
      <x:c r="R389" s="2" t="n">
        <x:f>IF(AND(M389=1,OR(Dashboard!$B$7="All",Dashboard!$B$7='Cycles &amp; Guide'!$C$5),OR(Dashboard!$D$7="All",Dashboard!$D$7=B389),OR(Dashboard!$F$7="All",Dashboard!$F$7=C389),OR(Dashboard!$H$7="All",Dashboard!$H$7=D389),OR(Dashboard!$K$7="All",Dashboard!$K$7=E389)),1,0)</x:f>
        <x:v>0</x:v>
      </x:c>
      <x:c r="S389" s="2" t="n">
        <x:f>IF(R389=1,SUM($R$10:R389),0)</x:f>
        <x:v>0</x:v>
      </x:c>
      <x:c r="T389" s="2" t="str">
        <x:v>Data &amp; Reporting</x:v>
      </x:c>
      <x:c r="U389" s="2" t="n">
        <x:v>389</x:v>
      </x:c>
      <x:c r="V389" s="2" t="n">
        <x:f>IF(AND(M389=1,P389=0,ISNUMBER(J389),J389&lt;TODAY()),1,0)</x:f>
        <x:v>0</x:v>
      </x:c>
      <x:c r="W389" s="2" t="str">
        <x:f>'Data &amp; Reporting'!M389</x:f>
        <x:v>Checklist</x:v>
      </x:c>
    </x:row>
    <x:row r="390" ht="40" customHeight="1">
      <x:c r="A390" s="3" t="str">
        <x:f>HYPERLINK("#'Data &amp; Reporting'!A390","Open")</x:f>
        <x:v>Open</x:v>
      </x:c>
      <x:c r="B390" s="2" t="str">
        <x:f>'Data &amp; Reporting'!B390</x:f>
        <x:v>Cycle 3</x:v>
      </x:c>
      <x:c r="C390" s="2" t="str">
        <x:f>'Data &amp; Reporting'!C390</x:f>
        <x:v>Phase 2</x:v>
      </x:c>
      <x:c r="D390" s="2" t="str">
        <x:f>'Data &amp; Reporting'!D390</x:f>
        <x:v>Auto</x:v>
      </x:c>
      <x:c r="E390" s="2" t="str">
        <x:v>Data &amp; Reporting</x:v>
      </x:c>
      <x:c r="F390" s="56" t="str">
        <x:f>'Data &amp; Reporting'!E390</x:f>
        <x:v>DR.AU.2.1</x:v>
      </x:c>
      <x:c r="G390" s="14" t="str">
        <x:f>'Data &amp; Reporting'!F390</x:f>
        <x:v>Ensure data is clean, structured, and usable without manipulation needed</x:v>
      </x:c>
      <x:c r="H390" s="2" t="str">
        <x:f>IF('Data &amp; Reporting'!G390="","",'Data &amp; Reporting'!G390)</x:f>
      </x:c>
      <x:c r="I390" s="12" t="str">
        <x:f>IF('Data &amp; Reporting'!H390="","",'Data &amp; Reporting'!H390)</x:f>
      </x:c>
      <x:c r="J390" s="12" t="n">
        <x:f>IF('Data &amp; Reporting'!I390="","",'Data &amp; Reporting'!I390)</x:f>
        <x:v>46295</x:v>
      </x:c>
      <x:c r="K390" s="12" t="str">
        <x:f>IF('Data &amp; Reporting'!J390="","",'Data &amp; Reporting'!J390)</x:f>
      </x:c>
      <x:c r="L390" s="2" t="str">
        <x:f>IF('Data &amp; Reporting'!K390="","",'Data &amp; Reporting'!K390)</x:f>
      </x:c>
      <x:c r="M390" s="2" t="n">
        <x:f>'Data &amp; Reporting'!Q390</x:f>
        <x:v>1</x:v>
      </x:c>
      <x:c r="N390" s="2" t="str">
        <x:f>'Data &amp; Reporting'!L390</x:f>
        <x:v>Not started</x:v>
      </x:c>
      <x:c r="O390" s="2" t="str">
        <x:f>'Data &amp; Reporting'!N390</x:f>
        <x:v>DR.AU.2.1.2026.CY3</x:v>
      </x:c>
      <x:c r="P390" s="2" t="n">
        <x:f>'Data &amp; Reporting'!O390</x:f>
        <x:v>0</x:v>
      </x:c>
      <x:c r="Q390" s="2" t="n">
        <x:f>SUBTOTAL(103,O390)</x:f>
        <x:v>1</x:v>
      </x:c>
      <x:c r="R390" s="2" t="n">
        <x:f>IF(AND(M390=1,OR(Dashboard!$B$7="All",Dashboard!$B$7='Cycles &amp; Guide'!$C$5),OR(Dashboard!$D$7="All",Dashboard!$D$7=B390),OR(Dashboard!$F$7="All",Dashboard!$F$7=C390),OR(Dashboard!$H$7="All",Dashboard!$H$7=D390),OR(Dashboard!$K$7="All",Dashboard!$K$7=E390)),1,0)</x:f>
        <x:v>1</x:v>
      </x:c>
      <x:c r="S390" s="2" t="n">
        <x:f>IF(R390=1,SUM($R$10:R390),0)</x:f>
        <x:v>186</x:v>
      </x:c>
      <x:c r="T390" s="2" t="str">
        <x:v>Data &amp; Reporting</x:v>
      </x:c>
      <x:c r="U390" s="2" t="n">
        <x:v>390</x:v>
      </x:c>
      <x:c r="V390" s="2" t="n">
        <x:f>IF(AND(M390=1,P390=0,ISNUMBER(J390),J390&lt;TODAY()),1,0)</x:f>
        <x:v>0</x:v>
      </x:c>
      <x:c r="W390" s="2" t="str">
        <x:f>'Data &amp; Reporting'!M390</x:f>
        <x:v>Task</x:v>
      </x:c>
    </x:row>
    <x:row r="391" ht="40" customHeight="1">
      <x:c r="A391" s="3" t="str">
        <x:f>HYPERLINK("#'Data &amp; Reporting'!A391","Open")</x:f>
        <x:v>Open</x:v>
      </x:c>
      <x:c r="B391" s="2" t="str">
        <x:f>'Data &amp; Reporting'!B391</x:f>
        <x:v>Cycle 3</x:v>
      </x:c>
      <x:c r="C391" s="2" t="str">
        <x:f>'Data &amp; Reporting'!C391</x:f>
        <x:v>Phase 2</x:v>
      </x:c>
      <x:c r="D391" s="2" t="str">
        <x:f>'Data &amp; Reporting'!D391</x:f>
        <x:v>Auto</x:v>
      </x:c>
      <x:c r="E391" s="2" t="str">
        <x:v>Data &amp; Reporting</x:v>
      </x:c>
      <x:c r="F391" s="56" t="str">
        <x:f>'Data &amp; Reporting'!E391</x:f>
        <x:v>DR.AU.2.2</x:v>
      </x:c>
      <x:c r="G391" s="14" t="str">
        <x:f>'Data &amp; Reporting'!F391</x:f>
        <x:v>Clearly document rationale for each topic recommendation within the SharePoint list</x:v>
      </x:c>
      <x:c r="H391" s="2" t="str">
        <x:f>IF('Data &amp; Reporting'!G391="","",'Data &amp; Reporting'!G391)</x:f>
      </x:c>
      <x:c r="I391" s="12" t="str">
        <x:f>IF('Data &amp; Reporting'!H391="","",'Data &amp; Reporting'!H391)</x:f>
      </x:c>
      <x:c r="J391" s="12" t="n">
        <x:f>IF('Data &amp; Reporting'!I391="","",'Data &amp; Reporting'!I391)</x:f>
        <x:v>46295</x:v>
      </x:c>
      <x:c r="K391" s="12" t="str">
        <x:f>IF('Data &amp; Reporting'!J391="","",'Data &amp; Reporting'!J391)</x:f>
      </x:c>
      <x:c r="L391" s="2" t="str">
        <x:f>IF('Data &amp; Reporting'!K391="","",'Data &amp; Reporting'!K391)</x:f>
      </x:c>
      <x:c r="M391" s="2" t="n">
        <x:f>'Data &amp; Reporting'!Q391</x:f>
        <x:v>1</x:v>
      </x:c>
      <x:c r="N391" s="2" t="str">
        <x:f>'Data &amp; Reporting'!L391</x:f>
        <x:v>Not started</x:v>
      </x:c>
      <x:c r="O391" s="2" t="str">
        <x:f>'Data &amp; Reporting'!N391</x:f>
        <x:v>DR.AU.2.2.2026.CY3</x:v>
      </x:c>
      <x:c r="P391" s="2" t="n">
        <x:f>'Data &amp; Reporting'!O391</x:f>
        <x:v>0</x:v>
      </x:c>
      <x:c r="Q391" s="2" t="n">
        <x:f>SUBTOTAL(103,O391)</x:f>
        <x:v>1</x:v>
      </x:c>
      <x:c r="R391" s="2" t="n">
        <x:f>IF(AND(M391=1,OR(Dashboard!$B$7="All",Dashboard!$B$7='Cycles &amp; Guide'!$C$5),OR(Dashboard!$D$7="All",Dashboard!$D$7=B391),OR(Dashboard!$F$7="All",Dashboard!$F$7=C391),OR(Dashboard!$H$7="All",Dashboard!$H$7=D391),OR(Dashboard!$K$7="All",Dashboard!$K$7=E391)),1,0)</x:f>
        <x:v>1</x:v>
      </x:c>
      <x:c r="S391" s="2" t="n">
        <x:f>IF(R391=1,SUM($R$10:R391),0)</x:f>
        <x:v>187</x:v>
      </x:c>
      <x:c r="T391" s="2" t="str">
        <x:v>Data &amp; Reporting</x:v>
      </x:c>
      <x:c r="U391" s="2" t="n">
        <x:v>391</x:v>
      </x:c>
      <x:c r="V391" s="2" t="n">
        <x:f>IF(AND(M391=1,P391=0,ISNUMBER(J391),J391&lt;TODAY()),1,0)</x:f>
        <x:v>0</x:v>
      </x:c>
      <x:c r="W391" s="2" t="str">
        <x:f>'Data &amp; Reporting'!M391</x:f>
        <x:v>Task</x:v>
      </x:c>
    </x:row>
    <x:row r="392" ht="40" customHeight="1">
      <x:c r="A392" s="3" t="str">
        <x:f>HYPERLINK("#'Data &amp; Reporting'!A392","Open")</x:f>
        <x:v>Open</x:v>
      </x:c>
      <x:c r="B392" s="2" t="str">
        <x:f>'Data &amp; Reporting'!B392</x:f>
        <x:v>Cycle 3</x:v>
      </x:c>
      <x:c r="C392" s="2" t="str">
        <x:f>'Data &amp; Reporting'!C392</x:f>
        <x:v>Phase 2</x:v>
      </x:c>
      <x:c r="D392" s="2" t="str">
        <x:f>'Data &amp; Reporting'!D392</x:f>
        <x:v>Auto</x:v>
      </x:c>
      <x:c r="E392" s="2" t="str">
        <x:v>Data &amp; Reporting</x:v>
      </x:c>
      <x:c r="F392" s="56" t="str">
        <x:f>'Data &amp; Reporting'!E392</x:f>
        <x:v>DR.AU.2.3</x:v>
      </x:c>
      <x:c r="G392" s="14" t="str">
        <x:f>'Data &amp; Reporting'!F392</x:f>
        <x:v>Verify topic is eligible for RCA and does not conflict with Attorney Client Privilege</x:v>
      </x:c>
      <x:c r="H392" s="2" t="str">
        <x:f>IF('Data &amp; Reporting'!G392="","",'Data &amp; Reporting'!G392)</x:f>
      </x:c>
      <x:c r="I392" s="12" t="str">
        <x:f>IF('Data &amp; Reporting'!H392="","",'Data &amp; Reporting'!H392)</x:f>
      </x:c>
      <x:c r="J392" s="12" t="n">
        <x:f>IF('Data &amp; Reporting'!I392="","",'Data &amp; Reporting'!I392)</x:f>
        <x:v>46295</x:v>
      </x:c>
      <x:c r="K392" s="12" t="str">
        <x:f>IF('Data &amp; Reporting'!J392="","",'Data &amp; Reporting'!J392)</x:f>
      </x:c>
      <x:c r="L392" s="2" t="str">
        <x:f>IF('Data &amp; Reporting'!K392="","",'Data &amp; Reporting'!K392)</x:f>
      </x:c>
      <x:c r="M392" s="2" t="n">
        <x:f>'Data &amp; Reporting'!Q392</x:f>
        <x:v>1</x:v>
      </x:c>
      <x:c r="N392" s="2" t="str">
        <x:f>'Data &amp; Reporting'!L392</x:f>
        <x:v>Not started</x:v>
      </x:c>
      <x:c r="O392" s="2" t="str">
        <x:f>'Data &amp; Reporting'!N392</x:f>
        <x:v>DR.AU.2.3.2026.CY3</x:v>
      </x:c>
      <x:c r="P392" s="2" t="n">
        <x:f>'Data &amp; Reporting'!O392</x:f>
        <x:v>0</x:v>
      </x:c>
      <x:c r="Q392" s="2" t="n">
        <x:f>SUBTOTAL(103,O392)</x:f>
        <x:v>1</x:v>
      </x:c>
      <x:c r="R392" s="2" t="n">
        <x:f>IF(AND(M392=1,OR(Dashboard!$B$7="All",Dashboard!$B$7='Cycles &amp; Guide'!$C$5),OR(Dashboard!$D$7="All",Dashboard!$D$7=B392),OR(Dashboard!$F$7="All",Dashboard!$F$7=C392),OR(Dashboard!$H$7="All",Dashboard!$H$7=D392),OR(Dashboard!$K$7="All",Dashboard!$K$7=E392)),1,0)</x:f>
        <x:v>1</x:v>
      </x:c>
      <x:c r="S392" s="2" t="n">
        <x:f>IF(R392=1,SUM($R$10:R392),0)</x:f>
        <x:v>188</x:v>
      </x:c>
      <x:c r="T392" s="2" t="str">
        <x:v>Data &amp; Reporting</x:v>
      </x:c>
      <x:c r="U392" s="2" t="n">
        <x:v>392</x:v>
      </x:c>
      <x:c r="V392" s="2" t="n">
        <x:f>IF(AND(M392=1,P392=0,ISNUMBER(J392),J392&lt;TODAY()),1,0)</x:f>
        <x:v>0</x:v>
      </x:c>
      <x:c r="W392" s="2" t="str">
        <x:f>'Data &amp; Reporting'!M392</x:f>
        <x:v>Task</x:v>
      </x:c>
    </x:row>
    <x:row r="393" ht="40" customHeight="1">
      <x:c r="A393" s="3" t="str">
        <x:f>HYPERLINK("#'Data &amp; Reporting'!A393","Open")</x:f>
        <x:v>Open</x:v>
      </x:c>
      <x:c r="B393" s="2" t="str">
        <x:f>'Data &amp; Reporting'!B393</x:f>
        <x:v>Cycle 3</x:v>
      </x:c>
      <x:c r="C393" s="2" t="str">
        <x:f>'Data &amp; Reporting'!C393</x:f>
        <x:v>Phase 2</x:v>
      </x:c>
      <x:c r="D393" s="2" t="str">
        <x:f>'Data &amp; Reporting'!D393</x:f>
        <x:v>Auto</x:v>
      </x:c>
      <x:c r="E393" s="2" t="str">
        <x:v>Data &amp; Reporting</x:v>
      </x:c>
      <x:c r="F393" s="56" t="str">
        <x:f>'Data &amp; Reporting'!E393</x:f>
        <x:v>DR.AU.2.4</x:v>
      </x:c>
      <x:c r="G393" s="14" t="str">
        <x:f>'Data &amp; Reporting'!F393</x:f>
        <x:v>Ensure data is free of errors and anomalies prior to hand-off to Research</x:v>
      </x:c>
      <x:c r="H393" s="2" t="str">
        <x:f>IF('Data &amp; Reporting'!G393="","",'Data &amp; Reporting'!G393)</x:f>
      </x:c>
      <x:c r="I393" s="12" t="str">
        <x:f>IF('Data &amp; Reporting'!H393="","",'Data &amp; Reporting'!H393)</x:f>
      </x:c>
      <x:c r="J393" s="12" t="n">
        <x:f>IF('Data &amp; Reporting'!I393="","",'Data &amp; Reporting'!I393)</x:f>
        <x:v>46295</x:v>
      </x:c>
      <x:c r="K393" s="12" t="str">
        <x:f>IF('Data &amp; Reporting'!J393="","",'Data &amp; Reporting'!J393)</x:f>
      </x:c>
      <x:c r="L393" s="2" t="str">
        <x:f>IF('Data &amp; Reporting'!K393="","",'Data &amp; Reporting'!K393)</x:f>
      </x:c>
      <x:c r="M393" s="2" t="n">
        <x:f>'Data &amp; Reporting'!Q393</x:f>
        <x:v>1</x:v>
      </x:c>
      <x:c r="N393" s="2" t="str">
        <x:f>'Data &amp; Reporting'!L393</x:f>
        <x:v>Not started</x:v>
      </x:c>
      <x:c r="O393" s="2" t="str">
        <x:f>'Data &amp; Reporting'!N393</x:f>
        <x:v>DR.AU.2.4.2026.CY3</x:v>
      </x:c>
      <x:c r="P393" s="2" t="n">
        <x:f>'Data &amp; Reporting'!O393</x:f>
        <x:v>0</x:v>
      </x:c>
      <x:c r="Q393" s="2" t="n">
        <x:f>SUBTOTAL(103,O393)</x:f>
        <x:v>1</x:v>
      </x:c>
      <x:c r="R393" s="2" t="n">
        <x:f>IF(AND(M393=1,OR(Dashboard!$B$7="All",Dashboard!$B$7='Cycles &amp; Guide'!$C$5),OR(Dashboard!$D$7="All",Dashboard!$D$7=B393),OR(Dashboard!$F$7="All",Dashboard!$F$7=C393),OR(Dashboard!$H$7="All",Dashboard!$H$7=D393),OR(Dashboard!$K$7="All",Dashboard!$K$7=E393)),1,0)</x:f>
        <x:v>1</x:v>
      </x:c>
      <x:c r="S393" s="2" t="n">
        <x:f>IF(R393=1,SUM($R$10:R393),0)</x:f>
        <x:v>189</x:v>
      </x:c>
      <x:c r="T393" s="2" t="str">
        <x:v>Data &amp; Reporting</x:v>
      </x:c>
      <x:c r="U393" s="2" t="n">
        <x:v>393</x:v>
      </x:c>
      <x:c r="V393" s="2" t="n">
        <x:f>IF(AND(M393=1,P393=0,ISNUMBER(J393),J393&lt;TODAY()),1,0)</x:f>
        <x:v>0</x:v>
      </x:c>
      <x:c r="W393" s="2" t="str">
        <x:f>'Data &amp; Reporting'!M393</x:f>
        <x:v>Task</x:v>
      </x:c>
    </x:row>
    <x:row r="394" ht="40" customHeight="1">
      <x:c r="A394" s="3" t="str">
        <x:f>HYPERLINK("#'Data &amp; Reporting'!A394","Open")</x:f>
        <x:v>Open</x:v>
      </x:c>
      <x:c r="B394" s="2" t="str">
        <x:f>'Data &amp; Reporting'!B394</x:f>
        <x:v>Cycle 3</x:v>
      </x:c>
      <x:c r="C394" s="2" t="str">
        <x:f>'Data &amp; Reporting'!C394</x:f>
        <x:v>Phase 2</x:v>
      </x:c>
      <x:c r="D394" s="2" t="str">
        <x:f>'Data &amp; Reporting'!D394</x:f>
        <x:v>Auto</x:v>
      </x:c>
      <x:c r="E394" s="2" t="str">
        <x:v>Data &amp; Reporting</x:v>
      </x:c>
      <x:c r="F394" s="56" t="str">
        <x:f>'Data &amp; Reporting'!E394</x:f>
        <x:v>DR.AU.2.5</x:v>
      </x:c>
      <x:c r="G394" s="14" t="str">
        <x:f>'Data &amp; Reporting'!F394</x:f>
        <x:v>Ensure topic is not a duplicate from a previous Cycle</x:v>
      </x:c>
      <x:c r="H394" s="2" t="str">
        <x:f>IF('Data &amp; Reporting'!G394="","",'Data &amp; Reporting'!G394)</x:f>
      </x:c>
      <x:c r="I394" s="12" t="str">
        <x:f>IF('Data &amp; Reporting'!H394="","",'Data &amp; Reporting'!H394)</x:f>
      </x:c>
      <x:c r="J394" s="12" t="n">
        <x:f>IF('Data &amp; Reporting'!I394="","",'Data &amp; Reporting'!I394)</x:f>
        <x:v>46295</x:v>
      </x:c>
      <x:c r="K394" s="12" t="str">
        <x:f>IF('Data &amp; Reporting'!J394="","",'Data &amp; Reporting'!J394)</x:f>
      </x:c>
      <x:c r="L394" s="2" t="str">
        <x:f>IF('Data &amp; Reporting'!K394="","",'Data &amp; Reporting'!K394)</x:f>
      </x:c>
      <x:c r="M394" s="2" t="n">
        <x:f>'Data &amp; Reporting'!Q394</x:f>
        <x:v>1</x:v>
      </x:c>
      <x:c r="N394" s="2" t="str">
        <x:f>'Data &amp; Reporting'!L394</x:f>
        <x:v>Not started</x:v>
      </x:c>
      <x:c r="O394" s="2" t="str">
        <x:f>'Data &amp; Reporting'!N394</x:f>
        <x:v>DR.AU.2.5.2026.CY3</x:v>
      </x:c>
      <x:c r="P394" s="2" t="n">
        <x:f>'Data &amp; Reporting'!O394</x:f>
        <x:v>0</x:v>
      </x:c>
      <x:c r="Q394" s="2" t="n">
        <x:f>SUBTOTAL(103,O394)</x:f>
        <x:v>1</x:v>
      </x:c>
      <x:c r="R394" s="2" t="n">
        <x:f>IF(AND(M394=1,OR(Dashboard!$B$7="All",Dashboard!$B$7='Cycles &amp; Guide'!$C$5),OR(Dashboard!$D$7="All",Dashboard!$D$7=B394),OR(Dashboard!$F$7="All",Dashboard!$F$7=C394),OR(Dashboard!$H$7="All",Dashboard!$H$7=D394),OR(Dashboard!$K$7="All",Dashboard!$K$7=E394)),1,0)</x:f>
        <x:v>1</x:v>
      </x:c>
      <x:c r="S394" s="2" t="n">
        <x:f>IF(R394=1,SUM($R$10:R394),0)</x:f>
        <x:v>190</x:v>
      </x:c>
      <x:c r="T394" s="2" t="str">
        <x:v>Data &amp; Reporting</x:v>
      </x:c>
      <x:c r="U394" s="2" t="n">
        <x:v>394</x:v>
      </x:c>
      <x:c r="V394" s="2" t="n">
        <x:f>IF(AND(M394=1,P394=0,ISNUMBER(J394),J394&lt;TODAY()),1,0)</x:f>
        <x:v>0</x:v>
      </x:c>
      <x:c r="W394" s="2" t="str">
        <x:f>'Data &amp; Reporting'!M394</x:f>
        <x:v>Task</x:v>
      </x:c>
    </x:row>
    <x:row r="395" ht="40" customHeight="1">
      <x:c r="A395" s="3" t="str">
        <x:f>HYPERLINK("#'Data &amp; Reporting'!A395","Open")</x:f>
        <x:v>Open</x:v>
      </x:c>
      <x:c r="B395" s="2" t="str">
        <x:f>'Data &amp; Reporting'!B395</x:f>
        <x:v>Cycle 3</x:v>
      </x:c>
      <x:c r="C395" s="2" t="str">
        <x:f>'Data &amp; Reporting'!C395</x:f>
        <x:v>Phase 2</x:v>
      </x:c>
      <x:c r="D395" s="2" t="str">
        <x:f>'Data &amp; Reporting'!D395</x:f>
        <x:v>Auto</x:v>
      </x:c>
      <x:c r="E395" s="2" t="str">
        <x:v>Data &amp; Reporting</x:v>
      </x:c>
      <x:c r="F395" s="56" t="str">
        <x:f>'Data &amp; Reporting'!E395</x:f>
        <x:v>DR.AU.2.6</x:v>
      </x:c>
      <x:c r="G395" s="14" t="str">
        <x:f>'Data &amp; Reporting'!F395</x:f>
        <x:v>Document clear distinctions between facts, assumptions, and hypotheses within the data package</x:v>
      </x:c>
      <x:c r="H395" s="2" t="str">
        <x:f>IF('Data &amp; Reporting'!G395="","",'Data &amp; Reporting'!G395)</x:f>
      </x:c>
      <x:c r="I395" s="12" t="str">
        <x:f>IF('Data &amp; Reporting'!H395="","",'Data &amp; Reporting'!H395)</x:f>
      </x:c>
      <x:c r="J395" s="12" t="n">
        <x:f>IF('Data &amp; Reporting'!I395="","",'Data &amp; Reporting'!I395)</x:f>
        <x:v>46295</x:v>
      </x:c>
      <x:c r="K395" s="12" t="str">
        <x:f>IF('Data &amp; Reporting'!J395="","",'Data &amp; Reporting'!J395)</x:f>
      </x:c>
      <x:c r="L395" s="2" t="str">
        <x:f>IF('Data &amp; Reporting'!K395="","",'Data &amp; Reporting'!K395)</x:f>
      </x:c>
      <x:c r="M395" s="2" t="n">
        <x:f>'Data &amp; Reporting'!Q395</x:f>
        <x:v>1</x:v>
      </x:c>
      <x:c r="N395" s="2" t="str">
        <x:f>'Data &amp; Reporting'!L395</x:f>
        <x:v>Not started</x:v>
      </x:c>
      <x:c r="O395" s="2" t="str">
        <x:f>'Data &amp; Reporting'!N395</x:f>
        <x:v>DR.AU.2.6.2026.CY3</x:v>
      </x:c>
      <x:c r="P395" s="2" t="n">
        <x:f>'Data &amp; Reporting'!O395</x:f>
        <x:v>0</x:v>
      </x:c>
      <x:c r="Q395" s="2" t="n">
        <x:f>SUBTOTAL(103,O395)</x:f>
        <x:v>1</x:v>
      </x:c>
      <x:c r="R395" s="2" t="n">
        <x:f>IF(AND(M395=1,OR(Dashboard!$B$7="All",Dashboard!$B$7='Cycles &amp; Guide'!$C$5),OR(Dashboard!$D$7="All",Dashboard!$D$7=B395),OR(Dashboard!$F$7="All",Dashboard!$F$7=C395),OR(Dashboard!$H$7="All",Dashboard!$H$7=D395),OR(Dashboard!$K$7="All",Dashboard!$K$7=E395)),1,0)</x:f>
        <x:v>1</x:v>
      </x:c>
      <x:c r="S395" s="2" t="n">
        <x:f>IF(R395=1,SUM($R$10:R395),0)</x:f>
        <x:v>191</x:v>
      </x:c>
      <x:c r="T395" s="2" t="str">
        <x:v>Data &amp; Reporting</x:v>
      </x:c>
      <x:c r="U395" s="2" t="n">
        <x:v>395</x:v>
      </x:c>
      <x:c r="V395" s="2" t="n">
        <x:f>IF(AND(M395=1,P395=0,ISNUMBER(J395),J395&lt;TODAY()),1,0)</x:f>
        <x:v>0</x:v>
      </x:c>
      <x:c r="W395" s="2" t="str">
        <x:f>'Data &amp; Reporting'!M395</x:f>
        <x:v>Task</x:v>
      </x:c>
    </x:row>
    <x:row r="396" ht="40" customHeight="1">
      <x:c r="A396" s="3" t="str">
        <x:f>HYPERLINK("#'Data &amp; Reporting'!A396","Open")</x:f>
        <x:v>Open</x:v>
      </x:c>
      <x:c r="B396" s="2" t="str">
        <x:f>'Data &amp; Reporting'!B396</x:f>
        <x:v>Cycle 3</x:v>
      </x:c>
      <x:c r="C396" s="2" t="str">
        <x:f>'Data &amp; Reporting'!C396</x:f>
        <x:v>Phase 3</x:v>
      </x:c>
      <x:c r="D396" s="2" t="str">
        <x:f>'Data &amp; Reporting'!D396</x:f>
        <x:v>Auto</x:v>
      </x:c>
      <x:c r="E396" s="2" t="str">
        <x:v>Data &amp; Reporting</x:v>
      </x:c>
      <x:c r="F396" s="56" t="str">
        <x:f>'Data &amp; Reporting'!E396</x:f>
        <x:v>DR.AU.3.1</x:v>
      </x:c>
      <x:c r="G396" s="14" t="str">
        <x:f>'Data &amp; Reporting'!F396</x:f>
        <x:v>Clearly document rationale for each topic recommendation within the SharePoint list item</x:v>
      </x:c>
      <x:c r="H396" s="2" t="str">
        <x:f>IF('Data &amp; Reporting'!G396="","",'Data &amp; Reporting'!G396)</x:f>
      </x:c>
      <x:c r="I396" s="12" t="str">
        <x:f>IF('Data &amp; Reporting'!H396="","",'Data &amp; Reporting'!H396)</x:f>
      </x:c>
      <x:c r="J396" s="12" t="n">
        <x:f>IF('Data &amp; Reporting'!I396="","",'Data &amp; Reporting'!I396)</x:f>
        <x:v>46295</x:v>
      </x:c>
      <x:c r="K396" s="12" t="str">
        <x:f>IF('Data &amp; Reporting'!J396="","",'Data &amp; Reporting'!J396)</x:f>
      </x:c>
      <x:c r="L396" s="2" t="str">
        <x:f>IF('Data &amp; Reporting'!K396="","",'Data &amp; Reporting'!K396)</x:f>
      </x:c>
      <x:c r="M396" s="2" t="n">
        <x:f>'Data &amp; Reporting'!Q396</x:f>
        <x:v>1</x:v>
      </x:c>
      <x:c r="N396" s="2" t="str">
        <x:f>'Data &amp; Reporting'!L396</x:f>
        <x:v>Not started</x:v>
      </x:c>
      <x:c r="O396" s="2" t="str">
        <x:f>'Data &amp; Reporting'!N396</x:f>
        <x:v>DR.AU.3.1.2026.CY3</x:v>
      </x:c>
      <x:c r="P396" s="2" t="n">
        <x:f>'Data &amp; Reporting'!O396</x:f>
        <x:v>0</x:v>
      </x:c>
      <x:c r="Q396" s="2" t="n">
        <x:f>SUBTOTAL(103,O396)</x:f>
        <x:v>1</x:v>
      </x:c>
      <x:c r="R396" s="2" t="n">
        <x:f>IF(AND(M396=1,OR(Dashboard!$B$7="All",Dashboard!$B$7='Cycles &amp; Guide'!$C$5),OR(Dashboard!$D$7="All",Dashboard!$D$7=B396),OR(Dashboard!$F$7="All",Dashboard!$F$7=C396),OR(Dashboard!$H$7="All",Dashboard!$H$7=D396),OR(Dashboard!$K$7="All",Dashboard!$K$7=E396)),1,0)</x:f>
        <x:v>1</x:v>
      </x:c>
      <x:c r="S396" s="2" t="n">
        <x:f>IF(R396=1,SUM($R$10:R396),0)</x:f>
        <x:v>192</x:v>
      </x:c>
      <x:c r="T396" s="2" t="str">
        <x:v>Data &amp; Reporting</x:v>
      </x:c>
      <x:c r="U396" s="2" t="n">
        <x:v>396</x:v>
      </x:c>
      <x:c r="V396" s="2" t="n">
        <x:f>IF(AND(M396=1,P396=0,ISNUMBER(J396),J396&lt;TODAY()),1,0)</x:f>
        <x:v>0</x:v>
      </x:c>
      <x:c r="W396" s="2" t="str">
        <x:f>'Data &amp; Reporting'!M396</x:f>
        <x:v>Task</x:v>
      </x:c>
    </x:row>
    <x:row r="397" ht="40" customHeight="1">
      <x:c r="A397" s="3" t="str">
        <x:f>HYPERLINK("#'Data &amp; Reporting'!A397","Open")</x:f>
        <x:v>Open</x:v>
      </x:c>
      <x:c r="B397" s="2" t="str">
        <x:f>'Data &amp; Reporting'!B397</x:f>
        <x:v>Cycle 3</x:v>
      </x:c>
      <x:c r="C397" s="2" t="str">
        <x:f>'Data &amp; Reporting'!C397</x:f>
        <x:v>Phase 3</x:v>
      </x:c>
      <x:c r="D397" s="2" t="str">
        <x:f>'Data &amp; Reporting'!D397</x:f>
        <x:v>Auto</x:v>
      </x:c>
      <x:c r="E397" s="2" t="str">
        <x:v>Data &amp; Reporting</x:v>
      </x:c>
      <x:c r="F397" s="56" t="str">
        <x:f>'Data &amp; Reporting'!E397</x:f>
        <x:v>DR.AU.3.2</x:v>
      </x:c>
      <x:c r="G397" s="14" t="str">
        <x:f>'Data &amp; Reporting'!F397</x:f>
        <x:v>Attach the data package for each topic recommendation within the SharePoint list item</x:v>
      </x:c>
      <x:c r="H397" s="2" t="str">
        <x:f>IF('Data &amp; Reporting'!G397="","",'Data &amp; Reporting'!G397)</x:f>
      </x:c>
      <x:c r="I397" s="12" t="str">
        <x:f>IF('Data &amp; Reporting'!H397="","",'Data &amp; Reporting'!H397)</x:f>
      </x:c>
      <x:c r="J397" s="12" t="n">
        <x:f>IF('Data &amp; Reporting'!I397="","",'Data &amp; Reporting'!I397)</x:f>
        <x:v>46295</x:v>
      </x:c>
      <x:c r="K397" s="12" t="str">
        <x:f>IF('Data &amp; Reporting'!J397="","",'Data &amp; Reporting'!J397)</x:f>
      </x:c>
      <x:c r="L397" s="2" t="str">
        <x:f>IF('Data &amp; Reporting'!K397="","",'Data &amp; Reporting'!K397)</x:f>
      </x:c>
      <x:c r="M397" s="2" t="n">
        <x:f>'Data &amp; Reporting'!Q397</x:f>
        <x:v>1</x:v>
      </x:c>
      <x:c r="N397" s="2" t="str">
        <x:f>'Data &amp; Reporting'!L397</x:f>
        <x:v>Not started</x:v>
      </x:c>
      <x:c r="O397" s="2" t="str">
        <x:f>'Data &amp; Reporting'!N397</x:f>
        <x:v>DR.AU.3.2.2026.CY3</x:v>
      </x:c>
      <x:c r="P397" s="2" t="n">
        <x:f>'Data &amp; Reporting'!O397</x:f>
        <x:v>0</x:v>
      </x:c>
      <x:c r="Q397" s="2" t="n">
        <x:f>SUBTOTAL(103,O397)</x:f>
        <x:v>1</x:v>
      </x:c>
      <x:c r="R397" s="2" t="n">
        <x:f>IF(AND(M397=1,OR(Dashboard!$B$7="All",Dashboard!$B$7='Cycles &amp; Guide'!$C$5),OR(Dashboard!$D$7="All",Dashboard!$D$7=B397),OR(Dashboard!$F$7="All",Dashboard!$F$7=C397),OR(Dashboard!$H$7="All",Dashboard!$H$7=D397),OR(Dashboard!$K$7="All",Dashboard!$K$7=E397)),1,0)</x:f>
        <x:v>1</x:v>
      </x:c>
      <x:c r="S397" s="2" t="n">
        <x:f>IF(R397=1,SUM($R$10:R397),0)</x:f>
        <x:v>193</x:v>
      </x:c>
      <x:c r="T397" s="2" t="str">
        <x:v>Data &amp; Reporting</x:v>
      </x:c>
      <x:c r="U397" s="2" t="n">
        <x:v>397</x:v>
      </x:c>
      <x:c r="V397" s="2" t="n">
        <x:f>IF(AND(M397=1,P397=0,ISNUMBER(J397),J397&lt;TODAY()),1,0)</x:f>
        <x:v>0</x:v>
      </x:c>
      <x:c r="W397" s="2" t="str">
        <x:f>'Data &amp; Reporting'!M397</x:f>
        <x:v>Task</x:v>
      </x:c>
    </x:row>
    <x:row r="398" ht="40" customHeight="1">
      <x:c r="A398" s="3" t="str">
        <x:f>HYPERLINK("#'Data &amp; Reporting'!A398","Open")</x:f>
        <x:v>Open</x:v>
      </x:c>
      <x:c r="B398" s="2" t="str">
        <x:f>'Data &amp; Reporting'!B398</x:f>
        <x:v>Cycle 3</x:v>
      </x:c>
      <x:c r="C398" s="2" t="str">
        <x:f>'Data &amp; Reporting'!C398</x:f>
        <x:v>Phase 3</x:v>
      </x:c>
      <x:c r="D398" s="2" t="str">
        <x:f>'Data &amp; Reporting'!D398</x:f>
        <x:v>Auto</x:v>
      </x:c>
      <x:c r="E398" s="2" t="str">
        <x:v>Data &amp; Reporting</x:v>
      </x:c>
      <x:c r="F398" s="56" t="str">
        <x:f>'Data &amp; Reporting'!E398</x:f>
        <x:v>DR.AU.3.3</x:v>
      </x:c>
      <x:c r="G398" s="14" t="str">
        <x:f>'Data &amp; Reporting'!F398</x:f>
        <x:v>Confirm data privileges have been granted, ensuring each pillar can access</x:v>
      </x:c>
      <x:c r="H398" s="2" t="str">
        <x:f>IF('Data &amp; Reporting'!G398="","",'Data &amp; Reporting'!G398)</x:f>
      </x:c>
      <x:c r="I398" s="12" t="str">
        <x:f>IF('Data &amp; Reporting'!H398="","",'Data &amp; Reporting'!H398)</x:f>
      </x:c>
      <x:c r="J398" s="12" t="n">
        <x:f>IF('Data &amp; Reporting'!I398="","",'Data &amp; Reporting'!I398)</x:f>
        <x:v>46295</x:v>
      </x:c>
      <x:c r="K398" s="12" t="str">
        <x:f>IF('Data &amp; Reporting'!J398="","",'Data &amp; Reporting'!J398)</x:f>
      </x:c>
      <x:c r="L398" s="2" t="str">
        <x:f>IF('Data &amp; Reporting'!K398="","",'Data &amp; Reporting'!K398)</x:f>
      </x:c>
      <x:c r="M398" s="2" t="n">
        <x:f>'Data &amp; Reporting'!Q398</x:f>
        <x:v>1</x:v>
      </x:c>
      <x:c r="N398" s="2" t="str">
        <x:f>'Data &amp; Reporting'!L398</x:f>
        <x:v>Not started</x:v>
      </x:c>
      <x:c r="O398" s="2" t="str">
        <x:f>'Data &amp; Reporting'!N398</x:f>
        <x:v>DR.AU.3.3.2026.CY3</x:v>
      </x:c>
      <x:c r="P398" s="2" t="n">
        <x:f>'Data &amp; Reporting'!O398</x:f>
        <x:v>0</x:v>
      </x:c>
      <x:c r="Q398" s="2" t="n">
        <x:f>SUBTOTAL(103,O398)</x:f>
        <x:v>1</x:v>
      </x:c>
      <x:c r="R398" s="2" t="n">
        <x:f>IF(AND(M398=1,OR(Dashboard!$B$7="All",Dashboard!$B$7='Cycles &amp; Guide'!$C$5),OR(Dashboard!$D$7="All",Dashboard!$D$7=B398),OR(Dashboard!$F$7="All",Dashboard!$F$7=C398),OR(Dashboard!$H$7="All",Dashboard!$H$7=D398),OR(Dashboard!$K$7="All",Dashboard!$K$7=E398)),1,0)</x:f>
        <x:v>1</x:v>
      </x:c>
      <x:c r="S398" s="2" t="n">
        <x:f>IF(R398=1,SUM($R$10:R398),0)</x:f>
        <x:v>194</x:v>
      </x:c>
      <x:c r="T398" s="2" t="str">
        <x:v>Data &amp; Reporting</x:v>
      </x:c>
      <x:c r="U398" s="2" t="n">
        <x:v>398</x:v>
      </x:c>
      <x:c r="V398" s="2" t="n">
        <x:f>IF(AND(M398=1,P398=0,ISNUMBER(J398),J398&lt;TODAY()),1,0)</x:f>
        <x:v>0</x:v>
      </x:c>
      <x:c r="W398" s="2" t="str">
        <x:f>'Data &amp; Reporting'!M398</x:f>
        <x:v>Task</x:v>
      </x:c>
    </x:row>
    <x:row r="399" ht="40" customHeight="1">
      <x:c r="A399" s="3" t="str">
        <x:f>HYPERLINK("#'Data &amp; Reporting'!A399","Open")</x:f>
        <x:v>Open</x:v>
      </x:c>
      <x:c r="B399" s="2" t="str">
        <x:f>'Data &amp; Reporting'!B399</x:f>
        <x:v>Cycle 3</x:v>
      </x:c>
      <x:c r="C399" s="2" t="str">
        <x:f>'Data &amp; Reporting'!C399</x:f>
        <x:v>Phase 3</x:v>
      </x:c>
      <x:c r="D399" s="2" t="str">
        <x:f>'Data &amp; Reporting'!D399</x:f>
        <x:v>Auto</x:v>
      </x:c>
      <x:c r="E399" s="2" t="str">
        <x:v>Data &amp; Reporting</x:v>
      </x:c>
      <x:c r="F399" s="56" t="str">
        <x:f>'Data &amp; Reporting'!E399</x:f>
        <x:v>DR.AU.3.4</x:v>
      </x:c>
      <x:c r="G399" s="14" t="str">
        <x:f>'Data &amp; Reporting'!F399</x:f>
        <x:v>Ensure Power Automate notifications were correctly triggered within Microsoft Teams</x:v>
      </x:c>
      <x:c r="H399" s="2" t="str">
        <x:f>IF('Data &amp; Reporting'!G399="","",'Data &amp; Reporting'!G399)</x:f>
      </x:c>
      <x:c r="I399" s="12" t="str">
        <x:f>IF('Data &amp; Reporting'!H399="","",'Data &amp; Reporting'!H399)</x:f>
      </x:c>
      <x:c r="J399" s="12" t="n">
        <x:f>IF('Data &amp; Reporting'!I399="","",'Data &amp; Reporting'!I399)</x:f>
        <x:v>46295</x:v>
      </x:c>
      <x:c r="K399" s="12" t="str">
        <x:f>IF('Data &amp; Reporting'!J399="","",'Data &amp; Reporting'!J399)</x:f>
      </x:c>
      <x:c r="L399" s="2" t="str">
        <x:f>IF('Data &amp; Reporting'!K399="","",'Data &amp; Reporting'!K399)</x:f>
      </x:c>
      <x:c r="M399" s="2" t="n">
        <x:f>'Data &amp; Reporting'!Q399</x:f>
        <x:v>1</x:v>
      </x:c>
      <x:c r="N399" s="2" t="str">
        <x:f>'Data &amp; Reporting'!L399</x:f>
        <x:v>Not started</x:v>
      </x:c>
      <x:c r="O399" s="2" t="str">
        <x:f>'Data &amp; Reporting'!N399</x:f>
        <x:v>DR.AU.3.4.2026.CY3</x:v>
      </x:c>
      <x:c r="P399" s="2" t="n">
        <x:f>'Data &amp; Reporting'!O399</x:f>
        <x:v>0</x:v>
      </x:c>
      <x:c r="Q399" s="2" t="n">
        <x:f>SUBTOTAL(103,O399)</x:f>
        <x:v>1</x:v>
      </x:c>
      <x:c r="R399" s="2" t="n">
        <x:f>IF(AND(M399=1,OR(Dashboard!$B$7="All",Dashboard!$B$7='Cycles &amp; Guide'!$C$5),OR(Dashboard!$D$7="All",Dashboard!$D$7=B399),OR(Dashboard!$F$7="All",Dashboard!$F$7=C399),OR(Dashboard!$H$7="All",Dashboard!$H$7=D399),OR(Dashboard!$K$7="All",Dashboard!$K$7=E399)),1,0)</x:f>
        <x:v>1</x:v>
      </x:c>
      <x:c r="S399" s="2" t="n">
        <x:f>IF(R399=1,SUM($R$10:R399),0)</x:f>
        <x:v>195</x:v>
      </x:c>
      <x:c r="T399" s="2" t="str">
        <x:v>Data &amp; Reporting</x:v>
      </x:c>
      <x:c r="U399" s="2" t="n">
        <x:v>399</x:v>
      </x:c>
      <x:c r="V399" s="2" t="n">
        <x:f>IF(AND(M399=1,P399=0,ISNUMBER(J399),J399&lt;TODAY()),1,0)</x:f>
        <x:v>0</x:v>
      </x:c>
      <x:c r="W399" s="2" t="str">
        <x:f>'Data &amp; Reporting'!M399</x:f>
        <x:v>Task</x:v>
      </x:c>
    </x:row>
    <x:row r="400" ht="40" customHeight="1">
      <x:c r="A400" s="3" t="str">
        <x:f>HYPERLINK("#'Data &amp; Reporting'!A400","Open")</x:f>
        <x:v>Open</x:v>
      </x:c>
      <x:c r="B400" s="2" t="str">
        <x:f>'Data &amp; Reporting'!B400</x:f>
        <x:v>Cycle 3</x:v>
      </x:c>
      <x:c r="C400" s="2" t="str">
        <x:f>'Data &amp; Reporting'!C400</x:f>
        <x:v>Phase 1</x:v>
      </x:c>
      <x:c r="D400" s="2" t="str">
        <x:f>'Data &amp; Reporting'!D400</x:f>
        <x:v>Cards</x:v>
      </x:c>
      <x:c r="E400" s="2" t="str">
        <x:v>Data &amp; Reporting</x:v>
      </x:c>
      <x:c r="F400" s="56" t="str">
        <x:f>'Data &amp; Reporting'!E400</x:f>
        <x:v>DR.CA.1.1</x:v>
      </x:c>
      <x:c r="G400" s="14" t="str">
        <x:f>'Data &amp; Reporting'!F400</x:f>
        <x:v>Review data sources 3 weeks prior to Cycle start (Complaints, Gen AI, Loudspeaker, NPS, etc.)</x:v>
      </x:c>
      <x:c r="H400" s="2" t="str">
        <x:f>IF('Data &amp; Reporting'!G400="","",'Data &amp; Reporting'!G400)</x:f>
      </x:c>
      <x:c r="I400" s="12" t="str">
        <x:f>IF('Data &amp; Reporting'!H400="","",'Data &amp; Reporting'!H400)</x:f>
      </x:c>
      <x:c r="J400" s="12" t="n">
        <x:f>IF('Data &amp; Reporting'!I400="","",'Data &amp; Reporting'!I400)</x:f>
        <x:v>46183</x:v>
      </x:c>
      <x:c r="K400" s="12" t="str">
        <x:f>IF('Data &amp; Reporting'!J400="","",'Data &amp; Reporting'!J400)</x:f>
      </x:c>
      <x:c r="L400" s="2" t="str">
        <x:f>IF('Data &amp; Reporting'!K400="","",'Data &amp; Reporting'!K400)</x:f>
      </x:c>
      <x:c r="M400" s="2" t="n">
        <x:f>'Data &amp; Reporting'!Q400</x:f>
        <x:v>1</x:v>
      </x:c>
      <x:c r="N400" s="2" t="str">
        <x:f>'Data &amp; Reporting'!L400</x:f>
        <x:v>Not started</x:v>
      </x:c>
      <x:c r="O400" s="2" t="str">
        <x:f>'Data &amp; Reporting'!N400</x:f>
        <x:v>DR.CA.1.1.2026.CY3</x:v>
      </x:c>
      <x:c r="P400" s="2" t="n">
        <x:f>'Data &amp; Reporting'!O400</x:f>
        <x:v>0</x:v>
      </x:c>
      <x:c r="Q400" s="2" t="n">
        <x:f>SUBTOTAL(103,O400)</x:f>
        <x:v>1</x:v>
      </x:c>
      <x:c r="R400" s="2" t="n">
        <x:f>IF(AND(M400=1,OR(Dashboard!$B$7="All",Dashboard!$B$7='Cycles &amp; Guide'!$C$5),OR(Dashboard!$D$7="All",Dashboard!$D$7=B400),OR(Dashboard!$F$7="All",Dashboard!$F$7=C400),OR(Dashboard!$H$7="All",Dashboard!$H$7=D400),OR(Dashboard!$K$7="All",Dashboard!$K$7=E400)),1,0)</x:f>
        <x:v>1</x:v>
      </x:c>
      <x:c r="S400" s="2" t="n">
        <x:f>IF(R400=1,SUM($R$10:R400),0)</x:f>
        <x:v>196</x:v>
      </x:c>
      <x:c r="T400" s="2" t="str">
        <x:v>Data &amp; Reporting</x:v>
      </x:c>
      <x:c r="U400" s="2" t="n">
        <x:v>400</x:v>
      </x:c>
      <x:c r="V400" s="2" t="n">
        <x:f>IF(AND(M400=1,P400=0,ISNUMBER(J400),J400&lt;TODAY()),1,0)</x:f>
        <x:v>1</x:v>
      </x:c>
      <x:c r="W400" s="2" t="str">
        <x:f>'Data &amp; Reporting'!M400</x:f>
        <x:v>Task</x:v>
      </x:c>
    </x:row>
    <x:row r="401" ht="40" customHeight="1">
      <x:c r="A401" s="3" t="str">
        <x:f>HYPERLINK("#'Data &amp; Reporting'!A401","Open")</x:f>
        <x:v>Open</x:v>
      </x:c>
      <x:c r="B401" s="2" t="str">
        <x:f>'Data &amp; Reporting'!B401</x:f>
        <x:v>Cycle 3</x:v>
      </x:c>
      <x:c r="C401" s="2" t="str">
        <x:f>'Data &amp; Reporting'!C401</x:f>
        <x:v>Phase 1</x:v>
      </x:c>
      <x:c r="D401" s="2" t="str">
        <x:f>'Data &amp; Reporting'!D401</x:f>
        <x:v>Cards</x:v>
      </x:c>
      <x:c r="E401" s="2" t="str">
        <x:v>Data &amp; Reporting</x:v>
      </x:c>
      <x:c r="F401" s="56" t="str">
        <x:f>'Data &amp; Reporting'!E401</x:f>
        <x:v>DR.CA.1.2</x:v>
      </x:c>
      <x:c r="G401" s="14" t="str">
        <x:f>'Data &amp; Reporting'!F401</x:f>
        <x:v>Identify two potential topics for the upcoming Cycle</x:v>
      </x:c>
      <x:c r="H401" s="2" t="str">
        <x:f>IF('Data &amp; Reporting'!G401="","",'Data &amp; Reporting'!G401)</x:f>
      </x:c>
      <x:c r="I401" s="12" t="str">
        <x:f>IF('Data &amp; Reporting'!H401="","",'Data &amp; Reporting'!H401)</x:f>
      </x:c>
      <x:c r="J401" s="12" t="n">
        <x:f>IF('Data &amp; Reporting'!I401="","",'Data &amp; Reporting'!I401)</x:f>
        <x:v>46295</x:v>
      </x:c>
      <x:c r="K401" s="12" t="str">
        <x:f>IF('Data &amp; Reporting'!J401="","",'Data &amp; Reporting'!J401)</x:f>
      </x:c>
      <x:c r="L401" s="2" t="str">
        <x:f>IF('Data &amp; Reporting'!K401="","",'Data &amp; Reporting'!K401)</x:f>
      </x:c>
      <x:c r="M401" s="2" t="n">
        <x:f>'Data &amp; Reporting'!Q401</x:f>
        <x:v>1</x:v>
      </x:c>
      <x:c r="N401" s="2" t="str">
        <x:f>'Data &amp; Reporting'!L401</x:f>
        <x:v>Not started</x:v>
      </x:c>
      <x:c r="O401" s="2" t="str">
        <x:f>'Data &amp; Reporting'!N401</x:f>
        <x:v>DR.CA.1.2.2026.CY3</x:v>
      </x:c>
      <x:c r="P401" s="2" t="n">
        <x:f>'Data &amp; Reporting'!O401</x:f>
        <x:v>0</x:v>
      </x:c>
      <x:c r="Q401" s="2" t="n">
        <x:f>SUBTOTAL(103,O401)</x:f>
        <x:v>1</x:v>
      </x:c>
      <x:c r="R401" s="2" t="n">
        <x:f>IF(AND(M401=1,OR(Dashboard!$B$7="All",Dashboard!$B$7='Cycles &amp; Guide'!$C$5),OR(Dashboard!$D$7="All",Dashboard!$D$7=B401),OR(Dashboard!$F$7="All",Dashboard!$F$7=C401),OR(Dashboard!$H$7="All",Dashboard!$H$7=D401),OR(Dashboard!$K$7="All",Dashboard!$K$7=E401)),1,0)</x:f>
        <x:v>1</x:v>
      </x:c>
      <x:c r="S401" s="2" t="n">
        <x:f>IF(R401=1,SUM($R$10:R401),0)</x:f>
        <x:v>197</x:v>
      </x:c>
      <x:c r="T401" s="2" t="str">
        <x:v>Data &amp; Reporting</x:v>
      </x:c>
      <x:c r="U401" s="2" t="n">
        <x:v>401</x:v>
      </x:c>
      <x:c r="V401" s="2" t="n">
        <x:f>IF(AND(M401=1,P401=0,ISNUMBER(J401),J401&lt;TODAY()),1,0)</x:f>
        <x:v>0</x:v>
      </x:c>
      <x:c r="W401" s="2" t="str">
        <x:f>'Data &amp; Reporting'!M401</x:f>
        <x:v>Task</x:v>
      </x:c>
    </x:row>
    <x:row r="402" ht="40" customHeight="1">
      <x:c r="A402" s="3" t="str">
        <x:f>HYPERLINK("#'Data &amp; Reporting'!A402","Open")</x:f>
        <x:v>Open</x:v>
      </x:c>
      <x:c r="B402" s="2" t="str">
        <x:f>'Data &amp; Reporting'!B402</x:f>
        <x:v>Cycle 3</x:v>
      </x:c>
      <x:c r="C402" s="2" t="str">
        <x:f>'Data &amp; Reporting'!C402</x:f>
        <x:v>Phase 1</x:v>
      </x:c>
      <x:c r="D402" s="2" t="str">
        <x:f>'Data &amp; Reporting'!D402</x:f>
        <x:v>Cards</x:v>
      </x:c>
      <x:c r="E402" s="2" t="str">
        <x:v>Data &amp; Reporting</x:v>
      </x:c>
      <x:c r="F402" s="56" t="str">
        <x:f>'Data &amp; Reporting'!E402</x:f>
        <x:v>DR.CA.1.3</x:v>
      </x:c>
      <x:c r="G402" s="14" t="str">
        <x:f>'Data &amp; Reporting'!F402</x:f>
        <x:v>Extract data for both potential topics, ensuring all checklist items below are included/completed</x:v>
      </x:c>
      <x:c r="H402" s="2" t="str">
        <x:f>IF('Data &amp; Reporting'!G402="","",'Data &amp; Reporting'!G402)</x:f>
      </x:c>
      <x:c r="I402" s="12" t="str">
        <x:f>IF('Data &amp; Reporting'!H402="","",'Data &amp; Reporting'!H402)</x:f>
      </x:c>
      <x:c r="J402" s="12" t="n">
        <x:f>IF('Data &amp; Reporting'!I402="","",'Data &amp; Reporting'!I402)</x:f>
        <x:v>46295</x:v>
      </x:c>
      <x:c r="K402" s="12" t="str">
        <x:f>IF('Data &amp; Reporting'!J402="","",'Data &amp; Reporting'!J402)</x:f>
      </x:c>
      <x:c r="L402" s="2" t="str">
        <x:f>IF('Data &amp; Reporting'!K402="","",'Data &amp; Reporting'!K402)</x:f>
      </x:c>
      <x:c r="M402" s="2" t="n">
        <x:f>'Data &amp; Reporting'!Q402</x:f>
        <x:v>1</x:v>
      </x:c>
      <x:c r="N402" s="2" t="str">
        <x:f>'Data &amp; Reporting'!L402</x:f>
        <x:v>Not started</x:v>
      </x:c>
      <x:c r="O402" s="2" t="str">
        <x:f>'Data &amp; Reporting'!N402</x:f>
        <x:v>DR.CA.1.3.2026.CY3</x:v>
      </x:c>
      <x:c r="P402" s="2" t="n">
        <x:f>'Data &amp; Reporting'!O402</x:f>
        <x:v>0</x:v>
      </x:c>
      <x:c r="Q402" s="2" t="n">
        <x:f>SUBTOTAL(103,O402)</x:f>
        <x:v>1</x:v>
      </x:c>
      <x:c r="R402" s="2" t="n">
        <x:f>IF(AND(M402=1,OR(Dashboard!$B$7="All",Dashboard!$B$7='Cycles &amp; Guide'!$C$5),OR(Dashboard!$D$7="All",Dashboard!$D$7=B402),OR(Dashboard!$F$7="All",Dashboard!$F$7=C402),OR(Dashboard!$H$7="All",Dashboard!$H$7=D402),OR(Dashboard!$K$7="All",Dashboard!$K$7=E402)),1,0)</x:f>
        <x:v>1</x:v>
      </x:c>
      <x:c r="S402" s="2" t="n">
        <x:f>IF(R402=1,SUM($R$10:R402),0)</x:f>
        <x:v>198</x:v>
      </x:c>
      <x:c r="T402" s="2" t="str">
        <x:v>Data &amp; Reporting</x:v>
      </x:c>
      <x:c r="U402" s="2" t="n">
        <x:v>402</x:v>
      </x:c>
      <x:c r="V402" s="2" t="n">
        <x:f>IF(AND(M402=1,P402=0,ISNUMBER(J402),J402&lt;TODAY()),1,0)</x:f>
        <x:v>0</x:v>
      </x:c>
      <x:c r="W402" s="2" t="str">
        <x:f>'Data &amp; Reporting'!M402</x:f>
        <x:v>Task</x:v>
      </x:c>
    </x:row>
    <x:row r="403" ht="40" customHeight="1">
      <x:c r="A403" s="3" t="str">
        <x:f>HYPERLINK("#'Data &amp; Reporting'!A403","Open")</x:f>
        <x:v>Open</x:v>
      </x:c>
      <x:c r="B403" s="2" t="str">
        <x:f>'Data &amp; Reporting'!B403</x:f>
        <x:v>Cycle 3</x:v>
      </x:c>
      <x:c r="C403" s="2" t="str">
        <x:f>'Data &amp; Reporting'!C403</x:f>
        <x:v>Phase 1</x:v>
      </x:c>
      <x:c r="D403" s="2" t="str">
        <x:f>'Data &amp; Reporting'!D403</x:f>
        <x:v>Cards</x:v>
      </x:c>
      <x:c r="E403" s="2" t="str">
        <x:v>Data &amp; Reporting</x:v>
      </x:c>
      <x:c r="F403" s="56" t="str">
        <x:f>'Data &amp; Reporting'!E403</x:f>
        <x:v>DR.CA.1.3.C01</x:v>
      </x:c>
      <x:c r="G403" s="14" t="str">
        <x:f>'Data &amp; Reporting'!F403</x:f>
        <x:v>    Document date range extracted</x:v>
      </x:c>
      <x:c r="H403" s="2" t="str">
        <x:f>IF('Data &amp; Reporting'!G403="","",'Data &amp; Reporting'!G403)</x:f>
      </x:c>
      <x:c r="I403" s="12" t="str">
        <x:f>IF('Data &amp; Reporting'!H403="","",'Data &amp; Reporting'!H403)</x:f>
      </x:c>
      <x:c r="J403" s="12" t="str">
        <x:f>IF('Data &amp; Reporting'!I403="","",'Data &amp; Reporting'!I403)</x:f>
      </x:c>
      <x:c r="K403" s="12" t="str">
        <x:f>IF('Data &amp; Reporting'!J403="","",'Data &amp; Reporting'!J403)</x:f>
      </x:c>
      <x:c r="L403" s="2" t="str">
        <x:f>IF('Data &amp; Reporting'!K403="","",'Data &amp; Reporting'!K403)</x:f>
      </x:c>
      <x:c r="M403" s="2" t="n">
        <x:f>'Data &amp; Reporting'!Q403</x:f>
        <x:v>0</x:v>
      </x:c>
      <x:c r="N403" s="2" t="str">
        <x:f>'Data &amp; Reporting'!L403</x:f>
        <x:v>Open check</x:v>
      </x:c>
      <x:c r="O403" s="2" t="str">
        <x:f>'Data &amp; Reporting'!N403</x:f>
        <x:v>DR.CA.1.3.C01.2026.CY3</x:v>
      </x:c>
      <x:c r="P403" s="2" t="n">
        <x:f>'Data &amp; Reporting'!O403</x:f>
        <x:v>0</x:v>
      </x:c>
      <x:c r="Q403" s="2" t="n">
        <x:f>SUBTOTAL(103,O403)</x:f>
        <x:v>1</x:v>
      </x:c>
      <x:c r="R403" s="2" t="n">
        <x:f>IF(AND(M403=1,OR(Dashboard!$B$7="All",Dashboard!$B$7='Cycles &amp; Guide'!$C$5),OR(Dashboard!$D$7="All",Dashboard!$D$7=B403),OR(Dashboard!$F$7="All",Dashboard!$F$7=C403),OR(Dashboard!$H$7="All",Dashboard!$H$7=D403),OR(Dashboard!$K$7="All",Dashboard!$K$7=E403)),1,0)</x:f>
        <x:v>0</x:v>
      </x:c>
      <x:c r="S403" s="2" t="n">
        <x:f>IF(R403=1,SUM($R$10:R403),0)</x:f>
        <x:v>0</x:v>
      </x:c>
      <x:c r="T403" s="2" t="str">
        <x:v>Data &amp; Reporting</x:v>
      </x:c>
      <x:c r="U403" s="2" t="n">
        <x:v>403</x:v>
      </x:c>
      <x:c r="V403" s="2" t="n">
        <x:f>IF(AND(M403=1,P403=0,ISNUMBER(J403),J403&lt;TODAY()),1,0)</x:f>
        <x:v>0</x:v>
      </x:c>
      <x:c r="W403" s="2" t="str">
        <x:f>'Data &amp; Reporting'!M403</x:f>
        <x:v>Checklist</x:v>
      </x:c>
    </x:row>
    <x:row r="404" ht="40" customHeight="1">
      <x:c r="A404" s="3" t="str">
        <x:f>HYPERLINK("#'Data &amp; Reporting'!A404","Open")</x:f>
        <x:v>Open</x:v>
      </x:c>
      <x:c r="B404" s="2" t="str">
        <x:f>'Data &amp; Reporting'!B404</x:f>
        <x:v>Cycle 3</x:v>
      </x:c>
      <x:c r="C404" s="2" t="str">
        <x:f>'Data &amp; Reporting'!C404</x:f>
        <x:v>Phase 1</x:v>
      </x:c>
      <x:c r="D404" s="2" t="str">
        <x:f>'Data &amp; Reporting'!D404</x:f>
        <x:v>Cards</x:v>
      </x:c>
      <x:c r="E404" s="2" t="str">
        <x:v>Data &amp; Reporting</x:v>
      </x:c>
      <x:c r="F404" s="56" t="str">
        <x:f>'Data &amp; Reporting'!E404</x:f>
        <x:v>DR.CA.1.3.C02</x:v>
      </x:c>
      <x:c r="G404" s="14" t="str">
        <x:f>'Data &amp; Reporting'!F404</x:f>
        <x:v>    Document date of data pull</x:v>
      </x:c>
      <x:c r="H404" s="2" t="str">
        <x:f>IF('Data &amp; Reporting'!G404="","",'Data &amp; Reporting'!G404)</x:f>
      </x:c>
      <x:c r="I404" s="12" t="str">
        <x:f>IF('Data &amp; Reporting'!H404="","",'Data &amp; Reporting'!H404)</x:f>
      </x:c>
      <x:c r="J404" s="12" t="str">
        <x:f>IF('Data &amp; Reporting'!I404="","",'Data &amp; Reporting'!I404)</x:f>
      </x:c>
      <x:c r="K404" s="12" t="str">
        <x:f>IF('Data &amp; Reporting'!J404="","",'Data &amp; Reporting'!J404)</x:f>
      </x:c>
      <x:c r="L404" s="2" t="str">
        <x:f>IF('Data &amp; Reporting'!K404="","",'Data &amp; Reporting'!K404)</x:f>
      </x:c>
      <x:c r="M404" s="2" t="n">
        <x:f>'Data &amp; Reporting'!Q404</x:f>
        <x:v>0</x:v>
      </x:c>
      <x:c r="N404" s="2" t="str">
        <x:f>'Data &amp; Reporting'!L404</x:f>
        <x:v>Open check</x:v>
      </x:c>
      <x:c r="O404" s="2" t="str">
        <x:f>'Data &amp; Reporting'!N404</x:f>
        <x:v>DR.CA.1.3.C02.2026.CY3</x:v>
      </x:c>
      <x:c r="P404" s="2" t="n">
        <x:f>'Data &amp; Reporting'!O404</x:f>
        <x:v>0</x:v>
      </x:c>
      <x:c r="Q404" s="2" t="n">
        <x:f>SUBTOTAL(103,O404)</x:f>
        <x:v>1</x:v>
      </x:c>
      <x:c r="R404" s="2" t="n">
        <x:f>IF(AND(M404=1,OR(Dashboard!$B$7="All",Dashboard!$B$7='Cycles &amp; Guide'!$C$5),OR(Dashboard!$D$7="All",Dashboard!$D$7=B404),OR(Dashboard!$F$7="All",Dashboard!$F$7=C404),OR(Dashboard!$H$7="All",Dashboard!$H$7=D404),OR(Dashboard!$K$7="All",Dashboard!$K$7=E404)),1,0)</x:f>
        <x:v>0</x:v>
      </x:c>
      <x:c r="S404" s="2" t="n">
        <x:f>IF(R404=1,SUM($R$10:R404),0)</x:f>
        <x:v>0</x:v>
      </x:c>
      <x:c r="T404" s="2" t="str">
        <x:v>Data &amp; Reporting</x:v>
      </x:c>
      <x:c r="U404" s="2" t="n">
        <x:v>404</x:v>
      </x:c>
      <x:c r="V404" s="2" t="n">
        <x:f>IF(AND(M404=1,P404=0,ISNUMBER(J404),J404&lt;TODAY()),1,0)</x:f>
        <x:v>0</x:v>
      </x:c>
      <x:c r="W404" s="2" t="str">
        <x:f>'Data &amp; Reporting'!M404</x:f>
        <x:v>Checklist</x:v>
      </x:c>
    </x:row>
    <x:row r="405" ht="40" customHeight="1">
      <x:c r="A405" s="3" t="str">
        <x:f>HYPERLINK("#'Data &amp; Reporting'!A405","Open")</x:f>
        <x:v>Open</x:v>
      </x:c>
      <x:c r="B405" s="2" t="str">
        <x:f>'Data &amp; Reporting'!B405</x:f>
        <x:v>Cycle 3</x:v>
      </x:c>
      <x:c r="C405" s="2" t="str">
        <x:f>'Data &amp; Reporting'!C405</x:f>
        <x:v>Phase 1</x:v>
      </x:c>
      <x:c r="D405" s="2" t="str">
        <x:f>'Data &amp; Reporting'!D405</x:f>
        <x:v>Cards</x:v>
      </x:c>
      <x:c r="E405" s="2" t="str">
        <x:v>Data &amp; Reporting</x:v>
      </x:c>
      <x:c r="F405" s="56" t="str">
        <x:f>'Data &amp; Reporting'!E405</x:f>
        <x:v>DR.CA.1.3.C03</x:v>
      </x:c>
      <x:c r="G405" s="14" t="str">
        <x:f>'Data &amp; Reporting'!F405</x:f>
        <x:v>    Document population details</x:v>
      </x:c>
      <x:c r="H405" s="2" t="str">
        <x:f>IF('Data &amp; Reporting'!G405="","",'Data &amp; Reporting'!G405)</x:f>
      </x:c>
      <x:c r="I405" s="12" t="str">
        <x:f>IF('Data &amp; Reporting'!H405="","",'Data &amp; Reporting'!H405)</x:f>
      </x:c>
      <x:c r="J405" s="12" t="str">
        <x:f>IF('Data &amp; Reporting'!I405="","",'Data &amp; Reporting'!I405)</x:f>
      </x:c>
      <x:c r="K405" s="12" t="str">
        <x:f>IF('Data &amp; Reporting'!J405="","",'Data &amp; Reporting'!J405)</x:f>
      </x:c>
      <x:c r="L405" s="2" t="str">
        <x:f>IF('Data &amp; Reporting'!K405="","",'Data &amp; Reporting'!K405)</x:f>
      </x:c>
      <x:c r="M405" s="2" t="n">
        <x:f>'Data &amp; Reporting'!Q405</x:f>
        <x:v>0</x:v>
      </x:c>
      <x:c r="N405" s="2" t="str">
        <x:f>'Data &amp; Reporting'!L405</x:f>
        <x:v>Open check</x:v>
      </x:c>
      <x:c r="O405" s="2" t="str">
        <x:f>'Data &amp; Reporting'!N405</x:f>
        <x:v>DR.CA.1.3.C03.2026.CY3</x:v>
      </x:c>
      <x:c r="P405" s="2" t="n">
        <x:f>'Data &amp; Reporting'!O405</x:f>
        <x:v>0</x:v>
      </x:c>
      <x:c r="Q405" s="2" t="n">
        <x:f>SUBTOTAL(103,O405)</x:f>
        <x:v>1</x:v>
      </x:c>
      <x:c r="R405" s="2" t="n">
        <x:f>IF(AND(M405=1,OR(Dashboard!$B$7="All",Dashboard!$B$7='Cycles &amp; Guide'!$C$5),OR(Dashboard!$D$7="All",Dashboard!$D$7=B405),OR(Dashboard!$F$7="All",Dashboard!$F$7=C405),OR(Dashboard!$H$7="All",Dashboard!$H$7=D405),OR(Dashboard!$K$7="All",Dashboard!$K$7=E405)),1,0)</x:f>
        <x:v>0</x:v>
      </x:c>
      <x:c r="S405" s="2" t="n">
        <x:f>IF(R405=1,SUM($R$10:R405),0)</x:f>
        <x:v>0</x:v>
      </x:c>
      <x:c r="T405" s="2" t="str">
        <x:v>Data &amp; Reporting</x:v>
      </x:c>
      <x:c r="U405" s="2" t="n">
        <x:v>405</x:v>
      </x:c>
      <x:c r="V405" s="2" t="n">
        <x:f>IF(AND(M405=1,P405=0,ISNUMBER(J405),J405&lt;TODAY()),1,0)</x:f>
        <x:v>0</x:v>
      </x:c>
      <x:c r="W405" s="2" t="str">
        <x:f>'Data &amp; Reporting'!M405</x:f>
        <x:v>Checklist</x:v>
      </x:c>
    </x:row>
    <x:row r="406" ht="40" customHeight="1">
      <x:c r="A406" s="3" t="str">
        <x:f>HYPERLINK("#'Data &amp; Reporting'!A406","Open")</x:f>
        <x:v>Open</x:v>
      </x:c>
      <x:c r="B406" s="2" t="str">
        <x:f>'Data &amp; Reporting'!B406</x:f>
        <x:v>Cycle 3</x:v>
      </x:c>
      <x:c r="C406" s="2" t="str">
        <x:f>'Data &amp; Reporting'!C406</x:f>
        <x:v>Phase 1</x:v>
      </x:c>
      <x:c r="D406" s="2" t="str">
        <x:f>'Data &amp; Reporting'!D406</x:f>
        <x:v>Cards</x:v>
      </x:c>
      <x:c r="E406" s="2" t="str">
        <x:v>Data &amp; Reporting</x:v>
      </x:c>
      <x:c r="F406" s="56" t="str">
        <x:f>'Data &amp; Reporting'!E406</x:f>
        <x:v>DR.CA.1.3.C04</x:v>
      </x:c>
      <x:c r="G406" s="14" t="str">
        <x:f>'Data &amp; Reporting'!F406</x:f>
        <x:v>    Validate no data is missing</x:v>
      </x:c>
      <x:c r="H406" s="2" t="str">
        <x:f>IF('Data &amp; Reporting'!G406="","",'Data &amp; Reporting'!G406)</x:f>
      </x:c>
      <x:c r="I406" s="12" t="str">
        <x:f>IF('Data &amp; Reporting'!H406="","",'Data &amp; Reporting'!H406)</x:f>
      </x:c>
      <x:c r="J406" s="12" t="str">
        <x:f>IF('Data &amp; Reporting'!I406="","",'Data &amp; Reporting'!I406)</x:f>
      </x:c>
      <x:c r="K406" s="12" t="str">
        <x:f>IF('Data &amp; Reporting'!J406="","",'Data &amp; Reporting'!J406)</x:f>
      </x:c>
      <x:c r="L406" s="2" t="str">
        <x:f>IF('Data &amp; Reporting'!K406="","",'Data &amp; Reporting'!K406)</x:f>
      </x:c>
      <x:c r="M406" s="2" t="n">
        <x:f>'Data &amp; Reporting'!Q406</x:f>
        <x:v>0</x:v>
      </x:c>
      <x:c r="N406" s="2" t="str">
        <x:f>'Data &amp; Reporting'!L406</x:f>
        <x:v>Open check</x:v>
      </x:c>
      <x:c r="O406" s="2" t="str">
        <x:f>'Data &amp; Reporting'!N406</x:f>
        <x:v>DR.CA.1.3.C04.2026.CY3</x:v>
      </x:c>
      <x:c r="P406" s="2" t="n">
        <x:f>'Data &amp; Reporting'!O406</x:f>
        <x:v>0</x:v>
      </x:c>
      <x:c r="Q406" s="2" t="n">
        <x:f>SUBTOTAL(103,O406)</x:f>
        <x:v>1</x:v>
      </x:c>
      <x:c r="R406" s="2" t="n">
        <x:f>IF(AND(M406=1,OR(Dashboard!$B$7="All",Dashboard!$B$7='Cycles &amp; Guide'!$C$5),OR(Dashboard!$D$7="All",Dashboard!$D$7=B406),OR(Dashboard!$F$7="All",Dashboard!$F$7=C406),OR(Dashboard!$H$7="All",Dashboard!$H$7=D406),OR(Dashboard!$K$7="All",Dashboard!$K$7=E406)),1,0)</x:f>
        <x:v>0</x:v>
      </x:c>
      <x:c r="S406" s="2" t="n">
        <x:f>IF(R406=1,SUM($R$10:R406),0)</x:f>
        <x:v>0</x:v>
      </x:c>
      <x:c r="T406" s="2" t="str">
        <x:v>Data &amp; Reporting</x:v>
      </x:c>
      <x:c r="U406" s="2" t="n">
        <x:v>406</x:v>
      </x:c>
      <x:c r="V406" s="2" t="n">
        <x:f>IF(AND(M406=1,P406=0,ISNUMBER(J406),J406&lt;TODAY()),1,0)</x:f>
        <x:v>0</x:v>
      </x:c>
      <x:c r="W406" s="2" t="str">
        <x:f>'Data &amp; Reporting'!M406</x:f>
        <x:v>Checklist</x:v>
      </x:c>
    </x:row>
    <x:row r="407" ht="40" customHeight="1">
      <x:c r="A407" s="3" t="str">
        <x:f>HYPERLINK("#'Data &amp; Reporting'!A407","Open")</x:f>
        <x:v>Open</x:v>
      </x:c>
      <x:c r="B407" s="2" t="str">
        <x:f>'Data &amp; Reporting'!B407</x:f>
        <x:v>Cycle 3</x:v>
      </x:c>
      <x:c r="C407" s="2" t="str">
        <x:f>'Data &amp; Reporting'!C407</x:f>
        <x:v>Phase 1</x:v>
      </x:c>
      <x:c r="D407" s="2" t="str">
        <x:f>'Data &amp; Reporting'!D407</x:f>
        <x:v>Cards</x:v>
      </x:c>
      <x:c r="E407" s="2" t="str">
        <x:v>Data &amp; Reporting</x:v>
      </x:c>
      <x:c r="F407" s="56" t="str">
        <x:f>'Data &amp; Reporting'!E407</x:f>
        <x:v>DR.CA.1.3.C05</x:v>
      </x:c>
      <x:c r="G407" s="14" t="str">
        <x:f>'Data &amp; Reporting'!F407</x:f>
        <x:v>    Validate accuracy of data</x:v>
      </x:c>
      <x:c r="H407" s="2" t="str">
        <x:f>IF('Data &amp; Reporting'!G407="","",'Data &amp; Reporting'!G407)</x:f>
      </x:c>
      <x:c r="I407" s="12" t="str">
        <x:f>IF('Data &amp; Reporting'!H407="","",'Data &amp; Reporting'!H407)</x:f>
      </x:c>
      <x:c r="J407" s="12" t="str">
        <x:f>IF('Data &amp; Reporting'!I407="","",'Data &amp; Reporting'!I407)</x:f>
      </x:c>
      <x:c r="K407" s="12" t="str">
        <x:f>IF('Data &amp; Reporting'!J407="","",'Data &amp; Reporting'!J407)</x:f>
      </x:c>
      <x:c r="L407" s="2" t="str">
        <x:f>IF('Data &amp; Reporting'!K407="","",'Data &amp; Reporting'!K407)</x:f>
      </x:c>
      <x:c r="M407" s="2" t="n">
        <x:f>'Data &amp; Reporting'!Q407</x:f>
        <x:v>0</x:v>
      </x:c>
      <x:c r="N407" s="2" t="str">
        <x:f>'Data &amp; Reporting'!L407</x:f>
        <x:v>Open check</x:v>
      </x:c>
      <x:c r="O407" s="2" t="str">
        <x:f>'Data &amp; Reporting'!N407</x:f>
        <x:v>DR.CA.1.3.C05.2026.CY3</x:v>
      </x:c>
      <x:c r="P407" s="2" t="n">
        <x:f>'Data &amp; Reporting'!O407</x:f>
        <x:v>0</x:v>
      </x:c>
      <x:c r="Q407" s="2" t="n">
        <x:f>SUBTOTAL(103,O407)</x:f>
        <x:v>1</x:v>
      </x:c>
      <x:c r="R407" s="2" t="n">
        <x:f>IF(AND(M407=1,OR(Dashboard!$B$7="All",Dashboard!$B$7='Cycles &amp; Guide'!$C$5),OR(Dashboard!$D$7="All",Dashboard!$D$7=B407),OR(Dashboard!$F$7="All",Dashboard!$F$7=C407),OR(Dashboard!$H$7="All",Dashboard!$H$7=D407),OR(Dashboard!$K$7="All",Dashboard!$K$7=E407)),1,0)</x:f>
        <x:v>0</x:v>
      </x:c>
      <x:c r="S407" s="2" t="n">
        <x:f>IF(R407=1,SUM($R$10:R407),0)</x:f>
        <x:v>0</x:v>
      </x:c>
      <x:c r="T407" s="2" t="str">
        <x:v>Data &amp; Reporting</x:v>
      </x:c>
      <x:c r="U407" s="2" t="n">
        <x:v>407</x:v>
      </x:c>
      <x:c r="V407" s="2" t="n">
        <x:f>IF(AND(M407=1,P407=0,ISNUMBER(J407),J407&lt;TODAY()),1,0)</x:f>
        <x:v>0</x:v>
      </x:c>
      <x:c r="W407" s="2" t="str">
        <x:f>'Data &amp; Reporting'!M407</x:f>
        <x:v>Checklist</x:v>
      </x:c>
    </x:row>
    <x:row r="408" ht="40" customHeight="1">
      <x:c r="A408" s="3" t="str">
        <x:f>HYPERLINK("#'Data &amp; Reporting'!A408","Open")</x:f>
        <x:v>Open</x:v>
      </x:c>
      <x:c r="B408" s="2" t="str">
        <x:f>'Data &amp; Reporting'!B408</x:f>
        <x:v>Cycle 3</x:v>
      </x:c>
      <x:c r="C408" s="2" t="str">
        <x:f>'Data &amp; Reporting'!C408</x:f>
        <x:v>Phase 1</x:v>
      </x:c>
      <x:c r="D408" s="2" t="str">
        <x:f>'Data &amp; Reporting'!D408</x:f>
        <x:v>Cards</x:v>
      </x:c>
      <x:c r="E408" s="2" t="str">
        <x:v>Data &amp; Reporting</x:v>
      </x:c>
      <x:c r="F408" s="56" t="str">
        <x:f>'Data &amp; Reporting'!E408</x:f>
        <x:v>DR.CA.1.3.C06</x:v>
      </x:c>
      <x:c r="G408" s="14" t="str">
        <x:f>'Data &amp; Reporting'!F408</x:f>
        <x:v>    Validate no duplicate data is provided</x:v>
      </x:c>
      <x:c r="H408" s="2" t="str">
        <x:f>IF('Data &amp; Reporting'!G408="","",'Data &amp; Reporting'!G408)</x:f>
      </x:c>
      <x:c r="I408" s="12" t="str">
        <x:f>IF('Data &amp; Reporting'!H408="","",'Data &amp; Reporting'!H408)</x:f>
      </x:c>
      <x:c r="J408" s="12" t="str">
        <x:f>IF('Data &amp; Reporting'!I408="","",'Data &amp; Reporting'!I408)</x:f>
      </x:c>
      <x:c r="K408" s="12" t="str">
        <x:f>IF('Data &amp; Reporting'!J408="","",'Data &amp; Reporting'!J408)</x:f>
      </x:c>
      <x:c r="L408" s="2" t="str">
        <x:f>IF('Data &amp; Reporting'!K408="","",'Data &amp; Reporting'!K408)</x:f>
      </x:c>
      <x:c r="M408" s="2" t="n">
        <x:f>'Data &amp; Reporting'!Q408</x:f>
        <x:v>0</x:v>
      </x:c>
      <x:c r="N408" s="2" t="str">
        <x:f>'Data &amp; Reporting'!L408</x:f>
        <x:v>Open check</x:v>
      </x:c>
      <x:c r="O408" s="2" t="str">
        <x:f>'Data &amp; Reporting'!N408</x:f>
        <x:v>DR.CA.1.3.C06.2026.CY3</x:v>
      </x:c>
      <x:c r="P408" s="2" t="n">
        <x:f>'Data &amp; Reporting'!O408</x:f>
        <x:v>0</x:v>
      </x:c>
      <x:c r="Q408" s="2" t="n">
        <x:f>SUBTOTAL(103,O408)</x:f>
        <x:v>1</x:v>
      </x:c>
      <x:c r="R408" s="2" t="n">
        <x:f>IF(AND(M408=1,OR(Dashboard!$B$7="All",Dashboard!$B$7='Cycles &amp; Guide'!$C$5),OR(Dashboard!$D$7="All",Dashboard!$D$7=B408),OR(Dashboard!$F$7="All",Dashboard!$F$7=C408),OR(Dashboard!$H$7="All",Dashboard!$H$7=D408),OR(Dashboard!$K$7="All",Dashboard!$K$7=E408)),1,0)</x:f>
        <x:v>0</x:v>
      </x:c>
      <x:c r="S408" s="2" t="n">
        <x:f>IF(R408=1,SUM($R$10:R408),0)</x:f>
        <x:v>0</x:v>
      </x:c>
      <x:c r="T408" s="2" t="str">
        <x:v>Data &amp; Reporting</x:v>
      </x:c>
      <x:c r="U408" s="2" t="n">
        <x:v>408</x:v>
      </x:c>
      <x:c r="V408" s="2" t="n">
        <x:f>IF(AND(M408=1,P408=0,ISNUMBER(J408),J408&lt;TODAY()),1,0)</x:f>
        <x:v>0</x:v>
      </x:c>
      <x:c r="W408" s="2" t="str">
        <x:f>'Data &amp; Reporting'!M408</x:f>
        <x:v>Checklist</x:v>
      </x:c>
    </x:row>
    <x:row r="409" ht="40" customHeight="1">
      <x:c r="A409" s="3" t="str">
        <x:f>HYPERLINK("#'Data &amp; Reporting'!A409","Open")</x:f>
        <x:v>Open</x:v>
      </x:c>
      <x:c r="B409" s="2" t="str">
        <x:f>'Data &amp; Reporting'!B409</x:f>
        <x:v>Cycle 3</x:v>
      </x:c>
      <x:c r="C409" s="2" t="str">
        <x:f>'Data &amp; Reporting'!C409</x:f>
        <x:v>Phase 1</x:v>
      </x:c>
      <x:c r="D409" s="2" t="str">
        <x:f>'Data &amp; Reporting'!D409</x:f>
        <x:v>Cards</x:v>
      </x:c>
      <x:c r="E409" s="2" t="str">
        <x:v>Data &amp; Reporting</x:v>
      </x:c>
      <x:c r="F409" s="56" t="str">
        <x:f>'Data &amp; Reporting'!E409</x:f>
        <x:v>DR.CA.1.3.C07</x:v>
      </x:c>
      <x:c r="G409" s="14" t="str">
        <x:f>'Data &amp; Reporting'!F409</x:f>
        <x:v>    Document any data exclusions along with justification (as needed)</x:v>
      </x:c>
      <x:c r="H409" s="2" t="str">
        <x:f>IF('Data &amp; Reporting'!G409="","",'Data &amp; Reporting'!G409)</x:f>
      </x:c>
      <x:c r="I409" s="12" t="str">
        <x:f>IF('Data &amp; Reporting'!H409="","",'Data &amp; Reporting'!H409)</x:f>
      </x:c>
      <x:c r="J409" s="12" t="str">
        <x:f>IF('Data &amp; Reporting'!I409="","",'Data &amp; Reporting'!I409)</x:f>
      </x:c>
      <x:c r="K409" s="12" t="str">
        <x:f>IF('Data &amp; Reporting'!J409="","",'Data &amp; Reporting'!J409)</x:f>
      </x:c>
      <x:c r="L409" s="2" t="str">
        <x:f>IF('Data &amp; Reporting'!K409="","",'Data &amp; Reporting'!K409)</x:f>
      </x:c>
      <x:c r="M409" s="2" t="n">
        <x:f>'Data &amp; Reporting'!Q409</x:f>
        <x:v>0</x:v>
      </x:c>
      <x:c r="N409" s="2" t="str">
        <x:f>'Data &amp; Reporting'!L409</x:f>
        <x:v>Open check</x:v>
      </x:c>
      <x:c r="O409" s="2" t="str">
        <x:f>'Data &amp; Reporting'!N409</x:f>
        <x:v>DR.CA.1.3.C07.2026.CY3</x:v>
      </x:c>
      <x:c r="P409" s="2" t="n">
        <x:f>'Data &amp; Reporting'!O409</x:f>
        <x:v>0</x:v>
      </x:c>
      <x:c r="Q409" s="2" t="n">
        <x:f>SUBTOTAL(103,O409)</x:f>
        <x:v>1</x:v>
      </x:c>
      <x:c r="R409" s="2" t="n">
        <x:f>IF(AND(M409=1,OR(Dashboard!$B$7="All",Dashboard!$B$7='Cycles &amp; Guide'!$C$5),OR(Dashboard!$D$7="All",Dashboard!$D$7=B409),OR(Dashboard!$F$7="All",Dashboard!$F$7=C409),OR(Dashboard!$H$7="All",Dashboard!$H$7=D409),OR(Dashboard!$K$7="All",Dashboard!$K$7=E409)),1,0)</x:f>
        <x:v>0</x:v>
      </x:c>
      <x:c r="S409" s="2" t="n">
        <x:f>IF(R409=1,SUM($R$10:R409),0)</x:f>
        <x:v>0</x:v>
      </x:c>
      <x:c r="T409" s="2" t="str">
        <x:v>Data &amp; Reporting</x:v>
      </x:c>
      <x:c r="U409" s="2" t="n">
        <x:v>409</x:v>
      </x:c>
      <x:c r="V409" s="2" t="n">
        <x:f>IF(AND(M409=1,P409=0,ISNUMBER(J409),J409&lt;TODAY()),1,0)</x:f>
        <x:v>0</x:v>
      </x:c>
      <x:c r="W409" s="2" t="str">
        <x:f>'Data &amp; Reporting'!M409</x:f>
        <x:v>Checklist</x:v>
      </x:c>
    </x:row>
    <x:row r="410" ht="40" customHeight="1">
      <x:c r="A410" s="3" t="str">
        <x:f>HYPERLINK("#'Data &amp; Reporting'!A410","Open")</x:f>
        <x:v>Open</x:v>
      </x:c>
      <x:c r="B410" s="2" t="str">
        <x:f>'Data &amp; Reporting'!B410</x:f>
        <x:v>Cycle 3</x:v>
      </x:c>
      <x:c r="C410" s="2" t="str">
        <x:f>'Data &amp; Reporting'!C410</x:f>
        <x:v>Phase 1</x:v>
      </x:c>
      <x:c r="D410" s="2" t="str">
        <x:f>'Data &amp; Reporting'!D410</x:f>
        <x:v>Cards</x:v>
      </x:c>
      <x:c r="E410" s="2" t="str">
        <x:v>Data &amp; Reporting</x:v>
      </x:c>
      <x:c r="F410" s="56" t="str">
        <x:f>'Data &amp; Reporting'!E410</x:f>
        <x:v>DR.CA.1.3.C08</x:v>
      </x:c>
      <x:c r="G410" s="14" t="str">
        <x:f>'Data &amp; Reporting'!F410</x:f>
        <x:v>    Document any assumptions made with the data (as needed)</x:v>
      </x:c>
      <x:c r="H410" s="2" t="str">
        <x:f>IF('Data &amp; Reporting'!G410="","",'Data &amp; Reporting'!G410)</x:f>
      </x:c>
      <x:c r="I410" s="12" t="str">
        <x:f>IF('Data &amp; Reporting'!H410="","",'Data &amp; Reporting'!H410)</x:f>
      </x:c>
      <x:c r="J410" s="12" t="str">
        <x:f>IF('Data &amp; Reporting'!I410="","",'Data &amp; Reporting'!I410)</x:f>
      </x:c>
      <x:c r="K410" s="12" t="str">
        <x:f>IF('Data &amp; Reporting'!J410="","",'Data &amp; Reporting'!J410)</x:f>
      </x:c>
      <x:c r="L410" s="2" t="str">
        <x:f>IF('Data &amp; Reporting'!K410="","",'Data &amp; Reporting'!K410)</x:f>
      </x:c>
      <x:c r="M410" s="2" t="n">
        <x:f>'Data &amp; Reporting'!Q410</x:f>
        <x:v>0</x:v>
      </x:c>
      <x:c r="N410" s="2" t="str">
        <x:f>'Data &amp; Reporting'!L410</x:f>
        <x:v>Open check</x:v>
      </x:c>
      <x:c r="O410" s="2" t="str">
        <x:f>'Data &amp; Reporting'!N410</x:f>
        <x:v>DR.CA.1.3.C08.2026.CY3</x:v>
      </x:c>
      <x:c r="P410" s="2" t="n">
        <x:f>'Data &amp; Reporting'!O410</x:f>
        <x:v>0</x:v>
      </x:c>
      <x:c r="Q410" s="2" t="n">
        <x:f>SUBTOTAL(103,O410)</x:f>
        <x:v>1</x:v>
      </x:c>
      <x:c r="R410" s="2" t="n">
        <x:f>IF(AND(M410=1,OR(Dashboard!$B$7="All",Dashboard!$B$7='Cycles &amp; Guide'!$C$5),OR(Dashboard!$D$7="All",Dashboard!$D$7=B410),OR(Dashboard!$F$7="All",Dashboard!$F$7=C410),OR(Dashboard!$H$7="All",Dashboard!$H$7=D410),OR(Dashboard!$K$7="All",Dashboard!$K$7=E410)),1,0)</x:f>
        <x:v>0</x:v>
      </x:c>
      <x:c r="S410" s="2" t="n">
        <x:f>IF(R410=1,SUM($R$10:R410),0)</x:f>
        <x:v>0</x:v>
      </x:c>
      <x:c r="T410" s="2" t="str">
        <x:v>Data &amp; Reporting</x:v>
      </x:c>
      <x:c r="U410" s="2" t="n">
        <x:v>410</x:v>
      </x:c>
      <x:c r="V410" s="2" t="n">
        <x:f>IF(AND(M410=1,P410=0,ISNUMBER(J410),J410&lt;TODAY()),1,0)</x:f>
        <x:v>0</x:v>
      </x:c>
      <x:c r="W410" s="2" t="str">
        <x:f>'Data &amp; Reporting'!M410</x:f>
        <x:v>Checklist</x:v>
      </x:c>
    </x:row>
    <x:row r="411" ht="40" customHeight="1">
      <x:c r="A411" s="3" t="str">
        <x:f>HYPERLINK("#'Data &amp; Reporting'!A411","Open")</x:f>
        <x:v>Open</x:v>
      </x:c>
      <x:c r="B411" s="2" t="str">
        <x:f>'Data &amp; Reporting'!B411</x:f>
        <x:v>Cycle 3</x:v>
      </x:c>
      <x:c r="C411" s="2" t="str">
        <x:f>'Data &amp; Reporting'!C411</x:f>
        <x:v>Phase 1</x:v>
      </x:c>
      <x:c r="D411" s="2" t="str">
        <x:f>'Data &amp; Reporting'!D411</x:f>
        <x:v>Cards</x:v>
      </x:c>
      <x:c r="E411" s="2" t="str">
        <x:v>Data &amp; Reporting</x:v>
      </x:c>
      <x:c r="F411" s="56" t="str">
        <x:f>'Data &amp; Reporting'!E411</x:f>
        <x:v>DR.CA.1.3.C09</x:v>
      </x:c>
      <x:c r="G411" s="14" t="str">
        <x:f>'Data &amp; Reporting'!F411</x:f>
        <x:v>    Document any data limitations or constraints clearly (as needed)</x:v>
      </x:c>
      <x:c r="H411" s="2" t="str">
        <x:f>IF('Data &amp; Reporting'!G411="","",'Data &amp; Reporting'!G411)</x:f>
      </x:c>
      <x:c r="I411" s="12" t="str">
        <x:f>IF('Data &amp; Reporting'!H411="","",'Data &amp; Reporting'!H411)</x:f>
      </x:c>
      <x:c r="J411" s="12" t="str">
        <x:f>IF('Data &amp; Reporting'!I411="","",'Data &amp; Reporting'!I411)</x:f>
      </x:c>
      <x:c r="K411" s="12" t="str">
        <x:f>IF('Data &amp; Reporting'!J411="","",'Data &amp; Reporting'!J411)</x:f>
      </x:c>
      <x:c r="L411" s="2" t="str">
        <x:f>IF('Data &amp; Reporting'!K411="","",'Data &amp; Reporting'!K411)</x:f>
      </x:c>
      <x:c r="M411" s="2" t="n">
        <x:f>'Data &amp; Reporting'!Q411</x:f>
        <x:v>0</x:v>
      </x:c>
      <x:c r="N411" s="2" t="str">
        <x:f>'Data &amp; Reporting'!L411</x:f>
        <x:v>Open check</x:v>
      </x:c>
      <x:c r="O411" s="2" t="str">
        <x:f>'Data &amp; Reporting'!N411</x:f>
        <x:v>DR.CA.1.3.C09.2026.CY3</x:v>
      </x:c>
      <x:c r="P411" s="2" t="n">
        <x:f>'Data &amp; Reporting'!O411</x:f>
        <x:v>0</x:v>
      </x:c>
      <x:c r="Q411" s="2" t="n">
        <x:f>SUBTOTAL(103,O411)</x:f>
        <x:v>1</x:v>
      </x:c>
      <x:c r="R411" s="2" t="n">
        <x:f>IF(AND(M411=1,OR(Dashboard!$B$7="All",Dashboard!$B$7='Cycles &amp; Guide'!$C$5),OR(Dashboard!$D$7="All",Dashboard!$D$7=B411),OR(Dashboard!$F$7="All",Dashboard!$F$7=C411),OR(Dashboard!$H$7="All",Dashboard!$H$7=D411),OR(Dashboard!$K$7="All",Dashboard!$K$7=E411)),1,0)</x:f>
        <x:v>0</x:v>
      </x:c>
      <x:c r="S411" s="2" t="n">
        <x:f>IF(R411=1,SUM($R$10:R411),0)</x:f>
        <x:v>0</x:v>
      </x:c>
      <x:c r="T411" s="2" t="str">
        <x:v>Data &amp; Reporting</x:v>
      </x:c>
      <x:c r="U411" s="2" t="n">
        <x:v>411</x:v>
      </x:c>
      <x:c r="V411" s="2" t="n">
        <x:f>IF(AND(M411=1,P411=0,ISNUMBER(J411),J411&lt;TODAY()),1,0)</x:f>
        <x:v>0</x:v>
      </x:c>
      <x:c r="W411" s="2" t="str">
        <x:f>'Data &amp; Reporting'!M411</x:f>
        <x:v>Checklist</x:v>
      </x:c>
    </x:row>
    <x:row r="412" ht="40" customHeight="1">
      <x:c r="A412" s="3" t="str">
        <x:f>HYPERLINK("#'Data &amp; Reporting'!A412","Open")</x:f>
        <x:v>Open</x:v>
      </x:c>
      <x:c r="B412" s="2" t="str">
        <x:f>'Data &amp; Reporting'!B412</x:f>
        <x:v>Cycle 3</x:v>
      </x:c>
      <x:c r="C412" s="2" t="str">
        <x:f>'Data &amp; Reporting'!C412</x:f>
        <x:v>Phase 1</x:v>
      </x:c>
      <x:c r="D412" s="2" t="str">
        <x:f>'Data &amp; Reporting'!D412</x:f>
        <x:v>Cards</x:v>
      </x:c>
      <x:c r="E412" s="2" t="str">
        <x:v>Data &amp; Reporting</x:v>
      </x:c>
      <x:c r="F412" s="56" t="str">
        <x:f>'Data &amp; Reporting'!E412</x:f>
        <x:v>DR.CA.1.3.C10</x:v>
      </x:c>
      <x:c r="G412" s="14" t="str">
        <x:f>'Data &amp; Reporting'!F412</x:f>
        <x:v>    Document data dictionary or field definitions for columns/rows</x:v>
      </x:c>
      <x:c r="H412" s="2" t="str">
        <x:f>IF('Data &amp; Reporting'!G412="","",'Data &amp; Reporting'!G412)</x:f>
      </x:c>
      <x:c r="I412" s="12" t="str">
        <x:f>IF('Data &amp; Reporting'!H412="","",'Data &amp; Reporting'!H412)</x:f>
      </x:c>
      <x:c r="J412" s="12" t="str">
        <x:f>IF('Data &amp; Reporting'!I412="","",'Data &amp; Reporting'!I412)</x:f>
      </x:c>
      <x:c r="K412" s="12" t="str">
        <x:f>IF('Data &amp; Reporting'!J412="","",'Data &amp; Reporting'!J412)</x:f>
      </x:c>
      <x:c r="L412" s="2" t="str">
        <x:f>IF('Data &amp; Reporting'!K412="","",'Data &amp; Reporting'!K412)</x:f>
      </x:c>
      <x:c r="M412" s="2" t="n">
        <x:f>'Data &amp; Reporting'!Q412</x:f>
        <x:v>0</x:v>
      </x:c>
      <x:c r="N412" s="2" t="str">
        <x:f>'Data &amp; Reporting'!L412</x:f>
        <x:v>Open check</x:v>
      </x:c>
      <x:c r="O412" s="2" t="str">
        <x:f>'Data &amp; Reporting'!N412</x:f>
        <x:v>DR.CA.1.3.C10.2026.CY3</x:v>
      </x:c>
      <x:c r="P412" s="2" t="n">
        <x:f>'Data &amp; Reporting'!O412</x:f>
        <x:v>0</x:v>
      </x:c>
      <x:c r="Q412" s="2" t="n">
        <x:f>SUBTOTAL(103,O412)</x:f>
        <x:v>1</x:v>
      </x:c>
      <x:c r="R412" s="2" t="n">
        <x:f>IF(AND(M412=1,OR(Dashboard!$B$7="All",Dashboard!$B$7='Cycles &amp; Guide'!$C$5),OR(Dashboard!$D$7="All",Dashboard!$D$7=B412),OR(Dashboard!$F$7="All",Dashboard!$F$7=C412),OR(Dashboard!$H$7="All",Dashboard!$H$7=D412),OR(Dashboard!$K$7="All",Dashboard!$K$7=E412)),1,0)</x:f>
        <x:v>0</x:v>
      </x:c>
      <x:c r="S412" s="2" t="n">
        <x:f>IF(R412=1,SUM($R$10:R412),0)</x:f>
        <x:v>0</x:v>
      </x:c>
      <x:c r="T412" s="2" t="str">
        <x:v>Data &amp; Reporting</x:v>
      </x:c>
      <x:c r="U412" s="2" t="n">
        <x:v>412</x:v>
      </x:c>
      <x:c r="V412" s="2" t="n">
        <x:f>IF(AND(M412=1,P412=0,ISNUMBER(J412),J412&lt;TODAY()),1,0)</x:f>
        <x:v>0</x:v>
      </x:c>
      <x:c r="W412" s="2" t="str">
        <x:f>'Data &amp; Reporting'!M412</x:f>
        <x:v>Checklist</x:v>
      </x:c>
    </x:row>
    <x:row r="413" ht="40" customHeight="1">
      <x:c r="A413" s="3" t="str">
        <x:f>HYPERLINK("#'Data &amp; Reporting'!A413","Open")</x:f>
        <x:v>Open</x:v>
      </x:c>
      <x:c r="B413" s="2" t="str">
        <x:f>'Data &amp; Reporting'!B413</x:f>
        <x:v>Cycle 3</x:v>
      </x:c>
      <x:c r="C413" s="2" t="str">
        <x:f>'Data &amp; Reporting'!C413</x:f>
        <x:v>Phase 1</x:v>
      </x:c>
      <x:c r="D413" s="2" t="str">
        <x:f>'Data &amp; Reporting'!D413</x:f>
        <x:v>Cards</x:v>
      </x:c>
      <x:c r="E413" s="2" t="str">
        <x:v>Data &amp; Reporting</x:v>
      </x:c>
      <x:c r="F413" s="56" t="str">
        <x:f>'Data &amp; Reporting'!E413</x:f>
        <x:v>DR.CA.1.3.C11</x:v>
      </x:c>
      <x:c r="G413" s="14" t="str">
        <x:f>'Data &amp; Reporting'!F413</x:f>
        <x:v>    Document emerging trends, patterns, or concentrations along with supporting data</x:v>
      </x:c>
      <x:c r="H413" s="2" t="str">
        <x:f>IF('Data &amp; Reporting'!G413="","",'Data &amp; Reporting'!G413)</x:f>
      </x:c>
      <x:c r="I413" s="12" t="str">
        <x:f>IF('Data &amp; Reporting'!H413="","",'Data &amp; Reporting'!H413)</x:f>
      </x:c>
      <x:c r="J413" s="12" t="str">
        <x:f>IF('Data &amp; Reporting'!I413="","",'Data &amp; Reporting'!I413)</x:f>
      </x:c>
      <x:c r="K413" s="12" t="str">
        <x:f>IF('Data &amp; Reporting'!J413="","",'Data &amp; Reporting'!J413)</x:f>
      </x:c>
      <x:c r="L413" s="2" t="str">
        <x:f>IF('Data &amp; Reporting'!K413="","",'Data &amp; Reporting'!K413)</x:f>
      </x:c>
      <x:c r="M413" s="2" t="n">
        <x:f>'Data &amp; Reporting'!Q413</x:f>
        <x:v>0</x:v>
      </x:c>
      <x:c r="N413" s="2" t="str">
        <x:f>'Data &amp; Reporting'!L413</x:f>
        <x:v>Open check</x:v>
      </x:c>
      <x:c r="O413" s="2" t="str">
        <x:f>'Data &amp; Reporting'!N413</x:f>
        <x:v>DR.CA.1.3.C11.2026.CY3</x:v>
      </x:c>
      <x:c r="P413" s="2" t="n">
        <x:f>'Data &amp; Reporting'!O413</x:f>
        <x:v>0</x:v>
      </x:c>
      <x:c r="Q413" s="2" t="n">
        <x:f>SUBTOTAL(103,O413)</x:f>
        <x:v>1</x:v>
      </x:c>
      <x:c r="R413" s="2" t="n">
        <x:f>IF(AND(M413=1,OR(Dashboard!$B$7="All",Dashboard!$B$7='Cycles &amp; Guide'!$C$5),OR(Dashboard!$D$7="All",Dashboard!$D$7=B413),OR(Dashboard!$F$7="All",Dashboard!$F$7=C413),OR(Dashboard!$H$7="All",Dashboard!$H$7=D413),OR(Dashboard!$K$7="All",Dashboard!$K$7=E413)),1,0)</x:f>
        <x:v>0</x:v>
      </x:c>
      <x:c r="S413" s="2" t="n">
        <x:f>IF(R413=1,SUM($R$10:R413),0)</x:f>
        <x:v>0</x:v>
      </x:c>
      <x:c r="T413" s="2" t="str">
        <x:v>Data &amp; Reporting</x:v>
      </x:c>
      <x:c r="U413" s="2" t="n">
        <x:v>413</x:v>
      </x:c>
      <x:c r="V413" s="2" t="n">
        <x:f>IF(AND(M413=1,P413=0,ISNUMBER(J413),J413&lt;TODAY()),1,0)</x:f>
        <x:v>0</x:v>
      </x:c>
      <x:c r="W413" s="2" t="str">
        <x:f>'Data &amp; Reporting'!M413</x:f>
        <x:v>Checklist</x:v>
      </x:c>
    </x:row>
    <x:row r="414" ht="40" customHeight="1">
      <x:c r="A414" s="3" t="str">
        <x:f>HYPERLINK("#'Data &amp; Reporting'!A414","Open")</x:f>
        <x:v>Open</x:v>
      </x:c>
      <x:c r="B414" s="2" t="str">
        <x:f>'Data &amp; Reporting'!B414</x:f>
        <x:v>Cycle 3</x:v>
      </x:c>
      <x:c r="C414" s="2" t="str">
        <x:f>'Data &amp; Reporting'!C414</x:f>
        <x:v>Phase 1</x:v>
      </x:c>
      <x:c r="D414" s="2" t="str">
        <x:f>'Data &amp; Reporting'!D414</x:f>
        <x:v>Cards</x:v>
      </x:c>
      <x:c r="E414" s="2" t="str">
        <x:v>Data &amp; Reporting</x:v>
      </x:c>
      <x:c r="F414" s="56" t="str">
        <x:f>'Data &amp; Reporting'!E414</x:f>
        <x:v>DR.CA.1.3.C12</x:v>
      </x:c>
      <x:c r="G414" s="14" t="str">
        <x:f>'Data &amp; Reporting'!F414</x:f>
        <x:v>    Document any severe spikes in volume along with context (as needed)</x:v>
      </x:c>
      <x:c r="H414" s="2" t="str">
        <x:f>IF('Data &amp; Reporting'!G414="","",'Data &amp; Reporting'!G414)</x:f>
      </x:c>
      <x:c r="I414" s="12" t="str">
        <x:f>IF('Data &amp; Reporting'!H414="","",'Data &amp; Reporting'!H414)</x:f>
      </x:c>
      <x:c r="J414" s="12" t="str">
        <x:f>IF('Data &amp; Reporting'!I414="","",'Data &amp; Reporting'!I414)</x:f>
      </x:c>
      <x:c r="K414" s="12" t="str">
        <x:f>IF('Data &amp; Reporting'!J414="","",'Data &amp; Reporting'!J414)</x:f>
      </x:c>
      <x:c r="L414" s="2" t="str">
        <x:f>IF('Data &amp; Reporting'!K414="","",'Data &amp; Reporting'!K414)</x:f>
      </x:c>
      <x:c r="M414" s="2" t="n">
        <x:f>'Data &amp; Reporting'!Q414</x:f>
        <x:v>0</x:v>
      </x:c>
      <x:c r="N414" s="2" t="str">
        <x:f>'Data &amp; Reporting'!L414</x:f>
        <x:v>Open check</x:v>
      </x:c>
      <x:c r="O414" s="2" t="str">
        <x:f>'Data &amp; Reporting'!N414</x:f>
        <x:v>DR.CA.1.3.C12.2026.CY3</x:v>
      </x:c>
      <x:c r="P414" s="2" t="n">
        <x:f>'Data &amp; Reporting'!O414</x:f>
        <x:v>0</x:v>
      </x:c>
      <x:c r="Q414" s="2" t="n">
        <x:f>SUBTOTAL(103,O414)</x:f>
        <x:v>1</x:v>
      </x:c>
      <x:c r="R414" s="2" t="n">
        <x:f>IF(AND(M414=1,OR(Dashboard!$B$7="All",Dashboard!$B$7='Cycles &amp; Guide'!$C$5),OR(Dashboard!$D$7="All",Dashboard!$D$7=B414),OR(Dashboard!$F$7="All",Dashboard!$F$7=C414),OR(Dashboard!$H$7="All",Dashboard!$H$7=D414),OR(Dashboard!$K$7="All",Dashboard!$K$7=E414)),1,0)</x:f>
        <x:v>0</x:v>
      </x:c>
      <x:c r="S414" s="2" t="n">
        <x:f>IF(R414=1,SUM($R$10:R414),0)</x:f>
        <x:v>0</x:v>
      </x:c>
      <x:c r="T414" s="2" t="str">
        <x:v>Data &amp; Reporting</x:v>
      </x:c>
      <x:c r="U414" s="2" t="n">
        <x:v>414</x:v>
      </x:c>
      <x:c r="V414" s="2" t="n">
        <x:f>IF(AND(M414=1,P414=0,ISNUMBER(J414),J414&lt;TODAY()),1,0)</x:f>
        <x:v>0</x:v>
      </x:c>
      <x:c r="W414" s="2" t="str">
        <x:f>'Data &amp; Reporting'!M414</x:f>
        <x:v>Checklist</x:v>
      </x:c>
    </x:row>
    <x:row r="415" ht="40" customHeight="1">
      <x:c r="A415" s="3" t="str">
        <x:f>HYPERLINK("#'Data &amp; Reporting'!A415","Open")</x:f>
        <x:v>Open</x:v>
      </x:c>
      <x:c r="B415" s="2" t="str">
        <x:f>'Data &amp; Reporting'!B415</x:f>
        <x:v>Cycle 3</x:v>
      </x:c>
      <x:c r="C415" s="2" t="str">
        <x:f>'Data &amp; Reporting'!C415</x:f>
        <x:v>Phase 1</x:v>
      </x:c>
      <x:c r="D415" s="2" t="str">
        <x:f>'Data &amp; Reporting'!D415</x:f>
        <x:v>Cards</x:v>
      </x:c>
      <x:c r="E415" s="2" t="str">
        <x:v>Data &amp; Reporting</x:v>
      </x:c>
      <x:c r="F415" s="56" t="str">
        <x:f>'Data &amp; Reporting'!E415</x:f>
        <x:v>DR.CA.1.3.C13</x:v>
      </x:c>
      <x:c r="G415" s="14" t="str">
        <x:f>'Data &amp; Reporting'!F415</x:f>
        <x:v>    Document clear summary explaining how the data connects to the potential topic</x:v>
      </x:c>
      <x:c r="H415" s="2" t="str">
        <x:f>IF('Data &amp; Reporting'!G415="","",'Data &amp; Reporting'!G415)</x:f>
      </x:c>
      <x:c r="I415" s="12" t="str">
        <x:f>IF('Data &amp; Reporting'!H415="","",'Data &amp; Reporting'!H415)</x:f>
      </x:c>
      <x:c r="J415" s="12" t="str">
        <x:f>IF('Data &amp; Reporting'!I415="","",'Data &amp; Reporting'!I415)</x:f>
      </x:c>
      <x:c r="K415" s="12" t="str">
        <x:f>IF('Data &amp; Reporting'!J415="","",'Data &amp; Reporting'!J415)</x:f>
      </x:c>
      <x:c r="L415" s="2" t="str">
        <x:f>IF('Data &amp; Reporting'!K415="","",'Data &amp; Reporting'!K415)</x:f>
      </x:c>
      <x:c r="M415" s="2" t="n">
        <x:f>'Data &amp; Reporting'!Q415</x:f>
        <x:v>0</x:v>
      </x:c>
      <x:c r="N415" s="2" t="str">
        <x:f>'Data &amp; Reporting'!L415</x:f>
        <x:v>Open check</x:v>
      </x:c>
      <x:c r="O415" s="2" t="str">
        <x:f>'Data &amp; Reporting'!N415</x:f>
        <x:v>DR.CA.1.3.C13.2026.CY3</x:v>
      </x:c>
      <x:c r="P415" s="2" t="n">
        <x:f>'Data &amp; Reporting'!O415</x:f>
        <x:v>0</x:v>
      </x:c>
      <x:c r="Q415" s="2" t="n">
        <x:f>SUBTOTAL(103,O415)</x:f>
        <x:v>1</x:v>
      </x:c>
      <x:c r="R415" s="2" t="n">
        <x:f>IF(AND(M415=1,OR(Dashboard!$B$7="All",Dashboard!$B$7='Cycles &amp; Guide'!$C$5),OR(Dashboard!$D$7="All",Dashboard!$D$7=B415),OR(Dashboard!$F$7="All",Dashboard!$F$7=C415),OR(Dashboard!$H$7="All",Dashboard!$H$7=D415),OR(Dashboard!$K$7="All",Dashboard!$K$7=E415)),1,0)</x:f>
        <x:v>0</x:v>
      </x:c>
      <x:c r="S415" s="2" t="n">
        <x:f>IF(R415=1,SUM($R$10:R415),0)</x:f>
        <x:v>0</x:v>
      </x:c>
      <x:c r="T415" s="2" t="str">
        <x:v>Data &amp; Reporting</x:v>
      </x:c>
      <x:c r="U415" s="2" t="n">
        <x:v>415</x:v>
      </x:c>
      <x:c r="V415" s="2" t="n">
        <x:f>IF(AND(M415=1,P415=0,ISNUMBER(J415),J415&lt;TODAY()),1,0)</x:f>
        <x:v>0</x:v>
      </x:c>
      <x:c r="W415" s="2" t="str">
        <x:f>'Data &amp; Reporting'!M415</x:f>
        <x:v>Checklist</x:v>
      </x:c>
    </x:row>
    <x:row r="416" ht="40" customHeight="1">
      <x:c r="A416" s="3" t="str">
        <x:f>HYPERLINK("#'Data &amp; Reporting'!A416","Open")</x:f>
        <x:v>Open</x:v>
      </x:c>
      <x:c r="B416" s="2" t="str">
        <x:f>'Data &amp; Reporting'!B416</x:f>
        <x:v>Cycle 3</x:v>
      </x:c>
      <x:c r="C416" s="2" t="str">
        <x:f>'Data &amp; Reporting'!C416</x:f>
        <x:v>Phase 2</x:v>
      </x:c>
      <x:c r="D416" s="2" t="str">
        <x:f>'Data &amp; Reporting'!D416</x:f>
        <x:v>Cards</x:v>
      </x:c>
      <x:c r="E416" s="2" t="str">
        <x:v>Data &amp; Reporting</x:v>
      </x:c>
      <x:c r="F416" s="56" t="str">
        <x:f>'Data &amp; Reporting'!E416</x:f>
        <x:v>DR.CA.2.1</x:v>
      </x:c>
      <x:c r="G416" s="14" t="str">
        <x:f>'Data &amp; Reporting'!F416</x:f>
        <x:v>Ensure data is clean, structured, and usable without manipulation needed</x:v>
      </x:c>
      <x:c r="H416" s="2" t="str">
        <x:f>IF('Data &amp; Reporting'!G416="","",'Data &amp; Reporting'!G416)</x:f>
      </x:c>
      <x:c r="I416" s="12" t="str">
        <x:f>IF('Data &amp; Reporting'!H416="","",'Data &amp; Reporting'!H416)</x:f>
      </x:c>
      <x:c r="J416" s="12" t="n">
        <x:f>IF('Data &amp; Reporting'!I416="","",'Data &amp; Reporting'!I416)</x:f>
        <x:v>46295</x:v>
      </x:c>
      <x:c r="K416" s="12" t="str">
        <x:f>IF('Data &amp; Reporting'!J416="","",'Data &amp; Reporting'!J416)</x:f>
      </x:c>
      <x:c r="L416" s="2" t="str">
        <x:f>IF('Data &amp; Reporting'!K416="","",'Data &amp; Reporting'!K416)</x:f>
      </x:c>
      <x:c r="M416" s="2" t="n">
        <x:f>'Data &amp; Reporting'!Q416</x:f>
        <x:v>1</x:v>
      </x:c>
      <x:c r="N416" s="2" t="str">
        <x:f>'Data &amp; Reporting'!L416</x:f>
        <x:v>Not started</x:v>
      </x:c>
      <x:c r="O416" s="2" t="str">
        <x:f>'Data &amp; Reporting'!N416</x:f>
        <x:v>DR.CA.2.1.2026.CY3</x:v>
      </x:c>
      <x:c r="P416" s="2" t="n">
        <x:f>'Data &amp; Reporting'!O416</x:f>
        <x:v>0</x:v>
      </x:c>
      <x:c r="Q416" s="2" t="n">
        <x:f>SUBTOTAL(103,O416)</x:f>
        <x:v>1</x:v>
      </x:c>
      <x:c r="R416" s="2" t="n">
        <x:f>IF(AND(M416=1,OR(Dashboard!$B$7="All",Dashboard!$B$7='Cycles &amp; Guide'!$C$5),OR(Dashboard!$D$7="All",Dashboard!$D$7=B416),OR(Dashboard!$F$7="All",Dashboard!$F$7=C416),OR(Dashboard!$H$7="All",Dashboard!$H$7=D416),OR(Dashboard!$K$7="All",Dashboard!$K$7=E416)),1,0)</x:f>
        <x:v>1</x:v>
      </x:c>
      <x:c r="S416" s="2" t="n">
        <x:f>IF(R416=1,SUM($R$10:R416),0)</x:f>
        <x:v>199</x:v>
      </x:c>
      <x:c r="T416" s="2" t="str">
        <x:v>Data &amp; Reporting</x:v>
      </x:c>
      <x:c r="U416" s="2" t="n">
        <x:v>416</x:v>
      </x:c>
      <x:c r="V416" s="2" t="n">
        <x:f>IF(AND(M416=1,P416=0,ISNUMBER(J416),J416&lt;TODAY()),1,0)</x:f>
        <x:v>0</x:v>
      </x:c>
      <x:c r="W416" s="2" t="str">
        <x:f>'Data &amp; Reporting'!M416</x:f>
        <x:v>Task</x:v>
      </x:c>
    </x:row>
    <x:row r="417" ht="40" customHeight="1">
      <x:c r="A417" s="3" t="str">
        <x:f>HYPERLINK("#'Data &amp; Reporting'!A417","Open")</x:f>
        <x:v>Open</x:v>
      </x:c>
      <x:c r="B417" s="2" t="str">
        <x:f>'Data &amp; Reporting'!B417</x:f>
        <x:v>Cycle 3</x:v>
      </x:c>
      <x:c r="C417" s="2" t="str">
        <x:f>'Data &amp; Reporting'!C417</x:f>
        <x:v>Phase 2</x:v>
      </x:c>
      <x:c r="D417" s="2" t="str">
        <x:f>'Data &amp; Reporting'!D417</x:f>
        <x:v>Cards</x:v>
      </x:c>
      <x:c r="E417" s="2" t="str">
        <x:v>Data &amp; Reporting</x:v>
      </x:c>
      <x:c r="F417" s="56" t="str">
        <x:f>'Data &amp; Reporting'!E417</x:f>
        <x:v>DR.CA.2.2</x:v>
      </x:c>
      <x:c r="G417" s="14" t="str">
        <x:f>'Data &amp; Reporting'!F417</x:f>
        <x:v>Clearly document rationale for each topic recommendation within the SharePoint list</x:v>
      </x:c>
      <x:c r="H417" s="2" t="str">
        <x:f>IF('Data &amp; Reporting'!G417="","",'Data &amp; Reporting'!G417)</x:f>
      </x:c>
      <x:c r="I417" s="12" t="str">
        <x:f>IF('Data &amp; Reporting'!H417="","",'Data &amp; Reporting'!H417)</x:f>
      </x:c>
      <x:c r="J417" s="12" t="n">
        <x:f>IF('Data &amp; Reporting'!I417="","",'Data &amp; Reporting'!I417)</x:f>
        <x:v>46295</x:v>
      </x:c>
      <x:c r="K417" s="12" t="str">
        <x:f>IF('Data &amp; Reporting'!J417="","",'Data &amp; Reporting'!J417)</x:f>
      </x:c>
      <x:c r="L417" s="2" t="str">
        <x:f>IF('Data &amp; Reporting'!K417="","",'Data &amp; Reporting'!K417)</x:f>
      </x:c>
      <x:c r="M417" s="2" t="n">
        <x:f>'Data &amp; Reporting'!Q417</x:f>
        <x:v>1</x:v>
      </x:c>
      <x:c r="N417" s="2" t="str">
        <x:f>'Data &amp; Reporting'!L417</x:f>
        <x:v>Not started</x:v>
      </x:c>
      <x:c r="O417" s="2" t="str">
        <x:f>'Data &amp; Reporting'!N417</x:f>
        <x:v>DR.CA.2.2.2026.CY3</x:v>
      </x:c>
      <x:c r="P417" s="2" t="n">
        <x:f>'Data &amp; Reporting'!O417</x:f>
        <x:v>0</x:v>
      </x:c>
      <x:c r="Q417" s="2" t="n">
        <x:f>SUBTOTAL(103,O417)</x:f>
        <x:v>1</x:v>
      </x:c>
      <x:c r="R417" s="2" t="n">
        <x:f>IF(AND(M417=1,OR(Dashboard!$B$7="All",Dashboard!$B$7='Cycles &amp; Guide'!$C$5),OR(Dashboard!$D$7="All",Dashboard!$D$7=B417),OR(Dashboard!$F$7="All",Dashboard!$F$7=C417),OR(Dashboard!$H$7="All",Dashboard!$H$7=D417),OR(Dashboard!$K$7="All",Dashboard!$K$7=E417)),1,0)</x:f>
        <x:v>1</x:v>
      </x:c>
      <x:c r="S417" s="2" t="n">
        <x:f>IF(R417=1,SUM($R$10:R417),0)</x:f>
        <x:v>200</x:v>
      </x:c>
      <x:c r="T417" s="2" t="str">
        <x:v>Data &amp; Reporting</x:v>
      </x:c>
      <x:c r="U417" s="2" t="n">
        <x:v>417</x:v>
      </x:c>
      <x:c r="V417" s="2" t="n">
        <x:f>IF(AND(M417=1,P417=0,ISNUMBER(J417),J417&lt;TODAY()),1,0)</x:f>
        <x:v>0</x:v>
      </x:c>
      <x:c r="W417" s="2" t="str">
        <x:f>'Data &amp; Reporting'!M417</x:f>
        <x:v>Task</x:v>
      </x:c>
    </x:row>
    <x:row r="418" ht="40" customHeight="1">
      <x:c r="A418" s="3" t="str">
        <x:f>HYPERLINK("#'Data &amp; Reporting'!A418","Open")</x:f>
        <x:v>Open</x:v>
      </x:c>
      <x:c r="B418" s="2" t="str">
        <x:f>'Data &amp; Reporting'!B418</x:f>
        <x:v>Cycle 3</x:v>
      </x:c>
      <x:c r="C418" s="2" t="str">
        <x:f>'Data &amp; Reporting'!C418</x:f>
        <x:v>Phase 2</x:v>
      </x:c>
      <x:c r="D418" s="2" t="str">
        <x:f>'Data &amp; Reporting'!D418</x:f>
        <x:v>Cards</x:v>
      </x:c>
      <x:c r="E418" s="2" t="str">
        <x:v>Data &amp; Reporting</x:v>
      </x:c>
      <x:c r="F418" s="56" t="str">
        <x:f>'Data &amp; Reporting'!E418</x:f>
        <x:v>DR.CA.2.3</x:v>
      </x:c>
      <x:c r="G418" s="14" t="str">
        <x:f>'Data &amp; Reporting'!F418</x:f>
        <x:v>Verify topic is eligible for RCA and does not conflict with Attorney Client Privilege</x:v>
      </x:c>
      <x:c r="H418" s="2" t="str">
        <x:f>IF('Data &amp; Reporting'!G418="","",'Data &amp; Reporting'!G418)</x:f>
      </x:c>
      <x:c r="I418" s="12" t="str">
        <x:f>IF('Data &amp; Reporting'!H418="","",'Data &amp; Reporting'!H418)</x:f>
      </x:c>
      <x:c r="J418" s="12" t="n">
        <x:f>IF('Data &amp; Reporting'!I418="","",'Data &amp; Reporting'!I418)</x:f>
        <x:v>46295</x:v>
      </x:c>
      <x:c r="K418" s="12" t="str">
        <x:f>IF('Data &amp; Reporting'!J418="","",'Data &amp; Reporting'!J418)</x:f>
      </x:c>
      <x:c r="L418" s="2" t="str">
        <x:f>IF('Data &amp; Reporting'!K418="","",'Data &amp; Reporting'!K418)</x:f>
      </x:c>
      <x:c r="M418" s="2" t="n">
        <x:f>'Data &amp; Reporting'!Q418</x:f>
        <x:v>1</x:v>
      </x:c>
      <x:c r="N418" s="2" t="str">
        <x:f>'Data &amp; Reporting'!L418</x:f>
        <x:v>Not started</x:v>
      </x:c>
      <x:c r="O418" s="2" t="str">
        <x:f>'Data &amp; Reporting'!N418</x:f>
        <x:v>DR.CA.2.3.2026.CY3</x:v>
      </x:c>
      <x:c r="P418" s="2" t="n">
        <x:f>'Data &amp; Reporting'!O418</x:f>
        <x:v>0</x:v>
      </x:c>
      <x:c r="Q418" s="2" t="n">
        <x:f>SUBTOTAL(103,O418)</x:f>
        <x:v>1</x:v>
      </x:c>
      <x:c r="R418" s="2" t="n">
        <x:f>IF(AND(M418=1,OR(Dashboard!$B$7="All",Dashboard!$B$7='Cycles &amp; Guide'!$C$5),OR(Dashboard!$D$7="All",Dashboard!$D$7=B418),OR(Dashboard!$F$7="All",Dashboard!$F$7=C418),OR(Dashboard!$H$7="All",Dashboard!$H$7=D418),OR(Dashboard!$K$7="All",Dashboard!$K$7=E418)),1,0)</x:f>
        <x:v>1</x:v>
      </x:c>
      <x:c r="S418" s="2" t="n">
        <x:f>IF(R418=1,SUM($R$10:R418),0)</x:f>
        <x:v>201</x:v>
      </x:c>
      <x:c r="T418" s="2" t="str">
        <x:v>Data &amp; Reporting</x:v>
      </x:c>
      <x:c r="U418" s="2" t="n">
        <x:v>418</x:v>
      </x:c>
      <x:c r="V418" s="2" t="n">
        <x:f>IF(AND(M418=1,P418=0,ISNUMBER(J418),J418&lt;TODAY()),1,0)</x:f>
        <x:v>0</x:v>
      </x:c>
      <x:c r="W418" s="2" t="str">
        <x:f>'Data &amp; Reporting'!M418</x:f>
        <x:v>Task</x:v>
      </x:c>
    </x:row>
    <x:row r="419" ht="40" customHeight="1">
      <x:c r="A419" s="3" t="str">
        <x:f>HYPERLINK("#'Data &amp; Reporting'!A419","Open")</x:f>
        <x:v>Open</x:v>
      </x:c>
      <x:c r="B419" s="2" t="str">
        <x:f>'Data &amp; Reporting'!B419</x:f>
        <x:v>Cycle 3</x:v>
      </x:c>
      <x:c r="C419" s="2" t="str">
        <x:f>'Data &amp; Reporting'!C419</x:f>
        <x:v>Phase 2</x:v>
      </x:c>
      <x:c r="D419" s="2" t="str">
        <x:f>'Data &amp; Reporting'!D419</x:f>
        <x:v>Cards</x:v>
      </x:c>
      <x:c r="E419" s="2" t="str">
        <x:v>Data &amp; Reporting</x:v>
      </x:c>
      <x:c r="F419" s="56" t="str">
        <x:f>'Data &amp; Reporting'!E419</x:f>
        <x:v>DR.CA.2.4</x:v>
      </x:c>
      <x:c r="G419" s="14" t="str">
        <x:f>'Data &amp; Reporting'!F419</x:f>
        <x:v>Ensure data is free of errors and anomalies prior to hand-off to Research</x:v>
      </x:c>
      <x:c r="H419" s="2" t="str">
        <x:f>IF('Data &amp; Reporting'!G419="","",'Data &amp; Reporting'!G419)</x:f>
      </x:c>
      <x:c r="I419" s="12" t="str">
        <x:f>IF('Data &amp; Reporting'!H419="","",'Data &amp; Reporting'!H419)</x:f>
      </x:c>
      <x:c r="J419" s="12" t="n">
        <x:f>IF('Data &amp; Reporting'!I419="","",'Data &amp; Reporting'!I419)</x:f>
        <x:v>46295</x:v>
      </x:c>
      <x:c r="K419" s="12" t="str">
        <x:f>IF('Data &amp; Reporting'!J419="","",'Data &amp; Reporting'!J419)</x:f>
      </x:c>
      <x:c r="L419" s="2" t="str">
        <x:f>IF('Data &amp; Reporting'!K419="","",'Data &amp; Reporting'!K419)</x:f>
      </x:c>
      <x:c r="M419" s="2" t="n">
        <x:f>'Data &amp; Reporting'!Q419</x:f>
        <x:v>1</x:v>
      </x:c>
      <x:c r="N419" s="2" t="str">
        <x:f>'Data &amp; Reporting'!L419</x:f>
        <x:v>Not started</x:v>
      </x:c>
      <x:c r="O419" s="2" t="str">
        <x:f>'Data &amp; Reporting'!N419</x:f>
        <x:v>DR.CA.2.4.2026.CY3</x:v>
      </x:c>
      <x:c r="P419" s="2" t="n">
        <x:f>'Data &amp; Reporting'!O419</x:f>
        <x:v>0</x:v>
      </x:c>
      <x:c r="Q419" s="2" t="n">
        <x:f>SUBTOTAL(103,O419)</x:f>
        <x:v>1</x:v>
      </x:c>
      <x:c r="R419" s="2" t="n">
        <x:f>IF(AND(M419=1,OR(Dashboard!$B$7="All",Dashboard!$B$7='Cycles &amp; Guide'!$C$5),OR(Dashboard!$D$7="All",Dashboard!$D$7=B419),OR(Dashboard!$F$7="All",Dashboard!$F$7=C419),OR(Dashboard!$H$7="All",Dashboard!$H$7=D419),OR(Dashboard!$K$7="All",Dashboard!$K$7=E419)),1,0)</x:f>
        <x:v>1</x:v>
      </x:c>
      <x:c r="S419" s="2" t="n">
        <x:f>IF(R419=1,SUM($R$10:R419),0)</x:f>
        <x:v>202</x:v>
      </x:c>
      <x:c r="T419" s="2" t="str">
        <x:v>Data &amp; Reporting</x:v>
      </x:c>
      <x:c r="U419" s="2" t="n">
        <x:v>419</x:v>
      </x:c>
      <x:c r="V419" s="2" t="n">
        <x:f>IF(AND(M419=1,P419=0,ISNUMBER(J419),J419&lt;TODAY()),1,0)</x:f>
        <x:v>0</x:v>
      </x:c>
      <x:c r="W419" s="2" t="str">
        <x:f>'Data &amp; Reporting'!M419</x:f>
        <x:v>Task</x:v>
      </x:c>
    </x:row>
    <x:row r="420" ht="40" customHeight="1">
      <x:c r="A420" s="3" t="str">
        <x:f>HYPERLINK("#'Data &amp; Reporting'!A420","Open")</x:f>
        <x:v>Open</x:v>
      </x:c>
      <x:c r="B420" s="2" t="str">
        <x:f>'Data &amp; Reporting'!B420</x:f>
        <x:v>Cycle 3</x:v>
      </x:c>
      <x:c r="C420" s="2" t="str">
        <x:f>'Data &amp; Reporting'!C420</x:f>
        <x:v>Phase 2</x:v>
      </x:c>
      <x:c r="D420" s="2" t="str">
        <x:f>'Data &amp; Reporting'!D420</x:f>
        <x:v>Cards</x:v>
      </x:c>
      <x:c r="E420" s="2" t="str">
        <x:v>Data &amp; Reporting</x:v>
      </x:c>
      <x:c r="F420" s="56" t="str">
        <x:f>'Data &amp; Reporting'!E420</x:f>
        <x:v>DR.CA.2.5</x:v>
      </x:c>
      <x:c r="G420" s="14" t="str">
        <x:f>'Data &amp; Reporting'!F420</x:f>
        <x:v>Ensure topic is not a duplicate from a previous Cycle</x:v>
      </x:c>
      <x:c r="H420" s="2" t="str">
        <x:f>IF('Data &amp; Reporting'!G420="","",'Data &amp; Reporting'!G420)</x:f>
      </x:c>
      <x:c r="I420" s="12" t="str">
        <x:f>IF('Data &amp; Reporting'!H420="","",'Data &amp; Reporting'!H420)</x:f>
      </x:c>
      <x:c r="J420" s="12" t="n">
        <x:f>IF('Data &amp; Reporting'!I420="","",'Data &amp; Reporting'!I420)</x:f>
        <x:v>46295</x:v>
      </x:c>
      <x:c r="K420" s="12" t="str">
        <x:f>IF('Data &amp; Reporting'!J420="","",'Data &amp; Reporting'!J420)</x:f>
      </x:c>
      <x:c r="L420" s="2" t="str">
        <x:f>IF('Data &amp; Reporting'!K420="","",'Data &amp; Reporting'!K420)</x:f>
      </x:c>
      <x:c r="M420" s="2" t="n">
        <x:f>'Data &amp; Reporting'!Q420</x:f>
        <x:v>1</x:v>
      </x:c>
      <x:c r="N420" s="2" t="str">
        <x:f>'Data &amp; Reporting'!L420</x:f>
        <x:v>Not started</x:v>
      </x:c>
      <x:c r="O420" s="2" t="str">
        <x:f>'Data &amp; Reporting'!N420</x:f>
        <x:v>DR.CA.2.5.2026.CY3</x:v>
      </x:c>
      <x:c r="P420" s="2" t="n">
        <x:f>'Data &amp; Reporting'!O420</x:f>
        <x:v>0</x:v>
      </x:c>
      <x:c r="Q420" s="2" t="n">
        <x:f>SUBTOTAL(103,O420)</x:f>
        <x:v>1</x:v>
      </x:c>
      <x:c r="R420" s="2" t="n">
        <x:f>IF(AND(M420=1,OR(Dashboard!$B$7="All",Dashboard!$B$7='Cycles &amp; Guide'!$C$5),OR(Dashboard!$D$7="All",Dashboard!$D$7=B420),OR(Dashboard!$F$7="All",Dashboard!$F$7=C420),OR(Dashboard!$H$7="All",Dashboard!$H$7=D420),OR(Dashboard!$K$7="All",Dashboard!$K$7=E420)),1,0)</x:f>
        <x:v>1</x:v>
      </x:c>
      <x:c r="S420" s="2" t="n">
        <x:f>IF(R420=1,SUM($R$10:R420),0)</x:f>
        <x:v>203</x:v>
      </x:c>
      <x:c r="T420" s="2" t="str">
        <x:v>Data &amp; Reporting</x:v>
      </x:c>
      <x:c r="U420" s="2" t="n">
        <x:v>420</x:v>
      </x:c>
      <x:c r="V420" s="2" t="n">
        <x:f>IF(AND(M420=1,P420=0,ISNUMBER(J420),J420&lt;TODAY()),1,0)</x:f>
        <x:v>0</x:v>
      </x:c>
      <x:c r="W420" s="2" t="str">
        <x:f>'Data &amp; Reporting'!M420</x:f>
        <x:v>Task</x:v>
      </x:c>
    </x:row>
    <x:row r="421" ht="40" customHeight="1">
      <x:c r="A421" s="3" t="str">
        <x:f>HYPERLINK("#'Data &amp; Reporting'!A421","Open")</x:f>
        <x:v>Open</x:v>
      </x:c>
      <x:c r="B421" s="2" t="str">
        <x:f>'Data &amp; Reporting'!B421</x:f>
        <x:v>Cycle 3</x:v>
      </x:c>
      <x:c r="C421" s="2" t="str">
        <x:f>'Data &amp; Reporting'!C421</x:f>
        <x:v>Phase 2</x:v>
      </x:c>
      <x:c r="D421" s="2" t="str">
        <x:f>'Data &amp; Reporting'!D421</x:f>
        <x:v>Cards</x:v>
      </x:c>
      <x:c r="E421" s="2" t="str">
        <x:v>Data &amp; Reporting</x:v>
      </x:c>
      <x:c r="F421" s="56" t="str">
        <x:f>'Data &amp; Reporting'!E421</x:f>
        <x:v>DR.CA.2.6</x:v>
      </x:c>
      <x:c r="G421" s="14" t="str">
        <x:f>'Data &amp; Reporting'!F421</x:f>
        <x:v>Document clear distinctions between facts, assumptions, and hypotheses within the data package</x:v>
      </x:c>
      <x:c r="H421" s="2" t="str">
        <x:f>IF('Data &amp; Reporting'!G421="","",'Data &amp; Reporting'!G421)</x:f>
      </x:c>
      <x:c r="I421" s="12" t="str">
        <x:f>IF('Data &amp; Reporting'!H421="","",'Data &amp; Reporting'!H421)</x:f>
      </x:c>
      <x:c r="J421" s="12" t="n">
        <x:f>IF('Data &amp; Reporting'!I421="","",'Data &amp; Reporting'!I421)</x:f>
        <x:v>46295</x:v>
      </x:c>
      <x:c r="K421" s="12" t="str">
        <x:f>IF('Data &amp; Reporting'!J421="","",'Data &amp; Reporting'!J421)</x:f>
      </x:c>
      <x:c r="L421" s="2" t="str">
        <x:f>IF('Data &amp; Reporting'!K421="","",'Data &amp; Reporting'!K421)</x:f>
      </x:c>
      <x:c r="M421" s="2" t="n">
        <x:f>'Data &amp; Reporting'!Q421</x:f>
        <x:v>1</x:v>
      </x:c>
      <x:c r="N421" s="2" t="str">
        <x:f>'Data &amp; Reporting'!L421</x:f>
        <x:v>Not started</x:v>
      </x:c>
      <x:c r="O421" s="2" t="str">
        <x:f>'Data &amp; Reporting'!N421</x:f>
        <x:v>DR.CA.2.6.2026.CY3</x:v>
      </x:c>
      <x:c r="P421" s="2" t="n">
        <x:f>'Data &amp; Reporting'!O421</x:f>
        <x:v>0</x:v>
      </x:c>
      <x:c r="Q421" s="2" t="n">
        <x:f>SUBTOTAL(103,O421)</x:f>
        <x:v>1</x:v>
      </x:c>
      <x:c r="R421" s="2" t="n">
        <x:f>IF(AND(M421=1,OR(Dashboard!$B$7="All",Dashboard!$B$7='Cycles &amp; Guide'!$C$5),OR(Dashboard!$D$7="All",Dashboard!$D$7=B421),OR(Dashboard!$F$7="All",Dashboard!$F$7=C421),OR(Dashboard!$H$7="All",Dashboard!$H$7=D421),OR(Dashboard!$K$7="All",Dashboard!$K$7=E421)),1,0)</x:f>
        <x:v>1</x:v>
      </x:c>
      <x:c r="S421" s="2" t="n">
        <x:f>IF(R421=1,SUM($R$10:R421),0)</x:f>
        <x:v>204</x:v>
      </x:c>
      <x:c r="T421" s="2" t="str">
        <x:v>Data &amp; Reporting</x:v>
      </x:c>
      <x:c r="U421" s="2" t="n">
        <x:v>421</x:v>
      </x:c>
      <x:c r="V421" s="2" t="n">
        <x:f>IF(AND(M421=1,P421=0,ISNUMBER(J421),J421&lt;TODAY()),1,0)</x:f>
        <x:v>0</x:v>
      </x:c>
      <x:c r="W421" s="2" t="str">
        <x:f>'Data &amp; Reporting'!M421</x:f>
        <x:v>Task</x:v>
      </x:c>
    </x:row>
    <x:row r="422" ht="40" customHeight="1">
      <x:c r="A422" s="3" t="str">
        <x:f>HYPERLINK("#'Data &amp; Reporting'!A422","Open")</x:f>
        <x:v>Open</x:v>
      </x:c>
      <x:c r="B422" s="2" t="str">
        <x:f>'Data &amp; Reporting'!B422</x:f>
        <x:v>Cycle 3</x:v>
      </x:c>
      <x:c r="C422" s="2" t="str">
        <x:f>'Data &amp; Reporting'!C422</x:f>
        <x:v>Phase 3</x:v>
      </x:c>
      <x:c r="D422" s="2" t="str">
        <x:f>'Data &amp; Reporting'!D422</x:f>
        <x:v>Cards</x:v>
      </x:c>
      <x:c r="E422" s="2" t="str">
        <x:v>Data &amp; Reporting</x:v>
      </x:c>
      <x:c r="F422" s="56" t="str">
        <x:f>'Data &amp; Reporting'!E422</x:f>
        <x:v>DR.CA.3.1</x:v>
      </x:c>
      <x:c r="G422" s="14" t="str">
        <x:f>'Data &amp; Reporting'!F422</x:f>
        <x:v>Clearly document rationale for each topic recommendation within the SharePoint list item</x:v>
      </x:c>
      <x:c r="H422" s="2" t="str">
        <x:f>IF('Data &amp; Reporting'!G422="","",'Data &amp; Reporting'!G422)</x:f>
      </x:c>
      <x:c r="I422" s="12" t="str">
        <x:f>IF('Data &amp; Reporting'!H422="","",'Data &amp; Reporting'!H422)</x:f>
      </x:c>
      <x:c r="J422" s="12" t="n">
        <x:f>IF('Data &amp; Reporting'!I422="","",'Data &amp; Reporting'!I422)</x:f>
        <x:v>46295</x:v>
      </x:c>
      <x:c r="K422" s="12" t="str">
        <x:f>IF('Data &amp; Reporting'!J422="","",'Data &amp; Reporting'!J422)</x:f>
      </x:c>
      <x:c r="L422" s="2" t="str">
        <x:f>IF('Data &amp; Reporting'!K422="","",'Data &amp; Reporting'!K422)</x:f>
      </x:c>
      <x:c r="M422" s="2" t="n">
        <x:f>'Data &amp; Reporting'!Q422</x:f>
        <x:v>1</x:v>
      </x:c>
      <x:c r="N422" s="2" t="str">
        <x:f>'Data &amp; Reporting'!L422</x:f>
        <x:v>Not started</x:v>
      </x:c>
      <x:c r="O422" s="2" t="str">
        <x:f>'Data &amp; Reporting'!N422</x:f>
        <x:v>DR.CA.3.1.2026.CY3</x:v>
      </x:c>
      <x:c r="P422" s="2" t="n">
        <x:f>'Data &amp; Reporting'!O422</x:f>
        <x:v>0</x:v>
      </x:c>
      <x:c r="Q422" s="2" t="n">
        <x:f>SUBTOTAL(103,O422)</x:f>
        <x:v>1</x:v>
      </x:c>
      <x:c r="R422" s="2" t="n">
        <x:f>IF(AND(M422=1,OR(Dashboard!$B$7="All",Dashboard!$B$7='Cycles &amp; Guide'!$C$5),OR(Dashboard!$D$7="All",Dashboard!$D$7=B422),OR(Dashboard!$F$7="All",Dashboard!$F$7=C422),OR(Dashboard!$H$7="All",Dashboard!$H$7=D422),OR(Dashboard!$K$7="All",Dashboard!$K$7=E422)),1,0)</x:f>
        <x:v>1</x:v>
      </x:c>
      <x:c r="S422" s="2" t="n">
        <x:f>IF(R422=1,SUM($R$10:R422),0)</x:f>
        <x:v>205</x:v>
      </x:c>
      <x:c r="T422" s="2" t="str">
        <x:v>Data &amp; Reporting</x:v>
      </x:c>
      <x:c r="U422" s="2" t="n">
        <x:v>422</x:v>
      </x:c>
      <x:c r="V422" s="2" t="n">
        <x:f>IF(AND(M422=1,P422=0,ISNUMBER(J422),J422&lt;TODAY()),1,0)</x:f>
        <x:v>0</x:v>
      </x:c>
      <x:c r="W422" s="2" t="str">
        <x:f>'Data &amp; Reporting'!M422</x:f>
        <x:v>Task</x:v>
      </x:c>
    </x:row>
    <x:row r="423" ht="40" customHeight="1">
      <x:c r="A423" s="3" t="str">
        <x:f>HYPERLINK("#'Data &amp; Reporting'!A423","Open")</x:f>
        <x:v>Open</x:v>
      </x:c>
      <x:c r="B423" s="2" t="str">
        <x:f>'Data &amp; Reporting'!B423</x:f>
        <x:v>Cycle 3</x:v>
      </x:c>
      <x:c r="C423" s="2" t="str">
        <x:f>'Data &amp; Reporting'!C423</x:f>
        <x:v>Phase 3</x:v>
      </x:c>
      <x:c r="D423" s="2" t="str">
        <x:f>'Data &amp; Reporting'!D423</x:f>
        <x:v>Cards</x:v>
      </x:c>
      <x:c r="E423" s="2" t="str">
        <x:v>Data &amp; Reporting</x:v>
      </x:c>
      <x:c r="F423" s="56" t="str">
        <x:f>'Data &amp; Reporting'!E423</x:f>
        <x:v>DR.CA.3.2</x:v>
      </x:c>
      <x:c r="G423" s="14" t="str">
        <x:f>'Data &amp; Reporting'!F423</x:f>
        <x:v>Attach the data package for each topic recommendation within the SharePoint list item</x:v>
      </x:c>
      <x:c r="H423" s="2" t="str">
        <x:f>IF('Data &amp; Reporting'!G423="","",'Data &amp; Reporting'!G423)</x:f>
      </x:c>
      <x:c r="I423" s="12" t="str">
        <x:f>IF('Data &amp; Reporting'!H423="","",'Data &amp; Reporting'!H423)</x:f>
      </x:c>
      <x:c r="J423" s="12" t="n">
        <x:f>IF('Data &amp; Reporting'!I423="","",'Data &amp; Reporting'!I423)</x:f>
        <x:v>46295</x:v>
      </x:c>
      <x:c r="K423" s="12" t="str">
        <x:f>IF('Data &amp; Reporting'!J423="","",'Data &amp; Reporting'!J423)</x:f>
      </x:c>
      <x:c r="L423" s="2" t="str">
        <x:f>IF('Data &amp; Reporting'!K423="","",'Data &amp; Reporting'!K423)</x:f>
      </x:c>
      <x:c r="M423" s="2" t="n">
        <x:f>'Data &amp; Reporting'!Q423</x:f>
        <x:v>1</x:v>
      </x:c>
      <x:c r="N423" s="2" t="str">
        <x:f>'Data &amp; Reporting'!L423</x:f>
        <x:v>Not started</x:v>
      </x:c>
      <x:c r="O423" s="2" t="str">
        <x:f>'Data &amp; Reporting'!N423</x:f>
        <x:v>DR.CA.3.2.2026.CY3</x:v>
      </x:c>
      <x:c r="P423" s="2" t="n">
        <x:f>'Data &amp; Reporting'!O423</x:f>
        <x:v>0</x:v>
      </x:c>
      <x:c r="Q423" s="2" t="n">
        <x:f>SUBTOTAL(103,O423)</x:f>
        <x:v>1</x:v>
      </x:c>
      <x:c r="R423" s="2" t="n">
        <x:f>IF(AND(M423=1,OR(Dashboard!$B$7="All",Dashboard!$B$7='Cycles &amp; Guide'!$C$5),OR(Dashboard!$D$7="All",Dashboard!$D$7=B423),OR(Dashboard!$F$7="All",Dashboard!$F$7=C423),OR(Dashboard!$H$7="All",Dashboard!$H$7=D423),OR(Dashboard!$K$7="All",Dashboard!$K$7=E423)),1,0)</x:f>
        <x:v>1</x:v>
      </x:c>
      <x:c r="S423" s="2" t="n">
        <x:f>IF(R423=1,SUM($R$10:R423),0)</x:f>
        <x:v>206</x:v>
      </x:c>
      <x:c r="T423" s="2" t="str">
        <x:v>Data &amp; Reporting</x:v>
      </x:c>
      <x:c r="U423" s="2" t="n">
        <x:v>423</x:v>
      </x:c>
      <x:c r="V423" s="2" t="n">
        <x:f>IF(AND(M423=1,P423=0,ISNUMBER(J423),J423&lt;TODAY()),1,0)</x:f>
        <x:v>0</x:v>
      </x:c>
      <x:c r="W423" s="2" t="str">
        <x:f>'Data &amp; Reporting'!M423</x:f>
        <x:v>Task</x:v>
      </x:c>
    </x:row>
    <x:row r="424" ht="40" customHeight="1">
      <x:c r="A424" s="3" t="str">
        <x:f>HYPERLINK("#'Data &amp; Reporting'!A424","Open")</x:f>
        <x:v>Open</x:v>
      </x:c>
      <x:c r="B424" s="2" t="str">
        <x:f>'Data &amp; Reporting'!B424</x:f>
        <x:v>Cycle 3</x:v>
      </x:c>
      <x:c r="C424" s="2" t="str">
        <x:f>'Data &amp; Reporting'!C424</x:f>
        <x:v>Phase 3</x:v>
      </x:c>
      <x:c r="D424" s="2" t="str">
        <x:f>'Data &amp; Reporting'!D424</x:f>
        <x:v>Cards</x:v>
      </x:c>
      <x:c r="E424" s="2" t="str">
        <x:v>Data &amp; Reporting</x:v>
      </x:c>
      <x:c r="F424" s="56" t="str">
        <x:f>'Data &amp; Reporting'!E424</x:f>
        <x:v>DR.CA.3.3</x:v>
      </x:c>
      <x:c r="G424" s="14" t="str">
        <x:f>'Data &amp; Reporting'!F424</x:f>
        <x:v>Confirm data privileges have been granted, ensuring each pillar can access</x:v>
      </x:c>
      <x:c r="H424" s="2" t="str">
        <x:f>IF('Data &amp; Reporting'!G424="","",'Data &amp; Reporting'!G424)</x:f>
      </x:c>
      <x:c r="I424" s="12" t="str">
        <x:f>IF('Data &amp; Reporting'!H424="","",'Data &amp; Reporting'!H424)</x:f>
      </x:c>
      <x:c r="J424" s="12" t="n">
        <x:f>IF('Data &amp; Reporting'!I424="","",'Data &amp; Reporting'!I424)</x:f>
        <x:v>46295</x:v>
      </x:c>
      <x:c r="K424" s="12" t="str">
        <x:f>IF('Data &amp; Reporting'!J424="","",'Data &amp; Reporting'!J424)</x:f>
      </x:c>
      <x:c r="L424" s="2" t="str">
        <x:f>IF('Data &amp; Reporting'!K424="","",'Data &amp; Reporting'!K424)</x:f>
      </x:c>
      <x:c r="M424" s="2" t="n">
        <x:f>'Data &amp; Reporting'!Q424</x:f>
        <x:v>1</x:v>
      </x:c>
      <x:c r="N424" s="2" t="str">
        <x:f>'Data &amp; Reporting'!L424</x:f>
        <x:v>Not started</x:v>
      </x:c>
      <x:c r="O424" s="2" t="str">
        <x:f>'Data &amp; Reporting'!N424</x:f>
        <x:v>DR.CA.3.3.2026.CY3</x:v>
      </x:c>
      <x:c r="P424" s="2" t="n">
        <x:f>'Data &amp; Reporting'!O424</x:f>
        <x:v>0</x:v>
      </x:c>
      <x:c r="Q424" s="2" t="n">
        <x:f>SUBTOTAL(103,O424)</x:f>
        <x:v>1</x:v>
      </x:c>
      <x:c r="R424" s="2" t="n">
        <x:f>IF(AND(M424=1,OR(Dashboard!$B$7="All",Dashboard!$B$7='Cycles &amp; Guide'!$C$5),OR(Dashboard!$D$7="All",Dashboard!$D$7=B424),OR(Dashboard!$F$7="All",Dashboard!$F$7=C424),OR(Dashboard!$H$7="All",Dashboard!$H$7=D424),OR(Dashboard!$K$7="All",Dashboard!$K$7=E424)),1,0)</x:f>
        <x:v>1</x:v>
      </x:c>
      <x:c r="S424" s="2" t="n">
        <x:f>IF(R424=1,SUM($R$10:R424),0)</x:f>
        <x:v>207</x:v>
      </x:c>
      <x:c r="T424" s="2" t="str">
        <x:v>Data &amp; Reporting</x:v>
      </x:c>
      <x:c r="U424" s="2" t="n">
        <x:v>424</x:v>
      </x:c>
      <x:c r="V424" s="2" t="n">
        <x:f>IF(AND(M424=1,P424=0,ISNUMBER(J424),J424&lt;TODAY()),1,0)</x:f>
        <x:v>0</x:v>
      </x:c>
      <x:c r="W424" s="2" t="str">
        <x:f>'Data &amp; Reporting'!M424</x:f>
        <x:v>Task</x:v>
      </x:c>
    </x:row>
    <x:row r="425" ht="40" customHeight="1">
      <x:c r="A425" s="3" t="str">
        <x:f>HYPERLINK("#'Data &amp; Reporting'!A425","Open")</x:f>
        <x:v>Open</x:v>
      </x:c>
      <x:c r="B425" s="2" t="str">
        <x:f>'Data &amp; Reporting'!B425</x:f>
        <x:v>Cycle 3</x:v>
      </x:c>
      <x:c r="C425" s="2" t="str">
        <x:f>'Data &amp; Reporting'!C425</x:f>
        <x:v>Phase 3</x:v>
      </x:c>
      <x:c r="D425" s="2" t="str">
        <x:f>'Data &amp; Reporting'!D425</x:f>
        <x:v>Cards</x:v>
      </x:c>
      <x:c r="E425" s="2" t="str">
        <x:v>Data &amp; Reporting</x:v>
      </x:c>
      <x:c r="F425" s="56" t="str">
        <x:f>'Data &amp; Reporting'!E425</x:f>
        <x:v>DR.CA.3.4</x:v>
      </x:c>
      <x:c r="G425" s="14" t="str">
        <x:f>'Data &amp; Reporting'!F425</x:f>
        <x:v>Ensure Power Automate notifications were correctly triggered within Microsoft Teams</x:v>
      </x:c>
      <x:c r="H425" s="2" t="str">
        <x:f>IF('Data &amp; Reporting'!G425="","",'Data &amp; Reporting'!G425)</x:f>
      </x:c>
      <x:c r="I425" s="12" t="str">
        <x:f>IF('Data &amp; Reporting'!H425="","",'Data &amp; Reporting'!H425)</x:f>
      </x:c>
      <x:c r="J425" s="12" t="n">
        <x:f>IF('Data &amp; Reporting'!I425="","",'Data &amp; Reporting'!I425)</x:f>
        <x:v>46295</x:v>
      </x:c>
      <x:c r="K425" s="12" t="str">
        <x:f>IF('Data &amp; Reporting'!J425="","",'Data &amp; Reporting'!J425)</x:f>
      </x:c>
      <x:c r="L425" s="2" t="str">
        <x:f>IF('Data &amp; Reporting'!K425="","",'Data &amp; Reporting'!K425)</x:f>
      </x:c>
      <x:c r="M425" s="2" t="n">
        <x:f>'Data &amp; Reporting'!Q425</x:f>
        <x:v>1</x:v>
      </x:c>
      <x:c r="N425" s="2" t="str">
        <x:f>'Data &amp; Reporting'!L425</x:f>
        <x:v>Not started</x:v>
      </x:c>
      <x:c r="O425" s="2" t="str">
        <x:f>'Data &amp; Reporting'!N425</x:f>
        <x:v>DR.CA.3.4.2026.CY3</x:v>
      </x:c>
      <x:c r="P425" s="2" t="n">
        <x:f>'Data &amp; Reporting'!O425</x:f>
        <x:v>0</x:v>
      </x:c>
      <x:c r="Q425" s="2" t="n">
        <x:f>SUBTOTAL(103,O425)</x:f>
        <x:v>1</x:v>
      </x:c>
      <x:c r="R425" s="2" t="n">
        <x:f>IF(AND(M425=1,OR(Dashboard!$B$7="All",Dashboard!$B$7='Cycles &amp; Guide'!$C$5),OR(Dashboard!$D$7="All",Dashboard!$D$7=B425),OR(Dashboard!$F$7="All",Dashboard!$F$7=C425),OR(Dashboard!$H$7="All",Dashboard!$H$7=D425),OR(Dashboard!$K$7="All",Dashboard!$K$7=E425)),1,0)</x:f>
        <x:v>1</x:v>
      </x:c>
      <x:c r="S425" s="2" t="n">
        <x:f>IF(R425=1,SUM($R$10:R425),0)</x:f>
        <x:v>208</x:v>
      </x:c>
      <x:c r="T425" s="2" t="str">
        <x:v>Data &amp; Reporting</x:v>
      </x:c>
      <x:c r="U425" s="2" t="n">
        <x:v>425</x:v>
      </x:c>
      <x:c r="V425" s="2" t="n">
        <x:f>IF(AND(M425=1,P425=0,ISNUMBER(J425),J425&lt;TODAY()),1,0)</x:f>
        <x:v>0</x:v>
      </x:c>
      <x:c r="W425" s="2" t="str">
        <x:f>'Data &amp; Reporting'!M425</x:f>
        <x:v>Task</x:v>
      </x:c>
    </x:row>
    <x:row r="426" ht="40" customHeight="1">
      <x:c r="A426" s="3" t="str">
        <x:f>HYPERLINK("#'Data &amp; Reporting'!A426","Open")</x:f>
        <x:v>Open</x:v>
      </x:c>
      <x:c r="B426" s="2" t="str">
        <x:f>'Data &amp; Reporting'!B426</x:f>
        <x:v>Cycle 3</x:v>
      </x:c>
      <x:c r="C426" s="2" t="str">
        <x:f>'Data &amp; Reporting'!C426</x:f>
        <x:v>Phase 1</x:v>
      </x:c>
      <x:c r="D426" s="2" t="str">
        <x:f>'Data &amp; Reporting'!D426</x:f>
        <x:v>CSBBO - Banking Ops</x:v>
      </x:c>
      <x:c r="E426" s="2" t="str">
        <x:v>Data &amp; Reporting</x:v>
      </x:c>
      <x:c r="F426" s="56" t="str">
        <x:f>'Data &amp; Reporting'!E426</x:f>
        <x:v>DR.BO.1.1</x:v>
      </x:c>
      <x:c r="G426" s="14" t="str">
        <x:f>'Data &amp; Reporting'!F426</x:f>
        <x:v>Review data sources 3 weeks prior to Cycle start (Complaints, Gen AI, Loudspeaker, NPS, etc.)</x:v>
      </x:c>
      <x:c r="H426" s="2" t="str">
        <x:f>IF('Data &amp; Reporting'!G426="","",'Data &amp; Reporting'!G426)</x:f>
      </x:c>
      <x:c r="I426" s="12" t="str">
        <x:f>IF('Data &amp; Reporting'!H426="","",'Data &amp; Reporting'!H426)</x:f>
      </x:c>
      <x:c r="J426" s="12" t="n">
        <x:f>IF('Data &amp; Reporting'!I426="","",'Data &amp; Reporting'!I426)</x:f>
        <x:v>46183</x:v>
      </x:c>
      <x:c r="K426" s="12" t="str">
        <x:f>IF('Data &amp; Reporting'!J426="","",'Data &amp; Reporting'!J426)</x:f>
      </x:c>
      <x:c r="L426" s="2" t="str">
        <x:f>IF('Data &amp; Reporting'!K426="","",'Data &amp; Reporting'!K426)</x:f>
      </x:c>
      <x:c r="M426" s="2" t="n">
        <x:f>'Data &amp; Reporting'!Q426</x:f>
        <x:v>1</x:v>
      </x:c>
      <x:c r="N426" s="2" t="str">
        <x:f>'Data &amp; Reporting'!L426</x:f>
        <x:v>Not started</x:v>
      </x:c>
      <x:c r="O426" s="2" t="str">
        <x:f>'Data &amp; Reporting'!N426</x:f>
        <x:v>DR.BO.1.1.2026.CY3</x:v>
      </x:c>
      <x:c r="P426" s="2" t="n">
        <x:f>'Data &amp; Reporting'!O426</x:f>
        <x:v>0</x:v>
      </x:c>
      <x:c r="Q426" s="2" t="n">
        <x:f>SUBTOTAL(103,O426)</x:f>
        <x:v>1</x:v>
      </x:c>
      <x:c r="R426" s="2" t="n">
        <x:f>IF(AND(M426=1,OR(Dashboard!$B$7="All",Dashboard!$B$7='Cycles &amp; Guide'!$C$5),OR(Dashboard!$D$7="All",Dashboard!$D$7=B426),OR(Dashboard!$F$7="All",Dashboard!$F$7=C426),OR(Dashboard!$H$7="All",Dashboard!$H$7=D426),OR(Dashboard!$K$7="All",Dashboard!$K$7=E426)),1,0)</x:f>
        <x:v>1</x:v>
      </x:c>
      <x:c r="S426" s="2" t="n">
        <x:f>IF(R426=1,SUM($R$10:R426),0)</x:f>
        <x:v>209</x:v>
      </x:c>
      <x:c r="T426" s="2" t="str">
        <x:v>Data &amp; Reporting</x:v>
      </x:c>
      <x:c r="U426" s="2" t="n">
        <x:v>426</x:v>
      </x:c>
      <x:c r="V426" s="2" t="n">
        <x:f>IF(AND(M426=1,P426=0,ISNUMBER(J426),J426&lt;TODAY()),1,0)</x:f>
        <x:v>1</x:v>
      </x:c>
      <x:c r="W426" s="2" t="str">
        <x:f>'Data &amp; Reporting'!M426</x:f>
        <x:v>Task</x:v>
      </x:c>
    </x:row>
    <x:row r="427" ht="40" customHeight="1">
      <x:c r="A427" s="3" t="str">
        <x:f>HYPERLINK("#'Data &amp; Reporting'!A427","Open")</x:f>
        <x:v>Open</x:v>
      </x:c>
      <x:c r="B427" s="2" t="str">
        <x:f>'Data &amp; Reporting'!B427</x:f>
        <x:v>Cycle 3</x:v>
      </x:c>
      <x:c r="C427" s="2" t="str">
        <x:f>'Data &amp; Reporting'!C427</x:f>
        <x:v>Phase 1</x:v>
      </x:c>
      <x:c r="D427" s="2" t="str">
        <x:f>'Data &amp; Reporting'!D427</x:f>
        <x:v>CSBBO - Banking Ops</x:v>
      </x:c>
      <x:c r="E427" s="2" t="str">
        <x:v>Data &amp; Reporting</x:v>
      </x:c>
      <x:c r="F427" s="56" t="str">
        <x:f>'Data &amp; Reporting'!E427</x:f>
        <x:v>DR.BO.1.2</x:v>
      </x:c>
      <x:c r="G427" s="14" t="str">
        <x:f>'Data &amp; Reporting'!F427</x:f>
        <x:v>Identify two potential topics for the upcoming Cycle</x:v>
      </x:c>
      <x:c r="H427" s="2" t="str">
        <x:f>IF('Data &amp; Reporting'!G427="","",'Data &amp; Reporting'!G427)</x:f>
      </x:c>
      <x:c r="I427" s="12" t="str">
        <x:f>IF('Data &amp; Reporting'!H427="","",'Data &amp; Reporting'!H427)</x:f>
      </x:c>
      <x:c r="J427" s="12" t="n">
        <x:f>IF('Data &amp; Reporting'!I427="","",'Data &amp; Reporting'!I427)</x:f>
        <x:v>46295</x:v>
      </x:c>
      <x:c r="K427" s="12" t="str">
        <x:f>IF('Data &amp; Reporting'!J427="","",'Data &amp; Reporting'!J427)</x:f>
      </x:c>
      <x:c r="L427" s="2" t="str">
        <x:f>IF('Data &amp; Reporting'!K427="","",'Data &amp; Reporting'!K427)</x:f>
      </x:c>
      <x:c r="M427" s="2" t="n">
        <x:f>'Data &amp; Reporting'!Q427</x:f>
        <x:v>1</x:v>
      </x:c>
      <x:c r="N427" s="2" t="str">
        <x:f>'Data &amp; Reporting'!L427</x:f>
        <x:v>Not started</x:v>
      </x:c>
      <x:c r="O427" s="2" t="str">
        <x:f>'Data &amp; Reporting'!N427</x:f>
        <x:v>DR.BO.1.2.2026.CY3</x:v>
      </x:c>
      <x:c r="P427" s="2" t="n">
        <x:f>'Data &amp; Reporting'!O427</x:f>
        <x:v>0</x:v>
      </x:c>
      <x:c r="Q427" s="2" t="n">
        <x:f>SUBTOTAL(103,O427)</x:f>
        <x:v>1</x:v>
      </x:c>
      <x:c r="R427" s="2" t="n">
        <x:f>IF(AND(M427=1,OR(Dashboard!$B$7="All",Dashboard!$B$7='Cycles &amp; Guide'!$C$5),OR(Dashboard!$D$7="All",Dashboard!$D$7=B427),OR(Dashboard!$F$7="All",Dashboard!$F$7=C427),OR(Dashboard!$H$7="All",Dashboard!$H$7=D427),OR(Dashboard!$K$7="All",Dashboard!$K$7=E427)),1,0)</x:f>
        <x:v>1</x:v>
      </x:c>
      <x:c r="S427" s="2" t="n">
        <x:f>IF(R427=1,SUM($R$10:R427),0)</x:f>
        <x:v>210</x:v>
      </x:c>
      <x:c r="T427" s="2" t="str">
        <x:v>Data &amp; Reporting</x:v>
      </x:c>
      <x:c r="U427" s="2" t="n">
        <x:v>427</x:v>
      </x:c>
      <x:c r="V427" s="2" t="n">
        <x:f>IF(AND(M427=1,P427=0,ISNUMBER(J427),J427&lt;TODAY()),1,0)</x:f>
        <x:v>0</x:v>
      </x:c>
      <x:c r="W427" s="2" t="str">
        <x:f>'Data &amp; Reporting'!M427</x:f>
        <x:v>Task</x:v>
      </x:c>
    </x:row>
    <x:row r="428" ht="40" customHeight="1">
      <x:c r="A428" s="3" t="str">
        <x:f>HYPERLINK("#'Data &amp; Reporting'!A428","Open")</x:f>
        <x:v>Open</x:v>
      </x:c>
      <x:c r="B428" s="2" t="str">
        <x:f>'Data &amp; Reporting'!B428</x:f>
        <x:v>Cycle 3</x:v>
      </x:c>
      <x:c r="C428" s="2" t="str">
        <x:f>'Data &amp; Reporting'!C428</x:f>
        <x:v>Phase 1</x:v>
      </x:c>
      <x:c r="D428" s="2" t="str">
        <x:f>'Data &amp; Reporting'!D428</x:f>
        <x:v>CSBBO - Banking Ops</x:v>
      </x:c>
      <x:c r="E428" s="2" t="str">
        <x:v>Data &amp; Reporting</x:v>
      </x:c>
      <x:c r="F428" s="56" t="str">
        <x:f>'Data &amp; Reporting'!E428</x:f>
        <x:v>DR.BO.1.3</x:v>
      </x:c>
      <x:c r="G428" s="14" t="str">
        <x:f>'Data &amp; Reporting'!F428</x:f>
        <x:v>Extract data for both potential topics, ensuring all checklist items below are included/completed</x:v>
      </x:c>
      <x:c r="H428" s="2" t="str">
        <x:f>IF('Data &amp; Reporting'!G428="","",'Data &amp; Reporting'!G428)</x:f>
      </x:c>
      <x:c r="I428" s="12" t="str">
        <x:f>IF('Data &amp; Reporting'!H428="","",'Data &amp; Reporting'!H428)</x:f>
      </x:c>
      <x:c r="J428" s="12" t="n">
        <x:f>IF('Data &amp; Reporting'!I428="","",'Data &amp; Reporting'!I428)</x:f>
        <x:v>46295</x:v>
      </x:c>
      <x:c r="K428" s="12" t="str">
        <x:f>IF('Data &amp; Reporting'!J428="","",'Data &amp; Reporting'!J428)</x:f>
      </x:c>
      <x:c r="L428" s="2" t="str">
        <x:f>IF('Data &amp; Reporting'!K428="","",'Data &amp; Reporting'!K428)</x:f>
      </x:c>
      <x:c r="M428" s="2" t="n">
        <x:f>'Data &amp; Reporting'!Q428</x:f>
        <x:v>1</x:v>
      </x:c>
      <x:c r="N428" s="2" t="str">
        <x:f>'Data &amp; Reporting'!L428</x:f>
        <x:v>Not started</x:v>
      </x:c>
      <x:c r="O428" s="2" t="str">
        <x:f>'Data &amp; Reporting'!N428</x:f>
        <x:v>DR.BO.1.3.2026.CY3</x:v>
      </x:c>
      <x:c r="P428" s="2" t="n">
        <x:f>'Data &amp; Reporting'!O428</x:f>
        <x:v>0</x:v>
      </x:c>
      <x:c r="Q428" s="2" t="n">
        <x:f>SUBTOTAL(103,O428)</x:f>
        <x:v>1</x:v>
      </x:c>
      <x:c r="R428" s="2" t="n">
        <x:f>IF(AND(M428=1,OR(Dashboard!$B$7="All",Dashboard!$B$7='Cycles &amp; Guide'!$C$5),OR(Dashboard!$D$7="All",Dashboard!$D$7=B428),OR(Dashboard!$F$7="All",Dashboard!$F$7=C428),OR(Dashboard!$H$7="All",Dashboard!$H$7=D428),OR(Dashboard!$K$7="All",Dashboard!$K$7=E428)),1,0)</x:f>
        <x:v>1</x:v>
      </x:c>
      <x:c r="S428" s="2" t="n">
        <x:f>IF(R428=1,SUM($R$10:R428),0)</x:f>
        <x:v>211</x:v>
      </x:c>
      <x:c r="T428" s="2" t="str">
        <x:v>Data &amp; Reporting</x:v>
      </x:c>
      <x:c r="U428" s="2" t="n">
        <x:v>428</x:v>
      </x:c>
      <x:c r="V428" s="2" t="n">
        <x:f>IF(AND(M428=1,P428=0,ISNUMBER(J428),J428&lt;TODAY()),1,0)</x:f>
        <x:v>0</x:v>
      </x:c>
      <x:c r="W428" s="2" t="str">
        <x:f>'Data &amp; Reporting'!M428</x:f>
        <x:v>Task</x:v>
      </x:c>
    </x:row>
    <x:row r="429" ht="40" customHeight="1">
      <x:c r="A429" s="3" t="str">
        <x:f>HYPERLINK("#'Data &amp; Reporting'!A429","Open")</x:f>
        <x:v>Open</x:v>
      </x:c>
      <x:c r="B429" s="2" t="str">
        <x:f>'Data &amp; Reporting'!B429</x:f>
        <x:v>Cycle 3</x:v>
      </x:c>
      <x:c r="C429" s="2" t="str">
        <x:f>'Data &amp; Reporting'!C429</x:f>
        <x:v>Phase 1</x:v>
      </x:c>
      <x:c r="D429" s="2" t="str">
        <x:f>'Data &amp; Reporting'!D429</x:f>
        <x:v>CSBBO - Banking Ops</x:v>
      </x:c>
      <x:c r="E429" s="2" t="str">
        <x:v>Data &amp; Reporting</x:v>
      </x:c>
      <x:c r="F429" s="56" t="str">
        <x:f>'Data &amp; Reporting'!E429</x:f>
        <x:v>DR.BO.1.3.C01</x:v>
      </x:c>
      <x:c r="G429" s="14" t="str">
        <x:f>'Data &amp; Reporting'!F429</x:f>
        <x:v>    Document date range extracted</x:v>
      </x:c>
      <x:c r="H429" s="2" t="str">
        <x:f>IF('Data &amp; Reporting'!G429="","",'Data &amp; Reporting'!G429)</x:f>
      </x:c>
      <x:c r="I429" s="12" t="str">
        <x:f>IF('Data &amp; Reporting'!H429="","",'Data &amp; Reporting'!H429)</x:f>
      </x:c>
      <x:c r="J429" s="12" t="str">
        <x:f>IF('Data &amp; Reporting'!I429="","",'Data &amp; Reporting'!I429)</x:f>
      </x:c>
      <x:c r="K429" s="12" t="str">
        <x:f>IF('Data &amp; Reporting'!J429="","",'Data &amp; Reporting'!J429)</x:f>
      </x:c>
      <x:c r="L429" s="2" t="str">
        <x:f>IF('Data &amp; Reporting'!K429="","",'Data &amp; Reporting'!K429)</x:f>
      </x:c>
      <x:c r="M429" s="2" t="n">
        <x:f>'Data &amp; Reporting'!Q429</x:f>
        <x:v>0</x:v>
      </x:c>
      <x:c r="N429" s="2" t="str">
        <x:f>'Data &amp; Reporting'!L429</x:f>
        <x:v>Open check</x:v>
      </x:c>
      <x:c r="O429" s="2" t="str">
        <x:f>'Data &amp; Reporting'!N429</x:f>
        <x:v>DR.BO.1.3.C01.2026.CY3</x:v>
      </x:c>
      <x:c r="P429" s="2" t="n">
        <x:f>'Data &amp; Reporting'!O429</x:f>
        <x:v>0</x:v>
      </x:c>
      <x:c r="Q429" s="2" t="n">
        <x:f>SUBTOTAL(103,O429)</x:f>
        <x:v>1</x:v>
      </x:c>
      <x:c r="R429" s="2" t="n">
        <x:f>IF(AND(M429=1,OR(Dashboard!$B$7="All",Dashboard!$B$7='Cycles &amp; Guide'!$C$5),OR(Dashboard!$D$7="All",Dashboard!$D$7=B429),OR(Dashboard!$F$7="All",Dashboard!$F$7=C429),OR(Dashboard!$H$7="All",Dashboard!$H$7=D429),OR(Dashboard!$K$7="All",Dashboard!$K$7=E429)),1,0)</x:f>
        <x:v>0</x:v>
      </x:c>
      <x:c r="S429" s="2" t="n">
        <x:f>IF(R429=1,SUM($R$10:R429),0)</x:f>
        <x:v>0</x:v>
      </x:c>
      <x:c r="T429" s="2" t="str">
        <x:v>Data &amp; Reporting</x:v>
      </x:c>
      <x:c r="U429" s="2" t="n">
        <x:v>429</x:v>
      </x:c>
      <x:c r="V429" s="2" t="n">
        <x:f>IF(AND(M429=1,P429=0,ISNUMBER(J429),J429&lt;TODAY()),1,0)</x:f>
        <x:v>0</x:v>
      </x:c>
      <x:c r="W429" s="2" t="str">
        <x:f>'Data &amp; Reporting'!M429</x:f>
        <x:v>Checklist</x:v>
      </x:c>
    </x:row>
    <x:row r="430" ht="40" customHeight="1">
      <x:c r="A430" s="3" t="str">
        <x:f>HYPERLINK("#'Data &amp; Reporting'!A430","Open")</x:f>
        <x:v>Open</x:v>
      </x:c>
      <x:c r="B430" s="2" t="str">
        <x:f>'Data &amp; Reporting'!B430</x:f>
        <x:v>Cycle 3</x:v>
      </x:c>
      <x:c r="C430" s="2" t="str">
        <x:f>'Data &amp; Reporting'!C430</x:f>
        <x:v>Phase 1</x:v>
      </x:c>
      <x:c r="D430" s="2" t="str">
        <x:f>'Data &amp; Reporting'!D430</x:f>
        <x:v>CSBBO - Banking Ops</x:v>
      </x:c>
      <x:c r="E430" s="2" t="str">
        <x:v>Data &amp; Reporting</x:v>
      </x:c>
      <x:c r="F430" s="56" t="str">
        <x:f>'Data &amp; Reporting'!E430</x:f>
        <x:v>DR.BO.1.3.C02</x:v>
      </x:c>
      <x:c r="G430" s="14" t="str">
        <x:f>'Data &amp; Reporting'!F430</x:f>
        <x:v>    Document date of data pull</x:v>
      </x:c>
      <x:c r="H430" s="2" t="str">
        <x:f>IF('Data &amp; Reporting'!G430="","",'Data &amp; Reporting'!G430)</x:f>
      </x:c>
      <x:c r="I430" s="12" t="str">
        <x:f>IF('Data &amp; Reporting'!H430="","",'Data &amp; Reporting'!H430)</x:f>
      </x:c>
      <x:c r="J430" s="12" t="str">
        <x:f>IF('Data &amp; Reporting'!I430="","",'Data &amp; Reporting'!I430)</x:f>
      </x:c>
      <x:c r="K430" s="12" t="str">
        <x:f>IF('Data &amp; Reporting'!J430="","",'Data &amp; Reporting'!J430)</x:f>
      </x:c>
      <x:c r="L430" s="2" t="str">
        <x:f>IF('Data &amp; Reporting'!K430="","",'Data &amp; Reporting'!K430)</x:f>
      </x:c>
      <x:c r="M430" s="2" t="n">
        <x:f>'Data &amp; Reporting'!Q430</x:f>
        <x:v>0</x:v>
      </x:c>
      <x:c r="N430" s="2" t="str">
        <x:f>'Data &amp; Reporting'!L430</x:f>
        <x:v>Open check</x:v>
      </x:c>
      <x:c r="O430" s="2" t="str">
        <x:f>'Data &amp; Reporting'!N430</x:f>
        <x:v>DR.BO.1.3.C02.2026.CY3</x:v>
      </x:c>
      <x:c r="P430" s="2" t="n">
        <x:f>'Data &amp; Reporting'!O430</x:f>
        <x:v>0</x:v>
      </x:c>
      <x:c r="Q430" s="2" t="n">
        <x:f>SUBTOTAL(103,O430)</x:f>
        <x:v>1</x:v>
      </x:c>
      <x:c r="R430" s="2" t="n">
        <x:f>IF(AND(M430=1,OR(Dashboard!$B$7="All",Dashboard!$B$7='Cycles &amp; Guide'!$C$5),OR(Dashboard!$D$7="All",Dashboard!$D$7=B430),OR(Dashboard!$F$7="All",Dashboard!$F$7=C430),OR(Dashboard!$H$7="All",Dashboard!$H$7=D430),OR(Dashboard!$K$7="All",Dashboard!$K$7=E430)),1,0)</x:f>
        <x:v>0</x:v>
      </x:c>
      <x:c r="S430" s="2" t="n">
        <x:f>IF(R430=1,SUM($R$10:R430),0)</x:f>
        <x:v>0</x:v>
      </x:c>
      <x:c r="T430" s="2" t="str">
        <x:v>Data &amp; Reporting</x:v>
      </x:c>
      <x:c r="U430" s="2" t="n">
        <x:v>430</x:v>
      </x:c>
      <x:c r="V430" s="2" t="n">
        <x:f>IF(AND(M430=1,P430=0,ISNUMBER(J430),J430&lt;TODAY()),1,0)</x:f>
        <x:v>0</x:v>
      </x:c>
      <x:c r="W430" s="2" t="str">
        <x:f>'Data &amp; Reporting'!M430</x:f>
        <x:v>Checklist</x:v>
      </x:c>
    </x:row>
    <x:row r="431" ht="40" customHeight="1">
      <x:c r="A431" s="3" t="str">
        <x:f>HYPERLINK("#'Data &amp; Reporting'!A431","Open")</x:f>
        <x:v>Open</x:v>
      </x:c>
      <x:c r="B431" s="2" t="str">
        <x:f>'Data &amp; Reporting'!B431</x:f>
        <x:v>Cycle 3</x:v>
      </x:c>
      <x:c r="C431" s="2" t="str">
        <x:f>'Data &amp; Reporting'!C431</x:f>
        <x:v>Phase 1</x:v>
      </x:c>
      <x:c r="D431" s="2" t="str">
        <x:f>'Data &amp; Reporting'!D431</x:f>
        <x:v>CSBBO - Banking Ops</x:v>
      </x:c>
      <x:c r="E431" s="2" t="str">
        <x:v>Data &amp; Reporting</x:v>
      </x:c>
      <x:c r="F431" s="56" t="str">
        <x:f>'Data &amp; Reporting'!E431</x:f>
        <x:v>DR.BO.1.3.C03</x:v>
      </x:c>
      <x:c r="G431" s="14" t="str">
        <x:f>'Data &amp; Reporting'!F431</x:f>
        <x:v>    Document population details</x:v>
      </x:c>
      <x:c r="H431" s="2" t="str">
        <x:f>IF('Data &amp; Reporting'!G431="","",'Data &amp; Reporting'!G431)</x:f>
      </x:c>
      <x:c r="I431" s="12" t="str">
        <x:f>IF('Data &amp; Reporting'!H431="","",'Data &amp; Reporting'!H431)</x:f>
      </x:c>
      <x:c r="J431" s="12" t="str">
        <x:f>IF('Data &amp; Reporting'!I431="","",'Data &amp; Reporting'!I431)</x:f>
      </x:c>
      <x:c r="K431" s="12" t="str">
        <x:f>IF('Data &amp; Reporting'!J431="","",'Data &amp; Reporting'!J431)</x:f>
      </x:c>
      <x:c r="L431" s="2" t="str">
        <x:f>IF('Data &amp; Reporting'!K431="","",'Data &amp; Reporting'!K431)</x:f>
      </x:c>
      <x:c r="M431" s="2" t="n">
        <x:f>'Data &amp; Reporting'!Q431</x:f>
        <x:v>0</x:v>
      </x:c>
      <x:c r="N431" s="2" t="str">
        <x:f>'Data &amp; Reporting'!L431</x:f>
        <x:v>Open check</x:v>
      </x:c>
      <x:c r="O431" s="2" t="str">
        <x:f>'Data &amp; Reporting'!N431</x:f>
        <x:v>DR.BO.1.3.C03.2026.CY3</x:v>
      </x:c>
      <x:c r="P431" s="2" t="n">
        <x:f>'Data &amp; Reporting'!O431</x:f>
        <x:v>0</x:v>
      </x:c>
      <x:c r="Q431" s="2" t="n">
        <x:f>SUBTOTAL(103,O431)</x:f>
        <x:v>1</x:v>
      </x:c>
      <x:c r="R431" s="2" t="n">
        <x:f>IF(AND(M431=1,OR(Dashboard!$B$7="All",Dashboard!$B$7='Cycles &amp; Guide'!$C$5),OR(Dashboard!$D$7="All",Dashboard!$D$7=B431),OR(Dashboard!$F$7="All",Dashboard!$F$7=C431),OR(Dashboard!$H$7="All",Dashboard!$H$7=D431),OR(Dashboard!$K$7="All",Dashboard!$K$7=E431)),1,0)</x:f>
        <x:v>0</x:v>
      </x:c>
      <x:c r="S431" s="2" t="n">
        <x:f>IF(R431=1,SUM($R$10:R431),0)</x:f>
        <x:v>0</x:v>
      </x:c>
      <x:c r="T431" s="2" t="str">
        <x:v>Data &amp; Reporting</x:v>
      </x:c>
      <x:c r="U431" s="2" t="n">
        <x:v>431</x:v>
      </x:c>
      <x:c r="V431" s="2" t="n">
        <x:f>IF(AND(M431=1,P431=0,ISNUMBER(J431),J431&lt;TODAY()),1,0)</x:f>
        <x:v>0</x:v>
      </x:c>
      <x:c r="W431" s="2" t="str">
        <x:f>'Data &amp; Reporting'!M431</x:f>
        <x:v>Checklist</x:v>
      </x:c>
    </x:row>
    <x:row r="432" ht="40" customHeight="1">
      <x:c r="A432" s="3" t="str">
        <x:f>HYPERLINK("#'Data &amp; Reporting'!A432","Open")</x:f>
        <x:v>Open</x:v>
      </x:c>
      <x:c r="B432" s="2" t="str">
        <x:f>'Data &amp; Reporting'!B432</x:f>
        <x:v>Cycle 3</x:v>
      </x:c>
      <x:c r="C432" s="2" t="str">
        <x:f>'Data &amp; Reporting'!C432</x:f>
        <x:v>Phase 1</x:v>
      </x:c>
      <x:c r="D432" s="2" t="str">
        <x:f>'Data &amp; Reporting'!D432</x:f>
        <x:v>CSBBO - Banking Ops</x:v>
      </x:c>
      <x:c r="E432" s="2" t="str">
        <x:v>Data &amp; Reporting</x:v>
      </x:c>
      <x:c r="F432" s="56" t="str">
        <x:f>'Data &amp; Reporting'!E432</x:f>
        <x:v>DR.BO.1.3.C04</x:v>
      </x:c>
      <x:c r="G432" s="14" t="str">
        <x:f>'Data &amp; Reporting'!F432</x:f>
        <x:v>    Validate no data is missing</x:v>
      </x:c>
      <x:c r="H432" s="2" t="str">
        <x:f>IF('Data &amp; Reporting'!G432="","",'Data &amp; Reporting'!G432)</x:f>
      </x:c>
      <x:c r="I432" s="12" t="str">
        <x:f>IF('Data &amp; Reporting'!H432="","",'Data &amp; Reporting'!H432)</x:f>
      </x:c>
      <x:c r="J432" s="12" t="str">
        <x:f>IF('Data &amp; Reporting'!I432="","",'Data &amp; Reporting'!I432)</x:f>
      </x:c>
      <x:c r="K432" s="12" t="str">
        <x:f>IF('Data &amp; Reporting'!J432="","",'Data &amp; Reporting'!J432)</x:f>
      </x:c>
      <x:c r="L432" s="2" t="str">
        <x:f>IF('Data &amp; Reporting'!K432="","",'Data &amp; Reporting'!K432)</x:f>
      </x:c>
      <x:c r="M432" s="2" t="n">
        <x:f>'Data &amp; Reporting'!Q432</x:f>
        <x:v>0</x:v>
      </x:c>
      <x:c r="N432" s="2" t="str">
        <x:f>'Data &amp; Reporting'!L432</x:f>
        <x:v>Open check</x:v>
      </x:c>
      <x:c r="O432" s="2" t="str">
        <x:f>'Data &amp; Reporting'!N432</x:f>
        <x:v>DR.BO.1.3.C04.2026.CY3</x:v>
      </x:c>
      <x:c r="P432" s="2" t="n">
        <x:f>'Data &amp; Reporting'!O432</x:f>
        <x:v>0</x:v>
      </x:c>
      <x:c r="Q432" s="2" t="n">
        <x:f>SUBTOTAL(103,O432)</x:f>
        <x:v>1</x:v>
      </x:c>
      <x:c r="R432" s="2" t="n">
        <x:f>IF(AND(M432=1,OR(Dashboard!$B$7="All",Dashboard!$B$7='Cycles &amp; Guide'!$C$5),OR(Dashboard!$D$7="All",Dashboard!$D$7=B432),OR(Dashboard!$F$7="All",Dashboard!$F$7=C432),OR(Dashboard!$H$7="All",Dashboard!$H$7=D432),OR(Dashboard!$K$7="All",Dashboard!$K$7=E432)),1,0)</x:f>
        <x:v>0</x:v>
      </x:c>
      <x:c r="S432" s="2" t="n">
        <x:f>IF(R432=1,SUM($R$10:R432),0)</x:f>
        <x:v>0</x:v>
      </x:c>
      <x:c r="T432" s="2" t="str">
        <x:v>Data &amp; Reporting</x:v>
      </x:c>
      <x:c r="U432" s="2" t="n">
        <x:v>432</x:v>
      </x:c>
      <x:c r="V432" s="2" t="n">
        <x:f>IF(AND(M432=1,P432=0,ISNUMBER(J432),J432&lt;TODAY()),1,0)</x:f>
        <x:v>0</x:v>
      </x:c>
      <x:c r="W432" s="2" t="str">
        <x:f>'Data &amp; Reporting'!M432</x:f>
        <x:v>Checklist</x:v>
      </x:c>
    </x:row>
    <x:row r="433" ht="40" customHeight="1">
      <x:c r="A433" s="3" t="str">
        <x:f>HYPERLINK("#'Data &amp; Reporting'!A433","Open")</x:f>
        <x:v>Open</x:v>
      </x:c>
      <x:c r="B433" s="2" t="str">
        <x:f>'Data &amp; Reporting'!B433</x:f>
        <x:v>Cycle 3</x:v>
      </x:c>
      <x:c r="C433" s="2" t="str">
        <x:f>'Data &amp; Reporting'!C433</x:f>
        <x:v>Phase 1</x:v>
      </x:c>
      <x:c r="D433" s="2" t="str">
        <x:f>'Data &amp; Reporting'!D433</x:f>
        <x:v>CSBBO - Banking Ops</x:v>
      </x:c>
      <x:c r="E433" s="2" t="str">
        <x:v>Data &amp; Reporting</x:v>
      </x:c>
      <x:c r="F433" s="56" t="str">
        <x:f>'Data &amp; Reporting'!E433</x:f>
        <x:v>DR.BO.1.3.C05</x:v>
      </x:c>
      <x:c r="G433" s="14" t="str">
        <x:f>'Data &amp; Reporting'!F433</x:f>
        <x:v>    Validate accuracy of data</x:v>
      </x:c>
      <x:c r="H433" s="2" t="str">
        <x:f>IF('Data &amp; Reporting'!G433="","",'Data &amp; Reporting'!G433)</x:f>
      </x:c>
      <x:c r="I433" s="12" t="str">
        <x:f>IF('Data &amp; Reporting'!H433="","",'Data &amp; Reporting'!H433)</x:f>
      </x:c>
      <x:c r="J433" s="12" t="str">
        <x:f>IF('Data &amp; Reporting'!I433="","",'Data &amp; Reporting'!I433)</x:f>
      </x:c>
      <x:c r="K433" s="12" t="str">
        <x:f>IF('Data &amp; Reporting'!J433="","",'Data &amp; Reporting'!J433)</x:f>
      </x:c>
      <x:c r="L433" s="2" t="str">
        <x:f>IF('Data &amp; Reporting'!K433="","",'Data &amp; Reporting'!K433)</x:f>
      </x:c>
      <x:c r="M433" s="2" t="n">
        <x:f>'Data &amp; Reporting'!Q433</x:f>
        <x:v>0</x:v>
      </x:c>
      <x:c r="N433" s="2" t="str">
        <x:f>'Data &amp; Reporting'!L433</x:f>
        <x:v>Open check</x:v>
      </x:c>
      <x:c r="O433" s="2" t="str">
        <x:f>'Data &amp; Reporting'!N433</x:f>
        <x:v>DR.BO.1.3.C05.2026.CY3</x:v>
      </x:c>
      <x:c r="P433" s="2" t="n">
        <x:f>'Data &amp; Reporting'!O433</x:f>
        <x:v>0</x:v>
      </x:c>
      <x:c r="Q433" s="2" t="n">
        <x:f>SUBTOTAL(103,O433)</x:f>
        <x:v>1</x:v>
      </x:c>
      <x:c r="R433" s="2" t="n">
        <x:f>IF(AND(M433=1,OR(Dashboard!$B$7="All",Dashboard!$B$7='Cycles &amp; Guide'!$C$5),OR(Dashboard!$D$7="All",Dashboard!$D$7=B433),OR(Dashboard!$F$7="All",Dashboard!$F$7=C433),OR(Dashboard!$H$7="All",Dashboard!$H$7=D433),OR(Dashboard!$K$7="All",Dashboard!$K$7=E433)),1,0)</x:f>
        <x:v>0</x:v>
      </x:c>
      <x:c r="S433" s="2" t="n">
        <x:f>IF(R433=1,SUM($R$10:R433),0)</x:f>
        <x:v>0</x:v>
      </x:c>
      <x:c r="T433" s="2" t="str">
        <x:v>Data &amp; Reporting</x:v>
      </x:c>
      <x:c r="U433" s="2" t="n">
        <x:v>433</x:v>
      </x:c>
      <x:c r="V433" s="2" t="n">
        <x:f>IF(AND(M433=1,P433=0,ISNUMBER(J433),J433&lt;TODAY()),1,0)</x:f>
        <x:v>0</x:v>
      </x:c>
      <x:c r="W433" s="2" t="str">
        <x:f>'Data &amp; Reporting'!M433</x:f>
        <x:v>Checklist</x:v>
      </x:c>
    </x:row>
    <x:row r="434" ht="40" customHeight="1">
      <x:c r="A434" s="3" t="str">
        <x:f>HYPERLINK("#'Data &amp; Reporting'!A434","Open")</x:f>
        <x:v>Open</x:v>
      </x:c>
      <x:c r="B434" s="2" t="str">
        <x:f>'Data &amp; Reporting'!B434</x:f>
        <x:v>Cycle 3</x:v>
      </x:c>
      <x:c r="C434" s="2" t="str">
        <x:f>'Data &amp; Reporting'!C434</x:f>
        <x:v>Phase 1</x:v>
      </x:c>
      <x:c r="D434" s="2" t="str">
        <x:f>'Data &amp; Reporting'!D434</x:f>
        <x:v>CSBBO - Banking Ops</x:v>
      </x:c>
      <x:c r="E434" s="2" t="str">
        <x:v>Data &amp; Reporting</x:v>
      </x:c>
      <x:c r="F434" s="56" t="str">
        <x:f>'Data &amp; Reporting'!E434</x:f>
        <x:v>DR.BO.1.3.C06</x:v>
      </x:c>
      <x:c r="G434" s="14" t="str">
        <x:f>'Data &amp; Reporting'!F434</x:f>
        <x:v>    Validate no duplicate data is provided</x:v>
      </x:c>
      <x:c r="H434" s="2" t="str">
        <x:f>IF('Data &amp; Reporting'!G434="","",'Data &amp; Reporting'!G434)</x:f>
      </x:c>
      <x:c r="I434" s="12" t="str">
        <x:f>IF('Data &amp; Reporting'!H434="","",'Data &amp; Reporting'!H434)</x:f>
      </x:c>
      <x:c r="J434" s="12" t="str">
        <x:f>IF('Data &amp; Reporting'!I434="","",'Data &amp; Reporting'!I434)</x:f>
      </x:c>
      <x:c r="K434" s="12" t="str">
        <x:f>IF('Data &amp; Reporting'!J434="","",'Data &amp; Reporting'!J434)</x:f>
      </x:c>
      <x:c r="L434" s="2" t="str">
        <x:f>IF('Data &amp; Reporting'!K434="","",'Data &amp; Reporting'!K434)</x:f>
      </x:c>
      <x:c r="M434" s="2" t="n">
        <x:f>'Data &amp; Reporting'!Q434</x:f>
        <x:v>0</x:v>
      </x:c>
      <x:c r="N434" s="2" t="str">
        <x:f>'Data &amp; Reporting'!L434</x:f>
        <x:v>Open check</x:v>
      </x:c>
      <x:c r="O434" s="2" t="str">
        <x:f>'Data &amp; Reporting'!N434</x:f>
        <x:v>DR.BO.1.3.C06.2026.CY3</x:v>
      </x:c>
      <x:c r="P434" s="2" t="n">
        <x:f>'Data &amp; Reporting'!O434</x:f>
        <x:v>0</x:v>
      </x:c>
      <x:c r="Q434" s="2" t="n">
        <x:f>SUBTOTAL(103,O434)</x:f>
        <x:v>1</x:v>
      </x:c>
      <x:c r="R434" s="2" t="n">
        <x:f>IF(AND(M434=1,OR(Dashboard!$B$7="All",Dashboard!$B$7='Cycles &amp; Guide'!$C$5),OR(Dashboard!$D$7="All",Dashboard!$D$7=B434),OR(Dashboard!$F$7="All",Dashboard!$F$7=C434),OR(Dashboard!$H$7="All",Dashboard!$H$7=D434),OR(Dashboard!$K$7="All",Dashboard!$K$7=E434)),1,0)</x:f>
        <x:v>0</x:v>
      </x:c>
      <x:c r="S434" s="2" t="n">
        <x:f>IF(R434=1,SUM($R$10:R434),0)</x:f>
        <x:v>0</x:v>
      </x:c>
      <x:c r="T434" s="2" t="str">
        <x:v>Data &amp; Reporting</x:v>
      </x:c>
      <x:c r="U434" s="2" t="n">
        <x:v>434</x:v>
      </x:c>
      <x:c r="V434" s="2" t="n">
        <x:f>IF(AND(M434=1,P434=0,ISNUMBER(J434),J434&lt;TODAY()),1,0)</x:f>
        <x:v>0</x:v>
      </x:c>
      <x:c r="W434" s="2" t="str">
        <x:f>'Data &amp; Reporting'!M434</x:f>
        <x:v>Checklist</x:v>
      </x:c>
    </x:row>
    <x:row r="435" ht="40" customHeight="1">
      <x:c r="A435" s="3" t="str">
        <x:f>HYPERLINK("#'Data &amp; Reporting'!A435","Open")</x:f>
        <x:v>Open</x:v>
      </x:c>
      <x:c r="B435" s="2" t="str">
        <x:f>'Data &amp; Reporting'!B435</x:f>
        <x:v>Cycle 3</x:v>
      </x:c>
      <x:c r="C435" s="2" t="str">
        <x:f>'Data &amp; Reporting'!C435</x:f>
        <x:v>Phase 1</x:v>
      </x:c>
      <x:c r="D435" s="2" t="str">
        <x:f>'Data &amp; Reporting'!D435</x:f>
        <x:v>CSBBO - Banking Ops</x:v>
      </x:c>
      <x:c r="E435" s="2" t="str">
        <x:v>Data &amp; Reporting</x:v>
      </x:c>
      <x:c r="F435" s="56" t="str">
        <x:f>'Data &amp; Reporting'!E435</x:f>
        <x:v>DR.BO.1.3.C07</x:v>
      </x:c>
      <x:c r="G435" s="14" t="str">
        <x:f>'Data &amp; Reporting'!F435</x:f>
        <x:v>    Document any data exclusions along with justification (as needed)</x:v>
      </x:c>
      <x:c r="H435" s="2" t="str">
        <x:f>IF('Data &amp; Reporting'!G435="","",'Data &amp; Reporting'!G435)</x:f>
      </x:c>
      <x:c r="I435" s="12" t="str">
        <x:f>IF('Data &amp; Reporting'!H435="","",'Data &amp; Reporting'!H435)</x:f>
      </x:c>
      <x:c r="J435" s="12" t="str">
        <x:f>IF('Data &amp; Reporting'!I435="","",'Data &amp; Reporting'!I435)</x:f>
      </x:c>
      <x:c r="K435" s="12" t="str">
        <x:f>IF('Data &amp; Reporting'!J435="","",'Data &amp; Reporting'!J435)</x:f>
      </x:c>
      <x:c r="L435" s="2" t="str">
        <x:f>IF('Data &amp; Reporting'!K435="","",'Data &amp; Reporting'!K435)</x:f>
      </x:c>
      <x:c r="M435" s="2" t="n">
        <x:f>'Data &amp; Reporting'!Q435</x:f>
        <x:v>0</x:v>
      </x:c>
      <x:c r="N435" s="2" t="str">
        <x:f>'Data &amp; Reporting'!L435</x:f>
        <x:v>Open check</x:v>
      </x:c>
      <x:c r="O435" s="2" t="str">
        <x:f>'Data &amp; Reporting'!N435</x:f>
        <x:v>DR.BO.1.3.C07.2026.CY3</x:v>
      </x:c>
      <x:c r="P435" s="2" t="n">
        <x:f>'Data &amp; Reporting'!O435</x:f>
        <x:v>0</x:v>
      </x:c>
      <x:c r="Q435" s="2" t="n">
        <x:f>SUBTOTAL(103,O435)</x:f>
        <x:v>1</x:v>
      </x:c>
      <x:c r="R435" s="2" t="n">
        <x:f>IF(AND(M435=1,OR(Dashboard!$B$7="All",Dashboard!$B$7='Cycles &amp; Guide'!$C$5),OR(Dashboard!$D$7="All",Dashboard!$D$7=B435),OR(Dashboard!$F$7="All",Dashboard!$F$7=C435),OR(Dashboard!$H$7="All",Dashboard!$H$7=D435),OR(Dashboard!$K$7="All",Dashboard!$K$7=E435)),1,0)</x:f>
        <x:v>0</x:v>
      </x:c>
      <x:c r="S435" s="2" t="n">
        <x:f>IF(R435=1,SUM($R$10:R435),0)</x:f>
        <x:v>0</x:v>
      </x:c>
      <x:c r="T435" s="2" t="str">
        <x:v>Data &amp; Reporting</x:v>
      </x:c>
      <x:c r="U435" s="2" t="n">
        <x:v>435</x:v>
      </x:c>
      <x:c r="V435" s="2" t="n">
        <x:f>IF(AND(M435=1,P435=0,ISNUMBER(J435),J435&lt;TODAY()),1,0)</x:f>
        <x:v>0</x:v>
      </x:c>
      <x:c r="W435" s="2" t="str">
        <x:f>'Data &amp; Reporting'!M435</x:f>
        <x:v>Checklist</x:v>
      </x:c>
    </x:row>
    <x:row r="436" ht="40" customHeight="1">
      <x:c r="A436" s="3" t="str">
        <x:f>HYPERLINK("#'Data &amp; Reporting'!A436","Open")</x:f>
        <x:v>Open</x:v>
      </x:c>
      <x:c r="B436" s="2" t="str">
        <x:f>'Data &amp; Reporting'!B436</x:f>
        <x:v>Cycle 3</x:v>
      </x:c>
      <x:c r="C436" s="2" t="str">
        <x:f>'Data &amp; Reporting'!C436</x:f>
        <x:v>Phase 1</x:v>
      </x:c>
      <x:c r="D436" s="2" t="str">
        <x:f>'Data &amp; Reporting'!D436</x:f>
        <x:v>CSBBO - Banking Ops</x:v>
      </x:c>
      <x:c r="E436" s="2" t="str">
        <x:v>Data &amp; Reporting</x:v>
      </x:c>
      <x:c r="F436" s="56" t="str">
        <x:f>'Data &amp; Reporting'!E436</x:f>
        <x:v>DR.BO.1.3.C08</x:v>
      </x:c>
      <x:c r="G436" s="14" t="str">
        <x:f>'Data &amp; Reporting'!F436</x:f>
        <x:v>    Document any assumptions made with the data (as needed)</x:v>
      </x:c>
      <x:c r="H436" s="2" t="str">
        <x:f>IF('Data &amp; Reporting'!G436="","",'Data &amp; Reporting'!G436)</x:f>
      </x:c>
      <x:c r="I436" s="12" t="str">
        <x:f>IF('Data &amp; Reporting'!H436="","",'Data &amp; Reporting'!H436)</x:f>
      </x:c>
      <x:c r="J436" s="12" t="str">
        <x:f>IF('Data &amp; Reporting'!I436="","",'Data &amp; Reporting'!I436)</x:f>
      </x:c>
      <x:c r="K436" s="12" t="str">
        <x:f>IF('Data &amp; Reporting'!J436="","",'Data &amp; Reporting'!J436)</x:f>
      </x:c>
      <x:c r="L436" s="2" t="str">
        <x:f>IF('Data &amp; Reporting'!K436="","",'Data &amp; Reporting'!K436)</x:f>
      </x:c>
      <x:c r="M436" s="2" t="n">
        <x:f>'Data &amp; Reporting'!Q436</x:f>
        <x:v>0</x:v>
      </x:c>
      <x:c r="N436" s="2" t="str">
        <x:f>'Data &amp; Reporting'!L436</x:f>
        <x:v>Open check</x:v>
      </x:c>
      <x:c r="O436" s="2" t="str">
        <x:f>'Data &amp; Reporting'!N436</x:f>
        <x:v>DR.BO.1.3.C08.2026.CY3</x:v>
      </x:c>
      <x:c r="P436" s="2" t="n">
        <x:f>'Data &amp; Reporting'!O436</x:f>
        <x:v>0</x:v>
      </x:c>
      <x:c r="Q436" s="2" t="n">
        <x:f>SUBTOTAL(103,O436)</x:f>
        <x:v>1</x:v>
      </x:c>
      <x:c r="R436" s="2" t="n">
        <x:f>IF(AND(M436=1,OR(Dashboard!$B$7="All",Dashboard!$B$7='Cycles &amp; Guide'!$C$5),OR(Dashboard!$D$7="All",Dashboard!$D$7=B436),OR(Dashboard!$F$7="All",Dashboard!$F$7=C436),OR(Dashboard!$H$7="All",Dashboard!$H$7=D436),OR(Dashboard!$K$7="All",Dashboard!$K$7=E436)),1,0)</x:f>
        <x:v>0</x:v>
      </x:c>
      <x:c r="S436" s="2" t="n">
        <x:f>IF(R436=1,SUM($R$10:R436),0)</x:f>
        <x:v>0</x:v>
      </x:c>
      <x:c r="T436" s="2" t="str">
        <x:v>Data &amp; Reporting</x:v>
      </x:c>
      <x:c r="U436" s="2" t="n">
        <x:v>436</x:v>
      </x:c>
      <x:c r="V436" s="2" t="n">
        <x:f>IF(AND(M436=1,P436=0,ISNUMBER(J436),J436&lt;TODAY()),1,0)</x:f>
        <x:v>0</x:v>
      </x:c>
      <x:c r="W436" s="2" t="str">
        <x:f>'Data &amp; Reporting'!M436</x:f>
        <x:v>Checklist</x:v>
      </x:c>
    </x:row>
    <x:row r="437" ht="40" customHeight="1">
      <x:c r="A437" s="3" t="str">
        <x:f>HYPERLINK("#'Data &amp; Reporting'!A437","Open")</x:f>
        <x:v>Open</x:v>
      </x:c>
      <x:c r="B437" s="2" t="str">
        <x:f>'Data &amp; Reporting'!B437</x:f>
        <x:v>Cycle 3</x:v>
      </x:c>
      <x:c r="C437" s="2" t="str">
        <x:f>'Data &amp; Reporting'!C437</x:f>
        <x:v>Phase 1</x:v>
      </x:c>
      <x:c r="D437" s="2" t="str">
        <x:f>'Data &amp; Reporting'!D437</x:f>
        <x:v>CSBBO - Banking Ops</x:v>
      </x:c>
      <x:c r="E437" s="2" t="str">
        <x:v>Data &amp; Reporting</x:v>
      </x:c>
      <x:c r="F437" s="56" t="str">
        <x:f>'Data &amp; Reporting'!E437</x:f>
        <x:v>DR.BO.1.3.C09</x:v>
      </x:c>
      <x:c r="G437" s="14" t="str">
        <x:f>'Data &amp; Reporting'!F437</x:f>
        <x:v>    Document any data limitations or constraints clearly (as needed)</x:v>
      </x:c>
      <x:c r="H437" s="2" t="str">
        <x:f>IF('Data &amp; Reporting'!G437="","",'Data &amp; Reporting'!G437)</x:f>
      </x:c>
      <x:c r="I437" s="12" t="str">
        <x:f>IF('Data &amp; Reporting'!H437="","",'Data &amp; Reporting'!H437)</x:f>
      </x:c>
      <x:c r="J437" s="12" t="str">
        <x:f>IF('Data &amp; Reporting'!I437="","",'Data &amp; Reporting'!I437)</x:f>
      </x:c>
      <x:c r="K437" s="12" t="str">
        <x:f>IF('Data &amp; Reporting'!J437="","",'Data &amp; Reporting'!J437)</x:f>
      </x:c>
      <x:c r="L437" s="2" t="str">
        <x:f>IF('Data &amp; Reporting'!K437="","",'Data &amp; Reporting'!K437)</x:f>
      </x:c>
      <x:c r="M437" s="2" t="n">
        <x:f>'Data &amp; Reporting'!Q437</x:f>
        <x:v>0</x:v>
      </x:c>
      <x:c r="N437" s="2" t="str">
        <x:f>'Data &amp; Reporting'!L437</x:f>
        <x:v>Open check</x:v>
      </x:c>
      <x:c r="O437" s="2" t="str">
        <x:f>'Data &amp; Reporting'!N437</x:f>
        <x:v>DR.BO.1.3.C09.2026.CY3</x:v>
      </x:c>
      <x:c r="P437" s="2" t="n">
        <x:f>'Data &amp; Reporting'!O437</x:f>
        <x:v>0</x:v>
      </x:c>
      <x:c r="Q437" s="2" t="n">
        <x:f>SUBTOTAL(103,O437)</x:f>
        <x:v>1</x:v>
      </x:c>
      <x:c r="R437" s="2" t="n">
        <x:f>IF(AND(M437=1,OR(Dashboard!$B$7="All",Dashboard!$B$7='Cycles &amp; Guide'!$C$5),OR(Dashboard!$D$7="All",Dashboard!$D$7=B437),OR(Dashboard!$F$7="All",Dashboard!$F$7=C437),OR(Dashboard!$H$7="All",Dashboard!$H$7=D437),OR(Dashboard!$K$7="All",Dashboard!$K$7=E437)),1,0)</x:f>
        <x:v>0</x:v>
      </x:c>
      <x:c r="S437" s="2" t="n">
        <x:f>IF(R437=1,SUM($R$10:R437),0)</x:f>
        <x:v>0</x:v>
      </x:c>
      <x:c r="T437" s="2" t="str">
        <x:v>Data &amp; Reporting</x:v>
      </x:c>
      <x:c r="U437" s="2" t="n">
        <x:v>437</x:v>
      </x:c>
      <x:c r="V437" s="2" t="n">
        <x:f>IF(AND(M437=1,P437=0,ISNUMBER(J437),J437&lt;TODAY()),1,0)</x:f>
        <x:v>0</x:v>
      </x:c>
      <x:c r="W437" s="2" t="str">
        <x:f>'Data &amp; Reporting'!M437</x:f>
        <x:v>Checklist</x:v>
      </x:c>
    </x:row>
    <x:row r="438" ht="40" customHeight="1">
      <x:c r="A438" s="3" t="str">
        <x:f>HYPERLINK("#'Data &amp; Reporting'!A438","Open")</x:f>
        <x:v>Open</x:v>
      </x:c>
      <x:c r="B438" s="2" t="str">
        <x:f>'Data &amp; Reporting'!B438</x:f>
        <x:v>Cycle 3</x:v>
      </x:c>
      <x:c r="C438" s="2" t="str">
        <x:f>'Data &amp; Reporting'!C438</x:f>
        <x:v>Phase 1</x:v>
      </x:c>
      <x:c r="D438" s="2" t="str">
        <x:f>'Data &amp; Reporting'!D438</x:f>
        <x:v>CSBBO - Banking Ops</x:v>
      </x:c>
      <x:c r="E438" s="2" t="str">
        <x:v>Data &amp; Reporting</x:v>
      </x:c>
      <x:c r="F438" s="56" t="str">
        <x:f>'Data &amp; Reporting'!E438</x:f>
        <x:v>DR.BO.1.3.C10</x:v>
      </x:c>
      <x:c r="G438" s="14" t="str">
        <x:f>'Data &amp; Reporting'!F438</x:f>
        <x:v>    Document data dictionary or field definitions for columns/rows</x:v>
      </x:c>
      <x:c r="H438" s="2" t="str">
        <x:f>IF('Data &amp; Reporting'!G438="","",'Data &amp; Reporting'!G438)</x:f>
      </x:c>
      <x:c r="I438" s="12" t="str">
        <x:f>IF('Data &amp; Reporting'!H438="","",'Data &amp; Reporting'!H438)</x:f>
      </x:c>
      <x:c r="J438" s="12" t="str">
        <x:f>IF('Data &amp; Reporting'!I438="","",'Data &amp; Reporting'!I438)</x:f>
      </x:c>
      <x:c r="K438" s="12" t="str">
        <x:f>IF('Data &amp; Reporting'!J438="","",'Data &amp; Reporting'!J438)</x:f>
      </x:c>
      <x:c r="L438" s="2" t="str">
        <x:f>IF('Data &amp; Reporting'!K438="","",'Data &amp; Reporting'!K438)</x:f>
      </x:c>
      <x:c r="M438" s="2" t="n">
        <x:f>'Data &amp; Reporting'!Q438</x:f>
        <x:v>0</x:v>
      </x:c>
      <x:c r="N438" s="2" t="str">
        <x:f>'Data &amp; Reporting'!L438</x:f>
        <x:v>Open check</x:v>
      </x:c>
      <x:c r="O438" s="2" t="str">
        <x:f>'Data &amp; Reporting'!N438</x:f>
        <x:v>DR.BO.1.3.C10.2026.CY3</x:v>
      </x:c>
      <x:c r="P438" s="2" t="n">
        <x:f>'Data &amp; Reporting'!O438</x:f>
        <x:v>0</x:v>
      </x:c>
      <x:c r="Q438" s="2" t="n">
        <x:f>SUBTOTAL(103,O438)</x:f>
        <x:v>1</x:v>
      </x:c>
      <x:c r="R438" s="2" t="n">
        <x:f>IF(AND(M438=1,OR(Dashboard!$B$7="All",Dashboard!$B$7='Cycles &amp; Guide'!$C$5),OR(Dashboard!$D$7="All",Dashboard!$D$7=B438),OR(Dashboard!$F$7="All",Dashboard!$F$7=C438),OR(Dashboard!$H$7="All",Dashboard!$H$7=D438),OR(Dashboard!$K$7="All",Dashboard!$K$7=E438)),1,0)</x:f>
        <x:v>0</x:v>
      </x:c>
      <x:c r="S438" s="2" t="n">
        <x:f>IF(R438=1,SUM($R$10:R438),0)</x:f>
        <x:v>0</x:v>
      </x:c>
      <x:c r="T438" s="2" t="str">
        <x:v>Data &amp; Reporting</x:v>
      </x:c>
      <x:c r="U438" s="2" t="n">
        <x:v>438</x:v>
      </x:c>
      <x:c r="V438" s="2" t="n">
        <x:f>IF(AND(M438=1,P438=0,ISNUMBER(J438),J438&lt;TODAY()),1,0)</x:f>
        <x:v>0</x:v>
      </x:c>
      <x:c r="W438" s="2" t="str">
        <x:f>'Data &amp; Reporting'!M438</x:f>
        <x:v>Checklist</x:v>
      </x:c>
    </x:row>
    <x:row r="439" ht="40" customHeight="1">
      <x:c r="A439" s="3" t="str">
        <x:f>HYPERLINK("#'Data &amp; Reporting'!A439","Open")</x:f>
        <x:v>Open</x:v>
      </x:c>
      <x:c r="B439" s="2" t="str">
        <x:f>'Data &amp; Reporting'!B439</x:f>
        <x:v>Cycle 3</x:v>
      </x:c>
      <x:c r="C439" s="2" t="str">
        <x:f>'Data &amp; Reporting'!C439</x:f>
        <x:v>Phase 1</x:v>
      </x:c>
      <x:c r="D439" s="2" t="str">
        <x:f>'Data &amp; Reporting'!D439</x:f>
        <x:v>CSBBO - Banking Ops</x:v>
      </x:c>
      <x:c r="E439" s="2" t="str">
        <x:v>Data &amp; Reporting</x:v>
      </x:c>
      <x:c r="F439" s="56" t="str">
        <x:f>'Data &amp; Reporting'!E439</x:f>
        <x:v>DR.BO.1.3.C11</x:v>
      </x:c>
      <x:c r="G439" s="14" t="str">
        <x:f>'Data &amp; Reporting'!F439</x:f>
        <x:v>    Document emerging trends, patterns, or concentrations along with supporting data</x:v>
      </x:c>
      <x:c r="H439" s="2" t="str">
        <x:f>IF('Data &amp; Reporting'!G439="","",'Data &amp; Reporting'!G439)</x:f>
      </x:c>
      <x:c r="I439" s="12" t="str">
        <x:f>IF('Data &amp; Reporting'!H439="","",'Data &amp; Reporting'!H439)</x:f>
      </x:c>
      <x:c r="J439" s="12" t="str">
        <x:f>IF('Data &amp; Reporting'!I439="","",'Data &amp; Reporting'!I439)</x:f>
      </x:c>
      <x:c r="K439" s="12" t="str">
        <x:f>IF('Data &amp; Reporting'!J439="","",'Data &amp; Reporting'!J439)</x:f>
      </x:c>
      <x:c r="L439" s="2" t="str">
        <x:f>IF('Data &amp; Reporting'!K439="","",'Data &amp; Reporting'!K439)</x:f>
      </x:c>
      <x:c r="M439" s="2" t="n">
        <x:f>'Data &amp; Reporting'!Q439</x:f>
        <x:v>0</x:v>
      </x:c>
      <x:c r="N439" s="2" t="str">
        <x:f>'Data &amp; Reporting'!L439</x:f>
        <x:v>Open check</x:v>
      </x:c>
      <x:c r="O439" s="2" t="str">
        <x:f>'Data &amp; Reporting'!N439</x:f>
        <x:v>DR.BO.1.3.C11.2026.CY3</x:v>
      </x:c>
      <x:c r="P439" s="2" t="n">
        <x:f>'Data &amp; Reporting'!O439</x:f>
        <x:v>0</x:v>
      </x:c>
      <x:c r="Q439" s="2" t="n">
        <x:f>SUBTOTAL(103,O439)</x:f>
        <x:v>1</x:v>
      </x:c>
      <x:c r="R439" s="2" t="n">
        <x:f>IF(AND(M439=1,OR(Dashboard!$B$7="All",Dashboard!$B$7='Cycles &amp; Guide'!$C$5),OR(Dashboard!$D$7="All",Dashboard!$D$7=B439),OR(Dashboard!$F$7="All",Dashboard!$F$7=C439),OR(Dashboard!$H$7="All",Dashboard!$H$7=D439),OR(Dashboard!$K$7="All",Dashboard!$K$7=E439)),1,0)</x:f>
        <x:v>0</x:v>
      </x:c>
      <x:c r="S439" s="2" t="n">
        <x:f>IF(R439=1,SUM($R$10:R439),0)</x:f>
        <x:v>0</x:v>
      </x:c>
      <x:c r="T439" s="2" t="str">
        <x:v>Data &amp; Reporting</x:v>
      </x:c>
      <x:c r="U439" s="2" t="n">
        <x:v>439</x:v>
      </x:c>
      <x:c r="V439" s="2" t="n">
        <x:f>IF(AND(M439=1,P439=0,ISNUMBER(J439),J439&lt;TODAY()),1,0)</x:f>
        <x:v>0</x:v>
      </x:c>
      <x:c r="W439" s="2" t="str">
        <x:f>'Data &amp; Reporting'!M439</x:f>
        <x:v>Checklist</x:v>
      </x:c>
    </x:row>
    <x:row r="440" ht="40" customHeight="1">
      <x:c r="A440" s="3" t="str">
        <x:f>HYPERLINK("#'Data &amp; Reporting'!A440","Open")</x:f>
        <x:v>Open</x:v>
      </x:c>
      <x:c r="B440" s="2" t="str">
        <x:f>'Data &amp; Reporting'!B440</x:f>
        <x:v>Cycle 3</x:v>
      </x:c>
      <x:c r="C440" s="2" t="str">
        <x:f>'Data &amp; Reporting'!C440</x:f>
        <x:v>Phase 1</x:v>
      </x:c>
      <x:c r="D440" s="2" t="str">
        <x:f>'Data &amp; Reporting'!D440</x:f>
        <x:v>CSBBO - Banking Ops</x:v>
      </x:c>
      <x:c r="E440" s="2" t="str">
        <x:v>Data &amp; Reporting</x:v>
      </x:c>
      <x:c r="F440" s="56" t="str">
        <x:f>'Data &amp; Reporting'!E440</x:f>
        <x:v>DR.BO.1.3.C12</x:v>
      </x:c>
      <x:c r="G440" s="14" t="str">
        <x:f>'Data &amp; Reporting'!F440</x:f>
        <x:v>    Document any severe spikes in volume along with context (as needed)</x:v>
      </x:c>
      <x:c r="H440" s="2" t="str">
        <x:f>IF('Data &amp; Reporting'!G440="","",'Data &amp; Reporting'!G440)</x:f>
      </x:c>
      <x:c r="I440" s="12" t="str">
        <x:f>IF('Data &amp; Reporting'!H440="","",'Data &amp; Reporting'!H440)</x:f>
      </x:c>
      <x:c r="J440" s="12" t="str">
        <x:f>IF('Data &amp; Reporting'!I440="","",'Data &amp; Reporting'!I440)</x:f>
      </x:c>
      <x:c r="K440" s="12" t="str">
        <x:f>IF('Data &amp; Reporting'!J440="","",'Data &amp; Reporting'!J440)</x:f>
      </x:c>
      <x:c r="L440" s="2" t="str">
        <x:f>IF('Data &amp; Reporting'!K440="","",'Data &amp; Reporting'!K440)</x:f>
      </x:c>
      <x:c r="M440" s="2" t="n">
        <x:f>'Data &amp; Reporting'!Q440</x:f>
        <x:v>0</x:v>
      </x:c>
      <x:c r="N440" s="2" t="str">
        <x:f>'Data &amp; Reporting'!L440</x:f>
        <x:v>Open check</x:v>
      </x:c>
      <x:c r="O440" s="2" t="str">
        <x:f>'Data &amp; Reporting'!N440</x:f>
        <x:v>DR.BO.1.3.C12.2026.CY3</x:v>
      </x:c>
      <x:c r="P440" s="2" t="n">
        <x:f>'Data &amp; Reporting'!O440</x:f>
        <x:v>0</x:v>
      </x:c>
      <x:c r="Q440" s="2" t="n">
        <x:f>SUBTOTAL(103,O440)</x:f>
        <x:v>1</x:v>
      </x:c>
      <x:c r="R440" s="2" t="n">
        <x:f>IF(AND(M440=1,OR(Dashboard!$B$7="All",Dashboard!$B$7='Cycles &amp; Guide'!$C$5),OR(Dashboard!$D$7="All",Dashboard!$D$7=B440),OR(Dashboard!$F$7="All",Dashboard!$F$7=C440),OR(Dashboard!$H$7="All",Dashboard!$H$7=D440),OR(Dashboard!$K$7="All",Dashboard!$K$7=E440)),1,0)</x:f>
        <x:v>0</x:v>
      </x:c>
      <x:c r="S440" s="2" t="n">
        <x:f>IF(R440=1,SUM($R$10:R440),0)</x:f>
        <x:v>0</x:v>
      </x:c>
      <x:c r="T440" s="2" t="str">
        <x:v>Data &amp; Reporting</x:v>
      </x:c>
      <x:c r="U440" s="2" t="n">
        <x:v>440</x:v>
      </x:c>
      <x:c r="V440" s="2" t="n">
        <x:f>IF(AND(M440=1,P440=0,ISNUMBER(J440),J440&lt;TODAY()),1,0)</x:f>
        <x:v>0</x:v>
      </x:c>
      <x:c r="W440" s="2" t="str">
        <x:f>'Data &amp; Reporting'!M440</x:f>
        <x:v>Checklist</x:v>
      </x:c>
    </x:row>
    <x:row r="441" ht="40" customHeight="1">
      <x:c r="A441" s="3" t="str">
        <x:f>HYPERLINK("#'Data &amp; Reporting'!A441","Open")</x:f>
        <x:v>Open</x:v>
      </x:c>
      <x:c r="B441" s="2" t="str">
        <x:f>'Data &amp; Reporting'!B441</x:f>
        <x:v>Cycle 3</x:v>
      </x:c>
      <x:c r="C441" s="2" t="str">
        <x:f>'Data &amp; Reporting'!C441</x:f>
        <x:v>Phase 1</x:v>
      </x:c>
      <x:c r="D441" s="2" t="str">
        <x:f>'Data &amp; Reporting'!D441</x:f>
        <x:v>CSBBO - Banking Ops</x:v>
      </x:c>
      <x:c r="E441" s="2" t="str">
        <x:v>Data &amp; Reporting</x:v>
      </x:c>
      <x:c r="F441" s="56" t="str">
        <x:f>'Data &amp; Reporting'!E441</x:f>
        <x:v>DR.BO.1.3.C13</x:v>
      </x:c>
      <x:c r="G441" s="14" t="str">
        <x:f>'Data &amp; Reporting'!F441</x:f>
        <x:v>    Document clear summary explaining how the data connects to the potential topic</x:v>
      </x:c>
      <x:c r="H441" s="2" t="str">
        <x:f>IF('Data &amp; Reporting'!G441="","",'Data &amp; Reporting'!G441)</x:f>
      </x:c>
      <x:c r="I441" s="12" t="str">
        <x:f>IF('Data &amp; Reporting'!H441="","",'Data &amp; Reporting'!H441)</x:f>
      </x:c>
      <x:c r="J441" s="12" t="str">
        <x:f>IF('Data &amp; Reporting'!I441="","",'Data &amp; Reporting'!I441)</x:f>
      </x:c>
      <x:c r="K441" s="12" t="str">
        <x:f>IF('Data &amp; Reporting'!J441="","",'Data &amp; Reporting'!J441)</x:f>
      </x:c>
      <x:c r="L441" s="2" t="str">
        <x:f>IF('Data &amp; Reporting'!K441="","",'Data &amp; Reporting'!K441)</x:f>
      </x:c>
      <x:c r="M441" s="2" t="n">
        <x:f>'Data &amp; Reporting'!Q441</x:f>
        <x:v>0</x:v>
      </x:c>
      <x:c r="N441" s="2" t="str">
        <x:f>'Data &amp; Reporting'!L441</x:f>
        <x:v>Open check</x:v>
      </x:c>
      <x:c r="O441" s="2" t="str">
        <x:f>'Data &amp; Reporting'!N441</x:f>
        <x:v>DR.BO.1.3.C13.2026.CY3</x:v>
      </x:c>
      <x:c r="P441" s="2" t="n">
        <x:f>'Data &amp; Reporting'!O441</x:f>
        <x:v>0</x:v>
      </x:c>
      <x:c r="Q441" s="2" t="n">
        <x:f>SUBTOTAL(103,O441)</x:f>
        <x:v>1</x:v>
      </x:c>
      <x:c r="R441" s="2" t="n">
        <x:f>IF(AND(M441=1,OR(Dashboard!$B$7="All",Dashboard!$B$7='Cycles &amp; Guide'!$C$5),OR(Dashboard!$D$7="All",Dashboard!$D$7=B441),OR(Dashboard!$F$7="All",Dashboard!$F$7=C441),OR(Dashboard!$H$7="All",Dashboard!$H$7=D441),OR(Dashboard!$K$7="All",Dashboard!$K$7=E441)),1,0)</x:f>
        <x:v>0</x:v>
      </x:c>
      <x:c r="S441" s="2" t="n">
        <x:f>IF(R441=1,SUM($R$10:R441),0)</x:f>
        <x:v>0</x:v>
      </x:c>
      <x:c r="T441" s="2" t="str">
        <x:v>Data &amp; Reporting</x:v>
      </x:c>
      <x:c r="U441" s="2" t="n">
        <x:v>441</x:v>
      </x:c>
      <x:c r="V441" s="2" t="n">
        <x:f>IF(AND(M441=1,P441=0,ISNUMBER(J441),J441&lt;TODAY()),1,0)</x:f>
        <x:v>0</x:v>
      </x:c>
      <x:c r="W441" s="2" t="str">
        <x:f>'Data &amp; Reporting'!M441</x:f>
        <x:v>Checklist</x:v>
      </x:c>
    </x:row>
    <x:row r="442" ht="40" customHeight="1">
      <x:c r="A442" s="3" t="str">
        <x:f>HYPERLINK("#'Data &amp; Reporting'!A442","Open")</x:f>
        <x:v>Open</x:v>
      </x:c>
      <x:c r="B442" s="2" t="str">
        <x:f>'Data &amp; Reporting'!B442</x:f>
        <x:v>Cycle 3</x:v>
      </x:c>
      <x:c r="C442" s="2" t="str">
        <x:f>'Data &amp; Reporting'!C442</x:f>
        <x:v>Phase 2</x:v>
      </x:c>
      <x:c r="D442" s="2" t="str">
        <x:f>'Data &amp; Reporting'!D442</x:f>
        <x:v>CSBBO - Banking Ops</x:v>
      </x:c>
      <x:c r="E442" s="2" t="str">
        <x:v>Data &amp; Reporting</x:v>
      </x:c>
      <x:c r="F442" s="56" t="str">
        <x:f>'Data &amp; Reporting'!E442</x:f>
        <x:v>DR.BO.2.1</x:v>
      </x:c>
      <x:c r="G442" s="14" t="str">
        <x:f>'Data &amp; Reporting'!F442</x:f>
        <x:v>Ensure data is clean, structured, and usable without manipulation needed</x:v>
      </x:c>
      <x:c r="H442" s="2" t="str">
        <x:f>IF('Data &amp; Reporting'!G442="","",'Data &amp; Reporting'!G442)</x:f>
      </x:c>
      <x:c r="I442" s="12" t="str">
        <x:f>IF('Data &amp; Reporting'!H442="","",'Data &amp; Reporting'!H442)</x:f>
      </x:c>
      <x:c r="J442" s="12" t="n">
        <x:f>IF('Data &amp; Reporting'!I442="","",'Data &amp; Reporting'!I442)</x:f>
        <x:v>46295</x:v>
      </x:c>
      <x:c r="K442" s="12" t="str">
        <x:f>IF('Data &amp; Reporting'!J442="","",'Data &amp; Reporting'!J442)</x:f>
      </x:c>
      <x:c r="L442" s="2" t="str">
        <x:f>IF('Data &amp; Reporting'!K442="","",'Data &amp; Reporting'!K442)</x:f>
      </x:c>
      <x:c r="M442" s="2" t="n">
        <x:f>'Data &amp; Reporting'!Q442</x:f>
        <x:v>1</x:v>
      </x:c>
      <x:c r="N442" s="2" t="str">
        <x:f>'Data &amp; Reporting'!L442</x:f>
        <x:v>Not started</x:v>
      </x:c>
      <x:c r="O442" s="2" t="str">
        <x:f>'Data &amp; Reporting'!N442</x:f>
        <x:v>DR.BO.2.1.2026.CY3</x:v>
      </x:c>
      <x:c r="P442" s="2" t="n">
        <x:f>'Data &amp; Reporting'!O442</x:f>
        <x:v>0</x:v>
      </x:c>
      <x:c r="Q442" s="2" t="n">
        <x:f>SUBTOTAL(103,O442)</x:f>
        <x:v>1</x:v>
      </x:c>
      <x:c r="R442" s="2" t="n">
        <x:f>IF(AND(M442=1,OR(Dashboard!$B$7="All",Dashboard!$B$7='Cycles &amp; Guide'!$C$5),OR(Dashboard!$D$7="All",Dashboard!$D$7=B442),OR(Dashboard!$F$7="All",Dashboard!$F$7=C442),OR(Dashboard!$H$7="All",Dashboard!$H$7=D442),OR(Dashboard!$K$7="All",Dashboard!$K$7=E442)),1,0)</x:f>
        <x:v>1</x:v>
      </x:c>
      <x:c r="S442" s="2" t="n">
        <x:f>IF(R442=1,SUM($R$10:R442),0)</x:f>
        <x:v>212</x:v>
      </x:c>
      <x:c r="T442" s="2" t="str">
        <x:v>Data &amp; Reporting</x:v>
      </x:c>
      <x:c r="U442" s="2" t="n">
        <x:v>442</x:v>
      </x:c>
      <x:c r="V442" s="2" t="n">
        <x:f>IF(AND(M442=1,P442=0,ISNUMBER(J442),J442&lt;TODAY()),1,0)</x:f>
        <x:v>0</x:v>
      </x:c>
      <x:c r="W442" s="2" t="str">
        <x:f>'Data &amp; Reporting'!M442</x:f>
        <x:v>Task</x:v>
      </x:c>
    </x:row>
    <x:row r="443" ht="40" customHeight="1">
      <x:c r="A443" s="3" t="str">
        <x:f>HYPERLINK("#'Data &amp; Reporting'!A443","Open")</x:f>
        <x:v>Open</x:v>
      </x:c>
      <x:c r="B443" s="2" t="str">
        <x:f>'Data &amp; Reporting'!B443</x:f>
        <x:v>Cycle 3</x:v>
      </x:c>
      <x:c r="C443" s="2" t="str">
        <x:f>'Data &amp; Reporting'!C443</x:f>
        <x:v>Phase 2</x:v>
      </x:c>
      <x:c r="D443" s="2" t="str">
        <x:f>'Data &amp; Reporting'!D443</x:f>
        <x:v>CSBBO - Banking Ops</x:v>
      </x:c>
      <x:c r="E443" s="2" t="str">
        <x:v>Data &amp; Reporting</x:v>
      </x:c>
      <x:c r="F443" s="56" t="str">
        <x:f>'Data &amp; Reporting'!E443</x:f>
        <x:v>DR.BO.2.2</x:v>
      </x:c>
      <x:c r="G443" s="14" t="str">
        <x:f>'Data &amp; Reporting'!F443</x:f>
        <x:v>Clearly document rationale for each topic recommendation within the SharePoint list</x:v>
      </x:c>
      <x:c r="H443" s="2" t="str">
        <x:f>IF('Data &amp; Reporting'!G443="","",'Data &amp; Reporting'!G443)</x:f>
      </x:c>
      <x:c r="I443" s="12" t="str">
        <x:f>IF('Data &amp; Reporting'!H443="","",'Data &amp; Reporting'!H443)</x:f>
      </x:c>
      <x:c r="J443" s="12" t="n">
        <x:f>IF('Data &amp; Reporting'!I443="","",'Data &amp; Reporting'!I443)</x:f>
        <x:v>46295</x:v>
      </x:c>
      <x:c r="K443" s="12" t="str">
        <x:f>IF('Data &amp; Reporting'!J443="","",'Data &amp; Reporting'!J443)</x:f>
      </x:c>
      <x:c r="L443" s="2" t="str">
        <x:f>IF('Data &amp; Reporting'!K443="","",'Data &amp; Reporting'!K443)</x:f>
      </x:c>
      <x:c r="M443" s="2" t="n">
        <x:f>'Data &amp; Reporting'!Q443</x:f>
        <x:v>1</x:v>
      </x:c>
      <x:c r="N443" s="2" t="str">
        <x:f>'Data &amp; Reporting'!L443</x:f>
        <x:v>Not started</x:v>
      </x:c>
      <x:c r="O443" s="2" t="str">
        <x:f>'Data &amp; Reporting'!N443</x:f>
        <x:v>DR.BO.2.2.2026.CY3</x:v>
      </x:c>
      <x:c r="P443" s="2" t="n">
        <x:f>'Data &amp; Reporting'!O443</x:f>
        <x:v>0</x:v>
      </x:c>
      <x:c r="Q443" s="2" t="n">
        <x:f>SUBTOTAL(103,O443)</x:f>
        <x:v>1</x:v>
      </x:c>
      <x:c r="R443" s="2" t="n">
        <x:f>IF(AND(M443=1,OR(Dashboard!$B$7="All",Dashboard!$B$7='Cycles &amp; Guide'!$C$5),OR(Dashboard!$D$7="All",Dashboard!$D$7=B443),OR(Dashboard!$F$7="All",Dashboard!$F$7=C443),OR(Dashboard!$H$7="All",Dashboard!$H$7=D443),OR(Dashboard!$K$7="All",Dashboard!$K$7=E443)),1,0)</x:f>
        <x:v>1</x:v>
      </x:c>
      <x:c r="S443" s="2" t="n">
        <x:f>IF(R443=1,SUM($R$10:R443),0)</x:f>
        <x:v>213</x:v>
      </x:c>
      <x:c r="T443" s="2" t="str">
        <x:v>Data &amp; Reporting</x:v>
      </x:c>
      <x:c r="U443" s="2" t="n">
        <x:v>443</x:v>
      </x:c>
      <x:c r="V443" s="2" t="n">
        <x:f>IF(AND(M443=1,P443=0,ISNUMBER(J443),J443&lt;TODAY()),1,0)</x:f>
        <x:v>0</x:v>
      </x:c>
      <x:c r="W443" s="2" t="str">
        <x:f>'Data &amp; Reporting'!M443</x:f>
        <x:v>Task</x:v>
      </x:c>
    </x:row>
    <x:row r="444" ht="40" customHeight="1">
      <x:c r="A444" s="3" t="str">
        <x:f>HYPERLINK("#'Data &amp; Reporting'!A444","Open")</x:f>
        <x:v>Open</x:v>
      </x:c>
      <x:c r="B444" s="2" t="str">
        <x:f>'Data &amp; Reporting'!B444</x:f>
        <x:v>Cycle 3</x:v>
      </x:c>
      <x:c r="C444" s="2" t="str">
        <x:f>'Data &amp; Reporting'!C444</x:f>
        <x:v>Phase 2</x:v>
      </x:c>
      <x:c r="D444" s="2" t="str">
        <x:f>'Data &amp; Reporting'!D444</x:f>
        <x:v>CSBBO - Banking Ops</x:v>
      </x:c>
      <x:c r="E444" s="2" t="str">
        <x:v>Data &amp; Reporting</x:v>
      </x:c>
      <x:c r="F444" s="56" t="str">
        <x:f>'Data &amp; Reporting'!E444</x:f>
        <x:v>DR.BO.2.3</x:v>
      </x:c>
      <x:c r="G444" s="14" t="str">
        <x:f>'Data &amp; Reporting'!F444</x:f>
        <x:v>Verify topic is eligible for RCA and does not conflict with Attorney Client Privilege</x:v>
      </x:c>
      <x:c r="H444" s="2" t="str">
        <x:f>IF('Data &amp; Reporting'!G444="","",'Data &amp; Reporting'!G444)</x:f>
      </x:c>
      <x:c r="I444" s="12" t="str">
        <x:f>IF('Data &amp; Reporting'!H444="","",'Data &amp; Reporting'!H444)</x:f>
      </x:c>
      <x:c r="J444" s="12" t="n">
        <x:f>IF('Data &amp; Reporting'!I444="","",'Data &amp; Reporting'!I444)</x:f>
        <x:v>46295</x:v>
      </x:c>
      <x:c r="K444" s="12" t="str">
        <x:f>IF('Data &amp; Reporting'!J444="","",'Data &amp; Reporting'!J444)</x:f>
      </x:c>
      <x:c r="L444" s="2" t="str">
        <x:f>IF('Data &amp; Reporting'!K444="","",'Data &amp; Reporting'!K444)</x:f>
      </x:c>
      <x:c r="M444" s="2" t="n">
        <x:f>'Data &amp; Reporting'!Q444</x:f>
        <x:v>1</x:v>
      </x:c>
      <x:c r="N444" s="2" t="str">
        <x:f>'Data &amp; Reporting'!L444</x:f>
        <x:v>Not started</x:v>
      </x:c>
      <x:c r="O444" s="2" t="str">
        <x:f>'Data &amp; Reporting'!N444</x:f>
        <x:v>DR.BO.2.3.2026.CY3</x:v>
      </x:c>
      <x:c r="P444" s="2" t="n">
        <x:f>'Data &amp; Reporting'!O444</x:f>
        <x:v>0</x:v>
      </x:c>
      <x:c r="Q444" s="2" t="n">
        <x:f>SUBTOTAL(103,O444)</x:f>
        <x:v>1</x:v>
      </x:c>
      <x:c r="R444" s="2" t="n">
        <x:f>IF(AND(M444=1,OR(Dashboard!$B$7="All",Dashboard!$B$7='Cycles &amp; Guide'!$C$5),OR(Dashboard!$D$7="All",Dashboard!$D$7=B444),OR(Dashboard!$F$7="All",Dashboard!$F$7=C444),OR(Dashboard!$H$7="All",Dashboard!$H$7=D444),OR(Dashboard!$K$7="All",Dashboard!$K$7=E444)),1,0)</x:f>
        <x:v>1</x:v>
      </x:c>
      <x:c r="S444" s="2" t="n">
        <x:f>IF(R444=1,SUM($R$10:R444),0)</x:f>
        <x:v>214</x:v>
      </x:c>
      <x:c r="T444" s="2" t="str">
        <x:v>Data &amp; Reporting</x:v>
      </x:c>
      <x:c r="U444" s="2" t="n">
        <x:v>444</x:v>
      </x:c>
      <x:c r="V444" s="2" t="n">
        <x:f>IF(AND(M444=1,P444=0,ISNUMBER(J444),J444&lt;TODAY()),1,0)</x:f>
        <x:v>0</x:v>
      </x:c>
      <x:c r="W444" s="2" t="str">
        <x:f>'Data &amp; Reporting'!M444</x:f>
        <x:v>Task</x:v>
      </x:c>
    </x:row>
    <x:row r="445" ht="40" customHeight="1">
      <x:c r="A445" s="3" t="str">
        <x:f>HYPERLINK("#'Data &amp; Reporting'!A445","Open")</x:f>
        <x:v>Open</x:v>
      </x:c>
      <x:c r="B445" s="2" t="str">
        <x:f>'Data &amp; Reporting'!B445</x:f>
        <x:v>Cycle 3</x:v>
      </x:c>
      <x:c r="C445" s="2" t="str">
        <x:f>'Data &amp; Reporting'!C445</x:f>
        <x:v>Phase 2</x:v>
      </x:c>
      <x:c r="D445" s="2" t="str">
        <x:f>'Data &amp; Reporting'!D445</x:f>
        <x:v>CSBBO - Banking Ops</x:v>
      </x:c>
      <x:c r="E445" s="2" t="str">
        <x:v>Data &amp; Reporting</x:v>
      </x:c>
      <x:c r="F445" s="56" t="str">
        <x:f>'Data &amp; Reporting'!E445</x:f>
        <x:v>DR.BO.2.4</x:v>
      </x:c>
      <x:c r="G445" s="14" t="str">
        <x:f>'Data &amp; Reporting'!F445</x:f>
        <x:v>Ensure data is free of errors and anomalies prior to hand-off to Research</x:v>
      </x:c>
      <x:c r="H445" s="2" t="str">
        <x:f>IF('Data &amp; Reporting'!G445="","",'Data &amp; Reporting'!G445)</x:f>
      </x:c>
      <x:c r="I445" s="12" t="str">
        <x:f>IF('Data &amp; Reporting'!H445="","",'Data &amp; Reporting'!H445)</x:f>
      </x:c>
      <x:c r="J445" s="12" t="n">
        <x:f>IF('Data &amp; Reporting'!I445="","",'Data &amp; Reporting'!I445)</x:f>
        <x:v>46295</x:v>
      </x:c>
      <x:c r="K445" s="12" t="str">
        <x:f>IF('Data &amp; Reporting'!J445="","",'Data &amp; Reporting'!J445)</x:f>
      </x:c>
      <x:c r="L445" s="2" t="str">
        <x:f>IF('Data &amp; Reporting'!K445="","",'Data &amp; Reporting'!K445)</x:f>
      </x:c>
      <x:c r="M445" s="2" t="n">
        <x:f>'Data &amp; Reporting'!Q445</x:f>
        <x:v>1</x:v>
      </x:c>
      <x:c r="N445" s="2" t="str">
        <x:f>'Data &amp; Reporting'!L445</x:f>
        <x:v>Not started</x:v>
      </x:c>
      <x:c r="O445" s="2" t="str">
        <x:f>'Data &amp; Reporting'!N445</x:f>
        <x:v>DR.BO.2.4.2026.CY3</x:v>
      </x:c>
      <x:c r="P445" s="2" t="n">
        <x:f>'Data &amp; Reporting'!O445</x:f>
        <x:v>0</x:v>
      </x:c>
      <x:c r="Q445" s="2" t="n">
        <x:f>SUBTOTAL(103,O445)</x:f>
        <x:v>1</x:v>
      </x:c>
      <x:c r="R445" s="2" t="n">
        <x:f>IF(AND(M445=1,OR(Dashboard!$B$7="All",Dashboard!$B$7='Cycles &amp; Guide'!$C$5),OR(Dashboard!$D$7="All",Dashboard!$D$7=B445),OR(Dashboard!$F$7="All",Dashboard!$F$7=C445),OR(Dashboard!$H$7="All",Dashboard!$H$7=D445),OR(Dashboard!$K$7="All",Dashboard!$K$7=E445)),1,0)</x:f>
        <x:v>1</x:v>
      </x:c>
      <x:c r="S445" s="2" t="n">
        <x:f>IF(R445=1,SUM($R$10:R445),0)</x:f>
        <x:v>215</x:v>
      </x:c>
      <x:c r="T445" s="2" t="str">
        <x:v>Data &amp; Reporting</x:v>
      </x:c>
      <x:c r="U445" s="2" t="n">
        <x:v>445</x:v>
      </x:c>
      <x:c r="V445" s="2" t="n">
        <x:f>IF(AND(M445=1,P445=0,ISNUMBER(J445),J445&lt;TODAY()),1,0)</x:f>
        <x:v>0</x:v>
      </x:c>
      <x:c r="W445" s="2" t="str">
        <x:f>'Data &amp; Reporting'!M445</x:f>
        <x:v>Task</x:v>
      </x:c>
    </x:row>
    <x:row r="446" ht="40" customHeight="1">
      <x:c r="A446" s="3" t="str">
        <x:f>HYPERLINK("#'Data &amp; Reporting'!A446","Open")</x:f>
        <x:v>Open</x:v>
      </x:c>
      <x:c r="B446" s="2" t="str">
        <x:f>'Data &amp; Reporting'!B446</x:f>
        <x:v>Cycle 3</x:v>
      </x:c>
      <x:c r="C446" s="2" t="str">
        <x:f>'Data &amp; Reporting'!C446</x:f>
        <x:v>Phase 2</x:v>
      </x:c>
      <x:c r="D446" s="2" t="str">
        <x:f>'Data &amp; Reporting'!D446</x:f>
        <x:v>CSBBO - Banking Ops</x:v>
      </x:c>
      <x:c r="E446" s="2" t="str">
        <x:v>Data &amp; Reporting</x:v>
      </x:c>
      <x:c r="F446" s="56" t="str">
        <x:f>'Data &amp; Reporting'!E446</x:f>
        <x:v>DR.BO.2.5</x:v>
      </x:c>
      <x:c r="G446" s="14" t="str">
        <x:f>'Data &amp; Reporting'!F446</x:f>
        <x:v>Ensure topic is not a duplicate from a previous Cycle</x:v>
      </x:c>
      <x:c r="H446" s="2" t="str">
        <x:f>IF('Data &amp; Reporting'!G446="","",'Data &amp; Reporting'!G446)</x:f>
      </x:c>
      <x:c r="I446" s="12" t="str">
        <x:f>IF('Data &amp; Reporting'!H446="","",'Data &amp; Reporting'!H446)</x:f>
      </x:c>
      <x:c r="J446" s="12" t="n">
        <x:f>IF('Data &amp; Reporting'!I446="","",'Data &amp; Reporting'!I446)</x:f>
        <x:v>46295</x:v>
      </x:c>
      <x:c r="K446" s="12" t="str">
        <x:f>IF('Data &amp; Reporting'!J446="","",'Data &amp; Reporting'!J446)</x:f>
      </x:c>
      <x:c r="L446" s="2" t="str">
        <x:f>IF('Data &amp; Reporting'!K446="","",'Data &amp; Reporting'!K446)</x:f>
      </x:c>
      <x:c r="M446" s="2" t="n">
        <x:f>'Data &amp; Reporting'!Q446</x:f>
        <x:v>1</x:v>
      </x:c>
      <x:c r="N446" s="2" t="str">
        <x:f>'Data &amp; Reporting'!L446</x:f>
        <x:v>Not started</x:v>
      </x:c>
      <x:c r="O446" s="2" t="str">
        <x:f>'Data &amp; Reporting'!N446</x:f>
        <x:v>DR.BO.2.5.2026.CY3</x:v>
      </x:c>
      <x:c r="P446" s="2" t="n">
        <x:f>'Data &amp; Reporting'!O446</x:f>
        <x:v>0</x:v>
      </x:c>
      <x:c r="Q446" s="2" t="n">
        <x:f>SUBTOTAL(103,O446)</x:f>
        <x:v>1</x:v>
      </x:c>
      <x:c r="R446" s="2" t="n">
        <x:f>IF(AND(M446=1,OR(Dashboard!$B$7="All",Dashboard!$B$7='Cycles &amp; Guide'!$C$5),OR(Dashboard!$D$7="All",Dashboard!$D$7=B446),OR(Dashboard!$F$7="All",Dashboard!$F$7=C446),OR(Dashboard!$H$7="All",Dashboard!$H$7=D446),OR(Dashboard!$K$7="All",Dashboard!$K$7=E446)),1,0)</x:f>
        <x:v>1</x:v>
      </x:c>
      <x:c r="S446" s="2" t="n">
        <x:f>IF(R446=1,SUM($R$10:R446),0)</x:f>
        <x:v>216</x:v>
      </x:c>
      <x:c r="T446" s="2" t="str">
        <x:v>Data &amp; Reporting</x:v>
      </x:c>
      <x:c r="U446" s="2" t="n">
        <x:v>446</x:v>
      </x:c>
      <x:c r="V446" s="2" t="n">
        <x:f>IF(AND(M446=1,P446=0,ISNUMBER(J446),J446&lt;TODAY()),1,0)</x:f>
        <x:v>0</x:v>
      </x:c>
      <x:c r="W446" s="2" t="str">
        <x:f>'Data &amp; Reporting'!M446</x:f>
        <x:v>Task</x:v>
      </x:c>
    </x:row>
    <x:row r="447" ht="40" customHeight="1">
      <x:c r="A447" s="3" t="str">
        <x:f>HYPERLINK("#'Data &amp; Reporting'!A447","Open")</x:f>
        <x:v>Open</x:v>
      </x:c>
      <x:c r="B447" s="2" t="str">
        <x:f>'Data &amp; Reporting'!B447</x:f>
        <x:v>Cycle 3</x:v>
      </x:c>
      <x:c r="C447" s="2" t="str">
        <x:f>'Data &amp; Reporting'!C447</x:f>
        <x:v>Phase 2</x:v>
      </x:c>
      <x:c r="D447" s="2" t="str">
        <x:f>'Data &amp; Reporting'!D447</x:f>
        <x:v>CSBBO - Banking Ops</x:v>
      </x:c>
      <x:c r="E447" s="2" t="str">
        <x:v>Data &amp; Reporting</x:v>
      </x:c>
      <x:c r="F447" s="56" t="str">
        <x:f>'Data &amp; Reporting'!E447</x:f>
        <x:v>DR.BO.2.6</x:v>
      </x:c>
      <x:c r="G447" s="14" t="str">
        <x:f>'Data &amp; Reporting'!F447</x:f>
        <x:v>Document clear distinctions between facts, assumptions, and hypotheses within the data package</x:v>
      </x:c>
      <x:c r="H447" s="2" t="str">
        <x:f>IF('Data &amp; Reporting'!G447="","",'Data &amp; Reporting'!G447)</x:f>
      </x:c>
      <x:c r="I447" s="12" t="str">
        <x:f>IF('Data &amp; Reporting'!H447="","",'Data &amp; Reporting'!H447)</x:f>
      </x:c>
      <x:c r="J447" s="12" t="n">
        <x:f>IF('Data &amp; Reporting'!I447="","",'Data &amp; Reporting'!I447)</x:f>
        <x:v>46295</x:v>
      </x:c>
      <x:c r="K447" s="12" t="str">
        <x:f>IF('Data &amp; Reporting'!J447="","",'Data &amp; Reporting'!J447)</x:f>
      </x:c>
      <x:c r="L447" s="2" t="str">
        <x:f>IF('Data &amp; Reporting'!K447="","",'Data &amp; Reporting'!K447)</x:f>
      </x:c>
      <x:c r="M447" s="2" t="n">
        <x:f>'Data &amp; Reporting'!Q447</x:f>
        <x:v>1</x:v>
      </x:c>
      <x:c r="N447" s="2" t="str">
        <x:f>'Data &amp; Reporting'!L447</x:f>
        <x:v>Not started</x:v>
      </x:c>
      <x:c r="O447" s="2" t="str">
        <x:f>'Data &amp; Reporting'!N447</x:f>
        <x:v>DR.BO.2.6.2026.CY3</x:v>
      </x:c>
      <x:c r="P447" s="2" t="n">
        <x:f>'Data &amp; Reporting'!O447</x:f>
        <x:v>0</x:v>
      </x:c>
      <x:c r="Q447" s="2" t="n">
        <x:f>SUBTOTAL(103,O447)</x:f>
        <x:v>1</x:v>
      </x:c>
      <x:c r="R447" s="2" t="n">
        <x:f>IF(AND(M447=1,OR(Dashboard!$B$7="All",Dashboard!$B$7='Cycles &amp; Guide'!$C$5),OR(Dashboard!$D$7="All",Dashboard!$D$7=B447),OR(Dashboard!$F$7="All",Dashboard!$F$7=C447),OR(Dashboard!$H$7="All",Dashboard!$H$7=D447),OR(Dashboard!$K$7="All",Dashboard!$K$7=E447)),1,0)</x:f>
        <x:v>1</x:v>
      </x:c>
      <x:c r="S447" s="2" t="n">
        <x:f>IF(R447=1,SUM($R$10:R447),0)</x:f>
        <x:v>217</x:v>
      </x:c>
      <x:c r="T447" s="2" t="str">
        <x:v>Data &amp; Reporting</x:v>
      </x:c>
      <x:c r="U447" s="2" t="n">
        <x:v>447</x:v>
      </x:c>
      <x:c r="V447" s="2" t="n">
        <x:f>IF(AND(M447=1,P447=0,ISNUMBER(J447),J447&lt;TODAY()),1,0)</x:f>
        <x:v>0</x:v>
      </x:c>
      <x:c r="W447" s="2" t="str">
        <x:f>'Data &amp; Reporting'!M447</x:f>
        <x:v>Task</x:v>
      </x:c>
    </x:row>
    <x:row r="448" ht="40" customHeight="1">
      <x:c r="A448" s="3" t="str">
        <x:f>HYPERLINK("#'Data &amp; Reporting'!A448","Open")</x:f>
        <x:v>Open</x:v>
      </x:c>
      <x:c r="B448" s="2" t="str">
        <x:f>'Data &amp; Reporting'!B448</x:f>
        <x:v>Cycle 3</x:v>
      </x:c>
      <x:c r="C448" s="2" t="str">
        <x:f>'Data &amp; Reporting'!C448</x:f>
        <x:v>Phase 3</x:v>
      </x:c>
      <x:c r="D448" s="2" t="str">
        <x:f>'Data &amp; Reporting'!D448</x:f>
        <x:v>CSBBO - Banking Ops</x:v>
      </x:c>
      <x:c r="E448" s="2" t="str">
        <x:v>Data &amp; Reporting</x:v>
      </x:c>
      <x:c r="F448" s="56" t="str">
        <x:f>'Data &amp; Reporting'!E448</x:f>
        <x:v>DR.BO.3.1</x:v>
      </x:c>
      <x:c r="G448" s="14" t="str">
        <x:f>'Data &amp; Reporting'!F448</x:f>
        <x:v>Clearly document rationale for each topic recommendation within the SharePoint list item</x:v>
      </x:c>
      <x:c r="H448" s="2" t="str">
        <x:f>IF('Data &amp; Reporting'!G448="","",'Data &amp; Reporting'!G448)</x:f>
      </x:c>
      <x:c r="I448" s="12" t="str">
        <x:f>IF('Data &amp; Reporting'!H448="","",'Data &amp; Reporting'!H448)</x:f>
      </x:c>
      <x:c r="J448" s="12" t="n">
        <x:f>IF('Data &amp; Reporting'!I448="","",'Data &amp; Reporting'!I448)</x:f>
        <x:v>46295</x:v>
      </x:c>
      <x:c r="K448" s="12" t="str">
        <x:f>IF('Data &amp; Reporting'!J448="","",'Data &amp; Reporting'!J448)</x:f>
      </x:c>
      <x:c r="L448" s="2" t="str">
        <x:f>IF('Data &amp; Reporting'!K448="","",'Data &amp; Reporting'!K448)</x:f>
      </x:c>
      <x:c r="M448" s="2" t="n">
        <x:f>'Data &amp; Reporting'!Q448</x:f>
        <x:v>1</x:v>
      </x:c>
      <x:c r="N448" s="2" t="str">
        <x:f>'Data &amp; Reporting'!L448</x:f>
        <x:v>Not started</x:v>
      </x:c>
      <x:c r="O448" s="2" t="str">
        <x:f>'Data &amp; Reporting'!N448</x:f>
        <x:v>DR.BO.3.1.2026.CY3</x:v>
      </x:c>
      <x:c r="P448" s="2" t="n">
        <x:f>'Data &amp; Reporting'!O448</x:f>
        <x:v>0</x:v>
      </x:c>
      <x:c r="Q448" s="2" t="n">
        <x:f>SUBTOTAL(103,O448)</x:f>
        <x:v>1</x:v>
      </x:c>
      <x:c r="R448" s="2" t="n">
        <x:f>IF(AND(M448=1,OR(Dashboard!$B$7="All",Dashboard!$B$7='Cycles &amp; Guide'!$C$5),OR(Dashboard!$D$7="All",Dashboard!$D$7=B448),OR(Dashboard!$F$7="All",Dashboard!$F$7=C448),OR(Dashboard!$H$7="All",Dashboard!$H$7=D448),OR(Dashboard!$K$7="All",Dashboard!$K$7=E448)),1,0)</x:f>
        <x:v>1</x:v>
      </x:c>
      <x:c r="S448" s="2" t="n">
        <x:f>IF(R448=1,SUM($R$10:R448),0)</x:f>
        <x:v>218</x:v>
      </x:c>
      <x:c r="T448" s="2" t="str">
        <x:v>Data &amp; Reporting</x:v>
      </x:c>
      <x:c r="U448" s="2" t="n">
        <x:v>448</x:v>
      </x:c>
      <x:c r="V448" s="2" t="n">
        <x:f>IF(AND(M448=1,P448=0,ISNUMBER(J448),J448&lt;TODAY()),1,0)</x:f>
        <x:v>0</x:v>
      </x:c>
      <x:c r="W448" s="2" t="str">
        <x:f>'Data &amp; Reporting'!M448</x:f>
        <x:v>Task</x:v>
      </x:c>
    </x:row>
    <x:row r="449" ht="40" customHeight="1">
      <x:c r="A449" s="3" t="str">
        <x:f>HYPERLINK("#'Data &amp; Reporting'!A449","Open")</x:f>
        <x:v>Open</x:v>
      </x:c>
      <x:c r="B449" s="2" t="str">
        <x:f>'Data &amp; Reporting'!B449</x:f>
        <x:v>Cycle 3</x:v>
      </x:c>
      <x:c r="C449" s="2" t="str">
        <x:f>'Data &amp; Reporting'!C449</x:f>
        <x:v>Phase 3</x:v>
      </x:c>
      <x:c r="D449" s="2" t="str">
        <x:f>'Data &amp; Reporting'!D449</x:f>
        <x:v>CSBBO - Banking Ops</x:v>
      </x:c>
      <x:c r="E449" s="2" t="str">
        <x:v>Data &amp; Reporting</x:v>
      </x:c>
      <x:c r="F449" s="56" t="str">
        <x:f>'Data &amp; Reporting'!E449</x:f>
        <x:v>DR.BO.3.2</x:v>
      </x:c>
      <x:c r="G449" s="14" t="str">
        <x:f>'Data &amp; Reporting'!F449</x:f>
        <x:v>Attach the data package for each topic recommendation within the SharePoint list item</x:v>
      </x:c>
      <x:c r="H449" s="2" t="str">
        <x:f>IF('Data &amp; Reporting'!G449="","",'Data &amp; Reporting'!G449)</x:f>
      </x:c>
      <x:c r="I449" s="12" t="str">
        <x:f>IF('Data &amp; Reporting'!H449="","",'Data &amp; Reporting'!H449)</x:f>
      </x:c>
      <x:c r="J449" s="12" t="n">
        <x:f>IF('Data &amp; Reporting'!I449="","",'Data &amp; Reporting'!I449)</x:f>
        <x:v>46295</x:v>
      </x:c>
      <x:c r="K449" s="12" t="str">
        <x:f>IF('Data &amp; Reporting'!J449="","",'Data &amp; Reporting'!J449)</x:f>
      </x:c>
      <x:c r="L449" s="2" t="str">
        <x:f>IF('Data &amp; Reporting'!K449="","",'Data &amp; Reporting'!K449)</x:f>
      </x:c>
      <x:c r="M449" s="2" t="n">
        <x:f>'Data &amp; Reporting'!Q449</x:f>
        <x:v>1</x:v>
      </x:c>
      <x:c r="N449" s="2" t="str">
        <x:f>'Data &amp; Reporting'!L449</x:f>
        <x:v>Not started</x:v>
      </x:c>
      <x:c r="O449" s="2" t="str">
        <x:f>'Data &amp; Reporting'!N449</x:f>
        <x:v>DR.BO.3.2.2026.CY3</x:v>
      </x:c>
      <x:c r="P449" s="2" t="n">
        <x:f>'Data &amp; Reporting'!O449</x:f>
        <x:v>0</x:v>
      </x:c>
      <x:c r="Q449" s="2" t="n">
        <x:f>SUBTOTAL(103,O449)</x:f>
        <x:v>1</x:v>
      </x:c>
      <x:c r="R449" s="2" t="n">
        <x:f>IF(AND(M449=1,OR(Dashboard!$B$7="All",Dashboard!$B$7='Cycles &amp; Guide'!$C$5),OR(Dashboard!$D$7="All",Dashboard!$D$7=B449),OR(Dashboard!$F$7="All",Dashboard!$F$7=C449),OR(Dashboard!$H$7="All",Dashboard!$H$7=D449),OR(Dashboard!$K$7="All",Dashboard!$K$7=E449)),1,0)</x:f>
        <x:v>1</x:v>
      </x:c>
      <x:c r="S449" s="2" t="n">
        <x:f>IF(R449=1,SUM($R$10:R449),0)</x:f>
        <x:v>219</x:v>
      </x:c>
      <x:c r="T449" s="2" t="str">
        <x:v>Data &amp; Reporting</x:v>
      </x:c>
      <x:c r="U449" s="2" t="n">
        <x:v>449</x:v>
      </x:c>
      <x:c r="V449" s="2" t="n">
        <x:f>IF(AND(M449=1,P449=0,ISNUMBER(J449),J449&lt;TODAY()),1,0)</x:f>
        <x:v>0</x:v>
      </x:c>
      <x:c r="W449" s="2" t="str">
        <x:f>'Data &amp; Reporting'!M449</x:f>
        <x:v>Task</x:v>
      </x:c>
    </x:row>
    <x:row r="450" ht="40" customHeight="1">
      <x:c r="A450" s="3" t="str">
        <x:f>HYPERLINK("#'Data &amp; Reporting'!A450","Open")</x:f>
        <x:v>Open</x:v>
      </x:c>
      <x:c r="B450" s="2" t="str">
        <x:f>'Data &amp; Reporting'!B450</x:f>
        <x:v>Cycle 3</x:v>
      </x:c>
      <x:c r="C450" s="2" t="str">
        <x:f>'Data &amp; Reporting'!C450</x:f>
        <x:v>Phase 3</x:v>
      </x:c>
      <x:c r="D450" s="2" t="str">
        <x:f>'Data &amp; Reporting'!D450</x:f>
        <x:v>CSBBO - Banking Ops</x:v>
      </x:c>
      <x:c r="E450" s="2" t="str">
        <x:v>Data &amp; Reporting</x:v>
      </x:c>
      <x:c r="F450" s="56" t="str">
        <x:f>'Data &amp; Reporting'!E450</x:f>
        <x:v>DR.BO.3.3</x:v>
      </x:c>
      <x:c r="G450" s="14" t="str">
        <x:f>'Data &amp; Reporting'!F450</x:f>
        <x:v>Confirm data privileges have been granted, ensuring each pillar can access</x:v>
      </x:c>
      <x:c r="H450" s="2" t="str">
        <x:f>IF('Data &amp; Reporting'!G450="","",'Data &amp; Reporting'!G450)</x:f>
      </x:c>
      <x:c r="I450" s="12" t="str">
        <x:f>IF('Data &amp; Reporting'!H450="","",'Data &amp; Reporting'!H450)</x:f>
      </x:c>
      <x:c r="J450" s="12" t="n">
        <x:f>IF('Data &amp; Reporting'!I450="","",'Data &amp; Reporting'!I450)</x:f>
        <x:v>46295</x:v>
      </x:c>
      <x:c r="K450" s="12" t="str">
        <x:f>IF('Data &amp; Reporting'!J450="","",'Data &amp; Reporting'!J450)</x:f>
      </x:c>
      <x:c r="L450" s="2" t="str">
        <x:f>IF('Data &amp; Reporting'!K450="","",'Data &amp; Reporting'!K450)</x:f>
      </x:c>
      <x:c r="M450" s="2" t="n">
        <x:f>'Data &amp; Reporting'!Q450</x:f>
        <x:v>1</x:v>
      </x:c>
      <x:c r="N450" s="2" t="str">
        <x:f>'Data &amp; Reporting'!L450</x:f>
        <x:v>Not started</x:v>
      </x:c>
      <x:c r="O450" s="2" t="str">
        <x:f>'Data &amp; Reporting'!N450</x:f>
        <x:v>DR.BO.3.3.2026.CY3</x:v>
      </x:c>
      <x:c r="P450" s="2" t="n">
        <x:f>'Data &amp; Reporting'!O450</x:f>
        <x:v>0</x:v>
      </x:c>
      <x:c r="Q450" s="2" t="n">
        <x:f>SUBTOTAL(103,O450)</x:f>
        <x:v>1</x:v>
      </x:c>
      <x:c r="R450" s="2" t="n">
        <x:f>IF(AND(M450=1,OR(Dashboard!$B$7="All",Dashboard!$B$7='Cycles &amp; Guide'!$C$5),OR(Dashboard!$D$7="All",Dashboard!$D$7=B450),OR(Dashboard!$F$7="All",Dashboard!$F$7=C450),OR(Dashboard!$H$7="All",Dashboard!$H$7=D450),OR(Dashboard!$K$7="All",Dashboard!$K$7=E450)),1,0)</x:f>
        <x:v>1</x:v>
      </x:c>
      <x:c r="S450" s="2" t="n">
        <x:f>IF(R450=1,SUM($R$10:R450),0)</x:f>
        <x:v>220</x:v>
      </x:c>
      <x:c r="T450" s="2" t="str">
        <x:v>Data &amp; Reporting</x:v>
      </x:c>
      <x:c r="U450" s="2" t="n">
        <x:v>450</x:v>
      </x:c>
      <x:c r="V450" s="2" t="n">
        <x:f>IF(AND(M450=1,P450=0,ISNUMBER(J450),J450&lt;TODAY()),1,0)</x:f>
        <x:v>0</x:v>
      </x:c>
      <x:c r="W450" s="2" t="str">
        <x:f>'Data &amp; Reporting'!M450</x:f>
        <x:v>Task</x:v>
      </x:c>
    </x:row>
    <x:row r="451" ht="40" customHeight="1">
      <x:c r="A451" s="3" t="str">
        <x:f>HYPERLINK("#'Data &amp; Reporting'!A451","Open")</x:f>
        <x:v>Open</x:v>
      </x:c>
      <x:c r="B451" s="2" t="str">
        <x:f>'Data &amp; Reporting'!B451</x:f>
        <x:v>Cycle 3</x:v>
      </x:c>
      <x:c r="C451" s="2" t="str">
        <x:f>'Data &amp; Reporting'!C451</x:f>
        <x:v>Phase 3</x:v>
      </x:c>
      <x:c r="D451" s="2" t="str">
        <x:f>'Data &amp; Reporting'!D451</x:f>
        <x:v>CSBBO - Banking Ops</x:v>
      </x:c>
      <x:c r="E451" s="2" t="str">
        <x:v>Data &amp; Reporting</x:v>
      </x:c>
      <x:c r="F451" s="56" t="str">
        <x:f>'Data &amp; Reporting'!E451</x:f>
        <x:v>DR.BO.3.4</x:v>
      </x:c>
      <x:c r="G451" s="14" t="str">
        <x:f>'Data &amp; Reporting'!F451</x:f>
        <x:v>Ensure Power Automate notifications were correctly triggered within Microsoft Teams</x:v>
      </x:c>
      <x:c r="H451" s="2" t="str">
        <x:f>IF('Data &amp; Reporting'!G451="","",'Data &amp; Reporting'!G451)</x:f>
      </x:c>
      <x:c r="I451" s="12" t="str">
        <x:f>IF('Data &amp; Reporting'!H451="","",'Data &amp; Reporting'!H451)</x:f>
      </x:c>
      <x:c r="J451" s="12" t="n">
        <x:f>IF('Data &amp; Reporting'!I451="","",'Data &amp; Reporting'!I451)</x:f>
        <x:v>46295</x:v>
      </x:c>
      <x:c r="K451" s="12" t="str">
        <x:f>IF('Data &amp; Reporting'!J451="","",'Data &amp; Reporting'!J451)</x:f>
      </x:c>
      <x:c r="L451" s="2" t="str">
        <x:f>IF('Data &amp; Reporting'!K451="","",'Data &amp; Reporting'!K451)</x:f>
      </x:c>
      <x:c r="M451" s="2" t="n">
        <x:f>'Data &amp; Reporting'!Q451</x:f>
        <x:v>1</x:v>
      </x:c>
      <x:c r="N451" s="2" t="str">
        <x:f>'Data &amp; Reporting'!L451</x:f>
        <x:v>Not started</x:v>
      </x:c>
      <x:c r="O451" s="2" t="str">
        <x:f>'Data &amp; Reporting'!N451</x:f>
        <x:v>DR.BO.3.4.2026.CY3</x:v>
      </x:c>
      <x:c r="P451" s="2" t="n">
        <x:f>'Data &amp; Reporting'!O451</x:f>
        <x:v>0</x:v>
      </x:c>
      <x:c r="Q451" s="2" t="n">
        <x:f>SUBTOTAL(103,O451)</x:f>
        <x:v>1</x:v>
      </x:c>
      <x:c r="R451" s="2" t="n">
        <x:f>IF(AND(M451=1,OR(Dashboard!$B$7="All",Dashboard!$B$7='Cycles &amp; Guide'!$C$5),OR(Dashboard!$D$7="All",Dashboard!$D$7=B451),OR(Dashboard!$F$7="All",Dashboard!$F$7=C451),OR(Dashboard!$H$7="All",Dashboard!$H$7=D451),OR(Dashboard!$K$7="All",Dashboard!$K$7=E451)),1,0)</x:f>
        <x:v>1</x:v>
      </x:c>
      <x:c r="S451" s="2" t="n">
        <x:f>IF(R451=1,SUM($R$10:R451),0)</x:f>
        <x:v>221</x:v>
      </x:c>
      <x:c r="T451" s="2" t="str">
        <x:v>Data &amp; Reporting</x:v>
      </x:c>
      <x:c r="U451" s="2" t="n">
        <x:v>451</x:v>
      </x:c>
      <x:c r="V451" s="2" t="n">
        <x:f>IF(AND(M451=1,P451=0,ISNUMBER(J451),J451&lt;TODAY()),1,0)</x:f>
        <x:v>0</x:v>
      </x:c>
      <x:c r="W451" s="2" t="str">
        <x:f>'Data &amp; Reporting'!M451</x:f>
        <x:v>Task</x:v>
      </x:c>
    </x:row>
    <x:row r="452" ht="40" customHeight="1">
      <x:c r="A452" s="3" t="str">
        <x:f>HYPERLINK("#'Data &amp; Reporting'!A452","Open")</x:f>
        <x:v>Open</x:v>
      </x:c>
      <x:c r="B452" s="2" t="str">
        <x:f>'Data &amp; Reporting'!B452</x:f>
        <x:v>Cycle 3</x:v>
      </x:c>
      <x:c r="C452" s="2" t="str">
        <x:f>'Data &amp; Reporting'!C452</x:f>
        <x:v>Phase 1</x:v>
      </x:c>
      <x:c r="D452" s="2" t="str">
        <x:f>'Data &amp; Reporting'!D452</x:f>
        <x:v>CSBBO - Customer Service</x:v>
      </x:c>
      <x:c r="E452" s="2" t="str">
        <x:v>Data &amp; Reporting</x:v>
      </x:c>
      <x:c r="F452" s="56" t="str">
        <x:f>'Data &amp; Reporting'!E452</x:f>
        <x:v>DR.CS.1.1</x:v>
      </x:c>
      <x:c r="G452" s="14" t="str">
        <x:f>'Data &amp; Reporting'!F452</x:f>
        <x:v>Review data sources 3 weeks prior to Cycle start (Complaints, Gen AI, Loudspeaker, NPS, etc.)</x:v>
      </x:c>
      <x:c r="H452" s="2" t="str">
        <x:f>IF('Data &amp; Reporting'!G452="","",'Data &amp; Reporting'!G452)</x:f>
      </x:c>
      <x:c r="I452" s="12" t="str">
        <x:f>IF('Data &amp; Reporting'!H452="","",'Data &amp; Reporting'!H452)</x:f>
      </x:c>
      <x:c r="J452" s="12" t="n">
        <x:f>IF('Data &amp; Reporting'!I452="","",'Data &amp; Reporting'!I452)</x:f>
        <x:v>46183</x:v>
      </x:c>
      <x:c r="K452" s="12" t="str">
        <x:f>IF('Data &amp; Reporting'!J452="","",'Data &amp; Reporting'!J452)</x:f>
      </x:c>
      <x:c r="L452" s="2" t="str">
        <x:f>IF('Data &amp; Reporting'!K452="","",'Data &amp; Reporting'!K452)</x:f>
      </x:c>
      <x:c r="M452" s="2" t="n">
        <x:f>'Data &amp; Reporting'!Q452</x:f>
        <x:v>1</x:v>
      </x:c>
      <x:c r="N452" s="2" t="str">
        <x:f>'Data &amp; Reporting'!L452</x:f>
        <x:v>Not started</x:v>
      </x:c>
      <x:c r="O452" s="2" t="str">
        <x:f>'Data &amp; Reporting'!N452</x:f>
        <x:v>DR.CS.1.1.2026.CY3</x:v>
      </x:c>
      <x:c r="P452" s="2" t="n">
        <x:f>'Data &amp; Reporting'!O452</x:f>
        <x:v>0</x:v>
      </x:c>
      <x:c r="Q452" s="2" t="n">
        <x:f>SUBTOTAL(103,O452)</x:f>
        <x:v>1</x:v>
      </x:c>
      <x:c r="R452" s="2" t="n">
        <x:f>IF(AND(M452=1,OR(Dashboard!$B$7="All",Dashboard!$B$7='Cycles &amp; Guide'!$C$5),OR(Dashboard!$D$7="All",Dashboard!$D$7=B452),OR(Dashboard!$F$7="All",Dashboard!$F$7=C452),OR(Dashboard!$H$7="All",Dashboard!$H$7=D452),OR(Dashboard!$K$7="All",Dashboard!$K$7=E452)),1,0)</x:f>
        <x:v>1</x:v>
      </x:c>
      <x:c r="S452" s="2" t="n">
        <x:f>IF(R452=1,SUM($R$10:R452),0)</x:f>
        <x:v>222</x:v>
      </x:c>
      <x:c r="T452" s="2" t="str">
        <x:v>Data &amp; Reporting</x:v>
      </x:c>
      <x:c r="U452" s="2" t="n">
        <x:v>452</x:v>
      </x:c>
      <x:c r="V452" s="2" t="n">
        <x:f>IF(AND(M452=1,P452=0,ISNUMBER(J452),J452&lt;TODAY()),1,0)</x:f>
        <x:v>1</x:v>
      </x:c>
      <x:c r="W452" s="2" t="str">
        <x:f>'Data &amp; Reporting'!M452</x:f>
        <x:v>Task</x:v>
      </x:c>
    </x:row>
    <x:row r="453" ht="40" customHeight="1">
      <x:c r="A453" s="3" t="str">
        <x:f>HYPERLINK("#'Data &amp; Reporting'!A453","Open")</x:f>
        <x:v>Open</x:v>
      </x:c>
      <x:c r="B453" s="2" t="str">
        <x:f>'Data &amp; Reporting'!B453</x:f>
        <x:v>Cycle 3</x:v>
      </x:c>
      <x:c r="C453" s="2" t="str">
        <x:f>'Data &amp; Reporting'!C453</x:f>
        <x:v>Phase 1</x:v>
      </x:c>
      <x:c r="D453" s="2" t="str">
        <x:f>'Data &amp; Reporting'!D453</x:f>
        <x:v>CSBBO - Customer Service</x:v>
      </x:c>
      <x:c r="E453" s="2" t="str">
        <x:v>Data &amp; Reporting</x:v>
      </x:c>
      <x:c r="F453" s="56" t="str">
        <x:f>'Data &amp; Reporting'!E453</x:f>
        <x:v>DR.CS.1.2</x:v>
      </x:c>
      <x:c r="G453" s="14" t="str">
        <x:f>'Data &amp; Reporting'!F453</x:f>
        <x:v>Identify two potential topics for the upcoming Cycle</x:v>
      </x:c>
      <x:c r="H453" s="2" t="str">
        <x:f>IF('Data &amp; Reporting'!G453="","",'Data &amp; Reporting'!G453)</x:f>
      </x:c>
      <x:c r="I453" s="12" t="str">
        <x:f>IF('Data &amp; Reporting'!H453="","",'Data &amp; Reporting'!H453)</x:f>
      </x:c>
      <x:c r="J453" s="12" t="n">
        <x:f>IF('Data &amp; Reporting'!I453="","",'Data &amp; Reporting'!I453)</x:f>
        <x:v>46295</x:v>
      </x:c>
      <x:c r="K453" s="12" t="str">
        <x:f>IF('Data &amp; Reporting'!J453="","",'Data &amp; Reporting'!J453)</x:f>
      </x:c>
      <x:c r="L453" s="2" t="str">
        <x:f>IF('Data &amp; Reporting'!K453="","",'Data &amp; Reporting'!K453)</x:f>
      </x:c>
      <x:c r="M453" s="2" t="n">
        <x:f>'Data &amp; Reporting'!Q453</x:f>
        <x:v>1</x:v>
      </x:c>
      <x:c r="N453" s="2" t="str">
        <x:f>'Data &amp; Reporting'!L453</x:f>
        <x:v>Not started</x:v>
      </x:c>
      <x:c r="O453" s="2" t="str">
        <x:f>'Data &amp; Reporting'!N453</x:f>
        <x:v>DR.CS.1.2.2026.CY3</x:v>
      </x:c>
      <x:c r="P453" s="2" t="n">
        <x:f>'Data &amp; Reporting'!O453</x:f>
        <x:v>0</x:v>
      </x:c>
      <x:c r="Q453" s="2" t="n">
        <x:f>SUBTOTAL(103,O453)</x:f>
        <x:v>1</x:v>
      </x:c>
      <x:c r="R453" s="2" t="n">
        <x:f>IF(AND(M453=1,OR(Dashboard!$B$7="All",Dashboard!$B$7='Cycles &amp; Guide'!$C$5),OR(Dashboard!$D$7="All",Dashboard!$D$7=B453),OR(Dashboard!$F$7="All",Dashboard!$F$7=C453),OR(Dashboard!$H$7="All",Dashboard!$H$7=D453),OR(Dashboard!$K$7="All",Dashboard!$K$7=E453)),1,0)</x:f>
        <x:v>1</x:v>
      </x:c>
      <x:c r="S453" s="2" t="n">
        <x:f>IF(R453=1,SUM($R$10:R453),0)</x:f>
        <x:v>223</x:v>
      </x:c>
      <x:c r="T453" s="2" t="str">
        <x:v>Data &amp; Reporting</x:v>
      </x:c>
      <x:c r="U453" s="2" t="n">
        <x:v>453</x:v>
      </x:c>
      <x:c r="V453" s="2" t="n">
        <x:f>IF(AND(M453=1,P453=0,ISNUMBER(J453),J453&lt;TODAY()),1,0)</x:f>
        <x:v>0</x:v>
      </x:c>
      <x:c r="W453" s="2" t="str">
        <x:f>'Data &amp; Reporting'!M453</x:f>
        <x:v>Task</x:v>
      </x:c>
    </x:row>
    <x:row r="454" ht="40" customHeight="1">
      <x:c r="A454" s="3" t="str">
        <x:f>HYPERLINK("#'Data &amp; Reporting'!A454","Open")</x:f>
        <x:v>Open</x:v>
      </x:c>
      <x:c r="B454" s="2" t="str">
        <x:f>'Data &amp; Reporting'!B454</x:f>
        <x:v>Cycle 3</x:v>
      </x:c>
      <x:c r="C454" s="2" t="str">
        <x:f>'Data &amp; Reporting'!C454</x:f>
        <x:v>Phase 1</x:v>
      </x:c>
      <x:c r="D454" s="2" t="str">
        <x:f>'Data &amp; Reporting'!D454</x:f>
        <x:v>CSBBO - Customer Service</x:v>
      </x:c>
      <x:c r="E454" s="2" t="str">
        <x:v>Data &amp; Reporting</x:v>
      </x:c>
      <x:c r="F454" s="56" t="str">
        <x:f>'Data &amp; Reporting'!E454</x:f>
        <x:v>DR.CS.1.3</x:v>
      </x:c>
      <x:c r="G454" s="14" t="str">
        <x:f>'Data &amp; Reporting'!F454</x:f>
        <x:v>Extract data for both potential topics, ensuring all checklist items below are included/completed</x:v>
      </x:c>
      <x:c r="H454" s="2" t="str">
        <x:f>IF('Data &amp; Reporting'!G454="","",'Data &amp; Reporting'!G454)</x:f>
      </x:c>
      <x:c r="I454" s="12" t="str">
        <x:f>IF('Data &amp; Reporting'!H454="","",'Data &amp; Reporting'!H454)</x:f>
      </x:c>
      <x:c r="J454" s="12" t="n">
        <x:f>IF('Data &amp; Reporting'!I454="","",'Data &amp; Reporting'!I454)</x:f>
        <x:v>46295</x:v>
      </x:c>
      <x:c r="K454" s="12" t="str">
        <x:f>IF('Data &amp; Reporting'!J454="","",'Data &amp; Reporting'!J454)</x:f>
      </x:c>
      <x:c r="L454" s="2" t="str">
        <x:f>IF('Data &amp; Reporting'!K454="","",'Data &amp; Reporting'!K454)</x:f>
      </x:c>
      <x:c r="M454" s="2" t="n">
        <x:f>'Data &amp; Reporting'!Q454</x:f>
        <x:v>1</x:v>
      </x:c>
      <x:c r="N454" s="2" t="str">
        <x:f>'Data &amp; Reporting'!L454</x:f>
        <x:v>Not started</x:v>
      </x:c>
      <x:c r="O454" s="2" t="str">
        <x:f>'Data &amp; Reporting'!N454</x:f>
        <x:v>DR.CS.1.3.2026.CY3</x:v>
      </x:c>
      <x:c r="P454" s="2" t="n">
        <x:f>'Data &amp; Reporting'!O454</x:f>
        <x:v>0</x:v>
      </x:c>
      <x:c r="Q454" s="2" t="n">
        <x:f>SUBTOTAL(103,O454)</x:f>
        <x:v>1</x:v>
      </x:c>
      <x:c r="R454" s="2" t="n">
        <x:f>IF(AND(M454=1,OR(Dashboard!$B$7="All",Dashboard!$B$7='Cycles &amp; Guide'!$C$5),OR(Dashboard!$D$7="All",Dashboard!$D$7=B454),OR(Dashboard!$F$7="All",Dashboard!$F$7=C454),OR(Dashboard!$H$7="All",Dashboard!$H$7=D454),OR(Dashboard!$K$7="All",Dashboard!$K$7=E454)),1,0)</x:f>
        <x:v>1</x:v>
      </x:c>
      <x:c r="S454" s="2" t="n">
        <x:f>IF(R454=1,SUM($R$10:R454),0)</x:f>
        <x:v>224</x:v>
      </x:c>
      <x:c r="T454" s="2" t="str">
        <x:v>Data &amp; Reporting</x:v>
      </x:c>
      <x:c r="U454" s="2" t="n">
        <x:v>454</x:v>
      </x:c>
      <x:c r="V454" s="2" t="n">
        <x:f>IF(AND(M454=1,P454=0,ISNUMBER(J454),J454&lt;TODAY()),1,0)</x:f>
        <x:v>0</x:v>
      </x:c>
      <x:c r="W454" s="2" t="str">
        <x:f>'Data &amp; Reporting'!M454</x:f>
        <x:v>Task</x:v>
      </x:c>
    </x:row>
    <x:row r="455" ht="40" customHeight="1">
      <x:c r="A455" s="3" t="str">
        <x:f>HYPERLINK("#'Data &amp; Reporting'!A455","Open")</x:f>
        <x:v>Open</x:v>
      </x:c>
      <x:c r="B455" s="2" t="str">
        <x:f>'Data &amp; Reporting'!B455</x:f>
        <x:v>Cycle 3</x:v>
      </x:c>
      <x:c r="C455" s="2" t="str">
        <x:f>'Data &amp; Reporting'!C455</x:f>
        <x:v>Phase 1</x:v>
      </x:c>
      <x:c r="D455" s="2" t="str">
        <x:f>'Data &amp; Reporting'!D455</x:f>
        <x:v>CSBBO - Customer Service</x:v>
      </x:c>
      <x:c r="E455" s="2" t="str">
        <x:v>Data &amp; Reporting</x:v>
      </x:c>
      <x:c r="F455" s="56" t="str">
        <x:f>'Data &amp; Reporting'!E455</x:f>
        <x:v>DR.CS.1.3.C01</x:v>
      </x:c>
      <x:c r="G455" s="14" t="str">
        <x:f>'Data &amp; Reporting'!F455</x:f>
        <x:v>    Document date range extracted</x:v>
      </x:c>
      <x:c r="H455" s="2" t="str">
        <x:f>IF('Data &amp; Reporting'!G455="","",'Data &amp; Reporting'!G455)</x:f>
      </x:c>
      <x:c r="I455" s="12" t="str">
        <x:f>IF('Data &amp; Reporting'!H455="","",'Data &amp; Reporting'!H455)</x:f>
      </x:c>
      <x:c r="J455" s="12" t="str">
        <x:f>IF('Data &amp; Reporting'!I455="","",'Data &amp; Reporting'!I455)</x:f>
      </x:c>
      <x:c r="K455" s="12" t="str">
        <x:f>IF('Data &amp; Reporting'!J455="","",'Data &amp; Reporting'!J455)</x:f>
      </x:c>
      <x:c r="L455" s="2" t="str">
        <x:f>IF('Data &amp; Reporting'!K455="","",'Data &amp; Reporting'!K455)</x:f>
      </x:c>
      <x:c r="M455" s="2" t="n">
        <x:f>'Data &amp; Reporting'!Q455</x:f>
        <x:v>0</x:v>
      </x:c>
      <x:c r="N455" s="2" t="str">
        <x:f>'Data &amp; Reporting'!L455</x:f>
        <x:v>Open check</x:v>
      </x:c>
      <x:c r="O455" s="2" t="str">
        <x:f>'Data &amp; Reporting'!N455</x:f>
        <x:v>DR.CS.1.3.C01.2026.CY3</x:v>
      </x:c>
      <x:c r="P455" s="2" t="n">
        <x:f>'Data &amp; Reporting'!O455</x:f>
        <x:v>0</x:v>
      </x:c>
      <x:c r="Q455" s="2" t="n">
        <x:f>SUBTOTAL(103,O455)</x:f>
        <x:v>1</x:v>
      </x:c>
      <x:c r="R455" s="2" t="n">
        <x:f>IF(AND(M455=1,OR(Dashboard!$B$7="All",Dashboard!$B$7='Cycles &amp; Guide'!$C$5),OR(Dashboard!$D$7="All",Dashboard!$D$7=B455),OR(Dashboard!$F$7="All",Dashboard!$F$7=C455),OR(Dashboard!$H$7="All",Dashboard!$H$7=D455),OR(Dashboard!$K$7="All",Dashboard!$K$7=E455)),1,0)</x:f>
        <x:v>0</x:v>
      </x:c>
      <x:c r="S455" s="2" t="n">
        <x:f>IF(R455=1,SUM($R$10:R455),0)</x:f>
        <x:v>0</x:v>
      </x:c>
      <x:c r="T455" s="2" t="str">
        <x:v>Data &amp; Reporting</x:v>
      </x:c>
      <x:c r="U455" s="2" t="n">
        <x:v>455</x:v>
      </x:c>
      <x:c r="V455" s="2" t="n">
        <x:f>IF(AND(M455=1,P455=0,ISNUMBER(J455),J455&lt;TODAY()),1,0)</x:f>
        <x:v>0</x:v>
      </x:c>
      <x:c r="W455" s="2" t="str">
        <x:f>'Data &amp; Reporting'!M455</x:f>
        <x:v>Checklist</x:v>
      </x:c>
    </x:row>
    <x:row r="456" ht="40" customHeight="1">
      <x:c r="A456" s="3" t="str">
        <x:f>HYPERLINK("#'Data &amp; Reporting'!A456","Open")</x:f>
        <x:v>Open</x:v>
      </x:c>
      <x:c r="B456" s="2" t="str">
        <x:f>'Data &amp; Reporting'!B456</x:f>
        <x:v>Cycle 3</x:v>
      </x:c>
      <x:c r="C456" s="2" t="str">
        <x:f>'Data &amp; Reporting'!C456</x:f>
        <x:v>Phase 1</x:v>
      </x:c>
      <x:c r="D456" s="2" t="str">
        <x:f>'Data &amp; Reporting'!D456</x:f>
        <x:v>CSBBO - Customer Service</x:v>
      </x:c>
      <x:c r="E456" s="2" t="str">
        <x:v>Data &amp; Reporting</x:v>
      </x:c>
      <x:c r="F456" s="56" t="str">
        <x:f>'Data &amp; Reporting'!E456</x:f>
        <x:v>DR.CS.1.3.C02</x:v>
      </x:c>
      <x:c r="G456" s="14" t="str">
        <x:f>'Data &amp; Reporting'!F456</x:f>
        <x:v>    Document date of data pull</x:v>
      </x:c>
      <x:c r="H456" s="2" t="str">
        <x:f>IF('Data &amp; Reporting'!G456="","",'Data &amp; Reporting'!G456)</x:f>
      </x:c>
      <x:c r="I456" s="12" t="str">
        <x:f>IF('Data &amp; Reporting'!H456="","",'Data &amp; Reporting'!H456)</x:f>
      </x:c>
      <x:c r="J456" s="12" t="str">
        <x:f>IF('Data &amp; Reporting'!I456="","",'Data &amp; Reporting'!I456)</x:f>
      </x:c>
      <x:c r="K456" s="12" t="str">
        <x:f>IF('Data &amp; Reporting'!J456="","",'Data &amp; Reporting'!J456)</x:f>
      </x:c>
      <x:c r="L456" s="2" t="str">
        <x:f>IF('Data &amp; Reporting'!K456="","",'Data &amp; Reporting'!K456)</x:f>
      </x:c>
      <x:c r="M456" s="2" t="n">
        <x:f>'Data &amp; Reporting'!Q456</x:f>
        <x:v>0</x:v>
      </x:c>
      <x:c r="N456" s="2" t="str">
        <x:f>'Data &amp; Reporting'!L456</x:f>
        <x:v>Open check</x:v>
      </x:c>
      <x:c r="O456" s="2" t="str">
        <x:f>'Data &amp; Reporting'!N456</x:f>
        <x:v>DR.CS.1.3.C02.2026.CY3</x:v>
      </x:c>
      <x:c r="P456" s="2" t="n">
        <x:f>'Data &amp; Reporting'!O456</x:f>
        <x:v>0</x:v>
      </x:c>
      <x:c r="Q456" s="2" t="n">
        <x:f>SUBTOTAL(103,O456)</x:f>
        <x:v>1</x:v>
      </x:c>
      <x:c r="R456" s="2" t="n">
        <x:f>IF(AND(M456=1,OR(Dashboard!$B$7="All",Dashboard!$B$7='Cycles &amp; Guide'!$C$5),OR(Dashboard!$D$7="All",Dashboard!$D$7=B456),OR(Dashboard!$F$7="All",Dashboard!$F$7=C456),OR(Dashboard!$H$7="All",Dashboard!$H$7=D456),OR(Dashboard!$K$7="All",Dashboard!$K$7=E456)),1,0)</x:f>
        <x:v>0</x:v>
      </x:c>
      <x:c r="S456" s="2" t="n">
        <x:f>IF(R456=1,SUM($R$10:R456),0)</x:f>
        <x:v>0</x:v>
      </x:c>
      <x:c r="T456" s="2" t="str">
        <x:v>Data &amp; Reporting</x:v>
      </x:c>
      <x:c r="U456" s="2" t="n">
        <x:v>456</x:v>
      </x:c>
      <x:c r="V456" s="2" t="n">
        <x:f>IF(AND(M456=1,P456=0,ISNUMBER(J456),J456&lt;TODAY()),1,0)</x:f>
        <x:v>0</x:v>
      </x:c>
      <x:c r="W456" s="2" t="str">
        <x:f>'Data &amp; Reporting'!M456</x:f>
        <x:v>Checklist</x:v>
      </x:c>
    </x:row>
    <x:row r="457" ht="40" customHeight="1">
      <x:c r="A457" s="3" t="str">
        <x:f>HYPERLINK("#'Data &amp; Reporting'!A457","Open")</x:f>
        <x:v>Open</x:v>
      </x:c>
      <x:c r="B457" s="2" t="str">
        <x:f>'Data &amp; Reporting'!B457</x:f>
        <x:v>Cycle 3</x:v>
      </x:c>
      <x:c r="C457" s="2" t="str">
        <x:f>'Data &amp; Reporting'!C457</x:f>
        <x:v>Phase 1</x:v>
      </x:c>
      <x:c r="D457" s="2" t="str">
        <x:f>'Data &amp; Reporting'!D457</x:f>
        <x:v>CSBBO - Customer Service</x:v>
      </x:c>
      <x:c r="E457" s="2" t="str">
        <x:v>Data &amp; Reporting</x:v>
      </x:c>
      <x:c r="F457" s="56" t="str">
        <x:f>'Data &amp; Reporting'!E457</x:f>
        <x:v>DR.CS.1.3.C03</x:v>
      </x:c>
      <x:c r="G457" s="14" t="str">
        <x:f>'Data &amp; Reporting'!F457</x:f>
        <x:v>    Document population details</x:v>
      </x:c>
      <x:c r="H457" s="2" t="str">
        <x:f>IF('Data &amp; Reporting'!G457="","",'Data &amp; Reporting'!G457)</x:f>
      </x:c>
      <x:c r="I457" s="12" t="str">
        <x:f>IF('Data &amp; Reporting'!H457="","",'Data &amp; Reporting'!H457)</x:f>
      </x:c>
      <x:c r="J457" s="12" t="str">
        <x:f>IF('Data &amp; Reporting'!I457="","",'Data &amp; Reporting'!I457)</x:f>
      </x:c>
      <x:c r="K457" s="12" t="str">
        <x:f>IF('Data &amp; Reporting'!J457="","",'Data &amp; Reporting'!J457)</x:f>
      </x:c>
      <x:c r="L457" s="2" t="str">
        <x:f>IF('Data &amp; Reporting'!K457="","",'Data &amp; Reporting'!K457)</x:f>
      </x:c>
      <x:c r="M457" s="2" t="n">
        <x:f>'Data &amp; Reporting'!Q457</x:f>
        <x:v>0</x:v>
      </x:c>
      <x:c r="N457" s="2" t="str">
        <x:f>'Data &amp; Reporting'!L457</x:f>
        <x:v>Open check</x:v>
      </x:c>
      <x:c r="O457" s="2" t="str">
        <x:f>'Data &amp; Reporting'!N457</x:f>
        <x:v>DR.CS.1.3.C03.2026.CY3</x:v>
      </x:c>
      <x:c r="P457" s="2" t="n">
        <x:f>'Data &amp; Reporting'!O457</x:f>
        <x:v>0</x:v>
      </x:c>
      <x:c r="Q457" s="2" t="n">
        <x:f>SUBTOTAL(103,O457)</x:f>
        <x:v>1</x:v>
      </x:c>
      <x:c r="R457" s="2" t="n">
        <x:f>IF(AND(M457=1,OR(Dashboard!$B$7="All",Dashboard!$B$7='Cycles &amp; Guide'!$C$5),OR(Dashboard!$D$7="All",Dashboard!$D$7=B457),OR(Dashboard!$F$7="All",Dashboard!$F$7=C457),OR(Dashboard!$H$7="All",Dashboard!$H$7=D457),OR(Dashboard!$K$7="All",Dashboard!$K$7=E457)),1,0)</x:f>
        <x:v>0</x:v>
      </x:c>
      <x:c r="S457" s="2" t="n">
        <x:f>IF(R457=1,SUM($R$10:R457),0)</x:f>
        <x:v>0</x:v>
      </x:c>
      <x:c r="T457" s="2" t="str">
        <x:v>Data &amp; Reporting</x:v>
      </x:c>
      <x:c r="U457" s="2" t="n">
        <x:v>457</x:v>
      </x:c>
      <x:c r="V457" s="2" t="n">
        <x:f>IF(AND(M457=1,P457=0,ISNUMBER(J457),J457&lt;TODAY()),1,0)</x:f>
        <x:v>0</x:v>
      </x:c>
      <x:c r="W457" s="2" t="str">
        <x:f>'Data &amp; Reporting'!M457</x:f>
        <x:v>Checklist</x:v>
      </x:c>
    </x:row>
    <x:row r="458" ht="40" customHeight="1">
      <x:c r="A458" s="3" t="str">
        <x:f>HYPERLINK("#'Data &amp; Reporting'!A458","Open")</x:f>
        <x:v>Open</x:v>
      </x:c>
      <x:c r="B458" s="2" t="str">
        <x:f>'Data &amp; Reporting'!B458</x:f>
        <x:v>Cycle 3</x:v>
      </x:c>
      <x:c r="C458" s="2" t="str">
        <x:f>'Data &amp; Reporting'!C458</x:f>
        <x:v>Phase 1</x:v>
      </x:c>
      <x:c r="D458" s="2" t="str">
        <x:f>'Data &amp; Reporting'!D458</x:f>
        <x:v>CSBBO - Customer Service</x:v>
      </x:c>
      <x:c r="E458" s="2" t="str">
        <x:v>Data &amp; Reporting</x:v>
      </x:c>
      <x:c r="F458" s="56" t="str">
        <x:f>'Data &amp; Reporting'!E458</x:f>
        <x:v>DR.CS.1.3.C04</x:v>
      </x:c>
      <x:c r="G458" s="14" t="str">
        <x:f>'Data &amp; Reporting'!F458</x:f>
        <x:v>    Validate no data is missing</x:v>
      </x:c>
      <x:c r="H458" s="2" t="str">
        <x:f>IF('Data &amp; Reporting'!G458="","",'Data &amp; Reporting'!G458)</x:f>
      </x:c>
      <x:c r="I458" s="12" t="str">
        <x:f>IF('Data &amp; Reporting'!H458="","",'Data &amp; Reporting'!H458)</x:f>
      </x:c>
      <x:c r="J458" s="12" t="str">
        <x:f>IF('Data &amp; Reporting'!I458="","",'Data &amp; Reporting'!I458)</x:f>
      </x:c>
      <x:c r="K458" s="12" t="str">
        <x:f>IF('Data &amp; Reporting'!J458="","",'Data &amp; Reporting'!J458)</x:f>
      </x:c>
      <x:c r="L458" s="2" t="str">
        <x:f>IF('Data &amp; Reporting'!K458="","",'Data &amp; Reporting'!K458)</x:f>
      </x:c>
      <x:c r="M458" s="2" t="n">
        <x:f>'Data &amp; Reporting'!Q458</x:f>
        <x:v>0</x:v>
      </x:c>
      <x:c r="N458" s="2" t="str">
        <x:f>'Data &amp; Reporting'!L458</x:f>
        <x:v>Open check</x:v>
      </x:c>
      <x:c r="O458" s="2" t="str">
        <x:f>'Data &amp; Reporting'!N458</x:f>
        <x:v>DR.CS.1.3.C04.2026.CY3</x:v>
      </x:c>
      <x:c r="P458" s="2" t="n">
        <x:f>'Data &amp; Reporting'!O458</x:f>
        <x:v>0</x:v>
      </x:c>
      <x:c r="Q458" s="2" t="n">
        <x:f>SUBTOTAL(103,O458)</x:f>
        <x:v>1</x:v>
      </x:c>
      <x:c r="R458" s="2" t="n">
        <x:f>IF(AND(M458=1,OR(Dashboard!$B$7="All",Dashboard!$B$7='Cycles &amp; Guide'!$C$5),OR(Dashboard!$D$7="All",Dashboard!$D$7=B458),OR(Dashboard!$F$7="All",Dashboard!$F$7=C458),OR(Dashboard!$H$7="All",Dashboard!$H$7=D458),OR(Dashboard!$K$7="All",Dashboard!$K$7=E458)),1,0)</x:f>
        <x:v>0</x:v>
      </x:c>
      <x:c r="S458" s="2" t="n">
        <x:f>IF(R458=1,SUM($R$10:R458),0)</x:f>
        <x:v>0</x:v>
      </x:c>
      <x:c r="T458" s="2" t="str">
        <x:v>Data &amp; Reporting</x:v>
      </x:c>
      <x:c r="U458" s="2" t="n">
        <x:v>458</x:v>
      </x:c>
      <x:c r="V458" s="2" t="n">
        <x:f>IF(AND(M458=1,P458=0,ISNUMBER(J458),J458&lt;TODAY()),1,0)</x:f>
        <x:v>0</x:v>
      </x:c>
      <x:c r="W458" s="2" t="str">
        <x:f>'Data &amp; Reporting'!M458</x:f>
        <x:v>Checklist</x:v>
      </x:c>
    </x:row>
    <x:row r="459" ht="40" customHeight="1">
      <x:c r="A459" s="3" t="str">
        <x:f>HYPERLINK("#'Data &amp; Reporting'!A459","Open")</x:f>
        <x:v>Open</x:v>
      </x:c>
      <x:c r="B459" s="2" t="str">
        <x:f>'Data &amp; Reporting'!B459</x:f>
        <x:v>Cycle 3</x:v>
      </x:c>
      <x:c r="C459" s="2" t="str">
        <x:f>'Data &amp; Reporting'!C459</x:f>
        <x:v>Phase 1</x:v>
      </x:c>
      <x:c r="D459" s="2" t="str">
        <x:f>'Data &amp; Reporting'!D459</x:f>
        <x:v>CSBBO - Customer Service</x:v>
      </x:c>
      <x:c r="E459" s="2" t="str">
        <x:v>Data &amp; Reporting</x:v>
      </x:c>
      <x:c r="F459" s="56" t="str">
        <x:f>'Data &amp; Reporting'!E459</x:f>
        <x:v>DR.CS.1.3.C05</x:v>
      </x:c>
      <x:c r="G459" s="14" t="str">
        <x:f>'Data &amp; Reporting'!F459</x:f>
        <x:v>    Validate accuracy of data</x:v>
      </x:c>
      <x:c r="H459" s="2" t="str">
        <x:f>IF('Data &amp; Reporting'!G459="","",'Data &amp; Reporting'!G459)</x:f>
      </x:c>
      <x:c r="I459" s="12" t="str">
        <x:f>IF('Data &amp; Reporting'!H459="","",'Data &amp; Reporting'!H459)</x:f>
      </x:c>
      <x:c r="J459" s="12" t="str">
        <x:f>IF('Data &amp; Reporting'!I459="","",'Data &amp; Reporting'!I459)</x:f>
      </x:c>
      <x:c r="K459" s="12" t="str">
        <x:f>IF('Data &amp; Reporting'!J459="","",'Data &amp; Reporting'!J459)</x:f>
      </x:c>
      <x:c r="L459" s="2" t="str">
        <x:f>IF('Data &amp; Reporting'!K459="","",'Data &amp; Reporting'!K459)</x:f>
      </x:c>
      <x:c r="M459" s="2" t="n">
        <x:f>'Data &amp; Reporting'!Q459</x:f>
        <x:v>0</x:v>
      </x:c>
      <x:c r="N459" s="2" t="str">
        <x:f>'Data &amp; Reporting'!L459</x:f>
        <x:v>Open check</x:v>
      </x:c>
      <x:c r="O459" s="2" t="str">
        <x:f>'Data &amp; Reporting'!N459</x:f>
        <x:v>DR.CS.1.3.C05.2026.CY3</x:v>
      </x:c>
      <x:c r="P459" s="2" t="n">
        <x:f>'Data &amp; Reporting'!O459</x:f>
        <x:v>0</x:v>
      </x:c>
      <x:c r="Q459" s="2" t="n">
        <x:f>SUBTOTAL(103,O459)</x:f>
        <x:v>1</x:v>
      </x:c>
      <x:c r="R459" s="2" t="n">
        <x:f>IF(AND(M459=1,OR(Dashboard!$B$7="All",Dashboard!$B$7='Cycles &amp; Guide'!$C$5),OR(Dashboard!$D$7="All",Dashboard!$D$7=B459),OR(Dashboard!$F$7="All",Dashboard!$F$7=C459),OR(Dashboard!$H$7="All",Dashboard!$H$7=D459),OR(Dashboard!$K$7="All",Dashboard!$K$7=E459)),1,0)</x:f>
        <x:v>0</x:v>
      </x:c>
      <x:c r="S459" s="2" t="n">
        <x:f>IF(R459=1,SUM($R$10:R459),0)</x:f>
        <x:v>0</x:v>
      </x:c>
      <x:c r="T459" s="2" t="str">
        <x:v>Data &amp; Reporting</x:v>
      </x:c>
      <x:c r="U459" s="2" t="n">
        <x:v>459</x:v>
      </x:c>
      <x:c r="V459" s="2" t="n">
        <x:f>IF(AND(M459=1,P459=0,ISNUMBER(J459),J459&lt;TODAY()),1,0)</x:f>
        <x:v>0</x:v>
      </x:c>
      <x:c r="W459" s="2" t="str">
        <x:f>'Data &amp; Reporting'!M459</x:f>
        <x:v>Checklist</x:v>
      </x:c>
    </x:row>
    <x:row r="460" ht="40" customHeight="1">
      <x:c r="A460" s="3" t="str">
        <x:f>HYPERLINK("#'Data &amp; Reporting'!A460","Open")</x:f>
        <x:v>Open</x:v>
      </x:c>
      <x:c r="B460" s="2" t="str">
        <x:f>'Data &amp; Reporting'!B460</x:f>
        <x:v>Cycle 3</x:v>
      </x:c>
      <x:c r="C460" s="2" t="str">
        <x:f>'Data &amp; Reporting'!C460</x:f>
        <x:v>Phase 1</x:v>
      </x:c>
      <x:c r="D460" s="2" t="str">
        <x:f>'Data &amp; Reporting'!D460</x:f>
        <x:v>CSBBO - Customer Service</x:v>
      </x:c>
      <x:c r="E460" s="2" t="str">
        <x:v>Data &amp; Reporting</x:v>
      </x:c>
      <x:c r="F460" s="56" t="str">
        <x:f>'Data &amp; Reporting'!E460</x:f>
        <x:v>DR.CS.1.3.C06</x:v>
      </x:c>
      <x:c r="G460" s="14" t="str">
        <x:f>'Data &amp; Reporting'!F460</x:f>
        <x:v>    Validate no duplicate data is provided</x:v>
      </x:c>
      <x:c r="H460" s="2" t="str">
        <x:f>IF('Data &amp; Reporting'!G460="","",'Data &amp; Reporting'!G460)</x:f>
      </x:c>
      <x:c r="I460" s="12" t="str">
        <x:f>IF('Data &amp; Reporting'!H460="","",'Data &amp; Reporting'!H460)</x:f>
      </x:c>
      <x:c r="J460" s="12" t="str">
        <x:f>IF('Data &amp; Reporting'!I460="","",'Data &amp; Reporting'!I460)</x:f>
      </x:c>
      <x:c r="K460" s="12" t="str">
        <x:f>IF('Data &amp; Reporting'!J460="","",'Data &amp; Reporting'!J460)</x:f>
      </x:c>
      <x:c r="L460" s="2" t="str">
        <x:f>IF('Data &amp; Reporting'!K460="","",'Data &amp; Reporting'!K460)</x:f>
      </x:c>
      <x:c r="M460" s="2" t="n">
        <x:f>'Data &amp; Reporting'!Q460</x:f>
        <x:v>0</x:v>
      </x:c>
      <x:c r="N460" s="2" t="str">
        <x:f>'Data &amp; Reporting'!L460</x:f>
        <x:v>Open check</x:v>
      </x:c>
      <x:c r="O460" s="2" t="str">
        <x:f>'Data &amp; Reporting'!N460</x:f>
        <x:v>DR.CS.1.3.C06.2026.CY3</x:v>
      </x:c>
      <x:c r="P460" s="2" t="n">
        <x:f>'Data &amp; Reporting'!O460</x:f>
        <x:v>0</x:v>
      </x:c>
      <x:c r="Q460" s="2" t="n">
        <x:f>SUBTOTAL(103,O460)</x:f>
        <x:v>1</x:v>
      </x:c>
      <x:c r="R460" s="2" t="n">
        <x:f>IF(AND(M460=1,OR(Dashboard!$B$7="All",Dashboard!$B$7='Cycles &amp; Guide'!$C$5),OR(Dashboard!$D$7="All",Dashboard!$D$7=B460),OR(Dashboard!$F$7="All",Dashboard!$F$7=C460),OR(Dashboard!$H$7="All",Dashboard!$H$7=D460),OR(Dashboard!$K$7="All",Dashboard!$K$7=E460)),1,0)</x:f>
        <x:v>0</x:v>
      </x:c>
      <x:c r="S460" s="2" t="n">
        <x:f>IF(R460=1,SUM($R$10:R460),0)</x:f>
        <x:v>0</x:v>
      </x:c>
      <x:c r="T460" s="2" t="str">
        <x:v>Data &amp; Reporting</x:v>
      </x:c>
      <x:c r="U460" s="2" t="n">
        <x:v>460</x:v>
      </x:c>
      <x:c r="V460" s="2" t="n">
        <x:f>IF(AND(M460=1,P460=0,ISNUMBER(J460),J460&lt;TODAY()),1,0)</x:f>
        <x:v>0</x:v>
      </x:c>
      <x:c r="W460" s="2" t="str">
        <x:f>'Data &amp; Reporting'!M460</x:f>
        <x:v>Checklist</x:v>
      </x:c>
    </x:row>
    <x:row r="461" ht="40" customHeight="1">
      <x:c r="A461" s="3" t="str">
        <x:f>HYPERLINK("#'Data &amp; Reporting'!A461","Open")</x:f>
        <x:v>Open</x:v>
      </x:c>
      <x:c r="B461" s="2" t="str">
        <x:f>'Data &amp; Reporting'!B461</x:f>
        <x:v>Cycle 3</x:v>
      </x:c>
      <x:c r="C461" s="2" t="str">
        <x:f>'Data &amp; Reporting'!C461</x:f>
        <x:v>Phase 1</x:v>
      </x:c>
      <x:c r="D461" s="2" t="str">
        <x:f>'Data &amp; Reporting'!D461</x:f>
        <x:v>CSBBO - Customer Service</x:v>
      </x:c>
      <x:c r="E461" s="2" t="str">
        <x:v>Data &amp; Reporting</x:v>
      </x:c>
      <x:c r="F461" s="56" t="str">
        <x:f>'Data &amp; Reporting'!E461</x:f>
        <x:v>DR.CS.1.3.C07</x:v>
      </x:c>
      <x:c r="G461" s="14" t="str">
        <x:f>'Data &amp; Reporting'!F461</x:f>
        <x:v>    Document any data exclusions along with justification (as needed)</x:v>
      </x:c>
      <x:c r="H461" s="2" t="str">
        <x:f>IF('Data &amp; Reporting'!G461="","",'Data &amp; Reporting'!G461)</x:f>
      </x:c>
      <x:c r="I461" s="12" t="str">
        <x:f>IF('Data &amp; Reporting'!H461="","",'Data &amp; Reporting'!H461)</x:f>
      </x:c>
      <x:c r="J461" s="12" t="str">
        <x:f>IF('Data &amp; Reporting'!I461="","",'Data &amp; Reporting'!I461)</x:f>
      </x:c>
      <x:c r="K461" s="12" t="str">
        <x:f>IF('Data &amp; Reporting'!J461="","",'Data &amp; Reporting'!J461)</x:f>
      </x:c>
      <x:c r="L461" s="2" t="str">
        <x:f>IF('Data &amp; Reporting'!K461="","",'Data &amp; Reporting'!K461)</x:f>
      </x:c>
      <x:c r="M461" s="2" t="n">
        <x:f>'Data &amp; Reporting'!Q461</x:f>
        <x:v>0</x:v>
      </x:c>
      <x:c r="N461" s="2" t="str">
        <x:f>'Data &amp; Reporting'!L461</x:f>
        <x:v>Open check</x:v>
      </x:c>
      <x:c r="O461" s="2" t="str">
        <x:f>'Data &amp; Reporting'!N461</x:f>
        <x:v>DR.CS.1.3.C07.2026.CY3</x:v>
      </x:c>
      <x:c r="P461" s="2" t="n">
        <x:f>'Data &amp; Reporting'!O461</x:f>
        <x:v>0</x:v>
      </x:c>
      <x:c r="Q461" s="2" t="n">
        <x:f>SUBTOTAL(103,O461)</x:f>
        <x:v>1</x:v>
      </x:c>
      <x:c r="R461" s="2" t="n">
        <x:f>IF(AND(M461=1,OR(Dashboard!$B$7="All",Dashboard!$B$7='Cycles &amp; Guide'!$C$5),OR(Dashboard!$D$7="All",Dashboard!$D$7=B461),OR(Dashboard!$F$7="All",Dashboard!$F$7=C461),OR(Dashboard!$H$7="All",Dashboard!$H$7=D461),OR(Dashboard!$K$7="All",Dashboard!$K$7=E461)),1,0)</x:f>
        <x:v>0</x:v>
      </x:c>
      <x:c r="S461" s="2" t="n">
        <x:f>IF(R461=1,SUM($R$10:R461),0)</x:f>
        <x:v>0</x:v>
      </x:c>
      <x:c r="T461" s="2" t="str">
        <x:v>Data &amp; Reporting</x:v>
      </x:c>
      <x:c r="U461" s="2" t="n">
        <x:v>461</x:v>
      </x:c>
      <x:c r="V461" s="2" t="n">
        <x:f>IF(AND(M461=1,P461=0,ISNUMBER(J461),J461&lt;TODAY()),1,0)</x:f>
        <x:v>0</x:v>
      </x:c>
      <x:c r="W461" s="2" t="str">
        <x:f>'Data &amp; Reporting'!M461</x:f>
        <x:v>Checklist</x:v>
      </x:c>
    </x:row>
    <x:row r="462" ht="40" customHeight="1">
      <x:c r="A462" s="3" t="str">
        <x:f>HYPERLINK("#'Data &amp; Reporting'!A462","Open")</x:f>
        <x:v>Open</x:v>
      </x:c>
      <x:c r="B462" s="2" t="str">
        <x:f>'Data &amp; Reporting'!B462</x:f>
        <x:v>Cycle 3</x:v>
      </x:c>
      <x:c r="C462" s="2" t="str">
        <x:f>'Data &amp; Reporting'!C462</x:f>
        <x:v>Phase 1</x:v>
      </x:c>
      <x:c r="D462" s="2" t="str">
        <x:f>'Data &amp; Reporting'!D462</x:f>
        <x:v>CSBBO - Customer Service</x:v>
      </x:c>
      <x:c r="E462" s="2" t="str">
        <x:v>Data &amp; Reporting</x:v>
      </x:c>
      <x:c r="F462" s="56" t="str">
        <x:f>'Data &amp; Reporting'!E462</x:f>
        <x:v>DR.CS.1.3.C08</x:v>
      </x:c>
      <x:c r="G462" s="14" t="str">
        <x:f>'Data &amp; Reporting'!F462</x:f>
        <x:v>    Document any assumptions made with the data (as needed)</x:v>
      </x:c>
      <x:c r="H462" s="2" t="str">
        <x:f>IF('Data &amp; Reporting'!G462="","",'Data &amp; Reporting'!G462)</x:f>
      </x:c>
      <x:c r="I462" s="12" t="str">
        <x:f>IF('Data &amp; Reporting'!H462="","",'Data &amp; Reporting'!H462)</x:f>
      </x:c>
      <x:c r="J462" s="12" t="str">
        <x:f>IF('Data &amp; Reporting'!I462="","",'Data &amp; Reporting'!I462)</x:f>
      </x:c>
      <x:c r="K462" s="12" t="str">
        <x:f>IF('Data &amp; Reporting'!J462="","",'Data &amp; Reporting'!J462)</x:f>
      </x:c>
      <x:c r="L462" s="2" t="str">
        <x:f>IF('Data &amp; Reporting'!K462="","",'Data &amp; Reporting'!K462)</x:f>
      </x:c>
      <x:c r="M462" s="2" t="n">
        <x:f>'Data &amp; Reporting'!Q462</x:f>
        <x:v>0</x:v>
      </x:c>
      <x:c r="N462" s="2" t="str">
        <x:f>'Data &amp; Reporting'!L462</x:f>
        <x:v>Open check</x:v>
      </x:c>
      <x:c r="O462" s="2" t="str">
        <x:f>'Data &amp; Reporting'!N462</x:f>
        <x:v>DR.CS.1.3.C08.2026.CY3</x:v>
      </x:c>
      <x:c r="P462" s="2" t="n">
        <x:f>'Data &amp; Reporting'!O462</x:f>
        <x:v>0</x:v>
      </x:c>
      <x:c r="Q462" s="2" t="n">
        <x:f>SUBTOTAL(103,O462)</x:f>
        <x:v>1</x:v>
      </x:c>
      <x:c r="R462" s="2" t="n">
        <x:f>IF(AND(M462=1,OR(Dashboard!$B$7="All",Dashboard!$B$7='Cycles &amp; Guide'!$C$5),OR(Dashboard!$D$7="All",Dashboard!$D$7=B462),OR(Dashboard!$F$7="All",Dashboard!$F$7=C462),OR(Dashboard!$H$7="All",Dashboard!$H$7=D462),OR(Dashboard!$K$7="All",Dashboard!$K$7=E462)),1,0)</x:f>
        <x:v>0</x:v>
      </x:c>
      <x:c r="S462" s="2" t="n">
        <x:f>IF(R462=1,SUM($R$10:R462),0)</x:f>
        <x:v>0</x:v>
      </x:c>
      <x:c r="T462" s="2" t="str">
        <x:v>Data &amp; Reporting</x:v>
      </x:c>
      <x:c r="U462" s="2" t="n">
        <x:v>462</x:v>
      </x:c>
      <x:c r="V462" s="2" t="n">
        <x:f>IF(AND(M462=1,P462=0,ISNUMBER(J462),J462&lt;TODAY()),1,0)</x:f>
        <x:v>0</x:v>
      </x:c>
      <x:c r="W462" s="2" t="str">
        <x:f>'Data &amp; Reporting'!M462</x:f>
        <x:v>Checklist</x:v>
      </x:c>
    </x:row>
    <x:row r="463" ht="40" customHeight="1">
      <x:c r="A463" s="3" t="str">
        <x:f>HYPERLINK("#'Data &amp; Reporting'!A463","Open")</x:f>
        <x:v>Open</x:v>
      </x:c>
      <x:c r="B463" s="2" t="str">
        <x:f>'Data &amp; Reporting'!B463</x:f>
        <x:v>Cycle 3</x:v>
      </x:c>
      <x:c r="C463" s="2" t="str">
        <x:f>'Data &amp; Reporting'!C463</x:f>
        <x:v>Phase 1</x:v>
      </x:c>
      <x:c r="D463" s="2" t="str">
        <x:f>'Data &amp; Reporting'!D463</x:f>
        <x:v>CSBBO - Customer Service</x:v>
      </x:c>
      <x:c r="E463" s="2" t="str">
        <x:v>Data &amp; Reporting</x:v>
      </x:c>
      <x:c r="F463" s="56" t="str">
        <x:f>'Data &amp; Reporting'!E463</x:f>
        <x:v>DR.CS.1.3.C09</x:v>
      </x:c>
      <x:c r="G463" s="14" t="str">
        <x:f>'Data &amp; Reporting'!F463</x:f>
        <x:v>    Document any data limitations or constraints clearly (as needed)</x:v>
      </x:c>
      <x:c r="H463" s="2" t="str">
        <x:f>IF('Data &amp; Reporting'!G463="","",'Data &amp; Reporting'!G463)</x:f>
      </x:c>
      <x:c r="I463" s="12" t="str">
        <x:f>IF('Data &amp; Reporting'!H463="","",'Data &amp; Reporting'!H463)</x:f>
      </x:c>
      <x:c r="J463" s="12" t="str">
        <x:f>IF('Data &amp; Reporting'!I463="","",'Data &amp; Reporting'!I463)</x:f>
      </x:c>
      <x:c r="K463" s="12" t="str">
        <x:f>IF('Data &amp; Reporting'!J463="","",'Data &amp; Reporting'!J463)</x:f>
      </x:c>
      <x:c r="L463" s="2" t="str">
        <x:f>IF('Data &amp; Reporting'!K463="","",'Data &amp; Reporting'!K463)</x:f>
      </x:c>
      <x:c r="M463" s="2" t="n">
        <x:f>'Data &amp; Reporting'!Q463</x:f>
        <x:v>0</x:v>
      </x:c>
      <x:c r="N463" s="2" t="str">
        <x:f>'Data &amp; Reporting'!L463</x:f>
        <x:v>Open check</x:v>
      </x:c>
      <x:c r="O463" s="2" t="str">
        <x:f>'Data &amp; Reporting'!N463</x:f>
        <x:v>DR.CS.1.3.C09.2026.CY3</x:v>
      </x:c>
      <x:c r="P463" s="2" t="n">
        <x:f>'Data &amp; Reporting'!O463</x:f>
        <x:v>0</x:v>
      </x:c>
      <x:c r="Q463" s="2" t="n">
        <x:f>SUBTOTAL(103,O463)</x:f>
        <x:v>1</x:v>
      </x:c>
      <x:c r="R463" s="2" t="n">
        <x:f>IF(AND(M463=1,OR(Dashboard!$B$7="All",Dashboard!$B$7='Cycles &amp; Guide'!$C$5),OR(Dashboard!$D$7="All",Dashboard!$D$7=B463),OR(Dashboard!$F$7="All",Dashboard!$F$7=C463),OR(Dashboard!$H$7="All",Dashboard!$H$7=D463),OR(Dashboard!$K$7="All",Dashboard!$K$7=E463)),1,0)</x:f>
        <x:v>0</x:v>
      </x:c>
      <x:c r="S463" s="2" t="n">
        <x:f>IF(R463=1,SUM($R$10:R463),0)</x:f>
        <x:v>0</x:v>
      </x:c>
      <x:c r="T463" s="2" t="str">
        <x:v>Data &amp; Reporting</x:v>
      </x:c>
      <x:c r="U463" s="2" t="n">
        <x:v>463</x:v>
      </x:c>
      <x:c r="V463" s="2" t="n">
        <x:f>IF(AND(M463=1,P463=0,ISNUMBER(J463),J463&lt;TODAY()),1,0)</x:f>
        <x:v>0</x:v>
      </x:c>
      <x:c r="W463" s="2" t="str">
        <x:f>'Data &amp; Reporting'!M463</x:f>
        <x:v>Checklist</x:v>
      </x:c>
    </x:row>
    <x:row r="464" ht="40" customHeight="1">
      <x:c r="A464" s="3" t="str">
        <x:f>HYPERLINK("#'Data &amp; Reporting'!A464","Open")</x:f>
        <x:v>Open</x:v>
      </x:c>
      <x:c r="B464" s="2" t="str">
        <x:f>'Data &amp; Reporting'!B464</x:f>
        <x:v>Cycle 3</x:v>
      </x:c>
      <x:c r="C464" s="2" t="str">
        <x:f>'Data &amp; Reporting'!C464</x:f>
        <x:v>Phase 1</x:v>
      </x:c>
      <x:c r="D464" s="2" t="str">
        <x:f>'Data &amp; Reporting'!D464</x:f>
        <x:v>CSBBO - Customer Service</x:v>
      </x:c>
      <x:c r="E464" s="2" t="str">
        <x:v>Data &amp; Reporting</x:v>
      </x:c>
      <x:c r="F464" s="56" t="str">
        <x:f>'Data &amp; Reporting'!E464</x:f>
        <x:v>DR.CS.1.3.C10</x:v>
      </x:c>
      <x:c r="G464" s="14" t="str">
        <x:f>'Data &amp; Reporting'!F464</x:f>
        <x:v>    Document data dictionary or field definitions for columns/rows</x:v>
      </x:c>
      <x:c r="H464" s="2" t="str">
        <x:f>IF('Data &amp; Reporting'!G464="","",'Data &amp; Reporting'!G464)</x:f>
      </x:c>
      <x:c r="I464" s="12" t="str">
        <x:f>IF('Data &amp; Reporting'!H464="","",'Data &amp; Reporting'!H464)</x:f>
      </x:c>
      <x:c r="J464" s="12" t="str">
        <x:f>IF('Data &amp; Reporting'!I464="","",'Data &amp; Reporting'!I464)</x:f>
      </x:c>
      <x:c r="K464" s="12" t="str">
        <x:f>IF('Data &amp; Reporting'!J464="","",'Data &amp; Reporting'!J464)</x:f>
      </x:c>
      <x:c r="L464" s="2" t="str">
        <x:f>IF('Data &amp; Reporting'!K464="","",'Data &amp; Reporting'!K464)</x:f>
      </x:c>
      <x:c r="M464" s="2" t="n">
        <x:f>'Data &amp; Reporting'!Q464</x:f>
        <x:v>0</x:v>
      </x:c>
      <x:c r="N464" s="2" t="str">
        <x:f>'Data &amp; Reporting'!L464</x:f>
        <x:v>Open check</x:v>
      </x:c>
      <x:c r="O464" s="2" t="str">
        <x:f>'Data &amp; Reporting'!N464</x:f>
        <x:v>DR.CS.1.3.C10.2026.CY3</x:v>
      </x:c>
      <x:c r="P464" s="2" t="n">
        <x:f>'Data &amp; Reporting'!O464</x:f>
        <x:v>0</x:v>
      </x:c>
      <x:c r="Q464" s="2" t="n">
        <x:f>SUBTOTAL(103,O464)</x:f>
        <x:v>1</x:v>
      </x:c>
      <x:c r="R464" s="2" t="n">
        <x:f>IF(AND(M464=1,OR(Dashboard!$B$7="All",Dashboard!$B$7='Cycles &amp; Guide'!$C$5),OR(Dashboard!$D$7="All",Dashboard!$D$7=B464),OR(Dashboard!$F$7="All",Dashboard!$F$7=C464),OR(Dashboard!$H$7="All",Dashboard!$H$7=D464),OR(Dashboard!$K$7="All",Dashboard!$K$7=E464)),1,0)</x:f>
        <x:v>0</x:v>
      </x:c>
      <x:c r="S464" s="2" t="n">
        <x:f>IF(R464=1,SUM($R$10:R464),0)</x:f>
        <x:v>0</x:v>
      </x:c>
      <x:c r="T464" s="2" t="str">
        <x:v>Data &amp; Reporting</x:v>
      </x:c>
      <x:c r="U464" s="2" t="n">
        <x:v>464</x:v>
      </x:c>
      <x:c r="V464" s="2" t="n">
        <x:f>IF(AND(M464=1,P464=0,ISNUMBER(J464),J464&lt;TODAY()),1,0)</x:f>
        <x:v>0</x:v>
      </x:c>
      <x:c r="W464" s="2" t="str">
        <x:f>'Data &amp; Reporting'!M464</x:f>
        <x:v>Checklist</x:v>
      </x:c>
    </x:row>
    <x:row r="465" ht="40" customHeight="1">
      <x:c r="A465" s="3" t="str">
        <x:f>HYPERLINK("#'Data &amp; Reporting'!A465","Open")</x:f>
        <x:v>Open</x:v>
      </x:c>
      <x:c r="B465" s="2" t="str">
        <x:f>'Data &amp; Reporting'!B465</x:f>
        <x:v>Cycle 3</x:v>
      </x:c>
      <x:c r="C465" s="2" t="str">
        <x:f>'Data &amp; Reporting'!C465</x:f>
        <x:v>Phase 1</x:v>
      </x:c>
      <x:c r="D465" s="2" t="str">
        <x:f>'Data &amp; Reporting'!D465</x:f>
        <x:v>CSBBO - Customer Service</x:v>
      </x:c>
      <x:c r="E465" s="2" t="str">
        <x:v>Data &amp; Reporting</x:v>
      </x:c>
      <x:c r="F465" s="56" t="str">
        <x:f>'Data &amp; Reporting'!E465</x:f>
        <x:v>DR.CS.1.3.C11</x:v>
      </x:c>
      <x:c r="G465" s="14" t="str">
        <x:f>'Data &amp; Reporting'!F465</x:f>
        <x:v>    Document emerging trends, patterns, or concentrations along with supporting data</x:v>
      </x:c>
      <x:c r="H465" s="2" t="str">
        <x:f>IF('Data &amp; Reporting'!G465="","",'Data &amp; Reporting'!G465)</x:f>
      </x:c>
      <x:c r="I465" s="12" t="str">
        <x:f>IF('Data &amp; Reporting'!H465="","",'Data &amp; Reporting'!H465)</x:f>
      </x:c>
      <x:c r="J465" s="12" t="str">
        <x:f>IF('Data &amp; Reporting'!I465="","",'Data &amp; Reporting'!I465)</x:f>
      </x:c>
      <x:c r="K465" s="12" t="str">
        <x:f>IF('Data &amp; Reporting'!J465="","",'Data &amp; Reporting'!J465)</x:f>
      </x:c>
      <x:c r="L465" s="2" t="str">
        <x:f>IF('Data &amp; Reporting'!K465="","",'Data &amp; Reporting'!K465)</x:f>
      </x:c>
      <x:c r="M465" s="2" t="n">
        <x:f>'Data &amp; Reporting'!Q465</x:f>
        <x:v>0</x:v>
      </x:c>
      <x:c r="N465" s="2" t="str">
        <x:f>'Data &amp; Reporting'!L465</x:f>
        <x:v>Open check</x:v>
      </x:c>
      <x:c r="O465" s="2" t="str">
        <x:f>'Data &amp; Reporting'!N465</x:f>
        <x:v>DR.CS.1.3.C11.2026.CY3</x:v>
      </x:c>
      <x:c r="P465" s="2" t="n">
        <x:f>'Data &amp; Reporting'!O465</x:f>
        <x:v>0</x:v>
      </x:c>
      <x:c r="Q465" s="2" t="n">
        <x:f>SUBTOTAL(103,O465)</x:f>
        <x:v>1</x:v>
      </x:c>
      <x:c r="R465" s="2" t="n">
        <x:f>IF(AND(M465=1,OR(Dashboard!$B$7="All",Dashboard!$B$7='Cycles &amp; Guide'!$C$5),OR(Dashboard!$D$7="All",Dashboard!$D$7=B465),OR(Dashboard!$F$7="All",Dashboard!$F$7=C465),OR(Dashboard!$H$7="All",Dashboard!$H$7=D465),OR(Dashboard!$K$7="All",Dashboard!$K$7=E465)),1,0)</x:f>
        <x:v>0</x:v>
      </x:c>
      <x:c r="S465" s="2" t="n">
        <x:f>IF(R465=1,SUM($R$10:R465),0)</x:f>
        <x:v>0</x:v>
      </x:c>
      <x:c r="T465" s="2" t="str">
        <x:v>Data &amp; Reporting</x:v>
      </x:c>
      <x:c r="U465" s="2" t="n">
        <x:v>465</x:v>
      </x:c>
      <x:c r="V465" s="2" t="n">
        <x:f>IF(AND(M465=1,P465=0,ISNUMBER(J465),J465&lt;TODAY()),1,0)</x:f>
        <x:v>0</x:v>
      </x:c>
      <x:c r="W465" s="2" t="str">
        <x:f>'Data &amp; Reporting'!M465</x:f>
        <x:v>Checklist</x:v>
      </x:c>
    </x:row>
    <x:row r="466" ht="40" customHeight="1">
      <x:c r="A466" s="3" t="str">
        <x:f>HYPERLINK("#'Data &amp; Reporting'!A466","Open")</x:f>
        <x:v>Open</x:v>
      </x:c>
      <x:c r="B466" s="2" t="str">
        <x:f>'Data &amp; Reporting'!B466</x:f>
        <x:v>Cycle 3</x:v>
      </x:c>
      <x:c r="C466" s="2" t="str">
        <x:f>'Data &amp; Reporting'!C466</x:f>
        <x:v>Phase 1</x:v>
      </x:c>
      <x:c r="D466" s="2" t="str">
        <x:f>'Data &amp; Reporting'!D466</x:f>
        <x:v>CSBBO - Customer Service</x:v>
      </x:c>
      <x:c r="E466" s="2" t="str">
        <x:v>Data &amp; Reporting</x:v>
      </x:c>
      <x:c r="F466" s="56" t="str">
        <x:f>'Data &amp; Reporting'!E466</x:f>
        <x:v>DR.CS.1.3.C12</x:v>
      </x:c>
      <x:c r="G466" s="14" t="str">
        <x:f>'Data &amp; Reporting'!F466</x:f>
        <x:v>    Document any severe spikes in volume along with context (as needed)</x:v>
      </x:c>
      <x:c r="H466" s="2" t="str">
        <x:f>IF('Data &amp; Reporting'!G466="","",'Data &amp; Reporting'!G466)</x:f>
      </x:c>
      <x:c r="I466" s="12" t="str">
        <x:f>IF('Data &amp; Reporting'!H466="","",'Data &amp; Reporting'!H466)</x:f>
      </x:c>
      <x:c r="J466" s="12" t="str">
        <x:f>IF('Data &amp; Reporting'!I466="","",'Data &amp; Reporting'!I466)</x:f>
      </x:c>
      <x:c r="K466" s="12" t="str">
        <x:f>IF('Data &amp; Reporting'!J466="","",'Data &amp; Reporting'!J466)</x:f>
      </x:c>
      <x:c r="L466" s="2" t="str">
        <x:f>IF('Data &amp; Reporting'!K466="","",'Data &amp; Reporting'!K466)</x:f>
      </x:c>
      <x:c r="M466" s="2" t="n">
        <x:f>'Data &amp; Reporting'!Q466</x:f>
        <x:v>0</x:v>
      </x:c>
      <x:c r="N466" s="2" t="str">
        <x:f>'Data &amp; Reporting'!L466</x:f>
        <x:v>Open check</x:v>
      </x:c>
      <x:c r="O466" s="2" t="str">
        <x:f>'Data &amp; Reporting'!N466</x:f>
        <x:v>DR.CS.1.3.C12.2026.CY3</x:v>
      </x:c>
      <x:c r="P466" s="2" t="n">
        <x:f>'Data &amp; Reporting'!O466</x:f>
        <x:v>0</x:v>
      </x:c>
      <x:c r="Q466" s="2" t="n">
        <x:f>SUBTOTAL(103,O466)</x:f>
        <x:v>1</x:v>
      </x:c>
      <x:c r="R466" s="2" t="n">
        <x:f>IF(AND(M466=1,OR(Dashboard!$B$7="All",Dashboard!$B$7='Cycles &amp; Guide'!$C$5),OR(Dashboard!$D$7="All",Dashboard!$D$7=B466),OR(Dashboard!$F$7="All",Dashboard!$F$7=C466),OR(Dashboard!$H$7="All",Dashboard!$H$7=D466),OR(Dashboard!$K$7="All",Dashboard!$K$7=E466)),1,0)</x:f>
        <x:v>0</x:v>
      </x:c>
      <x:c r="S466" s="2" t="n">
        <x:f>IF(R466=1,SUM($R$10:R466),0)</x:f>
        <x:v>0</x:v>
      </x:c>
      <x:c r="T466" s="2" t="str">
        <x:v>Data &amp; Reporting</x:v>
      </x:c>
      <x:c r="U466" s="2" t="n">
        <x:v>466</x:v>
      </x:c>
      <x:c r="V466" s="2" t="n">
        <x:f>IF(AND(M466=1,P466=0,ISNUMBER(J466),J466&lt;TODAY()),1,0)</x:f>
        <x:v>0</x:v>
      </x:c>
      <x:c r="W466" s="2" t="str">
        <x:f>'Data &amp; Reporting'!M466</x:f>
        <x:v>Checklist</x:v>
      </x:c>
    </x:row>
    <x:row r="467" ht="40" customHeight="1">
      <x:c r="A467" s="3" t="str">
        <x:f>HYPERLINK("#'Data &amp; Reporting'!A467","Open")</x:f>
        <x:v>Open</x:v>
      </x:c>
      <x:c r="B467" s="2" t="str">
        <x:f>'Data &amp; Reporting'!B467</x:f>
        <x:v>Cycle 3</x:v>
      </x:c>
      <x:c r="C467" s="2" t="str">
        <x:f>'Data &amp; Reporting'!C467</x:f>
        <x:v>Phase 1</x:v>
      </x:c>
      <x:c r="D467" s="2" t="str">
        <x:f>'Data &amp; Reporting'!D467</x:f>
        <x:v>CSBBO - Customer Service</x:v>
      </x:c>
      <x:c r="E467" s="2" t="str">
        <x:v>Data &amp; Reporting</x:v>
      </x:c>
      <x:c r="F467" s="56" t="str">
        <x:f>'Data &amp; Reporting'!E467</x:f>
        <x:v>DR.CS.1.3.C13</x:v>
      </x:c>
      <x:c r="G467" s="14" t="str">
        <x:f>'Data &amp; Reporting'!F467</x:f>
        <x:v>    Document clear summary explaining how the data connects to the potential topic</x:v>
      </x:c>
      <x:c r="H467" s="2" t="str">
        <x:f>IF('Data &amp; Reporting'!G467="","",'Data &amp; Reporting'!G467)</x:f>
      </x:c>
      <x:c r="I467" s="12" t="str">
        <x:f>IF('Data &amp; Reporting'!H467="","",'Data &amp; Reporting'!H467)</x:f>
      </x:c>
      <x:c r="J467" s="12" t="str">
        <x:f>IF('Data &amp; Reporting'!I467="","",'Data &amp; Reporting'!I467)</x:f>
      </x:c>
      <x:c r="K467" s="12" t="str">
        <x:f>IF('Data &amp; Reporting'!J467="","",'Data &amp; Reporting'!J467)</x:f>
      </x:c>
      <x:c r="L467" s="2" t="str">
        <x:f>IF('Data &amp; Reporting'!K467="","",'Data &amp; Reporting'!K467)</x:f>
      </x:c>
      <x:c r="M467" s="2" t="n">
        <x:f>'Data &amp; Reporting'!Q467</x:f>
        <x:v>0</x:v>
      </x:c>
      <x:c r="N467" s="2" t="str">
        <x:f>'Data &amp; Reporting'!L467</x:f>
        <x:v>Open check</x:v>
      </x:c>
      <x:c r="O467" s="2" t="str">
        <x:f>'Data &amp; Reporting'!N467</x:f>
        <x:v>DR.CS.1.3.C13.2026.CY3</x:v>
      </x:c>
      <x:c r="P467" s="2" t="n">
        <x:f>'Data &amp; Reporting'!O467</x:f>
        <x:v>0</x:v>
      </x:c>
      <x:c r="Q467" s="2" t="n">
        <x:f>SUBTOTAL(103,O467)</x:f>
        <x:v>1</x:v>
      </x:c>
      <x:c r="R467" s="2" t="n">
        <x:f>IF(AND(M467=1,OR(Dashboard!$B$7="All",Dashboard!$B$7='Cycles &amp; Guide'!$C$5),OR(Dashboard!$D$7="All",Dashboard!$D$7=B467),OR(Dashboard!$F$7="All",Dashboard!$F$7=C467),OR(Dashboard!$H$7="All",Dashboard!$H$7=D467),OR(Dashboard!$K$7="All",Dashboard!$K$7=E467)),1,0)</x:f>
        <x:v>0</x:v>
      </x:c>
      <x:c r="S467" s="2" t="n">
        <x:f>IF(R467=1,SUM($R$10:R467),0)</x:f>
        <x:v>0</x:v>
      </x:c>
      <x:c r="T467" s="2" t="str">
        <x:v>Data &amp; Reporting</x:v>
      </x:c>
      <x:c r="U467" s="2" t="n">
        <x:v>467</x:v>
      </x:c>
      <x:c r="V467" s="2" t="n">
        <x:f>IF(AND(M467=1,P467=0,ISNUMBER(J467),J467&lt;TODAY()),1,0)</x:f>
        <x:v>0</x:v>
      </x:c>
      <x:c r="W467" s="2" t="str">
        <x:f>'Data &amp; Reporting'!M467</x:f>
        <x:v>Checklist</x:v>
      </x:c>
    </x:row>
    <x:row r="468" ht="40" customHeight="1">
      <x:c r="A468" s="3" t="str">
        <x:f>HYPERLINK("#'Data &amp; Reporting'!A468","Open")</x:f>
        <x:v>Open</x:v>
      </x:c>
      <x:c r="B468" s="2" t="str">
        <x:f>'Data &amp; Reporting'!B468</x:f>
        <x:v>Cycle 3</x:v>
      </x:c>
      <x:c r="C468" s="2" t="str">
        <x:f>'Data &amp; Reporting'!C468</x:f>
        <x:v>Phase 2</x:v>
      </x:c>
      <x:c r="D468" s="2" t="str">
        <x:f>'Data &amp; Reporting'!D468</x:f>
        <x:v>CSBBO - Customer Service</x:v>
      </x:c>
      <x:c r="E468" s="2" t="str">
        <x:v>Data &amp; Reporting</x:v>
      </x:c>
      <x:c r="F468" s="56" t="str">
        <x:f>'Data &amp; Reporting'!E468</x:f>
        <x:v>DR.CS.2.1</x:v>
      </x:c>
      <x:c r="G468" s="14" t="str">
        <x:f>'Data &amp; Reporting'!F468</x:f>
        <x:v>Ensure data is clean, structured, and usable without manipulation needed</x:v>
      </x:c>
      <x:c r="H468" s="2" t="str">
        <x:f>IF('Data &amp; Reporting'!G468="","",'Data &amp; Reporting'!G468)</x:f>
      </x:c>
      <x:c r="I468" s="12" t="str">
        <x:f>IF('Data &amp; Reporting'!H468="","",'Data &amp; Reporting'!H468)</x:f>
      </x:c>
      <x:c r="J468" s="12" t="n">
        <x:f>IF('Data &amp; Reporting'!I468="","",'Data &amp; Reporting'!I468)</x:f>
        <x:v>46295</x:v>
      </x:c>
      <x:c r="K468" s="12" t="str">
        <x:f>IF('Data &amp; Reporting'!J468="","",'Data &amp; Reporting'!J468)</x:f>
      </x:c>
      <x:c r="L468" s="2" t="str">
        <x:f>IF('Data &amp; Reporting'!K468="","",'Data &amp; Reporting'!K468)</x:f>
      </x:c>
      <x:c r="M468" s="2" t="n">
        <x:f>'Data &amp; Reporting'!Q468</x:f>
        <x:v>1</x:v>
      </x:c>
      <x:c r="N468" s="2" t="str">
        <x:f>'Data &amp; Reporting'!L468</x:f>
        <x:v>Not started</x:v>
      </x:c>
      <x:c r="O468" s="2" t="str">
        <x:f>'Data &amp; Reporting'!N468</x:f>
        <x:v>DR.CS.2.1.2026.CY3</x:v>
      </x:c>
      <x:c r="P468" s="2" t="n">
        <x:f>'Data &amp; Reporting'!O468</x:f>
        <x:v>0</x:v>
      </x:c>
      <x:c r="Q468" s="2" t="n">
        <x:f>SUBTOTAL(103,O468)</x:f>
        <x:v>1</x:v>
      </x:c>
      <x:c r="R468" s="2" t="n">
        <x:f>IF(AND(M468=1,OR(Dashboard!$B$7="All",Dashboard!$B$7='Cycles &amp; Guide'!$C$5),OR(Dashboard!$D$7="All",Dashboard!$D$7=B468),OR(Dashboard!$F$7="All",Dashboard!$F$7=C468),OR(Dashboard!$H$7="All",Dashboard!$H$7=D468),OR(Dashboard!$K$7="All",Dashboard!$K$7=E468)),1,0)</x:f>
        <x:v>1</x:v>
      </x:c>
      <x:c r="S468" s="2" t="n">
        <x:f>IF(R468=1,SUM($R$10:R468),0)</x:f>
        <x:v>225</x:v>
      </x:c>
      <x:c r="T468" s="2" t="str">
        <x:v>Data &amp; Reporting</x:v>
      </x:c>
      <x:c r="U468" s="2" t="n">
        <x:v>468</x:v>
      </x:c>
      <x:c r="V468" s="2" t="n">
        <x:f>IF(AND(M468=1,P468=0,ISNUMBER(J468),J468&lt;TODAY()),1,0)</x:f>
        <x:v>0</x:v>
      </x:c>
      <x:c r="W468" s="2" t="str">
        <x:f>'Data &amp; Reporting'!M468</x:f>
        <x:v>Task</x:v>
      </x:c>
    </x:row>
    <x:row r="469" ht="40" customHeight="1">
      <x:c r="A469" s="3" t="str">
        <x:f>HYPERLINK("#'Data &amp; Reporting'!A469","Open")</x:f>
        <x:v>Open</x:v>
      </x:c>
      <x:c r="B469" s="2" t="str">
        <x:f>'Data &amp; Reporting'!B469</x:f>
        <x:v>Cycle 3</x:v>
      </x:c>
      <x:c r="C469" s="2" t="str">
        <x:f>'Data &amp; Reporting'!C469</x:f>
        <x:v>Phase 2</x:v>
      </x:c>
      <x:c r="D469" s="2" t="str">
        <x:f>'Data &amp; Reporting'!D469</x:f>
        <x:v>CSBBO - Customer Service</x:v>
      </x:c>
      <x:c r="E469" s="2" t="str">
        <x:v>Data &amp; Reporting</x:v>
      </x:c>
      <x:c r="F469" s="56" t="str">
        <x:f>'Data &amp; Reporting'!E469</x:f>
        <x:v>DR.CS.2.2</x:v>
      </x:c>
      <x:c r="G469" s="14" t="str">
        <x:f>'Data &amp; Reporting'!F469</x:f>
        <x:v>Clearly document rationale for each topic recommendation within the SharePoint list</x:v>
      </x:c>
      <x:c r="H469" s="2" t="str">
        <x:f>IF('Data &amp; Reporting'!G469="","",'Data &amp; Reporting'!G469)</x:f>
      </x:c>
      <x:c r="I469" s="12" t="str">
        <x:f>IF('Data &amp; Reporting'!H469="","",'Data &amp; Reporting'!H469)</x:f>
      </x:c>
      <x:c r="J469" s="12" t="n">
        <x:f>IF('Data &amp; Reporting'!I469="","",'Data &amp; Reporting'!I469)</x:f>
        <x:v>46295</x:v>
      </x:c>
      <x:c r="K469" s="12" t="str">
        <x:f>IF('Data &amp; Reporting'!J469="","",'Data &amp; Reporting'!J469)</x:f>
      </x:c>
      <x:c r="L469" s="2" t="str">
        <x:f>IF('Data &amp; Reporting'!K469="","",'Data &amp; Reporting'!K469)</x:f>
      </x:c>
      <x:c r="M469" s="2" t="n">
        <x:f>'Data &amp; Reporting'!Q469</x:f>
        <x:v>1</x:v>
      </x:c>
      <x:c r="N469" s="2" t="str">
        <x:f>'Data &amp; Reporting'!L469</x:f>
        <x:v>Not started</x:v>
      </x:c>
      <x:c r="O469" s="2" t="str">
        <x:f>'Data &amp; Reporting'!N469</x:f>
        <x:v>DR.CS.2.2.2026.CY3</x:v>
      </x:c>
      <x:c r="P469" s="2" t="n">
        <x:f>'Data &amp; Reporting'!O469</x:f>
        <x:v>0</x:v>
      </x:c>
      <x:c r="Q469" s="2" t="n">
        <x:f>SUBTOTAL(103,O469)</x:f>
        <x:v>1</x:v>
      </x:c>
      <x:c r="R469" s="2" t="n">
        <x:f>IF(AND(M469=1,OR(Dashboard!$B$7="All",Dashboard!$B$7='Cycles &amp; Guide'!$C$5),OR(Dashboard!$D$7="All",Dashboard!$D$7=B469),OR(Dashboard!$F$7="All",Dashboard!$F$7=C469),OR(Dashboard!$H$7="All",Dashboard!$H$7=D469),OR(Dashboard!$K$7="All",Dashboard!$K$7=E469)),1,0)</x:f>
        <x:v>1</x:v>
      </x:c>
      <x:c r="S469" s="2" t="n">
        <x:f>IF(R469=1,SUM($R$10:R469),0)</x:f>
        <x:v>226</x:v>
      </x:c>
      <x:c r="T469" s="2" t="str">
        <x:v>Data &amp; Reporting</x:v>
      </x:c>
      <x:c r="U469" s="2" t="n">
        <x:v>469</x:v>
      </x:c>
      <x:c r="V469" s="2" t="n">
        <x:f>IF(AND(M469=1,P469=0,ISNUMBER(J469),J469&lt;TODAY()),1,0)</x:f>
        <x:v>0</x:v>
      </x:c>
      <x:c r="W469" s="2" t="str">
        <x:f>'Data &amp; Reporting'!M469</x:f>
        <x:v>Task</x:v>
      </x:c>
    </x:row>
    <x:row r="470" ht="40" customHeight="1">
      <x:c r="A470" s="3" t="str">
        <x:f>HYPERLINK("#'Data &amp; Reporting'!A470","Open")</x:f>
        <x:v>Open</x:v>
      </x:c>
      <x:c r="B470" s="2" t="str">
        <x:f>'Data &amp; Reporting'!B470</x:f>
        <x:v>Cycle 3</x:v>
      </x:c>
      <x:c r="C470" s="2" t="str">
        <x:f>'Data &amp; Reporting'!C470</x:f>
        <x:v>Phase 2</x:v>
      </x:c>
      <x:c r="D470" s="2" t="str">
        <x:f>'Data &amp; Reporting'!D470</x:f>
        <x:v>CSBBO - Customer Service</x:v>
      </x:c>
      <x:c r="E470" s="2" t="str">
        <x:v>Data &amp; Reporting</x:v>
      </x:c>
      <x:c r="F470" s="56" t="str">
        <x:f>'Data &amp; Reporting'!E470</x:f>
        <x:v>DR.CS.2.3</x:v>
      </x:c>
      <x:c r="G470" s="14" t="str">
        <x:f>'Data &amp; Reporting'!F470</x:f>
        <x:v>Verify topic is eligible for RCA and does not conflict with Attorney Client Privilege</x:v>
      </x:c>
      <x:c r="H470" s="2" t="str">
        <x:f>IF('Data &amp; Reporting'!G470="","",'Data &amp; Reporting'!G470)</x:f>
      </x:c>
      <x:c r="I470" s="12" t="str">
        <x:f>IF('Data &amp; Reporting'!H470="","",'Data &amp; Reporting'!H470)</x:f>
      </x:c>
      <x:c r="J470" s="12" t="n">
        <x:f>IF('Data &amp; Reporting'!I470="","",'Data &amp; Reporting'!I470)</x:f>
        <x:v>46295</x:v>
      </x:c>
      <x:c r="K470" s="12" t="str">
        <x:f>IF('Data &amp; Reporting'!J470="","",'Data &amp; Reporting'!J470)</x:f>
      </x:c>
      <x:c r="L470" s="2" t="str">
        <x:f>IF('Data &amp; Reporting'!K470="","",'Data &amp; Reporting'!K470)</x:f>
      </x:c>
      <x:c r="M470" s="2" t="n">
        <x:f>'Data &amp; Reporting'!Q470</x:f>
        <x:v>1</x:v>
      </x:c>
      <x:c r="N470" s="2" t="str">
        <x:f>'Data &amp; Reporting'!L470</x:f>
        <x:v>Not started</x:v>
      </x:c>
      <x:c r="O470" s="2" t="str">
        <x:f>'Data &amp; Reporting'!N470</x:f>
        <x:v>DR.CS.2.3.2026.CY3</x:v>
      </x:c>
      <x:c r="P470" s="2" t="n">
        <x:f>'Data &amp; Reporting'!O470</x:f>
        <x:v>0</x:v>
      </x:c>
      <x:c r="Q470" s="2" t="n">
        <x:f>SUBTOTAL(103,O470)</x:f>
        <x:v>1</x:v>
      </x:c>
      <x:c r="R470" s="2" t="n">
        <x:f>IF(AND(M470=1,OR(Dashboard!$B$7="All",Dashboard!$B$7='Cycles &amp; Guide'!$C$5),OR(Dashboard!$D$7="All",Dashboard!$D$7=B470),OR(Dashboard!$F$7="All",Dashboard!$F$7=C470),OR(Dashboard!$H$7="All",Dashboard!$H$7=D470),OR(Dashboard!$K$7="All",Dashboard!$K$7=E470)),1,0)</x:f>
        <x:v>1</x:v>
      </x:c>
      <x:c r="S470" s="2" t="n">
        <x:f>IF(R470=1,SUM($R$10:R470),0)</x:f>
        <x:v>227</x:v>
      </x:c>
      <x:c r="T470" s="2" t="str">
        <x:v>Data &amp; Reporting</x:v>
      </x:c>
      <x:c r="U470" s="2" t="n">
        <x:v>470</x:v>
      </x:c>
      <x:c r="V470" s="2" t="n">
        <x:f>IF(AND(M470=1,P470=0,ISNUMBER(J470),J470&lt;TODAY()),1,0)</x:f>
        <x:v>0</x:v>
      </x:c>
      <x:c r="W470" s="2" t="str">
        <x:f>'Data &amp; Reporting'!M470</x:f>
        <x:v>Task</x:v>
      </x:c>
    </x:row>
    <x:row r="471" ht="40" customHeight="1">
      <x:c r="A471" s="3" t="str">
        <x:f>HYPERLINK("#'Data &amp; Reporting'!A471","Open")</x:f>
        <x:v>Open</x:v>
      </x:c>
      <x:c r="B471" s="2" t="str">
        <x:f>'Data &amp; Reporting'!B471</x:f>
        <x:v>Cycle 3</x:v>
      </x:c>
      <x:c r="C471" s="2" t="str">
        <x:f>'Data &amp; Reporting'!C471</x:f>
        <x:v>Phase 2</x:v>
      </x:c>
      <x:c r="D471" s="2" t="str">
        <x:f>'Data &amp; Reporting'!D471</x:f>
        <x:v>CSBBO - Customer Service</x:v>
      </x:c>
      <x:c r="E471" s="2" t="str">
        <x:v>Data &amp; Reporting</x:v>
      </x:c>
      <x:c r="F471" s="56" t="str">
        <x:f>'Data &amp; Reporting'!E471</x:f>
        <x:v>DR.CS.2.4</x:v>
      </x:c>
      <x:c r="G471" s="14" t="str">
        <x:f>'Data &amp; Reporting'!F471</x:f>
        <x:v>Ensure data is free of errors and anomalies prior to hand-off to Research</x:v>
      </x:c>
      <x:c r="H471" s="2" t="str">
        <x:f>IF('Data &amp; Reporting'!G471="","",'Data &amp; Reporting'!G471)</x:f>
      </x:c>
      <x:c r="I471" s="12" t="str">
        <x:f>IF('Data &amp; Reporting'!H471="","",'Data &amp; Reporting'!H471)</x:f>
      </x:c>
      <x:c r="J471" s="12" t="n">
        <x:f>IF('Data &amp; Reporting'!I471="","",'Data &amp; Reporting'!I471)</x:f>
        <x:v>46295</x:v>
      </x:c>
      <x:c r="K471" s="12" t="str">
        <x:f>IF('Data &amp; Reporting'!J471="","",'Data &amp; Reporting'!J471)</x:f>
      </x:c>
      <x:c r="L471" s="2" t="str">
        <x:f>IF('Data &amp; Reporting'!K471="","",'Data &amp; Reporting'!K471)</x:f>
      </x:c>
      <x:c r="M471" s="2" t="n">
        <x:f>'Data &amp; Reporting'!Q471</x:f>
        <x:v>1</x:v>
      </x:c>
      <x:c r="N471" s="2" t="str">
        <x:f>'Data &amp; Reporting'!L471</x:f>
        <x:v>Not started</x:v>
      </x:c>
      <x:c r="O471" s="2" t="str">
        <x:f>'Data &amp; Reporting'!N471</x:f>
        <x:v>DR.CS.2.4.2026.CY3</x:v>
      </x:c>
      <x:c r="P471" s="2" t="n">
        <x:f>'Data &amp; Reporting'!O471</x:f>
        <x:v>0</x:v>
      </x:c>
      <x:c r="Q471" s="2" t="n">
        <x:f>SUBTOTAL(103,O471)</x:f>
        <x:v>1</x:v>
      </x:c>
      <x:c r="R471" s="2" t="n">
        <x:f>IF(AND(M471=1,OR(Dashboard!$B$7="All",Dashboard!$B$7='Cycles &amp; Guide'!$C$5),OR(Dashboard!$D$7="All",Dashboard!$D$7=B471),OR(Dashboard!$F$7="All",Dashboard!$F$7=C471),OR(Dashboard!$H$7="All",Dashboard!$H$7=D471),OR(Dashboard!$K$7="All",Dashboard!$K$7=E471)),1,0)</x:f>
        <x:v>1</x:v>
      </x:c>
      <x:c r="S471" s="2" t="n">
        <x:f>IF(R471=1,SUM($R$10:R471),0)</x:f>
        <x:v>228</x:v>
      </x:c>
      <x:c r="T471" s="2" t="str">
        <x:v>Data &amp; Reporting</x:v>
      </x:c>
      <x:c r="U471" s="2" t="n">
        <x:v>471</x:v>
      </x:c>
      <x:c r="V471" s="2" t="n">
        <x:f>IF(AND(M471=1,P471=0,ISNUMBER(J471),J471&lt;TODAY()),1,0)</x:f>
        <x:v>0</x:v>
      </x:c>
      <x:c r="W471" s="2" t="str">
        <x:f>'Data &amp; Reporting'!M471</x:f>
        <x:v>Task</x:v>
      </x:c>
    </x:row>
    <x:row r="472" ht="40" customHeight="1">
      <x:c r="A472" s="3" t="str">
        <x:f>HYPERLINK("#'Data &amp; Reporting'!A472","Open")</x:f>
        <x:v>Open</x:v>
      </x:c>
      <x:c r="B472" s="2" t="str">
        <x:f>'Data &amp; Reporting'!B472</x:f>
        <x:v>Cycle 3</x:v>
      </x:c>
      <x:c r="C472" s="2" t="str">
        <x:f>'Data &amp; Reporting'!C472</x:f>
        <x:v>Phase 2</x:v>
      </x:c>
      <x:c r="D472" s="2" t="str">
        <x:f>'Data &amp; Reporting'!D472</x:f>
        <x:v>CSBBO - Customer Service</x:v>
      </x:c>
      <x:c r="E472" s="2" t="str">
        <x:v>Data &amp; Reporting</x:v>
      </x:c>
      <x:c r="F472" s="56" t="str">
        <x:f>'Data &amp; Reporting'!E472</x:f>
        <x:v>DR.CS.2.5</x:v>
      </x:c>
      <x:c r="G472" s="14" t="str">
        <x:f>'Data &amp; Reporting'!F472</x:f>
        <x:v>Ensure topic is not a duplicate from a previous Cycle</x:v>
      </x:c>
      <x:c r="H472" s="2" t="str">
        <x:f>IF('Data &amp; Reporting'!G472="","",'Data &amp; Reporting'!G472)</x:f>
      </x:c>
      <x:c r="I472" s="12" t="str">
        <x:f>IF('Data &amp; Reporting'!H472="","",'Data &amp; Reporting'!H472)</x:f>
      </x:c>
      <x:c r="J472" s="12" t="n">
        <x:f>IF('Data &amp; Reporting'!I472="","",'Data &amp; Reporting'!I472)</x:f>
        <x:v>46295</x:v>
      </x:c>
      <x:c r="K472" s="12" t="str">
        <x:f>IF('Data &amp; Reporting'!J472="","",'Data &amp; Reporting'!J472)</x:f>
      </x:c>
      <x:c r="L472" s="2" t="str">
        <x:f>IF('Data &amp; Reporting'!K472="","",'Data &amp; Reporting'!K472)</x:f>
      </x:c>
      <x:c r="M472" s="2" t="n">
        <x:f>'Data &amp; Reporting'!Q472</x:f>
        <x:v>1</x:v>
      </x:c>
      <x:c r="N472" s="2" t="str">
        <x:f>'Data &amp; Reporting'!L472</x:f>
        <x:v>Not started</x:v>
      </x:c>
      <x:c r="O472" s="2" t="str">
        <x:f>'Data &amp; Reporting'!N472</x:f>
        <x:v>DR.CS.2.5.2026.CY3</x:v>
      </x:c>
      <x:c r="P472" s="2" t="n">
        <x:f>'Data &amp; Reporting'!O472</x:f>
        <x:v>0</x:v>
      </x:c>
      <x:c r="Q472" s="2" t="n">
        <x:f>SUBTOTAL(103,O472)</x:f>
        <x:v>1</x:v>
      </x:c>
      <x:c r="R472" s="2" t="n">
        <x:f>IF(AND(M472=1,OR(Dashboard!$B$7="All",Dashboard!$B$7='Cycles &amp; Guide'!$C$5),OR(Dashboard!$D$7="All",Dashboard!$D$7=B472),OR(Dashboard!$F$7="All",Dashboard!$F$7=C472),OR(Dashboard!$H$7="All",Dashboard!$H$7=D472),OR(Dashboard!$K$7="All",Dashboard!$K$7=E472)),1,0)</x:f>
        <x:v>1</x:v>
      </x:c>
      <x:c r="S472" s="2" t="n">
        <x:f>IF(R472=1,SUM($R$10:R472),0)</x:f>
        <x:v>229</x:v>
      </x:c>
      <x:c r="T472" s="2" t="str">
        <x:v>Data &amp; Reporting</x:v>
      </x:c>
      <x:c r="U472" s="2" t="n">
        <x:v>472</x:v>
      </x:c>
      <x:c r="V472" s="2" t="n">
        <x:f>IF(AND(M472=1,P472=0,ISNUMBER(J472),J472&lt;TODAY()),1,0)</x:f>
        <x:v>0</x:v>
      </x:c>
      <x:c r="W472" s="2" t="str">
        <x:f>'Data &amp; Reporting'!M472</x:f>
        <x:v>Task</x:v>
      </x:c>
    </x:row>
    <x:row r="473" ht="40" customHeight="1">
      <x:c r="A473" s="3" t="str">
        <x:f>HYPERLINK("#'Data &amp; Reporting'!A473","Open")</x:f>
        <x:v>Open</x:v>
      </x:c>
      <x:c r="B473" s="2" t="str">
        <x:f>'Data &amp; Reporting'!B473</x:f>
        <x:v>Cycle 3</x:v>
      </x:c>
      <x:c r="C473" s="2" t="str">
        <x:f>'Data &amp; Reporting'!C473</x:f>
        <x:v>Phase 2</x:v>
      </x:c>
      <x:c r="D473" s="2" t="str">
        <x:f>'Data &amp; Reporting'!D473</x:f>
        <x:v>CSBBO - Customer Service</x:v>
      </x:c>
      <x:c r="E473" s="2" t="str">
        <x:v>Data &amp; Reporting</x:v>
      </x:c>
      <x:c r="F473" s="56" t="str">
        <x:f>'Data &amp; Reporting'!E473</x:f>
        <x:v>DR.CS.2.6</x:v>
      </x:c>
      <x:c r="G473" s="14" t="str">
        <x:f>'Data &amp; Reporting'!F473</x:f>
        <x:v>Document clear distinctions between facts, assumptions, and hypotheses within the data package</x:v>
      </x:c>
      <x:c r="H473" s="2" t="str">
        <x:f>IF('Data &amp; Reporting'!G473="","",'Data &amp; Reporting'!G473)</x:f>
      </x:c>
      <x:c r="I473" s="12" t="str">
        <x:f>IF('Data &amp; Reporting'!H473="","",'Data &amp; Reporting'!H473)</x:f>
      </x:c>
      <x:c r="J473" s="12" t="n">
        <x:f>IF('Data &amp; Reporting'!I473="","",'Data &amp; Reporting'!I473)</x:f>
        <x:v>46295</x:v>
      </x:c>
      <x:c r="K473" s="12" t="str">
        <x:f>IF('Data &amp; Reporting'!J473="","",'Data &amp; Reporting'!J473)</x:f>
      </x:c>
      <x:c r="L473" s="2" t="str">
        <x:f>IF('Data &amp; Reporting'!K473="","",'Data &amp; Reporting'!K473)</x:f>
      </x:c>
      <x:c r="M473" s="2" t="n">
        <x:f>'Data &amp; Reporting'!Q473</x:f>
        <x:v>1</x:v>
      </x:c>
      <x:c r="N473" s="2" t="str">
        <x:f>'Data &amp; Reporting'!L473</x:f>
        <x:v>Not started</x:v>
      </x:c>
      <x:c r="O473" s="2" t="str">
        <x:f>'Data &amp; Reporting'!N473</x:f>
        <x:v>DR.CS.2.6.2026.CY3</x:v>
      </x:c>
      <x:c r="P473" s="2" t="n">
        <x:f>'Data &amp; Reporting'!O473</x:f>
        <x:v>0</x:v>
      </x:c>
      <x:c r="Q473" s="2" t="n">
        <x:f>SUBTOTAL(103,O473)</x:f>
        <x:v>1</x:v>
      </x:c>
      <x:c r="R473" s="2" t="n">
        <x:f>IF(AND(M473=1,OR(Dashboard!$B$7="All",Dashboard!$B$7='Cycles &amp; Guide'!$C$5),OR(Dashboard!$D$7="All",Dashboard!$D$7=B473),OR(Dashboard!$F$7="All",Dashboard!$F$7=C473),OR(Dashboard!$H$7="All",Dashboard!$H$7=D473),OR(Dashboard!$K$7="All",Dashboard!$K$7=E473)),1,0)</x:f>
        <x:v>1</x:v>
      </x:c>
      <x:c r="S473" s="2" t="n">
        <x:f>IF(R473=1,SUM($R$10:R473),0)</x:f>
        <x:v>230</x:v>
      </x:c>
      <x:c r="T473" s="2" t="str">
        <x:v>Data &amp; Reporting</x:v>
      </x:c>
      <x:c r="U473" s="2" t="n">
        <x:v>473</x:v>
      </x:c>
      <x:c r="V473" s="2" t="n">
        <x:f>IF(AND(M473=1,P473=0,ISNUMBER(J473),J473&lt;TODAY()),1,0)</x:f>
        <x:v>0</x:v>
      </x:c>
      <x:c r="W473" s="2" t="str">
        <x:f>'Data &amp; Reporting'!M473</x:f>
        <x:v>Task</x:v>
      </x:c>
    </x:row>
    <x:row r="474" ht="40" customHeight="1">
      <x:c r="A474" s="3" t="str">
        <x:f>HYPERLINK("#'Data &amp; Reporting'!A474","Open")</x:f>
        <x:v>Open</x:v>
      </x:c>
      <x:c r="B474" s="2" t="str">
        <x:f>'Data &amp; Reporting'!B474</x:f>
        <x:v>Cycle 3</x:v>
      </x:c>
      <x:c r="C474" s="2" t="str">
        <x:f>'Data &amp; Reporting'!C474</x:f>
        <x:v>Phase 3</x:v>
      </x:c>
      <x:c r="D474" s="2" t="str">
        <x:f>'Data &amp; Reporting'!D474</x:f>
        <x:v>CSBBO - Customer Service</x:v>
      </x:c>
      <x:c r="E474" s="2" t="str">
        <x:v>Data &amp; Reporting</x:v>
      </x:c>
      <x:c r="F474" s="56" t="str">
        <x:f>'Data &amp; Reporting'!E474</x:f>
        <x:v>DR.CS.3.1</x:v>
      </x:c>
      <x:c r="G474" s="14" t="str">
        <x:f>'Data &amp; Reporting'!F474</x:f>
        <x:v>Clearly document rationale for each topic recommendation within the SharePoint list item</x:v>
      </x:c>
      <x:c r="H474" s="2" t="str">
        <x:f>IF('Data &amp; Reporting'!G474="","",'Data &amp; Reporting'!G474)</x:f>
      </x:c>
      <x:c r="I474" s="12" t="str">
        <x:f>IF('Data &amp; Reporting'!H474="","",'Data &amp; Reporting'!H474)</x:f>
      </x:c>
      <x:c r="J474" s="12" t="n">
        <x:f>IF('Data &amp; Reporting'!I474="","",'Data &amp; Reporting'!I474)</x:f>
        <x:v>46295</x:v>
      </x:c>
      <x:c r="K474" s="12" t="str">
        <x:f>IF('Data &amp; Reporting'!J474="","",'Data &amp; Reporting'!J474)</x:f>
      </x:c>
      <x:c r="L474" s="2" t="str">
        <x:f>IF('Data &amp; Reporting'!K474="","",'Data &amp; Reporting'!K474)</x:f>
      </x:c>
      <x:c r="M474" s="2" t="n">
        <x:f>'Data &amp; Reporting'!Q474</x:f>
        <x:v>1</x:v>
      </x:c>
      <x:c r="N474" s="2" t="str">
        <x:f>'Data &amp; Reporting'!L474</x:f>
        <x:v>Not started</x:v>
      </x:c>
      <x:c r="O474" s="2" t="str">
        <x:f>'Data &amp; Reporting'!N474</x:f>
        <x:v>DR.CS.3.1.2026.CY3</x:v>
      </x:c>
      <x:c r="P474" s="2" t="n">
        <x:f>'Data &amp; Reporting'!O474</x:f>
        <x:v>0</x:v>
      </x:c>
      <x:c r="Q474" s="2" t="n">
        <x:f>SUBTOTAL(103,O474)</x:f>
        <x:v>1</x:v>
      </x:c>
      <x:c r="R474" s="2" t="n">
        <x:f>IF(AND(M474=1,OR(Dashboard!$B$7="All",Dashboard!$B$7='Cycles &amp; Guide'!$C$5),OR(Dashboard!$D$7="All",Dashboard!$D$7=B474),OR(Dashboard!$F$7="All",Dashboard!$F$7=C474),OR(Dashboard!$H$7="All",Dashboard!$H$7=D474),OR(Dashboard!$K$7="All",Dashboard!$K$7=E474)),1,0)</x:f>
        <x:v>1</x:v>
      </x:c>
      <x:c r="S474" s="2" t="n">
        <x:f>IF(R474=1,SUM($R$10:R474),0)</x:f>
        <x:v>231</x:v>
      </x:c>
      <x:c r="T474" s="2" t="str">
        <x:v>Data &amp; Reporting</x:v>
      </x:c>
      <x:c r="U474" s="2" t="n">
        <x:v>474</x:v>
      </x:c>
      <x:c r="V474" s="2" t="n">
        <x:f>IF(AND(M474=1,P474=0,ISNUMBER(J474),J474&lt;TODAY()),1,0)</x:f>
        <x:v>0</x:v>
      </x:c>
      <x:c r="W474" s="2" t="str">
        <x:f>'Data &amp; Reporting'!M474</x:f>
        <x:v>Task</x:v>
      </x:c>
    </x:row>
    <x:row r="475" ht="40" customHeight="1">
      <x:c r="A475" s="3" t="str">
        <x:f>HYPERLINK("#'Data &amp; Reporting'!A475","Open")</x:f>
        <x:v>Open</x:v>
      </x:c>
      <x:c r="B475" s="2" t="str">
        <x:f>'Data &amp; Reporting'!B475</x:f>
        <x:v>Cycle 3</x:v>
      </x:c>
      <x:c r="C475" s="2" t="str">
        <x:f>'Data &amp; Reporting'!C475</x:f>
        <x:v>Phase 3</x:v>
      </x:c>
      <x:c r="D475" s="2" t="str">
        <x:f>'Data &amp; Reporting'!D475</x:f>
        <x:v>CSBBO - Customer Service</x:v>
      </x:c>
      <x:c r="E475" s="2" t="str">
        <x:v>Data &amp; Reporting</x:v>
      </x:c>
      <x:c r="F475" s="56" t="str">
        <x:f>'Data &amp; Reporting'!E475</x:f>
        <x:v>DR.CS.3.2</x:v>
      </x:c>
      <x:c r="G475" s="14" t="str">
        <x:f>'Data &amp; Reporting'!F475</x:f>
        <x:v>Attach the data package for each topic recommendation within the SharePoint list item</x:v>
      </x:c>
      <x:c r="H475" s="2" t="str">
        <x:f>IF('Data &amp; Reporting'!G475="","",'Data &amp; Reporting'!G475)</x:f>
      </x:c>
      <x:c r="I475" s="12" t="str">
        <x:f>IF('Data &amp; Reporting'!H475="","",'Data &amp; Reporting'!H475)</x:f>
      </x:c>
      <x:c r="J475" s="12" t="n">
        <x:f>IF('Data &amp; Reporting'!I475="","",'Data &amp; Reporting'!I475)</x:f>
        <x:v>46295</x:v>
      </x:c>
      <x:c r="K475" s="12" t="str">
        <x:f>IF('Data &amp; Reporting'!J475="","",'Data &amp; Reporting'!J475)</x:f>
      </x:c>
      <x:c r="L475" s="2" t="str">
        <x:f>IF('Data &amp; Reporting'!K475="","",'Data &amp; Reporting'!K475)</x:f>
      </x:c>
      <x:c r="M475" s="2" t="n">
        <x:f>'Data &amp; Reporting'!Q475</x:f>
        <x:v>1</x:v>
      </x:c>
      <x:c r="N475" s="2" t="str">
        <x:f>'Data &amp; Reporting'!L475</x:f>
        <x:v>Not started</x:v>
      </x:c>
      <x:c r="O475" s="2" t="str">
        <x:f>'Data &amp; Reporting'!N475</x:f>
        <x:v>DR.CS.3.2.2026.CY3</x:v>
      </x:c>
      <x:c r="P475" s="2" t="n">
        <x:f>'Data &amp; Reporting'!O475</x:f>
        <x:v>0</x:v>
      </x:c>
      <x:c r="Q475" s="2" t="n">
        <x:f>SUBTOTAL(103,O475)</x:f>
        <x:v>1</x:v>
      </x:c>
      <x:c r="R475" s="2" t="n">
        <x:f>IF(AND(M475=1,OR(Dashboard!$B$7="All",Dashboard!$B$7='Cycles &amp; Guide'!$C$5),OR(Dashboard!$D$7="All",Dashboard!$D$7=B475),OR(Dashboard!$F$7="All",Dashboard!$F$7=C475),OR(Dashboard!$H$7="All",Dashboard!$H$7=D475),OR(Dashboard!$K$7="All",Dashboard!$K$7=E475)),1,0)</x:f>
        <x:v>1</x:v>
      </x:c>
      <x:c r="S475" s="2" t="n">
        <x:f>IF(R475=1,SUM($R$10:R475),0)</x:f>
        <x:v>232</x:v>
      </x:c>
      <x:c r="T475" s="2" t="str">
        <x:v>Data &amp; Reporting</x:v>
      </x:c>
      <x:c r="U475" s="2" t="n">
        <x:v>475</x:v>
      </x:c>
      <x:c r="V475" s="2" t="n">
        <x:f>IF(AND(M475=1,P475=0,ISNUMBER(J475),J475&lt;TODAY()),1,0)</x:f>
        <x:v>0</x:v>
      </x:c>
      <x:c r="W475" s="2" t="str">
        <x:f>'Data &amp; Reporting'!M475</x:f>
        <x:v>Task</x:v>
      </x:c>
    </x:row>
    <x:row r="476" ht="40" customHeight="1">
      <x:c r="A476" s="3" t="str">
        <x:f>HYPERLINK("#'Data &amp; Reporting'!A476","Open")</x:f>
        <x:v>Open</x:v>
      </x:c>
      <x:c r="B476" s="2" t="str">
        <x:f>'Data &amp; Reporting'!B476</x:f>
        <x:v>Cycle 3</x:v>
      </x:c>
      <x:c r="C476" s="2" t="str">
        <x:f>'Data &amp; Reporting'!C476</x:f>
        <x:v>Phase 3</x:v>
      </x:c>
      <x:c r="D476" s="2" t="str">
        <x:f>'Data &amp; Reporting'!D476</x:f>
        <x:v>CSBBO - Customer Service</x:v>
      </x:c>
      <x:c r="E476" s="2" t="str">
        <x:v>Data &amp; Reporting</x:v>
      </x:c>
      <x:c r="F476" s="56" t="str">
        <x:f>'Data &amp; Reporting'!E476</x:f>
        <x:v>DR.CS.3.3</x:v>
      </x:c>
      <x:c r="G476" s="14" t="str">
        <x:f>'Data &amp; Reporting'!F476</x:f>
        <x:v>Confirm data privileges have been granted, ensuring each pillar can access</x:v>
      </x:c>
      <x:c r="H476" s="2" t="str">
        <x:f>IF('Data &amp; Reporting'!G476="","",'Data &amp; Reporting'!G476)</x:f>
      </x:c>
      <x:c r="I476" s="12" t="str">
        <x:f>IF('Data &amp; Reporting'!H476="","",'Data &amp; Reporting'!H476)</x:f>
      </x:c>
      <x:c r="J476" s="12" t="n">
        <x:f>IF('Data &amp; Reporting'!I476="","",'Data &amp; Reporting'!I476)</x:f>
        <x:v>46295</x:v>
      </x:c>
      <x:c r="K476" s="12" t="str">
        <x:f>IF('Data &amp; Reporting'!J476="","",'Data &amp; Reporting'!J476)</x:f>
      </x:c>
      <x:c r="L476" s="2" t="str">
        <x:f>IF('Data &amp; Reporting'!K476="","",'Data &amp; Reporting'!K476)</x:f>
      </x:c>
      <x:c r="M476" s="2" t="n">
        <x:f>'Data &amp; Reporting'!Q476</x:f>
        <x:v>1</x:v>
      </x:c>
      <x:c r="N476" s="2" t="str">
        <x:f>'Data &amp; Reporting'!L476</x:f>
        <x:v>Not started</x:v>
      </x:c>
      <x:c r="O476" s="2" t="str">
        <x:f>'Data &amp; Reporting'!N476</x:f>
        <x:v>DR.CS.3.3.2026.CY3</x:v>
      </x:c>
      <x:c r="P476" s="2" t="n">
        <x:f>'Data &amp; Reporting'!O476</x:f>
        <x:v>0</x:v>
      </x:c>
      <x:c r="Q476" s="2" t="n">
        <x:f>SUBTOTAL(103,O476)</x:f>
        <x:v>1</x:v>
      </x:c>
      <x:c r="R476" s="2" t="n">
        <x:f>IF(AND(M476=1,OR(Dashboard!$B$7="All",Dashboard!$B$7='Cycles &amp; Guide'!$C$5),OR(Dashboard!$D$7="All",Dashboard!$D$7=B476),OR(Dashboard!$F$7="All",Dashboard!$F$7=C476),OR(Dashboard!$H$7="All",Dashboard!$H$7=D476),OR(Dashboard!$K$7="All",Dashboard!$K$7=E476)),1,0)</x:f>
        <x:v>1</x:v>
      </x:c>
      <x:c r="S476" s="2" t="n">
        <x:f>IF(R476=1,SUM($R$10:R476),0)</x:f>
        <x:v>233</x:v>
      </x:c>
      <x:c r="T476" s="2" t="str">
        <x:v>Data &amp; Reporting</x:v>
      </x:c>
      <x:c r="U476" s="2" t="n">
        <x:v>476</x:v>
      </x:c>
      <x:c r="V476" s="2" t="n">
        <x:f>IF(AND(M476=1,P476=0,ISNUMBER(J476),J476&lt;TODAY()),1,0)</x:f>
        <x:v>0</x:v>
      </x:c>
      <x:c r="W476" s="2" t="str">
        <x:f>'Data &amp; Reporting'!M476</x:f>
        <x:v>Task</x:v>
      </x:c>
    </x:row>
    <x:row r="477" ht="40" customHeight="1">
      <x:c r="A477" s="3" t="str">
        <x:f>HYPERLINK("#'Data &amp; Reporting'!A477","Open")</x:f>
        <x:v>Open</x:v>
      </x:c>
      <x:c r="B477" s="2" t="str">
        <x:f>'Data &amp; Reporting'!B477</x:f>
        <x:v>Cycle 3</x:v>
      </x:c>
      <x:c r="C477" s="2" t="str">
        <x:f>'Data &amp; Reporting'!C477</x:f>
        <x:v>Phase 3</x:v>
      </x:c>
      <x:c r="D477" s="2" t="str">
        <x:f>'Data &amp; Reporting'!D477</x:f>
        <x:v>CSBBO - Customer Service</x:v>
      </x:c>
      <x:c r="E477" s="2" t="str">
        <x:v>Data &amp; Reporting</x:v>
      </x:c>
      <x:c r="F477" s="56" t="str">
        <x:f>'Data &amp; Reporting'!E477</x:f>
        <x:v>DR.CS.3.4</x:v>
      </x:c>
      <x:c r="G477" s="14" t="str">
        <x:f>'Data &amp; Reporting'!F477</x:f>
        <x:v>Ensure Power Automate notifications were correctly triggered within Microsoft Teams</x:v>
      </x:c>
      <x:c r="H477" s="2" t="str">
        <x:f>IF('Data &amp; Reporting'!G477="","",'Data &amp; Reporting'!G477)</x:f>
      </x:c>
      <x:c r="I477" s="12" t="str">
        <x:f>IF('Data &amp; Reporting'!H477="","",'Data &amp; Reporting'!H477)</x:f>
      </x:c>
      <x:c r="J477" s="12" t="n">
        <x:f>IF('Data &amp; Reporting'!I477="","",'Data &amp; Reporting'!I477)</x:f>
        <x:v>46295</x:v>
      </x:c>
      <x:c r="K477" s="12" t="str">
        <x:f>IF('Data &amp; Reporting'!J477="","",'Data &amp; Reporting'!J477)</x:f>
      </x:c>
      <x:c r="L477" s="2" t="str">
        <x:f>IF('Data &amp; Reporting'!K477="","",'Data &amp; Reporting'!K477)</x:f>
      </x:c>
      <x:c r="M477" s="2" t="n">
        <x:f>'Data &amp; Reporting'!Q477</x:f>
        <x:v>1</x:v>
      </x:c>
      <x:c r="N477" s="2" t="str">
        <x:f>'Data &amp; Reporting'!L477</x:f>
        <x:v>Not started</x:v>
      </x:c>
      <x:c r="O477" s="2" t="str">
        <x:f>'Data &amp; Reporting'!N477</x:f>
        <x:v>DR.CS.3.4.2026.CY3</x:v>
      </x:c>
      <x:c r="P477" s="2" t="n">
        <x:f>'Data &amp; Reporting'!O477</x:f>
        <x:v>0</x:v>
      </x:c>
      <x:c r="Q477" s="2" t="n">
        <x:f>SUBTOTAL(103,O477)</x:f>
        <x:v>1</x:v>
      </x:c>
      <x:c r="R477" s="2" t="n">
        <x:f>IF(AND(M477=1,OR(Dashboard!$B$7="All",Dashboard!$B$7='Cycles &amp; Guide'!$C$5),OR(Dashboard!$D$7="All",Dashboard!$D$7=B477),OR(Dashboard!$F$7="All",Dashboard!$F$7=C477),OR(Dashboard!$H$7="All",Dashboard!$H$7=D477),OR(Dashboard!$K$7="All",Dashboard!$K$7=E477)),1,0)</x:f>
        <x:v>1</x:v>
      </x:c>
      <x:c r="S477" s="2" t="n">
        <x:f>IF(R477=1,SUM($R$10:R477),0)</x:f>
        <x:v>234</x:v>
      </x:c>
      <x:c r="T477" s="2" t="str">
        <x:v>Data &amp; Reporting</x:v>
      </x:c>
      <x:c r="U477" s="2" t="n">
        <x:v>477</x:v>
      </x:c>
      <x:c r="V477" s="2" t="n">
        <x:f>IF(AND(M477=1,P477=0,ISNUMBER(J477),J477&lt;TODAY()),1,0)</x:f>
        <x:v>0</x:v>
      </x:c>
      <x:c r="W477" s="2" t="str">
        <x:f>'Data &amp; Reporting'!M477</x:f>
        <x:v>Task</x:v>
      </x:c>
    </x:row>
    <x:row r="478" ht="40" customHeight="1">
      <x:c r="A478" s="3" t="str">
        <x:f>HYPERLINK("#'Data &amp; Reporting'!A478","Open")</x:f>
        <x:v>Open</x:v>
      </x:c>
      <x:c r="B478" s="2" t="str">
        <x:f>'Data &amp; Reporting'!B478</x:f>
        <x:v>Cycle 3</x:v>
      </x:c>
      <x:c r="C478" s="2" t="str">
        <x:f>'Data &amp; Reporting'!C478</x:f>
        <x:v>Phase 1</x:v>
      </x:c>
      <x:c r="D478" s="2" t="str">
        <x:f>'Data &amp; Reporting'!D478</x:f>
        <x:v>FCM</x:v>
      </x:c>
      <x:c r="E478" s="2" t="str">
        <x:v>Data &amp; Reporting</x:v>
      </x:c>
      <x:c r="F478" s="56" t="str">
        <x:f>'Data &amp; Reporting'!E478</x:f>
        <x:v>DR.FC.1.1</x:v>
      </x:c>
      <x:c r="G478" s="14" t="str">
        <x:f>'Data &amp; Reporting'!F478</x:f>
        <x:v>Review data sources 3 weeks prior to Cycle start (Complaints, Gen AI, Loudspeaker, NPS, etc.)</x:v>
      </x:c>
      <x:c r="H478" s="2" t="str">
        <x:f>IF('Data &amp; Reporting'!G478="","",'Data &amp; Reporting'!G478)</x:f>
      </x:c>
      <x:c r="I478" s="12" t="str">
        <x:f>IF('Data &amp; Reporting'!H478="","",'Data &amp; Reporting'!H478)</x:f>
      </x:c>
      <x:c r="J478" s="12" t="n">
        <x:f>IF('Data &amp; Reporting'!I478="","",'Data &amp; Reporting'!I478)</x:f>
        <x:v>46183</x:v>
      </x:c>
      <x:c r="K478" s="12" t="str">
        <x:f>IF('Data &amp; Reporting'!J478="","",'Data &amp; Reporting'!J478)</x:f>
      </x:c>
      <x:c r="L478" s="2" t="str">
        <x:f>IF('Data &amp; Reporting'!K478="","",'Data &amp; Reporting'!K478)</x:f>
      </x:c>
      <x:c r="M478" s="2" t="n">
        <x:f>'Data &amp; Reporting'!Q478</x:f>
        <x:v>1</x:v>
      </x:c>
      <x:c r="N478" s="2" t="str">
        <x:f>'Data &amp; Reporting'!L478</x:f>
        <x:v>Not started</x:v>
      </x:c>
      <x:c r="O478" s="2" t="str">
        <x:f>'Data &amp; Reporting'!N478</x:f>
        <x:v>DR.FC.1.1.2026.CY3</x:v>
      </x:c>
      <x:c r="P478" s="2" t="n">
        <x:f>'Data &amp; Reporting'!O478</x:f>
        <x:v>0</x:v>
      </x:c>
      <x:c r="Q478" s="2" t="n">
        <x:f>SUBTOTAL(103,O478)</x:f>
        <x:v>1</x:v>
      </x:c>
      <x:c r="R478" s="2" t="n">
        <x:f>IF(AND(M478=1,OR(Dashboard!$B$7="All",Dashboard!$B$7='Cycles &amp; Guide'!$C$5),OR(Dashboard!$D$7="All",Dashboard!$D$7=B478),OR(Dashboard!$F$7="All",Dashboard!$F$7=C478),OR(Dashboard!$H$7="All",Dashboard!$H$7=D478),OR(Dashboard!$K$7="All",Dashboard!$K$7=E478)),1,0)</x:f>
        <x:v>1</x:v>
      </x:c>
      <x:c r="S478" s="2" t="n">
        <x:f>IF(R478=1,SUM($R$10:R478),0)</x:f>
        <x:v>235</x:v>
      </x:c>
      <x:c r="T478" s="2" t="str">
        <x:v>Data &amp; Reporting</x:v>
      </x:c>
      <x:c r="U478" s="2" t="n">
        <x:v>478</x:v>
      </x:c>
      <x:c r="V478" s="2" t="n">
        <x:f>IF(AND(M478=1,P478=0,ISNUMBER(J478),J478&lt;TODAY()),1,0)</x:f>
        <x:v>1</x:v>
      </x:c>
      <x:c r="W478" s="2" t="str">
        <x:f>'Data &amp; Reporting'!M478</x:f>
        <x:v>Task</x:v>
      </x:c>
    </x:row>
    <x:row r="479" ht="40" customHeight="1">
      <x:c r="A479" s="3" t="str">
        <x:f>HYPERLINK("#'Data &amp; Reporting'!A479","Open")</x:f>
        <x:v>Open</x:v>
      </x:c>
      <x:c r="B479" s="2" t="str">
        <x:f>'Data &amp; Reporting'!B479</x:f>
        <x:v>Cycle 3</x:v>
      </x:c>
      <x:c r="C479" s="2" t="str">
        <x:f>'Data &amp; Reporting'!C479</x:f>
        <x:v>Phase 1</x:v>
      </x:c>
      <x:c r="D479" s="2" t="str">
        <x:f>'Data &amp; Reporting'!D479</x:f>
        <x:v>FCM</x:v>
      </x:c>
      <x:c r="E479" s="2" t="str">
        <x:v>Data &amp; Reporting</x:v>
      </x:c>
      <x:c r="F479" s="56" t="str">
        <x:f>'Data &amp; Reporting'!E479</x:f>
        <x:v>DR.FC.1.2</x:v>
      </x:c>
      <x:c r="G479" s="14" t="str">
        <x:f>'Data &amp; Reporting'!F479</x:f>
        <x:v>Identify two potential topics for the upcoming Cycle</x:v>
      </x:c>
      <x:c r="H479" s="2" t="str">
        <x:f>IF('Data &amp; Reporting'!G479="","",'Data &amp; Reporting'!G479)</x:f>
      </x:c>
      <x:c r="I479" s="12" t="str">
        <x:f>IF('Data &amp; Reporting'!H479="","",'Data &amp; Reporting'!H479)</x:f>
      </x:c>
      <x:c r="J479" s="12" t="n">
        <x:f>IF('Data &amp; Reporting'!I479="","",'Data &amp; Reporting'!I479)</x:f>
        <x:v>46295</x:v>
      </x:c>
      <x:c r="K479" s="12" t="str">
        <x:f>IF('Data &amp; Reporting'!J479="","",'Data &amp; Reporting'!J479)</x:f>
      </x:c>
      <x:c r="L479" s="2" t="str">
        <x:f>IF('Data &amp; Reporting'!K479="","",'Data &amp; Reporting'!K479)</x:f>
      </x:c>
      <x:c r="M479" s="2" t="n">
        <x:f>'Data &amp; Reporting'!Q479</x:f>
        <x:v>1</x:v>
      </x:c>
      <x:c r="N479" s="2" t="str">
        <x:f>'Data &amp; Reporting'!L479</x:f>
        <x:v>Not started</x:v>
      </x:c>
      <x:c r="O479" s="2" t="str">
        <x:f>'Data &amp; Reporting'!N479</x:f>
        <x:v>DR.FC.1.2.2026.CY3</x:v>
      </x:c>
      <x:c r="P479" s="2" t="n">
        <x:f>'Data &amp; Reporting'!O479</x:f>
        <x:v>0</x:v>
      </x:c>
      <x:c r="Q479" s="2" t="n">
        <x:f>SUBTOTAL(103,O479)</x:f>
        <x:v>1</x:v>
      </x:c>
      <x:c r="R479" s="2" t="n">
        <x:f>IF(AND(M479=1,OR(Dashboard!$B$7="All",Dashboard!$B$7='Cycles &amp; Guide'!$C$5),OR(Dashboard!$D$7="All",Dashboard!$D$7=B479),OR(Dashboard!$F$7="All",Dashboard!$F$7=C479),OR(Dashboard!$H$7="All",Dashboard!$H$7=D479),OR(Dashboard!$K$7="All",Dashboard!$K$7=E479)),1,0)</x:f>
        <x:v>1</x:v>
      </x:c>
      <x:c r="S479" s="2" t="n">
        <x:f>IF(R479=1,SUM($R$10:R479),0)</x:f>
        <x:v>236</x:v>
      </x:c>
      <x:c r="T479" s="2" t="str">
        <x:v>Data &amp; Reporting</x:v>
      </x:c>
      <x:c r="U479" s="2" t="n">
        <x:v>479</x:v>
      </x:c>
      <x:c r="V479" s="2" t="n">
        <x:f>IF(AND(M479=1,P479=0,ISNUMBER(J479),J479&lt;TODAY()),1,0)</x:f>
        <x:v>0</x:v>
      </x:c>
      <x:c r="W479" s="2" t="str">
        <x:f>'Data &amp; Reporting'!M479</x:f>
        <x:v>Task</x:v>
      </x:c>
    </x:row>
    <x:row r="480" ht="40" customHeight="1">
      <x:c r="A480" s="3" t="str">
        <x:f>HYPERLINK("#'Data &amp; Reporting'!A480","Open")</x:f>
        <x:v>Open</x:v>
      </x:c>
      <x:c r="B480" s="2" t="str">
        <x:f>'Data &amp; Reporting'!B480</x:f>
        <x:v>Cycle 3</x:v>
      </x:c>
      <x:c r="C480" s="2" t="str">
        <x:f>'Data &amp; Reporting'!C480</x:f>
        <x:v>Phase 1</x:v>
      </x:c>
      <x:c r="D480" s="2" t="str">
        <x:f>'Data &amp; Reporting'!D480</x:f>
        <x:v>FCM</x:v>
      </x:c>
      <x:c r="E480" s="2" t="str">
        <x:v>Data &amp; Reporting</x:v>
      </x:c>
      <x:c r="F480" s="56" t="str">
        <x:f>'Data &amp; Reporting'!E480</x:f>
        <x:v>DR.FC.1.3</x:v>
      </x:c>
      <x:c r="G480" s="14" t="str">
        <x:f>'Data &amp; Reporting'!F480</x:f>
        <x:v>Extract data for both potential topics, ensuring all checklist items below are included/completed</x:v>
      </x:c>
      <x:c r="H480" s="2" t="str">
        <x:f>IF('Data &amp; Reporting'!G480="","",'Data &amp; Reporting'!G480)</x:f>
      </x:c>
      <x:c r="I480" s="12" t="str">
        <x:f>IF('Data &amp; Reporting'!H480="","",'Data &amp; Reporting'!H480)</x:f>
      </x:c>
      <x:c r="J480" s="12" t="n">
        <x:f>IF('Data &amp; Reporting'!I480="","",'Data &amp; Reporting'!I480)</x:f>
        <x:v>46295</x:v>
      </x:c>
      <x:c r="K480" s="12" t="str">
        <x:f>IF('Data &amp; Reporting'!J480="","",'Data &amp; Reporting'!J480)</x:f>
      </x:c>
      <x:c r="L480" s="2" t="str">
        <x:f>IF('Data &amp; Reporting'!K480="","",'Data &amp; Reporting'!K480)</x:f>
      </x:c>
      <x:c r="M480" s="2" t="n">
        <x:f>'Data &amp; Reporting'!Q480</x:f>
        <x:v>1</x:v>
      </x:c>
      <x:c r="N480" s="2" t="str">
        <x:f>'Data &amp; Reporting'!L480</x:f>
        <x:v>Not started</x:v>
      </x:c>
      <x:c r="O480" s="2" t="str">
        <x:f>'Data &amp; Reporting'!N480</x:f>
        <x:v>DR.FC.1.3.2026.CY3</x:v>
      </x:c>
      <x:c r="P480" s="2" t="n">
        <x:f>'Data &amp; Reporting'!O480</x:f>
        <x:v>0</x:v>
      </x:c>
      <x:c r="Q480" s="2" t="n">
        <x:f>SUBTOTAL(103,O480)</x:f>
        <x:v>1</x:v>
      </x:c>
      <x:c r="R480" s="2" t="n">
        <x:f>IF(AND(M480=1,OR(Dashboard!$B$7="All",Dashboard!$B$7='Cycles &amp; Guide'!$C$5),OR(Dashboard!$D$7="All",Dashboard!$D$7=B480),OR(Dashboard!$F$7="All",Dashboard!$F$7=C480),OR(Dashboard!$H$7="All",Dashboard!$H$7=D480),OR(Dashboard!$K$7="All",Dashboard!$K$7=E480)),1,0)</x:f>
        <x:v>1</x:v>
      </x:c>
      <x:c r="S480" s="2" t="n">
        <x:f>IF(R480=1,SUM($R$10:R480),0)</x:f>
        <x:v>237</x:v>
      </x:c>
      <x:c r="T480" s="2" t="str">
        <x:v>Data &amp; Reporting</x:v>
      </x:c>
      <x:c r="U480" s="2" t="n">
        <x:v>480</x:v>
      </x:c>
      <x:c r="V480" s="2" t="n">
        <x:f>IF(AND(M480=1,P480=0,ISNUMBER(J480),J480&lt;TODAY()),1,0)</x:f>
        <x:v>0</x:v>
      </x:c>
      <x:c r="W480" s="2" t="str">
        <x:f>'Data &amp; Reporting'!M480</x:f>
        <x:v>Task</x:v>
      </x:c>
    </x:row>
    <x:row r="481" ht="40" customHeight="1">
      <x:c r="A481" s="3" t="str">
        <x:f>HYPERLINK("#'Data &amp; Reporting'!A481","Open")</x:f>
        <x:v>Open</x:v>
      </x:c>
      <x:c r="B481" s="2" t="str">
        <x:f>'Data &amp; Reporting'!B481</x:f>
        <x:v>Cycle 3</x:v>
      </x:c>
      <x:c r="C481" s="2" t="str">
        <x:f>'Data &amp; Reporting'!C481</x:f>
        <x:v>Phase 1</x:v>
      </x:c>
      <x:c r="D481" s="2" t="str">
        <x:f>'Data &amp; Reporting'!D481</x:f>
        <x:v>FCM</x:v>
      </x:c>
      <x:c r="E481" s="2" t="str">
        <x:v>Data &amp; Reporting</x:v>
      </x:c>
      <x:c r="F481" s="56" t="str">
        <x:f>'Data &amp; Reporting'!E481</x:f>
        <x:v>DR.FC.1.3.C01</x:v>
      </x:c>
      <x:c r="G481" s="14" t="str">
        <x:f>'Data &amp; Reporting'!F481</x:f>
        <x:v>    Document date range extracted</x:v>
      </x:c>
      <x:c r="H481" s="2" t="str">
        <x:f>IF('Data &amp; Reporting'!G481="","",'Data &amp; Reporting'!G481)</x:f>
      </x:c>
      <x:c r="I481" s="12" t="str">
        <x:f>IF('Data &amp; Reporting'!H481="","",'Data &amp; Reporting'!H481)</x:f>
      </x:c>
      <x:c r="J481" s="12" t="str">
        <x:f>IF('Data &amp; Reporting'!I481="","",'Data &amp; Reporting'!I481)</x:f>
      </x:c>
      <x:c r="K481" s="12" t="str">
        <x:f>IF('Data &amp; Reporting'!J481="","",'Data &amp; Reporting'!J481)</x:f>
      </x:c>
      <x:c r="L481" s="2" t="str">
        <x:f>IF('Data &amp; Reporting'!K481="","",'Data &amp; Reporting'!K481)</x:f>
      </x:c>
      <x:c r="M481" s="2" t="n">
        <x:f>'Data &amp; Reporting'!Q481</x:f>
        <x:v>0</x:v>
      </x:c>
      <x:c r="N481" s="2" t="str">
        <x:f>'Data &amp; Reporting'!L481</x:f>
        <x:v>Open check</x:v>
      </x:c>
      <x:c r="O481" s="2" t="str">
        <x:f>'Data &amp; Reporting'!N481</x:f>
        <x:v>DR.FC.1.3.C01.2026.CY3</x:v>
      </x:c>
      <x:c r="P481" s="2" t="n">
        <x:f>'Data &amp; Reporting'!O481</x:f>
        <x:v>0</x:v>
      </x:c>
      <x:c r="Q481" s="2" t="n">
        <x:f>SUBTOTAL(103,O481)</x:f>
        <x:v>1</x:v>
      </x:c>
      <x:c r="R481" s="2" t="n">
        <x:f>IF(AND(M481=1,OR(Dashboard!$B$7="All",Dashboard!$B$7='Cycles &amp; Guide'!$C$5),OR(Dashboard!$D$7="All",Dashboard!$D$7=B481),OR(Dashboard!$F$7="All",Dashboard!$F$7=C481),OR(Dashboard!$H$7="All",Dashboard!$H$7=D481),OR(Dashboard!$K$7="All",Dashboard!$K$7=E481)),1,0)</x:f>
        <x:v>0</x:v>
      </x:c>
      <x:c r="S481" s="2" t="n">
        <x:f>IF(R481=1,SUM($R$10:R481),0)</x:f>
        <x:v>0</x:v>
      </x:c>
      <x:c r="T481" s="2" t="str">
        <x:v>Data &amp; Reporting</x:v>
      </x:c>
      <x:c r="U481" s="2" t="n">
        <x:v>481</x:v>
      </x:c>
      <x:c r="V481" s="2" t="n">
        <x:f>IF(AND(M481=1,P481=0,ISNUMBER(J481),J481&lt;TODAY()),1,0)</x:f>
        <x:v>0</x:v>
      </x:c>
      <x:c r="W481" s="2" t="str">
        <x:f>'Data &amp; Reporting'!M481</x:f>
        <x:v>Checklist</x:v>
      </x:c>
    </x:row>
    <x:row r="482" ht="40" customHeight="1">
      <x:c r="A482" s="3" t="str">
        <x:f>HYPERLINK("#'Data &amp; Reporting'!A482","Open")</x:f>
        <x:v>Open</x:v>
      </x:c>
      <x:c r="B482" s="2" t="str">
        <x:f>'Data &amp; Reporting'!B482</x:f>
        <x:v>Cycle 3</x:v>
      </x:c>
      <x:c r="C482" s="2" t="str">
        <x:f>'Data &amp; Reporting'!C482</x:f>
        <x:v>Phase 1</x:v>
      </x:c>
      <x:c r="D482" s="2" t="str">
        <x:f>'Data &amp; Reporting'!D482</x:f>
        <x:v>FCM</x:v>
      </x:c>
      <x:c r="E482" s="2" t="str">
        <x:v>Data &amp; Reporting</x:v>
      </x:c>
      <x:c r="F482" s="56" t="str">
        <x:f>'Data &amp; Reporting'!E482</x:f>
        <x:v>DR.FC.1.3.C02</x:v>
      </x:c>
      <x:c r="G482" s="14" t="str">
        <x:f>'Data &amp; Reporting'!F482</x:f>
        <x:v>    Document date of data pull</x:v>
      </x:c>
      <x:c r="H482" s="2" t="str">
        <x:f>IF('Data &amp; Reporting'!G482="","",'Data &amp; Reporting'!G482)</x:f>
      </x:c>
      <x:c r="I482" s="12" t="str">
        <x:f>IF('Data &amp; Reporting'!H482="","",'Data &amp; Reporting'!H482)</x:f>
      </x:c>
      <x:c r="J482" s="12" t="str">
        <x:f>IF('Data &amp; Reporting'!I482="","",'Data &amp; Reporting'!I482)</x:f>
      </x:c>
      <x:c r="K482" s="12" t="str">
        <x:f>IF('Data &amp; Reporting'!J482="","",'Data &amp; Reporting'!J482)</x:f>
      </x:c>
      <x:c r="L482" s="2" t="str">
        <x:f>IF('Data &amp; Reporting'!K482="","",'Data &amp; Reporting'!K482)</x:f>
      </x:c>
      <x:c r="M482" s="2" t="n">
        <x:f>'Data &amp; Reporting'!Q482</x:f>
        <x:v>0</x:v>
      </x:c>
      <x:c r="N482" s="2" t="str">
        <x:f>'Data &amp; Reporting'!L482</x:f>
        <x:v>Open check</x:v>
      </x:c>
      <x:c r="O482" s="2" t="str">
        <x:f>'Data &amp; Reporting'!N482</x:f>
        <x:v>DR.FC.1.3.C02.2026.CY3</x:v>
      </x:c>
      <x:c r="P482" s="2" t="n">
        <x:f>'Data &amp; Reporting'!O482</x:f>
        <x:v>0</x:v>
      </x:c>
      <x:c r="Q482" s="2" t="n">
        <x:f>SUBTOTAL(103,O482)</x:f>
        <x:v>1</x:v>
      </x:c>
      <x:c r="R482" s="2" t="n">
        <x:f>IF(AND(M482=1,OR(Dashboard!$B$7="All",Dashboard!$B$7='Cycles &amp; Guide'!$C$5),OR(Dashboard!$D$7="All",Dashboard!$D$7=B482),OR(Dashboard!$F$7="All",Dashboard!$F$7=C482),OR(Dashboard!$H$7="All",Dashboard!$H$7=D482),OR(Dashboard!$K$7="All",Dashboard!$K$7=E482)),1,0)</x:f>
        <x:v>0</x:v>
      </x:c>
      <x:c r="S482" s="2" t="n">
        <x:f>IF(R482=1,SUM($R$10:R482),0)</x:f>
        <x:v>0</x:v>
      </x:c>
      <x:c r="T482" s="2" t="str">
        <x:v>Data &amp; Reporting</x:v>
      </x:c>
      <x:c r="U482" s="2" t="n">
        <x:v>482</x:v>
      </x:c>
      <x:c r="V482" s="2" t="n">
        <x:f>IF(AND(M482=1,P482=0,ISNUMBER(J482),J482&lt;TODAY()),1,0)</x:f>
        <x:v>0</x:v>
      </x:c>
      <x:c r="W482" s="2" t="str">
        <x:f>'Data &amp; Reporting'!M482</x:f>
        <x:v>Checklist</x:v>
      </x:c>
    </x:row>
    <x:row r="483" ht="40" customHeight="1">
      <x:c r="A483" s="3" t="str">
        <x:f>HYPERLINK("#'Data &amp; Reporting'!A483","Open")</x:f>
        <x:v>Open</x:v>
      </x:c>
      <x:c r="B483" s="2" t="str">
        <x:f>'Data &amp; Reporting'!B483</x:f>
        <x:v>Cycle 3</x:v>
      </x:c>
      <x:c r="C483" s="2" t="str">
        <x:f>'Data &amp; Reporting'!C483</x:f>
        <x:v>Phase 1</x:v>
      </x:c>
      <x:c r="D483" s="2" t="str">
        <x:f>'Data &amp; Reporting'!D483</x:f>
        <x:v>FCM</x:v>
      </x:c>
      <x:c r="E483" s="2" t="str">
        <x:v>Data &amp; Reporting</x:v>
      </x:c>
      <x:c r="F483" s="56" t="str">
        <x:f>'Data &amp; Reporting'!E483</x:f>
        <x:v>DR.FC.1.3.C03</x:v>
      </x:c>
      <x:c r="G483" s="14" t="str">
        <x:f>'Data &amp; Reporting'!F483</x:f>
        <x:v>    Document population details</x:v>
      </x:c>
      <x:c r="H483" s="2" t="str">
        <x:f>IF('Data &amp; Reporting'!G483="","",'Data &amp; Reporting'!G483)</x:f>
      </x:c>
      <x:c r="I483" s="12" t="str">
        <x:f>IF('Data &amp; Reporting'!H483="","",'Data &amp; Reporting'!H483)</x:f>
      </x:c>
      <x:c r="J483" s="12" t="str">
        <x:f>IF('Data &amp; Reporting'!I483="","",'Data &amp; Reporting'!I483)</x:f>
      </x:c>
      <x:c r="K483" s="12" t="str">
        <x:f>IF('Data &amp; Reporting'!J483="","",'Data &amp; Reporting'!J483)</x:f>
      </x:c>
      <x:c r="L483" s="2" t="str">
        <x:f>IF('Data &amp; Reporting'!K483="","",'Data &amp; Reporting'!K483)</x:f>
      </x:c>
      <x:c r="M483" s="2" t="n">
        <x:f>'Data &amp; Reporting'!Q483</x:f>
        <x:v>0</x:v>
      </x:c>
      <x:c r="N483" s="2" t="str">
        <x:f>'Data &amp; Reporting'!L483</x:f>
        <x:v>Open check</x:v>
      </x:c>
      <x:c r="O483" s="2" t="str">
        <x:f>'Data &amp; Reporting'!N483</x:f>
        <x:v>DR.FC.1.3.C03.2026.CY3</x:v>
      </x:c>
      <x:c r="P483" s="2" t="n">
        <x:f>'Data &amp; Reporting'!O483</x:f>
        <x:v>0</x:v>
      </x:c>
      <x:c r="Q483" s="2" t="n">
        <x:f>SUBTOTAL(103,O483)</x:f>
        <x:v>1</x:v>
      </x:c>
      <x:c r="R483" s="2" t="n">
        <x:f>IF(AND(M483=1,OR(Dashboard!$B$7="All",Dashboard!$B$7='Cycles &amp; Guide'!$C$5),OR(Dashboard!$D$7="All",Dashboard!$D$7=B483),OR(Dashboard!$F$7="All",Dashboard!$F$7=C483),OR(Dashboard!$H$7="All",Dashboard!$H$7=D483),OR(Dashboard!$K$7="All",Dashboard!$K$7=E483)),1,0)</x:f>
        <x:v>0</x:v>
      </x:c>
      <x:c r="S483" s="2" t="n">
        <x:f>IF(R483=1,SUM($R$10:R483),0)</x:f>
        <x:v>0</x:v>
      </x:c>
      <x:c r="T483" s="2" t="str">
        <x:v>Data &amp; Reporting</x:v>
      </x:c>
      <x:c r="U483" s="2" t="n">
        <x:v>483</x:v>
      </x:c>
      <x:c r="V483" s="2" t="n">
        <x:f>IF(AND(M483=1,P483=0,ISNUMBER(J483),J483&lt;TODAY()),1,0)</x:f>
        <x:v>0</x:v>
      </x:c>
      <x:c r="W483" s="2" t="str">
        <x:f>'Data &amp; Reporting'!M483</x:f>
        <x:v>Checklist</x:v>
      </x:c>
    </x:row>
    <x:row r="484" ht="40" customHeight="1">
      <x:c r="A484" s="3" t="str">
        <x:f>HYPERLINK("#'Data &amp; Reporting'!A484","Open")</x:f>
        <x:v>Open</x:v>
      </x:c>
      <x:c r="B484" s="2" t="str">
        <x:f>'Data &amp; Reporting'!B484</x:f>
        <x:v>Cycle 3</x:v>
      </x:c>
      <x:c r="C484" s="2" t="str">
        <x:f>'Data &amp; Reporting'!C484</x:f>
        <x:v>Phase 1</x:v>
      </x:c>
      <x:c r="D484" s="2" t="str">
        <x:f>'Data &amp; Reporting'!D484</x:f>
        <x:v>FCM</x:v>
      </x:c>
      <x:c r="E484" s="2" t="str">
        <x:v>Data &amp; Reporting</x:v>
      </x:c>
      <x:c r="F484" s="56" t="str">
        <x:f>'Data &amp; Reporting'!E484</x:f>
        <x:v>DR.FC.1.3.C04</x:v>
      </x:c>
      <x:c r="G484" s="14" t="str">
        <x:f>'Data &amp; Reporting'!F484</x:f>
        <x:v>    Validate no data is missing</x:v>
      </x:c>
      <x:c r="H484" s="2" t="str">
        <x:f>IF('Data &amp; Reporting'!G484="","",'Data &amp; Reporting'!G484)</x:f>
      </x:c>
      <x:c r="I484" s="12" t="str">
        <x:f>IF('Data &amp; Reporting'!H484="","",'Data &amp; Reporting'!H484)</x:f>
      </x:c>
      <x:c r="J484" s="12" t="str">
        <x:f>IF('Data &amp; Reporting'!I484="","",'Data &amp; Reporting'!I484)</x:f>
      </x:c>
      <x:c r="K484" s="12" t="str">
        <x:f>IF('Data &amp; Reporting'!J484="","",'Data &amp; Reporting'!J484)</x:f>
      </x:c>
      <x:c r="L484" s="2" t="str">
        <x:f>IF('Data &amp; Reporting'!K484="","",'Data &amp; Reporting'!K484)</x:f>
      </x:c>
      <x:c r="M484" s="2" t="n">
        <x:f>'Data &amp; Reporting'!Q484</x:f>
        <x:v>0</x:v>
      </x:c>
      <x:c r="N484" s="2" t="str">
        <x:f>'Data &amp; Reporting'!L484</x:f>
        <x:v>Open check</x:v>
      </x:c>
      <x:c r="O484" s="2" t="str">
        <x:f>'Data &amp; Reporting'!N484</x:f>
        <x:v>DR.FC.1.3.C04.2026.CY3</x:v>
      </x:c>
      <x:c r="P484" s="2" t="n">
        <x:f>'Data &amp; Reporting'!O484</x:f>
        <x:v>0</x:v>
      </x:c>
      <x:c r="Q484" s="2" t="n">
        <x:f>SUBTOTAL(103,O484)</x:f>
        <x:v>1</x:v>
      </x:c>
      <x:c r="R484" s="2" t="n">
        <x:f>IF(AND(M484=1,OR(Dashboard!$B$7="All",Dashboard!$B$7='Cycles &amp; Guide'!$C$5),OR(Dashboard!$D$7="All",Dashboard!$D$7=B484),OR(Dashboard!$F$7="All",Dashboard!$F$7=C484),OR(Dashboard!$H$7="All",Dashboard!$H$7=D484),OR(Dashboard!$K$7="All",Dashboard!$K$7=E484)),1,0)</x:f>
        <x:v>0</x:v>
      </x:c>
      <x:c r="S484" s="2" t="n">
        <x:f>IF(R484=1,SUM($R$10:R484),0)</x:f>
        <x:v>0</x:v>
      </x:c>
      <x:c r="T484" s="2" t="str">
        <x:v>Data &amp; Reporting</x:v>
      </x:c>
      <x:c r="U484" s="2" t="n">
        <x:v>484</x:v>
      </x:c>
      <x:c r="V484" s="2" t="n">
        <x:f>IF(AND(M484=1,P484=0,ISNUMBER(J484),J484&lt;TODAY()),1,0)</x:f>
        <x:v>0</x:v>
      </x:c>
      <x:c r="W484" s="2" t="str">
        <x:f>'Data &amp; Reporting'!M484</x:f>
        <x:v>Checklist</x:v>
      </x:c>
    </x:row>
    <x:row r="485" ht="40" customHeight="1">
      <x:c r="A485" s="3" t="str">
        <x:f>HYPERLINK("#'Data &amp; Reporting'!A485","Open")</x:f>
        <x:v>Open</x:v>
      </x:c>
      <x:c r="B485" s="2" t="str">
        <x:f>'Data &amp; Reporting'!B485</x:f>
        <x:v>Cycle 3</x:v>
      </x:c>
      <x:c r="C485" s="2" t="str">
        <x:f>'Data &amp; Reporting'!C485</x:f>
        <x:v>Phase 1</x:v>
      </x:c>
      <x:c r="D485" s="2" t="str">
        <x:f>'Data &amp; Reporting'!D485</x:f>
        <x:v>FCM</x:v>
      </x:c>
      <x:c r="E485" s="2" t="str">
        <x:v>Data &amp; Reporting</x:v>
      </x:c>
      <x:c r="F485" s="56" t="str">
        <x:f>'Data &amp; Reporting'!E485</x:f>
        <x:v>DR.FC.1.3.C05</x:v>
      </x:c>
      <x:c r="G485" s="14" t="str">
        <x:f>'Data &amp; Reporting'!F485</x:f>
        <x:v>    Validate accuracy of data</x:v>
      </x:c>
      <x:c r="H485" s="2" t="str">
        <x:f>IF('Data &amp; Reporting'!G485="","",'Data &amp; Reporting'!G485)</x:f>
      </x:c>
      <x:c r="I485" s="12" t="str">
        <x:f>IF('Data &amp; Reporting'!H485="","",'Data &amp; Reporting'!H485)</x:f>
      </x:c>
      <x:c r="J485" s="12" t="str">
        <x:f>IF('Data &amp; Reporting'!I485="","",'Data &amp; Reporting'!I485)</x:f>
      </x:c>
      <x:c r="K485" s="12" t="str">
        <x:f>IF('Data &amp; Reporting'!J485="","",'Data &amp; Reporting'!J485)</x:f>
      </x:c>
      <x:c r="L485" s="2" t="str">
        <x:f>IF('Data &amp; Reporting'!K485="","",'Data &amp; Reporting'!K485)</x:f>
      </x:c>
      <x:c r="M485" s="2" t="n">
        <x:f>'Data &amp; Reporting'!Q485</x:f>
        <x:v>0</x:v>
      </x:c>
      <x:c r="N485" s="2" t="str">
        <x:f>'Data &amp; Reporting'!L485</x:f>
        <x:v>Open check</x:v>
      </x:c>
      <x:c r="O485" s="2" t="str">
        <x:f>'Data &amp; Reporting'!N485</x:f>
        <x:v>DR.FC.1.3.C05.2026.CY3</x:v>
      </x:c>
      <x:c r="P485" s="2" t="n">
        <x:f>'Data &amp; Reporting'!O485</x:f>
        <x:v>0</x:v>
      </x:c>
      <x:c r="Q485" s="2" t="n">
        <x:f>SUBTOTAL(103,O485)</x:f>
        <x:v>1</x:v>
      </x:c>
      <x:c r="R485" s="2" t="n">
        <x:f>IF(AND(M485=1,OR(Dashboard!$B$7="All",Dashboard!$B$7='Cycles &amp; Guide'!$C$5),OR(Dashboard!$D$7="All",Dashboard!$D$7=B485),OR(Dashboard!$F$7="All",Dashboard!$F$7=C485),OR(Dashboard!$H$7="All",Dashboard!$H$7=D485),OR(Dashboard!$K$7="All",Dashboard!$K$7=E485)),1,0)</x:f>
        <x:v>0</x:v>
      </x:c>
      <x:c r="S485" s="2" t="n">
        <x:f>IF(R485=1,SUM($R$10:R485),0)</x:f>
        <x:v>0</x:v>
      </x:c>
      <x:c r="T485" s="2" t="str">
        <x:v>Data &amp; Reporting</x:v>
      </x:c>
      <x:c r="U485" s="2" t="n">
        <x:v>485</x:v>
      </x:c>
      <x:c r="V485" s="2" t="n">
        <x:f>IF(AND(M485=1,P485=0,ISNUMBER(J485),J485&lt;TODAY()),1,0)</x:f>
        <x:v>0</x:v>
      </x:c>
      <x:c r="W485" s="2" t="str">
        <x:f>'Data &amp; Reporting'!M485</x:f>
        <x:v>Checklist</x:v>
      </x:c>
    </x:row>
    <x:row r="486" ht="40" customHeight="1">
      <x:c r="A486" s="3" t="str">
        <x:f>HYPERLINK("#'Data &amp; Reporting'!A486","Open")</x:f>
        <x:v>Open</x:v>
      </x:c>
      <x:c r="B486" s="2" t="str">
        <x:f>'Data &amp; Reporting'!B486</x:f>
        <x:v>Cycle 3</x:v>
      </x:c>
      <x:c r="C486" s="2" t="str">
        <x:f>'Data &amp; Reporting'!C486</x:f>
        <x:v>Phase 1</x:v>
      </x:c>
      <x:c r="D486" s="2" t="str">
        <x:f>'Data &amp; Reporting'!D486</x:f>
        <x:v>FCM</x:v>
      </x:c>
      <x:c r="E486" s="2" t="str">
        <x:v>Data &amp; Reporting</x:v>
      </x:c>
      <x:c r="F486" s="56" t="str">
        <x:f>'Data &amp; Reporting'!E486</x:f>
        <x:v>DR.FC.1.3.C06</x:v>
      </x:c>
      <x:c r="G486" s="14" t="str">
        <x:f>'Data &amp; Reporting'!F486</x:f>
        <x:v>    Validate no duplicate data is provided</x:v>
      </x:c>
      <x:c r="H486" s="2" t="str">
        <x:f>IF('Data &amp; Reporting'!G486="","",'Data &amp; Reporting'!G486)</x:f>
      </x:c>
      <x:c r="I486" s="12" t="str">
        <x:f>IF('Data &amp; Reporting'!H486="","",'Data &amp; Reporting'!H486)</x:f>
      </x:c>
      <x:c r="J486" s="12" t="str">
        <x:f>IF('Data &amp; Reporting'!I486="","",'Data &amp; Reporting'!I486)</x:f>
      </x:c>
      <x:c r="K486" s="12" t="str">
        <x:f>IF('Data &amp; Reporting'!J486="","",'Data &amp; Reporting'!J486)</x:f>
      </x:c>
      <x:c r="L486" s="2" t="str">
        <x:f>IF('Data &amp; Reporting'!K486="","",'Data &amp; Reporting'!K486)</x:f>
      </x:c>
      <x:c r="M486" s="2" t="n">
        <x:f>'Data &amp; Reporting'!Q486</x:f>
        <x:v>0</x:v>
      </x:c>
      <x:c r="N486" s="2" t="str">
        <x:f>'Data &amp; Reporting'!L486</x:f>
        <x:v>Open check</x:v>
      </x:c>
      <x:c r="O486" s="2" t="str">
        <x:f>'Data &amp; Reporting'!N486</x:f>
        <x:v>DR.FC.1.3.C06.2026.CY3</x:v>
      </x:c>
      <x:c r="P486" s="2" t="n">
        <x:f>'Data &amp; Reporting'!O486</x:f>
        <x:v>0</x:v>
      </x:c>
      <x:c r="Q486" s="2" t="n">
        <x:f>SUBTOTAL(103,O486)</x:f>
        <x:v>1</x:v>
      </x:c>
      <x:c r="R486" s="2" t="n">
        <x:f>IF(AND(M486=1,OR(Dashboard!$B$7="All",Dashboard!$B$7='Cycles &amp; Guide'!$C$5),OR(Dashboard!$D$7="All",Dashboard!$D$7=B486),OR(Dashboard!$F$7="All",Dashboard!$F$7=C486),OR(Dashboard!$H$7="All",Dashboard!$H$7=D486),OR(Dashboard!$K$7="All",Dashboard!$K$7=E486)),1,0)</x:f>
        <x:v>0</x:v>
      </x:c>
      <x:c r="S486" s="2" t="n">
        <x:f>IF(R486=1,SUM($R$10:R486),0)</x:f>
        <x:v>0</x:v>
      </x:c>
      <x:c r="T486" s="2" t="str">
        <x:v>Data &amp; Reporting</x:v>
      </x:c>
      <x:c r="U486" s="2" t="n">
        <x:v>486</x:v>
      </x:c>
      <x:c r="V486" s="2" t="n">
        <x:f>IF(AND(M486=1,P486=0,ISNUMBER(J486),J486&lt;TODAY()),1,0)</x:f>
        <x:v>0</x:v>
      </x:c>
      <x:c r="W486" s="2" t="str">
        <x:f>'Data &amp; Reporting'!M486</x:f>
        <x:v>Checklist</x:v>
      </x:c>
    </x:row>
    <x:row r="487" ht="40" customHeight="1">
      <x:c r="A487" s="3" t="str">
        <x:f>HYPERLINK("#'Data &amp; Reporting'!A487","Open")</x:f>
        <x:v>Open</x:v>
      </x:c>
      <x:c r="B487" s="2" t="str">
        <x:f>'Data &amp; Reporting'!B487</x:f>
        <x:v>Cycle 3</x:v>
      </x:c>
      <x:c r="C487" s="2" t="str">
        <x:f>'Data &amp; Reporting'!C487</x:f>
        <x:v>Phase 1</x:v>
      </x:c>
      <x:c r="D487" s="2" t="str">
        <x:f>'Data &amp; Reporting'!D487</x:f>
        <x:v>FCM</x:v>
      </x:c>
      <x:c r="E487" s="2" t="str">
        <x:v>Data &amp; Reporting</x:v>
      </x:c>
      <x:c r="F487" s="56" t="str">
        <x:f>'Data &amp; Reporting'!E487</x:f>
        <x:v>DR.FC.1.3.C07</x:v>
      </x:c>
      <x:c r="G487" s="14" t="str">
        <x:f>'Data &amp; Reporting'!F487</x:f>
        <x:v>    Document any data exclusions along with justification (as needed)</x:v>
      </x:c>
      <x:c r="H487" s="2" t="str">
        <x:f>IF('Data &amp; Reporting'!G487="","",'Data &amp; Reporting'!G487)</x:f>
      </x:c>
      <x:c r="I487" s="12" t="str">
        <x:f>IF('Data &amp; Reporting'!H487="","",'Data &amp; Reporting'!H487)</x:f>
      </x:c>
      <x:c r="J487" s="12" t="str">
        <x:f>IF('Data &amp; Reporting'!I487="","",'Data &amp; Reporting'!I487)</x:f>
      </x:c>
      <x:c r="K487" s="12" t="str">
        <x:f>IF('Data &amp; Reporting'!J487="","",'Data &amp; Reporting'!J487)</x:f>
      </x:c>
      <x:c r="L487" s="2" t="str">
        <x:f>IF('Data &amp; Reporting'!K487="","",'Data &amp; Reporting'!K487)</x:f>
      </x:c>
      <x:c r="M487" s="2" t="n">
        <x:f>'Data &amp; Reporting'!Q487</x:f>
        <x:v>0</x:v>
      </x:c>
      <x:c r="N487" s="2" t="str">
        <x:f>'Data &amp; Reporting'!L487</x:f>
        <x:v>Open check</x:v>
      </x:c>
      <x:c r="O487" s="2" t="str">
        <x:f>'Data &amp; Reporting'!N487</x:f>
        <x:v>DR.FC.1.3.C07.2026.CY3</x:v>
      </x:c>
      <x:c r="P487" s="2" t="n">
        <x:f>'Data &amp; Reporting'!O487</x:f>
        <x:v>0</x:v>
      </x:c>
      <x:c r="Q487" s="2" t="n">
        <x:f>SUBTOTAL(103,O487)</x:f>
        <x:v>1</x:v>
      </x:c>
      <x:c r="R487" s="2" t="n">
        <x:f>IF(AND(M487=1,OR(Dashboard!$B$7="All",Dashboard!$B$7='Cycles &amp; Guide'!$C$5),OR(Dashboard!$D$7="All",Dashboard!$D$7=B487),OR(Dashboard!$F$7="All",Dashboard!$F$7=C487),OR(Dashboard!$H$7="All",Dashboard!$H$7=D487),OR(Dashboard!$K$7="All",Dashboard!$K$7=E487)),1,0)</x:f>
        <x:v>0</x:v>
      </x:c>
      <x:c r="S487" s="2" t="n">
        <x:f>IF(R487=1,SUM($R$10:R487),0)</x:f>
        <x:v>0</x:v>
      </x:c>
      <x:c r="T487" s="2" t="str">
        <x:v>Data &amp; Reporting</x:v>
      </x:c>
      <x:c r="U487" s="2" t="n">
        <x:v>487</x:v>
      </x:c>
      <x:c r="V487" s="2" t="n">
        <x:f>IF(AND(M487=1,P487=0,ISNUMBER(J487),J487&lt;TODAY()),1,0)</x:f>
        <x:v>0</x:v>
      </x:c>
      <x:c r="W487" s="2" t="str">
        <x:f>'Data &amp; Reporting'!M487</x:f>
        <x:v>Checklist</x:v>
      </x:c>
    </x:row>
    <x:row r="488" ht="40" customHeight="1">
      <x:c r="A488" s="3" t="str">
        <x:f>HYPERLINK("#'Data &amp; Reporting'!A488","Open")</x:f>
        <x:v>Open</x:v>
      </x:c>
      <x:c r="B488" s="2" t="str">
        <x:f>'Data &amp; Reporting'!B488</x:f>
        <x:v>Cycle 3</x:v>
      </x:c>
      <x:c r="C488" s="2" t="str">
        <x:f>'Data &amp; Reporting'!C488</x:f>
        <x:v>Phase 1</x:v>
      </x:c>
      <x:c r="D488" s="2" t="str">
        <x:f>'Data &amp; Reporting'!D488</x:f>
        <x:v>FCM</x:v>
      </x:c>
      <x:c r="E488" s="2" t="str">
        <x:v>Data &amp; Reporting</x:v>
      </x:c>
      <x:c r="F488" s="56" t="str">
        <x:f>'Data &amp; Reporting'!E488</x:f>
        <x:v>DR.FC.1.3.C08</x:v>
      </x:c>
      <x:c r="G488" s="14" t="str">
        <x:f>'Data &amp; Reporting'!F488</x:f>
        <x:v>    Document any assumptions made with the data (as needed)</x:v>
      </x:c>
      <x:c r="H488" s="2" t="str">
        <x:f>IF('Data &amp; Reporting'!G488="","",'Data &amp; Reporting'!G488)</x:f>
      </x:c>
      <x:c r="I488" s="12" t="str">
        <x:f>IF('Data &amp; Reporting'!H488="","",'Data &amp; Reporting'!H488)</x:f>
      </x:c>
      <x:c r="J488" s="12" t="str">
        <x:f>IF('Data &amp; Reporting'!I488="","",'Data &amp; Reporting'!I488)</x:f>
      </x:c>
      <x:c r="K488" s="12" t="str">
        <x:f>IF('Data &amp; Reporting'!J488="","",'Data &amp; Reporting'!J488)</x:f>
      </x:c>
      <x:c r="L488" s="2" t="str">
        <x:f>IF('Data &amp; Reporting'!K488="","",'Data &amp; Reporting'!K488)</x:f>
      </x:c>
      <x:c r="M488" s="2" t="n">
        <x:f>'Data &amp; Reporting'!Q488</x:f>
        <x:v>0</x:v>
      </x:c>
      <x:c r="N488" s="2" t="str">
        <x:f>'Data &amp; Reporting'!L488</x:f>
        <x:v>Open check</x:v>
      </x:c>
      <x:c r="O488" s="2" t="str">
        <x:f>'Data &amp; Reporting'!N488</x:f>
        <x:v>DR.FC.1.3.C08.2026.CY3</x:v>
      </x:c>
      <x:c r="P488" s="2" t="n">
        <x:f>'Data &amp; Reporting'!O488</x:f>
        <x:v>0</x:v>
      </x:c>
      <x:c r="Q488" s="2" t="n">
        <x:f>SUBTOTAL(103,O488)</x:f>
        <x:v>1</x:v>
      </x:c>
      <x:c r="R488" s="2" t="n">
        <x:f>IF(AND(M488=1,OR(Dashboard!$B$7="All",Dashboard!$B$7='Cycles &amp; Guide'!$C$5),OR(Dashboard!$D$7="All",Dashboard!$D$7=B488),OR(Dashboard!$F$7="All",Dashboard!$F$7=C488),OR(Dashboard!$H$7="All",Dashboard!$H$7=D488),OR(Dashboard!$K$7="All",Dashboard!$K$7=E488)),1,0)</x:f>
        <x:v>0</x:v>
      </x:c>
      <x:c r="S488" s="2" t="n">
        <x:f>IF(R488=1,SUM($R$10:R488),0)</x:f>
        <x:v>0</x:v>
      </x:c>
      <x:c r="T488" s="2" t="str">
        <x:v>Data &amp; Reporting</x:v>
      </x:c>
      <x:c r="U488" s="2" t="n">
        <x:v>488</x:v>
      </x:c>
      <x:c r="V488" s="2" t="n">
        <x:f>IF(AND(M488=1,P488=0,ISNUMBER(J488),J488&lt;TODAY()),1,0)</x:f>
        <x:v>0</x:v>
      </x:c>
      <x:c r="W488" s="2" t="str">
        <x:f>'Data &amp; Reporting'!M488</x:f>
        <x:v>Checklist</x:v>
      </x:c>
    </x:row>
    <x:row r="489" ht="40" customHeight="1">
      <x:c r="A489" s="3" t="str">
        <x:f>HYPERLINK("#'Data &amp; Reporting'!A489","Open")</x:f>
        <x:v>Open</x:v>
      </x:c>
      <x:c r="B489" s="2" t="str">
        <x:f>'Data &amp; Reporting'!B489</x:f>
        <x:v>Cycle 3</x:v>
      </x:c>
      <x:c r="C489" s="2" t="str">
        <x:f>'Data &amp; Reporting'!C489</x:f>
        <x:v>Phase 1</x:v>
      </x:c>
      <x:c r="D489" s="2" t="str">
        <x:f>'Data &amp; Reporting'!D489</x:f>
        <x:v>FCM</x:v>
      </x:c>
      <x:c r="E489" s="2" t="str">
        <x:v>Data &amp; Reporting</x:v>
      </x:c>
      <x:c r="F489" s="56" t="str">
        <x:f>'Data &amp; Reporting'!E489</x:f>
        <x:v>DR.FC.1.3.C09</x:v>
      </x:c>
      <x:c r="G489" s="14" t="str">
        <x:f>'Data &amp; Reporting'!F489</x:f>
        <x:v>    Document any data limitations or constraints clearly (as needed)</x:v>
      </x:c>
      <x:c r="H489" s="2" t="str">
        <x:f>IF('Data &amp; Reporting'!G489="","",'Data &amp; Reporting'!G489)</x:f>
      </x:c>
      <x:c r="I489" s="12" t="str">
        <x:f>IF('Data &amp; Reporting'!H489="","",'Data &amp; Reporting'!H489)</x:f>
      </x:c>
      <x:c r="J489" s="12" t="str">
        <x:f>IF('Data &amp; Reporting'!I489="","",'Data &amp; Reporting'!I489)</x:f>
      </x:c>
      <x:c r="K489" s="12" t="str">
        <x:f>IF('Data &amp; Reporting'!J489="","",'Data &amp; Reporting'!J489)</x:f>
      </x:c>
      <x:c r="L489" s="2" t="str">
        <x:f>IF('Data &amp; Reporting'!K489="","",'Data &amp; Reporting'!K489)</x:f>
      </x:c>
      <x:c r="M489" s="2" t="n">
        <x:f>'Data &amp; Reporting'!Q489</x:f>
        <x:v>0</x:v>
      </x:c>
      <x:c r="N489" s="2" t="str">
        <x:f>'Data &amp; Reporting'!L489</x:f>
        <x:v>Open check</x:v>
      </x:c>
      <x:c r="O489" s="2" t="str">
        <x:f>'Data &amp; Reporting'!N489</x:f>
        <x:v>DR.FC.1.3.C09.2026.CY3</x:v>
      </x:c>
      <x:c r="P489" s="2" t="n">
        <x:f>'Data &amp; Reporting'!O489</x:f>
        <x:v>0</x:v>
      </x:c>
      <x:c r="Q489" s="2" t="n">
        <x:f>SUBTOTAL(103,O489)</x:f>
        <x:v>1</x:v>
      </x:c>
      <x:c r="R489" s="2" t="n">
        <x:f>IF(AND(M489=1,OR(Dashboard!$B$7="All",Dashboard!$B$7='Cycles &amp; Guide'!$C$5),OR(Dashboard!$D$7="All",Dashboard!$D$7=B489),OR(Dashboard!$F$7="All",Dashboard!$F$7=C489),OR(Dashboard!$H$7="All",Dashboard!$H$7=D489),OR(Dashboard!$K$7="All",Dashboard!$K$7=E489)),1,0)</x:f>
        <x:v>0</x:v>
      </x:c>
      <x:c r="S489" s="2" t="n">
        <x:f>IF(R489=1,SUM($R$10:R489),0)</x:f>
        <x:v>0</x:v>
      </x:c>
      <x:c r="T489" s="2" t="str">
        <x:v>Data &amp; Reporting</x:v>
      </x:c>
      <x:c r="U489" s="2" t="n">
        <x:v>489</x:v>
      </x:c>
      <x:c r="V489" s="2" t="n">
        <x:f>IF(AND(M489=1,P489=0,ISNUMBER(J489),J489&lt;TODAY()),1,0)</x:f>
        <x:v>0</x:v>
      </x:c>
      <x:c r="W489" s="2" t="str">
        <x:f>'Data &amp; Reporting'!M489</x:f>
        <x:v>Checklist</x:v>
      </x:c>
    </x:row>
    <x:row r="490" ht="40" customHeight="1">
      <x:c r="A490" s="3" t="str">
        <x:f>HYPERLINK("#'Data &amp; Reporting'!A490","Open")</x:f>
        <x:v>Open</x:v>
      </x:c>
      <x:c r="B490" s="2" t="str">
        <x:f>'Data &amp; Reporting'!B490</x:f>
        <x:v>Cycle 3</x:v>
      </x:c>
      <x:c r="C490" s="2" t="str">
        <x:f>'Data &amp; Reporting'!C490</x:f>
        <x:v>Phase 1</x:v>
      </x:c>
      <x:c r="D490" s="2" t="str">
        <x:f>'Data &amp; Reporting'!D490</x:f>
        <x:v>FCM</x:v>
      </x:c>
      <x:c r="E490" s="2" t="str">
        <x:v>Data &amp; Reporting</x:v>
      </x:c>
      <x:c r="F490" s="56" t="str">
        <x:f>'Data &amp; Reporting'!E490</x:f>
        <x:v>DR.FC.1.3.C10</x:v>
      </x:c>
      <x:c r="G490" s="14" t="str">
        <x:f>'Data &amp; Reporting'!F490</x:f>
        <x:v>    Document data dictionary or field definitions for columns/rows</x:v>
      </x:c>
      <x:c r="H490" s="2" t="str">
        <x:f>IF('Data &amp; Reporting'!G490="","",'Data &amp; Reporting'!G490)</x:f>
      </x:c>
      <x:c r="I490" s="12" t="str">
        <x:f>IF('Data &amp; Reporting'!H490="","",'Data &amp; Reporting'!H490)</x:f>
      </x:c>
      <x:c r="J490" s="12" t="str">
        <x:f>IF('Data &amp; Reporting'!I490="","",'Data &amp; Reporting'!I490)</x:f>
      </x:c>
      <x:c r="K490" s="12" t="str">
        <x:f>IF('Data &amp; Reporting'!J490="","",'Data &amp; Reporting'!J490)</x:f>
      </x:c>
      <x:c r="L490" s="2" t="str">
        <x:f>IF('Data &amp; Reporting'!K490="","",'Data &amp; Reporting'!K490)</x:f>
      </x:c>
      <x:c r="M490" s="2" t="n">
        <x:f>'Data &amp; Reporting'!Q490</x:f>
        <x:v>0</x:v>
      </x:c>
      <x:c r="N490" s="2" t="str">
        <x:f>'Data &amp; Reporting'!L490</x:f>
        <x:v>Open check</x:v>
      </x:c>
      <x:c r="O490" s="2" t="str">
        <x:f>'Data &amp; Reporting'!N490</x:f>
        <x:v>DR.FC.1.3.C10.2026.CY3</x:v>
      </x:c>
      <x:c r="P490" s="2" t="n">
        <x:f>'Data &amp; Reporting'!O490</x:f>
        <x:v>0</x:v>
      </x:c>
      <x:c r="Q490" s="2" t="n">
        <x:f>SUBTOTAL(103,O490)</x:f>
        <x:v>1</x:v>
      </x:c>
      <x:c r="R490" s="2" t="n">
        <x:f>IF(AND(M490=1,OR(Dashboard!$B$7="All",Dashboard!$B$7='Cycles &amp; Guide'!$C$5),OR(Dashboard!$D$7="All",Dashboard!$D$7=B490),OR(Dashboard!$F$7="All",Dashboard!$F$7=C490),OR(Dashboard!$H$7="All",Dashboard!$H$7=D490),OR(Dashboard!$K$7="All",Dashboard!$K$7=E490)),1,0)</x:f>
        <x:v>0</x:v>
      </x:c>
      <x:c r="S490" s="2" t="n">
        <x:f>IF(R490=1,SUM($R$10:R490),0)</x:f>
        <x:v>0</x:v>
      </x:c>
      <x:c r="T490" s="2" t="str">
        <x:v>Data &amp; Reporting</x:v>
      </x:c>
      <x:c r="U490" s="2" t="n">
        <x:v>490</x:v>
      </x:c>
      <x:c r="V490" s="2" t="n">
        <x:f>IF(AND(M490=1,P490=0,ISNUMBER(J490),J490&lt;TODAY()),1,0)</x:f>
        <x:v>0</x:v>
      </x:c>
      <x:c r="W490" s="2" t="str">
        <x:f>'Data &amp; Reporting'!M490</x:f>
        <x:v>Checklist</x:v>
      </x:c>
    </x:row>
    <x:row r="491" ht="40" customHeight="1">
      <x:c r="A491" s="3" t="str">
        <x:f>HYPERLINK("#'Data &amp; Reporting'!A491","Open")</x:f>
        <x:v>Open</x:v>
      </x:c>
      <x:c r="B491" s="2" t="str">
        <x:f>'Data &amp; Reporting'!B491</x:f>
        <x:v>Cycle 3</x:v>
      </x:c>
      <x:c r="C491" s="2" t="str">
        <x:f>'Data &amp; Reporting'!C491</x:f>
        <x:v>Phase 1</x:v>
      </x:c>
      <x:c r="D491" s="2" t="str">
        <x:f>'Data &amp; Reporting'!D491</x:f>
        <x:v>FCM</x:v>
      </x:c>
      <x:c r="E491" s="2" t="str">
        <x:v>Data &amp; Reporting</x:v>
      </x:c>
      <x:c r="F491" s="56" t="str">
        <x:f>'Data &amp; Reporting'!E491</x:f>
        <x:v>DR.FC.1.3.C11</x:v>
      </x:c>
      <x:c r="G491" s="14" t="str">
        <x:f>'Data &amp; Reporting'!F491</x:f>
        <x:v>    Document emerging trends, patterns, or concentrations along with supporting data</x:v>
      </x:c>
      <x:c r="H491" s="2" t="str">
        <x:f>IF('Data &amp; Reporting'!G491="","",'Data &amp; Reporting'!G491)</x:f>
      </x:c>
      <x:c r="I491" s="12" t="str">
        <x:f>IF('Data &amp; Reporting'!H491="","",'Data &amp; Reporting'!H491)</x:f>
      </x:c>
      <x:c r="J491" s="12" t="str">
        <x:f>IF('Data &amp; Reporting'!I491="","",'Data &amp; Reporting'!I491)</x:f>
      </x:c>
      <x:c r="K491" s="12" t="str">
        <x:f>IF('Data &amp; Reporting'!J491="","",'Data &amp; Reporting'!J491)</x:f>
      </x:c>
      <x:c r="L491" s="2" t="str">
        <x:f>IF('Data &amp; Reporting'!K491="","",'Data &amp; Reporting'!K491)</x:f>
      </x:c>
      <x:c r="M491" s="2" t="n">
        <x:f>'Data &amp; Reporting'!Q491</x:f>
        <x:v>0</x:v>
      </x:c>
      <x:c r="N491" s="2" t="str">
        <x:f>'Data &amp; Reporting'!L491</x:f>
        <x:v>Open check</x:v>
      </x:c>
      <x:c r="O491" s="2" t="str">
        <x:f>'Data &amp; Reporting'!N491</x:f>
        <x:v>DR.FC.1.3.C11.2026.CY3</x:v>
      </x:c>
      <x:c r="P491" s="2" t="n">
        <x:f>'Data &amp; Reporting'!O491</x:f>
        <x:v>0</x:v>
      </x:c>
      <x:c r="Q491" s="2" t="n">
        <x:f>SUBTOTAL(103,O491)</x:f>
        <x:v>1</x:v>
      </x:c>
      <x:c r="R491" s="2" t="n">
        <x:f>IF(AND(M491=1,OR(Dashboard!$B$7="All",Dashboard!$B$7='Cycles &amp; Guide'!$C$5),OR(Dashboard!$D$7="All",Dashboard!$D$7=B491),OR(Dashboard!$F$7="All",Dashboard!$F$7=C491),OR(Dashboard!$H$7="All",Dashboard!$H$7=D491),OR(Dashboard!$K$7="All",Dashboard!$K$7=E491)),1,0)</x:f>
        <x:v>0</x:v>
      </x:c>
      <x:c r="S491" s="2" t="n">
        <x:f>IF(R491=1,SUM($R$10:R491),0)</x:f>
        <x:v>0</x:v>
      </x:c>
      <x:c r="T491" s="2" t="str">
        <x:v>Data &amp; Reporting</x:v>
      </x:c>
      <x:c r="U491" s="2" t="n">
        <x:v>491</x:v>
      </x:c>
      <x:c r="V491" s="2" t="n">
        <x:f>IF(AND(M491=1,P491=0,ISNUMBER(J491),J491&lt;TODAY()),1,0)</x:f>
        <x:v>0</x:v>
      </x:c>
      <x:c r="W491" s="2" t="str">
        <x:f>'Data &amp; Reporting'!M491</x:f>
        <x:v>Checklist</x:v>
      </x:c>
    </x:row>
    <x:row r="492" ht="40" customHeight="1">
      <x:c r="A492" s="3" t="str">
        <x:f>HYPERLINK("#'Data &amp; Reporting'!A492","Open")</x:f>
        <x:v>Open</x:v>
      </x:c>
      <x:c r="B492" s="2" t="str">
        <x:f>'Data &amp; Reporting'!B492</x:f>
        <x:v>Cycle 3</x:v>
      </x:c>
      <x:c r="C492" s="2" t="str">
        <x:f>'Data &amp; Reporting'!C492</x:f>
        <x:v>Phase 1</x:v>
      </x:c>
      <x:c r="D492" s="2" t="str">
        <x:f>'Data &amp; Reporting'!D492</x:f>
        <x:v>FCM</x:v>
      </x:c>
      <x:c r="E492" s="2" t="str">
        <x:v>Data &amp; Reporting</x:v>
      </x:c>
      <x:c r="F492" s="56" t="str">
        <x:f>'Data &amp; Reporting'!E492</x:f>
        <x:v>DR.FC.1.3.C12</x:v>
      </x:c>
      <x:c r="G492" s="14" t="str">
        <x:f>'Data &amp; Reporting'!F492</x:f>
        <x:v>    Document any severe spikes in volume along with context (as needed)</x:v>
      </x:c>
      <x:c r="H492" s="2" t="str">
        <x:f>IF('Data &amp; Reporting'!G492="","",'Data &amp; Reporting'!G492)</x:f>
      </x:c>
      <x:c r="I492" s="12" t="str">
        <x:f>IF('Data &amp; Reporting'!H492="","",'Data &amp; Reporting'!H492)</x:f>
      </x:c>
      <x:c r="J492" s="12" t="str">
        <x:f>IF('Data &amp; Reporting'!I492="","",'Data &amp; Reporting'!I492)</x:f>
      </x:c>
      <x:c r="K492" s="12" t="str">
        <x:f>IF('Data &amp; Reporting'!J492="","",'Data &amp; Reporting'!J492)</x:f>
      </x:c>
      <x:c r="L492" s="2" t="str">
        <x:f>IF('Data &amp; Reporting'!K492="","",'Data &amp; Reporting'!K492)</x:f>
      </x:c>
      <x:c r="M492" s="2" t="n">
        <x:f>'Data &amp; Reporting'!Q492</x:f>
        <x:v>0</x:v>
      </x:c>
      <x:c r="N492" s="2" t="str">
        <x:f>'Data &amp; Reporting'!L492</x:f>
        <x:v>Open check</x:v>
      </x:c>
      <x:c r="O492" s="2" t="str">
        <x:f>'Data &amp; Reporting'!N492</x:f>
        <x:v>DR.FC.1.3.C12.2026.CY3</x:v>
      </x:c>
      <x:c r="P492" s="2" t="n">
        <x:f>'Data &amp; Reporting'!O492</x:f>
        <x:v>0</x:v>
      </x:c>
      <x:c r="Q492" s="2" t="n">
        <x:f>SUBTOTAL(103,O492)</x:f>
        <x:v>1</x:v>
      </x:c>
      <x:c r="R492" s="2" t="n">
        <x:f>IF(AND(M492=1,OR(Dashboard!$B$7="All",Dashboard!$B$7='Cycles &amp; Guide'!$C$5),OR(Dashboard!$D$7="All",Dashboard!$D$7=B492),OR(Dashboard!$F$7="All",Dashboard!$F$7=C492),OR(Dashboard!$H$7="All",Dashboard!$H$7=D492),OR(Dashboard!$K$7="All",Dashboard!$K$7=E492)),1,0)</x:f>
        <x:v>0</x:v>
      </x:c>
      <x:c r="S492" s="2" t="n">
        <x:f>IF(R492=1,SUM($R$10:R492),0)</x:f>
        <x:v>0</x:v>
      </x:c>
      <x:c r="T492" s="2" t="str">
        <x:v>Data &amp; Reporting</x:v>
      </x:c>
      <x:c r="U492" s="2" t="n">
        <x:v>492</x:v>
      </x:c>
      <x:c r="V492" s="2" t="n">
        <x:f>IF(AND(M492=1,P492=0,ISNUMBER(J492),J492&lt;TODAY()),1,0)</x:f>
        <x:v>0</x:v>
      </x:c>
      <x:c r="W492" s="2" t="str">
        <x:f>'Data &amp; Reporting'!M492</x:f>
        <x:v>Checklist</x:v>
      </x:c>
    </x:row>
    <x:row r="493" ht="40" customHeight="1">
      <x:c r="A493" s="3" t="str">
        <x:f>HYPERLINK("#'Data &amp; Reporting'!A493","Open")</x:f>
        <x:v>Open</x:v>
      </x:c>
      <x:c r="B493" s="2" t="str">
        <x:f>'Data &amp; Reporting'!B493</x:f>
        <x:v>Cycle 3</x:v>
      </x:c>
      <x:c r="C493" s="2" t="str">
        <x:f>'Data &amp; Reporting'!C493</x:f>
        <x:v>Phase 1</x:v>
      </x:c>
      <x:c r="D493" s="2" t="str">
        <x:f>'Data &amp; Reporting'!D493</x:f>
        <x:v>FCM</x:v>
      </x:c>
      <x:c r="E493" s="2" t="str">
        <x:v>Data &amp; Reporting</x:v>
      </x:c>
      <x:c r="F493" s="56" t="str">
        <x:f>'Data &amp; Reporting'!E493</x:f>
        <x:v>DR.FC.1.3.C13</x:v>
      </x:c>
      <x:c r="G493" s="14" t="str">
        <x:f>'Data &amp; Reporting'!F493</x:f>
        <x:v>    Document clear summary explaining how the data connects to the potential topic</x:v>
      </x:c>
      <x:c r="H493" s="2" t="str">
        <x:f>IF('Data &amp; Reporting'!G493="","",'Data &amp; Reporting'!G493)</x:f>
      </x:c>
      <x:c r="I493" s="12" t="str">
        <x:f>IF('Data &amp; Reporting'!H493="","",'Data &amp; Reporting'!H493)</x:f>
      </x:c>
      <x:c r="J493" s="12" t="str">
        <x:f>IF('Data &amp; Reporting'!I493="","",'Data &amp; Reporting'!I493)</x:f>
      </x:c>
      <x:c r="K493" s="12" t="str">
        <x:f>IF('Data &amp; Reporting'!J493="","",'Data &amp; Reporting'!J493)</x:f>
      </x:c>
      <x:c r="L493" s="2" t="str">
        <x:f>IF('Data &amp; Reporting'!K493="","",'Data &amp; Reporting'!K493)</x:f>
      </x:c>
      <x:c r="M493" s="2" t="n">
        <x:f>'Data &amp; Reporting'!Q493</x:f>
        <x:v>0</x:v>
      </x:c>
      <x:c r="N493" s="2" t="str">
        <x:f>'Data &amp; Reporting'!L493</x:f>
        <x:v>Open check</x:v>
      </x:c>
      <x:c r="O493" s="2" t="str">
        <x:f>'Data &amp; Reporting'!N493</x:f>
        <x:v>DR.FC.1.3.C13.2026.CY3</x:v>
      </x:c>
      <x:c r="P493" s="2" t="n">
        <x:f>'Data &amp; Reporting'!O493</x:f>
        <x:v>0</x:v>
      </x:c>
      <x:c r="Q493" s="2" t="n">
        <x:f>SUBTOTAL(103,O493)</x:f>
        <x:v>1</x:v>
      </x:c>
      <x:c r="R493" s="2" t="n">
        <x:f>IF(AND(M493=1,OR(Dashboard!$B$7="All",Dashboard!$B$7='Cycles &amp; Guide'!$C$5),OR(Dashboard!$D$7="All",Dashboard!$D$7=B493),OR(Dashboard!$F$7="All",Dashboard!$F$7=C493),OR(Dashboard!$H$7="All",Dashboard!$H$7=D493),OR(Dashboard!$K$7="All",Dashboard!$K$7=E493)),1,0)</x:f>
        <x:v>0</x:v>
      </x:c>
      <x:c r="S493" s="2" t="n">
        <x:f>IF(R493=1,SUM($R$10:R493),0)</x:f>
        <x:v>0</x:v>
      </x:c>
      <x:c r="T493" s="2" t="str">
        <x:v>Data &amp; Reporting</x:v>
      </x:c>
      <x:c r="U493" s="2" t="n">
        <x:v>493</x:v>
      </x:c>
      <x:c r="V493" s="2" t="n">
        <x:f>IF(AND(M493=1,P493=0,ISNUMBER(J493),J493&lt;TODAY()),1,0)</x:f>
        <x:v>0</x:v>
      </x:c>
      <x:c r="W493" s="2" t="str">
        <x:f>'Data &amp; Reporting'!M493</x:f>
        <x:v>Checklist</x:v>
      </x:c>
    </x:row>
    <x:row r="494" ht="40" customHeight="1">
      <x:c r="A494" s="3" t="str">
        <x:f>HYPERLINK("#'Data &amp; Reporting'!A494","Open")</x:f>
        <x:v>Open</x:v>
      </x:c>
      <x:c r="B494" s="2" t="str">
        <x:f>'Data &amp; Reporting'!B494</x:f>
        <x:v>Cycle 3</x:v>
      </x:c>
      <x:c r="C494" s="2" t="str">
        <x:f>'Data &amp; Reporting'!C494</x:f>
        <x:v>Phase 2</x:v>
      </x:c>
      <x:c r="D494" s="2" t="str">
        <x:f>'Data &amp; Reporting'!D494</x:f>
        <x:v>FCM</x:v>
      </x:c>
      <x:c r="E494" s="2" t="str">
        <x:v>Data &amp; Reporting</x:v>
      </x:c>
      <x:c r="F494" s="56" t="str">
        <x:f>'Data &amp; Reporting'!E494</x:f>
        <x:v>DR.FC.2.1</x:v>
      </x:c>
      <x:c r="G494" s="14" t="str">
        <x:f>'Data &amp; Reporting'!F494</x:f>
        <x:v>Ensure data is clean, structured, and usable without manipulation needed</x:v>
      </x:c>
      <x:c r="H494" s="2" t="str">
        <x:f>IF('Data &amp; Reporting'!G494="","",'Data &amp; Reporting'!G494)</x:f>
      </x:c>
      <x:c r="I494" s="12" t="str">
        <x:f>IF('Data &amp; Reporting'!H494="","",'Data &amp; Reporting'!H494)</x:f>
      </x:c>
      <x:c r="J494" s="12" t="n">
        <x:f>IF('Data &amp; Reporting'!I494="","",'Data &amp; Reporting'!I494)</x:f>
        <x:v>46295</x:v>
      </x:c>
      <x:c r="K494" s="12" t="str">
        <x:f>IF('Data &amp; Reporting'!J494="","",'Data &amp; Reporting'!J494)</x:f>
      </x:c>
      <x:c r="L494" s="2" t="str">
        <x:f>IF('Data &amp; Reporting'!K494="","",'Data &amp; Reporting'!K494)</x:f>
      </x:c>
      <x:c r="M494" s="2" t="n">
        <x:f>'Data &amp; Reporting'!Q494</x:f>
        <x:v>1</x:v>
      </x:c>
      <x:c r="N494" s="2" t="str">
        <x:f>'Data &amp; Reporting'!L494</x:f>
        <x:v>Not started</x:v>
      </x:c>
      <x:c r="O494" s="2" t="str">
        <x:f>'Data &amp; Reporting'!N494</x:f>
        <x:v>DR.FC.2.1.2026.CY3</x:v>
      </x:c>
      <x:c r="P494" s="2" t="n">
        <x:f>'Data &amp; Reporting'!O494</x:f>
        <x:v>0</x:v>
      </x:c>
      <x:c r="Q494" s="2" t="n">
        <x:f>SUBTOTAL(103,O494)</x:f>
        <x:v>1</x:v>
      </x:c>
      <x:c r="R494" s="2" t="n">
        <x:f>IF(AND(M494=1,OR(Dashboard!$B$7="All",Dashboard!$B$7='Cycles &amp; Guide'!$C$5),OR(Dashboard!$D$7="All",Dashboard!$D$7=B494),OR(Dashboard!$F$7="All",Dashboard!$F$7=C494),OR(Dashboard!$H$7="All",Dashboard!$H$7=D494),OR(Dashboard!$K$7="All",Dashboard!$K$7=E494)),1,0)</x:f>
        <x:v>1</x:v>
      </x:c>
      <x:c r="S494" s="2" t="n">
        <x:f>IF(R494=1,SUM($R$10:R494),0)</x:f>
        <x:v>238</x:v>
      </x:c>
      <x:c r="T494" s="2" t="str">
        <x:v>Data &amp; Reporting</x:v>
      </x:c>
      <x:c r="U494" s="2" t="n">
        <x:v>494</x:v>
      </x:c>
      <x:c r="V494" s="2" t="n">
        <x:f>IF(AND(M494=1,P494=0,ISNUMBER(J494),J494&lt;TODAY()),1,0)</x:f>
        <x:v>0</x:v>
      </x:c>
      <x:c r="W494" s="2" t="str">
        <x:f>'Data &amp; Reporting'!M494</x:f>
        <x:v>Task</x:v>
      </x:c>
    </x:row>
    <x:row r="495" ht="40" customHeight="1">
      <x:c r="A495" s="3" t="str">
        <x:f>HYPERLINK("#'Data &amp; Reporting'!A495","Open")</x:f>
        <x:v>Open</x:v>
      </x:c>
      <x:c r="B495" s="2" t="str">
        <x:f>'Data &amp; Reporting'!B495</x:f>
        <x:v>Cycle 3</x:v>
      </x:c>
      <x:c r="C495" s="2" t="str">
        <x:f>'Data &amp; Reporting'!C495</x:f>
        <x:v>Phase 2</x:v>
      </x:c>
      <x:c r="D495" s="2" t="str">
        <x:f>'Data &amp; Reporting'!D495</x:f>
        <x:v>FCM</x:v>
      </x:c>
      <x:c r="E495" s="2" t="str">
        <x:v>Data &amp; Reporting</x:v>
      </x:c>
      <x:c r="F495" s="56" t="str">
        <x:f>'Data &amp; Reporting'!E495</x:f>
        <x:v>DR.FC.2.2</x:v>
      </x:c>
      <x:c r="G495" s="14" t="str">
        <x:f>'Data &amp; Reporting'!F495</x:f>
        <x:v>Clearly document rationale for each topic recommendation within the SharePoint list</x:v>
      </x:c>
      <x:c r="H495" s="2" t="str">
        <x:f>IF('Data &amp; Reporting'!G495="","",'Data &amp; Reporting'!G495)</x:f>
      </x:c>
      <x:c r="I495" s="12" t="str">
        <x:f>IF('Data &amp; Reporting'!H495="","",'Data &amp; Reporting'!H495)</x:f>
      </x:c>
      <x:c r="J495" s="12" t="n">
        <x:f>IF('Data &amp; Reporting'!I495="","",'Data &amp; Reporting'!I495)</x:f>
        <x:v>46295</x:v>
      </x:c>
      <x:c r="K495" s="12" t="str">
        <x:f>IF('Data &amp; Reporting'!J495="","",'Data &amp; Reporting'!J495)</x:f>
      </x:c>
      <x:c r="L495" s="2" t="str">
        <x:f>IF('Data &amp; Reporting'!K495="","",'Data &amp; Reporting'!K495)</x:f>
      </x:c>
      <x:c r="M495" s="2" t="n">
        <x:f>'Data &amp; Reporting'!Q495</x:f>
        <x:v>1</x:v>
      </x:c>
      <x:c r="N495" s="2" t="str">
        <x:f>'Data &amp; Reporting'!L495</x:f>
        <x:v>Not started</x:v>
      </x:c>
      <x:c r="O495" s="2" t="str">
        <x:f>'Data &amp; Reporting'!N495</x:f>
        <x:v>DR.FC.2.2.2026.CY3</x:v>
      </x:c>
      <x:c r="P495" s="2" t="n">
        <x:f>'Data &amp; Reporting'!O495</x:f>
        <x:v>0</x:v>
      </x:c>
      <x:c r="Q495" s="2" t="n">
        <x:f>SUBTOTAL(103,O495)</x:f>
        <x:v>1</x:v>
      </x:c>
      <x:c r="R495" s="2" t="n">
        <x:f>IF(AND(M495=1,OR(Dashboard!$B$7="All",Dashboard!$B$7='Cycles &amp; Guide'!$C$5),OR(Dashboard!$D$7="All",Dashboard!$D$7=B495),OR(Dashboard!$F$7="All",Dashboard!$F$7=C495),OR(Dashboard!$H$7="All",Dashboard!$H$7=D495),OR(Dashboard!$K$7="All",Dashboard!$K$7=E495)),1,0)</x:f>
        <x:v>1</x:v>
      </x:c>
      <x:c r="S495" s="2" t="n">
        <x:f>IF(R495=1,SUM($R$10:R495),0)</x:f>
        <x:v>239</x:v>
      </x:c>
      <x:c r="T495" s="2" t="str">
        <x:v>Data &amp; Reporting</x:v>
      </x:c>
      <x:c r="U495" s="2" t="n">
        <x:v>495</x:v>
      </x:c>
      <x:c r="V495" s="2" t="n">
        <x:f>IF(AND(M495=1,P495=0,ISNUMBER(J495),J495&lt;TODAY()),1,0)</x:f>
        <x:v>0</x:v>
      </x:c>
      <x:c r="W495" s="2" t="str">
        <x:f>'Data &amp; Reporting'!M495</x:f>
        <x:v>Task</x:v>
      </x:c>
    </x:row>
    <x:row r="496" ht="40" customHeight="1">
      <x:c r="A496" s="3" t="str">
        <x:f>HYPERLINK("#'Data &amp; Reporting'!A496","Open")</x:f>
        <x:v>Open</x:v>
      </x:c>
      <x:c r="B496" s="2" t="str">
        <x:f>'Data &amp; Reporting'!B496</x:f>
        <x:v>Cycle 3</x:v>
      </x:c>
      <x:c r="C496" s="2" t="str">
        <x:f>'Data &amp; Reporting'!C496</x:f>
        <x:v>Phase 2</x:v>
      </x:c>
      <x:c r="D496" s="2" t="str">
        <x:f>'Data &amp; Reporting'!D496</x:f>
        <x:v>FCM</x:v>
      </x:c>
      <x:c r="E496" s="2" t="str">
        <x:v>Data &amp; Reporting</x:v>
      </x:c>
      <x:c r="F496" s="56" t="str">
        <x:f>'Data &amp; Reporting'!E496</x:f>
        <x:v>DR.FC.2.3</x:v>
      </x:c>
      <x:c r="G496" s="14" t="str">
        <x:f>'Data &amp; Reporting'!F496</x:f>
        <x:v>Verify topic is eligible for RCA and does not conflict with Attorney Client Privilege</x:v>
      </x:c>
      <x:c r="H496" s="2" t="str">
        <x:f>IF('Data &amp; Reporting'!G496="","",'Data &amp; Reporting'!G496)</x:f>
      </x:c>
      <x:c r="I496" s="12" t="str">
        <x:f>IF('Data &amp; Reporting'!H496="","",'Data &amp; Reporting'!H496)</x:f>
      </x:c>
      <x:c r="J496" s="12" t="n">
        <x:f>IF('Data &amp; Reporting'!I496="","",'Data &amp; Reporting'!I496)</x:f>
        <x:v>46295</x:v>
      </x:c>
      <x:c r="K496" s="12" t="str">
        <x:f>IF('Data &amp; Reporting'!J496="","",'Data &amp; Reporting'!J496)</x:f>
      </x:c>
      <x:c r="L496" s="2" t="str">
        <x:f>IF('Data &amp; Reporting'!K496="","",'Data &amp; Reporting'!K496)</x:f>
      </x:c>
      <x:c r="M496" s="2" t="n">
        <x:f>'Data &amp; Reporting'!Q496</x:f>
        <x:v>1</x:v>
      </x:c>
      <x:c r="N496" s="2" t="str">
        <x:f>'Data &amp; Reporting'!L496</x:f>
        <x:v>Not started</x:v>
      </x:c>
      <x:c r="O496" s="2" t="str">
        <x:f>'Data &amp; Reporting'!N496</x:f>
        <x:v>DR.FC.2.3.2026.CY3</x:v>
      </x:c>
      <x:c r="P496" s="2" t="n">
        <x:f>'Data &amp; Reporting'!O496</x:f>
        <x:v>0</x:v>
      </x:c>
      <x:c r="Q496" s="2" t="n">
        <x:f>SUBTOTAL(103,O496)</x:f>
        <x:v>1</x:v>
      </x:c>
      <x:c r="R496" s="2" t="n">
        <x:f>IF(AND(M496=1,OR(Dashboard!$B$7="All",Dashboard!$B$7='Cycles &amp; Guide'!$C$5),OR(Dashboard!$D$7="All",Dashboard!$D$7=B496),OR(Dashboard!$F$7="All",Dashboard!$F$7=C496),OR(Dashboard!$H$7="All",Dashboard!$H$7=D496),OR(Dashboard!$K$7="All",Dashboard!$K$7=E496)),1,0)</x:f>
        <x:v>1</x:v>
      </x:c>
      <x:c r="S496" s="2" t="n">
        <x:f>IF(R496=1,SUM($R$10:R496),0)</x:f>
        <x:v>240</x:v>
      </x:c>
      <x:c r="T496" s="2" t="str">
        <x:v>Data &amp; Reporting</x:v>
      </x:c>
      <x:c r="U496" s="2" t="n">
        <x:v>496</x:v>
      </x:c>
      <x:c r="V496" s="2" t="n">
        <x:f>IF(AND(M496=1,P496=0,ISNUMBER(J496),J496&lt;TODAY()),1,0)</x:f>
        <x:v>0</x:v>
      </x:c>
      <x:c r="W496" s="2" t="str">
        <x:f>'Data &amp; Reporting'!M496</x:f>
        <x:v>Task</x:v>
      </x:c>
    </x:row>
    <x:row r="497" ht="40" customHeight="1">
      <x:c r="A497" s="3" t="str">
        <x:f>HYPERLINK("#'Data &amp; Reporting'!A497","Open")</x:f>
        <x:v>Open</x:v>
      </x:c>
      <x:c r="B497" s="2" t="str">
        <x:f>'Data &amp; Reporting'!B497</x:f>
        <x:v>Cycle 3</x:v>
      </x:c>
      <x:c r="C497" s="2" t="str">
        <x:f>'Data &amp; Reporting'!C497</x:f>
        <x:v>Phase 2</x:v>
      </x:c>
      <x:c r="D497" s="2" t="str">
        <x:f>'Data &amp; Reporting'!D497</x:f>
        <x:v>FCM</x:v>
      </x:c>
      <x:c r="E497" s="2" t="str">
        <x:v>Data &amp; Reporting</x:v>
      </x:c>
      <x:c r="F497" s="56" t="str">
        <x:f>'Data &amp; Reporting'!E497</x:f>
        <x:v>DR.FC.2.4</x:v>
      </x:c>
      <x:c r="G497" s="14" t="str">
        <x:f>'Data &amp; Reporting'!F497</x:f>
        <x:v>Ensure data is free of errors and anomalies prior to hand-off to Research</x:v>
      </x:c>
      <x:c r="H497" s="2" t="str">
        <x:f>IF('Data &amp; Reporting'!G497="","",'Data &amp; Reporting'!G497)</x:f>
      </x:c>
      <x:c r="I497" s="12" t="str">
        <x:f>IF('Data &amp; Reporting'!H497="","",'Data &amp; Reporting'!H497)</x:f>
      </x:c>
      <x:c r="J497" s="12" t="n">
        <x:f>IF('Data &amp; Reporting'!I497="","",'Data &amp; Reporting'!I497)</x:f>
        <x:v>46295</x:v>
      </x:c>
      <x:c r="K497" s="12" t="str">
        <x:f>IF('Data &amp; Reporting'!J497="","",'Data &amp; Reporting'!J497)</x:f>
      </x:c>
      <x:c r="L497" s="2" t="str">
        <x:f>IF('Data &amp; Reporting'!K497="","",'Data &amp; Reporting'!K497)</x:f>
      </x:c>
      <x:c r="M497" s="2" t="n">
        <x:f>'Data &amp; Reporting'!Q497</x:f>
        <x:v>1</x:v>
      </x:c>
      <x:c r="N497" s="2" t="str">
        <x:f>'Data &amp; Reporting'!L497</x:f>
        <x:v>Not started</x:v>
      </x:c>
      <x:c r="O497" s="2" t="str">
        <x:f>'Data &amp; Reporting'!N497</x:f>
        <x:v>DR.FC.2.4.2026.CY3</x:v>
      </x:c>
      <x:c r="P497" s="2" t="n">
        <x:f>'Data &amp; Reporting'!O497</x:f>
        <x:v>0</x:v>
      </x:c>
      <x:c r="Q497" s="2" t="n">
        <x:f>SUBTOTAL(103,O497)</x:f>
        <x:v>1</x:v>
      </x:c>
      <x:c r="R497" s="2" t="n">
        <x:f>IF(AND(M497=1,OR(Dashboard!$B$7="All",Dashboard!$B$7='Cycles &amp; Guide'!$C$5),OR(Dashboard!$D$7="All",Dashboard!$D$7=B497),OR(Dashboard!$F$7="All",Dashboard!$F$7=C497),OR(Dashboard!$H$7="All",Dashboard!$H$7=D497),OR(Dashboard!$K$7="All",Dashboard!$K$7=E497)),1,0)</x:f>
        <x:v>1</x:v>
      </x:c>
      <x:c r="S497" s="2" t="n">
        <x:f>IF(R497=1,SUM($R$10:R497),0)</x:f>
        <x:v>241</x:v>
      </x:c>
      <x:c r="T497" s="2" t="str">
        <x:v>Data &amp; Reporting</x:v>
      </x:c>
      <x:c r="U497" s="2" t="n">
        <x:v>497</x:v>
      </x:c>
      <x:c r="V497" s="2" t="n">
        <x:f>IF(AND(M497=1,P497=0,ISNUMBER(J497),J497&lt;TODAY()),1,0)</x:f>
        <x:v>0</x:v>
      </x:c>
      <x:c r="W497" s="2" t="str">
        <x:f>'Data &amp; Reporting'!M497</x:f>
        <x:v>Task</x:v>
      </x:c>
    </x:row>
    <x:row r="498" ht="40" customHeight="1">
      <x:c r="A498" s="3" t="str">
        <x:f>HYPERLINK("#'Data &amp; Reporting'!A498","Open")</x:f>
        <x:v>Open</x:v>
      </x:c>
      <x:c r="B498" s="2" t="str">
        <x:f>'Data &amp; Reporting'!B498</x:f>
        <x:v>Cycle 3</x:v>
      </x:c>
      <x:c r="C498" s="2" t="str">
        <x:f>'Data &amp; Reporting'!C498</x:f>
        <x:v>Phase 2</x:v>
      </x:c>
      <x:c r="D498" s="2" t="str">
        <x:f>'Data &amp; Reporting'!D498</x:f>
        <x:v>FCM</x:v>
      </x:c>
      <x:c r="E498" s="2" t="str">
        <x:v>Data &amp; Reporting</x:v>
      </x:c>
      <x:c r="F498" s="56" t="str">
        <x:f>'Data &amp; Reporting'!E498</x:f>
        <x:v>DR.FC.2.5</x:v>
      </x:c>
      <x:c r="G498" s="14" t="str">
        <x:f>'Data &amp; Reporting'!F498</x:f>
        <x:v>Ensure topic is not a duplicate from a previous Cycle</x:v>
      </x:c>
      <x:c r="H498" s="2" t="str">
        <x:f>IF('Data &amp; Reporting'!G498="","",'Data &amp; Reporting'!G498)</x:f>
      </x:c>
      <x:c r="I498" s="12" t="str">
        <x:f>IF('Data &amp; Reporting'!H498="","",'Data &amp; Reporting'!H498)</x:f>
      </x:c>
      <x:c r="J498" s="12" t="n">
        <x:f>IF('Data &amp; Reporting'!I498="","",'Data &amp; Reporting'!I498)</x:f>
        <x:v>46295</x:v>
      </x:c>
      <x:c r="K498" s="12" t="str">
        <x:f>IF('Data &amp; Reporting'!J498="","",'Data &amp; Reporting'!J498)</x:f>
      </x:c>
      <x:c r="L498" s="2" t="str">
        <x:f>IF('Data &amp; Reporting'!K498="","",'Data &amp; Reporting'!K498)</x:f>
      </x:c>
      <x:c r="M498" s="2" t="n">
        <x:f>'Data &amp; Reporting'!Q498</x:f>
        <x:v>1</x:v>
      </x:c>
      <x:c r="N498" s="2" t="str">
        <x:f>'Data &amp; Reporting'!L498</x:f>
        <x:v>Not started</x:v>
      </x:c>
      <x:c r="O498" s="2" t="str">
        <x:f>'Data &amp; Reporting'!N498</x:f>
        <x:v>DR.FC.2.5.2026.CY3</x:v>
      </x:c>
      <x:c r="P498" s="2" t="n">
        <x:f>'Data &amp; Reporting'!O498</x:f>
        <x:v>0</x:v>
      </x:c>
      <x:c r="Q498" s="2" t="n">
        <x:f>SUBTOTAL(103,O498)</x:f>
        <x:v>1</x:v>
      </x:c>
      <x:c r="R498" s="2" t="n">
        <x:f>IF(AND(M498=1,OR(Dashboard!$B$7="All",Dashboard!$B$7='Cycles &amp; Guide'!$C$5),OR(Dashboard!$D$7="All",Dashboard!$D$7=B498),OR(Dashboard!$F$7="All",Dashboard!$F$7=C498),OR(Dashboard!$H$7="All",Dashboard!$H$7=D498),OR(Dashboard!$K$7="All",Dashboard!$K$7=E498)),1,0)</x:f>
        <x:v>1</x:v>
      </x:c>
      <x:c r="S498" s="2" t="n">
        <x:f>IF(R498=1,SUM($R$10:R498),0)</x:f>
        <x:v>242</x:v>
      </x:c>
      <x:c r="T498" s="2" t="str">
        <x:v>Data &amp; Reporting</x:v>
      </x:c>
      <x:c r="U498" s="2" t="n">
        <x:v>498</x:v>
      </x:c>
      <x:c r="V498" s="2" t="n">
        <x:f>IF(AND(M498=1,P498=0,ISNUMBER(J498),J498&lt;TODAY()),1,0)</x:f>
        <x:v>0</x:v>
      </x:c>
      <x:c r="W498" s="2" t="str">
        <x:f>'Data &amp; Reporting'!M498</x:f>
        <x:v>Task</x:v>
      </x:c>
    </x:row>
    <x:row r="499" ht="40" customHeight="1">
      <x:c r="A499" s="3" t="str">
        <x:f>HYPERLINK("#'Data &amp; Reporting'!A499","Open")</x:f>
        <x:v>Open</x:v>
      </x:c>
      <x:c r="B499" s="2" t="str">
        <x:f>'Data &amp; Reporting'!B499</x:f>
        <x:v>Cycle 3</x:v>
      </x:c>
      <x:c r="C499" s="2" t="str">
        <x:f>'Data &amp; Reporting'!C499</x:f>
        <x:v>Phase 2</x:v>
      </x:c>
      <x:c r="D499" s="2" t="str">
        <x:f>'Data &amp; Reporting'!D499</x:f>
        <x:v>FCM</x:v>
      </x:c>
      <x:c r="E499" s="2" t="str">
        <x:v>Data &amp; Reporting</x:v>
      </x:c>
      <x:c r="F499" s="56" t="str">
        <x:f>'Data &amp; Reporting'!E499</x:f>
        <x:v>DR.FC.2.6</x:v>
      </x:c>
      <x:c r="G499" s="14" t="str">
        <x:f>'Data &amp; Reporting'!F499</x:f>
        <x:v>Document clear distinctions between facts, assumptions, and hypotheses within the data package</x:v>
      </x:c>
      <x:c r="H499" s="2" t="str">
        <x:f>IF('Data &amp; Reporting'!G499="","",'Data &amp; Reporting'!G499)</x:f>
      </x:c>
      <x:c r="I499" s="12" t="str">
        <x:f>IF('Data &amp; Reporting'!H499="","",'Data &amp; Reporting'!H499)</x:f>
      </x:c>
      <x:c r="J499" s="12" t="n">
        <x:f>IF('Data &amp; Reporting'!I499="","",'Data &amp; Reporting'!I499)</x:f>
        <x:v>46295</x:v>
      </x:c>
      <x:c r="K499" s="12" t="str">
        <x:f>IF('Data &amp; Reporting'!J499="","",'Data &amp; Reporting'!J499)</x:f>
      </x:c>
      <x:c r="L499" s="2" t="str">
        <x:f>IF('Data &amp; Reporting'!K499="","",'Data &amp; Reporting'!K499)</x:f>
      </x:c>
      <x:c r="M499" s="2" t="n">
        <x:f>'Data &amp; Reporting'!Q499</x:f>
        <x:v>1</x:v>
      </x:c>
      <x:c r="N499" s="2" t="str">
        <x:f>'Data &amp; Reporting'!L499</x:f>
        <x:v>Not started</x:v>
      </x:c>
      <x:c r="O499" s="2" t="str">
        <x:f>'Data &amp; Reporting'!N499</x:f>
        <x:v>DR.FC.2.6.2026.CY3</x:v>
      </x:c>
      <x:c r="P499" s="2" t="n">
        <x:f>'Data &amp; Reporting'!O499</x:f>
        <x:v>0</x:v>
      </x:c>
      <x:c r="Q499" s="2" t="n">
        <x:f>SUBTOTAL(103,O499)</x:f>
        <x:v>1</x:v>
      </x:c>
      <x:c r="R499" s="2" t="n">
        <x:f>IF(AND(M499=1,OR(Dashboard!$B$7="All",Dashboard!$B$7='Cycles &amp; Guide'!$C$5),OR(Dashboard!$D$7="All",Dashboard!$D$7=B499),OR(Dashboard!$F$7="All",Dashboard!$F$7=C499),OR(Dashboard!$H$7="All",Dashboard!$H$7=D499),OR(Dashboard!$K$7="All",Dashboard!$K$7=E499)),1,0)</x:f>
        <x:v>1</x:v>
      </x:c>
      <x:c r="S499" s="2" t="n">
        <x:f>IF(R499=1,SUM($R$10:R499),0)</x:f>
        <x:v>243</x:v>
      </x:c>
      <x:c r="T499" s="2" t="str">
        <x:v>Data &amp; Reporting</x:v>
      </x:c>
      <x:c r="U499" s="2" t="n">
        <x:v>499</x:v>
      </x:c>
      <x:c r="V499" s="2" t="n">
        <x:f>IF(AND(M499=1,P499=0,ISNUMBER(J499),J499&lt;TODAY()),1,0)</x:f>
        <x:v>0</x:v>
      </x:c>
      <x:c r="W499" s="2" t="str">
        <x:f>'Data &amp; Reporting'!M499</x:f>
        <x:v>Task</x:v>
      </x:c>
    </x:row>
    <x:row r="500" ht="40" customHeight="1">
      <x:c r="A500" s="3" t="str">
        <x:f>HYPERLINK("#'Data &amp; Reporting'!A500","Open")</x:f>
        <x:v>Open</x:v>
      </x:c>
      <x:c r="B500" s="2" t="str">
        <x:f>'Data &amp; Reporting'!B500</x:f>
        <x:v>Cycle 3</x:v>
      </x:c>
      <x:c r="C500" s="2" t="str">
        <x:f>'Data &amp; Reporting'!C500</x:f>
        <x:v>Phase 3</x:v>
      </x:c>
      <x:c r="D500" s="2" t="str">
        <x:f>'Data &amp; Reporting'!D500</x:f>
        <x:v>FCM</x:v>
      </x:c>
      <x:c r="E500" s="2" t="str">
        <x:v>Data &amp; Reporting</x:v>
      </x:c>
      <x:c r="F500" s="56" t="str">
        <x:f>'Data &amp; Reporting'!E500</x:f>
        <x:v>DR.FC.3.1</x:v>
      </x:c>
      <x:c r="G500" s="14" t="str">
        <x:f>'Data &amp; Reporting'!F500</x:f>
        <x:v>Clearly document rationale for each topic recommendation within the SharePoint list item</x:v>
      </x:c>
      <x:c r="H500" s="2" t="str">
        <x:f>IF('Data &amp; Reporting'!G500="","",'Data &amp; Reporting'!G500)</x:f>
      </x:c>
      <x:c r="I500" s="12" t="str">
        <x:f>IF('Data &amp; Reporting'!H500="","",'Data &amp; Reporting'!H500)</x:f>
      </x:c>
      <x:c r="J500" s="12" t="n">
        <x:f>IF('Data &amp; Reporting'!I500="","",'Data &amp; Reporting'!I500)</x:f>
        <x:v>46295</x:v>
      </x:c>
      <x:c r="K500" s="12" t="str">
        <x:f>IF('Data &amp; Reporting'!J500="","",'Data &amp; Reporting'!J500)</x:f>
      </x:c>
      <x:c r="L500" s="2" t="str">
        <x:f>IF('Data &amp; Reporting'!K500="","",'Data &amp; Reporting'!K500)</x:f>
      </x:c>
      <x:c r="M500" s="2" t="n">
        <x:f>'Data &amp; Reporting'!Q500</x:f>
        <x:v>1</x:v>
      </x:c>
      <x:c r="N500" s="2" t="str">
        <x:f>'Data &amp; Reporting'!L500</x:f>
        <x:v>Not started</x:v>
      </x:c>
      <x:c r="O500" s="2" t="str">
        <x:f>'Data &amp; Reporting'!N500</x:f>
        <x:v>DR.FC.3.1.2026.CY3</x:v>
      </x:c>
      <x:c r="P500" s="2" t="n">
        <x:f>'Data &amp; Reporting'!O500</x:f>
        <x:v>0</x:v>
      </x:c>
      <x:c r="Q500" s="2" t="n">
        <x:f>SUBTOTAL(103,O500)</x:f>
        <x:v>1</x:v>
      </x:c>
      <x:c r="R500" s="2" t="n">
        <x:f>IF(AND(M500=1,OR(Dashboard!$B$7="All",Dashboard!$B$7='Cycles &amp; Guide'!$C$5),OR(Dashboard!$D$7="All",Dashboard!$D$7=B500),OR(Dashboard!$F$7="All",Dashboard!$F$7=C500),OR(Dashboard!$H$7="All",Dashboard!$H$7=D500),OR(Dashboard!$K$7="All",Dashboard!$K$7=E500)),1,0)</x:f>
        <x:v>1</x:v>
      </x:c>
      <x:c r="S500" s="2" t="n">
        <x:f>IF(R500=1,SUM($R$10:R500),0)</x:f>
        <x:v>244</x:v>
      </x:c>
      <x:c r="T500" s="2" t="str">
        <x:v>Data &amp; Reporting</x:v>
      </x:c>
      <x:c r="U500" s="2" t="n">
        <x:v>500</x:v>
      </x:c>
      <x:c r="V500" s="2" t="n">
        <x:f>IF(AND(M500=1,P500=0,ISNUMBER(J500),J500&lt;TODAY()),1,0)</x:f>
        <x:v>0</x:v>
      </x:c>
      <x:c r="W500" s="2" t="str">
        <x:f>'Data &amp; Reporting'!M500</x:f>
        <x:v>Task</x:v>
      </x:c>
    </x:row>
    <x:row r="501" ht="40" customHeight="1">
      <x:c r="A501" s="3" t="str">
        <x:f>HYPERLINK("#'Data &amp; Reporting'!A501","Open")</x:f>
        <x:v>Open</x:v>
      </x:c>
      <x:c r="B501" s="2" t="str">
        <x:f>'Data &amp; Reporting'!B501</x:f>
        <x:v>Cycle 3</x:v>
      </x:c>
      <x:c r="C501" s="2" t="str">
        <x:f>'Data &amp; Reporting'!C501</x:f>
        <x:v>Phase 3</x:v>
      </x:c>
      <x:c r="D501" s="2" t="str">
        <x:f>'Data &amp; Reporting'!D501</x:f>
        <x:v>FCM</x:v>
      </x:c>
      <x:c r="E501" s="2" t="str">
        <x:v>Data &amp; Reporting</x:v>
      </x:c>
      <x:c r="F501" s="56" t="str">
        <x:f>'Data &amp; Reporting'!E501</x:f>
        <x:v>DR.FC.3.2</x:v>
      </x:c>
      <x:c r="G501" s="14" t="str">
        <x:f>'Data &amp; Reporting'!F501</x:f>
        <x:v>Attach the data package for each topic recommendation within the SharePoint list item</x:v>
      </x:c>
      <x:c r="H501" s="2" t="str">
        <x:f>IF('Data &amp; Reporting'!G501="","",'Data &amp; Reporting'!G501)</x:f>
      </x:c>
      <x:c r="I501" s="12" t="str">
        <x:f>IF('Data &amp; Reporting'!H501="","",'Data &amp; Reporting'!H501)</x:f>
      </x:c>
      <x:c r="J501" s="12" t="n">
        <x:f>IF('Data &amp; Reporting'!I501="","",'Data &amp; Reporting'!I501)</x:f>
        <x:v>46295</x:v>
      </x:c>
      <x:c r="K501" s="12" t="str">
        <x:f>IF('Data &amp; Reporting'!J501="","",'Data &amp; Reporting'!J501)</x:f>
      </x:c>
      <x:c r="L501" s="2" t="str">
        <x:f>IF('Data &amp; Reporting'!K501="","",'Data &amp; Reporting'!K501)</x:f>
      </x:c>
      <x:c r="M501" s="2" t="n">
        <x:f>'Data &amp; Reporting'!Q501</x:f>
        <x:v>1</x:v>
      </x:c>
      <x:c r="N501" s="2" t="str">
        <x:f>'Data &amp; Reporting'!L501</x:f>
        <x:v>Not started</x:v>
      </x:c>
      <x:c r="O501" s="2" t="str">
        <x:f>'Data &amp; Reporting'!N501</x:f>
        <x:v>DR.FC.3.2.2026.CY3</x:v>
      </x:c>
      <x:c r="P501" s="2" t="n">
        <x:f>'Data &amp; Reporting'!O501</x:f>
        <x:v>0</x:v>
      </x:c>
      <x:c r="Q501" s="2" t="n">
        <x:f>SUBTOTAL(103,O501)</x:f>
        <x:v>1</x:v>
      </x:c>
      <x:c r="R501" s="2" t="n">
        <x:f>IF(AND(M501=1,OR(Dashboard!$B$7="All",Dashboard!$B$7='Cycles &amp; Guide'!$C$5),OR(Dashboard!$D$7="All",Dashboard!$D$7=B501),OR(Dashboard!$F$7="All",Dashboard!$F$7=C501),OR(Dashboard!$H$7="All",Dashboard!$H$7=D501),OR(Dashboard!$K$7="All",Dashboard!$K$7=E501)),1,0)</x:f>
        <x:v>1</x:v>
      </x:c>
      <x:c r="S501" s="2" t="n">
        <x:f>IF(R501=1,SUM($R$10:R501),0)</x:f>
        <x:v>245</x:v>
      </x:c>
      <x:c r="T501" s="2" t="str">
        <x:v>Data &amp; Reporting</x:v>
      </x:c>
      <x:c r="U501" s="2" t="n">
        <x:v>501</x:v>
      </x:c>
      <x:c r="V501" s="2" t="n">
        <x:f>IF(AND(M501=1,P501=0,ISNUMBER(J501),J501&lt;TODAY()),1,0)</x:f>
        <x:v>0</x:v>
      </x:c>
      <x:c r="W501" s="2" t="str">
        <x:f>'Data &amp; Reporting'!M501</x:f>
        <x:v>Task</x:v>
      </x:c>
    </x:row>
    <x:row r="502" ht="40" customHeight="1">
      <x:c r="A502" s="3" t="str">
        <x:f>HYPERLINK("#'Data &amp; Reporting'!A502","Open")</x:f>
        <x:v>Open</x:v>
      </x:c>
      <x:c r="B502" s="2" t="str">
        <x:f>'Data &amp; Reporting'!B502</x:f>
        <x:v>Cycle 3</x:v>
      </x:c>
      <x:c r="C502" s="2" t="str">
        <x:f>'Data &amp; Reporting'!C502</x:f>
        <x:v>Phase 3</x:v>
      </x:c>
      <x:c r="D502" s="2" t="str">
        <x:f>'Data &amp; Reporting'!D502</x:f>
        <x:v>FCM</x:v>
      </x:c>
      <x:c r="E502" s="2" t="str">
        <x:v>Data &amp; Reporting</x:v>
      </x:c>
      <x:c r="F502" s="56" t="str">
        <x:f>'Data &amp; Reporting'!E502</x:f>
        <x:v>DR.FC.3.3</x:v>
      </x:c>
      <x:c r="G502" s="14" t="str">
        <x:f>'Data &amp; Reporting'!F502</x:f>
        <x:v>Confirm data privileges have been granted, ensuring each pillar can access</x:v>
      </x:c>
      <x:c r="H502" s="2" t="str">
        <x:f>IF('Data &amp; Reporting'!G502="","",'Data &amp; Reporting'!G502)</x:f>
      </x:c>
      <x:c r="I502" s="12" t="str">
        <x:f>IF('Data &amp; Reporting'!H502="","",'Data &amp; Reporting'!H502)</x:f>
      </x:c>
      <x:c r="J502" s="12" t="n">
        <x:f>IF('Data &amp; Reporting'!I502="","",'Data &amp; Reporting'!I502)</x:f>
        <x:v>46295</x:v>
      </x:c>
      <x:c r="K502" s="12" t="str">
        <x:f>IF('Data &amp; Reporting'!J502="","",'Data &amp; Reporting'!J502)</x:f>
      </x:c>
      <x:c r="L502" s="2" t="str">
        <x:f>IF('Data &amp; Reporting'!K502="","",'Data &amp; Reporting'!K502)</x:f>
      </x:c>
      <x:c r="M502" s="2" t="n">
        <x:f>'Data &amp; Reporting'!Q502</x:f>
        <x:v>1</x:v>
      </x:c>
      <x:c r="N502" s="2" t="str">
        <x:f>'Data &amp; Reporting'!L502</x:f>
        <x:v>Not started</x:v>
      </x:c>
      <x:c r="O502" s="2" t="str">
        <x:f>'Data &amp; Reporting'!N502</x:f>
        <x:v>DR.FC.3.3.2026.CY3</x:v>
      </x:c>
      <x:c r="P502" s="2" t="n">
        <x:f>'Data &amp; Reporting'!O502</x:f>
        <x:v>0</x:v>
      </x:c>
      <x:c r="Q502" s="2" t="n">
        <x:f>SUBTOTAL(103,O502)</x:f>
        <x:v>1</x:v>
      </x:c>
      <x:c r="R502" s="2" t="n">
        <x:f>IF(AND(M502=1,OR(Dashboard!$B$7="All",Dashboard!$B$7='Cycles &amp; Guide'!$C$5),OR(Dashboard!$D$7="All",Dashboard!$D$7=B502),OR(Dashboard!$F$7="All",Dashboard!$F$7=C502),OR(Dashboard!$H$7="All",Dashboard!$H$7=D502),OR(Dashboard!$K$7="All",Dashboard!$K$7=E502)),1,0)</x:f>
        <x:v>1</x:v>
      </x:c>
      <x:c r="S502" s="2" t="n">
        <x:f>IF(R502=1,SUM($R$10:R502),0)</x:f>
        <x:v>246</x:v>
      </x:c>
      <x:c r="T502" s="2" t="str">
        <x:v>Data &amp; Reporting</x:v>
      </x:c>
      <x:c r="U502" s="2" t="n">
        <x:v>502</x:v>
      </x:c>
      <x:c r="V502" s="2" t="n">
        <x:f>IF(AND(M502=1,P502=0,ISNUMBER(J502),J502&lt;TODAY()),1,0)</x:f>
        <x:v>0</x:v>
      </x:c>
      <x:c r="W502" s="2" t="str">
        <x:f>'Data &amp; Reporting'!M502</x:f>
        <x:v>Task</x:v>
      </x:c>
    </x:row>
    <x:row r="503" ht="40" customHeight="1">
      <x:c r="A503" s="3" t="str">
        <x:f>HYPERLINK("#'Data &amp; Reporting'!A503","Open")</x:f>
        <x:v>Open</x:v>
      </x:c>
      <x:c r="B503" s="2" t="str">
        <x:f>'Data &amp; Reporting'!B503</x:f>
        <x:v>Cycle 3</x:v>
      </x:c>
      <x:c r="C503" s="2" t="str">
        <x:f>'Data &amp; Reporting'!C503</x:f>
        <x:v>Phase 3</x:v>
      </x:c>
      <x:c r="D503" s="2" t="str">
        <x:f>'Data &amp; Reporting'!D503</x:f>
        <x:v>FCM</x:v>
      </x:c>
      <x:c r="E503" s="2" t="str">
        <x:v>Data &amp; Reporting</x:v>
      </x:c>
      <x:c r="F503" s="56" t="str">
        <x:f>'Data &amp; Reporting'!E503</x:f>
        <x:v>DR.FC.3.4</x:v>
      </x:c>
      <x:c r="G503" s="14" t="str">
        <x:f>'Data &amp; Reporting'!F503</x:f>
        <x:v>Ensure Power Automate notifications were correctly triggered within Microsoft Teams</x:v>
      </x:c>
      <x:c r="H503" s="2" t="str">
        <x:f>IF('Data &amp; Reporting'!G503="","",'Data &amp; Reporting'!G503)</x:f>
      </x:c>
      <x:c r="I503" s="12" t="str">
        <x:f>IF('Data &amp; Reporting'!H503="","",'Data &amp; Reporting'!H503)</x:f>
      </x:c>
      <x:c r="J503" s="12" t="n">
        <x:f>IF('Data &amp; Reporting'!I503="","",'Data &amp; Reporting'!I503)</x:f>
        <x:v>46295</x:v>
      </x:c>
      <x:c r="K503" s="12" t="str">
        <x:f>IF('Data &amp; Reporting'!J503="","",'Data &amp; Reporting'!J503)</x:f>
      </x:c>
      <x:c r="L503" s="2" t="str">
        <x:f>IF('Data &amp; Reporting'!K503="","",'Data &amp; Reporting'!K503)</x:f>
      </x:c>
      <x:c r="M503" s="2" t="n">
        <x:f>'Data &amp; Reporting'!Q503</x:f>
        <x:v>1</x:v>
      </x:c>
      <x:c r="N503" s="2" t="str">
        <x:f>'Data &amp; Reporting'!L503</x:f>
        <x:v>Not started</x:v>
      </x:c>
      <x:c r="O503" s="2" t="str">
        <x:f>'Data &amp; Reporting'!N503</x:f>
        <x:v>DR.FC.3.4.2026.CY3</x:v>
      </x:c>
      <x:c r="P503" s="2" t="n">
        <x:f>'Data &amp; Reporting'!O503</x:f>
        <x:v>0</x:v>
      </x:c>
      <x:c r="Q503" s="2" t="n">
        <x:f>SUBTOTAL(103,O503)</x:f>
        <x:v>1</x:v>
      </x:c>
      <x:c r="R503" s="2" t="n">
        <x:f>IF(AND(M503=1,OR(Dashboard!$B$7="All",Dashboard!$B$7='Cycles &amp; Guide'!$C$5),OR(Dashboard!$D$7="All",Dashboard!$D$7=B503),OR(Dashboard!$F$7="All",Dashboard!$F$7=C503),OR(Dashboard!$H$7="All",Dashboard!$H$7=D503),OR(Dashboard!$K$7="All",Dashboard!$K$7=E503)),1,0)</x:f>
        <x:v>1</x:v>
      </x:c>
      <x:c r="S503" s="2" t="n">
        <x:f>IF(R503=1,SUM($R$10:R503),0)</x:f>
        <x:v>247</x:v>
      </x:c>
      <x:c r="T503" s="2" t="str">
        <x:v>Data &amp; Reporting</x:v>
      </x:c>
      <x:c r="U503" s="2" t="n">
        <x:v>503</x:v>
      </x:c>
      <x:c r="V503" s="2" t="n">
        <x:f>IF(AND(M503=1,P503=0,ISNUMBER(J503),J503&lt;TODAY()),1,0)</x:f>
        <x:v>0</x:v>
      </x:c>
      <x:c r="W503" s="2" t="str">
        <x:f>'Data &amp; Reporting'!M503</x:f>
        <x:v>Task</x:v>
      </x:c>
    </x:row>
    <x:row r="504" ht="40" customHeight="1">
      <x:c r="A504" s="3" t="str">
        <x:f>HYPERLINK("#'Data &amp; Reporting'!A504","Open")</x:f>
        <x:v>Open</x:v>
      </x:c>
      <x:c r="B504" s="2" t="str">
        <x:f>'Data &amp; Reporting'!B504</x:f>
        <x:v>Cycle 3</x:v>
      </x:c>
      <x:c r="C504" s="2" t="str">
        <x:f>'Data &amp; Reporting'!C504</x:f>
        <x:v>Phase 1</x:v>
      </x:c>
      <x:c r="D504" s="2" t="str">
        <x:f>'Data &amp; Reporting'!D504</x:f>
        <x:v>PLL</x:v>
      </x:c>
      <x:c r="E504" s="2" t="str">
        <x:v>Data &amp; Reporting</x:v>
      </x:c>
      <x:c r="F504" s="56" t="str">
        <x:f>'Data &amp; Reporting'!E504</x:f>
        <x:v>DR.PL.1.1</x:v>
      </x:c>
      <x:c r="G504" s="14" t="str">
        <x:f>'Data &amp; Reporting'!F504</x:f>
        <x:v>Review data sources 3 weeks prior to Cycle start (Complaints, Gen AI, Loudspeaker, NPS, etc.)</x:v>
      </x:c>
      <x:c r="H504" s="2" t="str">
        <x:f>IF('Data &amp; Reporting'!G504="","",'Data &amp; Reporting'!G504)</x:f>
      </x:c>
      <x:c r="I504" s="12" t="str">
        <x:f>IF('Data &amp; Reporting'!H504="","",'Data &amp; Reporting'!H504)</x:f>
      </x:c>
      <x:c r="J504" s="12" t="n">
        <x:f>IF('Data &amp; Reporting'!I504="","",'Data &amp; Reporting'!I504)</x:f>
        <x:v>46183</x:v>
      </x:c>
      <x:c r="K504" s="12" t="str">
        <x:f>IF('Data &amp; Reporting'!J504="","",'Data &amp; Reporting'!J504)</x:f>
      </x:c>
      <x:c r="L504" s="2" t="str">
        <x:f>IF('Data &amp; Reporting'!K504="","",'Data &amp; Reporting'!K504)</x:f>
      </x:c>
      <x:c r="M504" s="2" t="n">
        <x:f>'Data &amp; Reporting'!Q504</x:f>
        <x:v>1</x:v>
      </x:c>
      <x:c r="N504" s="2" t="str">
        <x:f>'Data &amp; Reporting'!L504</x:f>
        <x:v>Not started</x:v>
      </x:c>
      <x:c r="O504" s="2" t="str">
        <x:f>'Data &amp; Reporting'!N504</x:f>
        <x:v>DR.PL.1.1.2026.CY3</x:v>
      </x:c>
      <x:c r="P504" s="2" t="n">
        <x:f>'Data &amp; Reporting'!O504</x:f>
        <x:v>0</x:v>
      </x:c>
      <x:c r="Q504" s="2" t="n">
        <x:f>SUBTOTAL(103,O504)</x:f>
        <x:v>1</x:v>
      </x:c>
      <x:c r="R504" s="2" t="n">
        <x:f>IF(AND(M504=1,OR(Dashboard!$B$7="All",Dashboard!$B$7='Cycles &amp; Guide'!$C$5),OR(Dashboard!$D$7="All",Dashboard!$D$7=B504),OR(Dashboard!$F$7="All",Dashboard!$F$7=C504),OR(Dashboard!$H$7="All",Dashboard!$H$7=D504),OR(Dashboard!$K$7="All",Dashboard!$K$7=E504)),1,0)</x:f>
        <x:v>1</x:v>
      </x:c>
      <x:c r="S504" s="2" t="n">
        <x:f>IF(R504=1,SUM($R$10:R504),0)</x:f>
        <x:v>248</x:v>
      </x:c>
      <x:c r="T504" s="2" t="str">
        <x:v>Data &amp; Reporting</x:v>
      </x:c>
      <x:c r="U504" s="2" t="n">
        <x:v>504</x:v>
      </x:c>
      <x:c r="V504" s="2" t="n">
        <x:f>IF(AND(M504=1,P504=0,ISNUMBER(J504),J504&lt;TODAY()),1,0)</x:f>
        <x:v>1</x:v>
      </x:c>
      <x:c r="W504" s="2" t="str">
        <x:f>'Data &amp; Reporting'!M504</x:f>
        <x:v>Task</x:v>
      </x:c>
    </x:row>
    <x:row r="505" ht="40" customHeight="1">
      <x:c r="A505" s="3" t="str">
        <x:f>HYPERLINK("#'Data &amp; Reporting'!A505","Open")</x:f>
        <x:v>Open</x:v>
      </x:c>
      <x:c r="B505" s="2" t="str">
        <x:f>'Data &amp; Reporting'!B505</x:f>
        <x:v>Cycle 3</x:v>
      </x:c>
      <x:c r="C505" s="2" t="str">
        <x:f>'Data &amp; Reporting'!C505</x:f>
        <x:v>Phase 1</x:v>
      </x:c>
      <x:c r="D505" s="2" t="str">
        <x:f>'Data &amp; Reporting'!D505</x:f>
        <x:v>PLL</x:v>
      </x:c>
      <x:c r="E505" s="2" t="str">
        <x:v>Data &amp; Reporting</x:v>
      </x:c>
      <x:c r="F505" s="56" t="str">
        <x:f>'Data &amp; Reporting'!E505</x:f>
        <x:v>DR.PL.1.2</x:v>
      </x:c>
      <x:c r="G505" s="14" t="str">
        <x:f>'Data &amp; Reporting'!F505</x:f>
        <x:v>Identify two potential topics for the upcoming Cycle</x:v>
      </x:c>
      <x:c r="H505" s="2" t="str">
        <x:f>IF('Data &amp; Reporting'!G505="","",'Data &amp; Reporting'!G505)</x:f>
      </x:c>
      <x:c r="I505" s="12" t="str">
        <x:f>IF('Data &amp; Reporting'!H505="","",'Data &amp; Reporting'!H505)</x:f>
      </x:c>
      <x:c r="J505" s="12" t="n">
        <x:f>IF('Data &amp; Reporting'!I505="","",'Data &amp; Reporting'!I505)</x:f>
        <x:v>46295</x:v>
      </x:c>
      <x:c r="K505" s="12" t="str">
        <x:f>IF('Data &amp; Reporting'!J505="","",'Data &amp; Reporting'!J505)</x:f>
      </x:c>
      <x:c r="L505" s="2" t="str">
        <x:f>IF('Data &amp; Reporting'!K505="","",'Data &amp; Reporting'!K505)</x:f>
      </x:c>
      <x:c r="M505" s="2" t="n">
        <x:f>'Data &amp; Reporting'!Q505</x:f>
        <x:v>1</x:v>
      </x:c>
      <x:c r="N505" s="2" t="str">
        <x:f>'Data &amp; Reporting'!L505</x:f>
        <x:v>Not started</x:v>
      </x:c>
      <x:c r="O505" s="2" t="str">
        <x:f>'Data &amp; Reporting'!N505</x:f>
        <x:v>DR.PL.1.2.2026.CY3</x:v>
      </x:c>
      <x:c r="P505" s="2" t="n">
        <x:f>'Data &amp; Reporting'!O505</x:f>
        <x:v>0</x:v>
      </x:c>
      <x:c r="Q505" s="2" t="n">
        <x:f>SUBTOTAL(103,O505)</x:f>
        <x:v>1</x:v>
      </x:c>
      <x:c r="R505" s="2" t="n">
        <x:f>IF(AND(M505=1,OR(Dashboard!$B$7="All",Dashboard!$B$7='Cycles &amp; Guide'!$C$5),OR(Dashboard!$D$7="All",Dashboard!$D$7=B505),OR(Dashboard!$F$7="All",Dashboard!$F$7=C505),OR(Dashboard!$H$7="All",Dashboard!$H$7=D505),OR(Dashboard!$K$7="All",Dashboard!$K$7=E505)),1,0)</x:f>
        <x:v>1</x:v>
      </x:c>
      <x:c r="S505" s="2" t="n">
        <x:f>IF(R505=1,SUM($R$10:R505),0)</x:f>
        <x:v>249</x:v>
      </x:c>
      <x:c r="T505" s="2" t="str">
        <x:v>Data &amp; Reporting</x:v>
      </x:c>
      <x:c r="U505" s="2" t="n">
        <x:v>505</x:v>
      </x:c>
      <x:c r="V505" s="2" t="n">
        <x:f>IF(AND(M505=1,P505=0,ISNUMBER(J505),J505&lt;TODAY()),1,0)</x:f>
        <x:v>0</x:v>
      </x:c>
      <x:c r="W505" s="2" t="str">
        <x:f>'Data &amp; Reporting'!M505</x:f>
        <x:v>Task</x:v>
      </x:c>
    </x:row>
    <x:row r="506" ht="40" customHeight="1">
      <x:c r="A506" s="3" t="str">
        <x:f>HYPERLINK("#'Data &amp; Reporting'!A506","Open")</x:f>
        <x:v>Open</x:v>
      </x:c>
      <x:c r="B506" s="2" t="str">
        <x:f>'Data &amp; Reporting'!B506</x:f>
        <x:v>Cycle 3</x:v>
      </x:c>
      <x:c r="C506" s="2" t="str">
        <x:f>'Data &amp; Reporting'!C506</x:f>
        <x:v>Phase 1</x:v>
      </x:c>
      <x:c r="D506" s="2" t="str">
        <x:f>'Data &amp; Reporting'!D506</x:f>
        <x:v>PLL</x:v>
      </x:c>
      <x:c r="E506" s="2" t="str">
        <x:v>Data &amp; Reporting</x:v>
      </x:c>
      <x:c r="F506" s="56" t="str">
        <x:f>'Data &amp; Reporting'!E506</x:f>
        <x:v>DR.PL.1.3</x:v>
      </x:c>
      <x:c r="G506" s="14" t="str">
        <x:f>'Data &amp; Reporting'!F506</x:f>
        <x:v>Extract data for both potential topics, ensuring all checklist items below are included/completed</x:v>
      </x:c>
      <x:c r="H506" s="2" t="str">
        <x:f>IF('Data &amp; Reporting'!G506="","",'Data &amp; Reporting'!G506)</x:f>
      </x:c>
      <x:c r="I506" s="12" t="str">
        <x:f>IF('Data &amp; Reporting'!H506="","",'Data &amp; Reporting'!H506)</x:f>
      </x:c>
      <x:c r="J506" s="12" t="n">
        <x:f>IF('Data &amp; Reporting'!I506="","",'Data &amp; Reporting'!I506)</x:f>
        <x:v>46295</x:v>
      </x:c>
      <x:c r="K506" s="12" t="str">
        <x:f>IF('Data &amp; Reporting'!J506="","",'Data &amp; Reporting'!J506)</x:f>
      </x:c>
      <x:c r="L506" s="2" t="str">
        <x:f>IF('Data &amp; Reporting'!K506="","",'Data &amp; Reporting'!K506)</x:f>
      </x:c>
      <x:c r="M506" s="2" t="n">
        <x:f>'Data &amp; Reporting'!Q506</x:f>
        <x:v>1</x:v>
      </x:c>
      <x:c r="N506" s="2" t="str">
        <x:f>'Data &amp; Reporting'!L506</x:f>
        <x:v>Not started</x:v>
      </x:c>
      <x:c r="O506" s="2" t="str">
        <x:f>'Data &amp; Reporting'!N506</x:f>
        <x:v>DR.PL.1.3.2026.CY3</x:v>
      </x:c>
      <x:c r="P506" s="2" t="n">
        <x:f>'Data &amp; Reporting'!O506</x:f>
        <x:v>0</x:v>
      </x:c>
      <x:c r="Q506" s="2" t="n">
        <x:f>SUBTOTAL(103,O506)</x:f>
        <x:v>1</x:v>
      </x:c>
      <x:c r="R506" s="2" t="n">
        <x:f>IF(AND(M506=1,OR(Dashboard!$B$7="All",Dashboard!$B$7='Cycles &amp; Guide'!$C$5),OR(Dashboard!$D$7="All",Dashboard!$D$7=B506),OR(Dashboard!$F$7="All",Dashboard!$F$7=C506),OR(Dashboard!$H$7="All",Dashboard!$H$7=D506),OR(Dashboard!$K$7="All",Dashboard!$K$7=E506)),1,0)</x:f>
        <x:v>1</x:v>
      </x:c>
      <x:c r="S506" s="2" t="n">
        <x:f>IF(R506=1,SUM($R$10:R506),0)</x:f>
        <x:v>250</x:v>
      </x:c>
      <x:c r="T506" s="2" t="str">
        <x:v>Data &amp; Reporting</x:v>
      </x:c>
      <x:c r="U506" s="2" t="n">
        <x:v>506</x:v>
      </x:c>
      <x:c r="V506" s="2" t="n">
        <x:f>IF(AND(M506=1,P506=0,ISNUMBER(J506),J506&lt;TODAY()),1,0)</x:f>
        <x:v>0</x:v>
      </x:c>
      <x:c r="W506" s="2" t="str">
        <x:f>'Data &amp; Reporting'!M506</x:f>
        <x:v>Task</x:v>
      </x:c>
    </x:row>
    <x:row r="507" ht="40" customHeight="1">
      <x:c r="A507" s="3" t="str">
        <x:f>HYPERLINK("#'Data &amp; Reporting'!A507","Open")</x:f>
        <x:v>Open</x:v>
      </x:c>
      <x:c r="B507" s="2" t="str">
        <x:f>'Data &amp; Reporting'!B507</x:f>
        <x:v>Cycle 3</x:v>
      </x:c>
      <x:c r="C507" s="2" t="str">
        <x:f>'Data &amp; Reporting'!C507</x:f>
        <x:v>Phase 1</x:v>
      </x:c>
      <x:c r="D507" s="2" t="str">
        <x:f>'Data &amp; Reporting'!D507</x:f>
        <x:v>PLL</x:v>
      </x:c>
      <x:c r="E507" s="2" t="str">
        <x:v>Data &amp; Reporting</x:v>
      </x:c>
      <x:c r="F507" s="56" t="str">
        <x:f>'Data &amp; Reporting'!E507</x:f>
        <x:v>DR.PL.1.3.C01</x:v>
      </x:c>
      <x:c r="G507" s="14" t="str">
        <x:f>'Data &amp; Reporting'!F507</x:f>
        <x:v>    Document date range extracted</x:v>
      </x:c>
      <x:c r="H507" s="2" t="str">
        <x:f>IF('Data &amp; Reporting'!G507="","",'Data &amp; Reporting'!G507)</x:f>
      </x:c>
      <x:c r="I507" s="12" t="str">
        <x:f>IF('Data &amp; Reporting'!H507="","",'Data &amp; Reporting'!H507)</x:f>
      </x:c>
      <x:c r="J507" s="12" t="str">
        <x:f>IF('Data &amp; Reporting'!I507="","",'Data &amp; Reporting'!I507)</x:f>
      </x:c>
      <x:c r="K507" s="12" t="str">
        <x:f>IF('Data &amp; Reporting'!J507="","",'Data &amp; Reporting'!J507)</x:f>
      </x:c>
      <x:c r="L507" s="2" t="str">
        <x:f>IF('Data &amp; Reporting'!K507="","",'Data &amp; Reporting'!K507)</x:f>
      </x:c>
      <x:c r="M507" s="2" t="n">
        <x:f>'Data &amp; Reporting'!Q507</x:f>
        <x:v>0</x:v>
      </x:c>
      <x:c r="N507" s="2" t="str">
        <x:f>'Data &amp; Reporting'!L507</x:f>
        <x:v>Open check</x:v>
      </x:c>
      <x:c r="O507" s="2" t="str">
        <x:f>'Data &amp; Reporting'!N507</x:f>
        <x:v>DR.PL.1.3.C01.2026.CY3</x:v>
      </x:c>
      <x:c r="P507" s="2" t="n">
        <x:f>'Data &amp; Reporting'!O507</x:f>
        <x:v>0</x:v>
      </x:c>
      <x:c r="Q507" s="2" t="n">
        <x:f>SUBTOTAL(103,O507)</x:f>
        <x:v>1</x:v>
      </x:c>
      <x:c r="R507" s="2" t="n">
        <x:f>IF(AND(M507=1,OR(Dashboard!$B$7="All",Dashboard!$B$7='Cycles &amp; Guide'!$C$5),OR(Dashboard!$D$7="All",Dashboard!$D$7=B507),OR(Dashboard!$F$7="All",Dashboard!$F$7=C507),OR(Dashboard!$H$7="All",Dashboard!$H$7=D507),OR(Dashboard!$K$7="All",Dashboard!$K$7=E507)),1,0)</x:f>
        <x:v>0</x:v>
      </x:c>
      <x:c r="S507" s="2" t="n">
        <x:f>IF(R507=1,SUM($R$10:R507),0)</x:f>
        <x:v>0</x:v>
      </x:c>
      <x:c r="T507" s="2" t="str">
        <x:v>Data &amp; Reporting</x:v>
      </x:c>
      <x:c r="U507" s="2" t="n">
        <x:v>507</x:v>
      </x:c>
      <x:c r="V507" s="2" t="n">
        <x:f>IF(AND(M507=1,P507=0,ISNUMBER(J507),J507&lt;TODAY()),1,0)</x:f>
        <x:v>0</x:v>
      </x:c>
      <x:c r="W507" s="2" t="str">
        <x:f>'Data &amp; Reporting'!M507</x:f>
        <x:v>Checklist</x:v>
      </x:c>
    </x:row>
    <x:row r="508" ht="40" customHeight="1">
      <x:c r="A508" s="3" t="str">
        <x:f>HYPERLINK("#'Data &amp; Reporting'!A508","Open")</x:f>
        <x:v>Open</x:v>
      </x:c>
      <x:c r="B508" s="2" t="str">
        <x:f>'Data &amp; Reporting'!B508</x:f>
        <x:v>Cycle 3</x:v>
      </x:c>
      <x:c r="C508" s="2" t="str">
        <x:f>'Data &amp; Reporting'!C508</x:f>
        <x:v>Phase 1</x:v>
      </x:c>
      <x:c r="D508" s="2" t="str">
        <x:f>'Data &amp; Reporting'!D508</x:f>
        <x:v>PLL</x:v>
      </x:c>
      <x:c r="E508" s="2" t="str">
        <x:v>Data &amp; Reporting</x:v>
      </x:c>
      <x:c r="F508" s="56" t="str">
        <x:f>'Data &amp; Reporting'!E508</x:f>
        <x:v>DR.PL.1.3.C02</x:v>
      </x:c>
      <x:c r="G508" s="14" t="str">
        <x:f>'Data &amp; Reporting'!F508</x:f>
        <x:v>    Document date of data pull</x:v>
      </x:c>
      <x:c r="H508" s="2" t="str">
        <x:f>IF('Data &amp; Reporting'!G508="","",'Data &amp; Reporting'!G508)</x:f>
      </x:c>
      <x:c r="I508" s="12" t="str">
        <x:f>IF('Data &amp; Reporting'!H508="","",'Data &amp; Reporting'!H508)</x:f>
      </x:c>
      <x:c r="J508" s="12" t="str">
        <x:f>IF('Data &amp; Reporting'!I508="","",'Data &amp; Reporting'!I508)</x:f>
      </x:c>
      <x:c r="K508" s="12" t="str">
        <x:f>IF('Data &amp; Reporting'!J508="","",'Data &amp; Reporting'!J508)</x:f>
      </x:c>
      <x:c r="L508" s="2" t="str">
        <x:f>IF('Data &amp; Reporting'!K508="","",'Data &amp; Reporting'!K508)</x:f>
      </x:c>
      <x:c r="M508" s="2" t="n">
        <x:f>'Data &amp; Reporting'!Q508</x:f>
        <x:v>0</x:v>
      </x:c>
      <x:c r="N508" s="2" t="str">
        <x:f>'Data &amp; Reporting'!L508</x:f>
        <x:v>Open check</x:v>
      </x:c>
      <x:c r="O508" s="2" t="str">
        <x:f>'Data &amp; Reporting'!N508</x:f>
        <x:v>DR.PL.1.3.C02.2026.CY3</x:v>
      </x:c>
      <x:c r="P508" s="2" t="n">
        <x:f>'Data &amp; Reporting'!O508</x:f>
        <x:v>0</x:v>
      </x:c>
      <x:c r="Q508" s="2" t="n">
        <x:f>SUBTOTAL(103,O508)</x:f>
        <x:v>1</x:v>
      </x:c>
      <x:c r="R508" s="2" t="n">
        <x:f>IF(AND(M508=1,OR(Dashboard!$B$7="All",Dashboard!$B$7='Cycles &amp; Guide'!$C$5),OR(Dashboard!$D$7="All",Dashboard!$D$7=B508),OR(Dashboard!$F$7="All",Dashboard!$F$7=C508),OR(Dashboard!$H$7="All",Dashboard!$H$7=D508),OR(Dashboard!$K$7="All",Dashboard!$K$7=E508)),1,0)</x:f>
        <x:v>0</x:v>
      </x:c>
      <x:c r="S508" s="2" t="n">
        <x:f>IF(R508=1,SUM($R$10:R508),0)</x:f>
        <x:v>0</x:v>
      </x:c>
      <x:c r="T508" s="2" t="str">
        <x:v>Data &amp; Reporting</x:v>
      </x:c>
      <x:c r="U508" s="2" t="n">
        <x:v>508</x:v>
      </x:c>
      <x:c r="V508" s="2" t="n">
        <x:f>IF(AND(M508=1,P508=0,ISNUMBER(J508),J508&lt;TODAY()),1,0)</x:f>
        <x:v>0</x:v>
      </x:c>
      <x:c r="W508" s="2" t="str">
        <x:f>'Data &amp; Reporting'!M508</x:f>
        <x:v>Checklist</x:v>
      </x:c>
    </x:row>
    <x:row r="509" ht="40" customHeight="1">
      <x:c r="A509" s="3" t="str">
        <x:f>HYPERLINK("#'Data &amp; Reporting'!A509","Open")</x:f>
        <x:v>Open</x:v>
      </x:c>
      <x:c r="B509" s="2" t="str">
        <x:f>'Data &amp; Reporting'!B509</x:f>
        <x:v>Cycle 3</x:v>
      </x:c>
      <x:c r="C509" s="2" t="str">
        <x:f>'Data &amp; Reporting'!C509</x:f>
        <x:v>Phase 1</x:v>
      </x:c>
      <x:c r="D509" s="2" t="str">
        <x:f>'Data &amp; Reporting'!D509</x:f>
        <x:v>PLL</x:v>
      </x:c>
      <x:c r="E509" s="2" t="str">
        <x:v>Data &amp; Reporting</x:v>
      </x:c>
      <x:c r="F509" s="56" t="str">
        <x:f>'Data &amp; Reporting'!E509</x:f>
        <x:v>DR.PL.1.3.C03</x:v>
      </x:c>
      <x:c r="G509" s="14" t="str">
        <x:f>'Data &amp; Reporting'!F509</x:f>
        <x:v>    Document population details</x:v>
      </x:c>
      <x:c r="H509" s="2" t="str">
        <x:f>IF('Data &amp; Reporting'!G509="","",'Data &amp; Reporting'!G509)</x:f>
      </x:c>
      <x:c r="I509" s="12" t="str">
        <x:f>IF('Data &amp; Reporting'!H509="","",'Data &amp; Reporting'!H509)</x:f>
      </x:c>
      <x:c r="J509" s="12" t="str">
        <x:f>IF('Data &amp; Reporting'!I509="","",'Data &amp; Reporting'!I509)</x:f>
      </x:c>
      <x:c r="K509" s="12" t="str">
        <x:f>IF('Data &amp; Reporting'!J509="","",'Data &amp; Reporting'!J509)</x:f>
      </x:c>
      <x:c r="L509" s="2" t="str">
        <x:f>IF('Data &amp; Reporting'!K509="","",'Data &amp; Reporting'!K509)</x:f>
      </x:c>
      <x:c r="M509" s="2" t="n">
        <x:f>'Data &amp; Reporting'!Q509</x:f>
        <x:v>0</x:v>
      </x:c>
      <x:c r="N509" s="2" t="str">
        <x:f>'Data &amp; Reporting'!L509</x:f>
        <x:v>Open check</x:v>
      </x:c>
      <x:c r="O509" s="2" t="str">
        <x:f>'Data &amp; Reporting'!N509</x:f>
        <x:v>DR.PL.1.3.C03.2026.CY3</x:v>
      </x:c>
      <x:c r="P509" s="2" t="n">
        <x:f>'Data &amp; Reporting'!O509</x:f>
        <x:v>0</x:v>
      </x:c>
      <x:c r="Q509" s="2" t="n">
        <x:f>SUBTOTAL(103,O509)</x:f>
        <x:v>1</x:v>
      </x:c>
      <x:c r="R509" s="2" t="n">
        <x:f>IF(AND(M509=1,OR(Dashboard!$B$7="All",Dashboard!$B$7='Cycles &amp; Guide'!$C$5),OR(Dashboard!$D$7="All",Dashboard!$D$7=B509),OR(Dashboard!$F$7="All",Dashboard!$F$7=C509),OR(Dashboard!$H$7="All",Dashboard!$H$7=D509),OR(Dashboard!$K$7="All",Dashboard!$K$7=E509)),1,0)</x:f>
        <x:v>0</x:v>
      </x:c>
      <x:c r="S509" s="2" t="n">
        <x:f>IF(R509=1,SUM($R$10:R509),0)</x:f>
        <x:v>0</x:v>
      </x:c>
      <x:c r="T509" s="2" t="str">
        <x:v>Data &amp; Reporting</x:v>
      </x:c>
      <x:c r="U509" s="2" t="n">
        <x:v>509</x:v>
      </x:c>
      <x:c r="V509" s="2" t="n">
        <x:f>IF(AND(M509=1,P509=0,ISNUMBER(J509),J509&lt;TODAY()),1,0)</x:f>
        <x:v>0</x:v>
      </x:c>
      <x:c r="W509" s="2" t="str">
        <x:f>'Data &amp; Reporting'!M509</x:f>
        <x:v>Checklist</x:v>
      </x:c>
    </x:row>
    <x:row r="510" ht="40" customHeight="1">
      <x:c r="A510" s="3" t="str">
        <x:f>HYPERLINK("#'Data &amp; Reporting'!A510","Open")</x:f>
        <x:v>Open</x:v>
      </x:c>
      <x:c r="B510" s="2" t="str">
        <x:f>'Data &amp; Reporting'!B510</x:f>
        <x:v>Cycle 3</x:v>
      </x:c>
      <x:c r="C510" s="2" t="str">
        <x:f>'Data &amp; Reporting'!C510</x:f>
        <x:v>Phase 1</x:v>
      </x:c>
      <x:c r="D510" s="2" t="str">
        <x:f>'Data &amp; Reporting'!D510</x:f>
        <x:v>PLL</x:v>
      </x:c>
      <x:c r="E510" s="2" t="str">
        <x:v>Data &amp; Reporting</x:v>
      </x:c>
      <x:c r="F510" s="56" t="str">
        <x:f>'Data &amp; Reporting'!E510</x:f>
        <x:v>DR.PL.1.3.C04</x:v>
      </x:c>
      <x:c r="G510" s="14" t="str">
        <x:f>'Data &amp; Reporting'!F510</x:f>
        <x:v>    Validate no data is missing</x:v>
      </x:c>
      <x:c r="H510" s="2" t="str">
        <x:f>IF('Data &amp; Reporting'!G510="","",'Data &amp; Reporting'!G510)</x:f>
      </x:c>
      <x:c r="I510" s="12" t="str">
        <x:f>IF('Data &amp; Reporting'!H510="","",'Data &amp; Reporting'!H510)</x:f>
      </x:c>
      <x:c r="J510" s="12" t="str">
        <x:f>IF('Data &amp; Reporting'!I510="","",'Data &amp; Reporting'!I510)</x:f>
      </x:c>
      <x:c r="K510" s="12" t="str">
        <x:f>IF('Data &amp; Reporting'!J510="","",'Data &amp; Reporting'!J510)</x:f>
      </x:c>
      <x:c r="L510" s="2" t="str">
        <x:f>IF('Data &amp; Reporting'!K510="","",'Data &amp; Reporting'!K510)</x:f>
      </x:c>
      <x:c r="M510" s="2" t="n">
        <x:f>'Data &amp; Reporting'!Q510</x:f>
        <x:v>0</x:v>
      </x:c>
      <x:c r="N510" s="2" t="str">
        <x:f>'Data &amp; Reporting'!L510</x:f>
        <x:v>Open check</x:v>
      </x:c>
      <x:c r="O510" s="2" t="str">
        <x:f>'Data &amp; Reporting'!N510</x:f>
        <x:v>DR.PL.1.3.C04.2026.CY3</x:v>
      </x:c>
      <x:c r="P510" s="2" t="n">
        <x:f>'Data &amp; Reporting'!O510</x:f>
        <x:v>0</x:v>
      </x:c>
      <x:c r="Q510" s="2" t="n">
        <x:f>SUBTOTAL(103,O510)</x:f>
        <x:v>1</x:v>
      </x:c>
      <x:c r="R510" s="2" t="n">
        <x:f>IF(AND(M510=1,OR(Dashboard!$B$7="All",Dashboard!$B$7='Cycles &amp; Guide'!$C$5),OR(Dashboard!$D$7="All",Dashboard!$D$7=B510),OR(Dashboard!$F$7="All",Dashboard!$F$7=C510),OR(Dashboard!$H$7="All",Dashboard!$H$7=D510),OR(Dashboard!$K$7="All",Dashboard!$K$7=E510)),1,0)</x:f>
        <x:v>0</x:v>
      </x:c>
      <x:c r="S510" s="2" t="n">
        <x:f>IF(R510=1,SUM($R$10:R510),0)</x:f>
        <x:v>0</x:v>
      </x:c>
      <x:c r="T510" s="2" t="str">
        <x:v>Data &amp; Reporting</x:v>
      </x:c>
      <x:c r="U510" s="2" t="n">
        <x:v>510</x:v>
      </x:c>
      <x:c r="V510" s="2" t="n">
        <x:f>IF(AND(M510=1,P510=0,ISNUMBER(J510),J510&lt;TODAY()),1,0)</x:f>
        <x:v>0</x:v>
      </x:c>
      <x:c r="W510" s="2" t="str">
        <x:f>'Data &amp; Reporting'!M510</x:f>
        <x:v>Checklist</x:v>
      </x:c>
    </x:row>
    <x:row r="511" ht="40" customHeight="1">
      <x:c r="A511" s="3" t="str">
        <x:f>HYPERLINK("#'Data &amp; Reporting'!A511","Open")</x:f>
        <x:v>Open</x:v>
      </x:c>
      <x:c r="B511" s="2" t="str">
        <x:f>'Data &amp; Reporting'!B511</x:f>
        <x:v>Cycle 3</x:v>
      </x:c>
      <x:c r="C511" s="2" t="str">
        <x:f>'Data &amp; Reporting'!C511</x:f>
        <x:v>Phase 1</x:v>
      </x:c>
      <x:c r="D511" s="2" t="str">
        <x:f>'Data &amp; Reporting'!D511</x:f>
        <x:v>PLL</x:v>
      </x:c>
      <x:c r="E511" s="2" t="str">
        <x:v>Data &amp; Reporting</x:v>
      </x:c>
      <x:c r="F511" s="56" t="str">
        <x:f>'Data &amp; Reporting'!E511</x:f>
        <x:v>DR.PL.1.3.C05</x:v>
      </x:c>
      <x:c r="G511" s="14" t="str">
        <x:f>'Data &amp; Reporting'!F511</x:f>
        <x:v>    Validate accuracy of data</x:v>
      </x:c>
      <x:c r="H511" s="2" t="str">
        <x:f>IF('Data &amp; Reporting'!G511="","",'Data &amp; Reporting'!G511)</x:f>
      </x:c>
      <x:c r="I511" s="12" t="str">
        <x:f>IF('Data &amp; Reporting'!H511="","",'Data &amp; Reporting'!H511)</x:f>
      </x:c>
      <x:c r="J511" s="12" t="str">
        <x:f>IF('Data &amp; Reporting'!I511="","",'Data &amp; Reporting'!I511)</x:f>
      </x:c>
      <x:c r="K511" s="12" t="str">
        <x:f>IF('Data &amp; Reporting'!J511="","",'Data &amp; Reporting'!J511)</x:f>
      </x:c>
      <x:c r="L511" s="2" t="str">
        <x:f>IF('Data &amp; Reporting'!K511="","",'Data &amp; Reporting'!K511)</x:f>
      </x:c>
      <x:c r="M511" s="2" t="n">
        <x:f>'Data &amp; Reporting'!Q511</x:f>
        <x:v>0</x:v>
      </x:c>
      <x:c r="N511" s="2" t="str">
        <x:f>'Data &amp; Reporting'!L511</x:f>
        <x:v>Open check</x:v>
      </x:c>
      <x:c r="O511" s="2" t="str">
        <x:f>'Data &amp; Reporting'!N511</x:f>
        <x:v>DR.PL.1.3.C05.2026.CY3</x:v>
      </x:c>
      <x:c r="P511" s="2" t="n">
        <x:f>'Data &amp; Reporting'!O511</x:f>
        <x:v>0</x:v>
      </x:c>
      <x:c r="Q511" s="2" t="n">
        <x:f>SUBTOTAL(103,O511)</x:f>
        <x:v>1</x:v>
      </x:c>
      <x:c r="R511" s="2" t="n">
        <x:f>IF(AND(M511=1,OR(Dashboard!$B$7="All",Dashboard!$B$7='Cycles &amp; Guide'!$C$5),OR(Dashboard!$D$7="All",Dashboard!$D$7=B511),OR(Dashboard!$F$7="All",Dashboard!$F$7=C511),OR(Dashboard!$H$7="All",Dashboard!$H$7=D511),OR(Dashboard!$K$7="All",Dashboard!$K$7=E511)),1,0)</x:f>
        <x:v>0</x:v>
      </x:c>
      <x:c r="S511" s="2" t="n">
        <x:f>IF(R511=1,SUM($R$10:R511),0)</x:f>
        <x:v>0</x:v>
      </x:c>
      <x:c r="T511" s="2" t="str">
        <x:v>Data &amp; Reporting</x:v>
      </x:c>
      <x:c r="U511" s="2" t="n">
        <x:v>511</x:v>
      </x:c>
      <x:c r="V511" s="2" t="n">
        <x:f>IF(AND(M511=1,P511=0,ISNUMBER(J511),J511&lt;TODAY()),1,0)</x:f>
        <x:v>0</x:v>
      </x:c>
      <x:c r="W511" s="2" t="str">
        <x:f>'Data &amp; Reporting'!M511</x:f>
        <x:v>Checklist</x:v>
      </x:c>
    </x:row>
    <x:row r="512" ht="40" customHeight="1">
      <x:c r="A512" s="3" t="str">
        <x:f>HYPERLINK("#'Data &amp; Reporting'!A512","Open")</x:f>
        <x:v>Open</x:v>
      </x:c>
      <x:c r="B512" s="2" t="str">
        <x:f>'Data &amp; Reporting'!B512</x:f>
        <x:v>Cycle 3</x:v>
      </x:c>
      <x:c r="C512" s="2" t="str">
        <x:f>'Data &amp; Reporting'!C512</x:f>
        <x:v>Phase 1</x:v>
      </x:c>
      <x:c r="D512" s="2" t="str">
        <x:f>'Data &amp; Reporting'!D512</x:f>
        <x:v>PLL</x:v>
      </x:c>
      <x:c r="E512" s="2" t="str">
        <x:v>Data &amp; Reporting</x:v>
      </x:c>
      <x:c r="F512" s="56" t="str">
        <x:f>'Data &amp; Reporting'!E512</x:f>
        <x:v>DR.PL.1.3.C06</x:v>
      </x:c>
      <x:c r="G512" s="14" t="str">
        <x:f>'Data &amp; Reporting'!F512</x:f>
        <x:v>    Validate no duplicate data is provided</x:v>
      </x:c>
      <x:c r="H512" s="2" t="str">
        <x:f>IF('Data &amp; Reporting'!G512="","",'Data &amp; Reporting'!G512)</x:f>
      </x:c>
      <x:c r="I512" s="12" t="str">
        <x:f>IF('Data &amp; Reporting'!H512="","",'Data &amp; Reporting'!H512)</x:f>
      </x:c>
      <x:c r="J512" s="12" t="str">
        <x:f>IF('Data &amp; Reporting'!I512="","",'Data &amp; Reporting'!I512)</x:f>
      </x:c>
      <x:c r="K512" s="12" t="str">
        <x:f>IF('Data &amp; Reporting'!J512="","",'Data &amp; Reporting'!J512)</x:f>
      </x:c>
      <x:c r="L512" s="2" t="str">
        <x:f>IF('Data &amp; Reporting'!K512="","",'Data &amp; Reporting'!K512)</x:f>
      </x:c>
      <x:c r="M512" s="2" t="n">
        <x:f>'Data &amp; Reporting'!Q512</x:f>
        <x:v>0</x:v>
      </x:c>
      <x:c r="N512" s="2" t="str">
        <x:f>'Data &amp; Reporting'!L512</x:f>
        <x:v>Open check</x:v>
      </x:c>
      <x:c r="O512" s="2" t="str">
        <x:f>'Data &amp; Reporting'!N512</x:f>
        <x:v>DR.PL.1.3.C06.2026.CY3</x:v>
      </x:c>
      <x:c r="P512" s="2" t="n">
        <x:f>'Data &amp; Reporting'!O512</x:f>
        <x:v>0</x:v>
      </x:c>
      <x:c r="Q512" s="2" t="n">
        <x:f>SUBTOTAL(103,O512)</x:f>
        <x:v>1</x:v>
      </x:c>
      <x:c r="R512" s="2" t="n">
        <x:f>IF(AND(M512=1,OR(Dashboard!$B$7="All",Dashboard!$B$7='Cycles &amp; Guide'!$C$5),OR(Dashboard!$D$7="All",Dashboard!$D$7=B512),OR(Dashboard!$F$7="All",Dashboard!$F$7=C512),OR(Dashboard!$H$7="All",Dashboard!$H$7=D512),OR(Dashboard!$K$7="All",Dashboard!$K$7=E512)),1,0)</x:f>
        <x:v>0</x:v>
      </x:c>
      <x:c r="S512" s="2" t="n">
        <x:f>IF(R512=1,SUM($R$10:R512),0)</x:f>
        <x:v>0</x:v>
      </x:c>
      <x:c r="T512" s="2" t="str">
        <x:v>Data &amp; Reporting</x:v>
      </x:c>
      <x:c r="U512" s="2" t="n">
        <x:v>512</x:v>
      </x:c>
      <x:c r="V512" s="2" t="n">
        <x:f>IF(AND(M512=1,P512=0,ISNUMBER(J512),J512&lt;TODAY()),1,0)</x:f>
        <x:v>0</x:v>
      </x:c>
      <x:c r="W512" s="2" t="str">
        <x:f>'Data &amp; Reporting'!M512</x:f>
        <x:v>Checklist</x:v>
      </x:c>
    </x:row>
    <x:row r="513" ht="40" customHeight="1">
      <x:c r="A513" s="3" t="str">
        <x:f>HYPERLINK("#'Data &amp; Reporting'!A513","Open")</x:f>
        <x:v>Open</x:v>
      </x:c>
      <x:c r="B513" s="2" t="str">
        <x:f>'Data &amp; Reporting'!B513</x:f>
        <x:v>Cycle 3</x:v>
      </x:c>
      <x:c r="C513" s="2" t="str">
        <x:f>'Data &amp; Reporting'!C513</x:f>
        <x:v>Phase 1</x:v>
      </x:c>
      <x:c r="D513" s="2" t="str">
        <x:f>'Data &amp; Reporting'!D513</x:f>
        <x:v>PLL</x:v>
      </x:c>
      <x:c r="E513" s="2" t="str">
        <x:v>Data &amp; Reporting</x:v>
      </x:c>
      <x:c r="F513" s="56" t="str">
        <x:f>'Data &amp; Reporting'!E513</x:f>
        <x:v>DR.PL.1.3.C07</x:v>
      </x:c>
      <x:c r="G513" s="14" t="str">
        <x:f>'Data &amp; Reporting'!F513</x:f>
        <x:v>    Document any data exclusions along with justification (as needed)</x:v>
      </x:c>
      <x:c r="H513" s="2" t="str">
        <x:f>IF('Data &amp; Reporting'!G513="","",'Data &amp; Reporting'!G513)</x:f>
      </x:c>
      <x:c r="I513" s="12" t="str">
        <x:f>IF('Data &amp; Reporting'!H513="","",'Data &amp; Reporting'!H513)</x:f>
      </x:c>
      <x:c r="J513" s="12" t="str">
        <x:f>IF('Data &amp; Reporting'!I513="","",'Data &amp; Reporting'!I513)</x:f>
      </x:c>
      <x:c r="K513" s="12" t="str">
        <x:f>IF('Data &amp; Reporting'!J513="","",'Data &amp; Reporting'!J513)</x:f>
      </x:c>
      <x:c r="L513" s="2" t="str">
        <x:f>IF('Data &amp; Reporting'!K513="","",'Data &amp; Reporting'!K513)</x:f>
      </x:c>
      <x:c r="M513" s="2" t="n">
        <x:f>'Data &amp; Reporting'!Q513</x:f>
        <x:v>0</x:v>
      </x:c>
      <x:c r="N513" s="2" t="str">
        <x:f>'Data &amp; Reporting'!L513</x:f>
        <x:v>Open check</x:v>
      </x:c>
      <x:c r="O513" s="2" t="str">
        <x:f>'Data &amp; Reporting'!N513</x:f>
        <x:v>DR.PL.1.3.C07.2026.CY3</x:v>
      </x:c>
      <x:c r="P513" s="2" t="n">
        <x:f>'Data &amp; Reporting'!O513</x:f>
        <x:v>0</x:v>
      </x:c>
      <x:c r="Q513" s="2" t="n">
        <x:f>SUBTOTAL(103,O513)</x:f>
        <x:v>1</x:v>
      </x:c>
      <x:c r="R513" s="2" t="n">
        <x:f>IF(AND(M513=1,OR(Dashboard!$B$7="All",Dashboard!$B$7='Cycles &amp; Guide'!$C$5),OR(Dashboard!$D$7="All",Dashboard!$D$7=B513),OR(Dashboard!$F$7="All",Dashboard!$F$7=C513),OR(Dashboard!$H$7="All",Dashboard!$H$7=D513),OR(Dashboard!$K$7="All",Dashboard!$K$7=E513)),1,0)</x:f>
        <x:v>0</x:v>
      </x:c>
      <x:c r="S513" s="2" t="n">
        <x:f>IF(R513=1,SUM($R$10:R513),0)</x:f>
        <x:v>0</x:v>
      </x:c>
      <x:c r="T513" s="2" t="str">
        <x:v>Data &amp; Reporting</x:v>
      </x:c>
      <x:c r="U513" s="2" t="n">
        <x:v>513</x:v>
      </x:c>
      <x:c r="V513" s="2" t="n">
        <x:f>IF(AND(M513=1,P513=0,ISNUMBER(J513),J513&lt;TODAY()),1,0)</x:f>
        <x:v>0</x:v>
      </x:c>
      <x:c r="W513" s="2" t="str">
        <x:f>'Data &amp; Reporting'!M513</x:f>
        <x:v>Checklist</x:v>
      </x:c>
    </x:row>
    <x:row r="514" ht="40" customHeight="1">
      <x:c r="A514" s="3" t="str">
        <x:f>HYPERLINK("#'Data &amp; Reporting'!A514","Open")</x:f>
        <x:v>Open</x:v>
      </x:c>
      <x:c r="B514" s="2" t="str">
        <x:f>'Data &amp; Reporting'!B514</x:f>
        <x:v>Cycle 3</x:v>
      </x:c>
      <x:c r="C514" s="2" t="str">
        <x:f>'Data &amp; Reporting'!C514</x:f>
        <x:v>Phase 1</x:v>
      </x:c>
      <x:c r="D514" s="2" t="str">
        <x:f>'Data &amp; Reporting'!D514</x:f>
        <x:v>PLL</x:v>
      </x:c>
      <x:c r="E514" s="2" t="str">
        <x:v>Data &amp; Reporting</x:v>
      </x:c>
      <x:c r="F514" s="56" t="str">
        <x:f>'Data &amp; Reporting'!E514</x:f>
        <x:v>DR.PL.1.3.C08</x:v>
      </x:c>
      <x:c r="G514" s="14" t="str">
        <x:f>'Data &amp; Reporting'!F514</x:f>
        <x:v>    Document any assumptions made with the data (as needed)</x:v>
      </x:c>
      <x:c r="H514" s="2" t="str">
        <x:f>IF('Data &amp; Reporting'!G514="","",'Data &amp; Reporting'!G514)</x:f>
      </x:c>
      <x:c r="I514" s="12" t="str">
        <x:f>IF('Data &amp; Reporting'!H514="","",'Data &amp; Reporting'!H514)</x:f>
      </x:c>
      <x:c r="J514" s="12" t="str">
        <x:f>IF('Data &amp; Reporting'!I514="","",'Data &amp; Reporting'!I514)</x:f>
      </x:c>
      <x:c r="K514" s="12" t="str">
        <x:f>IF('Data &amp; Reporting'!J514="","",'Data &amp; Reporting'!J514)</x:f>
      </x:c>
      <x:c r="L514" s="2" t="str">
        <x:f>IF('Data &amp; Reporting'!K514="","",'Data &amp; Reporting'!K514)</x:f>
      </x:c>
      <x:c r="M514" s="2" t="n">
        <x:f>'Data &amp; Reporting'!Q514</x:f>
        <x:v>0</x:v>
      </x:c>
      <x:c r="N514" s="2" t="str">
        <x:f>'Data &amp; Reporting'!L514</x:f>
        <x:v>Open check</x:v>
      </x:c>
      <x:c r="O514" s="2" t="str">
        <x:f>'Data &amp; Reporting'!N514</x:f>
        <x:v>DR.PL.1.3.C08.2026.CY3</x:v>
      </x:c>
      <x:c r="P514" s="2" t="n">
        <x:f>'Data &amp; Reporting'!O514</x:f>
        <x:v>0</x:v>
      </x:c>
      <x:c r="Q514" s="2" t="n">
        <x:f>SUBTOTAL(103,O514)</x:f>
        <x:v>1</x:v>
      </x:c>
      <x:c r="R514" s="2" t="n">
        <x:f>IF(AND(M514=1,OR(Dashboard!$B$7="All",Dashboard!$B$7='Cycles &amp; Guide'!$C$5),OR(Dashboard!$D$7="All",Dashboard!$D$7=B514),OR(Dashboard!$F$7="All",Dashboard!$F$7=C514),OR(Dashboard!$H$7="All",Dashboard!$H$7=D514),OR(Dashboard!$K$7="All",Dashboard!$K$7=E514)),1,0)</x:f>
        <x:v>0</x:v>
      </x:c>
      <x:c r="S514" s="2" t="n">
        <x:f>IF(R514=1,SUM($R$10:R514),0)</x:f>
        <x:v>0</x:v>
      </x:c>
      <x:c r="T514" s="2" t="str">
        <x:v>Data &amp; Reporting</x:v>
      </x:c>
      <x:c r="U514" s="2" t="n">
        <x:v>514</x:v>
      </x:c>
      <x:c r="V514" s="2" t="n">
        <x:f>IF(AND(M514=1,P514=0,ISNUMBER(J514),J514&lt;TODAY()),1,0)</x:f>
        <x:v>0</x:v>
      </x:c>
      <x:c r="W514" s="2" t="str">
        <x:f>'Data &amp; Reporting'!M514</x:f>
        <x:v>Checklist</x:v>
      </x:c>
    </x:row>
    <x:row r="515" ht="40" customHeight="1">
      <x:c r="A515" s="3" t="str">
        <x:f>HYPERLINK("#'Data &amp; Reporting'!A515","Open")</x:f>
        <x:v>Open</x:v>
      </x:c>
      <x:c r="B515" s="2" t="str">
        <x:f>'Data &amp; Reporting'!B515</x:f>
        <x:v>Cycle 3</x:v>
      </x:c>
      <x:c r="C515" s="2" t="str">
        <x:f>'Data &amp; Reporting'!C515</x:f>
        <x:v>Phase 1</x:v>
      </x:c>
      <x:c r="D515" s="2" t="str">
        <x:f>'Data &amp; Reporting'!D515</x:f>
        <x:v>PLL</x:v>
      </x:c>
      <x:c r="E515" s="2" t="str">
        <x:v>Data &amp; Reporting</x:v>
      </x:c>
      <x:c r="F515" s="56" t="str">
        <x:f>'Data &amp; Reporting'!E515</x:f>
        <x:v>DR.PL.1.3.C09</x:v>
      </x:c>
      <x:c r="G515" s="14" t="str">
        <x:f>'Data &amp; Reporting'!F515</x:f>
        <x:v>    Document any data limitations or constraints clearly (as needed)</x:v>
      </x:c>
      <x:c r="H515" s="2" t="str">
        <x:f>IF('Data &amp; Reporting'!G515="","",'Data &amp; Reporting'!G515)</x:f>
      </x:c>
      <x:c r="I515" s="12" t="str">
        <x:f>IF('Data &amp; Reporting'!H515="","",'Data &amp; Reporting'!H515)</x:f>
      </x:c>
      <x:c r="J515" s="12" t="str">
        <x:f>IF('Data &amp; Reporting'!I515="","",'Data &amp; Reporting'!I515)</x:f>
      </x:c>
      <x:c r="K515" s="12" t="str">
        <x:f>IF('Data &amp; Reporting'!J515="","",'Data &amp; Reporting'!J515)</x:f>
      </x:c>
      <x:c r="L515" s="2" t="str">
        <x:f>IF('Data &amp; Reporting'!K515="","",'Data &amp; Reporting'!K515)</x:f>
      </x:c>
      <x:c r="M515" s="2" t="n">
        <x:f>'Data &amp; Reporting'!Q515</x:f>
        <x:v>0</x:v>
      </x:c>
      <x:c r="N515" s="2" t="str">
        <x:f>'Data &amp; Reporting'!L515</x:f>
        <x:v>Open check</x:v>
      </x:c>
      <x:c r="O515" s="2" t="str">
        <x:f>'Data &amp; Reporting'!N515</x:f>
        <x:v>DR.PL.1.3.C09.2026.CY3</x:v>
      </x:c>
      <x:c r="P515" s="2" t="n">
        <x:f>'Data &amp; Reporting'!O515</x:f>
        <x:v>0</x:v>
      </x:c>
      <x:c r="Q515" s="2" t="n">
        <x:f>SUBTOTAL(103,O515)</x:f>
        <x:v>1</x:v>
      </x:c>
      <x:c r="R515" s="2" t="n">
        <x:f>IF(AND(M515=1,OR(Dashboard!$B$7="All",Dashboard!$B$7='Cycles &amp; Guide'!$C$5),OR(Dashboard!$D$7="All",Dashboard!$D$7=B515),OR(Dashboard!$F$7="All",Dashboard!$F$7=C515),OR(Dashboard!$H$7="All",Dashboard!$H$7=D515),OR(Dashboard!$K$7="All",Dashboard!$K$7=E515)),1,0)</x:f>
        <x:v>0</x:v>
      </x:c>
      <x:c r="S515" s="2" t="n">
        <x:f>IF(R515=1,SUM($R$10:R515),0)</x:f>
        <x:v>0</x:v>
      </x:c>
      <x:c r="T515" s="2" t="str">
        <x:v>Data &amp; Reporting</x:v>
      </x:c>
      <x:c r="U515" s="2" t="n">
        <x:v>515</x:v>
      </x:c>
      <x:c r="V515" s="2" t="n">
        <x:f>IF(AND(M515=1,P515=0,ISNUMBER(J515),J515&lt;TODAY()),1,0)</x:f>
        <x:v>0</x:v>
      </x:c>
      <x:c r="W515" s="2" t="str">
        <x:f>'Data &amp; Reporting'!M515</x:f>
        <x:v>Checklist</x:v>
      </x:c>
    </x:row>
    <x:row r="516" ht="40" customHeight="1">
      <x:c r="A516" s="3" t="str">
        <x:f>HYPERLINK("#'Data &amp; Reporting'!A516","Open")</x:f>
        <x:v>Open</x:v>
      </x:c>
      <x:c r="B516" s="2" t="str">
        <x:f>'Data &amp; Reporting'!B516</x:f>
        <x:v>Cycle 3</x:v>
      </x:c>
      <x:c r="C516" s="2" t="str">
        <x:f>'Data &amp; Reporting'!C516</x:f>
        <x:v>Phase 1</x:v>
      </x:c>
      <x:c r="D516" s="2" t="str">
        <x:f>'Data &amp; Reporting'!D516</x:f>
        <x:v>PLL</x:v>
      </x:c>
      <x:c r="E516" s="2" t="str">
        <x:v>Data &amp; Reporting</x:v>
      </x:c>
      <x:c r="F516" s="56" t="str">
        <x:f>'Data &amp; Reporting'!E516</x:f>
        <x:v>DR.PL.1.3.C10</x:v>
      </x:c>
      <x:c r="G516" s="14" t="str">
        <x:f>'Data &amp; Reporting'!F516</x:f>
        <x:v>    Document data dictionary or field definitions for columns/rows</x:v>
      </x:c>
      <x:c r="H516" s="2" t="str">
        <x:f>IF('Data &amp; Reporting'!G516="","",'Data &amp; Reporting'!G516)</x:f>
      </x:c>
      <x:c r="I516" s="12" t="str">
        <x:f>IF('Data &amp; Reporting'!H516="","",'Data &amp; Reporting'!H516)</x:f>
      </x:c>
      <x:c r="J516" s="12" t="str">
        <x:f>IF('Data &amp; Reporting'!I516="","",'Data &amp; Reporting'!I516)</x:f>
      </x:c>
      <x:c r="K516" s="12" t="str">
        <x:f>IF('Data &amp; Reporting'!J516="","",'Data &amp; Reporting'!J516)</x:f>
      </x:c>
      <x:c r="L516" s="2" t="str">
        <x:f>IF('Data &amp; Reporting'!K516="","",'Data &amp; Reporting'!K516)</x:f>
      </x:c>
      <x:c r="M516" s="2" t="n">
        <x:f>'Data &amp; Reporting'!Q516</x:f>
        <x:v>0</x:v>
      </x:c>
      <x:c r="N516" s="2" t="str">
        <x:f>'Data &amp; Reporting'!L516</x:f>
        <x:v>Open check</x:v>
      </x:c>
      <x:c r="O516" s="2" t="str">
        <x:f>'Data &amp; Reporting'!N516</x:f>
        <x:v>DR.PL.1.3.C10.2026.CY3</x:v>
      </x:c>
      <x:c r="P516" s="2" t="n">
        <x:f>'Data &amp; Reporting'!O516</x:f>
        <x:v>0</x:v>
      </x:c>
      <x:c r="Q516" s="2" t="n">
        <x:f>SUBTOTAL(103,O516)</x:f>
        <x:v>1</x:v>
      </x:c>
      <x:c r="R516" s="2" t="n">
        <x:f>IF(AND(M516=1,OR(Dashboard!$B$7="All",Dashboard!$B$7='Cycles &amp; Guide'!$C$5),OR(Dashboard!$D$7="All",Dashboard!$D$7=B516),OR(Dashboard!$F$7="All",Dashboard!$F$7=C516),OR(Dashboard!$H$7="All",Dashboard!$H$7=D516),OR(Dashboard!$K$7="All",Dashboard!$K$7=E516)),1,0)</x:f>
        <x:v>0</x:v>
      </x:c>
      <x:c r="S516" s="2" t="n">
        <x:f>IF(R516=1,SUM($R$10:R516),0)</x:f>
        <x:v>0</x:v>
      </x:c>
      <x:c r="T516" s="2" t="str">
        <x:v>Data &amp; Reporting</x:v>
      </x:c>
      <x:c r="U516" s="2" t="n">
        <x:v>516</x:v>
      </x:c>
      <x:c r="V516" s="2" t="n">
        <x:f>IF(AND(M516=1,P516=0,ISNUMBER(J516),J516&lt;TODAY()),1,0)</x:f>
        <x:v>0</x:v>
      </x:c>
      <x:c r="W516" s="2" t="str">
        <x:f>'Data &amp; Reporting'!M516</x:f>
        <x:v>Checklist</x:v>
      </x:c>
    </x:row>
    <x:row r="517" ht="40" customHeight="1">
      <x:c r="A517" s="3" t="str">
        <x:f>HYPERLINK("#'Data &amp; Reporting'!A517","Open")</x:f>
        <x:v>Open</x:v>
      </x:c>
      <x:c r="B517" s="2" t="str">
        <x:f>'Data &amp; Reporting'!B517</x:f>
        <x:v>Cycle 3</x:v>
      </x:c>
      <x:c r="C517" s="2" t="str">
        <x:f>'Data &amp; Reporting'!C517</x:f>
        <x:v>Phase 1</x:v>
      </x:c>
      <x:c r="D517" s="2" t="str">
        <x:f>'Data &amp; Reporting'!D517</x:f>
        <x:v>PLL</x:v>
      </x:c>
      <x:c r="E517" s="2" t="str">
        <x:v>Data &amp; Reporting</x:v>
      </x:c>
      <x:c r="F517" s="56" t="str">
        <x:f>'Data &amp; Reporting'!E517</x:f>
        <x:v>DR.PL.1.3.C11</x:v>
      </x:c>
      <x:c r="G517" s="14" t="str">
        <x:f>'Data &amp; Reporting'!F517</x:f>
        <x:v>    Document emerging trends, patterns, or concentrations along with supporting data</x:v>
      </x:c>
      <x:c r="H517" s="2" t="str">
        <x:f>IF('Data &amp; Reporting'!G517="","",'Data &amp; Reporting'!G517)</x:f>
      </x:c>
      <x:c r="I517" s="12" t="str">
        <x:f>IF('Data &amp; Reporting'!H517="","",'Data &amp; Reporting'!H517)</x:f>
      </x:c>
      <x:c r="J517" s="12" t="str">
        <x:f>IF('Data &amp; Reporting'!I517="","",'Data &amp; Reporting'!I517)</x:f>
      </x:c>
      <x:c r="K517" s="12" t="str">
        <x:f>IF('Data &amp; Reporting'!J517="","",'Data &amp; Reporting'!J517)</x:f>
      </x:c>
      <x:c r="L517" s="2" t="str">
        <x:f>IF('Data &amp; Reporting'!K517="","",'Data &amp; Reporting'!K517)</x:f>
      </x:c>
      <x:c r="M517" s="2" t="n">
        <x:f>'Data &amp; Reporting'!Q517</x:f>
        <x:v>0</x:v>
      </x:c>
      <x:c r="N517" s="2" t="str">
        <x:f>'Data &amp; Reporting'!L517</x:f>
        <x:v>Open check</x:v>
      </x:c>
      <x:c r="O517" s="2" t="str">
        <x:f>'Data &amp; Reporting'!N517</x:f>
        <x:v>DR.PL.1.3.C11.2026.CY3</x:v>
      </x:c>
      <x:c r="P517" s="2" t="n">
        <x:f>'Data &amp; Reporting'!O517</x:f>
        <x:v>0</x:v>
      </x:c>
      <x:c r="Q517" s="2" t="n">
        <x:f>SUBTOTAL(103,O517)</x:f>
        <x:v>1</x:v>
      </x:c>
      <x:c r="R517" s="2" t="n">
        <x:f>IF(AND(M517=1,OR(Dashboard!$B$7="All",Dashboard!$B$7='Cycles &amp; Guide'!$C$5),OR(Dashboard!$D$7="All",Dashboard!$D$7=B517),OR(Dashboard!$F$7="All",Dashboard!$F$7=C517),OR(Dashboard!$H$7="All",Dashboard!$H$7=D517),OR(Dashboard!$K$7="All",Dashboard!$K$7=E517)),1,0)</x:f>
        <x:v>0</x:v>
      </x:c>
      <x:c r="S517" s="2" t="n">
        <x:f>IF(R517=1,SUM($R$10:R517),0)</x:f>
        <x:v>0</x:v>
      </x:c>
      <x:c r="T517" s="2" t="str">
        <x:v>Data &amp; Reporting</x:v>
      </x:c>
      <x:c r="U517" s="2" t="n">
        <x:v>517</x:v>
      </x:c>
      <x:c r="V517" s="2" t="n">
        <x:f>IF(AND(M517=1,P517=0,ISNUMBER(J517),J517&lt;TODAY()),1,0)</x:f>
        <x:v>0</x:v>
      </x:c>
      <x:c r="W517" s="2" t="str">
        <x:f>'Data &amp; Reporting'!M517</x:f>
        <x:v>Checklist</x:v>
      </x:c>
    </x:row>
    <x:row r="518" ht="40" customHeight="1">
      <x:c r="A518" s="3" t="str">
        <x:f>HYPERLINK("#'Data &amp; Reporting'!A518","Open")</x:f>
        <x:v>Open</x:v>
      </x:c>
      <x:c r="B518" s="2" t="str">
        <x:f>'Data &amp; Reporting'!B518</x:f>
        <x:v>Cycle 3</x:v>
      </x:c>
      <x:c r="C518" s="2" t="str">
        <x:f>'Data &amp; Reporting'!C518</x:f>
        <x:v>Phase 1</x:v>
      </x:c>
      <x:c r="D518" s="2" t="str">
        <x:f>'Data &amp; Reporting'!D518</x:f>
        <x:v>PLL</x:v>
      </x:c>
      <x:c r="E518" s="2" t="str">
        <x:v>Data &amp; Reporting</x:v>
      </x:c>
      <x:c r="F518" s="56" t="str">
        <x:f>'Data &amp; Reporting'!E518</x:f>
        <x:v>DR.PL.1.3.C12</x:v>
      </x:c>
      <x:c r="G518" s="14" t="str">
        <x:f>'Data &amp; Reporting'!F518</x:f>
        <x:v>    Document any severe spikes in volume along with context (as needed)</x:v>
      </x:c>
      <x:c r="H518" s="2" t="str">
        <x:f>IF('Data &amp; Reporting'!G518="","",'Data &amp; Reporting'!G518)</x:f>
      </x:c>
      <x:c r="I518" s="12" t="str">
        <x:f>IF('Data &amp; Reporting'!H518="","",'Data &amp; Reporting'!H518)</x:f>
      </x:c>
      <x:c r="J518" s="12" t="str">
        <x:f>IF('Data &amp; Reporting'!I518="","",'Data &amp; Reporting'!I518)</x:f>
      </x:c>
      <x:c r="K518" s="12" t="str">
        <x:f>IF('Data &amp; Reporting'!J518="","",'Data &amp; Reporting'!J518)</x:f>
      </x:c>
      <x:c r="L518" s="2" t="str">
        <x:f>IF('Data &amp; Reporting'!K518="","",'Data &amp; Reporting'!K518)</x:f>
      </x:c>
      <x:c r="M518" s="2" t="n">
        <x:f>'Data &amp; Reporting'!Q518</x:f>
        <x:v>0</x:v>
      </x:c>
      <x:c r="N518" s="2" t="str">
        <x:f>'Data &amp; Reporting'!L518</x:f>
        <x:v>Open check</x:v>
      </x:c>
      <x:c r="O518" s="2" t="str">
        <x:f>'Data &amp; Reporting'!N518</x:f>
        <x:v>DR.PL.1.3.C12.2026.CY3</x:v>
      </x:c>
      <x:c r="P518" s="2" t="n">
        <x:f>'Data &amp; Reporting'!O518</x:f>
        <x:v>0</x:v>
      </x:c>
      <x:c r="Q518" s="2" t="n">
        <x:f>SUBTOTAL(103,O518)</x:f>
        <x:v>1</x:v>
      </x:c>
      <x:c r="R518" s="2" t="n">
        <x:f>IF(AND(M518=1,OR(Dashboard!$B$7="All",Dashboard!$B$7='Cycles &amp; Guide'!$C$5),OR(Dashboard!$D$7="All",Dashboard!$D$7=B518),OR(Dashboard!$F$7="All",Dashboard!$F$7=C518),OR(Dashboard!$H$7="All",Dashboard!$H$7=D518),OR(Dashboard!$K$7="All",Dashboard!$K$7=E518)),1,0)</x:f>
        <x:v>0</x:v>
      </x:c>
      <x:c r="S518" s="2" t="n">
        <x:f>IF(R518=1,SUM($R$10:R518),0)</x:f>
        <x:v>0</x:v>
      </x:c>
      <x:c r="T518" s="2" t="str">
        <x:v>Data &amp; Reporting</x:v>
      </x:c>
      <x:c r="U518" s="2" t="n">
        <x:v>518</x:v>
      </x:c>
      <x:c r="V518" s="2" t="n">
        <x:f>IF(AND(M518=1,P518=0,ISNUMBER(J518),J518&lt;TODAY()),1,0)</x:f>
        <x:v>0</x:v>
      </x:c>
      <x:c r="W518" s="2" t="str">
        <x:f>'Data &amp; Reporting'!M518</x:f>
        <x:v>Checklist</x:v>
      </x:c>
    </x:row>
    <x:row r="519" ht="40" customHeight="1">
      <x:c r="A519" s="3" t="str">
        <x:f>HYPERLINK("#'Data &amp; Reporting'!A519","Open")</x:f>
        <x:v>Open</x:v>
      </x:c>
      <x:c r="B519" s="2" t="str">
        <x:f>'Data &amp; Reporting'!B519</x:f>
        <x:v>Cycle 3</x:v>
      </x:c>
      <x:c r="C519" s="2" t="str">
        <x:f>'Data &amp; Reporting'!C519</x:f>
        <x:v>Phase 1</x:v>
      </x:c>
      <x:c r="D519" s="2" t="str">
        <x:f>'Data &amp; Reporting'!D519</x:f>
        <x:v>PLL</x:v>
      </x:c>
      <x:c r="E519" s="2" t="str">
        <x:v>Data &amp; Reporting</x:v>
      </x:c>
      <x:c r="F519" s="56" t="str">
        <x:f>'Data &amp; Reporting'!E519</x:f>
        <x:v>DR.PL.1.3.C13</x:v>
      </x:c>
      <x:c r="G519" s="14" t="str">
        <x:f>'Data &amp; Reporting'!F519</x:f>
        <x:v>    Document clear summary explaining how the data connects to the potential topic</x:v>
      </x:c>
      <x:c r="H519" s="2" t="str">
        <x:f>IF('Data &amp; Reporting'!G519="","",'Data &amp; Reporting'!G519)</x:f>
      </x:c>
      <x:c r="I519" s="12" t="str">
        <x:f>IF('Data &amp; Reporting'!H519="","",'Data &amp; Reporting'!H519)</x:f>
      </x:c>
      <x:c r="J519" s="12" t="str">
        <x:f>IF('Data &amp; Reporting'!I519="","",'Data &amp; Reporting'!I519)</x:f>
      </x:c>
      <x:c r="K519" s="12" t="str">
        <x:f>IF('Data &amp; Reporting'!J519="","",'Data &amp; Reporting'!J519)</x:f>
      </x:c>
      <x:c r="L519" s="2" t="str">
        <x:f>IF('Data &amp; Reporting'!K519="","",'Data &amp; Reporting'!K519)</x:f>
      </x:c>
      <x:c r="M519" s="2" t="n">
        <x:f>'Data &amp; Reporting'!Q519</x:f>
        <x:v>0</x:v>
      </x:c>
      <x:c r="N519" s="2" t="str">
        <x:f>'Data &amp; Reporting'!L519</x:f>
        <x:v>Open check</x:v>
      </x:c>
      <x:c r="O519" s="2" t="str">
        <x:f>'Data &amp; Reporting'!N519</x:f>
        <x:v>DR.PL.1.3.C13.2026.CY3</x:v>
      </x:c>
      <x:c r="P519" s="2" t="n">
        <x:f>'Data &amp; Reporting'!O519</x:f>
        <x:v>0</x:v>
      </x:c>
      <x:c r="Q519" s="2" t="n">
        <x:f>SUBTOTAL(103,O519)</x:f>
        <x:v>1</x:v>
      </x:c>
      <x:c r="R519" s="2" t="n">
        <x:f>IF(AND(M519=1,OR(Dashboard!$B$7="All",Dashboard!$B$7='Cycles &amp; Guide'!$C$5),OR(Dashboard!$D$7="All",Dashboard!$D$7=B519),OR(Dashboard!$F$7="All",Dashboard!$F$7=C519),OR(Dashboard!$H$7="All",Dashboard!$H$7=D519),OR(Dashboard!$K$7="All",Dashboard!$K$7=E519)),1,0)</x:f>
        <x:v>0</x:v>
      </x:c>
      <x:c r="S519" s="2" t="n">
        <x:f>IF(R519=1,SUM($R$10:R519),0)</x:f>
        <x:v>0</x:v>
      </x:c>
      <x:c r="T519" s="2" t="str">
        <x:v>Data &amp; Reporting</x:v>
      </x:c>
      <x:c r="U519" s="2" t="n">
        <x:v>519</x:v>
      </x:c>
      <x:c r="V519" s="2" t="n">
        <x:f>IF(AND(M519=1,P519=0,ISNUMBER(J519),J519&lt;TODAY()),1,0)</x:f>
        <x:v>0</x:v>
      </x:c>
      <x:c r="W519" s="2" t="str">
        <x:f>'Data &amp; Reporting'!M519</x:f>
        <x:v>Checklist</x:v>
      </x:c>
    </x:row>
    <x:row r="520" ht="40" customHeight="1">
      <x:c r="A520" s="3" t="str">
        <x:f>HYPERLINK("#'Data &amp; Reporting'!A520","Open")</x:f>
        <x:v>Open</x:v>
      </x:c>
      <x:c r="B520" s="2" t="str">
        <x:f>'Data &amp; Reporting'!B520</x:f>
        <x:v>Cycle 3</x:v>
      </x:c>
      <x:c r="C520" s="2" t="str">
        <x:f>'Data &amp; Reporting'!C520</x:f>
        <x:v>Phase 2</x:v>
      </x:c>
      <x:c r="D520" s="2" t="str">
        <x:f>'Data &amp; Reporting'!D520</x:f>
        <x:v>PLL</x:v>
      </x:c>
      <x:c r="E520" s="2" t="str">
        <x:v>Data &amp; Reporting</x:v>
      </x:c>
      <x:c r="F520" s="56" t="str">
        <x:f>'Data &amp; Reporting'!E520</x:f>
        <x:v>DR.PL.2.1</x:v>
      </x:c>
      <x:c r="G520" s="14" t="str">
        <x:f>'Data &amp; Reporting'!F520</x:f>
        <x:v>Ensure data is clean, structured, and usable without manipulation needed</x:v>
      </x:c>
      <x:c r="H520" s="2" t="str">
        <x:f>IF('Data &amp; Reporting'!G520="","",'Data &amp; Reporting'!G520)</x:f>
      </x:c>
      <x:c r="I520" s="12" t="str">
        <x:f>IF('Data &amp; Reporting'!H520="","",'Data &amp; Reporting'!H520)</x:f>
      </x:c>
      <x:c r="J520" s="12" t="n">
        <x:f>IF('Data &amp; Reporting'!I520="","",'Data &amp; Reporting'!I520)</x:f>
        <x:v>46295</x:v>
      </x:c>
      <x:c r="K520" s="12" t="str">
        <x:f>IF('Data &amp; Reporting'!J520="","",'Data &amp; Reporting'!J520)</x:f>
      </x:c>
      <x:c r="L520" s="2" t="str">
        <x:f>IF('Data &amp; Reporting'!K520="","",'Data &amp; Reporting'!K520)</x:f>
      </x:c>
      <x:c r="M520" s="2" t="n">
        <x:f>'Data &amp; Reporting'!Q520</x:f>
        <x:v>1</x:v>
      </x:c>
      <x:c r="N520" s="2" t="str">
        <x:f>'Data &amp; Reporting'!L520</x:f>
        <x:v>Not started</x:v>
      </x:c>
      <x:c r="O520" s="2" t="str">
        <x:f>'Data &amp; Reporting'!N520</x:f>
        <x:v>DR.PL.2.1.2026.CY3</x:v>
      </x:c>
      <x:c r="P520" s="2" t="n">
        <x:f>'Data &amp; Reporting'!O520</x:f>
        <x:v>0</x:v>
      </x:c>
      <x:c r="Q520" s="2" t="n">
        <x:f>SUBTOTAL(103,O520)</x:f>
        <x:v>1</x:v>
      </x:c>
      <x:c r="R520" s="2" t="n">
        <x:f>IF(AND(M520=1,OR(Dashboard!$B$7="All",Dashboard!$B$7='Cycles &amp; Guide'!$C$5),OR(Dashboard!$D$7="All",Dashboard!$D$7=B520),OR(Dashboard!$F$7="All",Dashboard!$F$7=C520),OR(Dashboard!$H$7="All",Dashboard!$H$7=D520),OR(Dashboard!$K$7="All",Dashboard!$K$7=E520)),1,0)</x:f>
        <x:v>1</x:v>
      </x:c>
      <x:c r="S520" s="2" t="n">
        <x:f>IF(R520=1,SUM($R$10:R520),0)</x:f>
        <x:v>251</x:v>
      </x:c>
      <x:c r="T520" s="2" t="str">
        <x:v>Data &amp; Reporting</x:v>
      </x:c>
      <x:c r="U520" s="2" t="n">
        <x:v>520</x:v>
      </x:c>
      <x:c r="V520" s="2" t="n">
        <x:f>IF(AND(M520=1,P520=0,ISNUMBER(J520),J520&lt;TODAY()),1,0)</x:f>
        <x:v>0</x:v>
      </x:c>
      <x:c r="W520" s="2" t="str">
        <x:f>'Data &amp; Reporting'!M520</x:f>
        <x:v>Task</x:v>
      </x:c>
    </x:row>
    <x:row r="521" ht="40" customHeight="1">
      <x:c r="A521" s="3" t="str">
        <x:f>HYPERLINK("#'Data &amp; Reporting'!A521","Open")</x:f>
        <x:v>Open</x:v>
      </x:c>
      <x:c r="B521" s="2" t="str">
        <x:f>'Data &amp; Reporting'!B521</x:f>
        <x:v>Cycle 3</x:v>
      </x:c>
      <x:c r="C521" s="2" t="str">
        <x:f>'Data &amp; Reporting'!C521</x:f>
        <x:v>Phase 2</x:v>
      </x:c>
      <x:c r="D521" s="2" t="str">
        <x:f>'Data &amp; Reporting'!D521</x:f>
        <x:v>PLL</x:v>
      </x:c>
      <x:c r="E521" s="2" t="str">
        <x:v>Data &amp; Reporting</x:v>
      </x:c>
      <x:c r="F521" s="56" t="str">
        <x:f>'Data &amp; Reporting'!E521</x:f>
        <x:v>DR.PL.2.2</x:v>
      </x:c>
      <x:c r="G521" s="14" t="str">
        <x:f>'Data &amp; Reporting'!F521</x:f>
        <x:v>Clearly document rationale for each topic recommendation within the SharePoint list</x:v>
      </x:c>
      <x:c r="H521" s="2" t="str">
        <x:f>IF('Data &amp; Reporting'!G521="","",'Data &amp; Reporting'!G521)</x:f>
      </x:c>
      <x:c r="I521" s="12" t="str">
        <x:f>IF('Data &amp; Reporting'!H521="","",'Data &amp; Reporting'!H521)</x:f>
      </x:c>
      <x:c r="J521" s="12" t="n">
        <x:f>IF('Data &amp; Reporting'!I521="","",'Data &amp; Reporting'!I521)</x:f>
        <x:v>46295</x:v>
      </x:c>
      <x:c r="K521" s="12" t="str">
        <x:f>IF('Data &amp; Reporting'!J521="","",'Data &amp; Reporting'!J521)</x:f>
      </x:c>
      <x:c r="L521" s="2" t="str">
        <x:f>IF('Data &amp; Reporting'!K521="","",'Data &amp; Reporting'!K521)</x:f>
      </x:c>
      <x:c r="M521" s="2" t="n">
        <x:f>'Data &amp; Reporting'!Q521</x:f>
        <x:v>1</x:v>
      </x:c>
      <x:c r="N521" s="2" t="str">
        <x:f>'Data &amp; Reporting'!L521</x:f>
        <x:v>Not started</x:v>
      </x:c>
      <x:c r="O521" s="2" t="str">
        <x:f>'Data &amp; Reporting'!N521</x:f>
        <x:v>DR.PL.2.2.2026.CY3</x:v>
      </x:c>
      <x:c r="P521" s="2" t="n">
        <x:f>'Data &amp; Reporting'!O521</x:f>
        <x:v>0</x:v>
      </x:c>
      <x:c r="Q521" s="2" t="n">
        <x:f>SUBTOTAL(103,O521)</x:f>
        <x:v>1</x:v>
      </x:c>
      <x:c r="R521" s="2" t="n">
        <x:f>IF(AND(M521=1,OR(Dashboard!$B$7="All",Dashboard!$B$7='Cycles &amp; Guide'!$C$5),OR(Dashboard!$D$7="All",Dashboard!$D$7=B521),OR(Dashboard!$F$7="All",Dashboard!$F$7=C521),OR(Dashboard!$H$7="All",Dashboard!$H$7=D521),OR(Dashboard!$K$7="All",Dashboard!$K$7=E521)),1,0)</x:f>
        <x:v>1</x:v>
      </x:c>
      <x:c r="S521" s="2" t="n">
        <x:f>IF(R521=1,SUM($R$10:R521),0)</x:f>
        <x:v>252</x:v>
      </x:c>
      <x:c r="T521" s="2" t="str">
        <x:v>Data &amp; Reporting</x:v>
      </x:c>
      <x:c r="U521" s="2" t="n">
        <x:v>521</x:v>
      </x:c>
      <x:c r="V521" s="2" t="n">
        <x:f>IF(AND(M521=1,P521=0,ISNUMBER(J521),J521&lt;TODAY()),1,0)</x:f>
        <x:v>0</x:v>
      </x:c>
      <x:c r="W521" s="2" t="str">
        <x:f>'Data &amp; Reporting'!M521</x:f>
        <x:v>Task</x:v>
      </x:c>
    </x:row>
    <x:row r="522" ht="40" customHeight="1">
      <x:c r="A522" s="3" t="str">
        <x:f>HYPERLINK("#'Data &amp; Reporting'!A522","Open")</x:f>
        <x:v>Open</x:v>
      </x:c>
      <x:c r="B522" s="2" t="str">
        <x:f>'Data &amp; Reporting'!B522</x:f>
        <x:v>Cycle 3</x:v>
      </x:c>
      <x:c r="C522" s="2" t="str">
        <x:f>'Data &amp; Reporting'!C522</x:f>
        <x:v>Phase 2</x:v>
      </x:c>
      <x:c r="D522" s="2" t="str">
        <x:f>'Data &amp; Reporting'!D522</x:f>
        <x:v>PLL</x:v>
      </x:c>
      <x:c r="E522" s="2" t="str">
        <x:v>Data &amp; Reporting</x:v>
      </x:c>
      <x:c r="F522" s="56" t="str">
        <x:f>'Data &amp; Reporting'!E522</x:f>
        <x:v>DR.PL.2.3</x:v>
      </x:c>
      <x:c r="G522" s="14" t="str">
        <x:f>'Data &amp; Reporting'!F522</x:f>
        <x:v>Verify topic is eligible for RCA and does not conflict with Attorney Client Privilege</x:v>
      </x:c>
      <x:c r="H522" s="2" t="str">
        <x:f>IF('Data &amp; Reporting'!G522="","",'Data &amp; Reporting'!G522)</x:f>
      </x:c>
      <x:c r="I522" s="12" t="str">
        <x:f>IF('Data &amp; Reporting'!H522="","",'Data &amp; Reporting'!H522)</x:f>
      </x:c>
      <x:c r="J522" s="12" t="n">
        <x:f>IF('Data &amp; Reporting'!I522="","",'Data &amp; Reporting'!I522)</x:f>
        <x:v>46295</x:v>
      </x:c>
      <x:c r="K522" s="12" t="str">
        <x:f>IF('Data &amp; Reporting'!J522="","",'Data &amp; Reporting'!J522)</x:f>
      </x:c>
      <x:c r="L522" s="2" t="str">
        <x:f>IF('Data &amp; Reporting'!K522="","",'Data &amp; Reporting'!K522)</x:f>
      </x:c>
      <x:c r="M522" s="2" t="n">
        <x:f>'Data &amp; Reporting'!Q522</x:f>
        <x:v>1</x:v>
      </x:c>
      <x:c r="N522" s="2" t="str">
        <x:f>'Data &amp; Reporting'!L522</x:f>
        <x:v>Not started</x:v>
      </x:c>
      <x:c r="O522" s="2" t="str">
        <x:f>'Data &amp; Reporting'!N522</x:f>
        <x:v>DR.PL.2.3.2026.CY3</x:v>
      </x:c>
      <x:c r="P522" s="2" t="n">
        <x:f>'Data &amp; Reporting'!O522</x:f>
        <x:v>0</x:v>
      </x:c>
      <x:c r="Q522" s="2" t="n">
        <x:f>SUBTOTAL(103,O522)</x:f>
        <x:v>1</x:v>
      </x:c>
      <x:c r="R522" s="2" t="n">
        <x:f>IF(AND(M522=1,OR(Dashboard!$B$7="All",Dashboard!$B$7='Cycles &amp; Guide'!$C$5),OR(Dashboard!$D$7="All",Dashboard!$D$7=B522),OR(Dashboard!$F$7="All",Dashboard!$F$7=C522),OR(Dashboard!$H$7="All",Dashboard!$H$7=D522),OR(Dashboard!$K$7="All",Dashboard!$K$7=E522)),1,0)</x:f>
        <x:v>1</x:v>
      </x:c>
      <x:c r="S522" s="2" t="n">
        <x:f>IF(R522=1,SUM($R$10:R522),0)</x:f>
        <x:v>253</x:v>
      </x:c>
      <x:c r="T522" s="2" t="str">
        <x:v>Data &amp; Reporting</x:v>
      </x:c>
      <x:c r="U522" s="2" t="n">
        <x:v>522</x:v>
      </x:c>
      <x:c r="V522" s="2" t="n">
        <x:f>IF(AND(M522=1,P522=0,ISNUMBER(J522),J522&lt;TODAY()),1,0)</x:f>
        <x:v>0</x:v>
      </x:c>
      <x:c r="W522" s="2" t="str">
        <x:f>'Data &amp; Reporting'!M522</x:f>
        <x:v>Task</x:v>
      </x:c>
    </x:row>
    <x:row r="523" ht="40" customHeight="1">
      <x:c r="A523" s="3" t="str">
        <x:f>HYPERLINK("#'Data &amp; Reporting'!A523","Open")</x:f>
        <x:v>Open</x:v>
      </x:c>
      <x:c r="B523" s="2" t="str">
        <x:f>'Data &amp; Reporting'!B523</x:f>
        <x:v>Cycle 3</x:v>
      </x:c>
      <x:c r="C523" s="2" t="str">
        <x:f>'Data &amp; Reporting'!C523</x:f>
        <x:v>Phase 2</x:v>
      </x:c>
      <x:c r="D523" s="2" t="str">
        <x:f>'Data &amp; Reporting'!D523</x:f>
        <x:v>PLL</x:v>
      </x:c>
      <x:c r="E523" s="2" t="str">
        <x:v>Data &amp; Reporting</x:v>
      </x:c>
      <x:c r="F523" s="56" t="str">
        <x:f>'Data &amp; Reporting'!E523</x:f>
        <x:v>DR.PL.2.4</x:v>
      </x:c>
      <x:c r="G523" s="14" t="str">
        <x:f>'Data &amp; Reporting'!F523</x:f>
        <x:v>Ensure data is free of errors and anomalies prior to hand-off to Research</x:v>
      </x:c>
      <x:c r="H523" s="2" t="str">
        <x:f>IF('Data &amp; Reporting'!G523="","",'Data &amp; Reporting'!G523)</x:f>
      </x:c>
      <x:c r="I523" s="12" t="str">
        <x:f>IF('Data &amp; Reporting'!H523="","",'Data &amp; Reporting'!H523)</x:f>
      </x:c>
      <x:c r="J523" s="12" t="n">
        <x:f>IF('Data &amp; Reporting'!I523="","",'Data &amp; Reporting'!I523)</x:f>
        <x:v>46295</x:v>
      </x:c>
      <x:c r="K523" s="12" t="str">
        <x:f>IF('Data &amp; Reporting'!J523="","",'Data &amp; Reporting'!J523)</x:f>
      </x:c>
      <x:c r="L523" s="2" t="str">
        <x:f>IF('Data &amp; Reporting'!K523="","",'Data &amp; Reporting'!K523)</x:f>
      </x:c>
      <x:c r="M523" s="2" t="n">
        <x:f>'Data &amp; Reporting'!Q523</x:f>
        <x:v>1</x:v>
      </x:c>
      <x:c r="N523" s="2" t="str">
        <x:f>'Data &amp; Reporting'!L523</x:f>
        <x:v>Not started</x:v>
      </x:c>
      <x:c r="O523" s="2" t="str">
        <x:f>'Data &amp; Reporting'!N523</x:f>
        <x:v>DR.PL.2.4.2026.CY3</x:v>
      </x:c>
      <x:c r="P523" s="2" t="n">
        <x:f>'Data &amp; Reporting'!O523</x:f>
        <x:v>0</x:v>
      </x:c>
      <x:c r="Q523" s="2" t="n">
        <x:f>SUBTOTAL(103,O523)</x:f>
        <x:v>1</x:v>
      </x:c>
      <x:c r="R523" s="2" t="n">
        <x:f>IF(AND(M523=1,OR(Dashboard!$B$7="All",Dashboard!$B$7='Cycles &amp; Guide'!$C$5),OR(Dashboard!$D$7="All",Dashboard!$D$7=B523),OR(Dashboard!$F$7="All",Dashboard!$F$7=C523),OR(Dashboard!$H$7="All",Dashboard!$H$7=D523),OR(Dashboard!$K$7="All",Dashboard!$K$7=E523)),1,0)</x:f>
        <x:v>1</x:v>
      </x:c>
      <x:c r="S523" s="2" t="n">
        <x:f>IF(R523=1,SUM($R$10:R523),0)</x:f>
        <x:v>254</x:v>
      </x:c>
      <x:c r="T523" s="2" t="str">
        <x:v>Data &amp; Reporting</x:v>
      </x:c>
      <x:c r="U523" s="2" t="n">
        <x:v>523</x:v>
      </x:c>
      <x:c r="V523" s="2" t="n">
        <x:f>IF(AND(M523=1,P523=0,ISNUMBER(J523),J523&lt;TODAY()),1,0)</x:f>
        <x:v>0</x:v>
      </x:c>
      <x:c r="W523" s="2" t="str">
        <x:f>'Data &amp; Reporting'!M523</x:f>
        <x:v>Task</x:v>
      </x:c>
    </x:row>
    <x:row r="524" ht="40" customHeight="1">
      <x:c r="A524" s="3" t="str">
        <x:f>HYPERLINK("#'Data &amp; Reporting'!A524","Open")</x:f>
        <x:v>Open</x:v>
      </x:c>
      <x:c r="B524" s="2" t="str">
        <x:f>'Data &amp; Reporting'!B524</x:f>
        <x:v>Cycle 3</x:v>
      </x:c>
      <x:c r="C524" s="2" t="str">
        <x:f>'Data &amp; Reporting'!C524</x:f>
        <x:v>Phase 2</x:v>
      </x:c>
      <x:c r="D524" s="2" t="str">
        <x:f>'Data &amp; Reporting'!D524</x:f>
        <x:v>PLL</x:v>
      </x:c>
      <x:c r="E524" s="2" t="str">
        <x:v>Data &amp; Reporting</x:v>
      </x:c>
      <x:c r="F524" s="56" t="str">
        <x:f>'Data &amp; Reporting'!E524</x:f>
        <x:v>DR.PL.2.5</x:v>
      </x:c>
      <x:c r="G524" s="14" t="str">
        <x:f>'Data &amp; Reporting'!F524</x:f>
        <x:v>Ensure topic is not a duplicate from a previous Cycle</x:v>
      </x:c>
      <x:c r="H524" s="2" t="str">
        <x:f>IF('Data &amp; Reporting'!G524="","",'Data &amp; Reporting'!G524)</x:f>
      </x:c>
      <x:c r="I524" s="12" t="str">
        <x:f>IF('Data &amp; Reporting'!H524="","",'Data &amp; Reporting'!H524)</x:f>
      </x:c>
      <x:c r="J524" s="12" t="n">
        <x:f>IF('Data &amp; Reporting'!I524="","",'Data &amp; Reporting'!I524)</x:f>
        <x:v>46295</x:v>
      </x:c>
      <x:c r="K524" s="12" t="str">
        <x:f>IF('Data &amp; Reporting'!J524="","",'Data &amp; Reporting'!J524)</x:f>
      </x:c>
      <x:c r="L524" s="2" t="str">
        <x:f>IF('Data &amp; Reporting'!K524="","",'Data &amp; Reporting'!K524)</x:f>
      </x:c>
      <x:c r="M524" s="2" t="n">
        <x:f>'Data &amp; Reporting'!Q524</x:f>
        <x:v>1</x:v>
      </x:c>
      <x:c r="N524" s="2" t="str">
        <x:f>'Data &amp; Reporting'!L524</x:f>
        <x:v>Not started</x:v>
      </x:c>
      <x:c r="O524" s="2" t="str">
        <x:f>'Data &amp; Reporting'!N524</x:f>
        <x:v>DR.PL.2.5.2026.CY3</x:v>
      </x:c>
      <x:c r="P524" s="2" t="n">
        <x:f>'Data &amp; Reporting'!O524</x:f>
        <x:v>0</x:v>
      </x:c>
      <x:c r="Q524" s="2" t="n">
        <x:f>SUBTOTAL(103,O524)</x:f>
        <x:v>1</x:v>
      </x:c>
      <x:c r="R524" s="2" t="n">
        <x:f>IF(AND(M524=1,OR(Dashboard!$B$7="All",Dashboard!$B$7='Cycles &amp; Guide'!$C$5),OR(Dashboard!$D$7="All",Dashboard!$D$7=B524),OR(Dashboard!$F$7="All",Dashboard!$F$7=C524),OR(Dashboard!$H$7="All",Dashboard!$H$7=D524),OR(Dashboard!$K$7="All",Dashboard!$K$7=E524)),1,0)</x:f>
        <x:v>1</x:v>
      </x:c>
      <x:c r="S524" s="2" t="n">
        <x:f>IF(R524=1,SUM($R$10:R524),0)</x:f>
        <x:v>255</x:v>
      </x:c>
      <x:c r="T524" s="2" t="str">
        <x:v>Data &amp; Reporting</x:v>
      </x:c>
      <x:c r="U524" s="2" t="n">
        <x:v>524</x:v>
      </x:c>
      <x:c r="V524" s="2" t="n">
        <x:f>IF(AND(M524=1,P524=0,ISNUMBER(J524),J524&lt;TODAY()),1,0)</x:f>
        <x:v>0</x:v>
      </x:c>
      <x:c r="W524" s="2" t="str">
        <x:f>'Data &amp; Reporting'!M524</x:f>
        <x:v>Task</x:v>
      </x:c>
    </x:row>
    <x:row r="525" ht="40" customHeight="1">
      <x:c r="A525" s="3" t="str">
        <x:f>HYPERLINK("#'Data &amp; Reporting'!A525","Open")</x:f>
        <x:v>Open</x:v>
      </x:c>
      <x:c r="B525" s="2" t="str">
        <x:f>'Data &amp; Reporting'!B525</x:f>
        <x:v>Cycle 3</x:v>
      </x:c>
      <x:c r="C525" s="2" t="str">
        <x:f>'Data &amp; Reporting'!C525</x:f>
        <x:v>Phase 2</x:v>
      </x:c>
      <x:c r="D525" s="2" t="str">
        <x:f>'Data &amp; Reporting'!D525</x:f>
        <x:v>PLL</x:v>
      </x:c>
      <x:c r="E525" s="2" t="str">
        <x:v>Data &amp; Reporting</x:v>
      </x:c>
      <x:c r="F525" s="56" t="str">
        <x:f>'Data &amp; Reporting'!E525</x:f>
        <x:v>DR.PL.2.6</x:v>
      </x:c>
      <x:c r="G525" s="14" t="str">
        <x:f>'Data &amp; Reporting'!F525</x:f>
        <x:v>Document clear distinctions between facts, assumptions, and hypotheses within the data package</x:v>
      </x:c>
      <x:c r="H525" s="2" t="str">
        <x:f>IF('Data &amp; Reporting'!G525="","",'Data &amp; Reporting'!G525)</x:f>
      </x:c>
      <x:c r="I525" s="12" t="str">
        <x:f>IF('Data &amp; Reporting'!H525="","",'Data &amp; Reporting'!H525)</x:f>
      </x:c>
      <x:c r="J525" s="12" t="n">
        <x:f>IF('Data &amp; Reporting'!I525="","",'Data &amp; Reporting'!I525)</x:f>
        <x:v>46295</x:v>
      </x:c>
      <x:c r="K525" s="12" t="str">
        <x:f>IF('Data &amp; Reporting'!J525="","",'Data &amp; Reporting'!J525)</x:f>
      </x:c>
      <x:c r="L525" s="2" t="str">
        <x:f>IF('Data &amp; Reporting'!K525="","",'Data &amp; Reporting'!K525)</x:f>
      </x:c>
      <x:c r="M525" s="2" t="n">
        <x:f>'Data &amp; Reporting'!Q525</x:f>
        <x:v>1</x:v>
      </x:c>
      <x:c r="N525" s="2" t="str">
        <x:f>'Data &amp; Reporting'!L525</x:f>
        <x:v>Not started</x:v>
      </x:c>
      <x:c r="O525" s="2" t="str">
        <x:f>'Data &amp; Reporting'!N525</x:f>
        <x:v>DR.PL.2.6.2026.CY3</x:v>
      </x:c>
      <x:c r="P525" s="2" t="n">
        <x:f>'Data &amp; Reporting'!O525</x:f>
        <x:v>0</x:v>
      </x:c>
      <x:c r="Q525" s="2" t="n">
        <x:f>SUBTOTAL(103,O525)</x:f>
        <x:v>1</x:v>
      </x:c>
      <x:c r="R525" s="2" t="n">
        <x:f>IF(AND(M525=1,OR(Dashboard!$B$7="All",Dashboard!$B$7='Cycles &amp; Guide'!$C$5),OR(Dashboard!$D$7="All",Dashboard!$D$7=B525),OR(Dashboard!$F$7="All",Dashboard!$F$7=C525),OR(Dashboard!$H$7="All",Dashboard!$H$7=D525),OR(Dashboard!$K$7="All",Dashboard!$K$7=E525)),1,0)</x:f>
        <x:v>1</x:v>
      </x:c>
      <x:c r="S525" s="2" t="n">
        <x:f>IF(R525=1,SUM($R$10:R525),0)</x:f>
        <x:v>256</x:v>
      </x:c>
      <x:c r="T525" s="2" t="str">
        <x:v>Data &amp; Reporting</x:v>
      </x:c>
      <x:c r="U525" s="2" t="n">
        <x:v>525</x:v>
      </x:c>
      <x:c r="V525" s="2" t="n">
        <x:f>IF(AND(M525=1,P525=0,ISNUMBER(J525),J525&lt;TODAY()),1,0)</x:f>
        <x:v>0</x:v>
      </x:c>
      <x:c r="W525" s="2" t="str">
        <x:f>'Data &amp; Reporting'!M525</x:f>
        <x:v>Task</x:v>
      </x:c>
    </x:row>
    <x:row r="526" ht="40" customHeight="1">
      <x:c r="A526" s="3" t="str">
        <x:f>HYPERLINK("#'Data &amp; Reporting'!A526","Open")</x:f>
        <x:v>Open</x:v>
      </x:c>
      <x:c r="B526" s="2" t="str">
        <x:f>'Data &amp; Reporting'!B526</x:f>
        <x:v>Cycle 3</x:v>
      </x:c>
      <x:c r="C526" s="2" t="str">
        <x:f>'Data &amp; Reporting'!C526</x:f>
        <x:v>Phase 3</x:v>
      </x:c>
      <x:c r="D526" s="2" t="str">
        <x:f>'Data &amp; Reporting'!D526</x:f>
        <x:v>PLL</x:v>
      </x:c>
      <x:c r="E526" s="2" t="str">
        <x:v>Data &amp; Reporting</x:v>
      </x:c>
      <x:c r="F526" s="56" t="str">
        <x:f>'Data &amp; Reporting'!E526</x:f>
        <x:v>DR.PL.3.1</x:v>
      </x:c>
      <x:c r="G526" s="14" t="str">
        <x:f>'Data &amp; Reporting'!F526</x:f>
        <x:v>Clearly document rationale for each topic recommendation within the SharePoint list item</x:v>
      </x:c>
      <x:c r="H526" s="2" t="str">
        <x:f>IF('Data &amp; Reporting'!G526="","",'Data &amp; Reporting'!G526)</x:f>
      </x:c>
      <x:c r="I526" s="12" t="str">
        <x:f>IF('Data &amp; Reporting'!H526="","",'Data &amp; Reporting'!H526)</x:f>
      </x:c>
      <x:c r="J526" s="12" t="n">
        <x:f>IF('Data &amp; Reporting'!I526="","",'Data &amp; Reporting'!I526)</x:f>
        <x:v>46295</x:v>
      </x:c>
      <x:c r="K526" s="12" t="str">
        <x:f>IF('Data &amp; Reporting'!J526="","",'Data &amp; Reporting'!J526)</x:f>
      </x:c>
      <x:c r="L526" s="2" t="str">
        <x:f>IF('Data &amp; Reporting'!K526="","",'Data &amp; Reporting'!K526)</x:f>
      </x:c>
      <x:c r="M526" s="2" t="n">
        <x:f>'Data &amp; Reporting'!Q526</x:f>
        <x:v>1</x:v>
      </x:c>
      <x:c r="N526" s="2" t="str">
        <x:f>'Data &amp; Reporting'!L526</x:f>
        <x:v>Not started</x:v>
      </x:c>
      <x:c r="O526" s="2" t="str">
        <x:f>'Data &amp; Reporting'!N526</x:f>
        <x:v>DR.PL.3.1.2026.CY3</x:v>
      </x:c>
      <x:c r="P526" s="2" t="n">
        <x:f>'Data &amp; Reporting'!O526</x:f>
        <x:v>0</x:v>
      </x:c>
      <x:c r="Q526" s="2" t="n">
        <x:f>SUBTOTAL(103,O526)</x:f>
        <x:v>1</x:v>
      </x:c>
      <x:c r="R526" s="2" t="n">
        <x:f>IF(AND(M526=1,OR(Dashboard!$B$7="All",Dashboard!$B$7='Cycles &amp; Guide'!$C$5),OR(Dashboard!$D$7="All",Dashboard!$D$7=B526),OR(Dashboard!$F$7="All",Dashboard!$F$7=C526),OR(Dashboard!$H$7="All",Dashboard!$H$7=D526),OR(Dashboard!$K$7="All",Dashboard!$K$7=E526)),1,0)</x:f>
        <x:v>1</x:v>
      </x:c>
      <x:c r="S526" s="2" t="n">
        <x:f>IF(R526=1,SUM($R$10:R526),0)</x:f>
        <x:v>257</x:v>
      </x:c>
      <x:c r="T526" s="2" t="str">
        <x:v>Data &amp; Reporting</x:v>
      </x:c>
      <x:c r="U526" s="2" t="n">
        <x:v>526</x:v>
      </x:c>
      <x:c r="V526" s="2" t="n">
        <x:f>IF(AND(M526=1,P526=0,ISNUMBER(J526),J526&lt;TODAY()),1,0)</x:f>
        <x:v>0</x:v>
      </x:c>
      <x:c r="W526" s="2" t="str">
        <x:f>'Data &amp; Reporting'!M526</x:f>
        <x:v>Task</x:v>
      </x:c>
    </x:row>
    <x:row r="527" ht="40" customHeight="1">
      <x:c r="A527" s="3" t="str">
        <x:f>HYPERLINK("#'Data &amp; Reporting'!A527","Open")</x:f>
        <x:v>Open</x:v>
      </x:c>
      <x:c r="B527" s="2" t="str">
        <x:f>'Data &amp; Reporting'!B527</x:f>
        <x:v>Cycle 3</x:v>
      </x:c>
      <x:c r="C527" s="2" t="str">
        <x:f>'Data &amp; Reporting'!C527</x:f>
        <x:v>Phase 3</x:v>
      </x:c>
      <x:c r="D527" s="2" t="str">
        <x:f>'Data &amp; Reporting'!D527</x:f>
        <x:v>PLL</x:v>
      </x:c>
      <x:c r="E527" s="2" t="str">
        <x:v>Data &amp; Reporting</x:v>
      </x:c>
      <x:c r="F527" s="56" t="str">
        <x:f>'Data &amp; Reporting'!E527</x:f>
        <x:v>DR.PL.3.2</x:v>
      </x:c>
      <x:c r="G527" s="14" t="str">
        <x:f>'Data &amp; Reporting'!F527</x:f>
        <x:v>Attach the data package for each topic recommendation within the SharePoint list item</x:v>
      </x:c>
      <x:c r="H527" s="2" t="str">
        <x:f>IF('Data &amp; Reporting'!G527="","",'Data &amp; Reporting'!G527)</x:f>
      </x:c>
      <x:c r="I527" s="12" t="str">
        <x:f>IF('Data &amp; Reporting'!H527="","",'Data &amp; Reporting'!H527)</x:f>
      </x:c>
      <x:c r="J527" s="12" t="n">
        <x:f>IF('Data &amp; Reporting'!I527="","",'Data &amp; Reporting'!I527)</x:f>
        <x:v>46295</x:v>
      </x:c>
      <x:c r="K527" s="12" t="str">
        <x:f>IF('Data &amp; Reporting'!J527="","",'Data &amp; Reporting'!J527)</x:f>
      </x:c>
      <x:c r="L527" s="2" t="str">
        <x:f>IF('Data &amp; Reporting'!K527="","",'Data &amp; Reporting'!K527)</x:f>
      </x:c>
      <x:c r="M527" s="2" t="n">
        <x:f>'Data &amp; Reporting'!Q527</x:f>
        <x:v>1</x:v>
      </x:c>
      <x:c r="N527" s="2" t="str">
        <x:f>'Data &amp; Reporting'!L527</x:f>
        <x:v>Not started</x:v>
      </x:c>
      <x:c r="O527" s="2" t="str">
        <x:f>'Data &amp; Reporting'!N527</x:f>
        <x:v>DR.PL.3.2.2026.CY3</x:v>
      </x:c>
      <x:c r="P527" s="2" t="n">
        <x:f>'Data &amp; Reporting'!O527</x:f>
        <x:v>0</x:v>
      </x:c>
      <x:c r="Q527" s="2" t="n">
        <x:f>SUBTOTAL(103,O527)</x:f>
        <x:v>1</x:v>
      </x:c>
      <x:c r="R527" s="2" t="n">
        <x:f>IF(AND(M527=1,OR(Dashboard!$B$7="All",Dashboard!$B$7='Cycles &amp; Guide'!$C$5),OR(Dashboard!$D$7="All",Dashboard!$D$7=B527),OR(Dashboard!$F$7="All",Dashboard!$F$7=C527),OR(Dashboard!$H$7="All",Dashboard!$H$7=D527),OR(Dashboard!$K$7="All",Dashboard!$K$7=E527)),1,0)</x:f>
        <x:v>1</x:v>
      </x:c>
      <x:c r="S527" s="2" t="n">
        <x:f>IF(R527=1,SUM($R$10:R527),0)</x:f>
        <x:v>258</x:v>
      </x:c>
      <x:c r="T527" s="2" t="str">
        <x:v>Data &amp; Reporting</x:v>
      </x:c>
      <x:c r="U527" s="2" t="n">
        <x:v>527</x:v>
      </x:c>
      <x:c r="V527" s="2" t="n">
        <x:f>IF(AND(M527=1,P527=0,ISNUMBER(J527),J527&lt;TODAY()),1,0)</x:f>
        <x:v>0</x:v>
      </x:c>
      <x:c r="W527" s="2" t="str">
        <x:f>'Data &amp; Reporting'!M527</x:f>
        <x:v>Task</x:v>
      </x:c>
    </x:row>
    <x:row r="528" ht="40" customHeight="1">
      <x:c r="A528" s="3" t="str">
        <x:f>HYPERLINK("#'Data &amp; Reporting'!A528","Open")</x:f>
        <x:v>Open</x:v>
      </x:c>
      <x:c r="B528" s="2" t="str">
        <x:f>'Data &amp; Reporting'!B528</x:f>
        <x:v>Cycle 3</x:v>
      </x:c>
      <x:c r="C528" s="2" t="str">
        <x:f>'Data &amp; Reporting'!C528</x:f>
        <x:v>Phase 3</x:v>
      </x:c>
      <x:c r="D528" s="2" t="str">
        <x:f>'Data &amp; Reporting'!D528</x:f>
        <x:v>PLL</x:v>
      </x:c>
      <x:c r="E528" s="2" t="str">
        <x:v>Data &amp; Reporting</x:v>
      </x:c>
      <x:c r="F528" s="56" t="str">
        <x:f>'Data &amp; Reporting'!E528</x:f>
        <x:v>DR.PL.3.3</x:v>
      </x:c>
      <x:c r="G528" s="14" t="str">
        <x:f>'Data &amp; Reporting'!F528</x:f>
        <x:v>Confirm data privileges have been granted, ensuring each pillar can access</x:v>
      </x:c>
      <x:c r="H528" s="2" t="str">
        <x:f>IF('Data &amp; Reporting'!G528="","",'Data &amp; Reporting'!G528)</x:f>
      </x:c>
      <x:c r="I528" s="12" t="str">
        <x:f>IF('Data &amp; Reporting'!H528="","",'Data &amp; Reporting'!H528)</x:f>
      </x:c>
      <x:c r="J528" s="12" t="n">
        <x:f>IF('Data &amp; Reporting'!I528="","",'Data &amp; Reporting'!I528)</x:f>
        <x:v>46295</x:v>
      </x:c>
      <x:c r="K528" s="12" t="str">
        <x:f>IF('Data &amp; Reporting'!J528="","",'Data &amp; Reporting'!J528)</x:f>
      </x:c>
      <x:c r="L528" s="2" t="str">
        <x:f>IF('Data &amp; Reporting'!K528="","",'Data &amp; Reporting'!K528)</x:f>
      </x:c>
      <x:c r="M528" s="2" t="n">
        <x:f>'Data &amp; Reporting'!Q528</x:f>
        <x:v>1</x:v>
      </x:c>
      <x:c r="N528" s="2" t="str">
        <x:f>'Data &amp; Reporting'!L528</x:f>
        <x:v>Not started</x:v>
      </x:c>
      <x:c r="O528" s="2" t="str">
        <x:f>'Data &amp; Reporting'!N528</x:f>
        <x:v>DR.PL.3.3.2026.CY3</x:v>
      </x:c>
      <x:c r="P528" s="2" t="n">
        <x:f>'Data &amp; Reporting'!O528</x:f>
        <x:v>0</x:v>
      </x:c>
      <x:c r="Q528" s="2" t="n">
        <x:f>SUBTOTAL(103,O528)</x:f>
        <x:v>1</x:v>
      </x:c>
      <x:c r="R528" s="2" t="n">
        <x:f>IF(AND(M528=1,OR(Dashboard!$B$7="All",Dashboard!$B$7='Cycles &amp; Guide'!$C$5),OR(Dashboard!$D$7="All",Dashboard!$D$7=B528),OR(Dashboard!$F$7="All",Dashboard!$F$7=C528),OR(Dashboard!$H$7="All",Dashboard!$H$7=D528),OR(Dashboard!$K$7="All",Dashboard!$K$7=E528)),1,0)</x:f>
        <x:v>1</x:v>
      </x:c>
      <x:c r="S528" s="2" t="n">
        <x:f>IF(R528=1,SUM($R$10:R528),0)</x:f>
        <x:v>259</x:v>
      </x:c>
      <x:c r="T528" s="2" t="str">
        <x:v>Data &amp; Reporting</x:v>
      </x:c>
      <x:c r="U528" s="2" t="n">
        <x:v>528</x:v>
      </x:c>
      <x:c r="V528" s="2" t="n">
        <x:f>IF(AND(M528=1,P528=0,ISNUMBER(J528),J528&lt;TODAY()),1,0)</x:f>
        <x:v>0</x:v>
      </x:c>
      <x:c r="W528" s="2" t="str">
        <x:f>'Data &amp; Reporting'!M528</x:f>
        <x:v>Task</x:v>
      </x:c>
    </x:row>
    <x:row r="529" ht="40" customHeight="1">
      <x:c r="A529" s="3" t="str">
        <x:f>HYPERLINK("#'Data &amp; Reporting'!A529","Open")</x:f>
        <x:v>Open</x:v>
      </x:c>
      <x:c r="B529" s="2" t="str">
        <x:f>'Data &amp; Reporting'!B529</x:f>
        <x:v>Cycle 3</x:v>
      </x:c>
      <x:c r="C529" s="2" t="str">
        <x:f>'Data &amp; Reporting'!C529</x:f>
        <x:v>Phase 3</x:v>
      </x:c>
      <x:c r="D529" s="2" t="str">
        <x:f>'Data &amp; Reporting'!D529</x:f>
        <x:v>PLL</x:v>
      </x:c>
      <x:c r="E529" s="2" t="str">
        <x:v>Data &amp; Reporting</x:v>
      </x:c>
      <x:c r="F529" s="56" t="str">
        <x:f>'Data &amp; Reporting'!E529</x:f>
        <x:v>DR.PL.3.4</x:v>
      </x:c>
      <x:c r="G529" s="14" t="str">
        <x:f>'Data &amp; Reporting'!F529</x:f>
        <x:v>Ensure Power Automate notifications were correctly triggered within Microsoft Teams</x:v>
      </x:c>
      <x:c r="H529" s="2" t="str">
        <x:f>IF('Data &amp; Reporting'!G529="","",'Data &amp; Reporting'!G529)</x:f>
      </x:c>
      <x:c r="I529" s="12" t="str">
        <x:f>IF('Data &amp; Reporting'!H529="","",'Data &amp; Reporting'!H529)</x:f>
      </x:c>
      <x:c r="J529" s="12" t="n">
        <x:f>IF('Data &amp; Reporting'!I529="","",'Data &amp; Reporting'!I529)</x:f>
        <x:v>46295</x:v>
      </x:c>
      <x:c r="K529" s="12" t="str">
        <x:f>IF('Data &amp; Reporting'!J529="","",'Data &amp; Reporting'!J529)</x:f>
      </x:c>
      <x:c r="L529" s="2" t="str">
        <x:f>IF('Data &amp; Reporting'!K529="","",'Data &amp; Reporting'!K529)</x:f>
      </x:c>
      <x:c r="M529" s="2" t="n">
        <x:f>'Data &amp; Reporting'!Q529</x:f>
        <x:v>1</x:v>
      </x:c>
      <x:c r="N529" s="2" t="str">
        <x:f>'Data &amp; Reporting'!L529</x:f>
        <x:v>Not started</x:v>
      </x:c>
      <x:c r="O529" s="2" t="str">
        <x:f>'Data &amp; Reporting'!N529</x:f>
        <x:v>DR.PL.3.4.2026.CY3</x:v>
      </x:c>
      <x:c r="P529" s="2" t="n">
        <x:f>'Data &amp; Reporting'!O529</x:f>
        <x:v>0</x:v>
      </x:c>
      <x:c r="Q529" s="2" t="n">
        <x:f>SUBTOTAL(103,O529)</x:f>
        <x:v>1</x:v>
      </x:c>
      <x:c r="R529" s="2" t="n">
        <x:f>IF(AND(M529=1,OR(Dashboard!$B$7="All",Dashboard!$B$7='Cycles &amp; Guide'!$C$5),OR(Dashboard!$D$7="All",Dashboard!$D$7=B529),OR(Dashboard!$F$7="All",Dashboard!$F$7=C529),OR(Dashboard!$H$7="All",Dashboard!$H$7=D529),OR(Dashboard!$K$7="All",Dashboard!$K$7=E529)),1,0)</x:f>
        <x:v>1</x:v>
      </x:c>
      <x:c r="S529" s="2" t="n">
        <x:f>IF(R529=1,SUM($R$10:R529),0)</x:f>
        <x:v>260</x:v>
      </x:c>
      <x:c r="T529" s="2" t="str">
        <x:v>Data &amp; Reporting</x:v>
      </x:c>
      <x:c r="U529" s="2" t="n">
        <x:v>529</x:v>
      </x:c>
      <x:c r="V529" s="2" t="n">
        <x:f>IF(AND(M529=1,P529=0,ISNUMBER(J529),J529&lt;TODAY()),1,0)</x:f>
        <x:v>0</x:v>
      </x:c>
      <x:c r="W529" s="2" t="str">
        <x:f>'Data &amp; Reporting'!M529</x:f>
        <x:v>Task</x:v>
      </x:c>
    </x:row>
    <x:row r="530" ht="40" customHeight="1">
      <x:c r="A530" s="3" t="str">
        <x:f>HYPERLINK("#'Data &amp; Reporting'!A530","Open")</x:f>
        <x:v>Open</x:v>
      </x:c>
      <x:c r="B530" s="2" t="str">
        <x:f>'Data &amp; Reporting'!B530</x:f>
        <x:v>Cycle 3</x:v>
      </x:c>
      <x:c r="C530" s="2" t="str">
        <x:f>'Data &amp; Reporting'!C530</x:f>
        <x:v>Phase 1</x:v>
      </x:c>
      <x:c r="D530" s="2" t="str">
        <x:f>'Data &amp; Reporting'!D530</x:f>
        <x:v>Retail Services</x:v>
      </x:c>
      <x:c r="E530" s="2" t="str">
        <x:v>Data &amp; Reporting</x:v>
      </x:c>
      <x:c r="F530" s="56" t="str">
        <x:f>'Data &amp; Reporting'!E530</x:f>
        <x:v>DR.RS.1.1</x:v>
      </x:c>
      <x:c r="G530" s="14" t="str">
        <x:f>'Data &amp; Reporting'!F530</x:f>
        <x:v>Review data sources 3 weeks prior to Cycle start (Complaints, Gen AI, Loudspeaker, NPS, etc.)</x:v>
      </x:c>
      <x:c r="H530" s="2" t="str">
        <x:f>IF('Data &amp; Reporting'!G530="","",'Data &amp; Reporting'!G530)</x:f>
      </x:c>
      <x:c r="I530" s="12" t="str">
        <x:f>IF('Data &amp; Reporting'!H530="","",'Data &amp; Reporting'!H530)</x:f>
      </x:c>
      <x:c r="J530" s="12" t="n">
        <x:f>IF('Data &amp; Reporting'!I530="","",'Data &amp; Reporting'!I530)</x:f>
        <x:v>46183</x:v>
      </x:c>
      <x:c r="K530" s="12" t="str">
        <x:f>IF('Data &amp; Reporting'!J530="","",'Data &amp; Reporting'!J530)</x:f>
      </x:c>
      <x:c r="L530" s="2" t="str">
        <x:f>IF('Data &amp; Reporting'!K530="","",'Data &amp; Reporting'!K530)</x:f>
      </x:c>
      <x:c r="M530" s="2" t="n">
        <x:f>'Data &amp; Reporting'!Q530</x:f>
        <x:v>1</x:v>
      </x:c>
      <x:c r="N530" s="2" t="str">
        <x:f>'Data &amp; Reporting'!L530</x:f>
        <x:v>Not started</x:v>
      </x:c>
      <x:c r="O530" s="2" t="str">
        <x:f>'Data &amp; Reporting'!N530</x:f>
        <x:v>DR.RS.1.1.2026.CY3</x:v>
      </x:c>
      <x:c r="P530" s="2" t="n">
        <x:f>'Data &amp; Reporting'!O530</x:f>
        <x:v>0</x:v>
      </x:c>
      <x:c r="Q530" s="2" t="n">
        <x:f>SUBTOTAL(103,O530)</x:f>
        <x:v>1</x:v>
      </x:c>
      <x:c r="R530" s="2" t="n">
        <x:f>IF(AND(M530=1,OR(Dashboard!$B$7="All",Dashboard!$B$7='Cycles &amp; Guide'!$C$5),OR(Dashboard!$D$7="All",Dashboard!$D$7=B530),OR(Dashboard!$F$7="All",Dashboard!$F$7=C530),OR(Dashboard!$H$7="All",Dashboard!$H$7=D530),OR(Dashboard!$K$7="All",Dashboard!$K$7=E530)),1,0)</x:f>
        <x:v>1</x:v>
      </x:c>
      <x:c r="S530" s="2" t="n">
        <x:f>IF(R530=1,SUM($R$10:R530),0)</x:f>
        <x:v>261</x:v>
      </x:c>
      <x:c r="T530" s="2" t="str">
        <x:v>Data &amp; Reporting</x:v>
      </x:c>
      <x:c r="U530" s="2" t="n">
        <x:v>530</x:v>
      </x:c>
      <x:c r="V530" s="2" t="n">
        <x:f>IF(AND(M530=1,P530=0,ISNUMBER(J530),J530&lt;TODAY()),1,0)</x:f>
        <x:v>1</x:v>
      </x:c>
      <x:c r="W530" s="2" t="str">
        <x:f>'Data &amp; Reporting'!M530</x:f>
        <x:v>Task</x:v>
      </x:c>
    </x:row>
    <x:row r="531" ht="40" customHeight="1">
      <x:c r="A531" s="3" t="str">
        <x:f>HYPERLINK("#'Data &amp; Reporting'!A531","Open")</x:f>
        <x:v>Open</x:v>
      </x:c>
      <x:c r="B531" s="2" t="str">
        <x:f>'Data &amp; Reporting'!B531</x:f>
        <x:v>Cycle 3</x:v>
      </x:c>
      <x:c r="C531" s="2" t="str">
        <x:f>'Data &amp; Reporting'!C531</x:f>
        <x:v>Phase 1</x:v>
      </x:c>
      <x:c r="D531" s="2" t="str">
        <x:f>'Data &amp; Reporting'!D531</x:f>
        <x:v>Retail Services</x:v>
      </x:c>
      <x:c r="E531" s="2" t="str">
        <x:v>Data &amp; Reporting</x:v>
      </x:c>
      <x:c r="F531" s="56" t="str">
        <x:f>'Data &amp; Reporting'!E531</x:f>
        <x:v>DR.RS.1.2</x:v>
      </x:c>
      <x:c r="G531" s="14" t="str">
        <x:f>'Data &amp; Reporting'!F531</x:f>
        <x:v>Identify two potential topics for the upcoming Cycle</x:v>
      </x:c>
      <x:c r="H531" s="2" t="str">
        <x:f>IF('Data &amp; Reporting'!G531="","",'Data &amp; Reporting'!G531)</x:f>
      </x:c>
      <x:c r="I531" s="12" t="str">
        <x:f>IF('Data &amp; Reporting'!H531="","",'Data &amp; Reporting'!H531)</x:f>
      </x:c>
      <x:c r="J531" s="12" t="n">
        <x:f>IF('Data &amp; Reporting'!I531="","",'Data &amp; Reporting'!I531)</x:f>
        <x:v>46295</x:v>
      </x:c>
      <x:c r="K531" s="12" t="str">
        <x:f>IF('Data &amp; Reporting'!J531="","",'Data &amp; Reporting'!J531)</x:f>
      </x:c>
      <x:c r="L531" s="2" t="str">
        <x:f>IF('Data &amp; Reporting'!K531="","",'Data &amp; Reporting'!K531)</x:f>
      </x:c>
      <x:c r="M531" s="2" t="n">
        <x:f>'Data &amp; Reporting'!Q531</x:f>
        <x:v>1</x:v>
      </x:c>
      <x:c r="N531" s="2" t="str">
        <x:f>'Data &amp; Reporting'!L531</x:f>
        <x:v>Not started</x:v>
      </x:c>
      <x:c r="O531" s="2" t="str">
        <x:f>'Data &amp; Reporting'!N531</x:f>
        <x:v>DR.RS.1.2.2026.CY3</x:v>
      </x:c>
      <x:c r="P531" s="2" t="n">
        <x:f>'Data &amp; Reporting'!O531</x:f>
        <x:v>0</x:v>
      </x:c>
      <x:c r="Q531" s="2" t="n">
        <x:f>SUBTOTAL(103,O531)</x:f>
        <x:v>1</x:v>
      </x:c>
      <x:c r="R531" s="2" t="n">
        <x:f>IF(AND(M531=1,OR(Dashboard!$B$7="All",Dashboard!$B$7='Cycles &amp; Guide'!$C$5),OR(Dashboard!$D$7="All",Dashboard!$D$7=B531),OR(Dashboard!$F$7="All",Dashboard!$F$7=C531),OR(Dashboard!$H$7="All",Dashboard!$H$7=D531),OR(Dashboard!$K$7="All",Dashboard!$K$7=E531)),1,0)</x:f>
        <x:v>1</x:v>
      </x:c>
      <x:c r="S531" s="2" t="n">
        <x:f>IF(R531=1,SUM($R$10:R531),0)</x:f>
        <x:v>262</x:v>
      </x:c>
      <x:c r="T531" s="2" t="str">
        <x:v>Data &amp; Reporting</x:v>
      </x:c>
      <x:c r="U531" s="2" t="n">
        <x:v>531</x:v>
      </x:c>
      <x:c r="V531" s="2" t="n">
        <x:f>IF(AND(M531=1,P531=0,ISNUMBER(J531),J531&lt;TODAY()),1,0)</x:f>
        <x:v>0</x:v>
      </x:c>
      <x:c r="W531" s="2" t="str">
        <x:f>'Data &amp; Reporting'!M531</x:f>
        <x:v>Task</x:v>
      </x:c>
    </x:row>
    <x:row r="532" ht="40" customHeight="1">
      <x:c r="A532" s="3" t="str">
        <x:f>HYPERLINK("#'Data &amp; Reporting'!A532","Open")</x:f>
        <x:v>Open</x:v>
      </x:c>
      <x:c r="B532" s="2" t="str">
        <x:f>'Data &amp; Reporting'!B532</x:f>
        <x:v>Cycle 3</x:v>
      </x:c>
      <x:c r="C532" s="2" t="str">
        <x:f>'Data &amp; Reporting'!C532</x:f>
        <x:v>Phase 1</x:v>
      </x:c>
      <x:c r="D532" s="2" t="str">
        <x:f>'Data &amp; Reporting'!D532</x:f>
        <x:v>Retail Services</x:v>
      </x:c>
      <x:c r="E532" s="2" t="str">
        <x:v>Data &amp; Reporting</x:v>
      </x:c>
      <x:c r="F532" s="56" t="str">
        <x:f>'Data &amp; Reporting'!E532</x:f>
        <x:v>DR.RS.1.3</x:v>
      </x:c>
      <x:c r="G532" s="14" t="str">
        <x:f>'Data &amp; Reporting'!F532</x:f>
        <x:v>Extract data for both potential topics, ensuring all checklist items below are included/completed</x:v>
      </x:c>
      <x:c r="H532" s="2" t="str">
        <x:f>IF('Data &amp; Reporting'!G532="","",'Data &amp; Reporting'!G532)</x:f>
      </x:c>
      <x:c r="I532" s="12" t="str">
        <x:f>IF('Data &amp; Reporting'!H532="","",'Data &amp; Reporting'!H532)</x:f>
      </x:c>
      <x:c r="J532" s="12" t="n">
        <x:f>IF('Data &amp; Reporting'!I532="","",'Data &amp; Reporting'!I532)</x:f>
        <x:v>46295</x:v>
      </x:c>
      <x:c r="K532" s="12" t="str">
        <x:f>IF('Data &amp; Reporting'!J532="","",'Data &amp; Reporting'!J532)</x:f>
      </x:c>
      <x:c r="L532" s="2" t="str">
        <x:f>IF('Data &amp; Reporting'!K532="","",'Data &amp; Reporting'!K532)</x:f>
      </x:c>
      <x:c r="M532" s="2" t="n">
        <x:f>'Data &amp; Reporting'!Q532</x:f>
        <x:v>1</x:v>
      </x:c>
      <x:c r="N532" s="2" t="str">
        <x:f>'Data &amp; Reporting'!L532</x:f>
        <x:v>Not started</x:v>
      </x:c>
      <x:c r="O532" s="2" t="str">
        <x:f>'Data &amp; Reporting'!N532</x:f>
        <x:v>DR.RS.1.3.2026.CY3</x:v>
      </x:c>
      <x:c r="P532" s="2" t="n">
        <x:f>'Data &amp; Reporting'!O532</x:f>
        <x:v>0</x:v>
      </x:c>
      <x:c r="Q532" s="2" t="n">
        <x:f>SUBTOTAL(103,O532)</x:f>
        <x:v>1</x:v>
      </x:c>
      <x:c r="R532" s="2" t="n">
        <x:f>IF(AND(M532=1,OR(Dashboard!$B$7="All",Dashboard!$B$7='Cycles &amp; Guide'!$C$5),OR(Dashboard!$D$7="All",Dashboard!$D$7=B532),OR(Dashboard!$F$7="All",Dashboard!$F$7=C532),OR(Dashboard!$H$7="All",Dashboard!$H$7=D532),OR(Dashboard!$K$7="All",Dashboard!$K$7=E532)),1,0)</x:f>
        <x:v>1</x:v>
      </x:c>
      <x:c r="S532" s="2" t="n">
        <x:f>IF(R532=1,SUM($R$10:R532),0)</x:f>
        <x:v>263</x:v>
      </x:c>
      <x:c r="T532" s="2" t="str">
        <x:v>Data &amp; Reporting</x:v>
      </x:c>
      <x:c r="U532" s="2" t="n">
        <x:v>532</x:v>
      </x:c>
      <x:c r="V532" s="2" t="n">
        <x:f>IF(AND(M532=1,P532=0,ISNUMBER(J532),J532&lt;TODAY()),1,0)</x:f>
        <x:v>0</x:v>
      </x:c>
      <x:c r="W532" s="2" t="str">
        <x:f>'Data &amp; Reporting'!M532</x:f>
        <x:v>Task</x:v>
      </x:c>
    </x:row>
    <x:row r="533" ht="40" customHeight="1">
      <x:c r="A533" s="3" t="str">
        <x:f>HYPERLINK("#'Data &amp; Reporting'!A533","Open")</x:f>
        <x:v>Open</x:v>
      </x:c>
      <x:c r="B533" s="2" t="str">
        <x:f>'Data &amp; Reporting'!B533</x:f>
        <x:v>Cycle 3</x:v>
      </x:c>
      <x:c r="C533" s="2" t="str">
        <x:f>'Data &amp; Reporting'!C533</x:f>
        <x:v>Phase 1</x:v>
      </x:c>
      <x:c r="D533" s="2" t="str">
        <x:f>'Data &amp; Reporting'!D533</x:f>
        <x:v>Retail Services</x:v>
      </x:c>
      <x:c r="E533" s="2" t="str">
        <x:v>Data &amp; Reporting</x:v>
      </x:c>
      <x:c r="F533" s="56" t="str">
        <x:f>'Data &amp; Reporting'!E533</x:f>
        <x:v>DR.RS.1.3.C01</x:v>
      </x:c>
      <x:c r="G533" s="14" t="str">
        <x:f>'Data &amp; Reporting'!F533</x:f>
        <x:v>    Document date range extracted</x:v>
      </x:c>
      <x:c r="H533" s="2" t="str">
        <x:f>IF('Data &amp; Reporting'!G533="","",'Data &amp; Reporting'!G533)</x:f>
      </x:c>
      <x:c r="I533" s="12" t="str">
        <x:f>IF('Data &amp; Reporting'!H533="","",'Data &amp; Reporting'!H533)</x:f>
      </x:c>
      <x:c r="J533" s="12" t="str">
        <x:f>IF('Data &amp; Reporting'!I533="","",'Data &amp; Reporting'!I533)</x:f>
      </x:c>
      <x:c r="K533" s="12" t="str">
        <x:f>IF('Data &amp; Reporting'!J533="","",'Data &amp; Reporting'!J533)</x:f>
      </x:c>
      <x:c r="L533" s="2" t="str">
        <x:f>IF('Data &amp; Reporting'!K533="","",'Data &amp; Reporting'!K533)</x:f>
      </x:c>
      <x:c r="M533" s="2" t="n">
        <x:f>'Data &amp; Reporting'!Q533</x:f>
        <x:v>0</x:v>
      </x:c>
      <x:c r="N533" s="2" t="str">
        <x:f>'Data &amp; Reporting'!L533</x:f>
        <x:v>Open check</x:v>
      </x:c>
      <x:c r="O533" s="2" t="str">
        <x:f>'Data &amp; Reporting'!N533</x:f>
        <x:v>DR.RS.1.3.C01.2026.CY3</x:v>
      </x:c>
      <x:c r="P533" s="2" t="n">
        <x:f>'Data &amp; Reporting'!O533</x:f>
        <x:v>0</x:v>
      </x:c>
      <x:c r="Q533" s="2" t="n">
        <x:f>SUBTOTAL(103,O533)</x:f>
        <x:v>1</x:v>
      </x:c>
      <x:c r="R533" s="2" t="n">
        <x:f>IF(AND(M533=1,OR(Dashboard!$B$7="All",Dashboard!$B$7='Cycles &amp; Guide'!$C$5),OR(Dashboard!$D$7="All",Dashboard!$D$7=B533),OR(Dashboard!$F$7="All",Dashboard!$F$7=C533),OR(Dashboard!$H$7="All",Dashboard!$H$7=D533),OR(Dashboard!$K$7="All",Dashboard!$K$7=E533)),1,0)</x:f>
        <x:v>0</x:v>
      </x:c>
      <x:c r="S533" s="2" t="n">
        <x:f>IF(R533=1,SUM($R$10:R533),0)</x:f>
        <x:v>0</x:v>
      </x:c>
      <x:c r="T533" s="2" t="str">
        <x:v>Data &amp; Reporting</x:v>
      </x:c>
      <x:c r="U533" s="2" t="n">
        <x:v>533</x:v>
      </x:c>
      <x:c r="V533" s="2" t="n">
        <x:f>IF(AND(M533=1,P533=0,ISNUMBER(J533),J533&lt;TODAY()),1,0)</x:f>
        <x:v>0</x:v>
      </x:c>
      <x:c r="W533" s="2" t="str">
        <x:f>'Data &amp; Reporting'!M533</x:f>
        <x:v>Checklist</x:v>
      </x:c>
    </x:row>
    <x:row r="534" ht="40" customHeight="1">
      <x:c r="A534" s="3" t="str">
        <x:f>HYPERLINK("#'Data &amp; Reporting'!A534","Open")</x:f>
        <x:v>Open</x:v>
      </x:c>
      <x:c r="B534" s="2" t="str">
        <x:f>'Data &amp; Reporting'!B534</x:f>
        <x:v>Cycle 3</x:v>
      </x:c>
      <x:c r="C534" s="2" t="str">
        <x:f>'Data &amp; Reporting'!C534</x:f>
        <x:v>Phase 1</x:v>
      </x:c>
      <x:c r="D534" s="2" t="str">
        <x:f>'Data &amp; Reporting'!D534</x:f>
        <x:v>Retail Services</x:v>
      </x:c>
      <x:c r="E534" s="2" t="str">
        <x:v>Data &amp; Reporting</x:v>
      </x:c>
      <x:c r="F534" s="56" t="str">
        <x:f>'Data &amp; Reporting'!E534</x:f>
        <x:v>DR.RS.1.3.C02</x:v>
      </x:c>
      <x:c r="G534" s="14" t="str">
        <x:f>'Data &amp; Reporting'!F534</x:f>
        <x:v>    Document date of data pull</x:v>
      </x:c>
      <x:c r="H534" s="2" t="str">
        <x:f>IF('Data &amp; Reporting'!G534="","",'Data &amp; Reporting'!G534)</x:f>
      </x:c>
      <x:c r="I534" s="12" t="str">
        <x:f>IF('Data &amp; Reporting'!H534="","",'Data &amp; Reporting'!H534)</x:f>
      </x:c>
      <x:c r="J534" s="12" t="str">
        <x:f>IF('Data &amp; Reporting'!I534="","",'Data &amp; Reporting'!I534)</x:f>
      </x:c>
      <x:c r="K534" s="12" t="str">
        <x:f>IF('Data &amp; Reporting'!J534="","",'Data &amp; Reporting'!J534)</x:f>
      </x:c>
      <x:c r="L534" s="2" t="str">
        <x:f>IF('Data &amp; Reporting'!K534="","",'Data &amp; Reporting'!K534)</x:f>
      </x:c>
      <x:c r="M534" s="2" t="n">
        <x:f>'Data &amp; Reporting'!Q534</x:f>
        <x:v>0</x:v>
      </x:c>
      <x:c r="N534" s="2" t="str">
        <x:f>'Data &amp; Reporting'!L534</x:f>
        <x:v>Open check</x:v>
      </x:c>
      <x:c r="O534" s="2" t="str">
        <x:f>'Data &amp; Reporting'!N534</x:f>
        <x:v>DR.RS.1.3.C02.2026.CY3</x:v>
      </x:c>
      <x:c r="P534" s="2" t="n">
        <x:f>'Data &amp; Reporting'!O534</x:f>
        <x:v>0</x:v>
      </x:c>
      <x:c r="Q534" s="2" t="n">
        <x:f>SUBTOTAL(103,O534)</x:f>
        <x:v>1</x:v>
      </x:c>
      <x:c r="R534" s="2" t="n">
        <x:f>IF(AND(M534=1,OR(Dashboard!$B$7="All",Dashboard!$B$7='Cycles &amp; Guide'!$C$5),OR(Dashboard!$D$7="All",Dashboard!$D$7=B534),OR(Dashboard!$F$7="All",Dashboard!$F$7=C534),OR(Dashboard!$H$7="All",Dashboard!$H$7=D534),OR(Dashboard!$K$7="All",Dashboard!$K$7=E534)),1,0)</x:f>
        <x:v>0</x:v>
      </x:c>
      <x:c r="S534" s="2" t="n">
        <x:f>IF(R534=1,SUM($R$10:R534),0)</x:f>
        <x:v>0</x:v>
      </x:c>
      <x:c r="T534" s="2" t="str">
        <x:v>Data &amp; Reporting</x:v>
      </x:c>
      <x:c r="U534" s="2" t="n">
        <x:v>534</x:v>
      </x:c>
      <x:c r="V534" s="2" t="n">
        <x:f>IF(AND(M534=1,P534=0,ISNUMBER(J534),J534&lt;TODAY()),1,0)</x:f>
        <x:v>0</x:v>
      </x:c>
      <x:c r="W534" s="2" t="str">
        <x:f>'Data &amp; Reporting'!M534</x:f>
        <x:v>Checklist</x:v>
      </x:c>
    </x:row>
    <x:row r="535" ht="40" customHeight="1">
      <x:c r="A535" s="3" t="str">
        <x:f>HYPERLINK("#'Data &amp; Reporting'!A535","Open")</x:f>
        <x:v>Open</x:v>
      </x:c>
      <x:c r="B535" s="2" t="str">
        <x:f>'Data &amp; Reporting'!B535</x:f>
        <x:v>Cycle 3</x:v>
      </x:c>
      <x:c r="C535" s="2" t="str">
        <x:f>'Data &amp; Reporting'!C535</x:f>
        <x:v>Phase 1</x:v>
      </x:c>
      <x:c r="D535" s="2" t="str">
        <x:f>'Data &amp; Reporting'!D535</x:f>
        <x:v>Retail Services</x:v>
      </x:c>
      <x:c r="E535" s="2" t="str">
        <x:v>Data &amp; Reporting</x:v>
      </x:c>
      <x:c r="F535" s="56" t="str">
        <x:f>'Data &amp; Reporting'!E535</x:f>
        <x:v>DR.RS.1.3.C03</x:v>
      </x:c>
      <x:c r="G535" s="14" t="str">
        <x:f>'Data &amp; Reporting'!F535</x:f>
        <x:v>    Document population details</x:v>
      </x:c>
      <x:c r="H535" s="2" t="str">
        <x:f>IF('Data &amp; Reporting'!G535="","",'Data &amp; Reporting'!G535)</x:f>
      </x:c>
      <x:c r="I535" s="12" t="str">
        <x:f>IF('Data &amp; Reporting'!H535="","",'Data &amp; Reporting'!H535)</x:f>
      </x:c>
      <x:c r="J535" s="12" t="str">
        <x:f>IF('Data &amp; Reporting'!I535="","",'Data &amp; Reporting'!I535)</x:f>
      </x:c>
      <x:c r="K535" s="12" t="str">
        <x:f>IF('Data &amp; Reporting'!J535="","",'Data &amp; Reporting'!J535)</x:f>
      </x:c>
      <x:c r="L535" s="2" t="str">
        <x:f>IF('Data &amp; Reporting'!K535="","",'Data &amp; Reporting'!K535)</x:f>
      </x:c>
      <x:c r="M535" s="2" t="n">
        <x:f>'Data &amp; Reporting'!Q535</x:f>
        <x:v>0</x:v>
      </x:c>
      <x:c r="N535" s="2" t="str">
        <x:f>'Data &amp; Reporting'!L535</x:f>
        <x:v>Open check</x:v>
      </x:c>
      <x:c r="O535" s="2" t="str">
        <x:f>'Data &amp; Reporting'!N535</x:f>
        <x:v>DR.RS.1.3.C03.2026.CY3</x:v>
      </x:c>
      <x:c r="P535" s="2" t="n">
        <x:f>'Data &amp; Reporting'!O535</x:f>
        <x:v>0</x:v>
      </x:c>
      <x:c r="Q535" s="2" t="n">
        <x:f>SUBTOTAL(103,O535)</x:f>
        <x:v>1</x:v>
      </x:c>
      <x:c r="R535" s="2" t="n">
        <x:f>IF(AND(M535=1,OR(Dashboard!$B$7="All",Dashboard!$B$7='Cycles &amp; Guide'!$C$5),OR(Dashboard!$D$7="All",Dashboard!$D$7=B535),OR(Dashboard!$F$7="All",Dashboard!$F$7=C535),OR(Dashboard!$H$7="All",Dashboard!$H$7=D535),OR(Dashboard!$K$7="All",Dashboard!$K$7=E535)),1,0)</x:f>
        <x:v>0</x:v>
      </x:c>
      <x:c r="S535" s="2" t="n">
        <x:f>IF(R535=1,SUM($R$10:R535),0)</x:f>
        <x:v>0</x:v>
      </x:c>
      <x:c r="T535" s="2" t="str">
        <x:v>Data &amp; Reporting</x:v>
      </x:c>
      <x:c r="U535" s="2" t="n">
        <x:v>535</x:v>
      </x:c>
      <x:c r="V535" s="2" t="n">
        <x:f>IF(AND(M535=1,P535=0,ISNUMBER(J535),J535&lt;TODAY()),1,0)</x:f>
        <x:v>0</x:v>
      </x:c>
      <x:c r="W535" s="2" t="str">
        <x:f>'Data &amp; Reporting'!M535</x:f>
        <x:v>Checklist</x:v>
      </x:c>
    </x:row>
    <x:row r="536" ht="40" customHeight="1">
      <x:c r="A536" s="3" t="str">
        <x:f>HYPERLINK("#'Data &amp; Reporting'!A536","Open")</x:f>
        <x:v>Open</x:v>
      </x:c>
      <x:c r="B536" s="2" t="str">
        <x:f>'Data &amp; Reporting'!B536</x:f>
        <x:v>Cycle 3</x:v>
      </x:c>
      <x:c r="C536" s="2" t="str">
        <x:f>'Data &amp; Reporting'!C536</x:f>
        <x:v>Phase 1</x:v>
      </x:c>
      <x:c r="D536" s="2" t="str">
        <x:f>'Data &amp; Reporting'!D536</x:f>
        <x:v>Retail Services</x:v>
      </x:c>
      <x:c r="E536" s="2" t="str">
        <x:v>Data &amp; Reporting</x:v>
      </x:c>
      <x:c r="F536" s="56" t="str">
        <x:f>'Data &amp; Reporting'!E536</x:f>
        <x:v>DR.RS.1.3.C04</x:v>
      </x:c>
      <x:c r="G536" s="14" t="str">
        <x:f>'Data &amp; Reporting'!F536</x:f>
        <x:v>    Validate no data is missing</x:v>
      </x:c>
      <x:c r="H536" s="2" t="str">
        <x:f>IF('Data &amp; Reporting'!G536="","",'Data &amp; Reporting'!G536)</x:f>
      </x:c>
      <x:c r="I536" s="12" t="str">
        <x:f>IF('Data &amp; Reporting'!H536="","",'Data &amp; Reporting'!H536)</x:f>
      </x:c>
      <x:c r="J536" s="12" t="str">
        <x:f>IF('Data &amp; Reporting'!I536="","",'Data &amp; Reporting'!I536)</x:f>
      </x:c>
      <x:c r="K536" s="12" t="str">
        <x:f>IF('Data &amp; Reporting'!J536="","",'Data &amp; Reporting'!J536)</x:f>
      </x:c>
      <x:c r="L536" s="2" t="str">
        <x:f>IF('Data &amp; Reporting'!K536="","",'Data &amp; Reporting'!K536)</x:f>
      </x:c>
      <x:c r="M536" s="2" t="n">
        <x:f>'Data &amp; Reporting'!Q536</x:f>
        <x:v>0</x:v>
      </x:c>
      <x:c r="N536" s="2" t="str">
        <x:f>'Data &amp; Reporting'!L536</x:f>
        <x:v>Open check</x:v>
      </x:c>
      <x:c r="O536" s="2" t="str">
        <x:f>'Data &amp; Reporting'!N536</x:f>
        <x:v>DR.RS.1.3.C04.2026.CY3</x:v>
      </x:c>
      <x:c r="P536" s="2" t="n">
        <x:f>'Data &amp; Reporting'!O536</x:f>
        <x:v>0</x:v>
      </x:c>
      <x:c r="Q536" s="2" t="n">
        <x:f>SUBTOTAL(103,O536)</x:f>
        <x:v>1</x:v>
      </x:c>
      <x:c r="R536" s="2" t="n">
        <x:f>IF(AND(M536=1,OR(Dashboard!$B$7="All",Dashboard!$B$7='Cycles &amp; Guide'!$C$5),OR(Dashboard!$D$7="All",Dashboard!$D$7=B536),OR(Dashboard!$F$7="All",Dashboard!$F$7=C536),OR(Dashboard!$H$7="All",Dashboard!$H$7=D536),OR(Dashboard!$K$7="All",Dashboard!$K$7=E536)),1,0)</x:f>
        <x:v>0</x:v>
      </x:c>
      <x:c r="S536" s="2" t="n">
        <x:f>IF(R536=1,SUM($R$10:R536),0)</x:f>
        <x:v>0</x:v>
      </x:c>
      <x:c r="T536" s="2" t="str">
        <x:v>Data &amp; Reporting</x:v>
      </x:c>
      <x:c r="U536" s="2" t="n">
        <x:v>536</x:v>
      </x:c>
      <x:c r="V536" s="2" t="n">
        <x:f>IF(AND(M536=1,P536=0,ISNUMBER(J536),J536&lt;TODAY()),1,0)</x:f>
        <x:v>0</x:v>
      </x:c>
      <x:c r="W536" s="2" t="str">
        <x:f>'Data &amp; Reporting'!M536</x:f>
        <x:v>Checklist</x:v>
      </x:c>
    </x:row>
    <x:row r="537" ht="40" customHeight="1">
      <x:c r="A537" s="3" t="str">
        <x:f>HYPERLINK("#'Data &amp; Reporting'!A537","Open")</x:f>
        <x:v>Open</x:v>
      </x:c>
      <x:c r="B537" s="2" t="str">
        <x:f>'Data &amp; Reporting'!B537</x:f>
        <x:v>Cycle 3</x:v>
      </x:c>
      <x:c r="C537" s="2" t="str">
        <x:f>'Data &amp; Reporting'!C537</x:f>
        <x:v>Phase 1</x:v>
      </x:c>
      <x:c r="D537" s="2" t="str">
        <x:f>'Data &amp; Reporting'!D537</x:f>
        <x:v>Retail Services</x:v>
      </x:c>
      <x:c r="E537" s="2" t="str">
        <x:v>Data &amp; Reporting</x:v>
      </x:c>
      <x:c r="F537" s="56" t="str">
        <x:f>'Data &amp; Reporting'!E537</x:f>
        <x:v>DR.RS.1.3.C05</x:v>
      </x:c>
      <x:c r="G537" s="14" t="str">
        <x:f>'Data &amp; Reporting'!F537</x:f>
        <x:v>    Validate accuracy of data</x:v>
      </x:c>
      <x:c r="H537" s="2" t="str">
        <x:f>IF('Data &amp; Reporting'!G537="","",'Data &amp; Reporting'!G537)</x:f>
      </x:c>
      <x:c r="I537" s="12" t="str">
        <x:f>IF('Data &amp; Reporting'!H537="","",'Data &amp; Reporting'!H537)</x:f>
      </x:c>
      <x:c r="J537" s="12" t="str">
        <x:f>IF('Data &amp; Reporting'!I537="","",'Data &amp; Reporting'!I537)</x:f>
      </x:c>
      <x:c r="K537" s="12" t="str">
        <x:f>IF('Data &amp; Reporting'!J537="","",'Data &amp; Reporting'!J537)</x:f>
      </x:c>
      <x:c r="L537" s="2" t="str">
        <x:f>IF('Data &amp; Reporting'!K537="","",'Data &amp; Reporting'!K537)</x:f>
      </x:c>
      <x:c r="M537" s="2" t="n">
        <x:f>'Data &amp; Reporting'!Q537</x:f>
        <x:v>0</x:v>
      </x:c>
      <x:c r="N537" s="2" t="str">
        <x:f>'Data &amp; Reporting'!L537</x:f>
        <x:v>Open check</x:v>
      </x:c>
      <x:c r="O537" s="2" t="str">
        <x:f>'Data &amp; Reporting'!N537</x:f>
        <x:v>DR.RS.1.3.C05.2026.CY3</x:v>
      </x:c>
      <x:c r="P537" s="2" t="n">
        <x:f>'Data &amp; Reporting'!O537</x:f>
        <x:v>0</x:v>
      </x:c>
      <x:c r="Q537" s="2" t="n">
        <x:f>SUBTOTAL(103,O537)</x:f>
        <x:v>1</x:v>
      </x:c>
      <x:c r="R537" s="2" t="n">
        <x:f>IF(AND(M537=1,OR(Dashboard!$B$7="All",Dashboard!$B$7='Cycles &amp; Guide'!$C$5),OR(Dashboard!$D$7="All",Dashboard!$D$7=B537),OR(Dashboard!$F$7="All",Dashboard!$F$7=C537),OR(Dashboard!$H$7="All",Dashboard!$H$7=D537),OR(Dashboard!$K$7="All",Dashboard!$K$7=E537)),1,0)</x:f>
        <x:v>0</x:v>
      </x:c>
      <x:c r="S537" s="2" t="n">
        <x:f>IF(R537=1,SUM($R$10:R537),0)</x:f>
        <x:v>0</x:v>
      </x:c>
      <x:c r="T537" s="2" t="str">
        <x:v>Data &amp; Reporting</x:v>
      </x:c>
      <x:c r="U537" s="2" t="n">
        <x:v>537</x:v>
      </x:c>
      <x:c r="V537" s="2" t="n">
        <x:f>IF(AND(M537=1,P537=0,ISNUMBER(J537),J537&lt;TODAY()),1,0)</x:f>
        <x:v>0</x:v>
      </x:c>
      <x:c r="W537" s="2" t="str">
        <x:f>'Data &amp; Reporting'!M537</x:f>
        <x:v>Checklist</x:v>
      </x:c>
    </x:row>
    <x:row r="538" ht="40" customHeight="1">
      <x:c r="A538" s="3" t="str">
        <x:f>HYPERLINK("#'Data &amp; Reporting'!A538","Open")</x:f>
        <x:v>Open</x:v>
      </x:c>
      <x:c r="B538" s="2" t="str">
        <x:f>'Data &amp; Reporting'!B538</x:f>
        <x:v>Cycle 3</x:v>
      </x:c>
      <x:c r="C538" s="2" t="str">
        <x:f>'Data &amp; Reporting'!C538</x:f>
        <x:v>Phase 1</x:v>
      </x:c>
      <x:c r="D538" s="2" t="str">
        <x:f>'Data &amp; Reporting'!D538</x:f>
        <x:v>Retail Services</x:v>
      </x:c>
      <x:c r="E538" s="2" t="str">
        <x:v>Data &amp; Reporting</x:v>
      </x:c>
      <x:c r="F538" s="56" t="str">
        <x:f>'Data &amp; Reporting'!E538</x:f>
        <x:v>DR.RS.1.3.C06</x:v>
      </x:c>
      <x:c r="G538" s="14" t="str">
        <x:f>'Data &amp; Reporting'!F538</x:f>
        <x:v>    Validate no duplicate data is provided</x:v>
      </x:c>
      <x:c r="H538" s="2" t="str">
        <x:f>IF('Data &amp; Reporting'!G538="","",'Data &amp; Reporting'!G538)</x:f>
      </x:c>
      <x:c r="I538" s="12" t="str">
        <x:f>IF('Data &amp; Reporting'!H538="","",'Data &amp; Reporting'!H538)</x:f>
      </x:c>
      <x:c r="J538" s="12" t="str">
        <x:f>IF('Data &amp; Reporting'!I538="","",'Data &amp; Reporting'!I538)</x:f>
      </x:c>
      <x:c r="K538" s="12" t="str">
        <x:f>IF('Data &amp; Reporting'!J538="","",'Data &amp; Reporting'!J538)</x:f>
      </x:c>
      <x:c r="L538" s="2" t="str">
        <x:f>IF('Data &amp; Reporting'!K538="","",'Data &amp; Reporting'!K538)</x:f>
      </x:c>
      <x:c r="M538" s="2" t="n">
        <x:f>'Data &amp; Reporting'!Q538</x:f>
        <x:v>0</x:v>
      </x:c>
      <x:c r="N538" s="2" t="str">
        <x:f>'Data &amp; Reporting'!L538</x:f>
        <x:v>Open check</x:v>
      </x:c>
      <x:c r="O538" s="2" t="str">
        <x:f>'Data &amp; Reporting'!N538</x:f>
        <x:v>DR.RS.1.3.C06.2026.CY3</x:v>
      </x:c>
      <x:c r="P538" s="2" t="n">
        <x:f>'Data &amp; Reporting'!O538</x:f>
        <x:v>0</x:v>
      </x:c>
      <x:c r="Q538" s="2" t="n">
        <x:f>SUBTOTAL(103,O538)</x:f>
        <x:v>1</x:v>
      </x:c>
      <x:c r="R538" s="2" t="n">
        <x:f>IF(AND(M538=1,OR(Dashboard!$B$7="All",Dashboard!$B$7='Cycles &amp; Guide'!$C$5),OR(Dashboard!$D$7="All",Dashboard!$D$7=B538),OR(Dashboard!$F$7="All",Dashboard!$F$7=C538),OR(Dashboard!$H$7="All",Dashboard!$H$7=D538),OR(Dashboard!$K$7="All",Dashboard!$K$7=E538)),1,0)</x:f>
        <x:v>0</x:v>
      </x:c>
      <x:c r="S538" s="2" t="n">
        <x:f>IF(R538=1,SUM($R$10:R538),0)</x:f>
        <x:v>0</x:v>
      </x:c>
      <x:c r="T538" s="2" t="str">
        <x:v>Data &amp; Reporting</x:v>
      </x:c>
      <x:c r="U538" s="2" t="n">
        <x:v>538</x:v>
      </x:c>
      <x:c r="V538" s="2" t="n">
        <x:f>IF(AND(M538=1,P538=0,ISNUMBER(J538),J538&lt;TODAY()),1,0)</x:f>
        <x:v>0</x:v>
      </x:c>
      <x:c r="W538" s="2" t="str">
        <x:f>'Data &amp; Reporting'!M538</x:f>
        <x:v>Checklist</x:v>
      </x:c>
    </x:row>
    <x:row r="539" ht="40" customHeight="1">
      <x:c r="A539" s="3" t="str">
        <x:f>HYPERLINK("#'Data &amp; Reporting'!A539","Open")</x:f>
        <x:v>Open</x:v>
      </x:c>
      <x:c r="B539" s="2" t="str">
        <x:f>'Data &amp; Reporting'!B539</x:f>
        <x:v>Cycle 3</x:v>
      </x:c>
      <x:c r="C539" s="2" t="str">
        <x:f>'Data &amp; Reporting'!C539</x:f>
        <x:v>Phase 1</x:v>
      </x:c>
      <x:c r="D539" s="2" t="str">
        <x:f>'Data &amp; Reporting'!D539</x:f>
        <x:v>Retail Services</x:v>
      </x:c>
      <x:c r="E539" s="2" t="str">
        <x:v>Data &amp; Reporting</x:v>
      </x:c>
      <x:c r="F539" s="56" t="str">
        <x:f>'Data &amp; Reporting'!E539</x:f>
        <x:v>DR.RS.1.3.C07</x:v>
      </x:c>
      <x:c r="G539" s="14" t="str">
        <x:f>'Data &amp; Reporting'!F539</x:f>
        <x:v>    Document any data exclusions along with justification (as needed)</x:v>
      </x:c>
      <x:c r="H539" s="2" t="str">
        <x:f>IF('Data &amp; Reporting'!G539="","",'Data &amp; Reporting'!G539)</x:f>
      </x:c>
      <x:c r="I539" s="12" t="str">
        <x:f>IF('Data &amp; Reporting'!H539="","",'Data &amp; Reporting'!H539)</x:f>
      </x:c>
      <x:c r="J539" s="12" t="str">
        <x:f>IF('Data &amp; Reporting'!I539="","",'Data &amp; Reporting'!I539)</x:f>
      </x:c>
      <x:c r="K539" s="12" t="str">
        <x:f>IF('Data &amp; Reporting'!J539="","",'Data &amp; Reporting'!J539)</x:f>
      </x:c>
      <x:c r="L539" s="2" t="str">
        <x:f>IF('Data &amp; Reporting'!K539="","",'Data &amp; Reporting'!K539)</x:f>
      </x:c>
      <x:c r="M539" s="2" t="n">
        <x:f>'Data &amp; Reporting'!Q539</x:f>
        <x:v>0</x:v>
      </x:c>
      <x:c r="N539" s="2" t="str">
        <x:f>'Data &amp; Reporting'!L539</x:f>
        <x:v>Open check</x:v>
      </x:c>
      <x:c r="O539" s="2" t="str">
        <x:f>'Data &amp; Reporting'!N539</x:f>
        <x:v>DR.RS.1.3.C07.2026.CY3</x:v>
      </x:c>
      <x:c r="P539" s="2" t="n">
        <x:f>'Data &amp; Reporting'!O539</x:f>
        <x:v>0</x:v>
      </x:c>
      <x:c r="Q539" s="2" t="n">
        <x:f>SUBTOTAL(103,O539)</x:f>
        <x:v>1</x:v>
      </x:c>
      <x:c r="R539" s="2" t="n">
        <x:f>IF(AND(M539=1,OR(Dashboard!$B$7="All",Dashboard!$B$7='Cycles &amp; Guide'!$C$5),OR(Dashboard!$D$7="All",Dashboard!$D$7=B539),OR(Dashboard!$F$7="All",Dashboard!$F$7=C539),OR(Dashboard!$H$7="All",Dashboard!$H$7=D539),OR(Dashboard!$K$7="All",Dashboard!$K$7=E539)),1,0)</x:f>
        <x:v>0</x:v>
      </x:c>
      <x:c r="S539" s="2" t="n">
        <x:f>IF(R539=1,SUM($R$10:R539),0)</x:f>
        <x:v>0</x:v>
      </x:c>
      <x:c r="T539" s="2" t="str">
        <x:v>Data &amp; Reporting</x:v>
      </x:c>
      <x:c r="U539" s="2" t="n">
        <x:v>539</x:v>
      </x:c>
      <x:c r="V539" s="2" t="n">
        <x:f>IF(AND(M539=1,P539=0,ISNUMBER(J539),J539&lt;TODAY()),1,0)</x:f>
        <x:v>0</x:v>
      </x:c>
      <x:c r="W539" s="2" t="str">
        <x:f>'Data &amp; Reporting'!M539</x:f>
        <x:v>Checklist</x:v>
      </x:c>
    </x:row>
    <x:row r="540" ht="40" customHeight="1">
      <x:c r="A540" s="3" t="str">
        <x:f>HYPERLINK("#'Data &amp; Reporting'!A540","Open")</x:f>
        <x:v>Open</x:v>
      </x:c>
      <x:c r="B540" s="2" t="str">
        <x:f>'Data &amp; Reporting'!B540</x:f>
        <x:v>Cycle 3</x:v>
      </x:c>
      <x:c r="C540" s="2" t="str">
        <x:f>'Data &amp; Reporting'!C540</x:f>
        <x:v>Phase 1</x:v>
      </x:c>
      <x:c r="D540" s="2" t="str">
        <x:f>'Data &amp; Reporting'!D540</x:f>
        <x:v>Retail Services</x:v>
      </x:c>
      <x:c r="E540" s="2" t="str">
        <x:v>Data &amp; Reporting</x:v>
      </x:c>
      <x:c r="F540" s="56" t="str">
        <x:f>'Data &amp; Reporting'!E540</x:f>
        <x:v>DR.RS.1.3.C08</x:v>
      </x:c>
      <x:c r="G540" s="14" t="str">
        <x:f>'Data &amp; Reporting'!F540</x:f>
        <x:v>    Document any assumptions made with the data (as needed)</x:v>
      </x:c>
      <x:c r="H540" s="2" t="str">
        <x:f>IF('Data &amp; Reporting'!G540="","",'Data &amp; Reporting'!G540)</x:f>
      </x:c>
      <x:c r="I540" s="12" t="str">
        <x:f>IF('Data &amp; Reporting'!H540="","",'Data &amp; Reporting'!H540)</x:f>
      </x:c>
      <x:c r="J540" s="12" t="str">
        <x:f>IF('Data &amp; Reporting'!I540="","",'Data &amp; Reporting'!I540)</x:f>
      </x:c>
      <x:c r="K540" s="12" t="str">
        <x:f>IF('Data &amp; Reporting'!J540="","",'Data &amp; Reporting'!J540)</x:f>
      </x:c>
      <x:c r="L540" s="2" t="str">
        <x:f>IF('Data &amp; Reporting'!K540="","",'Data &amp; Reporting'!K540)</x:f>
      </x:c>
      <x:c r="M540" s="2" t="n">
        <x:f>'Data &amp; Reporting'!Q540</x:f>
        <x:v>0</x:v>
      </x:c>
      <x:c r="N540" s="2" t="str">
        <x:f>'Data &amp; Reporting'!L540</x:f>
        <x:v>Open check</x:v>
      </x:c>
      <x:c r="O540" s="2" t="str">
        <x:f>'Data &amp; Reporting'!N540</x:f>
        <x:v>DR.RS.1.3.C08.2026.CY3</x:v>
      </x:c>
      <x:c r="P540" s="2" t="n">
        <x:f>'Data &amp; Reporting'!O540</x:f>
        <x:v>0</x:v>
      </x:c>
      <x:c r="Q540" s="2" t="n">
        <x:f>SUBTOTAL(103,O540)</x:f>
        <x:v>1</x:v>
      </x:c>
      <x:c r="R540" s="2" t="n">
        <x:f>IF(AND(M540=1,OR(Dashboard!$B$7="All",Dashboard!$B$7='Cycles &amp; Guide'!$C$5),OR(Dashboard!$D$7="All",Dashboard!$D$7=B540),OR(Dashboard!$F$7="All",Dashboard!$F$7=C540),OR(Dashboard!$H$7="All",Dashboard!$H$7=D540),OR(Dashboard!$K$7="All",Dashboard!$K$7=E540)),1,0)</x:f>
        <x:v>0</x:v>
      </x:c>
      <x:c r="S540" s="2" t="n">
        <x:f>IF(R540=1,SUM($R$10:R540),0)</x:f>
        <x:v>0</x:v>
      </x:c>
      <x:c r="T540" s="2" t="str">
        <x:v>Data &amp; Reporting</x:v>
      </x:c>
      <x:c r="U540" s="2" t="n">
        <x:v>540</x:v>
      </x:c>
      <x:c r="V540" s="2" t="n">
        <x:f>IF(AND(M540=1,P540=0,ISNUMBER(J540),J540&lt;TODAY()),1,0)</x:f>
        <x:v>0</x:v>
      </x:c>
      <x:c r="W540" s="2" t="str">
        <x:f>'Data &amp; Reporting'!M540</x:f>
        <x:v>Checklist</x:v>
      </x:c>
    </x:row>
    <x:row r="541" ht="40" customHeight="1">
      <x:c r="A541" s="3" t="str">
        <x:f>HYPERLINK("#'Data &amp; Reporting'!A541","Open")</x:f>
        <x:v>Open</x:v>
      </x:c>
      <x:c r="B541" s="2" t="str">
        <x:f>'Data &amp; Reporting'!B541</x:f>
        <x:v>Cycle 3</x:v>
      </x:c>
      <x:c r="C541" s="2" t="str">
        <x:f>'Data &amp; Reporting'!C541</x:f>
        <x:v>Phase 1</x:v>
      </x:c>
      <x:c r="D541" s="2" t="str">
        <x:f>'Data &amp; Reporting'!D541</x:f>
        <x:v>Retail Services</x:v>
      </x:c>
      <x:c r="E541" s="2" t="str">
        <x:v>Data &amp; Reporting</x:v>
      </x:c>
      <x:c r="F541" s="56" t="str">
        <x:f>'Data &amp; Reporting'!E541</x:f>
        <x:v>DR.RS.1.3.C09</x:v>
      </x:c>
      <x:c r="G541" s="14" t="str">
        <x:f>'Data &amp; Reporting'!F541</x:f>
        <x:v>    Document any data limitations or constraints clearly (as needed)</x:v>
      </x:c>
      <x:c r="H541" s="2" t="str">
        <x:f>IF('Data &amp; Reporting'!G541="","",'Data &amp; Reporting'!G541)</x:f>
      </x:c>
      <x:c r="I541" s="12" t="str">
        <x:f>IF('Data &amp; Reporting'!H541="","",'Data &amp; Reporting'!H541)</x:f>
      </x:c>
      <x:c r="J541" s="12" t="str">
        <x:f>IF('Data &amp; Reporting'!I541="","",'Data &amp; Reporting'!I541)</x:f>
      </x:c>
      <x:c r="K541" s="12" t="str">
        <x:f>IF('Data &amp; Reporting'!J541="","",'Data &amp; Reporting'!J541)</x:f>
      </x:c>
      <x:c r="L541" s="2" t="str">
        <x:f>IF('Data &amp; Reporting'!K541="","",'Data &amp; Reporting'!K541)</x:f>
      </x:c>
      <x:c r="M541" s="2" t="n">
        <x:f>'Data &amp; Reporting'!Q541</x:f>
        <x:v>0</x:v>
      </x:c>
      <x:c r="N541" s="2" t="str">
        <x:f>'Data &amp; Reporting'!L541</x:f>
        <x:v>Open check</x:v>
      </x:c>
      <x:c r="O541" s="2" t="str">
        <x:f>'Data &amp; Reporting'!N541</x:f>
        <x:v>DR.RS.1.3.C09.2026.CY3</x:v>
      </x:c>
      <x:c r="P541" s="2" t="n">
        <x:f>'Data &amp; Reporting'!O541</x:f>
        <x:v>0</x:v>
      </x:c>
      <x:c r="Q541" s="2" t="n">
        <x:f>SUBTOTAL(103,O541)</x:f>
        <x:v>1</x:v>
      </x:c>
      <x:c r="R541" s="2" t="n">
        <x:f>IF(AND(M541=1,OR(Dashboard!$B$7="All",Dashboard!$B$7='Cycles &amp; Guide'!$C$5),OR(Dashboard!$D$7="All",Dashboard!$D$7=B541),OR(Dashboard!$F$7="All",Dashboard!$F$7=C541),OR(Dashboard!$H$7="All",Dashboard!$H$7=D541),OR(Dashboard!$K$7="All",Dashboard!$K$7=E541)),1,0)</x:f>
        <x:v>0</x:v>
      </x:c>
      <x:c r="S541" s="2" t="n">
        <x:f>IF(R541=1,SUM($R$10:R541),0)</x:f>
        <x:v>0</x:v>
      </x:c>
      <x:c r="T541" s="2" t="str">
        <x:v>Data &amp; Reporting</x:v>
      </x:c>
      <x:c r="U541" s="2" t="n">
        <x:v>541</x:v>
      </x:c>
      <x:c r="V541" s="2" t="n">
        <x:f>IF(AND(M541=1,P541=0,ISNUMBER(J541),J541&lt;TODAY()),1,0)</x:f>
        <x:v>0</x:v>
      </x:c>
      <x:c r="W541" s="2" t="str">
        <x:f>'Data &amp; Reporting'!M541</x:f>
        <x:v>Checklist</x:v>
      </x:c>
    </x:row>
    <x:row r="542" ht="40" customHeight="1">
      <x:c r="A542" s="3" t="str">
        <x:f>HYPERLINK("#'Data &amp; Reporting'!A542","Open")</x:f>
        <x:v>Open</x:v>
      </x:c>
      <x:c r="B542" s="2" t="str">
        <x:f>'Data &amp; Reporting'!B542</x:f>
        <x:v>Cycle 3</x:v>
      </x:c>
      <x:c r="C542" s="2" t="str">
        <x:f>'Data &amp; Reporting'!C542</x:f>
        <x:v>Phase 1</x:v>
      </x:c>
      <x:c r="D542" s="2" t="str">
        <x:f>'Data &amp; Reporting'!D542</x:f>
        <x:v>Retail Services</x:v>
      </x:c>
      <x:c r="E542" s="2" t="str">
        <x:v>Data &amp; Reporting</x:v>
      </x:c>
      <x:c r="F542" s="56" t="str">
        <x:f>'Data &amp; Reporting'!E542</x:f>
        <x:v>DR.RS.1.3.C10</x:v>
      </x:c>
      <x:c r="G542" s="14" t="str">
        <x:f>'Data &amp; Reporting'!F542</x:f>
        <x:v>    Document data dictionary or field definitions for columns/rows</x:v>
      </x:c>
      <x:c r="H542" s="2" t="str">
        <x:f>IF('Data &amp; Reporting'!G542="","",'Data &amp; Reporting'!G542)</x:f>
      </x:c>
      <x:c r="I542" s="12" t="str">
        <x:f>IF('Data &amp; Reporting'!H542="","",'Data &amp; Reporting'!H542)</x:f>
      </x:c>
      <x:c r="J542" s="12" t="str">
        <x:f>IF('Data &amp; Reporting'!I542="","",'Data &amp; Reporting'!I542)</x:f>
      </x:c>
      <x:c r="K542" s="12" t="str">
        <x:f>IF('Data &amp; Reporting'!J542="","",'Data &amp; Reporting'!J542)</x:f>
      </x:c>
      <x:c r="L542" s="2" t="str">
        <x:f>IF('Data &amp; Reporting'!K542="","",'Data &amp; Reporting'!K542)</x:f>
      </x:c>
      <x:c r="M542" s="2" t="n">
        <x:f>'Data &amp; Reporting'!Q542</x:f>
        <x:v>0</x:v>
      </x:c>
      <x:c r="N542" s="2" t="str">
        <x:f>'Data &amp; Reporting'!L542</x:f>
        <x:v>Open check</x:v>
      </x:c>
      <x:c r="O542" s="2" t="str">
        <x:f>'Data &amp; Reporting'!N542</x:f>
        <x:v>DR.RS.1.3.C10.2026.CY3</x:v>
      </x:c>
      <x:c r="P542" s="2" t="n">
        <x:f>'Data &amp; Reporting'!O542</x:f>
        <x:v>0</x:v>
      </x:c>
      <x:c r="Q542" s="2" t="n">
        <x:f>SUBTOTAL(103,O542)</x:f>
        <x:v>1</x:v>
      </x:c>
      <x:c r="R542" s="2" t="n">
        <x:f>IF(AND(M542=1,OR(Dashboard!$B$7="All",Dashboard!$B$7='Cycles &amp; Guide'!$C$5),OR(Dashboard!$D$7="All",Dashboard!$D$7=B542),OR(Dashboard!$F$7="All",Dashboard!$F$7=C542),OR(Dashboard!$H$7="All",Dashboard!$H$7=D542),OR(Dashboard!$K$7="All",Dashboard!$K$7=E542)),1,0)</x:f>
        <x:v>0</x:v>
      </x:c>
      <x:c r="S542" s="2" t="n">
        <x:f>IF(R542=1,SUM($R$10:R542),0)</x:f>
        <x:v>0</x:v>
      </x:c>
      <x:c r="T542" s="2" t="str">
        <x:v>Data &amp; Reporting</x:v>
      </x:c>
      <x:c r="U542" s="2" t="n">
        <x:v>542</x:v>
      </x:c>
      <x:c r="V542" s="2" t="n">
        <x:f>IF(AND(M542=1,P542=0,ISNUMBER(J542),J542&lt;TODAY()),1,0)</x:f>
        <x:v>0</x:v>
      </x:c>
      <x:c r="W542" s="2" t="str">
        <x:f>'Data &amp; Reporting'!M542</x:f>
        <x:v>Checklist</x:v>
      </x:c>
    </x:row>
    <x:row r="543" ht="40" customHeight="1">
      <x:c r="A543" s="3" t="str">
        <x:f>HYPERLINK("#'Data &amp; Reporting'!A543","Open")</x:f>
        <x:v>Open</x:v>
      </x:c>
      <x:c r="B543" s="2" t="str">
        <x:f>'Data &amp; Reporting'!B543</x:f>
        <x:v>Cycle 3</x:v>
      </x:c>
      <x:c r="C543" s="2" t="str">
        <x:f>'Data &amp; Reporting'!C543</x:f>
        <x:v>Phase 1</x:v>
      </x:c>
      <x:c r="D543" s="2" t="str">
        <x:f>'Data &amp; Reporting'!D543</x:f>
        <x:v>Retail Services</x:v>
      </x:c>
      <x:c r="E543" s="2" t="str">
        <x:v>Data &amp; Reporting</x:v>
      </x:c>
      <x:c r="F543" s="56" t="str">
        <x:f>'Data &amp; Reporting'!E543</x:f>
        <x:v>DR.RS.1.3.C11</x:v>
      </x:c>
      <x:c r="G543" s="14" t="str">
        <x:f>'Data &amp; Reporting'!F543</x:f>
        <x:v>    Document emerging trends, patterns, or concentrations along with supporting data</x:v>
      </x:c>
      <x:c r="H543" s="2" t="str">
        <x:f>IF('Data &amp; Reporting'!G543="","",'Data &amp; Reporting'!G543)</x:f>
      </x:c>
      <x:c r="I543" s="12" t="str">
        <x:f>IF('Data &amp; Reporting'!H543="","",'Data &amp; Reporting'!H543)</x:f>
      </x:c>
      <x:c r="J543" s="12" t="str">
        <x:f>IF('Data &amp; Reporting'!I543="","",'Data &amp; Reporting'!I543)</x:f>
      </x:c>
      <x:c r="K543" s="12" t="str">
        <x:f>IF('Data &amp; Reporting'!J543="","",'Data &amp; Reporting'!J543)</x:f>
      </x:c>
      <x:c r="L543" s="2" t="str">
        <x:f>IF('Data &amp; Reporting'!K543="","",'Data &amp; Reporting'!K543)</x:f>
      </x:c>
      <x:c r="M543" s="2" t="n">
        <x:f>'Data &amp; Reporting'!Q543</x:f>
        <x:v>0</x:v>
      </x:c>
      <x:c r="N543" s="2" t="str">
        <x:f>'Data &amp; Reporting'!L543</x:f>
        <x:v>Open check</x:v>
      </x:c>
      <x:c r="O543" s="2" t="str">
        <x:f>'Data &amp; Reporting'!N543</x:f>
        <x:v>DR.RS.1.3.C11.2026.CY3</x:v>
      </x:c>
      <x:c r="P543" s="2" t="n">
        <x:f>'Data &amp; Reporting'!O543</x:f>
        <x:v>0</x:v>
      </x:c>
      <x:c r="Q543" s="2" t="n">
        <x:f>SUBTOTAL(103,O543)</x:f>
        <x:v>1</x:v>
      </x:c>
      <x:c r="R543" s="2" t="n">
        <x:f>IF(AND(M543=1,OR(Dashboard!$B$7="All",Dashboard!$B$7='Cycles &amp; Guide'!$C$5),OR(Dashboard!$D$7="All",Dashboard!$D$7=B543),OR(Dashboard!$F$7="All",Dashboard!$F$7=C543),OR(Dashboard!$H$7="All",Dashboard!$H$7=D543),OR(Dashboard!$K$7="All",Dashboard!$K$7=E543)),1,0)</x:f>
        <x:v>0</x:v>
      </x:c>
      <x:c r="S543" s="2" t="n">
        <x:f>IF(R543=1,SUM($R$10:R543),0)</x:f>
        <x:v>0</x:v>
      </x:c>
      <x:c r="T543" s="2" t="str">
        <x:v>Data &amp; Reporting</x:v>
      </x:c>
      <x:c r="U543" s="2" t="n">
        <x:v>543</x:v>
      </x:c>
      <x:c r="V543" s="2" t="n">
        <x:f>IF(AND(M543=1,P543=0,ISNUMBER(J543),J543&lt;TODAY()),1,0)</x:f>
        <x:v>0</x:v>
      </x:c>
      <x:c r="W543" s="2" t="str">
        <x:f>'Data &amp; Reporting'!M543</x:f>
        <x:v>Checklist</x:v>
      </x:c>
    </x:row>
    <x:row r="544" ht="40" customHeight="1">
      <x:c r="A544" s="3" t="str">
        <x:f>HYPERLINK("#'Data &amp; Reporting'!A544","Open")</x:f>
        <x:v>Open</x:v>
      </x:c>
      <x:c r="B544" s="2" t="str">
        <x:f>'Data &amp; Reporting'!B544</x:f>
        <x:v>Cycle 3</x:v>
      </x:c>
      <x:c r="C544" s="2" t="str">
        <x:f>'Data &amp; Reporting'!C544</x:f>
        <x:v>Phase 1</x:v>
      </x:c>
      <x:c r="D544" s="2" t="str">
        <x:f>'Data &amp; Reporting'!D544</x:f>
        <x:v>Retail Services</x:v>
      </x:c>
      <x:c r="E544" s="2" t="str">
        <x:v>Data &amp; Reporting</x:v>
      </x:c>
      <x:c r="F544" s="56" t="str">
        <x:f>'Data &amp; Reporting'!E544</x:f>
        <x:v>DR.RS.1.3.C12</x:v>
      </x:c>
      <x:c r="G544" s="14" t="str">
        <x:f>'Data &amp; Reporting'!F544</x:f>
        <x:v>    Document any severe spikes in volume along with context (as needed)</x:v>
      </x:c>
      <x:c r="H544" s="2" t="str">
        <x:f>IF('Data &amp; Reporting'!G544="","",'Data &amp; Reporting'!G544)</x:f>
      </x:c>
      <x:c r="I544" s="12" t="str">
        <x:f>IF('Data &amp; Reporting'!H544="","",'Data &amp; Reporting'!H544)</x:f>
      </x:c>
      <x:c r="J544" s="12" t="str">
        <x:f>IF('Data &amp; Reporting'!I544="","",'Data &amp; Reporting'!I544)</x:f>
      </x:c>
      <x:c r="K544" s="12" t="str">
        <x:f>IF('Data &amp; Reporting'!J544="","",'Data &amp; Reporting'!J544)</x:f>
      </x:c>
      <x:c r="L544" s="2" t="str">
        <x:f>IF('Data &amp; Reporting'!K544="","",'Data &amp; Reporting'!K544)</x:f>
      </x:c>
      <x:c r="M544" s="2" t="n">
        <x:f>'Data &amp; Reporting'!Q544</x:f>
        <x:v>0</x:v>
      </x:c>
      <x:c r="N544" s="2" t="str">
        <x:f>'Data &amp; Reporting'!L544</x:f>
        <x:v>Open check</x:v>
      </x:c>
      <x:c r="O544" s="2" t="str">
        <x:f>'Data &amp; Reporting'!N544</x:f>
        <x:v>DR.RS.1.3.C12.2026.CY3</x:v>
      </x:c>
      <x:c r="P544" s="2" t="n">
        <x:f>'Data &amp; Reporting'!O544</x:f>
        <x:v>0</x:v>
      </x:c>
      <x:c r="Q544" s="2" t="n">
        <x:f>SUBTOTAL(103,O544)</x:f>
        <x:v>1</x:v>
      </x:c>
      <x:c r="R544" s="2" t="n">
        <x:f>IF(AND(M544=1,OR(Dashboard!$B$7="All",Dashboard!$B$7='Cycles &amp; Guide'!$C$5),OR(Dashboard!$D$7="All",Dashboard!$D$7=B544),OR(Dashboard!$F$7="All",Dashboard!$F$7=C544),OR(Dashboard!$H$7="All",Dashboard!$H$7=D544),OR(Dashboard!$K$7="All",Dashboard!$K$7=E544)),1,0)</x:f>
        <x:v>0</x:v>
      </x:c>
      <x:c r="S544" s="2" t="n">
        <x:f>IF(R544=1,SUM($R$10:R544),0)</x:f>
        <x:v>0</x:v>
      </x:c>
      <x:c r="T544" s="2" t="str">
        <x:v>Data &amp; Reporting</x:v>
      </x:c>
      <x:c r="U544" s="2" t="n">
        <x:v>544</x:v>
      </x:c>
      <x:c r="V544" s="2" t="n">
        <x:f>IF(AND(M544=1,P544=0,ISNUMBER(J544),J544&lt;TODAY()),1,0)</x:f>
        <x:v>0</x:v>
      </x:c>
      <x:c r="W544" s="2" t="str">
        <x:f>'Data &amp; Reporting'!M544</x:f>
        <x:v>Checklist</x:v>
      </x:c>
    </x:row>
    <x:row r="545" ht="40" customHeight="1">
      <x:c r="A545" s="3" t="str">
        <x:f>HYPERLINK("#'Data &amp; Reporting'!A545","Open")</x:f>
        <x:v>Open</x:v>
      </x:c>
      <x:c r="B545" s="2" t="str">
        <x:f>'Data &amp; Reporting'!B545</x:f>
        <x:v>Cycle 3</x:v>
      </x:c>
      <x:c r="C545" s="2" t="str">
        <x:f>'Data &amp; Reporting'!C545</x:f>
        <x:v>Phase 1</x:v>
      </x:c>
      <x:c r="D545" s="2" t="str">
        <x:f>'Data &amp; Reporting'!D545</x:f>
        <x:v>Retail Services</x:v>
      </x:c>
      <x:c r="E545" s="2" t="str">
        <x:v>Data &amp; Reporting</x:v>
      </x:c>
      <x:c r="F545" s="56" t="str">
        <x:f>'Data &amp; Reporting'!E545</x:f>
        <x:v>DR.RS.1.3.C13</x:v>
      </x:c>
      <x:c r="G545" s="14" t="str">
        <x:f>'Data &amp; Reporting'!F545</x:f>
        <x:v>    Document clear summary explaining how the data connects to the potential topic</x:v>
      </x:c>
      <x:c r="H545" s="2" t="str">
        <x:f>IF('Data &amp; Reporting'!G545="","",'Data &amp; Reporting'!G545)</x:f>
      </x:c>
      <x:c r="I545" s="12" t="str">
        <x:f>IF('Data &amp; Reporting'!H545="","",'Data &amp; Reporting'!H545)</x:f>
      </x:c>
      <x:c r="J545" s="12" t="str">
        <x:f>IF('Data &amp; Reporting'!I545="","",'Data &amp; Reporting'!I545)</x:f>
      </x:c>
      <x:c r="K545" s="12" t="str">
        <x:f>IF('Data &amp; Reporting'!J545="","",'Data &amp; Reporting'!J545)</x:f>
      </x:c>
      <x:c r="L545" s="2" t="str">
        <x:f>IF('Data &amp; Reporting'!K545="","",'Data &amp; Reporting'!K545)</x:f>
      </x:c>
      <x:c r="M545" s="2" t="n">
        <x:f>'Data &amp; Reporting'!Q545</x:f>
        <x:v>0</x:v>
      </x:c>
      <x:c r="N545" s="2" t="str">
        <x:f>'Data &amp; Reporting'!L545</x:f>
        <x:v>Open check</x:v>
      </x:c>
      <x:c r="O545" s="2" t="str">
        <x:f>'Data &amp; Reporting'!N545</x:f>
        <x:v>DR.RS.1.3.C13.2026.CY3</x:v>
      </x:c>
      <x:c r="P545" s="2" t="n">
        <x:f>'Data &amp; Reporting'!O545</x:f>
        <x:v>0</x:v>
      </x:c>
      <x:c r="Q545" s="2" t="n">
        <x:f>SUBTOTAL(103,O545)</x:f>
        <x:v>1</x:v>
      </x:c>
      <x:c r="R545" s="2" t="n">
        <x:f>IF(AND(M545=1,OR(Dashboard!$B$7="All",Dashboard!$B$7='Cycles &amp; Guide'!$C$5),OR(Dashboard!$D$7="All",Dashboard!$D$7=B545),OR(Dashboard!$F$7="All",Dashboard!$F$7=C545),OR(Dashboard!$H$7="All",Dashboard!$H$7=D545),OR(Dashboard!$K$7="All",Dashboard!$K$7=E545)),1,0)</x:f>
        <x:v>0</x:v>
      </x:c>
      <x:c r="S545" s="2" t="n">
        <x:f>IF(R545=1,SUM($R$10:R545),0)</x:f>
        <x:v>0</x:v>
      </x:c>
      <x:c r="T545" s="2" t="str">
        <x:v>Data &amp; Reporting</x:v>
      </x:c>
      <x:c r="U545" s="2" t="n">
        <x:v>545</x:v>
      </x:c>
      <x:c r="V545" s="2" t="n">
        <x:f>IF(AND(M545=1,P545=0,ISNUMBER(J545),J545&lt;TODAY()),1,0)</x:f>
        <x:v>0</x:v>
      </x:c>
      <x:c r="W545" s="2" t="str">
        <x:f>'Data &amp; Reporting'!M545</x:f>
        <x:v>Checklist</x:v>
      </x:c>
    </x:row>
    <x:row r="546" ht="40" customHeight="1">
      <x:c r="A546" s="3" t="str">
        <x:f>HYPERLINK("#'Data &amp; Reporting'!A546","Open")</x:f>
        <x:v>Open</x:v>
      </x:c>
      <x:c r="B546" s="2" t="str">
        <x:f>'Data &amp; Reporting'!B546</x:f>
        <x:v>Cycle 3</x:v>
      </x:c>
      <x:c r="C546" s="2" t="str">
        <x:f>'Data &amp; Reporting'!C546</x:f>
        <x:v>Phase 2</x:v>
      </x:c>
      <x:c r="D546" s="2" t="str">
        <x:f>'Data &amp; Reporting'!D546</x:f>
        <x:v>Retail Services</x:v>
      </x:c>
      <x:c r="E546" s="2" t="str">
        <x:v>Data &amp; Reporting</x:v>
      </x:c>
      <x:c r="F546" s="56" t="str">
        <x:f>'Data &amp; Reporting'!E546</x:f>
        <x:v>DR.RS.2.1</x:v>
      </x:c>
      <x:c r="G546" s="14" t="str">
        <x:f>'Data &amp; Reporting'!F546</x:f>
        <x:v>Ensure data is clean, structured, and usable without manipulation needed</x:v>
      </x:c>
      <x:c r="H546" s="2" t="str">
        <x:f>IF('Data &amp; Reporting'!G546="","",'Data &amp; Reporting'!G546)</x:f>
      </x:c>
      <x:c r="I546" s="12" t="str">
        <x:f>IF('Data &amp; Reporting'!H546="","",'Data &amp; Reporting'!H546)</x:f>
      </x:c>
      <x:c r="J546" s="12" t="n">
        <x:f>IF('Data &amp; Reporting'!I546="","",'Data &amp; Reporting'!I546)</x:f>
        <x:v>46295</x:v>
      </x:c>
      <x:c r="K546" s="12" t="str">
        <x:f>IF('Data &amp; Reporting'!J546="","",'Data &amp; Reporting'!J546)</x:f>
      </x:c>
      <x:c r="L546" s="2" t="str">
        <x:f>IF('Data &amp; Reporting'!K546="","",'Data &amp; Reporting'!K546)</x:f>
      </x:c>
      <x:c r="M546" s="2" t="n">
        <x:f>'Data &amp; Reporting'!Q546</x:f>
        <x:v>1</x:v>
      </x:c>
      <x:c r="N546" s="2" t="str">
        <x:f>'Data &amp; Reporting'!L546</x:f>
        <x:v>Not started</x:v>
      </x:c>
      <x:c r="O546" s="2" t="str">
        <x:f>'Data &amp; Reporting'!N546</x:f>
        <x:v>DR.RS.2.1.2026.CY3</x:v>
      </x:c>
      <x:c r="P546" s="2" t="n">
        <x:f>'Data &amp; Reporting'!O546</x:f>
        <x:v>0</x:v>
      </x:c>
      <x:c r="Q546" s="2" t="n">
        <x:f>SUBTOTAL(103,O546)</x:f>
        <x:v>1</x:v>
      </x:c>
      <x:c r="R546" s="2" t="n">
        <x:f>IF(AND(M546=1,OR(Dashboard!$B$7="All",Dashboard!$B$7='Cycles &amp; Guide'!$C$5),OR(Dashboard!$D$7="All",Dashboard!$D$7=B546),OR(Dashboard!$F$7="All",Dashboard!$F$7=C546),OR(Dashboard!$H$7="All",Dashboard!$H$7=D546),OR(Dashboard!$K$7="All",Dashboard!$K$7=E546)),1,0)</x:f>
        <x:v>1</x:v>
      </x:c>
      <x:c r="S546" s="2" t="n">
        <x:f>IF(R546=1,SUM($R$10:R546),0)</x:f>
        <x:v>264</x:v>
      </x:c>
      <x:c r="T546" s="2" t="str">
        <x:v>Data &amp; Reporting</x:v>
      </x:c>
      <x:c r="U546" s="2" t="n">
        <x:v>546</x:v>
      </x:c>
      <x:c r="V546" s="2" t="n">
        <x:f>IF(AND(M546=1,P546=0,ISNUMBER(J546),J546&lt;TODAY()),1,0)</x:f>
        <x:v>0</x:v>
      </x:c>
      <x:c r="W546" s="2" t="str">
        <x:f>'Data &amp; Reporting'!M546</x:f>
        <x:v>Task</x:v>
      </x:c>
    </x:row>
    <x:row r="547" ht="40" customHeight="1">
      <x:c r="A547" s="3" t="str">
        <x:f>HYPERLINK("#'Data &amp; Reporting'!A547","Open")</x:f>
        <x:v>Open</x:v>
      </x:c>
      <x:c r="B547" s="2" t="str">
        <x:f>'Data &amp; Reporting'!B547</x:f>
        <x:v>Cycle 3</x:v>
      </x:c>
      <x:c r="C547" s="2" t="str">
        <x:f>'Data &amp; Reporting'!C547</x:f>
        <x:v>Phase 2</x:v>
      </x:c>
      <x:c r="D547" s="2" t="str">
        <x:f>'Data &amp; Reporting'!D547</x:f>
        <x:v>Retail Services</x:v>
      </x:c>
      <x:c r="E547" s="2" t="str">
        <x:v>Data &amp; Reporting</x:v>
      </x:c>
      <x:c r="F547" s="56" t="str">
        <x:f>'Data &amp; Reporting'!E547</x:f>
        <x:v>DR.RS.2.2</x:v>
      </x:c>
      <x:c r="G547" s="14" t="str">
        <x:f>'Data &amp; Reporting'!F547</x:f>
        <x:v>Clearly document rationale for each topic recommendation within the SharePoint list</x:v>
      </x:c>
      <x:c r="H547" s="2" t="str">
        <x:f>IF('Data &amp; Reporting'!G547="","",'Data &amp; Reporting'!G547)</x:f>
      </x:c>
      <x:c r="I547" s="12" t="str">
        <x:f>IF('Data &amp; Reporting'!H547="","",'Data &amp; Reporting'!H547)</x:f>
      </x:c>
      <x:c r="J547" s="12" t="n">
        <x:f>IF('Data &amp; Reporting'!I547="","",'Data &amp; Reporting'!I547)</x:f>
        <x:v>46295</x:v>
      </x:c>
      <x:c r="K547" s="12" t="str">
        <x:f>IF('Data &amp; Reporting'!J547="","",'Data &amp; Reporting'!J547)</x:f>
      </x:c>
      <x:c r="L547" s="2" t="str">
        <x:f>IF('Data &amp; Reporting'!K547="","",'Data &amp; Reporting'!K547)</x:f>
      </x:c>
      <x:c r="M547" s="2" t="n">
        <x:f>'Data &amp; Reporting'!Q547</x:f>
        <x:v>1</x:v>
      </x:c>
      <x:c r="N547" s="2" t="str">
        <x:f>'Data &amp; Reporting'!L547</x:f>
        <x:v>Not started</x:v>
      </x:c>
      <x:c r="O547" s="2" t="str">
        <x:f>'Data &amp; Reporting'!N547</x:f>
        <x:v>DR.RS.2.2.2026.CY3</x:v>
      </x:c>
      <x:c r="P547" s="2" t="n">
        <x:f>'Data &amp; Reporting'!O547</x:f>
        <x:v>0</x:v>
      </x:c>
      <x:c r="Q547" s="2" t="n">
        <x:f>SUBTOTAL(103,O547)</x:f>
        <x:v>1</x:v>
      </x:c>
      <x:c r="R547" s="2" t="n">
        <x:f>IF(AND(M547=1,OR(Dashboard!$B$7="All",Dashboard!$B$7='Cycles &amp; Guide'!$C$5),OR(Dashboard!$D$7="All",Dashboard!$D$7=B547),OR(Dashboard!$F$7="All",Dashboard!$F$7=C547),OR(Dashboard!$H$7="All",Dashboard!$H$7=D547),OR(Dashboard!$K$7="All",Dashboard!$K$7=E547)),1,0)</x:f>
        <x:v>1</x:v>
      </x:c>
      <x:c r="S547" s="2" t="n">
        <x:f>IF(R547=1,SUM($R$10:R547),0)</x:f>
        <x:v>265</x:v>
      </x:c>
      <x:c r="T547" s="2" t="str">
        <x:v>Data &amp; Reporting</x:v>
      </x:c>
      <x:c r="U547" s="2" t="n">
        <x:v>547</x:v>
      </x:c>
      <x:c r="V547" s="2" t="n">
        <x:f>IF(AND(M547=1,P547=0,ISNUMBER(J547),J547&lt;TODAY()),1,0)</x:f>
        <x:v>0</x:v>
      </x:c>
      <x:c r="W547" s="2" t="str">
        <x:f>'Data &amp; Reporting'!M547</x:f>
        <x:v>Task</x:v>
      </x:c>
    </x:row>
    <x:row r="548" ht="40" customHeight="1">
      <x:c r="A548" s="3" t="str">
        <x:f>HYPERLINK("#'Data &amp; Reporting'!A548","Open")</x:f>
        <x:v>Open</x:v>
      </x:c>
      <x:c r="B548" s="2" t="str">
        <x:f>'Data &amp; Reporting'!B548</x:f>
        <x:v>Cycle 3</x:v>
      </x:c>
      <x:c r="C548" s="2" t="str">
        <x:f>'Data &amp; Reporting'!C548</x:f>
        <x:v>Phase 2</x:v>
      </x:c>
      <x:c r="D548" s="2" t="str">
        <x:f>'Data &amp; Reporting'!D548</x:f>
        <x:v>Retail Services</x:v>
      </x:c>
      <x:c r="E548" s="2" t="str">
        <x:v>Data &amp; Reporting</x:v>
      </x:c>
      <x:c r="F548" s="56" t="str">
        <x:f>'Data &amp; Reporting'!E548</x:f>
        <x:v>DR.RS.2.3</x:v>
      </x:c>
      <x:c r="G548" s="14" t="str">
        <x:f>'Data &amp; Reporting'!F548</x:f>
        <x:v>Verify topic is eligible for RCA and does not conflict with Attorney Client Privilege</x:v>
      </x:c>
      <x:c r="H548" s="2" t="str">
        <x:f>IF('Data &amp; Reporting'!G548="","",'Data &amp; Reporting'!G548)</x:f>
      </x:c>
      <x:c r="I548" s="12" t="str">
        <x:f>IF('Data &amp; Reporting'!H548="","",'Data &amp; Reporting'!H548)</x:f>
      </x:c>
      <x:c r="J548" s="12" t="n">
        <x:f>IF('Data &amp; Reporting'!I548="","",'Data &amp; Reporting'!I548)</x:f>
        <x:v>46295</x:v>
      </x:c>
      <x:c r="K548" s="12" t="str">
        <x:f>IF('Data &amp; Reporting'!J548="","",'Data &amp; Reporting'!J548)</x:f>
      </x:c>
      <x:c r="L548" s="2" t="str">
        <x:f>IF('Data &amp; Reporting'!K548="","",'Data &amp; Reporting'!K548)</x:f>
      </x:c>
      <x:c r="M548" s="2" t="n">
        <x:f>'Data &amp; Reporting'!Q548</x:f>
        <x:v>1</x:v>
      </x:c>
      <x:c r="N548" s="2" t="str">
        <x:f>'Data &amp; Reporting'!L548</x:f>
        <x:v>Not started</x:v>
      </x:c>
      <x:c r="O548" s="2" t="str">
        <x:f>'Data &amp; Reporting'!N548</x:f>
        <x:v>DR.RS.2.3.2026.CY3</x:v>
      </x:c>
      <x:c r="P548" s="2" t="n">
        <x:f>'Data &amp; Reporting'!O548</x:f>
        <x:v>0</x:v>
      </x:c>
      <x:c r="Q548" s="2" t="n">
        <x:f>SUBTOTAL(103,O548)</x:f>
        <x:v>1</x:v>
      </x:c>
      <x:c r="R548" s="2" t="n">
        <x:f>IF(AND(M548=1,OR(Dashboard!$B$7="All",Dashboard!$B$7='Cycles &amp; Guide'!$C$5),OR(Dashboard!$D$7="All",Dashboard!$D$7=B548),OR(Dashboard!$F$7="All",Dashboard!$F$7=C548),OR(Dashboard!$H$7="All",Dashboard!$H$7=D548),OR(Dashboard!$K$7="All",Dashboard!$K$7=E548)),1,0)</x:f>
        <x:v>1</x:v>
      </x:c>
      <x:c r="S548" s="2" t="n">
        <x:f>IF(R548=1,SUM($R$10:R548),0)</x:f>
        <x:v>266</x:v>
      </x:c>
      <x:c r="T548" s="2" t="str">
        <x:v>Data &amp; Reporting</x:v>
      </x:c>
      <x:c r="U548" s="2" t="n">
        <x:v>548</x:v>
      </x:c>
      <x:c r="V548" s="2" t="n">
        <x:f>IF(AND(M548=1,P548=0,ISNUMBER(J548),J548&lt;TODAY()),1,0)</x:f>
        <x:v>0</x:v>
      </x:c>
      <x:c r="W548" s="2" t="str">
        <x:f>'Data &amp; Reporting'!M548</x:f>
        <x:v>Task</x:v>
      </x:c>
    </x:row>
    <x:row r="549" ht="40" customHeight="1">
      <x:c r="A549" s="3" t="str">
        <x:f>HYPERLINK("#'Data &amp; Reporting'!A549","Open")</x:f>
        <x:v>Open</x:v>
      </x:c>
      <x:c r="B549" s="2" t="str">
        <x:f>'Data &amp; Reporting'!B549</x:f>
        <x:v>Cycle 3</x:v>
      </x:c>
      <x:c r="C549" s="2" t="str">
        <x:f>'Data &amp; Reporting'!C549</x:f>
        <x:v>Phase 2</x:v>
      </x:c>
      <x:c r="D549" s="2" t="str">
        <x:f>'Data &amp; Reporting'!D549</x:f>
        <x:v>Retail Services</x:v>
      </x:c>
      <x:c r="E549" s="2" t="str">
        <x:v>Data &amp; Reporting</x:v>
      </x:c>
      <x:c r="F549" s="56" t="str">
        <x:f>'Data &amp; Reporting'!E549</x:f>
        <x:v>DR.RS.2.4</x:v>
      </x:c>
      <x:c r="G549" s="14" t="str">
        <x:f>'Data &amp; Reporting'!F549</x:f>
        <x:v>Ensure data is free of errors and anomalies prior to hand-off to Research</x:v>
      </x:c>
      <x:c r="H549" s="2" t="str">
        <x:f>IF('Data &amp; Reporting'!G549="","",'Data &amp; Reporting'!G549)</x:f>
      </x:c>
      <x:c r="I549" s="12" t="str">
        <x:f>IF('Data &amp; Reporting'!H549="","",'Data &amp; Reporting'!H549)</x:f>
      </x:c>
      <x:c r="J549" s="12" t="n">
        <x:f>IF('Data &amp; Reporting'!I549="","",'Data &amp; Reporting'!I549)</x:f>
        <x:v>46295</x:v>
      </x:c>
      <x:c r="K549" s="12" t="str">
        <x:f>IF('Data &amp; Reporting'!J549="","",'Data &amp; Reporting'!J549)</x:f>
      </x:c>
      <x:c r="L549" s="2" t="str">
        <x:f>IF('Data &amp; Reporting'!K549="","",'Data &amp; Reporting'!K549)</x:f>
      </x:c>
      <x:c r="M549" s="2" t="n">
        <x:f>'Data &amp; Reporting'!Q549</x:f>
        <x:v>1</x:v>
      </x:c>
      <x:c r="N549" s="2" t="str">
        <x:f>'Data &amp; Reporting'!L549</x:f>
        <x:v>Not started</x:v>
      </x:c>
      <x:c r="O549" s="2" t="str">
        <x:f>'Data &amp; Reporting'!N549</x:f>
        <x:v>DR.RS.2.4.2026.CY3</x:v>
      </x:c>
      <x:c r="P549" s="2" t="n">
        <x:f>'Data &amp; Reporting'!O549</x:f>
        <x:v>0</x:v>
      </x:c>
      <x:c r="Q549" s="2" t="n">
        <x:f>SUBTOTAL(103,O549)</x:f>
        <x:v>1</x:v>
      </x:c>
      <x:c r="R549" s="2" t="n">
        <x:f>IF(AND(M549=1,OR(Dashboard!$B$7="All",Dashboard!$B$7='Cycles &amp; Guide'!$C$5),OR(Dashboard!$D$7="All",Dashboard!$D$7=B549),OR(Dashboard!$F$7="All",Dashboard!$F$7=C549),OR(Dashboard!$H$7="All",Dashboard!$H$7=D549),OR(Dashboard!$K$7="All",Dashboard!$K$7=E549)),1,0)</x:f>
        <x:v>1</x:v>
      </x:c>
      <x:c r="S549" s="2" t="n">
        <x:f>IF(R549=1,SUM($R$10:R549),0)</x:f>
        <x:v>267</x:v>
      </x:c>
      <x:c r="T549" s="2" t="str">
        <x:v>Data &amp; Reporting</x:v>
      </x:c>
      <x:c r="U549" s="2" t="n">
        <x:v>549</x:v>
      </x:c>
      <x:c r="V549" s="2" t="n">
        <x:f>IF(AND(M549=1,P549=0,ISNUMBER(J549),J549&lt;TODAY()),1,0)</x:f>
        <x:v>0</x:v>
      </x:c>
      <x:c r="W549" s="2" t="str">
        <x:f>'Data &amp; Reporting'!M549</x:f>
        <x:v>Task</x:v>
      </x:c>
    </x:row>
    <x:row r="550" ht="40" customHeight="1">
      <x:c r="A550" s="3" t="str">
        <x:f>HYPERLINK("#'Data &amp; Reporting'!A550","Open")</x:f>
        <x:v>Open</x:v>
      </x:c>
      <x:c r="B550" s="2" t="str">
        <x:f>'Data &amp; Reporting'!B550</x:f>
        <x:v>Cycle 3</x:v>
      </x:c>
      <x:c r="C550" s="2" t="str">
        <x:f>'Data &amp; Reporting'!C550</x:f>
        <x:v>Phase 2</x:v>
      </x:c>
      <x:c r="D550" s="2" t="str">
        <x:f>'Data &amp; Reporting'!D550</x:f>
        <x:v>Retail Services</x:v>
      </x:c>
      <x:c r="E550" s="2" t="str">
        <x:v>Data &amp; Reporting</x:v>
      </x:c>
      <x:c r="F550" s="56" t="str">
        <x:f>'Data &amp; Reporting'!E550</x:f>
        <x:v>DR.RS.2.5</x:v>
      </x:c>
      <x:c r="G550" s="14" t="str">
        <x:f>'Data &amp; Reporting'!F550</x:f>
        <x:v>Ensure topic is not a duplicate from a previous Cycle</x:v>
      </x:c>
      <x:c r="H550" s="2" t="str">
        <x:f>IF('Data &amp; Reporting'!G550="","",'Data &amp; Reporting'!G550)</x:f>
      </x:c>
      <x:c r="I550" s="12" t="str">
        <x:f>IF('Data &amp; Reporting'!H550="","",'Data &amp; Reporting'!H550)</x:f>
      </x:c>
      <x:c r="J550" s="12" t="n">
        <x:f>IF('Data &amp; Reporting'!I550="","",'Data &amp; Reporting'!I550)</x:f>
        <x:v>46295</x:v>
      </x:c>
      <x:c r="K550" s="12" t="str">
        <x:f>IF('Data &amp; Reporting'!J550="","",'Data &amp; Reporting'!J550)</x:f>
      </x:c>
      <x:c r="L550" s="2" t="str">
        <x:f>IF('Data &amp; Reporting'!K550="","",'Data &amp; Reporting'!K550)</x:f>
      </x:c>
      <x:c r="M550" s="2" t="n">
        <x:f>'Data &amp; Reporting'!Q550</x:f>
        <x:v>1</x:v>
      </x:c>
      <x:c r="N550" s="2" t="str">
        <x:f>'Data &amp; Reporting'!L550</x:f>
        <x:v>Not started</x:v>
      </x:c>
      <x:c r="O550" s="2" t="str">
        <x:f>'Data &amp; Reporting'!N550</x:f>
        <x:v>DR.RS.2.5.2026.CY3</x:v>
      </x:c>
      <x:c r="P550" s="2" t="n">
        <x:f>'Data &amp; Reporting'!O550</x:f>
        <x:v>0</x:v>
      </x:c>
      <x:c r="Q550" s="2" t="n">
        <x:f>SUBTOTAL(103,O550)</x:f>
        <x:v>1</x:v>
      </x:c>
      <x:c r="R550" s="2" t="n">
        <x:f>IF(AND(M550=1,OR(Dashboard!$B$7="All",Dashboard!$B$7='Cycles &amp; Guide'!$C$5),OR(Dashboard!$D$7="All",Dashboard!$D$7=B550),OR(Dashboard!$F$7="All",Dashboard!$F$7=C550),OR(Dashboard!$H$7="All",Dashboard!$H$7=D550),OR(Dashboard!$K$7="All",Dashboard!$K$7=E550)),1,0)</x:f>
        <x:v>1</x:v>
      </x:c>
      <x:c r="S550" s="2" t="n">
        <x:f>IF(R550=1,SUM($R$10:R550),0)</x:f>
        <x:v>268</x:v>
      </x:c>
      <x:c r="T550" s="2" t="str">
        <x:v>Data &amp; Reporting</x:v>
      </x:c>
      <x:c r="U550" s="2" t="n">
        <x:v>550</x:v>
      </x:c>
      <x:c r="V550" s="2" t="n">
        <x:f>IF(AND(M550=1,P550=0,ISNUMBER(J550),J550&lt;TODAY()),1,0)</x:f>
        <x:v>0</x:v>
      </x:c>
      <x:c r="W550" s="2" t="str">
        <x:f>'Data &amp; Reporting'!M550</x:f>
        <x:v>Task</x:v>
      </x:c>
    </x:row>
    <x:row r="551" ht="40" customHeight="1">
      <x:c r="A551" s="3" t="str">
        <x:f>HYPERLINK("#'Data &amp; Reporting'!A551","Open")</x:f>
        <x:v>Open</x:v>
      </x:c>
      <x:c r="B551" s="2" t="str">
        <x:f>'Data &amp; Reporting'!B551</x:f>
        <x:v>Cycle 3</x:v>
      </x:c>
      <x:c r="C551" s="2" t="str">
        <x:f>'Data &amp; Reporting'!C551</x:f>
        <x:v>Phase 2</x:v>
      </x:c>
      <x:c r="D551" s="2" t="str">
        <x:f>'Data &amp; Reporting'!D551</x:f>
        <x:v>Retail Services</x:v>
      </x:c>
      <x:c r="E551" s="2" t="str">
        <x:v>Data &amp; Reporting</x:v>
      </x:c>
      <x:c r="F551" s="56" t="str">
        <x:f>'Data &amp; Reporting'!E551</x:f>
        <x:v>DR.RS.2.6</x:v>
      </x:c>
      <x:c r="G551" s="14" t="str">
        <x:f>'Data &amp; Reporting'!F551</x:f>
        <x:v>Document clear distinctions between facts, assumptions, and hypotheses within the data package</x:v>
      </x:c>
      <x:c r="H551" s="2" t="str">
        <x:f>IF('Data &amp; Reporting'!G551="","",'Data &amp; Reporting'!G551)</x:f>
      </x:c>
      <x:c r="I551" s="12" t="str">
        <x:f>IF('Data &amp; Reporting'!H551="","",'Data &amp; Reporting'!H551)</x:f>
      </x:c>
      <x:c r="J551" s="12" t="n">
        <x:f>IF('Data &amp; Reporting'!I551="","",'Data &amp; Reporting'!I551)</x:f>
        <x:v>46295</x:v>
      </x:c>
      <x:c r="K551" s="12" t="str">
        <x:f>IF('Data &amp; Reporting'!J551="","",'Data &amp; Reporting'!J551)</x:f>
      </x:c>
      <x:c r="L551" s="2" t="str">
        <x:f>IF('Data &amp; Reporting'!K551="","",'Data &amp; Reporting'!K551)</x:f>
      </x:c>
      <x:c r="M551" s="2" t="n">
        <x:f>'Data &amp; Reporting'!Q551</x:f>
        <x:v>1</x:v>
      </x:c>
      <x:c r="N551" s="2" t="str">
        <x:f>'Data &amp; Reporting'!L551</x:f>
        <x:v>Not started</x:v>
      </x:c>
      <x:c r="O551" s="2" t="str">
        <x:f>'Data &amp; Reporting'!N551</x:f>
        <x:v>DR.RS.2.6.2026.CY3</x:v>
      </x:c>
      <x:c r="P551" s="2" t="n">
        <x:f>'Data &amp; Reporting'!O551</x:f>
        <x:v>0</x:v>
      </x:c>
      <x:c r="Q551" s="2" t="n">
        <x:f>SUBTOTAL(103,O551)</x:f>
        <x:v>1</x:v>
      </x:c>
      <x:c r="R551" s="2" t="n">
        <x:f>IF(AND(M551=1,OR(Dashboard!$B$7="All",Dashboard!$B$7='Cycles &amp; Guide'!$C$5),OR(Dashboard!$D$7="All",Dashboard!$D$7=B551),OR(Dashboard!$F$7="All",Dashboard!$F$7=C551),OR(Dashboard!$H$7="All",Dashboard!$H$7=D551),OR(Dashboard!$K$7="All",Dashboard!$K$7=E551)),1,0)</x:f>
        <x:v>1</x:v>
      </x:c>
      <x:c r="S551" s="2" t="n">
        <x:f>IF(R551=1,SUM($R$10:R551),0)</x:f>
        <x:v>269</x:v>
      </x:c>
      <x:c r="T551" s="2" t="str">
        <x:v>Data &amp; Reporting</x:v>
      </x:c>
      <x:c r="U551" s="2" t="n">
        <x:v>551</x:v>
      </x:c>
      <x:c r="V551" s="2" t="n">
        <x:f>IF(AND(M551=1,P551=0,ISNUMBER(J551),J551&lt;TODAY()),1,0)</x:f>
        <x:v>0</x:v>
      </x:c>
      <x:c r="W551" s="2" t="str">
        <x:f>'Data &amp; Reporting'!M551</x:f>
        <x:v>Task</x:v>
      </x:c>
    </x:row>
    <x:row r="552" ht="40" customHeight="1">
      <x:c r="A552" s="3" t="str">
        <x:f>HYPERLINK("#'Data &amp; Reporting'!A552","Open")</x:f>
        <x:v>Open</x:v>
      </x:c>
      <x:c r="B552" s="2" t="str">
        <x:f>'Data &amp; Reporting'!B552</x:f>
        <x:v>Cycle 3</x:v>
      </x:c>
      <x:c r="C552" s="2" t="str">
        <x:f>'Data &amp; Reporting'!C552</x:f>
        <x:v>Phase 3</x:v>
      </x:c>
      <x:c r="D552" s="2" t="str">
        <x:f>'Data &amp; Reporting'!D552</x:f>
        <x:v>Retail Services</x:v>
      </x:c>
      <x:c r="E552" s="2" t="str">
        <x:v>Data &amp; Reporting</x:v>
      </x:c>
      <x:c r="F552" s="56" t="str">
        <x:f>'Data &amp; Reporting'!E552</x:f>
        <x:v>DR.RS.3.1</x:v>
      </x:c>
      <x:c r="G552" s="14" t="str">
        <x:f>'Data &amp; Reporting'!F552</x:f>
        <x:v>Clearly document rationale for each topic recommendation within the SharePoint list item</x:v>
      </x:c>
      <x:c r="H552" s="2" t="str">
        <x:f>IF('Data &amp; Reporting'!G552="","",'Data &amp; Reporting'!G552)</x:f>
      </x:c>
      <x:c r="I552" s="12" t="str">
        <x:f>IF('Data &amp; Reporting'!H552="","",'Data &amp; Reporting'!H552)</x:f>
      </x:c>
      <x:c r="J552" s="12" t="n">
        <x:f>IF('Data &amp; Reporting'!I552="","",'Data &amp; Reporting'!I552)</x:f>
        <x:v>46295</x:v>
      </x:c>
      <x:c r="K552" s="12" t="str">
        <x:f>IF('Data &amp; Reporting'!J552="","",'Data &amp; Reporting'!J552)</x:f>
      </x:c>
      <x:c r="L552" s="2" t="str">
        <x:f>IF('Data &amp; Reporting'!K552="","",'Data &amp; Reporting'!K552)</x:f>
      </x:c>
      <x:c r="M552" s="2" t="n">
        <x:f>'Data &amp; Reporting'!Q552</x:f>
        <x:v>1</x:v>
      </x:c>
      <x:c r="N552" s="2" t="str">
        <x:f>'Data &amp; Reporting'!L552</x:f>
        <x:v>Not started</x:v>
      </x:c>
      <x:c r="O552" s="2" t="str">
        <x:f>'Data &amp; Reporting'!N552</x:f>
        <x:v>DR.RS.3.1.2026.CY3</x:v>
      </x:c>
      <x:c r="P552" s="2" t="n">
        <x:f>'Data &amp; Reporting'!O552</x:f>
        <x:v>0</x:v>
      </x:c>
      <x:c r="Q552" s="2" t="n">
        <x:f>SUBTOTAL(103,O552)</x:f>
        <x:v>1</x:v>
      </x:c>
      <x:c r="R552" s="2" t="n">
        <x:f>IF(AND(M552=1,OR(Dashboard!$B$7="All",Dashboard!$B$7='Cycles &amp; Guide'!$C$5),OR(Dashboard!$D$7="All",Dashboard!$D$7=B552),OR(Dashboard!$F$7="All",Dashboard!$F$7=C552),OR(Dashboard!$H$7="All",Dashboard!$H$7=D552),OR(Dashboard!$K$7="All",Dashboard!$K$7=E552)),1,0)</x:f>
        <x:v>1</x:v>
      </x:c>
      <x:c r="S552" s="2" t="n">
        <x:f>IF(R552=1,SUM($R$10:R552),0)</x:f>
        <x:v>270</x:v>
      </x:c>
      <x:c r="T552" s="2" t="str">
        <x:v>Data &amp; Reporting</x:v>
      </x:c>
      <x:c r="U552" s="2" t="n">
        <x:v>552</x:v>
      </x:c>
      <x:c r="V552" s="2" t="n">
        <x:f>IF(AND(M552=1,P552=0,ISNUMBER(J552),J552&lt;TODAY()),1,0)</x:f>
        <x:v>0</x:v>
      </x:c>
      <x:c r="W552" s="2" t="str">
        <x:f>'Data &amp; Reporting'!M552</x:f>
        <x:v>Task</x:v>
      </x:c>
    </x:row>
    <x:row r="553" ht="40" customHeight="1">
      <x:c r="A553" s="3" t="str">
        <x:f>HYPERLINK("#'Data &amp; Reporting'!A553","Open")</x:f>
        <x:v>Open</x:v>
      </x:c>
      <x:c r="B553" s="2" t="str">
        <x:f>'Data &amp; Reporting'!B553</x:f>
        <x:v>Cycle 3</x:v>
      </x:c>
      <x:c r="C553" s="2" t="str">
        <x:f>'Data &amp; Reporting'!C553</x:f>
        <x:v>Phase 3</x:v>
      </x:c>
      <x:c r="D553" s="2" t="str">
        <x:f>'Data &amp; Reporting'!D553</x:f>
        <x:v>Retail Services</x:v>
      </x:c>
      <x:c r="E553" s="2" t="str">
        <x:v>Data &amp; Reporting</x:v>
      </x:c>
      <x:c r="F553" s="56" t="str">
        <x:f>'Data &amp; Reporting'!E553</x:f>
        <x:v>DR.RS.3.2</x:v>
      </x:c>
      <x:c r="G553" s="14" t="str">
        <x:f>'Data &amp; Reporting'!F553</x:f>
        <x:v>Attach the data package for each topic recommendation within the SharePoint list item</x:v>
      </x:c>
      <x:c r="H553" s="2" t="str">
        <x:f>IF('Data &amp; Reporting'!G553="","",'Data &amp; Reporting'!G553)</x:f>
      </x:c>
      <x:c r="I553" s="12" t="str">
        <x:f>IF('Data &amp; Reporting'!H553="","",'Data &amp; Reporting'!H553)</x:f>
      </x:c>
      <x:c r="J553" s="12" t="n">
        <x:f>IF('Data &amp; Reporting'!I553="","",'Data &amp; Reporting'!I553)</x:f>
        <x:v>46295</x:v>
      </x:c>
      <x:c r="K553" s="12" t="str">
        <x:f>IF('Data &amp; Reporting'!J553="","",'Data &amp; Reporting'!J553)</x:f>
      </x:c>
      <x:c r="L553" s="2" t="str">
        <x:f>IF('Data &amp; Reporting'!K553="","",'Data &amp; Reporting'!K553)</x:f>
      </x:c>
      <x:c r="M553" s="2" t="n">
        <x:f>'Data &amp; Reporting'!Q553</x:f>
        <x:v>1</x:v>
      </x:c>
      <x:c r="N553" s="2" t="str">
        <x:f>'Data &amp; Reporting'!L553</x:f>
        <x:v>Not started</x:v>
      </x:c>
      <x:c r="O553" s="2" t="str">
        <x:f>'Data &amp; Reporting'!N553</x:f>
        <x:v>DR.RS.3.2.2026.CY3</x:v>
      </x:c>
      <x:c r="P553" s="2" t="n">
        <x:f>'Data &amp; Reporting'!O553</x:f>
        <x:v>0</x:v>
      </x:c>
      <x:c r="Q553" s="2" t="n">
        <x:f>SUBTOTAL(103,O553)</x:f>
        <x:v>1</x:v>
      </x:c>
      <x:c r="R553" s="2" t="n">
        <x:f>IF(AND(M553=1,OR(Dashboard!$B$7="All",Dashboard!$B$7='Cycles &amp; Guide'!$C$5),OR(Dashboard!$D$7="All",Dashboard!$D$7=B553),OR(Dashboard!$F$7="All",Dashboard!$F$7=C553),OR(Dashboard!$H$7="All",Dashboard!$H$7=D553),OR(Dashboard!$K$7="All",Dashboard!$K$7=E553)),1,0)</x:f>
        <x:v>1</x:v>
      </x:c>
      <x:c r="S553" s="2" t="n">
        <x:f>IF(R553=1,SUM($R$10:R553),0)</x:f>
        <x:v>271</x:v>
      </x:c>
      <x:c r="T553" s="2" t="str">
        <x:v>Data &amp; Reporting</x:v>
      </x:c>
      <x:c r="U553" s="2" t="n">
        <x:v>553</x:v>
      </x:c>
      <x:c r="V553" s="2" t="n">
        <x:f>IF(AND(M553=1,P553=0,ISNUMBER(J553),J553&lt;TODAY()),1,0)</x:f>
        <x:v>0</x:v>
      </x:c>
      <x:c r="W553" s="2" t="str">
        <x:f>'Data &amp; Reporting'!M553</x:f>
        <x:v>Task</x:v>
      </x:c>
    </x:row>
    <x:row r="554" ht="40" customHeight="1">
      <x:c r="A554" s="3" t="str">
        <x:f>HYPERLINK("#'Data &amp; Reporting'!A554","Open")</x:f>
        <x:v>Open</x:v>
      </x:c>
      <x:c r="B554" s="2" t="str">
        <x:f>'Data &amp; Reporting'!B554</x:f>
        <x:v>Cycle 3</x:v>
      </x:c>
      <x:c r="C554" s="2" t="str">
        <x:f>'Data &amp; Reporting'!C554</x:f>
        <x:v>Phase 3</x:v>
      </x:c>
      <x:c r="D554" s="2" t="str">
        <x:f>'Data &amp; Reporting'!D554</x:f>
        <x:v>Retail Services</x:v>
      </x:c>
      <x:c r="E554" s="2" t="str">
        <x:v>Data &amp; Reporting</x:v>
      </x:c>
      <x:c r="F554" s="56" t="str">
        <x:f>'Data &amp; Reporting'!E554</x:f>
        <x:v>DR.RS.3.3</x:v>
      </x:c>
      <x:c r="G554" s="14" t="str">
        <x:f>'Data &amp; Reporting'!F554</x:f>
        <x:v>Confirm data privileges have been granted, ensuring each pillar can access</x:v>
      </x:c>
      <x:c r="H554" s="2" t="str">
        <x:f>IF('Data &amp; Reporting'!G554="","",'Data &amp; Reporting'!G554)</x:f>
      </x:c>
      <x:c r="I554" s="12" t="str">
        <x:f>IF('Data &amp; Reporting'!H554="","",'Data &amp; Reporting'!H554)</x:f>
      </x:c>
      <x:c r="J554" s="12" t="n">
        <x:f>IF('Data &amp; Reporting'!I554="","",'Data &amp; Reporting'!I554)</x:f>
        <x:v>46295</x:v>
      </x:c>
      <x:c r="K554" s="12" t="str">
        <x:f>IF('Data &amp; Reporting'!J554="","",'Data &amp; Reporting'!J554)</x:f>
      </x:c>
      <x:c r="L554" s="2" t="str">
        <x:f>IF('Data &amp; Reporting'!K554="","",'Data &amp; Reporting'!K554)</x:f>
      </x:c>
      <x:c r="M554" s="2" t="n">
        <x:f>'Data &amp; Reporting'!Q554</x:f>
        <x:v>1</x:v>
      </x:c>
      <x:c r="N554" s="2" t="str">
        <x:f>'Data &amp; Reporting'!L554</x:f>
        <x:v>Not started</x:v>
      </x:c>
      <x:c r="O554" s="2" t="str">
        <x:f>'Data &amp; Reporting'!N554</x:f>
        <x:v>DR.RS.3.3.2026.CY3</x:v>
      </x:c>
      <x:c r="P554" s="2" t="n">
        <x:f>'Data &amp; Reporting'!O554</x:f>
        <x:v>0</x:v>
      </x:c>
      <x:c r="Q554" s="2" t="n">
        <x:f>SUBTOTAL(103,O554)</x:f>
        <x:v>1</x:v>
      </x:c>
      <x:c r="R554" s="2" t="n">
        <x:f>IF(AND(M554=1,OR(Dashboard!$B$7="All",Dashboard!$B$7='Cycles &amp; Guide'!$C$5),OR(Dashboard!$D$7="All",Dashboard!$D$7=B554),OR(Dashboard!$F$7="All",Dashboard!$F$7=C554),OR(Dashboard!$H$7="All",Dashboard!$H$7=D554),OR(Dashboard!$K$7="All",Dashboard!$K$7=E554)),1,0)</x:f>
        <x:v>1</x:v>
      </x:c>
      <x:c r="S554" s="2" t="n">
        <x:f>IF(R554=1,SUM($R$10:R554),0)</x:f>
        <x:v>272</x:v>
      </x:c>
      <x:c r="T554" s="2" t="str">
        <x:v>Data &amp; Reporting</x:v>
      </x:c>
      <x:c r="U554" s="2" t="n">
        <x:v>554</x:v>
      </x:c>
      <x:c r="V554" s="2" t="n">
        <x:f>IF(AND(M554=1,P554=0,ISNUMBER(J554),J554&lt;TODAY()),1,0)</x:f>
        <x:v>0</x:v>
      </x:c>
      <x:c r="W554" s="2" t="str">
        <x:f>'Data &amp; Reporting'!M554</x:f>
        <x:v>Task</x:v>
      </x:c>
    </x:row>
    <x:row r="555" ht="40" customHeight="1">
      <x:c r="A555" s="3" t="str">
        <x:f>HYPERLINK("#'Data &amp; Reporting'!A555","Open")</x:f>
        <x:v>Open</x:v>
      </x:c>
      <x:c r="B555" s="2" t="str">
        <x:f>'Data &amp; Reporting'!B555</x:f>
        <x:v>Cycle 3</x:v>
      </x:c>
      <x:c r="C555" s="2" t="str">
        <x:f>'Data &amp; Reporting'!C555</x:f>
        <x:v>Phase 3</x:v>
      </x:c>
      <x:c r="D555" s="2" t="str">
        <x:f>'Data &amp; Reporting'!D555</x:f>
        <x:v>Retail Services</x:v>
      </x:c>
      <x:c r="E555" s="2" t="str">
        <x:v>Data &amp; Reporting</x:v>
      </x:c>
      <x:c r="F555" s="56" t="str">
        <x:f>'Data &amp; Reporting'!E555</x:f>
        <x:v>DR.RS.3.4</x:v>
      </x:c>
      <x:c r="G555" s="14" t="str">
        <x:f>'Data &amp; Reporting'!F555</x:f>
        <x:v>Ensure Power Automate notifications were correctly triggered within Microsoft Teams</x:v>
      </x:c>
      <x:c r="H555" s="2" t="str">
        <x:f>IF('Data &amp; Reporting'!G555="","",'Data &amp; Reporting'!G555)</x:f>
      </x:c>
      <x:c r="I555" s="12" t="str">
        <x:f>IF('Data &amp; Reporting'!H555="","",'Data &amp; Reporting'!H555)</x:f>
      </x:c>
      <x:c r="J555" s="12" t="n">
        <x:f>IF('Data &amp; Reporting'!I555="","",'Data &amp; Reporting'!I555)</x:f>
        <x:v>46295</x:v>
      </x:c>
      <x:c r="K555" s="12" t="str">
        <x:f>IF('Data &amp; Reporting'!J555="","",'Data &amp; Reporting'!J555)</x:f>
      </x:c>
      <x:c r="L555" s="2" t="str">
        <x:f>IF('Data &amp; Reporting'!K555="","",'Data &amp; Reporting'!K555)</x:f>
      </x:c>
      <x:c r="M555" s="2" t="n">
        <x:f>'Data &amp; Reporting'!Q555</x:f>
        <x:v>1</x:v>
      </x:c>
      <x:c r="N555" s="2" t="str">
        <x:f>'Data &amp; Reporting'!L555</x:f>
        <x:v>Not started</x:v>
      </x:c>
      <x:c r="O555" s="2" t="str">
        <x:f>'Data &amp; Reporting'!N555</x:f>
        <x:v>DR.RS.3.4.2026.CY3</x:v>
      </x:c>
      <x:c r="P555" s="2" t="n">
        <x:f>'Data &amp; Reporting'!O555</x:f>
        <x:v>0</x:v>
      </x:c>
      <x:c r="Q555" s="2" t="n">
        <x:f>SUBTOTAL(103,O555)</x:f>
        <x:v>1</x:v>
      </x:c>
      <x:c r="R555" s="2" t="n">
        <x:f>IF(AND(M555=1,OR(Dashboard!$B$7="All",Dashboard!$B$7='Cycles &amp; Guide'!$C$5),OR(Dashboard!$D$7="All",Dashboard!$D$7=B555),OR(Dashboard!$F$7="All",Dashboard!$F$7=C555),OR(Dashboard!$H$7="All",Dashboard!$H$7=D555),OR(Dashboard!$K$7="All",Dashboard!$K$7=E555)),1,0)</x:f>
        <x:v>1</x:v>
      </x:c>
      <x:c r="S555" s="2" t="n">
        <x:f>IF(R555=1,SUM($R$10:R555),0)</x:f>
        <x:v>273</x:v>
      </x:c>
      <x:c r="T555" s="2" t="str">
        <x:v>Data &amp; Reporting</x:v>
      </x:c>
      <x:c r="U555" s="2" t="n">
        <x:v>555</x:v>
      </x:c>
      <x:c r="V555" s="2" t="n">
        <x:f>IF(AND(M555=1,P555=0,ISNUMBER(J555),J555&lt;TODAY()),1,0)</x:f>
        <x:v>0</x:v>
      </x:c>
      <x:c r="W555" s="2" t="str">
        <x:f>'Data &amp; Reporting'!M555</x:f>
        <x:v>Task</x:v>
      </x:c>
    </x:row>
    <x:row r="556" ht="40" customHeight="1">
      <x:c r="A556" s="3" t="str">
        <x:f>HYPERLINK("#'Data &amp; Reporting'!A556","Open")</x:f>
        <x:v>Open</x:v>
      </x:c>
      <x:c r="B556" s="2" t="str">
        <x:f>'Data &amp; Reporting'!B556</x:f>
        <x:v>Cycle 4</x:v>
      </x:c>
      <x:c r="C556" s="2" t="str">
        <x:f>'Data &amp; Reporting'!C556</x:f>
        <x:v>Phase 1</x:v>
      </x:c>
      <x:c r="D556" s="2" t="str">
        <x:f>'Data &amp; Reporting'!D556</x:f>
        <x:v>Auto</x:v>
      </x:c>
      <x:c r="E556" s="2" t="str">
        <x:v>Data &amp; Reporting</x:v>
      </x:c>
      <x:c r="F556" s="56" t="str">
        <x:f>'Data &amp; Reporting'!E556</x:f>
        <x:v>DR.AU.1.1</x:v>
      </x:c>
      <x:c r="G556" s="14" t="str">
        <x:f>'Data &amp; Reporting'!F556</x:f>
        <x:v>Review data sources 3 weeks prior to Cycle start (Complaints, Gen AI, Loudspeaker, NPS, etc.)</x:v>
      </x:c>
      <x:c r="H556" s="2" t="str">
        <x:f>IF('Data &amp; Reporting'!G556="","",'Data &amp; Reporting'!G556)</x:f>
      </x:c>
      <x:c r="I556" s="12" t="str">
        <x:f>IF('Data &amp; Reporting'!H556="","",'Data &amp; Reporting'!H556)</x:f>
      </x:c>
      <x:c r="J556" s="12" t="n">
        <x:f>IF('Data &amp; Reporting'!I556="","",'Data &amp; Reporting'!I556)</x:f>
        <x:v>46275</x:v>
      </x:c>
      <x:c r="K556" s="12" t="str">
        <x:f>IF('Data &amp; Reporting'!J556="","",'Data &amp; Reporting'!J556)</x:f>
      </x:c>
      <x:c r="L556" s="2" t="str">
        <x:f>IF('Data &amp; Reporting'!K556="","",'Data &amp; Reporting'!K556)</x:f>
      </x:c>
      <x:c r="M556" s="2" t="n">
        <x:f>'Data &amp; Reporting'!Q556</x:f>
        <x:v>1</x:v>
      </x:c>
      <x:c r="N556" s="2" t="str">
        <x:f>'Data &amp; Reporting'!L556</x:f>
        <x:v>Not started</x:v>
      </x:c>
      <x:c r="O556" s="2" t="str">
        <x:f>'Data &amp; Reporting'!N556</x:f>
        <x:v>DR.AU.1.1.2026.CY4</x:v>
      </x:c>
      <x:c r="P556" s="2" t="n">
        <x:f>'Data &amp; Reporting'!O556</x:f>
        <x:v>0</x:v>
      </x:c>
      <x:c r="Q556" s="2" t="n">
        <x:f>SUBTOTAL(103,O556)</x:f>
        <x:v>1</x:v>
      </x:c>
      <x:c r="R556" s="2" t="n">
        <x:f>IF(AND(M556=1,OR(Dashboard!$B$7="All",Dashboard!$B$7='Cycles &amp; Guide'!$C$5),OR(Dashboard!$D$7="All",Dashboard!$D$7=B556),OR(Dashboard!$F$7="All",Dashboard!$F$7=C556),OR(Dashboard!$H$7="All",Dashboard!$H$7=D556),OR(Dashboard!$K$7="All",Dashboard!$K$7=E556)),1,0)</x:f>
        <x:v>1</x:v>
      </x:c>
      <x:c r="S556" s="2" t="n">
        <x:f>IF(R556=1,SUM($R$10:R556),0)</x:f>
        <x:v>274</x:v>
      </x:c>
      <x:c r="T556" s="2" t="str">
        <x:v>Data &amp; Reporting</x:v>
      </x:c>
      <x:c r="U556" s="2" t="n">
        <x:v>556</x:v>
      </x:c>
      <x:c r="V556" s="2" t="n">
        <x:f>IF(AND(M556=1,P556=0,ISNUMBER(J556),J556&lt;TODAY()),1,0)</x:f>
        <x:v>1</x:v>
      </x:c>
      <x:c r="W556" s="2" t="str">
        <x:f>'Data &amp; Reporting'!M556</x:f>
        <x:v>Task</x:v>
      </x:c>
    </x:row>
    <x:row r="557" ht="40" customHeight="1">
      <x:c r="A557" s="3" t="str">
        <x:f>HYPERLINK("#'Data &amp; Reporting'!A557","Open")</x:f>
        <x:v>Open</x:v>
      </x:c>
      <x:c r="B557" s="2" t="str">
        <x:f>'Data &amp; Reporting'!B557</x:f>
        <x:v>Cycle 4</x:v>
      </x:c>
      <x:c r="C557" s="2" t="str">
        <x:f>'Data &amp; Reporting'!C557</x:f>
        <x:v>Phase 1</x:v>
      </x:c>
      <x:c r="D557" s="2" t="str">
        <x:f>'Data &amp; Reporting'!D557</x:f>
        <x:v>Auto</x:v>
      </x:c>
      <x:c r="E557" s="2" t="str">
        <x:v>Data &amp; Reporting</x:v>
      </x:c>
      <x:c r="F557" s="56" t="str">
        <x:f>'Data &amp; Reporting'!E557</x:f>
        <x:v>DR.AU.1.2</x:v>
      </x:c>
      <x:c r="G557" s="14" t="str">
        <x:f>'Data &amp; Reporting'!F557</x:f>
        <x:v>Identify two potential topics for the upcoming Cycle</x:v>
      </x:c>
      <x:c r="H557" s="2" t="str">
        <x:f>IF('Data &amp; Reporting'!G557="","",'Data &amp; Reporting'!G557)</x:f>
      </x:c>
      <x:c r="I557" s="12" t="str">
        <x:f>IF('Data &amp; Reporting'!H557="","",'Data &amp; Reporting'!H557)</x:f>
      </x:c>
      <x:c r="J557" s="12" t="n">
        <x:f>IF('Data &amp; Reporting'!I557="","",'Data &amp; Reporting'!I557)</x:f>
        <x:v>46387</x:v>
      </x:c>
      <x:c r="K557" s="12" t="str">
        <x:f>IF('Data &amp; Reporting'!J557="","",'Data &amp; Reporting'!J557)</x:f>
      </x:c>
      <x:c r="L557" s="2" t="str">
        <x:f>IF('Data &amp; Reporting'!K557="","",'Data &amp; Reporting'!K557)</x:f>
      </x:c>
      <x:c r="M557" s="2" t="n">
        <x:f>'Data &amp; Reporting'!Q557</x:f>
        <x:v>1</x:v>
      </x:c>
      <x:c r="N557" s="2" t="str">
        <x:f>'Data &amp; Reporting'!L557</x:f>
        <x:v>Not started</x:v>
      </x:c>
      <x:c r="O557" s="2" t="str">
        <x:f>'Data &amp; Reporting'!N557</x:f>
        <x:v>DR.AU.1.2.2026.CY4</x:v>
      </x:c>
      <x:c r="P557" s="2" t="n">
        <x:f>'Data &amp; Reporting'!O557</x:f>
        <x:v>0</x:v>
      </x:c>
      <x:c r="Q557" s="2" t="n">
        <x:f>SUBTOTAL(103,O557)</x:f>
        <x:v>1</x:v>
      </x:c>
      <x:c r="R557" s="2" t="n">
        <x:f>IF(AND(M557=1,OR(Dashboard!$B$7="All",Dashboard!$B$7='Cycles &amp; Guide'!$C$5),OR(Dashboard!$D$7="All",Dashboard!$D$7=B557),OR(Dashboard!$F$7="All",Dashboard!$F$7=C557),OR(Dashboard!$H$7="All",Dashboard!$H$7=D557),OR(Dashboard!$K$7="All",Dashboard!$K$7=E557)),1,0)</x:f>
        <x:v>1</x:v>
      </x:c>
      <x:c r="S557" s="2" t="n">
        <x:f>IF(R557=1,SUM($R$10:R557),0)</x:f>
        <x:v>275</x:v>
      </x:c>
      <x:c r="T557" s="2" t="str">
        <x:v>Data &amp; Reporting</x:v>
      </x:c>
      <x:c r="U557" s="2" t="n">
        <x:v>557</x:v>
      </x:c>
      <x:c r="V557" s="2" t="n">
        <x:f>IF(AND(M557=1,P557=0,ISNUMBER(J557),J557&lt;TODAY()),1,0)</x:f>
        <x:v>0</x:v>
      </x:c>
      <x:c r="W557" s="2" t="str">
        <x:f>'Data &amp; Reporting'!M557</x:f>
        <x:v>Task</x:v>
      </x:c>
    </x:row>
    <x:row r="558" ht="40" customHeight="1">
      <x:c r="A558" s="3" t="str">
        <x:f>HYPERLINK("#'Data &amp; Reporting'!A558","Open")</x:f>
        <x:v>Open</x:v>
      </x:c>
      <x:c r="B558" s="2" t="str">
        <x:f>'Data &amp; Reporting'!B558</x:f>
        <x:v>Cycle 4</x:v>
      </x:c>
      <x:c r="C558" s="2" t="str">
        <x:f>'Data &amp; Reporting'!C558</x:f>
        <x:v>Phase 1</x:v>
      </x:c>
      <x:c r="D558" s="2" t="str">
        <x:f>'Data &amp; Reporting'!D558</x:f>
        <x:v>Auto</x:v>
      </x:c>
      <x:c r="E558" s="2" t="str">
        <x:v>Data &amp; Reporting</x:v>
      </x:c>
      <x:c r="F558" s="56" t="str">
        <x:f>'Data &amp; Reporting'!E558</x:f>
        <x:v>DR.AU.1.3</x:v>
      </x:c>
      <x:c r="G558" s="14" t="str">
        <x:f>'Data &amp; Reporting'!F558</x:f>
        <x:v>Extract data for both potential topics, ensuring all checklist items below are included/completed</x:v>
      </x:c>
      <x:c r="H558" s="2" t="str">
        <x:f>IF('Data &amp; Reporting'!G558="","",'Data &amp; Reporting'!G558)</x:f>
      </x:c>
      <x:c r="I558" s="12" t="str">
        <x:f>IF('Data &amp; Reporting'!H558="","",'Data &amp; Reporting'!H558)</x:f>
      </x:c>
      <x:c r="J558" s="12" t="n">
        <x:f>IF('Data &amp; Reporting'!I558="","",'Data &amp; Reporting'!I558)</x:f>
        <x:v>46387</x:v>
      </x:c>
      <x:c r="K558" s="12" t="str">
        <x:f>IF('Data &amp; Reporting'!J558="","",'Data &amp; Reporting'!J558)</x:f>
      </x:c>
      <x:c r="L558" s="2" t="str">
        <x:f>IF('Data &amp; Reporting'!K558="","",'Data &amp; Reporting'!K558)</x:f>
      </x:c>
      <x:c r="M558" s="2" t="n">
        <x:f>'Data &amp; Reporting'!Q558</x:f>
        <x:v>1</x:v>
      </x:c>
      <x:c r="N558" s="2" t="str">
        <x:f>'Data &amp; Reporting'!L558</x:f>
        <x:v>Not started</x:v>
      </x:c>
      <x:c r="O558" s="2" t="str">
        <x:f>'Data &amp; Reporting'!N558</x:f>
        <x:v>DR.AU.1.3.2026.CY4</x:v>
      </x:c>
      <x:c r="P558" s="2" t="n">
        <x:f>'Data &amp; Reporting'!O558</x:f>
        <x:v>0</x:v>
      </x:c>
      <x:c r="Q558" s="2" t="n">
        <x:f>SUBTOTAL(103,O558)</x:f>
        <x:v>1</x:v>
      </x:c>
      <x:c r="R558" s="2" t="n">
        <x:f>IF(AND(M558=1,OR(Dashboard!$B$7="All",Dashboard!$B$7='Cycles &amp; Guide'!$C$5),OR(Dashboard!$D$7="All",Dashboard!$D$7=B558),OR(Dashboard!$F$7="All",Dashboard!$F$7=C558),OR(Dashboard!$H$7="All",Dashboard!$H$7=D558),OR(Dashboard!$K$7="All",Dashboard!$K$7=E558)),1,0)</x:f>
        <x:v>1</x:v>
      </x:c>
      <x:c r="S558" s="2" t="n">
        <x:f>IF(R558=1,SUM($R$10:R558),0)</x:f>
        <x:v>276</x:v>
      </x:c>
      <x:c r="T558" s="2" t="str">
        <x:v>Data &amp; Reporting</x:v>
      </x:c>
      <x:c r="U558" s="2" t="n">
        <x:v>558</x:v>
      </x:c>
      <x:c r="V558" s="2" t="n">
        <x:f>IF(AND(M558=1,P558=0,ISNUMBER(J558),J558&lt;TODAY()),1,0)</x:f>
        <x:v>0</x:v>
      </x:c>
      <x:c r="W558" s="2" t="str">
        <x:f>'Data &amp; Reporting'!M558</x:f>
        <x:v>Task</x:v>
      </x:c>
    </x:row>
    <x:row r="559" ht="40" customHeight="1">
      <x:c r="A559" s="3" t="str">
        <x:f>HYPERLINK("#'Data &amp; Reporting'!A559","Open")</x:f>
        <x:v>Open</x:v>
      </x:c>
      <x:c r="B559" s="2" t="str">
        <x:f>'Data &amp; Reporting'!B559</x:f>
        <x:v>Cycle 4</x:v>
      </x:c>
      <x:c r="C559" s="2" t="str">
        <x:f>'Data &amp; Reporting'!C559</x:f>
        <x:v>Phase 1</x:v>
      </x:c>
      <x:c r="D559" s="2" t="str">
        <x:f>'Data &amp; Reporting'!D559</x:f>
        <x:v>Auto</x:v>
      </x:c>
      <x:c r="E559" s="2" t="str">
        <x:v>Data &amp; Reporting</x:v>
      </x:c>
      <x:c r="F559" s="56" t="str">
        <x:f>'Data &amp; Reporting'!E559</x:f>
        <x:v>DR.AU.1.3.C01</x:v>
      </x:c>
      <x:c r="G559" s="14" t="str">
        <x:f>'Data &amp; Reporting'!F559</x:f>
        <x:v>    Document date range extracted</x:v>
      </x:c>
      <x:c r="H559" s="2" t="str">
        <x:f>IF('Data &amp; Reporting'!G559="","",'Data &amp; Reporting'!G559)</x:f>
      </x:c>
      <x:c r="I559" s="12" t="str">
        <x:f>IF('Data &amp; Reporting'!H559="","",'Data &amp; Reporting'!H559)</x:f>
      </x:c>
      <x:c r="J559" s="12" t="str">
        <x:f>IF('Data &amp; Reporting'!I559="","",'Data &amp; Reporting'!I559)</x:f>
      </x:c>
      <x:c r="K559" s="12" t="str">
        <x:f>IF('Data &amp; Reporting'!J559="","",'Data &amp; Reporting'!J559)</x:f>
      </x:c>
      <x:c r="L559" s="2" t="str">
        <x:f>IF('Data &amp; Reporting'!K559="","",'Data &amp; Reporting'!K559)</x:f>
      </x:c>
      <x:c r="M559" s="2" t="n">
        <x:f>'Data &amp; Reporting'!Q559</x:f>
        <x:v>0</x:v>
      </x:c>
      <x:c r="N559" s="2" t="str">
        <x:f>'Data &amp; Reporting'!L559</x:f>
        <x:v>Open check</x:v>
      </x:c>
      <x:c r="O559" s="2" t="str">
        <x:f>'Data &amp; Reporting'!N559</x:f>
        <x:v>DR.AU.1.3.C01.2026.CY4</x:v>
      </x:c>
      <x:c r="P559" s="2" t="n">
        <x:f>'Data &amp; Reporting'!O559</x:f>
        <x:v>0</x:v>
      </x:c>
      <x:c r="Q559" s="2" t="n">
        <x:f>SUBTOTAL(103,O559)</x:f>
        <x:v>1</x:v>
      </x:c>
      <x:c r="R559" s="2" t="n">
        <x:f>IF(AND(M559=1,OR(Dashboard!$B$7="All",Dashboard!$B$7='Cycles &amp; Guide'!$C$5),OR(Dashboard!$D$7="All",Dashboard!$D$7=B559),OR(Dashboard!$F$7="All",Dashboard!$F$7=C559),OR(Dashboard!$H$7="All",Dashboard!$H$7=D559),OR(Dashboard!$K$7="All",Dashboard!$K$7=E559)),1,0)</x:f>
        <x:v>0</x:v>
      </x:c>
      <x:c r="S559" s="2" t="n">
        <x:f>IF(R559=1,SUM($R$10:R559),0)</x:f>
        <x:v>0</x:v>
      </x:c>
      <x:c r="T559" s="2" t="str">
        <x:v>Data &amp; Reporting</x:v>
      </x:c>
      <x:c r="U559" s="2" t="n">
        <x:v>559</x:v>
      </x:c>
      <x:c r="V559" s="2" t="n">
        <x:f>IF(AND(M559=1,P559=0,ISNUMBER(J559),J559&lt;TODAY()),1,0)</x:f>
        <x:v>0</x:v>
      </x:c>
      <x:c r="W559" s="2" t="str">
        <x:f>'Data &amp; Reporting'!M559</x:f>
        <x:v>Checklist</x:v>
      </x:c>
    </x:row>
    <x:row r="560" ht="40" customHeight="1">
      <x:c r="A560" s="3" t="str">
        <x:f>HYPERLINK("#'Data &amp; Reporting'!A560","Open")</x:f>
        <x:v>Open</x:v>
      </x:c>
      <x:c r="B560" s="2" t="str">
        <x:f>'Data &amp; Reporting'!B560</x:f>
        <x:v>Cycle 4</x:v>
      </x:c>
      <x:c r="C560" s="2" t="str">
        <x:f>'Data &amp; Reporting'!C560</x:f>
        <x:v>Phase 1</x:v>
      </x:c>
      <x:c r="D560" s="2" t="str">
        <x:f>'Data &amp; Reporting'!D560</x:f>
        <x:v>Auto</x:v>
      </x:c>
      <x:c r="E560" s="2" t="str">
        <x:v>Data &amp; Reporting</x:v>
      </x:c>
      <x:c r="F560" s="56" t="str">
        <x:f>'Data &amp; Reporting'!E560</x:f>
        <x:v>DR.AU.1.3.C02</x:v>
      </x:c>
      <x:c r="G560" s="14" t="str">
        <x:f>'Data &amp; Reporting'!F560</x:f>
        <x:v>    Document date of data pull</x:v>
      </x:c>
      <x:c r="H560" s="2" t="str">
        <x:f>IF('Data &amp; Reporting'!G560="","",'Data &amp; Reporting'!G560)</x:f>
      </x:c>
      <x:c r="I560" s="12" t="str">
        <x:f>IF('Data &amp; Reporting'!H560="","",'Data &amp; Reporting'!H560)</x:f>
      </x:c>
      <x:c r="J560" s="12" t="str">
        <x:f>IF('Data &amp; Reporting'!I560="","",'Data &amp; Reporting'!I560)</x:f>
      </x:c>
      <x:c r="K560" s="12" t="str">
        <x:f>IF('Data &amp; Reporting'!J560="","",'Data &amp; Reporting'!J560)</x:f>
      </x:c>
      <x:c r="L560" s="2" t="str">
        <x:f>IF('Data &amp; Reporting'!K560="","",'Data &amp; Reporting'!K560)</x:f>
      </x:c>
      <x:c r="M560" s="2" t="n">
        <x:f>'Data &amp; Reporting'!Q560</x:f>
        <x:v>0</x:v>
      </x:c>
      <x:c r="N560" s="2" t="str">
        <x:f>'Data &amp; Reporting'!L560</x:f>
        <x:v>Open check</x:v>
      </x:c>
      <x:c r="O560" s="2" t="str">
        <x:f>'Data &amp; Reporting'!N560</x:f>
        <x:v>DR.AU.1.3.C02.2026.CY4</x:v>
      </x:c>
      <x:c r="P560" s="2" t="n">
        <x:f>'Data &amp; Reporting'!O560</x:f>
        <x:v>0</x:v>
      </x:c>
      <x:c r="Q560" s="2" t="n">
        <x:f>SUBTOTAL(103,O560)</x:f>
        <x:v>1</x:v>
      </x:c>
      <x:c r="R560" s="2" t="n">
        <x:f>IF(AND(M560=1,OR(Dashboard!$B$7="All",Dashboard!$B$7='Cycles &amp; Guide'!$C$5),OR(Dashboard!$D$7="All",Dashboard!$D$7=B560),OR(Dashboard!$F$7="All",Dashboard!$F$7=C560),OR(Dashboard!$H$7="All",Dashboard!$H$7=D560),OR(Dashboard!$K$7="All",Dashboard!$K$7=E560)),1,0)</x:f>
        <x:v>0</x:v>
      </x:c>
      <x:c r="S560" s="2" t="n">
        <x:f>IF(R560=1,SUM($R$10:R560),0)</x:f>
        <x:v>0</x:v>
      </x:c>
      <x:c r="T560" s="2" t="str">
        <x:v>Data &amp; Reporting</x:v>
      </x:c>
      <x:c r="U560" s="2" t="n">
        <x:v>560</x:v>
      </x:c>
      <x:c r="V560" s="2" t="n">
        <x:f>IF(AND(M560=1,P560=0,ISNUMBER(J560),J560&lt;TODAY()),1,0)</x:f>
        <x:v>0</x:v>
      </x:c>
      <x:c r="W560" s="2" t="str">
        <x:f>'Data &amp; Reporting'!M560</x:f>
        <x:v>Checklist</x:v>
      </x:c>
    </x:row>
    <x:row r="561" ht="40" customHeight="1">
      <x:c r="A561" s="3" t="str">
        <x:f>HYPERLINK("#'Data &amp; Reporting'!A561","Open")</x:f>
        <x:v>Open</x:v>
      </x:c>
      <x:c r="B561" s="2" t="str">
        <x:f>'Data &amp; Reporting'!B561</x:f>
        <x:v>Cycle 4</x:v>
      </x:c>
      <x:c r="C561" s="2" t="str">
        <x:f>'Data &amp; Reporting'!C561</x:f>
        <x:v>Phase 1</x:v>
      </x:c>
      <x:c r="D561" s="2" t="str">
        <x:f>'Data &amp; Reporting'!D561</x:f>
        <x:v>Auto</x:v>
      </x:c>
      <x:c r="E561" s="2" t="str">
        <x:v>Data &amp; Reporting</x:v>
      </x:c>
      <x:c r="F561" s="56" t="str">
        <x:f>'Data &amp; Reporting'!E561</x:f>
        <x:v>DR.AU.1.3.C03</x:v>
      </x:c>
      <x:c r="G561" s="14" t="str">
        <x:f>'Data &amp; Reporting'!F561</x:f>
        <x:v>    Document population details</x:v>
      </x:c>
      <x:c r="H561" s="2" t="str">
        <x:f>IF('Data &amp; Reporting'!G561="","",'Data &amp; Reporting'!G561)</x:f>
      </x:c>
      <x:c r="I561" s="12" t="str">
        <x:f>IF('Data &amp; Reporting'!H561="","",'Data &amp; Reporting'!H561)</x:f>
      </x:c>
      <x:c r="J561" s="12" t="str">
        <x:f>IF('Data &amp; Reporting'!I561="","",'Data &amp; Reporting'!I561)</x:f>
      </x:c>
      <x:c r="K561" s="12" t="str">
        <x:f>IF('Data &amp; Reporting'!J561="","",'Data &amp; Reporting'!J561)</x:f>
      </x:c>
      <x:c r="L561" s="2" t="str">
        <x:f>IF('Data &amp; Reporting'!K561="","",'Data &amp; Reporting'!K561)</x:f>
      </x:c>
      <x:c r="M561" s="2" t="n">
        <x:f>'Data &amp; Reporting'!Q561</x:f>
        <x:v>0</x:v>
      </x:c>
      <x:c r="N561" s="2" t="str">
        <x:f>'Data &amp; Reporting'!L561</x:f>
        <x:v>Open check</x:v>
      </x:c>
      <x:c r="O561" s="2" t="str">
        <x:f>'Data &amp; Reporting'!N561</x:f>
        <x:v>DR.AU.1.3.C03.2026.CY4</x:v>
      </x:c>
      <x:c r="P561" s="2" t="n">
        <x:f>'Data &amp; Reporting'!O561</x:f>
        <x:v>0</x:v>
      </x:c>
      <x:c r="Q561" s="2" t="n">
        <x:f>SUBTOTAL(103,O561)</x:f>
        <x:v>1</x:v>
      </x:c>
      <x:c r="R561" s="2" t="n">
        <x:f>IF(AND(M561=1,OR(Dashboard!$B$7="All",Dashboard!$B$7='Cycles &amp; Guide'!$C$5),OR(Dashboard!$D$7="All",Dashboard!$D$7=B561),OR(Dashboard!$F$7="All",Dashboard!$F$7=C561),OR(Dashboard!$H$7="All",Dashboard!$H$7=D561),OR(Dashboard!$K$7="All",Dashboard!$K$7=E561)),1,0)</x:f>
        <x:v>0</x:v>
      </x:c>
      <x:c r="S561" s="2" t="n">
        <x:f>IF(R561=1,SUM($R$10:R561),0)</x:f>
        <x:v>0</x:v>
      </x:c>
      <x:c r="T561" s="2" t="str">
        <x:v>Data &amp; Reporting</x:v>
      </x:c>
      <x:c r="U561" s="2" t="n">
        <x:v>561</x:v>
      </x:c>
      <x:c r="V561" s="2" t="n">
        <x:f>IF(AND(M561=1,P561=0,ISNUMBER(J561),J561&lt;TODAY()),1,0)</x:f>
        <x:v>0</x:v>
      </x:c>
      <x:c r="W561" s="2" t="str">
        <x:f>'Data &amp; Reporting'!M561</x:f>
        <x:v>Checklist</x:v>
      </x:c>
    </x:row>
    <x:row r="562" ht="40" customHeight="1">
      <x:c r="A562" s="3" t="str">
        <x:f>HYPERLINK("#'Data &amp; Reporting'!A562","Open")</x:f>
        <x:v>Open</x:v>
      </x:c>
      <x:c r="B562" s="2" t="str">
        <x:f>'Data &amp; Reporting'!B562</x:f>
        <x:v>Cycle 4</x:v>
      </x:c>
      <x:c r="C562" s="2" t="str">
        <x:f>'Data &amp; Reporting'!C562</x:f>
        <x:v>Phase 1</x:v>
      </x:c>
      <x:c r="D562" s="2" t="str">
        <x:f>'Data &amp; Reporting'!D562</x:f>
        <x:v>Auto</x:v>
      </x:c>
      <x:c r="E562" s="2" t="str">
        <x:v>Data &amp; Reporting</x:v>
      </x:c>
      <x:c r="F562" s="56" t="str">
        <x:f>'Data &amp; Reporting'!E562</x:f>
        <x:v>DR.AU.1.3.C04</x:v>
      </x:c>
      <x:c r="G562" s="14" t="str">
        <x:f>'Data &amp; Reporting'!F562</x:f>
        <x:v>    Validate no data is missing</x:v>
      </x:c>
      <x:c r="H562" s="2" t="str">
        <x:f>IF('Data &amp; Reporting'!G562="","",'Data &amp; Reporting'!G562)</x:f>
      </x:c>
      <x:c r="I562" s="12" t="str">
        <x:f>IF('Data &amp; Reporting'!H562="","",'Data &amp; Reporting'!H562)</x:f>
      </x:c>
      <x:c r="J562" s="12" t="str">
        <x:f>IF('Data &amp; Reporting'!I562="","",'Data &amp; Reporting'!I562)</x:f>
      </x:c>
      <x:c r="K562" s="12" t="str">
        <x:f>IF('Data &amp; Reporting'!J562="","",'Data &amp; Reporting'!J562)</x:f>
      </x:c>
      <x:c r="L562" s="2" t="str">
        <x:f>IF('Data &amp; Reporting'!K562="","",'Data &amp; Reporting'!K562)</x:f>
      </x:c>
      <x:c r="M562" s="2" t="n">
        <x:f>'Data &amp; Reporting'!Q562</x:f>
        <x:v>0</x:v>
      </x:c>
      <x:c r="N562" s="2" t="str">
        <x:f>'Data &amp; Reporting'!L562</x:f>
        <x:v>Open check</x:v>
      </x:c>
      <x:c r="O562" s="2" t="str">
        <x:f>'Data &amp; Reporting'!N562</x:f>
        <x:v>DR.AU.1.3.C04.2026.CY4</x:v>
      </x:c>
      <x:c r="P562" s="2" t="n">
        <x:f>'Data &amp; Reporting'!O562</x:f>
        <x:v>0</x:v>
      </x:c>
      <x:c r="Q562" s="2" t="n">
        <x:f>SUBTOTAL(103,O562)</x:f>
        <x:v>1</x:v>
      </x:c>
      <x:c r="R562" s="2" t="n">
        <x:f>IF(AND(M562=1,OR(Dashboard!$B$7="All",Dashboard!$B$7='Cycles &amp; Guide'!$C$5),OR(Dashboard!$D$7="All",Dashboard!$D$7=B562),OR(Dashboard!$F$7="All",Dashboard!$F$7=C562),OR(Dashboard!$H$7="All",Dashboard!$H$7=D562),OR(Dashboard!$K$7="All",Dashboard!$K$7=E562)),1,0)</x:f>
        <x:v>0</x:v>
      </x:c>
      <x:c r="S562" s="2" t="n">
        <x:f>IF(R562=1,SUM($R$10:R562),0)</x:f>
        <x:v>0</x:v>
      </x:c>
      <x:c r="T562" s="2" t="str">
        <x:v>Data &amp; Reporting</x:v>
      </x:c>
      <x:c r="U562" s="2" t="n">
        <x:v>562</x:v>
      </x:c>
      <x:c r="V562" s="2" t="n">
        <x:f>IF(AND(M562=1,P562=0,ISNUMBER(J562),J562&lt;TODAY()),1,0)</x:f>
        <x:v>0</x:v>
      </x:c>
      <x:c r="W562" s="2" t="str">
        <x:f>'Data &amp; Reporting'!M562</x:f>
        <x:v>Checklist</x:v>
      </x:c>
    </x:row>
    <x:row r="563" ht="40" customHeight="1">
      <x:c r="A563" s="3" t="str">
        <x:f>HYPERLINK("#'Data &amp; Reporting'!A563","Open")</x:f>
        <x:v>Open</x:v>
      </x:c>
      <x:c r="B563" s="2" t="str">
        <x:f>'Data &amp; Reporting'!B563</x:f>
        <x:v>Cycle 4</x:v>
      </x:c>
      <x:c r="C563" s="2" t="str">
        <x:f>'Data &amp; Reporting'!C563</x:f>
        <x:v>Phase 1</x:v>
      </x:c>
      <x:c r="D563" s="2" t="str">
        <x:f>'Data &amp; Reporting'!D563</x:f>
        <x:v>Auto</x:v>
      </x:c>
      <x:c r="E563" s="2" t="str">
        <x:v>Data &amp; Reporting</x:v>
      </x:c>
      <x:c r="F563" s="56" t="str">
        <x:f>'Data &amp; Reporting'!E563</x:f>
        <x:v>DR.AU.1.3.C05</x:v>
      </x:c>
      <x:c r="G563" s="14" t="str">
        <x:f>'Data &amp; Reporting'!F563</x:f>
        <x:v>    Validate accuracy of data</x:v>
      </x:c>
      <x:c r="H563" s="2" t="str">
        <x:f>IF('Data &amp; Reporting'!G563="","",'Data &amp; Reporting'!G563)</x:f>
      </x:c>
      <x:c r="I563" s="12" t="str">
        <x:f>IF('Data &amp; Reporting'!H563="","",'Data &amp; Reporting'!H563)</x:f>
      </x:c>
      <x:c r="J563" s="12" t="str">
        <x:f>IF('Data &amp; Reporting'!I563="","",'Data &amp; Reporting'!I563)</x:f>
      </x:c>
      <x:c r="K563" s="12" t="str">
        <x:f>IF('Data &amp; Reporting'!J563="","",'Data &amp; Reporting'!J563)</x:f>
      </x:c>
      <x:c r="L563" s="2" t="str">
        <x:f>IF('Data &amp; Reporting'!K563="","",'Data &amp; Reporting'!K563)</x:f>
      </x:c>
      <x:c r="M563" s="2" t="n">
        <x:f>'Data &amp; Reporting'!Q563</x:f>
        <x:v>0</x:v>
      </x:c>
      <x:c r="N563" s="2" t="str">
        <x:f>'Data &amp; Reporting'!L563</x:f>
        <x:v>Open check</x:v>
      </x:c>
      <x:c r="O563" s="2" t="str">
        <x:f>'Data &amp; Reporting'!N563</x:f>
        <x:v>DR.AU.1.3.C05.2026.CY4</x:v>
      </x:c>
      <x:c r="P563" s="2" t="n">
        <x:f>'Data &amp; Reporting'!O563</x:f>
        <x:v>0</x:v>
      </x:c>
      <x:c r="Q563" s="2" t="n">
        <x:f>SUBTOTAL(103,O563)</x:f>
        <x:v>1</x:v>
      </x:c>
      <x:c r="R563" s="2" t="n">
        <x:f>IF(AND(M563=1,OR(Dashboard!$B$7="All",Dashboard!$B$7='Cycles &amp; Guide'!$C$5),OR(Dashboard!$D$7="All",Dashboard!$D$7=B563),OR(Dashboard!$F$7="All",Dashboard!$F$7=C563),OR(Dashboard!$H$7="All",Dashboard!$H$7=D563),OR(Dashboard!$K$7="All",Dashboard!$K$7=E563)),1,0)</x:f>
        <x:v>0</x:v>
      </x:c>
      <x:c r="S563" s="2" t="n">
        <x:f>IF(R563=1,SUM($R$10:R563),0)</x:f>
        <x:v>0</x:v>
      </x:c>
      <x:c r="T563" s="2" t="str">
        <x:v>Data &amp; Reporting</x:v>
      </x:c>
      <x:c r="U563" s="2" t="n">
        <x:v>563</x:v>
      </x:c>
      <x:c r="V563" s="2" t="n">
        <x:f>IF(AND(M563=1,P563=0,ISNUMBER(J563),J563&lt;TODAY()),1,0)</x:f>
        <x:v>0</x:v>
      </x:c>
      <x:c r="W563" s="2" t="str">
        <x:f>'Data &amp; Reporting'!M563</x:f>
        <x:v>Checklist</x:v>
      </x:c>
    </x:row>
    <x:row r="564" ht="40" customHeight="1">
      <x:c r="A564" s="3" t="str">
        <x:f>HYPERLINK("#'Data &amp; Reporting'!A564","Open")</x:f>
        <x:v>Open</x:v>
      </x:c>
      <x:c r="B564" s="2" t="str">
        <x:f>'Data &amp; Reporting'!B564</x:f>
        <x:v>Cycle 4</x:v>
      </x:c>
      <x:c r="C564" s="2" t="str">
        <x:f>'Data &amp; Reporting'!C564</x:f>
        <x:v>Phase 1</x:v>
      </x:c>
      <x:c r="D564" s="2" t="str">
        <x:f>'Data &amp; Reporting'!D564</x:f>
        <x:v>Auto</x:v>
      </x:c>
      <x:c r="E564" s="2" t="str">
        <x:v>Data &amp; Reporting</x:v>
      </x:c>
      <x:c r="F564" s="56" t="str">
        <x:f>'Data &amp; Reporting'!E564</x:f>
        <x:v>DR.AU.1.3.C06</x:v>
      </x:c>
      <x:c r="G564" s="14" t="str">
        <x:f>'Data &amp; Reporting'!F564</x:f>
        <x:v>    Validate no duplicate data is provided</x:v>
      </x:c>
      <x:c r="H564" s="2" t="str">
        <x:f>IF('Data &amp; Reporting'!G564="","",'Data &amp; Reporting'!G564)</x:f>
      </x:c>
      <x:c r="I564" s="12" t="str">
        <x:f>IF('Data &amp; Reporting'!H564="","",'Data &amp; Reporting'!H564)</x:f>
      </x:c>
      <x:c r="J564" s="12" t="str">
        <x:f>IF('Data &amp; Reporting'!I564="","",'Data &amp; Reporting'!I564)</x:f>
      </x:c>
      <x:c r="K564" s="12" t="str">
        <x:f>IF('Data &amp; Reporting'!J564="","",'Data &amp; Reporting'!J564)</x:f>
      </x:c>
      <x:c r="L564" s="2" t="str">
        <x:f>IF('Data &amp; Reporting'!K564="","",'Data &amp; Reporting'!K564)</x:f>
      </x:c>
      <x:c r="M564" s="2" t="n">
        <x:f>'Data &amp; Reporting'!Q564</x:f>
        <x:v>0</x:v>
      </x:c>
      <x:c r="N564" s="2" t="str">
        <x:f>'Data &amp; Reporting'!L564</x:f>
        <x:v>Open check</x:v>
      </x:c>
      <x:c r="O564" s="2" t="str">
        <x:f>'Data &amp; Reporting'!N564</x:f>
        <x:v>DR.AU.1.3.C06.2026.CY4</x:v>
      </x:c>
      <x:c r="P564" s="2" t="n">
        <x:f>'Data &amp; Reporting'!O564</x:f>
        <x:v>0</x:v>
      </x:c>
      <x:c r="Q564" s="2" t="n">
        <x:f>SUBTOTAL(103,O564)</x:f>
        <x:v>1</x:v>
      </x:c>
      <x:c r="R564" s="2" t="n">
        <x:f>IF(AND(M564=1,OR(Dashboard!$B$7="All",Dashboard!$B$7='Cycles &amp; Guide'!$C$5),OR(Dashboard!$D$7="All",Dashboard!$D$7=B564),OR(Dashboard!$F$7="All",Dashboard!$F$7=C564),OR(Dashboard!$H$7="All",Dashboard!$H$7=D564),OR(Dashboard!$K$7="All",Dashboard!$K$7=E564)),1,0)</x:f>
        <x:v>0</x:v>
      </x:c>
      <x:c r="S564" s="2" t="n">
        <x:f>IF(R564=1,SUM($R$10:R564),0)</x:f>
        <x:v>0</x:v>
      </x:c>
      <x:c r="T564" s="2" t="str">
        <x:v>Data &amp; Reporting</x:v>
      </x:c>
      <x:c r="U564" s="2" t="n">
        <x:v>564</x:v>
      </x:c>
      <x:c r="V564" s="2" t="n">
        <x:f>IF(AND(M564=1,P564=0,ISNUMBER(J564),J564&lt;TODAY()),1,0)</x:f>
        <x:v>0</x:v>
      </x:c>
      <x:c r="W564" s="2" t="str">
        <x:f>'Data &amp; Reporting'!M564</x:f>
        <x:v>Checklist</x:v>
      </x:c>
    </x:row>
    <x:row r="565" ht="40" customHeight="1">
      <x:c r="A565" s="3" t="str">
        <x:f>HYPERLINK("#'Data &amp; Reporting'!A565","Open")</x:f>
        <x:v>Open</x:v>
      </x:c>
      <x:c r="B565" s="2" t="str">
        <x:f>'Data &amp; Reporting'!B565</x:f>
        <x:v>Cycle 4</x:v>
      </x:c>
      <x:c r="C565" s="2" t="str">
        <x:f>'Data &amp; Reporting'!C565</x:f>
        <x:v>Phase 1</x:v>
      </x:c>
      <x:c r="D565" s="2" t="str">
        <x:f>'Data &amp; Reporting'!D565</x:f>
        <x:v>Auto</x:v>
      </x:c>
      <x:c r="E565" s="2" t="str">
        <x:v>Data &amp; Reporting</x:v>
      </x:c>
      <x:c r="F565" s="56" t="str">
        <x:f>'Data &amp; Reporting'!E565</x:f>
        <x:v>DR.AU.1.3.C07</x:v>
      </x:c>
      <x:c r="G565" s="14" t="str">
        <x:f>'Data &amp; Reporting'!F565</x:f>
        <x:v>    Document any data exclusions along with justification (as needed)</x:v>
      </x:c>
      <x:c r="H565" s="2" t="str">
        <x:f>IF('Data &amp; Reporting'!G565="","",'Data &amp; Reporting'!G565)</x:f>
      </x:c>
      <x:c r="I565" s="12" t="str">
        <x:f>IF('Data &amp; Reporting'!H565="","",'Data &amp; Reporting'!H565)</x:f>
      </x:c>
      <x:c r="J565" s="12" t="str">
        <x:f>IF('Data &amp; Reporting'!I565="","",'Data &amp; Reporting'!I565)</x:f>
      </x:c>
      <x:c r="K565" s="12" t="str">
        <x:f>IF('Data &amp; Reporting'!J565="","",'Data &amp; Reporting'!J565)</x:f>
      </x:c>
      <x:c r="L565" s="2" t="str">
        <x:f>IF('Data &amp; Reporting'!K565="","",'Data &amp; Reporting'!K565)</x:f>
      </x:c>
      <x:c r="M565" s="2" t="n">
        <x:f>'Data &amp; Reporting'!Q565</x:f>
        <x:v>0</x:v>
      </x:c>
      <x:c r="N565" s="2" t="str">
        <x:f>'Data &amp; Reporting'!L565</x:f>
        <x:v>Open check</x:v>
      </x:c>
      <x:c r="O565" s="2" t="str">
        <x:f>'Data &amp; Reporting'!N565</x:f>
        <x:v>DR.AU.1.3.C07.2026.CY4</x:v>
      </x:c>
      <x:c r="P565" s="2" t="n">
        <x:f>'Data &amp; Reporting'!O565</x:f>
        <x:v>0</x:v>
      </x:c>
      <x:c r="Q565" s="2" t="n">
        <x:f>SUBTOTAL(103,O565)</x:f>
        <x:v>1</x:v>
      </x:c>
      <x:c r="R565" s="2" t="n">
        <x:f>IF(AND(M565=1,OR(Dashboard!$B$7="All",Dashboard!$B$7='Cycles &amp; Guide'!$C$5),OR(Dashboard!$D$7="All",Dashboard!$D$7=B565),OR(Dashboard!$F$7="All",Dashboard!$F$7=C565),OR(Dashboard!$H$7="All",Dashboard!$H$7=D565),OR(Dashboard!$K$7="All",Dashboard!$K$7=E565)),1,0)</x:f>
        <x:v>0</x:v>
      </x:c>
      <x:c r="S565" s="2" t="n">
        <x:f>IF(R565=1,SUM($R$10:R565),0)</x:f>
        <x:v>0</x:v>
      </x:c>
      <x:c r="T565" s="2" t="str">
        <x:v>Data &amp; Reporting</x:v>
      </x:c>
      <x:c r="U565" s="2" t="n">
        <x:v>565</x:v>
      </x:c>
      <x:c r="V565" s="2" t="n">
        <x:f>IF(AND(M565=1,P565=0,ISNUMBER(J565),J565&lt;TODAY()),1,0)</x:f>
        <x:v>0</x:v>
      </x:c>
      <x:c r="W565" s="2" t="str">
        <x:f>'Data &amp; Reporting'!M565</x:f>
        <x:v>Checklist</x:v>
      </x:c>
    </x:row>
    <x:row r="566" ht="40" customHeight="1">
      <x:c r="A566" s="3" t="str">
        <x:f>HYPERLINK("#'Data &amp; Reporting'!A566","Open")</x:f>
        <x:v>Open</x:v>
      </x:c>
      <x:c r="B566" s="2" t="str">
        <x:f>'Data &amp; Reporting'!B566</x:f>
        <x:v>Cycle 4</x:v>
      </x:c>
      <x:c r="C566" s="2" t="str">
        <x:f>'Data &amp; Reporting'!C566</x:f>
        <x:v>Phase 1</x:v>
      </x:c>
      <x:c r="D566" s="2" t="str">
        <x:f>'Data &amp; Reporting'!D566</x:f>
        <x:v>Auto</x:v>
      </x:c>
      <x:c r="E566" s="2" t="str">
        <x:v>Data &amp; Reporting</x:v>
      </x:c>
      <x:c r="F566" s="56" t="str">
        <x:f>'Data &amp; Reporting'!E566</x:f>
        <x:v>DR.AU.1.3.C08</x:v>
      </x:c>
      <x:c r="G566" s="14" t="str">
        <x:f>'Data &amp; Reporting'!F566</x:f>
        <x:v>    Document any assumptions made with the data (as needed)</x:v>
      </x:c>
      <x:c r="H566" s="2" t="str">
        <x:f>IF('Data &amp; Reporting'!G566="","",'Data &amp; Reporting'!G566)</x:f>
      </x:c>
      <x:c r="I566" s="12" t="str">
        <x:f>IF('Data &amp; Reporting'!H566="","",'Data &amp; Reporting'!H566)</x:f>
      </x:c>
      <x:c r="J566" s="12" t="str">
        <x:f>IF('Data &amp; Reporting'!I566="","",'Data &amp; Reporting'!I566)</x:f>
      </x:c>
      <x:c r="K566" s="12" t="str">
        <x:f>IF('Data &amp; Reporting'!J566="","",'Data &amp; Reporting'!J566)</x:f>
      </x:c>
      <x:c r="L566" s="2" t="str">
        <x:f>IF('Data &amp; Reporting'!K566="","",'Data &amp; Reporting'!K566)</x:f>
      </x:c>
      <x:c r="M566" s="2" t="n">
        <x:f>'Data &amp; Reporting'!Q566</x:f>
        <x:v>0</x:v>
      </x:c>
      <x:c r="N566" s="2" t="str">
        <x:f>'Data &amp; Reporting'!L566</x:f>
        <x:v>Open check</x:v>
      </x:c>
      <x:c r="O566" s="2" t="str">
        <x:f>'Data &amp; Reporting'!N566</x:f>
        <x:v>DR.AU.1.3.C08.2026.CY4</x:v>
      </x:c>
      <x:c r="P566" s="2" t="n">
        <x:f>'Data &amp; Reporting'!O566</x:f>
        <x:v>0</x:v>
      </x:c>
      <x:c r="Q566" s="2" t="n">
        <x:f>SUBTOTAL(103,O566)</x:f>
        <x:v>1</x:v>
      </x:c>
      <x:c r="R566" s="2" t="n">
        <x:f>IF(AND(M566=1,OR(Dashboard!$B$7="All",Dashboard!$B$7='Cycles &amp; Guide'!$C$5),OR(Dashboard!$D$7="All",Dashboard!$D$7=B566),OR(Dashboard!$F$7="All",Dashboard!$F$7=C566),OR(Dashboard!$H$7="All",Dashboard!$H$7=D566),OR(Dashboard!$K$7="All",Dashboard!$K$7=E566)),1,0)</x:f>
        <x:v>0</x:v>
      </x:c>
      <x:c r="S566" s="2" t="n">
        <x:f>IF(R566=1,SUM($R$10:R566),0)</x:f>
        <x:v>0</x:v>
      </x:c>
      <x:c r="T566" s="2" t="str">
        <x:v>Data &amp; Reporting</x:v>
      </x:c>
      <x:c r="U566" s="2" t="n">
        <x:v>566</x:v>
      </x:c>
      <x:c r="V566" s="2" t="n">
        <x:f>IF(AND(M566=1,P566=0,ISNUMBER(J566),J566&lt;TODAY()),1,0)</x:f>
        <x:v>0</x:v>
      </x:c>
      <x:c r="W566" s="2" t="str">
        <x:f>'Data &amp; Reporting'!M566</x:f>
        <x:v>Checklist</x:v>
      </x:c>
    </x:row>
    <x:row r="567" ht="40" customHeight="1">
      <x:c r="A567" s="3" t="str">
        <x:f>HYPERLINK("#'Data &amp; Reporting'!A567","Open")</x:f>
        <x:v>Open</x:v>
      </x:c>
      <x:c r="B567" s="2" t="str">
        <x:f>'Data &amp; Reporting'!B567</x:f>
        <x:v>Cycle 4</x:v>
      </x:c>
      <x:c r="C567" s="2" t="str">
        <x:f>'Data &amp; Reporting'!C567</x:f>
        <x:v>Phase 1</x:v>
      </x:c>
      <x:c r="D567" s="2" t="str">
        <x:f>'Data &amp; Reporting'!D567</x:f>
        <x:v>Auto</x:v>
      </x:c>
      <x:c r="E567" s="2" t="str">
        <x:v>Data &amp; Reporting</x:v>
      </x:c>
      <x:c r="F567" s="56" t="str">
        <x:f>'Data &amp; Reporting'!E567</x:f>
        <x:v>DR.AU.1.3.C09</x:v>
      </x:c>
      <x:c r="G567" s="14" t="str">
        <x:f>'Data &amp; Reporting'!F567</x:f>
        <x:v>    Document any data limitations or constraints clearly (as needed)</x:v>
      </x:c>
      <x:c r="H567" s="2" t="str">
        <x:f>IF('Data &amp; Reporting'!G567="","",'Data &amp; Reporting'!G567)</x:f>
      </x:c>
      <x:c r="I567" s="12" t="str">
        <x:f>IF('Data &amp; Reporting'!H567="","",'Data &amp; Reporting'!H567)</x:f>
      </x:c>
      <x:c r="J567" s="12" t="str">
        <x:f>IF('Data &amp; Reporting'!I567="","",'Data &amp; Reporting'!I567)</x:f>
      </x:c>
      <x:c r="K567" s="12" t="str">
        <x:f>IF('Data &amp; Reporting'!J567="","",'Data &amp; Reporting'!J567)</x:f>
      </x:c>
      <x:c r="L567" s="2" t="str">
        <x:f>IF('Data &amp; Reporting'!K567="","",'Data &amp; Reporting'!K567)</x:f>
      </x:c>
      <x:c r="M567" s="2" t="n">
        <x:f>'Data &amp; Reporting'!Q567</x:f>
        <x:v>0</x:v>
      </x:c>
      <x:c r="N567" s="2" t="str">
        <x:f>'Data &amp; Reporting'!L567</x:f>
        <x:v>Open check</x:v>
      </x:c>
      <x:c r="O567" s="2" t="str">
        <x:f>'Data &amp; Reporting'!N567</x:f>
        <x:v>DR.AU.1.3.C09.2026.CY4</x:v>
      </x:c>
      <x:c r="P567" s="2" t="n">
        <x:f>'Data &amp; Reporting'!O567</x:f>
        <x:v>0</x:v>
      </x:c>
      <x:c r="Q567" s="2" t="n">
        <x:f>SUBTOTAL(103,O567)</x:f>
        <x:v>1</x:v>
      </x:c>
      <x:c r="R567" s="2" t="n">
        <x:f>IF(AND(M567=1,OR(Dashboard!$B$7="All",Dashboard!$B$7='Cycles &amp; Guide'!$C$5),OR(Dashboard!$D$7="All",Dashboard!$D$7=B567),OR(Dashboard!$F$7="All",Dashboard!$F$7=C567),OR(Dashboard!$H$7="All",Dashboard!$H$7=D567),OR(Dashboard!$K$7="All",Dashboard!$K$7=E567)),1,0)</x:f>
        <x:v>0</x:v>
      </x:c>
      <x:c r="S567" s="2" t="n">
        <x:f>IF(R567=1,SUM($R$10:R567),0)</x:f>
        <x:v>0</x:v>
      </x:c>
      <x:c r="T567" s="2" t="str">
        <x:v>Data &amp; Reporting</x:v>
      </x:c>
      <x:c r="U567" s="2" t="n">
        <x:v>567</x:v>
      </x:c>
      <x:c r="V567" s="2" t="n">
        <x:f>IF(AND(M567=1,P567=0,ISNUMBER(J567),J567&lt;TODAY()),1,0)</x:f>
        <x:v>0</x:v>
      </x:c>
      <x:c r="W567" s="2" t="str">
        <x:f>'Data &amp; Reporting'!M567</x:f>
        <x:v>Checklist</x:v>
      </x:c>
    </x:row>
    <x:row r="568" ht="40" customHeight="1">
      <x:c r="A568" s="3" t="str">
        <x:f>HYPERLINK("#'Data &amp; Reporting'!A568","Open")</x:f>
        <x:v>Open</x:v>
      </x:c>
      <x:c r="B568" s="2" t="str">
        <x:f>'Data &amp; Reporting'!B568</x:f>
        <x:v>Cycle 4</x:v>
      </x:c>
      <x:c r="C568" s="2" t="str">
        <x:f>'Data &amp; Reporting'!C568</x:f>
        <x:v>Phase 1</x:v>
      </x:c>
      <x:c r="D568" s="2" t="str">
        <x:f>'Data &amp; Reporting'!D568</x:f>
        <x:v>Auto</x:v>
      </x:c>
      <x:c r="E568" s="2" t="str">
        <x:v>Data &amp; Reporting</x:v>
      </x:c>
      <x:c r="F568" s="56" t="str">
        <x:f>'Data &amp; Reporting'!E568</x:f>
        <x:v>DR.AU.1.3.C10</x:v>
      </x:c>
      <x:c r="G568" s="14" t="str">
        <x:f>'Data &amp; Reporting'!F568</x:f>
        <x:v>    Document data dictionary or field definitions for columns/rows</x:v>
      </x:c>
      <x:c r="H568" s="2" t="str">
        <x:f>IF('Data &amp; Reporting'!G568="","",'Data &amp; Reporting'!G568)</x:f>
      </x:c>
      <x:c r="I568" s="12" t="str">
        <x:f>IF('Data &amp; Reporting'!H568="","",'Data &amp; Reporting'!H568)</x:f>
      </x:c>
      <x:c r="J568" s="12" t="str">
        <x:f>IF('Data &amp; Reporting'!I568="","",'Data &amp; Reporting'!I568)</x:f>
      </x:c>
      <x:c r="K568" s="12" t="str">
        <x:f>IF('Data &amp; Reporting'!J568="","",'Data &amp; Reporting'!J568)</x:f>
      </x:c>
      <x:c r="L568" s="2" t="str">
        <x:f>IF('Data &amp; Reporting'!K568="","",'Data &amp; Reporting'!K568)</x:f>
      </x:c>
      <x:c r="M568" s="2" t="n">
        <x:f>'Data &amp; Reporting'!Q568</x:f>
        <x:v>0</x:v>
      </x:c>
      <x:c r="N568" s="2" t="str">
        <x:f>'Data &amp; Reporting'!L568</x:f>
        <x:v>Open check</x:v>
      </x:c>
      <x:c r="O568" s="2" t="str">
        <x:f>'Data &amp; Reporting'!N568</x:f>
        <x:v>DR.AU.1.3.C10.2026.CY4</x:v>
      </x:c>
      <x:c r="P568" s="2" t="n">
        <x:f>'Data &amp; Reporting'!O568</x:f>
        <x:v>0</x:v>
      </x:c>
      <x:c r="Q568" s="2" t="n">
        <x:f>SUBTOTAL(103,O568)</x:f>
        <x:v>1</x:v>
      </x:c>
      <x:c r="R568" s="2" t="n">
        <x:f>IF(AND(M568=1,OR(Dashboard!$B$7="All",Dashboard!$B$7='Cycles &amp; Guide'!$C$5),OR(Dashboard!$D$7="All",Dashboard!$D$7=B568),OR(Dashboard!$F$7="All",Dashboard!$F$7=C568),OR(Dashboard!$H$7="All",Dashboard!$H$7=D568),OR(Dashboard!$K$7="All",Dashboard!$K$7=E568)),1,0)</x:f>
        <x:v>0</x:v>
      </x:c>
      <x:c r="S568" s="2" t="n">
        <x:f>IF(R568=1,SUM($R$10:R568),0)</x:f>
        <x:v>0</x:v>
      </x:c>
      <x:c r="T568" s="2" t="str">
        <x:v>Data &amp; Reporting</x:v>
      </x:c>
      <x:c r="U568" s="2" t="n">
        <x:v>568</x:v>
      </x:c>
      <x:c r="V568" s="2" t="n">
        <x:f>IF(AND(M568=1,P568=0,ISNUMBER(J568),J568&lt;TODAY()),1,0)</x:f>
        <x:v>0</x:v>
      </x:c>
      <x:c r="W568" s="2" t="str">
        <x:f>'Data &amp; Reporting'!M568</x:f>
        <x:v>Checklist</x:v>
      </x:c>
    </x:row>
    <x:row r="569" ht="40" customHeight="1">
      <x:c r="A569" s="3" t="str">
        <x:f>HYPERLINK("#'Data &amp; Reporting'!A569","Open")</x:f>
        <x:v>Open</x:v>
      </x:c>
      <x:c r="B569" s="2" t="str">
        <x:f>'Data &amp; Reporting'!B569</x:f>
        <x:v>Cycle 4</x:v>
      </x:c>
      <x:c r="C569" s="2" t="str">
        <x:f>'Data &amp; Reporting'!C569</x:f>
        <x:v>Phase 1</x:v>
      </x:c>
      <x:c r="D569" s="2" t="str">
        <x:f>'Data &amp; Reporting'!D569</x:f>
        <x:v>Auto</x:v>
      </x:c>
      <x:c r="E569" s="2" t="str">
        <x:v>Data &amp; Reporting</x:v>
      </x:c>
      <x:c r="F569" s="56" t="str">
        <x:f>'Data &amp; Reporting'!E569</x:f>
        <x:v>DR.AU.1.3.C11</x:v>
      </x:c>
      <x:c r="G569" s="14" t="str">
        <x:f>'Data &amp; Reporting'!F569</x:f>
        <x:v>    Document emerging trends, patterns, or concentrations along with supporting data</x:v>
      </x:c>
      <x:c r="H569" s="2" t="str">
        <x:f>IF('Data &amp; Reporting'!G569="","",'Data &amp; Reporting'!G569)</x:f>
      </x:c>
      <x:c r="I569" s="12" t="str">
        <x:f>IF('Data &amp; Reporting'!H569="","",'Data &amp; Reporting'!H569)</x:f>
      </x:c>
      <x:c r="J569" s="12" t="str">
        <x:f>IF('Data &amp; Reporting'!I569="","",'Data &amp; Reporting'!I569)</x:f>
      </x:c>
      <x:c r="K569" s="12" t="str">
        <x:f>IF('Data &amp; Reporting'!J569="","",'Data &amp; Reporting'!J569)</x:f>
      </x:c>
      <x:c r="L569" s="2" t="str">
        <x:f>IF('Data &amp; Reporting'!K569="","",'Data &amp; Reporting'!K569)</x:f>
      </x:c>
      <x:c r="M569" s="2" t="n">
        <x:f>'Data &amp; Reporting'!Q569</x:f>
        <x:v>0</x:v>
      </x:c>
      <x:c r="N569" s="2" t="str">
        <x:f>'Data &amp; Reporting'!L569</x:f>
        <x:v>Open check</x:v>
      </x:c>
      <x:c r="O569" s="2" t="str">
        <x:f>'Data &amp; Reporting'!N569</x:f>
        <x:v>DR.AU.1.3.C11.2026.CY4</x:v>
      </x:c>
      <x:c r="P569" s="2" t="n">
        <x:f>'Data &amp; Reporting'!O569</x:f>
        <x:v>0</x:v>
      </x:c>
      <x:c r="Q569" s="2" t="n">
        <x:f>SUBTOTAL(103,O569)</x:f>
        <x:v>1</x:v>
      </x:c>
      <x:c r="R569" s="2" t="n">
        <x:f>IF(AND(M569=1,OR(Dashboard!$B$7="All",Dashboard!$B$7='Cycles &amp; Guide'!$C$5),OR(Dashboard!$D$7="All",Dashboard!$D$7=B569),OR(Dashboard!$F$7="All",Dashboard!$F$7=C569),OR(Dashboard!$H$7="All",Dashboard!$H$7=D569),OR(Dashboard!$K$7="All",Dashboard!$K$7=E569)),1,0)</x:f>
        <x:v>0</x:v>
      </x:c>
      <x:c r="S569" s="2" t="n">
        <x:f>IF(R569=1,SUM($R$10:R569),0)</x:f>
        <x:v>0</x:v>
      </x:c>
      <x:c r="T569" s="2" t="str">
        <x:v>Data &amp; Reporting</x:v>
      </x:c>
      <x:c r="U569" s="2" t="n">
        <x:v>569</x:v>
      </x:c>
      <x:c r="V569" s="2" t="n">
        <x:f>IF(AND(M569=1,P569=0,ISNUMBER(J569),J569&lt;TODAY()),1,0)</x:f>
        <x:v>0</x:v>
      </x:c>
      <x:c r="W569" s="2" t="str">
        <x:f>'Data &amp; Reporting'!M569</x:f>
        <x:v>Checklist</x:v>
      </x:c>
    </x:row>
    <x:row r="570" ht="40" customHeight="1">
      <x:c r="A570" s="3" t="str">
        <x:f>HYPERLINK("#'Data &amp; Reporting'!A570","Open")</x:f>
        <x:v>Open</x:v>
      </x:c>
      <x:c r="B570" s="2" t="str">
        <x:f>'Data &amp; Reporting'!B570</x:f>
        <x:v>Cycle 4</x:v>
      </x:c>
      <x:c r="C570" s="2" t="str">
        <x:f>'Data &amp; Reporting'!C570</x:f>
        <x:v>Phase 1</x:v>
      </x:c>
      <x:c r="D570" s="2" t="str">
        <x:f>'Data &amp; Reporting'!D570</x:f>
        <x:v>Auto</x:v>
      </x:c>
      <x:c r="E570" s="2" t="str">
        <x:v>Data &amp; Reporting</x:v>
      </x:c>
      <x:c r="F570" s="56" t="str">
        <x:f>'Data &amp; Reporting'!E570</x:f>
        <x:v>DR.AU.1.3.C12</x:v>
      </x:c>
      <x:c r="G570" s="14" t="str">
        <x:f>'Data &amp; Reporting'!F570</x:f>
        <x:v>    Document any severe spikes in volume along with context (as needed)</x:v>
      </x:c>
      <x:c r="H570" s="2" t="str">
        <x:f>IF('Data &amp; Reporting'!G570="","",'Data &amp; Reporting'!G570)</x:f>
      </x:c>
      <x:c r="I570" s="12" t="str">
        <x:f>IF('Data &amp; Reporting'!H570="","",'Data &amp; Reporting'!H570)</x:f>
      </x:c>
      <x:c r="J570" s="12" t="str">
        <x:f>IF('Data &amp; Reporting'!I570="","",'Data &amp; Reporting'!I570)</x:f>
      </x:c>
      <x:c r="K570" s="12" t="str">
        <x:f>IF('Data &amp; Reporting'!J570="","",'Data &amp; Reporting'!J570)</x:f>
      </x:c>
      <x:c r="L570" s="2" t="str">
        <x:f>IF('Data &amp; Reporting'!K570="","",'Data &amp; Reporting'!K570)</x:f>
      </x:c>
      <x:c r="M570" s="2" t="n">
        <x:f>'Data &amp; Reporting'!Q570</x:f>
        <x:v>0</x:v>
      </x:c>
      <x:c r="N570" s="2" t="str">
        <x:f>'Data &amp; Reporting'!L570</x:f>
        <x:v>Open check</x:v>
      </x:c>
      <x:c r="O570" s="2" t="str">
        <x:f>'Data &amp; Reporting'!N570</x:f>
        <x:v>DR.AU.1.3.C12.2026.CY4</x:v>
      </x:c>
      <x:c r="P570" s="2" t="n">
        <x:f>'Data &amp; Reporting'!O570</x:f>
        <x:v>0</x:v>
      </x:c>
      <x:c r="Q570" s="2" t="n">
        <x:f>SUBTOTAL(103,O570)</x:f>
        <x:v>1</x:v>
      </x:c>
      <x:c r="R570" s="2" t="n">
        <x:f>IF(AND(M570=1,OR(Dashboard!$B$7="All",Dashboard!$B$7='Cycles &amp; Guide'!$C$5),OR(Dashboard!$D$7="All",Dashboard!$D$7=B570),OR(Dashboard!$F$7="All",Dashboard!$F$7=C570),OR(Dashboard!$H$7="All",Dashboard!$H$7=D570),OR(Dashboard!$K$7="All",Dashboard!$K$7=E570)),1,0)</x:f>
        <x:v>0</x:v>
      </x:c>
      <x:c r="S570" s="2" t="n">
        <x:f>IF(R570=1,SUM($R$10:R570),0)</x:f>
        <x:v>0</x:v>
      </x:c>
      <x:c r="T570" s="2" t="str">
        <x:v>Data &amp; Reporting</x:v>
      </x:c>
      <x:c r="U570" s="2" t="n">
        <x:v>570</x:v>
      </x:c>
      <x:c r="V570" s="2" t="n">
        <x:f>IF(AND(M570=1,P570=0,ISNUMBER(J570),J570&lt;TODAY()),1,0)</x:f>
        <x:v>0</x:v>
      </x:c>
      <x:c r="W570" s="2" t="str">
        <x:f>'Data &amp; Reporting'!M570</x:f>
        <x:v>Checklist</x:v>
      </x:c>
    </x:row>
    <x:row r="571" ht="40" customHeight="1">
      <x:c r="A571" s="3" t="str">
        <x:f>HYPERLINK("#'Data &amp; Reporting'!A571","Open")</x:f>
        <x:v>Open</x:v>
      </x:c>
      <x:c r="B571" s="2" t="str">
        <x:f>'Data &amp; Reporting'!B571</x:f>
        <x:v>Cycle 4</x:v>
      </x:c>
      <x:c r="C571" s="2" t="str">
        <x:f>'Data &amp; Reporting'!C571</x:f>
        <x:v>Phase 1</x:v>
      </x:c>
      <x:c r="D571" s="2" t="str">
        <x:f>'Data &amp; Reporting'!D571</x:f>
        <x:v>Auto</x:v>
      </x:c>
      <x:c r="E571" s="2" t="str">
        <x:v>Data &amp; Reporting</x:v>
      </x:c>
      <x:c r="F571" s="56" t="str">
        <x:f>'Data &amp; Reporting'!E571</x:f>
        <x:v>DR.AU.1.3.C13</x:v>
      </x:c>
      <x:c r="G571" s="14" t="str">
        <x:f>'Data &amp; Reporting'!F571</x:f>
        <x:v>    Document clear summary explaining how the data connects to the potential topic</x:v>
      </x:c>
      <x:c r="H571" s="2" t="str">
        <x:f>IF('Data &amp; Reporting'!G571="","",'Data &amp; Reporting'!G571)</x:f>
      </x:c>
      <x:c r="I571" s="12" t="str">
        <x:f>IF('Data &amp; Reporting'!H571="","",'Data &amp; Reporting'!H571)</x:f>
      </x:c>
      <x:c r="J571" s="12" t="str">
        <x:f>IF('Data &amp; Reporting'!I571="","",'Data &amp; Reporting'!I571)</x:f>
      </x:c>
      <x:c r="K571" s="12" t="str">
        <x:f>IF('Data &amp; Reporting'!J571="","",'Data &amp; Reporting'!J571)</x:f>
      </x:c>
      <x:c r="L571" s="2" t="str">
        <x:f>IF('Data &amp; Reporting'!K571="","",'Data &amp; Reporting'!K571)</x:f>
      </x:c>
      <x:c r="M571" s="2" t="n">
        <x:f>'Data &amp; Reporting'!Q571</x:f>
        <x:v>0</x:v>
      </x:c>
      <x:c r="N571" s="2" t="str">
        <x:f>'Data &amp; Reporting'!L571</x:f>
        <x:v>Open check</x:v>
      </x:c>
      <x:c r="O571" s="2" t="str">
        <x:f>'Data &amp; Reporting'!N571</x:f>
        <x:v>DR.AU.1.3.C13.2026.CY4</x:v>
      </x:c>
      <x:c r="P571" s="2" t="n">
        <x:f>'Data &amp; Reporting'!O571</x:f>
        <x:v>0</x:v>
      </x:c>
      <x:c r="Q571" s="2" t="n">
        <x:f>SUBTOTAL(103,O571)</x:f>
        <x:v>1</x:v>
      </x:c>
      <x:c r="R571" s="2" t="n">
        <x:f>IF(AND(M571=1,OR(Dashboard!$B$7="All",Dashboard!$B$7='Cycles &amp; Guide'!$C$5),OR(Dashboard!$D$7="All",Dashboard!$D$7=B571),OR(Dashboard!$F$7="All",Dashboard!$F$7=C571),OR(Dashboard!$H$7="All",Dashboard!$H$7=D571),OR(Dashboard!$K$7="All",Dashboard!$K$7=E571)),1,0)</x:f>
        <x:v>0</x:v>
      </x:c>
      <x:c r="S571" s="2" t="n">
        <x:f>IF(R571=1,SUM($R$10:R571),0)</x:f>
        <x:v>0</x:v>
      </x:c>
      <x:c r="T571" s="2" t="str">
        <x:v>Data &amp; Reporting</x:v>
      </x:c>
      <x:c r="U571" s="2" t="n">
        <x:v>571</x:v>
      </x:c>
      <x:c r="V571" s="2" t="n">
        <x:f>IF(AND(M571=1,P571=0,ISNUMBER(J571),J571&lt;TODAY()),1,0)</x:f>
        <x:v>0</x:v>
      </x:c>
      <x:c r="W571" s="2" t="str">
        <x:f>'Data &amp; Reporting'!M571</x:f>
        <x:v>Checklist</x:v>
      </x:c>
    </x:row>
    <x:row r="572" ht="40" customHeight="1">
      <x:c r="A572" s="3" t="str">
        <x:f>HYPERLINK("#'Data &amp; Reporting'!A572","Open")</x:f>
        <x:v>Open</x:v>
      </x:c>
      <x:c r="B572" s="2" t="str">
        <x:f>'Data &amp; Reporting'!B572</x:f>
        <x:v>Cycle 4</x:v>
      </x:c>
      <x:c r="C572" s="2" t="str">
        <x:f>'Data &amp; Reporting'!C572</x:f>
        <x:v>Phase 2</x:v>
      </x:c>
      <x:c r="D572" s="2" t="str">
        <x:f>'Data &amp; Reporting'!D572</x:f>
        <x:v>Auto</x:v>
      </x:c>
      <x:c r="E572" s="2" t="str">
        <x:v>Data &amp; Reporting</x:v>
      </x:c>
      <x:c r="F572" s="56" t="str">
        <x:f>'Data &amp; Reporting'!E572</x:f>
        <x:v>DR.AU.2.1</x:v>
      </x:c>
      <x:c r="G572" s="14" t="str">
        <x:f>'Data &amp; Reporting'!F572</x:f>
        <x:v>Ensure data is clean, structured, and usable without manipulation needed</x:v>
      </x:c>
      <x:c r="H572" s="2" t="str">
        <x:f>IF('Data &amp; Reporting'!G572="","",'Data &amp; Reporting'!G572)</x:f>
      </x:c>
      <x:c r="I572" s="12" t="str">
        <x:f>IF('Data &amp; Reporting'!H572="","",'Data &amp; Reporting'!H572)</x:f>
      </x:c>
      <x:c r="J572" s="12" t="n">
        <x:f>IF('Data &amp; Reporting'!I572="","",'Data &amp; Reporting'!I572)</x:f>
        <x:v>46387</x:v>
      </x:c>
      <x:c r="K572" s="12" t="str">
        <x:f>IF('Data &amp; Reporting'!J572="","",'Data &amp; Reporting'!J572)</x:f>
      </x:c>
      <x:c r="L572" s="2" t="str">
        <x:f>IF('Data &amp; Reporting'!K572="","",'Data &amp; Reporting'!K572)</x:f>
      </x:c>
      <x:c r="M572" s="2" t="n">
        <x:f>'Data &amp; Reporting'!Q572</x:f>
        <x:v>1</x:v>
      </x:c>
      <x:c r="N572" s="2" t="str">
        <x:f>'Data &amp; Reporting'!L572</x:f>
        <x:v>Not started</x:v>
      </x:c>
      <x:c r="O572" s="2" t="str">
        <x:f>'Data &amp; Reporting'!N572</x:f>
        <x:v>DR.AU.2.1.2026.CY4</x:v>
      </x:c>
      <x:c r="P572" s="2" t="n">
        <x:f>'Data &amp; Reporting'!O572</x:f>
        <x:v>0</x:v>
      </x:c>
      <x:c r="Q572" s="2" t="n">
        <x:f>SUBTOTAL(103,O572)</x:f>
        <x:v>1</x:v>
      </x:c>
      <x:c r="R572" s="2" t="n">
        <x:f>IF(AND(M572=1,OR(Dashboard!$B$7="All",Dashboard!$B$7='Cycles &amp; Guide'!$C$5),OR(Dashboard!$D$7="All",Dashboard!$D$7=B572),OR(Dashboard!$F$7="All",Dashboard!$F$7=C572),OR(Dashboard!$H$7="All",Dashboard!$H$7=D572),OR(Dashboard!$K$7="All",Dashboard!$K$7=E572)),1,0)</x:f>
        <x:v>1</x:v>
      </x:c>
      <x:c r="S572" s="2" t="n">
        <x:f>IF(R572=1,SUM($R$10:R572),0)</x:f>
        <x:v>277</x:v>
      </x:c>
      <x:c r="T572" s="2" t="str">
        <x:v>Data &amp; Reporting</x:v>
      </x:c>
      <x:c r="U572" s="2" t="n">
        <x:v>572</x:v>
      </x:c>
      <x:c r="V572" s="2" t="n">
        <x:f>IF(AND(M572=1,P572=0,ISNUMBER(J572),J572&lt;TODAY()),1,0)</x:f>
        <x:v>0</x:v>
      </x:c>
      <x:c r="W572" s="2" t="str">
        <x:f>'Data &amp; Reporting'!M572</x:f>
        <x:v>Task</x:v>
      </x:c>
    </x:row>
    <x:row r="573" ht="40" customHeight="1">
      <x:c r="A573" s="3" t="str">
        <x:f>HYPERLINK("#'Data &amp; Reporting'!A573","Open")</x:f>
        <x:v>Open</x:v>
      </x:c>
      <x:c r="B573" s="2" t="str">
        <x:f>'Data &amp; Reporting'!B573</x:f>
        <x:v>Cycle 4</x:v>
      </x:c>
      <x:c r="C573" s="2" t="str">
        <x:f>'Data &amp; Reporting'!C573</x:f>
        <x:v>Phase 2</x:v>
      </x:c>
      <x:c r="D573" s="2" t="str">
        <x:f>'Data &amp; Reporting'!D573</x:f>
        <x:v>Auto</x:v>
      </x:c>
      <x:c r="E573" s="2" t="str">
        <x:v>Data &amp; Reporting</x:v>
      </x:c>
      <x:c r="F573" s="56" t="str">
        <x:f>'Data &amp; Reporting'!E573</x:f>
        <x:v>DR.AU.2.2</x:v>
      </x:c>
      <x:c r="G573" s="14" t="str">
        <x:f>'Data &amp; Reporting'!F573</x:f>
        <x:v>Clearly document rationale for each topic recommendation within the SharePoint list</x:v>
      </x:c>
      <x:c r="H573" s="2" t="str">
        <x:f>IF('Data &amp; Reporting'!G573="","",'Data &amp; Reporting'!G573)</x:f>
      </x:c>
      <x:c r="I573" s="12" t="str">
        <x:f>IF('Data &amp; Reporting'!H573="","",'Data &amp; Reporting'!H573)</x:f>
      </x:c>
      <x:c r="J573" s="12" t="n">
        <x:f>IF('Data &amp; Reporting'!I573="","",'Data &amp; Reporting'!I573)</x:f>
        <x:v>46387</x:v>
      </x:c>
      <x:c r="K573" s="12" t="str">
        <x:f>IF('Data &amp; Reporting'!J573="","",'Data &amp; Reporting'!J573)</x:f>
      </x:c>
      <x:c r="L573" s="2" t="str">
        <x:f>IF('Data &amp; Reporting'!K573="","",'Data &amp; Reporting'!K573)</x:f>
      </x:c>
      <x:c r="M573" s="2" t="n">
        <x:f>'Data &amp; Reporting'!Q573</x:f>
        <x:v>1</x:v>
      </x:c>
      <x:c r="N573" s="2" t="str">
        <x:f>'Data &amp; Reporting'!L573</x:f>
        <x:v>Not started</x:v>
      </x:c>
      <x:c r="O573" s="2" t="str">
        <x:f>'Data &amp; Reporting'!N573</x:f>
        <x:v>DR.AU.2.2.2026.CY4</x:v>
      </x:c>
      <x:c r="P573" s="2" t="n">
        <x:f>'Data &amp; Reporting'!O573</x:f>
        <x:v>0</x:v>
      </x:c>
      <x:c r="Q573" s="2" t="n">
        <x:f>SUBTOTAL(103,O573)</x:f>
        <x:v>1</x:v>
      </x:c>
      <x:c r="R573" s="2" t="n">
        <x:f>IF(AND(M573=1,OR(Dashboard!$B$7="All",Dashboard!$B$7='Cycles &amp; Guide'!$C$5),OR(Dashboard!$D$7="All",Dashboard!$D$7=B573),OR(Dashboard!$F$7="All",Dashboard!$F$7=C573),OR(Dashboard!$H$7="All",Dashboard!$H$7=D573),OR(Dashboard!$K$7="All",Dashboard!$K$7=E573)),1,0)</x:f>
        <x:v>1</x:v>
      </x:c>
      <x:c r="S573" s="2" t="n">
        <x:f>IF(R573=1,SUM($R$10:R573),0)</x:f>
        <x:v>278</x:v>
      </x:c>
      <x:c r="T573" s="2" t="str">
        <x:v>Data &amp; Reporting</x:v>
      </x:c>
      <x:c r="U573" s="2" t="n">
        <x:v>573</x:v>
      </x:c>
      <x:c r="V573" s="2" t="n">
        <x:f>IF(AND(M573=1,P573=0,ISNUMBER(J573),J573&lt;TODAY()),1,0)</x:f>
        <x:v>0</x:v>
      </x:c>
      <x:c r="W573" s="2" t="str">
        <x:f>'Data &amp; Reporting'!M573</x:f>
        <x:v>Task</x:v>
      </x:c>
    </x:row>
    <x:row r="574" ht="40" customHeight="1">
      <x:c r="A574" s="3" t="str">
        <x:f>HYPERLINK("#'Data &amp; Reporting'!A574","Open")</x:f>
        <x:v>Open</x:v>
      </x:c>
      <x:c r="B574" s="2" t="str">
        <x:f>'Data &amp; Reporting'!B574</x:f>
        <x:v>Cycle 4</x:v>
      </x:c>
      <x:c r="C574" s="2" t="str">
        <x:f>'Data &amp; Reporting'!C574</x:f>
        <x:v>Phase 2</x:v>
      </x:c>
      <x:c r="D574" s="2" t="str">
        <x:f>'Data &amp; Reporting'!D574</x:f>
        <x:v>Auto</x:v>
      </x:c>
      <x:c r="E574" s="2" t="str">
        <x:v>Data &amp; Reporting</x:v>
      </x:c>
      <x:c r="F574" s="56" t="str">
        <x:f>'Data &amp; Reporting'!E574</x:f>
        <x:v>DR.AU.2.3</x:v>
      </x:c>
      <x:c r="G574" s="14" t="str">
        <x:f>'Data &amp; Reporting'!F574</x:f>
        <x:v>Verify topic is eligible for RCA and does not conflict with Attorney Client Privilege</x:v>
      </x:c>
      <x:c r="H574" s="2" t="str">
        <x:f>IF('Data &amp; Reporting'!G574="","",'Data &amp; Reporting'!G574)</x:f>
      </x:c>
      <x:c r="I574" s="12" t="str">
        <x:f>IF('Data &amp; Reporting'!H574="","",'Data &amp; Reporting'!H574)</x:f>
      </x:c>
      <x:c r="J574" s="12" t="n">
        <x:f>IF('Data &amp; Reporting'!I574="","",'Data &amp; Reporting'!I574)</x:f>
        <x:v>46387</x:v>
      </x:c>
      <x:c r="K574" s="12" t="str">
        <x:f>IF('Data &amp; Reporting'!J574="","",'Data &amp; Reporting'!J574)</x:f>
      </x:c>
      <x:c r="L574" s="2" t="str">
        <x:f>IF('Data &amp; Reporting'!K574="","",'Data &amp; Reporting'!K574)</x:f>
      </x:c>
      <x:c r="M574" s="2" t="n">
        <x:f>'Data &amp; Reporting'!Q574</x:f>
        <x:v>1</x:v>
      </x:c>
      <x:c r="N574" s="2" t="str">
        <x:f>'Data &amp; Reporting'!L574</x:f>
        <x:v>Not started</x:v>
      </x:c>
      <x:c r="O574" s="2" t="str">
        <x:f>'Data &amp; Reporting'!N574</x:f>
        <x:v>DR.AU.2.3.2026.CY4</x:v>
      </x:c>
      <x:c r="P574" s="2" t="n">
        <x:f>'Data &amp; Reporting'!O574</x:f>
        <x:v>0</x:v>
      </x:c>
      <x:c r="Q574" s="2" t="n">
        <x:f>SUBTOTAL(103,O574)</x:f>
        <x:v>1</x:v>
      </x:c>
      <x:c r="R574" s="2" t="n">
        <x:f>IF(AND(M574=1,OR(Dashboard!$B$7="All",Dashboard!$B$7='Cycles &amp; Guide'!$C$5),OR(Dashboard!$D$7="All",Dashboard!$D$7=B574),OR(Dashboard!$F$7="All",Dashboard!$F$7=C574),OR(Dashboard!$H$7="All",Dashboard!$H$7=D574),OR(Dashboard!$K$7="All",Dashboard!$K$7=E574)),1,0)</x:f>
        <x:v>1</x:v>
      </x:c>
      <x:c r="S574" s="2" t="n">
        <x:f>IF(R574=1,SUM($R$10:R574),0)</x:f>
        <x:v>279</x:v>
      </x:c>
      <x:c r="T574" s="2" t="str">
        <x:v>Data &amp; Reporting</x:v>
      </x:c>
      <x:c r="U574" s="2" t="n">
        <x:v>574</x:v>
      </x:c>
      <x:c r="V574" s="2" t="n">
        <x:f>IF(AND(M574=1,P574=0,ISNUMBER(J574),J574&lt;TODAY()),1,0)</x:f>
        <x:v>0</x:v>
      </x:c>
      <x:c r="W574" s="2" t="str">
        <x:f>'Data &amp; Reporting'!M574</x:f>
        <x:v>Task</x:v>
      </x:c>
    </x:row>
    <x:row r="575" ht="40" customHeight="1">
      <x:c r="A575" s="3" t="str">
        <x:f>HYPERLINK("#'Data &amp; Reporting'!A575","Open")</x:f>
        <x:v>Open</x:v>
      </x:c>
      <x:c r="B575" s="2" t="str">
        <x:f>'Data &amp; Reporting'!B575</x:f>
        <x:v>Cycle 4</x:v>
      </x:c>
      <x:c r="C575" s="2" t="str">
        <x:f>'Data &amp; Reporting'!C575</x:f>
        <x:v>Phase 2</x:v>
      </x:c>
      <x:c r="D575" s="2" t="str">
        <x:f>'Data &amp; Reporting'!D575</x:f>
        <x:v>Auto</x:v>
      </x:c>
      <x:c r="E575" s="2" t="str">
        <x:v>Data &amp; Reporting</x:v>
      </x:c>
      <x:c r="F575" s="56" t="str">
        <x:f>'Data &amp; Reporting'!E575</x:f>
        <x:v>DR.AU.2.4</x:v>
      </x:c>
      <x:c r="G575" s="14" t="str">
        <x:f>'Data &amp; Reporting'!F575</x:f>
        <x:v>Ensure data is free of errors and anomalies prior to hand-off to Research</x:v>
      </x:c>
      <x:c r="H575" s="2" t="str">
        <x:f>IF('Data &amp; Reporting'!G575="","",'Data &amp; Reporting'!G575)</x:f>
      </x:c>
      <x:c r="I575" s="12" t="str">
        <x:f>IF('Data &amp; Reporting'!H575="","",'Data &amp; Reporting'!H575)</x:f>
      </x:c>
      <x:c r="J575" s="12" t="n">
        <x:f>IF('Data &amp; Reporting'!I575="","",'Data &amp; Reporting'!I575)</x:f>
        <x:v>46387</x:v>
      </x:c>
      <x:c r="K575" s="12" t="str">
        <x:f>IF('Data &amp; Reporting'!J575="","",'Data &amp; Reporting'!J575)</x:f>
      </x:c>
      <x:c r="L575" s="2" t="str">
        <x:f>IF('Data &amp; Reporting'!K575="","",'Data &amp; Reporting'!K575)</x:f>
      </x:c>
      <x:c r="M575" s="2" t="n">
        <x:f>'Data &amp; Reporting'!Q575</x:f>
        <x:v>1</x:v>
      </x:c>
      <x:c r="N575" s="2" t="str">
        <x:f>'Data &amp; Reporting'!L575</x:f>
        <x:v>Not started</x:v>
      </x:c>
      <x:c r="O575" s="2" t="str">
        <x:f>'Data &amp; Reporting'!N575</x:f>
        <x:v>DR.AU.2.4.2026.CY4</x:v>
      </x:c>
      <x:c r="P575" s="2" t="n">
        <x:f>'Data &amp; Reporting'!O575</x:f>
        <x:v>0</x:v>
      </x:c>
      <x:c r="Q575" s="2" t="n">
        <x:f>SUBTOTAL(103,O575)</x:f>
        <x:v>1</x:v>
      </x:c>
      <x:c r="R575" s="2" t="n">
        <x:f>IF(AND(M575=1,OR(Dashboard!$B$7="All",Dashboard!$B$7='Cycles &amp; Guide'!$C$5),OR(Dashboard!$D$7="All",Dashboard!$D$7=B575),OR(Dashboard!$F$7="All",Dashboard!$F$7=C575),OR(Dashboard!$H$7="All",Dashboard!$H$7=D575),OR(Dashboard!$K$7="All",Dashboard!$K$7=E575)),1,0)</x:f>
        <x:v>1</x:v>
      </x:c>
      <x:c r="S575" s="2" t="n">
        <x:f>IF(R575=1,SUM($R$10:R575),0)</x:f>
        <x:v>280</x:v>
      </x:c>
      <x:c r="T575" s="2" t="str">
        <x:v>Data &amp; Reporting</x:v>
      </x:c>
      <x:c r="U575" s="2" t="n">
        <x:v>575</x:v>
      </x:c>
      <x:c r="V575" s="2" t="n">
        <x:f>IF(AND(M575=1,P575=0,ISNUMBER(J575),J575&lt;TODAY()),1,0)</x:f>
        <x:v>0</x:v>
      </x:c>
      <x:c r="W575" s="2" t="str">
        <x:f>'Data &amp; Reporting'!M575</x:f>
        <x:v>Task</x:v>
      </x:c>
    </x:row>
    <x:row r="576" ht="40" customHeight="1">
      <x:c r="A576" s="3" t="str">
        <x:f>HYPERLINK("#'Data &amp; Reporting'!A576","Open")</x:f>
        <x:v>Open</x:v>
      </x:c>
      <x:c r="B576" s="2" t="str">
        <x:f>'Data &amp; Reporting'!B576</x:f>
        <x:v>Cycle 4</x:v>
      </x:c>
      <x:c r="C576" s="2" t="str">
        <x:f>'Data &amp; Reporting'!C576</x:f>
        <x:v>Phase 2</x:v>
      </x:c>
      <x:c r="D576" s="2" t="str">
        <x:f>'Data &amp; Reporting'!D576</x:f>
        <x:v>Auto</x:v>
      </x:c>
      <x:c r="E576" s="2" t="str">
        <x:v>Data &amp; Reporting</x:v>
      </x:c>
      <x:c r="F576" s="56" t="str">
        <x:f>'Data &amp; Reporting'!E576</x:f>
        <x:v>DR.AU.2.5</x:v>
      </x:c>
      <x:c r="G576" s="14" t="str">
        <x:f>'Data &amp; Reporting'!F576</x:f>
        <x:v>Ensure topic is not a duplicate from a previous Cycle</x:v>
      </x:c>
      <x:c r="H576" s="2" t="str">
        <x:f>IF('Data &amp; Reporting'!G576="","",'Data &amp; Reporting'!G576)</x:f>
      </x:c>
      <x:c r="I576" s="12" t="str">
        <x:f>IF('Data &amp; Reporting'!H576="","",'Data &amp; Reporting'!H576)</x:f>
      </x:c>
      <x:c r="J576" s="12" t="n">
        <x:f>IF('Data &amp; Reporting'!I576="","",'Data &amp; Reporting'!I576)</x:f>
        <x:v>46387</x:v>
      </x:c>
      <x:c r="K576" s="12" t="str">
        <x:f>IF('Data &amp; Reporting'!J576="","",'Data &amp; Reporting'!J576)</x:f>
      </x:c>
      <x:c r="L576" s="2" t="str">
        <x:f>IF('Data &amp; Reporting'!K576="","",'Data &amp; Reporting'!K576)</x:f>
      </x:c>
      <x:c r="M576" s="2" t="n">
        <x:f>'Data &amp; Reporting'!Q576</x:f>
        <x:v>1</x:v>
      </x:c>
      <x:c r="N576" s="2" t="str">
        <x:f>'Data &amp; Reporting'!L576</x:f>
        <x:v>Not started</x:v>
      </x:c>
      <x:c r="O576" s="2" t="str">
        <x:f>'Data &amp; Reporting'!N576</x:f>
        <x:v>DR.AU.2.5.2026.CY4</x:v>
      </x:c>
      <x:c r="P576" s="2" t="n">
        <x:f>'Data &amp; Reporting'!O576</x:f>
        <x:v>0</x:v>
      </x:c>
      <x:c r="Q576" s="2" t="n">
        <x:f>SUBTOTAL(103,O576)</x:f>
        <x:v>1</x:v>
      </x:c>
      <x:c r="R576" s="2" t="n">
        <x:f>IF(AND(M576=1,OR(Dashboard!$B$7="All",Dashboard!$B$7='Cycles &amp; Guide'!$C$5),OR(Dashboard!$D$7="All",Dashboard!$D$7=B576),OR(Dashboard!$F$7="All",Dashboard!$F$7=C576),OR(Dashboard!$H$7="All",Dashboard!$H$7=D576),OR(Dashboard!$K$7="All",Dashboard!$K$7=E576)),1,0)</x:f>
        <x:v>1</x:v>
      </x:c>
      <x:c r="S576" s="2" t="n">
        <x:f>IF(R576=1,SUM($R$10:R576),0)</x:f>
        <x:v>281</x:v>
      </x:c>
      <x:c r="T576" s="2" t="str">
        <x:v>Data &amp; Reporting</x:v>
      </x:c>
      <x:c r="U576" s="2" t="n">
        <x:v>576</x:v>
      </x:c>
      <x:c r="V576" s="2" t="n">
        <x:f>IF(AND(M576=1,P576=0,ISNUMBER(J576),J576&lt;TODAY()),1,0)</x:f>
        <x:v>0</x:v>
      </x:c>
      <x:c r="W576" s="2" t="str">
        <x:f>'Data &amp; Reporting'!M576</x:f>
        <x:v>Task</x:v>
      </x:c>
    </x:row>
    <x:row r="577" ht="40" customHeight="1">
      <x:c r="A577" s="3" t="str">
        <x:f>HYPERLINK("#'Data &amp; Reporting'!A577","Open")</x:f>
        <x:v>Open</x:v>
      </x:c>
      <x:c r="B577" s="2" t="str">
        <x:f>'Data &amp; Reporting'!B577</x:f>
        <x:v>Cycle 4</x:v>
      </x:c>
      <x:c r="C577" s="2" t="str">
        <x:f>'Data &amp; Reporting'!C577</x:f>
        <x:v>Phase 2</x:v>
      </x:c>
      <x:c r="D577" s="2" t="str">
        <x:f>'Data &amp; Reporting'!D577</x:f>
        <x:v>Auto</x:v>
      </x:c>
      <x:c r="E577" s="2" t="str">
        <x:v>Data &amp; Reporting</x:v>
      </x:c>
      <x:c r="F577" s="56" t="str">
        <x:f>'Data &amp; Reporting'!E577</x:f>
        <x:v>DR.AU.2.6</x:v>
      </x:c>
      <x:c r="G577" s="14" t="str">
        <x:f>'Data &amp; Reporting'!F577</x:f>
        <x:v>Document clear distinctions between facts, assumptions, and hypotheses within the data package</x:v>
      </x:c>
      <x:c r="H577" s="2" t="str">
        <x:f>IF('Data &amp; Reporting'!G577="","",'Data &amp; Reporting'!G577)</x:f>
      </x:c>
      <x:c r="I577" s="12" t="str">
        <x:f>IF('Data &amp; Reporting'!H577="","",'Data &amp; Reporting'!H577)</x:f>
      </x:c>
      <x:c r="J577" s="12" t="n">
        <x:f>IF('Data &amp; Reporting'!I577="","",'Data &amp; Reporting'!I577)</x:f>
        <x:v>46387</x:v>
      </x:c>
      <x:c r="K577" s="12" t="str">
        <x:f>IF('Data &amp; Reporting'!J577="","",'Data &amp; Reporting'!J577)</x:f>
      </x:c>
      <x:c r="L577" s="2" t="str">
        <x:f>IF('Data &amp; Reporting'!K577="","",'Data &amp; Reporting'!K577)</x:f>
      </x:c>
      <x:c r="M577" s="2" t="n">
        <x:f>'Data &amp; Reporting'!Q577</x:f>
        <x:v>1</x:v>
      </x:c>
      <x:c r="N577" s="2" t="str">
        <x:f>'Data &amp; Reporting'!L577</x:f>
        <x:v>Not started</x:v>
      </x:c>
      <x:c r="O577" s="2" t="str">
        <x:f>'Data &amp; Reporting'!N577</x:f>
        <x:v>DR.AU.2.6.2026.CY4</x:v>
      </x:c>
      <x:c r="P577" s="2" t="n">
        <x:f>'Data &amp; Reporting'!O577</x:f>
        <x:v>0</x:v>
      </x:c>
      <x:c r="Q577" s="2" t="n">
        <x:f>SUBTOTAL(103,O577)</x:f>
        <x:v>1</x:v>
      </x:c>
      <x:c r="R577" s="2" t="n">
        <x:f>IF(AND(M577=1,OR(Dashboard!$B$7="All",Dashboard!$B$7='Cycles &amp; Guide'!$C$5),OR(Dashboard!$D$7="All",Dashboard!$D$7=B577),OR(Dashboard!$F$7="All",Dashboard!$F$7=C577),OR(Dashboard!$H$7="All",Dashboard!$H$7=D577),OR(Dashboard!$K$7="All",Dashboard!$K$7=E577)),1,0)</x:f>
        <x:v>1</x:v>
      </x:c>
      <x:c r="S577" s="2" t="n">
        <x:f>IF(R577=1,SUM($R$10:R577),0)</x:f>
        <x:v>282</x:v>
      </x:c>
      <x:c r="T577" s="2" t="str">
        <x:v>Data &amp; Reporting</x:v>
      </x:c>
      <x:c r="U577" s="2" t="n">
        <x:v>577</x:v>
      </x:c>
      <x:c r="V577" s="2" t="n">
        <x:f>IF(AND(M577=1,P577=0,ISNUMBER(J577),J577&lt;TODAY()),1,0)</x:f>
        <x:v>0</x:v>
      </x:c>
      <x:c r="W577" s="2" t="str">
        <x:f>'Data &amp; Reporting'!M577</x:f>
        <x:v>Task</x:v>
      </x:c>
    </x:row>
    <x:row r="578" ht="40" customHeight="1">
      <x:c r="A578" s="3" t="str">
        <x:f>HYPERLINK("#'Data &amp; Reporting'!A578","Open")</x:f>
        <x:v>Open</x:v>
      </x:c>
      <x:c r="B578" s="2" t="str">
        <x:f>'Data &amp; Reporting'!B578</x:f>
        <x:v>Cycle 4</x:v>
      </x:c>
      <x:c r="C578" s="2" t="str">
        <x:f>'Data &amp; Reporting'!C578</x:f>
        <x:v>Phase 3</x:v>
      </x:c>
      <x:c r="D578" s="2" t="str">
        <x:f>'Data &amp; Reporting'!D578</x:f>
        <x:v>Auto</x:v>
      </x:c>
      <x:c r="E578" s="2" t="str">
        <x:v>Data &amp; Reporting</x:v>
      </x:c>
      <x:c r="F578" s="56" t="str">
        <x:f>'Data &amp; Reporting'!E578</x:f>
        <x:v>DR.AU.3.1</x:v>
      </x:c>
      <x:c r="G578" s="14" t="str">
        <x:f>'Data &amp; Reporting'!F578</x:f>
        <x:v>Clearly document rationale for each topic recommendation within the SharePoint list item</x:v>
      </x:c>
      <x:c r="H578" s="2" t="str">
        <x:f>IF('Data &amp; Reporting'!G578="","",'Data &amp; Reporting'!G578)</x:f>
      </x:c>
      <x:c r="I578" s="12" t="str">
        <x:f>IF('Data &amp; Reporting'!H578="","",'Data &amp; Reporting'!H578)</x:f>
      </x:c>
      <x:c r="J578" s="12" t="n">
        <x:f>IF('Data &amp; Reporting'!I578="","",'Data &amp; Reporting'!I578)</x:f>
        <x:v>46387</x:v>
      </x:c>
      <x:c r="K578" s="12" t="str">
        <x:f>IF('Data &amp; Reporting'!J578="","",'Data &amp; Reporting'!J578)</x:f>
      </x:c>
      <x:c r="L578" s="2" t="str">
        <x:f>IF('Data &amp; Reporting'!K578="","",'Data &amp; Reporting'!K578)</x:f>
      </x:c>
      <x:c r="M578" s="2" t="n">
        <x:f>'Data &amp; Reporting'!Q578</x:f>
        <x:v>1</x:v>
      </x:c>
      <x:c r="N578" s="2" t="str">
        <x:f>'Data &amp; Reporting'!L578</x:f>
        <x:v>Not started</x:v>
      </x:c>
      <x:c r="O578" s="2" t="str">
        <x:f>'Data &amp; Reporting'!N578</x:f>
        <x:v>DR.AU.3.1.2026.CY4</x:v>
      </x:c>
      <x:c r="P578" s="2" t="n">
        <x:f>'Data &amp; Reporting'!O578</x:f>
        <x:v>0</x:v>
      </x:c>
      <x:c r="Q578" s="2" t="n">
        <x:f>SUBTOTAL(103,O578)</x:f>
        <x:v>1</x:v>
      </x:c>
      <x:c r="R578" s="2" t="n">
        <x:f>IF(AND(M578=1,OR(Dashboard!$B$7="All",Dashboard!$B$7='Cycles &amp; Guide'!$C$5),OR(Dashboard!$D$7="All",Dashboard!$D$7=B578),OR(Dashboard!$F$7="All",Dashboard!$F$7=C578),OR(Dashboard!$H$7="All",Dashboard!$H$7=D578),OR(Dashboard!$K$7="All",Dashboard!$K$7=E578)),1,0)</x:f>
        <x:v>1</x:v>
      </x:c>
      <x:c r="S578" s="2" t="n">
        <x:f>IF(R578=1,SUM($R$10:R578),0)</x:f>
        <x:v>283</x:v>
      </x:c>
      <x:c r="T578" s="2" t="str">
        <x:v>Data &amp; Reporting</x:v>
      </x:c>
      <x:c r="U578" s="2" t="n">
        <x:v>578</x:v>
      </x:c>
      <x:c r="V578" s="2" t="n">
        <x:f>IF(AND(M578=1,P578=0,ISNUMBER(J578),J578&lt;TODAY()),1,0)</x:f>
        <x:v>0</x:v>
      </x:c>
      <x:c r="W578" s="2" t="str">
        <x:f>'Data &amp; Reporting'!M578</x:f>
        <x:v>Task</x:v>
      </x:c>
    </x:row>
    <x:row r="579" ht="40" customHeight="1">
      <x:c r="A579" s="3" t="str">
        <x:f>HYPERLINK("#'Data &amp; Reporting'!A579","Open")</x:f>
        <x:v>Open</x:v>
      </x:c>
      <x:c r="B579" s="2" t="str">
        <x:f>'Data &amp; Reporting'!B579</x:f>
        <x:v>Cycle 4</x:v>
      </x:c>
      <x:c r="C579" s="2" t="str">
        <x:f>'Data &amp; Reporting'!C579</x:f>
        <x:v>Phase 3</x:v>
      </x:c>
      <x:c r="D579" s="2" t="str">
        <x:f>'Data &amp; Reporting'!D579</x:f>
        <x:v>Auto</x:v>
      </x:c>
      <x:c r="E579" s="2" t="str">
        <x:v>Data &amp; Reporting</x:v>
      </x:c>
      <x:c r="F579" s="56" t="str">
        <x:f>'Data &amp; Reporting'!E579</x:f>
        <x:v>DR.AU.3.2</x:v>
      </x:c>
      <x:c r="G579" s="14" t="str">
        <x:f>'Data &amp; Reporting'!F579</x:f>
        <x:v>Attach the data package for each topic recommendation within the SharePoint list item</x:v>
      </x:c>
      <x:c r="H579" s="2" t="str">
        <x:f>IF('Data &amp; Reporting'!G579="","",'Data &amp; Reporting'!G579)</x:f>
      </x:c>
      <x:c r="I579" s="12" t="str">
        <x:f>IF('Data &amp; Reporting'!H579="","",'Data &amp; Reporting'!H579)</x:f>
      </x:c>
      <x:c r="J579" s="12" t="n">
        <x:f>IF('Data &amp; Reporting'!I579="","",'Data &amp; Reporting'!I579)</x:f>
        <x:v>46387</x:v>
      </x:c>
      <x:c r="K579" s="12" t="str">
        <x:f>IF('Data &amp; Reporting'!J579="","",'Data &amp; Reporting'!J579)</x:f>
      </x:c>
      <x:c r="L579" s="2" t="str">
        <x:f>IF('Data &amp; Reporting'!K579="","",'Data &amp; Reporting'!K579)</x:f>
      </x:c>
      <x:c r="M579" s="2" t="n">
        <x:f>'Data &amp; Reporting'!Q579</x:f>
        <x:v>1</x:v>
      </x:c>
      <x:c r="N579" s="2" t="str">
        <x:f>'Data &amp; Reporting'!L579</x:f>
        <x:v>Not started</x:v>
      </x:c>
      <x:c r="O579" s="2" t="str">
        <x:f>'Data &amp; Reporting'!N579</x:f>
        <x:v>DR.AU.3.2.2026.CY4</x:v>
      </x:c>
      <x:c r="P579" s="2" t="n">
        <x:f>'Data &amp; Reporting'!O579</x:f>
        <x:v>0</x:v>
      </x:c>
      <x:c r="Q579" s="2" t="n">
        <x:f>SUBTOTAL(103,O579)</x:f>
        <x:v>1</x:v>
      </x:c>
      <x:c r="R579" s="2" t="n">
        <x:f>IF(AND(M579=1,OR(Dashboard!$B$7="All",Dashboard!$B$7='Cycles &amp; Guide'!$C$5),OR(Dashboard!$D$7="All",Dashboard!$D$7=B579),OR(Dashboard!$F$7="All",Dashboard!$F$7=C579),OR(Dashboard!$H$7="All",Dashboard!$H$7=D579),OR(Dashboard!$K$7="All",Dashboard!$K$7=E579)),1,0)</x:f>
        <x:v>1</x:v>
      </x:c>
      <x:c r="S579" s="2" t="n">
        <x:f>IF(R579=1,SUM($R$10:R579),0)</x:f>
        <x:v>284</x:v>
      </x:c>
      <x:c r="T579" s="2" t="str">
        <x:v>Data &amp; Reporting</x:v>
      </x:c>
      <x:c r="U579" s="2" t="n">
        <x:v>579</x:v>
      </x:c>
      <x:c r="V579" s="2" t="n">
        <x:f>IF(AND(M579=1,P579=0,ISNUMBER(J579),J579&lt;TODAY()),1,0)</x:f>
        <x:v>0</x:v>
      </x:c>
      <x:c r="W579" s="2" t="str">
        <x:f>'Data &amp; Reporting'!M579</x:f>
        <x:v>Task</x:v>
      </x:c>
    </x:row>
    <x:row r="580" ht="40" customHeight="1">
      <x:c r="A580" s="3" t="str">
        <x:f>HYPERLINK("#'Data &amp; Reporting'!A580","Open")</x:f>
        <x:v>Open</x:v>
      </x:c>
      <x:c r="B580" s="2" t="str">
        <x:f>'Data &amp; Reporting'!B580</x:f>
        <x:v>Cycle 4</x:v>
      </x:c>
      <x:c r="C580" s="2" t="str">
        <x:f>'Data &amp; Reporting'!C580</x:f>
        <x:v>Phase 3</x:v>
      </x:c>
      <x:c r="D580" s="2" t="str">
        <x:f>'Data &amp; Reporting'!D580</x:f>
        <x:v>Auto</x:v>
      </x:c>
      <x:c r="E580" s="2" t="str">
        <x:v>Data &amp; Reporting</x:v>
      </x:c>
      <x:c r="F580" s="56" t="str">
        <x:f>'Data &amp; Reporting'!E580</x:f>
        <x:v>DR.AU.3.3</x:v>
      </x:c>
      <x:c r="G580" s="14" t="str">
        <x:f>'Data &amp; Reporting'!F580</x:f>
        <x:v>Confirm data privileges have been granted, ensuring each pillar can access</x:v>
      </x:c>
      <x:c r="H580" s="2" t="str">
        <x:f>IF('Data &amp; Reporting'!G580="","",'Data &amp; Reporting'!G580)</x:f>
      </x:c>
      <x:c r="I580" s="12" t="str">
        <x:f>IF('Data &amp; Reporting'!H580="","",'Data &amp; Reporting'!H580)</x:f>
      </x:c>
      <x:c r="J580" s="12" t="n">
        <x:f>IF('Data &amp; Reporting'!I580="","",'Data &amp; Reporting'!I580)</x:f>
        <x:v>46387</x:v>
      </x:c>
      <x:c r="K580" s="12" t="str">
        <x:f>IF('Data &amp; Reporting'!J580="","",'Data &amp; Reporting'!J580)</x:f>
      </x:c>
      <x:c r="L580" s="2" t="str">
        <x:f>IF('Data &amp; Reporting'!K580="","",'Data &amp; Reporting'!K580)</x:f>
      </x:c>
      <x:c r="M580" s="2" t="n">
        <x:f>'Data &amp; Reporting'!Q580</x:f>
        <x:v>1</x:v>
      </x:c>
      <x:c r="N580" s="2" t="str">
        <x:f>'Data &amp; Reporting'!L580</x:f>
        <x:v>Not started</x:v>
      </x:c>
      <x:c r="O580" s="2" t="str">
        <x:f>'Data &amp; Reporting'!N580</x:f>
        <x:v>DR.AU.3.3.2026.CY4</x:v>
      </x:c>
      <x:c r="P580" s="2" t="n">
        <x:f>'Data &amp; Reporting'!O580</x:f>
        <x:v>0</x:v>
      </x:c>
      <x:c r="Q580" s="2" t="n">
        <x:f>SUBTOTAL(103,O580)</x:f>
        <x:v>1</x:v>
      </x:c>
      <x:c r="R580" s="2" t="n">
        <x:f>IF(AND(M580=1,OR(Dashboard!$B$7="All",Dashboard!$B$7='Cycles &amp; Guide'!$C$5),OR(Dashboard!$D$7="All",Dashboard!$D$7=B580),OR(Dashboard!$F$7="All",Dashboard!$F$7=C580),OR(Dashboard!$H$7="All",Dashboard!$H$7=D580),OR(Dashboard!$K$7="All",Dashboard!$K$7=E580)),1,0)</x:f>
        <x:v>1</x:v>
      </x:c>
      <x:c r="S580" s="2" t="n">
        <x:f>IF(R580=1,SUM($R$10:R580),0)</x:f>
        <x:v>285</x:v>
      </x:c>
      <x:c r="T580" s="2" t="str">
        <x:v>Data &amp; Reporting</x:v>
      </x:c>
      <x:c r="U580" s="2" t="n">
        <x:v>580</x:v>
      </x:c>
      <x:c r="V580" s="2" t="n">
        <x:f>IF(AND(M580=1,P580=0,ISNUMBER(J580),J580&lt;TODAY()),1,0)</x:f>
        <x:v>0</x:v>
      </x:c>
      <x:c r="W580" s="2" t="str">
        <x:f>'Data &amp; Reporting'!M580</x:f>
        <x:v>Task</x:v>
      </x:c>
    </x:row>
    <x:row r="581" ht="40" customHeight="1">
      <x:c r="A581" s="3" t="str">
        <x:f>HYPERLINK("#'Data &amp; Reporting'!A581","Open")</x:f>
        <x:v>Open</x:v>
      </x:c>
      <x:c r="B581" s="2" t="str">
        <x:f>'Data &amp; Reporting'!B581</x:f>
        <x:v>Cycle 4</x:v>
      </x:c>
      <x:c r="C581" s="2" t="str">
        <x:f>'Data &amp; Reporting'!C581</x:f>
        <x:v>Phase 3</x:v>
      </x:c>
      <x:c r="D581" s="2" t="str">
        <x:f>'Data &amp; Reporting'!D581</x:f>
        <x:v>Auto</x:v>
      </x:c>
      <x:c r="E581" s="2" t="str">
        <x:v>Data &amp; Reporting</x:v>
      </x:c>
      <x:c r="F581" s="56" t="str">
        <x:f>'Data &amp; Reporting'!E581</x:f>
        <x:v>DR.AU.3.4</x:v>
      </x:c>
      <x:c r="G581" s="14" t="str">
        <x:f>'Data &amp; Reporting'!F581</x:f>
        <x:v>Ensure Power Automate notifications were correctly triggered within Microsoft Teams</x:v>
      </x:c>
      <x:c r="H581" s="2" t="str">
        <x:f>IF('Data &amp; Reporting'!G581="","",'Data &amp; Reporting'!G581)</x:f>
      </x:c>
      <x:c r="I581" s="12" t="str">
        <x:f>IF('Data &amp; Reporting'!H581="","",'Data &amp; Reporting'!H581)</x:f>
      </x:c>
      <x:c r="J581" s="12" t="n">
        <x:f>IF('Data &amp; Reporting'!I581="","",'Data &amp; Reporting'!I581)</x:f>
        <x:v>46387</x:v>
      </x:c>
      <x:c r="K581" s="12" t="str">
        <x:f>IF('Data &amp; Reporting'!J581="","",'Data &amp; Reporting'!J581)</x:f>
      </x:c>
      <x:c r="L581" s="2" t="str">
        <x:f>IF('Data &amp; Reporting'!K581="","",'Data &amp; Reporting'!K581)</x:f>
      </x:c>
      <x:c r="M581" s="2" t="n">
        <x:f>'Data &amp; Reporting'!Q581</x:f>
        <x:v>1</x:v>
      </x:c>
      <x:c r="N581" s="2" t="str">
        <x:f>'Data &amp; Reporting'!L581</x:f>
        <x:v>Not started</x:v>
      </x:c>
      <x:c r="O581" s="2" t="str">
        <x:f>'Data &amp; Reporting'!N581</x:f>
        <x:v>DR.AU.3.4.2026.CY4</x:v>
      </x:c>
      <x:c r="P581" s="2" t="n">
        <x:f>'Data &amp; Reporting'!O581</x:f>
        <x:v>0</x:v>
      </x:c>
      <x:c r="Q581" s="2" t="n">
        <x:f>SUBTOTAL(103,O581)</x:f>
        <x:v>1</x:v>
      </x:c>
      <x:c r="R581" s="2" t="n">
        <x:f>IF(AND(M581=1,OR(Dashboard!$B$7="All",Dashboard!$B$7='Cycles &amp; Guide'!$C$5),OR(Dashboard!$D$7="All",Dashboard!$D$7=B581),OR(Dashboard!$F$7="All",Dashboard!$F$7=C581),OR(Dashboard!$H$7="All",Dashboard!$H$7=D581),OR(Dashboard!$K$7="All",Dashboard!$K$7=E581)),1,0)</x:f>
        <x:v>1</x:v>
      </x:c>
      <x:c r="S581" s="2" t="n">
        <x:f>IF(R581=1,SUM($R$10:R581),0)</x:f>
        <x:v>286</x:v>
      </x:c>
      <x:c r="T581" s="2" t="str">
        <x:v>Data &amp; Reporting</x:v>
      </x:c>
      <x:c r="U581" s="2" t="n">
        <x:v>581</x:v>
      </x:c>
      <x:c r="V581" s="2" t="n">
        <x:f>IF(AND(M581=1,P581=0,ISNUMBER(J581),J581&lt;TODAY()),1,0)</x:f>
        <x:v>0</x:v>
      </x:c>
      <x:c r="W581" s="2" t="str">
        <x:f>'Data &amp; Reporting'!M581</x:f>
        <x:v>Task</x:v>
      </x:c>
    </x:row>
    <x:row r="582" ht="40" customHeight="1">
      <x:c r="A582" s="3" t="str">
        <x:f>HYPERLINK("#'Data &amp; Reporting'!A582","Open")</x:f>
        <x:v>Open</x:v>
      </x:c>
      <x:c r="B582" s="2" t="str">
        <x:f>'Data &amp; Reporting'!B582</x:f>
        <x:v>Cycle 4</x:v>
      </x:c>
      <x:c r="C582" s="2" t="str">
        <x:f>'Data &amp; Reporting'!C582</x:f>
        <x:v>Phase 1</x:v>
      </x:c>
      <x:c r="D582" s="2" t="str">
        <x:f>'Data &amp; Reporting'!D582</x:f>
        <x:v>Cards</x:v>
      </x:c>
      <x:c r="E582" s="2" t="str">
        <x:v>Data &amp; Reporting</x:v>
      </x:c>
      <x:c r="F582" s="56" t="str">
        <x:f>'Data &amp; Reporting'!E582</x:f>
        <x:v>DR.CA.1.1</x:v>
      </x:c>
      <x:c r="G582" s="14" t="str">
        <x:f>'Data &amp; Reporting'!F582</x:f>
        <x:v>Review data sources 3 weeks prior to Cycle start (Complaints, Gen AI, Loudspeaker, NPS, etc.)</x:v>
      </x:c>
      <x:c r="H582" s="2" t="str">
        <x:f>IF('Data &amp; Reporting'!G582="","",'Data &amp; Reporting'!G582)</x:f>
      </x:c>
      <x:c r="I582" s="12" t="str">
        <x:f>IF('Data &amp; Reporting'!H582="","",'Data &amp; Reporting'!H582)</x:f>
      </x:c>
      <x:c r="J582" s="12" t="n">
        <x:f>IF('Data &amp; Reporting'!I582="","",'Data &amp; Reporting'!I582)</x:f>
        <x:v>46275</x:v>
      </x:c>
      <x:c r="K582" s="12" t="str">
        <x:f>IF('Data &amp; Reporting'!J582="","",'Data &amp; Reporting'!J582)</x:f>
      </x:c>
      <x:c r="L582" s="2" t="str">
        <x:f>IF('Data &amp; Reporting'!K582="","",'Data &amp; Reporting'!K582)</x:f>
      </x:c>
      <x:c r="M582" s="2" t="n">
        <x:f>'Data &amp; Reporting'!Q582</x:f>
        <x:v>1</x:v>
      </x:c>
      <x:c r="N582" s="2" t="str">
        <x:f>'Data &amp; Reporting'!L582</x:f>
        <x:v>Not started</x:v>
      </x:c>
      <x:c r="O582" s="2" t="str">
        <x:f>'Data &amp; Reporting'!N582</x:f>
        <x:v>DR.CA.1.1.2026.CY4</x:v>
      </x:c>
      <x:c r="P582" s="2" t="n">
        <x:f>'Data &amp; Reporting'!O582</x:f>
        <x:v>0</x:v>
      </x:c>
      <x:c r="Q582" s="2" t="n">
        <x:f>SUBTOTAL(103,O582)</x:f>
        <x:v>1</x:v>
      </x:c>
      <x:c r="R582" s="2" t="n">
        <x:f>IF(AND(M582=1,OR(Dashboard!$B$7="All",Dashboard!$B$7='Cycles &amp; Guide'!$C$5),OR(Dashboard!$D$7="All",Dashboard!$D$7=B582),OR(Dashboard!$F$7="All",Dashboard!$F$7=C582),OR(Dashboard!$H$7="All",Dashboard!$H$7=D582),OR(Dashboard!$K$7="All",Dashboard!$K$7=E582)),1,0)</x:f>
        <x:v>1</x:v>
      </x:c>
      <x:c r="S582" s="2" t="n">
        <x:f>IF(R582=1,SUM($R$10:R582),0)</x:f>
        <x:v>287</x:v>
      </x:c>
      <x:c r="T582" s="2" t="str">
        <x:v>Data &amp; Reporting</x:v>
      </x:c>
      <x:c r="U582" s="2" t="n">
        <x:v>582</x:v>
      </x:c>
      <x:c r="V582" s="2" t="n">
        <x:f>IF(AND(M582=1,P582=0,ISNUMBER(J582),J582&lt;TODAY()),1,0)</x:f>
        <x:v>1</x:v>
      </x:c>
      <x:c r="W582" s="2" t="str">
        <x:f>'Data &amp; Reporting'!M582</x:f>
        <x:v>Task</x:v>
      </x:c>
    </x:row>
    <x:row r="583" ht="40" customHeight="1">
      <x:c r="A583" s="3" t="str">
        <x:f>HYPERLINK("#'Data &amp; Reporting'!A583","Open")</x:f>
        <x:v>Open</x:v>
      </x:c>
      <x:c r="B583" s="2" t="str">
        <x:f>'Data &amp; Reporting'!B583</x:f>
        <x:v>Cycle 4</x:v>
      </x:c>
      <x:c r="C583" s="2" t="str">
        <x:f>'Data &amp; Reporting'!C583</x:f>
        <x:v>Phase 1</x:v>
      </x:c>
      <x:c r="D583" s="2" t="str">
        <x:f>'Data &amp; Reporting'!D583</x:f>
        <x:v>Cards</x:v>
      </x:c>
      <x:c r="E583" s="2" t="str">
        <x:v>Data &amp; Reporting</x:v>
      </x:c>
      <x:c r="F583" s="56" t="str">
        <x:f>'Data &amp; Reporting'!E583</x:f>
        <x:v>DR.CA.1.2</x:v>
      </x:c>
      <x:c r="G583" s="14" t="str">
        <x:f>'Data &amp; Reporting'!F583</x:f>
        <x:v>Identify two potential topics for the upcoming Cycle</x:v>
      </x:c>
      <x:c r="H583" s="2" t="str">
        <x:f>IF('Data &amp; Reporting'!G583="","",'Data &amp; Reporting'!G583)</x:f>
      </x:c>
      <x:c r="I583" s="12" t="str">
        <x:f>IF('Data &amp; Reporting'!H583="","",'Data &amp; Reporting'!H583)</x:f>
      </x:c>
      <x:c r="J583" s="12" t="n">
        <x:f>IF('Data &amp; Reporting'!I583="","",'Data &amp; Reporting'!I583)</x:f>
        <x:v>46387</x:v>
      </x:c>
      <x:c r="K583" s="12" t="str">
        <x:f>IF('Data &amp; Reporting'!J583="","",'Data &amp; Reporting'!J583)</x:f>
      </x:c>
      <x:c r="L583" s="2" t="str">
        <x:f>IF('Data &amp; Reporting'!K583="","",'Data &amp; Reporting'!K583)</x:f>
      </x:c>
      <x:c r="M583" s="2" t="n">
        <x:f>'Data &amp; Reporting'!Q583</x:f>
        <x:v>1</x:v>
      </x:c>
      <x:c r="N583" s="2" t="str">
        <x:f>'Data &amp; Reporting'!L583</x:f>
        <x:v>Not started</x:v>
      </x:c>
      <x:c r="O583" s="2" t="str">
        <x:f>'Data &amp; Reporting'!N583</x:f>
        <x:v>DR.CA.1.2.2026.CY4</x:v>
      </x:c>
      <x:c r="P583" s="2" t="n">
        <x:f>'Data &amp; Reporting'!O583</x:f>
        <x:v>0</x:v>
      </x:c>
      <x:c r="Q583" s="2" t="n">
        <x:f>SUBTOTAL(103,O583)</x:f>
        <x:v>1</x:v>
      </x:c>
      <x:c r="R583" s="2" t="n">
        <x:f>IF(AND(M583=1,OR(Dashboard!$B$7="All",Dashboard!$B$7='Cycles &amp; Guide'!$C$5),OR(Dashboard!$D$7="All",Dashboard!$D$7=B583),OR(Dashboard!$F$7="All",Dashboard!$F$7=C583),OR(Dashboard!$H$7="All",Dashboard!$H$7=D583),OR(Dashboard!$K$7="All",Dashboard!$K$7=E583)),1,0)</x:f>
        <x:v>1</x:v>
      </x:c>
      <x:c r="S583" s="2" t="n">
        <x:f>IF(R583=1,SUM($R$10:R583),0)</x:f>
        <x:v>288</x:v>
      </x:c>
      <x:c r="T583" s="2" t="str">
        <x:v>Data &amp; Reporting</x:v>
      </x:c>
      <x:c r="U583" s="2" t="n">
        <x:v>583</x:v>
      </x:c>
      <x:c r="V583" s="2" t="n">
        <x:f>IF(AND(M583=1,P583=0,ISNUMBER(J583),J583&lt;TODAY()),1,0)</x:f>
        <x:v>0</x:v>
      </x:c>
      <x:c r="W583" s="2" t="str">
        <x:f>'Data &amp; Reporting'!M583</x:f>
        <x:v>Task</x:v>
      </x:c>
    </x:row>
    <x:row r="584" ht="40" customHeight="1">
      <x:c r="A584" s="3" t="str">
        <x:f>HYPERLINK("#'Data &amp; Reporting'!A584","Open")</x:f>
        <x:v>Open</x:v>
      </x:c>
      <x:c r="B584" s="2" t="str">
        <x:f>'Data &amp; Reporting'!B584</x:f>
        <x:v>Cycle 4</x:v>
      </x:c>
      <x:c r="C584" s="2" t="str">
        <x:f>'Data &amp; Reporting'!C584</x:f>
        <x:v>Phase 1</x:v>
      </x:c>
      <x:c r="D584" s="2" t="str">
        <x:f>'Data &amp; Reporting'!D584</x:f>
        <x:v>Cards</x:v>
      </x:c>
      <x:c r="E584" s="2" t="str">
        <x:v>Data &amp; Reporting</x:v>
      </x:c>
      <x:c r="F584" s="56" t="str">
        <x:f>'Data &amp; Reporting'!E584</x:f>
        <x:v>DR.CA.1.3</x:v>
      </x:c>
      <x:c r="G584" s="14" t="str">
        <x:f>'Data &amp; Reporting'!F584</x:f>
        <x:v>Extract data for both potential topics, ensuring all checklist items below are included/completed</x:v>
      </x:c>
      <x:c r="H584" s="2" t="str">
        <x:f>IF('Data &amp; Reporting'!G584="","",'Data &amp; Reporting'!G584)</x:f>
      </x:c>
      <x:c r="I584" s="12" t="str">
        <x:f>IF('Data &amp; Reporting'!H584="","",'Data &amp; Reporting'!H584)</x:f>
      </x:c>
      <x:c r="J584" s="12" t="n">
        <x:f>IF('Data &amp; Reporting'!I584="","",'Data &amp; Reporting'!I584)</x:f>
        <x:v>46387</x:v>
      </x:c>
      <x:c r="K584" s="12" t="str">
        <x:f>IF('Data &amp; Reporting'!J584="","",'Data &amp; Reporting'!J584)</x:f>
      </x:c>
      <x:c r="L584" s="2" t="str">
        <x:f>IF('Data &amp; Reporting'!K584="","",'Data &amp; Reporting'!K584)</x:f>
      </x:c>
      <x:c r="M584" s="2" t="n">
        <x:f>'Data &amp; Reporting'!Q584</x:f>
        <x:v>1</x:v>
      </x:c>
      <x:c r="N584" s="2" t="str">
        <x:f>'Data &amp; Reporting'!L584</x:f>
        <x:v>Not started</x:v>
      </x:c>
      <x:c r="O584" s="2" t="str">
        <x:f>'Data &amp; Reporting'!N584</x:f>
        <x:v>DR.CA.1.3.2026.CY4</x:v>
      </x:c>
      <x:c r="P584" s="2" t="n">
        <x:f>'Data &amp; Reporting'!O584</x:f>
        <x:v>0</x:v>
      </x:c>
      <x:c r="Q584" s="2" t="n">
        <x:f>SUBTOTAL(103,O584)</x:f>
        <x:v>1</x:v>
      </x:c>
      <x:c r="R584" s="2" t="n">
        <x:f>IF(AND(M584=1,OR(Dashboard!$B$7="All",Dashboard!$B$7='Cycles &amp; Guide'!$C$5),OR(Dashboard!$D$7="All",Dashboard!$D$7=B584),OR(Dashboard!$F$7="All",Dashboard!$F$7=C584),OR(Dashboard!$H$7="All",Dashboard!$H$7=D584),OR(Dashboard!$K$7="All",Dashboard!$K$7=E584)),1,0)</x:f>
        <x:v>1</x:v>
      </x:c>
      <x:c r="S584" s="2" t="n">
        <x:f>IF(R584=1,SUM($R$10:R584),0)</x:f>
        <x:v>289</x:v>
      </x:c>
      <x:c r="T584" s="2" t="str">
        <x:v>Data &amp; Reporting</x:v>
      </x:c>
      <x:c r="U584" s="2" t="n">
        <x:v>584</x:v>
      </x:c>
      <x:c r="V584" s="2" t="n">
        <x:f>IF(AND(M584=1,P584=0,ISNUMBER(J584),J584&lt;TODAY()),1,0)</x:f>
        <x:v>0</x:v>
      </x:c>
      <x:c r="W584" s="2" t="str">
        <x:f>'Data &amp; Reporting'!M584</x:f>
        <x:v>Task</x:v>
      </x:c>
    </x:row>
    <x:row r="585" ht="40" customHeight="1">
      <x:c r="A585" s="3" t="str">
        <x:f>HYPERLINK("#'Data &amp; Reporting'!A585","Open")</x:f>
        <x:v>Open</x:v>
      </x:c>
      <x:c r="B585" s="2" t="str">
        <x:f>'Data &amp; Reporting'!B585</x:f>
        <x:v>Cycle 4</x:v>
      </x:c>
      <x:c r="C585" s="2" t="str">
        <x:f>'Data &amp; Reporting'!C585</x:f>
        <x:v>Phase 1</x:v>
      </x:c>
      <x:c r="D585" s="2" t="str">
        <x:f>'Data &amp; Reporting'!D585</x:f>
        <x:v>Cards</x:v>
      </x:c>
      <x:c r="E585" s="2" t="str">
        <x:v>Data &amp; Reporting</x:v>
      </x:c>
      <x:c r="F585" s="56" t="str">
        <x:f>'Data &amp; Reporting'!E585</x:f>
        <x:v>DR.CA.1.3.C01</x:v>
      </x:c>
      <x:c r="G585" s="14" t="str">
        <x:f>'Data &amp; Reporting'!F585</x:f>
        <x:v>    Document date range extracted</x:v>
      </x:c>
      <x:c r="H585" s="2" t="str">
        <x:f>IF('Data &amp; Reporting'!G585="","",'Data &amp; Reporting'!G585)</x:f>
      </x:c>
      <x:c r="I585" s="12" t="str">
        <x:f>IF('Data &amp; Reporting'!H585="","",'Data &amp; Reporting'!H585)</x:f>
      </x:c>
      <x:c r="J585" s="12" t="str">
        <x:f>IF('Data &amp; Reporting'!I585="","",'Data &amp; Reporting'!I585)</x:f>
      </x:c>
      <x:c r="K585" s="12" t="str">
        <x:f>IF('Data &amp; Reporting'!J585="","",'Data &amp; Reporting'!J585)</x:f>
      </x:c>
      <x:c r="L585" s="2" t="str">
        <x:f>IF('Data &amp; Reporting'!K585="","",'Data &amp; Reporting'!K585)</x:f>
      </x:c>
      <x:c r="M585" s="2" t="n">
        <x:f>'Data &amp; Reporting'!Q585</x:f>
        <x:v>0</x:v>
      </x:c>
      <x:c r="N585" s="2" t="str">
        <x:f>'Data &amp; Reporting'!L585</x:f>
        <x:v>Open check</x:v>
      </x:c>
      <x:c r="O585" s="2" t="str">
        <x:f>'Data &amp; Reporting'!N585</x:f>
        <x:v>DR.CA.1.3.C01.2026.CY4</x:v>
      </x:c>
      <x:c r="P585" s="2" t="n">
        <x:f>'Data &amp; Reporting'!O585</x:f>
        <x:v>0</x:v>
      </x:c>
      <x:c r="Q585" s="2" t="n">
        <x:f>SUBTOTAL(103,O585)</x:f>
        <x:v>1</x:v>
      </x:c>
      <x:c r="R585" s="2" t="n">
        <x:f>IF(AND(M585=1,OR(Dashboard!$B$7="All",Dashboard!$B$7='Cycles &amp; Guide'!$C$5),OR(Dashboard!$D$7="All",Dashboard!$D$7=B585),OR(Dashboard!$F$7="All",Dashboard!$F$7=C585),OR(Dashboard!$H$7="All",Dashboard!$H$7=D585),OR(Dashboard!$K$7="All",Dashboard!$K$7=E585)),1,0)</x:f>
        <x:v>0</x:v>
      </x:c>
      <x:c r="S585" s="2" t="n">
        <x:f>IF(R585=1,SUM($R$10:R585),0)</x:f>
        <x:v>0</x:v>
      </x:c>
      <x:c r="T585" s="2" t="str">
        <x:v>Data &amp; Reporting</x:v>
      </x:c>
      <x:c r="U585" s="2" t="n">
        <x:v>585</x:v>
      </x:c>
      <x:c r="V585" s="2" t="n">
        <x:f>IF(AND(M585=1,P585=0,ISNUMBER(J585),J585&lt;TODAY()),1,0)</x:f>
        <x:v>0</x:v>
      </x:c>
      <x:c r="W585" s="2" t="str">
        <x:f>'Data &amp; Reporting'!M585</x:f>
        <x:v>Checklist</x:v>
      </x:c>
    </x:row>
    <x:row r="586" ht="40" customHeight="1">
      <x:c r="A586" s="3" t="str">
        <x:f>HYPERLINK("#'Data &amp; Reporting'!A586","Open")</x:f>
        <x:v>Open</x:v>
      </x:c>
      <x:c r="B586" s="2" t="str">
        <x:f>'Data &amp; Reporting'!B586</x:f>
        <x:v>Cycle 4</x:v>
      </x:c>
      <x:c r="C586" s="2" t="str">
        <x:f>'Data &amp; Reporting'!C586</x:f>
        <x:v>Phase 1</x:v>
      </x:c>
      <x:c r="D586" s="2" t="str">
        <x:f>'Data &amp; Reporting'!D586</x:f>
        <x:v>Cards</x:v>
      </x:c>
      <x:c r="E586" s="2" t="str">
        <x:v>Data &amp; Reporting</x:v>
      </x:c>
      <x:c r="F586" s="56" t="str">
        <x:f>'Data &amp; Reporting'!E586</x:f>
        <x:v>DR.CA.1.3.C02</x:v>
      </x:c>
      <x:c r="G586" s="14" t="str">
        <x:f>'Data &amp; Reporting'!F586</x:f>
        <x:v>    Document date of data pull</x:v>
      </x:c>
      <x:c r="H586" s="2" t="str">
        <x:f>IF('Data &amp; Reporting'!G586="","",'Data &amp; Reporting'!G586)</x:f>
      </x:c>
      <x:c r="I586" s="12" t="str">
        <x:f>IF('Data &amp; Reporting'!H586="","",'Data &amp; Reporting'!H586)</x:f>
      </x:c>
      <x:c r="J586" s="12" t="str">
        <x:f>IF('Data &amp; Reporting'!I586="","",'Data &amp; Reporting'!I586)</x:f>
      </x:c>
      <x:c r="K586" s="12" t="str">
        <x:f>IF('Data &amp; Reporting'!J586="","",'Data &amp; Reporting'!J586)</x:f>
      </x:c>
      <x:c r="L586" s="2" t="str">
        <x:f>IF('Data &amp; Reporting'!K586="","",'Data &amp; Reporting'!K586)</x:f>
      </x:c>
      <x:c r="M586" s="2" t="n">
        <x:f>'Data &amp; Reporting'!Q586</x:f>
        <x:v>0</x:v>
      </x:c>
      <x:c r="N586" s="2" t="str">
        <x:f>'Data &amp; Reporting'!L586</x:f>
        <x:v>Open check</x:v>
      </x:c>
      <x:c r="O586" s="2" t="str">
        <x:f>'Data &amp; Reporting'!N586</x:f>
        <x:v>DR.CA.1.3.C02.2026.CY4</x:v>
      </x:c>
      <x:c r="P586" s="2" t="n">
        <x:f>'Data &amp; Reporting'!O586</x:f>
        <x:v>0</x:v>
      </x:c>
      <x:c r="Q586" s="2" t="n">
        <x:f>SUBTOTAL(103,O586)</x:f>
        <x:v>1</x:v>
      </x:c>
      <x:c r="R586" s="2" t="n">
        <x:f>IF(AND(M586=1,OR(Dashboard!$B$7="All",Dashboard!$B$7='Cycles &amp; Guide'!$C$5),OR(Dashboard!$D$7="All",Dashboard!$D$7=B586),OR(Dashboard!$F$7="All",Dashboard!$F$7=C586),OR(Dashboard!$H$7="All",Dashboard!$H$7=D586),OR(Dashboard!$K$7="All",Dashboard!$K$7=E586)),1,0)</x:f>
        <x:v>0</x:v>
      </x:c>
      <x:c r="S586" s="2" t="n">
        <x:f>IF(R586=1,SUM($R$10:R586),0)</x:f>
        <x:v>0</x:v>
      </x:c>
      <x:c r="T586" s="2" t="str">
        <x:v>Data &amp; Reporting</x:v>
      </x:c>
      <x:c r="U586" s="2" t="n">
        <x:v>586</x:v>
      </x:c>
      <x:c r="V586" s="2" t="n">
        <x:f>IF(AND(M586=1,P586=0,ISNUMBER(J586),J586&lt;TODAY()),1,0)</x:f>
        <x:v>0</x:v>
      </x:c>
      <x:c r="W586" s="2" t="str">
        <x:f>'Data &amp; Reporting'!M586</x:f>
        <x:v>Checklist</x:v>
      </x:c>
    </x:row>
    <x:row r="587" ht="40" customHeight="1">
      <x:c r="A587" s="3" t="str">
        <x:f>HYPERLINK("#'Data &amp; Reporting'!A587","Open")</x:f>
        <x:v>Open</x:v>
      </x:c>
      <x:c r="B587" s="2" t="str">
        <x:f>'Data &amp; Reporting'!B587</x:f>
        <x:v>Cycle 4</x:v>
      </x:c>
      <x:c r="C587" s="2" t="str">
        <x:f>'Data &amp; Reporting'!C587</x:f>
        <x:v>Phase 1</x:v>
      </x:c>
      <x:c r="D587" s="2" t="str">
        <x:f>'Data &amp; Reporting'!D587</x:f>
        <x:v>Cards</x:v>
      </x:c>
      <x:c r="E587" s="2" t="str">
        <x:v>Data &amp; Reporting</x:v>
      </x:c>
      <x:c r="F587" s="56" t="str">
        <x:f>'Data &amp; Reporting'!E587</x:f>
        <x:v>DR.CA.1.3.C03</x:v>
      </x:c>
      <x:c r="G587" s="14" t="str">
        <x:f>'Data &amp; Reporting'!F587</x:f>
        <x:v>    Document population details</x:v>
      </x:c>
      <x:c r="H587" s="2" t="str">
        <x:f>IF('Data &amp; Reporting'!G587="","",'Data &amp; Reporting'!G587)</x:f>
      </x:c>
      <x:c r="I587" s="12" t="str">
        <x:f>IF('Data &amp; Reporting'!H587="","",'Data &amp; Reporting'!H587)</x:f>
      </x:c>
      <x:c r="J587" s="12" t="str">
        <x:f>IF('Data &amp; Reporting'!I587="","",'Data &amp; Reporting'!I587)</x:f>
      </x:c>
      <x:c r="K587" s="12" t="str">
        <x:f>IF('Data &amp; Reporting'!J587="","",'Data &amp; Reporting'!J587)</x:f>
      </x:c>
      <x:c r="L587" s="2" t="str">
        <x:f>IF('Data &amp; Reporting'!K587="","",'Data &amp; Reporting'!K587)</x:f>
      </x:c>
      <x:c r="M587" s="2" t="n">
        <x:f>'Data &amp; Reporting'!Q587</x:f>
        <x:v>0</x:v>
      </x:c>
      <x:c r="N587" s="2" t="str">
        <x:f>'Data &amp; Reporting'!L587</x:f>
        <x:v>Open check</x:v>
      </x:c>
      <x:c r="O587" s="2" t="str">
        <x:f>'Data &amp; Reporting'!N587</x:f>
        <x:v>DR.CA.1.3.C03.2026.CY4</x:v>
      </x:c>
      <x:c r="P587" s="2" t="n">
        <x:f>'Data &amp; Reporting'!O587</x:f>
        <x:v>0</x:v>
      </x:c>
      <x:c r="Q587" s="2" t="n">
        <x:f>SUBTOTAL(103,O587)</x:f>
        <x:v>1</x:v>
      </x:c>
      <x:c r="R587" s="2" t="n">
        <x:f>IF(AND(M587=1,OR(Dashboard!$B$7="All",Dashboard!$B$7='Cycles &amp; Guide'!$C$5),OR(Dashboard!$D$7="All",Dashboard!$D$7=B587),OR(Dashboard!$F$7="All",Dashboard!$F$7=C587),OR(Dashboard!$H$7="All",Dashboard!$H$7=D587),OR(Dashboard!$K$7="All",Dashboard!$K$7=E587)),1,0)</x:f>
        <x:v>0</x:v>
      </x:c>
      <x:c r="S587" s="2" t="n">
        <x:f>IF(R587=1,SUM($R$10:R587),0)</x:f>
        <x:v>0</x:v>
      </x:c>
      <x:c r="T587" s="2" t="str">
        <x:v>Data &amp; Reporting</x:v>
      </x:c>
      <x:c r="U587" s="2" t="n">
        <x:v>587</x:v>
      </x:c>
      <x:c r="V587" s="2" t="n">
        <x:f>IF(AND(M587=1,P587=0,ISNUMBER(J587),J587&lt;TODAY()),1,0)</x:f>
        <x:v>0</x:v>
      </x:c>
      <x:c r="W587" s="2" t="str">
        <x:f>'Data &amp; Reporting'!M587</x:f>
        <x:v>Checklist</x:v>
      </x:c>
    </x:row>
    <x:row r="588" ht="40" customHeight="1">
      <x:c r="A588" s="3" t="str">
        <x:f>HYPERLINK("#'Data &amp; Reporting'!A588","Open")</x:f>
        <x:v>Open</x:v>
      </x:c>
      <x:c r="B588" s="2" t="str">
        <x:f>'Data &amp; Reporting'!B588</x:f>
        <x:v>Cycle 4</x:v>
      </x:c>
      <x:c r="C588" s="2" t="str">
        <x:f>'Data &amp; Reporting'!C588</x:f>
        <x:v>Phase 1</x:v>
      </x:c>
      <x:c r="D588" s="2" t="str">
        <x:f>'Data &amp; Reporting'!D588</x:f>
        <x:v>Cards</x:v>
      </x:c>
      <x:c r="E588" s="2" t="str">
        <x:v>Data &amp; Reporting</x:v>
      </x:c>
      <x:c r="F588" s="56" t="str">
        <x:f>'Data &amp; Reporting'!E588</x:f>
        <x:v>DR.CA.1.3.C04</x:v>
      </x:c>
      <x:c r="G588" s="14" t="str">
        <x:f>'Data &amp; Reporting'!F588</x:f>
        <x:v>    Validate no data is missing</x:v>
      </x:c>
      <x:c r="H588" s="2" t="str">
        <x:f>IF('Data &amp; Reporting'!G588="","",'Data &amp; Reporting'!G588)</x:f>
      </x:c>
      <x:c r="I588" s="12" t="str">
        <x:f>IF('Data &amp; Reporting'!H588="","",'Data &amp; Reporting'!H588)</x:f>
      </x:c>
      <x:c r="J588" s="12" t="str">
        <x:f>IF('Data &amp; Reporting'!I588="","",'Data &amp; Reporting'!I588)</x:f>
      </x:c>
      <x:c r="K588" s="12" t="str">
        <x:f>IF('Data &amp; Reporting'!J588="","",'Data &amp; Reporting'!J588)</x:f>
      </x:c>
      <x:c r="L588" s="2" t="str">
        <x:f>IF('Data &amp; Reporting'!K588="","",'Data &amp; Reporting'!K588)</x:f>
      </x:c>
      <x:c r="M588" s="2" t="n">
        <x:f>'Data &amp; Reporting'!Q588</x:f>
        <x:v>0</x:v>
      </x:c>
      <x:c r="N588" s="2" t="str">
        <x:f>'Data &amp; Reporting'!L588</x:f>
        <x:v>Open check</x:v>
      </x:c>
      <x:c r="O588" s="2" t="str">
        <x:f>'Data &amp; Reporting'!N588</x:f>
        <x:v>DR.CA.1.3.C04.2026.CY4</x:v>
      </x:c>
      <x:c r="P588" s="2" t="n">
        <x:f>'Data &amp; Reporting'!O588</x:f>
        <x:v>0</x:v>
      </x:c>
      <x:c r="Q588" s="2" t="n">
        <x:f>SUBTOTAL(103,O588)</x:f>
        <x:v>1</x:v>
      </x:c>
      <x:c r="R588" s="2" t="n">
        <x:f>IF(AND(M588=1,OR(Dashboard!$B$7="All",Dashboard!$B$7='Cycles &amp; Guide'!$C$5),OR(Dashboard!$D$7="All",Dashboard!$D$7=B588),OR(Dashboard!$F$7="All",Dashboard!$F$7=C588),OR(Dashboard!$H$7="All",Dashboard!$H$7=D588),OR(Dashboard!$K$7="All",Dashboard!$K$7=E588)),1,0)</x:f>
        <x:v>0</x:v>
      </x:c>
      <x:c r="S588" s="2" t="n">
        <x:f>IF(R588=1,SUM($R$10:R588),0)</x:f>
        <x:v>0</x:v>
      </x:c>
      <x:c r="T588" s="2" t="str">
        <x:v>Data &amp; Reporting</x:v>
      </x:c>
      <x:c r="U588" s="2" t="n">
        <x:v>588</x:v>
      </x:c>
      <x:c r="V588" s="2" t="n">
        <x:f>IF(AND(M588=1,P588=0,ISNUMBER(J588),J588&lt;TODAY()),1,0)</x:f>
        <x:v>0</x:v>
      </x:c>
      <x:c r="W588" s="2" t="str">
        <x:f>'Data &amp; Reporting'!M588</x:f>
        <x:v>Checklist</x:v>
      </x:c>
    </x:row>
    <x:row r="589" ht="40" customHeight="1">
      <x:c r="A589" s="3" t="str">
        <x:f>HYPERLINK("#'Data &amp; Reporting'!A589","Open")</x:f>
        <x:v>Open</x:v>
      </x:c>
      <x:c r="B589" s="2" t="str">
        <x:f>'Data &amp; Reporting'!B589</x:f>
        <x:v>Cycle 4</x:v>
      </x:c>
      <x:c r="C589" s="2" t="str">
        <x:f>'Data &amp; Reporting'!C589</x:f>
        <x:v>Phase 1</x:v>
      </x:c>
      <x:c r="D589" s="2" t="str">
        <x:f>'Data &amp; Reporting'!D589</x:f>
        <x:v>Cards</x:v>
      </x:c>
      <x:c r="E589" s="2" t="str">
        <x:v>Data &amp; Reporting</x:v>
      </x:c>
      <x:c r="F589" s="56" t="str">
        <x:f>'Data &amp; Reporting'!E589</x:f>
        <x:v>DR.CA.1.3.C05</x:v>
      </x:c>
      <x:c r="G589" s="14" t="str">
        <x:f>'Data &amp; Reporting'!F589</x:f>
        <x:v>    Validate accuracy of data</x:v>
      </x:c>
      <x:c r="H589" s="2" t="str">
        <x:f>IF('Data &amp; Reporting'!G589="","",'Data &amp; Reporting'!G589)</x:f>
      </x:c>
      <x:c r="I589" s="12" t="str">
        <x:f>IF('Data &amp; Reporting'!H589="","",'Data &amp; Reporting'!H589)</x:f>
      </x:c>
      <x:c r="J589" s="12" t="str">
        <x:f>IF('Data &amp; Reporting'!I589="","",'Data &amp; Reporting'!I589)</x:f>
      </x:c>
      <x:c r="K589" s="12" t="str">
        <x:f>IF('Data &amp; Reporting'!J589="","",'Data &amp; Reporting'!J589)</x:f>
      </x:c>
      <x:c r="L589" s="2" t="str">
        <x:f>IF('Data &amp; Reporting'!K589="","",'Data &amp; Reporting'!K589)</x:f>
      </x:c>
      <x:c r="M589" s="2" t="n">
        <x:f>'Data &amp; Reporting'!Q589</x:f>
        <x:v>0</x:v>
      </x:c>
      <x:c r="N589" s="2" t="str">
        <x:f>'Data &amp; Reporting'!L589</x:f>
        <x:v>Open check</x:v>
      </x:c>
      <x:c r="O589" s="2" t="str">
        <x:f>'Data &amp; Reporting'!N589</x:f>
        <x:v>DR.CA.1.3.C05.2026.CY4</x:v>
      </x:c>
      <x:c r="P589" s="2" t="n">
        <x:f>'Data &amp; Reporting'!O589</x:f>
        <x:v>0</x:v>
      </x:c>
      <x:c r="Q589" s="2" t="n">
        <x:f>SUBTOTAL(103,O589)</x:f>
        <x:v>1</x:v>
      </x:c>
      <x:c r="R589" s="2" t="n">
        <x:f>IF(AND(M589=1,OR(Dashboard!$B$7="All",Dashboard!$B$7='Cycles &amp; Guide'!$C$5),OR(Dashboard!$D$7="All",Dashboard!$D$7=B589),OR(Dashboard!$F$7="All",Dashboard!$F$7=C589),OR(Dashboard!$H$7="All",Dashboard!$H$7=D589),OR(Dashboard!$K$7="All",Dashboard!$K$7=E589)),1,0)</x:f>
        <x:v>0</x:v>
      </x:c>
      <x:c r="S589" s="2" t="n">
        <x:f>IF(R589=1,SUM($R$10:R589),0)</x:f>
        <x:v>0</x:v>
      </x:c>
      <x:c r="T589" s="2" t="str">
        <x:v>Data &amp; Reporting</x:v>
      </x:c>
      <x:c r="U589" s="2" t="n">
        <x:v>589</x:v>
      </x:c>
      <x:c r="V589" s="2" t="n">
        <x:f>IF(AND(M589=1,P589=0,ISNUMBER(J589),J589&lt;TODAY()),1,0)</x:f>
        <x:v>0</x:v>
      </x:c>
      <x:c r="W589" s="2" t="str">
        <x:f>'Data &amp; Reporting'!M589</x:f>
        <x:v>Checklist</x:v>
      </x:c>
    </x:row>
    <x:row r="590" ht="40" customHeight="1">
      <x:c r="A590" s="3" t="str">
        <x:f>HYPERLINK("#'Data &amp; Reporting'!A590","Open")</x:f>
        <x:v>Open</x:v>
      </x:c>
      <x:c r="B590" s="2" t="str">
        <x:f>'Data &amp; Reporting'!B590</x:f>
        <x:v>Cycle 4</x:v>
      </x:c>
      <x:c r="C590" s="2" t="str">
        <x:f>'Data &amp; Reporting'!C590</x:f>
        <x:v>Phase 1</x:v>
      </x:c>
      <x:c r="D590" s="2" t="str">
        <x:f>'Data &amp; Reporting'!D590</x:f>
        <x:v>Cards</x:v>
      </x:c>
      <x:c r="E590" s="2" t="str">
        <x:v>Data &amp; Reporting</x:v>
      </x:c>
      <x:c r="F590" s="56" t="str">
        <x:f>'Data &amp; Reporting'!E590</x:f>
        <x:v>DR.CA.1.3.C06</x:v>
      </x:c>
      <x:c r="G590" s="14" t="str">
        <x:f>'Data &amp; Reporting'!F590</x:f>
        <x:v>    Validate no duplicate data is provided</x:v>
      </x:c>
      <x:c r="H590" s="2" t="str">
        <x:f>IF('Data &amp; Reporting'!G590="","",'Data &amp; Reporting'!G590)</x:f>
      </x:c>
      <x:c r="I590" s="12" t="str">
        <x:f>IF('Data &amp; Reporting'!H590="","",'Data &amp; Reporting'!H590)</x:f>
      </x:c>
      <x:c r="J590" s="12" t="str">
        <x:f>IF('Data &amp; Reporting'!I590="","",'Data &amp; Reporting'!I590)</x:f>
      </x:c>
      <x:c r="K590" s="12" t="str">
        <x:f>IF('Data &amp; Reporting'!J590="","",'Data &amp; Reporting'!J590)</x:f>
      </x:c>
      <x:c r="L590" s="2" t="str">
        <x:f>IF('Data &amp; Reporting'!K590="","",'Data &amp; Reporting'!K590)</x:f>
      </x:c>
      <x:c r="M590" s="2" t="n">
        <x:f>'Data &amp; Reporting'!Q590</x:f>
        <x:v>0</x:v>
      </x:c>
      <x:c r="N590" s="2" t="str">
        <x:f>'Data &amp; Reporting'!L590</x:f>
        <x:v>Open check</x:v>
      </x:c>
      <x:c r="O590" s="2" t="str">
        <x:f>'Data &amp; Reporting'!N590</x:f>
        <x:v>DR.CA.1.3.C06.2026.CY4</x:v>
      </x:c>
      <x:c r="P590" s="2" t="n">
        <x:f>'Data &amp; Reporting'!O590</x:f>
        <x:v>0</x:v>
      </x:c>
      <x:c r="Q590" s="2" t="n">
        <x:f>SUBTOTAL(103,O590)</x:f>
        <x:v>1</x:v>
      </x:c>
      <x:c r="R590" s="2" t="n">
        <x:f>IF(AND(M590=1,OR(Dashboard!$B$7="All",Dashboard!$B$7='Cycles &amp; Guide'!$C$5),OR(Dashboard!$D$7="All",Dashboard!$D$7=B590),OR(Dashboard!$F$7="All",Dashboard!$F$7=C590),OR(Dashboard!$H$7="All",Dashboard!$H$7=D590),OR(Dashboard!$K$7="All",Dashboard!$K$7=E590)),1,0)</x:f>
        <x:v>0</x:v>
      </x:c>
      <x:c r="S590" s="2" t="n">
        <x:f>IF(R590=1,SUM($R$10:R590),0)</x:f>
        <x:v>0</x:v>
      </x:c>
      <x:c r="T590" s="2" t="str">
        <x:v>Data &amp; Reporting</x:v>
      </x:c>
      <x:c r="U590" s="2" t="n">
        <x:v>590</x:v>
      </x:c>
      <x:c r="V590" s="2" t="n">
        <x:f>IF(AND(M590=1,P590=0,ISNUMBER(J590),J590&lt;TODAY()),1,0)</x:f>
        <x:v>0</x:v>
      </x:c>
      <x:c r="W590" s="2" t="str">
        <x:f>'Data &amp; Reporting'!M590</x:f>
        <x:v>Checklist</x:v>
      </x:c>
    </x:row>
    <x:row r="591" ht="40" customHeight="1">
      <x:c r="A591" s="3" t="str">
        <x:f>HYPERLINK("#'Data &amp; Reporting'!A591","Open")</x:f>
        <x:v>Open</x:v>
      </x:c>
      <x:c r="B591" s="2" t="str">
        <x:f>'Data &amp; Reporting'!B591</x:f>
        <x:v>Cycle 4</x:v>
      </x:c>
      <x:c r="C591" s="2" t="str">
        <x:f>'Data &amp; Reporting'!C591</x:f>
        <x:v>Phase 1</x:v>
      </x:c>
      <x:c r="D591" s="2" t="str">
        <x:f>'Data &amp; Reporting'!D591</x:f>
        <x:v>Cards</x:v>
      </x:c>
      <x:c r="E591" s="2" t="str">
        <x:v>Data &amp; Reporting</x:v>
      </x:c>
      <x:c r="F591" s="56" t="str">
        <x:f>'Data &amp; Reporting'!E591</x:f>
        <x:v>DR.CA.1.3.C07</x:v>
      </x:c>
      <x:c r="G591" s="14" t="str">
        <x:f>'Data &amp; Reporting'!F591</x:f>
        <x:v>    Document any data exclusions along with justification (as needed)</x:v>
      </x:c>
      <x:c r="H591" s="2" t="str">
        <x:f>IF('Data &amp; Reporting'!G591="","",'Data &amp; Reporting'!G591)</x:f>
      </x:c>
      <x:c r="I591" s="12" t="str">
        <x:f>IF('Data &amp; Reporting'!H591="","",'Data &amp; Reporting'!H591)</x:f>
      </x:c>
      <x:c r="J591" s="12" t="str">
        <x:f>IF('Data &amp; Reporting'!I591="","",'Data &amp; Reporting'!I591)</x:f>
      </x:c>
      <x:c r="K591" s="12" t="str">
        <x:f>IF('Data &amp; Reporting'!J591="","",'Data &amp; Reporting'!J591)</x:f>
      </x:c>
      <x:c r="L591" s="2" t="str">
        <x:f>IF('Data &amp; Reporting'!K591="","",'Data &amp; Reporting'!K591)</x:f>
      </x:c>
      <x:c r="M591" s="2" t="n">
        <x:f>'Data &amp; Reporting'!Q591</x:f>
        <x:v>0</x:v>
      </x:c>
      <x:c r="N591" s="2" t="str">
        <x:f>'Data &amp; Reporting'!L591</x:f>
        <x:v>Open check</x:v>
      </x:c>
      <x:c r="O591" s="2" t="str">
        <x:f>'Data &amp; Reporting'!N591</x:f>
        <x:v>DR.CA.1.3.C07.2026.CY4</x:v>
      </x:c>
      <x:c r="P591" s="2" t="n">
        <x:f>'Data &amp; Reporting'!O591</x:f>
        <x:v>0</x:v>
      </x:c>
      <x:c r="Q591" s="2" t="n">
        <x:f>SUBTOTAL(103,O591)</x:f>
        <x:v>1</x:v>
      </x:c>
      <x:c r="R591" s="2" t="n">
        <x:f>IF(AND(M591=1,OR(Dashboard!$B$7="All",Dashboard!$B$7='Cycles &amp; Guide'!$C$5),OR(Dashboard!$D$7="All",Dashboard!$D$7=B591),OR(Dashboard!$F$7="All",Dashboard!$F$7=C591),OR(Dashboard!$H$7="All",Dashboard!$H$7=D591),OR(Dashboard!$K$7="All",Dashboard!$K$7=E591)),1,0)</x:f>
        <x:v>0</x:v>
      </x:c>
      <x:c r="S591" s="2" t="n">
        <x:f>IF(R591=1,SUM($R$10:R591),0)</x:f>
        <x:v>0</x:v>
      </x:c>
      <x:c r="T591" s="2" t="str">
        <x:v>Data &amp; Reporting</x:v>
      </x:c>
      <x:c r="U591" s="2" t="n">
        <x:v>591</x:v>
      </x:c>
      <x:c r="V591" s="2" t="n">
        <x:f>IF(AND(M591=1,P591=0,ISNUMBER(J591),J591&lt;TODAY()),1,0)</x:f>
        <x:v>0</x:v>
      </x:c>
      <x:c r="W591" s="2" t="str">
        <x:f>'Data &amp; Reporting'!M591</x:f>
        <x:v>Checklist</x:v>
      </x:c>
    </x:row>
    <x:row r="592" ht="40" customHeight="1">
      <x:c r="A592" s="3" t="str">
        <x:f>HYPERLINK("#'Data &amp; Reporting'!A592","Open")</x:f>
        <x:v>Open</x:v>
      </x:c>
      <x:c r="B592" s="2" t="str">
        <x:f>'Data &amp; Reporting'!B592</x:f>
        <x:v>Cycle 4</x:v>
      </x:c>
      <x:c r="C592" s="2" t="str">
        <x:f>'Data &amp; Reporting'!C592</x:f>
        <x:v>Phase 1</x:v>
      </x:c>
      <x:c r="D592" s="2" t="str">
        <x:f>'Data &amp; Reporting'!D592</x:f>
        <x:v>Cards</x:v>
      </x:c>
      <x:c r="E592" s="2" t="str">
        <x:v>Data &amp; Reporting</x:v>
      </x:c>
      <x:c r="F592" s="56" t="str">
        <x:f>'Data &amp; Reporting'!E592</x:f>
        <x:v>DR.CA.1.3.C08</x:v>
      </x:c>
      <x:c r="G592" s="14" t="str">
        <x:f>'Data &amp; Reporting'!F592</x:f>
        <x:v>    Document any assumptions made with the data (as needed)</x:v>
      </x:c>
      <x:c r="H592" s="2" t="str">
        <x:f>IF('Data &amp; Reporting'!G592="","",'Data &amp; Reporting'!G592)</x:f>
      </x:c>
      <x:c r="I592" s="12" t="str">
        <x:f>IF('Data &amp; Reporting'!H592="","",'Data &amp; Reporting'!H592)</x:f>
      </x:c>
      <x:c r="J592" s="12" t="str">
        <x:f>IF('Data &amp; Reporting'!I592="","",'Data &amp; Reporting'!I592)</x:f>
      </x:c>
      <x:c r="K592" s="12" t="str">
        <x:f>IF('Data &amp; Reporting'!J592="","",'Data &amp; Reporting'!J592)</x:f>
      </x:c>
      <x:c r="L592" s="2" t="str">
        <x:f>IF('Data &amp; Reporting'!K592="","",'Data &amp; Reporting'!K592)</x:f>
      </x:c>
      <x:c r="M592" s="2" t="n">
        <x:f>'Data &amp; Reporting'!Q592</x:f>
        <x:v>0</x:v>
      </x:c>
      <x:c r="N592" s="2" t="str">
        <x:f>'Data &amp; Reporting'!L592</x:f>
        <x:v>Open check</x:v>
      </x:c>
      <x:c r="O592" s="2" t="str">
        <x:f>'Data &amp; Reporting'!N592</x:f>
        <x:v>DR.CA.1.3.C08.2026.CY4</x:v>
      </x:c>
      <x:c r="P592" s="2" t="n">
        <x:f>'Data &amp; Reporting'!O592</x:f>
        <x:v>0</x:v>
      </x:c>
      <x:c r="Q592" s="2" t="n">
        <x:f>SUBTOTAL(103,O592)</x:f>
        <x:v>1</x:v>
      </x:c>
      <x:c r="R592" s="2" t="n">
        <x:f>IF(AND(M592=1,OR(Dashboard!$B$7="All",Dashboard!$B$7='Cycles &amp; Guide'!$C$5),OR(Dashboard!$D$7="All",Dashboard!$D$7=B592),OR(Dashboard!$F$7="All",Dashboard!$F$7=C592),OR(Dashboard!$H$7="All",Dashboard!$H$7=D592),OR(Dashboard!$K$7="All",Dashboard!$K$7=E592)),1,0)</x:f>
        <x:v>0</x:v>
      </x:c>
      <x:c r="S592" s="2" t="n">
        <x:f>IF(R592=1,SUM($R$10:R592),0)</x:f>
        <x:v>0</x:v>
      </x:c>
      <x:c r="T592" s="2" t="str">
        <x:v>Data &amp; Reporting</x:v>
      </x:c>
      <x:c r="U592" s="2" t="n">
        <x:v>592</x:v>
      </x:c>
      <x:c r="V592" s="2" t="n">
        <x:f>IF(AND(M592=1,P592=0,ISNUMBER(J592),J592&lt;TODAY()),1,0)</x:f>
        <x:v>0</x:v>
      </x:c>
      <x:c r="W592" s="2" t="str">
        <x:f>'Data &amp; Reporting'!M592</x:f>
        <x:v>Checklist</x:v>
      </x:c>
    </x:row>
    <x:row r="593" ht="40" customHeight="1">
      <x:c r="A593" s="3" t="str">
        <x:f>HYPERLINK("#'Data &amp; Reporting'!A593","Open")</x:f>
        <x:v>Open</x:v>
      </x:c>
      <x:c r="B593" s="2" t="str">
        <x:f>'Data &amp; Reporting'!B593</x:f>
        <x:v>Cycle 4</x:v>
      </x:c>
      <x:c r="C593" s="2" t="str">
        <x:f>'Data &amp; Reporting'!C593</x:f>
        <x:v>Phase 1</x:v>
      </x:c>
      <x:c r="D593" s="2" t="str">
        <x:f>'Data &amp; Reporting'!D593</x:f>
        <x:v>Cards</x:v>
      </x:c>
      <x:c r="E593" s="2" t="str">
        <x:v>Data &amp; Reporting</x:v>
      </x:c>
      <x:c r="F593" s="56" t="str">
        <x:f>'Data &amp; Reporting'!E593</x:f>
        <x:v>DR.CA.1.3.C09</x:v>
      </x:c>
      <x:c r="G593" s="14" t="str">
        <x:f>'Data &amp; Reporting'!F593</x:f>
        <x:v>    Document any data limitations or constraints clearly (as needed)</x:v>
      </x:c>
      <x:c r="H593" s="2" t="str">
        <x:f>IF('Data &amp; Reporting'!G593="","",'Data &amp; Reporting'!G593)</x:f>
      </x:c>
      <x:c r="I593" s="12" t="str">
        <x:f>IF('Data &amp; Reporting'!H593="","",'Data &amp; Reporting'!H593)</x:f>
      </x:c>
      <x:c r="J593" s="12" t="str">
        <x:f>IF('Data &amp; Reporting'!I593="","",'Data &amp; Reporting'!I593)</x:f>
      </x:c>
      <x:c r="K593" s="12" t="str">
        <x:f>IF('Data &amp; Reporting'!J593="","",'Data &amp; Reporting'!J593)</x:f>
      </x:c>
      <x:c r="L593" s="2" t="str">
        <x:f>IF('Data &amp; Reporting'!K593="","",'Data &amp; Reporting'!K593)</x:f>
      </x:c>
      <x:c r="M593" s="2" t="n">
        <x:f>'Data &amp; Reporting'!Q593</x:f>
        <x:v>0</x:v>
      </x:c>
      <x:c r="N593" s="2" t="str">
        <x:f>'Data &amp; Reporting'!L593</x:f>
        <x:v>Open check</x:v>
      </x:c>
      <x:c r="O593" s="2" t="str">
        <x:f>'Data &amp; Reporting'!N593</x:f>
        <x:v>DR.CA.1.3.C09.2026.CY4</x:v>
      </x:c>
      <x:c r="P593" s="2" t="n">
        <x:f>'Data &amp; Reporting'!O593</x:f>
        <x:v>0</x:v>
      </x:c>
      <x:c r="Q593" s="2" t="n">
        <x:f>SUBTOTAL(103,O593)</x:f>
        <x:v>1</x:v>
      </x:c>
      <x:c r="R593" s="2" t="n">
        <x:f>IF(AND(M593=1,OR(Dashboard!$B$7="All",Dashboard!$B$7='Cycles &amp; Guide'!$C$5),OR(Dashboard!$D$7="All",Dashboard!$D$7=B593),OR(Dashboard!$F$7="All",Dashboard!$F$7=C593),OR(Dashboard!$H$7="All",Dashboard!$H$7=D593),OR(Dashboard!$K$7="All",Dashboard!$K$7=E593)),1,0)</x:f>
        <x:v>0</x:v>
      </x:c>
      <x:c r="S593" s="2" t="n">
        <x:f>IF(R593=1,SUM($R$10:R593),0)</x:f>
        <x:v>0</x:v>
      </x:c>
      <x:c r="T593" s="2" t="str">
        <x:v>Data &amp; Reporting</x:v>
      </x:c>
      <x:c r="U593" s="2" t="n">
        <x:v>593</x:v>
      </x:c>
      <x:c r="V593" s="2" t="n">
        <x:f>IF(AND(M593=1,P593=0,ISNUMBER(J593),J593&lt;TODAY()),1,0)</x:f>
        <x:v>0</x:v>
      </x:c>
      <x:c r="W593" s="2" t="str">
        <x:f>'Data &amp; Reporting'!M593</x:f>
        <x:v>Checklist</x:v>
      </x:c>
    </x:row>
    <x:row r="594" ht="40" customHeight="1">
      <x:c r="A594" s="3" t="str">
        <x:f>HYPERLINK("#'Data &amp; Reporting'!A594","Open")</x:f>
        <x:v>Open</x:v>
      </x:c>
      <x:c r="B594" s="2" t="str">
        <x:f>'Data &amp; Reporting'!B594</x:f>
        <x:v>Cycle 4</x:v>
      </x:c>
      <x:c r="C594" s="2" t="str">
        <x:f>'Data &amp; Reporting'!C594</x:f>
        <x:v>Phase 1</x:v>
      </x:c>
      <x:c r="D594" s="2" t="str">
        <x:f>'Data &amp; Reporting'!D594</x:f>
        <x:v>Cards</x:v>
      </x:c>
      <x:c r="E594" s="2" t="str">
        <x:v>Data &amp; Reporting</x:v>
      </x:c>
      <x:c r="F594" s="56" t="str">
        <x:f>'Data &amp; Reporting'!E594</x:f>
        <x:v>DR.CA.1.3.C10</x:v>
      </x:c>
      <x:c r="G594" s="14" t="str">
        <x:f>'Data &amp; Reporting'!F594</x:f>
        <x:v>    Document data dictionary or field definitions for columns/rows</x:v>
      </x:c>
      <x:c r="H594" s="2" t="str">
        <x:f>IF('Data &amp; Reporting'!G594="","",'Data &amp; Reporting'!G594)</x:f>
      </x:c>
      <x:c r="I594" s="12" t="str">
        <x:f>IF('Data &amp; Reporting'!H594="","",'Data &amp; Reporting'!H594)</x:f>
      </x:c>
      <x:c r="J594" s="12" t="str">
        <x:f>IF('Data &amp; Reporting'!I594="","",'Data &amp; Reporting'!I594)</x:f>
      </x:c>
      <x:c r="K594" s="12" t="str">
        <x:f>IF('Data &amp; Reporting'!J594="","",'Data &amp; Reporting'!J594)</x:f>
      </x:c>
      <x:c r="L594" s="2" t="str">
        <x:f>IF('Data &amp; Reporting'!K594="","",'Data &amp; Reporting'!K594)</x:f>
      </x:c>
      <x:c r="M594" s="2" t="n">
        <x:f>'Data &amp; Reporting'!Q594</x:f>
        <x:v>0</x:v>
      </x:c>
      <x:c r="N594" s="2" t="str">
        <x:f>'Data &amp; Reporting'!L594</x:f>
        <x:v>Open check</x:v>
      </x:c>
      <x:c r="O594" s="2" t="str">
        <x:f>'Data &amp; Reporting'!N594</x:f>
        <x:v>DR.CA.1.3.C10.2026.CY4</x:v>
      </x:c>
      <x:c r="P594" s="2" t="n">
        <x:f>'Data &amp; Reporting'!O594</x:f>
        <x:v>0</x:v>
      </x:c>
      <x:c r="Q594" s="2" t="n">
        <x:f>SUBTOTAL(103,O594)</x:f>
        <x:v>1</x:v>
      </x:c>
      <x:c r="R594" s="2" t="n">
        <x:f>IF(AND(M594=1,OR(Dashboard!$B$7="All",Dashboard!$B$7='Cycles &amp; Guide'!$C$5),OR(Dashboard!$D$7="All",Dashboard!$D$7=B594),OR(Dashboard!$F$7="All",Dashboard!$F$7=C594),OR(Dashboard!$H$7="All",Dashboard!$H$7=D594),OR(Dashboard!$K$7="All",Dashboard!$K$7=E594)),1,0)</x:f>
        <x:v>0</x:v>
      </x:c>
      <x:c r="S594" s="2" t="n">
        <x:f>IF(R594=1,SUM($R$10:R594),0)</x:f>
        <x:v>0</x:v>
      </x:c>
      <x:c r="T594" s="2" t="str">
        <x:v>Data &amp; Reporting</x:v>
      </x:c>
      <x:c r="U594" s="2" t="n">
        <x:v>594</x:v>
      </x:c>
      <x:c r="V594" s="2" t="n">
        <x:f>IF(AND(M594=1,P594=0,ISNUMBER(J594),J594&lt;TODAY()),1,0)</x:f>
        <x:v>0</x:v>
      </x:c>
      <x:c r="W594" s="2" t="str">
        <x:f>'Data &amp; Reporting'!M594</x:f>
        <x:v>Checklist</x:v>
      </x:c>
    </x:row>
    <x:row r="595" ht="40" customHeight="1">
      <x:c r="A595" s="3" t="str">
        <x:f>HYPERLINK("#'Data &amp; Reporting'!A595","Open")</x:f>
        <x:v>Open</x:v>
      </x:c>
      <x:c r="B595" s="2" t="str">
        <x:f>'Data &amp; Reporting'!B595</x:f>
        <x:v>Cycle 4</x:v>
      </x:c>
      <x:c r="C595" s="2" t="str">
        <x:f>'Data &amp; Reporting'!C595</x:f>
        <x:v>Phase 1</x:v>
      </x:c>
      <x:c r="D595" s="2" t="str">
        <x:f>'Data &amp; Reporting'!D595</x:f>
        <x:v>Cards</x:v>
      </x:c>
      <x:c r="E595" s="2" t="str">
        <x:v>Data &amp; Reporting</x:v>
      </x:c>
      <x:c r="F595" s="56" t="str">
        <x:f>'Data &amp; Reporting'!E595</x:f>
        <x:v>DR.CA.1.3.C11</x:v>
      </x:c>
      <x:c r="G595" s="14" t="str">
        <x:f>'Data &amp; Reporting'!F595</x:f>
        <x:v>    Document emerging trends, patterns, or concentrations along with supporting data</x:v>
      </x:c>
      <x:c r="H595" s="2" t="str">
        <x:f>IF('Data &amp; Reporting'!G595="","",'Data &amp; Reporting'!G595)</x:f>
      </x:c>
      <x:c r="I595" s="12" t="str">
        <x:f>IF('Data &amp; Reporting'!H595="","",'Data &amp; Reporting'!H595)</x:f>
      </x:c>
      <x:c r="J595" s="12" t="str">
        <x:f>IF('Data &amp; Reporting'!I595="","",'Data &amp; Reporting'!I595)</x:f>
      </x:c>
      <x:c r="K595" s="12" t="str">
        <x:f>IF('Data &amp; Reporting'!J595="","",'Data &amp; Reporting'!J595)</x:f>
      </x:c>
      <x:c r="L595" s="2" t="str">
        <x:f>IF('Data &amp; Reporting'!K595="","",'Data &amp; Reporting'!K595)</x:f>
      </x:c>
      <x:c r="M595" s="2" t="n">
        <x:f>'Data &amp; Reporting'!Q595</x:f>
        <x:v>0</x:v>
      </x:c>
      <x:c r="N595" s="2" t="str">
        <x:f>'Data &amp; Reporting'!L595</x:f>
        <x:v>Open check</x:v>
      </x:c>
      <x:c r="O595" s="2" t="str">
        <x:f>'Data &amp; Reporting'!N595</x:f>
        <x:v>DR.CA.1.3.C11.2026.CY4</x:v>
      </x:c>
      <x:c r="P595" s="2" t="n">
        <x:f>'Data &amp; Reporting'!O595</x:f>
        <x:v>0</x:v>
      </x:c>
      <x:c r="Q595" s="2" t="n">
        <x:f>SUBTOTAL(103,O595)</x:f>
        <x:v>1</x:v>
      </x:c>
      <x:c r="R595" s="2" t="n">
        <x:f>IF(AND(M595=1,OR(Dashboard!$B$7="All",Dashboard!$B$7='Cycles &amp; Guide'!$C$5),OR(Dashboard!$D$7="All",Dashboard!$D$7=B595),OR(Dashboard!$F$7="All",Dashboard!$F$7=C595),OR(Dashboard!$H$7="All",Dashboard!$H$7=D595),OR(Dashboard!$K$7="All",Dashboard!$K$7=E595)),1,0)</x:f>
        <x:v>0</x:v>
      </x:c>
      <x:c r="S595" s="2" t="n">
        <x:f>IF(R595=1,SUM($R$10:R595),0)</x:f>
        <x:v>0</x:v>
      </x:c>
      <x:c r="T595" s="2" t="str">
        <x:v>Data &amp; Reporting</x:v>
      </x:c>
      <x:c r="U595" s="2" t="n">
        <x:v>595</x:v>
      </x:c>
      <x:c r="V595" s="2" t="n">
        <x:f>IF(AND(M595=1,P595=0,ISNUMBER(J595),J595&lt;TODAY()),1,0)</x:f>
        <x:v>0</x:v>
      </x:c>
      <x:c r="W595" s="2" t="str">
        <x:f>'Data &amp; Reporting'!M595</x:f>
        <x:v>Checklist</x:v>
      </x:c>
    </x:row>
    <x:row r="596" ht="40" customHeight="1">
      <x:c r="A596" s="3" t="str">
        <x:f>HYPERLINK("#'Data &amp; Reporting'!A596","Open")</x:f>
        <x:v>Open</x:v>
      </x:c>
      <x:c r="B596" s="2" t="str">
        <x:f>'Data &amp; Reporting'!B596</x:f>
        <x:v>Cycle 4</x:v>
      </x:c>
      <x:c r="C596" s="2" t="str">
        <x:f>'Data &amp; Reporting'!C596</x:f>
        <x:v>Phase 1</x:v>
      </x:c>
      <x:c r="D596" s="2" t="str">
        <x:f>'Data &amp; Reporting'!D596</x:f>
        <x:v>Cards</x:v>
      </x:c>
      <x:c r="E596" s="2" t="str">
        <x:v>Data &amp; Reporting</x:v>
      </x:c>
      <x:c r="F596" s="56" t="str">
        <x:f>'Data &amp; Reporting'!E596</x:f>
        <x:v>DR.CA.1.3.C12</x:v>
      </x:c>
      <x:c r="G596" s="14" t="str">
        <x:f>'Data &amp; Reporting'!F596</x:f>
        <x:v>    Document any severe spikes in volume along with context (as needed)</x:v>
      </x:c>
      <x:c r="H596" s="2" t="str">
        <x:f>IF('Data &amp; Reporting'!G596="","",'Data &amp; Reporting'!G596)</x:f>
      </x:c>
      <x:c r="I596" s="12" t="str">
        <x:f>IF('Data &amp; Reporting'!H596="","",'Data &amp; Reporting'!H596)</x:f>
      </x:c>
      <x:c r="J596" s="12" t="str">
        <x:f>IF('Data &amp; Reporting'!I596="","",'Data &amp; Reporting'!I596)</x:f>
      </x:c>
      <x:c r="K596" s="12" t="str">
        <x:f>IF('Data &amp; Reporting'!J596="","",'Data &amp; Reporting'!J596)</x:f>
      </x:c>
      <x:c r="L596" s="2" t="str">
        <x:f>IF('Data &amp; Reporting'!K596="","",'Data &amp; Reporting'!K596)</x:f>
      </x:c>
      <x:c r="M596" s="2" t="n">
        <x:f>'Data &amp; Reporting'!Q596</x:f>
        <x:v>0</x:v>
      </x:c>
      <x:c r="N596" s="2" t="str">
        <x:f>'Data &amp; Reporting'!L596</x:f>
        <x:v>Open check</x:v>
      </x:c>
      <x:c r="O596" s="2" t="str">
        <x:f>'Data &amp; Reporting'!N596</x:f>
        <x:v>DR.CA.1.3.C12.2026.CY4</x:v>
      </x:c>
      <x:c r="P596" s="2" t="n">
        <x:f>'Data &amp; Reporting'!O596</x:f>
        <x:v>0</x:v>
      </x:c>
      <x:c r="Q596" s="2" t="n">
        <x:f>SUBTOTAL(103,O596)</x:f>
        <x:v>1</x:v>
      </x:c>
      <x:c r="R596" s="2" t="n">
        <x:f>IF(AND(M596=1,OR(Dashboard!$B$7="All",Dashboard!$B$7='Cycles &amp; Guide'!$C$5),OR(Dashboard!$D$7="All",Dashboard!$D$7=B596),OR(Dashboard!$F$7="All",Dashboard!$F$7=C596),OR(Dashboard!$H$7="All",Dashboard!$H$7=D596),OR(Dashboard!$K$7="All",Dashboard!$K$7=E596)),1,0)</x:f>
        <x:v>0</x:v>
      </x:c>
      <x:c r="S596" s="2" t="n">
        <x:f>IF(R596=1,SUM($R$10:R596),0)</x:f>
        <x:v>0</x:v>
      </x:c>
      <x:c r="T596" s="2" t="str">
        <x:v>Data &amp; Reporting</x:v>
      </x:c>
      <x:c r="U596" s="2" t="n">
        <x:v>596</x:v>
      </x:c>
      <x:c r="V596" s="2" t="n">
        <x:f>IF(AND(M596=1,P596=0,ISNUMBER(J596),J596&lt;TODAY()),1,0)</x:f>
        <x:v>0</x:v>
      </x:c>
      <x:c r="W596" s="2" t="str">
        <x:f>'Data &amp; Reporting'!M596</x:f>
        <x:v>Checklist</x:v>
      </x:c>
    </x:row>
    <x:row r="597" ht="40" customHeight="1">
      <x:c r="A597" s="3" t="str">
        <x:f>HYPERLINK("#'Data &amp; Reporting'!A597","Open")</x:f>
        <x:v>Open</x:v>
      </x:c>
      <x:c r="B597" s="2" t="str">
        <x:f>'Data &amp; Reporting'!B597</x:f>
        <x:v>Cycle 4</x:v>
      </x:c>
      <x:c r="C597" s="2" t="str">
        <x:f>'Data &amp; Reporting'!C597</x:f>
        <x:v>Phase 1</x:v>
      </x:c>
      <x:c r="D597" s="2" t="str">
        <x:f>'Data &amp; Reporting'!D597</x:f>
        <x:v>Cards</x:v>
      </x:c>
      <x:c r="E597" s="2" t="str">
        <x:v>Data &amp; Reporting</x:v>
      </x:c>
      <x:c r="F597" s="56" t="str">
        <x:f>'Data &amp; Reporting'!E597</x:f>
        <x:v>DR.CA.1.3.C13</x:v>
      </x:c>
      <x:c r="G597" s="14" t="str">
        <x:f>'Data &amp; Reporting'!F597</x:f>
        <x:v>    Document clear summary explaining how the data connects to the potential topic</x:v>
      </x:c>
      <x:c r="H597" s="2" t="str">
        <x:f>IF('Data &amp; Reporting'!G597="","",'Data &amp; Reporting'!G597)</x:f>
      </x:c>
      <x:c r="I597" s="12" t="str">
        <x:f>IF('Data &amp; Reporting'!H597="","",'Data &amp; Reporting'!H597)</x:f>
      </x:c>
      <x:c r="J597" s="12" t="str">
        <x:f>IF('Data &amp; Reporting'!I597="","",'Data &amp; Reporting'!I597)</x:f>
      </x:c>
      <x:c r="K597" s="12" t="str">
        <x:f>IF('Data &amp; Reporting'!J597="","",'Data &amp; Reporting'!J597)</x:f>
      </x:c>
      <x:c r="L597" s="2" t="str">
        <x:f>IF('Data &amp; Reporting'!K597="","",'Data &amp; Reporting'!K597)</x:f>
      </x:c>
      <x:c r="M597" s="2" t="n">
        <x:f>'Data &amp; Reporting'!Q597</x:f>
        <x:v>0</x:v>
      </x:c>
      <x:c r="N597" s="2" t="str">
        <x:f>'Data &amp; Reporting'!L597</x:f>
        <x:v>Open check</x:v>
      </x:c>
      <x:c r="O597" s="2" t="str">
        <x:f>'Data &amp; Reporting'!N597</x:f>
        <x:v>DR.CA.1.3.C13.2026.CY4</x:v>
      </x:c>
      <x:c r="P597" s="2" t="n">
        <x:f>'Data &amp; Reporting'!O597</x:f>
        <x:v>0</x:v>
      </x:c>
      <x:c r="Q597" s="2" t="n">
        <x:f>SUBTOTAL(103,O597)</x:f>
        <x:v>1</x:v>
      </x:c>
      <x:c r="R597" s="2" t="n">
        <x:f>IF(AND(M597=1,OR(Dashboard!$B$7="All",Dashboard!$B$7='Cycles &amp; Guide'!$C$5),OR(Dashboard!$D$7="All",Dashboard!$D$7=B597),OR(Dashboard!$F$7="All",Dashboard!$F$7=C597),OR(Dashboard!$H$7="All",Dashboard!$H$7=D597),OR(Dashboard!$K$7="All",Dashboard!$K$7=E597)),1,0)</x:f>
        <x:v>0</x:v>
      </x:c>
      <x:c r="S597" s="2" t="n">
        <x:f>IF(R597=1,SUM($R$10:R597),0)</x:f>
        <x:v>0</x:v>
      </x:c>
      <x:c r="T597" s="2" t="str">
        <x:v>Data &amp; Reporting</x:v>
      </x:c>
      <x:c r="U597" s="2" t="n">
        <x:v>597</x:v>
      </x:c>
      <x:c r="V597" s="2" t="n">
        <x:f>IF(AND(M597=1,P597=0,ISNUMBER(J597),J597&lt;TODAY()),1,0)</x:f>
        <x:v>0</x:v>
      </x:c>
      <x:c r="W597" s="2" t="str">
        <x:f>'Data &amp; Reporting'!M597</x:f>
        <x:v>Checklist</x:v>
      </x:c>
    </x:row>
    <x:row r="598" ht="40" customHeight="1">
      <x:c r="A598" s="3" t="str">
        <x:f>HYPERLINK("#'Data &amp; Reporting'!A598","Open")</x:f>
        <x:v>Open</x:v>
      </x:c>
      <x:c r="B598" s="2" t="str">
        <x:f>'Data &amp; Reporting'!B598</x:f>
        <x:v>Cycle 4</x:v>
      </x:c>
      <x:c r="C598" s="2" t="str">
        <x:f>'Data &amp; Reporting'!C598</x:f>
        <x:v>Phase 2</x:v>
      </x:c>
      <x:c r="D598" s="2" t="str">
        <x:f>'Data &amp; Reporting'!D598</x:f>
        <x:v>Cards</x:v>
      </x:c>
      <x:c r="E598" s="2" t="str">
        <x:v>Data &amp; Reporting</x:v>
      </x:c>
      <x:c r="F598" s="56" t="str">
        <x:f>'Data &amp; Reporting'!E598</x:f>
        <x:v>DR.CA.2.1</x:v>
      </x:c>
      <x:c r="G598" s="14" t="str">
        <x:f>'Data &amp; Reporting'!F598</x:f>
        <x:v>Ensure data is clean, structured, and usable without manipulation needed</x:v>
      </x:c>
      <x:c r="H598" s="2" t="str">
        <x:f>IF('Data &amp; Reporting'!G598="","",'Data &amp; Reporting'!G598)</x:f>
      </x:c>
      <x:c r="I598" s="12" t="str">
        <x:f>IF('Data &amp; Reporting'!H598="","",'Data &amp; Reporting'!H598)</x:f>
      </x:c>
      <x:c r="J598" s="12" t="n">
        <x:f>IF('Data &amp; Reporting'!I598="","",'Data &amp; Reporting'!I598)</x:f>
        <x:v>46387</x:v>
      </x:c>
      <x:c r="K598" s="12" t="str">
        <x:f>IF('Data &amp; Reporting'!J598="","",'Data &amp; Reporting'!J598)</x:f>
      </x:c>
      <x:c r="L598" s="2" t="str">
        <x:f>IF('Data &amp; Reporting'!K598="","",'Data &amp; Reporting'!K598)</x:f>
      </x:c>
      <x:c r="M598" s="2" t="n">
        <x:f>'Data &amp; Reporting'!Q598</x:f>
        <x:v>1</x:v>
      </x:c>
      <x:c r="N598" s="2" t="str">
        <x:f>'Data &amp; Reporting'!L598</x:f>
        <x:v>Not started</x:v>
      </x:c>
      <x:c r="O598" s="2" t="str">
        <x:f>'Data &amp; Reporting'!N598</x:f>
        <x:v>DR.CA.2.1.2026.CY4</x:v>
      </x:c>
      <x:c r="P598" s="2" t="n">
        <x:f>'Data &amp; Reporting'!O598</x:f>
        <x:v>0</x:v>
      </x:c>
      <x:c r="Q598" s="2" t="n">
        <x:f>SUBTOTAL(103,O598)</x:f>
        <x:v>1</x:v>
      </x:c>
      <x:c r="R598" s="2" t="n">
        <x:f>IF(AND(M598=1,OR(Dashboard!$B$7="All",Dashboard!$B$7='Cycles &amp; Guide'!$C$5),OR(Dashboard!$D$7="All",Dashboard!$D$7=B598),OR(Dashboard!$F$7="All",Dashboard!$F$7=C598),OR(Dashboard!$H$7="All",Dashboard!$H$7=D598),OR(Dashboard!$K$7="All",Dashboard!$K$7=E598)),1,0)</x:f>
        <x:v>1</x:v>
      </x:c>
      <x:c r="S598" s="2" t="n">
        <x:f>IF(R598=1,SUM($R$10:R598),0)</x:f>
        <x:v>290</x:v>
      </x:c>
      <x:c r="T598" s="2" t="str">
        <x:v>Data &amp; Reporting</x:v>
      </x:c>
      <x:c r="U598" s="2" t="n">
        <x:v>598</x:v>
      </x:c>
      <x:c r="V598" s="2" t="n">
        <x:f>IF(AND(M598=1,P598=0,ISNUMBER(J598),J598&lt;TODAY()),1,0)</x:f>
        <x:v>0</x:v>
      </x:c>
      <x:c r="W598" s="2" t="str">
        <x:f>'Data &amp; Reporting'!M598</x:f>
        <x:v>Task</x:v>
      </x:c>
    </x:row>
    <x:row r="599" ht="40" customHeight="1">
      <x:c r="A599" s="3" t="str">
        <x:f>HYPERLINK("#'Data &amp; Reporting'!A599","Open")</x:f>
        <x:v>Open</x:v>
      </x:c>
      <x:c r="B599" s="2" t="str">
        <x:f>'Data &amp; Reporting'!B599</x:f>
        <x:v>Cycle 4</x:v>
      </x:c>
      <x:c r="C599" s="2" t="str">
        <x:f>'Data &amp; Reporting'!C599</x:f>
        <x:v>Phase 2</x:v>
      </x:c>
      <x:c r="D599" s="2" t="str">
        <x:f>'Data &amp; Reporting'!D599</x:f>
        <x:v>Cards</x:v>
      </x:c>
      <x:c r="E599" s="2" t="str">
        <x:v>Data &amp; Reporting</x:v>
      </x:c>
      <x:c r="F599" s="56" t="str">
        <x:f>'Data &amp; Reporting'!E599</x:f>
        <x:v>DR.CA.2.2</x:v>
      </x:c>
      <x:c r="G599" s="14" t="str">
        <x:f>'Data &amp; Reporting'!F599</x:f>
        <x:v>Clearly document rationale for each topic recommendation within the SharePoint list</x:v>
      </x:c>
      <x:c r="H599" s="2" t="str">
        <x:f>IF('Data &amp; Reporting'!G599="","",'Data &amp; Reporting'!G599)</x:f>
      </x:c>
      <x:c r="I599" s="12" t="str">
        <x:f>IF('Data &amp; Reporting'!H599="","",'Data &amp; Reporting'!H599)</x:f>
      </x:c>
      <x:c r="J599" s="12" t="n">
        <x:f>IF('Data &amp; Reporting'!I599="","",'Data &amp; Reporting'!I599)</x:f>
        <x:v>46387</x:v>
      </x:c>
      <x:c r="K599" s="12" t="str">
        <x:f>IF('Data &amp; Reporting'!J599="","",'Data &amp; Reporting'!J599)</x:f>
      </x:c>
      <x:c r="L599" s="2" t="str">
        <x:f>IF('Data &amp; Reporting'!K599="","",'Data &amp; Reporting'!K599)</x:f>
      </x:c>
      <x:c r="M599" s="2" t="n">
        <x:f>'Data &amp; Reporting'!Q599</x:f>
        <x:v>1</x:v>
      </x:c>
      <x:c r="N599" s="2" t="str">
        <x:f>'Data &amp; Reporting'!L599</x:f>
        <x:v>Not started</x:v>
      </x:c>
      <x:c r="O599" s="2" t="str">
        <x:f>'Data &amp; Reporting'!N599</x:f>
        <x:v>DR.CA.2.2.2026.CY4</x:v>
      </x:c>
      <x:c r="P599" s="2" t="n">
        <x:f>'Data &amp; Reporting'!O599</x:f>
        <x:v>0</x:v>
      </x:c>
      <x:c r="Q599" s="2" t="n">
        <x:f>SUBTOTAL(103,O599)</x:f>
        <x:v>1</x:v>
      </x:c>
      <x:c r="R599" s="2" t="n">
        <x:f>IF(AND(M599=1,OR(Dashboard!$B$7="All",Dashboard!$B$7='Cycles &amp; Guide'!$C$5),OR(Dashboard!$D$7="All",Dashboard!$D$7=B599),OR(Dashboard!$F$7="All",Dashboard!$F$7=C599),OR(Dashboard!$H$7="All",Dashboard!$H$7=D599),OR(Dashboard!$K$7="All",Dashboard!$K$7=E599)),1,0)</x:f>
        <x:v>1</x:v>
      </x:c>
      <x:c r="S599" s="2" t="n">
        <x:f>IF(R599=1,SUM($R$10:R599),0)</x:f>
        <x:v>291</x:v>
      </x:c>
      <x:c r="T599" s="2" t="str">
        <x:v>Data &amp; Reporting</x:v>
      </x:c>
      <x:c r="U599" s="2" t="n">
        <x:v>599</x:v>
      </x:c>
      <x:c r="V599" s="2" t="n">
        <x:f>IF(AND(M599=1,P599=0,ISNUMBER(J599),J599&lt;TODAY()),1,0)</x:f>
        <x:v>0</x:v>
      </x:c>
      <x:c r="W599" s="2" t="str">
        <x:f>'Data &amp; Reporting'!M599</x:f>
        <x:v>Task</x:v>
      </x:c>
    </x:row>
    <x:row r="600" ht="40" customHeight="1">
      <x:c r="A600" s="3" t="str">
        <x:f>HYPERLINK("#'Data &amp; Reporting'!A600","Open")</x:f>
        <x:v>Open</x:v>
      </x:c>
      <x:c r="B600" s="2" t="str">
        <x:f>'Data &amp; Reporting'!B600</x:f>
        <x:v>Cycle 4</x:v>
      </x:c>
      <x:c r="C600" s="2" t="str">
        <x:f>'Data &amp; Reporting'!C600</x:f>
        <x:v>Phase 2</x:v>
      </x:c>
      <x:c r="D600" s="2" t="str">
        <x:f>'Data &amp; Reporting'!D600</x:f>
        <x:v>Cards</x:v>
      </x:c>
      <x:c r="E600" s="2" t="str">
        <x:v>Data &amp; Reporting</x:v>
      </x:c>
      <x:c r="F600" s="56" t="str">
        <x:f>'Data &amp; Reporting'!E600</x:f>
        <x:v>DR.CA.2.3</x:v>
      </x:c>
      <x:c r="G600" s="14" t="str">
        <x:f>'Data &amp; Reporting'!F600</x:f>
        <x:v>Verify topic is eligible for RCA and does not conflict with Attorney Client Privilege</x:v>
      </x:c>
      <x:c r="H600" s="2" t="str">
        <x:f>IF('Data &amp; Reporting'!G600="","",'Data &amp; Reporting'!G600)</x:f>
      </x:c>
      <x:c r="I600" s="12" t="str">
        <x:f>IF('Data &amp; Reporting'!H600="","",'Data &amp; Reporting'!H600)</x:f>
      </x:c>
      <x:c r="J600" s="12" t="n">
        <x:f>IF('Data &amp; Reporting'!I600="","",'Data &amp; Reporting'!I600)</x:f>
        <x:v>46387</x:v>
      </x:c>
      <x:c r="K600" s="12" t="str">
        <x:f>IF('Data &amp; Reporting'!J600="","",'Data &amp; Reporting'!J600)</x:f>
      </x:c>
      <x:c r="L600" s="2" t="str">
        <x:f>IF('Data &amp; Reporting'!K600="","",'Data &amp; Reporting'!K600)</x:f>
      </x:c>
      <x:c r="M600" s="2" t="n">
        <x:f>'Data &amp; Reporting'!Q600</x:f>
        <x:v>1</x:v>
      </x:c>
      <x:c r="N600" s="2" t="str">
        <x:f>'Data &amp; Reporting'!L600</x:f>
        <x:v>Not started</x:v>
      </x:c>
      <x:c r="O600" s="2" t="str">
        <x:f>'Data &amp; Reporting'!N600</x:f>
        <x:v>DR.CA.2.3.2026.CY4</x:v>
      </x:c>
      <x:c r="P600" s="2" t="n">
        <x:f>'Data &amp; Reporting'!O600</x:f>
        <x:v>0</x:v>
      </x:c>
      <x:c r="Q600" s="2" t="n">
        <x:f>SUBTOTAL(103,O600)</x:f>
        <x:v>1</x:v>
      </x:c>
      <x:c r="R600" s="2" t="n">
        <x:f>IF(AND(M600=1,OR(Dashboard!$B$7="All",Dashboard!$B$7='Cycles &amp; Guide'!$C$5),OR(Dashboard!$D$7="All",Dashboard!$D$7=B600),OR(Dashboard!$F$7="All",Dashboard!$F$7=C600),OR(Dashboard!$H$7="All",Dashboard!$H$7=D600),OR(Dashboard!$K$7="All",Dashboard!$K$7=E600)),1,0)</x:f>
        <x:v>1</x:v>
      </x:c>
      <x:c r="S600" s="2" t="n">
        <x:f>IF(R600=1,SUM($R$10:R600),0)</x:f>
        <x:v>292</x:v>
      </x:c>
      <x:c r="T600" s="2" t="str">
        <x:v>Data &amp; Reporting</x:v>
      </x:c>
      <x:c r="U600" s="2" t="n">
        <x:v>600</x:v>
      </x:c>
      <x:c r="V600" s="2" t="n">
        <x:f>IF(AND(M600=1,P600=0,ISNUMBER(J600),J600&lt;TODAY()),1,0)</x:f>
        <x:v>0</x:v>
      </x:c>
      <x:c r="W600" s="2" t="str">
        <x:f>'Data &amp; Reporting'!M600</x:f>
        <x:v>Task</x:v>
      </x:c>
    </x:row>
    <x:row r="601" ht="40" customHeight="1">
      <x:c r="A601" s="3" t="str">
        <x:f>HYPERLINK("#'Data &amp; Reporting'!A601","Open")</x:f>
        <x:v>Open</x:v>
      </x:c>
      <x:c r="B601" s="2" t="str">
        <x:f>'Data &amp; Reporting'!B601</x:f>
        <x:v>Cycle 4</x:v>
      </x:c>
      <x:c r="C601" s="2" t="str">
        <x:f>'Data &amp; Reporting'!C601</x:f>
        <x:v>Phase 2</x:v>
      </x:c>
      <x:c r="D601" s="2" t="str">
        <x:f>'Data &amp; Reporting'!D601</x:f>
        <x:v>Cards</x:v>
      </x:c>
      <x:c r="E601" s="2" t="str">
        <x:v>Data &amp; Reporting</x:v>
      </x:c>
      <x:c r="F601" s="56" t="str">
        <x:f>'Data &amp; Reporting'!E601</x:f>
        <x:v>DR.CA.2.4</x:v>
      </x:c>
      <x:c r="G601" s="14" t="str">
        <x:f>'Data &amp; Reporting'!F601</x:f>
        <x:v>Ensure data is free of errors and anomalies prior to hand-off to Research</x:v>
      </x:c>
      <x:c r="H601" s="2" t="str">
        <x:f>IF('Data &amp; Reporting'!G601="","",'Data &amp; Reporting'!G601)</x:f>
      </x:c>
      <x:c r="I601" s="12" t="str">
        <x:f>IF('Data &amp; Reporting'!H601="","",'Data &amp; Reporting'!H601)</x:f>
      </x:c>
      <x:c r="J601" s="12" t="n">
        <x:f>IF('Data &amp; Reporting'!I601="","",'Data &amp; Reporting'!I601)</x:f>
        <x:v>46387</x:v>
      </x:c>
      <x:c r="K601" s="12" t="str">
        <x:f>IF('Data &amp; Reporting'!J601="","",'Data &amp; Reporting'!J601)</x:f>
      </x:c>
      <x:c r="L601" s="2" t="str">
        <x:f>IF('Data &amp; Reporting'!K601="","",'Data &amp; Reporting'!K601)</x:f>
      </x:c>
      <x:c r="M601" s="2" t="n">
        <x:f>'Data &amp; Reporting'!Q601</x:f>
        <x:v>1</x:v>
      </x:c>
      <x:c r="N601" s="2" t="str">
        <x:f>'Data &amp; Reporting'!L601</x:f>
        <x:v>Not started</x:v>
      </x:c>
      <x:c r="O601" s="2" t="str">
        <x:f>'Data &amp; Reporting'!N601</x:f>
        <x:v>DR.CA.2.4.2026.CY4</x:v>
      </x:c>
      <x:c r="P601" s="2" t="n">
        <x:f>'Data &amp; Reporting'!O601</x:f>
        <x:v>0</x:v>
      </x:c>
      <x:c r="Q601" s="2" t="n">
        <x:f>SUBTOTAL(103,O601)</x:f>
        <x:v>1</x:v>
      </x:c>
      <x:c r="R601" s="2" t="n">
        <x:f>IF(AND(M601=1,OR(Dashboard!$B$7="All",Dashboard!$B$7='Cycles &amp; Guide'!$C$5),OR(Dashboard!$D$7="All",Dashboard!$D$7=B601),OR(Dashboard!$F$7="All",Dashboard!$F$7=C601),OR(Dashboard!$H$7="All",Dashboard!$H$7=D601),OR(Dashboard!$K$7="All",Dashboard!$K$7=E601)),1,0)</x:f>
        <x:v>1</x:v>
      </x:c>
      <x:c r="S601" s="2" t="n">
        <x:f>IF(R601=1,SUM($R$10:R601),0)</x:f>
        <x:v>293</x:v>
      </x:c>
      <x:c r="T601" s="2" t="str">
        <x:v>Data &amp; Reporting</x:v>
      </x:c>
      <x:c r="U601" s="2" t="n">
        <x:v>601</x:v>
      </x:c>
      <x:c r="V601" s="2" t="n">
        <x:f>IF(AND(M601=1,P601=0,ISNUMBER(J601),J601&lt;TODAY()),1,0)</x:f>
        <x:v>0</x:v>
      </x:c>
      <x:c r="W601" s="2" t="str">
        <x:f>'Data &amp; Reporting'!M601</x:f>
        <x:v>Task</x:v>
      </x:c>
    </x:row>
    <x:row r="602" ht="40" customHeight="1">
      <x:c r="A602" s="3" t="str">
        <x:f>HYPERLINK("#'Data &amp; Reporting'!A602","Open")</x:f>
        <x:v>Open</x:v>
      </x:c>
      <x:c r="B602" s="2" t="str">
        <x:f>'Data &amp; Reporting'!B602</x:f>
        <x:v>Cycle 4</x:v>
      </x:c>
      <x:c r="C602" s="2" t="str">
        <x:f>'Data &amp; Reporting'!C602</x:f>
        <x:v>Phase 2</x:v>
      </x:c>
      <x:c r="D602" s="2" t="str">
        <x:f>'Data &amp; Reporting'!D602</x:f>
        <x:v>Cards</x:v>
      </x:c>
      <x:c r="E602" s="2" t="str">
        <x:v>Data &amp; Reporting</x:v>
      </x:c>
      <x:c r="F602" s="56" t="str">
        <x:f>'Data &amp; Reporting'!E602</x:f>
        <x:v>DR.CA.2.5</x:v>
      </x:c>
      <x:c r="G602" s="14" t="str">
        <x:f>'Data &amp; Reporting'!F602</x:f>
        <x:v>Ensure topic is not a duplicate from a previous Cycle</x:v>
      </x:c>
      <x:c r="H602" s="2" t="str">
        <x:f>IF('Data &amp; Reporting'!G602="","",'Data &amp; Reporting'!G602)</x:f>
      </x:c>
      <x:c r="I602" s="12" t="str">
        <x:f>IF('Data &amp; Reporting'!H602="","",'Data &amp; Reporting'!H602)</x:f>
      </x:c>
      <x:c r="J602" s="12" t="n">
        <x:f>IF('Data &amp; Reporting'!I602="","",'Data &amp; Reporting'!I602)</x:f>
        <x:v>46387</x:v>
      </x:c>
      <x:c r="K602" s="12" t="str">
        <x:f>IF('Data &amp; Reporting'!J602="","",'Data &amp; Reporting'!J602)</x:f>
      </x:c>
      <x:c r="L602" s="2" t="str">
        <x:f>IF('Data &amp; Reporting'!K602="","",'Data &amp; Reporting'!K602)</x:f>
      </x:c>
      <x:c r="M602" s="2" t="n">
        <x:f>'Data &amp; Reporting'!Q602</x:f>
        <x:v>1</x:v>
      </x:c>
      <x:c r="N602" s="2" t="str">
        <x:f>'Data &amp; Reporting'!L602</x:f>
        <x:v>Not started</x:v>
      </x:c>
      <x:c r="O602" s="2" t="str">
        <x:f>'Data &amp; Reporting'!N602</x:f>
        <x:v>DR.CA.2.5.2026.CY4</x:v>
      </x:c>
      <x:c r="P602" s="2" t="n">
        <x:f>'Data &amp; Reporting'!O602</x:f>
        <x:v>0</x:v>
      </x:c>
      <x:c r="Q602" s="2" t="n">
        <x:f>SUBTOTAL(103,O602)</x:f>
        <x:v>1</x:v>
      </x:c>
      <x:c r="R602" s="2" t="n">
        <x:f>IF(AND(M602=1,OR(Dashboard!$B$7="All",Dashboard!$B$7='Cycles &amp; Guide'!$C$5),OR(Dashboard!$D$7="All",Dashboard!$D$7=B602),OR(Dashboard!$F$7="All",Dashboard!$F$7=C602),OR(Dashboard!$H$7="All",Dashboard!$H$7=D602),OR(Dashboard!$K$7="All",Dashboard!$K$7=E602)),1,0)</x:f>
        <x:v>1</x:v>
      </x:c>
      <x:c r="S602" s="2" t="n">
        <x:f>IF(R602=1,SUM($R$10:R602),0)</x:f>
        <x:v>294</x:v>
      </x:c>
      <x:c r="T602" s="2" t="str">
        <x:v>Data &amp; Reporting</x:v>
      </x:c>
      <x:c r="U602" s="2" t="n">
        <x:v>602</x:v>
      </x:c>
      <x:c r="V602" s="2" t="n">
        <x:f>IF(AND(M602=1,P602=0,ISNUMBER(J602),J602&lt;TODAY()),1,0)</x:f>
        <x:v>0</x:v>
      </x:c>
      <x:c r="W602" s="2" t="str">
        <x:f>'Data &amp; Reporting'!M602</x:f>
        <x:v>Task</x:v>
      </x:c>
    </x:row>
    <x:row r="603" ht="40" customHeight="1">
      <x:c r="A603" s="3" t="str">
        <x:f>HYPERLINK("#'Data &amp; Reporting'!A603","Open")</x:f>
        <x:v>Open</x:v>
      </x:c>
      <x:c r="B603" s="2" t="str">
        <x:f>'Data &amp; Reporting'!B603</x:f>
        <x:v>Cycle 4</x:v>
      </x:c>
      <x:c r="C603" s="2" t="str">
        <x:f>'Data &amp; Reporting'!C603</x:f>
        <x:v>Phase 2</x:v>
      </x:c>
      <x:c r="D603" s="2" t="str">
        <x:f>'Data &amp; Reporting'!D603</x:f>
        <x:v>Cards</x:v>
      </x:c>
      <x:c r="E603" s="2" t="str">
        <x:v>Data &amp; Reporting</x:v>
      </x:c>
      <x:c r="F603" s="56" t="str">
        <x:f>'Data &amp; Reporting'!E603</x:f>
        <x:v>DR.CA.2.6</x:v>
      </x:c>
      <x:c r="G603" s="14" t="str">
        <x:f>'Data &amp; Reporting'!F603</x:f>
        <x:v>Document clear distinctions between facts, assumptions, and hypotheses within the data package</x:v>
      </x:c>
      <x:c r="H603" s="2" t="str">
        <x:f>IF('Data &amp; Reporting'!G603="","",'Data &amp; Reporting'!G603)</x:f>
      </x:c>
      <x:c r="I603" s="12" t="str">
        <x:f>IF('Data &amp; Reporting'!H603="","",'Data &amp; Reporting'!H603)</x:f>
      </x:c>
      <x:c r="J603" s="12" t="n">
        <x:f>IF('Data &amp; Reporting'!I603="","",'Data &amp; Reporting'!I603)</x:f>
        <x:v>46387</x:v>
      </x:c>
      <x:c r="K603" s="12" t="str">
        <x:f>IF('Data &amp; Reporting'!J603="","",'Data &amp; Reporting'!J603)</x:f>
      </x:c>
      <x:c r="L603" s="2" t="str">
        <x:f>IF('Data &amp; Reporting'!K603="","",'Data &amp; Reporting'!K603)</x:f>
      </x:c>
      <x:c r="M603" s="2" t="n">
        <x:f>'Data &amp; Reporting'!Q603</x:f>
        <x:v>1</x:v>
      </x:c>
      <x:c r="N603" s="2" t="str">
        <x:f>'Data &amp; Reporting'!L603</x:f>
        <x:v>Not started</x:v>
      </x:c>
      <x:c r="O603" s="2" t="str">
        <x:f>'Data &amp; Reporting'!N603</x:f>
        <x:v>DR.CA.2.6.2026.CY4</x:v>
      </x:c>
      <x:c r="P603" s="2" t="n">
        <x:f>'Data &amp; Reporting'!O603</x:f>
        <x:v>0</x:v>
      </x:c>
      <x:c r="Q603" s="2" t="n">
        <x:f>SUBTOTAL(103,O603)</x:f>
        <x:v>1</x:v>
      </x:c>
      <x:c r="R603" s="2" t="n">
        <x:f>IF(AND(M603=1,OR(Dashboard!$B$7="All",Dashboard!$B$7='Cycles &amp; Guide'!$C$5),OR(Dashboard!$D$7="All",Dashboard!$D$7=B603),OR(Dashboard!$F$7="All",Dashboard!$F$7=C603),OR(Dashboard!$H$7="All",Dashboard!$H$7=D603),OR(Dashboard!$K$7="All",Dashboard!$K$7=E603)),1,0)</x:f>
        <x:v>1</x:v>
      </x:c>
      <x:c r="S603" s="2" t="n">
        <x:f>IF(R603=1,SUM($R$10:R603),0)</x:f>
        <x:v>295</x:v>
      </x:c>
      <x:c r="T603" s="2" t="str">
        <x:v>Data &amp; Reporting</x:v>
      </x:c>
      <x:c r="U603" s="2" t="n">
        <x:v>603</x:v>
      </x:c>
      <x:c r="V603" s="2" t="n">
        <x:f>IF(AND(M603=1,P603=0,ISNUMBER(J603),J603&lt;TODAY()),1,0)</x:f>
        <x:v>0</x:v>
      </x:c>
      <x:c r="W603" s="2" t="str">
        <x:f>'Data &amp; Reporting'!M603</x:f>
        <x:v>Task</x:v>
      </x:c>
    </x:row>
    <x:row r="604" ht="40" customHeight="1">
      <x:c r="A604" s="3" t="str">
        <x:f>HYPERLINK("#'Data &amp; Reporting'!A604","Open")</x:f>
        <x:v>Open</x:v>
      </x:c>
      <x:c r="B604" s="2" t="str">
        <x:f>'Data &amp; Reporting'!B604</x:f>
        <x:v>Cycle 4</x:v>
      </x:c>
      <x:c r="C604" s="2" t="str">
        <x:f>'Data &amp; Reporting'!C604</x:f>
        <x:v>Phase 3</x:v>
      </x:c>
      <x:c r="D604" s="2" t="str">
        <x:f>'Data &amp; Reporting'!D604</x:f>
        <x:v>Cards</x:v>
      </x:c>
      <x:c r="E604" s="2" t="str">
        <x:v>Data &amp; Reporting</x:v>
      </x:c>
      <x:c r="F604" s="56" t="str">
        <x:f>'Data &amp; Reporting'!E604</x:f>
        <x:v>DR.CA.3.1</x:v>
      </x:c>
      <x:c r="G604" s="14" t="str">
        <x:f>'Data &amp; Reporting'!F604</x:f>
        <x:v>Clearly document rationale for each topic recommendation within the SharePoint list item</x:v>
      </x:c>
      <x:c r="H604" s="2" t="str">
        <x:f>IF('Data &amp; Reporting'!G604="","",'Data &amp; Reporting'!G604)</x:f>
      </x:c>
      <x:c r="I604" s="12" t="str">
        <x:f>IF('Data &amp; Reporting'!H604="","",'Data &amp; Reporting'!H604)</x:f>
      </x:c>
      <x:c r="J604" s="12" t="n">
        <x:f>IF('Data &amp; Reporting'!I604="","",'Data &amp; Reporting'!I604)</x:f>
        <x:v>46387</x:v>
      </x:c>
      <x:c r="K604" s="12" t="str">
        <x:f>IF('Data &amp; Reporting'!J604="","",'Data &amp; Reporting'!J604)</x:f>
      </x:c>
      <x:c r="L604" s="2" t="str">
        <x:f>IF('Data &amp; Reporting'!K604="","",'Data &amp; Reporting'!K604)</x:f>
      </x:c>
      <x:c r="M604" s="2" t="n">
        <x:f>'Data &amp; Reporting'!Q604</x:f>
        <x:v>1</x:v>
      </x:c>
      <x:c r="N604" s="2" t="str">
        <x:f>'Data &amp; Reporting'!L604</x:f>
        <x:v>Not started</x:v>
      </x:c>
      <x:c r="O604" s="2" t="str">
        <x:f>'Data &amp; Reporting'!N604</x:f>
        <x:v>DR.CA.3.1.2026.CY4</x:v>
      </x:c>
      <x:c r="P604" s="2" t="n">
        <x:f>'Data &amp; Reporting'!O604</x:f>
        <x:v>0</x:v>
      </x:c>
      <x:c r="Q604" s="2" t="n">
        <x:f>SUBTOTAL(103,O604)</x:f>
        <x:v>1</x:v>
      </x:c>
      <x:c r="R604" s="2" t="n">
        <x:f>IF(AND(M604=1,OR(Dashboard!$B$7="All",Dashboard!$B$7='Cycles &amp; Guide'!$C$5),OR(Dashboard!$D$7="All",Dashboard!$D$7=B604),OR(Dashboard!$F$7="All",Dashboard!$F$7=C604),OR(Dashboard!$H$7="All",Dashboard!$H$7=D604),OR(Dashboard!$K$7="All",Dashboard!$K$7=E604)),1,0)</x:f>
        <x:v>1</x:v>
      </x:c>
      <x:c r="S604" s="2" t="n">
        <x:f>IF(R604=1,SUM($R$10:R604),0)</x:f>
        <x:v>296</x:v>
      </x:c>
      <x:c r="T604" s="2" t="str">
        <x:v>Data &amp; Reporting</x:v>
      </x:c>
      <x:c r="U604" s="2" t="n">
        <x:v>604</x:v>
      </x:c>
      <x:c r="V604" s="2" t="n">
        <x:f>IF(AND(M604=1,P604=0,ISNUMBER(J604),J604&lt;TODAY()),1,0)</x:f>
        <x:v>0</x:v>
      </x:c>
      <x:c r="W604" s="2" t="str">
        <x:f>'Data &amp; Reporting'!M604</x:f>
        <x:v>Task</x:v>
      </x:c>
    </x:row>
    <x:row r="605" ht="40" customHeight="1">
      <x:c r="A605" s="3" t="str">
        <x:f>HYPERLINK("#'Data &amp; Reporting'!A605","Open")</x:f>
        <x:v>Open</x:v>
      </x:c>
      <x:c r="B605" s="2" t="str">
        <x:f>'Data &amp; Reporting'!B605</x:f>
        <x:v>Cycle 4</x:v>
      </x:c>
      <x:c r="C605" s="2" t="str">
        <x:f>'Data &amp; Reporting'!C605</x:f>
        <x:v>Phase 3</x:v>
      </x:c>
      <x:c r="D605" s="2" t="str">
        <x:f>'Data &amp; Reporting'!D605</x:f>
        <x:v>Cards</x:v>
      </x:c>
      <x:c r="E605" s="2" t="str">
        <x:v>Data &amp; Reporting</x:v>
      </x:c>
      <x:c r="F605" s="56" t="str">
        <x:f>'Data &amp; Reporting'!E605</x:f>
        <x:v>DR.CA.3.2</x:v>
      </x:c>
      <x:c r="G605" s="14" t="str">
        <x:f>'Data &amp; Reporting'!F605</x:f>
        <x:v>Attach the data package for each topic recommendation within the SharePoint list item</x:v>
      </x:c>
      <x:c r="H605" s="2" t="str">
        <x:f>IF('Data &amp; Reporting'!G605="","",'Data &amp; Reporting'!G605)</x:f>
      </x:c>
      <x:c r="I605" s="12" t="str">
        <x:f>IF('Data &amp; Reporting'!H605="","",'Data &amp; Reporting'!H605)</x:f>
      </x:c>
      <x:c r="J605" s="12" t="n">
        <x:f>IF('Data &amp; Reporting'!I605="","",'Data &amp; Reporting'!I605)</x:f>
        <x:v>46387</x:v>
      </x:c>
      <x:c r="K605" s="12" t="str">
        <x:f>IF('Data &amp; Reporting'!J605="","",'Data &amp; Reporting'!J605)</x:f>
      </x:c>
      <x:c r="L605" s="2" t="str">
        <x:f>IF('Data &amp; Reporting'!K605="","",'Data &amp; Reporting'!K605)</x:f>
      </x:c>
      <x:c r="M605" s="2" t="n">
        <x:f>'Data &amp; Reporting'!Q605</x:f>
        <x:v>1</x:v>
      </x:c>
      <x:c r="N605" s="2" t="str">
        <x:f>'Data &amp; Reporting'!L605</x:f>
        <x:v>Not started</x:v>
      </x:c>
      <x:c r="O605" s="2" t="str">
        <x:f>'Data &amp; Reporting'!N605</x:f>
        <x:v>DR.CA.3.2.2026.CY4</x:v>
      </x:c>
      <x:c r="P605" s="2" t="n">
        <x:f>'Data &amp; Reporting'!O605</x:f>
        <x:v>0</x:v>
      </x:c>
      <x:c r="Q605" s="2" t="n">
        <x:f>SUBTOTAL(103,O605)</x:f>
        <x:v>1</x:v>
      </x:c>
      <x:c r="R605" s="2" t="n">
        <x:f>IF(AND(M605=1,OR(Dashboard!$B$7="All",Dashboard!$B$7='Cycles &amp; Guide'!$C$5),OR(Dashboard!$D$7="All",Dashboard!$D$7=B605),OR(Dashboard!$F$7="All",Dashboard!$F$7=C605),OR(Dashboard!$H$7="All",Dashboard!$H$7=D605),OR(Dashboard!$K$7="All",Dashboard!$K$7=E605)),1,0)</x:f>
        <x:v>1</x:v>
      </x:c>
      <x:c r="S605" s="2" t="n">
        <x:f>IF(R605=1,SUM($R$10:R605),0)</x:f>
        <x:v>297</x:v>
      </x:c>
      <x:c r="T605" s="2" t="str">
        <x:v>Data &amp; Reporting</x:v>
      </x:c>
      <x:c r="U605" s="2" t="n">
        <x:v>605</x:v>
      </x:c>
      <x:c r="V605" s="2" t="n">
        <x:f>IF(AND(M605=1,P605=0,ISNUMBER(J605),J605&lt;TODAY()),1,0)</x:f>
        <x:v>0</x:v>
      </x:c>
      <x:c r="W605" s="2" t="str">
        <x:f>'Data &amp; Reporting'!M605</x:f>
        <x:v>Task</x:v>
      </x:c>
    </x:row>
    <x:row r="606" ht="40" customHeight="1">
      <x:c r="A606" s="3" t="str">
        <x:f>HYPERLINK("#'Data &amp; Reporting'!A606","Open")</x:f>
        <x:v>Open</x:v>
      </x:c>
      <x:c r="B606" s="2" t="str">
        <x:f>'Data &amp; Reporting'!B606</x:f>
        <x:v>Cycle 4</x:v>
      </x:c>
      <x:c r="C606" s="2" t="str">
        <x:f>'Data &amp; Reporting'!C606</x:f>
        <x:v>Phase 3</x:v>
      </x:c>
      <x:c r="D606" s="2" t="str">
        <x:f>'Data &amp; Reporting'!D606</x:f>
        <x:v>Cards</x:v>
      </x:c>
      <x:c r="E606" s="2" t="str">
        <x:v>Data &amp; Reporting</x:v>
      </x:c>
      <x:c r="F606" s="56" t="str">
        <x:f>'Data &amp; Reporting'!E606</x:f>
        <x:v>DR.CA.3.3</x:v>
      </x:c>
      <x:c r="G606" s="14" t="str">
        <x:f>'Data &amp; Reporting'!F606</x:f>
        <x:v>Confirm data privileges have been granted, ensuring each pillar can access</x:v>
      </x:c>
      <x:c r="H606" s="2" t="str">
        <x:f>IF('Data &amp; Reporting'!G606="","",'Data &amp; Reporting'!G606)</x:f>
      </x:c>
      <x:c r="I606" s="12" t="str">
        <x:f>IF('Data &amp; Reporting'!H606="","",'Data &amp; Reporting'!H606)</x:f>
      </x:c>
      <x:c r="J606" s="12" t="n">
        <x:f>IF('Data &amp; Reporting'!I606="","",'Data &amp; Reporting'!I606)</x:f>
        <x:v>46387</x:v>
      </x:c>
      <x:c r="K606" s="12" t="str">
        <x:f>IF('Data &amp; Reporting'!J606="","",'Data &amp; Reporting'!J606)</x:f>
      </x:c>
      <x:c r="L606" s="2" t="str">
        <x:f>IF('Data &amp; Reporting'!K606="","",'Data &amp; Reporting'!K606)</x:f>
      </x:c>
      <x:c r="M606" s="2" t="n">
        <x:f>'Data &amp; Reporting'!Q606</x:f>
        <x:v>1</x:v>
      </x:c>
      <x:c r="N606" s="2" t="str">
        <x:f>'Data &amp; Reporting'!L606</x:f>
        <x:v>Not started</x:v>
      </x:c>
      <x:c r="O606" s="2" t="str">
        <x:f>'Data &amp; Reporting'!N606</x:f>
        <x:v>DR.CA.3.3.2026.CY4</x:v>
      </x:c>
      <x:c r="P606" s="2" t="n">
        <x:f>'Data &amp; Reporting'!O606</x:f>
        <x:v>0</x:v>
      </x:c>
      <x:c r="Q606" s="2" t="n">
        <x:f>SUBTOTAL(103,O606)</x:f>
        <x:v>1</x:v>
      </x:c>
      <x:c r="R606" s="2" t="n">
        <x:f>IF(AND(M606=1,OR(Dashboard!$B$7="All",Dashboard!$B$7='Cycles &amp; Guide'!$C$5),OR(Dashboard!$D$7="All",Dashboard!$D$7=B606),OR(Dashboard!$F$7="All",Dashboard!$F$7=C606),OR(Dashboard!$H$7="All",Dashboard!$H$7=D606),OR(Dashboard!$K$7="All",Dashboard!$K$7=E606)),1,0)</x:f>
        <x:v>1</x:v>
      </x:c>
      <x:c r="S606" s="2" t="n">
        <x:f>IF(R606=1,SUM($R$10:R606),0)</x:f>
        <x:v>298</x:v>
      </x:c>
      <x:c r="T606" s="2" t="str">
        <x:v>Data &amp; Reporting</x:v>
      </x:c>
      <x:c r="U606" s="2" t="n">
        <x:v>606</x:v>
      </x:c>
      <x:c r="V606" s="2" t="n">
        <x:f>IF(AND(M606=1,P606=0,ISNUMBER(J606),J606&lt;TODAY()),1,0)</x:f>
        <x:v>0</x:v>
      </x:c>
      <x:c r="W606" s="2" t="str">
        <x:f>'Data &amp; Reporting'!M606</x:f>
        <x:v>Task</x:v>
      </x:c>
    </x:row>
    <x:row r="607" ht="40" customHeight="1">
      <x:c r="A607" s="3" t="str">
        <x:f>HYPERLINK("#'Data &amp; Reporting'!A607","Open")</x:f>
        <x:v>Open</x:v>
      </x:c>
      <x:c r="B607" s="2" t="str">
        <x:f>'Data &amp; Reporting'!B607</x:f>
        <x:v>Cycle 4</x:v>
      </x:c>
      <x:c r="C607" s="2" t="str">
        <x:f>'Data &amp; Reporting'!C607</x:f>
        <x:v>Phase 3</x:v>
      </x:c>
      <x:c r="D607" s="2" t="str">
        <x:f>'Data &amp; Reporting'!D607</x:f>
        <x:v>Cards</x:v>
      </x:c>
      <x:c r="E607" s="2" t="str">
        <x:v>Data &amp; Reporting</x:v>
      </x:c>
      <x:c r="F607" s="56" t="str">
        <x:f>'Data &amp; Reporting'!E607</x:f>
        <x:v>DR.CA.3.4</x:v>
      </x:c>
      <x:c r="G607" s="14" t="str">
        <x:f>'Data &amp; Reporting'!F607</x:f>
        <x:v>Ensure Power Automate notifications were correctly triggered within Microsoft Teams</x:v>
      </x:c>
      <x:c r="H607" s="2" t="str">
        <x:f>IF('Data &amp; Reporting'!G607="","",'Data &amp; Reporting'!G607)</x:f>
      </x:c>
      <x:c r="I607" s="12" t="str">
        <x:f>IF('Data &amp; Reporting'!H607="","",'Data &amp; Reporting'!H607)</x:f>
      </x:c>
      <x:c r="J607" s="12" t="n">
        <x:f>IF('Data &amp; Reporting'!I607="","",'Data &amp; Reporting'!I607)</x:f>
        <x:v>46387</x:v>
      </x:c>
      <x:c r="K607" s="12" t="str">
        <x:f>IF('Data &amp; Reporting'!J607="","",'Data &amp; Reporting'!J607)</x:f>
      </x:c>
      <x:c r="L607" s="2" t="str">
        <x:f>IF('Data &amp; Reporting'!K607="","",'Data &amp; Reporting'!K607)</x:f>
      </x:c>
      <x:c r="M607" s="2" t="n">
        <x:f>'Data &amp; Reporting'!Q607</x:f>
        <x:v>1</x:v>
      </x:c>
      <x:c r="N607" s="2" t="str">
        <x:f>'Data &amp; Reporting'!L607</x:f>
        <x:v>Not started</x:v>
      </x:c>
      <x:c r="O607" s="2" t="str">
        <x:f>'Data &amp; Reporting'!N607</x:f>
        <x:v>DR.CA.3.4.2026.CY4</x:v>
      </x:c>
      <x:c r="P607" s="2" t="n">
        <x:f>'Data &amp; Reporting'!O607</x:f>
        <x:v>0</x:v>
      </x:c>
      <x:c r="Q607" s="2" t="n">
        <x:f>SUBTOTAL(103,O607)</x:f>
        <x:v>1</x:v>
      </x:c>
      <x:c r="R607" s="2" t="n">
        <x:f>IF(AND(M607=1,OR(Dashboard!$B$7="All",Dashboard!$B$7='Cycles &amp; Guide'!$C$5),OR(Dashboard!$D$7="All",Dashboard!$D$7=B607),OR(Dashboard!$F$7="All",Dashboard!$F$7=C607),OR(Dashboard!$H$7="All",Dashboard!$H$7=D607),OR(Dashboard!$K$7="All",Dashboard!$K$7=E607)),1,0)</x:f>
        <x:v>1</x:v>
      </x:c>
      <x:c r="S607" s="2" t="n">
        <x:f>IF(R607=1,SUM($R$10:R607),0)</x:f>
        <x:v>299</x:v>
      </x:c>
      <x:c r="T607" s="2" t="str">
        <x:v>Data &amp; Reporting</x:v>
      </x:c>
      <x:c r="U607" s="2" t="n">
        <x:v>607</x:v>
      </x:c>
      <x:c r="V607" s="2" t="n">
        <x:f>IF(AND(M607=1,P607=0,ISNUMBER(J607),J607&lt;TODAY()),1,0)</x:f>
        <x:v>0</x:v>
      </x:c>
      <x:c r="W607" s="2" t="str">
        <x:f>'Data &amp; Reporting'!M607</x:f>
        <x:v>Task</x:v>
      </x:c>
    </x:row>
    <x:row r="608" ht="40" customHeight="1">
      <x:c r="A608" s="3" t="str">
        <x:f>HYPERLINK("#'Data &amp; Reporting'!A608","Open")</x:f>
        <x:v>Open</x:v>
      </x:c>
      <x:c r="B608" s="2" t="str">
        <x:f>'Data &amp; Reporting'!B608</x:f>
        <x:v>Cycle 4</x:v>
      </x:c>
      <x:c r="C608" s="2" t="str">
        <x:f>'Data &amp; Reporting'!C608</x:f>
        <x:v>Phase 1</x:v>
      </x:c>
      <x:c r="D608" s="2" t="str">
        <x:f>'Data &amp; Reporting'!D608</x:f>
        <x:v>CSBBO - Banking Ops</x:v>
      </x:c>
      <x:c r="E608" s="2" t="str">
        <x:v>Data &amp; Reporting</x:v>
      </x:c>
      <x:c r="F608" s="56" t="str">
        <x:f>'Data &amp; Reporting'!E608</x:f>
        <x:v>DR.BO.1.1</x:v>
      </x:c>
      <x:c r="G608" s="14" t="str">
        <x:f>'Data &amp; Reporting'!F608</x:f>
        <x:v>Review data sources 3 weeks prior to Cycle start (Complaints, Gen AI, Loudspeaker, NPS, etc.)</x:v>
      </x:c>
      <x:c r="H608" s="2" t="str">
        <x:f>IF('Data &amp; Reporting'!G608="","",'Data &amp; Reporting'!G608)</x:f>
      </x:c>
      <x:c r="I608" s="12" t="str">
        <x:f>IF('Data &amp; Reporting'!H608="","",'Data &amp; Reporting'!H608)</x:f>
      </x:c>
      <x:c r="J608" s="12" t="n">
        <x:f>IF('Data &amp; Reporting'!I608="","",'Data &amp; Reporting'!I608)</x:f>
        <x:v>46275</x:v>
      </x:c>
      <x:c r="K608" s="12" t="str">
        <x:f>IF('Data &amp; Reporting'!J608="","",'Data &amp; Reporting'!J608)</x:f>
      </x:c>
      <x:c r="L608" s="2" t="str">
        <x:f>IF('Data &amp; Reporting'!K608="","",'Data &amp; Reporting'!K608)</x:f>
      </x:c>
      <x:c r="M608" s="2" t="n">
        <x:f>'Data &amp; Reporting'!Q608</x:f>
        <x:v>1</x:v>
      </x:c>
      <x:c r="N608" s="2" t="str">
        <x:f>'Data &amp; Reporting'!L608</x:f>
        <x:v>Not started</x:v>
      </x:c>
      <x:c r="O608" s="2" t="str">
        <x:f>'Data &amp; Reporting'!N608</x:f>
        <x:v>DR.BO.1.1.2026.CY4</x:v>
      </x:c>
      <x:c r="P608" s="2" t="n">
        <x:f>'Data &amp; Reporting'!O608</x:f>
        <x:v>0</x:v>
      </x:c>
      <x:c r="Q608" s="2" t="n">
        <x:f>SUBTOTAL(103,O608)</x:f>
        <x:v>1</x:v>
      </x:c>
      <x:c r="R608" s="2" t="n">
        <x:f>IF(AND(M608=1,OR(Dashboard!$B$7="All",Dashboard!$B$7='Cycles &amp; Guide'!$C$5),OR(Dashboard!$D$7="All",Dashboard!$D$7=B608),OR(Dashboard!$F$7="All",Dashboard!$F$7=C608),OR(Dashboard!$H$7="All",Dashboard!$H$7=D608),OR(Dashboard!$K$7="All",Dashboard!$K$7=E608)),1,0)</x:f>
        <x:v>1</x:v>
      </x:c>
      <x:c r="S608" s="2" t="n">
        <x:f>IF(R608=1,SUM($R$10:R608),0)</x:f>
        <x:v>300</x:v>
      </x:c>
      <x:c r="T608" s="2" t="str">
        <x:v>Data &amp; Reporting</x:v>
      </x:c>
      <x:c r="U608" s="2" t="n">
        <x:v>608</x:v>
      </x:c>
      <x:c r="V608" s="2" t="n">
        <x:f>IF(AND(M608=1,P608=0,ISNUMBER(J608),J608&lt;TODAY()),1,0)</x:f>
        <x:v>1</x:v>
      </x:c>
      <x:c r="W608" s="2" t="str">
        <x:f>'Data &amp; Reporting'!M608</x:f>
        <x:v>Task</x:v>
      </x:c>
    </x:row>
    <x:row r="609" ht="40" customHeight="1">
      <x:c r="A609" s="3" t="str">
        <x:f>HYPERLINK("#'Data &amp; Reporting'!A609","Open")</x:f>
        <x:v>Open</x:v>
      </x:c>
      <x:c r="B609" s="2" t="str">
        <x:f>'Data &amp; Reporting'!B609</x:f>
        <x:v>Cycle 4</x:v>
      </x:c>
      <x:c r="C609" s="2" t="str">
        <x:f>'Data &amp; Reporting'!C609</x:f>
        <x:v>Phase 1</x:v>
      </x:c>
      <x:c r="D609" s="2" t="str">
        <x:f>'Data &amp; Reporting'!D609</x:f>
        <x:v>CSBBO - Banking Ops</x:v>
      </x:c>
      <x:c r="E609" s="2" t="str">
        <x:v>Data &amp; Reporting</x:v>
      </x:c>
      <x:c r="F609" s="56" t="str">
        <x:f>'Data &amp; Reporting'!E609</x:f>
        <x:v>DR.BO.1.2</x:v>
      </x:c>
      <x:c r="G609" s="14" t="str">
        <x:f>'Data &amp; Reporting'!F609</x:f>
        <x:v>Identify two potential topics for the upcoming Cycle</x:v>
      </x:c>
      <x:c r="H609" s="2" t="str">
        <x:f>IF('Data &amp; Reporting'!G609="","",'Data &amp; Reporting'!G609)</x:f>
      </x:c>
      <x:c r="I609" s="12" t="str">
        <x:f>IF('Data &amp; Reporting'!H609="","",'Data &amp; Reporting'!H609)</x:f>
      </x:c>
      <x:c r="J609" s="12" t="n">
        <x:f>IF('Data &amp; Reporting'!I609="","",'Data &amp; Reporting'!I609)</x:f>
        <x:v>46387</x:v>
      </x:c>
      <x:c r="K609" s="12" t="str">
        <x:f>IF('Data &amp; Reporting'!J609="","",'Data &amp; Reporting'!J609)</x:f>
      </x:c>
      <x:c r="L609" s="2" t="str">
        <x:f>IF('Data &amp; Reporting'!K609="","",'Data &amp; Reporting'!K609)</x:f>
      </x:c>
      <x:c r="M609" s="2" t="n">
        <x:f>'Data &amp; Reporting'!Q609</x:f>
        <x:v>1</x:v>
      </x:c>
      <x:c r="N609" s="2" t="str">
        <x:f>'Data &amp; Reporting'!L609</x:f>
        <x:v>Not started</x:v>
      </x:c>
      <x:c r="O609" s="2" t="str">
        <x:f>'Data &amp; Reporting'!N609</x:f>
        <x:v>DR.BO.1.2.2026.CY4</x:v>
      </x:c>
      <x:c r="P609" s="2" t="n">
        <x:f>'Data &amp; Reporting'!O609</x:f>
        <x:v>0</x:v>
      </x:c>
      <x:c r="Q609" s="2" t="n">
        <x:f>SUBTOTAL(103,O609)</x:f>
        <x:v>1</x:v>
      </x:c>
      <x:c r="R609" s="2" t="n">
        <x:f>IF(AND(M609=1,OR(Dashboard!$B$7="All",Dashboard!$B$7='Cycles &amp; Guide'!$C$5),OR(Dashboard!$D$7="All",Dashboard!$D$7=B609),OR(Dashboard!$F$7="All",Dashboard!$F$7=C609),OR(Dashboard!$H$7="All",Dashboard!$H$7=D609),OR(Dashboard!$K$7="All",Dashboard!$K$7=E609)),1,0)</x:f>
        <x:v>1</x:v>
      </x:c>
      <x:c r="S609" s="2" t="n">
        <x:f>IF(R609=1,SUM($R$10:R609),0)</x:f>
        <x:v>301</x:v>
      </x:c>
      <x:c r="T609" s="2" t="str">
        <x:v>Data &amp; Reporting</x:v>
      </x:c>
      <x:c r="U609" s="2" t="n">
        <x:v>609</x:v>
      </x:c>
      <x:c r="V609" s="2" t="n">
        <x:f>IF(AND(M609=1,P609=0,ISNUMBER(J609),J609&lt;TODAY()),1,0)</x:f>
        <x:v>0</x:v>
      </x:c>
      <x:c r="W609" s="2" t="str">
        <x:f>'Data &amp; Reporting'!M609</x:f>
        <x:v>Task</x:v>
      </x:c>
    </x:row>
    <x:row r="610" ht="40" customHeight="1">
      <x:c r="A610" s="3" t="str">
        <x:f>HYPERLINK("#'Data &amp; Reporting'!A610","Open")</x:f>
        <x:v>Open</x:v>
      </x:c>
      <x:c r="B610" s="2" t="str">
        <x:f>'Data &amp; Reporting'!B610</x:f>
        <x:v>Cycle 4</x:v>
      </x:c>
      <x:c r="C610" s="2" t="str">
        <x:f>'Data &amp; Reporting'!C610</x:f>
        <x:v>Phase 1</x:v>
      </x:c>
      <x:c r="D610" s="2" t="str">
        <x:f>'Data &amp; Reporting'!D610</x:f>
        <x:v>CSBBO - Banking Ops</x:v>
      </x:c>
      <x:c r="E610" s="2" t="str">
        <x:v>Data &amp; Reporting</x:v>
      </x:c>
      <x:c r="F610" s="56" t="str">
        <x:f>'Data &amp; Reporting'!E610</x:f>
        <x:v>DR.BO.1.3</x:v>
      </x:c>
      <x:c r="G610" s="14" t="str">
        <x:f>'Data &amp; Reporting'!F610</x:f>
        <x:v>Extract data for both potential topics, ensuring all checklist items below are included/completed</x:v>
      </x:c>
      <x:c r="H610" s="2" t="str">
        <x:f>IF('Data &amp; Reporting'!G610="","",'Data &amp; Reporting'!G610)</x:f>
      </x:c>
      <x:c r="I610" s="12" t="str">
        <x:f>IF('Data &amp; Reporting'!H610="","",'Data &amp; Reporting'!H610)</x:f>
      </x:c>
      <x:c r="J610" s="12" t="n">
        <x:f>IF('Data &amp; Reporting'!I610="","",'Data &amp; Reporting'!I610)</x:f>
        <x:v>46387</x:v>
      </x:c>
      <x:c r="K610" s="12" t="str">
        <x:f>IF('Data &amp; Reporting'!J610="","",'Data &amp; Reporting'!J610)</x:f>
      </x:c>
      <x:c r="L610" s="2" t="str">
        <x:f>IF('Data &amp; Reporting'!K610="","",'Data &amp; Reporting'!K610)</x:f>
      </x:c>
      <x:c r="M610" s="2" t="n">
        <x:f>'Data &amp; Reporting'!Q610</x:f>
        <x:v>1</x:v>
      </x:c>
      <x:c r="N610" s="2" t="str">
        <x:f>'Data &amp; Reporting'!L610</x:f>
        <x:v>Not started</x:v>
      </x:c>
      <x:c r="O610" s="2" t="str">
        <x:f>'Data &amp; Reporting'!N610</x:f>
        <x:v>DR.BO.1.3.2026.CY4</x:v>
      </x:c>
      <x:c r="P610" s="2" t="n">
        <x:f>'Data &amp; Reporting'!O610</x:f>
        <x:v>0</x:v>
      </x:c>
      <x:c r="Q610" s="2" t="n">
        <x:f>SUBTOTAL(103,O610)</x:f>
        <x:v>1</x:v>
      </x:c>
      <x:c r="R610" s="2" t="n">
        <x:f>IF(AND(M610=1,OR(Dashboard!$B$7="All",Dashboard!$B$7='Cycles &amp; Guide'!$C$5),OR(Dashboard!$D$7="All",Dashboard!$D$7=B610),OR(Dashboard!$F$7="All",Dashboard!$F$7=C610),OR(Dashboard!$H$7="All",Dashboard!$H$7=D610),OR(Dashboard!$K$7="All",Dashboard!$K$7=E610)),1,0)</x:f>
        <x:v>1</x:v>
      </x:c>
      <x:c r="S610" s="2" t="n">
        <x:f>IF(R610=1,SUM($R$10:R610),0)</x:f>
        <x:v>302</x:v>
      </x:c>
      <x:c r="T610" s="2" t="str">
        <x:v>Data &amp; Reporting</x:v>
      </x:c>
      <x:c r="U610" s="2" t="n">
        <x:v>610</x:v>
      </x:c>
      <x:c r="V610" s="2" t="n">
        <x:f>IF(AND(M610=1,P610=0,ISNUMBER(J610),J610&lt;TODAY()),1,0)</x:f>
        <x:v>0</x:v>
      </x:c>
      <x:c r="W610" s="2" t="str">
        <x:f>'Data &amp; Reporting'!M610</x:f>
        <x:v>Task</x:v>
      </x:c>
    </x:row>
    <x:row r="611" ht="40" customHeight="1">
      <x:c r="A611" s="3" t="str">
        <x:f>HYPERLINK("#'Data &amp; Reporting'!A611","Open")</x:f>
        <x:v>Open</x:v>
      </x:c>
      <x:c r="B611" s="2" t="str">
        <x:f>'Data &amp; Reporting'!B611</x:f>
        <x:v>Cycle 4</x:v>
      </x:c>
      <x:c r="C611" s="2" t="str">
        <x:f>'Data &amp; Reporting'!C611</x:f>
        <x:v>Phase 1</x:v>
      </x:c>
      <x:c r="D611" s="2" t="str">
        <x:f>'Data &amp; Reporting'!D611</x:f>
        <x:v>CSBBO - Banking Ops</x:v>
      </x:c>
      <x:c r="E611" s="2" t="str">
        <x:v>Data &amp; Reporting</x:v>
      </x:c>
      <x:c r="F611" s="56" t="str">
        <x:f>'Data &amp; Reporting'!E611</x:f>
        <x:v>DR.BO.1.3.C01</x:v>
      </x:c>
      <x:c r="G611" s="14" t="str">
        <x:f>'Data &amp; Reporting'!F611</x:f>
        <x:v>    Document date range extracted</x:v>
      </x:c>
      <x:c r="H611" s="2" t="str">
        <x:f>IF('Data &amp; Reporting'!G611="","",'Data &amp; Reporting'!G611)</x:f>
      </x:c>
      <x:c r="I611" s="12" t="str">
        <x:f>IF('Data &amp; Reporting'!H611="","",'Data &amp; Reporting'!H611)</x:f>
      </x:c>
      <x:c r="J611" s="12" t="str">
        <x:f>IF('Data &amp; Reporting'!I611="","",'Data &amp; Reporting'!I611)</x:f>
      </x:c>
      <x:c r="K611" s="12" t="str">
        <x:f>IF('Data &amp; Reporting'!J611="","",'Data &amp; Reporting'!J611)</x:f>
      </x:c>
      <x:c r="L611" s="2" t="str">
        <x:f>IF('Data &amp; Reporting'!K611="","",'Data &amp; Reporting'!K611)</x:f>
      </x:c>
      <x:c r="M611" s="2" t="n">
        <x:f>'Data &amp; Reporting'!Q611</x:f>
        <x:v>0</x:v>
      </x:c>
      <x:c r="N611" s="2" t="str">
        <x:f>'Data &amp; Reporting'!L611</x:f>
        <x:v>Open check</x:v>
      </x:c>
      <x:c r="O611" s="2" t="str">
        <x:f>'Data &amp; Reporting'!N611</x:f>
        <x:v>DR.BO.1.3.C01.2026.CY4</x:v>
      </x:c>
      <x:c r="P611" s="2" t="n">
        <x:f>'Data &amp; Reporting'!O611</x:f>
        <x:v>0</x:v>
      </x:c>
      <x:c r="Q611" s="2" t="n">
        <x:f>SUBTOTAL(103,O611)</x:f>
        <x:v>1</x:v>
      </x:c>
      <x:c r="R611" s="2" t="n">
        <x:f>IF(AND(M611=1,OR(Dashboard!$B$7="All",Dashboard!$B$7='Cycles &amp; Guide'!$C$5),OR(Dashboard!$D$7="All",Dashboard!$D$7=B611),OR(Dashboard!$F$7="All",Dashboard!$F$7=C611),OR(Dashboard!$H$7="All",Dashboard!$H$7=D611),OR(Dashboard!$K$7="All",Dashboard!$K$7=E611)),1,0)</x:f>
        <x:v>0</x:v>
      </x:c>
      <x:c r="S611" s="2" t="n">
        <x:f>IF(R611=1,SUM($R$10:R611),0)</x:f>
        <x:v>0</x:v>
      </x:c>
      <x:c r="T611" s="2" t="str">
        <x:v>Data &amp; Reporting</x:v>
      </x:c>
      <x:c r="U611" s="2" t="n">
        <x:v>611</x:v>
      </x:c>
      <x:c r="V611" s="2" t="n">
        <x:f>IF(AND(M611=1,P611=0,ISNUMBER(J611),J611&lt;TODAY()),1,0)</x:f>
        <x:v>0</x:v>
      </x:c>
      <x:c r="W611" s="2" t="str">
        <x:f>'Data &amp; Reporting'!M611</x:f>
        <x:v>Checklist</x:v>
      </x:c>
    </x:row>
    <x:row r="612" ht="40" customHeight="1">
      <x:c r="A612" s="3" t="str">
        <x:f>HYPERLINK("#'Data &amp; Reporting'!A612","Open")</x:f>
        <x:v>Open</x:v>
      </x:c>
      <x:c r="B612" s="2" t="str">
        <x:f>'Data &amp; Reporting'!B612</x:f>
        <x:v>Cycle 4</x:v>
      </x:c>
      <x:c r="C612" s="2" t="str">
        <x:f>'Data &amp; Reporting'!C612</x:f>
        <x:v>Phase 1</x:v>
      </x:c>
      <x:c r="D612" s="2" t="str">
        <x:f>'Data &amp; Reporting'!D612</x:f>
        <x:v>CSBBO - Banking Ops</x:v>
      </x:c>
      <x:c r="E612" s="2" t="str">
        <x:v>Data &amp; Reporting</x:v>
      </x:c>
      <x:c r="F612" s="56" t="str">
        <x:f>'Data &amp; Reporting'!E612</x:f>
        <x:v>DR.BO.1.3.C02</x:v>
      </x:c>
      <x:c r="G612" s="14" t="str">
        <x:f>'Data &amp; Reporting'!F612</x:f>
        <x:v>    Document date of data pull</x:v>
      </x:c>
      <x:c r="H612" s="2" t="str">
        <x:f>IF('Data &amp; Reporting'!G612="","",'Data &amp; Reporting'!G612)</x:f>
      </x:c>
      <x:c r="I612" s="12" t="str">
        <x:f>IF('Data &amp; Reporting'!H612="","",'Data &amp; Reporting'!H612)</x:f>
      </x:c>
      <x:c r="J612" s="12" t="str">
        <x:f>IF('Data &amp; Reporting'!I612="","",'Data &amp; Reporting'!I612)</x:f>
      </x:c>
      <x:c r="K612" s="12" t="str">
        <x:f>IF('Data &amp; Reporting'!J612="","",'Data &amp; Reporting'!J612)</x:f>
      </x:c>
      <x:c r="L612" s="2" t="str">
        <x:f>IF('Data &amp; Reporting'!K612="","",'Data &amp; Reporting'!K612)</x:f>
      </x:c>
      <x:c r="M612" s="2" t="n">
        <x:f>'Data &amp; Reporting'!Q612</x:f>
        <x:v>0</x:v>
      </x:c>
      <x:c r="N612" s="2" t="str">
        <x:f>'Data &amp; Reporting'!L612</x:f>
        <x:v>Open check</x:v>
      </x:c>
      <x:c r="O612" s="2" t="str">
        <x:f>'Data &amp; Reporting'!N612</x:f>
        <x:v>DR.BO.1.3.C02.2026.CY4</x:v>
      </x:c>
      <x:c r="P612" s="2" t="n">
        <x:f>'Data &amp; Reporting'!O612</x:f>
        <x:v>0</x:v>
      </x:c>
      <x:c r="Q612" s="2" t="n">
        <x:f>SUBTOTAL(103,O612)</x:f>
        <x:v>1</x:v>
      </x:c>
      <x:c r="R612" s="2" t="n">
        <x:f>IF(AND(M612=1,OR(Dashboard!$B$7="All",Dashboard!$B$7='Cycles &amp; Guide'!$C$5),OR(Dashboard!$D$7="All",Dashboard!$D$7=B612),OR(Dashboard!$F$7="All",Dashboard!$F$7=C612),OR(Dashboard!$H$7="All",Dashboard!$H$7=D612),OR(Dashboard!$K$7="All",Dashboard!$K$7=E612)),1,0)</x:f>
        <x:v>0</x:v>
      </x:c>
      <x:c r="S612" s="2" t="n">
        <x:f>IF(R612=1,SUM($R$10:R612),0)</x:f>
        <x:v>0</x:v>
      </x:c>
      <x:c r="T612" s="2" t="str">
        <x:v>Data &amp; Reporting</x:v>
      </x:c>
      <x:c r="U612" s="2" t="n">
        <x:v>612</x:v>
      </x:c>
      <x:c r="V612" s="2" t="n">
        <x:f>IF(AND(M612=1,P612=0,ISNUMBER(J612),J612&lt;TODAY()),1,0)</x:f>
        <x:v>0</x:v>
      </x:c>
      <x:c r="W612" s="2" t="str">
        <x:f>'Data &amp; Reporting'!M612</x:f>
        <x:v>Checklist</x:v>
      </x:c>
    </x:row>
    <x:row r="613" ht="40" customHeight="1">
      <x:c r="A613" s="3" t="str">
        <x:f>HYPERLINK("#'Data &amp; Reporting'!A613","Open")</x:f>
        <x:v>Open</x:v>
      </x:c>
      <x:c r="B613" s="2" t="str">
        <x:f>'Data &amp; Reporting'!B613</x:f>
        <x:v>Cycle 4</x:v>
      </x:c>
      <x:c r="C613" s="2" t="str">
        <x:f>'Data &amp; Reporting'!C613</x:f>
        <x:v>Phase 1</x:v>
      </x:c>
      <x:c r="D613" s="2" t="str">
        <x:f>'Data &amp; Reporting'!D613</x:f>
        <x:v>CSBBO - Banking Ops</x:v>
      </x:c>
      <x:c r="E613" s="2" t="str">
        <x:v>Data &amp; Reporting</x:v>
      </x:c>
      <x:c r="F613" s="56" t="str">
        <x:f>'Data &amp; Reporting'!E613</x:f>
        <x:v>DR.BO.1.3.C03</x:v>
      </x:c>
      <x:c r="G613" s="14" t="str">
        <x:f>'Data &amp; Reporting'!F613</x:f>
        <x:v>    Document population details</x:v>
      </x:c>
      <x:c r="H613" s="2" t="str">
        <x:f>IF('Data &amp; Reporting'!G613="","",'Data &amp; Reporting'!G613)</x:f>
      </x:c>
      <x:c r="I613" s="12" t="str">
        <x:f>IF('Data &amp; Reporting'!H613="","",'Data &amp; Reporting'!H613)</x:f>
      </x:c>
      <x:c r="J613" s="12" t="str">
        <x:f>IF('Data &amp; Reporting'!I613="","",'Data &amp; Reporting'!I613)</x:f>
      </x:c>
      <x:c r="K613" s="12" t="str">
        <x:f>IF('Data &amp; Reporting'!J613="","",'Data &amp; Reporting'!J613)</x:f>
      </x:c>
      <x:c r="L613" s="2" t="str">
        <x:f>IF('Data &amp; Reporting'!K613="","",'Data &amp; Reporting'!K613)</x:f>
      </x:c>
      <x:c r="M613" s="2" t="n">
        <x:f>'Data &amp; Reporting'!Q613</x:f>
        <x:v>0</x:v>
      </x:c>
      <x:c r="N613" s="2" t="str">
        <x:f>'Data &amp; Reporting'!L613</x:f>
        <x:v>Open check</x:v>
      </x:c>
      <x:c r="O613" s="2" t="str">
        <x:f>'Data &amp; Reporting'!N613</x:f>
        <x:v>DR.BO.1.3.C03.2026.CY4</x:v>
      </x:c>
      <x:c r="P613" s="2" t="n">
        <x:f>'Data &amp; Reporting'!O613</x:f>
        <x:v>0</x:v>
      </x:c>
      <x:c r="Q613" s="2" t="n">
        <x:f>SUBTOTAL(103,O613)</x:f>
        <x:v>1</x:v>
      </x:c>
      <x:c r="R613" s="2" t="n">
        <x:f>IF(AND(M613=1,OR(Dashboard!$B$7="All",Dashboard!$B$7='Cycles &amp; Guide'!$C$5),OR(Dashboard!$D$7="All",Dashboard!$D$7=B613),OR(Dashboard!$F$7="All",Dashboard!$F$7=C613),OR(Dashboard!$H$7="All",Dashboard!$H$7=D613),OR(Dashboard!$K$7="All",Dashboard!$K$7=E613)),1,0)</x:f>
        <x:v>0</x:v>
      </x:c>
      <x:c r="S613" s="2" t="n">
        <x:f>IF(R613=1,SUM($R$10:R613),0)</x:f>
        <x:v>0</x:v>
      </x:c>
      <x:c r="T613" s="2" t="str">
        <x:v>Data &amp; Reporting</x:v>
      </x:c>
      <x:c r="U613" s="2" t="n">
        <x:v>613</x:v>
      </x:c>
      <x:c r="V613" s="2" t="n">
        <x:f>IF(AND(M613=1,P613=0,ISNUMBER(J613),J613&lt;TODAY()),1,0)</x:f>
        <x:v>0</x:v>
      </x:c>
      <x:c r="W613" s="2" t="str">
        <x:f>'Data &amp; Reporting'!M613</x:f>
        <x:v>Checklist</x:v>
      </x:c>
    </x:row>
    <x:row r="614" ht="40" customHeight="1">
      <x:c r="A614" s="3" t="str">
        <x:f>HYPERLINK("#'Data &amp; Reporting'!A614","Open")</x:f>
        <x:v>Open</x:v>
      </x:c>
      <x:c r="B614" s="2" t="str">
        <x:f>'Data &amp; Reporting'!B614</x:f>
        <x:v>Cycle 4</x:v>
      </x:c>
      <x:c r="C614" s="2" t="str">
        <x:f>'Data &amp; Reporting'!C614</x:f>
        <x:v>Phase 1</x:v>
      </x:c>
      <x:c r="D614" s="2" t="str">
        <x:f>'Data &amp; Reporting'!D614</x:f>
        <x:v>CSBBO - Banking Ops</x:v>
      </x:c>
      <x:c r="E614" s="2" t="str">
        <x:v>Data &amp; Reporting</x:v>
      </x:c>
      <x:c r="F614" s="56" t="str">
        <x:f>'Data &amp; Reporting'!E614</x:f>
        <x:v>DR.BO.1.3.C04</x:v>
      </x:c>
      <x:c r="G614" s="14" t="str">
        <x:f>'Data &amp; Reporting'!F614</x:f>
        <x:v>    Validate no data is missing</x:v>
      </x:c>
      <x:c r="H614" s="2" t="str">
        <x:f>IF('Data &amp; Reporting'!G614="","",'Data &amp; Reporting'!G614)</x:f>
      </x:c>
      <x:c r="I614" s="12" t="str">
        <x:f>IF('Data &amp; Reporting'!H614="","",'Data &amp; Reporting'!H614)</x:f>
      </x:c>
      <x:c r="J614" s="12" t="str">
        <x:f>IF('Data &amp; Reporting'!I614="","",'Data &amp; Reporting'!I614)</x:f>
      </x:c>
      <x:c r="K614" s="12" t="str">
        <x:f>IF('Data &amp; Reporting'!J614="","",'Data &amp; Reporting'!J614)</x:f>
      </x:c>
      <x:c r="L614" s="2" t="str">
        <x:f>IF('Data &amp; Reporting'!K614="","",'Data &amp; Reporting'!K614)</x:f>
      </x:c>
      <x:c r="M614" s="2" t="n">
        <x:f>'Data &amp; Reporting'!Q614</x:f>
        <x:v>0</x:v>
      </x:c>
      <x:c r="N614" s="2" t="str">
        <x:f>'Data &amp; Reporting'!L614</x:f>
        <x:v>Open check</x:v>
      </x:c>
      <x:c r="O614" s="2" t="str">
        <x:f>'Data &amp; Reporting'!N614</x:f>
        <x:v>DR.BO.1.3.C04.2026.CY4</x:v>
      </x:c>
      <x:c r="P614" s="2" t="n">
        <x:f>'Data &amp; Reporting'!O614</x:f>
        <x:v>0</x:v>
      </x:c>
      <x:c r="Q614" s="2" t="n">
        <x:f>SUBTOTAL(103,O614)</x:f>
        <x:v>1</x:v>
      </x:c>
      <x:c r="R614" s="2" t="n">
        <x:f>IF(AND(M614=1,OR(Dashboard!$B$7="All",Dashboard!$B$7='Cycles &amp; Guide'!$C$5),OR(Dashboard!$D$7="All",Dashboard!$D$7=B614),OR(Dashboard!$F$7="All",Dashboard!$F$7=C614),OR(Dashboard!$H$7="All",Dashboard!$H$7=D614),OR(Dashboard!$K$7="All",Dashboard!$K$7=E614)),1,0)</x:f>
        <x:v>0</x:v>
      </x:c>
      <x:c r="S614" s="2" t="n">
        <x:f>IF(R614=1,SUM($R$10:R614),0)</x:f>
        <x:v>0</x:v>
      </x:c>
      <x:c r="T614" s="2" t="str">
        <x:v>Data &amp; Reporting</x:v>
      </x:c>
      <x:c r="U614" s="2" t="n">
        <x:v>614</x:v>
      </x:c>
      <x:c r="V614" s="2" t="n">
        <x:f>IF(AND(M614=1,P614=0,ISNUMBER(J614),J614&lt;TODAY()),1,0)</x:f>
        <x:v>0</x:v>
      </x:c>
      <x:c r="W614" s="2" t="str">
        <x:f>'Data &amp; Reporting'!M614</x:f>
        <x:v>Checklist</x:v>
      </x:c>
    </x:row>
    <x:row r="615" ht="40" customHeight="1">
      <x:c r="A615" s="3" t="str">
        <x:f>HYPERLINK("#'Data &amp; Reporting'!A615","Open")</x:f>
        <x:v>Open</x:v>
      </x:c>
      <x:c r="B615" s="2" t="str">
        <x:f>'Data &amp; Reporting'!B615</x:f>
        <x:v>Cycle 4</x:v>
      </x:c>
      <x:c r="C615" s="2" t="str">
        <x:f>'Data &amp; Reporting'!C615</x:f>
        <x:v>Phase 1</x:v>
      </x:c>
      <x:c r="D615" s="2" t="str">
        <x:f>'Data &amp; Reporting'!D615</x:f>
        <x:v>CSBBO - Banking Ops</x:v>
      </x:c>
      <x:c r="E615" s="2" t="str">
        <x:v>Data &amp; Reporting</x:v>
      </x:c>
      <x:c r="F615" s="56" t="str">
        <x:f>'Data &amp; Reporting'!E615</x:f>
        <x:v>DR.BO.1.3.C05</x:v>
      </x:c>
      <x:c r="G615" s="14" t="str">
        <x:f>'Data &amp; Reporting'!F615</x:f>
        <x:v>    Validate accuracy of data</x:v>
      </x:c>
      <x:c r="H615" s="2" t="str">
        <x:f>IF('Data &amp; Reporting'!G615="","",'Data &amp; Reporting'!G615)</x:f>
      </x:c>
      <x:c r="I615" s="12" t="str">
        <x:f>IF('Data &amp; Reporting'!H615="","",'Data &amp; Reporting'!H615)</x:f>
      </x:c>
      <x:c r="J615" s="12" t="str">
        <x:f>IF('Data &amp; Reporting'!I615="","",'Data &amp; Reporting'!I615)</x:f>
      </x:c>
      <x:c r="K615" s="12" t="str">
        <x:f>IF('Data &amp; Reporting'!J615="","",'Data &amp; Reporting'!J615)</x:f>
      </x:c>
      <x:c r="L615" s="2" t="str">
        <x:f>IF('Data &amp; Reporting'!K615="","",'Data &amp; Reporting'!K615)</x:f>
      </x:c>
      <x:c r="M615" s="2" t="n">
        <x:f>'Data &amp; Reporting'!Q615</x:f>
        <x:v>0</x:v>
      </x:c>
      <x:c r="N615" s="2" t="str">
        <x:f>'Data &amp; Reporting'!L615</x:f>
        <x:v>Open check</x:v>
      </x:c>
      <x:c r="O615" s="2" t="str">
        <x:f>'Data &amp; Reporting'!N615</x:f>
        <x:v>DR.BO.1.3.C05.2026.CY4</x:v>
      </x:c>
      <x:c r="P615" s="2" t="n">
        <x:f>'Data &amp; Reporting'!O615</x:f>
        <x:v>0</x:v>
      </x:c>
      <x:c r="Q615" s="2" t="n">
        <x:f>SUBTOTAL(103,O615)</x:f>
        <x:v>1</x:v>
      </x:c>
      <x:c r="R615" s="2" t="n">
        <x:f>IF(AND(M615=1,OR(Dashboard!$B$7="All",Dashboard!$B$7='Cycles &amp; Guide'!$C$5),OR(Dashboard!$D$7="All",Dashboard!$D$7=B615),OR(Dashboard!$F$7="All",Dashboard!$F$7=C615),OR(Dashboard!$H$7="All",Dashboard!$H$7=D615),OR(Dashboard!$K$7="All",Dashboard!$K$7=E615)),1,0)</x:f>
        <x:v>0</x:v>
      </x:c>
      <x:c r="S615" s="2" t="n">
        <x:f>IF(R615=1,SUM($R$10:R615),0)</x:f>
        <x:v>0</x:v>
      </x:c>
      <x:c r="T615" s="2" t="str">
        <x:v>Data &amp; Reporting</x:v>
      </x:c>
      <x:c r="U615" s="2" t="n">
        <x:v>615</x:v>
      </x:c>
      <x:c r="V615" s="2" t="n">
        <x:f>IF(AND(M615=1,P615=0,ISNUMBER(J615),J615&lt;TODAY()),1,0)</x:f>
        <x:v>0</x:v>
      </x:c>
      <x:c r="W615" s="2" t="str">
        <x:f>'Data &amp; Reporting'!M615</x:f>
        <x:v>Checklist</x:v>
      </x:c>
    </x:row>
    <x:row r="616" ht="40" customHeight="1">
      <x:c r="A616" s="3" t="str">
        <x:f>HYPERLINK("#'Data &amp; Reporting'!A616","Open")</x:f>
        <x:v>Open</x:v>
      </x:c>
      <x:c r="B616" s="2" t="str">
        <x:f>'Data &amp; Reporting'!B616</x:f>
        <x:v>Cycle 4</x:v>
      </x:c>
      <x:c r="C616" s="2" t="str">
        <x:f>'Data &amp; Reporting'!C616</x:f>
        <x:v>Phase 1</x:v>
      </x:c>
      <x:c r="D616" s="2" t="str">
        <x:f>'Data &amp; Reporting'!D616</x:f>
        <x:v>CSBBO - Banking Ops</x:v>
      </x:c>
      <x:c r="E616" s="2" t="str">
        <x:v>Data &amp; Reporting</x:v>
      </x:c>
      <x:c r="F616" s="56" t="str">
        <x:f>'Data &amp; Reporting'!E616</x:f>
        <x:v>DR.BO.1.3.C06</x:v>
      </x:c>
      <x:c r="G616" s="14" t="str">
        <x:f>'Data &amp; Reporting'!F616</x:f>
        <x:v>    Validate no duplicate data is provided</x:v>
      </x:c>
      <x:c r="H616" s="2" t="str">
        <x:f>IF('Data &amp; Reporting'!G616="","",'Data &amp; Reporting'!G616)</x:f>
      </x:c>
      <x:c r="I616" s="12" t="str">
        <x:f>IF('Data &amp; Reporting'!H616="","",'Data &amp; Reporting'!H616)</x:f>
      </x:c>
      <x:c r="J616" s="12" t="str">
        <x:f>IF('Data &amp; Reporting'!I616="","",'Data &amp; Reporting'!I616)</x:f>
      </x:c>
      <x:c r="K616" s="12" t="str">
        <x:f>IF('Data &amp; Reporting'!J616="","",'Data &amp; Reporting'!J616)</x:f>
      </x:c>
      <x:c r="L616" s="2" t="str">
        <x:f>IF('Data &amp; Reporting'!K616="","",'Data &amp; Reporting'!K616)</x:f>
      </x:c>
      <x:c r="M616" s="2" t="n">
        <x:f>'Data &amp; Reporting'!Q616</x:f>
        <x:v>0</x:v>
      </x:c>
      <x:c r="N616" s="2" t="str">
        <x:f>'Data &amp; Reporting'!L616</x:f>
        <x:v>Open check</x:v>
      </x:c>
      <x:c r="O616" s="2" t="str">
        <x:f>'Data &amp; Reporting'!N616</x:f>
        <x:v>DR.BO.1.3.C06.2026.CY4</x:v>
      </x:c>
      <x:c r="P616" s="2" t="n">
        <x:f>'Data &amp; Reporting'!O616</x:f>
        <x:v>0</x:v>
      </x:c>
      <x:c r="Q616" s="2" t="n">
        <x:f>SUBTOTAL(103,O616)</x:f>
        <x:v>1</x:v>
      </x:c>
      <x:c r="R616" s="2" t="n">
        <x:f>IF(AND(M616=1,OR(Dashboard!$B$7="All",Dashboard!$B$7='Cycles &amp; Guide'!$C$5),OR(Dashboard!$D$7="All",Dashboard!$D$7=B616),OR(Dashboard!$F$7="All",Dashboard!$F$7=C616),OR(Dashboard!$H$7="All",Dashboard!$H$7=D616),OR(Dashboard!$K$7="All",Dashboard!$K$7=E616)),1,0)</x:f>
        <x:v>0</x:v>
      </x:c>
      <x:c r="S616" s="2" t="n">
        <x:f>IF(R616=1,SUM($R$10:R616),0)</x:f>
        <x:v>0</x:v>
      </x:c>
      <x:c r="T616" s="2" t="str">
        <x:v>Data &amp; Reporting</x:v>
      </x:c>
      <x:c r="U616" s="2" t="n">
        <x:v>616</x:v>
      </x:c>
      <x:c r="V616" s="2" t="n">
        <x:f>IF(AND(M616=1,P616=0,ISNUMBER(J616),J616&lt;TODAY()),1,0)</x:f>
        <x:v>0</x:v>
      </x:c>
      <x:c r="W616" s="2" t="str">
        <x:f>'Data &amp; Reporting'!M616</x:f>
        <x:v>Checklist</x:v>
      </x:c>
    </x:row>
    <x:row r="617" ht="40" customHeight="1">
      <x:c r="A617" s="3" t="str">
        <x:f>HYPERLINK("#'Data &amp; Reporting'!A617","Open")</x:f>
        <x:v>Open</x:v>
      </x:c>
      <x:c r="B617" s="2" t="str">
        <x:f>'Data &amp; Reporting'!B617</x:f>
        <x:v>Cycle 4</x:v>
      </x:c>
      <x:c r="C617" s="2" t="str">
        <x:f>'Data &amp; Reporting'!C617</x:f>
        <x:v>Phase 1</x:v>
      </x:c>
      <x:c r="D617" s="2" t="str">
        <x:f>'Data &amp; Reporting'!D617</x:f>
        <x:v>CSBBO - Banking Ops</x:v>
      </x:c>
      <x:c r="E617" s="2" t="str">
        <x:v>Data &amp; Reporting</x:v>
      </x:c>
      <x:c r="F617" s="56" t="str">
        <x:f>'Data &amp; Reporting'!E617</x:f>
        <x:v>DR.BO.1.3.C07</x:v>
      </x:c>
      <x:c r="G617" s="14" t="str">
        <x:f>'Data &amp; Reporting'!F617</x:f>
        <x:v>    Document any data exclusions along with justification (as needed)</x:v>
      </x:c>
      <x:c r="H617" s="2" t="str">
        <x:f>IF('Data &amp; Reporting'!G617="","",'Data &amp; Reporting'!G617)</x:f>
      </x:c>
      <x:c r="I617" s="12" t="str">
        <x:f>IF('Data &amp; Reporting'!H617="","",'Data &amp; Reporting'!H617)</x:f>
      </x:c>
      <x:c r="J617" s="12" t="str">
        <x:f>IF('Data &amp; Reporting'!I617="","",'Data &amp; Reporting'!I617)</x:f>
      </x:c>
      <x:c r="K617" s="12" t="str">
        <x:f>IF('Data &amp; Reporting'!J617="","",'Data &amp; Reporting'!J617)</x:f>
      </x:c>
      <x:c r="L617" s="2" t="str">
        <x:f>IF('Data &amp; Reporting'!K617="","",'Data &amp; Reporting'!K617)</x:f>
      </x:c>
      <x:c r="M617" s="2" t="n">
        <x:f>'Data &amp; Reporting'!Q617</x:f>
        <x:v>0</x:v>
      </x:c>
      <x:c r="N617" s="2" t="str">
        <x:f>'Data &amp; Reporting'!L617</x:f>
        <x:v>Open check</x:v>
      </x:c>
      <x:c r="O617" s="2" t="str">
        <x:f>'Data &amp; Reporting'!N617</x:f>
        <x:v>DR.BO.1.3.C07.2026.CY4</x:v>
      </x:c>
      <x:c r="P617" s="2" t="n">
        <x:f>'Data &amp; Reporting'!O617</x:f>
        <x:v>0</x:v>
      </x:c>
      <x:c r="Q617" s="2" t="n">
        <x:f>SUBTOTAL(103,O617)</x:f>
        <x:v>1</x:v>
      </x:c>
      <x:c r="R617" s="2" t="n">
        <x:f>IF(AND(M617=1,OR(Dashboard!$B$7="All",Dashboard!$B$7='Cycles &amp; Guide'!$C$5),OR(Dashboard!$D$7="All",Dashboard!$D$7=B617),OR(Dashboard!$F$7="All",Dashboard!$F$7=C617),OR(Dashboard!$H$7="All",Dashboard!$H$7=D617),OR(Dashboard!$K$7="All",Dashboard!$K$7=E617)),1,0)</x:f>
        <x:v>0</x:v>
      </x:c>
      <x:c r="S617" s="2" t="n">
        <x:f>IF(R617=1,SUM($R$10:R617),0)</x:f>
        <x:v>0</x:v>
      </x:c>
      <x:c r="T617" s="2" t="str">
        <x:v>Data &amp; Reporting</x:v>
      </x:c>
      <x:c r="U617" s="2" t="n">
        <x:v>617</x:v>
      </x:c>
      <x:c r="V617" s="2" t="n">
        <x:f>IF(AND(M617=1,P617=0,ISNUMBER(J617),J617&lt;TODAY()),1,0)</x:f>
        <x:v>0</x:v>
      </x:c>
      <x:c r="W617" s="2" t="str">
        <x:f>'Data &amp; Reporting'!M617</x:f>
        <x:v>Checklist</x:v>
      </x:c>
    </x:row>
    <x:row r="618" ht="40" customHeight="1">
      <x:c r="A618" s="3" t="str">
        <x:f>HYPERLINK("#'Data &amp; Reporting'!A618","Open")</x:f>
        <x:v>Open</x:v>
      </x:c>
      <x:c r="B618" s="2" t="str">
        <x:f>'Data &amp; Reporting'!B618</x:f>
        <x:v>Cycle 4</x:v>
      </x:c>
      <x:c r="C618" s="2" t="str">
        <x:f>'Data &amp; Reporting'!C618</x:f>
        <x:v>Phase 1</x:v>
      </x:c>
      <x:c r="D618" s="2" t="str">
        <x:f>'Data &amp; Reporting'!D618</x:f>
        <x:v>CSBBO - Banking Ops</x:v>
      </x:c>
      <x:c r="E618" s="2" t="str">
        <x:v>Data &amp; Reporting</x:v>
      </x:c>
      <x:c r="F618" s="56" t="str">
        <x:f>'Data &amp; Reporting'!E618</x:f>
        <x:v>DR.BO.1.3.C08</x:v>
      </x:c>
      <x:c r="G618" s="14" t="str">
        <x:f>'Data &amp; Reporting'!F618</x:f>
        <x:v>    Document any assumptions made with the data (as needed)</x:v>
      </x:c>
      <x:c r="H618" s="2" t="str">
        <x:f>IF('Data &amp; Reporting'!G618="","",'Data &amp; Reporting'!G618)</x:f>
      </x:c>
      <x:c r="I618" s="12" t="str">
        <x:f>IF('Data &amp; Reporting'!H618="","",'Data &amp; Reporting'!H618)</x:f>
      </x:c>
      <x:c r="J618" s="12" t="str">
        <x:f>IF('Data &amp; Reporting'!I618="","",'Data &amp; Reporting'!I618)</x:f>
      </x:c>
      <x:c r="K618" s="12" t="str">
        <x:f>IF('Data &amp; Reporting'!J618="","",'Data &amp; Reporting'!J618)</x:f>
      </x:c>
      <x:c r="L618" s="2" t="str">
        <x:f>IF('Data &amp; Reporting'!K618="","",'Data &amp; Reporting'!K618)</x:f>
      </x:c>
      <x:c r="M618" s="2" t="n">
        <x:f>'Data &amp; Reporting'!Q618</x:f>
        <x:v>0</x:v>
      </x:c>
      <x:c r="N618" s="2" t="str">
        <x:f>'Data &amp; Reporting'!L618</x:f>
        <x:v>Open check</x:v>
      </x:c>
      <x:c r="O618" s="2" t="str">
        <x:f>'Data &amp; Reporting'!N618</x:f>
        <x:v>DR.BO.1.3.C08.2026.CY4</x:v>
      </x:c>
      <x:c r="P618" s="2" t="n">
        <x:f>'Data &amp; Reporting'!O618</x:f>
        <x:v>0</x:v>
      </x:c>
      <x:c r="Q618" s="2" t="n">
        <x:f>SUBTOTAL(103,O618)</x:f>
        <x:v>1</x:v>
      </x:c>
      <x:c r="R618" s="2" t="n">
        <x:f>IF(AND(M618=1,OR(Dashboard!$B$7="All",Dashboard!$B$7='Cycles &amp; Guide'!$C$5),OR(Dashboard!$D$7="All",Dashboard!$D$7=B618),OR(Dashboard!$F$7="All",Dashboard!$F$7=C618),OR(Dashboard!$H$7="All",Dashboard!$H$7=D618),OR(Dashboard!$K$7="All",Dashboard!$K$7=E618)),1,0)</x:f>
        <x:v>0</x:v>
      </x:c>
      <x:c r="S618" s="2" t="n">
        <x:f>IF(R618=1,SUM($R$10:R618),0)</x:f>
        <x:v>0</x:v>
      </x:c>
      <x:c r="T618" s="2" t="str">
        <x:v>Data &amp; Reporting</x:v>
      </x:c>
      <x:c r="U618" s="2" t="n">
        <x:v>618</x:v>
      </x:c>
      <x:c r="V618" s="2" t="n">
        <x:f>IF(AND(M618=1,P618=0,ISNUMBER(J618),J618&lt;TODAY()),1,0)</x:f>
        <x:v>0</x:v>
      </x:c>
      <x:c r="W618" s="2" t="str">
        <x:f>'Data &amp; Reporting'!M618</x:f>
        <x:v>Checklist</x:v>
      </x:c>
    </x:row>
    <x:row r="619" ht="40" customHeight="1">
      <x:c r="A619" s="3" t="str">
        <x:f>HYPERLINK("#'Data &amp; Reporting'!A619","Open")</x:f>
        <x:v>Open</x:v>
      </x:c>
      <x:c r="B619" s="2" t="str">
        <x:f>'Data &amp; Reporting'!B619</x:f>
        <x:v>Cycle 4</x:v>
      </x:c>
      <x:c r="C619" s="2" t="str">
        <x:f>'Data &amp; Reporting'!C619</x:f>
        <x:v>Phase 1</x:v>
      </x:c>
      <x:c r="D619" s="2" t="str">
        <x:f>'Data &amp; Reporting'!D619</x:f>
        <x:v>CSBBO - Banking Ops</x:v>
      </x:c>
      <x:c r="E619" s="2" t="str">
        <x:v>Data &amp; Reporting</x:v>
      </x:c>
      <x:c r="F619" s="56" t="str">
        <x:f>'Data &amp; Reporting'!E619</x:f>
        <x:v>DR.BO.1.3.C09</x:v>
      </x:c>
      <x:c r="G619" s="14" t="str">
        <x:f>'Data &amp; Reporting'!F619</x:f>
        <x:v>    Document any data limitations or constraints clearly (as needed)</x:v>
      </x:c>
      <x:c r="H619" s="2" t="str">
        <x:f>IF('Data &amp; Reporting'!G619="","",'Data &amp; Reporting'!G619)</x:f>
      </x:c>
      <x:c r="I619" s="12" t="str">
        <x:f>IF('Data &amp; Reporting'!H619="","",'Data &amp; Reporting'!H619)</x:f>
      </x:c>
      <x:c r="J619" s="12" t="str">
        <x:f>IF('Data &amp; Reporting'!I619="","",'Data &amp; Reporting'!I619)</x:f>
      </x:c>
      <x:c r="K619" s="12" t="str">
        <x:f>IF('Data &amp; Reporting'!J619="","",'Data &amp; Reporting'!J619)</x:f>
      </x:c>
      <x:c r="L619" s="2" t="str">
        <x:f>IF('Data &amp; Reporting'!K619="","",'Data &amp; Reporting'!K619)</x:f>
      </x:c>
      <x:c r="M619" s="2" t="n">
        <x:f>'Data &amp; Reporting'!Q619</x:f>
        <x:v>0</x:v>
      </x:c>
      <x:c r="N619" s="2" t="str">
        <x:f>'Data &amp; Reporting'!L619</x:f>
        <x:v>Open check</x:v>
      </x:c>
      <x:c r="O619" s="2" t="str">
        <x:f>'Data &amp; Reporting'!N619</x:f>
        <x:v>DR.BO.1.3.C09.2026.CY4</x:v>
      </x:c>
      <x:c r="P619" s="2" t="n">
        <x:f>'Data &amp; Reporting'!O619</x:f>
        <x:v>0</x:v>
      </x:c>
      <x:c r="Q619" s="2" t="n">
        <x:f>SUBTOTAL(103,O619)</x:f>
        <x:v>1</x:v>
      </x:c>
      <x:c r="R619" s="2" t="n">
        <x:f>IF(AND(M619=1,OR(Dashboard!$B$7="All",Dashboard!$B$7='Cycles &amp; Guide'!$C$5),OR(Dashboard!$D$7="All",Dashboard!$D$7=B619),OR(Dashboard!$F$7="All",Dashboard!$F$7=C619),OR(Dashboard!$H$7="All",Dashboard!$H$7=D619),OR(Dashboard!$K$7="All",Dashboard!$K$7=E619)),1,0)</x:f>
        <x:v>0</x:v>
      </x:c>
      <x:c r="S619" s="2" t="n">
        <x:f>IF(R619=1,SUM($R$10:R619),0)</x:f>
        <x:v>0</x:v>
      </x:c>
      <x:c r="T619" s="2" t="str">
        <x:v>Data &amp; Reporting</x:v>
      </x:c>
      <x:c r="U619" s="2" t="n">
        <x:v>619</x:v>
      </x:c>
      <x:c r="V619" s="2" t="n">
        <x:f>IF(AND(M619=1,P619=0,ISNUMBER(J619),J619&lt;TODAY()),1,0)</x:f>
        <x:v>0</x:v>
      </x:c>
      <x:c r="W619" s="2" t="str">
        <x:f>'Data &amp; Reporting'!M619</x:f>
        <x:v>Checklist</x:v>
      </x:c>
    </x:row>
    <x:row r="620" ht="40" customHeight="1">
      <x:c r="A620" s="3" t="str">
        <x:f>HYPERLINK("#'Data &amp; Reporting'!A620","Open")</x:f>
        <x:v>Open</x:v>
      </x:c>
      <x:c r="B620" s="2" t="str">
        <x:f>'Data &amp; Reporting'!B620</x:f>
        <x:v>Cycle 4</x:v>
      </x:c>
      <x:c r="C620" s="2" t="str">
        <x:f>'Data &amp; Reporting'!C620</x:f>
        <x:v>Phase 1</x:v>
      </x:c>
      <x:c r="D620" s="2" t="str">
        <x:f>'Data &amp; Reporting'!D620</x:f>
        <x:v>CSBBO - Banking Ops</x:v>
      </x:c>
      <x:c r="E620" s="2" t="str">
        <x:v>Data &amp; Reporting</x:v>
      </x:c>
      <x:c r="F620" s="56" t="str">
        <x:f>'Data &amp; Reporting'!E620</x:f>
        <x:v>DR.BO.1.3.C10</x:v>
      </x:c>
      <x:c r="G620" s="14" t="str">
        <x:f>'Data &amp; Reporting'!F620</x:f>
        <x:v>    Document data dictionary or field definitions for columns/rows</x:v>
      </x:c>
      <x:c r="H620" s="2" t="str">
        <x:f>IF('Data &amp; Reporting'!G620="","",'Data &amp; Reporting'!G620)</x:f>
      </x:c>
      <x:c r="I620" s="12" t="str">
        <x:f>IF('Data &amp; Reporting'!H620="","",'Data &amp; Reporting'!H620)</x:f>
      </x:c>
      <x:c r="J620" s="12" t="str">
        <x:f>IF('Data &amp; Reporting'!I620="","",'Data &amp; Reporting'!I620)</x:f>
      </x:c>
      <x:c r="K620" s="12" t="str">
        <x:f>IF('Data &amp; Reporting'!J620="","",'Data &amp; Reporting'!J620)</x:f>
      </x:c>
      <x:c r="L620" s="2" t="str">
        <x:f>IF('Data &amp; Reporting'!K620="","",'Data &amp; Reporting'!K620)</x:f>
      </x:c>
      <x:c r="M620" s="2" t="n">
        <x:f>'Data &amp; Reporting'!Q620</x:f>
        <x:v>0</x:v>
      </x:c>
      <x:c r="N620" s="2" t="str">
        <x:f>'Data &amp; Reporting'!L620</x:f>
        <x:v>Open check</x:v>
      </x:c>
      <x:c r="O620" s="2" t="str">
        <x:f>'Data &amp; Reporting'!N620</x:f>
        <x:v>DR.BO.1.3.C10.2026.CY4</x:v>
      </x:c>
      <x:c r="P620" s="2" t="n">
        <x:f>'Data &amp; Reporting'!O620</x:f>
        <x:v>0</x:v>
      </x:c>
      <x:c r="Q620" s="2" t="n">
        <x:f>SUBTOTAL(103,O620)</x:f>
        <x:v>1</x:v>
      </x:c>
      <x:c r="R620" s="2" t="n">
        <x:f>IF(AND(M620=1,OR(Dashboard!$B$7="All",Dashboard!$B$7='Cycles &amp; Guide'!$C$5),OR(Dashboard!$D$7="All",Dashboard!$D$7=B620),OR(Dashboard!$F$7="All",Dashboard!$F$7=C620),OR(Dashboard!$H$7="All",Dashboard!$H$7=D620),OR(Dashboard!$K$7="All",Dashboard!$K$7=E620)),1,0)</x:f>
        <x:v>0</x:v>
      </x:c>
      <x:c r="S620" s="2" t="n">
        <x:f>IF(R620=1,SUM($R$10:R620),0)</x:f>
        <x:v>0</x:v>
      </x:c>
      <x:c r="T620" s="2" t="str">
        <x:v>Data &amp; Reporting</x:v>
      </x:c>
      <x:c r="U620" s="2" t="n">
        <x:v>620</x:v>
      </x:c>
      <x:c r="V620" s="2" t="n">
        <x:f>IF(AND(M620=1,P620=0,ISNUMBER(J620),J620&lt;TODAY()),1,0)</x:f>
        <x:v>0</x:v>
      </x:c>
      <x:c r="W620" s="2" t="str">
        <x:f>'Data &amp; Reporting'!M620</x:f>
        <x:v>Checklist</x:v>
      </x:c>
    </x:row>
    <x:row r="621" ht="40" customHeight="1">
      <x:c r="A621" s="3" t="str">
        <x:f>HYPERLINK("#'Data &amp; Reporting'!A621","Open")</x:f>
        <x:v>Open</x:v>
      </x:c>
      <x:c r="B621" s="2" t="str">
        <x:f>'Data &amp; Reporting'!B621</x:f>
        <x:v>Cycle 4</x:v>
      </x:c>
      <x:c r="C621" s="2" t="str">
        <x:f>'Data &amp; Reporting'!C621</x:f>
        <x:v>Phase 1</x:v>
      </x:c>
      <x:c r="D621" s="2" t="str">
        <x:f>'Data &amp; Reporting'!D621</x:f>
        <x:v>CSBBO - Banking Ops</x:v>
      </x:c>
      <x:c r="E621" s="2" t="str">
        <x:v>Data &amp; Reporting</x:v>
      </x:c>
      <x:c r="F621" s="56" t="str">
        <x:f>'Data &amp; Reporting'!E621</x:f>
        <x:v>DR.BO.1.3.C11</x:v>
      </x:c>
      <x:c r="G621" s="14" t="str">
        <x:f>'Data &amp; Reporting'!F621</x:f>
        <x:v>    Document emerging trends, patterns, or concentrations along with supporting data</x:v>
      </x:c>
      <x:c r="H621" s="2" t="str">
        <x:f>IF('Data &amp; Reporting'!G621="","",'Data &amp; Reporting'!G621)</x:f>
      </x:c>
      <x:c r="I621" s="12" t="str">
        <x:f>IF('Data &amp; Reporting'!H621="","",'Data &amp; Reporting'!H621)</x:f>
      </x:c>
      <x:c r="J621" s="12" t="str">
        <x:f>IF('Data &amp; Reporting'!I621="","",'Data &amp; Reporting'!I621)</x:f>
      </x:c>
      <x:c r="K621" s="12" t="str">
        <x:f>IF('Data &amp; Reporting'!J621="","",'Data &amp; Reporting'!J621)</x:f>
      </x:c>
      <x:c r="L621" s="2" t="str">
        <x:f>IF('Data &amp; Reporting'!K621="","",'Data &amp; Reporting'!K621)</x:f>
      </x:c>
      <x:c r="M621" s="2" t="n">
        <x:f>'Data &amp; Reporting'!Q621</x:f>
        <x:v>0</x:v>
      </x:c>
      <x:c r="N621" s="2" t="str">
        <x:f>'Data &amp; Reporting'!L621</x:f>
        <x:v>Open check</x:v>
      </x:c>
      <x:c r="O621" s="2" t="str">
        <x:f>'Data &amp; Reporting'!N621</x:f>
        <x:v>DR.BO.1.3.C11.2026.CY4</x:v>
      </x:c>
      <x:c r="P621" s="2" t="n">
        <x:f>'Data &amp; Reporting'!O621</x:f>
        <x:v>0</x:v>
      </x:c>
      <x:c r="Q621" s="2" t="n">
        <x:f>SUBTOTAL(103,O621)</x:f>
        <x:v>1</x:v>
      </x:c>
      <x:c r="R621" s="2" t="n">
        <x:f>IF(AND(M621=1,OR(Dashboard!$B$7="All",Dashboard!$B$7='Cycles &amp; Guide'!$C$5),OR(Dashboard!$D$7="All",Dashboard!$D$7=B621),OR(Dashboard!$F$7="All",Dashboard!$F$7=C621),OR(Dashboard!$H$7="All",Dashboard!$H$7=D621),OR(Dashboard!$K$7="All",Dashboard!$K$7=E621)),1,0)</x:f>
        <x:v>0</x:v>
      </x:c>
      <x:c r="S621" s="2" t="n">
        <x:f>IF(R621=1,SUM($R$10:R621),0)</x:f>
        <x:v>0</x:v>
      </x:c>
      <x:c r="T621" s="2" t="str">
        <x:v>Data &amp; Reporting</x:v>
      </x:c>
      <x:c r="U621" s="2" t="n">
        <x:v>621</x:v>
      </x:c>
      <x:c r="V621" s="2" t="n">
        <x:f>IF(AND(M621=1,P621=0,ISNUMBER(J621),J621&lt;TODAY()),1,0)</x:f>
        <x:v>0</x:v>
      </x:c>
      <x:c r="W621" s="2" t="str">
        <x:f>'Data &amp; Reporting'!M621</x:f>
        <x:v>Checklist</x:v>
      </x:c>
    </x:row>
    <x:row r="622" ht="40" customHeight="1">
      <x:c r="A622" s="3" t="str">
        <x:f>HYPERLINK("#'Data &amp; Reporting'!A622","Open")</x:f>
        <x:v>Open</x:v>
      </x:c>
      <x:c r="B622" s="2" t="str">
        <x:f>'Data &amp; Reporting'!B622</x:f>
        <x:v>Cycle 4</x:v>
      </x:c>
      <x:c r="C622" s="2" t="str">
        <x:f>'Data &amp; Reporting'!C622</x:f>
        <x:v>Phase 1</x:v>
      </x:c>
      <x:c r="D622" s="2" t="str">
        <x:f>'Data &amp; Reporting'!D622</x:f>
        <x:v>CSBBO - Banking Ops</x:v>
      </x:c>
      <x:c r="E622" s="2" t="str">
        <x:v>Data &amp; Reporting</x:v>
      </x:c>
      <x:c r="F622" s="56" t="str">
        <x:f>'Data &amp; Reporting'!E622</x:f>
        <x:v>DR.BO.1.3.C12</x:v>
      </x:c>
      <x:c r="G622" s="14" t="str">
        <x:f>'Data &amp; Reporting'!F622</x:f>
        <x:v>    Document any severe spikes in volume along with context (as needed)</x:v>
      </x:c>
      <x:c r="H622" s="2" t="str">
        <x:f>IF('Data &amp; Reporting'!G622="","",'Data &amp; Reporting'!G622)</x:f>
      </x:c>
      <x:c r="I622" s="12" t="str">
        <x:f>IF('Data &amp; Reporting'!H622="","",'Data &amp; Reporting'!H622)</x:f>
      </x:c>
      <x:c r="J622" s="12" t="str">
        <x:f>IF('Data &amp; Reporting'!I622="","",'Data &amp; Reporting'!I622)</x:f>
      </x:c>
      <x:c r="K622" s="12" t="str">
        <x:f>IF('Data &amp; Reporting'!J622="","",'Data &amp; Reporting'!J622)</x:f>
      </x:c>
      <x:c r="L622" s="2" t="str">
        <x:f>IF('Data &amp; Reporting'!K622="","",'Data &amp; Reporting'!K622)</x:f>
      </x:c>
      <x:c r="M622" s="2" t="n">
        <x:f>'Data &amp; Reporting'!Q622</x:f>
        <x:v>0</x:v>
      </x:c>
      <x:c r="N622" s="2" t="str">
        <x:f>'Data &amp; Reporting'!L622</x:f>
        <x:v>Open check</x:v>
      </x:c>
      <x:c r="O622" s="2" t="str">
        <x:f>'Data &amp; Reporting'!N622</x:f>
        <x:v>DR.BO.1.3.C12.2026.CY4</x:v>
      </x:c>
      <x:c r="P622" s="2" t="n">
        <x:f>'Data &amp; Reporting'!O622</x:f>
        <x:v>0</x:v>
      </x:c>
      <x:c r="Q622" s="2" t="n">
        <x:f>SUBTOTAL(103,O622)</x:f>
        <x:v>1</x:v>
      </x:c>
      <x:c r="R622" s="2" t="n">
        <x:f>IF(AND(M622=1,OR(Dashboard!$B$7="All",Dashboard!$B$7='Cycles &amp; Guide'!$C$5),OR(Dashboard!$D$7="All",Dashboard!$D$7=B622),OR(Dashboard!$F$7="All",Dashboard!$F$7=C622),OR(Dashboard!$H$7="All",Dashboard!$H$7=D622),OR(Dashboard!$K$7="All",Dashboard!$K$7=E622)),1,0)</x:f>
        <x:v>0</x:v>
      </x:c>
      <x:c r="S622" s="2" t="n">
        <x:f>IF(R622=1,SUM($R$10:R622),0)</x:f>
        <x:v>0</x:v>
      </x:c>
      <x:c r="T622" s="2" t="str">
        <x:v>Data &amp; Reporting</x:v>
      </x:c>
      <x:c r="U622" s="2" t="n">
        <x:v>622</x:v>
      </x:c>
      <x:c r="V622" s="2" t="n">
        <x:f>IF(AND(M622=1,P622=0,ISNUMBER(J622),J622&lt;TODAY()),1,0)</x:f>
        <x:v>0</x:v>
      </x:c>
      <x:c r="W622" s="2" t="str">
        <x:f>'Data &amp; Reporting'!M622</x:f>
        <x:v>Checklist</x:v>
      </x:c>
    </x:row>
    <x:row r="623" ht="40" customHeight="1">
      <x:c r="A623" s="3" t="str">
        <x:f>HYPERLINK("#'Data &amp; Reporting'!A623","Open")</x:f>
        <x:v>Open</x:v>
      </x:c>
      <x:c r="B623" s="2" t="str">
        <x:f>'Data &amp; Reporting'!B623</x:f>
        <x:v>Cycle 4</x:v>
      </x:c>
      <x:c r="C623" s="2" t="str">
        <x:f>'Data &amp; Reporting'!C623</x:f>
        <x:v>Phase 1</x:v>
      </x:c>
      <x:c r="D623" s="2" t="str">
        <x:f>'Data &amp; Reporting'!D623</x:f>
        <x:v>CSBBO - Banking Ops</x:v>
      </x:c>
      <x:c r="E623" s="2" t="str">
        <x:v>Data &amp; Reporting</x:v>
      </x:c>
      <x:c r="F623" s="56" t="str">
        <x:f>'Data &amp; Reporting'!E623</x:f>
        <x:v>DR.BO.1.3.C13</x:v>
      </x:c>
      <x:c r="G623" s="14" t="str">
        <x:f>'Data &amp; Reporting'!F623</x:f>
        <x:v>    Document clear summary explaining how the data connects to the potential topic</x:v>
      </x:c>
      <x:c r="H623" s="2" t="str">
        <x:f>IF('Data &amp; Reporting'!G623="","",'Data &amp; Reporting'!G623)</x:f>
      </x:c>
      <x:c r="I623" s="12" t="str">
        <x:f>IF('Data &amp; Reporting'!H623="","",'Data &amp; Reporting'!H623)</x:f>
      </x:c>
      <x:c r="J623" s="12" t="str">
        <x:f>IF('Data &amp; Reporting'!I623="","",'Data &amp; Reporting'!I623)</x:f>
      </x:c>
      <x:c r="K623" s="12" t="str">
        <x:f>IF('Data &amp; Reporting'!J623="","",'Data &amp; Reporting'!J623)</x:f>
      </x:c>
      <x:c r="L623" s="2" t="str">
        <x:f>IF('Data &amp; Reporting'!K623="","",'Data &amp; Reporting'!K623)</x:f>
      </x:c>
      <x:c r="M623" s="2" t="n">
        <x:f>'Data &amp; Reporting'!Q623</x:f>
        <x:v>0</x:v>
      </x:c>
      <x:c r="N623" s="2" t="str">
        <x:f>'Data &amp; Reporting'!L623</x:f>
        <x:v>Open check</x:v>
      </x:c>
      <x:c r="O623" s="2" t="str">
        <x:f>'Data &amp; Reporting'!N623</x:f>
        <x:v>DR.BO.1.3.C13.2026.CY4</x:v>
      </x:c>
      <x:c r="P623" s="2" t="n">
        <x:f>'Data &amp; Reporting'!O623</x:f>
        <x:v>0</x:v>
      </x:c>
      <x:c r="Q623" s="2" t="n">
        <x:f>SUBTOTAL(103,O623)</x:f>
        <x:v>1</x:v>
      </x:c>
      <x:c r="R623" s="2" t="n">
        <x:f>IF(AND(M623=1,OR(Dashboard!$B$7="All",Dashboard!$B$7='Cycles &amp; Guide'!$C$5),OR(Dashboard!$D$7="All",Dashboard!$D$7=B623),OR(Dashboard!$F$7="All",Dashboard!$F$7=C623),OR(Dashboard!$H$7="All",Dashboard!$H$7=D623),OR(Dashboard!$K$7="All",Dashboard!$K$7=E623)),1,0)</x:f>
        <x:v>0</x:v>
      </x:c>
      <x:c r="S623" s="2" t="n">
        <x:f>IF(R623=1,SUM($R$10:R623),0)</x:f>
        <x:v>0</x:v>
      </x:c>
      <x:c r="T623" s="2" t="str">
        <x:v>Data &amp; Reporting</x:v>
      </x:c>
      <x:c r="U623" s="2" t="n">
        <x:v>623</x:v>
      </x:c>
      <x:c r="V623" s="2" t="n">
        <x:f>IF(AND(M623=1,P623=0,ISNUMBER(J623),J623&lt;TODAY()),1,0)</x:f>
        <x:v>0</x:v>
      </x:c>
      <x:c r="W623" s="2" t="str">
        <x:f>'Data &amp; Reporting'!M623</x:f>
        <x:v>Checklist</x:v>
      </x:c>
    </x:row>
    <x:row r="624" ht="40" customHeight="1">
      <x:c r="A624" s="3" t="str">
        <x:f>HYPERLINK("#'Data &amp; Reporting'!A624","Open")</x:f>
        <x:v>Open</x:v>
      </x:c>
      <x:c r="B624" s="2" t="str">
        <x:f>'Data &amp; Reporting'!B624</x:f>
        <x:v>Cycle 4</x:v>
      </x:c>
      <x:c r="C624" s="2" t="str">
        <x:f>'Data &amp; Reporting'!C624</x:f>
        <x:v>Phase 2</x:v>
      </x:c>
      <x:c r="D624" s="2" t="str">
        <x:f>'Data &amp; Reporting'!D624</x:f>
        <x:v>CSBBO - Banking Ops</x:v>
      </x:c>
      <x:c r="E624" s="2" t="str">
        <x:v>Data &amp; Reporting</x:v>
      </x:c>
      <x:c r="F624" s="56" t="str">
        <x:f>'Data &amp; Reporting'!E624</x:f>
        <x:v>DR.BO.2.1</x:v>
      </x:c>
      <x:c r="G624" s="14" t="str">
        <x:f>'Data &amp; Reporting'!F624</x:f>
        <x:v>Ensure data is clean, structured, and usable without manipulation needed</x:v>
      </x:c>
      <x:c r="H624" s="2" t="str">
        <x:f>IF('Data &amp; Reporting'!G624="","",'Data &amp; Reporting'!G624)</x:f>
      </x:c>
      <x:c r="I624" s="12" t="str">
        <x:f>IF('Data &amp; Reporting'!H624="","",'Data &amp; Reporting'!H624)</x:f>
      </x:c>
      <x:c r="J624" s="12" t="n">
        <x:f>IF('Data &amp; Reporting'!I624="","",'Data &amp; Reporting'!I624)</x:f>
        <x:v>46387</x:v>
      </x:c>
      <x:c r="K624" s="12" t="str">
        <x:f>IF('Data &amp; Reporting'!J624="","",'Data &amp; Reporting'!J624)</x:f>
      </x:c>
      <x:c r="L624" s="2" t="str">
        <x:f>IF('Data &amp; Reporting'!K624="","",'Data &amp; Reporting'!K624)</x:f>
      </x:c>
      <x:c r="M624" s="2" t="n">
        <x:f>'Data &amp; Reporting'!Q624</x:f>
        <x:v>1</x:v>
      </x:c>
      <x:c r="N624" s="2" t="str">
        <x:f>'Data &amp; Reporting'!L624</x:f>
        <x:v>Not started</x:v>
      </x:c>
      <x:c r="O624" s="2" t="str">
        <x:f>'Data &amp; Reporting'!N624</x:f>
        <x:v>DR.BO.2.1.2026.CY4</x:v>
      </x:c>
      <x:c r="P624" s="2" t="n">
        <x:f>'Data &amp; Reporting'!O624</x:f>
        <x:v>0</x:v>
      </x:c>
      <x:c r="Q624" s="2" t="n">
        <x:f>SUBTOTAL(103,O624)</x:f>
        <x:v>1</x:v>
      </x:c>
      <x:c r="R624" s="2" t="n">
        <x:f>IF(AND(M624=1,OR(Dashboard!$B$7="All",Dashboard!$B$7='Cycles &amp; Guide'!$C$5),OR(Dashboard!$D$7="All",Dashboard!$D$7=B624),OR(Dashboard!$F$7="All",Dashboard!$F$7=C624),OR(Dashboard!$H$7="All",Dashboard!$H$7=D624),OR(Dashboard!$K$7="All",Dashboard!$K$7=E624)),1,0)</x:f>
        <x:v>1</x:v>
      </x:c>
      <x:c r="S624" s="2" t="n">
        <x:f>IF(R624=1,SUM($R$10:R624),0)</x:f>
        <x:v>303</x:v>
      </x:c>
      <x:c r="T624" s="2" t="str">
        <x:v>Data &amp; Reporting</x:v>
      </x:c>
      <x:c r="U624" s="2" t="n">
        <x:v>624</x:v>
      </x:c>
      <x:c r="V624" s="2" t="n">
        <x:f>IF(AND(M624=1,P624=0,ISNUMBER(J624),J624&lt;TODAY()),1,0)</x:f>
        <x:v>0</x:v>
      </x:c>
      <x:c r="W624" s="2" t="str">
        <x:f>'Data &amp; Reporting'!M624</x:f>
        <x:v>Task</x:v>
      </x:c>
    </x:row>
    <x:row r="625" ht="40" customHeight="1">
      <x:c r="A625" s="3" t="str">
        <x:f>HYPERLINK("#'Data &amp; Reporting'!A625","Open")</x:f>
        <x:v>Open</x:v>
      </x:c>
      <x:c r="B625" s="2" t="str">
        <x:f>'Data &amp; Reporting'!B625</x:f>
        <x:v>Cycle 4</x:v>
      </x:c>
      <x:c r="C625" s="2" t="str">
        <x:f>'Data &amp; Reporting'!C625</x:f>
        <x:v>Phase 2</x:v>
      </x:c>
      <x:c r="D625" s="2" t="str">
        <x:f>'Data &amp; Reporting'!D625</x:f>
        <x:v>CSBBO - Banking Ops</x:v>
      </x:c>
      <x:c r="E625" s="2" t="str">
        <x:v>Data &amp; Reporting</x:v>
      </x:c>
      <x:c r="F625" s="56" t="str">
        <x:f>'Data &amp; Reporting'!E625</x:f>
        <x:v>DR.BO.2.2</x:v>
      </x:c>
      <x:c r="G625" s="14" t="str">
        <x:f>'Data &amp; Reporting'!F625</x:f>
        <x:v>Clearly document rationale for each topic recommendation within the SharePoint list</x:v>
      </x:c>
      <x:c r="H625" s="2" t="str">
        <x:f>IF('Data &amp; Reporting'!G625="","",'Data &amp; Reporting'!G625)</x:f>
      </x:c>
      <x:c r="I625" s="12" t="str">
        <x:f>IF('Data &amp; Reporting'!H625="","",'Data &amp; Reporting'!H625)</x:f>
      </x:c>
      <x:c r="J625" s="12" t="n">
        <x:f>IF('Data &amp; Reporting'!I625="","",'Data &amp; Reporting'!I625)</x:f>
        <x:v>46387</x:v>
      </x:c>
      <x:c r="K625" s="12" t="str">
        <x:f>IF('Data &amp; Reporting'!J625="","",'Data &amp; Reporting'!J625)</x:f>
      </x:c>
      <x:c r="L625" s="2" t="str">
        <x:f>IF('Data &amp; Reporting'!K625="","",'Data &amp; Reporting'!K625)</x:f>
      </x:c>
      <x:c r="M625" s="2" t="n">
        <x:f>'Data &amp; Reporting'!Q625</x:f>
        <x:v>1</x:v>
      </x:c>
      <x:c r="N625" s="2" t="str">
        <x:f>'Data &amp; Reporting'!L625</x:f>
        <x:v>Not started</x:v>
      </x:c>
      <x:c r="O625" s="2" t="str">
        <x:f>'Data &amp; Reporting'!N625</x:f>
        <x:v>DR.BO.2.2.2026.CY4</x:v>
      </x:c>
      <x:c r="P625" s="2" t="n">
        <x:f>'Data &amp; Reporting'!O625</x:f>
        <x:v>0</x:v>
      </x:c>
      <x:c r="Q625" s="2" t="n">
        <x:f>SUBTOTAL(103,O625)</x:f>
        <x:v>1</x:v>
      </x:c>
      <x:c r="R625" s="2" t="n">
        <x:f>IF(AND(M625=1,OR(Dashboard!$B$7="All",Dashboard!$B$7='Cycles &amp; Guide'!$C$5),OR(Dashboard!$D$7="All",Dashboard!$D$7=B625),OR(Dashboard!$F$7="All",Dashboard!$F$7=C625),OR(Dashboard!$H$7="All",Dashboard!$H$7=D625),OR(Dashboard!$K$7="All",Dashboard!$K$7=E625)),1,0)</x:f>
        <x:v>1</x:v>
      </x:c>
      <x:c r="S625" s="2" t="n">
        <x:f>IF(R625=1,SUM($R$10:R625),0)</x:f>
        <x:v>304</x:v>
      </x:c>
      <x:c r="T625" s="2" t="str">
        <x:v>Data &amp; Reporting</x:v>
      </x:c>
      <x:c r="U625" s="2" t="n">
        <x:v>625</x:v>
      </x:c>
      <x:c r="V625" s="2" t="n">
        <x:f>IF(AND(M625=1,P625=0,ISNUMBER(J625),J625&lt;TODAY()),1,0)</x:f>
        <x:v>0</x:v>
      </x:c>
      <x:c r="W625" s="2" t="str">
        <x:f>'Data &amp; Reporting'!M625</x:f>
        <x:v>Task</x:v>
      </x:c>
    </x:row>
    <x:row r="626" ht="40" customHeight="1">
      <x:c r="A626" s="3" t="str">
        <x:f>HYPERLINK("#'Data &amp; Reporting'!A626","Open")</x:f>
        <x:v>Open</x:v>
      </x:c>
      <x:c r="B626" s="2" t="str">
        <x:f>'Data &amp; Reporting'!B626</x:f>
        <x:v>Cycle 4</x:v>
      </x:c>
      <x:c r="C626" s="2" t="str">
        <x:f>'Data &amp; Reporting'!C626</x:f>
        <x:v>Phase 2</x:v>
      </x:c>
      <x:c r="D626" s="2" t="str">
        <x:f>'Data &amp; Reporting'!D626</x:f>
        <x:v>CSBBO - Banking Ops</x:v>
      </x:c>
      <x:c r="E626" s="2" t="str">
        <x:v>Data &amp; Reporting</x:v>
      </x:c>
      <x:c r="F626" s="56" t="str">
        <x:f>'Data &amp; Reporting'!E626</x:f>
        <x:v>DR.BO.2.3</x:v>
      </x:c>
      <x:c r="G626" s="14" t="str">
        <x:f>'Data &amp; Reporting'!F626</x:f>
        <x:v>Verify topic is eligible for RCA and does not conflict with Attorney Client Privilege</x:v>
      </x:c>
      <x:c r="H626" s="2" t="str">
        <x:f>IF('Data &amp; Reporting'!G626="","",'Data &amp; Reporting'!G626)</x:f>
      </x:c>
      <x:c r="I626" s="12" t="str">
        <x:f>IF('Data &amp; Reporting'!H626="","",'Data &amp; Reporting'!H626)</x:f>
      </x:c>
      <x:c r="J626" s="12" t="n">
        <x:f>IF('Data &amp; Reporting'!I626="","",'Data &amp; Reporting'!I626)</x:f>
        <x:v>46387</x:v>
      </x:c>
      <x:c r="K626" s="12" t="str">
        <x:f>IF('Data &amp; Reporting'!J626="","",'Data &amp; Reporting'!J626)</x:f>
      </x:c>
      <x:c r="L626" s="2" t="str">
        <x:f>IF('Data &amp; Reporting'!K626="","",'Data &amp; Reporting'!K626)</x:f>
      </x:c>
      <x:c r="M626" s="2" t="n">
        <x:f>'Data &amp; Reporting'!Q626</x:f>
        <x:v>1</x:v>
      </x:c>
      <x:c r="N626" s="2" t="str">
        <x:f>'Data &amp; Reporting'!L626</x:f>
        <x:v>Not started</x:v>
      </x:c>
      <x:c r="O626" s="2" t="str">
        <x:f>'Data &amp; Reporting'!N626</x:f>
        <x:v>DR.BO.2.3.2026.CY4</x:v>
      </x:c>
      <x:c r="P626" s="2" t="n">
        <x:f>'Data &amp; Reporting'!O626</x:f>
        <x:v>0</x:v>
      </x:c>
      <x:c r="Q626" s="2" t="n">
        <x:f>SUBTOTAL(103,O626)</x:f>
        <x:v>1</x:v>
      </x:c>
      <x:c r="R626" s="2" t="n">
        <x:f>IF(AND(M626=1,OR(Dashboard!$B$7="All",Dashboard!$B$7='Cycles &amp; Guide'!$C$5),OR(Dashboard!$D$7="All",Dashboard!$D$7=B626),OR(Dashboard!$F$7="All",Dashboard!$F$7=C626),OR(Dashboard!$H$7="All",Dashboard!$H$7=D626),OR(Dashboard!$K$7="All",Dashboard!$K$7=E626)),1,0)</x:f>
        <x:v>1</x:v>
      </x:c>
      <x:c r="S626" s="2" t="n">
        <x:f>IF(R626=1,SUM($R$10:R626),0)</x:f>
        <x:v>305</x:v>
      </x:c>
      <x:c r="T626" s="2" t="str">
        <x:v>Data &amp; Reporting</x:v>
      </x:c>
      <x:c r="U626" s="2" t="n">
        <x:v>626</x:v>
      </x:c>
      <x:c r="V626" s="2" t="n">
        <x:f>IF(AND(M626=1,P626=0,ISNUMBER(J626),J626&lt;TODAY()),1,0)</x:f>
        <x:v>0</x:v>
      </x:c>
      <x:c r="W626" s="2" t="str">
        <x:f>'Data &amp; Reporting'!M626</x:f>
        <x:v>Task</x:v>
      </x:c>
    </x:row>
    <x:row r="627" ht="40" customHeight="1">
      <x:c r="A627" s="3" t="str">
        <x:f>HYPERLINK("#'Data &amp; Reporting'!A627","Open")</x:f>
        <x:v>Open</x:v>
      </x:c>
      <x:c r="B627" s="2" t="str">
        <x:f>'Data &amp; Reporting'!B627</x:f>
        <x:v>Cycle 4</x:v>
      </x:c>
      <x:c r="C627" s="2" t="str">
        <x:f>'Data &amp; Reporting'!C627</x:f>
        <x:v>Phase 2</x:v>
      </x:c>
      <x:c r="D627" s="2" t="str">
        <x:f>'Data &amp; Reporting'!D627</x:f>
        <x:v>CSBBO - Banking Ops</x:v>
      </x:c>
      <x:c r="E627" s="2" t="str">
        <x:v>Data &amp; Reporting</x:v>
      </x:c>
      <x:c r="F627" s="56" t="str">
        <x:f>'Data &amp; Reporting'!E627</x:f>
        <x:v>DR.BO.2.4</x:v>
      </x:c>
      <x:c r="G627" s="14" t="str">
        <x:f>'Data &amp; Reporting'!F627</x:f>
        <x:v>Ensure data is free of errors and anomalies prior to hand-off to Research</x:v>
      </x:c>
      <x:c r="H627" s="2" t="str">
        <x:f>IF('Data &amp; Reporting'!G627="","",'Data &amp; Reporting'!G627)</x:f>
      </x:c>
      <x:c r="I627" s="12" t="str">
        <x:f>IF('Data &amp; Reporting'!H627="","",'Data &amp; Reporting'!H627)</x:f>
      </x:c>
      <x:c r="J627" s="12" t="n">
        <x:f>IF('Data &amp; Reporting'!I627="","",'Data &amp; Reporting'!I627)</x:f>
        <x:v>46387</x:v>
      </x:c>
      <x:c r="K627" s="12" t="str">
        <x:f>IF('Data &amp; Reporting'!J627="","",'Data &amp; Reporting'!J627)</x:f>
      </x:c>
      <x:c r="L627" s="2" t="str">
        <x:f>IF('Data &amp; Reporting'!K627="","",'Data &amp; Reporting'!K627)</x:f>
      </x:c>
      <x:c r="M627" s="2" t="n">
        <x:f>'Data &amp; Reporting'!Q627</x:f>
        <x:v>1</x:v>
      </x:c>
      <x:c r="N627" s="2" t="str">
        <x:f>'Data &amp; Reporting'!L627</x:f>
        <x:v>Not started</x:v>
      </x:c>
      <x:c r="O627" s="2" t="str">
        <x:f>'Data &amp; Reporting'!N627</x:f>
        <x:v>DR.BO.2.4.2026.CY4</x:v>
      </x:c>
      <x:c r="P627" s="2" t="n">
        <x:f>'Data &amp; Reporting'!O627</x:f>
        <x:v>0</x:v>
      </x:c>
      <x:c r="Q627" s="2" t="n">
        <x:f>SUBTOTAL(103,O627)</x:f>
        <x:v>1</x:v>
      </x:c>
      <x:c r="R627" s="2" t="n">
        <x:f>IF(AND(M627=1,OR(Dashboard!$B$7="All",Dashboard!$B$7='Cycles &amp; Guide'!$C$5),OR(Dashboard!$D$7="All",Dashboard!$D$7=B627),OR(Dashboard!$F$7="All",Dashboard!$F$7=C627),OR(Dashboard!$H$7="All",Dashboard!$H$7=D627),OR(Dashboard!$K$7="All",Dashboard!$K$7=E627)),1,0)</x:f>
        <x:v>1</x:v>
      </x:c>
      <x:c r="S627" s="2" t="n">
        <x:f>IF(R627=1,SUM($R$10:R627),0)</x:f>
        <x:v>306</x:v>
      </x:c>
      <x:c r="T627" s="2" t="str">
        <x:v>Data &amp; Reporting</x:v>
      </x:c>
      <x:c r="U627" s="2" t="n">
        <x:v>627</x:v>
      </x:c>
      <x:c r="V627" s="2" t="n">
        <x:f>IF(AND(M627=1,P627=0,ISNUMBER(J627),J627&lt;TODAY()),1,0)</x:f>
        <x:v>0</x:v>
      </x:c>
      <x:c r="W627" s="2" t="str">
        <x:f>'Data &amp; Reporting'!M627</x:f>
        <x:v>Task</x:v>
      </x:c>
    </x:row>
    <x:row r="628" ht="40" customHeight="1">
      <x:c r="A628" s="3" t="str">
        <x:f>HYPERLINK("#'Data &amp; Reporting'!A628","Open")</x:f>
        <x:v>Open</x:v>
      </x:c>
      <x:c r="B628" s="2" t="str">
        <x:f>'Data &amp; Reporting'!B628</x:f>
        <x:v>Cycle 4</x:v>
      </x:c>
      <x:c r="C628" s="2" t="str">
        <x:f>'Data &amp; Reporting'!C628</x:f>
        <x:v>Phase 2</x:v>
      </x:c>
      <x:c r="D628" s="2" t="str">
        <x:f>'Data &amp; Reporting'!D628</x:f>
        <x:v>CSBBO - Banking Ops</x:v>
      </x:c>
      <x:c r="E628" s="2" t="str">
        <x:v>Data &amp; Reporting</x:v>
      </x:c>
      <x:c r="F628" s="56" t="str">
        <x:f>'Data &amp; Reporting'!E628</x:f>
        <x:v>DR.BO.2.5</x:v>
      </x:c>
      <x:c r="G628" s="14" t="str">
        <x:f>'Data &amp; Reporting'!F628</x:f>
        <x:v>Ensure topic is not a duplicate from a previous Cycle</x:v>
      </x:c>
      <x:c r="H628" s="2" t="str">
        <x:f>IF('Data &amp; Reporting'!G628="","",'Data &amp; Reporting'!G628)</x:f>
      </x:c>
      <x:c r="I628" s="12" t="str">
        <x:f>IF('Data &amp; Reporting'!H628="","",'Data &amp; Reporting'!H628)</x:f>
      </x:c>
      <x:c r="J628" s="12" t="n">
        <x:f>IF('Data &amp; Reporting'!I628="","",'Data &amp; Reporting'!I628)</x:f>
        <x:v>46387</x:v>
      </x:c>
      <x:c r="K628" s="12" t="str">
        <x:f>IF('Data &amp; Reporting'!J628="","",'Data &amp; Reporting'!J628)</x:f>
      </x:c>
      <x:c r="L628" s="2" t="str">
        <x:f>IF('Data &amp; Reporting'!K628="","",'Data &amp; Reporting'!K628)</x:f>
      </x:c>
      <x:c r="M628" s="2" t="n">
        <x:f>'Data &amp; Reporting'!Q628</x:f>
        <x:v>1</x:v>
      </x:c>
      <x:c r="N628" s="2" t="str">
        <x:f>'Data &amp; Reporting'!L628</x:f>
        <x:v>Not started</x:v>
      </x:c>
      <x:c r="O628" s="2" t="str">
        <x:f>'Data &amp; Reporting'!N628</x:f>
        <x:v>DR.BO.2.5.2026.CY4</x:v>
      </x:c>
      <x:c r="P628" s="2" t="n">
        <x:f>'Data &amp; Reporting'!O628</x:f>
        <x:v>0</x:v>
      </x:c>
      <x:c r="Q628" s="2" t="n">
        <x:f>SUBTOTAL(103,O628)</x:f>
        <x:v>1</x:v>
      </x:c>
      <x:c r="R628" s="2" t="n">
        <x:f>IF(AND(M628=1,OR(Dashboard!$B$7="All",Dashboard!$B$7='Cycles &amp; Guide'!$C$5),OR(Dashboard!$D$7="All",Dashboard!$D$7=B628),OR(Dashboard!$F$7="All",Dashboard!$F$7=C628),OR(Dashboard!$H$7="All",Dashboard!$H$7=D628),OR(Dashboard!$K$7="All",Dashboard!$K$7=E628)),1,0)</x:f>
        <x:v>1</x:v>
      </x:c>
      <x:c r="S628" s="2" t="n">
        <x:f>IF(R628=1,SUM($R$10:R628),0)</x:f>
        <x:v>307</x:v>
      </x:c>
      <x:c r="T628" s="2" t="str">
        <x:v>Data &amp; Reporting</x:v>
      </x:c>
      <x:c r="U628" s="2" t="n">
        <x:v>628</x:v>
      </x:c>
      <x:c r="V628" s="2" t="n">
        <x:f>IF(AND(M628=1,P628=0,ISNUMBER(J628),J628&lt;TODAY()),1,0)</x:f>
        <x:v>0</x:v>
      </x:c>
      <x:c r="W628" s="2" t="str">
        <x:f>'Data &amp; Reporting'!M628</x:f>
        <x:v>Task</x:v>
      </x:c>
    </x:row>
    <x:row r="629" ht="40" customHeight="1">
      <x:c r="A629" s="3" t="str">
        <x:f>HYPERLINK("#'Data &amp; Reporting'!A629","Open")</x:f>
        <x:v>Open</x:v>
      </x:c>
      <x:c r="B629" s="2" t="str">
        <x:f>'Data &amp; Reporting'!B629</x:f>
        <x:v>Cycle 4</x:v>
      </x:c>
      <x:c r="C629" s="2" t="str">
        <x:f>'Data &amp; Reporting'!C629</x:f>
        <x:v>Phase 2</x:v>
      </x:c>
      <x:c r="D629" s="2" t="str">
        <x:f>'Data &amp; Reporting'!D629</x:f>
        <x:v>CSBBO - Banking Ops</x:v>
      </x:c>
      <x:c r="E629" s="2" t="str">
        <x:v>Data &amp; Reporting</x:v>
      </x:c>
      <x:c r="F629" s="56" t="str">
        <x:f>'Data &amp; Reporting'!E629</x:f>
        <x:v>DR.BO.2.6</x:v>
      </x:c>
      <x:c r="G629" s="14" t="str">
        <x:f>'Data &amp; Reporting'!F629</x:f>
        <x:v>Document clear distinctions between facts, assumptions, and hypotheses within the data package</x:v>
      </x:c>
      <x:c r="H629" s="2" t="str">
        <x:f>IF('Data &amp; Reporting'!G629="","",'Data &amp; Reporting'!G629)</x:f>
      </x:c>
      <x:c r="I629" s="12" t="str">
        <x:f>IF('Data &amp; Reporting'!H629="","",'Data &amp; Reporting'!H629)</x:f>
      </x:c>
      <x:c r="J629" s="12" t="n">
        <x:f>IF('Data &amp; Reporting'!I629="","",'Data &amp; Reporting'!I629)</x:f>
        <x:v>46387</x:v>
      </x:c>
      <x:c r="K629" s="12" t="str">
        <x:f>IF('Data &amp; Reporting'!J629="","",'Data &amp; Reporting'!J629)</x:f>
      </x:c>
      <x:c r="L629" s="2" t="str">
        <x:f>IF('Data &amp; Reporting'!K629="","",'Data &amp; Reporting'!K629)</x:f>
      </x:c>
      <x:c r="M629" s="2" t="n">
        <x:f>'Data &amp; Reporting'!Q629</x:f>
        <x:v>1</x:v>
      </x:c>
      <x:c r="N629" s="2" t="str">
        <x:f>'Data &amp; Reporting'!L629</x:f>
        <x:v>Not started</x:v>
      </x:c>
      <x:c r="O629" s="2" t="str">
        <x:f>'Data &amp; Reporting'!N629</x:f>
        <x:v>DR.BO.2.6.2026.CY4</x:v>
      </x:c>
      <x:c r="P629" s="2" t="n">
        <x:f>'Data &amp; Reporting'!O629</x:f>
        <x:v>0</x:v>
      </x:c>
      <x:c r="Q629" s="2" t="n">
        <x:f>SUBTOTAL(103,O629)</x:f>
        <x:v>1</x:v>
      </x:c>
      <x:c r="R629" s="2" t="n">
        <x:f>IF(AND(M629=1,OR(Dashboard!$B$7="All",Dashboard!$B$7='Cycles &amp; Guide'!$C$5),OR(Dashboard!$D$7="All",Dashboard!$D$7=B629),OR(Dashboard!$F$7="All",Dashboard!$F$7=C629),OR(Dashboard!$H$7="All",Dashboard!$H$7=D629),OR(Dashboard!$K$7="All",Dashboard!$K$7=E629)),1,0)</x:f>
        <x:v>1</x:v>
      </x:c>
      <x:c r="S629" s="2" t="n">
        <x:f>IF(R629=1,SUM($R$10:R629),0)</x:f>
        <x:v>308</x:v>
      </x:c>
      <x:c r="T629" s="2" t="str">
        <x:v>Data &amp; Reporting</x:v>
      </x:c>
      <x:c r="U629" s="2" t="n">
        <x:v>629</x:v>
      </x:c>
      <x:c r="V629" s="2" t="n">
        <x:f>IF(AND(M629=1,P629=0,ISNUMBER(J629),J629&lt;TODAY()),1,0)</x:f>
        <x:v>0</x:v>
      </x:c>
      <x:c r="W629" s="2" t="str">
        <x:f>'Data &amp; Reporting'!M629</x:f>
        <x:v>Task</x:v>
      </x:c>
    </x:row>
    <x:row r="630" ht="40" customHeight="1">
      <x:c r="A630" s="3" t="str">
        <x:f>HYPERLINK("#'Data &amp; Reporting'!A630","Open")</x:f>
        <x:v>Open</x:v>
      </x:c>
      <x:c r="B630" s="2" t="str">
        <x:f>'Data &amp; Reporting'!B630</x:f>
        <x:v>Cycle 4</x:v>
      </x:c>
      <x:c r="C630" s="2" t="str">
        <x:f>'Data &amp; Reporting'!C630</x:f>
        <x:v>Phase 3</x:v>
      </x:c>
      <x:c r="D630" s="2" t="str">
        <x:f>'Data &amp; Reporting'!D630</x:f>
        <x:v>CSBBO - Banking Ops</x:v>
      </x:c>
      <x:c r="E630" s="2" t="str">
        <x:v>Data &amp; Reporting</x:v>
      </x:c>
      <x:c r="F630" s="56" t="str">
        <x:f>'Data &amp; Reporting'!E630</x:f>
        <x:v>DR.BO.3.1</x:v>
      </x:c>
      <x:c r="G630" s="14" t="str">
        <x:f>'Data &amp; Reporting'!F630</x:f>
        <x:v>Clearly document rationale for each topic recommendation within the SharePoint list item</x:v>
      </x:c>
      <x:c r="H630" s="2" t="str">
        <x:f>IF('Data &amp; Reporting'!G630="","",'Data &amp; Reporting'!G630)</x:f>
      </x:c>
      <x:c r="I630" s="12" t="str">
        <x:f>IF('Data &amp; Reporting'!H630="","",'Data &amp; Reporting'!H630)</x:f>
      </x:c>
      <x:c r="J630" s="12" t="n">
        <x:f>IF('Data &amp; Reporting'!I630="","",'Data &amp; Reporting'!I630)</x:f>
        <x:v>46387</x:v>
      </x:c>
      <x:c r="K630" s="12" t="str">
        <x:f>IF('Data &amp; Reporting'!J630="","",'Data &amp; Reporting'!J630)</x:f>
      </x:c>
      <x:c r="L630" s="2" t="str">
        <x:f>IF('Data &amp; Reporting'!K630="","",'Data &amp; Reporting'!K630)</x:f>
      </x:c>
      <x:c r="M630" s="2" t="n">
        <x:f>'Data &amp; Reporting'!Q630</x:f>
        <x:v>1</x:v>
      </x:c>
      <x:c r="N630" s="2" t="str">
        <x:f>'Data &amp; Reporting'!L630</x:f>
        <x:v>Not started</x:v>
      </x:c>
      <x:c r="O630" s="2" t="str">
        <x:f>'Data &amp; Reporting'!N630</x:f>
        <x:v>DR.BO.3.1.2026.CY4</x:v>
      </x:c>
      <x:c r="P630" s="2" t="n">
        <x:f>'Data &amp; Reporting'!O630</x:f>
        <x:v>0</x:v>
      </x:c>
      <x:c r="Q630" s="2" t="n">
        <x:f>SUBTOTAL(103,O630)</x:f>
        <x:v>1</x:v>
      </x:c>
      <x:c r="R630" s="2" t="n">
        <x:f>IF(AND(M630=1,OR(Dashboard!$B$7="All",Dashboard!$B$7='Cycles &amp; Guide'!$C$5),OR(Dashboard!$D$7="All",Dashboard!$D$7=B630),OR(Dashboard!$F$7="All",Dashboard!$F$7=C630),OR(Dashboard!$H$7="All",Dashboard!$H$7=D630),OR(Dashboard!$K$7="All",Dashboard!$K$7=E630)),1,0)</x:f>
        <x:v>1</x:v>
      </x:c>
      <x:c r="S630" s="2" t="n">
        <x:f>IF(R630=1,SUM($R$10:R630),0)</x:f>
        <x:v>309</x:v>
      </x:c>
      <x:c r="T630" s="2" t="str">
        <x:v>Data &amp; Reporting</x:v>
      </x:c>
      <x:c r="U630" s="2" t="n">
        <x:v>630</x:v>
      </x:c>
      <x:c r="V630" s="2" t="n">
        <x:f>IF(AND(M630=1,P630=0,ISNUMBER(J630),J630&lt;TODAY()),1,0)</x:f>
        <x:v>0</x:v>
      </x:c>
      <x:c r="W630" s="2" t="str">
        <x:f>'Data &amp; Reporting'!M630</x:f>
        <x:v>Task</x:v>
      </x:c>
    </x:row>
    <x:row r="631" ht="40" customHeight="1">
      <x:c r="A631" s="3" t="str">
        <x:f>HYPERLINK("#'Data &amp; Reporting'!A631","Open")</x:f>
        <x:v>Open</x:v>
      </x:c>
      <x:c r="B631" s="2" t="str">
        <x:f>'Data &amp; Reporting'!B631</x:f>
        <x:v>Cycle 4</x:v>
      </x:c>
      <x:c r="C631" s="2" t="str">
        <x:f>'Data &amp; Reporting'!C631</x:f>
        <x:v>Phase 3</x:v>
      </x:c>
      <x:c r="D631" s="2" t="str">
        <x:f>'Data &amp; Reporting'!D631</x:f>
        <x:v>CSBBO - Banking Ops</x:v>
      </x:c>
      <x:c r="E631" s="2" t="str">
        <x:v>Data &amp; Reporting</x:v>
      </x:c>
      <x:c r="F631" s="56" t="str">
        <x:f>'Data &amp; Reporting'!E631</x:f>
        <x:v>DR.BO.3.2</x:v>
      </x:c>
      <x:c r="G631" s="14" t="str">
        <x:f>'Data &amp; Reporting'!F631</x:f>
        <x:v>Attach the data package for each topic recommendation within the SharePoint list item</x:v>
      </x:c>
      <x:c r="H631" s="2" t="str">
        <x:f>IF('Data &amp; Reporting'!G631="","",'Data &amp; Reporting'!G631)</x:f>
      </x:c>
      <x:c r="I631" s="12" t="str">
        <x:f>IF('Data &amp; Reporting'!H631="","",'Data &amp; Reporting'!H631)</x:f>
      </x:c>
      <x:c r="J631" s="12" t="n">
        <x:f>IF('Data &amp; Reporting'!I631="","",'Data &amp; Reporting'!I631)</x:f>
        <x:v>46387</x:v>
      </x:c>
      <x:c r="K631" s="12" t="str">
        <x:f>IF('Data &amp; Reporting'!J631="","",'Data &amp; Reporting'!J631)</x:f>
      </x:c>
      <x:c r="L631" s="2" t="str">
        <x:f>IF('Data &amp; Reporting'!K631="","",'Data &amp; Reporting'!K631)</x:f>
      </x:c>
      <x:c r="M631" s="2" t="n">
        <x:f>'Data &amp; Reporting'!Q631</x:f>
        <x:v>1</x:v>
      </x:c>
      <x:c r="N631" s="2" t="str">
        <x:f>'Data &amp; Reporting'!L631</x:f>
        <x:v>Not started</x:v>
      </x:c>
      <x:c r="O631" s="2" t="str">
        <x:f>'Data &amp; Reporting'!N631</x:f>
        <x:v>DR.BO.3.2.2026.CY4</x:v>
      </x:c>
      <x:c r="P631" s="2" t="n">
        <x:f>'Data &amp; Reporting'!O631</x:f>
        <x:v>0</x:v>
      </x:c>
      <x:c r="Q631" s="2" t="n">
        <x:f>SUBTOTAL(103,O631)</x:f>
        <x:v>1</x:v>
      </x:c>
      <x:c r="R631" s="2" t="n">
        <x:f>IF(AND(M631=1,OR(Dashboard!$B$7="All",Dashboard!$B$7='Cycles &amp; Guide'!$C$5),OR(Dashboard!$D$7="All",Dashboard!$D$7=B631),OR(Dashboard!$F$7="All",Dashboard!$F$7=C631),OR(Dashboard!$H$7="All",Dashboard!$H$7=D631),OR(Dashboard!$K$7="All",Dashboard!$K$7=E631)),1,0)</x:f>
        <x:v>1</x:v>
      </x:c>
      <x:c r="S631" s="2" t="n">
        <x:f>IF(R631=1,SUM($R$10:R631),0)</x:f>
        <x:v>310</x:v>
      </x:c>
      <x:c r="T631" s="2" t="str">
        <x:v>Data &amp; Reporting</x:v>
      </x:c>
      <x:c r="U631" s="2" t="n">
        <x:v>631</x:v>
      </x:c>
      <x:c r="V631" s="2" t="n">
        <x:f>IF(AND(M631=1,P631=0,ISNUMBER(J631),J631&lt;TODAY()),1,0)</x:f>
        <x:v>0</x:v>
      </x:c>
      <x:c r="W631" s="2" t="str">
        <x:f>'Data &amp; Reporting'!M631</x:f>
        <x:v>Task</x:v>
      </x:c>
    </x:row>
    <x:row r="632" ht="40" customHeight="1">
      <x:c r="A632" s="3" t="str">
        <x:f>HYPERLINK("#'Data &amp; Reporting'!A632","Open")</x:f>
        <x:v>Open</x:v>
      </x:c>
      <x:c r="B632" s="2" t="str">
        <x:f>'Data &amp; Reporting'!B632</x:f>
        <x:v>Cycle 4</x:v>
      </x:c>
      <x:c r="C632" s="2" t="str">
        <x:f>'Data &amp; Reporting'!C632</x:f>
        <x:v>Phase 3</x:v>
      </x:c>
      <x:c r="D632" s="2" t="str">
        <x:f>'Data &amp; Reporting'!D632</x:f>
        <x:v>CSBBO - Banking Ops</x:v>
      </x:c>
      <x:c r="E632" s="2" t="str">
        <x:v>Data &amp; Reporting</x:v>
      </x:c>
      <x:c r="F632" s="56" t="str">
        <x:f>'Data &amp; Reporting'!E632</x:f>
        <x:v>DR.BO.3.3</x:v>
      </x:c>
      <x:c r="G632" s="14" t="str">
        <x:f>'Data &amp; Reporting'!F632</x:f>
        <x:v>Confirm data privileges have been granted, ensuring each pillar can access</x:v>
      </x:c>
      <x:c r="H632" s="2" t="str">
        <x:f>IF('Data &amp; Reporting'!G632="","",'Data &amp; Reporting'!G632)</x:f>
      </x:c>
      <x:c r="I632" s="12" t="str">
        <x:f>IF('Data &amp; Reporting'!H632="","",'Data &amp; Reporting'!H632)</x:f>
      </x:c>
      <x:c r="J632" s="12" t="n">
        <x:f>IF('Data &amp; Reporting'!I632="","",'Data &amp; Reporting'!I632)</x:f>
        <x:v>46387</x:v>
      </x:c>
      <x:c r="K632" s="12" t="str">
        <x:f>IF('Data &amp; Reporting'!J632="","",'Data &amp; Reporting'!J632)</x:f>
      </x:c>
      <x:c r="L632" s="2" t="str">
        <x:f>IF('Data &amp; Reporting'!K632="","",'Data &amp; Reporting'!K632)</x:f>
      </x:c>
      <x:c r="M632" s="2" t="n">
        <x:f>'Data &amp; Reporting'!Q632</x:f>
        <x:v>1</x:v>
      </x:c>
      <x:c r="N632" s="2" t="str">
        <x:f>'Data &amp; Reporting'!L632</x:f>
        <x:v>Not started</x:v>
      </x:c>
      <x:c r="O632" s="2" t="str">
        <x:f>'Data &amp; Reporting'!N632</x:f>
        <x:v>DR.BO.3.3.2026.CY4</x:v>
      </x:c>
      <x:c r="P632" s="2" t="n">
        <x:f>'Data &amp; Reporting'!O632</x:f>
        <x:v>0</x:v>
      </x:c>
      <x:c r="Q632" s="2" t="n">
        <x:f>SUBTOTAL(103,O632)</x:f>
        <x:v>1</x:v>
      </x:c>
      <x:c r="R632" s="2" t="n">
        <x:f>IF(AND(M632=1,OR(Dashboard!$B$7="All",Dashboard!$B$7='Cycles &amp; Guide'!$C$5),OR(Dashboard!$D$7="All",Dashboard!$D$7=B632),OR(Dashboard!$F$7="All",Dashboard!$F$7=C632),OR(Dashboard!$H$7="All",Dashboard!$H$7=D632),OR(Dashboard!$K$7="All",Dashboard!$K$7=E632)),1,0)</x:f>
        <x:v>1</x:v>
      </x:c>
      <x:c r="S632" s="2" t="n">
        <x:f>IF(R632=1,SUM($R$10:R632),0)</x:f>
        <x:v>311</x:v>
      </x:c>
      <x:c r="T632" s="2" t="str">
        <x:v>Data &amp; Reporting</x:v>
      </x:c>
      <x:c r="U632" s="2" t="n">
        <x:v>632</x:v>
      </x:c>
      <x:c r="V632" s="2" t="n">
        <x:f>IF(AND(M632=1,P632=0,ISNUMBER(J632),J632&lt;TODAY()),1,0)</x:f>
        <x:v>0</x:v>
      </x:c>
      <x:c r="W632" s="2" t="str">
        <x:f>'Data &amp; Reporting'!M632</x:f>
        <x:v>Task</x:v>
      </x:c>
    </x:row>
    <x:row r="633" ht="40" customHeight="1">
      <x:c r="A633" s="3" t="str">
        <x:f>HYPERLINK("#'Data &amp; Reporting'!A633","Open")</x:f>
        <x:v>Open</x:v>
      </x:c>
      <x:c r="B633" s="2" t="str">
        <x:f>'Data &amp; Reporting'!B633</x:f>
        <x:v>Cycle 4</x:v>
      </x:c>
      <x:c r="C633" s="2" t="str">
        <x:f>'Data &amp; Reporting'!C633</x:f>
        <x:v>Phase 3</x:v>
      </x:c>
      <x:c r="D633" s="2" t="str">
        <x:f>'Data &amp; Reporting'!D633</x:f>
        <x:v>CSBBO - Banking Ops</x:v>
      </x:c>
      <x:c r="E633" s="2" t="str">
        <x:v>Data &amp; Reporting</x:v>
      </x:c>
      <x:c r="F633" s="56" t="str">
        <x:f>'Data &amp; Reporting'!E633</x:f>
        <x:v>DR.BO.3.4</x:v>
      </x:c>
      <x:c r="G633" s="14" t="str">
        <x:f>'Data &amp; Reporting'!F633</x:f>
        <x:v>Ensure Power Automate notifications were correctly triggered within Microsoft Teams</x:v>
      </x:c>
      <x:c r="H633" s="2" t="str">
        <x:f>IF('Data &amp; Reporting'!G633="","",'Data &amp; Reporting'!G633)</x:f>
      </x:c>
      <x:c r="I633" s="12" t="str">
        <x:f>IF('Data &amp; Reporting'!H633="","",'Data &amp; Reporting'!H633)</x:f>
      </x:c>
      <x:c r="J633" s="12" t="n">
        <x:f>IF('Data &amp; Reporting'!I633="","",'Data &amp; Reporting'!I633)</x:f>
        <x:v>46387</x:v>
      </x:c>
      <x:c r="K633" s="12" t="str">
        <x:f>IF('Data &amp; Reporting'!J633="","",'Data &amp; Reporting'!J633)</x:f>
      </x:c>
      <x:c r="L633" s="2" t="str">
        <x:f>IF('Data &amp; Reporting'!K633="","",'Data &amp; Reporting'!K633)</x:f>
      </x:c>
      <x:c r="M633" s="2" t="n">
        <x:f>'Data &amp; Reporting'!Q633</x:f>
        <x:v>1</x:v>
      </x:c>
      <x:c r="N633" s="2" t="str">
        <x:f>'Data &amp; Reporting'!L633</x:f>
        <x:v>Not started</x:v>
      </x:c>
      <x:c r="O633" s="2" t="str">
        <x:f>'Data &amp; Reporting'!N633</x:f>
        <x:v>DR.BO.3.4.2026.CY4</x:v>
      </x:c>
      <x:c r="P633" s="2" t="n">
        <x:f>'Data &amp; Reporting'!O633</x:f>
        <x:v>0</x:v>
      </x:c>
      <x:c r="Q633" s="2" t="n">
        <x:f>SUBTOTAL(103,O633)</x:f>
        <x:v>1</x:v>
      </x:c>
      <x:c r="R633" s="2" t="n">
        <x:f>IF(AND(M633=1,OR(Dashboard!$B$7="All",Dashboard!$B$7='Cycles &amp; Guide'!$C$5),OR(Dashboard!$D$7="All",Dashboard!$D$7=B633),OR(Dashboard!$F$7="All",Dashboard!$F$7=C633),OR(Dashboard!$H$7="All",Dashboard!$H$7=D633),OR(Dashboard!$K$7="All",Dashboard!$K$7=E633)),1,0)</x:f>
        <x:v>1</x:v>
      </x:c>
      <x:c r="S633" s="2" t="n">
        <x:f>IF(R633=1,SUM($R$10:R633),0)</x:f>
        <x:v>312</x:v>
      </x:c>
      <x:c r="T633" s="2" t="str">
        <x:v>Data &amp; Reporting</x:v>
      </x:c>
      <x:c r="U633" s="2" t="n">
        <x:v>633</x:v>
      </x:c>
      <x:c r="V633" s="2" t="n">
        <x:f>IF(AND(M633=1,P633=0,ISNUMBER(J633),J633&lt;TODAY()),1,0)</x:f>
        <x:v>0</x:v>
      </x:c>
      <x:c r="W633" s="2" t="str">
        <x:f>'Data &amp; Reporting'!M633</x:f>
        <x:v>Task</x:v>
      </x:c>
    </x:row>
    <x:row r="634" ht="40" customHeight="1">
      <x:c r="A634" s="3" t="str">
        <x:f>HYPERLINK("#'Data &amp; Reporting'!A634","Open")</x:f>
        <x:v>Open</x:v>
      </x:c>
      <x:c r="B634" s="2" t="str">
        <x:f>'Data &amp; Reporting'!B634</x:f>
        <x:v>Cycle 4</x:v>
      </x:c>
      <x:c r="C634" s="2" t="str">
        <x:f>'Data &amp; Reporting'!C634</x:f>
        <x:v>Phase 1</x:v>
      </x:c>
      <x:c r="D634" s="2" t="str">
        <x:f>'Data &amp; Reporting'!D634</x:f>
        <x:v>CSBBO - Customer Service</x:v>
      </x:c>
      <x:c r="E634" s="2" t="str">
        <x:v>Data &amp; Reporting</x:v>
      </x:c>
      <x:c r="F634" s="56" t="str">
        <x:f>'Data &amp; Reporting'!E634</x:f>
        <x:v>DR.CS.1.1</x:v>
      </x:c>
      <x:c r="G634" s="14" t="str">
        <x:f>'Data &amp; Reporting'!F634</x:f>
        <x:v>Review data sources 3 weeks prior to Cycle start (Complaints, Gen AI, Loudspeaker, NPS, etc.)</x:v>
      </x:c>
      <x:c r="H634" s="2" t="str">
        <x:f>IF('Data &amp; Reporting'!G634="","",'Data &amp; Reporting'!G634)</x:f>
      </x:c>
      <x:c r="I634" s="12" t="str">
        <x:f>IF('Data &amp; Reporting'!H634="","",'Data &amp; Reporting'!H634)</x:f>
      </x:c>
      <x:c r="J634" s="12" t="n">
        <x:f>IF('Data &amp; Reporting'!I634="","",'Data &amp; Reporting'!I634)</x:f>
        <x:v>46275</x:v>
      </x:c>
      <x:c r="K634" s="12" t="str">
        <x:f>IF('Data &amp; Reporting'!J634="","",'Data &amp; Reporting'!J634)</x:f>
      </x:c>
      <x:c r="L634" s="2" t="str">
        <x:f>IF('Data &amp; Reporting'!K634="","",'Data &amp; Reporting'!K634)</x:f>
      </x:c>
      <x:c r="M634" s="2" t="n">
        <x:f>'Data &amp; Reporting'!Q634</x:f>
        <x:v>1</x:v>
      </x:c>
      <x:c r="N634" s="2" t="str">
        <x:f>'Data &amp; Reporting'!L634</x:f>
        <x:v>Not started</x:v>
      </x:c>
      <x:c r="O634" s="2" t="str">
        <x:f>'Data &amp; Reporting'!N634</x:f>
        <x:v>DR.CS.1.1.2026.CY4</x:v>
      </x:c>
      <x:c r="P634" s="2" t="n">
        <x:f>'Data &amp; Reporting'!O634</x:f>
        <x:v>0</x:v>
      </x:c>
      <x:c r="Q634" s="2" t="n">
        <x:f>SUBTOTAL(103,O634)</x:f>
        <x:v>1</x:v>
      </x:c>
      <x:c r="R634" s="2" t="n">
        <x:f>IF(AND(M634=1,OR(Dashboard!$B$7="All",Dashboard!$B$7='Cycles &amp; Guide'!$C$5),OR(Dashboard!$D$7="All",Dashboard!$D$7=B634),OR(Dashboard!$F$7="All",Dashboard!$F$7=C634),OR(Dashboard!$H$7="All",Dashboard!$H$7=D634),OR(Dashboard!$K$7="All",Dashboard!$K$7=E634)),1,0)</x:f>
        <x:v>1</x:v>
      </x:c>
      <x:c r="S634" s="2" t="n">
        <x:f>IF(R634=1,SUM($R$10:R634),0)</x:f>
        <x:v>313</x:v>
      </x:c>
      <x:c r="T634" s="2" t="str">
        <x:v>Data &amp; Reporting</x:v>
      </x:c>
      <x:c r="U634" s="2" t="n">
        <x:v>634</x:v>
      </x:c>
      <x:c r="V634" s="2" t="n">
        <x:f>IF(AND(M634=1,P634=0,ISNUMBER(J634),J634&lt;TODAY()),1,0)</x:f>
        <x:v>1</x:v>
      </x:c>
      <x:c r="W634" s="2" t="str">
        <x:f>'Data &amp; Reporting'!M634</x:f>
        <x:v>Task</x:v>
      </x:c>
    </x:row>
    <x:row r="635" ht="40" customHeight="1">
      <x:c r="A635" s="3" t="str">
        <x:f>HYPERLINK("#'Data &amp; Reporting'!A635","Open")</x:f>
        <x:v>Open</x:v>
      </x:c>
      <x:c r="B635" s="2" t="str">
        <x:f>'Data &amp; Reporting'!B635</x:f>
        <x:v>Cycle 4</x:v>
      </x:c>
      <x:c r="C635" s="2" t="str">
        <x:f>'Data &amp; Reporting'!C635</x:f>
        <x:v>Phase 1</x:v>
      </x:c>
      <x:c r="D635" s="2" t="str">
        <x:f>'Data &amp; Reporting'!D635</x:f>
        <x:v>CSBBO - Customer Service</x:v>
      </x:c>
      <x:c r="E635" s="2" t="str">
        <x:v>Data &amp; Reporting</x:v>
      </x:c>
      <x:c r="F635" s="56" t="str">
        <x:f>'Data &amp; Reporting'!E635</x:f>
        <x:v>DR.CS.1.2</x:v>
      </x:c>
      <x:c r="G635" s="14" t="str">
        <x:f>'Data &amp; Reporting'!F635</x:f>
        <x:v>Identify two potential topics for the upcoming Cycle</x:v>
      </x:c>
      <x:c r="H635" s="2" t="str">
        <x:f>IF('Data &amp; Reporting'!G635="","",'Data &amp; Reporting'!G635)</x:f>
      </x:c>
      <x:c r="I635" s="12" t="str">
        <x:f>IF('Data &amp; Reporting'!H635="","",'Data &amp; Reporting'!H635)</x:f>
      </x:c>
      <x:c r="J635" s="12" t="n">
        <x:f>IF('Data &amp; Reporting'!I635="","",'Data &amp; Reporting'!I635)</x:f>
        <x:v>46387</x:v>
      </x:c>
      <x:c r="K635" s="12" t="str">
        <x:f>IF('Data &amp; Reporting'!J635="","",'Data &amp; Reporting'!J635)</x:f>
      </x:c>
      <x:c r="L635" s="2" t="str">
        <x:f>IF('Data &amp; Reporting'!K635="","",'Data &amp; Reporting'!K635)</x:f>
      </x:c>
      <x:c r="M635" s="2" t="n">
        <x:f>'Data &amp; Reporting'!Q635</x:f>
        <x:v>1</x:v>
      </x:c>
      <x:c r="N635" s="2" t="str">
        <x:f>'Data &amp; Reporting'!L635</x:f>
        <x:v>Not started</x:v>
      </x:c>
      <x:c r="O635" s="2" t="str">
        <x:f>'Data &amp; Reporting'!N635</x:f>
        <x:v>DR.CS.1.2.2026.CY4</x:v>
      </x:c>
      <x:c r="P635" s="2" t="n">
        <x:f>'Data &amp; Reporting'!O635</x:f>
        <x:v>0</x:v>
      </x:c>
      <x:c r="Q635" s="2" t="n">
        <x:f>SUBTOTAL(103,O635)</x:f>
        <x:v>1</x:v>
      </x:c>
      <x:c r="R635" s="2" t="n">
        <x:f>IF(AND(M635=1,OR(Dashboard!$B$7="All",Dashboard!$B$7='Cycles &amp; Guide'!$C$5),OR(Dashboard!$D$7="All",Dashboard!$D$7=B635),OR(Dashboard!$F$7="All",Dashboard!$F$7=C635),OR(Dashboard!$H$7="All",Dashboard!$H$7=D635),OR(Dashboard!$K$7="All",Dashboard!$K$7=E635)),1,0)</x:f>
        <x:v>1</x:v>
      </x:c>
      <x:c r="S635" s="2" t="n">
        <x:f>IF(R635=1,SUM($R$10:R635),0)</x:f>
        <x:v>314</x:v>
      </x:c>
      <x:c r="T635" s="2" t="str">
        <x:v>Data &amp; Reporting</x:v>
      </x:c>
      <x:c r="U635" s="2" t="n">
        <x:v>635</x:v>
      </x:c>
      <x:c r="V635" s="2" t="n">
        <x:f>IF(AND(M635=1,P635=0,ISNUMBER(J635),J635&lt;TODAY()),1,0)</x:f>
        <x:v>0</x:v>
      </x:c>
      <x:c r="W635" s="2" t="str">
        <x:f>'Data &amp; Reporting'!M635</x:f>
        <x:v>Task</x:v>
      </x:c>
    </x:row>
    <x:row r="636" ht="40" customHeight="1">
      <x:c r="A636" s="3" t="str">
        <x:f>HYPERLINK("#'Data &amp; Reporting'!A636","Open")</x:f>
        <x:v>Open</x:v>
      </x:c>
      <x:c r="B636" s="2" t="str">
        <x:f>'Data &amp; Reporting'!B636</x:f>
        <x:v>Cycle 4</x:v>
      </x:c>
      <x:c r="C636" s="2" t="str">
        <x:f>'Data &amp; Reporting'!C636</x:f>
        <x:v>Phase 1</x:v>
      </x:c>
      <x:c r="D636" s="2" t="str">
        <x:f>'Data &amp; Reporting'!D636</x:f>
        <x:v>CSBBO - Customer Service</x:v>
      </x:c>
      <x:c r="E636" s="2" t="str">
        <x:v>Data &amp; Reporting</x:v>
      </x:c>
      <x:c r="F636" s="56" t="str">
        <x:f>'Data &amp; Reporting'!E636</x:f>
        <x:v>DR.CS.1.3</x:v>
      </x:c>
      <x:c r="G636" s="14" t="str">
        <x:f>'Data &amp; Reporting'!F636</x:f>
        <x:v>Extract data for both potential topics, ensuring all checklist items below are included/completed</x:v>
      </x:c>
      <x:c r="H636" s="2" t="str">
        <x:f>IF('Data &amp; Reporting'!G636="","",'Data &amp; Reporting'!G636)</x:f>
      </x:c>
      <x:c r="I636" s="12" t="str">
        <x:f>IF('Data &amp; Reporting'!H636="","",'Data &amp; Reporting'!H636)</x:f>
      </x:c>
      <x:c r="J636" s="12" t="n">
        <x:f>IF('Data &amp; Reporting'!I636="","",'Data &amp; Reporting'!I636)</x:f>
        <x:v>46387</x:v>
      </x:c>
      <x:c r="K636" s="12" t="str">
        <x:f>IF('Data &amp; Reporting'!J636="","",'Data &amp; Reporting'!J636)</x:f>
      </x:c>
      <x:c r="L636" s="2" t="str">
        <x:f>IF('Data &amp; Reporting'!K636="","",'Data &amp; Reporting'!K636)</x:f>
      </x:c>
      <x:c r="M636" s="2" t="n">
        <x:f>'Data &amp; Reporting'!Q636</x:f>
        <x:v>1</x:v>
      </x:c>
      <x:c r="N636" s="2" t="str">
        <x:f>'Data &amp; Reporting'!L636</x:f>
        <x:v>Not started</x:v>
      </x:c>
      <x:c r="O636" s="2" t="str">
        <x:f>'Data &amp; Reporting'!N636</x:f>
        <x:v>DR.CS.1.3.2026.CY4</x:v>
      </x:c>
      <x:c r="P636" s="2" t="n">
        <x:f>'Data &amp; Reporting'!O636</x:f>
        <x:v>0</x:v>
      </x:c>
      <x:c r="Q636" s="2" t="n">
        <x:f>SUBTOTAL(103,O636)</x:f>
        <x:v>1</x:v>
      </x:c>
      <x:c r="R636" s="2" t="n">
        <x:f>IF(AND(M636=1,OR(Dashboard!$B$7="All",Dashboard!$B$7='Cycles &amp; Guide'!$C$5),OR(Dashboard!$D$7="All",Dashboard!$D$7=B636),OR(Dashboard!$F$7="All",Dashboard!$F$7=C636),OR(Dashboard!$H$7="All",Dashboard!$H$7=D636),OR(Dashboard!$K$7="All",Dashboard!$K$7=E636)),1,0)</x:f>
        <x:v>1</x:v>
      </x:c>
      <x:c r="S636" s="2" t="n">
        <x:f>IF(R636=1,SUM($R$10:R636),0)</x:f>
        <x:v>315</x:v>
      </x:c>
      <x:c r="T636" s="2" t="str">
        <x:v>Data &amp; Reporting</x:v>
      </x:c>
      <x:c r="U636" s="2" t="n">
        <x:v>636</x:v>
      </x:c>
      <x:c r="V636" s="2" t="n">
        <x:f>IF(AND(M636=1,P636=0,ISNUMBER(J636),J636&lt;TODAY()),1,0)</x:f>
        <x:v>0</x:v>
      </x:c>
      <x:c r="W636" s="2" t="str">
        <x:f>'Data &amp; Reporting'!M636</x:f>
        <x:v>Task</x:v>
      </x:c>
    </x:row>
    <x:row r="637" ht="40" customHeight="1">
      <x:c r="A637" s="3" t="str">
        <x:f>HYPERLINK("#'Data &amp; Reporting'!A637","Open")</x:f>
        <x:v>Open</x:v>
      </x:c>
      <x:c r="B637" s="2" t="str">
        <x:f>'Data &amp; Reporting'!B637</x:f>
        <x:v>Cycle 4</x:v>
      </x:c>
      <x:c r="C637" s="2" t="str">
        <x:f>'Data &amp; Reporting'!C637</x:f>
        <x:v>Phase 1</x:v>
      </x:c>
      <x:c r="D637" s="2" t="str">
        <x:f>'Data &amp; Reporting'!D637</x:f>
        <x:v>CSBBO - Customer Service</x:v>
      </x:c>
      <x:c r="E637" s="2" t="str">
        <x:v>Data &amp; Reporting</x:v>
      </x:c>
      <x:c r="F637" s="56" t="str">
        <x:f>'Data &amp; Reporting'!E637</x:f>
        <x:v>DR.CS.1.3.C01</x:v>
      </x:c>
      <x:c r="G637" s="14" t="str">
        <x:f>'Data &amp; Reporting'!F637</x:f>
        <x:v>    Document date range extracted</x:v>
      </x:c>
      <x:c r="H637" s="2" t="str">
        <x:f>IF('Data &amp; Reporting'!G637="","",'Data &amp; Reporting'!G637)</x:f>
      </x:c>
      <x:c r="I637" s="12" t="str">
        <x:f>IF('Data &amp; Reporting'!H637="","",'Data &amp; Reporting'!H637)</x:f>
      </x:c>
      <x:c r="J637" s="12" t="str">
        <x:f>IF('Data &amp; Reporting'!I637="","",'Data &amp; Reporting'!I637)</x:f>
      </x:c>
      <x:c r="K637" s="12" t="str">
        <x:f>IF('Data &amp; Reporting'!J637="","",'Data &amp; Reporting'!J637)</x:f>
      </x:c>
      <x:c r="L637" s="2" t="str">
        <x:f>IF('Data &amp; Reporting'!K637="","",'Data &amp; Reporting'!K637)</x:f>
      </x:c>
      <x:c r="M637" s="2" t="n">
        <x:f>'Data &amp; Reporting'!Q637</x:f>
        <x:v>0</x:v>
      </x:c>
      <x:c r="N637" s="2" t="str">
        <x:f>'Data &amp; Reporting'!L637</x:f>
        <x:v>Open check</x:v>
      </x:c>
      <x:c r="O637" s="2" t="str">
        <x:f>'Data &amp; Reporting'!N637</x:f>
        <x:v>DR.CS.1.3.C01.2026.CY4</x:v>
      </x:c>
      <x:c r="P637" s="2" t="n">
        <x:f>'Data &amp; Reporting'!O637</x:f>
        <x:v>0</x:v>
      </x:c>
      <x:c r="Q637" s="2" t="n">
        <x:f>SUBTOTAL(103,O637)</x:f>
        <x:v>1</x:v>
      </x:c>
      <x:c r="R637" s="2" t="n">
        <x:f>IF(AND(M637=1,OR(Dashboard!$B$7="All",Dashboard!$B$7='Cycles &amp; Guide'!$C$5),OR(Dashboard!$D$7="All",Dashboard!$D$7=B637),OR(Dashboard!$F$7="All",Dashboard!$F$7=C637),OR(Dashboard!$H$7="All",Dashboard!$H$7=D637),OR(Dashboard!$K$7="All",Dashboard!$K$7=E637)),1,0)</x:f>
        <x:v>0</x:v>
      </x:c>
      <x:c r="S637" s="2" t="n">
        <x:f>IF(R637=1,SUM($R$10:R637),0)</x:f>
        <x:v>0</x:v>
      </x:c>
      <x:c r="T637" s="2" t="str">
        <x:v>Data &amp; Reporting</x:v>
      </x:c>
      <x:c r="U637" s="2" t="n">
        <x:v>637</x:v>
      </x:c>
      <x:c r="V637" s="2" t="n">
        <x:f>IF(AND(M637=1,P637=0,ISNUMBER(J637),J637&lt;TODAY()),1,0)</x:f>
        <x:v>0</x:v>
      </x:c>
      <x:c r="W637" s="2" t="str">
        <x:f>'Data &amp; Reporting'!M637</x:f>
        <x:v>Checklist</x:v>
      </x:c>
    </x:row>
    <x:row r="638" ht="40" customHeight="1">
      <x:c r="A638" s="3" t="str">
        <x:f>HYPERLINK("#'Data &amp; Reporting'!A638","Open")</x:f>
        <x:v>Open</x:v>
      </x:c>
      <x:c r="B638" s="2" t="str">
        <x:f>'Data &amp; Reporting'!B638</x:f>
        <x:v>Cycle 4</x:v>
      </x:c>
      <x:c r="C638" s="2" t="str">
        <x:f>'Data &amp; Reporting'!C638</x:f>
        <x:v>Phase 1</x:v>
      </x:c>
      <x:c r="D638" s="2" t="str">
        <x:f>'Data &amp; Reporting'!D638</x:f>
        <x:v>CSBBO - Customer Service</x:v>
      </x:c>
      <x:c r="E638" s="2" t="str">
        <x:v>Data &amp; Reporting</x:v>
      </x:c>
      <x:c r="F638" s="56" t="str">
        <x:f>'Data &amp; Reporting'!E638</x:f>
        <x:v>DR.CS.1.3.C02</x:v>
      </x:c>
      <x:c r="G638" s="14" t="str">
        <x:f>'Data &amp; Reporting'!F638</x:f>
        <x:v>    Document date of data pull</x:v>
      </x:c>
      <x:c r="H638" s="2" t="str">
        <x:f>IF('Data &amp; Reporting'!G638="","",'Data &amp; Reporting'!G638)</x:f>
      </x:c>
      <x:c r="I638" s="12" t="str">
        <x:f>IF('Data &amp; Reporting'!H638="","",'Data &amp; Reporting'!H638)</x:f>
      </x:c>
      <x:c r="J638" s="12" t="str">
        <x:f>IF('Data &amp; Reporting'!I638="","",'Data &amp; Reporting'!I638)</x:f>
      </x:c>
      <x:c r="K638" s="12" t="str">
        <x:f>IF('Data &amp; Reporting'!J638="","",'Data &amp; Reporting'!J638)</x:f>
      </x:c>
      <x:c r="L638" s="2" t="str">
        <x:f>IF('Data &amp; Reporting'!K638="","",'Data &amp; Reporting'!K638)</x:f>
      </x:c>
      <x:c r="M638" s="2" t="n">
        <x:f>'Data &amp; Reporting'!Q638</x:f>
        <x:v>0</x:v>
      </x:c>
      <x:c r="N638" s="2" t="str">
        <x:f>'Data &amp; Reporting'!L638</x:f>
        <x:v>Open check</x:v>
      </x:c>
      <x:c r="O638" s="2" t="str">
        <x:f>'Data &amp; Reporting'!N638</x:f>
        <x:v>DR.CS.1.3.C02.2026.CY4</x:v>
      </x:c>
      <x:c r="P638" s="2" t="n">
        <x:f>'Data &amp; Reporting'!O638</x:f>
        <x:v>0</x:v>
      </x:c>
      <x:c r="Q638" s="2" t="n">
        <x:f>SUBTOTAL(103,O638)</x:f>
        <x:v>1</x:v>
      </x:c>
      <x:c r="R638" s="2" t="n">
        <x:f>IF(AND(M638=1,OR(Dashboard!$B$7="All",Dashboard!$B$7='Cycles &amp; Guide'!$C$5),OR(Dashboard!$D$7="All",Dashboard!$D$7=B638),OR(Dashboard!$F$7="All",Dashboard!$F$7=C638),OR(Dashboard!$H$7="All",Dashboard!$H$7=D638),OR(Dashboard!$K$7="All",Dashboard!$K$7=E638)),1,0)</x:f>
        <x:v>0</x:v>
      </x:c>
      <x:c r="S638" s="2" t="n">
        <x:f>IF(R638=1,SUM($R$10:R638),0)</x:f>
        <x:v>0</x:v>
      </x:c>
      <x:c r="T638" s="2" t="str">
        <x:v>Data &amp; Reporting</x:v>
      </x:c>
      <x:c r="U638" s="2" t="n">
        <x:v>638</x:v>
      </x:c>
      <x:c r="V638" s="2" t="n">
        <x:f>IF(AND(M638=1,P638=0,ISNUMBER(J638),J638&lt;TODAY()),1,0)</x:f>
        <x:v>0</x:v>
      </x:c>
      <x:c r="W638" s="2" t="str">
        <x:f>'Data &amp; Reporting'!M638</x:f>
        <x:v>Checklist</x:v>
      </x:c>
    </x:row>
    <x:row r="639" ht="40" customHeight="1">
      <x:c r="A639" s="3" t="str">
        <x:f>HYPERLINK("#'Data &amp; Reporting'!A639","Open")</x:f>
        <x:v>Open</x:v>
      </x:c>
      <x:c r="B639" s="2" t="str">
        <x:f>'Data &amp; Reporting'!B639</x:f>
        <x:v>Cycle 4</x:v>
      </x:c>
      <x:c r="C639" s="2" t="str">
        <x:f>'Data &amp; Reporting'!C639</x:f>
        <x:v>Phase 1</x:v>
      </x:c>
      <x:c r="D639" s="2" t="str">
        <x:f>'Data &amp; Reporting'!D639</x:f>
        <x:v>CSBBO - Customer Service</x:v>
      </x:c>
      <x:c r="E639" s="2" t="str">
        <x:v>Data &amp; Reporting</x:v>
      </x:c>
      <x:c r="F639" s="56" t="str">
        <x:f>'Data &amp; Reporting'!E639</x:f>
        <x:v>DR.CS.1.3.C03</x:v>
      </x:c>
      <x:c r="G639" s="14" t="str">
        <x:f>'Data &amp; Reporting'!F639</x:f>
        <x:v>    Document population details</x:v>
      </x:c>
      <x:c r="H639" s="2" t="str">
        <x:f>IF('Data &amp; Reporting'!G639="","",'Data &amp; Reporting'!G639)</x:f>
      </x:c>
      <x:c r="I639" s="12" t="str">
        <x:f>IF('Data &amp; Reporting'!H639="","",'Data &amp; Reporting'!H639)</x:f>
      </x:c>
      <x:c r="J639" s="12" t="str">
        <x:f>IF('Data &amp; Reporting'!I639="","",'Data &amp; Reporting'!I639)</x:f>
      </x:c>
      <x:c r="K639" s="12" t="str">
        <x:f>IF('Data &amp; Reporting'!J639="","",'Data &amp; Reporting'!J639)</x:f>
      </x:c>
      <x:c r="L639" s="2" t="str">
        <x:f>IF('Data &amp; Reporting'!K639="","",'Data &amp; Reporting'!K639)</x:f>
      </x:c>
      <x:c r="M639" s="2" t="n">
        <x:f>'Data &amp; Reporting'!Q639</x:f>
        <x:v>0</x:v>
      </x:c>
      <x:c r="N639" s="2" t="str">
        <x:f>'Data &amp; Reporting'!L639</x:f>
        <x:v>Open check</x:v>
      </x:c>
      <x:c r="O639" s="2" t="str">
        <x:f>'Data &amp; Reporting'!N639</x:f>
        <x:v>DR.CS.1.3.C03.2026.CY4</x:v>
      </x:c>
      <x:c r="P639" s="2" t="n">
        <x:f>'Data &amp; Reporting'!O639</x:f>
        <x:v>0</x:v>
      </x:c>
      <x:c r="Q639" s="2" t="n">
        <x:f>SUBTOTAL(103,O639)</x:f>
        <x:v>1</x:v>
      </x:c>
      <x:c r="R639" s="2" t="n">
        <x:f>IF(AND(M639=1,OR(Dashboard!$B$7="All",Dashboard!$B$7='Cycles &amp; Guide'!$C$5),OR(Dashboard!$D$7="All",Dashboard!$D$7=B639),OR(Dashboard!$F$7="All",Dashboard!$F$7=C639),OR(Dashboard!$H$7="All",Dashboard!$H$7=D639),OR(Dashboard!$K$7="All",Dashboard!$K$7=E639)),1,0)</x:f>
        <x:v>0</x:v>
      </x:c>
      <x:c r="S639" s="2" t="n">
        <x:f>IF(R639=1,SUM($R$10:R639),0)</x:f>
        <x:v>0</x:v>
      </x:c>
      <x:c r="T639" s="2" t="str">
        <x:v>Data &amp; Reporting</x:v>
      </x:c>
      <x:c r="U639" s="2" t="n">
        <x:v>639</x:v>
      </x:c>
      <x:c r="V639" s="2" t="n">
        <x:f>IF(AND(M639=1,P639=0,ISNUMBER(J639),J639&lt;TODAY()),1,0)</x:f>
        <x:v>0</x:v>
      </x:c>
      <x:c r="W639" s="2" t="str">
        <x:f>'Data &amp; Reporting'!M639</x:f>
        <x:v>Checklist</x:v>
      </x:c>
    </x:row>
    <x:row r="640" ht="40" customHeight="1">
      <x:c r="A640" s="3" t="str">
        <x:f>HYPERLINK("#'Data &amp; Reporting'!A640","Open")</x:f>
        <x:v>Open</x:v>
      </x:c>
      <x:c r="B640" s="2" t="str">
        <x:f>'Data &amp; Reporting'!B640</x:f>
        <x:v>Cycle 4</x:v>
      </x:c>
      <x:c r="C640" s="2" t="str">
        <x:f>'Data &amp; Reporting'!C640</x:f>
        <x:v>Phase 1</x:v>
      </x:c>
      <x:c r="D640" s="2" t="str">
        <x:f>'Data &amp; Reporting'!D640</x:f>
        <x:v>CSBBO - Customer Service</x:v>
      </x:c>
      <x:c r="E640" s="2" t="str">
        <x:v>Data &amp; Reporting</x:v>
      </x:c>
      <x:c r="F640" s="56" t="str">
        <x:f>'Data &amp; Reporting'!E640</x:f>
        <x:v>DR.CS.1.3.C04</x:v>
      </x:c>
      <x:c r="G640" s="14" t="str">
        <x:f>'Data &amp; Reporting'!F640</x:f>
        <x:v>    Validate no data is missing</x:v>
      </x:c>
      <x:c r="H640" s="2" t="str">
        <x:f>IF('Data &amp; Reporting'!G640="","",'Data &amp; Reporting'!G640)</x:f>
      </x:c>
      <x:c r="I640" s="12" t="str">
        <x:f>IF('Data &amp; Reporting'!H640="","",'Data &amp; Reporting'!H640)</x:f>
      </x:c>
      <x:c r="J640" s="12" t="str">
        <x:f>IF('Data &amp; Reporting'!I640="","",'Data &amp; Reporting'!I640)</x:f>
      </x:c>
      <x:c r="K640" s="12" t="str">
        <x:f>IF('Data &amp; Reporting'!J640="","",'Data &amp; Reporting'!J640)</x:f>
      </x:c>
      <x:c r="L640" s="2" t="str">
        <x:f>IF('Data &amp; Reporting'!K640="","",'Data &amp; Reporting'!K640)</x:f>
      </x:c>
      <x:c r="M640" s="2" t="n">
        <x:f>'Data &amp; Reporting'!Q640</x:f>
        <x:v>0</x:v>
      </x:c>
      <x:c r="N640" s="2" t="str">
        <x:f>'Data &amp; Reporting'!L640</x:f>
        <x:v>Open check</x:v>
      </x:c>
      <x:c r="O640" s="2" t="str">
        <x:f>'Data &amp; Reporting'!N640</x:f>
        <x:v>DR.CS.1.3.C04.2026.CY4</x:v>
      </x:c>
      <x:c r="P640" s="2" t="n">
        <x:f>'Data &amp; Reporting'!O640</x:f>
        <x:v>0</x:v>
      </x:c>
      <x:c r="Q640" s="2" t="n">
        <x:f>SUBTOTAL(103,O640)</x:f>
        <x:v>1</x:v>
      </x:c>
      <x:c r="R640" s="2" t="n">
        <x:f>IF(AND(M640=1,OR(Dashboard!$B$7="All",Dashboard!$B$7='Cycles &amp; Guide'!$C$5),OR(Dashboard!$D$7="All",Dashboard!$D$7=B640),OR(Dashboard!$F$7="All",Dashboard!$F$7=C640),OR(Dashboard!$H$7="All",Dashboard!$H$7=D640),OR(Dashboard!$K$7="All",Dashboard!$K$7=E640)),1,0)</x:f>
        <x:v>0</x:v>
      </x:c>
      <x:c r="S640" s="2" t="n">
        <x:f>IF(R640=1,SUM($R$10:R640),0)</x:f>
        <x:v>0</x:v>
      </x:c>
      <x:c r="T640" s="2" t="str">
        <x:v>Data &amp; Reporting</x:v>
      </x:c>
      <x:c r="U640" s="2" t="n">
        <x:v>640</x:v>
      </x:c>
      <x:c r="V640" s="2" t="n">
        <x:f>IF(AND(M640=1,P640=0,ISNUMBER(J640),J640&lt;TODAY()),1,0)</x:f>
        <x:v>0</x:v>
      </x:c>
      <x:c r="W640" s="2" t="str">
        <x:f>'Data &amp; Reporting'!M640</x:f>
        <x:v>Checklist</x:v>
      </x:c>
    </x:row>
    <x:row r="641" ht="40" customHeight="1">
      <x:c r="A641" s="3" t="str">
        <x:f>HYPERLINK("#'Data &amp; Reporting'!A641","Open")</x:f>
        <x:v>Open</x:v>
      </x:c>
      <x:c r="B641" s="2" t="str">
        <x:f>'Data &amp; Reporting'!B641</x:f>
        <x:v>Cycle 4</x:v>
      </x:c>
      <x:c r="C641" s="2" t="str">
        <x:f>'Data &amp; Reporting'!C641</x:f>
        <x:v>Phase 1</x:v>
      </x:c>
      <x:c r="D641" s="2" t="str">
        <x:f>'Data &amp; Reporting'!D641</x:f>
        <x:v>CSBBO - Customer Service</x:v>
      </x:c>
      <x:c r="E641" s="2" t="str">
        <x:v>Data &amp; Reporting</x:v>
      </x:c>
      <x:c r="F641" s="56" t="str">
        <x:f>'Data &amp; Reporting'!E641</x:f>
        <x:v>DR.CS.1.3.C05</x:v>
      </x:c>
      <x:c r="G641" s="14" t="str">
        <x:f>'Data &amp; Reporting'!F641</x:f>
        <x:v>    Validate accuracy of data</x:v>
      </x:c>
      <x:c r="H641" s="2" t="str">
        <x:f>IF('Data &amp; Reporting'!G641="","",'Data &amp; Reporting'!G641)</x:f>
      </x:c>
      <x:c r="I641" s="12" t="str">
        <x:f>IF('Data &amp; Reporting'!H641="","",'Data &amp; Reporting'!H641)</x:f>
      </x:c>
      <x:c r="J641" s="12" t="str">
        <x:f>IF('Data &amp; Reporting'!I641="","",'Data &amp; Reporting'!I641)</x:f>
      </x:c>
      <x:c r="K641" s="12" t="str">
        <x:f>IF('Data &amp; Reporting'!J641="","",'Data &amp; Reporting'!J641)</x:f>
      </x:c>
      <x:c r="L641" s="2" t="str">
        <x:f>IF('Data &amp; Reporting'!K641="","",'Data &amp; Reporting'!K641)</x:f>
      </x:c>
      <x:c r="M641" s="2" t="n">
        <x:f>'Data &amp; Reporting'!Q641</x:f>
        <x:v>0</x:v>
      </x:c>
      <x:c r="N641" s="2" t="str">
        <x:f>'Data &amp; Reporting'!L641</x:f>
        <x:v>Open check</x:v>
      </x:c>
      <x:c r="O641" s="2" t="str">
        <x:f>'Data &amp; Reporting'!N641</x:f>
        <x:v>DR.CS.1.3.C05.2026.CY4</x:v>
      </x:c>
      <x:c r="P641" s="2" t="n">
        <x:f>'Data &amp; Reporting'!O641</x:f>
        <x:v>0</x:v>
      </x:c>
      <x:c r="Q641" s="2" t="n">
        <x:f>SUBTOTAL(103,O641)</x:f>
        <x:v>1</x:v>
      </x:c>
      <x:c r="R641" s="2" t="n">
        <x:f>IF(AND(M641=1,OR(Dashboard!$B$7="All",Dashboard!$B$7='Cycles &amp; Guide'!$C$5),OR(Dashboard!$D$7="All",Dashboard!$D$7=B641),OR(Dashboard!$F$7="All",Dashboard!$F$7=C641),OR(Dashboard!$H$7="All",Dashboard!$H$7=D641),OR(Dashboard!$K$7="All",Dashboard!$K$7=E641)),1,0)</x:f>
        <x:v>0</x:v>
      </x:c>
      <x:c r="S641" s="2" t="n">
        <x:f>IF(R641=1,SUM($R$10:R641),0)</x:f>
        <x:v>0</x:v>
      </x:c>
      <x:c r="T641" s="2" t="str">
        <x:v>Data &amp; Reporting</x:v>
      </x:c>
      <x:c r="U641" s="2" t="n">
        <x:v>641</x:v>
      </x:c>
      <x:c r="V641" s="2" t="n">
        <x:f>IF(AND(M641=1,P641=0,ISNUMBER(J641),J641&lt;TODAY()),1,0)</x:f>
        <x:v>0</x:v>
      </x:c>
      <x:c r="W641" s="2" t="str">
        <x:f>'Data &amp; Reporting'!M641</x:f>
        <x:v>Checklist</x:v>
      </x:c>
    </x:row>
    <x:row r="642" ht="40" customHeight="1">
      <x:c r="A642" s="3" t="str">
        <x:f>HYPERLINK("#'Data &amp; Reporting'!A642","Open")</x:f>
        <x:v>Open</x:v>
      </x:c>
      <x:c r="B642" s="2" t="str">
        <x:f>'Data &amp; Reporting'!B642</x:f>
        <x:v>Cycle 4</x:v>
      </x:c>
      <x:c r="C642" s="2" t="str">
        <x:f>'Data &amp; Reporting'!C642</x:f>
        <x:v>Phase 1</x:v>
      </x:c>
      <x:c r="D642" s="2" t="str">
        <x:f>'Data &amp; Reporting'!D642</x:f>
        <x:v>CSBBO - Customer Service</x:v>
      </x:c>
      <x:c r="E642" s="2" t="str">
        <x:v>Data &amp; Reporting</x:v>
      </x:c>
      <x:c r="F642" s="56" t="str">
        <x:f>'Data &amp; Reporting'!E642</x:f>
        <x:v>DR.CS.1.3.C06</x:v>
      </x:c>
      <x:c r="G642" s="14" t="str">
        <x:f>'Data &amp; Reporting'!F642</x:f>
        <x:v>    Validate no duplicate data is provided</x:v>
      </x:c>
      <x:c r="H642" s="2" t="str">
        <x:f>IF('Data &amp; Reporting'!G642="","",'Data &amp; Reporting'!G642)</x:f>
      </x:c>
      <x:c r="I642" s="12" t="str">
        <x:f>IF('Data &amp; Reporting'!H642="","",'Data &amp; Reporting'!H642)</x:f>
      </x:c>
      <x:c r="J642" s="12" t="str">
        <x:f>IF('Data &amp; Reporting'!I642="","",'Data &amp; Reporting'!I642)</x:f>
      </x:c>
      <x:c r="K642" s="12" t="str">
        <x:f>IF('Data &amp; Reporting'!J642="","",'Data &amp; Reporting'!J642)</x:f>
      </x:c>
      <x:c r="L642" s="2" t="str">
        <x:f>IF('Data &amp; Reporting'!K642="","",'Data &amp; Reporting'!K642)</x:f>
      </x:c>
      <x:c r="M642" s="2" t="n">
        <x:f>'Data &amp; Reporting'!Q642</x:f>
        <x:v>0</x:v>
      </x:c>
      <x:c r="N642" s="2" t="str">
        <x:f>'Data &amp; Reporting'!L642</x:f>
        <x:v>Open check</x:v>
      </x:c>
      <x:c r="O642" s="2" t="str">
        <x:f>'Data &amp; Reporting'!N642</x:f>
        <x:v>DR.CS.1.3.C06.2026.CY4</x:v>
      </x:c>
      <x:c r="P642" s="2" t="n">
        <x:f>'Data &amp; Reporting'!O642</x:f>
        <x:v>0</x:v>
      </x:c>
      <x:c r="Q642" s="2" t="n">
        <x:f>SUBTOTAL(103,O642)</x:f>
        <x:v>1</x:v>
      </x:c>
      <x:c r="R642" s="2" t="n">
        <x:f>IF(AND(M642=1,OR(Dashboard!$B$7="All",Dashboard!$B$7='Cycles &amp; Guide'!$C$5),OR(Dashboard!$D$7="All",Dashboard!$D$7=B642),OR(Dashboard!$F$7="All",Dashboard!$F$7=C642),OR(Dashboard!$H$7="All",Dashboard!$H$7=D642),OR(Dashboard!$K$7="All",Dashboard!$K$7=E642)),1,0)</x:f>
        <x:v>0</x:v>
      </x:c>
      <x:c r="S642" s="2" t="n">
        <x:f>IF(R642=1,SUM($R$10:R642),0)</x:f>
        <x:v>0</x:v>
      </x:c>
      <x:c r="T642" s="2" t="str">
        <x:v>Data &amp; Reporting</x:v>
      </x:c>
      <x:c r="U642" s="2" t="n">
        <x:v>642</x:v>
      </x:c>
      <x:c r="V642" s="2" t="n">
        <x:f>IF(AND(M642=1,P642=0,ISNUMBER(J642),J642&lt;TODAY()),1,0)</x:f>
        <x:v>0</x:v>
      </x:c>
      <x:c r="W642" s="2" t="str">
        <x:f>'Data &amp; Reporting'!M642</x:f>
        <x:v>Checklist</x:v>
      </x:c>
    </x:row>
    <x:row r="643" ht="40" customHeight="1">
      <x:c r="A643" s="3" t="str">
        <x:f>HYPERLINK("#'Data &amp; Reporting'!A643","Open")</x:f>
        <x:v>Open</x:v>
      </x:c>
      <x:c r="B643" s="2" t="str">
        <x:f>'Data &amp; Reporting'!B643</x:f>
        <x:v>Cycle 4</x:v>
      </x:c>
      <x:c r="C643" s="2" t="str">
        <x:f>'Data &amp; Reporting'!C643</x:f>
        <x:v>Phase 1</x:v>
      </x:c>
      <x:c r="D643" s="2" t="str">
        <x:f>'Data &amp; Reporting'!D643</x:f>
        <x:v>CSBBO - Customer Service</x:v>
      </x:c>
      <x:c r="E643" s="2" t="str">
        <x:v>Data &amp; Reporting</x:v>
      </x:c>
      <x:c r="F643" s="56" t="str">
        <x:f>'Data &amp; Reporting'!E643</x:f>
        <x:v>DR.CS.1.3.C07</x:v>
      </x:c>
      <x:c r="G643" s="14" t="str">
        <x:f>'Data &amp; Reporting'!F643</x:f>
        <x:v>    Document any data exclusions along with justification (as needed)</x:v>
      </x:c>
      <x:c r="H643" s="2" t="str">
        <x:f>IF('Data &amp; Reporting'!G643="","",'Data &amp; Reporting'!G643)</x:f>
      </x:c>
      <x:c r="I643" s="12" t="str">
        <x:f>IF('Data &amp; Reporting'!H643="","",'Data &amp; Reporting'!H643)</x:f>
      </x:c>
      <x:c r="J643" s="12" t="str">
        <x:f>IF('Data &amp; Reporting'!I643="","",'Data &amp; Reporting'!I643)</x:f>
      </x:c>
      <x:c r="K643" s="12" t="str">
        <x:f>IF('Data &amp; Reporting'!J643="","",'Data &amp; Reporting'!J643)</x:f>
      </x:c>
      <x:c r="L643" s="2" t="str">
        <x:f>IF('Data &amp; Reporting'!K643="","",'Data &amp; Reporting'!K643)</x:f>
      </x:c>
      <x:c r="M643" s="2" t="n">
        <x:f>'Data &amp; Reporting'!Q643</x:f>
        <x:v>0</x:v>
      </x:c>
      <x:c r="N643" s="2" t="str">
        <x:f>'Data &amp; Reporting'!L643</x:f>
        <x:v>Open check</x:v>
      </x:c>
      <x:c r="O643" s="2" t="str">
        <x:f>'Data &amp; Reporting'!N643</x:f>
        <x:v>DR.CS.1.3.C07.2026.CY4</x:v>
      </x:c>
      <x:c r="P643" s="2" t="n">
        <x:f>'Data &amp; Reporting'!O643</x:f>
        <x:v>0</x:v>
      </x:c>
      <x:c r="Q643" s="2" t="n">
        <x:f>SUBTOTAL(103,O643)</x:f>
        <x:v>1</x:v>
      </x:c>
      <x:c r="R643" s="2" t="n">
        <x:f>IF(AND(M643=1,OR(Dashboard!$B$7="All",Dashboard!$B$7='Cycles &amp; Guide'!$C$5),OR(Dashboard!$D$7="All",Dashboard!$D$7=B643),OR(Dashboard!$F$7="All",Dashboard!$F$7=C643),OR(Dashboard!$H$7="All",Dashboard!$H$7=D643),OR(Dashboard!$K$7="All",Dashboard!$K$7=E643)),1,0)</x:f>
        <x:v>0</x:v>
      </x:c>
      <x:c r="S643" s="2" t="n">
        <x:f>IF(R643=1,SUM($R$10:R643),0)</x:f>
        <x:v>0</x:v>
      </x:c>
      <x:c r="T643" s="2" t="str">
        <x:v>Data &amp; Reporting</x:v>
      </x:c>
      <x:c r="U643" s="2" t="n">
        <x:v>643</x:v>
      </x:c>
      <x:c r="V643" s="2" t="n">
        <x:f>IF(AND(M643=1,P643=0,ISNUMBER(J643),J643&lt;TODAY()),1,0)</x:f>
        <x:v>0</x:v>
      </x:c>
      <x:c r="W643" s="2" t="str">
        <x:f>'Data &amp; Reporting'!M643</x:f>
        <x:v>Checklist</x:v>
      </x:c>
    </x:row>
    <x:row r="644" ht="40" customHeight="1">
      <x:c r="A644" s="3" t="str">
        <x:f>HYPERLINK("#'Data &amp; Reporting'!A644","Open")</x:f>
        <x:v>Open</x:v>
      </x:c>
      <x:c r="B644" s="2" t="str">
        <x:f>'Data &amp; Reporting'!B644</x:f>
        <x:v>Cycle 4</x:v>
      </x:c>
      <x:c r="C644" s="2" t="str">
        <x:f>'Data &amp; Reporting'!C644</x:f>
        <x:v>Phase 1</x:v>
      </x:c>
      <x:c r="D644" s="2" t="str">
        <x:f>'Data &amp; Reporting'!D644</x:f>
        <x:v>CSBBO - Customer Service</x:v>
      </x:c>
      <x:c r="E644" s="2" t="str">
        <x:v>Data &amp; Reporting</x:v>
      </x:c>
      <x:c r="F644" s="56" t="str">
        <x:f>'Data &amp; Reporting'!E644</x:f>
        <x:v>DR.CS.1.3.C08</x:v>
      </x:c>
      <x:c r="G644" s="14" t="str">
        <x:f>'Data &amp; Reporting'!F644</x:f>
        <x:v>    Document any assumptions made with the data (as needed)</x:v>
      </x:c>
      <x:c r="H644" s="2" t="str">
        <x:f>IF('Data &amp; Reporting'!G644="","",'Data &amp; Reporting'!G644)</x:f>
      </x:c>
      <x:c r="I644" s="12" t="str">
        <x:f>IF('Data &amp; Reporting'!H644="","",'Data &amp; Reporting'!H644)</x:f>
      </x:c>
      <x:c r="J644" s="12" t="str">
        <x:f>IF('Data &amp; Reporting'!I644="","",'Data &amp; Reporting'!I644)</x:f>
      </x:c>
      <x:c r="K644" s="12" t="str">
        <x:f>IF('Data &amp; Reporting'!J644="","",'Data &amp; Reporting'!J644)</x:f>
      </x:c>
      <x:c r="L644" s="2" t="str">
        <x:f>IF('Data &amp; Reporting'!K644="","",'Data &amp; Reporting'!K644)</x:f>
      </x:c>
      <x:c r="M644" s="2" t="n">
        <x:f>'Data &amp; Reporting'!Q644</x:f>
        <x:v>0</x:v>
      </x:c>
      <x:c r="N644" s="2" t="str">
        <x:f>'Data &amp; Reporting'!L644</x:f>
        <x:v>Open check</x:v>
      </x:c>
      <x:c r="O644" s="2" t="str">
        <x:f>'Data &amp; Reporting'!N644</x:f>
        <x:v>DR.CS.1.3.C08.2026.CY4</x:v>
      </x:c>
      <x:c r="P644" s="2" t="n">
        <x:f>'Data &amp; Reporting'!O644</x:f>
        <x:v>0</x:v>
      </x:c>
      <x:c r="Q644" s="2" t="n">
        <x:f>SUBTOTAL(103,O644)</x:f>
        <x:v>1</x:v>
      </x:c>
      <x:c r="R644" s="2" t="n">
        <x:f>IF(AND(M644=1,OR(Dashboard!$B$7="All",Dashboard!$B$7='Cycles &amp; Guide'!$C$5),OR(Dashboard!$D$7="All",Dashboard!$D$7=B644),OR(Dashboard!$F$7="All",Dashboard!$F$7=C644),OR(Dashboard!$H$7="All",Dashboard!$H$7=D644),OR(Dashboard!$K$7="All",Dashboard!$K$7=E644)),1,0)</x:f>
        <x:v>0</x:v>
      </x:c>
      <x:c r="S644" s="2" t="n">
        <x:f>IF(R644=1,SUM($R$10:R644),0)</x:f>
        <x:v>0</x:v>
      </x:c>
      <x:c r="T644" s="2" t="str">
        <x:v>Data &amp; Reporting</x:v>
      </x:c>
      <x:c r="U644" s="2" t="n">
        <x:v>644</x:v>
      </x:c>
      <x:c r="V644" s="2" t="n">
        <x:f>IF(AND(M644=1,P644=0,ISNUMBER(J644),J644&lt;TODAY()),1,0)</x:f>
        <x:v>0</x:v>
      </x:c>
      <x:c r="W644" s="2" t="str">
        <x:f>'Data &amp; Reporting'!M644</x:f>
        <x:v>Checklist</x:v>
      </x:c>
    </x:row>
    <x:row r="645" ht="40" customHeight="1">
      <x:c r="A645" s="3" t="str">
        <x:f>HYPERLINK("#'Data &amp; Reporting'!A645","Open")</x:f>
        <x:v>Open</x:v>
      </x:c>
      <x:c r="B645" s="2" t="str">
        <x:f>'Data &amp; Reporting'!B645</x:f>
        <x:v>Cycle 4</x:v>
      </x:c>
      <x:c r="C645" s="2" t="str">
        <x:f>'Data &amp; Reporting'!C645</x:f>
        <x:v>Phase 1</x:v>
      </x:c>
      <x:c r="D645" s="2" t="str">
        <x:f>'Data &amp; Reporting'!D645</x:f>
        <x:v>CSBBO - Customer Service</x:v>
      </x:c>
      <x:c r="E645" s="2" t="str">
        <x:v>Data &amp; Reporting</x:v>
      </x:c>
      <x:c r="F645" s="56" t="str">
        <x:f>'Data &amp; Reporting'!E645</x:f>
        <x:v>DR.CS.1.3.C09</x:v>
      </x:c>
      <x:c r="G645" s="14" t="str">
        <x:f>'Data &amp; Reporting'!F645</x:f>
        <x:v>    Document any data limitations or constraints clearly (as needed)</x:v>
      </x:c>
      <x:c r="H645" s="2" t="str">
        <x:f>IF('Data &amp; Reporting'!G645="","",'Data &amp; Reporting'!G645)</x:f>
      </x:c>
      <x:c r="I645" s="12" t="str">
        <x:f>IF('Data &amp; Reporting'!H645="","",'Data &amp; Reporting'!H645)</x:f>
      </x:c>
      <x:c r="J645" s="12" t="str">
        <x:f>IF('Data &amp; Reporting'!I645="","",'Data &amp; Reporting'!I645)</x:f>
      </x:c>
      <x:c r="K645" s="12" t="str">
        <x:f>IF('Data &amp; Reporting'!J645="","",'Data &amp; Reporting'!J645)</x:f>
      </x:c>
      <x:c r="L645" s="2" t="str">
        <x:f>IF('Data &amp; Reporting'!K645="","",'Data &amp; Reporting'!K645)</x:f>
      </x:c>
      <x:c r="M645" s="2" t="n">
        <x:f>'Data &amp; Reporting'!Q645</x:f>
        <x:v>0</x:v>
      </x:c>
      <x:c r="N645" s="2" t="str">
        <x:f>'Data &amp; Reporting'!L645</x:f>
        <x:v>Open check</x:v>
      </x:c>
      <x:c r="O645" s="2" t="str">
        <x:f>'Data &amp; Reporting'!N645</x:f>
        <x:v>DR.CS.1.3.C09.2026.CY4</x:v>
      </x:c>
      <x:c r="P645" s="2" t="n">
        <x:f>'Data &amp; Reporting'!O645</x:f>
        <x:v>0</x:v>
      </x:c>
      <x:c r="Q645" s="2" t="n">
        <x:f>SUBTOTAL(103,O645)</x:f>
        <x:v>1</x:v>
      </x:c>
      <x:c r="R645" s="2" t="n">
        <x:f>IF(AND(M645=1,OR(Dashboard!$B$7="All",Dashboard!$B$7='Cycles &amp; Guide'!$C$5),OR(Dashboard!$D$7="All",Dashboard!$D$7=B645),OR(Dashboard!$F$7="All",Dashboard!$F$7=C645),OR(Dashboard!$H$7="All",Dashboard!$H$7=D645),OR(Dashboard!$K$7="All",Dashboard!$K$7=E645)),1,0)</x:f>
        <x:v>0</x:v>
      </x:c>
      <x:c r="S645" s="2" t="n">
        <x:f>IF(R645=1,SUM($R$10:R645),0)</x:f>
        <x:v>0</x:v>
      </x:c>
      <x:c r="T645" s="2" t="str">
        <x:v>Data &amp; Reporting</x:v>
      </x:c>
      <x:c r="U645" s="2" t="n">
        <x:v>645</x:v>
      </x:c>
      <x:c r="V645" s="2" t="n">
        <x:f>IF(AND(M645=1,P645=0,ISNUMBER(J645),J645&lt;TODAY()),1,0)</x:f>
        <x:v>0</x:v>
      </x:c>
      <x:c r="W645" s="2" t="str">
        <x:f>'Data &amp; Reporting'!M645</x:f>
        <x:v>Checklist</x:v>
      </x:c>
    </x:row>
    <x:row r="646" ht="40" customHeight="1">
      <x:c r="A646" s="3" t="str">
        <x:f>HYPERLINK("#'Data &amp; Reporting'!A646","Open")</x:f>
        <x:v>Open</x:v>
      </x:c>
      <x:c r="B646" s="2" t="str">
        <x:f>'Data &amp; Reporting'!B646</x:f>
        <x:v>Cycle 4</x:v>
      </x:c>
      <x:c r="C646" s="2" t="str">
        <x:f>'Data &amp; Reporting'!C646</x:f>
        <x:v>Phase 1</x:v>
      </x:c>
      <x:c r="D646" s="2" t="str">
        <x:f>'Data &amp; Reporting'!D646</x:f>
        <x:v>CSBBO - Customer Service</x:v>
      </x:c>
      <x:c r="E646" s="2" t="str">
        <x:v>Data &amp; Reporting</x:v>
      </x:c>
      <x:c r="F646" s="56" t="str">
        <x:f>'Data &amp; Reporting'!E646</x:f>
        <x:v>DR.CS.1.3.C10</x:v>
      </x:c>
      <x:c r="G646" s="14" t="str">
        <x:f>'Data &amp; Reporting'!F646</x:f>
        <x:v>    Document data dictionary or field definitions for columns/rows</x:v>
      </x:c>
      <x:c r="H646" s="2" t="str">
        <x:f>IF('Data &amp; Reporting'!G646="","",'Data &amp; Reporting'!G646)</x:f>
      </x:c>
      <x:c r="I646" s="12" t="str">
        <x:f>IF('Data &amp; Reporting'!H646="","",'Data &amp; Reporting'!H646)</x:f>
      </x:c>
      <x:c r="J646" s="12" t="str">
        <x:f>IF('Data &amp; Reporting'!I646="","",'Data &amp; Reporting'!I646)</x:f>
      </x:c>
      <x:c r="K646" s="12" t="str">
        <x:f>IF('Data &amp; Reporting'!J646="","",'Data &amp; Reporting'!J646)</x:f>
      </x:c>
      <x:c r="L646" s="2" t="str">
        <x:f>IF('Data &amp; Reporting'!K646="","",'Data &amp; Reporting'!K646)</x:f>
      </x:c>
      <x:c r="M646" s="2" t="n">
        <x:f>'Data &amp; Reporting'!Q646</x:f>
        <x:v>0</x:v>
      </x:c>
      <x:c r="N646" s="2" t="str">
        <x:f>'Data &amp; Reporting'!L646</x:f>
        <x:v>Open check</x:v>
      </x:c>
      <x:c r="O646" s="2" t="str">
        <x:f>'Data &amp; Reporting'!N646</x:f>
        <x:v>DR.CS.1.3.C10.2026.CY4</x:v>
      </x:c>
      <x:c r="P646" s="2" t="n">
        <x:f>'Data &amp; Reporting'!O646</x:f>
        <x:v>0</x:v>
      </x:c>
      <x:c r="Q646" s="2" t="n">
        <x:f>SUBTOTAL(103,O646)</x:f>
        <x:v>1</x:v>
      </x:c>
      <x:c r="R646" s="2" t="n">
        <x:f>IF(AND(M646=1,OR(Dashboard!$B$7="All",Dashboard!$B$7='Cycles &amp; Guide'!$C$5),OR(Dashboard!$D$7="All",Dashboard!$D$7=B646),OR(Dashboard!$F$7="All",Dashboard!$F$7=C646),OR(Dashboard!$H$7="All",Dashboard!$H$7=D646),OR(Dashboard!$K$7="All",Dashboard!$K$7=E646)),1,0)</x:f>
        <x:v>0</x:v>
      </x:c>
      <x:c r="S646" s="2" t="n">
        <x:f>IF(R646=1,SUM($R$10:R646),0)</x:f>
        <x:v>0</x:v>
      </x:c>
      <x:c r="T646" s="2" t="str">
        <x:v>Data &amp; Reporting</x:v>
      </x:c>
      <x:c r="U646" s="2" t="n">
        <x:v>646</x:v>
      </x:c>
      <x:c r="V646" s="2" t="n">
        <x:f>IF(AND(M646=1,P646=0,ISNUMBER(J646),J646&lt;TODAY()),1,0)</x:f>
        <x:v>0</x:v>
      </x:c>
      <x:c r="W646" s="2" t="str">
        <x:f>'Data &amp; Reporting'!M646</x:f>
        <x:v>Checklist</x:v>
      </x:c>
    </x:row>
    <x:row r="647" ht="40" customHeight="1">
      <x:c r="A647" s="3" t="str">
        <x:f>HYPERLINK("#'Data &amp; Reporting'!A647","Open")</x:f>
        <x:v>Open</x:v>
      </x:c>
      <x:c r="B647" s="2" t="str">
        <x:f>'Data &amp; Reporting'!B647</x:f>
        <x:v>Cycle 4</x:v>
      </x:c>
      <x:c r="C647" s="2" t="str">
        <x:f>'Data &amp; Reporting'!C647</x:f>
        <x:v>Phase 1</x:v>
      </x:c>
      <x:c r="D647" s="2" t="str">
        <x:f>'Data &amp; Reporting'!D647</x:f>
        <x:v>CSBBO - Customer Service</x:v>
      </x:c>
      <x:c r="E647" s="2" t="str">
        <x:v>Data &amp; Reporting</x:v>
      </x:c>
      <x:c r="F647" s="56" t="str">
        <x:f>'Data &amp; Reporting'!E647</x:f>
        <x:v>DR.CS.1.3.C11</x:v>
      </x:c>
      <x:c r="G647" s="14" t="str">
        <x:f>'Data &amp; Reporting'!F647</x:f>
        <x:v>    Document emerging trends, patterns, or concentrations along with supporting data</x:v>
      </x:c>
      <x:c r="H647" s="2" t="str">
        <x:f>IF('Data &amp; Reporting'!G647="","",'Data &amp; Reporting'!G647)</x:f>
      </x:c>
      <x:c r="I647" s="12" t="str">
        <x:f>IF('Data &amp; Reporting'!H647="","",'Data &amp; Reporting'!H647)</x:f>
      </x:c>
      <x:c r="J647" s="12" t="str">
        <x:f>IF('Data &amp; Reporting'!I647="","",'Data &amp; Reporting'!I647)</x:f>
      </x:c>
      <x:c r="K647" s="12" t="str">
        <x:f>IF('Data &amp; Reporting'!J647="","",'Data &amp; Reporting'!J647)</x:f>
      </x:c>
      <x:c r="L647" s="2" t="str">
        <x:f>IF('Data &amp; Reporting'!K647="","",'Data &amp; Reporting'!K647)</x:f>
      </x:c>
      <x:c r="M647" s="2" t="n">
        <x:f>'Data &amp; Reporting'!Q647</x:f>
        <x:v>0</x:v>
      </x:c>
      <x:c r="N647" s="2" t="str">
        <x:f>'Data &amp; Reporting'!L647</x:f>
        <x:v>Open check</x:v>
      </x:c>
      <x:c r="O647" s="2" t="str">
        <x:f>'Data &amp; Reporting'!N647</x:f>
        <x:v>DR.CS.1.3.C11.2026.CY4</x:v>
      </x:c>
      <x:c r="P647" s="2" t="n">
        <x:f>'Data &amp; Reporting'!O647</x:f>
        <x:v>0</x:v>
      </x:c>
      <x:c r="Q647" s="2" t="n">
        <x:f>SUBTOTAL(103,O647)</x:f>
        <x:v>1</x:v>
      </x:c>
      <x:c r="R647" s="2" t="n">
        <x:f>IF(AND(M647=1,OR(Dashboard!$B$7="All",Dashboard!$B$7='Cycles &amp; Guide'!$C$5),OR(Dashboard!$D$7="All",Dashboard!$D$7=B647),OR(Dashboard!$F$7="All",Dashboard!$F$7=C647),OR(Dashboard!$H$7="All",Dashboard!$H$7=D647),OR(Dashboard!$K$7="All",Dashboard!$K$7=E647)),1,0)</x:f>
        <x:v>0</x:v>
      </x:c>
      <x:c r="S647" s="2" t="n">
        <x:f>IF(R647=1,SUM($R$10:R647),0)</x:f>
        <x:v>0</x:v>
      </x:c>
      <x:c r="T647" s="2" t="str">
        <x:v>Data &amp; Reporting</x:v>
      </x:c>
      <x:c r="U647" s="2" t="n">
        <x:v>647</x:v>
      </x:c>
      <x:c r="V647" s="2" t="n">
        <x:f>IF(AND(M647=1,P647=0,ISNUMBER(J647),J647&lt;TODAY()),1,0)</x:f>
        <x:v>0</x:v>
      </x:c>
      <x:c r="W647" s="2" t="str">
        <x:f>'Data &amp; Reporting'!M647</x:f>
        <x:v>Checklist</x:v>
      </x:c>
    </x:row>
    <x:row r="648" ht="40" customHeight="1">
      <x:c r="A648" s="3" t="str">
        <x:f>HYPERLINK("#'Data &amp; Reporting'!A648","Open")</x:f>
        <x:v>Open</x:v>
      </x:c>
      <x:c r="B648" s="2" t="str">
        <x:f>'Data &amp; Reporting'!B648</x:f>
        <x:v>Cycle 4</x:v>
      </x:c>
      <x:c r="C648" s="2" t="str">
        <x:f>'Data &amp; Reporting'!C648</x:f>
        <x:v>Phase 1</x:v>
      </x:c>
      <x:c r="D648" s="2" t="str">
        <x:f>'Data &amp; Reporting'!D648</x:f>
        <x:v>CSBBO - Customer Service</x:v>
      </x:c>
      <x:c r="E648" s="2" t="str">
        <x:v>Data &amp; Reporting</x:v>
      </x:c>
      <x:c r="F648" s="56" t="str">
        <x:f>'Data &amp; Reporting'!E648</x:f>
        <x:v>DR.CS.1.3.C12</x:v>
      </x:c>
      <x:c r="G648" s="14" t="str">
        <x:f>'Data &amp; Reporting'!F648</x:f>
        <x:v>    Document any severe spikes in volume along with context (as needed)</x:v>
      </x:c>
      <x:c r="H648" s="2" t="str">
        <x:f>IF('Data &amp; Reporting'!G648="","",'Data &amp; Reporting'!G648)</x:f>
      </x:c>
      <x:c r="I648" s="12" t="str">
        <x:f>IF('Data &amp; Reporting'!H648="","",'Data &amp; Reporting'!H648)</x:f>
      </x:c>
      <x:c r="J648" s="12" t="str">
        <x:f>IF('Data &amp; Reporting'!I648="","",'Data &amp; Reporting'!I648)</x:f>
      </x:c>
      <x:c r="K648" s="12" t="str">
        <x:f>IF('Data &amp; Reporting'!J648="","",'Data &amp; Reporting'!J648)</x:f>
      </x:c>
      <x:c r="L648" s="2" t="str">
        <x:f>IF('Data &amp; Reporting'!K648="","",'Data &amp; Reporting'!K648)</x:f>
      </x:c>
      <x:c r="M648" s="2" t="n">
        <x:f>'Data &amp; Reporting'!Q648</x:f>
        <x:v>0</x:v>
      </x:c>
      <x:c r="N648" s="2" t="str">
        <x:f>'Data &amp; Reporting'!L648</x:f>
        <x:v>Open check</x:v>
      </x:c>
      <x:c r="O648" s="2" t="str">
        <x:f>'Data &amp; Reporting'!N648</x:f>
        <x:v>DR.CS.1.3.C12.2026.CY4</x:v>
      </x:c>
      <x:c r="P648" s="2" t="n">
        <x:f>'Data &amp; Reporting'!O648</x:f>
        <x:v>0</x:v>
      </x:c>
      <x:c r="Q648" s="2" t="n">
        <x:f>SUBTOTAL(103,O648)</x:f>
        <x:v>1</x:v>
      </x:c>
      <x:c r="R648" s="2" t="n">
        <x:f>IF(AND(M648=1,OR(Dashboard!$B$7="All",Dashboard!$B$7='Cycles &amp; Guide'!$C$5),OR(Dashboard!$D$7="All",Dashboard!$D$7=B648),OR(Dashboard!$F$7="All",Dashboard!$F$7=C648),OR(Dashboard!$H$7="All",Dashboard!$H$7=D648),OR(Dashboard!$K$7="All",Dashboard!$K$7=E648)),1,0)</x:f>
        <x:v>0</x:v>
      </x:c>
      <x:c r="S648" s="2" t="n">
        <x:f>IF(R648=1,SUM($R$10:R648),0)</x:f>
        <x:v>0</x:v>
      </x:c>
      <x:c r="T648" s="2" t="str">
        <x:v>Data &amp; Reporting</x:v>
      </x:c>
      <x:c r="U648" s="2" t="n">
        <x:v>648</x:v>
      </x:c>
      <x:c r="V648" s="2" t="n">
        <x:f>IF(AND(M648=1,P648=0,ISNUMBER(J648),J648&lt;TODAY()),1,0)</x:f>
        <x:v>0</x:v>
      </x:c>
      <x:c r="W648" s="2" t="str">
        <x:f>'Data &amp; Reporting'!M648</x:f>
        <x:v>Checklist</x:v>
      </x:c>
    </x:row>
    <x:row r="649" ht="40" customHeight="1">
      <x:c r="A649" s="3" t="str">
        <x:f>HYPERLINK("#'Data &amp; Reporting'!A649","Open")</x:f>
        <x:v>Open</x:v>
      </x:c>
      <x:c r="B649" s="2" t="str">
        <x:f>'Data &amp; Reporting'!B649</x:f>
        <x:v>Cycle 4</x:v>
      </x:c>
      <x:c r="C649" s="2" t="str">
        <x:f>'Data &amp; Reporting'!C649</x:f>
        <x:v>Phase 1</x:v>
      </x:c>
      <x:c r="D649" s="2" t="str">
        <x:f>'Data &amp; Reporting'!D649</x:f>
        <x:v>CSBBO - Customer Service</x:v>
      </x:c>
      <x:c r="E649" s="2" t="str">
        <x:v>Data &amp; Reporting</x:v>
      </x:c>
      <x:c r="F649" s="56" t="str">
        <x:f>'Data &amp; Reporting'!E649</x:f>
        <x:v>DR.CS.1.3.C13</x:v>
      </x:c>
      <x:c r="G649" s="14" t="str">
        <x:f>'Data &amp; Reporting'!F649</x:f>
        <x:v>    Document clear summary explaining how the data connects to the potential topic</x:v>
      </x:c>
      <x:c r="H649" s="2" t="str">
        <x:f>IF('Data &amp; Reporting'!G649="","",'Data &amp; Reporting'!G649)</x:f>
      </x:c>
      <x:c r="I649" s="12" t="str">
        <x:f>IF('Data &amp; Reporting'!H649="","",'Data &amp; Reporting'!H649)</x:f>
      </x:c>
      <x:c r="J649" s="12" t="str">
        <x:f>IF('Data &amp; Reporting'!I649="","",'Data &amp; Reporting'!I649)</x:f>
      </x:c>
      <x:c r="K649" s="12" t="str">
        <x:f>IF('Data &amp; Reporting'!J649="","",'Data &amp; Reporting'!J649)</x:f>
      </x:c>
      <x:c r="L649" s="2" t="str">
        <x:f>IF('Data &amp; Reporting'!K649="","",'Data &amp; Reporting'!K649)</x:f>
      </x:c>
      <x:c r="M649" s="2" t="n">
        <x:f>'Data &amp; Reporting'!Q649</x:f>
        <x:v>0</x:v>
      </x:c>
      <x:c r="N649" s="2" t="str">
        <x:f>'Data &amp; Reporting'!L649</x:f>
        <x:v>Open check</x:v>
      </x:c>
      <x:c r="O649" s="2" t="str">
        <x:f>'Data &amp; Reporting'!N649</x:f>
        <x:v>DR.CS.1.3.C13.2026.CY4</x:v>
      </x:c>
      <x:c r="P649" s="2" t="n">
        <x:f>'Data &amp; Reporting'!O649</x:f>
        <x:v>0</x:v>
      </x:c>
      <x:c r="Q649" s="2" t="n">
        <x:f>SUBTOTAL(103,O649)</x:f>
        <x:v>1</x:v>
      </x:c>
      <x:c r="R649" s="2" t="n">
        <x:f>IF(AND(M649=1,OR(Dashboard!$B$7="All",Dashboard!$B$7='Cycles &amp; Guide'!$C$5),OR(Dashboard!$D$7="All",Dashboard!$D$7=B649),OR(Dashboard!$F$7="All",Dashboard!$F$7=C649),OR(Dashboard!$H$7="All",Dashboard!$H$7=D649),OR(Dashboard!$K$7="All",Dashboard!$K$7=E649)),1,0)</x:f>
        <x:v>0</x:v>
      </x:c>
      <x:c r="S649" s="2" t="n">
        <x:f>IF(R649=1,SUM($R$10:R649),0)</x:f>
        <x:v>0</x:v>
      </x:c>
      <x:c r="T649" s="2" t="str">
        <x:v>Data &amp; Reporting</x:v>
      </x:c>
      <x:c r="U649" s="2" t="n">
        <x:v>649</x:v>
      </x:c>
      <x:c r="V649" s="2" t="n">
        <x:f>IF(AND(M649=1,P649=0,ISNUMBER(J649),J649&lt;TODAY()),1,0)</x:f>
        <x:v>0</x:v>
      </x:c>
      <x:c r="W649" s="2" t="str">
        <x:f>'Data &amp; Reporting'!M649</x:f>
        <x:v>Checklist</x:v>
      </x:c>
    </x:row>
    <x:row r="650" ht="40" customHeight="1">
      <x:c r="A650" s="3" t="str">
        <x:f>HYPERLINK("#'Data &amp; Reporting'!A650","Open")</x:f>
        <x:v>Open</x:v>
      </x:c>
      <x:c r="B650" s="2" t="str">
        <x:f>'Data &amp; Reporting'!B650</x:f>
        <x:v>Cycle 4</x:v>
      </x:c>
      <x:c r="C650" s="2" t="str">
        <x:f>'Data &amp; Reporting'!C650</x:f>
        <x:v>Phase 2</x:v>
      </x:c>
      <x:c r="D650" s="2" t="str">
        <x:f>'Data &amp; Reporting'!D650</x:f>
        <x:v>CSBBO - Customer Service</x:v>
      </x:c>
      <x:c r="E650" s="2" t="str">
        <x:v>Data &amp; Reporting</x:v>
      </x:c>
      <x:c r="F650" s="56" t="str">
        <x:f>'Data &amp; Reporting'!E650</x:f>
        <x:v>DR.CS.2.1</x:v>
      </x:c>
      <x:c r="G650" s="14" t="str">
        <x:f>'Data &amp; Reporting'!F650</x:f>
        <x:v>Ensure data is clean, structured, and usable without manipulation needed</x:v>
      </x:c>
      <x:c r="H650" s="2" t="str">
        <x:f>IF('Data &amp; Reporting'!G650="","",'Data &amp; Reporting'!G650)</x:f>
      </x:c>
      <x:c r="I650" s="12" t="str">
        <x:f>IF('Data &amp; Reporting'!H650="","",'Data &amp; Reporting'!H650)</x:f>
      </x:c>
      <x:c r="J650" s="12" t="n">
        <x:f>IF('Data &amp; Reporting'!I650="","",'Data &amp; Reporting'!I650)</x:f>
        <x:v>46387</x:v>
      </x:c>
      <x:c r="K650" s="12" t="str">
        <x:f>IF('Data &amp; Reporting'!J650="","",'Data &amp; Reporting'!J650)</x:f>
      </x:c>
      <x:c r="L650" s="2" t="str">
        <x:f>IF('Data &amp; Reporting'!K650="","",'Data &amp; Reporting'!K650)</x:f>
      </x:c>
      <x:c r="M650" s="2" t="n">
        <x:f>'Data &amp; Reporting'!Q650</x:f>
        <x:v>1</x:v>
      </x:c>
      <x:c r="N650" s="2" t="str">
        <x:f>'Data &amp; Reporting'!L650</x:f>
        <x:v>Not started</x:v>
      </x:c>
      <x:c r="O650" s="2" t="str">
        <x:f>'Data &amp; Reporting'!N650</x:f>
        <x:v>DR.CS.2.1.2026.CY4</x:v>
      </x:c>
      <x:c r="P650" s="2" t="n">
        <x:f>'Data &amp; Reporting'!O650</x:f>
        <x:v>0</x:v>
      </x:c>
      <x:c r="Q650" s="2" t="n">
        <x:f>SUBTOTAL(103,O650)</x:f>
        <x:v>1</x:v>
      </x:c>
      <x:c r="R650" s="2" t="n">
        <x:f>IF(AND(M650=1,OR(Dashboard!$B$7="All",Dashboard!$B$7='Cycles &amp; Guide'!$C$5),OR(Dashboard!$D$7="All",Dashboard!$D$7=B650),OR(Dashboard!$F$7="All",Dashboard!$F$7=C650),OR(Dashboard!$H$7="All",Dashboard!$H$7=D650),OR(Dashboard!$K$7="All",Dashboard!$K$7=E650)),1,0)</x:f>
        <x:v>1</x:v>
      </x:c>
      <x:c r="S650" s="2" t="n">
        <x:f>IF(R650=1,SUM($R$10:R650),0)</x:f>
        <x:v>316</x:v>
      </x:c>
      <x:c r="T650" s="2" t="str">
        <x:v>Data &amp; Reporting</x:v>
      </x:c>
      <x:c r="U650" s="2" t="n">
        <x:v>650</x:v>
      </x:c>
      <x:c r="V650" s="2" t="n">
        <x:f>IF(AND(M650=1,P650=0,ISNUMBER(J650),J650&lt;TODAY()),1,0)</x:f>
        <x:v>0</x:v>
      </x:c>
      <x:c r="W650" s="2" t="str">
        <x:f>'Data &amp; Reporting'!M650</x:f>
        <x:v>Task</x:v>
      </x:c>
    </x:row>
    <x:row r="651" ht="40" customHeight="1">
      <x:c r="A651" s="3" t="str">
        <x:f>HYPERLINK("#'Data &amp; Reporting'!A651","Open")</x:f>
        <x:v>Open</x:v>
      </x:c>
      <x:c r="B651" s="2" t="str">
        <x:f>'Data &amp; Reporting'!B651</x:f>
        <x:v>Cycle 4</x:v>
      </x:c>
      <x:c r="C651" s="2" t="str">
        <x:f>'Data &amp; Reporting'!C651</x:f>
        <x:v>Phase 2</x:v>
      </x:c>
      <x:c r="D651" s="2" t="str">
        <x:f>'Data &amp; Reporting'!D651</x:f>
        <x:v>CSBBO - Customer Service</x:v>
      </x:c>
      <x:c r="E651" s="2" t="str">
        <x:v>Data &amp; Reporting</x:v>
      </x:c>
      <x:c r="F651" s="56" t="str">
        <x:f>'Data &amp; Reporting'!E651</x:f>
        <x:v>DR.CS.2.2</x:v>
      </x:c>
      <x:c r="G651" s="14" t="str">
        <x:f>'Data &amp; Reporting'!F651</x:f>
        <x:v>Clearly document rationale for each topic recommendation within the SharePoint list</x:v>
      </x:c>
      <x:c r="H651" s="2" t="str">
        <x:f>IF('Data &amp; Reporting'!G651="","",'Data &amp; Reporting'!G651)</x:f>
      </x:c>
      <x:c r="I651" s="12" t="str">
        <x:f>IF('Data &amp; Reporting'!H651="","",'Data &amp; Reporting'!H651)</x:f>
      </x:c>
      <x:c r="J651" s="12" t="n">
        <x:f>IF('Data &amp; Reporting'!I651="","",'Data &amp; Reporting'!I651)</x:f>
        <x:v>46387</x:v>
      </x:c>
      <x:c r="K651" s="12" t="str">
        <x:f>IF('Data &amp; Reporting'!J651="","",'Data &amp; Reporting'!J651)</x:f>
      </x:c>
      <x:c r="L651" s="2" t="str">
        <x:f>IF('Data &amp; Reporting'!K651="","",'Data &amp; Reporting'!K651)</x:f>
      </x:c>
      <x:c r="M651" s="2" t="n">
        <x:f>'Data &amp; Reporting'!Q651</x:f>
        <x:v>1</x:v>
      </x:c>
      <x:c r="N651" s="2" t="str">
        <x:f>'Data &amp; Reporting'!L651</x:f>
        <x:v>Not started</x:v>
      </x:c>
      <x:c r="O651" s="2" t="str">
        <x:f>'Data &amp; Reporting'!N651</x:f>
        <x:v>DR.CS.2.2.2026.CY4</x:v>
      </x:c>
      <x:c r="P651" s="2" t="n">
        <x:f>'Data &amp; Reporting'!O651</x:f>
        <x:v>0</x:v>
      </x:c>
      <x:c r="Q651" s="2" t="n">
        <x:f>SUBTOTAL(103,O651)</x:f>
        <x:v>1</x:v>
      </x:c>
      <x:c r="R651" s="2" t="n">
        <x:f>IF(AND(M651=1,OR(Dashboard!$B$7="All",Dashboard!$B$7='Cycles &amp; Guide'!$C$5),OR(Dashboard!$D$7="All",Dashboard!$D$7=B651),OR(Dashboard!$F$7="All",Dashboard!$F$7=C651),OR(Dashboard!$H$7="All",Dashboard!$H$7=D651),OR(Dashboard!$K$7="All",Dashboard!$K$7=E651)),1,0)</x:f>
        <x:v>1</x:v>
      </x:c>
      <x:c r="S651" s="2" t="n">
        <x:f>IF(R651=1,SUM($R$10:R651),0)</x:f>
        <x:v>317</x:v>
      </x:c>
      <x:c r="T651" s="2" t="str">
        <x:v>Data &amp; Reporting</x:v>
      </x:c>
      <x:c r="U651" s="2" t="n">
        <x:v>651</x:v>
      </x:c>
      <x:c r="V651" s="2" t="n">
        <x:f>IF(AND(M651=1,P651=0,ISNUMBER(J651),J651&lt;TODAY()),1,0)</x:f>
        <x:v>0</x:v>
      </x:c>
      <x:c r="W651" s="2" t="str">
        <x:f>'Data &amp; Reporting'!M651</x:f>
        <x:v>Task</x:v>
      </x:c>
    </x:row>
    <x:row r="652" ht="40" customHeight="1">
      <x:c r="A652" s="3" t="str">
        <x:f>HYPERLINK("#'Data &amp; Reporting'!A652","Open")</x:f>
        <x:v>Open</x:v>
      </x:c>
      <x:c r="B652" s="2" t="str">
        <x:f>'Data &amp; Reporting'!B652</x:f>
        <x:v>Cycle 4</x:v>
      </x:c>
      <x:c r="C652" s="2" t="str">
        <x:f>'Data &amp; Reporting'!C652</x:f>
        <x:v>Phase 2</x:v>
      </x:c>
      <x:c r="D652" s="2" t="str">
        <x:f>'Data &amp; Reporting'!D652</x:f>
        <x:v>CSBBO - Customer Service</x:v>
      </x:c>
      <x:c r="E652" s="2" t="str">
        <x:v>Data &amp; Reporting</x:v>
      </x:c>
      <x:c r="F652" s="56" t="str">
        <x:f>'Data &amp; Reporting'!E652</x:f>
        <x:v>DR.CS.2.3</x:v>
      </x:c>
      <x:c r="G652" s="14" t="str">
        <x:f>'Data &amp; Reporting'!F652</x:f>
        <x:v>Verify topic is eligible for RCA and does not conflict with Attorney Client Privilege</x:v>
      </x:c>
      <x:c r="H652" s="2" t="str">
        <x:f>IF('Data &amp; Reporting'!G652="","",'Data &amp; Reporting'!G652)</x:f>
      </x:c>
      <x:c r="I652" s="12" t="str">
        <x:f>IF('Data &amp; Reporting'!H652="","",'Data &amp; Reporting'!H652)</x:f>
      </x:c>
      <x:c r="J652" s="12" t="n">
        <x:f>IF('Data &amp; Reporting'!I652="","",'Data &amp; Reporting'!I652)</x:f>
        <x:v>46387</x:v>
      </x:c>
      <x:c r="K652" s="12" t="str">
        <x:f>IF('Data &amp; Reporting'!J652="","",'Data &amp; Reporting'!J652)</x:f>
      </x:c>
      <x:c r="L652" s="2" t="str">
        <x:f>IF('Data &amp; Reporting'!K652="","",'Data &amp; Reporting'!K652)</x:f>
      </x:c>
      <x:c r="M652" s="2" t="n">
        <x:f>'Data &amp; Reporting'!Q652</x:f>
        <x:v>1</x:v>
      </x:c>
      <x:c r="N652" s="2" t="str">
        <x:f>'Data &amp; Reporting'!L652</x:f>
        <x:v>Not started</x:v>
      </x:c>
      <x:c r="O652" s="2" t="str">
        <x:f>'Data &amp; Reporting'!N652</x:f>
        <x:v>DR.CS.2.3.2026.CY4</x:v>
      </x:c>
      <x:c r="P652" s="2" t="n">
        <x:f>'Data &amp; Reporting'!O652</x:f>
        <x:v>0</x:v>
      </x:c>
      <x:c r="Q652" s="2" t="n">
        <x:f>SUBTOTAL(103,O652)</x:f>
        <x:v>1</x:v>
      </x:c>
      <x:c r="R652" s="2" t="n">
        <x:f>IF(AND(M652=1,OR(Dashboard!$B$7="All",Dashboard!$B$7='Cycles &amp; Guide'!$C$5),OR(Dashboard!$D$7="All",Dashboard!$D$7=B652),OR(Dashboard!$F$7="All",Dashboard!$F$7=C652),OR(Dashboard!$H$7="All",Dashboard!$H$7=D652),OR(Dashboard!$K$7="All",Dashboard!$K$7=E652)),1,0)</x:f>
        <x:v>1</x:v>
      </x:c>
      <x:c r="S652" s="2" t="n">
        <x:f>IF(R652=1,SUM($R$10:R652),0)</x:f>
        <x:v>318</x:v>
      </x:c>
      <x:c r="T652" s="2" t="str">
        <x:v>Data &amp; Reporting</x:v>
      </x:c>
      <x:c r="U652" s="2" t="n">
        <x:v>652</x:v>
      </x:c>
      <x:c r="V652" s="2" t="n">
        <x:f>IF(AND(M652=1,P652=0,ISNUMBER(J652),J652&lt;TODAY()),1,0)</x:f>
        <x:v>0</x:v>
      </x:c>
      <x:c r="W652" s="2" t="str">
        <x:f>'Data &amp; Reporting'!M652</x:f>
        <x:v>Task</x:v>
      </x:c>
    </x:row>
    <x:row r="653" ht="40" customHeight="1">
      <x:c r="A653" s="3" t="str">
        <x:f>HYPERLINK("#'Data &amp; Reporting'!A653","Open")</x:f>
        <x:v>Open</x:v>
      </x:c>
      <x:c r="B653" s="2" t="str">
        <x:f>'Data &amp; Reporting'!B653</x:f>
        <x:v>Cycle 4</x:v>
      </x:c>
      <x:c r="C653" s="2" t="str">
        <x:f>'Data &amp; Reporting'!C653</x:f>
        <x:v>Phase 2</x:v>
      </x:c>
      <x:c r="D653" s="2" t="str">
        <x:f>'Data &amp; Reporting'!D653</x:f>
        <x:v>CSBBO - Customer Service</x:v>
      </x:c>
      <x:c r="E653" s="2" t="str">
        <x:v>Data &amp; Reporting</x:v>
      </x:c>
      <x:c r="F653" s="56" t="str">
        <x:f>'Data &amp; Reporting'!E653</x:f>
        <x:v>DR.CS.2.4</x:v>
      </x:c>
      <x:c r="G653" s="14" t="str">
        <x:f>'Data &amp; Reporting'!F653</x:f>
        <x:v>Ensure data is free of errors and anomalies prior to hand-off to Research</x:v>
      </x:c>
      <x:c r="H653" s="2" t="str">
        <x:f>IF('Data &amp; Reporting'!G653="","",'Data &amp; Reporting'!G653)</x:f>
      </x:c>
      <x:c r="I653" s="12" t="str">
        <x:f>IF('Data &amp; Reporting'!H653="","",'Data &amp; Reporting'!H653)</x:f>
      </x:c>
      <x:c r="J653" s="12" t="n">
        <x:f>IF('Data &amp; Reporting'!I653="","",'Data &amp; Reporting'!I653)</x:f>
        <x:v>46387</x:v>
      </x:c>
      <x:c r="K653" s="12" t="str">
        <x:f>IF('Data &amp; Reporting'!J653="","",'Data &amp; Reporting'!J653)</x:f>
      </x:c>
      <x:c r="L653" s="2" t="str">
        <x:f>IF('Data &amp; Reporting'!K653="","",'Data &amp; Reporting'!K653)</x:f>
      </x:c>
      <x:c r="M653" s="2" t="n">
        <x:f>'Data &amp; Reporting'!Q653</x:f>
        <x:v>1</x:v>
      </x:c>
      <x:c r="N653" s="2" t="str">
        <x:f>'Data &amp; Reporting'!L653</x:f>
        <x:v>Not started</x:v>
      </x:c>
      <x:c r="O653" s="2" t="str">
        <x:f>'Data &amp; Reporting'!N653</x:f>
        <x:v>DR.CS.2.4.2026.CY4</x:v>
      </x:c>
      <x:c r="P653" s="2" t="n">
        <x:f>'Data &amp; Reporting'!O653</x:f>
        <x:v>0</x:v>
      </x:c>
      <x:c r="Q653" s="2" t="n">
        <x:f>SUBTOTAL(103,O653)</x:f>
        <x:v>1</x:v>
      </x:c>
      <x:c r="R653" s="2" t="n">
        <x:f>IF(AND(M653=1,OR(Dashboard!$B$7="All",Dashboard!$B$7='Cycles &amp; Guide'!$C$5),OR(Dashboard!$D$7="All",Dashboard!$D$7=B653),OR(Dashboard!$F$7="All",Dashboard!$F$7=C653),OR(Dashboard!$H$7="All",Dashboard!$H$7=D653),OR(Dashboard!$K$7="All",Dashboard!$K$7=E653)),1,0)</x:f>
        <x:v>1</x:v>
      </x:c>
      <x:c r="S653" s="2" t="n">
        <x:f>IF(R653=1,SUM($R$10:R653),0)</x:f>
        <x:v>319</x:v>
      </x:c>
      <x:c r="T653" s="2" t="str">
        <x:v>Data &amp; Reporting</x:v>
      </x:c>
      <x:c r="U653" s="2" t="n">
        <x:v>653</x:v>
      </x:c>
      <x:c r="V653" s="2" t="n">
        <x:f>IF(AND(M653=1,P653=0,ISNUMBER(J653),J653&lt;TODAY()),1,0)</x:f>
        <x:v>0</x:v>
      </x:c>
      <x:c r="W653" s="2" t="str">
        <x:f>'Data &amp; Reporting'!M653</x:f>
        <x:v>Task</x:v>
      </x:c>
    </x:row>
    <x:row r="654" ht="40" customHeight="1">
      <x:c r="A654" s="3" t="str">
        <x:f>HYPERLINK("#'Data &amp; Reporting'!A654","Open")</x:f>
        <x:v>Open</x:v>
      </x:c>
      <x:c r="B654" s="2" t="str">
        <x:f>'Data &amp; Reporting'!B654</x:f>
        <x:v>Cycle 4</x:v>
      </x:c>
      <x:c r="C654" s="2" t="str">
        <x:f>'Data &amp; Reporting'!C654</x:f>
        <x:v>Phase 2</x:v>
      </x:c>
      <x:c r="D654" s="2" t="str">
        <x:f>'Data &amp; Reporting'!D654</x:f>
        <x:v>CSBBO - Customer Service</x:v>
      </x:c>
      <x:c r="E654" s="2" t="str">
        <x:v>Data &amp; Reporting</x:v>
      </x:c>
      <x:c r="F654" s="56" t="str">
        <x:f>'Data &amp; Reporting'!E654</x:f>
        <x:v>DR.CS.2.5</x:v>
      </x:c>
      <x:c r="G654" s="14" t="str">
        <x:f>'Data &amp; Reporting'!F654</x:f>
        <x:v>Ensure topic is not a duplicate from a previous Cycle</x:v>
      </x:c>
      <x:c r="H654" s="2" t="str">
        <x:f>IF('Data &amp; Reporting'!G654="","",'Data &amp; Reporting'!G654)</x:f>
      </x:c>
      <x:c r="I654" s="12" t="str">
        <x:f>IF('Data &amp; Reporting'!H654="","",'Data &amp; Reporting'!H654)</x:f>
      </x:c>
      <x:c r="J654" s="12" t="n">
        <x:f>IF('Data &amp; Reporting'!I654="","",'Data &amp; Reporting'!I654)</x:f>
        <x:v>46387</x:v>
      </x:c>
      <x:c r="K654" s="12" t="str">
        <x:f>IF('Data &amp; Reporting'!J654="","",'Data &amp; Reporting'!J654)</x:f>
      </x:c>
      <x:c r="L654" s="2" t="str">
        <x:f>IF('Data &amp; Reporting'!K654="","",'Data &amp; Reporting'!K654)</x:f>
      </x:c>
      <x:c r="M654" s="2" t="n">
        <x:f>'Data &amp; Reporting'!Q654</x:f>
        <x:v>1</x:v>
      </x:c>
      <x:c r="N654" s="2" t="str">
        <x:f>'Data &amp; Reporting'!L654</x:f>
        <x:v>Not started</x:v>
      </x:c>
      <x:c r="O654" s="2" t="str">
        <x:f>'Data &amp; Reporting'!N654</x:f>
        <x:v>DR.CS.2.5.2026.CY4</x:v>
      </x:c>
      <x:c r="P654" s="2" t="n">
        <x:f>'Data &amp; Reporting'!O654</x:f>
        <x:v>0</x:v>
      </x:c>
      <x:c r="Q654" s="2" t="n">
        <x:f>SUBTOTAL(103,O654)</x:f>
        <x:v>1</x:v>
      </x:c>
      <x:c r="R654" s="2" t="n">
        <x:f>IF(AND(M654=1,OR(Dashboard!$B$7="All",Dashboard!$B$7='Cycles &amp; Guide'!$C$5),OR(Dashboard!$D$7="All",Dashboard!$D$7=B654),OR(Dashboard!$F$7="All",Dashboard!$F$7=C654),OR(Dashboard!$H$7="All",Dashboard!$H$7=D654),OR(Dashboard!$K$7="All",Dashboard!$K$7=E654)),1,0)</x:f>
        <x:v>1</x:v>
      </x:c>
      <x:c r="S654" s="2" t="n">
        <x:f>IF(R654=1,SUM($R$10:R654),0)</x:f>
        <x:v>320</x:v>
      </x:c>
      <x:c r="T654" s="2" t="str">
        <x:v>Data &amp; Reporting</x:v>
      </x:c>
      <x:c r="U654" s="2" t="n">
        <x:v>654</x:v>
      </x:c>
      <x:c r="V654" s="2" t="n">
        <x:f>IF(AND(M654=1,P654=0,ISNUMBER(J654),J654&lt;TODAY()),1,0)</x:f>
        <x:v>0</x:v>
      </x:c>
      <x:c r="W654" s="2" t="str">
        <x:f>'Data &amp; Reporting'!M654</x:f>
        <x:v>Task</x:v>
      </x:c>
    </x:row>
    <x:row r="655" ht="40" customHeight="1">
      <x:c r="A655" s="3" t="str">
        <x:f>HYPERLINK("#'Data &amp; Reporting'!A655","Open")</x:f>
        <x:v>Open</x:v>
      </x:c>
      <x:c r="B655" s="2" t="str">
        <x:f>'Data &amp; Reporting'!B655</x:f>
        <x:v>Cycle 4</x:v>
      </x:c>
      <x:c r="C655" s="2" t="str">
        <x:f>'Data &amp; Reporting'!C655</x:f>
        <x:v>Phase 2</x:v>
      </x:c>
      <x:c r="D655" s="2" t="str">
        <x:f>'Data &amp; Reporting'!D655</x:f>
        <x:v>CSBBO - Customer Service</x:v>
      </x:c>
      <x:c r="E655" s="2" t="str">
        <x:v>Data &amp; Reporting</x:v>
      </x:c>
      <x:c r="F655" s="56" t="str">
        <x:f>'Data &amp; Reporting'!E655</x:f>
        <x:v>DR.CS.2.6</x:v>
      </x:c>
      <x:c r="G655" s="14" t="str">
        <x:f>'Data &amp; Reporting'!F655</x:f>
        <x:v>Document clear distinctions between facts, assumptions, and hypotheses within the data package</x:v>
      </x:c>
      <x:c r="H655" s="2" t="str">
        <x:f>IF('Data &amp; Reporting'!G655="","",'Data &amp; Reporting'!G655)</x:f>
      </x:c>
      <x:c r="I655" s="12" t="str">
        <x:f>IF('Data &amp; Reporting'!H655="","",'Data &amp; Reporting'!H655)</x:f>
      </x:c>
      <x:c r="J655" s="12" t="n">
        <x:f>IF('Data &amp; Reporting'!I655="","",'Data &amp; Reporting'!I655)</x:f>
        <x:v>46387</x:v>
      </x:c>
      <x:c r="K655" s="12" t="str">
        <x:f>IF('Data &amp; Reporting'!J655="","",'Data &amp; Reporting'!J655)</x:f>
      </x:c>
      <x:c r="L655" s="2" t="str">
        <x:f>IF('Data &amp; Reporting'!K655="","",'Data &amp; Reporting'!K655)</x:f>
      </x:c>
      <x:c r="M655" s="2" t="n">
        <x:f>'Data &amp; Reporting'!Q655</x:f>
        <x:v>1</x:v>
      </x:c>
      <x:c r="N655" s="2" t="str">
        <x:f>'Data &amp; Reporting'!L655</x:f>
        <x:v>Not started</x:v>
      </x:c>
      <x:c r="O655" s="2" t="str">
        <x:f>'Data &amp; Reporting'!N655</x:f>
        <x:v>DR.CS.2.6.2026.CY4</x:v>
      </x:c>
      <x:c r="P655" s="2" t="n">
        <x:f>'Data &amp; Reporting'!O655</x:f>
        <x:v>0</x:v>
      </x:c>
      <x:c r="Q655" s="2" t="n">
        <x:f>SUBTOTAL(103,O655)</x:f>
        <x:v>1</x:v>
      </x:c>
      <x:c r="R655" s="2" t="n">
        <x:f>IF(AND(M655=1,OR(Dashboard!$B$7="All",Dashboard!$B$7='Cycles &amp; Guide'!$C$5),OR(Dashboard!$D$7="All",Dashboard!$D$7=B655),OR(Dashboard!$F$7="All",Dashboard!$F$7=C655),OR(Dashboard!$H$7="All",Dashboard!$H$7=D655),OR(Dashboard!$K$7="All",Dashboard!$K$7=E655)),1,0)</x:f>
        <x:v>1</x:v>
      </x:c>
      <x:c r="S655" s="2" t="n">
        <x:f>IF(R655=1,SUM($R$10:R655),0)</x:f>
        <x:v>321</x:v>
      </x:c>
      <x:c r="T655" s="2" t="str">
        <x:v>Data &amp; Reporting</x:v>
      </x:c>
      <x:c r="U655" s="2" t="n">
        <x:v>655</x:v>
      </x:c>
      <x:c r="V655" s="2" t="n">
        <x:f>IF(AND(M655=1,P655=0,ISNUMBER(J655),J655&lt;TODAY()),1,0)</x:f>
        <x:v>0</x:v>
      </x:c>
      <x:c r="W655" s="2" t="str">
        <x:f>'Data &amp; Reporting'!M655</x:f>
        <x:v>Task</x:v>
      </x:c>
    </x:row>
    <x:row r="656" ht="40" customHeight="1">
      <x:c r="A656" s="3" t="str">
        <x:f>HYPERLINK("#'Data &amp; Reporting'!A656","Open")</x:f>
        <x:v>Open</x:v>
      </x:c>
      <x:c r="B656" s="2" t="str">
        <x:f>'Data &amp; Reporting'!B656</x:f>
        <x:v>Cycle 4</x:v>
      </x:c>
      <x:c r="C656" s="2" t="str">
        <x:f>'Data &amp; Reporting'!C656</x:f>
        <x:v>Phase 3</x:v>
      </x:c>
      <x:c r="D656" s="2" t="str">
        <x:f>'Data &amp; Reporting'!D656</x:f>
        <x:v>CSBBO - Customer Service</x:v>
      </x:c>
      <x:c r="E656" s="2" t="str">
        <x:v>Data &amp; Reporting</x:v>
      </x:c>
      <x:c r="F656" s="56" t="str">
        <x:f>'Data &amp; Reporting'!E656</x:f>
        <x:v>DR.CS.3.1</x:v>
      </x:c>
      <x:c r="G656" s="14" t="str">
        <x:f>'Data &amp; Reporting'!F656</x:f>
        <x:v>Clearly document rationale for each topic recommendation within the SharePoint list item</x:v>
      </x:c>
      <x:c r="H656" s="2" t="str">
        <x:f>IF('Data &amp; Reporting'!G656="","",'Data &amp; Reporting'!G656)</x:f>
      </x:c>
      <x:c r="I656" s="12" t="str">
        <x:f>IF('Data &amp; Reporting'!H656="","",'Data &amp; Reporting'!H656)</x:f>
      </x:c>
      <x:c r="J656" s="12" t="n">
        <x:f>IF('Data &amp; Reporting'!I656="","",'Data &amp; Reporting'!I656)</x:f>
        <x:v>46387</x:v>
      </x:c>
      <x:c r="K656" s="12" t="str">
        <x:f>IF('Data &amp; Reporting'!J656="","",'Data &amp; Reporting'!J656)</x:f>
      </x:c>
      <x:c r="L656" s="2" t="str">
        <x:f>IF('Data &amp; Reporting'!K656="","",'Data &amp; Reporting'!K656)</x:f>
      </x:c>
      <x:c r="M656" s="2" t="n">
        <x:f>'Data &amp; Reporting'!Q656</x:f>
        <x:v>1</x:v>
      </x:c>
      <x:c r="N656" s="2" t="str">
        <x:f>'Data &amp; Reporting'!L656</x:f>
        <x:v>Not started</x:v>
      </x:c>
      <x:c r="O656" s="2" t="str">
        <x:f>'Data &amp; Reporting'!N656</x:f>
        <x:v>DR.CS.3.1.2026.CY4</x:v>
      </x:c>
      <x:c r="P656" s="2" t="n">
        <x:f>'Data &amp; Reporting'!O656</x:f>
        <x:v>0</x:v>
      </x:c>
      <x:c r="Q656" s="2" t="n">
        <x:f>SUBTOTAL(103,O656)</x:f>
        <x:v>1</x:v>
      </x:c>
      <x:c r="R656" s="2" t="n">
        <x:f>IF(AND(M656=1,OR(Dashboard!$B$7="All",Dashboard!$B$7='Cycles &amp; Guide'!$C$5),OR(Dashboard!$D$7="All",Dashboard!$D$7=B656),OR(Dashboard!$F$7="All",Dashboard!$F$7=C656),OR(Dashboard!$H$7="All",Dashboard!$H$7=D656),OR(Dashboard!$K$7="All",Dashboard!$K$7=E656)),1,0)</x:f>
        <x:v>1</x:v>
      </x:c>
      <x:c r="S656" s="2" t="n">
        <x:f>IF(R656=1,SUM($R$10:R656),0)</x:f>
        <x:v>322</x:v>
      </x:c>
      <x:c r="T656" s="2" t="str">
        <x:v>Data &amp; Reporting</x:v>
      </x:c>
      <x:c r="U656" s="2" t="n">
        <x:v>656</x:v>
      </x:c>
      <x:c r="V656" s="2" t="n">
        <x:f>IF(AND(M656=1,P656=0,ISNUMBER(J656),J656&lt;TODAY()),1,0)</x:f>
        <x:v>0</x:v>
      </x:c>
      <x:c r="W656" s="2" t="str">
        <x:f>'Data &amp; Reporting'!M656</x:f>
        <x:v>Task</x:v>
      </x:c>
    </x:row>
    <x:row r="657" ht="40" customHeight="1">
      <x:c r="A657" s="3" t="str">
        <x:f>HYPERLINK("#'Data &amp; Reporting'!A657","Open")</x:f>
        <x:v>Open</x:v>
      </x:c>
      <x:c r="B657" s="2" t="str">
        <x:f>'Data &amp; Reporting'!B657</x:f>
        <x:v>Cycle 4</x:v>
      </x:c>
      <x:c r="C657" s="2" t="str">
        <x:f>'Data &amp; Reporting'!C657</x:f>
        <x:v>Phase 3</x:v>
      </x:c>
      <x:c r="D657" s="2" t="str">
        <x:f>'Data &amp; Reporting'!D657</x:f>
        <x:v>CSBBO - Customer Service</x:v>
      </x:c>
      <x:c r="E657" s="2" t="str">
        <x:v>Data &amp; Reporting</x:v>
      </x:c>
      <x:c r="F657" s="56" t="str">
        <x:f>'Data &amp; Reporting'!E657</x:f>
        <x:v>DR.CS.3.2</x:v>
      </x:c>
      <x:c r="G657" s="14" t="str">
        <x:f>'Data &amp; Reporting'!F657</x:f>
        <x:v>Attach the data package for each topic recommendation within the SharePoint list item</x:v>
      </x:c>
      <x:c r="H657" s="2" t="str">
        <x:f>IF('Data &amp; Reporting'!G657="","",'Data &amp; Reporting'!G657)</x:f>
      </x:c>
      <x:c r="I657" s="12" t="str">
        <x:f>IF('Data &amp; Reporting'!H657="","",'Data &amp; Reporting'!H657)</x:f>
      </x:c>
      <x:c r="J657" s="12" t="n">
        <x:f>IF('Data &amp; Reporting'!I657="","",'Data &amp; Reporting'!I657)</x:f>
        <x:v>46387</x:v>
      </x:c>
      <x:c r="K657" s="12" t="str">
        <x:f>IF('Data &amp; Reporting'!J657="","",'Data &amp; Reporting'!J657)</x:f>
      </x:c>
      <x:c r="L657" s="2" t="str">
        <x:f>IF('Data &amp; Reporting'!K657="","",'Data &amp; Reporting'!K657)</x:f>
      </x:c>
      <x:c r="M657" s="2" t="n">
        <x:f>'Data &amp; Reporting'!Q657</x:f>
        <x:v>1</x:v>
      </x:c>
      <x:c r="N657" s="2" t="str">
        <x:f>'Data &amp; Reporting'!L657</x:f>
        <x:v>Not started</x:v>
      </x:c>
      <x:c r="O657" s="2" t="str">
        <x:f>'Data &amp; Reporting'!N657</x:f>
        <x:v>DR.CS.3.2.2026.CY4</x:v>
      </x:c>
      <x:c r="P657" s="2" t="n">
        <x:f>'Data &amp; Reporting'!O657</x:f>
        <x:v>0</x:v>
      </x:c>
      <x:c r="Q657" s="2" t="n">
        <x:f>SUBTOTAL(103,O657)</x:f>
        <x:v>1</x:v>
      </x:c>
      <x:c r="R657" s="2" t="n">
        <x:f>IF(AND(M657=1,OR(Dashboard!$B$7="All",Dashboard!$B$7='Cycles &amp; Guide'!$C$5),OR(Dashboard!$D$7="All",Dashboard!$D$7=B657),OR(Dashboard!$F$7="All",Dashboard!$F$7=C657),OR(Dashboard!$H$7="All",Dashboard!$H$7=D657),OR(Dashboard!$K$7="All",Dashboard!$K$7=E657)),1,0)</x:f>
        <x:v>1</x:v>
      </x:c>
      <x:c r="S657" s="2" t="n">
        <x:f>IF(R657=1,SUM($R$10:R657),0)</x:f>
        <x:v>323</x:v>
      </x:c>
      <x:c r="T657" s="2" t="str">
        <x:v>Data &amp; Reporting</x:v>
      </x:c>
      <x:c r="U657" s="2" t="n">
        <x:v>657</x:v>
      </x:c>
      <x:c r="V657" s="2" t="n">
        <x:f>IF(AND(M657=1,P657=0,ISNUMBER(J657),J657&lt;TODAY()),1,0)</x:f>
        <x:v>0</x:v>
      </x:c>
      <x:c r="W657" s="2" t="str">
        <x:f>'Data &amp; Reporting'!M657</x:f>
        <x:v>Task</x:v>
      </x:c>
    </x:row>
    <x:row r="658" ht="40" customHeight="1">
      <x:c r="A658" s="3" t="str">
        <x:f>HYPERLINK("#'Data &amp; Reporting'!A658","Open")</x:f>
        <x:v>Open</x:v>
      </x:c>
      <x:c r="B658" s="2" t="str">
        <x:f>'Data &amp; Reporting'!B658</x:f>
        <x:v>Cycle 4</x:v>
      </x:c>
      <x:c r="C658" s="2" t="str">
        <x:f>'Data &amp; Reporting'!C658</x:f>
        <x:v>Phase 3</x:v>
      </x:c>
      <x:c r="D658" s="2" t="str">
        <x:f>'Data &amp; Reporting'!D658</x:f>
        <x:v>CSBBO - Customer Service</x:v>
      </x:c>
      <x:c r="E658" s="2" t="str">
        <x:v>Data &amp; Reporting</x:v>
      </x:c>
      <x:c r="F658" s="56" t="str">
        <x:f>'Data &amp; Reporting'!E658</x:f>
        <x:v>DR.CS.3.3</x:v>
      </x:c>
      <x:c r="G658" s="14" t="str">
        <x:f>'Data &amp; Reporting'!F658</x:f>
        <x:v>Confirm data privileges have been granted, ensuring each pillar can access</x:v>
      </x:c>
      <x:c r="H658" s="2" t="str">
        <x:f>IF('Data &amp; Reporting'!G658="","",'Data &amp; Reporting'!G658)</x:f>
      </x:c>
      <x:c r="I658" s="12" t="str">
        <x:f>IF('Data &amp; Reporting'!H658="","",'Data &amp; Reporting'!H658)</x:f>
      </x:c>
      <x:c r="J658" s="12" t="n">
        <x:f>IF('Data &amp; Reporting'!I658="","",'Data &amp; Reporting'!I658)</x:f>
        <x:v>46387</x:v>
      </x:c>
      <x:c r="K658" s="12" t="str">
        <x:f>IF('Data &amp; Reporting'!J658="","",'Data &amp; Reporting'!J658)</x:f>
      </x:c>
      <x:c r="L658" s="2" t="str">
        <x:f>IF('Data &amp; Reporting'!K658="","",'Data &amp; Reporting'!K658)</x:f>
      </x:c>
      <x:c r="M658" s="2" t="n">
        <x:f>'Data &amp; Reporting'!Q658</x:f>
        <x:v>1</x:v>
      </x:c>
      <x:c r="N658" s="2" t="str">
        <x:f>'Data &amp; Reporting'!L658</x:f>
        <x:v>Not started</x:v>
      </x:c>
      <x:c r="O658" s="2" t="str">
        <x:f>'Data &amp; Reporting'!N658</x:f>
        <x:v>DR.CS.3.3.2026.CY4</x:v>
      </x:c>
      <x:c r="P658" s="2" t="n">
        <x:f>'Data &amp; Reporting'!O658</x:f>
        <x:v>0</x:v>
      </x:c>
      <x:c r="Q658" s="2" t="n">
        <x:f>SUBTOTAL(103,O658)</x:f>
        <x:v>1</x:v>
      </x:c>
      <x:c r="R658" s="2" t="n">
        <x:f>IF(AND(M658=1,OR(Dashboard!$B$7="All",Dashboard!$B$7='Cycles &amp; Guide'!$C$5),OR(Dashboard!$D$7="All",Dashboard!$D$7=B658),OR(Dashboard!$F$7="All",Dashboard!$F$7=C658),OR(Dashboard!$H$7="All",Dashboard!$H$7=D658),OR(Dashboard!$K$7="All",Dashboard!$K$7=E658)),1,0)</x:f>
        <x:v>1</x:v>
      </x:c>
      <x:c r="S658" s="2" t="n">
        <x:f>IF(R658=1,SUM($R$10:R658),0)</x:f>
        <x:v>324</x:v>
      </x:c>
      <x:c r="T658" s="2" t="str">
        <x:v>Data &amp; Reporting</x:v>
      </x:c>
      <x:c r="U658" s="2" t="n">
        <x:v>658</x:v>
      </x:c>
      <x:c r="V658" s="2" t="n">
        <x:f>IF(AND(M658=1,P658=0,ISNUMBER(J658),J658&lt;TODAY()),1,0)</x:f>
        <x:v>0</x:v>
      </x:c>
      <x:c r="W658" s="2" t="str">
        <x:f>'Data &amp; Reporting'!M658</x:f>
        <x:v>Task</x:v>
      </x:c>
    </x:row>
    <x:row r="659" ht="40" customHeight="1">
      <x:c r="A659" s="3" t="str">
        <x:f>HYPERLINK("#'Data &amp; Reporting'!A659","Open")</x:f>
        <x:v>Open</x:v>
      </x:c>
      <x:c r="B659" s="2" t="str">
        <x:f>'Data &amp; Reporting'!B659</x:f>
        <x:v>Cycle 4</x:v>
      </x:c>
      <x:c r="C659" s="2" t="str">
        <x:f>'Data &amp; Reporting'!C659</x:f>
        <x:v>Phase 3</x:v>
      </x:c>
      <x:c r="D659" s="2" t="str">
        <x:f>'Data &amp; Reporting'!D659</x:f>
        <x:v>CSBBO - Customer Service</x:v>
      </x:c>
      <x:c r="E659" s="2" t="str">
        <x:v>Data &amp; Reporting</x:v>
      </x:c>
      <x:c r="F659" s="56" t="str">
        <x:f>'Data &amp; Reporting'!E659</x:f>
        <x:v>DR.CS.3.4</x:v>
      </x:c>
      <x:c r="G659" s="14" t="str">
        <x:f>'Data &amp; Reporting'!F659</x:f>
        <x:v>Ensure Power Automate notifications were correctly triggered within Microsoft Teams</x:v>
      </x:c>
      <x:c r="H659" s="2" t="str">
        <x:f>IF('Data &amp; Reporting'!G659="","",'Data &amp; Reporting'!G659)</x:f>
      </x:c>
      <x:c r="I659" s="12" t="str">
        <x:f>IF('Data &amp; Reporting'!H659="","",'Data &amp; Reporting'!H659)</x:f>
      </x:c>
      <x:c r="J659" s="12" t="n">
        <x:f>IF('Data &amp; Reporting'!I659="","",'Data &amp; Reporting'!I659)</x:f>
        <x:v>46387</x:v>
      </x:c>
      <x:c r="K659" s="12" t="str">
        <x:f>IF('Data &amp; Reporting'!J659="","",'Data &amp; Reporting'!J659)</x:f>
      </x:c>
      <x:c r="L659" s="2" t="str">
        <x:f>IF('Data &amp; Reporting'!K659="","",'Data &amp; Reporting'!K659)</x:f>
      </x:c>
      <x:c r="M659" s="2" t="n">
        <x:f>'Data &amp; Reporting'!Q659</x:f>
        <x:v>1</x:v>
      </x:c>
      <x:c r="N659" s="2" t="str">
        <x:f>'Data &amp; Reporting'!L659</x:f>
        <x:v>Not started</x:v>
      </x:c>
      <x:c r="O659" s="2" t="str">
        <x:f>'Data &amp; Reporting'!N659</x:f>
        <x:v>DR.CS.3.4.2026.CY4</x:v>
      </x:c>
      <x:c r="P659" s="2" t="n">
        <x:f>'Data &amp; Reporting'!O659</x:f>
        <x:v>0</x:v>
      </x:c>
      <x:c r="Q659" s="2" t="n">
        <x:f>SUBTOTAL(103,O659)</x:f>
        <x:v>1</x:v>
      </x:c>
      <x:c r="R659" s="2" t="n">
        <x:f>IF(AND(M659=1,OR(Dashboard!$B$7="All",Dashboard!$B$7='Cycles &amp; Guide'!$C$5),OR(Dashboard!$D$7="All",Dashboard!$D$7=B659),OR(Dashboard!$F$7="All",Dashboard!$F$7=C659),OR(Dashboard!$H$7="All",Dashboard!$H$7=D659),OR(Dashboard!$K$7="All",Dashboard!$K$7=E659)),1,0)</x:f>
        <x:v>1</x:v>
      </x:c>
      <x:c r="S659" s="2" t="n">
        <x:f>IF(R659=1,SUM($R$10:R659),0)</x:f>
        <x:v>325</x:v>
      </x:c>
      <x:c r="T659" s="2" t="str">
        <x:v>Data &amp; Reporting</x:v>
      </x:c>
      <x:c r="U659" s="2" t="n">
        <x:v>659</x:v>
      </x:c>
      <x:c r="V659" s="2" t="n">
        <x:f>IF(AND(M659=1,P659=0,ISNUMBER(J659),J659&lt;TODAY()),1,0)</x:f>
        <x:v>0</x:v>
      </x:c>
      <x:c r="W659" s="2" t="str">
        <x:f>'Data &amp; Reporting'!M659</x:f>
        <x:v>Task</x:v>
      </x:c>
    </x:row>
    <x:row r="660" ht="40" customHeight="1">
      <x:c r="A660" s="3" t="str">
        <x:f>HYPERLINK("#'Data &amp; Reporting'!A660","Open")</x:f>
        <x:v>Open</x:v>
      </x:c>
      <x:c r="B660" s="2" t="str">
        <x:f>'Data &amp; Reporting'!B660</x:f>
        <x:v>Cycle 4</x:v>
      </x:c>
      <x:c r="C660" s="2" t="str">
        <x:f>'Data &amp; Reporting'!C660</x:f>
        <x:v>Phase 1</x:v>
      </x:c>
      <x:c r="D660" s="2" t="str">
        <x:f>'Data &amp; Reporting'!D660</x:f>
        <x:v>FCM</x:v>
      </x:c>
      <x:c r="E660" s="2" t="str">
        <x:v>Data &amp; Reporting</x:v>
      </x:c>
      <x:c r="F660" s="56" t="str">
        <x:f>'Data &amp; Reporting'!E660</x:f>
        <x:v>DR.FC.1.1</x:v>
      </x:c>
      <x:c r="G660" s="14" t="str">
        <x:f>'Data &amp; Reporting'!F660</x:f>
        <x:v>Review data sources 3 weeks prior to Cycle start (Complaints, Gen AI, Loudspeaker, NPS, etc.)</x:v>
      </x:c>
      <x:c r="H660" s="2" t="str">
        <x:f>IF('Data &amp; Reporting'!G660="","",'Data &amp; Reporting'!G660)</x:f>
      </x:c>
      <x:c r="I660" s="12" t="str">
        <x:f>IF('Data &amp; Reporting'!H660="","",'Data &amp; Reporting'!H660)</x:f>
      </x:c>
      <x:c r="J660" s="12" t="n">
        <x:f>IF('Data &amp; Reporting'!I660="","",'Data &amp; Reporting'!I660)</x:f>
        <x:v>46275</x:v>
      </x:c>
      <x:c r="K660" s="12" t="str">
        <x:f>IF('Data &amp; Reporting'!J660="","",'Data &amp; Reporting'!J660)</x:f>
      </x:c>
      <x:c r="L660" s="2" t="str">
        <x:f>IF('Data &amp; Reporting'!K660="","",'Data &amp; Reporting'!K660)</x:f>
      </x:c>
      <x:c r="M660" s="2" t="n">
        <x:f>'Data &amp; Reporting'!Q660</x:f>
        <x:v>1</x:v>
      </x:c>
      <x:c r="N660" s="2" t="str">
        <x:f>'Data &amp; Reporting'!L660</x:f>
        <x:v>Not started</x:v>
      </x:c>
      <x:c r="O660" s="2" t="str">
        <x:f>'Data &amp; Reporting'!N660</x:f>
        <x:v>DR.FC.1.1.2026.CY4</x:v>
      </x:c>
      <x:c r="P660" s="2" t="n">
        <x:f>'Data &amp; Reporting'!O660</x:f>
        <x:v>0</x:v>
      </x:c>
      <x:c r="Q660" s="2" t="n">
        <x:f>SUBTOTAL(103,O660)</x:f>
        <x:v>1</x:v>
      </x:c>
      <x:c r="R660" s="2" t="n">
        <x:f>IF(AND(M660=1,OR(Dashboard!$B$7="All",Dashboard!$B$7='Cycles &amp; Guide'!$C$5),OR(Dashboard!$D$7="All",Dashboard!$D$7=B660),OR(Dashboard!$F$7="All",Dashboard!$F$7=C660),OR(Dashboard!$H$7="All",Dashboard!$H$7=D660),OR(Dashboard!$K$7="All",Dashboard!$K$7=E660)),1,0)</x:f>
        <x:v>1</x:v>
      </x:c>
      <x:c r="S660" s="2" t="n">
        <x:f>IF(R660=1,SUM($R$10:R660),0)</x:f>
        <x:v>326</x:v>
      </x:c>
      <x:c r="T660" s="2" t="str">
        <x:v>Data &amp; Reporting</x:v>
      </x:c>
      <x:c r="U660" s="2" t="n">
        <x:v>660</x:v>
      </x:c>
      <x:c r="V660" s="2" t="n">
        <x:f>IF(AND(M660=1,P660=0,ISNUMBER(J660),J660&lt;TODAY()),1,0)</x:f>
        <x:v>1</x:v>
      </x:c>
      <x:c r="W660" s="2" t="str">
        <x:f>'Data &amp; Reporting'!M660</x:f>
        <x:v>Task</x:v>
      </x:c>
    </x:row>
    <x:row r="661" ht="40" customHeight="1">
      <x:c r="A661" s="3" t="str">
        <x:f>HYPERLINK("#'Data &amp; Reporting'!A661","Open")</x:f>
        <x:v>Open</x:v>
      </x:c>
      <x:c r="B661" s="2" t="str">
        <x:f>'Data &amp; Reporting'!B661</x:f>
        <x:v>Cycle 4</x:v>
      </x:c>
      <x:c r="C661" s="2" t="str">
        <x:f>'Data &amp; Reporting'!C661</x:f>
        <x:v>Phase 1</x:v>
      </x:c>
      <x:c r="D661" s="2" t="str">
        <x:f>'Data &amp; Reporting'!D661</x:f>
        <x:v>FCM</x:v>
      </x:c>
      <x:c r="E661" s="2" t="str">
        <x:v>Data &amp; Reporting</x:v>
      </x:c>
      <x:c r="F661" s="56" t="str">
        <x:f>'Data &amp; Reporting'!E661</x:f>
        <x:v>DR.FC.1.2</x:v>
      </x:c>
      <x:c r="G661" s="14" t="str">
        <x:f>'Data &amp; Reporting'!F661</x:f>
        <x:v>Identify two potential topics for the upcoming Cycle</x:v>
      </x:c>
      <x:c r="H661" s="2" t="str">
        <x:f>IF('Data &amp; Reporting'!G661="","",'Data &amp; Reporting'!G661)</x:f>
      </x:c>
      <x:c r="I661" s="12" t="str">
        <x:f>IF('Data &amp; Reporting'!H661="","",'Data &amp; Reporting'!H661)</x:f>
      </x:c>
      <x:c r="J661" s="12" t="n">
        <x:f>IF('Data &amp; Reporting'!I661="","",'Data &amp; Reporting'!I661)</x:f>
        <x:v>46387</x:v>
      </x:c>
      <x:c r="K661" s="12" t="str">
        <x:f>IF('Data &amp; Reporting'!J661="","",'Data &amp; Reporting'!J661)</x:f>
      </x:c>
      <x:c r="L661" s="2" t="str">
        <x:f>IF('Data &amp; Reporting'!K661="","",'Data &amp; Reporting'!K661)</x:f>
      </x:c>
      <x:c r="M661" s="2" t="n">
        <x:f>'Data &amp; Reporting'!Q661</x:f>
        <x:v>1</x:v>
      </x:c>
      <x:c r="N661" s="2" t="str">
        <x:f>'Data &amp; Reporting'!L661</x:f>
        <x:v>Not started</x:v>
      </x:c>
      <x:c r="O661" s="2" t="str">
        <x:f>'Data &amp; Reporting'!N661</x:f>
        <x:v>DR.FC.1.2.2026.CY4</x:v>
      </x:c>
      <x:c r="P661" s="2" t="n">
        <x:f>'Data &amp; Reporting'!O661</x:f>
        <x:v>0</x:v>
      </x:c>
      <x:c r="Q661" s="2" t="n">
        <x:f>SUBTOTAL(103,O661)</x:f>
        <x:v>1</x:v>
      </x:c>
      <x:c r="R661" s="2" t="n">
        <x:f>IF(AND(M661=1,OR(Dashboard!$B$7="All",Dashboard!$B$7='Cycles &amp; Guide'!$C$5),OR(Dashboard!$D$7="All",Dashboard!$D$7=B661),OR(Dashboard!$F$7="All",Dashboard!$F$7=C661),OR(Dashboard!$H$7="All",Dashboard!$H$7=D661),OR(Dashboard!$K$7="All",Dashboard!$K$7=E661)),1,0)</x:f>
        <x:v>1</x:v>
      </x:c>
      <x:c r="S661" s="2" t="n">
        <x:f>IF(R661=1,SUM($R$10:R661),0)</x:f>
        <x:v>327</x:v>
      </x:c>
      <x:c r="T661" s="2" t="str">
        <x:v>Data &amp; Reporting</x:v>
      </x:c>
      <x:c r="U661" s="2" t="n">
        <x:v>661</x:v>
      </x:c>
      <x:c r="V661" s="2" t="n">
        <x:f>IF(AND(M661=1,P661=0,ISNUMBER(J661),J661&lt;TODAY()),1,0)</x:f>
        <x:v>0</x:v>
      </x:c>
      <x:c r="W661" s="2" t="str">
        <x:f>'Data &amp; Reporting'!M661</x:f>
        <x:v>Task</x:v>
      </x:c>
    </x:row>
    <x:row r="662" ht="40" customHeight="1">
      <x:c r="A662" s="3" t="str">
        <x:f>HYPERLINK("#'Data &amp; Reporting'!A662","Open")</x:f>
        <x:v>Open</x:v>
      </x:c>
      <x:c r="B662" s="2" t="str">
        <x:f>'Data &amp; Reporting'!B662</x:f>
        <x:v>Cycle 4</x:v>
      </x:c>
      <x:c r="C662" s="2" t="str">
        <x:f>'Data &amp; Reporting'!C662</x:f>
        <x:v>Phase 1</x:v>
      </x:c>
      <x:c r="D662" s="2" t="str">
        <x:f>'Data &amp; Reporting'!D662</x:f>
        <x:v>FCM</x:v>
      </x:c>
      <x:c r="E662" s="2" t="str">
        <x:v>Data &amp; Reporting</x:v>
      </x:c>
      <x:c r="F662" s="56" t="str">
        <x:f>'Data &amp; Reporting'!E662</x:f>
        <x:v>DR.FC.1.3</x:v>
      </x:c>
      <x:c r="G662" s="14" t="str">
        <x:f>'Data &amp; Reporting'!F662</x:f>
        <x:v>Extract data for both potential topics, ensuring all checklist items below are included/completed</x:v>
      </x:c>
      <x:c r="H662" s="2" t="str">
        <x:f>IF('Data &amp; Reporting'!G662="","",'Data &amp; Reporting'!G662)</x:f>
      </x:c>
      <x:c r="I662" s="12" t="str">
        <x:f>IF('Data &amp; Reporting'!H662="","",'Data &amp; Reporting'!H662)</x:f>
      </x:c>
      <x:c r="J662" s="12" t="n">
        <x:f>IF('Data &amp; Reporting'!I662="","",'Data &amp; Reporting'!I662)</x:f>
        <x:v>46387</x:v>
      </x:c>
      <x:c r="K662" s="12" t="str">
        <x:f>IF('Data &amp; Reporting'!J662="","",'Data &amp; Reporting'!J662)</x:f>
      </x:c>
      <x:c r="L662" s="2" t="str">
        <x:f>IF('Data &amp; Reporting'!K662="","",'Data &amp; Reporting'!K662)</x:f>
      </x:c>
      <x:c r="M662" s="2" t="n">
        <x:f>'Data &amp; Reporting'!Q662</x:f>
        <x:v>1</x:v>
      </x:c>
      <x:c r="N662" s="2" t="str">
        <x:f>'Data &amp; Reporting'!L662</x:f>
        <x:v>Not started</x:v>
      </x:c>
      <x:c r="O662" s="2" t="str">
        <x:f>'Data &amp; Reporting'!N662</x:f>
        <x:v>DR.FC.1.3.2026.CY4</x:v>
      </x:c>
      <x:c r="P662" s="2" t="n">
        <x:f>'Data &amp; Reporting'!O662</x:f>
        <x:v>0</x:v>
      </x:c>
      <x:c r="Q662" s="2" t="n">
        <x:f>SUBTOTAL(103,O662)</x:f>
        <x:v>1</x:v>
      </x:c>
      <x:c r="R662" s="2" t="n">
        <x:f>IF(AND(M662=1,OR(Dashboard!$B$7="All",Dashboard!$B$7='Cycles &amp; Guide'!$C$5),OR(Dashboard!$D$7="All",Dashboard!$D$7=B662),OR(Dashboard!$F$7="All",Dashboard!$F$7=C662),OR(Dashboard!$H$7="All",Dashboard!$H$7=D662),OR(Dashboard!$K$7="All",Dashboard!$K$7=E662)),1,0)</x:f>
        <x:v>1</x:v>
      </x:c>
      <x:c r="S662" s="2" t="n">
        <x:f>IF(R662=1,SUM($R$10:R662),0)</x:f>
        <x:v>328</x:v>
      </x:c>
      <x:c r="T662" s="2" t="str">
        <x:v>Data &amp; Reporting</x:v>
      </x:c>
      <x:c r="U662" s="2" t="n">
        <x:v>662</x:v>
      </x:c>
      <x:c r="V662" s="2" t="n">
        <x:f>IF(AND(M662=1,P662=0,ISNUMBER(J662),J662&lt;TODAY()),1,0)</x:f>
        <x:v>0</x:v>
      </x:c>
      <x:c r="W662" s="2" t="str">
        <x:f>'Data &amp; Reporting'!M662</x:f>
        <x:v>Task</x:v>
      </x:c>
    </x:row>
    <x:row r="663" ht="40" customHeight="1">
      <x:c r="A663" s="3" t="str">
        <x:f>HYPERLINK("#'Data &amp; Reporting'!A663","Open")</x:f>
        <x:v>Open</x:v>
      </x:c>
      <x:c r="B663" s="2" t="str">
        <x:f>'Data &amp; Reporting'!B663</x:f>
        <x:v>Cycle 4</x:v>
      </x:c>
      <x:c r="C663" s="2" t="str">
        <x:f>'Data &amp; Reporting'!C663</x:f>
        <x:v>Phase 1</x:v>
      </x:c>
      <x:c r="D663" s="2" t="str">
        <x:f>'Data &amp; Reporting'!D663</x:f>
        <x:v>FCM</x:v>
      </x:c>
      <x:c r="E663" s="2" t="str">
        <x:v>Data &amp; Reporting</x:v>
      </x:c>
      <x:c r="F663" s="56" t="str">
        <x:f>'Data &amp; Reporting'!E663</x:f>
        <x:v>DR.FC.1.3.C01</x:v>
      </x:c>
      <x:c r="G663" s="14" t="str">
        <x:f>'Data &amp; Reporting'!F663</x:f>
        <x:v>    Document date range extracted</x:v>
      </x:c>
      <x:c r="H663" s="2" t="str">
        <x:f>IF('Data &amp; Reporting'!G663="","",'Data &amp; Reporting'!G663)</x:f>
      </x:c>
      <x:c r="I663" s="12" t="str">
        <x:f>IF('Data &amp; Reporting'!H663="","",'Data &amp; Reporting'!H663)</x:f>
      </x:c>
      <x:c r="J663" s="12" t="str">
        <x:f>IF('Data &amp; Reporting'!I663="","",'Data &amp; Reporting'!I663)</x:f>
      </x:c>
      <x:c r="K663" s="12" t="str">
        <x:f>IF('Data &amp; Reporting'!J663="","",'Data &amp; Reporting'!J663)</x:f>
      </x:c>
      <x:c r="L663" s="2" t="str">
        <x:f>IF('Data &amp; Reporting'!K663="","",'Data &amp; Reporting'!K663)</x:f>
      </x:c>
      <x:c r="M663" s="2" t="n">
        <x:f>'Data &amp; Reporting'!Q663</x:f>
        <x:v>0</x:v>
      </x:c>
      <x:c r="N663" s="2" t="str">
        <x:f>'Data &amp; Reporting'!L663</x:f>
        <x:v>Open check</x:v>
      </x:c>
      <x:c r="O663" s="2" t="str">
        <x:f>'Data &amp; Reporting'!N663</x:f>
        <x:v>DR.FC.1.3.C01.2026.CY4</x:v>
      </x:c>
      <x:c r="P663" s="2" t="n">
        <x:f>'Data &amp; Reporting'!O663</x:f>
        <x:v>0</x:v>
      </x:c>
      <x:c r="Q663" s="2" t="n">
        <x:f>SUBTOTAL(103,O663)</x:f>
        <x:v>1</x:v>
      </x:c>
      <x:c r="R663" s="2" t="n">
        <x:f>IF(AND(M663=1,OR(Dashboard!$B$7="All",Dashboard!$B$7='Cycles &amp; Guide'!$C$5),OR(Dashboard!$D$7="All",Dashboard!$D$7=B663),OR(Dashboard!$F$7="All",Dashboard!$F$7=C663),OR(Dashboard!$H$7="All",Dashboard!$H$7=D663),OR(Dashboard!$K$7="All",Dashboard!$K$7=E663)),1,0)</x:f>
        <x:v>0</x:v>
      </x:c>
      <x:c r="S663" s="2" t="n">
        <x:f>IF(R663=1,SUM($R$10:R663),0)</x:f>
        <x:v>0</x:v>
      </x:c>
      <x:c r="T663" s="2" t="str">
        <x:v>Data &amp; Reporting</x:v>
      </x:c>
      <x:c r="U663" s="2" t="n">
        <x:v>663</x:v>
      </x:c>
      <x:c r="V663" s="2" t="n">
        <x:f>IF(AND(M663=1,P663=0,ISNUMBER(J663),J663&lt;TODAY()),1,0)</x:f>
        <x:v>0</x:v>
      </x:c>
      <x:c r="W663" s="2" t="str">
        <x:f>'Data &amp; Reporting'!M663</x:f>
        <x:v>Checklist</x:v>
      </x:c>
    </x:row>
    <x:row r="664" ht="40" customHeight="1">
      <x:c r="A664" s="3" t="str">
        <x:f>HYPERLINK("#'Data &amp; Reporting'!A664","Open")</x:f>
        <x:v>Open</x:v>
      </x:c>
      <x:c r="B664" s="2" t="str">
        <x:f>'Data &amp; Reporting'!B664</x:f>
        <x:v>Cycle 4</x:v>
      </x:c>
      <x:c r="C664" s="2" t="str">
        <x:f>'Data &amp; Reporting'!C664</x:f>
        <x:v>Phase 1</x:v>
      </x:c>
      <x:c r="D664" s="2" t="str">
        <x:f>'Data &amp; Reporting'!D664</x:f>
        <x:v>FCM</x:v>
      </x:c>
      <x:c r="E664" s="2" t="str">
        <x:v>Data &amp; Reporting</x:v>
      </x:c>
      <x:c r="F664" s="56" t="str">
        <x:f>'Data &amp; Reporting'!E664</x:f>
        <x:v>DR.FC.1.3.C02</x:v>
      </x:c>
      <x:c r="G664" s="14" t="str">
        <x:f>'Data &amp; Reporting'!F664</x:f>
        <x:v>    Document date of data pull</x:v>
      </x:c>
      <x:c r="H664" s="2" t="str">
        <x:f>IF('Data &amp; Reporting'!G664="","",'Data &amp; Reporting'!G664)</x:f>
      </x:c>
      <x:c r="I664" s="12" t="str">
        <x:f>IF('Data &amp; Reporting'!H664="","",'Data &amp; Reporting'!H664)</x:f>
      </x:c>
      <x:c r="J664" s="12" t="str">
        <x:f>IF('Data &amp; Reporting'!I664="","",'Data &amp; Reporting'!I664)</x:f>
      </x:c>
      <x:c r="K664" s="12" t="str">
        <x:f>IF('Data &amp; Reporting'!J664="","",'Data &amp; Reporting'!J664)</x:f>
      </x:c>
      <x:c r="L664" s="2" t="str">
        <x:f>IF('Data &amp; Reporting'!K664="","",'Data &amp; Reporting'!K664)</x:f>
      </x:c>
      <x:c r="M664" s="2" t="n">
        <x:f>'Data &amp; Reporting'!Q664</x:f>
        <x:v>0</x:v>
      </x:c>
      <x:c r="N664" s="2" t="str">
        <x:f>'Data &amp; Reporting'!L664</x:f>
        <x:v>Open check</x:v>
      </x:c>
      <x:c r="O664" s="2" t="str">
        <x:f>'Data &amp; Reporting'!N664</x:f>
        <x:v>DR.FC.1.3.C02.2026.CY4</x:v>
      </x:c>
      <x:c r="P664" s="2" t="n">
        <x:f>'Data &amp; Reporting'!O664</x:f>
        <x:v>0</x:v>
      </x:c>
      <x:c r="Q664" s="2" t="n">
        <x:f>SUBTOTAL(103,O664)</x:f>
        <x:v>1</x:v>
      </x:c>
      <x:c r="R664" s="2" t="n">
        <x:f>IF(AND(M664=1,OR(Dashboard!$B$7="All",Dashboard!$B$7='Cycles &amp; Guide'!$C$5),OR(Dashboard!$D$7="All",Dashboard!$D$7=B664),OR(Dashboard!$F$7="All",Dashboard!$F$7=C664),OR(Dashboard!$H$7="All",Dashboard!$H$7=D664),OR(Dashboard!$K$7="All",Dashboard!$K$7=E664)),1,0)</x:f>
        <x:v>0</x:v>
      </x:c>
      <x:c r="S664" s="2" t="n">
        <x:f>IF(R664=1,SUM($R$10:R664),0)</x:f>
        <x:v>0</x:v>
      </x:c>
      <x:c r="T664" s="2" t="str">
        <x:v>Data &amp; Reporting</x:v>
      </x:c>
      <x:c r="U664" s="2" t="n">
        <x:v>664</x:v>
      </x:c>
      <x:c r="V664" s="2" t="n">
        <x:f>IF(AND(M664=1,P664=0,ISNUMBER(J664),J664&lt;TODAY()),1,0)</x:f>
        <x:v>0</x:v>
      </x:c>
      <x:c r="W664" s="2" t="str">
        <x:f>'Data &amp; Reporting'!M664</x:f>
        <x:v>Checklist</x:v>
      </x:c>
    </x:row>
    <x:row r="665" ht="40" customHeight="1">
      <x:c r="A665" s="3" t="str">
        <x:f>HYPERLINK("#'Data &amp; Reporting'!A665","Open")</x:f>
        <x:v>Open</x:v>
      </x:c>
      <x:c r="B665" s="2" t="str">
        <x:f>'Data &amp; Reporting'!B665</x:f>
        <x:v>Cycle 4</x:v>
      </x:c>
      <x:c r="C665" s="2" t="str">
        <x:f>'Data &amp; Reporting'!C665</x:f>
        <x:v>Phase 1</x:v>
      </x:c>
      <x:c r="D665" s="2" t="str">
        <x:f>'Data &amp; Reporting'!D665</x:f>
        <x:v>FCM</x:v>
      </x:c>
      <x:c r="E665" s="2" t="str">
        <x:v>Data &amp; Reporting</x:v>
      </x:c>
      <x:c r="F665" s="56" t="str">
        <x:f>'Data &amp; Reporting'!E665</x:f>
        <x:v>DR.FC.1.3.C03</x:v>
      </x:c>
      <x:c r="G665" s="14" t="str">
        <x:f>'Data &amp; Reporting'!F665</x:f>
        <x:v>    Document population details</x:v>
      </x:c>
      <x:c r="H665" s="2" t="str">
        <x:f>IF('Data &amp; Reporting'!G665="","",'Data &amp; Reporting'!G665)</x:f>
      </x:c>
      <x:c r="I665" s="12" t="str">
        <x:f>IF('Data &amp; Reporting'!H665="","",'Data &amp; Reporting'!H665)</x:f>
      </x:c>
      <x:c r="J665" s="12" t="str">
        <x:f>IF('Data &amp; Reporting'!I665="","",'Data &amp; Reporting'!I665)</x:f>
      </x:c>
      <x:c r="K665" s="12" t="str">
        <x:f>IF('Data &amp; Reporting'!J665="","",'Data &amp; Reporting'!J665)</x:f>
      </x:c>
      <x:c r="L665" s="2" t="str">
        <x:f>IF('Data &amp; Reporting'!K665="","",'Data &amp; Reporting'!K665)</x:f>
      </x:c>
      <x:c r="M665" s="2" t="n">
        <x:f>'Data &amp; Reporting'!Q665</x:f>
        <x:v>0</x:v>
      </x:c>
      <x:c r="N665" s="2" t="str">
        <x:f>'Data &amp; Reporting'!L665</x:f>
        <x:v>Open check</x:v>
      </x:c>
      <x:c r="O665" s="2" t="str">
        <x:f>'Data &amp; Reporting'!N665</x:f>
        <x:v>DR.FC.1.3.C03.2026.CY4</x:v>
      </x:c>
      <x:c r="P665" s="2" t="n">
        <x:f>'Data &amp; Reporting'!O665</x:f>
        <x:v>0</x:v>
      </x:c>
      <x:c r="Q665" s="2" t="n">
        <x:f>SUBTOTAL(103,O665)</x:f>
        <x:v>1</x:v>
      </x:c>
      <x:c r="R665" s="2" t="n">
        <x:f>IF(AND(M665=1,OR(Dashboard!$B$7="All",Dashboard!$B$7='Cycles &amp; Guide'!$C$5),OR(Dashboard!$D$7="All",Dashboard!$D$7=B665),OR(Dashboard!$F$7="All",Dashboard!$F$7=C665),OR(Dashboard!$H$7="All",Dashboard!$H$7=D665),OR(Dashboard!$K$7="All",Dashboard!$K$7=E665)),1,0)</x:f>
        <x:v>0</x:v>
      </x:c>
      <x:c r="S665" s="2" t="n">
        <x:f>IF(R665=1,SUM($R$10:R665),0)</x:f>
        <x:v>0</x:v>
      </x:c>
      <x:c r="T665" s="2" t="str">
        <x:v>Data &amp; Reporting</x:v>
      </x:c>
      <x:c r="U665" s="2" t="n">
        <x:v>665</x:v>
      </x:c>
      <x:c r="V665" s="2" t="n">
        <x:f>IF(AND(M665=1,P665=0,ISNUMBER(J665),J665&lt;TODAY()),1,0)</x:f>
        <x:v>0</x:v>
      </x:c>
      <x:c r="W665" s="2" t="str">
        <x:f>'Data &amp; Reporting'!M665</x:f>
        <x:v>Checklist</x:v>
      </x:c>
    </x:row>
    <x:row r="666" ht="40" customHeight="1">
      <x:c r="A666" s="3" t="str">
        <x:f>HYPERLINK("#'Data &amp; Reporting'!A666","Open")</x:f>
        <x:v>Open</x:v>
      </x:c>
      <x:c r="B666" s="2" t="str">
        <x:f>'Data &amp; Reporting'!B666</x:f>
        <x:v>Cycle 4</x:v>
      </x:c>
      <x:c r="C666" s="2" t="str">
        <x:f>'Data &amp; Reporting'!C666</x:f>
        <x:v>Phase 1</x:v>
      </x:c>
      <x:c r="D666" s="2" t="str">
        <x:f>'Data &amp; Reporting'!D666</x:f>
        <x:v>FCM</x:v>
      </x:c>
      <x:c r="E666" s="2" t="str">
        <x:v>Data &amp; Reporting</x:v>
      </x:c>
      <x:c r="F666" s="56" t="str">
        <x:f>'Data &amp; Reporting'!E666</x:f>
        <x:v>DR.FC.1.3.C04</x:v>
      </x:c>
      <x:c r="G666" s="14" t="str">
        <x:f>'Data &amp; Reporting'!F666</x:f>
        <x:v>    Validate no data is missing</x:v>
      </x:c>
      <x:c r="H666" s="2" t="str">
        <x:f>IF('Data &amp; Reporting'!G666="","",'Data &amp; Reporting'!G666)</x:f>
      </x:c>
      <x:c r="I666" s="12" t="str">
        <x:f>IF('Data &amp; Reporting'!H666="","",'Data &amp; Reporting'!H666)</x:f>
      </x:c>
      <x:c r="J666" s="12" t="str">
        <x:f>IF('Data &amp; Reporting'!I666="","",'Data &amp; Reporting'!I666)</x:f>
      </x:c>
      <x:c r="K666" s="12" t="str">
        <x:f>IF('Data &amp; Reporting'!J666="","",'Data &amp; Reporting'!J666)</x:f>
      </x:c>
      <x:c r="L666" s="2" t="str">
        <x:f>IF('Data &amp; Reporting'!K666="","",'Data &amp; Reporting'!K666)</x:f>
      </x:c>
      <x:c r="M666" s="2" t="n">
        <x:f>'Data &amp; Reporting'!Q666</x:f>
        <x:v>0</x:v>
      </x:c>
      <x:c r="N666" s="2" t="str">
        <x:f>'Data &amp; Reporting'!L666</x:f>
        <x:v>Open check</x:v>
      </x:c>
      <x:c r="O666" s="2" t="str">
        <x:f>'Data &amp; Reporting'!N666</x:f>
        <x:v>DR.FC.1.3.C04.2026.CY4</x:v>
      </x:c>
      <x:c r="P666" s="2" t="n">
        <x:f>'Data &amp; Reporting'!O666</x:f>
        <x:v>0</x:v>
      </x:c>
      <x:c r="Q666" s="2" t="n">
        <x:f>SUBTOTAL(103,O666)</x:f>
        <x:v>1</x:v>
      </x:c>
      <x:c r="R666" s="2" t="n">
        <x:f>IF(AND(M666=1,OR(Dashboard!$B$7="All",Dashboard!$B$7='Cycles &amp; Guide'!$C$5),OR(Dashboard!$D$7="All",Dashboard!$D$7=B666),OR(Dashboard!$F$7="All",Dashboard!$F$7=C666),OR(Dashboard!$H$7="All",Dashboard!$H$7=D666),OR(Dashboard!$K$7="All",Dashboard!$K$7=E666)),1,0)</x:f>
        <x:v>0</x:v>
      </x:c>
      <x:c r="S666" s="2" t="n">
        <x:f>IF(R666=1,SUM($R$10:R666),0)</x:f>
        <x:v>0</x:v>
      </x:c>
      <x:c r="T666" s="2" t="str">
        <x:v>Data &amp; Reporting</x:v>
      </x:c>
      <x:c r="U666" s="2" t="n">
        <x:v>666</x:v>
      </x:c>
      <x:c r="V666" s="2" t="n">
        <x:f>IF(AND(M666=1,P666=0,ISNUMBER(J666),J666&lt;TODAY()),1,0)</x:f>
        <x:v>0</x:v>
      </x:c>
      <x:c r="W666" s="2" t="str">
        <x:f>'Data &amp; Reporting'!M666</x:f>
        <x:v>Checklist</x:v>
      </x:c>
    </x:row>
    <x:row r="667" ht="40" customHeight="1">
      <x:c r="A667" s="3" t="str">
        <x:f>HYPERLINK("#'Data &amp; Reporting'!A667","Open")</x:f>
        <x:v>Open</x:v>
      </x:c>
      <x:c r="B667" s="2" t="str">
        <x:f>'Data &amp; Reporting'!B667</x:f>
        <x:v>Cycle 4</x:v>
      </x:c>
      <x:c r="C667" s="2" t="str">
        <x:f>'Data &amp; Reporting'!C667</x:f>
        <x:v>Phase 1</x:v>
      </x:c>
      <x:c r="D667" s="2" t="str">
        <x:f>'Data &amp; Reporting'!D667</x:f>
        <x:v>FCM</x:v>
      </x:c>
      <x:c r="E667" s="2" t="str">
        <x:v>Data &amp; Reporting</x:v>
      </x:c>
      <x:c r="F667" s="56" t="str">
        <x:f>'Data &amp; Reporting'!E667</x:f>
        <x:v>DR.FC.1.3.C05</x:v>
      </x:c>
      <x:c r="G667" s="14" t="str">
        <x:f>'Data &amp; Reporting'!F667</x:f>
        <x:v>    Validate accuracy of data</x:v>
      </x:c>
      <x:c r="H667" s="2" t="str">
        <x:f>IF('Data &amp; Reporting'!G667="","",'Data &amp; Reporting'!G667)</x:f>
      </x:c>
      <x:c r="I667" s="12" t="str">
        <x:f>IF('Data &amp; Reporting'!H667="","",'Data &amp; Reporting'!H667)</x:f>
      </x:c>
      <x:c r="J667" s="12" t="str">
        <x:f>IF('Data &amp; Reporting'!I667="","",'Data &amp; Reporting'!I667)</x:f>
      </x:c>
      <x:c r="K667" s="12" t="str">
        <x:f>IF('Data &amp; Reporting'!J667="","",'Data &amp; Reporting'!J667)</x:f>
      </x:c>
      <x:c r="L667" s="2" t="str">
        <x:f>IF('Data &amp; Reporting'!K667="","",'Data &amp; Reporting'!K667)</x:f>
      </x:c>
      <x:c r="M667" s="2" t="n">
        <x:f>'Data &amp; Reporting'!Q667</x:f>
        <x:v>0</x:v>
      </x:c>
      <x:c r="N667" s="2" t="str">
        <x:f>'Data &amp; Reporting'!L667</x:f>
        <x:v>Open check</x:v>
      </x:c>
      <x:c r="O667" s="2" t="str">
        <x:f>'Data &amp; Reporting'!N667</x:f>
        <x:v>DR.FC.1.3.C05.2026.CY4</x:v>
      </x:c>
      <x:c r="P667" s="2" t="n">
        <x:f>'Data &amp; Reporting'!O667</x:f>
        <x:v>0</x:v>
      </x:c>
      <x:c r="Q667" s="2" t="n">
        <x:f>SUBTOTAL(103,O667)</x:f>
        <x:v>1</x:v>
      </x:c>
      <x:c r="R667" s="2" t="n">
        <x:f>IF(AND(M667=1,OR(Dashboard!$B$7="All",Dashboard!$B$7='Cycles &amp; Guide'!$C$5),OR(Dashboard!$D$7="All",Dashboard!$D$7=B667),OR(Dashboard!$F$7="All",Dashboard!$F$7=C667),OR(Dashboard!$H$7="All",Dashboard!$H$7=D667),OR(Dashboard!$K$7="All",Dashboard!$K$7=E667)),1,0)</x:f>
        <x:v>0</x:v>
      </x:c>
      <x:c r="S667" s="2" t="n">
        <x:f>IF(R667=1,SUM($R$10:R667),0)</x:f>
        <x:v>0</x:v>
      </x:c>
      <x:c r="T667" s="2" t="str">
        <x:v>Data &amp; Reporting</x:v>
      </x:c>
      <x:c r="U667" s="2" t="n">
        <x:v>667</x:v>
      </x:c>
      <x:c r="V667" s="2" t="n">
        <x:f>IF(AND(M667=1,P667=0,ISNUMBER(J667),J667&lt;TODAY()),1,0)</x:f>
        <x:v>0</x:v>
      </x:c>
      <x:c r="W667" s="2" t="str">
        <x:f>'Data &amp; Reporting'!M667</x:f>
        <x:v>Checklist</x:v>
      </x:c>
    </x:row>
    <x:row r="668" ht="40" customHeight="1">
      <x:c r="A668" s="3" t="str">
        <x:f>HYPERLINK("#'Data &amp; Reporting'!A668","Open")</x:f>
        <x:v>Open</x:v>
      </x:c>
      <x:c r="B668" s="2" t="str">
        <x:f>'Data &amp; Reporting'!B668</x:f>
        <x:v>Cycle 4</x:v>
      </x:c>
      <x:c r="C668" s="2" t="str">
        <x:f>'Data &amp; Reporting'!C668</x:f>
        <x:v>Phase 1</x:v>
      </x:c>
      <x:c r="D668" s="2" t="str">
        <x:f>'Data &amp; Reporting'!D668</x:f>
        <x:v>FCM</x:v>
      </x:c>
      <x:c r="E668" s="2" t="str">
        <x:v>Data &amp; Reporting</x:v>
      </x:c>
      <x:c r="F668" s="56" t="str">
        <x:f>'Data &amp; Reporting'!E668</x:f>
        <x:v>DR.FC.1.3.C06</x:v>
      </x:c>
      <x:c r="G668" s="14" t="str">
        <x:f>'Data &amp; Reporting'!F668</x:f>
        <x:v>    Validate no duplicate data is provided</x:v>
      </x:c>
      <x:c r="H668" s="2" t="str">
        <x:f>IF('Data &amp; Reporting'!G668="","",'Data &amp; Reporting'!G668)</x:f>
      </x:c>
      <x:c r="I668" s="12" t="str">
        <x:f>IF('Data &amp; Reporting'!H668="","",'Data &amp; Reporting'!H668)</x:f>
      </x:c>
      <x:c r="J668" s="12" t="str">
        <x:f>IF('Data &amp; Reporting'!I668="","",'Data &amp; Reporting'!I668)</x:f>
      </x:c>
      <x:c r="K668" s="12" t="str">
        <x:f>IF('Data &amp; Reporting'!J668="","",'Data &amp; Reporting'!J668)</x:f>
      </x:c>
      <x:c r="L668" s="2" t="str">
        <x:f>IF('Data &amp; Reporting'!K668="","",'Data &amp; Reporting'!K668)</x:f>
      </x:c>
      <x:c r="M668" s="2" t="n">
        <x:f>'Data &amp; Reporting'!Q668</x:f>
        <x:v>0</x:v>
      </x:c>
      <x:c r="N668" s="2" t="str">
        <x:f>'Data &amp; Reporting'!L668</x:f>
        <x:v>Open check</x:v>
      </x:c>
      <x:c r="O668" s="2" t="str">
        <x:f>'Data &amp; Reporting'!N668</x:f>
        <x:v>DR.FC.1.3.C06.2026.CY4</x:v>
      </x:c>
      <x:c r="P668" s="2" t="n">
        <x:f>'Data &amp; Reporting'!O668</x:f>
        <x:v>0</x:v>
      </x:c>
      <x:c r="Q668" s="2" t="n">
        <x:f>SUBTOTAL(103,O668)</x:f>
        <x:v>1</x:v>
      </x:c>
      <x:c r="R668" s="2" t="n">
        <x:f>IF(AND(M668=1,OR(Dashboard!$B$7="All",Dashboard!$B$7='Cycles &amp; Guide'!$C$5),OR(Dashboard!$D$7="All",Dashboard!$D$7=B668),OR(Dashboard!$F$7="All",Dashboard!$F$7=C668),OR(Dashboard!$H$7="All",Dashboard!$H$7=D668),OR(Dashboard!$K$7="All",Dashboard!$K$7=E668)),1,0)</x:f>
        <x:v>0</x:v>
      </x:c>
      <x:c r="S668" s="2" t="n">
        <x:f>IF(R668=1,SUM($R$10:R668),0)</x:f>
        <x:v>0</x:v>
      </x:c>
      <x:c r="T668" s="2" t="str">
        <x:v>Data &amp; Reporting</x:v>
      </x:c>
      <x:c r="U668" s="2" t="n">
        <x:v>668</x:v>
      </x:c>
      <x:c r="V668" s="2" t="n">
        <x:f>IF(AND(M668=1,P668=0,ISNUMBER(J668),J668&lt;TODAY()),1,0)</x:f>
        <x:v>0</x:v>
      </x:c>
      <x:c r="W668" s="2" t="str">
        <x:f>'Data &amp; Reporting'!M668</x:f>
        <x:v>Checklist</x:v>
      </x:c>
    </x:row>
    <x:row r="669" ht="40" customHeight="1">
      <x:c r="A669" s="3" t="str">
        <x:f>HYPERLINK("#'Data &amp; Reporting'!A669","Open")</x:f>
        <x:v>Open</x:v>
      </x:c>
      <x:c r="B669" s="2" t="str">
        <x:f>'Data &amp; Reporting'!B669</x:f>
        <x:v>Cycle 4</x:v>
      </x:c>
      <x:c r="C669" s="2" t="str">
        <x:f>'Data &amp; Reporting'!C669</x:f>
        <x:v>Phase 1</x:v>
      </x:c>
      <x:c r="D669" s="2" t="str">
        <x:f>'Data &amp; Reporting'!D669</x:f>
        <x:v>FCM</x:v>
      </x:c>
      <x:c r="E669" s="2" t="str">
        <x:v>Data &amp; Reporting</x:v>
      </x:c>
      <x:c r="F669" s="56" t="str">
        <x:f>'Data &amp; Reporting'!E669</x:f>
        <x:v>DR.FC.1.3.C07</x:v>
      </x:c>
      <x:c r="G669" s="14" t="str">
        <x:f>'Data &amp; Reporting'!F669</x:f>
        <x:v>    Document any data exclusions along with justification (as needed)</x:v>
      </x:c>
      <x:c r="H669" s="2" t="str">
        <x:f>IF('Data &amp; Reporting'!G669="","",'Data &amp; Reporting'!G669)</x:f>
      </x:c>
      <x:c r="I669" s="12" t="str">
        <x:f>IF('Data &amp; Reporting'!H669="","",'Data &amp; Reporting'!H669)</x:f>
      </x:c>
      <x:c r="J669" s="12" t="str">
        <x:f>IF('Data &amp; Reporting'!I669="","",'Data &amp; Reporting'!I669)</x:f>
      </x:c>
      <x:c r="K669" s="12" t="str">
        <x:f>IF('Data &amp; Reporting'!J669="","",'Data &amp; Reporting'!J669)</x:f>
      </x:c>
      <x:c r="L669" s="2" t="str">
        <x:f>IF('Data &amp; Reporting'!K669="","",'Data &amp; Reporting'!K669)</x:f>
      </x:c>
      <x:c r="M669" s="2" t="n">
        <x:f>'Data &amp; Reporting'!Q669</x:f>
        <x:v>0</x:v>
      </x:c>
      <x:c r="N669" s="2" t="str">
        <x:f>'Data &amp; Reporting'!L669</x:f>
        <x:v>Open check</x:v>
      </x:c>
      <x:c r="O669" s="2" t="str">
        <x:f>'Data &amp; Reporting'!N669</x:f>
        <x:v>DR.FC.1.3.C07.2026.CY4</x:v>
      </x:c>
      <x:c r="P669" s="2" t="n">
        <x:f>'Data &amp; Reporting'!O669</x:f>
        <x:v>0</x:v>
      </x:c>
      <x:c r="Q669" s="2" t="n">
        <x:f>SUBTOTAL(103,O669)</x:f>
        <x:v>1</x:v>
      </x:c>
      <x:c r="R669" s="2" t="n">
        <x:f>IF(AND(M669=1,OR(Dashboard!$B$7="All",Dashboard!$B$7='Cycles &amp; Guide'!$C$5),OR(Dashboard!$D$7="All",Dashboard!$D$7=B669),OR(Dashboard!$F$7="All",Dashboard!$F$7=C669),OR(Dashboard!$H$7="All",Dashboard!$H$7=D669),OR(Dashboard!$K$7="All",Dashboard!$K$7=E669)),1,0)</x:f>
        <x:v>0</x:v>
      </x:c>
      <x:c r="S669" s="2" t="n">
        <x:f>IF(R669=1,SUM($R$10:R669),0)</x:f>
        <x:v>0</x:v>
      </x:c>
      <x:c r="T669" s="2" t="str">
        <x:v>Data &amp; Reporting</x:v>
      </x:c>
      <x:c r="U669" s="2" t="n">
        <x:v>669</x:v>
      </x:c>
      <x:c r="V669" s="2" t="n">
        <x:f>IF(AND(M669=1,P669=0,ISNUMBER(J669),J669&lt;TODAY()),1,0)</x:f>
        <x:v>0</x:v>
      </x:c>
      <x:c r="W669" s="2" t="str">
        <x:f>'Data &amp; Reporting'!M669</x:f>
        <x:v>Checklist</x:v>
      </x:c>
    </x:row>
    <x:row r="670" ht="40" customHeight="1">
      <x:c r="A670" s="3" t="str">
        <x:f>HYPERLINK("#'Data &amp; Reporting'!A670","Open")</x:f>
        <x:v>Open</x:v>
      </x:c>
      <x:c r="B670" s="2" t="str">
        <x:f>'Data &amp; Reporting'!B670</x:f>
        <x:v>Cycle 4</x:v>
      </x:c>
      <x:c r="C670" s="2" t="str">
        <x:f>'Data &amp; Reporting'!C670</x:f>
        <x:v>Phase 1</x:v>
      </x:c>
      <x:c r="D670" s="2" t="str">
        <x:f>'Data &amp; Reporting'!D670</x:f>
        <x:v>FCM</x:v>
      </x:c>
      <x:c r="E670" s="2" t="str">
        <x:v>Data &amp; Reporting</x:v>
      </x:c>
      <x:c r="F670" s="56" t="str">
        <x:f>'Data &amp; Reporting'!E670</x:f>
        <x:v>DR.FC.1.3.C08</x:v>
      </x:c>
      <x:c r="G670" s="14" t="str">
        <x:f>'Data &amp; Reporting'!F670</x:f>
        <x:v>    Document any assumptions made with the data (as needed)</x:v>
      </x:c>
      <x:c r="H670" s="2" t="str">
        <x:f>IF('Data &amp; Reporting'!G670="","",'Data &amp; Reporting'!G670)</x:f>
      </x:c>
      <x:c r="I670" s="12" t="str">
        <x:f>IF('Data &amp; Reporting'!H670="","",'Data &amp; Reporting'!H670)</x:f>
      </x:c>
      <x:c r="J670" s="12" t="str">
        <x:f>IF('Data &amp; Reporting'!I670="","",'Data &amp; Reporting'!I670)</x:f>
      </x:c>
      <x:c r="K670" s="12" t="str">
        <x:f>IF('Data &amp; Reporting'!J670="","",'Data &amp; Reporting'!J670)</x:f>
      </x:c>
      <x:c r="L670" s="2" t="str">
        <x:f>IF('Data &amp; Reporting'!K670="","",'Data &amp; Reporting'!K670)</x:f>
      </x:c>
      <x:c r="M670" s="2" t="n">
        <x:f>'Data &amp; Reporting'!Q670</x:f>
        <x:v>0</x:v>
      </x:c>
      <x:c r="N670" s="2" t="str">
        <x:f>'Data &amp; Reporting'!L670</x:f>
        <x:v>Open check</x:v>
      </x:c>
      <x:c r="O670" s="2" t="str">
        <x:f>'Data &amp; Reporting'!N670</x:f>
        <x:v>DR.FC.1.3.C08.2026.CY4</x:v>
      </x:c>
      <x:c r="P670" s="2" t="n">
        <x:f>'Data &amp; Reporting'!O670</x:f>
        <x:v>0</x:v>
      </x:c>
      <x:c r="Q670" s="2" t="n">
        <x:f>SUBTOTAL(103,O670)</x:f>
        <x:v>1</x:v>
      </x:c>
      <x:c r="R670" s="2" t="n">
        <x:f>IF(AND(M670=1,OR(Dashboard!$B$7="All",Dashboard!$B$7='Cycles &amp; Guide'!$C$5),OR(Dashboard!$D$7="All",Dashboard!$D$7=B670),OR(Dashboard!$F$7="All",Dashboard!$F$7=C670),OR(Dashboard!$H$7="All",Dashboard!$H$7=D670),OR(Dashboard!$K$7="All",Dashboard!$K$7=E670)),1,0)</x:f>
        <x:v>0</x:v>
      </x:c>
      <x:c r="S670" s="2" t="n">
        <x:f>IF(R670=1,SUM($R$10:R670),0)</x:f>
        <x:v>0</x:v>
      </x:c>
      <x:c r="T670" s="2" t="str">
        <x:v>Data &amp; Reporting</x:v>
      </x:c>
      <x:c r="U670" s="2" t="n">
        <x:v>670</x:v>
      </x:c>
      <x:c r="V670" s="2" t="n">
        <x:f>IF(AND(M670=1,P670=0,ISNUMBER(J670),J670&lt;TODAY()),1,0)</x:f>
        <x:v>0</x:v>
      </x:c>
      <x:c r="W670" s="2" t="str">
        <x:f>'Data &amp; Reporting'!M670</x:f>
        <x:v>Checklist</x:v>
      </x:c>
    </x:row>
    <x:row r="671" ht="40" customHeight="1">
      <x:c r="A671" s="3" t="str">
        <x:f>HYPERLINK("#'Data &amp; Reporting'!A671","Open")</x:f>
        <x:v>Open</x:v>
      </x:c>
      <x:c r="B671" s="2" t="str">
        <x:f>'Data &amp; Reporting'!B671</x:f>
        <x:v>Cycle 4</x:v>
      </x:c>
      <x:c r="C671" s="2" t="str">
        <x:f>'Data &amp; Reporting'!C671</x:f>
        <x:v>Phase 1</x:v>
      </x:c>
      <x:c r="D671" s="2" t="str">
        <x:f>'Data &amp; Reporting'!D671</x:f>
        <x:v>FCM</x:v>
      </x:c>
      <x:c r="E671" s="2" t="str">
        <x:v>Data &amp; Reporting</x:v>
      </x:c>
      <x:c r="F671" s="56" t="str">
        <x:f>'Data &amp; Reporting'!E671</x:f>
        <x:v>DR.FC.1.3.C09</x:v>
      </x:c>
      <x:c r="G671" s="14" t="str">
        <x:f>'Data &amp; Reporting'!F671</x:f>
        <x:v>    Document any data limitations or constraints clearly (as needed)</x:v>
      </x:c>
      <x:c r="H671" s="2" t="str">
        <x:f>IF('Data &amp; Reporting'!G671="","",'Data &amp; Reporting'!G671)</x:f>
      </x:c>
      <x:c r="I671" s="12" t="str">
        <x:f>IF('Data &amp; Reporting'!H671="","",'Data &amp; Reporting'!H671)</x:f>
      </x:c>
      <x:c r="J671" s="12" t="str">
        <x:f>IF('Data &amp; Reporting'!I671="","",'Data &amp; Reporting'!I671)</x:f>
      </x:c>
      <x:c r="K671" s="12" t="str">
        <x:f>IF('Data &amp; Reporting'!J671="","",'Data &amp; Reporting'!J671)</x:f>
      </x:c>
      <x:c r="L671" s="2" t="str">
        <x:f>IF('Data &amp; Reporting'!K671="","",'Data &amp; Reporting'!K671)</x:f>
      </x:c>
      <x:c r="M671" s="2" t="n">
        <x:f>'Data &amp; Reporting'!Q671</x:f>
        <x:v>0</x:v>
      </x:c>
      <x:c r="N671" s="2" t="str">
        <x:f>'Data &amp; Reporting'!L671</x:f>
        <x:v>Open check</x:v>
      </x:c>
      <x:c r="O671" s="2" t="str">
        <x:f>'Data &amp; Reporting'!N671</x:f>
        <x:v>DR.FC.1.3.C09.2026.CY4</x:v>
      </x:c>
      <x:c r="P671" s="2" t="n">
        <x:f>'Data &amp; Reporting'!O671</x:f>
        <x:v>0</x:v>
      </x:c>
      <x:c r="Q671" s="2" t="n">
        <x:f>SUBTOTAL(103,O671)</x:f>
        <x:v>1</x:v>
      </x:c>
      <x:c r="R671" s="2" t="n">
        <x:f>IF(AND(M671=1,OR(Dashboard!$B$7="All",Dashboard!$B$7='Cycles &amp; Guide'!$C$5),OR(Dashboard!$D$7="All",Dashboard!$D$7=B671),OR(Dashboard!$F$7="All",Dashboard!$F$7=C671),OR(Dashboard!$H$7="All",Dashboard!$H$7=D671),OR(Dashboard!$K$7="All",Dashboard!$K$7=E671)),1,0)</x:f>
        <x:v>0</x:v>
      </x:c>
      <x:c r="S671" s="2" t="n">
        <x:f>IF(R671=1,SUM($R$10:R671),0)</x:f>
        <x:v>0</x:v>
      </x:c>
      <x:c r="T671" s="2" t="str">
        <x:v>Data &amp; Reporting</x:v>
      </x:c>
      <x:c r="U671" s="2" t="n">
        <x:v>671</x:v>
      </x:c>
      <x:c r="V671" s="2" t="n">
        <x:f>IF(AND(M671=1,P671=0,ISNUMBER(J671),J671&lt;TODAY()),1,0)</x:f>
        <x:v>0</x:v>
      </x:c>
      <x:c r="W671" s="2" t="str">
        <x:f>'Data &amp; Reporting'!M671</x:f>
        <x:v>Checklist</x:v>
      </x:c>
    </x:row>
    <x:row r="672" ht="40" customHeight="1">
      <x:c r="A672" s="3" t="str">
        <x:f>HYPERLINK("#'Data &amp; Reporting'!A672","Open")</x:f>
        <x:v>Open</x:v>
      </x:c>
      <x:c r="B672" s="2" t="str">
        <x:f>'Data &amp; Reporting'!B672</x:f>
        <x:v>Cycle 4</x:v>
      </x:c>
      <x:c r="C672" s="2" t="str">
        <x:f>'Data &amp; Reporting'!C672</x:f>
        <x:v>Phase 1</x:v>
      </x:c>
      <x:c r="D672" s="2" t="str">
        <x:f>'Data &amp; Reporting'!D672</x:f>
        <x:v>FCM</x:v>
      </x:c>
      <x:c r="E672" s="2" t="str">
        <x:v>Data &amp; Reporting</x:v>
      </x:c>
      <x:c r="F672" s="56" t="str">
        <x:f>'Data &amp; Reporting'!E672</x:f>
        <x:v>DR.FC.1.3.C10</x:v>
      </x:c>
      <x:c r="G672" s="14" t="str">
        <x:f>'Data &amp; Reporting'!F672</x:f>
        <x:v>    Document data dictionary or field definitions for columns/rows</x:v>
      </x:c>
      <x:c r="H672" s="2" t="str">
        <x:f>IF('Data &amp; Reporting'!G672="","",'Data &amp; Reporting'!G672)</x:f>
      </x:c>
      <x:c r="I672" s="12" t="str">
        <x:f>IF('Data &amp; Reporting'!H672="","",'Data &amp; Reporting'!H672)</x:f>
      </x:c>
      <x:c r="J672" s="12" t="str">
        <x:f>IF('Data &amp; Reporting'!I672="","",'Data &amp; Reporting'!I672)</x:f>
      </x:c>
      <x:c r="K672" s="12" t="str">
        <x:f>IF('Data &amp; Reporting'!J672="","",'Data &amp; Reporting'!J672)</x:f>
      </x:c>
      <x:c r="L672" s="2" t="str">
        <x:f>IF('Data &amp; Reporting'!K672="","",'Data &amp; Reporting'!K672)</x:f>
      </x:c>
      <x:c r="M672" s="2" t="n">
        <x:f>'Data &amp; Reporting'!Q672</x:f>
        <x:v>0</x:v>
      </x:c>
      <x:c r="N672" s="2" t="str">
        <x:f>'Data &amp; Reporting'!L672</x:f>
        <x:v>Open check</x:v>
      </x:c>
      <x:c r="O672" s="2" t="str">
        <x:f>'Data &amp; Reporting'!N672</x:f>
        <x:v>DR.FC.1.3.C10.2026.CY4</x:v>
      </x:c>
      <x:c r="P672" s="2" t="n">
        <x:f>'Data &amp; Reporting'!O672</x:f>
        <x:v>0</x:v>
      </x:c>
      <x:c r="Q672" s="2" t="n">
        <x:f>SUBTOTAL(103,O672)</x:f>
        <x:v>1</x:v>
      </x:c>
      <x:c r="R672" s="2" t="n">
        <x:f>IF(AND(M672=1,OR(Dashboard!$B$7="All",Dashboard!$B$7='Cycles &amp; Guide'!$C$5),OR(Dashboard!$D$7="All",Dashboard!$D$7=B672),OR(Dashboard!$F$7="All",Dashboard!$F$7=C672),OR(Dashboard!$H$7="All",Dashboard!$H$7=D672),OR(Dashboard!$K$7="All",Dashboard!$K$7=E672)),1,0)</x:f>
        <x:v>0</x:v>
      </x:c>
      <x:c r="S672" s="2" t="n">
        <x:f>IF(R672=1,SUM($R$10:R672),0)</x:f>
        <x:v>0</x:v>
      </x:c>
      <x:c r="T672" s="2" t="str">
        <x:v>Data &amp; Reporting</x:v>
      </x:c>
      <x:c r="U672" s="2" t="n">
        <x:v>672</x:v>
      </x:c>
      <x:c r="V672" s="2" t="n">
        <x:f>IF(AND(M672=1,P672=0,ISNUMBER(J672),J672&lt;TODAY()),1,0)</x:f>
        <x:v>0</x:v>
      </x:c>
      <x:c r="W672" s="2" t="str">
        <x:f>'Data &amp; Reporting'!M672</x:f>
        <x:v>Checklist</x:v>
      </x:c>
    </x:row>
    <x:row r="673" ht="40" customHeight="1">
      <x:c r="A673" s="3" t="str">
        <x:f>HYPERLINK("#'Data &amp; Reporting'!A673","Open")</x:f>
        <x:v>Open</x:v>
      </x:c>
      <x:c r="B673" s="2" t="str">
        <x:f>'Data &amp; Reporting'!B673</x:f>
        <x:v>Cycle 4</x:v>
      </x:c>
      <x:c r="C673" s="2" t="str">
        <x:f>'Data &amp; Reporting'!C673</x:f>
        <x:v>Phase 1</x:v>
      </x:c>
      <x:c r="D673" s="2" t="str">
        <x:f>'Data &amp; Reporting'!D673</x:f>
        <x:v>FCM</x:v>
      </x:c>
      <x:c r="E673" s="2" t="str">
        <x:v>Data &amp; Reporting</x:v>
      </x:c>
      <x:c r="F673" s="56" t="str">
        <x:f>'Data &amp; Reporting'!E673</x:f>
        <x:v>DR.FC.1.3.C11</x:v>
      </x:c>
      <x:c r="G673" s="14" t="str">
        <x:f>'Data &amp; Reporting'!F673</x:f>
        <x:v>    Document emerging trends, patterns, or concentrations along with supporting data</x:v>
      </x:c>
      <x:c r="H673" s="2" t="str">
        <x:f>IF('Data &amp; Reporting'!G673="","",'Data &amp; Reporting'!G673)</x:f>
      </x:c>
      <x:c r="I673" s="12" t="str">
        <x:f>IF('Data &amp; Reporting'!H673="","",'Data &amp; Reporting'!H673)</x:f>
      </x:c>
      <x:c r="J673" s="12" t="str">
        <x:f>IF('Data &amp; Reporting'!I673="","",'Data &amp; Reporting'!I673)</x:f>
      </x:c>
      <x:c r="K673" s="12" t="str">
        <x:f>IF('Data &amp; Reporting'!J673="","",'Data &amp; Reporting'!J673)</x:f>
      </x:c>
      <x:c r="L673" s="2" t="str">
        <x:f>IF('Data &amp; Reporting'!K673="","",'Data &amp; Reporting'!K673)</x:f>
      </x:c>
      <x:c r="M673" s="2" t="n">
        <x:f>'Data &amp; Reporting'!Q673</x:f>
        <x:v>0</x:v>
      </x:c>
      <x:c r="N673" s="2" t="str">
        <x:f>'Data &amp; Reporting'!L673</x:f>
        <x:v>Open check</x:v>
      </x:c>
      <x:c r="O673" s="2" t="str">
        <x:f>'Data &amp; Reporting'!N673</x:f>
        <x:v>DR.FC.1.3.C11.2026.CY4</x:v>
      </x:c>
      <x:c r="P673" s="2" t="n">
        <x:f>'Data &amp; Reporting'!O673</x:f>
        <x:v>0</x:v>
      </x:c>
      <x:c r="Q673" s="2" t="n">
        <x:f>SUBTOTAL(103,O673)</x:f>
        <x:v>1</x:v>
      </x:c>
      <x:c r="R673" s="2" t="n">
        <x:f>IF(AND(M673=1,OR(Dashboard!$B$7="All",Dashboard!$B$7='Cycles &amp; Guide'!$C$5),OR(Dashboard!$D$7="All",Dashboard!$D$7=B673),OR(Dashboard!$F$7="All",Dashboard!$F$7=C673),OR(Dashboard!$H$7="All",Dashboard!$H$7=D673),OR(Dashboard!$K$7="All",Dashboard!$K$7=E673)),1,0)</x:f>
        <x:v>0</x:v>
      </x:c>
      <x:c r="S673" s="2" t="n">
        <x:f>IF(R673=1,SUM($R$10:R673),0)</x:f>
        <x:v>0</x:v>
      </x:c>
      <x:c r="T673" s="2" t="str">
        <x:v>Data &amp; Reporting</x:v>
      </x:c>
      <x:c r="U673" s="2" t="n">
        <x:v>673</x:v>
      </x:c>
      <x:c r="V673" s="2" t="n">
        <x:f>IF(AND(M673=1,P673=0,ISNUMBER(J673),J673&lt;TODAY()),1,0)</x:f>
        <x:v>0</x:v>
      </x:c>
      <x:c r="W673" s="2" t="str">
        <x:f>'Data &amp; Reporting'!M673</x:f>
        <x:v>Checklist</x:v>
      </x:c>
    </x:row>
    <x:row r="674" ht="40" customHeight="1">
      <x:c r="A674" s="3" t="str">
        <x:f>HYPERLINK("#'Data &amp; Reporting'!A674","Open")</x:f>
        <x:v>Open</x:v>
      </x:c>
      <x:c r="B674" s="2" t="str">
        <x:f>'Data &amp; Reporting'!B674</x:f>
        <x:v>Cycle 4</x:v>
      </x:c>
      <x:c r="C674" s="2" t="str">
        <x:f>'Data &amp; Reporting'!C674</x:f>
        <x:v>Phase 1</x:v>
      </x:c>
      <x:c r="D674" s="2" t="str">
        <x:f>'Data &amp; Reporting'!D674</x:f>
        <x:v>FCM</x:v>
      </x:c>
      <x:c r="E674" s="2" t="str">
        <x:v>Data &amp; Reporting</x:v>
      </x:c>
      <x:c r="F674" s="56" t="str">
        <x:f>'Data &amp; Reporting'!E674</x:f>
        <x:v>DR.FC.1.3.C12</x:v>
      </x:c>
      <x:c r="G674" s="14" t="str">
        <x:f>'Data &amp; Reporting'!F674</x:f>
        <x:v>    Document any severe spikes in volume along with context (as needed)</x:v>
      </x:c>
      <x:c r="H674" s="2" t="str">
        <x:f>IF('Data &amp; Reporting'!G674="","",'Data &amp; Reporting'!G674)</x:f>
      </x:c>
      <x:c r="I674" s="12" t="str">
        <x:f>IF('Data &amp; Reporting'!H674="","",'Data &amp; Reporting'!H674)</x:f>
      </x:c>
      <x:c r="J674" s="12" t="str">
        <x:f>IF('Data &amp; Reporting'!I674="","",'Data &amp; Reporting'!I674)</x:f>
      </x:c>
      <x:c r="K674" s="12" t="str">
        <x:f>IF('Data &amp; Reporting'!J674="","",'Data &amp; Reporting'!J674)</x:f>
      </x:c>
      <x:c r="L674" s="2" t="str">
        <x:f>IF('Data &amp; Reporting'!K674="","",'Data &amp; Reporting'!K674)</x:f>
      </x:c>
      <x:c r="M674" s="2" t="n">
        <x:f>'Data &amp; Reporting'!Q674</x:f>
        <x:v>0</x:v>
      </x:c>
      <x:c r="N674" s="2" t="str">
        <x:f>'Data &amp; Reporting'!L674</x:f>
        <x:v>Open check</x:v>
      </x:c>
      <x:c r="O674" s="2" t="str">
        <x:f>'Data &amp; Reporting'!N674</x:f>
        <x:v>DR.FC.1.3.C12.2026.CY4</x:v>
      </x:c>
      <x:c r="P674" s="2" t="n">
        <x:f>'Data &amp; Reporting'!O674</x:f>
        <x:v>0</x:v>
      </x:c>
      <x:c r="Q674" s="2" t="n">
        <x:f>SUBTOTAL(103,O674)</x:f>
        <x:v>1</x:v>
      </x:c>
      <x:c r="R674" s="2" t="n">
        <x:f>IF(AND(M674=1,OR(Dashboard!$B$7="All",Dashboard!$B$7='Cycles &amp; Guide'!$C$5),OR(Dashboard!$D$7="All",Dashboard!$D$7=B674),OR(Dashboard!$F$7="All",Dashboard!$F$7=C674),OR(Dashboard!$H$7="All",Dashboard!$H$7=D674),OR(Dashboard!$K$7="All",Dashboard!$K$7=E674)),1,0)</x:f>
        <x:v>0</x:v>
      </x:c>
      <x:c r="S674" s="2" t="n">
        <x:f>IF(R674=1,SUM($R$10:R674),0)</x:f>
        <x:v>0</x:v>
      </x:c>
      <x:c r="T674" s="2" t="str">
        <x:v>Data &amp; Reporting</x:v>
      </x:c>
      <x:c r="U674" s="2" t="n">
        <x:v>674</x:v>
      </x:c>
      <x:c r="V674" s="2" t="n">
        <x:f>IF(AND(M674=1,P674=0,ISNUMBER(J674),J674&lt;TODAY()),1,0)</x:f>
        <x:v>0</x:v>
      </x:c>
      <x:c r="W674" s="2" t="str">
        <x:f>'Data &amp; Reporting'!M674</x:f>
        <x:v>Checklist</x:v>
      </x:c>
    </x:row>
    <x:row r="675" ht="40" customHeight="1">
      <x:c r="A675" s="3" t="str">
        <x:f>HYPERLINK("#'Data &amp; Reporting'!A675","Open")</x:f>
        <x:v>Open</x:v>
      </x:c>
      <x:c r="B675" s="2" t="str">
        <x:f>'Data &amp; Reporting'!B675</x:f>
        <x:v>Cycle 4</x:v>
      </x:c>
      <x:c r="C675" s="2" t="str">
        <x:f>'Data &amp; Reporting'!C675</x:f>
        <x:v>Phase 1</x:v>
      </x:c>
      <x:c r="D675" s="2" t="str">
        <x:f>'Data &amp; Reporting'!D675</x:f>
        <x:v>FCM</x:v>
      </x:c>
      <x:c r="E675" s="2" t="str">
        <x:v>Data &amp; Reporting</x:v>
      </x:c>
      <x:c r="F675" s="56" t="str">
        <x:f>'Data &amp; Reporting'!E675</x:f>
        <x:v>DR.FC.1.3.C13</x:v>
      </x:c>
      <x:c r="G675" s="14" t="str">
        <x:f>'Data &amp; Reporting'!F675</x:f>
        <x:v>    Document clear summary explaining how the data connects to the potential topic</x:v>
      </x:c>
      <x:c r="H675" s="2" t="str">
        <x:f>IF('Data &amp; Reporting'!G675="","",'Data &amp; Reporting'!G675)</x:f>
      </x:c>
      <x:c r="I675" s="12" t="str">
        <x:f>IF('Data &amp; Reporting'!H675="","",'Data &amp; Reporting'!H675)</x:f>
      </x:c>
      <x:c r="J675" s="12" t="str">
        <x:f>IF('Data &amp; Reporting'!I675="","",'Data &amp; Reporting'!I675)</x:f>
      </x:c>
      <x:c r="K675" s="12" t="str">
        <x:f>IF('Data &amp; Reporting'!J675="","",'Data &amp; Reporting'!J675)</x:f>
      </x:c>
      <x:c r="L675" s="2" t="str">
        <x:f>IF('Data &amp; Reporting'!K675="","",'Data &amp; Reporting'!K675)</x:f>
      </x:c>
      <x:c r="M675" s="2" t="n">
        <x:f>'Data &amp; Reporting'!Q675</x:f>
        <x:v>0</x:v>
      </x:c>
      <x:c r="N675" s="2" t="str">
        <x:f>'Data &amp; Reporting'!L675</x:f>
        <x:v>Open check</x:v>
      </x:c>
      <x:c r="O675" s="2" t="str">
        <x:f>'Data &amp; Reporting'!N675</x:f>
        <x:v>DR.FC.1.3.C13.2026.CY4</x:v>
      </x:c>
      <x:c r="P675" s="2" t="n">
        <x:f>'Data &amp; Reporting'!O675</x:f>
        <x:v>0</x:v>
      </x:c>
      <x:c r="Q675" s="2" t="n">
        <x:f>SUBTOTAL(103,O675)</x:f>
        <x:v>1</x:v>
      </x:c>
      <x:c r="R675" s="2" t="n">
        <x:f>IF(AND(M675=1,OR(Dashboard!$B$7="All",Dashboard!$B$7='Cycles &amp; Guide'!$C$5),OR(Dashboard!$D$7="All",Dashboard!$D$7=B675),OR(Dashboard!$F$7="All",Dashboard!$F$7=C675),OR(Dashboard!$H$7="All",Dashboard!$H$7=D675),OR(Dashboard!$K$7="All",Dashboard!$K$7=E675)),1,0)</x:f>
        <x:v>0</x:v>
      </x:c>
      <x:c r="S675" s="2" t="n">
        <x:f>IF(R675=1,SUM($R$10:R675),0)</x:f>
        <x:v>0</x:v>
      </x:c>
      <x:c r="T675" s="2" t="str">
        <x:v>Data &amp; Reporting</x:v>
      </x:c>
      <x:c r="U675" s="2" t="n">
        <x:v>675</x:v>
      </x:c>
      <x:c r="V675" s="2" t="n">
        <x:f>IF(AND(M675=1,P675=0,ISNUMBER(J675),J675&lt;TODAY()),1,0)</x:f>
        <x:v>0</x:v>
      </x:c>
      <x:c r="W675" s="2" t="str">
        <x:f>'Data &amp; Reporting'!M675</x:f>
        <x:v>Checklist</x:v>
      </x:c>
    </x:row>
    <x:row r="676" ht="40" customHeight="1">
      <x:c r="A676" s="3" t="str">
        <x:f>HYPERLINK("#'Data &amp; Reporting'!A676","Open")</x:f>
        <x:v>Open</x:v>
      </x:c>
      <x:c r="B676" s="2" t="str">
        <x:f>'Data &amp; Reporting'!B676</x:f>
        <x:v>Cycle 4</x:v>
      </x:c>
      <x:c r="C676" s="2" t="str">
        <x:f>'Data &amp; Reporting'!C676</x:f>
        <x:v>Phase 2</x:v>
      </x:c>
      <x:c r="D676" s="2" t="str">
        <x:f>'Data &amp; Reporting'!D676</x:f>
        <x:v>FCM</x:v>
      </x:c>
      <x:c r="E676" s="2" t="str">
        <x:v>Data &amp; Reporting</x:v>
      </x:c>
      <x:c r="F676" s="56" t="str">
        <x:f>'Data &amp; Reporting'!E676</x:f>
        <x:v>DR.FC.2.1</x:v>
      </x:c>
      <x:c r="G676" s="14" t="str">
        <x:f>'Data &amp; Reporting'!F676</x:f>
        <x:v>Ensure data is clean, structured, and usable without manipulation needed</x:v>
      </x:c>
      <x:c r="H676" s="2" t="str">
        <x:f>IF('Data &amp; Reporting'!G676="","",'Data &amp; Reporting'!G676)</x:f>
      </x:c>
      <x:c r="I676" s="12" t="str">
        <x:f>IF('Data &amp; Reporting'!H676="","",'Data &amp; Reporting'!H676)</x:f>
      </x:c>
      <x:c r="J676" s="12" t="n">
        <x:f>IF('Data &amp; Reporting'!I676="","",'Data &amp; Reporting'!I676)</x:f>
        <x:v>46387</x:v>
      </x:c>
      <x:c r="K676" s="12" t="str">
        <x:f>IF('Data &amp; Reporting'!J676="","",'Data &amp; Reporting'!J676)</x:f>
      </x:c>
      <x:c r="L676" s="2" t="str">
        <x:f>IF('Data &amp; Reporting'!K676="","",'Data &amp; Reporting'!K676)</x:f>
      </x:c>
      <x:c r="M676" s="2" t="n">
        <x:f>'Data &amp; Reporting'!Q676</x:f>
        <x:v>1</x:v>
      </x:c>
      <x:c r="N676" s="2" t="str">
        <x:f>'Data &amp; Reporting'!L676</x:f>
        <x:v>Not started</x:v>
      </x:c>
      <x:c r="O676" s="2" t="str">
        <x:f>'Data &amp; Reporting'!N676</x:f>
        <x:v>DR.FC.2.1.2026.CY4</x:v>
      </x:c>
      <x:c r="P676" s="2" t="n">
        <x:f>'Data &amp; Reporting'!O676</x:f>
        <x:v>0</x:v>
      </x:c>
      <x:c r="Q676" s="2" t="n">
        <x:f>SUBTOTAL(103,O676)</x:f>
        <x:v>1</x:v>
      </x:c>
      <x:c r="R676" s="2" t="n">
        <x:f>IF(AND(M676=1,OR(Dashboard!$B$7="All",Dashboard!$B$7='Cycles &amp; Guide'!$C$5),OR(Dashboard!$D$7="All",Dashboard!$D$7=B676),OR(Dashboard!$F$7="All",Dashboard!$F$7=C676),OR(Dashboard!$H$7="All",Dashboard!$H$7=D676),OR(Dashboard!$K$7="All",Dashboard!$K$7=E676)),1,0)</x:f>
        <x:v>1</x:v>
      </x:c>
      <x:c r="S676" s="2" t="n">
        <x:f>IF(R676=1,SUM($R$10:R676),0)</x:f>
        <x:v>329</x:v>
      </x:c>
      <x:c r="T676" s="2" t="str">
        <x:v>Data &amp; Reporting</x:v>
      </x:c>
      <x:c r="U676" s="2" t="n">
        <x:v>676</x:v>
      </x:c>
      <x:c r="V676" s="2" t="n">
        <x:f>IF(AND(M676=1,P676=0,ISNUMBER(J676),J676&lt;TODAY()),1,0)</x:f>
        <x:v>0</x:v>
      </x:c>
      <x:c r="W676" s="2" t="str">
        <x:f>'Data &amp; Reporting'!M676</x:f>
        <x:v>Task</x:v>
      </x:c>
    </x:row>
    <x:row r="677" ht="40" customHeight="1">
      <x:c r="A677" s="3" t="str">
        <x:f>HYPERLINK("#'Data &amp; Reporting'!A677","Open")</x:f>
        <x:v>Open</x:v>
      </x:c>
      <x:c r="B677" s="2" t="str">
        <x:f>'Data &amp; Reporting'!B677</x:f>
        <x:v>Cycle 4</x:v>
      </x:c>
      <x:c r="C677" s="2" t="str">
        <x:f>'Data &amp; Reporting'!C677</x:f>
        <x:v>Phase 2</x:v>
      </x:c>
      <x:c r="D677" s="2" t="str">
        <x:f>'Data &amp; Reporting'!D677</x:f>
        <x:v>FCM</x:v>
      </x:c>
      <x:c r="E677" s="2" t="str">
        <x:v>Data &amp; Reporting</x:v>
      </x:c>
      <x:c r="F677" s="56" t="str">
        <x:f>'Data &amp; Reporting'!E677</x:f>
        <x:v>DR.FC.2.2</x:v>
      </x:c>
      <x:c r="G677" s="14" t="str">
        <x:f>'Data &amp; Reporting'!F677</x:f>
        <x:v>Clearly document rationale for each topic recommendation within the SharePoint list</x:v>
      </x:c>
      <x:c r="H677" s="2" t="str">
        <x:f>IF('Data &amp; Reporting'!G677="","",'Data &amp; Reporting'!G677)</x:f>
      </x:c>
      <x:c r="I677" s="12" t="str">
        <x:f>IF('Data &amp; Reporting'!H677="","",'Data &amp; Reporting'!H677)</x:f>
      </x:c>
      <x:c r="J677" s="12" t="n">
        <x:f>IF('Data &amp; Reporting'!I677="","",'Data &amp; Reporting'!I677)</x:f>
        <x:v>46387</x:v>
      </x:c>
      <x:c r="K677" s="12" t="str">
        <x:f>IF('Data &amp; Reporting'!J677="","",'Data &amp; Reporting'!J677)</x:f>
      </x:c>
      <x:c r="L677" s="2" t="str">
        <x:f>IF('Data &amp; Reporting'!K677="","",'Data &amp; Reporting'!K677)</x:f>
      </x:c>
      <x:c r="M677" s="2" t="n">
        <x:f>'Data &amp; Reporting'!Q677</x:f>
        <x:v>1</x:v>
      </x:c>
      <x:c r="N677" s="2" t="str">
        <x:f>'Data &amp; Reporting'!L677</x:f>
        <x:v>Not started</x:v>
      </x:c>
      <x:c r="O677" s="2" t="str">
        <x:f>'Data &amp; Reporting'!N677</x:f>
        <x:v>DR.FC.2.2.2026.CY4</x:v>
      </x:c>
      <x:c r="P677" s="2" t="n">
        <x:f>'Data &amp; Reporting'!O677</x:f>
        <x:v>0</x:v>
      </x:c>
      <x:c r="Q677" s="2" t="n">
        <x:f>SUBTOTAL(103,O677)</x:f>
        <x:v>1</x:v>
      </x:c>
      <x:c r="R677" s="2" t="n">
        <x:f>IF(AND(M677=1,OR(Dashboard!$B$7="All",Dashboard!$B$7='Cycles &amp; Guide'!$C$5),OR(Dashboard!$D$7="All",Dashboard!$D$7=B677),OR(Dashboard!$F$7="All",Dashboard!$F$7=C677),OR(Dashboard!$H$7="All",Dashboard!$H$7=D677),OR(Dashboard!$K$7="All",Dashboard!$K$7=E677)),1,0)</x:f>
        <x:v>1</x:v>
      </x:c>
      <x:c r="S677" s="2" t="n">
        <x:f>IF(R677=1,SUM($R$10:R677),0)</x:f>
        <x:v>330</x:v>
      </x:c>
      <x:c r="T677" s="2" t="str">
        <x:v>Data &amp; Reporting</x:v>
      </x:c>
      <x:c r="U677" s="2" t="n">
        <x:v>677</x:v>
      </x:c>
      <x:c r="V677" s="2" t="n">
        <x:f>IF(AND(M677=1,P677=0,ISNUMBER(J677),J677&lt;TODAY()),1,0)</x:f>
        <x:v>0</x:v>
      </x:c>
      <x:c r="W677" s="2" t="str">
        <x:f>'Data &amp; Reporting'!M677</x:f>
        <x:v>Task</x:v>
      </x:c>
    </x:row>
    <x:row r="678" ht="40" customHeight="1">
      <x:c r="A678" s="3" t="str">
        <x:f>HYPERLINK("#'Data &amp; Reporting'!A678","Open")</x:f>
        <x:v>Open</x:v>
      </x:c>
      <x:c r="B678" s="2" t="str">
        <x:f>'Data &amp; Reporting'!B678</x:f>
        <x:v>Cycle 4</x:v>
      </x:c>
      <x:c r="C678" s="2" t="str">
        <x:f>'Data &amp; Reporting'!C678</x:f>
        <x:v>Phase 2</x:v>
      </x:c>
      <x:c r="D678" s="2" t="str">
        <x:f>'Data &amp; Reporting'!D678</x:f>
        <x:v>FCM</x:v>
      </x:c>
      <x:c r="E678" s="2" t="str">
        <x:v>Data &amp; Reporting</x:v>
      </x:c>
      <x:c r="F678" s="56" t="str">
        <x:f>'Data &amp; Reporting'!E678</x:f>
        <x:v>DR.FC.2.3</x:v>
      </x:c>
      <x:c r="G678" s="14" t="str">
        <x:f>'Data &amp; Reporting'!F678</x:f>
        <x:v>Verify topic is eligible for RCA and does not conflict with Attorney Client Privilege</x:v>
      </x:c>
      <x:c r="H678" s="2" t="str">
        <x:f>IF('Data &amp; Reporting'!G678="","",'Data &amp; Reporting'!G678)</x:f>
      </x:c>
      <x:c r="I678" s="12" t="str">
        <x:f>IF('Data &amp; Reporting'!H678="","",'Data &amp; Reporting'!H678)</x:f>
      </x:c>
      <x:c r="J678" s="12" t="n">
        <x:f>IF('Data &amp; Reporting'!I678="","",'Data &amp; Reporting'!I678)</x:f>
        <x:v>46387</x:v>
      </x:c>
      <x:c r="K678" s="12" t="str">
        <x:f>IF('Data &amp; Reporting'!J678="","",'Data &amp; Reporting'!J678)</x:f>
      </x:c>
      <x:c r="L678" s="2" t="str">
        <x:f>IF('Data &amp; Reporting'!K678="","",'Data &amp; Reporting'!K678)</x:f>
      </x:c>
      <x:c r="M678" s="2" t="n">
        <x:f>'Data &amp; Reporting'!Q678</x:f>
        <x:v>1</x:v>
      </x:c>
      <x:c r="N678" s="2" t="str">
        <x:f>'Data &amp; Reporting'!L678</x:f>
        <x:v>Not started</x:v>
      </x:c>
      <x:c r="O678" s="2" t="str">
        <x:f>'Data &amp; Reporting'!N678</x:f>
        <x:v>DR.FC.2.3.2026.CY4</x:v>
      </x:c>
      <x:c r="P678" s="2" t="n">
        <x:f>'Data &amp; Reporting'!O678</x:f>
        <x:v>0</x:v>
      </x:c>
      <x:c r="Q678" s="2" t="n">
        <x:f>SUBTOTAL(103,O678)</x:f>
        <x:v>1</x:v>
      </x:c>
      <x:c r="R678" s="2" t="n">
        <x:f>IF(AND(M678=1,OR(Dashboard!$B$7="All",Dashboard!$B$7='Cycles &amp; Guide'!$C$5),OR(Dashboard!$D$7="All",Dashboard!$D$7=B678),OR(Dashboard!$F$7="All",Dashboard!$F$7=C678),OR(Dashboard!$H$7="All",Dashboard!$H$7=D678),OR(Dashboard!$K$7="All",Dashboard!$K$7=E678)),1,0)</x:f>
        <x:v>1</x:v>
      </x:c>
      <x:c r="S678" s="2" t="n">
        <x:f>IF(R678=1,SUM($R$10:R678),0)</x:f>
        <x:v>331</x:v>
      </x:c>
      <x:c r="T678" s="2" t="str">
        <x:v>Data &amp; Reporting</x:v>
      </x:c>
      <x:c r="U678" s="2" t="n">
        <x:v>678</x:v>
      </x:c>
      <x:c r="V678" s="2" t="n">
        <x:f>IF(AND(M678=1,P678=0,ISNUMBER(J678),J678&lt;TODAY()),1,0)</x:f>
        <x:v>0</x:v>
      </x:c>
      <x:c r="W678" s="2" t="str">
        <x:f>'Data &amp; Reporting'!M678</x:f>
        <x:v>Task</x:v>
      </x:c>
    </x:row>
    <x:row r="679" ht="40" customHeight="1">
      <x:c r="A679" s="3" t="str">
        <x:f>HYPERLINK("#'Data &amp; Reporting'!A679","Open")</x:f>
        <x:v>Open</x:v>
      </x:c>
      <x:c r="B679" s="2" t="str">
        <x:f>'Data &amp; Reporting'!B679</x:f>
        <x:v>Cycle 4</x:v>
      </x:c>
      <x:c r="C679" s="2" t="str">
        <x:f>'Data &amp; Reporting'!C679</x:f>
        <x:v>Phase 2</x:v>
      </x:c>
      <x:c r="D679" s="2" t="str">
        <x:f>'Data &amp; Reporting'!D679</x:f>
        <x:v>FCM</x:v>
      </x:c>
      <x:c r="E679" s="2" t="str">
        <x:v>Data &amp; Reporting</x:v>
      </x:c>
      <x:c r="F679" s="56" t="str">
        <x:f>'Data &amp; Reporting'!E679</x:f>
        <x:v>DR.FC.2.4</x:v>
      </x:c>
      <x:c r="G679" s="14" t="str">
        <x:f>'Data &amp; Reporting'!F679</x:f>
        <x:v>Ensure data is free of errors and anomalies prior to hand-off to Research</x:v>
      </x:c>
      <x:c r="H679" s="2" t="str">
        <x:f>IF('Data &amp; Reporting'!G679="","",'Data &amp; Reporting'!G679)</x:f>
      </x:c>
      <x:c r="I679" s="12" t="str">
        <x:f>IF('Data &amp; Reporting'!H679="","",'Data &amp; Reporting'!H679)</x:f>
      </x:c>
      <x:c r="J679" s="12" t="n">
        <x:f>IF('Data &amp; Reporting'!I679="","",'Data &amp; Reporting'!I679)</x:f>
        <x:v>46387</x:v>
      </x:c>
      <x:c r="K679" s="12" t="str">
        <x:f>IF('Data &amp; Reporting'!J679="","",'Data &amp; Reporting'!J679)</x:f>
      </x:c>
      <x:c r="L679" s="2" t="str">
        <x:f>IF('Data &amp; Reporting'!K679="","",'Data &amp; Reporting'!K679)</x:f>
      </x:c>
      <x:c r="M679" s="2" t="n">
        <x:f>'Data &amp; Reporting'!Q679</x:f>
        <x:v>1</x:v>
      </x:c>
      <x:c r="N679" s="2" t="str">
        <x:f>'Data &amp; Reporting'!L679</x:f>
        <x:v>Not started</x:v>
      </x:c>
      <x:c r="O679" s="2" t="str">
        <x:f>'Data &amp; Reporting'!N679</x:f>
        <x:v>DR.FC.2.4.2026.CY4</x:v>
      </x:c>
      <x:c r="P679" s="2" t="n">
        <x:f>'Data &amp; Reporting'!O679</x:f>
        <x:v>0</x:v>
      </x:c>
      <x:c r="Q679" s="2" t="n">
        <x:f>SUBTOTAL(103,O679)</x:f>
        <x:v>1</x:v>
      </x:c>
      <x:c r="R679" s="2" t="n">
        <x:f>IF(AND(M679=1,OR(Dashboard!$B$7="All",Dashboard!$B$7='Cycles &amp; Guide'!$C$5),OR(Dashboard!$D$7="All",Dashboard!$D$7=B679),OR(Dashboard!$F$7="All",Dashboard!$F$7=C679),OR(Dashboard!$H$7="All",Dashboard!$H$7=D679),OR(Dashboard!$K$7="All",Dashboard!$K$7=E679)),1,0)</x:f>
        <x:v>1</x:v>
      </x:c>
      <x:c r="S679" s="2" t="n">
        <x:f>IF(R679=1,SUM($R$10:R679),0)</x:f>
        <x:v>332</x:v>
      </x:c>
      <x:c r="T679" s="2" t="str">
        <x:v>Data &amp; Reporting</x:v>
      </x:c>
      <x:c r="U679" s="2" t="n">
        <x:v>679</x:v>
      </x:c>
      <x:c r="V679" s="2" t="n">
        <x:f>IF(AND(M679=1,P679=0,ISNUMBER(J679),J679&lt;TODAY()),1,0)</x:f>
        <x:v>0</x:v>
      </x:c>
      <x:c r="W679" s="2" t="str">
        <x:f>'Data &amp; Reporting'!M679</x:f>
        <x:v>Task</x:v>
      </x:c>
    </x:row>
    <x:row r="680" ht="40" customHeight="1">
      <x:c r="A680" s="3" t="str">
        <x:f>HYPERLINK("#'Data &amp; Reporting'!A680","Open")</x:f>
        <x:v>Open</x:v>
      </x:c>
      <x:c r="B680" s="2" t="str">
        <x:f>'Data &amp; Reporting'!B680</x:f>
        <x:v>Cycle 4</x:v>
      </x:c>
      <x:c r="C680" s="2" t="str">
        <x:f>'Data &amp; Reporting'!C680</x:f>
        <x:v>Phase 2</x:v>
      </x:c>
      <x:c r="D680" s="2" t="str">
        <x:f>'Data &amp; Reporting'!D680</x:f>
        <x:v>FCM</x:v>
      </x:c>
      <x:c r="E680" s="2" t="str">
        <x:v>Data &amp; Reporting</x:v>
      </x:c>
      <x:c r="F680" s="56" t="str">
        <x:f>'Data &amp; Reporting'!E680</x:f>
        <x:v>DR.FC.2.5</x:v>
      </x:c>
      <x:c r="G680" s="14" t="str">
        <x:f>'Data &amp; Reporting'!F680</x:f>
        <x:v>Ensure topic is not a duplicate from a previous Cycle</x:v>
      </x:c>
      <x:c r="H680" s="2" t="str">
        <x:f>IF('Data &amp; Reporting'!G680="","",'Data &amp; Reporting'!G680)</x:f>
      </x:c>
      <x:c r="I680" s="12" t="str">
        <x:f>IF('Data &amp; Reporting'!H680="","",'Data &amp; Reporting'!H680)</x:f>
      </x:c>
      <x:c r="J680" s="12" t="n">
        <x:f>IF('Data &amp; Reporting'!I680="","",'Data &amp; Reporting'!I680)</x:f>
        <x:v>46387</x:v>
      </x:c>
      <x:c r="K680" s="12" t="str">
        <x:f>IF('Data &amp; Reporting'!J680="","",'Data &amp; Reporting'!J680)</x:f>
      </x:c>
      <x:c r="L680" s="2" t="str">
        <x:f>IF('Data &amp; Reporting'!K680="","",'Data &amp; Reporting'!K680)</x:f>
      </x:c>
      <x:c r="M680" s="2" t="n">
        <x:f>'Data &amp; Reporting'!Q680</x:f>
        <x:v>1</x:v>
      </x:c>
      <x:c r="N680" s="2" t="str">
        <x:f>'Data &amp; Reporting'!L680</x:f>
        <x:v>Not started</x:v>
      </x:c>
      <x:c r="O680" s="2" t="str">
        <x:f>'Data &amp; Reporting'!N680</x:f>
        <x:v>DR.FC.2.5.2026.CY4</x:v>
      </x:c>
      <x:c r="P680" s="2" t="n">
        <x:f>'Data &amp; Reporting'!O680</x:f>
        <x:v>0</x:v>
      </x:c>
      <x:c r="Q680" s="2" t="n">
        <x:f>SUBTOTAL(103,O680)</x:f>
        <x:v>1</x:v>
      </x:c>
      <x:c r="R680" s="2" t="n">
        <x:f>IF(AND(M680=1,OR(Dashboard!$B$7="All",Dashboard!$B$7='Cycles &amp; Guide'!$C$5),OR(Dashboard!$D$7="All",Dashboard!$D$7=B680),OR(Dashboard!$F$7="All",Dashboard!$F$7=C680),OR(Dashboard!$H$7="All",Dashboard!$H$7=D680),OR(Dashboard!$K$7="All",Dashboard!$K$7=E680)),1,0)</x:f>
        <x:v>1</x:v>
      </x:c>
      <x:c r="S680" s="2" t="n">
        <x:f>IF(R680=1,SUM($R$10:R680),0)</x:f>
        <x:v>333</x:v>
      </x:c>
      <x:c r="T680" s="2" t="str">
        <x:v>Data &amp; Reporting</x:v>
      </x:c>
      <x:c r="U680" s="2" t="n">
        <x:v>680</x:v>
      </x:c>
      <x:c r="V680" s="2" t="n">
        <x:f>IF(AND(M680=1,P680=0,ISNUMBER(J680),J680&lt;TODAY()),1,0)</x:f>
        <x:v>0</x:v>
      </x:c>
      <x:c r="W680" s="2" t="str">
        <x:f>'Data &amp; Reporting'!M680</x:f>
        <x:v>Task</x:v>
      </x:c>
    </x:row>
    <x:row r="681" ht="40" customHeight="1">
      <x:c r="A681" s="3" t="str">
        <x:f>HYPERLINK("#'Data &amp; Reporting'!A681","Open")</x:f>
        <x:v>Open</x:v>
      </x:c>
      <x:c r="B681" s="2" t="str">
        <x:f>'Data &amp; Reporting'!B681</x:f>
        <x:v>Cycle 4</x:v>
      </x:c>
      <x:c r="C681" s="2" t="str">
        <x:f>'Data &amp; Reporting'!C681</x:f>
        <x:v>Phase 2</x:v>
      </x:c>
      <x:c r="D681" s="2" t="str">
        <x:f>'Data &amp; Reporting'!D681</x:f>
        <x:v>FCM</x:v>
      </x:c>
      <x:c r="E681" s="2" t="str">
        <x:v>Data &amp; Reporting</x:v>
      </x:c>
      <x:c r="F681" s="56" t="str">
        <x:f>'Data &amp; Reporting'!E681</x:f>
        <x:v>DR.FC.2.6</x:v>
      </x:c>
      <x:c r="G681" s="14" t="str">
        <x:f>'Data &amp; Reporting'!F681</x:f>
        <x:v>Document clear distinctions between facts, assumptions, and hypotheses within the data package</x:v>
      </x:c>
      <x:c r="H681" s="2" t="str">
        <x:f>IF('Data &amp; Reporting'!G681="","",'Data &amp; Reporting'!G681)</x:f>
      </x:c>
      <x:c r="I681" s="12" t="str">
        <x:f>IF('Data &amp; Reporting'!H681="","",'Data &amp; Reporting'!H681)</x:f>
      </x:c>
      <x:c r="J681" s="12" t="n">
        <x:f>IF('Data &amp; Reporting'!I681="","",'Data &amp; Reporting'!I681)</x:f>
        <x:v>46387</x:v>
      </x:c>
      <x:c r="K681" s="12" t="str">
        <x:f>IF('Data &amp; Reporting'!J681="","",'Data &amp; Reporting'!J681)</x:f>
      </x:c>
      <x:c r="L681" s="2" t="str">
        <x:f>IF('Data &amp; Reporting'!K681="","",'Data &amp; Reporting'!K681)</x:f>
      </x:c>
      <x:c r="M681" s="2" t="n">
        <x:f>'Data &amp; Reporting'!Q681</x:f>
        <x:v>1</x:v>
      </x:c>
      <x:c r="N681" s="2" t="str">
        <x:f>'Data &amp; Reporting'!L681</x:f>
        <x:v>Not started</x:v>
      </x:c>
      <x:c r="O681" s="2" t="str">
        <x:f>'Data &amp; Reporting'!N681</x:f>
        <x:v>DR.FC.2.6.2026.CY4</x:v>
      </x:c>
      <x:c r="P681" s="2" t="n">
        <x:f>'Data &amp; Reporting'!O681</x:f>
        <x:v>0</x:v>
      </x:c>
      <x:c r="Q681" s="2" t="n">
        <x:f>SUBTOTAL(103,O681)</x:f>
        <x:v>1</x:v>
      </x:c>
      <x:c r="R681" s="2" t="n">
        <x:f>IF(AND(M681=1,OR(Dashboard!$B$7="All",Dashboard!$B$7='Cycles &amp; Guide'!$C$5),OR(Dashboard!$D$7="All",Dashboard!$D$7=B681),OR(Dashboard!$F$7="All",Dashboard!$F$7=C681),OR(Dashboard!$H$7="All",Dashboard!$H$7=D681),OR(Dashboard!$K$7="All",Dashboard!$K$7=E681)),1,0)</x:f>
        <x:v>1</x:v>
      </x:c>
      <x:c r="S681" s="2" t="n">
        <x:f>IF(R681=1,SUM($R$10:R681),0)</x:f>
        <x:v>334</x:v>
      </x:c>
      <x:c r="T681" s="2" t="str">
        <x:v>Data &amp; Reporting</x:v>
      </x:c>
      <x:c r="U681" s="2" t="n">
        <x:v>681</x:v>
      </x:c>
      <x:c r="V681" s="2" t="n">
        <x:f>IF(AND(M681=1,P681=0,ISNUMBER(J681),J681&lt;TODAY()),1,0)</x:f>
        <x:v>0</x:v>
      </x:c>
      <x:c r="W681" s="2" t="str">
        <x:f>'Data &amp; Reporting'!M681</x:f>
        <x:v>Task</x:v>
      </x:c>
    </x:row>
    <x:row r="682" ht="40" customHeight="1">
      <x:c r="A682" s="3" t="str">
        <x:f>HYPERLINK("#'Data &amp; Reporting'!A682","Open")</x:f>
        <x:v>Open</x:v>
      </x:c>
      <x:c r="B682" s="2" t="str">
        <x:f>'Data &amp; Reporting'!B682</x:f>
        <x:v>Cycle 4</x:v>
      </x:c>
      <x:c r="C682" s="2" t="str">
        <x:f>'Data &amp; Reporting'!C682</x:f>
        <x:v>Phase 3</x:v>
      </x:c>
      <x:c r="D682" s="2" t="str">
        <x:f>'Data &amp; Reporting'!D682</x:f>
        <x:v>FCM</x:v>
      </x:c>
      <x:c r="E682" s="2" t="str">
        <x:v>Data &amp; Reporting</x:v>
      </x:c>
      <x:c r="F682" s="56" t="str">
        <x:f>'Data &amp; Reporting'!E682</x:f>
        <x:v>DR.FC.3.1</x:v>
      </x:c>
      <x:c r="G682" s="14" t="str">
        <x:f>'Data &amp; Reporting'!F682</x:f>
        <x:v>Clearly document rationale for each topic recommendation within the SharePoint list item</x:v>
      </x:c>
      <x:c r="H682" s="2" t="str">
        <x:f>IF('Data &amp; Reporting'!G682="","",'Data &amp; Reporting'!G682)</x:f>
      </x:c>
      <x:c r="I682" s="12" t="str">
        <x:f>IF('Data &amp; Reporting'!H682="","",'Data &amp; Reporting'!H682)</x:f>
      </x:c>
      <x:c r="J682" s="12" t="n">
        <x:f>IF('Data &amp; Reporting'!I682="","",'Data &amp; Reporting'!I682)</x:f>
        <x:v>46387</x:v>
      </x:c>
      <x:c r="K682" s="12" t="str">
        <x:f>IF('Data &amp; Reporting'!J682="","",'Data &amp; Reporting'!J682)</x:f>
      </x:c>
      <x:c r="L682" s="2" t="str">
        <x:f>IF('Data &amp; Reporting'!K682="","",'Data &amp; Reporting'!K682)</x:f>
      </x:c>
      <x:c r="M682" s="2" t="n">
        <x:f>'Data &amp; Reporting'!Q682</x:f>
        <x:v>1</x:v>
      </x:c>
      <x:c r="N682" s="2" t="str">
        <x:f>'Data &amp; Reporting'!L682</x:f>
        <x:v>Not started</x:v>
      </x:c>
      <x:c r="O682" s="2" t="str">
        <x:f>'Data &amp; Reporting'!N682</x:f>
        <x:v>DR.FC.3.1.2026.CY4</x:v>
      </x:c>
      <x:c r="P682" s="2" t="n">
        <x:f>'Data &amp; Reporting'!O682</x:f>
        <x:v>0</x:v>
      </x:c>
      <x:c r="Q682" s="2" t="n">
        <x:f>SUBTOTAL(103,O682)</x:f>
        <x:v>1</x:v>
      </x:c>
      <x:c r="R682" s="2" t="n">
        <x:f>IF(AND(M682=1,OR(Dashboard!$B$7="All",Dashboard!$B$7='Cycles &amp; Guide'!$C$5),OR(Dashboard!$D$7="All",Dashboard!$D$7=B682),OR(Dashboard!$F$7="All",Dashboard!$F$7=C682),OR(Dashboard!$H$7="All",Dashboard!$H$7=D682),OR(Dashboard!$K$7="All",Dashboard!$K$7=E682)),1,0)</x:f>
        <x:v>1</x:v>
      </x:c>
      <x:c r="S682" s="2" t="n">
        <x:f>IF(R682=1,SUM($R$10:R682),0)</x:f>
        <x:v>335</x:v>
      </x:c>
      <x:c r="T682" s="2" t="str">
        <x:v>Data &amp; Reporting</x:v>
      </x:c>
      <x:c r="U682" s="2" t="n">
        <x:v>682</x:v>
      </x:c>
      <x:c r="V682" s="2" t="n">
        <x:f>IF(AND(M682=1,P682=0,ISNUMBER(J682),J682&lt;TODAY()),1,0)</x:f>
        <x:v>0</x:v>
      </x:c>
      <x:c r="W682" s="2" t="str">
        <x:f>'Data &amp; Reporting'!M682</x:f>
        <x:v>Task</x:v>
      </x:c>
    </x:row>
    <x:row r="683" ht="40" customHeight="1">
      <x:c r="A683" s="3" t="str">
        <x:f>HYPERLINK("#'Data &amp; Reporting'!A683","Open")</x:f>
        <x:v>Open</x:v>
      </x:c>
      <x:c r="B683" s="2" t="str">
        <x:f>'Data &amp; Reporting'!B683</x:f>
        <x:v>Cycle 4</x:v>
      </x:c>
      <x:c r="C683" s="2" t="str">
        <x:f>'Data &amp; Reporting'!C683</x:f>
        <x:v>Phase 3</x:v>
      </x:c>
      <x:c r="D683" s="2" t="str">
        <x:f>'Data &amp; Reporting'!D683</x:f>
        <x:v>FCM</x:v>
      </x:c>
      <x:c r="E683" s="2" t="str">
        <x:v>Data &amp; Reporting</x:v>
      </x:c>
      <x:c r="F683" s="56" t="str">
        <x:f>'Data &amp; Reporting'!E683</x:f>
        <x:v>DR.FC.3.2</x:v>
      </x:c>
      <x:c r="G683" s="14" t="str">
        <x:f>'Data &amp; Reporting'!F683</x:f>
        <x:v>Attach the data package for each topic recommendation within the SharePoint list item</x:v>
      </x:c>
      <x:c r="H683" s="2" t="str">
        <x:f>IF('Data &amp; Reporting'!G683="","",'Data &amp; Reporting'!G683)</x:f>
      </x:c>
      <x:c r="I683" s="12" t="str">
        <x:f>IF('Data &amp; Reporting'!H683="","",'Data &amp; Reporting'!H683)</x:f>
      </x:c>
      <x:c r="J683" s="12" t="n">
        <x:f>IF('Data &amp; Reporting'!I683="","",'Data &amp; Reporting'!I683)</x:f>
        <x:v>46387</x:v>
      </x:c>
      <x:c r="K683" s="12" t="str">
        <x:f>IF('Data &amp; Reporting'!J683="","",'Data &amp; Reporting'!J683)</x:f>
      </x:c>
      <x:c r="L683" s="2" t="str">
        <x:f>IF('Data &amp; Reporting'!K683="","",'Data &amp; Reporting'!K683)</x:f>
      </x:c>
      <x:c r="M683" s="2" t="n">
        <x:f>'Data &amp; Reporting'!Q683</x:f>
        <x:v>1</x:v>
      </x:c>
      <x:c r="N683" s="2" t="str">
        <x:f>'Data &amp; Reporting'!L683</x:f>
        <x:v>Not started</x:v>
      </x:c>
      <x:c r="O683" s="2" t="str">
        <x:f>'Data &amp; Reporting'!N683</x:f>
        <x:v>DR.FC.3.2.2026.CY4</x:v>
      </x:c>
      <x:c r="P683" s="2" t="n">
        <x:f>'Data &amp; Reporting'!O683</x:f>
        <x:v>0</x:v>
      </x:c>
      <x:c r="Q683" s="2" t="n">
        <x:f>SUBTOTAL(103,O683)</x:f>
        <x:v>1</x:v>
      </x:c>
      <x:c r="R683" s="2" t="n">
        <x:f>IF(AND(M683=1,OR(Dashboard!$B$7="All",Dashboard!$B$7='Cycles &amp; Guide'!$C$5),OR(Dashboard!$D$7="All",Dashboard!$D$7=B683),OR(Dashboard!$F$7="All",Dashboard!$F$7=C683),OR(Dashboard!$H$7="All",Dashboard!$H$7=D683),OR(Dashboard!$K$7="All",Dashboard!$K$7=E683)),1,0)</x:f>
        <x:v>1</x:v>
      </x:c>
      <x:c r="S683" s="2" t="n">
        <x:f>IF(R683=1,SUM($R$10:R683),0)</x:f>
        <x:v>336</x:v>
      </x:c>
      <x:c r="T683" s="2" t="str">
        <x:v>Data &amp; Reporting</x:v>
      </x:c>
      <x:c r="U683" s="2" t="n">
        <x:v>683</x:v>
      </x:c>
      <x:c r="V683" s="2" t="n">
        <x:f>IF(AND(M683=1,P683=0,ISNUMBER(J683),J683&lt;TODAY()),1,0)</x:f>
        <x:v>0</x:v>
      </x:c>
      <x:c r="W683" s="2" t="str">
        <x:f>'Data &amp; Reporting'!M683</x:f>
        <x:v>Task</x:v>
      </x:c>
    </x:row>
    <x:row r="684" ht="40" customHeight="1">
      <x:c r="A684" s="3" t="str">
        <x:f>HYPERLINK("#'Data &amp; Reporting'!A684","Open")</x:f>
        <x:v>Open</x:v>
      </x:c>
      <x:c r="B684" s="2" t="str">
        <x:f>'Data &amp; Reporting'!B684</x:f>
        <x:v>Cycle 4</x:v>
      </x:c>
      <x:c r="C684" s="2" t="str">
        <x:f>'Data &amp; Reporting'!C684</x:f>
        <x:v>Phase 3</x:v>
      </x:c>
      <x:c r="D684" s="2" t="str">
        <x:f>'Data &amp; Reporting'!D684</x:f>
        <x:v>FCM</x:v>
      </x:c>
      <x:c r="E684" s="2" t="str">
        <x:v>Data &amp; Reporting</x:v>
      </x:c>
      <x:c r="F684" s="56" t="str">
        <x:f>'Data &amp; Reporting'!E684</x:f>
        <x:v>DR.FC.3.3</x:v>
      </x:c>
      <x:c r="G684" s="14" t="str">
        <x:f>'Data &amp; Reporting'!F684</x:f>
        <x:v>Confirm data privileges have been granted, ensuring each pillar can access</x:v>
      </x:c>
      <x:c r="H684" s="2" t="str">
        <x:f>IF('Data &amp; Reporting'!G684="","",'Data &amp; Reporting'!G684)</x:f>
      </x:c>
      <x:c r="I684" s="12" t="str">
        <x:f>IF('Data &amp; Reporting'!H684="","",'Data &amp; Reporting'!H684)</x:f>
      </x:c>
      <x:c r="J684" s="12" t="n">
        <x:f>IF('Data &amp; Reporting'!I684="","",'Data &amp; Reporting'!I684)</x:f>
        <x:v>46387</x:v>
      </x:c>
      <x:c r="K684" s="12" t="str">
        <x:f>IF('Data &amp; Reporting'!J684="","",'Data &amp; Reporting'!J684)</x:f>
      </x:c>
      <x:c r="L684" s="2" t="str">
        <x:f>IF('Data &amp; Reporting'!K684="","",'Data &amp; Reporting'!K684)</x:f>
      </x:c>
      <x:c r="M684" s="2" t="n">
        <x:f>'Data &amp; Reporting'!Q684</x:f>
        <x:v>1</x:v>
      </x:c>
      <x:c r="N684" s="2" t="str">
        <x:f>'Data &amp; Reporting'!L684</x:f>
        <x:v>Not started</x:v>
      </x:c>
      <x:c r="O684" s="2" t="str">
        <x:f>'Data &amp; Reporting'!N684</x:f>
        <x:v>DR.FC.3.3.2026.CY4</x:v>
      </x:c>
      <x:c r="P684" s="2" t="n">
        <x:f>'Data &amp; Reporting'!O684</x:f>
        <x:v>0</x:v>
      </x:c>
      <x:c r="Q684" s="2" t="n">
        <x:f>SUBTOTAL(103,O684)</x:f>
        <x:v>1</x:v>
      </x:c>
      <x:c r="R684" s="2" t="n">
        <x:f>IF(AND(M684=1,OR(Dashboard!$B$7="All",Dashboard!$B$7='Cycles &amp; Guide'!$C$5),OR(Dashboard!$D$7="All",Dashboard!$D$7=B684),OR(Dashboard!$F$7="All",Dashboard!$F$7=C684),OR(Dashboard!$H$7="All",Dashboard!$H$7=D684),OR(Dashboard!$K$7="All",Dashboard!$K$7=E684)),1,0)</x:f>
        <x:v>1</x:v>
      </x:c>
      <x:c r="S684" s="2" t="n">
        <x:f>IF(R684=1,SUM($R$10:R684),0)</x:f>
        <x:v>337</x:v>
      </x:c>
      <x:c r="T684" s="2" t="str">
        <x:v>Data &amp; Reporting</x:v>
      </x:c>
      <x:c r="U684" s="2" t="n">
        <x:v>684</x:v>
      </x:c>
      <x:c r="V684" s="2" t="n">
        <x:f>IF(AND(M684=1,P684=0,ISNUMBER(J684),J684&lt;TODAY()),1,0)</x:f>
        <x:v>0</x:v>
      </x:c>
      <x:c r="W684" s="2" t="str">
        <x:f>'Data &amp; Reporting'!M684</x:f>
        <x:v>Task</x:v>
      </x:c>
    </x:row>
    <x:row r="685" ht="40" customHeight="1">
      <x:c r="A685" s="3" t="str">
        <x:f>HYPERLINK("#'Data &amp; Reporting'!A685","Open")</x:f>
        <x:v>Open</x:v>
      </x:c>
      <x:c r="B685" s="2" t="str">
        <x:f>'Data &amp; Reporting'!B685</x:f>
        <x:v>Cycle 4</x:v>
      </x:c>
      <x:c r="C685" s="2" t="str">
        <x:f>'Data &amp; Reporting'!C685</x:f>
        <x:v>Phase 3</x:v>
      </x:c>
      <x:c r="D685" s="2" t="str">
        <x:f>'Data &amp; Reporting'!D685</x:f>
        <x:v>FCM</x:v>
      </x:c>
      <x:c r="E685" s="2" t="str">
        <x:v>Data &amp; Reporting</x:v>
      </x:c>
      <x:c r="F685" s="56" t="str">
        <x:f>'Data &amp; Reporting'!E685</x:f>
        <x:v>DR.FC.3.4</x:v>
      </x:c>
      <x:c r="G685" s="14" t="str">
        <x:f>'Data &amp; Reporting'!F685</x:f>
        <x:v>Ensure Power Automate notifications were correctly triggered within Microsoft Teams</x:v>
      </x:c>
      <x:c r="H685" s="2" t="str">
        <x:f>IF('Data &amp; Reporting'!G685="","",'Data &amp; Reporting'!G685)</x:f>
      </x:c>
      <x:c r="I685" s="12" t="str">
        <x:f>IF('Data &amp; Reporting'!H685="","",'Data &amp; Reporting'!H685)</x:f>
      </x:c>
      <x:c r="J685" s="12" t="n">
        <x:f>IF('Data &amp; Reporting'!I685="","",'Data &amp; Reporting'!I685)</x:f>
        <x:v>46387</x:v>
      </x:c>
      <x:c r="K685" s="12" t="str">
        <x:f>IF('Data &amp; Reporting'!J685="","",'Data &amp; Reporting'!J685)</x:f>
      </x:c>
      <x:c r="L685" s="2" t="str">
        <x:f>IF('Data &amp; Reporting'!K685="","",'Data &amp; Reporting'!K685)</x:f>
      </x:c>
      <x:c r="M685" s="2" t="n">
        <x:f>'Data &amp; Reporting'!Q685</x:f>
        <x:v>1</x:v>
      </x:c>
      <x:c r="N685" s="2" t="str">
        <x:f>'Data &amp; Reporting'!L685</x:f>
        <x:v>Not started</x:v>
      </x:c>
      <x:c r="O685" s="2" t="str">
        <x:f>'Data &amp; Reporting'!N685</x:f>
        <x:v>DR.FC.3.4.2026.CY4</x:v>
      </x:c>
      <x:c r="P685" s="2" t="n">
        <x:f>'Data &amp; Reporting'!O685</x:f>
        <x:v>0</x:v>
      </x:c>
      <x:c r="Q685" s="2" t="n">
        <x:f>SUBTOTAL(103,O685)</x:f>
        <x:v>1</x:v>
      </x:c>
      <x:c r="R685" s="2" t="n">
        <x:f>IF(AND(M685=1,OR(Dashboard!$B$7="All",Dashboard!$B$7='Cycles &amp; Guide'!$C$5),OR(Dashboard!$D$7="All",Dashboard!$D$7=B685),OR(Dashboard!$F$7="All",Dashboard!$F$7=C685),OR(Dashboard!$H$7="All",Dashboard!$H$7=D685),OR(Dashboard!$K$7="All",Dashboard!$K$7=E685)),1,0)</x:f>
        <x:v>1</x:v>
      </x:c>
      <x:c r="S685" s="2" t="n">
        <x:f>IF(R685=1,SUM($R$10:R685),0)</x:f>
        <x:v>338</x:v>
      </x:c>
      <x:c r="T685" s="2" t="str">
        <x:v>Data &amp; Reporting</x:v>
      </x:c>
      <x:c r="U685" s="2" t="n">
        <x:v>685</x:v>
      </x:c>
      <x:c r="V685" s="2" t="n">
        <x:f>IF(AND(M685=1,P685=0,ISNUMBER(J685),J685&lt;TODAY()),1,0)</x:f>
        <x:v>0</x:v>
      </x:c>
      <x:c r="W685" s="2" t="str">
        <x:f>'Data &amp; Reporting'!M685</x:f>
        <x:v>Task</x:v>
      </x:c>
    </x:row>
    <x:row r="686" ht="40" customHeight="1">
      <x:c r="A686" s="3" t="str">
        <x:f>HYPERLINK("#'Data &amp; Reporting'!A686","Open")</x:f>
        <x:v>Open</x:v>
      </x:c>
      <x:c r="B686" s="2" t="str">
        <x:f>'Data &amp; Reporting'!B686</x:f>
        <x:v>Cycle 4</x:v>
      </x:c>
      <x:c r="C686" s="2" t="str">
        <x:f>'Data &amp; Reporting'!C686</x:f>
        <x:v>Phase 1</x:v>
      </x:c>
      <x:c r="D686" s="2" t="str">
        <x:f>'Data &amp; Reporting'!D686</x:f>
        <x:v>PLL</x:v>
      </x:c>
      <x:c r="E686" s="2" t="str">
        <x:v>Data &amp; Reporting</x:v>
      </x:c>
      <x:c r="F686" s="56" t="str">
        <x:f>'Data &amp; Reporting'!E686</x:f>
        <x:v>DR.PL.1.1</x:v>
      </x:c>
      <x:c r="G686" s="14" t="str">
        <x:f>'Data &amp; Reporting'!F686</x:f>
        <x:v>Review data sources 3 weeks prior to Cycle start (Complaints, Gen AI, Loudspeaker, NPS, etc.)</x:v>
      </x:c>
      <x:c r="H686" s="2" t="str">
        <x:f>IF('Data &amp; Reporting'!G686="","",'Data &amp; Reporting'!G686)</x:f>
      </x:c>
      <x:c r="I686" s="12" t="str">
        <x:f>IF('Data &amp; Reporting'!H686="","",'Data &amp; Reporting'!H686)</x:f>
      </x:c>
      <x:c r="J686" s="12" t="n">
        <x:f>IF('Data &amp; Reporting'!I686="","",'Data &amp; Reporting'!I686)</x:f>
        <x:v>46275</x:v>
      </x:c>
      <x:c r="K686" s="12" t="str">
        <x:f>IF('Data &amp; Reporting'!J686="","",'Data &amp; Reporting'!J686)</x:f>
      </x:c>
      <x:c r="L686" s="2" t="str">
        <x:f>IF('Data &amp; Reporting'!K686="","",'Data &amp; Reporting'!K686)</x:f>
      </x:c>
      <x:c r="M686" s="2" t="n">
        <x:f>'Data &amp; Reporting'!Q686</x:f>
        <x:v>1</x:v>
      </x:c>
      <x:c r="N686" s="2" t="str">
        <x:f>'Data &amp; Reporting'!L686</x:f>
        <x:v>Not started</x:v>
      </x:c>
      <x:c r="O686" s="2" t="str">
        <x:f>'Data &amp; Reporting'!N686</x:f>
        <x:v>DR.PL.1.1.2026.CY4</x:v>
      </x:c>
      <x:c r="P686" s="2" t="n">
        <x:f>'Data &amp; Reporting'!O686</x:f>
        <x:v>0</x:v>
      </x:c>
      <x:c r="Q686" s="2" t="n">
        <x:f>SUBTOTAL(103,O686)</x:f>
        <x:v>1</x:v>
      </x:c>
      <x:c r="R686" s="2" t="n">
        <x:f>IF(AND(M686=1,OR(Dashboard!$B$7="All",Dashboard!$B$7='Cycles &amp; Guide'!$C$5),OR(Dashboard!$D$7="All",Dashboard!$D$7=B686),OR(Dashboard!$F$7="All",Dashboard!$F$7=C686),OR(Dashboard!$H$7="All",Dashboard!$H$7=D686),OR(Dashboard!$K$7="All",Dashboard!$K$7=E686)),1,0)</x:f>
        <x:v>1</x:v>
      </x:c>
      <x:c r="S686" s="2" t="n">
        <x:f>IF(R686=1,SUM($R$10:R686),0)</x:f>
        <x:v>339</x:v>
      </x:c>
      <x:c r="T686" s="2" t="str">
        <x:v>Data &amp; Reporting</x:v>
      </x:c>
      <x:c r="U686" s="2" t="n">
        <x:v>686</x:v>
      </x:c>
      <x:c r="V686" s="2" t="n">
        <x:f>IF(AND(M686=1,P686=0,ISNUMBER(J686),J686&lt;TODAY()),1,0)</x:f>
        <x:v>1</x:v>
      </x:c>
      <x:c r="W686" s="2" t="str">
        <x:f>'Data &amp; Reporting'!M686</x:f>
        <x:v>Task</x:v>
      </x:c>
    </x:row>
    <x:row r="687" ht="40" customHeight="1">
      <x:c r="A687" s="3" t="str">
        <x:f>HYPERLINK("#'Data &amp; Reporting'!A687","Open")</x:f>
        <x:v>Open</x:v>
      </x:c>
      <x:c r="B687" s="2" t="str">
        <x:f>'Data &amp; Reporting'!B687</x:f>
        <x:v>Cycle 4</x:v>
      </x:c>
      <x:c r="C687" s="2" t="str">
        <x:f>'Data &amp; Reporting'!C687</x:f>
        <x:v>Phase 1</x:v>
      </x:c>
      <x:c r="D687" s="2" t="str">
        <x:f>'Data &amp; Reporting'!D687</x:f>
        <x:v>PLL</x:v>
      </x:c>
      <x:c r="E687" s="2" t="str">
        <x:v>Data &amp; Reporting</x:v>
      </x:c>
      <x:c r="F687" s="56" t="str">
        <x:f>'Data &amp; Reporting'!E687</x:f>
        <x:v>DR.PL.1.2</x:v>
      </x:c>
      <x:c r="G687" s="14" t="str">
        <x:f>'Data &amp; Reporting'!F687</x:f>
        <x:v>Identify two potential topics for the upcoming Cycle</x:v>
      </x:c>
      <x:c r="H687" s="2" t="str">
        <x:f>IF('Data &amp; Reporting'!G687="","",'Data &amp; Reporting'!G687)</x:f>
      </x:c>
      <x:c r="I687" s="12" t="str">
        <x:f>IF('Data &amp; Reporting'!H687="","",'Data &amp; Reporting'!H687)</x:f>
      </x:c>
      <x:c r="J687" s="12" t="n">
        <x:f>IF('Data &amp; Reporting'!I687="","",'Data &amp; Reporting'!I687)</x:f>
        <x:v>46387</x:v>
      </x:c>
      <x:c r="K687" s="12" t="str">
        <x:f>IF('Data &amp; Reporting'!J687="","",'Data &amp; Reporting'!J687)</x:f>
      </x:c>
      <x:c r="L687" s="2" t="str">
        <x:f>IF('Data &amp; Reporting'!K687="","",'Data &amp; Reporting'!K687)</x:f>
      </x:c>
      <x:c r="M687" s="2" t="n">
        <x:f>'Data &amp; Reporting'!Q687</x:f>
        <x:v>1</x:v>
      </x:c>
      <x:c r="N687" s="2" t="str">
        <x:f>'Data &amp; Reporting'!L687</x:f>
        <x:v>Not started</x:v>
      </x:c>
      <x:c r="O687" s="2" t="str">
        <x:f>'Data &amp; Reporting'!N687</x:f>
        <x:v>DR.PL.1.2.2026.CY4</x:v>
      </x:c>
      <x:c r="P687" s="2" t="n">
        <x:f>'Data &amp; Reporting'!O687</x:f>
        <x:v>0</x:v>
      </x:c>
      <x:c r="Q687" s="2" t="n">
        <x:f>SUBTOTAL(103,O687)</x:f>
        <x:v>1</x:v>
      </x:c>
      <x:c r="R687" s="2" t="n">
        <x:f>IF(AND(M687=1,OR(Dashboard!$B$7="All",Dashboard!$B$7='Cycles &amp; Guide'!$C$5),OR(Dashboard!$D$7="All",Dashboard!$D$7=B687),OR(Dashboard!$F$7="All",Dashboard!$F$7=C687),OR(Dashboard!$H$7="All",Dashboard!$H$7=D687),OR(Dashboard!$K$7="All",Dashboard!$K$7=E687)),1,0)</x:f>
        <x:v>1</x:v>
      </x:c>
      <x:c r="S687" s="2" t="n">
        <x:f>IF(R687=1,SUM($R$10:R687),0)</x:f>
        <x:v>340</x:v>
      </x:c>
      <x:c r="T687" s="2" t="str">
        <x:v>Data &amp; Reporting</x:v>
      </x:c>
      <x:c r="U687" s="2" t="n">
        <x:v>687</x:v>
      </x:c>
      <x:c r="V687" s="2" t="n">
        <x:f>IF(AND(M687=1,P687=0,ISNUMBER(J687),J687&lt;TODAY()),1,0)</x:f>
        <x:v>0</x:v>
      </x:c>
      <x:c r="W687" s="2" t="str">
        <x:f>'Data &amp; Reporting'!M687</x:f>
        <x:v>Task</x:v>
      </x:c>
    </x:row>
    <x:row r="688" ht="40" customHeight="1">
      <x:c r="A688" s="3" t="str">
        <x:f>HYPERLINK("#'Data &amp; Reporting'!A688","Open")</x:f>
        <x:v>Open</x:v>
      </x:c>
      <x:c r="B688" s="2" t="str">
        <x:f>'Data &amp; Reporting'!B688</x:f>
        <x:v>Cycle 4</x:v>
      </x:c>
      <x:c r="C688" s="2" t="str">
        <x:f>'Data &amp; Reporting'!C688</x:f>
        <x:v>Phase 1</x:v>
      </x:c>
      <x:c r="D688" s="2" t="str">
        <x:f>'Data &amp; Reporting'!D688</x:f>
        <x:v>PLL</x:v>
      </x:c>
      <x:c r="E688" s="2" t="str">
        <x:v>Data &amp; Reporting</x:v>
      </x:c>
      <x:c r="F688" s="56" t="str">
        <x:f>'Data &amp; Reporting'!E688</x:f>
        <x:v>DR.PL.1.3</x:v>
      </x:c>
      <x:c r="G688" s="14" t="str">
        <x:f>'Data &amp; Reporting'!F688</x:f>
        <x:v>Extract data for both potential topics, ensuring all checklist items below are included/completed</x:v>
      </x:c>
      <x:c r="H688" s="2" t="str">
        <x:f>IF('Data &amp; Reporting'!G688="","",'Data &amp; Reporting'!G688)</x:f>
      </x:c>
      <x:c r="I688" s="12" t="str">
        <x:f>IF('Data &amp; Reporting'!H688="","",'Data &amp; Reporting'!H688)</x:f>
      </x:c>
      <x:c r="J688" s="12" t="n">
        <x:f>IF('Data &amp; Reporting'!I688="","",'Data &amp; Reporting'!I688)</x:f>
        <x:v>46387</x:v>
      </x:c>
      <x:c r="K688" s="12" t="str">
        <x:f>IF('Data &amp; Reporting'!J688="","",'Data &amp; Reporting'!J688)</x:f>
      </x:c>
      <x:c r="L688" s="2" t="str">
        <x:f>IF('Data &amp; Reporting'!K688="","",'Data &amp; Reporting'!K688)</x:f>
      </x:c>
      <x:c r="M688" s="2" t="n">
        <x:f>'Data &amp; Reporting'!Q688</x:f>
        <x:v>1</x:v>
      </x:c>
      <x:c r="N688" s="2" t="str">
        <x:f>'Data &amp; Reporting'!L688</x:f>
        <x:v>Not started</x:v>
      </x:c>
      <x:c r="O688" s="2" t="str">
        <x:f>'Data &amp; Reporting'!N688</x:f>
        <x:v>DR.PL.1.3.2026.CY4</x:v>
      </x:c>
      <x:c r="P688" s="2" t="n">
        <x:f>'Data &amp; Reporting'!O688</x:f>
        <x:v>0</x:v>
      </x:c>
      <x:c r="Q688" s="2" t="n">
        <x:f>SUBTOTAL(103,O688)</x:f>
        <x:v>1</x:v>
      </x:c>
      <x:c r="R688" s="2" t="n">
        <x:f>IF(AND(M688=1,OR(Dashboard!$B$7="All",Dashboard!$B$7='Cycles &amp; Guide'!$C$5),OR(Dashboard!$D$7="All",Dashboard!$D$7=B688),OR(Dashboard!$F$7="All",Dashboard!$F$7=C688),OR(Dashboard!$H$7="All",Dashboard!$H$7=D688),OR(Dashboard!$K$7="All",Dashboard!$K$7=E688)),1,0)</x:f>
        <x:v>1</x:v>
      </x:c>
      <x:c r="S688" s="2" t="n">
        <x:f>IF(R688=1,SUM($R$10:R688),0)</x:f>
        <x:v>341</x:v>
      </x:c>
      <x:c r="T688" s="2" t="str">
        <x:v>Data &amp; Reporting</x:v>
      </x:c>
      <x:c r="U688" s="2" t="n">
        <x:v>688</x:v>
      </x:c>
      <x:c r="V688" s="2" t="n">
        <x:f>IF(AND(M688=1,P688=0,ISNUMBER(J688),J688&lt;TODAY()),1,0)</x:f>
        <x:v>0</x:v>
      </x:c>
      <x:c r="W688" s="2" t="str">
        <x:f>'Data &amp; Reporting'!M688</x:f>
        <x:v>Task</x:v>
      </x:c>
    </x:row>
    <x:row r="689" ht="40" customHeight="1">
      <x:c r="A689" s="3" t="str">
        <x:f>HYPERLINK("#'Data &amp; Reporting'!A689","Open")</x:f>
        <x:v>Open</x:v>
      </x:c>
      <x:c r="B689" s="2" t="str">
        <x:f>'Data &amp; Reporting'!B689</x:f>
        <x:v>Cycle 4</x:v>
      </x:c>
      <x:c r="C689" s="2" t="str">
        <x:f>'Data &amp; Reporting'!C689</x:f>
        <x:v>Phase 1</x:v>
      </x:c>
      <x:c r="D689" s="2" t="str">
        <x:f>'Data &amp; Reporting'!D689</x:f>
        <x:v>PLL</x:v>
      </x:c>
      <x:c r="E689" s="2" t="str">
        <x:v>Data &amp; Reporting</x:v>
      </x:c>
      <x:c r="F689" s="56" t="str">
        <x:f>'Data &amp; Reporting'!E689</x:f>
        <x:v>DR.PL.1.3.C01</x:v>
      </x:c>
      <x:c r="G689" s="14" t="str">
        <x:f>'Data &amp; Reporting'!F689</x:f>
        <x:v>    Document date range extracted</x:v>
      </x:c>
      <x:c r="H689" s="2" t="str">
        <x:f>IF('Data &amp; Reporting'!G689="","",'Data &amp; Reporting'!G689)</x:f>
      </x:c>
      <x:c r="I689" s="12" t="str">
        <x:f>IF('Data &amp; Reporting'!H689="","",'Data &amp; Reporting'!H689)</x:f>
      </x:c>
      <x:c r="J689" s="12" t="str">
        <x:f>IF('Data &amp; Reporting'!I689="","",'Data &amp; Reporting'!I689)</x:f>
      </x:c>
      <x:c r="K689" s="12" t="str">
        <x:f>IF('Data &amp; Reporting'!J689="","",'Data &amp; Reporting'!J689)</x:f>
      </x:c>
      <x:c r="L689" s="2" t="str">
        <x:f>IF('Data &amp; Reporting'!K689="","",'Data &amp; Reporting'!K689)</x:f>
      </x:c>
      <x:c r="M689" s="2" t="n">
        <x:f>'Data &amp; Reporting'!Q689</x:f>
        <x:v>0</x:v>
      </x:c>
      <x:c r="N689" s="2" t="str">
        <x:f>'Data &amp; Reporting'!L689</x:f>
        <x:v>Open check</x:v>
      </x:c>
      <x:c r="O689" s="2" t="str">
        <x:f>'Data &amp; Reporting'!N689</x:f>
        <x:v>DR.PL.1.3.C01.2026.CY4</x:v>
      </x:c>
      <x:c r="P689" s="2" t="n">
        <x:f>'Data &amp; Reporting'!O689</x:f>
        <x:v>0</x:v>
      </x:c>
      <x:c r="Q689" s="2" t="n">
        <x:f>SUBTOTAL(103,O689)</x:f>
        <x:v>1</x:v>
      </x:c>
      <x:c r="R689" s="2" t="n">
        <x:f>IF(AND(M689=1,OR(Dashboard!$B$7="All",Dashboard!$B$7='Cycles &amp; Guide'!$C$5),OR(Dashboard!$D$7="All",Dashboard!$D$7=B689),OR(Dashboard!$F$7="All",Dashboard!$F$7=C689),OR(Dashboard!$H$7="All",Dashboard!$H$7=D689),OR(Dashboard!$K$7="All",Dashboard!$K$7=E689)),1,0)</x:f>
        <x:v>0</x:v>
      </x:c>
      <x:c r="S689" s="2" t="n">
        <x:f>IF(R689=1,SUM($R$10:R689),0)</x:f>
        <x:v>0</x:v>
      </x:c>
      <x:c r="T689" s="2" t="str">
        <x:v>Data &amp; Reporting</x:v>
      </x:c>
      <x:c r="U689" s="2" t="n">
        <x:v>689</x:v>
      </x:c>
      <x:c r="V689" s="2" t="n">
        <x:f>IF(AND(M689=1,P689=0,ISNUMBER(J689),J689&lt;TODAY()),1,0)</x:f>
        <x:v>0</x:v>
      </x:c>
      <x:c r="W689" s="2" t="str">
        <x:f>'Data &amp; Reporting'!M689</x:f>
        <x:v>Checklist</x:v>
      </x:c>
    </x:row>
    <x:row r="690" ht="40" customHeight="1">
      <x:c r="A690" s="3" t="str">
        <x:f>HYPERLINK("#'Data &amp; Reporting'!A690","Open")</x:f>
        <x:v>Open</x:v>
      </x:c>
      <x:c r="B690" s="2" t="str">
        <x:f>'Data &amp; Reporting'!B690</x:f>
        <x:v>Cycle 4</x:v>
      </x:c>
      <x:c r="C690" s="2" t="str">
        <x:f>'Data &amp; Reporting'!C690</x:f>
        <x:v>Phase 1</x:v>
      </x:c>
      <x:c r="D690" s="2" t="str">
        <x:f>'Data &amp; Reporting'!D690</x:f>
        <x:v>PLL</x:v>
      </x:c>
      <x:c r="E690" s="2" t="str">
        <x:v>Data &amp; Reporting</x:v>
      </x:c>
      <x:c r="F690" s="56" t="str">
        <x:f>'Data &amp; Reporting'!E690</x:f>
        <x:v>DR.PL.1.3.C02</x:v>
      </x:c>
      <x:c r="G690" s="14" t="str">
        <x:f>'Data &amp; Reporting'!F690</x:f>
        <x:v>    Document date of data pull</x:v>
      </x:c>
      <x:c r="H690" s="2" t="str">
        <x:f>IF('Data &amp; Reporting'!G690="","",'Data &amp; Reporting'!G690)</x:f>
      </x:c>
      <x:c r="I690" s="12" t="str">
        <x:f>IF('Data &amp; Reporting'!H690="","",'Data &amp; Reporting'!H690)</x:f>
      </x:c>
      <x:c r="J690" s="12" t="str">
        <x:f>IF('Data &amp; Reporting'!I690="","",'Data &amp; Reporting'!I690)</x:f>
      </x:c>
      <x:c r="K690" s="12" t="str">
        <x:f>IF('Data &amp; Reporting'!J690="","",'Data &amp; Reporting'!J690)</x:f>
      </x:c>
      <x:c r="L690" s="2" t="str">
        <x:f>IF('Data &amp; Reporting'!K690="","",'Data &amp; Reporting'!K690)</x:f>
      </x:c>
      <x:c r="M690" s="2" t="n">
        <x:f>'Data &amp; Reporting'!Q690</x:f>
        <x:v>0</x:v>
      </x:c>
      <x:c r="N690" s="2" t="str">
        <x:f>'Data &amp; Reporting'!L690</x:f>
        <x:v>Open check</x:v>
      </x:c>
      <x:c r="O690" s="2" t="str">
        <x:f>'Data &amp; Reporting'!N690</x:f>
        <x:v>DR.PL.1.3.C02.2026.CY4</x:v>
      </x:c>
      <x:c r="P690" s="2" t="n">
        <x:f>'Data &amp; Reporting'!O690</x:f>
        <x:v>0</x:v>
      </x:c>
      <x:c r="Q690" s="2" t="n">
        <x:f>SUBTOTAL(103,O690)</x:f>
        <x:v>1</x:v>
      </x:c>
      <x:c r="R690" s="2" t="n">
        <x:f>IF(AND(M690=1,OR(Dashboard!$B$7="All",Dashboard!$B$7='Cycles &amp; Guide'!$C$5),OR(Dashboard!$D$7="All",Dashboard!$D$7=B690),OR(Dashboard!$F$7="All",Dashboard!$F$7=C690),OR(Dashboard!$H$7="All",Dashboard!$H$7=D690),OR(Dashboard!$K$7="All",Dashboard!$K$7=E690)),1,0)</x:f>
        <x:v>0</x:v>
      </x:c>
      <x:c r="S690" s="2" t="n">
        <x:f>IF(R690=1,SUM($R$10:R690),0)</x:f>
        <x:v>0</x:v>
      </x:c>
      <x:c r="T690" s="2" t="str">
        <x:v>Data &amp; Reporting</x:v>
      </x:c>
      <x:c r="U690" s="2" t="n">
        <x:v>690</x:v>
      </x:c>
      <x:c r="V690" s="2" t="n">
        <x:f>IF(AND(M690=1,P690=0,ISNUMBER(J690),J690&lt;TODAY()),1,0)</x:f>
        <x:v>0</x:v>
      </x:c>
      <x:c r="W690" s="2" t="str">
        <x:f>'Data &amp; Reporting'!M690</x:f>
        <x:v>Checklist</x:v>
      </x:c>
    </x:row>
    <x:row r="691" ht="40" customHeight="1">
      <x:c r="A691" s="3" t="str">
        <x:f>HYPERLINK("#'Data &amp; Reporting'!A691","Open")</x:f>
        <x:v>Open</x:v>
      </x:c>
      <x:c r="B691" s="2" t="str">
        <x:f>'Data &amp; Reporting'!B691</x:f>
        <x:v>Cycle 4</x:v>
      </x:c>
      <x:c r="C691" s="2" t="str">
        <x:f>'Data &amp; Reporting'!C691</x:f>
        <x:v>Phase 1</x:v>
      </x:c>
      <x:c r="D691" s="2" t="str">
        <x:f>'Data &amp; Reporting'!D691</x:f>
        <x:v>PLL</x:v>
      </x:c>
      <x:c r="E691" s="2" t="str">
        <x:v>Data &amp; Reporting</x:v>
      </x:c>
      <x:c r="F691" s="56" t="str">
        <x:f>'Data &amp; Reporting'!E691</x:f>
        <x:v>DR.PL.1.3.C03</x:v>
      </x:c>
      <x:c r="G691" s="14" t="str">
        <x:f>'Data &amp; Reporting'!F691</x:f>
        <x:v>    Document population details</x:v>
      </x:c>
      <x:c r="H691" s="2" t="str">
        <x:f>IF('Data &amp; Reporting'!G691="","",'Data &amp; Reporting'!G691)</x:f>
      </x:c>
      <x:c r="I691" s="12" t="str">
        <x:f>IF('Data &amp; Reporting'!H691="","",'Data &amp; Reporting'!H691)</x:f>
      </x:c>
      <x:c r="J691" s="12" t="str">
        <x:f>IF('Data &amp; Reporting'!I691="","",'Data &amp; Reporting'!I691)</x:f>
      </x:c>
      <x:c r="K691" s="12" t="str">
        <x:f>IF('Data &amp; Reporting'!J691="","",'Data &amp; Reporting'!J691)</x:f>
      </x:c>
      <x:c r="L691" s="2" t="str">
        <x:f>IF('Data &amp; Reporting'!K691="","",'Data &amp; Reporting'!K691)</x:f>
      </x:c>
      <x:c r="M691" s="2" t="n">
        <x:f>'Data &amp; Reporting'!Q691</x:f>
        <x:v>0</x:v>
      </x:c>
      <x:c r="N691" s="2" t="str">
        <x:f>'Data &amp; Reporting'!L691</x:f>
        <x:v>Open check</x:v>
      </x:c>
      <x:c r="O691" s="2" t="str">
        <x:f>'Data &amp; Reporting'!N691</x:f>
        <x:v>DR.PL.1.3.C03.2026.CY4</x:v>
      </x:c>
      <x:c r="P691" s="2" t="n">
        <x:f>'Data &amp; Reporting'!O691</x:f>
        <x:v>0</x:v>
      </x:c>
      <x:c r="Q691" s="2" t="n">
        <x:f>SUBTOTAL(103,O691)</x:f>
        <x:v>1</x:v>
      </x:c>
      <x:c r="R691" s="2" t="n">
        <x:f>IF(AND(M691=1,OR(Dashboard!$B$7="All",Dashboard!$B$7='Cycles &amp; Guide'!$C$5),OR(Dashboard!$D$7="All",Dashboard!$D$7=B691),OR(Dashboard!$F$7="All",Dashboard!$F$7=C691),OR(Dashboard!$H$7="All",Dashboard!$H$7=D691),OR(Dashboard!$K$7="All",Dashboard!$K$7=E691)),1,0)</x:f>
        <x:v>0</x:v>
      </x:c>
      <x:c r="S691" s="2" t="n">
        <x:f>IF(R691=1,SUM($R$10:R691),0)</x:f>
        <x:v>0</x:v>
      </x:c>
      <x:c r="T691" s="2" t="str">
        <x:v>Data &amp; Reporting</x:v>
      </x:c>
      <x:c r="U691" s="2" t="n">
        <x:v>691</x:v>
      </x:c>
      <x:c r="V691" s="2" t="n">
        <x:f>IF(AND(M691=1,P691=0,ISNUMBER(J691),J691&lt;TODAY()),1,0)</x:f>
        <x:v>0</x:v>
      </x:c>
      <x:c r="W691" s="2" t="str">
        <x:f>'Data &amp; Reporting'!M691</x:f>
        <x:v>Checklist</x:v>
      </x:c>
    </x:row>
    <x:row r="692" ht="40" customHeight="1">
      <x:c r="A692" s="3" t="str">
        <x:f>HYPERLINK("#'Data &amp; Reporting'!A692","Open")</x:f>
        <x:v>Open</x:v>
      </x:c>
      <x:c r="B692" s="2" t="str">
        <x:f>'Data &amp; Reporting'!B692</x:f>
        <x:v>Cycle 4</x:v>
      </x:c>
      <x:c r="C692" s="2" t="str">
        <x:f>'Data &amp; Reporting'!C692</x:f>
        <x:v>Phase 1</x:v>
      </x:c>
      <x:c r="D692" s="2" t="str">
        <x:f>'Data &amp; Reporting'!D692</x:f>
        <x:v>PLL</x:v>
      </x:c>
      <x:c r="E692" s="2" t="str">
        <x:v>Data &amp; Reporting</x:v>
      </x:c>
      <x:c r="F692" s="56" t="str">
        <x:f>'Data &amp; Reporting'!E692</x:f>
        <x:v>DR.PL.1.3.C04</x:v>
      </x:c>
      <x:c r="G692" s="14" t="str">
        <x:f>'Data &amp; Reporting'!F692</x:f>
        <x:v>    Validate no data is missing</x:v>
      </x:c>
      <x:c r="H692" s="2" t="str">
        <x:f>IF('Data &amp; Reporting'!G692="","",'Data &amp; Reporting'!G692)</x:f>
      </x:c>
      <x:c r="I692" s="12" t="str">
        <x:f>IF('Data &amp; Reporting'!H692="","",'Data &amp; Reporting'!H692)</x:f>
      </x:c>
      <x:c r="J692" s="12" t="str">
        <x:f>IF('Data &amp; Reporting'!I692="","",'Data &amp; Reporting'!I692)</x:f>
      </x:c>
      <x:c r="K692" s="12" t="str">
        <x:f>IF('Data &amp; Reporting'!J692="","",'Data &amp; Reporting'!J692)</x:f>
      </x:c>
      <x:c r="L692" s="2" t="str">
        <x:f>IF('Data &amp; Reporting'!K692="","",'Data &amp; Reporting'!K692)</x:f>
      </x:c>
      <x:c r="M692" s="2" t="n">
        <x:f>'Data &amp; Reporting'!Q692</x:f>
        <x:v>0</x:v>
      </x:c>
      <x:c r="N692" s="2" t="str">
        <x:f>'Data &amp; Reporting'!L692</x:f>
        <x:v>Open check</x:v>
      </x:c>
      <x:c r="O692" s="2" t="str">
        <x:f>'Data &amp; Reporting'!N692</x:f>
        <x:v>DR.PL.1.3.C04.2026.CY4</x:v>
      </x:c>
      <x:c r="P692" s="2" t="n">
        <x:f>'Data &amp; Reporting'!O692</x:f>
        <x:v>0</x:v>
      </x:c>
      <x:c r="Q692" s="2" t="n">
        <x:f>SUBTOTAL(103,O692)</x:f>
        <x:v>1</x:v>
      </x:c>
      <x:c r="R692" s="2" t="n">
        <x:f>IF(AND(M692=1,OR(Dashboard!$B$7="All",Dashboard!$B$7='Cycles &amp; Guide'!$C$5),OR(Dashboard!$D$7="All",Dashboard!$D$7=B692),OR(Dashboard!$F$7="All",Dashboard!$F$7=C692),OR(Dashboard!$H$7="All",Dashboard!$H$7=D692),OR(Dashboard!$K$7="All",Dashboard!$K$7=E692)),1,0)</x:f>
        <x:v>0</x:v>
      </x:c>
      <x:c r="S692" s="2" t="n">
        <x:f>IF(R692=1,SUM($R$10:R692),0)</x:f>
        <x:v>0</x:v>
      </x:c>
      <x:c r="T692" s="2" t="str">
        <x:v>Data &amp; Reporting</x:v>
      </x:c>
      <x:c r="U692" s="2" t="n">
        <x:v>692</x:v>
      </x:c>
      <x:c r="V692" s="2" t="n">
        <x:f>IF(AND(M692=1,P692=0,ISNUMBER(J692),J692&lt;TODAY()),1,0)</x:f>
        <x:v>0</x:v>
      </x:c>
      <x:c r="W692" s="2" t="str">
        <x:f>'Data &amp; Reporting'!M692</x:f>
        <x:v>Checklist</x:v>
      </x:c>
    </x:row>
    <x:row r="693" ht="40" customHeight="1">
      <x:c r="A693" s="3" t="str">
        <x:f>HYPERLINK("#'Data &amp; Reporting'!A693","Open")</x:f>
        <x:v>Open</x:v>
      </x:c>
      <x:c r="B693" s="2" t="str">
        <x:f>'Data &amp; Reporting'!B693</x:f>
        <x:v>Cycle 4</x:v>
      </x:c>
      <x:c r="C693" s="2" t="str">
        <x:f>'Data &amp; Reporting'!C693</x:f>
        <x:v>Phase 1</x:v>
      </x:c>
      <x:c r="D693" s="2" t="str">
        <x:f>'Data &amp; Reporting'!D693</x:f>
        <x:v>PLL</x:v>
      </x:c>
      <x:c r="E693" s="2" t="str">
        <x:v>Data &amp; Reporting</x:v>
      </x:c>
      <x:c r="F693" s="56" t="str">
        <x:f>'Data &amp; Reporting'!E693</x:f>
        <x:v>DR.PL.1.3.C05</x:v>
      </x:c>
      <x:c r="G693" s="14" t="str">
        <x:f>'Data &amp; Reporting'!F693</x:f>
        <x:v>    Validate accuracy of data</x:v>
      </x:c>
      <x:c r="H693" s="2" t="str">
        <x:f>IF('Data &amp; Reporting'!G693="","",'Data &amp; Reporting'!G693)</x:f>
      </x:c>
      <x:c r="I693" s="12" t="str">
        <x:f>IF('Data &amp; Reporting'!H693="","",'Data &amp; Reporting'!H693)</x:f>
      </x:c>
      <x:c r="J693" s="12" t="str">
        <x:f>IF('Data &amp; Reporting'!I693="","",'Data &amp; Reporting'!I693)</x:f>
      </x:c>
      <x:c r="K693" s="12" t="str">
        <x:f>IF('Data &amp; Reporting'!J693="","",'Data &amp; Reporting'!J693)</x:f>
      </x:c>
      <x:c r="L693" s="2" t="str">
        <x:f>IF('Data &amp; Reporting'!K693="","",'Data &amp; Reporting'!K693)</x:f>
      </x:c>
      <x:c r="M693" s="2" t="n">
        <x:f>'Data &amp; Reporting'!Q693</x:f>
        <x:v>0</x:v>
      </x:c>
      <x:c r="N693" s="2" t="str">
        <x:f>'Data &amp; Reporting'!L693</x:f>
        <x:v>Open check</x:v>
      </x:c>
      <x:c r="O693" s="2" t="str">
        <x:f>'Data &amp; Reporting'!N693</x:f>
        <x:v>DR.PL.1.3.C05.2026.CY4</x:v>
      </x:c>
      <x:c r="P693" s="2" t="n">
        <x:f>'Data &amp; Reporting'!O693</x:f>
        <x:v>0</x:v>
      </x:c>
      <x:c r="Q693" s="2" t="n">
        <x:f>SUBTOTAL(103,O693)</x:f>
        <x:v>1</x:v>
      </x:c>
      <x:c r="R693" s="2" t="n">
        <x:f>IF(AND(M693=1,OR(Dashboard!$B$7="All",Dashboard!$B$7='Cycles &amp; Guide'!$C$5),OR(Dashboard!$D$7="All",Dashboard!$D$7=B693),OR(Dashboard!$F$7="All",Dashboard!$F$7=C693),OR(Dashboard!$H$7="All",Dashboard!$H$7=D693),OR(Dashboard!$K$7="All",Dashboard!$K$7=E693)),1,0)</x:f>
        <x:v>0</x:v>
      </x:c>
      <x:c r="S693" s="2" t="n">
        <x:f>IF(R693=1,SUM($R$10:R693),0)</x:f>
        <x:v>0</x:v>
      </x:c>
      <x:c r="T693" s="2" t="str">
        <x:v>Data &amp; Reporting</x:v>
      </x:c>
      <x:c r="U693" s="2" t="n">
        <x:v>693</x:v>
      </x:c>
      <x:c r="V693" s="2" t="n">
        <x:f>IF(AND(M693=1,P693=0,ISNUMBER(J693),J693&lt;TODAY()),1,0)</x:f>
        <x:v>0</x:v>
      </x:c>
      <x:c r="W693" s="2" t="str">
        <x:f>'Data &amp; Reporting'!M693</x:f>
        <x:v>Checklist</x:v>
      </x:c>
    </x:row>
    <x:row r="694" ht="40" customHeight="1">
      <x:c r="A694" s="3" t="str">
        <x:f>HYPERLINK("#'Data &amp; Reporting'!A694","Open")</x:f>
        <x:v>Open</x:v>
      </x:c>
      <x:c r="B694" s="2" t="str">
        <x:f>'Data &amp; Reporting'!B694</x:f>
        <x:v>Cycle 4</x:v>
      </x:c>
      <x:c r="C694" s="2" t="str">
        <x:f>'Data &amp; Reporting'!C694</x:f>
        <x:v>Phase 1</x:v>
      </x:c>
      <x:c r="D694" s="2" t="str">
        <x:f>'Data &amp; Reporting'!D694</x:f>
        <x:v>PLL</x:v>
      </x:c>
      <x:c r="E694" s="2" t="str">
        <x:v>Data &amp; Reporting</x:v>
      </x:c>
      <x:c r="F694" s="56" t="str">
        <x:f>'Data &amp; Reporting'!E694</x:f>
        <x:v>DR.PL.1.3.C06</x:v>
      </x:c>
      <x:c r="G694" s="14" t="str">
        <x:f>'Data &amp; Reporting'!F694</x:f>
        <x:v>    Validate no duplicate data is provided</x:v>
      </x:c>
      <x:c r="H694" s="2" t="str">
        <x:f>IF('Data &amp; Reporting'!G694="","",'Data &amp; Reporting'!G694)</x:f>
      </x:c>
      <x:c r="I694" s="12" t="str">
        <x:f>IF('Data &amp; Reporting'!H694="","",'Data &amp; Reporting'!H694)</x:f>
      </x:c>
      <x:c r="J694" s="12" t="str">
        <x:f>IF('Data &amp; Reporting'!I694="","",'Data &amp; Reporting'!I694)</x:f>
      </x:c>
      <x:c r="K694" s="12" t="str">
        <x:f>IF('Data &amp; Reporting'!J694="","",'Data &amp; Reporting'!J694)</x:f>
      </x:c>
      <x:c r="L694" s="2" t="str">
        <x:f>IF('Data &amp; Reporting'!K694="","",'Data &amp; Reporting'!K694)</x:f>
      </x:c>
      <x:c r="M694" s="2" t="n">
        <x:f>'Data &amp; Reporting'!Q694</x:f>
        <x:v>0</x:v>
      </x:c>
      <x:c r="N694" s="2" t="str">
        <x:f>'Data &amp; Reporting'!L694</x:f>
        <x:v>Open check</x:v>
      </x:c>
      <x:c r="O694" s="2" t="str">
        <x:f>'Data &amp; Reporting'!N694</x:f>
        <x:v>DR.PL.1.3.C06.2026.CY4</x:v>
      </x:c>
      <x:c r="P694" s="2" t="n">
        <x:f>'Data &amp; Reporting'!O694</x:f>
        <x:v>0</x:v>
      </x:c>
      <x:c r="Q694" s="2" t="n">
        <x:f>SUBTOTAL(103,O694)</x:f>
        <x:v>1</x:v>
      </x:c>
      <x:c r="R694" s="2" t="n">
        <x:f>IF(AND(M694=1,OR(Dashboard!$B$7="All",Dashboard!$B$7='Cycles &amp; Guide'!$C$5),OR(Dashboard!$D$7="All",Dashboard!$D$7=B694),OR(Dashboard!$F$7="All",Dashboard!$F$7=C694),OR(Dashboard!$H$7="All",Dashboard!$H$7=D694),OR(Dashboard!$K$7="All",Dashboard!$K$7=E694)),1,0)</x:f>
        <x:v>0</x:v>
      </x:c>
      <x:c r="S694" s="2" t="n">
        <x:f>IF(R694=1,SUM($R$10:R694),0)</x:f>
        <x:v>0</x:v>
      </x:c>
      <x:c r="T694" s="2" t="str">
        <x:v>Data &amp; Reporting</x:v>
      </x:c>
      <x:c r="U694" s="2" t="n">
        <x:v>694</x:v>
      </x:c>
      <x:c r="V694" s="2" t="n">
        <x:f>IF(AND(M694=1,P694=0,ISNUMBER(J694),J694&lt;TODAY()),1,0)</x:f>
        <x:v>0</x:v>
      </x:c>
      <x:c r="W694" s="2" t="str">
        <x:f>'Data &amp; Reporting'!M694</x:f>
        <x:v>Checklist</x:v>
      </x:c>
    </x:row>
    <x:row r="695" ht="40" customHeight="1">
      <x:c r="A695" s="3" t="str">
        <x:f>HYPERLINK("#'Data &amp; Reporting'!A695","Open")</x:f>
        <x:v>Open</x:v>
      </x:c>
      <x:c r="B695" s="2" t="str">
        <x:f>'Data &amp; Reporting'!B695</x:f>
        <x:v>Cycle 4</x:v>
      </x:c>
      <x:c r="C695" s="2" t="str">
        <x:f>'Data &amp; Reporting'!C695</x:f>
        <x:v>Phase 1</x:v>
      </x:c>
      <x:c r="D695" s="2" t="str">
        <x:f>'Data &amp; Reporting'!D695</x:f>
        <x:v>PLL</x:v>
      </x:c>
      <x:c r="E695" s="2" t="str">
        <x:v>Data &amp; Reporting</x:v>
      </x:c>
      <x:c r="F695" s="56" t="str">
        <x:f>'Data &amp; Reporting'!E695</x:f>
        <x:v>DR.PL.1.3.C07</x:v>
      </x:c>
      <x:c r="G695" s="14" t="str">
        <x:f>'Data &amp; Reporting'!F695</x:f>
        <x:v>    Document any data exclusions along with justification (as needed)</x:v>
      </x:c>
      <x:c r="H695" s="2" t="str">
        <x:f>IF('Data &amp; Reporting'!G695="","",'Data &amp; Reporting'!G695)</x:f>
      </x:c>
      <x:c r="I695" s="12" t="str">
        <x:f>IF('Data &amp; Reporting'!H695="","",'Data &amp; Reporting'!H695)</x:f>
      </x:c>
      <x:c r="J695" s="12" t="str">
        <x:f>IF('Data &amp; Reporting'!I695="","",'Data &amp; Reporting'!I695)</x:f>
      </x:c>
      <x:c r="K695" s="12" t="str">
        <x:f>IF('Data &amp; Reporting'!J695="","",'Data &amp; Reporting'!J695)</x:f>
      </x:c>
      <x:c r="L695" s="2" t="str">
        <x:f>IF('Data &amp; Reporting'!K695="","",'Data &amp; Reporting'!K695)</x:f>
      </x:c>
      <x:c r="M695" s="2" t="n">
        <x:f>'Data &amp; Reporting'!Q695</x:f>
        <x:v>0</x:v>
      </x:c>
      <x:c r="N695" s="2" t="str">
        <x:f>'Data &amp; Reporting'!L695</x:f>
        <x:v>Open check</x:v>
      </x:c>
      <x:c r="O695" s="2" t="str">
        <x:f>'Data &amp; Reporting'!N695</x:f>
        <x:v>DR.PL.1.3.C07.2026.CY4</x:v>
      </x:c>
      <x:c r="P695" s="2" t="n">
        <x:f>'Data &amp; Reporting'!O695</x:f>
        <x:v>0</x:v>
      </x:c>
      <x:c r="Q695" s="2" t="n">
        <x:f>SUBTOTAL(103,O695)</x:f>
        <x:v>1</x:v>
      </x:c>
      <x:c r="R695" s="2" t="n">
        <x:f>IF(AND(M695=1,OR(Dashboard!$B$7="All",Dashboard!$B$7='Cycles &amp; Guide'!$C$5),OR(Dashboard!$D$7="All",Dashboard!$D$7=B695),OR(Dashboard!$F$7="All",Dashboard!$F$7=C695),OR(Dashboard!$H$7="All",Dashboard!$H$7=D695),OR(Dashboard!$K$7="All",Dashboard!$K$7=E695)),1,0)</x:f>
        <x:v>0</x:v>
      </x:c>
      <x:c r="S695" s="2" t="n">
        <x:f>IF(R695=1,SUM($R$10:R695),0)</x:f>
        <x:v>0</x:v>
      </x:c>
      <x:c r="T695" s="2" t="str">
        <x:v>Data &amp; Reporting</x:v>
      </x:c>
      <x:c r="U695" s="2" t="n">
        <x:v>695</x:v>
      </x:c>
      <x:c r="V695" s="2" t="n">
        <x:f>IF(AND(M695=1,P695=0,ISNUMBER(J695),J695&lt;TODAY()),1,0)</x:f>
        <x:v>0</x:v>
      </x:c>
      <x:c r="W695" s="2" t="str">
        <x:f>'Data &amp; Reporting'!M695</x:f>
        <x:v>Checklist</x:v>
      </x:c>
    </x:row>
    <x:row r="696" ht="40" customHeight="1">
      <x:c r="A696" s="3" t="str">
        <x:f>HYPERLINK("#'Data &amp; Reporting'!A696","Open")</x:f>
        <x:v>Open</x:v>
      </x:c>
      <x:c r="B696" s="2" t="str">
        <x:f>'Data &amp; Reporting'!B696</x:f>
        <x:v>Cycle 4</x:v>
      </x:c>
      <x:c r="C696" s="2" t="str">
        <x:f>'Data &amp; Reporting'!C696</x:f>
        <x:v>Phase 1</x:v>
      </x:c>
      <x:c r="D696" s="2" t="str">
        <x:f>'Data &amp; Reporting'!D696</x:f>
        <x:v>PLL</x:v>
      </x:c>
      <x:c r="E696" s="2" t="str">
        <x:v>Data &amp; Reporting</x:v>
      </x:c>
      <x:c r="F696" s="56" t="str">
        <x:f>'Data &amp; Reporting'!E696</x:f>
        <x:v>DR.PL.1.3.C08</x:v>
      </x:c>
      <x:c r="G696" s="14" t="str">
        <x:f>'Data &amp; Reporting'!F696</x:f>
        <x:v>    Document any assumptions made with the data (as needed)</x:v>
      </x:c>
      <x:c r="H696" s="2" t="str">
        <x:f>IF('Data &amp; Reporting'!G696="","",'Data &amp; Reporting'!G696)</x:f>
      </x:c>
      <x:c r="I696" s="12" t="str">
        <x:f>IF('Data &amp; Reporting'!H696="","",'Data &amp; Reporting'!H696)</x:f>
      </x:c>
      <x:c r="J696" s="12" t="str">
        <x:f>IF('Data &amp; Reporting'!I696="","",'Data &amp; Reporting'!I696)</x:f>
      </x:c>
      <x:c r="K696" s="12" t="str">
        <x:f>IF('Data &amp; Reporting'!J696="","",'Data &amp; Reporting'!J696)</x:f>
      </x:c>
      <x:c r="L696" s="2" t="str">
        <x:f>IF('Data &amp; Reporting'!K696="","",'Data &amp; Reporting'!K696)</x:f>
      </x:c>
      <x:c r="M696" s="2" t="n">
        <x:f>'Data &amp; Reporting'!Q696</x:f>
        <x:v>0</x:v>
      </x:c>
      <x:c r="N696" s="2" t="str">
        <x:f>'Data &amp; Reporting'!L696</x:f>
        <x:v>Open check</x:v>
      </x:c>
      <x:c r="O696" s="2" t="str">
        <x:f>'Data &amp; Reporting'!N696</x:f>
        <x:v>DR.PL.1.3.C08.2026.CY4</x:v>
      </x:c>
      <x:c r="P696" s="2" t="n">
        <x:f>'Data &amp; Reporting'!O696</x:f>
        <x:v>0</x:v>
      </x:c>
      <x:c r="Q696" s="2" t="n">
        <x:f>SUBTOTAL(103,O696)</x:f>
        <x:v>1</x:v>
      </x:c>
      <x:c r="R696" s="2" t="n">
        <x:f>IF(AND(M696=1,OR(Dashboard!$B$7="All",Dashboard!$B$7='Cycles &amp; Guide'!$C$5),OR(Dashboard!$D$7="All",Dashboard!$D$7=B696),OR(Dashboard!$F$7="All",Dashboard!$F$7=C696),OR(Dashboard!$H$7="All",Dashboard!$H$7=D696),OR(Dashboard!$K$7="All",Dashboard!$K$7=E696)),1,0)</x:f>
        <x:v>0</x:v>
      </x:c>
      <x:c r="S696" s="2" t="n">
        <x:f>IF(R696=1,SUM($R$10:R696),0)</x:f>
        <x:v>0</x:v>
      </x:c>
      <x:c r="T696" s="2" t="str">
        <x:v>Data &amp; Reporting</x:v>
      </x:c>
      <x:c r="U696" s="2" t="n">
        <x:v>696</x:v>
      </x:c>
      <x:c r="V696" s="2" t="n">
        <x:f>IF(AND(M696=1,P696=0,ISNUMBER(J696),J696&lt;TODAY()),1,0)</x:f>
        <x:v>0</x:v>
      </x:c>
      <x:c r="W696" s="2" t="str">
        <x:f>'Data &amp; Reporting'!M696</x:f>
        <x:v>Checklist</x:v>
      </x:c>
    </x:row>
    <x:row r="697" ht="40" customHeight="1">
      <x:c r="A697" s="3" t="str">
        <x:f>HYPERLINK("#'Data &amp; Reporting'!A697","Open")</x:f>
        <x:v>Open</x:v>
      </x:c>
      <x:c r="B697" s="2" t="str">
        <x:f>'Data &amp; Reporting'!B697</x:f>
        <x:v>Cycle 4</x:v>
      </x:c>
      <x:c r="C697" s="2" t="str">
        <x:f>'Data &amp; Reporting'!C697</x:f>
        <x:v>Phase 1</x:v>
      </x:c>
      <x:c r="D697" s="2" t="str">
        <x:f>'Data &amp; Reporting'!D697</x:f>
        <x:v>PLL</x:v>
      </x:c>
      <x:c r="E697" s="2" t="str">
        <x:v>Data &amp; Reporting</x:v>
      </x:c>
      <x:c r="F697" s="56" t="str">
        <x:f>'Data &amp; Reporting'!E697</x:f>
        <x:v>DR.PL.1.3.C09</x:v>
      </x:c>
      <x:c r="G697" s="14" t="str">
        <x:f>'Data &amp; Reporting'!F697</x:f>
        <x:v>    Document any data limitations or constraints clearly (as needed)</x:v>
      </x:c>
      <x:c r="H697" s="2" t="str">
        <x:f>IF('Data &amp; Reporting'!G697="","",'Data &amp; Reporting'!G697)</x:f>
      </x:c>
      <x:c r="I697" s="12" t="str">
        <x:f>IF('Data &amp; Reporting'!H697="","",'Data &amp; Reporting'!H697)</x:f>
      </x:c>
      <x:c r="J697" s="12" t="str">
        <x:f>IF('Data &amp; Reporting'!I697="","",'Data &amp; Reporting'!I697)</x:f>
      </x:c>
      <x:c r="K697" s="12" t="str">
        <x:f>IF('Data &amp; Reporting'!J697="","",'Data &amp; Reporting'!J697)</x:f>
      </x:c>
      <x:c r="L697" s="2" t="str">
        <x:f>IF('Data &amp; Reporting'!K697="","",'Data &amp; Reporting'!K697)</x:f>
      </x:c>
      <x:c r="M697" s="2" t="n">
        <x:f>'Data &amp; Reporting'!Q697</x:f>
        <x:v>0</x:v>
      </x:c>
      <x:c r="N697" s="2" t="str">
        <x:f>'Data &amp; Reporting'!L697</x:f>
        <x:v>Open check</x:v>
      </x:c>
      <x:c r="O697" s="2" t="str">
        <x:f>'Data &amp; Reporting'!N697</x:f>
        <x:v>DR.PL.1.3.C09.2026.CY4</x:v>
      </x:c>
      <x:c r="P697" s="2" t="n">
        <x:f>'Data &amp; Reporting'!O697</x:f>
        <x:v>0</x:v>
      </x:c>
      <x:c r="Q697" s="2" t="n">
        <x:f>SUBTOTAL(103,O697)</x:f>
        <x:v>1</x:v>
      </x:c>
      <x:c r="R697" s="2" t="n">
        <x:f>IF(AND(M697=1,OR(Dashboard!$B$7="All",Dashboard!$B$7='Cycles &amp; Guide'!$C$5),OR(Dashboard!$D$7="All",Dashboard!$D$7=B697),OR(Dashboard!$F$7="All",Dashboard!$F$7=C697),OR(Dashboard!$H$7="All",Dashboard!$H$7=D697),OR(Dashboard!$K$7="All",Dashboard!$K$7=E697)),1,0)</x:f>
        <x:v>0</x:v>
      </x:c>
      <x:c r="S697" s="2" t="n">
        <x:f>IF(R697=1,SUM($R$10:R697),0)</x:f>
        <x:v>0</x:v>
      </x:c>
      <x:c r="T697" s="2" t="str">
        <x:v>Data &amp; Reporting</x:v>
      </x:c>
      <x:c r="U697" s="2" t="n">
        <x:v>697</x:v>
      </x:c>
      <x:c r="V697" s="2" t="n">
        <x:f>IF(AND(M697=1,P697=0,ISNUMBER(J697),J697&lt;TODAY()),1,0)</x:f>
        <x:v>0</x:v>
      </x:c>
      <x:c r="W697" s="2" t="str">
        <x:f>'Data &amp; Reporting'!M697</x:f>
        <x:v>Checklist</x:v>
      </x:c>
    </x:row>
    <x:row r="698" ht="40" customHeight="1">
      <x:c r="A698" s="3" t="str">
        <x:f>HYPERLINK("#'Data &amp; Reporting'!A698","Open")</x:f>
        <x:v>Open</x:v>
      </x:c>
      <x:c r="B698" s="2" t="str">
        <x:f>'Data &amp; Reporting'!B698</x:f>
        <x:v>Cycle 4</x:v>
      </x:c>
      <x:c r="C698" s="2" t="str">
        <x:f>'Data &amp; Reporting'!C698</x:f>
        <x:v>Phase 1</x:v>
      </x:c>
      <x:c r="D698" s="2" t="str">
        <x:f>'Data &amp; Reporting'!D698</x:f>
        <x:v>PLL</x:v>
      </x:c>
      <x:c r="E698" s="2" t="str">
        <x:v>Data &amp; Reporting</x:v>
      </x:c>
      <x:c r="F698" s="56" t="str">
        <x:f>'Data &amp; Reporting'!E698</x:f>
        <x:v>DR.PL.1.3.C10</x:v>
      </x:c>
      <x:c r="G698" s="14" t="str">
        <x:f>'Data &amp; Reporting'!F698</x:f>
        <x:v>    Document data dictionary or field definitions for columns/rows</x:v>
      </x:c>
      <x:c r="H698" s="2" t="str">
        <x:f>IF('Data &amp; Reporting'!G698="","",'Data &amp; Reporting'!G698)</x:f>
      </x:c>
      <x:c r="I698" s="12" t="str">
        <x:f>IF('Data &amp; Reporting'!H698="","",'Data &amp; Reporting'!H698)</x:f>
      </x:c>
      <x:c r="J698" s="12" t="str">
        <x:f>IF('Data &amp; Reporting'!I698="","",'Data &amp; Reporting'!I698)</x:f>
      </x:c>
      <x:c r="K698" s="12" t="str">
        <x:f>IF('Data &amp; Reporting'!J698="","",'Data &amp; Reporting'!J698)</x:f>
      </x:c>
      <x:c r="L698" s="2" t="str">
        <x:f>IF('Data &amp; Reporting'!K698="","",'Data &amp; Reporting'!K698)</x:f>
      </x:c>
      <x:c r="M698" s="2" t="n">
        <x:f>'Data &amp; Reporting'!Q698</x:f>
        <x:v>0</x:v>
      </x:c>
      <x:c r="N698" s="2" t="str">
        <x:f>'Data &amp; Reporting'!L698</x:f>
        <x:v>Open check</x:v>
      </x:c>
      <x:c r="O698" s="2" t="str">
        <x:f>'Data &amp; Reporting'!N698</x:f>
        <x:v>DR.PL.1.3.C10.2026.CY4</x:v>
      </x:c>
      <x:c r="P698" s="2" t="n">
        <x:f>'Data &amp; Reporting'!O698</x:f>
        <x:v>0</x:v>
      </x:c>
      <x:c r="Q698" s="2" t="n">
        <x:f>SUBTOTAL(103,O698)</x:f>
        <x:v>1</x:v>
      </x:c>
      <x:c r="R698" s="2" t="n">
        <x:f>IF(AND(M698=1,OR(Dashboard!$B$7="All",Dashboard!$B$7='Cycles &amp; Guide'!$C$5),OR(Dashboard!$D$7="All",Dashboard!$D$7=B698),OR(Dashboard!$F$7="All",Dashboard!$F$7=C698),OR(Dashboard!$H$7="All",Dashboard!$H$7=D698),OR(Dashboard!$K$7="All",Dashboard!$K$7=E698)),1,0)</x:f>
        <x:v>0</x:v>
      </x:c>
      <x:c r="S698" s="2" t="n">
        <x:f>IF(R698=1,SUM($R$10:R698),0)</x:f>
        <x:v>0</x:v>
      </x:c>
      <x:c r="T698" s="2" t="str">
        <x:v>Data &amp; Reporting</x:v>
      </x:c>
      <x:c r="U698" s="2" t="n">
        <x:v>698</x:v>
      </x:c>
      <x:c r="V698" s="2" t="n">
        <x:f>IF(AND(M698=1,P698=0,ISNUMBER(J698),J698&lt;TODAY()),1,0)</x:f>
        <x:v>0</x:v>
      </x:c>
      <x:c r="W698" s="2" t="str">
        <x:f>'Data &amp; Reporting'!M698</x:f>
        <x:v>Checklist</x:v>
      </x:c>
    </x:row>
    <x:row r="699" ht="40" customHeight="1">
      <x:c r="A699" s="3" t="str">
        <x:f>HYPERLINK("#'Data &amp; Reporting'!A699","Open")</x:f>
        <x:v>Open</x:v>
      </x:c>
      <x:c r="B699" s="2" t="str">
        <x:f>'Data &amp; Reporting'!B699</x:f>
        <x:v>Cycle 4</x:v>
      </x:c>
      <x:c r="C699" s="2" t="str">
        <x:f>'Data &amp; Reporting'!C699</x:f>
        <x:v>Phase 1</x:v>
      </x:c>
      <x:c r="D699" s="2" t="str">
        <x:f>'Data &amp; Reporting'!D699</x:f>
        <x:v>PLL</x:v>
      </x:c>
      <x:c r="E699" s="2" t="str">
        <x:v>Data &amp; Reporting</x:v>
      </x:c>
      <x:c r="F699" s="56" t="str">
        <x:f>'Data &amp; Reporting'!E699</x:f>
        <x:v>DR.PL.1.3.C11</x:v>
      </x:c>
      <x:c r="G699" s="14" t="str">
        <x:f>'Data &amp; Reporting'!F699</x:f>
        <x:v>    Document emerging trends, patterns, or concentrations along with supporting data</x:v>
      </x:c>
      <x:c r="H699" s="2" t="str">
        <x:f>IF('Data &amp; Reporting'!G699="","",'Data &amp; Reporting'!G699)</x:f>
      </x:c>
      <x:c r="I699" s="12" t="str">
        <x:f>IF('Data &amp; Reporting'!H699="","",'Data &amp; Reporting'!H699)</x:f>
      </x:c>
      <x:c r="J699" s="12" t="str">
        <x:f>IF('Data &amp; Reporting'!I699="","",'Data &amp; Reporting'!I699)</x:f>
      </x:c>
      <x:c r="K699" s="12" t="str">
        <x:f>IF('Data &amp; Reporting'!J699="","",'Data &amp; Reporting'!J699)</x:f>
      </x:c>
      <x:c r="L699" s="2" t="str">
        <x:f>IF('Data &amp; Reporting'!K699="","",'Data &amp; Reporting'!K699)</x:f>
      </x:c>
      <x:c r="M699" s="2" t="n">
        <x:f>'Data &amp; Reporting'!Q699</x:f>
        <x:v>0</x:v>
      </x:c>
      <x:c r="N699" s="2" t="str">
        <x:f>'Data &amp; Reporting'!L699</x:f>
        <x:v>Open check</x:v>
      </x:c>
      <x:c r="O699" s="2" t="str">
        <x:f>'Data &amp; Reporting'!N699</x:f>
        <x:v>DR.PL.1.3.C11.2026.CY4</x:v>
      </x:c>
      <x:c r="P699" s="2" t="n">
        <x:f>'Data &amp; Reporting'!O699</x:f>
        <x:v>0</x:v>
      </x:c>
      <x:c r="Q699" s="2" t="n">
        <x:f>SUBTOTAL(103,O699)</x:f>
        <x:v>1</x:v>
      </x:c>
      <x:c r="R699" s="2" t="n">
        <x:f>IF(AND(M699=1,OR(Dashboard!$B$7="All",Dashboard!$B$7='Cycles &amp; Guide'!$C$5),OR(Dashboard!$D$7="All",Dashboard!$D$7=B699),OR(Dashboard!$F$7="All",Dashboard!$F$7=C699),OR(Dashboard!$H$7="All",Dashboard!$H$7=D699),OR(Dashboard!$K$7="All",Dashboard!$K$7=E699)),1,0)</x:f>
        <x:v>0</x:v>
      </x:c>
      <x:c r="S699" s="2" t="n">
        <x:f>IF(R699=1,SUM($R$10:R699),0)</x:f>
        <x:v>0</x:v>
      </x:c>
      <x:c r="T699" s="2" t="str">
        <x:v>Data &amp; Reporting</x:v>
      </x:c>
      <x:c r="U699" s="2" t="n">
        <x:v>699</x:v>
      </x:c>
      <x:c r="V699" s="2" t="n">
        <x:f>IF(AND(M699=1,P699=0,ISNUMBER(J699),J699&lt;TODAY()),1,0)</x:f>
        <x:v>0</x:v>
      </x:c>
      <x:c r="W699" s="2" t="str">
        <x:f>'Data &amp; Reporting'!M699</x:f>
        <x:v>Checklist</x:v>
      </x:c>
    </x:row>
    <x:row r="700" ht="40" customHeight="1">
      <x:c r="A700" s="3" t="str">
        <x:f>HYPERLINK("#'Data &amp; Reporting'!A700","Open")</x:f>
        <x:v>Open</x:v>
      </x:c>
      <x:c r="B700" s="2" t="str">
        <x:f>'Data &amp; Reporting'!B700</x:f>
        <x:v>Cycle 4</x:v>
      </x:c>
      <x:c r="C700" s="2" t="str">
        <x:f>'Data &amp; Reporting'!C700</x:f>
        <x:v>Phase 1</x:v>
      </x:c>
      <x:c r="D700" s="2" t="str">
        <x:f>'Data &amp; Reporting'!D700</x:f>
        <x:v>PLL</x:v>
      </x:c>
      <x:c r="E700" s="2" t="str">
        <x:v>Data &amp; Reporting</x:v>
      </x:c>
      <x:c r="F700" s="56" t="str">
        <x:f>'Data &amp; Reporting'!E700</x:f>
        <x:v>DR.PL.1.3.C12</x:v>
      </x:c>
      <x:c r="G700" s="14" t="str">
        <x:f>'Data &amp; Reporting'!F700</x:f>
        <x:v>    Document any severe spikes in volume along with context (as needed)</x:v>
      </x:c>
      <x:c r="H700" s="2" t="str">
        <x:f>IF('Data &amp; Reporting'!G700="","",'Data &amp; Reporting'!G700)</x:f>
      </x:c>
      <x:c r="I700" s="12" t="str">
        <x:f>IF('Data &amp; Reporting'!H700="","",'Data &amp; Reporting'!H700)</x:f>
      </x:c>
      <x:c r="J700" s="12" t="str">
        <x:f>IF('Data &amp; Reporting'!I700="","",'Data &amp; Reporting'!I700)</x:f>
      </x:c>
      <x:c r="K700" s="12" t="str">
        <x:f>IF('Data &amp; Reporting'!J700="","",'Data &amp; Reporting'!J700)</x:f>
      </x:c>
      <x:c r="L700" s="2" t="str">
        <x:f>IF('Data &amp; Reporting'!K700="","",'Data &amp; Reporting'!K700)</x:f>
      </x:c>
      <x:c r="M700" s="2" t="n">
        <x:f>'Data &amp; Reporting'!Q700</x:f>
        <x:v>0</x:v>
      </x:c>
      <x:c r="N700" s="2" t="str">
        <x:f>'Data &amp; Reporting'!L700</x:f>
        <x:v>Open check</x:v>
      </x:c>
      <x:c r="O700" s="2" t="str">
        <x:f>'Data &amp; Reporting'!N700</x:f>
        <x:v>DR.PL.1.3.C12.2026.CY4</x:v>
      </x:c>
      <x:c r="P700" s="2" t="n">
        <x:f>'Data &amp; Reporting'!O700</x:f>
        <x:v>0</x:v>
      </x:c>
      <x:c r="Q700" s="2" t="n">
        <x:f>SUBTOTAL(103,O700)</x:f>
        <x:v>1</x:v>
      </x:c>
      <x:c r="R700" s="2" t="n">
        <x:f>IF(AND(M700=1,OR(Dashboard!$B$7="All",Dashboard!$B$7='Cycles &amp; Guide'!$C$5),OR(Dashboard!$D$7="All",Dashboard!$D$7=B700),OR(Dashboard!$F$7="All",Dashboard!$F$7=C700),OR(Dashboard!$H$7="All",Dashboard!$H$7=D700),OR(Dashboard!$K$7="All",Dashboard!$K$7=E700)),1,0)</x:f>
        <x:v>0</x:v>
      </x:c>
      <x:c r="S700" s="2" t="n">
        <x:f>IF(R700=1,SUM($R$10:R700),0)</x:f>
        <x:v>0</x:v>
      </x:c>
      <x:c r="T700" s="2" t="str">
        <x:v>Data &amp; Reporting</x:v>
      </x:c>
      <x:c r="U700" s="2" t="n">
        <x:v>700</x:v>
      </x:c>
      <x:c r="V700" s="2" t="n">
        <x:f>IF(AND(M700=1,P700=0,ISNUMBER(J700),J700&lt;TODAY()),1,0)</x:f>
        <x:v>0</x:v>
      </x:c>
      <x:c r="W700" s="2" t="str">
        <x:f>'Data &amp; Reporting'!M700</x:f>
        <x:v>Checklist</x:v>
      </x:c>
    </x:row>
    <x:row r="701" ht="40" customHeight="1">
      <x:c r="A701" s="3" t="str">
        <x:f>HYPERLINK("#'Data &amp; Reporting'!A701","Open")</x:f>
        <x:v>Open</x:v>
      </x:c>
      <x:c r="B701" s="2" t="str">
        <x:f>'Data &amp; Reporting'!B701</x:f>
        <x:v>Cycle 4</x:v>
      </x:c>
      <x:c r="C701" s="2" t="str">
        <x:f>'Data &amp; Reporting'!C701</x:f>
        <x:v>Phase 1</x:v>
      </x:c>
      <x:c r="D701" s="2" t="str">
        <x:f>'Data &amp; Reporting'!D701</x:f>
        <x:v>PLL</x:v>
      </x:c>
      <x:c r="E701" s="2" t="str">
        <x:v>Data &amp; Reporting</x:v>
      </x:c>
      <x:c r="F701" s="56" t="str">
        <x:f>'Data &amp; Reporting'!E701</x:f>
        <x:v>DR.PL.1.3.C13</x:v>
      </x:c>
      <x:c r="G701" s="14" t="str">
        <x:f>'Data &amp; Reporting'!F701</x:f>
        <x:v>    Document clear summary explaining how the data connects to the potential topic</x:v>
      </x:c>
      <x:c r="H701" s="2" t="str">
        <x:f>IF('Data &amp; Reporting'!G701="","",'Data &amp; Reporting'!G701)</x:f>
      </x:c>
      <x:c r="I701" s="12" t="str">
        <x:f>IF('Data &amp; Reporting'!H701="","",'Data &amp; Reporting'!H701)</x:f>
      </x:c>
      <x:c r="J701" s="12" t="str">
        <x:f>IF('Data &amp; Reporting'!I701="","",'Data &amp; Reporting'!I701)</x:f>
      </x:c>
      <x:c r="K701" s="12" t="str">
        <x:f>IF('Data &amp; Reporting'!J701="","",'Data &amp; Reporting'!J701)</x:f>
      </x:c>
      <x:c r="L701" s="2" t="str">
        <x:f>IF('Data &amp; Reporting'!K701="","",'Data &amp; Reporting'!K701)</x:f>
      </x:c>
      <x:c r="M701" s="2" t="n">
        <x:f>'Data &amp; Reporting'!Q701</x:f>
        <x:v>0</x:v>
      </x:c>
      <x:c r="N701" s="2" t="str">
        <x:f>'Data &amp; Reporting'!L701</x:f>
        <x:v>Open check</x:v>
      </x:c>
      <x:c r="O701" s="2" t="str">
        <x:f>'Data &amp; Reporting'!N701</x:f>
        <x:v>DR.PL.1.3.C13.2026.CY4</x:v>
      </x:c>
      <x:c r="P701" s="2" t="n">
        <x:f>'Data &amp; Reporting'!O701</x:f>
        <x:v>0</x:v>
      </x:c>
      <x:c r="Q701" s="2" t="n">
        <x:f>SUBTOTAL(103,O701)</x:f>
        <x:v>1</x:v>
      </x:c>
      <x:c r="R701" s="2" t="n">
        <x:f>IF(AND(M701=1,OR(Dashboard!$B$7="All",Dashboard!$B$7='Cycles &amp; Guide'!$C$5),OR(Dashboard!$D$7="All",Dashboard!$D$7=B701),OR(Dashboard!$F$7="All",Dashboard!$F$7=C701),OR(Dashboard!$H$7="All",Dashboard!$H$7=D701),OR(Dashboard!$K$7="All",Dashboard!$K$7=E701)),1,0)</x:f>
        <x:v>0</x:v>
      </x:c>
      <x:c r="S701" s="2" t="n">
        <x:f>IF(R701=1,SUM($R$10:R701),0)</x:f>
        <x:v>0</x:v>
      </x:c>
      <x:c r="T701" s="2" t="str">
        <x:v>Data &amp; Reporting</x:v>
      </x:c>
      <x:c r="U701" s="2" t="n">
        <x:v>701</x:v>
      </x:c>
      <x:c r="V701" s="2" t="n">
        <x:f>IF(AND(M701=1,P701=0,ISNUMBER(J701),J701&lt;TODAY()),1,0)</x:f>
        <x:v>0</x:v>
      </x:c>
      <x:c r="W701" s="2" t="str">
        <x:f>'Data &amp; Reporting'!M701</x:f>
        <x:v>Checklist</x:v>
      </x:c>
    </x:row>
    <x:row r="702" ht="40" customHeight="1">
      <x:c r="A702" s="3" t="str">
        <x:f>HYPERLINK("#'Data &amp; Reporting'!A702","Open")</x:f>
        <x:v>Open</x:v>
      </x:c>
      <x:c r="B702" s="2" t="str">
        <x:f>'Data &amp; Reporting'!B702</x:f>
        <x:v>Cycle 4</x:v>
      </x:c>
      <x:c r="C702" s="2" t="str">
        <x:f>'Data &amp; Reporting'!C702</x:f>
        <x:v>Phase 2</x:v>
      </x:c>
      <x:c r="D702" s="2" t="str">
        <x:f>'Data &amp; Reporting'!D702</x:f>
        <x:v>PLL</x:v>
      </x:c>
      <x:c r="E702" s="2" t="str">
        <x:v>Data &amp; Reporting</x:v>
      </x:c>
      <x:c r="F702" s="56" t="str">
        <x:f>'Data &amp; Reporting'!E702</x:f>
        <x:v>DR.PL.2.1</x:v>
      </x:c>
      <x:c r="G702" s="14" t="str">
        <x:f>'Data &amp; Reporting'!F702</x:f>
        <x:v>Ensure data is clean, structured, and usable without manipulation needed</x:v>
      </x:c>
      <x:c r="H702" s="2" t="str">
        <x:f>IF('Data &amp; Reporting'!G702="","",'Data &amp; Reporting'!G702)</x:f>
      </x:c>
      <x:c r="I702" s="12" t="str">
        <x:f>IF('Data &amp; Reporting'!H702="","",'Data &amp; Reporting'!H702)</x:f>
      </x:c>
      <x:c r="J702" s="12" t="n">
        <x:f>IF('Data &amp; Reporting'!I702="","",'Data &amp; Reporting'!I702)</x:f>
        <x:v>46387</x:v>
      </x:c>
      <x:c r="K702" s="12" t="str">
        <x:f>IF('Data &amp; Reporting'!J702="","",'Data &amp; Reporting'!J702)</x:f>
      </x:c>
      <x:c r="L702" s="2" t="str">
        <x:f>IF('Data &amp; Reporting'!K702="","",'Data &amp; Reporting'!K702)</x:f>
      </x:c>
      <x:c r="M702" s="2" t="n">
        <x:f>'Data &amp; Reporting'!Q702</x:f>
        <x:v>1</x:v>
      </x:c>
      <x:c r="N702" s="2" t="str">
        <x:f>'Data &amp; Reporting'!L702</x:f>
        <x:v>Not started</x:v>
      </x:c>
      <x:c r="O702" s="2" t="str">
        <x:f>'Data &amp; Reporting'!N702</x:f>
        <x:v>DR.PL.2.1.2026.CY4</x:v>
      </x:c>
      <x:c r="P702" s="2" t="n">
        <x:f>'Data &amp; Reporting'!O702</x:f>
        <x:v>0</x:v>
      </x:c>
      <x:c r="Q702" s="2" t="n">
        <x:f>SUBTOTAL(103,O702)</x:f>
        <x:v>1</x:v>
      </x:c>
      <x:c r="R702" s="2" t="n">
        <x:f>IF(AND(M702=1,OR(Dashboard!$B$7="All",Dashboard!$B$7='Cycles &amp; Guide'!$C$5),OR(Dashboard!$D$7="All",Dashboard!$D$7=B702),OR(Dashboard!$F$7="All",Dashboard!$F$7=C702),OR(Dashboard!$H$7="All",Dashboard!$H$7=D702),OR(Dashboard!$K$7="All",Dashboard!$K$7=E702)),1,0)</x:f>
        <x:v>1</x:v>
      </x:c>
      <x:c r="S702" s="2" t="n">
        <x:f>IF(R702=1,SUM($R$10:R702),0)</x:f>
        <x:v>342</x:v>
      </x:c>
      <x:c r="T702" s="2" t="str">
        <x:v>Data &amp; Reporting</x:v>
      </x:c>
      <x:c r="U702" s="2" t="n">
        <x:v>702</x:v>
      </x:c>
      <x:c r="V702" s="2" t="n">
        <x:f>IF(AND(M702=1,P702=0,ISNUMBER(J702),J702&lt;TODAY()),1,0)</x:f>
        <x:v>0</x:v>
      </x:c>
      <x:c r="W702" s="2" t="str">
        <x:f>'Data &amp; Reporting'!M702</x:f>
        <x:v>Task</x:v>
      </x:c>
    </x:row>
    <x:row r="703" ht="40" customHeight="1">
      <x:c r="A703" s="3" t="str">
        <x:f>HYPERLINK("#'Data &amp; Reporting'!A703","Open")</x:f>
        <x:v>Open</x:v>
      </x:c>
      <x:c r="B703" s="2" t="str">
        <x:f>'Data &amp; Reporting'!B703</x:f>
        <x:v>Cycle 4</x:v>
      </x:c>
      <x:c r="C703" s="2" t="str">
        <x:f>'Data &amp; Reporting'!C703</x:f>
        <x:v>Phase 2</x:v>
      </x:c>
      <x:c r="D703" s="2" t="str">
        <x:f>'Data &amp; Reporting'!D703</x:f>
        <x:v>PLL</x:v>
      </x:c>
      <x:c r="E703" s="2" t="str">
        <x:v>Data &amp; Reporting</x:v>
      </x:c>
      <x:c r="F703" s="56" t="str">
        <x:f>'Data &amp; Reporting'!E703</x:f>
        <x:v>DR.PL.2.2</x:v>
      </x:c>
      <x:c r="G703" s="14" t="str">
        <x:f>'Data &amp; Reporting'!F703</x:f>
        <x:v>Clearly document rationale for each topic recommendation within the SharePoint list</x:v>
      </x:c>
      <x:c r="H703" s="2" t="str">
        <x:f>IF('Data &amp; Reporting'!G703="","",'Data &amp; Reporting'!G703)</x:f>
      </x:c>
      <x:c r="I703" s="12" t="str">
        <x:f>IF('Data &amp; Reporting'!H703="","",'Data &amp; Reporting'!H703)</x:f>
      </x:c>
      <x:c r="J703" s="12" t="n">
        <x:f>IF('Data &amp; Reporting'!I703="","",'Data &amp; Reporting'!I703)</x:f>
        <x:v>46387</x:v>
      </x:c>
      <x:c r="K703" s="12" t="str">
        <x:f>IF('Data &amp; Reporting'!J703="","",'Data &amp; Reporting'!J703)</x:f>
      </x:c>
      <x:c r="L703" s="2" t="str">
        <x:f>IF('Data &amp; Reporting'!K703="","",'Data &amp; Reporting'!K703)</x:f>
      </x:c>
      <x:c r="M703" s="2" t="n">
        <x:f>'Data &amp; Reporting'!Q703</x:f>
        <x:v>1</x:v>
      </x:c>
      <x:c r="N703" s="2" t="str">
        <x:f>'Data &amp; Reporting'!L703</x:f>
        <x:v>Not started</x:v>
      </x:c>
      <x:c r="O703" s="2" t="str">
        <x:f>'Data &amp; Reporting'!N703</x:f>
        <x:v>DR.PL.2.2.2026.CY4</x:v>
      </x:c>
      <x:c r="P703" s="2" t="n">
        <x:f>'Data &amp; Reporting'!O703</x:f>
        <x:v>0</x:v>
      </x:c>
      <x:c r="Q703" s="2" t="n">
        <x:f>SUBTOTAL(103,O703)</x:f>
        <x:v>1</x:v>
      </x:c>
      <x:c r="R703" s="2" t="n">
        <x:f>IF(AND(M703=1,OR(Dashboard!$B$7="All",Dashboard!$B$7='Cycles &amp; Guide'!$C$5),OR(Dashboard!$D$7="All",Dashboard!$D$7=B703),OR(Dashboard!$F$7="All",Dashboard!$F$7=C703),OR(Dashboard!$H$7="All",Dashboard!$H$7=D703),OR(Dashboard!$K$7="All",Dashboard!$K$7=E703)),1,0)</x:f>
        <x:v>1</x:v>
      </x:c>
      <x:c r="S703" s="2" t="n">
        <x:f>IF(R703=1,SUM($R$10:R703),0)</x:f>
        <x:v>343</x:v>
      </x:c>
      <x:c r="T703" s="2" t="str">
        <x:v>Data &amp; Reporting</x:v>
      </x:c>
      <x:c r="U703" s="2" t="n">
        <x:v>703</x:v>
      </x:c>
      <x:c r="V703" s="2" t="n">
        <x:f>IF(AND(M703=1,P703=0,ISNUMBER(J703),J703&lt;TODAY()),1,0)</x:f>
        <x:v>0</x:v>
      </x:c>
      <x:c r="W703" s="2" t="str">
        <x:f>'Data &amp; Reporting'!M703</x:f>
        <x:v>Task</x:v>
      </x:c>
    </x:row>
    <x:row r="704" ht="40" customHeight="1">
      <x:c r="A704" s="3" t="str">
        <x:f>HYPERLINK("#'Data &amp; Reporting'!A704","Open")</x:f>
        <x:v>Open</x:v>
      </x:c>
      <x:c r="B704" s="2" t="str">
        <x:f>'Data &amp; Reporting'!B704</x:f>
        <x:v>Cycle 4</x:v>
      </x:c>
      <x:c r="C704" s="2" t="str">
        <x:f>'Data &amp; Reporting'!C704</x:f>
        <x:v>Phase 2</x:v>
      </x:c>
      <x:c r="D704" s="2" t="str">
        <x:f>'Data &amp; Reporting'!D704</x:f>
        <x:v>PLL</x:v>
      </x:c>
      <x:c r="E704" s="2" t="str">
        <x:v>Data &amp; Reporting</x:v>
      </x:c>
      <x:c r="F704" s="56" t="str">
        <x:f>'Data &amp; Reporting'!E704</x:f>
        <x:v>DR.PL.2.3</x:v>
      </x:c>
      <x:c r="G704" s="14" t="str">
        <x:f>'Data &amp; Reporting'!F704</x:f>
        <x:v>Verify topic is eligible for RCA and does not conflict with Attorney Client Privilege</x:v>
      </x:c>
      <x:c r="H704" s="2" t="str">
        <x:f>IF('Data &amp; Reporting'!G704="","",'Data &amp; Reporting'!G704)</x:f>
      </x:c>
      <x:c r="I704" s="12" t="str">
        <x:f>IF('Data &amp; Reporting'!H704="","",'Data &amp; Reporting'!H704)</x:f>
      </x:c>
      <x:c r="J704" s="12" t="n">
        <x:f>IF('Data &amp; Reporting'!I704="","",'Data &amp; Reporting'!I704)</x:f>
        <x:v>46387</x:v>
      </x:c>
      <x:c r="K704" s="12" t="str">
        <x:f>IF('Data &amp; Reporting'!J704="","",'Data &amp; Reporting'!J704)</x:f>
      </x:c>
      <x:c r="L704" s="2" t="str">
        <x:f>IF('Data &amp; Reporting'!K704="","",'Data &amp; Reporting'!K704)</x:f>
      </x:c>
      <x:c r="M704" s="2" t="n">
        <x:f>'Data &amp; Reporting'!Q704</x:f>
        <x:v>1</x:v>
      </x:c>
      <x:c r="N704" s="2" t="str">
        <x:f>'Data &amp; Reporting'!L704</x:f>
        <x:v>Not started</x:v>
      </x:c>
      <x:c r="O704" s="2" t="str">
        <x:f>'Data &amp; Reporting'!N704</x:f>
        <x:v>DR.PL.2.3.2026.CY4</x:v>
      </x:c>
      <x:c r="P704" s="2" t="n">
        <x:f>'Data &amp; Reporting'!O704</x:f>
        <x:v>0</x:v>
      </x:c>
      <x:c r="Q704" s="2" t="n">
        <x:f>SUBTOTAL(103,O704)</x:f>
        <x:v>1</x:v>
      </x:c>
      <x:c r="R704" s="2" t="n">
        <x:f>IF(AND(M704=1,OR(Dashboard!$B$7="All",Dashboard!$B$7='Cycles &amp; Guide'!$C$5),OR(Dashboard!$D$7="All",Dashboard!$D$7=B704),OR(Dashboard!$F$7="All",Dashboard!$F$7=C704),OR(Dashboard!$H$7="All",Dashboard!$H$7=D704),OR(Dashboard!$K$7="All",Dashboard!$K$7=E704)),1,0)</x:f>
        <x:v>1</x:v>
      </x:c>
      <x:c r="S704" s="2" t="n">
        <x:f>IF(R704=1,SUM($R$10:R704),0)</x:f>
        <x:v>344</x:v>
      </x:c>
      <x:c r="T704" s="2" t="str">
        <x:v>Data &amp; Reporting</x:v>
      </x:c>
      <x:c r="U704" s="2" t="n">
        <x:v>704</x:v>
      </x:c>
      <x:c r="V704" s="2" t="n">
        <x:f>IF(AND(M704=1,P704=0,ISNUMBER(J704),J704&lt;TODAY()),1,0)</x:f>
        <x:v>0</x:v>
      </x:c>
      <x:c r="W704" s="2" t="str">
        <x:f>'Data &amp; Reporting'!M704</x:f>
        <x:v>Task</x:v>
      </x:c>
    </x:row>
    <x:row r="705" ht="40" customHeight="1">
      <x:c r="A705" s="3" t="str">
        <x:f>HYPERLINK("#'Data &amp; Reporting'!A705","Open")</x:f>
        <x:v>Open</x:v>
      </x:c>
      <x:c r="B705" s="2" t="str">
        <x:f>'Data &amp; Reporting'!B705</x:f>
        <x:v>Cycle 4</x:v>
      </x:c>
      <x:c r="C705" s="2" t="str">
        <x:f>'Data &amp; Reporting'!C705</x:f>
        <x:v>Phase 2</x:v>
      </x:c>
      <x:c r="D705" s="2" t="str">
        <x:f>'Data &amp; Reporting'!D705</x:f>
        <x:v>PLL</x:v>
      </x:c>
      <x:c r="E705" s="2" t="str">
        <x:v>Data &amp; Reporting</x:v>
      </x:c>
      <x:c r="F705" s="56" t="str">
        <x:f>'Data &amp; Reporting'!E705</x:f>
        <x:v>DR.PL.2.4</x:v>
      </x:c>
      <x:c r="G705" s="14" t="str">
        <x:f>'Data &amp; Reporting'!F705</x:f>
        <x:v>Ensure data is free of errors and anomalies prior to hand-off to Research</x:v>
      </x:c>
      <x:c r="H705" s="2" t="str">
        <x:f>IF('Data &amp; Reporting'!G705="","",'Data &amp; Reporting'!G705)</x:f>
      </x:c>
      <x:c r="I705" s="12" t="str">
        <x:f>IF('Data &amp; Reporting'!H705="","",'Data &amp; Reporting'!H705)</x:f>
      </x:c>
      <x:c r="J705" s="12" t="n">
        <x:f>IF('Data &amp; Reporting'!I705="","",'Data &amp; Reporting'!I705)</x:f>
        <x:v>46387</x:v>
      </x:c>
      <x:c r="K705" s="12" t="str">
        <x:f>IF('Data &amp; Reporting'!J705="","",'Data &amp; Reporting'!J705)</x:f>
      </x:c>
      <x:c r="L705" s="2" t="str">
        <x:f>IF('Data &amp; Reporting'!K705="","",'Data &amp; Reporting'!K705)</x:f>
      </x:c>
      <x:c r="M705" s="2" t="n">
        <x:f>'Data &amp; Reporting'!Q705</x:f>
        <x:v>1</x:v>
      </x:c>
      <x:c r="N705" s="2" t="str">
        <x:f>'Data &amp; Reporting'!L705</x:f>
        <x:v>Not started</x:v>
      </x:c>
      <x:c r="O705" s="2" t="str">
        <x:f>'Data &amp; Reporting'!N705</x:f>
        <x:v>DR.PL.2.4.2026.CY4</x:v>
      </x:c>
      <x:c r="P705" s="2" t="n">
        <x:f>'Data &amp; Reporting'!O705</x:f>
        <x:v>0</x:v>
      </x:c>
      <x:c r="Q705" s="2" t="n">
        <x:f>SUBTOTAL(103,O705)</x:f>
        <x:v>1</x:v>
      </x:c>
      <x:c r="R705" s="2" t="n">
        <x:f>IF(AND(M705=1,OR(Dashboard!$B$7="All",Dashboard!$B$7='Cycles &amp; Guide'!$C$5),OR(Dashboard!$D$7="All",Dashboard!$D$7=B705),OR(Dashboard!$F$7="All",Dashboard!$F$7=C705),OR(Dashboard!$H$7="All",Dashboard!$H$7=D705),OR(Dashboard!$K$7="All",Dashboard!$K$7=E705)),1,0)</x:f>
        <x:v>1</x:v>
      </x:c>
      <x:c r="S705" s="2" t="n">
        <x:f>IF(R705=1,SUM($R$10:R705),0)</x:f>
        <x:v>345</x:v>
      </x:c>
      <x:c r="T705" s="2" t="str">
        <x:v>Data &amp; Reporting</x:v>
      </x:c>
      <x:c r="U705" s="2" t="n">
        <x:v>705</x:v>
      </x:c>
      <x:c r="V705" s="2" t="n">
        <x:f>IF(AND(M705=1,P705=0,ISNUMBER(J705),J705&lt;TODAY()),1,0)</x:f>
        <x:v>0</x:v>
      </x:c>
      <x:c r="W705" s="2" t="str">
        <x:f>'Data &amp; Reporting'!M705</x:f>
        <x:v>Task</x:v>
      </x:c>
    </x:row>
    <x:row r="706" ht="40" customHeight="1">
      <x:c r="A706" s="3" t="str">
        <x:f>HYPERLINK("#'Data &amp; Reporting'!A706","Open")</x:f>
        <x:v>Open</x:v>
      </x:c>
      <x:c r="B706" s="2" t="str">
        <x:f>'Data &amp; Reporting'!B706</x:f>
        <x:v>Cycle 4</x:v>
      </x:c>
      <x:c r="C706" s="2" t="str">
        <x:f>'Data &amp; Reporting'!C706</x:f>
        <x:v>Phase 2</x:v>
      </x:c>
      <x:c r="D706" s="2" t="str">
        <x:f>'Data &amp; Reporting'!D706</x:f>
        <x:v>PLL</x:v>
      </x:c>
      <x:c r="E706" s="2" t="str">
        <x:v>Data &amp; Reporting</x:v>
      </x:c>
      <x:c r="F706" s="56" t="str">
        <x:f>'Data &amp; Reporting'!E706</x:f>
        <x:v>DR.PL.2.5</x:v>
      </x:c>
      <x:c r="G706" s="14" t="str">
        <x:f>'Data &amp; Reporting'!F706</x:f>
        <x:v>Ensure topic is not a duplicate from a previous Cycle</x:v>
      </x:c>
      <x:c r="H706" s="2" t="str">
        <x:f>IF('Data &amp; Reporting'!G706="","",'Data &amp; Reporting'!G706)</x:f>
      </x:c>
      <x:c r="I706" s="12" t="str">
        <x:f>IF('Data &amp; Reporting'!H706="","",'Data &amp; Reporting'!H706)</x:f>
      </x:c>
      <x:c r="J706" s="12" t="n">
        <x:f>IF('Data &amp; Reporting'!I706="","",'Data &amp; Reporting'!I706)</x:f>
        <x:v>46387</x:v>
      </x:c>
      <x:c r="K706" s="12" t="str">
        <x:f>IF('Data &amp; Reporting'!J706="","",'Data &amp; Reporting'!J706)</x:f>
      </x:c>
      <x:c r="L706" s="2" t="str">
        <x:f>IF('Data &amp; Reporting'!K706="","",'Data &amp; Reporting'!K706)</x:f>
      </x:c>
      <x:c r="M706" s="2" t="n">
        <x:f>'Data &amp; Reporting'!Q706</x:f>
        <x:v>1</x:v>
      </x:c>
      <x:c r="N706" s="2" t="str">
        <x:f>'Data &amp; Reporting'!L706</x:f>
        <x:v>Not started</x:v>
      </x:c>
      <x:c r="O706" s="2" t="str">
        <x:f>'Data &amp; Reporting'!N706</x:f>
        <x:v>DR.PL.2.5.2026.CY4</x:v>
      </x:c>
      <x:c r="P706" s="2" t="n">
        <x:f>'Data &amp; Reporting'!O706</x:f>
        <x:v>0</x:v>
      </x:c>
      <x:c r="Q706" s="2" t="n">
        <x:f>SUBTOTAL(103,O706)</x:f>
        <x:v>1</x:v>
      </x:c>
      <x:c r="R706" s="2" t="n">
        <x:f>IF(AND(M706=1,OR(Dashboard!$B$7="All",Dashboard!$B$7='Cycles &amp; Guide'!$C$5),OR(Dashboard!$D$7="All",Dashboard!$D$7=B706),OR(Dashboard!$F$7="All",Dashboard!$F$7=C706),OR(Dashboard!$H$7="All",Dashboard!$H$7=D706),OR(Dashboard!$K$7="All",Dashboard!$K$7=E706)),1,0)</x:f>
        <x:v>1</x:v>
      </x:c>
      <x:c r="S706" s="2" t="n">
        <x:f>IF(R706=1,SUM($R$10:R706),0)</x:f>
        <x:v>346</x:v>
      </x:c>
      <x:c r="T706" s="2" t="str">
        <x:v>Data &amp; Reporting</x:v>
      </x:c>
      <x:c r="U706" s="2" t="n">
        <x:v>706</x:v>
      </x:c>
      <x:c r="V706" s="2" t="n">
        <x:f>IF(AND(M706=1,P706=0,ISNUMBER(J706),J706&lt;TODAY()),1,0)</x:f>
        <x:v>0</x:v>
      </x:c>
      <x:c r="W706" s="2" t="str">
        <x:f>'Data &amp; Reporting'!M706</x:f>
        <x:v>Task</x:v>
      </x:c>
    </x:row>
    <x:row r="707" ht="40" customHeight="1">
      <x:c r="A707" s="3" t="str">
        <x:f>HYPERLINK("#'Data &amp; Reporting'!A707","Open")</x:f>
        <x:v>Open</x:v>
      </x:c>
      <x:c r="B707" s="2" t="str">
        <x:f>'Data &amp; Reporting'!B707</x:f>
        <x:v>Cycle 4</x:v>
      </x:c>
      <x:c r="C707" s="2" t="str">
        <x:f>'Data &amp; Reporting'!C707</x:f>
        <x:v>Phase 2</x:v>
      </x:c>
      <x:c r="D707" s="2" t="str">
        <x:f>'Data &amp; Reporting'!D707</x:f>
        <x:v>PLL</x:v>
      </x:c>
      <x:c r="E707" s="2" t="str">
        <x:v>Data &amp; Reporting</x:v>
      </x:c>
      <x:c r="F707" s="56" t="str">
        <x:f>'Data &amp; Reporting'!E707</x:f>
        <x:v>DR.PL.2.6</x:v>
      </x:c>
      <x:c r="G707" s="14" t="str">
        <x:f>'Data &amp; Reporting'!F707</x:f>
        <x:v>Document clear distinctions between facts, assumptions, and hypotheses within the data package</x:v>
      </x:c>
      <x:c r="H707" s="2" t="str">
        <x:f>IF('Data &amp; Reporting'!G707="","",'Data &amp; Reporting'!G707)</x:f>
      </x:c>
      <x:c r="I707" s="12" t="str">
        <x:f>IF('Data &amp; Reporting'!H707="","",'Data &amp; Reporting'!H707)</x:f>
      </x:c>
      <x:c r="J707" s="12" t="n">
        <x:f>IF('Data &amp; Reporting'!I707="","",'Data &amp; Reporting'!I707)</x:f>
        <x:v>46387</x:v>
      </x:c>
      <x:c r="K707" s="12" t="str">
        <x:f>IF('Data &amp; Reporting'!J707="","",'Data &amp; Reporting'!J707)</x:f>
      </x:c>
      <x:c r="L707" s="2" t="str">
        <x:f>IF('Data &amp; Reporting'!K707="","",'Data &amp; Reporting'!K707)</x:f>
      </x:c>
      <x:c r="M707" s="2" t="n">
        <x:f>'Data &amp; Reporting'!Q707</x:f>
        <x:v>1</x:v>
      </x:c>
      <x:c r="N707" s="2" t="str">
        <x:f>'Data &amp; Reporting'!L707</x:f>
        <x:v>Not started</x:v>
      </x:c>
      <x:c r="O707" s="2" t="str">
        <x:f>'Data &amp; Reporting'!N707</x:f>
        <x:v>DR.PL.2.6.2026.CY4</x:v>
      </x:c>
      <x:c r="P707" s="2" t="n">
        <x:f>'Data &amp; Reporting'!O707</x:f>
        <x:v>0</x:v>
      </x:c>
      <x:c r="Q707" s="2" t="n">
        <x:f>SUBTOTAL(103,O707)</x:f>
        <x:v>1</x:v>
      </x:c>
      <x:c r="R707" s="2" t="n">
        <x:f>IF(AND(M707=1,OR(Dashboard!$B$7="All",Dashboard!$B$7='Cycles &amp; Guide'!$C$5),OR(Dashboard!$D$7="All",Dashboard!$D$7=B707),OR(Dashboard!$F$7="All",Dashboard!$F$7=C707),OR(Dashboard!$H$7="All",Dashboard!$H$7=D707),OR(Dashboard!$K$7="All",Dashboard!$K$7=E707)),1,0)</x:f>
        <x:v>1</x:v>
      </x:c>
      <x:c r="S707" s="2" t="n">
        <x:f>IF(R707=1,SUM($R$10:R707),0)</x:f>
        <x:v>347</x:v>
      </x:c>
      <x:c r="T707" s="2" t="str">
        <x:v>Data &amp; Reporting</x:v>
      </x:c>
      <x:c r="U707" s="2" t="n">
        <x:v>707</x:v>
      </x:c>
      <x:c r="V707" s="2" t="n">
        <x:f>IF(AND(M707=1,P707=0,ISNUMBER(J707),J707&lt;TODAY()),1,0)</x:f>
        <x:v>0</x:v>
      </x:c>
      <x:c r="W707" s="2" t="str">
        <x:f>'Data &amp; Reporting'!M707</x:f>
        <x:v>Task</x:v>
      </x:c>
    </x:row>
    <x:row r="708" ht="40" customHeight="1">
      <x:c r="A708" s="3" t="str">
        <x:f>HYPERLINK("#'Data &amp; Reporting'!A708","Open")</x:f>
        <x:v>Open</x:v>
      </x:c>
      <x:c r="B708" s="2" t="str">
        <x:f>'Data &amp; Reporting'!B708</x:f>
        <x:v>Cycle 4</x:v>
      </x:c>
      <x:c r="C708" s="2" t="str">
        <x:f>'Data &amp; Reporting'!C708</x:f>
        <x:v>Phase 3</x:v>
      </x:c>
      <x:c r="D708" s="2" t="str">
        <x:f>'Data &amp; Reporting'!D708</x:f>
        <x:v>PLL</x:v>
      </x:c>
      <x:c r="E708" s="2" t="str">
        <x:v>Data &amp; Reporting</x:v>
      </x:c>
      <x:c r="F708" s="56" t="str">
        <x:f>'Data &amp; Reporting'!E708</x:f>
        <x:v>DR.PL.3.1</x:v>
      </x:c>
      <x:c r="G708" s="14" t="str">
        <x:f>'Data &amp; Reporting'!F708</x:f>
        <x:v>Clearly document rationale for each topic recommendation within the SharePoint list item</x:v>
      </x:c>
      <x:c r="H708" s="2" t="str">
        <x:f>IF('Data &amp; Reporting'!G708="","",'Data &amp; Reporting'!G708)</x:f>
      </x:c>
      <x:c r="I708" s="12" t="str">
        <x:f>IF('Data &amp; Reporting'!H708="","",'Data &amp; Reporting'!H708)</x:f>
      </x:c>
      <x:c r="J708" s="12" t="n">
        <x:f>IF('Data &amp; Reporting'!I708="","",'Data &amp; Reporting'!I708)</x:f>
        <x:v>46387</x:v>
      </x:c>
      <x:c r="K708" s="12" t="str">
        <x:f>IF('Data &amp; Reporting'!J708="","",'Data &amp; Reporting'!J708)</x:f>
      </x:c>
      <x:c r="L708" s="2" t="str">
        <x:f>IF('Data &amp; Reporting'!K708="","",'Data &amp; Reporting'!K708)</x:f>
      </x:c>
      <x:c r="M708" s="2" t="n">
        <x:f>'Data &amp; Reporting'!Q708</x:f>
        <x:v>1</x:v>
      </x:c>
      <x:c r="N708" s="2" t="str">
        <x:f>'Data &amp; Reporting'!L708</x:f>
        <x:v>Not started</x:v>
      </x:c>
      <x:c r="O708" s="2" t="str">
        <x:f>'Data &amp; Reporting'!N708</x:f>
        <x:v>DR.PL.3.1.2026.CY4</x:v>
      </x:c>
      <x:c r="P708" s="2" t="n">
        <x:f>'Data &amp; Reporting'!O708</x:f>
        <x:v>0</x:v>
      </x:c>
      <x:c r="Q708" s="2" t="n">
        <x:f>SUBTOTAL(103,O708)</x:f>
        <x:v>1</x:v>
      </x:c>
      <x:c r="R708" s="2" t="n">
        <x:f>IF(AND(M708=1,OR(Dashboard!$B$7="All",Dashboard!$B$7='Cycles &amp; Guide'!$C$5),OR(Dashboard!$D$7="All",Dashboard!$D$7=B708),OR(Dashboard!$F$7="All",Dashboard!$F$7=C708),OR(Dashboard!$H$7="All",Dashboard!$H$7=D708),OR(Dashboard!$K$7="All",Dashboard!$K$7=E708)),1,0)</x:f>
        <x:v>1</x:v>
      </x:c>
      <x:c r="S708" s="2" t="n">
        <x:f>IF(R708=1,SUM($R$10:R708),0)</x:f>
        <x:v>348</x:v>
      </x:c>
      <x:c r="T708" s="2" t="str">
        <x:v>Data &amp; Reporting</x:v>
      </x:c>
      <x:c r="U708" s="2" t="n">
        <x:v>708</x:v>
      </x:c>
      <x:c r="V708" s="2" t="n">
        <x:f>IF(AND(M708=1,P708=0,ISNUMBER(J708),J708&lt;TODAY()),1,0)</x:f>
        <x:v>0</x:v>
      </x:c>
      <x:c r="W708" s="2" t="str">
        <x:f>'Data &amp; Reporting'!M708</x:f>
        <x:v>Task</x:v>
      </x:c>
    </x:row>
    <x:row r="709" ht="40" customHeight="1">
      <x:c r="A709" s="3" t="str">
        <x:f>HYPERLINK("#'Data &amp; Reporting'!A709","Open")</x:f>
        <x:v>Open</x:v>
      </x:c>
      <x:c r="B709" s="2" t="str">
        <x:f>'Data &amp; Reporting'!B709</x:f>
        <x:v>Cycle 4</x:v>
      </x:c>
      <x:c r="C709" s="2" t="str">
        <x:f>'Data &amp; Reporting'!C709</x:f>
        <x:v>Phase 3</x:v>
      </x:c>
      <x:c r="D709" s="2" t="str">
        <x:f>'Data &amp; Reporting'!D709</x:f>
        <x:v>PLL</x:v>
      </x:c>
      <x:c r="E709" s="2" t="str">
        <x:v>Data &amp; Reporting</x:v>
      </x:c>
      <x:c r="F709" s="56" t="str">
        <x:f>'Data &amp; Reporting'!E709</x:f>
        <x:v>DR.PL.3.2</x:v>
      </x:c>
      <x:c r="G709" s="14" t="str">
        <x:f>'Data &amp; Reporting'!F709</x:f>
        <x:v>Attach the data package for each topic recommendation within the SharePoint list item</x:v>
      </x:c>
      <x:c r="H709" s="2" t="str">
        <x:f>IF('Data &amp; Reporting'!G709="","",'Data &amp; Reporting'!G709)</x:f>
      </x:c>
      <x:c r="I709" s="12" t="str">
        <x:f>IF('Data &amp; Reporting'!H709="","",'Data &amp; Reporting'!H709)</x:f>
      </x:c>
      <x:c r="J709" s="12" t="n">
        <x:f>IF('Data &amp; Reporting'!I709="","",'Data &amp; Reporting'!I709)</x:f>
        <x:v>46387</x:v>
      </x:c>
      <x:c r="K709" s="12" t="str">
        <x:f>IF('Data &amp; Reporting'!J709="","",'Data &amp; Reporting'!J709)</x:f>
      </x:c>
      <x:c r="L709" s="2" t="str">
        <x:f>IF('Data &amp; Reporting'!K709="","",'Data &amp; Reporting'!K709)</x:f>
      </x:c>
      <x:c r="M709" s="2" t="n">
        <x:f>'Data &amp; Reporting'!Q709</x:f>
        <x:v>1</x:v>
      </x:c>
      <x:c r="N709" s="2" t="str">
        <x:f>'Data &amp; Reporting'!L709</x:f>
        <x:v>Not started</x:v>
      </x:c>
      <x:c r="O709" s="2" t="str">
        <x:f>'Data &amp; Reporting'!N709</x:f>
        <x:v>DR.PL.3.2.2026.CY4</x:v>
      </x:c>
      <x:c r="P709" s="2" t="n">
        <x:f>'Data &amp; Reporting'!O709</x:f>
        <x:v>0</x:v>
      </x:c>
      <x:c r="Q709" s="2" t="n">
        <x:f>SUBTOTAL(103,O709)</x:f>
        <x:v>1</x:v>
      </x:c>
      <x:c r="R709" s="2" t="n">
        <x:f>IF(AND(M709=1,OR(Dashboard!$B$7="All",Dashboard!$B$7='Cycles &amp; Guide'!$C$5),OR(Dashboard!$D$7="All",Dashboard!$D$7=B709),OR(Dashboard!$F$7="All",Dashboard!$F$7=C709),OR(Dashboard!$H$7="All",Dashboard!$H$7=D709),OR(Dashboard!$K$7="All",Dashboard!$K$7=E709)),1,0)</x:f>
        <x:v>1</x:v>
      </x:c>
      <x:c r="S709" s="2" t="n">
        <x:f>IF(R709=1,SUM($R$10:R709),0)</x:f>
        <x:v>349</x:v>
      </x:c>
      <x:c r="T709" s="2" t="str">
        <x:v>Data &amp; Reporting</x:v>
      </x:c>
      <x:c r="U709" s="2" t="n">
        <x:v>709</x:v>
      </x:c>
      <x:c r="V709" s="2" t="n">
        <x:f>IF(AND(M709=1,P709=0,ISNUMBER(J709),J709&lt;TODAY()),1,0)</x:f>
        <x:v>0</x:v>
      </x:c>
      <x:c r="W709" s="2" t="str">
        <x:f>'Data &amp; Reporting'!M709</x:f>
        <x:v>Task</x:v>
      </x:c>
    </x:row>
    <x:row r="710" ht="40" customHeight="1">
      <x:c r="A710" s="3" t="str">
        <x:f>HYPERLINK("#'Data &amp; Reporting'!A710","Open")</x:f>
        <x:v>Open</x:v>
      </x:c>
      <x:c r="B710" s="2" t="str">
        <x:f>'Data &amp; Reporting'!B710</x:f>
        <x:v>Cycle 4</x:v>
      </x:c>
      <x:c r="C710" s="2" t="str">
        <x:f>'Data &amp; Reporting'!C710</x:f>
        <x:v>Phase 3</x:v>
      </x:c>
      <x:c r="D710" s="2" t="str">
        <x:f>'Data &amp; Reporting'!D710</x:f>
        <x:v>PLL</x:v>
      </x:c>
      <x:c r="E710" s="2" t="str">
        <x:v>Data &amp; Reporting</x:v>
      </x:c>
      <x:c r="F710" s="56" t="str">
        <x:f>'Data &amp; Reporting'!E710</x:f>
        <x:v>DR.PL.3.3</x:v>
      </x:c>
      <x:c r="G710" s="14" t="str">
        <x:f>'Data &amp; Reporting'!F710</x:f>
        <x:v>Confirm data privileges have been granted, ensuring each pillar can access</x:v>
      </x:c>
      <x:c r="H710" s="2" t="str">
        <x:f>IF('Data &amp; Reporting'!G710="","",'Data &amp; Reporting'!G710)</x:f>
      </x:c>
      <x:c r="I710" s="12" t="str">
        <x:f>IF('Data &amp; Reporting'!H710="","",'Data &amp; Reporting'!H710)</x:f>
      </x:c>
      <x:c r="J710" s="12" t="n">
        <x:f>IF('Data &amp; Reporting'!I710="","",'Data &amp; Reporting'!I710)</x:f>
        <x:v>46387</x:v>
      </x:c>
      <x:c r="K710" s="12" t="str">
        <x:f>IF('Data &amp; Reporting'!J710="","",'Data &amp; Reporting'!J710)</x:f>
      </x:c>
      <x:c r="L710" s="2" t="str">
        <x:f>IF('Data &amp; Reporting'!K710="","",'Data &amp; Reporting'!K710)</x:f>
      </x:c>
      <x:c r="M710" s="2" t="n">
        <x:f>'Data &amp; Reporting'!Q710</x:f>
        <x:v>1</x:v>
      </x:c>
      <x:c r="N710" s="2" t="str">
        <x:f>'Data &amp; Reporting'!L710</x:f>
        <x:v>Not started</x:v>
      </x:c>
      <x:c r="O710" s="2" t="str">
        <x:f>'Data &amp; Reporting'!N710</x:f>
        <x:v>DR.PL.3.3.2026.CY4</x:v>
      </x:c>
      <x:c r="P710" s="2" t="n">
        <x:f>'Data &amp; Reporting'!O710</x:f>
        <x:v>0</x:v>
      </x:c>
      <x:c r="Q710" s="2" t="n">
        <x:f>SUBTOTAL(103,O710)</x:f>
        <x:v>1</x:v>
      </x:c>
      <x:c r="R710" s="2" t="n">
        <x:f>IF(AND(M710=1,OR(Dashboard!$B$7="All",Dashboard!$B$7='Cycles &amp; Guide'!$C$5),OR(Dashboard!$D$7="All",Dashboard!$D$7=B710),OR(Dashboard!$F$7="All",Dashboard!$F$7=C710),OR(Dashboard!$H$7="All",Dashboard!$H$7=D710),OR(Dashboard!$K$7="All",Dashboard!$K$7=E710)),1,0)</x:f>
        <x:v>1</x:v>
      </x:c>
      <x:c r="S710" s="2" t="n">
        <x:f>IF(R710=1,SUM($R$10:R710),0)</x:f>
        <x:v>350</x:v>
      </x:c>
      <x:c r="T710" s="2" t="str">
        <x:v>Data &amp; Reporting</x:v>
      </x:c>
      <x:c r="U710" s="2" t="n">
        <x:v>710</x:v>
      </x:c>
      <x:c r="V710" s="2" t="n">
        <x:f>IF(AND(M710=1,P710=0,ISNUMBER(J710),J710&lt;TODAY()),1,0)</x:f>
        <x:v>0</x:v>
      </x:c>
      <x:c r="W710" s="2" t="str">
        <x:f>'Data &amp; Reporting'!M710</x:f>
        <x:v>Task</x:v>
      </x:c>
    </x:row>
    <x:row r="711" ht="40" customHeight="1">
      <x:c r="A711" s="3" t="str">
        <x:f>HYPERLINK("#'Data &amp; Reporting'!A711","Open")</x:f>
        <x:v>Open</x:v>
      </x:c>
      <x:c r="B711" s="2" t="str">
        <x:f>'Data &amp; Reporting'!B711</x:f>
        <x:v>Cycle 4</x:v>
      </x:c>
      <x:c r="C711" s="2" t="str">
        <x:f>'Data &amp; Reporting'!C711</x:f>
        <x:v>Phase 3</x:v>
      </x:c>
      <x:c r="D711" s="2" t="str">
        <x:f>'Data &amp; Reporting'!D711</x:f>
        <x:v>PLL</x:v>
      </x:c>
      <x:c r="E711" s="2" t="str">
        <x:v>Data &amp; Reporting</x:v>
      </x:c>
      <x:c r="F711" s="56" t="str">
        <x:f>'Data &amp; Reporting'!E711</x:f>
        <x:v>DR.PL.3.4</x:v>
      </x:c>
      <x:c r="G711" s="14" t="str">
        <x:f>'Data &amp; Reporting'!F711</x:f>
        <x:v>Ensure Power Automate notifications were correctly triggered within Microsoft Teams</x:v>
      </x:c>
      <x:c r="H711" s="2" t="str">
        <x:f>IF('Data &amp; Reporting'!G711="","",'Data &amp; Reporting'!G711)</x:f>
      </x:c>
      <x:c r="I711" s="12" t="str">
        <x:f>IF('Data &amp; Reporting'!H711="","",'Data &amp; Reporting'!H711)</x:f>
      </x:c>
      <x:c r="J711" s="12" t="n">
        <x:f>IF('Data &amp; Reporting'!I711="","",'Data &amp; Reporting'!I711)</x:f>
        <x:v>46387</x:v>
      </x:c>
      <x:c r="K711" s="12" t="str">
        <x:f>IF('Data &amp; Reporting'!J711="","",'Data &amp; Reporting'!J711)</x:f>
      </x:c>
      <x:c r="L711" s="2" t="str">
        <x:f>IF('Data &amp; Reporting'!K711="","",'Data &amp; Reporting'!K711)</x:f>
      </x:c>
      <x:c r="M711" s="2" t="n">
        <x:f>'Data &amp; Reporting'!Q711</x:f>
        <x:v>1</x:v>
      </x:c>
      <x:c r="N711" s="2" t="str">
        <x:f>'Data &amp; Reporting'!L711</x:f>
        <x:v>Not started</x:v>
      </x:c>
      <x:c r="O711" s="2" t="str">
        <x:f>'Data &amp; Reporting'!N711</x:f>
        <x:v>DR.PL.3.4.2026.CY4</x:v>
      </x:c>
      <x:c r="P711" s="2" t="n">
        <x:f>'Data &amp; Reporting'!O711</x:f>
        <x:v>0</x:v>
      </x:c>
      <x:c r="Q711" s="2" t="n">
        <x:f>SUBTOTAL(103,O711)</x:f>
        <x:v>1</x:v>
      </x:c>
      <x:c r="R711" s="2" t="n">
        <x:f>IF(AND(M711=1,OR(Dashboard!$B$7="All",Dashboard!$B$7='Cycles &amp; Guide'!$C$5),OR(Dashboard!$D$7="All",Dashboard!$D$7=B711),OR(Dashboard!$F$7="All",Dashboard!$F$7=C711),OR(Dashboard!$H$7="All",Dashboard!$H$7=D711),OR(Dashboard!$K$7="All",Dashboard!$K$7=E711)),1,0)</x:f>
        <x:v>1</x:v>
      </x:c>
      <x:c r="S711" s="2" t="n">
        <x:f>IF(R711=1,SUM($R$10:R711),0)</x:f>
        <x:v>351</x:v>
      </x:c>
      <x:c r="T711" s="2" t="str">
        <x:v>Data &amp; Reporting</x:v>
      </x:c>
      <x:c r="U711" s="2" t="n">
        <x:v>711</x:v>
      </x:c>
      <x:c r="V711" s="2" t="n">
        <x:f>IF(AND(M711=1,P711=0,ISNUMBER(J711),J711&lt;TODAY()),1,0)</x:f>
        <x:v>0</x:v>
      </x:c>
      <x:c r="W711" s="2" t="str">
        <x:f>'Data &amp; Reporting'!M711</x:f>
        <x:v>Task</x:v>
      </x:c>
    </x:row>
    <x:row r="712" ht="40" customHeight="1">
      <x:c r="A712" s="3" t="str">
        <x:f>HYPERLINK("#'Data &amp; Reporting'!A712","Open")</x:f>
        <x:v>Open</x:v>
      </x:c>
      <x:c r="B712" s="2" t="str">
        <x:f>'Data &amp; Reporting'!B712</x:f>
        <x:v>Cycle 4</x:v>
      </x:c>
      <x:c r="C712" s="2" t="str">
        <x:f>'Data &amp; Reporting'!C712</x:f>
        <x:v>Phase 1</x:v>
      </x:c>
      <x:c r="D712" s="2" t="str">
        <x:f>'Data &amp; Reporting'!D712</x:f>
        <x:v>Retail Services</x:v>
      </x:c>
      <x:c r="E712" s="2" t="str">
        <x:v>Data &amp; Reporting</x:v>
      </x:c>
      <x:c r="F712" s="56" t="str">
        <x:f>'Data &amp; Reporting'!E712</x:f>
        <x:v>DR.RS.1.1</x:v>
      </x:c>
      <x:c r="G712" s="14" t="str">
        <x:f>'Data &amp; Reporting'!F712</x:f>
        <x:v>Review data sources 3 weeks prior to Cycle start (Complaints, Gen AI, Loudspeaker, NPS, etc.)</x:v>
      </x:c>
      <x:c r="H712" s="2" t="str">
        <x:f>IF('Data &amp; Reporting'!G712="","",'Data &amp; Reporting'!G712)</x:f>
      </x:c>
      <x:c r="I712" s="12" t="str">
        <x:f>IF('Data &amp; Reporting'!H712="","",'Data &amp; Reporting'!H712)</x:f>
      </x:c>
      <x:c r="J712" s="12" t="n">
        <x:f>IF('Data &amp; Reporting'!I712="","",'Data &amp; Reporting'!I712)</x:f>
        <x:v>46275</x:v>
      </x:c>
      <x:c r="K712" s="12" t="str">
        <x:f>IF('Data &amp; Reporting'!J712="","",'Data &amp; Reporting'!J712)</x:f>
      </x:c>
      <x:c r="L712" s="2" t="str">
        <x:f>IF('Data &amp; Reporting'!K712="","",'Data &amp; Reporting'!K712)</x:f>
      </x:c>
      <x:c r="M712" s="2" t="n">
        <x:f>'Data &amp; Reporting'!Q712</x:f>
        <x:v>1</x:v>
      </x:c>
      <x:c r="N712" s="2" t="str">
        <x:f>'Data &amp; Reporting'!L712</x:f>
        <x:v>Not started</x:v>
      </x:c>
      <x:c r="O712" s="2" t="str">
        <x:f>'Data &amp; Reporting'!N712</x:f>
        <x:v>DR.RS.1.1.2026.CY4</x:v>
      </x:c>
      <x:c r="P712" s="2" t="n">
        <x:f>'Data &amp; Reporting'!O712</x:f>
        <x:v>0</x:v>
      </x:c>
      <x:c r="Q712" s="2" t="n">
        <x:f>SUBTOTAL(103,O712)</x:f>
        <x:v>1</x:v>
      </x:c>
      <x:c r="R712" s="2" t="n">
        <x:f>IF(AND(M712=1,OR(Dashboard!$B$7="All",Dashboard!$B$7='Cycles &amp; Guide'!$C$5),OR(Dashboard!$D$7="All",Dashboard!$D$7=B712),OR(Dashboard!$F$7="All",Dashboard!$F$7=C712),OR(Dashboard!$H$7="All",Dashboard!$H$7=D712),OR(Dashboard!$K$7="All",Dashboard!$K$7=E712)),1,0)</x:f>
        <x:v>1</x:v>
      </x:c>
      <x:c r="S712" s="2" t="n">
        <x:f>IF(R712=1,SUM($R$10:R712),0)</x:f>
        <x:v>352</x:v>
      </x:c>
      <x:c r="T712" s="2" t="str">
        <x:v>Data &amp; Reporting</x:v>
      </x:c>
      <x:c r="U712" s="2" t="n">
        <x:v>712</x:v>
      </x:c>
      <x:c r="V712" s="2" t="n">
        <x:f>IF(AND(M712=1,P712=0,ISNUMBER(J712),J712&lt;TODAY()),1,0)</x:f>
        <x:v>1</x:v>
      </x:c>
      <x:c r="W712" s="2" t="str">
        <x:f>'Data &amp; Reporting'!M712</x:f>
        <x:v>Task</x:v>
      </x:c>
    </x:row>
    <x:row r="713" ht="40" customHeight="1">
      <x:c r="A713" s="3" t="str">
        <x:f>HYPERLINK("#'Data &amp; Reporting'!A713","Open")</x:f>
        <x:v>Open</x:v>
      </x:c>
      <x:c r="B713" s="2" t="str">
        <x:f>'Data &amp; Reporting'!B713</x:f>
        <x:v>Cycle 4</x:v>
      </x:c>
      <x:c r="C713" s="2" t="str">
        <x:f>'Data &amp; Reporting'!C713</x:f>
        <x:v>Phase 1</x:v>
      </x:c>
      <x:c r="D713" s="2" t="str">
        <x:f>'Data &amp; Reporting'!D713</x:f>
        <x:v>Retail Services</x:v>
      </x:c>
      <x:c r="E713" s="2" t="str">
        <x:v>Data &amp; Reporting</x:v>
      </x:c>
      <x:c r="F713" s="56" t="str">
        <x:f>'Data &amp; Reporting'!E713</x:f>
        <x:v>DR.RS.1.2</x:v>
      </x:c>
      <x:c r="G713" s="14" t="str">
        <x:f>'Data &amp; Reporting'!F713</x:f>
        <x:v>Identify two potential topics for the upcoming Cycle</x:v>
      </x:c>
      <x:c r="H713" s="2" t="str">
        <x:f>IF('Data &amp; Reporting'!G713="","",'Data &amp; Reporting'!G713)</x:f>
      </x:c>
      <x:c r="I713" s="12" t="str">
        <x:f>IF('Data &amp; Reporting'!H713="","",'Data &amp; Reporting'!H713)</x:f>
      </x:c>
      <x:c r="J713" s="12" t="n">
        <x:f>IF('Data &amp; Reporting'!I713="","",'Data &amp; Reporting'!I713)</x:f>
        <x:v>46387</x:v>
      </x:c>
      <x:c r="K713" s="12" t="str">
        <x:f>IF('Data &amp; Reporting'!J713="","",'Data &amp; Reporting'!J713)</x:f>
      </x:c>
      <x:c r="L713" s="2" t="str">
        <x:f>IF('Data &amp; Reporting'!K713="","",'Data &amp; Reporting'!K713)</x:f>
      </x:c>
      <x:c r="M713" s="2" t="n">
        <x:f>'Data &amp; Reporting'!Q713</x:f>
        <x:v>1</x:v>
      </x:c>
      <x:c r="N713" s="2" t="str">
        <x:f>'Data &amp; Reporting'!L713</x:f>
        <x:v>Not started</x:v>
      </x:c>
      <x:c r="O713" s="2" t="str">
        <x:f>'Data &amp; Reporting'!N713</x:f>
        <x:v>DR.RS.1.2.2026.CY4</x:v>
      </x:c>
      <x:c r="P713" s="2" t="n">
        <x:f>'Data &amp; Reporting'!O713</x:f>
        <x:v>0</x:v>
      </x:c>
      <x:c r="Q713" s="2" t="n">
        <x:f>SUBTOTAL(103,O713)</x:f>
        <x:v>1</x:v>
      </x:c>
      <x:c r="R713" s="2" t="n">
        <x:f>IF(AND(M713=1,OR(Dashboard!$B$7="All",Dashboard!$B$7='Cycles &amp; Guide'!$C$5),OR(Dashboard!$D$7="All",Dashboard!$D$7=B713),OR(Dashboard!$F$7="All",Dashboard!$F$7=C713),OR(Dashboard!$H$7="All",Dashboard!$H$7=D713),OR(Dashboard!$K$7="All",Dashboard!$K$7=E713)),1,0)</x:f>
        <x:v>1</x:v>
      </x:c>
      <x:c r="S713" s="2" t="n">
        <x:f>IF(R713=1,SUM($R$10:R713),0)</x:f>
        <x:v>353</x:v>
      </x:c>
      <x:c r="T713" s="2" t="str">
        <x:v>Data &amp; Reporting</x:v>
      </x:c>
      <x:c r="U713" s="2" t="n">
        <x:v>713</x:v>
      </x:c>
      <x:c r="V713" s="2" t="n">
        <x:f>IF(AND(M713=1,P713=0,ISNUMBER(J713),J713&lt;TODAY()),1,0)</x:f>
        <x:v>0</x:v>
      </x:c>
      <x:c r="W713" s="2" t="str">
        <x:f>'Data &amp; Reporting'!M713</x:f>
        <x:v>Task</x:v>
      </x:c>
    </x:row>
    <x:row r="714" ht="40" customHeight="1">
      <x:c r="A714" s="3" t="str">
        <x:f>HYPERLINK("#'Data &amp; Reporting'!A714","Open")</x:f>
        <x:v>Open</x:v>
      </x:c>
      <x:c r="B714" s="2" t="str">
        <x:f>'Data &amp; Reporting'!B714</x:f>
        <x:v>Cycle 4</x:v>
      </x:c>
      <x:c r="C714" s="2" t="str">
        <x:f>'Data &amp; Reporting'!C714</x:f>
        <x:v>Phase 1</x:v>
      </x:c>
      <x:c r="D714" s="2" t="str">
        <x:f>'Data &amp; Reporting'!D714</x:f>
        <x:v>Retail Services</x:v>
      </x:c>
      <x:c r="E714" s="2" t="str">
        <x:v>Data &amp; Reporting</x:v>
      </x:c>
      <x:c r="F714" s="56" t="str">
        <x:f>'Data &amp; Reporting'!E714</x:f>
        <x:v>DR.RS.1.3</x:v>
      </x:c>
      <x:c r="G714" s="14" t="str">
        <x:f>'Data &amp; Reporting'!F714</x:f>
        <x:v>Extract data for both potential topics, ensuring all checklist items below are included/completed</x:v>
      </x:c>
      <x:c r="H714" s="2" t="str">
        <x:f>IF('Data &amp; Reporting'!G714="","",'Data &amp; Reporting'!G714)</x:f>
      </x:c>
      <x:c r="I714" s="12" t="str">
        <x:f>IF('Data &amp; Reporting'!H714="","",'Data &amp; Reporting'!H714)</x:f>
      </x:c>
      <x:c r="J714" s="12" t="n">
        <x:f>IF('Data &amp; Reporting'!I714="","",'Data &amp; Reporting'!I714)</x:f>
        <x:v>46387</x:v>
      </x:c>
      <x:c r="K714" s="12" t="str">
        <x:f>IF('Data &amp; Reporting'!J714="","",'Data &amp; Reporting'!J714)</x:f>
      </x:c>
      <x:c r="L714" s="2" t="str">
        <x:f>IF('Data &amp; Reporting'!K714="","",'Data &amp; Reporting'!K714)</x:f>
      </x:c>
      <x:c r="M714" s="2" t="n">
        <x:f>'Data &amp; Reporting'!Q714</x:f>
        <x:v>1</x:v>
      </x:c>
      <x:c r="N714" s="2" t="str">
        <x:f>'Data &amp; Reporting'!L714</x:f>
        <x:v>Not started</x:v>
      </x:c>
      <x:c r="O714" s="2" t="str">
        <x:f>'Data &amp; Reporting'!N714</x:f>
        <x:v>DR.RS.1.3.2026.CY4</x:v>
      </x:c>
      <x:c r="P714" s="2" t="n">
        <x:f>'Data &amp; Reporting'!O714</x:f>
        <x:v>0</x:v>
      </x:c>
      <x:c r="Q714" s="2" t="n">
        <x:f>SUBTOTAL(103,O714)</x:f>
        <x:v>1</x:v>
      </x:c>
      <x:c r="R714" s="2" t="n">
        <x:f>IF(AND(M714=1,OR(Dashboard!$B$7="All",Dashboard!$B$7='Cycles &amp; Guide'!$C$5),OR(Dashboard!$D$7="All",Dashboard!$D$7=B714),OR(Dashboard!$F$7="All",Dashboard!$F$7=C714),OR(Dashboard!$H$7="All",Dashboard!$H$7=D714),OR(Dashboard!$K$7="All",Dashboard!$K$7=E714)),1,0)</x:f>
        <x:v>1</x:v>
      </x:c>
      <x:c r="S714" s="2" t="n">
        <x:f>IF(R714=1,SUM($R$10:R714),0)</x:f>
        <x:v>354</x:v>
      </x:c>
      <x:c r="T714" s="2" t="str">
        <x:v>Data &amp; Reporting</x:v>
      </x:c>
      <x:c r="U714" s="2" t="n">
        <x:v>714</x:v>
      </x:c>
      <x:c r="V714" s="2" t="n">
        <x:f>IF(AND(M714=1,P714=0,ISNUMBER(J714),J714&lt;TODAY()),1,0)</x:f>
        <x:v>0</x:v>
      </x:c>
      <x:c r="W714" s="2" t="str">
        <x:f>'Data &amp; Reporting'!M714</x:f>
        <x:v>Task</x:v>
      </x:c>
    </x:row>
    <x:row r="715" ht="40" customHeight="1">
      <x:c r="A715" s="3" t="str">
        <x:f>HYPERLINK("#'Data &amp; Reporting'!A715","Open")</x:f>
        <x:v>Open</x:v>
      </x:c>
      <x:c r="B715" s="2" t="str">
        <x:f>'Data &amp; Reporting'!B715</x:f>
        <x:v>Cycle 4</x:v>
      </x:c>
      <x:c r="C715" s="2" t="str">
        <x:f>'Data &amp; Reporting'!C715</x:f>
        <x:v>Phase 1</x:v>
      </x:c>
      <x:c r="D715" s="2" t="str">
        <x:f>'Data &amp; Reporting'!D715</x:f>
        <x:v>Retail Services</x:v>
      </x:c>
      <x:c r="E715" s="2" t="str">
        <x:v>Data &amp; Reporting</x:v>
      </x:c>
      <x:c r="F715" s="56" t="str">
        <x:f>'Data &amp; Reporting'!E715</x:f>
        <x:v>DR.RS.1.3.C01</x:v>
      </x:c>
      <x:c r="G715" s="14" t="str">
        <x:f>'Data &amp; Reporting'!F715</x:f>
        <x:v>    Document date range extracted</x:v>
      </x:c>
      <x:c r="H715" s="2" t="str">
        <x:f>IF('Data &amp; Reporting'!G715="","",'Data &amp; Reporting'!G715)</x:f>
      </x:c>
      <x:c r="I715" s="12" t="str">
        <x:f>IF('Data &amp; Reporting'!H715="","",'Data &amp; Reporting'!H715)</x:f>
      </x:c>
      <x:c r="J715" s="12" t="str">
        <x:f>IF('Data &amp; Reporting'!I715="","",'Data &amp; Reporting'!I715)</x:f>
      </x:c>
      <x:c r="K715" s="12" t="str">
        <x:f>IF('Data &amp; Reporting'!J715="","",'Data &amp; Reporting'!J715)</x:f>
      </x:c>
      <x:c r="L715" s="2" t="str">
        <x:f>IF('Data &amp; Reporting'!K715="","",'Data &amp; Reporting'!K715)</x:f>
      </x:c>
      <x:c r="M715" s="2" t="n">
        <x:f>'Data &amp; Reporting'!Q715</x:f>
        <x:v>0</x:v>
      </x:c>
      <x:c r="N715" s="2" t="str">
        <x:f>'Data &amp; Reporting'!L715</x:f>
        <x:v>Open check</x:v>
      </x:c>
      <x:c r="O715" s="2" t="str">
        <x:f>'Data &amp; Reporting'!N715</x:f>
        <x:v>DR.RS.1.3.C01.2026.CY4</x:v>
      </x:c>
      <x:c r="P715" s="2" t="n">
        <x:f>'Data &amp; Reporting'!O715</x:f>
        <x:v>0</x:v>
      </x:c>
      <x:c r="Q715" s="2" t="n">
        <x:f>SUBTOTAL(103,O715)</x:f>
        <x:v>1</x:v>
      </x:c>
      <x:c r="R715" s="2" t="n">
        <x:f>IF(AND(M715=1,OR(Dashboard!$B$7="All",Dashboard!$B$7='Cycles &amp; Guide'!$C$5),OR(Dashboard!$D$7="All",Dashboard!$D$7=B715),OR(Dashboard!$F$7="All",Dashboard!$F$7=C715),OR(Dashboard!$H$7="All",Dashboard!$H$7=D715),OR(Dashboard!$K$7="All",Dashboard!$K$7=E715)),1,0)</x:f>
        <x:v>0</x:v>
      </x:c>
      <x:c r="S715" s="2" t="n">
        <x:f>IF(R715=1,SUM($R$10:R715),0)</x:f>
        <x:v>0</x:v>
      </x:c>
      <x:c r="T715" s="2" t="str">
        <x:v>Data &amp; Reporting</x:v>
      </x:c>
      <x:c r="U715" s="2" t="n">
        <x:v>715</x:v>
      </x:c>
      <x:c r="V715" s="2" t="n">
        <x:f>IF(AND(M715=1,P715=0,ISNUMBER(J715),J715&lt;TODAY()),1,0)</x:f>
        <x:v>0</x:v>
      </x:c>
      <x:c r="W715" s="2" t="str">
        <x:f>'Data &amp; Reporting'!M715</x:f>
        <x:v>Checklist</x:v>
      </x:c>
    </x:row>
    <x:row r="716" ht="40" customHeight="1">
      <x:c r="A716" s="3" t="str">
        <x:f>HYPERLINK("#'Data &amp; Reporting'!A716","Open")</x:f>
        <x:v>Open</x:v>
      </x:c>
      <x:c r="B716" s="2" t="str">
        <x:f>'Data &amp; Reporting'!B716</x:f>
        <x:v>Cycle 4</x:v>
      </x:c>
      <x:c r="C716" s="2" t="str">
        <x:f>'Data &amp; Reporting'!C716</x:f>
        <x:v>Phase 1</x:v>
      </x:c>
      <x:c r="D716" s="2" t="str">
        <x:f>'Data &amp; Reporting'!D716</x:f>
        <x:v>Retail Services</x:v>
      </x:c>
      <x:c r="E716" s="2" t="str">
        <x:v>Data &amp; Reporting</x:v>
      </x:c>
      <x:c r="F716" s="56" t="str">
        <x:f>'Data &amp; Reporting'!E716</x:f>
        <x:v>DR.RS.1.3.C02</x:v>
      </x:c>
      <x:c r="G716" s="14" t="str">
        <x:f>'Data &amp; Reporting'!F716</x:f>
        <x:v>    Document date of data pull</x:v>
      </x:c>
      <x:c r="H716" s="2" t="str">
        <x:f>IF('Data &amp; Reporting'!G716="","",'Data &amp; Reporting'!G716)</x:f>
      </x:c>
      <x:c r="I716" s="12" t="str">
        <x:f>IF('Data &amp; Reporting'!H716="","",'Data &amp; Reporting'!H716)</x:f>
      </x:c>
      <x:c r="J716" s="12" t="str">
        <x:f>IF('Data &amp; Reporting'!I716="","",'Data &amp; Reporting'!I716)</x:f>
      </x:c>
      <x:c r="K716" s="12" t="str">
        <x:f>IF('Data &amp; Reporting'!J716="","",'Data &amp; Reporting'!J716)</x:f>
      </x:c>
      <x:c r="L716" s="2" t="str">
        <x:f>IF('Data &amp; Reporting'!K716="","",'Data &amp; Reporting'!K716)</x:f>
      </x:c>
      <x:c r="M716" s="2" t="n">
        <x:f>'Data &amp; Reporting'!Q716</x:f>
        <x:v>0</x:v>
      </x:c>
      <x:c r="N716" s="2" t="str">
        <x:f>'Data &amp; Reporting'!L716</x:f>
        <x:v>Open check</x:v>
      </x:c>
      <x:c r="O716" s="2" t="str">
        <x:f>'Data &amp; Reporting'!N716</x:f>
        <x:v>DR.RS.1.3.C02.2026.CY4</x:v>
      </x:c>
      <x:c r="P716" s="2" t="n">
        <x:f>'Data &amp; Reporting'!O716</x:f>
        <x:v>0</x:v>
      </x:c>
      <x:c r="Q716" s="2" t="n">
        <x:f>SUBTOTAL(103,O716)</x:f>
        <x:v>1</x:v>
      </x:c>
      <x:c r="R716" s="2" t="n">
        <x:f>IF(AND(M716=1,OR(Dashboard!$B$7="All",Dashboard!$B$7='Cycles &amp; Guide'!$C$5),OR(Dashboard!$D$7="All",Dashboard!$D$7=B716),OR(Dashboard!$F$7="All",Dashboard!$F$7=C716),OR(Dashboard!$H$7="All",Dashboard!$H$7=D716),OR(Dashboard!$K$7="All",Dashboard!$K$7=E716)),1,0)</x:f>
        <x:v>0</x:v>
      </x:c>
      <x:c r="S716" s="2" t="n">
        <x:f>IF(R716=1,SUM($R$10:R716),0)</x:f>
        <x:v>0</x:v>
      </x:c>
      <x:c r="T716" s="2" t="str">
        <x:v>Data &amp; Reporting</x:v>
      </x:c>
      <x:c r="U716" s="2" t="n">
        <x:v>716</x:v>
      </x:c>
      <x:c r="V716" s="2" t="n">
        <x:f>IF(AND(M716=1,P716=0,ISNUMBER(J716),J716&lt;TODAY()),1,0)</x:f>
        <x:v>0</x:v>
      </x:c>
      <x:c r="W716" s="2" t="str">
        <x:f>'Data &amp; Reporting'!M716</x:f>
        <x:v>Checklist</x:v>
      </x:c>
    </x:row>
    <x:row r="717" ht="40" customHeight="1">
      <x:c r="A717" s="3" t="str">
        <x:f>HYPERLINK("#'Data &amp; Reporting'!A717","Open")</x:f>
        <x:v>Open</x:v>
      </x:c>
      <x:c r="B717" s="2" t="str">
        <x:f>'Data &amp; Reporting'!B717</x:f>
        <x:v>Cycle 4</x:v>
      </x:c>
      <x:c r="C717" s="2" t="str">
        <x:f>'Data &amp; Reporting'!C717</x:f>
        <x:v>Phase 1</x:v>
      </x:c>
      <x:c r="D717" s="2" t="str">
        <x:f>'Data &amp; Reporting'!D717</x:f>
        <x:v>Retail Services</x:v>
      </x:c>
      <x:c r="E717" s="2" t="str">
        <x:v>Data &amp; Reporting</x:v>
      </x:c>
      <x:c r="F717" s="56" t="str">
        <x:f>'Data &amp; Reporting'!E717</x:f>
        <x:v>DR.RS.1.3.C03</x:v>
      </x:c>
      <x:c r="G717" s="14" t="str">
        <x:f>'Data &amp; Reporting'!F717</x:f>
        <x:v>    Document population details</x:v>
      </x:c>
      <x:c r="H717" s="2" t="str">
        <x:f>IF('Data &amp; Reporting'!G717="","",'Data &amp; Reporting'!G717)</x:f>
      </x:c>
      <x:c r="I717" s="12" t="str">
        <x:f>IF('Data &amp; Reporting'!H717="","",'Data &amp; Reporting'!H717)</x:f>
      </x:c>
      <x:c r="J717" s="12" t="str">
        <x:f>IF('Data &amp; Reporting'!I717="","",'Data &amp; Reporting'!I717)</x:f>
      </x:c>
      <x:c r="K717" s="12" t="str">
        <x:f>IF('Data &amp; Reporting'!J717="","",'Data &amp; Reporting'!J717)</x:f>
      </x:c>
      <x:c r="L717" s="2" t="str">
        <x:f>IF('Data &amp; Reporting'!K717="","",'Data &amp; Reporting'!K717)</x:f>
      </x:c>
      <x:c r="M717" s="2" t="n">
        <x:f>'Data &amp; Reporting'!Q717</x:f>
        <x:v>0</x:v>
      </x:c>
      <x:c r="N717" s="2" t="str">
        <x:f>'Data &amp; Reporting'!L717</x:f>
        <x:v>Open check</x:v>
      </x:c>
      <x:c r="O717" s="2" t="str">
        <x:f>'Data &amp; Reporting'!N717</x:f>
        <x:v>DR.RS.1.3.C03.2026.CY4</x:v>
      </x:c>
      <x:c r="P717" s="2" t="n">
        <x:f>'Data &amp; Reporting'!O717</x:f>
        <x:v>0</x:v>
      </x:c>
      <x:c r="Q717" s="2" t="n">
        <x:f>SUBTOTAL(103,O717)</x:f>
        <x:v>1</x:v>
      </x:c>
      <x:c r="R717" s="2" t="n">
        <x:f>IF(AND(M717=1,OR(Dashboard!$B$7="All",Dashboard!$B$7='Cycles &amp; Guide'!$C$5),OR(Dashboard!$D$7="All",Dashboard!$D$7=B717),OR(Dashboard!$F$7="All",Dashboard!$F$7=C717),OR(Dashboard!$H$7="All",Dashboard!$H$7=D717),OR(Dashboard!$K$7="All",Dashboard!$K$7=E717)),1,0)</x:f>
        <x:v>0</x:v>
      </x:c>
      <x:c r="S717" s="2" t="n">
        <x:f>IF(R717=1,SUM($R$10:R717),0)</x:f>
        <x:v>0</x:v>
      </x:c>
      <x:c r="T717" s="2" t="str">
        <x:v>Data &amp; Reporting</x:v>
      </x:c>
      <x:c r="U717" s="2" t="n">
        <x:v>717</x:v>
      </x:c>
      <x:c r="V717" s="2" t="n">
        <x:f>IF(AND(M717=1,P717=0,ISNUMBER(J717),J717&lt;TODAY()),1,0)</x:f>
        <x:v>0</x:v>
      </x:c>
      <x:c r="W717" s="2" t="str">
        <x:f>'Data &amp; Reporting'!M717</x:f>
        <x:v>Checklist</x:v>
      </x:c>
    </x:row>
    <x:row r="718" ht="40" customHeight="1">
      <x:c r="A718" s="3" t="str">
        <x:f>HYPERLINK("#'Data &amp; Reporting'!A718","Open")</x:f>
        <x:v>Open</x:v>
      </x:c>
      <x:c r="B718" s="2" t="str">
        <x:f>'Data &amp; Reporting'!B718</x:f>
        <x:v>Cycle 4</x:v>
      </x:c>
      <x:c r="C718" s="2" t="str">
        <x:f>'Data &amp; Reporting'!C718</x:f>
        <x:v>Phase 1</x:v>
      </x:c>
      <x:c r="D718" s="2" t="str">
        <x:f>'Data &amp; Reporting'!D718</x:f>
        <x:v>Retail Services</x:v>
      </x:c>
      <x:c r="E718" s="2" t="str">
        <x:v>Data &amp; Reporting</x:v>
      </x:c>
      <x:c r="F718" s="56" t="str">
        <x:f>'Data &amp; Reporting'!E718</x:f>
        <x:v>DR.RS.1.3.C04</x:v>
      </x:c>
      <x:c r="G718" s="14" t="str">
        <x:f>'Data &amp; Reporting'!F718</x:f>
        <x:v>    Validate no data is missing</x:v>
      </x:c>
      <x:c r="H718" s="2" t="str">
        <x:f>IF('Data &amp; Reporting'!G718="","",'Data &amp; Reporting'!G718)</x:f>
      </x:c>
      <x:c r="I718" s="12" t="str">
        <x:f>IF('Data &amp; Reporting'!H718="","",'Data &amp; Reporting'!H718)</x:f>
      </x:c>
      <x:c r="J718" s="12" t="str">
        <x:f>IF('Data &amp; Reporting'!I718="","",'Data &amp; Reporting'!I718)</x:f>
      </x:c>
      <x:c r="K718" s="12" t="str">
        <x:f>IF('Data &amp; Reporting'!J718="","",'Data &amp; Reporting'!J718)</x:f>
      </x:c>
      <x:c r="L718" s="2" t="str">
        <x:f>IF('Data &amp; Reporting'!K718="","",'Data &amp; Reporting'!K718)</x:f>
      </x:c>
      <x:c r="M718" s="2" t="n">
        <x:f>'Data &amp; Reporting'!Q718</x:f>
        <x:v>0</x:v>
      </x:c>
      <x:c r="N718" s="2" t="str">
        <x:f>'Data &amp; Reporting'!L718</x:f>
        <x:v>Open check</x:v>
      </x:c>
      <x:c r="O718" s="2" t="str">
        <x:f>'Data &amp; Reporting'!N718</x:f>
        <x:v>DR.RS.1.3.C04.2026.CY4</x:v>
      </x:c>
      <x:c r="P718" s="2" t="n">
        <x:f>'Data &amp; Reporting'!O718</x:f>
        <x:v>0</x:v>
      </x:c>
      <x:c r="Q718" s="2" t="n">
        <x:f>SUBTOTAL(103,O718)</x:f>
        <x:v>1</x:v>
      </x:c>
      <x:c r="R718" s="2" t="n">
        <x:f>IF(AND(M718=1,OR(Dashboard!$B$7="All",Dashboard!$B$7='Cycles &amp; Guide'!$C$5),OR(Dashboard!$D$7="All",Dashboard!$D$7=B718),OR(Dashboard!$F$7="All",Dashboard!$F$7=C718),OR(Dashboard!$H$7="All",Dashboard!$H$7=D718),OR(Dashboard!$K$7="All",Dashboard!$K$7=E718)),1,0)</x:f>
        <x:v>0</x:v>
      </x:c>
      <x:c r="S718" s="2" t="n">
        <x:f>IF(R718=1,SUM($R$10:R718),0)</x:f>
        <x:v>0</x:v>
      </x:c>
      <x:c r="T718" s="2" t="str">
        <x:v>Data &amp; Reporting</x:v>
      </x:c>
      <x:c r="U718" s="2" t="n">
        <x:v>718</x:v>
      </x:c>
      <x:c r="V718" s="2" t="n">
        <x:f>IF(AND(M718=1,P718=0,ISNUMBER(J718),J718&lt;TODAY()),1,0)</x:f>
        <x:v>0</x:v>
      </x:c>
      <x:c r="W718" s="2" t="str">
        <x:f>'Data &amp; Reporting'!M718</x:f>
        <x:v>Checklist</x:v>
      </x:c>
    </x:row>
    <x:row r="719" ht="40" customHeight="1">
      <x:c r="A719" s="3" t="str">
        <x:f>HYPERLINK("#'Data &amp; Reporting'!A719","Open")</x:f>
        <x:v>Open</x:v>
      </x:c>
      <x:c r="B719" s="2" t="str">
        <x:f>'Data &amp; Reporting'!B719</x:f>
        <x:v>Cycle 4</x:v>
      </x:c>
      <x:c r="C719" s="2" t="str">
        <x:f>'Data &amp; Reporting'!C719</x:f>
        <x:v>Phase 1</x:v>
      </x:c>
      <x:c r="D719" s="2" t="str">
        <x:f>'Data &amp; Reporting'!D719</x:f>
        <x:v>Retail Services</x:v>
      </x:c>
      <x:c r="E719" s="2" t="str">
        <x:v>Data &amp; Reporting</x:v>
      </x:c>
      <x:c r="F719" s="56" t="str">
        <x:f>'Data &amp; Reporting'!E719</x:f>
        <x:v>DR.RS.1.3.C05</x:v>
      </x:c>
      <x:c r="G719" s="14" t="str">
        <x:f>'Data &amp; Reporting'!F719</x:f>
        <x:v>    Validate accuracy of data</x:v>
      </x:c>
      <x:c r="H719" s="2" t="str">
        <x:f>IF('Data &amp; Reporting'!G719="","",'Data &amp; Reporting'!G719)</x:f>
      </x:c>
      <x:c r="I719" s="12" t="str">
        <x:f>IF('Data &amp; Reporting'!H719="","",'Data &amp; Reporting'!H719)</x:f>
      </x:c>
      <x:c r="J719" s="12" t="str">
        <x:f>IF('Data &amp; Reporting'!I719="","",'Data &amp; Reporting'!I719)</x:f>
      </x:c>
      <x:c r="K719" s="12" t="str">
        <x:f>IF('Data &amp; Reporting'!J719="","",'Data &amp; Reporting'!J719)</x:f>
      </x:c>
      <x:c r="L719" s="2" t="str">
        <x:f>IF('Data &amp; Reporting'!K719="","",'Data &amp; Reporting'!K719)</x:f>
      </x:c>
      <x:c r="M719" s="2" t="n">
        <x:f>'Data &amp; Reporting'!Q719</x:f>
        <x:v>0</x:v>
      </x:c>
      <x:c r="N719" s="2" t="str">
        <x:f>'Data &amp; Reporting'!L719</x:f>
        <x:v>Open check</x:v>
      </x:c>
      <x:c r="O719" s="2" t="str">
        <x:f>'Data &amp; Reporting'!N719</x:f>
        <x:v>DR.RS.1.3.C05.2026.CY4</x:v>
      </x:c>
      <x:c r="P719" s="2" t="n">
        <x:f>'Data &amp; Reporting'!O719</x:f>
        <x:v>0</x:v>
      </x:c>
      <x:c r="Q719" s="2" t="n">
        <x:f>SUBTOTAL(103,O719)</x:f>
        <x:v>1</x:v>
      </x:c>
      <x:c r="R719" s="2" t="n">
        <x:f>IF(AND(M719=1,OR(Dashboard!$B$7="All",Dashboard!$B$7='Cycles &amp; Guide'!$C$5),OR(Dashboard!$D$7="All",Dashboard!$D$7=B719),OR(Dashboard!$F$7="All",Dashboard!$F$7=C719),OR(Dashboard!$H$7="All",Dashboard!$H$7=D719),OR(Dashboard!$K$7="All",Dashboard!$K$7=E719)),1,0)</x:f>
        <x:v>0</x:v>
      </x:c>
      <x:c r="S719" s="2" t="n">
        <x:f>IF(R719=1,SUM($R$10:R719),0)</x:f>
        <x:v>0</x:v>
      </x:c>
      <x:c r="T719" s="2" t="str">
        <x:v>Data &amp; Reporting</x:v>
      </x:c>
      <x:c r="U719" s="2" t="n">
        <x:v>719</x:v>
      </x:c>
      <x:c r="V719" s="2" t="n">
        <x:f>IF(AND(M719=1,P719=0,ISNUMBER(J719),J719&lt;TODAY()),1,0)</x:f>
        <x:v>0</x:v>
      </x:c>
      <x:c r="W719" s="2" t="str">
        <x:f>'Data &amp; Reporting'!M719</x:f>
        <x:v>Checklist</x:v>
      </x:c>
    </x:row>
    <x:row r="720" ht="40" customHeight="1">
      <x:c r="A720" s="3" t="str">
        <x:f>HYPERLINK("#'Data &amp; Reporting'!A720","Open")</x:f>
        <x:v>Open</x:v>
      </x:c>
      <x:c r="B720" s="2" t="str">
        <x:f>'Data &amp; Reporting'!B720</x:f>
        <x:v>Cycle 4</x:v>
      </x:c>
      <x:c r="C720" s="2" t="str">
        <x:f>'Data &amp; Reporting'!C720</x:f>
        <x:v>Phase 1</x:v>
      </x:c>
      <x:c r="D720" s="2" t="str">
        <x:f>'Data &amp; Reporting'!D720</x:f>
        <x:v>Retail Services</x:v>
      </x:c>
      <x:c r="E720" s="2" t="str">
        <x:v>Data &amp; Reporting</x:v>
      </x:c>
      <x:c r="F720" s="56" t="str">
        <x:f>'Data &amp; Reporting'!E720</x:f>
        <x:v>DR.RS.1.3.C06</x:v>
      </x:c>
      <x:c r="G720" s="14" t="str">
        <x:f>'Data &amp; Reporting'!F720</x:f>
        <x:v>    Validate no duplicate data is provided</x:v>
      </x:c>
      <x:c r="H720" s="2" t="str">
        <x:f>IF('Data &amp; Reporting'!G720="","",'Data &amp; Reporting'!G720)</x:f>
      </x:c>
      <x:c r="I720" s="12" t="str">
        <x:f>IF('Data &amp; Reporting'!H720="","",'Data &amp; Reporting'!H720)</x:f>
      </x:c>
      <x:c r="J720" s="12" t="str">
        <x:f>IF('Data &amp; Reporting'!I720="","",'Data &amp; Reporting'!I720)</x:f>
      </x:c>
      <x:c r="K720" s="12" t="str">
        <x:f>IF('Data &amp; Reporting'!J720="","",'Data &amp; Reporting'!J720)</x:f>
      </x:c>
      <x:c r="L720" s="2" t="str">
        <x:f>IF('Data &amp; Reporting'!K720="","",'Data &amp; Reporting'!K720)</x:f>
      </x:c>
      <x:c r="M720" s="2" t="n">
        <x:f>'Data &amp; Reporting'!Q720</x:f>
        <x:v>0</x:v>
      </x:c>
      <x:c r="N720" s="2" t="str">
        <x:f>'Data &amp; Reporting'!L720</x:f>
        <x:v>Open check</x:v>
      </x:c>
      <x:c r="O720" s="2" t="str">
        <x:f>'Data &amp; Reporting'!N720</x:f>
        <x:v>DR.RS.1.3.C06.2026.CY4</x:v>
      </x:c>
      <x:c r="P720" s="2" t="n">
        <x:f>'Data &amp; Reporting'!O720</x:f>
        <x:v>0</x:v>
      </x:c>
      <x:c r="Q720" s="2" t="n">
        <x:f>SUBTOTAL(103,O720)</x:f>
        <x:v>1</x:v>
      </x:c>
      <x:c r="R720" s="2" t="n">
        <x:f>IF(AND(M720=1,OR(Dashboard!$B$7="All",Dashboard!$B$7='Cycles &amp; Guide'!$C$5),OR(Dashboard!$D$7="All",Dashboard!$D$7=B720),OR(Dashboard!$F$7="All",Dashboard!$F$7=C720),OR(Dashboard!$H$7="All",Dashboard!$H$7=D720),OR(Dashboard!$K$7="All",Dashboard!$K$7=E720)),1,0)</x:f>
        <x:v>0</x:v>
      </x:c>
      <x:c r="S720" s="2" t="n">
        <x:f>IF(R720=1,SUM($R$10:R720),0)</x:f>
        <x:v>0</x:v>
      </x:c>
      <x:c r="T720" s="2" t="str">
        <x:v>Data &amp; Reporting</x:v>
      </x:c>
      <x:c r="U720" s="2" t="n">
        <x:v>720</x:v>
      </x:c>
      <x:c r="V720" s="2" t="n">
        <x:f>IF(AND(M720=1,P720=0,ISNUMBER(J720),J720&lt;TODAY()),1,0)</x:f>
        <x:v>0</x:v>
      </x:c>
      <x:c r="W720" s="2" t="str">
        <x:f>'Data &amp; Reporting'!M720</x:f>
        <x:v>Checklist</x:v>
      </x:c>
    </x:row>
    <x:row r="721" ht="40" customHeight="1">
      <x:c r="A721" s="3" t="str">
        <x:f>HYPERLINK("#'Data &amp; Reporting'!A721","Open")</x:f>
        <x:v>Open</x:v>
      </x:c>
      <x:c r="B721" s="2" t="str">
        <x:f>'Data &amp; Reporting'!B721</x:f>
        <x:v>Cycle 4</x:v>
      </x:c>
      <x:c r="C721" s="2" t="str">
        <x:f>'Data &amp; Reporting'!C721</x:f>
        <x:v>Phase 1</x:v>
      </x:c>
      <x:c r="D721" s="2" t="str">
        <x:f>'Data &amp; Reporting'!D721</x:f>
        <x:v>Retail Services</x:v>
      </x:c>
      <x:c r="E721" s="2" t="str">
        <x:v>Data &amp; Reporting</x:v>
      </x:c>
      <x:c r="F721" s="56" t="str">
        <x:f>'Data &amp; Reporting'!E721</x:f>
        <x:v>DR.RS.1.3.C07</x:v>
      </x:c>
      <x:c r="G721" s="14" t="str">
        <x:f>'Data &amp; Reporting'!F721</x:f>
        <x:v>    Document any data exclusions along with justification (as needed)</x:v>
      </x:c>
      <x:c r="H721" s="2" t="str">
        <x:f>IF('Data &amp; Reporting'!G721="","",'Data &amp; Reporting'!G721)</x:f>
      </x:c>
      <x:c r="I721" s="12" t="str">
        <x:f>IF('Data &amp; Reporting'!H721="","",'Data &amp; Reporting'!H721)</x:f>
      </x:c>
      <x:c r="J721" s="12" t="str">
        <x:f>IF('Data &amp; Reporting'!I721="","",'Data &amp; Reporting'!I721)</x:f>
      </x:c>
      <x:c r="K721" s="12" t="str">
        <x:f>IF('Data &amp; Reporting'!J721="","",'Data &amp; Reporting'!J721)</x:f>
      </x:c>
      <x:c r="L721" s="2" t="str">
        <x:f>IF('Data &amp; Reporting'!K721="","",'Data &amp; Reporting'!K721)</x:f>
      </x:c>
      <x:c r="M721" s="2" t="n">
        <x:f>'Data &amp; Reporting'!Q721</x:f>
        <x:v>0</x:v>
      </x:c>
      <x:c r="N721" s="2" t="str">
        <x:f>'Data &amp; Reporting'!L721</x:f>
        <x:v>Open check</x:v>
      </x:c>
      <x:c r="O721" s="2" t="str">
        <x:f>'Data &amp; Reporting'!N721</x:f>
        <x:v>DR.RS.1.3.C07.2026.CY4</x:v>
      </x:c>
      <x:c r="P721" s="2" t="n">
        <x:f>'Data &amp; Reporting'!O721</x:f>
        <x:v>0</x:v>
      </x:c>
      <x:c r="Q721" s="2" t="n">
        <x:f>SUBTOTAL(103,O721)</x:f>
        <x:v>1</x:v>
      </x:c>
      <x:c r="R721" s="2" t="n">
        <x:f>IF(AND(M721=1,OR(Dashboard!$B$7="All",Dashboard!$B$7='Cycles &amp; Guide'!$C$5),OR(Dashboard!$D$7="All",Dashboard!$D$7=B721),OR(Dashboard!$F$7="All",Dashboard!$F$7=C721),OR(Dashboard!$H$7="All",Dashboard!$H$7=D721),OR(Dashboard!$K$7="All",Dashboard!$K$7=E721)),1,0)</x:f>
        <x:v>0</x:v>
      </x:c>
      <x:c r="S721" s="2" t="n">
        <x:f>IF(R721=1,SUM($R$10:R721),0)</x:f>
        <x:v>0</x:v>
      </x:c>
      <x:c r="T721" s="2" t="str">
        <x:v>Data &amp; Reporting</x:v>
      </x:c>
      <x:c r="U721" s="2" t="n">
        <x:v>721</x:v>
      </x:c>
      <x:c r="V721" s="2" t="n">
        <x:f>IF(AND(M721=1,P721=0,ISNUMBER(J721),J721&lt;TODAY()),1,0)</x:f>
        <x:v>0</x:v>
      </x:c>
      <x:c r="W721" s="2" t="str">
        <x:f>'Data &amp; Reporting'!M721</x:f>
        <x:v>Checklist</x:v>
      </x:c>
    </x:row>
    <x:row r="722" ht="40" customHeight="1">
      <x:c r="A722" s="3" t="str">
        <x:f>HYPERLINK("#'Data &amp; Reporting'!A722","Open")</x:f>
        <x:v>Open</x:v>
      </x:c>
      <x:c r="B722" s="2" t="str">
        <x:f>'Data &amp; Reporting'!B722</x:f>
        <x:v>Cycle 4</x:v>
      </x:c>
      <x:c r="C722" s="2" t="str">
        <x:f>'Data &amp; Reporting'!C722</x:f>
        <x:v>Phase 1</x:v>
      </x:c>
      <x:c r="D722" s="2" t="str">
        <x:f>'Data &amp; Reporting'!D722</x:f>
        <x:v>Retail Services</x:v>
      </x:c>
      <x:c r="E722" s="2" t="str">
        <x:v>Data &amp; Reporting</x:v>
      </x:c>
      <x:c r="F722" s="56" t="str">
        <x:f>'Data &amp; Reporting'!E722</x:f>
        <x:v>DR.RS.1.3.C08</x:v>
      </x:c>
      <x:c r="G722" s="14" t="str">
        <x:f>'Data &amp; Reporting'!F722</x:f>
        <x:v>    Document any assumptions made with the data (as needed)</x:v>
      </x:c>
      <x:c r="H722" s="2" t="str">
        <x:f>IF('Data &amp; Reporting'!G722="","",'Data &amp; Reporting'!G722)</x:f>
      </x:c>
      <x:c r="I722" s="12" t="str">
        <x:f>IF('Data &amp; Reporting'!H722="","",'Data &amp; Reporting'!H722)</x:f>
      </x:c>
      <x:c r="J722" s="12" t="str">
        <x:f>IF('Data &amp; Reporting'!I722="","",'Data &amp; Reporting'!I722)</x:f>
      </x:c>
      <x:c r="K722" s="12" t="str">
        <x:f>IF('Data &amp; Reporting'!J722="","",'Data &amp; Reporting'!J722)</x:f>
      </x:c>
      <x:c r="L722" s="2" t="str">
        <x:f>IF('Data &amp; Reporting'!K722="","",'Data &amp; Reporting'!K722)</x:f>
      </x:c>
      <x:c r="M722" s="2" t="n">
        <x:f>'Data &amp; Reporting'!Q722</x:f>
        <x:v>0</x:v>
      </x:c>
      <x:c r="N722" s="2" t="str">
        <x:f>'Data &amp; Reporting'!L722</x:f>
        <x:v>Open check</x:v>
      </x:c>
      <x:c r="O722" s="2" t="str">
        <x:f>'Data &amp; Reporting'!N722</x:f>
        <x:v>DR.RS.1.3.C08.2026.CY4</x:v>
      </x:c>
      <x:c r="P722" s="2" t="n">
        <x:f>'Data &amp; Reporting'!O722</x:f>
        <x:v>0</x:v>
      </x:c>
      <x:c r="Q722" s="2" t="n">
        <x:f>SUBTOTAL(103,O722)</x:f>
        <x:v>1</x:v>
      </x:c>
      <x:c r="R722" s="2" t="n">
        <x:f>IF(AND(M722=1,OR(Dashboard!$B$7="All",Dashboard!$B$7='Cycles &amp; Guide'!$C$5),OR(Dashboard!$D$7="All",Dashboard!$D$7=B722),OR(Dashboard!$F$7="All",Dashboard!$F$7=C722),OR(Dashboard!$H$7="All",Dashboard!$H$7=D722),OR(Dashboard!$K$7="All",Dashboard!$K$7=E722)),1,0)</x:f>
        <x:v>0</x:v>
      </x:c>
      <x:c r="S722" s="2" t="n">
        <x:f>IF(R722=1,SUM($R$10:R722),0)</x:f>
        <x:v>0</x:v>
      </x:c>
      <x:c r="T722" s="2" t="str">
        <x:v>Data &amp; Reporting</x:v>
      </x:c>
      <x:c r="U722" s="2" t="n">
        <x:v>722</x:v>
      </x:c>
      <x:c r="V722" s="2" t="n">
        <x:f>IF(AND(M722=1,P722=0,ISNUMBER(J722),J722&lt;TODAY()),1,0)</x:f>
        <x:v>0</x:v>
      </x:c>
      <x:c r="W722" s="2" t="str">
        <x:f>'Data &amp; Reporting'!M722</x:f>
        <x:v>Checklist</x:v>
      </x:c>
    </x:row>
    <x:row r="723" ht="40" customHeight="1">
      <x:c r="A723" s="3" t="str">
        <x:f>HYPERLINK("#'Data &amp; Reporting'!A723","Open")</x:f>
        <x:v>Open</x:v>
      </x:c>
      <x:c r="B723" s="2" t="str">
        <x:f>'Data &amp; Reporting'!B723</x:f>
        <x:v>Cycle 4</x:v>
      </x:c>
      <x:c r="C723" s="2" t="str">
        <x:f>'Data &amp; Reporting'!C723</x:f>
        <x:v>Phase 1</x:v>
      </x:c>
      <x:c r="D723" s="2" t="str">
        <x:f>'Data &amp; Reporting'!D723</x:f>
        <x:v>Retail Services</x:v>
      </x:c>
      <x:c r="E723" s="2" t="str">
        <x:v>Data &amp; Reporting</x:v>
      </x:c>
      <x:c r="F723" s="56" t="str">
        <x:f>'Data &amp; Reporting'!E723</x:f>
        <x:v>DR.RS.1.3.C09</x:v>
      </x:c>
      <x:c r="G723" s="14" t="str">
        <x:f>'Data &amp; Reporting'!F723</x:f>
        <x:v>    Document any data limitations or constraints clearly (as needed)</x:v>
      </x:c>
      <x:c r="H723" s="2" t="str">
        <x:f>IF('Data &amp; Reporting'!G723="","",'Data &amp; Reporting'!G723)</x:f>
      </x:c>
      <x:c r="I723" s="12" t="str">
        <x:f>IF('Data &amp; Reporting'!H723="","",'Data &amp; Reporting'!H723)</x:f>
      </x:c>
      <x:c r="J723" s="12" t="str">
        <x:f>IF('Data &amp; Reporting'!I723="","",'Data &amp; Reporting'!I723)</x:f>
      </x:c>
      <x:c r="K723" s="12" t="str">
        <x:f>IF('Data &amp; Reporting'!J723="","",'Data &amp; Reporting'!J723)</x:f>
      </x:c>
      <x:c r="L723" s="2" t="str">
        <x:f>IF('Data &amp; Reporting'!K723="","",'Data &amp; Reporting'!K723)</x:f>
      </x:c>
      <x:c r="M723" s="2" t="n">
        <x:f>'Data &amp; Reporting'!Q723</x:f>
        <x:v>0</x:v>
      </x:c>
      <x:c r="N723" s="2" t="str">
        <x:f>'Data &amp; Reporting'!L723</x:f>
        <x:v>Open check</x:v>
      </x:c>
      <x:c r="O723" s="2" t="str">
        <x:f>'Data &amp; Reporting'!N723</x:f>
        <x:v>DR.RS.1.3.C09.2026.CY4</x:v>
      </x:c>
      <x:c r="P723" s="2" t="n">
        <x:f>'Data &amp; Reporting'!O723</x:f>
        <x:v>0</x:v>
      </x:c>
      <x:c r="Q723" s="2" t="n">
        <x:f>SUBTOTAL(103,O723)</x:f>
        <x:v>1</x:v>
      </x:c>
      <x:c r="R723" s="2" t="n">
        <x:f>IF(AND(M723=1,OR(Dashboard!$B$7="All",Dashboard!$B$7='Cycles &amp; Guide'!$C$5),OR(Dashboard!$D$7="All",Dashboard!$D$7=B723),OR(Dashboard!$F$7="All",Dashboard!$F$7=C723),OR(Dashboard!$H$7="All",Dashboard!$H$7=D723),OR(Dashboard!$K$7="All",Dashboard!$K$7=E723)),1,0)</x:f>
        <x:v>0</x:v>
      </x:c>
      <x:c r="S723" s="2" t="n">
        <x:f>IF(R723=1,SUM($R$10:R723),0)</x:f>
        <x:v>0</x:v>
      </x:c>
      <x:c r="T723" s="2" t="str">
        <x:v>Data &amp; Reporting</x:v>
      </x:c>
      <x:c r="U723" s="2" t="n">
        <x:v>723</x:v>
      </x:c>
      <x:c r="V723" s="2" t="n">
        <x:f>IF(AND(M723=1,P723=0,ISNUMBER(J723),J723&lt;TODAY()),1,0)</x:f>
        <x:v>0</x:v>
      </x:c>
      <x:c r="W723" s="2" t="str">
        <x:f>'Data &amp; Reporting'!M723</x:f>
        <x:v>Checklist</x:v>
      </x:c>
    </x:row>
    <x:row r="724" ht="40" customHeight="1">
      <x:c r="A724" s="3" t="str">
        <x:f>HYPERLINK("#'Data &amp; Reporting'!A724","Open")</x:f>
        <x:v>Open</x:v>
      </x:c>
      <x:c r="B724" s="2" t="str">
        <x:f>'Data &amp; Reporting'!B724</x:f>
        <x:v>Cycle 4</x:v>
      </x:c>
      <x:c r="C724" s="2" t="str">
        <x:f>'Data &amp; Reporting'!C724</x:f>
        <x:v>Phase 1</x:v>
      </x:c>
      <x:c r="D724" s="2" t="str">
        <x:f>'Data &amp; Reporting'!D724</x:f>
        <x:v>Retail Services</x:v>
      </x:c>
      <x:c r="E724" s="2" t="str">
        <x:v>Data &amp; Reporting</x:v>
      </x:c>
      <x:c r="F724" s="56" t="str">
        <x:f>'Data &amp; Reporting'!E724</x:f>
        <x:v>DR.RS.1.3.C10</x:v>
      </x:c>
      <x:c r="G724" s="14" t="str">
        <x:f>'Data &amp; Reporting'!F724</x:f>
        <x:v>    Document data dictionary or field definitions for columns/rows</x:v>
      </x:c>
      <x:c r="H724" s="2" t="str">
        <x:f>IF('Data &amp; Reporting'!G724="","",'Data &amp; Reporting'!G724)</x:f>
      </x:c>
      <x:c r="I724" s="12" t="str">
        <x:f>IF('Data &amp; Reporting'!H724="","",'Data &amp; Reporting'!H724)</x:f>
      </x:c>
      <x:c r="J724" s="12" t="str">
        <x:f>IF('Data &amp; Reporting'!I724="","",'Data &amp; Reporting'!I724)</x:f>
      </x:c>
      <x:c r="K724" s="12" t="str">
        <x:f>IF('Data &amp; Reporting'!J724="","",'Data &amp; Reporting'!J724)</x:f>
      </x:c>
      <x:c r="L724" s="2" t="str">
        <x:f>IF('Data &amp; Reporting'!K724="","",'Data &amp; Reporting'!K724)</x:f>
      </x:c>
      <x:c r="M724" s="2" t="n">
        <x:f>'Data &amp; Reporting'!Q724</x:f>
        <x:v>0</x:v>
      </x:c>
      <x:c r="N724" s="2" t="str">
        <x:f>'Data &amp; Reporting'!L724</x:f>
        <x:v>Open check</x:v>
      </x:c>
      <x:c r="O724" s="2" t="str">
        <x:f>'Data &amp; Reporting'!N724</x:f>
        <x:v>DR.RS.1.3.C10.2026.CY4</x:v>
      </x:c>
      <x:c r="P724" s="2" t="n">
        <x:f>'Data &amp; Reporting'!O724</x:f>
        <x:v>0</x:v>
      </x:c>
      <x:c r="Q724" s="2" t="n">
        <x:f>SUBTOTAL(103,O724)</x:f>
        <x:v>1</x:v>
      </x:c>
      <x:c r="R724" s="2" t="n">
        <x:f>IF(AND(M724=1,OR(Dashboard!$B$7="All",Dashboard!$B$7='Cycles &amp; Guide'!$C$5),OR(Dashboard!$D$7="All",Dashboard!$D$7=B724),OR(Dashboard!$F$7="All",Dashboard!$F$7=C724),OR(Dashboard!$H$7="All",Dashboard!$H$7=D724),OR(Dashboard!$K$7="All",Dashboard!$K$7=E724)),1,0)</x:f>
        <x:v>0</x:v>
      </x:c>
      <x:c r="S724" s="2" t="n">
        <x:f>IF(R724=1,SUM($R$10:R724),0)</x:f>
        <x:v>0</x:v>
      </x:c>
      <x:c r="T724" s="2" t="str">
        <x:v>Data &amp; Reporting</x:v>
      </x:c>
      <x:c r="U724" s="2" t="n">
        <x:v>724</x:v>
      </x:c>
      <x:c r="V724" s="2" t="n">
        <x:f>IF(AND(M724=1,P724=0,ISNUMBER(J724),J724&lt;TODAY()),1,0)</x:f>
        <x:v>0</x:v>
      </x:c>
      <x:c r="W724" s="2" t="str">
        <x:f>'Data &amp; Reporting'!M724</x:f>
        <x:v>Checklist</x:v>
      </x:c>
    </x:row>
    <x:row r="725" ht="40" customHeight="1">
      <x:c r="A725" s="3" t="str">
        <x:f>HYPERLINK("#'Data &amp; Reporting'!A725","Open")</x:f>
        <x:v>Open</x:v>
      </x:c>
      <x:c r="B725" s="2" t="str">
        <x:f>'Data &amp; Reporting'!B725</x:f>
        <x:v>Cycle 4</x:v>
      </x:c>
      <x:c r="C725" s="2" t="str">
        <x:f>'Data &amp; Reporting'!C725</x:f>
        <x:v>Phase 1</x:v>
      </x:c>
      <x:c r="D725" s="2" t="str">
        <x:f>'Data &amp; Reporting'!D725</x:f>
        <x:v>Retail Services</x:v>
      </x:c>
      <x:c r="E725" s="2" t="str">
        <x:v>Data &amp; Reporting</x:v>
      </x:c>
      <x:c r="F725" s="56" t="str">
        <x:f>'Data &amp; Reporting'!E725</x:f>
        <x:v>DR.RS.1.3.C11</x:v>
      </x:c>
      <x:c r="G725" s="14" t="str">
        <x:f>'Data &amp; Reporting'!F725</x:f>
        <x:v>    Document emerging trends, patterns, or concentrations along with supporting data</x:v>
      </x:c>
      <x:c r="H725" s="2" t="str">
        <x:f>IF('Data &amp; Reporting'!G725="","",'Data &amp; Reporting'!G725)</x:f>
      </x:c>
      <x:c r="I725" s="12" t="str">
        <x:f>IF('Data &amp; Reporting'!H725="","",'Data &amp; Reporting'!H725)</x:f>
      </x:c>
      <x:c r="J725" s="12" t="str">
        <x:f>IF('Data &amp; Reporting'!I725="","",'Data &amp; Reporting'!I725)</x:f>
      </x:c>
      <x:c r="K725" s="12" t="str">
        <x:f>IF('Data &amp; Reporting'!J725="","",'Data &amp; Reporting'!J725)</x:f>
      </x:c>
      <x:c r="L725" s="2" t="str">
        <x:f>IF('Data &amp; Reporting'!K725="","",'Data &amp; Reporting'!K725)</x:f>
      </x:c>
      <x:c r="M725" s="2" t="n">
        <x:f>'Data &amp; Reporting'!Q725</x:f>
        <x:v>0</x:v>
      </x:c>
      <x:c r="N725" s="2" t="str">
        <x:f>'Data &amp; Reporting'!L725</x:f>
        <x:v>Open check</x:v>
      </x:c>
      <x:c r="O725" s="2" t="str">
        <x:f>'Data &amp; Reporting'!N725</x:f>
        <x:v>DR.RS.1.3.C11.2026.CY4</x:v>
      </x:c>
      <x:c r="P725" s="2" t="n">
        <x:f>'Data &amp; Reporting'!O725</x:f>
        <x:v>0</x:v>
      </x:c>
      <x:c r="Q725" s="2" t="n">
        <x:f>SUBTOTAL(103,O725)</x:f>
        <x:v>1</x:v>
      </x:c>
      <x:c r="R725" s="2" t="n">
        <x:f>IF(AND(M725=1,OR(Dashboard!$B$7="All",Dashboard!$B$7='Cycles &amp; Guide'!$C$5),OR(Dashboard!$D$7="All",Dashboard!$D$7=B725),OR(Dashboard!$F$7="All",Dashboard!$F$7=C725),OR(Dashboard!$H$7="All",Dashboard!$H$7=D725),OR(Dashboard!$K$7="All",Dashboard!$K$7=E725)),1,0)</x:f>
        <x:v>0</x:v>
      </x:c>
      <x:c r="S725" s="2" t="n">
        <x:f>IF(R725=1,SUM($R$10:R725),0)</x:f>
        <x:v>0</x:v>
      </x:c>
      <x:c r="T725" s="2" t="str">
        <x:v>Data &amp; Reporting</x:v>
      </x:c>
      <x:c r="U725" s="2" t="n">
        <x:v>725</x:v>
      </x:c>
      <x:c r="V725" s="2" t="n">
        <x:f>IF(AND(M725=1,P725=0,ISNUMBER(J725),J725&lt;TODAY()),1,0)</x:f>
        <x:v>0</x:v>
      </x:c>
      <x:c r="W725" s="2" t="str">
        <x:f>'Data &amp; Reporting'!M725</x:f>
        <x:v>Checklist</x:v>
      </x:c>
    </x:row>
    <x:row r="726" ht="40" customHeight="1">
      <x:c r="A726" s="3" t="str">
        <x:f>HYPERLINK("#'Data &amp; Reporting'!A726","Open")</x:f>
        <x:v>Open</x:v>
      </x:c>
      <x:c r="B726" s="2" t="str">
        <x:f>'Data &amp; Reporting'!B726</x:f>
        <x:v>Cycle 4</x:v>
      </x:c>
      <x:c r="C726" s="2" t="str">
        <x:f>'Data &amp; Reporting'!C726</x:f>
        <x:v>Phase 1</x:v>
      </x:c>
      <x:c r="D726" s="2" t="str">
        <x:f>'Data &amp; Reporting'!D726</x:f>
        <x:v>Retail Services</x:v>
      </x:c>
      <x:c r="E726" s="2" t="str">
        <x:v>Data &amp; Reporting</x:v>
      </x:c>
      <x:c r="F726" s="56" t="str">
        <x:f>'Data &amp; Reporting'!E726</x:f>
        <x:v>DR.RS.1.3.C12</x:v>
      </x:c>
      <x:c r="G726" s="14" t="str">
        <x:f>'Data &amp; Reporting'!F726</x:f>
        <x:v>    Document any severe spikes in volume along with context (as needed)</x:v>
      </x:c>
      <x:c r="H726" s="2" t="str">
        <x:f>IF('Data &amp; Reporting'!G726="","",'Data &amp; Reporting'!G726)</x:f>
      </x:c>
      <x:c r="I726" s="12" t="str">
        <x:f>IF('Data &amp; Reporting'!H726="","",'Data &amp; Reporting'!H726)</x:f>
      </x:c>
      <x:c r="J726" s="12" t="str">
        <x:f>IF('Data &amp; Reporting'!I726="","",'Data &amp; Reporting'!I726)</x:f>
      </x:c>
      <x:c r="K726" s="12" t="str">
        <x:f>IF('Data &amp; Reporting'!J726="","",'Data &amp; Reporting'!J726)</x:f>
      </x:c>
      <x:c r="L726" s="2" t="str">
        <x:f>IF('Data &amp; Reporting'!K726="","",'Data &amp; Reporting'!K726)</x:f>
      </x:c>
      <x:c r="M726" s="2" t="n">
        <x:f>'Data &amp; Reporting'!Q726</x:f>
        <x:v>0</x:v>
      </x:c>
      <x:c r="N726" s="2" t="str">
        <x:f>'Data &amp; Reporting'!L726</x:f>
        <x:v>Open check</x:v>
      </x:c>
      <x:c r="O726" s="2" t="str">
        <x:f>'Data &amp; Reporting'!N726</x:f>
        <x:v>DR.RS.1.3.C12.2026.CY4</x:v>
      </x:c>
      <x:c r="P726" s="2" t="n">
        <x:f>'Data &amp; Reporting'!O726</x:f>
        <x:v>0</x:v>
      </x:c>
      <x:c r="Q726" s="2" t="n">
        <x:f>SUBTOTAL(103,O726)</x:f>
        <x:v>1</x:v>
      </x:c>
      <x:c r="R726" s="2" t="n">
        <x:f>IF(AND(M726=1,OR(Dashboard!$B$7="All",Dashboard!$B$7='Cycles &amp; Guide'!$C$5),OR(Dashboard!$D$7="All",Dashboard!$D$7=B726),OR(Dashboard!$F$7="All",Dashboard!$F$7=C726),OR(Dashboard!$H$7="All",Dashboard!$H$7=D726),OR(Dashboard!$K$7="All",Dashboard!$K$7=E726)),1,0)</x:f>
        <x:v>0</x:v>
      </x:c>
      <x:c r="S726" s="2" t="n">
        <x:f>IF(R726=1,SUM($R$10:R726),0)</x:f>
        <x:v>0</x:v>
      </x:c>
      <x:c r="T726" s="2" t="str">
        <x:v>Data &amp; Reporting</x:v>
      </x:c>
      <x:c r="U726" s="2" t="n">
        <x:v>726</x:v>
      </x:c>
      <x:c r="V726" s="2" t="n">
        <x:f>IF(AND(M726=1,P726=0,ISNUMBER(J726),J726&lt;TODAY()),1,0)</x:f>
        <x:v>0</x:v>
      </x:c>
      <x:c r="W726" s="2" t="str">
        <x:f>'Data &amp; Reporting'!M726</x:f>
        <x:v>Checklist</x:v>
      </x:c>
    </x:row>
    <x:row r="727" ht="40" customHeight="1">
      <x:c r="A727" s="3" t="str">
        <x:f>HYPERLINK("#'Data &amp; Reporting'!A727","Open")</x:f>
        <x:v>Open</x:v>
      </x:c>
      <x:c r="B727" s="2" t="str">
        <x:f>'Data &amp; Reporting'!B727</x:f>
        <x:v>Cycle 4</x:v>
      </x:c>
      <x:c r="C727" s="2" t="str">
        <x:f>'Data &amp; Reporting'!C727</x:f>
        <x:v>Phase 1</x:v>
      </x:c>
      <x:c r="D727" s="2" t="str">
        <x:f>'Data &amp; Reporting'!D727</x:f>
        <x:v>Retail Services</x:v>
      </x:c>
      <x:c r="E727" s="2" t="str">
        <x:v>Data &amp; Reporting</x:v>
      </x:c>
      <x:c r="F727" s="56" t="str">
        <x:f>'Data &amp; Reporting'!E727</x:f>
        <x:v>DR.RS.1.3.C13</x:v>
      </x:c>
      <x:c r="G727" s="14" t="str">
        <x:f>'Data &amp; Reporting'!F727</x:f>
        <x:v>    Document clear summary explaining how the data connects to the potential topic</x:v>
      </x:c>
      <x:c r="H727" s="2" t="str">
        <x:f>IF('Data &amp; Reporting'!G727="","",'Data &amp; Reporting'!G727)</x:f>
      </x:c>
      <x:c r="I727" s="12" t="str">
        <x:f>IF('Data &amp; Reporting'!H727="","",'Data &amp; Reporting'!H727)</x:f>
      </x:c>
      <x:c r="J727" s="12" t="str">
        <x:f>IF('Data &amp; Reporting'!I727="","",'Data &amp; Reporting'!I727)</x:f>
      </x:c>
      <x:c r="K727" s="12" t="str">
        <x:f>IF('Data &amp; Reporting'!J727="","",'Data &amp; Reporting'!J727)</x:f>
      </x:c>
      <x:c r="L727" s="2" t="str">
        <x:f>IF('Data &amp; Reporting'!K727="","",'Data &amp; Reporting'!K727)</x:f>
      </x:c>
      <x:c r="M727" s="2" t="n">
        <x:f>'Data &amp; Reporting'!Q727</x:f>
        <x:v>0</x:v>
      </x:c>
      <x:c r="N727" s="2" t="str">
        <x:f>'Data &amp; Reporting'!L727</x:f>
        <x:v>Open check</x:v>
      </x:c>
      <x:c r="O727" s="2" t="str">
        <x:f>'Data &amp; Reporting'!N727</x:f>
        <x:v>DR.RS.1.3.C13.2026.CY4</x:v>
      </x:c>
      <x:c r="P727" s="2" t="n">
        <x:f>'Data &amp; Reporting'!O727</x:f>
        <x:v>0</x:v>
      </x:c>
      <x:c r="Q727" s="2" t="n">
        <x:f>SUBTOTAL(103,O727)</x:f>
        <x:v>1</x:v>
      </x:c>
      <x:c r="R727" s="2" t="n">
        <x:f>IF(AND(M727=1,OR(Dashboard!$B$7="All",Dashboard!$B$7='Cycles &amp; Guide'!$C$5),OR(Dashboard!$D$7="All",Dashboard!$D$7=B727),OR(Dashboard!$F$7="All",Dashboard!$F$7=C727),OR(Dashboard!$H$7="All",Dashboard!$H$7=D727),OR(Dashboard!$K$7="All",Dashboard!$K$7=E727)),1,0)</x:f>
        <x:v>0</x:v>
      </x:c>
      <x:c r="S727" s="2" t="n">
        <x:f>IF(R727=1,SUM($R$10:R727),0)</x:f>
        <x:v>0</x:v>
      </x:c>
      <x:c r="T727" s="2" t="str">
        <x:v>Data &amp; Reporting</x:v>
      </x:c>
      <x:c r="U727" s="2" t="n">
        <x:v>727</x:v>
      </x:c>
      <x:c r="V727" s="2" t="n">
        <x:f>IF(AND(M727=1,P727=0,ISNUMBER(J727),J727&lt;TODAY()),1,0)</x:f>
        <x:v>0</x:v>
      </x:c>
      <x:c r="W727" s="2" t="str">
        <x:f>'Data &amp; Reporting'!M727</x:f>
        <x:v>Checklist</x:v>
      </x:c>
    </x:row>
    <x:row r="728" ht="40" customHeight="1">
      <x:c r="A728" s="3" t="str">
        <x:f>HYPERLINK("#'Data &amp; Reporting'!A728","Open")</x:f>
        <x:v>Open</x:v>
      </x:c>
      <x:c r="B728" s="2" t="str">
        <x:f>'Data &amp; Reporting'!B728</x:f>
        <x:v>Cycle 4</x:v>
      </x:c>
      <x:c r="C728" s="2" t="str">
        <x:f>'Data &amp; Reporting'!C728</x:f>
        <x:v>Phase 2</x:v>
      </x:c>
      <x:c r="D728" s="2" t="str">
        <x:f>'Data &amp; Reporting'!D728</x:f>
        <x:v>Retail Services</x:v>
      </x:c>
      <x:c r="E728" s="2" t="str">
        <x:v>Data &amp; Reporting</x:v>
      </x:c>
      <x:c r="F728" s="56" t="str">
        <x:f>'Data &amp; Reporting'!E728</x:f>
        <x:v>DR.RS.2.1</x:v>
      </x:c>
      <x:c r="G728" s="14" t="str">
        <x:f>'Data &amp; Reporting'!F728</x:f>
        <x:v>Ensure data is clean, structured, and usable without manipulation needed</x:v>
      </x:c>
      <x:c r="H728" s="2" t="str">
        <x:f>IF('Data &amp; Reporting'!G728="","",'Data &amp; Reporting'!G728)</x:f>
      </x:c>
      <x:c r="I728" s="12" t="str">
        <x:f>IF('Data &amp; Reporting'!H728="","",'Data &amp; Reporting'!H728)</x:f>
      </x:c>
      <x:c r="J728" s="12" t="n">
        <x:f>IF('Data &amp; Reporting'!I728="","",'Data &amp; Reporting'!I728)</x:f>
        <x:v>46387</x:v>
      </x:c>
      <x:c r="K728" s="12" t="str">
        <x:f>IF('Data &amp; Reporting'!J728="","",'Data &amp; Reporting'!J728)</x:f>
      </x:c>
      <x:c r="L728" s="2" t="str">
        <x:f>IF('Data &amp; Reporting'!K728="","",'Data &amp; Reporting'!K728)</x:f>
      </x:c>
      <x:c r="M728" s="2" t="n">
        <x:f>'Data &amp; Reporting'!Q728</x:f>
        <x:v>1</x:v>
      </x:c>
      <x:c r="N728" s="2" t="str">
        <x:f>'Data &amp; Reporting'!L728</x:f>
        <x:v>Not started</x:v>
      </x:c>
      <x:c r="O728" s="2" t="str">
        <x:f>'Data &amp; Reporting'!N728</x:f>
        <x:v>DR.RS.2.1.2026.CY4</x:v>
      </x:c>
      <x:c r="P728" s="2" t="n">
        <x:f>'Data &amp; Reporting'!O728</x:f>
        <x:v>0</x:v>
      </x:c>
      <x:c r="Q728" s="2" t="n">
        <x:f>SUBTOTAL(103,O728)</x:f>
        <x:v>1</x:v>
      </x:c>
      <x:c r="R728" s="2" t="n">
        <x:f>IF(AND(M728=1,OR(Dashboard!$B$7="All",Dashboard!$B$7='Cycles &amp; Guide'!$C$5),OR(Dashboard!$D$7="All",Dashboard!$D$7=B728),OR(Dashboard!$F$7="All",Dashboard!$F$7=C728),OR(Dashboard!$H$7="All",Dashboard!$H$7=D728),OR(Dashboard!$K$7="All",Dashboard!$K$7=E728)),1,0)</x:f>
        <x:v>1</x:v>
      </x:c>
      <x:c r="S728" s="2" t="n">
        <x:f>IF(R728=1,SUM($R$10:R728),0)</x:f>
        <x:v>355</x:v>
      </x:c>
      <x:c r="T728" s="2" t="str">
        <x:v>Data &amp; Reporting</x:v>
      </x:c>
      <x:c r="U728" s="2" t="n">
        <x:v>728</x:v>
      </x:c>
      <x:c r="V728" s="2" t="n">
        <x:f>IF(AND(M728=1,P728=0,ISNUMBER(J728),J728&lt;TODAY()),1,0)</x:f>
        <x:v>0</x:v>
      </x:c>
      <x:c r="W728" s="2" t="str">
        <x:f>'Data &amp; Reporting'!M728</x:f>
        <x:v>Task</x:v>
      </x:c>
    </x:row>
    <x:row r="729" ht="40" customHeight="1">
      <x:c r="A729" s="3" t="str">
        <x:f>HYPERLINK("#'Data &amp; Reporting'!A729","Open")</x:f>
        <x:v>Open</x:v>
      </x:c>
      <x:c r="B729" s="2" t="str">
        <x:f>'Data &amp; Reporting'!B729</x:f>
        <x:v>Cycle 4</x:v>
      </x:c>
      <x:c r="C729" s="2" t="str">
        <x:f>'Data &amp; Reporting'!C729</x:f>
        <x:v>Phase 2</x:v>
      </x:c>
      <x:c r="D729" s="2" t="str">
        <x:f>'Data &amp; Reporting'!D729</x:f>
        <x:v>Retail Services</x:v>
      </x:c>
      <x:c r="E729" s="2" t="str">
        <x:v>Data &amp; Reporting</x:v>
      </x:c>
      <x:c r="F729" s="56" t="str">
        <x:f>'Data &amp; Reporting'!E729</x:f>
        <x:v>DR.RS.2.2</x:v>
      </x:c>
      <x:c r="G729" s="14" t="str">
        <x:f>'Data &amp; Reporting'!F729</x:f>
        <x:v>Clearly document rationale for each topic recommendation within the SharePoint list</x:v>
      </x:c>
      <x:c r="H729" s="2" t="str">
        <x:f>IF('Data &amp; Reporting'!G729="","",'Data &amp; Reporting'!G729)</x:f>
      </x:c>
      <x:c r="I729" s="12" t="str">
        <x:f>IF('Data &amp; Reporting'!H729="","",'Data &amp; Reporting'!H729)</x:f>
      </x:c>
      <x:c r="J729" s="12" t="n">
        <x:f>IF('Data &amp; Reporting'!I729="","",'Data &amp; Reporting'!I729)</x:f>
        <x:v>46387</x:v>
      </x:c>
      <x:c r="K729" s="12" t="str">
        <x:f>IF('Data &amp; Reporting'!J729="","",'Data &amp; Reporting'!J729)</x:f>
      </x:c>
      <x:c r="L729" s="2" t="str">
        <x:f>IF('Data &amp; Reporting'!K729="","",'Data &amp; Reporting'!K729)</x:f>
      </x:c>
      <x:c r="M729" s="2" t="n">
        <x:f>'Data &amp; Reporting'!Q729</x:f>
        <x:v>1</x:v>
      </x:c>
      <x:c r="N729" s="2" t="str">
        <x:f>'Data &amp; Reporting'!L729</x:f>
        <x:v>Not started</x:v>
      </x:c>
      <x:c r="O729" s="2" t="str">
        <x:f>'Data &amp; Reporting'!N729</x:f>
        <x:v>DR.RS.2.2.2026.CY4</x:v>
      </x:c>
      <x:c r="P729" s="2" t="n">
        <x:f>'Data &amp; Reporting'!O729</x:f>
        <x:v>0</x:v>
      </x:c>
      <x:c r="Q729" s="2" t="n">
        <x:f>SUBTOTAL(103,O729)</x:f>
        <x:v>1</x:v>
      </x:c>
      <x:c r="R729" s="2" t="n">
        <x:f>IF(AND(M729=1,OR(Dashboard!$B$7="All",Dashboard!$B$7='Cycles &amp; Guide'!$C$5),OR(Dashboard!$D$7="All",Dashboard!$D$7=B729),OR(Dashboard!$F$7="All",Dashboard!$F$7=C729),OR(Dashboard!$H$7="All",Dashboard!$H$7=D729),OR(Dashboard!$K$7="All",Dashboard!$K$7=E729)),1,0)</x:f>
        <x:v>1</x:v>
      </x:c>
      <x:c r="S729" s="2" t="n">
        <x:f>IF(R729=1,SUM($R$10:R729),0)</x:f>
        <x:v>356</x:v>
      </x:c>
      <x:c r="T729" s="2" t="str">
        <x:v>Data &amp; Reporting</x:v>
      </x:c>
      <x:c r="U729" s="2" t="n">
        <x:v>729</x:v>
      </x:c>
      <x:c r="V729" s="2" t="n">
        <x:f>IF(AND(M729=1,P729=0,ISNUMBER(J729),J729&lt;TODAY()),1,0)</x:f>
        <x:v>0</x:v>
      </x:c>
      <x:c r="W729" s="2" t="str">
        <x:f>'Data &amp; Reporting'!M729</x:f>
        <x:v>Task</x:v>
      </x:c>
    </x:row>
    <x:row r="730" ht="40" customHeight="1">
      <x:c r="A730" s="3" t="str">
        <x:f>HYPERLINK("#'Data &amp; Reporting'!A730","Open")</x:f>
        <x:v>Open</x:v>
      </x:c>
      <x:c r="B730" s="2" t="str">
        <x:f>'Data &amp; Reporting'!B730</x:f>
        <x:v>Cycle 4</x:v>
      </x:c>
      <x:c r="C730" s="2" t="str">
        <x:f>'Data &amp; Reporting'!C730</x:f>
        <x:v>Phase 2</x:v>
      </x:c>
      <x:c r="D730" s="2" t="str">
        <x:f>'Data &amp; Reporting'!D730</x:f>
        <x:v>Retail Services</x:v>
      </x:c>
      <x:c r="E730" s="2" t="str">
        <x:v>Data &amp; Reporting</x:v>
      </x:c>
      <x:c r="F730" s="56" t="str">
        <x:f>'Data &amp; Reporting'!E730</x:f>
        <x:v>DR.RS.2.3</x:v>
      </x:c>
      <x:c r="G730" s="14" t="str">
        <x:f>'Data &amp; Reporting'!F730</x:f>
        <x:v>Verify topic is eligible for RCA and does not conflict with Attorney Client Privilege</x:v>
      </x:c>
      <x:c r="H730" s="2" t="str">
        <x:f>IF('Data &amp; Reporting'!G730="","",'Data &amp; Reporting'!G730)</x:f>
      </x:c>
      <x:c r="I730" s="12" t="str">
        <x:f>IF('Data &amp; Reporting'!H730="","",'Data &amp; Reporting'!H730)</x:f>
      </x:c>
      <x:c r="J730" s="12" t="n">
        <x:f>IF('Data &amp; Reporting'!I730="","",'Data &amp; Reporting'!I730)</x:f>
        <x:v>46387</x:v>
      </x:c>
      <x:c r="K730" s="12" t="str">
        <x:f>IF('Data &amp; Reporting'!J730="","",'Data &amp; Reporting'!J730)</x:f>
      </x:c>
      <x:c r="L730" s="2" t="str">
        <x:f>IF('Data &amp; Reporting'!K730="","",'Data &amp; Reporting'!K730)</x:f>
      </x:c>
      <x:c r="M730" s="2" t="n">
        <x:f>'Data &amp; Reporting'!Q730</x:f>
        <x:v>1</x:v>
      </x:c>
      <x:c r="N730" s="2" t="str">
        <x:f>'Data &amp; Reporting'!L730</x:f>
        <x:v>Not started</x:v>
      </x:c>
      <x:c r="O730" s="2" t="str">
        <x:f>'Data &amp; Reporting'!N730</x:f>
        <x:v>DR.RS.2.3.2026.CY4</x:v>
      </x:c>
      <x:c r="P730" s="2" t="n">
        <x:f>'Data &amp; Reporting'!O730</x:f>
        <x:v>0</x:v>
      </x:c>
      <x:c r="Q730" s="2" t="n">
        <x:f>SUBTOTAL(103,O730)</x:f>
        <x:v>1</x:v>
      </x:c>
      <x:c r="R730" s="2" t="n">
        <x:f>IF(AND(M730=1,OR(Dashboard!$B$7="All",Dashboard!$B$7='Cycles &amp; Guide'!$C$5),OR(Dashboard!$D$7="All",Dashboard!$D$7=B730),OR(Dashboard!$F$7="All",Dashboard!$F$7=C730),OR(Dashboard!$H$7="All",Dashboard!$H$7=D730),OR(Dashboard!$K$7="All",Dashboard!$K$7=E730)),1,0)</x:f>
        <x:v>1</x:v>
      </x:c>
      <x:c r="S730" s="2" t="n">
        <x:f>IF(R730=1,SUM($R$10:R730),0)</x:f>
        <x:v>357</x:v>
      </x:c>
      <x:c r="T730" s="2" t="str">
        <x:v>Data &amp; Reporting</x:v>
      </x:c>
      <x:c r="U730" s="2" t="n">
        <x:v>730</x:v>
      </x:c>
      <x:c r="V730" s="2" t="n">
        <x:f>IF(AND(M730=1,P730=0,ISNUMBER(J730),J730&lt;TODAY()),1,0)</x:f>
        <x:v>0</x:v>
      </x:c>
      <x:c r="W730" s="2" t="str">
        <x:f>'Data &amp; Reporting'!M730</x:f>
        <x:v>Task</x:v>
      </x:c>
    </x:row>
    <x:row r="731" ht="40" customHeight="1">
      <x:c r="A731" s="3" t="str">
        <x:f>HYPERLINK("#'Data &amp; Reporting'!A731","Open")</x:f>
        <x:v>Open</x:v>
      </x:c>
      <x:c r="B731" s="2" t="str">
        <x:f>'Data &amp; Reporting'!B731</x:f>
        <x:v>Cycle 4</x:v>
      </x:c>
      <x:c r="C731" s="2" t="str">
        <x:f>'Data &amp; Reporting'!C731</x:f>
        <x:v>Phase 2</x:v>
      </x:c>
      <x:c r="D731" s="2" t="str">
        <x:f>'Data &amp; Reporting'!D731</x:f>
        <x:v>Retail Services</x:v>
      </x:c>
      <x:c r="E731" s="2" t="str">
        <x:v>Data &amp; Reporting</x:v>
      </x:c>
      <x:c r="F731" s="56" t="str">
        <x:f>'Data &amp; Reporting'!E731</x:f>
        <x:v>DR.RS.2.4</x:v>
      </x:c>
      <x:c r="G731" s="14" t="str">
        <x:f>'Data &amp; Reporting'!F731</x:f>
        <x:v>Ensure data is free of errors and anomalies prior to hand-off to Research</x:v>
      </x:c>
      <x:c r="H731" s="2" t="str">
        <x:f>IF('Data &amp; Reporting'!G731="","",'Data &amp; Reporting'!G731)</x:f>
      </x:c>
      <x:c r="I731" s="12" t="str">
        <x:f>IF('Data &amp; Reporting'!H731="","",'Data &amp; Reporting'!H731)</x:f>
      </x:c>
      <x:c r="J731" s="12" t="n">
        <x:f>IF('Data &amp; Reporting'!I731="","",'Data &amp; Reporting'!I731)</x:f>
        <x:v>46387</x:v>
      </x:c>
      <x:c r="K731" s="12" t="str">
        <x:f>IF('Data &amp; Reporting'!J731="","",'Data &amp; Reporting'!J731)</x:f>
      </x:c>
      <x:c r="L731" s="2" t="str">
        <x:f>IF('Data &amp; Reporting'!K731="","",'Data &amp; Reporting'!K731)</x:f>
      </x:c>
      <x:c r="M731" s="2" t="n">
        <x:f>'Data &amp; Reporting'!Q731</x:f>
        <x:v>1</x:v>
      </x:c>
      <x:c r="N731" s="2" t="str">
        <x:f>'Data &amp; Reporting'!L731</x:f>
        <x:v>Not started</x:v>
      </x:c>
      <x:c r="O731" s="2" t="str">
        <x:f>'Data &amp; Reporting'!N731</x:f>
        <x:v>DR.RS.2.4.2026.CY4</x:v>
      </x:c>
      <x:c r="P731" s="2" t="n">
        <x:f>'Data &amp; Reporting'!O731</x:f>
        <x:v>0</x:v>
      </x:c>
      <x:c r="Q731" s="2" t="n">
        <x:f>SUBTOTAL(103,O731)</x:f>
        <x:v>1</x:v>
      </x:c>
      <x:c r="R731" s="2" t="n">
        <x:f>IF(AND(M731=1,OR(Dashboard!$B$7="All",Dashboard!$B$7='Cycles &amp; Guide'!$C$5),OR(Dashboard!$D$7="All",Dashboard!$D$7=B731),OR(Dashboard!$F$7="All",Dashboard!$F$7=C731),OR(Dashboard!$H$7="All",Dashboard!$H$7=D731),OR(Dashboard!$K$7="All",Dashboard!$K$7=E731)),1,0)</x:f>
        <x:v>1</x:v>
      </x:c>
      <x:c r="S731" s="2" t="n">
        <x:f>IF(R731=1,SUM($R$10:R731),0)</x:f>
        <x:v>358</x:v>
      </x:c>
      <x:c r="T731" s="2" t="str">
        <x:v>Data &amp; Reporting</x:v>
      </x:c>
      <x:c r="U731" s="2" t="n">
        <x:v>731</x:v>
      </x:c>
      <x:c r="V731" s="2" t="n">
        <x:f>IF(AND(M731=1,P731=0,ISNUMBER(J731),J731&lt;TODAY()),1,0)</x:f>
        <x:v>0</x:v>
      </x:c>
      <x:c r="W731" s="2" t="str">
        <x:f>'Data &amp; Reporting'!M731</x:f>
        <x:v>Task</x:v>
      </x:c>
    </x:row>
    <x:row r="732" ht="40" customHeight="1">
      <x:c r="A732" s="3" t="str">
        <x:f>HYPERLINK("#'Data &amp; Reporting'!A732","Open")</x:f>
        <x:v>Open</x:v>
      </x:c>
      <x:c r="B732" s="2" t="str">
        <x:f>'Data &amp; Reporting'!B732</x:f>
        <x:v>Cycle 4</x:v>
      </x:c>
      <x:c r="C732" s="2" t="str">
        <x:f>'Data &amp; Reporting'!C732</x:f>
        <x:v>Phase 2</x:v>
      </x:c>
      <x:c r="D732" s="2" t="str">
        <x:f>'Data &amp; Reporting'!D732</x:f>
        <x:v>Retail Services</x:v>
      </x:c>
      <x:c r="E732" s="2" t="str">
        <x:v>Data &amp; Reporting</x:v>
      </x:c>
      <x:c r="F732" s="56" t="str">
        <x:f>'Data &amp; Reporting'!E732</x:f>
        <x:v>DR.RS.2.5</x:v>
      </x:c>
      <x:c r="G732" s="14" t="str">
        <x:f>'Data &amp; Reporting'!F732</x:f>
        <x:v>Ensure topic is not a duplicate from a previous Cycle</x:v>
      </x:c>
      <x:c r="H732" s="2" t="str">
        <x:f>IF('Data &amp; Reporting'!G732="","",'Data &amp; Reporting'!G732)</x:f>
      </x:c>
      <x:c r="I732" s="12" t="str">
        <x:f>IF('Data &amp; Reporting'!H732="","",'Data &amp; Reporting'!H732)</x:f>
      </x:c>
      <x:c r="J732" s="12" t="n">
        <x:f>IF('Data &amp; Reporting'!I732="","",'Data &amp; Reporting'!I732)</x:f>
        <x:v>46387</x:v>
      </x:c>
      <x:c r="K732" s="12" t="str">
        <x:f>IF('Data &amp; Reporting'!J732="","",'Data &amp; Reporting'!J732)</x:f>
      </x:c>
      <x:c r="L732" s="2" t="str">
        <x:f>IF('Data &amp; Reporting'!K732="","",'Data &amp; Reporting'!K732)</x:f>
      </x:c>
      <x:c r="M732" s="2" t="n">
        <x:f>'Data &amp; Reporting'!Q732</x:f>
        <x:v>1</x:v>
      </x:c>
      <x:c r="N732" s="2" t="str">
        <x:f>'Data &amp; Reporting'!L732</x:f>
        <x:v>Not started</x:v>
      </x:c>
      <x:c r="O732" s="2" t="str">
        <x:f>'Data &amp; Reporting'!N732</x:f>
        <x:v>DR.RS.2.5.2026.CY4</x:v>
      </x:c>
      <x:c r="P732" s="2" t="n">
        <x:f>'Data &amp; Reporting'!O732</x:f>
        <x:v>0</x:v>
      </x:c>
      <x:c r="Q732" s="2" t="n">
        <x:f>SUBTOTAL(103,O732)</x:f>
        <x:v>1</x:v>
      </x:c>
      <x:c r="R732" s="2" t="n">
        <x:f>IF(AND(M732=1,OR(Dashboard!$B$7="All",Dashboard!$B$7='Cycles &amp; Guide'!$C$5),OR(Dashboard!$D$7="All",Dashboard!$D$7=B732),OR(Dashboard!$F$7="All",Dashboard!$F$7=C732),OR(Dashboard!$H$7="All",Dashboard!$H$7=D732),OR(Dashboard!$K$7="All",Dashboard!$K$7=E732)),1,0)</x:f>
        <x:v>1</x:v>
      </x:c>
      <x:c r="S732" s="2" t="n">
        <x:f>IF(R732=1,SUM($R$10:R732),0)</x:f>
        <x:v>359</x:v>
      </x:c>
      <x:c r="T732" s="2" t="str">
        <x:v>Data &amp; Reporting</x:v>
      </x:c>
      <x:c r="U732" s="2" t="n">
        <x:v>732</x:v>
      </x:c>
      <x:c r="V732" s="2" t="n">
        <x:f>IF(AND(M732=1,P732=0,ISNUMBER(J732),J732&lt;TODAY()),1,0)</x:f>
        <x:v>0</x:v>
      </x:c>
      <x:c r="W732" s="2" t="str">
        <x:f>'Data &amp; Reporting'!M732</x:f>
        <x:v>Task</x:v>
      </x:c>
    </x:row>
    <x:row r="733" ht="40" customHeight="1">
      <x:c r="A733" s="3" t="str">
        <x:f>HYPERLINK("#'Data &amp; Reporting'!A733","Open")</x:f>
        <x:v>Open</x:v>
      </x:c>
      <x:c r="B733" s="2" t="str">
        <x:f>'Data &amp; Reporting'!B733</x:f>
        <x:v>Cycle 4</x:v>
      </x:c>
      <x:c r="C733" s="2" t="str">
        <x:f>'Data &amp; Reporting'!C733</x:f>
        <x:v>Phase 2</x:v>
      </x:c>
      <x:c r="D733" s="2" t="str">
        <x:f>'Data &amp; Reporting'!D733</x:f>
        <x:v>Retail Services</x:v>
      </x:c>
      <x:c r="E733" s="2" t="str">
        <x:v>Data &amp; Reporting</x:v>
      </x:c>
      <x:c r="F733" s="56" t="str">
        <x:f>'Data &amp; Reporting'!E733</x:f>
        <x:v>DR.RS.2.6</x:v>
      </x:c>
      <x:c r="G733" s="14" t="str">
        <x:f>'Data &amp; Reporting'!F733</x:f>
        <x:v>Document clear distinctions between facts, assumptions, and hypotheses within the data package</x:v>
      </x:c>
      <x:c r="H733" s="2" t="str">
        <x:f>IF('Data &amp; Reporting'!G733="","",'Data &amp; Reporting'!G733)</x:f>
      </x:c>
      <x:c r="I733" s="12" t="str">
        <x:f>IF('Data &amp; Reporting'!H733="","",'Data &amp; Reporting'!H733)</x:f>
      </x:c>
      <x:c r="J733" s="12" t="n">
        <x:f>IF('Data &amp; Reporting'!I733="","",'Data &amp; Reporting'!I733)</x:f>
        <x:v>46387</x:v>
      </x:c>
      <x:c r="K733" s="12" t="str">
        <x:f>IF('Data &amp; Reporting'!J733="","",'Data &amp; Reporting'!J733)</x:f>
      </x:c>
      <x:c r="L733" s="2" t="str">
        <x:f>IF('Data &amp; Reporting'!K733="","",'Data &amp; Reporting'!K733)</x:f>
      </x:c>
      <x:c r="M733" s="2" t="n">
        <x:f>'Data &amp; Reporting'!Q733</x:f>
        <x:v>1</x:v>
      </x:c>
      <x:c r="N733" s="2" t="str">
        <x:f>'Data &amp; Reporting'!L733</x:f>
        <x:v>Not started</x:v>
      </x:c>
      <x:c r="O733" s="2" t="str">
        <x:f>'Data &amp; Reporting'!N733</x:f>
        <x:v>DR.RS.2.6.2026.CY4</x:v>
      </x:c>
      <x:c r="P733" s="2" t="n">
        <x:f>'Data &amp; Reporting'!O733</x:f>
        <x:v>0</x:v>
      </x:c>
      <x:c r="Q733" s="2" t="n">
        <x:f>SUBTOTAL(103,O733)</x:f>
        <x:v>1</x:v>
      </x:c>
      <x:c r="R733" s="2" t="n">
        <x:f>IF(AND(M733=1,OR(Dashboard!$B$7="All",Dashboard!$B$7='Cycles &amp; Guide'!$C$5),OR(Dashboard!$D$7="All",Dashboard!$D$7=B733),OR(Dashboard!$F$7="All",Dashboard!$F$7=C733),OR(Dashboard!$H$7="All",Dashboard!$H$7=D733),OR(Dashboard!$K$7="All",Dashboard!$K$7=E733)),1,0)</x:f>
        <x:v>1</x:v>
      </x:c>
      <x:c r="S733" s="2" t="n">
        <x:f>IF(R733=1,SUM($R$10:R733),0)</x:f>
        <x:v>360</x:v>
      </x:c>
      <x:c r="T733" s="2" t="str">
        <x:v>Data &amp; Reporting</x:v>
      </x:c>
      <x:c r="U733" s="2" t="n">
        <x:v>733</x:v>
      </x:c>
      <x:c r="V733" s="2" t="n">
        <x:f>IF(AND(M733=1,P733=0,ISNUMBER(J733),J733&lt;TODAY()),1,0)</x:f>
        <x:v>0</x:v>
      </x:c>
      <x:c r="W733" s="2" t="str">
        <x:f>'Data &amp; Reporting'!M733</x:f>
        <x:v>Task</x:v>
      </x:c>
    </x:row>
    <x:row r="734" ht="40" customHeight="1">
      <x:c r="A734" s="3" t="str">
        <x:f>HYPERLINK("#'Data &amp; Reporting'!A734","Open")</x:f>
        <x:v>Open</x:v>
      </x:c>
      <x:c r="B734" s="2" t="str">
        <x:f>'Data &amp; Reporting'!B734</x:f>
        <x:v>Cycle 4</x:v>
      </x:c>
      <x:c r="C734" s="2" t="str">
        <x:f>'Data &amp; Reporting'!C734</x:f>
        <x:v>Phase 3</x:v>
      </x:c>
      <x:c r="D734" s="2" t="str">
        <x:f>'Data &amp; Reporting'!D734</x:f>
        <x:v>Retail Services</x:v>
      </x:c>
      <x:c r="E734" s="2" t="str">
        <x:v>Data &amp; Reporting</x:v>
      </x:c>
      <x:c r="F734" s="56" t="str">
        <x:f>'Data &amp; Reporting'!E734</x:f>
        <x:v>DR.RS.3.1</x:v>
      </x:c>
      <x:c r="G734" s="14" t="str">
        <x:f>'Data &amp; Reporting'!F734</x:f>
        <x:v>Clearly document rationale for each topic recommendation within the SharePoint list item</x:v>
      </x:c>
      <x:c r="H734" s="2" t="str">
        <x:f>IF('Data &amp; Reporting'!G734="","",'Data &amp; Reporting'!G734)</x:f>
      </x:c>
      <x:c r="I734" s="12" t="str">
        <x:f>IF('Data &amp; Reporting'!H734="","",'Data &amp; Reporting'!H734)</x:f>
      </x:c>
      <x:c r="J734" s="12" t="n">
        <x:f>IF('Data &amp; Reporting'!I734="","",'Data &amp; Reporting'!I734)</x:f>
        <x:v>46387</x:v>
      </x:c>
      <x:c r="K734" s="12" t="str">
        <x:f>IF('Data &amp; Reporting'!J734="","",'Data &amp; Reporting'!J734)</x:f>
      </x:c>
      <x:c r="L734" s="2" t="str">
        <x:f>IF('Data &amp; Reporting'!K734="","",'Data &amp; Reporting'!K734)</x:f>
      </x:c>
      <x:c r="M734" s="2" t="n">
        <x:f>'Data &amp; Reporting'!Q734</x:f>
        <x:v>1</x:v>
      </x:c>
      <x:c r="N734" s="2" t="str">
        <x:f>'Data &amp; Reporting'!L734</x:f>
        <x:v>Not started</x:v>
      </x:c>
      <x:c r="O734" s="2" t="str">
        <x:f>'Data &amp; Reporting'!N734</x:f>
        <x:v>DR.RS.3.1.2026.CY4</x:v>
      </x:c>
      <x:c r="P734" s="2" t="n">
        <x:f>'Data &amp; Reporting'!O734</x:f>
        <x:v>0</x:v>
      </x:c>
      <x:c r="Q734" s="2" t="n">
        <x:f>SUBTOTAL(103,O734)</x:f>
        <x:v>1</x:v>
      </x:c>
      <x:c r="R734" s="2" t="n">
        <x:f>IF(AND(M734=1,OR(Dashboard!$B$7="All",Dashboard!$B$7='Cycles &amp; Guide'!$C$5),OR(Dashboard!$D$7="All",Dashboard!$D$7=B734),OR(Dashboard!$F$7="All",Dashboard!$F$7=C734),OR(Dashboard!$H$7="All",Dashboard!$H$7=D734),OR(Dashboard!$K$7="All",Dashboard!$K$7=E734)),1,0)</x:f>
        <x:v>1</x:v>
      </x:c>
      <x:c r="S734" s="2" t="n">
        <x:f>IF(R734=1,SUM($R$10:R734),0)</x:f>
        <x:v>361</x:v>
      </x:c>
      <x:c r="T734" s="2" t="str">
        <x:v>Data &amp; Reporting</x:v>
      </x:c>
      <x:c r="U734" s="2" t="n">
        <x:v>734</x:v>
      </x:c>
      <x:c r="V734" s="2" t="n">
        <x:f>IF(AND(M734=1,P734=0,ISNUMBER(J734),J734&lt;TODAY()),1,0)</x:f>
        <x:v>0</x:v>
      </x:c>
      <x:c r="W734" s="2" t="str">
        <x:f>'Data &amp; Reporting'!M734</x:f>
        <x:v>Task</x:v>
      </x:c>
    </x:row>
    <x:row r="735" ht="40" customHeight="1">
      <x:c r="A735" s="3" t="str">
        <x:f>HYPERLINK("#'Data &amp; Reporting'!A735","Open")</x:f>
        <x:v>Open</x:v>
      </x:c>
      <x:c r="B735" s="2" t="str">
        <x:f>'Data &amp; Reporting'!B735</x:f>
        <x:v>Cycle 4</x:v>
      </x:c>
      <x:c r="C735" s="2" t="str">
        <x:f>'Data &amp; Reporting'!C735</x:f>
        <x:v>Phase 3</x:v>
      </x:c>
      <x:c r="D735" s="2" t="str">
        <x:f>'Data &amp; Reporting'!D735</x:f>
        <x:v>Retail Services</x:v>
      </x:c>
      <x:c r="E735" s="2" t="str">
        <x:v>Data &amp; Reporting</x:v>
      </x:c>
      <x:c r="F735" s="56" t="str">
        <x:f>'Data &amp; Reporting'!E735</x:f>
        <x:v>DR.RS.3.2</x:v>
      </x:c>
      <x:c r="G735" s="14" t="str">
        <x:f>'Data &amp; Reporting'!F735</x:f>
        <x:v>Attach the data package for each topic recommendation within the SharePoint list item</x:v>
      </x:c>
      <x:c r="H735" s="2" t="str">
        <x:f>IF('Data &amp; Reporting'!G735="","",'Data &amp; Reporting'!G735)</x:f>
      </x:c>
      <x:c r="I735" s="12" t="str">
        <x:f>IF('Data &amp; Reporting'!H735="","",'Data &amp; Reporting'!H735)</x:f>
      </x:c>
      <x:c r="J735" s="12" t="n">
        <x:f>IF('Data &amp; Reporting'!I735="","",'Data &amp; Reporting'!I735)</x:f>
        <x:v>46387</x:v>
      </x:c>
      <x:c r="K735" s="12" t="str">
        <x:f>IF('Data &amp; Reporting'!J735="","",'Data &amp; Reporting'!J735)</x:f>
      </x:c>
      <x:c r="L735" s="2" t="str">
        <x:f>IF('Data &amp; Reporting'!K735="","",'Data &amp; Reporting'!K735)</x:f>
      </x:c>
      <x:c r="M735" s="2" t="n">
        <x:f>'Data &amp; Reporting'!Q735</x:f>
        <x:v>1</x:v>
      </x:c>
      <x:c r="N735" s="2" t="str">
        <x:f>'Data &amp; Reporting'!L735</x:f>
        <x:v>Not started</x:v>
      </x:c>
      <x:c r="O735" s="2" t="str">
        <x:f>'Data &amp; Reporting'!N735</x:f>
        <x:v>DR.RS.3.2.2026.CY4</x:v>
      </x:c>
      <x:c r="P735" s="2" t="n">
        <x:f>'Data &amp; Reporting'!O735</x:f>
        <x:v>0</x:v>
      </x:c>
      <x:c r="Q735" s="2" t="n">
        <x:f>SUBTOTAL(103,O735)</x:f>
        <x:v>1</x:v>
      </x:c>
      <x:c r="R735" s="2" t="n">
        <x:f>IF(AND(M735=1,OR(Dashboard!$B$7="All",Dashboard!$B$7='Cycles &amp; Guide'!$C$5),OR(Dashboard!$D$7="All",Dashboard!$D$7=B735),OR(Dashboard!$F$7="All",Dashboard!$F$7=C735),OR(Dashboard!$H$7="All",Dashboard!$H$7=D735),OR(Dashboard!$K$7="All",Dashboard!$K$7=E735)),1,0)</x:f>
        <x:v>1</x:v>
      </x:c>
      <x:c r="S735" s="2" t="n">
        <x:f>IF(R735=1,SUM($R$10:R735),0)</x:f>
        <x:v>362</x:v>
      </x:c>
      <x:c r="T735" s="2" t="str">
        <x:v>Data &amp; Reporting</x:v>
      </x:c>
      <x:c r="U735" s="2" t="n">
        <x:v>735</x:v>
      </x:c>
      <x:c r="V735" s="2" t="n">
        <x:f>IF(AND(M735=1,P735=0,ISNUMBER(J735),J735&lt;TODAY()),1,0)</x:f>
        <x:v>0</x:v>
      </x:c>
      <x:c r="W735" s="2" t="str">
        <x:f>'Data &amp; Reporting'!M735</x:f>
        <x:v>Task</x:v>
      </x:c>
    </x:row>
    <x:row r="736" ht="40" customHeight="1">
      <x:c r="A736" s="3" t="str">
        <x:f>HYPERLINK("#'Data &amp; Reporting'!A736","Open")</x:f>
        <x:v>Open</x:v>
      </x:c>
      <x:c r="B736" s="2" t="str">
        <x:f>'Data &amp; Reporting'!B736</x:f>
        <x:v>Cycle 4</x:v>
      </x:c>
      <x:c r="C736" s="2" t="str">
        <x:f>'Data &amp; Reporting'!C736</x:f>
        <x:v>Phase 3</x:v>
      </x:c>
      <x:c r="D736" s="2" t="str">
        <x:f>'Data &amp; Reporting'!D736</x:f>
        <x:v>Retail Services</x:v>
      </x:c>
      <x:c r="E736" s="2" t="str">
        <x:v>Data &amp; Reporting</x:v>
      </x:c>
      <x:c r="F736" s="56" t="str">
        <x:f>'Data &amp; Reporting'!E736</x:f>
        <x:v>DR.RS.3.3</x:v>
      </x:c>
      <x:c r="G736" s="14" t="str">
        <x:f>'Data &amp; Reporting'!F736</x:f>
        <x:v>Confirm data privileges have been granted, ensuring each pillar can access</x:v>
      </x:c>
      <x:c r="H736" s="2" t="str">
        <x:f>IF('Data &amp; Reporting'!G736="","",'Data &amp; Reporting'!G736)</x:f>
      </x:c>
      <x:c r="I736" s="12" t="str">
        <x:f>IF('Data &amp; Reporting'!H736="","",'Data &amp; Reporting'!H736)</x:f>
      </x:c>
      <x:c r="J736" s="12" t="n">
        <x:f>IF('Data &amp; Reporting'!I736="","",'Data &amp; Reporting'!I736)</x:f>
        <x:v>46387</x:v>
      </x:c>
      <x:c r="K736" s="12" t="str">
        <x:f>IF('Data &amp; Reporting'!J736="","",'Data &amp; Reporting'!J736)</x:f>
      </x:c>
      <x:c r="L736" s="2" t="str">
        <x:f>IF('Data &amp; Reporting'!K736="","",'Data &amp; Reporting'!K736)</x:f>
      </x:c>
      <x:c r="M736" s="2" t="n">
        <x:f>'Data &amp; Reporting'!Q736</x:f>
        <x:v>1</x:v>
      </x:c>
      <x:c r="N736" s="2" t="str">
        <x:f>'Data &amp; Reporting'!L736</x:f>
        <x:v>Not started</x:v>
      </x:c>
      <x:c r="O736" s="2" t="str">
        <x:f>'Data &amp; Reporting'!N736</x:f>
        <x:v>DR.RS.3.3.2026.CY4</x:v>
      </x:c>
      <x:c r="P736" s="2" t="n">
        <x:f>'Data &amp; Reporting'!O736</x:f>
        <x:v>0</x:v>
      </x:c>
      <x:c r="Q736" s="2" t="n">
        <x:f>SUBTOTAL(103,O736)</x:f>
        <x:v>1</x:v>
      </x:c>
      <x:c r="R736" s="2" t="n">
        <x:f>IF(AND(M736=1,OR(Dashboard!$B$7="All",Dashboard!$B$7='Cycles &amp; Guide'!$C$5),OR(Dashboard!$D$7="All",Dashboard!$D$7=B736),OR(Dashboard!$F$7="All",Dashboard!$F$7=C736),OR(Dashboard!$H$7="All",Dashboard!$H$7=D736),OR(Dashboard!$K$7="All",Dashboard!$K$7=E736)),1,0)</x:f>
        <x:v>1</x:v>
      </x:c>
      <x:c r="S736" s="2" t="n">
        <x:f>IF(R736=1,SUM($R$10:R736),0)</x:f>
        <x:v>363</x:v>
      </x:c>
      <x:c r="T736" s="2" t="str">
        <x:v>Data &amp; Reporting</x:v>
      </x:c>
      <x:c r="U736" s="2" t="n">
        <x:v>736</x:v>
      </x:c>
      <x:c r="V736" s="2" t="n">
        <x:f>IF(AND(M736=1,P736=0,ISNUMBER(J736),J736&lt;TODAY()),1,0)</x:f>
        <x:v>0</x:v>
      </x:c>
      <x:c r="W736" s="2" t="str">
        <x:f>'Data &amp; Reporting'!M736</x:f>
        <x:v>Task</x:v>
      </x:c>
    </x:row>
    <x:row r="737" ht="40" customHeight="1">
      <x:c r="A737" s="3" t="str">
        <x:f>HYPERLINK("#'Data &amp; Reporting'!A737","Open")</x:f>
        <x:v>Open</x:v>
      </x:c>
      <x:c r="B737" s="2" t="str">
        <x:f>'Data &amp; Reporting'!B737</x:f>
        <x:v>Cycle 4</x:v>
      </x:c>
      <x:c r="C737" s="2" t="str">
        <x:f>'Data &amp; Reporting'!C737</x:f>
        <x:v>Phase 3</x:v>
      </x:c>
      <x:c r="D737" s="2" t="str">
        <x:f>'Data &amp; Reporting'!D737</x:f>
        <x:v>Retail Services</x:v>
      </x:c>
      <x:c r="E737" s="2" t="str">
        <x:v>Data &amp; Reporting</x:v>
      </x:c>
      <x:c r="F737" s="56" t="str">
        <x:f>'Data &amp; Reporting'!E737</x:f>
        <x:v>DR.RS.3.4</x:v>
      </x:c>
      <x:c r="G737" s="14" t="str">
        <x:f>'Data &amp; Reporting'!F737</x:f>
        <x:v>Ensure Power Automate notifications were correctly triggered within Microsoft Teams</x:v>
      </x:c>
      <x:c r="H737" s="2" t="str">
        <x:f>IF('Data &amp; Reporting'!G737="","",'Data &amp; Reporting'!G737)</x:f>
      </x:c>
      <x:c r="I737" s="12" t="str">
        <x:f>IF('Data &amp; Reporting'!H737="","",'Data &amp; Reporting'!H737)</x:f>
      </x:c>
      <x:c r="J737" s="12" t="n">
        <x:f>IF('Data &amp; Reporting'!I737="","",'Data &amp; Reporting'!I737)</x:f>
        <x:v>46387</x:v>
      </x:c>
      <x:c r="K737" s="12" t="str">
        <x:f>IF('Data &amp; Reporting'!J737="","",'Data &amp; Reporting'!J737)</x:f>
      </x:c>
      <x:c r="L737" s="2" t="str">
        <x:f>IF('Data &amp; Reporting'!K737="","",'Data &amp; Reporting'!K737)</x:f>
      </x:c>
      <x:c r="M737" s="2" t="n">
        <x:f>'Data &amp; Reporting'!Q737</x:f>
        <x:v>1</x:v>
      </x:c>
      <x:c r="N737" s="2" t="str">
        <x:f>'Data &amp; Reporting'!L737</x:f>
        <x:v>Not started</x:v>
      </x:c>
      <x:c r="O737" s="2" t="str">
        <x:f>'Data &amp; Reporting'!N737</x:f>
        <x:v>DR.RS.3.4.2026.CY4</x:v>
      </x:c>
      <x:c r="P737" s="2" t="n">
        <x:f>'Data &amp; Reporting'!O737</x:f>
        <x:v>0</x:v>
      </x:c>
      <x:c r="Q737" s="2" t="n">
        <x:f>SUBTOTAL(103,O737)</x:f>
        <x:v>1</x:v>
      </x:c>
      <x:c r="R737" s="2" t="n">
        <x:f>IF(AND(M737=1,OR(Dashboard!$B$7="All",Dashboard!$B$7='Cycles &amp; Guide'!$C$5),OR(Dashboard!$D$7="All",Dashboard!$D$7=B737),OR(Dashboard!$F$7="All",Dashboard!$F$7=C737),OR(Dashboard!$H$7="All",Dashboard!$H$7=D737),OR(Dashboard!$K$7="All",Dashboard!$K$7=E737)),1,0)</x:f>
        <x:v>1</x:v>
      </x:c>
      <x:c r="S737" s="2" t="n">
        <x:f>IF(R737=1,SUM($R$10:R737),0)</x:f>
        <x:v>364</x:v>
      </x:c>
      <x:c r="T737" s="2" t="str">
        <x:v>Data &amp; Reporting</x:v>
      </x:c>
      <x:c r="U737" s="2" t="n">
        <x:v>737</x:v>
      </x:c>
      <x:c r="V737" s="2" t="n">
        <x:f>IF(AND(M737=1,P737=0,ISNUMBER(J737),J737&lt;TODAY()),1,0)</x:f>
        <x:v>0</x:v>
      </x:c>
      <x:c r="W737" s="2" t="str">
        <x:f>'Data &amp; Reporting'!M737</x:f>
        <x:v>Task</x:v>
      </x:c>
    </x:row>
    <x:row r="738" ht="40" customHeight="1">
      <x:c r="A738" s="3" t="str">
        <x:f>HYPERLINK("#'Research &amp; Analysis'!A10","Open")</x:f>
        <x:v>Open</x:v>
      </x:c>
      <x:c r="B738" s="2" t="str">
        <x:f>'Research &amp; Analysis'!B10</x:f>
        <x:v>Cycle 1</x:v>
      </x:c>
      <x:c r="C738" s="2" t="str">
        <x:f>'Research &amp; Analysis'!C10</x:f>
        <x:v>Phase 1</x:v>
      </x:c>
      <x:c r="D738" s="2" t="str">
        <x:f>'Research &amp; Analysis'!D10</x:f>
        <x:v>Auto</x:v>
      </x:c>
      <x:c r="E738" s="2" t="str">
        <x:v>Research &amp; Analysis</x:v>
      </x:c>
      <x:c r="F738" s="56" t="str">
        <x:f>'Research &amp; Analysis'!E10</x:f>
        <x:v>RA.AU.1.1</x:v>
      </x:c>
      <x:c r="G738" s="14" t="str">
        <x:f>'Research &amp; Analysis'!F10</x:f>
        <x:v>Begin Research process 2 weeks prior to Cycle start</x:v>
      </x:c>
      <x:c r="H738" s="2" t="str">
        <x:f>IF('Research &amp; Analysis'!G10="","",'Research &amp; Analysis'!G10)</x:f>
      </x:c>
      <x:c r="I738" s="12" t="str">
        <x:f>IF('Research &amp; Analysis'!H10="","",'Research &amp; Analysis'!H10)</x:f>
      </x:c>
      <x:c r="J738" s="12" t="n">
        <x:f>IF('Research &amp; Analysis'!I10="","",'Research &amp; Analysis'!I10)</x:f>
        <x:v>46009</x:v>
      </x:c>
      <x:c r="K738" s="12" t="str">
        <x:f>IF('Research &amp; Analysis'!J10="","",'Research &amp; Analysis'!J10)</x:f>
      </x:c>
      <x:c r="L738" s="2" t="str">
        <x:f>IF('Research &amp; Analysis'!K10="","",'Research &amp; Analysis'!K10)</x:f>
      </x:c>
      <x:c r="M738" s="2" t="n">
        <x:f>'Research &amp; Analysis'!Q10</x:f>
        <x:v>1</x:v>
      </x:c>
      <x:c r="N738" s="2" t="str">
        <x:f>'Research &amp; Analysis'!L10</x:f>
        <x:v>Not started</x:v>
      </x:c>
      <x:c r="O738" s="2" t="str">
        <x:f>'Research &amp; Analysis'!N10</x:f>
        <x:v>RA.AU.1.1.2026.CY1</x:v>
      </x:c>
      <x:c r="P738" s="2" t="n">
        <x:f>'Research &amp; Analysis'!O10</x:f>
        <x:v>0</x:v>
      </x:c>
      <x:c r="Q738" s="2" t="n">
        <x:f>SUBTOTAL(103,O738)</x:f>
        <x:v>1</x:v>
      </x:c>
      <x:c r="R738" s="2" t="n">
        <x:f>IF(AND(M738=1,OR(Dashboard!$B$7="All",Dashboard!$B$7='Cycles &amp; Guide'!$C$5),OR(Dashboard!$D$7="All",Dashboard!$D$7=B738),OR(Dashboard!$F$7="All",Dashboard!$F$7=C738),OR(Dashboard!$H$7="All",Dashboard!$H$7=D738),OR(Dashboard!$K$7="All",Dashboard!$K$7=E738)),1,0)</x:f>
        <x:v>1</x:v>
      </x:c>
      <x:c r="S738" s="2" t="n">
        <x:f>IF(R738=1,SUM($R$10:R738),0)</x:f>
        <x:v>365</x:v>
      </x:c>
      <x:c r="T738" s="2" t="str">
        <x:v>Research &amp; Analysis</x:v>
      </x:c>
      <x:c r="U738" s="2" t="n">
        <x:v>10</x:v>
      </x:c>
      <x:c r="V738" s="2" t="n">
        <x:f>IF(AND(M738=1,P738=0,ISNUMBER(J738),J738&lt;TODAY()),1,0)</x:f>
        <x:v>1</x:v>
      </x:c>
      <x:c r="W738" s="2" t="str">
        <x:f>'Research &amp; Analysis'!M10</x:f>
        <x:v>Task</x:v>
      </x:c>
    </x:row>
    <x:row r="739" ht="40" customHeight="1">
      <x:c r="A739" s="3" t="str">
        <x:f>HYPERLINK("#'Research &amp; Analysis'!A11","Open")</x:f>
        <x:v>Open</x:v>
      </x:c>
      <x:c r="B739" s="2" t="str">
        <x:f>'Research &amp; Analysis'!B11</x:f>
        <x:v>Cycle 1</x:v>
      </x:c>
      <x:c r="C739" s="2" t="str">
        <x:f>'Research &amp; Analysis'!C11</x:f>
        <x:v>Phase 1</x:v>
      </x:c>
      <x:c r="D739" s="2" t="str">
        <x:f>'Research &amp; Analysis'!D11</x:f>
        <x:v>Auto</x:v>
      </x:c>
      <x:c r="E739" s="2" t="str">
        <x:v>Research &amp; Analysis</x:v>
      </x:c>
      <x:c r="F739" s="56" t="str">
        <x:f>'Research &amp; Analysis'!E11</x:f>
        <x:v>RA.AU.1.2</x:v>
      </x:c>
      <x:c r="G739" s="14" t="str">
        <x:f>'Research &amp; Analysis'!F11</x:f>
        <x:v>Conduct initial assessment of each topic recommendation from SharePoint list</x:v>
      </x:c>
      <x:c r="H739" s="2" t="str">
        <x:f>IF('Research &amp; Analysis'!G11="","",'Research &amp; Analysis'!G11)</x:f>
      </x:c>
      <x:c r="I739" s="12" t="str">
        <x:f>IF('Research &amp; Analysis'!H11="","",'Research &amp; Analysis'!H11)</x:f>
      </x:c>
      <x:c r="J739" s="12" t="n">
        <x:f>IF('Research &amp; Analysis'!I11="","",'Research &amp; Analysis'!I11)</x:f>
        <x:v>46112</x:v>
      </x:c>
      <x:c r="K739" s="12" t="str">
        <x:f>IF('Research &amp; Analysis'!J11="","",'Research &amp; Analysis'!J11)</x:f>
      </x:c>
      <x:c r="L739" s="2" t="str">
        <x:f>IF('Research &amp; Analysis'!K11="","",'Research &amp; Analysis'!K11)</x:f>
      </x:c>
      <x:c r="M739" s="2" t="n">
        <x:f>'Research &amp; Analysis'!Q11</x:f>
        <x:v>1</x:v>
      </x:c>
      <x:c r="N739" s="2" t="str">
        <x:f>'Research &amp; Analysis'!L11</x:f>
        <x:v>Not started</x:v>
      </x:c>
      <x:c r="O739" s="2" t="str">
        <x:f>'Research &amp; Analysis'!N11</x:f>
        <x:v>RA.AU.1.2.2026.CY1</x:v>
      </x:c>
      <x:c r="P739" s="2" t="n">
        <x:f>'Research &amp; Analysis'!O11</x:f>
        <x:v>0</x:v>
      </x:c>
      <x:c r="Q739" s="2" t="n">
        <x:f>SUBTOTAL(103,O739)</x:f>
        <x:v>1</x:v>
      </x:c>
      <x:c r="R739" s="2" t="n">
        <x:f>IF(AND(M739=1,OR(Dashboard!$B$7="All",Dashboard!$B$7='Cycles &amp; Guide'!$C$5),OR(Dashboard!$D$7="All",Dashboard!$D$7=B739),OR(Dashboard!$F$7="All",Dashboard!$F$7=C739),OR(Dashboard!$H$7="All",Dashboard!$H$7=D739),OR(Dashboard!$K$7="All",Dashboard!$K$7=E739)),1,0)</x:f>
        <x:v>1</x:v>
      </x:c>
      <x:c r="S739" s="2" t="n">
        <x:f>IF(R739=1,SUM($R$10:R739),0)</x:f>
        <x:v>366</x:v>
      </x:c>
      <x:c r="T739" s="2" t="str">
        <x:v>Research &amp; Analysis</x:v>
      </x:c>
      <x:c r="U739" s="2" t="n">
        <x:v>11</x:v>
      </x:c>
      <x:c r="V739" s="2" t="n">
        <x:f>IF(AND(M739=1,P739=0,ISNUMBER(J739),J739&lt;TODAY()),1,0)</x:f>
        <x:v>1</x:v>
      </x:c>
      <x:c r="W739" s="2" t="str">
        <x:f>'Research &amp; Analysis'!M11</x:f>
        <x:v>Task</x:v>
      </x:c>
    </x:row>
    <x:row r="740" ht="40" customHeight="1">
      <x:c r="A740" s="3" t="str">
        <x:f>HYPERLINK("#'Research &amp; Analysis'!A12","Open")</x:f>
        <x:v>Open</x:v>
      </x:c>
      <x:c r="B740" s="2" t="str">
        <x:f>'Research &amp; Analysis'!B12</x:f>
        <x:v>Cycle 1</x:v>
      </x:c>
      <x:c r="C740" s="2" t="str">
        <x:f>'Research &amp; Analysis'!C12</x:f>
        <x:v>Phase 1</x:v>
      </x:c>
      <x:c r="D740" s="2" t="str">
        <x:f>'Research &amp; Analysis'!D12</x:f>
        <x:v>Auto</x:v>
      </x:c>
      <x:c r="E740" s="2" t="str">
        <x:v>Research &amp; Analysis</x:v>
      </x:c>
      <x:c r="F740" s="56" t="str">
        <x:f>'Research &amp; Analysis'!E12</x:f>
        <x:v>RA.AU.1.3</x:v>
      </x:c>
      <x:c r="G740" s="14" t="str">
        <x:f>'Research &amp; Analysis'!F12</x:f>
        <x:v>Identify best topic for Cycle</x:v>
      </x:c>
      <x:c r="H740" s="2" t="str">
        <x:f>IF('Research &amp; Analysis'!G12="","",'Research &amp; Analysis'!G12)</x:f>
      </x:c>
      <x:c r="I740" s="12" t="str">
        <x:f>IF('Research &amp; Analysis'!H12="","",'Research &amp; Analysis'!H12)</x:f>
      </x:c>
      <x:c r="J740" s="12" t="n">
        <x:f>IF('Research &amp; Analysis'!I12="","",'Research &amp; Analysis'!I12)</x:f>
        <x:v>46112</x:v>
      </x:c>
      <x:c r="K740" s="12" t="str">
        <x:f>IF('Research &amp; Analysis'!J12="","",'Research &amp; Analysis'!J12)</x:f>
      </x:c>
      <x:c r="L740" s="2" t="str">
        <x:f>IF('Research &amp; Analysis'!K12="","",'Research &amp; Analysis'!K12)</x:f>
      </x:c>
      <x:c r="M740" s="2" t="n">
        <x:f>'Research &amp; Analysis'!Q12</x:f>
        <x:v>1</x:v>
      </x:c>
      <x:c r="N740" s="2" t="str">
        <x:f>'Research &amp; Analysis'!L12</x:f>
        <x:v>Not started</x:v>
      </x:c>
      <x:c r="O740" s="2" t="str">
        <x:f>'Research &amp; Analysis'!N12</x:f>
        <x:v>RA.AU.1.3.2026.CY1</x:v>
      </x:c>
      <x:c r="P740" s="2" t="n">
        <x:f>'Research &amp; Analysis'!O12</x:f>
        <x:v>0</x:v>
      </x:c>
      <x:c r="Q740" s="2" t="n">
        <x:f>SUBTOTAL(103,O740)</x:f>
        <x:v>1</x:v>
      </x:c>
      <x:c r="R740" s="2" t="n">
        <x:f>IF(AND(M740=1,OR(Dashboard!$B$7="All",Dashboard!$B$7='Cycles &amp; Guide'!$C$5),OR(Dashboard!$D$7="All",Dashboard!$D$7=B740),OR(Dashboard!$F$7="All",Dashboard!$F$7=C740),OR(Dashboard!$H$7="All",Dashboard!$H$7=D740),OR(Dashboard!$K$7="All",Dashboard!$K$7=E740)),1,0)</x:f>
        <x:v>1</x:v>
      </x:c>
      <x:c r="S740" s="2" t="n">
        <x:f>IF(R740=1,SUM($R$10:R740),0)</x:f>
        <x:v>367</x:v>
      </x:c>
      <x:c r="T740" s="2" t="str">
        <x:v>Research &amp; Analysis</x:v>
      </x:c>
      <x:c r="U740" s="2" t="n">
        <x:v>12</x:v>
      </x:c>
      <x:c r="V740" s="2" t="n">
        <x:f>IF(AND(M740=1,P740=0,ISNUMBER(J740),J740&lt;TODAY()),1,0)</x:f>
        <x:v>1</x:v>
      </x:c>
      <x:c r="W740" s="2" t="str">
        <x:f>'Research &amp; Analysis'!M12</x:f>
        <x:v>Task</x:v>
      </x:c>
    </x:row>
    <x:row r="741" ht="40" customHeight="1">
      <x:c r="A741" s="3" t="str">
        <x:f>HYPERLINK("#'Research &amp; Analysis'!A13","Open")</x:f>
        <x:v>Open</x:v>
      </x:c>
      <x:c r="B741" s="2" t="str">
        <x:f>'Research &amp; Analysis'!B13</x:f>
        <x:v>Cycle 1</x:v>
      </x:c>
      <x:c r="C741" s="2" t="str">
        <x:f>'Research &amp; Analysis'!C13</x:f>
        <x:v>Phase 1</x:v>
      </x:c>
      <x:c r="D741" s="2" t="str">
        <x:f>'Research &amp; Analysis'!D13</x:f>
        <x:v>Auto</x:v>
      </x:c>
      <x:c r="E741" s="2" t="str">
        <x:v>Research &amp; Analysis</x:v>
      </x:c>
      <x:c r="F741" s="56" t="str">
        <x:f>'Research &amp; Analysis'!E13</x:f>
        <x:v>RA.AU.1.4</x:v>
      </x:c>
      <x:c r="G741" s="14" t="str">
        <x:f>'Research &amp; Analysis'!F13</x:f>
        <x:v>Identify backup topic for Cycle</x:v>
      </x:c>
      <x:c r="H741" s="2" t="str">
        <x:f>IF('Research &amp; Analysis'!G13="","",'Research &amp; Analysis'!G13)</x:f>
      </x:c>
      <x:c r="I741" s="12" t="str">
        <x:f>IF('Research &amp; Analysis'!H13="","",'Research &amp; Analysis'!H13)</x:f>
      </x:c>
      <x:c r="J741" s="12" t="n">
        <x:f>IF('Research &amp; Analysis'!I13="","",'Research &amp; Analysis'!I13)</x:f>
        <x:v>46112</x:v>
      </x:c>
      <x:c r="K741" s="12" t="str">
        <x:f>IF('Research &amp; Analysis'!J13="","",'Research &amp; Analysis'!J13)</x:f>
      </x:c>
      <x:c r="L741" s="2" t="str">
        <x:f>IF('Research &amp; Analysis'!K13="","",'Research &amp; Analysis'!K13)</x:f>
      </x:c>
      <x:c r="M741" s="2" t="n">
        <x:f>'Research &amp; Analysis'!Q13</x:f>
        <x:v>1</x:v>
      </x:c>
      <x:c r="N741" s="2" t="str">
        <x:f>'Research &amp; Analysis'!L13</x:f>
        <x:v>Not started</x:v>
      </x:c>
      <x:c r="O741" s="2" t="str">
        <x:f>'Research &amp; Analysis'!N13</x:f>
        <x:v>RA.AU.1.4.2026.CY1</x:v>
      </x:c>
      <x:c r="P741" s="2" t="n">
        <x:f>'Research &amp; Analysis'!O13</x:f>
        <x:v>0</x:v>
      </x:c>
      <x:c r="Q741" s="2" t="n">
        <x:f>SUBTOTAL(103,O741)</x:f>
        <x:v>1</x:v>
      </x:c>
      <x:c r="R741" s="2" t="n">
        <x:f>IF(AND(M741=1,OR(Dashboard!$B$7="All",Dashboard!$B$7='Cycles &amp; Guide'!$C$5),OR(Dashboard!$D$7="All",Dashboard!$D$7=B741),OR(Dashboard!$F$7="All",Dashboard!$F$7=C741),OR(Dashboard!$H$7="All",Dashboard!$H$7=D741),OR(Dashboard!$K$7="All",Dashboard!$K$7=E741)),1,0)</x:f>
        <x:v>1</x:v>
      </x:c>
      <x:c r="S741" s="2" t="n">
        <x:f>IF(R741=1,SUM($R$10:R741),0)</x:f>
        <x:v>368</x:v>
      </x:c>
      <x:c r="T741" s="2" t="str">
        <x:v>Research &amp; Analysis</x:v>
      </x:c>
      <x:c r="U741" s="2" t="n">
        <x:v>13</x:v>
      </x:c>
      <x:c r="V741" s="2" t="n">
        <x:f>IF(AND(M741=1,P741=0,ISNUMBER(J741),J741&lt;TODAY()),1,0)</x:f>
        <x:v>1</x:v>
      </x:c>
      <x:c r="W741" s="2" t="str">
        <x:f>'Research &amp; Analysis'!M13</x:f>
        <x:v>Task</x:v>
      </x:c>
    </x:row>
    <x:row r="742" ht="40" customHeight="1">
      <x:c r="A742" s="3" t="str">
        <x:f>HYPERLINK("#'Research &amp; Analysis'!A14","Open")</x:f>
        <x:v>Open</x:v>
      </x:c>
      <x:c r="B742" s="2" t="str">
        <x:f>'Research &amp; Analysis'!B14</x:f>
        <x:v>Cycle 1</x:v>
      </x:c>
      <x:c r="C742" s="2" t="str">
        <x:f>'Research &amp; Analysis'!C14</x:f>
        <x:v>Phase 1</x:v>
      </x:c>
      <x:c r="D742" s="2" t="str">
        <x:f>'Research &amp; Analysis'!D14</x:f>
        <x:v>Auto</x:v>
      </x:c>
      <x:c r="E742" s="2" t="str">
        <x:v>Research &amp; Analysis</x:v>
      </x:c>
      <x:c r="F742" s="56" t="str">
        <x:f>'Research &amp; Analysis'!E14</x:f>
        <x:v>RA.AU.1.5</x:v>
      </x:c>
      <x:c r="G742" s="14" t="str">
        <x:f>'Research &amp; Analysis'!F14</x:f>
        <x:v>Schedule topic approval meeting with D&amp;I and management</x:v>
      </x:c>
      <x:c r="H742" s="2" t="str">
        <x:f>IF('Research &amp; Analysis'!G14="","",'Research &amp; Analysis'!G14)</x:f>
      </x:c>
      <x:c r="I742" s="12" t="str">
        <x:f>IF('Research &amp; Analysis'!H14="","",'Research &amp; Analysis'!H14)</x:f>
      </x:c>
      <x:c r="J742" s="12" t="n">
        <x:f>IF('Research &amp; Analysis'!I14="","",'Research &amp; Analysis'!I14)</x:f>
        <x:v>46112</x:v>
      </x:c>
      <x:c r="K742" s="12" t="str">
        <x:f>IF('Research &amp; Analysis'!J14="","",'Research &amp; Analysis'!J14)</x:f>
      </x:c>
      <x:c r="L742" s="2" t="str">
        <x:f>IF('Research &amp; Analysis'!K14="","",'Research &amp; Analysis'!K14)</x:f>
      </x:c>
      <x:c r="M742" s="2" t="n">
        <x:f>'Research &amp; Analysis'!Q14</x:f>
        <x:v>1</x:v>
      </x:c>
      <x:c r="N742" s="2" t="str">
        <x:f>'Research &amp; Analysis'!L14</x:f>
        <x:v>Not started</x:v>
      </x:c>
      <x:c r="O742" s="2" t="str">
        <x:f>'Research &amp; Analysis'!N14</x:f>
        <x:v>RA.AU.1.5.2026.CY1</x:v>
      </x:c>
      <x:c r="P742" s="2" t="n">
        <x:f>'Research &amp; Analysis'!O14</x:f>
        <x:v>0</x:v>
      </x:c>
      <x:c r="Q742" s="2" t="n">
        <x:f>SUBTOTAL(103,O742)</x:f>
        <x:v>1</x:v>
      </x:c>
      <x:c r="R742" s="2" t="n">
        <x:f>IF(AND(M742=1,OR(Dashboard!$B$7="All",Dashboard!$B$7='Cycles &amp; Guide'!$C$5),OR(Dashboard!$D$7="All",Dashboard!$D$7=B742),OR(Dashboard!$F$7="All",Dashboard!$F$7=C742),OR(Dashboard!$H$7="All",Dashboard!$H$7=D742),OR(Dashboard!$K$7="All",Dashboard!$K$7=E742)),1,0)</x:f>
        <x:v>1</x:v>
      </x:c>
      <x:c r="S742" s="2" t="n">
        <x:f>IF(R742=1,SUM($R$10:R742),0)</x:f>
        <x:v>369</x:v>
      </x:c>
      <x:c r="T742" s="2" t="str">
        <x:v>Research &amp; Analysis</x:v>
      </x:c>
      <x:c r="U742" s="2" t="n">
        <x:v>14</x:v>
      </x:c>
      <x:c r="V742" s="2" t="n">
        <x:f>IF(AND(M742=1,P742=0,ISNUMBER(J742),J742&lt;TODAY()),1,0)</x:f>
        <x:v>1</x:v>
      </x:c>
      <x:c r="W742" s="2" t="str">
        <x:f>'Research &amp; Analysis'!M14</x:f>
        <x:v>Task</x:v>
      </x:c>
    </x:row>
    <x:row r="743" ht="40" customHeight="1">
      <x:c r="A743" s="3" t="str">
        <x:f>HYPERLINK("#'Research &amp; Analysis'!A15","Open")</x:f>
        <x:v>Open</x:v>
      </x:c>
      <x:c r="B743" s="2" t="str">
        <x:f>'Research &amp; Analysis'!B15</x:f>
        <x:v>Cycle 1</x:v>
      </x:c>
      <x:c r="C743" s="2" t="str">
        <x:f>'Research &amp; Analysis'!C15</x:f>
        <x:v>Phase 1</x:v>
      </x:c>
      <x:c r="D743" s="2" t="str">
        <x:f>'Research &amp; Analysis'!D15</x:f>
        <x:v>Auto</x:v>
      </x:c>
      <x:c r="E743" s="2" t="str">
        <x:v>Research &amp; Analysis</x:v>
      </x:c>
      <x:c r="F743" s="56" t="str">
        <x:f>'Research &amp; Analysis'!E15</x:f>
        <x:v>RA.AU.1.6</x:v>
      </x:c>
      <x:c r="G743" s="14" t="str">
        <x:f>'Research &amp; Analysis'!F15</x:f>
        <x:v>Present recommended topic to D&amp;I and management for approval</x:v>
      </x:c>
      <x:c r="H743" s="2" t="str">
        <x:f>IF('Research &amp; Analysis'!G15="","",'Research &amp; Analysis'!G15)</x:f>
      </x:c>
      <x:c r="I743" s="12" t="str">
        <x:f>IF('Research &amp; Analysis'!H15="","",'Research &amp; Analysis'!H15)</x:f>
      </x:c>
      <x:c r="J743" s="12" t="n">
        <x:f>IF('Research &amp; Analysis'!I15="","",'Research &amp; Analysis'!I15)</x:f>
        <x:v>46112</x:v>
      </x:c>
      <x:c r="K743" s="12" t="str">
        <x:f>IF('Research &amp; Analysis'!J15="","",'Research &amp; Analysis'!J15)</x:f>
      </x:c>
      <x:c r="L743" s="2" t="str">
        <x:f>IF('Research &amp; Analysis'!K15="","",'Research &amp; Analysis'!K15)</x:f>
      </x:c>
      <x:c r="M743" s="2" t="n">
        <x:f>'Research &amp; Analysis'!Q15</x:f>
        <x:v>1</x:v>
      </x:c>
      <x:c r="N743" s="2" t="str">
        <x:f>'Research &amp; Analysis'!L15</x:f>
        <x:v>Not started</x:v>
      </x:c>
      <x:c r="O743" s="2" t="str">
        <x:f>'Research &amp; Analysis'!N15</x:f>
        <x:v>RA.AU.1.6.2026.CY1</x:v>
      </x:c>
      <x:c r="P743" s="2" t="n">
        <x:f>'Research &amp; Analysis'!O15</x:f>
        <x:v>0</x:v>
      </x:c>
      <x:c r="Q743" s="2" t="n">
        <x:f>SUBTOTAL(103,O743)</x:f>
        <x:v>1</x:v>
      </x:c>
      <x:c r="R743" s="2" t="n">
        <x:f>IF(AND(M743=1,OR(Dashboard!$B$7="All",Dashboard!$B$7='Cycles &amp; Guide'!$C$5),OR(Dashboard!$D$7="All",Dashboard!$D$7=B743),OR(Dashboard!$F$7="All",Dashboard!$F$7=C743),OR(Dashboard!$H$7="All",Dashboard!$H$7=D743),OR(Dashboard!$K$7="All",Dashboard!$K$7=E743)),1,0)</x:f>
        <x:v>1</x:v>
      </x:c>
      <x:c r="S743" s="2" t="n">
        <x:f>IF(R743=1,SUM($R$10:R743),0)</x:f>
        <x:v>370</x:v>
      </x:c>
      <x:c r="T743" s="2" t="str">
        <x:v>Research &amp; Analysis</x:v>
      </x:c>
      <x:c r="U743" s="2" t="n">
        <x:v>15</x:v>
      </x:c>
      <x:c r="V743" s="2" t="n">
        <x:f>IF(AND(M743=1,P743=0,ISNUMBER(J743),J743&lt;TODAY()),1,0)</x:f>
        <x:v>1</x:v>
      </x:c>
      <x:c r="W743" s="2" t="str">
        <x:f>'Research &amp; Analysis'!M15</x:f>
        <x:v>Task</x:v>
      </x:c>
    </x:row>
    <x:row r="744" ht="40" customHeight="1">
      <x:c r="A744" s="3" t="str">
        <x:f>HYPERLINK("#'Research &amp; Analysis'!A16","Open")</x:f>
        <x:v>Open</x:v>
      </x:c>
      <x:c r="B744" s="2" t="str">
        <x:f>'Research &amp; Analysis'!B16</x:f>
        <x:v>Cycle 1</x:v>
      </x:c>
      <x:c r="C744" s="2" t="str">
        <x:f>'Research &amp; Analysis'!C16</x:f>
        <x:v>Phase 1</x:v>
      </x:c>
      <x:c r="D744" s="2" t="str">
        <x:f>'Research &amp; Analysis'!D16</x:f>
        <x:v>Auto</x:v>
      </x:c>
      <x:c r="E744" s="2" t="str">
        <x:v>Research &amp; Analysis</x:v>
      </x:c>
      <x:c r="F744" s="56" t="str">
        <x:f>'Research &amp; Analysis'!E16</x:f>
        <x:v>RA.AU.1.7</x:v>
      </x:c>
      <x:c r="G744" s="14" t="str">
        <x:f>'Research &amp; Analysis'!F16</x:f>
        <x:v>Obtain formal topic selection approval from management via SharePoint</x:v>
      </x:c>
      <x:c r="H744" s="2" t="str">
        <x:f>IF('Research &amp; Analysis'!G16="","",'Research &amp; Analysis'!G16)</x:f>
      </x:c>
      <x:c r="I744" s="12" t="str">
        <x:f>IF('Research &amp; Analysis'!H16="","",'Research &amp; Analysis'!H16)</x:f>
      </x:c>
      <x:c r="J744" s="12" t="n">
        <x:f>IF('Research &amp; Analysis'!I16="","",'Research &amp; Analysis'!I16)</x:f>
        <x:v>46112</x:v>
      </x:c>
      <x:c r="K744" s="12" t="str">
        <x:f>IF('Research &amp; Analysis'!J16="","",'Research &amp; Analysis'!J16)</x:f>
      </x:c>
      <x:c r="L744" s="2" t="str">
        <x:f>IF('Research &amp; Analysis'!K16="","",'Research &amp; Analysis'!K16)</x:f>
      </x:c>
      <x:c r="M744" s="2" t="n">
        <x:f>'Research &amp; Analysis'!Q16</x:f>
        <x:v>1</x:v>
      </x:c>
      <x:c r="N744" s="2" t="str">
        <x:f>'Research &amp; Analysis'!L16</x:f>
        <x:v>Not started</x:v>
      </x:c>
      <x:c r="O744" s="2" t="str">
        <x:f>'Research &amp; Analysis'!N16</x:f>
        <x:v>RA.AU.1.7.2026.CY1</x:v>
      </x:c>
      <x:c r="P744" s="2" t="n">
        <x:f>'Research &amp; Analysis'!O16</x:f>
        <x:v>0</x:v>
      </x:c>
      <x:c r="Q744" s="2" t="n">
        <x:f>SUBTOTAL(103,O744)</x:f>
        <x:v>1</x:v>
      </x:c>
      <x:c r="R744" s="2" t="n">
        <x:f>IF(AND(M744=1,OR(Dashboard!$B$7="All",Dashboard!$B$7='Cycles &amp; Guide'!$C$5),OR(Dashboard!$D$7="All",Dashboard!$D$7=B744),OR(Dashboard!$F$7="All",Dashboard!$F$7=C744),OR(Dashboard!$H$7="All",Dashboard!$H$7=D744),OR(Dashboard!$K$7="All",Dashboard!$K$7=E744)),1,0)</x:f>
        <x:v>1</x:v>
      </x:c>
      <x:c r="S744" s="2" t="n">
        <x:f>IF(R744=1,SUM($R$10:R744),0)</x:f>
        <x:v>371</x:v>
      </x:c>
      <x:c r="T744" s="2" t="str">
        <x:v>Research &amp; Analysis</x:v>
      </x:c>
      <x:c r="U744" s="2" t="n">
        <x:v>16</x:v>
      </x:c>
      <x:c r="V744" s="2" t="n">
        <x:f>IF(AND(M744=1,P744=0,ISNUMBER(J744),J744&lt;TODAY()),1,0)</x:f>
        <x:v>1</x:v>
      </x:c>
      <x:c r="W744" s="2" t="str">
        <x:f>'Research &amp; Analysis'!M16</x:f>
        <x:v>Task</x:v>
      </x:c>
    </x:row>
    <x:row r="745" ht="40" customHeight="1">
      <x:c r="A745" s="3" t="str">
        <x:f>HYPERLINK("#'Research &amp; Analysis'!A17","Open")</x:f>
        <x:v>Open</x:v>
      </x:c>
      <x:c r="B745" s="2" t="str">
        <x:f>'Research &amp; Analysis'!B17</x:f>
        <x:v>Cycle 1</x:v>
      </x:c>
      <x:c r="C745" s="2" t="str">
        <x:f>'Research &amp; Analysis'!C17</x:f>
        <x:v>Phase 1</x:v>
      </x:c>
      <x:c r="D745" s="2" t="str">
        <x:f>'Research &amp; Analysis'!D17</x:f>
        <x:v>Auto</x:v>
      </x:c>
      <x:c r="E745" s="2" t="str">
        <x:v>Research &amp; Analysis</x:v>
      </x:c>
      <x:c r="F745" s="56" t="str">
        <x:f>'Research &amp; Analysis'!E17</x:f>
        <x:v>RA.AU.1.8</x:v>
      </x:c>
      <x:c r="G745" s="14" t="str">
        <x:f>'Research &amp; Analysis'!F17</x:f>
        <x:v>Socialize topic selection with product owners and subject matter experts (if known)</x:v>
      </x:c>
      <x:c r="H745" s="2" t="str">
        <x:f>IF('Research &amp; Analysis'!G17="","",'Research &amp; Analysis'!G17)</x:f>
      </x:c>
      <x:c r="I745" s="12" t="str">
        <x:f>IF('Research &amp; Analysis'!H17="","",'Research &amp; Analysis'!H17)</x:f>
      </x:c>
      <x:c r="J745" s="12" t="n">
        <x:f>IF('Research &amp; Analysis'!I17="","",'Research &amp; Analysis'!I17)</x:f>
        <x:v>46112</x:v>
      </x:c>
      <x:c r="K745" s="12" t="str">
        <x:f>IF('Research &amp; Analysis'!J17="","",'Research &amp; Analysis'!J17)</x:f>
      </x:c>
      <x:c r="L745" s="2" t="str">
        <x:f>IF('Research &amp; Analysis'!K17="","",'Research &amp; Analysis'!K17)</x:f>
      </x:c>
      <x:c r="M745" s="2" t="n">
        <x:f>'Research &amp; Analysis'!Q17</x:f>
        <x:v>1</x:v>
      </x:c>
      <x:c r="N745" s="2" t="str">
        <x:f>'Research &amp; Analysis'!L17</x:f>
        <x:v>Not started</x:v>
      </x:c>
      <x:c r="O745" s="2" t="str">
        <x:f>'Research &amp; Analysis'!N17</x:f>
        <x:v>RA.AU.1.8.2026.CY1</x:v>
      </x:c>
      <x:c r="P745" s="2" t="n">
        <x:f>'Research &amp; Analysis'!O17</x:f>
        <x:v>0</x:v>
      </x:c>
      <x:c r="Q745" s="2" t="n">
        <x:f>SUBTOTAL(103,O745)</x:f>
        <x:v>1</x:v>
      </x:c>
      <x:c r="R745" s="2" t="n">
        <x:f>IF(AND(M745=1,OR(Dashboard!$B$7="All",Dashboard!$B$7='Cycles &amp; Guide'!$C$5),OR(Dashboard!$D$7="All",Dashboard!$D$7=B745),OR(Dashboard!$F$7="All",Dashboard!$F$7=C745),OR(Dashboard!$H$7="All",Dashboard!$H$7=D745),OR(Dashboard!$K$7="All",Dashboard!$K$7=E745)),1,0)</x:f>
        <x:v>1</x:v>
      </x:c>
      <x:c r="S745" s="2" t="n">
        <x:f>IF(R745=1,SUM($R$10:R745),0)</x:f>
        <x:v>372</x:v>
      </x:c>
      <x:c r="T745" s="2" t="str">
        <x:v>Research &amp; Analysis</x:v>
      </x:c>
      <x:c r="U745" s="2" t="n">
        <x:v>17</x:v>
      </x:c>
      <x:c r="V745" s="2" t="n">
        <x:f>IF(AND(M745=1,P745=0,ISNUMBER(J745),J745&lt;TODAY()),1,0)</x:f>
        <x:v>1</x:v>
      </x:c>
      <x:c r="W745" s="2" t="str">
        <x:f>'Research &amp; Analysis'!M17</x:f>
        <x:v>Task</x:v>
      </x:c>
    </x:row>
    <x:row r="746" ht="40" customHeight="1">
      <x:c r="A746" s="3" t="str">
        <x:f>HYPERLINK("#'Research &amp; Analysis'!A18","Open")</x:f>
        <x:v>Open</x:v>
      </x:c>
      <x:c r="B746" s="2" t="str">
        <x:f>'Research &amp; Analysis'!B18</x:f>
        <x:v>Cycle 1</x:v>
      </x:c>
      <x:c r="C746" s="2" t="str">
        <x:f>'Research &amp; Analysis'!C18</x:f>
        <x:v>Phase 1</x:v>
      </x:c>
      <x:c r="D746" s="2" t="str">
        <x:f>'Research &amp; Analysis'!D18</x:f>
        <x:v>Auto</x:v>
      </x:c>
      <x:c r="E746" s="2" t="str">
        <x:v>Research &amp; Analysis</x:v>
      </x:c>
      <x:c r="F746" s="56" t="str">
        <x:f>'Research &amp; Analysis'!E18</x:f>
        <x:v>RA.AU.1.9</x:v>
      </x:c>
      <x:c r="G746" s="14" t="str">
        <x:f>'Research &amp; Analysis'!F18</x:f>
        <x:v>Assign topic researchers</x:v>
      </x:c>
      <x:c r="H746" s="2" t="str">
        <x:f>IF('Research &amp; Analysis'!G18="","",'Research &amp; Analysis'!G18)</x:f>
      </x:c>
      <x:c r="I746" s="12" t="str">
        <x:f>IF('Research &amp; Analysis'!H18="","",'Research &amp; Analysis'!H18)</x:f>
      </x:c>
      <x:c r="J746" s="12" t="n">
        <x:f>IF('Research &amp; Analysis'!I18="","",'Research &amp; Analysis'!I18)</x:f>
        <x:v>46112</x:v>
      </x:c>
      <x:c r="K746" s="12" t="str">
        <x:f>IF('Research &amp; Analysis'!J18="","",'Research &amp; Analysis'!J18)</x:f>
      </x:c>
      <x:c r="L746" s="2" t="str">
        <x:f>IF('Research &amp; Analysis'!K18="","",'Research &amp; Analysis'!K18)</x:f>
      </x:c>
      <x:c r="M746" s="2" t="n">
        <x:f>'Research &amp; Analysis'!Q18</x:f>
        <x:v>1</x:v>
      </x:c>
      <x:c r="N746" s="2" t="str">
        <x:f>'Research &amp; Analysis'!L18</x:f>
        <x:v>Not started</x:v>
      </x:c>
      <x:c r="O746" s="2" t="str">
        <x:f>'Research &amp; Analysis'!N18</x:f>
        <x:v>RA.AU.1.9.2026.CY1</x:v>
      </x:c>
      <x:c r="P746" s="2" t="n">
        <x:f>'Research &amp; Analysis'!O18</x:f>
        <x:v>0</x:v>
      </x:c>
      <x:c r="Q746" s="2" t="n">
        <x:f>SUBTOTAL(103,O746)</x:f>
        <x:v>1</x:v>
      </x:c>
      <x:c r="R746" s="2" t="n">
        <x:f>IF(AND(M746=1,OR(Dashboard!$B$7="All",Dashboard!$B$7='Cycles &amp; Guide'!$C$5),OR(Dashboard!$D$7="All",Dashboard!$D$7=B746),OR(Dashboard!$F$7="All",Dashboard!$F$7=C746),OR(Dashboard!$H$7="All",Dashboard!$H$7=D746),OR(Dashboard!$K$7="All",Dashboard!$K$7=E746)),1,0)</x:f>
        <x:v>1</x:v>
      </x:c>
      <x:c r="S746" s="2" t="n">
        <x:f>IF(R746=1,SUM($R$10:R746),0)</x:f>
        <x:v>373</x:v>
      </x:c>
      <x:c r="T746" s="2" t="str">
        <x:v>Research &amp; Analysis</x:v>
      </x:c>
      <x:c r="U746" s="2" t="n">
        <x:v>18</x:v>
      </x:c>
      <x:c r="V746" s="2" t="n">
        <x:f>IF(AND(M746=1,P746=0,ISNUMBER(J746),J746&lt;TODAY()),1,0)</x:f>
        <x:v>1</x:v>
      </x:c>
      <x:c r="W746" s="2" t="str">
        <x:f>'Research &amp; Analysis'!M18</x:f>
        <x:v>Task</x:v>
      </x:c>
    </x:row>
    <x:row r="747" ht="40" customHeight="1">
      <x:c r="A747" s="3" t="str">
        <x:f>HYPERLINK("#'Research &amp; Analysis'!A19","Open")</x:f>
        <x:v>Open</x:v>
      </x:c>
      <x:c r="B747" s="2" t="str">
        <x:f>'Research &amp; Analysis'!B19</x:f>
        <x:v>Cycle 1</x:v>
      </x:c>
      <x:c r="C747" s="2" t="str">
        <x:f>'Research &amp; Analysis'!C19</x:f>
        <x:v>Phase 2</x:v>
      </x:c>
      <x:c r="D747" s="2" t="str">
        <x:f>'Research &amp; Analysis'!D19</x:f>
        <x:v>Auto</x:v>
      </x:c>
      <x:c r="E747" s="2" t="str">
        <x:v>Research &amp; Analysis</x:v>
      </x:c>
      <x:c r="F747" s="56" t="str">
        <x:f>'Research &amp; Analysis'!E19</x:f>
        <x:v>RA.AU.2.1</x:v>
      </x:c>
      <x:c r="G747" s="14" t="str">
        <x:f>'Research &amp; Analysis'!F19</x:f>
        <x:v>Review data sources</x:v>
      </x:c>
      <x:c r="H747" s="2" t="str">
        <x:f>IF('Research &amp; Analysis'!G19="","",'Research &amp; Analysis'!G19)</x:f>
      </x:c>
      <x:c r="I747" s="12" t="str">
        <x:f>IF('Research &amp; Analysis'!H19="","",'Research &amp; Analysis'!H19)</x:f>
      </x:c>
      <x:c r="J747" s="12" t="n">
        <x:f>IF('Research &amp; Analysis'!I19="","",'Research &amp; Analysis'!I19)</x:f>
        <x:v>46112</x:v>
      </x:c>
      <x:c r="K747" s="12" t="str">
        <x:f>IF('Research &amp; Analysis'!J19="","",'Research &amp; Analysis'!J19)</x:f>
      </x:c>
      <x:c r="L747" s="2" t="str">
        <x:f>IF('Research &amp; Analysis'!K19="","",'Research &amp; Analysis'!K19)</x:f>
      </x:c>
      <x:c r="M747" s="2" t="n">
        <x:f>'Research &amp; Analysis'!Q19</x:f>
        <x:v>1</x:v>
      </x:c>
      <x:c r="N747" s="2" t="str">
        <x:f>'Research &amp; Analysis'!L19</x:f>
        <x:v>Not started</x:v>
      </x:c>
      <x:c r="O747" s="2" t="str">
        <x:f>'Research &amp; Analysis'!N19</x:f>
        <x:v>RA.AU.2.1.2026.CY1</x:v>
      </x:c>
      <x:c r="P747" s="2" t="n">
        <x:f>'Research &amp; Analysis'!O19</x:f>
        <x:v>0</x:v>
      </x:c>
      <x:c r="Q747" s="2" t="n">
        <x:f>SUBTOTAL(103,O747)</x:f>
        <x:v>1</x:v>
      </x:c>
      <x:c r="R747" s="2" t="n">
        <x:f>IF(AND(M747=1,OR(Dashboard!$B$7="All",Dashboard!$B$7='Cycles &amp; Guide'!$C$5),OR(Dashboard!$D$7="All",Dashboard!$D$7=B747),OR(Dashboard!$F$7="All",Dashboard!$F$7=C747),OR(Dashboard!$H$7="All",Dashboard!$H$7=D747),OR(Dashboard!$K$7="All",Dashboard!$K$7=E747)),1,0)</x:f>
        <x:v>1</x:v>
      </x:c>
      <x:c r="S747" s="2" t="n">
        <x:f>IF(R747=1,SUM($R$10:R747),0)</x:f>
        <x:v>374</x:v>
      </x:c>
      <x:c r="T747" s="2" t="str">
        <x:v>Research &amp; Analysis</x:v>
      </x:c>
      <x:c r="U747" s="2" t="n">
        <x:v>19</x:v>
      </x:c>
      <x:c r="V747" s="2" t="n">
        <x:f>IF(AND(M747=1,P747=0,ISNUMBER(J747),J747&lt;TODAY()),1,0)</x:f>
        <x:v>1</x:v>
      </x:c>
      <x:c r="W747" s="2" t="str">
        <x:f>'Research &amp; Analysis'!M19</x:f>
        <x:v>Task</x:v>
      </x:c>
    </x:row>
    <x:row r="748" ht="40" customHeight="1">
      <x:c r="A748" s="3" t="str">
        <x:f>HYPERLINK("#'Research &amp; Analysis'!A20","Open")</x:f>
        <x:v>Open</x:v>
      </x:c>
      <x:c r="B748" s="2" t="str">
        <x:f>'Research &amp; Analysis'!B20</x:f>
        <x:v>Cycle 1</x:v>
      </x:c>
      <x:c r="C748" s="2" t="str">
        <x:f>'Research &amp; Analysis'!C20</x:f>
        <x:v>Phase 2</x:v>
      </x:c>
      <x:c r="D748" s="2" t="str">
        <x:f>'Research &amp; Analysis'!D20</x:f>
        <x:v>Auto</x:v>
      </x:c>
      <x:c r="E748" s="2" t="str">
        <x:v>Research &amp; Analysis</x:v>
      </x:c>
      <x:c r="F748" s="56" t="str">
        <x:f>'Research &amp; Analysis'!E20</x:f>
        <x:v>RA.AU.2.2</x:v>
      </x:c>
      <x:c r="G748" s="14" t="str">
        <x:f>'Research &amp; Analysis'!F20</x:f>
        <x:v>Review relevant policies and procedures</x:v>
      </x:c>
      <x:c r="H748" s="2" t="str">
        <x:f>IF('Research &amp; Analysis'!G20="","",'Research &amp; Analysis'!G20)</x:f>
      </x:c>
      <x:c r="I748" s="12" t="str">
        <x:f>IF('Research &amp; Analysis'!H20="","",'Research &amp; Analysis'!H20)</x:f>
      </x:c>
      <x:c r="J748" s="12" t="n">
        <x:f>IF('Research &amp; Analysis'!I20="","",'Research &amp; Analysis'!I20)</x:f>
        <x:v>46112</x:v>
      </x:c>
      <x:c r="K748" s="12" t="str">
        <x:f>IF('Research &amp; Analysis'!J20="","",'Research &amp; Analysis'!J20)</x:f>
      </x:c>
      <x:c r="L748" s="2" t="str">
        <x:f>IF('Research &amp; Analysis'!K20="","",'Research &amp; Analysis'!K20)</x:f>
      </x:c>
      <x:c r="M748" s="2" t="n">
        <x:f>'Research &amp; Analysis'!Q20</x:f>
        <x:v>1</x:v>
      </x:c>
      <x:c r="N748" s="2" t="str">
        <x:f>'Research &amp; Analysis'!L20</x:f>
        <x:v>Not started</x:v>
      </x:c>
      <x:c r="O748" s="2" t="str">
        <x:f>'Research &amp; Analysis'!N20</x:f>
        <x:v>RA.AU.2.2.2026.CY1</x:v>
      </x:c>
      <x:c r="P748" s="2" t="n">
        <x:f>'Research &amp; Analysis'!O20</x:f>
        <x:v>0</x:v>
      </x:c>
      <x:c r="Q748" s="2" t="n">
        <x:f>SUBTOTAL(103,O748)</x:f>
        <x:v>1</x:v>
      </x:c>
      <x:c r="R748" s="2" t="n">
        <x:f>IF(AND(M748=1,OR(Dashboard!$B$7="All",Dashboard!$B$7='Cycles &amp; Guide'!$C$5),OR(Dashboard!$D$7="All",Dashboard!$D$7=B748),OR(Dashboard!$F$7="All",Dashboard!$F$7=C748),OR(Dashboard!$H$7="All",Dashboard!$H$7=D748),OR(Dashboard!$K$7="All",Dashboard!$K$7=E748)),1,0)</x:f>
        <x:v>1</x:v>
      </x:c>
      <x:c r="S748" s="2" t="n">
        <x:f>IF(R748=1,SUM($R$10:R748),0)</x:f>
        <x:v>375</x:v>
      </x:c>
      <x:c r="T748" s="2" t="str">
        <x:v>Research &amp; Analysis</x:v>
      </x:c>
      <x:c r="U748" s="2" t="n">
        <x:v>20</x:v>
      </x:c>
      <x:c r="V748" s="2" t="n">
        <x:f>IF(AND(M748=1,P748=0,ISNUMBER(J748),J748&lt;TODAY()),1,0)</x:f>
        <x:v>1</x:v>
      </x:c>
      <x:c r="W748" s="2" t="str">
        <x:f>'Research &amp; Analysis'!M20</x:f>
        <x:v>Task</x:v>
      </x:c>
    </x:row>
    <x:row r="749" ht="40" customHeight="1">
      <x:c r="A749" s="3" t="str">
        <x:f>HYPERLINK("#'Research &amp; Analysis'!A21","Open")</x:f>
        <x:v>Open</x:v>
      </x:c>
      <x:c r="B749" s="2" t="str">
        <x:f>'Research &amp; Analysis'!B21</x:f>
        <x:v>Cycle 1</x:v>
      </x:c>
      <x:c r="C749" s="2" t="str">
        <x:f>'Research &amp; Analysis'!C21</x:f>
        <x:v>Phase 2</x:v>
      </x:c>
      <x:c r="D749" s="2" t="str">
        <x:f>'Research &amp; Analysis'!D21</x:f>
        <x:v>Auto</x:v>
      </x:c>
      <x:c r="E749" s="2" t="str">
        <x:v>Research &amp; Analysis</x:v>
      </x:c>
      <x:c r="F749" s="56" t="str">
        <x:f>'Research &amp; Analysis'!E21</x:f>
        <x:v>RA.AU.2.3</x:v>
      </x:c>
      <x:c r="G749" s="14" t="str">
        <x:f>'Research &amp; Analysis'!F21</x:f>
        <x:v>Meet with SMEs to gain business insight and clarify questions</x:v>
      </x:c>
      <x:c r="H749" s="2" t="str">
        <x:f>IF('Research &amp; Analysis'!G21="","",'Research &amp; Analysis'!G21)</x:f>
      </x:c>
      <x:c r="I749" s="12" t="str">
        <x:f>IF('Research &amp; Analysis'!H21="","",'Research &amp; Analysis'!H21)</x:f>
      </x:c>
      <x:c r="J749" s="12" t="n">
        <x:f>IF('Research &amp; Analysis'!I21="","",'Research &amp; Analysis'!I21)</x:f>
        <x:v>46112</x:v>
      </x:c>
      <x:c r="K749" s="12" t="str">
        <x:f>IF('Research &amp; Analysis'!J21="","",'Research &amp; Analysis'!J21)</x:f>
      </x:c>
      <x:c r="L749" s="2" t="str">
        <x:f>IF('Research &amp; Analysis'!K21="","",'Research &amp; Analysis'!K21)</x:f>
      </x:c>
      <x:c r="M749" s="2" t="n">
        <x:f>'Research &amp; Analysis'!Q21</x:f>
        <x:v>1</x:v>
      </x:c>
      <x:c r="N749" s="2" t="str">
        <x:f>'Research &amp; Analysis'!L21</x:f>
        <x:v>Not started</x:v>
      </x:c>
      <x:c r="O749" s="2" t="str">
        <x:f>'Research &amp; Analysis'!N21</x:f>
        <x:v>RA.AU.2.3.2026.CY1</x:v>
      </x:c>
      <x:c r="P749" s="2" t="n">
        <x:f>'Research &amp; Analysis'!O21</x:f>
        <x:v>0</x:v>
      </x:c>
      <x:c r="Q749" s="2" t="n">
        <x:f>SUBTOTAL(103,O749)</x:f>
        <x:v>1</x:v>
      </x:c>
      <x:c r="R749" s="2" t="n">
        <x:f>IF(AND(M749=1,OR(Dashboard!$B$7="All",Dashboard!$B$7='Cycles &amp; Guide'!$C$5),OR(Dashboard!$D$7="All",Dashboard!$D$7=B749),OR(Dashboard!$F$7="All",Dashboard!$F$7=C749),OR(Dashboard!$H$7="All",Dashboard!$H$7=D749),OR(Dashboard!$K$7="All",Dashboard!$K$7=E749)),1,0)</x:f>
        <x:v>1</x:v>
      </x:c>
      <x:c r="S749" s="2" t="n">
        <x:f>IF(R749=1,SUM($R$10:R749),0)</x:f>
        <x:v>376</x:v>
      </x:c>
      <x:c r="T749" s="2" t="str">
        <x:v>Research &amp; Analysis</x:v>
      </x:c>
      <x:c r="U749" s="2" t="n">
        <x:v>21</x:v>
      </x:c>
      <x:c r="V749" s="2" t="n">
        <x:f>IF(AND(M749=1,P749=0,ISNUMBER(J749),J749&lt;TODAY()),1,0)</x:f>
        <x:v>1</x:v>
      </x:c>
      <x:c r="W749" s="2" t="str">
        <x:f>'Research &amp; Analysis'!M21</x:f>
        <x:v>Task</x:v>
      </x:c>
    </x:row>
    <x:row r="750" ht="40" customHeight="1">
      <x:c r="A750" s="3" t="str">
        <x:f>HYPERLINK("#'Research &amp; Analysis'!A22","Open")</x:f>
        <x:v>Open</x:v>
      </x:c>
      <x:c r="B750" s="2" t="str">
        <x:f>'Research &amp; Analysis'!B22</x:f>
        <x:v>Cycle 1</x:v>
      </x:c>
      <x:c r="C750" s="2" t="str">
        <x:f>'Research &amp; Analysis'!C22</x:f>
        <x:v>Phase 2</x:v>
      </x:c>
      <x:c r="D750" s="2" t="str">
        <x:f>'Research &amp; Analysis'!D22</x:f>
        <x:v>Auto</x:v>
      </x:c>
      <x:c r="E750" s="2" t="str">
        <x:v>Research &amp; Analysis</x:v>
      </x:c>
      <x:c r="F750" s="56" t="str">
        <x:f>'Research &amp; Analysis'!E22</x:f>
        <x:v>RA.AU.2.4</x:v>
      </x:c>
      <x:c r="G750" s="14" t="str">
        <x:f>'Research &amp; Analysis'!F22</x:f>
        <x:v>Establish and maintain a recurring meeting with D&amp;I to discuss Cycle progress</x:v>
      </x:c>
      <x:c r="H750" s="2" t="str">
        <x:f>IF('Research &amp; Analysis'!G22="","",'Research &amp; Analysis'!G22)</x:f>
      </x:c>
      <x:c r="I750" s="12" t="str">
        <x:f>IF('Research &amp; Analysis'!H22="","",'Research &amp; Analysis'!H22)</x:f>
      </x:c>
      <x:c r="J750" s="12" t="n">
        <x:f>IF('Research &amp; Analysis'!I22="","",'Research &amp; Analysis'!I22)</x:f>
        <x:v>46112</x:v>
      </x:c>
      <x:c r="K750" s="12" t="str">
        <x:f>IF('Research &amp; Analysis'!J22="","",'Research &amp; Analysis'!J22)</x:f>
      </x:c>
      <x:c r="L750" s="2" t="str">
        <x:f>IF('Research &amp; Analysis'!K22="","",'Research &amp; Analysis'!K22)</x:f>
      </x:c>
      <x:c r="M750" s="2" t="n">
        <x:f>'Research &amp; Analysis'!Q22</x:f>
        <x:v>1</x:v>
      </x:c>
      <x:c r="N750" s="2" t="str">
        <x:f>'Research &amp; Analysis'!L22</x:f>
        <x:v>Not started</x:v>
      </x:c>
      <x:c r="O750" s="2" t="str">
        <x:f>'Research &amp; Analysis'!N22</x:f>
        <x:v>RA.AU.2.4.2026.CY1</x:v>
      </x:c>
      <x:c r="P750" s="2" t="n">
        <x:f>'Research &amp; Analysis'!O22</x:f>
        <x:v>0</x:v>
      </x:c>
      <x:c r="Q750" s="2" t="n">
        <x:f>SUBTOTAL(103,O750)</x:f>
        <x:v>1</x:v>
      </x:c>
      <x:c r="R750" s="2" t="n">
        <x:f>IF(AND(M750=1,OR(Dashboard!$B$7="All",Dashboard!$B$7='Cycles &amp; Guide'!$C$5),OR(Dashboard!$D$7="All",Dashboard!$D$7=B750),OR(Dashboard!$F$7="All",Dashboard!$F$7=C750),OR(Dashboard!$H$7="All",Dashboard!$H$7=D750),OR(Dashboard!$K$7="All",Dashboard!$K$7=E750)),1,0)</x:f>
        <x:v>1</x:v>
      </x:c>
      <x:c r="S750" s="2" t="n">
        <x:f>IF(R750=1,SUM($R$10:R750),0)</x:f>
        <x:v>377</x:v>
      </x:c>
      <x:c r="T750" s="2" t="str">
        <x:v>Research &amp; Analysis</x:v>
      </x:c>
      <x:c r="U750" s="2" t="n">
        <x:v>22</x:v>
      </x:c>
      <x:c r="V750" s="2" t="n">
        <x:f>IF(AND(M750=1,P750=0,ISNUMBER(J750),J750&lt;TODAY()),1,0)</x:f>
        <x:v>1</x:v>
      </x:c>
      <x:c r="W750" s="2" t="str">
        <x:f>'Research &amp; Analysis'!M22</x:f>
        <x:v>Task</x:v>
      </x:c>
    </x:row>
    <x:row r="751" ht="40" customHeight="1">
      <x:c r="A751" s="3" t="str">
        <x:f>HYPERLINK("#'Research &amp; Analysis'!A23","Open")</x:f>
        <x:v>Open</x:v>
      </x:c>
      <x:c r="B751" s="2" t="str">
        <x:f>'Research &amp; Analysis'!B23</x:f>
        <x:v>Cycle 1</x:v>
      </x:c>
      <x:c r="C751" s="2" t="str">
        <x:f>'Research &amp; Analysis'!C23</x:f>
        <x:v>Phase 2</x:v>
      </x:c>
      <x:c r="D751" s="2" t="str">
        <x:f>'Research &amp; Analysis'!D23</x:f>
        <x:v>Auto</x:v>
      </x:c>
      <x:c r="E751" s="2" t="str">
        <x:v>Research &amp; Analysis</x:v>
      </x:c>
      <x:c r="F751" s="56" t="str">
        <x:f>'Research &amp; Analysis'!E23</x:f>
        <x:v>RA.AU.2.5</x:v>
      </x:c>
      <x:c r="G751" s="14" t="str">
        <x:f>'Research &amp; Analysis'!F23</x:f>
        <x:v>Perform data testing and sampling</x:v>
      </x:c>
      <x:c r="H751" s="2" t="str">
        <x:f>IF('Research &amp; Analysis'!G23="","",'Research &amp; Analysis'!G23)</x:f>
      </x:c>
      <x:c r="I751" s="12" t="str">
        <x:f>IF('Research &amp; Analysis'!H23="","",'Research &amp; Analysis'!H23)</x:f>
      </x:c>
      <x:c r="J751" s="12" t="n">
        <x:f>IF('Research &amp; Analysis'!I23="","",'Research &amp; Analysis'!I23)</x:f>
        <x:v>46112</x:v>
      </x:c>
      <x:c r="K751" s="12" t="str">
        <x:f>IF('Research &amp; Analysis'!J23="","",'Research &amp; Analysis'!J23)</x:f>
      </x:c>
      <x:c r="L751" s="2" t="str">
        <x:f>IF('Research &amp; Analysis'!K23="","",'Research &amp; Analysis'!K23)</x:f>
      </x:c>
      <x:c r="M751" s="2" t="n">
        <x:f>'Research &amp; Analysis'!Q23</x:f>
        <x:v>1</x:v>
      </x:c>
      <x:c r="N751" s="2" t="str">
        <x:f>'Research &amp; Analysis'!L23</x:f>
        <x:v>Not started</x:v>
      </x:c>
      <x:c r="O751" s="2" t="str">
        <x:f>'Research &amp; Analysis'!N23</x:f>
        <x:v>RA.AU.2.5.2026.CY1</x:v>
      </x:c>
      <x:c r="P751" s="2" t="n">
        <x:f>'Research &amp; Analysis'!O23</x:f>
        <x:v>0</x:v>
      </x:c>
      <x:c r="Q751" s="2" t="n">
        <x:f>SUBTOTAL(103,O751)</x:f>
        <x:v>1</x:v>
      </x:c>
      <x:c r="R751" s="2" t="n">
        <x:f>IF(AND(M751=1,OR(Dashboard!$B$7="All",Dashboard!$B$7='Cycles &amp; Guide'!$C$5),OR(Dashboard!$D$7="All",Dashboard!$D$7=B751),OR(Dashboard!$F$7="All",Dashboard!$F$7=C751),OR(Dashboard!$H$7="All",Dashboard!$H$7=D751),OR(Dashboard!$K$7="All",Dashboard!$K$7=E751)),1,0)</x:f>
        <x:v>1</x:v>
      </x:c>
      <x:c r="S751" s="2" t="n">
        <x:f>IF(R751=1,SUM($R$10:R751),0)</x:f>
        <x:v>378</x:v>
      </x:c>
      <x:c r="T751" s="2" t="str">
        <x:v>Research &amp; Analysis</x:v>
      </x:c>
      <x:c r="U751" s="2" t="n">
        <x:v>23</x:v>
      </x:c>
      <x:c r="V751" s="2" t="n">
        <x:f>IF(AND(M751=1,P751=0,ISNUMBER(J751),J751&lt;TODAY()),1,0)</x:f>
        <x:v>1</x:v>
      </x:c>
      <x:c r="W751" s="2" t="str">
        <x:f>'Research &amp; Analysis'!M23</x:f>
        <x:v>Task</x:v>
      </x:c>
    </x:row>
    <x:row r="752" ht="40" customHeight="1">
      <x:c r="A752" s="3" t="str">
        <x:f>HYPERLINK("#'Research &amp; Analysis'!A24","Open")</x:f>
        <x:v>Open</x:v>
      </x:c>
      <x:c r="B752" s="2" t="str">
        <x:f>'Research &amp; Analysis'!B24</x:f>
        <x:v>Cycle 1</x:v>
      </x:c>
      <x:c r="C752" s="2" t="str">
        <x:f>'Research &amp; Analysis'!C24</x:f>
        <x:v>Phase 2</x:v>
      </x:c>
      <x:c r="D752" s="2" t="str">
        <x:f>'Research &amp; Analysis'!D24</x:f>
        <x:v>Auto</x:v>
      </x:c>
      <x:c r="E752" s="2" t="str">
        <x:v>Research &amp; Analysis</x:v>
      </x:c>
      <x:c r="F752" s="56" t="str">
        <x:f>'Research &amp; Analysis'!E24</x:f>
        <x:v>RA.AU.2.6</x:v>
      </x:c>
      <x:c r="G752" s="14" t="str">
        <x:f>'Research &amp; Analysis'!F24</x:f>
        <x:v>Complete Positive Testing</x:v>
      </x:c>
      <x:c r="H752" s="2" t="str">
        <x:f>IF('Research &amp; Analysis'!G24="","",'Research &amp; Analysis'!G24)</x:f>
      </x:c>
      <x:c r="I752" s="12" t="str">
        <x:f>IF('Research &amp; Analysis'!H24="","",'Research &amp; Analysis'!H24)</x:f>
      </x:c>
      <x:c r="J752" s="12" t="n">
        <x:f>IF('Research &amp; Analysis'!I24="","",'Research &amp; Analysis'!I24)</x:f>
        <x:v>46112</x:v>
      </x:c>
      <x:c r="K752" s="12" t="str">
        <x:f>IF('Research &amp; Analysis'!J24="","",'Research &amp; Analysis'!J24)</x:f>
      </x:c>
      <x:c r="L752" s="2" t="str">
        <x:f>IF('Research &amp; Analysis'!K24="","",'Research &amp; Analysis'!K24)</x:f>
      </x:c>
      <x:c r="M752" s="2" t="n">
        <x:f>'Research &amp; Analysis'!Q24</x:f>
        <x:v>1</x:v>
      </x:c>
      <x:c r="N752" s="2" t="str">
        <x:f>'Research &amp; Analysis'!L24</x:f>
        <x:v>Not started</x:v>
      </x:c>
      <x:c r="O752" s="2" t="str">
        <x:f>'Research &amp; Analysis'!N24</x:f>
        <x:v>RA.AU.2.6.2026.CY1</x:v>
      </x:c>
      <x:c r="P752" s="2" t="n">
        <x:f>'Research &amp; Analysis'!O24</x:f>
        <x:v>0</x:v>
      </x:c>
      <x:c r="Q752" s="2" t="n">
        <x:f>SUBTOTAL(103,O752)</x:f>
        <x:v>1</x:v>
      </x:c>
      <x:c r="R752" s="2" t="n">
        <x:f>IF(AND(M752=1,OR(Dashboard!$B$7="All",Dashboard!$B$7='Cycles &amp; Guide'!$C$5),OR(Dashboard!$D$7="All",Dashboard!$D$7=B752),OR(Dashboard!$F$7="All",Dashboard!$F$7=C752),OR(Dashboard!$H$7="All",Dashboard!$H$7=D752),OR(Dashboard!$K$7="All",Dashboard!$K$7=E752)),1,0)</x:f>
        <x:v>1</x:v>
      </x:c>
      <x:c r="S752" s="2" t="n">
        <x:f>IF(R752=1,SUM($R$10:R752),0)</x:f>
        <x:v>379</x:v>
      </x:c>
      <x:c r="T752" s="2" t="str">
        <x:v>Research &amp; Analysis</x:v>
      </x:c>
      <x:c r="U752" s="2" t="n">
        <x:v>24</x:v>
      </x:c>
      <x:c r="V752" s="2" t="n">
        <x:f>IF(AND(M752=1,P752=0,ISNUMBER(J752),J752&lt;TODAY()),1,0)</x:f>
        <x:v>1</x:v>
      </x:c>
      <x:c r="W752" s="2" t="str">
        <x:f>'Research &amp; Analysis'!M24</x:f>
        <x:v>Task</x:v>
      </x:c>
    </x:row>
    <x:row r="753" ht="40" customHeight="1">
      <x:c r="A753" s="3" t="str">
        <x:f>HYPERLINK("#'Research &amp; Analysis'!A25","Open")</x:f>
        <x:v>Open</x:v>
      </x:c>
      <x:c r="B753" s="2" t="str">
        <x:f>'Research &amp; Analysis'!B25</x:f>
        <x:v>Cycle 1</x:v>
      </x:c>
      <x:c r="C753" s="2" t="str">
        <x:f>'Research &amp; Analysis'!C25</x:f>
        <x:v>Phase 2</x:v>
      </x:c>
      <x:c r="D753" s="2" t="str">
        <x:f>'Research &amp; Analysis'!D25</x:f>
        <x:v>Auto</x:v>
      </x:c>
      <x:c r="E753" s="2" t="str">
        <x:v>Research &amp; Analysis</x:v>
      </x:c>
      <x:c r="F753" s="56" t="str">
        <x:f>'Research &amp; Analysis'!E25</x:f>
        <x:v>RA.AU.2.7</x:v>
      </x:c>
      <x:c r="G753" s="14" t="str">
        <x:f>'Research &amp; Analysis'!F25</x:f>
        <x:v>Complete Negative Testing</x:v>
      </x:c>
      <x:c r="H753" s="2" t="str">
        <x:f>IF('Research &amp; Analysis'!G25="","",'Research &amp; Analysis'!G25)</x:f>
      </x:c>
      <x:c r="I753" s="12" t="str">
        <x:f>IF('Research &amp; Analysis'!H25="","",'Research &amp; Analysis'!H25)</x:f>
      </x:c>
      <x:c r="J753" s="12" t="n">
        <x:f>IF('Research &amp; Analysis'!I25="","",'Research &amp; Analysis'!I25)</x:f>
        <x:v>46112</x:v>
      </x:c>
      <x:c r="K753" s="12" t="str">
        <x:f>IF('Research &amp; Analysis'!J25="","",'Research &amp; Analysis'!J25)</x:f>
      </x:c>
      <x:c r="L753" s="2" t="str">
        <x:f>IF('Research &amp; Analysis'!K25="","",'Research &amp; Analysis'!K25)</x:f>
      </x:c>
      <x:c r="M753" s="2" t="n">
        <x:f>'Research &amp; Analysis'!Q25</x:f>
        <x:v>1</x:v>
      </x:c>
      <x:c r="N753" s="2" t="str">
        <x:f>'Research &amp; Analysis'!L25</x:f>
        <x:v>Not started</x:v>
      </x:c>
      <x:c r="O753" s="2" t="str">
        <x:f>'Research &amp; Analysis'!N25</x:f>
        <x:v>RA.AU.2.7.2026.CY1</x:v>
      </x:c>
      <x:c r="P753" s="2" t="n">
        <x:f>'Research &amp; Analysis'!O25</x:f>
        <x:v>0</x:v>
      </x:c>
      <x:c r="Q753" s="2" t="n">
        <x:f>SUBTOTAL(103,O753)</x:f>
        <x:v>1</x:v>
      </x:c>
      <x:c r="R753" s="2" t="n">
        <x:f>IF(AND(M753=1,OR(Dashboard!$B$7="All",Dashboard!$B$7='Cycles &amp; Guide'!$C$5),OR(Dashboard!$D$7="All",Dashboard!$D$7=B753),OR(Dashboard!$F$7="All",Dashboard!$F$7=C753),OR(Dashboard!$H$7="All",Dashboard!$H$7=D753),OR(Dashboard!$K$7="All",Dashboard!$K$7=E753)),1,0)</x:f>
        <x:v>1</x:v>
      </x:c>
      <x:c r="S753" s="2" t="n">
        <x:f>IF(R753=1,SUM($R$10:R753),0)</x:f>
        <x:v>380</x:v>
      </x:c>
      <x:c r="T753" s="2" t="str">
        <x:v>Research &amp; Analysis</x:v>
      </x:c>
      <x:c r="U753" s="2" t="n">
        <x:v>25</x:v>
      </x:c>
      <x:c r="V753" s="2" t="n">
        <x:f>IF(AND(M753=1,P753=0,ISNUMBER(J753),J753&lt;TODAY()),1,0)</x:f>
        <x:v>1</x:v>
      </x:c>
      <x:c r="W753" s="2" t="str">
        <x:f>'Research &amp; Analysis'!M25</x:f>
        <x:v>Task</x:v>
      </x:c>
    </x:row>
    <x:row r="754" ht="40" customHeight="1">
      <x:c r="A754" s="3" t="str">
        <x:f>HYPERLINK("#'Research &amp; Analysis'!A26","Open")</x:f>
        <x:v>Open</x:v>
      </x:c>
      <x:c r="B754" s="2" t="str">
        <x:f>'Research &amp; Analysis'!B26</x:f>
        <x:v>Cycle 1</x:v>
      </x:c>
      <x:c r="C754" s="2" t="str">
        <x:f>'Research &amp; Analysis'!C26</x:f>
        <x:v>Phase 2</x:v>
      </x:c>
      <x:c r="D754" s="2" t="str">
        <x:f>'Research &amp; Analysis'!D26</x:f>
        <x:v>Auto</x:v>
      </x:c>
      <x:c r="E754" s="2" t="str">
        <x:v>Research &amp; Analysis</x:v>
      </x:c>
      <x:c r="F754" s="56" t="str">
        <x:f>'Research &amp; Analysis'!E26</x:f>
        <x:v>RA.AU.2.8</x:v>
      </x:c>
      <x:c r="G754" s="14" t="str">
        <x:f>'Research &amp; Analysis'!F26</x:f>
        <x:v>Request additional data (as needed)</x:v>
      </x:c>
      <x:c r="H754" s="2" t="str">
        <x:f>IF('Research &amp; Analysis'!G26="","",'Research &amp; Analysis'!G26)</x:f>
      </x:c>
      <x:c r="I754" s="12" t="str">
        <x:f>IF('Research &amp; Analysis'!H26="","",'Research &amp; Analysis'!H26)</x:f>
      </x:c>
      <x:c r="J754" s="12" t="n">
        <x:f>IF('Research &amp; Analysis'!I26="","",'Research &amp; Analysis'!I26)</x:f>
        <x:v>46112</x:v>
      </x:c>
      <x:c r="K754" s="12" t="str">
        <x:f>IF('Research &amp; Analysis'!J26="","",'Research &amp; Analysis'!J26)</x:f>
      </x:c>
      <x:c r="L754" s="2" t="str">
        <x:f>IF('Research &amp; Analysis'!K26="","",'Research &amp; Analysis'!K26)</x:f>
      </x:c>
      <x:c r="M754" s="2" t="n">
        <x:f>'Research &amp; Analysis'!Q26</x:f>
        <x:v>1</x:v>
      </x:c>
      <x:c r="N754" s="2" t="str">
        <x:f>'Research &amp; Analysis'!L26</x:f>
        <x:v>Not started</x:v>
      </x:c>
      <x:c r="O754" s="2" t="str">
        <x:f>'Research &amp; Analysis'!N26</x:f>
        <x:v>RA.AU.2.8.2026.CY1</x:v>
      </x:c>
      <x:c r="P754" s="2" t="n">
        <x:f>'Research &amp; Analysis'!O26</x:f>
        <x:v>0</x:v>
      </x:c>
      <x:c r="Q754" s="2" t="n">
        <x:f>SUBTOTAL(103,O754)</x:f>
        <x:v>1</x:v>
      </x:c>
      <x:c r="R754" s="2" t="n">
        <x:f>IF(AND(M754=1,OR(Dashboard!$B$7="All",Dashboard!$B$7='Cycles &amp; Guide'!$C$5),OR(Dashboard!$D$7="All",Dashboard!$D$7=B754),OR(Dashboard!$F$7="All",Dashboard!$F$7=C754),OR(Dashboard!$H$7="All",Dashboard!$H$7=D754),OR(Dashboard!$K$7="All",Dashboard!$K$7=E754)),1,0)</x:f>
        <x:v>1</x:v>
      </x:c>
      <x:c r="S754" s="2" t="n">
        <x:f>IF(R754=1,SUM($R$10:R754),0)</x:f>
        <x:v>381</x:v>
      </x:c>
      <x:c r="T754" s="2" t="str">
        <x:v>Research &amp; Analysis</x:v>
      </x:c>
      <x:c r="U754" s="2" t="n">
        <x:v>26</x:v>
      </x:c>
      <x:c r="V754" s="2" t="n">
        <x:f>IF(AND(M754=1,P754=0,ISNUMBER(J754),J754&lt;TODAY()),1,0)</x:f>
        <x:v>1</x:v>
      </x:c>
      <x:c r="W754" s="2" t="str">
        <x:f>'Research &amp; Analysis'!M26</x:f>
        <x:v>Task</x:v>
      </x:c>
    </x:row>
    <x:row r="755" ht="40" customHeight="1">
      <x:c r="A755" s="3" t="str">
        <x:f>HYPERLINK("#'Research &amp; Analysis'!A27","Open")</x:f>
        <x:v>Open</x:v>
      </x:c>
      <x:c r="B755" s="2" t="str">
        <x:f>'Research &amp; Analysis'!B27</x:f>
        <x:v>Cycle 1</x:v>
      </x:c>
      <x:c r="C755" s="2" t="str">
        <x:f>'Research &amp; Analysis'!C27</x:f>
        <x:v>Phase 2</x:v>
      </x:c>
      <x:c r="D755" s="2" t="str">
        <x:f>'Research &amp; Analysis'!D27</x:f>
        <x:v>Auto</x:v>
      </x:c>
      <x:c r="E755" s="2" t="str">
        <x:v>Research &amp; Analysis</x:v>
      </x:c>
      <x:c r="F755" s="56" t="str">
        <x:f>'Research &amp; Analysis'!E27</x:f>
        <x:v>RA.AU.2.9</x:v>
      </x:c>
      <x:c r="G755" s="14" t="str">
        <x:f>'Research &amp; Analysis'!F27</x:f>
        <x:v>Validate or disprove initial hypothesis assumptions</x:v>
      </x:c>
      <x:c r="H755" s="2" t="str">
        <x:f>IF('Research &amp; Analysis'!G27="","",'Research &amp; Analysis'!G27)</x:f>
      </x:c>
      <x:c r="I755" s="12" t="str">
        <x:f>IF('Research &amp; Analysis'!H27="","",'Research &amp; Analysis'!H27)</x:f>
      </x:c>
      <x:c r="J755" s="12" t="n">
        <x:f>IF('Research &amp; Analysis'!I27="","",'Research &amp; Analysis'!I27)</x:f>
        <x:v>46112</x:v>
      </x:c>
      <x:c r="K755" s="12" t="str">
        <x:f>IF('Research &amp; Analysis'!J27="","",'Research &amp; Analysis'!J27)</x:f>
      </x:c>
      <x:c r="L755" s="2" t="str">
        <x:f>IF('Research &amp; Analysis'!K27="","",'Research &amp; Analysis'!K27)</x:f>
      </x:c>
      <x:c r="M755" s="2" t="n">
        <x:f>'Research &amp; Analysis'!Q27</x:f>
        <x:v>1</x:v>
      </x:c>
      <x:c r="N755" s="2" t="str">
        <x:f>'Research &amp; Analysis'!L27</x:f>
        <x:v>Not started</x:v>
      </x:c>
      <x:c r="O755" s="2" t="str">
        <x:f>'Research &amp; Analysis'!N27</x:f>
        <x:v>RA.AU.2.9.2026.CY1</x:v>
      </x:c>
      <x:c r="P755" s="2" t="n">
        <x:f>'Research &amp; Analysis'!O27</x:f>
        <x:v>0</x:v>
      </x:c>
      <x:c r="Q755" s="2" t="n">
        <x:f>SUBTOTAL(103,O755)</x:f>
        <x:v>1</x:v>
      </x:c>
      <x:c r="R755" s="2" t="n">
        <x:f>IF(AND(M755=1,OR(Dashboard!$B$7="All",Dashboard!$B$7='Cycles &amp; Guide'!$C$5),OR(Dashboard!$D$7="All",Dashboard!$D$7=B755),OR(Dashboard!$F$7="All",Dashboard!$F$7=C755),OR(Dashboard!$H$7="All",Dashboard!$H$7=D755),OR(Dashboard!$K$7="All",Dashboard!$K$7=E755)),1,0)</x:f>
        <x:v>1</x:v>
      </x:c>
      <x:c r="S755" s="2" t="n">
        <x:f>IF(R755=1,SUM($R$10:R755),0)</x:f>
        <x:v>382</x:v>
      </x:c>
      <x:c r="T755" s="2" t="str">
        <x:v>Research &amp; Analysis</x:v>
      </x:c>
      <x:c r="U755" s="2" t="n">
        <x:v>27</x:v>
      </x:c>
      <x:c r="V755" s="2" t="n">
        <x:f>IF(AND(M755=1,P755=0,ISNUMBER(J755),J755&lt;TODAY()),1,0)</x:f>
        <x:v>1</x:v>
      </x:c>
      <x:c r="W755" s="2" t="str">
        <x:f>'Research &amp; Analysis'!M27</x:f>
        <x:v>Task</x:v>
      </x:c>
    </x:row>
    <x:row r="756" ht="40" customHeight="1">
      <x:c r="A756" s="3" t="str">
        <x:f>HYPERLINK("#'Research &amp; Analysis'!A28","Open")</x:f>
        <x:v>Open</x:v>
      </x:c>
      <x:c r="B756" s="2" t="str">
        <x:f>'Research &amp; Analysis'!B28</x:f>
        <x:v>Cycle 1</x:v>
      </x:c>
      <x:c r="C756" s="2" t="str">
        <x:f>'Research &amp; Analysis'!C28</x:f>
        <x:v>Phase 2</x:v>
      </x:c>
      <x:c r="D756" s="2" t="str">
        <x:f>'Research &amp; Analysis'!D28</x:f>
        <x:v>Auto</x:v>
      </x:c>
      <x:c r="E756" s="2" t="str">
        <x:v>Research &amp; Analysis</x:v>
      </x:c>
      <x:c r="F756" s="56" t="str">
        <x:f>'Research &amp; Analysis'!E28</x:f>
        <x:v>RA.AU.2.10</x:v>
      </x:c>
      <x:c r="G756" s="14" t="str">
        <x:f>'Research &amp; Analysis'!F28</x:f>
        <x:v>Identify and confirm root cause</x:v>
      </x:c>
      <x:c r="H756" s="2" t="str">
        <x:f>IF('Research &amp; Analysis'!G28="","",'Research &amp; Analysis'!G28)</x:f>
      </x:c>
      <x:c r="I756" s="12" t="str">
        <x:f>IF('Research &amp; Analysis'!H28="","",'Research &amp; Analysis'!H28)</x:f>
      </x:c>
      <x:c r="J756" s="12" t="n">
        <x:f>IF('Research &amp; Analysis'!I28="","",'Research &amp; Analysis'!I28)</x:f>
        <x:v>46112</x:v>
      </x:c>
      <x:c r="K756" s="12" t="str">
        <x:f>IF('Research &amp; Analysis'!J28="","",'Research &amp; Analysis'!J28)</x:f>
      </x:c>
      <x:c r="L756" s="2" t="str">
        <x:f>IF('Research &amp; Analysis'!K28="","",'Research &amp; Analysis'!K28)</x:f>
      </x:c>
      <x:c r="M756" s="2" t="n">
        <x:f>'Research &amp; Analysis'!Q28</x:f>
        <x:v>1</x:v>
      </x:c>
      <x:c r="N756" s="2" t="str">
        <x:f>'Research &amp; Analysis'!L28</x:f>
        <x:v>Not started</x:v>
      </x:c>
      <x:c r="O756" s="2" t="str">
        <x:f>'Research &amp; Analysis'!N28</x:f>
        <x:v>RA.AU.2.10.2026.CY1</x:v>
      </x:c>
      <x:c r="P756" s="2" t="n">
        <x:f>'Research &amp; Analysis'!O28</x:f>
        <x:v>0</x:v>
      </x:c>
      <x:c r="Q756" s="2" t="n">
        <x:f>SUBTOTAL(103,O756)</x:f>
        <x:v>1</x:v>
      </x:c>
      <x:c r="R756" s="2" t="n">
        <x:f>IF(AND(M756=1,OR(Dashboard!$B$7="All",Dashboard!$B$7='Cycles &amp; Guide'!$C$5),OR(Dashboard!$D$7="All",Dashboard!$D$7=B756),OR(Dashboard!$F$7="All",Dashboard!$F$7=C756),OR(Dashboard!$H$7="All",Dashboard!$H$7=D756),OR(Dashboard!$K$7="All",Dashboard!$K$7=E756)),1,0)</x:f>
        <x:v>1</x:v>
      </x:c>
      <x:c r="S756" s="2" t="n">
        <x:f>IF(R756=1,SUM($R$10:R756),0)</x:f>
        <x:v>383</x:v>
      </x:c>
      <x:c r="T756" s="2" t="str">
        <x:v>Research &amp; Analysis</x:v>
      </x:c>
      <x:c r="U756" s="2" t="n">
        <x:v>28</x:v>
      </x:c>
      <x:c r="V756" s="2" t="n">
        <x:f>IF(AND(M756=1,P756=0,ISNUMBER(J756),J756&lt;TODAY()),1,0)</x:f>
        <x:v>1</x:v>
      </x:c>
      <x:c r="W756" s="2" t="str">
        <x:f>'Research &amp; Analysis'!M28</x:f>
        <x:v>Task</x:v>
      </x:c>
    </x:row>
    <x:row r="757" ht="40" customHeight="1">
      <x:c r="A757" s="3" t="str">
        <x:f>HYPERLINK("#'Research &amp; Analysis'!A29","Open")</x:f>
        <x:v>Open</x:v>
      </x:c>
      <x:c r="B757" s="2" t="str">
        <x:f>'Research &amp; Analysis'!B29</x:f>
        <x:v>Cycle 1</x:v>
      </x:c>
      <x:c r="C757" s="2" t="str">
        <x:f>'Research &amp; Analysis'!C29</x:f>
        <x:v>Phase 3</x:v>
      </x:c>
      <x:c r="D757" s="2" t="str">
        <x:f>'Research &amp; Analysis'!D29</x:f>
        <x:v>Auto</x:v>
      </x:c>
      <x:c r="E757" s="2" t="str">
        <x:v>Research &amp; Analysis</x:v>
      </x:c>
      <x:c r="F757" s="56" t="str">
        <x:f>'Research &amp; Analysis'!E29</x:f>
        <x:v>RA.AU.3.1</x:v>
      </x:c>
      <x:c r="G757" s="14" t="str">
        <x:f>'Research &amp; Analysis'!F29</x:f>
        <x:v>Finalize results and supporting documentation</x:v>
      </x:c>
      <x:c r="H757" s="2" t="str">
        <x:f>IF('Research &amp; Analysis'!G29="","",'Research &amp; Analysis'!G29)</x:f>
      </x:c>
      <x:c r="I757" s="12" t="str">
        <x:f>IF('Research &amp; Analysis'!H29="","",'Research &amp; Analysis'!H29)</x:f>
      </x:c>
      <x:c r="J757" s="12" t="n">
        <x:f>IF('Research &amp; Analysis'!I29="","",'Research &amp; Analysis'!I29)</x:f>
        <x:v>46112</x:v>
      </x:c>
      <x:c r="K757" s="12" t="str">
        <x:f>IF('Research &amp; Analysis'!J29="","",'Research &amp; Analysis'!J29)</x:f>
      </x:c>
      <x:c r="L757" s="2" t="str">
        <x:f>IF('Research &amp; Analysis'!K29="","",'Research &amp; Analysis'!K29)</x:f>
      </x:c>
      <x:c r="M757" s="2" t="n">
        <x:f>'Research &amp; Analysis'!Q29</x:f>
        <x:v>1</x:v>
      </x:c>
      <x:c r="N757" s="2" t="str">
        <x:f>'Research &amp; Analysis'!L29</x:f>
        <x:v>Not started</x:v>
      </x:c>
      <x:c r="O757" s="2" t="str">
        <x:f>'Research &amp; Analysis'!N29</x:f>
        <x:v>RA.AU.3.1.2026.CY1</x:v>
      </x:c>
      <x:c r="P757" s="2" t="n">
        <x:f>'Research &amp; Analysis'!O29</x:f>
        <x:v>0</x:v>
      </x:c>
      <x:c r="Q757" s="2" t="n">
        <x:f>SUBTOTAL(103,O757)</x:f>
        <x:v>1</x:v>
      </x:c>
      <x:c r="R757" s="2" t="n">
        <x:f>IF(AND(M757=1,OR(Dashboard!$B$7="All",Dashboard!$B$7='Cycles &amp; Guide'!$C$5),OR(Dashboard!$D$7="All",Dashboard!$D$7=B757),OR(Dashboard!$F$7="All",Dashboard!$F$7=C757),OR(Dashboard!$H$7="All",Dashboard!$H$7=D757),OR(Dashboard!$K$7="All",Dashboard!$K$7=E757)),1,0)</x:f>
        <x:v>1</x:v>
      </x:c>
      <x:c r="S757" s="2" t="n">
        <x:f>IF(R757=1,SUM($R$10:R757),0)</x:f>
        <x:v>384</x:v>
      </x:c>
      <x:c r="T757" s="2" t="str">
        <x:v>Research &amp; Analysis</x:v>
      </x:c>
      <x:c r="U757" s="2" t="n">
        <x:v>29</x:v>
      </x:c>
      <x:c r="V757" s="2" t="n">
        <x:f>IF(AND(M757=1,P757=0,ISNUMBER(J757),J757&lt;TODAY()),1,0)</x:f>
        <x:v>1</x:v>
      </x:c>
      <x:c r="W757" s="2" t="str">
        <x:f>'Research &amp; Analysis'!M29</x:f>
        <x:v>Task</x:v>
      </x:c>
    </x:row>
    <x:row r="758" ht="40" customHeight="1">
      <x:c r="A758" s="3" t="str">
        <x:f>HYPERLINK("#'Research &amp; Analysis'!A30","Open")</x:f>
        <x:v>Open</x:v>
      </x:c>
      <x:c r="B758" s="2" t="str">
        <x:f>'Research &amp; Analysis'!B30</x:f>
        <x:v>Cycle 1</x:v>
      </x:c>
      <x:c r="C758" s="2" t="str">
        <x:f>'Research &amp; Analysis'!C30</x:f>
        <x:v>Phase 3</x:v>
      </x:c>
      <x:c r="D758" s="2" t="str">
        <x:f>'Research &amp; Analysis'!D30</x:f>
        <x:v>Auto</x:v>
      </x:c>
      <x:c r="E758" s="2" t="str">
        <x:v>Research &amp; Analysis</x:v>
      </x:c>
      <x:c r="F758" s="56" t="str">
        <x:f>'Research &amp; Analysis'!E30</x:f>
        <x:v>RA.AU.3.2</x:v>
      </x:c>
      <x:c r="G758" s="14" t="str">
        <x:f>'Research &amp; Analysis'!F30</x:f>
        <x:v>Maintain and update the evidence package prior to handoff to D&amp;I</x:v>
      </x:c>
      <x:c r="H758" s="2" t="str">
        <x:f>IF('Research &amp; Analysis'!G30="","",'Research &amp; Analysis'!G30)</x:f>
      </x:c>
      <x:c r="I758" s="12" t="str">
        <x:f>IF('Research &amp; Analysis'!H30="","",'Research &amp; Analysis'!H30)</x:f>
      </x:c>
      <x:c r="J758" s="12" t="n">
        <x:f>IF('Research &amp; Analysis'!I30="","",'Research &amp; Analysis'!I30)</x:f>
        <x:v>46112</x:v>
      </x:c>
      <x:c r="K758" s="12" t="str">
        <x:f>IF('Research &amp; Analysis'!J30="","",'Research &amp; Analysis'!J30)</x:f>
      </x:c>
      <x:c r="L758" s="2" t="str">
        <x:f>IF('Research &amp; Analysis'!K30="","",'Research &amp; Analysis'!K30)</x:f>
      </x:c>
      <x:c r="M758" s="2" t="n">
        <x:f>'Research &amp; Analysis'!Q30</x:f>
        <x:v>1</x:v>
      </x:c>
      <x:c r="N758" s="2" t="str">
        <x:f>'Research &amp; Analysis'!L30</x:f>
        <x:v>Not started</x:v>
      </x:c>
      <x:c r="O758" s="2" t="str">
        <x:f>'Research &amp; Analysis'!N30</x:f>
        <x:v>RA.AU.3.2.2026.CY1</x:v>
      </x:c>
      <x:c r="P758" s="2" t="n">
        <x:f>'Research &amp; Analysis'!O30</x:f>
        <x:v>0</x:v>
      </x:c>
      <x:c r="Q758" s="2" t="n">
        <x:f>SUBTOTAL(103,O758)</x:f>
        <x:v>1</x:v>
      </x:c>
      <x:c r="R758" s="2" t="n">
        <x:f>IF(AND(M758=1,OR(Dashboard!$B$7="All",Dashboard!$B$7='Cycles &amp; Guide'!$C$5),OR(Dashboard!$D$7="All",Dashboard!$D$7=B758),OR(Dashboard!$F$7="All",Dashboard!$F$7=C758),OR(Dashboard!$H$7="All",Dashboard!$H$7=D758),OR(Dashboard!$K$7="All",Dashboard!$K$7=E758)),1,0)</x:f>
        <x:v>1</x:v>
      </x:c>
      <x:c r="S758" s="2" t="n">
        <x:f>IF(R758=1,SUM($R$10:R758),0)</x:f>
        <x:v>385</x:v>
      </x:c>
      <x:c r="T758" s="2" t="str">
        <x:v>Research &amp; Analysis</x:v>
      </x:c>
      <x:c r="U758" s="2" t="n">
        <x:v>30</x:v>
      </x:c>
      <x:c r="V758" s="2" t="n">
        <x:f>IF(AND(M758=1,P758=0,ISNUMBER(J758),J758&lt;TODAY()),1,0)</x:f>
        <x:v>1</x:v>
      </x:c>
      <x:c r="W758" s="2" t="str">
        <x:f>'Research &amp; Analysis'!M30</x:f>
        <x:v>Task</x:v>
      </x:c>
    </x:row>
    <x:row r="759" ht="40" customHeight="1">
      <x:c r="A759" s="3" t="str">
        <x:f>HYPERLINK("#'Research &amp; Analysis'!A31","Open")</x:f>
        <x:v>Open</x:v>
      </x:c>
      <x:c r="B759" s="2" t="str">
        <x:f>'Research &amp; Analysis'!B31</x:f>
        <x:v>Cycle 1</x:v>
      </x:c>
      <x:c r="C759" s="2" t="str">
        <x:f>'Research &amp; Analysis'!C31</x:f>
        <x:v>Phase 3</x:v>
      </x:c>
      <x:c r="D759" s="2" t="str">
        <x:f>'Research &amp; Analysis'!D31</x:f>
        <x:v>Auto</x:v>
      </x:c>
      <x:c r="E759" s="2" t="str">
        <x:v>Research &amp; Analysis</x:v>
      </x:c>
      <x:c r="F759" s="56" t="str">
        <x:f>'Research &amp; Analysis'!E31</x:f>
        <x:v>RA.AU.3.3</x:v>
      </x:c>
      <x:c r="G759" s="14" t="str">
        <x:f>'Research &amp; Analysis'!F31</x:f>
        <x:v>Address any outstanding questions or requests from D&amp;I</x:v>
      </x:c>
      <x:c r="H759" s="2" t="str">
        <x:f>IF('Research &amp; Analysis'!G31="","",'Research &amp; Analysis'!G31)</x:f>
      </x:c>
      <x:c r="I759" s="12" t="str">
        <x:f>IF('Research &amp; Analysis'!H31="","",'Research &amp; Analysis'!H31)</x:f>
      </x:c>
      <x:c r="J759" s="12" t="n">
        <x:f>IF('Research &amp; Analysis'!I31="","",'Research &amp; Analysis'!I31)</x:f>
        <x:v>46112</x:v>
      </x:c>
      <x:c r="K759" s="12" t="str">
        <x:f>IF('Research &amp; Analysis'!J31="","",'Research &amp; Analysis'!J31)</x:f>
      </x:c>
      <x:c r="L759" s="2" t="str">
        <x:f>IF('Research &amp; Analysis'!K31="","",'Research &amp; Analysis'!K31)</x:f>
      </x:c>
      <x:c r="M759" s="2" t="n">
        <x:f>'Research &amp; Analysis'!Q31</x:f>
        <x:v>1</x:v>
      </x:c>
      <x:c r="N759" s="2" t="str">
        <x:f>'Research &amp; Analysis'!L31</x:f>
        <x:v>Not started</x:v>
      </x:c>
      <x:c r="O759" s="2" t="str">
        <x:f>'Research &amp; Analysis'!N31</x:f>
        <x:v>RA.AU.3.3.2026.CY1</x:v>
      </x:c>
      <x:c r="P759" s="2" t="n">
        <x:f>'Research &amp; Analysis'!O31</x:f>
        <x:v>0</x:v>
      </x:c>
      <x:c r="Q759" s="2" t="n">
        <x:f>SUBTOTAL(103,O759)</x:f>
        <x:v>1</x:v>
      </x:c>
      <x:c r="R759" s="2" t="n">
        <x:f>IF(AND(M759=1,OR(Dashboard!$B$7="All",Dashboard!$B$7='Cycles &amp; Guide'!$C$5),OR(Dashboard!$D$7="All",Dashboard!$D$7=B759),OR(Dashboard!$F$7="All",Dashboard!$F$7=C759),OR(Dashboard!$H$7="All",Dashboard!$H$7=D759),OR(Dashboard!$K$7="All",Dashboard!$K$7=E759)),1,0)</x:f>
        <x:v>1</x:v>
      </x:c>
      <x:c r="S759" s="2" t="n">
        <x:f>IF(R759=1,SUM($R$10:R759),0)</x:f>
        <x:v>386</x:v>
      </x:c>
      <x:c r="T759" s="2" t="str">
        <x:v>Research &amp; Analysis</x:v>
      </x:c>
      <x:c r="U759" s="2" t="n">
        <x:v>31</x:v>
      </x:c>
      <x:c r="V759" s="2" t="n">
        <x:f>IF(AND(M759=1,P759=0,ISNUMBER(J759),J759&lt;TODAY()),1,0)</x:f>
        <x:v>1</x:v>
      </x:c>
      <x:c r="W759" s="2" t="str">
        <x:f>'Research &amp; Analysis'!M31</x:f>
        <x:v>Task</x:v>
      </x:c>
    </x:row>
    <x:row r="760" ht="40" customHeight="1">
      <x:c r="A760" s="3" t="str">
        <x:f>HYPERLINK("#'Research &amp; Analysis'!A32","Open")</x:f>
        <x:v>Open</x:v>
      </x:c>
      <x:c r="B760" s="2" t="str">
        <x:f>'Research &amp; Analysis'!B32</x:f>
        <x:v>Cycle 1</x:v>
      </x:c>
      <x:c r="C760" s="2" t="str">
        <x:f>'Research &amp; Analysis'!C32</x:f>
        <x:v>Phase 3</x:v>
      </x:c>
      <x:c r="D760" s="2" t="str">
        <x:f>'Research &amp; Analysis'!D32</x:f>
        <x:v>Auto</x:v>
      </x:c>
      <x:c r="E760" s="2" t="str">
        <x:v>Research &amp; Analysis</x:v>
      </x:c>
      <x:c r="F760" s="56" t="str">
        <x:f>'Research &amp; Analysis'!E32</x:f>
        <x:v>RA.AU.3.4</x:v>
      </x:c>
      <x:c r="G760" s="14" t="str">
        <x:f>'Research &amp; Analysis'!F32</x:f>
        <x:v>Attend Forum meeting with D&amp;I to assist with answering stakeholder questions (as needed)</x:v>
      </x:c>
      <x:c r="H760" s="2" t="str">
        <x:f>IF('Research &amp; Analysis'!G32="","",'Research &amp; Analysis'!G32)</x:f>
      </x:c>
      <x:c r="I760" s="12" t="str">
        <x:f>IF('Research &amp; Analysis'!H32="","",'Research &amp; Analysis'!H32)</x:f>
      </x:c>
      <x:c r="J760" s="12" t="str">
        <x:f>IF('Research &amp; Analysis'!I32="","",'Research &amp; Analysis'!I32)</x:f>
      </x:c>
      <x:c r="K760" s="12" t="str">
        <x:f>IF('Research &amp; Analysis'!J32="","",'Research &amp; Analysis'!J32)</x:f>
      </x:c>
      <x:c r="L760" s="2" t="str">
        <x:f>IF('Research &amp; Analysis'!K32="","",'Research &amp; Analysis'!K32)</x:f>
      </x:c>
      <x:c r="M760" s="2" t="n">
        <x:f>'Research &amp; Analysis'!Q32</x:f>
        <x:v>1</x:v>
      </x:c>
      <x:c r="N760" s="2" t="str">
        <x:f>'Research &amp; Analysis'!L32</x:f>
        <x:v>Not started</x:v>
      </x:c>
      <x:c r="O760" s="2" t="str">
        <x:f>'Research &amp; Analysis'!N32</x:f>
        <x:v>RA.AU.3.4.2026.CY1</x:v>
      </x:c>
      <x:c r="P760" s="2" t="n">
        <x:f>'Research &amp; Analysis'!O32</x:f>
        <x:v>0</x:v>
      </x:c>
      <x:c r="Q760" s="2" t="n">
        <x:f>SUBTOTAL(103,O760)</x:f>
        <x:v>1</x:v>
      </x:c>
      <x:c r="R760" s="2" t="n">
        <x:f>IF(AND(M760=1,OR(Dashboard!$B$7="All",Dashboard!$B$7='Cycles &amp; Guide'!$C$5),OR(Dashboard!$D$7="All",Dashboard!$D$7=B760),OR(Dashboard!$F$7="All",Dashboard!$F$7=C760),OR(Dashboard!$H$7="All",Dashboard!$H$7=D760),OR(Dashboard!$K$7="All",Dashboard!$K$7=E760)),1,0)</x:f>
        <x:v>1</x:v>
      </x:c>
      <x:c r="S760" s="2" t="n">
        <x:f>IF(R760=1,SUM($R$10:R760),0)</x:f>
        <x:v>387</x:v>
      </x:c>
      <x:c r="T760" s="2" t="str">
        <x:v>Research &amp; Analysis</x:v>
      </x:c>
      <x:c r="U760" s="2" t="n">
        <x:v>32</x:v>
      </x:c>
      <x:c r="V760" s="2" t="n">
        <x:f>IF(AND(M760=1,P760=0,ISNUMBER(J760),J760&lt;TODAY()),1,0)</x:f>
        <x:v>0</x:v>
      </x:c>
      <x:c r="W760" s="2" t="str">
        <x:f>'Research &amp; Analysis'!M32</x:f>
        <x:v>Task</x:v>
      </x:c>
    </x:row>
    <x:row r="761" ht="40" customHeight="1">
      <x:c r="A761" s="3" t="str">
        <x:f>HYPERLINK("#'Research &amp; Analysis'!A33","Open")</x:f>
        <x:v>Open</x:v>
      </x:c>
      <x:c r="B761" s="2" t="str">
        <x:f>'Research &amp; Analysis'!B33</x:f>
        <x:v>Cycle 1</x:v>
      </x:c>
      <x:c r="C761" s="2" t="str">
        <x:f>'Research &amp; Analysis'!C33</x:f>
        <x:v>Phase 1</x:v>
      </x:c>
      <x:c r="D761" s="2" t="str">
        <x:f>'Research &amp; Analysis'!D33</x:f>
        <x:v>Cards</x:v>
      </x:c>
      <x:c r="E761" s="2" t="str">
        <x:v>Research &amp; Analysis</x:v>
      </x:c>
      <x:c r="F761" s="56" t="str">
        <x:f>'Research &amp; Analysis'!E33</x:f>
        <x:v>RA.CA.1.1</x:v>
      </x:c>
      <x:c r="G761" s="14" t="str">
        <x:f>'Research &amp; Analysis'!F33</x:f>
        <x:v>Begin Research process 2 weeks prior to Cycle start</x:v>
      </x:c>
      <x:c r="H761" s="2" t="str">
        <x:f>IF('Research &amp; Analysis'!G33="","",'Research &amp; Analysis'!G33)</x:f>
      </x:c>
      <x:c r="I761" s="12" t="str">
        <x:f>IF('Research &amp; Analysis'!H33="","",'Research &amp; Analysis'!H33)</x:f>
      </x:c>
      <x:c r="J761" s="12" t="n">
        <x:f>IF('Research &amp; Analysis'!I33="","",'Research &amp; Analysis'!I33)</x:f>
        <x:v>46009</x:v>
      </x:c>
      <x:c r="K761" s="12" t="str">
        <x:f>IF('Research &amp; Analysis'!J33="","",'Research &amp; Analysis'!J33)</x:f>
      </x:c>
      <x:c r="L761" s="2" t="str">
        <x:f>IF('Research &amp; Analysis'!K33="","",'Research &amp; Analysis'!K33)</x:f>
      </x:c>
      <x:c r="M761" s="2" t="n">
        <x:f>'Research &amp; Analysis'!Q33</x:f>
        <x:v>1</x:v>
      </x:c>
      <x:c r="N761" s="2" t="str">
        <x:f>'Research &amp; Analysis'!L33</x:f>
        <x:v>Not started</x:v>
      </x:c>
      <x:c r="O761" s="2" t="str">
        <x:f>'Research &amp; Analysis'!N33</x:f>
        <x:v>RA.CA.1.1.2026.CY1</x:v>
      </x:c>
      <x:c r="P761" s="2" t="n">
        <x:f>'Research &amp; Analysis'!O33</x:f>
        <x:v>0</x:v>
      </x:c>
      <x:c r="Q761" s="2" t="n">
        <x:f>SUBTOTAL(103,O761)</x:f>
        <x:v>1</x:v>
      </x:c>
      <x:c r="R761" s="2" t="n">
        <x:f>IF(AND(M761=1,OR(Dashboard!$B$7="All",Dashboard!$B$7='Cycles &amp; Guide'!$C$5),OR(Dashboard!$D$7="All",Dashboard!$D$7=B761),OR(Dashboard!$F$7="All",Dashboard!$F$7=C761),OR(Dashboard!$H$7="All",Dashboard!$H$7=D761),OR(Dashboard!$K$7="All",Dashboard!$K$7=E761)),1,0)</x:f>
        <x:v>1</x:v>
      </x:c>
      <x:c r="S761" s="2" t="n">
        <x:f>IF(R761=1,SUM($R$10:R761),0)</x:f>
        <x:v>388</x:v>
      </x:c>
      <x:c r="T761" s="2" t="str">
        <x:v>Research &amp; Analysis</x:v>
      </x:c>
      <x:c r="U761" s="2" t="n">
        <x:v>33</x:v>
      </x:c>
      <x:c r="V761" s="2" t="n">
        <x:f>IF(AND(M761=1,P761=0,ISNUMBER(J761),J761&lt;TODAY()),1,0)</x:f>
        <x:v>1</x:v>
      </x:c>
      <x:c r="W761" s="2" t="str">
        <x:f>'Research &amp; Analysis'!M33</x:f>
        <x:v>Task</x:v>
      </x:c>
    </x:row>
    <x:row r="762" ht="40" customHeight="1">
      <x:c r="A762" s="3" t="str">
        <x:f>HYPERLINK("#'Research &amp; Analysis'!A34","Open")</x:f>
        <x:v>Open</x:v>
      </x:c>
      <x:c r="B762" s="2" t="str">
        <x:f>'Research &amp; Analysis'!B34</x:f>
        <x:v>Cycle 1</x:v>
      </x:c>
      <x:c r="C762" s="2" t="str">
        <x:f>'Research &amp; Analysis'!C34</x:f>
        <x:v>Phase 1</x:v>
      </x:c>
      <x:c r="D762" s="2" t="str">
        <x:f>'Research &amp; Analysis'!D34</x:f>
        <x:v>Cards</x:v>
      </x:c>
      <x:c r="E762" s="2" t="str">
        <x:v>Research &amp; Analysis</x:v>
      </x:c>
      <x:c r="F762" s="56" t="str">
        <x:f>'Research &amp; Analysis'!E34</x:f>
        <x:v>RA.CA.1.2</x:v>
      </x:c>
      <x:c r="G762" s="14" t="str">
        <x:f>'Research &amp; Analysis'!F34</x:f>
        <x:v>Conduct initial assessment of each topic recommendation from SharePoint list</x:v>
      </x:c>
      <x:c r="H762" s="2" t="str">
        <x:f>IF('Research &amp; Analysis'!G34="","",'Research &amp; Analysis'!G34)</x:f>
      </x:c>
      <x:c r="I762" s="12" t="str">
        <x:f>IF('Research &amp; Analysis'!H34="","",'Research &amp; Analysis'!H34)</x:f>
      </x:c>
      <x:c r="J762" s="12" t="n">
        <x:f>IF('Research &amp; Analysis'!I34="","",'Research &amp; Analysis'!I34)</x:f>
        <x:v>46112</x:v>
      </x:c>
      <x:c r="K762" s="12" t="str">
        <x:f>IF('Research &amp; Analysis'!J34="","",'Research &amp; Analysis'!J34)</x:f>
      </x:c>
      <x:c r="L762" s="2" t="str">
        <x:f>IF('Research &amp; Analysis'!K34="","",'Research &amp; Analysis'!K34)</x:f>
      </x:c>
      <x:c r="M762" s="2" t="n">
        <x:f>'Research &amp; Analysis'!Q34</x:f>
        <x:v>1</x:v>
      </x:c>
      <x:c r="N762" s="2" t="str">
        <x:f>'Research &amp; Analysis'!L34</x:f>
        <x:v>Not started</x:v>
      </x:c>
      <x:c r="O762" s="2" t="str">
        <x:f>'Research &amp; Analysis'!N34</x:f>
        <x:v>RA.CA.1.2.2026.CY1</x:v>
      </x:c>
      <x:c r="P762" s="2" t="n">
        <x:f>'Research &amp; Analysis'!O34</x:f>
        <x:v>0</x:v>
      </x:c>
      <x:c r="Q762" s="2" t="n">
        <x:f>SUBTOTAL(103,O762)</x:f>
        <x:v>1</x:v>
      </x:c>
      <x:c r="R762" s="2" t="n">
        <x:f>IF(AND(M762=1,OR(Dashboard!$B$7="All",Dashboard!$B$7='Cycles &amp; Guide'!$C$5),OR(Dashboard!$D$7="All",Dashboard!$D$7=B762),OR(Dashboard!$F$7="All",Dashboard!$F$7=C762),OR(Dashboard!$H$7="All",Dashboard!$H$7=D762),OR(Dashboard!$K$7="All",Dashboard!$K$7=E762)),1,0)</x:f>
        <x:v>1</x:v>
      </x:c>
      <x:c r="S762" s="2" t="n">
        <x:f>IF(R762=1,SUM($R$10:R762),0)</x:f>
        <x:v>389</x:v>
      </x:c>
      <x:c r="T762" s="2" t="str">
        <x:v>Research &amp; Analysis</x:v>
      </x:c>
      <x:c r="U762" s="2" t="n">
        <x:v>34</x:v>
      </x:c>
      <x:c r="V762" s="2" t="n">
        <x:f>IF(AND(M762=1,P762=0,ISNUMBER(J762),J762&lt;TODAY()),1,0)</x:f>
        <x:v>1</x:v>
      </x:c>
      <x:c r="W762" s="2" t="str">
        <x:f>'Research &amp; Analysis'!M34</x:f>
        <x:v>Task</x:v>
      </x:c>
    </x:row>
    <x:row r="763" ht="40" customHeight="1">
      <x:c r="A763" s="3" t="str">
        <x:f>HYPERLINK("#'Research &amp; Analysis'!A35","Open")</x:f>
        <x:v>Open</x:v>
      </x:c>
      <x:c r="B763" s="2" t="str">
        <x:f>'Research &amp; Analysis'!B35</x:f>
        <x:v>Cycle 1</x:v>
      </x:c>
      <x:c r="C763" s="2" t="str">
        <x:f>'Research &amp; Analysis'!C35</x:f>
        <x:v>Phase 1</x:v>
      </x:c>
      <x:c r="D763" s="2" t="str">
        <x:f>'Research &amp; Analysis'!D35</x:f>
        <x:v>Cards</x:v>
      </x:c>
      <x:c r="E763" s="2" t="str">
        <x:v>Research &amp; Analysis</x:v>
      </x:c>
      <x:c r="F763" s="56" t="str">
        <x:f>'Research &amp; Analysis'!E35</x:f>
        <x:v>RA.CA.1.3</x:v>
      </x:c>
      <x:c r="G763" s="14" t="str">
        <x:f>'Research &amp; Analysis'!F35</x:f>
        <x:v>Identify best topic for Cycle</x:v>
      </x:c>
      <x:c r="H763" s="2" t="str">
        <x:f>IF('Research &amp; Analysis'!G35="","",'Research &amp; Analysis'!G35)</x:f>
      </x:c>
      <x:c r="I763" s="12" t="str">
        <x:f>IF('Research &amp; Analysis'!H35="","",'Research &amp; Analysis'!H35)</x:f>
      </x:c>
      <x:c r="J763" s="12" t="n">
        <x:f>IF('Research &amp; Analysis'!I35="","",'Research &amp; Analysis'!I35)</x:f>
        <x:v>46112</x:v>
      </x:c>
      <x:c r="K763" s="12" t="str">
        <x:f>IF('Research &amp; Analysis'!J35="","",'Research &amp; Analysis'!J35)</x:f>
      </x:c>
      <x:c r="L763" s="2" t="str">
        <x:f>IF('Research &amp; Analysis'!K35="","",'Research &amp; Analysis'!K35)</x:f>
      </x:c>
      <x:c r="M763" s="2" t="n">
        <x:f>'Research &amp; Analysis'!Q35</x:f>
        <x:v>1</x:v>
      </x:c>
      <x:c r="N763" s="2" t="str">
        <x:f>'Research &amp; Analysis'!L35</x:f>
        <x:v>Not started</x:v>
      </x:c>
      <x:c r="O763" s="2" t="str">
        <x:f>'Research &amp; Analysis'!N35</x:f>
        <x:v>RA.CA.1.3.2026.CY1</x:v>
      </x:c>
      <x:c r="P763" s="2" t="n">
        <x:f>'Research &amp; Analysis'!O35</x:f>
        <x:v>0</x:v>
      </x:c>
      <x:c r="Q763" s="2" t="n">
        <x:f>SUBTOTAL(103,O763)</x:f>
        <x:v>1</x:v>
      </x:c>
      <x:c r="R763" s="2" t="n">
        <x:f>IF(AND(M763=1,OR(Dashboard!$B$7="All",Dashboard!$B$7='Cycles &amp; Guide'!$C$5),OR(Dashboard!$D$7="All",Dashboard!$D$7=B763),OR(Dashboard!$F$7="All",Dashboard!$F$7=C763),OR(Dashboard!$H$7="All",Dashboard!$H$7=D763),OR(Dashboard!$K$7="All",Dashboard!$K$7=E763)),1,0)</x:f>
        <x:v>1</x:v>
      </x:c>
      <x:c r="S763" s="2" t="n">
        <x:f>IF(R763=1,SUM($R$10:R763),0)</x:f>
        <x:v>390</x:v>
      </x:c>
      <x:c r="T763" s="2" t="str">
        <x:v>Research &amp; Analysis</x:v>
      </x:c>
      <x:c r="U763" s="2" t="n">
        <x:v>35</x:v>
      </x:c>
      <x:c r="V763" s="2" t="n">
        <x:f>IF(AND(M763=1,P763=0,ISNUMBER(J763),J763&lt;TODAY()),1,0)</x:f>
        <x:v>1</x:v>
      </x:c>
      <x:c r="W763" s="2" t="str">
        <x:f>'Research &amp; Analysis'!M35</x:f>
        <x:v>Task</x:v>
      </x:c>
    </x:row>
    <x:row r="764" ht="40" customHeight="1">
      <x:c r="A764" s="3" t="str">
        <x:f>HYPERLINK("#'Research &amp; Analysis'!A36","Open")</x:f>
        <x:v>Open</x:v>
      </x:c>
      <x:c r="B764" s="2" t="str">
        <x:f>'Research &amp; Analysis'!B36</x:f>
        <x:v>Cycle 1</x:v>
      </x:c>
      <x:c r="C764" s="2" t="str">
        <x:f>'Research &amp; Analysis'!C36</x:f>
        <x:v>Phase 1</x:v>
      </x:c>
      <x:c r="D764" s="2" t="str">
        <x:f>'Research &amp; Analysis'!D36</x:f>
        <x:v>Cards</x:v>
      </x:c>
      <x:c r="E764" s="2" t="str">
        <x:v>Research &amp; Analysis</x:v>
      </x:c>
      <x:c r="F764" s="56" t="str">
        <x:f>'Research &amp; Analysis'!E36</x:f>
        <x:v>RA.CA.1.4</x:v>
      </x:c>
      <x:c r="G764" s="14" t="str">
        <x:f>'Research &amp; Analysis'!F36</x:f>
        <x:v>Identify backup topic for Cycle</x:v>
      </x:c>
      <x:c r="H764" s="2" t="str">
        <x:f>IF('Research &amp; Analysis'!G36="","",'Research &amp; Analysis'!G36)</x:f>
      </x:c>
      <x:c r="I764" s="12" t="str">
        <x:f>IF('Research &amp; Analysis'!H36="","",'Research &amp; Analysis'!H36)</x:f>
      </x:c>
      <x:c r="J764" s="12" t="n">
        <x:f>IF('Research &amp; Analysis'!I36="","",'Research &amp; Analysis'!I36)</x:f>
        <x:v>46112</x:v>
      </x:c>
      <x:c r="K764" s="12" t="str">
        <x:f>IF('Research &amp; Analysis'!J36="","",'Research &amp; Analysis'!J36)</x:f>
      </x:c>
      <x:c r="L764" s="2" t="str">
        <x:f>IF('Research &amp; Analysis'!K36="","",'Research &amp; Analysis'!K36)</x:f>
      </x:c>
      <x:c r="M764" s="2" t="n">
        <x:f>'Research &amp; Analysis'!Q36</x:f>
        <x:v>1</x:v>
      </x:c>
      <x:c r="N764" s="2" t="str">
        <x:f>'Research &amp; Analysis'!L36</x:f>
        <x:v>Not started</x:v>
      </x:c>
      <x:c r="O764" s="2" t="str">
        <x:f>'Research &amp; Analysis'!N36</x:f>
        <x:v>RA.CA.1.4.2026.CY1</x:v>
      </x:c>
      <x:c r="P764" s="2" t="n">
        <x:f>'Research &amp; Analysis'!O36</x:f>
        <x:v>0</x:v>
      </x:c>
      <x:c r="Q764" s="2" t="n">
        <x:f>SUBTOTAL(103,O764)</x:f>
        <x:v>1</x:v>
      </x:c>
      <x:c r="R764" s="2" t="n">
        <x:f>IF(AND(M764=1,OR(Dashboard!$B$7="All",Dashboard!$B$7='Cycles &amp; Guide'!$C$5),OR(Dashboard!$D$7="All",Dashboard!$D$7=B764),OR(Dashboard!$F$7="All",Dashboard!$F$7=C764),OR(Dashboard!$H$7="All",Dashboard!$H$7=D764),OR(Dashboard!$K$7="All",Dashboard!$K$7=E764)),1,0)</x:f>
        <x:v>1</x:v>
      </x:c>
      <x:c r="S764" s="2" t="n">
        <x:f>IF(R764=1,SUM($R$10:R764),0)</x:f>
        <x:v>391</x:v>
      </x:c>
      <x:c r="T764" s="2" t="str">
        <x:v>Research &amp; Analysis</x:v>
      </x:c>
      <x:c r="U764" s="2" t="n">
        <x:v>36</x:v>
      </x:c>
      <x:c r="V764" s="2" t="n">
        <x:f>IF(AND(M764=1,P764=0,ISNUMBER(J764),J764&lt;TODAY()),1,0)</x:f>
        <x:v>1</x:v>
      </x:c>
      <x:c r="W764" s="2" t="str">
        <x:f>'Research &amp; Analysis'!M36</x:f>
        <x:v>Task</x:v>
      </x:c>
    </x:row>
    <x:row r="765" ht="40" customHeight="1">
      <x:c r="A765" s="3" t="str">
        <x:f>HYPERLINK("#'Research &amp; Analysis'!A37","Open")</x:f>
        <x:v>Open</x:v>
      </x:c>
      <x:c r="B765" s="2" t="str">
        <x:f>'Research &amp; Analysis'!B37</x:f>
        <x:v>Cycle 1</x:v>
      </x:c>
      <x:c r="C765" s="2" t="str">
        <x:f>'Research &amp; Analysis'!C37</x:f>
        <x:v>Phase 1</x:v>
      </x:c>
      <x:c r="D765" s="2" t="str">
        <x:f>'Research &amp; Analysis'!D37</x:f>
        <x:v>Cards</x:v>
      </x:c>
      <x:c r="E765" s="2" t="str">
        <x:v>Research &amp; Analysis</x:v>
      </x:c>
      <x:c r="F765" s="56" t="str">
        <x:f>'Research &amp; Analysis'!E37</x:f>
        <x:v>RA.CA.1.5</x:v>
      </x:c>
      <x:c r="G765" s="14" t="str">
        <x:f>'Research &amp; Analysis'!F37</x:f>
        <x:v>Schedule topic approval meeting with D&amp;I and management</x:v>
      </x:c>
      <x:c r="H765" s="2" t="str">
        <x:f>IF('Research &amp; Analysis'!G37="","",'Research &amp; Analysis'!G37)</x:f>
      </x:c>
      <x:c r="I765" s="12" t="str">
        <x:f>IF('Research &amp; Analysis'!H37="","",'Research &amp; Analysis'!H37)</x:f>
      </x:c>
      <x:c r="J765" s="12" t="n">
        <x:f>IF('Research &amp; Analysis'!I37="","",'Research &amp; Analysis'!I37)</x:f>
        <x:v>46112</x:v>
      </x:c>
      <x:c r="K765" s="12" t="str">
        <x:f>IF('Research &amp; Analysis'!J37="","",'Research &amp; Analysis'!J37)</x:f>
      </x:c>
      <x:c r="L765" s="2" t="str">
        <x:f>IF('Research &amp; Analysis'!K37="","",'Research &amp; Analysis'!K37)</x:f>
      </x:c>
      <x:c r="M765" s="2" t="n">
        <x:f>'Research &amp; Analysis'!Q37</x:f>
        <x:v>1</x:v>
      </x:c>
      <x:c r="N765" s="2" t="str">
        <x:f>'Research &amp; Analysis'!L37</x:f>
        <x:v>Not started</x:v>
      </x:c>
      <x:c r="O765" s="2" t="str">
        <x:f>'Research &amp; Analysis'!N37</x:f>
        <x:v>RA.CA.1.5.2026.CY1</x:v>
      </x:c>
      <x:c r="P765" s="2" t="n">
        <x:f>'Research &amp; Analysis'!O37</x:f>
        <x:v>0</x:v>
      </x:c>
      <x:c r="Q765" s="2" t="n">
        <x:f>SUBTOTAL(103,O765)</x:f>
        <x:v>1</x:v>
      </x:c>
      <x:c r="R765" s="2" t="n">
        <x:f>IF(AND(M765=1,OR(Dashboard!$B$7="All",Dashboard!$B$7='Cycles &amp; Guide'!$C$5),OR(Dashboard!$D$7="All",Dashboard!$D$7=B765),OR(Dashboard!$F$7="All",Dashboard!$F$7=C765),OR(Dashboard!$H$7="All",Dashboard!$H$7=D765),OR(Dashboard!$K$7="All",Dashboard!$K$7=E765)),1,0)</x:f>
        <x:v>1</x:v>
      </x:c>
      <x:c r="S765" s="2" t="n">
        <x:f>IF(R765=1,SUM($R$10:R765),0)</x:f>
        <x:v>392</x:v>
      </x:c>
      <x:c r="T765" s="2" t="str">
        <x:v>Research &amp; Analysis</x:v>
      </x:c>
      <x:c r="U765" s="2" t="n">
        <x:v>37</x:v>
      </x:c>
      <x:c r="V765" s="2" t="n">
        <x:f>IF(AND(M765=1,P765=0,ISNUMBER(J765),J765&lt;TODAY()),1,0)</x:f>
        <x:v>1</x:v>
      </x:c>
      <x:c r="W765" s="2" t="str">
        <x:f>'Research &amp; Analysis'!M37</x:f>
        <x:v>Task</x:v>
      </x:c>
    </x:row>
    <x:row r="766" ht="40" customHeight="1">
      <x:c r="A766" s="3" t="str">
        <x:f>HYPERLINK("#'Research &amp; Analysis'!A38","Open")</x:f>
        <x:v>Open</x:v>
      </x:c>
      <x:c r="B766" s="2" t="str">
        <x:f>'Research &amp; Analysis'!B38</x:f>
        <x:v>Cycle 1</x:v>
      </x:c>
      <x:c r="C766" s="2" t="str">
        <x:f>'Research &amp; Analysis'!C38</x:f>
        <x:v>Phase 1</x:v>
      </x:c>
      <x:c r="D766" s="2" t="str">
        <x:f>'Research &amp; Analysis'!D38</x:f>
        <x:v>Cards</x:v>
      </x:c>
      <x:c r="E766" s="2" t="str">
        <x:v>Research &amp; Analysis</x:v>
      </x:c>
      <x:c r="F766" s="56" t="str">
        <x:f>'Research &amp; Analysis'!E38</x:f>
        <x:v>RA.CA.1.6</x:v>
      </x:c>
      <x:c r="G766" s="14" t="str">
        <x:f>'Research &amp; Analysis'!F38</x:f>
        <x:v>Present recommended topic to D&amp;I and management for approval</x:v>
      </x:c>
      <x:c r="H766" s="2" t="str">
        <x:f>IF('Research &amp; Analysis'!G38="","",'Research &amp; Analysis'!G38)</x:f>
      </x:c>
      <x:c r="I766" s="12" t="str">
        <x:f>IF('Research &amp; Analysis'!H38="","",'Research &amp; Analysis'!H38)</x:f>
      </x:c>
      <x:c r="J766" s="12" t="n">
        <x:f>IF('Research &amp; Analysis'!I38="","",'Research &amp; Analysis'!I38)</x:f>
        <x:v>46112</x:v>
      </x:c>
      <x:c r="K766" s="12" t="str">
        <x:f>IF('Research &amp; Analysis'!J38="","",'Research &amp; Analysis'!J38)</x:f>
      </x:c>
      <x:c r="L766" s="2" t="str">
        <x:f>IF('Research &amp; Analysis'!K38="","",'Research &amp; Analysis'!K38)</x:f>
      </x:c>
      <x:c r="M766" s="2" t="n">
        <x:f>'Research &amp; Analysis'!Q38</x:f>
        <x:v>1</x:v>
      </x:c>
      <x:c r="N766" s="2" t="str">
        <x:f>'Research &amp; Analysis'!L38</x:f>
        <x:v>Not started</x:v>
      </x:c>
      <x:c r="O766" s="2" t="str">
        <x:f>'Research &amp; Analysis'!N38</x:f>
        <x:v>RA.CA.1.6.2026.CY1</x:v>
      </x:c>
      <x:c r="P766" s="2" t="n">
        <x:f>'Research &amp; Analysis'!O38</x:f>
        <x:v>0</x:v>
      </x:c>
      <x:c r="Q766" s="2" t="n">
        <x:f>SUBTOTAL(103,O766)</x:f>
        <x:v>1</x:v>
      </x:c>
      <x:c r="R766" s="2" t="n">
        <x:f>IF(AND(M766=1,OR(Dashboard!$B$7="All",Dashboard!$B$7='Cycles &amp; Guide'!$C$5),OR(Dashboard!$D$7="All",Dashboard!$D$7=B766),OR(Dashboard!$F$7="All",Dashboard!$F$7=C766),OR(Dashboard!$H$7="All",Dashboard!$H$7=D766),OR(Dashboard!$K$7="All",Dashboard!$K$7=E766)),1,0)</x:f>
        <x:v>1</x:v>
      </x:c>
      <x:c r="S766" s="2" t="n">
        <x:f>IF(R766=1,SUM($R$10:R766),0)</x:f>
        <x:v>393</x:v>
      </x:c>
      <x:c r="T766" s="2" t="str">
        <x:v>Research &amp; Analysis</x:v>
      </x:c>
      <x:c r="U766" s="2" t="n">
        <x:v>38</x:v>
      </x:c>
      <x:c r="V766" s="2" t="n">
        <x:f>IF(AND(M766=1,P766=0,ISNUMBER(J766),J766&lt;TODAY()),1,0)</x:f>
        <x:v>1</x:v>
      </x:c>
      <x:c r="W766" s="2" t="str">
        <x:f>'Research &amp; Analysis'!M38</x:f>
        <x:v>Task</x:v>
      </x:c>
    </x:row>
    <x:row r="767" ht="40" customHeight="1">
      <x:c r="A767" s="3" t="str">
        <x:f>HYPERLINK("#'Research &amp; Analysis'!A39","Open")</x:f>
        <x:v>Open</x:v>
      </x:c>
      <x:c r="B767" s="2" t="str">
        <x:f>'Research &amp; Analysis'!B39</x:f>
        <x:v>Cycle 1</x:v>
      </x:c>
      <x:c r="C767" s="2" t="str">
        <x:f>'Research &amp; Analysis'!C39</x:f>
        <x:v>Phase 1</x:v>
      </x:c>
      <x:c r="D767" s="2" t="str">
        <x:f>'Research &amp; Analysis'!D39</x:f>
        <x:v>Cards</x:v>
      </x:c>
      <x:c r="E767" s="2" t="str">
        <x:v>Research &amp; Analysis</x:v>
      </x:c>
      <x:c r="F767" s="56" t="str">
        <x:f>'Research &amp; Analysis'!E39</x:f>
        <x:v>RA.CA.1.7</x:v>
      </x:c>
      <x:c r="G767" s="14" t="str">
        <x:f>'Research &amp; Analysis'!F39</x:f>
        <x:v>Obtain formal topic selection approval from management via SharePoint</x:v>
      </x:c>
      <x:c r="H767" s="2" t="str">
        <x:f>IF('Research &amp; Analysis'!G39="","",'Research &amp; Analysis'!G39)</x:f>
      </x:c>
      <x:c r="I767" s="12" t="str">
        <x:f>IF('Research &amp; Analysis'!H39="","",'Research &amp; Analysis'!H39)</x:f>
      </x:c>
      <x:c r="J767" s="12" t="n">
        <x:f>IF('Research &amp; Analysis'!I39="","",'Research &amp; Analysis'!I39)</x:f>
        <x:v>46112</x:v>
      </x:c>
      <x:c r="K767" s="12" t="str">
        <x:f>IF('Research &amp; Analysis'!J39="","",'Research &amp; Analysis'!J39)</x:f>
      </x:c>
      <x:c r="L767" s="2" t="str">
        <x:f>IF('Research &amp; Analysis'!K39="","",'Research &amp; Analysis'!K39)</x:f>
      </x:c>
      <x:c r="M767" s="2" t="n">
        <x:f>'Research &amp; Analysis'!Q39</x:f>
        <x:v>1</x:v>
      </x:c>
      <x:c r="N767" s="2" t="str">
        <x:f>'Research &amp; Analysis'!L39</x:f>
        <x:v>Not started</x:v>
      </x:c>
      <x:c r="O767" s="2" t="str">
        <x:f>'Research &amp; Analysis'!N39</x:f>
        <x:v>RA.CA.1.7.2026.CY1</x:v>
      </x:c>
      <x:c r="P767" s="2" t="n">
        <x:f>'Research &amp; Analysis'!O39</x:f>
        <x:v>0</x:v>
      </x:c>
      <x:c r="Q767" s="2" t="n">
        <x:f>SUBTOTAL(103,O767)</x:f>
        <x:v>1</x:v>
      </x:c>
      <x:c r="R767" s="2" t="n">
        <x:f>IF(AND(M767=1,OR(Dashboard!$B$7="All",Dashboard!$B$7='Cycles &amp; Guide'!$C$5),OR(Dashboard!$D$7="All",Dashboard!$D$7=B767),OR(Dashboard!$F$7="All",Dashboard!$F$7=C767),OR(Dashboard!$H$7="All",Dashboard!$H$7=D767),OR(Dashboard!$K$7="All",Dashboard!$K$7=E767)),1,0)</x:f>
        <x:v>1</x:v>
      </x:c>
      <x:c r="S767" s="2" t="n">
        <x:f>IF(R767=1,SUM($R$10:R767),0)</x:f>
        <x:v>394</x:v>
      </x:c>
      <x:c r="T767" s="2" t="str">
        <x:v>Research &amp; Analysis</x:v>
      </x:c>
      <x:c r="U767" s="2" t="n">
        <x:v>39</x:v>
      </x:c>
      <x:c r="V767" s="2" t="n">
        <x:f>IF(AND(M767=1,P767=0,ISNUMBER(J767),J767&lt;TODAY()),1,0)</x:f>
        <x:v>1</x:v>
      </x:c>
      <x:c r="W767" s="2" t="str">
        <x:f>'Research &amp; Analysis'!M39</x:f>
        <x:v>Task</x:v>
      </x:c>
    </x:row>
    <x:row r="768" ht="40" customHeight="1">
      <x:c r="A768" s="3" t="str">
        <x:f>HYPERLINK("#'Research &amp; Analysis'!A40","Open")</x:f>
        <x:v>Open</x:v>
      </x:c>
      <x:c r="B768" s="2" t="str">
        <x:f>'Research &amp; Analysis'!B40</x:f>
        <x:v>Cycle 1</x:v>
      </x:c>
      <x:c r="C768" s="2" t="str">
        <x:f>'Research &amp; Analysis'!C40</x:f>
        <x:v>Phase 1</x:v>
      </x:c>
      <x:c r="D768" s="2" t="str">
        <x:f>'Research &amp; Analysis'!D40</x:f>
        <x:v>Cards</x:v>
      </x:c>
      <x:c r="E768" s="2" t="str">
        <x:v>Research &amp; Analysis</x:v>
      </x:c>
      <x:c r="F768" s="56" t="str">
        <x:f>'Research &amp; Analysis'!E40</x:f>
        <x:v>RA.CA.1.8</x:v>
      </x:c>
      <x:c r="G768" s="14" t="str">
        <x:f>'Research &amp; Analysis'!F40</x:f>
        <x:v>Socialize topic selection with product owners and subject matter experts (if known)</x:v>
      </x:c>
      <x:c r="H768" s="2" t="str">
        <x:f>IF('Research &amp; Analysis'!G40="","",'Research &amp; Analysis'!G40)</x:f>
      </x:c>
      <x:c r="I768" s="12" t="str">
        <x:f>IF('Research &amp; Analysis'!H40="","",'Research &amp; Analysis'!H40)</x:f>
      </x:c>
      <x:c r="J768" s="12" t="n">
        <x:f>IF('Research &amp; Analysis'!I40="","",'Research &amp; Analysis'!I40)</x:f>
        <x:v>46112</x:v>
      </x:c>
      <x:c r="K768" s="12" t="str">
        <x:f>IF('Research &amp; Analysis'!J40="","",'Research &amp; Analysis'!J40)</x:f>
      </x:c>
      <x:c r="L768" s="2" t="str">
        <x:f>IF('Research &amp; Analysis'!K40="","",'Research &amp; Analysis'!K40)</x:f>
      </x:c>
      <x:c r="M768" s="2" t="n">
        <x:f>'Research &amp; Analysis'!Q40</x:f>
        <x:v>1</x:v>
      </x:c>
      <x:c r="N768" s="2" t="str">
        <x:f>'Research &amp; Analysis'!L40</x:f>
        <x:v>Not started</x:v>
      </x:c>
      <x:c r="O768" s="2" t="str">
        <x:f>'Research &amp; Analysis'!N40</x:f>
        <x:v>RA.CA.1.8.2026.CY1</x:v>
      </x:c>
      <x:c r="P768" s="2" t="n">
        <x:f>'Research &amp; Analysis'!O40</x:f>
        <x:v>0</x:v>
      </x:c>
      <x:c r="Q768" s="2" t="n">
        <x:f>SUBTOTAL(103,O768)</x:f>
        <x:v>1</x:v>
      </x:c>
      <x:c r="R768" s="2" t="n">
        <x:f>IF(AND(M768=1,OR(Dashboard!$B$7="All",Dashboard!$B$7='Cycles &amp; Guide'!$C$5),OR(Dashboard!$D$7="All",Dashboard!$D$7=B768),OR(Dashboard!$F$7="All",Dashboard!$F$7=C768),OR(Dashboard!$H$7="All",Dashboard!$H$7=D768),OR(Dashboard!$K$7="All",Dashboard!$K$7=E768)),1,0)</x:f>
        <x:v>1</x:v>
      </x:c>
      <x:c r="S768" s="2" t="n">
        <x:f>IF(R768=1,SUM($R$10:R768),0)</x:f>
        <x:v>395</x:v>
      </x:c>
      <x:c r="T768" s="2" t="str">
        <x:v>Research &amp; Analysis</x:v>
      </x:c>
      <x:c r="U768" s="2" t="n">
        <x:v>40</x:v>
      </x:c>
      <x:c r="V768" s="2" t="n">
        <x:f>IF(AND(M768=1,P768=0,ISNUMBER(J768),J768&lt;TODAY()),1,0)</x:f>
        <x:v>1</x:v>
      </x:c>
      <x:c r="W768" s="2" t="str">
        <x:f>'Research &amp; Analysis'!M40</x:f>
        <x:v>Task</x:v>
      </x:c>
    </x:row>
    <x:row r="769" ht="40" customHeight="1">
      <x:c r="A769" s="3" t="str">
        <x:f>HYPERLINK("#'Research &amp; Analysis'!A41","Open")</x:f>
        <x:v>Open</x:v>
      </x:c>
      <x:c r="B769" s="2" t="str">
        <x:f>'Research &amp; Analysis'!B41</x:f>
        <x:v>Cycle 1</x:v>
      </x:c>
      <x:c r="C769" s="2" t="str">
        <x:f>'Research &amp; Analysis'!C41</x:f>
        <x:v>Phase 1</x:v>
      </x:c>
      <x:c r="D769" s="2" t="str">
        <x:f>'Research &amp; Analysis'!D41</x:f>
        <x:v>Cards</x:v>
      </x:c>
      <x:c r="E769" s="2" t="str">
        <x:v>Research &amp; Analysis</x:v>
      </x:c>
      <x:c r="F769" s="56" t="str">
        <x:f>'Research &amp; Analysis'!E41</x:f>
        <x:v>RA.CA.1.9</x:v>
      </x:c>
      <x:c r="G769" s="14" t="str">
        <x:f>'Research &amp; Analysis'!F41</x:f>
        <x:v>Assign topic researchers</x:v>
      </x:c>
      <x:c r="H769" s="2" t="str">
        <x:f>IF('Research &amp; Analysis'!G41="","",'Research &amp; Analysis'!G41)</x:f>
      </x:c>
      <x:c r="I769" s="12" t="str">
        <x:f>IF('Research &amp; Analysis'!H41="","",'Research &amp; Analysis'!H41)</x:f>
      </x:c>
      <x:c r="J769" s="12" t="n">
        <x:f>IF('Research &amp; Analysis'!I41="","",'Research &amp; Analysis'!I41)</x:f>
        <x:v>46112</x:v>
      </x:c>
      <x:c r="K769" s="12" t="str">
        <x:f>IF('Research &amp; Analysis'!J41="","",'Research &amp; Analysis'!J41)</x:f>
      </x:c>
      <x:c r="L769" s="2" t="str">
        <x:f>IF('Research &amp; Analysis'!K41="","",'Research &amp; Analysis'!K41)</x:f>
      </x:c>
      <x:c r="M769" s="2" t="n">
        <x:f>'Research &amp; Analysis'!Q41</x:f>
        <x:v>1</x:v>
      </x:c>
      <x:c r="N769" s="2" t="str">
        <x:f>'Research &amp; Analysis'!L41</x:f>
        <x:v>Not started</x:v>
      </x:c>
      <x:c r="O769" s="2" t="str">
        <x:f>'Research &amp; Analysis'!N41</x:f>
        <x:v>RA.CA.1.9.2026.CY1</x:v>
      </x:c>
      <x:c r="P769" s="2" t="n">
        <x:f>'Research &amp; Analysis'!O41</x:f>
        <x:v>0</x:v>
      </x:c>
      <x:c r="Q769" s="2" t="n">
        <x:f>SUBTOTAL(103,O769)</x:f>
        <x:v>1</x:v>
      </x:c>
      <x:c r="R769" s="2" t="n">
        <x:f>IF(AND(M769=1,OR(Dashboard!$B$7="All",Dashboard!$B$7='Cycles &amp; Guide'!$C$5),OR(Dashboard!$D$7="All",Dashboard!$D$7=B769),OR(Dashboard!$F$7="All",Dashboard!$F$7=C769),OR(Dashboard!$H$7="All",Dashboard!$H$7=D769),OR(Dashboard!$K$7="All",Dashboard!$K$7=E769)),1,0)</x:f>
        <x:v>1</x:v>
      </x:c>
      <x:c r="S769" s="2" t="n">
        <x:f>IF(R769=1,SUM($R$10:R769),0)</x:f>
        <x:v>396</x:v>
      </x:c>
      <x:c r="T769" s="2" t="str">
        <x:v>Research &amp; Analysis</x:v>
      </x:c>
      <x:c r="U769" s="2" t="n">
        <x:v>41</x:v>
      </x:c>
      <x:c r="V769" s="2" t="n">
        <x:f>IF(AND(M769=1,P769=0,ISNUMBER(J769),J769&lt;TODAY()),1,0)</x:f>
        <x:v>1</x:v>
      </x:c>
      <x:c r="W769" s="2" t="str">
        <x:f>'Research &amp; Analysis'!M41</x:f>
        <x:v>Task</x:v>
      </x:c>
    </x:row>
    <x:row r="770" ht="40" customHeight="1">
      <x:c r="A770" s="3" t="str">
        <x:f>HYPERLINK("#'Research &amp; Analysis'!A42","Open")</x:f>
        <x:v>Open</x:v>
      </x:c>
      <x:c r="B770" s="2" t="str">
        <x:f>'Research &amp; Analysis'!B42</x:f>
        <x:v>Cycle 1</x:v>
      </x:c>
      <x:c r="C770" s="2" t="str">
        <x:f>'Research &amp; Analysis'!C42</x:f>
        <x:v>Phase 2</x:v>
      </x:c>
      <x:c r="D770" s="2" t="str">
        <x:f>'Research &amp; Analysis'!D42</x:f>
        <x:v>Cards</x:v>
      </x:c>
      <x:c r="E770" s="2" t="str">
        <x:v>Research &amp; Analysis</x:v>
      </x:c>
      <x:c r="F770" s="56" t="str">
        <x:f>'Research &amp; Analysis'!E42</x:f>
        <x:v>RA.CA.2.1</x:v>
      </x:c>
      <x:c r="G770" s="14" t="str">
        <x:f>'Research &amp; Analysis'!F42</x:f>
        <x:v>Review data sources</x:v>
      </x:c>
      <x:c r="H770" s="2" t="str">
        <x:f>IF('Research &amp; Analysis'!G42="","",'Research &amp; Analysis'!G42)</x:f>
      </x:c>
      <x:c r="I770" s="12" t="str">
        <x:f>IF('Research &amp; Analysis'!H42="","",'Research &amp; Analysis'!H42)</x:f>
      </x:c>
      <x:c r="J770" s="12" t="n">
        <x:f>IF('Research &amp; Analysis'!I42="","",'Research &amp; Analysis'!I42)</x:f>
        <x:v>46112</x:v>
      </x:c>
      <x:c r="K770" s="12" t="str">
        <x:f>IF('Research &amp; Analysis'!J42="","",'Research &amp; Analysis'!J42)</x:f>
      </x:c>
      <x:c r="L770" s="2" t="str">
        <x:f>IF('Research &amp; Analysis'!K42="","",'Research &amp; Analysis'!K42)</x:f>
      </x:c>
      <x:c r="M770" s="2" t="n">
        <x:f>'Research &amp; Analysis'!Q42</x:f>
        <x:v>1</x:v>
      </x:c>
      <x:c r="N770" s="2" t="str">
        <x:f>'Research &amp; Analysis'!L42</x:f>
        <x:v>Not started</x:v>
      </x:c>
      <x:c r="O770" s="2" t="str">
        <x:f>'Research &amp; Analysis'!N42</x:f>
        <x:v>RA.CA.2.1.2026.CY1</x:v>
      </x:c>
      <x:c r="P770" s="2" t="n">
        <x:f>'Research &amp; Analysis'!O42</x:f>
        <x:v>0</x:v>
      </x:c>
      <x:c r="Q770" s="2" t="n">
        <x:f>SUBTOTAL(103,O770)</x:f>
        <x:v>1</x:v>
      </x:c>
      <x:c r="R770" s="2" t="n">
        <x:f>IF(AND(M770=1,OR(Dashboard!$B$7="All",Dashboard!$B$7='Cycles &amp; Guide'!$C$5),OR(Dashboard!$D$7="All",Dashboard!$D$7=B770),OR(Dashboard!$F$7="All",Dashboard!$F$7=C770),OR(Dashboard!$H$7="All",Dashboard!$H$7=D770),OR(Dashboard!$K$7="All",Dashboard!$K$7=E770)),1,0)</x:f>
        <x:v>1</x:v>
      </x:c>
      <x:c r="S770" s="2" t="n">
        <x:f>IF(R770=1,SUM($R$10:R770),0)</x:f>
        <x:v>397</x:v>
      </x:c>
      <x:c r="T770" s="2" t="str">
        <x:v>Research &amp; Analysis</x:v>
      </x:c>
      <x:c r="U770" s="2" t="n">
        <x:v>42</x:v>
      </x:c>
      <x:c r="V770" s="2" t="n">
        <x:f>IF(AND(M770=1,P770=0,ISNUMBER(J770),J770&lt;TODAY()),1,0)</x:f>
        <x:v>1</x:v>
      </x:c>
      <x:c r="W770" s="2" t="str">
        <x:f>'Research &amp; Analysis'!M42</x:f>
        <x:v>Task</x:v>
      </x:c>
    </x:row>
    <x:row r="771" ht="40" customHeight="1">
      <x:c r="A771" s="3" t="str">
        <x:f>HYPERLINK("#'Research &amp; Analysis'!A43","Open")</x:f>
        <x:v>Open</x:v>
      </x:c>
      <x:c r="B771" s="2" t="str">
        <x:f>'Research &amp; Analysis'!B43</x:f>
        <x:v>Cycle 1</x:v>
      </x:c>
      <x:c r="C771" s="2" t="str">
        <x:f>'Research &amp; Analysis'!C43</x:f>
        <x:v>Phase 2</x:v>
      </x:c>
      <x:c r="D771" s="2" t="str">
        <x:f>'Research &amp; Analysis'!D43</x:f>
        <x:v>Cards</x:v>
      </x:c>
      <x:c r="E771" s="2" t="str">
        <x:v>Research &amp; Analysis</x:v>
      </x:c>
      <x:c r="F771" s="56" t="str">
        <x:f>'Research &amp; Analysis'!E43</x:f>
        <x:v>RA.CA.2.2</x:v>
      </x:c>
      <x:c r="G771" s="14" t="str">
        <x:f>'Research &amp; Analysis'!F43</x:f>
        <x:v>Review relevant policies and procedures</x:v>
      </x:c>
      <x:c r="H771" s="2" t="str">
        <x:f>IF('Research &amp; Analysis'!G43="","",'Research &amp; Analysis'!G43)</x:f>
      </x:c>
      <x:c r="I771" s="12" t="str">
        <x:f>IF('Research &amp; Analysis'!H43="","",'Research &amp; Analysis'!H43)</x:f>
      </x:c>
      <x:c r="J771" s="12" t="n">
        <x:f>IF('Research &amp; Analysis'!I43="","",'Research &amp; Analysis'!I43)</x:f>
        <x:v>46112</x:v>
      </x:c>
      <x:c r="K771" s="12" t="str">
        <x:f>IF('Research &amp; Analysis'!J43="","",'Research &amp; Analysis'!J43)</x:f>
      </x:c>
      <x:c r="L771" s="2" t="str">
        <x:f>IF('Research &amp; Analysis'!K43="","",'Research &amp; Analysis'!K43)</x:f>
      </x:c>
      <x:c r="M771" s="2" t="n">
        <x:f>'Research &amp; Analysis'!Q43</x:f>
        <x:v>1</x:v>
      </x:c>
      <x:c r="N771" s="2" t="str">
        <x:f>'Research &amp; Analysis'!L43</x:f>
        <x:v>Not started</x:v>
      </x:c>
      <x:c r="O771" s="2" t="str">
        <x:f>'Research &amp; Analysis'!N43</x:f>
        <x:v>RA.CA.2.2.2026.CY1</x:v>
      </x:c>
      <x:c r="P771" s="2" t="n">
        <x:f>'Research &amp; Analysis'!O43</x:f>
        <x:v>0</x:v>
      </x:c>
      <x:c r="Q771" s="2" t="n">
        <x:f>SUBTOTAL(103,O771)</x:f>
        <x:v>1</x:v>
      </x:c>
      <x:c r="R771" s="2" t="n">
        <x:f>IF(AND(M771=1,OR(Dashboard!$B$7="All",Dashboard!$B$7='Cycles &amp; Guide'!$C$5),OR(Dashboard!$D$7="All",Dashboard!$D$7=B771),OR(Dashboard!$F$7="All",Dashboard!$F$7=C771),OR(Dashboard!$H$7="All",Dashboard!$H$7=D771),OR(Dashboard!$K$7="All",Dashboard!$K$7=E771)),1,0)</x:f>
        <x:v>1</x:v>
      </x:c>
      <x:c r="S771" s="2" t="n">
        <x:f>IF(R771=1,SUM($R$10:R771),0)</x:f>
        <x:v>398</x:v>
      </x:c>
      <x:c r="T771" s="2" t="str">
        <x:v>Research &amp; Analysis</x:v>
      </x:c>
      <x:c r="U771" s="2" t="n">
        <x:v>43</x:v>
      </x:c>
      <x:c r="V771" s="2" t="n">
        <x:f>IF(AND(M771=1,P771=0,ISNUMBER(J771),J771&lt;TODAY()),1,0)</x:f>
        <x:v>1</x:v>
      </x:c>
      <x:c r="W771" s="2" t="str">
        <x:f>'Research &amp; Analysis'!M43</x:f>
        <x:v>Task</x:v>
      </x:c>
    </x:row>
    <x:row r="772" ht="40" customHeight="1">
      <x:c r="A772" s="3" t="str">
        <x:f>HYPERLINK("#'Research &amp; Analysis'!A44","Open")</x:f>
        <x:v>Open</x:v>
      </x:c>
      <x:c r="B772" s="2" t="str">
        <x:f>'Research &amp; Analysis'!B44</x:f>
        <x:v>Cycle 1</x:v>
      </x:c>
      <x:c r="C772" s="2" t="str">
        <x:f>'Research &amp; Analysis'!C44</x:f>
        <x:v>Phase 2</x:v>
      </x:c>
      <x:c r="D772" s="2" t="str">
        <x:f>'Research &amp; Analysis'!D44</x:f>
        <x:v>Cards</x:v>
      </x:c>
      <x:c r="E772" s="2" t="str">
        <x:v>Research &amp; Analysis</x:v>
      </x:c>
      <x:c r="F772" s="56" t="str">
        <x:f>'Research &amp; Analysis'!E44</x:f>
        <x:v>RA.CA.2.3</x:v>
      </x:c>
      <x:c r="G772" s="14" t="str">
        <x:f>'Research &amp; Analysis'!F44</x:f>
        <x:v>Meet with SMEs to gain business insight and clarify questions</x:v>
      </x:c>
      <x:c r="H772" s="2" t="str">
        <x:f>IF('Research &amp; Analysis'!G44="","",'Research &amp; Analysis'!G44)</x:f>
      </x:c>
      <x:c r="I772" s="12" t="str">
        <x:f>IF('Research &amp; Analysis'!H44="","",'Research &amp; Analysis'!H44)</x:f>
      </x:c>
      <x:c r="J772" s="12" t="n">
        <x:f>IF('Research &amp; Analysis'!I44="","",'Research &amp; Analysis'!I44)</x:f>
        <x:v>46112</x:v>
      </x:c>
      <x:c r="K772" s="12" t="str">
        <x:f>IF('Research &amp; Analysis'!J44="","",'Research &amp; Analysis'!J44)</x:f>
      </x:c>
      <x:c r="L772" s="2" t="str">
        <x:f>IF('Research &amp; Analysis'!K44="","",'Research &amp; Analysis'!K44)</x:f>
      </x:c>
      <x:c r="M772" s="2" t="n">
        <x:f>'Research &amp; Analysis'!Q44</x:f>
        <x:v>1</x:v>
      </x:c>
      <x:c r="N772" s="2" t="str">
        <x:f>'Research &amp; Analysis'!L44</x:f>
        <x:v>Not started</x:v>
      </x:c>
      <x:c r="O772" s="2" t="str">
        <x:f>'Research &amp; Analysis'!N44</x:f>
        <x:v>RA.CA.2.3.2026.CY1</x:v>
      </x:c>
      <x:c r="P772" s="2" t="n">
        <x:f>'Research &amp; Analysis'!O44</x:f>
        <x:v>0</x:v>
      </x:c>
      <x:c r="Q772" s="2" t="n">
        <x:f>SUBTOTAL(103,O772)</x:f>
        <x:v>1</x:v>
      </x:c>
      <x:c r="R772" s="2" t="n">
        <x:f>IF(AND(M772=1,OR(Dashboard!$B$7="All",Dashboard!$B$7='Cycles &amp; Guide'!$C$5),OR(Dashboard!$D$7="All",Dashboard!$D$7=B772),OR(Dashboard!$F$7="All",Dashboard!$F$7=C772),OR(Dashboard!$H$7="All",Dashboard!$H$7=D772),OR(Dashboard!$K$7="All",Dashboard!$K$7=E772)),1,0)</x:f>
        <x:v>1</x:v>
      </x:c>
      <x:c r="S772" s="2" t="n">
        <x:f>IF(R772=1,SUM($R$10:R772),0)</x:f>
        <x:v>399</x:v>
      </x:c>
      <x:c r="T772" s="2" t="str">
        <x:v>Research &amp; Analysis</x:v>
      </x:c>
      <x:c r="U772" s="2" t="n">
        <x:v>44</x:v>
      </x:c>
      <x:c r="V772" s="2" t="n">
        <x:f>IF(AND(M772=1,P772=0,ISNUMBER(J772),J772&lt;TODAY()),1,0)</x:f>
        <x:v>1</x:v>
      </x:c>
      <x:c r="W772" s="2" t="str">
        <x:f>'Research &amp; Analysis'!M44</x:f>
        <x:v>Task</x:v>
      </x:c>
    </x:row>
    <x:row r="773" ht="40" customHeight="1">
      <x:c r="A773" s="3" t="str">
        <x:f>HYPERLINK("#'Research &amp; Analysis'!A45","Open")</x:f>
        <x:v>Open</x:v>
      </x:c>
      <x:c r="B773" s="2" t="str">
        <x:f>'Research &amp; Analysis'!B45</x:f>
        <x:v>Cycle 1</x:v>
      </x:c>
      <x:c r="C773" s="2" t="str">
        <x:f>'Research &amp; Analysis'!C45</x:f>
        <x:v>Phase 2</x:v>
      </x:c>
      <x:c r="D773" s="2" t="str">
        <x:f>'Research &amp; Analysis'!D45</x:f>
        <x:v>Cards</x:v>
      </x:c>
      <x:c r="E773" s="2" t="str">
        <x:v>Research &amp; Analysis</x:v>
      </x:c>
      <x:c r="F773" s="56" t="str">
        <x:f>'Research &amp; Analysis'!E45</x:f>
        <x:v>RA.CA.2.4</x:v>
      </x:c>
      <x:c r="G773" s="14" t="str">
        <x:f>'Research &amp; Analysis'!F45</x:f>
        <x:v>Establish and maintain a recurring meeting with D&amp;I to discuss Cycle progress</x:v>
      </x:c>
      <x:c r="H773" s="2" t="str">
        <x:f>IF('Research &amp; Analysis'!G45="","",'Research &amp; Analysis'!G45)</x:f>
      </x:c>
      <x:c r="I773" s="12" t="str">
        <x:f>IF('Research &amp; Analysis'!H45="","",'Research &amp; Analysis'!H45)</x:f>
      </x:c>
      <x:c r="J773" s="12" t="n">
        <x:f>IF('Research &amp; Analysis'!I45="","",'Research &amp; Analysis'!I45)</x:f>
        <x:v>46112</x:v>
      </x:c>
      <x:c r="K773" s="12" t="str">
        <x:f>IF('Research &amp; Analysis'!J45="","",'Research &amp; Analysis'!J45)</x:f>
      </x:c>
      <x:c r="L773" s="2" t="str">
        <x:f>IF('Research &amp; Analysis'!K45="","",'Research &amp; Analysis'!K45)</x:f>
      </x:c>
      <x:c r="M773" s="2" t="n">
        <x:f>'Research &amp; Analysis'!Q45</x:f>
        <x:v>1</x:v>
      </x:c>
      <x:c r="N773" s="2" t="str">
        <x:f>'Research &amp; Analysis'!L45</x:f>
        <x:v>Not started</x:v>
      </x:c>
      <x:c r="O773" s="2" t="str">
        <x:f>'Research &amp; Analysis'!N45</x:f>
        <x:v>RA.CA.2.4.2026.CY1</x:v>
      </x:c>
      <x:c r="P773" s="2" t="n">
        <x:f>'Research &amp; Analysis'!O45</x:f>
        <x:v>0</x:v>
      </x:c>
      <x:c r="Q773" s="2" t="n">
        <x:f>SUBTOTAL(103,O773)</x:f>
        <x:v>1</x:v>
      </x:c>
      <x:c r="R773" s="2" t="n">
        <x:f>IF(AND(M773=1,OR(Dashboard!$B$7="All",Dashboard!$B$7='Cycles &amp; Guide'!$C$5),OR(Dashboard!$D$7="All",Dashboard!$D$7=B773),OR(Dashboard!$F$7="All",Dashboard!$F$7=C773),OR(Dashboard!$H$7="All",Dashboard!$H$7=D773),OR(Dashboard!$K$7="All",Dashboard!$K$7=E773)),1,0)</x:f>
        <x:v>1</x:v>
      </x:c>
      <x:c r="S773" s="2" t="n">
        <x:f>IF(R773=1,SUM($R$10:R773),0)</x:f>
        <x:v>400</x:v>
      </x:c>
      <x:c r="T773" s="2" t="str">
        <x:v>Research &amp; Analysis</x:v>
      </x:c>
      <x:c r="U773" s="2" t="n">
        <x:v>45</x:v>
      </x:c>
      <x:c r="V773" s="2" t="n">
        <x:f>IF(AND(M773=1,P773=0,ISNUMBER(J773),J773&lt;TODAY()),1,0)</x:f>
        <x:v>1</x:v>
      </x:c>
      <x:c r="W773" s="2" t="str">
        <x:f>'Research &amp; Analysis'!M45</x:f>
        <x:v>Task</x:v>
      </x:c>
    </x:row>
    <x:row r="774" ht="40" customHeight="1">
      <x:c r="A774" s="3" t="str">
        <x:f>HYPERLINK("#'Research &amp; Analysis'!A46","Open")</x:f>
        <x:v>Open</x:v>
      </x:c>
      <x:c r="B774" s="2" t="str">
        <x:f>'Research &amp; Analysis'!B46</x:f>
        <x:v>Cycle 1</x:v>
      </x:c>
      <x:c r="C774" s="2" t="str">
        <x:f>'Research &amp; Analysis'!C46</x:f>
        <x:v>Phase 2</x:v>
      </x:c>
      <x:c r="D774" s="2" t="str">
        <x:f>'Research &amp; Analysis'!D46</x:f>
        <x:v>Cards</x:v>
      </x:c>
      <x:c r="E774" s="2" t="str">
        <x:v>Research &amp; Analysis</x:v>
      </x:c>
      <x:c r="F774" s="56" t="str">
        <x:f>'Research &amp; Analysis'!E46</x:f>
        <x:v>RA.CA.2.5</x:v>
      </x:c>
      <x:c r="G774" s="14" t="str">
        <x:f>'Research &amp; Analysis'!F46</x:f>
        <x:v>Perform data testing and sampling</x:v>
      </x:c>
      <x:c r="H774" s="2" t="str">
        <x:f>IF('Research &amp; Analysis'!G46="","",'Research &amp; Analysis'!G46)</x:f>
      </x:c>
      <x:c r="I774" s="12" t="str">
        <x:f>IF('Research &amp; Analysis'!H46="","",'Research &amp; Analysis'!H46)</x:f>
      </x:c>
      <x:c r="J774" s="12" t="n">
        <x:f>IF('Research &amp; Analysis'!I46="","",'Research &amp; Analysis'!I46)</x:f>
        <x:v>46112</x:v>
      </x:c>
      <x:c r="K774" s="12" t="str">
        <x:f>IF('Research &amp; Analysis'!J46="","",'Research &amp; Analysis'!J46)</x:f>
      </x:c>
      <x:c r="L774" s="2" t="str">
        <x:f>IF('Research &amp; Analysis'!K46="","",'Research &amp; Analysis'!K46)</x:f>
      </x:c>
      <x:c r="M774" s="2" t="n">
        <x:f>'Research &amp; Analysis'!Q46</x:f>
        <x:v>1</x:v>
      </x:c>
      <x:c r="N774" s="2" t="str">
        <x:f>'Research &amp; Analysis'!L46</x:f>
        <x:v>Not started</x:v>
      </x:c>
      <x:c r="O774" s="2" t="str">
        <x:f>'Research &amp; Analysis'!N46</x:f>
        <x:v>RA.CA.2.5.2026.CY1</x:v>
      </x:c>
      <x:c r="P774" s="2" t="n">
        <x:f>'Research &amp; Analysis'!O46</x:f>
        <x:v>0</x:v>
      </x:c>
      <x:c r="Q774" s="2" t="n">
        <x:f>SUBTOTAL(103,O774)</x:f>
        <x:v>1</x:v>
      </x:c>
      <x:c r="R774" s="2" t="n">
        <x:f>IF(AND(M774=1,OR(Dashboard!$B$7="All",Dashboard!$B$7='Cycles &amp; Guide'!$C$5),OR(Dashboard!$D$7="All",Dashboard!$D$7=B774),OR(Dashboard!$F$7="All",Dashboard!$F$7=C774),OR(Dashboard!$H$7="All",Dashboard!$H$7=D774),OR(Dashboard!$K$7="All",Dashboard!$K$7=E774)),1,0)</x:f>
        <x:v>1</x:v>
      </x:c>
      <x:c r="S774" s="2" t="n">
        <x:f>IF(R774=1,SUM($R$10:R774),0)</x:f>
        <x:v>401</x:v>
      </x:c>
      <x:c r="T774" s="2" t="str">
        <x:v>Research &amp; Analysis</x:v>
      </x:c>
      <x:c r="U774" s="2" t="n">
        <x:v>46</x:v>
      </x:c>
      <x:c r="V774" s="2" t="n">
        <x:f>IF(AND(M774=1,P774=0,ISNUMBER(J774),J774&lt;TODAY()),1,0)</x:f>
        <x:v>1</x:v>
      </x:c>
      <x:c r="W774" s="2" t="str">
        <x:f>'Research &amp; Analysis'!M46</x:f>
        <x:v>Task</x:v>
      </x:c>
    </x:row>
    <x:row r="775" ht="40" customHeight="1">
      <x:c r="A775" s="3" t="str">
        <x:f>HYPERLINK("#'Research &amp; Analysis'!A47","Open")</x:f>
        <x:v>Open</x:v>
      </x:c>
      <x:c r="B775" s="2" t="str">
        <x:f>'Research &amp; Analysis'!B47</x:f>
        <x:v>Cycle 1</x:v>
      </x:c>
      <x:c r="C775" s="2" t="str">
        <x:f>'Research &amp; Analysis'!C47</x:f>
        <x:v>Phase 2</x:v>
      </x:c>
      <x:c r="D775" s="2" t="str">
        <x:f>'Research &amp; Analysis'!D47</x:f>
        <x:v>Cards</x:v>
      </x:c>
      <x:c r="E775" s="2" t="str">
        <x:v>Research &amp; Analysis</x:v>
      </x:c>
      <x:c r="F775" s="56" t="str">
        <x:f>'Research &amp; Analysis'!E47</x:f>
        <x:v>RA.CA.2.6</x:v>
      </x:c>
      <x:c r="G775" s="14" t="str">
        <x:f>'Research &amp; Analysis'!F47</x:f>
        <x:v>Complete Positive Testing</x:v>
      </x:c>
      <x:c r="H775" s="2" t="str">
        <x:f>IF('Research &amp; Analysis'!G47="","",'Research &amp; Analysis'!G47)</x:f>
      </x:c>
      <x:c r="I775" s="12" t="str">
        <x:f>IF('Research &amp; Analysis'!H47="","",'Research &amp; Analysis'!H47)</x:f>
      </x:c>
      <x:c r="J775" s="12" t="n">
        <x:f>IF('Research &amp; Analysis'!I47="","",'Research &amp; Analysis'!I47)</x:f>
        <x:v>46112</x:v>
      </x:c>
      <x:c r="K775" s="12" t="str">
        <x:f>IF('Research &amp; Analysis'!J47="","",'Research &amp; Analysis'!J47)</x:f>
      </x:c>
      <x:c r="L775" s="2" t="str">
        <x:f>IF('Research &amp; Analysis'!K47="","",'Research &amp; Analysis'!K47)</x:f>
      </x:c>
      <x:c r="M775" s="2" t="n">
        <x:f>'Research &amp; Analysis'!Q47</x:f>
        <x:v>1</x:v>
      </x:c>
      <x:c r="N775" s="2" t="str">
        <x:f>'Research &amp; Analysis'!L47</x:f>
        <x:v>Not started</x:v>
      </x:c>
      <x:c r="O775" s="2" t="str">
        <x:f>'Research &amp; Analysis'!N47</x:f>
        <x:v>RA.CA.2.6.2026.CY1</x:v>
      </x:c>
      <x:c r="P775" s="2" t="n">
        <x:f>'Research &amp; Analysis'!O47</x:f>
        <x:v>0</x:v>
      </x:c>
      <x:c r="Q775" s="2" t="n">
        <x:f>SUBTOTAL(103,O775)</x:f>
        <x:v>1</x:v>
      </x:c>
      <x:c r="R775" s="2" t="n">
        <x:f>IF(AND(M775=1,OR(Dashboard!$B$7="All",Dashboard!$B$7='Cycles &amp; Guide'!$C$5),OR(Dashboard!$D$7="All",Dashboard!$D$7=B775),OR(Dashboard!$F$7="All",Dashboard!$F$7=C775),OR(Dashboard!$H$7="All",Dashboard!$H$7=D775),OR(Dashboard!$K$7="All",Dashboard!$K$7=E775)),1,0)</x:f>
        <x:v>1</x:v>
      </x:c>
      <x:c r="S775" s="2" t="n">
        <x:f>IF(R775=1,SUM($R$10:R775),0)</x:f>
        <x:v>402</x:v>
      </x:c>
      <x:c r="T775" s="2" t="str">
        <x:v>Research &amp; Analysis</x:v>
      </x:c>
      <x:c r="U775" s="2" t="n">
        <x:v>47</x:v>
      </x:c>
      <x:c r="V775" s="2" t="n">
        <x:f>IF(AND(M775=1,P775=0,ISNUMBER(J775),J775&lt;TODAY()),1,0)</x:f>
        <x:v>1</x:v>
      </x:c>
      <x:c r="W775" s="2" t="str">
        <x:f>'Research &amp; Analysis'!M47</x:f>
        <x:v>Task</x:v>
      </x:c>
    </x:row>
    <x:row r="776" ht="40" customHeight="1">
      <x:c r="A776" s="3" t="str">
        <x:f>HYPERLINK("#'Research &amp; Analysis'!A48","Open")</x:f>
        <x:v>Open</x:v>
      </x:c>
      <x:c r="B776" s="2" t="str">
        <x:f>'Research &amp; Analysis'!B48</x:f>
        <x:v>Cycle 1</x:v>
      </x:c>
      <x:c r="C776" s="2" t="str">
        <x:f>'Research &amp; Analysis'!C48</x:f>
        <x:v>Phase 2</x:v>
      </x:c>
      <x:c r="D776" s="2" t="str">
        <x:f>'Research &amp; Analysis'!D48</x:f>
        <x:v>Cards</x:v>
      </x:c>
      <x:c r="E776" s="2" t="str">
        <x:v>Research &amp; Analysis</x:v>
      </x:c>
      <x:c r="F776" s="56" t="str">
        <x:f>'Research &amp; Analysis'!E48</x:f>
        <x:v>RA.CA.2.7</x:v>
      </x:c>
      <x:c r="G776" s="14" t="str">
        <x:f>'Research &amp; Analysis'!F48</x:f>
        <x:v>Complete Negative Testing</x:v>
      </x:c>
      <x:c r="H776" s="2" t="str">
        <x:f>IF('Research &amp; Analysis'!G48="","",'Research &amp; Analysis'!G48)</x:f>
      </x:c>
      <x:c r="I776" s="12" t="str">
        <x:f>IF('Research &amp; Analysis'!H48="","",'Research &amp; Analysis'!H48)</x:f>
      </x:c>
      <x:c r="J776" s="12" t="n">
        <x:f>IF('Research &amp; Analysis'!I48="","",'Research &amp; Analysis'!I48)</x:f>
        <x:v>46112</x:v>
      </x:c>
      <x:c r="K776" s="12" t="str">
        <x:f>IF('Research &amp; Analysis'!J48="","",'Research &amp; Analysis'!J48)</x:f>
      </x:c>
      <x:c r="L776" s="2" t="str">
        <x:f>IF('Research &amp; Analysis'!K48="","",'Research &amp; Analysis'!K48)</x:f>
      </x:c>
      <x:c r="M776" s="2" t="n">
        <x:f>'Research &amp; Analysis'!Q48</x:f>
        <x:v>1</x:v>
      </x:c>
      <x:c r="N776" s="2" t="str">
        <x:f>'Research &amp; Analysis'!L48</x:f>
        <x:v>Not started</x:v>
      </x:c>
      <x:c r="O776" s="2" t="str">
        <x:f>'Research &amp; Analysis'!N48</x:f>
        <x:v>RA.CA.2.7.2026.CY1</x:v>
      </x:c>
      <x:c r="P776" s="2" t="n">
        <x:f>'Research &amp; Analysis'!O48</x:f>
        <x:v>0</x:v>
      </x:c>
      <x:c r="Q776" s="2" t="n">
        <x:f>SUBTOTAL(103,O776)</x:f>
        <x:v>1</x:v>
      </x:c>
      <x:c r="R776" s="2" t="n">
        <x:f>IF(AND(M776=1,OR(Dashboard!$B$7="All",Dashboard!$B$7='Cycles &amp; Guide'!$C$5),OR(Dashboard!$D$7="All",Dashboard!$D$7=B776),OR(Dashboard!$F$7="All",Dashboard!$F$7=C776),OR(Dashboard!$H$7="All",Dashboard!$H$7=D776),OR(Dashboard!$K$7="All",Dashboard!$K$7=E776)),1,0)</x:f>
        <x:v>1</x:v>
      </x:c>
      <x:c r="S776" s="2" t="n">
        <x:f>IF(R776=1,SUM($R$10:R776),0)</x:f>
        <x:v>403</x:v>
      </x:c>
      <x:c r="T776" s="2" t="str">
        <x:v>Research &amp; Analysis</x:v>
      </x:c>
      <x:c r="U776" s="2" t="n">
        <x:v>48</x:v>
      </x:c>
      <x:c r="V776" s="2" t="n">
        <x:f>IF(AND(M776=1,P776=0,ISNUMBER(J776),J776&lt;TODAY()),1,0)</x:f>
        <x:v>1</x:v>
      </x:c>
      <x:c r="W776" s="2" t="str">
        <x:f>'Research &amp; Analysis'!M48</x:f>
        <x:v>Task</x:v>
      </x:c>
    </x:row>
    <x:row r="777" ht="40" customHeight="1">
      <x:c r="A777" s="3" t="str">
        <x:f>HYPERLINK("#'Research &amp; Analysis'!A49","Open")</x:f>
        <x:v>Open</x:v>
      </x:c>
      <x:c r="B777" s="2" t="str">
        <x:f>'Research &amp; Analysis'!B49</x:f>
        <x:v>Cycle 1</x:v>
      </x:c>
      <x:c r="C777" s="2" t="str">
        <x:f>'Research &amp; Analysis'!C49</x:f>
        <x:v>Phase 2</x:v>
      </x:c>
      <x:c r="D777" s="2" t="str">
        <x:f>'Research &amp; Analysis'!D49</x:f>
        <x:v>Cards</x:v>
      </x:c>
      <x:c r="E777" s="2" t="str">
        <x:v>Research &amp; Analysis</x:v>
      </x:c>
      <x:c r="F777" s="56" t="str">
        <x:f>'Research &amp; Analysis'!E49</x:f>
        <x:v>RA.CA.2.8</x:v>
      </x:c>
      <x:c r="G777" s="14" t="str">
        <x:f>'Research &amp; Analysis'!F49</x:f>
        <x:v>Request additional data (as needed)</x:v>
      </x:c>
      <x:c r="H777" s="2" t="str">
        <x:f>IF('Research &amp; Analysis'!G49="","",'Research &amp; Analysis'!G49)</x:f>
      </x:c>
      <x:c r="I777" s="12" t="str">
        <x:f>IF('Research &amp; Analysis'!H49="","",'Research &amp; Analysis'!H49)</x:f>
      </x:c>
      <x:c r="J777" s="12" t="n">
        <x:f>IF('Research &amp; Analysis'!I49="","",'Research &amp; Analysis'!I49)</x:f>
        <x:v>46112</x:v>
      </x:c>
      <x:c r="K777" s="12" t="str">
        <x:f>IF('Research &amp; Analysis'!J49="","",'Research &amp; Analysis'!J49)</x:f>
      </x:c>
      <x:c r="L777" s="2" t="str">
        <x:f>IF('Research &amp; Analysis'!K49="","",'Research &amp; Analysis'!K49)</x:f>
      </x:c>
      <x:c r="M777" s="2" t="n">
        <x:f>'Research &amp; Analysis'!Q49</x:f>
        <x:v>1</x:v>
      </x:c>
      <x:c r="N777" s="2" t="str">
        <x:f>'Research &amp; Analysis'!L49</x:f>
        <x:v>Not started</x:v>
      </x:c>
      <x:c r="O777" s="2" t="str">
        <x:f>'Research &amp; Analysis'!N49</x:f>
        <x:v>RA.CA.2.8.2026.CY1</x:v>
      </x:c>
      <x:c r="P777" s="2" t="n">
        <x:f>'Research &amp; Analysis'!O49</x:f>
        <x:v>0</x:v>
      </x:c>
      <x:c r="Q777" s="2" t="n">
        <x:f>SUBTOTAL(103,O777)</x:f>
        <x:v>1</x:v>
      </x:c>
      <x:c r="R777" s="2" t="n">
        <x:f>IF(AND(M777=1,OR(Dashboard!$B$7="All",Dashboard!$B$7='Cycles &amp; Guide'!$C$5),OR(Dashboard!$D$7="All",Dashboard!$D$7=B777),OR(Dashboard!$F$7="All",Dashboard!$F$7=C777),OR(Dashboard!$H$7="All",Dashboard!$H$7=D777),OR(Dashboard!$K$7="All",Dashboard!$K$7=E777)),1,0)</x:f>
        <x:v>1</x:v>
      </x:c>
      <x:c r="S777" s="2" t="n">
        <x:f>IF(R777=1,SUM($R$10:R777),0)</x:f>
        <x:v>404</x:v>
      </x:c>
      <x:c r="T777" s="2" t="str">
        <x:v>Research &amp; Analysis</x:v>
      </x:c>
      <x:c r="U777" s="2" t="n">
        <x:v>49</x:v>
      </x:c>
      <x:c r="V777" s="2" t="n">
        <x:f>IF(AND(M777=1,P777=0,ISNUMBER(J777),J777&lt;TODAY()),1,0)</x:f>
        <x:v>1</x:v>
      </x:c>
      <x:c r="W777" s="2" t="str">
        <x:f>'Research &amp; Analysis'!M49</x:f>
        <x:v>Task</x:v>
      </x:c>
    </x:row>
    <x:row r="778" ht="40" customHeight="1">
      <x:c r="A778" s="3" t="str">
        <x:f>HYPERLINK("#'Research &amp; Analysis'!A50","Open")</x:f>
        <x:v>Open</x:v>
      </x:c>
      <x:c r="B778" s="2" t="str">
        <x:f>'Research &amp; Analysis'!B50</x:f>
        <x:v>Cycle 1</x:v>
      </x:c>
      <x:c r="C778" s="2" t="str">
        <x:f>'Research &amp; Analysis'!C50</x:f>
        <x:v>Phase 2</x:v>
      </x:c>
      <x:c r="D778" s="2" t="str">
        <x:f>'Research &amp; Analysis'!D50</x:f>
        <x:v>Cards</x:v>
      </x:c>
      <x:c r="E778" s="2" t="str">
        <x:v>Research &amp; Analysis</x:v>
      </x:c>
      <x:c r="F778" s="56" t="str">
        <x:f>'Research &amp; Analysis'!E50</x:f>
        <x:v>RA.CA.2.9</x:v>
      </x:c>
      <x:c r="G778" s="14" t="str">
        <x:f>'Research &amp; Analysis'!F50</x:f>
        <x:v>Validate or disprove initial hypothesis assumptions</x:v>
      </x:c>
      <x:c r="H778" s="2" t="str">
        <x:f>IF('Research &amp; Analysis'!G50="","",'Research &amp; Analysis'!G50)</x:f>
      </x:c>
      <x:c r="I778" s="12" t="str">
        <x:f>IF('Research &amp; Analysis'!H50="","",'Research &amp; Analysis'!H50)</x:f>
      </x:c>
      <x:c r="J778" s="12" t="n">
        <x:f>IF('Research &amp; Analysis'!I50="","",'Research &amp; Analysis'!I50)</x:f>
        <x:v>46112</x:v>
      </x:c>
      <x:c r="K778" s="12" t="str">
        <x:f>IF('Research &amp; Analysis'!J50="","",'Research &amp; Analysis'!J50)</x:f>
      </x:c>
      <x:c r="L778" s="2" t="str">
        <x:f>IF('Research &amp; Analysis'!K50="","",'Research &amp; Analysis'!K50)</x:f>
      </x:c>
      <x:c r="M778" s="2" t="n">
        <x:f>'Research &amp; Analysis'!Q50</x:f>
        <x:v>1</x:v>
      </x:c>
      <x:c r="N778" s="2" t="str">
        <x:f>'Research &amp; Analysis'!L50</x:f>
        <x:v>Not started</x:v>
      </x:c>
      <x:c r="O778" s="2" t="str">
        <x:f>'Research &amp; Analysis'!N50</x:f>
        <x:v>RA.CA.2.9.2026.CY1</x:v>
      </x:c>
      <x:c r="P778" s="2" t="n">
        <x:f>'Research &amp; Analysis'!O50</x:f>
        <x:v>0</x:v>
      </x:c>
      <x:c r="Q778" s="2" t="n">
        <x:f>SUBTOTAL(103,O778)</x:f>
        <x:v>1</x:v>
      </x:c>
      <x:c r="R778" s="2" t="n">
        <x:f>IF(AND(M778=1,OR(Dashboard!$B$7="All",Dashboard!$B$7='Cycles &amp; Guide'!$C$5),OR(Dashboard!$D$7="All",Dashboard!$D$7=B778),OR(Dashboard!$F$7="All",Dashboard!$F$7=C778),OR(Dashboard!$H$7="All",Dashboard!$H$7=D778),OR(Dashboard!$K$7="All",Dashboard!$K$7=E778)),1,0)</x:f>
        <x:v>1</x:v>
      </x:c>
      <x:c r="S778" s="2" t="n">
        <x:f>IF(R778=1,SUM($R$10:R778),0)</x:f>
        <x:v>405</x:v>
      </x:c>
      <x:c r="T778" s="2" t="str">
        <x:v>Research &amp; Analysis</x:v>
      </x:c>
      <x:c r="U778" s="2" t="n">
        <x:v>50</x:v>
      </x:c>
      <x:c r="V778" s="2" t="n">
        <x:f>IF(AND(M778=1,P778=0,ISNUMBER(J778),J778&lt;TODAY()),1,0)</x:f>
        <x:v>1</x:v>
      </x:c>
      <x:c r="W778" s="2" t="str">
        <x:f>'Research &amp; Analysis'!M50</x:f>
        <x:v>Task</x:v>
      </x:c>
    </x:row>
    <x:row r="779" ht="40" customHeight="1">
      <x:c r="A779" s="3" t="str">
        <x:f>HYPERLINK("#'Research &amp; Analysis'!A51","Open")</x:f>
        <x:v>Open</x:v>
      </x:c>
      <x:c r="B779" s="2" t="str">
        <x:f>'Research &amp; Analysis'!B51</x:f>
        <x:v>Cycle 1</x:v>
      </x:c>
      <x:c r="C779" s="2" t="str">
        <x:f>'Research &amp; Analysis'!C51</x:f>
        <x:v>Phase 2</x:v>
      </x:c>
      <x:c r="D779" s="2" t="str">
        <x:f>'Research &amp; Analysis'!D51</x:f>
        <x:v>Cards</x:v>
      </x:c>
      <x:c r="E779" s="2" t="str">
        <x:v>Research &amp; Analysis</x:v>
      </x:c>
      <x:c r="F779" s="56" t="str">
        <x:f>'Research &amp; Analysis'!E51</x:f>
        <x:v>RA.CA.2.10</x:v>
      </x:c>
      <x:c r="G779" s="14" t="str">
        <x:f>'Research &amp; Analysis'!F51</x:f>
        <x:v>Identify and confirm root cause</x:v>
      </x:c>
      <x:c r="H779" s="2" t="str">
        <x:f>IF('Research &amp; Analysis'!G51="","",'Research &amp; Analysis'!G51)</x:f>
      </x:c>
      <x:c r="I779" s="12" t="str">
        <x:f>IF('Research &amp; Analysis'!H51="","",'Research &amp; Analysis'!H51)</x:f>
      </x:c>
      <x:c r="J779" s="12" t="n">
        <x:f>IF('Research &amp; Analysis'!I51="","",'Research &amp; Analysis'!I51)</x:f>
        <x:v>46112</x:v>
      </x:c>
      <x:c r="K779" s="12" t="str">
        <x:f>IF('Research &amp; Analysis'!J51="","",'Research &amp; Analysis'!J51)</x:f>
      </x:c>
      <x:c r="L779" s="2" t="str">
        <x:f>IF('Research &amp; Analysis'!K51="","",'Research &amp; Analysis'!K51)</x:f>
      </x:c>
      <x:c r="M779" s="2" t="n">
        <x:f>'Research &amp; Analysis'!Q51</x:f>
        <x:v>1</x:v>
      </x:c>
      <x:c r="N779" s="2" t="str">
        <x:f>'Research &amp; Analysis'!L51</x:f>
        <x:v>Not started</x:v>
      </x:c>
      <x:c r="O779" s="2" t="str">
        <x:f>'Research &amp; Analysis'!N51</x:f>
        <x:v>RA.CA.2.10.2026.CY1</x:v>
      </x:c>
      <x:c r="P779" s="2" t="n">
        <x:f>'Research &amp; Analysis'!O51</x:f>
        <x:v>0</x:v>
      </x:c>
      <x:c r="Q779" s="2" t="n">
        <x:f>SUBTOTAL(103,O779)</x:f>
        <x:v>1</x:v>
      </x:c>
      <x:c r="R779" s="2" t="n">
        <x:f>IF(AND(M779=1,OR(Dashboard!$B$7="All",Dashboard!$B$7='Cycles &amp; Guide'!$C$5),OR(Dashboard!$D$7="All",Dashboard!$D$7=B779),OR(Dashboard!$F$7="All",Dashboard!$F$7=C779),OR(Dashboard!$H$7="All",Dashboard!$H$7=D779),OR(Dashboard!$K$7="All",Dashboard!$K$7=E779)),1,0)</x:f>
        <x:v>1</x:v>
      </x:c>
      <x:c r="S779" s="2" t="n">
        <x:f>IF(R779=1,SUM($R$10:R779),0)</x:f>
        <x:v>406</x:v>
      </x:c>
      <x:c r="T779" s="2" t="str">
        <x:v>Research &amp; Analysis</x:v>
      </x:c>
      <x:c r="U779" s="2" t="n">
        <x:v>51</x:v>
      </x:c>
      <x:c r="V779" s="2" t="n">
        <x:f>IF(AND(M779=1,P779=0,ISNUMBER(J779),J779&lt;TODAY()),1,0)</x:f>
        <x:v>1</x:v>
      </x:c>
      <x:c r="W779" s="2" t="str">
        <x:f>'Research &amp; Analysis'!M51</x:f>
        <x:v>Task</x:v>
      </x:c>
    </x:row>
    <x:row r="780" ht="40" customHeight="1">
      <x:c r="A780" s="3" t="str">
        <x:f>HYPERLINK("#'Research &amp; Analysis'!A52","Open")</x:f>
        <x:v>Open</x:v>
      </x:c>
      <x:c r="B780" s="2" t="str">
        <x:f>'Research &amp; Analysis'!B52</x:f>
        <x:v>Cycle 1</x:v>
      </x:c>
      <x:c r="C780" s="2" t="str">
        <x:f>'Research &amp; Analysis'!C52</x:f>
        <x:v>Phase 3</x:v>
      </x:c>
      <x:c r="D780" s="2" t="str">
        <x:f>'Research &amp; Analysis'!D52</x:f>
        <x:v>Cards</x:v>
      </x:c>
      <x:c r="E780" s="2" t="str">
        <x:v>Research &amp; Analysis</x:v>
      </x:c>
      <x:c r="F780" s="56" t="str">
        <x:f>'Research &amp; Analysis'!E52</x:f>
        <x:v>RA.CA.3.1</x:v>
      </x:c>
      <x:c r="G780" s="14" t="str">
        <x:f>'Research &amp; Analysis'!F52</x:f>
        <x:v>Finalize results and supporting documentation</x:v>
      </x:c>
      <x:c r="H780" s="2" t="str">
        <x:f>IF('Research &amp; Analysis'!G52="","",'Research &amp; Analysis'!G52)</x:f>
      </x:c>
      <x:c r="I780" s="12" t="str">
        <x:f>IF('Research &amp; Analysis'!H52="","",'Research &amp; Analysis'!H52)</x:f>
      </x:c>
      <x:c r="J780" s="12" t="n">
        <x:f>IF('Research &amp; Analysis'!I52="","",'Research &amp; Analysis'!I52)</x:f>
        <x:v>46112</x:v>
      </x:c>
      <x:c r="K780" s="12" t="str">
        <x:f>IF('Research &amp; Analysis'!J52="","",'Research &amp; Analysis'!J52)</x:f>
      </x:c>
      <x:c r="L780" s="2" t="str">
        <x:f>IF('Research &amp; Analysis'!K52="","",'Research &amp; Analysis'!K52)</x:f>
      </x:c>
      <x:c r="M780" s="2" t="n">
        <x:f>'Research &amp; Analysis'!Q52</x:f>
        <x:v>1</x:v>
      </x:c>
      <x:c r="N780" s="2" t="str">
        <x:f>'Research &amp; Analysis'!L52</x:f>
        <x:v>Not started</x:v>
      </x:c>
      <x:c r="O780" s="2" t="str">
        <x:f>'Research &amp; Analysis'!N52</x:f>
        <x:v>RA.CA.3.1.2026.CY1</x:v>
      </x:c>
      <x:c r="P780" s="2" t="n">
        <x:f>'Research &amp; Analysis'!O52</x:f>
        <x:v>0</x:v>
      </x:c>
      <x:c r="Q780" s="2" t="n">
        <x:f>SUBTOTAL(103,O780)</x:f>
        <x:v>1</x:v>
      </x:c>
      <x:c r="R780" s="2" t="n">
        <x:f>IF(AND(M780=1,OR(Dashboard!$B$7="All",Dashboard!$B$7='Cycles &amp; Guide'!$C$5),OR(Dashboard!$D$7="All",Dashboard!$D$7=B780),OR(Dashboard!$F$7="All",Dashboard!$F$7=C780),OR(Dashboard!$H$7="All",Dashboard!$H$7=D780),OR(Dashboard!$K$7="All",Dashboard!$K$7=E780)),1,0)</x:f>
        <x:v>1</x:v>
      </x:c>
      <x:c r="S780" s="2" t="n">
        <x:f>IF(R780=1,SUM($R$10:R780),0)</x:f>
        <x:v>407</x:v>
      </x:c>
      <x:c r="T780" s="2" t="str">
        <x:v>Research &amp; Analysis</x:v>
      </x:c>
      <x:c r="U780" s="2" t="n">
        <x:v>52</x:v>
      </x:c>
      <x:c r="V780" s="2" t="n">
        <x:f>IF(AND(M780=1,P780=0,ISNUMBER(J780),J780&lt;TODAY()),1,0)</x:f>
        <x:v>1</x:v>
      </x:c>
      <x:c r="W780" s="2" t="str">
        <x:f>'Research &amp; Analysis'!M52</x:f>
        <x:v>Task</x:v>
      </x:c>
    </x:row>
    <x:row r="781" ht="40" customHeight="1">
      <x:c r="A781" s="3" t="str">
        <x:f>HYPERLINK("#'Research &amp; Analysis'!A53","Open")</x:f>
        <x:v>Open</x:v>
      </x:c>
      <x:c r="B781" s="2" t="str">
        <x:f>'Research &amp; Analysis'!B53</x:f>
        <x:v>Cycle 1</x:v>
      </x:c>
      <x:c r="C781" s="2" t="str">
        <x:f>'Research &amp; Analysis'!C53</x:f>
        <x:v>Phase 3</x:v>
      </x:c>
      <x:c r="D781" s="2" t="str">
        <x:f>'Research &amp; Analysis'!D53</x:f>
        <x:v>Cards</x:v>
      </x:c>
      <x:c r="E781" s="2" t="str">
        <x:v>Research &amp; Analysis</x:v>
      </x:c>
      <x:c r="F781" s="56" t="str">
        <x:f>'Research &amp; Analysis'!E53</x:f>
        <x:v>RA.CA.3.2</x:v>
      </x:c>
      <x:c r="G781" s="14" t="str">
        <x:f>'Research &amp; Analysis'!F53</x:f>
        <x:v>Maintain and update the evidence package prior to handoff to D&amp;I</x:v>
      </x:c>
      <x:c r="H781" s="2" t="str">
        <x:f>IF('Research &amp; Analysis'!G53="","",'Research &amp; Analysis'!G53)</x:f>
      </x:c>
      <x:c r="I781" s="12" t="str">
        <x:f>IF('Research &amp; Analysis'!H53="","",'Research &amp; Analysis'!H53)</x:f>
      </x:c>
      <x:c r="J781" s="12" t="n">
        <x:f>IF('Research &amp; Analysis'!I53="","",'Research &amp; Analysis'!I53)</x:f>
        <x:v>46112</x:v>
      </x:c>
      <x:c r="K781" s="12" t="str">
        <x:f>IF('Research &amp; Analysis'!J53="","",'Research &amp; Analysis'!J53)</x:f>
      </x:c>
      <x:c r="L781" s="2" t="str">
        <x:f>IF('Research &amp; Analysis'!K53="","",'Research &amp; Analysis'!K53)</x:f>
      </x:c>
      <x:c r="M781" s="2" t="n">
        <x:f>'Research &amp; Analysis'!Q53</x:f>
        <x:v>1</x:v>
      </x:c>
      <x:c r="N781" s="2" t="str">
        <x:f>'Research &amp; Analysis'!L53</x:f>
        <x:v>Not started</x:v>
      </x:c>
      <x:c r="O781" s="2" t="str">
        <x:f>'Research &amp; Analysis'!N53</x:f>
        <x:v>RA.CA.3.2.2026.CY1</x:v>
      </x:c>
      <x:c r="P781" s="2" t="n">
        <x:f>'Research &amp; Analysis'!O53</x:f>
        <x:v>0</x:v>
      </x:c>
      <x:c r="Q781" s="2" t="n">
        <x:f>SUBTOTAL(103,O781)</x:f>
        <x:v>1</x:v>
      </x:c>
      <x:c r="R781" s="2" t="n">
        <x:f>IF(AND(M781=1,OR(Dashboard!$B$7="All",Dashboard!$B$7='Cycles &amp; Guide'!$C$5),OR(Dashboard!$D$7="All",Dashboard!$D$7=B781),OR(Dashboard!$F$7="All",Dashboard!$F$7=C781),OR(Dashboard!$H$7="All",Dashboard!$H$7=D781),OR(Dashboard!$K$7="All",Dashboard!$K$7=E781)),1,0)</x:f>
        <x:v>1</x:v>
      </x:c>
      <x:c r="S781" s="2" t="n">
        <x:f>IF(R781=1,SUM($R$10:R781),0)</x:f>
        <x:v>408</x:v>
      </x:c>
      <x:c r="T781" s="2" t="str">
        <x:v>Research &amp; Analysis</x:v>
      </x:c>
      <x:c r="U781" s="2" t="n">
        <x:v>53</x:v>
      </x:c>
      <x:c r="V781" s="2" t="n">
        <x:f>IF(AND(M781=1,P781=0,ISNUMBER(J781),J781&lt;TODAY()),1,0)</x:f>
        <x:v>1</x:v>
      </x:c>
      <x:c r="W781" s="2" t="str">
        <x:f>'Research &amp; Analysis'!M53</x:f>
        <x:v>Task</x:v>
      </x:c>
    </x:row>
    <x:row r="782" ht="40" customHeight="1">
      <x:c r="A782" s="3" t="str">
        <x:f>HYPERLINK("#'Research &amp; Analysis'!A54","Open")</x:f>
        <x:v>Open</x:v>
      </x:c>
      <x:c r="B782" s="2" t="str">
        <x:f>'Research &amp; Analysis'!B54</x:f>
        <x:v>Cycle 1</x:v>
      </x:c>
      <x:c r="C782" s="2" t="str">
        <x:f>'Research &amp; Analysis'!C54</x:f>
        <x:v>Phase 3</x:v>
      </x:c>
      <x:c r="D782" s="2" t="str">
        <x:f>'Research &amp; Analysis'!D54</x:f>
        <x:v>Cards</x:v>
      </x:c>
      <x:c r="E782" s="2" t="str">
        <x:v>Research &amp; Analysis</x:v>
      </x:c>
      <x:c r="F782" s="56" t="str">
        <x:f>'Research &amp; Analysis'!E54</x:f>
        <x:v>RA.CA.3.3</x:v>
      </x:c>
      <x:c r="G782" s="14" t="str">
        <x:f>'Research &amp; Analysis'!F54</x:f>
        <x:v>Address any outstanding questions or requests from D&amp;I</x:v>
      </x:c>
      <x:c r="H782" s="2" t="str">
        <x:f>IF('Research &amp; Analysis'!G54="","",'Research &amp; Analysis'!G54)</x:f>
      </x:c>
      <x:c r="I782" s="12" t="str">
        <x:f>IF('Research &amp; Analysis'!H54="","",'Research &amp; Analysis'!H54)</x:f>
      </x:c>
      <x:c r="J782" s="12" t="n">
        <x:f>IF('Research &amp; Analysis'!I54="","",'Research &amp; Analysis'!I54)</x:f>
        <x:v>46112</x:v>
      </x:c>
      <x:c r="K782" s="12" t="str">
        <x:f>IF('Research &amp; Analysis'!J54="","",'Research &amp; Analysis'!J54)</x:f>
      </x:c>
      <x:c r="L782" s="2" t="str">
        <x:f>IF('Research &amp; Analysis'!K54="","",'Research &amp; Analysis'!K54)</x:f>
      </x:c>
      <x:c r="M782" s="2" t="n">
        <x:f>'Research &amp; Analysis'!Q54</x:f>
        <x:v>1</x:v>
      </x:c>
      <x:c r="N782" s="2" t="str">
        <x:f>'Research &amp; Analysis'!L54</x:f>
        <x:v>Not started</x:v>
      </x:c>
      <x:c r="O782" s="2" t="str">
        <x:f>'Research &amp; Analysis'!N54</x:f>
        <x:v>RA.CA.3.3.2026.CY1</x:v>
      </x:c>
      <x:c r="P782" s="2" t="n">
        <x:f>'Research &amp; Analysis'!O54</x:f>
        <x:v>0</x:v>
      </x:c>
      <x:c r="Q782" s="2" t="n">
        <x:f>SUBTOTAL(103,O782)</x:f>
        <x:v>1</x:v>
      </x:c>
      <x:c r="R782" s="2" t="n">
        <x:f>IF(AND(M782=1,OR(Dashboard!$B$7="All",Dashboard!$B$7='Cycles &amp; Guide'!$C$5),OR(Dashboard!$D$7="All",Dashboard!$D$7=B782),OR(Dashboard!$F$7="All",Dashboard!$F$7=C782),OR(Dashboard!$H$7="All",Dashboard!$H$7=D782),OR(Dashboard!$K$7="All",Dashboard!$K$7=E782)),1,0)</x:f>
        <x:v>1</x:v>
      </x:c>
      <x:c r="S782" s="2" t="n">
        <x:f>IF(R782=1,SUM($R$10:R782),0)</x:f>
        <x:v>409</x:v>
      </x:c>
      <x:c r="T782" s="2" t="str">
        <x:v>Research &amp; Analysis</x:v>
      </x:c>
      <x:c r="U782" s="2" t="n">
        <x:v>54</x:v>
      </x:c>
      <x:c r="V782" s="2" t="n">
        <x:f>IF(AND(M782=1,P782=0,ISNUMBER(J782),J782&lt;TODAY()),1,0)</x:f>
        <x:v>1</x:v>
      </x:c>
      <x:c r="W782" s="2" t="str">
        <x:f>'Research &amp; Analysis'!M54</x:f>
        <x:v>Task</x:v>
      </x:c>
    </x:row>
    <x:row r="783" ht="40" customHeight="1">
      <x:c r="A783" s="3" t="str">
        <x:f>HYPERLINK("#'Research &amp; Analysis'!A55","Open")</x:f>
        <x:v>Open</x:v>
      </x:c>
      <x:c r="B783" s="2" t="str">
        <x:f>'Research &amp; Analysis'!B55</x:f>
        <x:v>Cycle 1</x:v>
      </x:c>
      <x:c r="C783" s="2" t="str">
        <x:f>'Research &amp; Analysis'!C55</x:f>
        <x:v>Phase 3</x:v>
      </x:c>
      <x:c r="D783" s="2" t="str">
        <x:f>'Research &amp; Analysis'!D55</x:f>
        <x:v>Cards</x:v>
      </x:c>
      <x:c r="E783" s="2" t="str">
        <x:v>Research &amp; Analysis</x:v>
      </x:c>
      <x:c r="F783" s="56" t="str">
        <x:f>'Research &amp; Analysis'!E55</x:f>
        <x:v>RA.CA.3.4</x:v>
      </x:c>
      <x:c r="G783" s="14" t="str">
        <x:f>'Research &amp; Analysis'!F55</x:f>
        <x:v>Attend Forum meeting with D&amp;I to assist with answering stakeholder questions (as needed)</x:v>
      </x:c>
      <x:c r="H783" s="2" t="str">
        <x:f>IF('Research &amp; Analysis'!G55="","",'Research &amp; Analysis'!G55)</x:f>
      </x:c>
      <x:c r="I783" s="12" t="str">
        <x:f>IF('Research &amp; Analysis'!H55="","",'Research &amp; Analysis'!H55)</x:f>
      </x:c>
      <x:c r="J783" s="12" t="str">
        <x:f>IF('Research &amp; Analysis'!I55="","",'Research &amp; Analysis'!I55)</x:f>
      </x:c>
      <x:c r="K783" s="12" t="str">
        <x:f>IF('Research &amp; Analysis'!J55="","",'Research &amp; Analysis'!J55)</x:f>
      </x:c>
      <x:c r="L783" s="2" t="str">
        <x:f>IF('Research &amp; Analysis'!K55="","",'Research &amp; Analysis'!K55)</x:f>
      </x:c>
      <x:c r="M783" s="2" t="n">
        <x:f>'Research &amp; Analysis'!Q55</x:f>
        <x:v>1</x:v>
      </x:c>
      <x:c r="N783" s="2" t="str">
        <x:f>'Research &amp; Analysis'!L55</x:f>
        <x:v>Not started</x:v>
      </x:c>
      <x:c r="O783" s="2" t="str">
        <x:f>'Research &amp; Analysis'!N55</x:f>
        <x:v>RA.CA.3.4.2026.CY1</x:v>
      </x:c>
      <x:c r="P783" s="2" t="n">
        <x:f>'Research &amp; Analysis'!O55</x:f>
        <x:v>0</x:v>
      </x:c>
      <x:c r="Q783" s="2" t="n">
        <x:f>SUBTOTAL(103,O783)</x:f>
        <x:v>1</x:v>
      </x:c>
      <x:c r="R783" s="2" t="n">
        <x:f>IF(AND(M783=1,OR(Dashboard!$B$7="All",Dashboard!$B$7='Cycles &amp; Guide'!$C$5),OR(Dashboard!$D$7="All",Dashboard!$D$7=B783),OR(Dashboard!$F$7="All",Dashboard!$F$7=C783),OR(Dashboard!$H$7="All",Dashboard!$H$7=D783),OR(Dashboard!$K$7="All",Dashboard!$K$7=E783)),1,0)</x:f>
        <x:v>1</x:v>
      </x:c>
      <x:c r="S783" s="2" t="n">
        <x:f>IF(R783=1,SUM($R$10:R783),0)</x:f>
        <x:v>410</x:v>
      </x:c>
      <x:c r="T783" s="2" t="str">
        <x:v>Research &amp; Analysis</x:v>
      </x:c>
      <x:c r="U783" s="2" t="n">
        <x:v>55</x:v>
      </x:c>
      <x:c r="V783" s="2" t="n">
        <x:f>IF(AND(M783=1,P783=0,ISNUMBER(J783),J783&lt;TODAY()),1,0)</x:f>
        <x:v>0</x:v>
      </x:c>
      <x:c r="W783" s="2" t="str">
        <x:f>'Research &amp; Analysis'!M55</x:f>
        <x:v>Task</x:v>
      </x:c>
    </x:row>
    <x:row r="784" ht="40" customHeight="1">
      <x:c r="A784" s="3" t="str">
        <x:f>HYPERLINK("#'Research &amp; Analysis'!A56","Open")</x:f>
        <x:v>Open</x:v>
      </x:c>
      <x:c r="B784" s="2" t="str">
        <x:f>'Research &amp; Analysis'!B56</x:f>
        <x:v>Cycle 1</x:v>
      </x:c>
      <x:c r="C784" s="2" t="str">
        <x:f>'Research &amp; Analysis'!C56</x:f>
        <x:v>Phase 1</x:v>
      </x:c>
      <x:c r="D784" s="2" t="str">
        <x:f>'Research &amp; Analysis'!D56</x:f>
        <x:v>CSBBO - Banking Ops</x:v>
      </x:c>
      <x:c r="E784" s="2" t="str">
        <x:v>Research &amp; Analysis</x:v>
      </x:c>
      <x:c r="F784" s="56" t="str">
        <x:f>'Research &amp; Analysis'!E56</x:f>
        <x:v>RA.BO.1.1</x:v>
      </x:c>
      <x:c r="G784" s="14" t="str">
        <x:f>'Research &amp; Analysis'!F56</x:f>
        <x:v>Begin Research process 2 weeks prior to Cycle start</x:v>
      </x:c>
      <x:c r="H784" s="2" t="str">
        <x:f>IF('Research &amp; Analysis'!G56="","",'Research &amp; Analysis'!G56)</x:f>
      </x:c>
      <x:c r="I784" s="12" t="str">
        <x:f>IF('Research &amp; Analysis'!H56="","",'Research &amp; Analysis'!H56)</x:f>
      </x:c>
      <x:c r="J784" s="12" t="n">
        <x:f>IF('Research &amp; Analysis'!I56="","",'Research &amp; Analysis'!I56)</x:f>
        <x:v>46009</x:v>
      </x:c>
      <x:c r="K784" s="12" t="str">
        <x:f>IF('Research &amp; Analysis'!J56="","",'Research &amp; Analysis'!J56)</x:f>
      </x:c>
      <x:c r="L784" s="2" t="str">
        <x:f>IF('Research &amp; Analysis'!K56="","",'Research &amp; Analysis'!K56)</x:f>
      </x:c>
      <x:c r="M784" s="2" t="n">
        <x:f>'Research &amp; Analysis'!Q56</x:f>
        <x:v>1</x:v>
      </x:c>
      <x:c r="N784" s="2" t="str">
        <x:f>'Research &amp; Analysis'!L56</x:f>
        <x:v>Not started</x:v>
      </x:c>
      <x:c r="O784" s="2" t="str">
        <x:f>'Research &amp; Analysis'!N56</x:f>
        <x:v>RA.BO.1.1.2026.CY1</x:v>
      </x:c>
      <x:c r="P784" s="2" t="n">
        <x:f>'Research &amp; Analysis'!O56</x:f>
        <x:v>0</x:v>
      </x:c>
      <x:c r="Q784" s="2" t="n">
        <x:f>SUBTOTAL(103,O784)</x:f>
        <x:v>1</x:v>
      </x:c>
      <x:c r="R784" s="2" t="n">
        <x:f>IF(AND(M784=1,OR(Dashboard!$B$7="All",Dashboard!$B$7='Cycles &amp; Guide'!$C$5),OR(Dashboard!$D$7="All",Dashboard!$D$7=B784),OR(Dashboard!$F$7="All",Dashboard!$F$7=C784),OR(Dashboard!$H$7="All",Dashboard!$H$7=D784),OR(Dashboard!$K$7="All",Dashboard!$K$7=E784)),1,0)</x:f>
        <x:v>1</x:v>
      </x:c>
      <x:c r="S784" s="2" t="n">
        <x:f>IF(R784=1,SUM($R$10:R784),0)</x:f>
        <x:v>411</x:v>
      </x:c>
      <x:c r="T784" s="2" t="str">
        <x:v>Research &amp; Analysis</x:v>
      </x:c>
      <x:c r="U784" s="2" t="n">
        <x:v>56</x:v>
      </x:c>
      <x:c r="V784" s="2" t="n">
        <x:f>IF(AND(M784=1,P784=0,ISNUMBER(J784),J784&lt;TODAY()),1,0)</x:f>
        <x:v>1</x:v>
      </x:c>
      <x:c r="W784" s="2" t="str">
        <x:f>'Research &amp; Analysis'!M56</x:f>
        <x:v>Task</x:v>
      </x:c>
    </x:row>
    <x:row r="785" ht="40" customHeight="1">
      <x:c r="A785" s="3" t="str">
        <x:f>HYPERLINK("#'Research &amp; Analysis'!A57","Open")</x:f>
        <x:v>Open</x:v>
      </x:c>
      <x:c r="B785" s="2" t="str">
        <x:f>'Research &amp; Analysis'!B57</x:f>
        <x:v>Cycle 1</x:v>
      </x:c>
      <x:c r="C785" s="2" t="str">
        <x:f>'Research &amp; Analysis'!C57</x:f>
        <x:v>Phase 1</x:v>
      </x:c>
      <x:c r="D785" s="2" t="str">
        <x:f>'Research &amp; Analysis'!D57</x:f>
        <x:v>CSBBO - Banking Ops</x:v>
      </x:c>
      <x:c r="E785" s="2" t="str">
        <x:v>Research &amp; Analysis</x:v>
      </x:c>
      <x:c r="F785" s="56" t="str">
        <x:f>'Research &amp; Analysis'!E57</x:f>
        <x:v>RA.BO.1.2</x:v>
      </x:c>
      <x:c r="G785" s="14" t="str">
        <x:f>'Research &amp; Analysis'!F57</x:f>
        <x:v>Conduct initial assessment of each topic recommendation from SharePoint list</x:v>
      </x:c>
      <x:c r="H785" s="2" t="str">
        <x:f>IF('Research &amp; Analysis'!G57="","",'Research &amp; Analysis'!G57)</x:f>
      </x:c>
      <x:c r="I785" s="12" t="str">
        <x:f>IF('Research &amp; Analysis'!H57="","",'Research &amp; Analysis'!H57)</x:f>
      </x:c>
      <x:c r="J785" s="12" t="n">
        <x:f>IF('Research &amp; Analysis'!I57="","",'Research &amp; Analysis'!I57)</x:f>
        <x:v>46112</x:v>
      </x:c>
      <x:c r="K785" s="12" t="str">
        <x:f>IF('Research &amp; Analysis'!J57="","",'Research &amp; Analysis'!J57)</x:f>
      </x:c>
      <x:c r="L785" s="2" t="str">
        <x:f>IF('Research &amp; Analysis'!K57="","",'Research &amp; Analysis'!K57)</x:f>
      </x:c>
      <x:c r="M785" s="2" t="n">
        <x:f>'Research &amp; Analysis'!Q57</x:f>
        <x:v>1</x:v>
      </x:c>
      <x:c r="N785" s="2" t="str">
        <x:f>'Research &amp; Analysis'!L57</x:f>
        <x:v>Not started</x:v>
      </x:c>
      <x:c r="O785" s="2" t="str">
        <x:f>'Research &amp; Analysis'!N57</x:f>
        <x:v>RA.BO.1.2.2026.CY1</x:v>
      </x:c>
      <x:c r="P785" s="2" t="n">
        <x:f>'Research &amp; Analysis'!O57</x:f>
        <x:v>0</x:v>
      </x:c>
      <x:c r="Q785" s="2" t="n">
        <x:f>SUBTOTAL(103,O785)</x:f>
        <x:v>1</x:v>
      </x:c>
      <x:c r="R785" s="2" t="n">
        <x:f>IF(AND(M785=1,OR(Dashboard!$B$7="All",Dashboard!$B$7='Cycles &amp; Guide'!$C$5),OR(Dashboard!$D$7="All",Dashboard!$D$7=B785),OR(Dashboard!$F$7="All",Dashboard!$F$7=C785),OR(Dashboard!$H$7="All",Dashboard!$H$7=D785),OR(Dashboard!$K$7="All",Dashboard!$K$7=E785)),1,0)</x:f>
        <x:v>1</x:v>
      </x:c>
      <x:c r="S785" s="2" t="n">
        <x:f>IF(R785=1,SUM($R$10:R785),0)</x:f>
        <x:v>412</x:v>
      </x:c>
      <x:c r="T785" s="2" t="str">
        <x:v>Research &amp; Analysis</x:v>
      </x:c>
      <x:c r="U785" s="2" t="n">
        <x:v>57</x:v>
      </x:c>
      <x:c r="V785" s="2" t="n">
        <x:f>IF(AND(M785=1,P785=0,ISNUMBER(J785),J785&lt;TODAY()),1,0)</x:f>
        <x:v>1</x:v>
      </x:c>
      <x:c r="W785" s="2" t="str">
        <x:f>'Research &amp; Analysis'!M57</x:f>
        <x:v>Task</x:v>
      </x:c>
    </x:row>
    <x:row r="786" ht="40" customHeight="1">
      <x:c r="A786" s="3" t="str">
        <x:f>HYPERLINK("#'Research &amp; Analysis'!A58","Open")</x:f>
        <x:v>Open</x:v>
      </x:c>
      <x:c r="B786" s="2" t="str">
        <x:f>'Research &amp; Analysis'!B58</x:f>
        <x:v>Cycle 1</x:v>
      </x:c>
      <x:c r="C786" s="2" t="str">
        <x:f>'Research &amp; Analysis'!C58</x:f>
        <x:v>Phase 1</x:v>
      </x:c>
      <x:c r="D786" s="2" t="str">
        <x:f>'Research &amp; Analysis'!D58</x:f>
        <x:v>CSBBO - Banking Ops</x:v>
      </x:c>
      <x:c r="E786" s="2" t="str">
        <x:v>Research &amp; Analysis</x:v>
      </x:c>
      <x:c r="F786" s="56" t="str">
        <x:f>'Research &amp; Analysis'!E58</x:f>
        <x:v>RA.BO.1.3</x:v>
      </x:c>
      <x:c r="G786" s="14" t="str">
        <x:f>'Research &amp; Analysis'!F58</x:f>
        <x:v>Identify best topic for Cycle</x:v>
      </x:c>
      <x:c r="H786" s="2" t="str">
        <x:f>IF('Research &amp; Analysis'!G58="","",'Research &amp; Analysis'!G58)</x:f>
      </x:c>
      <x:c r="I786" s="12" t="str">
        <x:f>IF('Research &amp; Analysis'!H58="","",'Research &amp; Analysis'!H58)</x:f>
      </x:c>
      <x:c r="J786" s="12" t="n">
        <x:f>IF('Research &amp; Analysis'!I58="","",'Research &amp; Analysis'!I58)</x:f>
        <x:v>46112</x:v>
      </x:c>
      <x:c r="K786" s="12" t="str">
        <x:f>IF('Research &amp; Analysis'!J58="","",'Research &amp; Analysis'!J58)</x:f>
      </x:c>
      <x:c r="L786" s="2" t="str">
        <x:f>IF('Research &amp; Analysis'!K58="","",'Research &amp; Analysis'!K58)</x:f>
      </x:c>
      <x:c r="M786" s="2" t="n">
        <x:f>'Research &amp; Analysis'!Q58</x:f>
        <x:v>1</x:v>
      </x:c>
      <x:c r="N786" s="2" t="str">
        <x:f>'Research &amp; Analysis'!L58</x:f>
        <x:v>Not started</x:v>
      </x:c>
      <x:c r="O786" s="2" t="str">
        <x:f>'Research &amp; Analysis'!N58</x:f>
        <x:v>RA.BO.1.3.2026.CY1</x:v>
      </x:c>
      <x:c r="P786" s="2" t="n">
        <x:f>'Research &amp; Analysis'!O58</x:f>
        <x:v>0</x:v>
      </x:c>
      <x:c r="Q786" s="2" t="n">
        <x:f>SUBTOTAL(103,O786)</x:f>
        <x:v>1</x:v>
      </x:c>
      <x:c r="R786" s="2" t="n">
        <x:f>IF(AND(M786=1,OR(Dashboard!$B$7="All",Dashboard!$B$7='Cycles &amp; Guide'!$C$5),OR(Dashboard!$D$7="All",Dashboard!$D$7=B786),OR(Dashboard!$F$7="All",Dashboard!$F$7=C786),OR(Dashboard!$H$7="All",Dashboard!$H$7=D786),OR(Dashboard!$K$7="All",Dashboard!$K$7=E786)),1,0)</x:f>
        <x:v>1</x:v>
      </x:c>
      <x:c r="S786" s="2" t="n">
        <x:f>IF(R786=1,SUM($R$10:R786),0)</x:f>
        <x:v>413</x:v>
      </x:c>
      <x:c r="T786" s="2" t="str">
        <x:v>Research &amp; Analysis</x:v>
      </x:c>
      <x:c r="U786" s="2" t="n">
        <x:v>58</x:v>
      </x:c>
      <x:c r="V786" s="2" t="n">
        <x:f>IF(AND(M786=1,P786=0,ISNUMBER(J786),J786&lt;TODAY()),1,0)</x:f>
        <x:v>1</x:v>
      </x:c>
      <x:c r="W786" s="2" t="str">
        <x:f>'Research &amp; Analysis'!M58</x:f>
        <x:v>Task</x:v>
      </x:c>
    </x:row>
    <x:row r="787" ht="40" customHeight="1">
      <x:c r="A787" s="3" t="str">
        <x:f>HYPERLINK("#'Research &amp; Analysis'!A59","Open")</x:f>
        <x:v>Open</x:v>
      </x:c>
      <x:c r="B787" s="2" t="str">
        <x:f>'Research &amp; Analysis'!B59</x:f>
        <x:v>Cycle 1</x:v>
      </x:c>
      <x:c r="C787" s="2" t="str">
        <x:f>'Research &amp; Analysis'!C59</x:f>
        <x:v>Phase 1</x:v>
      </x:c>
      <x:c r="D787" s="2" t="str">
        <x:f>'Research &amp; Analysis'!D59</x:f>
        <x:v>CSBBO - Banking Ops</x:v>
      </x:c>
      <x:c r="E787" s="2" t="str">
        <x:v>Research &amp; Analysis</x:v>
      </x:c>
      <x:c r="F787" s="56" t="str">
        <x:f>'Research &amp; Analysis'!E59</x:f>
        <x:v>RA.BO.1.4</x:v>
      </x:c>
      <x:c r="G787" s="14" t="str">
        <x:f>'Research &amp; Analysis'!F59</x:f>
        <x:v>Identify backup topic for Cycle</x:v>
      </x:c>
      <x:c r="H787" s="2" t="str">
        <x:f>IF('Research &amp; Analysis'!G59="","",'Research &amp; Analysis'!G59)</x:f>
      </x:c>
      <x:c r="I787" s="12" t="str">
        <x:f>IF('Research &amp; Analysis'!H59="","",'Research &amp; Analysis'!H59)</x:f>
      </x:c>
      <x:c r="J787" s="12" t="n">
        <x:f>IF('Research &amp; Analysis'!I59="","",'Research &amp; Analysis'!I59)</x:f>
        <x:v>46112</x:v>
      </x:c>
      <x:c r="K787" s="12" t="str">
        <x:f>IF('Research &amp; Analysis'!J59="","",'Research &amp; Analysis'!J59)</x:f>
      </x:c>
      <x:c r="L787" s="2" t="str">
        <x:f>IF('Research &amp; Analysis'!K59="","",'Research &amp; Analysis'!K59)</x:f>
      </x:c>
      <x:c r="M787" s="2" t="n">
        <x:f>'Research &amp; Analysis'!Q59</x:f>
        <x:v>1</x:v>
      </x:c>
      <x:c r="N787" s="2" t="str">
        <x:f>'Research &amp; Analysis'!L59</x:f>
        <x:v>Not started</x:v>
      </x:c>
      <x:c r="O787" s="2" t="str">
        <x:f>'Research &amp; Analysis'!N59</x:f>
        <x:v>RA.BO.1.4.2026.CY1</x:v>
      </x:c>
      <x:c r="P787" s="2" t="n">
        <x:f>'Research &amp; Analysis'!O59</x:f>
        <x:v>0</x:v>
      </x:c>
      <x:c r="Q787" s="2" t="n">
        <x:f>SUBTOTAL(103,O787)</x:f>
        <x:v>1</x:v>
      </x:c>
      <x:c r="R787" s="2" t="n">
        <x:f>IF(AND(M787=1,OR(Dashboard!$B$7="All",Dashboard!$B$7='Cycles &amp; Guide'!$C$5),OR(Dashboard!$D$7="All",Dashboard!$D$7=B787),OR(Dashboard!$F$7="All",Dashboard!$F$7=C787),OR(Dashboard!$H$7="All",Dashboard!$H$7=D787),OR(Dashboard!$K$7="All",Dashboard!$K$7=E787)),1,0)</x:f>
        <x:v>1</x:v>
      </x:c>
      <x:c r="S787" s="2" t="n">
        <x:f>IF(R787=1,SUM($R$10:R787),0)</x:f>
        <x:v>414</x:v>
      </x:c>
      <x:c r="T787" s="2" t="str">
        <x:v>Research &amp; Analysis</x:v>
      </x:c>
      <x:c r="U787" s="2" t="n">
        <x:v>59</x:v>
      </x:c>
      <x:c r="V787" s="2" t="n">
        <x:f>IF(AND(M787=1,P787=0,ISNUMBER(J787),J787&lt;TODAY()),1,0)</x:f>
        <x:v>1</x:v>
      </x:c>
      <x:c r="W787" s="2" t="str">
        <x:f>'Research &amp; Analysis'!M59</x:f>
        <x:v>Task</x:v>
      </x:c>
    </x:row>
    <x:row r="788" ht="40" customHeight="1">
      <x:c r="A788" s="3" t="str">
        <x:f>HYPERLINK("#'Research &amp; Analysis'!A60","Open")</x:f>
        <x:v>Open</x:v>
      </x:c>
      <x:c r="B788" s="2" t="str">
        <x:f>'Research &amp; Analysis'!B60</x:f>
        <x:v>Cycle 1</x:v>
      </x:c>
      <x:c r="C788" s="2" t="str">
        <x:f>'Research &amp; Analysis'!C60</x:f>
        <x:v>Phase 1</x:v>
      </x:c>
      <x:c r="D788" s="2" t="str">
        <x:f>'Research &amp; Analysis'!D60</x:f>
        <x:v>CSBBO - Banking Ops</x:v>
      </x:c>
      <x:c r="E788" s="2" t="str">
        <x:v>Research &amp; Analysis</x:v>
      </x:c>
      <x:c r="F788" s="56" t="str">
        <x:f>'Research &amp; Analysis'!E60</x:f>
        <x:v>RA.BO.1.5</x:v>
      </x:c>
      <x:c r="G788" s="14" t="str">
        <x:f>'Research &amp; Analysis'!F60</x:f>
        <x:v>Schedule topic approval meeting with D&amp;I and management</x:v>
      </x:c>
      <x:c r="H788" s="2" t="str">
        <x:f>IF('Research &amp; Analysis'!G60="","",'Research &amp; Analysis'!G60)</x:f>
      </x:c>
      <x:c r="I788" s="12" t="str">
        <x:f>IF('Research &amp; Analysis'!H60="","",'Research &amp; Analysis'!H60)</x:f>
      </x:c>
      <x:c r="J788" s="12" t="n">
        <x:f>IF('Research &amp; Analysis'!I60="","",'Research &amp; Analysis'!I60)</x:f>
        <x:v>46112</x:v>
      </x:c>
      <x:c r="K788" s="12" t="str">
        <x:f>IF('Research &amp; Analysis'!J60="","",'Research &amp; Analysis'!J60)</x:f>
      </x:c>
      <x:c r="L788" s="2" t="str">
        <x:f>IF('Research &amp; Analysis'!K60="","",'Research &amp; Analysis'!K60)</x:f>
      </x:c>
      <x:c r="M788" s="2" t="n">
        <x:f>'Research &amp; Analysis'!Q60</x:f>
        <x:v>1</x:v>
      </x:c>
      <x:c r="N788" s="2" t="str">
        <x:f>'Research &amp; Analysis'!L60</x:f>
        <x:v>Not started</x:v>
      </x:c>
      <x:c r="O788" s="2" t="str">
        <x:f>'Research &amp; Analysis'!N60</x:f>
        <x:v>RA.BO.1.5.2026.CY1</x:v>
      </x:c>
      <x:c r="P788" s="2" t="n">
        <x:f>'Research &amp; Analysis'!O60</x:f>
        <x:v>0</x:v>
      </x:c>
      <x:c r="Q788" s="2" t="n">
        <x:f>SUBTOTAL(103,O788)</x:f>
        <x:v>1</x:v>
      </x:c>
      <x:c r="R788" s="2" t="n">
        <x:f>IF(AND(M788=1,OR(Dashboard!$B$7="All",Dashboard!$B$7='Cycles &amp; Guide'!$C$5),OR(Dashboard!$D$7="All",Dashboard!$D$7=B788),OR(Dashboard!$F$7="All",Dashboard!$F$7=C788),OR(Dashboard!$H$7="All",Dashboard!$H$7=D788),OR(Dashboard!$K$7="All",Dashboard!$K$7=E788)),1,0)</x:f>
        <x:v>1</x:v>
      </x:c>
      <x:c r="S788" s="2" t="n">
        <x:f>IF(R788=1,SUM($R$10:R788),0)</x:f>
        <x:v>415</x:v>
      </x:c>
      <x:c r="T788" s="2" t="str">
        <x:v>Research &amp; Analysis</x:v>
      </x:c>
      <x:c r="U788" s="2" t="n">
        <x:v>60</x:v>
      </x:c>
      <x:c r="V788" s="2" t="n">
        <x:f>IF(AND(M788=1,P788=0,ISNUMBER(J788),J788&lt;TODAY()),1,0)</x:f>
        <x:v>1</x:v>
      </x:c>
      <x:c r="W788" s="2" t="str">
        <x:f>'Research &amp; Analysis'!M60</x:f>
        <x:v>Task</x:v>
      </x:c>
    </x:row>
    <x:row r="789" ht="40" customHeight="1">
      <x:c r="A789" s="3" t="str">
        <x:f>HYPERLINK("#'Research &amp; Analysis'!A61","Open")</x:f>
        <x:v>Open</x:v>
      </x:c>
      <x:c r="B789" s="2" t="str">
        <x:f>'Research &amp; Analysis'!B61</x:f>
        <x:v>Cycle 1</x:v>
      </x:c>
      <x:c r="C789" s="2" t="str">
        <x:f>'Research &amp; Analysis'!C61</x:f>
        <x:v>Phase 1</x:v>
      </x:c>
      <x:c r="D789" s="2" t="str">
        <x:f>'Research &amp; Analysis'!D61</x:f>
        <x:v>CSBBO - Banking Ops</x:v>
      </x:c>
      <x:c r="E789" s="2" t="str">
        <x:v>Research &amp; Analysis</x:v>
      </x:c>
      <x:c r="F789" s="56" t="str">
        <x:f>'Research &amp; Analysis'!E61</x:f>
        <x:v>RA.BO.1.6</x:v>
      </x:c>
      <x:c r="G789" s="14" t="str">
        <x:f>'Research &amp; Analysis'!F61</x:f>
        <x:v>Present recommended topic to D&amp;I and management for approval</x:v>
      </x:c>
      <x:c r="H789" s="2" t="str">
        <x:f>IF('Research &amp; Analysis'!G61="","",'Research &amp; Analysis'!G61)</x:f>
      </x:c>
      <x:c r="I789" s="12" t="str">
        <x:f>IF('Research &amp; Analysis'!H61="","",'Research &amp; Analysis'!H61)</x:f>
      </x:c>
      <x:c r="J789" s="12" t="n">
        <x:f>IF('Research &amp; Analysis'!I61="","",'Research &amp; Analysis'!I61)</x:f>
        <x:v>46112</x:v>
      </x:c>
      <x:c r="K789" s="12" t="str">
        <x:f>IF('Research &amp; Analysis'!J61="","",'Research &amp; Analysis'!J61)</x:f>
      </x:c>
      <x:c r="L789" s="2" t="str">
        <x:f>IF('Research &amp; Analysis'!K61="","",'Research &amp; Analysis'!K61)</x:f>
      </x:c>
      <x:c r="M789" s="2" t="n">
        <x:f>'Research &amp; Analysis'!Q61</x:f>
        <x:v>1</x:v>
      </x:c>
      <x:c r="N789" s="2" t="str">
        <x:f>'Research &amp; Analysis'!L61</x:f>
        <x:v>Not started</x:v>
      </x:c>
      <x:c r="O789" s="2" t="str">
        <x:f>'Research &amp; Analysis'!N61</x:f>
        <x:v>RA.BO.1.6.2026.CY1</x:v>
      </x:c>
      <x:c r="P789" s="2" t="n">
        <x:f>'Research &amp; Analysis'!O61</x:f>
        <x:v>0</x:v>
      </x:c>
      <x:c r="Q789" s="2" t="n">
        <x:f>SUBTOTAL(103,O789)</x:f>
        <x:v>1</x:v>
      </x:c>
      <x:c r="R789" s="2" t="n">
        <x:f>IF(AND(M789=1,OR(Dashboard!$B$7="All",Dashboard!$B$7='Cycles &amp; Guide'!$C$5),OR(Dashboard!$D$7="All",Dashboard!$D$7=B789),OR(Dashboard!$F$7="All",Dashboard!$F$7=C789),OR(Dashboard!$H$7="All",Dashboard!$H$7=D789),OR(Dashboard!$K$7="All",Dashboard!$K$7=E789)),1,0)</x:f>
        <x:v>1</x:v>
      </x:c>
      <x:c r="S789" s="2" t="n">
        <x:f>IF(R789=1,SUM($R$10:R789),0)</x:f>
        <x:v>416</x:v>
      </x:c>
      <x:c r="T789" s="2" t="str">
        <x:v>Research &amp; Analysis</x:v>
      </x:c>
      <x:c r="U789" s="2" t="n">
        <x:v>61</x:v>
      </x:c>
      <x:c r="V789" s="2" t="n">
        <x:f>IF(AND(M789=1,P789=0,ISNUMBER(J789),J789&lt;TODAY()),1,0)</x:f>
        <x:v>1</x:v>
      </x:c>
      <x:c r="W789" s="2" t="str">
        <x:f>'Research &amp; Analysis'!M61</x:f>
        <x:v>Task</x:v>
      </x:c>
    </x:row>
    <x:row r="790" ht="40" customHeight="1">
      <x:c r="A790" s="3" t="str">
        <x:f>HYPERLINK("#'Research &amp; Analysis'!A62","Open")</x:f>
        <x:v>Open</x:v>
      </x:c>
      <x:c r="B790" s="2" t="str">
        <x:f>'Research &amp; Analysis'!B62</x:f>
        <x:v>Cycle 1</x:v>
      </x:c>
      <x:c r="C790" s="2" t="str">
        <x:f>'Research &amp; Analysis'!C62</x:f>
        <x:v>Phase 1</x:v>
      </x:c>
      <x:c r="D790" s="2" t="str">
        <x:f>'Research &amp; Analysis'!D62</x:f>
        <x:v>CSBBO - Banking Ops</x:v>
      </x:c>
      <x:c r="E790" s="2" t="str">
        <x:v>Research &amp; Analysis</x:v>
      </x:c>
      <x:c r="F790" s="56" t="str">
        <x:f>'Research &amp; Analysis'!E62</x:f>
        <x:v>RA.BO.1.7</x:v>
      </x:c>
      <x:c r="G790" s="14" t="str">
        <x:f>'Research &amp; Analysis'!F62</x:f>
        <x:v>Obtain formal topic selection approval from management via SharePoint</x:v>
      </x:c>
      <x:c r="H790" s="2" t="str">
        <x:f>IF('Research &amp; Analysis'!G62="","",'Research &amp; Analysis'!G62)</x:f>
      </x:c>
      <x:c r="I790" s="12" t="str">
        <x:f>IF('Research &amp; Analysis'!H62="","",'Research &amp; Analysis'!H62)</x:f>
      </x:c>
      <x:c r="J790" s="12" t="n">
        <x:f>IF('Research &amp; Analysis'!I62="","",'Research &amp; Analysis'!I62)</x:f>
        <x:v>46112</x:v>
      </x:c>
      <x:c r="K790" s="12" t="str">
        <x:f>IF('Research &amp; Analysis'!J62="","",'Research &amp; Analysis'!J62)</x:f>
      </x:c>
      <x:c r="L790" s="2" t="str">
        <x:f>IF('Research &amp; Analysis'!K62="","",'Research &amp; Analysis'!K62)</x:f>
      </x:c>
      <x:c r="M790" s="2" t="n">
        <x:f>'Research &amp; Analysis'!Q62</x:f>
        <x:v>1</x:v>
      </x:c>
      <x:c r="N790" s="2" t="str">
        <x:f>'Research &amp; Analysis'!L62</x:f>
        <x:v>Not started</x:v>
      </x:c>
      <x:c r="O790" s="2" t="str">
        <x:f>'Research &amp; Analysis'!N62</x:f>
        <x:v>RA.BO.1.7.2026.CY1</x:v>
      </x:c>
      <x:c r="P790" s="2" t="n">
        <x:f>'Research &amp; Analysis'!O62</x:f>
        <x:v>0</x:v>
      </x:c>
      <x:c r="Q790" s="2" t="n">
        <x:f>SUBTOTAL(103,O790)</x:f>
        <x:v>1</x:v>
      </x:c>
      <x:c r="R790" s="2" t="n">
        <x:f>IF(AND(M790=1,OR(Dashboard!$B$7="All",Dashboard!$B$7='Cycles &amp; Guide'!$C$5),OR(Dashboard!$D$7="All",Dashboard!$D$7=B790),OR(Dashboard!$F$7="All",Dashboard!$F$7=C790),OR(Dashboard!$H$7="All",Dashboard!$H$7=D790),OR(Dashboard!$K$7="All",Dashboard!$K$7=E790)),1,0)</x:f>
        <x:v>1</x:v>
      </x:c>
      <x:c r="S790" s="2" t="n">
        <x:f>IF(R790=1,SUM($R$10:R790),0)</x:f>
        <x:v>417</x:v>
      </x:c>
      <x:c r="T790" s="2" t="str">
        <x:v>Research &amp; Analysis</x:v>
      </x:c>
      <x:c r="U790" s="2" t="n">
        <x:v>62</x:v>
      </x:c>
      <x:c r="V790" s="2" t="n">
        <x:f>IF(AND(M790=1,P790=0,ISNUMBER(J790),J790&lt;TODAY()),1,0)</x:f>
        <x:v>1</x:v>
      </x:c>
      <x:c r="W790" s="2" t="str">
        <x:f>'Research &amp; Analysis'!M62</x:f>
        <x:v>Task</x:v>
      </x:c>
    </x:row>
    <x:row r="791" ht="40" customHeight="1">
      <x:c r="A791" s="3" t="str">
        <x:f>HYPERLINK("#'Research &amp; Analysis'!A63","Open")</x:f>
        <x:v>Open</x:v>
      </x:c>
      <x:c r="B791" s="2" t="str">
        <x:f>'Research &amp; Analysis'!B63</x:f>
        <x:v>Cycle 1</x:v>
      </x:c>
      <x:c r="C791" s="2" t="str">
        <x:f>'Research &amp; Analysis'!C63</x:f>
        <x:v>Phase 1</x:v>
      </x:c>
      <x:c r="D791" s="2" t="str">
        <x:f>'Research &amp; Analysis'!D63</x:f>
        <x:v>CSBBO - Banking Ops</x:v>
      </x:c>
      <x:c r="E791" s="2" t="str">
        <x:v>Research &amp; Analysis</x:v>
      </x:c>
      <x:c r="F791" s="56" t="str">
        <x:f>'Research &amp; Analysis'!E63</x:f>
        <x:v>RA.BO.1.8</x:v>
      </x:c>
      <x:c r="G791" s="14" t="str">
        <x:f>'Research &amp; Analysis'!F63</x:f>
        <x:v>Socialize topic selection with product owners and subject matter experts (if known)</x:v>
      </x:c>
      <x:c r="H791" s="2" t="str">
        <x:f>IF('Research &amp; Analysis'!G63="","",'Research &amp; Analysis'!G63)</x:f>
      </x:c>
      <x:c r="I791" s="12" t="str">
        <x:f>IF('Research &amp; Analysis'!H63="","",'Research &amp; Analysis'!H63)</x:f>
      </x:c>
      <x:c r="J791" s="12" t="n">
        <x:f>IF('Research &amp; Analysis'!I63="","",'Research &amp; Analysis'!I63)</x:f>
        <x:v>46112</x:v>
      </x:c>
      <x:c r="K791" s="12" t="str">
        <x:f>IF('Research &amp; Analysis'!J63="","",'Research &amp; Analysis'!J63)</x:f>
      </x:c>
      <x:c r="L791" s="2" t="str">
        <x:f>IF('Research &amp; Analysis'!K63="","",'Research &amp; Analysis'!K63)</x:f>
      </x:c>
      <x:c r="M791" s="2" t="n">
        <x:f>'Research &amp; Analysis'!Q63</x:f>
        <x:v>1</x:v>
      </x:c>
      <x:c r="N791" s="2" t="str">
        <x:f>'Research &amp; Analysis'!L63</x:f>
        <x:v>Not started</x:v>
      </x:c>
      <x:c r="O791" s="2" t="str">
        <x:f>'Research &amp; Analysis'!N63</x:f>
        <x:v>RA.BO.1.8.2026.CY1</x:v>
      </x:c>
      <x:c r="P791" s="2" t="n">
        <x:f>'Research &amp; Analysis'!O63</x:f>
        <x:v>0</x:v>
      </x:c>
      <x:c r="Q791" s="2" t="n">
        <x:f>SUBTOTAL(103,O791)</x:f>
        <x:v>1</x:v>
      </x:c>
      <x:c r="R791" s="2" t="n">
        <x:f>IF(AND(M791=1,OR(Dashboard!$B$7="All",Dashboard!$B$7='Cycles &amp; Guide'!$C$5),OR(Dashboard!$D$7="All",Dashboard!$D$7=B791),OR(Dashboard!$F$7="All",Dashboard!$F$7=C791),OR(Dashboard!$H$7="All",Dashboard!$H$7=D791),OR(Dashboard!$K$7="All",Dashboard!$K$7=E791)),1,0)</x:f>
        <x:v>1</x:v>
      </x:c>
      <x:c r="S791" s="2" t="n">
        <x:f>IF(R791=1,SUM($R$10:R791),0)</x:f>
        <x:v>418</x:v>
      </x:c>
      <x:c r="T791" s="2" t="str">
        <x:v>Research &amp; Analysis</x:v>
      </x:c>
      <x:c r="U791" s="2" t="n">
        <x:v>63</x:v>
      </x:c>
      <x:c r="V791" s="2" t="n">
        <x:f>IF(AND(M791=1,P791=0,ISNUMBER(J791),J791&lt;TODAY()),1,0)</x:f>
        <x:v>1</x:v>
      </x:c>
      <x:c r="W791" s="2" t="str">
        <x:f>'Research &amp; Analysis'!M63</x:f>
        <x:v>Task</x:v>
      </x:c>
    </x:row>
    <x:row r="792" ht="40" customHeight="1">
      <x:c r="A792" s="3" t="str">
        <x:f>HYPERLINK("#'Research &amp; Analysis'!A64","Open")</x:f>
        <x:v>Open</x:v>
      </x:c>
      <x:c r="B792" s="2" t="str">
        <x:f>'Research &amp; Analysis'!B64</x:f>
        <x:v>Cycle 1</x:v>
      </x:c>
      <x:c r="C792" s="2" t="str">
        <x:f>'Research &amp; Analysis'!C64</x:f>
        <x:v>Phase 1</x:v>
      </x:c>
      <x:c r="D792" s="2" t="str">
        <x:f>'Research &amp; Analysis'!D64</x:f>
        <x:v>CSBBO - Banking Ops</x:v>
      </x:c>
      <x:c r="E792" s="2" t="str">
        <x:v>Research &amp; Analysis</x:v>
      </x:c>
      <x:c r="F792" s="56" t="str">
        <x:f>'Research &amp; Analysis'!E64</x:f>
        <x:v>RA.BO.1.9</x:v>
      </x:c>
      <x:c r="G792" s="14" t="str">
        <x:f>'Research &amp; Analysis'!F64</x:f>
        <x:v>Assign topic researchers</x:v>
      </x:c>
      <x:c r="H792" s="2" t="str">
        <x:f>IF('Research &amp; Analysis'!G64="","",'Research &amp; Analysis'!G64)</x:f>
      </x:c>
      <x:c r="I792" s="12" t="str">
        <x:f>IF('Research &amp; Analysis'!H64="","",'Research &amp; Analysis'!H64)</x:f>
      </x:c>
      <x:c r="J792" s="12" t="n">
        <x:f>IF('Research &amp; Analysis'!I64="","",'Research &amp; Analysis'!I64)</x:f>
        <x:v>46112</x:v>
      </x:c>
      <x:c r="K792" s="12" t="str">
        <x:f>IF('Research &amp; Analysis'!J64="","",'Research &amp; Analysis'!J64)</x:f>
      </x:c>
      <x:c r="L792" s="2" t="str">
        <x:f>IF('Research &amp; Analysis'!K64="","",'Research &amp; Analysis'!K64)</x:f>
      </x:c>
      <x:c r="M792" s="2" t="n">
        <x:f>'Research &amp; Analysis'!Q64</x:f>
        <x:v>1</x:v>
      </x:c>
      <x:c r="N792" s="2" t="str">
        <x:f>'Research &amp; Analysis'!L64</x:f>
        <x:v>Not started</x:v>
      </x:c>
      <x:c r="O792" s="2" t="str">
        <x:f>'Research &amp; Analysis'!N64</x:f>
        <x:v>RA.BO.1.9.2026.CY1</x:v>
      </x:c>
      <x:c r="P792" s="2" t="n">
        <x:f>'Research &amp; Analysis'!O64</x:f>
        <x:v>0</x:v>
      </x:c>
      <x:c r="Q792" s="2" t="n">
        <x:f>SUBTOTAL(103,O792)</x:f>
        <x:v>1</x:v>
      </x:c>
      <x:c r="R792" s="2" t="n">
        <x:f>IF(AND(M792=1,OR(Dashboard!$B$7="All",Dashboard!$B$7='Cycles &amp; Guide'!$C$5),OR(Dashboard!$D$7="All",Dashboard!$D$7=B792),OR(Dashboard!$F$7="All",Dashboard!$F$7=C792),OR(Dashboard!$H$7="All",Dashboard!$H$7=D792),OR(Dashboard!$K$7="All",Dashboard!$K$7=E792)),1,0)</x:f>
        <x:v>1</x:v>
      </x:c>
      <x:c r="S792" s="2" t="n">
        <x:f>IF(R792=1,SUM($R$10:R792),0)</x:f>
        <x:v>419</x:v>
      </x:c>
      <x:c r="T792" s="2" t="str">
        <x:v>Research &amp; Analysis</x:v>
      </x:c>
      <x:c r="U792" s="2" t="n">
        <x:v>64</x:v>
      </x:c>
      <x:c r="V792" s="2" t="n">
        <x:f>IF(AND(M792=1,P792=0,ISNUMBER(J792),J792&lt;TODAY()),1,0)</x:f>
        <x:v>1</x:v>
      </x:c>
      <x:c r="W792" s="2" t="str">
        <x:f>'Research &amp; Analysis'!M64</x:f>
        <x:v>Task</x:v>
      </x:c>
    </x:row>
    <x:row r="793" ht="40" customHeight="1">
      <x:c r="A793" s="3" t="str">
        <x:f>HYPERLINK("#'Research &amp; Analysis'!A65","Open")</x:f>
        <x:v>Open</x:v>
      </x:c>
      <x:c r="B793" s="2" t="str">
        <x:f>'Research &amp; Analysis'!B65</x:f>
        <x:v>Cycle 1</x:v>
      </x:c>
      <x:c r="C793" s="2" t="str">
        <x:f>'Research &amp; Analysis'!C65</x:f>
        <x:v>Phase 2</x:v>
      </x:c>
      <x:c r="D793" s="2" t="str">
        <x:f>'Research &amp; Analysis'!D65</x:f>
        <x:v>CSBBO - Banking Ops</x:v>
      </x:c>
      <x:c r="E793" s="2" t="str">
        <x:v>Research &amp; Analysis</x:v>
      </x:c>
      <x:c r="F793" s="56" t="str">
        <x:f>'Research &amp; Analysis'!E65</x:f>
        <x:v>RA.BO.2.1</x:v>
      </x:c>
      <x:c r="G793" s="14" t="str">
        <x:f>'Research &amp; Analysis'!F65</x:f>
        <x:v>Review data sources</x:v>
      </x:c>
      <x:c r="H793" s="2" t="str">
        <x:f>IF('Research &amp; Analysis'!G65="","",'Research &amp; Analysis'!G65)</x:f>
      </x:c>
      <x:c r="I793" s="12" t="str">
        <x:f>IF('Research &amp; Analysis'!H65="","",'Research &amp; Analysis'!H65)</x:f>
      </x:c>
      <x:c r="J793" s="12" t="n">
        <x:f>IF('Research &amp; Analysis'!I65="","",'Research &amp; Analysis'!I65)</x:f>
        <x:v>46112</x:v>
      </x:c>
      <x:c r="K793" s="12" t="str">
        <x:f>IF('Research &amp; Analysis'!J65="","",'Research &amp; Analysis'!J65)</x:f>
      </x:c>
      <x:c r="L793" s="2" t="str">
        <x:f>IF('Research &amp; Analysis'!K65="","",'Research &amp; Analysis'!K65)</x:f>
      </x:c>
      <x:c r="M793" s="2" t="n">
        <x:f>'Research &amp; Analysis'!Q65</x:f>
        <x:v>1</x:v>
      </x:c>
      <x:c r="N793" s="2" t="str">
        <x:f>'Research &amp; Analysis'!L65</x:f>
        <x:v>Not started</x:v>
      </x:c>
      <x:c r="O793" s="2" t="str">
        <x:f>'Research &amp; Analysis'!N65</x:f>
        <x:v>RA.BO.2.1.2026.CY1</x:v>
      </x:c>
      <x:c r="P793" s="2" t="n">
        <x:f>'Research &amp; Analysis'!O65</x:f>
        <x:v>0</x:v>
      </x:c>
      <x:c r="Q793" s="2" t="n">
        <x:f>SUBTOTAL(103,O793)</x:f>
        <x:v>1</x:v>
      </x:c>
      <x:c r="R793" s="2" t="n">
        <x:f>IF(AND(M793=1,OR(Dashboard!$B$7="All",Dashboard!$B$7='Cycles &amp; Guide'!$C$5),OR(Dashboard!$D$7="All",Dashboard!$D$7=B793),OR(Dashboard!$F$7="All",Dashboard!$F$7=C793),OR(Dashboard!$H$7="All",Dashboard!$H$7=D793),OR(Dashboard!$K$7="All",Dashboard!$K$7=E793)),1,0)</x:f>
        <x:v>1</x:v>
      </x:c>
      <x:c r="S793" s="2" t="n">
        <x:f>IF(R793=1,SUM($R$10:R793),0)</x:f>
        <x:v>420</x:v>
      </x:c>
      <x:c r="T793" s="2" t="str">
        <x:v>Research &amp; Analysis</x:v>
      </x:c>
      <x:c r="U793" s="2" t="n">
        <x:v>65</x:v>
      </x:c>
      <x:c r="V793" s="2" t="n">
        <x:f>IF(AND(M793=1,P793=0,ISNUMBER(J793),J793&lt;TODAY()),1,0)</x:f>
        <x:v>1</x:v>
      </x:c>
      <x:c r="W793" s="2" t="str">
        <x:f>'Research &amp; Analysis'!M65</x:f>
        <x:v>Task</x:v>
      </x:c>
    </x:row>
    <x:row r="794" ht="40" customHeight="1">
      <x:c r="A794" s="3" t="str">
        <x:f>HYPERLINK("#'Research &amp; Analysis'!A66","Open")</x:f>
        <x:v>Open</x:v>
      </x:c>
      <x:c r="B794" s="2" t="str">
        <x:f>'Research &amp; Analysis'!B66</x:f>
        <x:v>Cycle 1</x:v>
      </x:c>
      <x:c r="C794" s="2" t="str">
        <x:f>'Research &amp; Analysis'!C66</x:f>
        <x:v>Phase 2</x:v>
      </x:c>
      <x:c r="D794" s="2" t="str">
        <x:f>'Research &amp; Analysis'!D66</x:f>
        <x:v>CSBBO - Banking Ops</x:v>
      </x:c>
      <x:c r="E794" s="2" t="str">
        <x:v>Research &amp; Analysis</x:v>
      </x:c>
      <x:c r="F794" s="56" t="str">
        <x:f>'Research &amp; Analysis'!E66</x:f>
        <x:v>RA.BO.2.2</x:v>
      </x:c>
      <x:c r="G794" s="14" t="str">
        <x:f>'Research &amp; Analysis'!F66</x:f>
        <x:v>Review relevant policies and procedures</x:v>
      </x:c>
      <x:c r="H794" s="2" t="str">
        <x:f>IF('Research &amp; Analysis'!G66="","",'Research &amp; Analysis'!G66)</x:f>
      </x:c>
      <x:c r="I794" s="12" t="str">
        <x:f>IF('Research &amp; Analysis'!H66="","",'Research &amp; Analysis'!H66)</x:f>
      </x:c>
      <x:c r="J794" s="12" t="n">
        <x:f>IF('Research &amp; Analysis'!I66="","",'Research &amp; Analysis'!I66)</x:f>
        <x:v>46112</x:v>
      </x:c>
      <x:c r="K794" s="12" t="str">
        <x:f>IF('Research &amp; Analysis'!J66="","",'Research &amp; Analysis'!J66)</x:f>
      </x:c>
      <x:c r="L794" s="2" t="str">
        <x:f>IF('Research &amp; Analysis'!K66="","",'Research &amp; Analysis'!K66)</x:f>
      </x:c>
      <x:c r="M794" s="2" t="n">
        <x:f>'Research &amp; Analysis'!Q66</x:f>
        <x:v>1</x:v>
      </x:c>
      <x:c r="N794" s="2" t="str">
        <x:f>'Research &amp; Analysis'!L66</x:f>
        <x:v>Not started</x:v>
      </x:c>
      <x:c r="O794" s="2" t="str">
        <x:f>'Research &amp; Analysis'!N66</x:f>
        <x:v>RA.BO.2.2.2026.CY1</x:v>
      </x:c>
      <x:c r="P794" s="2" t="n">
        <x:f>'Research &amp; Analysis'!O66</x:f>
        <x:v>0</x:v>
      </x:c>
      <x:c r="Q794" s="2" t="n">
        <x:f>SUBTOTAL(103,O794)</x:f>
        <x:v>1</x:v>
      </x:c>
      <x:c r="R794" s="2" t="n">
        <x:f>IF(AND(M794=1,OR(Dashboard!$B$7="All",Dashboard!$B$7='Cycles &amp; Guide'!$C$5),OR(Dashboard!$D$7="All",Dashboard!$D$7=B794),OR(Dashboard!$F$7="All",Dashboard!$F$7=C794),OR(Dashboard!$H$7="All",Dashboard!$H$7=D794),OR(Dashboard!$K$7="All",Dashboard!$K$7=E794)),1,0)</x:f>
        <x:v>1</x:v>
      </x:c>
      <x:c r="S794" s="2" t="n">
        <x:f>IF(R794=1,SUM($R$10:R794),0)</x:f>
        <x:v>421</x:v>
      </x:c>
      <x:c r="T794" s="2" t="str">
        <x:v>Research &amp; Analysis</x:v>
      </x:c>
      <x:c r="U794" s="2" t="n">
        <x:v>66</x:v>
      </x:c>
      <x:c r="V794" s="2" t="n">
        <x:f>IF(AND(M794=1,P794=0,ISNUMBER(J794),J794&lt;TODAY()),1,0)</x:f>
        <x:v>1</x:v>
      </x:c>
      <x:c r="W794" s="2" t="str">
        <x:f>'Research &amp; Analysis'!M66</x:f>
        <x:v>Task</x:v>
      </x:c>
    </x:row>
    <x:row r="795" ht="40" customHeight="1">
      <x:c r="A795" s="3" t="str">
        <x:f>HYPERLINK("#'Research &amp; Analysis'!A67","Open")</x:f>
        <x:v>Open</x:v>
      </x:c>
      <x:c r="B795" s="2" t="str">
        <x:f>'Research &amp; Analysis'!B67</x:f>
        <x:v>Cycle 1</x:v>
      </x:c>
      <x:c r="C795" s="2" t="str">
        <x:f>'Research &amp; Analysis'!C67</x:f>
        <x:v>Phase 2</x:v>
      </x:c>
      <x:c r="D795" s="2" t="str">
        <x:f>'Research &amp; Analysis'!D67</x:f>
        <x:v>CSBBO - Banking Ops</x:v>
      </x:c>
      <x:c r="E795" s="2" t="str">
        <x:v>Research &amp; Analysis</x:v>
      </x:c>
      <x:c r="F795" s="56" t="str">
        <x:f>'Research &amp; Analysis'!E67</x:f>
        <x:v>RA.BO.2.3</x:v>
      </x:c>
      <x:c r="G795" s="14" t="str">
        <x:f>'Research &amp; Analysis'!F67</x:f>
        <x:v>Meet with SMEs to gain business insight and clarify questions</x:v>
      </x:c>
      <x:c r="H795" s="2" t="str">
        <x:f>IF('Research &amp; Analysis'!G67="","",'Research &amp; Analysis'!G67)</x:f>
      </x:c>
      <x:c r="I795" s="12" t="str">
        <x:f>IF('Research &amp; Analysis'!H67="","",'Research &amp; Analysis'!H67)</x:f>
      </x:c>
      <x:c r="J795" s="12" t="n">
        <x:f>IF('Research &amp; Analysis'!I67="","",'Research &amp; Analysis'!I67)</x:f>
        <x:v>46112</x:v>
      </x:c>
      <x:c r="K795" s="12" t="str">
        <x:f>IF('Research &amp; Analysis'!J67="","",'Research &amp; Analysis'!J67)</x:f>
      </x:c>
      <x:c r="L795" s="2" t="str">
        <x:f>IF('Research &amp; Analysis'!K67="","",'Research &amp; Analysis'!K67)</x:f>
      </x:c>
      <x:c r="M795" s="2" t="n">
        <x:f>'Research &amp; Analysis'!Q67</x:f>
        <x:v>1</x:v>
      </x:c>
      <x:c r="N795" s="2" t="str">
        <x:f>'Research &amp; Analysis'!L67</x:f>
        <x:v>Not started</x:v>
      </x:c>
      <x:c r="O795" s="2" t="str">
        <x:f>'Research &amp; Analysis'!N67</x:f>
        <x:v>RA.BO.2.3.2026.CY1</x:v>
      </x:c>
      <x:c r="P795" s="2" t="n">
        <x:f>'Research &amp; Analysis'!O67</x:f>
        <x:v>0</x:v>
      </x:c>
      <x:c r="Q795" s="2" t="n">
        <x:f>SUBTOTAL(103,O795)</x:f>
        <x:v>1</x:v>
      </x:c>
      <x:c r="R795" s="2" t="n">
        <x:f>IF(AND(M795=1,OR(Dashboard!$B$7="All",Dashboard!$B$7='Cycles &amp; Guide'!$C$5),OR(Dashboard!$D$7="All",Dashboard!$D$7=B795),OR(Dashboard!$F$7="All",Dashboard!$F$7=C795),OR(Dashboard!$H$7="All",Dashboard!$H$7=D795),OR(Dashboard!$K$7="All",Dashboard!$K$7=E795)),1,0)</x:f>
        <x:v>1</x:v>
      </x:c>
      <x:c r="S795" s="2" t="n">
        <x:f>IF(R795=1,SUM($R$10:R795),0)</x:f>
        <x:v>422</x:v>
      </x:c>
      <x:c r="T795" s="2" t="str">
        <x:v>Research &amp; Analysis</x:v>
      </x:c>
      <x:c r="U795" s="2" t="n">
        <x:v>67</x:v>
      </x:c>
      <x:c r="V795" s="2" t="n">
        <x:f>IF(AND(M795=1,P795=0,ISNUMBER(J795),J795&lt;TODAY()),1,0)</x:f>
        <x:v>1</x:v>
      </x:c>
      <x:c r="W795" s="2" t="str">
        <x:f>'Research &amp; Analysis'!M67</x:f>
        <x:v>Task</x:v>
      </x:c>
    </x:row>
    <x:row r="796" ht="40" customHeight="1">
      <x:c r="A796" s="3" t="str">
        <x:f>HYPERLINK("#'Research &amp; Analysis'!A68","Open")</x:f>
        <x:v>Open</x:v>
      </x:c>
      <x:c r="B796" s="2" t="str">
        <x:f>'Research &amp; Analysis'!B68</x:f>
        <x:v>Cycle 1</x:v>
      </x:c>
      <x:c r="C796" s="2" t="str">
        <x:f>'Research &amp; Analysis'!C68</x:f>
        <x:v>Phase 2</x:v>
      </x:c>
      <x:c r="D796" s="2" t="str">
        <x:f>'Research &amp; Analysis'!D68</x:f>
        <x:v>CSBBO - Banking Ops</x:v>
      </x:c>
      <x:c r="E796" s="2" t="str">
        <x:v>Research &amp; Analysis</x:v>
      </x:c>
      <x:c r="F796" s="56" t="str">
        <x:f>'Research &amp; Analysis'!E68</x:f>
        <x:v>RA.BO.2.4</x:v>
      </x:c>
      <x:c r="G796" s="14" t="str">
        <x:f>'Research &amp; Analysis'!F68</x:f>
        <x:v>Establish and maintain a recurring meeting with D&amp;I to discuss Cycle progress</x:v>
      </x:c>
      <x:c r="H796" s="2" t="str">
        <x:f>IF('Research &amp; Analysis'!G68="","",'Research &amp; Analysis'!G68)</x:f>
      </x:c>
      <x:c r="I796" s="12" t="str">
        <x:f>IF('Research &amp; Analysis'!H68="","",'Research &amp; Analysis'!H68)</x:f>
      </x:c>
      <x:c r="J796" s="12" t="n">
        <x:f>IF('Research &amp; Analysis'!I68="","",'Research &amp; Analysis'!I68)</x:f>
        <x:v>46112</x:v>
      </x:c>
      <x:c r="K796" s="12" t="str">
        <x:f>IF('Research &amp; Analysis'!J68="","",'Research &amp; Analysis'!J68)</x:f>
      </x:c>
      <x:c r="L796" s="2" t="str">
        <x:f>IF('Research &amp; Analysis'!K68="","",'Research &amp; Analysis'!K68)</x:f>
      </x:c>
      <x:c r="M796" s="2" t="n">
        <x:f>'Research &amp; Analysis'!Q68</x:f>
        <x:v>1</x:v>
      </x:c>
      <x:c r="N796" s="2" t="str">
        <x:f>'Research &amp; Analysis'!L68</x:f>
        <x:v>Not started</x:v>
      </x:c>
      <x:c r="O796" s="2" t="str">
        <x:f>'Research &amp; Analysis'!N68</x:f>
        <x:v>RA.BO.2.4.2026.CY1</x:v>
      </x:c>
      <x:c r="P796" s="2" t="n">
        <x:f>'Research &amp; Analysis'!O68</x:f>
        <x:v>0</x:v>
      </x:c>
      <x:c r="Q796" s="2" t="n">
        <x:f>SUBTOTAL(103,O796)</x:f>
        <x:v>1</x:v>
      </x:c>
      <x:c r="R796" s="2" t="n">
        <x:f>IF(AND(M796=1,OR(Dashboard!$B$7="All",Dashboard!$B$7='Cycles &amp; Guide'!$C$5),OR(Dashboard!$D$7="All",Dashboard!$D$7=B796),OR(Dashboard!$F$7="All",Dashboard!$F$7=C796),OR(Dashboard!$H$7="All",Dashboard!$H$7=D796),OR(Dashboard!$K$7="All",Dashboard!$K$7=E796)),1,0)</x:f>
        <x:v>1</x:v>
      </x:c>
      <x:c r="S796" s="2" t="n">
        <x:f>IF(R796=1,SUM($R$10:R796),0)</x:f>
        <x:v>423</x:v>
      </x:c>
      <x:c r="T796" s="2" t="str">
        <x:v>Research &amp; Analysis</x:v>
      </x:c>
      <x:c r="U796" s="2" t="n">
        <x:v>68</x:v>
      </x:c>
      <x:c r="V796" s="2" t="n">
        <x:f>IF(AND(M796=1,P796=0,ISNUMBER(J796),J796&lt;TODAY()),1,0)</x:f>
        <x:v>1</x:v>
      </x:c>
      <x:c r="W796" s="2" t="str">
        <x:f>'Research &amp; Analysis'!M68</x:f>
        <x:v>Task</x:v>
      </x:c>
    </x:row>
    <x:row r="797" ht="40" customHeight="1">
      <x:c r="A797" s="3" t="str">
        <x:f>HYPERLINK("#'Research &amp; Analysis'!A69","Open")</x:f>
        <x:v>Open</x:v>
      </x:c>
      <x:c r="B797" s="2" t="str">
        <x:f>'Research &amp; Analysis'!B69</x:f>
        <x:v>Cycle 1</x:v>
      </x:c>
      <x:c r="C797" s="2" t="str">
        <x:f>'Research &amp; Analysis'!C69</x:f>
        <x:v>Phase 2</x:v>
      </x:c>
      <x:c r="D797" s="2" t="str">
        <x:f>'Research &amp; Analysis'!D69</x:f>
        <x:v>CSBBO - Banking Ops</x:v>
      </x:c>
      <x:c r="E797" s="2" t="str">
        <x:v>Research &amp; Analysis</x:v>
      </x:c>
      <x:c r="F797" s="56" t="str">
        <x:f>'Research &amp; Analysis'!E69</x:f>
        <x:v>RA.BO.2.5</x:v>
      </x:c>
      <x:c r="G797" s="14" t="str">
        <x:f>'Research &amp; Analysis'!F69</x:f>
        <x:v>Perform data testing and sampling</x:v>
      </x:c>
      <x:c r="H797" s="2" t="str">
        <x:f>IF('Research &amp; Analysis'!G69="","",'Research &amp; Analysis'!G69)</x:f>
      </x:c>
      <x:c r="I797" s="12" t="str">
        <x:f>IF('Research &amp; Analysis'!H69="","",'Research &amp; Analysis'!H69)</x:f>
      </x:c>
      <x:c r="J797" s="12" t="n">
        <x:f>IF('Research &amp; Analysis'!I69="","",'Research &amp; Analysis'!I69)</x:f>
        <x:v>46112</x:v>
      </x:c>
      <x:c r="K797" s="12" t="str">
        <x:f>IF('Research &amp; Analysis'!J69="","",'Research &amp; Analysis'!J69)</x:f>
      </x:c>
      <x:c r="L797" s="2" t="str">
        <x:f>IF('Research &amp; Analysis'!K69="","",'Research &amp; Analysis'!K69)</x:f>
      </x:c>
      <x:c r="M797" s="2" t="n">
        <x:f>'Research &amp; Analysis'!Q69</x:f>
        <x:v>1</x:v>
      </x:c>
      <x:c r="N797" s="2" t="str">
        <x:f>'Research &amp; Analysis'!L69</x:f>
        <x:v>Not started</x:v>
      </x:c>
      <x:c r="O797" s="2" t="str">
        <x:f>'Research &amp; Analysis'!N69</x:f>
        <x:v>RA.BO.2.5.2026.CY1</x:v>
      </x:c>
      <x:c r="P797" s="2" t="n">
        <x:f>'Research &amp; Analysis'!O69</x:f>
        <x:v>0</x:v>
      </x:c>
      <x:c r="Q797" s="2" t="n">
        <x:f>SUBTOTAL(103,O797)</x:f>
        <x:v>1</x:v>
      </x:c>
      <x:c r="R797" s="2" t="n">
        <x:f>IF(AND(M797=1,OR(Dashboard!$B$7="All",Dashboard!$B$7='Cycles &amp; Guide'!$C$5),OR(Dashboard!$D$7="All",Dashboard!$D$7=B797),OR(Dashboard!$F$7="All",Dashboard!$F$7=C797),OR(Dashboard!$H$7="All",Dashboard!$H$7=D797),OR(Dashboard!$K$7="All",Dashboard!$K$7=E797)),1,0)</x:f>
        <x:v>1</x:v>
      </x:c>
      <x:c r="S797" s="2" t="n">
        <x:f>IF(R797=1,SUM($R$10:R797),0)</x:f>
        <x:v>424</x:v>
      </x:c>
      <x:c r="T797" s="2" t="str">
        <x:v>Research &amp; Analysis</x:v>
      </x:c>
      <x:c r="U797" s="2" t="n">
        <x:v>69</x:v>
      </x:c>
      <x:c r="V797" s="2" t="n">
        <x:f>IF(AND(M797=1,P797=0,ISNUMBER(J797),J797&lt;TODAY()),1,0)</x:f>
        <x:v>1</x:v>
      </x:c>
      <x:c r="W797" s="2" t="str">
        <x:f>'Research &amp; Analysis'!M69</x:f>
        <x:v>Task</x:v>
      </x:c>
    </x:row>
    <x:row r="798" ht="40" customHeight="1">
      <x:c r="A798" s="3" t="str">
        <x:f>HYPERLINK("#'Research &amp; Analysis'!A70","Open")</x:f>
        <x:v>Open</x:v>
      </x:c>
      <x:c r="B798" s="2" t="str">
        <x:f>'Research &amp; Analysis'!B70</x:f>
        <x:v>Cycle 1</x:v>
      </x:c>
      <x:c r="C798" s="2" t="str">
        <x:f>'Research &amp; Analysis'!C70</x:f>
        <x:v>Phase 2</x:v>
      </x:c>
      <x:c r="D798" s="2" t="str">
        <x:f>'Research &amp; Analysis'!D70</x:f>
        <x:v>CSBBO - Banking Ops</x:v>
      </x:c>
      <x:c r="E798" s="2" t="str">
        <x:v>Research &amp; Analysis</x:v>
      </x:c>
      <x:c r="F798" s="56" t="str">
        <x:f>'Research &amp; Analysis'!E70</x:f>
        <x:v>RA.BO.2.6</x:v>
      </x:c>
      <x:c r="G798" s="14" t="str">
        <x:f>'Research &amp; Analysis'!F70</x:f>
        <x:v>Complete Positive Testing</x:v>
      </x:c>
      <x:c r="H798" s="2" t="str">
        <x:f>IF('Research &amp; Analysis'!G70="","",'Research &amp; Analysis'!G70)</x:f>
      </x:c>
      <x:c r="I798" s="12" t="str">
        <x:f>IF('Research &amp; Analysis'!H70="","",'Research &amp; Analysis'!H70)</x:f>
      </x:c>
      <x:c r="J798" s="12" t="n">
        <x:f>IF('Research &amp; Analysis'!I70="","",'Research &amp; Analysis'!I70)</x:f>
        <x:v>46112</x:v>
      </x:c>
      <x:c r="K798" s="12" t="str">
        <x:f>IF('Research &amp; Analysis'!J70="","",'Research &amp; Analysis'!J70)</x:f>
      </x:c>
      <x:c r="L798" s="2" t="str">
        <x:f>IF('Research &amp; Analysis'!K70="","",'Research &amp; Analysis'!K70)</x:f>
      </x:c>
      <x:c r="M798" s="2" t="n">
        <x:f>'Research &amp; Analysis'!Q70</x:f>
        <x:v>1</x:v>
      </x:c>
      <x:c r="N798" s="2" t="str">
        <x:f>'Research &amp; Analysis'!L70</x:f>
        <x:v>Not started</x:v>
      </x:c>
      <x:c r="O798" s="2" t="str">
        <x:f>'Research &amp; Analysis'!N70</x:f>
        <x:v>RA.BO.2.6.2026.CY1</x:v>
      </x:c>
      <x:c r="P798" s="2" t="n">
        <x:f>'Research &amp; Analysis'!O70</x:f>
        <x:v>0</x:v>
      </x:c>
      <x:c r="Q798" s="2" t="n">
        <x:f>SUBTOTAL(103,O798)</x:f>
        <x:v>1</x:v>
      </x:c>
      <x:c r="R798" s="2" t="n">
        <x:f>IF(AND(M798=1,OR(Dashboard!$B$7="All",Dashboard!$B$7='Cycles &amp; Guide'!$C$5),OR(Dashboard!$D$7="All",Dashboard!$D$7=B798),OR(Dashboard!$F$7="All",Dashboard!$F$7=C798),OR(Dashboard!$H$7="All",Dashboard!$H$7=D798),OR(Dashboard!$K$7="All",Dashboard!$K$7=E798)),1,0)</x:f>
        <x:v>1</x:v>
      </x:c>
      <x:c r="S798" s="2" t="n">
        <x:f>IF(R798=1,SUM($R$10:R798),0)</x:f>
        <x:v>425</x:v>
      </x:c>
      <x:c r="T798" s="2" t="str">
        <x:v>Research &amp; Analysis</x:v>
      </x:c>
      <x:c r="U798" s="2" t="n">
        <x:v>70</x:v>
      </x:c>
      <x:c r="V798" s="2" t="n">
        <x:f>IF(AND(M798=1,P798=0,ISNUMBER(J798),J798&lt;TODAY()),1,0)</x:f>
        <x:v>1</x:v>
      </x:c>
      <x:c r="W798" s="2" t="str">
        <x:f>'Research &amp; Analysis'!M70</x:f>
        <x:v>Task</x:v>
      </x:c>
    </x:row>
    <x:row r="799" ht="40" customHeight="1">
      <x:c r="A799" s="3" t="str">
        <x:f>HYPERLINK("#'Research &amp; Analysis'!A71","Open")</x:f>
        <x:v>Open</x:v>
      </x:c>
      <x:c r="B799" s="2" t="str">
        <x:f>'Research &amp; Analysis'!B71</x:f>
        <x:v>Cycle 1</x:v>
      </x:c>
      <x:c r="C799" s="2" t="str">
        <x:f>'Research &amp; Analysis'!C71</x:f>
        <x:v>Phase 2</x:v>
      </x:c>
      <x:c r="D799" s="2" t="str">
        <x:f>'Research &amp; Analysis'!D71</x:f>
        <x:v>CSBBO - Banking Ops</x:v>
      </x:c>
      <x:c r="E799" s="2" t="str">
        <x:v>Research &amp; Analysis</x:v>
      </x:c>
      <x:c r="F799" s="56" t="str">
        <x:f>'Research &amp; Analysis'!E71</x:f>
        <x:v>RA.BO.2.7</x:v>
      </x:c>
      <x:c r="G799" s="14" t="str">
        <x:f>'Research &amp; Analysis'!F71</x:f>
        <x:v>Complete Negative Testing</x:v>
      </x:c>
      <x:c r="H799" s="2" t="str">
        <x:f>IF('Research &amp; Analysis'!G71="","",'Research &amp; Analysis'!G71)</x:f>
      </x:c>
      <x:c r="I799" s="12" t="str">
        <x:f>IF('Research &amp; Analysis'!H71="","",'Research &amp; Analysis'!H71)</x:f>
      </x:c>
      <x:c r="J799" s="12" t="n">
        <x:f>IF('Research &amp; Analysis'!I71="","",'Research &amp; Analysis'!I71)</x:f>
        <x:v>46112</x:v>
      </x:c>
      <x:c r="K799" s="12" t="str">
        <x:f>IF('Research &amp; Analysis'!J71="","",'Research &amp; Analysis'!J71)</x:f>
      </x:c>
      <x:c r="L799" s="2" t="str">
        <x:f>IF('Research &amp; Analysis'!K71="","",'Research &amp; Analysis'!K71)</x:f>
      </x:c>
      <x:c r="M799" s="2" t="n">
        <x:f>'Research &amp; Analysis'!Q71</x:f>
        <x:v>1</x:v>
      </x:c>
      <x:c r="N799" s="2" t="str">
        <x:f>'Research &amp; Analysis'!L71</x:f>
        <x:v>Not started</x:v>
      </x:c>
      <x:c r="O799" s="2" t="str">
        <x:f>'Research &amp; Analysis'!N71</x:f>
        <x:v>RA.BO.2.7.2026.CY1</x:v>
      </x:c>
      <x:c r="P799" s="2" t="n">
        <x:f>'Research &amp; Analysis'!O71</x:f>
        <x:v>0</x:v>
      </x:c>
      <x:c r="Q799" s="2" t="n">
        <x:f>SUBTOTAL(103,O799)</x:f>
        <x:v>1</x:v>
      </x:c>
      <x:c r="R799" s="2" t="n">
        <x:f>IF(AND(M799=1,OR(Dashboard!$B$7="All",Dashboard!$B$7='Cycles &amp; Guide'!$C$5),OR(Dashboard!$D$7="All",Dashboard!$D$7=B799),OR(Dashboard!$F$7="All",Dashboard!$F$7=C799),OR(Dashboard!$H$7="All",Dashboard!$H$7=D799),OR(Dashboard!$K$7="All",Dashboard!$K$7=E799)),1,0)</x:f>
        <x:v>1</x:v>
      </x:c>
      <x:c r="S799" s="2" t="n">
        <x:f>IF(R799=1,SUM($R$10:R799),0)</x:f>
        <x:v>426</x:v>
      </x:c>
      <x:c r="T799" s="2" t="str">
        <x:v>Research &amp; Analysis</x:v>
      </x:c>
      <x:c r="U799" s="2" t="n">
        <x:v>71</x:v>
      </x:c>
      <x:c r="V799" s="2" t="n">
        <x:f>IF(AND(M799=1,P799=0,ISNUMBER(J799),J799&lt;TODAY()),1,0)</x:f>
        <x:v>1</x:v>
      </x:c>
      <x:c r="W799" s="2" t="str">
        <x:f>'Research &amp; Analysis'!M71</x:f>
        <x:v>Task</x:v>
      </x:c>
    </x:row>
    <x:row r="800" ht="40" customHeight="1">
      <x:c r="A800" s="3" t="str">
        <x:f>HYPERLINK("#'Research &amp; Analysis'!A72","Open")</x:f>
        <x:v>Open</x:v>
      </x:c>
      <x:c r="B800" s="2" t="str">
        <x:f>'Research &amp; Analysis'!B72</x:f>
        <x:v>Cycle 1</x:v>
      </x:c>
      <x:c r="C800" s="2" t="str">
        <x:f>'Research &amp; Analysis'!C72</x:f>
        <x:v>Phase 2</x:v>
      </x:c>
      <x:c r="D800" s="2" t="str">
        <x:f>'Research &amp; Analysis'!D72</x:f>
        <x:v>CSBBO - Banking Ops</x:v>
      </x:c>
      <x:c r="E800" s="2" t="str">
        <x:v>Research &amp; Analysis</x:v>
      </x:c>
      <x:c r="F800" s="56" t="str">
        <x:f>'Research &amp; Analysis'!E72</x:f>
        <x:v>RA.BO.2.8</x:v>
      </x:c>
      <x:c r="G800" s="14" t="str">
        <x:f>'Research &amp; Analysis'!F72</x:f>
        <x:v>Request additional data (as needed)</x:v>
      </x:c>
      <x:c r="H800" s="2" t="str">
        <x:f>IF('Research &amp; Analysis'!G72="","",'Research &amp; Analysis'!G72)</x:f>
      </x:c>
      <x:c r="I800" s="12" t="str">
        <x:f>IF('Research &amp; Analysis'!H72="","",'Research &amp; Analysis'!H72)</x:f>
      </x:c>
      <x:c r="J800" s="12" t="n">
        <x:f>IF('Research &amp; Analysis'!I72="","",'Research &amp; Analysis'!I72)</x:f>
        <x:v>46112</x:v>
      </x:c>
      <x:c r="K800" s="12" t="str">
        <x:f>IF('Research &amp; Analysis'!J72="","",'Research &amp; Analysis'!J72)</x:f>
      </x:c>
      <x:c r="L800" s="2" t="str">
        <x:f>IF('Research &amp; Analysis'!K72="","",'Research &amp; Analysis'!K72)</x:f>
      </x:c>
      <x:c r="M800" s="2" t="n">
        <x:f>'Research &amp; Analysis'!Q72</x:f>
        <x:v>1</x:v>
      </x:c>
      <x:c r="N800" s="2" t="str">
        <x:f>'Research &amp; Analysis'!L72</x:f>
        <x:v>Not started</x:v>
      </x:c>
      <x:c r="O800" s="2" t="str">
        <x:f>'Research &amp; Analysis'!N72</x:f>
        <x:v>RA.BO.2.8.2026.CY1</x:v>
      </x:c>
      <x:c r="P800" s="2" t="n">
        <x:f>'Research &amp; Analysis'!O72</x:f>
        <x:v>0</x:v>
      </x:c>
      <x:c r="Q800" s="2" t="n">
        <x:f>SUBTOTAL(103,O800)</x:f>
        <x:v>1</x:v>
      </x:c>
      <x:c r="R800" s="2" t="n">
        <x:f>IF(AND(M800=1,OR(Dashboard!$B$7="All",Dashboard!$B$7='Cycles &amp; Guide'!$C$5),OR(Dashboard!$D$7="All",Dashboard!$D$7=B800),OR(Dashboard!$F$7="All",Dashboard!$F$7=C800),OR(Dashboard!$H$7="All",Dashboard!$H$7=D800),OR(Dashboard!$K$7="All",Dashboard!$K$7=E800)),1,0)</x:f>
        <x:v>1</x:v>
      </x:c>
      <x:c r="S800" s="2" t="n">
        <x:f>IF(R800=1,SUM($R$10:R800),0)</x:f>
        <x:v>427</x:v>
      </x:c>
      <x:c r="T800" s="2" t="str">
        <x:v>Research &amp; Analysis</x:v>
      </x:c>
      <x:c r="U800" s="2" t="n">
        <x:v>72</x:v>
      </x:c>
      <x:c r="V800" s="2" t="n">
        <x:f>IF(AND(M800=1,P800=0,ISNUMBER(J800),J800&lt;TODAY()),1,0)</x:f>
        <x:v>1</x:v>
      </x:c>
      <x:c r="W800" s="2" t="str">
        <x:f>'Research &amp; Analysis'!M72</x:f>
        <x:v>Task</x:v>
      </x:c>
    </x:row>
    <x:row r="801" ht="40" customHeight="1">
      <x:c r="A801" s="3" t="str">
        <x:f>HYPERLINK("#'Research &amp; Analysis'!A73","Open")</x:f>
        <x:v>Open</x:v>
      </x:c>
      <x:c r="B801" s="2" t="str">
        <x:f>'Research &amp; Analysis'!B73</x:f>
        <x:v>Cycle 1</x:v>
      </x:c>
      <x:c r="C801" s="2" t="str">
        <x:f>'Research &amp; Analysis'!C73</x:f>
        <x:v>Phase 2</x:v>
      </x:c>
      <x:c r="D801" s="2" t="str">
        <x:f>'Research &amp; Analysis'!D73</x:f>
        <x:v>CSBBO - Banking Ops</x:v>
      </x:c>
      <x:c r="E801" s="2" t="str">
        <x:v>Research &amp; Analysis</x:v>
      </x:c>
      <x:c r="F801" s="56" t="str">
        <x:f>'Research &amp; Analysis'!E73</x:f>
        <x:v>RA.BO.2.9</x:v>
      </x:c>
      <x:c r="G801" s="14" t="str">
        <x:f>'Research &amp; Analysis'!F73</x:f>
        <x:v>Validate or disprove initial hypothesis assumptions</x:v>
      </x:c>
      <x:c r="H801" s="2" t="str">
        <x:f>IF('Research &amp; Analysis'!G73="","",'Research &amp; Analysis'!G73)</x:f>
      </x:c>
      <x:c r="I801" s="12" t="str">
        <x:f>IF('Research &amp; Analysis'!H73="","",'Research &amp; Analysis'!H73)</x:f>
      </x:c>
      <x:c r="J801" s="12" t="n">
        <x:f>IF('Research &amp; Analysis'!I73="","",'Research &amp; Analysis'!I73)</x:f>
        <x:v>46112</x:v>
      </x:c>
      <x:c r="K801" s="12" t="str">
        <x:f>IF('Research &amp; Analysis'!J73="","",'Research &amp; Analysis'!J73)</x:f>
      </x:c>
      <x:c r="L801" s="2" t="str">
        <x:f>IF('Research &amp; Analysis'!K73="","",'Research &amp; Analysis'!K73)</x:f>
      </x:c>
      <x:c r="M801" s="2" t="n">
        <x:f>'Research &amp; Analysis'!Q73</x:f>
        <x:v>1</x:v>
      </x:c>
      <x:c r="N801" s="2" t="str">
        <x:f>'Research &amp; Analysis'!L73</x:f>
        <x:v>Not started</x:v>
      </x:c>
      <x:c r="O801" s="2" t="str">
        <x:f>'Research &amp; Analysis'!N73</x:f>
        <x:v>RA.BO.2.9.2026.CY1</x:v>
      </x:c>
      <x:c r="P801" s="2" t="n">
        <x:f>'Research &amp; Analysis'!O73</x:f>
        <x:v>0</x:v>
      </x:c>
      <x:c r="Q801" s="2" t="n">
        <x:f>SUBTOTAL(103,O801)</x:f>
        <x:v>1</x:v>
      </x:c>
      <x:c r="R801" s="2" t="n">
        <x:f>IF(AND(M801=1,OR(Dashboard!$B$7="All",Dashboard!$B$7='Cycles &amp; Guide'!$C$5),OR(Dashboard!$D$7="All",Dashboard!$D$7=B801),OR(Dashboard!$F$7="All",Dashboard!$F$7=C801),OR(Dashboard!$H$7="All",Dashboard!$H$7=D801),OR(Dashboard!$K$7="All",Dashboard!$K$7=E801)),1,0)</x:f>
        <x:v>1</x:v>
      </x:c>
      <x:c r="S801" s="2" t="n">
        <x:f>IF(R801=1,SUM($R$10:R801),0)</x:f>
        <x:v>428</x:v>
      </x:c>
      <x:c r="T801" s="2" t="str">
        <x:v>Research &amp; Analysis</x:v>
      </x:c>
      <x:c r="U801" s="2" t="n">
        <x:v>73</x:v>
      </x:c>
      <x:c r="V801" s="2" t="n">
        <x:f>IF(AND(M801=1,P801=0,ISNUMBER(J801),J801&lt;TODAY()),1,0)</x:f>
        <x:v>1</x:v>
      </x:c>
      <x:c r="W801" s="2" t="str">
        <x:f>'Research &amp; Analysis'!M73</x:f>
        <x:v>Task</x:v>
      </x:c>
    </x:row>
    <x:row r="802" ht="40" customHeight="1">
      <x:c r="A802" s="3" t="str">
        <x:f>HYPERLINK("#'Research &amp; Analysis'!A74","Open")</x:f>
        <x:v>Open</x:v>
      </x:c>
      <x:c r="B802" s="2" t="str">
        <x:f>'Research &amp; Analysis'!B74</x:f>
        <x:v>Cycle 1</x:v>
      </x:c>
      <x:c r="C802" s="2" t="str">
        <x:f>'Research &amp; Analysis'!C74</x:f>
        <x:v>Phase 2</x:v>
      </x:c>
      <x:c r="D802" s="2" t="str">
        <x:f>'Research &amp; Analysis'!D74</x:f>
        <x:v>CSBBO - Banking Ops</x:v>
      </x:c>
      <x:c r="E802" s="2" t="str">
        <x:v>Research &amp; Analysis</x:v>
      </x:c>
      <x:c r="F802" s="56" t="str">
        <x:f>'Research &amp; Analysis'!E74</x:f>
        <x:v>RA.BO.2.10</x:v>
      </x:c>
      <x:c r="G802" s="14" t="str">
        <x:f>'Research &amp; Analysis'!F74</x:f>
        <x:v>Identify and confirm root cause</x:v>
      </x:c>
      <x:c r="H802" s="2" t="str">
        <x:f>IF('Research &amp; Analysis'!G74="","",'Research &amp; Analysis'!G74)</x:f>
      </x:c>
      <x:c r="I802" s="12" t="str">
        <x:f>IF('Research &amp; Analysis'!H74="","",'Research &amp; Analysis'!H74)</x:f>
      </x:c>
      <x:c r="J802" s="12" t="n">
        <x:f>IF('Research &amp; Analysis'!I74="","",'Research &amp; Analysis'!I74)</x:f>
        <x:v>46112</x:v>
      </x:c>
      <x:c r="K802" s="12" t="str">
        <x:f>IF('Research &amp; Analysis'!J74="","",'Research &amp; Analysis'!J74)</x:f>
      </x:c>
      <x:c r="L802" s="2" t="str">
        <x:f>IF('Research &amp; Analysis'!K74="","",'Research &amp; Analysis'!K74)</x:f>
      </x:c>
      <x:c r="M802" s="2" t="n">
        <x:f>'Research &amp; Analysis'!Q74</x:f>
        <x:v>1</x:v>
      </x:c>
      <x:c r="N802" s="2" t="str">
        <x:f>'Research &amp; Analysis'!L74</x:f>
        <x:v>Not started</x:v>
      </x:c>
      <x:c r="O802" s="2" t="str">
        <x:f>'Research &amp; Analysis'!N74</x:f>
        <x:v>RA.BO.2.10.2026.CY1</x:v>
      </x:c>
      <x:c r="P802" s="2" t="n">
        <x:f>'Research &amp; Analysis'!O74</x:f>
        <x:v>0</x:v>
      </x:c>
      <x:c r="Q802" s="2" t="n">
        <x:f>SUBTOTAL(103,O802)</x:f>
        <x:v>1</x:v>
      </x:c>
      <x:c r="R802" s="2" t="n">
        <x:f>IF(AND(M802=1,OR(Dashboard!$B$7="All",Dashboard!$B$7='Cycles &amp; Guide'!$C$5),OR(Dashboard!$D$7="All",Dashboard!$D$7=B802),OR(Dashboard!$F$7="All",Dashboard!$F$7=C802),OR(Dashboard!$H$7="All",Dashboard!$H$7=D802),OR(Dashboard!$K$7="All",Dashboard!$K$7=E802)),1,0)</x:f>
        <x:v>1</x:v>
      </x:c>
      <x:c r="S802" s="2" t="n">
        <x:f>IF(R802=1,SUM($R$10:R802),0)</x:f>
        <x:v>429</x:v>
      </x:c>
      <x:c r="T802" s="2" t="str">
        <x:v>Research &amp; Analysis</x:v>
      </x:c>
      <x:c r="U802" s="2" t="n">
        <x:v>74</x:v>
      </x:c>
      <x:c r="V802" s="2" t="n">
        <x:f>IF(AND(M802=1,P802=0,ISNUMBER(J802),J802&lt;TODAY()),1,0)</x:f>
        <x:v>1</x:v>
      </x:c>
      <x:c r="W802" s="2" t="str">
        <x:f>'Research &amp; Analysis'!M74</x:f>
        <x:v>Task</x:v>
      </x:c>
    </x:row>
    <x:row r="803" ht="40" customHeight="1">
      <x:c r="A803" s="3" t="str">
        <x:f>HYPERLINK("#'Research &amp; Analysis'!A75","Open")</x:f>
        <x:v>Open</x:v>
      </x:c>
      <x:c r="B803" s="2" t="str">
        <x:f>'Research &amp; Analysis'!B75</x:f>
        <x:v>Cycle 1</x:v>
      </x:c>
      <x:c r="C803" s="2" t="str">
        <x:f>'Research &amp; Analysis'!C75</x:f>
        <x:v>Phase 3</x:v>
      </x:c>
      <x:c r="D803" s="2" t="str">
        <x:f>'Research &amp; Analysis'!D75</x:f>
        <x:v>CSBBO - Banking Ops</x:v>
      </x:c>
      <x:c r="E803" s="2" t="str">
        <x:v>Research &amp; Analysis</x:v>
      </x:c>
      <x:c r="F803" s="56" t="str">
        <x:f>'Research &amp; Analysis'!E75</x:f>
        <x:v>RA.BO.3.1</x:v>
      </x:c>
      <x:c r="G803" s="14" t="str">
        <x:f>'Research &amp; Analysis'!F75</x:f>
        <x:v>Finalize results and supporting documentation</x:v>
      </x:c>
      <x:c r="H803" s="2" t="str">
        <x:f>IF('Research &amp; Analysis'!G75="","",'Research &amp; Analysis'!G75)</x:f>
      </x:c>
      <x:c r="I803" s="12" t="str">
        <x:f>IF('Research &amp; Analysis'!H75="","",'Research &amp; Analysis'!H75)</x:f>
      </x:c>
      <x:c r="J803" s="12" t="n">
        <x:f>IF('Research &amp; Analysis'!I75="","",'Research &amp; Analysis'!I75)</x:f>
        <x:v>46112</x:v>
      </x:c>
      <x:c r="K803" s="12" t="str">
        <x:f>IF('Research &amp; Analysis'!J75="","",'Research &amp; Analysis'!J75)</x:f>
      </x:c>
      <x:c r="L803" s="2" t="str">
        <x:f>IF('Research &amp; Analysis'!K75="","",'Research &amp; Analysis'!K75)</x:f>
      </x:c>
      <x:c r="M803" s="2" t="n">
        <x:f>'Research &amp; Analysis'!Q75</x:f>
        <x:v>1</x:v>
      </x:c>
      <x:c r="N803" s="2" t="str">
        <x:f>'Research &amp; Analysis'!L75</x:f>
        <x:v>Not started</x:v>
      </x:c>
      <x:c r="O803" s="2" t="str">
        <x:f>'Research &amp; Analysis'!N75</x:f>
        <x:v>RA.BO.3.1.2026.CY1</x:v>
      </x:c>
      <x:c r="P803" s="2" t="n">
        <x:f>'Research &amp; Analysis'!O75</x:f>
        <x:v>0</x:v>
      </x:c>
      <x:c r="Q803" s="2" t="n">
        <x:f>SUBTOTAL(103,O803)</x:f>
        <x:v>1</x:v>
      </x:c>
      <x:c r="R803" s="2" t="n">
        <x:f>IF(AND(M803=1,OR(Dashboard!$B$7="All",Dashboard!$B$7='Cycles &amp; Guide'!$C$5),OR(Dashboard!$D$7="All",Dashboard!$D$7=B803),OR(Dashboard!$F$7="All",Dashboard!$F$7=C803),OR(Dashboard!$H$7="All",Dashboard!$H$7=D803),OR(Dashboard!$K$7="All",Dashboard!$K$7=E803)),1,0)</x:f>
        <x:v>1</x:v>
      </x:c>
      <x:c r="S803" s="2" t="n">
        <x:f>IF(R803=1,SUM($R$10:R803),0)</x:f>
        <x:v>430</x:v>
      </x:c>
      <x:c r="T803" s="2" t="str">
        <x:v>Research &amp; Analysis</x:v>
      </x:c>
      <x:c r="U803" s="2" t="n">
        <x:v>75</x:v>
      </x:c>
      <x:c r="V803" s="2" t="n">
        <x:f>IF(AND(M803=1,P803=0,ISNUMBER(J803),J803&lt;TODAY()),1,0)</x:f>
        <x:v>1</x:v>
      </x:c>
      <x:c r="W803" s="2" t="str">
        <x:f>'Research &amp; Analysis'!M75</x:f>
        <x:v>Task</x:v>
      </x:c>
    </x:row>
    <x:row r="804" ht="40" customHeight="1">
      <x:c r="A804" s="3" t="str">
        <x:f>HYPERLINK("#'Research &amp; Analysis'!A76","Open")</x:f>
        <x:v>Open</x:v>
      </x:c>
      <x:c r="B804" s="2" t="str">
        <x:f>'Research &amp; Analysis'!B76</x:f>
        <x:v>Cycle 1</x:v>
      </x:c>
      <x:c r="C804" s="2" t="str">
        <x:f>'Research &amp; Analysis'!C76</x:f>
        <x:v>Phase 3</x:v>
      </x:c>
      <x:c r="D804" s="2" t="str">
        <x:f>'Research &amp; Analysis'!D76</x:f>
        <x:v>CSBBO - Banking Ops</x:v>
      </x:c>
      <x:c r="E804" s="2" t="str">
        <x:v>Research &amp; Analysis</x:v>
      </x:c>
      <x:c r="F804" s="56" t="str">
        <x:f>'Research &amp; Analysis'!E76</x:f>
        <x:v>RA.BO.3.2</x:v>
      </x:c>
      <x:c r="G804" s="14" t="str">
        <x:f>'Research &amp; Analysis'!F76</x:f>
        <x:v>Maintain and update the evidence package prior to handoff to D&amp;I</x:v>
      </x:c>
      <x:c r="H804" s="2" t="str">
        <x:f>IF('Research &amp; Analysis'!G76="","",'Research &amp; Analysis'!G76)</x:f>
      </x:c>
      <x:c r="I804" s="12" t="str">
        <x:f>IF('Research &amp; Analysis'!H76="","",'Research &amp; Analysis'!H76)</x:f>
      </x:c>
      <x:c r="J804" s="12" t="n">
        <x:f>IF('Research &amp; Analysis'!I76="","",'Research &amp; Analysis'!I76)</x:f>
        <x:v>46112</x:v>
      </x:c>
      <x:c r="K804" s="12" t="str">
        <x:f>IF('Research &amp; Analysis'!J76="","",'Research &amp; Analysis'!J76)</x:f>
      </x:c>
      <x:c r="L804" s="2" t="str">
        <x:f>IF('Research &amp; Analysis'!K76="","",'Research &amp; Analysis'!K76)</x:f>
      </x:c>
      <x:c r="M804" s="2" t="n">
        <x:f>'Research &amp; Analysis'!Q76</x:f>
        <x:v>1</x:v>
      </x:c>
      <x:c r="N804" s="2" t="str">
        <x:f>'Research &amp; Analysis'!L76</x:f>
        <x:v>Not started</x:v>
      </x:c>
      <x:c r="O804" s="2" t="str">
        <x:f>'Research &amp; Analysis'!N76</x:f>
        <x:v>RA.BO.3.2.2026.CY1</x:v>
      </x:c>
      <x:c r="P804" s="2" t="n">
        <x:f>'Research &amp; Analysis'!O76</x:f>
        <x:v>0</x:v>
      </x:c>
      <x:c r="Q804" s="2" t="n">
        <x:f>SUBTOTAL(103,O804)</x:f>
        <x:v>1</x:v>
      </x:c>
      <x:c r="R804" s="2" t="n">
        <x:f>IF(AND(M804=1,OR(Dashboard!$B$7="All",Dashboard!$B$7='Cycles &amp; Guide'!$C$5),OR(Dashboard!$D$7="All",Dashboard!$D$7=B804),OR(Dashboard!$F$7="All",Dashboard!$F$7=C804),OR(Dashboard!$H$7="All",Dashboard!$H$7=D804),OR(Dashboard!$K$7="All",Dashboard!$K$7=E804)),1,0)</x:f>
        <x:v>1</x:v>
      </x:c>
      <x:c r="S804" s="2" t="n">
        <x:f>IF(R804=1,SUM($R$10:R804),0)</x:f>
        <x:v>431</x:v>
      </x:c>
      <x:c r="T804" s="2" t="str">
        <x:v>Research &amp; Analysis</x:v>
      </x:c>
      <x:c r="U804" s="2" t="n">
        <x:v>76</x:v>
      </x:c>
      <x:c r="V804" s="2" t="n">
        <x:f>IF(AND(M804=1,P804=0,ISNUMBER(J804),J804&lt;TODAY()),1,0)</x:f>
        <x:v>1</x:v>
      </x:c>
      <x:c r="W804" s="2" t="str">
        <x:f>'Research &amp; Analysis'!M76</x:f>
        <x:v>Task</x:v>
      </x:c>
    </x:row>
    <x:row r="805" ht="40" customHeight="1">
      <x:c r="A805" s="3" t="str">
        <x:f>HYPERLINK("#'Research &amp; Analysis'!A77","Open")</x:f>
        <x:v>Open</x:v>
      </x:c>
      <x:c r="B805" s="2" t="str">
        <x:f>'Research &amp; Analysis'!B77</x:f>
        <x:v>Cycle 1</x:v>
      </x:c>
      <x:c r="C805" s="2" t="str">
        <x:f>'Research &amp; Analysis'!C77</x:f>
        <x:v>Phase 3</x:v>
      </x:c>
      <x:c r="D805" s="2" t="str">
        <x:f>'Research &amp; Analysis'!D77</x:f>
        <x:v>CSBBO - Banking Ops</x:v>
      </x:c>
      <x:c r="E805" s="2" t="str">
        <x:v>Research &amp; Analysis</x:v>
      </x:c>
      <x:c r="F805" s="56" t="str">
        <x:f>'Research &amp; Analysis'!E77</x:f>
        <x:v>RA.BO.3.3</x:v>
      </x:c>
      <x:c r="G805" s="14" t="str">
        <x:f>'Research &amp; Analysis'!F77</x:f>
        <x:v>Address any outstanding questions or requests from D&amp;I</x:v>
      </x:c>
      <x:c r="H805" s="2" t="str">
        <x:f>IF('Research &amp; Analysis'!G77="","",'Research &amp; Analysis'!G77)</x:f>
      </x:c>
      <x:c r="I805" s="12" t="str">
        <x:f>IF('Research &amp; Analysis'!H77="","",'Research &amp; Analysis'!H77)</x:f>
      </x:c>
      <x:c r="J805" s="12" t="n">
        <x:f>IF('Research &amp; Analysis'!I77="","",'Research &amp; Analysis'!I77)</x:f>
        <x:v>46112</x:v>
      </x:c>
      <x:c r="K805" s="12" t="str">
        <x:f>IF('Research &amp; Analysis'!J77="","",'Research &amp; Analysis'!J77)</x:f>
      </x:c>
      <x:c r="L805" s="2" t="str">
        <x:f>IF('Research &amp; Analysis'!K77="","",'Research &amp; Analysis'!K77)</x:f>
      </x:c>
      <x:c r="M805" s="2" t="n">
        <x:f>'Research &amp; Analysis'!Q77</x:f>
        <x:v>1</x:v>
      </x:c>
      <x:c r="N805" s="2" t="str">
        <x:f>'Research &amp; Analysis'!L77</x:f>
        <x:v>Not started</x:v>
      </x:c>
      <x:c r="O805" s="2" t="str">
        <x:f>'Research &amp; Analysis'!N77</x:f>
        <x:v>RA.BO.3.3.2026.CY1</x:v>
      </x:c>
      <x:c r="P805" s="2" t="n">
        <x:f>'Research &amp; Analysis'!O77</x:f>
        <x:v>0</x:v>
      </x:c>
      <x:c r="Q805" s="2" t="n">
        <x:f>SUBTOTAL(103,O805)</x:f>
        <x:v>1</x:v>
      </x:c>
      <x:c r="R805" s="2" t="n">
        <x:f>IF(AND(M805=1,OR(Dashboard!$B$7="All",Dashboard!$B$7='Cycles &amp; Guide'!$C$5),OR(Dashboard!$D$7="All",Dashboard!$D$7=B805),OR(Dashboard!$F$7="All",Dashboard!$F$7=C805),OR(Dashboard!$H$7="All",Dashboard!$H$7=D805),OR(Dashboard!$K$7="All",Dashboard!$K$7=E805)),1,0)</x:f>
        <x:v>1</x:v>
      </x:c>
      <x:c r="S805" s="2" t="n">
        <x:f>IF(R805=1,SUM($R$10:R805),0)</x:f>
        <x:v>432</x:v>
      </x:c>
      <x:c r="T805" s="2" t="str">
        <x:v>Research &amp; Analysis</x:v>
      </x:c>
      <x:c r="U805" s="2" t="n">
        <x:v>77</x:v>
      </x:c>
      <x:c r="V805" s="2" t="n">
        <x:f>IF(AND(M805=1,P805=0,ISNUMBER(J805),J805&lt;TODAY()),1,0)</x:f>
        <x:v>1</x:v>
      </x:c>
      <x:c r="W805" s="2" t="str">
        <x:f>'Research &amp; Analysis'!M77</x:f>
        <x:v>Task</x:v>
      </x:c>
    </x:row>
    <x:row r="806" ht="40" customHeight="1">
      <x:c r="A806" s="3" t="str">
        <x:f>HYPERLINK("#'Research &amp; Analysis'!A78","Open")</x:f>
        <x:v>Open</x:v>
      </x:c>
      <x:c r="B806" s="2" t="str">
        <x:f>'Research &amp; Analysis'!B78</x:f>
        <x:v>Cycle 1</x:v>
      </x:c>
      <x:c r="C806" s="2" t="str">
        <x:f>'Research &amp; Analysis'!C78</x:f>
        <x:v>Phase 3</x:v>
      </x:c>
      <x:c r="D806" s="2" t="str">
        <x:f>'Research &amp; Analysis'!D78</x:f>
        <x:v>CSBBO - Banking Ops</x:v>
      </x:c>
      <x:c r="E806" s="2" t="str">
        <x:v>Research &amp; Analysis</x:v>
      </x:c>
      <x:c r="F806" s="56" t="str">
        <x:f>'Research &amp; Analysis'!E78</x:f>
        <x:v>RA.BO.3.4</x:v>
      </x:c>
      <x:c r="G806" s="14" t="str">
        <x:f>'Research &amp; Analysis'!F78</x:f>
        <x:v>Attend Forum meeting with D&amp;I to assist with answering stakeholder questions (as needed)</x:v>
      </x:c>
      <x:c r="H806" s="2" t="str">
        <x:f>IF('Research &amp; Analysis'!G78="","",'Research &amp; Analysis'!G78)</x:f>
      </x:c>
      <x:c r="I806" s="12" t="str">
        <x:f>IF('Research &amp; Analysis'!H78="","",'Research &amp; Analysis'!H78)</x:f>
      </x:c>
      <x:c r="J806" s="12" t="str">
        <x:f>IF('Research &amp; Analysis'!I78="","",'Research &amp; Analysis'!I78)</x:f>
      </x:c>
      <x:c r="K806" s="12" t="str">
        <x:f>IF('Research &amp; Analysis'!J78="","",'Research &amp; Analysis'!J78)</x:f>
      </x:c>
      <x:c r="L806" s="2" t="str">
        <x:f>IF('Research &amp; Analysis'!K78="","",'Research &amp; Analysis'!K78)</x:f>
      </x:c>
      <x:c r="M806" s="2" t="n">
        <x:f>'Research &amp; Analysis'!Q78</x:f>
        <x:v>1</x:v>
      </x:c>
      <x:c r="N806" s="2" t="str">
        <x:f>'Research &amp; Analysis'!L78</x:f>
        <x:v>Not started</x:v>
      </x:c>
      <x:c r="O806" s="2" t="str">
        <x:f>'Research &amp; Analysis'!N78</x:f>
        <x:v>RA.BO.3.4.2026.CY1</x:v>
      </x:c>
      <x:c r="P806" s="2" t="n">
        <x:f>'Research &amp; Analysis'!O78</x:f>
        <x:v>0</x:v>
      </x:c>
      <x:c r="Q806" s="2" t="n">
        <x:f>SUBTOTAL(103,O806)</x:f>
        <x:v>1</x:v>
      </x:c>
      <x:c r="R806" s="2" t="n">
        <x:f>IF(AND(M806=1,OR(Dashboard!$B$7="All",Dashboard!$B$7='Cycles &amp; Guide'!$C$5),OR(Dashboard!$D$7="All",Dashboard!$D$7=B806),OR(Dashboard!$F$7="All",Dashboard!$F$7=C806),OR(Dashboard!$H$7="All",Dashboard!$H$7=D806),OR(Dashboard!$K$7="All",Dashboard!$K$7=E806)),1,0)</x:f>
        <x:v>1</x:v>
      </x:c>
      <x:c r="S806" s="2" t="n">
        <x:f>IF(R806=1,SUM($R$10:R806),0)</x:f>
        <x:v>433</x:v>
      </x:c>
      <x:c r="T806" s="2" t="str">
        <x:v>Research &amp; Analysis</x:v>
      </x:c>
      <x:c r="U806" s="2" t="n">
        <x:v>78</x:v>
      </x:c>
      <x:c r="V806" s="2" t="n">
        <x:f>IF(AND(M806=1,P806=0,ISNUMBER(J806),J806&lt;TODAY()),1,0)</x:f>
        <x:v>0</x:v>
      </x:c>
      <x:c r="W806" s="2" t="str">
        <x:f>'Research &amp; Analysis'!M78</x:f>
        <x:v>Task</x:v>
      </x:c>
    </x:row>
    <x:row r="807" ht="40" customHeight="1">
      <x:c r="A807" s="3" t="str">
        <x:f>HYPERLINK("#'Research &amp; Analysis'!A79","Open")</x:f>
        <x:v>Open</x:v>
      </x:c>
      <x:c r="B807" s="2" t="str">
        <x:f>'Research &amp; Analysis'!B79</x:f>
        <x:v>Cycle 1</x:v>
      </x:c>
      <x:c r="C807" s="2" t="str">
        <x:f>'Research &amp; Analysis'!C79</x:f>
        <x:v>Phase 1</x:v>
      </x:c>
      <x:c r="D807" s="2" t="str">
        <x:f>'Research &amp; Analysis'!D79</x:f>
        <x:v>CSBBO - Customer Service</x:v>
      </x:c>
      <x:c r="E807" s="2" t="str">
        <x:v>Research &amp; Analysis</x:v>
      </x:c>
      <x:c r="F807" s="56" t="str">
        <x:f>'Research &amp; Analysis'!E79</x:f>
        <x:v>RA.CS.1.1</x:v>
      </x:c>
      <x:c r="G807" s="14" t="str">
        <x:f>'Research &amp; Analysis'!F79</x:f>
        <x:v>Begin Research process 2 weeks prior to Cycle start</x:v>
      </x:c>
      <x:c r="H807" s="2" t="str">
        <x:f>IF('Research &amp; Analysis'!G79="","",'Research &amp; Analysis'!G79)</x:f>
      </x:c>
      <x:c r="I807" s="12" t="str">
        <x:f>IF('Research &amp; Analysis'!H79="","",'Research &amp; Analysis'!H79)</x:f>
      </x:c>
      <x:c r="J807" s="12" t="n">
        <x:f>IF('Research &amp; Analysis'!I79="","",'Research &amp; Analysis'!I79)</x:f>
        <x:v>46009</x:v>
      </x:c>
      <x:c r="K807" s="12" t="str">
        <x:f>IF('Research &amp; Analysis'!J79="","",'Research &amp; Analysis'!J79)</x:f>
      </x:c>
      <x:c r="L807" s="2" t="str">
        <x:f>IF('Research &amp; Analysis'!K79="","",'Research &amp; Analysis'!K79)</x:f>
      </x:c>
      <x:c r="M807" s="2" t="n">
        <x:f>'Research &amp; Analysis'!Q79</x:f>
        <x:v>1</x:v>
      </x:c>
      <x:c r="N807" s="2" t="str">
        <x:f>'Research &amp; Analysis'!L79</x:f>
        <x:v>Not started</x:v>
      </x:c>
      <x:c r="O807" s="2" t="str">
        <x:f>'Research &amp; Analysis'!N79</x:f>
        <x:v>RA.CS.1.1.2026.CY1</x:v>
      </x:c>
      <x:c r="P807" s="2" t="n">
        <x:f>'Research &amp; Analysis'!O79</x:f>
        <x:v>0</x:v>
      </x:c>
      <x:c r="Q807" s="2" t="n">
        <x:f>SUBTOTAL(103,O807)</x:f>
        <x:v>1</x:v>
      </x:c>
      <x:c r="R807" s="2" t="n">
        <x:f>IF(AND(M807=1,OR(Dashboard!$B$7="All",Dashboard!$B$7='Cycles &amp; Guide'!$C$5),OR(Dashboard!$D$7="All",Dashboard!$D$7=B807),OR(Dashboard!$F$7="All",Dashboard!$F$7=C807),OR(Dashboard!$H$7="All",Dashboard!$H$7=D807),OR(Dashboard!$K$7="All",Dashboard!$K$7=E807)),1,0)</x:f>
        <x:v>1</x:v>
      </x:c>
      <x:c r="S807" s="2" t="n">
        <x:f>IF(R807=1,SUM($R$10:R807),0)</x:f>
        <x:v>434</x:v>
      </x:c>
      <x:c r="T807" s="2" t="str">
        <x:v>Research &amp; Analysis</x:v>
      </x:c>
      <x:c r="U807" s="2" t="n">
        <x:v>79</x:v>
      </x:c>
      <x:c r="V807" s="2" t="n">
        <x:f>IF(AND(M807=1,P807=0,ISNUMBER(J807),J807&lt;TODAY()),1,0)</x:f>
        <x:v>1</x:v>
      </x:c>
      <x:c r="W807" s="2" t="str">
        <x:f>'Research &amp; Analysis'!M79</x:f>
        <x:v>Task</x:v>
      </x:c>
    </x:row>
    <x:row r="808" ht="40" customHeight="1">
      <x:c r="A808" s="3" t="str">
        <x:f>HYPERLINK("#'Research &amp; Analysis'!A80","Open")</x:f>
        <x:v>Open</x:v>
      </x:c>
      <x:c r="B808" s="2" t="str">
        <x:f>'Research &amp; Analysis'!B80</x:f>
        <x:v>Cycle 1</x:v>
      </x:c>
      <x:c r="C808" s="2" t="str">
        <x:f>'Research &amp; Analysis'!C80</x:f>
        <x:v>Phase 1</x:v>
      </x:c>
      <x:c r="D808" s="2" t="str">
        <x:f>'Research &amp; Analysis'!D80</x:f>
        <x:v>CSBBO - Customer Service</x:v>
      </x:c>
      <x:c r="E808" s="2" t="str">
        <x:v>Research &amp; Analysis</x:v>
      </x:c>
      <x:c r="F808" s="56" t="str">
        <x:f>'Research &amp; Analysis'!E80</x:f>
        <x:v>RA.CS.1.2</x:v>
      </x:c>
      <x:c r="G808" s="14" t="str">
        <x:f>'Research &amp; Analysis'!F80</x:f>
        <x:v>Conduct initial assessment of each topic recommendation from SharePoint list</x:v>
      </x:c>
      <x:c r="H808" s="2" t="str">
        <x:f>IF('Research &amp; Analysis'!G80="","",'Research &amp; Analysis'!G80)</x:f>
      </x:c>
      <x:c r="I808" s="12" t="str">
        <x:f>IF('Research &amp; Analysis'!H80="","",'Research &amp; Analysis'!H80)</x:f>
      </x:c>
      <x:c r="J808" s="12" t="n">
        <x:f>IF('Research &amp; Analysis'!I80="","",'Research &amp; Analysis'!I80)</x:f>
        <x:v>46112</x:v>
      </x:c>
      <x:c r="K808" s="12" t="str">
        <x:f>IF('Research &amp; Analysis'!J80="","",'Research &amp; Analysis'!J80)</x:f>
      </x:c>
      <x:c r="L808" s="2" t="str">
        <x:f>IF('Research &amp; Analysis'!K80="","",'Research &amp; Analysis'!K80)</x:f>
      </x:c>
      <x:c r="M808" s="2" t="n">
        <x:f>'Research &amp; Analysis'!Q80</x:f>
        <x:v>1</x:v>
      </x:c>
      <x:c r="N808" s="2" t="str">
        <x:f>'Research &amp; Analysis'!L80</x:f>
        <x:v>Not started</x:v>
      </x:c>
      <x:c r="O808" s="2" t="str">
        <x:f>'Research &amp; Analysis'!N80</x:f>
        <x:v>RA.CS.1.2.2026.CY1</x:v>
      </x:c>
      <x:c r="P808" s="2" t="n">
        <x:f>'Research &amp; Analysis'!O80</x:f>
        <x:v>0</x:v>
      </x:c>
      <x:c r="Q808" s="2" t="n">
        <x:f>SUBTOTAL(103,O808)</x:f>
        <x:v>1</x:v>
      </x:c>
      <x:c r="R808" s="2" t="n">
        <x:f>IF(AND(M808=1,OR(Dashboard!$B$7="All",Dashboard!$B$7='Cycles &amp; Guide'!$C$5),OR(Dashboard!$D$7="All",Dashboard!$D$7=B808),OR(Dashboard!$F$7="All",Dashboard!$F$7=C808),OR(Dashboard!$H$7="All",Dashboard!$H$7=D808),OR(Dashboard!$K$7="All",Dashboard!$K$7=E808)),1,0)</x:f>
        <x:v>1</x:v>
      </x:c>
      <x:c r="S808" s="2" t="n">
        <x:f>IF(R808=1,SUM($R$10:R808),0)</x:f>
        <x:v>435</x:v>
      </x:c>
      <x:c r="T808" s="2" t="str">
        <x:v>Research &amp; Analysis</x:v>
      </x:c>
      <x:c r="U808" s="2" t="n">
        <x:v>80</x:v>
      </x:c>
      <x:c r="V808" s="2" t="n">
        <x:f>IF(AND(M808=1,P808=0,ISNUMBER(J808),J808&lt;TODAY()),1,0)</x:f>
        <x:v>1</x:v>
      </x:c>
      <x:c r="W808" s="2" t="str">
        <x:f>'Research &amp; Analysis'!M80</x:f>
        <x:v>Task</x:v>
      </x:c>
    </x:row>
    <x:row r="809" ht="40" customHeight="1">
      <x:c r="A809" s="3" t="str">
        <x:f>HYPERLINK("#'Research &amp; Analysis'!A81","Open")</x:f>
        <x:v>Open</x:v>
      </x:c>
      <x:c r="B809" s="2" t="str">
        <x:f>'Research &amp; Analysis'!B81</x:f>
        <x:v>Cycle 1</x:v>
      </x:c>
      <x:c r="C809" s="2" t="str">
        <x:f>'Research &amp; Analysis'!C81</x:f>
        <x:v>Phase 1</x:v>
      </x:c>
      <x:c r="D809" s="2" t="str">
        <x:f>'Research &amp; Analysis'!D81</x:f>
        <x:v>CSBBO - Customer Service</x:v>
      </x:c>
      <x:c r="E809" s="2" t="str">
        <x:v>Research &amp; Analysis</x:v>
      </x:c>
      <x:c r="F809" s="56" t="str">
        <x:f>'Research &amp; Analysis'!E81</x:f>
        <x:v>RA.CS.1.3</x:v>
      </x:c>
      <x:c r="G809" s="14" t="str">
        <x:f>'Research &amp; Analysis'!F81</x:f>
        <x:v>Identify best topic for Cycle</x:v>
      </x:c>
      <x:c r="H809" s="2" t="str">
        <x:f>IF('Research &amp; Analysis'!G81="","",'Research &amp; Analysis'!G81)</x:f>
      </x:c>
      <x:c r="I809" s="12" t="str">
        <x:f>IF('Research &amp; Analysis'!H81="","",'Research &amp; Analysis'!H81)</x:f>
      </x:c>
      <x:c r="J809" s="12" t="n">
        <x:f>IF('Research &amp; Analysis'!I81="","",'Research &amp; Analysis'!I81)</x:f>
        <x:v>46112</x:v>
      </x:c>
      <x:c r="K809" s="12" t="str">
        <x:f>IF('Research &amp; Analysis'!J81="","",'Research &amp; Analysis'!J81)</x:f>
      </x:c>
      <x:c r="L809" s="2" t="str">
        <x:f>IF('Research &amp; Analysis'!K81="","",'Research &amp; Analysis'!K81)</x:f>
      </x:c>
      <x:c r="M809" s="2" t="n">
        <x:f>'Research &amp; Analysis'!Q81</x:f>
        <x:v>1</x:v>
      </x:c>
      <x:c r="N809" s="2" t="str">
        <x:f>'Research &amp; Analysis'!L81</x:f>
        <x:v>Not started</x:v>
      </x:c>
      <x:c r="O809" s="2" t="str">
        <x:f>'Research &amp; Analysis'!N81</x:f>
        <x:v>RA.CS.1.3.2026.CY1</x:v>
      </x:c>
      <x:c r="P809" s="2" t="n">
        <x:f>'Research &amp; Analysis'!O81</x:f>
        <x:v>0</x:v>
      </x:c>
      <x:c r="Q809" s="2" t="n">
        <x:f>SUBTOTAL(103,O809)</x:f>
        <x:v>1</x:v>
      </x:c>
      <x:c r="R809" s="2" t="n">
        <x:f>IF(AND(M809=1,OR(Dashboard!$B$7="All",Dashboard!$B$7='Cycles &amp; Guide'!$C$5),OR(Dashboard!$D$7="All",Dashboard!$D$7=B809),OR(Dashboard!$F$7="All",Dashboard!$F$7=C809),OR(Dashboard!$H$7="All",Dashboard!$H$7=D809),OR(Dashboard!$K$7="All",Dashboard!$K$7=E809)),1,0)</x:f>
        <x:v>1</x:v>
      </x:c>
      <x:c r="S809" s="2" t="n">
        <x:f>IF(R809=1,SUM($R$10:R809),0)</x:f>
        <x:v>436</x:v>
      </x:c>
      <x:c r="T809" s="2" t="str">
        <x:v>Research &amp; Analysis</x:v>
      </x:c>
      <x:c r="U809" s="2" t="n">
        <x:v>81</x:v>
      </x:c>
      <x:c r="V809" s="2" t="n">
        <x:f>IF(AND(M809=1,P809=0,ISNUMBER(J809),J809&lt;TODAY()),1,0)</x:f>
        <x:v>1</x:v>
      </x:c>
      <x:c r="W809" s="2" t="str">
        <x:f>'Research &amp; Analysis'!M81</x:f>
        <x:v>Task</x:v>
      </x:c>
    </x:row>
    <x:row r="810" ht="40" customHeight="1">
      <x:c r="A810" s="3" t="str">
        <x:f>HYPERLINK("#'Research &amp; Analysis'!A82","Open")</x:f>
        <x:v>Open</x:v>
      </x:c>
      <x:c r="B810" s="2" t="str">
        <x:f>'Research &amp; Analysis'!B82</x:f>
        <x:v>Cycle 1</x:v>
      </x:c>
      <x:c r="C810" s="2" t="str">
        <x:f>'Research &amp; Analysis'!C82</x:f>
        <x:v>Phase 1</x:v>
      </x:c>
      <x:c r="D810" s="2" t="str">
        <x:f>'Research &amp; Analysis'!D82</x:f>
        <x:v>CSBBO - Customer Service</x:v>
      </x:c>
      <x:c r="E810" s="2" t="str">
        <x:v>Research &amp; Analysis</x:v>
      </x:c>
      <x:c r="F810" s="56" t="str">
        <x:f>'Research &amp; Analysis'!E82</x:f>
        <x:v>RA.CS.1.4</x:v>
      </x:c>
      <x:c r="G810" s="14" t="str">
        <x:f>'Research &amp; Analysis'!F82</x:f>
        <x:v>Identify backup topic for Cycle</x:v>
      </x:c>
      <x:c r="H810" s="2" t="str">
        <x:f>IF('Research &amp; Analysis'!G82="","",'Research &amp; Analysis'!G82)</x:f>
      </x:c>
      <x:c r="I810" s="12" t="str">
        <x:f>IF('Research &amp; Analysis'!H82="","",'Research &amp; Analysis'!H82)</x:f>
      </x:c>
      <x:c r="J810" s="12" t="n">
        <x:f>IF('Research &amp; Analysis'!I82="","",'Research &amp; Analysis'!I82)</x:f>
        <x:v>46112</x:v>
      </x:c>
      <x:c r="K810" s="12" t="str">
        <x:f>IF('Research &amp; Analysis'!J82="","",'Research &amp; Analysis'!J82)</x:f>
      </x:c>
      <x:c r="L810" s="2" t="str">
        <x:f>IF('Research &amp; Analysis'!K82="","",'Research &amp; Analysis'!K82)</x:f>
      </x:c>
      <x:c r="M810" s="2" t="n">
        <x:f>'Research &amp; Analysis'!Q82</x:f>
        <x:v>1</x:v>
      </x:c>
      <x:c r="N810" s="2" t="str">
        <x:f>'Research &amp; Analysis'!L82</x:f>
        <x:v>Not started</x:v>
      </x:c>
      <x:c r="O810" s="2" t="str">
        <x:f>'Research &amp; Analysis'!N82</x:f>
        <x:v>RA.CS.1.4.2026.CY1</x:v>
      </x:c>
      <x:c r="P810" s="2" t="n">
        <x:f>'Research &amp; Analysis'!O82</x:f>
        <x:v>0</x:v>
      </x:c>
      <x:c r="Q810" s="2" t="n">
        <x:f>SUBTOTAL(103,O810)</x:f>
        <x:v>1</x:v>
      </x:c>
      <x:c r="R810" s="2" t="n">
        <x:f>IF(AND(M810=1,OR(Dashboard!$B$7="All",Dashboard!$B$7='Cycles &amp; Guide'!$C$5),OR(Dashboard!$D$7="All",Dashboard!$D$7=B810),OR(Dashboard!$F$7="All",Dashboard!$F$7=C810),OR(Dashboard!$H$7="All",Dashboard!$H$7=D810),OR(Dashboard!$K$7="All",Dashboard!$K$7=E810)),1,0)</x:f>
        <x:v>1</x:v>
      </x:c>
      <x:c r="S810" s="2" t="n">
        <x:f>IF(R810=1,SUM($R$10:R810),0)</x:f>
        <x:v>437</x:v>
      </x:c>
      <x:c r="T810" s="2" t="str">
        <x:v>Research &amp; Analysis</x:v>
      </x:c>
      <x:c r="U810" s="2" t="n">
        <x:v>82</x:v>
      </x:c>
      <x:c r="V810" s="2" t="n">
        <x:f>IF(AND(M810=1,P810=0,ISNUMBER(J810),J810&lt;TODAY()),1,0)</x:f>
        <x:v>1</x:v>
      </x:c>
      <x:c r="W810" s="2" t="str">
        <x:f>'Research &amp; Analysis'!M82</x:f>
        <x:v>Task</x:v>
      </x:c>
    </x:row>
    <x:row r="811" ht="40" customHeight="1">
      <x:c r="A811" s="3" t="str">
        <x:f>HYPERLINK("#'Research &amp; Analysis'!A83","Open")</x:f>
        <x:v>Open</x:v>
      </x:c>
      <x:c r="B811" s="2" t="str">
        <x:f>'Research &amp; Analysis'!B83</x:f>
        <x:v>Cycle 1</x:v>
      </x:c>
      <x:c r="C811" s="2" t="str">
        <x:f>'Research &amp; Analysis'!C83</x:f>
        <x:v>Phase 1</x:v>
      </x:c>
      <x:c r="D811" s="2" t="str">
        <x:f>'Research &amp; Analysis'!D83</x:f>
        <x:v>CSBBO - Customer Service</x:v>
      </x:c>
      <x:c r="E811" s="2" t="str">
        <x:v>Research &amp; Analysis</x:v>
      </x:c>
      <x:c r="F811" s="56" t="str">
        <x:f>'Research &amp; Analysis'!E83</x:f>
        <x:v>RA.CS.1.5</x:v>
      </x:c>
      <x:c r="G811" s="14" t="str">
        <x:f>'Research &amp; Analysis'!F83</x:f>
        <x:v>Schedule topic approval meeting with D&amp;I and management</x:v>
      </x:c>
      <x:c r="H811" s="2" t="str">
        <x:f>IF('Research &amp; Analysis'!G83="","",'Research &amp; Analysis'!G83)</x:f>
      </x:c>
      <x:c r="I811" s="12" t="str">
        <x:f>IF('Research &amp; Analysis'!H83="","",'Research &amp; Analysis'!H83)</x:f>
      </x:c>
      <x:c r="J811" s="12" t="n">
        <x:f>IF('Research &amp; Analysis'!I83="","",'Research &amp; Analysis'!I83)</x:f>
        <x:v>46112</x:v>
      </x:c>
      <x:c r="K811" s="12" t="str">
        <x:f>IF('Research &amp; Analysis'!J83="","",'Research &amp; Analysis'!J83)</x:f>
      </x:c>
      <x:c r="L811" s="2" t="str">
        <x:f>IF('Research &amp; Analysis'!K83="","",'Research &amp; Analysis'!K83)</x:f>
      </x:c>
      <x:c r="M811" s="2" t="n">
        <x:f>'Research &amp; Analysis'!Q83</x:f>
        <x:v>1</x:v>
      </x:c>
      <x:c r="N811" s="2" t="str">
        <x:f>'Research &amp; Analysis'!L83</x:f>
        <x:v>Not started</x:v>
      </x:c>
      <x:c r="O811" s="2" t="str">
        <x:f>'Research &amp; Analysis'!N83</x:f>
        <x:v>RA.CS.1.5.2026.CY1</x:v>
      </x:c>
      <x:c r="P811" s="2" t="n">
        <x:f>'Research &amp; Analysis'!O83</x:f>
        <x:v>0</x:v>
      </x:c>
      <x:c r="Q811" s="2" t="n">
        <x:f>SUBTOTAL(103,O811)</x:f>
        <x:v>1</x:v>
      </x:c>
      <x:c r="R811" s="2" t="n">
        <x:f>IF(AND(M811=1,OR(Dashboard!$B$7="All",Dashboard!$B$7='Cycles &amp; Guide'!$C$5),OR(Dashboard!$D$7="All",Dashboard!$D$7=B811),OR(Dashboard!$F$7="All",Dashboard!$F$7=C811),OR(Dashboard!$H$7="All",Dashboard!$H$7=D811),OR(Dashboard!$K$7="All",Dashboard!$K$7=E811)),1,0)</x:f>
        <x:v>1</x:v>
      </x:c>
      <x:c r="S811" s="2" t="n">
        <x:f>IF(R811=1,SUM($R$10:R811),0)</x:f>
        <x:v>438</x:v>
      </x:c>
      <x:c r="T811" s="2" t="str">
        <x:v>Research &amp; Analysis</x:v>
      </x:c>
      <x:c r="U811" s="2" t="n">
        <x:v>83</x:v>
      </x:c>
      <x:c r="V811" s="2" t="n">
        <x:f>IF(AND(M811=1,P811=0,ISNUMBER(J811),J811&lt;TODAY()),1,0)</x:f>
        <x:v>1</x:v>
      </x:c>
      <x:c r="W811" s="2" t="str">
        <x:f>'Research &amp; Analysis'!M83</x:f>
        <x:v>Task</x:v>
      </x:c>
    </x:row>
    <x:row r="812" ht="40" customHeight="1">
      <x:c r="A812" s="3" t="str">
        <x:f>HYPERLINK("#'Research &amp; Analysis'!A84","Open")</x:f>
        <x:v>Open</x:v>
      </x:c>
      <x:c r="B812" s="2" t="str">
        <x:f>'Research &amp; Analysis'!B84</x:f>
        <x:v>Cycle 1</x:v>
      </x:c>
      <x:c r="C812" s="2" t="str">
        <x:f>'Research &amp; Analysis'!C84</x:f>
        <x:v>Phase 1</x:v>
      </x:c>
      <x:c r="D812" s="2" t="str">
        <x:f>'Research &amp; Analysis'!D84</x:f>
        <x:v>CSBBO - Customer Service</x:v>
      </x:c>
      <x:c r="E812" s="2" t="str">
        <x:v>Research &amp; Analysis</x:v>
      </x:c>
      <x:c r="F812" s="56" t="str">
        <x:f>'Research &amp; Analysis'!E84</x:f>
        <x:v>RA.CS.1.6</x:v>
      </x:c>
      <x:c r="G812" s="14" t="str">
        <x:f>'Research &amp; Analysis'!F84</x:f>
        <x:v>Present recommended topic to D&amp;I and management for approval</x:v>
      </x:c>
      <x:c r="H812" s="2" t="str">
        <x:f>IF('Research &amp; Analysis'!G84="","",'Research &amp; Analysis'!G84)</x:f>
      </x:c>
      <x:c r="I812" s="12" t="str">
        <x:f>IF('Research &amp; Analysis'!H84="","",'Research &amp; Analysis'!H84)</x:f>
      </x:c>
      <x:c r="J812" s="12" t="n">
        <x:f>IF('Research &amp; Analysis'!I84="","",'Research &amp; Analysis'!I84)</x:f>
        <x:v>46112</x:v>
      </x:c>
      <x:c r="K812" s="12" t="str">
        <x:f>IF('Research &amp; Analysis'!J84="","",'Research &amp; Analysis'!J84)</x:f>
      </x:c>
      <x:c r="L812" s="2" t="str">
        <x:f>IF('Research &amp; Analysis'!K84="","",'Research &amp; Analysis'!K84)</x:f>
      </x:c>
      <x:c r="M812" s="2" t="n">
        <x:f>'Research &amp; Analysis'!Q84</x:f>
        <x:v>1</x:v>
      </x:c>
      <x:c r="N812" s="2" t="str">
        <x:f>'Research &amp; Analysis'!L84</x:f>
        <x:v>Not started</x:v>
      </x:c>
      <x:c r="O812" s="2" t="str">
        <x:f>'Research &amp; Analysis'!N84</x:f>
        <x:v>RA.CS.1.6.2026.CY1</x:v>
      </x:c>
      <x:c r="P812" s="2" t="n">
        <x:f>'Research &amp; Analysis'!O84</x:f>
        <x:v>0</x:v>
      </x:c>
      <x:c r="Q812" s="2" t="n">
        <x:f>SUBTOTAL(103,O812)</x:f>
        <x:v>1</x:v>
      </x:c>
      <x:c r="R812" s="2" t="n">
        <x:f>IF(AND(M812=1,OR(Dashboard!$B$7="All",Dashboard!$B$7='Cycles &amp; Guide'!$C$5),OR(Dashboard!$D$7="All",Dashboard!$D$7=B812),OR(Dashboard!$F$7="All",Dashboard!$F$7=C812),OR(Dashboard!$H$7="All",Dashboard!$H$7=D812),OR(Dashboard!$K$7="All",Dashboard!$K$7=E812)),1,0)</x:f>
        <x:v>1</x:v>
      </x:c>
      <x:c r="S812" s="2" t="n">
        <x:f>IF(R812=1,SUM($R$10:R812),0)</x:f>
        <x:v>439</x:v>
      </x:c>
      <x:c r="T812" s="2" t="str">
        <x:v>Research &amp; Analysis</x:v>
      </x:c>
      <x:c r="U812" s="2" t="n">
        <x:v>84</x:v>
      </x:c>
      <x:c r="V812" s="2" t="n">
        <x:f>IF(AND(M812=1,P812=0,ISNUMBER(J812),J812&lt;TODAY()),1,0)</x:f>
        <x:v>1</x:v>
      </x:c>
      <x:c r="W812" s="2" t="str">
        <x:f>'Research &amp; Analysis'!M84</x:f>
        <x:v>Task</x:v>
      </x:c>
    </x:row>
    <x:row r="813" ht="40" customHeight="1">
      <x:c r="A813" s="3" t="str">
        <x:f>HYPERLINK("#'Research &amp; Analysis'!A85","Open")</x:f>
        <x:v>Open</x:v>
      </x:c>
      <x:c r="B813" s="2" t="str">
        <x:f>'Research &amp; Analysis'!B85</x:f>
        <x:v>Cycle 1</x:v>
      </x:c>
      <x:c r="C813" s="2" t="str">
        <x:f>'Research &amp; Analysis'!C85</x:f>
        <x:v>Phase 1</x:v>
      </x:c>
      <x:c r="D813" s="2" t="str">
        <x:f>'Research &amp; Analysis'!D85</x:f>
        <x:v>CSBBO - Customer Service</x:v>
      </x:c>
      <x:c r="E813" s="2" t="str">
        <x:v>Research &amp; Analysis</x:v>
      </x:c>
      <x:c r="F813" s="56" t="str">
        <x:f>'Research &amp; Analysis'!E85</x:f>
        <x:v>RA.CS.1.7</x:v>
      </x:c>
      <x:c r="G813" s="14" t="str">
        <x:f>'Research &amp; Analysis'!F85</x:f>
        <x:v>Obtain formal topic selection approval from management via SharePoint</x:v>
      </x:c>
      <x:c r="H813" s="2" t="str">
        <x:f>IF('Research &amp; Analysis'!G85="","",'Research &amp; Analysis'!G85)</x:f>
      </x:c>
      <x:c r="I813" s="12" t="str">
        <x:f>IF('Research &amp; Analysis'!H85="","",'Research &amp; Analysis'!H85)</x:f>
      </x:c>
      <x:c r="J813" s="12" t="n">
        <x:f>IF('Research &amp; Analysis'!I85="","",'Research &amp; Analysis'!I85)</x:f>
        <x:v>46112</x:v>
      </x:c>
      <x:c r="K813" s="12" t="str">
        <x:f>IF('Research &amp; Analysis'!J85="","",'Research &amp; Analysis'!J85)</x:f>
      </x:c>
      <x:c r="L813" s="2" t="str">
        <x:f>IF('Research &amp; Analysis'!K85="","",'Research &amp; Analysis'!K85)</x:f>
      </x:c>
      <x:c r="M813" s="2" t="n">
        <x:f>'Research &amp; Analysis'!Q85</x:f>
        <x:v>1</x:v>
      </x:c>
      <x:c r="N813" s="2" t="str">
        <x:f>'Research &amp; Analysis'!L85</x:f>
        <x:v>Not started</x:v>
      </x:c>
      <x:c r="O813" s="2" t="str">
        <x:f>'Research &amp; Analysis'!N85</x:f>
        <x:v>RA.CS.1.7.2026.CY1</x:v>
      </x:c>
      <x:c r="P813" s="2" t="n">
        <x:f>'Research &amp; Analysis'!O85</x:f>
        <x:v>0</x:v>
      </x:c>
      <x:c r="Q813" s="2" t="n">
        <x:f>SUBTOTAL(103,O813)</x:f>
        <x:v>1</x:v>
      </x:c>
      <x:c r="R813" s="2" t="n">
        <x:f>IF(AND(M813=1,OR(Dashboard!$B$7="All",Dashboard!$B$7='Cycles &amp; Guide'!$C$5),OR(Dashboard!$D$7="All",Dashboard!$D$7=B813),OR(Dashboard!$F$7="All",Dashboard!$F$7=C813),OR(Dashboard!$H$7="All",Dashboard!$H$7=D813),OR(Dashboard!$K$7="All",Dashboard!$K$7=E813)),1,0)</x:f>
        <x:v>1</x:v>
      </x:c>
      <x:c r="S813" s="2" t="n">
        <x:f>IF(R813=1,SUM($R$10:R813),0)</x:f>
        <x:v>440</x:v>
      </x:c>
      <x:c r="T813" s="2" t="str">
        <x:v>Research &amp; Analysis</x:v>
      </x:c>
      <x:c r="U813" s="2" t="n">
        <x:v>85</x:v>
      </x:c>
      <x:c r="V813" s="2" t="n">
        <x:f>IF(AND(M813=1,P813=0,ISNUMBER(J813),J813&lt;TODAY()),1,0)</x:f>
        <x:v>1</x:v>
      </x:c>
      <x:c r="W813" s="2" t="str">
        <x:f>'Research &amp; Analysis'!M85</x:f>
        <x:v>Task</x:v>
      </x:c>
    </x:row>
    <x:row r="814" ht="40" customHeight="1">
      <x:c r="A814" s="3" t="str">
        <x:f>HYPERLINK("#'Research &amp; Analysis'!A86","Open")</x:f>
        <x:v>Open</x:v>
      </x:c>
      <x:c r="B814" s="2" t="str">
        <x:f>'Research &amp; Analysis'!B86</x:f>
        <x:v>Cycle 1</x:v>
      </x:c>
      <x:c r="C814" s="2" t="str">
        <x:f>'Research &amp; Analysis'!C86</x:f>
        <x:v>Phase 1</x:v>
      </x:c>
      <x:c r="D814" s="2" t="str">
        <x:f>'Research &amp; Analysis'!D86</x:f>
        <x:v>CSBBO - Customer Service</x:v>
      </x:c>
      <x:c r="E814" s="2" t="str">
        <x:v>Research &amp; Analysis</x:v>
      </x:c>
      <x:c r="F814" s="56" t="str">
        <x:f>'Research &amp; Analysis'!E86</x:f>
        <x:v>RA.CS.1.8</x:v>
      </x:c>
      <x:c r="G814" s="14" t="str">
        <x:f>'Research &amp; Analysis'!F86</x:f>
        <x:v>Socialize topic selection with product owners and subject matter experts (if known)</x:v>
      </x:c>
      <x:c r="H814" s="2" t="str">
        <x:f>IF('Research &amp; Analysis'!G86="","",'Research &amp; Analysis'!G86)</x:f>
      </x:c>
      <x:c r="I814" s="12" t="str">
        <x:f>IF('Research &amp; Analysis'!H86="","",'Research &amp; Analysis'!H86)</x:f>
      </x:c>
      <x:c r="J814" s="12" t="n">
        <x:f>IF('Research &amp; Analysis'!I86="","",'Research &amp; Analysis'!I86)</x:f>
        <x:v>46112</x:v>
      </x:c>
      <x:c r="K814" s="12" t="str">
        <x:f>IF('Research &amp; Analysis'!J86="","",'Research &amp; Analysis'!J86)</x:f>
      </x:c>
      <x:c r="L814" s="2" t="str">
        <x:f>IF('Research &amp; Analysis'!K86="","",'Research &amp; Analysis'!K86)</x:f>
      </x:c>
      <x:c r="M814" s="2" t="n">
        <x:f>'Research &amp; Analysis'!Q86</x:f>
        <x:v>1</x:v>
      </x:c>
      <x:c r="N814" s="2" t="str">
        <x:f>'Research &amp; Analysis'!L86</x:f>
        <x:v>Not started</x:v>
      </x:c>
      <x:c r="O814" s="2" t="str">
        <x:f>'Research &amp; Analysis'!N86</x:f>
        <x:v>RA.CS.1.8.2026.CY1</x:v>
      </x:c>
      <x:c r="P814" s="2" t="n">
        <x:f>'Research &amp; Analysis'!O86</x:f>
        <x:v>0</x:v>
      </x:c>
      <x:c r="Q814" s="2" t="n">
        <x:f>SUBTOTAL(103,O814)</x:f>
        <x:v>1</x:v>
      </x:c>
      <x:c r="R814" s="2" t="n">
        <x:f>IF(AND(M814=1,OR(Dashboard!$B$7="All",Dashboard!$B$7='Cycles &amp; Guide'!$C$5),OR(Dashboard!$D$7="All",Dashboard!$D$7=B814),OR(Dashboard!$F$7="All",Dashboard!$F$7=C814),OR(Dashboard!$H$7="All",Dashboard!$H$7=D814),OR(Dashboard!$K$7="All",Dashboard!$K$7=E814)),1,0)</x:f>
        <x:v>1</x:v>
      </x:c>
      <x:c r="S814" s="2" t="n">
        <x:f>IF(R814=1,SUM($R$10:R814),0)</x:f>
        <x:v>441</x:v>
      </x:c>
      <x:c r="T814" s="2" t="str">
        <x:v>Research &amp; Analysis</x:v>
      </x:c>
      <x:c r="U814" s="2" t="n">
        <x:v>86</x:v>
      </x:c>
      <x:c r="V814" s="2" t="n">
        <x:f>IF(AND(M814=1,P814=0,ISNUMBER(J814),J814&lt;TODAY()),1,0)</x:f>
        <x:v>1</x:v>
      </x:c>
      <x:c r="W814" s="2" t="str">
        <x:f>'Research &amp; Analysis'!M86</x:f>
        <x:v>Task</x:v>
      </x:c>
    </x:row>
    <x:row r="815" ht="40" customHeight="1">
      <x:c r="A815" s="3" t="str">
        <x:f>HYPERLINK("#'Research &amp; Analysis'!A87","Open")</x:f>
        <x:v>Open</x:v>
      </x:c>
      <x:c r="B815" s="2" t="str">
        <x:f>'Research &amp; Analysis'!B87</x:f>
        <x:v>Cycle 1</x:v>
      </x:c>
      <x:c r="C815" s="2" t="str">
        <x:f>'Research &amp; Analysis'!C87</x:f>
        <x:v>Phase 1</x:v>
      </x:c>
      <x:c r="D815" s="2" t="str">
        <x:f>'Research &amp; Analysis'!D87</x:f>
        <x:v>CSBBO - Customer Service</x:v>
      </x:c>
      <x:c r="E815" s="2" t="str">
        <x:v>Research &amp; Analysis</x:v>
      </x:c>
      <x:c r="F815" s="56" t="str">
        <x:f>'Research &amp; Analysis'!E87</x:f>
        <x:v>RA.CS.1.9</x:v>
      </x:c>
      <x:c r="G815" s="14" t="str">
        <x:f>'Research &amp; Analysis'!F87</x:f>
        <x:v>Assign topic researchers</x:v>
      </x:c>
      <x:c r="H815" s="2" t="str">
        <x:f>IF('Research &amp; Analysis'!G87="","",'Research &amp; Analysis'!G87)</x:f>
      </x:c>
      <x:c r="I815" s="12" t="str">
        <x:f>IF('Research &amp; Analysis'!H87="","",'Research &amp; Analysis'!H87)</x:f>
      </x:c>
      <x:c r="J815" s="12" t="n">
        <x:f>IF('Research &amp; Analysis'!I87="","",'Research &amp; Analysis'!I87)</x:f>
        <x:v>46112</x:v>
      </x:c>
      <x:c r="K815" s="12" t="str">
        <x:f>IF('Research &amp; Analysis'!J87="","",'Research &amp; Analysis'!J87)</x:f>
      </x:c>
      <x:c r="L815" s="2" t="str">
        <x:f>IF('Research &amp; Analysis'!K87="","",'Research &amp; Analysis'!K87)</x:f>
      </x:c>
      <x:c r="M815" s="2" t="n">
        <x:f>'Research &amp; Analysis'!Q87</x:f>
        <x:v>1</x:v>
      </x:c>
      <x:c r="N815" s="2" t="str">
        <x:f>'Research &amp; Analysis'!L87</x:f>
        <x:v>Not started</x:v>
      </x:c>
      <x:c r="O815" s="2" t="str">
        <x:f>'Research &amp; Analysis'!N87</x:f>
        <x:v>RA.CS.1.9.2026.CY1</x:v>
      </x:c>
      <x:c r="P815" s="2" t="n">
        <x:f>'Research &amp; Analysis'!O87</x:f>
        <x:v>0</x:v>
      </x:c>
      <x:c r="Q815" s="2" t="n">
        <x:f>SUBTOTAL(103,O815)</x:f>
        <x:v>1</x:v>
      </x:c>
      <x:c r="R815" s="2" t="n">
        <x:f>IF(AND(M815=1,OR(Dashboard!$B$7="All",Dashboard!$B$7='Cycles &amp; Guide'!$C$5),OR(Dashboard!$D$7="All",Dashboard!$D$7=B815),OR(Dashboard!$F$7="All",Dashboard!$F$7=C815),OR(Dashboard!$H$7="All",Dashboard!$H$7=D815),OR(Dashboard!$K$7="All",Dashboard!$K$7=E815)),1,0)</x:f>
        <x:v>1</x:v>
      </x:c>
      <x:c r="S815" s="2" t="n">
        <x:f>IF(R815=1,SUM($R$10:R815),0)</x:f>
        <x:v>442</x:v>
      </x:c>
      <x:c r="T815" s="2" t="str">
        <x:v>Research &amp; Analysis</x:v>
      </x:c>
      <x:c r="U815" s="2" t="n">
        <x:v>87</x:v>
      </x:c>
      <x:c r="V815" s="2" t="n">
        <x:f>IF(AND(M815=1,P815=0,ISNUMBER(J815),J815&lt;TODAY()),1,0)</x:f>
        <x:v>1</x:v>
      </x:c>
      <x:c r="W815" s="2" t="str">
        <x:f>'Research &amp; Analysis'!M87</x:f>
        <x:v>Task</x:v>
      </x:c>
    </x:row>
    <x:row r="816" ht="40" customHeight="1">
      <x:c r="A816" s="3" t="str">
        <x:f>HYPERLINK("#'Research &amp; Analysis'!A88","Open")</x:f>
        <x:v>Open</x:v>
      </x:c>
      <x:c r="B816" s="2" t="str">
        <x:f>'Research &amp; Analysis'!B88</x:f>
        <x:v>Cycle 1</x:v>
      </x:c>
      <x:c r="C816" s="2" t="str">
        <x:f>'Research &amp; Analysis'!C88</x:f>
        <x:v>Phase 2</x:v>
      </x:c>
      <x:c r="D816" s="2" t="str">
        <x:f>'Research &amp; Analysis'!D88</x:f>
        <x:v>CSBBO - Customer Service</x:v>
      </x:c>
      <x:c r="E816" s="2" t="str">
        <x:v>Research &amp; Analysis</x:v>
      </x:c>
      <x:c r="F816" s="56" t="str">
        <x:f>'Research &amp; Analysis'!E88</x:f>
        <x:v>RA.CS.2.1</x:v>
      </x:c>
      <x:c r="G816" s="14" t="str">
        <x:f>'Research &amp; Analysis'!F88</x:f>
        <x:v>Review data sources</x:v>
      </x:c>
      <x:c r="H816" s="2" t="str">
        <x:f>IF('Research &amp; Analysis'!G88="","",'Research &amp; Analysis'!G88)</x:f>
      </x:c>
      <x:c r="I816" s="12" t="str">
        <x:f>IF('Research &amp; Analysis'!H88="","",'Research &amp; Analysis'!H88)</x:f>
      </x:c>
      <x:c r="J816" s="12" t="n">
        <x:f>IF('Research &amp; Analysis'!I88="","",'Research &amp; Analysis'!I88)</x:f>
        <x:v>46112</x:v>
      </x:c>
      <x:c r="K816" s="12" t="str">
        <x:f>IF('Research &amp; Analysis'!J88="","",'Research &amp; Analysis'!J88)</x:f>
      </x:c>
      <x:c r="L816" s="2" t="str">
        <x:f>IF('Research &amp; Analysis'!K88="","",'Research &amp; Analysis'!K88)</x:f>
      </x:c>
      <x:c r="M816" s="2" t="n">
        <x:f>'Research &amp; Analysis'!Q88</x:f>
        <x:v>1</x:v>
      </x:c>
      <x:c r="N816" s="2" t="str">
        <x:f>'Research &amp; Analysis'!L88</x:f>
        <x:v>Not started</x:v>
      </x:c>
      <x:c r="O816" s="2" t="str">
        <x:f>'Research &amp; Analysis'!N88</x:f>
        <x:v>RA.CS.2.1.2026.CY1</x:v>
      </x:c>
      <x:c r="P816" s="2" t="n">
        <x:f>'Research &amp; Analysis'!O88</x:f>
        <x:v>0</x:v>
      </x:c>
      <x:c r="Q816" s="2" t="n">
        <x:f>SUBTOTAL(103,O816)</x:f>
        <x:v>1</x:v>
      </x:c>
      <x:c r="R816" s="2" t="n">
        <x:f>IF(AND(M816=1,OR(Dashboard!$B$7="All",Dashboard!$B$7='Cycles &amp; Guide'!$C$5),OR(Dashboard!$D$7="All",Dashboard!$D$7=B816),OR(Dashboard!$F$7="All",Dashboard!$F$7=C816),OR(Dashboard!$H$7="All",Dashboard!$H$7=D816),OR(Dashboard!$K$7="All",Dashboard!$K$7=E816)),1,0)</x:f>
        <x:v>1</x:v>
      </x:c>
      <x:c r="S816" s="2" t="n">
        <x:f>IF(R816=1,SUM($R$10:R816),0)</x:f>
        <x:v>443</x:v>
      </x:c>
      <x:c r="T816" s="2" t="str">
        <x:v>Research &amp; Analysis</x:v>
      </x:c>
      <x:c r="U816" s="2" t="n">
        <x:v>88</x:v>
      </x:c>
      <x:c r="V816" s="2" t="n">
        <x:f>IF(AND(M816=1,P816=0,ISNUMBER(J816),J816&lt;TODAY()),1,0)</x:f>
        <x:v>1</x:v>
      </x:c>
      <x:c r="W816" s="2" t="str">
        <x:f>'Research &amp; Analysis'!M88</x:f>
        <x:v>Task</x:v>
      </x:c>
    </x:row>
    <x:row r="817" ht="40" customHeight="1">
      <x:c r="A817" s="3" t="str">
        <x:f>HYPERLINK("#'Research &amp; Analysis'!A89","Open")</x:f>
        <x:v>Open</x:v>
      </x:c>
      <x:c r="B817" s="2" t="str">
        <x:f>'Research &amp; Analysis'!B89</x:f>
        <x:v>Cycle 1</x:v>
      </x:c>
      <x:c r="C817" s="2" t="str">
        <x:f>'Research &amp; Analysis'!C89</x:f>
        <x:v>Phase 2</x:v>
      </x:c>
      <x:c r="D817" s="2" t="str">
        <x:f>'Research &amp; Analysis'!D89</x:f>
        <x:v>CSBBO - Customer Service</x:v>
      </x:c>
      <x:c r="E817" s="2" t="str">
        <x:v>Research &amp; Analysis</x:v>
      </x:c>
      <x:c r="F817" s="56" t="str">
        <x:f>'Research &amp; Analysis'!E89</x:f>
        <x:v>RA.CS.2.2</x:v>
      </x:c>
      <x:c r="G817" s="14" t="str">
        <x:f>'Research &amp; Analysis'!F89</x:f>
        <x:v>Review relevant policies and procedures</x:v>
      </x:c>
      <x:c r="H817" s="2" t="str">
        <x:f>IF('Research &amp; Analysis'!G89="","",'Research &amp; Analysis'!G89)</x:f>
      </x:c>
      <x:c r="I817" s="12" t="str">
        <x:f>IF('Research &amp; Analysis'!H89="","",'Research &amp; Analysis'!H89)</x:f>
      </x:c>
      <x:c r="J817" s="12" t="n">
        <x:f>IF('Research &amp; Analysis'!I89="","",'Research &amp; Analysis'!I89)</x:f>
        <x:v>46112</x:v>
      </x:c>
      <x:c r="K817" s="12" t="str">
        <x:f>IF('Research &amp; Analysis'!J89="","",'Research &amp; Analysis'!J89)</x:f>
      </x:c>
      <x:c r="L817" s="2" t="str">
        <x:f>IF('Research &amp; Analysis'!K89="","",'Research &amp; Analysis'!K89)</x:f>
      </x:c>
      <x:c r="M817" s="2" t="n">
        <x:f>'Research &amp; Analysis'!Q89</x:f>
        <x:v>1</x:v>
      </x:c>
      <x:c r="N817" s="2" t="str">
        <x:f>'Research &amp; Analysis'!L89</x:f>
        <x:v>Not started</x:v>
      </x:c>
      <x:c r="O817" s="2" t="str">
        <x:f>'Research &amp; Analysis'!N89</x:f>
        <x:v>RA.CS.2.2.2026.CY1</x:v>
      </x:c>
      <x:c r="P817" s="2" t="n">
        <x:f>'Research &amp; Analysis'!O89</x:f>
        <x:v>0</x:v>
      </x:c>
      <x:c r="Q817" s="2" t="n">
        <x:f>SUBTOTAL(103,O817)</x:f>
        <x:v>1</x:v>
      </x:c>
      <x:c r="R817" s="2" t="n">
        <x:f>IF(AND(M817=1,OR(Dashboard!$B$7="All",Dashboard!$B$7='Cycles &amp; Guide'!$C$5),OR(Dashboard!$D$7="All",Dashboard!$D$7=B817),OR(Dashboard!$F$7="All",Dashboard!$F$7=C817),OR(Dashboard!$H$7="All",Dashboard!$H$7=D817),OR(Dashboard!$K$7="All",Dashboard!$K$7=E817)),1,0)</x:f>
        <x:v>1</x:v>
      </x:c>
      <x:c r="S817" s="2" t="n">
        <x:f>IF(R817=1,SUM($R$10:R817),0)</x:f>
        <x:v>444</x:v>
      </x:c>
      <x:c r="T817" s="2" t="str">
        <x:v>Research &amp; Analysis</x:v>
      </x:c>
      <x:c r="U817" s="2" t="n">
        <x:v>89</x:v>
      </x:c>
      <x:c r="V817" s="2" t="n">
        <x:f>IF(AND(M817=1,P817=0,ISNUMBER(J817),J817&lt;TODAY()),1,0)</x:f>
        <x:v>1</x:v>
      </x:c>
      <x:c r="W817" s="2" t="str">
        <x:f>'Research &amp; Analysis'!M89</x:f>
        <x:v>Task</x:v>
      </x:c>
    </x:row>
    <x:row r="818" ht="40" customHeight="1">
      <x:c r="A818" s="3" t="str">
        <x:f>HYPERLINK("#'Research &amp; Analysis'!A90","Open")</x:f>
        <x:v>Open</x:v>
      </x:c>
      <x:c r="B818" s="2" t="str">
        <x:f>'Research &amp; Analysis'!B90</x:f>
        <x:v>Cycle 1</x:v>
      </x:c>
      <x:c r="C818" s="2" t="str">
        <x:f>'Research &amp; Analysis'!C90</x:f>
        <x:v>Phase 2</x:v>
      </x:c>
      <x:c r="D818" s="2" t="str">
        <x:f>'Research &amp; Analysis'!D90</x:f>
        <x:v>CSBBO - Customer Service</x:v>
      </x:c>
      <x:c r="E818" s="2" t="str">
        <x:v>Research &amp; Analysis</x:v>
      </x:c>
      <x:c r="F818" s="56" t="str">
        <x:f>'Research &amp; Analysis'!E90</x:f>
        <x:v>RA.CS.2.3</x:v>
      </x:c>
      <x:c r="G818" s="14" t="str">
        <x:f>'Research &amp; Analysis'!F90</x:f>
        <x:v>Meet with SMEs to gain business insight and clarify questions</x:v>
      </x:c>
      <x:c r="H818" s="2" t="str">
        <x:f>IF('Research &amp; Analysis'!G90="","",'Research &amp; Analysis'!G90)</x:f>
      </x:c>
      <x:c r="I818" s="12" t="str">
        <x:f>IF('Research &amp; Analysis'!H90="","",'Research &amp; Analysis'!H90)</x:f>
      </x:c>
      <x:c r="J818" s="12" t="n">
        <x:f>IF('Research &amp; Analysis'!I90="","",'Research &amp; Analysis'!I90)</x:f>
        <x:v>46112</x:v>
      </x:c>
      <x:c r="K818" s="12" t="str">
        <x:f>IF('Research &amp; Analysis'!J90="","",'Research &amp; Analysis'!J90)</x:f>
      </x:c>
      <x:c r="L818" s="2" t="str">
        <x:f>IF('Research &amp; Analysis'!K90="","",'Research &amp; Analysis'!K90)</x:f>
      </x:c>
      <x:c r="M818" s="2" t="n">
        <x:f>'Research &amp; Analysis'!Q90</x:f>
        <x:v>1</x:v>
      </x:c>
      <x:c r="N818" s="2" t="str">
        <x:f>'Research &amp; Analysis'!L90</x:f>
        <x:v>Not started</x:v>
      </x:c>
      <x:c r="O818" s="2" t="str">
        <x:f>'Research &amp; Analysis'!N90</x:f>
        <x:v>RA.CS.2.3.2026.CY1</x:v>
      </x:c>
      <x:c r="P818" s="2" t="n">
        <x:f>'Research &amp; Analysis'!O90</x:f>
        <x:v>0</x:v>
      </x:c>
      <x:c r="Q818" s="2" t="n">
        <x:f>SUBTOTAL(103,O818)</x:f>
        <x:v>1</x:v>
      </x:c>
      <x:c r="R818" s="2" t="n">
        <x:f>IF(AND(M818=1,OR(Dashboard!$B$7="All",Dashboard!$B$7='Cycles &amp; Guide'!$C$5),OR(Dashboard!$D$7="All",Dashboard!$D$7=B818),OR(Dashboard!$F$7="All",Dashboard!$F$7=C818),OR(Dashboard!$H$7="All",Dashboard!$H$7=D818),OR(Dashboard!$K$7="All",Dashboard!$K$7=E818)),1,0)</x:f>
        <x:v>1</x:v>
      </x:c>
      <x:c r="S818" s="2" t="n">
        <x:f>IF(R818=1,SUM($R$10:R818),0)</x:f>
        <x:v>445</x:v>
      </x:c>
      <x:c r="T818" s="2" t="str">
        <x:v>Research &amp; Analysis</x:v>
      </x:c>
      <x:c r="U818" s="2" t="n">
        <x:v>90</x:v>
      </x:c>
      <x:c r="V818" s="2" t="n">
        <x:f>IF(AND(M818=1,P818=0,ISNUMBER(J818),J818&lt;TODAY()),1,0)</x:f>
        <x:v>1</x:v>
      </x:c>
      <x:c r="W818" s="2" t="str">
        <x:f>'Research &amp; Analysis'!M90</x:f>
        <x:v>Task</x:v>
      </x:c>
    </x:row>
    <x:row r="819" ht="40" customHeight="1">
      <x:c r="A819" s="3" t="str">
        <x:f>HYPERLINK("#'Research &amp; Analysis'!A91","Open")</x:f>
        <x:v>Open</x:v>
      </x:c>
      <x:c r="B819" s="2" t="str">
        <x:f>'Research &amp; Analysis'!B91</x:f>
        <x:v>Cycle 1</x:v>
      </x:c>
      <x:c r="C819" s="2" t="str">
        <x:f>'Research &amp; Analysis'!C91</x:f>
        <x:v>Phase 2</x:v>
      </x:c>
      <x:c r="D819" s="2" t="str">
        <x:f>'Research &amp; Analysis'!D91</x:f>
        <x:v>CSBBO - Customer Service</x:v>
      </x:c>
      <x:c r="E819" s="2" t="str">
        <x:v>Research &amp; Analysis</x:v>
      </x:c>
      <x:c r="F819" s="56" t="str">
        <x:f>'Research &amp; Analysis'!E91</x:f>
        <x:v>RA.CS.2.4</x:v>
      </x:c>
      <x:c r="G819" s="14" t="str">
        <x:f>'Research &amp; Analysis'!F91</x:f>
        <x:v>Establish and maintain a recurring meeting with D&amp;I to discuss Cycle progress</x:v>
      </x:c>
      <x:c r="H819" s="2" t="str">
        <x:f>IF('Research &amp; Analysis'!G91="","",'Research &amp; Analysis'!G91)</x:f>
      </x:c>
      <x:c r="I819" s="12" t="str">
        <x:f>IF('Research &amp; Analysis'!H91="","",'Research &amp; Analysis'!H91)</x:f>
      </x:c>
      <x:c r="J819" s="12" t="n">
        <x:f>IF('Research &amp; Analysis'!I91="","",'Research &amp; Analysis'!I91)</x:f>
        <x:v>46112</x:v>
      </x:c>
      <x:c r="K819" s="12" t="str">
        <x:f>IF('Research &amp; Analysis'!J91="","",'Research &amp; Analysis'!J91)</x:f>
      </x:c>
      <x:c r="L819" s="2" t="str">
        <x:f>IF('Research &amp; Analysis'!K91="","",'Research &amp; Analysis'!K91)</x:f>
      </x:c>
      <x:c r="M819" s="2" t="n">
        <x:f>'Research &amp; Analysis'!Q91</x:f>
        <x:v>1</x:v>
      </x:c>
      <x:c r="N819" s="2" t="str">
        <x:f>'Research &amp; Analysis'!L91</x:f>
        <x:v>Not started</x:v>
      </x:c>
      <x:c r="O819" s="2" t="str">
        <x:f>'Research &amp; Analysis'!N91</x:f>
        <x:v>RA.CS.2.4.2026.CY1</x:v>
      </x:c>
      <x:c r="P819" s="2" t="n">
        <x:f>'Research &amp; Analysis'!O91</x:f>
        <x:v>0</x:v>
      </x:c>
      <x:c r="Q819" s="2" t="n">
        <x:f>SUBTOTAL(103,O819)</x:f>
        <x:v>1</x:v>
      </x:c>
      <x:c r="R819" s="2" t="n">
        <x:f>IF(AND(M819=1,OR(Dashboard!$B$7="All",Dashboard!$B$7='Cycles &amp; Guide'!$C$5),OR(Dashboard!$D$7="All",Dashboard!$D$7=B819),OR(Dashboard!$F$7="All",Dashboard!$F$7=C819),OR(Dashboard!$H$7="All",Dashboard!$H$7=D819),OR(Dashboard!$K$7="All",Dashboard!$K$7=E819)),1,0)</x:f>
        <x:v>1</x:v>
      </x:c>
      <x:c r="S819" s="2" t="n">
        <x:f>IF(R819=1,SUM($R$10:R819),0)</x:f>
        <x:v>446</x:v>
      </x:c>
      <x:c r="T819" s="2" t="str">
        <x:v>Research &amp; Analysis</x:v>
      </x:c>
      <x:c r="U819" s="2" t="n">
        <x:v>91</x:v>
      </x:c>
      <x:c r="V819" s="2" t="n">
        <x:f>IF(AND(M819=1,P819=0,ISNUMBER(J819),J819&lt;TODAY()),1,0)</x:f>
        <x:v>1</x:v>
      </x:c>
      <x:c r="W819" s="2" t="str">
        <x:f>'Research &amp; Analysis'!M91</x:f>
        <x:v>Task</x:v>
      </x:c>
    </x:row>
    <x:row r="820" ht="40" customHeight="1">
      <x:c r="A820" s="3" t="str">
        <x:f>HYPERLINK("#'Research &amp; Analysis'!A92","Open")</x:f>
        <x:v>Open</x:v>
      </x:c>
      <x:c r="B820" s="2" t="str">
        <x:f>'Research &amp; Analysis'!B92</x:f>
        <x:v>Cycle 1</x:v>
      </x:c>
      <x:c r="C820" s="2" t="str">
        <x:f>'Research &amp; Analysis'!C92</x:f>
        <x:v>Phase 2</x:v>
      </x:c>
      <x:c r="D820" s="2" t="str">
        <x:f>'Research &amp; Analysis'!D92</x:f>
        <x:v>CSBBO - Customer Service</x:v>
      </x:c>
      <x:c r="E820" s="2" t="str">
        <x:v>Research &amp; Analysis</x:v>
      </x:c>
      <x:c r="F820" s="56" t="str">
        <x:f>'Research &amp; Analysis'!E92</x:f>
        <x:v>RA.CS.2.5</x:v>
      </x:c>
      <x:c r="G820" s="14" t="str">
        <x:f>'Research &amp; Analysis'!F92</x:f>
        <x:v>Perform data testing and sampling</x:v>
      </x:c>
      <x:c r="H820" s="2" t="str">
        <x:f>IF('Research &amp; Analysis'!G92="","",'Research &amp; Analysis'!G92)</x:f>
      </x:c>
      <x:c r="I820" s="12" t="str">
        <x:f>IF('Research &amp; Analysis'!H92="","",'Research &amp; Analysis'!H92)</x:f>
      </x:c>
      <x:c r="J820" s="12" t="n">
        <x:f>IF('Research &amp; Analysis'!I92="","",'Research &amp; Analysis'!I92)</x:f>
        <x:v>46112</x:v>
      </x:c>
      <x:c r="K820" s="12" t="str">
        <x:f>IF('Research &amp; Analysis'!J92="","",'Research &amp; Analysis'!J92)</x:f>
      </x:c>
      <x:c r="L820" s="2" t="str">
        <x:f>IF('Research &amp; Analysis'!K92="","",'Research &amp; Analysis'!K92)</x:f>
      </x:c>
      <x:c r="M820" s="2" t="n">
        <x:f>'Research &amp; Analysis'!Q92</x:f>
        <x:v>1</x:v>
      </x:c>
      <x:c r="N820" s="2" t="str">
        <x:f>'Research &amp; Analysis'!L92</x:f>
        <x:v>Not started</x:v>
      </x:c>
      <x:c r="O820" s="2" t="str">
        <x:f>'Research &amp; Analysis'!N92</x:f>
        <x:v>RA.CS.2.5.2026.CY1</x:v>
      </x:c>
      <x:c r="P820" s="2" t="n">
        <x:f>'Research &amp; Analysis'!O92</x:f>
        <x:v>0</x:v>
      </x:c>
      <x:c r="Q820" s="2" t="n">
        <x:f>SUBTOTAL(103,O820)</x:f>
        <x:v>1</x:v>
      </x:c>
      <x:c r="R820" s="2" t="n">
        <x:f>IF(AND(M820=1,OR(Dashboard!$B$7="All",Dashboard!$B$7='Cycles &amp; Guide'!$C$5),OR(Dashboard!$D$7="All",Dashboard!$D$7=B820),OR(Dashboard!$F$7="All",Dashboard!$F$7=C820),OR(Dashboard!$H$7="All",Dashboard!$H$7=D820),OR(Dashboard!$K$7="All",Dashboard!$K$7=E820)),1,0)</x:f>
        <x:v>1</x:v>
      </x:c>
      <x:c r="S820" s="2" t="n">
        <x:f>IF(R820=1,SUM($R$10:R820),0)</x:f>
        <x:v>447</x:v>
      </x:c>
      <x:c r="T820" s="2" t="str">
        <x:v>Research &amp; Analysis</x:v>
      </x:c>
      <x:c r="U820" s="2" t="n">
        <x:v>92</x:v>
      </x:c>
      <x:c r="V820" s="2" t="n">
        <x:f>IF(AND(M820=1,P820=0,ISNUMBER(J820),J820&lt;TODAY()),1,0)</x:f>
        <x:v>1</x:v>
      </x:c>
      <x:c r="W820" s="2" t="str">
        <x:f>'Research &amp; Analysis'!M92</x:f>
        <x:v>Task</x:v>
      </x:c>
    </x:row>
    <x:row r="821" ht="40" customHeight="1">
      <x:c r="A821" s="3" t="str">
        <x:f>HYPERLINK("#'Research &amp; Analysis'!A93","Open")</x:f>
        <x:v>Open</x:v>
      </x:c>
      <x:c r="B821" s="2" t="str">
        <x:f>'Research &amp; Analysis'!B93</x:f>
        <x:v>Cycle 1</x:v>
      </x:c>
      <x:c r="C821" s="2" t="str">
        <x:f>'Research &amp; Analysis'!C93</x:f>
        <x:v>Phase 2</x:v>
      </x:c>
      <x:c r="D821" s="2" t="str">
        <x:f>'Research &amp; Analysis'!D93</x:f>
        <x:v>CSBBO - Customer Service</x:v>
      </x:c>
      <x:c r="E821" s="2" t="str">
        <x:v>Research &amp; Analysis</x:v>
      </x:c>
      <x:c r="F821" s="56" t="str">
        <x:f>'Research &amp; Analysis'!E93</x:f>
        <x:v>RA.CS.2.6</x:v>
      </x:c>
      <x:c r="G821" s="14" t="str">
        <x:f>'Research &amp; Analysis'!F93</x:f>
        <x:v>Complete Positive Testing</x:v>
      </x:c>
      <x:c r="H821" s="2" t="str">
        <x:f>IF('Research &amp; Analysis'!G93="","",'Research &amp; Analysis'!G93)</x:f>
      </x:c>
      <x:c r="I821" s="12" t="str">
        <x:f>IF('Research &amp; Analysis'!H93="","",'Research &amp; Analysis'!H93)</x:f>
      </x:c>
      <x:c r="J821" s="12" t="n">
        <x:f>IF('Research &amp; Analysis'!I93="","",'Research &amp; Analysis'!I93)</x:f>
        <x:v>46112</x:v>
      </x:c>
      <x:c r="K821" s="12" t="str">
        <x:f>IF('Research &amp; Analysis'!J93="","",'Research &amp; Analysis'!J93)</x:f>
      </x:c>
      <x:c r="L821" s="2" t="str">
        <x:f>IF('Research &amp; Analysis'!K93="","",'Research &amp; Analysis'!K93)</x:f>
      </x:c>
      <x:c r="M821" s="2" t="n">
        <x:f>'Research &amp; Analysis'!Q93</x:f>
        <x:v>1</x:v>
      </x:c>
      <x:c r="N821" s="2" t="str">
        <x:f>'Research &amp; Analysis'!L93</x:f>
        <x:v>Not started</x:v>
      </x:c>
      <x:c r="O821" s="2" t="str">
        <x:f>'Research &amp; Analysis'!N93</x:f>
        <x:v>RA.CS.2.6.2026.CY1</x:v>
      </x:c>
      <x:c r="P821" s="2" t="n">
        <x:f>'Research &amp; Analysis'!O93</x:f>
        <x:v>0</x:v>
      </x:c>
      <x:c r="Q821" s="2" t="n">
        <x:f>SUBTOTAL(103,O821)</x:f>
        <x:v>1</x:v>
      </x:c>
      <x:c r="R821" s="2" t="n">
        <x:f>IF(AND(M821=1,OR(Dashboard!$B$7="All",Dashboard!$B$7='Cycles &amp; Guide'!$C$5),OR(Dashboard!$D$7="All",Dashboard!$D$7=B821),OR(Dashboard!$F$7="All",Dashboard!$F$7=C821),OR(Dashboard!$H$7="All",Dashboard!$H$7=D821),OR(Dashboard!$K$7="All",Dashboard!$K$7=E821)),1,0)</x:f>
        <x:v>1</x:v>
      </x:c>
      <x:c r="S821" s="2" t="n">
        <x:f>IF(R821=1,SUM($R$10:R821),0)</x:f>
        <x:v>448</x:v>
      </x:c>
      <x:c r="T821" s="2" t="str">
        <x:v>Research &amp; Analysis</x:v>
      </x:c>
      <x:c r="U821" s="2" t="n">
        <x:v>93</x:v>
      </x:c>
      <x:c r="V821" s="2" t="n">
        <x:f>IF(AND(M821=1,P821=0,ISNUMBER(J821),J821&lt;TODAY()),1,0)</x:f>
        <x:v>1</x:v>
      </x:c>
      <x:c r="W821" s="2" t="str">
        <x:f>'Research &amp; Analysis'!M93</x:f>
        <x:v>Task</x:v>
      </x:c>
    </x:row>
    <x:row r="822" ht="40" customHeight="1">
      <x:c r="A822" s="3" t="str">
        <x:f>HYPERLINK("#'Research &amp; Analysis'!A94","Open")</x:f>
        <x:v>Open</x:v>
      </x:c>
      <x:c r="B822" s="2" t="str">
        <x:f>'Research &amp; Analysis'!B94</x:f>
        <x:v>Cycle 1</x:v>
      </x:c>
      <x:c r="C822" s="2" t="str">
        <x:f>'Research &amp; Analysis'!C94</x:f>
        <x:v>Phase 2</x:v>
      </x:c>
      <x:c r="D822" s="2" t="str">
        <x:f>'Research &amp; Analysis'!D94</x:f>
        <x:v>CSBBO - Customer Service</x:v>
      </x:c>
      <x:c r="E822" s="2" t="str">
        <x:v>Research &amp; Analysis</x:v>
      </x:c>
      <x:c r="F822" s="56" t="str">
        <x:f>'Research &amp; Analysis'!E94</x:f>
        <x:v>RA.CS.2.7</x:v>
      </x:c>
      <x:c r="G822" s="14" t="str">
        <x:f>'Research &amp; Analysis'!F94</x:f>
        <x:v>Complete Negative Testing</x:v>
      </x:c>
      <x:c r="H822" s="2" t="str">
        <x:f>IF('Research &amp; Analysis'!G94="","",'Research &amp; Analysis'!G94)</x:f>
      </x:c>
      <x:c r="I822" s="12" t="str">
        <x:f>IF('Research &amp; Analysis'!H94="","",'Research &amp; Analysis'!H94)</x:f>
      </x:c>
      <x:c r="J822" s="12" t="n">
        <x:f>IF('Research &amp; Analysis'!I94="","",'Research &amp; Analysis'!I94)</x:f>
        <x:v>46112</x:v>
      </x:c>
      <x:c r="K822" s="12" t="str">
        <x:f>IF('Research &amp; Analysis'!J94="","",'Research &amp; Analysis'!J94)</x:f>
      </x:c>
      <x:c r="L822" s="2" t="str">
        <x:f>IF('Research &amp; Analysis'!K94="","",'Research &amp; Analysis'!K94)</x:f>
      </x:c>
      <x:c r="M822" s="2" t="n">
        <x:f>'Research &amp; Analysis'!Q94</x:f>
        <x:v>1</x:v>
      </x:c>
      <x:c r="N822" s="2" t="str">
        <x:f>'Research &amp; Analysis'!L94</x:f>
        <x:v>Not started</x:v>
      </x:c>
      <x:c r="O822" s="2" t="str">
        <x:f>'Research &amp; Analysis'!N94</x:f>
        <x:v>RA.CS.2.7.2026.CY1</x:v>
      </x:c>
      <x:c r="P822" s="2" t="n">
        <x:f>'Research &amp; Analysis'!O94</x:f>
        <x:v>0</x:v>
      </x:c>
      <x:c r="Q822" s="2" t="n">
        <x:f>SUBTOTAL(103,O822)</x:f>
        <x:v>1</x:v>
      </x:c>
      <x:c r="R822" s="2" t="n">
        <x:f>IF(AND(M822=1,OR(Dashboard!$B$7="All",Dashboard!$B$7='Cycles &amp; Guide'!$C$5),OR(Dashboard!$D$7="All",Dashboard!$D$7=B822),OR(Dashboard!$F$7="All",Dashboard!$F$7=C822),OR(Dashboard!$H$7="All",Dashboard!$H$7=D822),OR(Dashboard!$K$7="All",Dashboard!$K$7=E822)),1,0)</x:f>
        <x:v>1</x:v>
      </x:c>
      <x:c r="S822" s="2" t="n">
        <x:f>IF(R822=1,SUM($R$10:R822),0)</x:f>
        <x:v>449</x:v>
      </x:c>
      <x:c r="T822" s="2" t="str">
        <x:v>Research &amp; Analysis</x:v>
      </x:c>
      <x:c r="U822" s="2" t="n">
        <x:v>94</x:v>
      </x:c>
      <x:c r="V822" s="2" t="n">
        <x:f>IF(AND(M822=1,P822=0,ISNUMBER(J822),J822&lt;TODAY()),1,0)</x:f>
        <x:v>1</x:v>
      </x:c>
      <x:c r="W822" s="2" t="str">
        <x:f>'Research &amp; Analysis'!M94</x:f>
        <x:v>Task</x:v>
      </x:c>
    </x:row>
    <x:row r="823" ht="40" customHeight="1">
      <x:c r="A823" s="3" t="str">
        <x:f>HYPERLINK("#'Research &amp; Analysis'!A95","Open")</x:f>
        <x:v>Open</x:v>
      </x:c>
      <x:c r="B823" s="2" t="str">
        <x:f>'Research &amp; Analysis'!B95</x:f>
        <x:v>Cycle 1</x:v>
      </x:c>
      <x:c r="C823" s="2" t="str">
        <x:f>'Research &amp; Analysis'!C95</x:f>
        <x:v>Phase 2</x:v>
      </x:c>
      <x:c r="D823" s="2" t="str">
        <x:f>'Research &amp; Analysis'!D95</x:f>
        <x:v>CSBBO - Customer Service</x:v>
      </x:c>
      <x:c r="E823" s="2" t="str">
        <x:v>Research &amp; Analysis</x:v>
      </x:c>
      <x:c r="F823" s="56" t="str">
        <x:f>'Research &amp; Analysis'!E95</x:f>
        <x:v>RA.CS.2.8</x:v>
      </x:c>
      <x:c r="G823" s="14" t="str">
        <x:f>'Research &amp; Analysis'!F95</x:f>
        <x:v>Request additional data (as needed)</x:v>
      </x:c>
      <x:c r="H823" s="2" t="str">
        <x:f>IF('Research &amp; Analysis'!G95="","",'Research &amp; Analysis'!G95)</x:f>
      </x:c>
      <x:c r="I823" s="12" t="str">
        <x:f>IF('Research &amp; Analysis'!H95="","",'Research &amp; Analysis'!H95)</x:f>
      </x:c>
      <x:c r="J823" s="12" t="n">
        <x:f>IF('Research &amp; Analysis'!I95="","",'Research &amp; Analysis'!I95)</x:f>
        <x:v>46112</x:v>
      </x:c>
      <x:c r="K823" s="12" t="str">
        <x:f>IF('Research &amp; Analysis'!J95="","",'Research &amp; Analysis'!J95)</x:f>
      </x:c>
      <x:c r="L823" s="2" t="str">
        <x:f>IF('Research &amp; Analysis'!K95="","",'Research &amp; Analysis'!K95)</x:f>
      </x:c>
      <x:c r="M823" s="2" t="n">
        <x:f>'Research &amp; Analysis'!Q95</x:f>
        <x:v>1</x:v>
      </x:c>
      <x:c r="N823" s="2" t="str">
        <x:f>'Research &amp; Analysis'!L95</x:f>
        <x:v>Not started</x:v>
      </x:c>
      <x:c r="O823" s="2" t="str">
        <x:f>'Research &amp; Analysis'!N95</x:f>
        <x:v>RA.CS.2.8.2026.CY1</x:v>
      </x:c>
      <x:c r="P823" s="2" t="n">
        <x:f>'Research &amp; Analysis'!O95</x:f>
        <x:v>0</x:v>
      </x:c>
      <x:c r="Q823" s="2" t="n">
        <x:f>SUBTOTAL(103,O823)</x:f>
        <x:v>1</x:v>
      </x:c>
      <x:c r="R823" s="2" t="n">
        <x:f>IF(AND(M823=1,OR(Dashboard!$B$7="All",Dashboard!$B$7='Cycles &amp; Guide'!$C$5),OR(Dashboard!$D$7="All",Dashboard!$D$7=B823),OR(Dashboard!$F$7="All",Dashboard!$F$7=C823),OR(Dashboard!$H$7="All",Dashboard!$H$7=D823),OR(Dashboard!$K$7="All",Dashboard!$K$7=E823)),1,0)</x:f>
        <x:v>1</x:v>
      </x:c>
      <x:c r="S823" s="2" t="n">
        <x:f>IF(R823=1,SUM($R$10:R823),0)</x:f>
        <x:v>450</x:v>
      </x:c>
      <x:c r="T823" s="2" t="str">
        <x:v>Research &amp; Analysis</x:v>
      </x:c>
      <x:c r="U823" s="2" t="n">
        <x:v>95</x:v>
      </x:c>
      <x:c r="V823" s="2" t="n">
        <x:f>IF(AND(M823=1,P823=0,ISNUMBER(J823),J823&lt;TODAY()),1,0)</x:f>
        <x:v>1</x:v>
      </x:c>
      <x:c r="W823" s="2" t="str">
        <x:f>'Research &amp; Analysis'!M95</x:f>
        <x:v>Task</x:v>
      </x:c>
    </x:row>
    <x:row r="824" ht="40" customHeight="1">
      <x:c r="A824" s="3" t="str">
        <x:f>HYPERLINK("#'Research &amp; Analysis'!A96","Open")</x:f>
        <x:v>Open</x:v>
      </x:c>
      <x:c r="B824" s="2" t="str">
        <x:f>'Research &amp; Analysis'!B96</x:f>
        <x:v>Cycle 1</x:v>
      </x:c>
      <x:c r="C824" s="2" t="str">
        <x:f>'Research &amp; Analysis'!C96</x:f>
        <x:v>Phase 2</x:v>
      </x:c>
      <x:c r="D824" s="2" t="str">
        <x:f>'Research &amp; Analysis'!D96</x:f>
        <x:v>CSBBO - Customer Service</x:v>
      </x:c>
      <x:c r="E824" s="2" t="str">
        <x:v>Research &amp; Analysis</x:v>
      </x:c>
      <x:c r="F824" s="56" t="str">
        <x:f>'Research &amp; Analysis'!E96</x:f>
        <x:v>RA.CS.2.9</x:v>
      </x:c>
      <x:c r="G824" s="14" t="str">
        <x:f>'Research &amp; Analysis'!F96</x:f>
        <x:v>Validate or disprove initial hypothesis assumptions</x:v>
      </x:c>
      <x:c r="H824" s="2" t="str">
        <x:f>IF('Research &amp; Analysis'!G96="","",'Research &amp; Analysis'!G96)</x:f>
      </x:c>
      <x:c r="I824" s="12" t="str">
        <x:f>IF('Research &amp; Analysis'!H96="","",'Research &amp; Analysis'!H96)</x:f>
      </x:c>
      <x:c r="J824" s="12" t="n">
        <x:f>IF('Research &amp; Analysis'!I96="","",'Research &amp; Analysis'!I96)</x:f>
        <x:v>46112</x:v>
      </x:c>
      <x:c r="K824" s="12" t="str">
        <x:f>IF('Research &amp; Analysis'!J96="","",'Research &amp; Analysis'!J96)</x:f>
      </x:c>
      <x:c r="L824" s="2" t="str">
        <x:f>IF('Research &amp; Analysis'!K96="","",'Research &amp; Analysis'!K96)</x:f>
      </x:c>
      <x:c r="M824" s="2" t="n">
        <x:f>'Research &amp; Analysis'!Q96</x:f>
        <x:v>1</x:v>
      </x:c>
      <x:c r="N824" s="2" t="str">
        <x:f>'Research &amp; Analysis'!L96</x:f>
        <x:v>Not started</x:v>
      </x:c>
      <x:c r="O824" s="2" t="str">
        <x:f>'Research &amp; Analysis'!N96</x:f>
        <x:v>RA.CS.2.9.2026.CY1</x:v>
      </x:c>
      <x:c r="P824" s="2" t="n">
        <x:f>'Research &amp; Analysis'!O96</x:f>
        <x:v>0</x:v>
      </x:c>
      <x:c r="Q824" s="2" t="n">
        <x:f>SUBTOTAL(103,O824)</x:f>
        <x:v>1</x:v>
      </x:c>
      <x:c r="R824" s="2" t="n">
        <x:f>IF(AND(M824=1,OR(Dashboard!$B$7="All",Dashboard!$B$7='Cycles &amp; Guide'!$C$5),OR(Dashboard!$D$7="All",Dashboard!$D$7=B824),OR(Dashboard!$F$7="All",Dashboard!$F$7=C824),OR(Dashboard!$H$7="All",Dashboard!$H$7=D824),OR(Dashboard!$K$7="All",Dashboard!$K$7=E824)),1,0)</x:f>
        <x:v>1</x:v>
      </x:c>
      <x:c r="S824" s="2" t="n">
        <x:f>IF(R824=1,SUM($R$10:R824),0)</x:f>
        <x:v>451</x:v>
      </x:c>
      <x:c r="T824" s="2" t="str">
        <x:v>Research &amp; Analysis</x:v>
      </x:c>
      <x:c r="U824" s="2" t="n">
        <x:v>96</x:v>
      </x:c>
      <x:c r="V824" s="2" t="n">
        <x:f>IF(AND(M824=1,P824=0,ISNUMBER(J824),J824&lt;TODAY()),1,0)</x:f>
        <x:v>1</x:v>
      </x:c>
      <x:c r="W824" s="2" t="str">
        <x:f>'Research &amp; Analysis'!M96</x:f>
        <x:v>Task</x:v>
      </x:c>
    </x:row>
    <x:row r="825" ht="40" customHeight="1">
      <x:c r="A825" s="3" t="str">
        <x:f>HYPERLINK("#'Research &amp; Analysis'!A97","Open")</x:f>
        <x:v>Open</x:v>
      </x:c>
      <x:c r="B825" s="2" t="str">
        <x:f>'Research &amp; Analysis'!B97</x:f>
        <x:v>Cycle 1</x:v>
      </x:c>
      <x:c r="C825" s="2" t="str">
        <x:f>'Research &amp; Analysis'!C97</x:f>
        <x:v>Phase 2</x:v>
      </x:c>
      <x:c r="D825" s="2" t="str">
        <x:f>'Research &amp; Analysis'!D97</x:f>
        <x:v>CSBBO - Customer Service</x:v>
      </x:c>
      <x:c r="E825" s="2" t="str">
        <x:v>Research &amp; Analysis</x:v>
      </x:c>
      <x:c r="F825" s="56" t="str">
        <x:f>'Research &amp; Analysis'!E97</x:f>
        <x:v>RA.CS.2.10</x:v>
      </x:c>
      <x:c r="G825" s="14" t="str">
        <x:f>'Research &amp; Analysis'!F97</x:f>
        <x:v>Identify and confirm root cause</x:v>
      </x:c>
      <x:c r="H825" s="2" t="str">
        <x:f>IF('Research &amp; Analysis'!G97="","",'Research &amp; Analysis'!G97)</x:f>
      </x:c>
      <x:c r="I825" s="12" t="str">
        <x:f>IF('Research &amp; Analysis'!H97="","",'Research &amp; Analysis'!H97)</x:f>
      </x:c>
      <x:c r="J825" s="12" t="n">
        <x:f>IF('Research &amp; Analysis'!I97="","",'Research &amp; Analysis'!I97)</x:f>
        <x:v>46112</x:v>
      </x:c>
      <x:c r="K825" s="12" t="str">
        <x:f>IF('Research &amp; Analysis'!J97="","",'Research &amp; Analysis'!J97)</x:f>
      </x:c>
      <x:c r="L825" s="2" t="str">
        <x:f>IF('Research &amp; Analysis'!K97="","",'Research &amp; Analysis'!K97)</x:f>
      </x:c>
      <x:c r="M825" s="2" t="n">
        <x:f>'Research &amp; Analysis'!Q97</x:f>
        <x:v>1</x:v>
      </x:c>
      <x:c r="N825" s="2" t="str">
        <x:f>'Research &amp; Analysis'!L97</x:f>
        <x:v>Not started</x:v>
      </x:c>
      <x:c r="O825" s="2" t="str">
        <x:f>'Research &amp; Analysis'!N97</x:f>
        <x:v>RA.CS.2.10.2026.CY1</x:v>
      </x:c>
      <x:c r="P825" s="2" t="n">
        <x:f>'Research &amp; Analysis'!O97</x:f>
        <x:v>0</x:v>
      </x:c>
      <x:c r="Q825" s="2" t="n">
        <x:f>SUBTOTAL(103,O825)</x:f>
        <x:v>1</x:v>
      </x:c>
      <x:c r="R825" s="2" t="n">
        <x:f>IF(AND(M825=1,OR(Dashboard!$B$7="All",Dashboard!$B$7='Cycles &amp; Guide'!$C$5),OR(Dashboard!$D$7="All",Dashboard!$D$7=B825),OR(Dashboard!$F$7="All",Dashboard!$F$7=C825),OR(Dashboard!$H$7="All",Dashboard!$H$7=D825),OR(Dashboard!$K$7="All",Dashboard!$K$7=E825)),1,0)</x:f>
        <x:v>1</x:v>
      </x:c>
      <x:c r="S825" s="2" t="n">
        <x:f>IF(R825=1,SUM($R$10:R825),0)</x:f>
        <x:v>452</x:v>
      </x:c>
      <x:c r="T825" s="2" t="str">
        <x:v>Research &amp; Analysis</x:v>
      </x:c>
      <x:c r="U825" s="2" t="n">
        <x:v>97</x:v>
      </x:c>
      <x:c r="V825" s="2" t="n">
        <x:f>IF(AND(M825=1,P825=0,ISNUMBER(J825),J825&lt;TODAY()),1,0)</x:f>
        <x:v>1</x:v>
      </x:c>
      <x:c r="W825" s="2" t="str">
        <x:f>'Research &amp; Analysis'!M97</x:f>
        <x:v>Task</x:v>
      </x:c>
    </x:row>
    <x:row r="826" ht="40" customHeight="1">
      <x:c r="A826" s="3" t="str">
        <x:f>HYPERLINK("#'Research &amp; Analysis'!A98","Open")</x:f>
        <x:v>Open</x:v>
      </x:c>
      <x:c r="B826" s="2" t="str">
        <x:f>'Research &amp; Analysis'!B98</x:f>
        <x:v>Cycle 1</x:v>
      </x:c>
      <x:c r="C826" s="2" t="str">
        <x:f>'Research &amp; Analysis'!C98</x:f>
        <x:v>Phase 3</x:v>
      </x:c>
      <x:c r="D826" s="2" t="str">
        <x:f>'Research &amp; Analysis'!D98</x:f>
        <x:v>CSBBO - Customer Service</x:v>
      </x:c>
      <x:c r="E826" s="2" t="str">
        <x:v>Research &amp; Analysis</x:v>
      </x:c>
      <x:c r="F826" s="56" t="str">
        <x:f>'Research &amp; Analysis'!E98</x:f>
        <x:v>RA.CS.3.1</x:v>
      </x:c>
      <x:c r="G826" s="14" t="str">
        <x:f>'Research &amp; Analysis'!F98</x:f>
        <x:v>Finalize results and supporting documentation</x:v>
      </x:c>
      <x:c r="H826" s="2" t="str">
        <x:f>IF('Research &amp; Analysis'!G98="","",'Research &amp; Analysis'!G98)</x:f>
      </x:c>
      <x:c r="I826" s="12" t="str">
        <x:f>IF('Research &amp; Analysis'!H98="","",'Research &amp; Analysis'!H98)</x:f>
      </x:c>
      <x:c r="J826" s="12" t="n">
        <x:f>IF('Research &amp; Analysis'!I98="","",'Research &amp; Analysis'!I98)</x:f>
        <x:v>46112</x:v>
      </x:c>
      <x:c r="K826" s="12" t="str">
        <x:f>IF('Research &amp; Analysis'!J98="","",'Research &amp; Analysis'!J98)</x:f>
      </x:c>
      <x:c r="L826" s="2" t="str">
        <x:f>IF('Research &amp; Analysis'!K98="","",'Research &amp; Analysis'!K98)</x:f>
      </x:c>
      <x:c r="M826" s="2" t="n">
        <x:f>'Research &amp; Analysis'!Q98</x:f>
        <x:v>1</x:v>
      </x:c>
      <x:c r="N826" s="2" t="str">
        <x:f>'Research &amp; Analysis'!L98</x:f>
        <x:v>Not started</x:v>
      </x:c>
      <x:c r="O826" s="2" t="str">
        <x:f>'Research &amp; Analysis'!N98</x:f>
        <x:v>RA.CS.3.1.2026.CY1</x:v>
      </x:c>
      <x:c r="P826" s="2" t="n">
        <x:f>'Research &amp; Analysis'!O98</x:f>
        <x:v>0</x:v>
      </x:c>
      <x:c r="Q826" s="2" t="n">
        <x:f>SUBTOTAL(103,O826)</x:f>
        <x:v>1</x:v>
      </x:c>
      <x:c r="R826" s="2" t="n">
        <x:f>IF(AND(M826=1,OR(Dashboard!$B$7="All",Dashboard!$B$7='Cycles &amp; Guide'!$C$5),OR(Dashboard!$D$7="All",Dashboard!$D$7=B826),OR(Dashboard!$F$7="All",Dashboard!$F$7=C826),OR(Dashboard!$H$7="All",Dashboard!$H$7=D826),OR(Dashboard!$K$7="All",Dashboard!$K$7=E826)),1,0)</x:f>
        <x:v>1</x:v>
      </x:c>
      <x:c r="S826" s="2" t="n">
        <x:f>IF(R826=1,SUM($R$10:R826),0)</x:f>
        <x:v>453</x:v>
      </x:c>
      <x:c r="T826" s="2" t="str">
        <x:v>Research &amp; Analysis</x:v>
      </x:c>
      <x:c r="U826" s="2" t="n">
        <x:v>98</x:v>
      </x:c>
      <x:c r="V826" s="2" t="n">
        <x:f>IF(AND(M826=1,P826=0,ISNUMBER(J826),J826&lt;TODAY()),1,0)</x:f>
        <x:v>1</x:v>
      </x:c>
      <x:c r="W826" s="2" t="str">
        <x:f>'Research &amp; Analysis'!M98</x:f>
        <x:v>Task</x:v>
      </x:c>
    </x:row>
    <x:row r="827" ht="40" customHeight="1">
      <x:c r="A827" s="3" t="str">
        <x:f>HYPERLINK("#'Research &amp; Analysis'!A99","Open")</x:f>
        <x:v>Open</x:v>
      </x:c>
      <x:c r="B827" s="2" t="str">
        <x:f>'Research &amp; Analysis'!B99</x:f>
        <x:v>Cycle 1</x:v>
      </x:c>
      <x:c r="C827" s="2" t="str">
        <x:f>'Research &amp; Analysis'!C99</x:f>
        <x:v>Phase 3</x:v>
      </x:c>
      <x:c r="D827" s="2" t="str">
        <x:f>'Research &amp; Analysis'!D99</x:f>
        <x:v>CSBBO - Customer Service</x:v>
      </x:c>
      <x:c r="E827" s="2" t="str">
        <x:v>Research &amp; Analysis</x:v>
      </x:c>
      <x:c r="F827" s="56" t="str">
        <x:f>'Research &amp; Analysis'!E99</x:f>
        <x:v>RA.CS.3.2</x:v>
      </x:c>
      <x:c r="G827" s="14" t="str">
        <x:f>'Research &amp; Analysis'!F99</x:f>
        <x:v>Maintain and update the evidence package prior to handoff to D&amp;I</x:v>
      </x:c>
      <x:c r="H827" s="2" t="str">
        <x:f>IF('Research &amp; Analysis'!G99="","",'Research &amp; Analysis'!G99)</x:f>
      </x:c>
      <x:c r="I827" s="12" t="str">
        <x:f>IF('Research &amp; Analysis'!H99="","",'Research &amp; Analysis'!H99)</x:f>
      </x:c>
      <x:c r="J827" s="12" t="n">
        <x:f>IF('Research &amp; Analysis'!I99="","",'Research &amp; Analysis'!I99)</x:f>
        <x:v>46112</x:v>
      </x:c>
      <x:c r="K827" s="12" t="str">
        <x:f>IF('Research &amp; Analysis'!J99="","",'Research &amp; Analysis'!J99)</x:f>
      </x:c>
      <x:c r="L827" s="2" t="str">
        <x:f>IF('Research &amp; Analysis'!K99="","",'Research &amp; Analysis'!K99)</x:f>
      </x:c>
      <x:c r="M827" s="2" t="n">
        <x:f>'Research &amp; Analysis'!Q99</x:f>
        <x:v>1</x:v>
      </x:c>
      <x:c r="N827" s="2" t="str">
        <x:f>'Research &amp; Analysis'!L99</x:f>
        <x:v>Not started</x:v>
      </x:c>
      <x:c r="O827" s="2" t="str">
        <x:f>'Research &amp; Analysis'!N99</x:f>
        <x:v>RA.CS.3.2.2026.CY1</x:v>
      </x:c>
      <x:c r="P827" s="2" t="n">
        <x:f>'Research &amp; Analysis'!O99</x:f>
        <x:v>0</x:v>
      </x:c>
      <x:c r="Q827" s="2" t="n">
        <x:f>SUBTOTAL(103,O827)</x:f>
        <x:v>1</x:v>
      </x:c>
      <x:c r="R827" s="2" t="n">
        <x:f>IF(AND(M827=1,OR(Dashboard!$B$7="All",Dashboard!$B$7='Cycles &amp; Guide'!$C$5),OR(Dashboard!$D$7="All",Dashboard!$D$7=B827),OR(Dashboard!$F$7="All",Dashboard!$F$7=C827),OR(Dashboard!$H$7="All",Dashboard!$H$7=D827),OR(Dashboard!$K$7="All",Dashboard!$K$7=E827)),1,0)</x:f>
        <x:v>1</x:v>
      </x:c>
      <x:c r="S827" s="2" t="n">
        <x:f>IF(R827=1,SUM($R$10:R827),0)</x:f>
        <x:v>454</x:v>
      </x:c>
      <x:c r="T827" s="2" t="str">
        <x:v>Research &amp; Analysis</x:v>
      </x:c>
      <x:c r="U827" s="2" t="n">
        <x:v>99</x:v>
      </x:c>
      <x:c r="V827" s="2" t="n">
        <x:f>IF(AND(M827=1,P827=0,ISNUMBER(J827),J827&lt;TODAY()),1,0)</x:f>
        <x:v>1</x:v>
      </x:c>
      <x:c r="W827" s="2" t="str">
        <x:f>'Research &amp; Analysis'!M99</x:f>
        <x:v>Task</x:v>
      </x:c>
    </x:row>
    <x:row r="828" ht="40" customHeight="1">
      <x:c r="A828" s="3" t="str">
        <x:f>HYPERLINK("#'Research &amp; Analysis'!A100","Open")</x:f>
        <x:v>Open</x:v>
      </x:c>
      <x:c r="B828" s="2" t="str">
        <x:f>'Research &amp; Analysis'!B100</x:f>
        <x:v>Cycle 1</x:v>
      </x:c>
      <x:c r="C828" s="2" t="str">
        <x:f>'Research &amp; Analysis'!C100</x:f>
        <x:v>Phase 3</x:v>
      </x:c>
      <x:c r="D828" s="2" t="str">
        <x:f>'Research &amp; Analysis'!D100</x:f>
        <x:v>CSBBO - Customer Service</x:v>
      </x:c>
      <x:c r="E828" s="2" t="str">
        <x:v>Research &amp; Analysis</x:v>
      </x:c>
      <x:c r="F828" s="56" t="str">
        <x:f>'Research &amp; Analysis'!E100</x:f>
        <x:v>RA.CS.3.3</x:v>
      </x:c>
      <x:c r="G828" s="14" t="str">
        <x:f>'Research &amp; Analysis'!F100</x:f>
        <x:v>Address any outstanding questions or requests from D&amp;I</x:v>
      </x:c>
      <x:c r="H828" s="2" t="str">
        <x:f>IF('Research &amp; Analysis'!G100="","",'Research &amp; Analysis'!G100)</x:f>
      </x:c>
      <x:c r="I828" s="12" t="str">
        <x:f>IF('Research &amp; Analysis'!H100="","",'Research &amp; Analysis'!H100)</x:f>
      </x:c>
      <x:c r="J828" s="12" t="n">
        <x:f>IF('Research &amp; Analysis'!I100="","",'Research &amp; Analysis'!I100)</x:f>
        <x:v>46112</x:v>
      </x:c>
      <x:c r="K828" s="12" t="str">
        <x:f>IF('Research &amp; Analysis'!J100="","",'Research &amp; Analysis'!J100)</x:f>
      </x:c>
      <x:c r="L828" s="2" t="str">
        <x:f>IF('Research &amp; Analysis'!K100="","",'Research &amp; Analysis'!K100)</x:f>
      </x:c>
      <x:c r="M828" s="2" t="n">
        <x:f>'Research &amp; Analysis'!Q100</x:f>
        <x:v>1</x:v>
      </x:c>
      <x:c r="N828" s="2" t="str">
        <x:f>'Research &amp; Analysis'!L100</x:f>
        <x:v>Not started</x:v>
      </x:c>
      <x:c r="O828" s="2" t="str">
        <x:f>'Research &amp; Analysis'!N100</x:f>
        <x:v>RA.CS.3.3.2026.CY1</x:v>
      </x:c>
      <x:c r="P828" s="2" t="n">
        <x:f>'Research &amp; Analysis'!O100</x:f>
        <x:v>0</x:v>
      </x:c>
      <x:c r="Q828" s="2" t="n">
        <x:f>SUBTOTAL(103,O828)</x:f>
        <x:v>1</x:v>
      </x:c>
      <x:c r="R828" s="2" t="n">
        <x:f>IF(AND(M828=1,OR(Dashboard!$B$7="All",Dashboard!$B$7='Cycles &amp; Guide'!$C$5),OR(Dashboard!$D$7="All",Dashboard!$D$7=B828),OR(Dashboard!$F$7="All",Dashboard!$F$7=C828),OR(Dashboard!$H$7="All",Dashboard!$H$7=D828),OR(Dashboard!$K$7="All",Dashboard!$K$7=E828)),1,0)</x:f>
        <x:v>1</x:v>
      </x:c>
      <x:c r="S828" s="2" t="n">
        <x:f>IF(R828=1,SUM($R$10:R828),0)</x:f>
        <x:v>455</x:v>
      </x:c>
      <x:c r="T828" s="2" t="str">
        <x:v>Research &amp; Analysis</x:v>
      </x:c>
      <x:c r="U828" s="2" t="n">
        <x:v>100</x:v>
      </x:c>
      <x:c r="V828" s="2" t="n">
        <x:f>IF(AND(M828=1,P828=0,ISNUMBER(J828),J828&lt;TODAY()),1,0)</x:f>
        <x:v>1</x:v>
      </x:c>
      <x:c r="W828" s="2" t="str">
        <x:f>'Research &amp; Analysis'!M100</x:f>
        <x:v>Task</x:v>
      </x:c>
    </x:row>
    <x:row r="829" ht="40" customHeight="1">
      <x:c r="A829" s="3" t="str">
        <x:f>HYPERLINK("#'Research &amp; Analysis'!A101","Open")</x:f>
        <x:v>Open</x:v>
      </x:c>
      <x:c r="B829" s="2" t="str">
        <x:f>'Research &amp; Analysis'!B101</x:f>
        <x:v>Cycle 1</x:v>
      </x:c>
      <x:c r="C829" s="2" t="str">
        <x:f>'Research &amp; Analysis'!C101</x:f>
        <x:v>Phase 3</x:v>
      </x:c>
      <x:c r="D829" s="2" t="str">
        <x:f>'Research &amp; Analysis'!D101</x:f>
        <x:v>CSBBO - Customer Service</x:v>
      </x:c>
      <x:c r="E829" s="2" t="str">
        <x:v>Research &amp; Analysis</x:v>
      </x:c>
      <x:c r="F829" s="56" t="str">
        <x:f>'Research &amp; Analysis'!E101</x:f>
        <x:v>RA.CS.3.4</x:v>
      </x:c>
      <x:c r="G829" s="14" t="str">
        <x:f>'Research &amp; Analysis'!F101</x:f>
        <x:v>Attend Forum meeting with D&amp;I to assist with answering stakeholder questions (as needed)</x:v>
      </x:c>
      <x:c r="H829" s="2" t="str">
        <x:f>IF('Research &amp; Analysis'!G101="","",'Research &amp; Analysis'!G101)</x:f>
      </x:c>
      <x:c r="I829" s="12" t="str">
        <x:f>IF('Research &amp; Analysis'!H101="","",'Research &amp; Analysis'!H101)</x:f>
      </x:c>
      <x:c r="J829" s="12" t="str">
        <x:f>IF('Research &amp; Analysis'!I101="","",'Research &amp; Analysis'!I101)</x:f>
      </x:c>
      <x:c r="K829" s="12" t="str">
        <x:f>IF('Research &amp; Analysis'!J101="","",'Research &amp; Analysis'!J101)</x:f>
      </x:c>
      <x:c r="L829" s="2" t="str">
        <x:f>IF('Research &amp; Analysis'!K101="","",'Research &amp; Analysis'!K101)</x:f>
      </x:c>
      <x:c r="M829" s="2" t="n">
        <x:f>'Research &amp; Analysis'!Q101</x:f>
        <x:v>1</x:v>
      </x:c>
      <x:c r="N829" s="2" t="str">
        <x:f>'Research &amp; Analysis'!L101</x:f>
        <x:v>Not started</x:v>
      </x:c>
      <x:c r="O829" s="2" t="str">
        <x:f>'Research &amp; Analysis'!N101</x:f>
        <x:v>RA.CS.3.4.2026.CY1</x:v>
      </x:c>
      <x:c r="P829" s="2" t="n">
        <x:f>'Research &amp; Analysis'!O101</x:f>
        <x:v>0</x:v>
      </x:c>
      <x:c r="Q829" s="2" t="n">
        <x:f>SUBTOTAL(103,O829)</x:f>
        <x:v>1</x:v>
      </x:c>
      <x:c r="R829" s="2" t="n">
        <x:f>IF(AND(M829=1,OR(Dashboard!$B$7="All",Dashboard!$B$7='Cycles &amp; Guide'!$C$5),OR(Dashboard!$D$7="All",Dashboard!$D$7=B829),OR(Dashboard!$F$7="All",Dashboard!$F$7=C829),OR(Dashboard!$H$7="All",Dashboard!$H$7=D829),OR(Dashboard!$K$7="All",Dashboard!$K$7=E829)),1,0)</x:f>
        <x:v>1</x:v>
      </x:c>
      <x:c r="S829" s="2" t="n">
        <x:f>IF(R829=1,SUM($R$10:R829),0)</x:f>
        <x:v>456</x:v>
      </x:c>
      <x:c r="T829" s="2" t="str">
        <x:v>Research &amp; Analysis</x:v>
      </x:c>
      <x:c r="U829" s="2" t="n">
        <x:v>101</x:v>
      </x:c>
      <x:c r="V829" s="2" t="n">
        <x:f>IF(AND(M829=1,P829=0,ISNUMBER(J829),J829&lt;TODAY()),1,0)</x:f>
        <x:v>0</x:v>
      </x:c>
      <x:c r="W829" s="2" t="str">
        <x:f>'Research &amp; Analysis'!M101</x:f>
        <x:v>Task</x:v>
      </x:c>
    </x:row>
    <x:row r="830" ht="40" customHeight="1">
      <x:c r="A830" s="3" t="str">
        <x:f>HYPERLINK("#'Research &amp; Analysis'!A102","Open")</x:f>
        <x:v>Open</x:v>
      </x:c>
      <x:c r="B830" s="2" t="str">
        <x:f>'Research &amp; Analysis'!B102</x:f>
        <x:v>Cycle 1</x:v>
      </x:c>
      <x:c r="C830" s="2" t="str">
        <x:f>'Research &amp; Analysis'!C102</x:f>
        <x:v>Phase 1</x:v>
      </x:c>
      <x:c r="D830" s="2" t="str">
        <x:f>'Research &amp; Analysis'!D102</x:f>
        <x:v>FCM</x:v>
      </x:c>
      <x:c r="E830" s="2" t="str">
        <x:v>Research &amp; Analysis</x:v>
      </x:c>
      <x:c r="F830" s="56" t="str">
        <x:f>'Research &amp; Analysis'!E102</x:f>
        <x:v>RA.FC.1.1</x:v>
      </x:c>
      <x:c r="G830" s="14" t="str">
        <x:f>'Research &amp; Analysis'!F102</x:f>
        <x:v>Begin Research process 2 weeks prior to Cycle start</x:v>
      </x:c>
      <x:c r="H830" s="2" t="str">
        <x:f>IF('Research &amp; Analysis'!G102="","",'Research &amp; Analysis'!G102)</x:f>
      </x:c>
      <x:c r="I830" s="12" t="str">
        <x:f>IF('Research &amp; Analysis'!H102="","",'Research &amp; Analysis'!H102)</x:f>
      </x:c>
      <x:c r="J830" s="12" t="n">
        <x:f>IF('Research &amp; Analysis'!I102="","",'Research &amp; Analysis'!I102)</x:f>
        <x:v>46009</x:v>
      </x:c>
      <x:c r="K830" s="12" t="str">
        <x:f>IF('Research &amp; Analysis'!J102="","",'Research &amp; Analysis'!J102)</x:f>
      </x:c>
      <x:c r="L830" s="2" t="str">
        <x:f>IF('Research &amp; Analysis'!K102="","",'Research &amp; Analysis'!K102)</x:f>
      </x:c>
      <x:c r="M830" s="2" t="n">
        <x:f>'Research &amp; Analysis'!Q102</x:f>
        <x:v>1</x:v>
      </x:c>
      <x:c r="N830" s="2" t="str">
        <x:f>'Research &amp; Analysis'!L102</x:f>
        <x:v>Not started</x:v>
      </x:c>
      <x:c r="O830" s="2" t="str">
        <x:f>'Research &amp; Analysis'!N102</x:f>
        <x:v>RA.FC.1.1.2026.CY1</x:v>
      </x:c>
      <x:c r="P830" s="2" t="n">
        <x:f>'Research &amp; Analysis'!O102</x:f>
        <x:v>0</x:v>
      </x:c>
      <x:c r="Q830" s="2" t="n">
        <x:f>SUBTOTAL(103,O830)</x:f>
        <x:v>1</x:v>
      </x:c>
      <x:c r="R830" s="2" t="n">
        <x:f>IF(AND(M830=1,OR(Dashboard!$B$7="All",Dashboard!$B$7='Cycles &amp; Guide'!$C$5),OR(Dashboard!$D$7="All",Dashboard!$D$7=B830),OR(Dashboard!$F$7="All",Dashboard!$F$7=C830),OR(Dashboard!$H$7="All",Dashboard!$H$7=D830),OR(Dashboard!$K$7="All",Dashboard!$K$7=E830)),1,0)</x:f>
        <x:v>1</x:v>
      </x:c>
      <x:c r="S830" s="2" t="n">
        <x:f>IF(R830=1,SUM($R$10:R830),0)</x:f>
        <x:v>457</x:v>
      </x:c>
      <x:c r="T830" s="2" t="str">
        <x:v>Research &amp; Analysis</x:v>
      </x:c>
      <x:c r="U830" s="2" t="n">
        <x:v>102</x:v>
      </x:c>
      <x:c r="V830" s="2" t="n">
        <x:f>IF(AND(M830=1,P830=0,ISNUMBER(J830),J830&lt;TODAY()),1,0)</x:f>
        <x:v>1</x:v>
      </x:c>
      <x:c r="W830" s="2" t="str">
        <x:f>'Research &amp; Analysis'!M102</x:f>
        <x:v>Task</x:v>
      </x:c>
    </x:row>
    <x:row r="831" ht="40" customHeight="1">
      <x:c r="A831" s="3" t="str">
        <x:f>HYPERLINK("#'Research &amp; Analysis'!A103","Open")</x:f>
        <x:v>Open</x:v>
      </x:c>
      <x:c r="B831" s="2" t="str">
        <x:f>'Research &amp; Analysis'!B103</x:f>
        <x:v>Cycle 1</x:v>
      </x:c>
      <x:c r="C831" s="2" t="str">
        <x:f>'Research &amp; Analysis'!C103</x:f>
        <x:v>Phase 1</x:v>
      </x:c>
      <x:c r="D831" s="2" t="str">
        <x:f>'Research &amp; Analysis'!D103</x:f>
        <x:v>FCM</x:v>
      </x:c>
      <x:c r="E831" s="2" t="str">
        <x:v>Research &amp; Analysis</x:v>
      </x:c>
      <x:c r="F831" s="56" t="str">
        <x:f>'Research &amp; Analysis'!E103</x:f>
        <x:v>RA.FC.1.2</x:v>
      </x:c>
      <x:c r="G831" s="14" t="str">
        <x:f>'Research &amp; Analysis'!F103</x:f>
        <x:v>Conduct initial assessment of each topic recommendation from SharePoint list</x:v>
      </x:c>
      <x:c r="H831" s="2" t="str">
        <x:f>IF('Research &amp; Analysis'!G103="","",'Research &amp; Analysis'!G103)</x:f>
      </x:c>
      <x:c r="I831" s="12" t="str">
        <x:f>IF('Research &amp; Analysis'!H103="","",'Research &amp; Analysis'!H103)</x:f>
      </x:c>
      <x:c r="J831" s="12" t="n">
        <x:f>IF('Research &amp; Analysis'!I103="","",'Research &amp; Analysis'!I103)</x:f>
        <x:v>46112</x:v>
      </x:c>
      <x:c r="K831" s="12" t="str">
        <x:f>IF('Research &amp; Analysis'!J103="","",'Research &amp; Analysis'!J103)</x:f>
      </x:c>
      <x:c r="L831" s="2" t="str">
        <x:f>IF('Research &amp; Analysis'!K103="","",'Research &amp; Analysis'!K103)</x:f>
      </x:c>
      <x:c r="M831" s="2" t="n">
        <x:f>'Research &amp; Analysis'!Q103</x:f>
        <x:v>1</x:v>
      </x:c>
      <x:c r="N831" s="2" t="str">
        <x:f>'Research &amp; Analysis'!L103</x:f>
        <x:v>Not started</x:v>
      </x:c>
      <x:c r="O831" s="2" t="str">
        <x:f>'Research &amp; Analysis'!N103</x:f>
        <x:v>RA.FC.1.2.2026.CY1</x:v>
      </x:c>
      <x:c r="P831" s="2" t="n">
        <x:f>'Research &amp; Analysis'!O103</x:f>
        <x:v>0</x:v>
      </x:c>
      <x:c r="Q831" s="2" t="n">
        <x:f>SUBTOTAL(103,O831)</x:f>
        <x:v>1</x:v>
      </x:c>
      <x:c r="R831" s="2" t="n">
        <x:f>IF(AND(M831=1,OR(Dashboard!$B$7="All",Dashboard!$B$7='Cycles &amp; Guide'!$C$5),OR(Dashboard!$D$7="All",Dashboard!$D$7=B831),OR(Dashboard!$F$7="All",Dashboard!$F$7=C831),OR(Dashboard!$H$7="All",Dashboard!$H$7=D831),OR(Dashboard!$K$7="All",Dashboard!$K$7=E831)),1,0)</x:f>
        <x:v>1</x:v>
      </x:c>
      <x:c r="S831" s="2" t="n">
        <x:f>IF(R831=1,SUM($R$10:R831),0)</x:f>
        <x:v>458</x:v>
      </x:c>
      <x:c r="T831" s="2" t="str">
        <x:v>Research &amp; Analysis</x:v>
      </x:c>
      <x:c r="U831" s="2" t="n">
        <x:v>103</x:v>
      </x:c>
      <x:c r="V831" s="2" t="n">
        <x:f>IF(AND(M831=1,P831=0,ISNUMBER(J831),J831&lt;TODAY()),1,0)</x:f>
        <x:v>1</x:v>
      </x:c>
      <x:c r="W831" s="2" t="str">
        <x:f>'Research &amp; Analysis'!M103</x:f>
        <x:v>Task</x:v>
      </x:c>
    </x:row>
    <x:row r="832" ht="40" customHeight="1">
      <x:c r="A832" s="3" t="str">
        <x:f>HYPERLINK("#'Research &amp; Analysis'!A104","Open")</x:f>
        <x:v>Open</x:v>
      </x:c>
      <x:c r="B832" s="2" t="str">
        <x:f>'Research &amp; Analysis'!B104</x:f>
        <x:v>Cycle 1</x:v>
      </x:c>
      <x:c r="C832" s="2" t="str">
        <x:f>'Research &amp; Analysis'!C104</x:f>
        <x:v>Phase 1</x:v>
      </x:c>
      <x:c r="D832" s="2" t="str">
        <x:f>'Research &amp; Analysis'!D104</x:f>
        <x:v>FCM</x:v>
      </x:c>
      <x:c r="E832" s="2" t="str">
        <x:v>Research &amp; Analysis</x:v>
      </x:c>
      <x:c r="F832" s="56" t="str">
        <x:f>'Research &amp; Analysis'!E104</x:f>
        <x:v>RA.FC.1.3</x:v>
      </x:c>
      <x:c r="G832" s="14" t="str">
        <x:f>'Research &amp; Analysis'!F104</x:f>
        <x:v>Identify best topic for Cycle</x:v>
      </x:c>
      <x:c r="H832" s="2" t="str">
        <x:f>IF('Research &amp; Analysis'!G104="","",'Research &amp; Analysis'!G104)</x:f>
      </x:c>
      <x:c r="I832" s="12" t="str">
        <x:f>IF('Research &amp; Analysis'!H104="","",'Research &amp; Analysis'!H104)</x:f>
      </x:c>
      <x:c r="J832" s="12" t="n">
        <x:f>IF('Research &amp; Analysis'!I104="","",'Research &amp; Analysis'!I104)</x:f>
        <x:v>46112</x:v>
      </x:c>
      <x:c r="K832" s="12" t="str">
        <x:f>IF('Research &amp; Analysis'!J104="","",'Research &amp; Analysis'!J104)</x:f>
      </x:c>
      <x:c r="L832" s="2" t="str">
        <x:f>IF('Research &amp; Analysis'!K104="","",'Research &amp; Analysis'!K104)</x:f>
      </x:c>
      <x:c r="M832" s="2" t="n">
        <x:f>'Research &amp; Analysis'!Q104</x:f>
        <x:v>1</x:v>
      </x:c>
      <x:c r="N832" s="2" t="str">
        <x:f>'Research &amp; Analysis'!L104</x:f>
        <x:v>Not started</x:v>
      </x:c>
      <x:c r="O832" s="2" t="str">
        <x:f>'Research &amp; Analysis'!N104</x:f>
        <x:v>RA.FC.1.3.2026.CY1</x:v>
      </x:c>
      <x:c r="P832" s="2" t="n">
        <x:f>'Research &amp; Analysis'!O104</x:f>
        <x:v>0</x:v>
      </x:c>
      <x:c r="Q832" s="2" t="n">
        <x:f>SUBTOTAL(103,O832)</x:f>
        <x:v>1</x:v>
      </x:c>
      <x:c r="R832" s="2" t="n">
        <x:f>IF(AND(M832=1,OR(Dashboard!$B$7="All",Dashboard!$B$7='Cycles &amp; Guide'!$C$5),OR(Dashboard!$D$7="All",Dashboard!$D$7=B832),OR(Dashboard!$F$7="All",Dashboard!$F$7=C832),OR(Dashboard!$H$7="All",Dashboard!$H$7=D832),OR(Dashboard!$K$7="All",Dashboard!$K$7=E832)),1,0)</x:f>
        <x:v>1</x:v>
      </x:c>
      <x:c r="S832" s="2" t="n">
        <x:f>IF(R832=1,SUM($R$10:R832),0)</x:f>
        <x:v>459</x:v>
      </x:c>
      <x:c r="T832" s="2" t="str">
        <x:v>Research &amp; Analysis</x:v>
      </x:c>
      <x:c r="U832" s="2" t="n">
        <x:v>104</x:v>
      </x:c>
      <x:c r="V832" s="2" t="n">
        <x:f>IF(AND(M832=1,P832=0,ISNUMBER(J832),J832&lt;TODAY()),1,0)</x:f>
        <x:v>1</x:v>
      </x:c>
      <x:c r="W832" s="2" t="str">
        <x:f>'Research &amp; Analysis'!M104</x:f>
        <x:v>Task</x:v>
      </x:c>
    </x:row>
    <x:row r="833" ht="40" customHeight="1">
      <x:c r="A833" s="3" t="str">
        <x:f>HYPERLINK("#'Research &amp; Analysis'!A105","Open")</x:f>
        <x:v>Open</x:v>
      </x:c>
      <x:c r="B833" s="2" t="str">
        <x:f>'Research &amp; Analysis'!B105</x:f>
        <x:v>Cycle 1</x:v>
      </x:c>
      <x:c r="C833" s="2" t="str">
        <x:f>'Research &amp; Analysis'!C105</x:f>
        <x:v>Phase 1</x:v>
      </x:c>
      <x:c r="D833" s="2" t="str">
        <x:f>'Research &amp; Analysis'!D105</x:f>
        <x:v>FCM</x:v>
      </x:c>
      <x:c r="E833" s="2" t="str">
        <x:v>Research &amp; Analysis</x:v>
      </x:c>
      <x:c r="F833" s="56" t="str">
        <x:f>'Research &amp; Analysis'!E105</x:f>
        <x:v>RA.FC.1.4</x:v>
      </x:c>
      <x:c r="G833" s="14" t="str">
        <x:f>'Research &amp; Analysis'!F105</x:f>
        <x:v>Identify backup topic for Cycle</x:v>
      </x:c>
      <x:c r="H833" s="2" t="str">
        <x:f>IF('Research &amp; Analysis'!G105="","",'Research &amp; Analysis'!G105)</x:f>
      </x:c>
      <x:c r="I833" s="12" t="str">
        <x:f>IF('Research &amp; Analysis'!H105="","",'Research &amp; Analysis'!H105)</x:f>
      </x:c>
      <x:c r="J833" s="12" t="n">
        <x:f>IF('Research &amp; Analysis'!I105="","",'Research &amp; Analysis'!I105)</x:f>
        <x:v>46112</x:v>
      </x:c>
      <x:c r="K833" s="12" t="str">
        <x:f>IF('Research &amp; Analysis'!J105="","",'Research &amp; Analysis'!J105)</x:f>
      </x:c>
      <x:c r="L833" s="2" t="str">
        <x:f>IF('Research &amp; Analysis'!K105="","",'Research &amp; Analysis'!K105)</x:f>
      </x:c>
      <x:c r="M833" s="2" t="n">
        <x:f>'Research &amp; Analysis'!Q105</x:f>
        <x:v>1</x:v>
      </x:c>
      <x:c r="N833" s="2" t="str">
        <x:f>'Research &amp; Analysis'!L105</x:f>
        <x:v>Not started</x:v>
      </x:c>
      <x:c r="O833" s="2" t="str">
        <x:f>'Research &amp; Analysis'!N105</x:f>
        <x:v>RA.FC.1.4.2026.CY1</x:v>
      </x:c>
      <x:c r="P833" s="2" t="n">
        <x:f>'Research &amp; Analysis'!O105</x:f>
        <x:v>0</x:v>
      </x:c>
      <x:c r="Q833" s="2" t="n">
        <x:f>SUBTOTAL(103,O833)</x:f>
        <x:v>1</x:v>
      </x:c>
      <x:c r="R833" s="2" t="n">
        <x:f>IF(AND(M833=1,OR(Dashboard!$B$7="All",Dashboard!$B$7='Cycles &amp; Guide'!$C$5),OR(Dashboard!$D$7="All",Dashboard!$D$7=B833),OR(Dashboard!$F$7="All",Dashboard!$F$7=C833),OR(Dashboard!$H$7="All",Dashboard!$H$7=D833),OR(Dashboard!$K$7="All",Dashboard!$K$7=E833)),1,0)</x:f>
        <x:v>1</x:v>
      </x:c>
      <x:c r="S833" s="2" t="n">
        <x:f>IF(R833=1,SUM($R$10:R833),0)</x:f>
        <x:v>460</x:v>
      </x:c>
      <x:c r="T833" s="2" t="str">
        <x:v>Research &amp; Analysis</x:v>
      </x:c>
      <x:c r="U833" s="2" t="n">
        <x:v>105</x:v>
      </x:c>
      <x:c r="V833" s="2" t="n">
        <x:f>IF(AND(M833=1,P833=0,ISNUMBER(J833),J833&lt;TODAY()),1,0)</x:f>
        <x:v>1</x:v>
      </x:c>
      <x:c r="W833" s="2" t="str">
        <x:f>'Research &amp; Analysis'!M105</x:f>
        <x:v>Task</x:v>
      </x:c>
    </x:row>
    <x:row r="834" ht="40" customHeight="1">
      <x:c r="A834" s="3" t="str">
        <x:f>HYPERLINK("#'Research &amp; Analysis'!A106","Open")</x:f>
        <x:v>Open</x:v>
      </x:c>
      <x:c r="B834" s="2" t="str">
        <x:f>'Research &amp; Analysis'!B106</x:f>
        <x:v>Cycle 1</x:v>
      </x:c>
      <x:c r="C834" s="2" t="str">
        <x:f>'Research &amp; Analysis'!C106</x:f>
        <x:v>Phase 1</x:v>
      </x:c>
      <x:c r="D834" s="2" t="str">
        <x:f>'Research &amp; Analysis'!D106</x:f>
        <x:v>FCM</x:v>
      </x:c>
      <x:c r="E834" s="2" t="str">
        <x:v>Research &amp; Analysis</x:v>
      </x:c>
      <x:c r="F834" s="56" t="str">
        <x:f>'Research &amp; Analysis'!E106</x:f>
        <x:v>RA.FC.1.5</x:v>
      </x:c>
      <x:c r="G834" s="14" t="str">
        <x:f>'Research &amp; Analysis'!F106</x:f>
        <x:v>Schedule topic approval meeting with D&amp;I and management</x:v>
      </x:c>
      <x:c r="H834" s="2" t="str">
        <x:f>IF('Research &amp; Analysis'!G106="","",'Research &amp; Analysis'!G106)</x:f>
      </x:c>
      <x:c r="I834" s="12" t="str">
        <x:f>IF('Research &amp; Analysis'!H106="","",'Research &amp; Analysis'!H106)</x:f>
      </x:c>
      <x:c r="J834" s="12" t="n">
        <x:f>IF('Research &amp; Analysis'!I106="","",'Research &amp; Analysis'!I106)</x:f>
        <x:v>46112</x:v>
      </x:c>
      <x:c r="K834" s="12" t="str">
        <x:f>IF('Research &amp; Analysis'!J106="","",'Research &amp; Analysis'!J106)</x:f>
      </x:c>
      <x:c r="L834" s="2" t="str">
        <x:f>IF('Research &amp; Analysis'!K106="","",'Research &amp; Analysis'!K106)</x:f>
      </x:c>
      <x:c r="M834" s="2" t="n">
        <x:f>'Research &amp; Analysis'!Q106</x:f>
        <x:v>1</x:v>
      </x:c>
      <x:c r="N834" s="2" t="str">
        <x:f>'Research &amp; Analysis'!L106</x:f>
        <x:v>Not started</x:v>
      </x:c>
      <x:c r="O834" s="2" t="str">
        <x:f>'Research &amp; Analysis'!N106</x:f>
        <x:v>RA.FC.1.5.2026.CY1</x:v>
      </x:c>
      <x:c r="P834" s="2" t="n">
        <x:f>'Research &amp; Analysis'!O106</x:f>
        <x:v>0</x:v>
      </x:c>
      <x:c r="Q834" s="2" t="n">
        <x:f>SUBTOTAL(103,O834)</x:f>
        <x:v>1</x:v>
      </x:c>
      <x:c r="R834" s="2" t="n">
        <x:f>IF(AND(M834=1,OR(Dashboard!$B$7="All",Dashboard!$B$7='Cycles &amp; Guide'!$C$5),OR(Dashboard!$D$7="All",Dashboard!$D$7=B834),OR(Dashboard!$F$7="All",Dashboard!$F$7=C834),OR(Dashboard!$H$7="All",Dashboard!$H$7=D834),OR(Dashboard!$K$7="All",Dashboard!$K$7=E834)),1,0)</x:f>
        <x:v>1</x:v>
      </x:c>
      <x:c r="S834" s="2" t="n">
        <x:f>IF(R834=1,SUM($R$10:R834),0)</x:f>
        <x:v>461</x:v>
      </x:c>
      <x:c r="T834" s="2" t="str">
        <x:v>Research &amp; Analysis</x:v>
      </x:c>
      <x:c r="U834" s="2" t="n">
        <x:v>106</x:v>
      </x:c>
      <x:c r="V834" s="2" t="n">
        <x:f>IF(AND(M834=1,P834=0,ISNUMBER(J834),J834&lt;TODAY()),1,0)</x:f>
        <x:v>1</x:v>
      </x:c>
      <x:c r="W834" s="2" t="str">
        <x:f>'Research &amp; Analysis'!M106</x:f>
        <x:v>Task</x:v>
      </x:c>
    </x:row>
    <x:row r="835" ht="40" customHeight="1">
      <x:c r="A835" s="3" t="str">
        <x:f>HYPERLINK("#'Research &amp; Analysis'!A107","Open")</x:f>
        <x:v>Open</x:v>
      </x:c>
      <x:c r="B835" s="2" t="str">
        <x:f>'Research &amp; Analysis'!B107</x:f>
        <x:v>Cycle 1</x:v>
      </x:c>
      <x:c r="C835" s="2" t="str">
        <x:f>'Research &amp; Analysis'!C107</x:f>
        <x:v>Phase 1</x:v>
      </x:c>
      <x:c r="D835" s="2" t="str">
        <x:f>'Research &amp; Analysis'!D107</x:f>
        <x:v>FCM</x:v>
      </x:c>
      <x:c r="E835" s="2" t="str">
        <x:v>Research &amp; Analysis</x:v>
      </x:c>
      <x:c r="F835" s="56" t="str">
        <x:f>'Research &amp; Analysis'!E107</x:f>
        <x:v>RA.FC.1.6</x:v>
      </x:c>
      <x:c r="G835" s="14" t="str">
        <x:f>'Research &amp; Analysis'!F107</x:f>
        <x:v>Present recommended topic to D&amp;I and management for approval</x:v>
      </x:c>
      <x:c r="H835" s="2" t="str">
        <x:f>IF('Research &amp; Analysis'!G107="","",'Research &amp; Analysis'!G107)</x:f>
      </x:c>
      <x:c r="I835" s="12" t="str">
        <x:f>IF('Research &amp; Analysis'!H107="","",'Research &amp; Analysis'!H107)</x:f>
      </x:c>
      <x:c r="J835" s="12" t="n">
        <x:f>IF('Research &amp; Analysis'!I107="","",'Research &amp; Analysis'!I107)</x:f>
        <x:v>46112</x:v>
      </x:c>
      <x:c r="K835" s="12" t="str">
        <x:f>IF('Research &amp; Analysis'!J107="","",'Research &amp; Analysis'!J107)</x:f>
      </x:c>
      <x:c r="L835" s="2" t="str">
        <x:f>IF('Research &amp; Analysis'!K107="","",'Research &amp; Analysis'!K107)</x:f>
      </x:c>
      <x:c r="M835" s="2" t="n">
        <x:f>'Research &amp; Analysis'!Q107</x:f>
        <x:v>1</x:v>
      </x:c>
      <x:c r="N835" s="2" t="str">
        <x:f>'Research &amp; Analysis'!L107</x:f>
        <x:v>Not started</x:v>
      </x:c>
      <x:c r="O835" s="2" t="str">
        <x:f>'Research &amp; Analysis'!N107</x:f>
        <x:v>RA.FC.1.6.2026.CY1</x:v>
      </x:c>
      <x:c r="P835" s="2" t="n">
        <x:f>'Research &amp; Analysis'!O107</x:f>
        <x:v>0</x:v>
      </x:c>
      <x:c r="Q835" s="2" t="n">
        <x:f>SUBTOTAL(103,O835)</x:f>
        <x:v>1</x:v>
      </x:c>
      <x:c r="R835" s="2" t="n">
        <x:f>IF(AND(M835=1,OR(Dashboard!$B$7="All",Dashboard!$B$7='Cycles &amp; Guide'!$C$5),OR(Dashboard!$D$7="All",Dashboard!$D$7=B835),OR(Dashboard!$F$7="All",Dashboard!$F$7=C835),OR(Dashboard!$H$7="All",Dashboard!$H$7=D835),OR(Dashboard!$K$7="All",Dashboard!$K$7=E835)),1,0)</x:f>
        <x:v>1</x:v>
      </x:c>
      <x:c r="S835" s="2" t="n">
        <x:f>IF(R835=1,SUM($R$10:R835),0)</x:f>
        <x:v>462</x:v>
      </x:c>
      <x:c r="T835" s="2" t="str">
        <x:v>Research &amp; Analysis</x:v>
      </x:c>
      <x:c r="U835" s="2" t="n">
        <x:v>107</x:v>
      </x:c>
      <x:c r="V835" s="2" t="n">
        <x:f>IF(AND(M835=1,P835=0,ISNUMBER(J835),J835&lt;TODAY()),1,0)</x:f>
        <x:v>1</x:v>
      </x:c>
      <x:c r="W835" s="2" t="str">
        <x:f>'Research &amp; Analysis'!M107</x:f>
        <x:v>Task</x:v>
      </x:c>
    </x:row>
    <x:row r="836" ht="40" customHeight="1">
      <x:c r="A836" s="3" t="str">
        <x:f>HYPERLINK("#'Research &amp; Analysis'!A108","Open")</x:f>
        <x:v>Open</x:v>
      </x:c>
      <x:c r="B836" s="2" t="str">
        <x:f>'Research &amp; Analysis'!B108</x:f>
        <x:v>Cycle 1</x:v>
      </x:c>
      <x:c r="C836" s="2" t="str">
        <x:f>'Research &amp; Analysis'!C108</x:f>
        <x:v>Phase 1</x:v>
      </x:c>
      <x:c r="D836" s="2" t="str">
        <x:f>'Research &amp; Analysis'!D108</x:f>
        <x:v>FCM</x:v>
      </x:c>
      <x:c r="E836" s="2" t="str">
        <x:v>Research &amp; Analysis</x:v>
      </x:c>
      <x:c r="F836" s="56" t="str">
        <x:f>'Research &amp; Analysis'!E108</x:f>
        <x:v>RA.FC.1.7</x:v>
      </x:c>
      <x:c r="G836" s="14" t="str">
        <x:f>'Research &amp; Analysis'!F108</x:f>
        <x:v>Obtain formal topic selection approval from management via SharePoint</x:v>
      </x:c>
      <x:c r="H836" s="2" t="str">
        <x:f>IF('Research &amp; Analysis'!G108="","",'Research &amp; Analysis'!G108)</x:f>
      </x:c>
      <x:c r="I836" s="12" t="str">
        <x:f>IF('Research &amp; Analysis'!H108="","",'Research &amp; Analysis'!H108)</x:f>
      </x:c>
      <x:c r="J836" s="12" t="n">
        <x:f>IF('Research &amp; Analysis'!I108="","",'Research &amp; Analysis'!I108)</x:f>
        <x:v>46112</x:v>
      </x:c>
      <x:c r="K836" s="12" t="str">
        <x:f>IF('Research &amp; Analysis'!J108="","",'Research &amp; Analysis'!J108)</x:f>
      </x:c>
      <x:c r="L836" s="2" t="str">
        <x:f>IF('Research &amp; Analysis'!K108="","",'Research &amp; Analysis'!K108)</x:f>
      </x:c>
      <x:c r="M836" s="2" t="n">
        <x:f>'Research &amp; Analysis'!Q108</x:f>
        <x:v>1</x:v>
      </x:c>
      <x:c r="N836" s="2" t="str">
        <x:f>'Research &amp; Analysis'!L108</x:f>
        <x:v>Not started</x:v>
      </x:c>
      <x:c r="O836" s="2" t="str">
        <x:f>'Research &amp; Analysis'!N108</x:f>
        <x:v>RA.FC.1.7.2026.CY1</x:v>
      </x:c>
      <x:c r="P836" s="2" t="n">
        <x:f>'Research &amp; Analysis'!O108</x:f>
        <x:v>0</x:v>
      </x:c>
      <x:c r="Q836" s="2" t="n">
        <x:f>SUBTOTAL(103,O836)</x:f>
        <x:v>1</x:v>
      </x:c>
      <x:c r="R836" s="2" t="n">
        <x:f>IF(AND(M836=1,OR(Dashboard!$B$7="All",Dashboard!$B$7='Cycles &amp; Guide'!$C$5),OR(Dashboard!$D$7="All",Dashboard!$D$7=B836),OR(Dashboard!$F$7="All",Dashboard!$F$7=C836),OR(Dashboard!$H$7="All",Dashboard!$H$7=D836),OR(Dashboard!$K$7="All",Dashboard!$K$7=E836)),1,0)</x:f>
        <x:v>1</x:v>
      </x:c>
      <x:c r="S836" s="2" t="n">
        <x:f>IF(R836=1,SUM($R$10:R836),0)</x:f>
        <x:v>463</x:v>
      </x:c>
      <x:c r="T836" s="2" t="str">
        <x:v>Research &amp; Analysis</x:v>
      </x:c>
      <x:c r="U836" s="2" t="n">
        <x:v>108</x:v>
      </x:c>
      <x:c r="V836" s="2" t="n">
        <x:f>IF(AND(M836=1,P836=0,ISNUMBER(J836),J836&lt;TODAY()),1,0)</x:f>
        <x:v>1</x:v>
      </x:c>
      <x:c r="W836" s="2" t="str">
        <x:f>'Research &amp; Analysis'!M108</x:f>
        <x:v>Task</x:v>
      </x:c>
    </x:row>
    <x:row r="837" ht="40" customHeight="1">
      <x:c r="A837" s="3" t="str">
        <x:f>HYPERLINK("#'Research &amp; Analysis'!A109","Open")</x:f>
        <x:v>Open</x:v>
      </x:c>
      <x:c r="B837" s="2" t="str">
        <x:f>'Research &amp; Analysis'!B109</x:f>
        <x:v>Cycle 1</x:v>
      </x:c>
      <x:c r="C837" s="2" t="str">
        <x:f>'Research &amp; Analysis'!C109</x:f>
        <x:v>Phase 1</x:v>
      </x:c>
      <x:c r="D837" s="2" t="str">
        <x:f>'Research &amp; Analysis'!D109</x:f>
        <x:v>FCM</x:v>
      </x:c>
      <x:c r="E837" s="2" t="str">
        <x:v>Research &amp; Analysis</x:v>
      </x:c>
      <x:c r="F837" s="56" t="str">
        <x:f>'Research &amp; Analysis'!E109</x:f>
        <x:v>RA.FC.1.8</x:v>
      </x:c>
      <x:c r="G837" s="14" t="str">
        <x:f>'Research &amp; Analysis'!F109</x:f>
        <x:v>Socialize topic selection with product owners and subject matter experts (if known)</x:v>
      </x:c>
      <x:c r="H837" s="2" t="str">
        <x:f>IF('Research &amp; Analysis'!G109="","",'Research &amp; Analysis'!G109)</x:f>
      </x:c>
      <x:c r="I837" s="12" t="str">
        <x:f>IF('Research &amp; Analysis'!H109="","",'Research &amp; Analysis'!H109)</x:f>
      </x:c>
      <x:c r="J837" s="12" t="n">
        <x:f>IF('Research &amp; Analysis'!I109="","",'Research &amp; Analysis'!I109)</x:f>
        <x:v>46112</x:v>
      </x:c>
      <x:c r="K837" s="12" t="str">
        <x:f>IF('Research &amp; Analysis'!J109="","",'Research &amp; Analysis'!J109)</x:f>
      </x:c>
      <x:c r="L837" s="2" t="str">
        <x:f>IF('Research &amp; Analysis'!K109="","",'Research &amp; Analysis'!K109)</x:f>
      </x:c>
      <x:c r="M837" s="2" t="n">
        <x:f>'Research &amp; Analysis'!Q109</x:f>
        <x:v>1</x:v>
      </x:c>
      <x:c r="N837" s="2" t="str">
        <x:f>'Research &amp; Analysis'!L109</x:f>
        <x:v>Not started</x:v>
      </x:c>
      <x:c r="O837" s="2" t="str">
        <x:f>'Research &amp; Analysis'!N109</x:f>
        <x:v>RA.FC.1.8.2026.CY1</x:v>
      </x:c>
      <x:c r="P837" s="2" t="n">
        <x:f>'Research &amp; Analysis'!O109</x:f>
        <x:v>0</x:v>
      </x:c>
      <x:c r="Q837" s="2" t="n">
        <x:f>SUBTOTAL(103,O837)</x:f>
        <x:v>1</x:v>
      </x:c>
      <x:c r="R837" s="2" t="n">
        <x:f>IF(AND(M837=1,OR(Dashboard!$B$7="All",Dashboard!$B$7='Cycles &amp; Guide'!$C$5),OR(Dashboard!$D$7="All",Dashboard!$D$7=B837),OR(Dashboard!$F$7="All",Dashboard!$F$7=C837),OR(Dashboard!$H$7="All",Dashboard!$H$7=D837),OR(Dashboard!$K$7="All",Dashboard!$K$7=E837)),1,0)</x:f>
        <x:v>1</x:v>
      </x:c>
      <x:c r="S837" s="2" t="n">
        <x:f>IF(R837=1,SUM($R$10:R837),0)</x:f>
        <x:v>464</x:v>
      </x:c>
      <x:c r="T837" s="2" t="str">
        <x:v>Research &amp; Analysis</x:v>
      </x:c>
      <x:c r="U837" s="2" t="n">
        <x:v>109</x:v>
      </x:c>
      <x:c r="V837" s="2" t="n">
        <x:f>IF(AND(M837=1,P837=0,ISNUMBER(J837),J837&lt;TODAY()),1,0)</x:f>
        <x:v>1</x:v>
      </x:c>
      <x:c r="W837" s="2" t="str">
        <x:f>'Research &amp; Analysis'!M109</x:f>
        <x:v>Task</x:v>
      </x:c>
    </x:row>
    <x:row r="838" ht="40" customHeight="1">
      <x:c r="A838" s="3" t="str">
        <x:f>HYPERLINK("#'Research &amp; Analysis'!A110","Open")</x:f>
        <x:v>Open</x:v>
      </x:c>
      <x:c r="B838" s="2" t="str">
        <x:f>'Research &amp; Analysis'!B110</x:f>
        <x:v>Cycle 1</x:v>
      </x:c>
      <x:c r="C838" s="2" t="str">
        <x:f>'Research &amp; Analysis'!C110</x:f>
        <x:v>Phase 1</x:v>
      </x:c>
      <x:c r="D838" s="2" t="str">
        <x:f>'Research &amp; Analysis'!D110</x:f>
        <x:v>FCM</x:v>
      </x:c>
      <x:c r="E838" s="2" t="str">
        <x:v>Research &amp; Analysis</x:v>
      </x:c>
      <x:c r="F838" s="56" t="str">
        <x:f>'Research &amp; Analysis'!E110</x:f>
        <x:v>RA.FC.1.9</x:v>
      </x:c>
      <x:c r="G838" s="14" t="str">
        <x:f>'Research &amp; Analysis'!F110</x:f>
        <x:v>Assign topic researchers</x:v>
      </x:c>
      <x:c r="H838" s="2" t="str">
        <x:f>IF('Research &amp; Analysis'!G110="","",'Research &amp; Analysis'!G110)</x:f>
      </x:c>
      <x:c r="I838" s="12" t="str">
        <x:f>IF('Research &amp; Analysis'!H110="","",'Research &amp; Analysis'!H110)</x:f>
      </x:c>
      <x:c r="J838" s="12" t="n">
        <x:f>IF('Research &amp; Analysis'!I110="","",'Research &amp; Analysis'!I110)</x:f>
        <x:v>46112</x:v>
      </x:c>
      <x:c r="K838" s="12" t="str">
        <x:f>IF('Research &amp; Analysis'!J110="","",'Research &amp; Analysis'!J110)</x:f>
      </x:c>
      <x:c r="L838" s="2" t="str">
        <x:f>IF('Research &amp; Analysis'!K110="","",'Research &amp; Analysis'!K110)</x:f>
      </x:c>
      <x:c r="M838" s="2" t="n">
        <x:f>'Research &amp; Analysis'!Q110</x:f>
        <x:v>1</x:v>
      </x:c>
      <x:c r="N838" s="2" t="str">
        <x:f>'Research &amp; Analysis'!L110</x:f>
        <x:v>Not started</x:v>
      </x:c>
      <x:c r="O838" s="2" t="str">
        <x:f>'Research &amp; Analysis'!N110</x:f>
        <x:v>RA.FC.1.9.2026.CY1</x:v>
      </x:c>
      <x:c r="P838" s="2" t="n">
        <x:f>'Research &amp; Analysis'!O110</x:f>
        <x:v>0</x:v>
      </x:c>
      <x:c r="Q838" s="2" t="n">
        <x:f>SUBTOTAL(103,O838)</x:f>
        <x:v>1</x:v>
      </x:c>
      <x:c r="R838" s="2" t="n">
        <x:f>IF(AND(M838=1,OR(Dashboard!$B$7="All",Dashboard!$B$7='Cycles &amp; Guide'!$C$5),OR(Dashboard!$D$7="All",Dashboard!$D$7=B838),OR(Dashboard!$F$7="All",Dashboard!$F$7=C838),OR(Dashboard!$H$7="All",Dashboard!$H$7=D838),OR(Dashboard!$K$7="All",Dashboard!$K$7=E838)),1,0)</x:f>
        <x:v>1</x:v>
      </x:c>
      <x:c r="S838" s="2" t="n">
        <x:f>IF(R838=1,SUM($R$10:R838),0)</x:f>
        <x:v>465</x:v>
      </x:c>
      <x:c r="T838" s="2" t="str">
        <x:v>Research &amp; Analysis</x:v>
      </x:c>
      <x:c r="U838" s="2" t="n">
        <x:v>110</x:v>
      </x:c>
      <x:c r="V838" s="2" t="n">
        <x:f>IF(AND(M838=1,P838=0,ISNUMBER(J838),J838&lt;TODAY()),1,0)</x:f>
        <x:v>1</x:v>
      </x:c>
      <x:c r="W838" s="2" t="str">
        <x:f>'Research &amp; Analysis'!M110</x:f>
        <x:v>Task</x:v>
      </x:c>
    </x:row>
    <x:row r="839" ht="40" customHeight="1">
      <x:c r="A839" s="3" t="str">
        <x:f>HYPERLINK("#'Research &amp; Analysis'!A111","Open")</x:f>
        <x:v>Open</x:v>
      </x:c>
      <x:c r="B839" s="2" t="str">
        <x:f>'Research &amp; Analysis'!B111</x:f>
        <x:v>Cycle 1</x:v>
      </x:c>
      <x:c r="C839" s="2" t="str">
        <x:f>'Research &amp; Analysis'!C111</x:f>
        <x:v>Phase 2</x:v>
      </x:c>
      <x:c r="D839" s="2" t="str">
        <x:f>'Research &amp; Analysis'!D111</x:f>
        <x:v>FCM</x:v>
      </x:c>
      <x:c r="E839" s="2" t="str">
        <x:v>Research &amp; Analysis</x:v>
      </x:c>
      <x:c r="F839" s="56" t="str">
        <x:f>'Research &amp; Analysis'!E111</x:f>
        <x:v>RA.FC.2.1</x:v>
      </x:c>
      <x:c r="G839" s="14" t="str">
        <x:f>'Research &amp; Analysis'!F111</x:f>
        <x:v>Review data sources</x:v>
      </x:c>
      <x:c r="H839" s="2" t="str">
        <x:f>IF('Research &amp; Analysis'!G111="","",'Research &amp; Analysis'!G111)</x:f>
      </x:c>
      <x:c r="I839" s="12" t="str">
        <x:f>IF('Research &amp; Analysis'!H111="","",'Research &amp; Analysis'!H111)</x:f>
      </x:c>
      <x:c r="J839" s="12" t="n">
        <x:f>IF('Research &amp; Analysis'!I111="","",'Research &amp; Analysis'!I111)</x:f>
        <x:v>46112</x:v>
      </x:c>
      <x:c r="K839" s="12" t="str">
        <x:f>IF('Research &amp; Analysis'!J111="","",'Research &amp; Analysis'!J111)</x:f>
      </x:c>
      <x:c r="L839" s="2" t="str">
        <x:f>IF('Research &amp; Analysis'!K111="","",'Research &amp; Analysis'!K111)</x:f>
      </x:c>
      <x:c r="M839" s="2" t="n">
        <x:f>'Research &amp; Analysis'!Q111</x:f>
        <x:v>1</x:v>
      </x:c>
      <x:c r="N839" s="2" t="str">
        <x:f>'Research &amp; Analysis'!L111</x:f>
        <x:v>Not started</x:v>
      </x:c>
      <x:c r="O839" s="2" t="str">
        <x:f>'Research &amp; Analysis'!N111</x:f>
        <x:v>RA.FC.2.1.2026.CY1</x:v>
      </x:c>
      <x:c r="P839" s="2" t="n">
        <x:f>'Research &amp; Analysis'!O111</x:f>
        <x:v>0</x:v>
      </x:c>
      <x:c r="Q839" s="2" t="n">
        <x:f>SUBTOTAL(103,O839)</x:f>
        <x:v>1</x:v>
      </x:c>
      <x:c r="R839" s="2" t="n">
        <x:f>IF(AND(M839=1,OR(Dashboard!$B$7="All",Dashboard!$B$7='Cycles &amp; Guide'!$C$5),OR(Dashboard!$D$7="All",Dashboard!$D$7=B839),OR(Dashboard!$F$7="All",Dashboard!$F$7=C839),OR(Dashboard!$H$7="All",Dashboard!$H$7=D839),OR(Dashboard!$K$7="All",Dashboard!$K$7=E839)),1,0)</x:f>
        <x:v>1</x:v>
      </x:c>
      <x:c r="S839" s="2" t="n">
        <x:f>IF(R839=1,SUM($R$10:R839),0)</x:f>
        <x:v>466</x:v>
      </x:c>
      <x:c r="T839" s="2" t="str">
        <x:v>Research &amp; Analysis</x:v>
      </x:c>
      <x:c r="U839" s="2" t="n">
        <x:v>111</x:v>
      </x:c>
      <x:c r="V839" s="2" t="n">
        <x:f>IF(AND(M839=1,P839=0,ISNUMBER(J839),J839&lt;TODAY()),1,0)</x:f>
        <x:v>1</x:v>
      </x:c>
      <x:c r="W839" s="2" t="str">
        <x:f>'Research &amp; Analysis'!M111</x:f>
        <x:v>Task</x:v>
      </x:c>
    </x:row>
    <x:row r="840" ht="40" customHeight="1">
      <x:c r="A840" s="3" t="str">
        <x:f>HYPERLINK("#'Research &amp; Analysis'!A112","Open")</x:f>
        <x:v>Open</x:v>
      </x:c>
      <x:c r="B840" s="2" t="str">
        <x:f>'Research &amp; Analysis'!B112</x:f>
        <x:v>Cycle 1</x:v>
      </x:c>
      <x:c r="C840" s="2" t="str">
        <x:f>'Research &amp; Analysis'!C112</x:f>
        <x:v>Phase 2</x:v>
      </x:c>
      <x:c r="D840" s="2" t="str">
        <x:f>'Research &amp; Analysis'!D112</x:f>
        <x:v>FCM</x:v>
      </x:c>
      <x:c r="E840" s="2" t="str">
        <x:v>Research &amp; Analysis</x:v>
      </x:c>
      <x:c r="F840" s="56" t="str">
        <x:f>'Research &amp; Analysis'!E112</x:f>
        <x:v>RA.FC.2.2</x:v>
      </x:c>
      <x:c r="G840" s="14" t="str">
        <x:f>'Research &amp; Analysis'!F112</x:f>
        <x:v>Review relevant policies and procedures</x:v>
      </x:c>
      <x:c r="H840" s="2" t="str">
        <x:f>IF('Research &amp; Analysis'!G112="","",'Research &amp; Analysis'!G112)</x:f>
      </x:c>
      <x:c r="I840" s="12" t="str">
        <x:f>IF('Research &amp; Analysis'!H112="","",'Research &amp; Analysis'!H112)</x:f>
      </x:c>
      <x:c r="J840" s="12" t="n">
        <x:f>IF('Research &amp; Analysis'!I112="","",'Research &amp; Analysis'!I112)</x:f>
        <x:v>46112</x:v>
      </x:c>
      <x:c r="K840" s="12" t="str">
        <x:f>IF('Research &amp; Analysis'!J112="","",'Research &amp; Analysis'!J112)</x:f>
      </x:c>
      <x:c r="L840" s="2" t="str">
        <x:f>IF('Research &amp; Analysis'!K112="","",'Research &amp; Analysis'!K112)</x:f>
      </x:c>
      <x:c r="M840" s="2" t="n">
        <x:f>'Research &amp; Analysis'!Q112</x:f>
        <x:v>1</x:v>
      </x:c>
      <x:c r="N840" s="2" t="str">
        <x:f>'Research &amp; Analysis'!L112</x:f>
        <x:v>Not started</x:v>
      </x:c>
      <x:c r="O840" s="2" t="str">
        <x:f>'Research &amp; Analysis'!N112</x:f>
        <x:v>RA.FC.2.2.2026.CY1</x:v>
      </x:c>
      <x:c r="P840" s="2" t="n">
        <x:f>'Research &amp; Analysis'!O112</x:f>
        <x:v>0</x:v>
      </x:c>
      <x:c r="Q840" s="2" t="n">
        <x:f>SUBTOTAL(103,O840)</x:f>
        <x:v>1</x:v>
      </x:c>
      <x:c r="R840" s="2" t="n">
        <x:f>IF(AND(M840=1,OR(Dashboard!$B$7="All",Dashboard!$B$7='Cycles &amp; Guide'!$C$5),OR(Dashboard!$D$7="All",Dashboard!$D$7=B840),OR(Dashboard!$F$7="All",Dashboard!$F$7=C840),OR(Dashboard!$H$7="All",Dashboard!$H$7=D840),OR(Dashboard!$K$7="All",Dashboard!$K$7=E840)),1,0)</x:f>
        <x:v>1</x:v>
      </x:c>
      <x:c r="S840" s="2" t="n">
        <x:f>IF(R840=1,SUM($R$10:R840),0)</x:f>
        <x:v>467</x:v>
      </x:c>
      <x:c r="T840" s="2" t="str">
        <x:v>Research &amp; Analysis</x:v>
      </x:c>
      <x:c r="U840" s="2" t="n">
        <x:v>112</x:v>
      </x:c>
      <x:c r="V840" s="2" t="n">
        <x:f>IF(AND(M840=1,P840=0,ISNUMBER(J840),J840&lt;TODAY()),1,0)</x:f>
        <x:v>1</x:v>
      </x:c>
      <x:c r="W840" s="2" t="str">
        <x:f>'Research &amp; Analysis'!M112</x:f>
        <x:v>Task</x:v>
      </x:c>
    </x:row>
    <x:row r="841" ht="40" customHeight="1">
      <x:c r="A841" s="3" t="str">
        <x:f>HYPERLINK("#'Research &amp; Analysis'!A113","Open")</x:f>
        <x:v>Open</x:v>
      </x:c>
      <x:c r="B841" s="2" t="str">
        <x:f>'Research &amp; Analysis'!B113</x:f>
        <x:v>Cycle 1</x:v>
      </x:c>
      <x:c r="C841" s="2" t="str">
        <x:f>'Research &amp; Analysis'!C113</x:f>
        <x:v>Phase 2</x:v>
      </x:c>
      <x:c r="D841" s="2" t="str">
        <x:f>'Research &amp; Analysis'!D113</x:f>
        <x:v>FCM</x:v>
      </x:c>
      <x:c r="E841" s="2" t="str">
        <x:v>Research &amp; Analysis</x:v>
      </x:c>
      <x:c r="F841" s="56" t="str">
        <x:f>'Research &amp; Analysis'!E113</x:f>
        <x:v>RA.FC.2.3</x:v>
      </x:c>
      <x:c r="G841" s="14" t="str">
        <x:f>'Research &amp; Analysis'!F113</x:f>
        <x:v>Meet with SMEs to gain business insight and clarify questions</x:v>
      </x:c>
      <x:c r="H841" s="2" t="str">
        <x:f>IF('Research &amp; Analysis'!G113="","",'Research &amp; Analysis'!G113)</x:f>
      </x:c>
      <x:c r="I841" s="12" t="str">
        <x:f>IF('Research &amp; Analysis'!H113="","",'Research &amp; Analysis'!H113)</x:f>
      </x:c>
      <x:c r="J841" s="12" t="n">
        <x:f>IF('Research &amp; Analysis'!I113="","",'Research &amp; Analysis'!I113)</x:f>
        <x:v>46112</x:v>
      </x:c>
      <x:c r="K841" s="12" t="str">
        <x:f>IF('Research &amp; Analysis'!J113="","",'Research &amp; Analysis'!J113)</x:f>
      </x:c>
      <x:c r="L841" s="2" t="str">
        <x:f>IF('Research &amp; Analysis'!K113="","",'Research &amp; Analysis'!K113)</x:f>
      </x:c>
      <x:c r="M841" s="2" t="n">
        <x:f>'Research &amp; Analysis'!Q113</x:f>
        <x:v>1</x:v>
      </x:c>
      <x:c r="N841" s="2" t="str">
        <x:f>'Research &amp; Analysis'!L113</x:f>
        <x:v>Not started</x:v>
      </x:c>
      <x:c r="O841" s="2" t="str">
        <x:f>'Research &amp; Analysis'!N113</x:f>
        <x:v>RA.FC.2.3.2026.CY1</x:v>
      </x:c>
      <x:c r="P841" s="2" t="n">
        <x:f>'Research &amp; Analysis'!O113</x:f>
        <x:v>0</x:v>
      </x:c>
      <x:c r="Q841" s="2" t="n">
        <x:f>SUBTOTAL(103,O841)</x:f>
        <x:v>1</x:v>
      </x:c>
      <x:c r="R841" s="2" t="n">
        <x:f>IF(AND(M841=1,OR(Dashboard!$B$7="All",Dashboard!$B$7='Cycles &amp; Guide'!$C$5),OR(Dashboard!$D$7="All",Dashboard!$D$7=B841),OR(Dashboard!$F$7="All",Dashboard!$F$7=C841),OR(Dashboard!$H$7="All",Dashboard!$H$7=D841),OR(Dashboard!$K$7="All",Dashboard!$K$7=E841)),1,0)</x:f>
        <x:v>1</x:v>
      </x:c>
      <x:c r="S841" s="2" t="n">
        <x:f>IF(R841=1,SUM($R$10:R841),0)</x:f>
        <x:v>468</x:v>
      </x:c>
      <x:c r="T841" s="2" t="str">
        <x:v>Research &amp; Analysis</x:v>
      </x:c>
      <x:c r="U841" s="2" t="n">
        <x:v>113</x:v>
      </x:c>
      <x:c r="V841" s="2" t="n">
        <x:f>IF(AND(M841=1,P841=0,ISNUMBER(J841),J841&lt;TODAY()),1,0)</x:f>
        <x:v>1</x:v>
      </x:c>
      <x:c r="W841" s="2" t="str">
        <x:f>'Research &amp; Analysis'!M113</x:f>
        <x:v>Task</x:v>
      </x:c>
    </x:row>
    <x:row r="842" ht="40" customHeight="1">
      <x:c r="A842" s="3" t="str">
        <x:f>HYPERLINK("#'Research &amp; Analysis'!A114","Open")</x:f>
        <x:v>Open</x:v>
      </x:c>
      <x:c r="B842" s="2" t="str">
        <x:f>'Research &amp; Analysis'!B114</x:f>
        <x:v>Cycle 1</x:v>
      </x:c>
      <x:c r="C842" s="2" t="str">
        <x:f>'Research &amp; Analysis'!C114</x:f>
        <x:v>Phase 2</x:v>
      </x:c>
      <x:c r="D842" s="2" t="str">
        <x:f>'Research &amp; Analysis'!D114</x:f>
        <x:v>FCM</x:v>
      </x:c>
      <x:c r="E842" s="2" t="str">
        <x:v>Research &amp; Analysis</x:v>
      </x:c>
      <x:c r="F842" s="56" t="str">
        <x:f>'Research &amp; Analysis'!E114</x:f>
        <x:v>RA.FC.2.4</x:v>
      </x:c>
      <x:c r="G842" s="14" t="str">
        <x:f>'Research &amp; Analysis'!F114</x:f>
        <x:v>Establish and maintain a recurring meeting with D&amp;I to discuss Cycle progress</x:v>
      </x:c>
      <x:c r="H842" s="2" t="str">
        <x:f>IF('Research &amp; Analysis'!G114="","",'Research &amp; Analysis'!G114)</x:f>
      </x:c>
      <x:c r="I842" s="12" t="str">
        <x:f>IF('Research &amp; Analysis'!H114="","",'Research &amp; Analysis'!H114)</x:f>
      </x:c>
      <x:c r="J842" s="12" t="n">
        <x:f>IF('Research &amp; Analysis'!I114="","",'Research &amp; Analysis'!I114)</x:f>
        <x:v>46112</x:v>
      </x:c>
      <x:c r="K842" s="12" t="str">
        <x:f>IF('Research &amp; Analysis'!J114="","",'Research &amp; Analysis'!J114)</x:f>
      </x:c>
      <x:c r="L842" s="2" t="str">
        <x:f>IF('Research &amp; Analysis'!K114="","",'Research &amp; Analysis'!K114)</x:f>
      </x:c>
      <x:c r="M842" s="2" t="n">
        <x:f>'Research &amp; Analysis'!Q114</x:f>
        <x:v>1</x:v>
      </x:c>
      <x:c r="N842" s="2" t="str">
        <x:f>'Research &amp; Analysis'!L114</x:f>
        <x:v>Not started</x:v>
      </x:c>
      <x:c r="O842" s="2" t="str">
        <x:f>'Research &amp; Analysis'!N114</x:f>
        <x:v>RA.FC.2.4.2026.CY1</x:v>
      </x:c>
      <x:c r="P842" s="2" t="n">
        <x:f>'Research &amp; Analysis'!O114</x:f>
        <x:v>0</x:v>
      </x:c>
      <x:c r="Q842" s="2" t="n">
        <x:f>SUBTOTAL(103,O842)</x:f>
        <x:v>1</x:v>
      </x:c>
      <x:c r="R842" s="2" t="n">
        <x:f>IF(AND(M842=1,OR(Dashboard!$B$7="All",Dashboard!$B$7='Cycles &amp; Guide'!$C$5),OR(Dashboard!$D$7="All",Dashboard!$D$7=B842),OR(Dashboard!$F$7="All",Dashboard!$F$7=C842),OR(Dashboard!$H$7="All",Dashboard!$H$7=D842),OR(Dashboard!$K$7="All",Dashboard!$K$7=E842)),1,0)</x:f>
        <x:v>1</x:v>
      </x:c>
      <x:c r="S842" s="2" t="n">
        <x:f>IF(R842=1,SUM($R$10:R842),0)</x:f>
        <x:v>469</x:v>
      </x:c>
      <x:c r="T842" s="2" t="str">
        <x:v>Research &amp; Analysis</x:v>
      </x:c>
      <x:c r="U842" s="2" t="n">
        <x:v>114</x:v>
      </x:c>
      <x:c r="V842" s="2" t="n">
        <x:f>IF(AND(M842=1,P842=0,ISNUMBER(J842),J842&lt;TODAY()),1,0)</x:f>
        <x:v>1</x:v>
      </x:c>
      <x:c r="W842" s="2" t="str">
        <x:f>'Research &amp; Analysis'!M114</x:f>
        <x:v>Task</x:v>
      </x:c>
    </x:row>
    <x:row r="843" ht="40" customHeight="1">
      <x:c r="A843" s="3" t="str">
        <x:f>HYPERLINK("#'Research &amp; Analysis'!A115","Open")</x:f>
        <x:v>Open</x:v>
      </x:c>
      <x:c r="B843" s="2" t="str">
        <x:f>'Research &amp; Analysis'!B115</x:f>
        <x:v>Cycle 1</x:v>
      </x:c>
      <x:c r="C843" s="2" t="str">
        <x:f>'Research &amp; Analysis'!C115</x:f>
        <x:v>Phase 2</x:v>
      </x:c>
      <x:c r="D843" s="2" t="str">
        <x:f>'Research &amp; Analysis'!D115</x:f>
        <x:v>FCM</x:v>
      </x:c>
      <x:c r="E843" s="2" t="str">
        <x:v>Research &amp; Analysis</x:v>
      </x:c>
      <x:c r="F843" s="56" t="str">
        <x:f>'Research &amp; Analysis'!E115</x:f>
        <x:v>RA.FC.2.5</x:v>
      </x:c>
      <x:c r="G843" s="14" t="str">
        <x:f>'Research &amp; Analysis'!F115</x:f>
        <x:v>Perform data testing and sampling</x:v>
      </x:c>
      <x:c r="H843" s="2" t="str">
        <x:f>IF('Research &amp; Analysis'!G115="","",'Research &amp; Analysis'!G115)</x:f>
      </x:c>
      <x:c r="I843" s="12" t="str">
        <x:f>IF('Research &amp; Analysis'!H115="","",'Research &amp; Analysis'!H115)</x:f>
      </x:c>
      <x:c r="J843" s="12" t="n">
        <x:f>IF('Research &amp; Analysis'!I115="","",'Research &amp; Analysis'!I115)</x:f>
        <x:v>46112</x:v>
      </x:c>
      <x:c r="K843" s="12" t="str">
        <x:f>IF('Research &amp; Analysis'!J115="","",'Research &amp; Analysis'!J115)</x:f>
      </x:c>
      <x:c r="L843" s="2" t="str">
        <x:f>IF('Research &amp; Analysis'!K115="","",'Research &amp; Analysis'!K115)</x:f>
      </x:c>
      <x:c r="M843" s="2" t="n">
        <x:f>'Research &amp; Analysis'!Q115</x:f>
        <x:v>1</x:v>
      </x:c>
      <x:c r="N843" s="2" t="str">
        <x:f>'Research &amp; Analysis'!L115</x:f>
        <x:v>Not started</x:v>
      </x:c>
      <x:c r="O843" s="2" t="str">
        <x:f>'Research &amp; Analysis'!N115</x:f>
        <x:v>RA.FC.2.5.2026.CY1</x:v>
      </x:c>
      <x:c r="P843" s="2" t="n">
        <x:f>'Research &amp; Analysis'!O115</x:f>
        <x:v>0</x:v>
      </x:c>
      <x:c r="Q843" s="2" t="n">
        <x:f>SUBTOTAL(103,O843)</x:f>
        <x:v>1</x:v>
      </x:c>
      <x:c r="R843" s="2" t="n">
        <x:f>IF(AND(M843=1,OR(Dashboard!$B$7="All",Dashboard!$B$7='Cycles &amp; Guide'!$C$5),OR(Dashboard!$D$7="All",Dashboard!$D$7=B843),OR(Dashboard!$F$7="All",Dashboard!$F$7=C843),OR(Dashboard!$H$7="All",Dashboard!$H$7=D843),OR(Dashboard!$K$7="All",Dashboard!$K$7=E843)),1,0)</x:f>
        <x:v>1</x:v>
      </x:c>
      <x:c r="S843" s="2" t="n">
        <x:f>IF(R843=1,SUM($R$10:R843),0)</x:f>
        <x:v>470</x:v>
      </x:c>
      <x:c r="T843" s="2" t="str">
        <x:v>Research &amp; Analysis</x:v>
      </x:c>
      <x:c r="U843" s="2" t="n">
        <x:v>115</x:v>
      </x:c>
      <x:c r="V843" s="2" t="n">
        <x:f>IF(AND(M843=1,P843=0,ISNUMBER(J843),J843&lt;TODAY()),1,0)</x:f>
        <x:v>1</x:v>
      </x:c>
      <x:c r="W843" s="2" t="str">
        <x:f>'Research &amp; Analysis'!M115</x:f>
        <x:v>Task</x:v>
      </x:c>
    </x:row>
    <x:row r="844" ht="40" customHeight="1">
      <x:c r="A844" s="3" t="str">
        <x:f>HYPERLINK("#'Research &amp; Analysis'!A116","Open")</x:f>
        <x:v>Open</x:v>
      </x:c>
      <x:c r="B844" s="2" t="str">
        <x:f>'Research &amp; Analysis'!B116</x:f>
        <x:v>Cycle 1</x:v>
      </x:c>
      <x:c r="C844" s="2" t="str">
        <x:f>'Research &amp; Analysis'!C116</x:f>
        <x:v>Phase 2</x:v>
      </x:c>
      <x:c r="D844" s="2" t="str">
        <x:f>'Research &amp; Analysis'!D116</x:f>
        <x:v>FCM</x:v>
      </x:c>
      <x:c r="E844" s="2" t="str">
        <x:v>Research &amp; Analysis</x:v>
      </x:c>
      <x:c r="F844" s="56" t="str">
        <x:f>'Research &amp; Analysis'!E116</x:f>
        <x:v>RA.FC.2.6</x:v>
      </x:c>
      <x:c r="G844" s="14" t="str">
        <x:f>'Research &amp; Analysis'!F116</x:f>
        <x:v>Complete Positive Testing</x:v>
      </x:c>
      <x:c r="H844" s="2" t="str">
        <x:f>IF('Research &amp; Analysis'!G116="","",'Research &amp; Analysis'!G116)</x:f>
      </x:c>
      <x:c r="I844" s="12" t="str">
        <x:f>IF('Research &amp; Analysis'!H116="","",'Research &amp; Analysis'!H116)</x:f>
      </x:c>
      <x:c r="J844" s="12" t="n">
        <x:f>IF('Research &amp; Analysis'!I116="","",'Research &amp; Analysis'!I116)</x:f>
        <x:v>46112</x:v>
      </x:c>
      <x:c r="K844" s="12" t="str">
        <x:f>IF('Research &amp; Analysis'!J116="","",'Research &amp; Analysis'!J116)</x:f>
      </x:c>
      <x:c r="L844" s="2" t="str">
        <x:f>IF('Research &amp; Analysis'!K116="","",'Research &amp; Analysis'!K116)</x:f>
      </x:c>
      <x:c r="M844" s="2" t="n">
        <x:f>'Research &amp; Analysis'!Q116</x:f>
        <x:v>1</x:v>
      </x:c>
      <x:c r="N844" s="2" t="str">
        <x:f>'Research &amp; Analysis'!L116</x:f>
        <x:v>Not started</x:v>
      </x:c>
      <x:c r="O844" s="2" t="str">
        <x:f>'Research &amp; Analysis'!N116</x:f>
        <x:v>RA.FC.2.6.2026.CY1</x:v>
      </x:c>
      <x:c r="P844" s="2" t="n">
        <x:f>'Research &amp; Analysis'!O116</x:f>
        <x:v>0</x:v>
      </x:c>
      <x:c r="Q844" s="2" t="n">
        <x:f>SUBTOTAL(103,O844)</x:f>
        <x:v>1</x:v>
      </x:c>
      <x:c r="R844" s="2" t="n">
        <x:f>IF(AND(M844=1,OR(Dashboard!$B$7="All",Dashboard!$B$7='Cycles &amp; Guide'!$C$5),OR(Dashboard!$D$7="All",Dashboard!$D$7=B844),OR(Dashboard!$F$7="All",Dashboard!$F$7=C844),OR(Dashboard!$H$7="All",Dashboard!$H$7=D844),OR(Dashboard!$K$7="All",Dashboard!$K$7=E844)),1,0)</x:f>
        <x:v>1</x:v>
      </x:c>
      <x:c r="S844" s="2" t="n">
        <x:f>IF(R844=1,SUM($R$10:R844),0)</x:f>
        <x:v>471</x:v>
      </x:c>
      <x:c r="T844" s="2" t="str">
        <x:v>Research &amp; Analysis</x:v>
      </x:c>
      <x:c r="U844" s="2" t="n">
        <x:v>116</x:v>
      </x:c>
      <x:c r="V844" s="2" t="n">
        <x:f>IF(AND(M844=1,P844=0,ISNUMBER(J844),J844&lt;TODAY()),1,0)</x:f>
        <x:v>1</x:v>
      </x:c>
      <x:c r="W844" s="2" t="str">
        <x:f>'Research &amp; Analysis'!M116</x:f>
        <x:v>Task</x:v>
      </x:c>
    </x:row>
    <x:row r="845" ht="40" customHeight="1">
      <x:c r="A845" s="3" t="str">
        <x:f>HYPERLINK("#'Research &amp; Analysis'!A117","Open")</x:f>
        <x:v>Open</x:v>
      </x:c>
      <x:c r="B845" s="2" t="str">
        <x:f>'Research &amp; Analysis'!B117</x:f>
        <x:v>Cycle 1</x:v>
      </x:c>
      <x:c r="C845" s="2" t="str">
        <x:f>'Research &amp; Analysis'!C117</x:f>
        <x:v>Phase 2</x:v>
      </x:c>
      <x:c r="D845" s="2" t="str">
        <x:f>'Research &amp; Analysis'!D117</x:f>
        <x:v>FCM</x:v>
      </x:c>
      <x:c r="E845" s="2" t="str">
        <x:v>Research &amp; Analysis</x:v>
      </x:c>
      <x:c r="F845" s="56" t="str">
        <x:f>'Research &amp; Analysis'!E117</x:f>
        <x:v>RA.FC.2.7</x:v>
      </x:c>
      <x:c r="G845" s="14" t="str">
        <x:f>'Research &amp; Analysis'!F117</x:f>
        <x:v>Complete Negative Testing</x:v>
      </x:c>
      <x:c r="H845" s="2" t="str">
        <x:f>IF('Research &amp; Analysis'!G117="","",'Research &amp; Analysis'!G117)</x:f>
      </x:c>
      <x:c r="I845" s="12" t="str">
        <x:f>IF('Research &amp; Analysis'!H117="","",'Research &amp; Analysis'!H117)</x:f>
      </x:c>
      <x:c r="J845" s="12" t="n">
        <x:f>IF('Research &amp; Analysis'!I117="","",'Research &amp; Analysis'!I117)</x:f>
        <x:v>46112</x:v>
      </x:c>
      <x:c r="K845" s="12" t="str">
        <x:f>IF('Research &amp; Analysis'!J117="","",'Research &amp; Analysis'!J117)</x:f>
      </x:c>
      <x:c r="L845" s="2" t="str">
        <x:f>IF('Research &amp; Analysis'!K117="","",'Research &amp; Analysis'!K117)</x:f>
      </x:c>
      <x:c r="M845" s="2" t="n">
        <x:f>'Research &amp; Analysis'!Q117</x:f>
        <x:v>1</x:v>
      </x:c>
      <x:c r="N845" s="2" t="str">
        <x:f>'Research &amp; Analysis'!L117</x:f>
        <x:v>Not started</x:v>
      </x:c>
      <x:c r="O845" s="2" t="str">
        <x:f>'Research &amp; Analysis'!N117</x:f>
        <x:v>RA.FC.2.7.2026.CY1</x:v>
      </x:c>
      <x:c r="P845" s="2" t="n">
        <x:f>'Research &amp; Analysis'!O117</x:f>
        <x:v>0</x:v>
      </x:c>
      <x:c r="Q845" s="2" t="n">
        <x:f>SUBTOTAL(103,O845)</x:f>
        <x:v>1</x:v>
      </x:c>
      <x:c r="R845" s="2" t="n">
        <x:f>IF(AND(M845=1,OR(Dashboard!$B$7="All",Dashboard!$B$7='Cycles &amp; Guide'!$C$5),OR(Dashboard!$D$7="All",Dashboard!$D$7=B845),OR(Dashboard!$F$7="All",Dashboard!$F$7=C845),OR(Dashboard!$H$7="All",Dashboard!$H$7=D845),OR(Dashboard!$K$7="All",Dashboard!$K$7=E845)),1,0)</x:f>
        <x:v>1</x:v>
      </x:c>
      <x:c r="S845" s="2" t="n">
        <x:f>IF(R845=1,SUM($R$10:R845),0)</x:f>
        <x:v>472</x:v>
      </x:c>
      <x:c r="T845" s="2" t="str">
        <x:v>Research &amp; Analysis</x:v>
      </x:c>
      <x:c r="U845" s="2" t="n">
        <x:v>117</x:v>
      </x:c>
      <x:c r="V845" s="2" t="n">
        <x:f>IF(AND(M845=1,P845=0,ISNUMBER(J845),J845&lt;TODAY()),1,0)</x:f>
        <x:v>1</x:v>
      </x:c>
      <x:c r="W845" s="2" t="str">
        <x:f>'Research &amp; Analysis'!M117</x:f>
        <x:v>Task</x:v>
      </x:c>
    </x:row>
    <x:row r="846" ht="40" customHeight="1">
      <x:c r="A846" s="3" t="str">
        <x:f>HYPERLINK("#'Research &amp; Analysis'!A118","Open")</x:f>
        <x:v>Open</x:v>
      </x:c>
      <x:c r="B846" s="2" t="str">
        <x:f>'Research &amp; Analysis'!B118</x:f>
        <x:v>Cycle 1</x:v>
      </x:c>
      <x:c r="C846" s="2" t="str">
        <x:f>'Research &amp; Analysis'!C118</x:f>
        <x:v>Phase 2</x:v>
      </x:c>
      <x:c r="D846" s="2" t="str">
        <x:f>'Research &amp; Analysis'!D118</x:f>
        <x:v>FCM</x:v>
      </x:c>
      <x:c r="E846" s="2" t="str">
        <x:v>Research &amp; Analysis</x:v>
      </x:c>
      <x:c r="F846" s="56" t="str">
        <x:f>'Research &amp; Analysis'!E118</x:f>
        <x:v>RA.FC.2.8</x:v>
      </x:c>
      <x:c r="G846" s="14" t="str">
        <x:f>'Research &amp; Analysis'!F118</x:f>
        <x:v>Request additional data (as needed)</x:v>
      </x:c>
      <x:c r="H846" s="2" t="str">
        <x:f>IF('Research &amp; Analysis'!G118="","",'Research &amp; Analysis'!G118)</x:f>
      </x:c>
      <x:c r="I846" s="12" t="str">
        <x:f>IF('Research &amp; Analysis'!H118="","",'Research &amp; Analysis'!H118)</x:f>
      </x:c>
      <x:c r="J846" s="12" t="n">
        <x:f>IF('Research &amp; Analysis'!I118="","",'Research &amp; Analysis'!I118)</x:f>
        <x:v>46112</x:v>
      </x:c>
      <x:c r="K846" s="12" t="str">
        <x:f>IF('Research &amp; Analysis'!J118="","",'Research &amp; Analysis'!J118)</x:f>
      </x:c>
      <x:c r="L846" s="2" t="str">
        <x:f>IF('Research &amp; Analysis'!K118="","",'Research &amp; Analysis'!K118)</x:f>
      </x:c>
      <x:c r="M846" s="2" t="n">
        <x:f>'Research &amp; Analysis'!Q118</x:f>
        <x:v>1</x:v>
      </x:c>
      <x:c r="N846" s="2" t="str">
        <x:f>'Research &amp; Analysis'!L118</x:f>
        <x:v>Not started</x:v>
      </x:c>
      <x:c r="O846" s="2" t="str">
        <x:f>'Research &amp; Analysis'!N118</x:f>
        <x:v>RA.FC.2.8.2026.CY1</x:v>
      </x:c>
      <x:c r="P846" s="2" t="n">
        <x:f>'Research &amp; Analysis'!O118</x:f>
        <x:v>0</x:v>
      </x:c>
      <x:c r="Q846" s="2" t="n">
        <x:f>SUBTOTAL(103,O846)</x:f>
        <x:v>1</x:v>
      </x:c>
      <x:c r="R846" s="2" t="n">
        <x:f>IF(AND(M846=1,OR(Dashboard!$B$7="All",Dashboard!$B$7='Cycles &amp; Guide'!$C$5),OR(Dashboard!$D$7="All",Dashboard!$D$7=B846),OR(Dashboard!$F$7="All",Dashboard!$F$7=C846),OR(Dashboard!$H$7="All",Dashboard!$H$7=D846),OR(Dashboard!$K$7="All",Dashboard!$K$7=E846)),1,0)</x:f>
        <x:v>1</x:v>
      </x:c>
      <x:c r="S846" s="2" t="n">
        <x:f>IF(R846=1,SUM($R$10:R846),0)</x:f>
        <x:v>473</x:v>
      </x:c>
      <x:c r="T846" s="2" t="str">
        <x:v>Research &amp; Analysis</x:v>
      </x:c>
      <x:c r="U846" s="2" t="n">
        <x:v>118</x:v>
      </x:c>
      <x:c r="V846" s="2" t="n">
        <x:f>IF(AND(M846=1,P846=0,ISNUMBER(J846),J846&lt;TODAY()),1,0)</x:f>
        <x:v>1</x:v>
      </x:c>
      <x:c r="W846" s="2" t="str">
        <x:f>'Research &amp; Analysis'!M118</x:f>
        <x:v>Task</x:v>
      </x:c>
    </x:row>
    <x:row r="847" ht="40" customHeight="1">
      <x:c r="A847" s="3" t="str">
        <x:f>HYPERLINK("#'Research &amp; Analysis'!A119","Open")</x:f>
        <x:v>Open</x:v>
      </x:c>
      <x:c r="B847" s="2" t="str">
        <x:f>'Research &amp; Analysis'!B119</x:f>
        <x:v>Cycle 1</x:v>
      </x:c>
      <x:c r="C847" s="2" t="str">
        <x:f>'Research &amp; Analysis'!C119</x:f>
        <x:v>Phase 2</x:v>
      </x:c>
      <x:c r="D847" s="2" t="str">
        <x:f>'Research &amp; Analysis'!D119</x:f>
        <x:v>FCM</x:v>
      </x:c>
      <x:c r="E847" s="2" t="str">
        <x:v>Research &amp; Analysis</x:v>
      </x:c>
      <x:c r="F847" s="56" t="str">
        <x:f>'Research &amp; Analysis'!E119</x:f>
        <x:v>RA.FC.2.9</x:v>
      </x:c>
      <x:c r="G847" s="14" t="str">
        <x:f>'Research &amp; Analysis'!F119</x:f>
        <x:v>Validate or disprove initial hypothesis assumptions</x:v>
      </x:c>
      <x:c r="H847" s="2" t="str">
        <x:f>IF('Research &amp; Analysis'!G119="","",'Research &amp; Analysis'!G119)</x:f>
      </x:c>
      <x:c r="I847" s="12" t="str">
        <x:f>IF('Research &amp; Analysis'!H119="","",'Research &amp; Analysis'!H119)</x:f>
      </x:c>
      <x:c r="J847" s="12" t="n">
        <x:f>IF('Research &amp; Analysis'!I119="","",'Research &amp; Analysis'!I119)</x:f>
        <x:v>46112</x:v>
      </x:c>
      <x:c r="K847" s="12" t="str">
        <x:f>IF('Research &amp; Analysis'!J119="","",'Research &amp; Analysis'!J119)</x:f>
      </x:c>
      <x:c r="L847" s="2" t="str">
        <x:f>IF('Research &amp; Analysis'!K119="","",'Research &amp; Analysis'!K119)</x:f>
      </x:c>
      <x:c r="M847" s="2" t="n">
        <x:f>'Research &amp; Analysis'!Q119</x:f>
        <x:v>1</x:v>
      </x:c>
      <x:c r="N847" s="2" t="str">
        <x:f>'Research &amp; Analysis'!L119</x:f>
        <x:v>Not started</x:v>
      </x:c>
      <x:c r="O847" s="2" t="str">
        <x:f>'Research &amp; Analysis'!N119</x:f>
        <x:v>RA.FC.2.9.2026.CY1</x:v>
      </x:c>
      <x:c r="P847" s="2" t="n">
        <x:f>'Research &amp; Analysis'!O119</x:f>
        <x:v>0</x:v>
      </x:c>
      <x:c r="Q847" s="2" t="n">
        <x:f>SUBTOTAL(103,O847)</x:f>
        <x:v>1</x:v>
      </x:c>
      <x:c r="R847" s="2" t="n">
        <x:f>IF(AND(M847=1,OR(Dashboard!$B$7="All",Dashboard!$B$7='Cycles &amp; Guide'!$C$5),OR(Dashboard!$D$7="All",Dashboard!$D$7=B847),OR(Dashboard!$F$7="All",Dashboard!$F$7=C847),OR(Dashboard!$H$7="All",Dashboard!$H$7=D847),OR(Dashboard!$K$7="All",Dashboard!$K$7=E847)),1,0)</x:f>
        <x:v>1</x:v>
      </x:c>
      <x:c r="S847" s="2" t="n">
        <x:f>IF(R847=1,SUM($R$10:R847),0)</x:f>
        <x:v>474</x:v>
      </x:c>
      <x:c r="T847" s="2" t="str">
        <x:v>Research &amp; Analysis</x:v>
      </x:c>
      <x:c r="U847" s="2" t="n">
        <x:v>119</x:v>
      </x:c>
      <x:c r="V847" s="2" t="n">
        <x:f>IF(AND(M847=1,P847=0,ISNUMBER(J847),J847&lt;TODAY()),1,0)</x:f>
        <x:v>1</x:v>
      </x:c>
      <x:c r="W847" s="2" t="str">
        <x:f>'Research &amp; Analysis'!M119</x:f>
        <x:v>Task</x:v>
      </x:c>
    </x:row>
    <x:row r="848" ht="40" customHeight="1">
      <x:c r="A848" s="3" t="str">
        <x:f>HYPERLINK("#'Research &amp; Analysis'!A120","Open")</x:f>
        <x:v>Open</x:v>
      </x:c>
      <x:c r="B848" s="2" t="str">
        <x:f>'Research &amp; Analysis'!B120</x:f>
        <x:v>Cycle 1</x:v>
      </x:c>
      <x:c r="C848" s="2" t="str">
        <x:f>'Research &amp; Analysis'!C120</x:f>
        <x:v>Phase 2</x:v>
      </x:c>
      <x:c r="D848" s="2" t="str">
        <x:f>'Research &amp; Analysis'!D120</x:f>
        <x:v>FCM</x:v>
      </x:c>
      <x:c r="E848" s="2" t="str">
        <x:v>Research &amp; Analysis</x:v>
      </x:c>
      <x:c r="F848" s="56" t="str">
        <x:f>'Research &amp; Analysis'!E120</x:f>
        <x:v>RA.FC.2.10</x:v>
      </x:c>
      <x:c r="G848" s="14" t="str">
        <x:f>'Research &amp; Analysis'!F120</x:f>
        <x:v>Identify and confirm root cause</x:v>
      </x:c>
      <x:c r="H848" s="2" t="str">
        <x:f>IF('Research &amp; Analysis'!G120="","",'Research &amp; Analysis'!G120)</x:f>
      </x:c>
      <x:c r="I848" s="12" t="str">
        <x:f>IF('Research &amp; Analysis'!H120="","",'Research &amp; Analysis'!H120)</x:f>
      </x:c>
      <x:c r="J848" s="12" t="n">
        <x:f>IF('Research &amp; Analysis'!I120="","",'Research &amp; Analysis'!I120)</x:f>
        <x:v>46112</x:v>
      </x:c>
      <x:c r="K848" s="12" t="str">
        <x:f>IF('Research &amp; Analysis'!J120="","",'Research &amp; Analysis'!J120)</x:f>
      </x:c>
      <x:c r="L848" s="2" t="str">
        <x:f>IF('Research &amp; Analysis'!K120="","",'Research &amp; Analysis'!K120)</x:f>
      </x:c>
      <x:c r="M848" s="2" t="n">
        <x:f>'Research &amp; Analysis'!Q120</x:f>
        <x:v>1</x:v>
      </x:c>
      <x:c r="N848" s="2" t="str">
        <x:f>'Research &amp; Analysis'!L120</x:f>
        <x:v>Not started</x:v>
      </x:c>
      <x:c r="O848" s="2" t="str">
        <x:f>'Research &amp; Analysis'!N120</x:f>
        <x:v>RA.FC.2.10.2026.CY1</x:v>
      </x:c>
      <x:c r="P848" s="2" t="n">
        <x:f>'Research &amp; Analysis'!O120</x:f>
        <x:v>0</x:v>
      </x:c>
      <x:c r="Q848" s="2" t="n">
        <x:f>SUBTOTAL(103,O848)</x:f>
        <x:v>1</x:v>
      </x:c>
      <x:c r="R848" s="2" t="n">
        <x:f>IF(AND(M848=1,OR(Dashboard!$B$7="All",Dashboard!$B$7='Cycles &amp; Guide'!$C$5),OR(Dashboard!$D$7="All",Dashboard!$D$7=B848),OR(Dashboard!$F$7="All",Dashboard!$F$7=C848),OR(Dashboard!$H$7="All",Dashboard!$H$7=D848),OR(Dashboard!$K$7="All",Dashboard!$K$7=E848)),1,0)</x:f>
        <x:v>1</x:v>
      </x:c>
      <x:c r="S848" s="2" t="n">
        <x:f>IF(R848=1,SUM($R$10:R848),0)</x:f>
        <x:v>475</x:v>
      </x:c>
      <x:c r="T848" s="2" t="str">
        <x:v>Research &amp; Analysis</x:v>
      </x:c>
      <x:c r="U848" s="2" t="n">
        <x:v>120</x:v>
      </x:c>
      <x:c r="V848" s="2" t="n">
        <x:f>IF(AND(M848=1,P848=0,ISNUMBER(J848),J848&lt;TODAY()),1,0)</x:f>
        <x:v>1</x:v>
      </x:c>
      <x:c r="W848" s="2" t="str">
        <x:f>'Research &amp; Analysis'!M120</x:f>
        <x:v>Task</x:v>
      </x:c>
    </x:row>
    <x:row r="849" ht="40" customHeight="1">
      <x:c r="A849" s="3" t="str">
        <x:f>HYPERLINK("#'Research &amp; Analysis'!A121","Open")</x:f>
        <x:v>Open</x:v>
      </x:c>
      <x:c r="B849" s="2" t="str">
        <x:f>'Research &amp; Analysis'!B121</x:f>
        <x:v>Cycle 1</x:v>
      </x:c>
      <x:c r="C849" s="2" t="str">
        <x:f>'Research &amp; Analysis'!C121</x:f>
        <x:v>Phase 3</x:v>
      </x:c>
      <x:c r="D849" s="2" t="str">
        <x:f>'Research &amp; Analysis'!D121</x:f>
        <x:v>FCM</x:v>
      </x:c>
      <x:c r="E849" s="2" t="str">
        <x:v>Research &amp; Analysis</x:v>
      </x:c>
      <x:c r="F849" s="56" t="str">
        <x:f>'Research &amp; Analysis'!E121</x:f>
        <x:v>RA.FC.3.1</x:v>
      </x:c>
      <x:c r="G849" s="14" t="str">
        <x:f>'Research &amp; Analysis'!F121</x:f>
        <x:v>Finalize results and supporting documentation</x:v>
      </x:c>
      <x:c r="H849" s="2" t="str">
        <x:f>IF('Research &amp; Analysis'!G121="","",'Research &amp; Analysis'!G121)</x:f>
      </x:c>
      <x:c r="I849" s="12" t="str">
        <x:f>IF('Research &amp; Analysis'!H121="","",'Research &amp; Analysis'!H121)</x:f>
      </x:c>
      <x:c r="J849" s="12" t="n">
        <x:f>IF('Research &amp; Analysis'!I121="","",'Research &amp; Analysis'!I121)</x:f>
        <x:v>46112</x:v>
      </x:c>
      <x:c r="K849" s="12" t="str">
        <x:f>IF('Research &amp; Analysis'!J121="","",'Research &amp; Analysis'!J121)</x:f>
      </x:c>
      <x:c r="L849" s="2" t="str">
        <x:f>IF('Research &amp; Analysis'!K121="","",'Research &amp; Analysis'!K121)</x:f>
      </x:c>
      <x:c r="M849" s="2" t="n">
        <x:f>'Research &amp; Analysis'!Q121</x:f>
        <x:v>1</x:v>
      </x:c>
      <x:c r="N849" s="2" t="str">
        <x:f>'Research &amp; Analysis'!L121</x:f>
        <x:v>Not started</x:v>
      </x:c>
      <x:c r="O849" s="2" t="str">
        <x:f>'Research &amp; Analysis'!N121</x:f>
        <x:v>RA.FC.3.1.2026.CY1</x:v>
      </x:c>
      <x:c r="P849" s="2" t="n">
        <x:f>'Research &amp; Analysis'!O121</x:f>
        <x:v>0</x:v>
      </x:c>
      <x:c r="Q849" s="2" t="n">
        <x:f>SUBTOTAL(103,O849)</x:f>
        <x:v>1</x:v>
      </x:c>
      <x:c r="R849" s="2" t="n">
        <x:f>IF(AND(M849=1,OR(Dashboard!$B$7="All",Dashboard!$B$7='Cycles &amp; Guide'!$C$5),OR(Dashboard!$D$7="All",Dashboard!$D$7=B849),OR(Dashboard!$F$7="All",Dashboard!$F$7=C849),OR(Dashboard!$H$7="All",Dashboard!$H$7=D849),OR(Dashboard!$K$7="All",Dashboard!$K$7=E849)),1,0)</x:f>
        <x:v>1</x:v>
      </x:c>
      <x:c r="S849" s="2" t="n">
        <x:f>IF(R849=1,SUM($R$10:R849),0)</x:f>
        <x:v>476</x:v>
      </x:c>
      <x:c r="T849" s="2" t="str">
        <x:v>Research &amp; Analysis</x:v>
      </x:c>
      <x:c r="U849" s="2" t="n">
        <x:v>121</x:v>
      </x:c>
      <x:c r="V849" s="2" t="n">
        <x:f>IF(AND(M849=1,P849=0,ISNUMBER(J849),J849&lt;TODAY()),1,0)</x:f>
        <x:v>1</x:v>
      </x:c>
      <x:c r="W849" s="2" t="str">
        <x:f>'Research &amp; Analysis'!M121</x:f>
        <x:v>Task</x:v>
      </x:c>
    </x:row>
    <x:row r="850" ht="40" customHeight="1">
      <x:c r="A850" s="3" t="str">
        <x:f>HYPERLINK("#'Research &amp; Analysis'!A122","Open")</x:f>
        <x:v>Open</x:v>
      </x:c>
      <x:c r="B850" s="2" t="str">
        <x:f>'Research &amp; Analysis'!B122</x:f>
        <x:v>Cycle 1</x:v>
      </x:c>
      <x:c r="C850" s="2" t="str">
        <x:f>'Research &amp; Analysis'!C122</x:f>
        <x:v>Phase 3</x:v>
      </x:c>
      <x:c r="D850" s="2" t="str">
        <x:f>'Research &amp; Analysis'!D122</x:f>
        <x:v>FCM</x:v>
      </x:c>
      <x:c r="E850" s="2" t="str">
        <x:v>Research &amp; Analysis</x:v>
      </x:c>
      <x:c r="F850" s="56" t="str">
        <x:f>'Research &amp; Analysis'!E122</x:f>
        <x:v>RA.FC.3.2</x:v>
      </x:c>
      <x:c r="G850" s="14" t="str">
        <x:f>'Research &amp; Analysis'!F122</x:f>
        <x:v>Maintain and update the evidence package prior to handoff to D&amp;I</x:v>
      </x:c>
      <x:c r="H850" s="2" t="str">
        <x:f>IF('Research &amp; Analysis'!G122="","",'Research &amp; Analysis'!G122)</x:f>
      </x:c>
      <x:c r="I850" s="12" t="str">
        <x:f>IF('Research &amp; Analysis'!H122="","",'Research &amp; Analysis'!H122)</x:f>
      </x:c>
      <x:c r="J850" s="12" t="n">
        <x:f>IF('Research &amp; Analysis'!I122="","",'Research &amp; Analysis'!I122)</x:f>
        <x:v>46112</x:v>
      </x:c>
      <x:c r="K850" s="12" t="str">
        <x:f>IF('Research &amp; Analysis'!J122="","",'Research &amp; Analysis'!J122)</x:f>
      </x:c>
      <x:c r="L850" s="2" t="str">
        <x:f>IF('Research &amp; Analysis'!K122="","",'Research &amp; Analysis'!K122)</x:f>
      </x:c>
      <x:c r="M850" s="2" t="n">
        <x:f>'Research &amp; Analysis'!Q122</x:f>
        <x:v>1</x:v>
      </x:c>
      <x:c r="N850" s="2" t="str">
        <x:f>'Research &amp; Analysis'!L122</x:f>
        <x:v>Not started</x:v>
      </x:c>
      <x:c r="O850" s="2" t="str">
        <x:f>'Research &amp; Analysis'!N122</x:f>
        <x:v>RA.FC.3.2.2026.CY1</x:v>
      </x:c>
      <x:c r="P850" s="2" t="n">
        <x:f>'Research &amp; Analysis'!O122</x:f>
        <x:v>0</x:v>
      </x:c>
      <x:c r="Q850" s="2" t="n">
        <x:f>SUBTOTAL(103,O850)</x:f>
        <x:v>1</x:v>
      </x:c>
      <x:c r="R850" s="2" t="n">
        <x:f>IF(AND(M850=1,OR(Dashboard!$B$7="All",Dashboard!$B$7='Cycles &amp; Guide'!$C$5),OR(Dashboard!$D$7="All",Dashboard!$D$7=B850),OR(Dashboard!$F$7="All",Dashboard!$F$7=C850),OR(Dashboard!$H$7="All",Dashboard!$H$7=D850),OR(Dashboard!$K$7="All",Dashboard!$K$7=E850)),1,0)</x:f>
        <x:v>1</x:v>
      </x:c>
      <x:c r="S850" s="2" t="n">
        <x:f>IF(R850=1,SUM($R$10:R850),0)</x:f>
        <x:v>477</x:v>
      </x:c>
      <x:c r="T850" s="2" t="str">
        <x:v>Research &amp; Analysis</x:v>
      </x:c>
      <x:c r="U850" s="2" t="n">
        <x:v>122</x:v>
      </x:c>
      <x:c r="V850" s="2" t="n">
        <x:f>IF(AND(M850=1,P850=0,ISNUMBER(J850),J850&lt;TODAY()),1,0)</x:f>
        <x:v>1</x:v>
      </x:c>
      <x:c r="W850" s="2" t="str">
        <x:f>'Research &amp; Analysis'!M122</x:f>
        <x:v>Task</x:v>
      </x:c>
    </x:row>
    <x:row r="851" ht="40" customHeight="1">
      <x:c r="A851" s="3" t="str">
        <x:f>HYPERLINK("#'Research &amp; Analysis'!A123","Open")</x:f>
        <x:v>Open</x:v>
      </x:c>
      <x:c r="B851" s="2" t="str">
        <x:f>'Research &amp; Analysis'!B123</x:f>
        <x:v>Cycle 1</x:v>
      </x:c>
      <x:c r="C851" s="2" t="str">
        <x:f>'Research &amp; Analysis'!C123</x:f>
        <x:v>Phase 3</x:v>
      </x:c>
      <x:c r="D851" s="2" t="str">
        <x:f>'Research &amp; Analysis'!D123</x:f>
        <x:v>FCM</x:v>
      </x:c>
      <x:c r="E851" s="2" t="str">
        <x:v>Research &amp; Analysis</x:v>
      </x:c>
      <x:c r="F851" s="56" t="str">
        <x:f>'Research &amp; Analysis'!E123</x:f>
        <x:v>RA.FC.3.3</x:v>
      </x:c>
      <x:c r="G851" s="14" t="str">
        <x:f>'Research &amp; Analysis'!F123</x:f>
        <x:v>Address any outstanding questions or requests from D&amp;I</x:v>
      </x:c>
      <x:c r="H851" s="2" t="str">
        <x:f>IF('Research &amp; Analysis'!G123="","",'Research &amp; Analysis'!G123)</x:f>
      </x:c>
      <x:c r="I851" s="12" t="str">
        <x:f>IF('Research &amp; Analysis'!H123="","",'Research &amp; Analysis'!H123)</x:f>
      </x:c>
      <x:c r="J851" s="12" t="n">
        <x:f>IF('Research &amp; Analysis'!I123="","",'Research &amp; Analysis'!I123)</x:f>
        <x:v>46112</x:v>
      </x:c>
      <x:c r="K851" s="12" t="str">
        <x:f>IF('Research &amp; Analysis'!J123="","",'Research &amp; Analysis'!J123)</x:f>
      </x:c>
      <x:c r="L851" s="2" t="str">
        <x:f>IF('Research &amp; Analysis'!K123="","",'Research &amp; Analysis'!K123)</x:f>
      </x:c>
      <x:c r="M851" s="2" t="n">
        <x:f>'Research &amp; Analysis'!Q123</x:f>
        <x:v>1</x:v>
      </x:c>
      <x:c r="N851" s="2" t="str">
        <x:f>'Research &amp; Analysis'!L123</x:f>
        <x:v>Not started</x:v>
      </x:c>
      <x:c r="O851" s="2" t="str">
        <x:f>'Research &amp; Analysis'!N123</x:f>
        <x:v>RA.FC.3.3.2026.CY1</x:v>
      </x:c>
      <x:c r="P851" s="2" t="n">
        <x:f>'Research &amp; Analysis'!O123</x:f>
        <x:v>0</x:v>
      </x:c>
      <x:c r="Q851" s="2" t="n">
        <x:f>SUBTOTAL(103,O851)</x:f>
        <x:v>1</x:v>
      </x:c>
      <x:c r="R851" s="2" t="n">
        <x:f>IF(AND(M851=1,OR(Dashboard!$B$7="All",Dashboard!$B$7='Cycles &amp; Guide'!$C$5),OR(Dashboard!$D$7="All",Dashboard!$D$7=B851),OR(Dashboard!$F$7="All",Dashboard!$F$7=C851),OR(Dashboard!$H$7="All",Dashboard!$H$7=D851),OR(Dashboard!$K$7="All",Dashboard!$K$7=E851)),1,0)</x:f>
        <x:v>1</x:v>
      </x:c>
      <x:c r="S851" s="2" t="n">
        <x:f>IF(R851=1,SUM($R$10:R851),0)</x:f>
        <x:v>478</x:v>
      </x:c>
      <x:c r="T851" s="2" t="str">
        <x:v>Research &amp; Analysis</x:v>
      </x:c>
      <x:c r="U851" s="2" t="n">
        <x:v>123</x:v>
      </x:c>
      <x:c r="V851" s="2" t="n">
        <x:f>IF(AND(M851=1,P851=0,ISNUMBER(J851),J851&lt;TODAY()),1,0)</x:f>
        <x:v>1</x:v>
      </x:c>
      <x:c r="W851" s="2" t="str">
        <x:f>'Research &amp; Analysis'!M123</x:f>
        <x:v>Task</x:v>
      </x:c>
    </x:row>
    <x:row r="852" ht="40" customHeight="1">
      <x:c r="A852" s="3" t="str">
        <x:f>HYPERLINK("#'Research &amp; Analysis'!A124","Open")</x:f>
        <x:v>Open</x:v>
      </x:c>
      <x:c r="B852" s="2" t="str">
        <x:f>'Research &amp; Analysis'!B124</x:f>
        <x:v>Cycle 1</x:v>
      </x:c>
      <x:c r="C852" s="2" t="str">
        <x:f>'Research &amp; Analysis'!C124</x:f>
        <x:v>Phase 3</x:v>
      </x:c>
      <x:c r="D852" s="2" t="str">
        <x:f>'Research &amp; Analysis'!D124</x:f>
        <x:v>FCM</x:v>
      </x:c>
      <x:c r="E852" s="2" t="str">
        <x:v>Research &amp; Analysis</x:v>
      </x:c>
      <x:c r="F852" s="56" t="str">
        <x:f>'Research &amp; Analysis'!E124</x:f>
        <x:v>RA.FC.3.4</x:v>
      </x:c>
      <x:c r="G852" s="14" t="str">
        <x:f>'Research &amp; Analysis'!F124</x:f>
        <x:v>Attend Forum meeting with D&amp;I to assist with answering stakeholder questions (as needed)</x:v>
      </x:c>
      <x:c r="H852" s="2" t="str">
        <x:f>IF('Research &amp; Analysis'!G124="","",'Research &amp; Analysis'!G124)</x:f>
      </x:c>
      <x:c r="I852" s="12" t="str">
        <x:f>IF('Research &amp; Analysis'!H124="","",'Research &amp; Analysis'!H124)</x:f>
      </x:c>
      <x:c r="J852" s="12" t="str">
        <x:f>IF('Research &amp; Analysis'!I124="","",'Research &amp; Analysis'!I124)</x:f>
      </x:c>
      <x:c r="K852" s="12" t="str">
        <x:f>IF('Research &amp; Analysis'!J124="","",'Research &amp; Analysis'!J124)</x:f>
      </x:c>
      <x:c r="L852" s="2" t="str">
        <x:f>IF('Research &amp; Analysis'!K124="","",'Research &amp; Analysis'!K124)</x:f>
      </x:c>
      <x:c r="M852" s="2" t="n">
        <x:f>'Research &amp; Analysis'!Q124</x:f>
        <x:v>1</x:v>
      </x:c>
      <x:c r="N852" s="2" t="str">
        <x:f>'Research &amp; Analysis'!L124</x:f>
        <x:v>Not started</x:v>
      </x:c>
      <x:c r="O852" s="2" t="str">
        <x:f>'Research &amp; Analysis'!N124</x:f>
        <x:v>RA.FC.3.4.2026.CY1</x:v>
      </x:c>
      <x:c r="P852" s="2" t="n">
        <x:f>'Research &amp; Analysis'!O124</x:f>
        <x:v>0</x:v>
      </x:c>
      <x:c r="Q852" s="2" t="n">
        <x:f>SUBTOTAL(103,O852)</x:f>
        <x:v>1</x:v>
      </x:c>
      <x:c r="R852" s="2" t="n">
        <x:f>IF(AND(M852=1,OR(Dashboard!$B$7="All",Dashboard!$B$7='Cycles &amp; Guide'!$C$5),OR(Dashboard!$D$7="All",Dashboard!$D$7=B852),OR(Dashboard!$F$7="All",Dashboard!$F$7=C852),OR(Dashboard!$H$7="All",Dashboard!$H$7=D852),OR(Dashboard!$K$7="All",Dashboard!$K$7=E852)),1,0)</x:f>
        <x:v>1</x:v>
      </x:c>
      <x:c r="S852" s="2" t="n">
        <x:f>IF(R852=1,SUM($R$10:R852),0)</x:f>
        <x:v>479</x:v>
      </x:c>
      <x:c r="T852" s="2" t="str">
        <x:v>Research &amp; Analysis</x:v>
      </x:c>
      <x:c r="U852" s="2" t="n">
        <x:v>124</x:v>
      </x:c>
      <x:c r="V852" s="2" t="n">
        <x:f>IF(AND(M852=1,P852=0,ISNUMBER(J852),J852&lt;TODAY()),1,0)</x:f>
        <x:v>0</x:v>
      </x:c>
      <x:c r="W852" s="2" t="str">
        <x:f>'Research &amp; Analysis'!M124</x:f>
        <x:v>Task</x:v>
      </x:c>
    </x:row>
    <x:row r="853" ht="40" customHeight="1">
      <x:c r="A853" s="3" t="str">
        <x:f>HYPERLINK("#'Research &amp; Analysis'!A125","Open")</x:f>
        <x:v>Open</x:v>
      </x:c>
      <x:c r="B853" s="2" t="str">
        <x:f>'Research &amp; Analysis'!B125</x:f>
        <x:v>Cycle 1</x:v>
      </x:c>
      <x:c r="C853" s="2" t="str">
        <x:f>'Research &amp; Analysis'!C125</x:f>
        <x:v>Phase 1</x:v>
      </x:c>
      <x:c r="D853" s="2" t="str">
        <x:f>'Research &amp; Analysis'!D125</x:f>
        <x:v>PLL</x:v>
      </x:c>
      <x:c r="E853" s="2" t="str">
        <x:v>Research &amp; Analysis</x:v>
      </x:c>
      <x:c r="F853" s="56" t="str">
        <x:f>'Research &amp; Analysis'!E125</x:f>
        <x:v>RA.PL.1.1</x:v>
      </x:c>
      <x:c r="G853" s="14" t="str">
        <x:f>'Research &amp; Analysis'!F125</x:f>
        <x:v>Begin Research process 2 weeks prior to Cycle start</x:v>
      </x:c>
      <x:c r="H853" s="2" t="str">
        <x:f>IF('Research &amp; Analysis'!G125="","",'Research &amp; Analysis'!G125)</x:f>
      </x:c>
      <x:c r="I853" s="12" t="str">
        <x:f>IF('Research &amp; Analysis'!H125="","",'Research &amp; Analysis'!H125)</x:f>
      </x:c>
      <x:c r="J853" s="12" t="n">
        <x:f>IF('Research &amp; Analysis'!I125="","",'Research &amp; Analysis'!I125)</x:f>
        <x:v>46009</x:v>
      </x:c>
      <x:c r="K853" s="12" t="str">
        <x:f>IF('Research &amp; Analysis'!J125="","",'Research &amp; Analysis'!J125)</x:f>
      </x:c>
      <x:c r="L853" s="2" t="str">
        <x:f>IF('Research &amp; Analysis'!K125="","",'Research &amp; Analysis'!K125)</x:f>
      </x:c>
      <x:c r="M853" s="2" t="n">
        <x:f>'Research &amp; Analysis'!Q125</x:f>
        <x:v>1</x:v>
      </x:c>
      <x:c r="N853" s="2" t="str">
        <x:f>'Research &amp; Analysis'!L125</x:f>
        <x:v>Not started</x:v>
      </x:c>
      <x:c r="O853" s="2" t="str">
        <x:f>'Research &amp; Analysis'!N125</x:f>
        <x:v>RA.PL.1.1.2026.CY1</x:v>
      </x:c>
      <x:c r="P853" s="2" t="n">
        <x:f>'Research &amp; Analysis'!O125</x:f>
        <x:v>0</x:v>
      </x:c>
      <x:c r="Q853" s="2" t="n">
        <x:f>SUBTOTAL(103,O853)</x:f>
        <x:v>1</x:v>
      </x:c>
      <x:c r="R853" s="2" t="n">
        <x:f>IF(AND(M853=1,OR(Dashboard!$B$7="All",Dashboard!$B$7='Cycles &amp; Guide'!$C$5),OR(Dashboard!$D$7="All",Dashboard!$D$7=B853),OR(Dashboard!$F$7="All",Dashboard!$F$7=C853),OR(Dashboard!$H$7="All",Dashboard!$H$7=D853),OR(Dashboard!$K$7="All",Dashboard!$K$7=E853)),1,0)</x:f>
        <x:v>1</x:v>
      </x:c>
      <x:c r="S853" s="2" t="n">
        <x:f>IF(R853=1,SUM($R$10:R853),0)</x:f>
        <x:v>480</x:v>
      </x:c>
      <x:c r="T853" s="2" t="str">
        <x:v>Research &amp; Analysis</x:v>
      </x:c>
      <x:c r="U853" s="2" t="n">
        <x:v>125</x:v>
      </x:c>
      <x:c r="V853" s="2" t="n">
        <x:f>IF(AND(M853=1,P853=0,ISNUMBER(J853),J853&lt;TODAY()),1,0)</x:f>
        <x:v>1</x:v>
      </x:c>
      <x:c r="W853" s="2" t="str">
        <x:f>'Research &amp; Analysis'!M125</x:f>
        <x:v>Task</x:v>
      </x:c>
    </x:row>
    <x:row r="854" ht="40" customHeight="1">
      <x:c r="A854" s="3" t="str">
        <x:f>HYPERLINK("#'Research &amp; Analysis'!A126","Open")</x:f>
        <x:v>Open</x:v>
      </x:c>
      <x:c r="B854" s="2" t="str">
        <x:f>'Research &amp; Analysis'!B126</x:f>
        <x:v>Cycle 1</x:v>
      </x:c>
      <x:c r="C854" s="2" t="str">
        <x:f>'Research &amp; Analysis'!C126</x:f>
        <x:v>Phase 1</x:v>
      </x:c>
      <x:c r="D854" s="2" t="str">
        <x:f>'Research &amp; Analysis'!D126</x:f>
        <x:v>PLL</x:v>
      </x:c>
      <x:c r="E854" s="2" t="str">
        <x:v>Research &amp; Analysis</x:v>
      </x:c>
      <x:c r="F854" s="56" t="str">
        <x:f>'Research &amp; Analysis'!E126</x:f>
        <x:v>RA.PL.1.2</x:v>
      </x:c>
      <x:c r="G854" s="14" t="str">
        <x:f>'Research &amp; Analysis'!F126</x:f>
        <x:v>Conduct initial assessment of each topic recommendation from SharePoint list</x:v>
      </x:c>
      <x:c r="H854" s="2" t="str">
        <x:f>IF('Research &amp; Analysis'!G126="","",'Research &amp; Analysis'!G126)</x:f>
      </x:c>
      <x:c r="I854" s="12" t="str">
        <x:f>IF('Research &amp; Analysis'!H126="","",'Research &amp; Analysis'!H126)</x:f>
      </x:c>
      <x:c r="J854" s="12" t="n">
        <x:f>IF('Research &amp; Analysis'!I126="","",'Research &amp; Analysis'!I126)</x:f>
        <x:v>46112</x:v>
      </x:c>
      <x:c r="K854" s="12" t="str">
        <x:f>IF('Research &amp; Analysis'!J126="","",'Research &amp; Analysis'!J126)</x:f>
      </x:c>
      <x:c r="L854" s="2" t="str">
        <x:f>IF('Research &amp; Analysis'!K126="","",'Research &amp; Analysis'!K126)</x:f>
      </x:c>
      <x:c r="M854" s="2" t="n">
        <x:f>'Research &amp; Analysis'!Q126</x:f>
        <x:v>1</x:v>
      </x:c>
      <x:c r="N854" s="2" t="str">
        <x:f>'Research &amp; Analysis'!L126</x:f>
        <x:v>Not started</x:v>
      </x:c>
      <x:c r="O854" s="2" t="str">
        <x:f>'Research &amp; Analysis'!N126</x:f>
        <x:v>RA.PL.1.2.2026.CY1</x:v>
      </x:c>
      <x:c r="P854" s="2" t="n">
        <x:f>'Research &amp; Analysis'!O126</x:f>
        <x:v>0</x:v>
      </x:c>
      <x:c r="Q854" s="2" t="n">
        <x:f>SUBTOTAL(103,O854)</x:f>
        <x:v>1</x:v>
      </x:c>
      <x:c r="R854" s="2" t="n">
        <x:f>IF(AND(M854=1,OR(Dashboard!$B$7="All",Dashboard!$B$7='Cycles &amp; Guide'!$C$5),OR(Dashboard!$D$7="All",Dashboard!$D$7=B854),OR(Dashboard!$F$7="All",Dashboard!$F$7=C854),OR(Dashboard!$H$7="All",Dashboard!$H$7=D854),OR(Dashboard!$K$7="All",Dashboard!$K$7=E854)),1,0)</x:f>
        <x:v>1</x:v>
      </x:c>
      <x:c r="S854" s="2" t="n">
        <x:f>IF(R854=1,SUM($R$10:R854),0)</x:f>
        <x:v>481</x:v>
      </x:c>
      <x:c r="T854" s="2" t="str">
        <x:v>Research &amp; Analysis</x:v>
      </x:c>
      <x:c r="U854" s="2" t="n">
        <x:v>126</x:v>
      </x:c>
      <x:c r="V854" s="2" t="n">
        <x:f>IF(AND(M854=1,P854=0,ISNUMBER(J854),J854&lt;TODAY()),1,0)</x:f>
        <x:v>1</x:v>
      </x:c>
      <x:c r="W854" s="2" t="str">
        <x:f>'Research &amp; Analysis'!M126</x:f>
        <x:v>Task</x:v>
      </x:c>
    </x:row>
    <x:row r="855" ht="40" customHeight="1">
      <x:c r="A855" s="3" t="str">
        <x:f>HYPERLINK("#'Research &amp; Analysis'!A127","Open")</x:f>
        <x:v>Open</x:v>
      </x:c>
      <x:c r="B855" s="2" t="str">
        <x:f>'Research &amp; Analysis'!B127</x:f>
        <x:v>Cycle 1</x:v>
      </x:c>
      <x:c r="C855" s="2" t="str">
        <x:f>'Research &amp; Analysis'!C127</x:f>
        <x:v>Phase 1</x:v>
      </x:c>
      <x:c r="D855" s="2" t="str">
        <x:f>'Research &amp; Analysis'!D127</x:f>
        <x:v>PLL</x:v>
      </x:c>
      <x:c r="E855" s="2" t="str">
        <x:v>Research &amp; Analysis</x:v>
      </x:c>
      <x:c r="F855" s="56" t="str">
        <x:f>'Research &amp; Analysis'!E127</x:f>
        <x:v>RA.PL.1.3</x:v>
      </x:c>
      <x:c r="G855" s="14" t="str">
        <x:f>'Research &amp; Analysis'!F127</x:f>
        <x:v>Identify best topic for Cycle</x:v>
      </x:c>
      <x:c r="H855" s="2" t="str">
        <x:f>IF('Research &amp; Analysis'!G127="","",'Research &amp; Analysis'!G127)</x:f>
      </x:c>
      <x:c r="I855" s="12" t="str">
        <x:f>IF('Research &amp; Analysis'!H127="","",'Research &amp; Analysis'!H127)</x:f>
      </x:c>
      <x:c r="J855" s="12" t="n">
        <x:f>IF('Research &amp; Analysis'!I127="","",'Research &amp; Analysis'!I127)</x:f>
        <x:v>46112</x:v>
      </x:c>
      <x:c r="K855" s="12" t="str">
        <x:f>IF('Research &amp; Analysis'!J127="","",'Research &amp; Analysis'!J127)</x:f>
      </x:c>
      <x:c r="L855" s="2" t="str">
        <x:f>IF('Research &amp; Analysis'!K127="","",'Research &amp; Analysis'!K127)</x:f>
      </x:c>
      <x:c r="M855" s="2" t="n">
        <x:f>'Research &amp; Analysis'!Q127</x:f>
        <x:v>1</x:v>
      </x:c>
      <x:c r="N855" s="2" t="str">
        <x:f>'Research &amp; Analysis'!L127</x:f>
        <x:v>Not started</x:v>
      </x:c>
      <x:c r="O855" s="2" t="str">
        <x:f>'Research &amp; Analysis'!N127</x:f>
        <x:v>RA.PL.1.3.2026.CY1</x:v>
      </x:c>
      <x:c r="P855" s="2" t="n">
        <x:f>'Research &amp; Analysis'!O127</x:f>
        <x:v>0</x:v>
      </x:c>
      <x:c r="Q855" s="2" t="n">
        <x:f>SUBTOTAL(103,O855)</x:f>
        <x:v>1</x:v>
      </x:c>
      <x:c r="R855" s="2" t="n">
        <x:f>IF(AND(M855=1,OR(Dashboard!$B$7="All",Dashboard!$B$7='Cycles &amp; Guide'!$C$5),OR(Dashboard!$D$7="All",Dashboard!$D$7=B855),OR(Dashboard!$F$7="All",Dashboard!$F$7=C855),OR(Dashboard!$H$7="All",Dashboard!$H$7=D855),OR(Dashboard!$K$7="All",Dashboard!$K$7=E855)),1,0)</x:f>
        <x:v>1</x:v>
      </x:c>
      <x:c r="S855" s="2" t="n">
        <x:f>IF(R855=1,SUM($R$10:R855),0)</x:f>
        <x:v>482</x:v>
      </x:c>
      <x:c r="T855" s="2" t="str">
        <x:v>Research &amp; Analysis</x:v>
      </x:c>
      <x:c r="U855" s="2" t="n">
        <x:v>127</x:v>
      </x:c>
      <x:c r="V855" s="2" t="n">
        <x:f>IF(AND(M855=1,P855=0,ISNUMBER(J855),J855&lt;TODAY()),1,0)</x:f>
        <x:v>1</x:v>
      </x:c>
      <x:c r="W855" s="2" t="str">
        <x:f>'Research &amp; Analysis'!M127</x:f>
        <x:v>Task</x:v>
      </x:c>
    </x:row>
    <x:row r="856" ht="40" customHeight="1">
      <x:c r="A856" s="3" t="str">
        <x:f>HYPERLINK("#'Research &amp; Analysis'!A128","Open")</x:f>
        <x:v>Open</x:v>
      </x:c>
      <x:c r="B856" s="2" t="str">
        <x:f>'Research &amp; Analysis'!B128</x:f>
        <x:v>Cycle 1</x:v>
      </x:c>
      <x:c r="C856" s="2" t="str">
        <x:f>'Research &amp; Analysis'!C128</x:f>
        <x:v>Phase 1</x:v>
      </x:c>
      <x:c r="D856" s="2" t="str">
        <x:f>'Research &amp; Analysis'!D128</x:f>
        <x:v>PLL</x:v>
      </x:c>
      <x:c r="E856" s="2" t="str">
        <x:v>Research &amp; Analysis</x:v>
      </x:c>
      <x:c r="F856" s="56" t="str">
        <x:f>'Research &amp; Analysis'!E128</x:f>
        <x:v>RA.PL.1.4</x:v>
      </x:c>
      <x:c r="G856" s="14" t="str">
        <x:f>'Research &amp; Analysis'!F128</x:f>
        <x:v>Identify backup topic for Cycle</x:v>
      </x:c>
      <x:c r="H856" s="2" t="str">
        <x:f>IF('Research &amp; Analysis'!G128="","",'Research &amp; Analysis'!G128)</x:f>
      </x:c>
      <x:c r="I856" s="12" t="str">
        <x:f>IF('Research &amp; Analysis'!H128="","",'Research &amp; Analysis'!H128)</x:f>
      </x:c>
      <x:c r="J856" s="12" t="n">
        <x:f>IF('Research &amp; Analysis'!I128="","",'Research &amp; Analysis'!I128)</x:f>
        <x:v>46112</x:v>
      </x:c>
      <x:c r="K856" s="12" t="str">
        <x:f>IF('Research &amp; Analysis'!J128="","",'Research &amp; Analysis'!J128)</x:f>
      </x:c>
      <x:c r="L856" s="2" t="str">
        <x:f>IF('Research &amp; Analysis'!K128="","",'Research &amp; Analysis'!K128)</x:f>
      </x:c>
      <x:c r="M856" s="2" t="n">
        <x:f>'Research &amp; Analysis'!Q128</x:f>
        <x:v>1</x:v>
      </x:c>
      <x:c r="N856" s="2" t="str">
        <x:f>'Research &amp; Analysis'!L128</x:f>
        <x:v>Not started</x:v>
      </x:c>
      <x:c r="O856" s="2" t="str">
        <x:f>'Research &amp; Analysis'!N128</x:f>
        <x:v>RA.PL.1.4.2026.CY1</x:v>
      </x:c>
      <x:c r="P856" s="2" t="n">
        <x:f>'Research &amp; Analysis'!O128</x:f>
        <x:v>0</x:v>
      </x:c>
      <x:c r="Q856" s="2" t="n">
        <x:f>SUBTOTAL(103,O856)</x:f>
        <x:v>1</x:v>
      </x:c>
      <x:c r="R856" s="2" t="n">
        <x:f>IF(AND(M856=1,OR(Dashboard!$B$7="All",Dashboard!$B$7='Cycles &amp; Guide'!$C$5),OR(Dashboard!$D$7="All",Dashboard!$D$7=B856),OR(Dashboard!$F$7="All",Dashboard!$F$7=C856),OR(Dashboard!$H$7="All",Dashboard!$H$7=D856),OR(Dashboard!$K$7="All",Dashboard!$K$7=E856)),1,0)</x:f>
        <x:v>1</x:v>
      </x:c>
      <x:c r="S856" s="2" t="n">
        <x:f>IF(R856=1,SUM($R$10:R856),0)</x:f>
        <x:v>483</x:v>
      </x:c>
      <x:c r="T856" s="2" t="str">
        <x:v>Research &amp; Analysis</x:v>
      </x:c>
      <x:c r="U856" s="2" t="n">
        <x:v>128</x:v>
      </x:c>
      <x:c r="V856" s="2" t="n">
        <x:f>IF(AND(M856=1,P856=0,ISNUMBER(J856),J856&lt;TODAY()),1,0)</x:f>
        <x:v>1</x:v>
      </x:c>
      <x:c r="W856" s="2" t="str">
        <x:f>'Research &amp; Analysis'!M128</x:f>
        <x:v>Task</x:v>
      </x:c>
    </x:row>
    <x:row r="857" ht="40" customHeight="1">
      <x:c r="A857" s="3" t="str">
        <x:f>HYPERLINK("#'Research &amp; Analysis'!A129","Open")</x:f>
        <x:v>Open</x:v>
      </x:c>
      <x:c r="B857" s="2" t="str">
        <x:f>'Research &amp; Analysis'!B129</x:f>
        <x:v>Cycle 1</x:v>
      </x:c>
      <x:c r="C857" s="2" t="str">
        <x:f>'Research &amp; Analysis'!C129</x:f>
        <x:v>Phase 1</x:v>
      </x:c>
      <x:c r="D857" s="2" t="str">
        <x:f>'Research &amp; Analysis'!D129</x:f>
        <x:v>PLL</x:v>
      </x:c>
      <x:c r="E857" s="2" t="str">
        <x:v>Research &amp; Analysis</x:v>
      </x:c>
      <x:c r="F857" s="56" t="str">
        <x:f>'Research &amp; Analysis'!E129</x:f>
        <x:v>RA.PL.1.5</x:v>
      </x:c>
      <x:c r="G857" s="14" t="str">
        <x:f>'Research &amp; Analysis'!F129</x:f>
        <x:v>Schedule topic approval meeting with D&amp;I and management</x:v>
      </x:c>
      <x:c r="H857" s="2" t="str">
        <x:f>IF('Research &amp; Analysis'!G129="","",'Research &amp; Analysis'!G129)</x:f>
      </x:c>
      <x:c r="I857" s="12" t="str">
        <x:f>IF('Research &amp; Analysis'!H129="","",'Research &amp; Analysis'!H129)</x:f>
      </x:c>
      <x:c r="J857" s="12" t="n">
        <x:f>IF('Research &amp; Analysis'!I129="","",'Research &amp; Analysis'!I129)</x:f>
        <x:v>46112</x:v>
      </x:c>
      <x:c r="K857" s="12" t="str">
        <x:f>IF('Research &amp; Analysis'!J129="","",'Research &amp; Analysis'!J129)</x:f>
      </x:c>
      <x:c r="L857" s="2" t="str">
        <x:f>IF('Research &amp; Analysis'!K129="","",'Research &amp; Analysis'!K129)</x:f>
      </x:c>
      <x:c r="M857" s="2" t="n">
        <x:f>'Research &amp; Analysis'!Q129</x:f>
        <x:v>1</x:v>
      </x:c>
      <x:c r="N857" s="2" t="str">
        <x:f>'Research &amp; Analysis'!L129</x:f>
        <x:v>Not started</x:v>
      </x:c>
      <x:c r="O857" s="2" t="str">
        <x:f>'Research &amp; Analysis'!N129</x:f>
        <x:v>RA.PL.1.5.2026.CY1</x:v>
      </x:c>
      <x:c r="P857" s="2" t="n">
        <x:f>'Research &amp; Analysis'!O129</x:f>
        <x:v>0</x:v>
      </x:c>
      <x:c r="Q857" s="2" t="n">
        <x:f>SUBTOTAL(103,O857)</x:f>
        <x:v>1</x:v>
      </x:c>
      <x:c r="R857" s="2" t="n">
        <x:f>IF(AND(M857=1,OR(Dashboard!$B$7="All",Dashboard!$B$7='Cycles &amp; Guide'!$C$5),OR(Dashboard!$D$7="All",Dashboard!$D$7=B857),OR(Dashboard!$F$7="All",Dashboard!$F$7=C857),OR(Dashboard!$H$7="All",Dashboard!$H$7=D857),OR(Dashboard!$K$7="All",Dashboard!$K$7=E857)),1,0)</x:f>
        <x:v>1</x:v>
      </x:c>
      <x:c r="S857" s="2" t="n">
        <x:f>IF(R857=1,SUM($R$10:R857),0)</x:f>
        <x:v>484</x:v>
      </x:c>
      <x:c r="T857" s="2" t="str">
        <x:v>Research &amp; Analysis</x:v>
      </x:c>
      <x:c r="U857" s="2" t="n">
        <x:v>129</x:v>
      </x:c>
      <x:c r="V857" s="2" t="n">
        <x:f>IF(AND(M857=1,P857=0,ISNUMBER(J857),J857&lt;TODAY()),1,0)</x:f>
        <x:v>1</x:v>
      </x:c>
      <x:c r="W857" s="2" t="str">
        <x:f>'Research &amp; Analysis'!M129</x:f>
        <x:v>Task</x:v>
      </x:c>
    </x:row>
    <x:row r="858" ht="40" customHeight="1">
      <x:c r="A858" s="3" t="str">
        <x:f>HYPERLINK("#'Research &amp; Analysis'!A130","Open")</x:f>
        <x:v>Open</x:v>
      </x:c>
      <x:c r="B858" s="2" t="str">
        <x:f>'Research &amp; Analysis'!B130</x:f>
        <x:v>Cycle 1</x:v>
      </x:c>
      <x:c r="C858" s="2" t="str">
        <x:f>'Research &amp; Analysis'!C130</x:f>
        <x:v>Phase 1</x:v>
      </x:c>
      <x:c r="D858" s="2" t="str">
        <x:f>'Research &amp; Analysis'!D130</x:f>
        <x:v>PLL</x:v>
      </x:c>
      <x:c r="E858" s="2" t="str">
        <x:v>Research &amp; Analysis</x:v>
      </x:c>
      <x:c r="F858" s="56" t="str">
        <x:f>'Research &amp; Analysis'!E130</x:f>
        <x:v>RA.PL.1.6</x:v>
      </x:c>
      <x:c r="G858" s="14" t="str">
        <x:f>'Research &amp; Analysis'!F130</x:f>
        <x:v>Present recommended topic to D&amp;I and management for approval</x:v>
      </x:c>
      <x:c r="H858" s="2" t="str">
        <x:f>IF('Research &amp; Analysis'!G130="","",'Research &amp; Analysis'!G130)</x:f>
      </x:c>
      <x:c r="I858" s="12" t="str">
        <x:f>IF('Research &amp; Analysis'!H130="","",'Research &amp; Analysis'!H130)</x:f>
      </x:c>
      <x:c r="J858" s="12" t="n">
        <x:f>IF('Research &amp; Analysis'!I130="","",'Research &amp; Analysis'!I130)</x:f>
        <x:v>46112</x:v>
      </x:c>
      <x:c r="K858" s="12" t="str">
        <x:f>IF('Research &amp; Analysis'!J130="","",'Research &amp; Analysis'!J130)</x:f>
      </x:c>
      <x:c r="L858" s="2" t="str">
        <x:f>IF('Research &amp; Analysis'!K130="","",'Research &amp; Analysis'!K130)</x:f>
      </x:c>
      <x:c r="M858" s="2" t="n">
        <x:f>'Research &amp; Analysis'!Q130</x:f>
        <x:v>1</x:v>
      </x:c>
      <x:c r="N858" s="2" t="str">
        <x:f>'Research &amp; Analysis'!L130</x:f>
        <x:v>Not started</x:v>
      </x:c>
      <x:c r="O858" s="2" t="str">
        <x:f>'Research &amp; Analysis'!N130</x:f>
        <x:v>RA.PL.1.6.2026.CY1</x:v>
      </x:c>
      <x:c r="P858" s="2" t="n">
        <x:f>'Research &amp; Analysis'!O130</x:f>
        <x:v>0</x:v>
      </x:c>
      <x:c r="Q858" s="2" t="n">
        <x:f>SUBTOTAL(103,O858)</x:f>
        <x:v>1</x:v>
      </x:c>
      <x:c r="R858" s="2" t="n">
        <x:f>IF(AND(M858=1,OR(Dashboard!$B$7="All",Dashboard!$B$7='Cycles &amp; Guide'!$C$5),OR(Dashboard!$D$7="All",Dashboard!$D$7=B858),OR(Dashboard!$F$7="All",Dashboard!$F$7=C858),OR(Dashboard!$H$7="All",Dashboard!$H$7=D858),OR(Dashboard!$K$7="All",Dashboard!$K$7=E858)),1,0)</x:f>
        <x:v>1</x:v>
      </x:c>
      <x:c r="S858" s="2" t="n">
        <x:f>IF(R858=1,SUM($R$10:R858),0)</x:f>
        <x:v>485</x:v>
      </x:c>
      <x:c r="T858" s="2" t="str">
        <x:v>Research &amp; Analysis</x:v>
      </x:c>
      <x:c r="U858" s="2" t="n">
        <x:v>130</x:v>
      </x:c>
      <x:c r="V858" s="2" t="n">
        <x:f>IF(AND(M858=1,P858=0,ISNUMBER(J858),J858&lt;TODAY()),1,0)</x:f>
        <x:v>1</x:v>
      </x:c>
      <x:c r="W858" s="2" t="str">
        <x:f>'Research &amp; Analysis'!M130</x:f>
        <x:v>Task</x:v>
      </x:c>
    </x:row>
    <x:row r="859" ht="40" customHeight="1">
      <x:c r="A859" s="3" t="str">
        <x:f>HYPERLINK("#'Research &amp; Analysis'!A131","Open")</x:f>
        <x:v>Open</x:v>
      </x:c>
      <x:c r="B859" s="2" t="str">
        <x:f>'Research &amp; Analysis'!B131</x:f>
        <x:v>Cycle 1</x:v>
      </x:c>
      <x:c r="C859" s="2" t="str">
        <x:f>'Research &amp; Analysis'!C131</x:f>
        <x:v>Phase 1</x:v>
      </x:c>
      <x:c r="D859" s="2" t="str">
        <x:f>'Research &amp; Analysis'!D131</x:f>
        <x:v>PLL</x:v>
      </x:c>
      <x:c r="E859" s="2" t="str">
        <x:v>Research &amp; Analysis</x:v>
      </x:c>
      <x:c r="F859" s="56" t="str">
        <x:f>'Research &amp; Analysis'!E131</x:f>
        <x:v>RA.PL.1.7</x:v>
      </x:c>
      <x:c r="G859" s="14" t="str">
        <x:f>'Research &amp; Analysis'!F131</x:f>
        <x:v>Obtain formal topic selection approval from management via SharePoint</x:v>
      </x:c>
      <x:c r="H859" s="2" t="str">
        <x:f>IF('Research &amp; Analysis'!G131="","",'Research &amp; Analysis'!G131)</x:f>
      </x:c>
      <x:c r="I859" s="12" t="str">
        <x:f>IF('Research &amp; Analysis'!H131="","",'Research &amp; Analysis'!H131)</x:f>
      </x:c>
      <x:c r="J859" s="12" t="n">
        <x:f>IF('Research &amp; Analysis'!I131="","",'Research &amp; Analysis'!I131)</x:f>
        <x:v>46112</x:v>
      </x:c>
      <x:c r="K859" s="12" t="str">
        <x:f>IF('Research &amp; Analysis'!J131="","",'Research &amp; Analysis'!J131)</x:f>
      </x:c>
      <x:c r="L859" s="2" t="str">
        <x:f>IF('Research &amp; Analysis'!K131="","",'Research &amp; Analysis'!K131)</x:f>
      </x:c>
      <x:c r="M859" s="2" t="n">
        <x:f>'Research &amp; Analysis'!Q131</x:f>
        <x:v>1</x:v>
      </x:c>
      <x:c r="N859" s="2" t="str">
        <x:f>'Research &amp; Analysis'!L131</x:f>
        <x:v>Not started</x:v>
      </x:c>
      <x:c r="O859" s="2" t="str">
        <x:f>'Research &amp; Analysis'!N131</x:f>
        <x:v>RA.PL.1.7.2026.CY1</x:v>
      </x:c>
      <x:c r="P859" s="2" t="n">
        <x:f>'Research &amp; Analysis'!O131</x:f>
        <x:v>0</x:v>
      </x:c>
      <x:c r="Q859" s="2" t="n">
        <x:f>SUBTOTAL(103,O859)</x:f>
        <x:v>1</x:v>
      </x:c>
      <x:c r="R859" s="2" t="n">
        <x:f>IF(AND(M859=1,OR(Dashboard!$B$7="All",Dashboard!$B$7='Cycles &amp; Guide'!$C$5),OR(Dashboard!$D$7="All",Dashboard!$D$7=B859),OR(Dashboard!$F$7="All",Dashboard!$F$7=C859),OR(Dashboard!$H$7="All",Dashboard!$H$7=D859),OR(Dashboard!$K$7="All",Dashboard!$K$7=E859)),1,0)</x:f>
        <x:v>1</x:v>
      </x:c>
      <x:c r="S859" s="2" t="n">
        <x:f>IF(R859=1,SUM($R$10:R859),0)</x:f>
        <x:v>486</x:v>
      </x:c>
      <x:c r="T859" s="2" t="str">
        <x:v>Research &amp; Analysis</x:v>
      </x:c>
      <x:c r="U859" s="2" t="n">
        <x:v>131</x:v>
      </x:c>
      <x:c r="V859" s="2" t="n">
        <x:f>IF(AND(M859=1,P859=0,ISNUMBER(J859),J859&lt;TODAY()),1,0)</x:f>
        <x:v>1</x:v>
      </x:c>
      <x:c r="W859" s="2" t="str">
        <x:f>'Research &amp; Analysis'!M131</x:f>
        <x:v>Task</x:v>
      </x:c>
    </x:row>
    <x:row r="860" ht="40" customHeight="1">
      <x:c r="A860" s="3" t="str">
        <x:f>HYPERLINK("#'Research &amp; Analysis'!A132","Open")</x:f>
        <x:v>Open</x:v>
      </x:c>
      <x:c r="B860" s="2" t="str">
        <x:f>'Research &amp; Analysis'!B132</x:f>
        <x:v>Cycle 1</x:v>
      </x:c>
      <x:c r="C860" s="2" t="str">
        <x:f>'Research &amp; Analysis'!C132</x:f>
        <x:v>Phase 1</x:v>
      </x:c>
      <x:c r="D860" s="2" t="str">
        <x:f>'Research &amp; Analysis'!D132</x:f>
        <x:v>PLL</x:v>
      </x:c>
      <x:c r="E860" s="2" t="str">
        <x:v>Research &amp; Analysis</x:v>
      </x:c>
      <x:c r="F860" s="56" t="str">
        <x:f>'Research &amp; Analysis'!E132</x:f>
        <x:v>RA.PL.1.8</x:v>
      </x:c>
      <x:c r="G860" s="14" t="str">
        <x:f>'Research &amp; Analysis'!F132</x:f>
        <x:v>Socialize topic selection with product owners and subject matter experts (if known)</x:v>
      </x:c>
      <x:c r="H860" s="2" t="str">
        <x:f>IF('Research &amp; Analysis'!G132="","",'Research &amp; Analysis'!G132)</x:f>
      </x:c>
      <x:c r="I860" s="12" t="str">
        <x:f>IF('Research &amp; Analysis'!H132="","",'Research &amp; Analysis'!H132)</x:f>
      </x:c>
      <x:c r="J860" s="12" t="n">
        <x:f>IF('Research &amp; Analysis'!I132="","",'Research &amp; Analysis'!I132)</x:f>
        <x:v>46112</x:v>
      </x:c>
      <x:c r="K860" s="12" t="str">
        <x:f>IF('Research &amp; Analysis'!J132="","",'Research &amp; Analysis'!J132)</x:f>
      </x:c>
      <x:c r="L860" s="2" t="str">
        <x:f>IF('Research &amp; Analysis'!K132="","",'Research &amp; Analysis'!K132)</x:f>
      </x:c>
      <x:c r="M860" s="2" t="n">
        <x:f>'Research &amp; Analysis'!Q132</x:f>
        <x:v>1</x:v>
      </x:c>
      <x:c r="N860" s="2" t="str">
        <x:f>'Research &amp; Analysis'!L132</x:f>
        <x:v>Not started</x:v>
      </x:c>
      <x:c r="O860" s="2" t="str">
        <x:f>'Research &amp; Analysis'!N132</x:f>
        <x:v>RA.PL.1.8.2026.CY1</x:v>
      </x:c>
      <x:c r="P860" s="2" t="n">
        <x:f>'Research &amp; Analysis'!O132</x:f>
        <x:v>0</x:v>
      </x:c>
      <x:c r="Q860" s="2" t="n">
        <x:f>SUBTOTAL(103,O860)</x:f>
        <x:v>1</x:v>
      </x:c>
      <x:c r="R860" s="2" t="n">
        <x:f>IF(AND(M860=1,OR(Dashboard!$B$7="All",Dashboard!$B$7='Cycles &amp; Guide'!$C$5),OR(Dashboard!$D$7="All",Dashboard!$D$7=B860),OR(Dashboard!$F$7="All",Dashboard!$F$7=C860),OR(Dashboard!$H$7="All",Dashboard!$H$7=D860),OR(Dashboard!$K$7="All",Dashboard!$K$7=E860)),1,0)</x:f>
        <x:v>1</x:v>
      </x:c>
      <x:c r="S860" s="2" t="n">
        <x:f>IF(R860=1,SUM($R$10:R860),0)</x:f>
        <x:v>487</x:v>
      </x:c>
      <x:c r="T860" s="2" t="str">
        <x:v>Research &amp; Analysis</x:v>
      </x:c>
      <x:c r="U860" s="2" t="n">
        <x:v>132</x:v>
      </x:c>
      <x:c r="V860" s="2" t="n">
        <x:f>IF(AND(M860=1,P860=0,ISNUMBER(J860),J860&lt;TODAY()),1,0)</x:f>
        <x:v>1</x:v>
      </x:c>
      <x:c r="W860" s="2" t="str">
        <x:f>'Research &amp; Analysis'!M132</x:f>
        <x:v>Task</x:v>
      </x:c>
    </x:row>
    <x:row r="861" ht="40" customHeight="1">
      <x:c r="A861" s="3" t="str">
        <x:f>HYPERLINK("#'Research &amp; Analysis'!A133","Open")</x:f>
        <x:v>Open</x:v>
      </x:c>
      <x:c r="B861" s="2" t="str">
        <x:f>'Research &amp; Analysis'!B133</x:f>
        <x:v>Cycle 1</x:v>
      </x:c>
      <x:c r="C861" s="2" t="str">
        <x:f>'Research &amp; Analysis'!C133</x:f>
        <x:v>Phase 1</x:v>
      </x:c>
      <x:c r="D861" s="2" t="str">
        <x:f>'Research &amp; Analysis'!D133</x:f>
        <x:v>PLL</x:v>
      </x:c>
      <x:c r="E861" s="2" t="str">
        <x:v>Research &amp; Analysis</x:v>
      </x:c>
      <x:c r="F861" s="56" t="str">
        <x:f>'Research &amp; Analysis'!E133</x:f>
        <x:v>RA.PL.1.9</x:v>
      </x:c>
      <x:c r="G861" s="14" t="str">
        <x:f>'Research &amp; Analysis'!F133</x:f>
        <x:v>Assign topic researchers</x:v>
      </x:c>
      <x:c r="H861" s="2" t="str">
        <x:f>IF('Research &amp; Analysis'!G133="","",'Research &amp; Analysis'!G133)</x:f>
      </x:c>
      <x:c r="I861" s="12" t="str">
        <x:f>IF('Research &amp; Analysis'!H133="","",'Research &amp; Analysis'!H133)</x:f>
      </x:c>
      <x:c r="J861" s="12" t="n">
        <x:f>IF('Research &amp; Analysis'!I133="","",'Research &amp; Analysis'!I133)</x:f>
        <x:v>46112</x:v>
      </x:c>
      <x:c r="K861" s="12" t="str">
        <x:f>IF('Research &amp; Analysis'!J133="","",'Research &amp; Analysis'!J133)</x:f>
      </x:c>
      <x:c r="L861" s="2" t="str">
        <x:f>IF('Research &amp; Analysis'!K133="","",'Research &amp; Analysis'!K133)</x:f>
      </x:c>
      <x:c r="M861" s="2" t="n">
        <x:f>'Research &amp; Analysis'!Q133</x:f>
        <x:v>1</x:v>
      </x:c>
      <x:c r="N861" s="2" t="str">
        <x:f>'Research &amp; Analysis'!L133</x:f>
        <x:v>Not started</x:v>
      </x:c>
      <x:c r="O861" s="2" t="str">
        <x:f>'Research &amp; Analysis'!N133</x:f>
        <x:v>RA.PL.1.9.2026.CY1</x:v>
      </x:c>
      <x:c r="P861" s="2" t="n">
        <x:f>'Research &amp; Analysis'!O133</x:f>
        <x:v>0</x:v>
      </x:c>
      <x:c r="Q861" s="2" t="n">
        <x:f>SUBTOTAL(103,O861)</x:f>
        <x:v>1</x:v>
      </x:c>
      <x:c r="R861" s="2" t="n">
        <x:f>IF(AND(M861=1,OR(Dashboard!$B$7="All",Dashboard!$B$7='Cycles &amp; Guide'!$C$5),OR(Dashboard!$D$7="All",Dashboard!$D$7=B861),OR(Dashboard!$F$7="All",Dashboard!$F$7=C861),OR(Dashboard!$H$7="All",Dashboard!$H$7=D861),OR(Dashboard!$K$7="All",Dashboard!$K$7=E861)),1,0)</x:f>
        <x:v>1</x:v>
      </x:c>
      <x:c r="S861" s="2" t="n">
        <x:f>IF(R861=1,SUM($R$10:R861),0)</x:f>
        <x:v>488</x:v>
      </x:c>
      <x:c r="T861" s="2" t="str">
        <x:v>Research &amp; Analysis</x:v>
      </x:c>
      <x:c r="U861" s="2" t="n">
        <x:v>133</x:v>
      </x:c>
      <x:c r="V861" s="2" t="n">
        <x:f>IF(AND(M861=1,P861=0,ISNUMBER(J861),J861&lt;TODAY()),1,0)</x:f>
        <x:v>1</x:v>
      </x:c>
      <x:c r="W861" s="2" t="str">
        <x:f>'Research &amp; Analysis'!M133</x:f>
        <x:v>Task</x:v>
      </x:c>
    </x:row>
    <x:row r="862" ht="40" customHeight="1">
      <x:c r="A862" s="3" t="str">
        <x:f>HYPERLINK("#'Research &amp; Analysis'!A134","Open")</x:f>
        <x:v>Open</x:v>
      </x:c>
      <x:c r="B862" s="2" t="str">
        <x:f>'Research &amp; Analysis'!B134</x:f>
        <x:v>Cycle 1</x:v>
      </x:c>
      <x:c r="C862" s="2" t="str">
        <x:f>'Research &amp; Analysis'!C134</x:f>
        <x:v>Phase 2</x:v>
      </x:c>
      <x:c r="D862" s="2" t="str">
        <x:f>'Research &amp; Analysis'!D134</x:f>
        <x:v>PLL</x:v>
      </x:c>
      <x:c r="E862" s="2" t="str">
        <x:v>Research &amp; Analysis</x:v>
      </x:c>
      <x:c r="F862" s="56" t="str">
        <x:f>'Research &amp; Analysis'!E134</x:f>
        <x:v>RA.PL.2.1</x:v>
      </x:c>
      <x:c r="G862" s="14" t="str">
        <x:f>'Research &amp; Analysis'!F134</x:f>
        <x:v>Review data sources</x:v>
      </x:c>
      <x:c r="H862" s="2" t="str">
        <x:f>IF('Research &amp; Analysis'!G134="","",'Research &amp; Analysis'!G134)</x:f>
      </x:c>
      <x:c r="I862" s="12" t="str">
        <x:f>IF('Research &amp; Analysis'!H134="","",'Research &amp; Analysis'!H134)</x:f>
      </x:c>
      <x:c r="J862" s="12" t="n">
        <x:f>IF('Research &amp; Analysis'!I134="","",'Research &amp; Analysis'!I134)</x:f>
        <x:v>46112</x:v>
      </x:c>
      <x:c r="K862" s="12" t="str">
        <x:f>IF('Research &amp; Analysis'!J134="","",'Research &amp; Analysis'!J134)</x:f>
      </x:c>
      <x:c r="L862" s="2" t="str">
        <x:f>IF('Research &amp; Analysis'!K134="","",'Research &amp; Analysis'!K134)</x:f>
      </x:c>
      <x:c r="M862" s="2" t="n">
        <x:f>'Research &amp; Analysis'!Q134</x:f>
        <x:v>1</x:v>
      </x:c>
      <x:c r="N862" s="2" t="str">
        <x:f>'Research &amp; Analysis'!L134</x:f>
        <x:v>Not started</x:v>
      </x:c>
      <x:c r="O862" s="2" t="str">
        <x:f>'Research &amp; Analysis'!N134</x:f>
        <x:v>RA.PL.2.1.2026.CY1</x:v>
      </x:c>
      <x:c r="P862" s="2" t="n">
        <x:f>'Research &amp; Analysis'!O134</x:f>
        <x:v>0</x:v>
      </x:c>
      <x:c r="Q862" s="2" t="n">
        <x:f>SUBTOTAL(103,O862)</x:f>
        <x:v>1</x:v>
      </x:c>
      <x:c r="R862" s="2" t="n">
        <x:f>IF(AND(M862=1,OR(Dashboard!$B$7="All",Dashboard!$B$7='Cycles &amp; Guide'!$C$5),OR(Dashboard!$D$7="All",Dashboard!$D$7=B862),OR(Dashboard!$F$7="All",Dashboard!$F$7=C862),OR(Dashboard!$H$7="All",Dashboard!$H$7=D862),OR(Dashboard!$K$7="All",Dashboard!$K$7=E862)),1,0)</x:f>
        <x:v>1</x:v>
      </x:c>
      <x:c r="S862" s="2" t="n">
        <x:f>IF(R862=1,SUM($R$10:R862),0)</x:f>
        <x:v>489</x:v>
      </x:c>
      <x:c r="T862" s="2" t="str">
        <x:v>Research &amp; Analysis</x:v>
      </x:c>
      <x:c r="U862" s="2" t="n">
        <x:v>134</x:v>
      </x:c>
      <x:c r="V862" s="2" t="n">
        <x:f>IF(AND(M862=1,P862=0,ISNUMBER(J862),J862&lt;TODAY()),1,0)</x:f>
        <x:v>1</x:v>
      </x:c>
      <x:c r="W862" s="2" t="str">
        <x:f>'Research &amp; Analysis'!M134</x:f>
        <x:v>Task</x:v>
      </x:c>
    </x:row>
    <x:row r="863" ht="40" customHeight="1">
      <x:c r="A863" s="3" t="str">
        <x:f>HYPERLINK("#'Research &amp; Analysis'!A135","Open")</x:f>
        <x:v>Open</x:v>
      </x:c>
      <x:c r="B863" s="2" t="str">
        <x:f>'Research &amp; Analysis'!B135</x:f>
        <x:v>Cycle 1</x:v>
      </x:c>
      <x:c r="C863" s="2" t="str">
        <x:f>'Research &amp; Analysis'!C135</x:f>
        <x:v>Phase 2</x:v>
      </x:c>
      <x:c r="D863" s="2" t="str">
        <x:f>'Research &amp; Analysis'!D135</x:f>
        <x:v>PLL</x:v>
      </x:c>
      <x:c r="E863" s="2" t="str">
        <x:v>Research &amp; Analysis</x:v>
      </x:c>
      <x:c r="F863" s="56" t="str">
        <x:f>'Research &amp; Analysis'!E135</x:f>
        <x:v>RA.PL.2.2</x:v>
      </x:c>
      <x:c r="G863" s="14" t="str">
        <x:f>'Research &amp; Analysis'!F135</x:f>
        <x:v>Review relevant policies and procedures</x:v>
      </x:c>
      <x:c r="H863" s="2" t="str">
        <x:f>IF('Research &amp; Analysis'!G135="","",'Research &amp; Analysis'!G135)</x:f>
      </x:c>
      <x:c r="I863" s="12" t="str">
        <x:f>IF('Research &amp; Analysis'!H135="","",'Research &amp; Analysis'!H135)</x:f>
      </x:c>
      <x:c r="J863" s="12" t="n">
        <x:f>IF('Research &amp; Analysis'!I135="","",'Research &amp; Analysis'!I135)</x:f>
        <x:v>46112</x:v>
      </x:c>
      <x:c r="K863" s="12" t="str">
        <x:f>IF('Research &amp; Analysis'!J135="","",'Research &amp; Analysis'!J135)</x:f>
      </x:c>
      <x:c r="L863" s="2" t="str">
        <x:f>IF('Research &amp; Analysis'!K135="","",'Research &amp; Analysis'!K135)</x:f>
      </x:c>
      <x:c r="M863" s="2" t="n">
        <x:f>'Research &amp; Analysis'!Q135</x:f>
        <x:v>1</x:v>
      </x:c>
      <x:c r="N863" s="2" t="str">
        <x:f>'Research &amp; Analysis'!L135</x:f>
        <x:v>Not started</x:v>
      </x:c>
      <x:c r="O863" s="2" t="str">
        <x:f>'Research &amp; Analysis'!N135</x:f>
        <x:v>RA.PL.2.2.2026.CY1</x:v>
      </x:c>
      <x:c r="P863" s="2" t="n">
        <x:f>'Research &amp; Analysis'!O135</x:f>
        <x:v>0</x:v>
      </x:c>
      <x:c r="Q863" s="2" t="n">
        <x:f>SUBTOTAL(103,O863)</x:f>
        <x:v>1</x:v>
      </x:c>
      <x:c r="R863" s="2" t="n">
        <x:f>IF(AND(M863=1,OR(Dashboard!$B$7="All",Dashboard!$B$7='Cycles &amp; Guide'!$C$5),OR(Dashboard!$D$7="All",Dashboard!$D$7=B863),OR(Dashboard!$F$7="All",Dashboard!$F$7=C863),OR(Dashboard!$H$7="All",Dashboard!$H$7=D863),OR(Dashboard!$K$7="All",Dashboard!$K$7=E863)),1,0)</x:f>
        <x:v>1</x:v>
      </x:c>
      <x:c r="S863" s="2" t="n">
        <x:f>IF(R863=1,SUM($R$10:R863),0)</x:f>
        <x:v>490</x:v>
      </x:c>
      <x:c r="T863" s="2" t="str">
        <x:v>Research &amp; Analysis</x:v>
      </x:c>
      <x:c r="U863" s="2" t="n">
        <x:v>135</x:v>
      </x:c>
      <x:c r="V863" s="2" t="n">
        <x:f>IF(AND(M863=1,P863=0,ISNUMBER(J863),J863&lt;TODAY()),1,0)</x:f>
        <x:v>1</x:v>
      </x:c>
      <x:c r="W863" s="2" t="str">
        <x:f>'Research &amp; Analysis'!M135</x:f>
        <x:v>Task</x:v>
      </x:c>
    </x:row>
    <x:row r="864" ht="40" customHeight="1">
      <x:c r="A864" s="3" t="str">
        <x:f>HYPERLINK("#'Research &amp; Analysis'!A136","Open")</x:f>
        <x:v>Open</x:v>
      </x:c>
      <x:c r="B864" s="2" t="str">
        <x:f>'Research &amp; Analysis'!B136</x:f>
        <x:v>Cycle 1</x:v>
      </x:c>
      <x:c r="C864" s="2" t="str">
        <x:f>'Research &amp; Analysis'!C136</x:f>
        <x:v>Phase 2</x:v>
      </x:c>
      <x:c r="D864" s="2" t="str">
        <x:f>'Research &amp; Analysis'!D136</x:f>
        <x:v>PLL</x:v>
      </x:c>
      <x:c r="E864" s="2" t="str">
        <x:v>Research &amp; Analysis</x:v>
      </x:c>
      <x:c r="F864" s="56" t="str">
        <x:f>'Research &amp; Analysis'!E136</x:f>
        <x:v>RA.PL.2.3</x:v>
      </x:c>
      <x:c r="G864" s="14" t="str">
        <x:f>'Research &amp; Analysis'!F136</x:f>
        <x:v>Meet with SMEs to gain business insight and clarify questions</x:v>
      </x:c>
      <x:c r="H864" s="2" t="str">
        <x:f>IF('Research &amp; Analysis'!G136="","",'Research &amp; Analysis'!G136)</x:f>
      </x:c>
      <x:c r="I864" s="12" t="str">
        <x:f>IF('Research &amp; Analysis'!H136="","",'Research &amp; Analysis'!H136)</x:f>
      </x:c>
      <x:c r="J864" s="12" t="n">
        <x:f>IF('Research &amp; Analysis'!I136="","",'Research &amp; Analysis'!I136)</x:f>
        <x:v>46112</x:v>
      </x:c>
      <x:c r="K864" s="12" t="str">
        <x:f>IF('Research &amp; Analysis'!J136="","",'Research &amp; Analysis'!J136)</x:f>
      </x:c>
      <x:c r="L864" s="2" t="str">
        <x:f>IF('Research &amp; Analysis'!K136="","",'Research &amp; Analysis'!K136)</x:f>
      </x:c>
      <x:c r="M864" s="2" t="n">
        <x:f>'Research &amp; Analysis'!Q136</x:f>
        <x:v>1</x:v>
      </x:c>
      <x:c r="N864" s="2" t="str">
        <x:f>'Research &amp; Analysis'!L136</x:f>
        <x:v>Not started</x:v>
      </x:c>
      <x:c r="O864" s="2" t="str">
        <x:f>'Research &amp; Analysis'!N136</x:f>
        <x:v>RA.PL.2.3.2026.CY1</x:v>
      </x:c>
      <x:c r="P864" s="2" t="n">
        <x:f>'Research &amp; Analysis'!O136</x:f>
        <x:v>0</x:v>
      </x:c>
      <x:c r="Q864" s="2" t="n">
        <x:f>SUBTOTAL(103,O864)</x:f>
        <x:v>1</x:v>
      </x:c>
      <x:c r="R864" s="2" t="n">
        <x:f>IF(AND(M864=1,OR(Dashboard!$B$7="All",Dashboard!$B$7='Cycles &amp; Guide'!$C$5),OR(Dashboard!$D$7="All",Dashboard!$D$7=B864),OR(Dashboard!$F$7="All",Dashboard!$F$7=C864),OR(Dashboard!$H$7="All",Dashboard!$H$7=D864),OR(Dashboard!$K$7="All",Dashboard!$K$7=E864)),1,0)</x:f>
        <x:v>1</x:v>
      </x:c>
      <x:c r="S864" s="2" t="n">
        <x:f>IF(R864=1,SUM($R$10:R864),0)</x:f>
        <x:v>491</x:v>
      </x:c>
      <x:c r="T864" s="2" t="str">
        <x:v>Research &amp; Analysis</x:v>
      </x:c>
      <x:c r="U864" s="2" t="n">
        <x:v>136</x:v>
      </x:c>
      <x:c r="V864" s="2" t="n">
        <x:f>IF(AND(M864=1,P864=0,ISNUMBER(J864),J864&lt;TODAY()),1,0)</x:f>
        <x:v>1</x:v>
      </x:c>
      <x:c r="W864" s="2" t="str">
        <x:f>'Research &amp; Analysis'!M136</x:f>
        <x:v>Task</x:v>
      </x:c>
    </x:row>
    <x:row r="865" ht="40" customHeight="1">
      <x:c r="A865" s="3" t="str">
        <x:f>HYPERLINK("#'Research &amp; Analysis'!A137","Open")</x:f>
        <x:v>Open</x:v>
      </x:c>
      <x:c r="B865" s="2" t="str">
        <x:f>'Research &amp; Analysis'!B137</x:f>
        <x:v>Cycle 1</x:v>
      </x:c>
      <x:c r="C865" s="2" t="str">
        <x:f>'Research &amp; Analysis'!C137</x:f>
        <x:v>Phase 2</x:v>
      </x:c>
      <x:c r="D865" s="2" t="str">
        <x:f>'Research &amp; Analysis'!D137</x:f>
        <x:v>PLL</x:v>
      </x:c>
      <x:c r="E865" s="2" t="str">
        <x:v>Research &amp; Analysis</x:v>
      </x:c>
      <x:c r="F865" s="56" t="str">
        <x:f>'Research &amp; Analysis'!E137</x:f>
        <x:v>RA.PL.2.4</x:v>
      </x:c>
      <x:c r="G865" s="14" t="str">
        <x:f>'Research &amp; Analysis'!F137</x:f>
        <x:v>Establish and maintain a recurring meeting with D&amp;I to discuss Cycle progress</x:v>
      </x:c>
      <x:c r="H865" s="2" t="str">
        <x:f>IF('Research &amp; Analysis'!G137="","",'Research &amp; Analysis'!G137)</x:f>
      </x:c>
      <x:c r="I865" s="12" t="str">
        <x:f>IF('Research &amp; Analysis'!H137="","",'Research &amp; Analysis'!H137)</x:f>
      </x:c>
      <x:c r="J865" s="12" t="n">
        <x:f>IF('Research &amp; Analysis'!I137="","",'Research &amp; Analysis'!I137)</x:f>
        <x:v>46112</x:v>
      </x:c>
      <x:c r="K865" s="12" t="str">
        <x:f>IF('Research &amp; Analysis'!J137="","",'Research &amp; Analysis'!J137)</x:f>
      </x:c>
      <x:c r="L865" s="2" t="str">
        <x:f>IF('Research &amp; Analysis'!K137="","",'Research &amp; Analysis'!K137)</x:f>
      </x:c>
      <x:c r="M865" s="2" t="n">
        <x:f>'Research &amp; Analysis'!Q137</x:f>
        <x:v>1</x:v>
      </x:c>
      <x:c r="N865" s="2" t="str">
        <x:f>'Research &amp; Analysis'!L137</x:f>
        <x:v>Not started</x:v>
      </x:c>
      <x:c r="O865" s="2" t="str">
        <x:f>'Research &amp; Analysis'!N137</x:f>
        <x:v>RA.PL.2.4.2026.CY1</x:v>
      </x:c>
      <x:c r="P865" s="2" t="n">
        <x:f>'Research &amp; Analysis'!O137</x:f>
        <x:v>0</x:v>
      </x:c>
      <x:c r="Q865" s="2" t="n">
        <x:f>SUBTOTAL(103,O865)</x:f>
        <x:v>1</x:v>
      </x:c>
      <x:c r="R865" s="2" t="n">
        <x:f>IF(AND(M865=1,OR(Dashboard!$B$7="All",Dashboard!$B$7='Cycles &amp; Guide'!$C$5),OR(Dashboard!$D$7="All",Dashboard!$D$7=B865),OR(Dashboard!$F$7="All",Dashboard!$F$7=C865),OR(Dashboard!$H$7="All",Dashboard!$H$7=D865),OR(Dashboard!$K$7="All",Dashboard!$K$7=E865)),1,0)</x:f>
        <x:v>1</x:v>
      </x:c>
      <x:c r="S865" s="2" t="n">
        <x:f>IF(R865=1,SUM($R$10:R865),0)</x:f>
        <x:v>492</x:v>
      </x:c>
      <x:c r="T865" s="2" t="str">
        <x:v>Research &amp; Analysis</x:v>
      </x:c>
      <x:c r="U865" s="2" t="n">
        <x:v>137</x:v>
      </x:c>
      <x:c r="V865" s="2" t="n">
        <x:f>IF(AND(M865=1,P865=0,ISNUMBER(J865),J865&lt;TODAY()),1,0)</x:f>
        <x:v>1</x:v>
      </x:c>
      <x:c r="W865" s="2" t="str">
        <x:f>'Research &amp; Analysis'!M137</x:f>
        <x:v>Task</x:v>
      </x:c>
    </x:row>
    <x:row r="866" ht="40" customHeight="1">
      <x:c r="A866" s="3" t="str">
        <x:f>HYPERLINK("#'Research &amp; Analysis'!A138","Open")</x:f>
        <x:v>Open</x:v>
      </x:c>
      <x:c r="B866" s="2" t="str">
        <x:f>'Research &amp; Analysis'!B138</x:f>
        <x:v>Cycle 1</x:v>
      </x:c>
      <x:c r="C866" s="2" t="str">
        <x:f>'Research &amp; Analysis'!C138</x:f>
        <x:v>Phase 2</x:v>
      </x:c>
      <x:c r="D866" s="2" t="str">
        <x:f>'Research &amp; Analysis'!D138</x:f>
        <x:v>PLL</x:v>
      </x:c>
      <x:c r="E866" s="2" t="str">
        <x:v>Research &amp; Analysis</x:v>
      </x:c>
      <x:c r="F866" s="56" t="str">
        <x:f>'Research &amp; Analysis'!E138</x:f>
        <x:v>RA.PL.2.5</x:v>
      </x:c>
      <x:c r="G866" s="14" t="str">
        <x:f>'Research &amp; Analysis'!F138</x:f>
        <x:v>Perform data testing and sampling</x:v>
      </x:c>
      <x:c r="H866" s="2" t="str">
        <x:f>IF('Research &amp; Analysis'!G138="","",'Research &amp; Analysis'!G138)</x:f>
      </x:c>
      <x:c r="I866" s="12" t="str">
        <x:f>IF('Research &amp; Analysis'!H138="","",'Research &amp; Analysis'!H138)</x:f>
      </x:c>
      <x:c r="J866" s="12" t="n">
        <x:f>IF('Research &amp; Analysis'!I138="","",'Research &amp; Analysis'!I138)</x:f>
        <x:v>46112</x:v>
      </x:c>
      <x:c r="K866" s="12" t="str">
        <x:f>IF('Research &amp; Analysis'!J138="","",'Research &amp; Analysis'!J138)</x:f>
      </x:c>
      <x:c r="L866" s="2" t="str">
        <x:f>IF('Research &amp; Analysis'!K138="","",'Research &amp; Analysis'!K138)</x:f>
      </x:c>
      <x:c r="M866" s="2" t="n">
        <x:f>'Research &amp; Analysis'!Q138</x:f>
        <x:v>1</x:v>
      </x:c>
      <x:c r="N866" s="2" t="str">
        <x:f>'Research &amp; Analysis'!L138</x:f>
        <x:v>Not started</x:v>
      </x:c>
      <x:c r="O866" s="2" t="str">
        <x:f>'Research &amp; Analysis'!N138</x:f>
        <x:v>RA.PL.2.5.2026.CY1</x:v>
      </x:c>
      <x:c r="P866" s="2" t="n">
        <x:f>'Research &amp; Analysis'!O138</x:f>
        <x:v>0</x:v>
      </x:c>
      <x:c r="Q866" s="2" t="n">
        <x:f>SUBTOTAL(103,O866)</x:f>
        <x:v>1</x:v>
      </x:c>
      <x:c r="R866" s="2" t="n">
        <x:f>IF(AND(M866=1,OR(Dashboard!$B$7="All",Dashboard!$B$7='Cycles &amp; Guide'!$C$5),OR(Dashboard!$D$7="All",Dashboard!$D$7=B866),OR(Dashboard!$F$7="All",Dashboard!$F$7=C866),OR(Dashboard!$H$7="All",Dashboard!$H$7=D866),OR(Dashboard!$K$7="All",Dashboard!$K$7=E866)),1,0)</x:f>
        <x:v>1</x:v>
      </x:c>
      <x:c r="S866" s="2" t="n">
        <x:f>IF(R866=1,SUM($R$10:R866),0)</x:f>
        <x:v>493</x:v>
      </x:c>
      <x:c r="T866" s="2" t="str">
        <x:v>Research &amp; Analysis</x:v>
      </x:c>
      <x:c r="U866" s="2" t="n">
        <x:v>138</x:v>
      </x:c>
      <x:c r="V866" s="2" t="n">
        <x:f>IF(AND(M866=1,P866=0,ISNUMBER(J866),J866&lt;TODAY()),1,0)</x:f>
        <x:v>1</x:v>
      </x:c>
      <x:c r="W866" s="2" t="str">
        <x:f>'Research &amp; Analysis'!M138</x:f>
        <x:v>Task</x:v>
      </x:c>
    </x:row>
    <x:row r="867" ht="40" customHeight="1">
      <x:c r="A867" s="3" t="str">
        <x:f>HYPERLINK("#'Research &amp; Analysis'!A139","Open")</x:f>
        <x:v>Open</x:v>
      </x:c>
      <x:c r="B867" s="2" t="str">
        <x:f>'Research &amp; Analysis'!B139</x:f>
        <x:v>Cycle 1</x:v>
      </x:c>
      <x:c r="C867" s="2" t="str">
        <x:f>'Research &amp; Analysis'!C139</x:f>
        <x:v>Phase 2</x:v>
      </x:c>
      <x:c r="D867" s="2" t="str">
        <x:f>'Research &amp; Analysis'!D139</x:f>
        <x:v>PLL</x:v>
      </x:c>
      <x:c r="E867" s="2" t="str">
        <x:v>Research &amp; Analysis</x:v>
      </x:c>
      <x:c r="F867" s="56" t="str">
        <x:f>'Research &amp; Analysis'!E139</x:f>
        <x:v>RA.PL.2.6</x:v>
      </x:c>
      <x:c r="G867" s="14" t="str">
        <x:f>'Research &amp; Analysis'!F139</x:f>
        <x:v>Complete Positive Testing</x:v>
      </x:c>
      <x:c r="H867" s="2" t="str">
        <x:f>IF('Research &amp; Analysis'!G139="","",'Research &amp; Analysis'!G139)</x:f>
      </x:c>
      <x:c r="I867" s="12" t="str">
        <x:f>IF('Research &amp; Analysis'!H139="","",'Research &amp; Analysis'!H139)</x:f>
      </x:c>
      <x:c r="J867" s="12" t="n">
        <x:f>IF('Research &amp; Analysis'!I139="","",'Research &amp; Analysis'!I139)</x:f>
        <x:v>46112</x:v>
      </x:c>
      <x:c r="K867" s="12" t="str">
        <x:f>IF('Research &amp; Analysis'!J139="","",'Research &amp; Analysis'!J139)</x:f>
      </x:c>
      <x:c r="L867" s="2" t="str">
        <x:f>IF('Research &amp; Analysis'!K139="","",'Research &amp; Analysis'!K139)</x:f>
      </x:c>
      <x:c r="M867" s="2" t="n">
        <x:f>'Research &amp; Analysis'!Q139</x:f>
        <x:v>1</x:v>
      </x:c>
      <x:c r="N867" s="2" t="str">
        <x:f>'Research &amp; Analysis'!L139</x:f>
        <x:v>Not started</x:v>
      </x:c>
      <x:c r="O867" s="2" t="str">
        <x:f>'Research &amp; Analysis'!N139</x:f>
        <x:v>RA.PL.2.6.2026.CY1</x:v>
      </x:c>
      <x:c r="P867" s="2" t="n">
        <x:f>'Research &amp; Analysis'!O139</x:f>
        <x:v>0</x:v>
      </x:c>
      <x:c r="Q867" s="2" t="n">
        <x:f>SUBTOTAL(103,O867)</x:f>
        <x:v>1</x:v>
      </x:c>
      <x:c r="R867" s="2" t="n">
        <x:f>IF(AND(M867=1,OR(Dashboard!$B$7="All",Dashboard!$B$7='Cycles &amp; Guide'!$C$5),OR(Dashboard!$D$7="All",Dashboard!$D$7=B867),OR(Dashboard!$F$7="All",Dashboard!$F$7=C867),OR(Dashboard!$H$7="All",Dashboard!$H$7=D867),OR(Dashboard!$K$7="All",Dashboard!$K$7=E867)),1,0)</x:f>
        <x:v>1</x:v>
      </x:c>
      <x:c r="S867" s="2" t="n">
        <x:f>IF(R867=1,SUM($R$10:R867),0)</x:f>
        <x:v>494</x:v>
      </x:c>
      <x:c r="T867" s="2" t="str">
        <x:v>Research &amp; Analysis</x:v>
      </x:c>
      <x:c r="U867" s="2" t="n">
        <x:v>139</x:v>
      </x:c>
      <x:c r="V867" s="2" t="n">
        <x:f>IF(AND(M867=1,P867=0,ISNUMBER(J867),J867&lt;TODAY()),1,0)</x:f>
        <x:v>1</x:v>
      </x:c>
      <x:c r="W867" s="2" t="str">
        <x:f>'Research &amp; Analysis'!M139</x:f>
        <x:v>Task</x:v>
      </x:c>
    </x:row>
    <x:row r="868" ht="40" customHeight="1">
      <x:c r="A868" s="3" t="str">
        <x:f>HYPERLINK("#'Research &amp; Analysis'!A140","Open")</x:f>
        <x:v>Open</x:v>
      </x:c>
      <x:c r="B868" s="2" t="str">
        <x:f>'Research &amp; Analysis'!B140</x:f>
        <x:v>Cycle 1</x:v>
      </x:c>
      <x:c r="C868" s="2" t="str">
        <x:f>'Research &amp; Analysis'!C140</x:f>
        <x:v>Phase 2</x:v>
      </x:c>
      <x:c r="D868" s="2" t="str">
        <x:f>'Research &amp; Analysis'!D140</x:f>
        <x:v>PLL</x:v>
      </x:c>
      <x:c r="E868" s="2" t="str">
        <x:v>Research &amp; Analysis</x:v>
      </x:c>
      <x:c r="F868" s="56" t="str">
        <x:f>'Research &amp; Analysis'!E140</x:f>
        <x:v>RA.PL.2.7</x:v>
      </x:c>
      <x:c r="G868" s="14" t="str">
        <x:f>'Research &amp; Analysis'!F140</x:f>
        <x:v>Complete Negative Testing</x:v>
      </x:c>
      <x:c r="H868" s="2" t="str">
        <x:f>IF('Research &amp; Analysis'!G140="","",'Research &amp; Analysis'!G140)</x:f>
      </x:c>
      <x:c r="I868" s="12" t="str">
        <x:f>IF('Research &amp; Analysis'!H140="","",'Research &amp; Analysis'!H140)</x:f>
      </x:c>
      <x:c r="J868" s="12" t="n">
        <x:f>IF('Research &amp; Analysis'!I140="","",'Research &amp; Analysis'!I140)</x:f>
        <x:v>46112</x:v>
      </x:c>
      <x:c r="K868" s="12" t="str">
        <x:f>IF('Research &amp; Analysis'!J140="","",'Research &amp; Analysis'!J140)</x:f>
      </x:c>
      <x:c r="L868" s="2" t="str">
        <x:f>IF('Research &amp; Analysis'!K140="","",'Research &amp; Analysis'!K140)</x:f>
      </x:c>
      <x:c r="M868" s="2" t="n">
        <x:f>'Research &amp; Analysis'!Q140</x:f>
        <x:v>1</x:v>
      </x:c>
      <x:c r="N868" s="2" t="str">
        <x:f>'Research &amp; Analysis'!L140</x:f>
        <x:v>Not started</x:v>
      </x:c>
      <x:c r="O868" s="2" t="str">
        <x:f>'Research &amp; Analysis'!N140</x:f>
        <x:v>RA.PL.2.7.2026.CY1</x:v>
      </x:c>
      <x:c r="P868" s="2" t="n">
        <x:f>'Research &amp; Analysis'!O140</x:f>
        <x:v>0</x:v>
      </x:c>
      <x:c r="Q868" s="2" t="n">
        <x:f>SUBTOTAL(103,O868)</x:f>
        <x:v>1</x:v>
      </x:c>
      <x:c r="R868" s="2" t="n">
        <x:f>IF(AND(M868=1,OR(Dashboard!$B$7="All",Dashboard!$B$7='Cycles &amp; Guide'!$C$5),OR(Dashboard!$D$7="All",Dashboard!$D$7=B868),OR(Dashboard!$F$7="All",Dashboard!$F$7=C868),OR(Dashboard!$H$7="All",Dashboard!$H$7=D868),OR(Dashboard!$K$7="All",Dashboard!$K$7=E868)),1,0)</x:f>
        <x:v>1</x:v>
      </x:c>
      <x:c r="S868" s="2" t="n">
        <x:f>IF(R868=1,SUM($R$10:R868),0)</x:f>
        <x:v>495</x:v>
      </x:c>
      <x:c r="T868" s="2" t="str">
        <x:v>Research &amp; Analysis</x:v>
      </x:c>
      <x:c r="U868" s="2" t="n">
        <x:v>140</x:v>
      </x:c>
      <x:c r="V868" s="2" t="n">
        <x:f>IF(AND(M868=1,P868=0,ISNUMBER(J868),J868&lt;TODAY()),1,0)</x:f>
        <x:v>1</x:v>
      </x:c>
      <x:c r="W868" s="2" t="str">
        <x:f>'Research &amp; Analysis'!M140</x:f>
        <x:v>Task</x:v>
      </x:c>
    </x:row>
    <x:row r="869" ht="40" customHeight="1">
      <x:c r="A869" s="3" t="str">
        <x:f>HYPERLINK("#'Research &amp; Analysis'!A141","Open")</x:f>
        <x:v>Open</x:v>
      </x:c>
      <x:c r="B869" s="2" t="str">
        <x:f>'Research &amp; Analysis'!B141</x:f>
        <x:v>Cycle 1</x:v>
      </x:c>
      <x:c r="C869" s="2" t="str">
        <x:f>'Research &amp; Analysis'!C141</x:f>
        <x:v>Phase 2</x:v>
      </x:c>
      <x:c r="D869" s="2" t="str">
        <x:f>'Research &amp; Analysis'!D141</x:f>
        <x:v>PLL</x:v>
      </x:c>
      <x:c r="E869" s="2" t="str">
        <x:v>Research &amp; Analysis</x:v>
      </x:c>
      <x:c r="F869" s="56" t="str">
        <x:f>'Research &amp; Analysis'!E141</x:f>
        <x:v>RA.PL.2.8</x:v>
      </x:c>
      <x:c r="G869" s="14" t="str">
        <x:f>'Research &amp; Analysis'!F141</x:f>
        <x:v>Request additional data (as needed)</x:v>
      </x:c>
      <x:c r="H869" s="2" t="str">
        <x:f>IF('Research &amp; Analysis'!G141="","",'Research &amp; Analysis'!G141)</x:f>
      </x:c>
      <x:c r="I869" s="12" t="str">
        <x:f>IF('Research &amp; Analysis'!H141="","",'Research &amp; Analysis'!H141)</x:f>
      </x:c>
      <x:c r="J869" s="12" t="n">
        <x:f>IF('Research &amp; Analysis'!I141="","",'Research &amp; Analysis'!I141)</x:f>
        <x:v>46112</x:v>
      </x:c>
      <x:c r="K869" s="12" t="str">
        <x:f>IF('Research &amp; Analysis'!J141="","",'Research &amp; Analysis'!J141)</x:f>
      </x:c>
      <x:c r="L869" s="2" t="str">
        <x:f>IF('Research &amp; Analysis'!K141="","",'Research &amp; Analysis'!K141)</x:f>
      </x:c>
      <x:c r="M869" s="2" t="n">
        <x:f>'Research &amp; Analysis'!Q141</x:f>
        <x:v>1</x:v>
      </x:c>
      <x:c r="N869" s="2" t="str">
        <x:f>'Research &amp; Analysis'!L141</x:f>
        <x:v>Not started</x:v>
      </x:c>
      <x:c r="O869" s="2" t="str">
        <x:f>'Research &amp; Analysis'!N141</x:f>
        <x:v>RA.PL.2.8.2026.CY1</x:v>
      </x:c>
      <x:c r="P869" s="2" t="n">
        <x:f>'Research &amp; Analysis'!O141</x:f>
        <x:v>0</x:v>
      </x:c>
      <x:c r="Q869" s="2" t="n">
        <x:f>SUBTOTAL(103,O869)</x:f>
        <x:v>1</x:v>
      </x:c>
      <x:c r="R869" s="2" t="n">
        <x:f>IF(AND(M869=1,OR(Dashboard!$B$7="All",Dashboard!$B$7='Cycles &amp; Guide'!$C$5),OR(Dashboard!$D$7="All",Dashboard!$D$7=B869),OR(Dashboard!$F$7="All",Dashboard!$F$7=C869),OR(Dashboard!$H$7="All",Dashboard!$H$7=D869),OR(Dashboard!$K$7="All",Dashboard!$K$7=E869)),1,0)</x:f>
        <x:v>1</x:v>
      </x:c>
      <x:c r="S869" s="2" t="n">
        <x:f>IF(R869=1,SUM($R$10:R869),0)</x:f>
        <x:v>496</x:v>
      </x:c>
      <x:c r="T869" s="2" t="str">
        <x:v>Research &amp; Analysis</x:v>
      </x:c>
      <x:c r="U869" s="2" t="n">
        <x:v>141</x:v>
      </x:c>
      <x:c r="V869" s="2" t="n">
        <x:f>IF(AND(M869=1,P869=0,ISNUMBER(J869),J869&lt;TODAY()),1,0)</x:f>
        <x:v>1</x:v>
      </x:c>
      <x:c r="W869" s="2" t="str">
        <x:f>'Research &amp; Analysis'!M141</x:f>
        <x:v>Task</x:v>
      </x:c>
    </x:row>
    <x:row r="870" ht="40" customHeight="1">
      <x:c r="A870" s="3" t="str">
        <x:f>HYPERLINK("#'Research &amp; Analysis'!A142","Open")</x:f>
        <x:v>Open</x:v>
      </x:c>
      <x:c r="B870" s="2" t="str">
        <x:f>'Research &amp; Analysis'!B142</x:f>
        <x:v>Cycle 1</x:v>
      </x:c>
      <x:c r="C870" s="2" t="str">
        <x:f>'Research &amp; Analysis'!C142</x:f>
        <x:v>Phase 2</x:v>
      </x:c>
      <x:c r="D870" s="2" t="str">
        <x:f>'Research &amp; Analysis'!D142</x:f>
        <x:v>PLL</x:v>
      </x:c>
      <x:c r="E870" s="2" t="str">
        <x:v>Research &amp; Analysis</x:v>
      </x:c>
      <x:c r="F870" s="56" t="str">
        <x:f>'Research &amp; Analysis'!E142</x:f>
        <x:v>RA.PL.2.9</x:v>
      </x:c>
      <x:c r="G870" s="14" t="str">
        <x:f>'Research &amp; Analysis'!F142</x:f>
        <x:v>Validate or disprove initial hypothesis assumptions</x:v>
      </x:c>
      <x:c r="H870" s="2" t="str">
        <x:f>IF('Research &amp; Analysis'!G142="","",'Research &amp; Analysis'!G142)</x:f>
      </x:c>
      <x:c r="I870" s="12" t="str">
        <x:f>IF('Research &amp; Analysis'!H142="","",'Research &amp; Analysis'!H142)</x:f>
      </x:c>
      <x:c r="J870" s="12" t="n">
        <x:f>IF('Research &amp; Analysis'!I142="","",'Research &amp; Analysis'!I142)</x:f>
        <x:v>46112</x:v>
      </x:c>
      <x:c r="K870" s="12" t="str">
        <x:f>IF('Research &amp; Analysis'!J142="","",'Research &amp; Analysis'!J142)</x:f>
      </x:c>
      <x:c r="L870" s="2" t="str">
        <x:f>IF('Research &amp; Analysis'!K142="","",'Research &amp; Analysis'!K142)</x:f>
      </x:c>
      <x:c r="M870" s="2" t="n">
        <x:f>'Research &amp; Analysis'!Q142</x:f>
        <x:v>1</x:v>
      </x:c>
      <x:c r="N870" s="2" t="str">
        <x:f>'Research &amp; Analysis'!L142</x:f>
        <x:v>Not started</x:v>
      </x:c>
      <x:c r="O870" s="2" t="str">
        <x:f>'Research &amp; Analysis'!N142</x:f>
        <x:v>RA.PL.2.9.2026.CY1</x:v>
      </x:c>
      <x:c r="P870" s="2" t="n">
        <x:f>'Research &amp; Analysis'!O142</x:f>
        <x:v>0</x:v>
      </x:c>
      <x:c r="Q870" s="2" t="n">
        <x:f>SUBTOTAL(103,O870)</x:f>
        <x:v>1</x:v>
      </x:c>
      <x:c r="R870" s="2" t="n">
        <x:f>IF(AND(M870=1,OR(Dashboard!$B$7="All",Dashboard!$B$7='Cycles &amp; Guide'!$C$5),OR(Dashboard!$D$7="All",Dashboard!$D$7=B870),OR(Dashboard!$F$7="All",Dashboard!$F$7=C870),OR(Dashboard!$H$7="All",Dashboard!$H$7=D870),OR(Dashboard!$K$7="All",Dashboard!$K$7=E870)),1,0)</x:f>
        <x:v>1</x:v>
      </x:c>
      <x:c r="S870" s="2" t="n">
        <x:f>IF(R870=1,SUM($R$10:R870),0)</x:f>
        <x:v>497</x:v>
      </x:c>
      <x:c r="T870" s="2" t="str">
        <x:v>Research &amp; Analysis</x:v>
      </x:c>
      <x:c r="U870" s="2" t="n">
        <x:v>142</x:v>
      </x:c>
      <x:c r="V870" s="2" t="n">
        <x:f>IF(AND(M870=1,P870=0,ISNUMBER(J870),J870&lt;TODAY()),1,0)</x:f>
        <x:v>1</x:v>
      </x:c>
      <x:c r="W870" s="2" t="str">
        <x:f>'Research &amp; Analysis'!M142</x:f>
        <x:v>Task</x:v>
      </x:c>
    </x:row>
    <x:row r="871" ht="40" customHeight="1">
      <x:c r="A871" s="3" t="str">
        <x:f>HYPERLINK("#'Research &amp; Analysis'!A143","Open")</x:f>
        <x:v>Open</x:v>
      </x:c>
      <x:c r="B871" s="2" t="str">
        <x:f>'Research &amp; Analysis'!B143</x:f>
        <x:v>Cycle 1</x:v>
      </x:c>
      <x:c r="C871" s="2" t="str">
        <x:f>'Research &amp; Analysis'!C143</x:f>
        <x:v>Phase 2</x:v>
      </x:c>
      <x:c r="D871" s="2" t="str">
        <x:f>'Research &amp; Analysis'!D143</x:f>
        <x:v>PLL</x:v>
      </x:c>
      <x:c r="E871" s="2" t="str">
        <x:v>Research &amp; Analysis</x:v>
      </x:c>
      <x:c r="F871" s="56" t="str">
        <x:f>'Research &amp; Analysis'!E143</x:f>
        <x:v>RA.PL.2.10</x:v>
      </x:c>
      <x:c r="G871" s="14" t="str">
        <x:f>'Research &amp; Analysis'!F143</x:f>
        <x:v>Identify and confirm root cause</x:v>
      </x:c>
      <x:c r="H871" s="2" t="str">
        <x:f>IF('Research &amp; Analysis'!G143="","",'Research &amp; Analysis'!G143)</x:f>
      </x:c>
      <x:c r="I871" s="12" t="str">
        <x:f>IF('Research &amp; Analysis'!H143="","",'Research &amp; Analysis'!H143)</x:f>
      </x:c>
      <x:c r="J871" s="12" t="n">
        <x:f>IF('Research &amp; Analysis'!I143="","",'Research &amp; Analysis'!I143)</x:f>
        <x:v>46112</x:v>
      </x:c>
      <x:c r="K871" s="12" t="str">
        <x:f>IF('Research &amp; Analysis'!J143="","",'Research &amp; Analysis'!J143)</x:f>
      </x:c>
      <x:c r="L871" s="2" t="str">
        <x:f>IF('Research &amp; Analysis'!K143="","",'Research &amp; Analysis'!K143)</x:f>
      </x:c>
      <x:c r="M871" s="2" t="n">
        <x:f>'Research &amp; Analysis'!Q143</x:f>
        <x:v>1</x:v>
      </x:c>
      <x:c r="N871" s="2" t="str">
        <x:f>'Research &amp; Analysis'!L143</x:f>
        <x:v>Not started</x:v>
      </x:c>
      <x:c r="O871" s="2" t="str">
        <x:f>'Research &amp; Analysis'!N143</x:f>
        <x:v>RA.PL.2.10.2026.CY1</x:v>
      </x:c>
      <x:c r="P871" s="2" t="n">
        <x:f>'Research &amp; Analysis'!O143</x:f>
        <x:v>0</x:v>
      </x:c>
      <x:c r="Q871" s="2" t="n">
        <x:f>SUBTOTAL(103,O871)</x:f>
        <x:v>1</x:v>
      </x:c>
      <x:c r="R871" s="2" t="n">
        <x:f>IF(AND(M871=1,OR(Dashboard!$B$7="All",Dashboard!$B$7='Cycles &amp; Guide'!$C$5),OR(Dashboard!$D$7="All",Dashboard!$D$7=B871),OR(Dashboard!$F$7="All",Dashboard!$F$7=C871),OR(Dashboard!$H$7="All",Dashboard!$H$7=D871),OR(Dashboard!$K$7="All",Dashboard!$K$7=E871)),1,0)</x:f>
        <x:v>1</x:v>
      </x:c>
      <x:c r="S871" s="2" t="n">
        <x:f>IF(R871=1,SUM($R$10:R871),0)</x:f>
        <x:v>498</x:v>
      </x:c>
      <x:c r="T871" s="2" t="str">
        <x:v>Research &amp; Analysis</x:v>
      </x:c>
      <x:c r="U871" s="2" t="n">
        <x:v>143</x:v>
      </x:c>
      <x:c r="V871" s="2" t="n">
        <x:f>IF(AND(M871=1,P871=0,ISNUMBER(J871),J871&lt;TODAY()),1,0)</x:f>
        <x:v>1</x:v>
      </x:c>
      <x:c r="W871" s="2" t="str">
        <x:f>'Research &amp; Analysis'!M143</x:f>
        <x:v>Task</x:v>
      </x:c>
    </x:row>
    <x:row r="872" ht="40" customHeight="1">
      <x:c r="A872" s="3" t="str">
        <x:f>HYPERLINK("#'Research &amp; Analysis'!A144","Open")</x:f>
        <x:v>Open</x:v>
      </x:c>
      <x:c r="B872" s="2" t="str">
        <x:f>'Research &amp; Analysis'!B144</x:f>
        <x:v>Cycle 1</x:v>
      </x:c>
      <x:c r="C872" s="2" t="str">
        <x:f>'Research &amp; Analysis'!C144</x:f>
        <x:v>Phase 3</x:v>
      </x:c>
      <x:c r="D872" s="2" t="str">
        <x:f>'Research &amp; Analysis'!D144</x:f>
        <x:v>PLL</x:v>
      </x:c>
      <x:c r="E872" s="2" t="str">
        <x:v>Research &amp; Analysis</x:v>
      </x:c>
      <x:c r="F872" s="56" t="str">
        <x:f>'Research &amp; Analysis'!E144</x:f>
        <x:v>RA.PL.3.1</x:v>
      </x:c>
      <x:c r="G872" s="14" t="str">
        <x:f>'Research &amp; Analysis'!F144</x:f>
        <x:v>Finalize results and supporting documentation</x:v>
      </x:c>
      <x:c r="H872" s="2" t="str">
        <x:f>IF('Research &amp; Analysis'!G144="","",'Research &amp; Analysis'!G144)</x:f>
      </x:c>
      <x:c r="I872" s="12" t="str">
        <x:f>IF('Research &amp; Analysis'!H144="","",'Research &amp; Analysis'!H144)</x:f>
      </x:c>
      <x:c r="J872" s="12" t="n">
        <x:f>IF('Research &amp; Analysis'!I144="","",'Research &amp; Analysis'!I144)</x:f>
        <x:v>46112</x:v>
      </x:c>
      <x:c r="K872" s="12" t="str">
        <x:f>IF('Research &amp; Analysis'!J144="","",'Research &amp; Analysis'!J144)</x:f>
      </x:c>
      <x:c r="L872" s="2" t="str">
        <x:f>IF('Research &amp; Analysis'!K144="","",'Research &amp; Analysis'!K144)</x:f>
      </x:c>
      <x:c r="M872" s="2" t="n">
        <x:f>'Research &amp; Analysis'!Q144</x:f>
        <x:v>1</x:v>
      </x:c>
      <x:c r="N872" s="2" t="str">
        <x:f>'Research &amp; Analysis'!L144</x:f>
        <x:v>Not started</x:v>
      </x:c>
      <x:c r="O872" s="2" t="str">
        <x:f>'Research &amp; Analysis'!N144</x:f>
        <x:v>RA.PL.3.1.2026.CY1</x:v>
      </x:c>
      <x:c r="P872" s="2" t="n">
        <x:f>'Research &amp; Analysis'!O144</x:f>
        <x:v>0</x:v>
      </x:c>
      <x:c r="Q872" s="2" t="n">
        <x:f>SUBTOTAL(103,O872)</x:f>
        <x:v>1</x:v>
      </x:c>
      <x:c r="R872" s="2" t="n">
        <x:f>IF(AND(M872=1,OR(Dashboard!$B$7="All",Dashboard!$B$7='Cycles &amp; Guide'!$C$5),OR(Dashboard!$D$7="All",Dashboard!$D$7=B872),OR(Dashboard!$F$7="All",Dashboard!$F$7=C872),OR(Dashboard!$H$7="All",Dashboard!$H$7=D872),OR(Dashboard!$K$7="All",Dashboard!$K$7=E872)),1,0)</x:f>
        <x:v>1</x:v>
      </x:c>
      <x:c r="S872" s="2" t="n">
        <x:f>IF(R872=1,SUM($R$10:R872),0)</x:f>
        <x:v>499</x:v>
      </x:c>
      <x:c r="T872" s="2" t="str">
        <x:v>Research &amp; Analysis</x:v>
      </x:c>
      <x:c r="U872" s="2" t="n">
        <x:v>144</x:v>
      </x:c>
      <x:c r="V872" s="2" t="n">
        <x:f>IF(AND(M872=1,P872=0,ISNUMBER(J872),J872&lt;TODAY()),1,0)</x:f>
        <x:v>1</x:v>
      </x:c>
      <x:c r="W872" s="2" t="str">
        <x:f>'Research &amp; Analysis'!M144</x:f>
        <x:v>Task</x:v>
      </x:c>
    </x:row>
    <x:row r="873" ht="40" customHeight="1">
      <x:c r="A873" s="3" t="str">
        <x:f>HYPERLINK("#'Research &amp; Analysis'!A145","Open")</x:f>
        <x:v>Open</x:v>
      </x:c>
      <x:c r="B873" s="2" t="str">
        <x:f>'Research &amp; Analysis'!B145</x:f>
        <x:v>Cycle 1</x:v>
      </x:c>
      <x:c r="C873" s="2" t="str">
        <x:f>'Research &amp; Analysis'!C145</x:f>
        <x:v>Phase 3</x:v>
      </x:c>
      <x:c r="D873" s="2" t="str">
        <x:f>'Research &amp; Analysis'!D145</x:f>
        <x:v>PLL</x:v>
      </x:c>
      <x:c r="E873" s="2" t="str">
        <x:v>Research &amp; Analysis</x:v>
      </x:c>
      <x:c r="F873" s="56" t="str">
        <x:f>'Research &amp; Analysis'!E145</x:f>
        <x:v>RA.PL.3.2</x:v>
      </x:c>
      <x:c r="G873" s="14" t="str">
        <x:f>'Research &amp; Analysis'!F145</x:f>
        <x:v>Maintain and update the evidence package prior to handoff to D&amp;I</x:v>
      </x:c>
      <x:c r="H873" s="2" t="str">
        <x:f>IF('Research &amp; Analysis'!G145="","",'Research &amp; Analysis'!G145)</x:f>
      </x:c>
      <x:c r="I873" s="12" t="str">
        <x:f>IF('Research &amp; Analysis'!H145="","",'Research &amp; Analysis'!H145)</x:f>
      </x:c>
      <x:c r="J873" s="12" t="n">
        <x:f>IF('Research &amp; Analysis'!I145="","",'Research &amp; Analysis'!I145)</x:f>
        <x:v>46112</x:v>
      </x:c>
      <x:c r="K873" s="12" t="str">
        <x:f>IF('Research &amp; Analysis'!J145="","",'Research &amp; Analysis'!J145)</x:f>
      </x:c>
      <x:c r="L873" s="2" t="str">
        <x:f>IF('Research &amp; Analysis'!K145="","",'Research &amp; Analysis'!K145)</x:f>
      </x:c>
      <x:c r="M873" s="2" t="n">
        <x:f>'Research &amp; Analysis'!Q145</x:f>
        <x:v>1</x:v>
      </x:c>
      <x:c r="N873" s="2" t="str">
        <x:f>'Research &amp; Analysis'!L145</x:f>
        <x:v>Not started</x:v>
      </x:c>
      <x:c r="O873" s="2" t="str">
        <x:f>'Research &amp; Analysis'!N145</x:f>
        <x:v>RA.PL.3.2.2026.CY1</x:v>
      </x:c>
      <x:c r="P873" s="2" t="n">
        <x:f>'Research &amp; Analysis'!O145</x:f>
        <x:v>0</x:v>
      </x:c>
      <x:c r="Q873" s="2" t="n">
        <x:f>SUBTOTAL(103,O873)</x:f>
        <x:v>1</x:v>
      </x:c>
      <x:c r="R873" s="2" t="n">
        <x:f>IF(AND(M873=1,OR(Dashboard!$B$7="All",Dashboard!$B$7='Cycles &amp; Guide'!$C$5),OR(Dashboard!$D$7="All",Dashboard!$D$7=B873),OR(Dashboard!$F$7="All",Dashboard!$F$7=C873),OR(Dashboard!$H$7="All",Dashboard!$H$7=D873),OR(Dashboard!$K$7="All",Dashboard!$K$7=E873)),1,0)</x:f>
        <x:v>1</x:v>
      </x:c>
      <x:c r="S873" s="2" t="n">
        <x:f>IF(R873=1,SUM($R$10:R873),0)</x:f>
        <x:v>500</x:v>
      </x:c>
      <x:c r="T873" s="2" t="str">
        <x:v>Research &amp; Analysis</x:v>
      </x:c>
      <x:c r="U873" s="2" t="n">
        <x:v>145</x:v>
      </x:c>
      <x:c r="V873" s="2" t="n">
        <x:f>IF(AND(M873=1,P873=0,ISNUMBER(J873),J873&lt;TODAY()),1,0)</x:f>
        <x:v>1</x:v>
      </x:c>
      <x:c r="W873" s="2" t="str">
        <x:f>'Research &amp; Analysis'!M145</x:f>
        <x:v>Task</x:v>
      </x:c>
    </x:row>
    <x:row r="874" ht="40" customHeight="1">
      <x:c r="A874" s="3" t="str">
        <x:f>HYPERLINK("#'Research &amp; Analysis'!A146","Open")</x:f>
        <x:v>Open</x:v>
      </x:c>
      <x:c r="B874" s="2" t="str">
        <x:f>'Research &amp; Analysis'!B146</x:f>
        <x:v>Cycle 1</x:v>
      </x:c>
      <x:c r="C874" s="2" t="str">
        <x:f>'Research &amp; Analysis'!C146</x:f>
        <x:v>Phase 3</x:v>
      </x:c>
      <x:c r="D874" s="2" t="str">
        <x:f>'Research &amp; Analysis'!D146</x:f>
        <x:v>PLL</x:v>
      </x:c>
      <x:c r="E874" s="2" t="str">
        <x:v>Research &amp; Analysis</x:v>
      </x:c>
      <x:c r="F874" s="56" t="str">
        <x:f>'Research &amp; Analysis'!E146</x:f>
        <x:v>RA.PL.3.3</x:v>
      </x:c>
      <x:c r="G874" s="14" t="str">
        <x:f>'Research &amp; Analysis'!F146</x:f>
        <x:v>Address any outstanding questions or requests from D&amp;I</x:v>
      </x:c>
      <x:c r="H874" s="2" t="str">
        <x:f>IF('Research &amp; Analysis'!G146="","",'Research &amp; Analysis'!G146)</x:f>
      </x:c>
      <x:c r="I874" s="12" t="str">
        <x:f>IF('Research &amp; Analysis'!H146="","",'Research &amp; Analysis'!H146)</x:f>
      </x:c>
      <x:c r="J874" s="12" t="n">
        <x:f>IF('Research &amp; Analysis'!I146="","",'Research &amp; Analysis'!I146)</x:f>
        <x:v>46112</x:v>
      </x:c>
      <x:c r="K874" s="12" t="str">
        <x:f>IF('Research &amp; Analysis'!J146="","",'Research &amp; Analysis'!J146)</x:f>
      </x:c>
      <x:c r="L874" s="2" t="str">
        <x:f>IF('Research &amp; Analysis'!K146="","",'Research &amp; Analysis'!K146)</x:f>
      </x:c>
      <x:c r="M874" s="2" t="n">
        <x:f>'Research &amp; Analysis'!Q146</x:f>
        <x:v>1</x:v>
      </x:c>
      <x:c r="N874" s="2" t="str">
        <x:f>'Research &amp; Analysis'!L146</x:f>
        <x:v>Not started</x:v>
      </x:c>
      <x:c r="O874" s="2" t="str">
        <x:f>'Research &amp; Analysis'!N146</x:f>
        <x:v>RA.PL.3.3.2026.CY1</x:v>
      </x:c>
      <x:c r="P874" s="2" t="n">
        <x:f>'Research &amp; Analysis'!O146</x:f>
        <x:v>0</x:v>
      </x:c>
      <x:c r="Q874" s="2" t="n">
        <x:f>SUBTOTAL(103,O874)</x:f>
        <x:v>1</x:v>
      </x:c>
      <x:c r="R874" s="2" t="n">
        <x:f>IF(AND(M874=1,OR(Dashboard!$B$7="All",Dashboard!$B$7='Cycles &amp; Guide'!$C$5),OR(Dashboard!$D$7="All",Dashboard!$D$7=B874),OR(Dashboard!$F$7="All",Dashboard!$F$7=C874),OR(Dashboard!$H$7="All",Dashboard!$H$7=D874),OR(Dashboard!$K$7="All",Dashboard!$K$7=E874)),1,0)</x:f>
        <x:v>1</x:v>
      </x:c>
      <x:c r="S874" s="2" t="n">
        <x:f>IF(R874=1,SUM($R$10:R874),0)</x:f>
        <x:v>501</x:v>
      </x:c>
      <x:c r="T874" s="2" t="str">
        <x:v>Research &amp; Analysis</x:v>
      </x:c>
      <x:c r="U874" s="2" t="n">
        <x:v>146</x:v>
      </x:c>
      <x:c r="V874" s="2" t="n">
        <x:f>IF(AND(M874=1,P874=0,ISNUMBER(J874),J874&lt;TODAY()),1,0)</x:f>
        <x:v>1</x:v>
      </x:c>
      <x:c r="W874" s="2" t="str">
        <x:f>'Research &amp; Analysis'!M146</x:f>
        <x:v>Task</x:v>
      </x:c>
    </x:row>
    <x:row r="875" ht="40" customHeight="1">
      <x:c r="A875" s="3" t="str">
        <x:f>HYPERLINK("#'Research &amp; Analysis'!A147","Open")</x:f>
        <x:v>Open</x:v>
      </x:c>
      <x:c r="B875" s="2" t="str">
        <x:f>'Research &amp; Analysis'!B147</x:f>
        <x:v>Cycle 1</x:v>
      </x:c>
      <x:c r="C875" s="2" t="str">
        <x:f>'Research &amp; Analysis'!C147</x:f>
        <x:v>Phase 3</x:v>
      </x:c>
      <x:c r="D875" s="2" t="str">
        <x:f>'Research &amp; Analysis'!D147</x:f>
        <x:v>PLL</x:v>
      </x:c>
      <x:c r="E875" s="2" t="str">
        <x:v>Research &amp; Analysis</x:v>
      </x:c>
      <x:c r="F875" s="56" t="str">
        <x:f>'Research &amp; Analysis'!E147</x:f>
        <x:v>RA.PL.3.4</x:v>
      </x:c>
      <x:c r="G875" s="14" t="str">
        <x:f>'Research &amp; Analysis'!F147</x:f>
        <x:v>Attend Forum meeting with D&amp;I to assist with answering stakeholder questions (as needed)</x:v>
      </x:c>
      <x:c r="H875" s="2" t="str">
        <x:f>IF('Research &amp; Analysis'!G147="","",'Research &amp; Analysis'!G147)</x:f>
      </x:c>
      <x:c r="I875" s="12" t="str">
        <x:f>IF('Research &amp; Analysis'!H147="","",'Research &amp; Analysis'!H147)</x:f>
      </x:c>
      <x:c r="J875" s="12" t="str">
        <x:f>IF('Research &amp; Analysis'!I147="","",'Research &amp; Analysis'!I147)</x:f>
      </x:c>
      <x:c r="K875" s="12" t="str">
        <x:f>IF('Research &amp; Analysis'!J147="","",'Research &amp; Analysis'!J147)</x:f>
      </x:c>
      <x:c r="L875" s="2" t="str">
        <x:f>IF('Research &amp; Analysis'!K147="","",'Research &amp; Analysis'!K147)</x:f>
      </x:c>
      <x:c r="M875" s="2" t="n">
        <x:f>'Research &amp; Analysis'!Q147</x:f>
        <x:v>1</x:v>
      </x:c>
      <x:c r="N875" s="2" t="str">
        <x:f>'Research &amp; Analysis'!L147</x:f>
        <x:v>Not started</x:v>
      </x:c>
      <x:c r="O875" s="2" t="str">
        <x:f>'Research &amp; Analysis'!N147</x:f>
        <x:v>RA.PL.3.4.2026.CY1</x:v>
      </x:c>
      <x:c r="P875" s="2" t="n">
        <x:f>'Research &amp; Analysis'!O147</x:f>
        <x:v>0</x:v>
      </x:c>
      <x:c r="Q875" s="2" t="n">
        <x:f>SUBTOTAL(103,O875)</x:f>
        <x:v>1</x:v>
      </x:c>
      <x:c r="R875" s="2" t="n">
        <x:f>IF(AND(M875=1,OR(Dashboard!$B$7="All",Dashboard!$B$7='Cycles &amp; Guide'!$C$5),OR(Dashboard!$D$7="All",Dashboard!$D$7=B875),OR(Dashboard!$F$7="All",Dashboard!$F$7=C875),OR(Dashboard!$H$7="All",Dashboard!$H$7=D875),OR(Dashboard!$K$7="All",Dashboard!$K$7=E875)),1,0)</x:f>
        <x:v>1</x:v>
      </x:c>
      <x:c r="S875" s="2" t="n">
        <x:f>IF(R875=1,SUM($R$10:R875),0)</x:f>
        <x:v>502</x:v>
      </x:c>
      <x:c r="T875" s="2" t="str">
        <x:v>Research &amp; Analysis</x:v>
      </x:c>
      <x:c r="U875" s="2" t="n">
        <x:v>147</x:v>
      </x:c>
      <x:c r="V875" s="2" t="n">
        <x:f>IF(AND(M875=1,P875=0,ISNUMBER(J875),J875&lt;TODAY()),1,0)</x:f>
        <x:v>0</x:v>
      </x:c>
      <x:c r="W875" s="2" t="str">
        <x:f>'Research &amp; Analysis'!M147</x:f>
        <x:v>Task</x:v>
      </x:c>
    </x:row>
    <x:row r="876" ht="40" customHeight="1">
      <x:c r="A876" s="3" t="str">
        <x:f>HYPERLINK("#'Research &amp; Analysis'!A148","Open")</x:f>
        <x:v>Open</x:v>
      </x:c>
      <x:c r="B876" s="2" t="str">
        <x:f>'Research &amp; Analysis'!B148</x:f>
        <x:v>Cycle 1</x:v>
      </x:c>
      <x:c r="C876" s="2" t="str">
        <x:f>'Research &amp; Analysis'!C148</x:f>
        <x:v>Phase 1</x:v>
      </x:c>
      <x:c r="D876" s="2" t="str">
        <x:f>'Research &amp; Analysis'!D148</x:f>
        <x:v>Retail Services</x:v>
      </x:c>
      <x:c r="E876" s="2" t="str">
        <x:v>Research &amp; Analysis</x:v>
      </x:c>
      <x:c r="F876" s="56" t="str">
        <x:f>'Research &amp; Analysis'!E148</x:f>
        <x:v>RA.RS.1.1</x:v>
      </x:c>
      <x:c r="G876" s="14" t="str">
        <x:f>'Research &amp; Analysis'!F148</x:f>
        <x:v>Begin Research process 2 weeks prior to Cycle start</x:v>
      </x:c>
      <x:c r="H876" s="2" t="str">
        <x:f>IF('Research &amp; Analysis'!G148="","",'Research &amp; Analysis'!G148)</x:f>
      </x:c>
      <x:c r="I876" s="12" t="str">
        <x:f>IF('Research &amp; Analysis'!H148="","",'Research &amp; Analysis'!H148)</x:f>
      </x:c>
      <x:c r="J876" s="12" t="n">
        <x:f>IF('Research &amp; Analysis'!I148="","",'Research &amp; Analysis'!I148)</x:f>
        <x:v>46009</x:v>
      </x:c>
      <x:c r="K876" s="12" t="str">
        <x:f>IF('Research &amp; Analysis'!J148="","",'Research &amp; Analysis'!J148)</x:f>
      </x:c>
      <x:c r="L876" s="2" t="str">
        <x:f>IF('Research &amp; Analysis'!K148="","",'Research &amp; Analysis'!K148)</x:f>
      </x:c>
      <x:c r="M876" s="2" t="n">
        <x:f>'Research &amp; Analysis'!Q148</x:f>
        <x:v>1</x:v>
      </x:c>
      <x:c r="N876" s="2" t="str">
        <x:f>'Research &amp; Analysis'!L148</x:f>
        <x:v>Not started</x:v>
      </x:c>
      <x:c r="O876" s="2" t="str">
        <x:f>'Research &amp; Analysis'!N148</x:f>
        <x:v>RA.RS.1.1.2026.CY1</x:v>
      </x:c>
      <x:c r="P876" s="2" t="n">
        <x:f>'Research &amp; Analysis'!O148</x:f>
        <x:v>0</x:v>
      </x:c>
      <x:c r="Q876" s="2" t="n">
        <x:f>SUBTOTAL(103,O876)</x:f>
        <x:v>1</x:v>
      </x:c>
      <x:c r="R876" s="2" t="n">
        <x:f>IF(AND(M876=1,OR(Dashboard!$B$7="All",Dashboard!$B$7='Cycles &amp; Guide'!$C$5),OR(Dashboard!$D$7="All",Dashboard!$D$7=B876),OR(Dashboard!$F$7="All",Dashboard!$F$7=C876),OR(Dashboard!$H$7="All",Dashboard!$H$7=D876),OR(Dashboard!$K$7="All",Dashboard!$K$7=E876)),1,0)</x:f>
        <x:v>1</x:v>
      </x:c>
      <x:c r="S876" s="2" t="n">
        <x:f>IF(R876=1,SUM($R$10:R876),0)</x:f>
        <x:v>503</x:v>
      </x:c>
      <x:c r="T876" s="2" t="str">
        <x:v>Research &amp; Analysis</x:v>
      </x:c>
      <x:c r="U876" s="2" t="n">
        <x:v>148</x:v>
      </x:c>
      <x:c r="V876" s="2" t="n">
        <x:f>IF(AND(M876=1,P876=0,ISNUMBER(J876),J876&lt;TODAY()),1,0)</x:f>
        <x:v>1</x:v>
      </x:c>
      <x:c r="W876" s="2" t="str">
        <x:f>'Research &amp; Analysis'!M148</x:f>
        <x:v>Task</x:v>
      </x:c>
    </x:row>
    <x:row r="877" ht="40" customHeight="1">
      <x:c r="A877" s="3" t="str">
        <x:f>HYPERLINK("#'Research &amp; Analysis'!A149","Open")</x:f>
        <x:v>Open</x:v>
      </x:c>
      <x:c r="B877" s="2" t="str">
        <x:f>'Research &amp; Analysis'!B149</x:f>
        <x:v>Cycle 1</x:v>
      </x:c>
      <x:c r="C877" s="2" t="str">
        <x:f>'Research &amp; Analysis'!C149</x:f>
        <x:v>Phase 1</x:v>
      </x:c>
      <x:c r="D877" s="2" t="str">
        <x:f>'Research &amp; Analysis'!D149</x:f>
        <x:v>Retail Services</x:v>
      </x:c>
      <x:c r="E877" s="2" t="str">
        <x:v>Research &amp; Analysis</x:v>
      </x:c>
      <x:c r="F877" s="56" t="str">
        <x:f>'Research &amp; Analysis'!E149</x:f>
        <x:v>RA.RS.1.2</x:v>
      </x:c>
      <x:c r="G877" s="14" t="str">
        <x:f>'Research &amp; Analysis'!F149</x:f>
        <x:v>Conduct initial assessment of each topic recommendation from SharePoint list</x:v>
      </x:c>
      <x:c r="H877" s="2" t="str">
        <x:f>IF('Research &amp; Analysis'!G149="","",'Research &amp; Analysis'!G149)</x:f>
      </x:c>
      <x:c r="I877" s="12" t="str">
        <x:f>IF('Research &amp; Analysis'!H149="","",'Research &amp; Analysis'!H149)</x:f>
      </x:c>
      <x:c r="J877" s="12" t="n">
        <x:f>IF('Research &amp; Analysis'!I149="","",'Research &amp; Analysis'!I149)</x:f>
        <x:v>46112</x:v>
      </x:c>
      <x:c r="K877" s="12" t="str">
        <x:f>IF('Research &amp; Analysis'!J149="","",'Research &amp; Analysis'!J149)</x:f>
      </x:c>
      <x:c r="L877" s="2" t="str">
        <x:f>IF('Research &amp; Analysis'!K149="","",'Research &amp; Analysis'!K149)</x:f>
      </x:c>
      <x:c r="M877" s="2" t="n">
        <x:f>'Research &amp; Analysis'!Q149</x:f>
        <x:v>1</x:v>
      </x:c>
      <x:c r="N877" s="2" t="str">
        <x:f>'Research &amp; Analysis'!L149</x:f>
        <x:v>Not started</x:v>
      </x:c>
      <x:c r="O877" s="2" t="str">
        <x:f>'Research &amp; Analysis'!N149</x:f>
        <x:v>RA.RS.1.2.2026.CY1</x:v>
      </x:c>
      <x:c r="P877" s="2" t="n">
        <x:f>'Research &amp; Analysis'!O149</x:f>
        <x:v>0</x:v>
      </x:c>
      <x:c r="Q877" s="2" t="n">
        <x:f>SUBTOTAL(103,O877)</x:f>
        <x:v>1</x:v>
      </x:c>
      <x:c r="R877" s="2" t="n">
        <x:f>IF(AND(M877=1,OR(Dashboard!$B$7="All",Dashboard!$B$7='Cycles &amp; Guide'!$C$5),OR(Dashboard!$D$7="All",Dashboard!$D$7=B877),OR(Dashboard!$F$7="All",Dashboard!$F$7=C877),OR(Dashboard!$H$7="All",Dashboard!$H$7=D877),OR(Dashboard!$K$7="All",Dashboard!$K$7=E877)),1,0)</x:f>
        <x:v>1</x:v>
      </x:c>
      <x:c r="S877" s="2" t="n">
        <x:f>IF(R877=1,SUM($R$10:R877),0)</x:f>
        <x:v>504</x:v>
      </x:c>
      <x:c r="T877" s="2" t="str">
        <x:v>Research &amp; Analysis</x:v>
      </x:c>
      <x:c r="U877" s="2" t="n">
        <x:v>149</x:v>
      </x:c>
      <x:c r="V877" s="2" t="n">
        <x:f>IF(AND(M877=1,P877=0,ISNUMBER(J877),J877&lt;TODAY()),1,0)</x:f>
        <x:v>1</x:v>
      </x:c>
      <x:c r="W877" s="2" t="str">
        <x:f>'Research &amp; Analysis'!M149</x:f>
        <x:v>Task</x:v>
      </x:c>
    </x:row>
    <x:row r="878" ht="40" customHeight="1">
      <x:c r="A878" s="3" t="str">
        <x:f>HYPERLINK("#'Research &amp; Analysis'!A150","Open")</x:f>
        <x:v>Open</x:v>
      </x:c>
      <x:c r="B878" s="2" t="str">
        <x:f>'Research &amp; Analysis'!B150</x:f>
        <x:v>Cycle 1</x:v>
      </x:c>
      <x:c r="C878" s="2" t="str">
        <x:f>'Research &amp; Analysis'!C150</x:f>
        <x:v>Phase 1</x:v>
      </x:c>
      <x:c r="D878" s="2" t="str">
        <x:f>'Research &amp; Analysis'!D150</x:f>
        <x:v>Retail Services</x:v>
      </x:c>
      <x:c r="E878" s="2" t="str">
        <x:v>Research &amp; Analysis</x:v>
      </x:c>
      <x:c r="F878" s="56" t="str">
        <x:f>'Research &amp; Analysis'!E150</x:f>
        <x:v>RA.RS.1.3</x:v>
      </x:c>
      <x:c r="G878" s="14" t="str">
        <x:f>'Research &amp; Analysis'!F150</x:f>
        <x:v>Identify best topic for Cycle</x:v>
      </x:c>
      <x:c r="H878" s="2" t="str">
        <x:f>IF('Research &amp; Analysis'!G150="","",'Research &amp; Analysis'!G150)</x:f>
      </x:c>
      <x:c r="I878" s="12" t="str">
        <x:f>IF('Research &amp; Analysis'!H150="","",'Research &amp; Analysis'!H150)</x:f>
      </x:c>
      <x:c r="J878" s="12" t="n">
        <x:f>IF('Research &amp; Analysis'!I150="","",'Research &amp; Analysis'!I150)</x:f>
        <x:v>46112</x:v>
      </x:c>
      <x:c r="K878" s="12" t="str">
        <x:f>IF('Research &amp; Analysis'!J150="","",'Research &amp; Analysis'!J150)</x:f>
      </x:c>
      <x:c r="L878" s="2" t="str">
        <x:f>IF('Research &amp; Analysis'!K150="","",'Research &amp; Analysis'!K150)</x:f>
      </x:c>
      <x:c r="M878" s="2" t="n">
        <x:f>'Research &amp; Analysis'!Q150</x:f>
        <x:v>1</x:v>
      </x:c>
      <x:c r="N878" s="2" t="str">
        <x:f>'Research &amp; Analysis'!L150</x:f>
        <x:v>Not started</x:v>
      </x:c>
      <x:c r="O878" s="2" t="str">
        <x:f>'Research &amp; Analysis'!N150</x:f>
        <x:v>RA.RS.1.3.2026.CY1</x:v>
      </x:c>
      <x:c r="P878" s="2" t="n">
        <x:f>'Research &amp; Analysis'!O150</x:f>
        <x:v>0</x:v>
      </x:c>
      <x:c r="Q878" s="2" t="n">
        <x:f>SUBTOTAL(103,O878)</x:f>
        <x:v>1</x:v>
      </x:c>
      <x:c r="R878" s="2" t="n">
        <x:f>IF(AND(M878=1,OR(Dashboard!$B$7="All",Dashboard!$B$7='Cycles &amp; Guide'!$C$5),OR(Dashboard!$D$7="All",Dashboard!$D$7=B878),OR(Dashboard!$F$7="All",Dashboard!$F$7=C878),OR(Dashboard!$H$7="All",Dashboard!$H$7=D878),OR(Dashboard!$K$7="All",Dashboard!$K$7=E878)),1,0)</x:f>
        <x:v>1</x:v>
      </x:c>
      <x:c r="S878" s="2" t="n">
        <x:f>IF(R878=1,SUM($R$10:R878),0)</x:f>
        <x:v>505</x:v>
      </x:c>
      <x:c r="T878" s="2" t="str">
        <x:v>Research &amp; Analysis</x:v>
      </x:c>
      <x:c r="U878" s="2" t="n">
        <x:v>150</x:v>
      </x:c>
      <x:c r="V878" s="2" t="n">
        <x:f>IF(AND(M878=1,P878=0,ISNUMBER(J878),J878&lt;TODAY()),1,0)</x:f>
        <x:v>1</x:v>
      </x:c>
      <x:c r="W878" s="2" t="str">
        <x:f>'Research &amp; Analysis'!M150</x:f>
        <x:v>Task</x:v>
      </x:c>
    </x:row>
    <x:row r="879" ht="40" customHeight="1">
      <x:c r="A879" s="3" t="str">
        <x:f>HYPERLINK("#'Research &amp; Analysis'!A151","Open")</x:f>
        <x:v>Open</x:v>
      </x:c>
      <x:c r="B879" s="2" t="str">
        <x:f>'Research &amp; Analysis'!B151</x:f>
        <x:v>Cycle 1</x:v>
      </x:c>
      <x:c r="C879" s="2" t="str">
        <x:f>'Research &amp; Analysis'!C151</x:f>
        <x:v>Phase 1</x:v>
      </x:c>
      <x:c r="D879" s="2" t="str">
        <x:f>'Research &amp; Analysis'!D151</x:f>
        <x:v>Retail Services</x:v>
      </x:c>
      <x:c r="E879" s="2" t="str">
        <x:v>Research &amp; Analysis</x:v>
      </x:c>
      <x:c r="F879" s="56" t="str">
        <x:f>'Research &amp; Analysis'!E151</x:f>
        <x:v>RA.RS.1.4</x:v>
      </x:c>
      <x:c r="G879" s="14" t="str">
        <x:f>'Research &amp; Analysis'!F151</x:f>
        <x:v>Identify backup topic for Cycle</x:v>
      </x:c>
      <x:c r="H879" s="2" t="str">
        <x:f>IF('Research &amp; Analysis'!G151="","",'Research &amp; Analysis'!G151)</x:f>
      </x:c>
      <x:c r="I879" s="12" t="str">
        <x:f>IF('Research &amp; Analysis'!H151="","",'Research &amp; Analysis'!H151)</x:f>
      </x:c>
      <x:c r="J879" s="12" t="n">
        <x:f>IF('Research &amp; Analysis'!I151="","",'Research &amp; Analysis'!I151)</x:f>
        <x:v>46112</x:v>
      </x:c>
      <x:c r="K879" s="12" t="str">
        <x:f>IF('Research &amp; Analysis'!J151="","",'Research &amp; Analysis'!J151)</x:f>
      </x:c>
      <x:c r="L879" s="2" t="str">
        <x:f>IF('Research &amp; Analysis'!K151="","",'Research &amp; Analysis'!K151)</x:f>
      </x:c>
      <x:c r="M879" s="2" t="n">
        <x:f>'Research &amp; Analysis'!Q151</x:f>
        <x:v>1</x:v>
      </x:c>
      <x:c r="N879" s="2" t="str">
        <x:f>'Research &amp; Analysis'!L151</x:f>
        <x:v>Not started</x:v>
      </x:c>
      <x:c r="O879" s="2" t="str">
        <x:f>'Research &amp; Analysis'!N151</x:f>
        <x:v>RA.RS.1.4.2026.CY1</x:v>
      </x:c>
      <x:c r="P879" s="2" t="n">
        <x:f>'Research &amp; Analysis'!O151</x:f>
        <x:v>0</x:v>
      </x:c>
      <x:c r="Q879" s="2" t="n">
        <x:f>SUBTOTAL(103,O879)</x:f>
        <x:v>1</x:v>
      </x:c>
      <x:c r="R879" s="2" t="n">
        <x:f>IF(AND(M879=1,OR(Dashboard!$B$7="All",Dashboard!$B$7='Cycles &amp; Guide'!$C$5),OR(Dashboard!$D$7="All",Dashboard!$D$7=B879),OR(Dashboard!$F$7="All",Dashboard!$F$7=C879),OR(Dashboard!$H$7="All",Dashboard!$H$7=D879),OR(Dashboard!$K$7="All",Dashboard!$K$7=E879)),1,0)</x:f>
        <x:v>1</x:v>
      </x:c>
      <x:c r="S879" s="2" t="n">
        <x:f>IF(R879=1,SUM($R$10:R879),0)</x:f>
        <x:v>506</x:v>
      </x:c>
      <x:c r="T879" s="2" t="str">
        <x:v>Research &amp; Analysis</x:v>
      </x:c>
      <x:c r="U879" s="2" t="n">
        <x:v>151</x:v>
      </x:c>
      <x:c r="V879" s="2" t="n">
        <x:f>IF(AND(M879=1,P879=0,ISNUMBER(J879),J879&lt;TODAY()),1,0)</x:f>
        <x:v>1</x:v>
      </x:c>
      <x:c r="W879" s="2" t="str">
        <x:f>'Research &amp; Analysis'!M151</x:f>
        <x:v>Task</x:v>
      </x:c>
    </x:row>
    <x:row r="880" ht="40" customHeight="1">
      <x:c r="A880" s="3" t="str">
        <x:f>HYPERLINK("#'Research &amp; Analysis'!A152","Open")</x:f>
        <x:v>Open</x:v>
      </x:c>
      <x:c r="B880" s="2" t="str">
        <x:f>'Research &amp; Analysis'!B152</x:f>
        <x:v>Cycle 1</x:v>
      </x:c>
      <x:c r="C880" s="2" t="str">
        <x:f>'Research &amp; Analysis'!C152</x:f>
        <x:v>Phase 1</x:v>
      </x:c>
      <x:c r="D880" s="2" t="str">
        <x:f>'Research &amp; Analysis'!D152</x:f>
        <x:v>Retail Services</x:v>
      </x:c>
      <x:c r="E880" s="2" t="str">
        <x:v>Research &amp; Analysis</x:v>
      </x:c>
      <x:c r="F880" s="56" t="str">
        <x:f>'Research &amp; Analysis'!E152</x:f>
        <x:v>RA.RS.1.5</x:v>
      </x:c>
      <x:c r="G880" s="14" t="str">
        <x:f>'Research &amp; Analysis'!F152</x:f>
        <x:v>Schedule topic approval meeting with D&amp;I and management</x:v>
      </x:c>
      <x:c r="H880" s="2" t="str">
        <x:f>IF('Research &amp; Analysis'!G152="","",'Research &amp; Analysis'!G152)</x:f>
      </x:c>
      <x:c r="I880" s="12" t="str">
        <x:f>IF('Research &amp; Analysis'!H152="","",'Research &amp; Analysis'!H152)</x:f>
      </x:c>
      <x:c r="J880" s="12" t="n">
        <x:f>IF('Research &amp; Analysis'!I152="","",'Research &amp; Analysis'!I152)</x:f>
        <x:v>46112</x:v>
      </x:c>
      <x:c r="K880" s="12" t="str">
        <x:f>IF('Research &amp; Analysis'!J152="","",'Research &amp; Analysis'!J152)</x:f>
      </x:c>
      <x:c r="L880" s="2" t="str">
        <x:f>IF('Research &amp; Analysis'!K152="","",'Research &amp; Analysis'!K152)</x:f>
      </x:c>
      <x:c r="M880" s="2" t="n">
        <x:f>'Research &amp; Analysis'!Q152</x:f>
        <x:v>1</x:v>
      </x:c>
      <x:c r="N880" s="2" t="str">
        <x:f>'Research &amp; Analysis'!L152</x:f>
        <x:v>Not started</x:v>
      </x:c>
      <x:c r="O880" s="2" t="str">
        <x:f>'Research &amp; Analysis'!N152</x:f>
        <x:v>RA.RS.1.5.2026.CY1</x:v>
      </x:c>
      <x:c r="P880" s="2" t="n">
        <x:f>'Research &amp; Analysis'!O152</x:f>
        <x:v>0</x:v>
      </x:c>
      <x:c r="Q880" s="2" t="n">
        <x:f>SUBTOTAL(103,O880)</x:f>
        <x:v>1</x:v>
      </x:c>
      <x:c r="R880" s="2" t="n">
        <x:f>IF(AND(M880=1,OR(Dashboard!$B$7="All",Dashboard!$B$7='Cycles &amp; Guide'!$C$5),OR(Dashboard!$D$7="All",Dashboard!$D$7=B880),OR(Dashboard!$F$7="All",Dashboard!$F$7=C880),OR(Dashboard!$H$7="All",Dashboard!$H$7=D880),OR(Dashboard!$K$7="All",Dashboard!$K$7=E880)),1,0)</x:f>
        <x:v>1</x:v>
      </x:c>
      <x:c r="S880" s="2" t="n">
        <x:f>IF(R880=1,SUM($R$10:R880),0)</x:f>
        <x:v>507</x:v>
      </x:c>
      <x:c r="T880" s="2" t="str">
        <x:v>Research &amp; Analysis</x:v>
      </x:c>
      <x:c r="U880" s="2" t="n">
        <x:v>152</x:v>
      </x:c>
      <x:c r="V880" s="2" t="n">
        <x:f>IF(AND(M880=1,P880=0,ISNUMBER(J880),J880&lt;TODAY()),1,0)</x:f>
        <x:v>1</x:v>
      </x:c>
      <x:c r="W880" s="2" t="str">
        <x:f>'Research &amp; Analysis'!M152</x:f>
        <x:v>Task</x:v>
      </x:c>
    </x:row>
    <x:row r="881" ht="40" customHeight="1">
      <x:c r="A881" s="3" t="str">
        <x:f>HYPERLINK("#'Research &amp; Analysis'!A153","Open")</x:f>
        <x:v>Open</x:v>
      </x:c>
      <x:c r="B881" s="2" t="str">
        <x:f>'Research &amp; Analysis'!B153</x:f>
        <x:v>Cycle 1</x:v>
      </x:c>
      <x:c r="C881" s="2" t="str">
        <x:f>'Research &amp; Analysis'!C153</x:f>
        <x:v>Phase 1</x:v>
      </x:c>
      <x:c r="D881" s="2" t="str">
        <x:f>'Research &amp; Analysis'!D153</x:f>
        <x:v>Retail Services</x:v>
      </x:c>
      <x:c r="E881" s="2" t="str">
        <x:v>Research &amp; Analysis</x:v>
      </x:c>
      <x:c r="F881" s="56" t="str">
        <x:f>'Research &amp; Analysis'!E153</x:f>
        <x:v>RA.RS.1.6</x:v>
      </x:c>
      <x:c r="G881" s="14" t="str">
        <x:f>'Research &amp; Analysis'!F153</x:f>
        <x:v>Present recommended topic to D&amp;I and management for approval</x:v>
      </x:c>
      <x:c r="H881" s="2" t="str">
        <x:f>IF('Research &amp; Analysis'!G153="","",'Research &amp; Analysis'!G153)</x:f>
      </x:c>
      <x:c r="I881" s="12" t="str">
        <x:f>IF('Research &amp; Analysis'!H153="","",'Research &amp; Analysis'!H153)</x:f>
      </x:c>
      <x:c r="J881" s="12" t="n">
        <x:f>IF('Research &amp; Analysis'!I153="","",'Research &amp; Analysis'!I153)</x:f>
        <x:v>46112</x:v>
      </x:c>
      <x:c r="K881" s="12" t="str">
        <x:f>IF('Research &amp; Analysis'!J153="","",'Research &amp; Analysis'!J153)</x:f>
      </x:c>
      <x:c r="L881" s="2" t="str">
        <x:f>IF('Research &amp; Analysis'!K153="","",'Research &amp; Analysis'!K153)</x:f>
      </x:c>
      <x:c r="M881" s="2" t="n">
        <x:f>'Research &amp; Analysis'!Q153</x:f>
        <x:v>1</x:v>
      </x:c>
      <x:c r="N881" s="2" t="str">
        <x:f>'Research &amp; Analysis'!L153</x:f>
        <x:v>Not started</x:v>
      </x:c>
      <x:c r="O881" s="2" t="str">
        <x:f>'Research &amp; Analysis'!N153</x:f>
        <x:v>RA.RS.1.6.2026.CY1</x:v>
      </x:c>
      <x:c r="P881" s="2" t="n">
        <x:f>'Research &amp; Analysis'!O153</x:f>
        <x:v>0</x:v>
      </x:c>
      <x:c r="Q881" s="2" t="n">
        <x:f>SUBTOTAL(103,O881)</x:f>
        <x:v>1</x:v>
      </x:c>
      <x:c r="R881" s="2" t="n">
        <x:f>IF(AND(M881=1,OR(Dashboard!$B$7="All",Dashboard!$B$7='Cycles &amp; Guide'!$C$5),OR(Dashboard!$D$7="All",Dashboard!$D$7=B881),OR(Dashboard!$F$7="All",Dashboard!$F$7=C881),OR(Dashboard!$H$7="All",Dashboard!$H$7=D881),OR(Dashboard!$K$7="All",Dashboard!$K$7=E881)),1,0)</x:f>
        <x:v>1</x:v>
      </x:c>
      <x:c r="S881" s="2" t="n">
        <x:f>IF(R881=1,SUM($R$10:R881),0)</x:f>
        <x:v>508</x:v>
      </x:c>
      <x:c r="T881" s="2" t="str">
        <x:v>Research &amp; Analysis</x:v>
      </x:c>
      <x:c r="U881" s="2" t="n">
        <x:v>153</x:v>
      </x:c>
      <x:c r="V881" s="2" t="n">
        <x:f>IF(AND(M881=1,P881=0,ISNUMBER(J881),J881&lt;TODAY()),1,0)</x:f>
        <x:v>1</x:v>
      </x:c>
      <x:c r="W881" s="2" t="str">
        <x:f>'Research &amp; Analysis'!M153</x:f>
        <x:v>Task</x:v>
      </x:c>
    </x:row>
    <x:row r="882" ht="40" customHeight="1">
      <x:c r="A882" s="3" t="str">
        <x:f>HYPERLINK("#'Research &amp; Analysis'!A154","Open")</x:f>
        <x:v>Open</x:v>
      </x:c>
      <x:c r="B882" s="2" t="str">
        <x:f>'Research &amp; Analysis'!B154</x:f>
        <x:v>Cycle 1</x:v>
      </x:c>
      <x:c r="C882" s="2" t="str">
        <x:f>'Research &amp; Analysis'!C154</x:f>
        <x:v>Phase 1</x:v>
      </x:c>
      <x:c r="D882" s="2" t="str">
        <x:f>'Research &amp; Analysis'!D154</x:f>
        <x:v>Retail Services</x:v>
      </x:c>
      <x:c r="E882" s="2" t="str">
        <x:v>Research &amp; Analysis</x:v>
      </x:c>
      <x:c r="F882" s="56" t="str">
        <x:f>'Research &amp; Analysis'!E154</x:f>
        <x:v>RA.RS.1.7</x:v>
      </x:c>
      <x:c r="G882" s="14" t="str">
        <x:f>'Research &amp; Analysis'!F154</x:f>
        <x:v>Obtain formal topic selection approval from management via SharePoint</x:v>
      </x:c>
      <x:c r="H882" s="2" t="str">
        <x:f>IF('Research &amp; Analysis'!G154="","",'Research &amp; Analysis'!G154)</x:f>
      </x:c>
      <x:c r="I882" s="12" t="str">
        <x:f>IF('Research &amp; Analysis'!H154="","",'Research &amp; Analysis'!H154)</x:f>
      </x:c>
      <x:c r="J882" s="12" t="n">
        <x:f>IF('Research &amp; Analysis'!I154="","",'Research &amp; Analysis'!I154)</x:f>
        <x:v>46112</x:v>
      </x:c>
      <x:c r="K882" s="12" t="str">
        <x:f>IF('Research &amp; Analysis'!J154="","",'Research &amp; Analysis'!J154)</x:f>
      </x:c>
      <x:c r="L882" s="2" t="str">
        <x:f>IF('Research &amp; Analysis'!K154="","",'Research &amp; Analysis'!K154)</x:f>
      </x:c>
      <x:c r="M882" s="2" t="n">
        <x:f>'Research &amp; Analysis'!Q154</x:f>
        <x:v>1</x:v>
      </x:c>
      <x:c r="N882" s="2" t="str">
        <x:f>'Research &amp; Analysis'!L154</x:f>
        <x:v>Not started</x:v>
      </x:c>
      <x:c r="O882" s="2" t="str">
        <x:f>'Research &amp; Analysis'!N154</x:f>
        <x:v>RA.RS.1.7.2026.CY1</x:v>
      </x:c>
      <x:c r="P882" s="2" t="n">
        <x:f>'Research &amp; Analysis'!O154</x:f>
        <x:v>0</x:v>
      </x:c>
      <x:c r="Q882" s="2" t="n">
        <x:f>SUBTOTAL(103,O882)</x:f>
        <x:v>1</x:v>
      </x:c>
      <x:c r="R882" s="2" t="n">
        <x:f>IF(AND(M882=1,OR(Dashboard!$B$7="All",Dashboard!$B$7='Cycles &amp; Guide'!$C$5),OR(Dashboard!$D$7="All",Dashboard!$D$7=B882),OR(Dashboard!$F$7="All",Dashboard!$F$7=C882),OR(Dashboard!$H$7="All",Dashboard!$H$7=D882),OR(Dashboard!$K$7="All",Dashboard!$K$7=E882)),1,0)</x:f>
        <x:v>1</x:v>
      </x:c>
      <x:c r="S882" s="2" t="n">
        <x:f>IF(R882=1,SUM($R$10:R882),0)</x:f>
        <x:v>509</x:v>
      </x:c>
      <x:c r="T882" s="2" t="str">
        <x:v>Research &amp; Analysis</x:v>
      </x:c>
      <x:c r="U882" s="2" t="n">
        <x:v>154</x:v>
      </x:c>
      <x:c r="V882" s="2" t="n">
        <x:f>IF(AND(M882=1,P882=0,ISNUMBER(J882),J882&lt;TODAY()),1,0)</x:f>
        <x:v>1</x:v>
      </x:c>
      <x:c r="W882" s="2" t="str">
        <x:f>'Research &amp; Analysis'!M154</x:f>
        <x:v>Task</x:v>
      </x:c>
    </x:row>
    <x:row r="883" ht="40" customHeight="1">
      <x:c r="A883" s="3" t="str">
        <x:f>HYPERLINK("#'Research &amp; Analysis'!A155","Open")</x:f>
        <x:v>Open</x:v>
      </x:c>
      <x:c r="B883" s="2" t="str">
        <x:f>'Research &amp; Analysis'!B155</x:f>
        <x:v>Cycle 1</x:v>
      </x:c>
      <x:c r="C883" s="2" t="str">
        <x:f>'Research &amp; Analysis'!C155</x:f>
        <x:v>Phase 1</x:v>
      </x:c>
      <x:c r="D883" s="2" t="str">
        <x:f>'Research &amp; Analysis'!D155</x:f>
        <x:v>Retail Services</x:v>
      </x:c>
      <x:c r="E883" s="2" t="str">
        <x:v>Research &amp; Analysis</x:v>
      </x:c>
      <x:c r="F883" s="56" t="str">
        <x:f>'Research &amp; Analysis'!E155</x:f>
        <x:v>RA.RS.1.8</x:v>
      </x:c>
      <x:c r="G883" s="14" t="str">
        <x:f>'Research &amp; Analysis'!F155</x:f>
        <x:v>Socialize topic selection with product owners and subject matter experts (if known)</x:v>
      </x:c>
      <x:c r="H883" s="2" t="str">
        <x:f>IF('Research &amp; Analysis'!G155="","",'Research &amp; Analysis'!G155)</x:f>
      </x:c>
      <x:c r="I883" s="12" t="str">
        <x:f>IF('Research &amp; Analysis'!H155="","",'Research &amp; Analysis'!H155)</x:f>
      </x:c>
      <x:c r="J883" s="12" t="n">
        <x:f>IF('Research &amp; Analysis'!I155="","",'Research &amp; Analysis'!I155)</x:f>
        <x:v>46112</x:v>
      </x:c>
      <x:c r="K883" s="12" t="str">
        <x:f>IF('Research &amp; Analysis'!J155="","",'Research &amp; Analysis'!J155)</x:f>
      </x:c>
      <x:c r="L883" s="2" t="str">
        <x:f>IF('Research &amp; Analysis'!K155="","",'Research &amp; Analysis'!K155)</x:f>
      </x:c>
      <x:c r="M883" s="2" t="n">
        <x:f>'Research &amp; Analysis'!Q155</x:f>
        <x:v>1</x:v>
      </x:c>
      <x:c r="N883" s="2" t="str">
        <x:f>'Research &amp; Analysis'!L155</x:f>
        <x:v>Not started</x:v>
      </x:c>
      <x:c r="O883" s="2" t="str">
        <x:f>'Research &amp; Analysis'!N155</x:f>
        <x:v>RA.RS.1.8.2026.CY1</x:v>
      </x:c>
      <x:c r="P883" s="2" t="n">
        <x:f>'Research &amp; Analysis'!O155</x:f>
        <x:v>0</x:v>
      </x:c>
      <x:c r="Q883" s="2" t="n">
        <x:f>SUBTOTAL(103,O883)</x:f>
        <x:v>1</x:v>
      </x:c>
      <x:c r="R883" s="2" t="n">
        <x:f>IF(AND(M883=1,OR(Dashboard!$B$7="All",Dashboard!$B$7='Cycles &amp; Guide'!$C$5),OR(Dashboard!$D$7="All",Dashboard!$D$7=B883),OR(Dashboard!$F$7="All",Dashboard!$F$7=C883),OR(Dashboard!$H$7="All",Dashboard!$H$7=D883),OR(Dashboard!$K$7="All",Dashboard!$K$7=E883)),1,0)</x:f>
        <x:v>1</x:v>
      </x:c>
      <x:c r="S883" s="2" t="n">
        <x:f>IF(R883=1,SUM($R$10:R883),0)</x:f>
        <x:v>510</x:v>
      </x:c>
      <x:c r="T883" s="2" t="str">
        <x:v>Research &amp; Analysis</x:v>
      </x:c>
      <x:c r="U883" s="2" t="n">
        <x:v>155</x:v>
      </x:c>
      <x:c r="V883" s="2" t="n">
        <x:f>IF(AND(M883=1,P883=0,ISNUMBER(J883),J883&lt;TODAY()),1,0)</x:f>
        <x:v>1</x:v>
      </x:c>
      <x:c r="W883" s="2" t="str">
        <x:f>'Research &amp; Analysis'!M155</x:f>
        <x:v>Task</x:v>
      </x:c>
    </x:row>
    <x:row r="884" ht="40" customHeight="1">
      <x:c r="A884" s="3" t="str">
        <x:f>HYPERLINK("#'Research &amp; Analysis'!A156","Open")</x:f>
        <x:v>Open</x:v>
      </x:c>
      <x:c r="B884" s="2" t="str">
        <x:f>'Research &amp; Analysis'!B156</x:f>
        <x:v>Cycle 1</x:v>
      </x:c>
      <x:c r="C884" s="2" t="str">
        <x:f>'Research &amp; Analysis'!C156</x:f>
        <x:v>Phase 1</x:v>
      </x:c>
      <x:c r="D884" s="2" t="str">
        <x:f>'Research &amp; Analysis'!D156</x:f>
        <x:v>Retail Services</x:v>
      </x:c>
      <x:c r="E884" s="2" t="str">
        <x:v>Research &amp; Analysis</x:v>
      </x:c>
      <x:c r="F884" s="56" t="str">
        <x:f>'Research &amp; Analysis'!E156</x:f>
        <x:v>RA.RS.1.9</x:v>
      </x:c>
      <x:c r="G884" s="14" t="str">
        <x:f>'Research &amp; Analysis'!F156</x:f>
        <x:v>Assign topic researchers</x:v>
      </x:c>
      <x:c r="H884" s="2" t="str">
        <x:f>IF('Research &amp; Analysis'!G156="","",'Research &amp; Analysis'!G156)</x:f>
      </x:c>
      <x:c r="I884" s="12" t="str">
        <x:f>IF('Research &amp; Analysis'!H156="","",'Research &amp; Analysis'!H156)</x:f>
      </x:c>
      <x:c r="J884" s="12" t="n">
        <x:f>IF('Research &amp; Analysis'!I156="","",'Research &amp; Analysis'!I156)</x:f>
        <x:v>46112</x:v>
      </x:c>
      <x:c r="K884" s="12" t="str">
        <x:f>IF('Research &amp; Analysis'!J156="","",'Research &amp; Analysis'!J156)</x:f>
      </x:c>
      <x:c r="L884" s="2" t="str">
        <x:f>IF('Research &amp; Analysis'!K156="","",'Research &amp; Analysis'!K156)</x:f>
      </x:c>
      <x:c r="M884" s="2" t="n">
        <x:f>'Research &amp; Analysis'!Q156</x:f>
        <x:v>1</x:v>
      </x:c>
      <x:c r="N884" s="2" t="str">
        <x:f>'Research &amp; Analysis'!L156</x:f>
        <x:v>Not started</x:v>
      </x:c>
      <x:c r="O884" s="2" t="str">
        <x:f>'Research &amp; Analysis'!N156</x:f>
        <x:v>RA.RS.1.9.2026.CY1</x:v>
      </x:c>
      <x:c r="P884" s="2" t="n">
        <x:f>'Research &amp; Analysis'!O156</x:f>
        <x:v>0</x:v>
      </x:c>
      <x:c r="Q884" s="2" t="n">
        <x:f>SUBTOTAL(103,O884)</x:f>
        <x:v>1</x:v>
      </x:c>
      <x:c r="R884" s="2" t="n">
        <x:f>IF(AND(M884=1,OR(Dashboard!$B$7="All",Dashboard!$B$7='Cycles &amp; Guide'!$C$5),OR(Dashboard!$D$7="All",Dashboard!$D$7=B884),OR(Dashboard!$F$7="All",Dashboard!$F$7=C884),OR(Dashboard!$H$7="All",Dashboard!$H$7=D884),OR(Dashboard!$K$7="All",Dashboard!$K$7=E884)),1,0)</x:f>
        <x:v>1</x:v>
      </x:c>
      <x:c r="S884" s="2" t="n">
        <x:f>IF(R884=1,SUM($R$10:R884),0)</x:f>
        <x:v>511</x:v>
      </x:c>
      <x:c r="T884" s="2" t="str">
        <x:v>Research &amp; Analysis</x:v>
      </x:c>
      <x:c r="U884" s="2" t="n">
        <x:v>156</x:v>
      </x:c>
      <x:c r="V884" s="2" t="n">
        <x:f>IF(AND(M884=1,P884=0,ISNUMBER(J884),J884&lt;TODAY()),1,0)</x:f>
        <x:v>1</x:v>
      </x:c>
      <x:c r="W884" s="2" t="str">
        <x:f>'Research &amp; Analysis'!M156</x:f>
        <x:v>Task</x:v>
      </x:c>
    </x:row>
    <x:row r="885" ht="40" customHeight="1">
      <x:c r="A885" s="3" t="str">
        <x:f>HYPERLINK("#'Research &amp; Analysis'!A157","Open")</x:f>
        <x:v>Open</x:v>
      </x:c>
      <x:c r="B885" s="2" t="str">
        <x:f>'Research &amp; Analysis'!B157</x:f>
        <x:v>Cycle 1</x:v>
      </x:c>
      <x:c r="C885" s="2" t="str">
        <x:f>'Research &amp; Analysis'!C157</x:f>
        <x:v>Phase 2</x:v>
      </x:c>
      <x:c r="D885" s="2" t="str">
        <x:f>'Research &amp; Analysis'!D157</x:f>
        <x:v>Retail Services</x:v>
      </x:c>
      <x:c r="E885" s="2" t="str">
        <x:v>Research &amp; Analysis</x:v>
      </x:c>
      <x:c r="F885" s="56" t="str">
        <x:f>'Research &amp; Analysis'!E157</x:f>
        <x:v>RA.RS.2.1</x:v>
      </x:c>
      <x:c r="G885" s="14" t="str">
        <x:f>'Research &amp; Analysis'!F157</x:f>
        <x:v>Review data sources</x:v>
      </x:c>
      <x:c r="H885" s="2" t="str">
        <x:f>IF('Research &amp; Analysis'!G157="","",'Research &amp; Analysis'!G157)</x:f>
      </x:c>
      <x:c r="I885" s="12" t="str">
        <x:f>IF('Research &amp; Analysis'!H157="","",'Research &amp; Analysis'!H157)</x:f>
      </x:c>
      <x:c r="J885" s="12" t="n">
        <x:f>IF('Research &amp; Analysis'!I157="","",'Research &amp; Analysis'!I157)</x:f>
        <x:v>46112</x:v>
      </x:c>
      <x:c r="K885" s="12" t="str">
        <x:f>IF('Research &amp; Analysis'!J157="","",'Research &amp; Analysis'!J157)</x:f>
      </x:c>
      <x:c r="L885" s="2" t="str">
        <x:f>IF('Research &amp; Analysis'!K157="","",'Research &amp; Analysis'!K157)</x:f>
      </x:c>
      <x:c r="M885" s="2" t="n">
        <x:f>'Research &amp; Analysis'!Q157</x:f>
        <x:v>1</x:v>
      </x:c>
      <x:c r="N885" s="2" t="str">
        <x:f>'Research &amp; Analysis'!L157</x:f>
        <x:v>Not started</x:v>
      </x:c>
      <x:c r="O885" s="2" t="str">
        <x:f>'Research &amp; Analysis'!N157</x:f>
        <x:v>RA.RS.2.1.2026.CY1</x:v>
      </x:c>
      <x:c r="P885" s="2" t="n">
        <x:f>'Research &amp; Analysis'!O157</x:f>
        <x:v>0</x:v>
      </x:c>
      <x:c r="Q885" s="2" t="n">
        <x:f>SUBTOTAL(103,O885)</x:f>
        <x:v>1</x:v>
      </x:c>
      <x:c r="R885" s="2" t="n">
        <x:f>IF(AND(M885=1,OR(Dashboard!$B$7="All",Dashboard!$B$7='Cycles &amp; Guide'!$C$5),OR(Dashboard!$D$7="All",Dashboard!$D$7=B885),OR(Dashboard!$F$7="All",Dashboard!$F$7=C885),OR(Dashboard!$H$7="All",Dashboard!$H$7=D885),OR(Dashboard!$K$7="All",Dashboard!$K$7=E885)),1,0)</x:f>
        <x:v>1</x:v>
      </x:c>
      <x:c r="S885" s="2" t="n">
        <x:f>IF(R885=1,SUM($R$10:R885),0)</x:f>
        <x:v>512</x:v>
      </x:c>
      <x:c r="T885" s="2" t="str">
        <x:v>Research &amp; Analysis</x:v>
      </x:c>
      <x:c r="U885" s="2" t="n">
        <x:v>157</x:v>
      </x:c>
      <x:c r="V885" s="2" t="n">
        <x:f>IF(AND(M885=1,P885=0,ISNUMBER(J885),J885&lt;TODAY()),1,0)</x:f>
        <x:v>1</x:v>
      </x:c>
      <x:c r="W885" s="2" t="str">
        <x:f>'Research &amp; Analysis'!M157</x:f>
        <x:v>Task</x:v>
      </x:c>
    </x:row>
    <x:row r="886" ht="40" customHeight="1">
      <x:c r="A886" s="3" t="str">
        <x:f>HYPERLINK("#'Research &amp; Analysis'!A158","Open")</x:f>
        <x:v>Open</x:v>
      </x:c>
      <x:c r="B886" s="2" t="str">
        <x:f>'Research &amp; Analysis'!B158</x:f>
        <x:v>Cycle 1</x:v>
      </x:c>
      <x:c r="C886" s="2" t="str">
        <x:f>'Research &amp; Analysis'!C158</x:f>
        <x:v>Phase 2</x:v>
      </x:c>
      <x:c r="D886" s="2" t="str">
        <x:f>'Research &amp; Analysis'!D158</x:f>
        <x:v>Retail Services</x:v>
      </x:c>
      <x:c r="E886" s="2" t="str">
        <x:v>Research &amp; Analysis</x:v>
      </x:c>
      <x:c r="F886" s="56" t="str">
        <x:f>'Research &amp; Analysis'!E158</x:f>
        <x:v>RA.RS.2.2</x:v>
      </x:c>
      <x:c r="G886" s="14" t="str">
        <x:f>'Research &amp; Analysis'!F158</x:f>
        <x:v>Review relevant policies and procedures</x:v>
      </x:c>
      <x:c r="H886" s="2" t="str">
        <x:f>IF('Research &amp; Analysis'!G158="","",'Research &amp; Analysis'!G158)</x:f>
      </x:c>
      <x:c r="I886" s="12" t="str">
        <x:f>IF('Research &amp; Analysis'!H158="","",'Research &amp; Analysis'!H158)</x:f>
      </x:c>
      <x:c r="J886" s="12" t="n">
        <x:f>IF('Research &amp; Analysis'!I158="","",'Research &amp; Analysis'!I158)</x:f>
        <x:v>46112</x:v>
      </x:c>
      <x:c r="K886" s="12" t="str">
        <x:f>IF('Research &amp; Analysis'!J158="","",'Research &amp; Analysis'!J158)</x:f>
      </x:c>
      <x:c r="L886" s="2" t="str">
        <x:f>IF('Research &amp; Analysis'!K158="","",'Research &amp; Analysis'!K158)</x:f>
      </x:c>
      <x:c r="M886" s="2" t="n">
        <x:f>'Research &amp; Analysis'!Q158</x:f>
        <x:v>1</x:v>
      </x:c>
      <x:c r="N886" s="2" t="str">
        <x:f>'Research &amp; Analysis'!L158</x:f>
        <x:v>Not started</x:v>
      </x:c>
      <x:c r="O886" s="2" t="str">
        <x:f>'Research &amp; Analysis'!N158</x:f>
        <x:v>RA.RS.2.2.2026.CY1</x:v>
      </x:c>
      <x:c r="P886" s="2" t="n">
        <x:f>'Research &amp; Analysis'!O158</x:f>
        <x:v>0</x:v>
      </x:c>
      <x:c r="Q886" s="2" t="n">
        <x:f>SUBTOTAL(103,O886)</x:f>
        <x:v>1</x:v>
      </x:c>
      <x:c r="R886" s="2" t="n">
        <x:f>IF(AND(M886=1,OR(Dashboard!$B$7="All",Dashboard!$B$7='Cycles &amp; Guide'!$C$5),OR(Dashboard!$D$7="All",Dashboard!$D$7=B886),OR(Dashboard!$F$7="All",Dashboard!$F$7=C886),OR(Dashboard!$H$7="All",Dashboard!$H$7=D886),OR(Dashboard!$K$7="All",Dashboard!$K$7=E886)),1,0)</x:f>
        <x:v>1</x:v>
      </x:c>
      <x:c r="S886" s="2" t="n">
        <x:f>IF(R886=1,SUM($R$10:R886),0)</x:f>
        <x:v>513</x:v>
      </x:c>
      <x:c r="T886" s="2" t="str">
        <x:v>Research &amp; Analysis</x:v>
      </x:c>
      <x:c r="U886" s="2" t="n">
        <x:v>158</x:v>
      </x:c>
      <x:c r="V886" s="2" t="n">
        <x:f>IF(AND(M886=1,P886=0,ISNUMBER(J886),J886&lt;TODAY()),1,0)</x:f>
        <x:v>1</x:v>
      </x:c>
      <x:c r="W886" s="2" t="str">
        <x:f>'Research &amp; Analysis'!M158</x:f>
        <x:v>Task</x:v>
      </x:c>
    </x:row>
    <x:row r="887" ht="40" customHeight="1">
      <x:c r="A887" s="3" t="str">
        <x:f>HYPERLINK("#'Research &amp; Analysis'!A159","Open")</x:f>
        <x:v>Open</x:v>
      </x:c>
      <x:c r="B887" s="2" t="str">
        <x:f>'Research &amp; Analysis'!B159</x:f>
        <x:v>Cycle 1</x:v>
      </x:c>
      <x:c r="C887" s="2" t="str">
        <x:f>'Research &amp; Analysis'!C159</x:f>
        <x:v>Phase 2</x:v>
      </x:c>
      <x:c r="D887" s="2" t="str">
        <x:f>'Research &amp; Analysis'!D159</x:f>
        <x:v>Retail Services</x:v>
      </x:c>
      <x:c r="E887" s="2" t="str">
        <x:v>Research &amp; Analysis</x:v>
      </x:c>
      <x:c r="F887" s="56" t="str">
        <x:f>'Research &amp; Analysis'!E159</x:f>
        <x:v>RA.RS.2.3</x:v>
      </x:c>
      <x:c r="G887" s="14" t="str">
        <x:f>'Research &amp; Analysis'!F159</x:f>
        <x:v>Meet with SMEs to gain business insight and clarify questions</x:v>
      </x:c>
      <x:c r="H887" s="2" t="str">
        <x:f>IF('Research &amp; Analysis'!G159="","",'Research &amp; Analysis'!G159)</x:f>
      </x:c>
      <x:c r="I887" s="12" t="str">
        <x:f>IF('Research &amp; Analysis'!H159="","",'Research &amp; Analysis'!H159)</x:f>
      </x:c>
      <x:c r="J887" s="12" t="n">
        <x:f>IF('Research &amp; Analysis'!I159="","",'Research &amp; Analysis'!I159)</x:f>
        <x:v>46112</x:v>
      </x:c>
      <x:c r="K887" s="12" t="str">
        <x:f>IF('Research &amp; Analysis'!J159="","",'Research &amp; Analysis'!J159)</x:f>
      </x:c>
      <x:c r="L887" s="2" t="str">
        <x:f>IF('Research &amp; Analysis'!K159="","",'Research &amp; Analysis'!K159)</x:f>
      </x:c>
      <x:c r="M887" s="2" t="n">
        <x:f>'Research &amp; Analysis'!Q159</x:f>
        <x:v>1</x:v>
      </x:c>
      <x:c r="N887" s="2" t="str">
        <x:f>'Research &amp; Analysis'!L159</x:f>
        <x:v>Not started</x:v>
      </x:c>
      <x:c r="O887" s="2" t="str">
        <x:f>'Research &amp; Analysis'!N159</x:f>
        <x:v>RA.RS.2.3.2026.CY1</x:v>
      </x:c>
      <x:c r="P887" s="2" t="n">
        <x:f>'Research &amp; Analysis'!O159</x:f>
        <x:v>0</x:v>
      </x:c>
      <x:c r="Q887" s="2" t="n">
        <x:f>SUBTOTAL(103,O887)</x:f>
        <x:v>1</x:v>
      </x:c>
      <x:c r="R887" s="2" t="n">
        <x:f>IF(AND(M887=1,OR(Dashboard!$B$7="All",Dashboard!$B$7='Cycles &amp; Guide'!$C$5),OR(Dashboard!$D$7="All",Dashboard!$D$7=B887),OR(Dashboard!$F$7="All",Dashboard!$F$7=C887),OR(Dashboard!$H$7="All",Dashboard!$H$7=D887),OR(Dashboard!$K$7="All",Dashboard!$K$7=E887)),1,0)</x:f>
        <x:v>1</x:v>
      </x:c>
      <x:c r="S887" s="2" t="n">
        <x:f>IF(R887=1,SUM($R$10:R887),0)</x:f>
        <x:v>514</x:v>
      </x:c>
      <x:c r="T887" s="2" t="str">
        <x:v>Research &amp; Analysis</x:v>
      </x:c>
      <x:c r="U887" s="2" t="n">
        <x:v>159</x:v>
      </x:c>
      <x:c r="V887" s="2" t="n">
        <x:f>IF(AND(M887=1,P887=0,ISNUMBER(J887),J887&lt;TODAY()),1,0)</x:f>
        <x:v>1</x:v>
      </x:c>
      <x:c r="W887" s="2" t="str">
        <x:f>'Research &amp; Analysis'!M159</x:f>
        <x:v>Task</x:v>
      </x:c>
    </x:row>
    <x:row r="888" ht="40" customHeight="1">
      <x:c r="A888" s="3" t="str">
        <x:f>HYPERLINK("#'Research &amp; Analysis'!A160","Open")</x:f>
        <x:v>Open</x:v>
      </x:c>
      <x:c r="B888" s="2" t="str">
        <x:f>'Research &amp; Analysis'!B160</x:f>
        <x:v>Cycle 1</x:v>
      </x:c>
      <x:c r="C888" s="2" t="str">
        <x:f>'Research &amp; Analysis'!C160</x:f>
        <x:v>Phase 2</x:v>
      </x:c>
      <x:c r="D888" s="2" t="str">
        <x:f>'Research &amp; Analysis'!D160</x:f>
        <x:v>Retail Services</x:v>
      </x:c>
      <x:c r="E888" s="2" t="str">
        <x:v>Research &amp; Analysis</x:v>
      </x:c>
      <x:c r="F888" s="56" t="str">
        <x:f>'Research &amp; Analysis'!E160</x:f>
        <x:v>RA.RS.2.4</x:v>
      </x:c>
      <x:c r="G888" s="14" t="str">
        <x:f>'Research &amp; Analysis'!F160</x:f>
        <x:v>Establish and maintain a recurring meeting with D&amp;I to discuss Cycle progress</x:v>
      </x:c>
      <x:c r="H888" s="2" t="str">
        <x:f>IF('Research &amp; Analysis'!G160="","",'Research &amp; Analysis'!G160)</x:f>
      </x:c>
      <x:c r="I888" s="12" t="str">
        <x:f>IF('Research &amp; Analysis'!H160="","",'Research &amp; Analysis'!H160)</x:f>
      </x:c>
      <x:c r="J888" s="12" t="n">
        <x:f>IF('Research &amp; Analysis'!I160="","",'Research &amp; Analysis'!I160)</x:f>
        <x:v>46112</x:v>
      </x:c>
      <x:c r="K888" s="12" t="str">
        <x:f>IF('Research &amp; Analysis'!J160="","",'Research &amp; Analysis'!J160)</x:f>
      </x:c>
      <x:c r="L888" s="2" t="str">
        <x:f>IF('Research &amp; Analysis'!K160="","",'Research &amp; Analysis'!K160)</x:f>
      </x:c>
      <x:c r="M888" s="2" t="n">
        <x:f>'Research &amp; Analysis'!Q160</x:f>
        <x:v>1</x:v>
      </x:c>
      <x:c r="N888" s="2" t="str">
        <x:f>'Research &amp; Analysis'!L160</x:f>
        <x:v>Not started</x:v>
      </x:c>
      <x:c r="O888" s="2" t="str">
        <x:f>'Research &amp; Analysis'!N160</x:f>
        <x:v>RA.RS.2.4.2026.CY1</x:v>
      </x:c>
      <x:c r="P888" s="2" t="n">
        <x:f>'Research &amp; Analysis'!O160</x:f>
        <x:v>0</x:v>
      </x:c>
      <x:c r="Q888" s="2" t="n">
        <x:f>SUBTOTAL(103,O888)</x:f>
        <x:v>1</x:v>
      </x:c>
      <x:c r="R888" s="2" t="n">
        <x:f>IF(AND(M888=1,OR(Dashboard!$B$7="All",Dashboard!$B$7='Cycles &amp; Guide'!$C$5),OR(Dashboard!$D$7="All",Dashboard!$D$7=B888),OR(Dashboard!$F$7="All",Dashboard!$F$7=C888),OR(Dashboard!$H$7="All",Dashboard!$H$7=D888),OR(Dashboard!$K$7="All",Dashboard!$K$7=E888)),1,0)</x:f>
        <x:v>1</x:v>
      </x:c>
      <x:c r="S888" s="2" t="n">
        <x:f>IF(R888=1,SUM($R$10:R888),0)</x:f>
        <x:v>515</x:v>
      </x:c>
      <x:c r="T888" s="2" t="str">
        <x:v>Research &amp; Analysis</x:v>
      </x:c>
      <x:c r="U888" s="2" t="n">
        <x:v>160</x:v>
      </x:c>
      <x:c r="V888" s="2" t="n">
        <x:f>IF(AND(M888=1,P888=0,ISNUMBER(J888),J888&lt;TODAY()),1,0)</x:f>
        <x:v>1</x:v>
      </x:c>
      <x:c r="W888" s="2" t="str">
        <x:f>'Research &amp; Analysis'!M160</x:f>
        <x:v>Task</x:v>
      </x:c>
    </x:row>
    <x:row r="889" ht="40" customHeight="1">
      <x:c r="A889" s="3" t="str">
        <x:f>HYPERLINK("#'Research &amp; Analysis'!A161","Open")</x:f>
        <x:v>Open</x:v>
      </x:c>
      <x:c r="B889" s="2" t="str">
        <x:f>'Research &amp; Analysis'!B161</x:f>
        <x:v>Cycle 1</x:v>
      </x:c>
      <x:c r="C889" s="2" t="str">
        <x:f>'Research &amp; Analysis'!C161</x:f>
        <x:v>Phase 2</x:v>
      </x:c>
      <x:c r="D889" s="2" t="str">
        <x:f>'Research &amp; Analysis'!D161</x:f>
        <x:v>Retail Services</x:v>
      </x:c>
      <x:c r="E889" s="2" t="str">
        <x:v>Research &amp; Analysis</x:v>
      </x:c>
      <x:c r="F889" s="56" t="str">
        <x:f>'Research &amp; Analysis'!E161</x:f>
        <x:v>RA.RS.2.5</x:v>
      </x:c>
      <x:c r="G889" s="14" t="str">
        <x:f>'Research &amp; Analysis'!F161</x:f>
        <x:v>Perform data testing and sampling</x:v>
      </x:c>
      <x:c r="H889" s="2" t="str">
        <x:f>IF('Research &amp; Analysis'!G161="","",'Research &amp; Analysis'!G161)</x:f>
      </x:c>
      <x:c r="I889" s="12" t="str">
        <x:f>IF('Research &amp; Analysis'!H161="","",'Research &amp; Analysis'!H161)</x:f>
      </x:c>
      <x:c r="J889" s="12" t="n">
        <x:f>IF('Research &amp; Analysis'!I161="","",'Research &amp; Analysis'!I161)</x:f>
        <x:v>46112</x:v>
      </x:c>
      <x:c r="K889" s="12" t="str">
        <x:f>IF('Research &amp; Analysis'!J161="","",'Research &amp; Analysis'!J161)</x:f>
      </x:c>
      <x:c r="L889" s="2" t="str">
        <x:f>IF('Research &amp; Analysis'!K161="","",'Research &amp; Analysis'!K161)</x:f>
      </x:c>
      <x:c r="M889" s="2" t="n">
        <x:f>'Research &amp; Analysis'!Q161</x:f>
        <x:v>1</x:v>
      </x:c>
      <x:c r="N889" s="2" t="str">
        <x:f>'Research &amp; Analysis'!L161</x:f>
        <x:v>Not started</x:v>
      </x:c>
      <x:c r="O889" s="2" t="str">
        <x:f>'Research &amp; Analysis'!N161</x:f>
        <x:v>RA.RS.2.5.2026.CY1</x:v>
      </x:c>
      <x:c r="P889" s="2" t="n">
        <x:f>'Research &amp; Analysis'!O161</x:f>
        <x:v>0</x:v>
      </x:c>
      <x:c r="Q889" s="2" t="n">
        <x:f>SUBTOTAL(103,O889)</x:f>
        <x:v>1</x:v>
      </x:c>
      <x:c r="R889" s="2" t="n">
        <x:f>IF(AND(M889=1,OR(Dashboard!$B$7="All",Dashboard!$B$7='Cycles &amp; Guide'!$C$5),OR(Dashboard!$D$7="All",Dashboard!$D$7=B889),OR(Dashboard!$F$7="All",Dashboard!$F$7=C889),OR(Dashboard!$H$7="All",Dashboard!$H$7=D889),OR(Dashboard!$K$7="All",Dashboard!$K$7=E889)),1,0)</x:f>
        <x:v>1</x:v>
      </x:c>
      <x:c r="S889" s="2" t="n">
        <x:f>IF(R889=1,SUM($R$10:R889),0)</x:f>
        <x:v>516</x:v>
      </x:c>
      <x:c r="T889" s="2" t="str">
        <x:v>Research &amp; Analysis</x:v>
      </x:c>
      <x:c r="U889" s="2" t="n">
        <x:v>161</x:v>
      </x:c>
      <x:c r="V889" s="2" t="n">
        <x:f>IF(AND(M889=1,P889=0,ISNUMBER(J889),J889&lt;TODAY()),1,0)</x:f>
        <x:v>1</x:v>
      </x:c>
      <x:c r="W889" s="2" t="str">
        <x:f>'Research &amp; Analysis'!M161</x:f>
        <x:v>Task</x:v>
      </x:c>
    </x:row>
    <x:row r="890" ht="40" customHeight="1">
      <x:c r="A890" s="3" t="str">
        <x:f>HYPERLINK("#'Research &amp; Analysis'!A162","Open")</x:f>
        <x:v>Open</x:v>
      </x:c>
      <x:c r="B890" s="2" t="str">
        <x:f>'Research &amp; Analysis'!B162</x:f>
        <x:v>Cycle 1</x:v>
      </x:c>
      <x:c r="C890" s="2" t="str">
        <x:f>'Research &amp; Analysis'!C162</x:f>
        <x:v>Phase 2</x:v>
      </x:c>
      <x:c r="D890" s="2" t="str">
        <x:f>'Research &amp; Analysis'!D162</x:f>
        <x:v>Retail Services</x:v>
      </x:c>
      <x:c r="E890" s="2" t="str">
        <x:v>Research &amp; Analysis</x:v>
      </x:c>
      <x:c r="F890" s="56" t="str">
        <x:f>'Research &amp; Analysis'!E162</x:f>
        <x:v>RA.RS.2.6</x:v>
      </x:c>
      <x:c r="G890" s="14" t="str">
        <x:f>'Research &amp; Analysis'!F162</x:f>
        <x:v>Complete Positive Testing</x:v>
      </x:c>
      <x:c r="H890" s="2" t="str">
        <x:f>IF('Research &amp; Analysis'!G162="","",'Research &amp; Analysis'!G162)</x:f>
      </x:c>
      <x:c r="I890" s="12" t="str">
        <x:f>IF('Research &amp; Analysis'!H162="","",'Research &amp; Analysis'!H162)</x:f>
      </x:c>
      <x:c r="J890" s="12" t="n">
        <x:f>IF('Research &amp; Analysis'!I162="","",'Research &amp; Analysis'!I162)</x:f>
        <x:v>46112</x:v>
      </x:c>
      <x:c r="K890" s="12" t="str">
        <x:f>IF('Research &amp; Analysis'!J162="","",'Research &amp; Analysis'!J162)</x:f>
      </x:c>
      <x:c r="L890" s="2" t="str">
        <x:f>IF('Research &amp; Analysis'!K162="","",'Research &amp; Analysis'!K162)</x:f>
      </x:c>
      <x:c r="M890" s="2" t="n">
        <x:f>'Research &amp; Analysis'!Q162</x:f>
        <x:v>1</x:v>
      </x:c>
      <x:c r="N890" s="2" t="str">
        <x:f>'Research &amp; Analysis'!L162</x:f>
        <x:v>Not started</x:v>
      </x:c>
      <x:c r="O890" s="2" t="str">
        <x:f>'Research &amp; Analysis'!N162</x:f>
        <x:v>RA.RS.2.6.2026.CY1</x:v>
      </x:c>
      <x:c r="P890" s="2" t="n">
        <x:f>'Research &amp; Analysis'!O162</x:f>
        <x:v>0</x:v>
      </x:c>
      <x:c r="Q890" s="2" t="n">
        <x:f>SUBTOTAL(103,O890)</x:f>
        <x:v>1</x:v>
      </x:c>
      <x:c r="R890" s="2" t="n">
        <x:f>IF(AND(M890=1,OR(Dashboard!$B$7="All",Dashboard!$B$7='Cycles &amp; Guide'!$C$5),OR(Dashboard!$D$7="All",Dashboard!$D$7=B890),OR(Dashboard!$F$7="All",Dashboard!$F$7=C890),OR(Dashboard!$H$7="All",Dashboard!$H$7=D890),OR(Dashboard!$K$7="All",Dashboard!$K$7=E890)),1,0)</x:f>
        <x:v>1</x:v>
      </x:c>
      <x:c r="S890" s="2" t="n">
        <x:f>IF(R890=1,SUM($R$10:R890),0)</x:f>
        <x:v>517</x:v>
      </x:c>
      <x:c r="T890" s="2" t="str">
        <x:v>Research &amp; Analysis</x:v>
      </x:c>
      <x:c r="U890" s="2" t="n">
        <x:v>162</x:v>
      </x:c>
      <x:c r="V890" s="2" t="n">
        <x:f>IF(AND(M890=1,P890=0,ISNUMBER(J890),J890&lt;TODAY()),1,0)</x:f>
        <x:v>1</x:v>
      </x:c>
      <x:c r="W890" s="2" t="str">
        <x:f>'Research &amp; Analysis'!M162</x:f>
        <x:v>Task</x:v>
      </x:c>
    </x:row>
    <x:row r="891" ht="40" customHeight="1">
      <x:c r="A891" s="3" t="str">
        <x:f>HYPERLINK("#'Research &amp; Analysis'!A163","Open")</x:f>
        <x:v>Open</x:v>
      </x:c>
      <x:c r="B891" s="2" t="str">
        <x:f>'Research &amp; Analysis'!B163</x:f>
        <x:v>Cycle 1</x:v>
      </x:c>
      <x:c r="C891" s="2" t="str">
        <x:f>'Research &amp; Analysis'!C163</x:f>
        <x:v>Phase 2</x:v>
      </x:c>
      <x:c r="D891" s="2" t="str">
        <x:f>'Research &amp; Analysis'!D163</x:f>
        <x:v>Retail Services</x:v>
      </x:c>
      <x:c r="E891" s="2" t="str">
        <x:v>Research &amp; Analysis</x:v>
      </x:c>
      <x:c r="F891" s="56" t="str">
        <x:f>'Research &amp; Analysis'!E163</x:f>
        <x:v>RA.RS.2.7</x:v>
      </x:c>
      <x:c r="G891" s="14" t="str">
        <x:f>'Research &amp; Analysis'!F163</x:f>
        <x:v>Complete Negative Testing</x:v>
      </x:c>
      <x:c r="H891" s="2" t="str">
        <x:f>IF('Research &amp; Analysis'!G163="","",'Research &amp; Analysis'!G163)</x:f>
      </x:c>
      <x:c r="I891" s="12" t="str">
        <x:f>IF('Research &amp; Analysis'!H163="","",'Research &amp; Analysis'!H163)</x:f>
      </x:c>
      <x:c r="J891" s="12" t="n">
        <x:f>IF('Research &amp; Analysis'!I163="","",'Research &amp; Analysis'!I163)</x:f>
        <x:v>46112</x:v>
      </x:c>
      <x:c r="K891" s="12" t="str">
        <x:f>IF('Research &amp; Analysis'!J163="","",'Research &amp; Analysis'!J163)</x:f>
      </x:c>
      <x:c r="L891" s="2" t="str">
        <x:f>IF('Research &amp; Analysis'!K163="","",'Research &amp; Analysis'!K163)</x:f>
      </x:c>
      <x:c r="M891" s="2" t="n">
        <x:f>'Research &amp; Analysis'!Q163</x:f>
        <x:v>1</x:v>
      </x:c>
      <x:c r="N891" s="2" t="str">
        <x:f>'Research &amp; Analysis'!L163</x:f>
        <x:v>Not started</x:v>
      </x:c>
      <x:c r="O891" s="2" t="str">
        <x:f>'Research &amp; Analysis'!N163</x:f>
        <x:v>RA.RS.2.7.2026.CY1</x:v>
      </x:c>
      <x:c r="P891" s="2" t="n">
        <x:f>'Research &amp; Analysis'!O163</x:f>
        <x:v>0</x:v>
      </x:c>
      <x:c r="Q891" s="2" t="n">
        <x:f>SUBTOTAL(103,O891)</x:f>
        <x:v>1</x:v>
      </x:c>
      <x:c r="R891" s="2" t="n">
        <x:f>IF(AND(M891=1,OR(Dashboard!$B$7="All",Dashboard!$B$7='Cycles &amp; Guide'!$C$5),OR(Dashboard!$D$7="All",Dashboard!$D$7=B891),OR(Dashboard!$F$7="All",Dashboard!$F$7=C891),OR(Dashboard!$H$7="All",Dashboard!$H$7=D891),OR(Dashboard!$K$7="All",Dashboard!$K$7=E891)),1,0)</x:f>
        <x:v>1</x:v>
      </x:c>
      <x:c r="S891" s="2" t="n">
        <x:f>IF(R891=1,SUM($R$10:R891),0)</x:f>
        <x:v>518</x:v>
      </x:c>
      <x:c r="T891" s="2" t="str">
        <x:v>Research &amp; Analysis</x:v>
      </x:c>
      <x:c r="U891" s="2" t="n">
        <x:v>163</x:v>
      </x:c>
      <x:c r="V891" s="2" t="n">
        <x:f>IF(AND(M891=1,P891=0,ISNUMBER(J891),J891&lt;TODAY()),1,0)</x:f>
        <x:v>1</x:v>
      </x:c>
      <x:c r="W891" s="2" t="str">
        <x:f>'Research &amp; Analysis'!M163</x:f>
        <x:v>Task</x:v>
      </x:c>
    </x:row>
    <x:row r="892" ht="40" customHeight="1">
      <x:c r="A892" s="3" t="str">
        <x:f>HYPERLINK("#'Research &amp; Analysis'!A164","Open")</x:f>
        <x:v>Open</x:v>
      </x:c>
      <x:c r="B892" s="2" t="str">
        <x:f>'Research &amp; Analysis'!B164</x:f>
        <x:v>Cycle 1</x:v>
      </x:c>
      <x:c r="C892" s="2" t="str">
        <x:f>'Research &amp; Analysis'!C164</x:f>
        <x:v>Phase 2</x:v>
      </x:c>
      <x:c r="D892" s="2" t="str">
        <x:f>'Research &amp; Analysis'!D164</x:f>
        <x:v>Retail Services</x:v>
      </x:c>
      <x:c r="E892" s="2" t="str">
        <x:v>Research &amp; Analysis</x:v>
      </x:c>
      <x:c r="F892" s="56" t="str">
        <x:f>'Research &amp; Analysis'!E164</x:f>
        <x:v>RA.RS.2.8</x:v>
      </x:c>
      <x:c r="G892" s="14" t="str">
        <x:f>'Research &amp; Analysis'!F164</x:f>
        <x:v>Request additional data (as needed)</x:v>
      </x:c>
      <x:c r="H892" s="2" t="str">
        <x:f>IF('Research &amp; Analysis'!G164="","",'Research &amp; Analysis'!G164)</x:f>
      </x:c>
      <x:c r="I892" s="12" t="str">
        <x:f>IF('Research &amp; Analysis'!H164="","",'Research &amp; Analysis'!H164)</x:f>
      </x:c>
      <x:c r="J892" s="12" t="n">
        <x:f>IF('Research &amp; Analysis'!I164="","",'Research &amp; Analysis'!I164)</x:f>
        <x:v>46112</x:v>
      </x:c>
      <x:c r="K892" s="12" t="str">
        <x:f>IF('Research &amp; Analysis'!J164="","",'Research &amp; Analysis'!J164)</x:f>
      </x:c>
      <x:c r="L892" s="2" t="str">
        <x:f>IF('Research &amp; Analysis'!K164="","",'Research &amp; Analysis'!K164)</x:f>
      </x:c>
      <x:c r="M892" s="2" t="n">
        <x:f>'Research &amp; Analysis'!Q164</x:f>
        <x:v>1</x:v>
      </x:c>
      <x:c r="N892" s="2" t="str">
        <x:f>'Research &amp; Analysis'!L164</x:f>
        <x:v>Not started</x:v>
      </x:c>
      <x:c r="O892" s="2" t="str">
        <x:f>'Research &amp; Analysis'!N164</x:f>
        <x:v>RA.RS.2.8.2026.CY1</x:v>
      </x:c>
      <x:c r="P892" s="2" t="n">
        <x:f>'Research &amp; Analysis'!O164</x:f>
        <x:v>0</x:v>
      </x:c>
      <x:c r="Q892" s="2" t="n">
        <x:f>SUBTOTAL(103,O892)</x:f>
        <x:v>1</x:v>
      </x:c>
      <x:c r="R892" s="2" t="n">
        <x:f>IF(AND(M892=1,OR(Dashboard!$B$7="All",Dashboard!$B$7='Cycles &amp; Guide'!$C$5),OR(Dashboard!$D$7="All",Dashboard!$D$7=B892),OR(Dashboard!$F$7="All",Dashboard!$F$7=C892),OR(Dashboard!$H$7="All",Dashboard!$H$7=D892),OR(Dashboard!$K$7="All",Dashboard!$K$7=E892)),1,0)</x:f>
        <x:v>1</x:v>
      </x:c>
      <x:c r="S892" s="2" t="n">
        <x:f>IF(R892=1,SUM($R$10:R892),0)</x:f>
        <x:v>519</x:v>
      </x:c>
      <x:c r="T892" s="2" t="str">
        <x:v>Research &amp; Analysis</x:v>
      </x:c>
      <x:c r="U892" s="2" t="n">
        <x:v>164</x:v>
      </x:c>
      <x:c r="V892" s="2" t="n">
        <x:f>IF(AND(M892=1,P892=0,ISNUMBER(J892),J892&lt;TODAY()),1,0)</x:f>
        <x:v>1</x:v>
      </x:c>
      <x:c r="W892" s="2" t="str">
        <x:f>'Research &amp; Analysis'!M164</x:f>
        <x:v>Task</x:v>
      </x:c>
    </x:row>
    <x:row r="893" ht="40" customHeight="1">
      <x:c r="A893" s="3" t="str">
        <x:f>HYPERLINK("#'Research &amp; Analysis'!A165","Open")</x:f>
        <x:v>Open</x:v>
      </x:c>
      <x:c r="B893" s="2" t="str">
        <x:f>'Research &amp; Analysis'!B165</x:f>
        <x:v>Cycle 1</x:v>
      </x:c>
      <x:c r="C893" s="2" t="str">
        <x:f>'Research &amp; Analysis'!C165</x:f>
        <x:v>Phase 2</x:v>
      </x:c>
      <x:c r="D893" s="2" t="str">
        <x:f>'Research &amp; Analysis'!D165</x:f>
        <x:v>Retail Services</x:v>
      </x:c>
      <x:c r="E893" s="2" t="str">
        <x:v>Research &amp; Analysis</x:v>
      </x:c>
      <x:c r="F893" s="56" t="str">
        <x:f>'Research &amp; Analysis'!E165</x:f>
        <x:v>RA.RS.2.9</x:v>
      </x:c>
      <x:c r="G893" s="14" t="str">
        <x:f>'Research &amp; Analysis'!F165</x:f>
        <x:v>Validate or disprove initial hypothesis assumptions</x:v>
      </x:c>
      <x:c r="H893" s="2" t="str">
        <x:f>IF('Research &amp; Analysis'!G165="","",'Research &amp; Analysis'!G165)</x:f>
      </x:c>
      <x:c r="I893" s="12" t="str">
        <x:f>IF('Research &amp; Analysis'!H165="","",'Research &amp; Analysis'!H165)</x:f>
      </x:c>
      <x:c r="J893" s="12" t="n">
        <x:f>IF('Research &amp; Analysis'!I165="","",'Research &amp; Analysis'!I165)</x:f>
        <x:v>46112</x:v>
      </x:c>
      <x:c r="K893" s="12" t="str">
        <x:f>IF('Research &amp; Analysis'!J165="","",'Research &amp; Analysis'!J165)</x:f>
      </x:c>
      <x:c r="L893" s="2" t="str">
        <x:f>IF('Research &amp; Analysis'!K165="","",'Research &amp; Analysis'!K165)</x:f>
      </x:c>
      <x:c r="M893" s="2" t="n">
        <x:f>'Research &amp; Analysis'!Q165</x:f>
        <x:v>1</x:v>
      </x:c>
      <x:c r="N893" s="2" t="str">
        <x:f>'Research &amp; Analysis'!L165</x:f>
        <x:v>Not started</x:v>
      </x:c>
      <x:c r="O893" s="2" t="str">
        <x:f>'Research &amp; Analysis'!N165</x:f>
        <x:v>RA.RS.2.9.2026.CY1</x:v>
      </x:c>
      <x:c r="P893" s="2" t="n">
        <x:f>'Research &amp; Analysis'!O165</x:f>
        <x:v>0</x:v>
      </x:c>
      <x:c r="Q893" s="2" t="n">
        <x:f>SUBTOTAL(103,O893)</x:f>
        <x:v>1</x:v>
      </x:c>
      <x:c r="R893" s="2" t="n">
        <x:f>IF(AND(M893=1,OR(Dashboard!$B$7="All",Dashboard!$B$7='Cycles &amp; Guide'!$C$5),OR(Dashboard!$D$7="All",Dashboard!$D$7=B893),OR(Dashboard!$F$7="All",Dashboard!$F$7=C893),OR(Dashboard!$H$7="All",Dashboard!$H$7=D893),OR(Dashboard!$K$7="All",Dashboard!$K$7=E893)),1,0)</x:f>
        <x:v>1</x:v>
      </x:c>
      <x:c r="S893" s="2" t="n">
        <x:f>IF(R893=1,SUM($R$10:R893),0)</x:f>
        <x:v>520</x:v>
      </x:c>
      <x:c r="T893" s="2" t="str">
        <x:v>Research &amp; Analysis</x:v>
      </x:c>
      <x:c r="U893" s="2" t="n">
        <x:v>165</x:v>
      </x:c>
      <x:c r="V893" s="2" t="n">
        <x:f>IF(AND(M893=1,P893=0,ISNUMBER(J893),J893&lt;TODAY()),1,0)</x:f>
        <x:v>1</x:v>
      </x:c>
      <x:c r="W893" s="2" t="str">
        <x:f>'Research &amp; Analysis'!M165</x:f>
        <x:v>Task</x:v>
      </x:c>
    </x:row>
    <x:row r="894" ht="40" customHeight="1">
      <x:c r="A894" s="3" t="str">
        <x:f>HYPERLINK("#'Research &amp; Analysis'!A166","Open")</x:f>
        <x:v>Open</x:v>
      </x:c>
      <x:c r="B894" s="2" t="str">
        <x:f>'Research &amp; Analysis'!B166</x:f>
        <x:v>Cycle 1</x:v>
      </x:c>
      <x:c r="C894" s="2" t="str">
        <x:f>'Research &amp; Analysis'!C166</x:f>
        <x:v>Phase 2</x:v>
      </x:c>
      <x:c r="D894" s="2" t="str">
        <x:f>'Research &amp; Analysis'!D166</x:f>
        <x:v>Retail Services</x:v>
      </x:c>
      <x:c r="E894" s="2" t="str">
        <x:v>Research &amp; Analysis</x:v>
      </x:c>
      <x:c r="F894" s="56" t="str">
        <x:f>'Research &amp; Analysis'!E166</x:f>
        <x:v>RA.RS.2.10</x:v>
      </x:c>
      <x:c r="G894" s="14" t="str">
        <x:f>'Research &amp; Analysis'!F166</x:f>
        <x:v>Identify and confirm root cause</x:v>
      </x:c>
      <x:c r="H894" s="2" t="str">
        <x:f>IF('Research &amp; Analysis'!G166="","",'Research &amp; Analysis'!G166)</x:f>
      </x:c>
      <x:c r="I894" s="12" t="str">
        <x:f>IF('Research &amp; Analysis'!H166="","",'Research &amp; Analysis'!H166)</x:f>
      </x:c>
      <x:c r="J894" s="12" t="n">
        <x:f>IF('Research &amp; Analysis'!I166="","",'Research &amp; Analysis'!I166)</x:f>
        <x:v>46112</x:v>
      </x:c>
      <x:c r="K894" s="12" t="str">
        <x:f>IF('Research &amp; Analysis'!J166="","",'Research &amp; Analysis'!J166)</x:f>
      </x:c>
      <x:c r="L894" s="2" t="str">
        <x:f>IF('Research &amp; Analysis'!K166="","",'Research &amp; Analysis'!K166)</x:f>
      </x:c>
      <x:c r="M894" s="2" t="n">
        <x:f>'Research &amp; Analysis'!Q166</x:f>
        <x:v>1</x:v>
      </x:c>
      <x:c r="N894" s="2" t="str">
        <x:f>'Research &amp; Analysis'!L166</x:f>
        <x:v>Not started</x:v>
      </x:c>
      <x:c r="O894" s="2" t="str">
        <x:f>'Research &amp; Analysis'!N166</x:f>
        <x:v>RA.RS.2.10.2026.CY1</x:v>
      </x:c>
      <x:c r="P894" s="2" t="n">
        <x:f>'Research &amp; Analysis'!O166</x:f>
        <x:v>0</x:v>
      </x:c>
      <x:c r="Q894" s="2" t="n">
        <x:f>SUBTOTAL(103,O894)</x:f>
        <x:v>1</x:v>
      </x:c>
      <x:c r="R894" s="2" t="n">
        <x:f>IF(AND(M894=1,OR(Dashboard!$B$7="All",Dashboard!$B$7='Cycles &amp; Guide'!$C$5),OR(Dashboard!$D$7="All",Dashboard!$D$7=B894),OR(Dashboard!$F$7="All",Dashboard!$F$7=C894),OR(Dashboard!$H$7="All",Dashboard!$H$7=D894),OR(Dashboard!$K$7="All",Dashboard!$K$7=E894)),1,0)</x:f>
        <x:v>1</x:v>
      </x:c>
      <x:c r="S894" s="2" t="n">
        <x:f>IF(R894=1,SUM($R$10:R894),0)</x:f>
        <x:v>521</x:v>
      </x:c>
      <x:c r="T894" s="2" t="str">
        <x:v>Research &amp; Analysis</x:v>
      </x:c>
      <x:c r="U894" s="2" t="n">
        <x:v>166</x:v>
      </x:c>
      <x:c r="V894" s="2" t="n">
        <x:f>IF(AND(M894=1,P894=0,ISNUMBER(J894),J894&lt;TODAY()),1,0)</x:f>
        <x:v>1</x:v>
      </x:c>
      <x:c r="W894" s="2" t="str">
        <x:f>'Research &amp; Analysis'!M166</x:f>
        <x:v>Task</x:v>
      </x:c>
    </x:row>
    <x:row r="895" ht="40" customHeight="1">
      <x:c r="A895" s="3" t="str">
        <x:f>HYPERLINK("#'Research &amp; Analysis'!A167","Open")</x:f>
        <x:v>Open</x:v>
      </x:c>
      <x:c r="B895" s="2" t="str">
        <x:f>'Research &amp; Analysis'!B167</x:f>
        <x:v>Cycle 1</x:v>
      </x:c>
      <x:c r="C895" s="2" t="str">
        <x:f>'Research &amp; Analysis'!C167</x:f>
        <x:v>Phase 3</x:v>
      </x:c>
      <x:c r="D895" s="2" t="str">
        <x:f>'Research &amp; Analysis'!D167</x:f>
        <x:v>Retail Services</x:v>
      </x:c>
      <x:c r="E895" s="2" t="str">
        <x:v>Research &amp; Analysis</x:v>
      </x:c>
      <x:c r="F895" s="56" t="str">
        <x:f>'Research &amp; Analysis'!E167</x:f>
        <x:v>RA.RS.3.1</x:v>
      </x:c>
      <x:c r="G895" s="14" t="str">
        <x:f>'Research &amp; Analysis'!F167</x:f>
        <x:v>Finalize results and supporting documentation</x:v>
      </x:c>
      <x:c r="H895" s="2" t="str">
        <x:f>IF('Research &amp; Analysis'!G167="","",'Research &amp; Analysis'!G167)</x:f>
      </x:c>
      <x:c r="I895" s="12" t="str">
        <x:f>IF('Research &amp; Analysis'!H167="","",'Research &amp; Analysis'!H167)</x:f>
      </x:c>
      <x:c r="J895" s="12" t="n">
        <x:f>IF('Research &amp; Analysis'!I167="","",'Research &amp; Analysis'!I167)</x:f>
        <x:v>46112</x:v>
      </x:c>
      <x:c r="K895" s="12" t="str">
        <x:f>IF('Research &amp; Analysis'!J167="","",'Research &amp; Analysis'!J167)</x:f>
      </x:c>
      <x:c r="L895" s="2" t="str">
        <x:f>IF('Research &amp; Analysis'!K167="","",'Research &amp; Analysis'!K167)</x:f>
      </x:c>
      <x:c r="M895" s="2" t="n">
        <x:f>'Research &amp; Analysis'!Q167</x:f>
        <x:v>1</x:v>
      </x:c>
      <x:c r="N895" s="2" t="str">
        <x:f>'Research &amp; Analysis'!L167</x:f>
        <x:v>Not started</x:v>
      </x:c>
      <x:c r="O895" s="2" t="str">
        <x:f>'Research &amp; Analysis'!N167</x:f>
        <x:v>RA.RS.3.1.2026.CY1</x:v>
      </x:c>
      <x:c r="P895" s="2" t="n">
        <x:f>'Research &amp; Analysis'!O167</x:f>
        <x:v>0</x:v>
      </x:c>
      <x:c r="Q895" s="2" t="n">
        <x:f>SUBTOTAL(103,O895)</x:f>
        <x:v>1</x:v>
      </x:c>
      <x:c r="R895" s="2" t="n">
        <x:f>IF(AND(M895=1,OR(Dashboard!$B$7="All",Dashboard!$B$7='Cycles &amp; Guide'!$C$5),OR(Dashboard!$D$7="All",Dashboard!$D$7=B895),OR(Dashboard!$F$7="All",Dashboard!$F$7=C895),OR(Dashboard!$H$7="All",Dashboard!$H$7=D895),OR(Dashboard!$K$7="All",Dashboard!$K$7=E895)),1,0)</x:f>
        <x:v>1</x:v>
      </x:c>
      <x:c r="S895" s="2" t="n">
        <x:f>IF(R895=1,SUM($R$10:R895),0)</x:f>
        <x:v>522</x:v>
      </x:c>
      <x:c r="T895" s="2" t="str">
        <x:v>Research &amp; Analysis</x:v>
      </x:c>
      <x:c r="U895" s="2" t="n">
        <x:v>167</x:v>
      </x:c>
      <x:c r="V895" s="2" t="n">
        <x:f>IF(AND(M895=1,P895=0,ISNUMBER(J895),J895&lt;TODAY()),1,0)</x:f>
        <x:v>1</x:v>
      </x:c>
      <x:c r="W895" s="2" t="str">
        <x:f>'Research &amp; Analysis'!M167</x:f>
        <x:v>Task</x:v>
      </x:c>
    </x:row>
    <x:row r="896" ht="40" customHeight="1">
      <x:c r="A896" s="3" t="str">
        <x:f>HYPERLINK("#'Research &amp; Analysis'!A168","Open")</x:f>
        <x:v>Open</x:v>
      </x:c>
      <x:c r="B896" s="2" t="str">
        <x:f>'Research &amp; Analysis'!B168</x:f>
        <x:v>Cycle 1</x:v>
      </x:c>
      <x:c r="C896" s="2" t="str">
        <x:f>'Research &amp; Analysis'!C168</x:f>
        <x:v>Phase 3</x:v>
      </x:c>
      <x:c r="D896" s="2" t="str">
        <x:f>'Research &amp; Analysis'!D168</x:f>
        <x:v>Retail Services</x:v>
      </x:c>
      <x:c r="E896" s="2" t="str">
        <x:v>Research &amp; Analysis</x:v>
      </x:c>
      <x:c r="F896" s="56" t="str">
        <x:f>'Research &amp; Analysis'!E168</x:f>
        <x:v>RA.RS.3.2</x:v>
      </x:c>
      <x:c r="G896" s="14" t="str">
        <x:f>'Research &amp; Analysis'!F168</x:f>
        <x:v>Maintain and update the evidence package prior to handoff to D&amp;I</x:v>
      </x:c>
      <x:c r="H896" s="2" t="str">
        <x:f>IF('Research &amp; Analysis'!G168="","",'Research &amp; Analysis'!G168)</x:f>
      </x:c>
      <x:c r="I896" s="12" t="str">
        <x:f>IF('Research &amp; Analysis'!H168="","",'Research &amp; Analysis'!H168)</x:f>
      </x:c>
      <x:c r="J896" s="12" t="n">
        <x:f>IF('Research &amp; Analysis'!I168="","",'Research &amp; Analysis'!I168)</x:f>
        <x:v>46112</x:v>
      </x:c>
      <x:c r="K896" s="12" t="str">
        <x:f>IF('Research &amp; Analysis'!J168="","",'Research &amp; Analysis'!J168)</x:f>
      </x:c>
      <x:c r="L896" s="2" t="str">
        <x:f>IF('Research &amp; Analysis'!K168="","",'Research &amp; Analysis'!K168)</x:f>
      </x:c>
      <x:c r="M896" s="2" t="n">
        <x:f>'Research &amp; Analysis'!Q168</x:f>
        <x:v>1</x:v>
      </x:c>
      <x:c r="N896" s="2" t="str">
        <x:f>'Research &amp; Analysis'!L168</x:f>
        <x:v>Not started</x:v>
      </x:c>
      <x:c r="O896" s="2" t="str">
        <x:f>'Research &amp; Analysis'!N168</x:f>
        <x:v>RA.RS.3.2.2026.CY1</x:v>
      </x:c>
      <x:c r="P896" s="2" t="n">
        <x:f>'Research &amp; Analysis'!O168</x:f>
        <x:v>0</x:v>
      </x:c>
      <x:c r="Q896" s="2" t="n">
        <x:f>SUBTOTAL(103,O896)</x:f>
        <x:v>1</x:v>
      </x:c>
      <x:c r="R896" s="2" t="n">
        <x:f>IF(AND(M896=1,OR(Dashboard!$B$7="All",Dashboard!$B$7='Cycles &amp; Guide'!$C$5),OR(Dashboard!$D$7="All",Dashboard!$D$7=B896),OR(Dashboard!$F$7="All",Dashboard!$F$7=C896),OR(Dashboard!$H$7="All",Dashboard!$H$7=D896),OR(Dashboard!$K$7="All",Dashboard!$K$7=E896)),1,0)</x:f>
        <x:v>1</x:v>
      </x:c>
      <x:c r="S896" s="2" t="n">
        <x:f>IF(R896=1,SUM($R$10:R896),0)</x:f>
        <x:v>523</x:v>
      </x:c>
      <x:c r="T896" s="2" t="str">
        <x:v>Research &amp; Analysis</x:v>
      </x:c>
      <x:c r="U896" s="2" t="n">
        <x:v>168</x:v>
      </x:c>
      <x:c r="V896" s="2" t="n">
        <x:f>IF(AND(M896=1,P896=0,ISNUMBER(J896),J896&lt;TODAY()),1,0)</x:f>
        <x:v>1</x:v>
      </x:c>
      <x:c r="W896" s="2" t="str">
        <x:f>'Research &amp; Analysis'!M168</x:f>
        <x:v>Task</x:v>
      </x:c>
    </x:row>
    <x:row r="897" ht="40" customHeight="1">
      <x:c r="A897" s="3" t="str">
        <x:f>HYPERLINK("#'Research &amp; Analysis'!A169","Open")</x:f>
        <x:v>Open</x:v>
      </x:c>
      <x:c r="B897" s="2" t="str">
        <x:f>'Research &amp; Analysis'!B169</x:f>
        <x:v>Cycle 1</x:v>
      </x:c>
      <x:c r="C897" s="2" t="str">
        <x:f>'Research &amp; Analysis'!C169</x:f>
        <x:v>Phase 3</x:v>
      </x:c>
      <x:c r="D897" s="2" t="str">
        <x:f>'Research &amp; Analysis'!D169</x:f>
        <x:v>Retail Services</x:v>
      </x:c>
      <x:c r="E897" s="2" t="str">
        <x:v>Research &amp; Analysis</x:v>
      </x:c>
      <x:c r="F897" s="56" t="str">
        <x:f>'Research &amp; Analysis'!E169</x:f>
        <x:v>RA.RS.3.3</x:v>
      </x:c>
      <x:c r="G897" s="14" t="str">
        <x:f>'Research &amp; Analysis'!F169</x:f>
        <x:v>Address any outstanding questions or requests from D&amp;I</x:v>
      </x:c>
      <x:c r="H897" s="2" t="str">
        <x:f>IF('Research &amp; Analysis'!G169="","",'Research &amp; Analysis'!G169)</x:f>
      </x:c>
      <x:c r="I897" s="12" t="str">
        <x:f>IF('Research &amp; Analysis'!H169="","",'Research &amp; Analysis'!H169)</x:f>
      </x:c>
      <x:c r="J897" s="12" t="n">
        <x:f>IF('Research &amp; Analysis'!I169="","",'Research &amp; Analysis'!I169)</x:f>
        <x:v>46112</x:v>
      </x:c>
      <x:c r="K897" s="12" t="str">
        <x:f>IF('Research &amp; Analysis'!J169="","",'Research &amp; Analysis'!J169)</x:f>
      </x:c>
      <x:c r="L897" s="2" t="str">
        <x:f>IF('Research &amp; Analysis'!K169="","",'Research &amp; Analysis'!K169)</x:f>
      </x:c>
      <x:c r="M897" s="2" t="n">
        <x:f>'Research &amp; Analysis'!Q169</x:f>
        <x:v>1</x:v>
      </x:c>
      <x:c r="N897" s="2" t="str">
        <x:f>'Research &amp; Analysis'!L169</x:f>
        <x:v>Not started</x:v>
      </x:c>
      <x:c r="O897" s="2" t="str">
        <x:f>'Research &amp; Analysis'!N169</x:f>
        <x:v>RA.RS.3.3.2026.CY1</x:v>
      </x:c>
      <x:c r="P897" s="2" t="n">
        <x:f>'Research &amp; Analysis'!O169</x:f>
        <x:v>0</x:v>
      </x:c>
      <x:c r="Q897" s="2" t="n">
        <x:f>SUBTOTAL(103,O897)</x:f>
        <x:v>1</x:v>
      </x:c>
      <x:c r="R897" s="2" t="n">
        <x:f>IF(AND(M897=1,OR(Dashboard!$B$7="All",Dashboard!$B$7='Cycles &amp; Guide'!$C$5),OR(Dashboard!$D$7="All",Dashboard!$D$7=B897),OR(Dashboard!$F$7="All",Dashboard!$F$7=C897),OR(Dashboard!$H$7="All",Dashboard!$H$7=D897),OR(Dashboard!$K$7="All",Dashboard!$K$7=E897)),1,0)</x:f>
        <x:v>1</x:v>
      </x:c>
      <x:c r="S897" s="2" t="n">
        <x:f>IF(R897=1,SUM($R$10:R897),0)</x:f>
        <x:v>524</x:v>
      </x:c>
      <x:c r="T897" s="2" t="str">
        <x:v>Research &amp; Analysis</x:v>
      </x:c>
      <x:c r="U897" s="2" t="n">
        <x:v>169</x:v>
      </x:c>
      <x:c r="V897" s="2" t="n">
        <x:f>IF(AND(M897=1,P897=0,ISNUMBER(J897),J897&lt;TODAY()),1,0)</x:f>
        <x:v>1</x:v>
      </x:c>
      <x:c r="W897" s="2" t="str">
        <x:f>'Research &amp; Analysis'!M169</x:f>
        <x:v>Task</x:v>
      </x:c>
    </x:row>
    <x:row r="898" ht="40" customHeight="1">
      <x:c r="A898" s="3" t="str">
        <x:f>HYPERLINK("#'Research &amp; Analysis'!A170","Open")</x:f>
        <x:v>Open</x:v>
      </x:c>
      <x:c r="B898" s="2" t="str">
        <x:f>'Research &amp; Analysis'!B170</x:f>
        <x:v>Cycle 1</x:v>
      </x:c>
      <x:c r="C898" s="2" t="str">
        <x:f>'Research &amp; Analysis'!C170</x:f>
        <x:v>Phase 3</x:v>
      </x:c>
      <x:c r="D898" s="2" t="str">
        <x:f>'Research &amp; Analysis'!D170</x:f>
        <x:v>Retail Services</x:v>
      </x:c>
      <x:c r="E898" s="2" t="str">
        <x:v>Research &amp; Analysis</x:v>
      </x:c>
      <x:c r="F898" s="56" t="str">
        <x:f>'Research &amp; Analysis'!E170</x:f>
        <x:v>RA.RS.3.4</x:v>
      </x:c>
      <x:c r="G898" s="14" t="str">
        <x:f>'Research &amp; Analysis'!F170</x:f>
        <x:v>Attend Forum meeting with D&amp;I to assist with answering stakeholder questions (as needed)</x:v>
      </x:c>
      <x:c r="H898" s="2" t="str">
        <x:f>IF('Research &amp; Analysis'!G170="","",'Research &amp; Analysis'!G170)</x:f>
      </x:c>
      <x:c r="I898" s="12" t="str">
        <x:f>IF('Research &amp; Analysis'!H170="","",'Research &amp; Analysis'!H170)</x:f>
      </x:c>
      <x:c r="J898" s="12" t="str">
        <x:f>IF('Research &amp; Analysis'!I170="","",'Research &amp; Analysis'!I170)</x:f>
      </x:c>
      <x:c r="K898" s="12" t="str">
        <x:f>IF('Research &amp; Analysis'!J170="","",'Research &amp; Analysis'!J170)</x:f>
      </x:c>
      <x:c r="L898" s="2" t="str">
        <x:f>IF('Research &amp; Analysis'!K170="","",'Research &amp; Analysis'!K170)</x:f>
      </x:c>
      <x:c r="M898" s="2" t="n">
        <x:f>'Research &amp; Analysis'!Q170</x:f>
        <x:v>1</x:v>
      </x:c>
      <x:c r="N898" s="2" t="str">
        <x:f>'Research &amp; Analysis'!L170</x:f>
        <x:v>Not started</x:v>
      </x:c>
      <x:c r="O898" s="2" t="str">
        <x:f>'Research &amp; Analysis'!N170</x:f>
        <x:v>RA.RS.3.4.2026.CY1</x:v>
      </x:c>
      <x:c r="P898" s="2" t="n">
        <x:f>'Research &amp; Analysis'!O170</x:f>
        <x:v>0</x:v>
      </x:c>
      <x:c r="Q898" s="2" t="n">
        <x:f>SUBTOTAL(103,O898)</x:f>
        <x:v>1</x:v>
      </x:c>
      <x:c r="R898" s="2" t="n">
        <x:f>IF(AND(M898=1,OR(Dashboard!$B$7="All",Dashboard!$B$7='Cycles &amp; Guide'!$C$5),OR(Dashboard!$D$7="All",Dashboard!$D$7=B898),OR(Dashboard!$F$7="All",Dashboard!$F$7=C898),OR(Dashboard!$H$7="All",Dashboard!$H$7=D898),OR(Dashboard!$K$7="All",Dashboard!$K$7=E898)),1,0)</x:f>
        <x:v>1</x:v>
      </x:c>
      <x:c r="S898" s="2" t="n">
        <x:f>IF(R898=1,SUM($R$10:R898),0)</x:f>
        <x:v>525</x:v>
      </x:c>
      <x:c r="T898" s="2" t="str">
        <x:v>Research &amp; Analysis</x:v>
      </x:c>
      <x:c r="U898" s="2" t="n">
        <x:v>170</x:v>
      </x:c>
      <x:c r="V898" s="2" t="n">
        <x:f>IF(AND(M898=1,P898=0,ISNUMBER(J898),J898&lt;TODAY()),1,0)</x:f>
        <x:v>0</x:v>
      </x:c>
      <x:c r="W898" s="2" t="str">
        <x:f>'Research &amp; Analysis'!M170</x:f>
        <x:v>Task</x:v>
      </x:c>
    </x:row>
    <x:row r="899" ht="40" customHeight="1">
      <x:c r="A899" s="3" t="str">
        <x:f>HYPERLINK("#'Research &amp; Analysis'!A171","Open")</x:f>
        <x:v>Open</x:v>
      </x:c>
      <x:c r="B899" s="2" t="str">
        <x:f>'Research &amp; Analysis'!B171</x:f>
        <x:v>Cycle 2</x:v>
      </x:c>
      <x:c r="C899" s="2" t="str">
        <x:f>'Research &amp; Analysis'!C171</x:f>
        <x:v>Phase 1</x:v>
      </x:c>
      <x:c r="D899" s="2" t="str">
        <x:f>'Research &amp; Analysis'!D171</x:f>
        <x:v>Auto</x:v>
      </x:c>
      <x:c r="E899" s="2" t="str">
        <x:v>Research &amp; Analysis</x:v>
      </x:c>
      <x:c r="F899" s="56" t="str">
        <x:f>'Research &amp; Analysis'!E171</x:f>
        <x:v>RA.AU.1.1</x:v>
      </x:c>
      <x:c r="G899" s="14" t="str">
        <x:f>'Research &amp; Analysis'!F171</x:f>
        <x:v>Begin Research process 2 weeks prior to Cycle start</x:v>
      </x:c>
      <x:c r="H899" s="2" t="str">
        <x:f>IF('Research &amp; Analysis'!G171="","",'Research &amp; Analysis'!G171)</x:f>
      </x:c>
      <x:c r="I899" s="12" t="str">
        <x:f>IF('Research &amp; Analysis'!H171="","",'Research &amp; Analysis'!H171)</x:f>
      </x:c>
      <x:c r="J899" s="12" t="n">
        <x:f>IF('Research &amp; Analysis'!I171="","",'Research &amp; Analysis'!I171)</x:f>
        <x:v>46099</x:v>
      </x:c>
      <x:c r="K899" s="12" t="str">
        <x:f>IF('Research &amp; Analysis'!J171="","",'Research &amp; Analysis'!J171)</x:f>
      </x:c>
      <x:c r="L899" s="2" t="str">
        <x:f>IF('Research &amp; Analysis'!K171="","",'Research &amp; Analysis'!K171)</x:f>
      </x:c>
      <x:c r="M899" s="2" t="n">
        <x:f>'Research &amp; Analysis'!Q171</x:f>
        <x:v>1</x:v>
      </x:c>
      <x:c r="N899" s="2" t="str">
        <x:f>'Research &amp; Analysis'!L171</x:f>
        <x:v>Not started</x:v>
      </x:c>
      <x:c r="O899" s="2" t="str">
        <x:f>'Research &amp; Analysis'!N171</x:f>
        <x:v>RA.AU.1.1.2026.CY2</x:v>
      </x:c>
      <x:c r="P899" s="2" t="n">
        <x:f>'Research &amp; Analysis'!O171</x:f>
        <x:v>0</x:v>
      </x:c>
      <x:c r="Q899" s="2" t="n">
        <x:f>SUBTOTAL(103,O899)</x:f>
        <x:v>1</x:v>
      </x:c>
      <x:c r="R899" s="2" t="n">
        <x:f>IF(AND(M899=1,OR(Dashboard!$B$7="All",Dashboard!$B$7='Cycles &amp; Guide'!$C$5),OR(Dashboard!$D$7="All",Dashboard!$D$7=B899),OR(Dashboard!$F$7="All",Dashboard!$F$7=C899),OR(Dashboard!$H$7="All",Dashboard!$H$7=D899),OR(Dashboard!$K$7="All",Dashboard!$K$7=E899)),1,0)</x:f>
        <x:v>1</x:v>
      </x:c>
      <x:c r="S899" s="2" t="n">
        <x:f>IF(R899=1,SUM($R$10:R899),0)</x:f>
        <x:v>526</x:v>
      </x:c>
      <x:c r="T899" s="2" t="str">
        <x:v>Research &amp; Analysis</x:v>
      </x:c>
      <x:c r="U899" s="2" t="n">
        <x:v>171</x:v>
      </x:c>
      <x:c r="V899" s="2" t="n">
        <x:f>IF(AND(M899=1,P899=0,ISNUMBER(J899),J899&lt;TODAY()),1,0)</x:f>
        <x:v>1</x:v>
      </x:c>
      <x:c r="W899" s="2" t="str">
        <x:f>'Research &amp; Analysis'!M171</x:f>
        <x:v>Task</x:v>
      </x:c>
    </x:row>
    <x:row r="900" ht="40" customHeight="1">
      <x:c r="A900" s="3" t="str">
        <x:f>HYPERLINK("#'Research &amp; Analysis'!A172","Open")</x:f>
        <x:v>Open</x:v>
      </x:c>
      <x:c r="B900" s="2" t="str">
        <x:f>'Research &amp; Analysis'!B172</x:f>
        <x:v>Cycle 2</x:v>
      </x:c>
      <x:c r="C900" s="2" t="str">
        <x:f>'Research &amp; Analysis'!C172</x:f>
        <x:v>Phase 1</x:v>
      </x:c>
      <x:c r="D900" s="2" t="str">
        <x:f>'Research &amp; Analysis'!D172</x:f>
        <x:v>Auto</x:v>
      </x:c>
      <x:c r="E900" s="2" t="str">
        <x:v>Research &amp; Analysis</x:v>
      </x:c>
      <x:c r="F900" s="56" t="str">
        <x:f>'Research &amp; Analysis'!E172</x:f>
        <x:v>RA.AU.1.2</x:v>
      </x:c>
      <x:c r="G900" s="14" t="str">
        <x:f>'Research &amp; Analysis'!F172</x:f>
        <x:v>Conduct initial assessment of each topic recommendation from SharePoint list</x:v>
      </x:c>
      <x:c r="H900" s="2" t="str">
        <x:f>IF('Research &amp; Analysis'!G172="","",'Research &amp; Analysis'!G172)</x:f>
      </x:c>
      <x:c r="I900" s="12" t="str">
        <x:f>IF('Research &amp; Analysis'!H172="","",'Research &amp; Analysis'!H172)</x:f>
      </x:c>
      <x:c r="J900" s="12" t="n">
        <x:f>IF('Research &amp; Analysis'!I172="","",'Research &amp; Analysis'!I172)</x:f>
        <x:v>46203</x:v>
      </x:c>
      <x:c r="K900" s="12" t="str">
        <x:f>IF('Research &amp; Analysis'!J172="","",'Research &amp; Analysis'!J172)</x:f>
      </x:c>
      <x:c r="L900" s="2" t="str">
        <x:f>IF('Research &amp; Analysis'!K172="","",'Research &amp; Analysis'!K172)</x:f>
      </x:c>
      <x:c r="M900" s="2" t="n">
        <x:f>'Research &amp; Analysis'!Q172</x:f>
        <x:v>1</x:v>
      </x:c>
      <x:c r="N900" s="2" t="str">
        <x:f>'Research &amp; Analysis'!L172</x:f>
        <x:v>Not started</x:v>
      </x:c>
      <x:c r="O900" s="2" t="str">
        <x:f>'Research &amp; Analysis'!N172</x:f>
        <x:v>RA.AU.1.2.2026.CY2</x:v>
      </x:c>
      <x:c r="P900" s="2" t="n">
        <x:f>'Research &amp; Analysis'!O172</x:f>
        <x:v>0</x:v>
      </x:c>
      <x:c r="Q900" s="2" t="n">
        <x:f>SUBTOTAL(103,O900)</x:f>
        <x:v>1</x:v>
      </x:c>
      <x:c r="R900" s="2" t="n">
        <x:f>IF(AND(M900=1,OR(Dashboard!$B$7="All",Dashboard!$B$7='Cycles &amp; Guide'!$C$5),OR(Dashboard!$D$7="All",Dashboard!$D$7=B900),OR(Dashboard!$F$7="All",Dashboard!$F$7=C900),OR(Dashboard!$H$7="All",Dashboard!$H$7=D900),OR(Dashboard!$K$7="All",Dashboard!$K$7=E900)),1,0)</x:f>
        <x:v>1</x:v>
      </x:c>
      <x:c r="S900" s="2" t="n">
        <x:f>IF(R900=1,SUM($R$10:R900),0)</x:f>
        <x:v>527</x:v>
      </x:c>
      <x:c r="T900" s="2" t="str">
        <x:v>Research &amp; Analysis</x:v>
      </x:c>
      <x:c r="U900" s="2" t="n">
        <x:v>172</x:v>
      </x:c>
      <x:c r="V900" s="2" t="n">
        <x:f>IF(AND(M900=1,P900=0,ISNUMBER(J900),J900&lt;TODAY()),1,0)</x:f>
        <x:v>1</x:v>
      </x:c>
      <x:c r="W900" s="2" t="str">
        <x:f>'Research &amp; Analysis'!M172</x:f>
        <x:v>Task</x:v>
      </x:c>
    </x:row>
    <x:row r="901" ht="40" customHeight="1">
      <x:c r="A901" s="3" t="str">
        <x:f>HYPERLINK("#'Research &amp; Analysis'!A173","Open")</x:f>
        <x:v>Open</x:v>
      </x:c>
      <x:c r="B901" s="2" t="str">
        <x:f>'Research &amp; Analysis'!B173</x:f>
        <x:v>Cycle 2</x:v>
      </x:c>
      <x:c r="C901" s="2" t="str">
        <x:f>'Research &amp; Analysis'!C173</x:f>
        <x:v>Phase 1</x:v>
      </x:c>
      <x:c r="D901" s="2" t="str">
        <x:f>'Research &amp; Analysis'!D173</x:f>
        <x:v>Auto</x:v>
      </x:c>
      <x:c r="E901" s="2" t="str">
        <x:v>Research &amp; Analysis</x:v>
      </x:c>
      <x:c r="F901" s="56" t="str">
        <x:f>'Research &amp; Analysis'!E173</x:f>
        <x:v>RA.AU.1.3</x:v>
      </x:c>
      <x:c r="G901" s="14" t="str">
        <x:f>'Research &amp; Analysis'!F173</x:f>
        <x:v>Identify best topic for Cycle</x:v>
      </x:c>
      <x:c r="H901" s="2" t="str">
        <x:f>IF('Research &amp; Analysis'!G173="","",'Research &amp; Analysis'!G173)</x:f>
      </x:c>
      <x:c r="I901" s="12" t="str">
        <x:f>IF('Research &amp; Analysis'!H173="","",'Research &amp; Analysis'!H173)</x:f>
      </x:c>
      <x:c r="J901" s="12" t="n">
        <x:f>IF('Research &amp; Analysis'!I173="","",'Research &amp; Analysis'!I173)</x:f>
        <x:v>46203</x:v>
      </x:c>
      <x:c r="K901" s="12" t="str">
        <x:f>IF('Research &amp; Analysis'!J173="","",'Research &amp; Analysis'!J173)</x:f>
      </x:c>
      <x:c r="L901" s="2" t="str">
        <x:f>IF('Research &amp; Analysis'!K173="","",'Research &amp; Analysis'!K173)</x:f>
      </x:c>
      <x:c r="M901" s="2" t="n">
        <x:f>'Research &amp; Analysis'!Q173</x:f>
        <x:v>1</x:v>
      </x:c>
      <x:c r="N901" s="2" t="str">
        <x:f>'Research &amp; Analysis'!L173</x:f>
        <x:v>Not started</x:v>
      </x:c>
      <x:c r="O901" s="2" t="str">
        <x:f>'Research &amp; Analysis'!N173</x:f>
        <x:v>RA.AU.1.3.2026.CY2</x:v>
      </x:c>
      <x:c r="P901" s="2" t="n">
        <x:f>'Research &amp; Analysis'!O173</x:f>
        <x:v>0</x:v>
      </x:c>
      <x:c r="Q901" s="2" t="n">
        <x:f>SUBTOTAL(103,O901)</x:f>
        <x:v>1</x:v>
      </x:c>
      <x:c r="R901" s="2" t="n">
        <x:f>IF(AND(M901=1,OR(Dashboard!$B$7="All",Dashboard!$B$7='Cycles &amp; Guide'!$C$5),OR(Dashboard!$D$7="All",Dashboard!$D$7=B901),OR(Dashboard!$F$7="All",Dashboard!$F$7=C901),OR(Dashboard!$H$7="All",Dashboard!$H$7=D901),OR(Dashboard!$K$7="All",Dashboard!$K$7=E901)),1,0)</x:f>
        <x:v>1</x:v>
      </x:c>
      <x:c r="S901" s="2" t="n">
        <x:f>IF(R901=1,SUM($R$10:R901),0)</x:f>
        <x:v>528</x:v>
      </x:c>
      <x:c r="T901" s="2" t="str">
        <x:v>Research &amp; Analysis</x:v>
      </x:c>
      <x:c r="U901" s="2" t="n">
        <x:v>173</x:v>
      </x:c>
      <x:c r="V901" s="2" t="n">
        <x:f>IF(AND(M901=1,P901=0,ISNUMBER(J901),J901&lt;TODAY()),1,0)</x:f>
        <x:v>1</x:v>
      </x:c>
      <x:c r="W901" s="2" t="str">
        <x:f>'Research &amp; Analysis'!M173</x:f>
        <x:v>Task</x:v>
      </x:c>
    </x:row>
    <x:row r="902" ht="40" customHeight="1">
      <x:c r="A902" s="3" t="str">
        <x:f>HYPERLINK("#'Research &amp; Analysis'!A174","Open")</x:f>
        <x:v>Open</x:v>
      </x:c>
      <x:c r="B902" s="2" t="str">
        <x:f>'Research &amp; Analysis'!B174</x:f>
        <x:v>Cycle 2</x:v>
      </x:c>
      <x:c r="C902" s="2" t="str">
        <x:f>'Research &amp; Analysis'!C174</x:f>
        <x:v>Phase 1</x:v>
      </x:c>
      <x:c r="D902" s="2" t="str">
        <x:f>'Research &amp; Analysis'!D174</x:f>
        <x:v>Auto</x:v>
      </x:c>
      <x:c r="E902" s="2" t="str">
        <x:v>Research &amp; Analysis</x:v>
      </x:c>
      <x:c r="F902" s="56" t="str">
        <x:f>'Research &amp; Analysis'!E174</x:f>
        <x:v>RA.AU.1.4</x:v>
      </x:c>
      <x:c r="G902" s="14" t="str">
        <x:f>'Research &amp; Analysis'!F174</x:f>
        <x:v>Identify backup topic for Cycle</x:v>
      </x:c>
      <x:c r="H902" s="2" t="str">
        <x:f>IF('Research &amp; Analysis'!G174="","",'Research &amp; Analysis'!G174)</x:f>
      </x:c>
      <x:c r="I902" s="12" t="str">
        <x:f>IF('Research &amp; Analysis'!H174="","",'Research &amp; Analysis'!H174)</x:f>
      </x:c>
      <x:c r="J902" s="12" t="n">
        <x:f>IF('Research &amp; Analysis'!I174="","",'Research &amp; Analysis'!I174)</x:f>
        <x:v>46203</x:v>
      </x:c>
      <x:c r="K902" s="12" t="str">
        <x:f>IF('Research &amp; Analysis'!J174="","",'Research &amp; Analysis'!J174)</x:f>
      </x:c>
      <x:c r="L902" s="2" t="str">
        <x:f>IF('Research &amp; Analysis'!K174="","",'Research &amp; Analysis'!K174)</x:f>
      </x:c>
      <x:c r="M902" s="2" t="n">
        <x:f>'Research &amp; Analysis'!Q174</x:f>
        <x:v>1</x:v>
      </x:c>
      <x:c r="N902" s="2" t="str">
        <x:f>'Research &amp; Analysis'!L174</x:f>
        <x:v>Not started</x:v>
      </x:c>
      <x:c r="O902" s="2" t="str">
        <x:f>'Research &amp; Analysis'!N174</x:f>
        <x:v>RA.AU.1.4.2026.CY2</x:v>
      </x:c>
      <x:c r="P902" s="2" t="n">
        <x:f>'Research &amp; Analysis'!O174</x:f>
        <x:v>0</x:v>
      </x:c>
      <x:c r="Q902" s="2" t="n">
        <x:f>SUBTOTAL(103,O902)</x:f>
        <x:v>1</x:v>
      </x:c>
      <x:c r="R902" s="2" t="n">
        <x:f>IF(AND(M902=1,OR(Dashboard!$B$7="All",Dashboard!$B$7='Cycles &amp; Guide'!$C$5),OR(Dashboard!$D$7="All",Dashboard!$D$7=B902),OR(Dashboard!$F$7="All",Dashboard!$F$7=C902),OR(Dashboard!$H$7="All",Dashboard!$H$7=D902),OR(Dashboard!$K$7="All",Dashboard!$K$7=E902)),1,0)</x:f>
        <x:v>1</x:v>
      </x:c>
      <x:c r="S902" s="2" t="n">
        <x:f>IF(R902=1,SUM($R$10:R902),0)</x:f>
        <x:v>529</x:v>
      </x:c>
      <x:c r="T902" s="2" t="str">
        <x:v>Research &amp; Analysis</x:v>
      </x:c>
      <x:c r="U902" s="2" t="n">
        <x:v>174</x:v>
      </x:c>
      <x:c r="V902" s="2" t="n">
        <x:f>IF(AND(M902=1,P902=0,ISNUMBER(J902),J902&lt;TODAY()),1,0)</x:f>
        <x:v>1</x:v>
      </x:c>
      <x:c r="W902" s="2" t="str">
        <x:f>'Research &amp; Analysis'!M174</x:f>
        <x:v>Task</x:v>
      </x:c>
    </x:row>
    <x:row r="903" ht="40" customHeight="1">
      <x:c r="A903" s="3" t="str">
        <x:f>HYPERLINK("#'Research &amp; Analysis'!A175","Open")</x:f>
        <x:v>Open</x:v>
      </x:c>
      <x:c r="B903" s="2" t="str">
        <x:f>'Research &amp; Analysis'!B175</x:f>
        <x:v>Cycle 2</x:v>
      </x:c>
      <x:c r="C903" s="2" t="str">
        <x:f>'Research &amp; Analysis'!C175</x:f>
        <x:v>Phase 1</x:v>
      </x:c>
      <x:c r="D903" s="2" t="str">
        <x:f>'Research &amp; Analysis'!D175</x:f>
        <x:v>Auto</x:v>
      </x:c>
      <x:c r="E903" s="2" t="str">
        <x:v>Research &amp; Analysis</x:v>
      </x:c>
      <x:c r="F903" s="56" t="str">
        <x:f>'Research &amp; Analysis'!E175</x:f>
        <x:v>RA.AU.1.5</x:v>
      </x:c>
      <x:c r="G903" s="14" t="str">
        <x:f>'Research &amp; Analysis'!F175</x:f>
        <x:v>Schedule topic approval meeting with D&amp;I and management</x:v>
      </x:c>
      <x:c r="H903" s="2" t="str">
        <x:f>IF('Research &amp; Analysis'!G175="","",'Research &amp; Analysis'!G175)</x:f>
      </x:c>
      <x:c r="I903" s="12" t="str">
        <x:f>IF('Research &amp; Analysis'!H175="","",'Research &amp; Analysis'!H175)</x:f>
      </x:c>
      <x:c r="J903" s="12" t="n">
        <x:f>IF('Research &amp; Analysis'!I175="","",'Research &amp; Analysis'!I175)</x:f>
        <x:v>46203</x:v>
      </x:c>
      <x:c r="K903" s="12" t="str">
        <x:f>IF('Research &amp; Analysis'!J175="","",'Research &amp; Analysis'!J175)</x:f>
      </x:c>
      <x:c r="L903" s="2" t="str">
        <x:f>IF('Research &amp; Analysis'!K175="","",'Research &amp; Analysis'!K175)</x:f>
      </x:c>
      <x:c r="M903" s="2" t="n">
        <x:f>'Research &amp; Analysis'!Q175</x:f>
        <x:v>1</x:v>
      </x:c>
      <x:c r="N903" s="2" t="str">
        <x:f>'Research &amp; Analysis'!L175</x:f>
        <x:v>Not started</x:v>
      </x:c>
      <x:c r="O903" s="2" t="str">
        <x:f>'Research &amp; Analysis'!N175</x:f>
        <x:v>RA.AU.1.5.2026.CY2</x:v>
      </x:c>
      <x:c r="P903" s="2" t="n">
        <x:f>'Research &amp; Analysis'!O175</x:f>
        <x:v>0</x:v>
      </x:c>
      <x:c r="Q903" s="2" t="n">
        <x:f>SUBTOTAL(103,O903)</x:f>
        <x:v>1</x:v>
      </x:c>
      <x:c r="R903" s="2" t="n">
        <x:f>IF(AND(M903=1,OR(Dashboard!$B$7="All",Dashboard!$B$7='Cycles &amp; Guide'!$C$5),OR(Dashboard!$D$7="All",Dashboard!$D$7=B903),OR(Dashboard!$F$7="All",Dashboard!$F$7=C903),OR(Dashboard!$H$7="All",Dashboard!$H$7=D903),OR(Dashboard!$K$7="All",Dashboard!$K$7=E903)),1,0)</x:f>
        <x:v>1</x:v>
      </x:c>
      <x:c r="S903" s="2" t="n">
        <x:f>IF(R903=1,SUM($R$10:R903),0)</x:f>
        <x:v>530</x:v>
      </x:c>
      <x:c r="T903" s="2" t="str">
        <x:v>Research &amp; Analysis</x:v>
      </x:c>
      <x:c r="U903" s="2" t="n">
        <x:v>175</x:v>
      </x:c>
      <x:c r="V903" s="2" t="n">
        <x:f>IF(AND(M903=1,P903=0,ISNUMBER(J903),J903&lt;TODAY()),1,0)</x:f>
        <x:v>1</x:v>
      </x:c>
      <x:c r="W903" s="2" t="str">
        <x:f>'Research &amp; Analysis'!M175</x:f>
        <x:v>Task</x:v>
      </x:c>
    </x:row>
    <x:row r="904" ht="40" customHeight="1">
      <x:c r="A904" s="3" t="str">
        <x:f>HYPERLINK("#'Research &amp; Analysis'!A176","Open")</x:f>
        <x:v>Open</x:v>
      </x:c>
      <x:c r="B904" s="2" t="str">
        <x:f>'Research &amp; Analysis'!B176</x:f>
        <x:v>Cycle 2</x:v>
      </x:c>
      <x:c r="C904" s="2" t="str">
        <x:f>'Research &amp; Analysis'!C176</x:f>
        <x:v>Phase 1</x:v>
      </x:c>
      <x:c r="D904" s="2" t="str">
        <x:f>'Research &amp; Analysis'!D176</x:f>
        <x:v>Auto</x:v>
      </x:c>
      <x:c r="E904" s="2" t="str">
        <x:v>Research &amp; Analysis</x:v>
      </x:c>
      <x:c r="F904" s="56" t="str">
        <x:f>'Research &amp; Analysis'!E176</x:f>
        <x:v>RA.AU.1.6</x:v>
      </x:c>
      <x:c r="G904" s="14" t="str">
        <x:f>'Research &amp; Analysis'!F176</x:f>
        <x:v>Present recommended topic to D&amp;I and management for approval</x:v>
      </x:c>
      <x:c r="H904" s="2" t="str">
        <x:f>IF('Research &amp; Analysis'!G176="","",'Research &amp; Analysis'!G176)</x:f>
      </x:c>
      <x:c r="I904" s="12" t="str">
        <x:f>IF('Research &amp; Analysis'!H176="","",'Research &amp; Analysis'!H176)</x:f>
      </x:c>
      <x:c r="J904" s="12" t="n">
        <x:f>IF('Research &amp; Analysis'!I176="","",'Research &amp; Analysis'!I176)</x:f>
        <x:v>46203</x:v>
      </x:c>
      <x:c r="K904" s="12" t="str">
        <x:f>IF('Research &amp; Analysis'!J176="","",'Research &amp; Analysis'!J176)</x:f>
      </x:c>
      <x:c r="L904" s="2" t="str">
        <x:f>IF('Research &amp; Analysis'!K176="","",'Research &amp; Analysis'!K176)</x:f>
      </x:c>
      <x:c r="M904" s="2" t="n">
        <x:f>'Research &amp; Analysis'!Q176</x:f>
        <x:v>1</x:v>
      </x:c>
      <x:c r="N904" s="2" t="str">
        <x:f>'Research &amp; Analysis'!L176</x:f>
        <x:v>Not started</x:v>
      </x:c>
      <x:c r="O904" s="2" t="str">
        <x:f>'Research &amp; Analysis'!N176</x:f>
        <x:v>RA.AU.1.6.2026.CY2</x:v>
      </x:c>
      <x:c r="P904" s="2" t="n">
        <x:f>'Research &amp; Analysis'!O176</x:f>
        <x:v>0</x:v>
      </x:c>
      <x:c r="Q904" s="2" t="n">
        <x:f>SUBTOTAL(103,O904)</x:f>
        <x:v>1</x:v>
      </x:c>
      <x:c r="R904" s="2" t="n">
        <x:f>IF(AND(M904=1,OR(Dashboard!$B$7="All",Dashboard!$B$7='Cycles &amp; Guide'!$C$5),OR(Dashboard!$D$7="All",Dashboard!$D$7=B904),OR(Dashboard!$F$7="All",Dashboard!$F$7=C904),OR(Dashboard!$H$7="All",Dashboard!$H$7=D904),OR(Dashboard!$K$7="All",Dashboard!$K$7=E904)),1,0)</x:f>
        <x:v>1</x:v>
      </x:c>
      <x:c r="S904" s="2" t="n">
        <x:f>IF(R904=1,SUM($R$10:R904),0)</x:f>
        <x:v>531</x:v>
      </x:c>
      <x:c r="T904" s="2" t="str">
        <x:v>Research &amp; Analysis</x:v>
      </x:c>
      <x:c r="U904" s="2" t="n">
        <x:v>176</x:v>
      </x:c>
      <x:c r="V904" s="2" t="n">
        <x:f>IF(AND(M904=1,P904=0,ISNUMBER(J904),J904&lt;TODAY()),1,0)</x:f>
        <x:v>1</x:v>
      </x:c>
      <x:c r="W904" s="2" t="str">
        <x:f>'Research &amp; Analysis'!M176</x:f>
        <x:v>Task</x:v>
      </x:c>
    </x:row>
    <x:row r="905" ht="40" customHeight="1">
      <x:c r="A905" s="3" t="str">
        <x:f>HYPERLINK("#'Research &amp; Analysis'!A177","Open")</x:f>
        <x:v>Open</x:v>
      </x:c>
      <x:c r="B905" s="2" t="str">
        <x:f>'Research &amp; Analysis'!B177</x:f>
        <x:v>Cycle 2</x:v>
      </x:c>
      <x:c r="C905" s="2" t="str">
        <x:f>'Research &amp; Analysis'!C177</x:f>
        <x:v>Phase 1</x:v>
      </x:c>
      <x:c r="D905" s="2" t="str">
        <x:f>'Research &amp; Analysis'!D177</x:f>
        <x:v>Auto</x:v>
      </x:c>
      <x:c r="E905" s="2" t="str">
        <x:v>Research &amp; Analysis</x:v>
      </x:c>
      <x:c r="F905" s="56" t="str">
        <x:f>'Research &amp; Analysis'!E177</x:f>
        <x:v>RA.AU.1.7</x:v>
      </x:c>
      <x:c r="G905" s="14" t="str">
        <x:f>'Research &amp; Analysis'!F177</x:f>
        <x:v>Obtain formal topic selection approval from management via SharePoint</x:v>
      </x:c>
      <x:c r="H905" s="2" t="str">
        <x:f>IF('Research &amp; Analysis'!G177="","",'Research &amp; Analysis'!G177)</x:f>
      </x:c>
      <x:c r="I905" s="12" t="str">
        <x:f>IF('Research &amp; Analysis'!H177="","",'Research &amp; Analysis'!H177)</x:f>
      </x:c>
      <x:c r="J905" s="12" t="n">
        <x:f>IF('Research &amp; Analysis'!I177="","",'Research &amp; Analysis'!I177)</x:f>
        <x:v>46203</x:v>
      </x:c>
      <x:c r="K905" s="12" t="str">
        <x:f>IF('Research &amp; Analysis'!J177="","",'Research &amp; Analysis'!J177)</x:f>
      </x:c>
      <x:c r="L905" s="2" t="str">
        <x:f>IF('Research &amp; Analysis'!K177="","",'Research &amp; Analysis'!K177)</x:f>
      </x:c>
      <x:c r="M905" s="2" t="n">
        <x:f>'Research &amp; Analysis'!Q177</x:f>
        <x:v>1</x:v>
      </x:c>
      <x:c r="N905" s="2" t="str">
        <x:f>'Research &amp; Analysis'!L177</x:f>
        <x:v>Not started</x:v>
      </x:c>
      <x:c r="O905" s="2" t="str">
        <x:f>'Research &amp; Analysis'!N177</x:f>
        <x:v>RA.AU.1.7.2026.CY2</x:v>
      </x:c>
      <x:c r="P905" s="2" t="n">
        <x:f>'Research &amp; Analysis'!O177</x:f>
        <x:v>0</x:v>
      </x:c>
      <x:c r="Q905" s="2" t="n">
        <x:f>SUBTOTAL(103,O905)</x:f>
        <x:v>1</x:v>
      </x:c>
      <x:c r="R905" s="2" t="n">
        <x:f>IF(AND(M905=1,OR(Dashboard!$B$7="All",Dashboard!$B$7='Cycles &amp; Guide'!$C$5),OR(Dashboard!$D$7="All",Dashboard!$D$7=B905),OR(Dashboard!$F$7="All",Dashboard!$F$7=C905),OR(Dashboard!$H$7="All",Dashboard!$H$7=D905),OR(Dashboard!$K$7="All",Dashboard!$K$7=E905)),1,0)</x:f>
        <x:v>1</x:v>
      </x:c>
      <x:c r="S905" s="2" t="n">
        <x:f>IF(R905=1,SUM($R$10:R905),0)</x:f>
        <x:v>532</x:v>
      </x:c>
      <x:c r="T905" s="2" t="str">
        <x:v>Research &amp; Analysis</x:v>
      </x:c>
      <x:c r="U905" s="2" t="n">
        <x:v>177</x:v>
      </x:c>
      <x:c r="V905" s="2" t="n">
        <x:f>IF(AND(M905=1,P905=0,ISNUMBER(J905),J905&lt;TODAY()),1,0)</x:f>
        <x:v>1</x:v>
      </x:c>
      <x:c r="W905" s="2" t="str">
        <x:f>'Research &amp; Analysis'!M177</x:f>
        <x:v>Task</x:v>
      </x:c>
    </x:row>
    <x:row r="906" ht="40" customHeight="1">
      <x:c r="A906" s="3" t="str">
        <x:f>HYPERLINK("#'Research &amp; Analysis'!A178","Open")</x:f>
        <x:v>Open</x:v>
      </x:c>
      <x:c r="B906" s="2" t="str">
        <x:f>'Research &amp; Analysis'!B178</x:f>
        <x:v>Cycle 2</x:v>
      </x:c>
      <x:c r="C906" s="2" t="str">
        <x:f>'Research &amp; Analysis'!C178</x:f>
        <x:v>Phase 1</x:v>
      </x:c>
      <x:c r="D906" s="2" t="str">
        <x:f>'Research &amp; Analysis'!D178</x:f>
        <x:v>Auto</x:v>
      </x:c>
      <x:c r="E906" s="2" t="str">
        <x:v>Research &amp; Analysis</x:v>
      </x:c>
      <x:c r="F906" s="56" t="str">
        <x:f>'Research &amp; Analysis'!E178</x:f>
        <x:v>RA.AU.1.8</x:v>
      </x:c>
      <x:c r="G906" s="14" t="str">
        <x:f>'Research &amp; Analysis'!F178</x:f>
        <x:v>Socialize topic selection with product owners and subject matter experts (if known)</x:v>
      </x:c>
      <x:c r="H906" s="2" t="str">
        <x:f>IF('Research &amp; Analysis'!G178="","",'Research &amp; Analysis'!G178)</x:f>
      </x:c>
      <x:c r="I906" s="12" t="str">
        <x:f>IF('Research &amp; Analysis'!H178="","",'Research &amp; Analysis'!H178)</x:f>
      </x:c>
      <x:c r="J906" s="12" t="n">
        <x:f>IF('Research &amp; Analysis'!I178="","",'Research &amp; Analysis'!I178)</x:f>
        <x:v>46203</x:v>
      </x:c>
      <x:c r="K906" s="12" t="str">
        <x:f>IF('Research &amp; Analysis'!J178="","",'Research &amp; Analysis'!J178)</x:f>
      </x:c>
      <x:c r="L906" s="2" t="str">
        <x:f>IF('Research &amp; Analysis'!K178="","",'Research &amp; Analysis'!K178)</x:f>
      </x:c>
      <x:c r="M906" s="2" t="n">
        <x:f>'Research &amp; Analysis'!Q178</x:f>
        <x:v>1</x:v>
      </x:c>
      <x:c r="N906" s="2" t="str">
        <x:f>'Research &amp; Analysis'!L178</x:f>
        <x:v>Not started</x:v>
      </x:c>
      <x:c r="O906" s="2" t="str">
        <x:f>'Research &amp; Analysis'!N178</x:f>
        <x:v>RA.AU.1.8.2026.CY2</x:v>
      </x:c>
      <x:c r="P906" s="2" t="n">
        <x:f>'Research &amp; Analysis'!O178</x:f>
        <x:v>0</x:v>
      </x:c>
      <x:c r="Q906" s="2" t="n">
        <x:f>SUBTOTAL(103,O906)</x:f>
        <x:v>1</x:v>
      </x:c>
      <x:c r="R906" s="2" t="n">
        <x:f>IF(AND(M906=1,OR(Dashboard!$B$7="All",Dashboard!$B$7='Cycles &amp; Guide'!$C$5),OR(Dashboard!$D$7="All",Dashboard!$D$7=B906),OR(Dashboard!$F$7="All",Dashboard!$F$7=C906),OR(Dashboard!$H$7="All",Dashboard!$H$7=D906),OR(Dashboard!$K$7="All",Dashboard!$K$7=E906)),1,0)</x:f>
        <x:v>1</x:v>
      </x:c>
      <x:c r="S906" s="2" t="n">
        <x:f>IF(R906=1,SUM($R$10:R906),0)</x:f>
        <x:v>533</x:v>
      </x:c>
      <x:c r="T906" s="2" t="str">
        <x:v>Research &amp; Analysis</x:v>
      </x:c>
      <x:c r="U906" s="2" t="n">
        <x:v>178</x:v>
      </x:c>
      <x:c r="V906" s="2" t="n">
        <x:f>IF(AND(M906=1,P906=0,ISNUMBER(J906),J906&lt;TODAY()),1,0)</x:f>
        <x:v>1</x:v>
      </x:c>
      <x:c r="W906" s="2" t="str">
        <x:f>'Research &amp; Analysis'!M178</x:f>
        <x:v>Task</x:v>
      </x:c>
    </x:row>
    <x:row r="907" ht="40" customHeight="1">
      <x:c r="A907" s="3" t="str">
        <x:f>HYPERLINK("#'Research &amp; Analysis'!A179","Open")</x:f>
        <x:v>Open</x:v>
      </x:c>
      <x:c r="B907" s="2" t="str">
        <x:f>'Research &amp; Analysis'!B179</x:f>
        <x:v>Cycle 2</x:v>
      </x:c>
      <x:c r="C907" s="2" t="str">
        <x:f>'Research &amp; Analysis'!C179</x:f>
        <x:v>Phase 1</x:v>
      </x:c>
      <x:c r="D907" s="2" t="str">
        <x:f>'Research &amp; Analysis'!D179</x:f>
        <x:v>Auto</x:v>
      </x:c>
      <x:c r="E907" s="2" t="str">
        <x:v>Research &amp; Analysis</x:v>
      </x:c>
      <x:c r="F907" s="56" t="str">
        <x:f>'Research &amp; Analysis'!E179</x:f>
        <x:v>RA.AU.1.9</x:v>
      </x:c>
      <x:c r="G907" s="14" t="str">
        <x:f>'Research &amp; Analysis'!F179</x:f>
        <x:v>Assign topic researchers</x:v>
      </x:c>
      <x:c r="H907" s="2" t="str">
        <x:f>IF('Research &amp; Analysis'!G179="","",'Research &amp; Analysis'!G179)</x:f>
      </x:c>
      <x:c r="I907" s="12" t="str">
        <x:f>IF('Research &amp; Analysis'!H179="","",'Research &amp; Analysis'!H179)</x:f>
      </x:c>
      <x:c r="J907" s="12" t="n">
        <x:f>IF('Research &amp; Analysis'!I179="","",'Research &amp; Analysis'!I179)</x:f>
        <x:v>46203</x:v>
      </x:c>
      <x:c r="K907" s="12" t="str">
        <x:f>IF('Research &amp; Analysis'!J179="","",'Research &amp; Analysis'!J179)</x:f>
      </x:c>
      <x:c r="L907" s="2" t="str">
        <x:f>IF('Research &amp; Analysis'!K179="","",'Research &amp; Analysis'!K179)</x:f>
      </x:c>
      <x:c r="M907" s="2" t="n">
        <x:f>'Research &amp; Analysis'!Q179</x:f>
        <x:v>1</x:v>
      </x:c>
      <x:c r="N907" s="2" t="str">
        <x:f>'Research &amp; Analysis'!L179</x:f>
        <x:v>Not started</x:v>
      </x:c>
      <x:c r="O907" s="2" t="str">
        <x:f>'Research &amp; Analysis'!N179</x:f>
        <x:v>RA.AU.1.9.2026.CY2</x:v>
      </x:c>
      <x:c r="P907" s="2" t="n">
        <x:f>'Research &amp; Analysis'!O179</x:f>
        <x:v>0</x:v>
      </x:c>
      <x:c r="Q907" s="2" t="n">
        <x:f>SUBTOTAL(103,O907)</x:f>
        <x:v>1</x:v>
      </x:c>
      <x:c r="R907" s="2" t="n">
        <x:f>IF(AND(M907=1,OR(Dashboard!$B$7="All",Dashboard!$B$7='Cycles &amp; Guide'!$C$5),OR(Dashboard!$D$7="All",Dashboard!$D$7=B907),OR(Dashboard!$F$7="All",Dashboard!$F$7=C907),OR(Dashboard!$H$7="All",Dashboard!$H$7=D907),OR(Dashboard!$K$7="All",Dashboard!$K$7=E907)),1,0)</x:f>
        <x:v>1</x:v>
      </x:c>
      <x:c r="S907" s="2" t="n">
        <x:f>IF(R907=1,SUM($R$10:R907),0)</x:f>
        <x:v>534</x:v>
      </x:c>
      <x:c r="T907" s="2" t="str">
        <x:v>Research &amp; Analysis</x:v>
      </x:c>
      <x:c r="U907" s="2" t="n">
        <x:v>179</x:v>
      </x:c>
      <x:c r="V907" s="2" t="n">
        <x:f>IF(AND(M907=1,P907=0,ISNUMBER(J907),J907&lt;TODAY()),1,0)</x:f>
        <x:v>1</x:v>
      </x:c>
      <x:c r="W907" s="2" t="str">
        <x:f>'Research &amp; Analysis'!M179</x:f>
        <x:v>Task</x:v>
      </x:c>
    </x:row>
    <x:row r="908" ht="40" customHeight="1">
      <x:c r="A908" s="3" t="str">
        <x:f>HYPERLINK("#'Research &amp; Analysis'!A180","Open")</x:f>
        <x:v>Open</x:v>
      </x:c>
      <x:c r="B908" s="2" t="str">
        <x:f>'Research &amp; Analysis'!B180</x:f>
        <x:v>Cycle 2</x:v>
      </x:c>
      <x:c r="C908" s="2" t="str">
        <x:f>'Research &amp; Analysis'!C180</x:f>
        <x:v>Phase 2</x:v>
      </x:c>
      <x:c r="D908" s="2" t="str">
        <x:f>'Research &amp; Analysis'!D180</x:f>
        <x:v>Auto</x:v>
      </x:c>
      <x:c r="E908" s="2" t="str">
        <x:v>Research &amp; Analysis</x:v>
      </x:c>
      <x:c r="F908" s="56" t="str">
        <x:f>'Research &amp; Analysis'!E180</x:f>
        <x:v>RA.AU.2.1</x:v>
      </x:c>
      <x:c r="G908" s="14" t="str">
        <x:f>'Research &amp; Analysis'!F180</x:f>
        <x:v>Review data sources</x:v>
      </x:c>
      <x:c r="H908" s="2" t="str">
        <x:f>IF('Research &amp; Analysis'!G180="","",'Research &amp; Analysis'!G180)</x:f>
      </x:c>
      <x:c r="I908" s="12" t="str">
        <x:f>IF('Research &amp; Analysis'!H180="","",'Research &amp; Analysis'!H180)</x:f>
      </x:c>
      <x:c r="J908" s="12" t="n">
        <x:f>IF('Research &amp; Analysis'!I180="","",'Research &amp; Analysis'!I180)</x:f>
        <x:v>46203</x:v>
      </x:c>
      <x:c r="K908" s="12" t="str">
        <x:f>IF('Research &amp; Analysis'!J180="","",'Research &amp; Analysis'!J180)</x:f>
      </x:c>
      <x:c r="L908" s="2" t="str">
        <x:f>IF('Research &amp; Analysis'!K180="","",'Research &amp; Analysis'!K180)</x:f>
      </x:c>
      <x:c r="M908" s="2" t="n">
        <x:f>'Research &amp; Analysis'!Q180</x:f>
        <x:v>1</x:v>
      </x:c>
      <x:c r="N908" s="2" t="str">
        <x:f>'Research &amp; Analysis'!L180</x:f>
        <x:v>Not started</x:v>
      </x:c>
      <x:c r="O908" s="2" t="str">
        <x:f>'Research &amp; Analysis'!N180</x:f>
        <x:v>RA.AU.2.1.2026.CY2</x:v>
      </x:c>
      <x:c r="P908" s="2" t="n">
        <x:f>'Research &amp; Analysis'!O180</x:f>
        <x:v>0</x:v>
      </x:c>
      <x:c r="Q908" s="2" t="n">
        <x:f>SUBTOTAL(103,O908)</x:f>
        <x:v>1</x:v>
      </x:c>
      <x:c r="R908" s="2" t="n">
        <x:f>IF(AND(M908=1,OR(Dashboard!$B$7="All",Dashboard!$B$7='Cycles &amp; Guide'!$C$5),OR(Dashboard!$D$7="All",Dashboard!$D$7=B908),OR(Dashboard!$F$7="All",Dashboard!$F$7=C908),OR(Dashboard!$H$7="All",Dashboard!$H$7=D908),OR(Dashboard!$K$7="All",Dashboard!$K$7=E908)),1,0)</x:f>
        <x:v>1</x:v>
      </x:c>
      <x:c r="S908" s="2" t="n">
        <x:f>IF(R908=1,SUM($R$10:R908),0)</x:f>
        <x:v>535</x:v>
      </x:c>
      <x:c r="T908" s="2" t="str">
        <x:v>Research &amp; Analysis</x:v>
      </x:c>
      <x:c r="U908" s="2" t="n">
        <x:v>180</x:v>
      </x:c>
      <x:c r="V908" s="2" t="n">
        <x:f>IF(AND(M908=1,P908=0,ISNUMBER(J908),J908&lt;TODAY()),1,0)</x:f>
        <x:v>1</x:v>
      </x:c>
      <x:c r="W908" s="2" t="str">
        <x:f>'Research &amp; Analysis'!M180</x:f>
        <x:v>Task</x:v>
      </x:c>
    </x:row>
    <x:row r="909" ht="40" customHeight="1">
      <x:c r="A909" s="3" t="str">
        <x:f>HYPERLINK("#'Research &amp; Analysis'!A181","Open")</x:f>
        <x:v>Open</x:v>
      </x:c>
      <x:c r="B909" s="2" t="str">
        <x:f>'Research &amp; Analysis'!B181</x:f>
        <x:v>Cycle 2</x:v>
      </x:c>
      <x:c r="C909" s="2" t="str">
        <x:f>'Research &amp; Analysis'!C181</x:f>
        <x:v>Phase 2</x:v>
      </x:c>
      <x:c r="D909" s="2" t="str">
        <x:f>'Research &amp; Analysis'!D181</x:f>
        <x:v>Auto</x:v>
      </x:c>
      <x:c r="E909" s="2" t="str">
        <x:v>Research &amp; Analysis</x:v>
      </x:c>
      <x:c r="F909" s="56" t="str">
        <x:f>'Research &amp; Analysis'!E181</x:f>
        <x:v>RA.AU.2.2</x:v>
      </x:c>
      <x:c r="G909" s="14" t="str">
        <x:f>'Research &amp; Analysis'!F181</x:f>
        <x:v>Review relevant policies and procedures</x:v>
      </x:c>
      <x:c r="H909" s="2" t="str">
        <x:f>IF('Research &amp; Analysis'!G181="","",'Research &amp; Analysis'!G181)</x:f>
      </x:c>
      <x:c r="I909" s="12" t="str">
        <x:f>IF('Research &amp; Analysis'!H181="","",'Research &amp; Analysis'!H181)</x:f>
      </x:c>
      <x:c r="J909" s="12" t="n">
        <x:f>IF('Research &amp; Analysis'!I181="","",'Research &amp; Analysis'!I181)</x:f>
        <x:v>46203</x:v>
      </x:c>
      <x:c r="K909" s="12" t="str">
        <x:f>IF('Research &amp; Analysis'!J181="","",'Research &amp; Analysis'!J181)</x:f>
      </x:c>
      <x:c r="L909" s="2" t="str">
        <x:f>IF('Research &amp; Analysis'!K181="","",'Research &amp; Analysis'!K181)</x:f>
      </x:c>
      <x:c r="M909" s="2" t="n">
        <x:f>'Research &amp; Analysis'!Q181</x:f>
        <x:v>1</x:v>
      </x:c>
      <x:c r="N909" s="2" t="str">
        <x:f>'Research &amp; Analysis'!L181</x:f>
        <x:v>Not started</x:v>
      </x:c>
      <x:c r="O909" s="2" t="str">
        <x:f>'Research &amp; Analysis'!N181</x:f>
        <x:v>RA.AU.2.2.2026.CY2</x:v>
      </x:c>
      <x:c r="P909" s="2" t="n">
        <x:f>'Research &amp; Analysis'!O181</x:f>
        <x:v>0</x:v>
      </x:c>
      <x:c r="Q909" s="2" t="n">
        <x:f>SUBTOTAL(103,O909)</x:f>
        <x:v>1</x:v>
      </x:c>
      <x:c r="R909" s="2" t="n">
        <x:f>IF(AND(M909=1,OR(Dashboard!$B$7="All",Dashboard!$B$7='Cycles &amp; Guide'!$C$5),OR(Dashboard!$D$7="All",Dashboard!$D$7=B909),OR(Dashboard!$F$7="All",Dashboard!$F$7=C909),OR(Dashboard!$H$7="All",Dashboard!$H$7=D909),OR(Dashboard!$K$7="All",Dashboard!$K$7=E909)),1,0)</x:f>
        <x:v>1</x:v>
      </x:c>
      <x:c r="S909" s="2" t="n">
        <x:f>IF(R909=1,SUM($R$10:R909),0)</x:f>
        <x:v>536</x:v>
      </x:c>
      <x:c r="T909" s="2" t="str">
        <x:v>Research &amp; Analysis</x:v>
      </x:c>
      <x:c r="U909" s="2" t="n">
        <x:v>181</x:v>
      </x:c>
      <x:c r="V909" s="2" t="n">
        <x:f>IF(AND(M909=1,P909=0,ISNUMBER(J909),J909&lt;TODAY()),1,0)</x:f>
        <x:v>1</x:v>
      </x:c>
      <x:c r="W909" s="2" t="str">
        <x:f>'Research &amp; Analysis'!M181</x:f>
        <x:v>Task</x:v>
      </x:c>
    </x:row>
    <x:row r="910" ht="40" customHeight="1">
      <x:c r="A910" s="3" t="str">
        <x:f>HYPERLINK("#'Research &amp; Analysis'!A182","Open")</x:f>
        <x:v>Open</x:v>
      </x:c>
      <x:c r="B910" s="2" t="str">
        <x:f>'Research &amp; Analysis'!B182</x:f>
        <x:v>Cycle 2</x:v>
      </x:c>
      <x:c r="C910" s="2" t="str">
        <x:f>'Research &amp; Analysis'!C182</x:f>
        <x:v>Phase 2</x:v>
      </x:c>
      <x:c r="D910" s="2" t="str">
        <x:f>'Research &amp; Analysis'!D182</x:f>
        <x:v>Auto</x:v>
      </x:c>
      <x:c r="E910" s="2" t="str">
        <x:v>Research &amp; Analysis</x:v>
      </x:c>
      <x:c r="F910" s="56" t="str">
        <x:f>'Research &amp; Analysis'!E182</x:f>
        <x:v>RA.AU.2.3</x:v>
      </x:c>
      <x:c r="G910" s="14" t="str">
        <x:f>'Research &amp; Analysis'!F182</x:f>
        <x:v>Meet with SMEs to gain business insight and clarify questions</x:v>
      </x:c>
      <x:c r="H910" s="2" t="str">
        <x:f>IF('Research &amp; Analysis'!G182="","",'Research &amp; Analysis'!G182)</x:f>
      </x:c>
      <x:c r="I910" s="12" t="str">
        <x:f>IF('Research &amp; Analysis'!H182="","",'Research &amp; Analysis'!H182)</x:f>
      </x:c>
      <x:c r="J910" s="12" t="n">
        <x:f>IF('Research &amp; Analysis'!I182="","",'Research &amp; Analysis'!I182)</x:f>
        <x:v>46203</x:v>
      </x:c>
      <x:c r="K910" s="12" t="str">
        <x:f>IF('Research &amp; Analysis'!J182="","",'Research &amp; Analysis'!J182)</x:f>
      </x:c>
      <x:c r="L910" s="2" t="str">
        <x:f>IF('Research &amp; Analysis'!K182="","",'Research &amp; Analysis'!K182)</x:f>
      </x:c>
      <x:c r="M910" s="2" t="n">
        <x:f>'Research &amp; Analysis'!Q182</x:f>
        <x:v>1</x:v>
      </x:c>
      <x:c r="N910" s="2" t="str">
        <x:f>'Research &amp; Analysis'!L182</x:f>
        <x:v>Not started</x:v>
      </x:c>
      <x:c r="O910" s="2" t="str">
        <x:f>'Research &amp; Analysis'!N182</x:f>
        <x:v>RA.AU.2.3.2026.CY2</x:v>
      </x:c>
      <x:c r="P910" s="2" t="n">
        <x:f>'Research &amp; Analysis'!O182</x:f>
        <x:v>0</x:v>
      </x:c>
      <x:c r="Q910" s="2" t="n">
        <x:f>SUBTOTAL(103,O910)</x:f>
        <x:v>1</x:v>
      </x:c>
      <x:c r="R910" s="2" t="n">
        <x:f>IF(AND(M910=1,OR(Dashboard!$B$7="All",Dashboard!$B$7='Cycles &amp; Guide'!$C$5),OR(Dashboard!$D$7="All",Dashboard!$D$7=B910),OR(Dashboard!$F$7="All",Dashboard!$F$7=C910),OR(Dashboard!$H$7="All",Dashboard!$H$7=D910),OR(Dashboard!$K$7="All",Dashboard!$K$7=E910)),1,0)</x:f>
        <x:v>1</x:v>
      </x:c>
      <x:c r="S910" s="2" t="n">
        <x:f>IF(R910=1,SUM($R$10:R910),0)</x:f>
        <x:v>537</x:v>
      </x:c>
      <x:c r="T910" s="2" t="str">
        <x:v>Research &amp; Analysis</x:v>
      </x:c>
      <x:c r="U910" s="2" t="n">
        <x:v>182</x:v>
      </x:c>
      <x:c r="V910" s="2" t="n">
        <x:f>IF(AND(M910=1,P910=0,ISNUMBER(J910),J910&lt;TODAY()),1,0)</x:f>
        <x:v>1</x:v>
      </x:c>
      <x:c r="W910" s="2" t="str">
        <x:f>'Research &amp; Analysis'!M182</x:f>
        <x:v>Task</x:v>
      </x:c>
    </x:row>
    <x:row r="911" ht="40" customHeight="1">
      <x:c r="A911" s="3" t="str">
        <x:f>HYPERLINK("#'Research &amp; Analysis'!A183","Open")</x:f>
        <x:v>Open</x:v>
      </x:c>
      <x:c r="B911" s="2" t="str">
        <x:f>'Research &amp; Analysis'!B183</x:f>
        <x:v>Cycle 2</x:v>
      </x:c>
      <x:c r="C911" s="2" t="str">
        <x:f>'Research &amp; Analysis'!C183</x:f>
        <x:v>Phase 2</x:v>
      </x:c>
      <x:c r="D911" s="2" t="str">
        <x:f>'Research &amp; Analysis'!D183</x:f>
        <x:v>Auto</x:v>
      </x:c>
      <x:c r="E911" s="2" t="str">
        <x:v>Research &amp; Analysis</x:v>
      </x:c>
      <x:c r="F911" s="56" t="str">
        <x:f>'Research &amp; Analysis'!E183</x:f>
        <x:v>RA.AU.2.4</x:v>
      </x:c>
      <x:c r="G911" s="14" t="str">
        <x:f>'Research &amp; Analysis'!F183</x:f>
        <x:v>Establish and maintain a recurring meeting with D&amp;I to discuss Cycle progress</x:v>
      </x:c>
      <x:c r="H911" s="2" t="str">
        <x:f>IF('Research &amp; Analysis'!G183="","",'Research &amp; Analysis'!G183)</x:f>
      </x:c>
      <x:c r="I911" s="12" t="str">
        <x:f>IF('Research &amp; Analysis'!H183="","",'Research &amp; Analysis'!H183)</x:f>
      </x:c>
      <x:c r="J911" s="12" t="n">
        <x:f>IF('Research &amp; Analysis'!I183="","",'Research &amp; Analysis'!I183)</x:f>
        <x:v>46203</x:v>
      </x:c>
      <x:c r="K911" s="12" t="str">
        <x:f>IF('Research &amp; Analysis'!J183="","",'Research &amp; Analysis'!J183)</x:f>
      </x:c>
      <x:c r="L911" s="2" t="str">
        <x:f>IF('Research &amp; Analysis'!K183="","",'Research &amp; Analysis'!K183)</x:f>
      </x:c>
      <x:c r="M911" s="2" t="n">
        <x:f>'Research &amp; Analysis'!Q183</x:f>
        <x:v>1</x:v>
      </x:c>
      <x:c r="N911" s="2" t="str">
        <x:f>'Research &amp; Analysis'!L183</x:f>
        <x:v>Not started</x:v>
      </x:c>
      <x:c r="O911" s="2" t="str">
        <x:f>'Research &amp; Analysis'!N183</x:f>
        <x:v>RA.AU.2.4.2026.CY2</x:v>
      </x:c>
      <x:c r="P911" s="2" t="n">
        <x:f>'Research &amp; Analysis'!O183</x:f>
        <x:v>0</x:v>
      </x:c>
      <x:c r="Q911" s="2" t="n">
        <x:f>SUBTOTAL(103,O911)</x:f>
        <x:v>1</x:v>
      </x:c>
      <x:c r="R911" s="2" t="n">
        <x:f>IF(AND(M911=1,OR(Dashboard!$B$7="All",Dashboard!$B$7='Cycles &amp; Guide'!$C$5),OR(Dashboard!$D$7="All",Dashboard!$D$7=B911),OR(Dashboard!$F$7="All",Dashboard!$F$7=C911),OR(Dashboard!$H$7="All",Dashboard!$H$7=D911),OR(Dashboard!$K$7="All",Dashboard!$K$7=E911)),1,0)</x:f>
        <x:v>1</x:v>
      </x:c>
      <x:c r="S911" s="2" t="n">
        <x:f>IF(R911=1,SUM($R$10:R911),0)</x:f>
        <x:v>538</x:v>
      </x:c>
      <x:c r="T911" s="2" t="str">
        <x:v>Research &amp; Analysis</x:v>
      </x:c>
      <x:c r="U911" s="2" t="n">
        <x:v>183</x:v>
      </x:c>
      <x:c r="V911" s="2" t="n">
        <x:f>IF(AND(M911=1,P911=0,ISNUMBER(J911),J911&lt;TODAY()),1,0)</x:f>
        <x:v>1</x:v>
      </x:c>
      <x:c r="W911" s="2" t="str">
        <x:f>'Research &amp; Analysis'!M183</x:f>
        <x:v>Task</x:v>
      </x:c>
    </x:row>
    <x:row r="912" ht="40" customHeight="1">
      <x:c r="A912" s="3" t="str">
        <x:f>HYPERLINK("#'Research &amp; Analysis'!A184","Open")</x:f>
        <x:v>Open</x:v>
      </x:c>
      <x:c r="B912" s="2" t="str">
        <x:f>'Research &amp; Analysis'!B184</x:f>
        <x:v>Cycle 2</x:v>
      </x:c>
      <x:c r="C912" s="2" t="str">
        <x:f>'Research &amp; Analysis'!C184</x:f>
        <x:v>Phase 2</x:v>
      </x:c>
      <x:c r="D912" s="2" t="str">
        <x:f>'Research &amp; Analysis'!D184</x:f>
        <x:v>Auto</x:v>
      </x:c>
      <x:c r="E912" s="2" t="str">
        <x:v>Research &amp; Analysis</x:v>
      </x:c>
      <x:c r="F912" s="56" t="str">
        <x:f>'Research &amp; Analysis'!E184</x:f>
        <x:v>RA.AU.2.5</x:v>
      </x:c>
      <x:c r="G912" s="14" t="str">
        <x:f>'Research &amp; Analysis'!F184</x:f>
        <x:v>Perform data testing and sampling</x:v>
      </x:c>
      <x:c r="H912" s="2" t="str">
        <x:f>IF('Research &amp; Analysis'!G184="","",'Research &amp; Analysis'!G184)</x:f>
      </x:c>
      <x:c r="I912" s="12" t="str">
        <x:f>IF('Research &amp; Analysis'!H184="","",'Research &amp; Analysis'!H184)</x:f>
      </x:c>
      <x:c r="J912" s="12" t="n">
        <x:f>IF('Research &amp; Analysis'!I184="","",'Research &amp; Analysis'!I184)</x:f>
        <x:v>46203</x:v>
      </x:c>
      <x:c r="K912" s="12" t="str">
        <x:f>IF('Research &amp; Analysis'!J184="","",'Research &amp; Analysis'!J184)</x:f>
      </x:c>
      <x:c r="L912" s="2" t="str">
        <x:f>IF('Research &amp; Analysis'!K184="","",'Research &amp; Analysis'!K184)</x:f>
      </x:c>
      <x:c r="M912" s="2" t="n">
        <x:f>'Research &amp; Analysis'!Q184</x:f>
        <x:v>1</x:v>
      </x:c>
      <x:c r="N912" s="2" t="str">
        <x:f>'Research &amp; Analysis'!L184</x:f>
        <x:v>Not started</x:v>
      </x:c>
      <x:c r="O912" s="2" t="str">
        <x:f>'Research &amp; Analysis'!N184</x:f>
        <x:v>RA.AU.2.5.2026.CY2</x:v>
      </x:c>
      <x:c r="P912" s="2" t="n">
        <x:f>'Research &amp; Analysis'!O184</x:f>
        <x:v>0</x:v>
      </x:c>
      <x:c r="Q912" s="2" t="n">
        <x:f>SUBTOTAL(103,O912)</x:f>
        <x:v>1</x:v>
      </x:c>
      <x:c r="R912" s="2" t="n">
        <x:f>IF(AND(M912=1,OR(Dashboard!$B$7="All",Dashboard!$B$7='Cycles &amp; Guide'!$C$5),OR(Dashboard!$D$7="All",Dashboard!$D$7=B912),OR(Dashboard!$F$7="All",Dashboard!$F$7=C912),OR(Dashboard!$H$7="All",Dashboard!$H$7=D912),OR(Dashboard!$K$7="All",Dashboard!$K$7=E912)),1,0)</x:f>
        <x:v>1</x:v>
      </x:c>
      <x:c r="S912" s="2" t="n">
        <x:f>IF(R912=1,SUM($R$10:R912),0)</x:f>
        <x:v>539</x:v>
      </x:c>
      <x:c r="T912" s="2" t="str">
        <x:v>Research &amp; Analysis</x:v>
      </x:c>
      <x:c r="U912" s="2" t="n">
        <x:v>184</x:v>
      </x:c>
      <x:c r="V912" s="2" t="n">
        <x:f>IF(AND(M912=1,P912=0,ISNUMBER(J912),J912&lt;TODAY()),1,0)</x:f>
        <x:v>1</x:v>
      </x:c>
      <x:c r="W912" s="2" t="str">
        <x:f>'Research &amp; Analysis'!M184</x:f>
        <x:v>Task</x:v>
      </x:c>
    </x:row>
    <x:row r="913" ht="40" customHeight="1">
      <x:c r="A913" s="3" t="str">
        <x:f>HYPERLINK("#'Research &amp; Analysis'!A185","Open")</x:f>
        <x:v>Open</x:v>
      </x:c>
      <x:c r="B913" s="2" t="str">
        <x:f>'Research &amp; Analysis'!B185</x:f>
        <x:v>Cycle 2</x:v>
      </x:c>
      <x:c r="C913" s="2" t="str">
        <x:f>'Research &amp; Analysis'!C185</x:f>
        <x:v>Phase 2</x:v>
      </x:c>
      <x:c r="D913" s="2" t="str">
        <x:f>'Research &amp; Analysis'!D185</x:f>
        <x:v>Auto</x:v>
      </x:c>
      <x:c r="E913" s="2" t="str">
        <x:v>Research &amp; Analysis</x:v>
      </x:c>
      <x:c r="F913" s="56" t="str">
        <x:f>'Research &amp; Analysis'!E185</x:f>
        <x:v>RA.AU.2.6</x:v>
      </x:c>
      <x:c r="G913" s="14" t="str">
        <x:f>'Research &amp; Analysis'!F185</x:f>
        <x:v>Complete Positive Testing</x:v>
      </x:c>
      <x:c r="H913" s="2" t="str">
        <x:f>IF('Research &amp; Analysis'!G185="","",'Research &amp; Analysis'!G185)</x:f>
      </x:c>
      <x:c r="I913" s="12" t="str">
        <x:f>IF('Research &amp; Analysis'!H185="","",'Research &amp; Analysis'!H185)</x:f>
      </x:c>
      <x:c r="J913" s="12" t="n">
        <x:f>IF('Research &amp; Analysis'!I185="","",'Research &amp; Analysis'!I185)</x:f>
        <x:v>46203</x:v>
      </x:c>
      <x:c r="K913" s="12" t="str">
        <x:f>IF('Research &amp; Analysis'!J185="","",'Research &amp; Analysis'!J185)</x:f>
      </x:c>
      <x:c r="L913" s="2" t="str">
        <x:f>IF('Research &amp; Analysis'!K185="","",'Research &amp; Analysis'!K185)</x:f>
      </x:c>
      <x:c r="M913" s="2" t="n">
        <x:f>'Research &amp; Analysis'!Q185</x:f>
        <x:v>1</x:v>
      </x:c>
      <x:c r="N913" s="2" t="str">
        <x:f>'Research &amp; Analysis'!L185</x:f>
        <x:v>Not started</x:v>
      </x:c>
      <x:c r="O913" s="2" t="str">
        <x:f>'Research &amp; Analysis'!N185</x:f>
        <x:v>RA.AU.2.6.2026.CY2</x:v>
      </x:c>
      <x:c r="P913" s="2" t="n">
        <x:f>'Research &amp; Analysis'!O185</x:f>
        <x:v>0</x:v>
      </x:c>
      <x:c r="Q913" s="2" t="n">
        <x:f>SUBTOTAL(103,O913)</x:f>
        <x:v>1</x:v>
      </x:c>
      <x:c r="R913" s="2" t="n">
        <x:f>IF(AND(M913=1,OR(Dashboard!$B$7="All",Dashboard!$B$7='Cycles &amp; Guide'!$C$5),OR(Dashboard!$D$7="All",Dashboard!$D$7=B913),OR(Dashboard!$F$7="All",Dashboard!$F$7=C913),OR(Dashboard!$H$7="All",Dashboard!$H$7=D913),OR(Dashboard!$K$7="All",Dashboard!$K$7=E913)),1,0)</x:f>
        <x:v>1</x:v>
      </x:c>
      <x:c r="S913" s="2" t="n">
        <x:f>IF(R913=1,SUM($R$10:R913),0)</x:f>
        <x:v>540</x:v>
      </x:c>
      <x:c r="T913" s="2" t="str">
        <x:v>Research &amp; Analysis</x:v>
      </x:c>
      <x:c r="U913" s="2" t="n">
        <x:v>185</x:v>
      </x:c>
      <x:c r="V913" s="2" t="n">
        <x:f>IF(AND(M913=1,P913=0,ISNUMBER(J913),J913&lt;TODAY()),1,0)</x:f>
        <x:v>1</x:v>
      </x:c>
      <x:c r="W913" s="2" t="str">
        <x:f>'Research &amp; Analysis'!M185</x:f>
        <x:v>Task</x:v>
      </x:c>
    </x:row>
    <x:row r="914" ht="40" customHeight="1">
      <x:c r="A914" s="3" t="str">
        <x:f>HYPERLINK("#'Research &amp; Analysis'!A186","Open")</x:f>
        <x:v>Open</x:v>
      </x:c>
      <x:c r="B914" s="2" t="str">
        <x:f>'Research &amp; Analysis'!B186</x:f>
        <x:v>Cycle 2</x:v>
      </x:c>
      <x:c r="C914" s="2" t="str">
        <x:f>'Research &amp; Analysis'!C186</x:f>
        <x:v>Phase 2</x:v>
      </x:c>
      <x:c r="D914" s="2" t="str">
        <x:f>'Research &amp; Analysis'!D186</x:f>
        <x:v>Auto</x:v>
      </x:c>
      <x:c r="E914" s="2" t="str">
        <x:v>Research &amp; Analysis</x:v>
      </x:c>
      <x:c r="F914" s="56" t="str">
        <x:f>'Research &amp; Analysis'!E186</x:f>
        <x:v>RA.AU.2.7</x:v>
      </x:c>
      <x:c r="G914" s="14" t="str">
        <x:f>'Research &amp; Analysis'!F186</x:f>
        <x:v>Complete Negative Testing</x:v>
      </x:c>
      <x:c r="H914" s="2" t="str">
        <x:f>IF('Research &amp; Analysis'!G186="","",'Research &amp; Analysis'!G186)</x:f>
      </x:c>
      <x:c r="I914" s="12" t="str">
        <x:f>IF('Research &amp; Analysis'!H186="","",'Research &amp; Analysis'!H186)</x:f>
      </x:c>
      <x:c r="J914" s="12" t="n">
        <x:f>IF('Research &amp; Analysis'!I186="","",'Research &amp; Analysis'!I186)</x:f>
        <x:v>46203</x:v>
      </x:c>
      <x:c r="K914" s="12" t="str">
        <x:f>IF('Research &amp; Analysis'!J186="","",'Research &amp; Analysis'!J186)</x:f>
      </x:c>
      <x:c r="L914" s="2" t="str">
        <x:f>IF('Research &amp; Analysis'!K186="","",'Research &amp; Analysis'!K186)</x:f>
      </x:c>
      <x:c r="M914" s="2" t="n">
        <x:f>'Research &amp; Analysis'!Q186</x:f>
        <x:v>1</x:v>
      </x:c>
      <x:c r="N914" s="2" t="str">
        <x:f>'Research &amp; Analysis'!L186</x:f>
        <x:v>Not started</x:v>
      </x:c>
      <x:c r="O914" s="2" t="str">
        <x:f>'Research &amp; Analysis'!N186</x:f>
        <x:v>RA.AU.2.7.2026.CY2</x:v>
      </x:c>
      <x:c r="P914" s="2" t="n">
        <x:f>'Research &amp; Analysis'!O186</x:f>
        <x:v>0</x:v>
      </x:c>
      <x:c r="Q914" s="2" t="n">
        <x:f>SUBTOTAL(103,O914)</x:f>
        <x:v>1</x:v>
      </x:c>
      <x:c r="R914" s="2" t="n">
        <x:f>IF(AND(M914=1,OR(Dashboard!$B$7="All",Dashboard!$B$7='Cycles &amp; Guide'!$C$5),OR(Dashboard!$D$7="All",Dashboard!$D$7=B914),OR(Dashboard!$F$7="All",Dashboard!$F$7=C914),OR(Dashboard!$H$7="All",Dashboard!$H$7=D914),OR(Dashboard!$K$7="All",Dashboard!$K$7=E914)),1,0)</x:f>
        <x:v>1</x:v>
      </x:c>
      <x:c r="S914" s="2" t="n">
        <x:f>IF(R914=1,SUM($R$10:R914),0)</x:f>
        <x:v>541</x:v>
      </x:c>
      <x:c r="T914" s="2" t="str">
        <x:v>Research &amp; Analysis</x:v>
      </x:c>
      <x:c r="U914" s="2" t="n">
        <x:v>186</x:v>
      </x:c>
      <x:c r="V914" s="2" t="n">
        <x:f>IF(AND(M914=1,P914=0,ISNUMBER(J914),J914&lt;TODAY()),1,0)</x:f>
        <x:v>1</x:v>
      </x:c>
      <x:c r="W914" s="2" t="str">
        <x:f>'Research &amp; Analysis'!M186</x:f>
        <x:v>Task</x:v>
      </x:c>
    </x:row>
    <x:row r="915" ht="40" customHeight="1">
      <x:c r="A915" s="3" t="str">
        <x:f>HYPERLINK("#'Research &amp; Analysis'!A187","Open")</x:f>
        <x:v>Open</x:v>
      </x:c>
      <x:c r="B915" s="2" t="str">
        <x:f>'Research &amp; Analysis'!B187</x:f>
        <x:v>Cycle 2</x:v>
      </x:c>
      <x:c r="C915" s="2" t="str">
        <x:f>'Research &amp; Analysis'!C187</x:f>
        <x:v>Phase 2</x:v>
      </x:c>
      <x:c r="D915" s="2" t="str">
        <x:f>'Research &amp; Analysis'!D187</x:f>
        <x:v>Auto</x:v>
      </x:c>
      <x:c r="E915" s="2" t="str">
        <x:v>Research &amp; Analysis</x:v>
      </x:c>
      <x:c r="F915" s="56" t="str">
        <x:f>'Research &amp; Analysis'!E187</x:f>
        <x:v>RA.AU.2.8</x:v>
      </x:c>
      <x:c r="G915" s="14" t="str">
        <x:f>'Research &amp; Analysis'!F187</x:f>
        <x:v>Request additional data (as needed)</x:v>
      </x:c>
      <x:c r="H915" s="2" t="str">
        <x:f>IF('Research &amp; Analysis'!G187="","",'Research &amp; Analysis'!G187)</x:f>
      </x:c>
      <x:c r="I915" s="12" t="str">
        <x:f>IF('Research &amp; Analysis'!H187="","",'Research &amp; Analysis'!H187)</x:f>
      </x:c>
      <x:c r="J915" s="12" t="n">
        <x:f>IF('Research &amp; Analysis'!I187="","",'Research &amp; Analysis'!I187)</x:f>
        <x:v>46203</x:v>
      </x:c>
      <x:c r="K915" s="12" t="str">
        <x:f>IF('Research &amp; Analysis'!J187="","",'Research &amp; Analysis'!J187)</x:f>
      </x:c>
      <x:c r="L915" s="2" t="str">
        <x:f>IF('Research &amp; Analysis'!K187="","",'Research &amp; Analysis'!K187)</x:f>
      </x:c>
      <x:c r="M915" s="2" t="n">
        <x:f>'Research &amp; Analysis'!Q187</x:f>
        <x:v>1</x:v>
      </x:c>
      <x:c r="N915" s="2" t="str">
        <x:f>'Research &amp; Analysis'!L187</x:f>
        <x:v>Not started</x:v>
      </x:c>
      <x:c r="O915" s="2" t="str">
        <x:f>'Research &amp; Analysis'!N187</x:f>
        <x:v>RA.AU.2.8.2026.CY2</x:v>
      </x:c>
      <x:c r="P915" s="2" t="n">
        <x:f>'Research &amp; Analysis'!O187</x:f>
        <x:v>0</x:v>
      </x:c>
      <x:c r="Q915" s="2" t="n">
        <x:f>SUBTOTAL(103,O915)</x:f>
        <x:v>1</x:v>
      </x:c>
      <x:c r="R915" s="2" t="n">
        <x:f>IF(AND(M915=1,OR(Dashboard!$B$7="All",Dashboard!$B$7='Cycles &amp; Guide'!$C$5),OR(Dashboard!$D$7="All",Dashboard!$D$7=B915),OR(Dashboard!$F$7="All",Dashboard!$F$7=C915),OR(Dashboard!$H$7="All",Dashboard!$H$7=D915),OR(Dashboard!$K$7="All",Dashboard!$K$7=E915)),1,0)</x:f>
        <x:v>1</x:v>
      </x:c>
      <x:c r="S915" s="2" t="n">
        <x:f>IF(R915=1,SUM($R$10:R915),0)</x:f>
        <x:v>542</x:v>
      </x:c>
      <x:c r="T915" s="2" t="str">
        <x:v>Research &amp; Analysis</x:v>
      </x:c>
      <x:c r="U915" s="2" t="n">
        <x:v>187</x:v>
      </x:c>
      <x:c r="V915" s="2" t="n">
        <x:f>IF(AND(M915=1,P915=0,ISNUMBER(J915),J915&lt;TODAY()),1,0)</x:f>
        <x:v>1</x:v>
      </x:c>
      <x:c r="W915" s="2" t="str">
        <x:f>'Research &amp; Analysis'!M187</x:f>
        <x:v>Task</x:v>
      </x:c>
    </x:row>
    <x:row r="916" ht="40" customHeight="1">
      <x:c r="A916" s="3" t="str">
        <x:f>HYPERLINK("#'Research &amp; Analysis'!A188","Open")</x:f>
        <x:v>Open</x:v>
      </x:c>
      <x:c r="B916" s="2" t="str">
        <x:f>'Research &amp; Analysis'!B188</x:f>
        <x:v>Cycle 2</x:v>
      </x:c>
      <x:c r="C916" s="2" t="str">
        <x:f>'Research &amp; Analysis'!C188</x:f>
        <x:v>Phase 2</x:v>
      </x:c>
      <x:c r="D916" s="2" t="str">
        <x:f>'Research &amp; Analysis'!D188</x:f>
        <x:v>Auto</x:v>
      </x:c>
      <x:c r="E916" s="2" t="str">
        <x:v>Research &amp; Analysis</x:v>
      </x:c>
      <x:c r="F916" s="56" t="str">
        <x:f>'Research &amp; Analysis'!E188</x:f>
        <x:v>RA.AU.2.9</x:v>
      </x:c>
      <x:c r="G916" s="14" t="str">
        <x:f>'Research &amp; Analysis'!F188</x:f>
        <x:v>Validate or disprove initial hypothesis assumptions</x:v>
      </x:c>
      <x:c r="H916" s="2" t="str">
        <x:f>IF('Research &amp; Analysis'!G188="","",'Research &amp; Analysis'!G188)</x:f>
      </x:c>
      <x:c r="I916" s="12" t="str">
        <x:f>IF('Research &amp; Analysis'!H188="","",'Research &amp; Analysis'!H188)</x:f>
      </x:c>
      <x:c r="J916" s="12" t="n">
        <x:f>IF('Research &amp; Analysis'!I188="","",'Research &amp; Analysis'!I188)</x:f>
        <x:v>46203</x:v>
      </x:c>
      <x:c r="K916" s="12" t="str">
        <x:f>IF('Research &amp; Analysis'!J188="","",'Research &amp; Analysis'!J188)</x:f>
      </x:c>
      <x:c r="L916" s="2" t="str">
        <x:f>IF('Research &amp; Analysis'!K188="","",'Research &amp; Analysis'!K188)</x:f>
      </x:c>
      <x:c r="M916" s="2" t="n">
        <x:f>'Research &amp; Analysis'!Q188</x:f>
        <x:v>1</x:v>
      </x:c>
      <x:c r="N916" s="2" t="str">
        <x:f>'Research &amp; Analysis'!L188</x:f>
        <x:v>Not started</x:v>
      </x:c>
      <x:c r="O916" s="2" t="str">
        <x:f>'Research &amp; Analysis'!N188</x:f>
        <x:v>RA.AU.2.9.2026.CY2</x:v>
      </x:c>
      <x:c r="P916" s="2" t="n">
        <x:f>'Research &amp; Analysis'!O188</x:f>
        <x:v>0</x:v>
      </x:c>
      <x:c r="Q916" s="2" t="n">
        <x:f>SUBTOTAL(103,O916)</x:f>
        <x:v>1</x:v>
      </x:c>
      <x:c r="R916" s="2" t="n">
        <x:f>IF(AND(M916=1,OR(Dashboard!$B$7="All",Dashboard!$B$7='Cycles &amp; Guide'!$C$5),OR(Dashboard!$D$7="All",Dashboard!$D$7=B916),OR(Dashboard!$F$7="All",Dashboard!$F$7=C916),OR(Dashboard!$H$7="All",Dashboard!$H$7=D916),OR(Dashboard!$K$7="All",Dashboard!$K$7=E916)),1,0)</x:f>
        <x:v>1</x:v>
      </x:c>
      <x:c r="S916" s="2" t="n">
        <x:f>IF(R916=1,SUM($R$10:R916),0)</x:f>
        <x:v>543</x:v>
      </x:c>
      <x:c r="T916" s="2" t="str">
        <x:v>Research &amp; Analysis</x:v>
      </x:c>
      <x:c r="U916" s="2" t="n">
        <x:v>188</x:v>
      </x:c>
      <x:c r="V916" s="2" t="n">
        <x:f>IF(AND(M916=1,P916=0,ISNUMBER(J916),J916&lt;TODAY()),1,0)</x:f>
        <x:v>1</x:v>
      </x:c>
      <x:c r="W916" s="2" t="str">
        <x:f>'Research &amp; Analysis'!M188</x:f>
        <x:v>Task</x:v>
      </x:c>
    </x:row>
    <x:row r="917" ht="40" customHeight="1">
      <x:c r="A917" s="3" t="str">
        <x:f>HYPERLINK("#'Research &amp; Analysis'!A189","Open")</x:f>
        <x:v>Open</x:v>
      </x:c>
      <x:c r="B917" s="2" t="str">
        <x:f>'Research &amp; Analysis'!B189</x:f>
        <x:v>Cycle 2</x:v>
      </x:c>
      <x:c r="C917" s="2" t="str">
        <x:f>'Research &amp; Analysis'!C189</x:f>
        <x:v>Phase 2</x:v>
      </x:c>
      <x:c r="D917" s="2" t="str">
        <x:f>'Research &amp; Analysis'!D189</x:f>
        <x:v>Auto</x:v>
      </x:c>
      <x:c r="E917" s="2" t="str">
        <x:v>Research &amp; Analysis</x:v>
      </x:c>
      <x:c r="F917" s="56" t="str">
        <x:f>'Research &amp; Analysis'!E189</x:f>
        <x:v>RA.AU.2.10</x:v>
      </x:c>
      <x:c r="G917" s="14" t="str">
        <x:f>'Research &amp; Analysis'!F189</x:f>
        <x:v>Identify and confirm root cause</x:v>
      </x:c>
      <x:c r="H917" s="2" t="str">
        <x:f>IF('Research &amp; Analysis'!G189="","",'Research &amp; Analysis'!G189)</x:f>
      </x:c>
      <x:c r="I917" s="12" t="str">
        <x:f>IF('Research &amp; Analysis'!H189="","",'Research &amp; Analysis'!H189)</x:f>
      </x:c>
      <x:c r="J917" s="12" t="n">
        <x:f>IF('Research &amp; Analysis'!I189="","",'Research &amp; Analysis'!I189)</x:f>
        <x:v>46203</x:v>
      </x:c>
      <x:c r="K917" s="12" t="str">
        <x:f>IF('Research &amp; Analysis'!J189="","",'Research &amp; Analysis'!J189)</x:f>
      </x:c>
      <x:c r="L917" s="2" t="str">
        <x:f>IF('Research &amp; Analysis'!K189="","",'Research &amp; Analysis'!K189)</x:f>
      </x:c>
      <x:c r="M917" s="2" t="n">
        <x:f>'Research &amp; Analysis'!Q189</x:f>
        <x:v>1</x:v>
      </x:c>
      <x:c r="N917" s="2" t="str">
        <x:f>'Research &amp; Analysis'!L189</x:f>
        <x:v>Not started</x:v>
      </x:c>
      <x:c r="O917" s="2" t="str">
        <x:f>'Research &amp; Analysis'!N189</x:f>
        <x:v>RA.AU.2.10.2026.CY2</x:v>
      </x:c>
      <x:c r="P917" s="2" t="n">
        <x:f>'Research &amp; Analysis'!O189</x:f>
        <x:v>0</x:v>
      </x:c>
      <x:c r="Q917" s="2" t="n">
        <x:f>SUBTOTAL(103,O917)</x:f>
        <x:v>1</x:v>
      </x:c>
      <x:c r="R917" s="2" t="n">
        <x:f>IF(AND(M917=1,OR(Dashboard!$B$7="All",Dashboard!$B$7='Cycles &amp; Guide'!$C$5),OR(Dashboard!$D$7="All",Dashboard!$D$7=B917),OR(Dashboard!$F$7="All",Dashboard!$F$7=C917),OR(Dashboard!$H$7="All",Dashboard!$H$7=D917),OR(Dashboard!$K$7="All",Dashboard!$K$7=E917)),1,0)</x:f>
        <x:v>1</x:v>
      </x:c>
      <x:c r="S917" s="2" t="n">
        <x:f>IF(R917=1,SUM($R$10:R917),0)</x:f>
        <x:v>544</x:v>
      </x:c>
      <x:c r="T917" s="2" t="str">
        <x:v>Research &amp; Analysis</x:v>
      </x:c>
      <x:c r="U917" s="2" t="n">
        <x:v>189</x:v>
      </x:c>
      <x:c r="V917" s="2" t="n">
        <x:f>IF(AND(M917=1,P917=0,ISNUMBER(J917),J917&lt;TODAY()),1,0)</x:f>
        <x:v>1</x:v>
      </x:c>
      <x:c r="W917" s="2" t="str">
        <x:f>'Research &amp; Analysis'!M189</x:f>
        <x:v>Task</x:v>
      </x:c>
    </x:row>
    <x:row r="918" ht="40" customHeight="1">
      <x:c r="A918" s="3" t="str">
        <x:f>HYPERLINK("#'Research &amp; Analysis'!A190","Open")</x:f>
        <x:v>Open</x:v>
      </x:c>
      <x:c r="B918" s="2" t="str">
        <x:f>'Research &amp; Analysis'!B190</x:f>
        <x:v>Cycle 2</x:v>
      </x:c>
      <x:c r="C918" s="2" t="str">
        <x:f>'Research &amp; Analysis'!C190</x:f>
        <x:v>Phase 3</x:v>
      </x:c>
      <x:c r="D918" s="2" t="str">
        <x:f>'Research &amp; Analysis'!D190</x:f>
        <x:v>Auto</x:v>
      </x:c>
      <x:c r="E918" s="2" t="str">
        <x:v>Research &amp; Analysis</x:v>
      </x:c>
      <x:c r="F918" s="56" t="str">
        <x:f>'Research &amp; Analysis'!E190</x:f>
        <x:v>RA.AU.3.1</x:v>
      </x:c>
      <x:c r="G918" s="14" t="str">
        <x:f>'Research &amp; Analysis'!F190</x:f>
        <x:v>Finalize results and supporting documentation</x:v>
      </x:c>
      <x:c r="H918" s="2" t="str">
        <x:f>IF('Research &amp; Analysis'!G190="","",'Research &amp; Analysis'!G190)</x:f>
      </x:c>
      <x:c r="I918" s="12" t="str">
        <x:f>IF('Research &amp; Analysis'!H190="","",'Research &amp; Analysis'!H190)</x:f>
      </x:c>
      <x:c r="J918" s="12" t="n">
        <x:f>IF('Research &amp; Analysis'!I190="","",'Research &amp; Analysis'!I190)</x:f>
        <x:v>46203</x:v>
      </x:c>
      <x:c r="K918" s="12" t="str">
        <x:f>IF('Research &amp; Analysis'!J190="","",'Research &amp; Analysis'!J190)</x:f>
      </x:c>
      <x:c r="L918" s="2" t="str">
        <x:f>IF('Research &amp; Analysis'!K190="","",'Research &amp; Analysis'!K190)</x:f>
      </x:c>
      <x:c r="M918" s="2" t="n">
        <x:f>'Research &amp; Analysis'!Q190</x:f>
        <x:v>1</x:v>
      </x:c>
      <x:c r="N918" s="2" t="str">
        <x:f>'Research &amp; Analysis'!L190</x:f>
        <x:v>Not started</x:v>
      </x:c>
      <x:c r="O918" s="2" t="str">
        <x:f>'Research &amp; Analysis'!N190</x:f>
        <x:v>RA.AU.3.1.2026.CY2</x:v>
      </x:c>
      <x:c r="P918" s="2" t="n">
        <x:f>'Research &amp; Analysis'!O190</x:f>
        <x:v>0</x:v>
      </x:c>
      <x:c r="Q918" s="2" t="n">
        <x:f>SUBTOTAL(103,O918)</x:f>
        <x:v>1</x:v>
      </x:c>
      <x:c r="R918" s="2" t="n">
        <x:f>IF(AND(M918=1,OR(Dashboard!$B$7="All",Dashboard!$B$7='Cycles &amp; Guide'!$C$5),OR(Dashboard!$D$7="All",Dashboard!$D$7=B918),OR(Dashboard!$F$7="All",Dashboard!$F$7=C918),OR(Dashboard!$H$7="All",Dashboard!$H$7=D918),OR(Dashboard!$K$7="All",Dashboard!$K$7=E918)),1,0)</x:f>
        <x:v>1</x:v>
      </x:c>
      <x:c r="S918" s="2" t="n">
        <x:f>IF(R918=1,SUM($R$10:R918),0)</x:f>
        <x:v>545</x:v>
      </x:c>
      <x:c r="T918" s="2" t="str">
        <x:v>Research &amp; Analysis</x:v>
      </x:c>
      <x:c r="U918" s="2" t="n">
        <x:v>190</x:v>
      </x:c>
      <x:c r="V918" s="2" t="n">
        <x:f>IF(AND(M918=1,P918=0,ISNUMBER(J918),J918&lt;TODAY()),1,0)</x:f>
        <x:v>1</x:v>
      </x:c>
      <x:c r="W918" s="2" t="str">
        <x:f>'Research &amp; Analysis'!M190</x:f>
        <x:v>Task</x:v>
      </x:c>
    </x:row>
    <x:row r="919" ht="40" customHeight="1">
      <x:c r="A919" s="3" t="str">
        <x:f>HYPERLINK("#'Research &amp; Analysis'!A191","Open")</x:f>
        <x:v>Open</x:v>
      </x:c>
      <x:c r="B919" s="2" t="str">
        <x:f>'Research &amp; Analysis'!B191</x:f>
        <x:v>Cycle 2</x:v>
      </x:c>
      <x:c r="C919" s="2" t="str">
        <x:f>'Research &amp; Analysis'!C191</x:f>
        <x:v>Phase 3</x:v>
      </x:c>
      <x:c r="D919" s="2" t="str">
        <x:f>'Research &amp; Analysis'!D191</x:f>
        <x:v>Auto</x:v>
      </x:c>
      <x:c r="E919" s="2" t="str">
        <x:v>Research &amp; Analysis</x:v>
      </x:c>
      <x:c r="F919" s="56" t="str">
        <x:f>'Research &amp; Analysis'!E191</x:f>
        <x:v>RA.AU.3.2</x:v>
      </x:c>
      <x:c r="G919" s="14" t="str">
        <x:f>'Research &amp; Analysis'!F191</x:f>
        <x:v>Maintain and update the evidence package prior to handoff to D&amp;I</x:v>
      </x:c>
      <x:c r="H919" s="2" t="str">
        <x:f>IF('Research &amp; Analysis'!G191="","",'Research &amp; Analysis'!G191)</x:f>
      </x:c>
      <x:c r="I919" s="12" t="str">
        <x:f>IF('Research &amp; Analysis'!H191="","",'Research &amp; Analysis'!H191)</x:f>
      </x:c>
      <x:c r="J919" s="12" t="n">
        <x:f>IF('Research &amp; Analysis'!I191="","",'Research &amp; Analysis'!I191)</x:f>
        <x:v>46203</x:v>
      </x:c>
      <x:c r="K919" s="12" t="str">
        <x:f>IF('Research &amp; Analysis'!J191="","",'Research &amp; Analysis'!J191)</x:f>
      </x:c>
      <x:c r="L919" s="2" t="str">
        <x:f>IF('Research &amp; Analysis'!K191="","",'Research &amp; Analysis'!K191)</x:f>
      </x:c>
      <x:c r="M919" s="2" t="n">
        <x:f>'Research &amp; Analysis'!Q191</x:f>
        <x:v>1</x:v>
      </x:c>
      <x:c r="N919" s="2" t="str">
        <x:f>'Research &amp; Analysis'!L191</x:f>
        <x:v>Not started</x:v>
      </x:c>
      <x:c r="O919" s="2" t="str">
        <x:f>'Research &amp; Analysis'!N191</x:f>
        <x:v>RA.AU.3.2.2026.CY2</x:v>
      </x:c>
      <x:c r="P919" s="2" t="n">
        <x:f>'Research &amp; Analysis'!O191</x:f>
        <x:v>0</x:v>
      </x:c>
      <x:c r="Q919" s="2" t="n">
        <x:f>SUBTOTAL(103,O919)</x:f>
        <x:v>1</x:v>
      </x:c>
      <x:c r="R919" s="2" t="n">
        <x:f>IF(AND(M919=1,OR(Dashboard!$B$7="All",Dashboard!$B$7='Cycles &amp; Guide'!$C$5),OR(Dashboard!$D$7="All",Dashboard!$D$7=B919),OR(Dashboard!$F$7="All",Dashboard!$F$7=C919),OR(Dashboard!$H$7="All",Dashboard!$H$7=D919),OR(Dashboard!$K$7="All",Dashboard!$K$7=E919)),1,0)</x:f>
        <x:v>1</x:v>
      </x:c>
      <x:c r="S919" s="2" t="n">
        <x:f>IF(R919=1,SUM($R$10:R919),0)</x:f>
        <x:v>546</x:v>
      </x:c>
      <x:c r="T919" s="2" t="str">
        <x:v>Research &amp; Analysis</x:v>
      </x:c>
      <x:c r="U919" s="2" t="n">
        <x:v>191</x:v>
      </x:c>
      <x:c r="V919" s="2" t="n">
        <x:f>IF(AND(M919=1,P919=0,ISNUMBER(J919),J919&lt;TODAY()),1,0)</x:f>
        <x:v>1</x:v>
      </x:c>
      <x:c r="W919" s="2" t="str">
        <x:f>'Research &amp; Analysis'!M191</x:f>
        <x:v>Task</x:v>
      </x:c>
    </x:row>
    <x:row r="920" ht="40" customHeight="1">
      <x:c r="A920" s="3" t="str">
        <x:f>HYPERLINK("#'Research &amp; Analysis'!A192","Open")</x:f>
        <x:v>Open</x:v>
      </x:c>
      <x:c r="B920" s="2" t="str">
        <x:f>'Research &amp; Analysis'!B192</x:f>
        <x:v>Cycle 2</x:v>
      </x:c>
      <x:c r="C920" s="2" t="str">
        <x:f>'Research &amp; Analysis'!C192</x:f>
        <x:v>Phase 3</x:v>
      </x:c>
      <x:c r="D920" s="2" t="str">
        <x:f>'Research &amp; Analysis'!D192</x:f>
        <x:v>Auto</x:v>
      </x:c>
      <x:c r="E920" s="2" t="str">
        <x:v>Research &amp; Analysis</x:v>
      </x:c>
      <x:c r="F920" s="56" t="str">
        <x:f>'Research &amp; Analysis'!E192</x:f>
        <x:v>RA.AU.3.3</x:v>
      </x:c>
      <x:c r="G920" s="14" t="str">
        <x:f>'Research &amp; Analysis'!F192</x:f>
        <x:v>Address any outstanding questions or requests from D&amp;I</x:v>
      </x:c>
      <x:c r="H920" s="2" t="str">
        <x:f>IF('Research &amp; Analysis'!G192="","",'Research &amp; Analysis'!G192)</x:f>
      </x:c>
      <x:c r="I920" s="12" t="str">
        <x:f>IF('Research &amp; Analysis'!H192="","",'Research &amp; Analysis'!H192)</x:f>
      </x:c>
      <x:c r="J920" s="12" t="n">
        <x:f>IF('Research &amp; Analysis'!I192="","",'Research &amp; Analysis'!I192)</x:f>
        <x:v>46203</x:v>
      </x:c>
      <x:c r="K920" s="12" t="str">
        <x:f>IF('Research &amp; Analysis'!J192="","",'Research &amp; Analysis'!J192)</x:f>
      </x:c>
      <x:c r="L920" s="2" t="str">
        <x:f>IF('Research &amp; Analysis'!K192="","",'Research &amp; Analysis'!K192)</x:f>
      </x:c>
      <x:c r="M920" s="2" t="n">
        <x:f>'Research &amp; Analysis'!Q192</x:f>
        <x:v>1</x:v>
      </x:c>
      <x:c r="N920" s="2" t="str">
        <x:f>'Research &amp; Analysis'!L192</x:f>
        <x:v>Not started</x:v>
      </x:c>
      <x:c r="O920" s="2" t="str">
        <x:f>'Research &amp; Analysis'!N192</x:f>
        <x:v>RA.AU.3.3.2026.CY2</x:v>
      </x:c>
      <x:c r="P920" s="2" t="n">
        <x:f>'Research &amp; Analysis'!O192</x:f>
        <x:v>0</x:v>
      </x:c>
      <x:c r="Q920" s="2" t="n">
        <x:f>SUBTOTAL(103,O920)</x:f>
        <x:v>1</x:v>
      </x:c>
      <x:c r="R920" s="2" t="n">
        <x:f>IF(AND(M920=1,OR(Dashboard!$B$7="All",Dashboard!$B$7='Cycles &amp; Guide'!$C$5),OR(Dashboard!$D$7="All",Dashboard!$D$7=B920),OR(Dashboard!$F$7="All",Dashboard!$F$7=C920),OR(Dashboard!$H$7="All",Dashboard!$H$7=D920),OR(Dashboard!$K$7="All",Dashboard!$K$7=E920)),1,0)</x:f>
        <x:v>1</x:v>
      </x:c>
      <x:c r="S920" s="2" t="n">
        <x:f>IF(R920=1,SUM($R$10:R920),0)</x:f>
        <x:v>547</x:v>
      </x:c>
      <x:c r="T920" s="2" t="str">
        <x:v>Research &amp; Analysis</x:v>
      </x:c>
      <x:c r="U920" s="2" t="n">
        <x:v>192</x:v>
      </x:c>
      <x:c r="V920" s="2" t="n">
        <x:f>IF(AND(M920=1,P920=0,ISNUMBER(J920),J920&lt;TODAY()),1,0)</x:f>
        <x:v>1</x:v>
      </x:c>
      <x:c r="W920" s="2" t="str">
        <x:f>'Research &amp; Analysis'!M192</x:f>
        <x:v>Task</x:v>
      </x:c>
    </x:row>
    <x:row r="921" ht="40" customHeight="1">
      <x:c r="A921" s="3" t="str">
        <x:f>HYPERLINK("#'Research &amp; Analysis'!A193","Open")</x:f>
        <x:v>Open</x:v>
      </x:c>
      <x:c r="B921" s="2" t="str">
        <x:f>'Research &amp; Analysis'!B193</x:f>
        <x:v>Cycle 2</x:v>
      </x:c>
      <x:c r="C921" s="2" t="str">
        <x:f>'Research &amp; Analysis'!C193</x:f>
        <x:v>Phase 3</x:v>
      </x:c>
      <x:c r="D921" s="2" t="str">
        <x:f>'Research &amp; Analysis'!D193</x:f>
        <x:v>Auto</x:v>
      </x:c>
      <x:c r="E921" s="2" t="str">
        <x:v>Research &amp; Analysis</x:v>
      </x:c>
      <x:c r="F921" s="56" t="str">
        <x:f>'Research &amp; Analysis'!E193</x:f>
        <x:v>RA.AU.3.4</x:v>
      </x:c>
      <x:c r="G921" s="14" t="str">
        <x:f>'Research &amp; Analysis'!F193</x:f>
        <x:v>Attend Forum meeting with D&amp;I to assist with answering stakeholder questions (as needed)</x:v>
      </x:c>
      <x:c r="H921" s="2" t="str">
        <x:f>IF('Research &amp; Analysis'!G193="","",'Research &amp; Analysis'!G193)</x:f>
      </x:c>
      <x:c r="I921" s="12" t="str">
        <x:f>IF('Research &amp; Analysis'!H193="","",'Research &amp; Analysis'!H193)</x:f>
      </x:c>
      <x:c r="J921" s="12" t="str">
        <x:f>IF('Research &amp; Analysis'!I193="","",'Research &amp; Analysis'!I193)</x:f>
      </x:c>
      <x:c r="K921" s="12" t="str">
        <x:f>IF('Research &amp; Analysis'!J193="","",'Research &amp; Analysis'!J193)</x:f>
      </x:c>
      <x:c r="L921" s="2" t="str">
        <x:f>IF('Research &amp; Analysis'!K193="","",'Research &amp; Analysis'!K193)</x:f>
      </x:c>
      <x:c r="M921" s="2" t="n">
        <x:f>'Research &amp; Analysis'!Q193</x:f>
        <x:v>1</x:v>
      </x:c>
      <x:c r="N921" s="2" t="str">
        <x:f>'Research &amp; Analysis'!L193</x:f>
        <x:v>Not started</x:v>
      </x:c>
      <x:c r="O921" s="2" t="str">
        <x:f>'Research &amp; Analysis'!N193</x:f>
        <x:v>RA.AU.3.4.2026.CY2</x:v>
      </x:c>
      <x:c r="P921" s="2" t="n">
        <x:f>'Research &amp; Analysis'!O193</x:f>
        <x:v>0</x:v>
      </x:c>
      <x:c r="Q921" s="2" t="n">
        <x:f>SUBTOTAL(103,O921)</x:f>
        <x:v>1</x:v>
      </x:c>
      <x:c r="R921" s="2" t="n">
        <x:f>IF(AND(M921=1,OR(Dashboard!$B$7="All",Dashboard!$B$7='Cycles &amp; Guide'!$C$5),OR(Dashboard!$D$7="All",Dashboard!$D$7=B921),OR(Dashboard!$F$7="All",Dashboard!$F$7=C921),OR(Dashboard!$H$7="All",Dashboard!$H$7=D921),OR(Dashboard!$K$7="All",Dashboard!$K$7=E921)),1,0)</x:f>
        <x:v>1</x:v>
      </x:c>
      <x:c r="S921" s="2" t="n">
        <x:f>IF(R921=1,SUM($R$10:R921),0)</x:f>
        <x:v>548</x:v>
      </x:c>
      <x:c r="T921" s="2" t="str">
        <x:v>Research &amp; Analysis</x:v>
      </x:c>
      <x:c r="U921" s="2" t="n">
        <x:v>193</x:v>
      </x:c>
      <x:c r="V921" s="2" t="n">
        <x:f>IF(AND(M921=1,P921=0,ISNUMBER(J921),J921&lt;TODAY()),1,0)</x:f>
        <x:v>0</x:v>
      </x:c>
      <x:c r="W921" s="2" t="str">
        <x:f>'Research &amp; Analysis'!M193</x:f>
        <x:v>Task</x:v>
      </x:c>
    </x:row>
    <x:row r="922" ht="40" customHeight="1">
      <x:c r="A922" s="3" t="str">
        <x:f>HYPERLINK("#'Research &amp; Analysis'!A194","Open")</x:f>
        <x:v>Open</x:v>
      </x:c>
      <x:c r="B922" s="2" t="str">
        <x:f>'Research &amp; Analysis'!B194</x:f>
        <x:v>Cycle 2</x:v>
      </x:c>
      <x:c r="C922" s="2" t="str">
        <x:f>'Research &amp; Analysis'!C194</x:f>
        <x:v>Phase 1</x:v>
      </x:c>
      <x:c r="D922" s="2" t="str">
        <x:f>'Research &amp; Analysis'!D194</x:f>
        <x:v>Cards</x:v>
      </x:c>
      <x:c r="E922" s="2" t="str">
        <x:v>Research &amp; Analysis</x:v>
      </x:c>
      <x:c r="F922" s="56" t="str">
        <x:f>'Research &amp; Analysis'!E194</x:f>
        <x:v>RA.CA.1.1</x:v>
      </x:c>
      <x:c r="G922" s="14" t="str">
        <x:f>'Research &amp; Analysis'!F194</x:f>
        <x:v>Begin Research process 2 weeks prior to Cycle start</x:v>
      </x:c>
      <x:c r="H922" s="2" t="str">
        <x:f>IF('Research &amp; Analysis'!G194="","",'Research &amp; Analysis'!G194)</x:f>
      </x:c>
      <x:c r="I922" s="12" t="str">
        <x:f>IF('Research &amp; Analysis'!H194="","",'Research &amp; Analysis'!H194)</x:f>
      </x:c>
      <x:c r="J922" s="12" t="n">
        <x:f>IF('Research &amp; Analysis'!I194="","",'Research &amp; Analysis'!I194)</x:f>
        <x:v>46099</x:v>
      </x:c>
      <x:c r="K922" s="12" t="str">
        <x:f>IF('Research &amp; Analysis'!J194="","",'Research &amp; Analysis'!J194)</x:f>
      </x:c>
      <x:c r="L922" s="2" t="str">
        <x:f>IF('Research &amp; Analysis'!K194="","",'Research &amp; Analysis'!K194)</x:f>
      </x:c>
      <x:c r="M922" s="2" t="n">
        <x:f>'Research &amp; Analysis'!Q194</x:f>
        <x:v>1</x:v>
      </x:c>
      <x:c r="N922" s="2" t="str">
        <x:f>'Research &amp; Analysis'!L194</x:f>
        <x:v>Not started</x:v>
      </x:c>
      <x:c r="O922" s="2" t="str">
        <x:f>'Research &amp; Analysis'!N194</x:f>
        <x:v>RA.CA.1.1.2026.CY2</x:v>
      </x:c>
      <x:c r="P922" s="2" t="n">
        <x:f>'Research &amp; Analysis'!O194</x:f>
        <x:v>0</x:v>
      </x:c>
      <x:c r="Q922" s="2" t="n">
        <x:f>SUBTOTAL(103,O922)</x:f>
        <x:v>1</x:v>
      </x:c>
      <x:c r="R922" s="2" t="n">
        <x:f>IF(AND(M922=1,OR(Dashboard!$B$7="All",Dashboard!$B$7='Cycles &amp; Guide'!$C$5),OR(Dashboard!$D$7="All",Dashboard!$D$7=B922),OR(Dashboard!$F$7="All",Dashboard!$F$7=C922),OR(Dashboard!$H$7="All",Dashboard!$H$7=D922),OR(Dashboard!$K$7="All",Dashboard!$K$7=E922)),1,0)</x:f>
        <x:v>1</x:v>
      </x:c>
      <x:c r="S922" s="2" t="n">
        <x:f>IF(R922=1,SUM($R$10:R922),0)</x:f>
        <x:v>549</x:v>
      </x:c>
      <x:c r="T922" s="2" t="str">
        <x:v>Research &amp; Analysis</x:v>
      </x:c>
      <x:c r="U922" s="2" t="n">
        <x:v>194</x:v>
      </x:c>
      <x:c r="V922" s="2" t="n">
        <x:f>IF(AND(M922=1,P922=0,ISNUMBER(J922),J922&lt;TODAY()),1,0)</x:f>
        <x:v>1</x:v>
      </x:c>
      <x:c r="W922" s="2" t="str">
        <x:f>'Research &amp; Analysis'!M194</x:f>
        <x:v>Task</x:v>
      </x:c>
    </x:row>
    <x:row r="923" ht="40" customHeight="1">
      <x:c r="A923" s="3" t="str">
        <x:f>HYPERLINK("#'Research &amp; Analysis'!A195","Open")</x:f>
        <x:v>Open</x:v>
      </x:c>
      <x:c r="B923" s="2" t="str">
        <x:f>'Research &amp; Analysis'!B195</x:f>
        <x:v>Cycle 2</x:v>
      </x:c>
      <x:c r="C923" s="2" t="str">
        <x:f>'Research &amp; Analysis'!C195</x:f>
        <x:v>Phase 1</x:v>
      </x:c>
      <x:c r="D923" s="2" t="str">
        <x:f>'Research &amp; Analysis'!D195</x:f>
        <x:v>Cards</x:v>
      </x:c>
      <x:c r="E923" s="2" t="str">
        <x:v>Research &amp; Analysis</x:v>
      </x:c>
      <x:c r="F923" s="56" t="str">
        <x:f>'Research &amp; Analysis'!E195</x:f>
        <x:v>RA.CA.1.2</x:v>
      </x:c>
      <x:c r="G923" s="14" t="str">
        <x:f>'Research &amp; Analysis'!F195</x:f>
        <x:v>Conduct initial assessment of each topic recommendation from SharePoint list</x:v>
      </x:c>
      <x:c r="H923" s="2" t="str">
        <x:f>IF('Research &amp; Analysis'!G195="","",'Research &amp; Analysis'!G195)</x:f>
      </x:c>
      <x:c r="I923" s="12" t="str">
        <x:f>IF('Research &amp; Analysis'!H195="","",'Research &amp; Analysis'!H195)</x:f>
      </x:c>
      <x:c r="J923" s="12" t="n">
        <x:f>IF('Research &amp; Analysis'!I195="","",'Research &amp; Analysis'!I195)</x:f>
        <x:v>46203</x:v>
      </x:c>
      <x:c r="K923" s="12" t="str">
        <x:f>IF('Research &amp; Analysis'!J195="","",'Research &amp; Analysis'!J195)</x:f>
      </x:c>
      <x:c r="L923" s="2" t="str">
        <x:f>IF('Research &amp; Analysis'!K195="","",'Research &amp; Analysis'!K195)</x:f>
      </x:c>
      <x:c r="M923" s="2" t="n">
        <x:f>'Research &amp; Analysis'!Q195</x:f>
        <x:v>1</x:v>
      </x:c>
      <x:c r="N923" s="2" t="str">
        <x:f>'Research &amp; Analysis'!L195</x:f>
        <x:v>Not started</x:v>
      </x:c>
      <x:c r="O923" s="2" t="str">
        <x:f>'Research &amp; Analysis'!N195</x:f>
        <x:v>RA.CA.1.2.2026.CY2</x:v>
      </x:c>
      <x:c r="P923" s="2" t="n">
        <x:f>'Research &amp; Analysis'!O195</x:f>
        <x:v>0</x:v>
      </x:c>
      <x:c r="Q923" s="2" t="n">
        <x:f>SUBTOTAL(103,O923)</x:f>
        <x:v>1</x:v>
      </x:c>
      <x:c r="R923" s="2" t="n">
        <x:f>IF(AND(M923=1,OR(Dashboard!$B$7="All",Dashboard!$B$7='Cycles &amp; Guide'!$C$5),OR(Dashboard!$D$7="All",Dashboard!$D$7=B923),OR(Dashboard!$F$7="All",Dashboard!$F$7=C923),OR(Dashboard!$H$7="All",Dashboard!$H$7=D923),OR(Dashboard!$K$7="All",Dashboard!$K$7=E923)),1,0)</x:f>
        <x:v>1</x:v>
      </x:c>
      <x:c r="S923" s="2" t="n">
        <x:f>IF(R923=1,SUM($R$10:R923),0)</x:f>
        <x:v>550</x:v>
      </x:c>
      <x:c r="T923" s="2" t="str">
        <x:v>Research &amp; Analysis</x:v>
      </x:c>
      <x:c r="U923" s="2" t="n">
        <x:v>195</x:v>
      </x:c>
      <x:c r="V923" s="2" t="n">
        <x:f>IF(AND(M923=1,P923=0,ISNUMBER(J923),J923&lt;TODAY()),1,0)</x:f>
        <x:v>1</x:v>
      </x:c>
      <x:c r="W923" s="2" t="str">
        <x:f>'Research &amp; Analysis'!M195</x:f>
        <x:v>Task</x:v>
      </x:c>
    </x:row>
    <x:row r="924" ht="40" customHeight="1">
      <x:c r="A924" s="3" t="str">
        <x:f>HYPERLINK("#'Research &amp; Analysis'!A196","Open")</x:f>
        <x:v>Open</x:v>
      </x:c>
      <x:c r="B924" s="2" t="str">
        <x:f>'Research &amp; Analysis'!B196</x:f>
        <x:v>Cycle 2</x:v>
      </x:c>
      <x:c r="C924" s="2" t="str">
        <x:f>'Research &amp; Analysis'!C196</x:f>
        <x:v>Phase 1</x:v>
      </x:c>
      <x:c r="D924" s="2" t="str">
        <x:f>'Research &amp; Analysis'!D196</x:f>
        <x:v>Cards</x:v>
      </x:c>
      <x:c r="E924" s="2" t="str">
        <x:v>Research &amp; Analysis</x:v>
      </x:c>
      <x:c r="F924" s="56" t="str">
        <x:f>'Research &amp; Analysis'!E196</x:f>
        <x:v>RA.CA.1.3</x:v>
      </x:c>
      <x:c r="G924" s="14" t="str">
        <x:f>'Research &amp; Analysis'!F196</x:f>
        <x:v>Identify best topic for Cycle</x:v>
      </x:c>
      <x:c r="H924" s="2" t="str">
        <x:f>IF('Research &amp; Analysis'!G196="","",'Research &amp; Analysis'!G196)</x:f>
      </x:c>
      <x:c r="I924" s="12" t="str">
        <x:f>IF('Research &amp; Analysis'!H196="","",'Research &amp; Analysis'!H196)</x:f>
      </x:c>
      <x:c r="J924" s="12" t="n">
        <x:f>IF('Research &amp; Analysis'!I196="","",'Research &amp; Analysis'!I196)</x:f>
        <x:v>46203</x:v>
      </x:c>
      <x:c r="K924" s="12" t="str">
        <x:f>IF('Research &amp; Analysis'!J196="","",'Research &amp; Analysis'!J196)</x:f>
      </x:c>
      <x:c r="L924" s="2" t="str">
        <x:f>IF('Research &amp; Analysis'!K196="","",'Research &amp; Analysis'!K196)</x:f>
      </x:c>
      <x:c r="M924" s="2" t="n">
        <x:f>'Research &amp; Analysis'!Q196</x:f>
        <x:v>1</x:v>
      </x:c>
      <x:c r="N924" s="2" t="str">
        <x:f>'Research &amp; Analysis'!L196</x:f>
        <x:v>Not started</x:v>
      </x:c>
      <x:c r="O924" s="2" t="str">
        <x:f>'Research &amp; Analysis'!N196</x:f>
        <x:v>RA.CA.1.3.2026.CY2</x:v>
      </x:c>
      <x:c r="P924" s="2" t="n">
        <x:f>'Research &amp; Analysis'!O196</x:f>
        <x:v>0</x:v>
      </x:c>
      <x:c r="Q924" s="2" t="n">
        <x:f>SUBTOTAL(103,O924)</x:f>
        <x:v>1</x:v>
      </x:c>
      <x:c r="R924" s="2" t="n">
        <x:f>IF(AND(M924=1,OR(Dashboard!$B$7="All",Dashboard!$B$7='Cycles &amp; Guide'!$C$5),OR(Dashboard!$D$7="All",Dashboard!$D$7=B924),OR(Dashboard!$F$7="All",Dashboard!$F$7=C924),OR(Dashboard!$H$7="All",Dashboard!$H$7=D924),OR(Dashboard!$K$7="All",Dashboard!$K$7=E924)),1,0)</x:f>
        <x:v>1</x:v>
      </x:c>
      <x:c r="S924" s="2" t="n">
        <x:f>IF(R924=1,SUM($R$10:R924),0)</x:f>
        <x:v>551</x:v>
      </x:c>
      <x:c r="T924" s="2" t="str">
        <x:v>Research &amp; Analysis</x:v>
      </x:c>
      <x:c r="U924" s="2" t="n">
        <x:v>196</x:v>
      </x:c>
      <x:c r="V924" s="2" t="n">
        <x:f>IF(AND(M924=1,P924=0,ISNUMBER(J924),J924&lt;TODAY()),1,0)</x:f>
        <x:v>1</x:v>
      </x:c>
      <x:c r="W924" s="2" t="str">
        <x:f>'Research &amp; Analysis'!M196</x:f>
        <x:v>Task</x:v>
      </x:c>
    </x:row>
    <x:row r="925" ht="40" customHeight="1">
      <x:c r="A925" s="3" t="str">
        <x:f>HYPERLINK("#'Research &amp; Analysis'!A197","Open")</x:f>
        <x:v>Open</x:v>
      </x:c>
      <x:c r="B925" s="2" t="str">
        <x:f>'Research &amp; Analysis'!B197</x:f>
        <x:v>Cycle 2</x:v>
      </x:c>
      <x:c r="C925" s="2" t="str">
        <x:f>'Research &amp; Analysis'!C197</x:f>
        <x:v>Phase 1</x:v>
      </x:c>
      <x:c r="D925" s="2" t="str">
        <x:f>'Research &amp; Analysis'!D197</x:f>
        <x:v>Cards</x:v>
      </x:c>
      <x:c r="E925" s="2" t="str">
        <x:v>Research &amp; Analysis</x:v>
      </x:c>
      <x:c r="F925" s="56" t="str">
        <x:f>'Research &amp; Analysis'!E197</x:f>
        <x:v>RA.CA.1.4</x:v>
      </x:c>
      <x:c r="G925" s="14" t="str">
        <x:f>'Research &amp; Analysis'!F197</x:f>
        <x:v>Identify backup topic for Cycle</x:v>
      </x:c>
      <x:c r="H925" s="2" t="str">
        <x:f>IF('Research &amp; Analysis'!G197="","",'Research &amp; Analysis'!G197)</x:f>
      </x:c>
      <x:c r="I925" s="12" t="str">
        <x:f>IF('Research &amp; Analysis'!H197="","",'Research &amp; Analysis'!H197)</x:f>
      </x:c>
      <x:c r="J925" s="12" t="n">
        <x:f>IF('Research &amp; Analysis'!I197="","",'Research &amp; Analysis'!I197)</x:f>
        <x:v>46203</x:v>
      </x:c>
      <x:c r="K925" s="12" t="str">
        <x:f>IF('Research &amp; Analysis'!J197="","",'Research &amp; Analysis'!J197)</x:f>
      </x:c>
      <x:c r="L925" s="2" t="str">
        <x:f>IF('Research &amp; Analysis'!K197="","",'Research &amp; Analysis'!K197)</x:f>
      </x:c>
      <x:c r="M925" s="2" t="n">
        <x:f>'Research &amp; Analysis'!Q197</x:f>
        <x:v>1</x:v>
      </x:c>
      <x:c r="N925" s="2" t="str">
        <x:f>'Research &amp; Analysis'!L197</x:f>
        <x:v>Not started</x:v>
      </x:c>
      <x:c r="O925" s="2" t="str">
        <x:f>'Research &amp; Analysis'!N197</x:f>
        <x:v>RA.CA.1.4.2026.CY2</x:v>
      </x:c>
      <x:c r="P925" s="2" t="n">
        <x:f>'Research &amp; Analysis'!O197</x:f>
        <x:v>0</x:v>
      </x:c>
      <x:c r="Q925" s="2" t="n">
        <x:f>SUBTOTAL(103,O925)</x:f>
        <x:v>1</x:v>
      </x:c>
      <x:c r="R925" s="2" t="n">
        <x:f>IF(AND(M925=1,OR(Dashboard!$B$7="All",Dashboard!$B$7='Cycles &amp; Guide'!$C$5),OR(Dashboard!$D$7="All",Dashboard!$D$7=B925),OR(Dashboard!$F$7="All",Dashboard!$F$7=C925),OR(Dashboard!$H$7="All",Dashboard!$H$7=D925),OR(Dashboard!$K$7="All",Dashboard!$K$7=E925)),1,0)</x:f>
        <x:v>1</x:v>
      </x:c>
      <x:c r="S925" s="2" t="n">
        <x:f>IF(R925=1,SUM($R$10:R925),0)</x:f>
        <x:v>552</x:v>
      </x:c>
      <x:c r="T925" s="2" t="str">
        <x:v>Research &amp; Analysis</x:v>
      </x:c>
      <x:c r="U925" s="2" t="n">
        <x:v>197</x:v>
      </x:c>
      <x:c r="V925" s="2" t="n">
        <x:f>IF(AND(M925=1,P925=0,ISNUMBER(J925),J925&lt;TODAY()),1,0)</x:f>
        <x:v>1</x:v>
      </x:c>
      <x:c r="W925" s="2" t="str">
        <x:f>'Research &amp; Analysis'!M197</x:f>
        <x:v>Task</x:v>
      </x:c>
    </x:row>
    <x:row r="926" ht="40" customHeight="1">
      <x:c r="A926" s="3" t="str">
        <x:f>HYPERLINK("#'Research &amp; Analysis'!A198","Open")</x:f>
        <x:v>Open</x:v>
      </x:c>
      <x:c r="B926" s="2" t="str">
        <x:f>'Research &amp; Analysis'!B198</x:f>
        <x:v>Cycle 2</x:v>
      </x:c>
      <x:c r="C926" s="2" t="str">
        <x:f>'Research &amp; Analysis'!C198</x:f>
        <x:v>Phase 1</x:v>
      </x:c>
      <x:c r="D926" s="2" t="str">
        <x:f>'Research &amp; Analysis'!D198</x:f>
        <x:v>Cards</x:v>
      </x:c>
      <x:c r="E926" s="2" t="str">
        <x:v>Research &amp; Analysis</x:v>
      </x:c>
      <x:c r="F926" s="56" t="str">
        <x:f>'Research &amp; Analysis'!E198</x:f>
        <x:v>RA.CA.1.5</x:v>
      </x:c>
      <x:c r="G926" s="14" t="str">
        <x:f>'Research &amp; Analysis'!F198</x:f>
        <x:v>Schedule topic approval meeting with D&amp;I and management</x:v>
      </x:c>
      <x:c r="H926" s="2" t="str">
        <x:f>IF('Research &amp; Analysis'!G198="","",'Research &amp; Analysis'!G198)</x:f>
      </x:c>
      <x:c r="I926" s="12" t="str">
        <x:f>IF('Research &amp; Analysis'!H198="","",'Research &amp; Analysis'!H198)</x:f>
      </x:c>
      <x:c r="J926" s="12" t="n">
        <x:f>IF('Research &amp; Analysis'!I198="","",'Research &amp; Analysis'!I198)</x:f>
        <x:v>46203</x:v>
      </x:c>
      <x:c r="K926" s="12" t="str">
        <x:f>IF('Research &amp; Analysis'!J198="","",'Research &amp; Analysis'!J198)</x:f>
      </x:c>
      <x:c r="L926" s="2" t="str">
        <x:f>IF('Research &amp; Analysis'!K198="","",'Research &amp; Analysis'!K198)</x:f>
      </x:c>
      <x:c r="M926" s="2" t="n">
        <x:f>'Research &amp; Analysis'!Q198</x:f>
        <x:v>1</x:v>
      </x:c>
      <x:c r="N926" s="2" t="str">
        <x:f>'Research &amp; Analysis'!L198</x:f>
        <x:v>Not started</x:v>
      </x:c>
      <x:c r="O926" s="2" t="str">
        <x:f>'Research &amp; Analysis'!N198</x:f>
        <x:v>RA.CA.1.5.2026.CY2</x:v>
      </x:c>
      <x:c r="P926" s="2" t="n">
        <x:f>'Research &amp; Analysis'!O198</x:f>
        <x:v>0</x:v>
      </x:c>
      <x:c r="Q926" s="2" t="n">
        <x:f>SUBTOTAL(103,O926)</x:f>
        <x:v>1</x:v>
      </x:c>
      <x:c r="R926" s="2" t="n">
        <x:f>IF(AND(M926=1,OR(Dashboard!$B$7="All",Dashboard!$B$7='Cycles &amp; Guide'!$C$5),OR(Dashboard!$D$7="All",Dashboard!$D$7=B926),OR(Dashboard!$F$7="All",Dashboard!$F$7=C926),OR(Dashboard!$H$7="All",Dashboard!$H$7=D926),OR(Dashboard!$K$7="All",Dashboard!$K$7=E926)),1,0)</x:f>
        <x:v>1</x:v>
      </x:c>
      <x:c r="S926" s="2" t="n">
        <x:f>IF(R926=1,SUM($R$10:R926),0)</x:f>
        <x:v>553</x:v>
      </x:c>
      <x:c r="T926" s="2" t="str">
        <x:v>Research &amp; Analysis</x:v>
      </x:c>
      <x:c r="U926" s="2" t="n">
        <x:v>198</x:v>
      </x:c>
      <x:c r="V926" s="2" t="n">
        <x:f>IF(AND(M926=1,P926=0,ISNUMBER(J926),J926&lt;TODAY()),1,0)</x:f>
        <x:v>1</x:v>
      </x:c>
      <x:c r="W926" s="2" t="str">
        <x:f>'Research &amp; Analysis'!M198</x:f>
        <x:v>Task</x:v>
      </x:c>
    </x:row>
    <x:row r="927" ht="40" customHeight="1">
      <x:c r="A927" s="3" t="str">
        <x:f>HYPERLINK("#'Research &amp; Analysis'!A199","Open")</x:f>
        <x:v>Open</x:v>
      </x:c>
      <x:c r="B927" s="2" t="str">
        <x:f>'Research &amp; Analysis'!B199</x:f>
        <x:v>Cycle 2</x:v>
      </x:c>
      <x:c r="C927" s="2" t="str">
        <x:f>'Research &amp; Analysis'!C199</x:f>
        <x:v>Phase 1</x:v>
      </x:c>
      <x:c r="D927" s="2" t="str">
        <x:f>'Research &amp; Analysis'!D199</x:f>
        <x:v>Cards</x:v>
      </x:c>
      <x:c r="E927" s="2" t="str">
        <x:v>Research &amp; Analysis</x:v>
      </x:c>
      <x:c r="F927" s="56" t="str">
        <x:f>'Research &amp; Analysis'!E199</x:f>
        <x:v>RA.CA.1.6</x:v>
      </x:c>
      <x:c r="G927" s="14" t="str">
        <x:f>'Research &amp; Analysis'!F199</x:f>
        <x:v>Present recommended topic to D&amp;I and management for approval</x:v>
      </x:c>
      <x:c r="H927" s="2" t="str">
        <x:f>IF('Research &amp; Analysis'!G199="","",'Research &amp; Analysis'!G199)</x:f>
      </x:c>
      <x:c r="I927" s="12" t="str">
        <x:f>IF('Research &amp; Analysis'!H199="","",'Research &amp; Analysis'!H199)</x:f>
      </x:c>
      <x:c r="J927" s="12" t="n">
        <x:f>IF('Research &amp; Analysis'!I199="","",'Research &amp; Analysis'!I199)</x:f>
        <x:v>46203</x:v>
      </x:c>
      <x:c r="K927" s="12" t="str">
        <x:f>IF('Research &amp; Analysis'!J199="","",'Research &amp; Analysis'!J199)</x:f>
      </x:c>
      <x:c r="L927" s="2" t="str">
        <x:f>IF('Research &amp; Analysis'!K199="","",'Research &amp; Analysis'!K199)</x:f>
      </x:c>
      <x:c r="M927" s="2" t="n">
        <x:f>'Research &amp; Analysis'!Q199</x:f>
        <x:v>1</x:v>
      </x:c>
      <x:c r="N927" s="2" t="str">
        <x:f>'Research &amp; Analysis'!L199</x:f>
        <x:v>Not started</x:v>
      </x:c>
      <x:c r="O927" s="2" t="str">
        <x:f>'Research &amp; Analysis'!N199</x:f>
        <x:v>RA.CA.1.6.2026.CY2</x:v>
      </x:c>
      <x:c r="P927" s="2" t="n">
        <x:f>'Research &amp; Analysis'!O199</x:f>
        <x:v>0</x:v>
      </x:c>
      <x:c r="Q927" s="2" t="n">
        <x:f>SUBTOTAL(103,O927)</x:f>
        <x:v>1</x:v>
      </x:c>
      <x:c r="R927" s="2" t="n">
        <x:f>IF(AND(M927=1,OR(Dashboard!$B$7="All",Dashboard!$B$7='Cycles &amp; Guide'!$C$5),OR(Dashboard!$D$7="All",Dashboard!$D$7=B927),OR(Dashboard!$F$7="All",Dashboard!$F$7=C927),OR(Dashboard!$H$7="All",Dashboard!$H$7=D927),OR(Dashboard!$K$7="All",Dashboard!$K$7=E927)),1,0)</x:f>
        <x:v>1</x:v>
      </x:c>
      <x:c r="S927" s="2" t="n">
        <x:f>IF(R927=1,SUM($R$10:R927),0)</x:f>
        <x:v>554</x:v>
      </x:c>
      <x:c r="T927" s="2" t="str">
        <x:v>Research &amp; Analysis</x:v>
      </x:c>
      <x:c r="U927" s="2" t="n">
        <x:v>199</x:v>
      </x:c>
      <x:c r="V927" s="2" t="n">
        <x:f>IF(AND(M927=1,P927=0,ISNUMBER(J927),J927&lt;TODAY()),1,0)</x:f>
        <x:v>1</x:v>
      </x:c>
      <x:c r="W927" s="2" t="str">
        <x:f>'Research &amp; Analysis'!M199</x:f>
        <x:v>Task</x:v>
      </x:c>
    </x:row>
    <x:row r="928" ht="40" customHeight="1">
      <x:c r="A928" s="3" t="str">
        <x:f>HYPERLINK("#'Research &amp; Analysis'!A200","Open")</x:f>
        <x:v>Open</x:v>
      </x:c>
      <x:c r="B928" s="2" t="str">
        <x:f>'Research &amp; Analysis'!B200</x:f>
        <x:v>Cycle 2</x:v>
      </x:c>
      <x:c r="C928" s="2" t="str">
        <x:f>'Research &amp; Analysis'!C200</x:f>
        <x:v>Phase 1</x:v>
      </x:c>
      <x:c r="D928" s="2" t="str">
        <x:f>'Research &amp; Analysis'!D200</x:f>
        <x:v>Cards</x:v>
      </x:c>
      <x:c r="E928" s="2" t="str">
        <x:v>Research &amp; Analysis</x:v>
      </x:c>
      <x:c r="F928" s="56" t="str">
        <x:f>'Research &amp; Analysis'!E200</x:f>
        <x:v>RA.CA.1.7</x:v>
      </x:c>
      <x:c r="G928" s="14" t="str">
        <x:f>'Research &amp; Analysis'!F200</x:f>
        <x:v>Obtain formal topic selection approval from management via SharePoint</x:v>
      </x:c>
      <x:c r="H928" s="2" t="str">
        <x:f>IF('Research &amp; Analysis'!G200="","",'Research &amp; Analysis'!G200)</x:f>
      </x:c>
      <x:c r="I928" s="12" t="str">
        <x:f>IF('Research &amp; Analysis'!H200="","",'Research &amp; Analysis'!H200)</x:f>
      </x:c>
      <x:c r="J928" s="12" t="n">
        <x:f>IF('Research &amp; Analysis'!I200="","",'Research &amp; Analysis'!I200)</x:f>
        <x:v>46203</x:v>
      </x:c>
      <x:c r="K928" s="12" t="str">
        <x:f>IF('Research &amp; Analysis'!J200="","",'Research &amp; Analysis'!J200)</x:f>
      </x:c>
      <x:c r="L928" s="2" t="str">
        <x:f>IF('Research &amp; Analysis'!K200="","",'Research &amp; Analysis'!K200)</x:f>
      </x:c>
      <x:c r="M928" s="2" t="n">
        <x:f>'Research &amp; Analysis'!Q200</x:f>
        <x:v>1</x:v>
      </x:c>
      <x:c r="N928" s="2" t="str">
        <x:f>'Research &amp; Analysis'!L200</x:f>
        <x:v>Not started</x:v>
      </x:c>
      <x:c r="O928" s="2" t="str">
        <x:f>'Research &amp; Analysis'!N200</x:f>
        <x:v>RA.CA.1.7.2026.CY2</x:v>
      </x:c>
      <x:c r="P928" s="2" t="n">
        <x:f>'Research &amp; Analysis'!O200</x:f>
        <x:v>0</x:v>
      </x:c>
      <x:c r="Q928" s="2" t="n">
        <x:f>SUBTOTAL(103,O928)</x:f>
        <x:v>1</x:v>
      </x:c>
      <x:c r="R928" s="2" t="n">
        <x:f>IF(AND(M928=1,OR(Dashboard!$B$7="All",Dashboard!$B$7='Cycles &amp; Guide'!$C$5),OR(Dashboard!$D$7="All",Dashboard!$D$7=B928),OR(Dashboard!$F$7="All",Dashboard!$F$7=C928),OR(Dashboard!$H$7="All",Dashboard!$H$7=D928),OR(Dashboard!$K$7="All",Dashboard!$K$7=E928)),1,0)</x:f>
        <x:v>1</x:v>
      </x:c>
      <x:c r="S928" s="2" t="n">
        <x:f>IF(R928=1,SUM($R$10:R928),0)</x:f>
        <x:v>555</x:v>
      </x:c>
      <x:c r="T928" s="2" t="str">
        <x:v>Research &amp; Analysis</x:v>
      </x:c>
      <x:c r="U928" s="2" t="n">
        <x:v>200</x:v>
      </x:c>
      <x:c r="V928" s="2" t="n">
        <x:f>IF(AND(M928=1,P928=0,ISNUMBER(J928),J928&lt;TODAY()),1,0)</x:f>
        <x:v>1</x:v>
      </x:c>
      <x:c r="W928" s="2" t="str">
        <x:f>'Research &amp; Analysis'!M200</x:f>
        <x:v>Task</x:v>
      </x:c>
    </x:row>
    <x:row r="929" ht="40" customHeight="1">
      <x:c r="A929" s="3" t="str">
        <x:f>HYPERLINK("#'Research &amp; Analysis'!A201","Open")</x:f>
        <x:v>Open</x:v>
      </x:c>
      <x:c r="B929" s="2" t="str">
        <x:f>'Research &amp; Analysis'!B201</x:f>
        <x:v>Cycle 2</x:v>
      </x:c>
      <x:c r="C929" s="2" t="str">
        <x:f>'Research &amp; Analysis'!C201</x:f>
        <x:v>Phase 1</x:v>
      </x:c>
      <x:c r="D929" s="2" t="str">
        <x:f>'Research &amp; Analysis'!D201</x:f>
        <x:v>Cards</x:v>
      </x:c>
      <x:c r="E929" s="2" t="str">
        <x:v>Research &amp; Analysis</x:v>
      </x:c>
      <x:c r="F929" s="56" t="str">
        <x:f>'Research &amp; Analysis'!E201</x:f>
        <x:v>RA.CA.1.8</x:v>
      </x:c>
      <x:c r="G929" s="14" t="str">
        <x:f>'Research &amp; Analysis'!F201</x:f>
        <x:v>Socialize topic selection with product owners and subject matter experts (if known)</x:v>
      </x:c>
      <x:c r="H929" s="2" t="str">
        <x:f>IF('Research &amp; Analysis'!G201="","",'Research &amp; Analysis'!G201)</x:f>
      </x:c>
      <x:c r="I929" s="12" t="str">
        <x:f>IF('Research &amp; Analysis'!H201="","",'Research &amp; Analysis'!H201)</x:f>
      </x:c>
      <x:c r="J929" s="12" t="n">
        <x:f>IF('Research &amp; Analysis'!I201="","",'Research &amp; Analysis'!I201)</x:f>
        <x:v>46203</x:v>
      </x:c>
      <x:c r="K929" s="12" t="str">
        <x:f>IF('Research &amp; Analysis'!J201="","",'Research &amp; Analysis'!J201)</x:f>
      </x:c>
      <x:c r="L929" s="2" t="str">
        <x:f>IF('Research &amp; Analysis'!K201="","",'Research &amp; Analysis'!K201)</x:f>
      </x:c>
      <x:c r="M929" s="2" t="n">
        <x:f>'Research &amp; Analysis'!Q201</x:f>
        <x:v>1</x:v>
      </x:c>
      <x:c r="N929" s="2" t="str">
        <x:f>'Research &amp; Analysis'!L201</x:f>
        <x:v>Not started</x:v>
      </x:c>
      <x:c r="O929" s="2" t="str">
        <x:f>'Research &amp; Analysis'!N201</x:f>
        <x:v>RA.CA.1.8.2026.CY2</x:v>
      </x:c>
      <x:c r="P929" s="2" t="n">
        <x:f>'Research &amp; Analysis'!O201</x:f>
        <x:v>0</x:v>
      </x:c>
      <x:c r="Q929" s="2" t="n">
        <x:f>SUBTOTAL(103,O929)</x:f>
        <x:v>1</x:v>
      </x:c>
      <x:c r="R929" s="2" t="n">
        <x:f>IF(AND(M929=1,OR(Dashboard!$B$7="All",Dashboard!$B$7='Cycles &amp; Guide'!$C$5),OR(Dashboard!$D$7="All",Dashboard!$D$7=B929),OR(Dashboard!$F$7="All",Dashboard!$F$7=C929),OR(Dashboard!$H$7="All",Dashboard!$H$7=D929),OR(Dashboard!$K$7="All",Dashboard!$K$7=E929)),1,0)</x:f>
        <x:v>1</x:v>
      </x:c>
      <x:c r="S929" s="2" t="n">
        <x:f>IF(R929=1,SUM($R$10:R929),0)</x:f>
        <x:v>556</x:v>
      </x:c>
      <x:c r="T929" s="2" t="str">
        <x:v>Research &amp; Analysis</x:v>
      </x:c>
      <x:c r="U929" s="2" t="n">
        <x:v>201</x:v>
      </x:c>
      <x:c r="V929" s="2" t="n">
        <x:f>IF(AND(M929=1,P929=0,ISNUMBER(J929),J929&lt;TODAY()),1,0)</x:f>
        <x:v>1</x:v>
      </x:c>
      <x:c r="W929" s="2" t="str">
        <x:f>'Research &amp; Analysis'!M201</x:f>
        <x:v>Task</x:v>
      </x:c>
    </x:row>
    <x:row r="930" ht="40" customHeight="1">
      <x:c r="A930" s="3" t="str">
        <x:f>HYPERLINK("#'Research &amp; Analysis'!A202","Open")</x:f>
        <x:v>Open</x:v>
      </x:c>
      <x:c r="B930" s="2" t="str">
        <x:f>'Research &amp; Analysis'!B202</x:f>
        <x:v>Cycle 2</x:v>
      </x:c>
      <x:c r="C930" s="2" t="str">
        <x:f>'Research &amp; Analysis'!C202</x:f>
        <x:v>Phase 1</x:v>
      </x:c>
      <x:c r="D930" s="2" t="str">
        <x:f>'Research &amp; Analysis'!D202</x:f>
        <x:v>Cards</x:v>
      </x:c>
      <x:c r="E930" s="2" t="str">
        <x:v>Research &amp; Analysis</x:v>
      </x:c>
      <x:c r="F930" s="56" t="str">
        <x:f>'Research &amp; Analysis'!E202</x:f>
        <x:v>RA.CA.1.9</x:v>
      </x:c>
      <x:c r="G930" s="14" t="str">
        <x:f>'Research &amp; Analysis'!F202</x:f>
        <x:v>Assign topic researchers</x:v>
      </x:c>
      <x:c r="H930" s="2" t="str">
        <x:f>IF('Research &amp; Analysis'!G202="","",'Research &amp; Analysis'!G202)</x:f>
      </x:c>
      <x:c r="I930" s="12" t="str">
        <x:f>IF('Research &amp; Analysis'!H202="","",'Research &amp; Analysis'!H202)</x:f>
      </x:c>
      <x:c r="J930" s="12" t="n">
        <x:f>IF('Research &amp; Analysis'!I202="","",'Research &amp; Analysis'!I202)</x:f>
        <x:v>46203</x:v>
      </x:c>
      <x:c r="K930" s="12" t="str">
        <x:f>IF('Research &amp; Analysis'!J202="","",'Research &amp; Analysis'!J202)</x:f>
      </x:c>
      <x:c r="L930" s="2" t="str">
        <x:f>IF('Research &amp; Analysis'!K202="","",'Research &amp; Analysis'!K202)</x:f>
      </x:c>
      <x:c r="M930" s="2" t="n">
        <x:f>'Research &amp; Analysis'!Q202</x:f>
        <x:v>1</x:v>
      </x:c>
      <x:c r="N930" s="2" t="str">
        <x:f>'Research &amp; Analysis'!L202</x:f>
        <x:v>Not started</x:v>
      </x:c>
      <x:c r="O930" s="2" t="str">
        <x:f>'Research &amp; Analysis'!N202</x:f>
        <x:v>RA.CA.1.9.2026.CY2</x:v>
      </x:c>
      <x:c r="P930" s="2" t="n">
        <x:f>'Research &amp; Analysis'!O202</x:f>
        <x:v>0</x:v>
      </x:c>
      <x:c r="Q930" s="2" t="n">
        <x:f>SUBTOTAL(103,O930)</x:f>
        <x:v>1</x:v>
      </x:c>
      <x:c r="R930" s="2" t="n">
        <x:f>IF(AND(M930=1,OR(Dashboard!$B$7="All",Dashboard!$B$7='Cycles &amp; Guide'!$C$5),OR(Dashboard!$D$7="All",Dashboard!$D$7=B930),OR(Dashboard!$F$7="All",Dashboard!$F$7=C930),OR(Dashboard!$H$7="All",Dashboard!$H$7=D930),OR(Dashboard!$K$7="All",Dashboard!$K$7=E930)),1,0)</x:f>
        <x:v>1</x:v>
      </x:c>
      <x:c r="S930" s="2" t="n">
        <x:f>IF(R930=1,SUM($R$10:R930),0)</x:f>
        <x:v>557</x:v>
      </x:c>
      <x:c r="T930" s="2" t="str">
        <x:v>Research &amp; Analysis</x:v>
      </x:c>
      <x:c r="U930" s="2" t="n">
        <x:v>202</x:v>
      </x:c>
      <x:c r="V930" s="2" t="n">
        <x:f>IF(AND(M930=1,P930=0,ISNUMBER(J930),J930&lt;TODAY()),1,0)</x:f>
        <x:v>1</x:v>
      </x:c>
      <x:c r="W930" s="2" t="str">
        <x:f>'Research &amp; Analysis'!M202</x:f>
        <x:v>Task</x:v>
      </x:c>
    </x:row>
    <x:row r="931" ht="40" customHeight="1">
      <x:c r="A931" s="3" t="str">
        <x:f>HYPERLINK("#'Research &amp; Analysis'!A203","Open")</x:f>
        <x:v>Open</x:v>
      </x:c>
      <x:c r="B931" s="2" t="str">
        <x:f>'Research &amp; Analysis'!B203</x:f>
        <x:v>Cycle 2</x:v>
      </x:c>
      <x:c r="C931" s="2" t="str">
        <x:f>'Research &amp; Analysis'!C203</x:f>
        <x:v>Phase 2</x:v>
      </x:c>
      <x:c r="D931" s="2" t="str">
        <x:f>'Research &amp; Analysis'!D203</x:f>
        <x:v>Cards</x:v>
      </x:c>
      <x:c r="E931" s="2" t="str">
        <x:v>Research &amp; Analysis</x:v>
      </x:c>
      <x:c r="F931" s="56" t="str">
        <x:f>'Research &amp; Analysis'!E203</x:f>
        <x:v>RA.CA.2.1</x:v>
      </x:c>
      <x:c r="G931" s="14" t="str">
        <x:f>'Research &amp; Analysis'!F203</x:f>
        <x:v>Review data sources</x:v>
      </x:c>
      <x:c r="H931" s="2" t="str">
        <x:f>IF('Research &amp; Analysis'!G203="","",'Research &amp; Analysis'!G203)</x:f>
      </x:c>
      <x:c r="I931" s="12" t="str">
        <x:f>IF('Research &amp; Analysis'!H203="","",'Research &amp; Analysis'!H203)</x:f>
      </x:c>
      <x:c r="J931" s="12" t="n">
        <x:f>IF('Research &amp; Analysis'!I203="","",'Research &amp; Analysis'!I203)</x:f>
        <x:v>46203</x:v>
      </x:c>
      <x:c r="K931" s="12" t="str">
        <x:f>IF('Research &amp; Analysis'!J203="","",'Research &amp; Analysis'!J203)</x:f>
      </x:c>
      <x:c r="L931" s="2" t="str">
        <x:f>IF('Research &amp; Analysis'!K203="","",'Research &amp; Analysis'!K203)</x:f>
      </x:c>
      <x:c r="M931" s="2" t="n">
        <x:f>'Research &amp; Analysis'!Q203</x:f>
        <x:v>1</x:v>
      </x:c>
      <x:c r="N931" s="2" t="str">
        <x:f>'Research &amp; Analysis'!L203</x:f>
        <x:v>Not started</x:v>
      </x:c>
      <x:c r="O931" s="2" t="str">
        <x:f>'Research &amp; Analysis'!N203</x:f>
        <x:v>RA.CA.2.1.2026.CY2</x:v>
      </x:c>
      <x:c r="P931" s="2" t="n">
        <x:f>'Research &amp; Analysis'!O203</x:f>
        <x:v>0</x:v>
      </x:c>
      <x:c r="Q931" s="2" t="n">
        <x:f>SUBTOTAL(103,O931)</x:f>
        <x:v>1</x:v>
      </x:c>
      <x:c r="R931" s="2" t="n">
        <x:f>IF(AND(M931=1,OR(Dashboard!$B$7="All",Dashboard!$B$7='Cycles &amp; Guide'!$C$5),OR(Dashboard!$D$7="All",Dashboard!$D$7=B931),OR(Dashboard!$F$7="All",Dashboard!$F$7=C931),OR(Dashboard!$H$7="All",Dashboard!$H$7=D931),OR(Dashboard!$K$7="All",Dashboard!$K$7=E931)),1,0)</x:f>
        <x:v>1</x:v>
      </x:c>
      <x:c r="S931" s="2" t="n">
        <x:f>IF(R931=1,SUM($R$10:R931),0)</x:f>
        <x:v>558</x:v>
      </x:c>
      <x:c r="T931" s="2" t="str">
        <x:v>Research &amp; Analysis</x:v>
      </x:c>
      <x:c r="U931" s="2" t="n">
        <x:v>203</x:v>
      </x:c>
      <x:c r="V931" s="2" t="n">
        <x:f>IF(AND(M931=1,P931=0,ISNUMBER(J931),J931&lt;TODAY()),1,0)</x:f>
        <x:v>1</x:v>
      </x:c>
      <x:c r="W931" s="2" t="str">
        <x:f>'Research &amp; Analysis'!M203</x:f>
        <x:v>Task</x:v>
      </x:c>
    </x:row>
    <x:row r="932" ht="40" customHeight="1">
      <x:c r="A932" s="3" t="str">
        <x:f>HYPERLINK("#'Research &amp; Analysis'!A204","Open")</x:f>
        <x:v>Open</x:v>
      </x:c>
      <x:c r="B932" s="2" t="str">
        <x:f>'Research &amp; Analysis'!B204</x:f>
        <x:v>Cycle 2</x:v>
      </x:c>
      <x:c r="C932" s="2" t="str">
        <x:f>'Research &amp; Analysis'!C204</x:f>
        <x:v>Phase 2</x:v>
      </x:c>
      <x:c r="D932" s="2" t="str">
        <x:f>'Research &amp; Analysis'!D204</x:f>
        <x:v>Cards</x:v>
      </x:c>
      <x:c r="E932" s="2" t="str">
        <x:v>Research &amp; Analysis</x:v>
      </x:c>
      <x:c r="F932" s="56" t="str">
        <x:f>'Research &amp; Analysis'!E204</x:f>
        <x:v>RA.CA.2.2</x:v>
      </x:c>
      <x:c r="G932" s="14" t="str">
        <x:f>'Research &amp; Analysis'!F204</x:f>
        <x:v>Review relevant policies and procedures</x:v>
      </x:c>
      <x:c r="H932" s="2" t="str">
        <x:f>IF('Research &amp; Analysis'!G204="","",'Research &amp; Analysis'!G204)</x:f>
      </x:c>
      <x:c r="I932" s="12" t="str">
        <x:f>IF('Research &amp; Analysis'!H204="","",'Research &amp; Analysis'!H204)</x:f>
      </x:c>
      <x:c r="J932" s="12" t="n">
        <x:f>IF('Research &amp; Analysis'!I204="","",'Research &amp; Analysis'!I204)</x:f>
        <x:v>46203</x:v>
      </x:c>
      <x:c r="K932" s="12" t="str">
        <x:f>IF('Research &amp; Analysis'!J204="","",'Research &amp; Analysis'!J204)</x:f>
      </x:c>
      <x:c r="L932" s="2" t="str">
        <x:f>IF('Research &amp; Analysis'!K204="","",'Research &amp; Analysis'!K204)</x:f>
      </x:c>
      <x:c r="M932" s="2" t="n">
        <x:f>'Research &amp; Analysis'!Q204</x:f>
        <x:v>1</x:v>
      </x:c>
      <x:c r="N932" s="2" t="str">
        <x:f>'Research &amp; Analysis'!L204</x:f>
        <x:v>Not started</x:v>
      </x:c>
      <x:c r="O932" s="2" t="str">
        <x:f>'Research &amp; Analysis'!N204</x:f>
        <x:v>RA.CA.2.2.2026.CY2</x:v>
      </x:c>
      <x:c r="P932" s="2" t="n">
        <x:f>'Research &amp; Analysis'!O204</x:f>
        <x:v>0</x:v>
      </x:c>
      <x:c r="Q932" s="2" t="n">
        <x:f>SUBTOTAL(103,O932)</x:f>
        <x:v>1</x:v>
      </x:c>
      <x:c r="R932" s="2" t="n">
        <x:f>IF(AND(M932=1,OR(Dashboard!$B$7="All",Dashboard!$B$7='Cycles &amp; Guide'!$C$5),OR(Dashboard!$D$7="All",Dashboard!$D$7=B932),OR(Dashboard!$F$7="All",Dashboard!$F$7=C932),OR(Dashboard!$H$7="All",Dashboard!$H$7=D932),OR(Dashboard!$K$7="All",Dashboard!$K$7=E932)),1,0)</x:f>
        <x:v>1</x:v>
      </x:c>
      <x:c r="S932" s="2" t="n">
        <x:f>IF(R932=1,SUM($R$10:R932),0)</x:f>
        <x:v>559</x:v>
      </x:c>
      <x:c r="T932" s="2" t="str">
        <x:v>Research &amp; Analysis</x:v>
      </x:c>
      <x:c r="U932" s="2" t="n">
        <x:v>204</x:v>
      </x:c>
      <x:c r="V932" s="2" t="n">
        <x:f>IF(AND(M932=1,P932=0,ISNUMBER(J932),J932&lt;TODAY()),1,0)</x:f>
        <x:v>1</x:v>
      </x:c>
      <x:c r="W932" s="2" t="str">
        <x:f>'Research &amp; Analysis'!M204</x:f>
        <x:v>Task</x:v>
      </x:c>
    </x:row>
    <x:row r="933" ht="40" customHeight="1">
      <x:c r="A933" s="3" t="str">
        <x:f>HYPERLINK("#'Research &amp; Analysis'!A205","Open")</x:f>
        <x:v>Open</x:v>
      </x:c>
      <x:c r="B933" s="2" t="str">
        <x:f>'Research &amp; Analysis'!B205</x:f>
        <x:v>Cycle 2</x:v>
      </x:c>
      <x:c r="C933" s="2" t="str">
        <x:f>'Research &amp; Analysis'!C205</x:f>
        <x:v>Phase 2</x:v>
      </x:c>
      <x:c r="D933" s="2" t="str">
        <x:f>'Research &amp; Analysis'!D205</x:f>
        <x:v>Cards</x:v>
      </x:c>
      <x:c r="E933" s="2" t="str">
        <x:v>Research &amp; Analysis</x:v>
      </x:c>
      <x:c r="F933" s="56" t="str">
        <x:f>'Research &amp; Analysis'!E205</x:f>
        <x:v>RA.CA.2.3</x:v>
      </x:c>
      <x:c r="G933" s="14" t="str">
        <x:f>'Research &amp; Analysis'!F205</x:f>
        <x:v>Meet with SMEs to gain business insight and clarify questions</x:v>
      </x:c>
      <x:c r="H933" s="2" t="str">
        <x:f>IF('Research &amp; Analysis'!G205="","",'Research &amp; Analysis'!G205)</x:f>
      </x:c>
      <x:c r="I933" s="12" t="str">
        <x:f>IF('Research &amp; Analysis'!H205="","",'Research &amp; Analysis'!H205)</x:f>
      </x:c>
      <x:c r="J933" s="12" t="n">
        <x:f>IF('Research &amp; Analysis'!I205="","",'Research &amp; Analysis'!I205)</x:f>
        <x:v>46203</x:v>
      </x:c>
      <x:c r="K933" s="12" t="str">
        <x:f>IF('Research &amp; Analysis'!J205="","",'Research &amp; Analysis'!J205)</x:f>
      </x:c>
      <x:c r="L933" s="2" t="str">
        <x:f>IF('Research &amp; Analysis'!K205="","",'Research &amp; Analysis'!K205)</x:f>
      </x:c>
      <x:c r="M933" s="2" t="n">
        <x:f>'Research &amp; Analysis'!Q205</x:f>
        <x:v>1</x:v>
      </x:c>
      <x:c r="N933" s="2" t="str">
        <x:f>'Research &amp; Analysis'!L205</x:f>
        <x:v>Not started</x:v>
      </x:c>
      <x:c r="O933" s="2" t="str">
        <x:f>'Research &amp; Analysis'!N205</x:f>
        <x:v>RA.CA.2.3.2026.CY2</x:v>
      </x:c>
      <x:c r="P933" s="2" t="n">
        <x:f>'Research &amp; Analysis'!O205</x:f>
        <x:v>0</x:v>
      </x:c>
      <x:c r="Q933" s="2" t="n">
        <x:f>SUBTOTAL(103,O933)</x:f>
        <x:v>1</x:v>
      </x:c>
      <x:c r="R933" s="2" t="n">
        <x:f>IF(AND(M933=1,OR(Dashboard!$B$7="All",Dashboard!$B$7='Cycles &amp; Guide'!$C$5),OR(Dashboard!$D$7="All",Dashboard!$D$7=B933),OR(Dashboard!$F$7="All",Dashboard!$F$7=C933),OR(Dashboard!$H$7="All",Dashboard!$H$7=D933),OR(Dashboard!$K$7="All",Dashboard!$K$7=E933)),1,0)</x:f>
        <x:v>1</x:v>
      </x:c>
      <x:c r="S933" s="2" t="n">
        <x:f>IF(R933=1,SUM($R$10:R933),0)</x:f>
        <x:v>560</x:v>
      </x:c>
      <x:c r="T933" s="2" t="str">
        <x:v>Research &amp; Analysis</x:v>
      </x:c>
      <x:c r="U933" s="2" t="n">
        <x:v>205</x:v>
      </x:c>
      <x:c r="V933" s="2" t="n">
        <x:f>IF(AND(M933=1,P933=0,ISNUMBER(J933),J933&lt;TODAY()),1,0)</x:f>
        <x:v>1</x:v>
      </x:c>
      <x:c r="W933" s="2" t="str">
        <x:f>'Research &amp; Analysis'!M205</x:f>
        <x:v>Task</x:v>
      </x:c>
    </x:row>
    <x:row r="934" ht="40" customHeight="1">
      <x:c r="A934" s="3" t="str">
        <x:f>HYPERLINK("#'Research &amp; Analysis'!A206","Open")</x:f>
        <x:v>Open</x:v>
      </x:c>
      <x:c r="B934" s="2" t="str">
        <x:f>'Research &amp; Analysis'!B206</x:f>
        <x:v>Cycle 2</x:v>
      </x:c>
      <x:c r="C934" s="2" t="str">
        <x:f>'Research &amp; Analysis'!C206</x:f>
        <x:v>Phase 2</x:v>
      </x:c>
      <x:c r="D934" s="2" t="str">
        <x:f>'Research &amp; Analysis'!D206</x:f>
        <x:v>Cards</x:v>
      </x:c>
      <x:c r="E934" s="2" t="str">
        <x:v>Research &amp; Analysis</x:v>
      </x:c>
      <x:c r="F934" s="56" t="str">
        <x:f>'Research &amp; Analysis'!E206</x:f>
        <x:v>RA.CA.2.4</x:v>
      </x:c>
      <x:c r="G934" s="14" t="str">
        <x:f>'Research &amp; Analysis'!F206</x:f>
        <x:v>Establish and maintain a recurring meeting with D&amp;I to discuss Cycle progress</x:v>
      </x:c>
      <x:c r="H934" s="2" t="str">
        <x:f>IF('Research &amp; Analysis'!G206="","",'Research &amp; Analysis'!G206)</x:f>
      </x:c>
      <x:c r="I934" s="12" t="str">
        <x:f>IF('Research &amp; Analysis'!H206="","",'Research &amp; Analysis'!H206)</x:f>
      </x:c>
      <x:c r="J934" s="12" t="n">
        <x:f>IF('Research &amp; Analysis'!I206="","",'Research &amp; Analysis'!I206)</x:f>
        <x:v>46203</x:v>
      </x:c>
      <x:c r="K934" s="12" t="str">
        <x:f>IF('Research &amp; Analysis'!J206="","",'Research &amp; Analysis'!J206)</x:f>
      </x:c>
      <x:c r="L934" s="2" t="str">
        <x:f>IF('Research &amp; Analysis'!K206="","",'Research &amp; Analysis'!K206)</x:f>
      </x:c>
      <x:c r="M934" s="2" t="n">
        <x:f>'Research &amp; Analysis'!Q206</x:f>
        <x:v>1</x:v>
      </x:c>
      <x:c r="N934" s="2" t="str">
        <x:f>'Research &amp; Analysis'!L206</x:f>
        <x:v>Not started</x:v>
      </x:c>
      <x:c r="O934" s="2" t="str">
        <x:f>'Research &amp; Analysis'!N206</x:f>
        <x:v>RA.CA.2.4.2026.CY2</x:v>
      </x:c>
      <x:c r="P934" s="2" t="n">
        <x:f>'Research &amp; Analysis'!O206</x:f>
        <x:v>0</x:v>
      </x:c>
      <x:c r="Q934" s="2" t="n">
        <x:f>SUBTOTAL(103,O934)</x:f>
        <x:v>1</x:v>
      </x:c>
      <x:c r="R934" s="2" t="n">
        <x:f>IF(AND(M934=1,OR(Dashboard!$B$7="All",Dashboard!$B$7='Cycles &amp; Guide'!$C$5),OR(Dashboard!$D$7="All",Dashboard!$D$7=B934),OR(Dashboard!$F$7="All",Dashboard!$F$7=C934),OR(Dashboard!$H$7="All",Dashboard!$H$7=D934),OR(Dashboard!$K$7="All",Dashboard!$K$7=E934)),1,0)</x:f>
        <x:v>1</x:v>
      </x:c>
      <x:c r="S934" s="2" t="n">
        <x:f>IF(R934=1,SUM($R$10:R934),0)</x:f>
        <x:v>561</x:v>
      </x:c>
      <x:c r="T934" s="2" t="str">
        <x:v>Research &amp; Analysis</x:v>
      </x:c>
      <x:c r="U934" s="2" t="n">
        <x:v>206</x:v>
      </x:c>
      <x:c r="V934" s="2" t="n">
        <x:f>IF(AND(M934=1,P934=0,ISNUMBER(J934),J934&lt;TODAY()),1,0)</x:f>
        <x:v>1</x:v>
      </x:c>
      <x:c r="W934" s="2" t="str">
        <x:f>'Research &amp; Analysis'!M206</x:f>
        <x:v>Task</x:v>
      </x:c>
    </x:row>
    <x:row r="935" ht="40" customHeight="1">
      <x:c r="A935" s="3" t="str">
        <x:f>HYPERLINK("#'Research &amp; Analysis'!A207","Open")</x:f>
        <x:v>Open</x:v>
      </x:c>
      <x:c r="B935" s="2" t="str">
        <x:f>'Research &amp; Analysis'!B207</x:f>
        <x:v>Cycle 2</x:v>
      </x:c>
      <x:c r="C935" s="2" t="str">
        <x:f>'Research &amp; Analysis'!C207</x:f>
        <x:v>Phase 2</x:v>
      </x:c>
      <x:c r="D935" s="2" t="str">
        <x:f>'Research &amp; Analysis'!D207</x:f>
        <x:v>Cards</x:v>
      </x:c>
      <x:c r="E935" s="2" t="str">
        <x:v>Research &amp; Analysis</x:v>
      </x:c>
      <x:c r="F935" s="56" t="str">
        <x:f>'Research &amp; Analysis'!E207</x:f>
        <x:v>RA.CA.2.5</x:v>
      </x:c>
      <x:c r="G935" s="14" t="str">
        <x:f>'Research &amp; Analysis'!F207</x:f>
        <x:v>Perform data testing and sampling</x:v>
      </x:c>
      <x:c r="H935" s="2" t="str">
        <x:f>IF('Research &amp; Analysis'!G207="","",'Research &amp; Analysis'!G207)</x:f>
      </x:c>
      <x:c r="I935" s="12" t="str">
        <x:f>IF('Research &amp; Analysis'!H207="","",'Research &amp; Analysis'!H207)</x:f>
      </x:c>
      <x:c r="J935" s="12" t="n">
        <x:f>IF('Research &amp; Analysis'!I207="","",'Research &amp; Analysis'!I207)</x:f>
        <x:v>46203</x:v>
      </x:c>
      <x:c r="K935" s="12" t="str">
        <x:f>IF('Research &amp; Analysis'!J207="","",'Research &amp; Analysis'!J207)</x:f>
      </x:c>
      <x:c r="L935" s="2" t="str">
        <x:f>IF('Research &amp; Analysis'!K207="","",'Research &amp; Analysis'!K207)</x:f>
      </x:c>
      <x:c r="M935" s="2" t="n">
        <x:f>'Research &amp; Analysis'!Q207</x:f>
        <x:v>1</x:v>
      </x:c>
      <x:c r="N935" s="2" t="str">
        <x:f>'Research &amp; Analysis'!L207</x:f>
        <x:v>Not started</x:v>
      </x:c>
      <x:c r="O935" s="2" t="str">
        <x:f>'Research &amp; Analysis'!N207</x:f>
        <x:v>RA.CA.2.5.2026.CY2</x:v>
      </x:c>
      <x:c r="P935" s="2" t="n">
        <x:f>'Research &amp; Analysis'!O207</x:f>
        <x:v>0</x:v>
      </x:c>
      <x:c r="Q935" s="2" t="n">
        <x:f>SUBTOTAL(103,O935)</x:f>
        <x:v>1</x:v>
      </x:c>
      <x:c r="R935" s="2" t="n">
        <x:f>IF(AND(M935=1,OR(Dashboard!$B$7="All",Dashboard!$B$7='Cycles &amp; Guide'!$C$5),OR(Dashboard!$D$7="All",Dashboard!$D$7=B935),OR(Dashboard!$F$7="All",Dashboard!$F$7=C935),OR(Dashboard!$H$7="All",Dashboard!$H$7=D935),OR(Dashboard!$K$7="All",Dashboard!$K$7=E935)),1,0)</x:f>
        <x:v>1</x:v>
      </x:c>
      <x:c r="S935" s="2" t="n">
        <x:f>IF(R935=1,SUM($R$10:R935),0)</x:f>
        <x:v>562</x:v>
      </x:c>
      <x:c r="T935" s="2" t="str">
        <x:v>Research &amp; Analysis</x:v>
      </x:c>
      <x:c r="U935" s="2" t="n">
        <x:v>207</x:v>
      </x:c>
      <x:c r="V935" s="2" t="n">
        <x:f>IF(AND(M935=1,P935=0,ISNUMBER(J935),J935&lt;TODAY()),1,0)</x:f>
        <x:v>1</x:v>
      </x:c>
      <x:c r="W935" s="2" t="str">
        <x:f>'Research &amp; Analysis'!M207</x:f>
        <x:v>Task</x:v>
      </x:c>
    </x:row>
    <x:row r="936" ht="40" customHeight="1">
      <x:c r="A936" s="3" t="str">
        <x:f>HYPERLINK("#'Research &amp; Analysis'!A208","Open")</x:f>
        <x:v>Open</x:v>
      </x:c>
      <x:c r="B936" s="2" t="str">
        <x:f>'Research &amp; Analysis'!B208</x:f>
        <x:v>Cycle 2</x:v>
      </x:c>
      <x:c r="C936" s="2" t="str">
        <x:f>'Research &amp; Analysis'!C208</x:f>
        <x:v>Phase 2</x:v>
      </x:c>
      <x:c r="D936" s="2" t="str">
        <x:f>'Research &amp; Analysis'!D208</x:f>
        <x:v>Cards</x:v>
      </x:c>
      <x:c r="E936" s="2" t="str">
        <x:v>Research &amp; Analysis</x:v>
      </x:c>
      <x:c r="F936" s="56" t="str">
        <x:f>'Research &amp; Analysis'!E208</x:f>
        <x:v>RA.CA.2.6</x:v>
      </x:c>
      <x:c r="G936" s="14" t="str">
        <x:f>'Research &amp; Analysis'!F208</x:f>
        <x:v>Complete Positive Testing</x:v>
      </x:c>
      <x:c r="H936" s="2" t="str">
        <x:f>IF('Research &amp; Analysis'!G208="","",'Research &amp; Analysis'!G208)</x:f>
      </x:c>
      <x:c r="I936" s="12" t="str">
        <x:f>IF('Research &amp; Analysis'!H208="","",'Research &amp; Analysis'!H208)</x:f>
      </x:c>
      <x:c r="J936" s="12" t="n">
        <x:f>IF('Research &amp; Analysis'!I208="","",'Research &amp; Analysis'!I208)</x:f>
        <x:v>46203</x:v>
      </x:c>
      <x:c r="K936" s="12" t="str">
        <x:f>IF('Research &amp; Analysis'!J208="","",'Research &amp; Analysis'!J208)</x:f>
      </x:c>
      <x:c r="L936" s="2" t="str">
        <x:f>IF('Research &amp; Analysis'!K208="","",'Research &amp; Analysis'!K208)</x:f>
      </x:c>
      <x:c r="M936" s="2" t="n">
        <x:f>'Research &amp; Analysis'!Q208</x:f>
        <x:v>1</x:v>
      </x:c>
      <x:c r="N936" s="2" t="str">
        <x:f>'Research &amp; Analysis'!L208</x:f>
        <x:v>Not started</x:v>
      </x:c>
      <x:c r="O936" s="2" t="str">
        <x:f>'Research &amp; Analysis'!N208</x:f>
        <x:v>RA.CA.2.6.2026.CY2</x:v>
      </x:c>
      <x:c r="P936" s="2" t="n">
        <x:f>'Research &amp; Analysis'!O208</x:f>
        <x:v>0</x:v>
      </x:c>
      <x:c r="Q936" s="2" t="n">
        <x:f>SUBTOTAL(103,O936)</x:f>
        <x:v>1</x:v>
      </x:c>
      <x:c r="R936" s="2" t="n">
        <x:f>IF(AND(M936=1,OR(Dashboard!$B$7="All",Dashboard!$B$7='Cycles &amp; Guide'!$C$5),OR(Dashboard!$D$7="All",Dashboard!$D$7=B936),OR(Dashboard!$F$7="All",Dashboard!$F$7=C936),OR(Dashboard!$H$7="All",Dashboard!$H$7=D936),OR(Dashboard!$K$7="All",Dashboard!$K$7=E936)),1,0)</x:f>
        <x:v>1</x:v>
      </x:c>
      <x:c r="S936" s="2" t="n">
        <x:f>IF(R936=1,SUM($R$10:R936),0)</x:f>
        <x:v>563</x:v>
      </x:c>
      <x:c r="T936" s="2" t="str">
        <x:v>Research &amp; Analysis</x:v>
      </x:c>
      <x:c r="U936" s="2" t="n">
        <x:v>208</x:v>
      </x:c>
      <x:c r="V936" s="2" t="n">
        <x:f>IF(AND(M936=1,P936=0,ISNUMBER(J936),J936&lt;TODAY()),1,0)</x:f>
        <x:v>1</x:v>
      </x:c>
      <x:c r="W936" s="2" t="str">
        <x:f>'Research &amp; Analysis'!M208</x:f>
        <x:v>Task</x:v>
      </x:c>
    </x:row>
    <x:row r="937" ht="40" customHeight="1">
      <x:c r="A937" s="3" t="str">
        <x:f>HYPERLINK("#'Research &amp; Analysis'!A209","Open")</x:f>
        <x:v>Open</x:v>
      </x:c>
      <x:c r="B937" s="2" t="str">
        <x:f>'Research &amp; Analysis'!B209</x:f>
        <x:v>Cycle 2</x:v>
      </x:c>
      <x:c r="C937" s="2" t="str">
        <x:f>'Research &amp; Analysis'!C209</x:f>
        <x:v>Phase 2</x:v>
      </x:c>
      <x:c r="D937" s="2" t="str">
        <x:f>'Research &amp; Analysis'!D209</x:f>
        <x:v>Cards</x:v>
      </x:c>
      <x:c r="E937" s="2" t="str">
        <x:v>Research &amp; Analysis</x:v>
      </x:c>
      <x:c r="F937" s="56" t="str">
        <x:f>'Research &amp; Analysis'!E209</x:f>
        <x:v>RA.CA.2.7</x:v>
      </x:c>
      <x:c r="G937" s="14" t="str">
        <x:f>'Research &amp; Analysis'!F209</x:f>
        <x:v>Complete Negative Testing</x:v>
      </x:c>
      <x:c r="H937" s="2" t="str">
        <x:f>IF('Research &amp; Analysis'!G209="","",'Research &amp; Analysis'!G209)</x:f>
      </x:c>
      <x:c r="I937" s="12" t="str">
        <x:f>IF('Research &amp; Analysis'!H209="","",'Research &amp; Analysis'!H209)</x:f>
      </x:c>
      <x:c r="J937" s="12" t="n">
        <x:f>IF('Research &amp; Analysis'!I209="","",'Research &amp; Analysis'!I209)</x:f>
        <x:v>46203</x:v>
      </x:c>
      <x:c r="K937" s="12" t="str">
        <x:f>IF('Research &amp; Analysis'!J209="","",'Research &amp; Analysis'!J209)</x:f>
      </x:c>
      <x:c r="L937" s="2" t="str">
        <x:f>IF('Research &amp; Analysis'!K209="","",'Research &amp; Analysis'!K209)</x:f>
      </x:c>
      <x:c r="M937" s="2" t="n">
        <x:f>'Research &amp; Analysis'!Q209</x:f>
        <x:v>1</x:v>
      </x:c>
      <x:c r="N937" s="2" t="str">
        <x:f>'Research &amp; Analysis'!L209</x:f>
        <x:v>Not started</x:v>
      </x:c>
      <x:c r="O937" s="2" t="str">
        <x:f>'Research &amp; Analysis'!N209</x:f>
        <x:v>RA.CA.2.7.2026.CY2</x:v>
      </x:c>
      <x:c r="P937" s="2" t="n">
        <x:f>'Research &amp; Analysis'!O209</x:f>
        <x:v>0</x:v>
      </x:c>
      <x:c r="Q937" s="2" t="n">
        <x:f>SUBTOTAL(103,O937)</x:f>
        <x:v>1</x:v>
      </x:c>
      <x:c r="R937" s="2" t="n">
        <x:f>IF(AND(M937=1,OR(Dashboard!$B$7="All",Dashboard!$B$7='Cycles &amp; Guide'!$C$5),OR(Dashboard!$D$7="All",Dashboard!$D$7=B937),OR(Dashboard!$F$7="All",Dashboard!$F$7=C937),OR(Dashboard!$H$7="All",Dashboard!$H$7=D937),OR(Dashboard!$K$7="All",Dashboard!$K$7=E937)),1,0)</x:f>
        <x:v>1</x:v>
      </x:c>
      <x:c r="S937" s="2" t="n">
        <x:f>IF(R937=1,SUM($R$10:R937),0)</x:f>
        <x:v>564</x:v>
      </x:c>
      <x:c r="T937" s="2" t="str">
        <x:v>Research &amp; Analysis</x:v>
      </x:c>
      <x:c r="U937" s="2" t="n">
        <x:v>209</x:v>
      </x:c>
      <x:c r="V937" s="2" t="n">
        <x:f>IF(AND(M937=1,P937=0,ISNUMBER(J937),J937&lt;TODAY()),1,0)</x:f>
        <x:v>1</x:v>
      </x:c>
      <x:c r="W937" s="2" t="str">
        <x:f>'Research &amp; Analysis'!M209</x:f>
        <x:v>Task</x:v>
      </x:c>
    </x:row>
    <x:row r="938" ht="40" customHeight="1">
      <x:c r="A938" s="3" t="str">
        <x:f>HYPERLINK("#'Research &amp; Analysis'!A210","Open")</x:f>
        <x:v>Open</x:v>
      </x:c>
      <x:c r="B938" s="2" t="str">
        <x:f>'Research &amp; Analysis'!B210</x:f>
        <x:v>Cycle 2</x:v>
      </x:c>
      <x:c r="C938" s="2" t="str">
        <x:f>'Research &amp; Analysis'!C210</x:f>
        <x:v>Phase 2</x:v>
      </x:c>
      <x:c r="D938" s="2" t="str">
        <x:f>'Research &amp; Analysis'!D210</x:f>
        <x:v>Cards</x:v>
      </x:c>
      <x:c r="E938" s="2" t="str">
        <x:v>Research &amp; Analysis</x:v>
      </x:c>
      <x:c r="F938" s="56" t="str">
        <x:f>'Research &amp; Analysis'!E210</x:f>
        <x:v>RA.CA.2.8</x:v>
      </x:c>
      <x:c r="G938" s="14" t="str">
        <x:f>'Research &amp; Analysis'!F210</x:f>
        <x:v>Request additional data (as needed)</x:v>
      </x:c>
      <x:c r="H938" s="2" t="str">
        <x:f>IF('Research &amp; Analysis'!G210="","",'Research &amp; Analysis'!G210)</x:f>
      </x:c>
      <x:c r="I938" s="12" t="str">
        <x:f>IF('Research &amp; Analysis'!H210="","",'Research &amp; Analysis'!H210)</x:f>
      </x:c>
      <x:c r="J938" s="12" t="n">
        <x:f>IF('Research &amp; Analysis'!I210="","",'Research &amp; Analysis'!I210)</x:f>
        <x:v>46203</x:v>
      </x:c>
      <x:c r="K938" s="12" t="str">
        <x:f>IF('Research &amp; Analysis'!J210="","",'Research &amp; Analysis'!J210)</x:f>
      </x:c>
      <x:c r="L938" s="2" t="str">
        <x:f>IF('Research &amp; Analysis'!K210="","",'Research &amp; Analysis'!K210)</x:f>
      </x:c>
      <x:c r="M938" s="2" t="n">
        <x:f>'Research &amp; Analysis'!Q210</x:f>
        <x:v>1</x:v>
      </x:c>
      <x:c r="N938" s="2" t="str">
        <x:f>'Research &amp; Analysis'!L210</x:f>
        <x:v>Not started</x:v>
      </x:c>
      <x:c r="O938" s="2" t="str">
        <x:f>'Research &amp; Analysis'!N210</x:f>
        <x:v>RA.CA.2.8.2026.CY2</x:v>
      </x:c>
      <x:c r="P938" s="2" t="n">
        <x:f>'Research &amp; Analysis'!O210</x:f>
        <x:v>0</x:v>
      </x:c>
      <x:c r="Q938" s="2" t="n">
        <x:f>SUBTOTAL(103,O938)</x:f>
        <x:v>1</x:v>
      </x:c>
      <x:c r="R938" s="2" t="n">
        <x:f>IF(AND(M938=1,OR(Dashboard!$B$7="All",Dashboard!$B$7='Cycles &amp; Guide'!$C$5),OR(Dashboard!$D$7="All",Dashboard!$D$7=B938),OR(Dashboard!$F$7="All",Dashboard!$F$7=C938),OR(Dashboard!$H$7="All",Dashboard!$H$7=D938),OR(Dashboard!$K$7="All",Dashboard!$K$7=E938)),1,0)</x:f>
        <x:v>1</x:v>
      </x:c>
      <x:c r="S938" s="2" t="n">
        <x:f>IF(R938=1,SUM($R$10:R938),0)</x:f>
        <x:v>565</x:v>
      </x:c>
      <x:c r="T938" s="2" t="str">
        <x:v>Research &amp; Analysis</x:v>
      </x:c>
      <x:c r="U938" s="2" t="n">
        <x:v>210</x:v>
      </x:c>
      <x:c r="V938" s="2" t="n">
        <x:f>IF(AND(M938=1,P938=0,ISNUMBER(J938),J938&lt;TODAY()),1,0)</x:f>
        <x:v>1</x:v>
      </x:c>
      <x:c r="W938" s="2" t="str">
        <x:f>'Research &amp; Analysis'!M210</x:f>
        <x:v>Task</x:v>
      </x:c>
    </x:row>
    <x:row r="939" ht="40" customHeight="1">
      <x:c r="A939" s="3" t="str">
        <x:f>HYPERLINK("#'Research &amp; Analysis'!A211","Open")</x:f>
        <x:v>Open</x:v>
      </x:c>
      <x:c r="B939" s="2" t="str">
        <x:f>'Research &amp; Analysis'!B211</x:f>
        <x:v>Cycle 2</x:v>
      </x:c>
      <x:c r="C939" s="2" t="str">
        <x:f>'Research &amp; Analysis'!C211</x:f>
        <x:v>Phase 2</x:v>
      </x:c>
      <x:c r="D939" s="2" t="str">
        <x:f>'Research &amp; Analysis'!D211</x:f>
        <x:v>Cards</x:v>
      </x:c>
      <x:c r="E939" s="2" t="str">
        <x:v>Research &amp; Analysis</x:v>
      </x:c>
      <x:c r="F939" s="56" t="str">
        <x:f>'Research &amp; Analysis'!E211</x:f>
        <x:v>RA.CA.2.9</x:v>
      </x:c>
      <x:c r="G939" s="14" t="str">
        <x:f>'Research &amp; Analysis'!F211</x:f>
        <x:v>Validate or disprove initial hypothesis assumptions</x:v>
      </x:c>
      <x:c r="H939" s="2" t="str">
        <x:f>IF('Research &amp; Analysis'!G211="","",'Research &amp; Analysis'!G211)</x:f>
      </x:c>
      <x:c r="I939" s="12" t="str">
        <x:f>IF('Research &amp; Analysis'!H211="","",'Research &amp; Analysis'!H211)</x:f>
      </x:c>
      <x:c r="J939" s="12" t="n">
        <x:f>IF('Research &amp; Analysis'!I211="","",'Research &amp; Analysis'!I211)</x:f>
        <x:v>46203</x:v>
      </x:c>
      <x:c r="K939" s="12" t="str">
        <x:f>IF('Research &amp; Analysis'!J211="","",'Research &amp; Analysis'!J211)</x:f>
      </x:c>
      <x:c r="L939" s="2" t="str">
        <x:f>IF('Research &amp; Analysis'!K211="","",'Research &amp; Analysis'!K211)</x:f>
      </x:c>
      <x:c r="M939" s="2" t="n">
        <x:f>'Research &amp; Analysis'!Q211</x:f>
        <x:v>1</x:v>
      </x:c>
      <x:c r="N939" s="2" t="str">
        <x:f>'Research &amp; Analysis'!L211</x:f>
        <x:v>Not started</x:v>
      </x:c>
      <x:c r="O939" s="2" t="str">
        <x:f>'Research &amp; Analysis'!N211</x:f>
        <x:v>RA.CA.2.9.2026.CY2</x:v>
      </x:c>
      <x:c r="P939" s="2" t="n">
        <x:f>'Research &amp; Analysis'!O211</x:f>
        <x:v>0</x:v>
      </x:c>
      <x:c r="Q939" s="2" t="n">
        <x:f>SUBTOTAL(103,O939)</x:f>
        <x:v>1</x:v>
      </x:c>
      <x:c r="R939" s="2" t="n">
        <x:f>IF(AND(M939=1,OR(Dashboard!$B$7="All",Dashboard!$B$7='Cycles &amp; Guide'!$C$5),OR(Dashboard!$D$7="All",Dashboard!$D$7=B939),OR(Dashboard!$F$7="All",Dashboard!$F$7=C939),OR(Dashboard!$H$7="All",Dashboard!$H$7=D939),OR(Dashboard!$K$7="All",Dashboard!$K$7=E939)),1,0)</x:f>
        <x:v>1</x:v>
      </x:c>
      <x:c r="S939" s="2" t="n">
        <x:f>IF(R939=1,SUM($R$10:R939),0)</x:f>
        <x:v>566</x:v>
      </x:c>
      <x:c r="T939" s="2" t="str">
        <x:v>Research &amp; Analysis</x:v>
      </x:c>
      <x:c r="U939" s="2" t="n">
        <x:v>211</x:v>
      </x:c>
      <x:c r="V939" s="2" t="n">
        <x:f>IF(AND(M939=1,P939=0,ISNUMBER(J939),J939&lt;TODAY()),1,0)</x:f>
        <x:v>1</x:v>
      </x:c>
      <x:c r="W939" s="2" t="str">
        <x:f>'Research &amp; Analysis'!M211</x:f>
        <x:v>Task</x:v>
      </x:c>
    </x:row>
    <x:row r="940" ht="40" customHeight="1">
      <x:c r="A940" s="3" t="str">
        <x:f>HYPERLINK("#'Research &amp; Analysis'!A212","Open")</x:f>
        <x:v>Open</x:v>
      </x:c>
      <x:c r="B940" s="2" t="str">
        <x:f>'Research &amp; Analysis'!B212</x:f>
        <x:v>Cycle 2</x:v>
      </x:c>
      <x:c r="C940" s="2" t="str">
        <x:f>'Research &amp; Analysis'!C212</x:f>
        <x:v>Phase 2</x:v>
      </x:c>
      <x:c r="D940" s="2" t="str">
        <x:f>'Research &amp; Analysis'!D212</x:f>
        <x:v>Cards</x:v>
      </x:c>
      <x:c r="E940" s="2" t="str">
        <x:v>Research &amp; Analysis</x:v>
      </x:c>
      <x:c r="F940" s="56" t="str">
        <x:f>'Research &amp; Analysis'!E212</x:f>
        <x:v>RA.CA.2.10</x:v>
      </x:c>
      <x:c r="G940" s="14" t="str">
        <x:f>'Research &amp; Analysis'!F212</x:f>
        <x:v>Identify and confirm root cause</x:v>
      </x:c>
      <x:c r="H940" s="2" t="str">
        <x:f>IF('Research &amp; Analysis'!G212="","",'Research &amp; Analysis'!G212)</x:f>
      </x:c>
      <x:c r="I940" s="12" t="str">
        <x:f>IF('Research &amp; Analysis'!H212="","",'Research &amp; Analysis'!H212)</x:f>
      </x:c>
      <x:c r="J940" s="12" t="n">
        <x:f>IF('Research &amp; Analysis'!I212="","",'Research &amp; Analysis'!I212)</x:f>
        <x:v>46203</x:v>
      </x:c>
      <x:c r="K940" s="12" t="str">
        <x:f>IF('Research &amp; Analysis'!J212="","",'Research &amp; Analysis'!J212)</x:f>
      </x:c>
      <x:c r="L940" s="2" t="str">
        <x:f>IF('Research &amp; Analysis'!K212="","",'Research &amp; Analysis'!K212)</x:f>
      </x:c>
      <x:c r="M940" s="2" t="n">
        <x:f>'Research &amp; Analysis'!Q212</x:f>
        <x:v>1</x:v>
      </x:c>
      <x:c r="N940" s="2" t="str">
        <x:f>'Research &amp; Analysis'!L212</x:f>
        <x:v>Not started</x:v>
      </x:c>
      <x:c r="O940" s="2" t="str">
        <x:f>'Research &amp; Analysis'!N212</x:f>
        <x:v>RA.CA.2.10.2026.CY2</x:v>
      </x:c>
      <x:c r="P940" s="2" t="n">
        <x:f>'Research &amp; Analysis'!O212</x:f>
        <x:v>0</x:v>
      </x:c>
      <x:c r="Q940" s="2" t="n">
        <x:f>SUBTOTAL(103,O940)</x:f>
        <x:v>1</x:v>
      </x:c>
      <x:c r="R940" s="2" t="n">
        <x:f>IF(AND(M940=1,OR(Dashboard!$B$7="All",Dashboard!$B$7='Cycles &amp; Guide'!$C$5),OR(Dashboard!$D$7="All",Dashboard!$D$7=B940),OR(Dashboard!$F$7="All",Dashboard!$F$7=C940),OR(Dashboard!$H$7="All",Dashboard!$H$7=D940),OR(Dashboard!$K$7="All",Dashboard!$K$7=E940)),1,0)</x:f>
        <x:v>1</x:v>
      </x:c>
      <x:c r="S940" s="2" t="n">
        <x:f>IF(R940=1,SUM($R$10:R940),0)</x:f>
        <x:v>567</x:v>
      </x:c>
      <x:c r="T940" s="2" t="str">
        <x:v>Research &amp; Analysis</x:v>
      </x:c>
      <x:c r="U940" s="2" t="n">
        <x:v>212</x:v>
      </x:c>
      <x:c r="V940" s="2" t="n">
        <x:f>IF(AND(M940=1,P940=0,ISNUMBER(J940),J940&lt;TODAY()),1,0)</x:f>
        <x:v>1</x:v>
      </x:c>
      <x:c r="W940" s="2" t="str">
        <x:f>'Research &amp; Analysis'!M212</x:f>
        <x:v>Task</x:v>
      </x:c>
    </x:row>
    <x:row r="941" ht="40" customHeight="1">
      <x:c r="A941" s="3" t="str">
        <x:f>HYPERLINK("#'Research &amp; Analysis'!A213","Open")</x:f>
        <x:v>Open</x:v>
      </x:c>
      <x:c r="B941" s="2" t="str">
        <x:f>'Research &amp; Analysis'!B213</x:f>
        <x:v>Cycle 2</x:v>
      </x:c>
      <x:c r="C941" s="2" t="str">
        <x:f>'Research &amp; Analysis'!C213</x:f>
        <x:v>Phase 3</x:v>
      </x:c>
      <x:c r="D941" s="2" t="str">
        <x:f>'Research &amp; Analysis'!D213</x:f>
        <x:v>Cards</x:v>
      </x:c>
      <x:c r="E941" s="2" t="str">
        <x:v>Research &amp; Analysis</x:v>
      </x:c>
      <x:c r="F941" s="56" t="str">
        <x:f>'Research &amp; Analysis'!E213</x:f>
        <x:v>RA.CA.3.1</x:v>
      </x:c>
      <x:c r="G941" s="14" t="str">
        <x:f>'Research &amp; Analysis'!F213</x:f>
        <x:v>Finalize results and supporting documentation</x:v>
      </x:c>
      <x:c r="H941" s="2" t="str">
        <x:f>IF('Research &amp; Analysis'!G213="","",'Research &amp; Analysis'!G213)</x:f>
      </x:c>
      <x:c r="I941" s="12" t="str">
        <x:f>IF('Research &amp; Analysis'!H213="","",'Research &amp; Analysis'!H213)</x:f>
      </x:c>
      <x:c r="J941" s="12" t="n">
        <x:f>IF('Research &amp; Analysis'!I213="","",'Research &amp; Analysis'!I213)</x:f>
        <x:v>46203</x:v>
      </x:c>
      <x:c r="K941" s="12" t="str">
        <x:f>IF('Research &amp; Analysis'!J213="","",'Research &amp; Analysis'!J213)</x:f>
      </x:c>
      <x:c r="L941" s="2" t="str">
        <x:f>IF('Research &amp; Analysis'!K213="","",'Research &amp; Analysis'!K213)</x:f>
      </x:c>
      <x:c r="M941" s="2" t="n">
        <x:f>'Research &amp; Analysis'!Q213</x:f>
        <x:v>1</x:v>
      </x:c>
      <x:c r="N941" s="2" t="str">
        <x:f>'Research &amp; Analysis'!L213</x:f>
        <x:v>Not started</x:v>
      </x:c>
      <x:c r="O941" s="2" t="str">
        <x:f>'Research &amp; Analysis'!N213</x:f>
        <x:v>RA.CA.3.1.2026.CY2</x:v>
      </x:c>
      <x:c r="P941" s="2" t="n">
        <x:f>'Research &amp; Analysis'!O213</x:f>
        <x:v>0</x:v>
      </x:c>
      <x:c r="Q941" s="2" t="n">
        <x:f>SUBTOTAL(103,O941)</x:f>
        <x:v>1</x:v>
      </x:c>
      <x:c r="R941" s="2" t="n">
        <x:f>IF(AND(M941=1,OR(Dashboard!$B$7="All",Dashboard!$B$7='Cycles &amp; Guide'!$C$5),OR(Dashboard!$D$7="All",Dashboard!$D$7=B941),OR(Dashboard!$F$7="All",Dashboard!$F$7=C941),OR(Dashboard!$H$7="All",Dashboard!$H$7=D941),OR(Dashboard!$K$7="All",Dashboard!$K$7=E941)),1,0)</x:f>
        <x:v>1</x:v>
      </x:c>
      <x:c r="S941" s="2" t="n">
        <x:f>IF(R941=1,SUM($R$10:R941),0)</x:f>
        <x:v>568</x:v>
      </x:c>
      <x:c r="T941" s="2" t="str">
        <x:v>Research &amp; Analysis</x:v>
      </x:c>
      <x:c r="U941" s="2" t="n">
        <x:v>213</x:v>
      </x:c>
      <x:c r="V941" s="2" t="n">
        <x:f>IF(AND(M941=1,P941=0,ISNUMBER(J941),J941&lt;TODAY()),1,0)</x:f>
        <x:v>1</x:v>
      </x:c>
      <x:c r="W941" s="2" t="str">
        <x:f>'Research &amp; Analysis'!M213</x:f>
        <x:v>Task</x:v>
      </x:c>
    </x:row>
    <x:row r="942" ht="40" customHeight="1">
      <x:c r="A942" s="3" t="str">
        <x:f>HYPERLINK("#'Research &amp; Analysis'!A214","Open")</x:f>
        <x:v>Open</x:v>
      </x:c>
      <x:c r="B942" s="2" t="str">
        <x:f>'Research &amp; Analysis'!B214</x:f>
        <x:v>Cycle 2</x:v>
      </x:c>
      <x:c r="C942" s="2" t="str">
        <x:f>'Research &amp; Analysis'!C214</x:f>
        <x:v>Phase 3</x:v>
      </x:c>
      <x:c r="D942" s="2" t="str">
        <x:f>'Research &amp; Analysis'!D214</x:f>
        <x:v>Cards</x:v>
      </x:c>
      <x:c r="E942" s="2" t="str">
        <x:v>Research &amp; Analysis</x:v>
      </x:c>
      <x:c r="F942" s="56" t="str">
        <x:f>'Research &amp; Analysis'!E214</x:f>
        <x:v>RA.CA.3.2</x:v>
      </x:c>
      <x:c r="G942" s="14" t="str">
        <x:f>'Research &amp; Analysis'!F214</x:f>
        <x:v>Maintain and update the evidence package prior to handoff to D&amp;I</x:v>
      </x:c>
      <x:c r="H942" s="2" t="str">
        <x:f>IF('Research &amp; Analysis'!G214="","",'Research &amp; Analysis'!G214)</x:f>
      </x:c>
      <x:c r="I942" s="12" t="str">
        <x:f>IF('Research &amp; Analysis'!H214="","",'Research &amp; Analysis'!H214)</x:f>
      </x:c>
      <x:c r="J942" s="12" t="n">
        <x:f>IF('Research &amp; Analysis'!I214="","",'Research &amp; Analysis'!I214)</x:f>
        <x:v>46203</x:v>
      </x:c>
      <x:c r="K942" s="12" t="str">
        <x:f>IF('Research &amp; Analysis'!J214="","",'Research &amp; Analysis'!J214)</x:f>
      </x:c>
      <x:c r="L942" s="2" t="str">
        <x:f>IF('Research &amp; Analysis'!K214="","",'Research &amp; Analysis'!K214)</x:f>
      </x:c>
      <x:c r="M942" s="2" t="n">
        <x:f>'Research &amp; Analysis'!Q214</x:f>
        <x:v>1</x:v>
      </x:c>
      <x:c r="N942" s="2" t="str">
        <x:f>'Research &amp; Analysis'!L214</x:f>
        <x:v>Not started</x:v>
      </x:c>
      <x:c r="O942" s="2" t="str">
        <x:f>'Research &amp; Analysis'!N214</x:f>
        <x:v>RA.CA.3.2.2026.CY2</x:v>
      </x:c>
      <x:c r="P942" s="2" t="n">
        <x:f>'Research &amp; Analysis'!O214</x:f>
        <x:v>0</x:v>
      </x:c>
      <x:c r="Q942" s="2" t="n">
        <x:f>SUBTOTAL(103,O942)</x:f>
        <x:v>1</x:v>
      </x:c>
      <x:c r="R942" s="2" t="n">
        <x:f>IF(AND(M942=1,OR(Dashboard!$B$7="All",Dashboard!$B$7='Cycles &amp; Guide'!$C$5),OR(Dashboard!$D$7="All",Dashboard!$D$7=B942),OR(Dashboard!$F$7="All",Dashboard!$F$7=C942),OR(Dashboard!$H$7="All",Dashboard!$H$7=D942),OR(Dashboard!$K$7="All",Dashboard!$K$7=E942)),1,0)</x:f>
        <x:v>1</x:v>
      </x:c>
      <x:c r="S942" s="2" t="n">
        <x:f>IF(R942=1,SUM($R$10:R942),0)</x:f>
        <x:v>569</x:v>
      </x:c>
      <x:c r="T942" s="2" t="str">
        <x:v>Research &amp; Analysis</x:v>
      </x:c>
      <x:c r="U942" s="2" t="n">
        <x:v>214</x:v>
      </x:c>
      <x:c r="V942" s="2" t="n">
        <x:f>IF(AND(M942=1,P942=0,ISNUMBER(J942),J942&lt;TODAY()),1,0)</x:f>
        <x:v>1</x:v>
      </x:c>
      <x:c r="W942" s="2" t="str">
        <x:f>'Research &amp; Analysis'!M214</x:f>
        <x:v>Task</x:v>
      </x:c>
    </x:row>
    <x:row r="943" ht="40" customHeight="1">
      <x:c r="A943" s="3" t="str">
        <x:f>HYPERLINK("#'Research &amp; Analysis'!A215","Open")</x:f>
        <x:v>Open</x:v>
      </x:c>
      <x:c r="B943" s="2" t="str">
        <x:f>'Research &amp; Analysis'!B215</x:f>
        <x:v>Cycle 2</x:v>
      </x:c>
      <x:c r="C943" s="2" t="str">
        <x:f>'Research &amp; Analysis'!C215</x:f>
        <x:v>Phase 3</x:v>
      </x:c>
      <x:c r="D943" s="2" t="str">
        <x:f>'Research &amp; Analysis'!D215</x:f>
        <x:v>Cards</x:v>
      </x:c>
      <x:c r="E943" s="2" t="str">
        <x:v>Research &amp; Analysis</x:v>
      </x:c>
      <x:c r="F943" s="56" t="str">
        <x:f>'Research &amp; Analysis'!E215</x:f>
        <x:v>RA.CA.3.3</x:v>
      </x:c>
      <x:c r="G943" s="14" t="str">
        <x:f>'Research &amp; Analysis'!F215</x:f>
        <x:v>Address any outstanding questions or requests from D&amp;I</x:v>
      </x:c>
      <x:c r="H943" s="2" t="str">
        <x:f>IF('Research &amp; Analysis'!G215="","",'Research &amp; Analysis'!G215)</x:f>
      </x:c>
      <x:c r="I943" s="12" t="str">
        <x:f>IF('Research &amp; Analysis'!H215="","",'Research &amp; Analysis'!H215)</x:f>
      </x:c>
      <x:c r="J943" s="12" t="n">
        <x:f>IF('Research &amp; Analysis'!I215="","",'Research &amp; Analysis'!I215)</x:f>
        <x:v>46203</x:v>
      </x:c>
      <x:c r="K943" s="12" t="str">
        <x:f>IF('Research &amp; Analysis'!J215="","",'Research &amp; Analysis'!J215)</x:f>
      </x:c>
      <x:c r="L943" s="2" t="str">
        <x:f>IF('Research &amp; Analysis'!K215="","",'Research &amp; Analysis'!K215)</x:f>
      </x:c>
      <x:c r="M943" s="2" t="n">
        <x:f>'Research &amp; Analysis'!Q215</x:f>
        <x:v>1</x:v>
      </x:c>
      <x:c r="N943" s="2" t="str">
        <x:f>'Research &amp; Analysis'!L215</x:f>
        <x:v>Not started</x:v>
      </x:c>
      <x:c r="O943" s="2" t="str">
        <x:f>'Research &amp; Analysis'!N215</x:f>
        <x:v>RA.CA.3.3.2026.CY2</x:v>
      </x:c>
      <x:c r="P943" s="2" t="n">
        <x:f>'Research &amp; Analysis'!O215</x:f>
        <x:v>0</x:v>
      </x:c>
      <x:c r="Q943" s="2" t="n">
        <x:f>SUBTOTAL(103,O943)</x:f>
        <x:v>1</x:v>
      </x:c>
      <x:c r="R943" s="2" t="n">
        <x:f>IF(AND(M943=1,OR(Dashboard!$B$7="All",Dashboard!$B$7='Cycles &amp; Guide'!$C$5),OR(Dashboard!$D$7="All",Dashboard!$D$7=B943),OR(Dashboard!$F$7="All",Dashboard!$F$7=C943),OR(Dashboard!$H$7="All",Dashboard!$H$7=D943),OR(Dashboard!$K$7="All",Dashboard!$K$7=E943)),1,0)</x:f>
        <x:v>1</x:v>
      </x:c>
      <x:c r="S943" s="2" t="n">
        <x:f>IF(R943=1,SUM($R$10:R943),0)</x:f>
        <x:v>570</x:v>
      </x:c>
      <x:c r="T943" s="2" t="str">
        <x:v>Research &amp; Analysis</x:v>
      </x:c>
      <x:c r="U943" s="2" t="n">
        <x:v>215</x:v>
      </x:c>
      <x:c r="V943" s="2" t="n">
        <x:f>IF(AND(M943=1,P943=0,ISNUMBER(J943),J943&lt;TODAY()),1,0)</x:f>
        <x:v>1</x:v>
      </x:c>
      <x:c r="W943" s="2" t="str">
        <x:f>'Research &amp; Analysis'!M215</x:f>
        <x:v>Task</x:v>
      </x:c>
    </x:row>
    <x:row r="944" ht="40" customHeight="1">
      <x:c r="A944" s="3" t="str">
        <x:f>HYPERLINK("#'Research &amp; Analysis'!A216","Open")</x:f>
        <x:v>Open</x:v>
      </x:c>
      <x:c r="B944" s="2" t="str">
        <x:f>'Research &amp; Analysis'!B216</x:f>
        <x:v>Cycle 2</x:v>
      </x:c>
      <x:c r="C944" s="2" t="str">
        <x:f>'Research &amp; Analysis'!C216</x:f>
        <x:v>Phase 3</x:v>
      </x:c>
      <x:c r="D944" s="2" t="str">
        <x:f>'Research &amp; Analysis'!D216</x:f>
        <x:v>Cards</x:v>
      </x:c>
      <x:c r="E944" s="2" t="str">
        <x:v>Research &amp; Analysis</x:v>
      </x:c>
      <x:c r="F944" s="56" t="str">
        <x:f>'Research &amp; Analysis'!E216</x:f>
        <x:v>RA.CA.3.4</x:v>
      </x:c>
      <x:c r="G944" s="14" t="str">
        <x:f>'Research &amp; Analysis'!F216</x:f>
        <x:v>Attend Forum meeting with D&amp;I to assist with answering stakeholder questions (as needed)</x:v>
      </x:c>
      <x:c r="H944" s="2" t="str">
        <x:f>IF('Research &amp; Analysis'!G216="","",'Research &amp; Analysis'!G216)</x:f>
      </x:c>
      <x:c r="I944" s="12" t="str">
        <x:f>IF('Research &amp; Analysis'!H216="","",'Research &amp; Analysis'!H216)</x:f>
      </x:c>
      <x:c r="J944" s="12" t="str">
        <x:f>IF('Research &amp; Analysis'!I216="","",'Research &amp; Analysis'!I216)</x:f>
      </x:c>
      <x:c r="K944" s="12" t="str">
        <x:f>IF('Research &amp; Analysis'!J216="","",'Research &amp; Analysis'!J216)</x:f>
      </x:c>
      <x:c r="L944" s="2" t="str">
        <x:f>IF('Research &amp; Analysis'!K216="","",'Research &amp; Analysis'!K216)</x:f>
      </x:c>
      <x:c r="M944" s="2" t="n">
        <x:f>'Research &amp; Analysis'!Q216</x:f>
        <x:v>1</x:v>
      </x:c>
      <x:c r="N944" s="2" t="str">
        <x:f>'Research &amp; Analysis'!L216</x:f>
        <x:v>Not started</x:v>
      </x:c>
      <x:c r="O944" s="2" t="str">
        <x:f>'Research &amp; Analysis'!N216</x:f>
        <x:v>RA.CA.3.4.2026.CY2</x:v>
      </x:c>
      <x:c r="P944" s="2" t="n">
        <x:f>'Research &amp; Analysis'!O216</x:f>
        <x:v>0</x:v>
      </x:c>
      <x:c r="Q944" s="2" t="n">
        <x:f>SUBTOTAL(103,O944)</x:f>
        <x:v>1</x:v>
      </x:c>
      <x:c r="R944" s="2" t="n">
        <x:f>IF(AND(M944=1,OR(Dashboard!$B$7="All",Dashboard!$B$7='Cycles &amp; Guide'!$C$5),OR(Dashboard!$D$7="All",Dashboard!$D$7=B944),OR(Dashboard!$F$7="All",Dashboard!$F$7=C944),OR(Dashboard!$H$7="All",Dashboard!$H$7=D944),OR(Dashboard!$K$7="All",Dashboard!$K$7=E944)),1,0)</x:f>
        <x:v>1</x:v>
      </x:c>
      <x:c r="S944" s="2" t="n">
        <x:f>IF(R944=1,SUM($R$10:R944),0)</x:f>
        <x:v>571</x:v>
      </x:c>
      <x:c r="T944" s="2" t="str">
        <x:v>Research &amp; Analysis</x:v>
      </x:c>
      <x:c r="U944" s="2" t="n">
        <x:v>216</x:v>
      </x:c>
      <x:c r="V944" s="2" t="n">
        <x:f>IF(AND(M944=1,P944=0,ISNUMBER(J944),J944&lt;TODAY()),1,0)</x:f>
        <x:v>0</x:v>
      </x:c>
      <x:c r="W944" s="2" t="str">
        <x:f>'Research &amp; Analysis'!M216</x:f>
        <x:v>Task</x:v>
      </x:c>
    </x:row>
    <x:row r="945" ht="40" customHeight="1">
      <x:c r="A945" s="3" t="str">
        <x:f>HYPERLINK("#'Research &amp; Analysis'!A217","Open")</x:f>
        <x:v>Open</x:v>
      </x:c>
      <x:c r="B945" s="2" t="str">
        <x:f>'Research &amp; Analysis'!B217</x:f>
        <x:v>Cycle 2</x:v>
      </x:c>
      <x:c r="C945" s="2" t="str">
        <x:f>'Research &amp; Analysis'!C217</x:f>
        <x:v>Phase 1</x:v>
      </x:c>
      <x:c r="D945" s="2" t="str">
        <x:f>'Research &amp; Analysis'!D217</x:f>
        <x:v>CSBBO - Banking Ops</x:v>
      </x:c>
      <x:c r="E945" s="2" t="str">
        <x:v>Research &amp; Analysis</x:v>
      </x:c>
      <x:c r="F945" s="56" t="str">
        <x:f>'Research &amp; Analysis'!E217</x:f>
        <x:v>RA.BO.1.1</x:v>
      </x:c>
      <x:c r="G945" s="14" t="str">
        <x:f>'Research &amp; Analysis'!F217</x:f>
        <x:v>Begin Research process 2 weeks prior to Cycle start</x:v>
      </x:c>
      <x:c r="H945" s="2" t="str">
        <x:f>IF('Research &amp; Analysis'!G217="","",'Research &amp; Analysis'!G217)</x:f>
      </x:c>
      <x:c r="I945" s="12" t="str">
        <x:f>IF('Research &amp; Analysis'!H217="","",'Research &amp; Analysis'!H217)</x:f>
      </x:c>
      <x:c r="J945" s="12" t="n">
        <x:f>IF('Research &amp; Analysis'!I217="","",'Research &amp; Analysis'!I217)</x:f>
        <x:v>46099</x:v>
      </x:c>
      <x:c r="K945" s="12" t="str">
        <x:f>IF('Research &amp; Analysis'!J217="","",'Research &amp; Analysis'!J217)</x:f>
      </x:c>
      <x:c r="L945" s="2" t="str">
        <x:f>IF('Research &amp; Analysis'!K217="","",'Research &amp; Analysis'!K217)</x:f>
      </x:c>
      <x:c r="M945" s="2" t="n">
        <x:f>'Research &amp; Analysis'!Q217</x:f>
        <x:v>1</x:v>
      </x:c>
      <x:c r="N945" s="2" t="str">
        <x:f>'Research &amp; Analysis'!L217</x:f>
        <x:v>Not started</x:v>
      </x:c>
      <x:c r="O945" s="2" t="str">
        <x:f>'Research &amp; Analysis'!N217</x:f>
        <x:v>RA.BO.1.1.2026.CY2</x:v>
      </x:c>
      <x:c r="P945" s="2" t="n">
        <x:f>'Research &amp; Analysis'!O217</x:f>
        <x:v>0</x:v>
      </x:c>
      <x:c r="Q945" s="2" t="n">
        <x:f>SUBTOTAL(103,O945)</x:f>
        <x:v>1</x:v>
      </x:c>
      <x:c r="R945" s="2" t="n">
        <x:f>IF(AND(M945=1,OR(Dashboard!$B$7="All",Dashboard!$B$7='Cycles &amp; Guide'!$C$5),OR(Dashboard!$D$7="All",Dashboard!$D$7=B945),OR(Dashboard!$F$7="All",Dashboard!$F$7=C945),OR(Dashboard!$H$7="All",Dashboard!$H$7=D945),OR(Dashboard!$K$7="All",Dashboard!$K$7=E945)),1,0)</x:f>
        <x:v>1</x:v>
      </x:c>
      <x:c r="S945" s="2" t="n">
        <x:f>IF(R945=1,SUM($R$10:R945),0)</x:f>
        <x:v>572</x:v>
      </x:c>
      <x:c r="T945" s="2" t="str">
        <x:v>Research &amp; Analysis</x:v>
      </x:c>
      <x:c r="U945" s="2" t="n">
        <x:v>217</x:v>
      </x:c>
      <x:c r="V945" s="2" t="n">
        <x:f>IF(AND(M945=1,P945=0,ISNUMBER(J945),J945&lt;TODAY()),1,0)</x:f>
        <x:v>1</x:v>
      </x:c>
      <x:c r="W945" s="2" t="str">
        <x:f>'Research &amp; Analysis'!M217</x:f>
        <x:v>Task</x:v>
      </x:c>
    </x:row>
    <x:row r="946" ht="40" customHeight="1">
      <x:c r="A946" s="3" t="str">
        <x:f>HYPERLINK("#'Research &amp; Analysis'!A218","Open")</x:f>
        <x:v>Open</x:v>
      </x:c>
      <x:c r="B946" s="2" t="str">
        <x:f>'Research &amp; Analysis'!B218</x:f>
        <x:v>Cycle 2</x:v>
      </x:c>
      <x:c r="C946" s="2" t="str">
        <x:f>'Research &amp; Analysis'!C218</x:f>
        <x:v>Phase 1</x:v>
      </x:c>
      <x:c r="D946" s="2" t="str">
        <x:f>'Research &amp; Analysis'!D218</x:f>
        <x:v>CSBBO - Banking Ops</x:v>
      </x:c>
      <x:c r="E946" s="2" t="str">
        <x:v>Research &amp; Analysis</x:v>
      </x:c>
      <x:c r="F946" s="56" t="str">
        <x:f>'Research &amp; Analysis'!E218</x:f>
        <x:v>RA.BO.1.2</x:v>
      </x:c>
      <x:c r="G946" s="14" t="str">
        <x:f>'Research &amp; Analysis'!F218</x:f>
        <x:v>Conduct initial assessment of each topic recommendation from SharePoint list</x:v>
      </x:c>
      <x:c r="H946" s="2" t="str">
        <x:f>IF('Research &amp; Analysis'!G218="","",'Research &amp; Analysis'!G218)</x:f>
      </x:c>
      <x:c r="I946" s="12" t="str">
        <x:f>IF('Research &amp; Analysis'!H218="","",'Research &amp; Analysis'!H218)</x:f>
      </x:c>
      <x:c r="J946" s="12" t="n">
        <x:f>IF('Research &amp; Analysis'!I218="","",'Research &amp; Analysis'!I218)</x:f>
        <x:v>46203</x:v>
      </x:c>
      <x:c r="K946" s="12" t="str">
        <x:f>IF('Research &amp; Analysis'!J218="","",'Research &amp; Analysis'!J218)</x:f>
      </x:c>
      <x:c r="L946" s="2" t="str">
        <x:f>IF('Research &amp; Analysis'!K218="","",'Research &amp; Analysis'!K218)</x:f>
      </x:c>
      <x:c r="M946" s="2" t="n">
        <x:f>'Research &amp; Analysis'!Q218</x:f>
        <x:v>1</x:v>
      </x:c>
      <x:c r="N946" s="2" t="str">
        <x:f>'Research &amp; Analysis'!L218</x:f>
        <x:v>Not started</x:v>
      </x:c>
      <x:c r="O946" s="2" t="str">
        <x:f>'Research &amp; Analysis'!N218</x:f>
        <x:v>RA.BO.1.2.2026.CY2</x:v>
      </x:c>
      <x:c r="P946" s="2" t="n">
        <x:f>'Research &amp; Analysis'!O218</x:f>
        <x:v>0</x:v>
      </x:c>
      <x:c r="Q946" s="2" t="n">
        <x:f>SUBTOTAL(103,O946)</x:f>
        <x:v>1</x:v>
      </x:c>
      <x:c r="R946" s="2" t="n">
        <x:f>IF(AND(M946=1,OR(Dashboard!$B$7="All",Dashboard!$B$7='Cycles &amp; Guide'!$C$5),OR(Dashboard!$D$7="All",Dashboard!$D$7=B946),OR(Dashboard!$F$7="All",Dashboard!$F$7=C946),OR(Dashboard!$H$7="All",Dashboard!$H$7=D946),OR(Dashboard!$K$7="All",Dashboard!$K$7=E946)),1,0)</x:f>
        <x:v>1</x:v>
      </x:c>
      <x:c r="S946" s="2" t="n">
        <x:f>IF(R946=1,SUM($R$10:R946),0)</x:f>
        <x:v>573</x:v>
      </x:c>
      <x:c r="T946" s="2" t="str">
        <x:v>Research &amp; Analysis</x:v>
      </x:c>
      <x:c r="U946" s="2" t="n">
        <x:v>218</x:v>
      </x:c>
      <x:c r="V946" s="2" t="n">
        <x:f>IF(AND(M946=1,P946=0,ISNUMBER(J946),J946&lt;TODAY()),1,0)</x:f>
        <x:v>1</x:v>
      </x:c>
      <x:c r="W946" s="2" t="str">
        <x:f>'Research &amp; Analysis'!M218</x:f>
        <x:v>Task</x:v>
      </x:c>
    </x:row>
    <x:row r="947" ht="40" customHeight="1">
      <x:c r="A947" s="3" t="str">
        <x:f>HYPERLINK("#'Research &amp; Analysis'!A219","Open")</x:f>
        <x:v>Open</x:v>
      </x:c>
      <x:c r="B947" s="2" t="str">
        <x:f>'Research &amp; Analysis'!B219</x:f>
        <x:v>Cycle 2</x:v>
      </x:c>
      <x:c r="C947" s="2" t="str">
        <x:f>'Research &amp; Analysis'!C219</x:f>
        <x:v>Phase 1</x:v>
      </x:c>
      <x:c r="D947" s="2" t="str">
        <x:f>'Research &amp; Analysis'!D219</x:f>
        <x:v>CSBBO - Banking Ops</x:v>
      </x:c>
      <x:c r="E947" s="2" t="str">
        <x:v>Research &amp; Analysis</x:v>
      </x:c>
      <x:c r="F947" s="56" t="str">
        <x:f>'Research &amp; Analysis'!E219</x:f>
        <x:v>RA.BO.1.3</x:v>
      </x:c>
      <x:c r="G947" s="14" t="str">
        <x:f>'Research &amp; Analysis'!F219</x:f>
        <x:v>Identify best topic for Cycle</x:v>
      </x:c>
      <x:c r="H947" s="2" t="str">
        <x:f>IF('Research &amp; Analysis'!G219="","",'Research &amp; Analysis'!G219)</x:f>
      </x:c>
      <x:c r="I947" s="12" t="str">
        <x:f>IF('Research &amp; Analysis'!H219="","",'Research &amp; Analysis'!H219)</x:f>
      </x:c>
      <x:c r="J947" s="12" t="n">
        <x:f>IF('Research &amp; Analysis'!I219="","",'Research &amp; Analysis'!I219)</x:f>
        <x:v>46203</x:v>
      </x:c>
      <x:c r="K947" s="12" t="str">
        <x:f>IF('Research &amp; Analysis'!J219="","",'Research &amp; Analysis'!J219)</x:f>
      </x:c>
      <x:c r="L947" s="2" t="str">
        <x:f>IF('Research &amp; Analysis'!K219="","",'Research &amp; Analysis'!K219)</x:f>
      </x:c>
      <x:c r="M947" s="2" t="n">
        <x:f>'Research &amp; Analysis'!Q219</x:f>
        <x:v>1</x:v>
      </x:c>
      <x:c r="N947" s="2" t="str">
        <x:f>'Research &amp; Analysis'!L219</x:f>
        <x:v>Not started</x:v>
      </x:c>
      <x:c r="O947" s="2" t="str">
        <x:f>'Research &amp; Analysis'!N219</x:f>
        <x:v>RA.BO.1.3.2026.CY2</x:v>
      </x:c>
      <x:c r="P947" s="2" t="n">
        <x:f>'Research &amp; Analysis'!O219</x:f>
        <x:v>0</x:v>
      </x:c>
      <x:c r="Q947" s="2" t="n">
        <x:f>SUBTOTAL(103,O947)</x:f>
        <x:v>1</x:v>
      </x:c>
      <x:c r="R947" s="2" t="n">
        <x:f>IF(AND(M947=1,OR(Dashboard!$B$7="All",Dashboard!$B$7='Cycles &amp; Guide'!$C$5),OR(Dashboard!$D$7="All",Dashboard!$D$7=B947),OR(Dashboard!$F$7="All",Dashboard!$F$7=C947),OR(Dashboard!$H$7="All",Dashboard!$H$7=D947),OR(Dashboard!$K$7="All",Dashboard!$K$7=E947)),1,0)</x:f>
        <x:v>1</x:v>
      </x:c>
      <x:c r="S947" s="2" t="n">
        <x:f>IF(R947=1,SUM($R$10:R947),0)</x:f>
        <x:v>574</x:v>
      </x:c>
      <x:c r="T947" s="2" t="str">
        <x:v>Research &amp; Analysis</x:v>
      </x:c>
      <x:c r="U947" s="2" t="n">
        <x:v>219</x:v>
      </x:c>
      <x:c r="V947" s="2" t="n">
        <x:f>IF(AND(M947=1,P947=0,ISNUMBER(J947),J947&lt;TODAY()),1,0)</x:f>
        <x:v>1</x:v>
      </x:c>
      <x:c r="W947" s="2" t="str">
        <x:f>'Research &amp; Analysis'!M219</x:f>
        <x:v>Task</x:v>
      </x:c>
    </x:row>
    <x:row r="948" ht="40" customHeight="1">
      <x:c r="A948" s="3" t="str">
        <x:f>HYPERLINK("#'Research &amp; Analysis'!A220","Open")</x:f>
        <x:v>Open</x:v>
      </x:c>
      <x:c r="B948" s="2" t="str">
        <x:f>'Research &amp; Analysis'!B220</x:f>
        <x:v>Cycle 2</x:v>
      </x:c>
      <x:c r="C948" s="2" t="str">
        <x:f>'Research &amp; Analysis'!C220</x:f>
        <x:v>Phase 1</x:v>
      </x:c>
      <x:c r="D948" s="2" t="str">
        <x:f>'Research &amp; Analysis'!D220</x:f>
        <x:v>CSBBO - Banking Ops</x:v>
      </x:c>
      <x:c r="E948" s="2" t="str">
        <x:v>Research &amp; Analysis</x:v>
      </x:c>
      <x:c r="F948" s="56" t="str">
        <x:f>'Research &amp; Analysis'!E220</x:f>
        <x:v>RA.BO.1.4</x:v>
      </x:c>
      <x:c r="G948" s="14" t="str">
        <x:f>'Research &amp; Analysis'!F220</x:f>
        <x:v>Identify backup topic for Cycle</x:v>
      </x:c>
      <x:c r="H948" s="2" t="str">
        <x:f>IF('Research &amp; Analysis'!G220="","",'Research &amp; Analysis'!G220)</x:f>
      </x:c>
      <x:c r="I948" s="12" t="str">
        <x:f>IF('Research &amp; Analysis'!H220="","",'Research &amp; Analysis'!H220)</x:f>
      </x:c>
      <x:c r="J948" s="12" t="n">
        <x:f>IF('Research &amp; Analysis'!I220="","",'Research &amp; Analysis'!I220)</x:f>
        <x:v>46203</x:v>
      </x:c>
      <x:c r="K948" s="12" t="str">
        <x:f>IF('Research &amp; Analysis'!J220="","",'Research &amp; Analysis'!J220)</x:f>
      </x:c>
      <x:c r="L948" s="2" t="str">
        <x:f>IF('Research &amp; Analysis'!K220="","",'Research &amp; Analysis'!K220)</x:f>
      </x:c>
      <x:c r="M948" s="2" t="n">
        <x:f>'Research &amp; Analysis'!Q220</x:f>
        <x:v>1</x:v>
      </x:c>
      <x:c r="N948" s="2" t="str">
        <x:f>'Research &amp; Analysis'!L220</x:f>
        <x:v>Not started</x:v>
      </x:c>
      <x:c r="O948" s="2" t="str">
        <x:f>'Research &amp; Analysis'!N220</x:f>
        <x:v>RA.BO.1.4.2026.CY2</x:v>
      </x:c>
      <x:c r="P948" s="2" t="n">
        <x:f>'Research &amp; Analysis'!O220</x:f>
        <x:v>0</x:v>
      </x:c>
      <x:c r="Q948" s="2" t="n">
        <x:f>SUBTOTAL(103,O948)</x:f>
        <x:v>1</x:v>
      </x:c>
      <x:c r="R948" s="2" t="n">
        <x:f>IF(AND(M948=1,OR(Dashboard!$B$7="All",Dashboard!$B$7='Cycles &amp; Guide'!$C$5),OR(Dashboard!$D$7="All",Dashboard!$D$7=B948),OR(Dashboard!$F$7="All",Dashboard!$F$7=C948),OR(Dashboard!$H$7="All",Dashboard!$H$7=D948),OR(Dashboard!$K$7="All",Dashboard!$K$7=E948)),1,0)</x:f>
        <x:v>1</x:v>
      </x:c>
      <x:c r="S948" s="2" t="n">
        <x:f>IF(R948=1,SUM($R$10:R948),0)</x:f>
        <x:v>575</x:v>
      </x:c>
      <x:c r="T948" s="2" t="str">
        <x:v>Research &amp; Analysis</x:v>
      </x:c>
      <x:c r="U948" s="2" t="n">
        <x:v>220</x:v>
      </x:c>
      <x:c r="V948" s="2" t="n">
        <x:f>IF(AND(M948=1,P948=0,ISNUMBER(J948),J948&lt;TODAY()),1,0)</x:f>
        <x:v>1</x:v>
      </x:c>
      <x:c r="W948" s="2" t="str">
        <x:f>'Research &amp; Analysis'!M220</x:f>
        <x:v>Task</x:v>
      </x:c>
    </x:row>
    <x:row r="949" ht="40" customHeight="1">
      <x:c r="A949" s="3" t="str">
        <x:f>HYPERLINK("#'Research &amp; Analysis'!A221","Open")</x:f>
        <x:v>Open</x:v>
      </x:c>
      <x:c r="B949" s="2" t="str">
        <x:f>'Research &amp; Analysis'!B221</x:f>
        <x:v>Cycle 2</x:v>
      </x:c>
      <x:c r="C949" s="2" t="str">
        <x:f>'Research &amp; Analysis'!C221</x:f>
        <x:v>Phase 1</x:v>
      </x:c>
      <x:c r="D949" s="2" t="str">
        <x:f>'Research &amp; Analysis'!D221</x:f>
        <x:v>CSBBO - Banking Ops</x:v>
      </x:c>
      <x:c r="E949" s="2" t="str">
        <x:v>Research &amp; Analysis</x:v>
      </x:c>
      <x:c r="F949" s="56" t="str">
        <x:f>'Research &amp; Analysis'!E221</x:f>
        <x:v>RA.BO.1.5</x:v>
      </x:c>
      <x:c r="G949" s="14" t="str">
        <x:f>'Research &amp; Analysis'!F221</x:f>
        <x:v>Schedule topic approval meeting with D&amp;I and management</x:v>
      </x:c>
      <x:c r="H949" s="2" t="str">
        <x:f>IF('Research &amp; Analysis'!G221="","",'Research &amp; Analysis'!G221)</x:f>
      </x:c>
      <x:c r="I949" s="12" t="str">
        <x:f>IF('Research &amp; Analysis'!H221="","",'Research &amp; Analysis'!H221)</x:f>
      </x:c>
      <x:c r="J949" s="12" t="n">
        <x:f>IF('Research &amp; Analysis'!I221="","",'Research &amp; Analysis'!I221)</x:f>
        <x:v>46203</x:v>
      </x:c>
      <x:c r="K949" s="12" t="str">
        <x:f>IF('Research &amp; Analysis'!J221="","",'Research &amp; Analysis'!J221)</x:f>
      </x:c>
      <x:c r="L949" s="2" t="str">
        <x:f>IF('Research &amp; Analysis'!K221="","",'Research &amp; Analysis'!K221)</x:f>
      </x:c>
      <x:c r="M949" s="2" t="n">
        <x:f>'Research &amp; Analysis'!Q221</x:f>
        <x:v>1</x:v>
      </x:c>
      <x:c r="N949" s="2" t="str">
        <x:f>'Research &amp; Analysis'!L221</x:f>
        <x:v>Not started</x:v>
      </x:c>
      <x:c r="O949" s="2" t="str">
        <x:f>'Research &amp; Analysis'!N221</x:f>
        <x:v>RA.BO.1.5.2026.CY2</x:v>
      </x:c>
      <x:c r="P949" s="2" t="n">
        <x:f>'Research &amp; Analysis'!O221</x:f>
        <x:v>0</x:v>
      </x:c>
      <x:c r="Q949" s="2" t="n">
        <x:f>SUBTOTAL(103,O949)</x:f>
        <x:v>1</x:v>
      </x:c>
      <x:c r="R949" s="2" t="n">
        <x:f>IF(AND(M949=1,OR(Dashboard!$B$7="All",Dashboard!$B$7='Cycles &amp; Guide'!$C$5),OR(Dashboard!$D$7="All",Dashboard!$D$7=B949),OR(Dashboard!$F$7="All",Dashboard!$F$7=C949),OR(Dashboard!$H$7="All",Dashboard!$H$7=D949),OR(Dashboard!$K$7="All",Dashboard!$K$7=E949)),1,0)</x:f>
        <x:v>1</x:v>
      </x:c>
      <x:c r="S949" s="2" t="n">
        <x:f>IF(R949=1,SUM($R$10:R949),0)</x:f>
        <x:v>576</x:v>
      </x:c>
      <x:c r="T949" s="2" t="str">
        <x:v>Research &amp; Analysis</x:v>
      </x:c>
      <x:c r="U949" s="2" t="n">
        <x:v>221</x:v>
      </x:c>
      <x:c r="V949" s="2" t="n">
        <x:f>IF(AND(M949=1,P949=0,ISNUMBER(J949),J949&lt;TODAY()),1,0)</x:f>
        <x:v>1</x:v>
      </x:c>
      <x:c r="W949" s="2" t="str">
        <x:f>'Research &amp; Analysis'!M221</x:f>
        <x:v>Task</x:v>
      </x:c>
    </x:row>
    <x:row r="950" ht="40" customHeight="1">
      <x:c r="A950" s="3" t="str">
        <x:f>HYPERLINK("#'Research &amp; Analysis'!A222","Open")</x:f>
        <x:v>Open</x:v>
      </x:c>
      <x:c r="B950" s="2" t="str">
        <x:f>'Research &amp; Analysis'!B222</x:f>
        <x:v>Cycle 2</x:v>
      </x:c>
      <x:c r="C950" s="2" t="str">
        <x:f>'Research &amp; Analysis'!C222</x:f>
        <x:v>Phase 1</x:v>
      </x:c>
      <x:c r="D950" s="2" t="str">
        <x:f>'Research &amp; Analysis'!D222</x:f>
        <x:v>CSBBO - Banking Ops</x:v>
      </x:c>
      <x:c r="E950" s="2" t="str">
        <x:v>Research &amp; Analysis</x:v>
      </x:c>
      <x:c r="F950" s="56" t="str">
        <x:f>'Research &amp; Analysis'!E222</x:f>
        <x:v>RA.BO.1.6</x:v>
      </x:c>
      <x:c r="G950" s="14" t="str">
        <x:f>'Research &amp; Analysis'!F222</x:f>
        <x:v>Present recommended topic to D&amp;I and management for approval</x:v>
      </x:c>
      <x:c r="H950" s="2" t="str">
        <x:f>IF('Research &amp; Analysis'!G222="","",'Research &amp; Analysis'!G222)</x:f>
      </x:c>
      <x:c r="I950" s="12" t="str">
        <x:f>IF('Research &amp; Analysis'!H222="","",'Research &amp; Analysis'!H222)</x:f>
      </x:c>
      <x:c r="J950" s="12" t="n">
        <x:f>IF('Research &amp; Analysis'!I222="","",'Research &amp; Analysis'!I222)</x:f>
        <x:v>46203</x:v>
      </x:c>
      <x:c r="K950" s="12" t="str">
        <x:f>IF('Research &amp; Analysis'!J222="","",'Research &amp; Analysis'!J222)</x:f>
      </x:c>
      <x:c r="L950" s="2" t="str">
        <x:f>IF('Research &amp; Analysis'!K222="","",'Research &amp; Analysis'!K222)</x:f>
      </x:c>
      <x:c r="M950" s="2" t="n">
        <x:f>'Research &amp; Analysis'!Q222</x:f>
        <x:v>1</x:v>
      </x:c>
      <x:c r="N950" s="2" t="str">
        <x:f>'Research &amp; Analysis'!L222</x:f>
        <x:v>Not started</x:v>
      </x:c>
      <x:c r="O950" s="2" t="str">
        <x:f>'Research &amp; Analysis'!N222</x:f>
        <x:v>RA.BO.1.6.2026.CY2</x:v>
      </x:c>
      <x:c r="P950" s="2" t="n">
        <x:f>'Research &amp; Analysis'!O222</x:f>
        <x:v>0</x:v>
      </x:c>
      <x:c r="Q950" s="2" t="n">
        <x:f>SUBTOTAL(103,O950)</x:f>
        <x:v>1</x:v>
      </x:c>
      <x:c r="R950" s="2" t="n">
        <x:f>IF(AND(M950=1,OR(Dashboard!$B$7="All",Dashboard!$B$7='Cycles &amp; Guide'!$C$5),OR(Dashboard!$D$7="All",Dashboard!$D$7=B950),OR(Dashboard!$F$7="All",Dashboard!$F$7=C950),OR(Dashboard!$H$7="All",Dashboard!$H$7=D950),OR(Dashboard!$K$7="All",Dashboard!$K$7=E950)),1,0)</x:f>
        <x:v>1</x:v>
      </x:c>
      <x:c r="S950" s="2" t="n">
        <x:f>IF(R950=1,SUM($R$10:R950),0)</x:f>
        <x:v>577</x:v>
      </x:c>
      <x:c r="T950" s="2" t="str">
        <x:v>Research &amp; Analysis</x:v>
      </x:c>
      <x:c r="U950" s="2" t="n">
        <x:v>222</x:v>
      </x:c>
      <x:c r="V950" s="2" t="n">
        <x:f>IF(AND(M950=1,P950=0,ISNUMBER(J950),J950&lt;TODAY()),1,0)</x:f>
        <x:v>1</x:v>
      </x:c>
      <x:c r="W950" s="2" t="str">
        <x:f>'Research &amp; Analysis'!M222</x:f>
        <x:v>Task</x:v>
      </x:c>
    </x:row>
    <x:row r="951" ht="40" customHeight="1">
      <x:c r="A951" s="3" t="str">
        <x:f>HYPERLINK("#'Research &amp; Analysis'!A223","Open")</x:f>
        <x:v>Open</x:v>
      </x:c>
      <x:c r="B951" s="2" t="str">
        <x:f>'Research &amp; Analysis'!B223</x:f>
        <x:v>Cycle 2</x:v>
      </x:c>
      <x:c r="C951" s="2" t="str">
        <x:f>'Research &amp; Analysis'!C223</x:f>
        <x:v>Phase 1</x:v>
      </x:c>
      <x:c r="D951" s="2" t="str">
        <x:f>'Research &amp; Analysis'!D223</x:f>
        <x:v>CSBBO - Banking Ops</x:v>
      </x:c>
      <x:c r="E951" s="2" t="str">
        <x:v>Research &amp; Analysis</x:v>
      </x:c>
      <x:c r="F951" s="56" t="str">
        <x:f>'Research &amp; Analysis'!E223</x:f>
        <x:v>RA.BO.1.7</x:v>
      </x:c>
      <x:c r="G951" s="14" t="str">
        <x:f>'Research &amp; Analysis'!F223</x:f>
        <x:v>Obtain formal topic selection approval from management via SharePoint</x:v>
      </x:c>
      <x:c r="H951" s="2" t="str">
        <x:f>IF('Research &amp; Analysis'!G223="","",'Research &amp; Analysis'!G223)</x:f>
      </x:c>
      <x:c r="I951" s="12" t="str">
        <x:f>IF('Research &amp; Analysis'!H223="","",'Research &amp; Analysis'!H223)</x:f>
      </x:c>
      <x:c r="J951" s="12" t="n">
        <x:f>IF('Research &amp; Analysis'!I223="","",'Research &amp; Analysis'!I223)</x:f>
        <x:v>46203</x:v>
      </x:c>
      <x:c r="K951" s="12" t="str">
        <x:f>IF('Research &amp; Analysis'!J223="","",'Research &amp; Analysis'!J223)</x:f>
      </x:c>
      <x:c r="L951" s="2" t="str">
        <x:f>IF('Research &amp; Analysis'!K223="","",'Research &amp; Analysis'!K223)</x:f>
      </x:c>
      <x:c r="M951" s="2" t="n">
        <x:f>'Research &amp; Analysis'!Q223</x:f>
        <x:v>1</x:v>
      </x:c>
      <x:c r="N951" s="2" t="str">
        <x:f>'Research &amp; Analysis'!L223</x:f>
        <x:v>Not started</x:v>
      </x:c>
      <x:c r="O951" s="2" t="str">
        <x:f>'Research &amp; Analysis'!N223</x:f>
        <x:v>RA.BO.1.7.2026.CY2</x:v>
      </x:c>
      <x:c r="P951" s="2" t="n">
        <x:f>'Research &amp; Analysis'!O223</x:f>
        <x:v>0</x:v>
      </x:c>
      <x:c r="Q951" s="2" t="n">
        <x:f>SUBTOTAL(103,O951)</x:f>
        <x:v>1</x:v>
      </x:c>
      <x:c r="R951" s="2" t="n">
        <x:f>IF(AND(M951=1,OR(Dashboard!$B$7="All",Dashboard!$B$7='Cycles &amp; Guide'!$C$5),OR(Dashboard!$D$7="All",Dashboard!$D$7=B951),OR(Dashboard!$F$7="All",Dashboard!$F$7=C951),OR(Dashboard!$H$7="All",Dashboard!$H$7=D951),OR(Dashboard!$K$7="All",Dashboard!$K$7=E951)),1,0)</x:f>
        <x:v>1</x:v>
      </x:c>
      <x:c r="S951" s="2" t="n">
        <x:f>IF(R951=1,SUM($R$10:R951),0)</x:f>
        <x:v>578</x:v>
      </x:c>
      <x:c r="T951" s="2" t="str">
        <x:v>Research &amp; Analysis</x:v>
      </x:c>
      <x:c r="U951" s="2" t="n">
        <x:v>223</x:v>
      </x:c>
      <x:c r="V951" s="2" t="n">
        <x:f>IF(AND(M951=1,P951=0,ISNUMBER(J951),J951&lt;TODAY()),1,0)</x:f>
        <x:v>1</x:v>
      </x:c>
      <x:c r="W951" s="2" t="str">
        <x:f>'Research &amp; Analysis'!M223</x:f>
        <x:v>Task</x:v>
      </x:c>
    </x:row>
    <x:row r="952" ht="40" customHeight="1">
      <x:c r="A952" s="3" t="str">
        <x:f>HYPERLINK("#'Research &amp; Analysis'!A224","Open")</x:f>
        <x:v>Open</x:v>
      </x:c>
      <x:c r="B952" s="2" t="str">
        <x:f>'Research &amp; Analysis'!B224</x:f>
        <x:v>Cycle 2</x:v>
      </x:c>
      <x:c r="C952" s="2" t="str">
        <x:f>'Research &amp; Analysis'!C224</x:f>
        <x:v>Phase 1</x:v>
      </x:c>
      <x:c r="D952" s="2" t="str">
        <x:f>'Research &amp; Analysis'!D224</x:f>
        <x:v>CSBBO - Banking Ops</x:v>
      </x:c>
      <x:c r="E952" s="2" t="str">
        <x:v>Research &amp; Analysis</x:v>
      </x:c>
      <x:c r="F952" s="56" t="str">
        <x:f>'Research &amp; Analysis'!E224</x:f>
        <x:v>RA.BO.1.8</x:v>
      </x:c>
      <x:c r="G952" s="14" t="str">
        <x:f>'Research &amp; Analysis'!F224</x:f>
        <x:v>Socialize topic selection with product owners and subject matter experts (if known)</x:v>
      </x:c>
      <x:c r="H952" s="2" t="str">
        <x:f>IF('Research &amp; Analysis'!G224="","",'Research &amp; Analysis'!G224)</x:f>
      </x:c>
      <x:c r="I952" s="12" t="str">
        <x:f>IF('Research &amp; Analysis'!H224="","",'Research &amp; Analysis'!H224)</x:f>
      </x:c>
      <x:c r="J952" s="12" t="n">
        <x:f>IF('Research &amp; Analysis'!I224="","",'Research &amp; Analysis'!I224)</x:f>
        <x:v>46203</x:v>
      </x:c>
      <x:c r="K952" s="12" t="str">
        <x:f>IF('Research &amp; Analysis'!J224="","",'Research &amp; Analysis'!J224)</x:f>
      </x:c>
      <x:c r="L952" s="2" t="str">
        <x:f>IF('Research &amp; Analysis'!K224="","",'Research &amp; Analysis'!K224)</x:f>
      </x:c>
      <x:c r="M952" s="2" t="n">
        <x:f>'Research &amp; Analysis'!Q224</x:f>
        <x:v>1</x:v>
      </x:c>
      <x:c r="N952" s="2" t="str">
        <x:f>'Research &amp; Analysis'!L224</x:f>
        <x:v>Not started</x:v>
      </x:c>
      <x:c r="O952" s="2" t="str">
        <x:f>'Research &amp; Analysis'!N224</x:f>
        <x:v>RA.BO.1.8.2026.CY2</x:v>
      </x:c>
      <x:c r="P952" s="2" t="n">
        <x:f>'Research &amp; Analysis'!O224</x:f>
        <x:v>0</x:v>
      </x:c>
      <x:c r="Q952" s="2" t="n">
        <x:f>SUBTOTAL(103,O952)</x:f>
        <x:v>1</x:v>
      </x:c>
      <x:c r="R952" s="2" t="n">
        <x:f>IF(AND(M952=1,OR(Dashboard!$B$7="All",Dashboard!$B$7='Cycles &amp; Guide'!$C$5),OR(Dashboard!$D$7="All",Dashboard!$D$7=B952),OR(Dashboard!$F$7="All",Dashboard!$F$7=C952),OR(Dashboard!$H$7="All",Dashboard!$H$7=D952),OR(Dashboard!$K$7="All",Dashboard!$K$7=E952)),1,0)</x:f>
        <x:v>1</x:v>
      </x:c>
      <x:c r="S952" s="2" t="n">
        <x:f>IF(R952=1,SUM($R$10:R952),0)</x:f>
        <x:v>579</x:v>
      </x:c>
      <x:c r="T952" s="2" t="str">
        <x:v>Research &amp; Analysis</x:v>
      </x:c>
      <x:c r="U952" s="2" t="n">
        <x:v>224</x:v>
      </x:c>
      <x:c r="V952" s="2" t="n">
        <x:f>IF(AND(M952=1,P952=0,ISNUMBER(J952),J952&lt;TODAY()),1,0)</x:f>
        <x:v>1</x:v>
      </x:c>
      <x:c r="W952" s="2" t="str">
        <x:f>'Research &amp; Analysis'!M224</x:f>
        <x:v>Task</x:v>
      </x:c>
    </x:row>
    <x:row r="953" ht="40" customHeight="1">
      <x:c r="A953" s="3" t="str">
        <x:f>HYPERLINK("#'Research &amp; Analysis'!A225","Open")</x:f>
        <x:v>Open</x:v>
      </x:c>
      <x:c r="B953" s="2" t="str">
        <x:f>'Research &amp; Analysis'!B225</x:f>
        <x:v>Cycle 2</x:v>
      </x:c>
      <x:c r="C953" s="2" t="str">
        <x:f>'Research &amp; Analysis'!C225</x:f>
        <x:v>Phase 1</x:v>
      </x:c>
      <x:c r="D953" s="2" t="str">
        <x:f>'Research &amp; Analysis'!D225</x:f>
        <x:v>CSBBO - Banking Ops</x:v>
      </x:c>
      <x:c r="E953" s="2" t="str">
        <x:v>Research &amp; Analysis</x:v>
      </x:c>
      <x:c r="F953" s="56" t="str">
        <x:f>'Research &amp; Analysis'!E225</x:f>
        <x:v>RA.BO.1.9</x:v>
      </x:c>
      <x:c r="G953" s="14" t="str">
        <x:f>'Research &amp; Analysis'!F225</x:f>
        <x:v>Assign topic researchers</x:v>
      </x:c>
      <x:c r="H953" s="2" t="str">
        <x:f>IF('Research &amp; Analysis'!G225="","",'Research &amp; Analysis'!G225)</x:f>
      </x:c>
      <x:c r="I953" s="12" t="str">
        <x:f>IF('Research &amp; Analysis'!H225="","",'Research &amp; Analysis'!H225)</x:f>
      </x:c>
      <x:c r="J953" s="12" t="n">
        <x:f>IF('Research &amp; Analysis'!I225="","",'Research &amp; Analysis'!I225)</x:f>
        <x:v>46203</x:v>
      </x:c>
      <x:c r="K953" s="12" t="str">
        <x:f>IF('Research &amp; Analysis'!J225="","",'Research &amp; Analysis'!J225)</x:f>
      </x:c>
      <x:c r="L953" s="2" t="str">
        <x:f>IF('Research &amp; Analysis'!K225="","",'Research &amp; Analysis'!K225)</x:f>
      </x:c>
      <x:c r="M953" s="2" t="n">
        <x:f>'Research &amp; Analysis'!Q225</x:f>
        <x:v>1</x:v>
      </x:c>
      <x:c r="N953" s="2" t="str">
        <x:f>'Research &amp; Analysis'!L225</x:f>
        <x:v>Not started</x:v>
      </x:c>
      <x:c r="O953" s="2" t="str">
        <x:f>'Research &amp; Analysis'!N225</x:f>
        <x:v>RA.BO.1.9.2026.CY2</x:v>
      </x:c>
      <x:c r="P953" s="2" t="n">
        <x:f>'Research &amp; Analysis'!O225</x:f>
        <x:v>0</x:v>
      </x:c>
      <x:c r="Q953" s="2" t="n">
        <x:f>SUBTOTAL(103,O953)</x:f>
        <x:v>1</x:v>
      </x:c>
      <x:c r="R953" s="2" t="n">
        <x:f>IF(AND(M953=1,OR(Dashboard!$B$7="All",Dashboard!$B$7='Cycles &amp; Guide'!$C$5),OR(Dashboard!$D$7="All",Dashboard!$D$7=B953),OR(Dashboard!$F$7="All",Dashboard!$F$7=C953),OR(Dashboard!$H$7="All",Dashboard!$H$7=D953),OR(Dashboard!$K$7="All",Dashboard!$K$7=E953)),1,0)</x:f>
        <x:v>1</x:v>
      </x:c>
      <x:c r="S953" s="2" t="n">
        <x:f>IF(R953=1,SUM($R$10:R953),0)</x:f>
        <x:v>580</x:v>
      </x:c>
      <x:c r="T953" s="2" t="str">
        <x:v>Research &amp; Analysis</x:v>
      </x:c>
      <x:c r="U953" s="2" t="n">
        <x:v>225</x:v>
      </x:c>
      <x:c r="V953" s="2" t="n">
        <x:f>IF(AND(M953=1,P953=0,ISNUMBER(J953),J953&lt;TODAY()),1,0)</x:f>
        <x:v>1</x:v>
      </x:c>
      <x:c r="W953" s="2" t="str">
        <x:f>'Research &amp; Analysis'!M225</x:f>
        <x:v>Task</x:v>
      </x:c>
    </x:row>
    <x:row r="954" ht="40" customHeight="1">
      <x:c r="A954" s="3" t="str">
        <x:f>HYPERLINK("#'Research &amp; Analysis'!A226","Open")</x:f>
        <x:v>Open</x:v>
      </x:c>
      <x:c r="B954" s="2" t="str">
        <x:f>'Research &amp; Analysis'!B226</x:f>
        <x:v>Cycle 2</x:v>
      </x:c>
      <x:c r="C954" s="2" t="str">
        <x:f>'Research &amp; Analysis'!C226</x:f>
        <x:v>Phase 2</x:v>
      </x:c>
      <x:c r="D954" s="2" t="str">
        <x:f>'Research &amp; Analysis'!D226</x:f>
        <x:v>CSBBO - Banking Ops</x:v>
      </x:c>
      <x:c r="E954" s="2" t="str">
        <x:v>Research &amp; Analysis</x:v>
      </x:c>
      <x:c r="F954" s="56" t="str">
        <x:f>'Research &amp; Analysis'!E226</x:f>
        <x:v>RA.BO.2.1</x:v>
      </x:c>
      <x:c r="G954" s="14" t="str">
        <x:f>'Research &amp; Analysis'!F226</x:f>
        <x:v>Review data sources</x:v>
      </x:c>
      <x:c r="H954" s="2" t="str">
        <x:f>IF('Research &amp; Analysis'!G226="","",'Research &amp; Analysis'!G226)</x:f>
      </x:c>
      <x:c r="I954" s="12" t="str">
        <x:f>IF('Research &amp; Analysis'!H226="","",'Research &amp; Analysis'!H226)</x:f>
      </x:c>
      <x:c r="J954" s="12" t="n">
        <x:f>IF('Research &amp; Analysis'!I226="","",'Research &amp; Analysis'!I226)</x:f>
        <x:v>46203</x:v>
      </x:c>
      <x:c r="K954" s="12" t="str">
        <x:f>IF('Research &amp; Analysis'!J226="","",'Research &amp; Analysis'!J226)</x:f>
      </x:c>
      <x:c r="L954" s="2" t="str">
        <x:f>IF('Research &amp; Analysis'!K226="","",'Research &amp; Analysis'!K226)</x:f>
      </x:c>
      <x:c r="M954" s="2" t="n">
        <x:f>'Research &amp; Analysis'!Q226</x:f>
        <x:v>1</x:v>
      </x:c>
      <x:c r="N954" s="2" t="str">
        <x:f>'Research &amp; Analysis'!L226</x:f>
        <x:v>Not started</x:v>
      </x:c>
      <x:c r="O954" s="2" t="str">
        <x:f>'Research &amp; Analysis'!N226</x:f>
        <x:v>RA.BO.2.1.2026.CY2</x:v>
      </x:c>
      <x:c r="P954" s="2" t="n">
        <x:f>'Research &amp; Analysis'!O226</x:f>
        <x:v>0</x:v>
      </x:c>
      <x:c r="Q954" s="2" t="n">
        <x:f>SUBTOTAL(103,O954)</x:f>
        <x:v>1</x:v>
      </x:c>
      <x:c r="R954" s="2" t="n">
        <x:f>IF(AND(M954=1,OR(Dashboard!$B$7="All",Dashboard!$B$7='Cycles &amp; Guide'!$C$5),OR(Dashboard!$D$7="All",Dashboard!$D$7=B954),OR(Dashboard!$F$7="All",Dashboard!$F$7=C954),OR(Dashboard!$H$7="All",Dashboard!$H$7=D954),OR(Dashboard!$K$7="All",Dashboard!$K$7=E954)),1,0)</x:f>
        <x:v>1</x:v>
      </x:c>
      <x:c r="S954" s="2" t="n">
        <x:f>IF(R954=1,SUM($R$10:R954),0)</x:f>
        <x:v>581</x:v>
      </x:c>
      <x:c r="T954" s="2" t="str">
        <x:v>Research &amp; Analysis</x:v>
      </x:c>
      <x:c r="U954" s="2" t="n">
        <x:v>226</x:v>
      </x:c>
      <x:c r="V954" s="2" t="n">
        <x:f>IF(AND(M954=1,P954=0,ISNUMBER(J954),J954&lt;TODAY()),1,0)</x:f>
        <x:v>1</x:v>
      </x:c>
      <x:c r="W954" s="2" t="str">
        <x:f>'Research &amp; Analysis'!M226</x:f>
        <x:v>Task</x:v>
      </x:c>
    </x:row>
    <x:row r="955" ht="40" customHeight="1">
      <x:c r="A955" s="3" t="str">
        <x:f>HYPERLINK("#'Research &amp; Analysis'!A227","Open")</x:f>
        <x:v>Open</x:v>
      </x:c>
      <x:c r="B955" s="2" t="str">
        <x:f>'Research &amp; Analysis'!B227</x:f>
        <x:v>Cycle 2</x:v>
      </x:c>
      <x:c r="C955" s="2" t="str">
        <x:f>'Research &amp; Analysis'!C227</x:f>
        <x:v>Phase 2</x:v>
      </x:c>
      <x:c r="D955" s="2" t="str">
        <x:f>'Research &amp; Analysis'!D227</x:f>
        <x:v>CSBBO - Banking Ops</x:v>
      </x:c>
      <x:c r="E955" s="2" t="str">
        <x:v>Research &amp; Analysis</x:v>
      </x:c>
      <x:c r="F955" s="56" t="str">
        <x:f>'Research &amp; Analysis'!E227</x:f>
        <x:v>RA.BO.2.2</x:v>
      </x:c>
      <x:c r="G955" s="14" t="str">
        <x:f>'Research &amp; Analysis'!F227</x:f>
        <x:v>Review relevant policies and procedures</x:v>
      </x:c>
      <x:c r="H955" s="2" t="str">
        <x:f>IF('Research &amp; Analysis'!G227="","",'Research &amp; Analysis'!G227)</x:f>
      </x:c>
      <x:c r="I955" s="12" t="str">
        <x:f>IF('Research &amp; Analysis'!H227="","",'Research &amp; Analysis'!H227)</x:f>
      </x:c>
      <x:c r="J955" s="12" t="n">
        <x:f>IF('Research &amp; Analysis'!I227="","",'Research &amp; Analysis'!I227)</x:f>
        <x:v>46203</x:v>
      </x:c>
      <x:c r="K955" s="12" t="str">
        <x:f>IF('Research &amp; Analysis'!J227="","",'Research &amp; Analysis'!J227)</x:f>
      </x:c>
      <x:c r="L955" s="2" t="str">
        <x:f>IF('Research &amp; Analysis'!K227="","",'Research &amp; Analysis'!K227)</x:f>
      </x:c>
      <x:c r="M955" s="2" t="n">
        <x:f>'Research &amp; Analysis'!Q227</x:f>
        <x:v>1</x:v>
      </x:c>
      <x:c r="N955" s="2" t="str">
        <x:f>'Research &amp; Analysis'!L227</x:f>
        <x:v>Not started</x:v>
      </x:c>
      <x:c r="O955" s="2" t="str">
        <x:f>'Research &amp; Analysis'!N227</x:f>
        <x:v>RA.BO.2.2.2026.CY2</x:v>
      </x:c>
      <x:c r="P955" s="2" t="n">
        <x:f>'Research &amp; Analysis'!O227</x:f>
        <x:v>0</x:v>
      </x:c>
      <x:c r="Q955" s="2" t="n">
        <x:f>SUBTOTAL(103,O955)</x:f>
        <x:v>1</x:v>
      </x:c>
      <x:c r="R955" s="2" t="n">
        <x:f>IF(AND(M955=1,OR(Dashboard!$B$7="All",Dashboard!$B$7='Cycles &amp; Guide'!$C$5),OR(Dashboard!$D$7="All",Dashboard!$D$7=B955),OR(Dashboard!$F$7="All",Dashboard!$F$7=C955),OR(Dashboard!$H$7="All",Dashboard!$H$7=D955),OR(Dashboard!$K$7="All",Dashboard!$K$7=E955)),1,0)</x:f>
        <x:v>1</x:v>
      </x:c>
      <x:c r="S955" s="2" t="n">
        <x:f>IF(R955=1,SUM($R$10:R955),0)</x:f>
        <x:v>582</x:v>
      </x:c>
      <x:c r="T955" s="2" t="str">
        <x:v>Research &amp; Analysis</x:v>
      </x:c>
      <x:c r="U955" s="2" t="n">
        <x:v>227</x:v>
      </x:c>
      <x:c r="V955" s="2" t="n">
        <x:f>IF(AND(M955=1,P955=0,ISNUMBER(J955),J955&lt;TODAY()),1,0)</x:f>
        <x:v>1</x:v>
      </x:c>
      <x:c r="W955" s="2" t="str">
        <x:f>'Research &amp; Analysis'!M227</x:f>
        <x:v>Task</x:v>
      </x:c>
    </x:row>
    <x:row r="956" ht="40" customHeight="1">
      <x:c r="A956" s="3" t="str">
        <x:f>HYPERLINK("#'Research &amp; Analysis'!A228","Open")</x:f>
        <x:v>Open</x:v>
      </x:c>
      <x:c r="B956" s="2" t="str">
        <x:f>'Research &amp; Analysis'!B228</x:f>
        <x:v>Cycle 2</x:v>
      </x:c>
      <x:c r="C956" s="2" t="str">
        <x:f>'Research &amp; Analysis'!C228</x:f>
        <x:v>Phase 2</x:v>
      </x:c>
      <x:c r="D956" s="2" t="str">
        <x:f>'Research &amp; Analysis'!D228</x:f>
        <x:v>CSBBO - Banking Ops</x:v>
      </x:c>
      <x:c r="E956" s="2" t="str">
        <x:v>Research &amp; Analysis</x:v>
      </x:c>
      <x:c r="F956" s="56" t="str">
        <x:f>'Research &amp; Analysis'!E228</x:f>
        <x:v>RA.BO.2.3</x:v>
      </x:c>
      <x:c r="G956" s="14" t="str">
        <x:f>'Research &amp; Analysis'!F228</x:f>
        <x:v>Meet with SMEs to gain business insight and clarify questions</x:v>
      </x:c>
      <x:c r="H956" s="2" t="str">
        <x:f>IF('Research &amp; Analysis'!G228="","",'Research &amp; Analysis'!G228)</x:f>
      </x:c>
      <x:c r="I956" s="12" t="str">
        <x:f>IF('Research &amp; Analysis'!H228="","",'Research &amp; Analysis'!H228)</x:f>
      </x:c>
      <x:c r="J956" s="12" t="n">
        <x:f>IF('Research &amp; Analysis'!I228="","",'Research &amp; Analysis'!I228)</x:f>
        <x:v>46203</x:v>
      </x:c>
      <x:c r="K956" s="12" t="str">
        <x:f>IF('Research &amp; Analysis'!J228="","",'Research &amp; Analysis'!J228)</x:f>
      </x:c>
      <x:c r="L956" s="2" t="str">
        <x:f>IF('Research &amp; Analysis'!K228="","",'Research &amp; Analysis'!K228)</x:f>
      </x:c>
      <x:c r="M956" s="2" t="n">
        <x:f>'Research &amp; Analysis'!Q228</x:f>
        <x:v>1</x:v>
      </x:c>
      <x:c r="N956" s="2" t="str">
        <x:f>'Research &amp; Analysis'!L228</x:f>
        <x:v>Not started</x:v>
      </x:c>
      <x:c r="O956" s="2" t="str">
        <x:f>'Research &amp; Analysis'!N228</x:f>
        <x:v>RA.BO.2.3.2026.CY2</x:v>
      </x:c>
      <x:c r="P956" s="2" t="n">
        <x:f>'Research &amp; Analysis'!O228</x:f>
        <x:v>0</x:v>
      </x:c>
      <x:c r="Q956" s="2" t="n">
        <x:f>SUBTOTAL(103,O956)</x:f>
        <x:v>1</x:v>
      </x:c>
      <x:c r="R956" s="2" t="n">
        <x:f>IF(AND(M956=1,OR(Dashboard!$B$7="All",Dashboard!$B$7='Cycles &amp; Guide'!$C$5),OR(Dashboard!$D$7="All",Dashboard!$D$7=B956),OR(Dashboard!$F$7="All",Dashboard!$F$7=C956),OR(Dashboard!$H$7="All",Dashboard!$H$7=D956),OR(Dashboard!$K$7="All",Dashboard!$K$7=E956)),1,0)</x:f>
        <x:v>1</x:v>
      </x:c>
      <x:c r="S956" s="2" t="n">
        <x:f>IF(R956=1,SUM($R$10:R956),0)</x:f>
        <x:v>583</x:v>
      </x:c>
      <x:c r="T956" s="2" t="str">
        <x:v>Research &amp; Analysis</x:v>
      </x:c>
      <x:c r="U956" s="2" t="n">
        <x:v>228</x:v>
      </x:c>
      <x:c r="V956" s="2" t="n">
        <x:f>IF(AND(M956=1,P956=0,ISNUMBER(J956),J956&lt;TODAY()),1,0)</x:f>
        <x:v>1</x:v>
      </x:c>
      <x:c r="W956" s="2" t="str">
        <x:f>'Research &amp; Analysis'!M228</x:f>
        <x:v>Task</x:v>
      </x:c>
    </x:row>
    <x:row r="957" ht="40" customHeight="1">
      <x:c r="A957" s="3" t="str">
        <x:f>HYPERLINK("#'Research &amp; Analysis'!A229","Open")</x:f>
        <x:v>Open</x:v>
      </x:c>
      <x:c r="B957" s="2" t="str">
        <x:f>'Research &amp; Analysis'!B229</x:f>
        <x:v>Cycle 2</x:v>
      </x:c>
      <x:c r="C957" s="2" t="str">
        <x:f>'Research &amp; Analysis'!C229</x:f>
        <x:v>Phase 2</x:v>
      </x:c>
      <x:c r="D957" s="2" t="str">
        <x:f>'Research &amp; Analysis'!D229</x:f>
        <x:v>CSBBO - Banking Ops</x:v>
      </x:c>
      <x:c r="E957" s="2" t="str">
        <x:v>Research &amp; Analysis</x:v>
      </x:c>
      <x:c r="F957" s="56" t="str">
        <x:f>'Research &amp; Analysis'!E229</x:f>
        <x:v>RA.BO.2.4</x:v>
      </x:c>
      <x:c r="G957" s="14" t="str">
        <x:f>'Research &amp; Analysis'!F229</x:f>
        <x:v>Establish and maintain a recurring meeting with D&amp;I to discuss Cycle progress</x:v>
      </x:c>
      <x:c r="H957" s="2" t="str">
        <x:f>IF('Research &amp; Analysis'!G229="","",'Research &amp; Analysis'!G229)</x:f>
      </x:c>
      <x:c r="I957" s="12" t="str">
        <x:f>IF('Research &amp; Analysis'!H229="","",'Research &amp; Analysis'!H229)</x:f>
      </x:c>
      <x:c r="J957" s="12" t="n">
        <x:f>IF('Research &amp; Analysis'!I229="","",'Research &amp; Analysis'!I229)</x:f>
        <x:v>46203</x:v>
      </x:c>
      <x:c r="K957" s="12" t="str">
        <x:f>IF('Research &amp; Analysis'!J229="","",'Research &amp; Analysis'!J229)</x:f>
      </x:c>
      <x:c r="L957" s="2" t="str">
        <x:f>IF('Research &amp; Analysis'!K229="","",'Research &amp; Analysis'!K229)</x:f>
      </x:c>
      <x:c r="M957" s="2" t="n">
        <x:f>'Research &amp; Analysis'!Q229</x:f>
        <x:v>1</x:v>
      </x:c>
      <x:c r="N957" s="2" t="str">
        <x:f>'Research &amp; Analysis'!L229</x:f>
        <x:v>Not started</x:v>
      </x:c>
      <x:c r="O957" s="2" t="str">
        <x:f>'Research &amp; Analysis'!N229</x:f>
        <x:v>RA.BO.2.4.2026.CY2</x:v>
      </x:c>
      <x:c r="P957" s="2" t="n">
        <x:f>'Research &amp; Analysis'!O229</x:f>
        <x:v>0</x:v>
      </x:c>
      <x:c r="Q957" s="2" t="n">
        <x:f>SUBTOTAL(103,O957)</x:f>
        <x:v>1</x:v>
      </x:c>
      <x:c r="R957" s="2" t="n">
        <x:f>IF(AND(M957=1,OR(Dashboard!$B$7="All",Dashboard!$B$7='Cycles &amp; Guide'!$C$5),OR(Dashboard!$D$7="All",Dashboard!$D$7=B957),OR(Dashboard!$F$7="All",Dashboard!$F$7=C957),OR(Dashboard!$H$7="All",Dashboard!$H$7=D957),OR(Dashboard!$K$7="All",Dashboard!$K$7=E957)),1,0)</x:f>
        <x:v>1</x:v>
      </x:c>
      <x:c r="S957" s="2" t="n">
        <x:f>IF(R957=1,SUM($R$10:R957),0)</x:f>
        <x:v>584</x:v>
      </x:c>
      <x:c r="T957" s="2" t="str">
        <x:v>Research &amp; Analysis</x:v>
      </x:c>
      <x:c r="U957" s="2" t="n">
        <x:v>229</x:v>
      </x:c>
      <x:c r="V957" s="2" t="n">
        <x:f>IF(AND(M957=1,P957=0,ISNUMBER(J957),J957&lt;TODAY()),1,0)</x:f>
        <x:v>1</x:v>
      </x:c>
      <x:c r="W957" s="2" t="str">
        <x:f>'Research &amp; Analysis'!M229</x:f>
        <x:v>Task</x:v>
      </x:c>
    </x:row>
    <x:row r="958" ht="40" customHeight="1">
      <x:c r="A958" s="3" t="str">
        <x:f>HYPERLINK("#'Research &amp; Analysis'!A230","Open")</x:f>
        <x:v>Open</x:v>
      </x:c>
      <x:c r="B958" s="2" t="str">
        <x:f>'Research &amp; Analysis'!B230</x:f>
        <x:v>Cycle 2</x:v>
      </x:c>
      <x:c r="C958" s="2" t="str">
        <x:f>'Research &amp; Analysis'!C230</x:f>
        <x:v>Phase 2</x:v>
      </x:c>
      <x:c r="D958" s="2" t="str">
        <x:f>'Research &amp; Analysis'!D230</x:f>
        <x:v>CSBBO - Banking Ops</x:v>
      </x:c>
      <x:c r="E958" s="2" t="str">
        <x:v>Research &amp; Analysis</x:v>
      </x:c>
      <x:c r="F958" s="56" t="str">
        <x:f>'Research &amp; Analysis'!E230</x:f>
        <x:v>RA.BO.2.5</x:v>
      </x:c>
      <x:c r="G958" s="14" t="str">
        <x:f>'Research &amp; Analysis'!F230</x:f>
        <x:v>Perform data testing and sampling</x:v>
      </x:c>
      <x:c r="H958" s="2" t="str">
        <x:f>IF('Research &amp; Analysis'!G230="","",'Research &amp; Analysis'!G230)</x:f>
      </x:c>
      <x:c r="I958" s="12" t="str">
        <x:f>IF('Research &amp; Analysis'!H230="","",'Research &amp; Analysis'!H230)</x:f>
      </x:c>
      <x:c r="J958" s="12" t="n">
        <x:f>IF('Research &amp; Analysis'!I230="","",'Research &amp; Analysis'!I230)</x:f>
        <x:v>46203</x:v>
      </x:c>
      <x:c r="K958" s="12" t="str">
        <x:f>IF('Research &amp; Analysis'!J230="","",'Research &amp; Analysis'!J230)</x:f>
      </x:c>
      <x:c r="L958" s="2" t="str">
        <x:f>IF('Research &amp; Analysis'!K230="","",'Research &amp; Analysis'!K230)</x:f>
      </x:c>
      <x:c r="M958" s="2" t="n">
        <x:f>'Research &amp; Analysis'!Q230</x:f>
        <x:v>1</x:v>
      </x:c>
      <x:c r="N958" s="2" t="str">
        <x:f>'Research &amp; Analysis'!L230</x:f>
        <x:v>Not started</x:v>
      </x:c>
      <x:c r="O958" s="2" t="str">
        <x:f>'Research &amp; Analysis'!N230</x:f>
        <x:v>RA.BO.2.5.2026.CY2</x:v>
      </x:c>
      <x:c r="P958" s="2" t="n">
        <x:f>'Research &amp; Analysis'!O230</x:f>
        <x:v>0</x:v>
      </x:c>
      <x:c r="Q958" s="2" t="n">
        <x:f>SUBTOTAL(103,O958)</x:f>
        <x:v>1</x:v>
      </x:c>
      <x:c r="R958" s="2" t="n">
        <x:f>IF(AND(M958=1,OR(Dashboard!$B$7="All",Dashboard!$B$7='Cycles &amp; Guide'!$C$5),OR(Dashboard!$D$7="All",Dashboard!$D$7=B958),OR(Dashboard!$F$7="All",Dashboard!$F$7=C958),OR(Dashboard!$H$7="All",Dashboard!$H$7=D958),OR(Dashboard!$K$7="All",Dashboard!$K$7=E958)),1,0)</x:f>
        <x:v>1</x:v>
      </x:c>
      <x:c r="S958" s="2" t="n">
        <x:f>IF(R958=1,SUM($R$10:R958),0)</x:f>
        <x:v>585</x:v>
      </x:c>
      <x:c r="T958" s="2" t="str">
        <x:v>Research &amp; Analysis</x:v>
      </x:c>
      <x:c r="U958" s="2" t="n">
        <x:v>230</x:v>
      </x:c>
      <x:c r="V958" s="2" t="n">
        <x:f>IF(AND(M958=1,P958=0,ISNUMBER(J958),J958&lt;TODAY()),1,0)</x:f>
        <x:v>1</x:v>
      </x:c>
      <x:c r="W958" s="2" t="str">
        <x:f>'Research &amp; Analysis'!M230</x:f>
        <x:v>Task</x:v>
      </x:c>
    </x:row>
    <x:row r="959" ht="40" customHeight="1">
      <x:c r="A959" s="3" t="str">
        <x:f>HYPERLINK("#'Research &amp; Analysis'!A231","Open")</x:f>
        <x:v>Open</x:v>
      </x:c>
      <x:c r="B959" s="2" t="str">
        <x:f>'Research &amp; Analysis'!B231</x:f>
        <x:v>Cycle 2</x:v>
      </x:c>
      <x:c r="C959" s="2" t="str">
        <x:f>'Research &amp; Analysis'!C231</x:f>
        <x:v>Phase 2</x:v>
      </x:c>
      <x:c r="D959" s="2" t="str">
        <x:f>'Research &amp; Analysis'!D231</x:f>
        <x:v>CSBBO - Banking Ops</x:v>
      </x:c>
      <x:c r="E959" s="2" t="str">
        <x:v>Research &amp; Analysis</x:v>
      </x:c>
      <x:c r="F959" s="56" t="str">
        <x:f>'Research &amp; Analysis'!E231</x:f>
        <x:v>RA.BO.2.6</x:v>
      </x:c>
      <x:c r="G959" s="14" t="str">
        <x:f>'Research &amp; Analysis'!F231</x:f>
        <x:v>Complete Positive Testing</x:v>
      </x:c>
      <x:c r="H959" s="2" t="str">
        <x:f>IF('Research &amp; Analysis'!G231="","",'Research &amp; Analysis'!G231)</x:f>
      </x:c>
      <x:c r="I959" s="12" t="str">
        <x:f>IF('Research &amp; Analysis'!H231="","",'Research &amp; Analysis'!H231)</x:f>
      </x:c>
      <x:c r="J959" s="12" t="n">
        <x:f>IF('Research &amp; Analysis'!I231="","",'Research &amp; Analysis'!I231)</x:f>
        <x:v>46203</x:v>
      </x:c>
      <x:c r="K959" s="12" t="str">
        <x:f>IF('Research &amp; Analysis'!J231="","",'Research &amp; Analysis'!J231)</x:f>
      </x:c>
      <x:c r="L959" s="2" t="str">
        <x:f>IF('Research &amp; Analysis'!K231="","",'Research &amp; Analysis'!K231)</x:f>
      </x:c>
      <x:c r="M959" s="2" t="n">
        <x:f>'Research &amp; Analysis'!Q231</x:f>
        <x:v>1</x:v>
      </x:c>
      <x:c r="N959" s="2" t="str">
        <x:f>'Research &amp; Analysis'!L231</x:f>
        <x:v>Not started</x:v>
      </x:c>
      <x:c r="O959" s="2" t="str">
        <x:f>'Research &amp; Analysis'!N231</x:f>
        <x:v>RA.BO.2.6.2026.CY2</x:v>
      </x:c>
      <x:c r="P959" s="2" t="n">
        <x:f>'Research &amp; Analysis'!O231</x:f>
        <x:v>0</x:v>
      </x:c>
      <x:c r="Q959" s="2" t="n">
        <x:f>SUBTOTAL(103,O959)</x:f>
        <x:v>1</x:v>
      </x:c>
      <x:c r="R959" s="2" t="n">
        <x:f>IF(AND(M959=1,OR(Dashboard!$B$7="All",Dashboard!$B$7='Cycles &amp; Guide'!$C$5),OR(Dashboard!$D$7="All",Dashboard!$D$7=B959),OR(Dashboard!$F$7="All",Dashboard!$F$7=C959),OR(Dashboard!$H$7="All",Dashboard!$H$7=D959),OR(Dashboard!$K$7="All",Dashboard!$K$7=E959)),1,0)</x:f>
        <x:v>1</x:v>
      </x:c>
      <x:c r="S959" s="2" t="n">
        <x:f>IF(R959=1,SUM($R$10:R959),0)</x:f>
        <x:v>586</x:v>
      </x:c>
      <x:c r="T959" s="2" t="str">
        <x:v>Research &amp; Analysis</x:v>
      </x:c>
      <x:c r="U959" s="2" t="n">
        <x:v>231</x:v>
      </x:c>
      <x:c r="V959" s="2" t="n">
        <x:f>IF(AND(M959=1,P959=0,ISNUMBER(J959),J959&lt;TODAY()),1,0)</x:f>
        <x:v>1</x:v>
      </x:c>
      <x:c r="W959" s="2" t="str">
        <x:f>'Research &amp; Analysis'!M231</x:f>
        <x:v>Task</x:v>
      </x:c>
    </x:row>
    <x:row r="960" ht="40" customHeight="1">
      <x:c r="A960" s="3" t="str">
        <x:f>HYPERLINK("#'Research &amp; Analysis'!A232","Open")</x:f>
        <x:v>Open</x:v>
      </x:c>
      <x:c r="B960" s="2" t="str">
        <x:f>'Research &amp; Analysis'!B232</x:f>
        <x:v>Cycle 2</x:v>
      </x:c>
      <x:c r="C960" s="2" t="str">
        <x:f>'Research &amp; Analysis'!C232</x:f>
        <x:v>Phase 2</x:v>
      </x:c>
      <x:c r="D960" s="2" t="str">
        <x:f>'Research &amp; Analysis'!D232</x:f>
        <x:v>CSBBO - Banking Ops</x:v>
      </x:c>
      <x:c r="E960" s="2" t="str">
        <x:v>Research &amp; Analysis</x:v>
      </x:c>
      <x:c r="F960" s="56" t="str">
        <x:f>'Research &amp; Analysis'!E232</x:f>
        <x:v>RA.BO.2.7</x:v>
      </x:c>
      <x:c r="G960" s="14" t="str">
        <x:f>'Research &amp; Analysis'!F232</x:f>
        <x:v>Complete Negative Testing</x:v>
      </x:c>
      <x:c r="H960" s="2" t="str">
        <x:f>IF('Research &amp; Analysis'!G232="","",'Research &amp; Analysis'!G232)</x:f>
      </x:c>
      <x:c r="I960" s="12" t="str">
        <x:f>IF('Research &amp; Analysis'!H232="","",'Research &amp; Analysis'!H232)</x:f>
      </x:c>
      <x:c r="J960" s="12" t="n">
        <x:f>IF('Research &amp; Analysis'!I232="","",'Research &amp; Analysis'!I232)</x:f>
        <x:v>46203</x:v>
      </x:c>
      <x:c r="K960" s="12" t="str">
        <x:f>IF('Research &amp; Analysis'!J232="","",'Research &amp; Analysis'!J232)</x:f>
      </x:c>
      <x:c r="L960" s="2" t="str">
        <x:f>IF('Research &amp; Analysis'!K232="","",'Research &amp; Analysis'!K232)</x:f>
      </x:c>
      <x:c r="M960" s="2" t="n">
        <x:f>'Research &amp; Analysis'!Q232</x:f>
        <x:v>1</x:v>
      </x:c>
      <x:c r="N960" s="2" t="str">
        <x:f>'Research &amp; Analysis'!L232</x:f>
        <x:v>Not started</x:v>
      </x:c>
      <x:c r="O960" s="2" t="str">
        <x:f>'Research &amp; Analysis'!N232</x:f>
        <x:v>RA.BO.2.7.2026.CY2</x:v>
      </x:c>
      <x:c r="P960" s="2" t="n">
        <x:f>'Research &amp; Analysis'!O232</x:f>
        <x:v>0</x:v>
      </x:c>
      <x:c r="Q960" s="2" t="n">
        <x:f>SUBTOTAL(103,O960)</x:f>
        <x:v>1</x:v>
      </x:c>
      <x:c r="R960" s="2" t="n">
        <x:f>IF(AND(M960=1,OR(Dashboard!$B$7="All",Dashboard!$B$7='Cycles &amp; Guide'!$C$5),OR(Dashboard!$D$7="All",Dashboard!$D$7=B960),OR(Dashboard!$F$7="All",Dashboard!$F$7=C960),OR(Dashboard!$H$7="All",Dashboard!$H$7=D960),OR(Dashboard!$K$7="All",Dashboard!$K$7=E960)),1,0)</x:f>
        <x:v>1</x:v>
      </x:c>
      <x:c r="S960" s="2" t="n">
        <x:f>IF(R960=1,SUM($R$10:R960),0)</x:f>
        <x:v>587</x:v>
      </x:c>
      <x:c r="T960" s="2" t="str">
        <x:v>Research &amp; Analysis</x:v>
      </x:c>
      <x:c r="U960" s="2" t="n">
        <x:v>232</x:v>
      </x:c>
      <x:c r="V960" s="2" t="n">
        <x:f>IF(AND(M960=1,P960=0,ISNUMBER(J960),J960&lt;TODAY()),1,0)</x:f>
        <x:v>1</x:v>
      </x:c>
      <x:c r="W960" s="2" t="str">
        <x:f>'Research &amp; Analysis'!M232</x:f>
        <x:v>Task</x:v>
      </x:c>
    </x:row>
    <x:row r="961" ht="40" customHeight="1">
      <x:c r="A961" s="3" t="str">
        <x:f>HYPERLINK("#'Research &amp; Analysis'!A233","Open")</x:f>
        <x:v>Open</x:v>
      </x:c>
      <x:c r="B961" s="2" t="str">
        <x:f>'Research &amp; Analysis'!B233</x:f>
        <x:v>Cycle 2</x:v>
      </x:c>
      <x:c r="C961" s="2" t="str">
        <x:f>'Research &amp; Analysis'!C233</x:f>
        <x:v>Phase 2</x:v>
      </x:c>
      <x:c r="D961" s="2" t="str">
        <x:f>'Research &amp; Analysis'!D233</x:f>
        <x:v>CSBBO - Banking Ops</x:v>
      </x:c>
      <x:c r="E961" s="2" t="str">
        <x:v>Research &amp; Analysis</x:v>
      </x:c>
      <x:c r="F961" s="56" t="str">
        <x:f>'Research &amp; Analysis'!E233</x:f>
        <x:v>RA.BO.2.8</x:v>
      </x:c>
      <x:c r="G961" s="14" t="str">
        <x:f>'Research &amp; Analysis'!F233</x:f>
        <x:v>Request additional data (as needed)</x:v>
      </x:c>
      <x:c r="H961" s="2" t="str">
        <x:f>IF('Research &amp; Analysis'!G233="","",'Research &amp; Analysis'!G233)</x:f>
      </x:c>
      <x:c r="I961" s="12" t="str">
        <x:f>IF('Research &amp; Analysis'!H233="","",'Research &amp; Analysis'!H233)</x:f>
      </x:c>
      <x:c r="J961" s="12" t="n">
        <x:f>IF('Research &amp; Analysis'!I233="","",'Research &amp; Analysis'!I233)</x:f>
        <x:v>46203</x:v>
      </x:c>
      <x:c r="K961" s="12" t="str">
        <x:f>IF('Research &amp; Analysis'!J233="","",'Research &amp; Analysis'!J233)</x:f>
      </x:c>
      <x:c r="L961" s="2" t="str">
        <x:f>IF('Research &amp; Analysis'!K233="","",'Research &amp; Analysis'!K233)</x:f>
      </x:c>
      <x:c r="M961" s="2" t="n">
        <x:f>'Research &amp; Analysis'!Q233</x:f>
        <x:v>1</x:v>
      </x:c>
      <x:c r="N961" s="2" t="str">
        <x:f>'Research &amp; Analysis'!L233</x:f>
        <x:v>Not started</x:v>
      </x:c>
      <x:c r="O961" s="2" t="str">
        <x:f>'Research &amp; Analysis'!N233</x:f>
        <x:v>RA.BO.2.8.2026.CY2</x:v>
      </x:c>
      <x:c r="P961" s="2" t="n">
        <x:f>'Research &amp; Analysis'!O233</x:f>
        <x:v>0</x:v>
      </x:c>
      <x:c r="Q961" s="2" t="n">
        <x:f>SUBTOTAL(103,O961)</x:f>
        <x:v>1</x:v>
      </x:c>
      <x:c r="R961" s="2" t="n">
        <x:f>IF(AND(M961=1,OR(Dashboard!$B$7="All",Dashboard!$B$7='Cycles &amp; Guide'!$C$5),OR(Dashboard!$D$7="All",Dashboard!$D$7=B961),OR(Dashboard!$F$7="All",Dashboard!$F$7=C961),OR(Dashboard!$H$7="All",Dashboard!$H$7=D961),OR(Dashboard!$K$7="All",Dashboard!$K$7=E961)),1,0)</x:f>
        <x:v>1</x:v>
      </x:c>
      <x:c r="S961" s="2" t="n">
        <x:f>IF(R961=1,SUM($R$10:R961),0)</x:f>
        <x:v>588</x:v>
      </x:c>
      <x:c r="T961" s="2" t="str">
        <x:v>Research &amp; Analysis</x:v>
      </x:c>
      <x:c r="U961" s="2" t="n">
        <x:v>233</x:v>
      </x:c>
      <x:c r="V961" s="2" t="n">
        <x:f>IF(AND(M961=1,P961=0,ISNUMBER(J961),J961&lt;TODAY()),1,0)</x:f>
        <x:v>1</x:v>
      </x:c>
      <x:c r="W961" s="2" t="str">
        <x:f>'Research &amp; Analysis'!M233</x:f>
        <x:v>Task</x:v>
      </x:c>
    </x:row>
    <x:row r="962" ht="40" customHeight="1">
      <x:c r="A962" s="3" t="str">
        <x:f>HYPERLINK("#'Research &amp; Analysis'!A234","Open")</x:f>
        <x:v>Open</x:v>
      </x:c>
      <x:c r="B962" s="2" t="str">
        <x:f>'Research &amp; Analysis'!B234</x:f>
        <x:v>Cycle 2</x:v>
      </x:c>
      <x:c r="C962" s="2" t="str">
        <x:f>'Research &amp; Analysis'!C234</x:f>
        <x:v>Phase 2</x:v>
      </x:c>
      <x:c r="D962" s="2" t="str">
        <x:f>'Research &amp; Analysis'!D234</x:f>
        <x:v>CSBBO - Banking Ops</x:v>
      </x:c>
      <x:c r="E962" s="2" t="str">
        <x:v>Research &amp; Analysis</x:v>
      </x:c>
      <x:c r="F962" s="56" t="str">
        <x:f>'Research &amp; Analysis'!E234</x:f>
        <x:v>RA.BO.2.9</x:v>
      </x:c>
      <x:c r="G962" s="14" t="str">
        <x:f>'Research &amp; Analysis'!F234</x:f>
        <x:v>Validate or disprove initial hypothesis assumptions</x:v>
      </x:c>
      <x:c r="H962" s="2" t="str">
        <x:f>IF('Research &amp; Analysis'!G234="","",'Research &amp; Analysis'!G234)</x:f>
      </x:c>
      <x:c r="I962" s="12" t="str">
        <x:f>IF('Research &amp; Analysis'!H234="","",'Research &amp; Analysis'!H234)</x:f>
      </x:c>
      <x:c r="J962" s="12" t="n">
        <x:f>IF('Research &amp; Analysis'!I234="","",'Research &amp; Analysis'!I234)</x:f>
        <x:v>46203</x:v>
      </x:c>
      <x:c r="K962" s="12" t="str">
        <x:f>IF('Research &amp; Analysis'!J234="","",'Research &amp; Analysis'!J234)</x:f>
      </x:c>
      <x:c r="L962" s="2" t="str">
        <x:f>IF('Research &amp; Analysis'!K234="","",'Research &amp; Analysis'!K234)</x:f>
      </x:c>
      <x:c r="M962" s="2" t="n">
        <x:f>'Research &amp; Analysis'!Q234</x:f>
        <x:v>1</x:v>
      </x:c>
      <x:c r="N962" s="2" t="str">
        <x:f>'Research &amp; Analysis'!L234</x:f>
        <x:v>Not started</x:v>
      </x:c>
      <x:c r="O962" s="2" t="str">
        <x:f>'Research &amp; Analysis'!N234</x:f>
        <x:v>RA.BO.2.9.2026.CY2</x:v>
      </x:c>
      <x:c r="P962" s="2" t="n">
        <x:f>'Research &amp; Analysis'!O234</x:f>
        <x:v>0</x:v>
      </x:c>
      <x:c r="Q962" s="2" t="n">
        <x:f>SUBTOTAL(103,O962)</x:f>
        <x:v>1</x:v>
      </x:c>
      <x:c r="R962" s="2" t="n">
        <x:f>IF(AND(M962=1,OR(Dashboard!$B$7="All",Dashboard!$B$7='Cycles &amp; Guide'!$C$5),OR(Dashboard!$D$7="All",Dashboard!$D$7=B962),OR(Dashboard!$F$7="All",Dashboard!$F$7=C962),OR(Dashboard!$H$7="All",Dashboard!$H$7=D962),OR(Dashboard!$K$7="All",Dashboard!$K$7=E962)),1,0)</x:f>
        <x:v>1</x:v>
      </x:c>
      <x:c r="S962" s="2" t="n">
        <x:f>IF(R962=1,SUM($R$10:R962),0)</x:f>
        <x:v>589</x:v>
      </x:c>
      <x:c r="T962" s="2" t="str">
        <x:v>Research &amp; Analysis</x:v>
      </x:c>
      <x:c r="U962" s="2" t="n">
        <x:v>234</x:v>
      </x:c>
      <x:c r="V962" s="2" t="n">
        <x:f>IF(AND(M962=1,P962=0,ISNUMBER(J962),J962&lt;TODAY()),1,0)</x:f>
        <x:v>1</x:v>
      </x:c>
      <x:c r="W962" s="2" t="str">
        <x:f>'Research &amp; Analysis'!M234</x:f>
        <x:v>Task</x:v>
      </x:c>
    </x:row>
    <x:row r="963" ht="40" customHeight="1">
      <x:c r="A963" s="3" t="str">
        <x:f>HYPERLINK("#'Research &amp; Analysis'!A235","Open")</x:f>
        <x:v>Open</x:v>
      </x:c>
      <x:c r="B963" s="2" t="str">
        <x:f>'Research &amp; Analysis'!B235</x:f>
        <x:v>Cycle 2</x:v>
      </x:c>
      <x:c r="C963" s="2" t="str">
        <x:f>'Research &amp; Analysis'!C235</x:f>
        <x:v>Phase 2</x:v>
      </x:c>
      <x:c r="D963" s="2" t="str">
        <x:f>'Research &amp; Analysis'!D235</x:f>
        <x:v>CSBBO - Banking Ops</x:v>
      </x:c>
      <x:c r="E963" s="2" t="str">
        <x:v>Research &amp; Analysis</x:v>
      </x:c>
      <x:c r="F963" s="56" t="str">
        <x:f>'Research &amp; Analysis'!E235</x:f>
        <x:v>RA.BO.2.10</x:v>
      </x:c>
      <x:c r="G963" s="14" t="str">
        <x:f>'Research &amp; Analysis'!F235</x:f>
        <x:v>Identify and confirm root cause</x:v>
      </x:c>
      <x:c r="H963" s="2" t="str">
        <x:f>IF('Research &amp; Analysis'!G235="","",'Research &amp; Analysis'!G235)</x:f>
      </x:c>
      <x:c r="I963" s="12" t="str">
        <x:f>IF('Research &amp; Analysis'!H235="","",'Research &amp; Analysis'!H235)</x:f>
      </x:c>
      <x:c r="J963" s="12" t="n">
        <x:f>IF('Research &amp; Analysis'!I235="","",'Research &amp; Analysis'!I235)</x:f>
        <x:v>46203</x:v>
      </x:c>
      <x:c r="K963" s="12" t="str">
        <x:f>IF('Research &amp; Analysis'!J235="","",'Research &amp; Analysis'!J235)</x:f>
      </x:c>
      <x:c r="L963" s="2" t="str">
        <x:f>IF('Research &amp; Analysis'!K235="","",'Research &amp; Analysis'!K235)</x:f>
      </x:c>
      <x:c r="M963" s="2" t="n">
        <x:f>'Research &amp; Analysis'!Q235</x:f>
        <x:v>1</x:v>
      </x:c>
      <x:c r="N963" s="2" t="str">
        <x:f>'Research &amp; Analysis'!L235</x:f>
        <x:v>Not started</x:v>
      </x:c>
      <x:c r="O963" s="2" t="str">
        <x:f>'Research &amp; Analysis'!N235</x:f>
        <x:v>RA.BO.2.10.2026.CY2</x:v>
      </x:c>
      <x:c r="P963" s="2" t="n">
        <x:f>'Research &amp; Analysis'!O235</x:f>
        <x:v>0</x:v>
      </x:c>
      <x:c r="Q963" s="2" t="n">
        <x:f>SUBTOTAL(103,O963)</x:f>
        <x:v>1</x:v>
      </x:c>
      <x:c r="R963" s="2" t="n">
        <x:f>IF(AND(M963=1,OR(Dashboard!$B$7="All",Dashboard!$B$7='Cycles &amp; Guide'!$C$5),OR(Dashboard!$D$7="All",Dashboard!$D$7=B963),OR(Dashboard!$F$7="All",Dashboard!$F$7=C963),OR(Dashboard!$H$7="All",Dashboard!$H$7=D963),OR(Dashboard!$K$7="All",Dashboard!$K$7=E963)),1,0)</x:f>
        <x:v>1</x:v>
      </x:c>
      <x:c r="S963" s="2" t="n">
        <x:f>IF(R963=1,SUM($R$10:R963),0)</x:f>
        <x:v>590</x:v>
      </x:c>
      <x:c r="T963" s="2" t="str">
        <x:v>Research &amp; Analysis</x:v>
      </x:c>
      <x:c r="U963" s="2" t="n">
        <x:v>235</x:v>
      </x:c>
      <x:c r="V963" s="2" t="n">
        <x:f>IF(AND(M963=1,P963=0,ISNUMBER(J963),J963&lt;TODAY()),1,0)</x:f>
        <x:v>1</x:v>
      </x:c>
      <x:c r="W963" s="2" t="str">
        <x:f>'Research &amp; Analysis'!M235</x:f>
        <x:v>Task</x:v>
      </x:c>
    </x:row>
    <x:row r="964" ht="40" customHeight="1">
      <x:c r="A964" s="3" t="str">
        <x:f>HYPERLINK("#'Research &amp; Analysis'!A236","Open")</x:f>
        <x:v>Open</x:v>
      </x:c>
      <x:c r="B964" s="2" t="str">
        <x:f>'Research &amp; Analysis'!B236</x:f>
        <x:v>Cycle 2</x:v>
      </x:c>
      <x:c r="C964" s="2" t="str">
        <x:f>'Research &amp; Analysis'!C236</x:f>
        <x:v>Phase 3</x:v>
      </x:c>
      <x:c r="D964" s="2" t="str">
        <x:f>'Research &amp; Analysis'!D236</x:f>
        <x:v>CSBBO - Banking Ops</x:v>
      </x:c>
      <x:c r="E964" s="2" t="str">
        <x:v>Research &amp; Analysis</x:v>
      </x:c>
      <x:c r="F964" s="56" t="str">
        <x:f>'Research &amp; Analysis'!E236</x:f>
        <x:v>RA.BO.3.1</x:v>
      </x:c>
      <x:c r="G964" s="14" t="str">
        <x:f>'Research &amp; Analysis'!F236</x:f>
        <x:v>Finalize results and supporting documentation</x:v>
      </x:c>
      <x:c r="H964" s="2" t="str">
        <x:f>IF('Research &amp; Analysis'!G236="","",'Research &amp; Analysis'!G236)</x:f>
      </x:c>
      <x:c r="I964" s="12" t="str">
        <x:f>IF('Research &amp; Analysis'!H236="","",'Research &amp; Analysis'!H236)</x:f>
      </x:c>
      <x:c r="J964" s="12" t="n">
        <x:f>IF('Research &amp; Analysis'!I236="","",'Research &amp; Analysis'!I236)</x:f>
        <x:v>46203</x:v>
      </x:c>
      <x:c r="K964" s="12" t="str">
        <x:f>IF('Research &amp; Analysis'!J236="","",'Research &amp; Analysis'!J236)</x:f>
      </x:c>
      <x:c r="L964" s="2" t="str">
        <x:f>IF('Research &amp; Analysis'!K236="","",'Research &amp; Analysis'!K236)</x:f>
      </x:c>
      <x:c r="M964" s="2" t="n">
        <x:f>'Research &amp; Analysis'!Q236</x:f>
        <x:v>1</x:v>
      </x:c>
      <x:c r="N964" s="2" t="str">
        <x:f>'Research &amp; Analysis'!L236</x:f>
        <x:v>Not started</x:v>
      </x:c>
      <x:c r="O964" s="2" t="str">
        <x:f>'Research &amp; Analysis'!N236</x:f>
        <x:v>RA.BO.3.1.2026.CY2</x:v>
      </x:c>
      <x:c r="P964" s="2" t="n">
        <x:f>'Research &amp; Analysis'!O236</x:f>
        <x:v>0</x:v>
      </x:c>
      <x:c r="Q964" s="2" t="n">
        <x:f>SUBTOTAL(103,O964)</x:f>
        <x:v>1</x:v>
      </x:c>
      <x:c r="R964" s="2" t="n">
        <x:f>IF(AND(M964=1,OR(Dashboard!$B$7="All",Dashboard!$B$7='Cycles &amp; Guide'!$C$5),OR(Dashboard!$D$7="All",Dashboard!$D$7=B964),OR(Dashboard!$F$7="All",Dashboard!$F$7=C964),OR(Dashboard!$H$7="All",Dashboard!$H$7=D964),OR(Dashboard!$K$7="All",Dashboard!$K$7=E964)),1,0)</x:f>
        <x:v>1</x:v>
      </x:c>
      <x:c r="S964" s="2" t="n">
        <x:f>IF(R964=1,SUM($R$10:R964),0)</x:f>
        <x:v>591</x:v>
      </x:c>
      <x:c r="T964" s="2" t="str">
        <x:v>Research &amp; Analysis</x:v>
      </x:c>
      <x:c r="U964" s="2" t="n">
        <x:v>236</x:v>
      </x:c>
      <x:c r="V964" s="2" t="n">
        <x:f>IF(AND(M964=1,P964=0,ISNUMBER(J964),J964&lt;TODAY()),1,0)</x:f>
        <x:v>1</x:v>
      </x:c>
      <x:c r="W964" s="2" t="str">
        <x:f>'Research &amp; Analysis'!M236</x:f>
        <x:v>Task</x:v>
      </x:c>
    </x:row>
    <x:row r="965" ht="40" customHeight="1">
      <x:c r="A965" s="3" t="str">
        <x:f>HYPERLINK("#'Research &amp; Analysis'!A237","Open")</x:f>
        <x:v>Open</x:v>
      </x:c>
      <x:c r="B965" s="2" t="str">
        <x:f>'Research &amp; Analysis'!B237</x:f>
        <x:v>Cycle 2</x:v>
      </x:c>
      <x:c r="C965" s="2" t="str">
        <x:f>'Research &amp; Analysis'!C237</x:f>
        <x:v>Phase 3</x:v>
      </x:c>
      <x:c r="D965" s="2" t="str">
        <x:f>'Research &amp; Analysis'!D237</x:f>
        <x:v>CSBBO - Banking Ops</x:v>
      </x:c>
      <x:c r="E965" s="2" t="str">
        <x:v>Research &amp; Analysis</x:v>
      </x:c>
      <x:c r="F965" s="56" t="str">
        <x:f>'Research &amp; Analysis'!E237</x:f>
        <x:v>RA.BO.3.2</x:v>
      </x:c>
      <x:c r="G965" s="14" t="str">
        <x:f>'Research &amp; Analysis'!F237</x:f>
        <x:v>Maintain and update the evidence package prior to handoff to D&amp;I</x:v>
      </x:c>
      <x:c r="H965" s="2" t="str">
        <x:f>IF('Research &amp; Analysis'!G237="","",'Research &amp; Analysis'!G237)</x:f>
      </x:c>
      <x:c r="I965" s="12" t="str">
        <x:f>IF('Research &amp; Analysis'!H237="","",'Research &amp; Analysis'!H237)</x:f>
      </x:c>
      <x:c r="J965" s="12" t="n">
        <x:f>IF('Research &amp; Analysis'!I237="","",'Research &amp; Analysis'!I237)</x:f>
        <x:v>46203</x:v>
      </x:c>
      <x:c r="K965" s="12" t="str">
        <x:f>IF('Research &amp; Analysis'!J237="","",'Research &amp; Analysis'!J237)</x:f>
      </x:c>
      <x:c r="L965" s="2" t="str">
        <x:f>IF('Research &amp; Analysis'!K237="","",'Research &amp; Analysis'!K237)</x:f>
      </x:c>
      <x:c r="M965" s="2" t="n">
        <x:f>'Research &amp; Analysis'!Q237</x:f>
        <x:v>1</x:v>
      </x:c>
      <x:c r="N965" s="2" t="str">
        <x:f>'Research &amp; Analysis'!L237</x:f>
        <x:v>Not started</x:v>
      </x:c>
      <x:c r="O965" s="2" t="str">
        <x:f>'Research &amp; Analysis'!N237</x:f>
        <x:v>RA.BO.3.2.2026.CY2</x:v>
      </x:c>
      <x:c r="P965" s="2" t="n">
        <x:f>'Research &amp; Analysis'!O237</x:f>
        <x:v>0</x:v>
      </x:c>
      <x:c r="Q965" s="2" t="n">
        <x:f>SUBTOTAL(103,O965)</x:f>
        <x:v>1</x:v>
      </x:c>
      <x:c r="R965" s="2" t="n">
        <x:f>IF(AND(M965=1,OR(Dashboard!$B$7="All",Dashboard!$B$7='Cycles &amp; Guide'!$C$5),OR(Dashboard!$D$7="All",Dashboard!$D$7=B965),OR(Dashboard!$F$7="All",Dashboard!$F$7=C965),OR(Dashboard!$H$7="All",Dashboard!$H$7=D965),OR(Dashboard!$K$7="All",Dashboard!$K$7=E965)),1,0)</x:f>
        <x:v>1</x:v>
      </x:c>
      <x:c r="S965" s="2" t="n">
        <x:f>IF(R965=1,SUM($R$10:R965),0)</x:f>
        <x:v>592</x:v>
      </x:c>
      <x:c r="T965" s="2" t="str">
        <x:v>Research &amp; Analysis</x:v>
      </x:c>
      <x:c r="U965" s="2" t="n">
        <x:v>237</x:v>
      </x:c>
      <x:c r="V965" s="2" t="n">
        <x:f>IF(AND(M965=1,P965=0,ISNUMBER(J965),J965&lt;TODAY()),1,0)</x:f>
        <x:v>1</x:v>
      </x:c>
      <x:c r="W965" s="2" t="str">
        <x:f>'Research &amp; Analysis'!M237</x:f>
        <x:v>Task</x:v>
      </x:c>
    </x:row>
    <x:row r="966" ht="40" customHeight="1">
      <x:c r="A966" s="3" t="str">
        <x:f>HYPERLINK("#'Research &amp; Analysis'!A238","Open")</x:f>
        <x:v>Open</x:v>
      </x:c>
      <x:c r="B966" s="2" t="str">
        <x:f>'Research &amp; Analysis'!B238</x:f>
        <x:v>Cycle 2</x:v>
      </x:c>
      <x:c r="C966" s="2" t="str">
        <x:f>'Research &amp; Analysis'!C238</x:f>
        <x:v>Phase 3</x:v>
      </x:c>
      <x:c r="D966" s="2" t="str">
        <x:f>'Research &amp; Analysis'!D238</x:f>
        <x:v>CSBBO - Banking Ops</x:v>
      </x:c>
      <x:c r="E966" s="2" t="str">
        <x:v>Research &amp; Analysis</x:v>
      </x:c>
      <x:c r="F966" s="56" t="str">
        <x:f>'Research &amp; Analysis'!E238</x:f>
        <x:v>RA.BO.3.3</x:v>
      </x:c>
      <x:c r="G966" s="14" t="str">
        <x:f>'Research &amp; Analysis'!F238</x:f>
        <x:v>Address any outstanding questions or requests from D&amp;I</x:v>
      </x:c>
      <x:c r="H966" s="2" t="str">
        <x:f>IF('Research &amp; Analysis'!G238="","",'Research &amp; Analysis'!G238)</x:f>
      </x:c>
      <x:c r="I966" s="12" t="str">
        <x:f>IF('Research &amp; Analysis'!H238="","",'Research &amp; Analysis'!H238)</x:f>
      </x:c>
      <x:c r="J966" s="12" t="n">
        <x:f>IF('Research &amp; Analysis'!I238="","",'Research &amp; Analysis'!I238)</x:f>
        <x:v>46203</x:v>
      </x:c>
      <x:c r="K966" s="12" t="str">
        <x:f>IF('Research &amp; Analysis'!J238="","",'Research &amp; Analysis'!J238)</x:f>
      </x:c>
      <x:c r="L966" s="2" t="str">
        <x:f>IF('Research &amp; Analysis'!K238="","",'Research &amp; Analysis'!K238)</x:f>
      </x:c>
      <x:c r="M966" s="2" t="n">
        <x:f>'Research &amp; Analysis'!Q238</x:f>
        <x:v>1</x:v>
      </x:c>
      <x:c r="N966" s="2" t="str">
        <x:f>'Research &amp; Analysis'!L238</x:f>
        <x:v>Not started</x:v>
      </x:c>
      <x:c r="O966" s="2" t="str">
        <x:f>'Research &amp; Analysis'!N238</x:f>
        <x:v>RA.BO.3.3.2026.CY2</x:v>
      </x:c>
      <x:c r="P966" s="2" t="n">
        <x:f>'Research &amp; Analysis'!O238</x:f>
        <x:v>0</x:v>
      </x:c>
      <x:c r="Q966" s="2" t="n">
        <x:f>SUBTOTAL(103,O966)</x:f>
        <x:v>1</x:v>
      </x:c>
      <x:c r="R966" s="2" t="n">
        <x:f>IF(AND(M966=1,OR(Dashboard!$B$7="All",Dashboard!$B$7='Cycles &amp; Guide'!$C$5),OR(Dashboard!$D$7="All",Dashboard!$D$7=B966),OR(Dashboard!$F$7="All",Dashboard!$F$7=C966),OR(Dashboard!$H$7="All",Dashboard!$H$7=D966),OR(Dashboard!$K$7="All",Dashboard!$K$7=E966)),1,0)</x:f>
        <x:v>1</x:v>
      </x:c>
      <x:c r="S966" s="2" t="n">
        <x:f>IF(R966=1,SUM($R$10:R966),0)</x:f>
        <x:v>593</x:v>
      </x:c>
      <x:c r="T966" s="2" t="str">
        <x:v>Research &amp; Analysis</x:v>
      </x:c>
      <x:c r="U966" s="2" t="n">
        <x:v>238</x:v>
      </x:c>
      <x:c r="V966" s="2" t="n">
        <x:f>IF(AND(M966=1,P966=0,ISNUMBER(J966),J966&lt;TODAY()),1,0)</x:f>
        <x:v>1</x:v>
      </x:c>
      <x:c r="W966" s="2" t="str">
        <x:f>'Research &amp; Analysis'!M238</x:f>
        <x:v>Task</x:v>
      </x:c>
    </x:row>
    <x:row r="967" ht="40" customHeight="1">
      <x:c r="A967" s="3" t="str">
        <x:f>HYPERLINK("#'Research &amp; Analysis'!A239","Open")</x:f>
        <x:v>Open</x:v>
      </x:c>
      <x:c r="B967" s="2" t="str">
        <x:f>'Research &amp; Analysis'!B239</x:f>
        <x:v>Cycle 2</x:v>
      </x:c>
      <x:c r="C967" s="2" t="str">
        <x:f>'Research &amp; Analysis'!C239</x:f>
        <x:v>Phase 3</x:v>
      </x:c>
      <x:c r="D967" s="2" t="str">
        <x:f>'Research &amp; Analysis'!D239</x:f>
        <x:v>CSBBO - Banking Ops</x:v>
      </x:c>
      <x:c r="E967" s="2" t="str">
        <x:v>Research &amp; Analysis</x:v>
      </x:c>
      <x:c r="F967" s="56" t="str">
        <x:f>'Research &amp; Analysis'!E239</x:f>
        <x:v>RA.BO.3.4</x:v>
      </x:c>
      <x:c r="G967" s="14" t="str">
        <x:f>'Research &amp; Analysis'!F239</x:f>
        <x:v>Attend Forum meeting with D&amp;I to assist with answering stakeholder questions (as needed)</x:v>
      </x:c>
      <x:c r="H967" s="2" t="str">
        <x:f>IF('Research &amp; Analysis'!G239="","",'Research &amp; Analysis'!G239)</x:f>
      </x:c>
      <x:c r="I967" s="12" t="str">
        <x:f>IF('Research &amp; Analysis'!H239="","",'Research &amp; Analysis'!H239)</x:f>
      </x:c>
      <x:c r="J967" s="12" t="str">
        <x:f>IF('Research &amp; Analysis'!I239="","",'Research &amp; Analysis'!I239)</x:f>
      </x:c>
      <x:c r="K967" s="12" t="str">
        <x:f>IF('Research &amp; Analysis'!J239="","",'Research &amp; Analysis'!J239)</x:f>
      </x:c>
      <x:c r="L967" s="2" t="str">
        <x:f>IF('Research &amp; Analysis'!K239="","",'Research &amp; Analysis'!K239)</x:f>
      </x:c>
      <x:c r="M967" s="2" t="n">
        <x:f>'Research &amp; Analysis'!Q239</x:f>
        <x:v>1</x:v>
      </x:c>
      <x:c r="N967" s="2" t="str">
        <x:f>'Research &amp; Analysis'!L239</x:f>
        <x:v>Not started</x:v>
      </x:c>
      <x:c r="O967" s="2" t="str">
        <x:f>'Research &amp; Analysis'!N239</x:f>
        <x:v>RA.BO.3.4.2026.CY2</x:v>
      </x:c>
      <x:c r="P967" s="2" t="n">
        <x:f>'Research &amp; Analysis'!O239</x:f>
        <x:v>0</x:v>
      </x:c>
      <x:c r="Q967" s="2" t="n">
        <x:f>SUBTOTAL(103,O967)</x:f>
        <x:v>1</x:v>
      </x:c>
      <x:c r="R967" s="2" t="n">
        <x:f>IF(AND(M967=1,OR(Dashboard!$B$7="All",Dashboard!$B$7='Cycles &amp; Guide'!$C$5),OR(Dashboard!$D$7="All",Dashboard!$D$7=B967),OR(Dashboard!$F$7="All",Dashboard!$F$7=C967),OR(Dashboard!$H$7="All",Dashboard!$H$7=D967),OR(Dashboard!$K$7="All",Dashboard!$K$7=E967)),1,0)</x:f>
        <x:v>1</x:v>
      </x:c>
      <x:c r="S967" s="2" t="n">
        <x:f>IF(R967=1,SUM($R$10:R967),0)</x:f>
        <x:v>594</x:v>
      </x:c>
      <x:c r="T967" s="2" t="str">
        <x:v>Research &amp; Analysis</x:v>
      </x:c>
      <x:c r="U967" s="2" t="n">
        <x:v>239</x:v>
      </x:c>
      <x:c r="V967" s="2" t="n">
        <x:f>IF(AND(M967=1,P967=0,ISNUMBER(J967),J967&lt;TODAY()),1,0)</x:f>
        <x:v>0</x:v>
      </x:c>
      <x:c r="W967" s="2" t="str">
        <x:f>'Research &amp; Analysis'!M239</x:f>
        <x:v>Task</x:v>
      </x:c>
    </x:row>
    <x:row r="968" ht="40" customHeight="1">
      <x:c r="A968" s="3" t="str">
        <x:f>HYPERLINK("#'Research &amp; Analysis'!A240","Open")</x:f>
        <x:v>Open</x:v>
      </x:c>
      <x:c r="B968" s="2" t="str">
        <x:f>'Research &amp; Analysis'!B240</x:f>
        <x:v>Cycle 2</x:v>
      </x:c>
      <x:c r="C968" s="2" t="str">
        <x:f>'Research &amp; Analysis'!C240</x:f>
        <x:v>Phase 1</x:v>
      </x:c>
      <x:c r="D968" s="2" t="str">
        <x:f>'Research &amp; Analysis'!D240</x:f>
        <x:v>CSBBO - Customer Service</x:v>
      </x:c>
      <x:c r="E968" s="2" t="str">
        <x:v>Research &amp; Analysis</x:v>
      </x:c>
      <x:c r="F968" s="56" t="str">
        <x:f>'Research &amp; Analysis'!E240</x:f>
        <x:v>RA.CS.1.1</x:v>
      </x:c>
      <x:c r="G968" s="14" t="str">
        <x:f>'Research &amp; Analysis'!F240</x:f>
        <x:v>Begin Research process 2 weeks prior to Cycle start</x:v>
      </x:c>
      <x:c r="H968" s="2" t="str">
        <x:f>IF('Research &amp; Analysis'!G240="","",'Research &amp; Analysis'!G240)</x:f>
      </x:c>
      <x:c r="I968" s="12" t="str">
        <x:f>IF('Research &amp; Analysis'!H240="","",'Research &amp; Analysis'!H240)</x:f>
      </x:c>
      <x:c r="J968" s="12" t="n">
        <x:f>IF('Research &amp; Analysis'!I240="","",'Research &amp; Analysis'!I240)</x:f>
        <x:v>46099</x:v>
      </x:c>
      <x:c r="K968" s="12" t="str">
        <x:f>IF('Research &amp; Analysis'!J240="","",'Research &amp; Analysis'!J240)</x:f>
      </x:c>
      <x:c r="L968" s="2" t="str">
        <x:f>IF('Research &amp; Analysis'!K240="","",'Research &amp; Analysis'!K240)</x:f>
      </x:c>
      <x:c r="M968" s="2" t="n">
        <x:f>'Research &amp; Analysis'!Q240</x:f>
        <x:v>1</x:v>
      </x:c>
      <x:c r="N968" s="2" t="str">
        <x:f>'Research &amp; Analysis'!L240</x:f>
        <x:v>Not started</x:v>
      </x:c>
      <x:c r="O968" s="2" t="str">
        <x:f>'Research &amp; Analysis'!N240</x:f>
        <x:v>RA.CS.1.1.2026.CY2</x:v>
      </x:c>
      <x:c r="P968" s="2" t="n">
        <x:f>'Research &amp; Analysis'!O240</x:f>
        <x:v>0</x:v>
      </x:c>
      <x:c r="Q968" s="2" t="n">
        <x:f>SUBTOTAL(103,O968)</x:f>
        <x:v>1</x:v>
      </x:c>
      <x:c r="R968" s="2" t="n">
        <x:f>IF(AND(M968=1,OR(Dashboard!$B$7="All",Dashboard!$B$7='Cycles &amp; Guide'!$C$5),OR(Dashboard!$D$7="All",Dashboard!$D$7=B968),OR(Dashboard!$F$7="All",Dashboard!$F$7=C968),OR(Dashboard!$H$7="All",Dashboard!$H$7=D968),OR(Dashboard!$K$7="All",Dashboard!$K$7=E968)),1,0)</x:f>
        <x:v>1</x:v>
      </x:c>
      <x:c r="S968" s="2" t="n">
        <x:f>IF(R968=1,SUM($R$10:R968),0)</x:f>
        <x:v>595</x:v>
      </x:c>
      <x:c r="T968" s="2" t="str">
        <x:v>Research &amp; Analysis</x:v>
      </x:c>
      <x:c r="U968" s="2" t="n">
        <x:v>240</x:v>
      </x:c>
      <x:c r="V968" s="2" t="n">
        <x:f>IF(AND(M968=1,P968=0,ISNUMBER(J968),J968&lt;TODAY()),1,0)</x:f>
        <x:v>1</x:v>
      </x:c>
      <x:c r="W968" s="2" t="str">
        <x:f>'Research &amp; Analysis'!M240</x:f>
        <x:v>Task</x:v>
      </x:c>
    </x:row>
    <x:row r="969" ht="40" customHeight="1">
      <x:c r="A969" s="3" t="str">
        <x:f>HYPERLINK("#'Research &amp; Analysis'!A241","Open")</x:f>
        <x:v>Open</x:v>
      </x:c>
      <x:c r="B969" s="2" t="str">
        <x:f>'Research &amp; Analysis'!B241</x:f>
        <x:v>Cycle 2</x:v>
      </x:c>
      <x:c r="C969" s="2" t="str">
        <x:f>'Research &amp; Analysis'!C241</x:f>
        <x:v>Phase 1</x:v>
      </x:c>
      <x:c r="D969" s="2" t="str">
        <x:f>'Research &amp; Analysis'!D241</x:f>
        <x:v>CSBBO - Customer Service</x:v>
      </x:c>
      <x:c r="E969" s="2" t="str">
        <x:v>Research &amp; Analysis</x:v>
      </x:c>
      <x:c r="F969" s="56" t="str">
        <x:f>'Research &amp; Analysis'!E241</x:f>
        <x:v>RA.CS.1.2</x:v>
      </x:c>
      <x:c r="G969" s="14" t="str">
        <x:f>'Research &amp; Analysis'!F241</x:f>
        <x:v>Conduct initial assessment of each topic recommendation from SharePoint list</x:v>
      </x:c>
      <x:c r="H969" s="2" t="str">
        <x:f>IF('Research &amp; Analysis'!G241="","",'Research &amp; Analysis'!G241)</x:f>
      </x:c>
      <x:c r="I969" s="12" t="str">
        <x:f>IF('Research &amp; Analysis'!H241="","",'Research &amp; Analysis'!H241)</x:f>
      </x:c>
      <x:c r="J969" s="12" t="n">
        <x:f>IF('Research &amp; Analysis'!I241="","",'Research &amp; Analysis'!I241)</x:f>
        <x:v>46203</x:v>
      </x:c>
      <x:c r="K969" s="12" t="str">
        <x:f>IF('Research &amp; Analysis'!J241="","",'Research &amp; Analysis'!J241)</x:f>
      </x:c>
      <x:c r="L969" s="2" t="str">
        <x:f>IF('Research &amp; Analysis'!K241="","",'Research &amp; Analysis'!K241)</x:f>
      </x:c>
      <x:c r="M969" s="2" t="n">
        <x:f>'Research &amp; Analysis'!Q241</x:f>
        <x:v>1</x:v>
      </x:c>
      <x:c r="N969" s="2" t="str">
        <x:f>'Research &amp; Analysis'!L241</x:f>
        <x:v>Not started</x:v>
      </x:c>
      <x:c r="O969" s="2" t="str">
        <x:f>'Research &amp; Analysis'!N241</x:f>
        <x:v>RA.CS.1.2.2026.CY2</x:v>
      </x:c>
      <x:c r="P969" s="2" t="n">
        <x:f>'Research &amp; Analysis'!O241</x:f>
        <x:v>0</x:v>
      </x:c>
      <x:c r="Q969" s="2" t="n">
        <x:f>SUBTOTAL(103,O969)</x:f>
        <x:v>1</x:v>
      </x:c>
      <x:c r="R969" s="2" t="n">
        <x:f>IF(AND(M969=1,OR(Dashboard!$B$7="All",Dashboard!$B$7='Cycles &amp; Guide'!$C$5),OR(Dashboard!$D$7="All",Dashboard!$D$7=B969),OR(Dashboard!$F$7="All",Dashboard!$F$7=C969),OR(Dashboard!$H$7="All",Dashboard!$H$7=D969),OR(Dashboard!$K$7="All",Dashboard!$K$7=E969)),1,0)</x:f>
        <x:v>1</x:v>
      </x:c>
      <x:c r="S969" s="2" t="n">
        <x:f>IF(R969=1,SUM($R$10:R969),0)</x:f>
        <x:v>596</x:v>
      </x:c>
      <x:c r="T969" s="2" t="str">
        <x:v>Research &amp; Analysis</x:v>
      </x:c>
      <x:c r="U969" s="2" t="n">
        <x:v>241</x:v>
      </x:c>
      <x:c r="V969" s="2" t="n">
        <x:f>IF(AND(M969=1,P969=0,ISNUMBER(J969),J969&lt;TODAY()),1,0)</x:f>
        <x:v>1</x:v>
      </x:c>
      <x:c r="W969" s="2" t="str">
        <x:f>'Research &amp; Analysis'!M241</x:f>
        <x:v>Task</x:v>
      </x:c>
    </x:row>
    <x:row r="970" ht="40" customHeight="1">
      <x:c r="A970" s="3" t="str">
        <x:f>HYPERLINK("#'Research &amp; Analysis'!A242","Open")</x:f>
        <x:v>Open</x:v>
      </x:c>
      <x:c r="B970" s="2" t="str">
        <x:f>'Research &amp; Analysis'!B242</x:f>
        <x:v>Cycle 2</x:v>
      </x:c>
      <x:c r="C970" s="2" t="str">
        <x:f>'Research &amp; Analysis'!C242</x:f>
        <x:v>Phase 1</x:v>
      </x:c>
      <x:c r="D970" s="2" t="str">
        <x:f>'Research &amp; Analysis'!D242</x:f>
        <x:v>CSBBO - Customer Service</x:v>
      </x:c>
      <x:c r="E970" s="2" t="str">
        <x:v>Research &amp; Analysis</x:v>
      </x:c>
      <x:c r="F970" s="56" t="str">
        <x:f>'Research &amp; Analysis'!E242</x:f>
        <x:v>RA.CS.1.3</x:v>
      </x:c>
      <x:c r="G970" s="14" t="str">
        <x:f>'Research &amp; Analysis'!F242</x:f>
        <x:v>Identify best topic for Cycle</x:v>
      </x:c>
      <x:c r="H970" s="2" t="str">
        <x:f>IF('Research &amp; Analysis'!G242="","",'Research &amp; Analysis'!G242)</x:f>
      </x:c>
      <x:c r="I970" s="12" t="str">
        <x:f>IF('Research &amp; Analysis'!H242="","",'Research &amp; Analysis'!H242)</x:f>
      </x:c>
      <x:c r="J970" s="12" t="n">
        <x:f>IF('Research &amp; Analysis'!I242="","",'Research &amp; Analysis'!I242)</x:f>
        <x:v>46203</x:v>
      </x:c>
      <x:c r="K970" s="12" t="str">
        <x:f>IF('Research &amp; Analysis'!J242="","",'Research &amp; Analysis'!J242)</x:f>
      </x:c>
      <x:c r="L970" s="2" t="str">
        <x:f>IF('Research &amp; Analysis'!K242="","",'Research &amp; Analysis'!K242)</x:f>
      </x:c>
      <x:c r="M970" s="2" t="n">
        <x:f>'Research &amp; Analysis'!Q242</x:f>
        <x:v>1</x:v>
      </x:c>
      <x:c r="N970" s="2" t="str">
        <x:f>'Research &amp; Analysis'!L242</x:f>
        <x:v>Not started</x:v>
      </x:c>
      <x:c r="O970" s="2" t="str">
        <x:f>'Research &amp; Analysis'!N242</x:f>
        <x:v>RA.CS.1.3.2026.CY2</x:v>
      </x:c>
      <x:c r="P970" s="2" t="n">
        <x:f>'Research &amp; Analysis'!O242</x:f>
        <x:v>0</x:v>
      </x:c>
      <x:c r="Q970" s="2" t="n">
        <x:f>SUBTOTAL(103,O970)</x:f>
        <x:v>1</x:v>
      </x:c>
      <x:c r="R970" s="2" t="n">
        <x:f>IF(AND(M970=1,OR(Dashboard!$B$7="All",Dashboard!$B$7='Cycles &amp; Guide'!$C$5),OR(Dashboard!$D$7="All",Dashboard!$D$7=B970),OR(Dashboard!$F$7="All",Dashboard!$F$7=C970),OR(Dashboard!$H$7="All",Dashboard!$H$7=D970),OR(Dashboard!$K$7="All",Dashboard!$K$7=E970)),1,0)</x:f>
        <x:v>1</x:v>
      </x:c>
      <x:c r="S970" s="2" t="n">
        <x:f>IF(R970=1,SUM($R$10:R970),0)</x:f>
        <x:v>597</x:v>
      </x:c>
      <x:c r="T970" s="2" t="str">
        <x:v>Research &amp; Analysis</x:v>
      </x:c>
      <x:c r="U970" s="2" t="n">
        <x:v>242</x:v>
      </x:c>
      <x:c r="V970" s="2" t="n">
        <x:f>IF(AND(M970=1,P970=0,ISNUMBER(J970),J970&lt;TODAY()),1,0)</x:f>
        <x:v>1</x:v>
      </x:c>
      <x:c r="W970" s="2" t="str">
        <x:f>'Research &amp; Analysis'!M242</x:f>
        <x:v>Task</x:v>
      </x:c>
    </x:row>
    <x:row r="971" ht="40" customHeight="1">
      <x:c r="A971" s="3" t="str">
        <x:f>HYPERLINK("#'Research &amp; Analysis'!A243","Open")</x:f>
        <x:v>Open</x:v>
      </x:c>
      <x:c r="B971" s="2" t="str">
        <x:f>'Research &amp; Analysis'!B243</x:f>
        <x:v>Cycle 2</x:v>
      </x:c>
      <x:c r="C971" s="2" t="str">
        <x:f>'Research &amp; Analysis'!C243</x:f>
        <x:v>Phase 1</x:v>
      </x:c>
      <x:c r="D971" s="2" t="str">
        <x:f>'Research &amp; Analysis'!D243</x:f>
        <x:v>CSBBO - Customer Service</x:v>
      </x:c>
      <x:c r="E971" s="2" t="str">
        <x:v>Research &amp; Analysis</x:v>
      </x:c>
      <x:c r="F971" s="56" t="str">
        <x:f>'Research &amp; Analysis'!E243</x:f>
        <x:v>RA.CS.1.4</x:v>
      </x:c>
      <x:c r="G971" s="14" t="str">
        <x:f>'Research &amp; Analysis'!F243</x:f>
        <x:v>Identify backup topic for Cycle</x:v>
      </x:c>
      <x:c r="H971" s="2" t="str">
        <x:f>IF('Research &amp; Analysis'!G243="","",'Research &amp; Analysis'!G243)</x:f>
      </x:c>
      <x:c r="I971" s="12" t="str">
        <x:f>IF('Research &amp; Analysis'!H243="","",'Research &amp; Analysis'!H243)</x:f>
      </x:c>
      <x:c r="J971" s="12" t="n">
        <x:f>IF('Research &amp; Analysis'!I243="","",'Research &amp; Analysis'!I243)</x:f>
        <x:v>46203</x:v>
      </x:c>
      <x:c r="K971" s="12" t="str">
        <x:f>IF('Research &amp; Analysis'!J243="","",'Research &amp; Analysis'!J243)</x:f>
      </x:c>
      <x:c r="L971" s="2" t="str">
        <x:f>IF('Research &amp; Analysis'!K243="","",'Research &amp; Analysis'!K243)</x:f>
      </x:c>
      <x:c r="M971" s="2" t="n">
        <x:f>'Research &amp; Analysis'!Q243</x:f>
        <x:v>1</x:v>
      </x:c>
      <x:c r="N971" s="2" t="str">
        <x:f>'Research &amp; Analysis'!L243</x:f>
        <x:v>Not started</x:v>
      </x:c>
      <x:c r="O971" s="2" t="str">
        <x:f>'Research &amp; Analysis'!N243</x:f>
        <x:v>RA.CS.1.4.2026.CY2</x:v>
      </x:c>
      <x:c r="P971" s="2" t="n">
        <x:f>'Research &amp; Analysis'!O243</x:f>
        <x:v>0</x:v>
      </x:c>
      <x:c r="Q971" s="2" t="n">
        <x:f>SUBTOTAL(103,O971)</x:f>
        <x:v>1</x:v>
      </x:c>
      <x:c r="R971" s="2" t="n">
        <x:f>IF(AND(M971=1,OR(Dashboard!$B$7="All",Dashboard!$B$7='Cycles &amp; Guide'!$C$5),OR(Dashboard!$D$7="All",Dashboard!$D$7=B971),OR(Dashboard!$F$7="All",Dashboard!$F$7=C971),OR(Dashboard!$H$7="All",Dashboard!$H$7=D971),OR(Dashboard!$K$7="All",Dashboard!$K$7=E971)),1,0)</x:f>
        <x:v>1</x:v>
      </x:c>
      <x:c r="S971" s="2" t="n">
        <x:f>IF(R971=1,SUM($R$10:R971),0)</x:f>
        <x:v>598</x:v>
      </x:c>
      <x:c r="T971" s="2" t="str">
        <x:v>Research &amp; Analysis</x:v>
      </x:c>
      <x:c r="U971" s="2" t="n">
        <x:v>243</x:v>
      </x:c>
      <x:c r="V971" s="2" t="n">
        <x:f>IF(AND(M971=1,P971=0,ISNUMBER(J971),J971&lt;TODAY()),1,0)</x:f>
        <x:v>1</x:v>
      </x:c>
      <x:c r="W971" s="2" t="str">
        <x:f>'Research &amp; Analysis'!M243</x:f>
        <x:v>Task</x:v>
      </x:c>
    </x:row>
    <x:row r="972" ht="40" customHeight="1">
      <x:c r="A972" s="3" t="str">
        <x:f>HYPERLINK("#'Research &amp; Analysis'!A244","Open")</x:f>
        <x:v>Open</x:v>
      </x:c>
      <x:c r="B972" s="2" t="str">
        <x:f>'Research &amp; Analysis'!B244</x:f>
        <x:v>Cycle 2</x:v>
      </x:c>
      <x:c r="C972" s="2" t="str">
        <x:f>'Research &amp; Analysis'!C244</x:f>
        <x:v>Phase 1</x:v>
      </x:c>
      <x:c r="D972" s="2" t="str">
        <x:f>'Research &amp; Analysis'!D244</x:f>
        <x:v>CSBBO - Customer Service</x:v>
      </x:c>
      <x:c r="E972" s="2" t="str">
        <x:v>Research &amp; Analysis</x:v>
      </x:c>
      <x:c r="F972" s="56" t="str">
        <x:f>'Research &amp; Analysis'!E244</x:f>
        <x:v>RA.CS.1.5</x:v>
      </x:c>
      <x:c r="G972" s="14" t="str">
        <x:f>'Research &amp; Analysis'!F244</x:f>
        <x:v>Schedule topic approval meeting with D&amp;I and management</x:v>
      </x:c>
      <x:c r="H972" s="2" t="str">
        <x:f>IF('Research &amp; Analysis'!G244="","",'Research &amp; Analysis'!G244)</x:f>
      </x:c>
      <x:c r="I972" s="12" t="str">
        <x:f>IF('Research &amp; Analysis'!H244="","",'Research &amp; Analysis'!H244)</x:f>
      </x:c>
      <x:c r="J972" s="12" t="n">
        <x:f>IF('Research &amp; Analysis'!I244="","",'Research &amp; Analysis'!I244)</x:f>
        <x:v>46203</x:v>
      </x:c>
      <x:c r="K972" s="12" t="str">
        <x:f>IF('Research &amp; Analysis'!J244="","",'Research &amp; Analysis'!J244)</x:f>
      </x:c>
      <x:c r="L972" s="2" t="str">
        <x:f>IF('Research &amp; Analysis'!K244="","",'Research &amp; Analysis'!K244)</x:f>
      </x:c>
      <x:c r="M972" s="2" t="n">
        <x:f>'Research &amp; Analysis'!Q244</x:f>
        <x:v>1</x:v>
      </x:c>
      <x:c r="N972" s="2" t="str">
        <x:f>'Research &amp; Analysis'!L244</x:f>
        <x:v>Not started</x:v>
      </x:c>
      <x:c r="O972" s="2" t="str">
        <x:f>'Research &amp; Analysis'!N244</x:f>
        <x:v>RA.CS.1.5.2026.CY2</x:v>
      </x:c>
      <x:c r="P972" s="2" t="n">
        <x:f>'Research &amp; Analysis'!O244</x:f>
        <x:v>0</x:v>
      </x:c>
      <x:c r="Q972" s="2" t="n">
        <x:f>SUBTOTAL(103,O972)</x:f>
        <x:v>1</x:v>
      </x:c>
      <x:c r="R972" s="2" t="n">
        <x:f>IF(AND(M972=1,OR(Dashboard!$B$7="All",Dashboard!$B$7='Cycles &amp; Guide'!$C$5),OR(Dashboard!$D$7="All",Dashboard!$D$7=B972),OR(Dashboard!$F$7="All",Dashboard!$F$7=C972),OR(Dashboard!$H$7="All",Dashboard!$H$7=D972),OR(Dashboard!$K$7="All",Dashboard!$K$7=E972)),1,0)</x:f>
        <x:v>1</x:v>
      </x:c>
      <x:c r="S972" s="2" t="n">
        <x:f>IF(R972=1,SUM($R$10:R972),0)</x:f>
        <x:v>599</x:v>
      </x:c>
      <x:c r="T972" s="2" t="str">
        <x:v>Research &amp; Analysis</x:v>
      </x:c>
      <x:c r="U972" s="2" t="n">
        <x:v>244</x:v>
      </x:c>
      <x:c r="V972" s="2" t="n">
        <x:f>IF(AND(M972=1,P972=0,ISNUMBER(J972),J972&lt;TODAY()),1,0)</x:f>
        <x:v>1</x:v>
      </x:c>
      <x:c r="W972" s="2" t="str">
        <x:f>'Research &amp; Analysis'!M244</x:f>
        <x:v>Task</x:v>
      </x:c>
    </x:row>
    <x:row r="973" ht="40" customHeight="1">
      <x:c r="A973" s="3" t="str">
        <x:f>HYPERLINK("#'Research &amp; Analysis'!A245","Open")</x:f>
        <x:v>Open</x:v>
      </x:c>
      <x:c r="B973" s="2" t="str">
        <x:f>'Research &amp; Analysis'!B245</x:f>
        <x:v>Cycle 2</x:v>
      </x:c>
      <x:c r="C973" s="2" t="str">
        <x:f>'Research &amp; Analysis'!C245</x:f>
        <x:v>Phase 1</x:v>
      </x:c>
      <x:c r="D973" s="2" t="str">
        <x:f>'Research &amp; Analysis'!D245</x:f>
        <x:v>CSBBO - Customer Service</x:v>
      </x:c>
      <x:c r="E973" s="2" t="str">
        <x:v>Research &amp; Analysis</x:v>
      </x:c>
      <x:c r="F973" s="56" t="str">
        <x:f>'Research &amp; Analysis'!E245</x:f>
        <x:v>RA.CS.1.6</x:v>
      </x:c>
      <x:c r="G973" s="14" t="str">
        <x:f>'Research &amp; Analysis'!F245</x:f>
        <x:v>Present recommended topic to D&amp;I and management for approval</x:v>
      </x:c>
      <x:c r="H973" s="2" t="str">
        <x:f>IF('Research &amp; Analysis'!G245="","",'Research &amp; Analysis'!G245)</x:f>
      </x:c>
      <x:c r="I973" s="12" t="str">
        <x:f>IF('Research &amp; Analysis'!H245="","",'Research &amp; Analysis'!H245)</x:f>
      </x:c>
      <x:c r="J973" s="12" t="n">
        <x:f>IF('Research &amp; Analysis'!I245="","",'Research &amp; Analysis'!I245)</x:f>
        <x:v>46203</x:v>
      </x:c>
      <x:c r="K973" s="12" t="str">
        <x:f>IF('Research &amp; Analysis'!J245="","",'Research &amp; Analysis'!J245)</x:f>
      </x:c>
      <x:c r="L973" s="2" t="str">
        <x:f>IF('Research &amp; Analysis'!K245="","",'Research &amp; Analysis'!K245)</x:f>
      </x:c>
      <x:c r="M973" s="2" t="n">
        <x:f>'Research &amp; Analysis'!Q245</x:f>
        <x:v>1</x:v>
      </x:c>
      <x:c r="N973" s="2" t="str">
        <x:f>'Research &amp; Analysis'!L245</x:f>
        <x:v>Not started</x:v>
      </x:c>
      <x:c r="O973" s="2" t="str">
        <x:f>'Research &amp; Analysis'!N245</x:f>
        <x:v>RA.CS.1.6.2026.CY2</x:v>
      </x:c>
      <x:c r="P973" s="2" t="n">
        <x:f>'Research &amp; Analysis'!O245</x:f>
        <x:v>0</x:v>
      </x:c>
      <x:c r="Q973" s="2" t="n">
        <x:f>SUBTOTAL(103,O973)</x:f>
        <x:v>1</x:v>
      </x:c>
      <x:c r="R973" s="2" t="n">
        <x:f>IF(AND(M973=1,OR(Dashboard!$B$7="All",Dashboard!$B$7='Cycles &amp; Guide'!$C$5),OR(Dashboard!$D$7="All",Dashboard!$D$7=B973),OR(Dashboard!$F$7="All",Dashboard!$F$7=C973),OR(Dashboard!$H$7="All",Dashboard!$H$7=D973),OR(Dashboard!$K$7="All",Dashboard!$K$7=E973)),1,0)</x:f>
        <x:v>1</x:v>
      </x:c>
      <x:c r="S973" s="2" t="n">
        <x:f>IF(R973=1,SUM($R$10:R973),0)</x:f>
        <x:v>600</x:v>
      </x:c>
      <x:c r="T973" s="2" t="str">
        <x:v>Research &amp; Analysis</x:v>
      </x:c>
      <x:c r="U973" s="2" t="n">
        <x:v>245</x:v>
      </x:c>
      <x:c r="V973" s="2" t="n">
        <x:f>IF(AND(M973=1,P973=0,ISNUMBER(J973),J973&lt;TODAY()),1,0)</x:f>
        <x:v>1</x:v>
      </x:c>
      <x:c r="W973" s="2" t="str">
        <x:f>'Research &amp; Analysis'!M245</x:f>
        <x:v>Task</x:v>
      </x:c>
    </x:row>
    <x:row r="974" ht="40" customHeight="1">
      <x:c r="A974" s="3" t="str">
        <x:f>HYPERLINK("#'Research &amp; Analysis'!A246","Open")</x:f>
        <x:v>Open</x:v>
      </x:c>
      <x:c r="B974" s="2" t="str">
        <x:f>'Research &amp; Analysis'!B246</x:f>
        <x:v>Cycle 2</x:v>
      </x:c>
      <x:c r="C974" s="2" t="str">
        <x:f>'Research &amp; Analysis'!C246</x:f>
        <x:v>Phase 1</x:v>
      </x:c>
      <x:c r="D974" s="2" t="str">
        <x:f>'Research &amp; Analysis'!D246</x:f>
        <x:v>CSBBO - Customer Service</x:v>
      </x:c>
      <x:c r="E974" s="2" t="str">
        <x:v>Research &amp; Analysis</x:v>
      </x:c>
      <x:c r="F974" s="56" t="str">
        <x:f>'Research &amp; Analysis'!E246</x:f>
        <x:v>RA.CS.1.7</x:v>
      </x:c>
      <x:c r="G974" s="14" t="str">
        <x:f>'Research &amp; Analysis'!F246</x:f>
        <x:v>Obtain formal topic selection approval from management via SharePoint</x:v>
      </x:c>
      <x:c r="H974" s="2" t="str">
        <x:f>IF('Research &amp; Analysis'!G246="","",'Research &amp; Analysis'!G246)</x:f>
      </x:c>
      <x:c r="I974" s="12" t="str">
        <x:f>IF('Research &amp; Analysis'!H246="","",'Research &amp; Analysis'!H246)</x:f>
      </x:c>
      <x:c r="J974" s="12" t="n">
        <x:f>IF('Research &amp; Analysis'!I246="","",'Research &amp; Analysis'!I246)</x:f>
        <x:v>46203</x:v>
      </x:c>
      <x:c r="K974" s="12" t="str">
        <x:f>IF('Research &amp; Analysis'!J246="","",'Research &amp; Analysis'!J246)</x:f>
      </x:c>
      <x:c r="L974" s="2" t="str">
        <x:f>IF('Research &amp; Analysis'!K246="","",'Research &amp; Analysis'!K246)</x:f>
      </x:c>
      <x:c r="M974" s="2" t="n">
        <x:f>'Research &amp; Analysis'!Q246</x:f>
        <x:v>1</x:v>
      </x:c>
      <x:c r="N974" s="2" t="str">
        <x:f>'Research &amp; Analysis'!L246</x:f>
        <x:v>Not started</x:v>
      </x:c>
      <x:c r="O974" s="2" t="str">
        <x:f>'Research &amp; Analysis'!N246</x:f>
        <x:v>RA.CS.1.7.2026.CY2</x:v>
      </x:c>
      <x:c r="P974" s="2" t="n">
        <x:f>'Research &amp; Analysis'!O246</x:f>
        <x:v>0</x:v>
      </x:c>
      <x:c r="Q974" s="2" t="n">
        <x:f>SUBTOTAL(103,O974)</x:f>
        <x:v>1</x:v>
      </x:c>
      <x:c r="R974" s="2" t="n">
        <x:f>IF(AND(M974=1,OR(Dashboard!$B$7="All",Dashboard!$B$7='Cycles &amp; Guide'!$C$5),OR(Dashboard!$D$7="All",Dashboard!$D$7=B974),OR(Dashboard!$F$7="All",Dashboard!$F$7=C974),OR(Dashboard!$H$7="All",Dashboard!$H$7=D974),OR(Dashboard!$K$7="All",Dashboard!$K$7=E974)),1,0)</x:f>
        <x:v>1</x:v>
      </x:c>
      <x:c r="S974" s="2" t="n">
        <x:f>IF(R974=1,SUM($R$10:R974),0)</x:f>
        <x:v>601</x:v>
      </x:c>
      <x:c r="T974" s="2" t="str">
        <x:v>Research &amp; Analysis</x:v>
      </x:c>
      <x:c r="U974" s="2" t="n">
        <x:v>246</x:v>
      </x:c>
      <x:c r="V974" s="2" t="n">
        <x:f>IF(AND(M974=1,P974=0,ISNUMBER(J974),J974&lt;TODAY()),1,0)</x:f>
        <x:v>1</x:v>
      </x:c>
      <x:c r="W974" s="2" t="str">
        <x:f>'Research &amp; Analysis'!M246</x:f>
        <x:v>Task</x:v>
      </x:c>
    </x:row>
    <x:row r="975" ht="40" customHeight="1">
      <x:c r="A975" s="3" t="str">
        <x:f>HYPERLINK("#'Research &amp; Analysis'!A247","Open")</x:f>
        <x:v>Open</x:v>
      </x:c>
      <x:c r="B975" s="2" t="str">
        <x:f>'Research &amp; Analysis'!B247</x:f>
        <x:v>Cycle 2</x:v>
      </x:c>
      <x:c r="C975" s="2" t="str">
        <x:f>'Research &amp; Analysis'!C247</x:f>
        <x:v>Phase 1</x:v>
      </x:c>
      <x:c r="D975" s="2" t="str">
        <x:f>'Research &amp; Analysis'!D247</x:f>
        <x:v>CSBBO - Customer Service</x:v>
      </x:c>
      <x:c r="E975" s="2" t="str">
        <x:v>Research &amp; Analysis</x:v>
      </x:c>
      <x:c r="F975" s="56" t="str">
        <x:f>'Research &amp; Analysis'!E247</x:f>
        <x:v>RA.CS.1.8</x:v>
      </x:c>
      <x:c r="G975" s="14" t="str">
        <x:f>'Research &amp; Analysis'!F247</x:f>
        <x:v>Socialize topic selection with product owners and subject matter experts (if known)</x:v>
      </x:c>
      <x:c r="H975" s="2" t="str">
        <x:f>IF('Research &amp; Analysis'!G247="","",'Research &amp; Analysis'!G247)</x:f>
      </x:c>
      <x:c r="I975" s="12" t="str">
        <x:f>IF('Research &amp; Analysis'!H247="","",'Research &amp; Analysis'!H247)</x:f>
      </x:c>
      <x:c r="J975" s="12" t="n">
        <x:f>IF('Research &amp; Analysis'!I247="","",'Research &amp; Analysis'!I247)</x:f>
        <x:v>46203</x:v>
      </x:c>
      <x:c r="K975" s="12" t="str">
        <x:f>IF('Research &amp; Analysis'!J247="","",'Research &amp; Analysis'!J247)</x:f>
      </x:c>
      <x:c r="L975" s="2" t="str">
        <x:f>IF('Research &amp; Analysis'!K247="","",'Research &amp; Analysis'!K247)</x:f>
      </x:c>
      <x:c r="M975" s="2" t="n">
        <x:f>'Research &amp; Analysis'!Q247</x:f>
        <x:v>1</x:v>
      </x:c>
      <x:c r="N975" s="2" t="str">
        <x:f>'Research &amp; Analysis'!L247</x:f>
        <x:v>Not started</x:v>
      </x:c>
      <x:c r="O975" s="2" t="str">
        <x:f>'Research &amp; Analysis'!N247</x:f>
        <x:v>RA.CS.1.8.2026.CY2</x:v>
      </x:c>
      <x:c r="P975" s="2" t="n">
        <x:f>'Research &amp; Analysis'!O247</x:f>
        <x:v>0</x:v>
      </x:c>
      <x:c r="Q975" s="2" t="n">
        <x:f>SUBTOTAL(103,O975)</x:f>
        <x:v>1</x:v>
      </x:c>
      <x:c r="R975" s="2" t="n">
        <x:f>IF(AND(M975=1,OR(Dashboard!$B$7="All",Dashboard!$B$7='Cycles &amp; Guide'!$C$5),OR(Dashboard!$D$7="All",Dashboard!$D$7=B975),OR(Dashboard!$F$7="All",Dashboard!$F$7=C975),OR(Dashboard!$H$7="All",Dashboard!$H$7=D975),OR(Dashboard!$K$7="All",Dashboard!$K$7=E975)),1,0)</x:f>
        <x:v>1</x:v>
      </x:c>
      <x:c r="S975" s="2" t="n">
        <x:f>IF(R975=1,SUM($R$10:R975),0)</x:f>
        <x:v>602</x:v>
      </x:c>
      <x:c r="T975" s="2" t="str">
        <x:v>Research &amp; Analysis</x:v>
      </x:c>
      <x:c r="U975" s="2" t="n">
        <x:v>247</x:v>
      </x:c>
      <x:c r="V975" s="2" t="n">
        <x:f>IF(AND(M975=1,P975=0,ISNUMBER(J975),J975&lt;TODAY()),1,0)</x:f>
        <x:v>1</x:v>
      </x:c>
      <x:c r="W975" s="2" t="str">
        <x:f>'Research &amp; Analysis'!M247</x:f>
        <x:v>Task</x:v>
      </x:c>
    </x:row>
    <x:row r="976" ht="40" customHeight="1">
      <x:c r="A976" s="3" t="str">
        <x:f>HYPERLINK("#'Research &amp; Analysis'!A248","Open")</x:f>
        <x:v>Open</x:v>
      </x:c>
      <x:c r="B976" s="2" t="str">
        <x:f>'Research &amp; Analysis'!B248</x:f>
        <x:v>Cycle 2</x:v>
      </x:c>
      <x:c r="C976" s="2" t="str">
        <x:f>'Research &amp; Analysis'!C248</x:f>
        <x:v>Phase 1</x:v>
      </x:c>
      <x:c r="D976" s="2" t="str">
        <x:f>'Research &amp; Analysis'!D248</x:f>
        <x:v>CSBBO - Customer Service</x:v>
      </x:c>
      <x:c r="E976" s="2" t="str">
        <x:v>Research &amp; Analysis</x:v>
      </x:c>
      <x:c r="F976" s="56" t="str">
        <x:f>'Research &amp; Analysis'!E248</x:f>
        <x:v>RA.CS.1.9</x:v>
      </x:c>
      <x:c r="G976" s="14" t="str">
        <x:f>'Research &amp; Analysis'!F248</x:f>
        <x:v>Assign topic researchers</x:v>
      </x:c>
      <x:c r="H976" s="2" t="str">
        <x:f>IF('Research &amp; Analysis'!G248="","",'Research &amp; Analysis'!G248)</x:f>
      </x:c>
      <x:c r="I976" s="12" t="str">
        <x:f>IF('Research &amp; Analysis'!H248="","",'Research &amp; Analysis'!H248)</x:f>
      </x:c>
      <x:c r="J976" s="12" t="n">
        <x:f>IF('Research &amp; Analysis'!I248="","",'Research &amp; Analysis'!I248)</x:f>
        <x:v>46203</x:v>
      </x:c>
      <x:c r="K976" s="12" t="str">
        <x:f>IF('Research &amp; Analysis'!J248="","",'Research &amp; Analysis'!J248)</x:f>
      </x:c>
      <x:c r="L976" s="2" t="str">
        <x:f>IF('Research &amp; Analysis'!K248="","",'Research &amp; Analysis'!K248)</x:f>
      </x:c>
      <x:c r="M976" s="2" t="n">
        <x:f>'Research &amp; Analysis'!Q248</x:f>
        <x:v>1</x:v>
      </x:c>
      <x:c r="N976" s="2" t="str">
        <x:f>'Research &amp; Analysis'!L248</x:f>
        <x:v>Not started</x:v>
      </x:c>
      <x:c r="O976" s="2" t="str">
        <x:f>'Research &amp; Analysis'!N248</x:f>
        <x:v>RA.CS.1.9.2026.CY2</x:v>
      </x:c>
      <x:c r="P976" s="2" t="n">
        <x:f>'Research &amp; Analysis'!O248</x:f>
        <x:v>0</x:v>
      </x:c>
      <x:c r="Q976" s="2" t="n">
        <x:f>SUBTOTAL(103,O976)</x:f>
        <x:v>1</x:v>
      </x:c>
      <x:c r="R976" s="2" t="n">
        <x:f>IF(AND(M976=1,OR(Dashboard!$B$7="All",Dashboard!$B$7='Cycles &amp; Guide'!$C$5),OR(Dashboard!$D$7="All",Dashboard!$D$7=B976),OR(Dashboard!$F$7="All",Dashboard!$F$7=C976),OR(Dashboard!$H$7="All",Dashboard!$H$7=D976),OR(Dashboard!$K$7="All",Dashboard!$K$7=E976)),1,0)</x:f>
        <x:v>1</x:v>
      </x:c>
      <x:c r="S976" s="2" t="n">
        <x:f>IF(R976=1,SUM($R$10:R976),0)</x:f>
        <x:v>603</x:v>
      </x:c>
      <x:c r="T976" s="2" t="str">
        <x:v>Research &amp; Analysis</x:v>
      </x:c>
      <x:c r="U976" s="2" t="n">
        <x:v>248</x:v>
      </x:c>
      <x:c r="V976" s="2" t="n">
        <x:f>IF(AND(M976=1,P976=0,ISNUMBER(J976),J976&lt;TODAY()),1,0)</x:f>
        <x:v>1</x:v>
      </x:c>
      <x:c r="W976" s="2" t="str">
        <x:f>'Research &amp; Analysis'!M248</x:f>
        <x:v>Task</x:v>
      </x:c>
    </x:row>
    <x:row r="977" ht="40" customHeight="1">
      <x:c r="A977" s="3" t="str">
        <x:f>HYPERLINK("#'Research &amp; Analysis'!A249","Open")</x:f>
        <x:v>Open</x:v>
      </x:c>
      <x:c r="B977" s="2" t="str">
        <x:f>'Research &amp; Analysis'!B249</x:f>
        <x:v>Cycle 2</x:v>
      </x:c>
      <x:c r="C977" s="2" t="str">
        <x:f>'Research &amp; Analysis'!C249</x:f>
        <x:v>Phase 2</x:v>
      </x:c>
      <x:c r="D977" s="2" t="str">
        <x:f>'Research &amp; Analysis'!D249</x:f>
        <x:v>CSBBO - Customer Service</x:v>
      </x:c>
      <x:c r="E977" s="2" t="str">
        <x:v>Research &amp; Analysis</x:v>
      </x:c>
      <x:c r="F977" s="56" t="str">
        <x:f>'Research &amp; Analysis'!E249</x:f>
        <x:v>RA.CS.2.1</x:v>
      </x:c>
      <x:c r="G977" s="14" t="str">
        <x:f>'Research &amp; Analysis'!F249</x:f>
        <x:v>Review data sources</x:v>
      </x:c>
      <x:c r="H977" s="2" t="str">
        <x:f>IF('Research &amp; Analysis'!G249="","",'Research &amp; Analysis'!G249)</x:f>
      </x:c>
      <x:c r="I977" s="12" t="str">
        <x:f>IF('Research &amp; Analysis'!H249="","",'Research &amp; Analysis'!H249)</x:f>
      </x:c>
      <x:c r="J977" s="12" t="n">
        <x:f>IF('Research &amp; Analysis'!I249="","",'Research &amp; Analysis'!I249)</x:f>
        <x:v>46203</x:v>
      </x:c>
      <x:c r="K977" s="12" t="str">
        <x:f>IF('Research &amp; Analysis'!J249="","",'Research &amp; Analysis'!J249)</x:f>
      </x:c>
      <x:c r="L977" s="2" t="str">
        <x:f>IF('Research &amp; Analysis'!K249="","",'Research &amp; Analysis'!K249)</x:f>
      </x:c>
      <x:c r="M977" s="2" t="n">
        <x:f>'Research &amp; Analysis'!Q249</x:f>
        <x:v>1</x:v>
      </x:c>
      <x:c r="N977" s="2" t="str">
        <x:f>'Research &amp; Analysis'!L249</x:f>
        <x:v>Not started</x:v>
      </x:c>
      <x:c r="O977" s="2" t="str">
        <x:f>'Research &amp; Analysis'!N249</x:f>
        <x:v>RA.CS.2.1.2026.CY2</x:v>
      </x:c>
      <x:c r="P977" s="2" t="n">
        <x:f>'Research &amp; Analysis'!O249</x:f>
        <x:v>0</x:v>
      </x:c>
      <x:c r="Q977" s="2" t="n">
        <x:f>SUBTOTAL(103,O977)</x:f>
        <x:v>1</x:v>
      </x:c>
      <x:c r="R977" s="2" t="n">
        <x:f>IF(AND(M977=1,OR(Dashboard!$B$7="All",Dashboard!$B$7='Cycles &amp; Guide'!$C$5),OR(Dashboard!$D$7="All",Dashboard!$D$7=B977),OR(Dashboard!$F$7="All",Dashboard!$F$7=C977),OR(Dashboard!$H$7="All",Dashboard!$H$7=D977),OR(Dashboard!$K$7="All",Dashboard!$K$7=E977)),1,0)</x:f>
        <x:v>1</x:v>
      </x:c>
      <x:c r="S977" s="2" t="n">
        <x:f>IF(R977=1,SUM($R$10:R977),0)</x:f>
        <x:v>604</x:v>
      </x:c>
      <x:c r="T977" s="2" t="str">
        <x:v>Research &amp; Analysis</x:v>
      </x:c>
      <x:c r="U977" s="2" t="n">
        <x:v>249</x:v>
      </x:c>
      <x:c r="V977" s="2" t="n">
        <x:f>IF(AND(M977=1,P977=0,ISNUMBER(J977),J977&lt;TODAY()),1,0)</x:f>
        <x:v>1</x:v>
      </x:c>
      <x:c r="W977" s="2" t="str">
        <x:f>'Research &amp; Analysis'!M249</x:f>
        <x:v>Task</x:v>
      </x:c>
    </x:row>
    <x:row r="978" ht="40" customHeight="1">
      <x:c r="A978" s="3" t="str">
        <x:f>HYPERLINK("#'Research &amp; Analysis'!A250","Open")</x:f>
        <x:v>Open</x:v>
      </x:c>
      <x:c r="B978" s="2" t="str">
        <x:f>'Research &amp; Analysis'!B250</x:f>
        <x:v>Cycle 2</x:v>
      </x:c>
      <x:c r="C978" s="2" t="str">
        <x:f>'Research &amp; Analysis'!C250</x:f>
        <x:v>Phase 2</x:v>
      </x:c>
      <x:c r="D978" s="2" t="str">
        <x:f>'Research &amp; Analysis'!D250</x:f>
        <x:v>CSBBO - Customer Service</x:v>
      </x:c>
      <x:c r="E978" s="2" t="str">
        <x:v>Research &amp; Analysis</x:v>
      </x:c>
      <x:c r="F978" s="56" t="str">
        <x:f>'Research &amp; Analysis'!E250</x:f>
        <x:v>RA.CS.2.2</x:v>
      </x:c>
      <x:c r="G978" s="14" t="str">
        <x:f>'Research &amp; Analysis'!F250</x:f>
        <x:v>Review relevant policies and procedures</x:v>
      </x:c>
      <x:c r="H978" s="2" t="str">
        <x:f>IF('Research &amp; Analysis'!G250="","",'Research &amp; Analysis'!G250)</x:f>
      </x:c>
      <x:c r="I978" s="12" t="str">
        <x:f>IF('Research &amp; Analysis'!H250="","",'Research &amp; Analysis'!H250)</x:f>
      </x:c>
      <x:c r="J978" s="12" t="n">
        <x:f>IF('Research &amp; Analysis'!I250="","",'Research &amp; Analysis'!I250)</x:f>
        <x:v>46203</x:v>
      </x:c>
      <x:c r="K978" s="12" t="str">
        <x:f>IF('Research &amp; Analysis'!J250="","",'Research &amp; Analysis'!J250)</x:f>
      </x:c>
      <x:c r="L978" s="2" t="str">
        <x:f>IF('Research &amp; Analysis'!K250="","",'Research &amp; Analysis'!K250)</x:f>
      </x:c>
      <x:c r="M978" s="2" t="n">
        <x:f>'Research &amp; Analysis'!Q250</x:f>
        <x:v>1</x:v>
      </x:c>
      <x:c r="N978" s="2" t="str">
        <x:f>'Research &amp; Analysis'!L250</x:f>
        <x:v>Not started</x:v>
      </x:c>
      <x:c r="O978" s="2" t="str">
        <x:f>'Research &amp; Analysis'!N250</x:f>
        <x:v>RA.CS.2.2.2026.CY2</x:v>
      </x:c>
      <x:c r="P978" s="2" t="n">
        <x:f>'Research &amp; Analysis'!O250</x:f>
        <x:v>0</x:v>
      </x:c>
      <x:c r="Q978" s="2" t="n">
        <x:f>SUBTOTAL(103,O978)</x:f>
        <x:v>1</x:v>
      </x:c>
      <x:c r="R978" s="2" t="n">
        <x:f>IF(AND(M978=1,OR(Dashboard!$B$7="All",Dashboard!$B$7='Cycles &amp; Guide'!$C$5),OR(Dashboard!$D$7="All",Dashboard!$D$7=B978),OR(Dashboard!$F$7="All",Dashboard!$F$7=C978),OR(Dashboard!$H$7="All",Dashboard!$H$7=D978),OR(Dashboard!$K$7="All",Dashboard!$K$7=E978)),1,0)</x:f>
        <x:v>1</x:v>
      </x:c>
      <x:c r="S978" s="2" t="n">
        <x:f>IF(R978=1,SUM($R$10:R978),0)</x:f>
        <x:v>605</x:v>
      </x:c>
      <x:c r="T978" s="2" t="str">
        <x:v>Research &amp; Analysis</x:v>
      </x:c>
      <x:c r="U978" s="2" t="n">
        <x:v>250</x:v>
      </x:c>
      <x:c r="V978" s="2" t="n">
        <x:f>IF(AND(M978=1,P978=0,ISNUMBER(J978),J978&lt;TODAY()),1,0)</x:f>
        <x:v>1</x:v>
      </x:c>
      <x:c r="W978" s="2" t="str">
        <x:f>'Research &amp; Analysis'!M250</x:f>
        <x:v>Task</x:v>
      </x:c>
    </x:row>
    <x:row r="979" ht="40" customHeight="1">
      <x:c r="A979" s="3" t="str">
        <x:f>HYPERLINK("#'Research &amp; Analysis'!A251","Open")</x:f>
        <x:v>Open</x:v>
      </x:c>
      <x:c r="B979" s="2" t="str">
        <x:f>'Research &amp; Analysis'!B251</x:f>
        <x:v>Cycle 2</x:v>
      </x:c>
      <x:c r="C979" s="2" t="str">
        <x:f>'Research &amp; Analysis'!C251</x:f>
        <x:v>Phase 2</x:v>
      </x:c>
      <x:c r="D979" s="2" t="str">
        <x:f>'Research &amp; Analysis'!D251</x:f>
        <x:v>CSBBO - Customer Service</x:v>
      </x:c>
      <x:c r="E979" s="2" t="str">
        <x:v>Research &amp; Analysis</x:v>
      </x:c>
      <x:c r="F979" s="56" t="str">
        <x:f>'Research &amp; Analysis'!E251</x:f>
        <x:v>RA.CS.2.3</x:v>
      </x:c>
      <x:c r="G979" s="14" t="str">
        <x:f>'Research &amp; Analysis'!F251</x:f>
        <x:v>Meet with SMEs to gain business insight and clarify questions</x:v>
      </x:c>
      <x:c r="H979" s="2" t="str">
        <x:f>IF('Research &amp; Analysis'!G251="","",'Research &amp; Analysis'!G251)</x:f>
      </x:c>
      <x:c r="I979" s="12" t="str">
        <x:f>IF('Research &amp; Analysis'!H251="","",'Research &amp; Analysis'!H251)</x:f>
      </x:c>
      <x:c r="J979" s="12" t="n">
        <x:f>IF('Research &amp; Analysis'!I251="","",'Research &amp; Analysis'!I251)</x:f>
        <x:v>46203</x:v>
      </x:c>
      <x:c r="K979" s="12" t="str">
        <x:f>IF('Research &amp; Analysis'!J251="","",'Research &amp; Analysis'!J251)</x:f>
      </x:c>
      <x:c r="L979" s="2" t="str">
        <x:f>IF('Research &amp; Analysis'!K251="","",'Research &amp; Analysis'!K251)</x:f>
      </x:c>
      <x:c r="M979" s="2" t="n">
        <x:f>'Research &amp; Analysis'!Q251</x:f>
        <x:v>1</x:v>
      </x:c>
      <x:c r="N979" s="2" t="str">
        <x:f>'Research &amp; Analysis'!L251</x:f>
        <x:v>Not started</x:v>
      </x:c>
      <x:c r="O979" s="2" t="str">
        <x:f>'Research &amp; Analysis'!N251</x:f>
        <x:v>RA.CS.2.3.2026.CY2</x:v>
      </x:c>
      <x:c r="P979" s="2" t="n">
        <x:f>'Research &amp; Analysis'!O251</x:f>
        <x:v>0</x:v>
      </x:c>
      <x:c r="Q979" s="2" t="n">
        <x:f>SUBTOTAL(103,O979)</x:f>
        <x:v>1</x:v>
      </x:c>
      <x:c r="R979" s="2" t="n">
        <x:f>IF(AND(M979=1,OR(Dashboard!$B$7="All",Dashboard!$B$7='Cycles &amp; Guide'!$C$5),OR(Dashboard!$D$7="All",Dashboard!$D$7=B979),OR(Dashboard!$F$7="All",Dashboard!$F$7=C979),OR(Dashboard!$H$7="All",Dashboard!$H$7=D979),OR(Dashboard!$K$7="All",Dashboard!$K$7=E979)),1,0)</x:f>
        <x:v>1</x:v>
      </x:c>
      <x:c r="S979" s="2" t="n">
        <x:f>IF(R979=1,SUM($R$10:R979),0)</x:f>
        <x:v>606</x:v>
      </x:c>
      <x:c r="T979" s="2" t="str">
        <x:v>Research &amp; Analysis</x:v>
      </x:c>
      <x:c r="U979" s="2" t="n">
        <x:v>251</x:v>
      </x:c>
      <x:c r="V979" s="2" t="n">
        <x:f>IF(AND(M979=1,P979=0,ISNUMBER(J979),J979&lt;TODAY()),1,0)</x:f>
        <x:v>1</x:v>
      </x:c>
      <x:c r="W979" s="2" t="str">
        <x:f>'Research &amp; Analysis'!M251</x:f>
        <x:v>Task</x:v>
      </x:c>
    </x:row>
    <x:row r="980" ht="40" customHeight="1">
      <x:c r="A980" s="3" t="str">
        <x:f>HYPERLINK("#'Research &amp; Analysis'!A252","Open")</x:f>
        <x:v>Open</x:v>
      </x:c>
      <x:c r="B980" s="2" t="str">
        <x:f>'Research &amp; Analysis'!B252</x:f>
        <x:v>Cycle 2</x:v>
      </x:c>
      <x:c r="C980" s="2" t="str">
        <x:f>'Research &amp; Analysis'!C252</x:f>
        <x:v>Phase 2</x:v>
      </x:c>
      <x:c r="D980" s="2" t="str">
        <x:f>'Research &amp; Analysis'!D252</x:f>
        <x:v>CSBBO - Customer Service</x:v>
      </x:c>
      <x:c r="E980" s="2" t="str">
        <x:v>Research &amp; Analysis</x:v>
      </x:c>
      <x:c r="F980" s="56" t="str">
        <x:f>'Research &amp; Analysis'!E252</x:f>
        <x:v>RA.CS.2.4</x:v>
      </x:c>
      <x:c r="G980" s="14" t="str">
        <x:f>'Research &amp; Analysis'!F252</x:f>
        <x:v>Establish and maintain a recurring meeting with D&amp;I to discuss Cycle progress</x:v>
      </x:c>
      <x:c r="H980" s="2" t="str">
        <x:f>IF('Research &amp; Analysis'!G252="","",'Research &amp; Analysis'!G252)</x:f>
      </x:c>
      <x:c r="I980" s="12" t="str">
        <x:f>IF('Research &amp; Analysis'!H252="","",'Research &amp; Analysis'!H252)</x:f>
      </x:c>
      <x:c r="J980" s="12" t="n">
        <x:f>IF('Research &amp; Analysis'!I252="","",'Research &amp; Analysis'!I252)</x:f>
        <x:v>46203</x:v>
      </x:c>
      <x:c r="K980" s="12" t="str">
        <x:f>IF('Research &amp; Analysis'!J252="","",'Research &amp; Analysis'!J252)</x:f>
      </x:c>
      <x:c r="L980" s="2" t="str">
        <x:f>IF('Research &amp; Analysis'!K252="","",'Research &amp; Analysis'!K252)</x:f>
      </x:c>
      <x:c r="M980" s="2" t="n">
        <x:f>'Research &amp; Analysis'!Q252</x:f>
        <x:v>1</x:v>
      </x:c>
      <x:c r="N980" s="2" t="str">
        <x:f>'Research &amp; Analysis'!L252</x:f>
        <x:v>Not started</x:v>
      </x:c>
      <x:c r="O980" s="2" t="str">
        <x:f>'Research &amp; Analysis'!N252</x:f>
        <x:v>RA.CS.2.4.2026.CY2</x:v>
      </x:c>
      <x:c r="P980" s="2" t="n">
        <x:f>'Research &amp; Analysis'!O252</x:f>
        <x:v>0</x:v>
      </x:c>
      <x:c r="Q980" s="2" t="n">
        <x:f>SUBTOTAL(103,O980)</x:f>
        <x:v>1</x:v>
      </x:c>
      <x:c r="R980" s="2" t="n">
        <x:f>IF(AND(M980=1,OR(Dashboard!$B$7="All",Dashboard!$B$7='Cycles &amp; Guide'!$C$5),OR(Dashboard!$D$7="All",Dashboard!$D$7=B980),OR(Dashboard!$F$7="All",Dashboard!$F$7=C980),OR(Dashboard!$H$7="All",Dashboard!$H$7=D980),OR(Dashboard!$K$7="All",Dashboard!$K$7=E980)),1,0)</x:f>
        <x:v>1</x:v>
      </x:c>
      <x:c r="S980" s="2" t="n">
        <x:f>IF(R980=1,SUM($R$10:R980),0)</x:f>
        <x:v>607</x:v>
      </x:c>
      <x:c r="T980" s="2" t="str">
        <x:v>Research &amp; Analysis</x:v>
      </x:c>
      <x:c r="U980" s="2" t="n">
        <x:v>252</x:v>
      </x:c>
      <x:c r="V980" s="2" t="n">
        <x:f>IF(AND(M980=1,P980=0,ISNUMBER(J980),J980&lt;TODAY()),1,0)</x:f>
        <x:v>1</x:v>
      </x:c>
      <x:c r="W980" s="2" t="str">
        <x:f>'Research &amp; Analysis'!M252</x:f>
        <x:v>Task</x:v>
      </x:c>
    </x:row>
    <x:row r="981" ht="40" customHeight="1">
      <x:c r="A981" s="3" t="str">
        <x:f>HYPERLINK("#'Research &amp; Analysis'!A253","Open")</x:f>
        <x:v>Open</x:v>
      </x:c>
      <x:c r="B981" s="2" t="str">
        <x:f>'Research &amp; Analysis'!B253</x:f>
        <x:v>Cycle 2</x:v>
      </x:c>
      <x:c r="C981" s="2" t="str">
        <x:f>'Research &amp; Analysis'!C253</x:f>
        <x:v>Phase 2</x:v>
      </x:c>
      <x:c r="D981" s="2" t="str">
        <x:f>'Research &amp; Analysis'!D253</x:f>
        <x:v>CSBBO - Customer Service</x:v>
      </x:c>
      <x:c r="E981" s="2" t="str">
        <x:v>Research &amp; Analysis</x:v>
      </x:c>
      <x:c r="F981" s="56" t="str">
        <x:f>'Research &amp; Analysis'!E253</x:f>
        <x:v>RA.CS.2.5</x:v>
      </x:c>
      <x:c r="G981" s="14" t="str">
        <x:f>'Research &amp; Analysis'!F253</x:f>
        <x:v>Perform data testing and sampling</x:v>
      </x:c>
      <x:c r="H981" s="2" t="str">
        <x:f>IF('Research &amp; Analysis'!G253="","",'Research &amp; Analysis'!G253)</x:f>
      </x:c>
      <x:c r="I981" s="12" t="str">
        <x:f>IF('Research &amp; Analysis'!H253="","",'Research &amp; Analysis'!H253)</x:f>
      </x:c>
      <x:c r="J981" s="12" t="n">
        <x:f>IF('Research &amp; Analysis'!I253="","",'Research &amp; Analysis'!I253)</x:f>
        <x:v>46203</x:v>
      </x:c>
      <x:c r="K981" s="12" t="str">
        <x:f>IF('Research &amp; Analysis'!J253="","",'Research &amp; Analysis'!J253)</x:f>
      </x:c>
      <x:c r="L981" s="2" t="str">
        <x:f>IF('Research &amp; Analysis'!K253="","",'Research &amp; Analysis'!K253)</x:f>
      </x:c>
      <x:c r="M981" s="2" t="n">
        <x:f>'Research &amp; Analysis'!Q253</x:f>
        <x:v>1</x:v>
      </x:c>
      <x:c r="N981" s="2" t="str">
        <x:f>'Research &amp; Analysis'!L253</x:f>
        <x:v>Not started</x:v>
      </x:c>
      <x:c r="O981" s="2" t="str">
        <x:f>'Research &amp; Analysis'!N253</x:f>
        <x:v>RA.CS.2.5.2026.CY2</x:v>
      </x:c>
      <x:c r="P981" s="2" t="n">
        <x:f>'Research &amp; Analysis'!O253</x:f>
        <x:v>0</x:v>
      </x:c>
      <x:c r="Q981" s="2" t="n">
        <x:f>SUBTOTAL(103,O981)</x:f>
        <x:v>1</x:v>
      </x:c>
      <x:c r="R981" s="2" t="n">
        <x:f>IF(AND(M981=1,OR(Dashboard!$B$7="All",Dashboard!$B$7='Cycles &amp; Guide'!$C$5),OR(Dashboard!$D$7="All",Dashboard!$D$7=B981),OR(Dashboard!$F$7="All",Dashboard!$F$7=C981),OR(Dashboard!$H$7="All",Dashboard!$H$7=D981),OR(Dashboard!$K$7="All",Dashboard!$K$7=E981)),1,0)</x:f>
        <x:v>1</x:v>
      </x:c>
      <x:c r="S981" s="2" t="n">
        <x:f>IF(R981=1,SUM($R$10:R981),0)</x:f>
        <x:v>608</x:v>
      </x:c>
      <x:c r="T981" s="2" t="str">
        <x:v>Research &amp; Analysis</x:v>
      </x:c>
      <x:c r="U981" s="2" t="n">
        <x:v>253</x:v>
      </x:c>
      <x:c r="V981" s="2" t="n">
        <x:f>IF(AND(M981=1,P981=0,ISNUMBER(J981),J981&lt;TODAY()),1,0)</x:f>
        <x:v>1</x:v>
      </x:c>
      <x:c r="W981" s="2" t="str">
        <x:f>'Research &amp; Analysis'!M253</x:f>
        <x:v>Task</x:v>
      </x:c>
    </x:row>
    <x:row r="982" ht="40" customHeight="1">
      <x:c r="A982" s="3" t="str">
        <x:f>HYPERLINK("#'Research &amp; Analysis'!A254","Open")</x:f>
        <x:v>Open</x:v>
      </x:c>
      <x:c r="B982" s="2" t="str">
        <x:f>'Research &amp; Analysis'!B254</x:f>
        <x:v>Cycle 2</x:v>
      </x:c>
      <x:c r="C982" s="2" t="str">
        <x:f>'Research &amp; Analysis'!C254</x:f>
        <x:v>Phase 2</x:v>
      </x:c>
      <x:c r="D982" s="2" t="str">
        <x:f>'Research &amp; Analysis'!D254</x:f>
        <x:v>CSBBO - Customer Service</x:v>
      </x:c>
      <x:c r="E982" s="2" t="str">
        <x:v>Research &amp; Analysis</x:v>
      </x:c>
      <x:c r="F982" s="56" t="str">
        <x:f>'Research &amp; Analysis'!E254</x:f>
        <x:v>RA.CS.2.6</x:v>
      </x:c>
      <x:c r="G982" s="14" t="str">
        <x:f>'Research &amp; Analysis'!F254</x:f>
        <x:v>Complete Positive Testing</x:v>
      </x:c>
      <x:c r="H982" s="2" t="str">
        <x:f>IF('Research &amp; Analysis'!G254="","",'Research &amp; Analysis'!G254)</x:f>
      </x:c>
      <x:c r="I982" s="12" t="str">
        <x:f>IF('Research &amp; Analysis'!H254="","",'Research &amp; Analysis'!H254)</x:f>
      </x:c>
      <x:c r="J982" s="12" t="n">
        <x:f>IF('Research &amp; Analysis'!I254="","",'Research &amp; Analysis'!I254)</x:f>
        <x:v>46203</x:v>
      </x:c>
      <x:c r="K982" s="12" t="str">
        <x:f>IF('Research &amp; Analysis'!J254="","",'Research &amp; Analysis'!J254)</x:f>
      </x:c>
      <x:c r="L982" s="2" t="str">
        <x:f>IF('Research &amp; Analysis'!K254="","",'Research &amp; Analysis'!K254)</x:f>
      </x:c>
      <x:c r="M982" s="2" t="n">
        <x:f>'Research &amp; Analysis'!Q254</x:f>
        <x:v>1</x:v>
      </x:c>
      <x:c r="N982" s="2" t="str">
        <x:f>'Research &amp; Analysis'!L254</x:f>
        <x:v>Not started</x:v>
      </x:c>
      <x:c r="O982" s="2" t="str">
        <x:f>'Research &amp; Analysis'!N254</x:f>
        <x:v>RA.CS.2.6.2026.CY2</x:v>
      </x:c>
      <x:c r="P982" s="2" t="n">
        <x:f>'Research &amp; Analysis'!O254</x:f>
        <x:v>0</x:v>
      </x:c>
      <x:c r="Q982" s="2" t="n">
        <x:f>SUBTOTAL(103,O982)</x:f>
        <x:v>1</x:v>
      </x:c>
      <x:c r="R982" s="2" t="n">
        <x:f>IF(AND(M982=1,OR(Dashboard!$B$7="All",Dashboard!$B$7='Cycles &amp; Guide'!$C$5),OR(Dashboard!$D$7="All",Dashboard!$D$7=B982),OR(Dashboard!$F$7="All",Dashboard!$F$7=C982),OR(Dashboard!$H$7="All",Dashboard!$H$7=D982),OR(Dashboard!$K$7="All",Dashboard!$K$7=E982)),1,0)</x:f>
        <x:v>1</x:v>
      </x:c>
      <x:c r="S982" s="2" t="n">
        <x:f>IF(R982=1,SUM($R$10:R982),0)</x:f>
        <x:v>609</x:v>
      </x:c>
      <x:c r="T982" s="2" t="str">
        <x:v>Research &amp; Analysis</x:v>
      </x:c>
      <x:c r="U982" s="2" t="n">
        <x:v>254</x:v>
      </x:c>
      <x:c r="V982" s="2" t="n">
        <x:f>IF(AND(M982=1,P982=0,ISNUMBER(J982),J982&lt;TODAY()),1,0)</x:f>
        <x:v>1</x:v>
      </x:c>
      <x:c r="W982" s="2" t="str">
        <x:f>'Research &amp; Analysis'!M254</x:f>
        <x:v>Task</x:v>
      </x:c>
    </x:row>
    <x:row r="983" ht="40" customHeight="1">
      <x:c r="A983" s="3" t="str">
        <x:f>HYPERLINK("#'Research &amp; Analysis'!A255","Open")</x:f>
        <x:v>Open</x:v>
      </x:c>
      <x:c r="B983" s="2" t="str">
        <x:f>'Research &amp; Analysis'!B255</x:f>
        <x:v>Cycle 2</x:v>
      </x:c>
      <x:c r="C983" s="2" t="str">
        <x:f>'Research &amp; Analysis'!C255</x:f>
        <x:v>Phase 2</x:v>
      </x:c>
      <x:c r="D983" s="2" t="str">
        <x:f>'Research &amp; Analysis'!D255</x:f>
        <x:v>CSBBO - Customer Service</x:v>
      </x:c>
      <x:c r="E983" s="2" t="str">
        <x:v>Research &amp; Analysis</x:v>
      </x:c>
      <x:c r="F983" s="56" t="str">
        <x:f>'Research &amp; Analysis'!E255</x:f>
        <x:v>RA.CS.2.7</x:v>
      </x:c>
      <x:c r="G983" s="14" t="str">
        <x:f>'Research &amp; Analysis'!F255</x:f>
        <x:v>Complete Negative Testing</x:v>
      </x:c>
      <x:c r="H983" s="2" t="str">
        <x:f>IF('Research &amp; Analysis'!G255="","",'Research &amp; Analysis'!G255)</x:f>
      </x:c>
      <x:c r="I983" s="12" t="str">
        <x:f>IF('Research &amp; Analysis'!H255="","",'Research &amp; Analysis'!H255)</x:f>
      </x:c>
      <x:c r="J983" s="12" t="n">
        <x:f>IF('Research &amp; Analysis'!I255="","",'Research &amp; Analysis'!I255)</x:f>
        <x:v>46203</x:v>
      </x:c>
      <x:c r="K983" s="12" t="str">
        <x:f>IF('Research &amp; Analysis'!J255="","",'Research &amp; Analysis'!J255)</x:f>
      </x:c>
      <x:c r="L983" s="2" t="str">
        <x:f>IF('Research &amp; Analysis'!K255="","",'Research &amp; Analysis'!K255)</x:f>
      </x:c>
      <x:c r="M983" s="2" t="n">
        <x:f>'Research &amp; Analysis'!Q255</x:f>
        <x:v>1</x:v>
      </x:c>
      <x:c r="N983" s="2" t="str">
        <x:f>'Research &amp; Analysis'!L255</x:f>
        <x:v>Not started</x:v>
      </x:c>
      <x:c r="O983" s="2" t="str">
        <x:f>'Research &amp; Analysis'!N255</x:f>
        <x:v>RA.CS.2.7.2026.CY2</x:v>
      </x:c>
      <x:c r="P983" s="2" t="n">
        <x:f>'Research &amp; Analysis'!O255</x:f>
        <x:v>0</x:v>
      </x:c>
      <x:c r="Q983" s="2" t="n">
        <x:f>SUBTOTAL(103,O983)</x:f>
        <x:v>1</x:v>
      </x:c>
      <x:c r="R983" s="2" t="n">
        <x:f>IF(AND(M983=1,OR(Dashboard!$B$7="All",Dashboard!$B$7='Cycles &amp; Guide'!$C$5),OR(Dashboard!$D$7="All",Dashboard!$D$7=B983),OR(Dashboard!$F$7="All",Dashboard!$F$7=C983),OR(Dashboard!$H$7="All",Dashboard!$H$7=D983),OR(Dashboard!$K$7="All",Dashboard!$K$7=E983)),1,0)</x:f>
        <x:v>1</x:v>
      </x:c>
      <x:c r="S983" s="2" t="n">
        <x:f>IF(R983=1,SUM($R$10:R983),0)</x:f>
        <x:v>610</x:v>
      </x:c>
      <x:c r="T983" s="2" t="str">
        <x:v>Research &amp; Analysis</x:v>
      </x:c>
      <x:c r="U983" s="2" t="n">
        <x:v>255</x:v>
      </x:c>
      <x:c r="V983" s="2" t="n">
        <x:f>IF(AND(M983=1,P983=0,ISNUMBER(J983),J983&lt;TODAY()),1,0)</x:f>
        <x:v>1</x:v>
      </x:c>
      <x:c r="W983" s="2" t="str">
        <x:f>'Research &amp; Analysis'!M255</x:f>
        <x:v>Task</x:v>
      </x:c>
    </x:row>
    <x:row r="984" ht="40" customHeight="1">
      <x:c r="A984" s="3" t="str">
        <x:f>HYPERLINK("#'Research &amp; Analysis'!A256","Open")</x:f>
        <x:v>Open</x:v>
      </x:c>
      <x:c r="B984" s="2" t="str">
        <x:f>'Research &amp; Analysis'!B256</x:f>
        <x:v>Cycle 2</x:v>
      </x:c>
      <x:c r="C984" s="2" t="str">
        <x:f>'Research &amp; Analysis'!C256</x:f>
        <x:v>Phase 2</x:v>
      </x:c>
      <x:c r="D984" s="2" t="str">
        <x:f>'Research &amp; Analysis'!D256</x:f>
        <x:v>CSBBO - Customer Service</x:v>
      </x:c>
      <x:c r="E984" s="2" t="str">
        <x:v>Research &amp; Analysis</x:v>
      </x:c>
      <x:c r="F984" s="56" t="str">
        <x:f>'Research &amp; Analysis'!E256</x:f>
        <x:v>RA.CS.2.8</x:v>
      </x:c>
      <x:c r="G984" s="14" t="str">
        <x:f>'Research &amp; Analysis'!F256</x:f>
        <x:v>Request additional data (as needed)</x:v>
      </x:c>
      <x:c r="H984" s="2" t="str">
        <x:f>IF('Research &amp; Analysis'!G256="","",'Research &amp; Analysis'!G256)</x:f>
      </x:c>
      <x:c r="I984" s="12" t="str">
        <x:f>IF('Research &amp; Analysis'!H256="","",'Research &amp; Analysis'!H256)</x:f>
      </x:c>
      <x:c r="J984" s="12" t="n">
        <x:f>IF('Research &amp; Analysis'!I256="","",'Research &amp; Analysis'!I256)</x:f>
        <x:v>46203</x:v>
      </x:c>
      <x:c r="K984" s="12" t="str">
        <x:f>IF('Research &amp; Analysis'!J256="","",'Research &amp; Analysis'!J256)</x:f>
      </x:c>
      <x:c r="L984" s="2" t="str">
        <x:f>IF('Research &amp; Analysis'!K256="","",'Research &amp; Analysis'!K256)</x:f>
      </x:c>
      <x:c r="M984" s="2" t="n">
        <x:f>'Research &amp; Analysis'!Q256</x:f>
        <x:v>1</x:v>
      </x:c>
      <x:c r="N984" s="2" t="str">
        <x:f>'Research &amp; Analysis'!L256</x:f>
        <x:v>Not started</x:v>
      </x:c>
      <x:c r="O984" s="2" t="str">
        <x:f>'Research &amp; Analysis'!N256</x:f>
        <x:v>RA.CS.2.8.2026.CY2</x:v>
      </x:c>
      <x:c r="P984" s="2" t="n">
        <x:f>'Research &amp; Analysis'!O256</x:f>
        <x:v>0</x:v>
      </x:c>
      <x:c r="Q984" s="2" t="n">
        <x:f>SUBTOTAL(103,O984)</x:f>
        <x:v>1</x:v>
      </x:c>
      <x:c r="R984" s="2" t="n">
        <x:f>IF(AND(M984=1,OR(Dashboard!$B$7="All",Dashboard!$B$7='Cycles &amp; Guide'!$C$5),OR(Dashboard!$D$7="All",Dashboard!$D$7=B984),OR(Dashboard!$F$7="All",Dashboard!$F$7=C984),OR(Dashboard!$H$7="All",Dashboard!$H$7=D984),OR(Dashboard!$K$7="All",Dashboard!$K$7=E984)),1,0)</x:f>
        <x:v>1</x:v>
      </x:c>
      <x:c r="S984" s="2" t="n">
        <x:f>IF(R984=1,SUM($R$10:R984),0)</x:f>
        <x:v>611</x:v>
      </x:c>
      <x:c r="T984" s="2" t="str">
        <x:v>Research &amp; Analysis</x:v>
      </x:c>
      <x:c r="U984" s="2" t="n">
        <x:v>256</x:v>
      </x:c>
      <x:c r="V984" s="2" t="n">
        <x:f>IF(AND(M984=1,P984=0,ISNUMBER(J984),J984&lt;TODAY()),1,0)</x:f>
        <x:v>1</x:v>
      </x:c>
      <x:c r="W984" s="2" t="str">
        <x:f>'Research &amp; Analysis'!M256</x:f>
        <x:v>Task</x:v>
      </x:c>
    </x:row>
    <x:row r="985" ht="40" customHeight="1">
      <x:c r="A985" s="3" t="str">
        <x:f>HYPERLINK("#'Research &amp; Analysis'!A257","Open")</x:f>
        <x:v>Open</x:v>
      </x:c>
      <x:c r="B985" s="2" t="str">
        <x:f>'Research &amp; Analysis'!B257</x:f>
        <x:v>Cycle 2</x:v>
      </x:c>
      <x:c r="C985" s="2" t="str">
        <x:f>'Research &amp; Analysis'!C257</x:f>
        <x:v>Phase 2</x:v>
      </x:c>
      <x:c r="D985" s="2" t="str">
        <x:f>'Research &amp; Analysis'!D257</x:f>
        <x:v>CSBBO - Customer Service</x:v>
      </x:c>
      <x:c r="E985" s="2" t="str">
        <x:v>Research &amp; Analysis</x:v>
      </x:c>
      <x:c r="F985" s="56" t="str">
        <x:f>'Research &amp; Analysis'!E257</x:f>
        <x:v>RA.CS.2.9</x:v>
      </x:c>
      <x:c r="G985" s="14" t="str">
        <x:f>'Research &amp; Analysis'!F257</x:f>
        <x:v>Validate or disprove initial hypothesis assumptions</x:v>
      </x:c>
      <x:c r="H985" s="2" t="str">
        <x:f>IF('Research &amp; Analysis'!G257="","",'Research &amp; Analysis'!G257)</x:f>
      </x:c>
      <x:c r="I985" s="12" t="str">
        <x:f>IF('Research &amp; Analysis'!H257="","",'Research &amp; Analysis'!H257)</x:f>
      </x:c>
      <x:c r="J985" s="12" t="n">
        <x:f>IF('Research &amp; Analysis'!I257="","",'Research &amp; Analysis'!I257)</x:f>
        <x:v>46203</x:v>
      </x:c>
      <x:c r="K985" s="12" t="str">
        <x:f>IF('Research &amp; Analysis'!J257="","",'Research &amp; Analysis'!J257)</x:f>
      </x:c>
      <x:c r="L985" s="2" t="str">
        <x:f>IF('Research &amp; Analysis'!K257="","",'Research &amp; Analysis'!K257)</x:f>
      </x:c>
      <x:c r="M985" s="2" t="n">
        <x:f>'Research &amp; Analysis'!Q257</x:f>
        <x:v>1</x:v>
      </x:c>
      <x:c r="N985" s="2" t="str">
        <x:f>'Research &amp; Analysis'!L257</x:f>
        <x:v>Not started</x:v>
      </x:c>
      <x:c r="O985" s="2" t="str">
        <x:f>'Research &amp; Analysis'!N257</x:f>
        <x:v>RA.CS.2.9.2026.CY2</x:v>
      </x:c>
      <x:c r="P985" s="2" t="n">
        <x:f>'Research &amp; Analysis'!O257</x:f>
        <x:v>0</x:v>
      </x:c>
      <x:c r="Q985" s="2" t="n">
        <x:f>SUBTOTAL(103,O985)</x:f>
        <x:v>1</x:v>
      </x:c>
      <x:c r="R985" s="2" t="n">
        <x:f>IF(AND(M985=1,OR(Dashboard!$B$7="All",Dashboard!$B$7='Cycles &amp; Guide'!$C$5),OR(Dashboard!$D$7="All",Dashboard!$D$7=B985),OR(Dashboard!$F$7="All",Dashboard!$F$7=C985),OR(Dashboard!$H$7="All",Dashboard!$H$7=D985),OR(Dashboard!$K$7="All",Dashboard!$K$7=E985)),1,0)</x:f>
        <x:v>1</x:v>
      </x:c>
      <x:c r="S985" s="2" t="n">
        <x:f>IF(R985=1,SUM($R$10:R985),0)</x:f>
        <x:v>612</x:v>
      </x:c>
      <x:c r="T985" s="2" t="str">
        <x:v>Research &amp; Analysis</x:v>
      </x:c>
      <x:c r="U985" s="2" t="n">
        <x:v>257</x:v>
      </x:c>
      <x:c r="V985" s="2" t="n">
        <x:f>IF(AND(M985=1,P985=0,ISNUMBER(J985),J985&lt;TODAY()),1,0)</x:f>
        <x:v>1</x:v>
      </x:c>
      <x:c r="W985" s="2" t="str">
        <x:f>'Research &amp; Analysis'!M257</x:f>
        <x:v>Task</x:v>
      </x:c>
    </x:row>
    <x:row r="986" ht="40" customHeight="1">
      <x:c r="A986" s="3" t="str">
        <x:f>HYPERLINK("#'Research &amp; Analysis'!A258","Open")</x:f>
        <x:v>Open</x:v>
      </x:c>
      <x:c r="B986" s="2" t="str">
        <x:f>'Research &amp; Analysis'!B258</x:f>
        <x:v>Cycle 2</x:v>
      </x:c>
      <x:c r="C986" s="2" t="str">
        <x:f>'Research &amp; Analysis'!C258</x:f>
        <x:v>Phase 2</x:v>
      </x:c>
      <x:c r="D986" s="2" t="str">
        <x:f>'Research &amp; Analysis'!D258</x:f>
        <x:v>CSBBO - Customer Service</x:v>
      </x:c>
      <x:c r="E986" s="2" t="str">
        <x:v>Research &amp; Analysis</x:v>
      </x:c>
      <x:c r="F986" s="56" t="str">
        <x:f>'Research &amp; Analysis'!E258</x:f>
        <x:v>RA.CS.2.10</x:v>
      </x:c>
      <x:c r="G986" s="14" t="str">
        <x:f>'Research &amp; Analysis'!F258</x:f>
        <x:v>Identify and confirm root cause</x:v>
      </x:c>
      <x:c r="H986" s="2" t="str">
        <x:f>IF('Research &amp; Analysis'!G258="","",'Research &amp; Analysis'!G258)</x:f>
      </x:c>
      <x:c r="I986" s="12" t="str">
        <x:f>IF('Research &amp; Analysis'!H258="","",'Research &amp; Analysis'!H258)</x:f>
      </x:c>
      <x:c r="J986" s="12" t="n">
        <x:f>IF('Research &amp; Analysis'!I258="","",'Research &amp; Analysis'!I258)</x:f>
        <x:v>46203</x:v>
      </x:c>
      <x:c r="K986" s="12" t="str">
        <x:f>IF('Research &amp; Analysis'!J258="","",'Research &amp; Analysis'!J258)</x:f>
      </x:c>
      <x:c r="L986" s="2" t="str">
        <x:f>IF('Research &amp; Analysis'!K258="","",'Research &amp; Analysis'!K258)</x:f>
      </x:c>
      <x:c r="M986" s="2" t="n">
        <x:f>'Research &amp; Analysis'!Q258</x:f>
        <x:v>1</x:v>
      </x:c>
      <x:c r="N986" s="2" t="str">
        <x:f>'Research &amp; Analysis'!L258</x:f>
        <x:v>Not started</x:v>
      </x:c>
      <x:c r="O986" s="2" t="str">
        <x:f>'Research &amp; Analysis'!N258</x:f>
        <x:v>RA.CS.2.10.2026.CY2</x:v>
      </x:c>
      <x:c r="P986" s="2" t="n">
        <x:f>'Research &amp; Analysis'!O258</x:f>
        <x:v>0</x:v>
      </x:c>
      <x:c r="Q986" s="2" t="n">
        <x:f>SUBTOTAL(103,O986)</x:f>
        <x:v>1</x:v>
      </x:c>
      <x:c r="R986" s="2" t="n">
        <x:f>IF(AND(M986=1,OR(Dashboard!$B$7="All",Dashboard!$B$7='Cycles &amp; Guide'!$C$5),OR(Dashboard!$D$7="All",Dashboard!$D$7=B986),OR(Dashboard!$F$7="All",Dashboard!$F$7=C986),OR(Dashboard!$H$7="All",Dashboard!$H$7=D986),OR(Dashboard!$K$7="All",Dashboard!$K$7=E986)),1,0)</x:f>
        <x:v>1</x:v>
      </x:c>
      <x:c r="S986" s="2" t="n">
        <x:f>IF(R986=1,SUM($R$10:R986),0)</x:f>
        <x:v>613</x:v>
      </x:c>
      <x:c r="T986" s="2" t="str">
        <x:v>Research &amp; Analysis</x:v>
      </x:c>
      <x:c r="U986" s="2" t="n">
        <x:v>258</x:v>
      </x:c>
      <x:c r="V986" s="2" t="n">
        <x:f>IF(AND(M986=1,P986=0,ISNUMBER(J986),J986&lt;TODAY()),1,0)</x:f>
        <x:v>1</x:v>
      </x:c>
      <x:c r="W986" s="2" t="str">
        <x:f>'Research &amp; Analysis'!M258</x:f>
        <x:v>Task</x:v>
      </x:c>
    </x:row>
    <x:row r="987" ht="40" customHeight="1">
      <x:c r="A987" s="3" t="str">
        <x:f>HYPERLINK("#'Research &amp; Analysis'!A259","Open")</x:f>
        <x:v>Open</x:v>
      </x:c>
      <x:c r="B987" s="2" t="str">
        <x:f>'Research &amp; Analysis'!B259</x:f>
        <x:v>Cycle 2</x:v>
      </x:c>
      <x:c r="C987" s="2" t="str">
        <x:f>'Research &amp; Analysis'!C259</x:f>
        <x:v>Phase 3</x:v>
      </x:c>
      <x:c r="D987" s="2" t="str">
        <x:f>'Research &amp; Analysis'!D259</x:f>
        <x:v>CSBBO - Customer Service</x:v>
      </x:c>
      <x:c r="E987" s="2" t="str">
        <x:v>Research &amp; Analysis</x:v>
      </x:c>
      <x:c r="F987" s="56" t="str">
        <x:f>'Research &amp; Analysis'!E259</x:f>
        <x:v>RA.CS.3.1</x:v>
      </x:c>
      <x:c r="G987" s="14" t="str">
        <x:f>'Research &amp; Analysis'!F259</x:f>
        <x:v>Finalize results and supporting documentation</x:v>
      </x:c>
      <x:c r="H987" s="2" t="str">
        <x:f>IF('Research &amp; Analysis'!G259="","",'Research &amp; Analysis'!G259)</x:f>
      </x:c>
      <x:c r="I987" s="12" t="str">
        <x:f>IF('Research &amp; Analysis'!H259="","",'Research &amp; Analysis'!H259)</x:f>
      </x:c>
      <x:c r="J987" s="12" t="n">
        <x:f>IF('Research &amp; Analysis'!I259="","",'Research &amp; Analysis'!I259)</x:f>
        <x:v>46203</x:v>
      </x:c>
      <x:c r="K987" s="12" t="str">
        <x:f>IF('Research &amp; Analysis'!J259="","",'Research &amp; Analysis'!J259)</x:f>
      </x:c>
      <x:c r="L987" s="2" t="str">
        <x:f>IF('Research &amp; Analysis'!K259="","",'Research &amp; Analysis'!K259)</x:f>
      </x:c>
      <x:c r="M987" s="2" t="n">
        <x:f>'Research &amp; Analysis'!Q259</x:f>
        <x:v>1</x:v>
      </x:c>
      <x:c r="N987" s="2" t="str">
        <x:f>'Research &amp; Analysis'!L259</x:f>
        <x:v>Not started</x:v>
      </x:c>
      <x:c r="O987" s="2" t="str">
        <x:f>'Research &amp; Analysis'!N259</x:f>
        <x:v>RA.CS.3.1.2026.CY2</x:v>
      </x:c>
      <x:c r="P987" s="2" t="n">
        <x:f>'Research &amp; Analysis'!O259</x:f>
        <x:v>0</x:v>
      </x:c>
      <x:c r="Q987" s="2" t="n">
        <x:f>SUBTOTAL(103,O987)</x:f>
        <x:v>1</x:v>
      </x:c>
      <x:c r="R987" s="2" t="n">
        <x:f>IF(AND(M987=1,OR(Dashboard!$B$7="All",Dashboard!$B$7='Cycles &amp; Guide'!$C$5),OR(Dashboard!$D$7="All",Dashboard!$D$7=B987),OR(Dashboard!$F$7="All",Dashboard!$F$7=C987),OR(Dashboard!$H$7="All",Dashboard!$H$7=D987),OR(Dashboard!$K$7="All",Dashboard!$K$7=E987)),1,0)</x:f>
        <x:v>1</x:v>
      </x:c>
      <x:c r="S987" s="2" t="n">
        <x:f>IF(R987=1,SUM($R$10:R987),0)</x:f>
        <x:v>614</x:v>
      </x:c>
      <x:c r="T987" s="2" t="str">
        <x:v>Research &amp; Analysis</x:v>
      </x:c>
      <x:c r="U987" s="2" t="n">
        <x:v>259</x:v>
      </x:c>
      <x:c r="V987" s="2" t="n">
        <x:f>IF(AND(M987=1,P987=0,ISNUMBER(J987),J987&lt;TODAY()),1,0)</x:f>
        <x:v>1</x:v>
      </x:c>
      <x:c r="W987" s="2" t="str">
        <x:f>'Research &amp; Analysis'!M259</x:f>
        <x:v>Task</x:v>
      </x:c>
    </x:row>
    <x:row r="988" ht="40" customHeight="1">
      <x:c r="A988" s="3" t="str">
        <x:f>HYPERLINK("#'Research &amp; Analysis'!A260","Open")</x:f>
        <x:v>Open</x:v>
      </x:c>
      <x:c r="B988" s="2" t="str">
        <x:f>'Research &amp; Analysis'!B260</x:f>
        <x:v>Cycle 2</x:v>
      </x:c>
      <x:c r="C988" s="2" t="str">
        <x:f>'Research &amp; Analysis'!C260</x:f>
        <x:v>Phase 3</x:v>
      </x:c>
      <x:c r="D988" s="2" t="str">
        <x:f>'Research &amp; Analysis'!D260</x:f>
        <x:v>CSBBO - Customer Service</x:v>
      </x:c>
      <x:c r="E988" s="2" t="str">
        <x:v>Research &amp; Analysis</x:v>
      </x:c>
      <x:c r="F988" s="56" t="str">
        <x:f>'Research &amp; Analysis'!E260</x:f>
        <x:v>RA.CS.3.2</x:v>
      </x:c>
      <x:c r="G988" s="14" t="str">
        <x:f>'Research &amp; Analysis'!F260</x:f>
        <x:v>Maintain and update the evidence package prior to handoff to D&amp;I</x:v>
      </x:c>
      <x:c r="H988" s="2" t="str">
        <x:f>IF('Research &amp; Analysis'!G260="","",'Research &amp; Analysis'!G260)</x:f>
      </x:c>
      <x:c r="I988" s="12" t="str">
        <x:f>IF('Research &amp; Analysis'!H260="","",'Research &amp; Analysis'!H260)</x:f>
      </x:c>
      <x:c r="J988" s="12" t="n">
        <x:f>IF('Research &amp; Analysis'!I260="","",'Research &amp; Analysis'!I260)</x:f>
        <x:v>46203</x:v>
      </x:c>
      <x:c r="K988" s="12" t="str">
        <x:f>IF('Research &amp; Analysis'!J260="","",'Research &amp; Analysis'!J260)</x:f>
      </x:c>
      <x:c r="L988" s="2" t="str">
        <x:f>IF('Research &amp; Analysis'!K260="","",'Research &amp; Analysis'!K260)</x:f>
      </x:c>
      <x:c r="M988" s="2" t="n">
        <x:f>'Research &amp; Analysis'!Q260</x:f>
        <x:v>1</x:v>
      </x:c>
      <x:c r="N988" s="2" t="str">
        <x:f>'Research &amp; Analysis'!L260</x:f>
        <x:v>Not started</x:v>
      </x:c>
      <x:c r="O988" s="2" t="str">
        <x:f>'Research &amp; Analysis'!N260</x:f>
        <x:v>RA.CS.3.2.2026.CY2</x:v>
      </x:c>
      <x:c r="P988" s="2" t="n">
        <x:f>'Research &amp; Analysis'!O260</x:f>
        <x:v>0</x:v>
      </x:c>
      <x:c r="Q988" s="2" t="n">
        <x:f>SUBTOTAL(103,O988)</x:f>
        <x:v>1</x:v>
      </x:c>
      <x:c r="R988" s="2" t="n">
        <x:f>IF(AND(M988=1,OR(Dashboard!$B$7="All",Dashboard!$B$7='Cycles &amp; Guide'!$C$5),OR(Dashboard!$D$7="All",Dashboard!$D$7=B988),OR(Dashboard!$F$7="All",Dashboard!$F$7=C988),OR(Dashboard!$H$7="All",Dashboard!$H$7=D988),OR(Dashboard!$K$7="All",Dashboard!$K$7=E988)),1,0)</x:f>
        <x:v>1</x:v>
      </x:c>
      <x:c r="S988" s="2" t="n">
        <x:f>IF(R988=1,SUM($R$10:R988),0)</x:f>
        <x:v>615</x:v>
      </x:c>
      <x:c r="T988" s="2" t="str">
        <x:v>Research &amp; Analysis</x:v>
      </x:c>
      <x:c r="U988" s="2" t="n">
        <x:v>260</x:v>
      </x:c>
      <x:c r="V988" s="2" t="n">
        <x:f>IF(AND(M988=1,P988=0,ISNUMBER(J988),J988&lt;TODAY()),1,0)</x:f>
        <x:v>1</x:v>
      </x:c>
      <x:c r="W988" s="2" t="str">
        <x:f>'Research &amp; Analysis'!M260</x:f>
        <x:v>Task</x:v>
      </x:c>
    </x:row>
    <x:row r="989" ht="40" customHeight="1">
      <x:c r="A989" s="3" t="str">
        <x:f>HYPERLINK("#'Research &amp; Analysis'!A261","Open")</x:f>
        <x:v>Open</x:v>
      </x:c>
      <x:c r="B989" s="2" t="str">
        <x:f>'Research &amp; Analysis'!B261</x:f>
        <x:v>Cycle 2</x:v>
      </x:c>
      <x:c r="C989" s="2" t="str">
        <x:f>'Research &amp; Analysis'!C261</x:f>
        <x:v>Phase 3</x:v>
      </x:c>
      <x:c r="D989" s="2" t="str">
        <x:f>'Research &amp; Analysis'!D261</x:f>
        <x:v>CSBBO - Customer Service</x:v>
      </x:c>
      <x:c r="E989" s="2" t="str">
        <x:v>Research &amp; Analysis</x:v>
      </x:c>
      <x:c r="F989" s="56" t="str">
        <x:f>'Research &amp; Analysis'!E261</x:f>
        <x:v>RA.CS.3.3</x:v>
      </x:c>
      <x:c r="G989" s="14" t="str">
        <x:f>'Research &amp; Analysis'!F261</x:f>
        <x:v>Address any outstanding questions or requests from D&amp;I</x:v>
      </x:c>
      <x:c r="H989" s="2" t="str">
        <x:f>IF('Research &amp; Analysis'!G261="","",'Research &amp; Analysis'!G261)</x:f>
      </x:c>
      <x:c r="I989" s="12" t="str">
        <x:f>IF('Research &amp; Analysis'!H261="","",'Research &amp; Analysis'!H261)</x:f>
      </x:c>
      <x:c r="J989" s="12" t="n">
        <x:f>IF('Research &amp; Analysis'!I261="","",'Research &amp; Analysis'!I261)</x:f>
        <x:v>46203</x:v>
      </x:c>
      <x:c r="K989" s="12" t="str">
        <x:f>IF('Research &amp; Analysis'!J261="","",'Research &amp; Analysis'!J261)</x:f>
      </x:c>
      <x:c r="L989" s="2" t="str">
        <x:f>IF('Research &amp; Analysis'!K261="","",'Research &amp; Analysis'!K261)</x:f>
      </x:c>
      <x:c r="M989" s="2" t="n">
        <x:f>'Research &amp; Analysis'!Q261</x:f>
        <x:v>1</x:v>
      </x:c>
      <x:c r="N989" s="2" t="str">
        <x:f>'Research &amp; Analysis'!L261</x:f>
        <x:v>Not started</x:v>
      </x:c>
      <x:c r="O989" s="2" t="str">
        <x:f>'Research &amp; Analysis'!N261</x:f>
        <x:v>RA.CS.3.3.2026.CY2</x:v>
      </x:c>
      <x:c r="P989" s="2" t="n">
        <x:f>'Research &amp; Analysis'!O261</x:f>
        <x:v>0</x:v>
      </x:c>
      <x:c r="Q989" s="2" t="n">
        <x:f>SUBTOTAL(103,O989)</x:f>
        <x:v>1</x:v>
      </x:c>
      <x:c r="R989" s="2" t="n">
        <x:f>IF(AND(M989=1,OR(Dashboard!$B$7="All",Dashboard!$B$7='Cycles &amp; Guide'!$C$5),OR(Dashboard!$D$7="All",Dashboard!$D$7=B989),OR(Dashboard!$F$7="All",Dashboard!$F$7=C989),OR(Dashboard!$H$7="All",Dashboard!$H$7=D989),OR(Dashboard!$K$7="All",Dashboard!$K$7=E989)),1,0)</x:f>
        <x:v>1</x:v>
      </x:c>
      <x:c r="S989" s="2" t="n">
        <x:f>IF(R989=1,SUM($R$10:R989),0)</x:f>
        <x:v>616</x:v>
      </x:c>
      <x:c r="T989" s="2" t="str">
        <x:v>Research &amp; Analysis</x:v>
      </x:c>
      <x:c r="U989" s="2" t="n">
        <x:v>261</x:v>
      </x:c>
      <x:c r="V989" s="2" t="n">
        <x:f>IF(AND(M989=1,P989=0,ISNUMBER(J989),J989&lt;TODAY()),1,0)</x:f>
        <x:v>1</x:v>
      </x:c>
      <x:c r="W989" s="2" t="str">
        <x:f>'Research &amp; Analysis'!M261</x:f>
        <x:v>Task</x:v>
      </x:c>
    </x:row>
    <x:row r="990" ht="40" customHeight="1">
      <x:c r="A990" s="3" t="str">
        <x:f>HYPERLINK("#'Research &amp; Analysis'!A262","Open")</x:f>
        <x:v>Open</x:v>
      </x:c>
      <x:c r="B990" s="2" t="str">
        <x:f>'Research &amp; Analysis'!B262</x:f>
        <x:v>Cycle 2</x:v>
      </x:c>
      <x:c r="C990" s="2" t="str">
        <x:f>'Research &amp; Analysis'!C262</x:f>
        <x:v>Phase 3</x:v>
      </x:c>
      <x:c r="D990" s="2" t="str">
        <x:f>'Research &amp; Analysis'!D262</x:f>
        <x:v>CSBBO - Customer Service</x:v>
      </x:c>
      <x:c r="E990" s="2" t="str">
        <x:v>Research &amp; Analysis</x:v>
      </x:c>
      <x:c r="F990" s="56" t="str">
        <x:f>'Research &amp; Analysis'!E262</x:f>
        <x:v>RA.CS.3.4</x:v>
      </x:c>
      <x:c r="G990" s="14" t="str">
        <x:f>'Research &amp; Analysis'!F262</x:f>
        <x:v>Attend Forum meeting with D&amp;I to assist with answering stakeholder questions (as needed)</x:v>
      </x:c>
      <x:c r="H990" s="2" t="str">
        <x:f>IF('Research &amp; Analysis'!G262="","",'Research &amp; Analysis'!G262)</x:f>
      </x:c>
      <x:c r="I990" s="12" t="str">
        <x:f>IF('Research &amp; Analysis'!H262="","",'Research &amp; Analysis'!H262)</x:f>
      </x:c>
      <x:c r="J990" s="12" t="str">
        <x:f>IF('Research &amp; Analysis'!I262="","",'Research &amp; Analysis'!I262)</x:f>
      </x:c>
      <x:c r="K990" s="12" t="str">
        <x:f>IF('Research &amp; Analysis'!J262="","",'Research &amp; Analysis'!J262)</x:f>
      </x:c>
      <x:c r="L990" s="2" t="str">
        <x:f>IF('Research &amp; Analysis'!K262="","",'Research &amp; Analysis'!K262)</x:f>
      </x:c>
      <x:c r="M990" s="2" t="n">
        <x:f>'Research &amp; Analysis'!Q262</x:f>
        <x:v>1</x:v>
      </x:c>
      <x:c r="N990" s="2" t="str">
        <x:f>'Research &amp; Analysis'!L262</x:f>
        <x:v>Not started</x:v>
      </x:c>
      <x:c r="O990" s="2" t="str">
        <x:f>'Research &amp; Analysis'!N262</x:f>
        <x:v>RA.CS.3.4.2026.CY2</x:v>
      </x:c>
      <x:c r="P990" s="2" t="n">
        <x:f>'Research &amp; Analysis'!O262</x:f>
        <x:v>0</x:v>
      </x:c>
      <x:c r="Q990" s="2" t="n">
        <x:f>SUBTOTAL(103,O990)</x:f>
        <x:v>1</x:v>
      </x:c>
      <x:c r="R990" s="2" t="n">
        <x:f>IF(AND(M990=1,OR(Dashboard!$B$7="All",Dashboard!$B$7='Cycles &amp; Guide'!$C$5),OR(Dashboard!$D$7="All",Dashboard!$D$7=B990),OR(Dashboard!$F$7="All",Dashboard!$F$7=C990),OR(Dashboard!$H$7="All",Dashboard!$H$7=D990),OR(Dashboard!$K$7="All",Dashboard!$K$7=E990)),1,0)</x:f>
        <x:v>1</x:v>
      </x:c>
      <x:c r="S990" s="2" t="n">
        <x:f>IF(R990=1,SUM($R$10:R990),0)</x:f>
        <x:v>617</x:v>
      </x:c>
      <x:c r="T990" s="2" t="str">
        <x:v>Research &amp; Analysis</x:v>
      </x:c>
      <x:c r="U990" s="2" t="n">
        <x:v>262</x:v>
      </x:c>
      <x:c r="V990" s="2" t="n">
        <x:f>IF(AND(M990=1,P990=0,ISNUMBER(J990),J990&lt;TODAY()),1,0)</x:f>
        <x:v>0</x:v>
      </x:c>
      <x:c r="W990" s="2" t="str">
        <x:f>'Research &amp; Analysis'!M262</x:f>
        <x:v>Task</x:v>
      </x:c>
    </x:row>
    <x:row r="991" ht="40" customHeight="1">
      <x:c r="A991" s="3" t="str">
        <x:f>HYPERLINK("#'Research &amp; Analysis'!A263","Open")</x:f>
        <x:v>Open</x:v>
      </x:c>
      <x:c r="B991" s="2" t="str">
        <x:f>'Research &amp; Analysis'!B263</x:f>
        <x:v>Cycle 2</x:v>
      </x:c>
      <x:c r="C991" s="2" t="str">
        <x:f>'Research &amp; Analysis'!C263</x:f>
        <x:v>Phase 1</x:v>
      </x:c>
      <x:c r="D991" s="2" t="str">
        <x:f>'Research &amp; Analysis'!D263</x:f>
        <x:v>FCM</x:v>
      </x:c>
      <x:c r="E991" s="2" t="str">
        <x:v>Research &amp; Analysis</x:v>
      </x:c>
      <x:c r="F991" s="56" t="str">
        <x:f>'Research &amp; Analysis'!E263</x:f>
        <x:v>RA.FC.1.1</x:v>
      </x:c>
      <x:c r="G991" s="14" t="str">
        <x:f>'Research &amp; Analysis'!F263</x:f>
        <x:v>Begin Research process 2 weeks prior to Cycle start</x:v>
      </x:c>
      <x:c r="H991" s="2" t="str">
        <x:f>IF('Research &amp; Analysis'!G263="","",'Research &amp; Analysis'!G263)</x:f>
      </x:c>
      <x:c r="I991" s="12" t="str">
        <x:f>IF('Research &amp; Analysis'!H263="","",'Research &amp; Analysis'!H263)</x:f>
      </x:c>
      <x:c r="J991" s="12" t="n">
        <x:f>IF('Research &amp; Analysis'!I263="","",'Research &amp; Analysis'!I263)</x:f>
        <x:v>46099</x:v>
      </x:c>
      <x:c r="K991" s="12" t="str">
        <x:f>IF('Research &amp; Analysis'!J263="","",'Research &amp; Analysis'!J263)</x:f>
      </x:c>
      <x:c r="L991" s="2" t="str">
        <x:f>IF('Research &amp; Analysis'!K263="","",'Research &amp; Analysis'!K263)</x:f>
      </x:c>
      <x:c r="M991" s="2" t="n">
        <x:f>'Research &amp; Analysis'!Q263</x:f>
        <x:v>1</x:v>
      </x:c>
      <x:c r="N991" s="2" t="str">
        <x:f>'Research &amp; Analysis'!L263</x:f>
        <x:v>Not started</x:v>
      </x:c>
      <x:c r="O991" s="2" t="str">
        <x:f>'Research &amp; Analysis'!N263</x:f>
        <x:v>RA.FC.1.1.2026.CY2</x:v>
      </x:c>
      <x:c r="P991" s="2" t="n">
        <x:f>'Research &amp; Analysis'!O263</x:f>
        <x:v>0</x:v>
      </x:c>
      <x:c r="Q991" s="2" t="n">
        <x:f>SUBTOTAL(103,O991)</x:f>
        <x:v>1</x:v>
      </x:c>
      <x:c r="R991" s="2" t="n">
        <x:f>IF(AND(M991=1,OR(Dashboard!$B$7="All",Dashboard!$B$7='Cycles &amp; Guide'!$C$5),OR(Dashboard!$D$7="All",Dashboard!$D$7=B991),OR(Dashboard!$F$7="All",Dashboard!$F$7=C991),OR(Dashboard!$H$7="All",Dashboard!$H$7=D991),OR(Dashboard!$K$7="All",Dashboard!$K$7=E991)),1,0)</x:f>
        <x:v>1</x:v>
      </x:c>
      <x:c r="S991" s="2" t="n">
        <x:f>IF(R991=1,SUM($R$10:R991),0)</x:f>
        <x:v>618</x:v>
      </x:c>
      <x:c r="T991" s="2" t="str">
        <x:v>Research &amp; Analysis</x:v>
      </x:c>
      <x:c r="U991" s="2" t="n">
        <x:v>263</x:v>
      </x:c>
      <x:c r="V991" s="2" t="n">
        <x:f>IF(AND(M991=1,P991=0,ISNUMBER(J991),J991&lt;TODAY()),1,0)</x:f>
        <x:v>1</x:v>
      </x:c>
      <x:c r="W991" s="2" t="str">
        <x:f>'Research &amp; Analysis'!M263</x:f>
        <x:v>Task</x:v>
      </x:c>
    </x:row>
    <x:row r="992" ht="40" customHeight="1">
      <x:c r="A992" s="3" t="str">
        <x:f>HYPERLINK("#'Research &amp; Analysis'!A264","Open")</x:f>
        <x:v>Open</x:v>
      </x:c>
      <x:c r="B992" s="2" t="str">
        <x:f>'Research &amp; Analysis'!B264</x:f>
        <x:v>Cycle 2</x:v>
      </x:c>
      <x:c r="C992" s="2" t="str">
        <x:f>'Research &amp; Analysis'!C264</x:f>
        <x:v>Phase 1</x:v>
      </x:c>
      <x:c r="D992" s="2" t="str">
        <x:f>'Research &amp; Analysis'!D264</x:f>
        <x:v>FCM</x:v>
      </x:c>
      <x:c r="E992" s="2" t="str">
        <x:v>Research &amp; Analysis</x:v>
      </x:c>
      <x:c r="F992" s="56" t="str">
        <x:f>'Research &amp; Analysis'!E264</x:f>
        <x:v>RA.FC.1.2</x:v>
      </x:c>
      <x:c r="G992" s="14" t="str">
        <x:f>'Research &amp; Analysis'!F264</x:f>
        <x:v>Conduct initial assessment of each topic recommendation from SharePoint list</x:v>
      </x:c>
      <x:c r="H992" s="2" t="str">
        <x:f>IF('Research &amp; Analysis'!G264="","",'Research &amp; Analysis'!G264)</x:f>
      </x:c>
      <x:c r="I992" s="12" t="str">
        <x:f>IF('Research &amp; Analysis'!H264="","",'Research &amp; Analysis'!H264)</x:f>
      </x:c>
      <x:c r="J992" s="12" t="n">
        <x:f>IF('Research &amp; Analysis'!I264="","",'Research &amp; Analysis'!I264)</x:f>
        <x:v>46203</x:v>
      </x:c>
      <x:c r="K992" s="12" t="str">
        <x:f>IF('Research &amp; Analysis'!J264="","",'Research &amp; Analysis'!J264)</x:f>
      </x:c>
      <x:c r="L992" s="2" t="str">
        <x:f>IF('Research &amp; Analysis'!K264="","",'Research &amp; Analysis'!K264)</x:f>
      </x:c>
      <x:c r="M992" s="2" t="n">
        <x:f>'Research &amp; Analysis'!Q264</x:f>
        <x:v>1</x:v>
      </x:c>
      <x:c r="N992" s="2" t="str">
        <x:f>'Research &amp; Analysis'!L264</x:f>
        <x:v>Not started</x:v>
      </x:c>
      <x:c r="O992" s="2" t="str">
        <x:f>'Research &amp; Analysis'!N264</x:f>
        <x:v>RA.FC.1.2.2026.CY2</x:v>
      </x:c>
      <x:c r="P992" s="2" t="n">
        <x:f>'Research &amp; Analysis'!O264</x:f>
        <x:v>0</x:v>
      </x:c>
      <x:c r="Q992" s="2" t="n">
        <x:f>SUBTOTAL(103,O992)</x:f>
        <x:v>1</x:v>
      </x:c>
      <x:c r="R992" s="2" t="n">
        <x:f>IF(AND(M992=1,OR(Dashboard!$B$7="All",Dashboard!$B$7='Cycles &amp; Guide'!$C$5),OR(Dashboard!$D$7="All",Dashboard!$D$7=B992),OR(Dashboard!$F$7="All",Dashboard!$F$7=C992),OR(Dashboard!$H$7="All",Dashboard!$H$7=D992),OR(Dashboard!$K$7="All",Dashboard!$K$7=E992)),1,0)</x:f>
        <x:v>1</x:v>
      </x:c>
      <x:c r="S992" s="2" t="n">
        <x:f>IF(R992=1,SUM($R$10:R992),0)</x:f>
        <x:v>619</x:v>
      </x:c>
      <x:c r="T992" s="2" t="str">
        <x:v>Research &amp; Analysis</x:v>
      </x:c>
      <x:c r="U992" s="2" t="n">
        <x:v>264</x:v>
      </x:c>
      <x:c r="V992" s="2" t="n">
        <x:f>IF(AND(M992=1,P992=0,ISNUMBER(J992),J992&lt;TODAY()),1,0)</x:f>
        <x:v>1</x:v>
      </x:c>
      <x:c r="W992" s="2" t="str">
        <x:f>'Research &amp; Analysis'!M264</x:f>
        <x:v>Task</x:v>
      </x:c>
    </x:row>
    <x:row r="993" ht="40" customHeight="1">
      <x:c r="A993" s="3" t="str">
        <x:f>HYPERLINK("#'Research &amp; Analysis'!A265","Open")</x:f>
        <x:v>Open</x:v>
      </x:c>
      <x:c r="B993" s="2" t="str">
        <x:f>'Research &amp; Analysis'!B265</x:f>
        <x:v>Cycle 2</x:v>
      </x:c>
      <x:c r="C993" s="2" t="str">
        <x:f>'Research &amp; Analysis'!C265</x:f>
        <x:v>Phase 1</x:v>
      </x:c>
      <x:c r="D993" s="2" t="str">
        <x:f>'Research &amp; Analysis'!D265</x:f>
        <x:v>FCM</x:v>
      </x:c>
      <x:c r="E993" s="2" t="str">
        <x:v>Research &amp; Analysis</x:v>
      </x:c>
      <x:c r="F993" s="56" t="str">
        <x:f>'Research &amp; Analysis'!E265</x:f>
        <x:v>RA.FC.1.3</x:v>
      </x:c>
      <x:c r="G993" s="14" t="str">
        <x:f>'Research &amp; Analysis'!F265</x:f>
        <x:v>Identify best topic for Cycle</x:v>
      </x:c>
      <x:c r="H993" s="2" t="str">
        <x:f>IF('Research &amp; Analysis'!G265="","",'Research &amp; Analysis'!G265)</x:f>
      </x:c>
      <x:c r="I993" s="12" t="str">
        <x:f>IF('Research &amp; Analysis'!H265="","",'Research &amp; Analysis'!H265)</x:f>
      </x:c>
      <x:c r="J993" s="12" t="n">
        <x:f>IF('Research &amp; Analysis'!I265="","",'Research &amp; Analysis'!I265)</x:f>
        <x:v>46203</x:v>
      </x:c>
      <x:c r="K993" s="12" t="str">
        <x:f>IF('Research &amp; Analysis'!J265="","",'Research &amp; Analysis'!J265)</x:f>
      </x:c>
      <x:c r="L993" s="2" t="str">
        <x:f>IF('Research &amp; Analysis'!K265="","",'Research &amp; Analysis'!K265)</x:f>
      </x:c>
      <x:c r="M993" s="2" t="n">
        <x:f>'Research &amp; Analysis'!Q265</x:f>
        <x:v>1</x:v>
      </x:c>
      <x:c r="N993" s="2" t="str">
        <x:f>'Research &amp; Analysis'!L265</x:f>
        <x:v>Not started</x:v>
      </x:c>
      <x:c r="O993" s="2" t="str">
        <x:f>'Research &amp; Analysis'!N265</x:f>
        <x:v>RA.FC.1.3.2026.CY2</x:v>
      </x:c>
      <x:c r="P993" s="2" t="n">
        <x:f>'Research &amp; Analysis'!O265</x:f>
        <x:v>0</x:v>
      </x:c>
      <x:c r="Q993" s="2" t="n">
        <x:f>SUBTOTAL(103,O993)</x:f>
        <x:v>1</x:v>
      </x:c>
      <x:c r="R993" s="2" t="n">
        <x:f>IF(AND(M993=1,OR(Dashboard!$B$7="All",Dashboard!$B$7='Cycles &amp; Guide'!$C$5),OR(Dashboard!$D$7="All",Dashboard!$D$7=B993),OR(Dashboard!$F$7="All",Dashboard!$F$7=C993),OR(Dashboard!$H$7="All",Dashboard!$H$7=D993),OR(Dashboard!$K$7="All",Dashboard!$K$7=E993)),1,0)</x:f>
        <x:v>1</x:v>
      </x:c>
      <x:c r="S993" s="2" t="n">
        <x:f>IF(R993=1,SUM($R$10:R993),0)</x:f>
        <x:v>620</x:v>
      </x:c>
      <x:c r="T993" s="2" t="str">
        <x:v>Research &amp; Analysis</x:v>
      </x:c>
      <x:c r="U993" s="2" t="n">
        <x:v>265</x:v>
      </x:c>
      <x:c r="V993" s="2" t="n">
        <x:f>IF(AND(M993=1,P993=0,ISNUMBER(J993),J993&lt;TODAY()),1,0)</x:f>
        <x:v>1</x:v>
      </x:c>
      <x:c r="W993" s="2" t="str">
        <x:f>'Research &amp; Analysis'!M265</x:f>
        <x:v>Task</x:v>
      </x:c>
    </x:row>
    <x:row r="994" ht="40" customHeight="1">
      <x:c r="A994" s="3" t="str">
        <x:f>HYPERLINK("#'Research &amp; Analysis'!A266","Open")</x:f>
        <x:v>Open</x:v>
      </x:c>
      <x:c r="B994" s="2" t="str">
        <x:f>'Research &amp; Analysis'!B266</x:f>
        <x:v>Cycle 2</x:v>
      </x:c>
      <x:c r="C994" s="2" t="str">
        <x:f>'Research &amp; Analysis'!C266</x:f>
        <x:v>Phase 1</x:v>
      </x:c>
      <x:c r="D994" s="2" t="str">
        <x:f>'Research &amp; Analysis'!D266</x:f>
        <x:v>FCM</x:v>
      </x:c>
      <x:c r="E994" s="2" t="str">
        <x:v>Research &amp; Analysis</x:v>
      </x:c>
      <x:c r="F994" s="56" t="str">
        <x:f>'Research &amp; Analysis'!E266</x:f>
        <x:v>RA.FC.1.4</x:v>
      </x:c>
      <x:c r="G994" s="14" t="str">
        <x:f>'Research &amp; Analysis'!F266</x:f>
        <x:v>Identify backup topic for Cycle</x:v>
      </x:c>
      <x:c r="H994" s="2" t="str">
        <x:f>IF('Research &amp; Analysis'!G266="","",'Research &amp; Analysis'!G266)</x:f>
      </x:c>
      <x:c r="I994" s="12" t="str">
        <x:f>IF('Research &amp; Analysis'!H266="","",'Research &amp; Analysis'!H266)</x:f>
      </x:c>
      <x:c r="J994" s="12" t="n">
        <x:f>IF('Research &amp; Analysis'!I266="","",'Research &amp; Analysis'!I266)</x:f>
        <x:v>46203</x:v>
      </x:c>
      <x:c r="K994" s="12" t="str">
        <x:f>IF('Research &amp; Analysis'!J266="","",'Research &amp; Analysis'!J266)</x:f>
      </x:c>
      <x:c r="L994" s="2" t="str">
        <x:f>IF('Research &amp; Analysis'!K266="","",'Research &amp; Analysis'!K266)</x:f>
      </x:c>
      <x:c r="M994" s="2" t="n">
        <x:f>'Research &amp; Analysis'!Q266</x:f>
        <x:v>1</x:v>
      </x:c>
      <x:c r="N994" s="2" t="str">
        <x:f>'Research &amp; Analysis'!L266</x:f>
        <x:v>Not started</x:v>
      </x:c>
      <x:c r="O994" s="2" t="str">
        <x:f>'Research &amp; Analysis'!N266</x:f>
        <x:v>RA.FC.1.4.2026.CY2</x:v>
      </x:c>
      <x:c r="P994" s="2" t="n">
        <x:f>'Research &amp; Analysis'!O266</x:f>
        <x:v>0</x:v>
      </x:c>
      <x:c r="Q994" s="2" t="n">
        <x:f>SUBTOTAL(103,O994)</x:f>
        <x:v>1</x:v>
      </x:c>
      <x:c r="R994" s="2" t="n">
        <x:f>IF(AND(M994=1,OR(Dashboard!$B$7="All",Dashboard!$B$7='Cycles &amp; Guide'!$C$5),OR(Dashboard!$D$7="All",Dashboard!$D$7=B994),OR(Dashboard!$F$7="All",Dashboard!$F$7=C994),OR(Dashboard!$H$7="All",Dashboard!$H$7=D994),OR(Dashboard!$K$7="All",Dashboard!$K$7=E994)),1,0)</x:f>
        <x:v>1</x:v>
      </x:c>
      <x:c r="S994" s="2" t="n">
        <x:f>IF(R994=1,SUM($R$10:R994),0)</x:f>
        <x:v>621</x:v>
      </x:c>
      <x:c r="T994" s="2" t="str">
        <x:v>Research &amp; Analysis</x:v>
      </x:c>
      <x:c r="U994" s="2" t="n">
        <x:v>266</x:v>
      </x:c>
      <x:c r="V994" s="2" t="n">
        <x:f>IF(AND(M994=1,P994=0,ISNUMBER(J994),J994&lt;TODAY()),1,0)</x:f>
        <x:v>1</x:v>
      </x:c>
      <x:c r="W994" s="2" t="str">
        <x:f>'Research &amp; Analysis'!M266</x:f>
        <x:v>Task</x:v>
      </x:c>
    </x:row>
    <x:row r="995" ht="40" customHeight="1">
      <x:c r="A995" s="3" t="str">
        <x:f>HYPERLINK("#'Research &amp; Analysis'!A267","Open")</x:f>
        <x:v>Open</x:v>
      </x:c>
      <x:c r="B995" s="2" t="str">
        <x:f>'Research &amp; Analysis'!B267</x:f>
        <x:v>Cycle 2</x:v>
      </x:c>
      <x:c r="C995" s="2" t="str">
        <x:f>'Research &amp; Analysis'!C267</x:f>
        <x:v>Phase 1</x:v>
      </x:c>
      <x:c r="D995" s="2" t="str">
        <x:f>'Research &amp; Analysis'!D267</x:f>
        <x:v>FCM</x:v>
      </x:c>
      <x:c r="E995" s="2" t="str">
        <x:v>Research &amp; Analysis</x:v>
      </x:c>
      <x:c r="F995" s="56" t="str">
        <x:f>'Research &amp; Analysis'!E267</x:f>
        <x:v>RA.FC.1.5</x:v>
      </x:c>
      <x:c r="G995" s="14" t="str">
        <x:f>'Research &amp; Analysis'!F267</x:f>
        <x:v>Schedule topic approval meeting with D&amp;I and management</x:v>
      </x:c>
      <x:c r="H995" s="2" t="str">
        <x:f>IF('Research &amp; Analysis'!G267="","",'Research &amp; Analysis'!G267)</x:f>
      </x:c>
      <x:c r="I995" s="12" t="str">
        <x:f>IF('Research &amp; Analysis'!H267="","",'Research &amp; Analysis'!H267)</x:f>
      </x:c>
      <x:c r="J995" s="12" t="n">
        <x:f>IF('Research &amp; Analysis'!I267="","",'Research &amp; Analysis'!I267)</x:f>
        <x:v>46203</x:v>
      </x:c>
      <x:c r="K995" s="12" t="str">
        <x:f>IF('Research &amp; Analysis'!J267="","",'Research &amp; Analysis'!J267)</x:f>
      </x:c>
      <x:c r="L995" s="2" t="str">
        <x:f>IF('Research &amp; Analysis'!K267="","",'Research &amp; Analysis'!K267)</x:f>
      </x:c>
      <x:c r="M995" s="2" t="n">
        <x:f>'Research &amp; Analysis'!Q267</x:f>
        <x:v>1</x:v>
      </x:c>
      <x:c r="N995" s="2" t="str">
        <x:f>'Research &amp; Analysis'!L267</x:f>
        <x:v>Not started</x:v>
      </x:c>
      <x:c r="O995" s="2" t="str">
        <x:f>'Research &amp; Analysis'!N267</x:f>
        <x:v>RA.FC.1.5.2026.CY2</x:v>
      </x:c>
      <x:c r="P995" s="2" t="n">
        <x:f>'Research &amp; Analysis'!O267</x:f>
        <x:v>0</x:v>
      </x:c>
      <x:c r="Q995" s="2" t="n">
        <x:f>SUBTOTAL(103,O995)</x:f>
        <x:v>1</x:v>
      </x:c>
      <x:c r="R995" s="2" t="n">
        <x:f>IF(AND(M995=1,OR(Dashboard!$B$7="All",Dashboard!$B$7='Cycles &amp; Guide'!$C$5),OR(Dashboard!$D$7="All",Dashboard!$D$7=B995),OR(Dashboard!$F$7="All",Dashboard!$F$7=C995),OR(Dashboard!$H$7="All",Dashboard!$H$7=D995),OR(Dashboard!$K$7="All",Dashboard!$K$7=E995)),1,0)</x:f>
        <x:v>1</x:v>
      </x:c>
      <x:c r="S995" s="2" t="n">
        <x:f>IF(R995=1,SUM($R$10:R995),0)</x:f>
        <x:v>622</x:v>
      </x:c>
      <x:c r="T995" s="2" t="str">
        <x:v>Research &amp; Analysis</x:v>
      </x:c>
      <x:c r="U995" s="2" t="n">
        <x:v>267</x:v>
      </x:c>
      <x:c r="V995" s="2" t="n">
        <x:f>IF(AND(M995=1,P995=0,ISNUMBER(J995),J995&lt;TODAY()),1,0)</x:f>
        <x:v>1</x:v>
      </x:c>
      <x:c r="W995" s="2" t="str">
        <x:f>'Research &amp; Analysis'!M267</x:f>
        <x:v>Task</x:v>
      </x:c>
    </x:row>
    <x:row r="996" ht="40" customHeight="1">
      <x:c r="A996" s="3" t="str">
        <x:f>HYPERLINK("#'Research &amp; Analysis'!A268","Open")</x:f>
        <x:v>Open</x:v>
      </x:c>
      <x:c r="B996" s="2" t="str">
        <x:f>'Research &amp; Analysis'!B268</x:f>
        <x:v>Cycle 2</x:v>
      </x:c>
      <x:c r="C996" s="2" t="str">
        <x:f>'Research &amp; Analysis'!C268</x:f>
        <x:v>Phase 1</x:v>
      </x:c>
      <x:c r="D996" s="2" t="str">
        <x:f>'Research &amp; Analysis'!D268</x:f>
        <x:v>FCM</x:v>
      </x:c>
      <x:c r="E996" s="2" t="str">
        <x:v>Research &amp; Analysis</x:v>
      </x:c>
      <x:c r="F996" s="56" t="str">
        <x:f>'Research &amp; Analysis'!E268</x:f>
        <x:v>RA.FC.1.6</x:v>
      </x:c>
      <x:c r="G996" s="14" t="str">
        <x:f>'Research &amp; Analysis'!F268</x:f>
        <x:v>Present recommended topic to D&amp;I and management for approval</x:v>
      </x:c>
      <x:c r="H996" s="2" t="str">
        <x:f>IF('Research &amp; Analysis'!G268="","",'Research &amp; Analysis'!G268)</x:f>
      </x:c>
      <x:c r="I996" s="12" t="str">
        <x:f>IF('Research &amp; Analysis'!H268="","",'Research &amp; Analysis'!H268)</x:f>
      </x:c>
      <x:c r="J996" s="12" t="n">
        <x:f>IF('Research &amp; Analysis'!I268="","",'Research &amp; Analysis'!I268)</x:f>
        <x:v>46203</x:v>
      </x:c>
      <x:c r="K996" s="12" t="str">
        <x:f>IF('Research &amp; Analysis'!J268="","",'Research &amp; Analysis'!J268)</x:f>
      </x:c>
      <x:c r="L996" s="2" t="str">
        <x:f>IF('Research &amp; Analysis'!K268="","",'Research &amp; Analysis'!K268)</x:f>
      </x:c>
      <x:c r="M996" s="2" t="n">
        <x:f>'Research &amp; Analysis'!Q268</x:f>
        <x:v>1</x:v>
      </x:c>
      <x:c r="N996" s="2" t="str">
        <x:f>'Research &amp; Analysis'!L268</x:f>
        <x:v>Not started</x:v>
      </x:c>
      <x:c r="O996" s="2" t="str">
        <x:f>'Research &amp; Analysis'!N268</x:f>
        <x:v>RA.FC.1.6.2026.CY2</x:v>
      </x:c>
      <x:c r="P996" s="2" t="n">
        <x:f>'Research &amp; Analysis'!O268</x:f>
        <x:v>0</x:v>
      </x:c>
      <x:c r="Q996" s="2" t="n">
        <x:f>SUBTOTAL(103,O996)</x:f>
        <x:v>1</x:v>
      </x:c>
      <x:c r="R996" s="2" t="n">
        <x:f>IF(AND(M996=1,OR(Dashboard!$B$7="All",Dashboard!$B$7='Cycles &amp; Guide'!$C$5),OR(Dashboard!$D$7="All",Dashboard!$D$7=B996),OR(Dashboard!$F$7="All",Dashboard!$F$7=C996),OR(Dashboard!$H$7="All",Dashboard!$H$7=D996),OR(Dashboard!$K$7="All",Dashboard!$K$7=E996)),1,0)</x:f>
        <x:v>1</x:v>
      </x:c>
      <x:c r="S996" s="2" t="n">
        <x:f>IF(R996=1,SUM($R$10:R996),0)</x:f>
        <x:v>623</x:v>
      </x:c>
      <x:c r="T996" s="2" t="str">
        <x:v>Research &amp; Analysis</x:v>
      </x:c>
      <x:c r="U996" s="2" t="n">
        <x:v>268</x:v>
      </x:c>
      <x:c r="V996" s="2" t="n">
        <x:f>IF(AND(M996=1,P996=0,ISNUMBER(J996),J996&lt;TODAY()),1,0)</x:f>
        <x:v>1</x:v>
      </x:c>
      <x:c r="W996" s="2" t="str">
        <x:f>'Research &amp; Analysis'!M268</x:f>
        <x:v>Task</x:v>
      </x:c>
    </x:row>
    <x:row r="997" ht="40" customHeight="1">
      <x:c r="A997" s="3" t="str">
        <x:f>HYPERLINK("#'Research &amp; Analysis'!A269","Open")</x:f>
        <x:v>Open</x:v>
      </x:c>
      <x:c r="B997" s="2" t="str">
        <x:f>'Research &amp; Analysis'!B269</x:f>
        <x:v>Cycle 2</x:v>
      </x:c>
      <x:c r="C997" s="2" t="str">
        <x:f>'Research &amp; Analysis'!C269</x:f>
        <x:v>Phase 1</x:v>
      </x:c>
      <x:c r="D997" s="2" t="str">
        <x:f>'Research &amp; Analysis'!D269</x:f>
        <x:v>FCM</x:v>
      </x:c>
      <x:c r="E997" s="2" t="str">
        <x:v>Research &amp; Analysis</x:v>
      </x:c>
      <x:c r="F997" s="56" t="str">
        <x:f>'Research &amp; Analysis'!E269</x:f>
        <x:v>RA.FC.1.7</x:v>
      </x:c>
      <x:c r="G997" s="14" t="str">
        <x:f>'Research &amp; Analysis'!F269</x:f>
        <x:v>Obtain formal topic selection approval from management via SharePoint</x:v>
      </x:c>
      <x:c r="H997" s="2" t="str">
        <x:f>IF('Research &amp; Analysis'!G269="","",'Research &amp; Analysis'!G269)</x:f>
      </x:c>
      <x:c r="I997" s="12" t="str">
        <x:f>IF('Research &amp; Analysis'!H269="","",'Research &amp; Analysis'!H269)</x:f>
      </x:c>
      <x:c r="J997" s="12" t="n">
        <x:f>IF('Research &amp; Analysis'!I269="","",'Research &amp; Analysis'!I269)</x:f>
        <x:v>46203</x:v>
      </x:c>
      <x:c r="K997" s="12" t="str">
        <x:f>IF('Research &amp; Analysis'!J269="","",'Research &amp; Analysis'!J269)</x:f>
      </x:c>
      <x:c r="L997" s="2" t="str">
        <x:f>IF('Research &amp; Analysis'!K269="","",'Research &amp; Analysis'!K269)</x:f>
      </x:c>
      <x:c r="M997" s="2" t="n">
        <x:f>'Research &amp; Analysis'!Q269</x:f>
        <x:v>1</x:v>
      </x:c>
      <x:c r="N997" s="2" t="str">
        <x:f>'Research &amp; Analysis'!L269</x:f>
        <x:v>Not started</x:v>
      </x:c>
      <x:c r="O997" s="2" t="str">
        <x:f>'Research &amp; Analysis'!N269</x:f>
        <x:v>RA.FC.1.7.2026.CY2</x:v>
      </x:c>
      <x:c r="P997" s="2" t="n">
        <x:f>'Research &amp; Analysis'!O269</x:f>
        <x:v>0</x:v>
      </x:c>
      <x:c r="Q997" s="2" t="n">
        <x:f>SUBTOTAL(103,O997)</x:f>
        <x:v>1</x:v>
      </x:c>
      <x:c r="R997" s="2" t="n">
        <x:f>IF(AND(M997=1,OR(Dashboard!$B$7="All",Dashboard!$B$7='Cycles &amp; Guide'!$C$5),OR(Dashboard!$D$7="All",Dashboard!$D$7=B997),OR(Dashboard!$F$7="All",Dashboard!$F$7=C997),OR(Dashboard!$H$7="All",Dashboard!$H$7=D997),OR(Dashboard!$K$7="All",Dashboard!$K$7=E997)),1,0)</x:f>
        <x:v>1</x:v>
      </x:c>
      <x:c r="S997" s="2" t="n">
        <x:f>IF(R997=1,SUM($R$10:R997),0)</x:f>
        <x:v>624</x:v>
      </x:c>
      <x:c r="T997" s="2" t="str">
        <x:v>Research &amp; Analysis</x:v>
      </x:c>
      <x:c r="U997" s="2" t="n">
        <x:v>269</x:v>
      </x:c>
      <x:c r="V997" s="2" t="n">
        <x:f>IF(AND(M997=1,P997=0,ISNUMBER(J997),J997&lt;TODAY()),1,0)</x:f>
        <x:v>1</x:v>
      </x:c>
      <x:c r="W997" s="2" t="str">
        <x:f>'Research &amp; Analysis'!M269</x:f>
        <x:v>Task</x:v>
      </x:c>
    </x:row>
    <x:row r="998" ht="40" customHeight="1">
      <x:c r="A998" s="3" t="str">
        <x:f>HYPERLINK("#'Research &amp; Analysis'!A270","Open")</x:f>
        <x:v>Open</x:v>
      </x:c>
      <x:c r="B998" s="2" t="str">
        <x:f>'Research &amp; Analysis'!B270</x:f>
        <x:v>Cycle 2</x:v>
      </x:c>
      <x:c r="C998" s="2" t="str">
        <x:f>'Research &amp; Analysis'!C270</x:f>
        <x:v>Phase 1</x:v>
      </x:c>
      <x:c r="D998" s="2" t="str">
        <x:f>'Research &amp; Analysis'!D270</x:f>
        <x:v>FCM</x:v>
      </x:c>
      <x:c r="E998" s="2" t="str">
        <x:v>Research &amp; Analysis</x:v>
      </x:c>
      <x:c r="F998" s="56" t="str">
        <x:f>'Research &amp; Analysis'!E270</x:f>
        <x:v>RA.FC.1.8</x:v>
      </x:c>
      <x:c r="G998" s="14" t="str">
        <x:f>'Research &amp; Analysis'!F270</x:f>
        <x:v>Socialize topic selection with product owners and subject matter experts (if known)</x:v>
      </x:c>
      <x:c r="H998" s="2" t="str">
        <x:f>IF('Research &amp; Analysis'!G270="","",'Research &amp; Analysis'!G270)</x:f>
      </x:c>
      <x:c r="I998" s="12" t="str">
        <x:f>IF('Research &amp; Analysis'!H270="","",'Research &amp; Analysis'!H270)</x:f>
      </x:c>
      <x:c r="J998" s="12" t="n">
        <x:f>IF('Research &amp; Analysis'!I270="","",'Research &amp; Analysis'!I270)</x:f>
        <x:v>46203</x:v>
      </x:c>
      <x:c r="K998" s="12" t="str">
        <x:f>IF('Research &amp; Analysis'!J270="","",'Research &amp; Analysis'!J270)</x:f>
      </x:c>
      <x:c r="L998" s="2" t="str">
        <x:f>IF('Research &amp; Analysis'!K270="","",'Research &amp; Analysis'!K270)</x:f>
      </x:c>
      <x:c r="M998" s="2" t="n">
        <x:f>'Research &amp; Analysis'!Q270</x:f>
        <x:v>1</x:v>
      </x:c>
      <x:c r="N998" s="2" t="str">
        <x:f>'Research &amp; Analysis'!L270</x:f>
        <x:v>Not started</x:v>
      </x:c>
      <x:c r="O998" s="2" t="str">
        <x:f>'Research &amp; Analysis'!N270</x:f>
        <x:v>RA.FC.1.8.2026.CY2</x:v>
      </x:c>
      <x:c r="P998" s="2" t="n">
        <x:f>'Research &amp; Analysis'!O270</x:f>
        <x:v>0</x:v>
      </x:c>
      <x:c r="Q998" s="2" t="n">
        <x:f>SUBTOTAL(103,O998)</x:f>
        <x:v>1</x:v>
      </x:c>
      <x:c r="R998" s="2" t="n">
        <x:f>IF(AND(M998=1,OR(Dashboard!$B$7="All",Dashboard!$B$7='Cycles &amp; Guide'!$C$5),OR(Dashboard!$D$7="All",Dashboard!$D$7=B998),OR(Dashboard!$F$7="All",Dashboard!$F$7=C998),OR(Dashboard!$H$7="All",Dashboard!$H$7=D998),OR(Dashboard!$K$7="All",Dashboard!$K$7=E998)),1,0)</x:f>
        <x:v>1</x:v>
      </x:c>
      <x:c r="S998" s="2" t="n">
        <x:f>IF(R998=1,SUM($R$10:R998),0)</x:f>
        <x:v>625</x:v>
      </x:c>
      <x:c r="T998" s="2" t="str">
        <x:v>Research &amp; Analysis</x:v>
      </x:c>
      <x:c r="U998" s="2" t="n">
        <x:v>270</x:v>
      </x:c>
      <x:c r="V998" s="2" t="n">
        <x:f>IF(AND(M998=1,P998=0,ISNUMBER(J998),J998&lt;TODAY()),1,0)</x:f>
        <x:v>1</x:v>
      </x:c>
      <x:c r="W998" s="2" t="str">
        <x:f>'Research &amp; Analysis'!M270</x:f>
        <x:v>Task</x:v>
      </x:c>
    </x:row>
    <x:row r="999" ht="40" customHeight="1">
      <x:c r="A999" s="3" t="str">
        <x:f>HYPERLINK("#'Research &amp; Analysis'!A271","Open")</x:f>
        <x:v>Open</x:v>
      </x:c>
      <x:c r="B999" s="2" t="str">
        <x:f>'Research &amp; Analysis'!B271</x:f>
        <x:v>Cycle 2</x:v>
      </x:c>
      <x:c r="C999" s="2" t="str">
        <x:f>'Research &amp; Analysis'!C271</x:f>
        <x:v>Phase 1</x:v>
      </x:c>
      <x:c r="D999" s="2" t="str">
        <x:f>'Research &amp; Analysis'!D271</x:f>
        <x:v>FCM</x:v>
      </x:c>
      <x:c r="E999" s="2" t="str">
        <x:v>Research &amp; Analysis</x:v>
      </x:c>
      <x:c r="F999" s="56" t="str">
        <x:f>'Research &amp; Analysis'!E271</x:f>
        <x:v>RA.FC.1.9</x:v>
      </x:c>
      <x:c r="G999" s="14" t="str">
        <x:f>'Research &amp; Analysis'!F271</x:f>
        <x:v>Assign topic researchers</x:v>
      </x:c>
      <x:c r="H999" s="2" t="str">
        <x:f>IF('Research &amp; Analysis'!G271="","",'Research &amp; Analysis'!G271)</x:f>
      </x:c>
      <x:c r="I999" s="12" t="str">
        <x:f>IF('Research &amp; Analysis'!H271="","",'Research &amp; Analysis'!H271)</x:f>
      </x:c>
      <x:c r="J999" s="12" t="n">
        <x:f>IF('Research &amp; Analysis'!I271="","",'Research &amp; Analysis'!I271)</x:f>
        <x:v>46203</x:v>
      </x:c>
      <x:c r="K999" s="12" t="str">
        <x:f>IF('Research &amp; Analysis'!J271="","",'Research &amp; Analysis'!J271)</x:f>
      </x:c>
      <x:c r="L999" s="2" t="str">
        <x:f>IF('Research &amp; Analysis'!K271="","",'Research &amp; Analysis'!K271)</x:f>
      </x:c>
      <x:c r="M999" s="2" t="n">
        <x:f>'Research &amp; Analysis'!Q271</x:f>
        <x:v>1</x:v>
      </x:c>
      <x:c r="N999" s="2" t="str">
        <x:f>'Research &amp; Analysis'!L271</x:f>
        <x:v>Not started</x:v>
      </x:c>
      <x:c r="O999" s="2" t="str">
        <x:f>'Research &amp; Analysis'!N271</x:f>
        <x:v>RA.FC.1.9.2026.CY2</x:v>
      </x:c>
      <x:c r="P999" s="2" t="n">
        <x:f>'Research &amp; Analysis'!O271</x:f>
        <x:v>0</x:v>
      </x:c>
      <x:c r="Q999" s="2" t="n">
        <x:f>SUBTOTAL(103,O999)</x:f>
        <x:v>1</x:v>
      </x:c>
      <x:c r="R999" s="2" t="n">
        <x:f>IF(AND(M999=1,OR(Dashboard!$B$7="All",Dashboard!$B$7='Cycles &amp; Guide'!$C$5),OR(Dashboard!$D$7="All",Dashboard!$D$7=B999),OR(Dashboard!$F$7="All",Dashboard!$F$7=C999),OR(Dashboard!$H$7="All",Dashboard!$H$7=D999),OR(Dashboard!$K$7="All",Dashboard!$K$7=E999)),1,0)</x:f>
        <x:v>1</x:v>
      </x:c>
      <x:c r="S999" s="2" t="n">
        <x:f>IF(R999=1,SUM($R$10:R999),0)</x:f>
        <x:v>626</x:v>
      </x:c>
      <x:c r="T999" s="2" t="str">
        <x:v>Research &amp; Analysis</x:v>
      </x:c>
      <x:c r="U999" s="2" t="n">
        <x:v>271</x:v>
      </x:c>
      <x:c r="V999" s="2" t="n">
        <x:f>IF(AND(M999=1,P999=0,ISNUMBER(J999),J999&lt;TODAY()),1,0)</x:f>
        <x:v>1</x:v>
      </x:c>
      <x:c r="W999" s="2" t="str">
        <x:f>'Research &amp; Analysis'!M271</x:f>
        <x:v>Task</x:v>
      </x:c>
    </x:row>
    <x:row r="1000" ht="40" customHeight="1">
      <x:c r="A1000" s="3" t="str">
        <x:f>HYPERLINK("#'Research &amp; Analysis'!A272","Open")</x:f>
        <x:v>Open</x:v>
      </x:c>
      <x:c r="B1000" s="2" t="str">
        <x:f>'Research &amp; Analysis'!B272</x:f>
        <x:v>Cycle 2</x:v>
      </x:c>
      <x:c r="C1000" s="2" t="str">
        <x:f>'Research &amp; Analysis'!C272</x:f>
        <x:v>Phase 2</x:v>
      </x:c>
      <x:c r="D1000" s="2" t="str">
        <x:f>'Research &amp; Analysis'!D272</x:f>
        <x:v>FCM</x:v>
      </x:c>
      <x:c r="E1000" s="2" t="str">
        <x:v>Research &amp; Analysis</x:v>
      </x:c>
      <x:c r="F1000" s="56" t="str">
        <x:f>'Research &amp; Analysis'!E272</x:f>
        <x:v>RA.FC.2.1</x:v>
      </x:c>
      <x:c r="G1000" s="14" t="str">
        <x:f>'Research &amp; Analysis'!F272</x:f>
        <x:v>Review data sources</x:v>
      </x:c>
      <x:c r="H1000" s="2" t="str">
        <x:f>IF('Research &amp; Analysis'!G272="","",'Research &amp; Analysis'!G272)</x:f>
      </x:c>
      <x:c r="I1000" s="12" t="str">
        <x:f>IF('Research &amp; Analysis'!H272="","",'Research &amp; Analysis'!H272)</x:f>
      </x:c>
      <x:c r="J1000" s="12" t="n">
        <x:f>IF('Research &amp; Analysis'!I272="","",'Research &amp; Analysis'!I272)</x:f>
        <x:v>46203</x:v>
      </x:c>
      <x:c r="K1000" s="12" t="str">
        <x:f>IF('Research &amp; Analysis'!J272="","",'Research &amp; Analysis'!J272)</x:f>
      </x:c>
      <x:c r="L1000" s="2" t="str">
        <x:f>IF('Research &amp; Analysis'!K272="","",'Research &amp; Analysis'!K272)</x:f>
      </x:c>
      <x:c r="M1000" s="2" t="n">
        <x:f>'Research &amp; Analysis'!Q272</x:f>
        <x:v>1</x:v>
      </x:c>
      <x:c r="N1000" s="2" t="str">
        <x:f>'Research &amp; Analysis'!L272</x:f>
        <x:v>Not started</x:v>
      </x:c>
      <x:c r="O1000" s="2" t="str">
        <x:f>'Research &amp; Analysis'!N272</x:f>
        <x:v>RA.FC.2.1.2026.CY2</x:v>
      </x:c>
      <x:c r="P1000" s="2" t="n">
        <x:f>'Research &amp; Analysis'!O272</x:f>
        <x:v>0</x:v>
      </x:c>
      <x:c r="Q1000" s="2" t="n">
        <x:f>SUBTOTAL(103,O1000)</x:f>
        <x:v>1</x:v>
      </x:c>
      <x:c r="R1000" s="2" t="n">
        <x:f>IF(AND(M1000=1,OR(Dashboard!$B$7="All",Dashboard!$B$7='Cycles &amp; Guide'!$C$5),OR(Dashboard!$D$7="All",Dashboard!$D$7=B1000),OR(Dashboard!$F$7="All",Dashboard!$F$7=C1000),OR(Dashboard!$H$7="All",Dashboard!$H$7=D1000),OR(Dashboard!$K$7="All",Dashboard!$K$7=E1000)),1,0)</x:f>
        <x:v>1</x:v>
      </x:c>
      <x:c r="S1000" s="2" t="n">
        <x:f>IF(R1000=1,SUM($R$10:R1000),0)</x:f>
        <x:v>627</x:v>
      </x:c>
      <x:c r="T1000" s="2" t="str">
        <x:v>Research &amp; Analysis</x:v>
      </x:c>
      <x:c r="U1000" s="2" t="n">
        <x:v>272</x:v>
      </x:c>
      <x:c r="V1000" s="2" t="n">
        <x:f>IF(AND(M1000=1,P1000=0,ISNUMBER(J1000),J1000&lt;TODAY()),1,0)</x:f>
        <x:v>1</x:v>
      </x:c>
      <x:c r="W1000" s="2" t="str">
        <x:f>'Research &amp; Analysis'!M272</x:f>
        <x:v>Task</x:v>
      </x:c>
    </x:row>
    <x:row r="1001" ht="40" customHeight="1">
      <x:c r="A1001" s="3" t="str">
        <x:f>HYPERLINK("#'Research &amp; Analysis'!A273","Open")</x:f>
        <x:v>Open</x:v>
      </x:c>
      <x:c r="B1001" s="2" t="str">
        <x:f>'Research &amp; Analysis'!B273</x:f>
        <x:v>Cycle 2</x:v>
      </x:c>
      <x:c r="C1001" s="2" t="str">
        <x:f>'Research &amp; Analysis'!C273</x:f>
        <x:v>Phase 2</x:v>
      </x:c>
      <x:c r="D1001" s="2" t="str">
        <x:f>'Research &amp; Analysis'!D273</x:f>
        <x:v>FCM</x:v>
      </x:c>
      <x:c r="E1001" s="2" t="str">
        <x:v>Research &amp; Analysis</x:v>
      </x:c>
      <x:c r="F1001" s="56" t="str">
        <x:f>'Research &amp; Analysis'!E273</x:f>
        <x:v>RA.FC.2.2</x:v>
      </x:c>
      <x:c r="G1001" s="14" t="str">
        <x:f>'Research &amp; Analysis'!F273</x:f>
        <x:v>Review relevant policies and procedures</x:v>
      </x:c>
      <x:c r="H1001" s="2" t="str">
        <x:f>IF('Research &amp; Analysis'!G273="","",'Research &amp; Analysis'!G273)</x:f>
      </x:c>
      <x:c r="I1001" s="12" t="str">
        <x:f>IF('Research &amp; Analysis'!H273="","",'Research &amp; Analysis'!H273)</x:f>
      </x:c>
      <x:c r="J1001" s="12" t="n">
        <x:f>IF('Research &amp; Analysis'!I273="","",'Research &amp; Analysis'!I273)</x:f>
        <x:v>46203</x:v>
      </x:c>
      <x:c r="K1001" s="12" t="str">
        <x:f>IF('Research &amp; Analysis'!J273="","",'Research &amp; Analysis'!J273)</x:f>
      </x:c>
      <x:c r="L1001" s="2" t="str">
        <x:f>IF('Research &amp; Analysis'!K273="","",'Research &amp; Analysis'!K273)</x:f>
      </x:c>
      <x:c r="M1001" s="2" t="n">
        <x:f>'Research &amp; Analysis'!Q273</x:f>
        <x:v>1</x:v>
      </x:c>
      <x:c r="N1001" s="2" t="str">
        <x:f>'Research &amp; Analysis'!L273</x:f>
        <x:v>Not started</x:v>
      </x:c>
      <x:c r="O1001" s="2" t="str">
        <x:f>'Research &amp; Analysis'!N273</x:f>
        <x:v>RA.FC.2.2.2026.CY2</x:v>
      </x:c>
      <x:c r="P1001" s="2" t="n">
        <x:f>'Research &amp; Analysis'!O273</x:f>
        <x:v>0</x:v>
      </x:c>
      <x:c r="Q1001" s="2" t="n">
        <x:f>SUBTOTAL(103,O1001)</x:f>
        <x:v>1</x:v>
      </x:c>
      <x:c r="R1001" s="2" t="n">
        <x:f>IF(AND(M1001=1,OR(Dashboard!$B$7="All",Dashboard!$B$7='Cycles &amp; Guide'!$C$5),OR(Dashboard!$D$7="All",Dashboard!$D$7=B1001),OR(Dashboard!$F$7="All",Dashboard!$F$7=C1001),OR(Dashboard!$H$7="All",Dashboard!$H$7=D1001),OR(Dashboard!$K$7="All",Dashboard!$K$7=E1001)),1,0)</x:f>
        <x:v>1</x:v>
      </x:c>
      <x:c r="S1001" s="2" t="n">
        <x:f>IF(R1001=1,SUM($R$10:R1001),0)</x:f>
        <x:v>628</x:v>
      </x:c>
      <x:c r="T1001" s="2" t="str">
        <x:v>Research &amp; Analysis</x:v>
      </x:c>
      <x:c r="U1001" s="2" t="n">
        <x:v>273</x:v>
      </x:c>
      <x:c r="V1001" s="2" t="n">
        <x:f>IF(AND(M1001=1,P1001=0,ISNUMBER(J1001),J1001&lt;TODAY()),1,0)</x:f>
        <x:v>1</x:v>
      </x:c>
      <x:c r="W1001" s="2" t="str">
        <x:f>'Research &amp; Analysis'!M273</x:f>
        <x:v>Task</x:v>
      </x:c>
    </x:row>
    <x:row r="1002" ht="40" customHeight="1">
      <x:c r="A1002" s="3" t="str">
        <x:f>HYPERLINK("#'Research &amp; Analysis'!A274","Open")</x:f>
        <x:v>Open</x:v>
      </x:c>
      <x:c r="B1002" s="2" t="str">
        <x:f>'Research &amp; Analysis'!B274</x:f>
        <x:v>Cycle 2</x:v>
      </x:c>
      <x:c r="C1002" s="2" t="str">
        <x:f>'Research &amp; Analysis'!C274</x:f>
        <x:v>Phase 2</x:v>
      </x:c>
      <x:c r="D1002" s="2" t="str">
        <x:f>'Research &amp; Analysis'!D274</x:f>
        <x:v>FCM</x:v>
      </x:c>
      <x:c r="E1002" s="2" t="str">
        <x:v>Research &amp; Analysis</x:v>
      </x:c>
      <x:c r="F1002" s="56" t="str">
        <x:f>'Research &amp; Analysis'!E274</x:f>
        <x:v>RA.FC.2.3</x:v>
      </x:c>
      <x:c r="G1002" s="14" t="str">
        <x:f>'Research &amp; Analysis'!F274</x:f>
        <x:v>Meet with SMEs to gain business insight and clarify questions</x:v>
      </x:c>
      <x:c r="H1002" s="2" t="str">
        <x:f>IF('Research &amp; Analysis'!G274="","",'Research &amp; Analysis'!G274)</x:f>
      </x:c>
      <x:c r="I1002" s="12" t="str">
        <x:f>IF('Research &amp; Analysis'!H274="","",'Research &amp; Analysis'!H274)</x:f>
      </x:c>
      <x:c r="J1002" s="12" t="n">
        <x:f>IF('Research &amp; Analysis'!I274="","",'Research &amp; Analysis'!I274)</x:f>
        <x:v>46203</x:v>
      </x:c>
      <x:c r="K1002" s="12" t="str">
        <x:f>IF('Research &amp; Analysis'!J274="","",'Research &amp; Analysis'!J274)</x:f>
      </x:c>
      <x:c r="L1002" s="2" t="str">
        <x:f>IF('Research &amp; Analysis'!K274="","",'Research &amp; Analysis'!K274)</x:f>
      </x:c>
      <x:c r="M1002" s="2" t="n">
        <x:f>'Research &amp; Analysis'!Q274</x:f>
        <x:v>1</x:v>
      </x:c>
      <x:c r="N1002" s="2" t="str">
        <x:f>'Research &amp; Analysis'!L274</x:f>
        <x:v>Not started</x:v>
      </x:c>
      <x:c r="O1002" s="2" t="str">
        <x:f>'Research &amp; Analysis'!N274</x:f>
        <x:v>RA.FC.2.3.2026.CY2</x:v>
      </x:c>
      <x:c r="P1002" s="2" t="n">
        <x:f>'Research &amp; Analysis'!O274</x:f>
        <x:v>0</x:v>
      </x:c>
      <x:c r="Q1002" s="2" t="n">
        <x:f>SUBTOTAL(103,O1002)</x:f>
        <x:v>1</x:v>
      </x:c>
      <x:c r="R1002" s="2" t="n">
        <x:f>IF(AND(M1002=1,OR(Dashboard!$B$7="All",Dashboard!$B$7='Cycles &amp; Guide'!$C$5),OR(Dashboard!$D$7="All",Dashboard!$D$7=B1002),OR(Dashboard!$F$7="All",Dashboard!$F$7=C1002),OR(Dashboard!$H$7="All",Dashboard!$H$7=D1002),OR(Dashboard!$K$7="All",Dashboard!$K$7=E1002)),1,0)</x:f>
        <x:v>1</x:v>
      </x:c>
      <x:c r="S1002" s="2" t="n">
        <x:f>IF(R1002=1,SUM($R$10:R1002),0)</x:f>
        <x:v>629</x:v>
      </x:c>
      <x:c r="T1002" s="2" t="str">
        <x:v>Research &amp; Analysis</x:v>
      </x:c>
      <x:c r="U1002" s="2" t="n">
        <x:v>274</x:v>
      </x:c>
      <x:c r="V1002" s="2" t="n">
        <x:f>IF(AND(M1002=1,P1002=0,ISNUMBER(J1002),J1002&lt;TODAY()),1,0)</x:f>
        <x:v>1</x:v>
      </x:c>
      <x:c r="W1002" s="2" t="str">
        <x:f>'Research &amp; Analysis'!M274</x:f>
        <x:v>Task</x:v>
      </x:c>
    </x:row>
    <x:row r="1003" ht="40" customHeight="1">
      <x:c r="A1003" s="3" t="str">
        <x:f>HYPERLINK("#'Research &amp; Analysis'!A275","Open")</x:f>
        <x:v>Open</x:v>
      </x:c>
      <x:c r="B1003" s="2" t="str">
        <x:f>'Research &amp; Analysis'!B275</x:f>
        <x:v>Cycle 2</x:v>
      </x:c>
      <x:c r="C1003" s="2" t="str">
        <x:f>'Research &amp; Analysis'!C275</x:f>
        <x:v>Phase 2</x:v>
      </x:c>
      <x:c r="D1003" s="2" t="str">
        <x:f>'Research &amp; Analysis'!D275</x:f>
        <x:v>FCM</x:v>
      </x:c>
      <x:c r="E1003" s="2" t="str">
        <x:v>Research &amp; Analysis</x:v>
      </x:c>
      <x:c r="F1003" s="56" t="str">
        <x:f>'Research &amp; Analysis'!E275</x:f>
        <x:v>RA.FC.2.4</x:v>
      </x:c>
      <x:c r="G1003" s="14" t="str">
        <x:f>'Research &amp; Analysis'!F275</x:f>
        <x:v>Establish and maintain a recurring meeting with D&amp;I to discuss Cycle progress</x:v>
      </x:c>
      <x:c r="H1003" s="2" t="str">
        <x:f>IF('Research &amp; Analysis'!G275="","",'Research &amp; Analysis'!G275)</x:f>
      </x:c>
      <x:c r="I1003" s="12" t="str">
        <x:f>IF('Research &amp; Analysis'!H275="","",'Research &amp; Analysis'!H275)</x:f>
      </x:c>
      <x:c r="J1003" s="12" t="n">
        <x:f>IF('Research &amp; Analysis'!I275="","",'Research &amp; Analysis'!I275)</x:f>
        <x:v>46203</x:v>
      </x:c>
      <x:c r="K1003" s="12" t="str">
        <x:f>IF('Research &amp; Analysis'!J275="","",'Research &amp; Analysis'!J275)</x:f>
      </x:c>
      <x:c r="L1003" s="2" t="str">
        <x:f>IF('Research &amp; Analysis'!K275="","",'Research &amp; Analysis'!K275)</x:f>
      </x:c>
      <x:c r="M1003" s="2" t="n">
        <x:f>'Research &amp; Analysis'!Q275</x:f>
        <x:v>1</x:v>
      </x:c>
      <x:c r="N1003" s="2" t="str">
        <x:f>'Research &amp; Analysis'!L275</x:f>
        <x:v>Not started</x:v>
      </x:c>
      <x:c r="O1003" s="2" t="str">
        <x:f>'Research &amp; Analysis'!N275</x:f>
        <x:v>RA.FC.2.4.2026.CY2</x:v>
      </x:c>
      <x:c r="P1003" s="2" t="n">
        <x:f>'Research &amp; Analysis'!O275</x:f>
        <x:v>0</x:v>
      </x:c>
      <x:c r="Q1003" s="2" t="n">
        <x:f>SUBTOTAL(103,O1003)</x:f>
        <x:v>1</x:v>
      </x:c>
      <x:c r="R1003" s="2" t="n">
        <x:f>IF(AND(M1003=1,OR(Dashboard!$B$7="All",Dashboard!$B$7='Cycles &amp; Guide'!$C$5),OR(Dashboard!$D$7="All",Dashboard!$D$7=B1003),OR(Dashboard!$F$7="All",Dashboard!$F$7=C1003),OR(Dashboard!$H$7="All",Dashboard!$H$7=D1003),OR(Dashboard!$K$7="All",Dashboard!$K$7=E1003)),1,0)</x:f>
        <x:v>1</x:v>
      </x:c>
      <x:c r="S1003" s="2" t="n">
        <x:f>IF(R1003=1,SUM($R$10:R1003),0)</x:f>
        <x:v>630</x:v>
      </x:c>
      <x:c r="T1003" s="2" t="str">
        <x:v>Research &amp; Analysis</x:v>
      </x:c>
      <x:c r="U1003" s="2" t="n">
        <x:v>275</x:v>
      </x:c>
      <x:c r="V1003" s="2" t="n">
        <x:f>IF(AND(M1003=1,P1003=0,ISNUMBER(J1003),J1003&lt;TODAY()),1,0)</x:f>
        <x:v>1</x:v>
      </x:c>
      <x:c r="W1003" s="2" t="str">
        <x:f>'Research &amp; Analysis'!M275</x:f>
        <x:v>Task</x:v>
      </x:c>
    </x:row>
    <x:row r="1004" ht="40" customHeight="1">
      <x:c r="A1004" s="3" t="str">
        <x:f>HYPERLINK("#'Research &amp; Analysis'!A276","Open")</x:f>
        <x:v>Open</x:v>
      </x:c>
      <x:c r="B1004" s="2" t="str">
        <x:f>'Research &amp; Analysis'!B276</x:f>
        <x:v>Cycle 2</x:v>
      </x:c>
      <x:c r="C1004" s="2" t="str">
        <x:f>'Research &amp; Analysis'!C276</x:f>
        <x:v>Phase 2</x:v>
      </x:c>
      <x:c r="D1004" s="2" t="str">
        <x:f>'Research &amp; Analysis'!D276</x:f>
        <x:v>FCM</x:v>
      </x:c>
      <x:c r="E1004" s="2" t="str">
        <x:v>Research &amp; Analysis</x:v>
      </x:c>
      <x:c r="F1004" s="56" t="str">
        <x:f>'Research &amp; Analysis'!E276</x:f>
        <x:v>RA.FC.2.5</x:v>
      </x:c>
      <x:c r="G1004" s="14" t="str">
        <x:f>'Research &amp; Analysis'!F276</x:f>
        <x:v>Perform data testing and sampling</x:v>
      </x:c>
      <x:c r="H1004" s="2" t="str">
        <x:f>IF('Research &amp; Analysis'!G276="","",'Research &amp; Analysis'!G276)</x:f>
      </x:c>
      <x:c r="I1004" s="12" t="str">
        <x:f>IF('Research &amp; Analysis'!H276="","",'Research &amp; Analysis'!H276)</x:f>
      </x:c>
      <x:c r="J1004" s="12" t="n">
        <x:f>IF('Research &amp; Analysis'!I276="","",'Research &amp; Analysis'!I276)</x:f>
        <x:v>46203</x:v>
      </x:c>
      <x:c r="K1004" s="12" t="str">
        <x:f>IF('Research &amp; Analysis'!J276="","",'Research &amp; Analysis'!J276)</x:f>
      </x:c>
      <x:c r="L1004" s="2" t="str">
        <x:f>IF('Research &amp; Analysis'!K276="","",'Research &amp; Analysis'!K276)</x:f>
      </x:c>
      <x:c r="M1004" s="2" t="n">
        <x:f>'Research &amp; Analysis'!Q276</x:f>
        <x:v>1</x:v>
      </x:c>
      <x:c r="N1004" s="2" t="str">
        <x:f>'Research &amp; Analysis'!L276</x:f>
        <x:v>Not started</x:v>
      </x:c>
      <x:c r="O1004" s="2" t="str">
        <x:f>'Research &amp; Analysis'!N276</x:f>
        <x:v>RA.FC.2.5.2026.CY2</x:v>
      </x:c>
      <x:c r="P1004" s="2" t="n">
        <x:f>'Research &amp; Analysis'!O276</x:f>
        <x:v>0</x:v>
      </x:c>
      <x:c r="Q1004" s="2" t="n">
        <x:f>SUBTOTAL(103,O1004)</x:f>
        <x:v>1</x:v>
      </x:c>
      <x:c r="R1004" s="2" t="n">
        <x:f>IF(AND(M1004=1,OR(Dashboard!$B$7="All",Dashboard!$B$7='Cycles &amp; Guide'!$C$5),OR(Dashboard!$D$7="All",Dashboard!$D$7=B1004),OR(Dashboard!$F$7="All",Dashboard!$F$7=C1004),OR(Dashboard!$H$7="All",Dashboard!$H$7=D1004),OR(Dashboard!$K$7="All",Dashboard!$K$7=E1004)),1,0)</x:f>
        <x:v>1</x:v>
      </x:c>
      <x:c r="S1004" s="2" t="n">
        <x:f>IF(R1004=1,SUM($R$10:R1004),0)</x:f>
        <x:v>631</x:v>
      </x:c>
      <x:c r="T1004" s="2" t="str">
        <x:v>Research &amp; Analysis</x:v>
      </x:c>
      <x:c r="U1004" s="2" t="n">
        <x:v>276</x:v>
      </x:c>
      <x:c r="V1004" s="2" t="n">
        <x:f>IF(AND(M1004=1,P1004=0,ISNUMBER(J1004),J1004&lt;TODAY()),1,0)</x:f>
        <x:v>1</x:v>
      </x:c>
      <x:c r="W1004" s="2" t="str">
        <x:f>'Research &amp; Analysis'!M276</x:f>
        <x:v>Task</x:v>
      </x:c>
    </x:row>
    <x:row r="1005" ht="40" customHeight="1">
      <x:c r="A1005" s="3" t="str">
        <x:f>HYPERLINK("#'Research &amp; Analysis'!A277","Open")</x:f>
        <x:v>Open</x:v>
      </x:c>
      <x:c r="B1005" s="2" t="str">
        <x:f>'Research &amp; Analysis'!B277</x:f>
        <x:v>Cycle 2</x:v>
      </x:c>
      <x:c r="C1005" s="2" t="str">
        <x:f>'Research &amp; Analysis'!C277</x:f>
        <x:v>Phase 2</x:v>
      </x:c>
      <x:c r="D1005" s="2" t="str">
        <x:f>'Research &amp; Analysis'!D277</x:f>
        <x:v>FCM</x:v>
      </x:c>
      <x:c r="E1005" s="2" t="str">
        <x:v>Research &amp; Analysis</x:v>
      </x:c>
      <x:c r="F1005" s="56" t="str">
        <x:f>'Research &amp; Analysis'!E277</x:f>
        <x:v>RA.FC.2.6</x:v>
      </x:c>
      <x:c r="G1005" s="14" t="str">
        <x:f>'Research &amp; Analysis'!F277</x:f>
        <x:v>Complete Positive Testing</x:v>
      </x:c>
      <x:c r="H1005" s="2" t="str">
        <x:f>IF('Research &amp; Analysis'!G277="","",'Research &amp; Analysis'!G277)</x:f>
      </x:c>
      <x:c r="I1005" s="12" t="str">
        <x:f>IF('Research &amp; Analysis'!H277="","",'Research &amp; Analysis'!H277)</x:f>
      </x:c>
      <x:c r="J1005" s="12" t="n">
        <x:f>IF('Research &amp; Analysis'!I277="","",'Research &amp; Analysis'!I277)</x:f>
        <x:v>46203</x:v>
      </x:c>
      <x:c r="K1005" s="12" t="str">
        <x:f>IF('Research &amp; Analysis'!J277="","",'Research &amp; Analysis'!J277)</x:f>
      </x:c>
      <x:c r="L1005" s="2" t="str">
        <x:f>IF('Research &amp; Analysis'!K277="","",'Research &amp; Analysis'!K277)</x:f>
      </x:c>
      <x:c r="M1005" s="2" t="n">
        <x:f>'Research &amp; Analysis'!Q277</x:f>
        <x:v>1</x:v>
      </x:c>
      <x:c r="N1005" s="2" t="str">
        <x:f>'Research &amp; Analysis'!L277</x:f>
        <x:v>Not started</x:v>
      </x:c>
      <x:c r="O1005" s="2" t="str">
        <x:f>'Research &amp; Analysis'!N277</x:f>
        <x:v>RA.FC.2.6.2026.CY2</x:v>
      </x:c>
      <x:c r="P1005" s="2" t="n">
        <x:f>'Research &amp; Analysis'!O277</x:f>
        <x:v>0</x:v>
      </x:c>
      <x:c r="Q1005" s="2" t="n">
        <x:f>SUBTOTAL(103,O1005)</x:f>
        <x:v>1</x:v>
      </x:c>
      <x:c r="R1005" s="2" t="n">
        <x:f>IF(AND(M1005=1,OR(Dashboard!$B$7="All",Dashboard!$B$7='Cycles &amp; Guide'!$C$5),OR(Dashboard!$D$7="All",Dashboard!$D$7=B1005),OR(Dashboard!$F$7="All",Dashboard!$F$7=C1005),OR(Dashboard!$H$7="All",Dashboard!$H$7=D1005),OR(Dashboard!$K$7="All",Dashboard!$K$7=E1005)),1,0)</x:f>
        <x:v>1</x:v>
      </x:c>
      <x:c r="S1005" s="2" t="n">
        <x:f>IF(R1005=1,SUM($R$10:R1005),0)</x:f>
        <x:v>632</x:v>
      </x:c>
      <x:c r="T1005" s="2" t="str">
        <x:v>Research &amp; Analysis</x:v>
      </x:c>
      <x:c r="U1005" s="2" t="n">
        <x:v>277</x:v>
      </x:c>
      <x:c r="V1005" s="2" t="n">
        <x:f>IF(AND(M1005=1,P1005=0,ISNUMBER(J1005),J1005&lt;TODAY()),1,0)</x:f>
        <x:v>1</x:v>
      </x:c>
      <x:c r="W1005" s="2" t="str">
        <x:f>'Research &amp; Analysis'!M277</x:f>
        <x:v>Task</x:v>
      </x:c>
    </x:row>
    <x:row r="1006" ht="40" customHeight="1">
      <x:c r="A1006" s="3" t="str">
        <x:f>HYPERLINK("#'Research &amp; Analysis'!A278","Open")</x:f>
        <x:v>Open</x:v>
      </x:c>
      <x:c r="B1006" s="2" t="str">
        <x:f>'Research &amp; Analysis'!B278</x:f>
        <x:v>Cycle 2</x:v>
      </x:c>
      <x:c r="C1006" s="2" t="str">
        <x:f>'Research &amp; Analysis'!C278</x:f>
        <x:v>Phase 2</x:v>
      </x:c>
      <x:c r="D1006" s="2" t="str">
        <x:f>'Research &amp; Analysis'!D278</x:f>
        <x:v>FCM</x:v>
      </x:c>
      <x:c r="E1006" s="2" t="str">
        <x:v>Research &amp; Analysis</x:v>
      </x:c>
      <x:c r="F1006" s="56" t="str">
        <x:f>'Research &amp; Analysis'!E278</x:f>
        <x:v>RA.FC.2.7</x:v>
      </x:c>
      <x:c r="G1006" s="14" t="str">
        <x:f>'Research &amp; Analysis'!F278</x:f>
        <x:v>Complete Negative Testing</x:v>
      </x:c>
      <x:c r="H1006" s="2" t="str">
        <x:f>IF('Research &amp; Analysis'!G278="","",'Research &amp; Analysis'!G278)</x:f>
      </x:c>
      <x:c r="I1006" s="12" t="str">
        <x:f>IF('Research &amp; Analysis'!H278="","",'Research &amp; Analysis'!H278)</x:f>
      </x:c>
      <x:c r="J1006" s="12" t="n">
        <x:f>IF('Research &amp; Analysis'!I278="","",'Research &amp; Analysis'!I278)</x:f>
        <x:v>46203</x:v>
      </x:c>
      <x:c r="K1006" s="12" t="str">
        <x:f>IF('Research &amp; Analysis'!J278="","",'Research &amp; Analysis'!J278)</x:f>
      </x:c>
      <x:c r="L1006" s="2" t="str">
        <x:f>IF('Research &amp; Analysis'!K278="","",'Research &amp; Analysis'!K278)</x:f>
      </x:c>
      <x:c r="M1006" s="2" t="n">
        <x:f>'Research &amp; Analysis'!Q278</x:f>
        <x:v>1</x:v>
      </x:c>
      <x:c r="N1006" s="2" t="str">
        <x:f>'Research &amp; Analysis'!L278</x:f>
        <x:v>Not started</x:v>
      </x:c>
      <x:c r="O1006" s="2" t="str">
        <x:f>'Research &amp; Analysis'!N278</x:f>
        <x:v>RA.FC.2.7.2026.CY2</x:v>
      </x:c>
      <x:c r="P1006" s="2" t="n">
        <x:f>'Research &amp; Analysis'!O278</x:f>
        <x:v>0</x:v>
      </x:c>
      <x:c r="Q1006" s="2" t="n">
        <x:f>SUBTOTAL(103,O1006)</x:f>
        <x:v>1</x:v>
      </x:c>
      <x:c r="R1006" s="2" t="n">
        <x:f>IF(AND(M1006=1,OR(Dashboard!$B$7="All",Dashboard!$B$7='Cycles &amp; Guide'!$C$5),OR(Dashboard!$D$7="All",Dashboard!$D$7=B1006),OR(Dashboard!$F$7="All",Dashboard!$F$7=C1006),OR(Dashboard!$H$7="All",Dashboard!$H$7=D1006),OR(Dashboard!$K$7="All",Dashboard!$K$7=E1006)),1,0)</x:f>
        <x:v>1</x:v>
      </x:c>
      <x:c r="S1006" s="2" t="n">
        <x:f>IF(R1006=1,SUM($R$10:R1006),0)</x:f>
        <x:v>633</x:v>
      </x:c>
      <x:c r="T1006" s="2" t="str">
        <x:v>Research &amp; Analysis</x:v>
      </x:c>
      <x:c r="U1006" s="2" t="n">
        <x:v>278</x:v>
      </x:c>
      <x:c r="V1006" s="2" t="n">
        <x:f>IF(AND(M1006=1,P1006=0,ISNUMBER(J1006),J1006&lt;TODAY()),1,0)</x:f>
        <x:v>1</x:v>
      </x:c>
      <x:c r="W1006" s="2" t="str">
        <x:f>'Research &amp; Analysis'!M278</x:f>
        <x:v>Task</x:v>
      </x:c>
    </x:row>
    <x:row r="1007" ht="40" customHeight="1">
      <x:c r="A1007" s="3" t="str">
        <x:f>HYPERLINK("#'Research &amp; Analysis'!A279","Open")</x:f>
        <x:v>Open</x:v>
      </x:c>
      <x:c r="B1007" s="2" t="str">
        <x:f>'Research &amp; Analysis'!B279</x:f>
        <x:v>Cycle 2</x:v>
      </x:c>
      <x:c r="C1007" s="2" t="str">
        <x:f>'Research &amp; Analysis'!C279</x:f>
        <x:v>Phase 2</x:v>
      </x:c>
      <x:c r="D1007" s="2" t="str">
        <x:f>'Research &amp; Analysis'!D279</x:f>
        <x:v>FCM</x:v>
      </x:c>
      <x:c r="E1007" s="2" t="str">
        <x:v>Research &amp; Analysis</x:v>
      </x:c>
      <x:c r="F1007" s="56" t="str">
        <x:f>'Research &amp; Analysis'!E279</x:f>
        <x:v>RA.FC.2.8</x:v>
      </x:c>
      <x:c r="G1007" s="14" t="str">
        <x:f>'Research &amp; Analysis'!F279</x:f>
        <x:v>Request additional data (as needed)</x:v>
      </x:c>
      <x:c r="H1007" s="2" t="str">
        <x:f>IF('Research &amp; Analysis'!G279="","",'Research &amp; Analysis'!G279)</x:f>
      </x:c>
      <x:c r="I1007" s="12" t="str">
        <x:f>IF('Research &amp; Analysis'!H279="","",'Research &amp; Analysis'!H279)</x:f>
      </x:c>
      <x:c r="J1007" s="12" t="n">
        <x:f>IF('Research &amp; Analysis'!I279="","",'Research &amp; Analysis'!I279)</x:f>
        <x:v>46203</x:v>
      </x:c>
      <x:c r="K1007" s="12" t="str">
        <x:f>IF('Research &amp; Analysis'!J279="","",'Research &amp; Analysis'!J279)</x:f>
      </x:c>
      <x:c r="L1007" s="2" t="str">
        <x:f>IF('Research &amp; Analysis'!K279="","",'Research &amp; Analysis'!K279)</x:f>
      </x:c>
      <x:c r="M1007" s="2" t="n">
        <x:f>'Research &amp; Analysis'!Q279</x:f>
        <x:v>1</x:v>
      </x:c>
      <x:c r="N1007" s="2" t="str">
        <x:f>'Research &amp; Analysis'!L279</x:f>
        <x:v>Not started</x:v>
      </x:c>
      <x:c r="O1007" s="2" t="str">
        <x:f>'Research &amp; Analysis'!N279</x:f>
        <x:v>RA.FC.2.8.2026.CY2</x:v>
      </x:c>
      <x:c r="P1007" s="2" t="n">
        <x:f>'Research &amp; Analysis'!O279</x:f>
        <x:v>0</x:v>
      </x:c>
      <x:c r="Q1007" s="2" t="n">
        <x:f>SUBTOTAL(103,O1007)</x:f>
        <x:v>1</x:v>
      </x:c>
      <x:c r="R1007" s="2" t="n">
        <x:f>IF(AND(M1007=1,OR(Dashboard!$B$7="All",Dashboard!$B$7='Cycles &amp; Guide'!$C$5),OR(Dashboard!$D$7="All",Dashboard!$D$7=B1007),OR(Dashboard!$F$7="All",Dashboard!$F$7=C1007),OR(Dashboard!$H$7="All",Dashboard!$H$7=D1007),OR(Dashboard!$K$7="All",Dashboard!$K$7=E1007)),1,0)</x:f>
        <x:v>1</x:v>
      </x:c>
      <x:c r="S1007" s="2" t="n">
        <x:f>IF(R1007=1,SUM($R$10:R1007),0)</x:f>
        <x:v>634</x:v>
      </x:c>
      <x:c r="T1007" s="2" t="str">
        <x:v>Research &amp; Analysis</x:v>
      </x:c>
      <x:c r="U1007" s="2" t="n">
        <x:v>279</x:v>
      </x:c>
      <x:c r="V1007" s="2" t="n">
        <x:f>IF(AND(M1007=1,P1007=0,ISNUMBER(J1007),J1007&lt;TODAY()),1,0)</x:f>
        <x:v>1</x:v>
      </x:c>
      <x:c r="W1007" s="2" t="str">
        <x:f>'Research &amp; Analysis'!M279</x:f>
        <x:v>Task</x:v>
      </x:c>
    </x:row>
    <x:row r="1008" ht="40" customHeight="1">
      <x:c r="A1008" s="3" t="str">
        <x:f>HYPERLINK("#'Research &amp; Analysis'!A280","Open")</x:f>
        <x:v>Open</x:v>
      </x:c>
      <x:c r="B1008" s="2" t="str">
        <x:f>'Research &amp; Analysis'!B280</x:f>
        <x:v>Cycle 2</x:v>
      </x:c>
      <x:c r="C1008" s="2" t="str">
        <x:f>'Research &amp; Analysis'!C280</x:f>
        <x:v>Phase 2</x:v>
      </x:c>
      <x:c r="D1008" s="2" t="str">
        <x:f>'Research &amp; Analysis'!D280</x:f>
        <x:v>FCM</x:v>
      </x:c>
      <x:c r="E1008" s="2" t="str">
        <x:v>Research &amp; Analysis</x:v>
      </x:c>
      <x:c r="F1008" s="56" t="str">
        <x:f>'Research &amp; Analysis'!E280</x:f>
        <x:v>RA.FC.2.9</x:v>
      </x:c>
      <x:c r="G1008" s="14" t="str">
        <x:f>'Research &amp; Analysis'!F280</x:f>
        <x:v>Validate or disprove initial hypothesis assumptions</x:v>
      </x:c>
      <x:c r="H1008" s="2" t="str">
        <x:f>IF('Research &amp; Analysis'!G280="","",'Research &amp; Analysis'!G280)</x:f>
      </x:c>
      <x:c r="I1008" s="12" t="str">
        <x:f>IF('Research &amp; Analysis'!H280="","",'Research &amp; Analysis'!H280)</x:f>
      </x:c>
      <x:c r="J1008" s="12" t="n">
        <x:f>IF('Research &amp; Analysis'!I280="","",'Research &amp; Analysis'!I280)</x:f>
        <x:v>46203</x:v>
      </x:c>
      <x:c r="K1008" s="12" t="str">
        <x:f>IF('Research &amp; Analysis'!J280="","",'Research &amp; Analysis'!J280)</x:f>
      </x:c>
      <x:c r="L1008" s="2" t="str">
        <x:f>IF('Research &amp; Analysis'!K280="","",'Research &amp; Analysis'!K280)</x:f>
      </x:c>
      <x:c r="M1008" s="2" t="n">
        <x:f>'Research &amp; Analysis'!Q280</x:f>
        <x:v>1</x:v>
      </x:c>
      <x:c r="N1008" s="2" t="str">
        <x:f>'Research &amp; Analysis'!L280</x:f>
        <x:v>Not started</x:v>
      </x:c>
      <x:c r="O1008" s="2" t="str">
        <x:f>'Research &amp; Analysis'!N280</x:f>
        <x:v>RA.FC.2.9.2026.CY2</x:v>
      </x:c>
      <x:c r="P1008" s="2" t="n">
        <x:f>'Research &amp; Analysis'!O280</x:f>
        <x:v>0</x:v>
      </x:c>
      <x:c r="Q1008" s="2" t="n">
        <x:f>SUBTOTAL(103,O1008)</x:f>
        <x:v>1</x:v>
      </x:c>
      <x:c r="R1008" s="2" t="n">
        <x:f>IF(AND(M1008=1,OR(Dashboard!$B$7="All",Dashboard!$B$7='Cycles &amp; Guide'!$C$5),OR(Dashboard!$D$7="All",Dashboard!$D$7=B1008),OR(Dashboard!$F$7="All",Dashboard!$F$7=C1008),OR(Dashboard!$H$7="All",Dashboard!$H$7=D1008),OR(Dashboard!$K$7="All",Dashboard!$K$7=E1008)),1,0)</x:f>
        <x:v>1</x:v>
      </x:c>
      <x:c r="S1008" s="2" t="n">
        <x:f>IF(R1008=1,SUM($R$10:R1008),0)</x:f>
        <x:v>635</x:v>
      </x:c>
      <x:c r="T1008" s="2" t="str">
        <x:v>Research &amp; Analysis</x:v>
      </x:c>
      <x:c r="U1008" s="2" t="n">
        <x:v>280</x:v>
      </x:c>
      <x:c r="V1008" s="2" t="n">
        <x:f>IF(AND(M1008=1,P1008=0,ISNUMBER(J1008),J1008&lt;TODAY()),1,0)</x:f>
        <x:v>1</x:v>
      </x:c>
      <x:c r="W1008" s="2" t="str">
        <x:f>'Research &amp; Analysis'!M280</x:f>
        <x:v>Task</x:v>
      </x:c>
    </x:row>
    <x:row r="1009" ht="40" customHeight="1">
      <x:c r="A1009" s="3" t="str">
        <x:f>HYPERLINK("#'Research &amp; Analysis'!A281","Open")</x:f>
        <x:v>Open</x:v>
      </x:c>
      <x:c r="B1009" s="2" t="str">
        <x:f>'Research &amp; Analysis'!B281</x:f>
        <x:v>Cycle 2</x:v>
      </x:c>
      <x:c r="C1009" s="2" t="str">
        <x:f>'Research &amp; Analysis'!C281</x:f>
        <x:v>Phase 2</x:v>
      </x:c>
      <x:c r="D1009" s="2" t="str">
        <x:f>'Research &amp; Analysis'!D281</x:f>
        <x:v>FCM</x:v>
      </x:c>
      <x:c r="E1009" s="2" t="str">
        <x:v>Research &amp; Analysis</x:v>
      </x:c>
      <x:c r="F1009" s="56" t="str">
        <x:f>'Research &amp; Analysis'!E281</x:f>
        <x:v>RA.FC.2.10</x:v>
      </x:c>
      <x:c r="G1009" s="14" t="str">
        <x:f>'Research &amp; Analysis'!F281</x:f>
        <x:v>Identify and confirm root cause</x:v>
      </x:c>
      <x:c r="H1009" s="2" t="str">
        <x:f>IF('Research &amp; Analysis'!G281="","",'Research &amp; Analysis'!G281)</x:f>
      </x:c>
      <x:c r="I1009" s="12" t="str">
        <x:f>IF('Research &amp; Analysis'!H281="","",'Research &amp; Analysis'!H281)</x:f>
      </x:c>
      <x:c r="J1009" s="12" t="n">
        <x:f>IF('Research &amp; Analysis'!I281="","",'Research &amp; Analysis'!I281)</x:f>
        <x:v>46203</x:v>
      </x:c>
      <x:c r="K1009" s="12" t="str">
        <x:f>IF('Research &amp; Analysis'!J281="","",'Research &amp; Analysis'!J281)</x:f>
      </x:c>
      <x:c r="L1009" s="2" t="str">
        <x:f>IF('Research &amp; Analysis'!K281="","",'Research &amp; Analysis'!K281)</x:f>
      </x:c>
      <x:c r="M1009" s="2" t="n">
        <x:f>'Research &amp; Analysis'!Q281</x:f>
        <x:v>1</x:v>
      </x:c>
      <x:c r="N1009" s="2" t="str">
        <x:f>'Research &amp; Analysis'!L281</x:f>
        <x:v>Not started</x:v>
      </x:c>
      <x:c r="O1009" s="2" t="str">
        <x:f>'Research &amp; Analysis'!N281</x:f>
        <x:v>RA.FC.2.10.2026.CY2</x:v>
      </x:c>
      <x:c r="P1009" s="2" t="n">
        <x:f>'Research &amp; Analysis'!O281</x:f>
        <x:v>0</x:v>
      </x:c>
      <x:c r="Q1009" s="2" t="n">
        <x:f>SUBTOTAL(103,O1009)</x:f>
        <x:v>1</x:v>
      </x:c>
      <x:c r="R1009" s="2" t="n">
        <x:f>IF(AND(M1009=1,OR(Dashboard!$B$7="All",Dashboard!$B$7='Cycles &amp; Guide'!$C$5),OR(Dashboard!$D$7="All",Dashboard!$D$7=B1009),OR(Dashboard!$F$7="All",Dashboard!$F$7=C1009),OR(Dashboard!$H$7="All",Dashboard!$H$7=D1009),OR(Dashboard!$K$7="All",Dashboard!$K$7=E1009)),1,0)</x:f>
        <x:v>1</x:v>
      </x:c>
      <x:c r="S1009" s="2" t="n">
        <x:f>IF(R1009=1,SUM($R$10:R1009),0)</x:f>
        <x:v>636</x:v>
      </x:c>
      <x:c r="T1009" s="2" t="str">
        <x:v>Research &amp; Analysis</x:v>
      </x:c>
      <x:c r="U1009" s="2" t="n">
        <x:v>281</x:v>
      </x:c>
      <x:c r="V1009" s="2" t="n">
        <x:f>IF(AND(M1009=1,P1009=0,ISNUMBER(J1009),J1009&lt;TODAY()),1,0)</x:f>
        <x:v>1</x:v>
      </x:c>
      <x:c r="W1009" s="2" t="str">
        <x:f>'Research &amp; Analysis'!M281</x:f>
        <x:v>Task</x:v>
      </x:c>
    </x:row>
    <x:row r="1010" ht="40" customHeight="1">
      <x:c r="A1010" s="3" t="str">
        <x:f>HYPERLINK("#'Research &amp; Analysis'!A282","Open")</x:f>
        <x:v>Open</x:v>
      </x:c>
      <x:c r="B1010" s="2" t="str">
        <x:f>'Research &amp; Analysis'!B282</x:f>
        <x:v>Cycle 2</x:v>
      </x:c>
      <x:c r="C1010" s="2" t="str">
        <x:f>'Research &amp; Analysis'!C282</x:f>
        <x:v>Phase 3</x:v>
      </x:c>
      <x:c r="D1010" s="2" t="str">
        <x:f>'Research &amp; Analysis'!D282</x:f>
        <x:v>FCM</x:v>
      </x:c>
      <x:c r="E1010" s="2" t="str">
        <x:v>Research &amp; Analysis</x:v>
      </x:c>
      <x:c r="F1010" s="56" t="str">
        <x:f>'Research &amp; Analysis'!E282</x:f>
        <x:v>RA.FC.3.1</x:v>
      </x:c>
      <x:c r="G1010" s="14" t="str">
        <x:f>'Research &amp; Analysis'!F282</x:f>
        <x:v>Finalize results and supporting documentation</x:v>
      </x:c>
      <x:c r="H1010" s="2" t="str">
        <x:f>IF('Research &amp; Analysis'!G282="","",'Research &amp; Analysis'!G282)</x:f>
      </x:c>
      <x:c r="I1010" s="12" t="str">
        <x:f>IF('Research &amp; Analysis'!H282="","",'Research &amp; Analysis'!H282)</x:f>
      </x:c>
      <x:c r="J1010" s="12" t="n">
        <x:f>IF('Research &amp; Analysis'!I282="","",'Research &amp; Analysis'!I282)</x:f>
        <x:v>46203</x:v>
      </x:c>
      <x:c r="K1010" s="12" t="str">
        <x:f>IF('Research &amp; Analysis'!J282="","",'Research &amp; Analysis'!J282)</x:f>
      </x:c>
      <x:c r="L1010" s="2" t="str">
        <x:f>IF('Research &amp; Analysis'!K282="","",'Research &amp; Analysis'!K282)</x:f>
      </x:c>
      <x:c r="M1010" s="2" t="n">
        <x:f>'Research &amp; Analysis'!Q282</x:f>
        <x:v>1</x:v>
      </x:c>
      <x:c r="N1010" s="2" t="str">
        <x:f>'Research &amp; Analysis'!L282</x:f>
        <x:v>Not started</x:v>
      </x:c>
      <x:c r="O1010" s="2" t="str">
        <x:f>'Research &amp; Analysis'!N282</x:f>
        <x:v>RA.FC.3.1.2026.CY2</x:v>
      </x:c>
      <x:c r="P1010" s="2" t="n">
        <x:f>'Research &amp; Analysis'!O282</x:f>
        <x:v>0</x:v>
      </x:c>
      <x:c r="Q1010" s="2" t="n">
        <x:f>SUBTOTAL(103,O1010)</x:f>
        <x:v>1</x:v>
      </x:c>
      <x:c r="R1010" s="2" t="n">
        <x:f>IF(AND(M1010=1,OR(Dashboard!$B$7="All",Dashboard!$B$7='Cycles &amp; Guide'!$C$5),OR(Dashboard!$D$7="All",Dashboard!$D$7=B1010),OR(Dashboard!$F$7="All",Dashboard!$F$7=C1010),OR(Dashboard!$H$7="All",Dashboard!$H$7=D1010),OR(Dashboard!$K$7="All",Dashboard!$K$7=E1010)),1,0)</x:f>
        <x:v>1</x:v>
      </x:c>
      <x:c r="S1010" s="2" t="n">
        <x:f>IF(R1010=1,SUM($R$10:R1010),0)</x:f>
        <x:v>637</x:v>
      </x:c>
      <x:c r="T1010" s="2" t="str">
        <x:v>Research &amp; Analysis</x:v>
      </x:c>
      <x:c r="U1010" s="2" t="n">
        <x:v>282</x:v>
      </x:c>
      <x:c r="V1010" s="2" t="n">
        <x:f>IF(AND(M1010=1,P1010=0,ISNUMBER(J1010),J1010&lt;TODAY()),1,0)</x:f>
        <x:v>1</x:v>
      </x:c>
      <x:c r="W1010" s="2" t="str">
        <x:f>'Research &amp; Analysis'!M282</x:f>
        <x:v>Task</x:v>
      </x:c>
    </x:row>
    <x:row r="1011" ht="40" customHeight="1">
      <x:c r="A1011" s="3" t="str">
        <x:f>HYPERLINK("#'Research &amp; Analysis'!A283","Open")</x:f>
        <x:v>Open</x:v>
      </x:c>
      <x:c r="B1011" s="2" t="str">
        <x:f>'Research &amp; Analysis'!B283</x:f>
        <x:v>Cycle 2</x:v>
      </x:c>
      <x:c r="C1011" s="2" t="str">
        <x:f>'Research &amp; Analysis'!C283</x:f>
        <x:v>Phase 3</x:v>
      </x:c>
      <x:c r="D1011" s="2" t="str">
        <x:f>'Research &amp; Analysis'!D283</x:f>
        <x:v>FCM</x:v>
      </x:c>
      <x:c r="E1011" s="2" t="str">
        <x:v>Research &amp; Analysis</x:v>
      </x:c>
      <x:c r="F1011" s="56" t="str">
        <x:f>'Research &amp; Analysis'!E283</x:f>
        <x:v>RA.FC.3.2</x:v>
      </x:c>
      <x:c r="G1011" s="14" t="str">
        <x:f>'Research &amp; Analysis'!F283</x:f>
        <x:v>Maintain and update the evidence package prior to handoff to D&amp;I</x:v>
      </x:c>
      <x:c r="H1011" s="2" t="str">
        <x:f>IF('Research &amp; Analysis'!G283="","",'Research &amp; Analysis'!G283)</x:f>
      </x:c>
      <x:c r="I1011" s="12" t="str">
        <x:f>IF('Research &amp; Analysis'!H283="","",'Research &amp; Analysis'!H283)</x:f>
      </x:c>
      <x:c r="J1011" s="12" t="n">
        <x:f>IF('Research &amp; Analysis'!I283="","",'Research &amp; Analysis'!I283)</x:f>
        <x:v>46203</x:v>
      </x:c>
      <x:c r="K1011" s="12" t="str">
        <x:f>IF('Research &amp; Analysis'!J283="","",'Research &amp; Analysis'!J283)</x:f>
      </x:c>
      <x:c r="L1011" s="2" t="str">
        <x:f>IF('Research &amp; Analysis'!K283="","",'Research &amp; Analysis'!K283)</x:f>
      </x:c>
      <x:c r="M1011" s="2" t="n">
        <x:f>'Research &amp; Analysis'!Q283</x:f>
        <x:v>1</x:v>
      </x:c>
      <x:c r="N1011" s="2" t="str">
        <x:f>'Research &amp; Analysis'!L283</x:f>
        <x:v>Not started</x:v>
      </x:c>
      <x:c r="O1011" s="2" t="str">
        <x:f>'Research &amp; Analysis'!N283</x:f>
        <x:v>RA.FC.3.2.2026.CY2</x:v>
      </x:c>
      <x:c r="P1011" s="2" t="n">
        <x:f>'Research &amp; Analysis'!O283</x:f>
        <x:v>0</x:v>
      </x:c>
      <x:c r="Q1011" s="2" t="n">
        <x:f>SUBTOTAL(103,O1011)</x:f>
        <x:v>1</x:v>
      </x:c>
      <x:c r="R1011" s="2" t="n">
        <x:f>IF(AND(M1011=1,OR(Dashboard!$B$7="All",Dashboard!$B$7='Cycles &amp; Guide'!$C$5),OR(Dashboard!$D$7="All",Dashboard!$D$7=B1011),OR(Dashboard!$F$7="All",Dashboard!$F$7=C1011),OR(Dashboard!$H$7="All",Dashboard!$H$7=D1011),OR(Dashboard!$K$7="All",Dashboard!$K$7=E1011)),1,0)</x:f>
        <x:v>1</x:v>
      </x:c>
      <x:c r="S1011" s="2" t="n">
        <x:f>IF(R1011=1,SUM($R$10:R1011),0)</x:f>
        <x:v>638</x:v>
      </x:c>
      <x:c r="T1011" s="2" t="str">
        <x:v>Research &amp; Analysis</x:v>
      </x:c>
      <x:c r="U1011" s="2" t="n">
        <x:v>283</x:v>
      </x:c>
      <x:c r="V1011" s="2" t="n">
        <x:f>IF(AND(M1011=1,P1011=0,ISNUMBER(J1011),J1011&lt;TODAY()),1,0)</x:f>
        <x:v>1</x:v>
      </x:c>
      <x:c r="W1011" s="2" t="str">
        <x:f>'Research &amp; Analysis'!M283</x:f>
        <x:v>Task</x:v>
      </x:c>
    </x:row>
    <x:row r="1012" ht="40" customHeight="1">
      <x:c r="A1012" s="3" t="str">
        <x:f>HYPERLINK("#'Research &amp; Analysis'!A284","Open")</x:f>
        <x:v>Open</x:v>
      </x:c>
      <x:c r="B1012" s="2" t="str">
        <x:f>'Research &amp; Analysis'!B284</x:f>
        <x:v>Cycle 2</x:v>
      </x:c>
      <x:c r="C1012" s="2" t="str">
        <x:f>'Research &amp; Analysis'!C284</x:f>
        <x:v>Phase 3</x:v>
      </x:c>
      <x:c r="D1012" s="2" t="str">
        <x:f>'Research &amp; Analysis'!D284</x:f>
        <x:v>FCM</x:v>
      </x:c>
      <x:c r="E1012" s="2" t="str">
        <x:v>Research &amp; Analysis</x:v>
      </x:c>
      <x:c r="F1012" s="56" t="str">
        <x:f>'Research &amp; Analysis'!E284</x:f>
        <x:v>RA.FC.3.3</x:v>
      </x:c>
      <x:c r="G1012" s="14" t="str">
        <x:f>'Research &amp; Analysis'!F284</x:f>
        <x:v>Address any outstanding questions or requests from D&amp;I</x:v>
      </x:c>
      <x:c r="H1012" s="2" t="str">
        <x:f>IF('Research &amp; Analysis'!G284="","",'Research &amp; Analysis'!G284)</x:f>
      </x:c>
      <x:c r="I1012" s="12" t="str">
        <x:f>IF('Research &amp; Analysis'!H284="","",'Research &amp; Analysis'!H284)</x:f>
      </x:c>
      <x:c r="J1012" s="12" t="n">
        <x:f>IF('Research &amp; Analysis'!I284="","",'Research &amp; Analysis'!I284)</x:f>
        <x:v>46203</x:v>
      </x:c>
      <x:c r="K1012" s="12" t="str">
        <x:f>IF('Research &amp; Analysis'!J284="","",'Research &amp; Analysis'!J284)</x:f>
      </x:c>
      <x:c r="L1012" s="2" t="str">
        <x:f>IF('Research &amp; Analysis'!K284="","",'Research &amp; Analysis'!K284)</x:f>
      </x:c>
      <x:c r="M1012" s="2" t="n">
        <x:f>'Research &amp; Analysis'!Q284</x:f>
        <x:v>1</x:v>
      </x:c>
      <x:c r="N1012" s="2" t="str">
        <x:f>'Research &amp; Analysis'!L284</x:f>
        <x:v>Not started</x:v>
      </x:c>
      <x:c r="O1012" s="2" t="str">
        <x:f>'Research &amp; Analysis'!N284</x:f>
        <x:v>RA.FC.3.3.2026.CY2</x:v>
      </x:c>
      <x:c r="P1012" s="2" t="n">
        <x:f>'Research &amp; Analysis'!O284</x:f>
        <x:v>0</x:v>
      </x:c>
      <x:c r="Q1012" s="2" t="n">
        <x:f>SUBTOTAL(103,O1012)</x:f>
        <x:v>1</x:v>
      </x:c>
      <x:c r="R1012" s="2" t="n">
        <x:f>IF(AND(M1012=1,OR(Dashboard!$B$7="All",Dashboard!$B$7='Cycles &amp; Guide'!$C$5),OR(Dashboard!$D$7="All",Dashboard!$D$7=B1012),OR(Dashboard!$F$7="All",Dashboard!$F$7=C1012),OR(Dashboard!$H$7="All",Dashboard!$H$7=D1012),OR(Dashboard!$K$7="All",Dashboard!$K$7=E1012)),1,0)</x:f>
        <x:v>1</x:v>
      </x:c>
      <x:c r="S1012" s="2" t="n">
        <x:f>IF(R1012=1,SUM($R$10:R1012),0)</x:f>
        <x:v>639</x:v>
      </x:c>
      <x:c r="T1012" s="2" t="str">
        <x:v>Research &amp; Analysis</x:v>
      </x:c>
      <x:c r="U1012" s="2" t="n">
        <x:v>284</x:v>
      </x:c>
      <x:c r="V1012" s="2" t="n">
        <x:f>IF(AND(M1012=1,P1012=0,ISNUMBER(J1012),J1012&lt;TODAY()),1,0)</x:f>
        <x:v>1</x:v>
      </x:c>
      <x:c r="W1012" s="2" t="str">
        <x:f>'Research &amp; Analysis'!M284</x:f>
        <x:v>Task</x:v>
      </x:c>
    </x:row>
    <x:row r="1013" ht="40" customHeight="1">
      <x:c r="A1013" s="3" t="str">
        <x:f>HYPERLINK("#'Research &amp; Analysis'!A285","Open")</x:f>
        <x:v>Open</x:v>
      </x:c>
      <x:c r="B1013" s="2" t="str">
        <x:f>'Research &amp; Analysis'!B285</x:f>
        <x:v>Cycle 2</x:v>
      </x:c>
      <x:c r="C1013" s="2" t="str">
        <x:f>'Research &amp; Analysis'!C285</x:f>
        <x:v>Phase 3</x:v>
      </x:c>
      <x:c r="D1013" s="2" t="str">
        <x:f>'Research &amp; Analysis'!D285</x:f>
        <x:v>FCM</x:v>
      </x:c>
      <x:c r="E1013" s="2" t="str">
        <x:v>Research &amp; Analysis</x:v>
      </x:c>
      <x:c r="F1013" s="56" t="str">
        <x:f>'Research &amp; Analysis'!E285</x:f>
        <x:v>RA.FC.3.4</x:v>
      </x:c>
      <x:c r="G1013" s="14" t="str">
        <x:f>'Research &amp; Analysis'!F285</x:f>
        <x:v>Attend Forum meeting with D&amp;I to assist with answering stakeholder questions (as needed)</x:v>
      </x:c>
      <x:c r="H1013" s="2" t="str">
        <x:f>IF('Research &amp; Analysis'!G285="","",'Research &amp; Analysis'!G285)</x:f>
      </x:c>
      <x:c r="I1013" s="12" t="str">
        <x:f>IF('Research &amp; Analysis'!H285="","",'Research &amp; Analysis'!H285)</x:f>
      </x:c>
      <x:c r="J1013" s="12" t="str">
        <x:f>IF('Research &amp; Analysis'!I285="","",'Research &amp; Analysis'!I285)</x:f>
      </x:c>
      <x:c r="K1013" s="12" t="str">
        <x:f>IF('Research &amp; Analysis'!J285="","",'Research &amp; Analysis'!J285)</x:f>
      </x:c>
      <x:c r="L1013" s="2" t="str">
        <x:f>IF('Research &amp; Analysis'!K285="","",'Research &amp; Analysis'!K285)</x:f>
      </x:c>
      <x:c r="M1013" s="2" t="n">
        <x:f>'Research &amp; Analysis'!Q285</x:f>
        <x:v>1</x:v>
      </x:c>
      <x:c r="N1013" s="2" t="str">
        <x:f>'Research &amp; Analysis'!L285</x:f>
        <x:v>Not started</x:v>
      </x:c>
      <x:c r="O1013" s="2" t="str">
        <x:f>'Research &amp; Analysis'!N285</x:f>
        <x:v>RA.FC.3.4.2026.CY2</x:v>
      </x:c>
      <x:c r="P1013" s="2" t="n">
        <x:f>'Research &amp; Analysis'!O285</x:f>
        <x:v>0</x:v>
      </x:c>
      <x:c r="Q1013" s="2" t="n">
        <x:f>SUBTOTAL(103,O1013)</x:f>
        <x:v>1</x:v>
      </x:c>
      <x:c r="R1013" s="2" t="n">
        <x:f>IF(AND(M1013=1,OR(Dashboard!$B$7="All",Dashboard!$B$7='Cycles &amp; Guide'!$C$5),OR(Dashboard!$D$7="All",Dashboard!$D$7=B1013),OR(Dashboard!$F$7="All",Dashboard!$F$7=C1013),OR(Dashboard!$H$7="All",Dashboard!$H$7=D1013),OR(Dashboard!$K$7="All",Dashboard!$K$7=E1013)),1,0)</x:f>
        <x:v>1</x:v>
      </x:c>
      <x:c r="S1013" s="2" t="n">
        <x:f>IF(R1013=1,SUM($R$10:R1013),0)</x:f>
        <x:v>640</x:v>
      </x:c>
      <x:c r="T1013" s="2" t="str">
        <x:v>Research &amp; Analysis</x:v>
      </x:c>
      <x:c r="U1013" s="2" t="n">
        <x:v>285</x:v>
      </x:c>
      <x:c r="V1013" s="2" t="n">
        <x:f>IF(AND(M1013=1,P1013=0,ISNUMBER(J1013),J1013&lt;TODAY()),1,0)</x:f>
        <x:v>0</x:v>
      </x:c>
      <x:c r="W1013" s="2" t="str">
        <x:f>'Research &amp; Analysis'!M285</x:f>
        <x:v>Task</x:v>
      </x:c>
    </x:row>
    <x:row r="1014" ht="40" customHeight="1">
      <x:c r="A1014" s="3" t="str">
        <x:f>HYPERLINK("#'Research &amp; Analysis'!A286","Open")</x:f>
        <x:v>Open</x:v>
      </x:c>
      <x:c r="B1014" s="2" t="str">
        <x:f>'Research &amp; Analysis'!B286</x:f>
        <x:v>Cycle 2</x:v>
      </x:c>
      <x:c r="C1014" s="2" t="str">
        <x:f>'Research &amp; Analysis'!C286</x:f>
        <x:v>Phase 1</x:v>
      </x:c>
      <x:c r="D1014" s="2" t="str">
        <x:f>'Research &amp; Analysis'!D286</x:f>
        <x:v>PLL</x:v>
      </x:c>
      <x:c r="E1014" s="2" t="str">
        <x:v>Research &amp; Analysis</x:v>
      </x:c>
      <x:c r="F1014" s="56" t="str">
        <x:f>'Research &amp; Analysis'!E286</x:f>
        <x:v>RA.PL.1.1</x:v>
      </x:c>
      <x:c r="G1014" s="14" t="str">
        <x:f>'Research &amp; Analysis'!F286</x:f>
        <x:v>Begin Research process 2 weeks prior to Cycle start</x:v>
      </x:c>
      <x:c r="H1014" s="2" t="str">
        <x:f>IF('Research &amp; Analysis'!G286="","",'Research &amp; Analysis'!G286)</x:f>
      </x:c>
      <x:c r="I1014" s="12" t="str">
        <x:f>IF('Research &amp; Analysis'!H286="","",'Research &amp; Analysis'!H286)</x:f>
      </x:c>
      <x:c r="J1014" s="12" t="n">
        <x:f>IF('Research &amp; Analysis'!I286="","",'Research &amp; Analysis'!I286)</x:f>
        <x:v>46099</x:v>
      </x:c>
      <x:c r="K1014" s="12" t="str">
        <x:f>IF('Research &amp; Analysis'!J286="","",'Research &amp; Analysis'!J286)</x:f>
      </x:c>
      <x:c r="L1014" s="2" t="str">
        <x:f>IF('Research &amp; Analysis'!K286="","",'Research &amp; Analysis'!K286)</x:f>
      </x:c>
      <x:c r="M1014" s="2" t="n">
        <x:f>'Research &amp; Analysis'!Q286</x:f>
        <x:v>1</x:v>
      </x:c>
      <x:c r="N1014" s="2" t="str">
        <x:f>'Research &amp; Analysis'!L286</x:f>
        <x:v>Not started</x:v>
      </x:c>
      <x:c r="O1014" s="2" t="str">
        <x:f>'Research &amp; Analysis'!N286</x:f>
        <x:v>RA.PL.1.1.2026.CY2</x:v>
      </x:c>
      <x:c r="P1014" s="2" t="n">
        <x:f>'Research &amp; Analysis'!O286</x:f>
        <x:v>0</x:v>
      </x:c>
      <x:c r="Q1014" s="2" t="n">
        <x:f>SUBTOTAL(103,O1014)</x:f>
        <x:v>1</x:v>
      </x:c>
      <x:c r="R1014" s="2" t="n">
        <x:f>IF(AND(M1014=1,OR(Dashboard!$B$7="All",Dashboard!$B$7='Cycles &amp; Guide'!$C$5),OR(Dashboard!$D$7="All",Dashboard!$D$7=B1014),OR(Dashboard!$F$7="All",Dashboard!$F$7=C1014),OR(Dashboard!$H$7="All",Dashboard!$H$7=D1014),OR(Dashboard!$K$7="All",Dashboard!$K$7=E1014)),1,0)</x:f>
        <x:v>1</x:v>
      </x:c>
      <x:c r="S1014" s="2" t="n">
        <x:f>IF(R1014=1,SUM($R$10:R1014),0)</x:f>
        <x:v>641</x:v>
      </x:c>
      <x:c r="T1014" s="2" t="str">
        <x:v>Research &amp; Analysis</x:v>
      </x:c>
      <x:c r="U1014" s="2" t="n">
        <x:v>286</x:v>
      </x:c>
      <x:c r="V1014" s="2" t="n">
        <x:f>IF(AND(M1014=1,P1014=0,ISNUMBER(J1014),J1014&lt;TODAY()),1,0)</x:f>
        <x:v>1</x:v>
      </x:c>
      <x:c r="W1014" s="2" t="str">
        <x:f>'Research &amp; Analysis'!M286</x:f>
        <x:v>Task</x:v>
      </x:c>
    </x:row>
    <x:row r="1015" ht="40" customHeight="1">
      <x:c r="A1015" s="3" t="str">
        <x:f>HYPERLINK("#'Research &amp; Analysis'!A287","Open")</x:f>
        <x:v>Open</x:v>
      </x:c>
      <x:c r="B1015" s="2" t="str">
        <x:f>'Research &amp; Analysis'!B287</x:f>
        <x:v>Cycle 2</x:v>
      </x:c>
      <x:c r="C1015" s="2" t="str">
        <x:f>'Research &amp; Analysis'!C287</x:f>
        <x:v>Phase 1</x:v>
      </x:c>
      <x:c r="D1015" s="2" t="str">
        <x:f>'Research &amp; Analysis'!D287</x:f>
        <x:v>PLL</x:v>
      </x:c>
      <x:c r="E1015" s="2" t="str">
        <x:v>Research &amp; Analysis</x:v>
      </x:c>
      <x:c r="F1015" s="56" t="str">
        <x:f>'Research &amp; Analysis'!E287</x:f>
        <x:v>RA.PL.1.2</x:v>
      </x:c>
      <x:c r="G1015" s="14" t="str">
        <x:f>'Research &amp; Analysis'!F287</x:f>
        <x:v>Conduct initial assessment of each topic recommendation from SharePoint list</x:v>
      </x:c>
      <x:c r="H1015" s="2" t="str">
        <x:f>IF('Research &amp; Analysis'!G287="","",'Research &amp; Analysis'!G287)</x:f>
      </x:c>
      <x:c r="I1015" s="12" t="str">
        <x:f>IF('Research &amp; Analysis'!H287="","",'Research &amp; Analysis'!H287)</x:f>
      </x:c>
      <x:c r="J1015" s="12" t="n">
        <x:f>IF('Research &amp; Analysis'!I287="","",'Research &amp; Analysis'!I287)</x:f>
        <x:v>46203</x:v>
      </x:c>
      <x:c r="K1015" s="12" t="str">
        <x:f>IF('Research &amp; Analysis'!J287="","",'Research &amp; Analysis'!J287)</x:f>
      </x:c>
      <x:c r="L1015" s="2" t="str">
        <x:f>IF('Research &amp; Analysis'!K287="","",'Research &amp; Analysis'!K287)</x:f>
      </x:c>
      <x:c r="M1015" s="2" t="n">
        <x:f>'Research &amp; Analysis'!Q287</x:f>
        <x:v>1</x:v>
      </x:c>
      <x:c r="N1015" s="2" t="str">
        <x:f>'Research &amp; Analysis'!L287</x:f>
        <x:v>Not started</x:v>
      </x:c>
      <x:c r="O1015" s="2" t="str">
        <x:f>'Research &amp; Analysis'!N287</x:f>
        <x:v>RA.PL.1.2.2026.CY2</x:v>
      </x:c>
      <x:c r="P1015" s="2" t="n">
        <x:f>'Research &amp; Analysis'!O287</x:f>
        <x:v>0</x:v>
      </x:c>
      <x:c r="Q1015" s="2" t="n">
        <x:f>SUBTOTAL(103,O1015)</x:f>
        <x:v>1</x:v>
      </x:c>
      <x:c r="R1015" s="2" t="n">
        <x:f>IF(AND(M1015=1,OR(Dashboard!$B$7="All",Dashboard!$B$7='Cycles &amp; Guide'!$C$5),OR(Dashboard!$D$7="All",Dashboard!$D$7=B1015),OR(Dashboard!$F$7="All",Dashboard!$F$7=C1015),OR(Dashboard!$H$7="All",Dashboard!$H$7=D1015),OR(Dashboard!$K$7="All",Dashboard!$K$7=E1015)),1,0)</x:f>
        <x:v>1</x:v>
      </x:c>
      <x:c r="S1015" s="2" t="n">
        <x:f>IF(R1015=1,SUM($R$10:R1015),0)</x:f>
        <x:v>642</x:v>
      </x:c>
      <x:c r="T1015" s="2" t="str">
        <x:v>Research &amp; Analysis</x:v>
      </x:c>
      <x:c r="U1015" s="2" t="n">
        <x:v>287</x:v>
      </x:c>
      <x:c r="V1015" s="2" t="n">
        <x:f>IF(AND(M1015=1,P1015=0,ISNUMBER(J1015),J1015&lt;TODAY()),1,0)</x:f>
        <x:v>1</x:v>
      </x:c>
      <x:c r="W1015" s="2" t="str">
        <x:f>'Research &amp; Analysis'!M287</x:f>
        <x:v>Task</x:v>
      </x:c>
    </x:row>
    <x:row r="1016" ht="40" customHeight="1">
      <x:c r="A1016" s="3" t="str">
        <x:f>HYPERLINK("#'Research &amp; Analysis'!A288","Open")</x:f>
        <x:v>Open</x:v>
      </x:c>
      <x:c r="B1016" s="2" t="str">
        <x:f>'Research &amp; Analysis'!B288</x:f>
        <x:v>Cycle 2</x:v>
      </x:c>
      <x:c r="C1016" s="2" t="str">
        <x:f>'Research &amp; Analysis'!C288</x:f>
        <x:v>Phase 1</x:v>
      </x:c>
      <x:c r="D1016" s="2" t="str">
        <x:f>'Research &amp; Analysis'!D288</x:f>
        <x:v>PLL</x:v>
      </x:c>
      <x:c r="E1016" s="2" t="str">
        <x:v>Research &amp; Analysis</x:v>
      </x:c>
      <x:c r="F1016" s="56" t="str">
        <x:f>'Research &amp; Analysis'!E288</x:f>
        <x:v>RA.PL.1.3</x:v>
      </x:c>
      <x:c r="G1016" s="14" t="str">
        <x:f>'Research &amp; Analysis'!F288</x:f>
        <x:v>Identify best topic for Cycle</x:v>
      </x:c>
      <x:c r="H1016" s="2" t="str">
        <x:f>IF('Research &amp; Analysis'!G288="","",'Research &amp; Analysis'!G288)</x:f>
      </x:c>
      <x:c r="I1016" s="12" t="str">
        <x:f>IF('Research &amp; Analysis'!H288="","",'Research &amp; Analysis'!H288)</x:f>
      </x:c>
      <x:c r="J1016" s="12" t="n">
        <x:f>IF('Research &amp; Analysis'!I288="","",'Research &amp; Analysis'!I288)</x:f>
        <x:v>46203</x:v>
      </x:c>
      <x:c r="K1016" s="12" t="str">
        <x:f>IF('Research &amp; Analysis'!J288="","",'Research &amp; Analysis'!J288)</x:f>
      </x:c>
      <x:c r="L1016" s="2" t="str">
        <x:f>IF('Research &amp; Analysis'!K288="","",'Research &amp; Analysis'!K288)</x:f>
      </x:c>
      <x:c r="M1016" s="2" t="n">
        <x:f>'Research &amp; Analysis'!Q288</x:f>
        <x:v>1</x:v>
      </x:c>
      <x:c r="N1016" s="2" t="str">
        <x:f>'Research &amp; Analysis'!L288</x:f>
        <x:v>Not started</x:v>
      </x:c>
      <x:c r="O1016" s="2" t="str">
        <x:f>'Research &amp; Analysis'!N288</x:f>
        <x:v>RA.PL.1.3.2026.CY2</x:v>
      </x:c>
      <x:c r="P1016" s="2" t="n">
        <x:f>'Research &amp; Analysis'!O288</x:f>
        <x:v>0</x:v>
      </x:c>
      <x:c r="Q1016" s="2" t="n">
        <x:f>SUBTOTAL(103,O1016)</x:f>
        <x:v>1</x:v>
      </x:c>
      <x:c r="R1016" s="2" t="n">
        <x:f>IF(AND(M1016=1,OR(Dashboard!$B$7="All",Dashboard!$B$7='Cycles &amp; Guide'!$C$5),OR(Dashboard!$D$7="All",Dashboard!$D$7=B1016),OR(Dashboard!$F$7="All",Dashboard!$F$7=C1016),OR(Dashboard!$H$7="All",Dashboard!$H$7=D1016),OR(Dashboard!$K$7="All",Dashboard!$K$7=E1016)),1,0)</x:f>
        <x:v>1</x:v>
      </x:c>
      <x:c r="S1016" s="2" t="n">
        <x:f>IF(R1016=1,SUM($R$10:R1016),0)</x:f>
        <x:v>643</x:v>
      </x:c>
      <x:c r="T1016" s="2" t="str">
        <x:v>Research &amp; Analysis</x:v>
      </x:c>
      <x:c r="U1016" s="2" t="n">
        <x:v>288</x:v>
      </x:c>
      <x:c r="V1016" s="2" t="n">
        <x:f>IF(AND(M1016=1,P1016=0,ISNUMBER(J1016),J1016&lt;TODAY()),1,0)</x:f>
        <x:v>1</x:v>
      </x:c>
      <x:c r="W1016" s="2" t="str">
        <x:f>'Research &amp; Analysis'!M288</x:f>
        <x:v>Task</x:v>
      </x:c>
    </x:row>
    <x:row r="1017" ht="40" customHeight="1">
      <x:c r="A1017" s="3" t="str">
        <x:f>HYPERLINK("#'Research &amp; Analysis'!A289","Open")</x:f>
        <x:v>Open</x:v>
      </x:c>
      <x:c r="B1017" s="2" t="str">
        <x:f>'Research &amp; Analysis'!B289</x:f>
        <x:v>Cycle 2</x:v>
      </x:c>
      <x:c r="C1017" s="2" t="str">
        <x:f>'Research &amp; Analysis'!C289</x:f>
        <x:v>Phase 1</x:v>
      </x:c>
      <x:c r="D1017" s="2" t="str">
        <x:f>'Research &amp; Analysis'!D289</x:f>
        <x:v>PLL</x:v>
      </x:c>
      <x:c r="E1017" s="2" t="str">
        <x:v>Research &amp; Analysis</x:v>
      </x:c>
      <x:c r="F1017" s="56" t="str">
        <x:f>'Research &amp; Analysis'!E289</x:f>
        <x:v>RA.PL.1.4</x:v>
      </x:c>
      <x:c r="G1017" s="14" t="str">
        <x:f>'Research &amp; Analysis'!F289</x:f>
        <x:v>Identify backup topic for Cycle</x:v>
      </x:c>
      <x:c r="H1017" s="2" t="str">
        <x:f>IF('Research &amp; Analysis'!G289="","",'Research &amp; Analysis'!G289)</x:f>
      </x:c>
      <x:c r="I1017" s="12" t="str">
        <x:f>IF('Research &amp; Analysis'!H289="","",'Research &amp; Analysis'!H289)</x:f>
      </x:c>
      <x:c r="J1017" s="12" t="n">
        <x:f>IF('Research &amp; Analysis'!I289="","",'Research &amp; Analysis'!I289)</x:f>
        <x:v>46203</x:v>
      </x:c>
      <x:c r="K1017" s="12" t="str">
        <x:f>IF('Research &amp; Analysis'!J289="","",'Research &amp; Analysis'!J289)</x:f>
      </x:c>
      <x:c r="L1017" s="2" t="str">
        <x:f>IF('Research &amp; Analysis'!K289="","",'Research &amp; Analysis'!K289)</x:f>
      </x:c>
      <x:c r="M1017" s="2" t="n">
        <x:f>'Research &amp; Analysis'!Q289</x:f>
        <x:v>1</x:v>
      </x:c>
      <x:c r="N1017" s="2" t="str">
        <x:f>'Research &amp; Analysis'!L289</x:f>
        <x:v>Not started</x:v>
      </x:c>
      <x:c r="O1017" s="2" t="str">
        <x:f>'Research &amp; Analysis'!N289</x:f>
        <x:v>RA.PL.1.4.2026.CY2</x:v>
      </x:c>
      <x:c r="P1017" s="2" t="n">
        <x:f>'Research &amp; Analysis'!O289</x:f>
        <x:v>0</x:v>
      </x:c>
      <x:c r="Q1017" s="2" t="n">
        <x:f>SUBTOTAL(103,O1017)</x:f>
        <x:v>1</x:v>
      </x:c>
      <x:c r="R1017" s="2" t="n">
        <x:f>IF(AND(M1017=1,OR(Dashboard!$B$7="All",Dashboard!$B$7='Cycles &amp; Guide'!$C$5),OR(Dashboard!$D$7="All",Dashboard!$D$7=B1017),OR(Dashboard!$F$7="All",Dashboard!$F$7=C1017),OR(Dashboard!$H$7="All",Dashboard!$H$7=D1017),OR(Dashboard!$K$7="All",Dashboard!$K$7=E1017)),1,0)</x:f>
        <x:v>1</x:v>
      </x:c>
      <x:c r="S1017" s="2" t="n">
        <x:f>IF(R1017=1,SUM($R$10:R1017),0)</x:f>
        <x:v>644</x:v>
      </x:c>
      <x:c r="T1017" s="2" t="str">
        <x:v>Research &amp; Analysis</x:v>
      </x:c>
      <x:c r="U1017" s="2" t="n">
        <x:v>289</x:v>
      </x:c>
      <x:c r="V1017" s="2" t="n">
        <x:f>IF(AND(M1017=1,P1017=0,ISNUMBER(J1017),J1017&lt;TODAY()),1,0)</x:f>
        <x:v>1</x:v>
      </x:c>
      <x:c r="W1017" s="2" t="str">
        <x:f>'Research &amp; Analysis'!M289</x:f>
        <x:v>Task</x:v>
      </x:c>
    </x:row>
    <x:row r="1018" ht="40" customHeight="1">
      <x:c r="A1018" s="3" t="str">
        <x:f>HYPERLINK("#'Research &amp; Analysis'!A290","Open")</x:f>
        <x:v>Open</x:v>
      </x:c>
      <x:c r="B1018" s="2" t="str">
        <x:f>'Research &amp; Analysis'!B290</x:f>
        <x:v>Cycle 2</x:v>
      </x:c>
      <x:c r="C1018" s="2" t="str">
        <x:f>'Research &amp; Analysis'!C290</x:f>
        <x:v>Phase 1</x:v>
      </x:c>
      <x:c r="D1018" s="2" t="str">
        <x:f>'Research &amp; Analysis'!D290</x:f>
        <x:v>PLL</x:v>
      </x:c>
      <x:c r="E1018" s="2" t="str">
        <x:v>Research &amp; Analysis</x:v>
      </x:c>
      <x:c r="F1018" s="56" t="str">
        <x:f>'Research &amp; Analysis'!E290</x:f>
        <x:v>RA.PL.1.5</x:v>
      </x:c>
      <x:c r="G1018" s="14" t="str">
        <x:f>'Research &amp; Analysis'!F290</x:f>
        <x:v>Schedule topic approval meeting with D&amp;I and management</x:v>
      </x:c>
      <x:c r="H1018" s="2" t="str">
        <x:f>IF('Research &amp; Analysis'!G290="","",'Research &amp; Analysis'!G290)</x:f>
      </x:c>
      <x:c r="I1018" s="12" t="str">
        <x:f>IF('Research &amp; Analysis'!H290="","",'Research &amp; Analysis'!H290)</x:f>
      </x:c>
      <x:c r="J1018" s="12" t="n">
        <x:f>IF('Research &amp; Analysis'!I290="","",'Research &amp; Analysis'!I290)</x:f>
        <x:v>46203</x:v>
      </x:c>
      <x:c r="K1018" s="12" t="str">
        <x:f>IF('Research &amp; Analysis'!J290="","",'Research &amp; Analysis'!J290)</x:f>
      </x:c>
      <x:c r="L1018" s="2" t="str">
        <x:f>IF('Research &amp; Analysis'!K290="","",'Research &amp; Analysis'!K290)</x:f>
      </x:c>
      <x:c r="M1018" s="2" t="n">
        <x:f>'Research &amp; Analysis'!Q290</x:f>
        <x:v>1</x:v>
      </x:c>
      <x:c r="N1018" s="2" t="str">
        <x:f>'Research &amp; Analysis'!L290</x:f>
        <x:v>Not started</x:v>
      </x:c>
      <x:c r="O1018" s="2" t="str">
        <x:f>'Research &amp; Analysis'!N290</x:f>
        <x:v>RA.PL.1.5.2026.CY2</x:v>
      </x:c>
      <x:c r="P1018" s="2" t="n">
        <x:f>'Research &amp; Analysis'!O290</x:f>
        <x:v>0</x:v>
      </x:c>
      <x:c r="Q1018" s="2" t="n">
        <x:f>SUBTOTAL(103,O1018)</x:f>
        <x:v>1</x:v>
      </x:c>
      <x:c r="R1018" s="2" t="n">
        <x:f>IF(AND(M1018=1,OR(Dashboard!$B$7="All",Dashboard!$B$7='Cycles &amp; Guide'!$C$5),OR(Dashboard!$D$7="All",Dashboard!$D$7=B1018),OR(Dashboard!$F$7="All",Dashboard!$F$7=C1018),OR(Dashboard!$H$7="All",Dashboard!$H$7=D1018),OR(Dashboard!$K$7="All",Dashboard!$K$7=E1018)),1,0)</x:f>
        <x:v>1</x:v>
      </x:c>
      <x:c r="S1018" s="2" t="n">
        <x:f>IF(R1018=1,SUM($R$10:R1018),0)</x:f>
        <x:v>645</x:v>
      </x:c>
      <x:c r="T1018" s="2" t="str">
        <x:v>Research &amp; Analysis</x:v>
      </x:c>
      <x:c r="U1018" s="2" t="n">
        <x:v>290</x:v>
      </x:c>
      <x:c r="V1018" s="2" t="n">
        <x:f>IF(AND(M1018=1,P1018=0,ISNUMBER(J1018),J1018&lt;TODAY()),1,0)</x:f>
        <x:v>1</x:v>
      </x:c>
      <x:c r="W1018" s="2" t="str">
        <x:f>'Research &amp; Analysis'!M290</x:f>
        <x:v>Task</x:v>
      </x:c>
    </x:row>
    <x:row r="1019" ht="40" customHeight="1">
      <x:c r="A1019" s="3" t="str">
        <x:f>HYPERLINK("#'Research &amp; Analysis'!A291","Open")</x:f>
        <x:v>Open</x:v>
      </x:c>
      <x:c r="B1019" s="2" t="str">
        <x:f>'Research &amp; Analysis'!B291</x:f>
        <x:v>Cycle 2</x:v>
      </x:c>
      <x:c r="C1019" s="2" t="str">
        <x:f>'Research &amp; Analysis'!C291</x:f>
        <x:v>Phase 1</x:v>
      </x:c>
      <x:c r="D1019" s="2" t="str">
        <x:f>'Research &amp; Analysis'!D291</x:f>
        <x:v>PLL</x:v>
      </x:c>
      <x:c r="E1019" s="2" t="str">
        <x:v>Research &amp; Analysis</x:v>
      </x:c>
      <x:c r="F1019" s="56" t="str">
        <x:f>'Research &amp; Analysis'!E291</x:f>
        <x:v>RA.PL.1.6</x:v>
      </x:c>
      <x:c r="G1019" s="14" t="str">
        <x:f>'Research &amp; Analysis'!F291</x:f>
        <x:v>Present recommended topic to D&amp;I and management for approval</x:v>
      </x:c>
      <x:c r="H1019" s="2" t="str">
        <x:f>IF('Research &amp; Analysis'!G291="","",'Research &amp; Analysis'!G291)</x:f>
      </x:c>
      <x:c r="I1019" s="12" t="str">
        <x:f>IF('Research &amp; Analysis'!H291="","",'Research &amp; Analysis'!H291)</x:f>
      </x:c>
      <x:c r="J1019" s="12" t="n">
        <x:f>IF('Research &amp; Analysis'!I291="","",'Research &amp; Analysis'!I291)</x:f>
        <x:v>46203</x:v>
      </x:c>
      <x:c r="K1019" s="12" t="str">
        <x:f>IF('Research &amp; Analysis'!J291="","",'Research &amp; Analysis'!J291)</x:f>
      </x:c>
      <x:c r="L1019" s="2" t="str">
        <x:f>IF('Research &amp; Analysis'!K291="","",'Research &amp; Analysis'!K291)</x:f>
      </x:c>
      <x:c r="M1019" s="2" t="n">
        <x:f>'Research &amp; Analysis'!Q291</x:f>
        <x:v>1</x:v>
      </x:c>
      <x:c r="N1019" s="2" t="str">
        <x:f>'Research &amp; Analysis'!L291</x:f>
        <x:v>Not started</x:v>
      </x:c>
      <x:c r="O1019" s="2" t="str">
        <x:f>'Research &amp; Analysis'!N291</x:f>
        <x:v>RA.PL.1.6.2026.CY2</x:v>
      </x:c>
      <x:c r="P1019" s="2" t="n">
        <x:f>'Research &amp; Analysis'!O291</x:f>
        <x:v>0</x:v>
      </x:c>
      <x:c r="Q1019" s="2" t="n">
        <x:f>SUBTOTAL(103,O1019)</x:f>
        <x:v>1</x:v>
      </x:c>
      <x:c r="R1019" s="2" t="n">
        <x:f>IF(AND(M1019=1,OR(Dashboard!$B$7="All",Dashboard!$B$7='Cycles &amp; Guide'!$C$5),OR(Dashboard!$D$7="All",Dashboard!$D$7=B1019),OR(Dashboard!$F$7="All",Dashboard!$F$7=C1019),OR(Dashboard!$H$7="All",Dashboard!$H$7=D1019),OR(Dashboard!$K$7="All",Dashboard!$K$7=E1019)),1,0)</x:f>
        <x:v>1</x:v>
      </x:c>
      <x:c r="S1019" s="2" t="n">
        <x:f>IF(R1019=1,SUM($R$10:R1019),0)</x:f>
        <x:v>646</x:v>
      </x:c>
      <x:c r="T1019" s="2" t="str">
        <x:v>Research &amp; Analysis</x:v>
      </x:c>
      <x:c r="U1019" s="2" t="n">
        <x:v>291</x:v>
      </x:c>
      <x:c r="V1019" s="2" t="n">
        <x:f>IF(AND(M1019=1,P1019=0,ISNUMBER(J1019),J1019&lt;TODAY()),1,0)</x:f>
        <x:v>1</x:v>
      </x:c>
      <x:c r="W1019" s="2" t="str">
        <x:f>'Research &amp; Analysis'!M291</x:f>
        <x:v>Task</x:v>
      </x:c>
    </x:row>
    <x:row r="1020" ht="40" customHeight="1">
      <x:c r="A1020" s="3" t="str">
        <x:f>HYPERLINK("#'Research &amp; Analysis'!A292","Open")</x:f>
        <x:v>Open</x:v>
      </x:c>
      <x:c r="B1020" s="2" t="str">
        <x:f>'Research &amp; Analysis'!B292</x:f>
        <x:v>Cycle 2</x:v>
      </x:c>
      <x:c r="C1020" s="2" t="str">
        <x:f>'Research &amp; Analysis'!C292</x:f>
        <x:v>Phase 1</x:v>
      </x:c>
      <x:c r="D1020" s="2" t="str">
        <x:f>'Research &amp; Analysis'!D292</x:f>
        <x:v>PLL</x:v>
      </x:c>
      <x:c r="E1020" s="2" t="str">
        <x:v>Research &amp; Analysis</x:v>
      </x:c>
      <x:c r="F1020" s="56" t="str">
        <x:f>'Research &amp; Analysis'!E292</x:f>
        <x:v>RA.PL.1.7</x:v>
      </x:c>
      <x:c r="G1020" s="14" t="str">
        <x:f>'Research &amp; Analysis'!F292</x:f>
        <x:v>Obtain formal topic selection approval from management via SharePoint</x:v>
      </x:c>
      <x:c r="H1020" s="2" t="str">
        <x:f>IF('Research &amp; Analysis'!G292="","",'Research &amp; Analysis'!G292)</x:f>
      </x:c>
      <x:c r="I1020" s="12" t="str">
        <x:f>IF('Research &amp; Analysis'!H292="","",'Research &amp; Analysis'!H292)</x:f>
      </x:c>
      <x:c r="J1020" s="12" t="n">
        <x:f>IF('Research &amp; Analysis'!I292="","",'Research &amp; Analysis'!I292)</x:f>
        <x:v>46203</x:v>
      </x:c>
      <x:c r="K1020" s="12" t="str">
        <x:f>IF('Research &amp; Analysis'!J292="","",'Research &amp; Analysis'!J292)</x:f>
      </x:c>
      <x:c r="L1020" s="2" t="str">
        <x:f>IF('Research &amp; Analysis'!K292="","",'Research &amp; Analysis'!K292)</x:f>
      </x:c>
      <x:c r="M1020" s="2" t="n">
        <x:f>'Research &amp; Analysis'!Q292</x:f>
        <x:v>1</x:v>
      </x:c>
      <x:c r="N1020" s="2" t="str">
        <x:f>'Research &amp; Analysis'!L292</x:f>
        <x:v>Not started</x:v>
      </x:c>
      <x:c r="O1020" s="2" t="str">
        <x:f>'Research &amp; Analysis'!N292</x:f>
        <x:v>RA.PL.1.7.2026.CY2</x:v>
      </x:c>
      <x:c r="P1020" s="2" t="n">
        <x:f>'Research &amp; Analysis'!O292</x:f>
        <x:v>0</x:v>
      </x:c>
      <x:c r="Q1020" s="2" t="n">
        <x:f>SUBTOTAL(103,O1020)</x:f>
        <x:v>1</x:v>
      </x:c>
      <x:c r="R1020" s="2" t="n">
        <x:f>IF(AND(M1020=1,OR(Dashboard!$B$7="All",Dashboard!$B$7='Cycles &amp; Guide'!$C$5),OR(Dashboard!$D$7="All",Dashboard!$D$7=B1020),OR(Dashboard!$F$7="All",Dashboard!$F$7=C1020),OR(Dashboard!$H$7="All",Dashboard!$H$7=D1020),OR(Dashboard!$K$7="All",Dashboard!$K$7=E1020)),1,0)</x:f>
        <x:v>1</x:v>
      </x:c>
      <x:c r="S1020" s="2" t="n">
        <x:f>IF(R1020=1,SUM($R$10:R1020),0)</x:f>
        <x:v>647</x:v>
      </x:c>
      <x:c r="T1020" s="2" t="str">
        <x:v>Research &amp; Analysis</x:v>
      </x:c>
      <x:c r="U1020" s="2" t="n">
        <x:v>292</x:v>
      </x:c>
      <x:c r="V1020" s="2" t="n">
        <x:f>IF(AND(M1020=1,P1020=0,ISNUMBER(J1020),J1020&lt;TODAY()),1,0)</x:f>
        <x:v>1</x:v>
      </x:c>
      <x:c r="W1020" s="2" t="str">
        <x:f>'Research &amp; Analysis'!M292</x:f>
        <x:v>Task</x:v>
      </x:c>
    </x:row>
    <x:row r="1021" ht="40" customHeight="1">
      <x:c r="A1021" s="3" t="str">
        <x:f>HYPERLINK("#'Research &amp; Analysis'!A293","Open")</x:f>
        <x:v>Open</x:v>
      </x:c>
      <x:c r="B1021" s="2" t="str">
        <x:f>'Research &amp; Analysis'!B293</x:f>
        <x:v>Cycle 2</x:v>
      </x:c>
      <x:c r="C1021" s="2" t="str">
        <x:f>'Research &amp; Analysis'!C293</x:f>
        <x:v>Phase 1</x:v>
      </x:c>
      <x:c r="D1021" s="2" t="str">
        <x:f>'Research &amp; Analysis'!D293</x:f>
        <x:v>PLL</x:v>
      </x:c>
      <x:c r="E1021" s="2" t="str">
        <x:v>Research &amp; Analysis</x:v>
      </x:c>
      <x:c r="F1021" s="56" t="str">
        <x:f>'Research &amp; Analysis'!E293</x:f>
        <x:v>RA.PL.1.8</x:v>
      </x:c>
      <x:c r="G1021" s="14" t="str">
        <x:f>'Research &amp; Analysis'!F293</x:f>
        <x:v>Socialize topic selection with product owners and subject matter experts (if known)</x:v>
      </x:c>
      <x:c r="H1021" s="2" t="str">
        <x:f>IF('Research &amp; Analysis'!G293="","",'Research &amp; Analysis'!G293)</x:f>
      </x:c>
      <x:c r="I1021" s="12" t="str">
        <x:f>IF('Research &amp; Analysis'!H293="","",'Research &amp; Analysis'!H293)</x:f>
      </x:c>
      <x:c r="J1021" s="12" t="n">
        <x:f>IF('Research &amp; Analysis'!I293="","",'Research &amp; Analysis'!I293)</x:f>
        <x:v>46203</x:v>
      </x:c>
      <x:c r="K1021" s="12" t="str">
        <x:f>IF('Research &amp; Analysis'!J293="","",'Research &amp; Analysis'!J293)</x:f>
      </x:c>
      <x:c r="L1021" s="2" t="str">
        <x:f>IF('Research &amp; Analysis'!K293="","",'Research &amp; Analysis'!K293)</x:f>
      </x:c>
      <x:c r="M1021" s="2" t="n">
        <x:f>'Research &amp; Analysis'!Q293</x:f>
        <x:v>1</x:v>
      </x:c>
      <x:c r="N1021" s="2" t="str">
        <x:f>'Research &amp; Analysis'!L293</x:f>
        <x:v>Not started</x:v>
      </x:c>
      <x:c r="O1021" s="2" t="str">
        <x:f>'Research &amp; Analysis'!N293</x:f>
        <x:v>RA.PL.1.8.2026.CY2</x:v>
      </x:c>
      <x:c r="P1021" s="2" t="n">
        <x:f>'Research &amp; Analysis'!O293</x:f>
        <x:v>0</x:v>
      </x:c>
      <x:c r="Q1021" s="2" t="n">
        <x:f>SUBTOTAL(103,O1021)</x:f>
        <x:v>1</x:v>
      </x:c>
      <x:c r="R1021" s="2" t="n">
        <x:f>IF(AND(M1021=1,OR(Dashboard!$B$7="All",Dashboard!$B$7='Cycles &amp; Guide'!$C$5),OR(Dashboard!$D$7="All",Dashboard!$D$7=B1021),OR(Dashboard!$F$7="All",Dashboard!$F$7=C1021),OR(Dashboard!$H$7="All",Dashboard!$H$7=D1021),OR(Dashboard!$K$7="All",Dashboard!$K$7=E1021)),1,0)</x:f>
        <x:v>1</x:v>
      </x:c>
      <x:c r="S1021" s="2" t="n">
        <x:f>IF(R1021=1,SUM($R$10:R1021),0)</x:f>
        <x:v>648</x:v>
      </x:c>
      <x:c r="T1021" s="2" t="str">
        <x:v>Research &amp; Analysis</x:v>
      </x:c>
      <x:c r="U1021" s="2" t="n">
        <x:v>293</x:v>
      </x:c>
      <x:c r="V1021" s="2" t="n">
        <x:f>IF(AND(M1021=1,P1021=0,ISNUMBER(J1021),J1021&lt;TODAY()),1,0)</x:f>
        <x:v>1</x:v>
      </x:c>
      <x:c r="W1021" s="2" t="str">
        <x:f>'Research &amp; Analysis'!M293</x:f>
        <x:v>Task</x:v>
      </x:c>
    </x:row>
    <x:row r="1022" ht="40" customHeight="1">
      <x:c r="A1022" s="3" t="str">
        <x:f>HYPERLINK("#'Research &amp; Analysis'!A294","Open")</x:f>
        <x:v>Open</x:v>
      </x:c>
      <x:c r="B1022" s="2" t="str">
        <x:f>'Research &amp; Analysis'!B294</x:f>
        <x:v>Cycle 2</x:v>
      </x:c>
      <x:c r="C1022" s="2" t="str">
        <x:f>'Research &amp; Analysis'!C294</x:f>
        <x:v>Phase 1</x:v>
      </x:c>
      <x:c r="D1022" s="2" t="str">
        <x:f>'Research &amp; Analysis'!D294</x:f>
        <x:v>PLL</x:v>
      </x:c>
      <x:c r="E1022" s="2" t="str">
        <x:v>Research &amp; Analysis</x:v>
      </x:c>
      <x:c r="F1022" s="56" t="str">
        <x:f>'Research &amp; Analysis'!E294</x:f>
        <x:v>RA.PL.1.9</x:v>
      </x:c>
      <x:c r="G1022" s="14" t="str">
        <x:f>'Research &amp; Analysis'!F294</x:f>
        <x:v>Assign topic researchers</x:v>
      </x:c>
      <x:c r="H1022" s="2" t="str">
        <x:f>IF('Research &amp; Analysis'!G294="","",'Research &amp; Analysis'!G294)</x:f>
      </x:c>
      <x:c r="I1022" s="12" t="str">
        <x:f>IF('Research &amp; Analysis'!H294="","",'Research &amp; Analysis'!H294)</x:f>
      </x:c>
      <x:c r="J1022" s="12" t="n">
        <x:f>IF('Research &amp; Analysis'!I294="","",'Research &amp; Analysis'!I294)</x:f>
        <x:v>46203</x:v>
      </x:c>
      <x:c r="K1022" s="12" t="str">
        <x:f>IF('Research &amp; Analysis'!J294="","",'Research &amp; Analysis'!J294)</x:f>
      </x:c>
      <x:c r="L1022" s="2" t="str">
        <x:f>IF('Research &amp; Analysis'!K294="","",'Research &amp; Analysis'!K294)</x:f>
      </x:c>
      <x:c r="M1022" s="2" t="n">
        <x:f>'Research &amp; Analysis'!Q294</x:f>
        <x:v>1</x:v>
      </x:c>
      <x:c r="N1022" s="2" t="str">
        <x:f>'Research &amp; Analysis'!L294</x:f>
        <x:v>Not started</x:v>
      </x:c>
      <x:c r="O1022" s="2" t="str">
        <x:f>'Research &amp; Analysis'!N294</x:f>
        <x:v>RA.PL.1.9.2026.CY2</x:v>
      </x:c>
      <x:c r="P1022" s="2" t="n">
        <x:f>'Research &amp; Analysis'!O294</x:f>
        <x:v>0</x:v>
      </x:c>
      <x:c r="Q1022" s="2" t="n">
        <x:f>SUBTOTAL(103,O1022)</x:f>
        <x:v>1</x:v>
      </x:c>
      <x:c r="R1022" s="2" t="n">
        <x:f>IF(AND(M1022=1,OR(Dashboard!$B$7="All",Dashboard!$B$7='Cycles &amp; Guide'!$C$5),OR(Dashboard!$D$7="All",Dashboard!$D$7=B1022),OR(Dashboard!$F$7="All",Dashboard!$F$7=C1022),OR(Dashboard!$H$7="All",Dashboard!$H$7=D1022),OR(Dashboard!$K$7="All",Dashboard!$K$7=E1022)),1,0)</x:f>
        <x:v>1</x:v>
      </x:c>
      <x:c r="S1022" s="2" t="n">
        <x:f>IF(R1022=1,SUM($R$10:R1022),0)</x:f>
        <x:v>649</x:v>
      </x:c>
      <x:c r="T1022" s="2" t="str">
        <x:v>Research &amp; Analysis</x:v>
      </x:c>
      <x:c r="U1022" s="2" t="n">
        <x:v>294</x:v>
      </x:c>
      <x:c r="V1022" s="2" t="n">
        <x:f>IF(AND(M1022=1,P1022=0,ISNUMBER(J1022),J1022&lt;TODAY()),1,0)</x:f>
        <x:v>1</x:v>
      </x:c>
      <x:c r="W1022" s="2" t="str">
        <x:f>'Research &amp; Analysis'!M294</x:f>
        <x:v>Task</x:v>
      </x:c>
    </x:row>
    <x:row r="1023" ht="40" customHeight="1">
      <x:c r="A1023" s="3" t="str">
        <x:f>HYPERLINK("#'Research &amp; Analysis'!A295","Open")</x:f>
        <x:v>Open</x:v>
      </x:c>
      <x:c r="B1023" s="2" t="str">
        <x:f>'Research &amp; Analysis'!B295</x:f>
        <x:v>Cycle 2</x:v>
      </x:c>
      <x:c r="C1023" s="2" t="str">
        <x:f>'Research &amp; Analysis'!C295</x:f>
        <x:v>Phase 2</x:v>
      </x:c>
      <x:c r="D1023" s="2" t="str">
        <x:f>'Research &amp; Analysis'!D295</x:f>
        <x:v>PLL</x:v>
      </x:c>
      <x:c r="E1023" s="2" t="str">
        <x:v>Research &amp; Analysis</x:v>
      </x:c>
      <x:c r="F1023" s="56" t="str">
        <x:f>'Research &amp; Analysis'!E295</x:f>
        <x:v>RA.PL.2.1</x:v>
      </x:c>
      <x:c r="G1023" s="14" t="str">
        <x:f>'Research &amp; Analysis'!F295</x:f>
        <x:v>Review data sources</x:v>
      </x:c>
      <x:c r="H1023" s="2" t="str">
        <x:f>IF('Research &amp; Analysis'!G295="","",'Research &amp; Analysis'!G295)</x:f>
      </x:c>
      <x:c r="I1023" s="12" t="str">
        <x:f>IF('Research &amp; Analysis'!H295="","",'Research &amp; Analysis'!H295)</x:f>
      </x:c>
      <x:c r="J1023" s="12" t="n">
        <x:f>IF('Research &amp; Analysis'!I295="","",'Research &amp; Analysis'!I295)</x:f>
        <x:v>46203</x:v>
      </x:c>
      <x:c r="K1023" s="12" t="str">
        <x:f>IF('Research &amp; Analysis'!J295="","",'Research &amp; Analysis'!J295)</x:f>
      </x:c>
      <x:c r="L1023" s="2" t="str">
        <x:f>IF('Research &amp; Analysis'!K295="","",'Research &amp; Analysis'!K295)</x:f>
      </x:c>
      <x:c r="M1023" s="2" t="n">
        <x:f>'Research &amp; Analysis'!Q295</x:f>
        <x:v>1</x:v>
      </x:c>
      <x:c r="N1023" s="2" t="str">
        <x:f>'Research &amp; Analysis'!L295</x:f>
        <x:v>Not started</x:v>
      </x:c>
      <x:c r="O1023" s="2" t="str">
        <x:f>'Research &amp; Analysis'!N295</x:f>
        <x:v>RA.PL.2.1.2026.CY2</x:v>
      </x:c>
      <x:c r="P1023" s="2" t="n">
        <x:f>'Research &amp; Analysis'!O295</x:f>
        <x:v>0</x:v>
      </x:c>
      <x:c r="Q1023" s="2" t="n">
        <x:f>SUBTOTAL(103,O1023)</x:f>
        <x:v>1</x:v>
      </x:c>
      <x:c r="R1023" s="2" t="n">
        <x:f>IF(AND(M1023=1,OR(Dashboard!$B$7="All",Dashboard!$B$7='Cycles &amp; Guide'!$C$5),OR(Dashboard!$D$7="All",Dashboard!$D$7=B1023),OR(Dashboard!$F$7="All",Dashboard!$F$7=C1023),OR(Dashboard!$H$7="All",Dashboard!$H$7=D1023),OR(Dashboard!$K$7="All",Dashboard!$K$7=E1023)),1,0)</x:f>
        <x:v>1</x:v>
      </x:c>
      <x:c r="S1023" s="2" t="n">
        <x:f>IF(R1023=1,SUM($R$10:R1023),0)</x:f>
        <x:v>650</x:v>
      </x:c>
      <x:c r="T1023" s="2" t="str">
        <x:v>Research &amp; Analysis</x:v>
      </x:c>
      <x:c r="U1023" s="2" t="n">
        <x:v>295</x:v>
      </x:c>
      <x:c r="V1023" s="2" t="n">
        <x:f>IF(AND(M1023=1,P1023=0,ISNUMBER(J1023),J1023&lt;TODAY()),1,0)</x:f>
        <x:v>1</x:v>
      </x:c>
      <x:c r="W1023" s="2" t="str">
        <x:f>'Research &amp; Analysis'!M295</x:f>
        <x:v>Task</x:v>
      </x:c>
    </x:row>
    <x:row r="1024" ht="40" customHeight="1">
      <x:c r="A1024" s="3" t="str">
        <x:f>HYPERLINK("#'Research &amp; Analysis'!A296","Open")</x:f>
        <x:v>Open</x:v>
      </x:c>
      <x:c r="B1024" s="2" t="str">
        <x:f>'Research &amp; Analysis'!B296</x:f>
        <x:v>Cycle 2</x:v>
      </x:c>
      <x:c r="C1024" s="2" t="str">
        <x:f>'Research &amp; Analysis'!C296</x:f>
        <x:v>Phase 2</x:v>
      </x:c>
      <x:c r="D1024" s="2" t="str">
        <x:f>'Research &amp; Analysis'!D296</x:f>
        <x:v>PLL</x:v>
      </x:c>
      <x:c r="E1024" s="2" t="str">
        <x:v>Research &amp; Analysis</x:v>
      </x:c>
      <x:c r="F1024" s="56" t="str">
        <x:f>'Research &amp; Analysis'!E296</x:f>
        <x:v>RA.PL.2.2</x:v>
      </x:c>
      <x:c r="G1024" s="14" t="str">
        <x:f>'Research &amp; Analysis'!F296</x:f>
        <x:v>Review relevant policies and procedures</x:v>
      </x:c>
      <x:c r="H1024" s="2" t="str">
        <x:f>IF('Research &amp; Analysis'!G296="","",'Research &amp; Analysis'!G296)</x:f>
      </x:c>
      <x:c r="I1024" s="12" t="str">
        <x:f>IF('Research &amp; Analysis'!H296="","",'Research &amp; Analysis'!H296)</x:f>
      </x:c>
      <x:c r="J1024" s="12" t="n">
        <x:f>IF('Research &amp; Analysis'!I296="","",'Research &amp; Analysis'!I296)</x:f>
        <x:v>46203</x:v>
      </x:c>
      <x:c r="K1024" s="12" t="str">
        <x:f>IF('Research &amp; Analysis'!J296="","",'Research &amp; Analysis'!J296)</x:f>
      </x:c>
      <x:c r="L1024" s="2" t="str">
        <x:f>IF('Research &amp; Analysis'!K296="","",'Research &amp; Analysis'!K296)</x:f>
      </x:c>
      <x:c r="M1024" s="2" t="n">
        <x:f>'Research &amp; Analysis'!Q296</x:f>
        <x:v>1</x:v>
      </x:c>
      <x:c r="N1024" s="2" t="str">
        <x:f>'Research &amp; Analysis'!L296</x:f>
        <x:v>Not started</x:v>
      </x:c>
      <x:c r="O1024" s="2" t="str">
        <x:f>'Research &amp; Analysis'!N296</x:f>
        <x:v>RA.PL.2.2.2026.CY2</x:v>
      </x:c>
      <x:c r="P1024" s="2" t="n">
        <x:f>'Research &amp; Analysis'!O296</x:f>
        <x:v>0</x:v>
      </x:c>
      <x:c r="Q1024" s="2" t="n">
        <x:f>SUBTOTAL(103,O1024)</x:f>
        <x:v>1</x:v>
      </x:c>
      <x:c r="R1024" s="2" t="n">
        <x:f>IF(AND(M1024=1,OR(Dashboard!$B$7="All",Dashboard!$B$7='Cycles &amp; Guide'!$C$5),OR(Dashboard!$D$7="All",Dashboard!$D$7=B1024),OR(Dashboard!$F$7="All",Dashboard!$F$7=C1024),OR(Dashboard!$H$7="All",Dashboard!$H$7=D1024),OR(Dashboard!$K$7="All",Dashboard!$K$7=E1024)),1,0)</x:f>
        <x:v>1</x:v>
      </x:c>
      <x:c r="S1024" s="2" t="n">
        <x:f>IF(R1024=1,SUM($R$10:R1024),0)</x:f>
        <x:v>651</x:v>
      </x:c>
      <x:c r="T1024" s="2" t="str">
        <x:v>Research &amp; Analysis</x:v>
      </x:c>
      <x:c r="U1024" s="2" t="n">
        <x:v>296</x:v>
      </x:c>
      <x:c r="V1024" s="2" t="n">
        <x:f>IF(AND(M1024=1,P1024=0,ISNUMBER(J1024),J1024&lt;TODAY()),1,0)</x:f>
        <x:v>1</x:v>
      </x:c>
      <x:c r="W1024" s="2" t="str">
        <x:f>'Research &amp; Analysis'!M296</x:f>
        <x:v>Task</x:v>
      </x:c>
    </x:row>
    <x:row r="1025" ht="40" customHeight="1">
      <x:c r="A1025" s="3" t="str">
        <x:f>HYPERLINK("#'Research &amp; Analysis'!A297","Open")</x:f>
        <x:v>Open</x:v>
      </x:c>
      <x:c r="B1025" s="2" t="str">
        <x:f>'Research &amp; Analysis'!B297</x:f>
        <x:v>Cycle 2</x:v>
      </x:c>
      <x:c r="C1025" s="2" t="str">
        <x:f>'Research &amp; Analysis'!C297</x:f>
        <x:v>Phase 2</x:v>
      </x:c>
      <x:c r="D1025" s="2" t="str">
        <x:f>'Research &amp; Analysis'!D297</x:f>
        <x:v>PLL</x:v>
      </x:c>
      <x:c r="E1025" s="2" t="str">
        <x:v>Research &amp; Analysis</x:v>
      </x:c>
      <x:c r="F1025" s="56" t="str">
        <x:f>'Research &amp; Analysis'!E297</x:f>
        <x:v>RA.PL.2.3</x:v>
      </x:c>
      <x:c r="G1025" s="14" t="str">
        <x:f>'Research &amp; Analysis'!F297</x:f>
        <x:v>Meet with SMEs to gain business insight and clarify questions</x:v>
      </x:c>
      <x:c r="H1025" s="2" t="str">
        <x:f>IF('Research &amp; Analysis'!G297="","",'Research &amp; Analysis'!G297)</x:f>
      </x:c>
      <x:c r="I1025" s="12" t="str">
        <x:f>IF('Research &amp; Analysis'!H297="","",'Research &amp; Analysis'!H297)</x:f>
      </x:c>
      <x:c r="J1025" s="12" t="n">
        <x:f>IF('Research &amp; Analysis'!I297="","",'Research &amp; Analysis'!I297)</x:f>
        <x:v>46203</x:v>
      </x:c>
      <x:c r="K1025" s="12" t="str">
        <x:f>IF('Research &amp; Analysis'!J297="","",'Research &amp; Analysis'!J297)</x:f>
      </x:c>
      <x:c r="L1025" s="2" t="str">
        <x:f>IF('Research &amp; Analysis'!K297="","",'Research &amp; Analysis'!K297)</x:f>
      </x:c>
      <x:c r="M1025" s="2" t="n">
        <x:f>'Research &amp; Analysis'!Q297</x:f>
        <x:v>1</x:v>
      </x:c>
      <x:c r="N1025" s="2" t="str">
        <x:f>'Research &amp; Analysis'!L297</x:f>
        <x:v>Not started</x:v>
      </x:c>
      <x:c r="O1025" s="2" t="str">
        <x:f>'Research &amp; Analysis'!N297</x:f>
        <x:v>RA.PL.2.3.2026.CY2</x:v>
      </x:c>
      <x:c r="P1025" s="2" t="n">
        <x:f>'Research &amp; Analysis'!O297</x:f>
        <x:v>0</x:v>
      </x:c>
      <x:c r="Q1025" s="2" t="n">
        <x:f>SUBTOTAL(103,O1025)</x:f>
        <x:v>1</x:v>
      </x:c>
      <x:c r="R1025" s="2" t="n">
        <x:f>IF(AND(M1025=1,OR(Dashboard!$B$7="All",Dashboard!$B$7='Cycles &amp; Guide'!$C$5),OR(Dashboard!$D$7="All",Dashboard!$D$7=B1025),OR(Dashboard!$F$7="All",Dashboard!$F$7=C1025),OR(Dashboard!$H$7="All",Dashboard!$H$7=D1025),OR(Dashboard!$K$7="All",Dashboard!$K$7=E1025)),1,0)</x:f>
        <x:v>1</x:v>
      </x:c>
      <x:c r="S1025" s="2" t="n">
        <x:f>IF(R1025=1,SUM($R$10:R1025),0)</x:f>
        <x:v>652</x:v>
      </x:c>
      <x:c r="T1025" s="2" t="str">
        <x:v>Research &amp; Analysis</x:v>
      </x:c>
      <x:c r="U1025" s="2" t="n">
        <x:v>297</x:v>
      </x:c>
      <x:c r="V1025" s="2" t="n">
        <x:f>IF(AND(M1025=1,P1025=0,ISNUMBER(J1025),J1025&lt;TODAY()),1,0)</x:f>
        <x:v>1</x:v>
      </x:c>
      <x:c r="W1025" s="2" t="str">
        <x:f>'Research &amp; Analysis'!M297</x:f>
        <x:v>Task</x:v>
      </x:c>
    </x:row>
    <x:row r="1026" ht="40" customHeight="1">
      <x:c r="A1026" s="3" t="str">
        <x:f>HYPERLINK("#'Research &amp; Analysis'!A298","Open")</x:f>
        <x:v>Open</x:v>
      </x:c>
      <x:c r="B1026" s="2" t="str">
        <x:f>'Research &amp; Analysis'!B298</x:f>
        <x:v>Cycle 2</x:v>
      </x:c>
      <x:c r="C1026" s="2" t="str">
        <x:f>'Research &amp; Analysis'!C298</x:f>
        <x:v>Phase 2</x:v>
      </x:c>
      <x:c r="D1026" s="2" t="str">
        <x:f>'Research &amp; Analysis'!D298</x:f>
        <x:v>PLL</x:v>
      </x:c>
      <x:c r="E1026" s="2" t="str">
        <x:v>Research &amp; Analysis</x:v>
      </x:c>
      <x:c r="F1026" s="56" t="str">
        <x:f>'Research &amp; Analysis'!E298</x:f>
        <x:v>RA.PL.2.4</x:v>
      </x:c>
      <x:c r="G1026" s="14" t="str">
        <x:f>'Research &amp; Analysis'!F298</x:f>
        <x:v>Establish and maintain a recurring meeting with D&amp;I to discuss Cycle progress</x:v>
      </x:c>
      <x:c r="H1026" s="2" t="str">
        <x:f>IF('Research &amp; Analysis'!G298="","",'Research &amp; Analysis'!G298)</x:f>
      </x:c>
      <x:c r="I1026" s="12" t="str">
        <x:f>IF('Research &amp; Analysis'!H298="","",'Research &amp; Analysis'!H298)</x:f>
      </x:c>
      <x:c r="J1026" s="12" t="n">
        <x:f>IF('Research &amp; Analysis'!I298="","",'Research &amp; Analysis'!I298)</x:f>
        <x:v>46203</x:v>
      </x:c>
      <x:c r="K1026" s="12" t="str">
        <x:f>IF('Research &amp; Analysis'!J298="","",'Research &amp; Analysis'!J298)</x:f>
      </x:c>
      <x:c r="L1026" s="2" t="str">
        <x:f>IF('Research &amp; Analysis'!K298="","",'Research &amp; Analysis'!K298)</x:f>
      </x:c>
      <x:c r="M1026" s="2" t="n">
        <x:f>'Research &amp; Analysis'!Q298</x:f>
        <x:v>1</x:v>
      </x:c>
      <x:c r="N1026" s="2" t="str">
        <x:f>'Research &amp; Analysis'!L298</x:f>
        <x:v>Not started</x:v>
      </x:c>
      <x:c r="O1026" s="2" t="str">
        <x:f>'Research &amp; Analysis'!N298</x:f>
        <x:v>RA.PL.2.4.2026.CY2</x:v>
      </x:c>
      <x:c r="P1026" s="2" t="n">
        <x:f>'Research &amp; Analysis'!O298</x:f>
        <x:v>0</x:v>
      </x:c>
      <x:c r="Q1026" s="2" t="n">
        <x:f>SUBTOTAL(103,O1026)</x:f>
        <x:v>1</x:v>
      </x:c>
      <x:c r="R1026" s="2" t="n">
        <x:f>IF(AND(M1026=1,OR(Dashboard!$B$7="All",Dashboard!$B$7='Cycles &amp; Guide'!$C$5),OR(Dashboard!$D$7="All",Dashboard!$D$7=B1026),OR(Dashboard!$F$7="All",Dashboard!$F$7=C1026),OR(Dashboard!$H$7="All",Dashboard!$H$7=D1026),OR(Dashboard!$K$7="All",Dashboard!$K$7=E1026)),1,0)</x:f>
        <x:v>1</x:v>
      </x:c>
      <x:c r="S1026" s="2" t="n">
        <x:f>IF(R1026=1,SUM($R$10:R1026),0)</x:f>
        <x:v>653</x:v>
      </x:c>
      <x:c r="T1026" s="2" t="str">
        <x:v>Research &amp; Analysis</x:v>
      </x:c>
      <x:c r="U1026" s="2" t="n">
        <x:v>298</x:v>
      </x:c>
      <x:c r="V1026" s="2" t="n">
        <x:f>IF(AND(M1026=1,P1026=0,ISNUMBER(J1026),J1026&lt;TODAY()),1,0)</x:f>
        <x:v>1</x:v>
      </x:c>
      <x:c r="W1026" s="2" t="str">
        <x:f>'Research &amp; Analysis'!M298</x:f>
        <x:v>Task</x:v>
      </x:c>
    </x:row>
    <x:row r="1027" ht="40" customHeight="1">
      <x:c r="A1027" s="3" t="str">
        <x:f>HYPERLINK("#'Research &amp; Analysis'!A299","Open")</x:f>
        <x:v>Open</x:v>
      </x:c>
      <x:c r="B1027" s="2" t="str">
        <x:f>'Research &amp; Analysis'!B299</x:f>
        <x:v>Cycle 2</x:v>
      </x:c>
      <x:c r="C1027" s="2" t="str">
        <x:f>'Research &amp; Analysis'!C299</x:f>
        <x:v>Phase 2</x:v>
      </x:c>
      <x:c r="D1027" s="2" t="str">
        <x:f>'Research &amp; Analysis'!D299</x:f>
        <x:v>PLL</x:v>
      </x:c>
      <x:c r="E1027" s="2" t="str">
        <x:v>Research &amp; Analysis</x:v>
      </x:c>
      <x:c r="F1027" s="56" t="str">
        <x:f>'Research &amp; Analysis'!E299</x:f>
        <x:v>RA.PL.2.5</x:v>
      </x:c>
      <x:c r="G1027" s="14" t="str">
        <x:f>'Research &amp; Analysis'!F299</x:f>
        <x:v>Perform data testing and sampling</x:v>
      </x:c>
      <x:c r="H1027" s="2" t="str">
        <x:f>IF('Research &amp; Analysis'!G299="","",'Research &amp; Analysis'!G299)</x:f>
      </x:c>
      <x:c r="I1027" s="12" t="str">
        <x:f>IF('Research &amp; Analysis'!H299="","",'Research &amp; Analysis'!H299)</x:f>
      </x:c>
      <x:c r="J1027" s="12" t="n">
        <x:f>IF('Research &amp; Analysis'!I299="","",'Research &amp; Analysis'!I299)</x:f>
        <x:v>46203</x:v>
      </x:c>
      <x:c r="K1027" s="12" t="str">
        <x:f>IF('Research &amp; Analysis'!J299="","",'Research &amp; Analysis'!J299)</x:f>
      </x:c>
      <x:c r="L1027" s="2" t="str">
        <x:f>IF('Research &amp; Analysis'!K299="","",'Research &amp; Analysis'!K299)</x:f>
      </x:c>
      <x:c r="M1027" s="2" t="n">
        <x:f>'Research &amp; Analysis'!Q299</x:f>
        <x:v>1</x:v>
      </x:c>
      <x:c r="N1027" s="2" t="str">
        <x:f>'Research &amp; Analysis'!L299</x:f>
        <x:v>Not started</x:v>
      </x:c>
      <x:c r="O1027" s="2" t="str">
        <x:f>'Research &amp; Analysis'!N299</x:f>
        <x:v>RA.PL.2.5.2026.CY2</x:v>
      </x:c>
      <x:c r="P1027" s="2" t="n">
        <x:f>'Research &amp; Analysis'!O299</x:f>
        <x:v>0</x:v>
      </x:c>
      <x:c r="Q1027" s="2" t="n">
        <x:f>SUBTOTAL(103,O1027)</x:f>
        <x:v>1</x:v>
      </x:c>
      <x:c r="R1027" s="2" t="n">
        <x:f>IF(AND(M1027=1,OR(Dashboard!$B$7="All",Dashboard!$B$7='Cycles &amp; Guide'!$C$5),OR(Dashboard!$D$7="All",Dashboard!$D$7=B1027),OR(Dashboard!$F$7="All",Dashboard!$F$7=C1027),OR(Dashboard!$H$7="All",Dashboard!$H$7=D1027),OR(Dashboard!$K$7="All",Dashboard!$K$7=E1027)),1,0)</x:f>
        <x:v>1</x:v>
      </x:c>
      <x:c r="S1027" s="2" t="n">
        <x:f>IF(R1027=1,SUM($R$10:R1027),0)</x:f>
        <x:v>654</x:v>
      </x:c>
      <x:c r="T1027" s="2" t="str">
        <x:v>Research &amp; Analysis</x:v>
      </x:c>
      <x:c r="U1027" s="2" t="n">
        <x:v>299</x:v>
      </x:c>
      <x:c r="V1027" s="2" t="n">
        <x:f>IF(AND(M1027=1,P1027=0,ISNUMBER(J1027),J1027&lt;TODAY()),1,0)</x:f>
        <x:v>1</x:v>
      </x:c>
      <x:c r="W1027" s="2" t="str">
        <x:f>'Research &amp; Analysis'!M299</x:f>
        <x:v>Task</x:v>
      </x:c>
    </x:row>
    <x:row r="1028" ht="40" customHeight="1">
      <x:c r="A1028" s="3" t="str">
        <x:f>HYPERLINK("#'Research &amp; Analysis'!A300","Open")</x:f>
        <x:v>Open</x:v>
      </x:c>
      <x:c r="B1028" s="2" t="str">
        <x:f>'Research &amp; Analysis'!B300</x:f>
        <x:v>Cycle 2</x:v>
      </x:c>
      <x:c r="C1028" s="2" t="str">
        <x:f>'Research &amp; Analysis'!C300</x:f>
        <x:v>Phase 2</x:v>
      </x:c>
      <x:c r="D1028" s="2" t="str">
        <x:f>'Research &amp; Analysis'!D300</x:f>
        <x:v>PLL</x:v>
      </x:c>
      <x:c r="E1028" s="2" t="str">
        <x:v>Research &amp; Analysis</x:v>
      </x:c>
      <x:c r="F1028" s="56" t="str">
        <x:f>'Research &amp; Analysis'!E300</x:f>
        <x:v>RA.PL.2.6</x:v>
      </x:c>
      <x:c r="G1028" s="14" t="str">
        <x:f>'Research &amp; Analysis'!F300</x:f>
        <x:v>Complete Positive Testing</x:v>
      </x:c>
      <x:c r="H1028" s="2" t="str">
        <x:f>IF('Research &amp; Analysis'!G300="","",'Research &amp; Analysis'!G300)</x:f>
      </x:c>
      <x:c r="I1028" s="12" t="str">
        <x:f>IF('Research &amp; Analysis'!H300="","",'Research &amp; Analysis'!H300)</x:f>
      </x:c>
      <x:c r="J1028" s="12" t="n">
        <x:f>IF('Research &amp; Analysis'!I300="","",'Research &amp; Analysis'!I300)</x:f>
        <x:v>46203</x:v>
      </x:c>
      <x:c r="K1028" s="12" t="str">
        <x:f>IF('Research &amp; Analysis'!J300="","",'Research &amp; Analysis'!J300)</x:f>
      </x:c>
      <x:c r="L1028" s="2" t="str">
        <x:f>IF('Research &amp; Analysis'!K300="","",'Research &amp; Analysis'!K300)</x:f>
      </x:c>
      <x:c r="M1028" s="2" t="n">
        <x:f>'Research &amp; Analysis'!Q300</x:f>
        <x:v>1</x:v>
      </x:c>
      <x:c r="N1028" s="2" t="str">
        <x:f>'Research &amp; Analysis'!L300</x:f>
        <x:v>Not started</x:v>
      </x:c>
      <x:c r="O1028" s="2" t="str">
        <x:f>'Research &amp; Analysis'!N300</x:f>
        <x:v>RA.PL.2.6.2026.CY2</x:v>
      </x:c>
      <x:c r="P1028" s="2" t="n">
        <x:f>'Research &amp; Analysis'!O300</x:f>
        <x:v>0</x:v>
      </x:c>
      <x:c r="Q1028" s="2" t="n">
        <x:f>SUBTOTAL(103,O1028)</x:f>
        <x:v>1</x:v>
      </x:c>
      <x:c r="R1028" s="2" t="n">
        <x:f>IF(AND(M1028=1,OR(Dashboard!$B$7="All",Dashboard!$B$7='Cycles &amp; Guide'!$C$5),OR(Dashboard!$D$7="All",Dashboard!$D$7=B1028),OR(Dashboard!$F$7="All",Dashboard!$F$7=C1028),OR(Dashboard!$H$7="All",Dashboard!$H$7=D1028),OR(Dashboard!$K$7="All",Dashboard!$K$7=E1028)),1,0)</x:f>
        <x:v>1</x:v>
      </x:c>
      <x:c r="S1028" s="2" t="n">
        <x:f>IF(R1028=1,SUM($R$10:R1028),0)</x:f>
        <x:v>655</x:v>
      </x:c>
      <x:c r="T1028" s="2" t="str">
        <x:v>Research &amp; Analysis</x:v>
      </x:c>
      <x:c r="U1028" s="2" t="n">
        <x:v>300</x:v>
      </x:c>
      <x:c r="V1028" s="2" t="n">
        <x:f>IF(AND(M1028=1,P1028=0,ISNUMBER(J1028),J1028&lt;TODAY()),1,0)</x:f>
        <x:v>1</x:v>
      </x:c>
      <x:c r="W1028" s="2" t="str">
        <x:f>'Research &amp; Analysis'!M300</x:f>
        <x:v>Task</x:v>
      </x:c>
    </x:row>
    <x:row r="1029" ht="40" customHeight="1">
      <x:c r="A1029" s="3" t="str">
        <x:f>HYPERLINK("#'Research &amp; Analysis'!A301","Open")</x:f>
        <x:v>Open</x:v>
      </x:c>
      <x:c r="B1029" s="2" t="str">
        <x:f>'Research &amp; Analysis'!B301</x:f>
        <x:v>Cycle 2</x:v>
      </x:c>
      <x:c r="C1029" s="2" t="str">
        <x:f>'Research &amp; Analysis'!C301</x:f>
        <x:v>Phase 2</x:v>
      </x:c>
      <x:c r="D1029" s="2" t="str">
        <x:f>'Research &amp; Analysis'!D301</x:f>
        <x:v>PLL</x:v>
      </x:c>
      <x:c r="E1029" s="2" t="str">
        <x:v>Research &amp; Analysis</x:v>
      </x:c>
      <x:c r="F1029" s="56" t="str">
        <x:f>'Research &amp; Analysis'!E301</x:f>
        <x:v>RA.PL.2.7</x:v>
      </x:c>
      <x:c r="G1029" s="14" t="str">
        <x:f>'Research &amp; Analysis'!F301</x:f>
        <x:v>Complete Negative Testing</x:v>
      </x:c>
      <x:c r="H1029" s="2" t="str">
        <x:f>IF('Research &amp; Analysis'!G301="","",'Research &amp; Analysis'!G301)</x:f>
      </x:c>
      <x:c r="I1029" s="12" t="str">
        <x:f>IF('Research &amp; Analysis'!H301="","",'Research &amp; Analysis'!H301)</x:f>
      </x:c>
      <x:c r="J1029" s="12" t="n">
        <x:f>IF('Research &amp; Analysis'!I301="","",'Research &amp; Analysis'!I301)</x:f>
        <x:v>46203</x:v>
      </x:c>
      <x:c r="K1029" s="12" t="str">
        <x:f>IF('Research &amp; Analysis'!J301="","",'Research &amp; Analysis'!J301)</x:f>
      </x:c>
      <x:c r="L1029" s="2" t="str">
        <x:f>IF('Research &amp; Analysis'!K301="","",'Research &amp; Analysis'!K301)</x:f>
      </x:c>
      <x:c r="M1029" s="2" t="n">
        <x:f>'Research &amp; Analysis'!Q301</x:f>
        <x:v>1</x:v>
      </x:c>
      <x:c r="N1029" s="2" t="str">
        <x:f>'Research &amp; Analysis'!L301</x:f>
        <x:v>Not started</x:v>
      </x:c>
      <x:c r="O1029" s="2" t="str">
        <x:f>'Research &amp; Analysis'!N301</x:f>
        <x:v>RA.PL.2.7.2026.CY2</x:v>
      </x:c>
      <x:c r="P1029" s="2" t="n">
        <x:f>'Research &amp; Analysis'!O301</x:f>
        <x:v>0</x:v>
      </x:c>
      <x:c r="Q1029" s="2" t="n">
        <x:f>SUBTOTAL(103,O1029)</x:f>
        <x:v>1</x:v>
      </x:c>
      <x:c r="R1029" s="2" t="n">
        <x:f>IF(AND(M1029=1,OR(Dashboard!$B$7="All",Dashboard!$B$7='Cycles &amp; Guide'!$C$5),OR(Dashboard!$D$7="All",Dashboard!$D$7=B1029),OR(Dashboard!$F$7="All",Dashboard!$F$7=C1029),OR(Dashboard!$H$7="All",Dashboard!$H$7=D1029),OR(Dashboard!$K$7="All",Dashboard!$K$7=E1029)),1,0)</x:f>
        <x:v>1</x:v>
      </x:c>
      <x:c r="S1029" s="2" t="n">
        <x:f>IF(R1029=1,SUM($R$10:R1029),0)</x:f>
        <x:v>656</x:v>
      </x:c>
      <x:c r="T1029" s="2" t="str">
        <x:v>Research &amp; Analysis</x:v>
      </x:c>
      <x:c r="U1029" s="2" t="n">
        <x:v>301</x:v>
      </x:c>
      <x:c r="V1029" s="2" t="n">
        <x:f>IF(AND(M1029=1,P1029=0,ISNUMBER(J1029),J1029&lt;TODAY()),1,0)</x:f>
        <x:v>1</x:v>
      </x:c>
      <x:c r="W1029" s="2" t="str">
        <x:f>'Research &amp; Analysis'!M301</x:f>
        <x:v>Task</x:v>
      </x:c>
    </x:row>
    <x:row r="1030" ht="40" customHeight="1">
      <x:c r="A1030" s="3" t="str">
        <x:f>HYPERLINK("#'Research &amp; Analysis'!A302","Open")</x:f>
        <x:v>Open</x:v>
      </x:c>
      <x:c r="B1030" s="2" t="str">
        <x:f>'Research &amp; Analysis'!B302</x:f>
        <x:v>Cycle 2</x:v>
      </x:c>
      <x:c r="C1030" s="2" t="str">
        <x:f>'Research &amp; Analysis'!C302</x:f>
        <x:v>Phase 2</x:v>
      </x:c>
      <x:c r="D1030" s="2" t="str">
        <x:f>'Research &amp; Analysis'!D302</x:f>
        <x:v>PLL</x:v>
      </x:c>
      <x:c r="E1030" s="2" t="str">
        <x:v>Research &amp; Analysis</x:v>
      </x:c>
      <x:c r="F1030" s="56" t="str">
        <x:f>'Research &amp; Analysis'!E302</x:f>
        <x:v>RA.PL.2.8</x:v>
      </x:c>
      <x:c r="G1030" s="14" t="str">
        <x:f>'Research &amp; Analysis'!F302</x:f>
        <x:v>Request additional data (as needed)</x:v>
      </x:c>
      <x:c r="H1030" s="2" t="str">
        <x:f>IF('Research &amp; Analysis'!G302="","",'Research &amp; Analysis'!G302)</x:f>
      </x:c>
      <x:c r="I1030" s="12" t="str">
        <x:f>IF('Research &amp; Analysis'!H302="","",'Research &amp; Analysis'!H302)</x:f>
      </x:c>
      <x:c r="J1030" s="12" t="n">
        <x:f>IF('Research &amp; Analysis'!I302="","",'Research &amp; Analysis'!I302)</x:f>
        <x:v>46203</x:v>
      </x:c>
      <x:c r="K1030" s="12" t="str">
        <x:f>IF('Research &amp; Analysis'!J302="","",'Research &amp; Analysis'!J302)</x:f>
      </x:c>
      <x:c r="L1030" s="2" t="str">
        <x:f>IF('Research &amp; Analysis'!K302="","",'Research &amp; Analysis'!K302)</x:f>
      </x:c>
      <x:c r="M1030" s="2" t="n">
        <x:f>'Research &amp; Analysis'!Q302</x:f>
        <x:v>1</x:v>
      </x:c>
      <x:c r="N1030" s="2" t="str">
        <x:f>'Research &amp; Analysis'!L302</x:f>
        <x:v>Not started</x:v>
      </x:c>
      <x:c r="O1030" s="2" t="str">
        <x:f>'Research &amp; Analysis'!N302</x:f>
        <x:v>RA.PL.2.8.2026.CY2</x:v>
      </x:c>
      <x:c r="P1030" s="2" t="n">
        <x:f>'Research &amp; Analysis'!O302</x:f>
        <x:v>0</x:v>
      </x:c>
      <x:c r="Q1030" s="2" t="n">
        <x:f>SUBTOTAL(103,O1030)</x:f>
        <x:v>1</x:v>
      </x:c>
      <x:c r="R1030" s="2" t="n">
        <x:f>IF(AND(M1030=1,OR(Dashboard!$B$7="All",Dashboard!$B$7='Cycles &amp; Guide'!$C$5),OR(Dashboard!$D$7="All",Dashboard!$D$7=B1030),OR(Dashboard!$F$7="All",Dashboard!$F$7=C1030),OR(Dashboard!$H$7="All",Dashboard!$H$7=D1030),OR(Dashboard!$K$7="All",Dashboard!$K$7=E1030)),1,0)</x:f>
        <x:v>1</x:v>
      </x:c>
      <x:c r="S1030" s="2" t="n">
        <x:f>IF(R1030=1,SUM($R$10:R1030),0)</x:f>
        <x:v>657</x:v>
      </x:c>
      <x:c r="T1030" s="2" t="str">
        <x:v>Research &amp; Analysis</x:v>
      </x:c>
      <x:c r="U1030" s="2" t="n">
        <x:v>302</x:v>
      </x:c>
      <x:c r="V1030" s="2" t="n">
        <x:f>IF(AND(M1030=1,P1030=0,ISNUMBER(J1030),J1030&lt;TODAY()),1,0)</x:f>
        <x:v>1</x:v>
      </x:c>
      <x:c r="W1030" s="2" t="str">
        <x:f>'Research &amp; Analysis'!M302</x:f>
        <x:v>Task</x:v>
      </x:c>
    </x:row>
    <x:row r="1031" ht="40" customHeight="1">
      <x:c r="A1031" s="3" t="str">
        <x:f>HYPERLINK("#'Research &amp; Analysis'!A303","Open")</x:f>
        <x:v>Open</x:v>
      </x:c>
      <x:c r="B1031" s="2" t="str">
        <x:f>'Research &amp; Analysis'!B303</x:f>
        <x:v>Cycle 2</x:v>
      </x:c>
      <x:c r="C1031" s="2" t="str">
        <x:f>'Research &amp; Analysis'!C303</x:f>
        <x:v>Phase 2</x:v>
      </x:c>
      <x:c r="D1031" s="2" t="str">
        <x:f>'Research &amp; Analysis'!D303</x:f>
        <x:v>PLL</x:v>
      </x:c>
      <x:c r="E1031" s="2" t="str">
        <x:v>Research &amp; Analysis</x:v>
      </x:c>
      <x:c r="F1031" s="56" t="str">
        <x:f>'Research &amp; Analysis'!E303</x:f>
        <x:v>RA.PL.2.9</x:v>
      </x:c>
      <x:c r="G1031" s="14" t="str">
        <x:f>'Research &amp; Analysis'!F303</x:f>
        <x:v>Validate or disprove initial hypothesis assumptions</x:v>
      </x:c>
      <x:c r="H1031" s="2" t="str">
        <x:f>IF('Research &amp; Analysis'!G303="","",'Research &amp; Analysis'!G303)</x:f>
      </x:c>
      <x:c r="I1031" s="12" t="str">
        <x:f>IF('Research &amp; Analysis'!H303="","",'Research &amp; Analysis'!H303)</x:f>
      </x:c>
      <x:c r="J1031" s="12" t="n">
        <x:f>IF('Research &amp; Analysis'!I303="","",'Research &amp; Analysis'!I303)</x:f>
        <x:v>46203</x:v>
      </x:c>
      <x:c r="K1031" s="12" t="str">
        <x:f>IF('Research &amp; Analysis'!J303="","",'Research &amp; Analysis'!J303)</x:f>
      </x:c>
      <x:c r="L1031" s="2" t="str">
        <x:f>IF('Research &amp; Analysis'!K303="","",'Research &amp; Analysis'!K303)</x:f>
      </x:c>
      <x:c r="M1031" s="2" t="n">
        <x:f>'Research &amp; Analysis'!Q303</x:f>
        <x:v>1</x:v>
      </x:c>
      <x:c r="N1031" s="2" t="str">
        <x:f>'Research &amp; Analysis'!L303</x:f>
        <x:v>Not started</x:v>
      </x:c>
      <x:c r="O1031" s="2" t="str">
        <x:f>'Research &amp; Analysis'!N303</x:f>
        <x:v>RA.PL.2.9.2026.CY2</x:v>
      </x:c>
      <x:c r="P1031" s="2" t="n">
        <x:f>'Research &amp; Analysis'!O303</x:f>
        <x:v>0</x:v>
      </x:c>
      <x:c r="Q1031" s="2" t="n">
        <x:f>SUBTOTAL(103,O1031)</x:f>
        <x:v>1</x:v>
      </x:c>
      <x:c r="R1031" s="2" t="n">
        <x:f>IF(AND(M1031=1,OR(Dashboard!$B$7="All",Dashboard!$B$7='Cycles &amp; Guide'!$C$5),OR(Dashboard!$D$7="All",Dashboard!$D$7=B1031),OR(Dashboard!$F$7="All",Dashboard!$F$7=C1031),OR(Dashboard!$H$7="All",Dashboard!$H$7=D1031),OR(Dashboard!$K$7="All",Dashboard!$K$7=E1031)),1,0)</x:f>
        <x:v>1</x:v>
      </x:c>
      <x:c r="S1031" s="2" t="n">
        <x:f>IF(R1031=1,SUM($R$10:R1031),0)</x:f>
        <x:v>658</x:v>
      </x:c>
      <x:c r="T1031" s="2" t="str">
        <x:v>Research &amp; Analysis</x:v>
      </x:c>
      <x:c r="U1031" s="2" t="n">
        <x:v>303</x:v>
      </x:c>
      <x:c r="V1031" s="2" t="n">
        <x:f>IF(AND(M1031=1,P1031=0,ISNUMBER(J1031),J1031&lt;TODAY()),1,0)</x:f>
        <x:v>1</x:v>
      </x:c>
      <x:c r="W1031" s="2" t="str">
        <x:f>'Research &amp; Analysis'!M303</x:f>
        <x:v>Task</x:v>
      </x:c>
    </x:row>
    <x:row r="1032" ht="40" customHeight="1">
      <x:c r="A1032" s="3" t="str">
        <x:f>HYPERLINK("#'Research &amp; Analysis'!A304","Open")</x:f>
        <x:v>Open</x:v>
      </x:c>
      <x:c r="B1032" s="2" t="str">
        <x:f>'Research &amp; Analysis'!B304</x:f>
        <x:v>Cycle 2</x:v>
      </x:c>
      <x:c r="C1032" s="2" t="str">
        <x:f>'Research &amp; Analysis'!C304</x:f>
        <x:v>Phase 2</x:v>
      </x:c>
      <x:c r="D1032" s="2" t="str">
        <x:f>'Research &amp; Analysis'!D304</x:f>
        <x:v>PLL</x:v>
      </x:c>
      <x:c r="E1032" s="2" t="str">
        <x:v>Research &amp; Analysis</x:v>
      </x:c>
      <x:c r="F1032" s="56" t="str">
        <x:f>'Research &amp; Analysis'!E304</x:f>
        <x:v>RA.PL.2.10</x:v>
      </x:c>
      <x:c r="G1032" s="14" t="str">
        <x:f>'Research &amp; Analysis'!F304</x:f>
        <x:v>Identify and confirm root cause</x:v>
      </x:c>
      <x:c r="H1032" s="2" t="str">
        <x:f>IF('Research &amp; Analysis'!G304="","",'Research &amp; Analysis'!G304)</x:f>
      </x:c>
      <x:c r="I1032" s="12" t="str">
        <x:f>IF('Research &amp; Analysis'!H304="","",'Research &amp; Analysis'!H304)</x:f>
      </x:c>
      <x:c r="J1032" s="12" t="n">
        <x:f>IF('Research &amp; Analysis'!I304="","",'Research &amp; Analysis'!I304)</x:f>
        <x:v>46203</x:v>
      </x:c>
      <x:c r="K1032" s="12" t="str">
        <x:f>IF('Research &amp; Analysis'!J304="","",'Research &amp; Analysis'!J304)</x:f>
      </x:c>
      <x:c r="L1032" s="2" t="str">
        <x:f>IF('Research &amp; Analysis'!K304="","",'Research &amp; Analysis'!K304)</x:f>
      </x:c>
      <x:c r="M1032" s="2" t="n">
        <x:f>'Research &amp; Analysis'!Q304</x:f>
        <x:v>1</x:v>
      </x:c>
      <x:c r="N1032" s="2" t="str">
        <x:f>'Research &amp; Analysis'!L304</x:f>
        <x:v>Not started</x:v>
      </x:c>
      <x:c r="O1032" s="2" t="str">
        <x:f>'Research &amp; Analysis'!N304</x:f>
        <x:v>RA.PL.2.10.2026.CY2</x:v>
      </x:c>
      <x:c r="P1032" s="2" t="n">
        <x:f>'Research &amp; Analysis'!O304</x:f>
        <x:v>0</x:v>
      </x:c>
      <x:c r="Q1032" s="2" t="n">
        <x:f>SUBTOTAL(103,O1032)</x:f>
        <x:v>1</x:v>
      </x:c>
      <x:c r="R1032" s="2" t="n">
        <x:f>IF(AND(M1032=1,OR(Dashboard!$B$7="All",Dashboard!$B$7='Cycles &amp; Guide'!$C$5),OR(Dashboard!$D$7="All",Dashboard!$D$7=B1032),OR(Dashboard!$F$7="All",Dashboard!$F$7=C1032),OR(Dashboard!$H$7="All",Dashboard!$H$7=D1032),OR(Dashboard!$K$7="All",Dashboard!$K$7=E1032)),1,0)</x:f>
        <x:v>1</x:v>
      </x:c>
      <x:c r="S1032" s="2" t="n">
        <x:f>IF(R1032=1,SUM($R$10:R1032),0)</x:f>
        <x:v>659</x:v>
      </x:c>
      <x:c r="T1032" s="2" t="str">
        <x:v>Research &amp; Analysis</x:v>
      </x:c>
      <x:c r="U1032" s="2" t="n">
        <x:v>304</x:v>
      </x:c>
      <x:c r="V1032" s="2" t="n">
        <x:f>IF(AND(M1032=1,P1032=0,ISNUMBER(J1032),J1032&lt;TODAY()),1,0)</x:f>
        <x:v>1</x:v>
      </x:c>
      <x:c r="W1032" s="2" t="str">
        <x:f>'Research &amp; Analysis'!M304</x:f>
        <x:v>Task</x:v>
      </x:c>
    </x:row>
    <x:row r="1033" ht="40" customHeight="1">
      <x:c r="A1033" s="3" t="str">
        <x:f>HYPERLINK("#'Research &amp; Analysis'!A305","Open")</x:f>
        <x:v>Open</x:v>
      </x:c>
      <x:c r="B1033" s="2" t="str">
        <x:f>'Research &amp; Analysis'!B305</x:f>
        <x:v>Cycle 2</x:v>
      </x:c>
      <x:c r="C1033" s="2" t="str">
        <x:f>'Research &amp; Analysis'!C305</x:f>
        <x:v>Phase 3</x:v>
      </x:c>
      <x:c r="D1033" s="2" t="str">
        <x:f>'Research &amp; Analysis'!D305</x:f>
        <x:v>PLL</x:v>
      </x:c>
      <x:c r="E1033" s="2" t="str">
        <x:v>Research &amp; Analysis</x:v>
      </x:c>
      <x:c r="F1033" s="56" t="str">
        <x:f>'Research &amp; Analysis'!E305</x:f>
        <x:v>RA.PL.3.1</x:v>
      </x:c>
      <x:c r="G1033" s="14" t="str">
        <x:f>'Research &amp; Analysis'!F305</x:f>
        <x:v>Finalize results and supporting documentation</x:v>
      </x:c>
      <x:c r="H1033" s="2" t="str">
        <x:f>IF('Research &amp; Analysis'!G305="","",'Research &amp; Analysis'!G305)</x:f>
      </x:c>
      <x:c r="I1033" s="12" t="str">
        <x:f>IF('Research &amp; Analysis'!H305="","",'Research &amp; Analysis'!H305)</x:f>
      </x:c>
      <x:c r="J1033" s="12" t="n">
        <x:f>IF('Research &amp; Analysis'!I305="","",'Research &amp; Analysis'!I305)</x:f>
        <x:v>46203</x:v>
      </x:c>
      <x:c r="K1033" s="12" t="str">
        <x:f>IF('Research &amp; Analysis'!J305="","",'Research &amp; Analysis'!J305)</x:f>
      </x:c>
      <x:c r="L1033" s="2" t="str">
        <x:f>IF('Research &amp; Analysis'!K305="","",'Research &amp; Analysis'!K305)</x:f>
      </x:c>
      <x:c r="M1033" s="2" t="n">
        <x:f>'Research &amp; Analysis'!Q305</x:f>
        <x:v>1</x:v>
      </x:c>
      <x:c r="N1033" s="2" t="str">
        <x:f>'Research &amp; Analysis'!L305</x:f>
        <x:v>Not started</x:v>
      </x:c>
      <x:c r="O1033" s="2" t="str">
        <x:f>'Research &amp; Analysis'!N305</x:f>
        <x:v>RA.PL.3.1.2026.CY2</x:v>
      </x:c>
      <x:c r="P1033" s="2" t="n">
        <x:f>'Research &amp; Analysis'!O305</x:f>
        <x:v>0</x:v>
      </x:c>
      <x:c r="Q1033" s="2" t="n">
        <x:f>SUBTOTAL(103,O1033)</x:f>
        <x:v>1</x:v>
      </x:c>
      <x:c r="R1033" s="2" t="n">
        <x:f>IF(AND(M1033=1,OR(Dashboard!$B$7="All",Dashboard!$B$7='Cycles &amp; Guide'!$C$5),OR(Dashboard!$D$7="All",Dashboard!$D$7=B1033),OR(Dashboard!$F$7="All",Dashboard!$F$7=C1033),OR(Dashboard!$H$7="All",Dashboard!$H$7=D1033),OR(Dashboard!$K$7="All",Dashboard!$K$7=E1033)),1,0)</x:f>
        <x:v>1</x:v>
      </x:c>
      <x:c r="S1033" s="2" t="n">
        <x:f>IF(R1033=1,SUM($R$10:R1033),0)</x:f>
        <x:v>660</x:v>
      </x:c>
      <x:c r="T1033" s="2" t="str">
        <x:v>Research &amp; Analysis</x:v>
      </x:c>
      <x:c r="U1033" s="2" t="n">
        <x:v>305</x:v>
      </x:c>
      <x:c r="V1033" s="2" t="n">
        <x:f>IF(AND(M1033=1,P1033=0,ISNUMBER(J1033),J1033&lt;TODAY()),1,0)</x:f>
        <x:v>1</x:v>
      </x:c>
      <x:c r="W1033" s="2" t="str">
        <x:f>'Research &amp; Analysis'!M305</x:f>
        <x:v>Task</x:v>
      </x:c>
    </x:row>
    <x:row r="1034" ht="40" customHeight="1">
      <x:c r="A1034" s="3" t="str">
        <x:f>HYPERLINK("#'Research &amp; Analysis'!A306","Open")</x:f>
        <x:v>Open</x:v>
      </x:c>
      <x:c r="B1034" s="2" t="str">
        <x:f>'Research &amp; Analysis'!B306</x:f>
        <x:v>Cycle 2</x:v>
      </x:c>
      <x:c r="C1034" s="2" t="str">
        <x:f>'Research &amp; Analysis'!C306</x:f>
        <x:v>Phase 3</x:v>
      </x:c>
      <x:c r="D1034" s="2" t="str">
        <x:f>'Research &amp; Analysis'!D306</x:f>
        <x:v>PLL</x:v>
      </x:c>
      <x:c r="E1034" s="2" t="str">
        <x:v>Research &amp; Analysis</x:v>
      </x:c>
      <x:c r="F1034" s="56" t="str">
        <x:f>'Research &amp; Analysis'!E306</x:f>
        <x:v>RA.PL.3.2</x:v>
      </x:c>
      <x:c r="G1034" s="14" t="str">
        <x:f>'Research &amp; Analysis'!F306</x:f>
        <x:v>Maintain and update the evidence package prior to handoff to D&amp;I</x:v>
      </x:c>
      <x:c r="H1034" s="2" t="str">
        <x:f>IF('Research &amp; Analysis'!G306="","",'Research &amp; Analysis'!G306)</x:f>
      </x:c>
      <x:c r="I1034" s="12" t="str">
        <x:f>IF('Research &amp; Analysis'!H306="","",'Research &amp; Analysis'!H306)</x:f>
      </x:c>
      <x:c r="J1034" s="12" t="n">
        <x:f>IF('Research &amp; Analysis'!I306="","",'Research &amp; Analysis'!I306)</x:f>
        <x:v>46203</x:v>
      </x:c>
      <x:c r="K1034" s="12" t="str">
        <x:f>IF('Research &amp; Analysis'!J306="","",'Research &amp; Analysis'!J306)</x:f>
      </x:c>
      <x:c r="L1034" s="2" t="str">
        <x:f>IF('Research &amp; Analysis'!K306="","",'Research &amp; Analysis'!K306)</x:f>
      </x:c>
      <x:c r="M1034" s="2" t="n">
        <x:f>'Research &amp; Analysis'!Q306</x:f>
        <x:v>1</x:v>
      </x:c>
      <x:c r="N1034" s="2" t="str">
        <x:f>'Research &amp; Analysis'!L306</x:f>
        <x:v>Not started</x:v>
      </x:c>
      <x:c r="O1034" s="2" t="str">
        <x:f>'Research &amp; Analysis'!N306</x:f>
        <x:v>RA.PL.3.2.2026.CY2</x:v>
      </x:c>
      <x:c r="P1034" s="2" t="n">
        <x:f>'Research &amp; Analysis'!O306</x:f>
        <x:v>0</x:v>
      </x:c>
      <x:c r="Q1034" s="2" t="n">
        <x:f>SUBTOTAL(103,O1034)</x:f>
        <x:v>1</x:v>
      </x:c>
      <x:c r="R1034" s="2" t="n">
        <x:f>IF(AND(M1034=1,OR(Dashboard!$B$7="All",Dashboard!$B$7='Cycles &amp; Guide'!$C$5),OR(Dashboard!$D$7="All",Dashboard!$D$7=B1034),OR(Dashboard!$F$7="All",Dashboard!$F$7=C1034),OR(Dashboard!$H$7="All",Dashboard!$H$7=D1034),OR(Dashboard!$K$7="All",Dashboard!$K$7=E1034)),1,0)</x:f>
        <x:v>1</x:v>
      </x:c>
      <x:c r="S1034" s="2" t="n">
        <x:f>IF(R1034=1,SUM($R$10:R1034),0)</x:f>
        <x:v>661</x:v>
      </x:c>
      <x:c r="T1034" s="2" t="str">
        <x:v>Research &amp; Analysis</x:v>
      </x:c>
      <x:c r="U1034" s="2" t="n">
        <x:v>306</x:v>
      </x:c>
      <x:c r="V1034" s="2" t="n">
        <x:f>IF(AND(M1034=1,P1034=0,ISNUMBER(J1034),J1034&lt;TODAY()),1,0)</x:f>
        <x:v>1</x:v>
      </x:c>
      <x:c r="W1034" s="2" t="str">
        <x:f>'Research &amp; Analysis'!M306</x:f>
        <x:v>Task</x:v>
      </x:c>
    </x:row>
    <x:row r="1035" ht="40" customHeight="1">
      <x:c r="A1035" s="3" t="str">
        <x:f>HYPERLINK("#'Research &amp; Analysis'!A307","Open")</x:f>
        <x:v>Open</x:v>
      </x:c>
      <x:c r="B1035" s="2" t="str">
        <x:f>'Research &amp; Analysis'!B307</x:f>
        <x:v>Cycle 2</x:v>
      </x:c>
      <x:c r="C1035" s="2" t="str">
        <x:f>'Research &amp; Analysis'!C307</x:f>
        <x:v>Phase 3</x:v>
      </x:c>
      <x:c r="D1035" s="2" t="str">
        <x:f>'Research &amp; Analysis'!D307</x:f>
        <x:v>PLL</x:v>
      </x:c>
      <x:c r="E1035" s="2" t="str">
        <x:v>Research &amp; Analysis</x:v>
      </x:c>
      <x:c r="F1035" s="56" t="str">
        <x:f>'Research &amp; Analysis'!E307</x:f>
        <x:v>RA.PL.3.3</x:v>
      </x:c>
      <x:c r="G1035" s="14" t="str">
        <x:f>'Research &amp; Analysis'!F307</x:f>
        <x:v>Address any outstanding questions or requests from D&amp;I</x:v>
      </x:c>
      <x:c r="H1035" s="2" t="str">
        <x:f>IF('Research &amp; Analysis'!G307="","",'Research &amp; Analysis'!G307)</x:f>
      </x:c>
      <x:c r="I1035" s="12" t="str">
        <x:f>IF('Research &amp; Analysis'!H307="","",'Research &amp; Analysis'!H307)</x:f>
      </x:c>
      <x:c r="J1035" s="12" t="n">
        <x:f>IF('Research &amp; Analysis'!I307="","",'Research &amp; Analysis'!I307)</x:f>
        <x:v>46203</x:v>
      </x:c>
      <x:c r="K1035" s="12" t="str">
        <x:f>IF('Research &amp; Analysis'!J307="","",'Research &amp; Analysis'!J307)</x:f>
      </x:c>
      <x:c r="L1035" s="2" t="str">
        <x:f>IF('Research &amp; Analysis'!K307="","",'Research &amp; Analysis'!K307)</x:f>
      </x:c>
      <x:c r="M1035" s="2" t="n">
        <x:f>'Research &amp; Analysis'!Q307</x:f>
        <x:v>1</x:v>
      </x:c>
      <x:c r="N1035" s="2" t="str">
        <x:f>'Research &amp; Analysis'!L307</x:f>
        <x:v>Not started</x:v>
      </x:c>
      <x:c r="O1035" s="2" t="str">
        <x:f>'Research &amp; Analysis'!N307</x:f>
        <x:v>RA.PL.3.3.2026.CY2</x:v>
      </x:c>
      <x:c r="P1035" s="2" t="n">
        <x:f>'Research &amp; Analysis'!O307</x:f>
        <x:v>0</x:v>
      </x:c>
      <x:c r="Q1035" s="2" t="n">
        <x:f>SUBTOTAL(103,O1035)</x:f>
        <x:v>1</x:v>
      </x:c>
      <x:c r="R1035" s="2" t="n">
        <x:f>IF(AND(M1035=1,OR(Dashboard!$B$7="All",Dashboard!$B$7='Cycles &amp; Guide'!$C$5),OR(Dashboard!$D$7="All",Dashboard!$D$7=B1035),OR(Dashboard!$F$7="All",Dashboard!$F$7=C1035),OR(Dashboard!$H$7="All",Dashboard!$H$7=D1035),OR(Dashboard!$K$7="All",Dashboard!$K$7=E1035)),1,0)</x:f>
        <x:v>1</x:v>
      </x:c>
      <x:c r="S1035" s="2" t="n">
        <x:f>IF(R1035=1,SUM($R$10:R1035),0)</x:f>
        <x:v>662</x:v>
      </x:c>
      <x:c r="T1035" s="2" t="str">
        <x:v>Research &amp; Analysis</x:v>
      </x:c>
      <x:c r="U1035" s="2" t="n">
        <x:v>307</x:v>
      </x:c>
      <x:c r="V1035" s="2" t="n">
        <x:f>IF(AND(M1035=1,P1035=0,ISNUMBER(J1035),J1035&lt;TODAY()),1,0)</x:f>
        <x:v>1</x:v>
      </x:c>
      <x:c r="W1035" s="2" t="str">
        <x:f>'Research &amp; Analysis'!M307</x:f>
        <x:v>Task</x:v>
      </x:c>
    </x:row>
    <x:row r="1036" ht="40" customHeight="1">
      <x:c r="A1036" s="3" t="str">
        <x:f>HYPERLINK("#'Research &amp; Analysis'!A308","Open")</x:f>
        <x:v>Open</x:v>
      </x:c>
      <x:c r="B1036" s="2" t="str">
        <x:f>'Research &amp; Analysis'!B308</x:f>
        <x:v>Cycle 2</x:v>
      </x:c>
      <x:c r="C1036" s="2" t="str">
        <x:f>'Research &amp; Analysis'!C308</x:f>
        <x:v>Phase 3</x:v>
      </x:c>
      <x:c r="D1036" s="2" t="str">
        <x:f>'Research &amp; Analysis'!D308</x:f>
        <x:v>PLL</x:v>
      </x:c>
      <x:c r="E1036" s="2" t="str">
        <x:v>Research &amp; Analysis</x:v>
      </x:c>
      <x:c r="F1036" s="56" t="str">
        <x:f>'Research &amp; Analysis'!E308</x:f>
        <x:v>RA.PL.3.4</x:v>
      </x:c>
      <x:c r="G1036" s="14" t="str">
        <x:f>'Research &amp; Analysis'!F308</x:f>
        <x:v>Attend Forum meeting with D&amp;I to assist with answering stakeholder questions (as needed)</x:v>
      </x:c>
      <x:c r="H1036" s="2" t="str">
        <x:f>IF('Research &amp; Analysis'!G308="","",'Research &amp; Analysis'!G308)</x:f>
      </x:c>
      <x:c r="I1036" s="12" t="str">
        <x:f>IF('Research &amp; Analysis'!H308="","",'Research &amp; Analysis'!H308)</x:f>
      </x:c>
      <x:c r="J1036" s="12" t="str">
        <x:f>IF('Research &amp; Analysis'!I308="","",'Research &amp; Analysis'!I308)</x:f>
      </x:c>
      <x:c r="K1036" s="12" t="str">
        <x:f>IF('Research &amp; Analysis'!J308="","",'Research &amp; Analysis'!J308)</x:f>
      </x:c>
      <x:c r="L1036" s="2" t="str">
        <x:f>IF('Research &amp; Analysis'!K308="","",'Research &amp; Analysis'!K308)</x:f>
      </x:c>
      <x:c r="M1036" s="2" t="n">
        <x:f>'Research &amp; Analysis'!Q308</x:f>
        <x:v>1</x:v>
      </x:c>
      <x:c r="N1036" s="2" t="str">
        <x:f>'Research &amp; Analysis'!L308</x:f>
        <x:v>Not started</x:v>
      </x:c>
      <x:c r="O1036" s="2" t="str">
        <x:f>'Research &amp; Analysis'!N308</x:f>
        <x:v>RA.PL.3.4.2026.CY2</x:v>
      </x:c>
      <x:c r="P1036" s="2" t="n">
        <x:f>'Research &amp; Analysis'!O308</x:f>
        <x:v>0</x:v>
      </x:c>
      <x:c r="Q1036" s="2" t="n">
        <x:f>SUBTOTAL(103,O1036)</x:f>
        <x:v>1</x:v>
      </x:c>
      <x:c r="R1036" s="2" t="n">
        <x:f>IF(AND(M1036=1,OR(Dashboard!$B$7="All",Dashboard!$B$7='Cycles &amp; Guide'!$C$5),OR(Dashboard!$D$7="All",Dashboard!$D$7=B1036),OR(Dashboard!$F$7="All",Dashboard!$F$7=C1036),OR(Dashboard!$H$7="All",Dashboard!$H$7=D1036),OR(Dashboard!$K$7="All",Dashboard!$K$7=E1036)),1,0)</x:f>
        <x:v>1</x:v>
      </x:c>
      <x:c r="S1036" s="2" t="n">
        <x:f>IF(R1036=1,SUM($R$10:R1036),0)</x:f>
        <x:v>663</x:v>
      </x:c>
      <x:c r="T1036" s="2" t="str">
        <x:v>Research &amp; Analysis</x:v>
      </x:c>
      <x:c r="U1036" s="2" t="n">
        <x:v>308</x:v>
      </x:c>
      <x:c r="V1036" s="2" t="n">
        <x:f>IF(AND(M1036=1,P1036=0,ISNUMBER(J1036),J1036&lt;TODAY()),1,0)</x:f>
        <x:v>0</x:v>
      </x:c>
      <x:c r="W1036" s="2" t="str">
        <x:f>'Research &amp; Analysis'!M308</x:f>
        <x:v>Task</x:v>
      </x:c>
    </x:row>
    <x:row r="1037" ht="40" customHeight="1">
      <x:c r="A1037" s="3" t="str">
        <x:f>HYPERLINK("#'Research &amp; Analysis'!A309","Open")</x:f>
        <x:v>Open</x:v>
      </x:c>
      <x:c r="B1037" s="2" t="str">
        <x:f>'Research &amp; Analysis'!B309</x:f>
        <x:v>Cycle 2</x:v>
      </x:c>
      <x:c r="C1037" s="2" t="str">
        <x:f>'Research &amp; Analysis'!C309</x:f>
        <x:v>Phase 1</x:v>
      </x:c>
      <x:c r="D1037" s="2" t="str">
        <x:f>'Research &amp; Analysis'!D309</x:f>
        <x:v>Retail Services</x:v>
      </x:c>
      <x:c r="E1037" s="2" t="str">
        <x:v>Research &amp; Analysis</x:v>
      </x:c>
      <x:c r="F1037" s="56" t="str">
        <x:f>'Research &amp; Analysis'!E309</x:f>
        <x:v>RA.RS.1.1</x:v>
      </x:c>
      <x:c r="G1037" s="14" t="str">
        <x:f>'Research &amp; Analysis'!F309</x:f>
        <x:v>Begin Research process 2 weeks prior to Cycle start</x:v>
      </x:c>
      <x:c r="H1037" s="2" t="str">
        <x:f>IF('Research &amp; Analysis'!G309="","",'Research &amp; Analysis'!G309)</x:f>
      </x:c>
      <x:c r="I1037" s="12" t="str">
        <x:f>IF('Research &amp; Analysis'!H309="","",'Research &amp; Analysis'!H309)</x:f>
      </x:c>
      <x:c r="J1037" s="12" t="n">
        <x:f>IF('Research &amp; Analysis'!I309="","",'Research &amp; Analysis'!I309)</x:f>
        <x:v>46099</x:v>
      </x:c>
      <x:c r="K1037" s="12" t="str">
        <x:f>IF('Research &amp; Analysis'!J309="","",'Research &amp; Analysis'!J309)</x:f>
      </x:c>
      <x:c r="L1037" s="2" t="str">
        <x:f>IF('Research &amp; Analysis'!K309="","",'Research &amp; Analysis'!K309)</x:f>
      </x:c>
      <x:c r="M1037" s="2" t="n">
        <x:f>'Research &amp; Analysis'!Q309</x:f>
        <x:v>1</x:v>
      </x:c>
      <x:c r="N1037" s="2" t="str">
        <x:f>'Research &amp; Analysis'!L309</x:f>
        <x:v>Not started</x:v>
      </x:c>
      <x:c r="O1037" s="2" t="str">
        <x:f>'Research &amp; Analysis'!N309</x:f>
        <x:v>RA.RS.1.1.2026.CY2</x:v>
      </x:c>
      <x:c r="P1037" s="2" t="n">
        <x:f>'Research &amp; Analysis'!O309</x:f>
        <x:v>0</x:v>
      </x:c>
      <x:c r="Q1037" s="2" t="n">
        <x:f>SUBTOTAL(103,O1037)</x:f>
        <x:v>1</x:v>
      </x:c>
      <x:c r="R1037" s="2" t="n">
        <x:f>IF(AND(M1037=1,OR(Dashboard!$B$7="All",Dashboard!$B$7='Cycles &amp; Guide'!$C$5),OR(Dashboard!$D$7="All",Dashboard!$D$7=B1037),OR(Dashboard!$F$7="All",Dashboard!$F$7=C1037),OR(Dashboard!$H$7="All",Dashboard!$H$7=D1037),OR(Dashboard!$K$7="All",Dashboard!$K$7=E1037)),1,0)</x:f>
        <x:v>1</x:v>
      </x:c>
      <x:c r="S1037" s="2" t="n">
        <x:f>IF(R1037=1,SUM($R$10:R1037),0)</x:f>
        <x:v>664</x:v>
      </x:c>
      <x:c r="T1037" s="2" t="str">
        <x:v>Research &amp; Analysis</x:v>
      </x:c>
      <x:c r="U1037" s="2" t="n">
        <x:v>309</x:v>
      </x:c>
      <x:c r="V1037" s="2" t="n">
        <x:f>IF(AND(M1037=1,P1037=0,ISNUMBER(J1037),J1037&lt;TODAY()),1,0)</x:f>
        <x:v>1</x:v>
      </x:c>
      <x:c r="W1037" s="2" t="str">
        <x:f>'Research &amp; Analysis'!M309</x:f>
        <x:v>Task</x:v>
      </x:c>
    </x:row>
    <x:row r="1038" ht="40" customHeight="1">
      <x:c r="A1038" s="3" t="str">
        <x:f>HYPERLINK("#'Research &amp; Analysis'!A310","Open")</x:f>
        <x:v>Open</x:v>
      </x:c>
      <x:c r="B1038" s="2" t="str">
        <x:f>'Research &amp; Analysis'!B310</x:f>
        <x:v>Cycle 2</x:v>
      </x:c>
      <x:c r="C1038" s="2" t="str">
        <x:f>'Research &amp; Analysis'!C310</x:f>
        <x:v>Phase 1</x:v>
      </x:c>
      <x:c r="D1038" s="2" t="str">
        <x:f>'Research &amp; Analysis'!D310</x:f>
        <x:v>Retail Services</x:v>
      </x:c>
      <x:c r="E1038" s="2" t="str">
        <x:v>Research &amp; Analysis</x:v>
      </x:c>
      <x:c r="F1038" s="56" t="str">
        <x:f>'Research &amp; Analysis'!E310</x:f>
        <x:v>RA.RS.1.2</x:v>
      </x:c>
      <x:c r="G1038" s="14" t="str">
        <x:f>'Research &amp; Analysis'!F310</x:f>
        <x:v>Conduct initial assessment of each topic recommendation from SharePoint list</x:v>
      </x:c>
      <x:c r="H1038" s="2" t="str">
        <x:f>IF('Research &amp; Analysis'!G310="","",'Research &amp; Analysis'!G310)</x:f>
      </x:c>
      <x:c r="I1038" s="12" t="str">
        <x:f>IF('Research &amp; Analysis'!H310="","",'Research &amp; Analysis'!H310)</x:f>
      </x:c>
      <x:c r="J1038" s="12" t="n">
        <x:f>IF('Research &amp; Analysis'!I310="","",'Research &amp; Analysis'!I310)</x:f>
        <x:v>46203</x:v>
      </x:c>
      <x:c r="K1038" s="12" t="str">
        <x:f>IF('Research &amp; Analysis'!J310="","",'Research &amp; Analysis'!J310)</x:f>
      </x:c>
      <x:c r="L1038" s="2" t="str">
        <x:f>IF('Research &amp; Analysis'!K310="","",'Research &amp; Analysis'!K310)</x:f>
      </x:c>
      <x:c r="M1038" s="2" t="n">
        <x:f>'Research &amp; Analysis'!Q310</x:f>
        <x:v>1</x:v>
      </x:c>
      <x:c r="N1038" s="2" t="str">
        <x:f>'Research &amp; Analysis'!L310</x:f>
        <x:v>Not started</x:v>
      </x:c>
      <x:c r="O1038" s="2" t="str">
        <x:f>'Research &amp; Analysis'!N310</x:f>
        <x:v>RA.RS.1.2.2026.CY2</x:v>
      </x:c>
      <x:c r="P1038" s="2" t="n">
        <x:f>'Research &amp; Analysis'!O310</x:f>
        <x:v>0</x:v>
      </x:c>
      <x:c r="Q1038" s="2" t="n">
        <x:f>SUBTOTAL(103,O1038)</x:f>
        <x:v>1</x:v>
      </x:c>
      <x:c r="R1038" s="2" t="n">
        <x:f>IF(AND(M1038=1,OR(Dashboard!$B$7="All",Dashboard!$B$7='Cycles &amp; Guide'!$C$5),OR(Dashboard!$D$7="All",Dashboard!$D$7=B1038),OR(Dashboard!$F$7="All",Dashboard!$F$7=C1038),OR(Dashboard!$H$7="All",Dashboard!$H$7=D1038),OR(Dashboard!$K$7="All",Dashboard!$K$7=E1038)),1,0)</x:f>
        <x:v>1</x:v>
      </x:c>
      <x:c r="S1038" s="2" t="n">
        <x:f>IF(R1038=1,SUM($R$10:R1038),0)</x:f>
        <x:v>665</x:v>
      </x:c>
      <x:c r="T1038" s="2" t="str">
        <x:v>Research &amp; Analysis</x:v>
      </x:c>
      <x:c r="U1038" s="2" t="n">
        <x:v>310</x:v>
      </x:c>
      <x:c r="V1038" s="2" t="n">
        <x:f>IF(AND(M1038=1,P1038=0,ISNUMBER(J1038),J1038&lt;TODAY()),1,0)</x:f>
        <x:v>1</x:v>
      </x:c>
      <x:c r="W1038" s="2" t="str">
        <x:f>'Research &amp; Analysis'!M310</x:f>
        <x:v>Task</x:v>
      </x:c>
    </x:row>
    <x:row r="1039" ht="40" customHeight="1">
      <x:c r="A1039" s="3" t="str">
        <x:f>HYPERLINK("#'Research &amp; Analysis'!A311","Open")</x:f>
        <x:v>Open</x:v>
      </x:c>
      <x:c r="B1039" s="2" t="str">
        <x:f>'Research &amp; Analysis'!B311</x:f>
        <x:v>Cycle 2</x:v>
      </x:c>
      <x:c r="C1039" s="2" t="str">
        <x:f>'Research &amp; Analysis'!C311</x:f>
        <x:v>Phase 1</x:v>
      </x:c>
      <x:c r="D1039" s="2" t="str">
        <x:f>'Research &amp; Analysis'!D311</x:f>
        <x:v>Retail Services</x:v>
      </x:c>
      <x:c r="E1039" s="2" t="str">
        <x:v>Research &amp; Analysis</x:v>
      </x:c>
      <x:c r="F1039" s="56" t="str">
        <x:f>'Research &amp; Analysis'!E311</x:f>
        <x:v>RA.RS.1.3</x:v>
      </x:c>
      <x:c r="G1039" s="14" t="str">
        <x:f>'Research &amp; Analysis'!F311</x:f>
        <x:v>Identify best topic for Cycle</x:v>
      </x:c>
      <x:c r="H1039" s="2" t="str">
        <x:f>IF('Research &amp; Analysis'!G311="","",'Research &amp; Analysis'!G311)</x:f>
      </x:c>
      <x:c r="I1039" s="12" t="str">
        <x:f>IF('Research &amp; Analysis'!H311="","",'Research &amp; Analysis'!H311)</x:f>
      </x:c>
      <x:c r="J1039" s="12" t="n">
        <x:f>IF('Research &amp; Analysis'!I311="","",'Research &amp; Analysis'!I311)</x:f>
        <x:v>46203</x:v>
      </x:c>
      <x:c r="K1039" s="12" t="str">
        <x:f>IF('Research &amp; Analysis'!J311="","",'Research &amp; Analysis'!J311)</x:f>
      </x:c>
      <x:c r="L1039" s="2" t="str">
        <x:f>IF('Research &amp; Analysis'!K311="","",'Research &amp; Analysis'!K311)</x:f>
      </x:c>
      <x:c r="M1039" s="2" t="n">
        <x:f>'Research &amp; Analysis'!Q311</x:f>
        <x:v>1</x:v>
      </x:c>
      <x:c r="N1039" s="2" t="str">
        <x:f>'Research &amp; Analysis'!L311</x:f>
        <x:v>Not started</x:v>
      </x:c>
      <x:c r="O1039" s="2" t="str">
        <x:f>'Research &amp; Analysis'!N311</x:f>
        <x:v>RA.RS.1.3.2026.CY2</x:v>
      </x:c>
      <x:c r="P1039" s="2" t="n">
        <x:f>'Research &amp; Analysis'!O311</x:f>
        <x:v>0</x:v>
      </x:c>
      <x:c r="Q1039" s="2" t="n">
        <x:f>SUBTOTAL(103,O1039)</x:f>
        <x:v>1</x:v>
      </x:c>
      <x:c r="R1039" s="2" t="n">
        <x:f>IF(AND(M1039=1,OR(Dashboard!$B$7="All",Dashboard!$B$7='Cycles &amp; Guide'!$C$5),OR(Dashboard!$D$7="All",Dashboard!$D$7=B1039),OR(Dashboard!$F$7="All",Dashboard!$F$7=C1039),OR(Dashboard!$H$7="All",Dashboard!$H$7=D1039),OR(Dashboard!$K$7="All",Dashboard!$K$7=E1039)),1,0)</x:f>
        <x:v>1</x:v>
      </x:c>
      <x:c r="S1039" s="2" t="n">
        <x:f>IF(R1039=1,SUM($R$10:R1039),0)</x:f>
        <x:v>666</x:v>
      </x:c>
      <x:c r="T1039" s="2" t="str">
        <x:v>Research &amp; Analysis</x:v>
      </x:c>
      <x:c r="U1039" s="2" t="n">
        <x:v>311</x:v>
      </x:c>
      <x:c r="V1039" s="2" t="n">
        <x:f>IF(AND(M1039=1,P1039=0,ISNUMBER(J1039),J1039&lt;TODAY()),1,0)</x:f>
        <x:v>1</x:v>
      </x:c>
      <x:c r="W1039" s="2" t="str">
        <x:f>'Research &amp; Analysis'!M311</x:f>
        <x:v>Task</x:v>
      </x:c>
    </x:row>
    <x:row r="1040" ht="40" customHeight="1">
      <x:c r="A1040" s="3" t="str">
        <x:f>HYPERLINK("#'Research &amp; Analysis'!A312","Open")</x:f>
        <x:v>Open</x:v>
      </x:c>
      <x:c r="B1040" s="2" t="str">
        <x:f>'Research &amp; Analysis'!B312</x:f>
        <x:v>Cycle 2</x:v>
      </x:c>
      <x:c r="C1040" s="2" t="str">
        <x:f>'Research &amp; Analysis'!C312</x:f>
        <x:v>Phase 1</x:v>
      </x:c>
      <x:c r="D1040" s="2" t="str">
        <x:f>'Research &amp; Analysis'!D312</x:f>
        <x:v>Retail Services</x:v>
      </x:c>
      <x:c r="E1040" s="2" t="str">
        <x:v>Research &amp; Analysis</x:v>
      </x:c>
      <x:c r="F1040" s="56" t="str">
        <x:f>'Research &amp; Analysis'!E312</x:f>
        <x:v>RA.RS.1.4</x:v>
      </x:c>
      <x:c r="G1040" s="14" t="str">
        <x:f>'Research &amp; Analysis'!F312</x:f>
        <x:v>Identify backup topic for Cycle</x:v>
      </x:c>
      <x:c r="H1040" s="2" t="str">
        <x:f>IF('Research &amp; Analysis'!G312="","",'Research &amp; Analysis'!G312)</x:f>
      </x:c>
      <x:c r="I1040" s="12" t="str">
        <x:f>IF('Research &amp; Analysis'!H312="","",'Research &amp; Analysis'!H312)</x:f>
      </x:c>
      <x:c r="J1040" s="12" t="n">
        <x:f>IF('Research &amp; Analysis'!I312="","",'Research &amp; Analysis'!I312)</x:f>
        <x:v>46203</x:v>
      </x:c>
      <x:c r="K1040" s="12" t="str">
        <x:f>IF('Research &amp; Analysis'!J312="","",'Research &amp; Analysis'!J312)</x:f>
      </x:c>
      <x:c r="L1040" s="2" t="str">
        <x:f>IF('Research &amp; Analysis'!K312="","",'Research &amp; Analysis'!K312)</x:f>
      </x:c>
      <x:c r="M1040" s="2" t="n">
        <x:f>'Research &amp; Analysis'!Q312</x:f>
        <x:v>1</x:v>
      </x:c>
      <x:c r="N1040" s="2" t="str">
        <x:f>'Research &amp; Analysis'!L312</x:f>
        <x:v>Not started</x:v>
      </x:c>
      <x:c r="O1040" s="2" t="str">
        <x:f>'Research &amp; Analysis'!N312</x:f>
        <x:v>RA.RS.1.4.2026.CY2</x:v>
      </x:c>
      <x:c r="P1040" s="2" t="n">
        <x:f>'Research &amp; Analysis'!O312</x:f>
        <x:v>0</x:v>
      </x:c>
      <x:c r="Q1040" s="2" t="n">
        <x:f>SUBTOTAL(103,O1040)</x:f>
        <x:v>1</x:v>
      </x:c>
      <x:c r="R1040" s="2" t="n">
        <x:f>IF(AND(M1040=1,OR(Dashboard!$B$7="All",Dashboard!$B$7='Cycles &amp; Guide'!$C$5),OR(Dashboard!$D$7="All",Dashboard!$D$7=B1040),OR(Dashboard!$F$7="All",Dashboard!$F$7=C1040),OR(Dashboard!$H$7="All",Dashboard!$H$7=D1040),OR(Dashboard!$K$7="All",Dashboard!$K$7=E1040)),1,0)</x:f>
        <x:v>1</x:v>
      </x:c>
      <x:c r="S1040" s="2" t="n">
        <x:f>IF(R1040=1,SUM($R$10:R1040),0)</x:f>
        <x:v>667</x:v>
      </x:c>
      <x:c r="T1040" s="2" t="str">
        <x:v>Research &amp; Analysis</x:v>
      </x:c>
      <x:c r="U1040" s="2" t="n">
        <x:v>312</x:v>
      </x:c>
      <x:c r="V1040" s="2" t="n">
        <x:f>IF(AND(M1040=1,P1040=0,ISNUMBER(J1040),J1040&lt;TODAY()),1,0)</x:f>
        <x:v>1</x:v>
      </x:c>
      <x:c r="W1040" s="2" t="str">
        <x:f>'Research &amp; Analysis'!M312</x:f>
        <x:v>Task</x:v>
      </x:c>
    </x:row>
    <x:row r="1041" ht="40" customHeight="1">
      <x:c r="A1041" s="3" t="str">
        <x:f>HYPERLINK("#'Research &amp; Analysis'!A313","Open")</x:f>
        <x:v>Open</x:v>
      </x:c>
      <x:c r="B1041" s="2" t="str">
        <x:f>'Research &amp; Analysis'!B313</x:f>
        <x:v>Cycle 2</x:v>
      </x:c>
      <x:c r="C1041" s="2" t="str">
        <x:f>'Research &amp; Analysis'!C313</x:f>
        <x:v>Phase 1</x:v>
      </x:c>
      <x:c r="D1041" s="2" t="str">
        <x:f>'Research &amp; Analysis'!D313</x:f>
        <x:v>Retail Services</x:v>
      </x:c>
      <x:c r="E1041" s="2" t="str">
        <x:v>Research &amp; Analysis</x:v>
      </x:c>
      <x:c r="F1041" s="56" t="str">
        <x:f>'Research &amp; Analysis'!E313</x:f>
        <x:v>RA.RS.1.5</x:v>
      </x:c>
      <x:c r="G1041" s="14" t="str">
        <x:f>'Research &amp; Analysis'!F313</x:f>
        <x:v>Schedule topic approval meeting with D&amp;I and management</x:v>
      </x:c>
      <x:c r="H1041" s="2" t="str">
        <x:f>IF('Research &amp; Analysis'!G313="","",'Research &amp; Analysis'!G313)</x:f>
      </x:c>
      <x:c r="I1041" s="12" t="str">
        <x:f>IF('Research &amp; Analysis'!H313="","",'Research &amp; Analysis'!H313)</x:f>
      </x:c>
      <x:c r="J1041" s="12" t="n">
        <x:f>IF('Research &amp; Analysis'!I313="","",'Research &amp; Analysis'!I313)</x:f>
        <x:v>46203</x:v>
      </x:c>
      <x:c r="K1041" s="12" t="str">
        <x:f>IF('Research &amp; Analysis'!J313="","",'Research &amp; Analysis'!J313)</x:f>
      </x:c>
      <x:c r="L1041" s="2" t="str">
        <x:f>IF('Research &amp; Analysis'!K313="","",'Research &amp; Analysis'!K313)</x:f>
      </x:c>
      <x:c r="M1041" s="2" t="n">
        <x:f>'Research &amp; Analysis'!Q313</x:f>
        <x:v>1</x:v>
      </x:c>
      <x:c r="N1041" s="2" t="str">
        <x:f>'Research &amp; Analysis'!L313</x:f>
        <x:v>Not started</x:v>
      </x:c>
      <x:c r="O1041" s="2" t="str">
        <x:f>'Research &amp; Analysis'!N313</x:f>
        <x:v>RA.RS.1.5.2026.CY2</x:v>
      </x:c>
      <x:c r="P1041" s="2" t="n">
        <x:f>'Research &amp; Analysis'!O313</x:f>
        <x:v>0</x:v>
      </x:c>
      <x:c r="Q1041" s="2" t="n">
        <x:f>SUBTOTAL(103,O1041)</x:f>
        <x:v>1</x:v>
      </x:c>
      <x:c r="R1041" s="2" t="n">
        <x:f>IF(AND(M1041=1,OR(Dashboard!$B$7="All",Dashboard!$B$7='Cycles &amp; Guide'!$C$5),OR(Dashboard!$D$7="All",Dashboard!$D$7=B1041),OR(Dashboard!$F$7="All",Dashboard!$F$7=C1041),OR(Dashboard!$H$7="All",Dashboard!$H$7=D1041),OR(Dashboard!$K$7="All",Dashboard!$K$7=E1041)),1,0)</x:f>
        <x:v>1</x:v>
      </x:c>
      <x:c r="S1041" s="2" t="n">
        <x:f>IF(R1041=1,SUM($R$10:R1041),0)</x:f>
        <x:v>668</x:v>
      </x:c>
      <x:c r="T1041" s="2" t="str">
        <x:v>Research &amp; Analysis</x:v>
      </x:c>
      <x:c r="U1041" s="2" t="n">
        <x:v>313</x:v>
      </x:c>
      <x:c r="V1041" s="2" t="n">
        <x:f>IF(AND(M1041=1,P1041=0,ISNUMBER(J1041),J1041&lt;TODAY()),1,0)</x:f>
        <x:v>1</x:v>
      </x:c>
      <x:c r="W1041" s="2" t="str">
        <x:f>'Research &amp; Analysis'!M313</x:f>
        <x:v>Task</x:v>
      </x:c>
    </x:row>
    <x:row r="1042" ht="40" customHeight="1">
      <x:c r="A1042" s="3" t="str">
        <x:f>HYPERLINK("#'Research &amp; Analysis'!A314","Open")</x:f>
        <x:v>Open</x:v>
      </x:c>
      <x:c r="B1042" s="2" t="str">
        <x:f>'Research &amp; Analysis'!B314</x:f>
        <x:v>Cycle 2</x:v>
      </x:c>
      <x:c r="C1042" s="2" t="str">
        <x:f>'Research &amp; Analysis'!C314</x:f>
        <x:v>Phase 1</x:v>
      </x:c>
      <x:c r="D1042" s="2" t="str">
        <x:f>'Research &amp; Analysis'!D314</x:f>
        <x:v>Retail Services</x:v>
      </x:c>
      <x:c r="E1042" s="2" t="str">
        <x:v>Research &amp; Analysis</x:v>
      </x:c>
      <x:c r="F1042" s="56" t="str">
        <x:f>'Research &amp; Analysis'!E314</x:f>
        <x:v>RA.RS.1.6</x:v>
      </x:c>
      <x:c r="G1042" s="14" t="str">
        <x:f>'Research &amp; Analysis'!F314</x:f>
        <x:v>Present recommended topic to D&amp;I and management for approval</x:v>
      </x:c>
      <x:c r="H1042" s="2" t="str">
        <x:f>IF('Research &amp; Analysis'!G314="","",'Research &amp; Analysis'!G314)</x:f>
      </x:c>
      <x:c r="I1042" s="12" t="str">
        <x:f>IF('Research &amp; Analysis'!H314="","",'Research &amp; Analysis'!H314)</x:f>
      </x:c>
      <x:c r="J1042" s="12" t="n">
        <x:f>IF('Research &amp; Analysis'!I314="","",'Research &amp; Analysis'!I314)</x:f>
        <x:v>46203</x:v>
      </x:c>
      <x:c r="K1042" s="12" t="str">
        <x:f>IF('Research &amp; Analysis'!J314="","",'Research &amp; Analysis'!J314)</x:f>
      </x:c>
      <x:c r="L1042" s="2" t="str">
        <x:f>IF('Research &amp; Analysis'!K314="","",'Research &amp; Analysis'!K314)</x:f>
      </x:c>
      <x:c r="M1042" s="2" t="n">
        <x:f>'Research &amp; Analysis'!Q314</x:f>
        <x:v>1</x:v>
      </x:c>
      <x:c r="N1042" s="2" t="str">
        <x:f>'Research &amp; Analysis'!L314</x:f>
        <x:v>Not started</x:v>
      </x:c>
      <x:c r="O1042" s="2" t="str">
        <x:f>'Research &amp; Analysis'!N314</x:f>
        <x:v>RA.RS.1.6.2026.CY2</x:v>
      </x:c>
      <x:c r="P1042" s="2" t="n">
        <x:f>'Research &amp; Analysis'!O314</x:f>
        <x:v>0</x:v>
      </x:c>
      <x:c r="Q1042" s="2" t="n">
        <x:f>SUBTOTAL(103,O1042)</x:f>
        <x:v>1</x:v>
      </x:c>
      <x:c r="R1042" s="2" t="n">
        <x:f>IF(AND(M1042=1,OR(Dashboard!$B$7="All",Dashboard!$B$7='Cycles &amp; Guide'!$C$5),OR(Dashboard!$D$7="All",Dashboard!$D$7=B1042),OR(Dashboard!$F$7="All",Dashboard!$F$7=C1042),OR(Dashboard!$H$7="All",Dashboard!$H$7=D1042),OR(Dashboard!$K$7="All",Dashboard!$K$7=E1042)),1,0)</x:f>
        <x:v>1</x:v>
      </x:c>
      <x:c r="S1042" s="2" t="n">
        <x:f>IF(R1042=1,SUM($R$10:R1042),0)</x:f>
        <x:v>669</x:v>
      </x:c>
      <x:c r="T1042" s="2" t="str">
        <x:v>Research &amp; Analysis</x:v>
      </x:c>
      <x:c r="U1042" s="2" t="n">
        <x:v>314</x:v>
      </x:c>
      <x:c r="V1042" s="2" t="n">
        <x:f>IF(AND(M1042=1,P1042=0,ISNUMBER(J1042),J1042&lt;TODAY()),1,0)</x:f>
        <x:v>1</x:v>
      </x:c>
      <x:c r="W1042" s="2" t="str">
        <x:f>'Research &amp; Analysis'!M314</x:f>
        <x:v>Task</x:v>
      </x:c>
    </x:row>
    <x:row r="1043" ht="40" customHeight="1">
      <x:c r="A1043" s="3" t="str">
        <x:f>HYPERLINK("#'Research &amp; Analysis'!A315","Open")</x:f>
        <x:v>Open</x:v>
      </x:c>
      <x:c r="B1043" s="2" t="str">
        <x:f>'Research &amp; Analysis'!B315</x:f>
        <x:v>Cycle 2</x:v>
      </x:c>
      <x:c r="C1043" s="2" t="str">
        <x:f>'Research &amp; Analysis'!C315</x:f>
        <x:v>Phase 1</x:v>
      </x:c>
      <x:c r="D1043" s="2" t="str">
        <x:f>'Research &amp; Analysis'!D315</x:f>
        <x:v>Retail Services</x:v>
      </x:c>
      <x:c r="E1043" s="2" t="str">
        <x:v>Research &amp; Analysis</x:v>
      </x:c>
      <x:c r="F1043" s="56" t="str">
        <x:f>'Research &amp; Analysis'!E315</x:f>
        <x:v>RA.RS.1.7</x:v>
      </x:c>
      <x:c r="G1043" s="14" t="str">
        <x:f>'Research &amp; Analysis'!F315</x:f>
        <x:v>Obtain formal topic selection approval from management via SharePoint</x:v>
      </x:c>
      <x:c r="H1043" s="2" t="str">
        <x:f>IF('Research &amp; Analysis'!G315="","",'Research &amp; Analysis'!G315)</x:f>
      </x:c>
      <x:c r="I1043" s="12" t="str">
        <x:f>IF('Research &amp; Analysis'!H315="","",'Research &amp; Analysis'!H315)</x:f>
      </x:c>
      <x:c r="J1043" s="12" t="n">
        <x:f>IF('Research &amp; Analysis'!I315="","",'Research &amp; Analysis'!I315)</x:f>
        <x:v>46203</x:v>
      </x:c>
      <x:c r="K1043" s="12" t="str">
        <x:f>IF('Research &amp; Analysis'!J315="","",'Research &amp; Analysis'!J315)</x:f>
      </x:c>
      <x:c r="L1043" s="2" t="str">
        <x:f>IF('Research &amp; Analysis'!K315="","",'Research &amp; Analysis'!K315)</x:f>
      </x:c>
      <x:c r="M1043" s="2" t="n">
        <x:f>'Research &amp; Analysis'!Q315</x:f>
        <x:v>1</x:v>
      </x:c>
      <x:c r="N1043" s="2" t="str">
        <x:f>'Research &amp; Analysis'!L315</x:f>
        <x:v>Not started</x:v>
      </x:c>
      <x:c r="O1043" s="2" t="str">
        <x:f>'Research &amp; Analysis'!N315</x:f>
        <x:v>RA.RS.1.7.2026.CY2</x:v>
      </x:c>
      <x:c r="P1043" s="2" t="n">
        <x:f>'Research &amp; Analysis'!O315</x:f>
        <x:v>0</x:v>
      </x:c>
      <x:c r="Q1043" s="2" t="n">
        <x:f>SUBTOTAL(103,O1043)</x:f>
        <x:v>1</x:v>
      </x:c>
      <x:c r="R1043" s="2" t="n">
        <x:f>IF(AND(M1043=1,OR(Dashboard!$B$7="All",Dashboard!$B$7='Cycles &amp; Guide'!$C$5),OR(Dashboard!$D$7="All",Dashboard!$D$7=B1043),OR(Dashboard!$F$7="All",Dashboard!$F$7=C1043),OR(Dashboard!$H$7="All",Dashboard!$H$7=D1043),OR(Dashboard!$K$7="All",Dashboard!$K$7=E1043)),1,0)</x:f>
        <x:v>1</x:v>
      </x:c>
      <x:c r="S1043" s="2" t="n">
        <x:f>IF(R1043=1,SUM($R$10:R1043),0)</x:f>
        <x:v>670</x:v>
      </x:c>
      <x:c r="T1043" s="2" t="str">
        <x:v>Research &amp; Analysis</x:v>
      </x:c>
      <x:c r="U1043" s="2" t="n">
        <x:v>315</x:v>
      </x:c>
      <x:c r="V1043" s="2" t="n">
        <x:f>IF(AND(M1043=1,P1043=0,ISNUMBER(J1043),J1043&lt;TODAY()),1,0)</x:f>
        <x:v>1</x:v>
      </x:c>
      <x:c r="W1043" s="2" t="str">
        <x:f>'Research &amp; Analysis'!M315</x:f>
        <x:v>Task</x:v>
      </x:c>
    </x:row>
    <x:row r="1044" ht="40" customHeight="1">
      <x:c r="A1044" s="3" t="str">
        <x:f>HYPERLINK("#'Research &amp; Analysis'!A316","Open")</x:f>
        <x:v>Open</x:v>
      </x:c>
      <x:c r="B1044" s="2" t="str">
        <x:f>'Research &amp; Analysis'!B316</x:f>
        <x:v>Cycle 2</x:v>
      </x:c>
      <x:c r="C1044" s="2" t="str">
        <x:f>'Research &amp; Analysis'!C316</x:f>
        <x:v>Phase 1</x:v>
      </x:c>
      <x:c r="D1044" s="2" t="str">
        <x:f>'Research &amp; Analysis'!D316</x:f>
        <x:v>Retail Services</x:v>
      </x:c>
      <x:c r="E1044" s="2" t="str">
        <x:v>Research &amp; Analysis</x:v>
      </x:c>
      <x:c r="F1044" s="56" t="str">
        <x:f>'Research &amp; Analysis'!E316</x:f>
        <x:v>RA.RS.1.8</x:v>
      </x:c>
      <x:c r="G1044" s="14" t="str">
        <x:f>'Research &amp; Analysis'!F316</x:f>
        <x:v>Socialize topic selection with product owners and subject matter experts (if known)</x:v>
      </x:c>
      <x:c r="H1044" s="2" t="str">
        <x:f>IF('Research &amp; Analysis'!G316="","",'Research &amp; Analysis'!G316)</x:f>
      </x:c>
      <x:c r="I1044" s="12" t="str">
        <x:f>IF('Research &amp; Analysis'!H316="","",'Research &amp; Analysis'!H316)</x:f>
      </x:c>
      <x:c r="J1044" s="12" t="n">
        <x:f>IF('Research &amp; Analysis'!I316="","",'Research &amp; Analysis'!I316)</x:f>
        <x:v>46203</x:v>
      </x:c>
      <x:c r="K1044" s="12" t="str">
        <x:f>IF('Research &amp; Analysis'!J316="","",'Research &amp; Analysis'!J316)</x:f>
      </x:c>
      <x:c r="L1044" s="2" t="str">
        <x:f>IF('Research &amp; Analysis'!K316="","",'Research &amp; Analysis'!K316)</x:f>
      </x:c>
      <x:c r="M1044" s="2" t="n">
        <x:f>'Research &amp; Analysis'!Q316</x:f>
        <x:v>1</x:v>
      </x:c>
      <x:c r="N1044" s="2" t="str">
        <x:f>'Research &amp; Analysis'!L316</x:f>
        <x:v>Not started</x:v>
      </x:c>
      <x:c r="O1044" s="2" t="str">
        <x:f>'Research &amp; Analysis'!N316</x:f>
        <x:v>RA.RS.1.8.2026.CY2</x:v>
      </x:c>
      <x:c r="P1044" s="2" t="n">
        <x:f>'Research &amp; Analysis'!O316</x:f>
        <x:v>0</x:v>
      </x:c>
      <x:c r="Q1044" s="2" t="n">
        <x:f>SUBTOTAL(103,O1044)</x:f>
        <x:v>1</x:v>
      </x:c>
      <x:c r="R1044" s="2" t="n">
        <x:f>IF(AND(M1044=1,OR(Dashboard!$B$7="All",Dashboard!$B$7='Cycles &amp; Guide'!$C$5),OR(Dashboard!$D$7="All",Dashboard!$D$7=B1044),OR(Dashboard!$F$7="All",Dashboard!$F$7=C1044),OR(Dashboard!$H$7="All",Dashboard!$H$7=D1044),OR(Dashboard!$K$7="All",Dashboard!$K$7=E1044)),1,0)</x:f>
        <x:v>1</x:v>
      </x:c>
      <x:c r="S1044" s="2" t="n">
        <x:f>IF(R1044=1,SUM($R$10:R1044),0)</x:f>
        <x:v>671</x:v>
      </x:c>
      <x:c r="T1044" s="2" t="str">
        <x:v>Research &amp; Analysis</x:v>
      </x:c>
      <x:c r="U1044" s="2" t="n">
        <x:v>316</x:v>
      </x:c>
      <x:c r="V1044" s="2" t="n">
        <x:f>IF(AND(M1044=1,P1044=0,ISNUMBER(J1044),J1044&lt;TODAY()),1,0)</x:f>
        <x:v>1</x:v>
      </x:c>
      <x:c r="W1044" s="2" t="str">
        <x:f>'Research &amp; Analysis'!M316</x:f>
        <x:v>Task</x:v>
      </x:c>
    </x:row>
    <x:row r="1045" ht="40" customHeight="1">
      <x:c r="A1045" s="3" t="str">
        <x:f>HYPERLINK("#'Research &amp; Analysis'!A317","Open")</x:f>
        <x:v>Open</x:v>
      </x:c>
      <x:c r="B1045" s="2" t="str">
        <x:f>'Research &amp; Analysis'!B317</x:f>
        <x:v>Cycle 2</x:v>
      </x:c>
      <x:c r="C1045" s="2" t="str">
        <x:f>'Research &amp; Analysis'!C317</x:f>
        <x:v>Phase 1</x:v>
      </x:c>
      <x:c r="D1045" s="2" t="str">
        <x:f>'Research &amp; Analysis'!D317</x:f>
        <x:v>Retail Services</x:v>
      </x:c>
      <x:c r="E1045" s="2" t="str">
        <x:v>Research &amp; Analysis</x:v>
      </x:c>
      <x:c r="F1045" s="56" t="str">
        <x:f>'Research &amp; Analysis'!E317</x:f>
        <x:v>RA.RS.1.9</x:v>
      </x:c>
      <x:c r="G1045" s="14" t="str">
        <x:f>'Research &amp; Analysis'!F317</x:f>
        <x:v>Assign topic researchers</x:v>
      </x:c>
      <x:c r="H1045" s="2" t="str">
        <x:f>IF('Research &amp; Analysis'!G317="","",'Research &amp; Analysis'!G317)</x:f>
      </x:c>
      <x:c r="I1045" s="12" t="str">
        <x:f>IF('Research &amp; Analysis'!H317="","",'Research &amp; Analysis'!H317)</x:f>
      </x:c>
      <x:c r="J1045" s="12" t="n">
        <x:f>IF('Research &amp; Analysis'!I317="","",'Research &amp; Analysis'!I317)</x:f>
        <x:v>46203</x:v>
      </x:c>
      <x:c r="K1045" s="12" t="str">
        <x:f>IF('Research &amp; Analysis'!J317="","",'Research &amp; Analysis'!J317)</x:f>
      </x:c>
      <x:c r="L1045" s="2" t="str">
        <x:f>IF('Research &amp; Analysis'!K317="","",'Research &amp; Analysis'!K317)</x:f>
      </x:c>
      <x:c r="M1045" s="2" t="n">
        <x:f>'Research &amp; Analysis'!Q317</x:f>
        <x:v>1</x:v>
      </x:c>
      <x:c r="N1045" s="2" t="str">
        <x:f>'Research &amp; Analysis'!L317</x:f>
        <x:v>Not started</x:v>
      </x:c>
      <x:c r="O1045" s="2" t="str">
        <x:f>'Research &amp; Analysis'!N317</x:f>
        <x:v>RA.RS.1.9.2026.CY2</x:v>
      </x:c>
      <x:c r="P1045" s="2" t="n">
        <x:f>'Research &amp; Analysis'!O317</x:f>
        <x:v>0</x:v>
      </x:c>
      <x:c r="Q1045" s="2" t="n">
        <x:f>SUBTOTAL(103,O1045)</x:f>
        <x:v>1</x:v>
      </x:c>
      <x:c r="R1045" s="2" t="n">
        <x:f>IF(AND(M1045=1,OR(Dashboard!$B$7="All",Dashboard!$B$7='Cycles &amp; Guide'!$C$5),OR(Dashboard!$D$7="All",Dashboard!$D$7=B1045),OR(Dashboard!$F$7="All",Dashboard!$F$7=C1045),OR(Dashboard!$H$7="All",Dashboard!$H$7=D1045),OR(Dashboard!$K$7="All",Dashboard!$K$7=E1045)),1,0)</x:f>
        <x:v>1</x:v>
      </x:c>
      <x:c r="S1045" s="2" t="n">
        <x:f>IF(R1045=1,SUM($R$10:R1045),0)</x:f>
        <x:v>672</x:v>
      </x:c>
      <x:c r="T1045" s="2" t="str">
        <x:v>Research &amp; Analysis</x:v>
      </x:c>
      <x:c r="U1045" s="2" t="n">
        <x:v>317</x:v>
      </x:c>
      <x:c r="V1045" s="2" t="n">
        <x:f>IF(AND(M1045=1,P1045=0,ISNUMBER(J1045),J1045&lt;TODAY()),1,0)</x:f>
        <x:v>1</x:v>
      </x:c>
      <x:c r="W1045" s="2" t="str">
        <x:f>'Research &amp; Analysis'!M317</x:f>
        <x:v>Task</x:v>
      </x:c>
    </x:row>
    <x:row r="1046" ht="40" customHeight="1">
      <x:c r="A1046" s="3" t="str">
        <x:f>HYPERLINK("#'Research &amp; Analysis'!A318","Open")</x:f>
        <x:v>Open</x:v>
      </x:c>
      <x:c r="B1046" s="2" t="str">
        <x:f>'Research &amp; Analysis'!B318</x:f>
        <x:v>Cycle 2</x:v>
      </x:c>
      <x:c r="C1046" s="2" t="str">
        <x:f>'Research &amp; Analysis'!C318</x:f>
        <x:v>Phase 2</x:v>
      </x:c>
      <x:c r="D1046" s="2" t="str">
        <x:f>'Research &amp; Analysis'!D318</x:f>
        <x:v>Retail Services</x:v>
      </x:c>
      <x:c r="E1046" s="2" t="str">
        <x:v>Research &amp; Analysis</x:v>
      </x:c>
      <x:c r="F1046" s="56" t="str">
        <x:f>'Research &amp; Analysis'!E318</x:f>
        <x:v>RA.RS.2.1</x:v>
      </x:c>
      <x:c r="G1046" s="14" t="str">
        <x:f>'Research &amp; Analysis'!F318</x:f>
        <x:v>Review data sources</x:v>
      </x:c>
      <x:c r="H1046" s="2" t="str">
        <x:f>IF('Research &amp; Analysis'!G318="","",'Research &amp; Analysis'!G318)</x:f>
      </x:c>
      <x:c r="I1046" s="12" t="str">
        <x:f>IF('Research &amp; Analysis'!H318="","",'Research &amp; Analysis'!H318)</x:f>
      </x:c>
      <x:c r="J1046" s="12" t="n">
        <x:f>IF('Research &amp; Analysis'!I318="","",'Research &amp; Analysis'!I318)</x:f>
        <x:v>46203</x:v>
      </x:c>
      <x:c r="K1046" s="12" t="str">
        <x:f>IF('Research &amp; Analysis'!J318="","",'Research &amp; Analysis'!J318)</x:f>
      </x:c>
      <x:c r="L1046" s="2" t="str">
        <x:f>IF('Research &amp; Analysis'!K318="","",'Research &amp; Analysis'!K318)</x:f>
      </x:c>
      <x:c r="M1046" s="2" t="n">
        <x:f>'Research &amp; Analysis'!Q318</x:f>
        <x:v>1</x:v>
      </x:c>
      <x:c r="N1046" s="2" t="str">
        <x:f>'Research &amp; Analysis'!L318</x:f>
        <x:v>Not started</x:v>
      </x:c>
      <x:c r="O1046" s="2" t="str">
        <x:f>'Research &amp; Analysis'!N318</x:f>
        <x:v>RA.RS.2.1.2026.CY2</x:v>
      </x:c>
      <x:c r="P1046" s="2" t="n">
        <x:f>'Research &amp; Analysis'!O318</x:f>
        <x:v>0</x:v>
      </x:c>
      <x:c r="Q1046" s="2" t="n">
        <x:f>SUBTOTAL(103,O1046)</x:f>
        <x:v>1</x:v>
      </x:c>
      <x:c r="R1046" s="2" t="n">
        <x:f>IF(AND(M1046=1,OR(Dashboard!$B$7="All",Dashboard!$B$7='Cycles &amp; Guide'!$C$5),OR(Dashboard!$D$7="All",Dashboard!$D$7=B1046),OR(Dashboard!$F$7="All",Dashboard!$F$7=C1046),OR(Dashboard!$H$7="All",Dashboard!$H$7=D1046),OR(Dashboard!$K$7="All",Dashboard!$K$7=E1046)),1,0)</x:f>
        <x:v>1</x:v>
      </x:c>
      <x:c r="S1046" s="2" t="n">
        <x:f>IF(R1046=1,SUM($R$10:R1046),0)</x:f>
        <x:v>673</x:v>
      </x:c>
      <x:c r="T1046" s="2" t="str">
        <x:v>Research &amp; Analysis</x:v>
      </x:c>
      <x:c r="U1046" s="2" t="n">
        <x:v>318</x:v>
      </x:c>
      <x:c r="V1046" s="2" t="n">
        <x:f>IF(AND(M1046=1,P1046=0,ISNUMBER(J1046),J1046&lt;TODAY()),1,0)</x:f>
        <x:v>1</x:v>
      </x:c>
      <x:c r="W1046" s="2" t="str">
        <x:f>'Research &amp; Analysis'!M318</x:f>
        <x:v>Task</x:v>
      </x:c>
    </x:row>
    <x:row r="1047" ht="40" customHeight="1">
      <x:c r="A1047" s="3" t="str">
        <x:f>HYPERLINK("#'Research &amp; Analysis'!A319","Open")</x:f>
        <x:v>Open</x:v>
      </x:c>
      <x:c r="B1047" s="2" t="str">
        <x:f>'Research &amp; Analysis'!B319</x:f>
        <x:v>Cycle 2</x:v>
      </x:c>
      <x:c r="C1047" s="2" t="str">
        <x:f>'Research &amp; Analysis'!C319</x:f>
        <x:v>Phase 2</x:v>
      </x:c>
      <x:c r="D1047" s="2" t="str">
        <x:f>'Research &amp; Analysis'!D319</x:f>
        <x:v>Retail Services</x:v>
      </x:c>
      <x:c r="E1047" s="2" t="str">
        <x:v>Research &amp; Analysis</x:v>
      </x:c>
      <x:c r="F1047" s="56" t="str">
        <x:f>'Research &amp; Analysis'!E319</x:f>
        <x:v>RA.RS.2.2</x:v>
      </x:c>
      <x:c r="G1047" s="14" t="str">
        <x:f>'Research &amp; Analysis'!F319</x:f>
        <x:v>Review relevant policies and procedures</x:v>
      </x:c>
      <x:c r="H1047" s="2" t="str">
        <x:f>IF('Research &amp; Analysis'!G319="","",'Research &amp; Analysis'!G319)</x:f>
      </x:c>
      <x:c r="I1047" s="12" t="str">
        <x:f>IF('Research &amp; Analysis'!H319="","",'Research &amp; Analysis'!H319)</x:f>
      </x:c>
      <x:c r="J1047" s="12" t="n">
        <x:f>IF('Research &amp; Analysis'!I319="","",'Research &amp; Analysis'!I319)</x:f>
        <x:v>46203</x:v>
      </x:c>
      <x:c r="K1047" s="12" t="str">
        <x:f>IF('Research &amp; Analysis'!J319="","",'Research &amp; Analysis'!J319)</x:f>
      </x:c>
      <x:c r="L1047" s="2" t="str">
        <x:f>IF('Research &amp; Analysis'!K319="","",'Research &amp; Analysis'!K319)</x:f>
      </x:c>
      <x:c r="M1047" s="2" t="n">
        <x:f>'Research &amp; Analysis'!Q319</x:f>
        <x:v>1</x:v>
      </x:c>
      <x:c r="N1047" s="2" t="str">
        <x:f>'Research &amp; Analysis'!L319</x:f>
        <x:v>Not started</x:v>
      </x:c>
      <x:c r="O1047" s="2" t="str">
        <x:f>'Research &amp; Analysis'!N319</x:f>
        <x:v>RA.RS.2.2.2026.CY2</x:v>
      </x:c>
      <x:c r="P1047" s="2" t="n">
        <x:f>'Research &amp; Analysis'!O319</x:f>
        <x:v>0</x:v>
      </x:c>
      <x:c r="Q1047" s="2" t="n">
        <x:f>SUBTOTAL(103,O1047)</x:f>
        <x:v>1</x:v>
      </x:c>
      <x:c r="R1047" s="2" t="n">
        <x:f>IF(AND(M1047=1,OR(Dashboard!$B$7="All",Dashboard!$B$7='Cycles &amp; Guide'!$C$5),OR(Dashboard!$D$7="All",Dashboard!$D$7=B1047),OR(Dashboard!$F$7="All",Dashboard!$F$7=C1047),OR(Dashboard!$H$7="All",Dashboard!$H$7=D1047),OR(Dashboard!$K$7="All",Dashboard!$K$7=E1047)),1,0)</x:f>
        <x:v>1</x:v>
      </x:c>
      <x:c r="S1047" s="2" t="n">
        <x:f>IF(R1047=1,SUM($R$10:R1047),0)</x:f>
        <x:v>674</x:v>
      </x:c>
      <x:c r="T1047" s="2" t="str">
        <x:v>Research &amp; Analysis</x:v>
      </x:c>
      <x:c r="U1047" s="2" t="n">
        <x:v>319</x:v>
      </x:c>
      <x:c r="V1047" s="2" t="n">
        <x:f>IF(AND(M1047=1,P1047=0,ISNUMBER(J1047),J1047&lt;TODAY()),1,0)</x:f>
        <x:v>1</x:v>
      </x:c>
      <x:c r="W1047" s="2" t="str">
        <x:f>'Research &amp; Analysis'!M319</x:f>
        <x:v>Task</x:v>
      </x:c>
    </x:row>
    <x:row r="1048" ht="40" customHeight="1">
      <x:c r="A1048" s="3" t="str">
        <x:f>HYPERLINK("#'Research &amp; Analysis'!A320","Open")</x:f>
        <x:v>Open</x:v>
      </x:c>
      <x:c r="B1048" s="2" t="str">
        <x:f>'Research &amp; Analysis'!B320</x:f>
        <x:v>Cycle 2</x:v>
      </x:c>
      <x:c r="C1048" s="2" t="str">
        <x:f>'Research &amp; Analysis'!C320</x:f>
        <x:v>Phase 2</x:v>
      </x:c>
      <x:c r="D1048" s="2" t="str">
        <x:f>'Research &amp; Analysis'!D320</x:f>
        <x:v>Retail Services</x:v>
      </x:c>
      <x:c r="E1048" s="2" t="str">
        <x:v>Research &amp; Analysis</x:v>
      </x:c>
      <x:c r="F1048" s="56" t="str">
        <x:f>'Research &amp; Analysis'!E320</x:f>
        <x:v>RA.RS.2.3</x:v>
      </x:c>
      <x:c r="G1048" s="14" t="str">
        <x:f>'Research &amp; Analysis'!F320</x:f>
        <x:v>Meet with SMEs to gain business insight and clarify questions</x:v>
      </x:c>
      <x:c r="H1048" s="2" t="str">
        <x:f>IF('Research &amp; Analysis'!G320="","",'Research &amp; Analysis'!G320)</x:f>
      </x:c>
      <x:c r="I1048" s="12" t="str">
        <x:f>IF('Research &amp; Analysis'!H320="","",'Research &amp; Analysis'!H320)</x:f>
      </x:c>
      <x:c r="J1048" s="12" t="n">
        <x:f>IF('Research &amp; Analysis'!I320="","",'Research &amp; Analysis'!I320)</x:f>
        <x:v>46203</x:v>
      </x:c>
      <x:c r="K1048" s="12" t="str">
        <x:f>IF('Research &amp; Analysis'!J320="","",'Research &amp; Analysis'!J320)</x:f>
      </x:c>
      <x:c r="L1048" s="2" t="str">
        <x:f>IF('Research &amp; Analysis'!K320="","",'Research &amp; Analysis'!K320)</x:f>
      </x:c>
      <x:c r="M1048" s="2" t="n">
        <x:f>'Research &amp; Analysis'!Q320</x:f>
        <x:v>1</x:v>
      </x:c>
      <x:c r="N1048" s="2" t="str">
        <x:f>'Research &amp; Analysis'!L320</x:f>
        <x:v>Not started</x:v>
      </x:c>
      <x:c r="O1048" s="2" t="str">
        <x:f>'Research &amp; Analysis'!N320</x:f>
        <x:v>RA.RS.2.3.2026.CY2</x:v>
      </x:c>
      <x:c r="P1048" s="2" t="n">
        <x:f>'Research &amp; Analysis'!O320</x:f>
        <x:v>0</x:v>
      </x:c>
      <x:c r="Q1048" s="2" t="n">
        <x:f>SUBTOTAL(103,O1048)</x:f>
        <x:v>1</x:v>
      </x:c>
      <x:c r="R1048" s="2" t="n">
        <x:f>IF(AND(M1048=1,OR(Dashboard!$B$7="All",Dashboard!$B$7='Cycles &amp; Guide'!$C$5),OR(Dashboard!$D$7="All",Dashboard!$D$7=B1048),OR(Dashboard!$F$7="All",Dashboard!$F$7=C1048),OR(Dashboard!$H$7="All",Dashboard!$H$7=D1048),OR(Dashboard!$K$7="All",Dashboard!$K$7=E1048)),1,0)</x:f>
        <x:v>1</x:v>
      </x:c>
      <x:c r="S1048" s="2" t="n">
        <x:f>IF(R1048=1,SUM($R$10:R1048),0)</x:f>
        <x:v>675</x:v>
      </x:c>
      <x:c r="T1048" s="2" t="str">
        <x:v>Research &amp; Analysis</x:v>
      </x:c>
      <x:c r="U1048" s="2" t="n">
        <x:v>320</x:v>
      </x:c>
      <x:c r="V1048" s="2" t="n">
        <x:f>IF(AND(M1048=1,P1048=0,ISNUMBER(J1048),J1048&lt;TODAY()),1,0)</x:f>
        <x:v>1</x:v>
      </x:c>
      <x:c r="W1048" s="2" t="str">
        <x:f>'Research &amp; Analysis'!M320</x:f>
        <x:v>Task</x:v>
      </x:c>
    </x:row>
    <x:row r="1049" ht="40" customHeight="1">
      <x:c r="A1049" s="3" t="str">
        <x:f>HYPERLINK("#'Research &amp; Analysis'!A321","Open")</x:f>
        <x:v>Open</x:v>
      </x:c>
      <x:c r="B1049" s="2" t="str">
        <x:f>'Research &amp; Analysis'!B321</x:f>
        <x:v>Cycle 2</x:v>
      </x:c>
      <x:c r="C1049" s="2" t="str">
        <x:f>'Research &amp; Analysis'!C321</x:f>
        <x:v>Phase 2</x:v>
      </x:c>
      <x:c r="D1049" s="2" t="str">
        <x:f>'Research &amp; Analysis'!D321</x:f>
        <x:v>Retail Services</x:v>
      </x:c>
      <x:c r="E1049" s="2" t="str">
        <x:v>Research &amp; Analysis</x:v>
      </x:c>
      <x:c r="F1049" s="56" t="str">
        <x:f>'Research &amp; Analysis'!E321</x:f>
        <x:v>RA.RS.2.4</x:v>
      </x:c>
      <x:c r="G1049" s="14" t="str">
        <x:f>'Research &amp; Analysis'!F321</x:f>
        <x:v>Establish and maintain a recurring meeting with D&amp;I to discuss Cycle progress</x:v>
      </x:c>
      <x:c r="H1049" s="2" t="str">
        <x:f>IF('Research &amp; Analysis'!G321="","",'Research &amp; Analysis'!G321)</x:f>
      </x:c>
      <x:c r="I1049" s="12" t="str">
        <x:f>IF('Research &amp; Analysis'!H321="","",'Research &amp; Analysis'!H321)</x:f>
      </x:c>
      <x:c r="J1049" s="12" t="n">
        <x:f>IF('Research &amp; Analysis'!I321="","",'Research &amp; Analysis'!I321)</x:f>
        <x:v>46203</x:v>
      </x:c>
      <x:c r="K1049" s="12" t="str">
        <x:f>IF('Research &amp; Analysis'!J321="","",'Research &amp; Analysis'!J321)</x:f>
      </x:c>
      <x:c r="L1049" s="2" t="str">
        <x:f>IF('Research &amp; Analysis'!K321="","",'Research &amp; Analysis'!K321)</x:f>
      </x:c>
      <x:c r="M1049" s="2" t="n">
        <x:f>'Research &amp; Analysis'!Q321</x:f>
        <x:v>1</x:v>
      </x:c>
      <x:c r="N1049" s="2" t="str">
        <x:f>'Research &amp; Analysis'!L321</x:f>
        <x:v>Not started</x:v>
      </x:c>
      <x:c r="O1049" s="2" t="str">
        <x:f>'Research &amp; Analysis'!N321</x:f>
        <x:v>RA.RS.2.4.2026.CY2</x:v>
      </x:c>
      <x:c r="P1049" s="2" t="n">
        <x:f>'Research &amp; Analysis'!O321</x:f>
        <x:v>0</x:v>
      </x:c>
      <x:c r="Q1049" s="2" t="n">
        <x:f>SUBTOTAL(103,O1049)</x:f>
        <x:v>1</x:v>
      </x:c>
      <x:c r="R1049" s="2" t="n">
        <x:f>IF(AND(M1049=1,OR(Dashboard!$B$7="All",Dashboard!$B$7='Cycles &amp; Guide'!$C$5),OR(Dashboard!$D$7="All",Dashboard!$D$7=B1049),OR(Dashboard!$F$7="All",Dashboard!$F$7=C1049),OR(Dashboard!$H$7="All",Dashboard!$H$7=D1049),OR(Dashboard!$K$7="All",Dashboard!$K$7=E1049)),1,0)</x:f>
        <x:v>1</x:v>
      </x:c>
      <x:c r="S1049" s="2" t="n">
        <x:f>IF(R1049=1,SUM($R$10:R1049),0)</x:f>
        <x:v>676</x:v>
      </x:c>
      <x:c r="T1049" s="2" t="str">
        <x:v>Research &amp; Analysis</x:v>
      </x:c>
      <x:c r="U1049" s="2" t="n">
        <x:v>321</x:v>
      </x:c>
      <x:c r="V1049" s="2" t="n">
        <x:f>IF(AND(M1049=1,P1049=0,ISNUMBER(J1049),J1049&lt;TODAY()),1,0)</x:f>
        <x:v>1</x:v>
      </x:c>
      <x:c r="W1049" s="2" t="str">
        <x:f>'Research &amp; Analysis'!M321</x:f>
        <x:v>Task</x:v>
      </x:c>
    </x:row>
    <x:row r="1050" ht="40" customHeight="1">
      <x:c r="A1050" s="3" t="str">
        <x:f>HYPERLINK("#'Research &amp; Analysis'!A322","Open")</x:f>
        <x:v>Open</x:v>
      </x:c>
      <x:c r="B1050" s="2" t="str">
        <x:f>'Research &amp; Analysis'!B322</x:f>
        <x:v>Cycle 2</x:v>
      </x:c>
      <x:c r="C1050" s="2" t="str">
        <x:f>'Research &amp; Analysis'!C322</x:f>
        <x:v>Phase 2</x:v>
      </x:c>
      <x:c r="D1050" s="2" t="str">
        <x:f>'Research &amp; Analysis'!D322</x:f>
        <x:v>Retail Services</x:v>
      </x:c>
      <x:c r="E1050" s="2" t="str">
        <x:v>Research &amp; Analysis</x:v>
      </x:c>
      <x:c r="F1050" s="56" t="str">
        <x:f>'Research &amp; Analysis'!E322</x:f>
        <x:v>RA.RS.2.5</x:v>
      </x:c>
      <x:c r="G1050" s="14" t="str">
        <x:f>'Research &amp; Analysis'!F322</x:f>
        <x:v>Perform data testing and sampling</x:v>
      </x:c>
      <x:c r="H1050" s="2" t="str">
        <x:f>IF('Research &amp; Analysis'!G322="","",'Research &amp; Analysis'!G322)</x:f>
      </x:c>
      <x:c r="I1050" s="12" t="str">
        <x:f>IF('Research &amp; Analysis'!H322="","",'Research &amp; Analysis'!H322)</x:f>
      </x:c>
      <x:c r="J1050" s="12" t="n">
        <x:f>IF('Research &amp; Analysis'!I322="","",'Research &amp; Analysis'!I322)</x:f>
        <x:v>46203</x:v>
      </x:c>
      <x:c r="K1050" s="12" t="str">
        <x:f>IF('Research &amp; Analysis'!J322="","",'Research &amp; Analysis'!J322)</x:f>
      </x:c>
      <x:c r="L1050" s="2" t="str">
        <x:f>IF('Research &amp; Analysis'!K322="","",'Research &amp; Analysis'!K322)</x:f>
      </x:c>
      <x:c r="M1050" s="2" t="n">
        <x:f>'Research &amp; Analysis'!Q322</x:f>
        <x:v>1</x:v>
      </x:c>
      <x:c r="N1050" s="2" t="str">
        <x:f>'Research &amp; Analysis'!L322</x:f>
        <x:v>Not started</x:v>
      </x:c>
      <x:c r="O1050" s="2" t="str">
        <x:f>'Research &amp; Analysis'!N322</x:f>
        <x:v>RA.RS.2.5.2026.CY2</x:v>
      </x:c>
      <x:c r="P1050" s="2" t="n">
        <x:f>'Research &amp; Analysis'!O322</x:f>
        <x:v>0</x:v>
      </x:c>
      <x:c r="Q1050" s="2" t="n">
        <x:f>SUBTOTAL(103,O1050)</x:f>
        <x:v>1</x:v>
      </x:c>
      <x:c r="R1050" s="2" t="n">
        <x:f>IF(AND(M1050=1,OR(Dashboard!$B$7="All",Dashboard!$B$7='Cycles &amp; Guide'!$C$5),OR(Dashboard!$D$7="All",Dashboard!$D$7=B1050),OR(Dashboard!$F$7="All",Dashboard!$F$7=C1050),OR(Dashboard!$H$7="All",Dashboard!$H$7=D1050),OR(Dashboard!$K$7="All",Dashboard!$K$7=E1050)),1,0)</x:f>
        <x:v>1</x:v>
      </x:c>
      <x:c r="S1050" s="2" t="n">
        <x:f>IF(R1050=1,SUM($R$10:R1050),0)</x:f>
        <x:v>677</x:v>
      </x:c>
      <x:c r="T1050" s="2" t="str">
        <x:v>Research &amp; Analysis</x:v>
      </x:c>
      <x:c r="U1050" s="2" t="n">
        <x:v>322</x:v>
      </x:c>
      <x:c r="V1050" s="2" t="n">
        <x:f>IF(AND(M1050=1,P1050=0,ISNUMBER(J1050),J1050&lt;TODAY()),1,0)</x:f>
        <x:v>1</x:v>
      </x:c>
      <x:c r="W1050" s="2" t="str">
        <x:f>'Research &amp; Analysis'!M322</x:f>
        <x:v>Task</x:v>
      </x:c>
    </x:row>
    <x:row r="1051" ht="40" customHeight="1">
      <x:c r="A1051" s="3" t="str">
        <x:f>HYPERLINK("#'Research &amp; Analysis'!A323","Open")</x:f>
        <x:v>Open</x:v>
      </x:c>
      <x:c r="B1051" s="2" t="str">
        <x:f>'Research &amp; Analysis'!B323</x:f>
        <x:v>Cycle 2</x:v>
      </x:c>
      <x:c r="C1051" s="2" t="str">
        <x:f>'Research &amp; Analysis'!C323</x:f>
        <x:v>Phase 2</x:v>
      </x:c>
      <x:c r="D1051" s="2" t="str">
        <x:f>'Research &amp; Analysis'!D323</x:f>
        <x:v>Retail Services</x:v>
      </x:c>
      <x:c r="E1051" s="2" t="str">
        <x:v>Research &amp; Analysis</x:v>
      </x:c>
      <x:c r="F1051" s="56" t="str">
        <x:f>'Research &amp; Analysis'!E323</x:f>
        <x:v>RA.RS.2.6</x:v>
      </x:c>
      <x:c r="G1051" s="14" t="str">
        <x:f>'Research &amp; Analysis'!F323</x:f>
        <x:v>Complete Positive Testing</x:v>
      </x:c>
      <x:c r="H1051" s="2" t="str">
        <x:f>IF('Research &amp; Analysis'!G323="","",'Research &amp; Analysis'!G323)</x:f>
      </x:c>
      <x:c r="I1051" s="12" t="str">
        <x:f>IF('Research &amp; Analysis'!H323="","",'Research &amp; Analysis'!H323)</x:f>
      </x:c>
      <x:c r="J1051" s="12" t="n">
        <x:f>IF('Research &amp; Analysis'!I323="","",'Research &amp; Analysis'!I323)</x:f>
        <x:v>46203</x:v>
      </x:c>
      <x:c r="K1051" s="12" t="str">
        <x:f>IF('Research &amp; Analysis'!J323="","",'Research &amp; Analysis'!J323)</x:f>
      </x:c>
      <x:c r="L1051" s="2" t="str">
        <x:f>IF('Research &amp; Analysis'!K323="","",'Research &amp; Analysis'!K323)</x:f>
      </x:c>
      <x:c r="M1051" s="2" t="n">
        <x:f>'Research &amp; Analysis'!Q323</x:f>
        <x:v>1</x:v>
      </x:c>
      <x:c r="N1051" s="2" t="str">
        <x:f>'Research &amp; Analysis'!L323</x:f>
        <x:v>Not started</x:v>
      </x:c>
      <x:c r="O1051" s="2" t="str">
        <x:f>'Research &amp; Analysis'!N323</x:f>
        <x:v>RA.RS.2.6.2026.CY2</x:v>
      </x:c>
      <x:c r="P1051" s="2" t="n">
        <x:f>'Research &amp; Analysis'!O323</x:f>
        <x:v>0</x:v>
      </x:c>
      <x:c r="Q1051" s="2" t="n">
        <x:f>SUBTOTAL(103,O1051)</x:f>
        <x:v>1</x:v>
      </x:c>
      <x:c r="R1051" s="2" t="n">
        <x:f>IF(AND(M1051=1,OR(Dashboard!$B$7="All",Dashboard!$B$7='Cycles &amp; Guide'!$C$5),OR(Dashboard!$D$7="All",Dashboard!$D$7=B1051),OR(Dashboard!$F$7="All",Dashboard!$F$7=C1051),OR(Dashboard!$H$7="All",Dashboard!$H$7=D1051),OR(Dashboard!$K$7="All",Dashboard!$K$7=E1051)),1,0)</x:f>
        <x:v>1</x:v>
      </x:c>
      <x:c r="S1051" s="2" t="n">
        <x:f>IF(R1051=1,SUM($R$10:R1051),0)</x:f>
        <x:v>678</x:v>
      </x:c>
      <x:c r="T1051" s="2" t="str">
        <x:v>Research &amp; Analysis</x:v>
      </x:c>
      <x:c r="U1051" s="2" t="n">
        <x:v>323</x:v>
      </x:c>
      <x:c r="V1051" s="2" t="n">
        <x:f>IF(AND(M1051=1,P1051=0,ISNUMBER(J1051),J1051&lt;TODAY()),1,0)</x:f>
        <x:v>1</x:v>
      </x:c>
      <x:c r="W1051" s="2" t="str">
        <x:f>'Research &amp; Analysis'!M323</x:f>
        <x:v>Task</x:v>
      </x:c>
    </x:row>
    <x:row r="1052" ht="40" customHeight="1">
      <x:c r="A1052" s="3" t="str">
        <x:f>HYPERLINK("#'Research &amp; Analysis'!A324","Open")</x:f>
        <x:v>Open</x:v>
      </x:c>
      <x:c r="B1052" s="2" t="str">
        <x:f>'Research &amp; Analysis'!B324</x:f>
        <x:v>Cycle 2</x:v>
      </x:c>
      <x:c r="C1052" s="2" t="str">
        <x:f>'Research &amp; Analysis'!C324</x:f>
        <x:v>Phase 2</x:v>
      </x:c>
      <x:c r="D1052" s="2" t="str">
        <x:f>'Research &amp; Analysis'!D324</x:f>
        <x:v>Retail Services</x:v>
      </x:c>
      <x:c r="E1052" s="2" t="str">
        <x:v>Research &amp; Analysis</x:v>
      </x:c>
      <x:c r="F1052" s="56" t="str">
        <x:f>'Research &amp; Analysis'!E324</x:f>
        <x:v>RA.RS.2.7</x:v>
      </x:c>
      <x:c r="G1052" s="14" t="str">
        <x:f>'Research &amp; Analysis'!F324</x:f>
        <x:v>Complete Negative Testing</x:v>
      </x:c>
      <x:c r="H1052" s="2" t="str">
        <x:f>IF('Research &amp; Analysis'!G324="","",'Research &amp; Analysis'!G324)</x:f>
      </x:c>
      <x:c r="I1052" s="12" t="str">
        <x:f>IF('Research &amp; Analysis'!H324="","",'Research &amp; Analysis'!H324)</x:f>
      </x:c>
      <x:c r="J1052" s="12" t="n">
        <x:f>IF('Research &amp; Analysis'!I324="","",'Research &amp; Analysis'!I324)</x:f>
        <x:v>46203</x:v>
      </x:c>
      <x:c r="K1052" s="12" t="str">
        <x:f>IF('Research &amp; Analysis'!J324="","",'Research &amp; Analysis'!J324)</x:f>
      </x:c>
      <x:c r="L1052" s="2" t="str">
        <x:f>IF('Research &amp; Analysis'!K324="","",'Research &amp; Analysis'!K324)</x:f>
      </x:c>
      <x:c r="M1052" s="2" t="n">
        <x:f>'Research &amp; Analysis'!Q324</x:f>
        <x:v>1</x:v>
      </x:c>
      <x:c r="N1052" s="2" t="str">
        <x:f>'Research &amp; Analysis'!L324</x:f>
        <x:v>Not started</x:v>
      </x:c>
      <x:c r="O1052" s="2" t="str">
        <x:f>'Research &amp; Analysis'!N324</x:f>
        <x:v>RA.RS.2.7.2026.CY2</x:v>
      </x:c>
      <x:c r="P1052" s="2" t="n">
        <x:f>'Research &amp; Analysis'!O324</x:f>
        <x:v>0</x:v>
      </x:c>
      <x:c r="Q1052" s="2" t="n">
        <x:f>SUBTOTAL(103,O1052)</x:f>
        <x:v>1</x:v>
      </x:c>
      <x:c r="R1052" s="2" t="n">
        <x:f>IF(AND(M1052=1,OR(Dashboard!$B$7="All",Dashboard!$B$7='Cycles &amp; Guide'!$C$5),OR(Dashboard!$D$7="All",Dashboard!$D$7=B1052),OR(Dashboard!$F$7="All",Dashboard!$F$7=C1052),OR(Dashboard!$H$7="All",Dashboard!$H$7=D1052),OR(Dashboard!$K$7="All",Dashboard!$K$7=E1052)),1,0)</x:f>
        <x:v>1</x:v>
      </x:c>
      <x:c r="S1052" s="2" t="n">
        <x:f>IF(R1052=1,SUM($R$10:R1052),0)</x:f>
        <x:v>679</x:v>
      </x:c>
      <x:c r="T1052" s="2" t="str">
        <x:v>Research &amp; Analysis</x:v>
      </x:c>
      <x:c r="U1052" s="2" t="n">
        <x:v>324</x:v>
      </x:c>
      <x:c r="V1052" s="2" t="n">
        <x:f>IF(AND(M1052=1,P1052=0,ISNUMBER(J1052),J1052&lt;TODAY()),1,0)</x:f>
        <x:v>1</x:v>
      </x:c>
      <x:c r="W1052" s="2" t="str">
        <x:f>'Research &amp; Analysis'!M324</x:f>
        <x:v>Task</x:v>
      </x:c>
    </x:row>
    <x:row r="1053" ht="40" customHeight="1">
      <x:c r="A1053" s="3" t="str">
        <x:f>HYPERLINK("#'Research &amp; Analysis'!A325","Open")</x:f>
        <x:v>Open</x:v>
      </x:c>
      <x:c r="B1053" s="2" t="str">
        <x:f>'Research &amp; Analysis'!B325</x:f>
        <x:v>Cycle 2</x:v>
      </x:c>
      <x:c r="C1053" s="2" t="str">
        <x:f>'Research &amp; Analysis'!C325</x:f>
        <x:v>Phase 2</x:v>
      </x:c>
      <x:c r="D1053" s="2" t="str">
        <x:f>'Research &amp; Analysis'!D325</x:f>
        <x:v>Retail Services</x:v>
      </x:c>
      <x:c r="E1053" s="2" t="str">
        <x:v>Research &amp; Analysis</x:v>
      </x:c>
      <x:c r="F1053" s="56" t="str">
        <x:f>'Research &amp; Analysis'!E325</x:f>
        <x:v>RA.RS.2.8</x:v>
      </x:c>
      <x:c r="G1053" s="14" t="str">
        <x:f>'Research &amp; Analysis'!F325</x:f>
        <x:v>Request additional data (as needed)</x:v>
      </x:c>
      <x:c r="H1053" s="2" t="str">
        <x:f>IF('Research &amp; Analysis'!G325="","",'Research &amp; Analysis'!G325)</x:f>
      </x:c>
      <x:c r="I1053" s="12" t="str">
        <x:f>IF('Research &amp; Analysis'!H325="","",'Research &amp; Analysis'!H325)</x:f>
      </x:c>
      <x:c r="J1053" s="12" t="n">
        <x:f>IF('Research &amp; Analysis'!I325="","",'Research &amp; Analysis'!I325)</x:f>
        <x:v>46203</x:v>
      </x:c>
      <x:c r="K1053" s="12" t="str">
        <x:f>IF('Research &amp; Analysis'!J325="","",'Research &amp; Analysis'!J325)</x:f>
      </x:c>
      <x:c r="L1053" s="2" t="str">
        <x:f>IF('Research &amp; Analysis'!K325="","",'Research &amp; Analysis'!K325)</x:f>
      </x:c>
      <x:c r="M1053" s="2" t="n">
        <x:f>'Research &amp; Analysis'!Q325</x:f>
        <x:v>1</x:v>
      </x:c>
      <x:c r="N1053" s="2" t="str">
        <x:f>'Research &amp; Analysis'!L325</x:f>
        <x:v>Not started</x:v>
      </x:c>
      <x:c r="O1053" s="2" t="str">
        <x:f>'Research &amp; Analysis'!N325</x:f>
        <x:v>RA.RS.2.8.2026.CY2</x:v>
      </x:c>
      <x:c r="P1053" s="2" t="n">
        <x:f>'Research &amp; Analysis'!O325</x:f>
        <x:v>0</x:v>
      </x:c>
      <x:c r="Q1053" s="2" t="n">
        <x:f>SUBTOTAL(103,O1053)</x:f>
        <x:v>1</x:v>
      </x:c>
      <x:c r="R1053" s="2" t="n">
        <x:f>IF(AND(M1053=1,OR(Dashboard!$B$7="All",Dashboard!$B$7='Cycles &amp; Guide'!$C$5),OR(Dashboard!$D$7="All",Dashboard!$D$7=B1053),OR(Dashboard!$F$7="All",Dashboard!$F$7=C1053),OR(Dashboard!$H$7="All",Dashboard!$H$7=D1053),OR(Dashboard!$K$7="All",Dashboard!$K$7=E1053)),1,0)</x:f>
        <x:v>1</x:v>
      </x:c>
      <x:c r="S1053" s="2" t="n">
        <x:f>IF(R1053=1,SUM($R$10:R1053),0)</x:f>
        <x:v>680</x:v>
      </x:c>
      <x:c r="T1053" s="2" t="str">
        <x:v>Research &amp; Analysis</x:v>
      </x:c>
      <x:c r="U1053" s="2" t="n">
        <x:v>325</x:v>
      </x:c>
      <x:c r="V1053" s="2" t="n">
        <x:f>IF(AND(M1053=1,P1053=0,ISNUMBER(J1053),J1053&lt;TODAY()),1,0)</x:f>
        <x:v>1</x:v>
      </x:c>
      <x:c r="W1053" s="2" t="str">
        <x:f>'Research &amp; Analysis'!M325</x:f>
        <x:v>Task</x:v>
      </x:c>
    </x:row>
    <x:row r="1054" ht="40" customHeight="1">
      <x:c r="A1054" s="3" t="str">
        <x:f>HYPERLINK("#'Research &amp; Analysis'!A326","Open")</x:f>
        <x:v>Open</x:v>
      </x:c>
      <x:c r="B1054" s="2" t="str">
        <x:f>'Research &amp; Analysis'!B326</x:f>
        <x:v>Cycle 2</x:v>
      </x:c>
      <x:c r="C1054" s="2" t="str">
        <x:f>'Research &amp; Analysis'!C326</x:f>
        <x:v>Phase 2</x:v>
      </x:c>
      <x:c r="D1054" s="2" t="str">
        <x:f>'Research &amp; Analysis'!D326</x:f>
        <x:v>Retail Services</x:v>
      </x:c>
      <x:c r="E1054" s="2" t="str">
        <x:v>Research &amp; Analysis</x:v>
      </x:c>
      <x:c r="F1054" s="56" t="str">
        <x:f>'Research &amp; Analysis'!E326</x:f>
        <x:v>RA.RS.2.9</x:v>
      </x:c>
      <x:c r="G1054" s="14" t="str">
        <x:f>'Research &amp; Analysis'!F326</x:f>
        <x:v>Validate or disprove initial hypothesis assumptions</x:v>
      </x:c>
      <x:c r="H1054" s="2" t="str">
        <x:f>IF('Research &amp; Analysis'!G326="","",'Research &amp; Analysis'!G326)</x:f>
      </x:c>
      <x:c r="I1054" s="12" t="str">
        <x:f>IF('Research &amp; Analysis'!H326="","",'Research &amp; Analysis'!H326)</x:f>
      </x:c>
      <x:c r="J1054" s="12" t="n">
        <x:f>IF('Research &amp; Analysis'!I326="","",'Research &amp; Analysis'!I326)</x:f>
        <x:v>46203</x:v>
      </x:c>
      <x:c r="K1054" s="12" t="str">
        <x:f>IF('Research &amp; Analysis'!J326="","",'Research &amp; Analysis'!J326)</x:f>
      </x:c>
      <x:c r="L1054" s="2" t="str">
        <x:f>IF('Research &amp; Analysis'!K326="","",'Research &amp; Analysis'!K326)</x:f>
      </x:c>
      <x:c r="M1054" s="2" t="n">
        <x:f>'Research &amp; Analysis'!Q326</x:f>
        <x:v>1</x:v>
      </x:c>
      <x:c r="N1054" s="2" t="str">
        <x:f>'Research &amp; Analysis'!L326</x:f>
        <x:v>Not started</x:v>
      </x:c>
      <x:c r="O1054" s="2" t="str">
        <x:f>'Research &amp; Analysis'!N326</x:f>
        <x:v>RA.RS.2.9.2026.CY2</x:v>
      </x:c>
      <x:c r="P1054" s="2" t="n">
        <x:f>'Research &amp; Analysis'!O326</x:f>
        <x:v>0</x:v>
      </x:c>
      <x:c r="Q1054" s="2" t="n">
        <x:f>SUBTOTAL(103,O1054)</x:f>
        <x:v>1</x:v>
      </x:c>
      <x:c r="R1054" s="2" t="n">
        <x:f>IF(AND(M1054=1,OR(Dashboard!$B$7="All",Dashboard!$B$7='Cycles &amp; Guide'!$C$5),OR(Dashboard!$D$7="All",Dashboard!$D$7=B1054),OR(Dashboard!$F$7="All",Dashboard!$F$7=C1054),OR(Dashboard!$H$7="All",Dashboard!$H$7=D1054),OR(Dashboard!$K$7="All",Dashboard!$K$7=E1054)),1,0)</x:f>
        <x:v>1</x:v>
      </x:c>
      <x:c r="S1054" s="2" t="n">
        <x:f>IF(R1054=1,SUM($R$10:R1054),0)</x:f>
        <x:v>681</x:v>
      </x:c>
      <x:c r="T1054" s="2" t="str">
        <x:v>Research &amp; Analysis</x:v>
      </x:c>
      <x:c r="U1054" s="2" t="n">
        <x:v>326</x:v>
      </x:c>
      <x:c r="V1054" s="2" t="n">
        <x:f>IF(AND(M1054=1,P1054=0,ISNUMBER(J1054),J1054&lt;TODAY()),1,0)</x:f>
        <x:v>1</x:v>
      </x:c>
      <x:c r="W1054" s="2" t="str">
        <x:f>'Research &amp; Analysis'!M326</x:f>
        <x:v>Task</x:v>
      </x:c>
    </x:row>
    <x:row r="1055" ht="40" customHeight="1">
      <x:c r="A1055" s="3" t="str">
        <x:f>HYPERLINK("#'Research &amp; Analysis'!A327","Open")</x:f>
        <x:v>Open</x:v>
      </x:c>
      <x:c r="B1055" s="2" t="str">
        <x:f>'Research &amp; Analysis'!B327</x:f>
        <x:v>Cycle 2</x:v>
      </x:c>
      <x:c r="C1055" s="2" t="str">
        <x:f>'Research &amp; Analysis'!C327</x:f>
        <x:v>Phase 2</x:v>
      </x:c>
      <x:c r="D1055" s="2" t="str">
        <x:f>'Research &amp; Analysis'!D327</x:f>
        <x:v>Retail Services</x:v>
      </x:c>
      <x:c r="E1055" s="2" t="str">
        <x:v>Research &amp; Analysis</x:v>
      </x:c>
      <x:c r="F1055" s="56" t="str">
        <x:f>'Research &amp; Analysis'!E327</x:f>
        <x:v>RA.RS.2.10</x:v>
      </x:c>
      <x:c r="G1055" s="14" t="str">
        <x:f>'Research &amp; Analysis'!F327</x:f>
        <x:v>Identify and confirm root cause</x:v>
      </x:c>
      <x:c r="H1055" s="2" t="str">
        <x:f>IF('Research &amp; Analysis'!G327="","",'Research &amp; Analysis'!G327)</x:f>
      </x:c>
      <x:c r="I1055" s="12" t="str">
        <x:f>IF('Research &amp; Analysis'!H327="","",'Research &amp; Analysis'!H327)</x:f>
      </x:c>
      <x:c r="J1055" s="12" t="n">
        <x:f>IF('Research &amp; Analysis'!I327="","",'Research &amp; Analysis'!I327)</x:f>
        <x:v>46203</x:v>
      </x:c>
      <x:c r="K1055" s="12" t="str">
        <x:f>IF('Research &amp; Analysis'!J327="","",'Research &amp; Analysis'!J327)</x:f>
      </x:c>
      <x:c r="L1055" s="2" t="str">
        <x:f>IF('Research &amp; Analysis'!K327="","",'Research &amp; Analysis'!K327)</x:f>
      </x:c>
      <x:c r="M1055" s="2" t="n">
        <x:f>'Research &amp; Analysis'!Q327</x:f>
        <x:v>1</x:v>
      </x:c>
      <x:c r="N1055" s="2" t="str">
        <x:f>'Research &amp; Analysis'!L327</x:f>
        <x:v>Not started</x:v>
      </x:c>
      <x:c r="O1055" s="2" t="str">
        <x:f>'Research &amp; Analysis'!N327</x:f>
        <x:v>RA.RS.2.10.2026.CY2</x:v>
      </x:c>
      <x:c r="P1055" s="2" t="n">
        <x:f>'Research &amp; Analysis'!O327</x:f>
        <x:v>0</x:v>
      </x:c>
      <x:c r="Q1055" s="2" t="n">
        <x:f>SUBTOTAL(103,O1055)</x:f>
        <x:v>1</x:v>
      </x:c>
      <x:c r="R1055" s="2" t="n">
        <x:f>IF(AND(M1055=1,OR(Dashboard!$B$7="All",Dashboard!$B$7='Cycles &amp; Guide'!$C$5),OR(Dashboard!$D$7="All",Dashboard!$D$7=B1055),OR(Dashboard!$F$7="All",Dashboard!$F$7=C1055),OR(Dashboard!$H$7="All",Dashboard!$H$7=D1055),OR(Dashboard!$K$7="All",Dashboard!$K$7=E1055)),1,0)</x:f>
        <x:v>1</x:v>
      </x:c>
      <x:c r="S1055" s="2" t="n">
        <x:f>IF(R1055=1,SUM($R$10:R1055),0)</x:f>
        <x:v>682</x:v>
      </x:c>
      <x:c r="T1055" s="2" t="str">
        <x:v>Research &amp; Analysis</x:v>
      </x:c>
      <x:c r="U1055" s="2" t="n">
        <x:v>327</x:v>
      </x:c>
      <x:c r="V1055" s="2" t="n">
        <x:f>IF(AND(M1055=1,P1055=0,ISNUMBER(J1055),J1055&lt;TODAY()),1,0)</x:f>
        <x:v>1</x:v>
      </x:c>
      <x:c r="W1055" s="2" t="str">
        <x:f>'Research &amp; Analysis'!M327</x:f>
        <x:v>Task</x:v>
      </x:c>
    </x:row>
    <x:row r="1056" ht="40" customHeight="1">
      <x:c r="A1056" s="3" t="str">
        <x:f>HYPERLINK("#'Research &amp; Analysis'!A328","Open")</x:f>
        <x:v>Open</x:v>
      </x:c>
      <x:c r="B1056" s="2" t="str">
        <x:f>'Research &amp; Analysis'!B328</x:f>
        <x:v>Cycle 2</x:v>
      </x:c>
      <x:c r="C1056" s="2" t="str">
        <x:f>'Research &amp; Analysis'!C328</x:f>
        <x:v>Phase 3</x:v>
      </x:c>
      <x:c r="D1056" s="2" t="str">
        <x:f>'Research &amp; Analysis'!D328</x:f>
        <x:v>Retail Services</x:v>
      </x:c>
      <x:c r="E1056" s="2" t="str">
        <x:v>Research &amp; Analysis</x:v>
      </x:c>
      <x:c r="F1056" s="56" t="str">
        <x:f>'Research &amp; Analysis'!E328</x:f>
        <x:v>RA.RS.3.1</x:v>
      </x:c>
      <x:c r="G1056" s="14" t="str">
        <x:f>'Research &amp; Analysis'!F328</x:f>
        <x:v>Finalize results and supporting documentation</x:v>
      </x:c>
      <x:c r="H1056" s="2" t="str">
        <x:f>IF('Research &amp; Analysis'!G328="","",'Research &amp; Analysis'!G328)</x:f>
      </x:c>
      <x:c r="I1056" s="12" t="str">
        <x:f>IF('Research &amp; Analysis'!H328="","",'Research &amp; Analysis'!H328)</x:f>
      </x:c>
      <x:c r="J1056" s="12" t="n">
        <x:f>IF('Research &amp; Analysis'!I328="","",'Research &amp; Analysis'!I328)</x:f>
        <x:v>46203</x:v>
      </x:c>
      <x:c r="K1056" s="12" t="str">
        <x:f>IF('Research &amp; Analysis'!J328="","",'Research &amp; Analysis'!J328)</x:f>
      </x:c>
      <x:c r="L1056" s="2" t="str">
        <x:f>IF('Research &amp; Analysis'!K328="","",'Research &amp; Analysis'!K328)</x:f>
      </x:c>
      <x:c r="M1056" s="2" t="n">
        <x:f>'Research &amp; Analysis'!Q328</x:f>
        <x:v>1</x:v>
      </x:c>
      <x:c r="N1056" s="2" t="str">
        <x:f>'Research &amp; Analysis'!L328</x:f>
        <x:v>Not started</x:v>
      </x:c>
      <x:c r="O1056" s="2" t="str">
        <x:f>'Research &amp; Analysis'!N328</x:f>
        <x:v>RA.RS.3.1.2026.CY2</x:v>
      </x:c>
      <x:c r="P1056" s="2" t="n">
        <x:f>'Research &amp; Analysis'!O328</x:f>
        <x:v>0</x:v>
      </x:c>
      <x:c r="Q1056" s="2" t="n">
        <x:f>SUBTOTAL(103,O1056)</x:f>
        <x:v>1</x:v>
      </x:c>
      <x:c r="R1056" s="2" t="n">
        <x:f>IF(AND(M1056=1,OR(Dashboard!$B$7="All",Dashboard!$B$7='Cycles &amp; Guide'!$C$5),OR(Dashboard!$D$7="All",Dashboard!$D$7=B1056),OR(Dashboard!$F$7="All",Dashboard!$F$7=C1056),OR(Dashboard!$H$7="All",Dashboard!$H$7=D1056),OR(Dashboard!$K$7="All",Dashboard!$K$7=E1056)),1,0)</x:f>
        <x:v>1</x:v>
      </x:c>
      <x:c r="S1056" s="2" t="n">
        <x:f>IF(R1056=1,SUM($R$10:R1056),0)</x:f>
        <x:v>683</x:v>
      </x:c>
      <x:c r="T1056" s="2" t="str">
        <x:v>Research &amp; Analysis</x:v>
      </x:c>
      <x:c r="U1056" s="2" t="n">
        <x:v>328</x:v>
      </x:c>
      <x:c r="V1056" s="2" t="n">
        <x:f>IF(AND(M1056=1,P1056=0,ISNUMBER(J1056),J1056&lt;TODAY()),1,0)</x:f>
        <x:v>1</x:v>
      </x:c>
      <x:c r="W1056" s="2" t="str">
        <x:f>'Research &amp; Analysis'!M328</x:f>
        <x:v>Task</x:v>
      </x:c>
    </x:row>
    <x:row r="1057" ht="40" customHeight="1">
      <x:c r="A1057" s="3" t="str">
        <x:f>HYPERLINK("#'Research &amp; Analysis'!A329","Open")</x:f>
        <x:v>Open</x:v>
      </x:c>
      <x:c r="B1057" s="2" t="str">
        <x:f>'Research &amp; Analysis'!B329</x:f>
        <x:v>Cycle 2</x:v>
      </x:c>
      <x:c r="C1057" s="2" t="str">
        <x:f>'Research &amp; Analysis'!C329</x:f>
        <x:v>Phase 3</x:v>
      </x:c>
      <x:c r="D1057" s="2" t="str">
        <x:f>'Research &amp; Analysis'!D329</x:f>
        <x:v>Retail Services</x:v>
      </x:c>
      <x:c r="E1057" s="2" t="str">
        <x:v>Research &amp; Analysis</x:v>
      </x:c>
      <x:c r="F1057" s="56" t="str">
        <x:f>'Research &amp; Analysis'!E329</x:f>
        <x:v>RA.RS.3.2</x:v>
      </x:c>
      <x:c r="G1057" s="14" t="str">
        <x:f>'Research &amp; Analysis'!F329</x:f>
        <x:v>Maintain and update the evidence package prior to handoff to D&amp;I</x:v>
      </x:c>
      <x:c r="H1057" s="2" t="str">
        <x:f>IF('Research &amp; Analysis'!G329="","",'Research &amp; Analysis'!G329)</x:f>
      </x:c>
      <x:c r="I1057" s="12" t="str">
        <x:f>IF('Research &amp; Analysis'!H329="","",'Research &amp; Analysis'!H329)</x:f>
      </x:c>
      <x:c r="J1057" s="12" t="n">
        <x:f>IF('Research &amp; Analysis'!I329="","",'Research &amp; Analysis'!I329)</x:f>
        <x:v>46203</x:v>
      </x:c>
      <x:c r="K1057" s="12" t="str">
        <x:f>IF('Research &amp; Analysis'!J329="","",'Research &amp; Analysis'!J329)</x:f>
      </x:c>
      <x:c r="L1057" s="2" t="str">
        <x:f>IF('Research &amp; Analysis'!K329="","",'Research &amp; Analysis'!K329)</x:f>
      </x:c>
      <x:c r="M1057" s="2" t="n">
        <x:f>'Research &amp; Analysis'!Q329</x:f>
        <x:v>1</x:v>
      </x:c>
      <x:c r="N1057" s="2" t="str">
        <x:f>'Research &amp; Analysis'!L329</x:f>
        <x:v>Not started</x:v>
      </x:c>
      <x:c r="O1057" s="2" t="str">
        <x:f>'Research &amp; Analysis'!N329</x:f>
        <x:v>RA.RS.3.2.2026.CY2</x:v>
      </x:c>
      <x:c r="P1057" s="2" t="n">
        <x:f>'Research &amp; Analysis'!O329</x:f>
        <x:v>0</x:v>
      </x:c>
      <x:c r="Q1057" s="2" t="n">
        <x:f>SUBTOTAL(103,O1057)</x:f>
        <x:v>1</x:v>
      </x:c>
      <x:c r="R1057" s="2" t="n">
        <x:f>IF(AND(M1057=1,OR(Dashboard!$B$7="All",Dashboard!$B$7='Cycles &amp; Guide'!$C$5),OR(Dashboard!$D$7="All",Dashboard!$D$7=B1057),OR(Dashboard!$F$7="All",Dashboard!$F$7=C1057),OR(Dashboard!$H$7="All",Dashboard!$H$7=D1057),OR(Dashboard!$K$7="All",Dashboard!$K$7=E1057)),1,0)</x:f>
        <x:v>1</x:v>
      </x:c>
      <x:c r="S1057" s="2" t="n">
        <x:f>IF(R1057=1,SUM($R$10:R1057),0)</x:f>
        <x:v>684</x:v>
      </x:c>
      <x:c r="T1057" s="2" t="str">
        <x:v>Research &amp; Analysis</x:v>
      </x:c>
      <x:c r="U1057" s="2" t="n">
        <x:v>329</x:v>
      </x:c>
      <x:c r="V1057" s="2" t="n">
        <x:f>IF(AND(M1057=1,P1057=0,ISNUMBER(J1057),J1057&lt;TODAY()),1,0)</x:f>
        <x:v>1</x:v>
      </x:c>
      <x:c r="W1057" s="2" t="str">
        <x:f>'Research &amp; Analysis'!M329</x:f>
        <x:v>Task</x:v>
      </x:c>
    </x:row>
    <x:row r="1058" ht="40" customHeight="1">
      <x:c r="A1058" s="3" t="str">
        <x:f>HYPERLINK("#'Research &amp; Analysis'!A330","Open")</x:f>
        <x:v>Open</x:v>
      </x:c>
      <x:c r="B1058" s="2" t="str">
        <x:f>'Research &amp; Analysis'!B330</x:f>
        <x:v>Cycle 2</x:v>
      </x:c>
      <x:c r="C1058" s="2" t="str">
        <x:f>'Research &amp; Analysis'!C330</x:f>
        <x:v>Phase 3</x:v>
      </x:c>
      <x:c r="D1058" s="2" t="str">
        <x:f>'Research &amp; Analysis'!D330</x:f>
        <x:v>Retail Services</x:v>
      </x:c>
      <x:c r="E1058" s="2" t="str">
        <x:v>Research &amp; Analysis</x:v>
      </x:c>
      <x:c r="F1058" s="56" t="str">
        <x:f>'Research &amp; Analysis'!E330</x:f>
        <x:v>RA.RS.3.3</x:v>
      </x:c>
      <x:c r="G1058" s="14" t="str">
        <x:f>'Research &amp; Analysis'!F330</x:f>
        <x:v>Address any outstanding questions or requests from D&amp;I</x:v>
      </x:c>
      <x:c r="H1058" s="2" t="str">
        <x:f>IF('Research &amp; Analysis'!G330="","",'Research &amp; Analysis'!G330)</x:f>
      </x:c>
      <x:c r="I1058" s="12" t="str">
        <x:f>IF('Research &amp; Analysis'!H330="","",'Research &amp; Analysis'!H330)</x:f>
      </x:c>
      <x:c r="J1058" s="12" t="n">
        <x:f>IF('Research &amp; Analysis'!I330="","",'Research &amp; Analysis'!I330)</x:f>
        <x:v>46203</x:v>
      </x:c>
      <x:c r="K1058" s="12" t="str">
        <x:f>IF('Research &amp; Analysis'!J330="","",'Research &amp; Analysis'!J330)</x:f>
      </x:c>
      <x:c r="L1058" s="2" t="str">
        <x:f>IF('Research &amp; Analysis'!K330="","",'Research &amp; Analysis'!K330)</x:f>
      </x:c>
      <x:c r="M1058" s="2" t="n">
        <x:f>'Research &amp; Analysis'!Q330</x:f>
        <x:v>1</x:v>
      </x:c>
      <x:c r="N1058" s="2" t="str">
        <x:f>'Research &amp; Analysis'!L330</x:f>
        <x:v>Not started</x:v>
      </x:c>
      <x:c r="O1058" s="2" t="str">
        <x:f>'Research &amp; Analysis'!N330</x:f>
        <x:v>RA.RS.3.3.2026.CY2</x:v>
      </x:c>
      <x:c r="P1058" s="2" t="n">
        <x:f>'Research &amp; Analysis'!O330</x:f>
        <x:v>0</x:v>
      </x:c>
      <x:c r="Q1058" s="2" t="n">
        <x:f>SUBTOTAL(103,O1058)</x:f>
        <x:v>1</x:v>
      </x:c>
      <x:c r="R1058" s="2" t="n">
        <x:f>IF(AND(M1058=1,OR(Dashboard!$B$7="All",Dashboard!$B$7='Cycles &amp; Guide'!$C$5),OR(Dashboard!$D$7="All",Dashboard!$D$7=B1058),OR(Dashboard!$F$7="All",Dashboard!$F$7=C1058),OR(Dashboard!$H$7="All",Dashboard!$H$7=D1058),OR(Dashboard!$K$7="All",Dashboard!$K$7=E1058)),1,0)</x:f>
        <x:v>1</x:v>
      </x:c>
      <x:c r="S1058" s="2" t="n">
        <x:f>IF(R1058=1,SUM($R$10:R1058),0)</x:f>
        <x:v>685</x:v>
      </x:c>
      <x:c r="T1058" s="2" t="str">
        <x:v>Research &amp; Analysis</x:v>
      </x:c>
      <x:c r="U1058" s="2" t="n">
        <x:v>330</x:v>
      </x:c>
      <x:c r="V1058" s="2" t="n">
        <x:f>IF(AND(M1058=1,P1058=0,ISNUMBER(J1058),J1058&lt;TODAY()),1,0)</x:f>
        <x:v>1</x:v>
      </x:c>
      <x:c r="W1058" s="2" t="str">
        <x:f>'Research &amp; Analysis'!M330</x:f>
        <x:v>Task</x:v>
      </x:c>
    </x:row>
    <x:row r="1059" ht="40" customHeight="1">
      <x:c r="A1059" s="3" t="str">
        <x:f>HYPERLINK("#'Research &amp; Analysis'!A331","Open")</x:f>
        <x:v>Open</x:v>
      </x:c>
      <x:c r="B1059" s="2" t="str">
        <x:f>'Research &amp; Analysis'!B331</x:f>
        <x:v>Cycle 2</x:v>
      </x:c>
      <x:c r="C1059" s="2" t="str">
        <x:f>'Research &amp; Analysis'!C331</x:f>
        <x:v>Phase 3</x:v>
      </x:c>
      <x:c r="D1059" s="2" t="str">
        <x:f>'Research &amp; Analysis'!D331</x:f>
        <x:v>Retail Services</x:v>
      </x:c>
      <x:c r="E1059" s="2" t="str">
        <x:v>Research &amp; Analysis</x:v>
      </x:c>
      <x:c r="F1059" s="56" t="str">
        <x:f>'Research &amp; Analysis'!E331</x:f>
        <x:v>RA.RS.3.4</x:v>
      </x:c>
      <x:c r="G1059" s="14" t="str">
        <x:f>'Research &amp; Analysis'!F331</x:f>
        <x:v>Attend Forum meeting with D&amp;I to assist with answering stakeholder questions (as needed)</x:v>
      </x:c>
      <x:c r="H1059" s="2" t="str">
        <x:f>IF('Research &amp; Analysis'!G331="","",'Research &amp; Analysis'!G331)</x:f>
      </x:c>
      <x:c r="I1059" s="12" t="str">
        <x:f>IF('Research &amp; Analysis'!H331="","",'Research &amp; Analysis'!H331)</x:f>
      </x:c>
      <x:c r="J1059" s="12" t="str">
        <x:f>IF('Research &amp; Analysis'!I331="","",'Research &amp; Analysis'!I331)</x:f>
      </x:c>
      <x:c r="K1059" s="12" t="str">
        <x:f>IF('Research &amp; Analysis'!J331="","",'Research &amp; Analysis'!J331)</x:f>
      </x:c>
      <x:c r="L1059" s="2" t="str">
        <x:f>IF('Research &amp; Analysis'!K331="","",'Research &amp; Analysis'!K331)</x:f>
      </x:c>
      <x:c r="M1059" s="2" t="n">
        <x:f>'Research &amp; Analysis'!Q331</x:f>
        <x:v>1</x:v>
      </x:c>
      <x:c r="N1059" s="2" t="str">
        <x:f>'Research &amp; Analysis'!L331</x:f>
        <x:v>Not started</x:v>
      </x:c>
      <x:c r="O1059" s="2" t="str">
        <x:f>'Research &amp; Analysis'!N331</x:f>
        <x:v>RA.RS.3.4.2026.CY2</x:v>
      </x:c>
      <x:c r="P1059" s="2" t="n">
        <x:f>'Research &amp; Analysis'!O331</x:f>
        <x:v>0</x:v>
      </x:c>
      <x:c r="Q1059" s="2" t="n">
        <x:f>SUBTOTAL(103,O1059)</x:f>
        <x:v>1</x:v>
      </x:c>
      <x:c r="R1059" s="2" t="n">
        <x:f>IF(AND(M1059=1,OR(Dashboard!$B$7="All",Dashboard!$B$7='Cycles &amp; Guide'!$C$5),OR(Dashboard!$D$7="All",Dashboard!$D$7=B1059),OR(Dashboard!$F$7="All",Dashboard!$F$7=C1059),OR(Dashboard!$H$7="All",Dashboard!$H$7=D1059),OR(Dashboard!$K$7="All",Dashboard!$K$7=E1059)),1,0)</x:f>
        <x:v>1</x:v>
      </x:c>
      <x:c r="S1059" s="2" t="n">
        <x:f>IF(R1059=1,SUM($R$10:R1059),0)</x:f>
        <x:v>686</x:v>
      </x:c>
      <x:c r="T1059" s="2" t="str">
        <x:v>Research &amp; Analysis</x:v>
      </x:c>
      <x:c r="U1059" s="2" t="n">
        <x:v>331</x:v>
      </x:c>
      <x:c r="V1059" s="2" t="n">
        <x:f>IF(AND(M1059=1,P1059=0,ISNUMBER(J1059),J1059&lt;TODAY()),1,0)</x:f>
        <x:v>0</x:v>
      </x:c>
      <x:c r="W1059" s="2" t="str">
        <x:f>'Research &amp; Analysis'!M331</x:f>
        <x:v>Task</x:v>
      </x:c>
    </x:row>
    <x:row r="1060" ht="40" customHeight="1">
      <x:c r="A1060" s="3" t="str">
        <x:f>HYPERLINK("#'Research &amp; Analysis'!A332","Open")</x:f>
        <x:v>Open</x:v>
      </x:c>
      <x:c r="B1060" s="2" t="str">
        <x:f>'Research &amp; Analysis'!B332</x:f>
        <x:v>Cycle 3</x:v>
      </x:c>
      <x:c r="C1060" s="2" t="str">
        <x:f>'Research &amp; Analysis'!C332</x:f>
        <x:v>Phase 1</x:v>
      </x:c>
      <x:c r="D1060" s="2" t="str">
        <x:f>'Research &amp; Analysis'!D332</x:f>
        <x:v>Auto</x:v>
      </x:c>
      <x:c r="E1060" s="2" t="str">
        <x:v>Research &amp; Analysis</x:v>
      </x:c>
      <x:c r="F1060" s="56" t="str">
        <x:f>'Research &amp; Analysis'!E332</x:f>
        <x:v>RA.AU.1.1</x:v>
      </x:c>
      <x:c r="G1060" s="14" t="str">
        <x:f>'Research &amp; Analysis'!F332</x:f>
        <x:v>Begin Research process 2 weeks prior to Cycle start</x:v>
      </x:c>
      <x:c r="H1060" s="2" t="str">
        <x:f>IF('Research &amp; Analysis'!G332="","",'Research &amp; Analysis'!G332)</x:f>
      </x:c>
      <x:c r="I1060" s="12" t="str">
        <x:f>IF('Research &amp; Analysis'!H332="","",'Research &amp; Analysis'!H332)</x:f>
      </x:c>
      <x:c r="J1060" s="12" t="n">
        <x:f>IF('Research &amp; Analysis'!I332="","",'Research &amp; Analysis'!I332)</x:f>
        <x:v>46190</x:v>
      </x:c>
      <x:c r="K1060" s="12" t="str">
        <x:f>IF('Research &amp; Analysis'!J332="","",'Research &amp; Analysis'!J332)</x:f>
      </x:c>
      <x:c r="L1060" s="2" t="str">
        <x:f>IF('Research &amp; Analysis'!K332="","",'Research &amp; Analysis'!K332)</x:f>
      </x:c>
      <x:c r="M1060" s="2" t="n">
        <x:f>'Research &amp; Analysis'!Q332</x:f>
        <x:v>1</x:v>
      </x:c>
      <x:c r="N1060" s="2" t="str">
        <x:f>'Research &amp; Analysis'!L332</x:f>
        <x:v>Not started</x:v>
      </x:c>
      <x:c r="O1060" s="2" t="str">
        <x:f>'Research &amp; Analysis'!N332</x:f>
        <x:v>RA.AU.1.1.2026.CY3</x:v>
      </x:c>
      <x:c r="P1060" s="2" t="n">
        <x:f>'Research &amp; Analysis'!O332</x:f>
        <x:v>0</x:v>
      </x:c>
      <x:c r="Q1060" s="2" t="n">
        <x:f>SUBTOTAL(103,O1060)</x:f>
        <x:v>1</x:v>
      </x:c>
      <x:c r="R1060" s="2" t="n">
        <x:f>IF(AND(M1060=1,OR(Dashboard!$B$7="All",Dashboard!$B$7='Cycles &amp; Guide'!$C$5),OR(Dashboard!$D$7="All",Dashboard!$D$7=B1060),OR(Dashboard!$F$7="All",Dashboard!$F$7=C1060),OR(Dashboard!$H$7="All",Dashboard!$H$7=D1060),OR(Dashboard!$K$7="All",Dashboard!$K$7=E1060)),1,0)</x:f>
        <x:v>1</x:v>
      </x:c>
      <x:c r="S1060" s="2" t="n">
        <x:f>IF(R1060=1,SUM($R$10:R1060),0)</x:f>
        <x:v>687</x:v>
      </x:c>
      <x:c r="T1060" s="2" t="str">
        <x:v>Research &amp; Analysis</x:v>
      </x:c>
      <x:c r="U1060" s="2" t="n">
        <x:v>332</x:v>
      </x:c>
      <x:c r="V1060" s="2" t="n">
        <x:f>IF(AND(M1060=1,P1060=0,ISNUMBER(J1060),J1060&lt;TODAY()),1,0)</x:f>
        <x:v>1</x:v>
      </x:c>
      <x:c r="W1060" s="2" t="str">
        <x:f>'Research &amp; Analysis'!M332</x:f>
        <x:v>Task</x:v>
      </x:c>
    </x:row>
    <x:row r="1061" ht="40" customHeight="1">
      <x:c r="A1061" s="3" t="str">
        <x:f>HYPERLINK("#'Research &amp; Analysis'!A333","Open")</x:f>
        <x:v>Open</x:v>
      </x:c>
      <x:c r="B1061" s="2" t="str">
        <x:f>'Research &amp; Analysis'!B333</x:f>
        <x:v>Cycle 3</x:v>
      </x:c>
      <x:c r="C1061" s="2" t="str">
        <x:f>'Research &amp; Analysis'!C333</x:f>
        <x:v>Phase 1</x:v>
      </x:c>
      <x:c r="D1061" s="2" t="str">
        <x:f>'Research &amp; Analysis'!D333</x:f>
        <x:v>Auto</x:v>
      </x:c>
      <x:c r="E1061" s="2" t="str">
        <x:v>Research &amp; Analysis</x:v>
      </x:c>
      <x:c r="F1061" s="56" t="str">
        <x:f>'Research &amp; Analysis'!E333</x:f>
        <x:v>RA.AU.1.2</x:v>
      </x:c>
      <x:c r="G1061" s="14" t="str">
        <x:f>'Research &amp; Analysis'!F333</x:f>
        <x:v>Conduct initial assessment of each topic recommendation from SharePoint list</x:v>
      </x:c>
      <x:c r="H1061" s="2" t="str">
        <x:f>IF('Research &amp; Analysis'!G333="","",'Research &amp; Analysis'!G333)</x:f>
      </x:c>
      <x:c r="I1061" s="12" t="str">
        <x:f>IF('Research &amp; Analysis'!H333="","",'Research &amp; Analysis'!H333)</x:f>
      </x:c>
      <x:c r="J1061" s="12" t="n">
        <x:f>IF('Research &amp; Analysis'!I333="","",'Research &amp; Analysis'!I333)</x:f>
        <x:v>46295</x:v>
      </x:c>
      <x:c r="K1061" s="12" t="str">
        <x:f>IF('Research &amp; Analysis'!J333="","",'Research &amp; Analysis'!J333)</x:f>
      </x:c>
      <x:c r="L1061" s="2" t="str">
        <x:f>IF('Research &amp; Analysis'!K333="","",'Research &amp; Analysis'!K333)</x:f>
      </x:c>
      <x:c r="M1061" s="2" t="n">
        <x:f>'Research &amp; Analysis'!Q333</x:f>
        <x:v>1</x:v>
      </x:c>
      <x:c r="N1061" s="2" t="str">
        <x:f>'Research &amp; Analysis'!L333</x:f>
        <x:v>Not started</x:v>
      </x:c>
      <x:c r="O1061" s="2" t="str">
        <x:f>'Research &amp; Analysis'!N333</x:f>
        <x:v>RA.AU.1.2.2026.CY3</x:v>
      </x:c>
      <x:c r="P1061" s="2" t="n">
        <x:f>'Research &amp; Analysis'!O333</x:f>
        <x:v>0</x:v>
      </x:c>
      <x:c r="Q1061" s="2" t="n">
        <x:f>SUBTOTAL(103,O1061)</x:f>
        <x:v>1</x:v>
      </x:c>
      <x:c r="R1061" s="2" t="n">
        <x:f>IF(AND(M1061=1,OR(Dashboard!$B$7="All",Dashboard!$B$7='Cycles &amp; Guide'!$C$5),OR(Dashboard!$D$7="All",Dashboard!$D$7=B1061),OR(Dashboard!$F$7="All",Dashboard!$F$7=C1061),OR(Dashboard!$H$7="All",Dashboard!$H$7=D1061),OR(Dashboard!$K$7="All",Dashboard!$K$7=E1061)),1,0)</x:f>
        <x:v>1</x:v>
      </x:c>
      <x:c r="S1061" s="2" t="n">
        <x:f>IF(R1061=1,SUM($R$10:R1061),0)</x:f>
        <x:v>688</x:v>
      </x:c>
      <x:c r="T1061" s="2" t="str">
        <x:v>Research &amp; Analysis</x:v>
      </x:c>
      <x:c r="U1061" s="2" t="n">
        <x:v>333</x:v>
      </x:c>
      <x:c r="V1061" s="2" t="n">
        <x:f>IF(AND(M1061=1,P1061=0,ISNUMBER(J1061),J1061&lt;TODAY()),1,0)</x:f>
        <x:v>0</x:v>
      </x:c>
      <x:c r="W1061" s="2" t="str">
        <x:f>'Research &amp; Analysis'!M333</x:f>
        <x:v>Task</x:v>
      </x:c>
    </x:row>
    <x:row r="1062" ht="40" customHeight="1">
      <x:c r="A1062" s="3" t="str">
        <x:f>HYPERLINK("#'Research &amp; Analysis'!A334","Open")</x:f>
        <x:v>Open</x:v>
      </x:c>
      <x:c r="B1062" s="2" t="str">
        <x:f>'Research &amp; Analysis'!B334</x:f>
        <x:v>Cycle 3</x:v>
      </x:c>
      <x:c r="C1062" s="2" t="str">
        <x:f>'Research &amp; Analysis'!C334</x:f>
        <x:v>Phase 1</x:v>
      </x:c>
      <x:c r="D1062" s="2" t="str">
        <x:f>'Research &amp; Analysis'!D334</x:f>
        <x:v>Auto</x:v>
      </x:c>
      <x:c r="E1062" s="2" t="str">
        <x:v>Research &amp; Analysis</x:v>
      </x:c>
      <x:c r="F1062" s="56" t="str">
        <x:f>'Research &amp; Analysis'!E334</x:f>
        <x:v>RA.AU.1.3</x:v>
      </x:c>
      <x:c r="G1062" s="14" t="str">
        <x:f>'Research &amp; Analysis'!F334</x:f>
        <x:v>Identify best topic for Cycle</x:v>
      </x:c>
      <x:c r="H1062" s="2" t="str">
        <x:f>IF('Research &amp; Analysis'!G334="","",'Research &amp; Analysis'!G334)</x:f>
      </x:c>
      <x:c r="I1062" s="12" t="str">
        <x:f>IF('Research &amp; Analysis'!H334="","",'Research &amp; Analysis'!H334)</x:f>
      </x:c>
      <x:c r="J1062" s="12" t="n">
        <x:f>IF('Research &amp; Analysis'!I334="","",'Research &amp; Analysis'!I334)</x:f>
        <x:v>46295</x:v>
      </x:c>
      <x:c r="K1062" s="12" t="str">
        <x:f>IF('Research &amp; Analysis'!J334="","",'Research &amp; Analysis'!J334)</x:f>
      </x:c>
      <x:c r="L1062" s="2" t="str">
        <x:f>IF('Research &amp; Analysis'!K334="","",'Research &amp; Analysis'!K334)</x:f>
      </x:c>
      <x:c r="M1062" s="2" t="n">
        <x:f>'Research &amp; Analysis'!Q334</x:f>
        <x:v>1</x:v>
      </x:c>
      <x:c r="N1062" s="2" t="str">
        <x:f>'Research &amp; Analysis'!L334</x:f>
        <x:v>Not started</x:v>
      </x:c>
      <x:c r="O1062" s="2" t="str">
        <x:f>'Research &amp; Analysis'!N334</x:f>
        <x:v>RA.AU.1.3.2026.CY3</x:v>
      </x:c>
      <x:c r="P1062" s="2" t="n">
        <x:f>'Research &amp; Analysis'!O334</x:f>
        <x:v>0</x:v>
      </x:c>
      <x:c r="Q1062" s="2" t="n">
        <x:f>SUBTOTAL(103,O1062)</x:f>
        <x:v>1</x:v>
      </x:c>
      <x:c r="R1062" s="2" t="n">
        <x:f>IF(AND(M1062=1,OR(Dashboard!$B$7="All",Dashboard!$B$7='Cycles &amp; Guide'!$C$5),OR(Dashboard!$D$7="All",Dashboard!$D$7=B1062),OR(Dashboard!$F$7="All",Dashboard!$F$7=C1062),OR(Dashboard!$H$7="All",Dashboard!$H$7=D1062),OR(Dashboard!$K$7="All",Dashboard!$K$7=E1062)),1,0)</x:f>
        <x:v>1</x:v>
      </x:c>
      <x:c r="S1062" s="2" t="n">
        <x:f>IF(R1062=1,SUM($R$10:R1062),0)</x:f>
        <x:v>689</x:v>
      </x:c>
      <x:c r="T1062" s="2" t="str">
        <x:v>Research &amp; Analysis</x:v>
      </x:c>
      <x:c r="U1062" s="2" t="n">
        <x:v>334</x:v>
      </x:c>
      <x:c r="V1062" s="2" t="n">
        <x:f>IF(AND(M1062=1,P1062=0,ISNUMBER(J1062),J1062&lt;TODAY()),1,0)</x:f>
        <x:v>0</x:v>
      </x:c>
      <x:c r="W1062" s="2" t="str">
        <x:f>'Research &amp; Analysis'!M334</x:f>
        <x:v>Task</x:v>
      </x:c>
    </x:row>
    <x:row r="1063" ht="40" customHeight="1">
      <x:c r="A1063" s="3" t="str">
        <x:f>HYPERLINK("#'Research &amp; Analysis'!A335","Open")</x:f>
        <x:v>Open</x:v>
      </x:c>
      <x:c r="B1063" s="2" t="str">
        <x:f>'Research &amp; Analysis'!B335</x:f>
        <x:v>Cycle 3</x:v>
      </x:c>
      <x:c r="C1063" s="2" t="str">
        <x:f>'Research &amp; Analysis'!C335</x:f>
        <x:v>Phase 1</x:v>
      </x:c>
      <x:c r="D1063" s="2" t="str">
        <x:f>'Research &amp; Analysis'!D335</x:f>
        <x:v>Auto</x:v>
      </x:c>
      <x:c r="E1063" s="2" t="str">
        <x:v>Research &amp; Analysis</x:v>
      </x:c>
      <x:c r="F1063" s="56" t="str">
        <x:f>'Research &amp; Analysis'!E335</x:f>
        <x:v>RA.AU.1.4</x:v>
      </x:c>
      <x:c r="G1063" s="14" t="str">
        <x:f>'Research &amp; Analysis'!F335</x:f>
        <x:v>Identify backup topic for Cycle</x:v>
      </x:c>
      <x:c r="H1063" s="2" t="str">
        <x:f>IF('Research &amp; Analysis'!G335="","",'Research &amp; Analysis'!G335)</x:f>
      </x:c>
      <x:c r="I1063" s="12" t="str">
        <x:f>IF('Research &amp; Analysis'!H335="","",'Research &amp; Analysis'!H335)</x:f>
      </x:c>
      <x:c r="J1063" s="12" t="n">
        <x:f>IF('Research &amp; Analysis'!I335="","",'Research &amp; Analysis'!I335)</x:f>
        <x:v>46295</x:v>
      </x:c>
      <x:c r="K1063" s="12" t="str">
        <x:f>IF('Research &amp; Analysis'!J335="","",'Research &amp; Analysis'!J335)</x:f>
      </x:c>
      <x:c r="L1063" s="2" t="str">
        <x:f>IF('Research &amp; Analysis'!K335="","",'Research &amp; Analysis'!K335)</x:f>
      </x:c>
      <x:c r="M1063" s="2" t="n">
        <x:f>'Research &amp; Analysis'!Q335</x:f>
        <x:v>1</x:v>
      </x:c>
      <x:c r="N1063" s="2" t="str">
        <x:f>'Research &amp; Analysis'!L335</x:f>
        <x:v>Not started</x:v>
      </x:c>
      <x:c r="O1063" s="2" t="str">
        <x:f>'Research &amp; Analysis'!N335</x:f>
        <x:v>RA.AU.1.4.2026.CY3</x:v>
      </x:c>
      <x:c r="P1063" s="2" t="n">
        <x:f>'Research &amp; Analysis'!O335</x:f>
        <x:v>0</x:v>
      </x:c>
      <x:c r="Q1063" s="2" t="n">
        <x:f>SUBTOTAL(103,O1063)</x:f>
        <x:v>1</x:v>
      </x:c>
      <x:c r="R1063" s="2" t="n">
        <x:f>IF(AND(M1063=1,OR(Dashboard!$B$7="All",Dashboard!$B$7='Cycles &amp; Guide'!$C$5),OR(Dashboard!$D$7="All",Dashboard!$D$7=B1063),OR(Dashboard!$F$7="All",Dashboard!$F$7=C1063),OR(Dashboard!$H$7="All",Dashboard!$H$7=D1063),OR(Dashboard!$K$7="All",Dashboard!$K$7=E1063)),1,0)</x:f>
        <x:v>1</x:v>
      </x:c>
      <x:c r="S1063" s="2" t="n">
        <x:f>IF(R1063=1,SUM($R$10:R1063),0)</x:f>
        <x:v>690</x:v>
      </x:c>
      <x:c r="T1063" s="2" t="str">
        <x:v>Research &amp; Analysis</x:v>
      </x:c>
      <x:c r="U1063" s="2" t="n">
        <x:v>335</x:v>
      </x:c>
      <x:c r="V1063" s="2" t="n">
        <x:f>IF(AND(M1063=1,P1063=0,ISNUMBER(J1063),J1063&lt;TODAY()),1,0)</x:f>
        <x:v>0</x:v>
      </x:c>
      <x:c r="W1063" s="2" t="str">
        <x:f>'Research &amp; Analysis'!M335</x:f>
        <x:v>Task</x:v>
      </x:c>
    </x:row>
    <x:row r="1064" ht="40" customHeight="1">
      <x:c r="A1064" s="3" t="str">
        <x:f>HYPERLINK("#'Research &amp; Analysis'!A336","Open")</x:f>
        <x:v>Open</x:v>
      </x:c>
      <x:c r="B1064" s="2" t="str">
        <x:f>'Research &amp; Analysis'!B336</x:f>
        <x:v>Cycle 3</x:v>
      </x:c>
      <x:c r="C1064" s="2" t="str">
        <x:f>'Research &amp; Analysis'!C336</x:f>
        <x:v>Phase 1</x:v>
      </x:c>
      <x:c r="D1064" s="2" t="str">
        <x:f>'Research &amp; Analysis'!D336</x:f>
        <x:v>Auto</x:v>
      </x:c>
      <x:c r="E1064" s="2" t="str">
        <x:v>Research &amp; Analysis</x:v>
      </x:c>
      <x:c r="F1064" s="56" t="str">
        <x:f>'Research &amp; Analysis'!E336</x:f>
        <x:v>RA.AU.1.5</x:v>
      </x:c>
      <x:c r="G1064" s="14" t="str">
        <x:f>'Research &amp; Analysis'!F336</x:f>
        <x:v>Schedule topic approval meeting with D&amp;I and management</x:v>
      </x:c>
      <x:c r="H1064" s="2" t="str">
        <x:f>IF('Research &amp; Analysis'!G336="","",'Research &amp; Analysis'!G336)</x:f>
      </x:c>
      <x:c r="I1064" s="12" t="str">
        <x:f>IF('Research &amp; Analysis'!H336="","",'Research &amp; Analysis'!H336)</x:f>
      </x:c>
      <x:c r="J1064" s="12" t="n">
        <x:f>IF('Research &amp; Analysis'!I336="","",'Research &amp; Analysis'!I336)</x:f>
        <x:v>46295</x:v>
      </x:c>
      <x:c r="K1064" s="12" t="str">
        <x:f>IF('Research &amp; Analysis'!J336="","",'Research &amp; Analysis'!J336)</x:f>
      </x:c>
      <x:c r="L1064" s="2" t="str">
        <x:f>IF('Research &amp; Analysis'!K336="","",'Research &amp; Analysis'!K336)</x:f>
      </x:c>
      <x:c r="M1064" s="2" t="n">
        <x:f>'Research &amp; Analysis'!Q336</x:f>
        <x:v>1</x:v>
      </x:c>
      <x:c r="N1064" s="2" t="str">
        <x:f>'Research &amp; Analysis'!L336</x:f>
        <x:v>Not started</x:v>
      </x:c>
      <x:c r="O1064" s="2" t="str">
        <x:f>'Research &amp; Analysis'!N336</x:f>
        <x:v>RA.AU.1.5.2026.CY3</x:v>
      </x:c>
      <x:c r="P1064" s="2" t="n">
        <x:f>'Research &amp; Analysis'!O336</x:f>
        <x:v>0</x:v>
      </x:c>
      <x:c r="Q1064" s="2" t="n">
        <x:f>SUBTOTAL(103,O1064)</x:f>
        <x:v>1</x:v>
      </x:c>
      <x:c r="R1064" s="2" t="n">
        <x:f>IF(AND(M1064=1,OR(Dashboard!$B$7="All",Dashboard!$B$7='Cycles &amp; Guide'!$C$5),OR(Dashboard!$D$7="All",Dashboard!$D$7=B1064),OR(Dashboard!$F$7="All",Dashboard!$F$7=C1064),OR(Dashboard!$H$7="All",Dashboard!$H$7=D1064),OR(Dashboard!$K$7="All",Dashboard!$K$7=E1064)),1,0)</x:f>
        <x:v>1</x:v>
      </x:c>
      <x:c r="S1064" s="2" t="n">
        <x:f>IF(R1064=1,SUM($R$10:R1064),0)</x:f>
        <x:v>691</x:v>
      </x:c>
      <x:c r="T1064" s="2" t="str">
        <x:v>Research &amp; Analysis</x:v>
      </x:c>
      <x:c r="U1064" s="2" t="n">
        <x:v>336</x:v>
      </x:c>
      <x:c r="V1064" s="2" t="n">
        <x:f>IF(AND(M1064=1,P1064=0,ISNUMBER(J1064),J1064&lt;TODAY()),1,0)</x:f>
        <x:v>0</x:v>
      </x:c>
      <x:c r="W1064" s="2" t="str">
        <x:f>'Research &amp; Analysis'!M336</x:f>
        <x:v>Task</x:v>
      </x:c>
    </x:row>
    <x:row r="1065" ht="40" customHeight="1">
      <x:c r="A1065" s="3" t="str">
        <x:f>HYPERLINK("#'Research &amp; Analysis'!A337","Open")</x:f>
        <x:v>Open</x:v>
      </x:c>
      <x:c r="B1065" s="2" t="str">
        <x:f>'Research &amp; Analysis'!B337</x:f>
        <x:v>Cycle 3</x:v>
      </x:c>
      <x:c r="C1065" s="2" t="str">
        <x:f>'Research &amp; Analysis'!C337</x:f>
        <x:v>Phase 1</x:v>
      </x:c>
      <x:c r="D1065" s="2" t="str">
        <x:f>'Research &amp; Analysis'!D337</x:f>
        <x:v>Auto</x:v>
      </x:c>
      <x:c r="E1065" s="2" t="str">
        <x:v>Research &amp; Analysis</x:v>
      </x:c>
      <x:c r="F1065" s="56" t="str">
        <x:f>'Research &amp; Analysis'!E337</x:f>
        <x:v>RA.AU.1.6</x:v>
      </x:c>
      <x:c r="G1065" s="14" t="str">
        <x:f>'Research &amp; Analysis'!F337</x:f>
        <x:v>Present recommended topic to D&amp;I and management for approval</x:v>
      </x:c>
      <x:c r="H1065" s="2" t="str">
        <x:f>IF('Research &amp; Analysis'!G337="","",'Research &amp; Analysis'!G337)</x:f>
      </x:c>
      <x:c r="I1065" s="12" t="str">
        <x:f>IF('Research &amp; Analysis'!H337="","",'Research &amp; Analysis'!H337)</x:f>
      </x:c>
      <x:c r="J1065" s="12" t="n">
        <x:f>IF('Research &amp; Analysis'!I337="","",'Research &amp; Analysis'!I337)</x:f>
        <x:v>46295</x:v>
      </x:c>
      <x:c r="K1065" s="12" t="str">
        <x:f>IF('Research &amp; Analysis'!J337="","",'Research &amp; Analysis'!J337)</x:f>
      </x:c>
      <x:c r="L1065" s="2" t="str">
        <x:f>IF('Research &amp; Analysis'!K337="","",'Research &amp; Analysis'!K337)</x:f>
      </x:c>
      <x:c r="M1065" s="2" t="n">
        <x:f>'Research &amp; Analysis'!Q337</x:f>
        <x:v>1</x:v>
      </x:c>
      <x:c r="N1065" s="2" t="str">
        <x:f>'Research &amp; Analysis'!L337</x:f>
        <x:v>Not started</x:v>
      </x:c>
      <x:c r="O1065" s="2" t="str">
        <x:f>'Research &amp; Analysis'!N337</x:f>
        <x:v>RA.AU.1.6.2026.CY3</x:v>
      </x:c>
      <x:c r="P1065" s="2" t="n">
        <x:f>'Research &amp; Analysis'!O337</x:f>
        <x:v>0</x:v>
      </x:c>
      <x:c r="Q1065" s="2" t="n">
        <x:f>SUBTOTAL(103,O1065)</x:f>
        <x:v>1</x:v>
      </x:c>
      <x:c r="R1065" s="2" t="n">
        <x:f>IF(AND(M1065=1,OR(Dashboard!$B$7="All",Dashboard!$B$7='Cycles &amp; Guide'!$C$5),OR(Dashboard!$D$7="All",Dashboard!$D$7=B1065),OR(Dashboard!$F$7="All",Dashboard!$F$7=C1065),OR(Dashboard!$H$7="All",Dashboard!$H$7=D1065),OR(Dashboard!$K$7="All",Dashboard!$K$7=E1065)),1,0)</x:f>
        <x:v>1</x:v>
      </x:c>
      <x:c r="S1065" s="2" t="n">
        <x:f>IF(R1065=1,SUM($R$10:R1065),0)</x:f>
        <x:v>692</x:v>
      </x:c>
      <x:c r="T1065" s="2" t="str">
        <x:v>Research &amp; Analysis</x:v>
      </x:c>
      <x:c r="U1065" s="2" t="n">
        <x:v>337</x:v>
      </x:c>
      <x:c r="V1065" s="2" t="n">
        <x:f>IF(AND(M1065=1,P1065=0,ISNUMBER(J1065),J1065&lt;TODAY()),1,0)</x:f>
        <x:v>0</x:v>
      </x:c>
      <x:c r="W1065" s="2" t="str">
        <x:f>'Research &amp; Analysis'!M337</x:f>
        <x:v>Task</x:v>
      </x:c>
    </x:row>
    <x:row r="1066" ht="40" customHeight="1">
      <x:c r="A1066" s="3" t="str">
        <x:f>HYPERLINK("#'Research &amp; Analysis'!A338","Open")</x:f>
        <x:v>Open</x:v>
      </x:c>
      <x:c r="B1066" s="2" t="str">
        <x:f>'Research &amp; Analysis'!B338</x:f>
        <x:v>Cycle 3</x:v>
      </x:c>
      <x:c r="C1066" s="2" t="str">
        <x:f>'Research &amp; Analysis'!C338</x:f>
        <x:v>Phase 1</x:v>
      </x:c>
      <x:c r="D1066" s="2" t="str">
        <x:f>'Research &amp; Analysis'!D338</x:f>
        <x:v>Auto</x:v>
      </x:c>
      <x:c r="E1066" s="2" t="str">
        <x:v>Research &amp; Analysis</x:v>
      </x:c>
      <x:c r="F1066" s="56" t="str">
        <x:f>'Research &amp; Analysis'!E338</x:f>
        <x:v>RA.AU.1.7</x:v>
      </x:c>
      <x:c r="G1066" s="14" t="str">
        <x:f>'Research &amp; Analysis'!F338</x:f>
        <x:v>Obtain formal topic selection approval from management via SharePoint</x:v>
      </x:c>
      <x:c r="H1066" s="2" t="str">
        <x:f>IF('Research &amp; Analysis'!G338="","",'Research &amp; Analysis'!G338)</x:f>
      </x:c>
      <x:c r="I1066" s="12" t="str">
        <x:f>IF('Research &amp; Analysis'!H338="","",'Research &amp; Analysis'!H338)</x:f>
      </x:c>
      <x:c r="J1066" s="12" t="n">
        <x:f>IF('Research &amp; Analysis'!I338="","",'Research &amp; Analysis'!I338)</x:f>
        <x:v>46295</x:v>
      </x:c>
      <x:c r="K1066" s="12" t="str">
        <x:f>IF('Research &amp; Analysis'!J338="","",'Research &amp; Analysis'!J338)</x:f>
      </x:c>
      <x:c r="L1066" s="2" t="str">
        <x:f>IF('Research &amp; Analysis'!K338="","",'Research &amp; Analysis'!K338)</x:f>
      </x:c>
      <x:c r="M1066" s="2" t="n">
        <x:f>'Research &amp; Analysis'!Q338</x:f>
        <x:v>1</x:v>
      </x:c>
      <x:c r="N1066" s="2" t="str">
        <x:f>'Research &amp; Analysis'!L338</x:f>
        <x:v>Not started</x:v>
      </x:c>
      <x:c r="O1066" s="2" t="str">
        <x:f>'Research &amp; Analysis'!N338</x:f>
        <x:v>RA.AU.1.7.2026.CY3</x:v>
      </x:c>
      <x:c r="P1066" s="2" t="n">
        <x:f>'Research &amp; Analysis'!O338</x:f>
        <x:v>0</x:v>
      </x:c>
      <x:c r="Q1066" s="2" t="n">
        <x:f>SUBTOTAL(103,O1066)</x:f>
        <x:v>1</x:v>
      </x:c>
      <x:c r="R1066" s="2" t="n">
        <x:f>IF(AND(M1066=1,OR(Dashboard!$B$7="All",Dashboard!$B$7='Cycles &amp; Guide'!$C$5),OR(Dashboard!$D$7="All",Dashboard!$D$7=B1066),OR(Dashboard!$F$7="All",Dashboard!$F$7=C1066),OR(Dashboard!$H$7="All",Dashboard!$H$7=D1066),OR(Dashboard!$K$7="All",Dashboard!$K$7=E1066)),1,0)</x:f>
        <x:v>1</x:v>
      </x:c>
      <x:c r="S1066" s="2" t="n">
        <x:f>IF(R1066=1,SUM($R$10:R1066),0)</x:f>
        <x:v>693</x:v>
      </x:c>
      <x:c r="T1066" s="2" t="str">
        <x:v>Research &amp; Analysis</x:v>
      </x:c>
      <x:c r="U1066" s="2" t="n">
        <x:v>338</x:v>
      </x:c>
      <x:c r="V1066" s="2" t="n">
        <x:f>IF(AND(M1066=1,P1066=0,ISNUMBER(J1066),J1066&lt;TODAY()),1,0)</x:f>
        <x:v>0</x:v>
      </x:c>
      <x:c r="W1066" s="2" t="str">
        <x:f>'Research &amp; Analysis'!M338</x:f>
        <x:v>Task</x:v>
      </x:c>
    </x:row>
    <x:row r="1067" ht="40" customHeight="1">
      <x:c r="A1067" s="3" t="str">
        <x:f>HYPERLINK("#'Research &amp; Analysis'!A339","Open")</x:f>
        <x:v>Open</x:v>
      </x:c>
      <x:c r="B1067" s="2" t="str">
        <x:f>'Research &amp; Analysis'!B339</x:f>
        <x:v>Cycle 3</x:v>
      </x:c>
      <x:c r="C1067" s="2" t="str">
        <x:f>'Research &amp; Analysis'!C339</x:f>
        <x:v>Phase 1</x:v>
      </x:c>
      <x:c r="D1067" s="2" t="str">
        <x:f>'Research &amp; Analysis'!D339</x:f>
        <x:v>Auto</x:v>
      </x:c>
      <x:c r="E1067" s="2" t="str">
        <x:v>Research &amp; Analysis</x:v>
      </x:c>
      <x:c r="F1067" s="56" t="str">
        <x:f>'Research &amp; Analysis'!E339</x:f>
        <x:v>RA.AU.1.8</x:v>
      </x:c>
      <x:c r="G1067" s="14" t="str">
        <x:f>'Research &amp; Analysis'!F339</x:f>
        <x:v>Socialize topic selection with product owners and subject matter experts (if known)</x:v>
      </x:c>
      <x:c r="H1067" s="2" t="str">
        <x:f>IF('Research &amp; Analysis'!G339="","",'Research &amp; Analysis'!G339)</x:f>
      </x:c>
      <x:c r="I1067" s="12" t="str">
        <x:f>IF('Research &amp; Analysis'!H339="","",'Research &amp; Analysis'!H339)</x:f>
      </x:c>
      <x:c r="J1067" s="12" t="n">
        <x:f>IF('Research &amp; Analysis'!I339="","",'Research &amp; Analysis'!I339)</x:f>
        <x:v>46295</x:v>
      </x:c>
      <x:c r="K1067" s="12" t="str">
        <x:f>IF('Research &amp; Analysis'!J339="","",'Research &amp; Analysis'!J339)</x:f>
      </x:c>
      <x:c r="L1067" s="2" t="str">
        <x:f>IF('Research &amp; Analysis'!K339="","",'Research &amp; Analysis'!K339)</x:f>
      </x:c>
      <x:c r="M1067" s="2" t="n">
        <x:f>'Research &amp; Analysis'!Q339</x:f>
        <x:v>1</x:v>
      </x:c>
      <x:c r="N1067" s="2" t="str">
        <x:f>'Research &amp; Analysis'!L339</x:f>
        <x:v>Not started</x:v>
      </x:c>
      <x:c r="O1067" s="2" t="str">
        <x:f>'Research &amp; Analysis'!N339</x:f>
        <x:v>RA.AU.1.8.2026.CY3</x:v>
      </x:c>
      <x:c r="P1067" s="2" t="n">
        <x:f>'Research &amp; Analysis'!O339</x:f>
        <x:v>0</x:v>
      </x:c>
      <x:c r="Q1067" s="2" t="n">
        <x:f>SUBTOTAL(103,O1067)</x:f>
        <x:v>1</x:v>
      </x:c>
      <x:c r="R1067" s="2" t="n">
        <x:f>IF(AND(M1067=1,OR(Dashboard!$B$7="All",Dashboard!$B$7='Cycles &amp; Guide'!$C$5),OR(Dashboard!$D$7="All",Dashboard!$D$7=B1067),OR(Dashboard!$F$7="All",Dashboard!$F$7=C1067),OR(Dashboard!$H$7="All",Dashboard!$H$7=D1067),OR(Dashboard!$K$7="All",Dashboard!$K$7=E1067)),1,0)</x:f>
        <x:v>1</x:v>
      </x:c>
      <x:c r="S1067" s="2" t="n">
        <x:f>IF(R1067=1,SUM($R$10:R1067),0)</x:f>
        <x:v>694</x:v>
      </x:c>
      <x:c r="T1067" s="2" t="str">
        <x:v>Research &amp; Analysis</x:v>
      </x:c>
      <x:c r="U1067" s="2" t="n">
        <x:v>339</x:v>
      </x:c>
      <x:c r="V1067" s="2" t="n">
        <x:f>IF(AND(M1067=1,P1067=0,ISNUMBER(J1067),J1067&lt;TODAY()),1,0)</x:f>
        <x:v>0</x:v>
      </x:c>
      <x:c r="W1067" s="2" t="str">
        <x:f>'Research &amp; Analysis'!M339</x:f>
        <x:v>Task</x:v>
      </x:c>
    </x:row>
    <x:row r="1068" ht="40" customHeight="1">
      <x:c r="A1068" s="3" t="str">
        <x:f>HYPERLINK("#'Research &amp; Analysis'!A340","Open")</x:f>
        <x:v>Open</x:v>
      </x:c>
      <x:c r="B1068" s="2" t="str">
        <x:f>'Research &amp; Analysis'!B340</x:f>
        <x:v>Cycle 3</x:v>
      </x:c>
      <x:c r="C1068" s="2" t="str">
        <x:f>'Research &amp; Analysis'!C340</x:f>
        <x:v>Phase 1</x:v>
      </x:c>
      <x:c r="D1068" s="2" t="str">
        <x:f>'Research &amp; Analysis'!D340</x:f>
        <x:v>Auto</x:v>
      </x:c>
      <x:c r="E1068" s="2" t="str">
        <x:v>Research &amp; Analysis</x:v>
      </x:c>
      <x:c r="F1068" s="56" t="str">
        <x:f>'Research &amp; Analysis'!E340</x:f>
        <x:v>RA.AU.1.9</x:v>
      </x:c>
      <x:c r="G1068" s="14" t="str">
        <x:f>'Research &amp; Analysis'!F340</x:f>
        <x:v>Assign topic researchers</x:v>
      </x:c>
      <x:c r="H1068" s="2" t="str">
        <x:f>IF('Research &amp; Analysis'!G340="","",'Research &amp; Analysis'!G340)</x:f>
      </x:c>
      <x:c r="I1068" s="12" t="str">
        <x:f>IF('Research &amp; Analysis'!H340="","",'Research &amp; Analysis'!H340)</x:f>
      </x:c>
      <x:c r="J1068" s="12" t="n">
        <x:f>IF('Research &amp; Analysis'!I340="","",'Research &amp; Analysis'!I340)</x:f>
        <x:v>46295</x:v>
      </x:c>
      <x:c r="K1068" s="12" t="str">
        <x:f>IF('Research &amp; Analysis'!J340="","",'Research &amp; Analysis'!J340)</x:f>
      </x:c>
      <x:c r="L1068" s="2" t="str">
        <x:f>IF('Research &amp; Analysis'!K340="","",'Research &amp; Analysis'!K340)</x:f>
      </x:c>
      <x:c r="M1068" s="2" t="n">
        <x:f>'Research &amp; Analysis'!Q340</x:f>
        <x:v>1</x:v>
      </x:c>
      <x:c r="N1068" s="2" t="str">
        <x:f>'Research &amp; Analysis'!L340</x:f>
        <x:v>Not started</x:v>
      </x:c>
      <x:c r="O1068" s="2" t="str">
        <x:f>'Research &amp; Analysis'!N340</x:f>
        <x:v>RA.AU.1.9.2026.CY3</x:v>
      </x:c>
      <x:c r="P1068" s="2" t="n">
        <x:f>'Research &amp; Analysis'!O340</x:f>
        <x:v>0</x:v>
      </x:c>
      <x:c r="Q1068" s="2" t="n">
        <x:f>SUBTOTAL(103,O1068)</x:f>
        <x:v>1</x:v>
      </x:c>
      <x:c r="R1068" s="2" t="n">
        <x:f>IF(AND(M1068=1,OR(Dashboard!$B$7="All",Dashboard!$B$7='Cycles &amp; Guide'!$C$5),OR(Dashboard!$D$7="All",Dashboard!$D$7=B1068),OR(Dashboard!$F$7="All",Dashboard!$F$7=C1068),OR(Dashboard!$H$7="All",Dashboard!$H$7=D1068),OR(Dashboard!$K$7="All",Dashboard!$K$7=E1068)),1,0)</x:f>
        <x:v>1</x:v>
      </x:c>
      <x:c r="S1068" s="2" t="n">
        <x:f>IF(R1068=1,SUM($R$10:R1068),0)</x:f>
        <x:v>695</x:v>
      </x:c>
      <x:c r="T1068" s="2" t="str">
        <x:v>Research &amp; Analysis</x:v>
      </x:c>
      <x:c r="U1068" s="2" t="n">
        <x:v>340</x:v>
      </x:c>
      <x:c r="V1068" s="2" t="n">
        <x:f>IF(AND(M1068=1,P1068=0,ISNUMBER(J1068),J1068&lt;TODAY()),1,0)</x:f>
        <x:v>0</x:v>
      </x:c>
      <x:c r="W1068" s="2" t="str">
        <x:f>'Research &amp; Analysis'!M340</x:f>
        <x:v>Task</x:v>
      </x:c>
    </x:row>
    <x:row r="1069" ht="40" customHeight="1">
      <x:c r="A1069" s="3" t="str">
        <x:f>HYPERLINK("#'Research &amp; Analysis'!A341","Open")</x:f>
        <x:v>Open</x:v>
      </x:c>
      <x:c r="B1069" s="2" t="str">
        <x:f>'Research &amp; Analysis'!B341</x:f>
        <x:v>Cycle 3</x:v>
      </x:c>
      <x:c r="C1069" s="2" t="str">
        <x:f>'Research &amp; Analysis'!C341</x:f>
        <x:v>Phase 2</x:v>
      </x:c>
      <x:c r="D1069" s="2" t="str">
        <x:f>'Research &amp; Analysis'!D341</x:f>
        <x:v>Auto</x:v>
      </x:c>
      <x:c r="E1069" s="2" t="str">
        <x:v>Research &amp; Analysis</x:v>
      </x:c>
      <x:c r="F1069" s="56" t="str">
        <x:f>'Research &amp; Analysis'!E341</x:f>
        <x:v>RA.AU.2.1</x:v>
      </x:c>
      <x:c r="G1069" s="14" t="str">
        <x:f>'Research &amp; Analysis'!F341</x:f>
        <x:v>Review data sources</x:v>
      </x:c>
      <x:c r="H1069" s="2" t="str">
        <x:f>IF('Research &amp; Analysis'!G341="","",'Research &amp; Analysis'!G341)</x:f>
      </x:c>
      <x:c r="I1069" s="12" t="str">
        <x:f>IF('Research &amp; Analysis'!H341="","",'Research &amp; Analysis'!H341)</x:f>
      </x:c>
      <x:c r="J1069" s="12" t="n">
        <x:f>IF('Research &amp; Analysis'!I341="","",'Research &amp; Analysis'!I341)</x:f>
        <x:v>46295</x:v>
      </x:c>
      <x:c r="K1069" s="12" t="str">
        <x:f>IF('Research &amp; Analysis'!J341="","",'Research &amp; Analysis'!J341)</x:f>
      </x:c>
      <x:c r="L1069" s="2" t="str">
        <x:f>IF('Research &amp; Analysis'!K341="","",'Research &amp; Analysis'!K341)</x:f>
      </x:c>
      <x:c r="M1069" s="2" t="n">
        <x:f>'Research &amp; Analysis'!Q341</x:f>
        <x:v>1</x:v>
      </x:c>
      <x:c r="N1069" s="2" t="str">
        <x:f>'Research &amp; Analysis'!L341</x:f>
        <x:v>Not started</x:v>
      </x:c>
      <x:c r="O1069" s="2" t="str">
        <x:f>'Research &amp; Analysis'!N341</x:f>
        <x:v>RA.AU.2.1.2026.CY3</x:v>
      </x:c>
      <x:c r="P1069" s="2" t="n">
        <x:f>'Research &amp; Analysis'!O341</x:f>
        <x:v>0</x:v>
      </x:c>
      <x:c r="Q1069" s="2" t="n">
        <x:f>SUBTOTAL(103,O1069)</x:f>
        <x:v>1</x:v>
      </x:c>
      <x:c r="R1069" s="2" t="n">
        <x:f>IF(AND(M1069=1,OR(Dashboard!$B$7="All",Dashboard!$B$7='Cycles &amp; Guide'!$C$5),OR(Dashboard!$D$7="All",Dashboard!$D$7=B1069),OR(Dashboard!$F$7="All",Dashboard!$F$7=C1069),OR(Dashboard!$H$7="All",Dashboard!$H$7=D1069),OR(Dashboard!$K$7="All",Dashboard!$K$7=E1069)),1,0)</x:f>
        <x:v>1</x:v>
      </x:c>
      <x:c r="S1069" s="2" t="n">
        <x:f>IF(R1069=1,SUM($R$10:R1069),0)</x:f>
        <x:v>696</x:v>
      </x:c>
      <x:c r="T1069" s="2" t="str">
        <x:v>Research &amp; Analysis</x:v>
      </x:c>
      <x:c r="U1069" s="2" t="n">
        <x:v>341</x:v>
      </x:c>
      <x:c r="V1069" s="2" t="n">
        <x:f>IF(AND(M1069=1,P1069=0,ISNUMBER(J1069),J1069&lt;TODAY()),1,0)</x:f>
        <x:v>0</x:v>
      </x:c>
      <x:c r="W1069" s="2" t="str">
        <x:f>'Research &amp; Analysis'!M341</x:f>
        <x:v>Task</x:v>
      </x:c>
    </x:row>
    <x:row r="1070" ht="40" customHeight="1">
      <x:c r="A1070" s="3" t="str">
        <x:f>HYPERLINK("#'Research &amp; Analysis'!A342","Open")</x:f>
        <x:v>Open</x:v>
      </x:c>
      <x:c r="B1070" s="2" t="str">
        <x:f>'Research &amp; Analysis'!B342</x:f>
        <x:v>Cycle 3</x:v>
      </x:c>
      <x:c r="C1070" s="2" t="str">
        <x:f>'Research &amp; Analysis'!C342</x:f>
        <x:v>Phase 2</x:v>
      </x:c>
      <x:c r="D1070" s="2" t="str">
        <x:f>'Research &amp; Analysis'!D342</x:f>
        <x:v>Auto</x:v>
      </x:c>
      <x:c r="E1070" s="2" t="str">
        <x:v>Research &amp; Analysis</x:v>
      </x:c>
      <x:c r="F1070" s="56" t="str">
        <x:f>'Research &amp; Analysis'!E342</x:f>
        <x:v>RA.AU.2.2</x:v>
      </x:c>
      <x:c r="G1070" s="14" t="str">
        <x:f>'Research &amp; Analysis'!F342</x:f>
        <x:v>Review relevant policies and procedures</x:v>
      </x:c>
      <x:c r="H1070" s="2" t="str">
        <x:f>IF('Research &amp; Analysis'!G342="","",'Research &amp; Analysis'!G342)</x:f>
      </x:c>
      <x:c r="I1070" s="12" t="str">
        <x:f>IF('Research &amp; Analysis'!H342="","",'Research &amp; Analysis'!H342)</x:f>
      </x:c>
      <x:c r="J1070" s="12" t="n">
        <x:f>IF('Research &amp; Analysis'!I342="","",'Research &amp; Analysis'!I342)</x:f>
        <x:v>46295</x:v>
      </x:c>
      <x:c r="K1070" s="12" t="str">
        <x:f>IF('Research &amp; Analysis'!J342="","",'Research &amp; Analysis'!J342)</x:f>
      </x:c>
      <x:c r="L1070" s="2" t="str">
        <x:f>IF('Research &amp; Analysis'!K342="","",'Research &amp; Analysis'!K342)</x:f>
      </x:c>
      <x:c r="M1070" s="2" t="n">
        <x:f>'Research &amp; Analysis'!Q342</x:f>
        <x:v>1</x:v>
      </x:c>
      <x:c r="N1070" s="2" t="str">
        <x:f>'Research &amp; Analysis'!L342</x:f>
        <x:v>Not started</x:v>
      </x:c>
      <x:c r="O1070" s="2" t="str">
        <x:f>'Research &amp; Analysis'!N342</x:f>
        <x:v>RA.AU.2.2.2026.CY3</x:v>
      </x:c>
      <x:c r="P1070" s="2" t="n">
        <x:f>'Research &amp; Analysis'!O342</x:f>
        <x:v>0</x:v>
      </x:c>
      <x:c r="Q1070" s="2" t="n">
        <x:f>SUBTOTAL(103,O1070)</x:f>
        <x:v>1</x:v>
      </x:c>
      <x:c r="R1070" s="2" t="n">
        <x:f>IF(AND(M1070=1,OR(Dashboard!$B$7="All",Dashboard!$B$7='Cycles &amp; Guide'!$C$5),OR(Dashboard!$D$7="All",Dashboard!$D$7=B1070),OR(Dashboard!$F$7="All",Dashboard!$F$7=C1070),OR(Dashboard!$H$7="All",Dashboard!$H$7=D1070),OR(Dashboard!$K$7="All",Dashboard!$K$7=E1070)),1,0)</x:f>
        <x:v>1</x:v>
      </x:c>
      <x:c r="S1070" s="2" t="n">
        <x:f>IF(R1070=1,SUM($R$10:R1070),0)</x:f>
        <x:v>697</x:v>
      </x:c>
      <x:c r="T1070" s="2" t="str">
        <x:v>Research &amp; Analysis</x:v>
      </x:c>
      <x:c r="U1070" s="2" t="n">
        <x:v>342</x:v>
      </x:c>
      <x:c r="V1070" s="2" t="n">
        <x:f>IF(AND(M1070=1,P1070=0,ISNUMBER(J1070),J1070&lt;TODAY()),1,0)</x:f>
        <x:v>0</x:v>
      </x:c>
      <x:c r="W1070" s="2" t="str">
        <x:f>'Research &amp; Analysis'!M342</x:f>
        <x:v>Task</x:v>
      </x:c>
    </x:row>
    <x:row r="1071" ht="40" customHeight="1">
      <x:c r="A1071" s="3" t="str">
        <x:f>HYPERLINK("#'Research &amp; Analysis'!A343","Open")</x:f>
        <x:v>Open</x:v>
      </x:c>
      <x:c r="B1071" s="2" t="str">
        <x:f>'Research &amp; Analysis'!B343</x:f>
        <x:v>Cycle 3</x:v>
      </x:c>
      <x:c r="C1071" s="2" t="str">
        <x:f>'Research &amp; Analysis'!C343</x:f>
        <x:v>Phase 2</x:v>
      </x:c>
      <x:c r="D1071" s="2" t="str">
        <x:f>'Research &amp; Analysis'!D343</x:f>
        <x:v>Auto</x:v>
      </x:c>
      <x:c r="E1071" s="2" t="str">
        <x:v>Research &amp; Analysis</x:v>
      </x:c>
      <x:c r="F1071" s="56" t="str">
        <x:f>'Research &amp; Analysis'!E343</x:f>
        <x:v>RA.AU.2.3</x:v>
      </x:c>
      <x:c r="G1071" s="14" t="str">
        <x:f>'Research &amp; Analysis'!F343</x:f>
        <x:v>Meet with SMEs to gain business insight and clarify questions</x:v>
      </x:c>
      <x:c r="H1071" s="2" t="str">
        <x:f>IF('Research &amp; Analysis'!G343="","",'Research &amp; Analysis'!G343)</x:f>
      </x:c>
      <x:c r="I1071" s="12" t="str">
        <x:f>IF('Research &amp; Analysis'!H343="","",'Research &amp; Analysis'!H343)</x:f>
      </x:c>
      <x:c r="J1071" s="12" t="n">
        <x:f>IF('Research &amp; Analysis'!I343="","",'Research &amp; Analysis'!I343)</x:f>
        <x:v>46295</x:v>
      </x:c>
      <x:c r="K1071" s="12" t="str">
        <x:f>IF('Research &amp; Analysis'!J343="","",'Research &amp; Analysis'!J343)</x:f>
      </x:c>
      <x:c r="L1071" s="2" t="str">
        <x:f>IF('Research &amp; Analysis'!K343="","",'Research &amp; Analysis'!K343)</x:f>
      </x:c>
      <x:c r="M1071" s="2" t="n">
        <x:f>'Research &amp; Analysis'!Q343</x:f>
        <x:v>1</x:v>
      </x:c>
      <x:c r="N1071" s="2" t="str">
        <x:f>'Research &amp; Analysis'!L343</x:f>
        <x:v>Not started</x:v>
      </x:c>
      <x:c r="O1071" s="2" t="str">
        <x:f>'Research &amp; Analysis'!N343</x:f>
        <x:v>RA.AU.2.3.2026.CY3</x:v>
      </x:c>
      <x:c r="P1071" s="2" t="n">
        <x:f>'Research &amp; Analysis'!O343</x:f>
        <x:v>0</x:v>
      </x:c>
      <x:c r="Q1071" s="2" t="n">
        <x:f>SUBTOTAL(103,O1071)</x:f>
        <x:v>1</x:v>
      </x:c>
      <x:c r="R1071" s="2" t="n">
        <x:f>IF(AND(M1071=1,OR(Dashboard!$B$7="All",Dashboard!$B$7='Cycles &amp; Guide'!$C$5),OR(Dashboard!$D$7="All",Dashboard!$D$7=B1071),OR(Dashboard!$F$7="All",Dashboard!$F$7=C1071),OR(Dashboard!$H$7="All",Dashboard!$H$7=D1071),OR(Dashboard!$K$7="All",Dashboard!$K$7=E1071)),1,0)</x:f>
        <x:v>1</x:v>
      </x:c>
      <x:c r="S1071" s="2" t="n">
        <x:f>IF(R1071=1,SUM($R$10:R1071),0)</x:f>
        <x:v>698</x:v>
      </x:c>
      <x:c r="T1071" s="2" t="str">
        <x:v>Research &amp; Analysis</x:v>
      </x:c>
      <x:c r="U1071" s="2" t="n">
        <x:v>343</x:v>
      </x:c>
      <x:c r="V1071" s="2" t="n">
        <x:f>IF(AND(M1071=1,P1071=0,ISNUMBER(J1071),J1071&lt;TODAY()),1,0)</x:f>
        <x:v>0</x:v>
      </x:c>
      <x:c r="W1071" s="2" t="str">
        <x:f>'Research &amp; Analysis'!M343</x:f>
        <x:v>Task</x:v>
      </x:c>
    </x:row>
    <x:row r="1072" ht="40" customHeight="1">
      <x:c r="A1072" s="3" t="str">
        <x:f>HYPERLINK("#'Research &amp; Analysis'!A344","Open")</x:f>
        <x:v>Open</x:v>
      </x:c>
      <x:c r="B1072" s="2" t="str">
        <x:f>'Research &amp; Analysis'!B344</x:f>
        <x:v>Cycle 3</x:v>
      </x:c>
      <x:c r="C1072" s="2" t="str">
        <x:f>'Research &amp; Analysis'!C344</x:f>
        <x:v>Phase 2</x:v>
      </x:c>
      <x:c r="D1072" s="2" t="str">
        <x:f>'Research &amp; Analysis'!D344</x:f>
        <x:v>Auto</x:v>
      </x:c>
      <x:c r="E1072" s="2" t="str">
        <x:v>Research &amp; Analysis</x:v>
      </x:c>
      <x:c r="F1072" s="56" t="str">
        <x:f>'Research &amp; Analysis'!E344</x:f>
        <x:v>RA.AU.2.4</x:v>
      </x:c>
      <x:c r="G1072" s="14" t="str">
        <x:f>'Research &amp; Analysis'!F344</x:f>
        <x:v>Establish and maintain a recurring meeting with D&amp;I to discuss Cycle progress</x:v>
      </x:c>
      <x:c r="H1072" s="2" t="str">
        <x:f>IF('Research &amp; Analysis'!G344="","",'Research &amp; Analysis'!G344)</x:f>
      </x:c>
      <x:c r="I1072" s="12" t="str">
        <x:f>IF('Research &amp; Analysis'!H344="","",'Research &amp; Analysis'!H344)</x:f>
      </x:c>
      <x:c r="J1072" s="12" t="n">
        <x:f>IF('Research &amp; Analysis'!I344="","",'Research &amp; Analysis'!I344)</x:f>
        <x:v>46295</x:v>
      </x:c>
      <x:c r="K1072" s="12" t="str">
        <x:f>IF('Research &amp; Analysis'!J344="","",'Research &amp; Analysis'!J344)</x:f>
      </x:c>
      <x:c r="L1072" s="2" t="str">
        <x:f>IF('Research &amp; Analysis'!K344="","",'Research &amp; Analysis'!K344)</x:f>
      </x:c>
      <x:c r="M1072" s="2" t="n">
        <x:f>'Research &amp; Analysis'!Q344</x:f>
        <x:v>1</x:v>
      </x:c>
      <x:c r="N1072" s="2" t="str">
        <x:f>'Research &amp; Analysis'!L344</x:f>
        <x:v>Not started</x:v>
      </x:c>
      <x:c r="O1072" s="2" t="str">
        <x:f>'Research &amp; Analysis'!N344</x:f>
        <x:v>RA.AU.2.4.2026.CY3</x:v>
      </x:c>
      <x:c r="P1072" s="2" t="n">
        <x:f>'Research &amp; Analysis'!O344</x:f>
        <x:v>0</x:v>
      </x:c>
      <x:c r="Q1072" s="2" t="n">
        <x:f>SUBTOTAL(103,O1072)</x:f>
        <x:v>1</x:v>
      </x:c>
      <x:c r="R1072" s="2" t="n">
        <x:f>IF(AND(M1072=1,OR(Dashboard!$B$7="All",Dashboard!$B$7='Cycles &amp; Guide'!$C$5),OR(Dashboard!$D$7="All",Dashboard!$D$7=B1072),OR(Dashboard!$F$7="All",Dashboard!$F$7=C1072),OR(Dashboard!$H$7="All",Dashboard!$H$7=D1072),OR(Dashboard!$K$7="All",Dashboard!$K$7=E1072)),1,0)</x:f>
        <x:v>1</x:v>
      </x:c>
      <x:c r="S1072" s="2" t="n">
        <x:f>IF(R1072=1,SUM($R$10:R1072),0)</x:f>
        <x:v>699</x:v>
      </x:c>
      <x:c r="T1072" s="2" t="str">
        <x:v>Research &amp; Analysis</x:v>
      </x:c>
      <x:c r="U1072" s="2" t="n">
        <x:v>344</x:v>
      </x:c>
      <x:c r="V1072" s="2" t="n">
        <x:f>IF(AND(M1072=1,P1072=0,ISNUMBER(J1072),J1072&lt;TODAY()),1,0)</x:f>
        <x:v>0</x:v>
      </x:c>
      <x:c r="W1072" s="2" t="str">
        <x:f>'Research &amp; Analysis'!M344</x:f>
        <x:v>Task</x:v>
      </x:c>
    </x:row>
    <x:row r="1073" ht="40" customHeight="1">
      <x:c r="A1073" s="3" t="str">
        <x:f>HYPERLINK("#'Research &amp; Analysis'!A345","Open")</x:f>
        <x:v>Open</x:v>
      </x:c>
      <x:c r="B1073" s="2" t="str">
        <x:f>'Research &amp; Analysis'!B345</x:f>
        <x:v>Cycle 3</x:v>
      </x:c>
      <x:c r="C1073" s="2" t="str">
        <x:f>'Research &amp; Analysis'!C345</x:f>
        <x:v>Phase 2</x:v>
      </x:c>
      <x:c r="D1073" s="2" t="str">
        <x:f>'Research &amp; Analysis'!D345</x:f>
        <x:v>Auto</x:v>
      </x:c>
      <x:c r="E1073" s="2" t="str">
        <x:v>Research &amp; Analysis</x:v>
      </x:c>
      <x:c r="F1073" s="56" t="str">
        <x:f>'Research &amp; Analysis'!E345</x:f>
        <x:v>RA.AU.2.5</x:v>
      </x:c>
      <x:c r="G1073" s="14" t="str">
        <x:f>'Research &amp; Analysis'!F345</x:f>
        <x:v>Perform data testing and sampling</x:v>
      </x:c>
      <x:c r="H1073" s="2" t="str">
        <x:f>IF('Research &amp; Analysis'!G345="","",'Research &amp; Analysis'!G345)</x:f>
      </x:c>
      <x:c r="I1073" s="12" t="str">
        <x:f>IF('Research &amp; Analysis'!H345="","",'Research &amp; Analysis'!H345)</x:f>
      </x:c>
      <x:c r="J1073" s="12" t="n">
        <x:f>IF('Research &amp; Analysis'!I345="","",'Research &amp; Analysis'!I345)</x:f>
        <x:v>46295</x:v>
      </x:c>
      <x:c r="K1073" s="12" t="str">
        <x:f>IF('Research &amp; Analysis'!J345="","",'Research &amp; Analysis'!J345)</x:f>
      </x:c>
      <x:c r="L1073" s="2" t="str">
        <x:f>IF('Research &amp; Analysis'!K345="","",'Research &amp; Analysis'!K345)</x:f>
      </x:c>
      <x:c r="M1073" s="2" t="n">
        <x:f>'Research &amp; Analysis'!Q345</x:f>
        <x:v>1</x:v>
      </x:c>
      <x:c r="N1073" s="2" t="str">
        <x:f>'Research &amp; Analysis'!L345</x:f>
        <x:v>Not started</x:v>
      </x:c>
      <x:c r="O1073" s="2" t="str">
        <x:f>'Research &amp; Analysis'!N345</x:f>
        <x:v>RA.AU.2.5.2026.CY3</x:v>
      </x:c>
      <x:c r="P1073" s="2" t="n">
        <x:f>'Research &amp; Analysis'!O345</x:f>
        <x:v>0</x:v>
      </x:c>
      <x:c r="Q1073" s="2" t="n">
        <x:f>SUBTOTAL(103,O1073)</x:f>
        <x:v>1</x:v>
      </x:c>
      <x:c r="R1073" s="2" t="n">
        <x:f>IF(AND(M1073=1,OR(Dashboard!$B$7="All",Dashboard!$B$7='Cycles &amp; Guide'!$C$5),OR(Dashboard!$D$7="All",Dashboard!$D$7=B1073),OR(Dashboard!$F$7="All",Dashboard!$F$7=C1073),OR(Dashboard!$H$7="All",Dashboard!$H$7=D1073),OR(Dashboard!$K$7="All",Dashboard!$K$7=E1073)),1,0)</x:f>
        <x:v>1</x:v>
      </x:c>
      <x:c r="S1073" s="2" t="n">
        <x:f>IF(R1073=1,SUM($R$10:R1073),0)</x:f>
        <x:v>700</x:v>
      </x:c>
      <x:c r="T1073" s="2" t="str">
        <x:v>Research &amp; Analysis</x:v>
      </x:c>
      <x:c r="U1073" s="2" t="n">
        <x:v>345</x:v>
      </x:c>
      <x:c r="V1073" s="2" t="n">
        <x:f>IF(AND(M1073=1,P1073=0,ISNUMBER(J1073),J1073&lt;TODAY()),1,0)</x:f>
        <x:v>0</x:v>
      </x:c>
      <x:c r="W1073" s="2" t="str">
        <x:f>'Research &amp; Analysis'!M345</x:f>
        <x:v>Task</x:v>
      </x:c>
    </x:row>
    <x:row r="1074" ht="40" customHeight="1">
      <x:c r="A1074" s="3" t="str">
        <x:f>HYPERLINK("#'Research &amp; Analysis'!A346","Open")</x:f>
        <x:v>Open</x:v>
      </x:c>
      <x:c r="B1074" s="2" t="str">
        <x:f>'Research &amp; Analysis'!B346</x:f>
        <x:v>Cycle 3</x:v>
      </x:c>
      <x:c r="C1074" s="2" t="str">
        <x:f>'Research &amp; Analysis'!C346</x:f>
        <x:v>Phase 2</x:v>
      </x:c>
      <x:c r="D1074" s="2" t="str">
        <x:f>'Research &amp; Analysis'!D346</x:f>
        <x:v>Auto</x:v>
      </x:c>
      <x:c r="E1074" s="2" t="str">
        <x:v>Research &amp; Analysis</x:v>
      </x:c>
      <x:c r="F1074" s="56" t="str">
        <x:f>'Research &amp; Analysis'!E346</x:f>
        <x:v>RA.AU.2.6</x:v>
      </x:c>
      <x:c r="G1074" s="14" t="str">
        <x:f>'Research &amp; Analysis'!F346</x:f>
        <x:v>Complete Positive Testing</x:v>
      </x:c>
      <x:c r="H1074" s="2" t="str">
        <x:f>IF('Research &amp; Analysis'!G346="","",'Research &amp; Analysis'!G346)</x:f>
      </x:c>
      <x:c r="I1074" s="12" t="str">
        <x:f>IF('Research &amp; Analysis'!H346="","",'Research &amp; Analysis'!H346)</x:f>
      </x:c>
      <x:c r="J1074" s="12" t="n">
        <x:f>IF('Research &amp; Analysis'!I346="","",'Research &amp; Analysis'!I346)</x:f>
        <x:v>46295</x:v>
      </x:c>
      <x:c r="K1074" s="12" t="str">
        <x:f>IF('Research &amp; Analysis'!J346="","",'Research &amp; Analysis'!J346)</x:f>
      </x:c>
      <x:c r="L1074" s="2" t="str">
        <x:f>IF('Research &amp; Analysis'!K346="","",'Research &amp; Analysis'!K346)</x:f>
      </x:c>
      <x:c r="M1074" s="2" t="n">
        <x:f>'Research &amp; Analysis'!Q346</x:f>
        <x:v>1</x:v>
      </x:c>
      <x:c r="N1074" s="2" t="str">
        <x:f>'Research &amp; Analysis'!L346</x:f>
        <x:v>Not started</x:v>
      </x:c>
      <x:c r="O1074" s="2" t="str">
        <x:f>'Research &amp; Analysis'!N346</x:f>
        <x:v>RA.AU.2.6.2026.CY3</x:v>
      </x:c>
      <x:c r="P1074" s="2" t="n">
        <x:f>'Research &amp; Analysis'!O346</x:f>
        <x:v>0</x:v>
      </x:c>
      <x:c r="Q1074" s="2" t="n">
        <x:f>SUBTOTAL(103,O1074)</x:f>
        <x:v>1</x:v>
      </x:c>
      <x:c r="R1074" s="2" t="n">
        <x:f>IF(AND(M1074=1,OR(Dashboard!$B$7="All",Dashboard!$B$7='Cycles &amp; Guide'!$C$5),OR(Dashboard!$D$7="All",Dashboard!$D$7=B1074),OR(Dashboard!$F$7="All",Dashboard!$F$7=C1074),OR(Dashboard!$H$7="All",Dashboard!$H$7=D1074),OR(Dashboard!$K$7="All",Dashboard!$K$7=E1074)),1,0)</x:f>
        <x:v>1</x:v>
      </x:c>
      <x:c r="S1074" s="2" t="n">
        <x:f>IF(R1074=1,SUM($R$10:R1074),0)</x:f>
        <x:v>701</x:v>
      </x:c>
      <x:c r="T1074" s="2" t="str">
        <x:v>Research &amp; Analysis</x:v>
      </x:c>
      <x:c r="U1074" s="2" t="n">
        <x:v>346</x:v>
      </x:c>
      <x:c r="V1074" s="2" t="n">
        <x:f>IF(AND(M1074=1,P1074=0,ISNUMBER(J1074),J1074&lt;TODAY()),1,0)</x:f>
        <x:v>0</x:v>
      </x:c>
      <x:c r="W1074" s="2" t="str">
        <x:f>'Research &amp; Analysis'!M346</x:f>
        <x:v>Task</x:v>
      </x:c>
    </x:row>
    <x:row r="1075" ht="40" customHeight="1">
      <x:c r="A1075" s="3" t="str">
        <x:f>HYPERLINK("#'Research &amp; Analysis'!A347","Open")</x:f>
        <x:v>Open</x:v>
      </x:c>
      <x:c r="B1075" s="2" t="str">
        <x:f>'Research &amp; Analysis'!B347</x:f>
        <x:v>Cycle 3</x:v>
      </x:c>
      <x:c r="C1075" s="2" t="str">
        <x:f>'Research &amp; Analysis'!C347</x:f>
        <x:v>Phase 2</x:v>
      </x:c>
      <x:c r="D1075" s="2" t="str">
        <x:f>'Research &amp; Analysis'!D347</x:f>
        <x:v>Auto</x:v>
      </x:c>
      <x:c r="E1075" s="2" t="str">
        <x:v>Research &amp; Analysis</x:v>
      </x:c>
      <x:c r="F1075" s="56" t="str">
        <x:f>'Research &amp; Analysis'!E347</x:f>
        <x:v>RA.AU.2.7</x:v>
      </x:c>
      <x:c r="G1075" s="14" t="str">
        <x:f>'Research &amp; Analysis'!F347</x:f>
        <x:v>Complete Negative Testing</x:v>
      </x:c>
      <x:c r="H1075" s="2" t="str">
        <x:f>IF('Research &amp; Analysis'!G347="","",'Research &amp; Analysis'!G347)</x:f>
      </x:c>
      <x:c r="I1075" s="12" t="str">
        <x:f>IF('Research &amp; Analysis'!H347="","",'Research &amp; Analysis'!H347)</x:f>
      </x:c>
      <x:c r="J1075" s="12" t="n">
        <x:f>IF('Research &amp; Analysis'!I347="","",'Research &amp; Analysis'!I347)</x:f>
        <x:v>46295</x:v>
      </x:c>
      <x:c r="K1075" s="12" t="str">
        <x:f>IF('Research &amp; Analysis'!J347="","",'Research &amp; Analysis'!J347)</x:f>
      </x:c>
      <x:c r="L1075" s="2" t="str">
        <x:f>IF('Research &amp; Analysis'!K347="","",'Research &amp; Analysis'!K347)</x:f>
      </x:c>
      <x:c r="M1075" s="2" t="n">
        <x:f>'Research &amp; Analysis'!Q347</x:f>
        <x:v>1</x:v>
      </x:c>
      <x:c r="N1075" s="2" t="str">
        <x:f>'Research &amp; Analysis'!L347</x:f>
        <x:v>Not started</x:v>
      </x:c>
      <x:c r="O1075" s="2" t="str">
        <x:f>'Research &amp; Analysis'!N347</x:f>
        <x:v>RA.AU.2.7.2026.CY3</x:v>
      </x:c>
      <x:c r="P1075" s="2" t="n">
        <x:f>'Research &amp; Analysis'!O347</x:f>
        <x:v>0</x:v>
      </x:c>
      <x:c r="Q1075" s="2" t="n">
        <x:f>SUBTOTAL(103,O1075)</x:f>
        <x:v>1</x:v>
      </x:c>
      <x:c r="R1075" s="2" t="n">
        <x:f>IF(AND(M1075=1,OR(Dashboard!$B$7="All",Dashboard!$B$7='Cycles &amp; Guide'!$C$5),OR(Dashboard!$D$7="All",Dashboard!$D$7=B1075),OR(Dashboard!$F$7="All",Dashboard!$F$7=C1075),OR(Dashboard!$H$7="All",Dashboard!$H$7=D1075),OR(Dashboard!$K$7="All",Dashboard!$K$7=E1075)),1,0)</x:f>
        <x:v>1</x:v>
      </x:c>
      <x:c r="S1075" s="2" t="n">
        <x:f>IF(R1075=1,SUM($R$10:R1075),0)</x:f>
        <x:v>702</x:v>
      </x:c>
      <x:c r="T1075" s="2" t="str">
        <x:v>Research &amp; Analysis</x:v>
      </x:c>
      <x:c r="U1075" s="2" t="n">
        <x:v>347</x:v>
      </x:c>
      <x:c r="V1075" s="2" t="n">
        <x:f>IF(AND(M1075=1,P1075=0,ISNUMBER(J1075),J1075&lt;TODAY()),1,0)</x:f>
        <x:v>0</x:v>
      </x:c>
      <x:c r="W1075" s="2" t="str">
        <x:f>'Research &amp; Analysis'!M347</x:f>
        <x:v>Task</x:v>
      </x:c>
    </x:row>
    <x:row r="1076" ht="40" customHeight="1">
      <x:c r="A1076" s="3" t="str">
        <x:f>HYPERLINK("#'Research &amp; Analysis'!A348","Open")</x:f>
        <x:v>Open</x:v>
      </x:c>
      <x:c r="B1076" s="2" t="str">
        <x:f>'Research &amp; Analysis'!B348</x:f>
        <x:v>Cycle 3</x:v>
      </x:c>
      <x:c r="C1076" s="2" t="str">
        <x:f>'Research &amp; Analysis'!C348</x:f>
        <x:v>Phase 2</x:v>
      </x:c>
      <x:c r="D1076" s="2" t="str">
        <x:f>'Research &amp; Analysis'!D348</x:f>
        <x:v>Auto</x:v>
      </x:c>
      <x:c r="E1076" s="2" t="str">
        <x:v>Research &amp; Analysis</x:v>
      </x:c>
      <x:c r="F1076" s="56" t="str">
        <x:f>'Research &amp; Analysis'!E348</x:f>
        <x:v>RA.AU.2.8</x:v>
      </x:c>
      <x:c r="G1076" s="14" t="str">
        <x:f>'Research &amp; Analysis'!F348</x:f>
        <x:v>Request additional data (as needed)</x:v>
      </x:c>
      <x:c r="H1076" s="2" t="str">
        <x:f>IF('Research &amp; Analysis'!G348="","",'Research &amp; Analysis'!G348)</x:f>
      </x:c>
      <x:c r="I1076" s="12" t="str">
        <x:f>IF('Research &amp; Analysis'!H348="","",'Research &amp; Analysis'!H348)</x:f>
      </x:c>
      <x:c r="J1076" s="12" t="n">
        <x:f>IF('Research &amp; Analysis'!I348="","",'Research &amp; Analysis'!I348)</x:f>
        <x:v>46295</x:v>
      </x:c>
      <x:c r="K1076" s="12" t="str">
        <x:f>IF('Research &amp; Analysis'!J348="","",'Research &amp; Analysis'!J348)</x:f>
      </x:c>
      <x:c r="L1076" s="2" t="str">
        <x:f>IF('Research &amp; Analysis'!K348="","",'Research &amp; Analysis'!K348)</x:f>
      </x:c>
      <x:c r="M1076" s="2" t="n">
        <x:f>'Research &amp; Analysis'!Q348</x:f>
        <x:v>1</x:v>
      </x:c>
      <x:c r="N1076" s="2" t="str">
        <x:f>'Research &amp; Analysis'!L348</x:f>
        <x:v>Not started</x:v>
      </x:c>
      <x:c r="O1076" s="2" t="str">
        <x:f>'Research &amp; Analysis'!N348</x:f>
        <x:v>RA.AU.2.8.2026.CY3</x:v>
      </x:c>
      <x:c r="P1076" s="2" t="n">
        <x:f>'Research &amp; Analysis'!O348</x:f>
        <x:v>0</x:v>
      </x:c>
      <x:c r="Q1076" s="2" t="n">
        <x:f>SUBTOTAL(103,O1076)</x:f>
        <x:v>1</x:v>
      </x:c>
      <x:c r="R1076" s="2" t="n">
        <x:f>IF(AND(M1076=1,OR(Dashboard!$B$7="All",Dashboard!$B$7='Cycles &amp; Guide'!$C$5),OR(Dashboard!$D$7="All",Dashboard!$D$7=B1076),OR(Dashboard!$F$7="All",Dashboard!$F$7=C1076),OR(Dashboard!$H$7="All",Dashboard!$H$7=D1076),OR(Dashboard!$K$7="All",Dashboard!$K$7=E1076)),1,0)</x:f>
        <x:v>1</x:v>
      </x:c>
      <x:c r="S1076" s="2" t="n">
        <x:f>IF(R1076=1,SUM($R$10:R1076),0)</x:f>
        <x:v>703</x:v>
      </x:c>
      <x:c r="T1076" s="2" t="str">
        <x:v>Research &amp; Analysis</x:v>
      </x:c>
      <x:c r="U1076" s="2" t="n">
        <x:v>348</x:v>
      </x:c>
      <x:c r="V1076" s="2" t="n">
        <x:f>IF(AND(M1076=1,P1076=0,ISNUMBER(J1076),J1076&lt;TODAY()),1,0)</x:f>
        <x:v>0</x:v>
      </x:c>
      <x:c r="W1076" s="2" t="str">
        <x:f>'Research &amp; Analysis'!M348</x:f>
        <x:v>Task</x:v>
      </x:c>
    </x:row>
    <x:row r="1077" ht="40" customHeight="1">
      <x:c r="A1077" s="3" t="str">
        <x:f>HYPERLINK("#'Research &amp; Analysis'!A349","Open")</x:f>
        <x:v>Open</x:v>
      </x:c>
      <x:c r="B1077" s="2" t="str">
        <x:f>'Research &amp; Analysis'!B349</x:f>
        <x:v>Cycle 3</x:v>
      </x:c>
      <x:c r="C1077" s="2" t="str">
        <x:f>'Research &amp; Analysis'!C349</x:f>
        <x:v>Phase 2</x:v>
      </x:c>
      <x:c r="D1077" s="2" t="str">
        <x:f>'Research &amp; Analysis'!D349</x:f>
        <x:v>Auto</x:v>
      </x:c>
      <x:c r="E1077" s="2" t="str">
        <x:v>Research &amp; Analysis</x:v>
      </x:c>
      <x:c r="F1077" s="56" t="str">
        <x:f>'Research &amp; Analysis'!E349</x:f>
        <x:v>RA.AU.2.9</x:v>
      </x:c>
      <x:c r="G1077" s="14" t="str">
        <x:f>'Research &amp; Analysis'!F349</x:f>
        <x:v>Validate or disprove initial hypothesis assumptions</x:v>
      </x:c>
      <x:c r="H1077" s="2" t="str">
        <x:f>IF('Research &amp; Analysis'!G349="","",'Research &amp; Analysis'!G349)</x:f>
      </x:c>
      <x:c r="I1077" s="12" t="str">
        <x:f>IF('Research &amp; Analysis'!H349="","",'Research &amp; Analysis'!H349)</x:f>
      </x:c>
      <x:c r="J1077" s="12" t="n">
        <x:f>IF('Research &amp; Analysis'!I349="","",'Research &amp; Analysis'!I349)</x:f>
        <x:v>46295</x:v>
      </x:c>
      <x:c r="K1077" s="12" t="str">
        <x:f>IF('Research &amp; Analysis'!J349="","",'Research &amp; Analysis'!J349)</x:f>
      </x:c>
      <x:c r="L1077" s="2" t="str">
        <x:f>IF('Research &amp; Analysis'!K349="","",'Research &amp; Analysis'!K349)</x:f>
      </x:c>
      <x:c r="M1077" s="2" t="n">
        <x:f>'Research &amp; Analysis'!Q349</x:f>
        <x:v>1</x:v>
      </x:c>
      <x:c r="N1077" s="2" t="str">
        <x:f>'Research &amp; Analysis'!L349</x:f>
        <x:v>Not started</x:v>
      </x:c>
      <x:c r="O1077" s="2" t="str">
        <x:f>'Research &amp; Analysis'!N349</x:f>
        <x:v>RA.AU.2.9.2026.CY3</x:v>
      </x:c>
      <x:c r="P1077" s="2" t="n">
        <x:f>'Research &amp; Analysis'!O349</x:f>
        <x:v>0</x:v>
      </x:c>
      <x:c r="Q1077" s="2" t="n">
        <x:f>SUBTOTAL(103,O1077)</x:f>
        <x:v>1</x:v>
      </x:c>
      <x:c r="R1077" s="2" t="n">
        <x:f>IF(AND(M1077=1,OR(Dashboard!$B$7="All",Dashboard!$B$7='Cycles &amp; Guide'!$C$5),OR(Dashboard!$D$7="All",Dashboard!$D$7=B1077),OR(Dashboard!$F$7="All",Dashboard!$F$7=C1077),OR(Dashboard!$H$7="All",Dashboard!$H$7=D1077),OR(Dashboard!$K$7="All",Dashboard!$K$7=E1077)),1,0)</x:f>
        <x:v>1</x:v>
      </x:c>
      <x:c r="S1077" s="2" t="n">
        <x:f>IF(R1077=1,SUM($R$10:R1077),0)</x:f>
        <x:v>704</x:v>
      </x:c>
      <x:c r="T1077" s="2" t="str">
        <x:v>Research &amp; Analysis</x:v>
      </x:c>
      <x:c r="U1077" s="2" t="n">
        <x:v>349</x:v>
      </x:c>
      <x:c r="V1077" s="2" t="n">
        <x:f>IF(AND(M1077=1,P1077=0,ISNUMBER(J1077),J1077&lt;TODAY()),1,0)</x:f>
        <x:v>0</x:v>
      </x:c>
      <x:c r="W1077" s="2" t="str">
        <x:f>'Research &amp; Analysis'!M349</x:f>
        <x:v>Task</x:v>
      </x:c>
    </x:row>
    <x:row r="1078" ht="40" customHeight="1">
      <x:c r="A1078" s="3" t="str">
        <x:f>HYPERLINK("#'Research &amp; Analysis'!A350","Open")</x:f>
        <x:v>Open</x:v>
      </x:c>
      <x:c r="B1078" s="2" t="str">
        <x:f>'Research &amp; Analysis'!B350</x:f>
        <x:v>Cycle 3</x:v>
      </x:c>
      <x:c r="C1078" s="2" t="str">
        <x:f>'Research &amp; Analysis'!C350</x:f>
        <x:v>Phase 2</x:v>
      </x:c>
      <x:c r="D1078" s="2" t="str">
        <x:f>'Research &amp; Analysis'!D350</x:f>
        <x:v>Auto</x:v>
      </x:c>
      <x:c r="E1078" s="2" t="str">
        <x:v>Research &amp; Analysis</x:v>
      </x:c>
      <x:c r="F1078" s="56" t="str">
        <x:f>'Research &amp; Analysis'!E350</x:f>
        <x:v>RA.AU.2.10</x:v>
      </x:c>
      <x:c r="G1078" s="14" t="str">
        <x:f>'Research &amp; Analysis'!F350</x:f>
        <x:v>Identify and confirm root cause</x:v>
      </x:c>
      <x:c r="H1078" s="2" t="str">
        <x:f>IF('Research &amp; Analysis'!G350="","",'Research &amp; Analysis'!G350)</x:f>
      </x:c>
      <x:c r="I1078" s="12" t="str">
        <x:f>IF('Research &amp; Analysis'!H350="","",'Research &amp; Analysis'!H350)</x:f>
      </x:c>
      <x:c r="J1078" s="12" t="n">
        <x:f>IF('Research &amp; Analysis'!I350="","",'Research &amp; Analysis'!I350)</x:f>
        <x:v>46295</x:v>
      </x:c>
      <x:c r="K1078" s="12" t="str">
        <x:f>IF('Research &amp; Analysis'!J350="","",'Research &amp; Analysis'!J350)</x:f>
      </x:c>
      <x:c r="L1078" s="2" t="str">
        <x:f>IF('Research &amp; Analysis'!K350="","",'Research &amp; Analysis'!K350)</x:f>
      </x:c>
      <x:c r="M1078" s="2" t="n">
        <x:f>'Research &amp; Analysis'!Q350</x:f>
        <x:v>1</x:v>
      </x:c>
      <x:c r="N1078" s="2" t="str">
        <x:f>'Research &amp; Analysis'!L350</x:f>
        <x:v>Not started</x:v>
      </x:c>
      <x:c r="O1078" s="2" t="str">
        <x:f>'Research &amp; Analysis'!N350</x:f>
        <x:v>RA.AU.2.10.2026.CY3</x:v>
      </x:c>
      <x:c r="P1078" s="2" t="n">
        <x:f>'Research &amp; Analysis'!O350</x:f>
        <x:v>0</x:v>
      </x:c>
      <x:c r="Q1078" s="2" t="n">
        <x:f>SUBTOTAL(103,O1078)</x:f>
        <x:v>1</x:v>
      </x:c>
      <x:c r="R1078" s="2" t="n">
        <x:f>IF(AND(M1078=1,OR(Dashboard!$B$7="All",Dashboard!$B$7='Cycles &amp; Guide'!$C$5),OR(Dashboard!$D$7="All",Dashboard!$D$7=B1078),OR(Dashboard!$F$7="All",Dashboard!$F$7=C1078),OR(Dashboard!$H$7="All",Dashboard!$H$7=D1078),OR(Dashboard!$K$7="All",Dashboard!$K$7=E1078)),1,0)</x:f>
        <x:v>1</x:v>
      </x:c>
      <x:c r="S1078" s="2" t="n">
        <x:f>IF(R1078=1,SUM($R$10:R1078),0)</x:f>
        <x:v>705</x:v>
      </x:c>
      <x:c r="T1078" s="2" t="str">
        <x:v>Research &amp; Analysis</x:v>
      </x:c>
      <x:c r="U1078" s="2" t="n">
        <x:v>350</x:v>
      </x:c>
      <x:c r="V1078" s="2" t="n">
        <x:f>IF(AND(M1078=1,P1078=0,ISNUMBER(J1078),J1078&lt;TODAY()),1,0)</x:f>
        <x:v>0</x:v>
      </x:c>
      <x:c r="W1078" s="2" t="str">
        <x:f>'Research &amp; Analysis'!M350</x:f>
        <x:v>Task</x:v>
      </x:c>
    </x:row>
    <x:row r="1079" ht="40" customHeight="1">
      <x:c r="A1079" s="3" t="str">
        <x:f>HYPERLINK("#'Research &amp; Analysis'!A351","Open")</x:f>
        <x:v>Open</x:v>
      </x:c>
      <x:c r="B1079" s="2" t="str">
        <x:f>'Research &amp; Analysis'!B351</x:f>
        <x:v>Cycle 3</x:v>
      </x:c>
      <x:c r="C1079" s="2" t="str">
        <x:f>'Research &amp; Analysis'!C351</x:f>
        <x:v>Phase 3</x:v>
      </x:c>
      <x:c r="D1079" s="2" t="str">
        <x:f>'Research &amp; Analysis'!D351</x:f>
        <x:v>Auto</x:v>
      </x:c>
      <x:c r="E1079" s="2" t="str">
        <x:v>Research &amp; Analysis</x:v>
      </x:c>
      <x:c r="F1079" s="56" t="str">
        <x:f>'Research &amp; Analysis'!E351</x:f>
        <x:v>RA.AU.3.1</x:v>
      </x:c>
      <x:c r="G1079" s="14" t="str">
        <x:f>'Research &amp; Analysis'!F351</x:f>
        <x:v>Finalize results and supporting documentation</x:v>
      </x:c>
      <x:c r="H1079" s="2" t="str">
        <x:f>IF('Research &amp; Analysis'!G351="","",'Research &amp; Analysis'!G351)</x:f>
      </x:c>
      <x:c r="I1079" s="12" t="str">
        <x:f>IF('Research &amp; Analysis'!H351="","",'Research &amp; Analysis'!H351)</x:f>
      </x:c>
      <x:c r="J1079" s="12" t="n">
        <x:f>IF('Research &amp; Analysis'!I351="","",'Research &amp; Analysis'!I351)</x:f>
        <x:v>46295</x:v>
      </x:c>
      <x:c r="K1079" s="12" t="str">
        <x:f>IF('Research &amp; Analysis'!J351="","",'Research &amp; Analysis'!J351)</x:f>
      </x:c>
      <x:c r="L1079" s="2" t="str">
        <x:f>IF('Research &amp; Analysis'!K351="","",'Research &amp; Analysis'!K351)</x:f>
      </x:c>
      <x:c r="M1079" s="2" t="n">
        <x:f>'Research &amp; Analysis'!Q351</x:f>
        <x:v>1</x:v>
      </x:c>
      <x:c r="N1079" s="2" t="str">
        <x:f>'Research &amp; Analysis'!L351</x:f>
        <x:v>Not started</x:v>
      </x:c>
      <x:c r="O1079" s="2" t="str">
        <x:f>'Research &amp; Analysis'!N351</x:f>
        <x:v>RA.AU.3.1.2026.CY3</x:v>
      </x:c>
      <x:c r="P1079" s="2" t="n">
        <x:f>'Research &amp; Analysis'!O351</x:f>
        <x:v>0</x:v>
      </x:c>
      <x:c r="Q1079" s="2" t="n">
        <x:f>SUBTOTAL(103,O1079)</x:f>
        <x:v>1</x:v>
      </x:c>
      <x:c r="R1079" s="2" t="n">
        <x:f>IF(AND(M1079=1,OR(Dashboard!$B$7="All",Dashboard!$B$7='Cycles &amp; Guide'!$C$5),OR(Dashboard!$D$7="All",Dashboard!$D$7=B1079),OR(Dashboard!$F$7="All",Dashboard!$F$7=C1079),OR(Dashboard!$H$7="All",Dashboard!$H$7=D1079),OR(Dashboard!$K$7="All",Dashboard!$K$7=E1079)),1,0)</x:f>
        <x:v>1</x:v>
      </x:c>
      <x:c r="S1079" s="2" t="n">
        <x:f>IF(R1079=1,SUM($R$10:R1079),0)</x:f>
        <x:v>706</x:v>
      </x:c>
      <x:c r="T1079" s="2" t="str">
        <x:v>Research &amp; Analysis</x:v>
      </x:c>
      <x:c r="U1079" s="2" t="n">
        <x:v>351</x:v>
      </x:c>
      <x:c r="V1079" s="2" t="n">
        <x:f>IF(AND(M1079=1,P1079=0,ISNUMBER(J1079),J1079&lt;TODAY()),1,0)</x:f>
        <x:v>0</x:v>
      </x:c>
      <x:c r="W1079" s="2" t="str">
        <x:f>'Research &amp; Analysis'!M351</x:f>
        <x:v>Task</x:v>
      </x:c>
    </x:row>
    <x:row r="1080" ht="40" customHeight="1">
      <x:c r="A1080" s="3" t="str">
        <x:f>HYPERLINK("#'Research &amp; Analysis'!A352","Open")</x:f>
        <x:v>Open</x:v>
      </x:c>
      <x:c r="B1080" s="2" t="str">
        <x:f>'Research &amp; Analysis'!B352</x:f>
        <x:v>Cycle 3</x:v>
      </x:c>
      <x:c r="C1080" s="2" t="str">
        <x:f>'Research &amp; Analysis'!C352</x:f>
        <x:v>Phase 3</x:v>
      </x:c>
      <x:c r="D1080" s="2" t="str">
        <x:f>'Research &amp; Analysis'!D352</x:f>
        <x:v>Auto</x:v>
      </x:c>
      <x:c r="E1080" s="2" t="str">
        <x:v>Research &amp; Analysis</x:v>
      </x:c>
      <x:c r="F1080" s="56" t="str">
        <x:f>'Research &amp; Analysis'!E352</x:f>
        <x:v>RA.AU.3.2</x:v>
      </x:c>
      <x:c r="G1080" s="14" t="str">
        <x:f>'Research &amp; Analysis'!F352</x:f>
        <x:v>Maintain and update the evidence package prior to handoff to D&amp;I</x:v>
      </x:c>
      <x:c r="H1080" s="2" t="str">
        <x:f>IF('Research &amp; Analysis'!G352="","",'Research &amp; Analysis'!G352)</x:f>
      </x:c>
      <x:c r="I1080" s="12" t="str">
        <x:f>IF('Research &amp; Analysis'!H352="","",'Research &amp; Analysis'!H352)</x:f>
      </x:c>
      <x:c r="J1080" s="12" t="n">
        <x:f>IF('Research &amp; Analysis'!I352="","",'Research &amp; Analysis'!I352)</x:f>
        <x:v>46295</x:v>
      </x:c>
      <x:c r="K1080" s="12" t="str">
        <x:f>IF('Research &amp; Analysis'!J352="","",'Research &amp; Analysis'!J352)</x:f>
      </x:c>
      <x:c r="L1080" s="2" t="str">
        <x:f>IF('Research &amp; Analysis'!K352="","",'Research &amp; Analysis'!K352)</x:f>
      </x:c>
      <x:c r="M1080" s="2" t="n">
        <x:f>'Research &amp; Analysis'!Q352</x:f>
        <x:v>1</x:v>
      </x:c>
      <x:c r="N1080" s="2" t="str">
        <x:f>'Research &amp; Analysis'!L352</x:f>
        <x:v>Not started</x:v>
      </x:c>
      <x:c r="O1080" s="2" t="str">
        <x:f>'Research &amp; Analysis'!N352</x:f>
        <x:v>RA.AU.3.2.2026.CY3</x:v>
      </x:c>
      <x:c r="P1080" s="2" t="n">
        <x:f>'Research &amp; Analysis'!O352</x:f>
        <x:v>0</x:v>
      </x:c>
      <x:c r="Q1080" s="2" t="n">
        <x:f>SUBTOTAL(103,O1080)</x:f>
        <x:v>1</x:v>
      </x:c>
      <x:c r="R1080" s="2" t="n">
        <x:f>IF(AND(M1080=1,OR(Dashboard!$B$7="All",Dashboard!$B$7='Cycles &amp; Guide'!$C$5),OR(Dashboard!$D$7="All",Dashboard!$D$7=B1080),OR(Dashboard!$F$7="All",Dashboard!$F$7=C1080),OR(Dashboard!$H$7="All",Dashboard!$H$7=D1080),OR(Dashboard!$K$7="All",Dashboard!$K$7=E1080)),1,0)</x:f>
        <x:v>1</x:v>
      </x:c>
      <x:c r="S1080" s="2" t="n">
        <x:f>IF(R1080=1,SUM($R$10:R1080),0)</x:f>
        <x:v>707</x:v>
      </x:c>
      <x:c r="T1080" s="2" t="str">
        <x:v>Research &amp; Analysis</x:v>
      </x:c>
      <x:c r="U1080" s="2" t="n">
        <x:v>352</x:v>
      </x:c>
      <x:c r="V1080" s="2" t="n">
        <x:f>IF(AND(M1080=1,P1080=0,ISNUMBER(J1080),J1080&lt;TODAY()),1,0)</x:f>
        <x:v>0</x:v>
      </x:c>
      <x:c r="W1080" s="2" t="str">
        <x:f>'Research &amp; Analysis'!M352</x:f>
        <x:v>Task</x:v>
      </x:c>
    </x:row>
    <x:row r="1081" ht="40" customHeight="1">
      <x:c r="A1081" s="3" t="str">
        <x:f>HYPERLINK("#'Research &amp; Analysis'!A353","Open")</x:f>
        <x:v>Open</x:v>
      </x:c>
      <x:c r="B1081" s="2" t="str">
        <x:f>'Research &amp; Analysis'!B353</x:f>
        <x:v>Cycle 3</x:v>
      </x:c>
      <x:c r="C1081" s="2" t="str">
        <x:f>'Research &amp; Analysis'!C353</x:f>
        <x:v>Phase 3</x:v>
      </x:c>
      <x:c r="D1081" s="2" t="str">
        <x:f>'Research &amp; Analysis'!D353</x:f>
        <x:v>Auto</x:v>
      </x:c>
      <x:c r="E1081" s="2" t="str">
        <x:v>Research &amp; Analysis</x:v>
      </x:c>
      <x:c r="F1081" s="56" t="str">
        <x:f>'Research &amp; Analysis'!E353</x:f>
        <x:v>RA.AU.3.3</x:v>
      </x:c>
      <x:c r="G1081" s="14" t="str">
        <x:f>'Research &amp; Analysis'!F353</x:f>
        <x:v>Address any outstanding questions or requests from D&amp;I</x:v>
      </x:c>
      <x:c r="H1081" s="2" t="str">
        <x:f>IF('Research &amp; Analysis'!G353="","",'Research &amp; Analysis'!G353)</x:f>
      </x:c>
      <x:c r="I1081" s="12" t="str">
        <x:f>IF('Research &amp; Analysis'!H353="","",'Research &amp; Analysis'!H353)</x:f>
      </x:c>
      <x:c r="J1081" s="12" t="n">
        <x:f>IF('Research &amp; Analysis'!I353="","",'Research &amp; Analysis'!I353)</x:f>
        <x:v>46295</x:v>
      </x:c>
      <x:c r="K1081" s="12" t="str">
        <x:f>IF('Research &amp; Analysis'!J353="","",'Research &amp; Analysis'!J353)</x:f>
      </x:c>
      <x:c r="L1081" s="2" t="str">
        <x:f>IF('Research &amp; Analysis'!K353="","",'Research &amp; Analysis'!K353)</x:f>
      </x:c>
      <x:c r="M1081" s="2" t="n">
        <x:f>'Research &amp; Analysis'!Q353</x:f>
        <x:v>1</x:v>
      </x:c>
      <x:c r="N1081" s="2" t="str">
        <x:f>'Research &amp; Analysis'!L353</x:f>
        <x:v>Not started</x:v>
      </x:c>
      <x:c r="O1081" s="2" t="str">
        <x:f>'Research &amp; Analysis'!N353</x:f>
        <x:v>RA.AU.3.3.2026.CY3</x:v>
      </x:c>
      <x:c r="P1081" s="2" t="n">
        <x:f>'Research &amp; Analysis'!O353</x:f>
        <x:v>0</x:v>
      </x:c>
      <x:c r="Q1081" s="2" t="n">
        <x:f>SUBTOTAL(103,O1081)</x:f>
        <x:v>1</x:v>
      </x:c>
      <x:c r="R1081" s="2" t="n">
        <x:f>IF(AND(M1081=1,OR(Dashboard!$B$7="All",Dashboard!$B$7='Cycles &amp; Guide'!$C$5),OR(Dashboard!$D$7="All",Dashboard!$D$7=B1081),OR(Dashboard!$F$7="All",Dashboard!$F$7=C1081),OR(Dashboard!$H$7="All",Dashboard!$H$7=D1081),OR(Dashboard!$K$7="All",Dashboard!$K$7=E1081)),1,0)</x:f>
        <x:v>1</x:v>
      </x:c>
      <x:c r="S1081" s="2" t="n">
        <x:f>IF(R1081=1,SUM($R$10:R1081),0)</x:f>
        <x:v>708</x:v>
      </x:c>
      <x:c r="T1081" s="2" t="str">
        <x:v>Research &amp; Analysis</x:v>
      </x:c>
      <x:c r="U1081" s="2" t="n">
        <x:v>353</x:v>
      </x:c>
      <x:c r="V1081" s="2" t="n">
        <x:f>IF(AND(M1081=1,P1081=0,ISNUMBER(J1081),J1081&lt;TODAY()),1,0)</x:f>
        <x:v>0</x:v>
      </x:c>
      <x:c r="W1081" s="2" t="str">
        <x:f>'Research &amp; Analysis'!M353</x:f>
        <x:v>Task</x:v>
      </x:c>
    </x:row>
    <x:row r="1082" ht="40" customHeight="1">
      <x:c r="A1082" s="3" t="str">
        <x:f>HYPERLINK("#'Research &amp; Analysis'!A354","Open")</x:f>
        <x:v>Open</x:v>
      </x:c>
      <x:c r="B1082" s="2" t="str">
        <x:f>'Research &amp; Analysis'!B354</x:f>
        <x:v>Cycle 3</x:v>
      </x:c>
      <x:c r="C1082" s="2" t="str">
        <x:f>'Research &amp; Analysis'!C354</x:f>
        <x:v>Phase 3</x:v>
      </x:c>
      <x:c r="D1082" s="2" t="str">
        <x:f>'Research &amp; Analysis'!D354</x:f>
        <x:v>Auto</x:v>
      </x:c>
      <x:c r="E1082" s="2" t="str">
        <x:v>Research &amp; Analysis</x:v>
      </x:c>
      <x:c r="F1082" s="56" t="str">
        <x:f>'Research &amp; Analysis'!E354</x:f>
        <x:v>RA.AU.3.4</x:v>
      </x:c>
      <x:c r="G1082" s="14" t="str">
        <x:f>'Research &amp; Analysis'!F354</x:f>
        <x:v>Attend Forum meeting with D&amp;I to assist with answering stakeholder questions (as needed)</x:v>
      </x:c>
      <x:c r="H1082" s="2" t="str">
        <x:f>IF('Research &amp; Analysis'!G354="","",'Research &amp; Analysis'!G354)</x:f>
      </x:c>
      <x:c r="I1082" s="12" t="str">
        <x:f>IF('Research &amp; Analysis'!H354="","",'Research &amp; Analysis'!H354)</x:f>
      </x:c>
      <x:c r="J1082" s="12" t="str">
        <x:f>IF('Research &amp; Analysis'!I354="","",'Research &amp; Analysis'!I354)</x:f>
      </x:c>
      <x:c r="K1082" s="12" t="str">
        <x:f>IF('Research &amp; Analysis'!J354="","",'Research &amp; Analysis'!J354)</x:f>
      </x:c>
      <x:c r="L1082" s="2" t="str">
        <x:f>IF('Research &amp; Analysis'!K354="","",'Research &amp; Analysis'!K354)</x:f>
      </x:c>
      <x:c r="M1082" s="2" t="n">
        <x:f>'Research &amp; Analysis'!Q354</x:f>
        <x:v>1</x:v>
      </x:c>
      <x:c r="N1082" s="2" t="str">
        <x:f>'Research &amp; Analysis'!L354</x:f>
        <x:v>Not started</x:v>
      </x:c>
      <x:c r="O1082" s="2" t="str">
        <x:f>'Research &amp; Analysis'!N354</x:f>
        <x:v>RA.AU.3.4.2026.CY3</x:v>
      </x:c>
      <x:c r="P1082" s="2" t="n">
        <x:f>'Research &amp; Analysis'!O354</x:f>
        <x:v>0</x:v>
      </x:c>
      <x:c r="Q1082" s="2" t="n">
        <x:f>SUBTOTAL(103,O1082)</x:f>
        <x:v>1</x:v>
      </x:c>
      <x:c r="R1082" s="2" t="n">
        <x:f>IF(AND(M1082=1,OR(Dashboard!$B$7="All",Dashboard!$B$7='Cycles &amp; Guide'!$C$5),OR(Dashboard!$D$7="All",Dashboard!$D$7=B1082),OR(Dashboard!$F$7="All",Dashboard!$F$7=C1082),OR(Dashboard!$H$7="All",Dashboard!$H$7=D1082),OR(Dashboard!$K$7="All",Dashboard!$K$7=E1082)),1,0)</x:f>
        <x:v>1</x:v>
      </x:c>
      <x:c r="S1082" s="2" t="n">
        <x:f>IF(R1082=1,SUM($R$10:R1082),0)</x:f>
        <x:v>709</x:v>
      </x:c>
      <x:c r="T1082" s="2" t="str">
        <x:v>Research &amp; Analysis</x:v>
      </x:c>
      <x:c r="U1082" s="2" t="n">
        <x:v>354</x:v>
      </x:c>
      <x:c r="V1082" s="2" t="n">
        <x:f>IF(AND(M1082=1,P1082=0,ISNUMBER(J1082),J1082&lt;TODAY()),1,0)</x:f>
        <x:v>0</x:v>
      </x:c>
      <x:c r="W1082" s="2" t="str">
        <x:f>'Research &amp; Analysis'!M354</x:f>
        <x:v>Task</x:v>
      </x:c>
    </x:row>
    <x:row r="1083" ht="40" customHeight="1">
      <x:c r="A1083" s="3" t="str">
        <x:f>HYPERLINK("#'Research &amp; Analysis'!A355","Open")</x:f>
        <x:v>Open</x:v>
      </x:c>
      <x:c r="B1083" s="2" t="str">
        <x:f>'Research &amp; Analysis'!B355</x:f>
        <x:v>Cycle 3</x:v>
      </x:c>
      <x:c r="C1083" s="2" t="str">
        <x:f>'Research &amp; Analysis'!C355</x:f>
        <x:v>Phase 1</x:v>
      </x:c>
      <x:c r="D1083" s="2" t="str">
        <x:f>'Research &amp; Analysis'!D355</x:f>
        <x:v>Cards</x:v>
      </x:c>
      <x:c r="E1083" s="2" t="str">
        <x:v>Research &amp; Analysis</x:v>
      </x:c>
      <x:c r="F1083" s="56" t="str">
        <x:f>'Research &amp; Analysis'!E355</x:f>
        <x:v>RA.CA.1.1</x:v>
      </x:c>
      <x:c r="G1083" s="14" t="str">
        <x:f>'Research &amp; Analysis'!F355</x:f>
        <x:v>Begin Research process 2 weeks prior to Cycle start</x:v>
      </x:c>
      <x:c r="H1083" s="2" t="str">
        <x:f>IF('Research &amp; Analysis'!G355="","",'Research &amp; Analysis'!G355)</x:f>
      </x:c>
      <x:c r="I1083" s="12" t="str">
        <x:f>IF('Research &amp; Analysis'!H355="","",'Research &amp; Analysis'!H355)</x:f>
      </x:c>
      <x:c r="J1083" s="12" t="n">
        <x:f>IF('Research &amp; Analysis'!I355="","",'Research &amp; Analysis'!I355)</x:f>
        <x:v>46190</x:v>
      </x:c>
      <x:c r="K1083" s="12" t="str">
        <x:f>IF('Research &amp; Analysis'!J355="","",'Research &amp; Analysis'!J355)</x:f>
      </x:c>
      <x:c r="L1083" s="2" t="str">
        <x:f>IF('Research &amp; Analysis'!K355="","",'Research &amp; Analysis'!K355)</x:f>
      </x:c>
      <x:c r="M1083" s="2" t="n">
        <x:f>'Research &amp; Analysis'!Q355</x:f>
        <x:v>1</x:v>
      </x:c>
      <x:c r="N1083" s="2" t="str">
        <x:f>'Research &amp; Analysis'!L355</x:f>
        <x:v>Not started</x:v>
      </x:c>
      <x:c r="O1083" s="2" t="str">
        <x:f>'Research &amp; Analysis'!N355</x:f>
        <x:v>RA.CA.1.1.2026.CY3</x:v>
      </x:c>
      <x:c r="P1083" s="2" t="n">
        <x:f>'Research &amp; Analysis'!O355</x:f>
        <x:v>0</x:v>
      </x:c>
      <x:c r="Q1083" s="2" t="n">
        <x:f>SUBTOTAL(103,O1083)</x:f>
        <x:v>1</x:v>
      </x:c>
      <x:c r="R1083" s="2" t="n">
        <x:f>IF(AND(M1083=1,OR(Dashboard!$B$7="All",Dashboard!$B$7='Cycles &amp; Guide'!$C$5),OR(Dashboard!$D$7="All",Dashboard!$D$7=B1083),OR(Dashboard!$F$7="All",Dashboard!$F$7=C1083),OR(Dashboard!$H$7="All",Dashboard!$H$7=D1083),OR(Dashboard!$K$7="All",Dashboard!$K$7=E1083)),1,0)</x:f>
        <x:v>1</x:v>
      </x:c>
      <x:c r="S1083" s="2" t="n">
        <x:f>IF(R1083=1,SUM($R$10:R1083),0)</x:f>
        <x:v>710</x:v>
      </x:c>
      <x:c r="T1083" s="2" t="str">
        <x:v>Research &amp; Analysis</x:v>
      </x:c>
      <x:c r="U1083" s="2" t="n">
        <x:v>355</x:v>
      </x:c>
      <x:c r="V1083" s="2" t="n">
        <x:f>IF(AND(M1083=1,P1083=0,ISNUMBER(J1083),J1083&lt;TODAY()),1,0)</x:f>
        <x:v>1</x:v>
      </x:c>
      <x:c r="W1083" s="2" t="str">
        <x:f>'Research &amp; Analysis'!M355</x:f>
        <x:v>Task</x:v>
      </x:c>
    </x:row>
    <x:row r="1084" ht="40" customHeight="1">
      <x:c r="A1084" s="3" t="str">
        <x:f>HYPERLINK("#'Research &amp; Analysis'!A356","Open")</x:f>
        <x:v>Open</x:v>
      </x:c>
      <x:c r="B1084" s="2" t="str">
        <x:f>'Research &amp; Analysis'!B356</x:f>
        <x:v>Cycle 3</x:v>
      </x:c>
      <x:c r="C1084" s="2" t="str">
        <x:f>'Research &amp; Analysis'!C356</x:f>
        <x:v>Phase 1</x:v>
      </x:c>
      <x:c r="D1084" s="2" t="str">
        <x:f>'Research &amp; Analysis'!D356</x:f>
        <x:v>Cards</x:v>
      </x:c>
      <x:c r="E1084" s="2" t="str">
        <x:v>Research &amp; Analysis</x:v>
      </x:c>
      <x:c r="F1084" s="56" t="str">
        <x:f>'Research &amp; Analysis'!E356</x:f>
        <x:v>RA.CA.1.2</x:v>
      </x:c>
      <x:c r="G1084" s="14" t="str">
        <x:f>'Research &amp; Analysis'!F356</x:f>
        <x:v>Conduct initial assessment of each topic recommendation from SharePoint list</x:v>
      </x:c>
      <x:c r="H1084" s="2" t="str">
        <x:f>IF('Research &amp; Analysis'!G356="","",'Research &amp; Analysis'!G356)</x:f>
      </x:c>
      <x:c r="I1084" s="12" t="str">
        <x:f>IF('Research &amp; Analysis'!H356="","",'Research &amp; Analysis'!H356)</x:f>
      </x:c>
      <x:c r="J1084" s="12" t="n">
        <x:f>IF('Research &amp; Analysis'!I356="","",'Research &amp; Analysis'!I356)</x:f>
        <x:v>46295</x:v>
      </x:c>
      <x:c r="K1084" s="12" t="str">
        <x:f>IF('Research &amp; Analysis'!J356="","",'Research &amp; Analysis'!J356)</x:f>
      </x:c>
      <x:c r="L1084" s="2" t="str">
        <x:f>IF('Research &amp; Analysis'!K356="","",'Research &amp; Analysis'!K356)</x:f>
      </x:c>
      <x:c r="M1084" s="2" t="n">
        <x:f>'Research &amp; Analysis'!Q356</x:f>
        <x:v>1</x:v>
      </x:c>
      <x:c r="N1084" s="2" t="str">
        <x:f>'Research &amp; Analysis'!L356</x:f>
        <x:v>Not started</x:v>
      </x:c>
      <x:c r="O1084" s="2" t="str">
        <x:f>'Research &amp; Analysis'!N356</x:f>
        <x:v>RA.CA.1.2.2026.CY3</x:v>
      </x:c>
      <x:c r="P1084" s="2" t="n">
        <x:f>'Research &amp; Analysis'!O356</x:f>
        <x:v>0</x:v>
      </x:c>
      <x:c r="Q1084" s="2" t="n">
        <x:f>SUBTOTAL(103,O1084)</x:f>
        <x:v>1</x:v>
      </x:c>
      <x:c r="R1084" s="2" t="n">
        <x:f>IF(AND(M1084=1,OR(Dashboard!$B$7="All",Dashboard!$B$7='Cycles &amp; Guide'!$C$5),OR(Dashboard!$D$7="All",Dashboard!$D$7=B1084),OR(Dashboard!$F$7="All",Dashboard!$F$7=C1084),OR(Dashboard!$H$7="All",Dashboard!$H$7=D1084),OR(Dashboard!$K$7="All",Dashboard!$K$7=E1084)),1,0)</x:f>
        <x:v>1</x:v>
      </x:c>
      <x:c r="S1084" s="2" t="n">
        <x:f>IF(R1084=1,SUM($R$10:R1084),0)</x:f>
        <x:v>711</x:v>
      </x:c>
      <x:c r="T1084" s="2" t="str">
        <x:v>Research &amp; Analysis</x:v>
      </x:c>
      <x:c r="U1084" s="2" t="n">
        <x:v>356</x:v>
      </x:c>
      <x:c r="V1084" s="2" t="n">
        <x:f>IF(AND(M1084=1,P1084=0,ISNUMBER(J1084),J1084&lt;TODAY()),1,0)</x:f>
        <x:v>0</x:v>
      </x:c>
      <x:c r="W1084" s="2" t="str">
        <x:f>'Research &amp; Analysis'!M356</x:f>
        <x:v>Task</x:v>
      </x:c>
    </x:row>
    <x:row r="1085" ht="40" customHeight="1">
      <x:c r="A1085" s="3" t="str">
        <x:f>HYPERLINK("#'Research &amp; Analysis'!A357","Open")</x:f>
        <x:v>Open</x:v>
      </x:c>
      <x:c r="B1085" s="2" t="str">
        <x:f>'Research &amp; Analysis'!B357</x:f>
        <x:v>Cycle 3</x:v>
      </x:c>
      <x:c r="C1085" s="2" t="str">
        <x:f>'Research &amp; Analysis'!C357</x:f>
        <x:v>Phase 1</x:v>
      </x:c>
      <x:c r="D1085" s="2" t="str">
        <x:f>'Research &amp; Analysis'!D357</x:f>
        <x:v>Cards</x:v>
      </x:c>
      <x:c r="E1085" s="2" t="str">
        <x:v>Research &amp; Analysis</x:v>
      </x:c>
      <x:c r="F1085" s="56" t="str">
        <x:f>'Research &amp; Analysis'!E357</x:f>
        <x:v>RA.CA.1.3</x:v>
      </x:c>
      <x:c r="G1085" s="14" t="str">
        <x:f>'Research &amp; Analysis'!F357</x:f>
        <x:v>Identify best topic for Cycle</x:v>
      </x:c>
      <x:c r="H1085" s="2" t="str">
        <x:f>IF('Research &amp; Analysis'!G357="","",'Research &amp; Analysis'!G357)</x:f>
      </x:c>
      <x:c r="I1085" s="12" t="str">
        <x:f>IF('Research &amp; Analysis'!H357="","",'Research &amp; Analysis'!H357)</x:f>
      </x:c>
      <x:c r="J1085" s="12" t="n">
        <x:f>IF('Research &amp; Analysis'!I357="","",'Research &amp; Analysis'!I357)</x:f>
        <x:v>46295</x:v>
      </x:c>
      <x:c r="K1085" s="12" t="str">
        <x:f>IF('Research &amp; Analysis'!J357="","",'Research &amp; Analysis'!J357)</x:f>
      </x:c>
      <x:c r="L1085" s="2" t="str">
        <x:f>IF('Research &amp; Analysis'!K357="","",'Research &amp; Analysis'!K357)</x:f>
      </x:c>
      <x:c r="M1085" s="2" t="n">
        <x:f>'Research &amp; Analysis'!Q357</x:f>
        <x:v>1</x:v>
      </x:c>
      <x:c r="N1085" s="2" t="str">
        <x:f>'Research &amp; Analysis'!L357</x:f>
        <x:v>Not started</x:v>
      </x:c>
      <x:c r="O1085" s="2" t="str">
        <x:f>'Research &amp; Analysis'!N357</x:f>
        <x:v>RA.CA.1.3.2026.CY3</x:v>
      </x:c>
      <x:c r="P1085" s="2" t="n">
        <x:f>'Research &amp; Analysis'!O357</x:f>
        <x:v>0</x:v>
      </x:c>
      <x:c r="Q1085" s="2" t="n">
        <x:f>SUBTOTAL(103,O1085)</x:f>
        <x:v>1</x:v>
      </x:c>
      <x:c r="R1085" s="2" t="n">
        <x:f>IF(AND(M1085=1,OR(Dashboard!$B$7="All",Dashboard!$B$7='Cycles &amp; Guide'!$C$5),OR(Dashboard!$D$7="All",Dashboard!$D$7=B1085),OR(Dashboard!$F$7="All",Dashboard!$F$7=C1085),OR(Dashboard!$H$7="All",Dashboard!$H$7=D1085),OR(Dashboard!$K$7="All",Dashboard!$K$7=E1085)),1,0)</x:f>
        <x:v>1</x:v>
      </x:c>
      <x:c r="S1085" s="2" t="n">
        <x:f>IF(R1085=1,SUM($R$10:R1085),0)</x:f>
        <x:v>712</x:v>
      </x:c>
      <x:c r="T1085" s="2" t="str">
        <x:v>Research &amp; Analysis</x:v>
      </x:c>
      <x:c r="U1085" s="2" t="n">
        <x:v>357</x:v>
      </x:c>
      <x:c r="V1085" s="2" t="n">
        <x:f>IF(AND(M1085=1,P1085=0,ISNUMBER(J1085),J1085&lt;TODAY()),1,0)</x:f>
        <x:v>0</x:v>
      </x:c>
      <x:c r="W1085" s="2" t="str">
        <x:f>'Research &amp; Analysis'!M357</x:f>
        <x:v>Task</x:v>
      </x:c>
    </x:row>
    <x:row r="1086" ht="40" customHeight="1">
      <x:c r="A1086" s="3" t="str">
        <x:f>HYPERLINK("#'Research &amp; Analysis'!A358","Open")</x:f>
        <x:v>Open</x:v>
      </x:c>
      <x:c r="B1086" s="2" t="str">
        <x:f>'Research &amp; Analysis'!B358</x:f>
        <x:v>Cycle 3</x:v>
      </x:c>
      <x:c r="C1086" s="2" t="str">
        <x:f>'Research &amp; Analysis'!C358</x:f>
        <x:v>Phase 1</x:v>
      </x:c>
      <x:c r="D1086" s="2" t="str">
        <x:f>'Research &amp; Analysis'!D358</x:f>
        <x:v>Cards</x:v>
      </x:c>
      <x:c r="E1086" s="2" t="str">
        <x:v>Research &amp; Analysis</x:v>
      </x:c>
      <x:c r="F1086" s="56" t="str">
        <x:f>'Research &amp; Analysis'!E358</x:f>
        <x:v>RA.CA.1.4</x:v>
      </x:c>
      <x:c r="G1086" s="14" t="str">
        <x:f>'Research &amp; Analysis'!F358</x:f>
        <x:v>Identify backup topic for Cycle</x:v>
      </x:c>
      <x:c r="H1086" s="2" t="str">
        <x:f>IF('Research &amp; Analysis'!G358="","",'Research &amp; Analysis'!G358)</x:f>
      </x:c>
      <x:c r="I1086" s="12" t="str">
        <x:f>IF('Research &amp; Analysis'!H358="","",'Research &amp; Analysis'!H358)</x:f>
      </x:c>
      <x:c r="J1086" s="12" t="n">
        <x:f>IF('Research &amp; Analysis'!I358="","",'Research &amp; Analysis'!I358)</x:f>
        <x:v>46295</x:v>
      </x:c>
      <x:c r="K1086" s="12" t="str">
        <x:f>IF('Research &amp; Analysis'!J358="","",'Research &amp; Analysis'!J358)</x:f>
      </x:c>
      <x:c r="L1086" s="2" t="str">
        <x:f>IF('Research &amp; Analysis'!K358="","",'Research &amp; Analysis'!K358)</x:f>
      </x:c>
      <x:c r="M1086" s="2" t="n">
        <x:f>'Research &amp; Analysis'!Q358</x:f>
        <x:v>1</x:v>
      </x:c>
      <x:c r="N1086" s="2" t="str">
        <x:f>'Research &amp; Analysis'!L358</x:f>
        <x:v>Not started</x:v>
      </x:c>
      <x:c r="O1086" s="2" t="str">
        <x:f>'Research &amp; Analysis'!N358</x:f>
        <x:v>RA.CA.1.4.2026.CY3</x:v>
      </x:c>
      <x:c r="P1086" s="2" t="n">
        <x:f>'Research &amp; Analysis'!O358</x:f>
        <x:v>0</x:v>
      </x:c>
      <x:c r="Q1086" s="2" t="n">
        <x:f>SUBTOTAL(103,O1086)</x:f>
        <x:v>1</x:v>
      </x:c>
      <x:c r="R1086" s="2" t="n">
        <x:f>IF(AND(M1086=1,OR(Dashboard!$B$7="All",Dashboard!$B$7='Cycles &amp; Guide'!$C$5),OR(Dashboard!$D$7="All",Dashboard!$D$7=B1086),OR(Dashboard!$F$7="All",Dashboard!$F$7=C1086),OR(Dashboard!$H$7="All",Dashboard!$H$7=D1086),OR(Dashboard!$K$7="All",Dashboard!$K$7=E1086)),1,0)</x:f>
        <x:v>1</x:v>
      </x:c>
      <x:c r="S1086" s="2" t="n">
        <x:f>IF(R1086=1,SUM($R$10:R1086),0)</x:f>
        <x:v>713</x:v>
      </x:c>
      <x:c r="T1086" s="2" t="str">
        <x:v>Research &amp; Analysis</x:v>
      </x:c>
      <x:c r="U1086" s="2" t="n">
        <x:v>358</x:v>
      </x:c>
      <x:c r="V1086" s="2" t="n">
        <x:f>IF(AND(M1086=1,P1086=0,ISNUMBER(J1086),J1086&lt;TODAY()),1,0)</x:f>
        <x:v>0</x:v>
      </x:c>
      <x:c r="W1086" s="2" t="str">
        <x:f>'Research &amp; Analysis'!M358</x:f>
        <x:v>Task</x:v>
      </x:c>
    </x:row>
    <x:row r="1087" ht="40" customHeight="1">
      <x:c r="A1087" s="3" t="str">
        <x:f>HYPERLINK("#'Research &amp; Analysis'!A359","Open")</x:f>
        <x:v>Open</x:v>
      </x:c>
      <x:c r="B1087" s="2" t="str">
        <x:f>'Research &amp; Analysis'!B359</x:f>
        <x:v>Cycle 3</x:v>
      </x:c>
      <x:c r="C1087" s="2" t="str">
        <x:f>'Research &amp; Analysis'!C359</x:f>
        <x:v>Phase 1</x:v>
      </x:c>
      <x:c r="D1087" s="2" t="str">
        <x:f>'Research &amp; Analysis'!D359</x:f>
        <x:v>Cards</x:v>
      </x:c>
      <x:c r="E1087" s="2" t="str">
        <x:v>Research &amp; Analysis</x:v>
      </x:c>
      <x:c r="F1087" s="56" t="str">
        <x:f>'Research &amp; Analysis'!E359</x:f>
        <x:v>RA.CA.1.5</x:v>
      </x:c>
      <x:c r="G1087" s="14" t="str">
        <x:f>'Research &amp; Analysis'!F359</x:f>
        <x:v>Schedule topic approval meeting with D&amp;I and management</x:v>
      </x:c>
      <x:c r="H1087" s="2" t="str">
        <x:f>IF('Research &amp; Analysis'!G359="","",'Research &amp; Analysis'!G359)</x:f>
      </x:c>
      <x:c r="I1087" s="12" t="str">
        <x:f>IF('Research &amp; Analysis'!H359="","",'Research &amp; Analysis'!H359)</x:f>
      </x:c>
      <x:c r="J1087" s="12" t="n">
        <x:f>IF('Research &amp; Analysis'!I359="","",'Research &amp; Analysis'!I359)</x:f>
        <x:v>46295</x:v>
      </x:c>
      <x:c r="K1087" s="12" t="str">
        <x:f>IF('Research &amp; Analysis'!J359="","",'Research &amp; Analysis'!J359)</x:f>
      </x:c>
      <x:c r="L1087" s="2" t="str">
        <x:f>IF('Research &amp; Analysis'!K359="","",'Research &amp; Analysis'!K359)</x:f>
      </x:c>
      <x:c r="M1087" s="2" t="n">
        <x:f>'Research &amp; Analysis'!Q359</x:f>
        <x:v>1</x:v>
      </x:c>
      <x:c r="N1087" s="2" t="str">
        <x:f>'Research &amp; Analysis'!L359</x:f>
        <x:v>Not started</x:v>
      </x:c>
      <x:c r="O1087" s="2" t="str">
        <x:f>'Research &amp; Analysis'!N359</x:f>
        <x:v>RA.CA.1.5.2026.CY3</x:v>
      </x:c>
      <x:c r="P1087" s="2" t="n">
        <x:f>'Research &amp; Analysis'!O359</x:f>
        <x:v>0</x:v>
      </x:c>
      <x:c r="Q1087" s="2" t="n">
        <x:f>SUBTOTAL(103,O1087)</x:f>
        <x:v>1</x:v>
      </x:c>
      <x:c r="R1087" s="2" t="n">
        <x:f>IF(AND(M1087=1,OR(Dashboard!$B$7="All",Dashboard!$B$7='Cycles &amp; Guide'!$C$5),OR(Dashboard!$D$7="All",Dashboard!$D$7=B1087),OR(Dashboard!$F$7="All",Dashboard!$F$7=C1087),OR(Dashboard!$H$7="All",Dashboard!$H$7=D1087),OR(Dashboard!$K$7="All",Dashboard!$K$7=E1087)),1,0)</x:f>
        <x:v>1</x:v>
      </x:c>
      <x:c r="S1087" s="2" t="n">
        <x:f>IF(R1087=1,SUM($R$10:R1087),0)</x:f>
        <x:v>714</x:v>
      </x:c>
      <x:c r="T1087" s="2" t="str">
        <x:v>Research &amp; Analysis</x:v>
      </x:c>
      <x:c r="U1087" s="2" t="n">
        <x:v>359</x:v>
      </x:c>
      <x:c r="V1087" s="2" t="n">
        <x:f>IF(AND(M1087=1,P1087=0,ISNUMBER(J1087),J1087&lt;TODAY()),1,0)</x:f>
        <x:v>0</x:v>
      </x:c>
      <x:c r="W1087" s="2" t="str">
        <x:f>'Research &amp; Analysis'!M359</x:f>
        <x:v>Task</x:v>
      </x:c>
    </x:row>
    <x:row r="1088" ht="40" customHeight="1">
      <x:c r="A1088" s="3" t="str">
        <x:f>HYPERLINK("#'Research &amp; Analysis'!A360","Open")</x:f>
        <x:v>Open</x:v>
      </x:c>
      <x:c r="B1088" s="2" t="str">
        <x:f>'Research &amp; Analysis'!B360</x:f>
        <x:v>Cycle 3</x:v>
      </x:c>
      <x:c r="C1088" s="2" t="str">
        <x:f>'Research &amp; Analysis'!C360</x:f>
        <x:v>Phase 1</x:v>
      </x:c>
      <x:c r="D1088" s="2" t="str">
        <x:f>'Research &amp; Analysis'!D360</x:f>
        <x:v>Cards</x:v>
      </x:c>
      <x:c r="E1088" s="2" t="str">
        <x:v>Research &amp; Analysis</x:v>
      </x:c>
      <x:c r="F1088" s="56" t="str">
        <x:f>'Research &amp; Analysis'!E360</x:f>
        <x:v>RA.CA.1.6</x:v>
      </x:c>
      <x:c r="G1088" s="14" t="str">
        <x:f>'Research &amp; Analysis'!F360</x:f>
        <x:v>Present recommended topic to D&amp;I and management for approval</x:v>
      </x:c>
      <x:c r="H1088" s="2" t="str">
        <x:f>IF('Research &amp; Analysis'!G360="","",'Research &amp; Analysis'!G360)</x:f>
      </x:c>
      <x:c r="I1088" s="12" t="str">
        <x:f>IF('Research &amp; Analysis'!H360="","",'Research &amp; Analysis'!H360)</x:f>
      </x:c>
      <x:c r="J1088" s="12" t="n">
        <x:f>IF('Research &amp; Analysis'!I360="","",'Research &amp; Analysis'!I360)</x:f>
        <x:v>46295</x:v>
      </x:c>
      <x:c r="K1088" s="12" t="str">
        <x:f>IF('Research &amp; Analysis'!J360="","",'Research &amp; Analysis'!J360)</x:f>
      </x:c>
      <x:c r="L1088" s="2" t="str">
        <x:f>IF('Research &amp; Analysis'!K360="","",'Research &amp; Analysis'!K360)</x:f>
      </x:c>
      <x:c r="M1088" s="2" t="n">
        <x:f>'Research &amp; Analysis'!Q360</x:f>
        <x:v>1</x:v>
      </x:c>
      <x:c r="N1088" s="2" t="str">
        <x:f>'Research &amp; Analysis'!L360</x:f>
        <x:v>Not started</x:v>
      </x:c>
      <x:c r="O1088" s="2" t="str">
        <x:f>'Research &amp; Analysis'!N360</x:f>
        <x:v>RA.CA.1.6.2026.CY3</x:v>
      </x:c>
      <x:c r="P1088" s="2" t="n">
        <x:f>'Research &amp; Analysis'!O360</x:f>
        <x:v>0</x:v>
      </x:c>
      <x:c r="Q1088" s="2" t="n">
        <x:f>SUBTOTAL(103,O1088)</x:f>
        <x:v>1</x:v>
      </x:c>
      <x:c r="R1088" s="2" t="n">
        <x:f>IF(AND(M1088=1,OR(Dashboard!$B$7="All",Dashboard!$B$7='Cycles &amp; Guide'!$C$5),OR(Dashboard!$D$7="All",Dashboard!$D$7=B1088),OR(Dashboard!$F$7="All",Dashboard!$F$7=C1088),OR(Dashboard!$H$7="All",Dashboard!$H$7=D1088),OR(Dashboard!$K$7="All",Dashboard!$K$7=E1088)),1,0)</x:f>
        <x:v>1</x:v>
      </x:c>
      <x:c r="S1088" s="2" t="n">
        <x:f>IF(R1088=1,SUM($R$10:R1088),0)</x:f>
        <x:v>715</x:v>
      </x:c>
      <x:c r="T1088" s="2" t="str">
        <x:v>Research &amp; Analysis</x:v>
      </x:c>
      <x:c r="U1088" s="2" t="n">
        <x:v>360</x:v>
      </x:c>
      <x:c r="V1088" s="2" t="n">
        <x:f>IF(AND(M1088=1,P1088=0,ISNUMBER(J1088),J1088&lt;TODAY()),1,0)</x:f>
        <x:v>0</x:v>
      </x:c>
      <x:c r="W1088" s="2" t="str">
        <x:f>'Research &amp; Analysis'!M360</x:f>
        <x:v>Task</x:v>
      </x:c>
    </x:row>
    <x:row r="1089" ht="40" customHeight="1">
      <x:c r="A1089" s="3" t="str">
        <x:f>HYPERLINK("#'Research &amp; Analysis'!A361","Open")</x:f>
        <x:v>Open</x:v>
      </x:c>
      <x:c r="B1089" s="2" t="str">
        <x:f>'Research &amp; Analysis'!B361</x:f>
        <x:v>Cycle 3</x:v>
      </x:c>
      <x:c r="C1089" s="2" t="str">
        <x:f>'Research &amp; Analysis'!C361</x:f>
        <x:v>Phase 1</x:v>
      </x:c>
      <x:c r="D1089" s="2" t="str">
        <x:f>'Research &amp; Analysis'!D361</x:f>
        <x:v>Cards</x:v>
      </x:c>
      <x:c r="E1089" s="2" t="str">
        <x:v>Research &amp; Analysis</x:v>
      </x:c>
      <x:c r="F1089" s="56" t="str">
        <x:f>'Research &amp; Analysis'!E361</x:f>
        <x:v>RA.CA.1.7</x:v>
      </x:c>
      <x:c r="G1089" s="14" t="str">
        <x:f>'Research &amp; Analysis'!F361</x:f>
        <x:v>Obtain formal topic selection approval from management via SharePoint</x:v>
      </x:c>
      <x:c r="H1089" s="2" t="str">
        <x:f>IF('Research &amp; Analysis'!G361="","",'Research &amp; Analysis'!G361)</x:f>
      </x:c>
      <x:c r="I1089" s="12" t="str">
        <x:f>IF('Research &amp; Analysis'!H361="","",'Research &amp; Analysis'!H361)</x:f>
      </x:c>
      <x:c r="J1089" s="12" t="n">
        <x:f>IF('Research &amp; Analysis'!I361="","",'Research &amp; Analysis'!I361)</x:f>
        <x:v>46295</x:v>
      </x:c>
      <x:c r="K1089" s="12" t="str">
        <x:f>IF('Research &amp; Analysis'!J361="","",'Research &amp; Analysis'!J361)</x:f>
      </x:c>
      <x:c r="L1089" s="2" t="str">
        <x:f>IF('Research &amp; Analysis'!K361="","",'Research &amp; Analysis'!K361)</x:f>
      </x:c>
      <x:c r="M1089" s="2" t="n">
        <x:f>'Research &amp; Analysis'!Q361</x:f>
        <x:v>1</x:v>
      </x:c>
      <x:c r="N1089" s="2" t="str">
        <x:f>'Research &amp; Analysis'!L361</x:f>
        <x:v>Not started</x:v>
      </x:c>
      <x:c r="O1089" s="2" t="str">
        <x:f>'Research &amp; Analysis'!N361</x:f>
        <x:v>RA.CA.1.7.2026.CY3</x:v>
      </x:c>
      <x:c r="P1089" s="2" t="n">
        <x:f>'Research &amp; Analysis'!O361</x:f>
        <x:v>0</x:v>
      </x:c>
      <x:c r="Q1089" s="2" t="n">
        <x:f>SUBTOTAL(103,O1089)</x:f>
        <x:v>1</x:v>
      </x:c>
      <x:c r="R1089" s="2" t="n">
        <x:f>IF(AND(M1089=1,OR(Dashboard!$B$7="All",Dashboard!$B$7='Cycles &amp; Guide'!$C$5),OR(Dashboard!$D$7="All",Dashboard!$D$7=B1089),OR(Dashboard!$F$7="All",Dashboard!$F$7=C1089),OR(Dashboard!$H$7="All",Dashboard!$H$7=D1089),OR(Dashboard!$K$7="All",Dashboard!$K$7=E1089)),1,0)</x:f>
        <x:v>1</x:v>
      </x:c>
      <x:c r="S1089" s="2" t="n">
        <x:f>IF(R1089=1,SUM($R$10:R1089),0)</x:f>
        <x:v>716</x:v>
      </x:c>
      <x:c r="T1089" s="2" t="str">
        <x:v>Research &amp; Analysis</x:v>
      </x:c>
      <x:c r="U1089" s="2" t="n">
        <x:v>361</x:v>
      </x:c>
      <x:c r="V1089" s="2" t="n">
        <x:f>IF(AND(M1089=1,P1089=0,ISNUMBER(J1089),J1089&lt;TODAY()),1,0)</x:f>
        <x:v>0</x:v>
      </x:c>
      <x:c r="W1089" s="2" t="str">
        <x:f>'Research &amp; Analysis'!M361</x:f>
        <x:v>Task</x:v>
      </x:c>
    </x:row>
    <x:row r="1090" ht="40" customHeight="1">
      <x:c r="A1090" s="3" t="str">
        <x:f>HYPERLINK("#'Research &amp; Analysis'!A362","Open")</x:f>
        <x:v>Open</x:v>
      </x:c>
      <x:c r="B1090" s="2" t="str">
        <x:f>'Research &amp; Analysis'!B362</x:f>
        <x:v>Cycle 3</x:v>
      </x:c>
      <x:c r="C1090" s="2" t="str">
        <x:f>'Research &amp; Analysis'!C362</x:f>
        <x:v>Phase 1</x:v>
      </x:c>
      <x:c r="D1090" s="2" t="str">
        <x:f>'Research &amp; Analysis'!D362</x:f>
        <x:v>Cards</x:v>
      </x:c>
      <x:c r="E1090" s="2" t="str">
        <x:v>Research &amp; Analysis</x:v>
      </x:c>
      <x:c r="F1090" s="56" t="str">
        <x:f>'Research &amp; Analysis'!E362</x:f>
        <x:v>RA.CA.1.8</x:v>
      </x:c>
      <x:c r="G1090" s="14" t="str">
        <x:f>'Research &amp; Analysis'!F362</x:f>
        <x:v>Socialize topic selection with product owners and subject matter experts (if known)</x:v>
      </x:c>
      <x:c r="H1090" s="2" t="str">
        <x:f>IF('Research &amp; Analysis'!G362="","",'Research &amp; Analysis'!G362)</x:f>
      </x:c>
      <x:c r="I1090" s="12" t="str">
        <x:f>IF('Research &amp; Analysis'!H362="","",'Research &amp; Analysis'!H362)</x:f>
      </x:c>
      <x:c r="J1090" s="12" t="n">
        <x:f>IF('Research &amp; Analysis'!I362="","",'Research &amp; Analysis'!I362)</x:f>
        <x:v>46295</x:v>
      </x:c>
      <x:c r="K1090" s="12" t="str">
        <x:f>IF('Research &amp; Analysis'!J362="","",'Research &amp; Analysis'!J362)</x:f>
      </x:c>
      <x:c r="L1090" s="2" t="str">
        <x:f>IF('Research &amp; Analysis'!K362="","",'Research &amp; Analysis'!K362)</x:f>
      </x:c>
      <x:c r="M1090" s="2" t="n">
        <x:f>'Research &amp; Analysis'!Q362</x:f>
        <x:v>1</x:v>
      </x:c>
      <x:c r="N1090" s="2" t="str">
        <x:f>'Research &amp; Analysis'!L362</x:f>
        <x:v>Not started</x:v>
      </x:c>
      <x:c r="O1090" s="2" t="str">
        <x:f>'Research &amp; Analysis'!N362</x:f>
        <x:v>RA.CA.1.8.2026.CY3</x:v>
      </x:c>
      <x:c r="P1090" s="2" t="n">
        <x:f>'Research &amp; Analysis'!O362</x:f>
        <x:v>0</x:v>
      </x:c>
      <x:c r="Q1090" s="2" t="n">
        <x:f>SUBTOTAL(103,O1090)</x:f>
        <x:v>1</x:v>
      </x:c>
      <x:c r="R1090" s="2" t="n">
        <x:f>IF(AND(M1090=1,OR(Dashboard!$B$7="All",Dashboard!$B$7='Cycles &amp; Guide'!$C$5),OR(Dashboard!$D$7="All",Dashboard!$D$7=B1090),OR(Dashboard!$F$7="All",Dashboard!$F$7=C1090),OR(Dashboard!$H$7="All",Dashboard!$H$7=D1090),OR(Dashboard!$K$7="All",Dashboard!$K$7=E1090)),1,0)</x:f>
        <x:v>1</x:v>
      </x:c>
      <x:c r="S1090" s="2" t="n">
        <x:f>IF(R1090=1,SUM($R$10:R1090),0)</x:f>
        <x:v>717</x:v>
      </x:c>
      <x:c r="T1090" s="2" t="str">
        <x:v>Research &amp; Analysis</x:v>
      </x:c>
      <x:c r="U1090" s="2" t="n">
        <x:v>362</x:v>
      </x:c>
      <x:c r="V1090" s="2" t="n">
        <x:f>IF(AND(M1090=1,P1090=0,ISNUMBER(J1090),J1090&lt;TODAY()),1,0)</x:f>
        <x:v>0</x:v>
      </x:c>
      <x:c r="W1090" s="2" t="str">
        <x:f>'Research &amp; Analysis'!M362</x:f>
        <x:v>Task</x:v>
      </x:c>
    </x:row>
    <x:row r="1091" ht="40" customHeight="1">
      <x:c r="A1091" s="3" t="str">
        <x:f>HYPERLINK("#'Research &amp; Analysis'!A363","Open")</x:f>
        <x:v>Open</x:v>
      </x:c>
      <x:c r="B1091" s="2" t="str">
        <x:f>'Research &amp; Analysis'!B363</x:f>
        <x:v>Cycle 3</x:v>
      </x:c>
      <x:c r="C1091" s="2" t="str">
        <x:f>'Research &amp; Analysis'!C363</x:f>
        <x:v>Phase 1</x:v>
      </x:c>
      <x:c r="D1091" s="2" t="str">
        <x:f>'Research &amp; Analysis'!D363</x:f>
        <x:v>Cards</x:v>
      </x:c>
      <x:c r="E1091" s="2" t="str">
        <x:v>Research &amp; Analysis</x:v>
      </x:c>
      <x:c r="F1091" s="56" t="str">
        <x:f>'Research &amp; Analysis'!E363</x:f>
        <x:v>RA.CA.1.9</x:v>
      </x:c>
      <x:c r="G1091" s="14" t="str">
        <x:f>'Research &amp; Analysis'!F363</x:f>
        <x:v>Assign topic researchers</x:v>
      </x:c>
      <x:c r="H1091" s="2" t="str">
        <x:f>IF('Research &amp; Analysis'!G363="","",'Research &amp; Analysis'!G363)</x:f>
      </x:c>
      <x:c r="I1091" s="12" t="str">
        <x:f>IF('Research &amp; Analysis'!H363="","",'Research &amp; Analysis'!H363)</x:f>
      </x:c>
      <x:c r="J1091" s="12" t="n">
        <x:f>IF('Research &amp; Analysis'!I363="","",'Research &amp; Analysis'!I363)</x:f>
        <x:v>46295</x:v>
      </x:c>
      <x:c r="K1091" s="12" t="str">
        <x:f>IF('Research &amp; Analysis'!J363="","",'Research &amp; Analysis'!J363)</x:f>
      </x:c>
      <x:c r="L1091" s="2" t="str">
        <x:f>IF('Research &amp; Analysis'!K363="","",'Research &amp; Analysis'!K363)</x:f>
      </x:c>
      <x:c r="M1091" s="2" t="n">
        <x:f>'Research &amp; Analysis'!Q363</x:f>
        <x:v>1</x:v>
      </x:c>
      <x:c r="N1091" s="2" t="str">
        <x:f>'Research &amp; Analysis'!L363</x:f>
        <x:v>Not started</x:v>
      </x:c>
      <x:c r="O1091" s="2" t="str">
        <x:f>'Research &amp; Analysis'!N363</x:f>
        <x:v>RA.CA.1.9.2026.CY3</x:v>
      </x:c>
      <x:c r="P1091" s="2" t="n">
        <x:f>'Research &amp; Analysis'!O363</x:f>
        <x:v>0</x:v>
      </x:c>
      <x:c r="Q1091" s="2" t="n">
        <x:f>SUBTOTAL(103,O1091)</x:f>
        <x:v>1</x:v>
      </x:c>
      <x:c r="R1091" s="2" t="n">
        <x:f>IF(AND(M1091=1,OR(Dashboard!$B$7="All",Dashboard!$B$7='Cycles &amp; Guide'!$C$5),OR(Dashboard!$D$7="All",Dashboard!$D$7=B1091),OR(Dashboard!$F$7="All",Dashboard!$F$7=C1091),OR(Dashboard!$H$7="All",Dashboard!$H$7=D1091),OR(Dashboard!$K$7="All",Dashboard!$K$7=E1091)),1,0)</x:f>
        <x:v>1</x:v>
      </x:c>
      <x:c r="S1091" s="2" t="n">
        <x:f>IF(R1091=1,SUM($R$10:R1091),0)</x:f>
        <x:v>718</x:v>
      </x:c>
      <x:c r="T1091" s="2" t="str">
        <x:v>Research &amp; Analysis</x:v>
      </x:c>
      <x:c r="U1091" s="2" t="n">
        <x:v>363</x:v>
      </x:c>
      <x:c r="V1091" s="2" t="n">
        <x:f>IF(AND(M1091=1,P1091=0,ISNUMBER(J1091),J1091&lt;TODAY()),1,0)</x:f>
        <x:v>0</x:v>
      </x:c>
      <x:c r="W1091" s="2" t="str">
        <x:f>'Research &amp; Analysis'!M363</x:f>
        <x:v>Task</x:v>
      </x:c>
    </x:row>
    <x:row r="1092" ht="40" customHeight="1">
      <x:c r="A1092" s="3" t="str">
        <x:f>HYPERLINK("#'Research &amp; Analysis'!A364","Open")</x:f>
        <x:v>Open</x:v>
      </x:c>
      <x:c r="B1092" s="2" t="str">
        <x:f>'Research &amp; Analysis'!B364</x:f>
        <x:v>Cycle 3</x:v>
      </x:c>
      <x:c r="C1092" s="2" t="str">
        <x:f>'Research &amp; Analysis'!C364</x:f>
        <x:v>Phase 2</x:v>
      </x:c>
      <x:c r="D1092" s="2" t="str">
        <x:f>'Research &amp; Analysis'!D364</x:f>
        <x:v>Cards</x:v>
      </x:c>
      <x:c r="E1092" s="2" t="str">
        <x:v>Research &amp; Analysis</x:v>
      </x:c>
      <x:c r="F1092" s="56" t="str">
        <x:f>'Research &amp; Analysis'!E364</x:f>
        <x:v>RA.CA.2.1</x:v>
      </x:c>
      <x:c r="G1092" s="14" t="str">
        <x:f>'Research &amp; Analysis'!F364</x:f>
        <x:v>Review data sources</x:v>
      </x:c>
      <x:c r="H1092" s="2" t="str">
        <x:f>IF('Research &amp; Analysis'!G364="","",'Research &amp; Analysis'!G364)</x:f>
      </x:c>
      <x:c r="I1092" s="12" t="str">
        <x:f>IF('Research &amp; Analysis'!H364="","",'Research &amp; Analysis'!H364)</x:f>
      </x:c>
      <x:c r="J1092" s="12" t="n">
        <x:f>IF('Research &amp; Analysis'!I364="","",'Research &amp; Analysis'!I364)</x:f>
        <x:v>46295</x:v>
      </x:c>
      <x:c r="K1092" s="12" t="str">
        <x:f>IF('Research &amp; Analysis'!J364="","",'Research &amp; Analysis'!J364)</x:f>
      </x:c>
      <x:c r="L1092" s="2" t="str">
        <x:f>IF('Research &amp; Analysis'!K364="","",'Research &amp; Analysis'!K364)</x:f>
      </x:c>
      <x:c r="M1092" s="2" t="n">
        <x:f>'Research &amp; Analysis'!Q364</x:f>
        <x:v>1</x:v>
      </x:c>
      <x:c r="N1092" s="2" t="str">
        <x:f>'Research &amp; Analysis'!L364</x:f>
        <x:v>Not started</x:v>
      </x:c>
      <x:c r="O1092" s="2" t="str">
        <x:f>'Research &amp; Analysis'!N364</x:f>
        <x:v>RA.CA.2.1.2026.CY3</x:v>
      </x:c>
      <x:c r="P1092" s="2" t="n">
        <x:f>'Research &amp; Analysis'!O364</x:f>
        <x:v>0</x:v>
      </x:c>
      <x:c r="Q1092" s="2" t="n">
        <x:f>SUBTOTAL(103,O1092)</x:f>
        <x:v>1</x:v>
      </x:c>
      <x:c r="R1092" s="2" t="n">
        <x:f>IF(AND(M1092=1,OR(Dashboard!$B$7="All",Dashboard!$B$7='Cycles &amp; Guide'!$C$5),OR(Dashboard!$D$7="All",Dashboard!$D$7=B1092),OR(Dashboard!$F$7="All",Dashboard!$F$7=C1092),OR(Dashboard!$H$7="All",Dashboard!$H$7=D1092),OR(Dashboard!$K$7="All",Dashboard!$K$7=E1092)),1,0)</x:f>
        <x:v>1</x:v>
      </x:c>
      <x:c r="S1092" s="2" t="n">
        <x:f>IF(R1092=1,SUM($R$10:R1092),0)</x:f>
        <x:v>719</x:v>
      </x:c>
      <x:c r="T1092" s="2" t="str">
        <x:v>Research &amp; Analysis</x:v>
      </x:c>
      <x:c r="U1092" s="2" t="n">
        <x:v>364</x:v>
      </x:c>
      <x:c r="V1092" s="2" t="n">
        <x:f>IF(AND(M1092=1,P1092=0,ISNUMBER(J1092),J1092&lt;TODAY()),1,0)</x:f>
        <x:v>0</x:v>
      </x:c>
      <x:c r="W1092" s="2" t="str">
        <x:f>'Research &amp; Analysis'!M364</x:f>
        <x:v>Task</x:v>
      </x:c>
    </x:row>
    <x:row r="1093" ht="40" customHeight="1">
      <x:c r="A1093" s="3" t="str">
        <x:f>HYPERLINK("#'Research &amp; Analysis'!A365","Open")</x:f>
        <x:v>Open</x:v>
      </x:c>
      <x:c r="B1093" s="2" t="str">
        <x:f>'Research &amp; Analysis'!B365</x:f>
        <x:v>Cycle 3</x:v>
      </x:c>
      <x:c r="C1093" s="2" t="str">
        <x:f>'Research &amp; Analysis'!C365</x:f>
        <x:v>Phase 2</x:v>
      </x:c>
      <x:c r="D1093" s="2" t="str">
        <x:f>'Research &amp; Analysis'!D365</x:f>
        <x:v>Cards</x:v>
      </x:c>
      <x:c r="E1093" s="2" t="str">
        <x:v>Research &amp; Analysis</x:v>
      </x:c>
      <x:c r="F1093" s="56" t="str">
        <x:f>'Research &amp; Analysis'!E365</x:f>
        <x:v>RA.CA.2.2</x:v>
      </x:c>
      <x:c r="G1093" s="14" t="str">
        <x:f>'Research &amp; Analysis'!F365</x:f>
        <x:v>Review relevant policies and procedures</x:v>
      </x:c>
      <x:c r="H1093" s="2" t="str">
        <x:f>IF('Research &amp; Analysis'!G365="","",'Research &amp; Analysis'!G365)</x:f>
      </x:c>
      <x:c r="I1093" s="12" t="str">
        <x:f>IF('Research &amp; Analysis'!H365="","",'Research &amp; Analysis'!H365)</x:f>
      </x:c>
      <x:c r="J1093" s="12" t="n">
        <x:f>IF('Research &amp; Analysis'!I365="","",'Research &amp; Analysis'!I365)</x:f>
        <x:v>46295</x:v>
      </x:c>
      <x:c r="K1093" s="12" t="str">
        <x:f>IF('Research &amp; Analysis'!J365="","",'Research &amp; Analysis'!J365)</x:f>
      </x:c>
      <x:c r="L1093" s="2" t="str">
        <x:f>IF('Research &amp; Analysis'!K365="","",'Research &amp; Analysis'!K365)</x:f>
      </x:c>
      <x:c r="M1093" s="2" t="n">
        <x:f>'Research &amp; Analysis'!Q365</x:f>
        <x:v>1</x:v>
      </x:c>
      <x:c r="N1093" s="2" t="str">
        <x:f>'Research &amp; Analysis'!L365</x:f>
        <x:v>Not started</x:v>
      </x:c>
      <x:c r="O1093" s="2" t="str">
        <x:f>'Research &amp; Analysis'!N365</x:f>
        <x:v>RA.CA.2.2.2026.CY3</x:v>
      </x:c>
      <x:c r="P1093" s="2" t="n">
        <x:f>'Research &amp; Analysis'!O365</x:f>
        <x:v>0</x:v>
      </x:c>
      <x:c r="Q1093" s="2" t="n">
        <x:f>SUBTOTAL(103,O1093)</x:f>
        <x:v>1</x:v>
      </x:c>
      <x:c r="R1093" s="2" t="n">
        <x:f>IF(AND(M1093=1,OR(Dashboard!$B$7="All",Dashboard!$B$7='Cycles &amp; Guide'!$C$5),OR(Dashboard!$D$7="All",Dashboard!$D$7=B1093),OR(Dashboard!$F$7="All",Dashboard!$F$7=C1093),OR(Dashboard!$H$7="All",Dashboard!$H$7=D1093),OR(Dashboard!$K$7="All",Dashboard!$K$7=E1093)),1,0)</x:f>
        <x:v>1</x:v>
      </x:c>
      <x:c r="S1093" s="2" t="n">
        <x:f>IF(R1093=1,SUM($R$10:R1093),0)</x:f>
        <x:v>720</x:v>
      </x:c>
      <x:c r="T1093" s="2" t="str">
        <x:v>Research &amp; Analysis</x:v>
      </x:c>
      <x:c r="U1093" s="2" t="n">
        <x:v>365</x:v>
      </x:c>
      <x:c r="V1093" s="2" t="n">
        <x:f>IF(AND(M1093=1,P1093=0,ISNUMBER(J1093),J1093&lt;TODAY()),1,0)</x:f>
        <x:v>0</x:v>
      </x:c>
      <x:c r="W1093" s="2" t="str">
        <x:f>'Research &amp; Analysis'!M365</x:f>
        <x:v>Task</x:v>
      </x:c>
    </x:row>
    <x:row r="1094" ht="40" customHeight="1">
      <x:c r="A1094" s="3" t="str">
        <x:f>HYPERLINK("#'Research &amp; Analysis'!A366","Open")</x:f>
        <x:v>Open</x:v>
      </x:c>
      <x:c r="B1094" s="2" t="str">
        <x:f>'Research &amp; Analysis'!B366</x:f>
        <x:v>Cycle 3</x:v>
      </x:c>
      <x:c r="C1094" s="2" t="str">
        <x:f>'Research &amp; Analysis'!C366</x:f>
        <x:v>Phase 2</x:v>
      </x:c>
      <x:c r="D1094" s="2" t="str">
        <x:f>'Research &amp; Analysis'!D366</x:f>
        <x:v>Cards</x:v>
      </x:c>
      <x:c r="E1094" s="2" t="str">
        <x:v>Research &amp; Analysis</x:v>
      </x:c>
      <x:c r="F1094" s="56" t="str">
        <x:f>'Research &amp; Analysis'!E366</x:f>
        <x:v>RA.CA.2.3</x:v>
      </x:c>
      <x:c r="G1094" s="14" t="str">
        <x:f>'Research &amp; Analysis'!F366</x:f>
        <x:v>Meet with SMEs to gain business insight and clarify questions</x:v>
      </x:c>
      <x:c r="H1094" s="2" t="str">
        <x:f>IF('Research &amp; Analysis'!G366="","",'Research &amp; Analysis'!G366)</x:f>
      </x:c>
      <x:c r="I1094" s="12" t="str">
        <x:f>IF('Research &amp; Analysis'!H366="","",'Research &amp; Analysis'!H366)</x:f>
      </x:c>
      <x:c r="J1094" s="12" t="n">
        <x:f>IF('Research &amp; Analysis'!I366="","",'Research &amp; Analysis'!I366)</x:f>
        <x:v>46295</x:v>
      </x:c>
      <x:c r="K1094" s="12" t="str">
        <x:f>IF('Research &amp; Analysis'!J366="","",'Research &amp; Analysis'!J366)</x:f>
      </x:c>
      <x:c r="L1094" s="2" t="str">
        <x:f>IF('Research &amp; Analysis'!K366="","",'Research &amp; Analysis'!K366)</x:f>
      </x:c>
      <x:c r="M1094" s="2" t="n">
        <x:f>'Research &amp; Analysis'!Q366</x:f>
        <x:v>1</x:v>
      </x:c>
      <x:c r="N1094" s="2" t="str">
        <x:f>'Research &amp; Analysis'!L366</x:f>
        <x:v>Not started</x:v>
      </x:c>
      <x:c r="O1094" s="2" t="str">
        <x:f>'Research &amp; Analysis'!N366</x:f>
        <x:v>RA.CA.2.3.2026.CY3</x:v>
      </x:c>
      <x:c r="P1094" s="2" t="n">
        <x:f>'Research &amp; Analysis'!O366</x:f>
        <x:v>0</x:v>
      </x:c>
      <x:c r="Q1094" s="2" t="n">
        <x:f>SUBTOTAL(103,O1094)</x:f>
        <x:v>1</x:v>
      </x:c>
      <x:c r="R1094" s="2" t="n">
        <x:f>IF(AND(M1094=1,OR(Dashboard!$B$7="All",Dashboard!$B$7='Cycles &amp; Guide'!$C$5),OR(Dashboard!$D$7="All",Dashboard!$D$7=B1094),OR(Dashboard!$F$7="All",Dashboard!$F$7=C1094),OR(Dashboard!$H$7="All",Dashboard!$H$7=D1094),OR(Dashboard!$K$7="All",Dashboard!$K$7=E1094)),1,0)</x:f>
        <x:v>1</x:v>
      </x:c>
      <x:c r="S1094" s="2" t="n">
        <x:f>IF(R1094=1,SUM($R$10:R1094),0)</x:f>
        <x:v>721</x:v>
      </x:c>
      <x:c r="T1094" s="2" t="str">
        <x:v>Research &amp; Analysis</x:v>
      </x:c>
      <x:c r="U1094" s="2" t="n">
        <x:v>366</x:v>
      </x:c>
      <x:c r="V1094" s="2" t="n">
        <x:f>IF(AND(M1094=1,P1094=0,ISNUMBER(J1094),J1094&lt;TODAY()),1,0)</x:f>
        <x:v>0</x:v>
      </x:c>
      <x:c r="W1094" s="2" t="str">
        <x:f>'Research &amp; Analysis'!M366</x:f>
        <x:v>Task</x:v>
      </x:c>
    </x:row>
    <x:row r="1095" ht="40" customHeight="1">
      <x:c r="A1095" s="3" t="str">
        <x:f>HYPERLINK("#'Research &amp; Analysis'!A367","Open")</x:f>
        <x:v>Open</x:v>
      </x:c>
      <x:c r="B1095" s="2" t="str">
        <x:f>'Research &amp; Analysis'!B367</x:f>
        <x:v>Cycle 3</x:v>
      </x:c>
      <x:c r="C1095" s="2" t="str">
        <x:f>'Research &amp; Analysis'!C367</x:f>
        <x:v>Phase 2</x:v>
      </x:c>
      <x:c r="D1095" s="2" t="str">
        <x:f>'Research &amp; Analysis'!D367</x:f>
        <x:v>Cards</x:v>
      </x:c>
      <x:c r="E1095" s="2" t="str">
        <x:v>Research &amp; Analysis</x:v>
      </x:c>
      <x:c r="F1095" s="56" t="str">
        <x:f>'Research &amp; Analysis'!E367</x:f>
        <x:v>RA.CA.2.4</x:v>
      </x:c>
      <x:c r="G1095" s="14" t="str">
        <x:f>'Research &amp; Analysis'!F367</x:f>
        <x:v>Establish and maintain a recurring meeting with D&amp;I to discuss Cycle progress</x:v>
      </x:c>
      <x:c r="H1095" s="2" t="str">
        <x:f>IF('Research &amp; Analysis'!G367="","",'Research &amp; Analysis'!G367)</x:f>
      </x:c>
      <x:c r="I1095" s="12" t="str">
        <x:f>IF('Research &amp; Analysis'!H367="","",'Research &amp; Analysis'!H367)</x:f>
      </x:c>
      <x:c r="J1095" s="12" t="n">
        <x:f>IF('Research &amp; Analysis'!I367="","",'Research &amp; Analysis'!I367)</x:f>
        <x:v>46295</x:v>
      </x:c>
      <x:c r="K1095" s="12" t="str">
        <x:f>IF('Research &amp; Analysis'!J367="","",'Research &amp; Analysis'!J367)</x:f>
      </x:c>
      <x:c r="L1095" s="2" t="str">
        <x:f>IF('Research &amp; Analysis'!K367="","",'Research &amp; Analysis'!K367)</x:f>
      </x:c>
      <x:c r="M1095" s="2" t="n">
        <x:f>'Research &amp; Analysis'!Q367</x:f>
        <x:v>1</x:v>
      </x:c>
      <x:c r="N1095" s="2" t="str">
        <x:f>'Research &amp; Analysis'!L367</x:f>
        <x:v>Not started</x:v>
      </x:c>
      <x:c r="O1095" s="2" t="str">
        <x:f>'Research &amp; Analysis'!N367</x:f>
        <x:v>RA.CA.2.4.2026.CY3</x:v>
      </x:c>
      <x:c r="P1095" s="2" t="n">
        <x:f>'Research &amp; Analysis'!O367</x:f>
        <x:v>0</x:v>
      </x:c>
      <x:c r="Q1095" s="2" t="n">
        <x:f>SUBTOTAL(103,O1095)</x:f>
        <x:v>1</x:v>
      </x:c>
      <x:c r="R1095" s="2" t="n">
        <x:f>IF(AND(M1095=1,OR(Dashboard!$B$7="All",Dashboard!$B$7='Cycles &amp; Guide'!$C$5),OR(Dashboard!$D$7="All",Dashboard!$D$7=B1095),OR(Dashboard!$F$7="All",Dashboard!$F$7=C1095),OR(Dashboard!$H$7="All",Dashboard!$H$7=D1095),OR(Dashboard!$K$7="All",Dashboard!$K$7=E1095)),1,0)</x:f>
        <x:v>1</x:v>
      </x:c>
      <x:c r="S1095" s="2" t="n">
        <x:f>IF(R1095=1,SUM($R$10:R1095),0)</x:f>
        <x:v>722</x:v>
      </x:c>
      <x:c r="T1095" s="2" t="str">
        <x:v>Research &amp; Analysis</x:v>
      </x:c>
      <x:c r="U1095" s="2" t="n">
        <x:v>367</x:v>
      </x:c>
      <x:c r="V1095" s="2" t="n">
        <x:f>IF(AND(M1095=1,P1095=0,ISNUMBER(J1095),J1095&lt;TODAY()),1,0)</x:f>
        <x:v>0</x:v>
      </x:c>
      <x:c r="W1095" s="2" t="str">
        <x:f>'Research &amp; Analysis'!M367</x:f>
        <x:v>Task</x:v>
      </x:c>
    </x:row>
    <x:row r="1096" ht="40" customHeight="1">
      <x:c r="A1096" s="3" t="str">
        <x:f>HYPERLINK("#'Research &amp; Analysis'!A368","Open")</x:f>
        <x:v>Open</x:v>
      </x:c>
      <x:c r="B1096" s="2" t="str">
        <x:f>'Research &amp; Analysis'!B368</x:f>
        <x:v>Cycle 3</x:v>
      </x:c>
      <x:c r="C1096" s="2" t="str">
        <x:f>'Research &amp; Analysis'!C368</x:f>
        <x:v>Phase 2</x:v>
      </x:c>
      <x:c r="D1096" s="2" t="str">
        <x:f>'Research &amp; Analysis'!D368</x:f>
        <x:v>Cards</x:v>
      </x:c>
      <x:c r="E1096" s="2" t="str">
        <x:v>Research &amp; Analysis</x:v>
      </x:c>
      <x:c r="F1096" s="56" t="str">
        <x:f>'Research &amp; Analysis'!E368</x:f>
        <x:v>RA.CA.2.5</x:v>
      </x:c>
      <x:c r="G1096" s="14" t="str">
        <x:f>'Research &amp; Analysis'!F368</x:f>
        <x:v>Perform data testing and sampling</x:v>
      </x:c>
      <x:c r="H1096" s="2" t="str">
        <x:f>IF('Research &amp; Analysis'!G368="","",'Research &amp; Analysis'!G368)</x:f>
      </x:c>
      <x:c r="I1096" s="12" t="str">
        <x:f>IF('Research &amp; Analysis'!H368="","",'Research &amp; Analysis'!H368)</x:f>
      </x:c>
      <x:c r="J1096" s="12" t="n">
        <x:f>IF('Research &amp; Analysis'!I368="","",'Research &amp; Analysis'!I368)</x:f>
        <x:v>46295</x:v>
      </x:c>
      <x:c r="K1096" s="12" t="str">
        <x:f>IF('Research &amp; Analysis'!J368="","",'Research &amp; Analysis'!J368)</x:f>
      </x:c>
      <x:c r="L1096" s="2" t="str">
        <x:f>IF('Research &amp; Analysis'!K368="","",'Research &amp; Analysis'!K368)</x:f>
      </x:c>
      <x:c r="M1096" s="2" t="n">
        <x:f>'Research &amp; Analysis'!Q368</x:f>
        <x:v>1</x:v>
      </x:c>
      <x:c r="N1096" s="2" t="str">
        <x:f>'Research &amp; Analysis'!L368</x:f>
        <x:v>Not started</x:v>
      </x:c>
      <x:c r="O1096" s="2" t="str">
        <x:f>'Research &amp; Analysis'!N368</x:f>
        <x:v>RA.CA.2.5.2026.CY3</x:v>
      </x:c>
      <x:c r="P1096" s="2" t="n">
        <x:f>'Research &amp; Analysis'!O368</x:f>
        <x:v>0</x:v>
      </x:c>
      <x:c r="Q1096" s="2" t="n">
        <x:f>SUBTOTAL(103,O1096)</x:f>
        <x:v>1</x:v>
      </x:c>
      <x:c r="R1096" s="2" t="n">
        <x:f>IF(AND(M1096=1,OR(Dashboard!$B$7="All",Dashboard!$B$7='Cycles &amp; Guide'!$C$5),OR(Dashboard!$D$7="All",Dashboard!$D$7=B1096),OR(Dashboard!$F$7="All",Dashboard!$F$7=C1096),OR(Dashboard!$H$7="All",Dashboard!$H$7=D1096),OR(Dashboard!$K$7="All",Dashboard!$K$7=E1096)),1,0)</x:f>
        <x:v>1</x:v>
      </x:c>
      <x:c r="S1096" s="2" t="n">
        <x:f>IF(R1096=1,SUM($R$10:R1096),0)</x:f>
        <x:v>723</x:v>
      </x:c>
      <x:c r="T1096" s="2" t="str">
        <x:v>Research &amp; Analysis</x:v>
      </x:c>
      <x:c r="U1096" s="2" t="n">
        <x:v>368</x:v>
      </x:c>
      <x:c r="V1096" s="2" t="n">
        <x:f>IF(AND(M1096=1,P1096=0,ISNUMBER(J1096),J1096&lt;TODAY()),1,0)</x:f>
        <x:v>0</x:v>
      </x:c>
      <x:c r="W1096" s="2" t="str">
        <x:f>'Research &amp; Analysis'!M368</x:f>
        <x:v>Task</x:v>
      </x:c>
    </x:row>
    <x:row r="1097" ht="40" customHeight="1">
      <x:c r="A1097" s="3" t="str">
        <x:f>HYPERLINK("#'Research &amp; Analysis'!A369","Open")</x:f>
        <x:v>Open</x:v>
      </x:c>
      <x:c r="B1097" s="2" t="str">
        <x:f>'Research &amp; Analysis'!B369</x:f>
        <x:v>Cycle 3</x:v>
      </x:c>
      <x:c r="C1097" s="2" t="str">
        <x:f>'Research &amp; Analysis'!C369</x:f>
        <x:v>Phase 2</x:v>
      </x:c>
      <x:c r="D1097" s="2" t="str">
        <x:f>'Research &amp; Analysis'!D369</x:f>
        <x:v>Cards</x:v>
      </x:c>
      <x:c r="E1097" s="2" t="str">
        <x:v>Research &amp; Analysis</x:v>
      </x:c>
      <x:c r="F1097" s="56" t="str">
        <x:f>'Research &amp; Analysis'!E369</x:f>
        <x:v>RA.CA.2.6</x:v>
      </x:c>
      <x:c r="G1097" s="14" t="str">
        <x:f>'Research &amp; Analysis'!F369</x:f>
        <x:v>Complete Positive Testing</x:v>
      </x:c>
      <x:c r="H1097" s="2" t="str">
        <x:f>IF('Research &amp; Analysis'!G369="","",'Research &amp; Analysis'!G369)</x:f>
      </x:c>
      <x:c r="I1097" s="12" t="str">
        <x:f>IF('Research &amp; Analysis'!H369="","",'Research &amp; Analysis'!H369)</x:f>
      </x:c>
      <x:c r="J1097" s="12" t="n">
        <x:f>IF('Research &amp; Analysis'!I369="","",'Research &amp; Analysis'!I369)</x:f>
        <x:v>46295</x:v>
      </x:c>
      <x:c r="K1097" s="12" t="str">
        <x:f>IF('Research &amp; Analysis'!J369="","",'Research &amp; Analysis'!J369)</x:f>
      </x:c>
      <x:c r="L1097" s="2" t="str">
        <x:f>IF('Research &amp; Analysis'!K369="","",'Research &amp; Analysis'!K369)</x:f>
      </x:c>
      <x:c r="M1097" s="2" t="n">
        <x:f>'Research &amp; Analysis'!Q369</x:f>
        <x:v>1</x:v>
      </x:c>
      <x:c r="N1097" s="2" t="str">
        <x:f>'Research &amp; Analysis'!L369</x:f>
        <x:v>Not started</x:v>
      </x:c>
      <x:c r="O1097" s="2" t="str">
        <x:f>'Research &amp; Analysis'!N369</x:f>
        <x:v>RA.CA.2.6.2026.CY3</x:v>
      </x:c>
      <x:c r="P1097" s="2" t="n">
        <x:f>'Research &amp; Analysis'!O369</x:f>
        <x:v>0</x:v>
      </x:c>
      <x:c r="Q1097" s="2" t="n">
        <x:f>SUBTOTAL(103,O1097)</x:f>
        <x:v>1</x:v>
      </x:c>
      <x:c r="R1097" s="2" t="n">
        <x:f>IF(AND(M1097=1,OR(Dashboard!$B$7="All",Dashboard!$B$7='Cycles &amp; Guide'!$C$5),OR(Dashboard!$D$7="All",Dashboard!$D$7=B1097),OR(Dashboard!$F$7="All",Dashboard!$F$7=C1097),OR(Dashboard!$H$7="All",Dashboard!$H$7=D1097),OR(Dashboard!$K$7="All",Dashboard!$K$7=E1097)),1,0)</x:f>
        <x:v>1</x:v>
      </x:c>
      <x:c r="S1097" s="2" t="n">
        <x:f>IF(R1097=1,SUM($R$10:R1097),0)</x:f>
        <x:v>724</x:v>
      </x:c>
      <x:c r="T1097" s="2" t="str">
        <x:v>Research &amp; Analysis</x:v>
      </x:c>
      <x:c r="U1097" s="2" t="n">
        <x:v>369</x:v>
      </x:c>
      <x:c r="V1097" s="2" t="n">
        <x:f>IF(AND(M1097=1,P1097=0,ISNUMBER(J1097),J1097&lt;TODAY()),1,0)</x:f>
        <x:v>0</x:v>
      </x:c>
      <x:c r="W1097" s="2" t="str">
        <x:f>'Research &amp; Analysis'!M369</x:f>
        <x:v>Task</x:v>
      </x:c>
    </x:row>
    <x:row r="1098" ht="40" customHeight="1">
      <x:c r="A1098" s="3" t="str">
        <x:f>HYPERLINK("#'Research &amp; Analysis'!A370","Open")</x:f>
        <x:v>Open</x:v>
      </x:c>
      <x:c r="B1098" s="2" t="str">
        <x:f>'Research &amp; Analysis'!B370</x:f>
        <x:v>Cycle 3</x:v>
      </x:c>
      <x:c r="C1098" s="2" t="str">
        <x:f>'Research &amp; Analysis'!C370</x:f>
        <x:v>Phase 2</x:v>
      </x:c>
      <x:c r="D1098" s="2" t="str">
        <x:f>'Research &amp; Analysis'!D370</x:f>
        <x:v>Cards</x:v>
      </x:c>
      <x:c r="E1098" s="2" t="str">
        <x:v>Research &amp; Analysis</x:v>
      </x:c>
      <x:c r="F1098" s="56" t="str">
        <x:f>'Research &amp; Analysis'!E370</x:f>
        <x:v>RA.CA.2.7</x:v>
      </x:c>
      <x:c r="G1098" s="14" t="str">
        <x:f>'Research &amp; Analysis'!F370</x:f>
        <x:v>Complete Negative Testing</x:v>
      </x:c>
      <x:c r="H1098" s="2" t="str">
        <x:f>IF('Research &amp; Analysis'!G370="","",'Research &amp; Analysis'!G370)</x:f>
      </x:c>
      <x:c r="I1098" s="12" t="str">
        <x:f>IF('Research &amp; Analysis'!H370="","",'Research &amp; Analysis'!H370)</x:f>
      </x:c>
      <x:c r="J1098" s="12" t="n">
        <x:f>IF('Research &amp; Analysis'!I370="","",'Research &amp; Analysis'!I370)</x:f>
        <x:v>46295</x:v>
      </x:c>
      <x:c r="K1098" s="12" t="str">
        <x:f>IF('Research &amp; Analysis'!J370="","",'Research &amp; Analysis'!J370)</x:f>
      </x:c>
      <x:c r="L1098" s="2" t="str">
        <x:f>IF('Research &amp; Analysis'!K370="","",'Research &amp; Analysis'!K370)</x:f>
      </x:c>
      <x:c r="M1098" s="2" t="n">
        <x:f>'Research &amp; Analysis'!Q370</x:f>
        <x:v>1</x:v>
      </x:c>
      <x:c r="N1098" s="2" t="str">
        <x:f>'Research &amp; Analysis'!L370</x:f>
        <x:v>Not started</x:v>
      </x:c>
      <x:c r="O1098" s="2" t="str">
        <x:f>'Research &amp; Analysis'!N370</x:f>
        <x:v>RA.CA.2.7.2026.CY3</x:v>
      </x:c>
      <x:c r="P1098" s="2" t="n">
        <x:f>'Research &amp; Analysis'!O370</x:f>
        <x:v>0</x:v>
      </x:c>
      <x:c r="Q1098" s="2" t="n">
        <x:f>SUBTOTAL(103,O1098)</x:f>
        <x:v>1</x:v>
      </x:c>
      <x:c r="R1098" s="2" t="n">
        <x:f>IF(AND(M1098=1,OR(Dashboard!$B$7="All",Dashboard!$B$7='Cycles &amp; Guide'!$C$5),OR(Dashboard!$D$7="All",Dashboard!$D$7=B1098),OR(Dashboard!$F$7="All",Dashboard!$F$7=C1098),OR(Dashboard!$H$7="All",Dashboard!$H$7=D1098),OR(Dashboard!$K$7="All",Dashboard!$K$7=E1098)),1,0)</x:f>
        <x:v>1</x:v>
      </x:c>
      <x:c r="S1098" s="2" t="n">
        <x:f>IF(R1098=1,SUM($R$10:R1098),0)</x:f>
        <x:v>725</x:v>
      </x:c>
      <x:c r="T1098" s="2" t="str">
        <x:v>Research &amp; Analysis</x:v>
      </x:c>
      <x:c r="U1098" s="2" t="n">
        <x:v>370</x:v>
      </x:c>
      <x:c r="V1098" s="2" t="n">
        <x:f>IF(AND(M1098=1,P1098=0,ISNUMBER(J1098),J1098&lt;TODAY()),1,0)</x:f>
        <x:v>0</x:v>
      </x:c>
      <x:c r="W1098" s="2" t="str">
        <x:f>'Research &amp; Analysis'!M370</x:f>
        <x:v>Task</x:v>
      </x:c>
    </x:row>
    <x:row r="1099" ht="40" customHeight="1">
      <x:c r="A1099" s="3" t="str">
        <x:f>HYPERLINK("#'Research &amp; Analysis'!A371","Open")</x:f>
        <x:v>Open</x:v>
      </x:c>
      <x:c r="B1099" s="2" t="str">
        <x:f>'Research &amp; Analysis'!B371</x:f>
        <x:v>Cycle 3</x:v>
      </x:c>
      <x:c r="C1099" s="2" t="str">
        <x:f>'Research &amp; Analysis'!C371</x:f>
        <x:v>Phase 2</x:v>
      </x:c>
      <x:c r="D1099" s="2" t="str">
        <x:f>'Research &amp; Analysis'!D371</x:f>
        <x:v>Cards</x:v>
      </x:c>
      <x:c r="E1099" s="2" t="str">
        <x:v>Research &amp; Analysis</x:v>
      </x:c>
      <x:c r="F1099" s="56" t="str">
        <x:f>'Research &amp; Analysis'!E371</x:f>
        <x:v>RA.CA.2.8</x:v>
      </x:c>
      <x:c r="G1099" s="14" t="str">
        <x:f>'Research &amp; Analysis'!F371</x:f>
        <x:v>Request additional data (as needed)</x:v>
      </x:c>
      <x:c r="H1099" s="2" t="str">
        <x:f>IF('Research &amp; Analysis'!G371="","",'Research &amp; Analysis'!G371)</x:f>
      </x:c>
      <x:c r="I1099" s="12" t="str">
        <x:f>IF('Research &amp; Analysis'!H371="","",'Research &amp; Analysis'!H371)</x:f>
      </x:c>
      <x:c r="J1099" s="12" t="n">
        <x:f>IF('Research &amp; Analysis'!I371="","",'Research &amp; Analysis'!I371)</x:f>
        <x:v>46295</x:v>
      </x:c>
      <x:c r="K1099" s="12" t="str">
        <x:f>IF('Research &amp; Analysis'!J371="","",'Research &amp; Analysis'!J371)</x:f>
      </x:c>
      <x:c r="L1099" s="2" t="str">
        <x:f>IF('Research &amp; Analysis'!K371="","",'Research &amp; Analysis'!K371)</x:f>
      </x:c>
      <x:c r="M1099" s="2" t="n">
        <x:f>'Research &amp; Analysis'!Q371</x:f>
        <x:v>1</x:v>
      </x:c>
      <x:c r="N1099" s="2" t="str">
        <x:f>'Research &amp; Analysis'!L371</x:f>
        <x:v>Not started</x:v>
      </x:c>
      <x:c r="O1099" s="2" t="str">
        <x:f>'Research &amp; Analysis'!N371</x:f>
        <x:v>RA.CA.2.8.2026.CY3</x:v>
      </x:c>
      <x:c r="P1099" s="2" t="n">
        <x:f>'Research &amp; Analysis'!O371</x:f>
        <x:v>0</x:v>
      </x:c>
      <x:c r="Q1099" s="2" t="n">
        <x:f>SUBTOTAL(103,O1099)</x:f>
        <x:v>1</x:v>
      </x:c>
      <x:c r="R1099" s="2" t="n">
        <x:f>IF(AND(M1099=1,OR(Dashboard!$B$7="All",Dashboard!$B$7='Cycles &amp; Guide'!$C$5),OR(Dashboard!$D$7="All",Dashboard!$D$7=B1099),OR(Dashboard!$F$7="All",Dashboard!$F$7=C1099),OR(Dashboard!$H$7="All",Dashboard!$H$7=D1099),OR(Dashboard!$K$7="All",Dashboard!$K$7=E1099)),1,0)</x:f>
        <x:v>1</x:v>
      </x:c>
      <x:c r="S1099" s="2" t="n">
        <x:f>IF(R1099=1,SUM($R$10:R1099),0)</x:f>
        <x:v>726</x:v>
      </x:c>
      <x:c r="T1099" s="2" t="str">
        <x:v>Research &amp; Analysis</x:v>
      </x:c>
      <x:c r="U1099" s="2" t="n">
        <x:v>371</x:v>
      </x:c>
      <x:c r="V1099" s="2" t="n">
        <x:f>IF(AND(M1099=1,P1099=0,ISNUMBER(J1099),J1099&lt;TODAY()),1,0)</x:f>
        <x:v>0</x:v>
      </x:c>
      <x:c r="W1099" s="2" t="str">
        <x:f>'Research &amp; Analysis'!M371</x:f>
        <x:v>Task</x:v>
      </x:c>
    </x:row>
    <x:row r="1100" ht="40" customHeight="1">
      <x:c r="A1100" s="3" t="str">
        <x:f>HYPERLINK("#'Research &amp; Analysis'!A372","Open")</x:f>
        <x:v>Open</x:v>
      </x:c>
      <x:c r="B1100" s="2" t="str">
        <x:f>'Research &amp; Analysis'!B372</x:f>
        <x:v>Cycle 3</x:v>
      </x:c>
      <x:c r="C1100" s="2" t="str">
        <x:f>'Research &amp; Analysis'!C372</x:f>
        <x:v>Phase 2</x:v>
      </x:c>
      <x:c r="D1100" s="2" t="str">
        <x:f>'Research &amp; Analysis'!D372</x:f>
        <x:v>Cards</x:v>
      </x:c>
      <x:c r="E1100" s="2" t="str">
        <x:v>Research &amp; Analysis</x:v>
      </x:c>
      <x:c r="F1100" s="56" t="str">
        <x:f>'Research &amp; Analysis'!E372</x:f>
        <x:v>RA.CA.2.9</x:v>
      </x:c>
      <x:c r="G1100" s="14" t="str">
        <x:f>'Research &amp; Analysis'!F372</x:f>
        <x:v>Validate or disprove initial hypothesis assumptions</x:v>
      </x:c>
      <x:c r="H1100" s="2" t="str">
        <x:f>IF('Research &amp; Analysis'!G372="","",'Research &amp; Analysis'!G372)</x:f>
      </x:c>
      <x:c r="I1100" s="12" t="str">
        <x:f>IF('Research &amp; Analysis'!H372="","",'Research &amp; Analysis'!H372)</x:f>
      </x:c>
      <x:c r="J1100" s="12" t="n">
        <x:f>IF('Research &amp; Analysis'!I372="","",'Research &amp; Analysis'!I372)</x:f>
        <x:v>46295</x:v>
      </x:c>
      <x:c r="K1100" s="12" t="str">
        <x:f>IF('Research &amp; Analysis'!J372="","",'Research &amp; Analysis'!J372)</x:f>
      </x:c>
      <x:c r="L1100" s="2" t="str">
        <x:f>IF('Research &amp; Analysis'!K372="","",'Research &amp; Analysis'!K372)</x:f>
      </x:c>
      <x:c r="M1100" s="2" t="n">
        <x:f>'Research &amp; Analysis'!Q372</x:f>
        <x:v>1</x:v>
      </x:c>
      <x:c r="N1100" s="2" t="str">
        <x:f>'Research &amp; Analysis'!L372</x:f>
        <x:v>Not started</x:v>
      </x:c>
      <x:c r="O1100" s="2" t="str">
        <x:f>'Research &amp; Analysis'!N372</x:f>
        <x:v>RA.CA.2.9.2026.CY3</x:v>
      </x:c>
      <x:c r="P1100" s="2" t="n">
        <x:f>'Research &amp; Analysis'!O372</x:f>
        <x:v>0</x:v>
      </x:c>
      <x:c r="Q1100" s="2" t="n">
        <x:f>SUBTOTAL(103,O1100)</x:f>
        <x:v>1</x:v>
      </x:c>
      <x:c r="R1100" s="2" t="n">
        <x:f>IF(AND(M1100=1,OR(Dashboard!$B$7="All",Dashboard!$B$7='Cycles &amp; Guide'!$C$5),OR(Dashboard!$D$7="All",Dashboard!$D$7=B1100),OR(Dashboard!$F$7="All",Dashboard!$F$7=C1100),OR(Dashboard!$H$7="All",Dashboard!$H$7=D1100),OR(Dashboard!$K$7="All",Dashboard!$K$7=E1100)),1,0)</x:f>
        <x:v>1</x:v>
      </x:c>
      <x:c r="S1100" s="2" t="n">
        <x:f>IF(R1100=1,SUM($R$10:R1100),0)</x:f>
        <x:v>727</x:v>
      </x:c>
      <x:c r="T1100" s="2" t="str">
        <x:v>Research &amp; Analysis</x:v>
      </x:c>
      <x:c r="U1100" s="2" t="n">
        <x:v>372</x:v>
      </x:c>
      <x:c r="V1100" s="2" t="n">
        <x:f>IF(AND(M1100=1,P1100=0,ISNUMBER(J1100),J1100&lt;TODAY()),1,0)</x:f>
        <x:v>0</x:v>
      </x:c>
      <x:c r="W1100" s="2" t="str">
        <x:f>'Research &amp; Analysis'!M372</x:f>
        <x:v>Task</x:v>
      </x:c>
    </x:row>
    <x:row r="1101" ht="40" customHeight="1">
      <x:c r="A1101" s="3" t="str">
        <x:f>HYPERLINK("#'Research &amp; Analysis'!A373","Open")</x:f>
        <x:v>Open</x:v>
      </x:c>
      <x:c r="B1101" s="2" t="str">
        <x:f>'Research &amp; Analysis'!B373</x:f>
        <x:v>Cycle 3</x:v>
      </x:c>
      <x:c r="C1101" s="2" t="str">
        <x:f>'Research &amp; Analysis'!C373</x:f>
        <x:v>Phase 2</x:v>
      </x:c>
      <x:c r="D1101" s="2" t="str">
        <x:f>'Research &amp; Analysis'!D373</x:f>
        <x:v>Cards</x:v>
      </x:c>
      <x:c r="E1101" s="2" t="str">
        <x:v>Research &amp; Analysis</x:v>
      </x:c>
      <x:c r="F1101" s="56" t="str">
        <x:f>'Research &amp; Analysis'!E373</x:f>
        <x:v>RA.CA.2.10</x:v>
      </x:c>
      <x:c r="G1101" s="14" t="str">
        <x:f>'Research &amp; Analysis'!F373</x:f>
        <x:v>Identify and confirm root cause</x:v>
      </x:c>
      <x:c r="H1101" s="2" t="str">
        <x:f>IF('Research &amp; Analysis'!G373="","",'Research &amp; Analysis'!G373)</x:f>
      </x:c>
      <x:c r="I1101" s="12" t="str">
        <x:f>IF('Research &amp; Analysis'!H373="","",'Research &amp; Analysis'!H373)</x:f>
      </x:c>
      <x:c r="J1101" s="12" t="n">
        <x:f>IF('Research &amp; Analysis'!I373="","",'Research &amp; Analysis'!I373)</x:f>
        <x:v>46295</x:v>
      </x:c>
      <x:c r="K1101" s="12" t="str">
        <x:f>IF('Research &amp; Analysis'!J373="","",'Research &amp; Analysis'!J373)</x:f>
      </x:c>
      <x:c r="L1101" s="2" t="str">
        <x:f>IF('Research &amp; Analysis'!K373="","",'Research &amp; Analysis'!K373)</x:f>
      </x:c>
      <x:c r="M1101" s="2" t="n">
        <x:f>'Research &amp; Analysis'!Q373</x:f>
        <x:v>1</x:v>
      </x:c>
      <x:c r="N1101" s="2" t="str">
        <x:f>'Research &amp; Analysis'!L373</x:f>
        <x:v>Not started</x:v>
      </x:c>
      <x:c r="O1101" s="2" t="str">
        <x:f>'Research &amp; Analysis'!N373</x:f>
        <x:v>RA.CA.2.10.2026.CY3</x:v>
      </x:c>
      <x:c r="P1101" s="2" t="n">
        <x:f>'Research &amp; Analysis'!O373</x:f>
        <x:v>0</x:v>
      </x:c>
      <x:c r="Q1101" s="2" t="n">
        <x:f>SUBTOTAL(103,O1101)</x:f>
        <x:v>1</x:v>
      </x:c>
      <x:c r="R1101" s="2" t="n">
        <x:f>IF(AND(M1101=1,OR(Dashboard!$B$7="All",Dashboard!$B$7='Cycles &amp; Guide'!$C$5),OR(Dashboard!$D$7="All",Dashboard!$D$7=B1101),OR(Dashboard!$F$7="All",Dashboard!$F$7=C1101),OR(Dashboard!$H$7="All",Dashboard!$H$7=D1101),OR(Dashboard!$K$7="All",Dashboard!$K$7=E1101)),1,0)</x:f>
        <x:v>1</x:v>
      </x:c>
      <x:c r="S1101" s="2" t="n">
        <x:f>IF(R1101=1,SUM($R$10:R1101),0)</x:f>
        <x:v>728</x:v>
      </x:c>
      <x:c r="T1101" s="2" t="str">
        <x:v>Research &amp; Analysis</x:v>
      </x:c>
      <x:c r="U1101" s="2" t="n">
        <x:v>373</x:v>
      </x:c>
      <x:c r="V1101" s="2" t="n">
        <x:f>IF(AND(M1101=1,P1101=0,ISNUMBER(J1101),J1101&lt;TODAY()),1,0)</x:f>
        <x:v>0</x:v>
      </x:c>
      <x:c r="W1101" s="2" t="str">
        <x:f>'Research &amp; Analysis'!M373</x:f>
        <x:v>Task</x:v>
      </x:c>
    </x:row>
    <x:row r="1102" ht="40" customHeight="1">
      <x:c r="A1102" s="3" t="str">
        <x:f>HYPERLINK("#'Research &amp; Analysis'!A374","Open")</x:f>
        <x:v>Open</x:v>
      </x:c>
      <x:c r="B1102" s="2" t="str">
        <x:f>'Research &amp; Analysis'!B374</x:f>
        <x:v>Cycle 3</x:v>
      </x:c>
      <x:c r="C1102" s="2" t="str">
        <x:f>'Research &amp; Analysis'!C374</x:f>
        <x:v>Phase 3</x:v>
      </x:c>
      <x:c r="D1102" s="2" t="str">
        <x:f>'Research &amp; Analysis'!D374</x:f>
        <x:v>Cards</x:v>
      </x:c>
      <x:c r="E1102" s="2" t="str">
        <x:v>Research &amp; Analysis</x:v>
      </x:c>
      <x:c r="F1102" s="56" t="str">
        <x:f>'Research &amp; Analysis'!E374</x:f>
        <x:v>RA.CA.3.1</x:v>
      </x:c>
      <x:c r="G1102" s="14" t="str">
        <x:f>'Research &amp; Analysis'!F374</x:f>
        <x:v>Finalize results and supporting documentation</x:v>
      </x:c>
      <x:c r="H1102" s="2" t="str">
        <x:f>IF('Research &amp; Analysis'!G374="","",'Research &amp; Analysis'!G374)</x:f>
      </x:c>
      <x:c r="I1102" s="12" t="str">
        <x:f>IF('Research &amp; Analysis'!H374="","",'Research &amp; Analysis'!H374)</x:f>
      </x:c>
      <x:c r="J1102" s="12" t="n">
        <x:f>IF('Research &amp; Analysis'!I374="","",'Research &amp; Analysis'!I374)</x:f>
        <x:v>46295</x:v>
      </x:c>
      <x:c r="K1102" s="12" t="str">
        <x:f>IF('Research &amp; Analysis'!J374="","",'Research &amp; Analysis'!J374)</x:f>
      </x:c>
      <x:c r="L1102" s="2" t="str">
        <x:f>IF('Research &amp; Analysis'!K374="","",'Research &amp; Analysis'!K374)</x:f>
      </x:c>
      <x:c r="M1102" s="2" t="n">
        <x:f>'Research &amp; Analysis'!Q374</x:f>
        <x:v>1</x:v>
      </x:c>
      <x:c r="N1102" s="2" t="str">
        <x:f>'Research &amp; Analysis'!L374</x:f>
        <x:v>Not started</x:v>
      </x:c>
      <x:c r="O1102" s="2" t="str">
        <x:f>'Research &amp; Analysis'!N374</x:f>
        <x:v>RA.CA.3.1.2026.CY3</x:v>
      </x:c>
      <x:c r="P1102" s="2" t="n">
        <x:f>'Research &amp; Analysis'!O374</x:f>
        <x:v>0</x:v>
      </x:c>
      <x:c r="Q1102" s="2" t="n">
        <x:f>SUBTOTAL(103,O1102)</x:f>
        <x:v>1</x:v>
      </x:c>
      <x:c r="R1102" s="2" t="n">
        <x:f>IF(AND(M1102=1,OR(Dashboard!$B$7="All",Dashboard!$B$7='Cycles &amp; Guide'!$C$5),OR(Dashboard!$D$7="All",Dashboard!$D$7=B1102),OR(Dashboard!$F$7="All",Dashboard!$F$7=C1102),OR(Dashboard!$H$7="All",Dashboard!$H$7=D1102),OR(Dashboard!$K$7="All",Dashboard!$K$7=E1102)),1,0)</x:f>
        <x:v>1</x:v>
      </x:c>
      <x:c r="S1102" s="2" t="n">
        <x:f>IF(R1102=1,SUM($R$10:R1102),0)</x:f>
        <x:v>729</x:v>
      </x:c>
      <x:c r="T1102" s="2" t="str">
        <x:v>Research &amp; Analysis</x:v>
      </x:c>
      <x:c r="U1102" s="2" t="n">
        <x:v>374</x:v>
      </x:c>
      <x:c r="V1102" s="2" t="n">
        <x:f>IF(AND(M1102=1,P1102=0,ISNUMBER(J1102),J1102&lt;TODAY()),1,0)</x:f>
        <x:v>0</x:v>
      </x:c>
      <x:c r="W1102" s="2" t="str">
        <x:f>'Research &amp; Analysis'!M374</x:f>
        <x:v>Task</x:v>
      </x:c>
    </x:row>
    <x:row r="1103" ht="40" customHeight="1">
      <x:c r="A1103" s="3" t="str">
        <x:f>HYPERLINK("#'Research &amp; Analysis'!A375","Open")</x:f>
        <x:v>Open</x:v>
      </x:c>
      <x:c r="B1103" s="2" t="str">
        <x:f>'Research &amp; Analysis'!B375</x:f>
        <x:v>Cycle 3</x:v>
      </x:c>
      <x:c r="C1103" s="2" t="str">
        <x:f>'Research &amp; Analysis'!C375</x:f>
        <x:v>Phase 3</x:v>
      </x:c>
      <x:c r="D1103" s="2" t="str">
        <x:f>'Research &amp; Analysis'!D375</x:f>
        <x:v>Cards</x:v>
      </x:c>
      <x:c r="E1103" s="2" t="str">
        <x:v>Research &amp; Analysis</x:v>
      </x:c>
      <x:c r="F1103" s="56" t="str">
        <x:f>'Research &amp; Analysis'!E375</x:f>
        <x:v>RA.CA.3.2</x:v>
      </x:c>
      <x:c r="G1103" s="14" t="str">
        <x:f>'Research &amp; Analysis'!F375</x:f>
        <x:v>Maintain and update the evidence package prior to handoff to D&amp;I</x:v>
      </x:c>
      <x:c r="H1103" s="2" t="str">
        <x:f>IF('Research &amp; Analysis'!G375="","",'Research &amp; Analysis'!G375)</x:f>
      </x:c>
      <x:c r="I1103" s="12" t="str">
        <x:f>IF('Research &amp; Analysis'!H375="","",'Research &amp; Analysis'!H375)</x:f>
      </x:c>
      <x:c r="J1103" s="12" t="n">
        <x:f>IF('Research &amp; Analysis'!I375="","",'Research &amp; Analysis'!I375)</x:f>
        <x:v>46295</x:v>
      </x:c>
      <x:c r="K1103" s="12" t="str">
        <x:f>IF('Research &amp; Analysis'!J375="","",'Research &amp; Analysis'!J375)</x:f>
      </x:c>
      <x:c r="L1103" s="2" t="str">
        <x:f>IF('Research &amp; Analysis'!K375="","",'Research &amp; Analysis'!K375)</x:f>
      </x:c>
      <x:c r="M1103" s="2" t="n">
        <x:f>'Research &amp; Analysis'!Q375</x:f>
        <x:v>1</x:v>
      </x:c>
      <x:c r="N1103" s="2" t="str">
        <x:f>'Research &amp; Analysis'!L375</x:f>
        <x:v>Not started</x:v>
      </x:c>
      <x:c r="O1103" s="2" t="str">
        <x:f>'Research &amp; Analysis'!N375</x:f>
        <x:v>RA.CA.3.2.2026.CY3</x:v>
      </x:c>
      <x:c r="P1103" s="2" t="n">
        <x:f>'Research &amp; Analysis'!O375</x:f>
        <x:v>0</x:v>
      </x:c>
      <x:c r="Q1103" s="2" t="n">
        <x:f>SUBTOTAL(103,O1103)</x:f>
        <x:v>1</x:v>
      </x:c>
      <x:c r="R1103" s="2" t="n">
        <x:f>IF(AND(M1103=1,OR(Dashboard!$B$7="All",Dashboard!$B$7='Cycles &amp; Guide'!$C$5),OR(Dashboard!$D$7="All",Dashboard!$D$7=B1103),OR(Dashboard!$F$7="All",Dashboard!$F$7=C1103),OR(Dashboard!$H$7="All",Dashboard!$H$7=D1103),OR(Dashboard!$K$7="All",Dashboard!$K$7=E1103)),1,0)</x:f>
        <x:v>1</x:v>
      </x:c>
      <x:c r="S1103" s="2" t="n">
        <x:f>IF(R1103=1,SUM($R$10:R1103),0)</x:f>
        <x:v>730</x:v>
      </x:c>
      <x:c r="T1103" s="2" t="str">
        <x:v>Research &amp; Analysis</x:v>
      </x:c>
      <x:c r="U1103" s="2" t="n">
        <x:v>375</x:v>
      </x:c>
      <x:c r="V1103" s="2" t="n">
        <x:f>IF(AND(M1103=1,P1103=0,ISNUMBER(J1103),J1103&lt;TODAY()),1,0)</x:f>
        <x:v>0</x:v>
      </x:c>
      <x:c r="W1103" s="2" t="str">
        <x:f>'Research &amp; Analysis'!M375</x:f>
        <x:v>Task</x:v>
      </x:c>
    </x:row>
    <x:row r="1104" ht="40" customHeight="1">
      <x:c r="A1104" s="3" t="str">
        <x:f>HYPERLINK("#'Research &amp; Analysis'!A376","Open")</x:f>
        <x:v>Open</x:v>
      </x:c>
      <x:c r="B1104" s="2" t="str">
        <x:f>'Research &amp; Analysis'!B376</x:f>
        <x:v>Cycle 3</x:v>
      </x:c>
      <x:c r="C1104" s="2" t="str">
        <x:f>'Research &amp; Analysis'!C376</x:f>
        <x:v>Phase 3</x:v>
      </x:c>
      <x:c r="D1104" s="2" t="str">
        <x:f>'Research &amp; Analysis'!D376</x:f>
        <x:v>Cards</x:v>
      </x:c>
      <x:c r="E1104" s="2" t="str">
        <x:v>Research &amp; Analysis</x:v>
      </x:c>
      <x:c r="F1104" s="56" t="str">
        <x:f>'Research &amp; Analysis'!E376</x:f>
        <x:v>RA.CA.3.3</x:v>
      </x:c>
      <x:c r="G1104" s="14" t="str">
        <x:f>'Research &amp; Analysis'!F376</x:f>
        <x:v>Address any outstanding questions or requests from D&amp;I</x:v>
      </x:c>
      <x:c r="H1104" s="2" t="str">
        <x:f>IF('Research &amp; Analysis'!G376="","",'Research &amp; Analysis'!G376)</x:f>
      </x:c>
      <x:c r="I1104" s="12" t="str">
        <x:f>IF('Research &amp; Analysis'!H376="","",'Research &amp; Analysis'!H376)</x:f>
      </x:c>
      <x:c r="J1104" s="12" t="n">
        <x:f>IF('Research &amp; Analysis'!I376="","",'Research &amp; Analysis'!I376)</x:f>
        <x:v>46295</x:v>
      </x:c>
      <x:c r="K1104" s="12" t="str">
        <x:f>IF('Research &amp; Analysis'!J376="","",'Research &amp; Analysis'!J376)</x:f>
      </x:c>
      <x:c r="L1104" s="2" t="str">
        <x:f>IF('Research &amp; Analysis'!K376="","",'Research &amp; Analysis'!K376)</x:f>
      </x:c>
      <x:c r="M1104" s="2" t="n">
        <x:f>'Research &amp; Analysis'!Q376</x:f>
        <x:v>1</x:v>
      </x:c>
      <x:c r="N1104" s="2" t="str">
        <x:f>'Research &amp; Analysis'!L376</x:f>
        <x:v>Not started</x:v>
      </x:c>
      <x:c r="O1104" s="2" t="str">
        <x:f>'Research &amp; Analysis'!N376</x:f>
        <x:v>RA.CA.3.3.2026.CY3</x:v>
      </x:c>
      <x:c r="P1104" s="2" t="n">
        <x:f>'Research &amp; Analysis'!O376</x:f>
        <x:v>0</x:v>
      </x:c>
      <x:c r="Q1104" s="2" t="n">
        <x:f>SUBTOTAL(103,O1104)</x:f>
        <x:v>1</x:v>
      </x:c>
      <x:c r="R1104" s="2" t="n">
        <x:f>IF(AND(M1104=1,OR(Dashboard!$B$7="All",Dashboard!$B$7='Cycles &amp; Guide'!$C$5),OR(Dashboard!$D$7="All",Dashboard!$D$7=B1104),OR(Dashboard!$F$7="All",Dashboard!$F$7=C1104),OR(Dashboard!$H$7="All",Dashboard!$H$7=D1104),OR(Dashboard!$K$7="All",Dashboard!$K$7=E1104)),1,0)</x:f>
        <x:v>1</x:v>
      </x:c>
      <x:c r="S1104" s="2" t="n">
        <x:f>IF(R1104=1,SUM($R$10:R1104),0)</x:f>
        <x:v>731</x:v>
      </x:c>
      <x:c r="T1104" s="2" t="str">
        <x:v>Research &amp; Analysis</x:v>
      </x:c>
      <x:c r="U1104" s="2" t="n">
        <x:v>376</x:v>
      </x:c>
      <x:c r="V1104" s="2" t="n">
        <x:f>IF(AND(M1104=1,P1104=0,ISNUMBER(J1104),J1104&lt;TODAY()),1,0)</x:f>
        <x:v>0</x:v>
      </x:c>
      <x:c r="W1104" s="2" t="str">
        <x:f>'Research &amp; Analysis'!M376</x:f>
        <x:v>Task</x:v>
      </x:c>
    </x:row>
    <x:row r="1105" ht="40" customHeight="1">
      <x:c r="A1105" s="3" t="str">
        <x:f>HYPERLINK("#'Research &amp; Analysis'!A377","Open")</x:f>
        <x:v>Open</x:v>
      </x:c>
      <x:c r="B1105" s="2" t="str">
        <x:f>'Research &amp; Analysis'!B377</x:f>
        <x:v>Cycle 3</x:v>
      </x:c>
      <x:c r="C1105" s="2" t="str">
        <x:f>'Research &amp; Analysis'!C377</x:f>
        <x:v>Phase 3</x:v>
      </x:c>
      <x:c r="D1105" s="2" t="str">
        <x:f>'Research &amp; Analysis'!D377</x:f>
        <x:v>Cards</x:v>
      </x:c>
      <x:c r="E1105" s="2" t="str">
        <x:v>Research &amp; Analysis</x:v>
      </x:c>
      <x:c r="F1105" s="56" t="str">
        <x:f>'Research &amp; Analysis'!E377</x:f>
        <x:v>RA.CA.3.4</x:v>
      </x:c>
      <x:c r="G1105" s="14" t="str">
        <x:f>'Research &amp; Analysis'!F377</x:f>
        <x:v>Attend Forum meeting with D&amp;I to assist with answering stakeholder questions (as needed)</x:v>
      </x:c>
      <x:c r="H1105" s="2" t="str">
        <x:f>IF('Research &amp; Analysis'!G377="","",'Research &amp; Analysis'!G377)</x:f>
      </x:c>
      <x:c r="I1105" s="12" t="str">
        <x:f>IF('Research &amp; Analysis'!H377="","",'Research &amp; Analysis'!H377)</x:f>
      </x:c>
      <x:c r="J1105" s="12" t="str">
        <x:f>IF('Research &amp; Analysis'!I377="","",'Research &amp; Analysis'!I377)</x:f>
      </x:c>
      <x:c r="K1105" s="12" t="str">
        <x:f>IF('Research &amp; Analysis'!J377="","",'Research &amp; Analysis'!J377)</x:f>
      </x:c>
      <x:c r="L1105" s="2" t="str">
        <x:f>IF('Research &amp; Analysis'!K377="","",'Research &amp; Analysis'!K377)</x:f>
      </x:c>
      <x:c r="M1105" s="2" t="n">
        <x:f>'Research &amp; Analysis'!Q377</x:f>
        <x:v>1</x:v>
      </x:c>
      <x:c r="N1105" s="2" t="str">
        <x:f>'Research &amp; Analysis'!L377</x:f>
        <x:v>Not started</x:v>
      </x:c>
      <x:c r="O1105" s="2" t="str">
        <x:f>'Research &amp; Analysis'!N377</x:f>
        <x:v>RA.CA.3.4.2026.CY3</x:v>
      </x:c>
      <x:c r="P1105" s="2" t="n">
        <x:f>'Research &amp; Analysis'!O377</x:f>
        <x:v>0</x:v>
      </x:c>
      <x:c r="Q1105" s="2" t="n">
        <x:f>SUBTOTAL(103,O1105)</x:f>
        <x:v>1</x:v>
      </x:c>
      <x:c r="R1105" s="2" t="n">
        <x:f>IF(AND(M1105=1,OR(Dashboard!$B$7="All",Dashboard!$B$7='Cycles &amp; Guide'!$C$5),OR(Dashboard!$D$7="All",Dashboard!$D$7=B1105),OR(Dashboard!$F$7="All",Dashboard!$F$7=C1105),OR(Dashboard!$H$7="All",Dashboard!$H$7=D1105),OR(Dashboard!$K$7="All",Dashboard!$K$7=E1105)),1,0)</x:f>
        <x:v>1</x:v>
      </x:c>
      <x:c r="S1105" s="2" t="n">
        <x:f>IF(R1105=1,SUM($R$10:R1105),0)</x:f>
        <x:v>732</x:v>
      </x:c>
      <x:c r="T1105" s="2" t="str">
        <x:v>Research &amp; Analysis</x:v>
      </x:c>
      <x:c r="U1105" s="2" t="n">
        <x:v>377</x:v>
      </x:c>
      <x:c r="V1105" s="2" t="n">
        <x:f>IF(AND(M1105=1,P1105=0,ISNUMBER(J1105),J1105&lt;TODAY()),1,0)</x:f>
        <x:v>0</x:v>
      </x:c>
      <x:c r="W1105" s="2" t="str">
        <x:f>'Research &amp; Analysis'!M377</x:f>
        <x:v>Task</x:v>
      </x:c>
    </x:row>
    <x:row r="1106" ht="40" customHeight="1">
      <x:c r="A1106" s="3" t="str">
        <x:f>HYPERLINK("#'Research &amp; Analysis'!A378","Open")</x:f>
        <x:v>Open</x:v>
      </x:c>
      <x:c r="B1106" s="2" t="str">
        <x:f>'Research &amp; Analysis'!B378</x:f>
        <x:v>Cycle 3</x:v>
      </x:c>
      <x:c r="C1106" s="2" t="str">
        <x:f>'Research &amp; Analysis'!C378</x:f>
        <x:v>Phase 1</x:v>
      </x:c>
      <x:c r="D1106" s="2" t="str">
        <x:f>'Research &amp; Analysis'!D378</x:f>
        <x:v>CSBBO - Banking Ops</x:v>
      </x:c>
      <x:c r="E1106" s="2" t="str">
        <x:v>Research &amp; Analysis</x:v>
      </x:c>
      <x:c r="F1106" s="56" t="str">
        <x:f>'Research &amp; Analysis'!E378</x:f>
        <x:v>RA.BO.1.1</x:v>
      </x:c>
      <x:c r="G1106" s="14" t="str">
        <x:f>'Research &amp; Analysis'!F378</x:f>
        <x:v>Begin Research process 2 weeks prior to Cycle start</x:v>
      </x:c>
      <x:c r="H1106" s="2" t="str">
        <x:f>IF('Research &amp; Analysis'!G378="","",'Research &amp; Analysis'!G378)</x:f>
      </x:c>
      <x:c r="I1106" s="12" t="str">
        <x:f>IF('Research &amp; Analysis'!H378="","",'Research &amp; Analysis'!H378)</x:f>
      </x:c>
      <x:c r="J1106" s="12" t="n">
        <x:f>IF('Research &amp; Analysis'!I378="","",'Research &amp; Analysis'!I378)</x:f>
        <x:v>46190</x:v>
      </x:c>
      <x:c r="K1106" s="12" t="str">
        <x:f>IF('Research &amp; Analysis'!J378="","",'Research &amp; Analysis'!J378)</x:f>
      </x:c>
      <x:c r="L1106" s="2" t="str">
        <x:f>IF('Research &amp; Analysis'!K378="","",'Research &amp; Analysis'!K378)</x:f>
      </x:c>
      <x:c r="M1106" s="2" t="n">
        <x:f>'Research &amp; Analysis'!Q378</x:f>
        <x:v>1</x:v>
      </x:c>
      <x:c r="N1106" s="2" t="str">
        <x:f>'Research &amp; Analysis'!L378</x:f>
        <x:v>Not started</x:v>
      </x:c>
      <x:c r="O1106" s="2" t="str">
        <x:f>'Research &amp; Analysis'!N378</x:f>
        <x:v>RA.BO.1.1.2026.CY3</x:v>
      </x:c>
      <x:c r="P1106" s="2" t="n">
        <x:f>'Research &amp; Analysis'!O378</x:f>
        <x:v>0</x:v>
      </x:c>
      <x:c r="Q1106" s="2" t="n">
        <x:f>SUBTOTAL(103,O1106)</x:f>
        <x:v>1</x:v>
      </x:c>
      <x:c r="R1106" s="2" t="n">
        <x:f>IF(AND(M1106=1,OR(Dashboard!$B$7="All",Dashboard!$B$7='Cycles &amp; Guide'!$C$5),OR(Dashboard!$D$7="All",Dashboard!$D$7=B1106),OR(Dashboard!$F$7="All",Dashboard!$F$7=C1106),OR(Dashboard!$H$7="All",Dashboard!$H$7=D1106),OR(Dashboard!$K$7="All",Dashboard!$K$7=E1106)),1,0)</x:f>
        <x:v>1</x:v>
      </x:c>
      <x:c r="S1106" s="2" t="n">
        <x:f>IF(R1106=1,SUM($R$10:R1106),0)</x:f>
        <x:v>733</x:v>
      </x:c>
      <x:c r="T1106" s="2" t="str">
        <x:v>Research &amp; Analysis</x:v>
      </x:c>
      <x:c r="U1106" s="2" t="n">
        <x:v>378</x:v>
      </x:c>
      <x:c r="V1106" s="2" t="n">
        <x:f>IF(AND(M1106=1,P1106=0,ISNUMBER(J1106),J1106&lt;TODAY()),1,0)</x:f>
        <x:v>1</x:v>
      </x:c>
      <x:c r="W1106" s="2" t="str">
        <x:f>'Research &amp; Analysis'!M378</x:f>
        <x:v>Task</x:v>
      </x:c>
    </x:row>
    <x:row r="1107" ht="40" customHeight="1">
      <x:c r="A1107" s="3" t="str">
        <x:f>HYPERLINK("#'Research &amp; Analysis'!A379","Open")</x:f>
        <x:v>Open</x:v>
      </x:c>
      <x:c r="B1107" s="2" t="str">
        <x:f>'Research &amp; Analysis'!B379</x:f>
        <x:v>Cycle 3</x:v>
      </x:c>
      <x:c r="C1107" s="2" t="str">
        <x:f>'Research &amp; Analysis'!C379</x:f>
        <x:v>Phase 1</x:v>
      </x:c>
      <x:c r="D1107" s="2" t="str">
        <x:f>'Research &amp; Analysis'!D379</x:f>
        <x:v>CSBBO - Banking Ops</x:v>
      </x:c>
      <x:c r="E1107" s="2" t="str">
        <x:v>Research &amp; Analysis</x:v>
      </x:c>
      <x:c r="F1107" s="56" t="str">
        <x:f>'Research &amp; Analysis'!E379</x:f>
        <x:v>RA.BO.1.2</x:v>
      </x:c>
      <x:c r="G1107" s="14" t="str">
        <x:f>'Research &amp; Analysis'!F379</x:f>
        <x:v>Conduct initial assessment of each topic recommendation from SharePoint list</x:v>
      </x:c>
      <x:c r="H1107" s="2" t="str">
        <x:f>IF('Research &amp; Analysis'!G379="","",'Research &amp; Analysis'!G379)</x:f>
      </x:c>
      <x:c r="I1107" s="12" t="str">
        <x:f>IF('Research &amp; Analysis'!H379="","",'Research &amp; Analysis'!H379)</x:f>
      </x:c>
      <x:c r="J1107" s="12" t="n">
        <x:f>IF('Research &amp; Analysis'!I379="","",'Research &amp; Analysis'!I379)</x:f>
        <x:v>46295</x:v>
      </x:c>
      <x:c r="K1107" s="12" t="str">
        <x:f>IF('Research &amp; Analysis'!J379="","",'Research &amp; Analysis'!J379)</x:f>
      </x:c>
      <x:c r="L1107" s="2" t="str">
        <x:f>IF('Research &amp; Analysis'!K379="","",'Research &amp; Analysis'!K379)</x:f>
      </x:c>
      <x:c r="M1107" s="2" t="n">
        <x:f>'Research &amp; Analysis'!Q379</x:f>
        <x:v>1</x:v>
      </x:c>
      <x:c r="N1107" s="2" t="str">
        <x:f>'Research &amp; Analysis'!L379</x:f>
        <x:v>Not started</x:v>
      </x:c>
      <x:c r="O1107" s="2" t="str">
        <x:f>'Research &amp; Analysis'!N379</x:f>
        <x:v>RA.BO.1.2.2026.CY3</x:v>
      </x:c>
      <x:c r="P1107" s="2" t="n">
        <x:f>'Research &amp; Analysis'!O379</x:f>
        <x:v>0</x:v>
      </x:c>
      <x:c r="Q1107" s="2" t="n">
        <x:f>SUBTOTAL(103,O1107)</x:f>
        <x:v>1</x:v>
      </x:c>
      <x:c r="R1107" s="2" t="n">
        <x:f>IF(AND(M1107=1,OR(Dashboard!$B$7="All",Dashboard!$B$7='Cycles &amp; Guide'!$C$5),OR(Dashboard!$D$7="All",Dashboard!$D$7=B1107),OR(Dashboard!$F$7="All",Dashboard!$F$7=C1107),OR(Dashboard!$H$7="All",Dashboard!$H$7=D1107),OR(Dashboard!$K$7="All",Dashboard!$K$7=E1107)),1,0)</x:f>
        <x:v>1</x:v>
      </x:c>
      <x:c r="S1107" s="2" t="n">
        <x:f>IF(R1107=1,SUM($R$10:R1107),0)</x:f>
        <x:v>734</x:v>
      </x:c>
      <x:c r="T1107" s="2" t="str">
        <x:v>Research &amp; Analysis</x:v>
      </x:c>
      <x:c r="U1107" s="2" t="n">
        <x:v>379</x:v>
      </x:c>
      <x:c r="V1107" s="2" t="n">
        <x:f>IF(AND(M1107=1,P1107=0,ISNUMBER(J1107),J1107&lt;TODAY()),1,0)</x:f>
        <x:v>0</x:v>
      </x:c>
      <x:c r="W1107" s="2" t="str">
        <x:f>'Research &amp; Analysis'!M379</x:f>
        <x:v>Task</x:v>
      </x:c>
    </x:row>
    <x:row r="1108" ht="40" customHeight="1">
      <x:c r="A1108" s="3" t="str">
        <x:f>HYPERLINK("#'Research &amp; Analysis'!A380","Open")</x:f>
        <x:v>Open</x:v>
      </x:c>
      <x:c r="B1108" s="2" t="str">
        <x:f>'Research &amp; Analysis'!B380</x:f>
        <x:v>Cycle 3</x:v>
      </x:c>
      <x:c r="C1108" s="2" t="str">
        <x:f>'Research &amp; Analysis'!C380</x:f>
        <x:v>Phase 1</x:v>
      </x:c>
      <x:c r="D1108" s="2" t="str">
        <x:f>'Research &amp; Analysis'!D380</x:f>
        <x:v>CSBBO - Banking Ops</x:v>
      </x:c>
      <x:c r="E1108" s="2" t="str">
        <x:v>Research &amp; Analysis</x:v>
      </x:c>
      <x:c r="F1108" s="56" t="str">
        <x:f>'Research &amp; Analysis'!E380</x:f>
        <x:v>RA.BO.1.3</x:v>
      </x:c>
      <x:c r="G1108" s="14" t="str">
        <x:f>'Research &amp; Analysis'!F380</x:f>
        <x:v>Identify best topic for Cycle</x:v>
      </x:c>
      <x:c r="H1108" s="2" t="str">
        <x:f>IF('Research &amp; Analysis'!G380="","",'Research &amp; Analysis'!G380)</x:f>
      </x:c>
      <x:c r="I1108" s="12" t="str">
        <x:f>IF('Research &amp; Analysis'!H380="","",'Research &amp; Analysis'!H380)</x:f>
      </x:c>
      <x:c r="J1108" s="12" t="n">
        <x:f>IF('Research &amp; Analysis'!I380="","",'Research &amp; Analysis'!I380)</x:f>
        <x:v>46295</x:v>
      </x:c>
      <x:c r="K1108" s="12" t="str">
        <x:f>IF('Research &amp; Analysis'!J380="","",'Research &amp; Analysis'!J380)</x:f>
      </x:c>
      <x:c r="L1108" s="2" t="str">
        <x:f>IF('Research &amp; Analysis'!K380="","",'Research &amp; Analysis'!K380)</x:f>
      </x:c>
      <x:c r="M1108" s="2" t="n">
        <x:f>'Research &amp; Analysis'!Q380</x:f>
        <x:v>1</x:v>
      </x:c>
      <x:c r="N1108" s="2" t="str">
        <x:f>'Research &amp; Analysis'!L380</x:f>
        <x:v>Not started</x:v>
      </x:c>
      <x:c r="O1108" s="2" t="str">
        <x:f>'Research &amp; Analysis'!N380</x:f>
        <x:v>RA.BO.1.3.2026.CY3</x:v>
      </x:c>
      <x:c r="P1108" s="2" t="n">
        <x:f>'Research &amp; Analysis'!O380</x:f>
        <x:v>0</x:v>
      </x:c>
      <x:c r="Q1108" s="2" t="n">
        <x:f>SUBTOTAL(103,O1108)</x:f>
        <x:v>1</x:v>
      </x:c>
      <x:c r="R1108" s="2" t="n">
        <x:f>IF(AND(M1108=1,OR(Dashboard!$B$7="All",Dashboard!$B$7='Cycles &amp; Guide'!$C$5),OR(Dashboard!$D$7="All",Dashboard!$D$7=B1108),OR(Dashboard!$F$7="All",Dashboard!$F$7=C1108),OR(Dashboard!$H$7="All",Dashboard!$H$7=D1108),OR(Dashboard!$K$7="All",Dashboard!$K$7=E1108)),1,0)</x:f>
        <x:v>1</x:v>
      </x:c>
      <x:c r="S1108" s="2" t="n">
        <x:f>IF(R1108=1,SUM($R$10:R1108),0)</x:f>
        <x:v>735</x:v>
      </x:c>
      <x:c r="T1108" s="2" t="str">
        <x:v>Research &amp; Analysis</x:v>
      </x:c>
      <x:c r="U1108" s="2" t="n">
        <x:v>380</x:v>
      </x:c>
      <x:c r="V1108" s="2" t="n">
        <x:f>IF(AND(M1108=1,P1108=0,ISNUMBER(J1108),J1108&lt;TODAY()),1,0)</x:f>
        <x:v>0</x:v>
      </x:c>
      <x:c r="W1108" s="2" t="str">
        <x:f>'Research &amp; Analysis'!M380</x:f>
        <x:v>Task</x:v>
      </x:c>
    </x:row>
    <x:row r="1109" ht="40" customHeight="1">
      <x:c r="A1109" s="3" t="str">
        <x:f>HYPERLINK("#'Research &amp; Analysis'!A381","Open")</x:f>
        <x:v>Open</x:v>
      </x:c>
      <x:c r="B1109" s="2" t="str">
        <x:f>'Research &amp; Analysis'!B381</x:f>
        <x:v>Cycle 3</x:v>
      </x:c>
      <x:c r="C1109" s="2" t="str">
        <x:f>'Research &amp; Analysis'!C381</x:f>
        <x:v>Phase 1</x:v>
      </x:c>
      <x:c r="D1109" s="2" t="str">
        <x:f>'Research &amp; Analysis'!D381</x:f>
        <x:v>CSBBO - Banking Ops</x:v>
      </x:c>
      <x:c r="E1109" s="2" t="str">
        <x:v>Research &amp; Analysis</x:v>
      </x:c>
      <x:c r="F1109" s="56" t="str">
        <x:f>'Research &amp; Analysis'!E381</x:f>
        <x:v>RA.BO.1.4</x:v>
      </x:c>
      <x:c r="G1109" s="14" t="str">
        <x:f>'Research &amp; Analysis'!F381</x:f>
        <x:v>Identify backup topic for Cycle</x:v>
      </x:c>
      <x:c r="H1109" s="2" t="str">
        <x:f>IF('Research &amp; Analysis'!G381="","",'Research &amp; Analysis'!G381)</x:f>
      </x:c>
      <x:c r="I1109" s="12" t="str">
        <x:f>IF('Research &amp; Analysis'!H381="","",'Research &amp; Analysis'!H381)</x:f>
      </x:c>
      <x:c r="J1109" s="12" t="n">
        <x:f>IF('Research &amp; Analysis'!I381="","",'Research &amp; Analysis'!I381)</x:f>
        <x:v>46295</x:v>
      </x:c>
      <x:c r="K1109" s="12" t="str">
        <x:f>IF('Research &amp; Analysis'!J381="","",'Research &amp; Analysis'!J381)</x:f>
      </x:c>
      <x:c r="L1109" s="2" t="str">
        <x:f>IF('Research &amp; Analysis'!K381="","",'Research &amp; Analysis'!K381)</x:f>
      </x:c>
      <x:c r="M1109" s="2" t="n">
        <x:f>'Research &amp; Analysis'!Q381</x:f>
        <x:v>1</x:v>
      </x:c>
      <x:c r="N1109" s="2" t="str">
        <x:f>'Research &amp; Analysis'!L381</x:f>
        <x:v>Not started</x:v>
      </x:c>
      <x:c r="O1109" s="2" t="str">
        <x:f>'Research &amp; Analysis'!N381</x:f>
        <x:v>RA.BO.1.4.2026.CY3</x:v>
      </x:c>
      <x:c r="P1109" s="2" t="n">
        <x:f>'Research &amp; Analysis'!O381</x:f>
        <x:v>0</x:v>
      </x:c>
      <x:c r="Q1109" s="2" t="n">
        <x:f>SUBTOTAL(103,O1109)</x:f>
        <x:v>1</x:v>
      </x:c>
      <x:c r="R1109" s="2" t="n">
        <x:f>IF(AND(M1109=1,OR(Dashboard!$B$7="All",Dashboard!$B$7='Cycles &amp; Guide'!$C$5),OR(Dashboard!$D$7="All",Dashboard!$D$7=B1109),OR(Dashboard!$F$7="All",Dashboard!$F$7=C1109),OR(Dashboard!$H$7="All",Dashboard!$H$7=D1109),OR(Dashboard!$K$7="All",Dashboard!$K$7=E1109)),1,0)</x:f>
        <x:v>1</x:v>
      </x:c>
      <x:c r="S1109" s="2" t="n">
        <x:f>IF(R1109=1,SUM($R$10:R1109),0)</x:f>
        <x:v>736</x:v>
      </x:c>
      <x:c r="T1109" s="2" t="str">
        <x:v>Research &amp; Analysis</x:v>
      </x:c>
      <x:c r="U1109" s="2" t="n">
        <x:v>381</x:v>
      </x:c>
      <x:c r="V1109" s="2" t="n">
        <x:f>IF(AND(M1109=1,P1109=0,ISNUMBER(J1109),J1109&lt;TODAY()),1,0)</x:f>
        <x:v>0</x:v>
      </x:c>
      <x:c r="W1109" s="2" t="str">
        <x:f>'Research &amp; Analysis'!M381</x:f>
        <x:v>Task</x:v>
      </x:c>
    </x:row>
    <x:row r="1110" ht="40" customHeight="1">
      <x:c r="A1110" s="3" t="str">
        <x:f>HYPERLINK("#'Research &amp; Analysis'!A382","Open")</x:f>
        <x:v>Open</x:v>
      </x:c>
      <x:c r="B1110" s="2" t="str">
        <x:f>'Research &amp; Analysis'!B382</x:f>
        <x:v>Cycle 3</x:v>
      </x:c>
      <x:c r="C1110" s="2" t="str">
        <x:f>'Research &amp; Analysis'!C382</x:f>
        <x:v>Phase 1</x:v>
      </x:c>
      <x:c r="D1110" s="2" t="str">
        <x:f>'Research &amp; Analysis'!D382</x:f>
        <x:v>CSBBO - Banking Ops</x:v>
      </x:c>
      <x:c r="E1110" s="2" t="str">
        <x:v>Research &amp; Analysis</x:v>
      </x:c>
      <x:c r="F1110" s="56" t="str">
        <x:f>'Research &amp; Analysis'!E382</x:f>
        <x:v>RA.BO.1.5</x:v>
      </x:c>
      <x:c r="G1110" s="14" t="str">
        <x:f>'Research &amp; Analysis'!F382</x:f>
        <x:v>Schedule topic approval meeting with D&amp;I and management</x:v>
      </x:c>
      <x:c r="H1110" s="2" t="str">
        <x:f>IF('Research &amp; Analysis'!G382="","",'Research &amp; Analysis'!G382)</x:f>
      </x:c>
      <x:c r="I1110" s="12" t="str">
        <x:f>IF('Research &amp; Analysis'!H382="","",'Research &amp; Analysis'!H382)</x:f>
      </x:c>
      <x:c r="J1110" s="12" t="n">
        <x:f>IF('Research &amp; Analysis'!I382="","",'Research &amp; Analysis'!I382)</x:f>
        <x:v>46295</x:v>
      </x:c>
      <x:c r="K1110" s="12" t="str">
        <x:f>IF('Research &amp; Analysis'!J382="","",'Research &amp; Analysis'!J382)</x:f>
      </x:c>
      <x:c r="L1110" s="2" t="str">
        <x:f>IF('Research &amp; Analysis'!K382="","",'Research &amp; Analysis'!K382)</x:f>
      </x:c>
      <x:c r="M1110" s="2" t="n">
        <x:f>'Research &amp; Analysis'!Q382</x:f>
        <x:v>1</x:v>
      </x:c>
      <x:c r="N1110" s="2" t="str">
        <x:f>'Research &amp; Analysis'!L382</x:f>
        <x:v>Not started</x:v>
      </x:c>
      <x:c r="O1110" s="2" t="str">
        <x:f>'Research &amp; Analysis'!N382</x:f>
        <x:v>RA.BO.1.5.2026.CY3</x:v>
      </x:c>
      <x:c r="P1110" s="2" t="n">
        <x:f>'Research &amp; Analysis'!O382</x:f>
        <x:v>0</x:v>
      </x:c>
      <x:c r="Q1110" s="2" t="n">
        <x:f>SUBTOTAL(103,O1110)</x:f>
        <x:v>1</x:v>
      </x:c>
      <x:c r="R1110" s="2" t="n">
        <x:f>IF(AND(M1110=1,OR(Dashboard!$B$7="All",Dashboard!$B$7='Cycles &amp; Guide'!$C$5),OR(Dashboard!$D$7="All",Dashboard!$D$7=B1110),OR(Dashboard!$F$7="All",Dashboard!$F$7=C1110),OR(Dashboard!$H$7="All",Dashboard!$H$7=D1110),OR(Dashboard!$K$7="All",Dashboard!$K$7=E1110)),1,0)</x:f>
        <x:v>1</x:v>
      </x:c>
      <x:c r="S1110" s="2" t="n">
        <x:f>IF(R1110=1,SUM($R$10:R1110),0)</x:f>
        <x:v>737</x:v>
      </x:c>
      <x:c r="T1110" s="2" t="str">
        <x:v>Research &amp; Analysis</x:v>
      </x:c>
      <x:c r="U1110" s="2" t="n">
        <x:v>382</x:v>
      </x:c>
      <x:c r="V1110" s="2" t="n">
        <x:f>IF(AND(M1110=1,P1110=0,ISNUMBER(J1110),J1110&lt;TODAY()),1,0)</x:f>
        <x:v>0</x:v>
      </x:c>
      <x:c r="W1110" s="2" t="str">
        <x:f>'Research &amp; Analysis'!M382</x:f>
        <x:v>Task</x:v>
      </x:c>
    </x:row>
    <x:row r="1111" ht="40" customHeight="1">
      <x:c r="A1111" s="3" t="str">
        <x:f>HYPERLINK("#'Research &amp; Analysis'!A383","Open")</x:f>
        <x:v>Open</x:v>
      </x:c>
      <x:c r="B1111" s="2" t="str">
        <x:f>'Research &amp; Analysis'!B383</x:f>
        <x:v>Cycle 3</x:v>
      </x:c>
      <x:c r="C1111" s="2" t="str">
        <x:f>'Research &amp; Analysis'!C383</x:f>
        <x:v>Phase 1</x:v>
      </x:c>
      <x:c r="D1111" s="2" t="str">
        <x:f>'Research &amp; Analysis'!D383</x:f>
        <x:v>CSBBO - Banking Ops</x:v>
      </x:c>
      <x:c r="E1111" s="2" t="str">
        <x:v>Research &amp; Analysis</x:v>
      </x:c>
      <x:c r="F1111" s="56" t="str">
        <x:f>'Research &amp; Analysis'!E383</x:f>
        <x:v>RA.BO.1.6</x:v>
      </x:c>
      <x:c r="G1111" s="14" t="str">
        <x:f>'Research &amp; Analysis'!F383</x:f>
        <x:v>Present recommended topic to D&amp;I and management for approval</x:v>
      </x:c>
      <x:c r="H1111" s="2" t="str">
        <x:f>IF('Research &amp; Analysis'!G383="","",'Research &amp; Analysis'!G383)</x:f>
      </x:c>
      <x:c r="I1111" s="12" t="str">
        <x:f>IF('Research &amp; Analysis'!H383="","",'Research &amp; Analysis'!H383)</x:f>
      </x:c>
      <x:c r="J1111" s="12" t="n">
        <x:f>IF('Research &amp; Analysis'!I383="","",'Research &amp; Analysis'!I383)</x:f>
        <x:v>46295</x:v>
      </x:c>
      <x:c r="K1111" s="12" t="str">
        <x:f>IF('Research &amp; Analysis'!J383="","",'Research &amp; Analysis'!J383)</x:f>
      </x:c>
      <x:c r="L1111" s="2" t="str">
        <x:f>IF('Research &amp; Analysis'!K383="","",'Research &amp; Analysis'!K383)</x:f>
      </x:c>
      <x:c r="M1111" s="2" t="n">
        <x:f>'Research &amp; Analysis'!Q383</x:f>
        <x:v>1</x:v>
      </x:c>
      <x:c r="N1111" s="2" t="str">
        <x:f>'Research &amp; Analysis'!L383</x:f>
        <x:v>Not started</x:v>
      </x:c>
      <x:c r="O1111" s="2" t="str">
        <x:f>'Research &amp; Analysis'!N383</x:f>
        <x:v>RA.BO.1.6.2026.CY3</x:v>
      </x:c>
      <x:c r="P1111" s="2" t="n">
        <x:f>'Research &amp; Analysis'!O383</x:f>
        <x:v>0</x:v>
      </x:c>
      <x:c r="Q1111" s="2" t="n">
        <x:f>SUBTOTAL(103,O1111)</x:f>
        <x:v>1</x:v>
      </x:c>
      <x:c r="R1111" s="2" t="n">
        <x:f>IF(AND(M1111=1,OR(Dashboard!$B$7="All",Dashboard!$B$7='Cycles &amp; Guide'!$C$5),OR(Dashboard!$D$7="All",Dashboard!$D$7=B1111),OR(Dashboard!$F$7="All",Dashboard!$F$7=C1111),OR(Dashboard!$H$7="All",Dashboard!$H$7=D1111),OR(Dashboard!$K$7="All",Dashboard!$K$7=E1111)),1,0)</x:f>
        <x:v>1</x:v>
      </x:c>
      <x:c r="S1111" s="2" t="n">
        <x:f>IF(R1111=1,SUM($R$10:R1111),0)</x:f>
        <x:v>738</x:v>
      </x:c>
      <x:c r="T1111" s="2" t="str">
        <x:v>Research &amp; Analysis</x:v>
      </x:c>
      <x:c r="U1111" s="2" t="n">
        <x:v>383</x:v>
      </x:c>
      <x:c r="V1111" s="2" t="n">
        <x:f>IF(AND(M1111=1,P1111=0,ISNUMBER(J1111),J1111&lt;TODAY()),1,0)</x:f>
        <x:v>0</x:v>
      </x:c>
      <x:c r="W1111" s="2" t="str">
        <x:f>'Research &amp; Analysis'!M383</x:f>
        <x:v>Task</x:v>
      </x:c>
    </x:row>
    <x:row r="1112" ht="40" customHeight="1">
      <x:c r="A1112" s="3" t="str">
        <x:f>HYPERLINK("#'Research &amp; Analysis'!A384","Open")</x:f>
        <x:v>Open</x:v>
      </x:c>
      <x:c r="B1112" s="2" t="str">
        <x:f>'Research &amp; Analysis'!B384</x:f>
        <x:v>Cycle 3</x:v>
      </x:c>
      <x:c r="C1112" s="2" t="str">
        <x:f>'Research &amp; Analysis'!C384</x:f>
        <x:v>Phase 1</x:v>
      </x:c>
      <x:c r="D1112" s="2" t="str">
        <x:f>'Research &amp; Analysis'!D384</x:f>
        <x:v>CSBBO - Banking Ops</x:v>
      </x:c>
      <x:c r="E1112" s="2" t="str">
        <x:v>Research &amp; Analysis</x:v>
      </x:c>
      <x:c r="F1112" s="56" t="str">
        <x:f>'Research &amp; Analysis'!E384</x:f>
        <x:v>RA.BO.1.7</x:v>
      </x:c>
      <x:c r="G1112" s="14" t="str">
        <x:f>'Research &amp; Analysis'!F384</x:f>
        <x:v>Obtain formal topic selection approval from management via SharePoint</x:v>
      </x:c>
      <x:c r="H1112" s="2" t="str">
        <x:f>IF('Research &amp; Analysis'!G384="","",'Research &amp; Analysis'!G384)</x:f>
      </x:c>
      <x:c r="I1112" s="12" t="str">
        <x:f>IF('Research &amp; Analysis'!H384="","",'Research &amp; Analysis'!H384)</x:f>
      </x:c>
      <x:c r="J1112" s="12" t="n">
        <x:f>IF('Research &amp; Analysis'!I384="","",'Research &amp; Analysis'!I384)</x:f>
        <x:v>46295</x:v>
      </x:c>
      <x:c r="K1112" s="12" t="str">
        <x:f>IF('Research &amp; Analysis'!J384="","",'Research &amp; Analysis'!J384)</x:f>
      </x:c>
      <x:c r="L1112" s="2" t="str">
        <x:f>IF('Research &amp; Analysis'!K384="","",'Research &amp; Analysis'!K384)</x:f>
      </x:c>
      <x:c r="M1112" s="2" t="n">
        <x:f>'Research &amp; Analysis'!Q384</x:f>
        <x:v>1</x:v>
      </x:c>
      <x:c r="N1112" s="2" t="str">
        <x:f>'Research &amp; Analysis'!L384</x:f>
        <x:v>Not started</x:v>
      </x:c>
      <x:c r="O1112" s="2" t="str">
        <x:f>'Research &amp; Analysis'!N384</x:f>
        <x:v>RA.BO.1.7.2026.CY3</x:v>
      </x:c>
      <x:c r="P1112" s="2" t="n">
        <x:f>'Research &amp; Analysis'!O384</x:f>
        <x:v>0</x:v>
      </x:c>
      <x:c r="Q1112" s="2" t="n">
        <x:f>SUBTOTAL(103,O1112)</x:f>
        <x:v>1</x:v>
      </x:c>
      <x:c r="R1112" s="2" t="n">
        <x:f>IF(AND(M1112=1,OR(Dashboard!$B$7="All",Dashboard!$B$7='Cycles &amp; Guide'!$C$5),OR(Dashboard!$D$7="All",Dashboard!$D$7=B1112),OR(Dashboard!$F$7="All",Dashboard!$F$7=C1112),OR(Dashboard!$H$7="All",Dashboard!$H$7=D1112),OR(Dashboard!$K$7="All",Dashboard!$K$7=E1112)),1,0)</x:f>
        <x:v>1</x:v>
      </x:c>
      <x:c r="S1112" s="2" t="n">
        <x:f>IF(R1112=1,SUM($R$10:R1112),0)</x:f>
        <x:v>739</x:v>
      </x:c>
      <x:c r="T1112" s="2" t="str">
        <x:v>Research &amp; Analysis</x:v>
      </x:c>
      <x:c r="U1112" s="2" t="n">
        <x:v>384</x:v>
      </x:c>
      <x:c r="V1112" s="2" t="n">
        <x:f>IF(AND(M1112=1,P1112=0,ISNUMBER(J1112),J1112&lt;TODAY()),1,0)</x:f>
        <x:v>0</x:v>
      </x:c>
      <x:c r="W1112" s="2" t="str">
        <x:f>'Research &amp; Analysis'!M384</x:f>
        <x:v>Task</x:v>
      </x:c>
    </x:row>
    <x:row r="1113" ht="40" customHeight="1">
      <x:c r="A1113" s="3" t="str">
        <x:f>HYPERLINK("#'Research &amp; Analysis'!A385","Open")</x:f>
        <x:v>Open</x:v>
      </x:c>
      <x:c r="B1113" s="2" t="str">
        <x:f>'Research &amp; Analysis'!B385</x:f>
        <x:v>Cycle 3</x:v>
      </x:c>
      <x:c r="C1113" s="2" t="str">
        <x:f>'Research &amp; Analysis'!C385</x:f>
        <x:v>Phase 1</x:v>
      </x:c>
      <x:c r="D1113" s="2" t="str">
        <x:f>'Research &amp; Analysis'!D385</x:f>
        <x:v>CSBBO - Banking Ops</x:v>
      </x:c>
      <x:c r="E1113" s="2" t="str">
        <x:v>Research &amp; Analysis</x:v>
      </x:c>
      <x:c r="F1113" s="56" t="str">
        <x:f>'Research &amp; Analysis'!E385</x:f>
        <x:v>RA.BO.1.8</x:v>
      </x:c>
      <x:c r="G1113" s="14" t="str">
        <x:f>'Research &amp; Analysis'!F385</x:f>
        <x:v>Socialize topic selection with product owners and subject matter experts (if known)</x:v>
      </x:c>
      <x:c r="H1113" s="2" t="str">
        <x:f>IF('Research &amp; Analysis'!G385="","",'Research &amp; Analysis'!G385)</x:f>
      </x:c>
      <x:c r="I1113" s="12" t="str">
        <x:f>IF('Research &amp; Analysis'!H385="","",'Research &amp; Analysis'!H385)</x:f>
      </x:c>
      <x:c r="J1113" s="12" t="n">
        <x:f>IF('Research &amp; Analysis'!I385="","",'Research &amp; Analysis'!I385)</x:f>
        <x:v>46295</x:v>
      </x:c>
      <x:c r="K1113" s="12" t="str">
        <x:f>IF('Research &amp; Analysis'!J385="","",'Research &amp; Analysis'!J385)</x:f>
      </x:c>
      <x:c r="L1113" s="2" t="str">
        <x:f>IF('Research &amp; Analysis'!K385="","",'Research &amp; Analysis'!K385)</x:f>
      </x:c>
      <x:c r="M1113" s="2" t="n">
        <x:f>'Research &amp; Analysis'!Q385</x:f>
        <x:v>1</x:v>
      </x:c>
      <x:c r="N1113" s="2" t="str">
        <x:f>'Research &amp; Analysis'!L385</x:f>
        <x:v>Not started</x:v>
      </x:c>
      <x:c r="O1113" s="2" t="str">
        <x:f>'Research &amp; Analysis'!N385</x:f>
        <x:v>RA.BO.1.8.2026.CY3</x:v>
      </x:c>
      <x:c r="P1113" s="2" t="n">
        <x:f>'Research &amp; Analysis'!O385</x:f>
        <x:v>0</x:v>
      </x:c>
      <x:c r="Q1113" s="2" t="n">
        <x:f>SUBTOTAL(103,O1113)</x:f>
        <x:v>1</x:v>
      </x:c>
      <x:c r="R1113" s="2" t="n">
        <x:f>IF(AND(M1113=1,OR(Dashboard!$B$7="All",Dashboard!$B$7='Cycles &amp; Guide'!$C$5),OR(Dashboard!$D$7="All",Dashboard!$D$7=B1113),OR(Dashboard!$F$7="All",Dashboard!$F$7=C1113),OR(Dashboard!$H$7="All",Dashboard!$H$7=D1113),OR(Dashboard!$K$7="All",Dashboard!$K$7=E1113)),1,0)</x:f>
        <x:v>1</x:v>
      </x:c>
      <x:c r="S1113" s="2" t="n">
        <x:f>IF(R1113=1,SUM($R$10:R1113),0)</x:f>
        <x:v>740</x:v>
      </x:c>
      <x:c r="T1113" s="2" t="str">
        <x:v>Research &amp; Analysis</x:v>
      </x:c>
      <x:c r="U1113" s="2" t="n">
        <x:v>385</x:v>
      </x:c>
      <x:c r="V1113" s="2" t="n">
        <x:f>IF(AND(M1113=1,P1113=0,ISNUMBER(J1113),J1113&lt;TODAY()),1,0)</x:f>
        <x:v>0</x:v>
      </x:c>
      <x:c r="W1113" s="2" t="str">
        <x:f>'Research &amp; Analysis'!M385</x:f>
        <x:v>Task</x:v>
      </x:c>
    </x:row>
    <x:row r="1114" ht="40" customHeight="1">
      <x:c r="A1114" s="3" t="str">
        <x:f>HYPERLINK("#'Research &amp; Analysis'!A386","Open")</x:f>
        <x:v>Open</x:v>
      </x:c>
      <x:c r="B1114" s="2" t="str">
        <x:f>'Research &amp; Analysis'!B386</x:f>
        <x:v>Cycle 3</x:v>
      </x:c>
      <x:c r="C1114" s="2" t="str">
        <x:f>'Research &amp; Analysis'!C386</x:f>
        <x:v>Phase 1</x:v>
      </x:c>
      <x:c r="D1114" s="2" t="str">
        <x:f>'Research &amp; Analysis'!D386</x:f>
        <x:v>CSBBO - Banking Ops</x:v>
      </x:c>
      <x:c r="E1114" s="2" t="str">
        <x:v>Research &amp; Analysis</x:v>
      </x:c>
      <x:c r="F1114" s="56" t="str">
        <x:f>'Research &amp; Analysis'!E386</x:f>
        <x:v>RA.BO.1.9</x:v>
      </x:c>
      <x:c r="G1114" s="14" t="str">
        <x:f>'Research &amp; Analysis'!F386</x:f>
        <x:v>Assign topic researchers</x:v>
      </x:c>
      <x:c r="H1114" s="2" t="str">
        <x:f>IF('Research &amp; Analysis'!G386="","",'Research &amp; Analysis'!G386)</x:f>
      </x:c>
      <x:c r="I1114" s="12" t="str">
        <x:f>IF('Research &amp; Analysis'!H386="","",'Research &amp; Analysis'!H386)</x:f>
      </x:c>
      <x:c r="J1114" s="12" t="n">
        <x:f>IF('Research &amp; Analysis'!I386="","",'Research &amp; Analysis'!I386)</x:f>
        <x:v>46295</x:v>
      </x:c>
      <x:c r="K1114" s="12" t="str">
        <x:f>IF('Research &amp; Analysis'!J386="","",'Research &amp; Analysis'!J386)</x:f>
      </x:c>
      <x:c r="L1114" s="2" t="str">
        <x:f>IF('Research &amp; Analysis'!K386="","",'Research &amp; Analysis'!K386)</x:f>
      </x:c>
      <x:c r="M1114" s="2" t="n">
        <x:f>'Research &amp; Analysis'!Q386</x:f>
        <x:v>1</x:v>
      </x:c>
      <x:c r="N1114" s="2" t="str">
        <x:f>'Research &amp; Analysis'!L386</x:f>
        <x:v>Not started</x:v>
      </x:c>
      <x:c r="O1114" s="2" t="str">
        <x:f>'Research &amp; Analysis'!N386</x:f>
        <x:v>RA.BO.1.9.2026.CY3</x:v>
      </x:c>
      <x:c r="P1114" s="2" t="n">
        <x:f>'Research &amp; Analysis'!O386</x:f>
        <x:v>0</x:v>
      </x:c>
      <x:c r="Q1114" s="2" t="n">
        <x:f>SUBTOTAL(103,O1114)</x:f>
        <x:v>1</x:v>
      </x:c>
      <x:c r="R1114" s="2" t="n">
        <x:f>IF(AND(M1114=1,OR(Dashboard!$B$7="All",Dashboard!$B$7='Cycles &amp; Guide'!$C$5),OR(Dashboard!$D$7="All",Dashboard!$D$7=B1114),OR(Dashboard!$F$7="All",Dashboard!$F$7=C1114),OR(Dashboard!$H$7="All",Dashboard!$H$7=D1114),OR(Dashboard!$K$7="All",Dashboard!$K$7=E1114)),1,0)</x:f>
        <x:v>1</x:v>
      </x:c>
      <x:c r="S1114" s="2" t="n">
        <x:f>IF(R1114=1,SUM($R$10:R1114),0)</x:f>
        <x:v>741</x:v>
      </x:c>
      <x:c r="T1114" s="2" t="str">
        <x:v>Research &amp; Analysis</x:v>
      </x:c>
      <x:c r="U1114" s="2" t="n">
        <x:v>386</x:v>
      </x:c>
      <x:c r="V1114" s="2" t="n">
        <x:f>IF(AND(M1114=1,P1114=0,ISNUMBER(J1114),J1114&lt;TODAY()),1,0)</x:f>
        <x:v>0</x:v>
      </x:c>
      <x:c r="W1114" s="2" t="str">
        <x:f>'Research &amp; Analysis'!M386</x:f>
        <x:v>Task</x:v>
      </x:c>
    </x:row>
    <x:row r="1115" ht="40" customHeight="1">
      <x:c r="A1115" s="3" t="str">
        <x:f>HYPERLINK("#'Research &amp; Analysis'!A387","Open")</x:f>
        <x:v>Open</x:v>
      </x:c>
      <x:c r="B1115" s="2" t="str">
        <x:f>'Research &amp; Analysis'!B387</x:f>
        <x:v>Cycle 3</x:v>
      </x:c>
      <x:c r="C1115" s="2" t="str">
        <x:f>'Research &amp; Analysis'!C387</x:f>
        <x:v>Phase 2</x:v>
      </x:c>
      <x:c r="D1115" s="2" t="str">
        <x:f>'Research &amp; Analysis'!D387</x:f>
        <x:v>CSBBO - Banking Ops</x:v>
      </x:c>
      <x:c r="E1115" s="2" t="str">
        <x:v>Research &amp; Analysis</x:v>
      </x:c>
      <x:c r="F1115" s="56" t="str">
        <x:f>'Research &amp; Analysis'!E387</x:f>
        <x:v>RA.BO.2.1</x:v>
      </x:c>
      <x:c r="G1115" s="14" t="str">
        <x:f>'Research &amp; Analysis'!F387</x:f>
        <x:v>Review data sources</x:v>
      </x:c>
      <x:c r="H1115" s="2" t="str">
        <x:f>IF('Research &amp; Analysis'!G387="","",'Research &amp; Analysis'!G387)</x:f>
      </x:c>
      <x:c r="I1115" s="12" t="str">
        <x:f>IF('Research &amp; Analysis'!H387="","",'Research &amp; Analysis'!H387)</x:f>
      </x:c>
      <x:c r="J1115" s="12" t="n">
        <x:f>IF('Research &amp; Analysis'!I387="","",'Research &amp; Analysis'!I387)</x:f>
        <x:v>46295</x:v>
      </x:c>
      <x:c r="K1115" s="12" t="str">
        <x:f>IF('Research &amp; Analysis'!J387="","",'Research &amp; Analysis'!J387)</x:f>
      </x:c>
      <x:c r="L1115" s="2" t="str">
        <x:f>IF('Research &amp; Analysis'!K387="","",'Research &amp; Analysis'!K387)</x:f>
      </x:c>
      <x:c r="M1115" s="2" t="n">
        <x:f>'Research &amp; Analysis'!Q387</x:f>
        <x:v>1</x:v>
      </x:c>
      <x:c r="N1115" s="2" t="str">
        <x:f>'Research &amp; Analysis'!L387</x:f>
        <x:v>Not started</x:v>
      </x:c>
      <x:c r="O1115" s="2" t="str">
        <x:f>'Research &amp; Analysis'!N387</x:f>
        <x:v>RA.BO.2.1.2026.CY3</x:v>
      </x:c>
      <x:c r="P1115" s="2" t="n">
        <x:f>'Research &amp; Analysis'!O387</x:f>
        <x:v>0</x:v>
      </x:c>
      <x:c r="Q1115" s="2" t="n">
        <x:f>SUBTOTAL(103,O1115)</x:f>
        <x:v>1</x:v>
      </x:c>
      <x:c r="R1115" s="2" t="n">
        <x:f>IF(AND(M1115=1,OR(Dashboard!$B$7="All",Dashboard!$B$7='Cycles &amp; Guide'!$C$5),OR(Dashboard!$D$7="All",Dashboard!$D$7=B1115),OR(Dashboard!$F$7="All",Dashboard!$F$7=C1115),OR(Dashboard!$H$7="All",Dashboard!$H$7=D1115),OR(Dashboard!$K$7="All",Dashboard!$K$7=E1115)),1,0)</x:f>
        <x:v>1</x:v>
      </x:c>
      <x:c r="S1115" s="2" t="n">
        <x:f>IF(R1115=1,SUM($R$10:R1115),0)</x:f>
        <x:v>742</x:v>
      </x:c>
      <x:c r="T1115" s="2" t="str">
        <x:v>Research &amp; Analysis</x:v>
      </x:c>
      <x:c r="U1115" s="2" t="n">
        <x:v>387</x:v>
      </x:c>
      <x:c r="V1115" s="2" t="n">
        <x:f>IF(AND(M1115=1,P1115=0,ISNUMBER(J1115),J1115&lt;TODAY()),1,0)</x:f>
        <x:v>0</x:v>
      </x:c>
      <x:c r="W1115" s="2" t="str">
        <x:f>'Research &amp; Analysis'!M387</x:f>
        <x:v>Task</x:v>
      </x:c>
    </x:row>
    <x:row r="1116" ht="40" customHeight="1">
      <x:c r="A1116" s="3" t="str">
        <x:f>HYPERLINK("#'Research &amp; Analysis'!A388","Open")</x:f>
        <x:v>Open</x:v>
      </x:c>
      <x:c r="B1116" s="2" t="str">
        <x:f>'Research &amp; Analysis'!B388</x:f>
        <x:v>Cycle 3</x:v>
      </x:c>
      <x:c r="C1116" s="2" t="str">
        <x:f>'Research &amp; Analysis'!C388</x:f>
        <x:v>Phase 2</x:v>
      </x:c>
      <x:c r="D1116" s="2" t="str">
        <x:f>'Research &amp; Analysis'!D388</x:f>
        <x:v>CSBBO - Banking Ops</x:v>
      </x:c>
      <x:c r="E1116" s="2" t="str">
        <x:v>Research &amp; Analysis</x:v>
      </x:c>
      <x:c r="F1116" s="56" t="str">
        <x:f>'Research &amp; Analysis'!E388</x:f>
        <x:v>RA.BO.2.2</x:v>
      </x:c>
      <x:c r="G1116" s="14" t="str">
        <x:f>'Research &amp; Analysis'!F388</x:f>
        <x:v>Review relevant policies and procedures</x:v>
      </x:c>
      <x:c r="H1116" s="2" t="str">
        <x:f>IF('Research &amp; Analysis'!G388="","",'Research &amp; Analysis'!G388)</x:f>
      </x:c>
      <x:c r="I1116" s="12" t="str">
        <x:f>IF('Research &amp; Analysis'!H388="","",'Research &amp; Analysis'!H388)</x:f>
      </x:c>
      <x:c r="J1116" s="12" t="n">
        <x:f>IF('Research &amp; Analysis'!I388="","",'Research &amp; Analysis'!I388)</x:f>
        <x:v>46295</x:v>
      </x:c>
      <x:c r="K1116" s="12" t="str">
        <x:f>IF('Research &amp; Analysis'!J388="","",'Research &amp; Analysis'!J388)</x:f>
      </x:c>
      <x:c r="L1116" s="2" t="str">
        <x:f>IF('Research &amp; Analysis'!K388="","",'Research &amp; Analysis'!K388)</x:f>
      </x:c>
      <x:c r="M1116" s="2" t="n">
        <x:f>'Research &amp; Analysis'!Q388</x:f>
        <x:v>1</x:v>
      </x:c>
      <x:c r="N1116" s="2" t="str">
        <x:f>'Research &amp; Analysis'!L388</x:f>
        <x:v>Not started</x:v>
      </x:c>
      <x:c r="O1116" s="2" t="str">
        <x:f>'Research &amp; Analysis'!N388</x:f>
        <x:v>RA.BO.2.2.2026.CY3</x:v>
      </x:c>
      <x:c r="P1116" s="2" t="n">
        <x:f>'Research &amp; Analysis'!O388</x:f>
        <x:v>0</x:v>
      </x:c>
      <x:c r="Q1116" s="2" t="n">
        <x:f>SUBTOTAL(103,O1116)</x:f>
        <x:v>1</x:v>
      </x:c>
      <x:c r="R1116" s="2" t="n">
        <x:f>IF(AND(M1116=1,OR(Dashboard!$B$7="All",Dashboard!$B$7='Cycles &amp; Guide'!$C$5),OR(Dashboard!$D$7="All",Dashboard!$D$7=B1116),OR(Dashboard!$F$7="All",Dashboard!$F$7=C1116),OR(Dashboard!$H$7="All",Dashboard!$H$7=D1116),OR(Dashboard!$K$7="All",Dashboard!$K$7=E1116)),1,0)</x:f>
        <x:v>1</x:v>
      </x:c>
      <x:c r="S1116" s="2" t="n">
        <x:f>IF(R1116=1,SUM($R$10:R1116),0)</x:f>
        <x:v>743</x:v>
      </x:c>
      <x:c r="T1116" s="2" t="str">
        <x:v>Research &amp; Analysis</x:v>
      </x:c>
      <x:c r="U1116" s="2" t="n">
        <x:v>388</x:v>
      </x:c>
      <x:c r="V1116" s="2" t="n">
        <x:f>IF(AND(M1116=1,P1116=0,ISNUMBER(J1116),J1116&lt;TODAY()),1,0)</x:f>
        <x:v>0</x:v>
      </x:c>
      <x:c r="W1116" s="2" t="str">
        <x:f>'Research &amp; Analysis'!M388</x:f>
        <x:v>Task</x:v>
      </x:c>
    </x:row>
    <x:row r="1117" ht="40" customHeight="1">
      <x:c r="A1117" s="3" t="str">
        <x:f>HYPERLINK("#'Research &amp; Analysis'!A389","Open")</x:f>
        <x:v>Open</x:v>
      </x:c>
      <x:c r="B1117" s="2" t="str">
        <x:f>'Research &amp; Analysis'!B389</x:f>
        <x:v>Cycle 3</x:v>
      </x:c>
      <x:c r="C1117" s="2" t="str">
        <x:f>'Research &amp; Analysis'!C389</x:f>
        <x:v>Phase 2</x:v>
      </x:c>
      <x:c r="D1117" s="2" t="str">
        <x:f>'Research &amp; Analysis'!D389</x:f>
        <x:v>CSBBO - Banking Ops</x:v>
      </x:c>
      <x:c r="E1117" s="2" t="str">
        <x:v>Research &amp; Analysis</x:v>
      </x:c>
      <x:c r="F1117" s="56" t="str">
        <x:f>'Research &amp; Analysis'!E389</x:f>
        <x:v>RA.BO.2.3</x:v>
      </x:c>
      <x:c r="G1117" s="14" t="str">
        <x:f>'Research &amp; Analysis'!F389</x:f>
        <x:v>Meet with SMEs to gain business insight and clarify questions</x:v>
      </x:c>
      <x:c r="H1117" s="2" t="str">
        <x:f>IF('Research &amp; Analysis'!G389="","",'Research &amp; Analysis'!G389)</x:f>
      </x:c>
      <x:c r="I1117" s="12" t="str">
        <x:f>IF('Research &amp; Analysis'!H389="","",'Research &amp; Analysis'!H389)</x:f>
      </x:c>
      <x:c r="J1117" s="12" t="n">
        <x:f>IF('Research &amp; Analysis'!I389="","",'Research &amp; Analysis'!I389)</x:f>
        <x:v>46295</x:v>
      </x:c>
      <x:c r="K1117" s="12" t="str">
        <x:f>IF('Research &amp; Analysis'!J389="","",'Research &amp; Analysis'!J389)</x:f>
      </x:c>
      <x:c r="L1117" s="2" t="str">
        <x:f>IF('Research &amp; Analysis'!K389="","",'Research &amp; Analysis'!K389)</x:f>
      </x:c>
      <x:c r="M1117" s="2" t="n">
        <x:f>'Research &amp; Analysis'!Q389</x:f>
        <x:v>1</x:v>
      </x:c>
      <x:c r="N1117" s="2" t="str">
        <x:f>'Research &amp; Analysis'!L389</x:f>
        <x:v>Not started</x:v>
      </x:c>
      <x:c r="O1117" s="2" t="str">
        <x:f>'Research &amp; Analysis'!N389</x:f>
        <x:v>RA.BO.2.3.2026.CY3</x:v>
      </x:c>
      <x:c r="P1117" s="2" t="n">
        <x:f>'Research &amp; Analysis'!O389</x:f>
        <x:v>0</x:v>
      </x:c>
      <x:c r="Q1117" s="2" t="n">
        <x:f>SUBTOTAL(103,O1117)</x:f>
        <x:v>1</x:v>
      </x:c>
      <x:c r="R1117" s="2" t="n">
        <x:f>IF(AND(M1117=1,OR(Dashboard!$B$7="All",Dashboard!$B$7='Cycles &amp; Guide'!$C$5),OR(Dashboard!$D$7="All",Dashboard!$D$7=B1117),OR(Dashboard!$F$7="All",Dashboard!$F$7=C1117),OR(Dashboard!$H$7="All",Dashboard!$H$7=D1117),OR(Dashboard!$K$7="All",Dashboard!$K$7=E1117)),1,0)</x:f>
        <x:v>1</x:v>
      </x:c>
      <x:c r="S1117" s="2" t="n">
        <x:f>IF(R1117=1,SUM($R$10:R1117),0)</x:f>
        <x:v>744</x:v>
      </x:c>
      <x:c r="T1117" s="2" t="str">
        <x:v>Research &amp; Analysis</x:v>
      </x:c>
      <x:c r="U1117" s="2" t="n">
        <x:v>389</x:v>
      </x:c>
      <x:c r="V1117" s="2" t="n">
        <x:f>IF(AND(M1117=1,P1117=0,ISNUMBER(J1117),J1117&lt;TODAY()),1,0)</x:f>
        <x:v>0</x:v>
      </x:c>
      <x:c r="W1117" s="2" t="str">
        <x:f>'Research &amp; Analysis'!M389</x:f>
        <x:v>Task</x:v>
      </x:c>
    </x:row>
    <x:row r="1118" ht="40" customHeight="1">
      <x:c r="A1118" s="3" t="str">
        <x:f>HYPERLINK("#'Research &amp; Analysis'!A390","Open")</x:f>
        <x:v>Open</x:v>
      </x:c>
      <x:c r="B1118" s="2" t="str">
        <x:f>'Research &amp; Analysis'!B390</x:f>
        <x:v>Cycle 3</x:v>
      </x:c>
      <x:c r="C1118" s="2" t="str">
        <x:f>'Research &amp; Analysis'!C390</x:f>
        <x:v>Phase 2</x:v>
      </x:c>
      <x:c r="D1118" s="2" t="str">
        <x:f>'Research &amp; Analysis'!D390</x:f>
        <x:v>CSBBO - Banking Ops</x:v>
      </x:c>
      <x:c r="E1118" s="2" t="str">
        <x:v>Research &amp; Analysis</x:v>
      </x:c>
      <x:c r="F1118" s="56" t="str">
        <x:f>'Research &amp; Analysis'!E390</x:f>
        <x:v>RA.BO.2.4</x:v>
      </x:c>
      <x:c r="G1118" s="14" t="str">
        <x:f>'Research &amp; Analysis'!F390</x:f>
        <x:v>Establish and maintain a recurring meeting with D&amp;I to discuss Cycle progress</x:v>
      </x:c>
      <x:c r="H1118" s="2" t="str">
        <x:f>IF('Research &amp; Analysis'!G390="","",'Research &amp; Analysis'!G390)</x:f>
      </x:c>
      <x:c r="I1118" s="12" t="str">
        <x:f>IF('Research &amp; Analysis'!H390="","",'Research &amp; Analysis'!H390)</x:f>
      </x:c>
      <x:c r="J1118" s="12" t="n">
        <x:f>IF('Research &amp; Analysis'!I390="","",'Research &amp; Analysis'!I390)</x:f>
        <x:v>46295</x:v>
      </x:c>
      <x:c r="K1118" s="12" t="str">
        <x:f>IF('Research &amp; Analysis'!J390="","",'Research &amp; Analysis'!J390)</x:f>
      </x:c>
      <x:c r="L1118" s="2" t="str">
        <x:f>IF('Research &amp; Analysis'!K390="","",'Research &amp; Analysis'!K390)</x:f>
      </x:c>
      <x:c r="M1118" s="2" t="n">
        <x:f>'Research &amp; Analysis'!Q390</x:f>
        <x:v>1</x:v>
      </x:c>
      <x:c r="N1118" s="2" t="str">
        <x:f>'Research &amp; Analysis'!L390</x:f>
        <x:v>Not started</x:v>
      </x:c>
      <x:c r="O1118" s="2" t="str">
        <x:f>'Research &amp; Analysis'!N390</x:f>
        <x:v>RA.BO.2.4.2026.CY3</x:v>
      </x:c>
      <x:c r="P1118" s="2" t="n">
        <x:f>'Research &amp; Analysis'!O390</x:f>
        <x:v>0</x:v>
      </x:c>
      <x:c r="Q1118" s="2" t="n">
        <x:f>SUBTOTAL(103,O1118)</x:f>
        <x:v>1</x:v>
      </x:c>
      <x:c r="R1118" s="2" t="n">
        <x:f>IF(AND(M1118=1,OR(Dashboard!$B$7="All",Dashboard!$B$7='Cycles &amp; Guide'!$C$5),OR(Dashboard!$D$7="All",Dashboard!$D$7=B1118),OR(Dashboard!$F$7="All",Dashboard!$F$7=C1118),OR(Dashboard!$H$7="All",Dashboard!$H$7=D1118),OR(Dashboard!$K$7="All",Dashboard!$K$7=E1118)),1,0)</x:f>
        <x:v>1</x:v>
      </x:c>
      <x:c r="S1118" s="2" t="n">
        <x:f>IF(R1118=1,SUM($R$10:R1118),0)</x:f>
        <x:v>745</x:v>
      </x:c>
      <x:c r="T1118" s="2" t="str">
        <x:v>Research &amp; Analysis</x:v>
      </x:c>
      <x:c r="U1118" s="2" t="n">
        <x:v>390</x:v>
      </x:c>
      <x:c r="V1118" s="2" t="n">
        <x:f>IF(AND(M1118=1,P1118=0,ISNUMBER(J1118),J1118&lt;TODAY()),1,0)</x:f>
        <x:v>0</x:v>
      </x:c>
      <x:c r="W1118" s="2" t="str">
        <x:f>'Research &amp; Analysis'!M390</x:f>
        <x:v>Task</x:v>
      </x:c>
    </x:row>
    <x:row r="1119" ht="40" customHeight="1">
      <x:c r="A1119" s="3" t="str">
        <x:f>HYPERLINK("#'Research &amp; Analysis'!A391","Open")</x:f>
        <x:v>Open</x:v>
      </x:c>
      <x:c r="B1119" s="2" t="str">
        <x:f>'Research &amp; Analysis'!B391</x:f>
        <x:v>Cycle 3</x:v>
      </x:c>
      <x:c r="C1119" s="2" t="str">
        <x:f>'Research &amp; Analysis'!C391</x:f>
        <x:v>Phase 2</x:v>
      </x:c>
      <x:c r="D1119" s="2" t="str">
        <x:f>'Research &amp; Analysis'!D391</x:f>
        <x:v>CSBBO - Banking Ops</x:v>
      </x:c>
      <x:c r="E1119" s="2" t="str">
        <x:v>Research &amp; Analysis</x:v>
      </x:c>
      <x:c r="F1119" s="56" t="str">
        <x:f>'Research &amp; Analysis'!E391</x:f>
        <x:v>RA.BO.2.5</x:v>
      </x:c>
      <x:c r="G1119" s="14" t="str">
        <x:f>'Research &amp; Analysis'!F391</x:f>
        <x:v>Perform data testing and sampling</x:v>
      </x:c>
      <x:c r="H1119" s="2" t="str">
        <x:f>IF('Research &amp; Analysis'!G391="","",'Research &amp; Analysis'!G391)</x:f>
      </x:c>
      <x:c r="I1119" s="12" t="str">
        <x:f>IF('Research &amp; Analysis'!H391="","",'Research &amp; Analysis'!H391)</x:f>
      </x:c>
      <x:c r="J1119" s="12" t="n">
        <x:f>IF('Research &amp; Analysis'!I391="","",'Research &amp; Analysis'!I391)</x:f>
        <x:v>46295</x:v>
      </x:c>
      <x:c r="K1119" s="12" t="str">
        <x:f>IF('Research &amp; Analysis'!J391="","",'Research &amp; Analysis'!J391)</x:f>
      </x:c>
      <x:c r="L1119" s="2" t="str">
        <x:f>IF('Research &amp; Analysis'!K391="","",'Research &amp; Analysis'!K391)</x:f>
      </x:c>
      <x:c r="M1119" s="2" t="n">
        <x:f>'Research &amp; Analysis'!Q391</x:f>
        <x:v>1</x:v>
      </x:c>
      <x:c r="N1119" s="2" t="str">
        <x:f>'Research &amp; Analysis'!L391</x:f>
        <x:v>Not started</x:v>
      </x:c>
      <x:c r="O1119" s="2" t="str">
        <x:f>'Research &amp; Analysis'!N391</x:f>
        <x:v>RA.BO.2.5.2026.CY3</x:v>
      </x:c>
      <x:c r="P1119" s="2" t="n">
        <x:f>'Research &amp; Analysis'!O391</x:f>
        <x:v>0</x:v>
      </x:c>
      <x:c r="Q1119" s="2" t="n">
        <x:f>SUBTOTAL(103,O1119)</x:f>
        <x:v>1</x:v>
      </x:c>
      <x:c r="R1119" s="2" t="n">
        <x:f>IF(AND(M1119=1,OR(Dashboard!$B$7="All",Dashboard!$B$7='Cycles &amp; Guide'!$C$5),OR(Dashboard!$D$7="All",Dashboard!$D$7=B1119),OR(Dashboard!$F$7="All",Dashboard!$F$7=C1119),OR(Dashboard!$H$7="All",Dashboard!$H$7=D1119),OR(Dashboard!$K$7="All",Dashboard!$K$7=E1119)),1,0)</x:f>
        <x:v>1</x:v>
      </x:c>
      <x:c r="S1119" s="2" t="n">
        <x:f>IF(R1119=1,SUM($R$10:R1119),0)</x:f>
        <x:v>746</x:v>
      </x:c>
      <x:c r="T1119" s="2" t="str">
        <x:v>Research &amp; Analysis</x:v>
      </x:c>
      <x:c r="U1119" s="2" t="n">
        <x:v>391</x:v>
      </x:c>
      <x:c r="V1119" s="2" t="n">
        <x:f>IF(AND(M1119=1,P1119=0,ISNUMBER(J1119),J1119&lt;TODAY()),1,0)</x:f>
        <x:v>0</x:v>
      </x:c>
      <x:c r="W1119" s="2" t="str">
        <x:f>'Research &amp; Analysis'!M391</x:f>
        <x:v>Task</x:v>
      </x:c>
    </x:row>
    <x:row r="1120" ht="40" customHeight="1">
      <x:c r="A1120" s="3" t="str">
        <x:f>HYPERLINK("#'Research &amp; Analysis'!A392","Open")</x:f>
        <x:v>Open</x:v>
      </x:c>
      <x:c r="B1120" s="2" t="str">
        <x:f>'Research &amp; Analysis'!B392</x:f>
        <x:v>Cycle 3</x:v>
      </x:c>
      <x:c r="C1120" s="2" t="str">
        <x:f>'Research &amp; Analysis'!C392</x:f>
        <x:v>Phase 2</x:v>
      </x:c>
      <x:c r="D1120" s="2" t="str">
        <x:f>'Research &amp; Analysis'!D392</x:f>
        <x:v>CSBBO - Banking Ops</x:v>
      </x:c>
      <x:c r="E1120" s="2" t="str">
        <x:v>Research &amp; Analysis</x:v>
      </x:c>
      <x:c r="F1120" s="56" t="str">
        <x:f>'Research &amp; Analysis'!E392</x:f>
        <x:v>RA.BO.2.6</x:v>
      </x:c>
      <x:c r="G1120" s="14" t="str">
        <x:f>'Research &amp; Analysis'!F392</x:f>
        <x:v>Complete Positive Testing</x:v>
      </x:c>
      <x:c r="H1120" s="2" t="str">
        <x:f>IF('Research &amp; Analysis'!G392="","",'Research &amp; Analysis'!G392)</x:f>
      </x:c>
      <x:c r="I1120" s="12" t="str">
        <x:f>IF('Research &amp; Analysis'!H392="","",'Research &amp; Analysis'!H392)</x:f>
      </x:c>
      <x:c r="J1120" s="12" t="n">
        <x:f>IF('Research &amp; Analysis'!I392="","",'Research &amp; Analysis'!I392)</x:f>
        <x:v>46295</x:v>
      </x:c>
      <x:c r="K1120" s="12" t="str">
        <x:f>IF('Research &amp; Analysis'!J392="","",'Research &amp; Analysis'!J392)</x:f>
      </x:c>
      <x:c r="L1120" s="2" t="str">
        <x:f>IF('Research &amp; Analysis'!K392="","",'Research &amp; Analysis'!K392)</x:f>
      </x:c>
      <x:c r="M1120" s="2" t="n">
        <x:f>'Research &amp; Analysis'!Q392</x:f>
        <x:v>1</x:v>
      </x:c>
      <x:c r="N1120" s="2" t="str">
        <x:f>'Research &amp; Analysis'!L392</x:f>
        <x:v>Not started</x:v>
      </x:c>
      <x:c r="O1120" s="2" t="str">
        <x:f>'Research &amp; Analysis'!N392</x:f>
        <x:v>RA.BO.2.6.2026.CY3</x:v>
      </x:c>
      <x:c r="P1120" s="2" t="n">
        <x:f>'Research &amp; Analysis'!O392</x:f>
        <x:v>0</x:v>
      </x:c>
      <x:c r="Q1120" s="2" t="n">
        <x:f>SUBTOTAL(103,O1120)</x:f>
        <x:v>1</x:v>
      </x:c>
      <x:c r="R1120" s="2" t="n">
        <x:f>IF(AND(M1120=1,OR(Dashboard!$B$7="All",Dashboard!$B$7='Cycles &amp; Guide'!$C$5),OR(Dashboard!$D$7="All",Dashboard!$D$7=B1120),OR(Dashboard!$F$7="All",Dashboard!$F$7=C1120),OR(Dashboard!$H$7="All",Dashboard!$H$7=D1120),OR(Dashboard!$K$7="All",Dashboard!$K$7=E1120)),1,0)</x:f>
        <x:v>1</x:v>
      </x:c>
      <x:c r="S1120" s="2" t="n">
        <x:f>IF(R1120=1,SUM($R$10:R1120),0)</x:f>
        <x:v>747</x:v>
      </x:c>
      <x:c r="T1120" s="2" t="str">
        <x:v>Research &amp; Analysis</x:v>
      </x:c>
      <x:c r="U1120" s="2" t="n">
        <x:v>392</x:v>
      </x:c>
      <x:c r="V1120" s="2" t="n">
        <x:f>IF(AND(M1120=1,P1120=0,ISNUMBER(J1120),J1120&lt;TODAY()),1,0)</x:f>
        <x:v>0</x:v>
      </x:c>
      <x:c r="W1120" s="2" t="str">
        <x:f>'Research &amp; Analysis'!M392</x:f>
        <x:v>Task</x:v>
      </x:c>
    </x:row>
    <x:row r="1121" ht="40" customHeight="1">
      <x:c r="A1121" s="3" t="str">
        <x:f>HYPERLINK("#'Research &amp; Analysis'!A393","Open")</x:f>
        <x:v>Open</x:v>
      </x:c>
      <x:c r="B1121" s="2" t="str">
        <x:f>'Research &amp; Analysis'!B393</x:f>
        <x:v>Cycle 3</x:v>
      </x:c>
      <x:c r="C1121" s="2" t="str">
        <x:f>'Research &amp; Analysis'!C393</x:f>
        <x:v>Phase 2</x:v>
      </x:c>
      <x:c r="D1121" s="2" t="str">
        <x:f>'Research &amp; Analysis'!D393</x:f>
        <x:v>CSBBO - Banking Ops</x:v>
      </x:c>
      <x:c r="E1121" s="2" t="str">
        <x:v>Research &amp; Analysis</x:v>
      </x:c>
      <x:c r="F1121" s="56" t="str">
        <x:f>'Research &amp; Analysis'!E393</x:f>
        <x:v>RA.BO.2.7</x:v>
      </x:c>
      <x:c r="G1121" s="14" t="str">
        <x:f>'Research &amp; Analysis'!F393</x:f>
        <x:v>Complete Negative Testing</x:v>
      </x:c>
      <x:c r="H1121" s="2" t="str">
        <x:f>IF('Research &amp; Analysis'!G393="","",'Research &amp; Analysis'!G393)</x:f>
      </x:c>
      <x:c r="I1121" s="12" t="str">
        <x:f>IF('Research &amp; Analysis'!H393="","",'Research &amp; Analysis'!H393)</x:f>
      </x:c>
      <x:c r="J1121" s="12" t="n">
        <x:f>IF('Research &amp; Analysis'!I393="","",'Research &amp; Analysis'!I393)</x:f>
        <x:v>46295</x:v>
      </x:c>
      <x:c r="K1121" s="12" t="str">
        <x:f>IF('Research &amp; Analysis'!J393="","",'Research &amp; Analysis'!J393)</x:f>
      </x:c>
      <x:c r="L1121" s="2" t="str">
        <x:f>IF('Research &amp; Analysis'!K393="","",'Research &amp; Analysis'!K393)</x:f>
      </x:c>
      <x:c r="M1121" s="2" t="n">
        <x:f>'Research &amp; Analysis'!Q393</x:f>
        <x:v>1</x:v>
      </x:c>
      <x:c r="N1121" s="2" t="str">
        <x:f>'Research &amp; Analysis'!L393</x:f>
        <x:v>Not started</x:v>
      </x:c>
      <x:c r="O1121" s="2" t="str">
        <x:f>'Research &amp; Analysis'!N393</x:f>
        <x:v>RA.BO.2.7.2026.CY3</x:v>
      </x:c>
      <x:c r="P1121" s="2" t="n">
        <x:f>'Research &amp; Analysis'!O393</x:f>
        <x:v>0</x:v>
      </x:c>
      <x:c r="Q1121" s="2" t="n">
        <x:f>SUBTOTAL(103,O1121)</x:f>
        <x:v>1</x:v>
      </x:c>
      <x:c r="R1121" s="2" t="n">
        <x:f>IF(AND(M1121=1,OR(Dashboard!$B$7="All",Dashboard!$B$7='Cycles &amp; Guide'!$C$5),OR(Dashboard!$D$7="All",Dashboard!$D$7=B1121),OR(Dashboard!$F$7="All",Dashboard!$F$7=C1121),OR(Dashboard!$H$7="All",Dashboard!$H$7=D1121),OR(Dashboard!$K$7="All",Dashboard!$K$7=E1121)),1,0)</x:f>
        <x:v>1</x:v>
      </x:c>
      <x:c r="S1121" s="2" t="n">
        <x:f>IF(R1121=1,SUM($R$10:R1121),0)</x:f>
        <x:v>748</x:v>
      </x:c>
      <x:c r="T1121" s="2" t="str">
        <x:v>Research &amp; Analysis</x:v>
      </x:c>
      <x:c r="U1121" s="2" t="n">
        <x:v>393</x:v>
      </x:c>
      <x:c r="V1121" s="2" t="n">
        <x:f>IF(AND(M1121=1,P1121=0,ISNUMBER(J1121),J1121&lt;TODAY()),1,0)</x:f>
        <x:v>0</x:v>
      </x:c>
      <x:c r="W1121" s="2" t="str">
        <x:f>'Research &amp; Analysis'!M393</x:f>
        <x:v>Task</x:v>
      </x:c>
    </x:row>
    <x:row r="1122" ht="40" customHeight="1">
      <x:c r="A1122" s="3" t="str">
        <x:f>HYPERLINK("#'Research &amp; Analysis'!A394","Open")</x:f>
        <x:v>Open</x:v>
      </x:c>
      <x:c r="B1122" s="2" t="str">
        <x:f>'Research &amp; Analysis'!B394</x:f>
        <x:v>Cycle 3</x:v>
      </x:c>
      <x:c r="C1122" s="2" t="str">
        <x:f>'Research &amp; Analysis'!C394</x:f>
        <x:v>Phase 2</x:v>
      </x:c>
      <x:c r="D1122" s="2" t="str">
        <x:f>'Research &amp; Analysis'!D394</x:f>
        <x:v>CSBBO - Banking Ops</x:v>
      </x:c>
      <x:c r="E1122" s="2" t="str">
        <x:v>Research &amp; Analysis</x:v>
      </x:c>
      <x:c r="F1122" s="56" t="str">
        <x:f>'Research &amp; Analysis'!E394</x:f>
        <x:v>RA.BO.2.8</x:v>
      </x:c>
      <x:c r="G1122" s="14" t="str">
        <x:f>'Research &amp; Analysis'!F394</x:f>
        <x:v>Request additional data (as needed)</x:v>
      </x:c>
      <x:c r="H1122" s="2" t="str">
        <x:f>IF('Research &amp; Analysis'!G394="","",'Research &amp; Analysis'!G394)</x:f>
      </x:c>
      <x:c r="I1122" s="12" t="str">
        <x:f>IF('Research &amp; Analysis'!H394="","",'Research &amp; Analysis'!H394)</x:f>
      </x:c>
      <x:c r="J1122" s="12" t="n">
        <x:f>IF('Research &amp; Analysis'!I394="","",'Research &amp; Analysis'!I394)</x:f>
        <x:v>46295</x:v>
      </x:c>
      <x:c r="K1122" s="12" t="str">
        <x:f>IF('Research &amp; Analysis'!J394="","",'Research &amp; Analysis'!J394)</x:f>
      </x:c>
      <x:c r="L1122" s="2" t="str">
        <x:f>IF('Research &amp; Analysis'!K394="","",'Research &amp; Analysis'!K394)</x:f>
      </x:c>
      <x:c r="M1122" s="2" t="n">
        <x:f>'Research &amp; Analysis'!Q394</x:f>
        <x:v>1</x:v>
      </x:c>
      <x:c r="N1122" s="2" t="str">
        <x:f>'Research &amp; Analysis'!L394</x:f>
        <x:v>Not started</x:v>
      </x:c>
      <x:c r="O1122" s="2" t="str">
        <x:f>'Research &amp; Analysis'!N394</x:f>
        <x:v>RA.BO.2.8.2026.CY3</x:v>
      </x:c>
      <x:c r="P1122" s="2" t="n">
        <x:f>'Research &amp; Analysis'!O394</x:f>
        <x:v>0</x:v>
      </x:c>
      <x:c r="Q1122" s="2" t="n">
        <x:f>SUBTOTAL(103,O1122)</x:f>
        <x:v>1</x:v>
      </x:c>
      <x:c r="R1122" s="2" t="n">
        <x:f>IF(AND(M1122=1,OR(Dashboard!$B$7="All",Dashboard!$B$7='Cycles &amp; Guide'!$C$5),OR(Dashboard!$D$7="All",Dashboard!$D$7=B1122),OR(Dashboard!$F$7="All",Dashboard!$F$7=C1122),OR(Dashboard!$H$7="All",Dashboard!$H$7=D1122),OR(Dashboard!$K$7="All",Dashboard!$K$7=E1122)),1,0)</x:f>
        <x:v>1</x:v>
      </x:c>
      <x:c r="S1122" s="2" t="n">
        <x:f>IF(R1122=1,SUM($R$10:R1122),0)</x:f>
        <x:v>749</x:v>
      </x:c>
      <x:c r="T1122" s="2" t="str">
        <x:v>Research &amp; Analysis</x:v>
      </x:c>
      <x:c r="U1122" s="2" t="n">
        <x:v>394</x:v>
      </x:c>
      <x:c r="V1122" s="2" t="n">
        <x:f>IF(AND(M1122=1,P1122=0,ISNUMBER(J1122),J1122&lt;TODAY()),1,0)</x:f>
        <x:v>0</x:v>
      </x:c>
      <x:c r="W1122" s="2" t="str">
        <x:f>'Research &amp; Analysis'!M394</x:f>
        <x:v>Task</x:v>
      </x:c>
    </x:row>
    <x:row r="1123" ht="40" customHeight="1">
      <x:c r="A1123" s="3" t="str">
        <x:f>HYPERLINK("#'Research &amp; Analysis'!A395","Open")</x:f>
        <x:v>Open</x:v>
      </x:c>
      <x:c r="B1123" s="2" t="str">
        <x:f>'Research &amp; Analysis'!B395</x:f>
        <x:v>Cycle 3</x:v>
      </x:c>
      <x:c r="C1123" s="2" t="str">
        <x:f>'Research &amp; Analysis'!C395</x:f>
        <x:v>Phase 2</x:v>
      </x:c>
      <x:c r="D1123" s="2" t="str">
        <x:f>'Research &amp; Analysis'!D395</x:f>
        <x:v>CSBBO - Banking Ops</x:v>
      </x:c>
      <x:c r="E1123" s="2" t="str">
        <x:v>Research &amp; Analysis</x:v>
      </x:c>
      <x:c r="F1123" s="56" t="str">
        <x:f>'Research &amp; Analysis'!E395</x:f>
        <x:v>RA.BO.2.9</x:v>
      </x:c>
      <x:c r="G1123" s="14" t="str">
        <x:f>'Research &amp; Analysis'!F395</x:f>
        <x:v>Validate or disprove initial hypothesis assumptions</x:v>
      </x:c>
      <x:c r="H1123" s="2" t="str">
        <x:f>IF('Research &amp; Analysis'!G395="","",'Research &amp; Analysis'!G395)</x:f>
      </x:c>
      <x:c r="I1123" s="12" t="str">
        <x:f>IF('Research &amp; Analysis'!H395="","",'Research &amp; Analysis'!H395)</x:f>
      </x:c>
      <x:c r="J1123" s="12" t="n">
        <x:f>IF('Research &amp; Analysis'!I395="","",'Research &amp; Analysis'!I395)</x:f>
        <x:v>46295</x:v>
      </x:c>
      <x:c r="K1123" s="12" t="str">
        <x:f>IF('Research &amp; Analysis'!J395="","",'Research &amp; Analysis'!J395)</x:f>
      </x:c>
      <x:c r="L1123" s="2" t="str">
        <x:f>IF('Research &amp; Analysis'!K395="","",'Research &amp; Analysis'!K395)</x:f>
      </x:c>
      <x:c r="M1123" s="2" t="n">
        <x:f>'Research &amp; Analysis'!Q395</x:f>
        <x:v>1</x:v>
      </x:c>
      <x:c r="N1123" s="2" t="str">
        <x:f>'Research &amp; Analysis'!L395</x:f>
        <x:v>Not started</x:v>
      </x:c>
      <x:c r="O1123" s="2" t="str">
        <x:f>'Research &amp; Analysis'!N395</x:f>
        <x:v>RA.BO.2.9.2026.CY3</x:v>
      </x:c>
      <x:c r="P1123" s="2" t="n">
        <x:f>'Research &amp; Analysis'!O395</x:f>
        <x:v>0</x:v>
      </x:c>
      <x:c r="Q1123" s="2" t="n">
        <x:f>SUBTOTAL(103,O1123)</x:f>
        <x:v>1</x:v>
      </x:c>
      <x:c r="R1123" s="2" t="n">
        <x:f>IF(AND(M1123=1,OR(Dashboard!$B$7="All",Dashboard!$B$7='Cycles &amp; Guide'!$C$5),OR(Dashboard!$D$7="All",Dashboard!$D$7=B1123),OR(Dashboard!$F$7="All",Dashboard!$F$7=C1123),OR(Dashboard!$H$7="All",Dashboard!$H$7=D1123),OR(Dashboard!$K$7="All",Dashboard!$K$7=E1123)),1,0)</x:f>
        <x:v>1</x:v>
      </x:c>
      <x:c r="S1123" s="2" t="n">
        <x:f>IF(R1123=1,SUM($R$10:R1123),0)</x:f>
        <x:v>750</x:v>
      </x:c>
      <x:c r="T1123" s="2" t="str">
        <x:v>Research &amp; Analysis</x:v>
      </x:c>
      <x:c r="U1123" s="2" t="n">
        <x:v>395</x:v>
      </x:c>
      <x:c r="V1123" s="2" t="n">
        <x:f>IF(AND(M1123=1,P1123=0,ISNUMBER(J1123),J1123&lt;TODAY()),1,0)</x:f>
        <x:v>0</x:v>
      </x:c>
      <x:c r="W1123" s="2" t="str">
        <x:f>'Research &amp; Analysis'!M395</x:f>
        <x:v>Task</x:v>
      </x:c>
    </x:row>
    <x:row r="1124" ht="40" customHeight="1">
      <x:c r="A1124" s="3" t="str">
        <x:f>HYPERLINK("#'Research &amp; Analysis'!A396","Open")</x:f>
        <x:v>Open</x:v>
      </x:c>
      <x:c r="B1124" s="2" t="str">
        <x:f>'Research &amp; Analysis'!B396</x:f>
        <x:v>Cycle 3</x:v>
      </x:c>
      <x:c r="C1124" s="2" t="str">
        <x:f>'Research &amp; Analysis'!C396</x:f>
        <x:v>Phase 2</x:v>
      </x:c>
      <x:c r="D1124" s="2" t="str">
        <x:f>'Research &amp; Analysis'!D396</x:f>
        <x:v>CSBBO - Banking Ops</x:v>
      </x:c>
      <x:c r="E1124" s="2" t="str">
        <x:v>Research &amp; Analysis</x:v>
      </x:c>
      <x:c r="F1124" s="56" t="str">
        <x:f>'Research &amp; Analysis'!E396</x:f>
        <x:v>RA.BO.2.10</x:v>
      </x:c>
      <x:c r="G1124" s="14" t="str">
        <x:f>'Research &amp; Analysis'!F396</x:f>
        <x:v>Identify and confirm root cause</x:v>
      </x:c>
      <x:c r="H1124" s="2" t="str">
        <x:f>IF('Research &amp; Analysis'!G396="","",'Research &amp; Analysis'!G396)</x:f>
      </x:c>
      <x:c r="I1124" s="12" t="str">
        <x:f>IF('Research &amp; Analysis'!H396="","",'Research &amp; Analysis'!H396)</x:f>
      </x:c>
      <x:c r="J1124" s="12" t="n">
        <x:f>IF('Research &amp; Analysis'!I396="","",'Research &amp; Analysis'!I396)</x:f>
        <x:v>46295</x:v>
      </x:c>
      <x:c r="K1124" s="12" t="str">
        <x:f>IF('Research &amp; Analysis'!J396="","",'Research &amp; Analysis'!J396)</x:f>
      </x:c>
      <x:c r="L1124" s="2" t="str">
        <x:f>IF('Research &amp; Analysis'!K396="","",'Research &amp; Analysis'!K396)</x:f>
      </x:c>
      <x:c r="M1124" s="2" t="n">
        <x:f>'Research &amp; Analysis'!Q396</x:f>
        <x:v>1</x:v>
      </x:c>
      <x:c r="N1124" s="2" t="str">
        <x:f>'Research &amp; Analysis'!L396</x:f>
        <x:v>Not started</x:v>
      </x:c>
      <x:c r="O1124" s="2" t="str">
        <x:f>'Research &amp; Analysis'!N396</x:f>
        <x:v>RA.BO.2.10.2026.CY3</x:v>
      </x:c>
      <x:c r="P1124" s="2" t="n">
        <x:f>'Research &amp; Analysis'!O396</x:f>
        <x:v>0</x:v>
      </x:c>
      <x:c r="Q1124" s="2" t="n">
        <x:f>SUBTOTAL(103,O1124)</x:f>
        <x:v>1</x:v>
      </x:c>
      <x:c r="R1124" s="2" t="n">
        <x:f>IF(AND(M1124=1,OR(Dashboard!$B$7="All",Dashboard!$B$7='Cycles &amp; Guide'!$C$5),OR(Dashboard!$D$7="All",Dashboard!$D$7=B1124),OR(Dashboard!$F$7="All",Dashboard!$F$7=C1124),OR(Dashboard!$H$7="All",Dashboard!$H$7=D1124),OR(Dashboard!$K$7="All",Dashboard!$K$7=E1124)),1,0)</x:f>
        <x:v>1</x:v>
      </x:c>
      <x:c r="S1124" s="2" t="n">
        <x:f>IF(R1124=1,SUM($R$10:R1124),0)</x:f>
        <x:v>751</x:v>
      </x:c>
      <x:c r="T1124" s="2" t="str">
        <x:v>Research &amp; Analysis</x:v>
      </x:c>
      <x:c r="U1124" s="2" t="n">
        <x:v>396</x:v>
      </x:c>
      <x:c r="V1124" s="2" t="n">
        <x:f>IF(AND(M1124=1,P1124=0,ISNUMBER(J1124),J1124&lt;TODAY()),1,0)</x:f>
        <x:v>0</x:v>
      </x:c>
      <x:c r="W1124" s="2" t="str">
        <x:f>'Research &amp; Analysis'!M396</x:f>
        <x:v>Task</x:v>
      </x:c>
    </x:row>
    <x:row r="1125" ht="40" customHeight="1">
      <x:c r="A1125" s="3" t="str">
        <x:f>HYPERLINK("#'Research &amp; Analysis'!A397","Open")</x:f>
        <x:v>Open</x:v>
      </x:c>
      <x:c r="B1125" s="2" t="str">
        <x:f>'Research &amp; Analysis'!B397</x:f>
        <x:v>Cycle 3</x:v>
      </x:c>
      <x:c r="C1125" s="2" t="str">
        <x:f>'Research &amp; Analysis'!C397</x:f>
        <x:v>Phase 3</x:v>
      </x:c>
      <x:c r="D1125" s="2" t="str">
        <x:f>'Research &amp; Analysis'!D397</x:f>
        <x:v>CSBBO - Banking Ops</x:v>
      </x:c>
      <x:c r="E1125" s="2" t="str">
        <x:v>Research &amp; Analysis</x:v>
      </x:c>
      <x:c r="F1125" s="56" t="str">
        <x:f>'Research &amp; Analysis'!E397</x:f>
        <x:v>RA.BO.3.1</x:v>
      </x:c>
      <x:c r="G1125" s="14" t="str">
        <x:f>'Research &amp; Analysis'!F397</x:f>
        <x:v>Finalize results and supporting documentation</x:v>
      </x:c>
      <x:c r="H1125" s="2" t="str">
        <x:f>IF('Research &amp; Analysis'!G397="","",'Research &amp; Analysis'!G397)</x:f>
      </x:c>
      <x:c r="I1125" s="12" t="str">
        <x:f>IF('Research &amp; Analysis'!H397="","",'Research &amp; Analysis'!H397)</x:f>
      </x:c>
      <x:c r="J1125" s="12" t="n">
        <x:f>IF('Research &amp; Analysis'!I397="","",'Research &amp; Analysis'!I397)</x:f>
        <x:v>46295</x:v>
      </x:c>
      <x:c r="K1125" s="12" t="str">
        <x:f>IF('Research &amp; Analysis'!J397="","",'Research &amp; Analysis'!J397)</x:f>
      </x:c>
      <x:c r="L1125" s="2" t="str">
        <x:f>IF('Research &amp; Analysis'!K397="","",'Research &amp; Analysis'!K397)</x:f>
      </x:c>
      <x:c r="M1125" s="2" t="n">
        <x:f>'Research &amp; Analysis'!Q397</x:f>
        <x:v>1</x:v>
      </x:c>
      <x:c r="N1125" s="2" t="str">
        <x:f>'Research &amp; Analysis'!L397</x:f>
        <x:v>Not started</x:v>
      </x:c>
      <x:c r="O1125" s="2" t="str">
        <x:f>'Research &amp; Analysis'!N397</x:f>
        <x:v>RA.BO.3.1.2026.CY3</x:v>
      </x:c>
      <x:c r="P1125" s="2" t="n">
        <x:f>'Research &amp; Analysis'!O397</x:f>
        <x:v>0</x:v>
      </x:c>
      <x:c r="Q1125" s="2" t="n">
        <x:f>SUBTOTAL(103,O1125)</x:f>
        <x:v>1</x:v>
      </x:c>
      <x:c r="R1125" s="2" t="n">
        <x:f>IF(AND(M1125=1,OR(Dashboard!$B$7="All",Dashboard!$B$7='Cycles &amp; Guide'!$C$5),OR(Dashboard!$D$7="All",Dashboard!$D$7=B1125),OR(Dashboard!$F$7="All",Dashboard!$F$7=C1125),OR(Dashboard!$H$7="All",Dashboard!$H$7=D1125),OR(Dashboard!$K$7="All",Dashboard!$K$7=E1125)),1,0)</x:f>
        <x:v>1</x:v>
      </x:c>
      <x:c r="S1125" s="2" t="n">
        <x:f>IF(R1125=1,SUM($R$10:R1125),0)</x:f>
        <x:v>752</x:v>
      </x:c>
      <x:c r="T1125" s="2" t="str">
        <x:v>Research &amp; Analysis</x:v>
      </x:c>
      <x:c r="U1125" s="2" t="n">
        <x:v>397</x:v>
      </x:c>
      <x:c r="V1125" s="2" t="n">
        <x:f>IF(AND(M1125=1,P1125=0,ISNUMBER(J1125),J1125&lt;TODAY()),1,0)</x:f>
        <x:v>0</x:v>
      </x:c>
      <x:c r="W1125" s="2" t="str">
        <x:f>'Research &amp; Analysis'!M397</x:f>
        <x:v>Task</x:v>
      </x:c>
    </x:row>
    <x:row r="1126" ht="40" customHeight="1">
      <x:c r="A1126" s="3" t="str">
        <x:f>HYPERLINK("#'Research &amp; Analysis'!A398","Open")</x:f>
        <x:v>Open</x:v>
      </x:c>
      <x:c r="B1126" s="2" t="str">
        <x:f>'Research &amp; Analysis'!B398</x:f>
        <x:v>Cycle 3</x:v>
      </x:c>
      <x:c r="C1126" s="2" t="str">
        <x:f>'Research &amp; Analysis'!C398</x:f>
        <x:v>Phase 3</x:v>
      </x:c>
      <x:c r="D1126" s="2" t="str">
        <x:f>'Research &amp; Analysis'!D398</x:f>
        <x:v>CSBBO - Banking Ops</x:v>
      </x:c>
      <x:c r="E1126" s="2" t="str">
        <x:v>Research &amp; Analysis</x:v>
      </x:c>
      <x:c r="F1126" s="56" t="str">
        <x:f>'Research &amp; Analysis'!E398</x:f>
        <x:v>RA.BO.3.2</x:v>
      </x:c>
      <x:c r="G1126" s="14" t="str">
        <x:f>'Research &amp; Analysis'!F398</x:f>
        <x:v>Maintain and update the evidence package prior to handoff to D&amp;I</x:v>
      </x:c>
      <x:c r="H1126" s="2" t="str">
        <x:f>IF('Research &amp; Analysis'!G398="","",'Research &amp; Analysis'!G398)</x:f>
      </x:c>
      <x:c r="I1126" s="12" t="str">
        <x:f>IF('Research &amp; Analysis'!H398="","",'Research &amp; Analysis'!H398)</x:f>
      </x:c>
      <x:c r="J1126" s="12" t="n">
        <x:f>IF('Research &amp; Analysis'!I398="","",'Research &amp; Analysis'!I398)</x:f>
        <x:v>46295</x:v>
      </x:c>
      <x:c r="K1126" s="12" t="str">
        <x:f>IF('Research &amp; Analysis'!J398="","",'Research &amp; Analysis'!J398)</x:f>
      </x:c>
      <x:c r="L1126" s="2" t="str">
        <x:f>IF('Research &amp; Analysis'!K398="","",'Research &amp; Analysis'!K398)</x:f>
      </x:c>
      <x:c r="M1126" s="2" t="n">
        <x:f>'Research &amp; Analysis'!Q398</x:f>
        <x:v>1</x:v>
      </x:c>
      <x:c r="N1126" s="2" t="str">
        <x:f>'Research &amp; Analysis'!L398</x:f>
        <x:v>Not started</x:v>
      </x:c>
      <x:c r="O1126" s="2" t="str">
        <x:f>'Research &amp; Analysis'!N398</x:f>
        <x:v>RA.BO.3.2.2026.CY3</x:v>
      </x:c>
      <x:c r="P1126" s="2" t="n">
        <x:f>'Research &amp; Analysis'!O398</x:f>
        <x:v>0</x:v>
      </x:c>
      <x:c r="Q1126" s="2" t="n">
        <x:f>SUBTOTAL(103,O1126)</x:f>
        <x:v>1</x:v>
      </x:c>
      <x:c r="R1126" s="2" t="n">
        <x:f>IF(AND(M1126=1,OR(Dashboard!$B$7="All",Dashboard!$B$7='Cycles &amp; Guide'!$C$5),OR(Dashboard!$D$7="All",Dashboard!$D$7=B1126),OR(Dashboard!$F$7="All",Dashboard!$F$7=C1126),OR(Dashboard!$H$7="All",Dashboard!$H$7=D1126),OR(Dashboard!$K$7="All",Dashboard!$K$7=E1126)),1,0)</x:f>
        <x:v>1</x:v>
      </x:c>
      <x:c r="S1126" s="2" t="n">
        <x:f>IF(R1126=1,SUM($R$10:R1126),0)</x:f>
        <x:v>753</x:v>
      </x:c>
      <x:c r="T1126" s="2" t="str">
        <x:v>Research &amp; Analysis</x:v>
      </x:c>
      <x:c r="U1126" s="2" t="n">
        <x:v>398</x:v>
      </x:c>
      <x:c r="V1126" s="2" t="n">
        <x:f>IF(AND(M1126=1,P1126=0,ISNUMBER(J1126),J1126&lt;TODAY()),1,0)</x:f>
        <x:v>0</x:v>
      </x:c>
      <x:c r="W1126" s="2" t="str">
        <x:f>'Research &amp; Analysis'!M398</x:f>
        <x:v>Task</x:v>
      </x:c>
    </x:row>
    <x:row r="1127" ht="40" customHeight="1">
      <x:c r="A1127" s="3" t="str">
        <x:f>HYPERLINK("#'Research &amp; Analysis'!A399","Open")</x:f>
        <x:v>Open</x:v>
      </x:c>
      <x:c r="B1127" s="2" t="str">
        <x:f>'Research &amp; Analysis'!B399</x:f>
        <x:v>Cycle 3</x:v>
      </x:c>
      <x:c r="C1127" s="2" t="str">
        <x:f>'Research &amp; Analysis'!C399</x:f>
        <x:v>Phase 3</x:v>
      </x:c>
      <x:c r="D1127" s="2" t="str">
        <x:f>'Research &amp; Analysis'!D399</x:f>
        <x:v>CSBBO - Banking Ops</x:v>
      </x:c>
      <x:c r="E1127" s="2" t="str">
        <x:v>Research &amp; Analysis</x:v>
      </x:c>
      <x:c r="F1127" s="56" t="str">
        <x:f>'Research &amp; Analysis'!E399</x:f>
        <x:v>RA.BO.3.3</x:v>
      </x:c>
      <x:c r="G1127" s="14" t="str">
        <x:f>'Research &amp; Analysis'!F399</x:f>
        <x:v>Address any outstanding questions or requests from D&amp;I</x:v>
      </x:c>
      <x:c r="H1127" s="2" t="str">
        <x:f>IF('Research &amp; Analysis'!G399="","",'Research &amp; Analysis'!G399)</x:f>
      </x:c>
      <x:c r="I1127" s="12" t="str">
        <x:f>IF('Research &amp; Analysis'!H399="","",'Research &amp; Analysis'!H399)</x:f>
      </x:c>
      <x:c r="J1127" s="12" t="n">
        <x:f>IF('Research &amp; Analysis'!I399="","",'Research &amp; Analysis'!I399)</x:f>
        <x:v>46295</x:v>
      </x:c>
      <x:c r="K1127" s="12" t="str">
        <x:f>IF('Research &amp; Analysis'!J399="","",'Research &amp; Analysis'!J399)</x:f>
      </x:c>
      <x:c r="L1127" s="2" t="str">
        <x:f>IF('Research &amp; Analysis'!K399="","",'Research &amp; Analysis'!K399)</x:f>
      </x:c>
      <x:c r="M1127" s="2" t="n">
        <x:f>'Research &amp; Analysis'!Q399</x:f>
        <x:v>1</x:v>
      </x:c>
      <x:c r="N1127" s="2" t="str">
        <x:f>'Research &amp; Analysis'!L399</x:f>
        <x:v>Not started</x:v>
      </x:c>
      <x:c r="O1127" s="2" t="str">
        <x:f>'Research &amp; Analysis'!N399</x:f>
        <x:v>RA.BO.3.3.2026.CY3</x:v>
      </x:c>
      <x:c r="P1127" s="2" t="n">
        <x:f>'Research &amp; Analysis'!O399</x:f>
        <x:v>0</x:v>
      </x:c>
      <x:c r="Q1127" s="2" t="n">
        <x:f>SUBTOTAL(103,O1127)</x:f>
        <x:v>1</x:v>
      </x:c>
      <x:c r="R1127" s="2" t="n">
        <x:f>IF(AND(M1127=1,OR(Dashboard!$B$7="All",Dashboard!$B$7='Cycles &amp; Guide'!$C$5),OR(Dashboard!$D$7="All",Dashboard!$D$7=B1127),OR(Dashboard!$F$7="All",Dashboard!$F$7=C1127),OR(Dashboard!$H$7="All",Dashboard!$H$7=D1127),OR(Dashboard!$K$7="All",Dashboard!$K$7=E1127)),1,0)</x:f>
        <x:v>1</x:v>
      </x:c>
      <x:c r="S1127" s="2" t="n">
        <x:f>IF(R1127=1,SUM($R$10:R1127),0)</x:f>
        <x:v>754</x:v>
      </x:c>
      <x:c r="T1127" s="2" t="str">
        <x:v>Research &amp; Analysis</x:v>
      </x:c>
      <x:c r="U1127" s="2" t="n">
        <x:v>399</x:v>
      </x:c>
      <x:c r="V1127" s="2" t="n">
        <x:f>IF(AND(M1127=1,P1127=0,ISNUMBER(J1127),J1127&lt;TODAY()),1,0)</x:f>
        <x:v>0</x:v>
      </x:c>
      <x:c r="W1127" s="2" t="str">
        <x:f>'Research &amp; Analysis'!M399</x:f>
        <x:v>Task</x:v>
      </x:c>
    </x:row>
    <x:row r="1128" ht="40" customHeight="1">
      <x:c r="A1128" s="3" t="str">
        <x:f>HYPERLINK("#'Research &amp; Analysis'!A400","Open")</x:f>
        <x:v>Open</x:v>
      </x:c>
      <x:c r="B1128" s="2" t="str">
        <x:f>'Research &amp; Analysis'!B400</x:f>
        <x:v>Cycle 3</x:v>
      </x:c>
      <x:c r="C1128" s="2" t="str">
        <x:f>'Research &amp; Analysis'!C400</x:f>
        <x:v>Phase 3</x:v>
      </x:c>
      <x:c r="D1128" s="2" t="str">
        <x:f>'Research &amp; Analysis'!D400</x:f>
        <x:v>CSBBO - Banking Ops</x:v>
      </x:c>
      <x:c r="E1128" s="2" t="str">
        <x:v>Research &amp; Analysis</x:v>
      </x:c>
      <x:c r="F1128" s="56" t="str">
        <x:f>'Research &amp; Analysis'!E400</x:f>
        <x:v>RA.BO.3.4</x:v>
      </x:c>
      <x:c r="G1128" s="14" t="str">
        <x:f>'Research &amp; Analysis'!F400</x:f>
        <x:v>Attend Forum meeting with D&amp;I to assist with answering stakeholder questions (as needed)</x:v>
      </x:c>
      <x:c r="H1128" s="2" t="str">
        <x:f>IF('Research &amp; Analysis'!G400="","",'Research &amp; Analysis'!G400)</x:f>
      </x:c>
      <x:c r="I1128" s="12" t="str">
        <x:f>IF('Research &amp; Analysis'!H400="","",'Research &amp; Analysis'!H400)</x:f>
      </x:c>
      <x:c r="J1128" s="12" t="str">
        <x:f>IF('Research &amp; Analysis'!I400="","",'Research &amp; Analysis'!I400)</x:f>
      </x:c>
      <x:c r="K1128" s="12" t="str">
        <x:f>IF('Research &amp; Analysis'!J400="","",'Research &amp; Analysis'!J400)</x:f>
      </x:c>
      <x:c r="L1128" s="2" t="str">
        <x:f>IF('Research &amp; Analysis'!K400="","",'Research &amp; Analysis'!K400)</x:f>
      </x:c>
      <x:c r="M1128" s="2" t="n">
        <x:f>'Research &amp; Analysis'!Q400</x:f>
        <x:v>1</x:v>
      </x:c>
      <x:c r="N1128" s="2" t="str">
        <x:f>'Research &amp; Analysis'!L400</x:f>
        <x:v>Not started</x:v>
      </x:c>
      <x:c r="O1128" s="2" t="str">
        <x:f>'Research &amp; Analysis'!N400</x:f>
        <x:v>RA.BO.3.4.2026.CY3</x:v>
      </x:c>
      <x:c r="P1128" s="2" t="n">
        <x:f>'Research &amp; Analysis'!O400</x:f>
        <x:v>0</x:v>
      </x:c>
      <x:c r="Q1128" s="2" t="n">
        <x:f>SUBTOTAL(103,O1128)</x:f>
        <x:v>1</x:v>
      </x:c>
      <x:c r="R1128" s="2" t="n">
        <x:f>IF(AND(M1128=1,OR(Dashboard!$B$7="All",Dashboard!$B$7='Cycles &amp; Guide'!$C$5),OR(Dashboard!$D$7="All",Dashboard!$D$7=B1128),OR(Dashboard!$F$7="All",Dashboard!$F$7=C1128),OR(Dashboard!$H$7="All",Dashboard!$H$7=D1128),OR(Dashboard!$K$7="All",Dashboard!$K$7=E1128)),1,0)</x:f>
        <x:v>1</x:v>
      </x:c>
      <x:c r="S1128" s="2" t="n">
        <x:f>IF(R1128=1,SUM($R$10:R1128),0)</x:f>
        <x:v>755</x:v>
      </x:c>
      <x:c r="T1128" s="2" t="str">
        <x:v>Research &amp; Analysis</x:v>
      </x:c>
      <x:c r="U1128" s="2" t="n">
        <x:v>400</x:v>
      </x:c>
      <x:c r="V1128" s="2" t="n">
        <x:f>IF(AND(M1128=1,P1128=0,ISNUMBER(J1128),J1128&lt;TODAY()),1,0)</x:f>
        <x:v>0</x:v>
      </x:c>
      <x:c r="W1128" s="2" t="str">
        <x:f>'Research &amp; Analysis'!M400</x:f>
        <x:v>Task</x:v>
      </x:c>
    </x:row>
    <x:row r="1129" ht="40" customHeight="1">
      <x:c r="A1129" s="3" t="str">
        <x:f>HYPERLINK("#'Research &amp; Analysis'!A401","Open")</x:f>
        <x:v>Open</x:v>
      </x:c>
      <x:c r="B1129" s="2" t="str">
        <x:f>'Research &amp; Analysis'!B401</x:f>
        <x:v>Cycle 3</x:v>
      </x:c>
      <x:c r="C1129" s="2" t="str">
        <x:f>'Research &amp; Analysis'!C401</x:f>
        <x:v>Phase 1</x:v>
      </x:c>
      <x:c r="D1129" s="2" t="str">
        <x:f>'Research &amp; Analysis'!D401</x:f>
        <x:v>CSBBO - Customer Service</x:v>
      </x:c>
      <x:c r="E1129" s="2" t="str">
        <x:v>Research &amp; Analysis</x:v>
      </x:c>
      <x:c r="F1129" s="56" t="str">
        <x:f>'Research &amp; Analysis'!E401</x:f>
        <x:v>RA.CS.1.1</x:v>
      </x:c>
      <x:c r="G1129" s="14" t="str">
        <x:f>'Research &amp; Analysis'!F401</x:f>
        <x:v>Begin Research process 2 weeks prior to Cycle start</x:v>
      </x:c>
      <x:c r="H1129" s="2" t="str">
        <x:f>IF('Research &amp; Analysis'!G401="","",'Research &amp; Analysis'!G401)</x:f>
      </x:c>
      <x:c r="I1129" s="12" t="str">
        <x:f>IF('Research &amp; Analysis'!H401="","",'Research &amp; Analysis'!H401)</x:f>
      </x:c>
      <x:c r="J1129" s="12" t="n">
        <x:f>IF('Research &amp; Analysis'!I401="","",'Research &amp; Analysis'!I401)</x:f>
        <x:v>46190</x:v>
      </x:c>
      <x:c r="K1129" s="12" t="str">
        <x:f>IF('Research &amp; Analysis'!J401="","",'Research &amp; Analysis'!J401)</x:f>
      </x:c>
      <x:c r="L1129" s="2" t="str">
        <x:f>IF('Research &amp; Analysis'!K401="","",'Research &amp; Analysis'!K401)</x:f>
      </x:c>
      <x:c r="M1129" s="2" t="n">
        <x:f>'Research &amp; Analysis'!Q401</x:f>
        <x:v>1</x:v>
      </x:c>
      <x:c r="N1129" s="2" t="str">
        <x:f>'Research &amp; Analysis'!L401</x:f>
        <x:v>Not started</x:v>
      </x:c>
      <x:c r="O1129" s="2" t="str">
        <x:f>'Research &amp; Analysis'!N401</x:f>
        <x:v>RA.CS.1.1.2026.CY3</x:v>
      </x:c>
      <x:c r="P1129" s="2" t="n">
        <x:f>'Research &amp; Analysis'!O401</x:f>
        <x:v>0</x:v>
      </x:c>
      <x:c r="Q1129" s="2" t="n">
        <x:f>SUBTOTAL(103,O1129)</x:f>
        <x:v>1</x:v>
      </x:c>
      <x:c r="R1129" s="2" t="n">
        <x:f>IF(AND(M1129=1,OR(Dashboard!$B$7="All",Dashboard!$B$7='Cycles &amp; Guide'!$C$5),OR(Dashboard!$D$7="All",Dashboard!$D$7=B1129),OR(Dashboard!$F$7="All",Dashboard!$F$7=C1129),OR(Dashboard!$H$7="All",Dashboard!$H$7=D1129),OR(Dashboard!$K$7="All",Dashboard!$K$7=E1129)),1,0)</x:f>
        <x:v>1</x:v>
      </x:c>
      <x:c r="S1129" s="2" t="n">
        <x:f>IF(R1129=1,SUM($R$10:R1129),0)</x:f>
        <x:v>756</x:v>
      </x:c>
      <x:c r="T1129" s="2" t="str">
        <x:v>Research &amp; Analysis</x:v>
      </x:c>
      <x:c r="U1129" s="2" t="n">
        <x:v>401</x:v>
      </x:c>
      <x:c r="V1129" s="2" t="n">
        <x:f>IF(AND(M1129=1,P1129=0,ISNUMBER(J1129),J1129&lt;TODAY()),1,0)</x:f>
        <x:v>1</x:v>
      </x:c>
      <x:c r="W1129" s="2" t="str">
        <x:f>'Research &amp; Analysis'!M401</x:f>
        <x:v>Task</x:v>
      </x:c>
    </x:row>
    <x:row r="1130" ht="40" customHeight="1">
      <x:c r="A1130" s="3" t="str">
        <x:f>HYPERLINK("#'Research &amp; Analysis'!A402","Open")</x:f>
        <x:v>Open</x:v>
      </x:c>
      <x:c r="B1130" s="2" t="str">
        <x:f>'Research &amp; Analysis'!B402</x:f>
        <x:v>Cycle 3</x:v>
      </x:c>
      <x:c r="C1130" s="2" t="str">
        <x:f>'Research &amp; Analysis'!C402</x:f>
        <x:v>Phase 1</x:v>
      </x:c>
      <x:c r="D1130" s="2" t="str">
        <x:f>'Research &amp; Analysis'!D402</x:f>
        <x:v>CSBBO - Customer Service</x:v>
      </x:c>
      <x:c r="E1130" s="2" t="str">
        <x:v>Research &amp; Analysis</x:v>
      </x:c>
      <x:c r="F1130" s="56" t="str">
        <x:f>'Research &amp; Analysis'!E402</x:f>
        <x:v>RA.CS.1.2</x:v>
      </x:c>
      <x:c r="G1130" s="14" t="str">
        <x:f>'Research &amp; Analysis'!F402</x:f>
        <x:v>Conduct initial assessment of each topic recommendation from SharePoint list</x:v>
      </x:c>
      <x:c r="H1130" s="2" t="str">
        <x:f>IF('Research &amp; Analysis'!G402="","",'Research &amp; Analysis'!G402)</x:f>
      </x:c>
      <x:c r="I1130" s="12" t="str">
        <x:f>IF('Research &amp; Analysis'!H402="","",'Research &amp; Analysis'!H402)</x:f>
      </x:c>
      <x:c r="J1130" s="12" t="n">
        <x:f>IF('Research &amp; Analysis'!I402="","",'Research &amp; Analysis'!I402)</x:f>
        <x:v>46295</x:v>
      </x:c>
      <x:c r="K1130" s="12" t="str">
        <x:f>IF('Research &amp; Analysis'!J402="","",'Research &amp; Analysis'!J402)</x:f>
      </x:c>
      <x:c r="L1130" s="2" t="str">
        <x:f>IF('Research &amp; Analysis'!K402="","",'Research &amp; Analysis'!K402)</x:f>
      </x:c>
      <x:c r="M1130" s="2" t="n">
        <x:f>'Research &amp; Analysis'!Q402</x:f>
        <x:v>1</x:v>
      </x:c>
      <x:c r="N1130" s="2" t="str">
        <x:f>'Research &amp; Analysis'!L402</x:f>
        <x:v>Not started</x:v>
      </x:c>
      <x:c r="O1130" s="2" t="str">
        <x:f>'Research &amp; Analysis'!N402</x:f>
        <x:v>RA.CS.1.2.2026.CY3</x:v>
      </x:c>
      <x:c r="P1130" s="2" t="n">
        <x:f>'Research &amp; Analysis'!O402</x:f>
        <x:v>0</x:v>
      </x:c>
      <x:c r="Q1130" s="2" t="n">
        <x:f>SUBTOTAL(103,O1130)</x:f>
        <x:v>1</x:v>
      </x:c>
      <x:c r="R1130" s="2" t="n">
        <x:f>IF(AND(M1130=1,OR(Dashboard!$B$7="All",Dashboard!$B$7='Cycles &amp; Guide'!$C$5),OR(Dashboard!$D$7="All",Dashboard!$D$7=B1130),OR(Dashboard!$F$7="All",Dashboard!$F$7=C1130),OR(Dashboard!$H$7="All",Dashboard!$H$7=D1130),OR(Dashboard!$K$7="All",Dashboard!$K$7=E1130)),1,0)</x:f>
        <x:v>1</x:v>
      </x:c>
      <x:c r="S1130" s="2" t="n">
        <x:f>IF(R1130=1,SUM($R$10:R1130),0)</x:f>
        <x:v>757</x:v>
      </x:c>
      <x:c r="T1130" s="2" t="str">
        <x:v>Research &amp; Analysis</x:v>
      </x:c>
      <x:c r="U1130" s="2" t="n">
        <x:v>402</x:v>
      </x:c>
      <x:c r="V1130" s="2" t="n">
        <x:f>IF(AND(M1130=1,P1130=0,ISNUMBER(J1130),J1130&lt;TODAY()),1,0)</x:f>
        <x:v>0</x:v>
      </x:c>
      <x:c r="W1130" s="2" t="str">
        <x:f>'Research &amp; Analysis'!M402</x:f>
        <x:v>Task</x:v>
      </x:c>
    </x:row>
    <x:row r="1131" ht="40" customHeight="1">
      <x:c r="A1131" s="3" t="str">
        <x:f>HYPERLINK("#'Research &amp; Analysis'!A403","Open")</x:f>
        <x:v>Open</x:v>
      </x:c>
      <x:c r="B1131" s="2" t="str">
        <x:f>'Research &amp; Analysis'!B403</x:f>
        <x:v>Cycle 3</x:v>
      </x:c>
      <x:c r="C1131" s="2" t="str">
        <x:f>'Research &amp; Analysis'!C403</x:f>
        <x:v>Phase 1</x:v>
      </x:c>
      <x:c r="D1131" s="2" t="str">
        <x:f>'Research &amp; Analysis'!D403</x:f>
        <x:v>CSBBO - Customer Service</x:v>
      </x:c>
      <x:c r="E1131" s="2" t="str">
        <x:v>Research &amp; Analysis</x:v>
      </x:c>
      <x:c r="F1131" s="56" t="str">
        <x:f>'Research &amp; Analysis'!E403</x:f>
        <x:v>RA.CS.1.3</x:v>
      </x:c>
      <x:c r="G1131" s="14" t="str">
        <x:f>'Research &amp; Analysis'!F403</x:f>
        <x:v>Identify best topic for Cycle</x:v>
      </x:c>
      <x:c r="H1131" s="2" t="str">
        <x:f>IF('Research &amp; Analysis'!G403="","",'Research &amp; Analysis'!G403)</x:f>
      </x:c>
      <x:c r="I1131" s="12" t="str">
        <x:f>IF('Research &amp; Analysis'!H403="","",'Research &amp; Analysis'!H403)</x:f>
      </x:c>
      <x:c r="J1131" s="12" t="n">
        <x:f>IF('Research &amp; Analysis'!I403="","",'Research &amp; Analysis'!I403)</x:f>
        <x:v>46295</x:v>
      </x:c>
      <x:c r="K1131" s="12" t="str">
        <x:f>IF('Research &amp; Analysis'!J403="","",'Research &amp; Analysis'!J403)</x:f>
      </x:c>
      <x:c r="L1131" s="2" t="str">
        <x:f>IF('Research &amp; Analysis'!K403="","",'Research &amp; Analysis'!K403)</x:f>
      </x:c>
      <x:c r="M1131" s="2" t="n">
        <x:f>'Research &amp; Analysis'!Q403</x:f>
        <x:v>1</x:v>
      </x:c>
      <x:c r="N1131" s="2" t="str">
        <x:f>'Research &amp; Analysis'!L403</x:f>
        <x:v>Not started</x:v>
      </x:c>
      <x:c r="O1131" s="2" t="str">
        <x:f>'Research &amp; Analysis'!N403</x:f>
        <x:v>RA.CS.1.3.2026.CY3</x:v>
      </x:c>
      <x:c r="P1131" s="2" t="n">
        <x:f>'Research &amp; Analysis'!O403</x:f>
        <x:v>0</x:v>
      </x:c>
      <x:c r="Q1131" s="2" t="n">
        <x:f>SUBTOTAL(103,O1131)</x:f>
        <x:v>1</x:v>
      </x:c>
      <x:c r="R1131" s="2" t="n">
        <x:f>IF(AND(M1131=1,OR(Dashboard!$B$7="All",Dashboard!$B$7='Cycles &amp; Guide'!$C$5),OR(Dashboard!$D$7="All",Dashboard!$D$7=B1131),OR(Dashboard!$F$7="All",Dashboard!$F$7=C1131),OR(Dashboard!$H$7="All",Dashboard!$H$7=D1131),OR(Dashboard!$K$7="All",Dashboard!$K$7=E1131)),1,0)</x:f>
        <x:v>1</x:v>
      </x:c>
      <x:c r="S1131" s="2" t="n">
        <x:f>IF(R1131=1,SUM($R$10:R1131),0)</x:f>
        <x:v>758</x:v>
      </x:c>
      <x:c r="T1131" s="2" t="str">
        <x:v>Research &amp; Analysis</x:v>
      </x:c>
      <x:c r="U1131" s="2" t="n">
        <x:v>403</x:v>
      </x:c>
      <x:c r="V1131" s="2" t="n">
        <x:f>IF(AND(M1131=1,P1131=0,ISNUMBER(J1131),J1131&lt;TODAY()),1,0)</x:f>
        <x:v>0</x:v>
      </x:c>
      <x:c r="W1131" s="2" t="str">
        <x:f>'Research &amp; Analysis'!M403</x:f>
        <x:v>Task</x:v>
      </x:c>
    </x:row>
    <x:row r="1132" ht="40" customHeight="1">
      <x:c r="A1132" s="3" t="str">
        <x:f>HYPERLINK("#'Research &amp; Analysis'!A404","Open")</x:f>
        <x:v>Open</x:v>
      </x:c>
      <x:c r="B1132" s="2" t="str">
        <x:f>'Research &amp; Analysis'!B404</x:f>
        <x:v>Cycle 3</x:v>
      </x:c>
      <x:c r="C1132" s="2" t="str">
        <x:f>'Research &amp; Analysis'!C404</x:f>
        <x:v>Phase 1</x:v>
      </x:c>
      <x:c r="D1132" s="2" t="str">
        <x:f>'Research &amp; Analysis'!D404</x:f>
        <x:v>CSBBO - Customer Service</x:v>
      </x:c>
      <x:c r="E1132" s="2" t="str">
        <x:v>Research &amp; Analysis</x:v>
      </x:c>
      <x:c r="F1132" s="56" t="str">
        <x:f>'Research &amp; Analysis'!E404</x:f>
        <x:v>RA.CS.1.4</x:v>
      </x:c>
      <x:c r="G1132" s="14" t="str">
        <x:f>'Research &amp; Analysis'!F404</x:f>
        <x:v>Identify backup topic for Cycle</x:v>
      </x:c>
      <x:c r="H1132" s="2" t="str">
        <x:f>IF('Research &amp; Analysis'!G404="","",'Research &amp; Analysis'!G404)</x:f>
      </x:c>
      <x:c r="I1132" s="12" t="str">
        <x:f>IF('Research &amp; Analysis'!H404="","",'Research &amp; Analysis'!H404)</x:f>
      </x:c>
      <x:c r="J1132" s="12" t="n">
        <x:f>IF('Research &amp; Analysis'!I404="","",'Research &amp; Analysis'!I404)</x:f>
        <x:v>46295</x:v>
      </x:c>
      <x:c r="K1132" s="12" t="str">
        <x:f>IF('Research &amp; Analysis'!J404="","",'Research &amp; Analysis'!J404)</x:f>
      </x:c>
      <x:c r="L1132" s="2" t="str">
        <x:f>IF('Research &amp; Analysis'!K404="","",'Research &amp; Analysis'!K404)</x:f>
      </x:c>
      <x:c r="M1132" s="2" t="n">
        <x:f>'Research &amp; Analysis'!Q404</x:f>
        <x:v>1</x:v>
      </x:c>
      <x:c r="N1132" s="2" t="str">
        <x:f>'Research &amp; Analysis'!L404</x:f>
        <x:v>Not started</x:v>
      </x:c>
      <x:c r="O1132" s="2" t="str">
        <x:f>'Research &amp; Analysis'!N404</x:f>
        <x:v>RA.CS.1.4.2026.CY3</x:v>
      </x:c>
      <x:c r="P1132" s="2" t="n">
        <x:f>'Research &amp; Analysis'!O404</x:f>
        <x:v>0</x:v>
      </x:c>
      <x:c r="Q1132" s="2" t="n">
        <x:f>SUBTOTAL(103,O1132)</x:f>
        <x:v>1</x:v>
      </x:c>
      <x:c r="R1132" s="2" t="n">
        <x:f>IF(AND(M1132=1,OR(Dashboard!$B$7="All",Dashboard!$B$7='Cycles &amp; Guide'!$C$5),OR(Dashboard!$D$7="All",Dashboard!$D$7=B1132),OR(Dashboard!$F$7="All",Dashboard!$F$7=C1132),OR(Dashboard!$H$7="All",Dashboard!$H$7=D1132),OR(Dashboard!$K$7="All",Dashboard!$K$7=E1132)),1,0)</x:f>
        <x:v>1</x:v>
      </x:c>
      <x:c r="S1132" s="2" t="n">
        <x:f>IF(R1132=1,SUM($R$10:R1132),0)</x:f>
        <x:v>759</x:v>
      </x:c>
      <x:c r="T1132" s="2" t="str">
        <x:v>Research &amp; Analysis</x:v>
      </x:c>
      <x:c r="U1132" s="2" t="n">
        <x:v>404</x:v>
      </x:c>
      <x:c r="V1132" s="2" t="n">
        <x:f>IF(AND(M1132=1,P1132=0,ISNUMBER(J1132),J1132&lt;TODAY()),1,0)</x:f>
        <x:v>0</x:v>
      </x:c>
      <x:c r="W1132" s="2" t="str">
        <x:f>'Research &amp; Analysis'!M404</x:f>
        <x:v>Task</x:v>
      </x:c>
    </x:row>
    <x:row r="1133" ht="40" customHeight="1">
      <x:c r="A1133" s="3" t="str">
        <x:f>HYPERLINK("#'Research &amp; Analysis'!A405","Open")</x:f>
        <x:v>Open</x:v>
      </x:c>
      <x:c r="B1133" s="2" t="str">
        <x:f>'Research &amp; Analysis'!B405</x:f>
        <x:v>Cycle 3</x:v>
      </x:c>
      <x:c r="C1133" s="2" t="str">
        <x:f>'Research &amp; Analysis'!C405</x:f>
        <x:v>Phase 1</x:v>
      </x:c>
      <x:c r="D1133" s="2" t="str">
        <x:f>'Research &amp; Analysis'!D405</x:f>
        <x:v>CSBBO - Customer Service</x:v>
      </x:c>
      <x:c r="E1133" s="2" t="str">
        <x:v>Research &amp; Analysis</x:v>
      </x:c>
      <x:c r="F1133" s="56" t="str">
        <x:f>'Research &amp; Analysis'!E405</x:f>
        <x:v>RA.CS.1.5</x:v>
      </x:c>
      <x:c r="G1133" s="14" t="str">
        <x:f>'Research &amp; Analysis'!F405</x:f>
        <x:v>Schedule topic approval meeting with D&amp;I and management</x:v>
      </x:c>
      <x:c r="H1133" s="2" t="str">
        <x:f>IF('Research &amp; Analysis'!G405="","",'Research &amp; Analysis'!G405)</x:f>
      </x:c>
      <x:c r="I1133" s="12" t="str">
        <x:f>IF('Research &amp; Analysis'!H405="","",'Research &amp; Analysis'!H405)</x:f>
      </x:c>
      <x:c r="J1133" s="12" t="n">
        <x:f>IF('Research &amp; Analysis'!I405="","",'Research &amp; Analysis'!I405)</x:f>
        <x:v>46295</x:v>
      </x:c>
      <x:c r="K1133" s="12" t="str">
        <x:f>IF('Research &amp; Analysis'!J405="","",'Research &amp; Analysis'!J405)</x:f>
      </x:c>
      <x:c r="L1133" s="2" t="str">
        <x:f>IF('Research &amp; Analysis'!K405="","",'Research &amp; Analysis'!K405)</x:f>
      </x:c>
      <x:c r="M1133" s="2" t="n">
        <x:f>'Research &amp; Analysis'!Q405</x:f>
        <x:v>1</x:v>
      </x:c>
      <x:c r="N1133" s="2" t="str">
        <x:f>'Research &amp; Analysis'!L405</x:f>
        <x:v>Not started</x:v>
      </x:c>
      <x:c r="O1133" s="2" t="str">
        <x:f>'Research &amp; Analysis'!N405</x:f>
        <x:v>RA.CS.1.5.2026.CY3</x:v>
      </x:c>
      <x:c r="P1133" s="2" t="n">
        <x:f>'Research &amp; Analysis'!O405</x:f>
        <x:v>0</x:v>
      </x:c>
      <x:c r="Q1133" s="2" t="n">
        <x:f>SUBTOTAL(103,O1133)</x:f>
        <x:v>1</x:v>
      </x:c>
      <x:c r="R1133" s="2" t="n">
        <x:f>IF(AND(M1133=1,OR(Dashboard!$B$7="All",Dashboard!$B$7='Cycles &amp; Guide'!$C$5),OR(Dashboard!$D$7="All",Dashboard!$D$7=B1133),OR(Dashboard!$F$7="All",Dashboard!$F$7=C1133),OR(Dashboard!$H$7="All",Dashboard!$H$7=D1133),OR(Dashboard!$K$7="All",Dashboard!$K$7=E1133)),1,0)</x:f>
        <x:v>1</x:v>
      </x:c>
      <x:c r="S1133" s="2" t="n">
        <x:f>IF(R1133=1,SUM($R$10:R1133),0)</x:f>
        <x:v>760</x:v>
      </x:c>
      <x:c r="T1133" s="2" t="str">
        <x:v>Research &amp; Analysis</x:v>
      </x:c>
      <x:c r="U1133" s="2" t="n">
        <x:v>405</x:v>
      </x:c>
      <x:c r="V1133" s="2" t="n">
        <x:f>IF(AND(M1133=1,P1133=0,ISNUMBER(J1133),J1133&lt;TODAY()),1,0)</x:f>
        <x:v>0</x:v>
      </x:c>
      <x:c r="W1133" s="2" t="str">
        <x:f>'Research &amp; Analysis'!M405</x:f>
        <x:v>Task</x:v>
      </x:c>
    </x:row>
    <x:row r="1134" ht="40" customHeight="1">
      <x:c r="A1134" s="3" t="str">
        <x:f>HYPERLINK("#'Research &amp; Analysis'!A406","Open")</x:f>
        <x:v>Open</x:v>
      </x:c>
      <x:c r="B1134" s="2" t="str">
        <x:f>'Research &amp; Analysis'!B406</x:f>
        <x:v>Cycle 3</x:v>
      </x:c>
      <x:c r="C1134" s="2" t="str">
        <x:f>'Research &amp; Analysis'!C406</x:f>
        <x:v>Phase 1</x:v>
      </x:c>
      <x:c r="D1134" s="2" t="str">
        <x:f>'Research &amp; Analysis'!D406</x:f>
        <x:v>CSBBO - Customer Service</x:v>
      </x:c>
      <x:c r="E1134" s="2" t="str">
        <x:v>Research &amp; Analysis</x:v>
      </x:c>
      <x:c r="F1134" s="56" t="str">
        <x:f>'Research &amp; Analysis'!E406</x:f>
        <x:v>RA.CS.1.6</x:v>
      </x:c>
      <x:c r="G1134" s="14" t="str">
        <x:f>'Research &amp; Analysis'!F406</x:f>
        <x:v>Present recommended topic to D&amp;I and management for approval</x:v>
      </x:c>
      <x:c r="H1134" s="2" t="str">
        <x:f>IF('Research &amp; Analysis'!G406="","",'Research &amp; Analysis'!G406)</x:f>
      </x:c>
      <x:c r="I1134" s="12" t="str">
        <x:f>IF('Research &amp; Analysis'!H406="","",'Research &amp; Analysis'!H406)</x:f>
      </x:c>
      <x:c r="J1134" s="12" t="n">
        <x:f>IF('Research &amp; Analysis'!I406="","",'Research &amp; Analysis'!I406)</x:f>
        <x:v>46295</x:v>
      </x:c>
      <x:c r="K1134" s="12" t="str">
        <x:f>IF('Research &amp; Analysis'!J406="","",'Research &amp; Analysis'!J406)</x:f>
      </x:c>
      <x:c r="L1134" s="2" t="str">
        <x:f>IF('Research &amp; Analysis'!K406="","",'Research &amp; Analysis'!K406)</x:f>
      </x:c>
      <x:c r="M1134" s="2" t="n">
        <x:f>'Research &amp; Analysis'!Q406</x:f>
        <x:v>1</x:v>
      </x:c>
      <x:c r="N1134" s="2" t="str">
        <x:f>'Research &amp; Analysis'!L406</x:f>
        <x:v>Not started</x:v>
      </x:c>
      <x:c r="O1134" s="2" t="str">
        <x:f>'Research &amp; Analysis'!N406</x:f>
        <x:v>RA.CS.1.6.2026.CY3</x:v>
      </x:c>
      <x:c r="P1134" s="2" t="n">
        <x:f>'Research &amp; Analysis'!O406</x:f>
        <x:v>0</x:v>
      </x:c>
      <x:c r="Q1134" s="2" t="n">
        <x:f>SUBTOTAL(103,O1134)</x:f>
        <x:v>1</x:v>
      </x:c>
      <x:c r="R1134" s="2" t="n">
        <x:f>IF(AND(M1134=1,OR(Dashboard!$B$7="All",Dashboard!$B$7='Cycles &amp; Guide'!$C$5),OR(Dashboard!$D$7="All",Dashboard!$D$7=B1134),OR(Dashboard!$F$7="All",Dashboard!$F$7=C1134),OR(Dashboard!$H$7="All",Dashboard!$H$7=D1134),OR(Dashboard!$K$7="All",Dashboard!$K$7=E1134)),1,0)</x:f>
        <x:v>1</x:v>
      </x:c>
      <x:c r="S1134" s="2" t="n">
        <x:f>IF(R1134=1,SUM($R$10:R1134),0)</x:f>
        <x:v>761</x:v>
      </x:c>
      <x:c r="T1134" s="2" t="str">
        <x:v>Research &amp; Analysis</x:v>
      </x:c>
      <x:c r="U1134" s="2" t="n">
        <x:v>406</x:v>
      </x:c>
      <x:c r="V1134" s="2" t="n">
        <x:f>IF(AND(M1134=1,P1134=0,ISNUMBER(J1134),J1134&lt;TODAY()),1,0)</x:f>
        <x:v>0</x:v>
      </x:c>
      <x:c r="W1134" s="2" t="str">
        <x:f>'Research &amp; Analysis'!M406</x:f>
        <x:v>Task</x:v>
      </x:c>
    </x:row>
    <x:row r="1135" ht="40" customHeight="1">
      <x:c r="A1135" s="3" t="str">
        <x:f>HYPERLINK("#'Research &amp; Analysis'!A407","Open")</x:f>
        <x:v>Open</x:v>
      </x:c>
      <x:c r="B1135" s="2" t="str">
        <x:f>'Research &amp; Analysis'!B407</x:f>
        <x:v>Cycle 3</x:v>
      </x:c>
      <x:c r="C1135" s="2" t="str">
        <x:f>'Research &amp; Analysis'!C407</x:f>
        <x:v>Phase 1</x:v>
      </x:c>
      <x:c r="D1135" s="2" t="str">
        <x:f>'Research &amp; Analysis'!D407</x:f>
        <x:v>CSBBO - Customer Service</x:v>
      </x:c>
      <x:c r="E1135" s="2" t="str">
        <x:v>Research &amp; Analysis</x:v>
      </x:c>
      <x:c r="F1135" s="56" t="str">
        <x:f>'Research &amp; Analysis'!E407</x:f>
        <x:v>RA.CS.1.7</x:v>
      </x:c>
      <x:c r="G1135" s="14" t="str">
        <x:f>'Research &amp; Analysis'!F407</x:f>
        <x:v>Obtain formal topic selection approval from management via SharePoint</x:v>
      </x:c>
      <x:c r="H1135" s="2" t="str">
        <x:f>IF('Research &amp; Analysis'!G407="","",'Research &amp; Analysis'!G407)</x:f>
      </x:c>
      <x:c r="I1135" s="12" t="str">
        <x:f>IF('Research &amp; Analysis'!H407="","",'Research &amp; Analysis'!H407)</x:f>
      </x:c>
      <x:c r="J1135" s="12" t="n">
        <x:f>IF('Research &amp; Analysis'!I407="","",'Research &amp; Analysis'!I407)</x:f>
        <x:v>46295</x:v>
      </x:c>
      <x:c r="K1135" s="12" t="str">
        <x:f>IF('Research &amp; Analysis'!J407="","",'Research &amp; Analysis'!J407)</x:f>
      </x:c>
      <x:c r="L1135" s="2" t="str">
        <x:f>IF('Research &amp; Analysis'!K407="","",'Research &amp; Analysis'!K407)</x:f>
      </x:c>
      <x:c r="M1135" s="2" t="n">
        <x:f>'Research &amp; Analysis'!Q407</x:f>
        <x:v>1</x:v>
      </x:c>
      <x:c r="N1135" s="2" t="str">
        <x:f>'Research &amp; Analysis'!L407</x:f>
        <x:v>Not started</x:v>
      </x:c>
      <x:c r="O1135" s="2" t="str">
        <x:f>'Research &amp; Analysis'!N407</x:f>
        <x:v>RA.CS.1.7.2026.CY3</x:v>
      </x:c>
      <x:c r="P1135" s="2" t="n">
        <x:f>'Research &amp; Analysis'!O407</x:f>
        <x:v>0</x:v>
      </x:c>
      <x:c r="Q1135" s="2" t="n">
        <x:f>SUBTOTAL(103,O1135)</x:f>
        <x:v>1</x:v>
      </x:c>
      <x:c r="R1135" s="2" t="n">
        <x:f>IF(AND(M1135=1,OR(Dashboard!$B$7="All",Dashboard!$B$7='Cycles &amp; Guide'!$C$5),OR(Dashboard!$D$7="All",Dashboard!$D$7=B1135),OR(Dashboard!$F$7="All",Dashboard!$F$7=C1135),OR(Dashboard!$H$7="All",Dashboard!$H$7=D1135),OR(Dashboard!$K$7="All",Dashboard!$K$7=E1135)),1,0)</x:f>
        <x:v>1</x:v>
      </x:c>
      <x:c r="S1135" s="2" t="n">
        <x:f>IF(R1135=1,SUM($R$10:R1135),0)</x:f>
        <x:v>762</x:v>
      </x:c>
      <x:c r="T1135" s="2" t="str">
        <x:v>Research &amp; Analysis</x:v>
      </x:c>
      <x:c r="U1135" s="2" t="n">
        <x:v>407</x:v>
      </x:c>
      <x:c r="V1135" s="2" t="n">
        <x:f>IF(AND(M1135=1,P1135=0,ISNUMBER(J1135),J1135&lt;TODAY()),1,0)</x:f>
        <x:v>0</x:v>
      </x:c>
      <x:c r="W1135" s="2" t="str">
        <x:f>'Research &amp; Analysis'!M407</x:f>
        <x:v>Task</x:v>
      </x:c>
    </x:row>
    <x:row r="1136" ht="40" customHeight="1">
      <x:c r="A1136" s="3" t="str">
        <x:f>HYPERLINK("#'Research &amp; Analysis'!A408","Open")</x:f>
        <x:v>Open</x:v>
      </x:c>
      <x:c r="B1136" s="2" t="str">
        <x:f>'Research &amp; Analysis'!B408</x:f>
        <x:v>Cycle 3</x:v>
      </x:c>
      <x:c r="C1136" s="2" t="str">
        <x:f>'Research &amp; Analysis'!C408</x:f>
        <x:v>Phase 1</x:v>
      </x:c>
      <x:c r="D1136" s="2" t="str">
        <x:f>'Research &amp; Analysis'!D408</x:f>
        <x:v>CSBBO - Customer Service</x:v>
      </x:c>
      <x:c r="E1136" s="2" t="str">
        <x:v>Research &amp; Analysis</x:v>
      </x:c>
      <x:c r="F1136" s="56" t="str">
        <x:f>'Research &amp; Analysis'!E408</x:f>
        <x:v>RA.CS.1.8</x:v>
      </x:c>
      <x:c r="G1136" s="14" t="str">
        <x:f>'Research &amp; Analysis'!F408</x:f>
        <x:v>Socialize topic selection with product owners and subject matter experts (if known)</x:v>
      </x:c>
      <x:c r="H1136" s="2" t="str">
        <x:f>IF('Research &amp; Analysis'!G408="","",'Research &amp; Analysis'!G408)</x:f>
      </x:c>
      <x:c r="I1136" s="12" t="str">
        <x:f>IF('Research &amp; Analysis'!H408="","",'Research &amp; Analysis'!H408)</x:f>
      </x:c>
      <x:c r="J1136" s="12" t="n">
        <x:f>IF('Research &amp; Analysis'!I408="","",'Research &amp; Analysis'!I408)</x:f>
        <x:v>46295</x:v>
      </x:c>
      <x:c r="K1136" s="12" t="str">
        <x:f>IF('Research &amp; Analysis'!J408="","",'Research &amp; Analysis'!J408)</x:f>
      </x:c>
      <x:c r="L1136" s="2" t="str">
        <x:f>IF('Research &amp; Analysis'!K408="","",'Research &amp; Analysis'!K408)</x:f>
      </x:c>
      <x:c r="M1136" s="2" t="n">
        <x:f>'Research &amp; Analysis'!Q408</x:f>
        <x:v>1</x:v>
      </x:c>
      <x:c r="N1136" s="2" t="str">
        <x:f>'Research &amp; Analysis'!L408</x:f>
        <x:v>Not started</x:v>
      </x:c>
      <x:c r="O1136" s="2" t="str">
        <x:f>'Research &amp; Analysis'!N408</x:f>
        <x:v>RA.CS.1.8.2026.CY3</x:v>
      </x:c>
      <x:c r="P1136" s="2" t="n">
        <x:f>'Research &amp; Analysis'!O408</x:f>
        <x:v>0</x:v>
      </x:c>
      <x:c r="Q1136" s="2" t="n">
        <x:f>SUBTOTAL(103,O1136)</x:f>
        <x:v>1</x:v>
      </x:c>
      <x:c r="R1136" s="2" t="n">
        <x:f>IF(AND(M1136=1,OR(Dashboard!$B$7="All",Dashboard!$B$7='Cycles &amp; Guide'!$C$5),OR(Dashboard!$D$7="All",Dashboard!$D$7=B1136),OR(Dashboard!$F$7="All",Dashboard!$F$7=C1136),OR(Dashboard!$H$7="All",Dashboard!$H$7=D1136),OR(Dashboard!$K$7="All",Dashboard!$K$7=E1136)),1,0)</x:f>
        <x:v>1</x:v>
      </x:c>
      <x:c r="S1136" s="2" t="n">
        <x:f>IF(R1136=1,SUM($R$10:R1136),0)</x:f>
        <x:v>763</x:v>
      </x:c>
      <x:c r="T1136" s="2" t="str">
        <x:v>Research &amp; Analysis</x:v>
      </x:c>
      <x:c r="U1136" s="2" t="n">
        <x:v>408</x:v>
      </x:c>
      <x:c r="V1136" s="2" t="n">
        <x:f>IF(AND(M1136=1,P1136=0,ISNUMBER(J1136),J1136&lt;TODAY()),1,0)</x:f>
        <x:v>0</x:v>
      </x:c>
      <x:c r="W1136" s="2" t="str">
        <x:f>'Research &amp; Analysis'!M408</x:f>
        <x:v>Task</x:v>
      </x:c>
    </x:row>
    <x:row r="1137" ht="40" customHeight="1">
      <x:c r="A1137" s="3" t="str">
        <x:f>HYPERLINK("#'Research &amp; Analysis'!A409","Open")</x:f>
        <x:v>Open</x:v>
      </x:c>
      <x:c r="B1137" s="2" t="str">
        <x:f>'Research &amp; Analysis'!B409</x:f>
        <x:v>Cycle 3</x:v>
      </x:c>
      <x:c r="C1137" s="2" t="str">
        <x:f>'Research &amp; Analysis'!C409</x:f>
        <x:v>Phase 1</x:v>
      </x:c>
      <x:c r="D1137" s="2" t="str">
        <x:f>'Research &amp; Analysis'!D409</x:f>
        <x:v>CSBBO - Customer Service</x:v>
      </x:c>
      <x:c r="E1137" s="2" t="str">
        <x:v>Research &amp; Analysis</x:v>
      </x:c>
      <x:c r="F1137" s="56" t="str">
        <x:f>'Research &amp; Analysis'!E409</x:f>
        <x:v>RA.CS.1.9</x:v>
      </x:c>
      <x:c r="G1137" s="14" t="str">
        <x:f>'Research &amp; Analysis'!F409</x:f>
        <x:v>Assign topic researchers</x:v>
      </x:c>
      <x:c r="H1137" s="2" t="str">
        <x:f>IF('Research &amp; Analysis'!G409="","",'Research &amp; Analysis'!G409)</x:f>
      </x:c>
      <x:c r="I1137" s="12" t="str">
        <x:f>IF('Research &amp; Analysis'!H409="","",'Research &amp; Analysis'!H409)</x:f>
      </x:c>
      <x:c r="J1137" s="12" t="n">
        <x:f>IF('Research &amp; Analysis'!I409="","",'Research &amp; Analysis'!I409)</x:f>
        <x:v>46295</x:v>
      </x:c>
      <x:c r="K1137" s="12" t="str">
        <x:f>IF('Research &amp; Analysis'!J409="","",'Research &amp; Analysis'!J409)</x:f>
      </x:c>
      <x:c r="L1137" s="2" t="str">
        <x:f>IF('Research &amp; Analysis'!K409="","",'Research &amp; Analysis'!K409)</x:f>
      </x:c>
      <x:c r="M1137" s="2" t="n">
        <x:f>'Research &amp; Analysis'!Q409</x:f>
        <x:v>1</x:v>
      </x:c>
      <x:c r="N1137" s="2" t="str">
        <x:f>'Research &amp; Analysis'!L409</x:f>
        <x:v>Not started</x:v>
      </x:c>
      <x:c r="O1137" s="2" t="str">
        <x:f>'Research &amp; Analysis'!N409</x:f>
        <x:v>RA.CS.1.9.2026.CY3</x:v>
      </x:c>
      <x:c r="P1137" s="2" t="n">
        <x:f>'Research &amp; Analysis'!O409</x:f>
        <x:v>0</x:v>
      </x:c>
      <x:c r="Q1137" s="2" t="n">
        <x:f>SUBTOTAL(103,O1137)</x:f>
        <x:v>1</x:v>
      </x:c>
      <x:c r="R1137" s="2" t="n">
        <x:f>IF(AND(M1137=1,OR(Dashboard!$B$7="All",Dashboard!$B$7='Cycles &amp; Guide'!$C$5),OR(Dashboard!$D$7="All",Dashboard!$D$7=B1137),OR(Dashboard!$F$7="All",Dashboard!$F$7=C1137),OR(Dashboard!$H$7="All",Dashboard!$H$7=D1137),OR(Dashboard!$K$7="All",Dashboard!$K$7=E1137)),1,0)</x:f>
        <x:v>1</x:v>
      </x:c>
      <x:c r="S1137" s="2" t="n">
        <x:f>IF(R1137=1,SUM($R$10:R1137),0)</x:f>
        <x:v>764</x:v>
      </x:c>
      <x:c r="T1137" s="2" t="str">
        <x:v>Research &amp; Analysis</x:v>
      </x:c>
      <x:c r="U1137" s="2" t="n">
        <x:v>409</x:v>
      </x:c>
      <x:c r="V1137" s="2" t="n">
        <x:f>IF(AND(M1137=1,P1137=0,ISNUMBER(J1137),J1137&lt;TODAY()),1,0)</x:f>
        <x:v>0</x:v>
      </x:c>
      <x:c r="W1137" s="2" t="str">
        <x:f>'Research &amp; Analysis'!M409</x:f>
        <x:v>Task</x:v>
      </x:c>
    </x:row>
    <x:row r="1138" ht="40" customHeight="1">
      <x:c r="A1138" s="3" t="str">
        <x:f>HYPERLINK("#'Research &amp; Analysis'!A410","Open")</x:f>
        <x:v>Open</x:v>
      </x:c>
      <x:c r="B1138" s="2" t="str">
        <x:f>'Research &amp; Analysis'!B410</x:f>
        <x:v>Cycle 3</x:v>
      </x:c>
      <x:c r="C1138" s="2" t="str">
        <x:f>'Research &amp; Analysis'!C410</x:f>
        <x:v>Phase 2</x:v>
      </x:c>
      <x:c r="D1138" s="2" t="str">
        <x:f>'Research &amp; Analysis'!D410</x:f>
        <x:v>CSBBO - Customer Service</x:v>
      </x:c>
      <x:c r="E1138" s="2" t="str">
        <x:v>Research &amp; Analysis</x:v>
      </x:c>
      <x:c r="F1138" s="56" t="str">
        <x:f>'Research &amp; Analysis'!E410</x:f>
        <x:v>RA.CS.2.1</x:v>
      </x:c>
      <x:c r="G1138" s="14" t="str">
        <x:f>'Research &amp; Analysis'!F410</x:f>
        <x:v>Review data sources</x:v>
      </x:c>
      <x:c r="H1138" s="2" t="str">
        <x:f>IF('Research &amp; Analysis'!G410="","",'Research &amp; Analysis'!G410)</x:f>
      </x:c>
      <x:c r="I1138" s="12" t="str">
        <x:f>IF('Research &amp; Analysis'!H410="","",'Research &amp; Analysis'!H410)</x:f>
      </x:c>
      <x:c r="J1138" s="12" t="n">
        <x:f>IF('Research &amp; Analysis'!I410="","",'Research &amp; Analysis'!I410)</x:f>
        <x:v>46295</x:v>
      </x:c>
      <x:c r="K1138" s="12" t="str">
        <x:f>IF('Research &amp; Analysis'!J410="","",'Research &amp; Analysis'!J410)</x:f>
      </x:c>
      <x:c r="L1138" s="2" t="str">
        <x:f>IF('Research &amp; Analysis'!K410="","",'Research &amp; Analysis'!K410)</x:f>
      </x:c>
      <x:c r="M1138" s="2" t="n">
        <x:f>'Research &amp; Analysis'!Q410</x:f>
        <x:v>1</x:v>
      </x:c>
      <x:c r="N1138" s="2" t="str">
        <x:f>'Research &amp; Analysis'!L410</x:f>
        <x:v>Not started</x:v>
      </x:c>
      <x:c r="O1138" s="2" t="str">
        <x:f>'Research &amp; Analysis'!N410</x:f>
        <x:v>RA.CS.2.1.2026.CY3</x:v>
      </x:c>
      <x:c r="P1138" s="2" t="n">
        <x:f>'Research &amp; Analysis'!O410</x:f>
        <x:v>0</x:v>
      </x:c>
      <x:c r="Q1138" s="2" t="n">
        <x:f>SUBTOTAL(103,O1138)</x:f>
        <x:v>1</x:v>
      </x:c>
      <x:c r="R1138" s="2" t="n">
        <x:f>IF(AND(M1138=1,OR(Dashboard!$B$7="All",Dashboard!$B$7='Cycles &amp; Guide'!$C$5),OR(Dashboard!$D$7="All",Dashboard!$D$7=B1138),OR(Dashboard!$F$7="All",Dashboard!$F$7=C1138),OR(Dashboard!$H$7="All",Dashboard!$H$7=D1138),OR(Dashboard!$K$7="All",Dashboard!$K$7=E1138)),1,0)</x:f>
        <x:v>1</x:v>
      </x:c>
      <x:c r="S1138" s="2" t="n">
        <x:f>IF(R1138=1,SUM($R$10:R1138),0)</x:f>
        <x:v>765</x:v>
      </x:c>
      <x:c r="T1138" s="2" t="str">
        <x:v>Research &amp; Analysis</x:v>
      </x:c>
      <x:c r="U1138" s="2" t="n">
        <x:v>410</x:v>
      </x:c>
      <x:c r="V1138" s="2" t="n">
        <x:f>IF(AND(M1138=1,P1138=0,ISNUMBER(J1138),J1138&lt;TODAY()),1,0)</x:f>
        <x:v>0</x:v>
      </x:c>
      <x:c r="W1138" s="2" t="str">
        <x:f>'Research &amp; Analysis'!M410</x:f>
        <x:v>Task</x:v>
      </x:c>
    </x:row>
    <x:row r="1139" ht="40" customHeight="1">
      <x:c r="A1139" s="3" t="str">
        <x:f>HYPERLINK("#'Research &amp; Analysis'!A411","Open")</x:f>
        <x:v>Open</x:v>
      </x:c>
      <x:c r="B1139" s="2" t="str">
        <x:f>'Research &amp; Analysis'!B411</x:f>
        <x:v>Cycle 3</x:v>
      </x:c>
      <x:c r="C1139" s="2" t="str">
        <x:f>'Research &amp; Analysis'!C411</x:f>
        <x:v>Phase 2</x:v>
      </x:c>
      <x:c r="D1139" s="2" t="str">
        <x:f>'Research &amp; Analysis'!D411</x:f>
        <x:v>CSBBO - Customer Service</x:v>
      </x:c>
      <x:c r="E1139" s="2" t="str">
        <x:v>Research &amp; Analysis</x:v>
      </x:c>
      <x:c r="F1139" s="56" t="str">
        <x:f>'Research &amp; Analysis'!E411</x:f>
        <x:v>RA.CS.2.2</x:v>
      </x:c>
      <x:c r="G1139" s="14" t="str">
        <x:f>'Research &amp; Analysis'!F411</x:f>
        <x:v>Review relevant policies and procedures</x:v>
      </x:c>
      <x:c r="H1139" s="2" t="str">
        <x:f>IF('Research &amp; Analysis'!G411="","",'Research &amp; Analysis'!G411)</x:f>
      </x:c>
      <x:c r="I1139" s="12" t="str">
        <x:f>IF('Research &amp; Analysis'!H411="","",'Research &amp; Analysis'!H411)</x:f>
      </x:c>
      <x:c r="J1139" s="12" t="n">
        <x:f>IF('Research &amp; Analysis'!I411="","",'Research &amp; Analysis'!I411)</x:f>
        <x:v>46295</x:v>
      </x:c>
      <x:c r="K1139" s="12" t="str">
        <x:f>IF('Research &amp; Analysis'!J411="","",'Research &amp; Analysis'!J411)</x:f>
      </x:c>
      <x:c r="L1139" s="2" t="str">
        <x:f>IF('Research &amp; Analysis'!K411="","",'Research &amp; Analysis'!K411)</x:f>
      </x:c>
      <x:c r="M1139" s="2" t="n">
        <x:f>'Research &amp; Analysis'!Q411</x:f>
        <x:v>1</x:v>
      </x:c>
      <x:c r="N1139" s="2" t="str">
        <x:f>'Research &amp; Analysis'!L411</x:f>
        <x:v>Not started</x:v>
      </x:c>
      <x:c r="O1139" s="2" t="str">
        <x:f>'Research &amp; Analysis'!N411</x:f>
        <x:v>RA.CS.2.2.2026.CY3</x:v>
      </x:c>
      <x:c r="P1139" s="2" t="n">
        <x:f>'Research &amp; Analysis'!O411</x:f>
        <x:v>0</x:v>
      </x:c>
      <x:c r="Q1139" s="2" t="n">
        <x:f>SUBTOTAL(103,O1139)</x:f>
        <x:v>1</x:v>
      </x:c>
      <x:c r="R1139" s="2" t="n">
        <x:f>IF(AND(M1139=1,OR(Dashboard!$B$7="All",Dashboard!$B$7='Cycles &amp; Guide'!$C$5),OR(Dashboard!$D$7="All",Dashboard!$D$7=B1139),OR(Dashboard!$F$7="All",Dashboard!$F$7=C1139),OR(Dashboard!$H$7="All",Dashboard!$H$7=D1139),OR(Dashboard!$K$7="All",Dashboard!$K$7=E1139)),1,0)</x:f>
        <x:v>1</x:v>
      </x:c>
      <x:c r="S1139" s="2" t="n">
        <x:f>IF(R1139=1,SUM($R$10:R1139),0)</x:f>
        <x:v>766</x:v>
      </x:c>
      <x:c r="T1139" s="2" t="str">
        <x:v>Research &amp; Analysis</x:v>
      </x:c>
      <x:c r="U1139" s="2" t="n">
        <x:v>411</x:v>
      </x:c>
      <x:c r="V1139" s="2" t="n">
        <x:f>IF(AND(M1139=1,P1139=0,ISNUMBER(J1139),J1139&lt;TODAY()),1,0)</x:f>
        <x:v>0</x:v>
      </x:c>
      <x:c r="W1139" s="2" t="str">
        <x:f>'Research &amp; Analysis'!M411</x:f>
        <x:v>Task</x:v>
      </x:c>
    </x:row>
    <x:row r="1140" ht="40" customHeight="1">
      <x:c r="A1140" s="3" t="str">
        <x:f>HYPERLINK("#'Research &amp; Analysis'!A412","Open")</x:f>
        <x:v>Open</x:v>
      </x:c>
      <x:c r="B1140" s="2" t="str">
        <x:f>'Research &amp; Analysis'!B412</x:f>
        <x:v>Cycle 3</x:v>
      </x:c>
      <x:c r="C1140" s="2" t="str">
        <x:f>'Research &amp; Analysis'!C412</x:f>
        <x:v>Phase 2</x:v>
      </x:c>
      <x:c r="D1140" s="2" t="str">
        <x:f>'Research &amp; Analysis'!D412</x:f>
        <x:v>CSBBO - Customer Service</x:v>
      </x:c>
      <x:c r="E1140" s="2" t="str">
        <x:v>Research &amp; Analysis</x:v>
      </x:c>
      <x:c r="F1140" s="56" t="str">
        <x:f>'Research &amp; Analysis'!E412</x:f>
        <x:v>RA.CS.2.3</x:v>
      </x:c>
      <x:c r="G1140" s="14" t="str">
        <x:f>'Research &amp; Analysis'!F412</x:f>
        <x:v>Meet with SMEs to gain business insight and clarify questions</x:v>
      </x:c>
      <x:c r="H1140" s="2" t="str">
        <x:f>IF('Research &amp; Analysis'!G412="","",'Research &amp; Analysis'!G412)</x:f>
      </x:c>
      <x:c r="I1140" s="12" t="str">
        <x:f>IF('Research &amp; Analysis'!H412="","",'Research &amp; Analysis'!H412)</x:f>
      </x:c>
      <x:c r="J1140" s="12" t="n">
        <x:f>IF('Research &amp; Analysis'!I412="","",'Research &amp; Analysis'!I412)</x:f>
        <x:v>46295</x:v>
      </x:c>
      <x:c r="K1140" s="12" t="str">
        <x:f>IF('Research &amp; Analysis'!J412="","",'Research &amp; Analysis'!J412)</x:f>
      </x:c>
      <x:c r="L1140" s="2" t="str">
        <x:f>IF('Research &amp; Analysis'!K412="","",'Research &amp; Analysis'!K412)</x:f>
      </x:c>
      <x:c r="M1140" s="2" t="n">
        <x:f>'Research &amp; Analysis'!Q412</x:f>
        <x:v>1</x:v>
      </x:c>
      <x:c r="N1140" s="2" t="str">
        <x:f>'Research &amp; Analysis'!L412</x:f>
        <x:v>Not started</x:v>
      </x:c>
      <x:c r="O1140" s="2" t="str">
        <x:f>'Research &amp; Analysis'!N412</x:f>
        <x:v>RA.CS.2.3.2026.CY3</x:v>
      </x:c>
      <x:c r="P1140" s="2" t="n">
        <x:f>'Research &amp; Analysis'!O412</x:f>
        <x:v>0</x:v>
      </x:c>
      <x:c r="Q1140" s="2" t="n">
        <x:f>SUBTOTAL(103,O1140)</x:f>
        <x:v>1</x:v>
      </x:c>
      <x:c r="R1140" s="2" t="n">
        <x:f>IF(AND(M1140=1,OR(Dashboard!$B$7="All",Dashboard!$B$7='Cycles &amp; Guide'!$C$5),OR(Dashboard!$D$7="All",Dashboard!$D$7=B1140),OR(Dashboard!$F$7="All",Dashboard!$F$7=C1140),OR(Dashboard!$H$7="All",Dashboard!$H$7=D1140),OR(Dashboard!$K$7="All",Dashboard!$K$7=E1140)),1,0)</x:f>
        <x:v>1</x:v>
      </x:c>
      <x:c r="S1140" s="2" t="n">
        <x:f>IF(R1140=1,SUM($R$10:R1140),0)</x:f>
        <x:v>767</x:v>
      </x:c>
      <x:c r="T1140" s="2" t="str">
        <x:v>Research &amp; Analysis</x:v>
      </x:c>
      <x:c r="U1140" s="2" t="n">
        <x:v>412</x:v>
      </x:c>
      <x:c r="V1140" s="2" t="n">
        <x:f>IF(AND(M1140=1,P1140=0,ISNUMBER(J1140),J1140&lt;TODAY()),1,0)</x:f>
        <x:v>0</x:v>
      </x:c>
      <x:c r="W1140" s="2" t="str">
        <x:f>'Research &amp; Analysis'!M412</x:f>
        <x:v>Task</x:v>
      </x:c>
    </x:row>
    <x:row r="1141" ht="40" customHeight="1">
      <x:c r="A1141" s="3" t="str">
        <x:f>HYPERLINK("#'Research &amp; Analysis'!A413","Open")</x:f>
        <x:v>Open</x:v>
      </x:c>
      <x:c r="B1141" s="2" t="str">
        <x:f>'Research &amp; Analysis'!B413</x:f>
        <x:v>Cycle 3</x:v>
      </x:c>
      <x:c r="C1141" s="2" t="str">
        <x:f>'Research &amp; Analysis'!C413</x:f>
        <x:v>Phase 2</x:v>
      </x:c>
      <x:c r="D1141" s="2" t="str">
        <x:f>'Research &amp; Analysis'!D413</x:f>
        <x:v>CSBBO - Customer Service</x:v>
      </x:c>
      <x:c r="E1141" s="2" t="str">
        <x:v>Research &amp; Analysis</x:v>
      </x:c>
      <x:c r="F1141" s="56" t="str">
        <x:f>'Research &amp; Analysis'!E413</x:f>
        <x:v>RA.CS.2.4</x:v>
      </x:c>
      <x:c r="G1141" s="14" t="str">
        <x:f>'Research &amp; Analysis'!F413</x:f>
        <x:v>Establish and maintain a recurring meeting with D&amp;I to discuss Cycle progress</x:v>
      </x:c>
      <x:c r="H1141" s="2" t="str">
        <x:f>IF('Research &amp; Analysis'!G413="","",'Research &amp; Analysis'!G413)</x:f>
      </x:c>
      <x:c r="I1141" s="12" t="str">
        <x:f>IF('Research &amp; Analysis'!H413="","",'Research &amp; Analysis'!H413)</x:f>
      </x:c>
      <x:c r="J1141" s="12" t="n">
        <x:f>IF('Research &amp; Analysis'!I413="","",'Research &amp; Analysis'!I413)</x:f>
        <x:v>46295</x:v>
      </x:c>
      <x:c r="K1141" s="12" t="str">
        <x:f>IF('Research &amp; Analysis'!J413="","",'Research &amp; Analysis'!J413)</x:f>
      </x:c>
      <x:c r="L1141" s="2" t="str">
        <x:f>IF('Research &amp; Analysis'!K413="","",'Research &amp; Analysis'!K413)</x:f>
      </x:c>
      <x:c r="M1141" s="2" t="n">
        <x:f>'Research &amp; Analysis'!Q413</x:f>
        <x:v>1</x:v>
      </x:c>
      <x:c r="N1141" s="2" t="str">
        <x:f>'Research &amp; Analysis'!L413</x:f>
        <x:v>Not started</x:v>
      </x:c>
      <x:c r="O1141" s="2" t="str">
        <x:f>'Research &amp; Analysis'!N413</x:f>
        <x:v>RA.CS.2.4.2026.CY3</x:v>
      </x:c>
      <x:c r="P1141" s="2" t="n">
        <x:f>'Research &amp; Analysis'!O413</x:f>
        <x:v>0</x:v>
      </x:c>
      <x:c r="Q1141" s="2" t="n">
        <x:f>SUBTOTAL(103,O1141)</x:f>
        <x:v>1</x:v>
      </x:c>
      <x:c r="R1141" s="2" t="n">
        <x:f>IF(AND(M1141=1,OR(Dashboard!$B$7="All",Dashboard!$B$7='Cycles &amp; Guide'!$C$5),OR(Dashboard!$D$7="All",Dashboard!$D$7=B1141),OR(Dashboard!$F$7="All",Dashboard!$F$7=C1141),OR(Dashboard!$H$7="All",Dashboard!$H$7=D1141),OR(Dashboard!$K$7="All",Dashboard!$K$7=E1141)),1,0)</x:f>
        <x:v>1</x:v>
      </x:c>
      <x:c r="S1141" s="2" t="n">
        <x:f>IF(R1141=1,SUM($R$10:R1141),0)</x:f>
        <x:v>768</x:v>
      </x:c>
      <x:c r="T1141" s="2" t="str">
        <x:v>Research &amp; Analysis</x:v>
      </x:c>
      <x:c r="U1141" s="2" t="n">
        <x:v>413</x:v>
      </x:c>
      <x:c r="V1141" s="2" t="n">
        <x:f>IF(AND(M1141=1,P1141=0,ISNUMBER(J1141),J1141&lt;TODAY()),1,0)</x:f>
        <x:v>0</x:v>
      </x:c>
      <x:c r="W1141" s="2" t="str">
        <x:f>'Research &amp; Analysis'!M413</x:f>
        <x:v>Task</x:v>
      </x:c>
    </x:row>
    <x:row r="1142" ht="40" customHeight="1">
      <x:c r="A1142" s="3" t="str">
        <x:f>HYPERLINK("#'Research &amp; Analysis'!A414","Open")</x:f>
        <x:v>Open</x:v>
      </x:c>
      <x:c r="B1142" s="2" t="str">
        <x:f>'Research &amp; Analysis'!B414</x:f>
        <x:v>Cycle 3</x:v>
      </x:c>
      <x:c r="C1142" s="2" t="str">
        <x:f>'Research &amp; Analysis'!C414</x:f>
        <x:v>Phase 2</x:v>
      </x:c>
      <x:c r="D1142" s="2" t="str">
        <x:f>'Research &amp; Analysis'!D414</x:f>
        <x:v>CSBBO - Customer Service</x:v>
      </x:c>
      <x:c r="E1142" s="2" t="str">
        <x:v>Research &amp; Analysis</x:v>
      </x:c>
      <x:c r="F1142" s="56" t="str">
        <x:f>'Research &amp; Analysis'!E414</x:f>
        <x:v>RA.CS.2.5</x:v>
      </x:c>
      <x:c r="G1142" s="14" t="str">
        <x:f>'Research &amp; Analysis'!F414</x:f>
        <x:v>Perform data testing and sampling</x:v>
      </x:c>
      <x:c r="H1142" s="2" t="str">
        <x:f>IF('Research &amp; Analysis'!G414="","",'Research &amp; Analysis'!G414)</x:f>
      </x:c>
      <x:c r="I1142" s="12" t="str">
        <x:f>IF('Research &amp; Analysis'!H414="","",'Research &amp; Analysis'!H414)</x:f>
      </x:c>
      <x:c r="J1142" s="12" t="n">
        <x:f>IF('Research &amp; Analysis'!I414="","",'Research &amp; Analysis'!I414)</x:f>
        <x:v>46295</x:v>
      </x:c>
      <x:c r="K1142" s="12" t="str">
        <x:f>IF('Research &amp; Analysis'!J414="","",'Research &amp; Analysis'!J414)</x:f>
      </x:c>
      <x:c r="L1142" s="2" t="str">
        <x:f>IF('Research &amp; Analysis'!K414="","",'Research &amp; Analysis'!K414)</x:f>
      </x:c>
      <x:c r="M1142" s="2" t="n">
        <x:f>'Research &amp; Analysis'!Q414</x:f>
        <x:v>1</x:v>
      </x:c>
      <x:c r="N1142" s="2" t="str">
        <x:f>'Research &amp; Analysis'!L414</x:f>
        <x:v>Not started</x:v>
      </x:c>
      <x:c r="O1142" s="2" t="str">
        <x:f>'Research &amp; Analysis'!N414</x:f>
        <x:v>RA.CS.2.5.2026.CY3</x:v>
      </x:c>
      <x:c r="P1142" s="2" t="n">
        <x:f>'Research &amp; Analysis'!O414</x:f>
        <x:v>0</x:v>
      </x:c>
      <x:c r="Q1142" s="2" t="n">
        <x:f>SUBTOTAL(103,O1142)</x:f>
        <x:v>1</x:v>
      </x:c>
      <x:c r="R1142" s="2" t="n">
        <x:f>IF(AND(M1142=1,OR(Dashboard!$B$7="All",Dashboard!$B$7='Cycles &amp; Guide'!$C$5),OR(Dashboard!$D$7="All",Dashboard!$D$7=B1142),OR(Dashboard!$F$7="All",Dashboard!$F$7=C1142),OR(Dashboard!$H$7="All",Dashboard!$H$7=D1142),OR(Dashboard!$K$7="All",Dashboard!$K$7=E1142)),1,0)</x:f>
        <x:v>1</x:v>
      </x:c>
      <x:c r="S1142" s="2" t="n">
        <x:f>IF(R1142=1,SUM($R$10:R1142),0)</x:f>
        <x:v>769</x:v>
      </x:c>
      <x:c r="T1142" s="2" t="str">
        <x:v>Research &amp; Analysis</x:v>
      </x:c>
      <x:c r="U1142" s="2" t="n">
        <x:v>414</x:v>
      </x:c>
      <x:c r="V1142" s="2" t="n">
        <x:f>IF(AND(M1142=1,P1142=0,ISNUMBER(J1142),J1142&lt;TODAY()),1,0)</x:f>
        <x:v>0</x:v>
      </x:c>
      <x:c r="W1142" s="2" t="str">
        <x:f>'Research &amp; Analysis'!M414</x:f>
        <x:v>Task</x:v>
      </x:c>
    </x:row>
    <x:row r="1143" ht="40" customHeight="1">
      <x:c r="A1143" s="3" t="str">
        <x:f>HYPERLINK("#'Research &amp; Analysis'!A415","Open")</x:f>
        <x:v>Open</x:v>
      </x:c>
      <x:c r="B1143" s="2" t="str">
        <x:f>'Research &amp; Analysis'!B415</x:f>
        <x:v>Cycle 3</x:v>
      </x:c>
      <x:c r="C1143" s="2" t="str">
        <x:f>'Research &amp; Analysis'!C415</x:f>
        <x:v>Phase 2</x:v>
      </x:c>
      <x:c r="D1143" s="2" t="str">
        <x:f>'Research &amp; Analysis'!D415</x:f>
        <x:v>CSBBO - Customer Service</x:v>
      </x:c>
      <x:c r="E1143" s="2" t="str">
        <x:v>Research &amp; Analysis</x:v>
      </x:c>
      <x:c r="F1143" s="56" t="str">
        <x:f>'Research &amp; Analysis'!E415</x:f>
        <x:v>RA.CS.2.6</x:v>
      </x:c>
      <x:c r="G1143" s="14" t="str">
        <x:f>'Research &amp; Analysis'!F415</x:f>
        <x:v>Complete Positive Testing</x:v>
      </x:c>
      <x:c r="H1143" s="2" t="str">
        <x:f>IF('Research &amp; Analysis'!G415="","",'Research &amp; Analysis'!G415)</x:f>
      </x:c>
      <x:c r="I1143" s="12" t="str">
        <x:f>IF('Research &amp; Analysis'!H415="","",'Research &amp; Analysis'!H415)</x:f>
      </x:c>
      <x:c r="J1143" s="12" t="n">
        <x:f>IF('Research &amp; Analysis'!I415="","",'Research &amp; Analysis'!I415)</x:f>
        <x:v>46295</x:v>
      </x:c>
      <x:c r="K1143" s="12" t="str">
        <x:f>IF('Research &amp; Analysis'!J415="","",'Research &amp; Analysis'!J415)</x:f>
      </x:c>
      <x:c r="L1143" s="2" t="str">
        <x:f>IF('Research &amp; Analysis'!K415="","",'Research &amp; Analysis'!K415)</x:f>
      </x:c>
      <x:c r="M1143" s="2" t="n">
        <x:f>'Research &amp; Analysis'!Q415</x:f>
        <x:v>1</x:v>
      </x:c>
      <x:c r="N1143" s="2" t="str">
        <x:f>'Research &amp; Analysis'!L415</x:f>
        <x:v>Not started</x:v>
      </x:c>
      <x:c r="O1143" s="2" t="str">
        <x:f>'Research &amp; Analysis'!N415</x:f>
        <x:v>RA.CS.2.6.2026.CY3</x:v>
      </x:c>
      <x:c r="P1143" s="2" t="n">
        <x:f>'Research &amp; Analysis'!O415</x:f>
        <x:v>0</x:v>
      </x:c>
      <x:c r="Q1143" s="2" t="n">
        <x:f>SUBTOTAL(103,O1143)</x:f>
        <x:v>1</x:v>
      </x:c>
      <x:c r="R1143" s="2" t="n">
        <x:f>IF(AND(M1143=1,OR(Dashboard!$B$7="All",Dashboard!$B$7='Cycles &amp; Guide'!$C$5),OR(Dashboard!$D$7="All",Dashboard!$D$7=B1143),OR(Dashboard!$F$7="All",Dashboard!$F$7=C1143),OR(Dashboard!$H$7="All",Dashboard!$H$7=D1143),OR(Dashboard!$K$7="All",Dashboard!$K$7=E1143)),1,0)</x:f>
        <x:v>1</x:v>
      </x:c>
      <x:c r="S1143" s="2" t="n">
        <x:f>IF(R1143=1,SUM($R$10:R1143),0)</x:f>
        <x:v>770</x:v>
      </x:c>
      <x:c r="T1143" s="2" t="str">
        <x:v>Research &amp; Analysis</x:v>
      </x:c>
      <x:c r="U1143" s="2" t="n">
        <x:v>415</x:v>
      </x:c>
      <x:c r="V1143" s="2" t="n">
        <x:f>IF(AND(M1143=1,P1143=0,ISNUMBER(J1143),J1143&lt;TODAY()),1,0)</x:f>
        <x:v>0</x:v>
      </x:c>
      <x:c r="W1143" s="2" t="str">
        <x:f>'Research &amp; Analysis'!M415</x:f>
        <x:v>Task</x:v>
      </x:c>
    </x:row>
    <x:row r="1144" ht="40" customHeight="1">
      <x:c r="A1144" s="3" t="str">
        <x:f>HYPERLINK("#'Research &amp; Analysis'!A416","Open")</x:f>
        <x:v>Open</x:v>
      </x:c>
      <x:c r="B1144" s="2" t="str">
        <x:f>'Research &amp; Analysis'!B416</x:f>
        <x:v>Cycle 3</x:v>
      </x:c>
      <x:c r="C1144" s="2" t="str">
        <x:f>'Research &amp; Analysis'!C416</x:f>
        <x:v>Phase 2</x:v>
      </x:c>
      <x:c r="D1144" s="2" t="str">
        <x:f>'Research &amp; Analysis'!D416</x:f>
        <x:v>CSBBO - Customer Service</x:v>
      </x:c>
      <x:c r="E1144" s="2" t="str">
        <x:v>Research &amp; Analysis</x:v>
      </x:c>
      <x:c r="F1144" s="56" t="str">
        <x:f>'Research &amp; Analysis'!E416</x:f>
        <x:v>RA.CS.2.7</x:v>
      </x:c>
      <x:c r="G1144" s="14" t="str">
        <x:f>'Research &amp; Analysis'!F416</x:f>
        <x:v>Complete Negative Testing</x:v>
      </x:c>
      <x:c r="H1144" s="2" t="str">
        <x:f>IF('Research &amp; Analysis'!G416="","",'Research &amp; Analysis'!G416)</x:f>
      </x:c>
      <x:c r="I1144" s="12" t="str">
        <x:f>IF('Research &amp; Analysis'!H416="","",'Research &amp; Analysis'!H416)</x:f>
      </x:c>
      <x:c r="J1144" s="12" t="n">
        <x:f>IF('Research &amp; Analysis'!I416="","",'Research &amp; Analysis'!I416)</x:f>
        <x:v>46295</x:v>
      </x:c>
      <x:c r="K1144" s="12" t="str">
        <x:f>IF('Research &amp; Analysis'!J416="","",'Research &amp; Analysis'!J416)</x:f>
      </x:c>
      <x:c r="L1144" s="2" t="str">
        <x:f>IF('Research &amp; Analysis'!K416="","",'Research &amp; Analysis'!K416)</x:f>
      </x:c>
      <x:c r="M1144" s="2" t="n">
        <x:f>'Research &amp; Analysis'!Q416</x:f>
        <x:v>1</x:v>
      </x:c>
      <x:c r="N1144" s="2" t="str">
        <x:f>'Research &amp; Analysis'!L416</x:f>
        <x:v>Not started</x:v>
      </x:c>
      <x:c r="O1144" s="2" t="str">
        <x:f>'Research &amp; Analysis'!N416</x:f>
        <x:v>RA.CS.2.7.2026.CY3</x:v>
      </x:c>
      <x:c r="P1144" s="2" t="n">
        <x:f>'Research &amp; Analysis'!O416</x:f>
        <x:v>0</x:v>
      </x:c>
      <x:c r="Q1144" s="2" t="n">
        <x:f>SUBTOTAL(103,O1144)</x:f>
        <x:v>1</x:v>
      </x:c>
      <x:c r="R1144" s="2" t="n">
        <x:f>IF(AND(M1144=1,OR(Dashboard!$B$7="All",Dashboard!$B$7='Cycles &amp; Guide'!$C$5),OR(Dashboard!$D$7="All",Dashboard!$D$7=B1144),OR(Dashboard!$F$7="All",Dashboard!$F$7=C1144),OR(Dashboard!$H$7="All",Dashboard!$H$7=D1144),OR(Dashboard!$K$7="All",Dashboard!$K$7=E1144)),1,0)</x:f>
        <x:v>1</x:v>
      </x:c>
      <x:c r="S1144" s="2" t="n">
        <x:f>IF(R1144=1,SUM($R$10:R1144),0)</x:f>
        <x:v>771</x:v>
      </x:c>
      <x:c r="T1144" s="2" t="str">
        <x:v>Research &amp; Analysis</x:v>
      </x:c>
      <x:c r="U1144" s="2" t="n">
        <x:v>416</x:v>
      </x:c>
      <x:c r="V1144" s="2" t="n">
        <x:f>IF(AND(M1144=1,P1144=0,ISNUMBER(J1144),J1144&lt;TODAY()),1,0)</x:f>
        <x:v>0</x:v>
      </x:c>
      <x:c r="W1144" s="2" t="str">
        <x:f>'Research &amp; Analysis'!M416</x:f>
        <x:v>Task</x:v>
      </x:c>
    </x:row>
    <x:row r="1145" ht="40" customHeight="1">
      <x:c r="A1145" s="3" t="str">
        <x:f>HYPERLINK("#'Research &amp; Analysis'!A417","Open")</x:f>
        <x:v>Open</x:v>
      </x:c>
      <x:c r="B1145" s="2" t="str">
        <x:f>'Research &amp; Analysis'!B417</x:f>
        <x:v>Cycle 3</x:v>
      </x:c>
      <x:c r="C1145" s="2" t="str">
        <x:f>'Research &amp; Analysis'!C417</x:f>
        <x:v>Phase 2</x:v>
      </x:c>
      <x:c r="D1145" s="2" t="str">
        <x:f>'Research &amp; Analysis'!D417</x:f>
        <x:v>CSBBO - Customer Service</x:v>
      </x:c>
      <x:c r="E1145" s="2" t="str">
        <x:v>Research &amp; Analysis</x:v>
      </x:c>
      <x:c r="F1145" s="56" t="str">
        <x:f>'Research &amp; Analysis'!E417</x:f>
        <x:v>RA.CS.2.8</x:v>
      </x:c>
      <x:c r="G1145" s="14" t="str">
        <x:f>'Research &amp; Analysis'!F417</x:f>
        <x:v>Request additional data (as needed)</x:v>
      </x:c>
      <x:c r="H1145" s="2" t="str">
        <x:f>IF('Research &amp; Analysis'!G417="","",'Research &amp; Analysis'!G417)</x:f>
      </x:c>
      <x:c r="I1145" s="12" t="str">
        <x:f>IF('Research &amp; Analysis'!H417="","",'Research &amp; Analysis'!H417)</x:f>
      </x:c>
      <x:c r="J1145" s="12" t="n">
        <x:f>IF('Research &amp; Analysis'!I417="","",'Research &amp; Analysis'!I417)</x:f>
        <x:v>46295</x:v>
      </x:c>
      <x:c r="K1145" s="12" t="str">
        <x:f>IF('Research &amp; Analysis'!J417="","",'Research &amp; Analysis'!J417)</x:f>
      </x:c>
      <x:c r="L1145" s="2" t="str">
        <x:f>IF('Research &amp; Analysis'!K417="","",'Research &amp; Analysis'!K417)</x:f>
      </x:c>
      <x:c r="M1145" s="2" t="n">
        <x:f>'Research &amp; Analysis'!Q417</x:f>
        <x:v>1</x:v>
      </x:c>
      <x:c r="N1145" s="2" t="str">
        <x:f>'Research &amp; Analysis'!L417</x:f>
        <x:v>Not started</x:v>
      </x:c>
      <x:c r="O1145" s="2" t="str">
        <x:f>'Research &amp; Analysis'!N417</x:f>
        <x:v>RA.CS.2.8.2026.CY3</x:v>
      </x:c>
      <x:c r="P1145" s="2" t="n">
        <x:f>'Research &amp; Analysis'!O417</x:f>
        <x:v>0</x:v>
      </x:c>
      <x:c r="Q1145" s="2" t="n">
        <x:f>SUBTOTAL(103,O1145)</x:f>
        <x:v>1</x:v>
      </x:c>
      <x:c r="R1145" s="2" t="n">
        <x:f>IF(AND(M1145=1,OR(Dashboard!$B$7="All",Dashboard!$B$7='Cycles &amp; Guide'!$C$5),OR(Dashboard!$D$7="All",Dashboard!$D$7=B1145),OR(Dashboard!$F$7="All",Dashboard!$F$7=C1145),OR(Dashboard!$H$7="All",Dashboard!$H$7=D1145),OR(Dashboard!$K$7="All",Dashboard!$K$7=E1145)),1,0)</x:f>
        <x:v>1</x:v>
      </x:c>
      <x:c r="S1145" s="2" t="n">
        <x:f>IF(R1145=1,SUM($R$10:R1145),0)</x:f>
        <x:v>772</x:v>
      </x:c>
      <x:c r="T1145" s="2" t="str">
        <x:v>Research &amp; Analysis</x:v>
      </x:c>
      <x:c r="U1145" s="2" t="n">
        <x:v>417</x:v>
      </x:c>
      <x:c r="V1145" s="2" t="n">
        <x:f>IF(AND(M1145=1,P1145=0,ISNUMBER(J1145),J1145&lt;TODAY()),1,0)</x:f>
        <x:v>0</x:v>
      </x:c>
      <x:c r="W1145" s="2" t="str">
        <x:f>'Research &amp; Analysis'!M417</x:f>
        <x:v>Task</x:v>
      </x:c>
    </x:row>
    <x:row r="1146" ht="40" customHeight="1">
      <x:c r="A1146" s="3" t="str">
        <x:f>HYPERLINK("#'Research &amp; Analysis'!A418","Open")</x:f>
        <x:v>Open</x:v>
      </x:c>
      <x:c r="B1146" s="2" t="str">
        <x:f>'Research &amp; Analysis'!B418</x:f>
        <x:v>Cycle 3</x:v>
      </x:c>
      <x:c r="C1146" s="2" t="str">
        <x:f>'Research &amp; Analysis'!C418</x:f>
        <x:v>Phase 2</x:v>
      </x:c>
      <x:c r="D1146" s="2" t="str">
        <x:f>'Research &amp; Analysis'!D418</x:f>
        <x:v>CSBBO - Customer Service</x:v>
      </x:c>
      <x:c r="E1146" s="2" t="str">
        <x:v>Research &amp; Analysis</x:v>
      </x:c>
      <x:c r="F1146" s="56" t="str">
        <x:f>'Research &amp; Analysis'!E418</x:f>
        <x:v>RA.CS.2.9</x:v>
      </x:c>
      <x:c r="G1146" s="14" t="str">
        <x:f>'Research &amp; Analysis'!F418</x:f>
        <x:v>Validate or disprove initial hypothesis assumptions</x:v>
      </x:c>
      <x:c r="H1146" s="2" t="str">
        <x:f>IF('Research &amp; Analysis'!G418="","",'Research &amp; Analysis'!G418)</x:f>
      </x:c>
      <x:c r="I1146" s="12" t="str">
        <x:f>IF('Research &amp; Analysis'!H418="","",'Research &amp; Analysis'!H418)</x:f>
      </x:c>
      <x:c r="J1146" s="12" t="n">
        <x:f>IF('Research &amp; Analysis'!I418="","",'Research &amp; Analysis'!I418)</x:f>
        <x:v>46295</x:v>
      </x:c>
      <x:c r="K1146" s="12" t="str">
        <x:f>IF('Research &amp; Analysis'!J418="","",'Research &amp; Analysis'!J418)</x:f>
      </x:c>
      <x:c r="L1146" s="2" t="str">
        <x:f>IF('Research &amp; Analysis'!K418="","",'Research &amp; Analysis'!K418)</x:f>
      </x:c>
      <x:c r="M1146" s="2" t="n">
        <x:f>'Research &amp; Analysis'!Q418</x:f>
        <x:v>1</x:v>
      </x:c>
      <x:c r="N1146" s="2" t="str">
        <x:f>'Research &amp; Analysis'!L418</x:f>
        <x:v>Not started</x:v>
      </x:c>
      <x:c r="O1146" s="2" t="str">
        <x:f>'Research &amp; Analysis'!N418</x:f>
        <x:v>RA.CS.2.9.2026.CY3</x:v>
      </x:c>
      <x:c r="P1146" s="2" t="n">
        <x:f>'Research &amp; Analysis'!O418</x:f>
        <x:v>0</x:v>
      </x:c>
      <x:c r="Q1146" s="2" t="n">
        <x:f>SUBTOTAL(103,O1146)</x:f>
        <x:v>1</x:v>
      </x:c>
      <x:c r="R1146" s="2" t="n">
        <x:f>IF(AND(M1146=1,OR(Dashboard!$B$7="All",Dashboard!$B$7='Cycles &amp; Guide'!$C$5),OR(Dashboard!$D$7="All",Dashboard!$D$7=B1146),OR(Dashboard!$F$7="All",Dashboard!$F$7=C1146),OR(Dashboard!$H$7="All",Dashboard!$H$7=D1146),OR(Dashboard!$K$7="All",Dashboard!$K$7=E1146)),1,0)</x:f>
        <x:v>1</x:v>
      </x:c>
      <x:c r="S1146" s="2" t="n">
        <x:f>IF(R1146=1,SUM($R$10:R1146),0)</x:f>
        <x:v>773</x:v>
      </x:c>
      <x:c r="T1146" s="2" t="str">
        <x:v>Research &amp; Analysis</x:v>
      </x:c>
      <x:c r="U1146" s="2" t="n">
        <x:v>418</x:v>
      </x:c>
      <x:c r="V1146" s="2" t="n">
        <x:f>IF(AND(M1146=1,P1146=0,ISNUMBER(J1146),J1146&lt;TODAY()),1,0)</x:f>
        <x:v>0</x:v>
      </x:c>
      <x:c r="W1146" s="2" t="str">
        <x:f>'Research &amp; Analysis'!M418</x:f>
        <x:v>Task</x:v>
      </x:c>
    </x:row>
    <x:row r="1147" ht="40" customHeight="1">
      <x:c r="A1147" s="3" t="str">
        <x:f>HYPERLINK("#'Research &amp; Analysis'!A419","Open")</x:f>
        <x:v>Open</x:v>
      </x:c>
      <x:c r="B1147" s="2" t="str">
        <x:f>'Research &amp; Analysis'!B419</x:f>
        <x:v>Cycle 3</x:v>
      </x:c>
      <x:c r="C1147" s="2" t="str">
        <x:f>'Research &amp; Analysis'!C419</x:f>
        <x:v>Phase 2</x:v>
      </x:c>
      <x:c r="D1147" s="2" t="str">
        <x:f>'Research &amp; Analysis'!D419</x:f>
        <x:v>CSBBO - Customer Service</x:v>
      </x:c>
      <x:c r="E1147" s="2" t="str">
        <x:v>Research &amp; Analysis</x:v>
      </x:c>
      <x:c r="F1147" s="56" t="str">
        <x:f>'Research &amp; Analysis'!E419</x:f>
        <x:v>RA.CS.2.10</x:v>
      </x:c>
      <x:c r="G1147" s="14" t="str">
        <x:f>'Research &amp; Analysis'!F419</x:f>
        <x:v>Identify and confirm root cause</x:v>
      </x:c>
      <x:c r="H1147" s="2" t="str">
        <x:f>IF('Research &amp; Analysis'!G419="","",'Research &amp; Analysis'!G419)</x:f>
      </x:c>
      <x:c r="I1147" s="12" t="str">
        <x:f>IF('Research &amp; Analysis'!H419="","",'Research &amp; Analysis'!H419)</x:f>
      </x:c>
      <x:c r="J1147" s="12" t="n">
        <x:f>IF('Research &amp; Analysis'!I419="","",'Research &amp; Analysis'!I419)</x:f>
        <x:v>46295</x:v>
      </x:c>
      <x:c r="K1147" s="12" t="str">
        <x:f>IF('Research &amp; Analysis'!J419="","",'Research &amp; Analysis'!J419)</x:f>
      </x:c>
      <x:c r="L1147" s="2" t="str">
        <x:f>IF('Research &amp; Analysis'!K419="","",'Research &amp; Analysis'!K419)</x:f>
      </x:c>
      <x:c r="M1147" s="2" t="n">
        <x:f>'Research &amp; Analysis'!Q419</x:f>
        <x:v>1</x:v>
      </x:c>
      <x:c r="N1147" s="2" t="str">
        <x:f>'Research &amp; Analysis'!L419</x:f>
        <x:v>Not started</x:v>
      </x:c>
      <x:c r="O1147" s="2" t="str">
        <x:f>'Research &amp; Analysis'!N419</x:f>
        <x:v>RA.CS.2.10.2026.CY3</x:v>
      </x:c>
      <x:c r="P1147" s="2" t="n">
        <x:f>'Research &amp; Analysis'!O419</x:f>
        <x:v>0</x:v>
      </x:c>
      <x:c r="Q1147" s="2" t="n">
        <x:f>SUBTOTAL(103,O1147)</x:f>
        <x:v>1</x:v>
      </x:c>
      <x:c r="R1147" s="2" t="n">
        <x:f>IF(AND(M1147=1,OR(Dashboard!$B$7="All",Dashboard!$B$7='Cycles &amp; Guide'!$C$5),OR(Dashboard!$D$7="All",Dashboard!$D$7=B1147),OR(Dashboard!$F$7="All",Dashboard!$F$7=C1147),OR(Dashboard!$H$7="All",Dashboard!$H$7=D1147),OR(Dashboard!$K$7="All",Dashboard!$K$7=E1147)),1,0)</x:f>
        <x:v>1</x:v>
      </x:c>
      <x:c r="S1147" s="2" t="n">
        <x:f>IF(R1147=1,SUM($R$10:R1147),0)</x:f>
        <x:v>774</x:v>
      </x:c>
      <x:c r="T1147" s="2" t="str">
        <x:v>Research &amp; Analysis</x:v>
      </x:c>
      <x:c r="U1147" s="2" t="n">
        <x:v>419</x:v>
      </x:c>
      <x:c r="V1147" s="2" t="n">
        <x:f>IF(AND(M1147=1,P1147=0,ISNUMBER(J1147),J1147&lt;TODAY()),1,0)</x:f>
        <x:v>0</x:v>
      </x:c>
      <x:c r="W1147" s="2" t="str">
        <x:f>'Research &amp; Analysis'!M419</x:f>
        <x:v>Task</x:v>
      </x:c>
    </x:row>
    <x:row r="1148" ht="40" customHeight="1">
      <x:c r="A1148" s="3" t="str">
        <x:f>HYPERLINK("#'Research &amp; Analysis'!A420","Open")</x:f>
        <x:v>Open</x:v>
      </x:c>
      <x:c r="B1148" s="2" t="str">
        <x:f>'Research &amp; Analysis'!B420</x:f>
        <x:v>Cycle 3</x:v>
      </x:c>
      <x:c r="C1148" s="2" t="str">
        <x:f>'Research &amp; Analysis'!C420</x:f>
        <x:v>Phase 3</x:v>
      </x:c>
      <x:c r="D1148" s="2" t="str">
        <x:f>'Research &amp; Analysis'!D420</x:f>
        <x:v>CSBBO - Customer Service</x:v>
      </x:c>
      <x:c r="E1148" s="2" t="str">
        <x:v>Research &amp; Analysis</x:v>
      </x:c>
      <x:c r="F1148" s="56" t="str">
        <x:f>'Research &amp; Analysis'!E420</x:f>
        <x:v>RA.CS.3.1</x:v>
      </x:c>
      <x:c r="G1148" s="14" t="str">
        <x:f>'Research &amp; Analysis'!F420</x:f>
        <x:v>Finalize results and supporting documentation</x:v>
      </x:c>
      <x:c r="H1148" s="2" t="str">
        <x:f>IF('Research &amp; Analysis'!G420="","",'Research &amp; Analysis'!G420)</x:f>
      </x:c>
      <x:c r="I1148" s="12" t="str">
        <x:f>IF('Research &amp; Analysis'!H420="","",'Research &amp; Analysis'!H420)</x:f>
      </x:c>
      <x:c r="J1148" s="12" t="n">
        <x:f>IF('Research &amp; Analysis'!I420="","",'Research &amp; Analysis'!I420)</x:f>
        <x:v>46295</x:v>
      </x:c>
      <x:c r="K1148" s="12" t="str">
        <x:f>IF('Research &amp; Analysis'!J420="","",'Research &amp; Analysis'!J420)</x:f>
      </x:c>
      <x:c r="L1148" s="2" t="str">
        <x:f>IF('Research &amp; Analysis'!K420="","",'Research &amp; Analysis'!K420)</x:f>
      </x:c>
      <x:c r="M1148" s="2" t="n">
        <x:f>'Research &amp; Analysis'!Q420</x:f>
        <x:v>1</x:v>
      </x:c>
      <x:c r="N1148" s="2" t="str">
        <x:f>'Research &amp; Analysis'!L420</x:f>
        <x:v>Not started</x:v>
      </x:c>
      <x:c r="O1148" s="2" t="str">
        <x:f>'Research &amp; Analysis'!N420</x:f>
        <x:v>RA.CS.3.1.2026.CY3</x:v>
      </x:c>
      <x:c r="P1148" s="2" t="n">
        <x:f>'Research &amp; Analysis'!O420</x:f>
        <x:v>0</x:v>
      </x:c>
      <x:c r="Q1148" s="2" t="n">
        <x:f>SUBTOTAL(103,O1148)</x:f>
        <x:v>1</x:v>
      </x:c>
      <x:c r="R1148" s="2" t="n">
        <x:f>IF(AND(M1148=1,OR(Dashboard!$B$7="All",Dashboard!$B$7='Cycles &amp; Guide'!$C$5),OR(Dashboard!$D$7="All",Dashboard!$D$7=B1148),OR(Dashboard!$F$7="All",Dashboard!$F$7=C1148),OR(Dashboard!$H$7="All",Dashboard!$H$7=D1148),OR(Dashboard!$K$7="All",Dashboard!$K$7=E1148)),1,0)</x:f>
        <x:v>1</x:v>
      </x:c>
      <x:c r="S1148" s="2" t="n">
        <x:f>IF(R1148=1,SUM($R$10:R1148),0)</x:f>
        <x:v>775</x:v>
      </x:c>
      <x:c r="T1148" s="2" t="str">
        <x:v>Research &amp; Analysis</x:v>
      </x:c>
      <x:c r="U1148" s="2" t="n">
        <x:v>420</x:v>
      </x:c>
      <x:c r="V1148" s="2" t="n">
        <x:f>IF(AND(M1148=1,P1148=0,ISNUMBER(J1148),J1148&lt;TODAY()),1,0)</x:f>
        <x:v>0</x:v>
      </x:c>
      <x:c r="W1148" s="2" t="str">
        <x:f>'Research &amp; Analysis'!M420</x:f>
        <x:v>Task</x:v>
      </x:c>
    </x:row>
    <x:row r="1149" ht="40" customHeight="1">
      <x:c r="A1149" s="3" t="str">
        <x:f>HYPERLINK("#'Research &amp; Analysis'!A421","Open")</x:f>
        <x:v>Open</x:v>
      </x:c>
      <x:c r="B1149" s="2" t="str">
        <x:f>'Research &amp; Analysis'!B421</x:f>
        <x:v>Cycle 3</x:v>
      </x:c>
      <x:c r="C1149" s="2" t="str">
        <x:f>'Research &amp; Analysis'!C421</x:f>
        <x:v>Phase 3</x:v>
      </x:c>
      <x:c r="D1149" s="2" t="str">
        <x:f>'Research &amp; Analysis'!D421</x:f>
        <x:v>CSBBO - Customer Service</x:v>
      </x:c>
      <x:c r="E1149" s="2" t="str">
        <x:v>Research &amp; Analysis</x:v>
      </x:c>
      <x:c r="F1149" s="56" t="str">
        <x:f>'Research &amp; Analysis'!E421</x:f>
        <x:v>RA.CS.3.2</x:v>
      </x:c>
      <x:c r="G1149" s="14" t="str">
        <x:f>'Research &amp; Analysis'!F421</x:f>
        <x:v>Maintain and update the evidence package prior to handoff to D&amp;I</x:v>
      </x:c>
      <x:c r="H1149" s="2" t="str">
        <x:f>IF('Research &amp; Analysis'!G421="","",'Research &amp; Analysis'!G421)</x:f>
      </x:c>
      <x:c r="I1149" s="12" t="str">
        <x:f>IF('Research &amp; Analysis'!H421="","",'Research &amp; Analysis'!H421)</x:f>
      </x:c>
      <x:c r="J1149" s="12" t="n">
        <x:f>IF('Research &amp; Analysis'!I421="","",'Research &amp; Analysis'!I421)</x:f>
        <x:v>46295</x:v>
      </x:c>
      <x:c r="K1149" s="12" t="str">
        <x:f>IF('Research &amp; Analysis'!J421="","",'Research &amp; Analysis'!J421)</x:f>
      </x:c>
      <x:c r="L1149" s="2" t="str">
        <x:f>IF('Research &amp; Analysis'!K421="","",'Research &amp; Analysis'!K421)</x:f>
      </x:c>
      <x:c r="M1149" s="2" t="n">
        <x:f>'Research &amp; Analysis'!Q421</x:f>
        <x:v>1</x:v>
      </x:c>
      <x:c r="N1149" s="2" t="str">
        <x:f>'Research &amp; Analysis'!L421</x:f>
        <x:v>Not started</x:v>
      </x:c>
      <x:c r="O1149" s="2" t="str">
        <x:f>'Research &amp; Analysis'!N421</x:f>
        <x:v>RA.CS.3.2.2026.CY3</x:v>
      </x:c>
      <x:c r="P1149" s="2" t="n">
        <x:f>'Research &amp; Analysis'!O421</x:f>
        <x:v>0</x:v>
      </x:c>
      <x:c r="Q1149" s="2" t="n">
        <x:f>SUBTOTAL(103,O1149)</x:f>
        <x:v>1</x:v>
      </x:c>
      <x:c r="R1149" s="2" t="n">
        <x:f>IF(AND(M1149=1,OR(Dashboard!$B$7="All",Dashboard!$B$7='Cycles &amp; Guide'!$C$5),OR(Dashboard!$D$7="All",Dashboard!$D$7=B1149),OR(Dashboard!$F$7="All",Dashboard!$F$7=C1149),OR(Dashboard!$H$7="All",Dashboard!$H$7=D1149),OR(Dashboard!$K$7="All",Dashboard!$K$7=E1149)),1,0)</x:f>
        <x:v>1</x:v>
      </x:c>
      <x:c r="S1149" s="2" t="n">
        <x:f>IF(R1149=1,SUM($R$10:R1149),0)</x:f>
        <x:v>776</x:v>
      </x:c>
      <x:c r="T1149" s="2" t="str">
        <x:v>Research &amp; Analysis</x:v>
      </x:c>
      <x:c r="U1149" s="2" t="n">
        <x:v>421</x:v>
      </x:c>
      <x:c r="V1149" s="2" t="n">
        <x:f>IF(AND(M1149=1,P1149=0,ISNUMBER(J1149),J1149&lt;TODAY()),1,0)</x:f>
        <x:v>0</x:v>
      </x:c>
      <x:c r="W1149" s="2" t="str">
        <x:f>'Research &amp; Analysis'!M421</x:f>
        <x:v>Task</x:v>
      </x:c>
    </x:row>
    <x:row r="1150" ht="40" customHeight="1">
      <x:c r="A1150" s="3" t="str">
        <x:f>HYPERLINK("#'Research &amp; Analysis'!A422","Open")</x:f>
        <x:v>Open</x:v>
      </x:c>
      <x:c r="B1150" s="2" t="str">
        <x:f>'Research &amp; Analysis'!B422</x:f>
        <x:v>Cycle 3</x:v>
      </x:c>
      <x:c r="C1150" s="2" t="str">
        <x:f>'Research &amp; Analysis'!C422</x:f>
        <x:v>Phase 3</x:v>
      </x:c>
      <x:c r="D1150" s="2" t="str">
        <x:f>'Research &amp; Analysis'!D422</x:f>
        <x:v>CSBBO - Customer Service</x:v>
      </x:c>
      <x:c r="E1150" s="2" t="str">
        <x:v>Research &amp; Analysis</x:v>
      </x:c>
      <x:c r="F1150" s="56" t="str">
        <x:f>'Research &amp; Analysis'!E422</x:f>
        <x:v>RA.CS.3.3</x:v>
      </x:c>
      <x:c r="G1150" s="14" t="str">
        <x:f>'Research &amp; Analysis'!F422</x:f>
        <x:v>Address any outstanding questions or requests from D&amp;I</x:v>
      </x:c>
      <x:c r="H1150" s="2" t="str">
        <x:f>IF('Research &amp; Analysis'!G422="","",'Research &amp; Analysis'!G422)</x:f>
      </x:c>
      <x:c r="I1150" s="12" t="str">
        <x:f>IF('Research &amp; Analysis'!H422="","",'Research &amp; Analysis'!H422)</x:f>
      </x:c>
      <x:c r="J1150" s="12" t="n">
        <x:f>IF('Research &amp; Analysis'!I422="","",'Research &amp; Analysis'!I422)</x:f>
        <x:v>46295</x:v>
      </x:c>
      <x:c r="K1150" s="12" t="str">
        <x:f>IF('Research &amp; Analysis'!J422="","",'Research &amp; Analysis'!J422)</x:f>
      </x:c>
      <x:c r="L1150" s="2" t="str">
        <x:f>IF('Research &amp; Analysis'!K422="","",'Research &amp; Analysis'!K422)</x:f>
      </x:c>
      <x:c r="M1150" s="2" t="n">
        <x:f>'Research &amp; Analysis'!Q422</x:f>
        <x:v>1</x:v>
      </x:c>
      <x:c r="N1150" s="2" t="str">
        <x:f>'Research &amp; Analysis'!L422</x:f>
        <x:v>Not started</x:v>
      </x:c>
      <x:c r="O1150" s="2" t="str">
        <x:f>'Research &amp; Analysis'!N422</x:f>
        <x:v>RA.CS.3.3.2026.CY3</x:v>
      </x:c>
      <x:c r="P1150" s="2" t="n">
        <x:f>'Research &amp; Analysis'!O422</x:f>
        <x:v>0</x:v>
      </x:c>
      <x:c r="Q1150" s="2" t="n">
        <x:f>SUBTOTAL(103,O1150)</x:f>
        <x:v>1</x:v>
      </x:c>
      <x:c r="R1150" s="2" t="n">
        <x:f>IF(AND(M1150=1,OR(Dashboard!$B$7="All",Dashboard!$B$7='Cycles &amp; Guide'!$C$5),OR(Dashboard!$D$7="All",Dashboard!$D$7=B1150),OR(Dashboard!$F$7="All",Dashboard!$F$7=C1150),OR(Dashboard!$H$7="All",Dashboard!$H$7=D1150),OR(Dashboard!$K$7="All",Dashboard!$K$7=E1150)),1,0)</x:f>
        <x:v>1</x:v>
      </x:c>
      <x:c r="S1150" s="2" t="n">
        <x:f>IF(R1150=1,SUM($R$10:R1150),0)</x:f>
        <x:v>777</x:v>
      </x:c>
      <x:c r="T1150" s="2" t="str">
        <x:v>Research &amp; Analysis</x:v>
      </x:c>
      <x:c r="U1150" s="2" t="n">
        <x:v>422</x:v>
      </x:c>
      <x:c r="V1150" s="2" t="n">
        <x:f>IF(AND(M1150=1,P1150=0,ISNUMBER(J1150),J1150&lt;TODAY()),1,0)</x:f>
        <x:v>0</x:v>
      </x:c>
      <x:c r="W1150" s="2" t="str">
        <x:f>'Research &amp; Analysis'!M422</x:f>
        <x:v>Task</x:v>
      </x:c>
    </x:row>
    <x:row r="1151" ht="40" customHeight="1">
      <x:c r="A1151" s="3" t="str">
        <x:f>HYPERLINK("#'Research &amp; Analysis'!A423","Open")</x:f>
        <x:v>Open</x:v>
      </x:c>
      <x:c r="B1151" s="2" t="str">
        <x:f>'Research &amp; Analysis'!B423</x:f>
        <x:v>Cycle 3</x:v>
      </x:c>
      <x:c r="C1151" s="2" t="str">
        <x:f>'Research &amp; Analysis'!C423</x:f>
        <x:v>Phase 3</x:v>
      </x:c>
      <x:c r="D1151" s="2" t="str">
        <x:f>'Research &amp; Analysis'!D423</x:f>
        <x:v>CSBBO - Customer Service</x:v>
      </x:c>
      <x:c r="E1151" s="2" t="str">
        <x:v>Research &amp; Analysis</x:v>
      </x:c>
      <x:c r="F1151" s="56" t="str">
        <x:f>'Research &amp; Analysis'!E423</x:f>
        <x:v>RA.CS.3.4</x:v>
      </x:c>
      <x:c r="G1151" s="14" t="str">
        <x:f>'Research &amp; Analysis'!F423</x:f>
        <x:v>Attend Forum meeting with D&amp;I to assist with answering stakeholder questions (as needed)</x:v>
      </x:c>
      <x:c r="H1151" s="2" t="str">
        <x:f>IF('Research &amp; Analysis'!G423="","",'Research &amp; Analysis'!G423)</x:f>
      </x:c>
      <x:c r="I1151" s="12" t="str">
        <x:f>IF('Research &amp; Analysis'!H423="","",'Research &amp; Analysis'!H423)</x:f>
      </x:c>
      <x:c r="J1151" s="12" t="str">
        <x:f>IF('Research &amp; Analysis'!I423="","",'Research &amp; Analysis'!I423)</x:f>
      </x:c>
      <x:c r="K1151" s="12" t="str">
        <x:f>IF('Research &amp; Analysis'!J423="","",'Research &amp; Analysis'!J423)</x:f>
      </x:c>
      <x:c r="L1151" s="2" t="str">
        <x:f>IF('Research &amp; Analysis'!K423="","",'Research &amp; Analysis'!K423)</x:f>
      </x:c>
      <x:c r="M1151" s="2" t="n">
        <x:f>'Research &amp; Analysis'!Q423</x:f>
        <x:v>1</x:v>
      </x:c>
      <x:c r="N1151" s="2" t="str">
        <x:f>'Research &amp; Analysis'!L423</x:f>
        <x:v>Not started</x:v>
      </x:c>
      <x:c r="O1151" s="2" t="str">
        <x:f>'Research &amp; Analysis'!N423</x:f>
        <x:v>RA.CS.3.4.2026.CY3</x:v>
      </x:c>
      <x:c r="P1151" s="2" t="n">
        <x:f>'Research &amp; Analysis'!O423</x:f>
        <x:v>0</x:v>
      </x:c>
      <x:c r="Q1151" s="2" t="n">
        <x:f>SUBTOTAL(103,O1151)</x:f>
        <x:v>1</x:v>
      </x:c>
      <x:c r="R1151" s="2" t="n">
        <x:f>IF(AND(M1151=1,OR(Dashboard!$B$7="All",Dashboard!$B$7='Cycles &amp; Guide'!$C$5),OR(Dashboard!$D$7="All",Dashboard!$D$7=B1151),OR(Dashboard!$F$7="All",Dashboard!$F$7=C1151),OR(Dashboard!$H$7="All",Dashboard!$H$7=D1151),OR(Dashboard!$K$7="All",Dashboard!$K$7=E1151)),1,0)</x:f>
        <x:v>1</x:v>
      </x:c>
      <x:c r="S1151" s="2" t="n">
        <x:f>IF(R1151=1,SUM($R$10:R1151),0)</x:f>
        <x:v>778</x:v>
      </x:c>
      <x:c r="T1151" s="2" t="str">
        <x:v>Research &amp; Analysis</x:v>
      </x:c>
      <x:c r="U1151" s="2" t="n">
        <x:v>423</x:v>
      </x:c>
      <x:c r="V1151" s="2" t="n">
        <x:f>IF(AND(M1151=1,P1151=0,ISNUMBER(J1151),J1151&lt;TODAY()),1,0)</x:f>
        <x:v>0</x:v>
      </x:c>
      <x:c r="W1151" s="2" t="str">
        <x:f>'Research &amp; Analysis'!M423</x:f>
        <x:v>Task</x:v>
      </x:c>
    </x:row>
    <x:row r="1152" ht="40" customHeight="1">
      <x:c r="A1152" s="3" t="str">
        <x:f>HYPERLINK("#'Research &amp; Analysis'!A424","Open")</x:f>
        <x:v>Open</x:v>
      </x:c>
      <x:c r="B1152" s="2" t="str">
        <x:f>'Research &amp; Analysis'!B424</x:f>
        <x:v>Cycle 3</x:v>
      </x:c>
      <x:c r="C1152" s="2" t="str">
        <x:f>'Research &amp; Analysis'!C424</x:f>
        <x:v>Phase 1</x:v>
      </x:c>
      <x:c r="D1152" s="2" t="str">
        <x:f>'Research &amp; Analysis'!D424</x:f>
        <x:v>FCM</x:v>
      </x:c>
      <x:c r="E1152" s="2" t="str">
        <x:v>Research &amp; Analysis</x:v>
      </x:c>
      <x:c r="F1152" s="56" t="str">
        <x:f>'Research &amp; Analysis'!E424</x:f>
        <x:v>RA.FC.1.1</x:v>
      </x:c>
      <x:c r="G1152" s="14" t="str">
        <x:f>'Research &amp; Analysis'!F424</x:f>
        <x:v>Begin Research process 2 weeks prior to Cycle start</x:v>
      </x:c>
      <x:c r="H1152" s="2" t="str">
        <x:f>IF('Research &amp; Analysis'!G424="","",'Research &amp; Analysis'!G424)</x:f>
      </x:c>
      <x:c r="I1152" s="12" t="str">
        <x:f>IF('Research &amp; Analysis'!H424="","",'Research &amp; Analysis'!H424)</x:f>
      </x:c>
      <x:c r="J1152" s="12" t="n">
        <x:f>IF('Research &amp; Analysis'!I424="","",'Research &amp; Analysis'!I424)</x:f>
        <x:v>46190</x:v>
      </x:c>
      <x:c r="K1152" s="12" t="str">
        <x:f>IF('Research &amp; Analysis'!J424="","",'Research &amp; Analysis'!J424)</x:f>
      </x:c>
      <x:c r="L1152" s="2" t="str">
        <x:f>IF('Research &amp; Analysis'!K424="","",'Research &amp; Analysis'!K424)</x:f>
      </x:c>
      <x:c r="M1152" s="2" t="n">
        <x:f>'Research &amp; Analysis'!Q424</x:f>
        <x:v>1</x:v>
      </x:c>
      <x:c r="N1152" s="2" t="str">
        <x:f>'Research &amp; Analysis'!L424</x:f>
        <x:v>Not started</x:v>
      </x:c>
      <x:c r="O1152" s="2" t="str">
        <x:f>'Research &amp; Analysis'!N424</x:f>
        <x:v>RA.FC.1.1.2026.CY3</x:v>
      </x:c>
      <x:c r="P1152" s="2" t="n">
        <x:f>'Research &amp; Analysis'!O424</x:f>
        <x:v>0</x:v>
      </x:c>
      <x:c r="Q1152" s="2" t="n">
        <x:f>SUBTOTAL(103,O1152)</x:f>
        <x:v>1</x:v>
      </x:c>
      <x:c r="R1152" s="2" t="n">
        <x:f>IF(AND(M1152=1,OR(Dashboard!$B$7="All",Dashboard!$B$7='Cycles &amp; Guide'!$C$5),OR(Dashboard!$D$7="All",Dashboard!$D$7=B1152),OR(Dashboard!$F$7="All",Dashboard!$F$7=C1152),OR(Dashboard!$H$7="All",Dashboard!$H$7=D1152),OR(Dashboard!$K$7="All",Dashboard!$K$7=E1152)),1,0)</x:f>
        <x:v>1</x:v>
      </x:c>
      <x:c r="S1152" s="2" t="n">
        <x:f>IF(R1152=1,SUM($R$10:R1152),0)</x:f>
        <x:v>779</x:v>
      </x:c>
      <x:c r="T1152" s="2" t="str">
        <x:v>Research &amp; Analysis</x:v>
      </x:c>
      <x:c r="U1152" s="2" t="n">
        <x:v>424</x:v>
      </x:c>
      <x:c r="V1152" s="2" t="n">
        <x:f>IF(AND(M1152=1,P1152=0,ISNUMBER(J1152),J1152&lt;TODAY()),1,0)</x:f>
        <x:v>1</x:v>
      </x:c>
      <x:c r="W1152" s="2" t="str">
        <x:f>'Research &amp; Analysis'!M424</x:f>
        <x:v>Task</x:v>
      </x:c>
    </x:row>
    <x:row r="1153" ht="40" customHeight="1">
      <x:c r="A1153" s="3" t="str">
        <x:f>HYPERLINK("#'Research &amp; Analysis'!A425","Open")</x:f>
        <x:v>Open</x:v>
      </x:c>
      <x:c r="B1153" s="2" t="str">
        <x:f>'Research &amp; Analysis'!B425</x:f>
        <x:v>Cycle 3</x:v>
      </x:c>
      <x:c r="C1153" s="2" t="str">
        <x:f>'Research &amp; Analysis'!C425</x:f>
        <x:v>Phase 1</x:v>
      </x:c>
      <x:c r="D1153" s="2" t="str">
        <x:f>'Research &amp; Analysis'!D425</x:f>
        <x:v>FCM</x:v>
      </x:c>
      <x:c r="E1153" s="2" t="str">
        <x:v>Research &amp; Analysis</x:v>
      </x:c>
      <x:c r="F1153" s="56" t="str">
        <x:f>'Research &amp; Analysis'!E425</x:f>
        <x:v>RA.FC.1.2</x:v>
      </x:c>
      <x:c r="G1153" s="14" t="str">
        <x:f>'Research &amp; Analysis'!F425</x:f>
        <x:v>Conduct initial assessment of each topic recommendation from SharePoint list</x:v>
      </x:c>
      <x:c r="H1153" s="2" t="str">
        <x:f>IF('Research &amp; Analysis'!G425="","",'Research &amp; Analysis'!G425)</x:f>
      </x:c>
      <x:c r="I1153" s="12" t="str">
        <x:f>IF('Research &amp; Analysis'!H425="","",'Research &amp; Analysis'!H425)</x:f>
      </x:c>
      <x:c r="J1153" s="12" t="n">
        <x:f>IF('Research &amp; Analysis'!I425="","",'Research &amp; Analysis'!I425)</x:f>
        <x:v>46295</x:v>
      </x:c>
      <x:c r="K1153" s="12" t="str">
        <x:f>IF('Research &amp; Analysis'!J425="","",'Research &amp; Analysis'!J425)</x:f>
      </x:c>
      <x:c r="L1153" s="2" t="str">
        <x:f>IF('Research &amp; Analysis'!K425="","",'Research &amp; Analysis'!K425)</x:f>
      </x:c>
      <x:c r="M1153" s="2" t="n">
        <x:f>'Research &amp; Analysis'!Q425</x:f>
        <x:v>1</x:v>
      </x:c>
      <x:c r="N1153" s="2" t="str">
        <x:f>'Research &amp; Analysis'!L425</x:f>
        <x:v>Not started</x:v>
      </x:c>
      <x:c r="O1153" s="2" t="str">
        <x:f>'Research &amp; Analysis'!N425</x:f>
        <x:v>RA.FC.1.2.2026.CY3</x:v>
      </x:c>
      <x:c r="P1153" s="2" t="n">
        <x:f>'Research &amp; Analysis'!O425</x:f>
        <x:v>0</x:v>
      </x:c>
      <x:c r="Q1153" s="2" t="n">
        <x:f>SUBTOTAL(103,O1153)</x:f>
        <x:v>1</x:v>
      </x:c>
      <x:c r="R1153" s="2" t="n">
        <x:f>IF(AND(M1153=1,OR(Dashboard!$B$7="All",Dashboard!$B$7='Cycles &amp; Guide'!$C$5),OR(Dashboard!$D$7="All",Dashboard!$D$7=B1153),OR(Dashboard!$F$7="All",Dashboard!$F$7=C1153),OR(Dashboard!$H$7="All",Dashboard!$H$7=D1153),OR(Dashboard!$K$7="All",Dashboard!$K$7=E1153)),1,0)</x:f>
        <x:v>1</x:v>
      </x:c>
      <x:c r="S1153" s="2" t="n">
        <x:f>IF(R1153=1,SUM($R$10:R1153),0)</x:f>
        <x:v>780</x:v>
      </x:c>
      <x:c r="T1153" s="2" t="str">
        <x:v>Research &amp; Analysis</x:v>
      </x:c>
      <x:c r="U1153" s="2" t="n">
        <x:v>425</x:v>
      </x:c>
      <x:c r="V1153" s="2" t="n">
        <x:f>IF(AND(M1153=1,P1153=0,ISNUMBER(J1153),J1153&lt;TODAY()),1,0)</x:f>
        <x:v>0</x:v>
      </x:c>
      <x:c r="W1153" s="2" t="str">
        <x:f>'Research &amp; Analysis'!M425</x:f>
        <x:v>Task</x:v>
      </x:c>
    </x:row>
    <x:row r="1154" ht="40" customHeight="1">
      <x:c r="A1154" s="3" t="str">
        <x:f>HYPERLINK("#'Research &amp; Analysis'!A426","Open")</x:f>
        <x:v>Open</x:v>
      </x:c>
      <x:c r="B1154" s="2" t="str">
        <x:f>'Research &amp; Analysis'!B426</x:f>
        <x:v>Cycle 3</x:v>
      </x:c>
      <x:c r="C1154" s="2" t="str">
        <x:f>'Research &amp; Analysis'!C426</x:f>
        <x:v>Phase 1</x:v>
      </x:c>
      <x:c r="D1154" s="2" t="str">
        <x:f>'Research &amp; Analysis'!D426</x:f>
        <x:v>FCM</x:v>
      </x:c>
      <x:c r="E1154" s="2" t="str">
        <x:v>Research &amp; Analysis</x:v>
      </x:c>
      <x:c r="F1154" s="56" t="str">
        <x:f>'Research &amp; Analysis'!E426</x:f>
        <x:v>RA.FC.1.3</x:v>
      </x:c>
      <x:c r="G1154" s="14" t="str">
        <x:f>'Research &amp; Analysis'!F426</x:f>
        <x:v>Identify best topic for Cycle</x:v>
      </x:c>
      <x:c r="H1154" s="2" t="str">
        <x:f>IF('Research &amp; Analysis'!G426="","",'Research &amp; Analysis'!G426)</x:f>
      </x:c>
      <x:c r="I1154" s="12" t="str">
        <x:f>IF('Research &amp; Analysis'!H426="","",'Research &amp; Analysis'!H426)</x:f>
      </x:c>
      <x:c r="J1154" s="12" t="n">
        <x:f>IF('Research &amp; Analysis'!I426="","",'Research &amp; Analysis'!I426)</x:f>
        <x:v>46295</x:v>
      </x:c>
      <x:c r="K1154" s="12" t="str">
        <x:f>IF('Research &amp; Analysis'!J426="","",'Research &amp; Analysis'!J426)</x:f>
      </x:c>
      <x:c r="L1154" s="2" t="str">
        <x:f>IF('Research &amp; Analysis'!K426="","",'Research &amp; Analysis'!K426)</x:f>
      </x:c>
      <x:c r="M1154" s="2" t="n">
        <x:f>'Research &amp; Analysis'!Q426</x:f>
        <x:v>1</x:v>
      </x:c>
      <x:c r="N1154" s="2" t="str">
        <x:f>'Research &amp; Analysis'!L426</x:f>
        <x:v>Not started</x:v>
      </x:c>
      <x:c r="O1154" s="2" t="str">
        <x:f>'Research &amp; Analysis'!N426</x:f>
        <x:v>RA.FC.1.3.2026.CY3</x:v>
      </x:c>
      <x:c r="P1154" s="2" t="n">
        <x:f>'Research &amp; Analysis'!O426</x:f>
        <x:v>0</x:v>
      </x:c>
      <x:c r="Q1154" s="2" t="n">
        <x:f>SUBTOTAL(103,O1154)</x:f>
        <x:v>1</x:v>
      </x:c>
      <x:c r="R1154" s="2" t="n">
        <x:f>IF(AND(M1154=1,OR(Dashboard!$B$7="All",Dashboard!$B$7='Cycles &amp; Guide'!$C$5),OR(Dashboard!$D$7="All",Dashboard!$D$7=B1154),OR(Dashboard!$F$7="All",Dashboard!$F$7=C1154),OR(Dashboard!$H$7="All",Dashboard!$H$7=D1154),OR(Dashboard!$K$7="All",Dashboard!$K$7=E1154)),1,0)</x:f>
        <x:v>1</x:v>
      </x:c>
      <x:c r="S1154" s="2" t="n">
        <x:f>IF(R1154=1,SUM($R$10:R1154),0)</x:f>
        <x:v>781</x:v>
      </x:c>
      <x:c r="T1154" s="2" t="str">
        <x:v>Research &amp; Analysis</x:v>
      </x:c>
      <x:c r="U1154" s="2" t="n">
        <x:v>426</x:v>
      </x:c>
      <x:c r="V1154" s="2" t="n">
        <x:f>IF(AND(M1154=1,P1154=0,ISNUMBER(J1154),J1154&lt;TODAY()),1,0)</x:f>
        <x:v>0</x:v>
      </x:c>
      <x:c r="W1154" s="2" t="str">
        <x:f>'Research &amp; Analysis'!M426</x:f>
        <x:v>Task</x:v>
      </x:c>
    </x:row>
    <x:row r="1155" ht="40" customHeight="1">
      <x:c r="A1155" s="3" t="str">
        <x:f>HYPERLINK("#'Research &amp; Analysis'!A427","Open")</x:f>
        <x:v>Open</x:v>
      </x:c>
      <x:c r="B1155" s="2" t="str">
        <x:f>'Research &amp; Analysis'!B427</x:f>
        <x:v>Cycle 3</x:v>
      </x:c>
      <x:c r="C1155" s="2" t="str">
        <x:f>'Research &amp; Analysis'!C427</x:f>
        <x:v>Phase 1</x:v>
      </x:c>
      <x:c r="D1155" s="2" t="str">
        <x:f>'Research &amp; Analysis'!D427</x:f>
        <x:v>FCM</x:v>
      </x:c>
      <x:c r="E1155" s="2" t="str">
        <x:v>Research &amp; Analysis</x:v>
      </x:c>
      <x:c r="F1155" s="56" t="str">
        <x:f>'Research &amp; Analysis'!E427</x:f>
        <x:v>RA.FC.1.4</x:v>
      </x:c>
      <x:c r="G1155" s="14" t="str">
        <x:f>'Research &amp; Analysis'!F427</x:f>
        <x:v>Identify backup topic for Cycle</x:v>
      </x:c>
      <x:c r="H1155" s="2" t="str">
        <x:f>IF('Research &amp; Analysis'!G427="","",'Research &amp; Analysis'!G427)</x:f>
      </x:c>
      <x:c r="I1155" s="12" t="str">
        <x:f>IF('Research &amp; Analysis'!H427="","",'Research &amp; Analysis'!H427)</x:f>
      </x:c>
      <x:c r="J1155" s="12" t="n">
        <x:f>IF('Research &amp; Analysis'!I427="","",'Research &amp; Analysis'!I427)</x:f>
        <x:v>46295</x:v>
      </x:c>
      <x:c r="K1155" s="12" t="str">
        <x:f>IF('Research &amp; Analysis'!J427="","",'Research &amp; Analysis'!J427)</x:f>
      </x:c>
      <x:c r="L1155" s="2" t="str">
        <x:f>IF('Research &amp; Analysis'!K427="","",'Research &amp; Analysis'!K427)</x:f>
      </x:c>
      <x:c r="M1155" s="2" t="n">
        <x:f>'Research &amp; Analysis'!Q427</x:f>
        <x:v>1</x:v>
      </x:c>
      <x:c r="N1155" s="2" t="str">
        <x:f>'Research &amp; Analysis'!L427</x:f>
        <x:v>Not started</x:v>
      </x:c>
      <x:c r="O1155" s="2" t="str">
        <x:f>'Research &amp; Analysis'!N427</x:f>
        <x:v>RA.FC.1.4.2026.CY3</x:v>
      </x:c>
      <x:c r="P1155" s="2" t="n">
        <x:f>'Research &amp; Analysis'!O427</x:f>
        <x:v>0</x:v>
      </x:c>
      <x:c r="Q1155" s="2" t="n">
        <x:f>SUBTOTAL(103,O1155)</x:f>
        <x:v>1</x:v>
      </x:c>
      <x:c r="R1155" s="2" t="n">
        <x:f>IF(AND(M1155=1,OR(Dashboard!$B$7="All",Dashboard!$B$7='Cycles &amp; Guide'!$C$5),OR(Dashboard!$D$7="All",Dashboard!$D$7=B1155),OR(Dashboard!$F$7="All",Dashboard!$F$7=C1155),OR(Dashboard!$H$7="All",Dashboard!$H$7=D1155),OR(Dashboard!$K$7="All",Dashboard!$K$7=E1155)),1,0)</x:f>
        <x:v>1</x:v>
      </x:c>
      <x:c r="S1155" s="2" t="n">
        <x:f>IF(R1155=1,SUM($R$10:R1155),0)</x:f>
        <x:v>782</x:v>
      </x:c>
      <x:c r="T1155" s="2" t="str">
        <x:v>Research &amp; Analysis</x:v>
      </x:c>
      <x:c r="U1155" s="2" t="n">
        <x:v>427</x:v>
      </x:c>
      <x:c r="V1155" s="2" t="n">
        <x:f>IF(AND(M1155=1,P1155=0,ISNUMBER(J1155),J1155&lt;TODAY()),1,0)</x:f>
        <x:v>0</x:v>
      </x:c>
      <x:c r="W1155" s="2" t="str">
        <x:f>'Research &amp; Analysis'!M427</x:f>
        <x:v>Task</x:v>
      </x:c>
    </x:row>
    <x:row r="1156" ht="40" customHeight="1">
      <x:c r="A1156" s="3" t="str">
        <x:f>HYPERLINK("#'Research &amp; Analysis'!A428","Open")</x:f>
        <x:v>Open</x:v>
      </x:c>
      <x:c r="B1156" s="2" t="str">
        <x:f>'Research &amp; Analysis'!B428</x:f>
        <x:v>Cycle 3</x:v>
      </x:c>
      <x:c r="C1156" s="2" t="str">
        <x:f>'Research &amp; Analysis'!C428</x:f>
        <x:v>Phase 1</x:v>
      </x:c>
      <x:c r="D1156" s="2" t="str">
        <x:f>'Research &amp; Analysis'!D428</x:f>
        <x:v>FCM</x:v>
      </x:c>
      <x:c r="E1156" s="2" t="str">
        <x:v>Research &amp; Analysis</x:v>
      </x:c>
      <x:c r="F1156" s="56" t="str">
        <x:f>'Research &amp; Analysis'!E428</x:f>
        <x:v>RA.FC.1.5</x:v>
      </x:c>
      <x:c r="G1156" s="14" t="str">
        <x:f>'Research &amp; Analysis'!F428</x:f>
        <x:v>Schedule topic approval meeting with D&amp;I and management</x:v>
      </x:c>
      <x:c r="H1156" s="2" t="str">
        <x:f>IF('Research &amp; Analysis'!G428="","",'Research &amp; Analysis'!G428)</x:f>
      </x:c>
      <x:c r="I1156" s="12" t="str">
        <x:f>IF('Research &amp; Analysis'!H428="","",'Research &amp; Analysis'!H428)</x:f>
      </x:c>
      <x:c r="J1156" s="12" t="n">
        <x:f>IF('Research &amp; Analysis'!I428="","",'Research &amp; Analysis'!I428)</x:f>
        <x:v>46295</x:v>
      </x:c>
      <x:c r="K1156" s="12" t="str">
        <x:f>IF('Research &amp; Analysis'!J428="","",'Research &amp; Analysis'!J428)</x:f>
      </x:c>
      <x:c r="L1156" s="2" t="str">
        <x:f>IF('Research &amp; Analysis'!K428="","",'Research &amp; Analysis'!K428)</x:f>
      </x:c>
      <x:c r="M1156" s="2" t="n">
        <x:f>'Research &amp; Analysis'!Q428</x:f>
        <x:v>1</x:v>
      </x:c>
      <x:c r="N1156" s="2" t="str">
        <x:f>'Research &amp; Analysis'!L428</x:f>
        <x:v>Not started</x:v>
      </x:c>
      <x:c r="O1156" s="2" t="str">
        <x:f>'Research &amp; Analysis'!N428</x:f>
        <x:v>RA.FC.1.5.2026.CY3</x:v>
      </x:c>
      <x:c r="P1156" s="2" t="n">
        <x:f>'Research &amp; Analysis'!O428</x:f>
        <x:v>0</x:v>
      </x:c>
      <x:c r="Q1156" s="2" t="n">
        <x:f>SUBTOTAL(103,O1156)</x:f>
        <x:v>1</x:v>
      </x:c>
      <x:c r="R1156" s="2" t="n">
        <x:f>IF(AND(M1156=1,OR(Dashboard!$B$7="All",Dashboard!$B$7='Cycles &amp; Guide'!$C$5),OR(Dashboard!$D$7="All",Dashboard!$D$7=B1156),OR(Dashboard!$F$7="All",Dashboard!$F$7=C1156),OR(Dashboard!$H$7="All",Dashboard!$H$7=D1156),OR(Dashboard!$K$7="All",Dashboard!$K$7=E1156)),1,0)</x:f>
        <x:v>1</x:v>
      </x:c>
      <x:c r="S1156" s="2" t="n">
        <x:f>IF(R1156=1,SUM($R$10:R1156),0)</x:f>
        <x:v>783</x:v>
      </x:c>
      <x:c r="T1156" s="2" t="str">
        <x:v>Research &amp; Analysis</x:v>
      </x:c>
      <x:c r="U1156" s="2" t="n">
        <x:v>428</x:v>
      </x:c>
      <x:c r="V1156" s="2" t="n">
        <x:f>IF(AND(M1156=1,P1156=0,ISNUMBER(J1156),J1156&lt;TODAY()),1,0)</x:f>
        <x:v>0</x:v>
      </x:c>
      <x:c r="W1156" s="2" t="str">
        <x:f>'Research &amp; Analysis'!M428</x:f>
        <x:v>Task</x:v>
      </x:c>
    </x:row>
    <x:row r="1157" ht="40" customHeight="1">
      <x:c r="A1157" s="3" t="str">
        <x:f>HYPERLINK("#'Research &amp; Analysis'!A429","Open")</x:f>
        <x:v>Open</x:v>
      </x:c>
      <x:c r="B1157" s="2" t="str">
        <x:f>'Research &amp; Analysis'!B429</x:f>
        <x:v>Cycle 3</x:v>
      </x:c>
      <x:c r="C1157" s="2" t="str">
        <x:f>'Research &amp; Analysis'!C429</x:f>
        <x:v>Phase 1</x:v>
      </x:c>
      <x:c r="D1157" s="2" t="str">
        <x:f>'Research &amp; Analysis'!D429</x:f>
        <x:v>FCM</x:v>
      </x:c>
      <x:c r="E1157" s="2" t="str">
        <x:v>Research &amp; Analysis</x:v>
      </x:c>
      <x:c r="F1157" s="56" t="str">
        <x:f>'Research &amp; Analysis'!E429</x:f>
        <x:v>RA.FC.1.6</x:v>
      </x:c>
      <x:c r="G1157" s="14" t="str">
        <x:f>'Research &amp; Analysis'!F429</x:f>
        <x:v>Present recommended topic to D&amp;I and management for approval</x:v>
      </x:c>
      <x:c r="H1157" s="2" t="str">
        <x:f>IF('Research &amp; Analysis'!G429="","",'Research &amp; Analysis'!G429)</x:f>
      </x:c>
      <x:c r="I1157" s="12" t="str">
        <x:f>IF('Research &amp; Analysis'!H429="","",'Research &amp; Analysis'!H429)</x:f>
      </x:c>
      <x:c r="J1157" s="12" t="n">
        <x:f>IF('Research &amp; Analysis'!I429="","",'Research &amp; Analysis'!I429)</x:f>
        <x:v>46295</x:v>
      </x:c>
      <x:c r="K1157" s="12" t="str">
        <x:f>IF('Research &amp; Analysis'!J429="","",'Research &amp; Analysis'!J429)</x:f>
      </x:c>
      <x:c r="L1157" s="2" t="str">
        <x:f>IF('Research &amp; Analysis'!K429="","",'Research &amp; Analysis'!K429)</x:f>
      </x:c>
      <x:c r="M1157" s="2" t="n">
        <x:f>'Research &amp; Analysis'!Q429</x:f>
        <x:v>1</x:v>
      </x:c>
      <x:c r="N1157" s="2" t="str">
        <x:f>'Research &amp; Analysis'!L429</x:f>
        <x:v>Not started</x:v>
      </x:c>
      <x:c r="O1157" s="2" t="str">
        <x:f>'Research &amp; Analysis'!N429</x:f>
        <x:v>RA.FC.1.6.2026.CY3</x:v>
      </x:c>
      <x:c r="P1157" s="2" t="n">
        <x:f>'Research &amp; Analysis'!O429</x:f>
        <x:v>0</x:v>
      </x:c>
      <x:c r="Q1157" s="2" t="n">
        <x:f>SUBTOTAL(103,O1157)</x:f>
        <x:v>1</x:v>
      </x:c>
      <x:c r="R1157" s="2" t="n">
        <x:f>IF(AND(M1157=1,OR(Dashboard!$B$7="All",Dashboard!$B$7='Cycles &amp; Guide'!$C$5),OR(Dashboard!$D$7="All",Dashboard!$D$7=B1157),OR(Dashboard!$F$7="All",Dashboard!$F$7=C1157),OR(Dashboard!$H$7="All",Dashboard!$H$7=D1157),OR(Dashboard!$K$7="All",Dashboard!$K$7=E1157)),1,0)</x:f>
        <x:v>1</x:v>
      </x:c>
      <x:c r="S1157" s="2" t="n">
        <x:f>IF(R1157=1,SUM($R$10:R1157),0)</x:f>
        <x:v>784</x:v>
      </x:c>
      <x:c r="T1157" s="2" t="str">
        <x:v>Research &amp; Analysis</x:v>
      </x:c>
      <x:c r="U1157" s="2" t="n">
        <x:v>429</x:v>
      </x:c>
      <x:c r="V1157" s="2" t="n">
        <x:f>IF(AND(M1157=1,P1157=0,ISNUMBER(J1157),J1157&lt;TODAY()),1,0)</x:f>
        <x:v>0</x:v>
      </x:c>
      <x:c r="W1157" s="2" t="str">
        <x:f>'Research &amp; Analysis'!M429</x:f>
        <x:v>Task</x:v>
      </x:c>
    </x:row>
    <x:row r="1158" ht="40" customHeight="1">
      <x:c r="A1158" s="3" t="str">
        <x:f>HYPERLINK("#'Research &amp; Analysis'!A430","Open")</x:f>
        <x:v>Open</x:v>
      </x:c>
      <x:c r="B1158" s="2" t="str">
        <x:f>'Research &amp; Analysis'!B430</x:f>
        <x:v>Cycle 3</x:v>
      </x:c>
      <x:c r="C1158" s="2" t="str">
        <x:f>'Research &amp; Analysis'!C430</x:f>
        <x:v>Phase 1</x:v>
      </x:c>
      <x:c r="D1158" s="2" t="str">
        <x:f>'Research &amp; Analysis'!D430</x:f>
        <x:v>FCM</x:v>
      </x:c>
      <x:c r="E1158" s="2" t="str">
        <x:v>Research &amp; Analysis</x:v>
      </x:c>
      <x:c r="F1158" s="56" t="str">
        <x:f>'Research &amp; Analysis'!E430</x:f>
        <x:v>RA.FC.1.7</x:v>
      </x:c>
      <x:c r="G1158" s="14" t="str">
        <x:f>'Research &amp; Analysis'!F430</x:f>
        <x:v>Obtain formal topic selection approval from management via SharePoint</x:v>
      </x:c>
      <x:c r="H1158" s="2" t="str">
        <x:f>IF('Research &amp; Analysis'!G430="","",'Research &amp; Analysis'!G430)</x:f>
      </x:c>
      <x:c r="I1158" s="12" t="str">
        <x:f>IF('Research &amp; Analysis'!H430="","",'Research &amp; Analysis'!H430)</x:f>
      </x:c>
      <x:c r="J1158" s="12" t="n">
        <x:f>IF('Research &amp; Analysis'!I430="","",'Research &amp; Analysis'!I430)</x:f>
        <x:v>46295</x:v>
      </x:c>
      <x:c r="K1158" s="12" t="str">
        <x:f>IF('Research &amp; Analysis'!J430="","",'Research &amp; Analysis'!J430)</x:f>
      </x:c>
      <x:c r="L1158" s="2" t="str">
        <x:f>IF('Research &amp; Analysis'!K430="","",'Research &amp; Analysis'!K430)</x:f>
      </x:c>
      <x:c r="M1158" s="2" t="n">
        <x:f>'Research &amp; Analysis'!Q430</x:f>
        <x:v>1</x:v>
      </x:c>
      <x:c r="N1158" s="2" t="str">
        <x:f>'Research &amp; Analysis'!L430</x:f>
        <x:v>Not started</x:v>
      </x:c>
      <x:c r="O1158" s="2" t="str">
        <x:f>'Research &amp; Analysis'!N430</x:f>
        <x:v>RA.FC.1.7.2026.CY3</x:v>
      </x:c>
      <x:c r="P1158" s="2" t="n">
        <x:f>'Research &amp; Analysis'!O430</x:f>
        <x:v>0</x:v>
      </x:c>
      <x:c r="Q1158" s="2" t="n">
        <x:f>SUBTOTAL(103,O1158)</x:f>
        <x:v>1</x:v>
      </x:c>
      <x:c r="R1158" s="2" t="n">
        <x:f>IF(AND(M1158=1,OR(Dashboard!$B$7="All",Dashboard!$B$7='Cycles &amp; Guide'!$C$5),OR(Dashboard!$D$7="All",Dashboard!$D$7=B1158),OR(Dashboard!$F$7="All",Dashboard!$F$7=C1158),OR(Dashboard!$H$7="All",Dashboard!$H$7=D1158),OR(Dashboard!$K$7="All",Dashboard!$K$7=E1158)),1,0)</x:f>
        <x:v>1</x:v>
      </x:c>
      <x:c r="S1158" s="2" t="n">
        <x:f>IF(R1158=1,SUM($R$10:R1158),0)</x:f>
        <x:v>785</x:v>
      </x:c>
      <x:c r="T1158" s="2" t="str">
        <x:v>Research &amp; Analysis</x:v>
      </x:c>
      <x:c r="U1158" s="2" t="n">
        <x:v>430</x:v>
      </x:c>
      <x:c r="V1158" s="2" t="n">
        <x:f>IF(AND(M1158=1,P1158=0,ISNUMBER(J1158),J1158&lt;TODAY()),1,0)</x:f>
        <x:v>0</x:v>
      </x:c>
      <x:c r="W1158" s="2" t="str">
        <x:f>'Research &amp; Analysis'!M430</x:f>
        <x:v>Task</x:v>
      </x:c>
    </x:row>
    <x:row r="1159" ht="40" customHeight="1">
      <x:c r="A1159" s="3" t="str">
        <x:f>HYPERLINK("#'Research &amp; Analysis'!A431","Open")</x:f>
        <x:v>Open</x:v>
      </x:c>
      <x:c r="B1159" s="2" t="str">
        <x:f>'Research &amp; Analysis'!B431</x:f>
        <x:v>Cycle 3</x:v>
      </x:c>
      <x:c r="C1159" s="2" t="str">
        <x:f>'Research &amp; Analysis'!C431</x:f>
        <x:v>Phase 1</x:v>
      </x:c>
      <x:c r="D1159" s="2" t="str">
        <x:f>'Research &amp; Analysis'!D431</x:f>
        <x:v>FCM</x:v>
      </x:c>
      <x:c r="E1159" s="2" t="str">
        <x:v>Research &amp; Analysis</x:v>
      </x:c>
      <x:c r="F1159" s="56" t="str">
        <x:f>'Research &amp; Analysis'!E431</x:f>
        <x:v>RA.FC.1.8</x:v>
      </x:c>
      <x:c r="G1159" s="14" t="str">
        <x:f>'Research &amp; Analysis'!F431</x:f>
        <x:v>Socialize topic selection with product owners and subject matter experts (if known)</x:v>
      </x:c>
      <x:c r="H1159" s="2" t="str">
        <x:f>IF('Research &amp; Analysis'!G431="","",'Research &amp; Analysis'!G431)</x:f>
      </x:c>
      <x:c r="I1159" s="12" t="str">
        <x:f>IF('Research &amp; Analysis'!H431="","",'Research &amp; Analysis'!H431)</x:f>
      </x:c>
      <x:c r="J1159" s="12" t="n">
        <x:f>IF('Research &amp; Analysis'!I431="","",'Research &amp; Analysis'!I431)</x:f>
        <x:v>46295</x:v>
      </x:c>
      <x:c r="K1159" s="12" t="str">
        <x:f>IF('Research &amp; Analysis'!J431="","",'Research &amp; Analysis'!J431)</x:f>
      </x:c>
      <x:c r="L1159" s="2" t="str">
        <x:f>IF('Research &amp; Analysis'!K431="","",'Research &amp; Analysis'!K431)</x:f>
      </x:c>
      <x:c r="M1159" s="2" t="n">
        <x:f>'Research &amp; Analysis'!Q431</x:f>
        <x:v>1</x:v>
      </x:c>
      <x:c r="N1159" s="2" t="str">
        <x:f>'Research &amp; Analysis'!L431</x:f>
        <x:v>Not started</x:v>
      </x:c>
      <x:c r="O1159" s="2" t="str">
        <x:f>'Research &amp; Analysis'!N431</x:f>
        <x:v>RA.FC.1.8.2026.CY3</x:v>
      </x:c>
      <x:c r="P1159" s="2" t="n">
        <x:f>'Research &amp; Analysis'!O431</x:f>
        <x:v>0</x:v>
      </x:c>
      <x:c r="Q1159" s="2" t="n">
        <x:f>SUBTOTAL(103,O1159)</x:f>
        <x:v>1</x:v>
      </x:c>
      <x:c r="R1159" s="2" t="n">
        <x:f>IF(AND(M1159=1,OR(Dashboard!$B$7="All",Dashboard!$B$7='Cycles &amp; Guide'!$C$5),OR(Dashboard!$D$7="All",Dashboard!$D$7=B1159),OR(Dashboard!$F$7="All",Dashboard!$F$7=C1159),OR(Dashboard!$H$7="All",Dashboard!$H$7=D1159),OR(Dashboard!$K$7="All",Dashboard!$K$7=E1159)),1,0)</x:f>
        <x:v>1</x:v>
      </x:c>
      <x:c r="S1159" s="2" t="n">
        <x:f>IF(R1159=1,SUM($R$10:R1159),0)</x:f>
        <x:v>786</x:v>
      </x:c>
      <x:c r="T1159" s="2" t="str">
        <x:v>Research &amp; Analysis</x:v>
      </x:c>
      <x:c r="U1159" s="2" t="n">
        <x:v>431</x:v>
      </x:c>
      <x:c r="V1159" s="2" t="n">
        <x:f>IF(AND(M1159=1,P1159=0,ISNUMBER(J1159),J1159&lt;TODAY()),1,0)</x:f>
        <x:v>0</x:v>
      </x:c>
      <x:c r="W1159" s="2" t="str">
        <x:f>'Research &amp; Analysis'!M431</x:f>
        <x:v>Task</x:v>
      </x:c>
    </x:row>
    <x:row r="1160" ht="40" customHeight="1">
      <x:c r="A1160" s="3" t="str">
        <x:f>HYPERLINK("#'Research &amp; Analysis'!A432","Open")</x:f>
        <x:v>Open</x:v>
      </x:c>
      <x:c r="B1160" s="2" t="str">
        <x:f>'Research &amp; Analysis'!B432</x:f>
        <x:v>Cycle 3</x:v>
      </x:c>
      <x:c r="C1160" s="2" t="str">
        <x:f>'Research &amp; Analysis'!C432</x:f>
        <x:v>Phase 1</x:v>
      </x:c>
      <x:c r="D1160" s="2" t="str">
        <x:f>'Research &amp; Analysis'!D432</x:f>
        <x:v>FCM</x:v>
      </x:c>
      <x:c r="E1160" s="2" t="str">
        <x:v>Research &amp; Analysis</x:v>
      </x:c>
      <x:c r="F1160" s="56" t="str">
        <x:f>'Research &amp; Analysis'!E432</x:f>
        <x:v>RA.FC.1.9</x:v>
      </x:c>
      <x:c r="G1160" s="14" t="str">
        <x:f>'Research &amp; Analysis'!F432</x:f>
        <x:v>Assign topic researchers</x:v>
      </x:c>
      <x:c r="H1160" s="2" t="str">
        <x:f>IF('Research &amp; Analysis'!G432="","",'Research &amp; Analysis'!G432)</x:f>
      </x:c>
      <x:c r="I1160" s="12" t="str">
        <x:f>IF('Research &amp; Analysis'!H432="","",'Research &amp; Analysis'!H432)</x:f>
      </x:c>
      <x:c r="J1160" s="12" t="n">
        <x:f>IF('Research &amp; Analysis'!I432="","",'Research &amp; Analysis'!I432)</x:f>
        <x:v>46295</x:v>
      </x:c>
      <x:c r="K1160" s="12" t="str">
        <x:f>IF('Research &amp; Analysis'!J432="","",'Research &amp; Analysis'!J432)</x:f>
      </x:c>
      <x:c r="L1160" s="2" t="str">
        <x:f>IF('Research &amp; Analysis'!K432="","",'Research &amp; Analysis'!K432)</x:f>
      </x:c>
      <x:c r="M1160" s="2" t="n">
        <x:f>'Research &amp; Analysis'!Q432</x:f>
        <x:v>1</x:v>
      </x:c>
      <x:c r="N1160" s="2" t="str">
        <x:f>'Research &amp; Analysis'!L432</x:f>
        <x:v>Not started</x:v>
      </x:c>
      <x:c r="O1160" s="2" t="str">
        <x:f>'Research &amp; Analysis'!N432</x:f>
        <x:v>RA.FC.1.9.2026.CY3</x:v>
      </x:c>
      <x:c r="P1160" s="2" t="n">
        <x:f>'Research &amp; Analysis'!O432</x:f>
        <x:v>0</x:v>
      </x:c>
      <x:c r="Q1160" s="2" t="n">
        <x:f>SUBTOTAL(103,O1160)</x:f>
        <x:v>1</x:v>
      </x:c>
      <x:c r="R1160" s="2" t="n">
        <x:f>IF(AND(M1160=1,OR(Dashboard!$B$7="All",Dashboard!$B$7='Cycles &amp; Guide'!$C$5),OR(Dashboard!$D$7="All",Dashboard!$D$7=B1160),OR(Dashboard!$F$7="All",Dashboard!$F$7=C1160),OR(Dashboard!$H$7="All",Dashboard!$H$7=D1160),OR(Dashboard!$K$7="All",Dashboard!$K$7=E1160)),1,0)</x:f>
        <x:v>1</x:v>
      </x:c>
      <x:c r="S1160" s="2" t="n">
        <x:f>IF(R1160=1,SUM($R$10:R1160),0)</x:f>
        <x:v>787</x:v>
      </x:c>
      <x:c r="T1160" s="2" t="str">
        <x:v>Research &amp; Analysis</x:v>
      </x:c>
      <x:c r="U1160" s="2" t="n">
        <x:v>432</x:v>
      </x:c>
      <x:c r="V1160" s="2" t="n">
        <x:f>IF(AND(M1160=1,P1160=0,ISNUMBER(J1160),J1160&lt;TODAY()),1,0)</x:f>
        <x:v>0</x:v>
      </x:c>
      <x:c r="W1160" s="2" t="str">
        <x:f>'Research &amp; Analysis'!M432</x:f>
        <x:v>Task</x:v>
      </x:c>
    </x:row>
    <x:row r="1161" ht="40" customHeight="1">
      <x:c r="A1161" s="3" t="str">
        <x:f>HYPERLINK("#'Research &amp; Analysis'!A433","Open")</x:f>
        <x:v>Open</x:v>
      </x:c>
      <x:c r="B1161" s="2" t="str">
        <x:f>'Research &amp; Analysis'!B433</x:f>
        <x:v>Cycle 3</x:v>
      </x:c>
      <x:c r="C1161" s="2" t="str">
        <x:f>'Research &amp; Analysis'!C433</x:f>
        <x:v>Phase 2</x:v>
      </x:c>
      <x:c r="D1161" s="2" t="str">
        <x:f>'Research &amp; Analysis'!D433</x:f>
        <x:v>FCM</x:v>
      </x:c>
      <x:c r="E1161" s="2" t="str">
        <x:v>Research &amp; Analysis</x:v>
      </x:c>
      <x:c r="F1161" s="56" t="str">
        <x:f>'Research &amp; Analysis'!E433</x:f>
        <x:v>RA.FC.2.1</x:v>
      </x:c>
      <x:c r="G1161" s="14" t="str">
        <x:f>'Research &amp; Analysis'!F433</x:f>
        <x:v>Review data sources</x:v>
      </x:c>
      <x:c r="H1161" s="2" t="str">
        <x:f>IF('Research &amp; Analysis'!G433="","",'Research &amp; Analysis'!G433)</x:f>
      </x:c>
      <x:c r="I1161" s="12" t="str">
        <x:f>IF('Research &amp; Analysis'!H433="","",'Research &amp; Analysis'!H433)</x:f>
      </x:c>
      <x:c r="J1161" s="12" t="n">
        <x:f>IF('Research &amp; Analysis'!I433="","",'Research &amp; Analysis'!I433)</x:f>
        <x:v>46295</x:v>
      </x:c>
      <x:c r="K1161" s="12" t="str">
        <x:f>IF('Research &amp; Analysis'!J433="","",'Research &amp; Analysis'!J433)</x:f>
      </x:c>
      <x:c r="L1161" s="2" t="str">
        <x:f>IF('Research &amp; Analysis'!K433="","",'Research &amp; Analysis'!K433)</x:f>
      </x:c>
      <x:c r="M1161" s="2" t="n">
        <x:f>'Research &amp; Analysis'!Q433</x:f>
        <x:v>1</x:v>
      </x:c>
      <x:c r="N1161" s="2" t="str">
        <x:f>'Research &amp; Analysis'!L433</x:f>
        <x:v>Not started</x:v>
      </x:c>
      <x:c r="O1161" s="2" t="str">
        <x:f>'Research &amp; Analysis'!N433</x:f>
        <x:v>RA.FC.2.1.2026.CY3</x:v>
      </x:c>
      <x:c r="P1161" s="2" t="n">
        <x:f>'Research &amp; Analysis'!O433</x:f>
        <x:v>0</x:v>
      </x:c>
      <x:c r="Q1161" s="2" t="n">
        <x:f>SUBTOTAL(103,O1161)</x:f>
        <x:v>1</x:v>
      </x:c>
      <x:c r="R1161" s="2" t="n">
        <x:f>IF(AND(M1161=1,OR(Dashboard!$B$7="All",Dashboard!$B$7='Cycles &amp; Guide'!$C$5),OR(Dashboard!$D$7="All",Dashboard!$D$7=B1161),OR(Dashboard!$F$7="All",Dashboard!$F$7=C1161),OR(Dashboard!$H$7="All",Dashboard!$H$7=D1161),OR(Dashboard!$K$7="All",Dashboard!$K$7=E1161)),1,0)</x:f>
        <x:v>1</x:v>
      </x:c>
      <x:c r="S1161" s="2" t="n">
        <x:f>IF(R1161=1,SUM($R$10:R1161),0)</x:f>
        <x:v>788</x:v>
      </x:c>
      <x:c r="T1161" s="2" t="str">
        <x:v>Research &amp; Analysis</x:v>
      </x:c>
      <x:c r="U1161" s="2" t="n">
        <x:v>433</x:v>
      </x:c>
      <x:c r="V1161" s="2" t="n">
        <x:f>IF(AND(M1161=1,P1161=0,ISNUMBER(J1161),J1161&lt;TODAY()),1,0)</x:f>
        <x:v>0</x:v>
      </x:c>
      <x:c r="W1161" s="2" t="str">
        <x:f>'Research &amp; Analysis'!M433</x:f>
        <x:v>Task</x:v>
      </x:c>
    </x:row>
    <x:row r="1162" ht="40" customHeight="1">
      <x:c r="A1162" s="3" t="str">
        <x:f>HYPERLINK("#'Research &amp; Analysis'!A434","Open")</x:f>
        <x:v>Open</x:v>
      </x:c>
      <x:c r="B1162" s="2" t="str">
        <x:f>'Research &amp; Analysis'!B434</x:f>
        <x:v>Cycle 3</x:v>
      </x:c>
      <x:c r="C1162" s="2" t="str">
        <x:f>'Research &amp; Analysis'!C434</x:f>
        <x:v>Phase 2</x:v>
      </x:c>
      <x:c r="D1162" s="2" t="str">
        <x:f>'Research &amp; Analysis'!D434</x:f>
        <x:v>FCM</x:v>
      </x:c>
      <x:c r="E1162" s="2" t="str">
        <x:v>Research &amp; Analysis</x:v>
      </x:c>
      <x:c r="F1162" s="56" t="str">
        <x:f>'Research &amp; Analysis'!E434</x:f>
        <x:v>RA.FC.2.2</x:v>
      </x:c>
      <x:c r="G1162" s="14" t="str">
        <x:f>'Research &amp; Analysis'!F434</x:f>
        <x:v>Review relevant policies and procedures</x:v>
      </x:c>
      <x:c r="H1162" s="2" t="str">
        <x:f>IF('Research &amp; Analysis'!G434="","",'Research &amp; Analysis'!G434)</x:f>
      </x:c>
      <x:c r="I1162" s="12" t="str">
        <x:f>IF('Research &amp; Analysis'!H434="","",'Research &amp; Analysis'!H434)</x:f>
      </x:c>
      <x:c r="J1162" s="12" t="n">
        <x:f>IF('Research &amp; Analysis'!I434="","",'Research &amp; Analysis'!I434)</x:f>
        <x:v>46295</x:v>
      </x:c>
      <x:c r="K1162" s="12" t="str">
        <x:f>IF('Research &amp; Analysis'!J434="","",'Research &amp; Analysis'!J434)</x:f>
      </x:c>
      <x:c r="L1162" s="2" t="str">
        <x:f>IF('Research &amp; Analysis'!K434="","",'Research &amp; Analysis'!K434)</x:f>
      </x:c>
      <x:c r="M1162" s="2" t="n">
        <x:f>'Research &amp; Analysis'!Q434</x:f>
        <x:v>1</x:v>
      </x:c>
      <x:c r="N1162" s="2" t="str">
        <x:f>'Research &amp; Analysis'!L434</x:f>
        <x:v>Not started</x:v>
      </x:c>
      <x:c r="O1162" s="2" t="str">
        <x:f>'Research &amp; Analysis'!N434</x:f>
        <x:v>RA.FC.2.2.2026.CY3</x:v>
      </x:c>
      <x:c r="P1162" s="2" t="n">
        <x:f>'Research &amp; Analysis'!O434</x:f>
        <x:v>0</x:v>
      </x:c>
      <x:c r="Q1162" s="2" t="n">
        <x:f>SUBTOTAL(103,O1162)</x:f>
        <x:v>1</x:v>
      </x:c>
      <x:c r="R1162" s="2" t="n">
        <x:f>IF(AND(M1162=1,OR(Dashboard!$B$7="All",Dashboard!$B$7='Cycles &amp; Guide'!$C$5),OR(Dashboard!$D$7="All",Dashboard!$D$7=B1162),OR(Dashboard!$F$7="All",Dashboard!$F$7=C1162),OR(Dashboard!$H$7="All",Dashboard!$H$7=D1162),OR(Dashboard!$K$7="All",Dashboard!$K$7=E1162)),1,0)</x:f>
        <x:v>1</x:v>
      </x:c>
      <x:c r="S1162" s="2" t="n">
        <x:f>IF(R1162=1,SUM($R$10:R1162),0)</x:f>
        <x:v>789</x:v>
      </x:c>
      <x:c r="T1162" s="2" t="str">
        <x:v>Research &amp; Analysis</x:v>
      </x:c>
      <x:c r="U1162" s="2" t="n">
        <x:v>434</x:v>
      </x:c>
      <x:c r="V1162" s="2" t="n">
        <x:f>IF(AND(M1162=1,P1162=0,ISNUMBER(J1162),J1162&lt;TODAY()),1,0)</x:f>
        <x:v>0</x:v>
      </x:c>
      <x:c r="W1162" s="2" t="str">
        <x:f>'Research &amp; Analysis'!M434</x:f>
        <x:v>Task</x:v>
      </x:c>
    </x:row>
    <x:row r="1163" ht="40" customHeight="1">
      <x:c r="A1163" s="3" t="str">
        <x:f>HYPERLINK("#'Research &amp; Analysis'!A435","Open")</x:f>
        <x:v>Open</x:v>
      </x:c>
      <x:c r="B1163" s="2" t="str">
        <x:f>'Research &amp; Analysis'!B435</x:f>
        <x:v>Cycle 3</x:v>
      </x:c>
      <x:c r="C1163" s="2" t="str">
        <x:f>'Research &amp; Analysis'!C435</x:f>
        <x:v>Phase 2</x:v>
      </x:c>
      <x:c r="D1163" s="2" t="str">
        <x:f>'Research &amp; Analysis'!D435</x:f>
        <x:v>FCM</x:v>
      </x:c>
      <x:c r="E1163" s="2" t="str">
        <x:v>Research &amp; Analysis</x:v>
      </x:c>
      <x:c r="F1163" s="56" t="str">
        <x:f>'Research &amp; Analysis'!E435</x:f>
        <x:v>RA.FC.2.3</x:v>
      </x:c>
      <x:c r="G1163" s="14" t="str">
        <x:f>'Research &amp; Analysis'!F435</x:f>
        <x:v>Meet with SMEs to gain business insight and clarify questions</x:v>
      </x:c>
      <x:c r="H1163" s="2" t="str">
        <x:f>IF('Research &amp; Analysis'!G435="","",'Research &amp; Analysis'!G435)</x:f>
      </x:c>
      <x:c r="I1163" s="12" t="str">
        <x:f>IF('Research &amp; Analysis'!H435="","",'Research &amp; Analysis'!H435)</x:f>
      </x:c>
      <x:c r="J1163" s="12" t="n">
        <x:f>IF('Research &amp; Analysis'!I435="","",'Research &amp; Analysis'!I435)</x:f>
        <x:v>46295</x:v>
      </x:c>
      <x:c r="K1163" s="12" t="str">
        <x:f>IF('Research &amp; Analysis'!J435="","",'Research &amp; Analysis'!J435)</x:f>
      </x:c>
      <x:c r="L1163" s="2" t="str">
        <x:f>IF('Research &amp; Analysis'!K435="","",'Research &amp; Analysis'!K435)</x:f>
      </x:c>
      <x:c r="M1163" s="2" t="n">
        <x:f>'Research &amp; Analysis'!Q435</x:f>
        <x:v>1</x:v>
      </x:c>
      <x:c r="N1163" s="2" t="str">
        <x:f>'Research &amp; Analysis'!L435</x:f>
        <x:v>Not started</x:v>
      </x:c>
      <x:c r="O1163" s="2" t="str">
        <x:f>'Research &amp; Analysis'!N435</x:f>
        <x:v>RA.FC.2.3.2026.CY3</x:v>
      </x:c>
      <x:c r="P1163" s="2" t="n">
        <x:f>'Research &amp; Analysis'!O435</x:f>
        <x:v>0</x:v>
      </x:c>
      <x:c r="Q1163" s="2" t="n">
        <x:f>SUBTOTAL(103,O1163)</x:f>
        <x:v>1</x:v>
      </x:c>
      <x:c r="R1163" s="2" t="n">
        <x:f>IF(AND(M1163=1,OR(Dashboard!$B$7="All",Dashboard!$B$7='Cycles &amp; Guide'!$C$5),OR(Dashboard!$D$7="All",Dashboard!$D$7=B1163),OR(Dashboard!$F$7="All",Dashboard!$F$7=C1163),OR(Dashboard!$H$7="All",Dashboard!$H$7=D1163),OR(Dashboard!$K$7="All",Dashboard!$K$7=E1163)),1,0)</x:f>
        <x:v>1</x:v>
      </x:c>
      <x:c r="S1163" s="2" t="n">
        <x:f>IF(R1163=1,SUM($R$10:R1163),0)</x:f>
        <x:v>790</x:v>
      </x:c>
      <x:c r="T1163" s="2" t="str">
        <x:v>Research &amp; Analysis</x:v>
      </x:c>
      <x:c r="U1163" s="2" t="n">
        <x:v>435</x:v>
      </x:c>
      <x:c r="V1163" s="2" t="n">
        <x:f>IF(AND(M1163=1,P1163=0,ISNUMBER(J1163),J1163&lt;TODAY()),1,0)</x:f>
        <x:v>0</x:v>
      </x:c>
      <x:c r="W1163" s="2" t="str">
        <x:f>'Research &amp; Analysis'!M435</x:f>
        <x:v>Task</x:v>
      </x:c>
    </x:row>
    <x:row r="1164" ht="40" customHeight="1">
      <x:c r="A1164" s="3" t="str">
        <x:f>HYPERLINK("#'Research &amp; Analysis'!A436","Open")</x:f>
        <x:v>Open</x:v>
      </x:c>
      <x:c r="B1164" s="2" t="str">
        <x:f>'Research &amp; Analysis'!B436</x:f>
        <x:v>Cycle 3</x:v>
      </x:c>
      <x:c r="C1164" s="2" t="str">
        <x:f>'Research &amp; Analysis'!C436</x:f>
        <x:v>Phase 2</x:v>
      </x:c>
      <x:c r="D1164" s="2" t="str">
        <x:f>'Research &amp; Analysis'!D436</x:f>
        <x:v>FCM</x:v>
      </x:c>
      <x:c r="E1164" s="2" t="str">
        <x:v>Research &amp; Analysis</x:v>
      </x:c>
      <x:c r="F1164" s="56" t="str">
        <x:f>'Research &amp; Analysis'!E436</x:f>
        <x:v>RA.FC.2.4</x:v>
      </x:c>
      <x:c r="G1164" s="14" t="str">
        <x:f>'Research &amp; Analysis'!F436</x:f>
        <x:v>Establish and maintain a recurring meeting with D&amp;I to discuss Cycle progress</x:v>
      </x:c>
      <x:c r="H1164" s="2" t="str">
        <x:f>IF('Research &amp; Analysis'!G436="","",'Research &amp; Analysis'!G436)</x:f>
      </x:c>
      <x:c r="I1164" s="12" t="str">
        <x:f>IF('Research &amp; Analysis'!H436="","",'Research &amp; Analysis'!H436)</x:f>
      </x:c>
      <x:c r="J1164" s="12" t="n">
        <x:f>IF('Research &amp; Analysis'!I436="","",'Research &amp; Analysis'!I436)</x:f>
        <x:v>46295</x:v>
      </x:c>
      <x:c r="K1164" s="12" t="str">
        <x:f>IF('Research &amp; Analysis'!J436="","",'Research &amp; Analysis'!J436)</x:f>
      </x:c>
      <x:c r="L1164" s="2" t="str">
        <x:f>IF('Research &amp; Analysis'!K436="","",'Research &amp; Analysis'!K436)</x:f>
      </x:c>
      <x:c r="M1164" s="2" t="n">
        <x:f>'Research &amp; Analysis'!Q436</x:f>
        <x:v>1</x:v>
      </x:c>
      <x:c r="N1164" s="2" t="str">
        <x:f>'Research &amp; Analysis'!L436</x:f>
        <x:v>Not started</x:v>
      </x:c>
      <x:c r="O1164" s="2" t="str">
        <x:f>'Research &amp; Analysis'!N436</x:f>
        <x:v>RA.FC.2.4.2026.CY3</x:v>
      </x:c>
      <x:c r="P1164" s="2" t="n">
        <x:f>'Research &amp; Analysis'!O436</x:f>
        <x:v>0</x:v>
      </x:c>
      <x:c r="Q1164" s="2" t="n">
        <x:f>SUBTOTAL(103,O1164)</x:f>
        <x:v>1</x:v>
      </x:c>
      <x:c r="R1164" s="2" t="n">
        <x:f>IF(AND(M1164=1,OR(Dashboard!$B$7="All",Dashboard!$B$7='Cycles &amp; Guide'!$C$5),OR(Dashboard!$D$7="All",Dashboard!$D$7=B1164),OR(Dashboard!$F$7="All",Dashboard!$F$7=C1164),OR(Dashboard!$H$7="All",Dashboard!$H$7=D1164),OR(Dashboard!$K$7="All",Dashboard!$K$7=E1164)),1,0)</x:f>
        <x:v>1</x:v>
      </x:c>
      <x:c r="S1164" s="2" t="n">
        <x:f>IF(R1164=1,SUM($R$10:R1164),0)</x:f>
        <x:v>791</x:v>
      </x:c>
      <x:c r="T1164" s="2" t="str">
        <x:v>Research &amp; Analysis</x:v>
      </x:c>
      <x:c r="U1164" s="2" t="n">
        <x:v>436</x:v>
      </x:c>
      <x:c r="V1164" s="2" t="n">
        <x:f>IF(AND(M1164=1,P1164=0,ISNUMBER(J1164),J1164&lt;TODAY()),1,0)</x:f>
        <x:v>0</x:v>
      </x:c>
      <x:c r="W1164" s="2" t="str">
        <x:f>'Research &amp; Analysis'!M436</x:f>
        <x:v>Task</x:v>
      </x:c>
    </x:row>
    <x:row r="1165" ht="40" customHeight="1">
      <x:c r="A1165" s="3" t="str">
        <x:f>HYPERLINK("#'Research &amp; Analysis'!A437","Open")</x:f>
        <x:v>Open</x:v>
      </x:c>
      <x:c r="B1165" s="2" t="str">
        <x:f>'Research &amp; Analysis'!B437</x:f>
        <x:v>Cycle 3</x:v>
      </x:c>
      <x:c r="C1165" s="2" t="str">
        <x:f>'Research &amp; Analysis'!C437</x:f>
        <x:v>Phase 2</x:v>
      </x:c>
      <x:c r="D1165" s="2" t="str">
        <x:f>'Research &amp; Analysis'!D437</x:f>
        <x:v>FCM</x:v>
      </x:c>
      <x:c r="E1165" s="2" t="str">
        <x:v>Research &amp; Analysis</x:v>
      </x:c>
      <x:c r="F1165" s="56" t="str">
        <x:f>'Research &amp; Analysis'!E437</x:f>
        <x:v>RA.FC.2.5</x:v>
      </x:c>
      <x:c r="G1165" s="14" t="str">
        <x:f>'Research &amp; Analysis'!F437</x:f>
        <x:v>Perform data testing and sampling</x:v>
      </x:c>
      <x:c r="H1165" s="2" t="str">
        <x:f>IF('Research &amp; Analysis'!G437="","",'Research &amp; Analysis'!G437)</x:f>
      </x:c>
      <x:c r="I1165" s="12" t="str">
        <x:f>IF('Research &amp; Analysis'!H437="","",'Research &amp; Analysis'!H437)</x:f>
      </x:c>
      <x:c r="J1165" s="12" t="n">
        <x:f>IF('Research &amp; Analysis'!I437="","",'Research &amp; Analysis'!I437)</x:f>
        <x:v>46295</x:v>
      </x:c>
      <x:c r="K1165" s="12" t="str">
        <x:f>IF('Research &amp; Analysis'!J437="","",'Research &amp; Analysis'!J437)</x:f>
      </x:c>
      <x:c r="L1165" s="2" t="str">
        <x:f>IF('Research &amp; Analysis'!K437="","",'Research &amp; Analysis'!K437)</x:f>
      </x:c>
      <x:c r="M1165" s="2" t="n">
        <x:f>'Research &amp; Analysis'!Q437</x:f>
        <x:v>1</x:v>
      </x:c>
      <x:c r="N1165" s="2" t="str">
        <x:f>'Research &amp; Analysis'!L437</x:f>
        <x:v>Not started</x:v>
      </x:c>
      <x:c r="O1165" s="2" t="str">
        <x:f>'Research &amp; Analysis'!N437</x:f>
        <x:v>RA.FC.2.5.2026.CY3</x:v>
      </x:c>
      <x:c r="P1165" s="2" t="n">
        <x:f>'Research &amp; Analysis'!O437</x:f>
        <x:v>0</x:v>
      </x:c>
      <x:c r="Q1165" s="2" t="n">
        <x:f>SUBTOTAL(103,O1165)</x:f>
        <x:v>1</x:v>
      </x:c>
      <x:c r="R1165" s="2" t="n">
        <x:f>IF(AND(M1165=1,OR(Dashboard!$B$7="All",Dashboard!$B$7='Cycles &amp; Guide'!$C$5),OR(Dashboard!$D$7="All",Dashboard!$D$7=B1165),OR(Dashboard!$F$7="All",Dashboard!$F$7=C1165),OR(Dashboard!$H$7="All",Dashboard!$H$7=D1165),OR(Dashboard!$K$7="All",Dashboard!$K$7=E1165)),1,0)</x:f>
        <x:v>1</x:v>
      </x:c>
      <x:c r="S1165" s="2" t="n">
        <x:f>IF(R1165=1,SUM($R$10:R1165),0)</x:f>
        <x:v>792</x:v>
      </x:c>
      <x:c r="T1165" s="2" t="str">
        <x:v>Research &amp; Analysis</x:v>
      </x:c>
      <x:c r="U1165" s="2" t="n">
        <x:v>437</x:v>
      </x:c>
      <x:c r="V1165" s="2" t="n">
        <x:f>IF(AND(M1165=1,P1165=0,ISNUMBER(J1165),J1165&lt;TODAY()),1,0)</x:f>
        <x:v>0</x:v>
      </x:c>
      <x:c r="W1165" s="2" t="str">
        <x:f>'Research &amp; Analysis'!M437</x:f>
        <x:v>Task</x:v>
      </x:c>
    </x:row>
    <x:row r="1166" ht="40" customHeight="1">
      <x:c r="A1166" s="3" t="str">
        <x:f>HYPERLINK("#'Research &amp; Analysis'!A438","Open")</x:f>
        <x:v>Open</x:v>
      </x:c>
      <x:c r="B1166" s="2" t="str">
        <x:f>'Research &amp; Analysis'!B438</x:f>
        <x:v>Cycle 3</x:v>
      </x:c>
      <x:c r="C1166" s="2" t="str">
        <x:f>'Research &amp; Analysis'!C438</x:f>
        <x:v>Phase 2</x:v>
      </x:c>
      <x:c r="D1166" s="2" t="str">
        <x:f>'Research &amp; Analysis'!D438</x:f>
        <x:v>FCM</x:v>
      </x:c>
      <x:c r="E1166" s="2" t="str">
        <x:v>Research &amp; Analysis</x:v>
      </x:c>
      <x:c r="F1166" s="56" t="str">
        <x:f>'Research &amp; Analysis'!E438</x:f>
        <x:v>RA.FC.2.6</x:v>
      </x:c>
      <x:c r="G1166" s="14" t="str">
        <x:f>'Research &amp; Analysis'!F438</x:f>
        <x:v>Complete Positive Testing</x:v>
      </x:c>
      <x:c r="H1166" s="2" t="str">
        <x:f>IF('Research &amp; Analysis'!G438="","",'Research &amp; Analysis'!G438)</x:f>
      </x:c>
      <x:c r="I1166" s="12" t="str">
        <x:f>IF('Research &amp; Analysis'!H438="","",'Research &amp; Analysis'!H438)</x:f>
      </x:c>
      <x:c r="J1166" s="12" t="n">
        <x:f>IF('Research &amp; Analysis'!I438="","",'Research &amp; Analysis'!I438)</x:f>
        <x:v>46295</x:v>
      </x:c>
      <x:c r="K1166" s="12" t="str">
        <x:f>IF('Research &amp; Analysis'!J438="","",'Research &amp; Analysis'!J438)</x:f>
      </x:c>
      <x:c r="L1166" s="2" t="str">
        <x:f>IF('Research &amp; Analysis'!K438="","",'Research &amp; Analysis'!K438)</x:f>
      </x:c>
      <x:c r="M1166" s="2" t="n">
        <x:f>'Research &amp; Analysis'!Q438</x:f>
        <x:v>1</x:v>
      </x:c>
      <x:c r="N1166" s="2" t="str">
        <x:f>'Research &amp; Analysis'!L438</x:f>
        <x:v>Not started</x:v>
      </x:c>
      <x:c r="O1166" s="2" t="str">
        <x:f>'Research &amp; Analysis'!N438</x:f>
        <x:v>RA.FC.2.6.2026.CY3</x:v>
      </x:c>
      <x:c r="P1166" s="2" t="n">
        <x:f>'Research &amp; Analysis'!O438</x:f>
        <x:v>0</x:v>
      </x:c>
      <x:c r="Q1166" s="2" t="n">
        <x:f>SUBTOTAL(103,O1166)</x:f>
        <x:v>1</x:v>
      </x:c>
      <x:c r="R1166" s="2" t="n">
        <x:f>IF(AND(M1166=1,OR(Dashboard!$B$7="All",Dashboard!$B$7='Cycles &amp; Guide'!$C$5),OR(Dashboard!$D$7="All",Dashboard!$D$7=B1166),OR(Dashboard!$F$7="All",Dashboard!$F$7=C1166),OR(Dashboard!$H$7="All",Dashboard!$H$7=D1166),OR(Dashboard!$K$7="All",Dashboard!$K$7=E1166)),1,0)</x:f>
        <x:v>1</x:v>
      </x:c>
      <x:c r="S1166" s="2" t="n">
        <x:f>IF(R1166=1,SUM($R$10:R1166),0)</x:f>
        <x:v>793</x:v>
      </x:c>
      <x:c r="T1166" s="2" t="str">
        <x:v>Research &amp; Analysis</x:v>
      </x:c>
      <x:c r="U1166" s="2" t="n">
        <x:v>438</x:v>
      </x:c>
      <x:c r="V1166" s="2" t="n">
        <x:f>IF(AND(M1166=1,P1166=0,ISNUMBER(J1166),J1166&lt;TODAY()),1,0)</x:f>
        <x:v>0</x:v>
      </x:c>
      <x:c r="W1166" s="2" t="str">
        <x:f>'Research &amp; Analysis'!M438</x:f>
        <x:v>Task</x:v>
      </x:c>
    </x:row>
    <x:row r="1167" ht="40" customHeight="1">
      <x:c r="A1167" s="3" t="str">
        <x:f>HYPERLINK("#'Research &amp; Analysis'!A439","Open")</x:f>
        <x:v>Open</x:v>
      </x:c>
      <x:c r="B1167" s="2" t="str">
        <x:f>'Research &amp; Analysis'!B439</x:f>
        <x:v>Cycle 3</x:v>
      </x:c>
      <x:c r="C1167" s="2" t="str">
        <x:f>'Research &amp; Analysis'!C439</x:f>
        <x:v>Phase 2</x:v>
      </x:c>
      <x:c r="D1167" s="2" t="str">
        <x:f>'Research &amp; Analysis'!D439</x:f>
        <x:v>FCM</x:v>
      </x:c>
      <x:c r="E1167" s="2" t="str">
        <x:v>Research &amp; Analysis</x:v>
      </x:c>
      <x:c r="F1167" s="56" t="str">
        <x:f>'Research &amp; Analysis'!E439</x:f>
        <x:v>RA.FC.2.7</x:v>
      </x:c>
      <x:c r="G1167" s="14" t="str">
        <x:f>'Research &amp; Analysis'!F439</x:f>
        <x:v>Complete Negative Testing</x:v>
      </x:c>
      <x:c r="H1167" s="2" t="str">
        <x:f>IF('Research &amp; Analysis'!G439="","",'Research &amp; Analysis'!G439)</x:f>
      </x:c>
      <x:c r="I1167" s="12" t="str">
        <x:f>IF('Research &amp; Analysis'!H439="","",'Research &amp; Analysis'!H439)</x:f>
      </x:c>
      <x:c r="J1167" s="12" t="n">
        <x:f>IF('Research &amp; Analysis'!I439="","",'Research &amp; Analysis'!I439)</x:f>
        <x:v>46295</x:v>
      </x:c>
      <x:c r="K1167" s="12" t="str">
        <x:f>IF('Research &amp; Analysis'!J439="","",'Research &amp; Analysis'!J439)</x:f>
      </x:c>
      <x:c r="L1167" s="2" t="str">
        <x:f>IF('Research &amp; Analysis'!K439="","",'Research &amp; Analysis'!K439)</x:f>
      </x:c>
      <x:c r="M1167" s="2" t="n">
        <x:f>'Research &amp; Analysis'!Q439</x:f>
        <x:v>1</x:v>
      </x:c>
      <x:c r="N1167" s="2" t="str">
        <x:f>'Research &amp; Analysis'!L439</x:f>
        <x:v>Not started</x:v>
      </x:c>
      <x:c r="O1167" s="2" t="str">
        <x:f>'Research &amp; Analysis'!N439</x:f>
        <x:v>RA.FC.2.7.2026.CY3</x:v>
      </x:c>
      <x:c r="P1167" s="2" t="n">
        <x:f>'Research &amp; Analysis'!O439</x:f>
        <x:v>0</x:v>
      </x:c>
      <x:c r="Q1167" s="2" t="n">
        <x:f>SUBTOTAL(103,O1167)</x:f>
        <x:v>1</x:v>
      </x:c>
      <x:c r="R1167" s="2" t="n">
        <x:f>IF(AND(M1167=1,OR(Dashboard!$B$7="All",Dashboard!$B$7='Cycles &amp; Guide'!$C$5),OR(Dashboard!$D$7="All",Dashboard!$D$7=B1167),OR(Dashboard!$F$7="All",Dashboard!$F$7=C1167),OR(Dashboard!$H$7="All",Dashboard!$H$7=D1167),OR(Dashboard!$K$7="All",Dashboard!$K$7=E1167)),1,0)</x:f>
        <x:v>1</x:v>
      </x:c>
      <x:c r="S1167" s="2" t="n">
        <x:f>IF(R1167=1,SUM($R$10:R1167),0)</x:f>
        <x:v>794</x:v>
      </x:c>
      <x:c r="T1167" s="2" t="str">
        <x:v>Research &amp; Analysis</x:v>
      </x:c>
      <x:c r="U1167" s="2" t="n">
        <x:v>439</x:v>
      </x:c>
      <x:c r="V1167" s="2" t="n">
        <x:f>IF(AND(M1167=1,P1167=0,ISNUMBER(J1167),J1167&lt;TODAY()),1,0)</x:f>
        <x:v>0</x:v>
      </x:c>
      <x:c r="W1167" s="2" t="str">
        <x:f>'Research &amp; Analysis'!M439</x:f>
        <x:v>Task</x:v>
      </x:c>
    </x:row>
    <x:row r="1168" ht="40" customHeight="1">
      <x:c r="A1168" s="3" t="str">
        <x:f>HYPERLINK("#'Research &amp; Analysis'!A440","Open")</x:f>
        <x:v>Open</x:v>
      </x:c>
      <x:c r="B1168" s="2" t="str">
        <x:f>'Research &amp; Analysis'!B440</x:f>
        <x:v>Cycle 3</x:v>
      </x:c>
      <x:c r="C1168" s="2" t="str">
        <x:f>'Research &amp; Analysis'!C440</x:f>
        <x:v>Phase 2</x:v>
      </x:c>
      <x:c r="D1168" s="2" t="str">
        <x:f>'Research &amp; Analysis'!D440</x:f>
        <x:v>FCM</x:v>
      </x:c>
      <x:c r="E1168" s="2" t="str">
        <x:v>Research &amp; Analysis</x:v>
      </x:c>
      <x:c r="F1168" s="56" t="str">
        <x:f>'Research &amp; Analysis'!E440</x:f>
        <x:v>RA.FC.2.8</x:v>
      </x:c>
      <x:c r="G1168" s="14" t="str">
        <x:f>'Research &amp; Analysis'!F440</x:f>
        <x:v>Request additional data (as needed)</x:v>
      </x:c>
      <x:c r="H1168" s="2" t="str">
        <x:f>IF('Research &amp; Analysis'!G440="","",'Research &amp; Analysis'!G440)</x:f>
      </x:c>
      <x:c r="I1168" s="12" t="str">
        <x:f>IF('Research &amp; Analysis'!H440="","",'Research &amp; Analysis'!H440)</x:f>
      </x:c>
      <x:c r="J1168" s="12" t="n">
        <x:f>IF('Research &amp; Analysis'!I440="","",'Research &amp; Analysis'!I440)</x:f>
        <x:v>46295</x:v>
      </x:c>
      <x:c r="K1168" s="12" t="str">
        <x:f>IF('Research &amp; Analysis'!J440="","",'Research &amp; Analysis'!J440)</x:f>
      </x:c>
      <x:c r="L1168" s="2" t="str">
        <x:f>IF('Research &amp; Analysis'!K440="","",'Research &amp; Analysis'!K440)</x:f>
      </x:c>
      <x:c r="M1168" s="2" t="n">
        <x:f>'Research &amp; Analysis'!Q440</x:f>
        <x:v>1</x:v>
      </x:c>
      <x:c r="N1168" s="2" t="str">
        <x:f>'Research &amp; Analysis'!L440</x:f>
        <x:v>Not started</x:v>
      </x:c>
      <x:c r="O1168" s="2" t="str">
        <x:f>'Research &amp; Analysis'!N440</x:f>
        <x:v>RA.FC.2.8.2026.CY3</x:v>
      </x:c>
      <x:c r="P1168" s="2" t="n">
        <x:f>'Research &amp; Analysis'!O440</x:f>
        <x:v>0</x:v>
      </x:c>
      <x:c r="Q1168" s="2" t="n">
        <x:f>SUBTOTAL(103,O1168)</x:f>
        <x:v>1</x:v>
      </x:c>
      <x:c r="R1168" s="2" t="n">
        <x:f>IF(AND(M1168=1,OR(Dashboard!$B$7="All",Dashboard!$B$7='Cycles &amp; Guide'!$C$5),OR(Dashboard!$D$7="All",Dashboard!$D$7=B1168),OR(Dashboard!$F$7="All",Dashboard!$F$7=C1168),OR(Dashboard!$H$7="All",Dashboard!$H$7=D1168),OR(Dashboard!$K$7="All",Dashboard!$K$7=E1168)),1,0)</x:f>
        <x:v>1</x:v>
      </x:c>
      <x:c r="S1168" s="2" t="n">
        <x:f>IF(R1168=1,SUM($R$10:R1168),0)</x:f>
        <x:v>795</x:v>
      </x:c>
      <x:c r="T1168" s="2" t="str">
        <x:v>Research &amp; Analysis</x:v>
      </x:c>
      <x:c r="U1168" s="2" t="n">
        <x:v>440</x:v>
      </x:c>
      <x:c r="V1168" s="2" t="n">
        <x:f>IF(AND(M1168=1,P1168=0,ISNUMBER(J1168),J1168&lt;TODAY()),1,0)</x:f>
        <x:v>0</x:v>
      </x:c>
      <x:c r="W1168" s="2" t="str">
        <x:f>'Research &amp; Analysis'!M440</x:f>
        <x:v>Task</x:v>
      </x:c>
    </x:row>
    <x:row r="1169" ht="40" customHeight="1">
      <x:c r="A1169" s="3" t="str">
        <x:f>HYPERLINK("#'Research &amp; Analysis'!A441","Open")</x:f>
        <x:v>Open</x:v>
      </x:c>
      <x:c r="B1169" s="2" t="str">
        <x:f>'Research &amp; Analysis'!B441</x:f>
        <x:v>Cycle 3</x:v>
      </x:c>
      <x:c r="C1169" s="2" t="str">
        <x:f>'Research &amp; Analysis'!C441</x:f>
        <x:v>Phase 2</x:v>
      </x:c>
      <x:c r="D1169" s="2" t="str">
        <x:f>'Research &amp; Analysis'!D441</x:f>
        <x:v>FCM</x:v>
      </x:c>
      <x:c r="E1169" s="2" t="str">
        <x:v>Research &amp; Analysis</x:v>
      </x:c>
      <x:c r="F1169" s="56" t="str">
        <x:f>'Research &amp; Analysis'!E441</x:f>
        <x:v>RA.FC.2.9</x:v>
      </x:c>
      <x:c r="G1169" s="14" t="str">
        <x:f>'Research &amp; Analysis'!F441</x:f>
        <x:v>Validate or disprove initial hypothesis assumptions</x:v>
      </x:c>
      <x:c r="H1169" s="2" t="str">
        <x:f>IF('Research &amp; Analysis'!G441="","",'Research &amp; Analysis'!G441)</x:f>
      </x:c>
      <x:c r="I1169" s="12" t="str">
        <x:f>IF('Research &amp; Analysis'!H441="","",'Research &amp; Analysis'!H441)</x:f>
      </x:c>
      <x:c r="J1169" s="12" t="n">
        <x:f>IF('Research &amp; Analysis'!I441="","",'Research &amp; Analysis'!I441)</x:f>
        <x:v>46295</x:v>
      </x:c>
      <x:c r="K1169" s="12" t="str">
        <x:f>IF('Research &amp; Analysis'!J441="","",'Research &amp; Analysis'!J441)</x:f>
      </x:c>
      <x:c r="L1169" s="2" t="str">
        <x:f>IF('Research &amp; Analysis'!K441="","",'Research &amp; Analysis'!K441)</x:f>
      </x:c>
      <x:c r="M1169" s="2" t="n">
        <x:f>'Research &amp; Analysis'!Q441</x:f>
        <x:v>1</x:v>
      </x:c>
      <x:c r="N1169" s="2" t="str">
        <x:f>'Research &amp; Analysis'!L441</x:f>
        <x:v>Not started</x:v>
      </x:c>
      <x:c r="O1169" s="2" t="str">
        <x:f>'Research &amp; Analysis'!N441</x:f>
        <x:v>RA.FC.2.9.2026.CY3</x:v>
      </x:c>
      <x:c r="P1169" s="2" t="n">
        <x:f>'Research &amp; Analysis'!O441</x:f>
        <x:v>0</x:v>
      </x:c>
      <x:c r="Q1169" s="2" t="n">
        <x:f>SUBTOTAL(103,O1169)</x:f>
        <x:v>1</x:v>
      </x:c>
      <x:c r="R1169" s="2" t="n">
        <x:f>IF(AND(M1169=1,OR(Dashboard!$B$7="All",Dashboard!$B$7='Cycles &amp; Guide'!$C$5),OR(Dashboard!$D$7="All",Dashboard!$D$7=B1169),OR(Dashboard!$F$7="All",Dashboard!$F$7=C1169),OR(Dashboard!$H$7="All",Dashboard!$H$7=D1169),OR(Dashboard!$K$7="All",Dashboard!$K$7=E1169)),1,0)</x:f>
        <x:v>1</x:v>
      </x:c>
      <x:c r="S1169" s="2" t="n">
        <x:f>IF(R1169=1,SUM($R$10:R1169),0)</x:f>
        <x:v>796</x:v>
      </x:c>
      <x:c r="T1169" s="2" t="str">
        <x:v>Research &amp; Analysis</x:v>
      </x:c>
      <x:c r="U1169" s="2" t="n">
        <x:v>441</x:v>
      </x:c>
      <x:c r="V1169" s="2" t="n">
        <x:f>IF(AND(M1169=1,P1169=0,ISNUMBER(J1169),J1169&lt;TODAY()),1,0)</x:f>
        <x:v>0</x:v>
      </x:c>
      <x:c r="W1169" s="2" t="str">
        <x:f>'Research &amp; Analysis'!M441</x:f>
        <x:v>Task</x:v>
      </x:c>
    </x:row>
    <x:row r="1170" ht="40" customHeight="1">
      <x:c r="A1170" s="3" t="str">
        <x:f>HYPERLINK("#'Research &amp; Analysis'!A442","Open")</x:f>
        <x:v>Open</x:v>
      </x:c>
      <x:c r="B1170" s="2" t="str">
        <x:f>'Research &amp; Analysis'!B442</x:f>
        <x:v>Cycle 3</x:v>
      </x:c>
      <x:c r="C1170" s="2" t="str">
        <x:f>'Research &amp; Analysis'!C442</x:f>
        <x:v>Phase 2</x:v>
      </x:c>
      <x:c r="D1170" s="2" t="str">
        <x:f>'Research &amp; Analysis'!D442</x:f>
        <x:v>FCM</x:v>
      </x:c>
      <x:c r="E1170" s="2" t="str">
        <x:v>Research &amp; Analysis</x:v>
      </x:c>
      <x:c r="F1170" s="56" t="str">
        <x:f>'Research &amp; Analysis'!E442</x:f>
        <x:v>RA.FC.2.10</x:v>
      </x:c>
      <x:c r="G1170" s="14" t="str">
        <x:f>'Research &amp; Analysis'!F442</x:f>
        <x:v>Identify and confirm root cause</x:v>
      </x:c>
      <x:c r="H1170" s="2" t="str">
        <x:f>IF('Research &amp; Analysis'!G442="","",'Research &amp; Analysis'!G442)</x:f>
      </x:c>
      <x:c r="I1170" s="12" t="str">
        <x:f>IF('Research &amp; Analysis'!H442="","",'Research &amp; Analysis'!H442)</x:f>
      </x:c>
      <x:c r="J1170" s="12" t="n">
        <x:f>IF('Research &amp; Analysis'!I442="","",'Research &amp; Analysis'!I442)</x:f>
        <x:v>46295</x:v>
      </x:c>
      <x:c r="K1170" s="12" t="str">
        <x:f>IF('Research &amp; Analysis'!J442="","",'Research &amp; Analysis'!J442)</x:f>
      </x:c>
      <x:c r="L1170" s="2" t="str">
        <x:f>IF('Research &amp; Analysis'!K442="","",'Research &amp; Analysis'!K442)</x:f>
      </x:c>
      <x:c r="M1170" s="2" t="n">
        <x:f>'Research &amp; Analysis'!Q442</x:f>
        <x:v>1</x:v>
      </x:c>
      <x:c r="N1170" s="2" t="str">
        <x:f>'Research &amp; Analysis'!L442</x:f>
        <x:v>Not started</x:v>
      </x:c>
      <x:c r="O1170" s="2" t="str">
        <x:f>'Research &amp; Analysis'!N442</x:f>
        <x:v>RA.FC.2.10.2026.CY3</x:v>
      </x:c>
      <x:c r="P1170" s="2" t="n">
        <x:f>'Research &amp; Analysis'!O442</x:f>
        <x:v>0</x:v>
      </x:c>
      <x:c r="Q1170" s="2" t="n">
        <x:f>SUBTOTAL(103,O1170)</x:f>
        <x:v>1</x:v>
      </x:c>
      <x:c r="R1170" s="2" t="n">
        <x:f>IF(AND(M1170=1,OR(Dashboard!$B$7="All",Dashboard!$B$7='Cycles &amp; Guide'!$C$5),OR(Dashboard!$D$7="All",Dashboard!$D$7=B1170),OR(Dashboard!$F$7="All",Dashboard!$F$7=C1170),OR(Dashboard!$H$7="All",Dashboard!$H$7=D1170),OR(Dashboard!$K$7="All",Dashboard!$K$7=E1170)),1,0)</x:f>
        <x:v>1</x:v>
      </x:c>
      <x:c r="S1170" s="2" t="n">
        <x:f>IF(R1170=1,SUM($R$10:R1170),0)</x:f>
        <x:v>797</x:v>
      </x:c>
      <x:c r="T1170" s="2" t="str">
        <x:v>Research &amp; Analysis</x:v>
      </x:c>
      <x:c r="U1170" s="2" t="n">
        <x:v>442</x:v>
      </x:c>
      <x:c r="V1170" s="2" t="n">
        <x:f>IF(AND(M1170=1,P1170=0,ISNUMBER(J1170),J1170&lt;TODAY()),1,0)</x:f>
        <x:v>0</x:v>
      </x:c>
      <x:c r="W1170" s="2" t="str">
        <x:f>'Research &amp; Analysis'!M442</x:f>
        <x:v>Task</x:v>
      </x:c>
    </x:row>
    <x:row r="1171" ht="40" customHeight="1">
      <x:c r="A1171" s="3" t="str">
        <x:f>HYPERLINK("#'Research &amp; Analysis'!A443","Open")</x:f>
        <x:v>Open</x:v>
      </x:c>
      <x:c r="B1171" s="2" t="str">
        <x:f>'Research &amp; Analysis'!B443</x:f>
        <x:v>Cycle 3</x:v>
      </x:c>
      <x:c r="C1171" s="2" t="str">
        <x:f>'Research &amp; Analysis'!C443</x:f>
        <x:v>Phase 3</x:v>
      </x:c>
      <x:c r="D1171" s="2" t="str">
        <x:f>'Research &amp; Analysis'!D443</x:f>
        <x:v>FCM</x:v>
      </x:c>
      <x:c r="E1171" s="2" t="str">
        <x:v>Research &amp; Analysis</x:v>
      </x:c>
      <x:c r="F1171" s="56" t="str">
        <x:f>'Research &amp; Analysis'!E443</x:f>
        <x:v>RA.FC.3.1</x:v>
      </x:c>
      <x:c r="G1171" s="14" t="str">
        <x:f>'Research &amp; Analysis'!F443</x:f>
        <x:v>Finalize results and supporting documentation</x:v>
      </x:c>
      <x:c r="H1171" s="2" t="str">
        <x:f>IF('Research &amp; Analysis'!G443="","",'Research &amp; Analysis'!G443)</x:f>
      </x:c>
      <x:c r="I1171" s="12" t="str">
        <x:f>IF('Research &amp; Analysis'!H443="","",'Research &amp; Analysis'!H443)</x:f>
      </x:c>
      <x:c r="J1171" s="12" t="n">
        <x:f>IF('Research &amp; Analysis'!I443="","",'Research &amp; Analysis'!I443)</x:f>
        <x:v>46295</x:v>
      </x:c>
      <x:c r="K1171" s="12" t="str">
        <x:f>IF('Research &amp; Analysis'!J443="","",'Research &amp; Analysis'!J443)</x:f>
      </x:c>
      <x:c r="L1171" s="2" t="str">
        <x:f>IF('Research &amp; Analysis'!K443="","",'Research &amp; Analysis'!K443)</x:f>
      </x:c>
      <x:c r="M1171" s="2" t="n">
        <x:f>'Research &amp; Analysis'!Q443</x:f>
        <x:v>1</x:v>
      </x:c>
      <x:c r="N1171" s="2" t="str">
        <x:f>'Research &amp; Analysis'!L443</x:f>
        <x:v>Not started</x:v>
      </x:c>
      <x:c r="O1171" s="2" t="str">
        <x:f>'Research &amp; Analysis'!N443</x:f>
        <x:v>RA.FC.3.1.2026.CY3</x:v>
      </x:c>
      <x:c r="P1171" s="2" t="n">
        <x:f>'Research &amp; Analysis'!O443</x:f>
        <x:v>0</x:v>
      </x:c>
      <x:c r="Q1171" s="2" t="n">
        <x:f>SUBTOTAL(103,O1171)</x:f>
        <x:v>1</x:v>
      </x:c>
      <x:c r="R1171" s="2" t="n">
        <x:f>IF(AND(M1171=1,OR(Dashboard!$B$7="All",Dashboard!$B$7='Cycles &amp; Guide'!$C$5),OR(Dashboard!$D$7="All",Dashboard!$D$7=B1171),OR(Dashboard!$F$7="All",Dashboard!$F$7=C1171),OR(Dashboard!$H$7="All",Dashboard!$H$7=D1171),OR(Dashboard!$K$7="All",Dashboard!$K$7=E1171)),1,0)</x:f>
        <x:v>1</x:v>
      </x:c>
      <x:c r="S1171" s="2" t="n">
        <x:f>IF(R1171=1,SUM($R$10:R1171),0)</x:f>
        <x:v>798</x:v>
      </x:c>
      <x:c r="T1171" s="2" t="str">
        <x:v>Research &amp; Analysis</x:v>
      </x:c>
      <x:c r="U1171" s="2" t="n">
        <x:v>443</x:v>
      </x:c>
      <x:c r="V1171" s="2" t="n">
        <x:f>IF(AND(M1171=1,P1171=0,ISNUMBER(J1171),J1171&lt;TODAY()),1,0)</x:f>
        <x:v>0</x:v>
      </x:c>
      <x:c r="W1171" s="2" t="str">
        <x:f>'Research &amp; Analysis'!M443</x:f>
        <x:v>Task</x:v>
      </x:c>
    </x:row>
    <x:row r="1172" ht="40" customHeight="1">
      <x:c r="A1172" s="3" t="str">
        <x:f>HYPERLINK("#'Research &amp; Analysis'!A444","Open")</x:f>
        <x:v>Open</x:v>
      </x:c>
      <x:c r="B1172" s="2" t="str">
        <x:f>'Research &amp; Analysis'!B444</x:f>
        <x:v>Cycle 3</x:v>
      </x:c>
      <x:c r="C1172" s="2" t="str">
        <x:f>'Research &amp; Analysis'!C444</x:f>
        <x:v>Phase 3</x:v>
      </x:c>
      <x:c r="D1172" s="2" t="str">
        <x:f>'Research &amp; Analysis'!D444</x:f>
        <x:v>FCM</x:v>
      </x:c>
      <x:c r="E1172" s="2" t="str">
        <x:v>Research &amp; Analysis</x:v>
      </x:c>
      <x:c r="F1172" s="56" t="str">
        <x:f>'Research &amp; Analysis'!E444</x:f>
        <x:v>RA.FC.3.2</x:v>
      </x:c>
      <x:c r="G1172" s="14" t="str">
        <x:f>'Research &amp; Analysis'!F444</x:f>
        <x:v>Maintain and update the evidence package prior to handoff to D&amp;I</x:v>
      </x:c>
      <x:c r="H1172" s="2" t="str">
        <x:f>IF('Research &amp; Analysis'!G444="","",'Research &amp; Analysis'!G444)</x:f>
      </x:c>
      <x:c r="I1172" s="12" t="str">
        <x:f>IF('Research &amp; Analysis'!H444="","",'Research &amp; Analysis'!H444)</x:f>
      </x:c>
      <x:c r="J1172" s="12" t="n">
        <x:f>IF('Research &amp; Analysis'!I444="","",'Research &amp; Analysis'!I444)</x:f>
        <x:v>46295</x:v>
      </x:c>
      <x:c r="K1172" s="12" t="str">
        <x:f>IF('Research &amp; Analysis'!J444="","",'Research &amp; Analysis'!J444)</x:f>
      </x:c>
      <x:c r="L1172" s="2" t="str">
        <x:f>IF('Research &amp; Analysis'!K444="","",'Research &amp; Analysis'!K444)</x:f>
      </x:c>
      <x:c r="M1172" s="2" t="n">
        <x:f>'Research &amp; Analysis'!Q444</x:f>
        <x:v>1</x:v>
      </x:c>
      <x:c r="N1172" s="2" t="str">
        <x:f>'Research &amp; Analysis'!L444</x:f>
        <x:v>Not started</x:v>
      </x:c>
      <x:c r="O1172" s="2" t="str">
        <x:f>'Research &amp; Analysis'!N444</x:f>
        <x:v>RA.FC.3.2.2026.CY3</x:v>
      </x:c>
      <x:c r="P1172" s="2" t="n">
        <x:f>'Research &amp; Analysis'!O444</x:f>
        <x:v>0</x:v>
      </x:c>
      <x:c r="Q1172" s="2" t="n">
        <x:f>SUBTOTAL(103,O1172)</x:f>
        <x:v>1</x:v>
      </x:c>
      <x:c r="R1172" s="2" t="n">
        <x:f>IF(AND(M1172=1,OR(Dashboard!$B$7="All",Dashboard!$B$7='Cycles &amp; Guide'!$C$5),OR(Dashboard!$D$7="All",Dashboard!$D$7=B1172),OR(Dashboard!$F$7="All",Dashboard!$F$7=C1172),OR(Dashboard!$H$7="All",Dashboard!$H$7=D1172),OR(Dashboard!$K$7="All",Dashboard!$K$7=E1172)),1,0)</x:f>
        <x:v>1</x:v>
      </x:c>
      <x:c r="S1172" s="2" t="n">
        <x:f>IF(R1172=1,SUM($R$10:R1172),0)</x:f>
        <x:v>799</x:v>
      </x:c>
      <x:c r="T1172" s="2" t="str">
        <x:v>Research &amp; Analysis</x:v>
      </x:c>
      <x:c r="U1172" s="2" t="n">
        <x:v>444</x:v>
      </x:c>
      <x:c r="V1172" s="2" t="n">
        <x:f>IF(AND(M1172=1,P1172=0,ISNUMBER(J1172),J1172&lt;TODAY()),1,0)</x:f>
        <x:v>0</x:v>
      </x:c>
      <x:c r="W1172" s="2" t="str">
        <x:f>'Research &amp; Analysis'!M444</x:f>
        <x:v>Task</x:v>
      </x:c>
    </x:row>
    <x:row r="1173" ht="40" customHeight="1">
      <x:c r="A1173" s="3" t="str">
        <x:f>HYPERLINK("#'Research &amp; Analysis'!A445","Open")</x:f>
        <x:v>Open</x:v>
      </x:c>
      <x:c r="B1173" s="2" t="str">
        <x:f>'Research &amp; Analysis'!B445</x:f>
        <x:v>Cycle 3</x:v>
      </x:c>
      <x:c r="C1173" s="2" t="str">
        <x:f>'Research &amp; Analysis'!C445</x:f>
        <x:v>Phase 3</x:v>
      </x:c>
      <x:c r="D1173" s="2" t="str">
        <x:f>'Research &amp; Analysis'!D445</x:f>
        <x:v>FCM</x:v>
      </x:c>
      <x:c r="E1173" s="2" t="str">
        <x:v>Research &amp; Analysis</x:v>
      </x:c>
      <x:c r="F1173" s="56" t="str">
        <x:f>'Research &amp; Analysis'!E445</x:f>
        <x:v>RA.FC.3.3</x:v>
      </x:c>
      <x:c r="G1173" s="14" t="str">
        <x:f>'Research &amp; Analysis'!F445</x:f>
        <x:v>Address any outstanding questions or requests from D&amp;I</x:v>
      </x:c>
      <x:c r="H1173" s="2" t="str">
        <x:f>IF('Research &amp; Analysis'!G445="","",'Research &amp; Analysis'!G445)</x:f>
      </x:c>
      <x:c r="I1173" s="12" t="str">
        <x:f>IF('Research &amp; Analysis'!H445="","",'Research &amp; Analysis'!H445)</x:f>
      </x:c>
      <x:c r="J1173" s="12" t="n">
        <x:f>IF('Research &amp; Analysis'!I445="","",'Research &amp; Analysis'!I445)</x:f>
        <x:v>46295</x:v>
      </x:c>
      <x:c r="K1173" s="12" t="str">
        <x:f>IF('Research &amp; Analysis'!J445="","",'Research &amp; Analysis'!J445)</x:f>
      </x:c>
      <x:c r="L1173" s="2" t="str">
        <x:f>IF('Research &amp; Analysis'!K445="","",'Research &amp; Analysis'!K445)</x:f>
      </x:c>
      <x:c r="M1173" s="2" t="n">
        <x:f>'Research &amp; Analysis'!Q445</x:f>
        <x:v>1</x:v>
      </x:c>
      <x:c r="N1173" s="2" t="str">
        <x:f>'Research &amp; Analysis'!L445</x:f>
        <x:v>Not started</x:v>
      </x:c>
      <x:c r="O1173" s="2" t="str">
        <x:f>'Research &amp; Analysis'!N445</x:f>
        <x:v>RA.FC.3.3.2026.CY3</x:v>
      </x:c>
      <x:c r="P1173" s="2" t="n">
        <x:f>'Research &amp; Analysis'!O445</x:f>
        <x:v>0</x:v>
      </x:c>
      <x:c r="Q1173" s="2" t="n">
        <x:f>SUBTOTAL(103,O1173)</x:f>
        <x:v>1</x:v>
      </x:c>
      <x:c r="R1173" s="2" t="n">
        <x:f>IF(AND(M1173=1,OR(Dashboard!$B$7="All",Dashboard!$B$7='Cycles &amp; Guide'!$C$5),OR(Dashboard!$D$7="All",Dashboard!$D$7=B1173),OR(Dashboard!$F$7="All",Dashboard!$F$7=C1173),OR(Dashboard!$H$7="All",Dashboard!$H$7=D1173),OR(Dashboard!$K$7="All",Dashboard!$K$7=E1173)),1,0)</x:f>
        <x:v>1</x:v>
      </x:c>
      <x:c r="S1173" s="2" t="n">
        <x:f>IF(R1173=1,SUM($R$10:R1173),0)</x:f>
        <x:v>800</x:v>
      </x:c>
      <x:c r="T1173" s="2" t="str">
        <x:v>Research &amp; Analysis</x:v>
      </x:c>
      <x:c r="U1173" s="2" t="n">
        <x:v>445</x:v>
      </x:c>
      <x:c r="V1173" s="2" t="n">
        <x:f>IF(AND(M1173=1,P1173=0,ISNUMBER(J1173),J1173&lt;TODAY()),1,0)</x:f>
        <x:v>0</x:v>
      </x:c>
      <x:c r="W1173" s="2" t="str">
        <x:f>'Research &amp; Analysis'!M445</x:f>
        <x:v>Task</x:v>
      </x:c>
    </x:row>
    <x:row r="1174" ht="40" customHeight="1">
      <x:c r="A1174" s="3" t="str">
        <x:f>HYPERLINK("#'Research &amp; Analysis'!A446","Open")</x:f>
        <x:v>Open</x:v>
      </x:c>
      <x:c r="B1174" s="2" t="str">
        <x:f>'Research &amp; Analysis'!B446</x:f>
        <x:v>Cycle 3</x:v>
      </x:c>
      <x:c r="C1174" s="2" t="str">
        <x:f>'Research &amp; Analysis'!C446</x:f>
        <x:v>Phase 3</x:v>
      </x:c>
      <x:c r="D1174" s="2" t="str">
        <x:f>'Research &amp; Analysis'!D446</x:f>
        <x:v>FCM</x:v>
      </x:c>
      <x:c r="E1174" s="2" t="str">
        <x:v>Research &amp; Analysis</x:v>
      </x:c>
      <x:c r="F1174" s="56" t="str">
        <x:f>'Research &amp; Analysis'!E446</x:f>
        <x:v>RA.FC.3.4</x:v>
      </x:c>
      <x:c r="G1174" s="14" t="str">
        <x:f>'Research &amp; Analysis'!F446</x:f>
        <x:v>Attend Forum meeting with D&amp;I to assist with answering stakeholder questions (as needed)</x:v>
      </x:c>
      <x:c r="H1174" s="2" t="str">
        <x:f>IF('Research &amp; Analysis'!G446="","",'Research &amp; Analysis'!G446)</x:f>
      </x:c>
      <x:c r="I1174" s="12" t="str">
        <x:f>IF('Research &amp; Analysis'!H446="","",'Research &amp; Analysis'!H446)</x:f>
      </x:c>
      <x:c r="J1174" s="12" t="str">
        <x:f>IF('Research &amp; Analysis'!I446="","",'Research &amp; Analysis'!I446)</x:f>
      </x:c>
      <x:c r="K1174" s="12" t="str">
        <x:f>IF('Research &amp; Analysis'!J446="","",'Research &amp; Analysis'!J446)</x:f>
      </x:c>
      <x:c r="L1174" s="2" t="str">
        <x:f>IF('Research &amp; Analysis'!K446="","",'Research &amp; Analysis'!K446)</x:f>
      </x:c>
      <x:c r="M1174" s="2" t="n">
        <x:f>'Research &amp; Analysis'!Q446</x:f>
        <x:v>1</x:v>
      </x:c>
      <x:c r="N1174" s="2" t="str">
        <x:f>'Research &amp; Analysis'!L446</x:f>
        <x:v>Not started</x:v>
      </x:c>
      <x:c r="O1174" s="2" t="str">
        <x:f>'Research &amp; Analysis'!N446</x:f>
        <x:v>RA.FC.3.4.2026.CY3</x:v>
      </x:c>
      <x:c r="P1174" s="2" t="n">
        <x:f>'Research &amp; Analysis'!O446</x:f>
        <x:v>0</x:v>
      </x:c>
      <x:c r="Q1174" s="2" t="n">
        <x:f>SUBTOTAL(103,O1174)</x:f>
        <x:v>1</x:v>
      </x:c>
      <x:c r="R1174" s="2" t="n">
        <x:f>IF(AND(M1174=1,OR(Dashboard!$B$7="All",Dashboard!$B$7='Cycles &amp; Guide'!$C$5),OR(Dashboard!$D$7="All",Dashboard!$D$7=B1174),OR(Dashboard!$F$7="All",Dashboard!$F$7=C1174),OR(Dashboard!$H$7="All",Dashboard!$H$7=D1174),OR(Dashboard!$K$7="All",Dashboard!$K$7=E1174)),1,0)</x:f>
        <x:v>1</x:v>
      </x:c>
      <x:c r="S1174" s="2" t="n">
        <x:f>IF(R1174=1,SUM($R$10:R1174),0)</x:f>
        <x:v>801</x:v>
      </x:c>
      <x:c r="T1174" s="2" t="str">
        <x:v>Research &amp; Analysis</x:v>
      </x:c>
      <x:c r="U1174" s="2" t="n">
        <x:v>446</x:v>
      </x:c>
      <x:c r="V1174" s="2" t="n">
        <x:f>IF(AND(M1174=1,P1174=0,ISNUMBER(J1174),J1174&lt;TODAY()),1,0)</x:f>
        <x:v>0</x:v>
      </x:c>
      <x:c r="W1174" s="2" t="str">
        <x:f>'Research &amp; Analysis'!M446</x:f>
        <x:v>Task</x:v>
      </x:c>
    </x:row>
    <x:row r="1175" ht="40" customHeight="1">
      <x:c r="A1175" s="3" t="str">
        <x:f>HYPERLINK("#'Research &amp; Analysis'!A447","Open")</x:f>
        <x:v>Open</x:v>
      </x:c>
      <x:c r="B1175" s="2" t="str">
        <x:f>'Research &amp; Analysis'!B447</x:f>
        <x:v>Cycle 3</x:v>
      </x:c>
      <x:c r="C1175" s="2" t="str">
        <x:f>'Research &amp; Analysis'!C447</x:f>
        <x:v>Phase 1</x:v>
      </x:c>
      <x:c r="D1175" s="2" t="str">
        <x:f>'Research &amp; Analysis'!D447</x:f>
        <x:v>PLL</x:v>
      </x:c>
      <x:c r="E1175" s="2" t="str">
        <x:v>Research &amp; Analysis</x:v>
      </x:c>
      <x:c r="F1175" s="56" t="str">
        <x:f>'Research &amp; Analysis'!E447</x:f>
        <x:v>RA.PL.1.1</x:v>
      </x:c>
      <x:c r="G1175" s="14" t="str">
        <x:f>'Research &amp; Analysis'!F447</x:f>
        <x:v>Begin Research process 2 weeks prior to Cycle start</x:v>
      </x:c>
      <x:c r="H1175" s="2" t="str">
        <x:f>IF('Research &amp; Analysis'!G447="","",'Research &amp; Analysis'!G447)</x:f>
      </x:c>
      <x:c r="I1175" s="12" t="str">
        <x:f>IF('Research &amp; Analysis'!H447="","",'Research &amp; Analysis'!H447)</x:f>
      </x:c>
      <x:c r="J1175" s="12" t="n">
        <x:f>IF('Research &amp; Analysis'!I447="","",'Research &amp; Analysis'!I447)</x:f>
        <x:v>46190</x:v>
      </x:c>
      <x:c r="K1175" s="12" t="str">
        <x:f>IF('Research &amp; Analysis'!J447="","",'Research &amp; Analysis'!J447)</x:f>
      </x:c>
      <x:c r="L1175" s="2" t="str">
        <x:f>IF('Research &amp; Analysis'!K447="","",'Research &amp; Analysis'!K447)</x:f>
      </x:c>
      <x:c r="M1175" s="2" t="n">
        <x:f>'Research &amp; Analysis'!Q447</x:f>
        <x:v>1</x:v>
      </x:c>
      <x:c r="N1175" s="2" t="str">
        <x:f>'Research &amp; Analysis'!L447</x:f>
        <x:v>Not started</x:v>
      </x:c>
      <x:c r="O1175" s="2" t="str">
        <x:f>'Research &amp; Analysis'!N447</x:f>
        <x:v>RA.PL.1.1.2026.CY3</x:v>
      </x:c>
      <x:c r="P1175" s="2" t="n">
        <x:f>'Research &amp; Analysis'!O447</x:f>
        <x:v>0</x:v>
      </x:c>
      <x:c r="Q1175" s="2" t="n">
        <x:f>SUBTOTAL(103,O1175)</x:f>
        <x:v>1</x:v>
      </x:c>
      <x:c r="R1175" s="2" t="n">
        <x:f>IF(AND(M1175=1,OR(Dashboard!$B$7="All",Dashboard!$B$7='Cycles &amp; Guide'!$C$5),OR(Dashboard!$D$7="All",Dashboard!$D$7=B1175),OR(Dashboard!$F$7="All",Dashboard!$F$7=C1175),OR(Dashboard!$H$7="All",Dashboard!$H$7=D1175),OR(Dashboard!$K$7="All",Dashboard!$K$7=E1175)),1,0)</x:f>
        <x:v>1</x:v>
      </x:c>
      <x:c r="S1175" s="2" t="n">
        <x:f>IF(R1175=1,SUM($R$10:R1175),0)</x:f>
        <x:v>802</x:v>
      </x:c>
      <x:c r="T1175" s="2" t="str">
        <x:v>Research &amp; Analysis</x:v>
      </x:c>
      <x:c r="U1175" s="2" t="n">
        <x:v>447</x:v>
      </x:c>
      <x:c r="V1175" s="2" t="n">
        <x:f>IF(AND(M1175=1,P1175=0,ISNUMBER(J1175),J1175&lt;TODAY()),1,0)</x:f>
        <x:v>1</x:v>
      </x:c>
      <x:c r="W1175" s="2" t="str">
        <x:f>'Research &amp; Analysis'!M447</x:f>
        <x:v>Task</x:v>
      </x:c>
    </x:row>
    <x:row r="1176" ht="40" customHeight="1">
      <x:c r="A1176" s="3" t="str">
        <x:f>HYPERLINK("#'Research &amp; Analysis'!A448","Open")</x:f>
        <x:v>Open</x:v>
      </x:c>
      <x:c r="B1176" s="2" t="str">
        <x:f>'Research &amp; Analysis'!B448</x:f>
        <x:v>Cycle 3</x:v>
      </x:c>
      <x:c r="C1176" s="2" t="str">
        <x:f>'Research &amp; Analysis'!C448</x:f>
        <x:v>Phase 1</x:v>
      </x:c>
      <x:c r="D1176" s="2" t="str">
        <x:f>'Research &amp; Analysis'!D448</x:f>
        <x:v>PLL</x:v>
      </x:c>
      <x:c r="E1176" s="2" t="str">
        <x:v>Research &amp; Analysis</x:v>
      </x:c>
      <x:c r="F1176" s="56" t="str">
        <x:f>'Research &amp; Analysis'!E448</x:f>
        <x:v>RA.PL.1.2</x:v>
      </x:c>
      <x:c r="G1176" s="14" t="str">
        <x:f>'Research &amp; Analysis'!F448</x:f>
        <x:v>Conduct initial assessment of each topic recommendation from SharePoint list</x:v>
      </x:c>
      <x:c r="H1176" s="2" t="str">
        <x:f>IF('Research &amp; Analysis'!G448="","",'Research &amp; Analysis'!G448)</x:f>
      </x:c>
      <x:c r="I1176" s="12" t="str">
        <x:f>IF('Research &amp; Analysis'!H448="","",'Research &amp; Analysis'!H448)</x:f>
      </x:c>
      <x:c r="J1176" s="12" t="n">
        <x:f>IF('Research &amp; Analysis'!I448="","",'Research &amp; Analysis'!I448)</x:f>
        <x:v>46295</x:v>
      </x:c>
      <x:c r="K1176" s="12" t="str">
        <x:f>IF('Research &amp; Analysis'!J448="","",'Research &amp; Analysis'!J448)</x:f>
      </x:c>
      <x:c r="L1176" s="2" t="str">
        <x:f>IF('Research &amp; Analysis'!K448="","",'Research &amp; Analysis'!K448)</x:f>
      </x:c>
      <x:c r="M1176" s="2" t="n">
        <x:f>'Research &amp; Analysis'!Q448</x:f>
        <x:v>1</x:v>
      </x:c>
      <x:c r="N1176" s="2" t="str">
        <x:f>'Research &amp; Analysis'!L448</x:f>
        <x:v>Not started</x:v>
      </x:c>
      <x:c r="O1176" s="2" t="str">
        <x:f>'Research &amp; Analysis'!N448</x:f>
        <x:v>RA.PL.1.2.2026.CY3</x:v>
      </x:c>
      <x:c r="P1176" s="2" t="n">
        <x:f>'Research &amp; Analysis'!O448</x:f>
        <x:v>0</x:v>
      </x:c>
      <x:c r="Q1176" s="2" t="n">
        <x:f>SUBTOTAL(103,O1176)</x:f>
        <x:v>1</x:v>
      </x:c>
      <x:c r="R1176" s="2" t="n">
        <x:f>IF(AND(M1176=1,OR(Dashboard!$B$7="All",Dashboard!$B$7='Cycles &amp; Guide'!$C$5),OR(Dashboard!$D$7="All",Dashboard!$D$7=B1176),OR(Dashboard!$F$7="All",Dashboard!$F$7=C1176),OR(Dashboard!$H$7="All",Dashboard!$H$7=D1176),OR(Dashboard!$K$7="All",Dashboard!$K$7=E1176)),1,0)</x:f>
        <x:v>1</x:v>
      </x:c>
      <x:c r="S1176" s="2" t="n">
        <x:f>IF(R1176=1,SUM($R$10:R1176),0)</x:f>
        <x:v>803</x:v>
      </x:c>
      <x:c r="T1176" s="2" t="str">
        <x:v>Research &amp; Analysis</x:v>
      </x:c>
      <x:c r="U1176" s="2" t="n">
        <x:v>448</x:v>
      </x:c>
      <x:c r="V1176" s="2" t="n">
        <x:f>IF(AND(M1176=1,P1176=0,ISNUMBER(J1176),J1176&lt;TODAY()),1,0)</x:f>
        <x:v>0</x:v>
      </x:c>
      <x:c r="W1176" s="2" t="str">
        <x:f>'Research &amp; Analysis'!M448</x:f>
        <x:v>Task</x:v>
      </x:c>
    </x:row>
    <x:row r="1177" ht="40" customHeight="1">
      <x:c r="A1177" s="3" t="str">
        <x:f>HYPERLINK("#'Research &amp; Analysis'!A449","Open")</x:f>
        <x:v>Open</x:v>
      </x:c>
      <x:c r="B1177" s="2" t="str">
        <x:f>'Research &amp; Analysis'!B449</x:f>
        <x:v>Cycle 3</x:v>
      </x:c>
      <x:c r="C1177" s="2" t="str">
        <x:f>'Research &amp; Analysis'!C449</x:f>
        <x:v>Phase 1</x:v>
      </x:c>
      <x:c r="D1177" s="2" t="str">
        <x:f>'Research &amp; Analysis'!D449</x:f>
        <x:v>PLL</x:v>
      </x:c>
      <x:c r="E1177" s="2" t="str">
        <x:v>Research &amp; Analysis</x:v>
      </x:c>
      <x:c r="F1177" s="56" t="str">
        <x:f>'Research &amp; Analysis'!E449</x:f>
        <x:v>RA.PL.1.3</x:v>
      </x:c>
      <x:c r="G1177" s="14" t="str">
        <x:f>'Research &amp; Analysis'!F449</x:f>
        <x:v>Identify best topic for Cycle</x:v>
      </x:c>
      <x:c r="H1177" s="2" t="str">
        <x:f>IF('Research &amp; Analysis'!G449="","",'Research &amp; Analysis'!G449)</x:f>
      </x:c>
      <x:c r="I1177" s="12" t="str">
        <x:f>IF('Research &amp; Analysis'!H449="","",'Research &amp; Analysis'!H449)</x:f>
      </x:c>
      <x:c r="J1177" s="12" t="n">
        <x:f>IF('Research &amp; Analysis'!I449="","",'Research &amp; Analysis'!I449)</x:f>
        <x:v>46295</x:v>
      </x:c>
      <x:c r="K1177" s="12" t="str">
        <x:f>IF('Research &amp; Analysis'!J449="","",'Research &amp; Analysis'!J449)</x:f>
      </x:c>
      <x:c r="L1177" s="2" t="str">
        <x:f>IF('Research &amp; Analysis'!K449="","",'Research &amp; Analysis'!K449)</x:f>
      </x:c>
      <x:c r="M1177" s="2" t="n">
        <x:f>'Research &amp; Analysis'!Q449</x:f>
        <x:v>1</x:v>
      </x:c>
      <x:c r="N1177" s="2" t="str">
        <x:f>'Research &amp; Analysis'!L449</x:f>
        <x:v>Not started</x:v>
      </x:c>
      <x:c r="O1177" s="2" t="str">
        <x:f>'Research &amp; Analysis'!N449</x:f>
        <x:v>RA.PL.1.3.2026.CY3</x:v>
      </x:c>
      <x:c r="P1177" s="2" t="n">
        <x:f>'Research &amp; Analysis'!O449</x:f>
        <x:v>0</x:v>
      </x:c>
      <x:c r="Q1177" s="2" t="n">
        <x:f>SUBTOTAL(103,O1177)</x:f>
        <x:v>1</x:v>
      </x:c>
      <x:c r="R1177" s="2" t="n">
        <x:f>IF(AND(M1177=1,OR(Dashboard!$B$7="All",Dashboard!$B$7='Cycles &amp; Guide'!$C$5),OR(Dashboard!$D$7="All",Dashboard!$D$7=B1177),OR(Dashboard!$F$7="All",Dashboard!$F$7=C1177),OR(Dashboard!$H$7="All",Dashboard!$H$7=D1177),OR(Dashboard!$K$7="All",Dashboard!$K$7=E1177)),1,0)</x:f>
        <x:v>1</x:v>
      </x:c>
      <x:c r="S1177" s="2" t="n">
        <x:f>IF(R1177=1,SUM($R$10:R1177),0)</x:f>
        <x:v>804</x:v>
      </x:c>
      <x:c r="T1177" s="2" t="str">
        <x:v>Research &amp; Analysis</x:v>
      </x:c>
      <x:c r="U1177" s="2" t="n">
        <x:v>449</x:v>
      </x:c>
      <x:c r="V1177" s="2" t="n">
        <x:f>IF(AND(M1177=1,P1177=0,ISNUMBER(J1177),J1177&lt;TODAY()),1,0)</x:f>
        <x:v>0</x:v>
      </x:c>
      <x:c r="W1177" s="2" t="str">
        <x:f>'Research &amp; Analysis'!M449</x:f>
        <x:v>Task</x:v>
      </x:c>
    </x:row>
    <x:row r="1178" ht="40" customHeight="1">
      <x:c r="A1178" s="3" t="str">
        <x:f>HYPERLINK("#'Research &amp; Analysis'!A450","Open")</x:f>
        <x:v>Open</x:v>
      </x:c>
      <x:c r="B1178" s="2" t="str">
        <x:f>'Research &amp; Analysis'!B450</x:f>
        <x:v>Cycle 3</x:v>
      </x:c>
      <x:c r="C1178" s="2" t="str">
        <x:f>'Research &amp; Analysis'!C450</x:f>
        <x:v>Phase 1</x:v>
      </x:c>
      <x:c r="D1178" s="2" t="str">
        <x:f>'Research &amp; Analysis'!D450</x:f>
        <x:v>PLL</x:v>
      </x:c>
      <x:c r="E1178" s="2" t="str">
        <x:v>Research &amp; Analysis</x:v>
      </x:c>
      <x:c r="F1178" s="56" t="str">
        <x:f>'Research &amp; Analysis'!E450</x:f>
        <x:v>RA.PL.1.4</x:v>
      </x:c>
      <x:c r="G1178" s="14" t="str">
        <x:f>'Research &amp; Analysis'!F450</x:f>
        <x:v>Identify backup topic for Cycle</x:v>
      </x:c>
      <x:c r="H1178" s="2" t="str">
        <x:f>IF('Research &amp; Analysis'!G450="","",'Research &amp; Analysis'!G450)</x:f>
      </x:c>
      <x:c r="I1178" s="12" t="str">
        <x:f>IF('Research &amp; Analysis'!H450="","",'Research &amp; Analysis'!H450)</x:f>
      </x:c>
      <x:c r="J1178" s="12" t="n">
        <x:f>IF('Research &amp; Analysis'!I450="","",'Research &amp; Analysis'!I450)</x:f>
        <x:v>46295</x:v>
      </x:c>
      <x:c r="K1178" s="12" t="str">
        <x:f>IF('Research &amp; Analysis'!J450="","",'Research &amp; Analysis'!J450)</x:f>
      </x:c>
      <x:c r="L1178" s="2" t="str">
        <x:f>IF('Research &amp; Analysis'!K450="","",'Research &amp; Analysis'!K450)</x:f>
      </x:c>
      <x:c r="M1178" s="2" t="n">
        <x:f>'Research &amp; Analysis'!Q450</x:f>
        <x:v>1</x:v>
      </x:c>
      <x:c r="N1178" s="2" t="str">
        <x:f>'Research &amp; Analysis'!L450</x:f>
        <x:v>Not started</x:v>
      </x:c>
      <x:c r="O1178" s="2" t="str">
        <x:f>'Research &amp; Analysis'!N450</x:f>
        <x:v>RA.PL.1.4.2026.CY3</x:v>
      </x:c>
      <x:c r="P1178" s="2" t="n">
        <x:f>'Research &amp; Analysis'!O450</x:f>
        <x:v>0</x:v>
      </x:c>
      <x:c r="Q1178" s="2" t="n">
        <x:f>SUBTOTAL(103,O1178)</x:f>
        <x:v>1</x:v>
      </x:c>
      <x:c r="R1178" s="2" t="n">
        <x:f>IF(AND(M1178=1,OR(Dashboard!$B$7="All",Dashboard!$B$7='Cycles &amp; Guide'!$C$5),OR(Dashboard!$D$7="All",Dashboard!$D$7=B1178),OR(Dashboard!$F$7="All",Dashboard!$F$7=C1178),OR(Dashboard!$H$7="All",Dashboard!$H$7=D1178),OR(Dashboard!$K$7="All",Dashboard!$K$7=E1178)),1,0)</x:f>
        <x:v>1</x:v>
      </x:c>
      <x:c r="S1178" s="2" t="n">
        <x:f>IF(R1178=1,SUM($R$10:R1178),0)</x:f>
        <x:v>805</x:v>
      </x:c>
      <x:c r="T1178" s="2" t="str">
        <x:v>Research &amp; Analysis</x:v>
      </x:c>
      <x:c r="U1178" s="2" t="n">
        <x:v>450</x:v>
      </x:c>
      <x:c r="V1178" s="2" t="n">
        <x:f>IF(AND(M1178=1,P1178=0,ISNUMBER(J1178),J1178&lt;TODAY()),1,0)</x:f>
        <x:v>0</x:v>
      </x:c>
      <x:c r="W1178" s="2" t="str">
        <x:f>'Research &amp; Analysis'!M450</x:f>
        <x:v>Task</x:v>
      </x:c>
    </x:row>
    <x:row r="1179" ht="40" customHeight="1">
      <x:c r="A1179" s="3" t="str">
        <x:f>HYPERLINK("#'Research &amp; Analysis'!A451","Open")</x:f>
        <x:v>Open</x:v>
      </x:c>
      <x:c r="B1179" s="2" t="str">
        <x:f>'Research &amp; Analysis'!B451</x:f>
        <x:v>Cycle 3</x:v>
      </x:c>
      <x:c r="C1179" s="2" t="str">
        <x:f>'Research &amp; Analysis'!C451</x:f>
        <x:v>Phase 1</x:v>
      </x:c>
      <x:c r="D1179" s="2" t="str">
        <x:f>'Research &amp; Analysis'!D451</x:f>
        <x:v>PLL</x:v>
      </x:c>
      <x:c r="E1179" s="2" t="str">
        <x:v>Research &amp; Analysis</x:v>
      </x:c>
      <x:c r="F1179" s="56" t="str">
        <x:f>'Research &amp; Analysis'!E451</x:f>
        <x:v>RA.PL.1.5</x:v>
      </x:c>
      <x:c r="G1179" s="14" t="str">
        <x:f>'Research &amp; Analysis'!F451</x:f>
        <x:v>Schedule topic approval meeting with D&amp;I and management</x:v>
      </x:c>
      <x:c r="H1179" s="2" t="str">
        <x:f>IF('Research &amp; Analysis'!G451="","",'Research &amp; Analysis'!G451)</x:f>
      </x:c>
      <x:c r="I1179" s="12" t="str">
        <x:f>IF('Research &amp; Analysis'!H451="","",'Research &amp; Analysis'!H451)</x:f>
      </x:c>
      <x:c r="J1179" s="12" t="n">
        <x:f>IF('Research &amp; Analysis'!I451="","",'Research &amp; Analysis'!I451)</x:f>
        <x:v>46295</x:v>
      </x:c>
      <x:c r="K1179" s="12" t="str">
        <x:f>IF('Research &amp; Analysis'!J451="","",'Research &amp; Analysis'!J451)</x:f>
      </x:c>
      <x:c r="L1179" s="2" t="str">
        <x:f>IF('Research &amp; Analysis'!K451="","",'Research &amp; Analysis'!K451)</x:f>
      </x:c>
      <x:c r="M1179" s="2" t="n">
        <x:f>'Research &amp; Analysis'!Q451</x:f>
        <x:v>1</x:v>
      </x:c>
      <x:c r="N1179" s="2" t="str">
        <x:f>'Research &amp; Analysis'!L451</x:f>
        <x:v>Not started</x:v>
      </x:c>
      <x:c r="O1179" s="2" t="str">
        <x:f>'Research &amp; Analysis'!N451</x:f>
        <x:v>RA.PL.1.5.2026.CY3</x:v>
      </x:c>
      <x:c r="P1179" s="2" t="n">
        <x:f>'Research &amp; Analysis'!O451</x:f>
        <x:v>0</x:v>
      </x:c>
      <x:c r="Q1179" s="2" t="n">
        <x:f>SUBTOTAL(103,O1179)</x:f>
        <x:v>1</x:v>
      </x:c>
      <x:c r="R1179" s="2" t="n">
        <x:f>IF(AND(M1179=1,OR(Dashboard!$B$7="All",Dashboard!$B$7='Cycles &amp; Guide'!$C$5),OR(Dashboard!$D$7="All",Dashboard!$D$7=B1179),OR(Dashboard!$F$7="All",Dashboard!$F$7=C1179),OR(Dashboard!$H$7="All",Dashboard!$H$7=D1179),OR(Dashboard!$K$7="All",Dashboard!$K$7=E1179)),1,0)</x:f>
        <x:v>1</x:v>
      </x:c>
      <x:c r="S1179" s="2" t="n">
        <x:f>IF(R1179=1,SUM($R$10:R1179),0)</x:f>
        <x:v>806</x:v>
      </x:c>
      <x:c r="T1179" s="2" t="str">
        <x:v>Research &amp; Analysis</x:v>
      </x:c>
      <x:c r="U1179" s="2" t="n">
        <x:v>451</x:v>
      </x:c>
      <x:c r="V1179" s="2" t="n">
        <x:f>IF(AND(M1179=1,P1179=0,ISNUMBER(J1179),J1179&lt;TODAY()),1,0)</x:f>
        <x:v>0</x:v>
      </x:c>
      <x:c r="W1179" s="2" t="str">
        <x:f>'Research &amp; Analysis'!M451</x:f>
        <x:v>Task</x:v>
      </x:c>
    </x:row>
    <x:row r="1180" ht="40" customHeight="1">
      <x:c r="A1180" s="3" t="str">
        <x:f>HYPERLINK("#'Research &amp; Analysis'!A452","Open")</x:f>
        <x:v>Open</x:v>
      </x:c>
      <x:c r="B1180" s="2" t="str">
        <x:f>'Research &amp; Analysis'!B452</x:f>
        <x:v>Cycle 3</x:v>
      </x:c>
      <x:c r="C1180" s="2" t="str">
        <x:f>'Research &amp; Analysis'!C452</x:f>
        <x:v>Phase 1</x:v>
      </x:c>
      <x:c r="D1180" s="2" t="str">
        <x:f>'Research &amp; Analysis'!D452</x:f>
        <x:v>PLL</x:v>
      </x:c>
      <x:c r="E1180" s="2" t="str">
        <x:v>Research &amp; Analysis</x:v>
      </x:c>
      <x:c r="F1180" s="56" t="str">
        <x:f>'Research &amp; Analysis'!E452</x:f>
        <x:v>RA.PL.1.6</x:v>
      </x:c>
      <x:c r="G1180" s="14" t="str">
        <x:f>'Research &amp; Analysis'!F452</x:f>
        <x:v>Present recommended topic to D&amp;I and management for approval</x:v>
      </x:c>
      <x:c r="H1180" s="2" t="str">
        <x:f>IF('Research &amp; Analysis'!G452="","",'Research &amp; Analysis'!G452)</x:f>
      </x:c>
      <x:c r="I1180" s="12" t="str">
        <x:f>IF('Research &amp; Analysis'!H452="","",'Research &amp; Analysis'!H452)</x:f>
      </x:c>
      <x:c r="J1180" s="12" t="n">
        <x:f>IF('Research &amp; Analysis'!I452="","",'Research &amp; Analysis'!I452)</x:f>
        <x:v>46295</x:v>
      </x:c>
      <x:c r="K1180" s="12" t="str">
        <x:f>IF('Research &amp; Analysis'!J452="","",'Research &amp; Analysis'!J452)</x:f>
      </x:c>
      <x:c r="L1180" s="2" t="str">
        <x:f>IF('Research &amp; Analysis'!K452="","",'Research &amp; Analysis'!K452)</x:f>
      </x:c>
      <x:c r="M1180" s="2" t="n">
        <x:f>'Research &amp; Analysis'!Q452</x:f>
        <x:v>1</x:v>
      </x:c>
      <x:c r="N1180" s="2" t="str">
        <x:f>'Research &amp; Analysis'!L452</x:f>
        <x:v>Not started</x:v>
      </x:c>
      <x:c r="O1180" s="2" t="str">
        <x:f>'Research &amp; Analysis'!N452</x:f>
        <x:v>RA.PL.1.6.2026.CY3</x:v>
      </x:c>
      <x:c r="P1180" s="2" t="n">
        <x:f>'Research &amp; Analysis'!O452</x:f>
        <x:v>0</x:v>
      </x:c>
      <x:c r="Q1180" s="2" t="n">
        <x:f>SUBTOTAL(103,O1180)</x:f>
        <x:v>1</x:v>
      </x:c>
      <x:c r="R1180" s="2" t="n">
        <x:f>IF(AND(M1180=1,OR(Dashboard!$B$7="All",Dashboard!$B$7='Cycles &amp; Guide'!$C$5),OR(Dashboard!$D$7="All",Dashboard!$D$7=B1180),OR(Dashboard!$F$7="All",Dashboard!$F$7=C1180),OR(Dashboard!$H$7="All",Dashboard!$H$7=D1180),OR(Dashboard!$K$7="All",Dashboard!$K$7=E1180)),1,0)</x:f>
        <x:v>1</x:v>
      </x:c>
      <x:c r="S1180" s="2" t="n">
        <x:f>IF(R1180=1,SUM($R$10:R1180),0)</x:f>
        <x:v>807</x:v>
      </x:c>
      <x:c r="T1180" s="2" t="str">
        <x:v>Research &amp; Analysis</x:v>
      </x:c>
      <x:c r="U1180" s="2" t="n">
        <x:v>452</x:v>
      </x:c>
      <x:c r="V1180" s="2" t="n">
        <x:f>IF(AND(M1180=1,P1180=0,ISNUMBER(J1180),J1180&lt;TODAY()),1,0)</x:f>
        <x:v>0</x:v>
      </x:c>
      <x:c r="W1180" s="2" t="str">
        <x:f>'Research &amp; Analysis'!M452</x:f>
        <x:v>Task</x:v>
      </x:c>
    </x:row>
    <x:row r="1181" ht="40" customHeight="1">
      <x:c r="A1181" s="3" t="str">
        <x:f>HYPERLINK("#'Research &amp; Analysis'!A453","Open")</x:f>
        <x:v>Open</x:v>
      </x:c>
      <x:c r="B1181" s="2" t="str">
        <x:f>'Research &amp; Analysis'!B453</x:f>
        <x:v>Cycle 3</x:v>
      </x:c>
      <x:c r="C1181" s="2" t="str">
        <x:f>'Research &amp; Analysis'!C453</x:f>
        <x:v>Phase 1</x:v>
      </x:c>
      <x:c r="D1181" s="2" t="str">
        <x:f>'Research &amp; Analysis'!D453</x:f>
        <x:v>PLL</x:v>
      </x:c>
      <x:c r="E1181" s="2" t="str">
        <x:v>Research &amp; Analysis</x:v>
      </x:c>
      <x:c r="F1181" s="56" t="str">
        <x:f>'Research &amp; Analysis'!E453</x:f>
        <x:v>RA.PL.1.7</x:v>
      </x:c>
      <x:c r="G1181" s="14" t="str">
        <x:f>'Research &amp; Analysis'!F453</x:f>
        <x:v>Obtain formal topic selection approval from management via SharePoint</x:v>
      </x:c>
      <x:c r="H1181" s="2" t="str">
        <x:f>IF('Research &amp; Analysis'!G453="","",'Research &amp; Analysis'!G453)</x:f>
      </x:c>
      <x:c r="I1181" s="12" t="str">
        <x:f>IF('Research &amp; Analysis'!H453="","",'Research &amp; Analysis'!H453)</x:f>
      </x:c>
      <x:c r="J1181" s="12" t="n">
        <x:f>IF('Research &amp; Analysis'!I453="","",'Research &amp; Analysis'!I453)</x:f>
        <x:v>46295</x:v>
      </x:c>
      <x:c r="K1181" s="12" t="str">
        <x:f>IF('Research &amp; Analysis'!J453="","",'Research &amp; Analysis'!J453)</x:f>
      </x:c>
      <x:c r="L1181" s="2" t="str">
        <x:f>IF('Research &amp; Analysis'!K453="","",'Research &amp; Analysis'!K453)</x:f>
      </x:c>
      <x:c r="M1181" s="2" t="n">
        <x:f>'Research &amp; Analysis'!Q453</x:f>
        <x:v>1</x:v>
      </x:c>
      <x:c r="N1181" s="2" t="str">
        <x:f>'Research &amp; Analysis'!L453</x:f>
        <x:v>Not started</x:v>
      </x:c>
      <x:c r="O1181" s="2" t="str">
        <x:f>'Research &amp; Analysis'!N453</x:f>
        <x:v>RA.PL.1.7.2026.CY3</x:v>
      </x:c>
      <x:c r="P1181" s="2" t="n">
        <x:f>'Research &amp; Analysis'!O453</x:f>
        <x:v>0</x:v>
      </x:c>
      <x:c r="Q1181" s="2" t="n">
        <x:f>SUBTOTAL(103,O1181)</x:f>
        <x:v>1</x:v>
      </x:c>
      <x:c r="R1181" s="2" t="n">
        <x:f>IF(AND(M1181=1,OR(Dashboard!$B$7="All",Dashboard!$B$7='Cycles &amp; Guide'!$C$5),OR(Dashboard!$D$7="All",Dashboard!$D$7=B1181),OR(Dashboard!$F$7="All",Dashboard!$F$7=C1181),OR(Dashboard!$H$7="All",Dashboard!$H$7=D1181),OR(Dashboard!$K$7="All",Dashboard!$K$7=E1181)),1,0)</x:f>
        <x:v>1</x:v>
      </x:c>
      <x:c r="S1181" s="2" t="n">
        <x:f>IF(R1181=1,SUM($R$10:R1181),0)</x:f>
        <x:v>808</x:v>
      </x:c>
      <x:c r="T1181" s="2" t="str">
        <x:v>Research &amp; Analysis</x:v>
      </x:c>
      <x:c r="U1181" s="2" t="n">
        <x:v>453</x:v>
      </x:c>
      <x:c r="V1181" s="2" t="n">
        <x:f>IF(AND(M1181=1,P1181=0,ISNUMBER(J1181),J1181&lt;TODAY()),1,0)</x:f>
        <x:v>0</x:v>
      </x:c>
      <x:c r="W1181" s="2" t="str">
        <x:f>'Research &amp; Analysis'!M453</x:f>
        <x:v>Task</x:v>
      </x:c>
    </x:row>
    <x:row r="1182" ht="40" customHeight="1">
      <x:c r="A1182" s="3" t="str">
        <x:f>HYPERLINK("#'Research &amp; Analysis'!A454","Open")</x:f>
        <x:v>Open</x:v>
      </x:c>
      <x:c r="B1182" s="2" t="str">
        <x:f>'Research &amp; Analysis'!B454</x:f>
        <x:v>Cycle 3</x:v>
      </x:c>
      <x:c r="C1182" s="2" t="str">
        <x:f>'Research &amp; Analysis'!C454</x:f>
        <x:v>Phase 1</x:v>
      </x:c>
      <x:c r="D1182" s="2" t="str">
        <x:f>'Research &amp; Analysis'!D454</x:f>
        <x:v>PLL</x:v>
      </x:c>
      <x:c r="E1182" s="2" t="str">
        <x:v>Research &amp; Analysis</x:v>
      </x:c>
      <x:c r="F1182" s="56" t="str">
        <x:f>'Research &amp; Analysis'!E454</x:f>
        <x:v>RA.PL.1.8</x:v>
      </x:c>
      <x:c r="G1182" s="14" t="str">
        <x:f>'Research &amp; Analysis'!F454</x:f>
        <x:v>Socialize topic selection with product owners and subject matter experts (if known)</x:v>
      </x:c>
      <x:c r="H1182" s="2" t="str">
        <x:f>IF('Research &amp; Analysis'!G454="","",'Research &amp; Analysis'!G454)</x:f>
      </x:c>
      <x:c r="I1182" s="12" t="str">
        <x:f>IF('Research &amp; Analysis'!H454="","",'Research &amp; Analysis'!H454)</x:f>
      </x:c>
      <x:c r="J1182" s="12" t="n">
        <x:f>IF('Research &amp; Analysis'!I454="","",'Research &amp; Analysis'!I454)</x:f>
        <x:v>46295</x:v>
      </x:c>
      <x:c r="K1182" s="12" t="str">
        <x:f>IF('Research &amp; Analysis'!J454="","",'Research &amp; Analysis'!J454)</x:f>
      </x:c>
      <x:c r="L1182" s="2" t="str">
        <x:f>IF('Research &amp; Analysis'!K454="","",'Research &amp; Analysis'!K454)</x:f>
      </x:c>
      <x:c r="M1182" s="2" t="n">
        <x:f>'Research &amp; Analysis'!Q454</x:f>
        <x:v>1</x:v>
      </x:c>
      <x:c r="N1182" s="2" t="str">
        <x:f>'Research &amp; Analysis'!L454</x:f>
        <x:v>Not started</x:v>
      </x:c>
      <x:c r="O1182" s="2" t="str">
        <x:f>'Research &amp; Analysis'!N454</x:f>
        <x:v>RA.PL.1.8.2026.CY3</x:v>
      </x:c>
      <x:c r="P1182" s="2" t="n">
        <x:f>'Research &amp; Analysis'!O454</x:f>
        <x:v>0</x:v>
      </x:c>
      <x:c r="Q1182" s="2" t="n">
        <x:f>SUBTOTAL(103,O1182)</x:f>
        <x:v>1</x:v>
      </x:c>
      <x:c r="R1182" s="2" t="n">
        <x:f>IF(AND(M1182=1,OR(Dashboard!$B$7="All",Dashboard!$B$7='Cycles &amp; Guide'!$C$5),OR(Dashboard!$D$7="All",Dashboard!$D$7=B1182),OR(Dashboard!$F$7="All",Dashboard!$F$7=C1182),OR(Dashboard!$H$7="All",Dashboard!$H$7=D1182),OR(Dashboard!$K$7="All",Dashboard!$K$7=E1182)),1,0)</x:f>
        <x:v>1</x:v>
      </x:c>
      <x:c r="S1182" s="2" t="n">
        <x:f>IF(R1182=1,SUM($R$10:R1182),0)</x:f>
        <x:v>809</x:v>
      </x:c>
      <x:c r="T1182" s="2" t="str">
        <x:v>Research &amp; Analysis</x:v>
      </x:c>
      <x:c r="U1182" s="2" t="n">
        <x:v>454</x:v>
      </x:c>
      <x:c r="V1182" s="2" t="n">
        <x:f>IF(AND(M1182=1,P1182=0,ISNUMBER(J1182),J1182&lt;TODAY()),1,0)</x:f>
        <x:v>0</x:v>
      </x:c>
      <x:c r="W1182" s="2" t="str">
        <x:f>'Research &amp; Analysis'!M454</x:f>
        <x:v>Task</x:v>
      </x:c>
    </x:row>
    <x:row r="1183" ht="40" customHeight="1">
      <x:c r="A1183" s="3" t="str">
        <x:f>HYPERLINK("#'Research &amp; Analysis'!A455","Open")</x:f>
        <x:v>Open</x:v>
      </x:c>
      <x:c r="B1183" s="2" t="str">
        <x:f>'Research &amp; Analysis'!B455</x:f>
        <x:v>Cycle 3</x:v>
      </x:c>
      <x:c r="C1183" s="2" t="str">
        <x:f>'Research &amp; Analysis'!C455</x:f>
        <x:v>Phase 1</x:v>
      </x:c>
      <x:c r="D1183" s="2" t="str">
        <x:f>'Research &amp; Analysis'!D455</x:f>
        <x:v>PLL</x:v>
      </x:c>
      <x:c r="E1183" s="2" t="str">
        <x:v>Research &amp; Analysis</x:v>
      </x:c>
      <x:c r="F1183" s="56" t="str">
        <x:f>'Research &amp; Analysis'!E455</x:f>
        <x:v>RA.PL.1.9</x:v>
      </x:c>
      <x:c r="G1183" s="14" t="str">
        <x:f>'Research &amp; Analysis'!F455</x:f>
        <x:v>Assign topic researchers</x:v>
      </x:c>
      <x:c r="H1183" s="2" t="str">
        <x:f>IF('Research &amp; Analysis'!G455="","",'Research &amp; Analysis'!G455)</x:f>
      </x:c>
      <x:c r="I1183" s="12" t="str">
        <x:f>IF('Research &amp; Analysis'!H455="","",'Research &amp; Analysis'!H455)</x:f>
      </x:c>
      <x:c r="J1183" s="12" t="n">
        <x:f>IF('Research &amp; Analysis'!I455="","",'Research &amp; Analysis'!I455)</x:f>
        <x:v>46295</x:v>
      </x:c>
      <x:c r="K1183" s="12" t="str">
        <x:f>IF('Research &amp; Analysis'!J455="","",'Research &amp; Analysis'!J455)</x:f>
      </x:c>
      <x:c r="L1183" s="2" t="str">
        <x:f>IF('Research &amp; Analysis'!K455="","",'Research &amp; Analysis'!K455)</x:f>
      </x:c>
      <x:c r="M1183" s="2" t="n">
        <x:f>'Research &amp; Analysis'!Q455</x:f>
        <x:v>1</x:v>
      </x:c>
      <x:c r="N1183" s="2" t="str">
        <x:f>'Research &amp; Analysis'!L455</x:f>
        <x:v>Not started</x:v>
      </x:c>
      <x:c r="O1183" s="2" t="str">
        <x:f>'Research &amp; Analysis'!N455</x:f>
        <x:v>RA.PL.1.9.2026.CY3</x:v>
      </x:c>
      <x:c r="P1183" s="2" t="n">
        <x:f>'Research &amp; Analysis'!O455</x:f>
        <x:v>0</x:v>
      </x:c>
      <x:c r="Q1183" s="2" t="n">
        <x:f>SUBTOTAL(103,O1183)</x:f>
        <x:v>1</x:v>
      </x:c>
      <x:c r="R1183" s="2" t="n">
        <x:f>IF(AND(M1183=1,OR(Dashboard!$B$7="All",Dashboard!$B$7='Cycles &amp; Guide'!$C$5),OR(Dashboard!$D$7="All",Dashboard!$D$7=B1183),OR(Dashboard!$F$7="All",Dashboard!$F$7=C1183),OR(Dashboard!$H$7="All",Dashboard!$H$7=D1183),OR(Dashboard!$K$7="All",Dashboard!$K$7=E1183)),1,0)</x:f>
        <x:v>1</x:v>
      </x:c>
      <x:c r="S1183" s="2" t="n">
        <x:f>IF(R1183=1,SUM($R$10:R1183),0)</x:f>
        <x:v>810</x:v>
      </x:c>
      <x:c r="T1183" s="2" t="str">
        <x:v>Research &amp; Analysis</x:v>
      </x:c>
      <x:c r="U1183" s="2" t="n">
        <x:v>455</x:v>
      </x:c>
      <x:c r="V1183" s="2" t="n">
        <x:f>IF(AND(M1183=1,P1183=0,ISNUMBER(J1183),J1183&lt;TODAY()),1,0)</x:f>
        <x:v>0</x:v>
      </x:c>
      <x:c r="W1183" s="2" t="str">
        <x:f>'Research &amp; Analysis'!M455</x:f>
        <x:v>Task</x:v>
      </x:c>
    </x:row>
    <x:row r="1184" ht="40" customHeight="1">
      <x:c r="A1184" s="3" t="str">
        <x:f>HYPERLINK("#'Research &amp; Analysis'!A456","Open")</x:f>
        <x:v>Open</x:v>
      </x:c>
      <x:c r="B1184" s="2" t="str">
        <x:f>'Research &amp; Analysis'!B456</x:f>
        <x:v>Cycle 3</x:v>
      </x:c>
      <x:c r="C1184" s="2" t="str">
        <x:f>'Research &amp; Analysis'!C456</x:f>
        <x:v>Phase 2</x:v>
      </x:c>
      <x:c r="D1184" s="2" t="str">
        <x:f>'Research &amp; Analysis'!D456</x:f>
        <x:v>PLL</x:v>
      </x:c>
      <x:c r="E1184" s="2" t="str">
        <x:v>Research &amp; Analysis</x:v>
      </x:c>
      <x:c r="F1184" s="56" t="str">
        <x:f>'Research &amp; Analysis'!E456</x:f>
        <x:v>RA.PL.2.1</x:v>
      </x:c>
      <x:c r="G1184" s="14" t="str">
        <x:f>'Research &amp; Analysis'!F456</x:f>
        <x:v>Review data sources</x:v>
      </x:c>
      <x:c r="H1184" s="2" t="str">
        <x:f>IF('Research &amp; Analysis'!G456="","",'Research &amp; Analysis'!G456)</x:f>
      </x:c>
      <x:c r="I1184" s="12" t="str">
        <x:f>IF('Research &amp; Analysis'!H456="","",'Research &amp; Analysis'!H456)</x:f>
      </x:c>
      <x:c r="J1184" s="12" t="n">
        <x:f>IF('Research &amp; Analysis'!I456="","",'Research &amp; Analysis'!I456)</x:f>
        <x:v>46295</x:v>
      </x:c>
      <x:c r="K1184" s="12" t="str">
        <x:f>IF('Research &amp; Analysis'!J456="","",'Research &amp; Analysis'!J456)</x:f>
      </x:c>
      <x:c r="L1184" s="2" t="str">
        <x:f>IF('Research &amp; Analysis'!K456="","",'Research &amp; Analysis'!K456)</x:f>
      </x:c>
      <x:c r="M1184" s="2" t="n">
        <x:f>'Research &amp; Analysis'!Q456</x:f>
        <x:v>1</x:v>
      </x:c>
      <x:c r="N1184" s="2" t="str">
        <x:f>'Research &amp; Analysis'!L456</x:f>
        <x:v>Not started</x:v>
      </x:c>
      <x:c r="O1184" s="2" t="str">
        <x:f>'Research &amp; Analysis'!N456</x:f>
        <x:v>RA.PL.2.1.2026.CY3</x:v>
      </x:c>
      <x:c r="P1184" s="2" t="n">
        <x:f>'Research &amp; Analysis'!O456</x:f>
        <x:v>0</x:v>
      </x:c>
      <x:c r="Q1184" s="2" t="n">
        <x:f>SUBTOTAL(103,O1184)</x:f>
        <x:v>1</x:v>
      </x:c>
      <x:c r="R1184" s="2" t="n">
        <x:f>IF(AND(M1184=1,OR(Dashboard!$B$7="All",Dashboard!$B$7='Cycles &amp; Guide'!$C$5),OR(Dashboard!$D$7="All",Dashboard!$D$7=B1184),OR(Dashboard!$F$7="All",Dashboard!$F$7=C1184),OR(Dashboard!$H$7="All",Dashboard!$H$7=D1184),OR(Dashboard!$K$7="All",Dashboard!$K$7=E1184)),1,0)</x:f>
        <x:v>1</x:v>
      </x:c>
      <x:c r="S1184" s="2" t="n">
        <x:f>IF(R1184=1,SUM($R$10:R1184),0)</x:f>
        <x:v>811</x:v>
      </x:c>
      <x:c r="T1184" s="2" t="str">
        <x:v>Research &amp; Analysis</x:v>
      </x:c>
      <x:c r="U1184" s="2" t="n">
        <x:v>456</x:v>
      </x:c>
      <x:c r="V1184" s="2" t="n">
        <x:f>IF(AND(M1184=1,P1184=0,ISNUMBER(J1184),J1184&lt;TODAY()),1,0)</x:f>
        <x:v>0</x:v>
      </x:c>
      <x:c r="W1184" s="2" t="str">
        <x:f>'Research &amp; Analysis'!M456</x:f>
        <x:v>Task</x:v>
      </x:c>
    </x:row>
    <x:row r="1185" ht="40" customHeight="1">
      <x:c r="A1185" s="3" t="str">
        <x:f>HYPERLINK("#'Research &amp; Analysis'!A457","Open")</x:f>
        <x:v>Open</x:v>
      </x:c>
      <x:c r="B1185" s="2" t="str">
        <x:f>'Research &amp; Analysis'!B457</x:f>
        <x:v>Cycle 3</x:v>
      </x:c>
      <x:c r="C1185" s="2" t="str">
        <x:f>'Research &amp; Analysis'!C457</x:f>
        <x:v>Phase 2</x:v>
      </x:c>
      <x:c r="D1185" s="2" t="str">
        <x:f>'Research &amp; Analysis'!D457</x:f>
        <x:v>PLL</x:v>
      </x:c>
      <x:c r="E1185" s="2" t="str">
        <x:v>Research &amp; Analysis</x:v>
      </x:c>
      <x:c r="F1185" s="56" t="str">
        <x:f>'Research &amp; Analysis'!E457</x:f>
        <x:v>RA.PL.2.2</x:v>
      </x:c>
      <x:c r="G1185" s="14" t="str">
        <x:f>'Research &amp; Analysis'!F457</x:f>
        <x:v>Review relevant policies and procedures</x:v>
      </x:c>
      <x:c r="H1185" s="2" t="str">
        <x:f>IF('Research &amp; Analysis'!G457="","",'Research &amp; Analysis'!G457)</x:f>
      </x:c>
      <x:c r="I1185" s="12" t="str">
        <x:f>IF('Research &amp; Analysis'!H457="","",'Research &amp; Analysis'!H457)</x:f>
      </x:c>
      <x:c r="J1185" s="12" t="n">
        <x:f>IF('Research &amp; Analysis'!I457="","",'Research &amp; Analysis'!I457)</x:f>
        <x:v>46295</x:v>
      </x:c>
      <x:c r="K1185" s="12" t="str">
        <x:f>IF('Research &amp; Analysis'!J457="","",'Research &amp; Analysis'!J457)</x:f>
      </x:c>
      <x:c r="L1185" s="2" t="str">
        <x:f>IF('Research &amp; Analysis'!K457="","",'Research &amp; Analysis'!K457)</x:f>
      </x:c>
      <x:c r="M1185" s="2" t="n">
        <x:f>'Research &amp; Analysis'!Q457</x:f>
        <x:v>1</x:v>
      </x:c>
      <x:c r="N1185" s="2" t="str">
        <x:f>'Research &amp; Analysis'!L457</x:f>
        <x:v>Not started</x:v>
      </x:c>
      <x:c r="O1185" s="2" t="str">
        <x:f>'Research &amp; Analysis'!N457</x:f>
        <x:v>RA.PL.2.2.2026.CY3</x:v>
      </x:c>
      <x:c r="P1185" s="2" t="n">
        <x:f>'Research &amp; Analysis'!O457</x:f>
        <x:v>0</x:v>
      </x:c>
      <x:c r="Q1185" s="2" t="n">
        <x:f>SUBTOTAL(103,O1185)</x:f>
        <x:v>1</x:v>
      </x:c>
      <x:c r="R1185" s="2" t="n">
        <x:f>IF(AND(M1185=1,OR(Dashboard!$B$7="All",Dashboard!$B$7='Cycles &amp; Guide'!$C$5),OR(Dashboard!$D$7="All",Dashboard!$D$7=B1185),OR(Dashboard!$F$7="All",Dashboard!$F$7=C1185),OR(Dashboard!$H$7="All",Dashboard!$H$7=D1185),OR(Dashboard!$K$7="All",Dashboard!$K$7=E1185)),1,0)</x:f>
        <x:v>1</x:v>
      </x:c>
      <x:c r="S1185" s="2" t="n">
        <x:f>IF(R1185=1,SUM($R$10:R1185),0)</x:f>
        <x:v>812</x:v>
      </x:c>
      <x:c r="T1185" s="2" t="str">
        <x:v>Research &amp; Analysis</x:v>
      </x:c>
      <x:c r="U1185" s="2" t="n">
        <x:v>457</x:v>
      </x:c>
      <x:c r="V1185" s="2" t="n">
        <x:f>IF(AND(M1185=1,P1185=0,ISNUMBER(J1185),J1185&lt;TODAY()),1,0)</x:f>
        <x:v>0</x:v>
      </x:c>
      <x:c r="W1185" s="2" t="str">
        <x:f>'Research &amp; Analysis'!M457</x:f>
        <x:v>Task</x:v>
      </x:c>
    </x:row>
    <x:row r="1186" ht="40" customHeight="1">
      <x:c r="A1186" s="3" t="str">
        <x:f>HYPERLINK("#'Research &amp; Analysis'!A458","Open")</x:f>
        <x:v>Open</x:v>
      </x:c>
      <x:c r="B1186" s="2" t="str">
        <x:f>'Research &amp; Analysis'!B458</x:f>
        <x:v>Cycle 3</x:v>
      </x:c>
      <x:c r="C1186" s="2" t="str">
        <x:f>'Research &amp; Analysis'!C458</x:f>
        <x:v>Phase 2</x:v>
      </x:c>
      <x:c r="D1186" s="2" t="str">
        <x:f>'Research &amp; Analysis'!D458</x:f>
        <x:v>PLL</x:v>
      </x:c>
      <x:c r="E1186" s="2" t="str">
        <x:v>Research &amp; Analysis</x:v>
      </x:c>
      <x:c r="F1186" s="56" t="str">
        <x:f>'Research &amp; Analysis'!E458</x:f>
        <x:v>RA.PL.2.3</x:v>
      </x:c>
      <x:c r="G1186" s="14" t="str">
        <x:f>'Research &amp; Analysis'!F458</x:f>
        <x:v>Meet with SMEs to gain business insight and clarify questions</x:v>
      </x:c>
      <x:c r="H1186" s="2" t="str">
        <x:f>IF('Research &amp; Analysis'!G458="","",'Research &amp; Analysis'!G458)</x:f>
      </x:c>
      <x:c r="I1186" s="12" t="str">
        <x:f>IF('Research &amp; Analysis'!H458="","",'Research &amp; Analysis'!H458)</x:f>
      </x:c>
      <x:c r="J1186" s="12" t="n">
        <x:f>IF('Research &amp; Analysis'!I458="","",'Research &amp; Analysis'!I458)</x:f>
        <x:v>46295</x:v>
      </x:c>
      <x:c r="K1186" s="12" t="str">
        <x:f>IF('Research &amp; Analysis'!J458="","",'Research &amp; Analysis'!J458)</x:f>
      </x:c>
      <x:c r="L1186" s="2" t="str">
        <x:f>IF('Research &amp; Analysis'!K458="","",'Research &amp; Analysis'!K458)</x:f>
      </x:c>
      <x:c r="M1186" s="2" t="n">
        <x:f>'Research &amp; Analysis'!Q458</x:f>
        <x:v>1</x:v>
      </x:c>
      <x:c r="N1186" s="2" t="str">
        <x:f>'Research &amp; Analysis'!L458</x:f>
        <x:v>Not started</x:v>
      </x:c>
      <x:c r="O1186" s="2" t="str">
        <x:f>'Research &amp; Analysis'!N458</x:f>
        <x:v>RA.PL.2.3.2026.CY3</x:v>
      </x:c>
      <x:c r="P1186" s="2" t="n">
        <x:f>'Research &amp; Analysis'!O458</x:f>
        <x:v>0</x:v>
      </x:c>
      <x:c r="Q1186" s="2" t="n">
        <x:f>SUBTOTAL(103,O1186)</x:f>
        <x:v>1</x:v>
      </x:c>
      <x:c r="R1186" s="2" t="n">
        <x:f>IF(AND(M1186=1,OR(Dashboard!$B$7="All",Dashboard!$B$7='Cycles &amp; Guide'!$C$5),OR(Dashboard!$D$7="All",Dashboard!$D$7=B1186),OR(Dashboard!$F$7="All",Dashboard!$F$7=C1186),OR(Dashboard!$H$7="All",Dashboard!$H$7=D1186),OR(Dashboard!$K$7="All",Dashboard!$K$7=E1186)),1,0)</x:f>
        <x:v>1</x:v>
      </x:c>
      <x:c r="S1186" s="2" t="n">
        <x:f>IF(R1186=1,SUM($R$10:R1186),0)</x:f>
        <x:v>813</x:v>
      </x:c>
      <x:c r="T1186" s="2" t="str">
        <x:v>Research &amp; Analysis</x:v>
      </x:c>
      <x:c r="U1186" s="2" t="n">
        <x:v>458</x:v>
      </x:c>
      <x:c r="V1186" s="2" t="n">
        <x:f>IF(AND(M1186=1,P1186=0,ISNUMBER(J1186),J1186&lt;TODAY()),1,0)</x:f>
        <x:v>0</x:v>
      </x:c>
      <x:c r="W1186" s="2" t="str">
        <x:f>'Research &amp; Analysis'!M458</x:f>
        <x:v>Task</x:v>
      </x:c>
    </x:row>
    <x:row r="1187" ht="40" customHeight="1">
      <x:c r="A1187" s="3" t="str">
        <x:f>HYPERLINK("#'Research &amp; Analysis'!A459","Open")</x:f>
        <x:v>Open</x:v>
      </x:c>
      <x:c r="B1187" s="2" t="str">
        <x:f>'Research &amp; Analysis'!B459</x:f>
        <x:v>Cycle 3</x:v>
      </x:c>
      <x:c r="C1187" s="2" t="str">
        <x:f>'Research &amp; Analysis'!C459</x:f>
        <x:v>Phase 2</x:v>
      </x:c>
      <x:c r="D1187" s="2" t="str">
        <x:f>'Research &amp; Analysis'!D459</x:f>
        <x:v>PLL</x:v>
      </x:c>
      <x:c r="E1187" s="2" t="str">
        <x:v>Research &amp; Analysis</x:v>
      </x:c>
      <x:c r="F1187" s="56" t="str">
        <x:f>'Research &amp; Analysis'!E459</x:f>
        <x:v>RA.PL.2.4</x:v>
      </x:c>
      <x:c r="G1187" s="14" t="str">
        <x:f>'Research &amp; Analysis'!F459</x:f>
        <x:v>Establish and maintain a recurring meeting with D&amp;I to discuss Cycle progress</x:v>
      </x:c>
      <x:c r="H1187" s="2" t="str">
        <x:f>IF('Research &amp; Analysis'!G459="","",'Research &amp; Analysis'!G459)</x:f>
      </x:c>
      <x:c r="I1187" s="12" t="str">
        <x:f>IF('Research &amp; Analysis'!H459="","",'Research &amp; Analysis'!H459)</x:f>
      </x:c>
      <x:c r="J1187" s="12" t="n">
        <x:f>IF('Research &amp; Analysis'!I459="","",'Research &amp; Analysis'!I459)</x:f>
        <x:v>46295</x:v>
      </x:c>
      <x:c r="K1187" s="12" t="str">
        <x:f>IF('Research &amp; Analysis'!J459="","",'Research &amp; Analysis'!J459)</x:f>
      </x:c>
      <x:c r="L1187" s="2" t="str">
        <x:f>IF('Research &amp; Analysis'!K459="","",'Research &amp; Analysis'!K459)</x:f>
      </x:c>
      <x:c r="M1187" s="2" t="n">
        <x:f>'Research &amp; Analysis'!Q459</x:f>
        <x:v>1</x:v>
      </x:c>
      <x:c r="N1187" s="2" t="str">
        <x:f>'Research &amp; Analysis'!L459</x:f>
        <x:v>Not started</x:v>
      </x:c>
      <x:c r="O1187" s="2" t="str">
        <x:f>'Research &amp; Analysis'!N459</x:f>
        <x:v>RA.PL.2.4.2026.CY3</x:v>
      </x:c>
      <x:c r="P1187" s="2" t="n">
        <x:f>'Research &amp; Analysis'!O459</x:f>
        <x:v>0</x:v>
      </x:c>
      <x:c r="Q1187" s="2" t="n">
        <x:f>SUBTOTAL(103,O1187)</x:f>
        <x:v>1</x:v>
      </x:c>
      <x:c r="R1187" s="2" t="n">
        <x:f>IF(AND(M1187=1,OR(Dashboard!$B$7="All",Dashboard!$B$7='Cycles &amp; Guide'!$C$5),OR(Dashboard!$D$7="All",Dashboard!$D$7=B1187),OR(Dashboard!$F$7="All",Dashboard!$F$7=C1187),OR(Dashboard!$H$7="All",Dashboard!$H$7=D1187),OR(Dashboard!$K$7="All",Dashboard!$K$7=E1187)),1,0)</x:f>
        <x:v>1</x:v>
      </x:c>
      <x:c r="S1187" s="2" t="n">
        <x:f>IF(R1187=1,SUM($R$10:R1187),0)</x:f>
        <x:v>814</x:v>
      </x:c>
      <x:c r="T1187" s="2" t="str">
        <x:v>Research &amp; Analysis</x:v>
      </x:c>
      <x:c r="U1187" s="2" t="n">
        <x:v>459</x:v>
      </x:c>
      <x:c r="V1187" s="2" t="n">
        <x:f>IF(AND(M1187=1,P1187=0,ISNUMBER(J1187),J1187&lt;TODAY()),1,0)</x:f>
        <x:v>0</x:v>
      </x:c>
      <x:c r="W1187" s="2" t="str">
        <x:f>'Research &amp; Analysis'!M459</x:f>
        <x:v>Task</x:v>
      </x:c>
    </x:row>
    <x:row r="1188" ht="40" customHeight="1">
      <x:c r="A1188" s="3" t="str">
        <x:f>HYPERLINK("#'Research &amp; Analysis'!A460","Open")</x:f>
        <x:v>Open</x:v>
      </x:c>
      <x:c r="B1188" s="2" t="str">
        <x:f>'Research &amp; Analysis'!B460</x:f>
        <x:v>Cycle 3</x:v>
      </x:c>
      <x:c r="C1188" s="2" t="str">
        <x:f>'Research &amp; Analysis'!C460</x:f>
        <x:v>Phase 2</x:v>
      </x:c>
      <x:c r="D1188" s="2" t="str">
        <x:f>'Research &amp; Analysis'!D460</x:f>
        <x:v>PLL</x:v>
      </x:c>
      <x:c r="E1188" s="2" t="str">
        <x:v>Research &amp; Analysis</x:v>
      </x:c>
      <x:c r="F1188" s="56" t="str">
        <x:f>'Research &amp; Analysis'!E460</x:f>
        <x:v>RA.PL.2.5</x:v>
      </x:c>
      <x:c r="G1188" s="14" t="str">
        <x:f>'Research &amp; Analysis'!F460</x:f>
        <x:v>Perform data testing and sampling</x:v>
      </x:c>
      <x:c r="H1188" s="2" t="str">
        <x:f>IF('Research &amp; Analysis'!G460="","",'Research &amp; Analysis'!G460)</x:f>
      </x:c>
      <x:c r="I1188" s="12" t="str">
        <x:f>IF('Research &amp; Analysis'!H460="","",'Research &amp; Analysis'!H460)</x:f>
      </x:c>
      <x:c r="J1188" s="12" t="n">
        <x:f>IF('Research &amp; Analysis'!I460="","",'Research &amp; Analysis'!I460)</x:f>
        <x:v>46295</x:v>
      </x:c>
      <x:c r="K1188" s="12" t="str">
        <x:f>IF('Research &amp; Analysis'!J460="","",'Research &amp; Analysis'!J460)</x:f>
      </x:c>
      <x:c r="L1188" s="2" t="str">
        <x:f>IF('Research &amp; Analysis'!K460="","",'Research &amp; Analysis'!K460)</x:f>
      </x:c>
      <x:c r="M1188" s="2" t="n">
        <x:f>'Research &amp; Analysis'!Q460</x:f>
        <x:v>1</x:v>
      </x:c>
      <x:c r="N1188" s="2" t="str">
        <x:f>'Research &amp; Analysis'!L460</x:f>
        <x:v>Not started</x:v>
      </x:c>
      <x:c r="O1188" s="2" t="str">
        <x:f>'Research &amp; Analysis'!N460</x:f>
        <x:v>RA.PL.2.5.2026.CY3</x:v>
      </x:c>
      <x:c r="P1188" s="2" t="n">
        <x:f>'Research &amp; Analysis'!O460</x:f>
        <x:v>0</x:v>
      </x:c>
      <x:c r="Q1188" s="2" t="n">
        <x:f>SUBTOTAL(103,O1188)</x:f>
        <x:v>1</x:v>
      </x:c>
      <x:c r="R1188" s="2" t="n">
        <x:f>IF(AND(M1188=1,OR(Dashboard!$B$7="All",Dashboard!$B$7='Cycles &amp; Guide'!$C$5),OR(Dashboard!$D$7="All",Dashboard!$D$7=B1188),OR(Dashboard!$F$7="All",Dashboard!$F$7=C1188),OR(Dashboard!$H$7="All",Dashboard!$H$7=D1188),OR(Dashboard!$K$7="All",Dashboard!$K$7=E1188)),1,0)</x:f>
        <x:v>1</x:v>
      </x:c>
      <x:c r="S1188" s="2" t="n">
        <x:f>IF(R1188=1,SUM($R$10:R1188),0)</x:f>
        <x:v>815</x:v>
      </x:c>
      <x:c r="T1188" s="2" t="str">
        <x:v>Research &amp; Analysis</x:v>
      </x:c>
      <x:c r="U1188" s="2" t="n">
        <x:v>460</x:v>
      </x:c>
      <x:c r="V1188" s="2" t="n">
        <x:f>IF(AND(M1188=1,P1188=0,ISNUMBER(J1188),J1188&lt;TODAY()),1,0)</x:f>
        <x:v>0</x:v>
      </x:c>
      <x:c r="W1188" s="2" t="str">
        <x:f>'Research &amp; Analysis'!M460</x:f>
        <x:v>Task</x:v>
      </x:c>
    </x:row>
    <x:row r="1189" ht="40" customHeight="1">
      <x:c r="A1189" s="3" t="str">
        <x:f>HYPERLINK("#'Research &amp; Analysis'!A461","Open")</x:f>
        <x:v>Open</x:v>
      </x:c>
      <x:c r="B1189" s="2" t="str">
        <x:f>'Research &amp; Analysis'!B461</x:f>
        <x:v>Cycle 3</x:v>
      </x:c>
      <x:c r="C1189" s="2" t="str">
        <x:f>'Research &amp; Analysis'!C461</x:f>
        <x:v>Phase 2</x:v>
      </x:c>
      <x:c r="D1189" s="2" t="str">
        <x:f>'Research &amp; Analysis'!D461</x:f>
        <x:v>PLL</x:v>
      </x:c>
      <x:c r="E1189" s="2" t="str">
        <x:v>Research &amp; Analysis</x:v>
      </x:c>
      <x:c r="F1189" s="56" t="str">
        <x:f>'Research &amp; Analysis'!E461</x:f>
        <x:v>RA.PL.2.6</x:v>
      </x:c>
      <x:c r="G1189" s="14" t="str">
        <x:f>'Research &amp; Analysis'!F461</x:f>
        <x:v>Complete Positive Testing</x:v>
      </x:c>
      <x:c r="H1189" s="2" t="str">
        <x:f>IF('Research &amp; Analysis'!G461="","",'Research &amp; Analysis'!G461)</x:f>
      </x:c>
      <x:c r="I1189" s="12" t="str">
        <x:f>IF('Research &amp; Analysis'!H461="","",'Research &amp; Analysis'!H461)</x:f>
      </x:c>
      <x:c r="J1189" s="12" t="n">
        <x:f>IF('Research &amp; Analysis'!I461="","",'Research &amp; Analysis'!I461)</x:f>
        <x:v>46295</x:v>
      </x:c>
      <x:c r="K1189" s="12" t="str">
        <x:f>IF('Research &amp; Analysis'!J461="","",'Research &amp; Analysis'!J461)</x:f>
      </x:c>
      <x:c r="L1189" s="2" t="str">
        <x:f>IF('Research &amp; Analysis'!K461="","",'Research &amp; Analysis'!K461)</x:f>
      </x:c>
      <x:c r="M1189" s="2" t="n">
        <x:f>'Research &amp; Analysis'!Q461</x:f>
        <x:v>1</x:v>
      </x:c>
      <x:c r="N1189" s="2" t="str">
        <x:f>'Research &amp; Analysis'!L461</x:f>
        <x:v>Not started</x:v>
      </x:c>
      <x:c r="O1189" s="2" t="str">
        <x:f>'Research &amp; Analysis'!N461</x:f>
        <x:v>RA.PL.2.6.2026.CY3</x:v>
      </x:c>
      <x:c r="P1189" s="2" t="n">
        <x:f>'Research &amp; Analysis'!O461</x:f>
        <x:v>0</x:v>
      </x:c>
      <x:c r="Q1189" s="2" t="n">
        <x:f>SUBTOTAL(103,O1189)</x:f>
        <x:v>1</x:v>
      </x:c>
      <x:c r="R1189" s="2" t="n">
        <x:f>IF(AND(M1189=1,OR(Dashboard!$B$7="All",Dashboard!$B$7='Cycles &amp; Guide'!$C$5),OR(Dashboard!$D$7="All",Dashboard!$D$7=B1189),OR(Dashboard!$F$7="All",Dashboard!$F$7=C1189),OR(Dashboard!$H$7="All",Dashboard!$H$7=D1189),OR(Dashboard!$K$7="All",Dashboard!$K$7=E1189)),1,0)</x:f>
        <x:v>1</x:v>
      </x:c>
      <x:c r="S1189" s="2" t="n">
        <x:f>IF(R1189=1,SUM($R$10:R1189),0)</x:f>
        <x:v>816</x:v>
      </x:c>
      <x:c r="T1189" s="2" t="str">
        <x:v>Research &amp; Analysis</x:v>
      </x:c>
      <x:c r="U1189" s="2" t="n">
        <x:v>461</x:v>
      </x:c>
      <x:c r="V1189" s="2" t="n">
        <x:f>IF(AND(M1189=1,P1189=0,ISNUMBER(J1189),J1189&lt;TODAY()),1,0)</x:f>
        <x:v>0</x:v>
      </x:c>
      <x:c r="W1189" s="2" t="str">
        <x:f>'Research &amp; Analysis'!M461</x:f>
        <x:v>Task</x:v>
      </x:c>
    </x:row>
    <x:row r="1190" ht="40" customHeight="1">
      <x:c r="A1190" s="3" t="str">
        <x:f>HYPERLINK("#'Research &amp; Analysis'!A462","Open")</x:f>
        <x:v>Open</x:v>
      </x:c>
      <x:c r="B1190" s="2" t="str">
        <x:f>'Research &amp; Analysis'!B462</x:f>
        <x:v>Cycle 3</x:v>
      </x:c>
      <x:c r="C1190" s="2" t="str">
        <x:f>'Research &amp; Analysis'!C462</x:f>
        <x:v>Phase 2</x:v>
      </x:c>
      <x:c r="D1190" s="2" t="str">
        <x:f>'Research &amp; Analysis'!D462</x:f>
        <x:v>PLL</x:v>
      </x:c>
      <x:c r="E1190" s="2" t="str">
        <x:v>Research &amp; Analysis</x:v>
      </x:c>
      <x:c r="F1190" s="56" t="str">
        <x:f>'Research &amp; Analysis'!E462</x:f>
        <x:v>RA.PL.2.7</x:v>
      </x:c>
      <x:c r="G1190" s="14" t="str">
        <x:f>'Research &amp; Analysis'!F462</x:f>
        <x:v>Complete Negative Testing</x:v>
      </x:c>
      <x:c r="H1190" s="2" t="str">
        <x:f>IF('Research &amp; Analysis'!G462="","",'Research &amp; Analysis'!G462)</x:f>
      </x:c>
      <x:c r="I1190" s="12" t="str">
        <x:f>IF('Research &amp; Analysis'!H462="","",'Research &amp; Analysis'!H462)</x:f>
      </x:c>
      <x:c r="J1190" s="12" t="n">
        <x:f>IF('Research &amp; Analysis'!I462="","",'Research &amp; Analysis'!I462)</x:f>
        <x:v>46295</x:v>
      </x:c>
      <x:c r="K1190" s="12" t="str">
        <x:f>IF('Research &amp; Analysis'!J462="","",'Research &amp; Analysis'!J462)</x:f>
      </x:c>
      <x:c r="L1190" s="2" t="str">
        <x:f>IF('Research &amp; Analysis'!K462="","",'Research &amp; Analysis'!K462)</x:f>
      </x:c>
      <x:c r="M1190" s="2" t="n">
        <x:f>'Research &amp; Analysis'!Q462</x:f>
        <x:v>1</x:v>
      </x:c>
      <x:c r="N1190" s="2" t="str">
        <x:f>'Research &amp; Analysis'!L462</x:f>
        <x:v>Not started</x:v>
      </x:c>
      <x:c r="O1190" s="2" t="str">
        <x:f>'Research &amp; Analysis'!N462</x:f>
        <x:v>RA.PL.2.7.2026.CY3</x:v>
      </x:c>
      <x:c r="P1190" s="2" t="n">
        <x:f>'Research &amp; Analysis'!O462</x:f>
        <x:v>0</x:v>
      </x:c>
      <x:c r="Q1190" s="2" t="n">
        <x:f>SUBTOTAL(103,O1190)</x:f>
        <x:v>1</x:v>
      </x:c>
      <x:c r="R1190" s="2" t="n">
        <x:f>IF(AND(M1190=1,OR(Dashboard!$B$7="All",Dashboard!$B$7='Cycles &amp; Guide'!$C$5),OR(Dashboard!$D$7="All",Dashboard!$D$7=B1190),OR(Dashboard!$F$7="All",Dashboard!$F$7=C1190),OR(Dashboard!$H$7="All",Dashboard!$H$7=D1190),OR(Dashboard!$K$7="All",Dashboard!$K$7=E1190)),1,0)</x:f>
        <x:v>1</x:v>
      </x:c>
      <x:c r="S1190" s="2" t="n">
        <x:f>IF(R1190=1,SUM($R$10:R1190),0)</x:f>
        <x:v>817</x:v>
      </x:c>
      <x:c r="T1190" s="2" t="str">
        <x:v>Research &amp; Analysis</x:v>
      </x:c>
      <x:c r="U1190" s="2" t="n">
        <x:v>462</x:v>
      </x:c>
      <x:c r="V1190" s="2" t="n">
        <x:f>IF(AND(M1190=1,P1190=0,ISNUMBER(J1190),J1190&lt;TODAY()),1,0)</x:f>
        <x:v>0</x:v>
      </x:c>
      <x:c r="W1190" s="2" t="str">
        <x:f>'Research &amp; Analysis'!M462</x:f>
        <x:v>Task</x:v>
      </x:c>
    </x:row>
    <x:row r="1191" ht="40" customHeight="1">
      <x:c r="A1191" s="3" t="str">
        <x:f>HYPERLINK("#'Research &amp; Analysis'!A463","Open")</x:f>
        <x:v>Open</x:v>
      </x:c>
      <x:c r="B1191" s="2" t="str">
        <x:f>'Research &amp; Analysis'!B463</x:f>
        <x:v>Cycle 3</x:v>
      </x:c>
      <x:c r="C1191" s="2" t="str">
        <x:f>'Research &amp; Analysis'!C463</x:f>
        <x:v>Phase 2</x:v>
      </x:c>
      <x:c r="D1191" s="2" t="str">
        <x:f>'Research &amp; Analysis'!D463</x:f>
        <x:v>PLL</x:v>
      </x:c>
      <x:c r="E1191" s="2" t="str">
        <x:v>Research &amp; Analysis</x:v>
      </x:c>
      <x:c r="F1191" s="56" t="str">
        <x:f>'Research &amp; Analysis'!E463</x:f>
        <x:v>RA.PL.2.8</x:v>
      </x:c>
      <x:c r="G1191" s="14" t="str">
        <x:f>'Research &amp; Analysis'!F463</x:f>
        <x:v>Request additional data (as needed)</x:v>
      </x:c>
      <x:c r="H1191" s="2" t="str">
        <x:f>IF('Research &amp; Analysis'!G463="","",'Research &amp; Analysis'!G463)</x:f>
      </x:c>
      <x:c r="I1191" s="12" t="str">
        <x:f>IF('Research &amp; Analysis'!H463="","",'Research &amp; Analysis'!H463)</x:f>
      </x:c>
      <x:c r="J1191" s="12" t="n">
        <x:f>IF('Research &amp; Analysis'!I463="","",'Research &amp; Analysis'!I463)</x:f>
        <x:v>46295</x:v>
      </x:c>
      <x:c r="K1191" s="12" t="str">
        <x:f>IF('Research &amp; Analysis'!J463="","",'Research &amp; Analysis'!J463)</x:f>
      </x:c>
      <x:c r="L1191" s="2" t="str">
        <x:f>IF('Research &amp; Analysis'!K463="","",'Research &amp; Analysis'!K463)</x:f>
      </x:c>
      <x:c r="M1191" s="2" t="n">
        <x:f>'Research &amp; Analysis'!Q463</x:f>
        <x:v>1</x:v>
      </x:c>
      <x:c r="N1191" s="2" t="str">
        <x:f>'Research &amp; Analysis'!L463</x:f>
        <x:v>Not started</x:v>
      </x:c>
      <x:c r="O1191" s="2" t="str">
        <x:f>'Research &amp; Analysis'!N463</x:f>
        <x:v>RA.PL.2.8.2026.CY3</x:v>
      </x:c>
      <x:c r="P1191" s="2" t="n">
        <x:f>'Research &amp; Analysis'!O463</x:f>
        <x:v>0</x:v>
      </x:c>
      <x:c r="Q1191" s="2" t="n">
        <x:f>SUBTOTAL(103,O1191)</x:f>
        <x:v>1</x:v>
      </x:c>
      <x:c r="R1191" s="2" t="n">
        <x:f>IF(AND(M1191=1,OR(Dashboard!$B$7="All",Dashboard!$B$7='Cycles &amp; Guide'!$C$5),OR(Dashboard!$D$7="All",Dashboard!$D$7=B1191),OR(Dashboard!$F$7="All",Dashboard!$F$7=C1191),OR(Dashboard!$H$7="All",Dashboard!$H$7=D1191),OR(Dashboard!$K$7="All",Dashboard!$K$7=E1191)),1,0)</x:f>
        <x:v>1</x:v>
      </x:c>
      <x:c r="S1191" s="2" t="n">
        <x:f>IF(R1191=1,SUM($R$10:R1191),0)</x:f>
        <x:v>818</x:v>
      </x:c>
      <x:c r="T1191" s="2" t="str">
        <x:v>Research &amp; Analysis</x:v>
      </x:c>
      <x:c r="U1191" s="2" t="n">
        <x:v>463</x:v>
      </x:c>
      <x:c r="V1191" s="2" t="n">
        <x:f>IF(AND(M1191=1,P1191=0,ISNUMBER(J1191),J1191&lt;TODAY()),1,0)</x:f>
        <x:v>0</x:v>
      </x:c>
      <x:c r="W1191" s="2" t="str">
        <x:f>'Research &amp; Analysis'!M463</x:f>
        <x:v>Task</x:v>
      </x:c>
    </x:row>
    <x:row r="1192" ht="40" customHeight="1">
      <x:c r="A1192" s="3" t="str">
        <x:f>HYPERLINK("#'Research &amp; Analysis'!A464","Open")</x:f>
        <x:v>Open</x:v>
      </x:c>
      <x:c r="B1192" s="2" t="str">
        <x:f>'Research &amp; Analysis'!B464</x:f>
        <x:v>Cycle 3</x:v>
      </x:c>
      <x:c r="C1192" s="2" t="str">
        <x:f>'Research &amp; Analysis'!C464</x:f>
        <x:v>Phase 2</x:v>
      </x:c>
      <x:c r="D1192" s="2" t="str">
        <x:f>'Research &amp; Analysis'!D464</x:f>
        <x:v>PLL</x:v>
      </x:c>
      <x:c r="E1192" s="2" t="str">
        <x:v>Research &amp; Analysis</x:v>
      </x:c>
      <x:c r="F1192" s="56" t="str">
        <x:f>'Research &amp; Analysis'!E464</x:f>
        <x:v>RA.PL.2.9</x:v>
      </x:c>
      <x:c r="G1192" s="14" t="str">
        <x:f>'Research &amp; Analysis'!F464</x:f>
        <x:v>Validate or disprove initial hypothesis assumptions</x:v>
      </x:c>
      <x:c r="H1192" s="2" t="str">
        <x:f>IF('Research &amp; Analysis'!G464="","",'Research &amp; Analysis'!G464)</x:f>
      </x:c>
      <x:c r="I1192" s="12" t="str">
        <x:f>IF('Research &amp; Analysis'!H464="","",'Research &amp; Analysis'!H464)</x:f>
      </x:c>
      <x:c r="J1192" s="12" t="n">
        <x:f>IF('Research &amp; Analysis'!I464="","",'Research &amp; Analysis'!I464)</x:f>
        <x:v>46295</x:v>
      </x:c>
      <x:c r="K1192" s="12" t="str">
        <x:f>IF('Research &amp; Analysis'!J464="","",'Research &amp; Analysis'!J464)</x:f>
      </x:c>
      <x:c r="L1192" s="2" t="str">
        <x:f>IF('Research &amp; Analysis'!K464="","",'Research &amp; Analysis'!K464)</x:f>
      </x:c>
      <x:c r="M1192" s="2" t="n">
        <x:f>'Research &amp; Analysis'!Q464</x:f>
        <x:v>1</x:v>
      </x:c>
      <x:c r="N1192" s="2" t="str">
        <x:f>'Research &amp; Analysis'!L464</x:f>
        <x:v>Not started</x:v>
      </x:c>
      <x:c r="O1192" s="2" t="str">
        <x:f>'Research &amp; Analysis'!N464</x:f>
        <x:v>RA.PL.2.9.2026.CY3</x:v>
      </x:c>
      <x:c r="P1192" s="2" t="n">
        <x:f>'Research &amp; Analysis'!O464</x:f>
        <x:v>0</x:v>
      </x:c>
      <x:c r="Q1192" s="2" t="n">
        <x:f>SUBTOTAL(103,O1192)</x:f>
        <x:v>1</x:v>
      </x:c>
      <x:c r="R1192" s="2" t="n">
        <x:f>IF(AND(M1192=1,OR(Dashboard!$B$7="All",Dashboard!$B$7='Cycles &amp; Guide'!$C$5),OR(Dashboard!$D$7="All",Dashboard!$D$7=B1192),OR(Dashboard!$F$7="All",Dashboard!$F$7=C1192),OR(Dashboard!$H$7="All",Dashboard!$H$7=D1192),OR(Dashboard!$K$7="All",Dashboard!$K$7=E1192)),1,0)</x:f>
        <x:v>1</x:v>
      </x:c>
      <x:c r="S1192" s="2" t="n">
        <x:f>IF(R1192=1,SUM($R$10:R1192),0)</x:f>
        <x:v>819</x:v>
      </x:c>
      <x:c r="T1192" s="2" t="str">
        <x:v>Research &amp; Analysis</x:v>
      </x:c>
      <x:c r="U1192" s="2" t="n">
        <x:v>464</x:v>
      </x:c>
      <x:c r="V1192" s="2" t="n">
        <x:f>IF(AND(M1192=1,P1192=0,ISNUMBER(J1192),J1192&lt;TODAY()),1,0)</x:f>
        <x:v>0</x:v>
      </x:c>
      <x:c r="W1192" s="2" t="str">
        <x:f>'Research &amp; Analysis'!M464</x:f>
        <x:v>Task</x:v>
      </x:c>
    </x:row>
    <x:row r="1193" ht="40" customHeight="1">
      <x:c r="A1193" s="3" t="str">
        <x:f>HYPERLINK("#'Research &amp; Analysis'!A465","Open")</x:f>
        <x:v>Open</x:v>
      </x:c>
      <x:c r="B1193" s="2" t="str">
        <x:f>'Research &amp; Analysis'!B465</x:f>
        <x:v>Cycle 3</x:v>
      </x:c>
      <x:c r="C1193" s="2" t="str">
        <x:f>'Research &amp; Analysis'!C465</x:f>
        <x:v>Phase 2</x:v>
      </x:c>
      <x:c r="D1193" s="2" t="str">
        <x:f>'Research &amp; Analysis'!D465</x:f>
        <x:v>PLL</x:v>
      </x:c>
      <x:c r="E1193" s="2" t="str">
        <x:v>Research &amp; Analysis</x:v>
      </x:c>
      <x:c r="F1193" s="56" t="str">
        <x:f>'Research &amp; Analysis'!E465</x:f>
        <x:v>RA.PL.2.10</x:v>
      </x:c>
      <x:c r="G1193" s="14" t="str">
        <x:f>'Research &amp; Analysis'!F465</x:f>
        <x:v>Identify and confirm root cause</x:v>
      </x:c>
      <x:c r="H1193" s="2" t="str">
        <x:f>IF('Research &amp; Analysis'!G465="","",'Research &amp; Analysis'!G465)</x:f>
      </x:c>
      <x:c r="I1193" s="12" t="str">
        <x:f>IF('Research &amp; Analysis'!H465="","",'Research &amp; Analysis'!H465)</x:f>
      </x:c>
      <x:c r="J1193" s="12" t="n">
        <x:f>IF('Research &amp; Analysis'!I465="","",'Research &amp; Analysis'!I465)</x:f>
        <x:v>46295</x:v>
      </x:c>
      <x:c r="K1193" s="12" t="str">
        <x:f>IF('Research &amp; Analysis'!J465="","",'Research &amp; Analysis'!J465)</x:f>
      </x:c>
      <x:c r="L1193" s="2" t="str">
        <x:f>IF('Research &amp; Analysis'!K465="","",'Research &amp; Analysis'!K465)</x:f>
      </x:c>
      <x:c r="M1193" s="2" t="n">
        <x:f>'Research &amp; Analysis'!Q465</x:f>
        <x:v>1</x:v>
      </x:c>
      <x:c r="N1193" s="2" t="str">
        <x:f>'Research &amp; Analysis'!L465</x:f>
        <x:v>Not started</x:v>
      </x:c>
      <x:c r="O1193" s="2" t="str">
        <x:f>'Research &amp; Analysis'!N465</x:f>
        <x:v>RA.PL.2.10.2026.CY3</x:v>
      </x:c>
      <x:c r="P1193" s="2" t="n">
        <x:f>'Research &amp; Analysis'!O465</x:f>
        <x:v>0</x:v>
      </x:c>
      <x:c r="Q1193" s="2" t="n">
        <x:f>SUBTOTAL(103,O1193)</x:f>
        <x:v>1</x:v>
      </x:c>
      <x:c r="R1193" s="2" t="n">
        <x:f>IF(AND(M1193=1,OR(Dashboard!$B$7="All",Dashboard!$B$7='Cycles &amp; Guide'!$C$5),OR(Dashboard!$D$7="All",Dashboard!$D$7=B1193),OR(Dashboard!$F$7="All",Dashboard!$F$7=C1193),OR(Dashboard!$H$7="All",Dashboard!$H$7=D1193),OR(Dashboard!$K$7="All",Dashboard!$K$7=E1193)),1,0)</x:f>
        <x:v>1</x:v>
      </x:c>
      <x:c r="S1193" s="2" t="n">
        <x:f>IF(R1193=1,SUM($R$10:R1193),0)</x:f>
        <x:v>820</x:v>
      </x:c>
      <x:c r="T1193" s="2" t="str">
        <x:v>Research &amp; Analysis</x:v>
      </x:c>
      <x:c r="U1193" s="2" t="n">
        <x:v>465</x:v>
      </x:c>
      <x:c r="V1193" s="2" t="n">
        <x:f>IF(AND(M1193=1,P1193=0,ISNUMBER(J1193),J1193&lt;TODAY()),1,0)</x:f>
        <x:v>0</x:v>
      </x:c>
      <x:c r="W1193" s="2" t="str">
        <x:f>'Research &amp; Analysis'!M465</x:f>
        <x:v>Task</x:v>
      </x:c>
    </x:row>
    <x:row r="1194" ht="40" customHeight="1">
      <x:c r="A1194" s="3" t="str">
        <x:f>HYPERLINK("#'Research &amp; Analysis'!A466","Open")</x:f>
        <x:v>Open</x:v>
      </x:c>
      <x:c r="B1194" s="2" t="str">
        <x:f>'Research &amp; Analysis'!B466</x:f>
        <x:v>Cycle 3</x:v>
      </x:c>
      <x:c r="C1194" s="2" t="str">
        <x:f>'Research &amp; Analysis'!C466</x:f>
        <x:v>Phase 3</x:v>
      </x:c>
      <x:c r="D1194" s="2" t="str">
        <x:f>'Research &amp; Analysis'!D466</x:f>
        <x:v>PLL</x:v>
      </x:c>
      <x:c r="E1194" s="2" t="str">
        <x:v>Research &amp; Analysis</x:v>
      </x:c>
      <x:c r="F1194" s="56" t="str">
        <x:f>'Research &amp; Analysis'!E466</x:f>
        <x:v>RA.PL.3.1</x:v>
      </x:c>
      <x:c r="G1194" s="14" t="str">
        <x:f>'Research &amp; Analysis'!F466</x:f>
        <x:v>Finalize results and supporting documentation</x:v>
      </x:c>
      <x:c r="H1194" s="2" t="str">
        <x:f>IF('Research &amp; Analysis'!G466="","",'Research &amp; Analysis'!G466)</x:f>
      </x:c>
      <x:c r="I1194" s="12" t="str">
        <x:f>IF('Research &amp; Analysis'!H466="","",'Research &amp; Analysis'!H466)</x:f>
      </x:c>
      <x:c r="J1194" s="12" t="n">
        <x:f>IF('Research &amp; Analysis'!I466="","",'Research &amp; Analysis'!I466)</x:f>
        <x:v>46295</x:v>
      </x:c>
      <x:c r="K1194" s="12" t="str">
        <x:f>IF('Research &amp; Analysis'!J466="","",'Research &amp; Analysis'!J466)</x:f>
      </x:c>
      <x:c r="L1194" s="2" t="str">
        <x:f>IF('Research &amp; Analysis'!K466="","",'Research &amp; Analysis'!K466)</x:f>
      </x:c>
      <x:c r="M1194" s="2" t="n">
        <x:f>'Research &amp; Analysis'!Q466</x:f>
        <x:v>1</x:v>
      </x:c>
      <x:c r="N1194" s="2" t="str">
        <x:f>'Research &amp; Analysis'!L466</x:f>
        <x:v>Not started</x:v>
      </x:c>
      <x:c r="O1194" s="2" t="str">
        <x:f>'Research &amp; Analysis'!N466</x:f>
        <x:v>RA.PL.3.1.2026.CY3</x:v>
      </x:c>
      <x:c r="P1194" s="2" t="n">
        <x:f>'Research &amp; Analysis'!O466</x:f>
        <x:v>0</x:v>
      </x:c>
      <x:c r="Q1194" s="2" t="n">
        <x:f>SUBTOTAL(103,O1194)</x:f>
        <x:v>1</x:v>
      </x:c>
      <x:c r="R1194" s="2" t="n">
        <x:f>IF(AND(M1194=1,OR(Dashboard!$B$7="All",Dashboard!$B$7='Cycles &amp; Guide'!$C$5),OR(Dashboard!$D$7="All",Dashboard!$D$7=B1194),OR(Dashboard!$F$7="All",Dashboard!$F$7=C1194),OR(Dashboard!$H$7="All",Dashboard!$H$7=D1194),OR(Dashboard!$K$7="All",Dashboard!$K$7=E1194)),1,0)</x:f>
        <x:v>1</x:v>
      </x:c>
      <x:c r="S1194" s="2" t="n">
        <x:f>IF(R1194=1,SUM($R$10:R1194),0)</x:f>
        <x:v>821</x:v>
      </x:c>
      <x:c r="T1194" s="2" t="str">
        <x:v>Research &amp; Analysis</x:v>
      </x:c>
      <x:c r="U1194" s="2" t="n">
        <x:v>466</x:v>
      </x:c>
      <x:c r="V1194" s="2" t="n">
        <x:f>IF(AND(M1194=1,P1194=0,ISNUMBER(J1194),J1194&lt;TODAY()),1,0)</x:f>
        <x:v>0</x:v>
      </x:c>
      <x:c r="W1194" s="2" t="str">
        <x:f>'Research &amp; Analysis'!M466</x:f>
        <x:v>Task</x:v>
      </x:c>
    </x:row>
    <x:row r="1195" ht="40" customHeight="1">
      <x:c r="A1195" s="3" t="str">
        <x:f>HYPERLINK("#'Research &amp; Analysis'!A467","Open")</x:f>
        <x:v>Open</x:v>
      </x:c>
      <x:c r="B1195" s="2" t="str">
        <x:f>'Research &amp; Analysis'!B467</x:f>
        <x:v>Cycle 3</x:v>
      </x:c>
      <x:c r="C1195" s="2" t="str">
        <x:f>'Research &amp; Analysis'!C467</x:f>
        <x:v>Phase 3</x:v>
      </x:c>
      <x:c r="D1195" s="2" t="str">
        <x:f>'Research &amp; Analysis'!D467</x:f>
        <x:v>PLL</x:v>
      </x:c>
      <x:c r="E1195" s="2" t="str">
        <x:v>Research &amp; Analysis</x:v>
      </x:c>
      <x:c r="F1195" s="56" t="str">
        <x:f>'Research &amp; Analysis'!E467</x:f>
        <x:v>RA.PL.3.2</x:v>
      </x:c>
      <x:c r="G1195" s="14" t="str">
        <x:f>'Research &amp; Analysis'!F467</x:f>
        <x:v>Maintain and update the evidence package prior to handoff to D&amp;I</x:v>
      </x:c>
      <x:c r="H1195" s="2" t="str">
        <x:f>IF('Research &amp; Analysis'!G467="","",'Research &amp; Analysis'!G467)</x:f>
      </x:c>
      <x:c r="I1195" s="12" t="str">
        <x:f>IF('Research &amp; Analysis'!H467="","",'Research &amp; Analysis'!H467)</x:f>
      </x:c>
      <x:c r="J1195" s="12" t="n">
        <x:f>IF('Research &amp; Analysis'!I467="","",'Research &amp; Analysis'!I467)</x:f>
        <x:v>46295</x:v>
      </x:c>
      <x:c r="K1195" s="12" t="str">
        <x:f>IF('Research &amp; Analysis'!J467="","",'Research &amp; Analysis'!J467)</x:f>
      </x:c>
      <x:c r="L1195" s="2" t="str">
        <x:f>IF('Research &amp; Analysis'!K467="","",'Research &amp; Analysis'!K467)</x:f>
      </x:c>
      <x:c r="M1195" s="2" t="n">
        <x:f>'Research &amp; Analysis'!Q467</x:f>
        <x:v>1</x:v>
      </x:c>
      <x:c r="N1195" s="2" t="str">
        <x:f>'Research &amp; Analysis'!L467</x:f>
        <x:v>Not started</x:v>
      </x:c>
      <x:c r="O1195" s="2" t="str">
        <x:f>'Research &amp; Analysis'!N467</x:f>
        <x:v>RA.PL.3.2.2026.CY3</x:v>
      </x:c>
      <x:c r="P1195" s="2" t="n">
        <x:f>'Research &amp; Analysis'!O467</x:f>
        <x:v>0</x:v>
      </x:c>
      <x:c r="Q1195" s="2" t="n">
        <x:f>SUBTOTAL(103,O1195)</x:f>
        <x:v>1</x:v>
      </x:c>
      <x:c r="R1195" s="2" t="n">
        <x:f>IF(AND(M1195=1,OR(Dashboard!$B$7="All",Dashboard!$B$7='Cycles &amp; Guide'!$C$5),OR(Dashboard!$D$7="All",Dashboard!$D$7=B1195),OR(Dashboard!$F$7="All",Dashboard!$F$7=C1195),OR(Dashboard!$H$7="All",Dashboard!$H$7=D1195),OR(Dashboard!$K$7="All",Dashboard!$K$7=E1195)),1,0)</x:f>
        <x:v>1</x:v>
      </x:c>
      <x:c r="S1195" s="2" t="n">
        <x:f>IF(R1195=1,SUM($R$10:R1195),0)</x:f>
        <x:v>822</x:v>
      </x:c>
      <x:c r="T1195" s="2" t="str">
        <x:v>Research &amp; Analysis</x:v>
      </x:c>
      <x:c r="U1195" s="2" t="n">
        <x:v>467</x:v>
      </x:c>
      <x:c r="V1195" s="2" t="n">
        <x:f>IF(AND(M1195=1,P1195=0,ISNUMBER(J1195),J1195&lt;TODAY()),1,0)</x:f>
        <x:v>0</x:v>
      </x:c>
      <x:c r="W1195" s="2" t="str">
        <x:f>'Research &amp; Analysis'!M467</x:f>
        <x:v>Task</x:v>
      </x:c>
    </x:row>
    <x:row r="1196" ht="40" customHeight="1">
      <x:c r="A1196" s="3" t="str">
        <x:f>HYPERLINK("#'Research &amp; Analysis'!A468","Open")</x:f>
        <x:v>Open</x:v>
      </x:c>
      <x:c r="B1196" s="2" t="str">
        <x:f>'Research &amp; Analysis'!B468</x:f>
        <x:v>Cycle 3</x:v>
      </x:c>
      <x:c r="C1196" s="2" t="str">
        <x:f>'Research &amp; Analysis'!C468</x:f>
        <x:v>Phase 3</x:v>
      </x:c>
      <x:c r="D1196" s="2" t="str">
        <x:f>'Research &amp; Analysis'!D468</x:f>
        <x:v>PLL</x:v>
      </x:c>
      <x:c r="E1196" s="2" t="str">
        <x:v>Research &amp; Analysis</x:v>
      </x:c>
      <x:c r="F1196" s="56" t="str">
        <x:f>'Research &amp; Analysis'!E468</x:f>
        <x:v>RA.PL.3.3</x:v>
      </x:c>
      <x:c r="G1196" s="14" t="str">
        <x:f>'Research &amp; Analysis'!F468</x:f>
        <x:v>Address any outstanding questions or requests from D&amp;I</x:v>
      </x:c>
      <x:c r="H1196" s="2" t="str">
        <x:f>IF('Research &amp; Analysis'!G468="","",'Research &amp; Analysis'!G468)</x:f>
      </x:c>
      <x:c r="I1196" s="12" t="str">
        <x:f>IF('Research &amp; Analysis'!H468="","",'Research &amp; Analysis'!H468)</x:f>
      </x:c>
      <x:c r="J1196" s="12" t="n">
        <x:f>IF('Research &amp; Analysis'!I468="","",'Research &amp; Analysis'!I468)</x:f>
        <x:v>46295</x:v>
      </x:c>
      <x:c r="K1196" s="12" t="str">
        <x:f>IF('Research &amp; Analysis'!J468="","",'Research &amp; Analysis'!J468)</x:f>
      </x:c>
      <x:c r="L1196" s="2" t="str">
        <x:f>IF('Research &amp; Analysis'!K468="","",'Research &amp; Analysis'!K468)</x:f>
      </x:c>
      <x:c r="M1196" s="2" t="n">
        <x:f>'Research &amp; Analysis'!Q468</x:f>
        <x:v>1</x:v>
      </x:c>
      <x:c r="N1196" s="2" t="str">
        <x:f>'Research &amp; Analysis'!L468</x:f>
        <x:v>Not started</x:v>
      </x:c>
      <x:c r="O1196" s="2" t="str">
        <x:f>'Research &amp; Analysis'!N468</x:f>
        <x:v>RA.PL.3.3.2026.CY3</x:v>
      </x:c>
      <x:c r="P1196" s="2" t="n">
        <x:f>'Research &amp; Analysis'!O468</x:f>
        <x:v>0</x:v>
      </x:c>
      <x:c r="Q1196" s="2" t="n">
        <x:f>SUBTOTAL(103,O1196)</x:f>
        <x:v>1</x:v>
      </x:c>
      <x:c r="R1196" s="2" t="n">
        <x:f>IF(AND(M1196=1,OR(Dashboard!$B$7="All",Dashboard!$B$7='Cycles &amp; Guide'!$C$5),OR(Dashboard!$D$7="All",Dashboard!$D$7=B1196),OR(Dashboard!$F$7="All",Dashboard!$F$7=C1196),OR(Dashboard!$H$7="All",Dashboard!$H$7=D1196),OR(Dashboard!$K$7="All",Dashboard!$K$7=E1196)),1,0)</x:f>
        <x:v>1</x:v>
      </x:c>
      <x:c r="S1196" s="2" t="n">
        <x:f>IF(R1196=1,SUM($R$10:R1196),0)</x:f>
        <x:v>823</x:v>
      </x:c>
      <x:c r="T1196" s="2" t="str">
        <x:v>Research &amp; Analysis</x:v>
      </x:c>
      <x:c r="U1196" s="2" t="n">
        <x:v>468</x:v>
      </x:c>
      <x:c r="V1196" s="2" t="n">
        <x:f>IF(AND(M1196=1,P1196=0,ISNUMBER(J1196),J1196&lt;TODAY()),1,0)</x:f>
        <x:v>0</x:v>
      </x:c>
      <x:c r="W1196" s="2" t="str">
        <x:f>'Research &amp; Analysis'!M468</x:f>
        <x:v>Task</x:v>
      </x:c>
    </x:row>
    <x:row r="1197" ht="40" customHeight="1">
      <x:c r="A1197" s="3" t="str">
        <x:f>HYPERLINK("#'Research &amp; Analysis'!A469","Open")</x:f>
        <x:v>Open</x:v>
      </x:c>
      <x:c r="B1197" s="2" t="str">
        <x:f>'Research &amp; Analysis'!B469</x:f>
        <x:v>Cycle 3</x:v>
      </x:c>
      <x:c r="C1197" s="2" t="str">
        <x:f>'Research &amp; Analysis'!C469</x:f>
        <x:v>Phase 3</x:v>
      </x:c>
      <x:c r="D1197" s="2" t="str">
        <x:f>'Research &amp; Analysis'!D469</x:f>
        <x:v>PLL</x:v>
      </x:c>
      <x:c r="E1197" s="2" t="str">
        <x:v>Research &amp; Analysis</x:v>
      </x:c>
      <x:c r="F1197" s="56" t="str">
        <x:f>'Research &amp; Analysis'!E469</x:f>
        <x:v>RA.PL.3.4</x:v>
      </x:c>
      <x:c r="G1197" s="14" t="str">
        <x:f>'Research &amp; Analysis'!F469</x:f>
        <x:v>Attend Forum meeting with D&amp;I to assist with answering stakeholder questions (as needed)</x:v>
      </x:c>
      <x:c r="H1197" s="2" t="str">
        <x:f>IF('Research &amp; Analysis'!G469="","",'Research &amp; Analysis'!G469)</x:f>
      </x:c>
      <x:c r="I1197" s="12" t="str">
        <x:f>IF('Research &amp; Analysis'!H469="","",'Research &amp; Analysis'!H469)</x:f>
      </x:c>
      <x:c r="J1197" s="12" t="str">
        <x:f>IF('Research &amp; Analysis'!I469="","",'Research &amp; Analysis'!I469)</x:f>
      </x:c>
      <x:c r="K1197" s="12" t="str">
        <x:f>IF('Research &amp; Analysis'!J469="","",'Research &amp; Analysis'!J469)</x:f>
      </x:c>
      <x:c r="L1197" s="2" t="str">
        <x:f>IF('Research &amp; Analysis'!K469="","",'Research &amp; Analysis'!K469)</x:f>
      </x:c>
      <x:c r="M1197" s="2" t="n">
        <x:f>'Research &amp; Analysis'!Q469</x:f>
        <x:v>1</x:v>
      </x:c>
      <x:c r="N1197" s="2" t="str">
        <x:f>'Research &amp; Analysis'!L469</x:f>
        <x:v>Not started</x:v>
      </x:c>
      <x:c r="O1197" s="2" t="str">
        <x:f>'Research &amp; Analysis'!N469</x:f>
        <x:v>RA.PL.3.4.2026.CY3</x:v>
      </x:c>
      <x:c r="P1197" s="2" t="n">
        <x:f>'Research &amp; Analysis'!O469</x:f>
        <x:v>0</x:v>
      </x:c>
      <x:c r="Q1197" s="2" t="n">
        <x:f>SUBTOTAL(103,O1197)</x:f>
        <x:v>1</x:v>
      </x:c>
      <x:c r="R1197" s="2" t="n">
        <x:f>IF(AND(M1197=1,OR(Dashboard!$B$7="All",Dashboard!$B$7='Cycles &amp; Guide'!$C$5),OR(Dashboard!$D$7="All",Dashboard!$D$7=B1197),OR(Dashboard!$F$7="All",Dashboard!$F$7=C1197),OR(Dashboard!$H$7="All",Dashboard!$H$7=D1197),OR(Dashboard!$K$7="All",Dashboard!$K$7=E1197)),1,0)</x:f>
        <x:v>1</x:v>
      </x:c>
      <x:c r="S1197" s="2" t="n">
        <x:f>IF(R1197=1,SUM($R$10:R1197),0)</x:f>
        <x:v>824</x:v>
      </x:c>
      <x:c r="T1197" s="2" t="str">
        <x:v>Research &amp; Analysis</x:v>
      </x:c>
      <x:c r="U1197" s="2" t="n">
        <x:v>469</x:v>
      </x:c>
      <x:c r="V1197" s="2" t="n">
        <x:f>IF(AND(M1197=1,P1197=0,ISNUMBER(J1197),J1197&lt;TODAY()),1,0)</x:f>
        <x:v>0</x:v>
      </x:c>
      <x:c r="W1197" s="2" t="str">
        <x:f>'Research &amp; Analysis'!M469</x:f>
        <x:v>Task</x:v>
      </x:c>
    </x:row>
    <x:row r="1198" ht="40" customHeight="1">
      <x:c r="A1198" s="3" t="str">
        <x:f>HYPERLINK("#'Research &amp; Analysis'!A470","Open")</x:f>
        <x:v>Open</x:v>
      </x:c>
      <x:c r="B1198" s="2" t="str">
        <x:f>'Research &amp; Analysis'!B470</x:f>
        <x:v>Cycle 3</x:v>
      </x:c>
      <x:c r="C1198" s="2" t="str">
        <x:f>'Research &amp; Analysis'!C470</x:f>
        <x:v>Phase 1</x:v>
      </x:c>
      <x:c r="D1198" s="2" t="str">
        <x:f>'Research &amp; Analysis'!D470</x:f>
        <x:v>Retail Services</x:v>
      </x:c>
      <x:c r="E1198" s="2" t="str">
        <x:v>Research &amp; Analysis</x:v>
      </x:c>
      <x:c r="F1198" s="56" t="str">
        <x:f>'Research &amp; Analysis'!E470</x:f>
        <x:v>RA.RS.1.1</x:v>
      </x:c>
      <x:c r="G1198" s="14" t="str">
        <x:f>'Research &amp; Analysis'!F470</x:f>
        <x:v>Begin Research process 2 weeks prior to Cycle start</x:v>
      </x:c>
      <x:c r="H1198" s="2" t="str">
        <x:f>IF('Research &amp; Analysis'!G470="","",'Research &amp; Analysis'!G470)</x:f>
      </x:c>
      <x:c r="I1198" s="12" t="str">
        <x:f>IF('Research &amp; Analysis'!H470="","",'Research &amp; Analysis'!H470)</x:f>
      </x:c>
      <x:c r="J1198" s="12" t="n">
        <x:f>IF('Research &amp; Analysis'!I470="","",'Research &amp; Analysis'!I470)</x:f>
        <x:v>46190</x:v>
      </x:c>
      <x:c r="K1198" s="12" t="str">
        <x:f>IF('Research &amp; Analysis'!J470="","",'Research &amp; Analysis'!J470)</x:f>
      </x:c>
      <x:c r="L1198" s="2" t="str">
        <x:f>IF('Research &amp; Analysis'!K470="","",'Research &amp; Analysis'!K470)</x:f>
      </x:c>
      <x:c r="M1198" s="2" t="n">
        <x:f>'Research &amp; Analysis'!Q470</x:f>
        <x:v>1</x:v>
      </x:c>
      <x:c r="N1198" s="2" t="str">
        <x:f>'Research &amp; Analysis'!L470</x:f>
        <x:v>Not started</x:v>
      </x:c>
      <x:c r="O1198" s="2" t="str">
        <x:f>'Research &amp; Analysis'!N470</x:f>
        <x:v>RA.RS.1.1.2026.CY3</x:v>
      </x:c>
      <x:c r="P1198" s="2" t="n">
        <x:f>'Research &amp; Analysis'!O470</x:f>
        <x:v>0</x:v>
      </x:c>
      <x:c r="Q1198" s="2" t="n">
        <x:f>SUBTOTAL(103,O1198)</x:f>
        <x:v>1</x:v>
      </x:c>
      <x:c r="R1198" s="2" t="n">
        <x:f>IF(AND(M1198=1,OR(Dashboard!$B$7="All",Dashboard!$B$7='Cycles &amp; Guide'!$C$5),OR(Dashboard!$D$7="All",Dashboard!$D$7=B1198),OR(Dashboard!$F$7="All",Dashboard!$F$7=C1198),OR(Dashboard!$H$7="All",Dashboard!$H$7=D1198),OR(Dashboard!$K$7="All",Dashboard!$K$7=E1198)),1,0)</x:f>
        <x:v>1</x:v>
      </x:c>
      <x:c r="S1198" s="2" t="n">
        <x:f>IF(R1198=1,SUM($R$10:R1198),0)</x:f>
        <x:v>825</x:v>
      </x:c>
      <x:c r="T1198" s="2" t="str">
        <x:v>Research &amp; Analysis</x:v>
      </x:c>
      <x:c r="U1198" s="2" t="n">
        <x:v>470</x:v>
      </x:c>
      <x:c r="V1198" s="2" t="n">
        <x:f>IF(AND(M1198=1,P1198=0,ISNUMBER(J1198),J1198&lt;TODAY()),1,0)</x:f>
        <x:v>1</x:v>
      </x:c>
      <x:c r="W1198" s="2" t="str">
        <x:f>'Research &amp; Analysis'!M470</x:f>
        <x:v>Task</x:v>
      </x:c>
    </x:row>
    <x:row r="1199" ht="40" customHeight="1">
      <x:c r="A1199" s="3" t="str">
        <x:f>HYPERLINK("#'Research &amp; Analysis'!A471","Open")</x:f>
        <x:v>Open</x:v>
      </x:c>
      <x:c r="B1199" s="2" t="str">
        <x:f>'Research &amp; Analysis'!B471</x:f>
        <x:v>Cycle 3</x:v>
      </x:c>
      <x:c r="C1199" s="2" t="str">
        <x:f>'Research &amp; Analysis'!C471</x:f>
        <x:v>Phase 1</x:v>
      </x:c>
      <x:c r="D1199" s="2" t="str">
        <x:f>'Research &amp; Analysis'!D471</x:f>
        <x:v>Retail Services</x:v>
      </x:c>
      <x:c r="E1199" s="2" t="str">
        <x:v>Research &amp; Analysis</x:v>
      </x:c>
      <x:c r="F1199" s="56" t="str">
        <x:f>'Research &amp; Analysis'!E471</x:f>
        <x:v>RA.RS.1.2</x:v>
      </x:c>
      <x:c r="G1199" s="14" t="str">
        <x:f>'Research &amp; Analysis'!F471</x:f>
        <x:v>Conduct initial assessment of each topic recommendation from SharePoint list</x:v>
      </x:c>
      <x:c r="H1199" s="2" t="str">
        <x:f>IF('Research &amp; Analysis'!G471="","",'Research &amp; Analysis'!G471)</x:f>
      </x:c>
      <x:c r="I1199" s="12" t="str">
        <x:f>IF('Research &amp; Analysis'!H471="","",'Research &amp; Analysis'!H471)</x:f>
      </x:c>
      <x:c r="J1199" s="12" t="n">
        <x:f>IF('Research &amp; Analysis'!I471="","",'Research &amp; Analysis'!I471)</x:f>
        <x:v>46295</x:v>
      </x:c>
      <x:c r="K1199" s="12" t="str">
        <x:f>IF('Research &amp; Analysis'!J471="","",'Research &amp; Analysis'!J471)</x:f>
      </x:c>
      <x:c r="L1199" s="2" t="str">
        <x:f>IF('Research &amp; Analysis'!K471="","",'Research &amp; Analysis'!K471)</x:f>
      </x:c>
      <x:c r="M1199" s="2" t="n">
        <x:f>'Research &amp; Analysis'!Q471</x:f>
        <x:v>1</x:v>
      </x:c>
      <x:c r="N1199" s="2" t="str">
        <x:f>'Research &amp; Analysis'!L471</x:f>
        <x:v>Not started</x:v>
      </x:c>
      <x:c r="O1199" s="2" t="str">
        <x:f>'Research &amp; Analysis'!N471</x:f>
        <x:v>RA.RS.1.2.2026.CY3</x:v>
      </x:c>
      <x:c r="P1199" s="2" t="n">
        <x:f>'Research &amp; Analysis'!O471</x:f>
        <x:v>0</x:v>
      </x:c>
      <x:c r="Q1199" s="2" t="n">
        <x:f>SUBTOTAL(103,O1199)</x:f>
        <x:v>1</x:v>
      </x:c>
      <x:c r="R1199" s="2" t="n">
        <x:f>IF(AND(M1199=1,OR(Dashboard!$B$7="All",Dashboard!$B$7='Cycles &amp; Guide'!$C$5),OR(Dashboard!$D$7="All",Dashboard!$D$7=B1199),OR(Dashboard!$F$7="All",Dashboard!$F$7=C1199),OR(Dashboard!$H$7="All",Dashboard!$H$7=D1199),OR(Dashboard!$K$7="All",Dashboard!$K$7=E1199)),1,0)</x:f>
        <x:v>1</x:v>
      </x:c>
      <x:c r="S1199" s="2" t="n">
        <x:f>IF(R1199=1,SUM($R$10:R1199),0)</x:f>
        <x:v>826</x:v>
      </x:c>
      <x:c r="T1199" s="2" t="str">
        <x:v>Research &amp; Analysis</x:v>
      </x:c>
      <x:c r="U1199" s="2" t="n">
        <x:v>471</x:v>
      </x:c>
      <x:c r="V1199" s="2" t="n">
        <x:f>IF(AND(M1199=1,P1199=0,ISNUMBER(J1199),J1199&lt;TODAY()),1,0)</x:f>
        <x:v>0</x:v>
      </x:c>
      <x:c r="W1199" s="2" t="str">
        <x:f>'Research &amp; Analysis'!M471</x:f>
        <x:v>Task</x:v>
      </x:c>
    </x:row>
    <x:row r="1200" ht="40" customHeight="1">
      <x:c r="A1200" s="3" t="str">
        <x:f>HYPERLINK("#'Research &amp; Analysis'!A472","Open")</x:f>
        <x:v>Open</x:v>
      </x:c>
      <x:c r="B1200" s="2" t="str">
        <x:f>'Research &amp; Analysis'!B472</x:f>
        <x:v>Cycle 3</x:v>
      </x:c>
      <x:c r="C1200" s="2" t="str">
        <x:f>'Research &amp; Analysis'!C472</x:f>
        <x:v>Phase 1</x:v>
      </x:c>
      <x:c r="D1200" s="2" t="str">
        <x:f>'Research &amp; Analysis'!D472</x:f>
        <x:v>Retail Services</x:v>
      </x:c>
      <x:c r="E1200" s="2" t="str">
        <x:v>Research &amp; Analysis</x:v>
      </x:c>
      <x:c r="F1200" s="56" t="str">
        <x:f>'Research &amp; Analysis'!E472</x:f>
        <x:v>RA.RS.1.3</x:v>
      </x:c>
      <x:c r="G1200" s="14" t="str">
        <x:f>'Research &amp; Analysis'!F472</x:f>
        <x:v>Identify best topic for Cycle</x:v>
      </x:c>
      <x:c r="H1200" s="2" t="str">
        <x:f>IF('Research &amp; Analysis'!G472="","",'Research &amp; Analysis'!G472)</x:f>
      </x:c>
      <x:c r="I1200" s="12" t="str">
        <x:f>IF('Research &amp; Analysis'!H472="","",'Research &amp; Analysis'!H472)</x:f>
      </x:c>
      <x:c r="J1200" s="12" t="n">
        <x:f>IF('Research &amp; Analysis'!I472="","",'Research &amp; Analysis'!I472)</x:f>
        <x:v>46295</x:v>
      </x:c>
      <x:c r="K1200" s="12" t="str">
        <x:f>IF('Research &amp; Analysis'!J472="","",'Research &amp; Analysis'!J472)</x:f>
      </x:c>
      <x:c r="L1200" s="2" t="str">
        <x:f>IF('Research &amp; Analysis'!K472="","",'Research &amp; Analysis'!K472)</x:f>
      </x:c>
      <x:c r="M1200" s="2" t="n">
        <x:f>'Research &amp; Analysis'!Q472</x:f>
        <x:v>1</x:v>
      </x:c>
      <x:c r="N1200" s="2" t="str">
        <x:f>'Research &amp; Analysis'!L472</x:f>
        <x:v>Not started</x:v>
      </x:c>
      <x:c r="O1200" s="2" t="str">
        <x:f>'Research &amp; Analysis'!N472</x:f>
        <x:v>RA.RS.1.3.2026.CY3</x:v>
      </x:c>
      <x:c r="P1200" s="2" t="n">
        <x:f>'Research &amp; Analysis'!O472</x:f>
        <x:v>0</x:v>
      </x:c>
      <x:c r="Q1200" s="2" t="n">
        <x:f>SUBTOTAL(103,O1200)</x:f>
        <x:v>1</x:v>
      </x:c>
      <x:c r="R1200" s="2" t="n">
        <x:f>IF(AND(M1200=1,OR(Dashboard!$B$7="All",Dashboard!$B$7='Cycles &amp; Guide'!$C$5),OR(Dashboard!$D$7="All",Dashboard!$D$7=B1200),OR(Dashboard!$F$7="All",Dashboard!$F$7=C1200),OR(Dashboard!$H$7="All",Dashboard!$H$7=D1200),OR(Dashboard!$K$7="All",Dashboard!$K$7=E1200)),1,0)</x:f>
        <x:v>1</x:v>
      </x:c>
      <x:c r="S1200" s="2" t="n">
        <x:f>IF(R1200=1,SUM($R$10:R1200),0)</x:f>
        <x:v>827</x:v>
      </x:c>
      <x:c r="T1200" s="2" t="str">
        <x:v>Research &amp; Analysis</x:v>
      </x:c>
      <x:c r="U1200" s="2" t="n">
        <x:v>472</x:v>
      </x:c>
      <x:c r="V1200" s="2" t="n">
        <x:f>IF(AND(M1200=1,P1200=0,ISNUMBER(J1200),J1200&lt;TODAY()),1,0)</x:f>
        <x:v>0</x:v>
      </x:c>
      <x:c r="W1200" s="2" t="str">
        <x:f>'Research &amp; Analysis'!M472</x:f>
        <x:v>Task</x:v>
      </x:c>
    </x:row>
    <x:row r="1201" ht="40" customHeight="1">
      <x:c r="A1201" s="3" t="str">
        <x:f>HYPERLINK("#'Research &amp; Analysis'!A473","Open")</x:f>
        <x:v>Open</x:v>
      </x:c>
      <x:c r="B1201" s="2" t="str">
        <x:f>'Research &amp; Analysis'!B473</x:f>
        <x:v>Cycle 3</x:v>
      </x:c>
      <x:c r="C1201" s="2" t="str">
        <x:f>'Research &amp; Analysis'!C473</x:f>
        <x:v>Phase 1</x:v>
      </x:c>
      <x:c r="D1201" s="2" t="str">
        <x:f>'Research &amp; Analysis'!D473</x:f>
        <x:v>Retail Services</x:v>
      </x:c>
      <x:c r="E1201" s="2" t="str">
        <x:v>Research &amp; Analysis</x:v>
      </x:c>
      <x:c r="F1201" s="56" t="str">
        <x:f>'Research &amp; Analysis'!E473</x:f>
        <x:v>RA.RS.1.4</x:v>
      </x:c>
      <x:c r="G1201" s="14" t="str">
        <x:f>'Research &amp; Analysis'!F473</x:f>
        <x:v>Identify backup topic for Cycle</x:v>
      </x:c>
      <x:c r="H1201" s="2" t="str">
        <x:f>IF('Research &amp; Analysis'!G473="","",'Research &amp; Analysis'!G473)</x:f>
      </x:c>
      <x:c r="I1201" s="12" t="str">
        <x:f>IF('Research &amp; Analysis'!H473="","",'Research &amp; Analysis'!H473)</x:f>
      </x:c>
      <x:c r="J1201" s="12" t="n">
        <x:f>IF('Research &amp; Analysis'!I473="","",'Research &amp; Analysis'!I473)</x:f>
        <x:v>46295</x:v>
      </x:c>
      <x:c r="K1201" s="12" t="str">
        <x:f>IF('Research &amp; Analysis'!J473="","",'Research &amp; Analysis'!J473)</x:f>
      </x:c>
      <x:c r="L1201" s="2" t="str">
        <x:f>IF('Research &amp; Analysis'!K473="","",'Research &amp; Analysis'!K473)</x:f>
      </x:c>
      <x:c r="M1201" s="2" t="n">
        <x:f>'Research &amp; Analysis'!Q473</x:f>
        <x:v>1</x:v>
      </x:c>
      <x:c r="N1201" s="2" t="str">
        <x:f>'Research &amp; Analysis'!L473</x:f>
        <x:v>Not started</x:v>
      </x:c>
      <x:c r="O1201" s="2" t="str">
        <x:f>'Research &amp; Analysis'!N473</x:f>
        <x:v>RA.RS.1.4.2026.CY3</x:v>
      </x:c>
      <x:c r="P1201" s="2" t="n">
        <x:f>'Research &amp; Analysis'!O473</x:f>
        <x:v>0</x:v>
      </x:c>
      <x:c r="Q1201" s="2" t="n">
        <x:f>SUBTOTAL(103,O1201)</x:f>
        <x:v>1</x:v>
      </x:c>
      <x:c r="R1201" s="2" t="n">
        <x:f>IF(AND(M1201=1,OR(Dashboard!$B$7="All",Dashboard!$B$7='Cycles &amp; Guide'!$C$5),OR(Dashboard!$D$7="All",Dashboard!$D$7=B1201),OR(Dashboard!$F$7="All",Dashboard!$F$7=C1201),OR(Dashboard!$H$7="All",Dashboard!$H$7=D1201),OR(Dashboard!$K$7="All",Dashboard!$K$7=E1201)),1,0)</x:f>
        <x:v>1</x:v>
      </x:c>
      <x:c r="S1201" s="2" t="n">
        <x:f>IF(R1201=1,SUM($R$10:R1201),0)</x:f>
        <x:v>828</x:v>
      </x:c>
      <x:c r="T1201" s="2" t="str">
        <x:v>Research &amp; Analysis</x:v>
      </x:c>
      <x:c r="U1201" s="2" t="n">
        <x:v>473</x:v>
      </x:c>
      <x:c r="V1201" s="2" t="n">
        <x:f>IF(AND(M1201=1,P1201=0,ISNUMBER(J1201),J1201&lt;TODAY()),1,0)</x:f>
        <x:v>0</x:v>
      </x:c>
      <x:c r="W1201" s="2" t="str">
        <x:f>'Research &amp; Analysis'!M473</x:f>
        <x:v>Task</x:v>
      </x:c>
    </x:row>
    <x:row r="1202" ht="40" customHeight="1">
      <x:c r="A1202" s="3" t="str">
        <x:f>HYPERLINK("#'Research &amp; Analysis'!A474","Open")</x:f>
        <x:v>Open</x:v>
      </x:c>
      <x:c r="B1202" s="2" t="str">
        <x:f>'Research &amp; Analysis'!B474</x:f>
        <x:v>Cycle 3</x:v>
      </x:c>
      <x:c r="C1202" s="2" t="str">
        <x:f>'Research &amp; Analysis'!C474</x:f>
        <x:v>Phase 1</x:v>
      </x:c>
      <x:c r="D1202" s="2" t="str">
        <x:f>'Research &amp; Analysis'!D474</x:f>
        <x:v>Retail Services</x:v>
      </x:c>
      <x:c r="E1202" s="2" t="str">
        <x:v>Research &amp; Analysis</x:v>
      </x:c>
      <x:c r="F1202" s="56" t="str">
        <x:f>'Research &amp; Analysis'!E474</x:f>
        <x:v>RA.RS.1.5</x:v>
      </x:c>
      <x:c r="G1202" s="14" t="str">
        <x:f>'Research &amp; Analysis'!F474</x:f>
        <x:v>Schedule topic approval meeting with D&amp;I and management</x:v>
      </x:c>
      <x:c r="H1202" s="2" t="str">
        <x:f>IF('Research &amp; Analysis'!G474="","",'Research &amp; Analysis'!G474)</x:f>
      </x:c>
      <x:c r="I1202" s="12" t="str">
        <x:f>IF('Research &amp; Analysis'!H474="","",'Research &amp; Analysis'!H474)</x:f>
      </x:c>
      <x:c r="J1202" s="12" t="n">
        <x:f>IF('Research &amp; Analysis'!I474="","",'Research &amp; Analysis'!I474)</x:f>
        <x:v>46295</x:v>
      </x:c>
      <x:c r="K1202" s="12" t="str">
        <x:f>IF('Research &amp; Analysis'!J474="","",'Research &amp; Analysis'!J474)</x:f>
      </x:c>
      <x:c r="L1202" s="2" t="str">
        <x:f>IF('Research &amp; Analysis'!K474="","",'Research &amp; Analysis'!K474)</x:f>
      </x:c>
      <x:c r="M1202" s="2" t="n">
        <x:f>'Research &amp; Analysis'!Q474</x:f>
        <x:v>1</x:v>
      </x:c>
      <x:c r="N1202" s="2" t="str">
        <x:f>'Research &amp; Analysis'!L474</x:f>
        <x:v>Not started</x:v>
      </x:c>
      <x:c r="O1202" s="2" t="str">
        <x:f>'Research &amp; Analysis'!N474</x:f>
        <x:v>RA.RS.1.5.2026.CY3</x:v>
      </x:c>
      <x:c r="P1202" s="2" t="n">
        <x:f>'Research &amp; Analysis'!O474</x:f>
        <x:v>0</x:v>
      </x:c>
      <x:c r="Q1202" s="2" t="n">
        <x:f>SUBTOTAL(103,O1202)</x:f>
        <x:v>1</x:v>
      </x:c>
      <x:c r="R1202" s="2" t="n">
        <x:f>IF(AND(M1202=1,OR(Dashboard!$B$7="All",Dashboard!$B$7='Cycles &amp; Guide'!$C$5),OR(Dashboard!$D$7="All",Dashboard!$D$7=B1202),OR(Dashboard!$F$7="All",Dashboard!$F$7=C1202),OR(Dashboard!$H$7="All",Dashboard!$H$7=D1202),OR(Dashboard!$K$7="All",Dashboard!$K$7=E1202)),1,0)</x:f>
        <x:v>1</x:v>
      </x:c>
      <x:c r="S1202" s="2" t="n">
        <x:f>IF(R1202=1,SUM($R$10:R1202),0)</x:f>
        <x:v>829</x:v>
      </x:c>
      <x:c r="T1202" s="2" t="str">
        <x:v>Research &amp; Analysis</x:v>
      </x:c>
      <x:c r="U1202" s="2" t="n">
        <x:v>474</x:v>
      </x:c>
      <x:c r="V1202" s="2" t="n">
        <x:f>IF(AND(M1202=1,P1202=0,ISNUMBER(J1202),J1202&lt;TODAY()),1,0)</x:f>
        <x:v>0</x:v>
      </x:c>
      <x:c r="W1202" s="2" t="str">
        <x:f>'Research &amp; Analysis'!M474</x:f>
        <x:v>Task</x:v>
      </x:c>
    </x:row>
    <x:row r="1203" ht="40" customHeight="1">
      <x:c r="A1203" s="3" t="str">
        <x:f>HYPERLINK("#'Research &amp; Analysis'!A475","Open")</x:f>
        <x:v>Open</x:v>
      </x:c>
      <x:c r="B1203" s="2" t="str">
        <x:f>'Research &amp; Analysis'!B475</x:f>
        <x:v>Cycle 3</x:v>
      </x:c>
      <x:c r="C1203" s="2" t="str">
        <x:f>'Research &amp; Analysis'!C475</x:f>
        <x:v>Phase 1</x:v>
      </x:c>
      <x:c r="D1203" s="2" t="str">
        <x:f>'Research &amp; Analysis'!D475</x:f>
        <x:v>Retail Services</x:v>
      </x:c>
      <x:c r="E1203" s="2" t="str">
        <x:v>Research &amp; Analysis</x:v>
      </x:c>
      <x:c r="F1203" s="56" t="str">
        <x:f>'Research &amp; Analysis'!E475</x:f>
        <x:v>RA.RS.1.6</x:v>
      </x:c>
      <x:c r="G1203" s="14" t="str">
        <x:f>'Research &amp; Analysis'!F475</x:f>
        <x:v>Present recommended topic to D&amp;I and management for approval</x:v>
      </x:c>
      <x:c r="H1203" s="2" t="str">
        <x:f>IF('Research &amp; Analysis'!G475="","",'Research &amp; Analysis'!G475)</x:f>
      </x:c>
      <x:c r="I1203" s="12" t="str">
        <x:f>IF('Research &amp; Analysis'!H475="","",'Research &amp; Analysis'!H475)</x:f>
      </x:c>
      <x:c r="J1203" s="12" t="n">
        <x:f>IF('Research &amp; Analysis'!I475="","",'Research &amp; Analysis'!I475)</x:f>
        <x:v>46295</x:v>
      </x:c>
      <x:c r="K1203" s="12" t="str">
        <x:f>IF('Research &amp; Analysis'!J475="","",'Research &amp; Analysis'!J475)</x:f>
      </x:c>
      <x:c r="L1203" s="2" t="str">
        <x:f>IF('Research &amp; Analysis'!K475="","",'Research &amp; Analysis'!K475)</x:f>
      </x:c>
      <x:c r="M1203" s="2" t="n">
        <x:f>'Research &amp; Analysis'!Q475</x:f>
        <x:v>1</x:v>
      </x:c>
      <x:c r="N1203" s="2" t="str">
        <x:f>'Research &amp; Analysis'!L475</x:f>
        <x:v>Not started</x:v>
      </x:c>
      <x:c r="O1203" s="2" t="str">
        <x:f>'Research &amp; Analysis'!N475</x:f>
        <x:v>RA.RS.1.6.2026.CY3</x:v>
      </x:c>
      <x:c r="P1203" s="2" t="n">
        <x:f>'Research &amp; Analysis'!O475</x:f>
        <x:v>0</x:v>
      </x:c>
      <x:c r="Q1203" s="2" t="n">
        <x:f>SUBTOTAL(103,O1203)</x:f>
        <x:v>1</x:v>
      </x:c>
      <x:c r="R1203" s="2" t="n">
        <x:f>IF(AND(M1203=1,OR(Dashboard!$B$7="All",Dashboard!$B$7='Cycles &amp; Guide'!$C$5),OR(Dashboard!$D$7="All",Dashboard!$D$7=B1203),OR(Dashboard!$F$7="All",Dashboard!$F$7=C1203),OR(Dashboard!$H$7="All",Dashboard!$H$7=D1203),OR(Dashboard!$K$7="All",Dashboard!$K$7=E1203)),1,0)</x:f>
        <x:v>1</x:v>
      </x:c>
      <x:c r="S1203" s="2" t="n">
        <x:f>IF(R1203=1,SUM($R$10:R1203),0)</x:f>
        <x:v>830</x:v>
      </x:c>
      <x:c r="T1203" s="2" t="str">
        <x:v>Research &amp; Analysis</x:v>
      </x:c>
      <x:c r="U1203" s="2" t="n">
        <x:v>475</x:v>
      </x:c>
      <x:c r="V1203" s="2" t="n">
        <x:f>IF(AND(M1203=1,P1203=0,ISNUMBER(J1203),J1203&lt;TODAY()),1,0)</x:f>
        <x:v>0</x:v>
      </x:c>
      <x:c r="W1203" s="2" t="str">
        <x:f>'Research &amp; Analysis'!M475</x:f>
        <x:v>Task</x:v>
      </x:c>
    </x:row>
    <x:row r="1204" ht="40" customHeight="1">
      <x:c r="A1204" s="3" t="str">
        <x:f>HYPERLINK("#'Research &amp; Analysis'!A476","Open")</x:f>
        <x:v>Open</x:v>
      </x:c>
      <x:c r="B1204" s="2" t="str">
        <x:f>'Research &amp; Analysis'!B476</x:f>
        <x:v>Cycle 3</x:v>
      </x:c>
      <x:c r="C1204" s="2" t="str">
        <x:f>'Research &amp; Analysis'!C476</x:f>
        <x:v>Phase 1</x:v>
      </x:c>
      <x:c r="D1204" s="2" t="str">
        <x:f>'Research &amp; Analysis'!D476</x:f>
        <x:v>Retail Services</x:v>
      </x:c>
      <x:c r="E1204" s="2" t="str">
        <x:v>Research &amp; Analysis</x:v>
      </x:c>
      <x:c r="F1204" s="56" t="str">
        <x:f>'Research &amp; Analysis'!E476</x:f>
        <x:v>RA.RS.1.7</x:v>
      </x:c>
      <x:c r="G1204" s="14" t="str">
        <x:f>'Research &amp; Analysis'!F476</x:f>
        <x:v>Obtain formal topic selection approval from management via SharePoint</x:v>
      </x:c>
      <x:c r="H1204" s="2" t="str">
        <x:f>IF('Research &amp; Analysis'!G476="","",'Research &amp; Analysis'!G476)</x:f>
      </x:c>
      <x:c r="I1204" s="12" t="str">
        <x:f>IF('Research &amp; Analysis'!H476="","",'Research &amp; Analysis'!H476)</x:f>
      </x:c>
      <x:c r="J1204" s="12" t="n">
        <x:f>IF('Research &amp; Analysis'!I476="","",'Research &amp; Analysis'!I476)</x:f>
        <x:v>46295</x:v>
      </x:c>
      <x:c r="K1204" s="12" t="str">
        <x:f>IF('Research &amp; Analysis'!J476="","",'Research &amp; Analysis'!J476)</x:f>
      </x:c>
      <x:c r="L1204" s="2" t="str">
        <x:f>IF('Research &amp; Analysis'!K476="","",'Research &amp; Analysis'!K476)</x:f>
      </x:c>
      <x:c r="M1204" s="2" t="n">
        <x:f>'Research &amp; Analysis'!Q476</x:f>
        <x:v>1</x:v>
      </x:c>
      <x:c r="N1204" s="2" t="str">
        <x:f>'Research &amp; Analysis'!L476</x:f>
        <x:v>Not started</x:v>
      </x:c>
      <x:c r="O1204" s="2" t="str">
        <x:f>'Research &amp; Analysis'!N476</x:f>
        <x:v>RA.RS.1.7.2026.CY3</x:v>
      </x:c>
      <x:c r="P1204" s="2" t="n">
        <x:f>'Research &amp; Analysis'!O476</x:f>
        <x:v>0</x:v>
      </x:c>
      <x:c r="Q1204" s="2" t="n">
        <x:f>SUBTOTAL(103,O1204)</x:f>
        <x:v>1</x:v>
      </x:c>
      <x:c r="R1204" s="2" t="n">
        <x:f>IF(AND(M1204=1,OR(Dashboard!$B$7="All",Dashboard!$B$7='Cycles &amp; Guide'!$C$5),OR(Dashboard!$D$7="All",Dashboard!$D$7=B1204),OR(Dashboard!$F$7="All",Dashboard!$F$7=C1204),OR(Dashboard!$H$7="All",Dashboard!$H$7=D1204),OR(Dashboard!$K$7="All",Dashboard!$K$7=E1204)),1,0)</x:f>
        <x:v>1</x:v>
      </x:c>
      <x:c r="S1204" s="2" t="n">
        <x:f>IF(R1204=1,SUM($R$10:R1204),0)</x:f>
        <x:v>831</x:v>
      </x:c>
      <x:c r="T1204" s="2" t="str">
        <x:v>Research &amp; Analysis</x:v>
      </x:c>
      <x:c r="U1204" s="2" t="n">
        <x:v>476</x:v>
      </x:c>
      <x:c r="V1204" s="2" t="n">
        <x:f>IF(AND(M1204=1,P1204=0,ISNUMBER(J1204),J1204&lt;TODAY()),1,0)</x:f>
        <x:v>0</x:v>
      </x:c>
      <x:c r="W1204" s="2" t="str">
        <x:f>'Research &amp; Analysis'!M476</x:f>
        <x:v>Task</x:v>
      </x:c>
    </x:row>
    <x:row r="1205" ht="40" customHeight="1">
      <x:c r="A1205" s="3" t="str">
        <x:f>HYPERLINK("#'Research &amp; Analysis'!A477","Open")</x:f>
        <x:v>Open</x:v>
      </x:c>
      <x:c r="B1205" s="2" t="str">
        <x:f>'Research &amp; Analysis'!B477</x:f>
        <x:v>Cycle 3</x:v>
      </x:c>
      <x:c r="C1205" s="2" t="str">
        <x:f>'Research &amp; Analysis'!C477</x:f>
        <x:v>Phase 1</x:v>
      </x:c>
      <x:c r="D1205" s="2" t="str">
        <x:f>'Research &amp; Analysis'!D477</x:f>
        <x:v>Retail Services</x:v>
      </x:c>
      <x:c r="E1205" s="2" t="str">
        <x:v>Research &amp; Analysis</x:v>
      </x:c>
      <x:c r="F1205" s="56" t="str">
        <x:f>'Research &amp; Analysis'!E477</x:f>
        <x:v>RA.RS.1.8</x:v>
      </x:c>
      <x:c r="G1205" s="14" t="str">
        <x:f>'Research &amp; Analysis'!F477</x:f>
        <x:v>Socialize topic selection with product owners and subject matter experts (if known)</x:v>
      </x:c>
      <x:c r="H1205" s="2" t="str">
        <x:f>IF('Research &amp; Analysis'!G477="","",'Research &amp; Analysis'!G477)</x:f>
      </x:c>
      <x:c r="I1205" s="12" t="str">
        <x:f>IF('Research &amp; Analysis'!H477="","",'Research &amp; Analysis'!H477)</x:f>
      </x:c>
      <x:c r="J1205" s="12" t="n">
        <x:f>IF('Research &amp; Analysis'!I477="","",'Research &amp; Analysis'!I477)</x:f>
        <x:v>46295</x:v>
      </x:c>
      <x:c r="K1205" s="12" t="str">
        <x:f>IF('Research &amp; Analysis'!J477="","",'Research &amp; Analysis'!J477)</x:f>
      </x:c>
      <x:c r="L1205" s="2" t="str">
        <x:f>IF('Research &amp; Analysis'!K477="","",'Research &amp; Analysis'!K477)</x:f>
      </x:c>
      <x:c r="M1205" s="2" t="n">
        <x:f>'Research &amp; Analysis'!Q477</x:f>
        <x:v>1</x:v>
      </x:c>
      <x:c r="N1205" s="2" t="str">
        <x:f>'Research &amp; Analysis'!L477</x:f>
        <x:v>Not started</x:v>
      </x:c>
      <x:c r="O1205" s="2" t="str">
        <x:f>'Research &amp; Analysis'!N477</x:f>
        <x:v>RA.RS.1.8.2026.CY3</x:v>
      </x:c>
      <x:c r="P1205" s="2" t="n">
        <x:f>'Research &amp; Analysis'!O477</x:f>
        <x:v>0</x:v>
      </x:c>
      <x:c r="Q1205" s="2" t="n">
        <x:f>SUBTOTAL(103,O1205)</x:f>
        <x:v>1</x:v>
      </x:c>
      <x:c r="R1205" s="2" t="n">
        <x:f>IF(AND(M1205=1,OR(Dashboard!$B$7="All",Dashboard!$B$7='Cycles &amp; Guide'!$C$5),OR(Dashboard!$D$7="All",Dashboard!$D$7=B1205),OR(Dashboard!$F$7="All",Dashboard!$F$7=C1205),OR(Dashboard!$H$7="All",Dashboard!$H$7=D1205),OR(Dashboard!$K$7="All",Dashboard!$K$7=E1205)),1,0)</x:f>
        <x:v>1</x:v>
      </x:c>
      <x:c r="S1205" s="2" t="n">
        <x:f>IF(R1205=1,SUM($R$10:R1205),0)</x:f>
        <x:v>832</x:v>
      </x:c>
      <x:c r="T1205" s="2" t="str">
        <x:v>Research &amp; Analysis</x:v>
      </x:c>
      <x:c r="U1205" s="2" t="n">
        <x:v>477</x:v>
      </x:c>
      <x:c r="V1205" s="2" t="n">
        <x:f>IF(AND(M1205=1,P1205=0,ISNUMBER(J1205),J1205&lt;TODAY()),1,0)</x:f>
        <x:v>0</x:v>
      </x:c>
      <x:c r="W1205" s="2" t="str">
        <x:f>'Research &amp; Analysis'!M477</x:f>
        <x:v>Task</x:v>
      </x:c>
    </x:row>
    <x:row r="1206" ht="40" customHeight="1">
      <x:c r="A1206" s="3" t="str">
        <x:f>HYPERLINK("#'Research &amp; Analysis'!A478","Open")</x:f>
        <x:v>Open</x:v>
      </x:c>
      <x:c r="B1206" s="2" t="str">
        <x:f>'Research &amp; Analysis'!B478</x:f>
        <x:v>Cycle 3</x:v>
      </x:c>
      <x:c r="C1206" s="2" t="str">
        <x:f>'Research &amp; Analysis'!C478</x:f>
        <x:v>Phase 1</x:v>
      </x:c>
      <x:c r="D1206" s="2" t="str">
        <x:f>'Research &amp; Analysis'!D478</x:f>
        <x:v>Retail Services</x:v>
      </x:c>
      <x:c r="E1206" s="2" t="str">
        <x:v>Research &amp; Analysis</x:v>
      </x:c>
      <x:c r="F1206" s="56" t="str">
        <x:f>'Research &amp; Analysis'!E478</x:f>
        <x:v>RA.RS.1.9</x:v>
      </x:c>
      <x:c r="G1206" s="14" t="str">
        <x:f>'Research &amp; Analysis'!F478</x:f>
        <x:v>Assign topic researchers</x:v>
      </x:c>
      <x:c r="H1206" s="2" t="str">
        <x:f>IF('Research &amp; Analysis'!G478="","",'Research &amp; Analysis'!G478)</x:f>
      </x:c>
      <x:c r="I1206" s="12" t="str">
        <x:f>IF('Research &amp; Analysis'!H478="","",'Research &amp; Analysis'!H478)</x:f>
      </x:c>
      <x:c r="J1206" s="12" t="n">
        <x:f>IF('Research &amp; Analysis'!I478="","",'Research &amp; Analysis'!I478)</x:f>
        <x:v>46295</x:v>
      </x:c>
      <x:c r="K1206" s="12" t="str">
        <x:f>IF('Research &amp; Analysis'!J478="","",'Research &amp; Analysis'!J478)</x:f>
      </x:c>
      <x:c r="L1206" s="2" t="str">
        <x:f>IF('Research &amp; Analysis'!K478="","",'Research &amp; Analysis'!K478)</x:f>
      </x:c>
      <x:c r="M1206" s="2" t="n">
        <x:f>'Research &amp; Analysis'!Q478</x:f>
        <x:v>1</x:v>
      </x:c>
      <x:c r="N1206" s="2" t="str">
        <x:f>'Research &amp; Analysis'!L478</x:f>
        <x:v>Not started</x:v>
      </x:c>
      <x:c r="O1206" s="2" t="str">
        <x:f>'Research &amp; Analysis'!N478</x:f>
        <x:v>RA.RS.1.9.2026.CY3</x:v>
      </x:c>
      <x:c r="P1206" s="2" t="n">
        <x:f>'Research &amp; Analysis'!O478</x:f>
        <x:v>0</x:v>
      </x:c>
      <x:c r="Q1206" s="2" t="n">
        <x:f>SUBTOTAL(103,O1206)</x:f>
        <x:v>1</x:v>
      </x:c>
      <x:c r="R1206" s="2" t="n">
        <x:f>IF(AND(M1206=1,OR(Dashboard!$B$7="All",Dashboard!$B$7='Cycles &amp; Guide'!$C$5),OR(Dashboard!$D$7="All",Dashboard!$D$7=B1206),OR(Dashboard!$F$7="All",Dashboard!$F$7=C1206),OR(Dashboard!$H$7="All",Dashboard!$H$7=D1206),OR(Dashboard!$K$7="All",Dashboard!$K$7=E1206)),1,0)</x:f>
        <x:v>1</x:v>
      </x:c>
      <x:c r="S1206" s="2" t="n">
        <x:f>IF(R1206=1,SUM($R$10:R1206),0)</x:f>
        <x:v>833</x:v>
      </x:c>
      <x:c r="T1206" s="2" t="str">
        <x:v>Research &amp; Analysis</x:v>
      </x:c>
      <x:c r="U1206" s="2" t="n">
        <x:v>478</x:v>
      </x:c>
      <x:c r="V1206" s="2" t="n">
        <x:f>IF(AND(M1206=1,P1206=0,ISNUMBER(J1206),J1206&lt;TODAY()),1,0)</x:f>
        <x:v>0</x:v>
      </x:c>
      <x:c r="W1206" s="2" t="str">
        <x:f>'Research &amp; Analysis'!M478</x:f>
        <x:v>Task</x:v>
      </x:c>
    </x:row>
    <x:row r="1207" ht="40" customHeight="1">
      <x:c r="A1207" s="3" t="str">
        <x:f>HYPERLINK("#'Research &amp; Analysis'!A479","Open")</x:f>
        <x:v>Open</x:v>
      </x:c>
      <x:c r="B1207" s="2" t="str">
        <x:f>'Research &amp; Analysis'!B479</x:f>
        <x:v>Cycle 3</x:v>
      </x:c>
      <x:c r="C1207" s="2" t="str">
        <x:f>'Research &amp; Analysis'!C479</x:f>
        <x:v>Phase 2</x:v>
      </x:c>
      <x:c r="D1207" s="2" t="str">
        <x:f>'Research &amp; Analysis'!D479</x:f>
        <x:v>Retail Services</x:v>
      </x:c>
      <x:c r="E1207" s="2" t="str">
        <x:v>Research &amp; Analysis</x:v>
      </x:c>
      <x:c r="F1207" s="56" t="str">
        <x:f>'Research &amp; Analysis'!E479</x:f>
        <x:v>RA.RS.2.1</x:v>
      </x:c>
      <x:c r="G1207" s="14" t="str">
        <x:f>'Research &amp; Analysis'!F479</x:f>
        <x:v>Review data sources</x:v>
      </x:c>
      <x:c r="H1207" s="2" t="str">
        <x:f>IF('Research &amp; Analysis'!G479="","",'Research &amp; Analysis'!G479)</x:f>
      </x:c>
      <x:c r="I1207" s="12" t="str">
        <x:f>IF('Research &amp; Analysis'!H479="","",'Research &amp; Analysis'!H479)</x:f>
      </x:c>
      <x:c r="J1207" s="12" t="n">
        <x:f>IF('Research &amp; Analysis'!I479="","",'Research &amp; Analysis'!I479)</x:f>
        <x:v>46295</x:v>
      </x:c>
      <x:c r="K1207" s="12" t="str">
        <x:f>IF('Research &amp; Analysis'!J479="","",'Research &amp; Analysis'!J479)</x:f>
      </x:c>
      <x:c r="L1207" s="2" t="str">
        <x:f>IF('Research &amp; Analysis'!K479="","",'Research &amp; Analysis'!K479)</x:f>
      </x:c>
      <x:c r="M1207" s="2" t="n">
        <x:f>'Research &amp; Analysis'!Q479</x:f>
        <x:v>1</x:v>
      </x:c>
      <x:c r="N1207" s="2" t="str">
        <x:f>'Research &amp; Analysis'!L479</x:f>
        <x:v>Not started</x:v>
      </x:c>
      <x:c r="O1207" s="2" t="str">
        <x:f>'Research &amp; Analysis'!N479</x:f>
        <x:v>RA.RS.2.1.2026.CY3</x:v>
      </x:c>
      <x:c r="P1207" s="2" t="n">
        <x:f>'Research &amp; Analysis'!O479</x:f>
        <x:v>0</x:v>
      </x:c>
      <x:c r="Q1207" s="2" t="n">
        <x:f>SUBTOTAL(103,O1207)</x:f>
        <x:v>1</x:v>
      </x:c>
      <x:c r="R1207" s="2" t="n">
        <x:f>IF(AND(M1207=1,OR(Dashboard!$B$7="All",Dashboard!$B$7='Cycles &amp; Guide'!$C$5),OR(Dashboard!$D$7="All",Dashboard!$D$7=B1207),OR(Dashboard!$F$7="All",Dashboard!$F$7=C1207),OR(Dashboard!$H$7="All",Dashboard!$H$7=D1207),OR(Dashboard!$K$7="All",Dashboard!$K$7=E1207)),1,0)</x:f>
        <x:v>1</x:v>
      </x:c>
      <x:c r="S1207" s="2" t="n">
        <x:f>IF(R1207=1,SUM($R$10:R1207),0)</x:f>
        <x:v>834</x:v>
      </x:c>
      <x:c r="T1207" s="2" t="str">
        <x:v>Research &amp; Analysis</x:v>
      </x:c>
      <x:c r="U1207" s="2" t="n">
        <x:v>479</x:v>
      </x:c>
      <x:c r="V1207" s="2" t="n">
        <x:f>IF(AND(M1207=1,P1207=0,ISNUMBER(J1207),J1207&lt;TODAY()),1,0)</x:f>
        <x:v>0</x:v>
      </x:c>
      <x:c r="W1207" s="2" t="str">
        <x:f>'Research &amp; Analysis'!M479</x:f>
        <x:v>Task</x:v>
      </x:c>
    </x:row>
    <x:row r="1208" ht="40" customHeight="1">
      <x:c r="A1208" s="3" t="str">
        <x:f>HYPERLINK("#'Research &amp; Analysis'!A480","Open")</x:f>
        <x:v>Open</x:v>
      </x:c>
      <x:c r="B1208" s="2" t="str">
        <x:f>'Research &amp; Analysis'!B480</x:f>
        <x:v>Cycle 3</x:v>
      </x:c>
      <x:c r="C1208" s="2" t="str">
        <x:f>'Research &amp; Analysis'!C480</x:f>
        <x:v>Phase 2</x:v>
      </x:c>
      <x:c r="D1208" s="2" t="str">
        <x:f>'Research &amp; Analysis'!D480</x:f>
        <x:v>Retail Services</x:v>
      </x:c>
      <x:c r="E1208" s="2" t="str">
        <x:v>Research &amp; Analysis</x:v>
      </x:c>
      <x:c r="F1208" s="56" t="str">
        <x:f>'Research &amp; Analysis'!E480</x:f>
        <x:v>RA.RS.2.2</x:v>
      </x:c>
      <x:c r="G1208" s="14" t="str">
        <x:f>'Research &amp; Analysis'!F480</x:f>
        <x:v>Review relevant policies and procedures</x:v>
      </x:c>
      <x:c r="H1208" s="2" t="str">
        <x:f>IF('Research &amp; Analysis'!G480="","",'Research &amp; Analysis'!G480)</x:f>
      </x:c>
      <x:c r="I1208" s="12" t="str">
        <x:f>IF('Research &amp; Analysis'!H480="","",'Research &amp; Analysis'!H480)</x:f>
      </x:c>
      <x:c r="J1208" s="12" t="n">
        <x:f>IF('Research &amp; Analysis'!I480="","",'Research &amp; Analysis'!I480)</x:f>
        <x:v>46295</x:v>
      </x:c>
      <x:c r="K1208" s="12" t="str">
        <x:f>IF('Research &amp; Analysis'!J480="","",'Research &amp; Analysis'!J480)</x:f>
      </x:c>
      <x:c r="L1208" s="2" t="str">
        <x:f>IF('Research &amp; Analysis'!K480="","",'Research &amp; Analysis'!K480)</x:f>
      </x:c>
      <x:c r="M1208" s="2" t="n">
        <x:f>'Research &amp; Analysis'!Q480</x:f>
        <x:v>1</x:v>
      </x:c>
      <x:c r="N1208" s="2" t="str">
        <x:f>'Research &amp; Analysis'!L480</x:f>
        <x:v>Not started</x:v>
      </x:c>
      <x:c r="O1208" s="2" t="str">
        <x:f>'Research &amp; Analysis'!N480</x:f>
        <x:v>RA.RS.2.2.2026.CY3</x:v>
      </x:c>
      <x:c r="P1208" s="2" t="n">
        <x:f>'Research &amp; Analysis'!O480</x:f>
        <x:v>0</x:v>
      </x:c>
      <x:c r="Q1208" s="2" t="n">
        <x:f>SUBTOTAL(103,O1208)</x:f>
        <x:v>1</x:v>
      </x:c>
      <x:c r="R1208" s="2" t="n">
        <x:f>IF(AND(M1208=1,OR(Dashboard!$B$7="All",Dashboard!$B$7='Cycles &amp; Guide'!$C$5),OR(Dashboard!$D$7="All",Dashboard!$D$7=B1208),OR(Dashboard!$F$7="All",Dashboard!$F$7=C1208),OR(Dashboard!$H$7="All",Dashboard!$H$7=D1208),OR(Dashboard!$K$7="All",Dashboard!$K$7=E1208)),1,0)</x:f>
        <x:v>1</x:v>
      </x:c>
      <x:c r="S1208" s="2" t="n">
        <x:f>IF(R1208=1,SUM($R$10:R1208),0)</x:f>
        <x:v>835</x:v>
      </x:c>
      <x:c r="T1208" s="2" t="str">
        <x:v>Research &amp; Analysis</x:v>
      </x:c>
      <x:c r="U1208" s="2" t="n">
        <x:v>480</x:v>
      </x:c>
      <x:c r="V1208" s="2" t="n">
        <x:f>IF(AND(M1208=1,P1208=0,ISNUMBER(J1208),J1208&lt;TODAY()),1,0)</x:f>
        <x:v>0</x:v>
      </x:c>
      <x:c r="W1208" s="2" t="str">
        <x:f>'Research &amp; Analysis'!M480</x:f>
        <x:v>Task</x:v>
      </x:c>
    </x:row>
    <x:row r="1209" ht="40" customHeight="1">
      <x:c r="A1209" s="3" t="str">
        <x:f>HYPERLINK("#'Research &amp; Analysis'!A481","Open")</x:f>
        <x:v>Open</x:v>
      </x:c>
      <x:c r="B1209" s="2" t="str">
        <x:f>'Research &amp; Analysis'!B481</x:f>
        <x:v>Cycle 3</x:v>
      </x:c>
      <x:c r="C1209" s="2" t="str">
        <x:f>'Research &amp; Analysis'!C481</x:f>
        <x:v>Phase 2</x:v>
      </x:c>
      <x:c r="D1209" s="2" t="str">
        <x:f>'Research &amp; Analysis'!D481</x:f>
        <x:v>Retail Services</x:v>
      </x:c>
      <x:c r="E1209" s="2" t="str">
        <x:v>Research &amp; Analysis</x:v>
      </x:c>
      <x:c r="F1209" s="56" t="str">
        <x:f>'Research &amp; Analysis'!E481</x:f>
        <x:v>RA.RS.2.3</x:v>
      </x:c>
      <x:c r="G1209" s="14" t="str">
        <x:f>'Research &amp; Analysis'!F481</x:f>
        <x:v>Meet with SMEs to gain business insight and clarify questions</x:v>
      </x:c>
      <x:c r="H1209" s="2" t="str">
        <x:f>IF('Research &amp; Analysis'!G481="","",'Research &amp; Analysis'!G481)</x:f>
      </x:c>
      <x:c r="I1209" s="12" t="str">
        <x:f>IF('Research &amp; Analysis'!H481="","",'Research &amp; Analysis'!H481)</x:f>
      </x:c>
      <x:c r="J1209" s="12" t="n">
        <x:f>IF('Research &amp; Analysis'!I481="","",'Research &amp; Analysis'!I481)</x:f>
        <x:v>46295</x:v>
      </x:c>
      <x:c r="K1209" s="12" t="str">
        <x:f>IF('Research &amp; Analysis'!J481="","",'Research &amp; Analysis'!J481)</x:f>
      </x:c>
      <x:c r="L1209" s="2" t="str">
        <x:f>IF('Research &amp; Analysis'!K481="","",'Research &amp; Analysis'!K481)</x:f>
      </x:c>
      <x:c r="M1209" s="2" t="n">
        <x:f>'Research &amp; Analysis'!Q481</x:f>
        <x:v>1</x:v>
      </x:c>
      <x:c r="N1209" s="2" t="str">
        <x:f>'Research &amp; Analysis'!L481</x:f>
        <x:v>Not started</x:v>
      </x:c>
      <x:c r="O1209" s="2" t="str">
        <x:f>'Research &amp; Analysis'!N481</x:f>
        <x:v>RA.RS.2.3.2026.CY3</x:v>
      </x:c>
      <x:c r="P1209" s="2" t="n">
        <x:f>'Research &amp; Analysis'!O481</x:f>
        <x:v>0</x:v>
      </x:c>
      <x:c r="Q1209" s="2" t="n">
        <x:f>SUBTOTAL(103,O1209)</x:f>
        <x:v>1</x:v>
      </x:c>
      <x:c r="R1209" s="2" t="n">
        <x:f>IF(AND(M1209=1,OR(Dashboard!$B$7="All",Dashboard!$B$7='Cycles &amp; Guide'!$C$5),OR(Dashboard!$D$7="All",Dashboard!$D$7=B1209),OR(Dashboard!$F$7="All",Dashboard!$F$7=C1209),OR(Dashboard!$H$7="All",Dashboard!$H$7=D1209),OR(Dashboard!$K$7="All",Dashboard!$K$7=E1209)),1,0)</x:f>
        <x:v>1</x:v>
      </x:c>
      <x:c r="S1209" s="2" t="n">
        <x:f>IF(R1209=1,SUM($R$10:R1209),0)</x:f>
        <x:v>836</x:v>
      </x:c>
      <x:c r="T1209" s="2" t="str">
        <x:v>Research &amp; Analysis</x:v>
      </x:c>
      <x:c r="U1209" s="2" t="n">
        <x:v>481</x:v>
      </x:c>
      <x:c r="V1209" s="2" t="n">
        <x:f>IF(AND(M1209=1,P1209=0,ISNUMBER(J1209),J1209&lt;TODAY()),1,0)</x:f>
        <x:v>0</x:v>
      </x:c>
      <x:c r="W1209" s="2" t="str">
        <x:f>'Research &amp; Analysis'!M481</x:f>
        <x:v>Task</x:v>
      </x:c>
    </x:row>
    <x:row r="1210" ht="40" customHeight="1">
      <x:c r="A1210" s="3" t="str">
        <x:f>HYPERLINK("#'Research &amp; Analysis'!A482","Open")</x:f>
        <x:v>Open</x:v>
      </x:c>
      <x:c r="B1210" s="2" t="str">
        <x:f>'Research &amp; Analysis'!B482</x:f>
        <x:v>Cycle 3</x:v>
      </x:c>
      <x:c r="C1210" s="2" t="str">
        <x:f>'Research &amp; Analysis'!C482</x:f>
        <x:v>Phase 2</x:v>
      </x:c>
      <x:c r="D1210" s="2" t="str">
        <x:f>'Research &amp; Analysis'!D482</x:f>
        <x:v>Retail Services</x:v>
      </x:c>
      <x:c r="E1210" s="2" t="str">
        <x:v>Research &amp; Analysis</x:v>
      </x:c>
      <x:c r="F1210" s="56" t="str">
        <x:f>'Research &amp; Analysis'!E482</x:f>
        <x:v>RA.RS.2.4</x:v>
      </x:c>
      <x:c r="G1210" s="14" t="str">
        <x:f>'Research &amp; Analysis'!F482</x:f>
        <x:v>Establish and maintain a recurring meeting with D&amp;I to discuss Cycle progress</x:v>
      </x:c>
      <x:c r="H1210" s="2" t="str">
        <x:f>IF('Research &amp; Analysis'!G482="","",'Research &amp; Analysis'!G482)</x:f>
      </x:c>
      <x:c r="I1210" s="12" t="str">
        <x:f>IF('Research &amp; Analysis'!H482="","",'Research &amp; Analysis'!H482)</x:f>
      </x:c>
      <x:c r="J1210" s="12" t="n">
        <x:f>IF('Research &amp; Analysis'!I482="","",'Research &amp; Analysis'!I482)</x:f>
        <x:v>46295</x:v>
      </x:c>
      <x:c r="K1210" s="12" t="str">
        <x:f>IF('Research &amp; Analysis'!J482="","",'Research &amp; Analysis'!J482)</x:f>
      </x:c>
      <x:c r="L1210" s="2" t="str">
        <x:f>IF('Research &amp; Analysis'!K482="","",'Research &amp; Analysis'!K482)</x:f>
      </x:c>
      <x:c r="M1210" s="2" t="n">
        <x:f>'Research &amp; Analysis'!Q482</x:f>
        <x:v>1</x:v>
      </x:c>
      <x:c r="N1210" s="2" t="str">
        <x:f>'Research &amp; Analysis'!L482</x:f>
        <x:v>Not started</x:v>
      </x:c>
      <x:c r="O1210" s="2" t="str">
        <x:f>'Research &amp; Analysis'!N482</x:f>
        <x:v>RA.RS.2.4.2026.CY3</x:v>
      </x:c>
      <x:c r="P1210" s="2" t="n">
        <x:f>'Research &amp; Analysis'!O482</x:f>
        <x:v>0</x:v>
      </x:c>
      <x:c r="Q1210" s="2" t="n">
        <x:f>SUBTOTAL(103,O1210)</x:f>
        <x:v>1</x:v>
      </x:c>
      <x:c r="R1210" s="2" t="n">
        <x:f>IF(AND(M1210=1,OR(Dashboard!$B$7="All",Dashboard!$B$7='Cycles &amp; Guide'!$C$5),OR(Dashboard!$D$7="All",Dashboard!$D$7=B1210),OR(Dashboard!$F$7="All",Dashboard!$F$7=C1210),OR(Dashboard!$H$7="All",Dashboard!$H$7=D1210),OR(Dashboard!$K$7="All",Dashboard!$K$7=E1210)),1,0)</x:f>
        <x:v>1</x:v>
      </x:c>
      <x:c r="S1210" s="2" t="n">
        <x:f>IF(R1210=1,SUM($R$10:R1210),0)</x:f>
        <x:v>837</x:v>
      </x:c>
      <x:c r="T1210" s="2" t="str">
        <x:v>Research &amp; Analysis</x:v>
      </x:c>
      <x:c r="U1210" s="2" t="n">
        <x:v>482</x:v>
      </x:c>
      <x:c r="V1210" s="2" t="n">
        <x:f>IF(AND(M1210=1,P1210=0,ISNUMBER(J1210),J1210&lt;TODAY()),1,0)</x:f>
        <x:v>0</x:v>
      </x:c>
      <x:c r="W1210" s="2" t="str">
        <x:f>'Research &amp; Analysis'!M482</x:f>
        <x:v>Task</x:v>
      </x:c>
    </x:row>
    <x:row r="1211" ht="40" customHeight="1">
      <x:c r="A1211" s="3" t="str">
        <x:f>HYPERLINK("#'Research &amp; Analysis'!A483","Open")</x:f>
        <x:v>Open</x:v>
      </x:c>
      <x:c r="B1211" s="2" t="str">
        <x:f>'Research &amp; Analysis'!B483</x:f>
        <x:v>Cycle 3</x:v>
      </x:c>
      <x:c r="C1211" s="2" t="str">
        <x:f>'Research &amp; Analysis'!C483</x:f>
        <x:v>Phase 2</x:v>
      </x:c>
      <x:c r="D1211" s="2" t="str">
        <x:f>'Research &amp; Analysis'!D483</x:f>
        <x:v>Retail Services</x:v>
      </x:c>
      <x:c r="E1211" s="2" t="str">
        <x:v>Research &amp; Analysis</x:v>
      </x:c>
      <x:c r="F1211" s="56" t="str">
        <x:f>'Research &amp; Analysis'!E483</x:f>
        <x:v>RA.RS.2.5</x:v>
      </x:c>
      <x:c r="G1211" s="14" t="str">
        <x:f>'Research &amp; Analysis'!F483</x:f>
        <x:v>Perform data testing and sampling</x:v>
      </x:c>
      <x:c r="H1211" s="2" t="str">
        <x:f>IF('Research &amp; Analysis'!G483="","",'Research &amp; Analysis'!G483)</x:f>
      </x:c>
      <x:c r="I1211" s="12" t="str">
        <x:f>IF('Research &amp; Analysis'!H483="","",'Research &amp; Analysis'!H483)</x:f>
      </x:c>
      <x:c r="J1211" s="12" t="n">
        <x:f>IF('Research &amp; Analysis'!I483="","",'Research &amp; Analysis'!I483)</x:f>
        <x:v>46295</x:v>
      </x:c>
      <x:c r="K1211" s="12" t="str">
        <x:f>IF('Research &amp; Analysis'!J483="","",'Research &amp; Analysis'!J483)</x:f>
      </x:c>
      <x:c r="L1211" s="2" t="str">
        <x:f>IF('Research &amp; Analysis'!K483="","",'Research &amp; Analysis'!K483)</x:f>
      </x:c>
      <x:c r="M1211" s="2" t="n">
        <x:f>'Research &amp; Analysis'!Q483</x:f>
        <x:v>1</x:v>
      </x:c>
      <x:c r="N1211" s="2" t="str">
        <x:f>'Research &amp; Analysis'!L483</x:f>
        <x:v>Not started</x:v>
      </x:c>
      <x:c r="O1211" s="2" t="str">
        <x:f>'Research &amp; Analysis'!N483</x:f>
        <x:v>RA.RS.2.5.2026.CY3</x:v>
      </x:c>
      <x:c r="P1211" s="2" t="n">
        <x:f>'Research &amp; Analysis'!O483</x:f>
        <x:v>0</x:v>
      </x:c>
      <x:c r="Q1211" s="2" t="n">
        <x:f>SUBTOTAL(103,O1211)</x:f>
        <x:v>1</x:v>
      </x:c>
      <x:c r="R1211" s="2" t="n">
        <x:f>IF(AND(M1211=1,OR(Dashboard!$B$7="All",Dashboard!$B$7='Cycles &amp; Guide'!$C$5),OR(Dashboard!$D$7="All",Dashboard!$D$7=B1211),OR(Dashboard!$F$7="All",Dashboard!$F$7=C1211),OR(Dashboard!$H$7="All",Dashboard!$H$7=D1211),OR(Dashboard!$K$7="All",Dashboard!$K$7=E1211)),1,0)</x:f>
        <x:v>1</x:v>
      </x:c>
      <x:c r="S1211" s="2" t="n">
        <x:f>IF(R1211=1,SUM($R$10:R1211),0)</x:f>
        <x:v>838</x:v>
      </x:c>
      <x:c r="T1211" s="2" t="str">
        <x:v>Research &amp; Analysis</x:v>
      </x:c>
      <x:c r="U1211" s="2" t="n">
        <x:v>483</x:v>
      </x:c>
      <x:c r="V1211" s="2" t="n">
        <x:f>IF(AND(M1211=1,P1211=0,ISNUMBER(J1211),J1211&lt;TODAY()),1,0)</x:f>
        <x:v>0</x:v>
      </x:c>
      <x:c r="W1211" s="2" t="str">
        <x:f>'Research &amp; Analysis'!M483</x:f>
        <x:v>Task</x:v>
      </x:c>
    </x:row>
    <x:row r="1212" ht="40" customHeight="1">
      <x:c r="A1212" s="3" t="str">
        <x:f>HYPERLINK("#'Research &amp; Analysis'!A484","Open")</x:f>
        <x:v>Open</x:v>
      </x:c>
      <x:c r="B1212" s="2" t="str">
        <x:f>'Research &amp; Analysis'!B484</x:f>
        <x:v>Cycle 3</x:v>
      </x:c>
      <x:c r="C1212" s="2" t="str">
        <x:f>'Research &amp; Analysis'!C484</x:f>
        <x:v>Phase 2</x:v>
      </x:c>
      <x:c r="D1212" s="2" t="str">
        <x:f>'Research &amp; Analysis'!D484</x:f>
        <x:v>Retail Services</x:v>
      </x:c>
      <x:c r="E1212" s="2" t="str">
        <x:v>Research &amp; Analysis</x:v>
      </x:c>
      <x:c r="F1212" s="56" t="str">
        <x:f>'Research &amp; Analysis'!E484</x:f>
        <x:v>RA.RS.2.6</x:v>
      </x:c>
      <x:c r="G1212" s="14" t="str">
        <x:f>'Research &amp; Analysis'!F484</x:f>
        <x:v>Complete Positive Testing</x:v>
      </x:c>
      <x:c r="H1212" s="2" t="str">
        <x:f>IF('Research &amp; Analysis'!G484="","",'Research &amp; Analysis'!G484)</x:f>
      </x:c>
      <x:c r="I1212" s="12" t="str">
        <x:f>IF('Research &amp; Analysis'!H484="","",'Research &amp; Analysis'!H484)</x:f>
      </x:c>
      <x:c r="J1212" s="12" t="n">
        <x:f>IF('Research &amp; Analysis'!I484="","",'Research &amp; Analysis'!I484)</x:f>
        <x:v>46295</x:v>
      </x:c>
      <x:c r="K1212" s="12" t="str">
        <x:f>IF('Research &amp; Analysis'!J484="","",'Research &amp; Analysis'!J484)</x:f>
      </x:c>
      <x:c r="L1212" s="2" t="str">
        <x:f>IF('Research &amp; Analysis'!K484="","",'Research &amp; Analysis'!K484)</x:f>
      </x:c>
      <x:c r="M1212" s="2" t="n">
        <x:f>'Research &amp; Analysis'!Q484</x:f>
        <x:v>1</x:v>
      </x:c>
      <x:c r="N1212" s="2" t="str">
        <x:f>'Research &amp; Analysis'!L484</x:f>
        <x:v>Not started</x:v>
      </x:c>
      <x:c r="O1212" s="2" t="str">
        <x:f>'Research &amp; Analysis'!N484</x:f>
        <x:v>RA.RS.2.6.2026.CY3</x:v>
      </x:c>
      <x:c r="P1212" s="2" t="n">
        <x:f>'Research &amp; Analysis'!O484</x:f>
        <x:v>0</x:v>
      </x:c>
      <x:c r="Q1212" s="2" t="n">
        <x:f>SUBTOTAL(103,O1212)</x:f>
        <x:v>1</x:v>
      </x:c>
      <x:c r="R1212" s="2" t="n">
        <x:f>IF(AND(M1212=1,OR(Dashboard!$B$7="All",Dashboard!$B$7='Cycles &amp; Guide'!$C$5),OR(Dashboard!$D$7="All",Dashboard!$D$7=B1212),OR(Dashboard!$F$7="All",Dashboard!$F$7=C1212),OR(Dashboard!$H$7="All",Dashboard!$H$7=D1212),OR(Dashboard!$K$7="All",Dashboard!$K$7=E1212)),1,0)</x:f>
        <x:v>1</x:v>
      </x:c>
      <x:c r="S1212" s="2" t="n">
        <x:f>IF(R1212=1,SUM($R$10:R1212),0)</x:f>
        <x:v>839</x:v>
      </x:c>
      <x:c r="T1212" s="2" t="str">
        <x:v>Research &amp; Analysis</x:v>
      </x:c>
      <x:c r="U1212" s="2" t="n">
        <x:v>484</x:v>
      </x:c>
      <x:c r="V1212" s="2" t="n">
        <x:f>IF(AND(M1212=1,P1212=0,ISNUMBER(J1212),J1212&lt;TODAY()),1,0)</x:f>
        <x:v>0</x:v>
      </x:c>
      <x:c r="W1212" s="2" t="str">
        <x:f>'Research &amp; Analysis'!M484</x:f>
        <x:v>Task</x:v>
      </x:c>
    </x:row>
    <x:row r="1213" ht="40" customHeight="1">
      <x:c r="A1213" s="3" t="str">
        <x:f>HYPERLINK("#'Research &amp; Analysis'!A485","Open")</x:f>
        <x:v>Open</x:v>
      </x:c>
      <x:c r="B1213" s="2" t="str">
        <x:f>'Research &amp; Analysis'!B485</x:f>
        <x:v>Cycle 3</x:v>
      </x:c>
      <x:c r="C1213" s="2" t="str">
        <x:f>'Research &amp; Analysis'!C485</x:f>
        <x:v>Phase 2</x:v>
      </x:c>
      <x:c r="D1213" s="2" t="str">
        <x:f>'Research &amp; Analysis'!D485</x:f>
        <x:v>Retail Services</x:v>
      </x:c>
      <x:c r="E1213" s="2" t="str">
        <x:v>Research &amp; Analysis</x:v>
      </x:c>
      <x:c r="F1213" s="56" t="str">
        <x:f>'Research &amp; Analysis'!E485</x:f>
        <x:v>RA.RS.2.7</x:v>
      </x:c>
      <x:c r="G1213" s="14" t="str">
        <x:f>'Research &amp; Analysis'!F485</x:f>
        <x:v>Complete Negative Testing</x:v>
      </x:c>
      <x:c r="H1213" s="2" t="str">
        <x:f>IF('Research &amp; Analysis'!G485="","",'Research &amp; Analysis'!G485)</x:f>
      </x:c>
      <x:c r="I1213" s="12" t="str">
        <x:f>IF('Research &amp; Analysis'!H485="","",'Research &amp; Analysis'!H485)</x:f>
      </x:c>
      <x:c r="J1213" s="12" t="n">
        <x:f>IF('Research &amp; Analysis'!I485="","",'Research &amp; Analysis'!I485)</x:f>
        <x:v>46295</x:v>
      </x:c>
      <x:c r="K1213" s="12" t="str">
        <x:f>IF('Research &amp; Analysis'!J485="","",'Research &amp; Analysis'!J485)</x:f>
      </x:c>
      <x:c r="L1213" s="2" t="str">
        <x:f>IF('Research &amp; Analysis'!K485="","",'Research &amp; Analysis'!K485)</x:f>
      </x:c>
      <x:c r="M1213" s="2" t="n">
        <x:f>'Research &amp; Analysis'!Q485</x:f>
        <x:v>1</x:v>
      </x:c>
      <x:c r="N1213" s="2" t="str">
        <x:f>'Research &amp; Analysis'!L485</x:f>
        <x:v>Not started</x:v>
      </x:c>
      <x:c r="O1213" s="2" t="str">
        <x:f>'Research &amp; Analysis'!N485</x:f>
        <x:v>RA.RS.2.7.2026.CY3</x:v>
      </x:c>
      <x:c r="P1213" s="2" t="n">
        <x:f>'Research &amp; Analysis'!O485</x:f>
        <x:v>0</x:v>
      </x:c>
      <x:c r="Q1213" s="2" t="n">
        <x:f>SUBTOTAL(103,O1213)</x:f>
        <x:v>1</x:v>
      </x:c>
      <x:c r="R1213" s="2" t="n">
        <x:f>IF(AND(M1213=1,OR(Dashboard!$B$7="All",Dashboard!$B$7='Cycles &amp; Guide'!$C$5),OR(Dashboard!$D$7="All",Dashboard!$D$7=B1213),OR(Dashboard!$F$7="All",Dashboard!$F$7=C1213),OR(Dashboard!$H$7="All",Dashboard!$H$7=D1213),OR(Dashboard!$K$7="All",Dashboard!$K$7=E1213)),1,0)</x:f>
        <x:v>1</x:v>
      </x:c>
      <x:c r="S1213" s="2" t="n">
        <x:f>IF(R1213=1,SUM($R$10:R1213),0)</x:f>
        <x:v>840</x:v>
      </x:c>
      <x:c r="T1213" s="2" t="str">
        <x:v>Research &amp; Analysis</x:v>
      </x:c>
      <x:c r="U1213" s="2" t="n">
        <x:v>485</x:v>
      </x:c>
      <x:c r="V1213" s="2" t="n">
        <x:f>IF(AND(M1213=1,P1213=0,ISNUMBER(J1213),J1213&lt;TODAY()),1,0)</x:f>
        <x:v>0</x:v>
      </x:c>
      <x:c r="W1213" s="2" t="str">
        <x:f>'Research &amp; Analysis'!M485</x:f>
        <x:v>Task</x:v>
      </x:c>
    </x:row>
    <x:row r="1214" ht="40" customHeight="1">
      <x:c r="A1214" s="3" t="str">
        <x:f>HYPERLINK("#'Research &amp; Analysis'!A486","Open")</x:f>
        <x:v>Open</x:v>
      </x:c>
      <x:c r="B1214" s="2" t="str">
        <x:f>'Research &amp; Analysis'!B486</x:f>
        <x:v>Cycle 3</x:v>
      </x:c>
      <x:c r="C1214" s="2" t="str">
        <x:f>'Research &amp; Analysis'!C486</x:f>
        <x:v>Phase 2</x:v>
      </x:c>
      <x:c r="D1214" s="2" t="str">
        <x:f>'Research &amp; Analysis'!D486</x:f>
        <x:v>Retail Services</x:v>
      </x:c>
      <x:c r="E1214" s="2" t="str">
        <x:v>Research &amp; Analysis</x:v>
      </x:c>
      <x:c r="F1214" s="56" t="str">
        <x:f>'Research &amp; Analysis'!E486</x:f>
        <x:v>RA.RS.2.8</x:v>
      </x:c>
      <x:c r="G1214" s="14" t="str">
        <x:f>'Research &amp; Analysis'!F486</x:f>
        <x:v>Request additional data (as needed)</x:v>
      </x:c>
      <x:c r="H1214" s="2" t="str">
        <x:f>IF('Research &amp; Analysis'!G486="","",'Research &amp; Analysis'!G486)</x:f>
      </x:c>
      <x:c r="I1214" s="12" t="str">
        <x:f>IF('Research &amp; Analysis'!H486="","",'Research &amp; Analysis'!H486)</x:f>
      </x:c>
      <x:c r="J1214" s="12" t="n">
        <x:f>IF('Research &amp; Analysis'!I486="","",'Research &amp; Analysis'!I486)</x:f>
        <x:v>46295</x:v>
      </x:c>
      <x:c r="K1214" s="12" t="str">
        <x:f>IF('Research &amp; Analysis'!J486="","",'Research &amp; Analysis'!J486)</x:f>
      </x:c>
      <x:c r="L1214" s="2" t="str">
        <x:f>IF('Research &amp; Analysis'!K486="","",'Research &amp; Analysis'!K486)</x:f>
      </x:c>
      <x:c r="M1214" s="2" t="n">
        <x:f>'Research &amp; Analysis'!Q486</x:f>
        <x:v>1</x:v>
      </x:c>
      <x:c r="N1214" s="2" t="str">
        <x:f>'Research &amp; Analysis'!L486</x:f>
        <x:v>Not started</x:v>
      </x:c>
      <x:c r="O1214" s="2" t="str">
        <x:f>'Research &amp; Analysis'!N486</x:f>
        <x:v>RA.RS.2.8.2026.CY3</x:v>
      </x:c>
      <x:c r="P1214" s="2" t="n">
        <x:f>'Research &amp; Analysis'!O486</x:f>
        <x:v>0</x:v>
      </x:c>
      <x:c r="Q1214" s="2" t="n">
        <x:f>SUBTOTAL(103,O1214)</x:f>
        <x:v>1</x:v>
      </x:c>
      <x:c r="R1214" s="2" t="n">
        <x:f>IF(AND(M1214=1,OR(Dashboard!$B$7="All",Dashboard!$B$7='Cycles &amp; Guide'!$C$5),OR(Dashboard!$D$7="All",Dashboard!$D$7=B1214),OR(Dashboard!$F$7="All",Dashboard!$F$7=C1214),OR(Dashboard!$H$7="All",Dashboard!$H$7=D1214),OR(Dashboard!$K$7="All",Dashboard!$K$7=E1214)),1,0)</x:f>
        <x:v>1</x:v>
      </x:c>
      <x:c r="S1214" s="2" t="n">
        <x:f>IF(R1214=1,SUM($R$10:R1214),0)</x:f>
        <x:v>841</x:v>
      </x:c>
      <x:c r="T1214" s="2" t="str">
        <x:v>Research &amp; Analysis</x:v>
      </x:c>
      <x:c r="U1214" s="2" t="n">
        <x:v>486</x:v>
      </x:c>
      <x:c r="V1214" s="2" t="n">
        <x:f>IF(AND(M1214=1,P1214=0,ISNUMBER(J1214),J1214&lt;TODAY()),1,0)</x:f>
        <x:v>0</x:v>
      </x:c>
      <x:c r="W1214" s="2" t="str">
        <x:f>'Research &amp; Analysis'!M486</x:f>
        <x:v>Task</x:v>
      </x:c>
    </x:row>
    <x:row r="1215" ht="40" customHeight="1">
      <x:c r="A1215" s="3" t="str">
        <x:f>HYPERLINK("#'Research &amp; Analysis'!A487","Open")</x:f>
        <x:v>Open</x:v>
      </x:c>
      <x:c r="B1215" s="2" t="str">
        <x:f>'Research &amp; Analysis'!B487</x:f>
        <x:v>Cycle 3</x:v>
      </x:c>
      <x:c r="C1215" s="2" t="str">
        <x:f>'Research &amp; Analysis'!C487</x:f>
        <x:v>Phase 2</x:v>
      </x:c>
      <x:c r="D1215" s="2" t="str">
        <x:f>'Research &amp; Analysis'!D487</x:f>
        <x:v>Retail Services</x:v>
      </x:c>
      <x:c r="E1215" s="2" t="str">
        <x:v>Research &amp; Analysis</x:v>
      </x:c>
      <x:c r="F1215" s="56" t="str">
        <x:f>'Research &amp; Analysis'!E487</x:f>
        <x:v>RA.RS.2.9</x:v>
      </x:c>
      <x:c r="G1215" s="14" t="str">
        <x:f>'Research &amp; Analysis'!F487</x:f>
        <x:v>Validate or disprove initial hypothesis assumptions</x:v>
      </x:c>
      <x:c r="H1215" s="2" t="str">
        <x:f>IF('Research &amp; Analysis'!G487="","",'Research &amp; Analysis'!G487)</x:f>
      </x:c>
      <x:c r="I1215" s="12" t="str">
        <x:f>IF('Research &amp; Analysis'!H487="","",'Research &amp; Analysis'!H487)</x:f>
      </x:c>
      <x:c r="J1215" s="12" t="n">
        <x:f>IF('Research &amp; Analysis'!I487="","",'Research &amp; Analysis'!I487)</x:f>
        <x:v>46295</x:v>
      </x:c>
      <x:c r="K1215" s="12" t="str">
        <x:f>IF('Research &amp; Analysis'!J487="","",'Research &amp; Analysis'!J487)</x:f>
      </x:c>
      <x:c r="L1215" s="2" t="str">
        <x:f>IF('Research &amp; Analysis'!K487="","",'Research &amp; Analysis'!K487)</x:f>
      </x:c>
      <x:c r="M1215" s="2" t="n">
        <x:f>'Research &amp; Analysis'!Q487</x:f>
        <x:v>1</x:v>
      </x:c>
      <x:c r="N1215" s="2" t="str">
        <x:f>'Research &amp; Analysis'!L487</x:f>
        <x:v>Not started</x:v>
      </x:c>
      <x:c r="O1215" s="2" t="str">
        <x:f>'Research &amp; Analysis'!N487</x:f>
        <x:v>RA.RS.2.9.2026.CY3</x:v>
      </x:c>
      <x:c r="P1215" s="2" t="n">
        <x:f>'Research &amp; Analysis'!O487</x:f>
        <x:v>0</x:v>
      </x:c>
      <x:c r="Q1215" s="2" t="n">
        <x:f>SUBTOTAL(103,O1215)</x:f>
        <x:v>1</x:v>
      </x:c>
      <x:c r="R1215" s="2" t="n">
        <x:f>IF(AND(M1215=1,OR(Dashboard!$B$7="All",Dashboard!$B$7='Cycles &amp; Guide'!$C$5),OR(Dashboard!$D$7="All",Dashboard!$D$7=B1215),OR(Dashboard!$F$7="All",Dashboard!$F$7=C1215),OR(Dashboard!$H$7="All",Dashboard!$H$7=D1215),OR(Dashboard!$K$7="All",Dashboard!$K$7=E1215)),1,0)</x:f>
        <x:v>1</x:v>
      </x:c>
      <x:c r="S1215" s="2" t="n">
        <x:f>IF(R1215=1,SUM($R$10:R1215),0)</x:f>
        <x:v>842</x:v>
      </x:c>
      <x:c r="T1215" s="2" t="str">
        <x:v>Research &amp; Analysis</x:v>
      </x:c>
      <x:c r="U1215" s="2" t="n">
        <x:v>487</x:v>
      </x:c>
      <x:c r="V1215" s="2" t="n">
        <x:f>IF(AND(M1215=1,P1215=0,ISNUMBER(J1215),J1215&lt;TODAY()),1,0)</x:f>
        <x:v>0</x:v>
      </x:c>
      <x:c r="W1215" s="2" t="str">
        <x:f>'Research &amp; Analysis'!M487</x:f>
        <x:v>Task</x:v>
      </x:c>
    </x:row>
    <x:row r="1216" ht="40" customHeight="1">
      <x:c r="A1216" s="3" t="str">
        <x:f>HYPERLINK("#'Research &amp; Analysis'!A488","Open")</x:f>
        <x:v>Open</x:v>
      </x:c>
      <x:c r="B1216" s="2" t="str">
        <x:f>'Research &amp; Analysis'!B488</x:f>
        <x:v>Cycle 3</x:v>
      </x:c>
      <x:c r="C1216" s="2" t="str">
        <x:f>'Research &amp; Analysis'!C488</x:f>
        <x:v>Phase 2</x:v>
      </x:c>
      <x:c r="D1216" s="2" t="str">
        <x:f>'Research &amp; Analysis'!D488</x:f>
        <x:v>Retail Services</x:v>
      </x:c>
      <x:c r="E1216" s="2" t="str">
        <x:v>Research &amp; Analysis</x:v>
      </x:c>
      <x:c r="F1216" s="56" t="str">
        <x:f>'Research &amp; Analysis'!E488</x:f>
        <x:v>RA.RS.2.10</x:v>
      </x:c>
      <x:c r="G1216" s="14" t="str">
        <x:f>'Research &amp; Analysis'!F488</x:f>
        <x:v>Identify and confirm root cause</x:v>
      </x:c>
      <x:c r="H1216" s="2" t="str">
        <x:f>IF('Research &amp; Analysis'!G488="","",'Research &amp; Analysis'!G488)</x:f>
      </x:c>
      <x:c r="I1216" s="12" t="str">
        <x:f>IF('Research &amp; Analysis'!H488="","",'Research &amp; Analysis'!H488)</x:f>
      </x:c>
      <x:c r="J1216" s="12" t="n">
        <x:f>IF('Research &amp; Analysis'!I488="","",'Research &amp; Analysis'!I488)</x:f>
        <x:v>46295</x:v>
      </x:c>
      <x:c r="K1216" s="12" t="str">
        <x:f>IF('Research &amp; Analysis'!J488="","",'Research &amp; Analysis'!J488)</x:f>
      </x:c>
      <x:c r="L1216" s="2" t="str">
        <x:f>IF('Research &amp; Analysis'!K488="","",'Research &amp; Analysis'!K488)</x:f>
      </x:c>
      <x:c r="M1216" s="2" t="n">
        <x:f>'Research &amp; Analysis'!Q488</x:f>
        <x:v>1</x:v>
      </x:c>
      <x:c r="N1216" s="2" t="str">
        <x:f>'Research &amp; Analysis'!L488</x:f>
        <x:v>Not started</x:v>
      </x:c>
      <x:c r="O1216" s="2" t="str">
        <x:f>'Research &amp; Analysis'!N488</x:f>
        <x:v>RA.RS.2.10.2026.CY3</x:v>
      </x:c>
      <x:c r="P1216" s="2" t="n">
        <x:f>'Research &amp; Analysis'!O488</x:f>
        <x:v>0</x:v>
      </x:c>
      <x:c r="Q1216" s="2" t="n">
        <x:f>SUBTOTAL(103,O1216)</x:f>
        <x:v>1</x:v>
      </x:c>
      <x:c r="R1216" s="2" t="n">
        <x:f>IF(AND(M1216=1,OR(Dashboard!$B$7="All",Dashboard!$B$7='Cycles &amp; Guide'!$C$5),OR(Dashboard!$D$7="All",Dashboard!$D$7=B1216),OR(Dashboard!$F$7="All",Dashboard!$F$7=C1216),OR(Dashboard!$H$7="All",Dashboard!$H$7=D1216),OR(Dashboard!$K$7="All",Dashboard!$K$7=E1216)),1,0)</x:f>
        <x:v>1</x:v>
      </x:c>
      <x:c r="S1216" s="2" t="n">
        <x:f>IF(R1216=1,SUM($R$10:R1216),0)</x:f>
        <x:v>843</x:v>
      </x:c>
      <x:c r="T1216" s="2" t="str">
        <x:v>Research &amp; Analysis</x:v>
      </x:c>
      <x:c r="U1216" s="2" t="n">
        <x:v>488</x:v>
      </x:c>
      <x:c r="V1216" s="2" t="n">
        <x:f>IF(AND(M1216=1,P1216=0,ISNUMBER(J1216),J1216&lt;TODAY()),1,0)</x:f>
        <x:v>0</x:v>
      </x:c>
      <x:c r="W1216" s="2" t="str">
        <x:f>'Research &amp; Analysis'!M488</x:f>
        <x:v>Task</x:v>
      </x:c>
    </x:row>
    <x:row r="1217" ht="40" customHeight="1">
      <x:c r="A1217" s="3" t="str">
        <x:f>HYPERLINK("#'Research &amp; Analysis'!A489","Open")</x:f>
        <x:v>Open</x:v>
      </x:c>
      <x:c r="B1217" s="2" t="str">
        <x:f>'Research &amp; Analysis'!B489</x:f>
        <x:v>Cycle 3</x:v>
      </x:c>
      <x:c r="C1217" s="2" t="str">
        <x:f>'Research &amp; Analysis'!C489</x:f>
        <x:v>Phase 3</x:v>
      </x:c>
      <x:c r="D1217" s="2" t="str">
        <x:f>'Research &amp; Analysis'!D489</x:f>
        <x:v>Retail Services</x:v>
      </x:c>
      <x:c r="E1217" s="2" t="str">
        <x:v>Research &amp; Analysis</x:v>
      </x:c>
      <x:c r="F1217" s="56" t="str">
        <x:f>'Research &amp; Analysis'!E489</x:f>
        <x:v>RA.RS.3.1</x:v>
      </x:c>
      <x:c r="G1217" s="14" t="str">
        <x:f>'Research &amp; Analysis'!F489</x:f>
        <x:v>Finalize results and supporting documentation</x:v>
      </x:c>
      <x:c r="H1217" s="2" t="str">
        <x:f>IF('Research &amp; Analysis'!G489="","",'Research &amp; Analysis'!G489)</x:f>
      </x:c>
      <x:c r="I1217" s="12" t="str">
        <x:f>IF('Research &amp; Analysis'!H489="","",'Research &amp; Analysis'!H489)</x:f>
      </x:c>
      <x:c r="J1217" s="12" t="n">
        <x:f>IF('Research &amp; Analysis'!I489="","",'Research &amp; Analysis'!I489)</x:f>
        <x:v>46295</x:v>
      </x:c>
      <x:c r="K1217" s="12" t="str">
        <x:f>IF('Research &amp; Analysis'!J489="","",'Research &amp; Analysis'!J489)</x:f>
      </x:c>
      <x:c r="L1217" s="2" t="str">
        <x:f>IF('Research &amp; Analysis'!K489="","",'Research &amp; Analysis'!K489)</x:f>
      </x:c>
      <x:c r="M1217" s="2" t="n">
        <x:f>'Research &amp; Analysis'!Q489</x:f>
        <x:v>1</x:v>
      </x:c>
      <x:c r="N1217" s="2" t="str">
        <x:f>'Research &amp; Analysis'!L489</x:f>
        <x:v>Not started</x:v>
      </x:c>
      <x:c r="O1217" s="2" t="str">
        <x:f>'Research &amp; Analysis'!N489</x:f>
        <x:v>RA.RS.3.1.2026.CY3</x:v>
      </x:c>
      <x:c r="P1217" s="2" t="n">
        <x:f>'Research &amp; Analysis'!O489</x:f>
        <x:v>0</x:v>
      </x:c>
      <x:c r="Q1217" s="2" t="n">
        <x:f>SUBTOTAL(103,O1217)</x:f>
        <x:v>1</x:v>
      </x:c>
      <x:c r="R1217" s="2" t="n">
        <x:f>IF(AND(M1217=1,OR(Dashboard!$B$7="All",Dashboard!$B$7='Cycles &amp; Guide'!$C$5),OR(Dashboard!$D$7="All",Dashboard!$D$7=B1217),OR(Dashboard!$F$7="All",Dashboard!$F$7=C1217),OR(Dashboard!$H$7="All",Dashboard!$H$7=D1217),OR(Dashboard!$K$7="All",Dashboard!$K$7=E1217)),1,0)</x:f>
        <x:v>1</x:v>
      </x:c>
      <x:c r="S1217" s="2" t="n">
        <x:f>IF(R1217=1,SUM($R$10:R1217),0)</x:f>
        <x:v>844</x:v>
      </x:c>
      <x:c r="T1217" s="2" t="str">
        <x:v>Research &amp; Analysis</x:v>
      </x:c>
      <x:c r="U1217" s="2" t="n">
        <x:v>489</x:v>
      </x:c>
      <x:c r="V1217" s="2" t="n">
        <x:f>IF(AND(M1217=1,P1217=0,ISNUMBER(J1217),J1217&lt;TODAY()),1,0)</x:f>
        <x:v>0</x:v>
      </x:c>
      <x:c r="W1217" s="2" t="str">
        <x:f>'Research &amp; Analysis'!M489</x:f>
        <x:v>Task</x:v>
      </x:c>
    </x:row>
    <x:row r="1218" ht="40" customHeight="1">
      <x:c r="A1218" s="3" t="str">
        <x:f>HYPERLINK("#'Research &amp; Analysis'!A490","Open")</x:f>
        <x:v>Open</x:v>
      </x:c>
      <x:c r="B1218" s="2" t="str">
        <x:f>'Research &amp; Analysis'!B490</x:f>
        <x:v>Cycle 3</x:v>
      </x:c>
      <x:c r="C1218" s="2" t="str">
        <x:f>'Research &amp; Analysis'!C490</x:f>
        <x:v>Phase 3</x:v>
      </x:c>
      <x:c r="D1218" s="2" t="str">
        <x:f>'Research &amp; Analysis'!D490</x:f>
        <x:v>Retail Services</x:v>
      </x:c>
      <x:c r="E1218" s="2" t="str">
        <x:v>Research &amp; Analysis</x:v>
      </x:c>
      <x:c r="F1218" s="56" t="str">
        <x:f>'Research &amp; Analysis'!E490</x:f>
        <x:v>RA.RS.3.2</x:v>
      </x:c>
      <x:c r="G1218" s="14" t="str">
        <x:f>'Research &amp; Analysis'!F490</x:f>
        <x:v>Maintain and update the evidence package prior to handoff to D&amp;I</x:v>
      </x:c>
      <x:c r="H1218" s="2" t="str">
        <x:f>IF('Research &amp; Analysis'!G490="","",'Research &amp; Analysis'!G490)</x:f>
      </x:c>
      <x:c r="I1218" s="12" t="str">
        <x:f>IF('Research &amp; Analysis'!H490="","",'Research &amp; Analysis'!H490)</x:f>
      </x:c>
      <x:c r="J1218" s="12" t="n">
        <x:f>IF('Research &amp; Analysis'!I490="","",'Research &amp; Analysis'!I490)</x:f>
        <x:v>46295</x:v>
      </x:c>
      <x:c r="K1218" s="12" t="str">
        <x:f>IF('Research &amp; Analysis'!J490="","",'Research &amp; Analysis'!J490)</x:f>
      </x:c>
      <x:c r="L1218" s="2" t="str">
        <x:f>IF('Research &amp; Analysis'!K490="","",'Research &amp; Analysis'!K490)</x:f>
      </x:c>
      <x:c r="M1218" s="2" t="n">
        <x:f>'Research &amp; Analysis'!Q490</x:f>
        <x:v>1</x:v>
      </x:c>
      <x:c r="N1218" s="2" t="str">
        <x:f>'Research &amp; Analysis'!L490</x:f>
        <x:v>Not started</x:v>
      </x:c>
      <x:c r="O1218" s="2" t="str">
        <x:f>'Research &amp; Analysis'!N490</x:f>
        <x:v>RA.RS.3.2.2026.CY3</x:v>
      </x:c>
      <x:c r="P1218" s="2" t="n">
        <x:f>'Research &amp; Analysis'!O490</x:f>
        <x:v>0</x:v>
      </x:c>
      <x:c r="Q1218" s="2" t="n">
        <x:f>SUBTOTAL(103,O1218)</x:f>
        <x:v>1</x:v>
      </x:c>
      <x:c r="R1218" s="2" t="n">
        <x:f>IF(AND(M1218=1,OR(Dashboard!$B$7="All",Dashboard!$B$7='Cycles &amp; Guide'!$C$5),OR(Dashboard!$D$7="All",Dashboard!$D$7=B1218),OR(Dashboard!$F$7="All",Dashboard!$F$7=C1218),OR(Dashboard!$H$7="All",Dashboard!$H$7=D1218),OR(Dashboard!$K$7="All",Dashboard!$K$7=E1218)),1,0)</x:f>
        <x:v>1</x:v>
      </x:c>
      <x:c r="S1218" s="2" t="n">
        <x:f>IF(R1218=1,SUM($R$10:R1218),0)</x:f>
        <x:v>845</x:v>
      </x:c>
      <x:c r="T1218" s="2" t="str">
        <x:v>Research &amp; Analysis</x:v>
      </x:c>
      <x:c r="U1218" s="2" t="n">
        <x:v>490</x:v>
      </x:c>
      <x:c r="V1218" s="2" t="n">
        <x:f>IF(AND(M1218=1,P1218=0,ISNUMBER(J1218),J1218&lt;TODAY()),1,0)</x:f>
        <x:v>0</x:v>
      </x:c>
      <x:c r="W1218" s="2" t="str">
        <x:f>'Research &amp; Analysis'!M490</x:f>
        <x:v>Task</x:v>
      </x:c>
    </x:row>
    <x:row r="1219" ht="40" customHeight="1">
      <x:c r="A1219" s="3" t="str">
        <x:f>HYPERLINK("#'Research &amp; Analysis'!A491","Open")</x:f>
        <x:v>Open</x:v>
      </x:c>
      <x:c r="B1219" s="2" t="str">
        <x:f>'Research &amp; Analysis'!B491</x:f>
        <x:v>Cycle 3</x:v>
      </x:c>
      <x:c r="C1219" s="2" t="str">
        <x:f>'Research &amp; Analysis'!C491</x:f>
        <x:v>Phase 3</x:v>
      </x:c>
      <x:c r="D1219" s="2" t="str">
        <x:f>'Research &amp; Analysis'!D491</x:f>
        <x:v>Retail Services</x:v>
      </x:c>
      <x:c r="E1219" s="2" t="str">
        <x:v>Research &amp; Analysis</x:v>
      </x:c>
      <x:c r="F1219" s="56" t="str">
        <x:f>'Research &amp; Analysis'!E491</x:f>
        <x:v>RA.RS.3.3</x:v>
      </x:c>
      <x:c r="G1219" s="14" t="str">
        <x:f>'Research &amp; Analysis'!F491</x:f>
        <x:v>Address any outstanding questions or requests from D&amp;I</x:v>
      </x:c>
      <x:c r="H1219" s="2" t="str">
        <x:f>IF('Research &amp; Analysis'!G491="","",'Research &amp; Analysis'!G491)</x:f>
      </x:c>
      <x:c r="I1219" s="12" t="str">
        <x:f>IF('Research &amp; Analysis'!H491="","",'Research &amp; Analysis'!H491)</x:f>
      </x:c>
      <x:c r="J1219" s="12" t="n">
        <x:f>IF('Research &amp; Analysis'!I491="","",'Research &amp; Analysis'!I491)</x:f>
        <x:v>46295</x:v>
      </x:c>
      <x:c r="K1219" s="12" t="str">
        <x:f>IF('Research &amp; Analysis'!J491="","",'Research &amp; Analysis'!J491)</x:f>
      </x:c>
      <x:c r="L1219" s="2" t="str">
        <x:f>IF('Research &amp; Analysis'!K491="","",'Research &amp; Analysis'!K491)</x:f>
      </x:c>
      <x:c r="M1219" s="2" t="n">
        <x:f>'Research &amp; Analysis'!Q491</x:f>
        <x:v>1</x:v>
      </x:c>
      <x:c r="N1219" s="2" t="str">
        <x:f>'Research &amp; Analysis'!L491</x:f>
        <x:v>Not started</x:v>
      </x:c>
      <x:c r="O1219" s="2" t="str">
        <x:f>'Research &amp; Analysis'!N491</x:f>
        <x:v>RA.RS.3.3.2026.CY3</x:v>
      </x:c>
      <x:c r="P1219" s="2" t="n">
        <x:f>'Research &amp; Analysis'!O491</x:f>
        <x:v>0</x:v>
      </x:c>
      <x:c r="Q1219" s="2" t="n">
        <x:f>SUBTOTAL(103,O1219)</x:f>
        <x:v>1</x:v>
      </x:c>
      <x:c r="R1219" s="2" t="n">
        <x:f>IF(AND(M1219=1,OR(Dashboard!$B$7="All",Dashboard!$B$7='Cycles &amp; Guide'!$C$5),OR(Dashboard!$D$7="All",Dashboard!$D$7=B1219),OR(Dashboard!$F$7="All",Dashboard!$F$7=C1219),OR(Dashboard!$H$7="All",Dashboard!$H$7=D1219),OR(Dashboard!$K$7="All",Dashboard!$K$7=E1219)),1,0)</x:f>
        <x:v>1</x:v>
      </x:c>
      <x:c r="S1219" s="2" t="n">
        <x:f>IF(R1219=1,SUM($R$10:R1219),0)</x:f>
        <x:v>846</x:v>
      </x:c>
      <x:c r="T1219" s="2" t="str">
        <x:v>Research &amp; Analysis</x:v>
      </x:c>
      <x:c r="U1219" s="2" t="n">
        <x:v>491</x:v>
      </x:c>
      <x:c r="V1219" s="2" t="n">
        <x:f>IF(AND(M1219=1,P1219=0,ISNUMBER(J1219),J1219&lt;TODAY()),1,0)</x:f>
        <x:v>0</x:v>
      </x:c>
      <x:c r="W1219" s="2" t="str">
        <x:f>'Research &amp; Analysis'!M491</x:f>
        <x:v>Task</x:v>
      </x:c>
    </x:row>
    <x:row r="1220" ht="40" customHeight="1">
      <x:c r="A1220" s="3" t="str">
        <x:f>HYPERLINK("#'Research &amp; Analysis'!A492","Open")</x:f>
        <x:v>Open</x:v>
      </x:c>
      <x:c r="B1220" s="2" t="str">
        <x:f>'Research &amp; Analysis'!B492</x:f>
        <x:v>Cycle 3</x:v>
      </x:c>
      <x:c r="C1220" s="2" t="str">
        <x:f>'Research &amp; Analysis'!C492</x:f>
        <x:v>Phase 3</x:v>
      </x:c>
      <x:c r="D1220" s="2" t="str">
        <x:f>'Research &amp; Analysis'!D492</x:f>
        <x:v>Retail Services</x:v>
      </x:c>
      <x:c r="E1220" s="2" t="str">
        <x:v>Research &amp; Analysis</x:v>
      </x:c>
      <x:c r="F1220" s="56" t="str">
        <x:f>'Research &amp; Analysis'!E492</x:f>
        <x:v>RA.RS.3.4</x:v>
      </x:c>
      <x:c r="G1220" s="14" t="str">
        <x:f>'Research &amp; Analysis'!F492</x:f>
        <x:v>Attend Forum meeting with D&amp;I to assist with answering stakeholder questions (as needed)</x:v>
      </x:c>
      <x:c r="H1220" s="2" t="str">
        <x:f>IF('Research &amp; Analysis'!G492="","",'Research &amp; Analysis'!G492)</x:f>
      </x:c>
      <x:c r="I1220" s="12" t="str">
        <x:f>IF('Research &amp; Analysis'!H492="","",'Research &amp; Analysis'!H492)</x:f>
      </x:c>
      <x:c r="J1220" s="12" t="str">
        <x:f>IF('Research &amp; Analysis'!I492="","",'Research &amp; Analysis'!I492)</x:f>
      </x:c>
      <x:c r="K1220" s="12" t="str">
        <x:f>IF('Research &amp; Analysis'!J492="","",'Research &amp; Analysis'!J492)</x:f>
      </x:c>
      <x:c r="L1220" s="2" t="str">
        <x:f>IF('Research &amp; Analysis'!K492="","",'Research &amp; Analysis'!K492)</x:f>
      </x:c>
      <x:c r="M1220" s="2" t="n">
        <x:f>'Research &amp; Analysis'!Q492</x:f>
        <x:v>1</x:v>
      </x:c>
      <x:c r="N1220" s="2" t="str">
        <x:f>'Research &amp; Analysis'!L492</x:f>
        <x:v>Not started</x:v>
      </x:c>
      <x:c r="O1220" s="2" t="str">
        <x:f>'Research &amp; Analysis'!N492</x:f>
        <x:v>RA.RS.3.4.2026.CY3</x:v>
      </x:c>
      <x:c r="P1220" s="2" t="n">
        <x:f>'Research &amp; Analysis'!O492</x:f>
        <x:v>0</x:v>
      </x:c>
      <x:c r="Q1220" s="2" t="n">
        <x:f>SUBTOTAL(103,O1220)</x:f>
        <x:v>1</x:v>
      </x:c>
      <x:c r="R1220" s="2" t="n">
        <x:f>IF(AND(M1220=1,OR(Dashboard!$B$7="All",Dashboard!$B$7='Cycles &amp; Guide'!$C$5),OR(Dashboard!$D$7="All",Dashboard!$D$7=B1220),OR(Dashboard!$F$7="All",Dashboard!$F$7=C1220),OR(Dashboard!$H$7="All",Dashboard!$H$7=D1220),OR(Dashboard!$K$7="All",Dashboard!$K$7=E1220)),1,0)</x:f>
        <x:v>1</x:v>
      </x:c>
      <x:c r="S1220" s="2" t="n">
        <x:f>IF(R1220=1,SUM($R$10:R1220),0)</x:f>
        <x:v>847</x:v>
      </x:c>
      <x:c r="T1220" s="2" t="str">
        <x:v>Research &amp; Analysis</x:v>
      </x:c>
      <x:c r="U1220" s="2" t="n">
        <x:v>492</x:v>
      </x:c>
      <x:c r="V1220" s="2" t="n">
        <x:f>IF(AND(M1220=1,P1220=0,ISNUMBER(J1220),J1220&lt;TODAY()),1,0)</x:f>
        <x:v>0</x:v>
      </x:c>
      <x:c r="W1220" s="2" t="str">
        <x:f>'Research &amp; Analysis'!M492</x:f>
        <x:v>Task</x:v>
      </x:c>
    </x:row>
    <x:row r="1221" ht="40" customHeight="1">
      <x:c r="A1221" s="3" t="str">
        <x:f>HYPERLINK("#'Research &amp; Analysis'!A493","Open")</x:f>
        <x:v>Open</x:v>
      </x:c>
      <x:c r="B1221" s="2" t="str">
        <x:f>'Research &amp; Analysis'!B493</x:f>
        <x:v>Cycle 4</x:v>
      </x:c>
      <x:c r="C1221" s="2" t="str">
        <x:f>'Research &amp; Analysis'!C493</x:f>
        <x:v>Phase 1</x:v>
      </x:c>
      <x:c r="D1221" s="2" t="str">
        <x:f>'Research &amp; Analysis'!D493</x:f>
        <x:v>Auto</x:v>
      </x:c>
      <x:c r="E1221" s="2" t="str">
        <x:v>Research &amp; Analysis</x:v>
      </x:c>
      <x:c r="F1221" s="56" t="str">
        <x:f>'Research &amp; Analysis'!E493</x:f>
        <x:v>RA.AU.1.1</x:v>
      </x:c>
      <x:c r="G1221" s="14" t="str">
        <x:f>'Research &amp; Analysis'!F493</x:f>
        <x:v>Begin Research process 2 weeks prior to Cycle start</x:v>
      </x:c>
      <x:c r="H1221" s="2" t="str">
        <x:f>IF('Research &amp; Analysis'!G493="","",'Research &amp; Analysis'!G493)</x:f>
      </x:c>
      <x:c r="I1221" s="12" t="str">
        <x:f>IF('Research &amp; Analysis'!H493="","",'Research &amp; Analysis'!H493)</x:f>
      </x:c>
      <x:c r="J1221" s="12" t="n">
        <x:f>IF('Research &amp; Analysis'!I493="","",'Research &amp; Analysis'!I493)</x:f>
        <x:v>46282</x:v>
      </x:c>
      <x:c r="K1221" s="12" t="str">
        <x:f>IF('Research &amp; Analysis'!J493="","",'Research &amp; Analysis'!J493)</x:f>
      </x:c>
      <x:c r="L1221" s="2" t="str">
        <x:f>IF('Research &amp; Analysis'!K493="","",'Research &amp; Analysis'!K493)</x:f>
      </x:c>
      <x:c r="M1221" s="2" t="n">
        <x:f>'Research &amp; Analysis'!Q493</x:f>
        <x:v>1</x:v>
      </x:c>
      <x:c r="N1221" s="2" t="str">
        <x:f>'Research &amp; Analysis'!L493</x:f>
        <x:v>Not started</x:v>
      </x:c>
      <x:c r="O1221" s="2" t="str">
        <x:f>'Research &amp; Analysis'!N493</x:f>
        <x:v>RA.AU.1.1.2026.CY4</x:v>
      </x:c>
      <x:c r="P1221" s="2" t="n">
        <x:f>'Research &amp; Analysis'!O493</x:f>
        <x:v>0</x:v>
      </x:c>
      <x:c r="Q1221" s="2" t="n">
        <x:f>SUBTOTAL(103,O1221)</x:f>
        <x:v>1</x:v>
      </x:c>
      <x:c r="R1221" s="2" t="n">
        <x:f>IF(AND(M1221=1,OR(Dashboard!$B$7="All",Dashboard!$B$7='Cycles &amp; Guide'!$C$5),OR(Dashboard!$D$7="All",Dashboard!$D$7=B1221),OR(Dashboard!$F$7="All",Dashboard!$F$7=C1221),OR(Dashboard!$H$7="All",Dashboard!$H$7=D1221),OR(Dashboard!$K$7="All",Dashboard!$K$7=E1221)),1,0)</x:f>
        <x:v>1</x:v>
      </x:c>
      <x:c r="S1221" s="2" t="n">
        <x:f>IF(R1221=1,SUM($R$10:R1221),0)</x:f>
        <x:v>848</x:v>
      </x:c>
      <x:c r="T1221" s="2" t="str">
        <x:v>Research &amp; Analysis</x:v>
      </x:c>
      <x:c r="U1221" s="2" t="n">
        <x:v>493</x:v>
      </x:c>
      <x:c r="V1221" s="2" t="n">
        <x:f>IF(AND(M1221=1,P1221=0,ISNUMBER(J1221),J1221&lt;TODAY()),1,0)</x:f>
        <x:v>1</x:v>
      </x:c>
      <x:c r="W1221" s="2" t="str">
        <x:f>'Research &amp; Analysis'!M493</x:f>
        <x:v>Task</x:v>
      </x:c>
    </x:row>
    <x:row r="1222" ht="40" customHeight="1">
      <x:c r="A1222" s="3" t="str">
        <x:f>HYPERLINK("#'Research &amp; Analysis'!A494","Open")</x:f>
        <x:v>Open</x:v>
      </x:c>
      <x:c r="B1222" s="2" t="str">
        <x:f>'Research &amp; Analysis'!B494</x:f>
        <x:v>Cycle 4</x:v>
      </x:c>
      <x:c r="C1222" s="2" t="str">
        <x:f>'Research &amp; Analysis'!C494</x:f>
        <x:v>Phase 1</x:v>
      </x:c>
      <x:c r="D1222" s="2" t="str">
        <x:f>'Research &amp; Analysis'!D494</x:f>
        <x:v>Auto</x:v>
      </x:c>
      <x:c r="E1222" s="2" t="str">
        <x:v>Research &amp; Analysis</x:v>
      </x:c>
      <x:c r="F1222" s="56" t="str">
        <x:f>'Research &amp; Analysis'!E494</x:f>
        <x:v>RA.AU.1.2</x:v>
      </x:c>
      <x:c r="G1222" s="14" t="str">
        <x:f>'Research &amp; Analysis'!F494</x:f>
        <x:v>Conduct initial assessment of each topic recommendation from SharePoint list</x:v>
      </x:c>
      <x:c r="H1222" s="2" t="str">
        <x:f>IF('Research &amp; Analysis'!G494="","",'Research &amp; Analysis'!G494)</x:f>
      </x:c>
      <x:c r="I1222" s="12" t="str">
        <x:f>IF('Research &amp; Analysis'!H494="","",'Research &amp; Analysis'!H494)</x:f>
      </x:c>
      <x:c r="J1222" s="12" t="n">
        <x:f>IF('Research &amp; Analysis'!I494="","",'Research &amp; Analysis'!I494)</x:f>
        <x:v>46387</x:v>
      </x:c>
      <x:c r="K1222" s="12" t="str">
        <x:f>IF('Research &amp; Analysis'!J494="","",'Research &amp; Analysis'!J494)</x:f>
      </x:c>
      <x:c r="L1222" s="2" t="str">
        <x:f>IF('Research &amp; Analysis'!K494="","",'Research &amp; Analysis'!K494)</x:f>
      </x:c>
      <x:c r="M1222" s="2" t="n">
        <x:f>'Research &amp; Analysis'!Q494</x:f>
        <x:v>1</x:v>
      </x:c>
      <x:c r="N1222" s="2" t="str">
        <x:f>'Research &amp; Analysis'!L494</x:f>
        <x:v>Not started</x:v>
      </x:c>
      <x:c r="O1222" s="2" t="str">
        <x:f>'Research &amp; Analysis'!N494</x:f>
        <x:v>RA.AU.1.2.2026.CY4</x:v>
      </x:c>
      <x:c r="P1222" s="2" t="n">
        <x:f>'Research &amp; Analysis'!O494</x:f>
        <x:v>0</x:v>
      </x:c>
      <x:c r="Q1222" s="2" t="n">
        <x:f>SUBTOTAL(103,O1222)</x:f>
        <x:v>1</x:v>
      </x:c>
      <x:c r="R1222" s="2" t="n">
        <x:f>IF(AND(M1222=1,OR(Dashboard!$B$7="All",Dashboard!$B$7='Cycles &amp; Guide'!$C$5),OR(Dashboard!$D$7="All",Dashboard!$D$7=B1222),OR(Dashboard!$F$7="All",Dashboard!$F$7=C1222),OR(Dashboard!$H$7="All",Dashboard!$H$7=D1222),OR(Dashboard!$K$7="All",Dashboard!$K$7=E1222)),1,0)</x:f>
        <x:v>1</x:v>
      </x:c>
      <x:c r="S1222" s="2" t="n">
        <x:f>IF(R1222=1,SUM($R$10:R1222),0)</x:f>
        <x:v>849</x:v>
      </x:c>
      <x:c r="T1222" s="2" t="str">
        <x:v>Research &amp; Analysis</x:v>
      </x:c>
      <x:c r="U1222" s="2" t="n">
        <x:v>494</x:v>
      </x:c>
      <x:c r="V1222" s="2" t="n">
        <x:f>IF(AND(M1222=1,P1222=0,ISNUMBER(J1222),J1222&lt;TODAY()),1,0)</x:f>
        <x:v>0</x:v>
      </x:c>
      <x:c r="W1222" s="2" t="str">
        <x:f>'Research &amp; Analysis'!M494</x:f>
        <x:v>Task</x:v>
      </x:c>
    </x:row>
    <x:row r="1223" ht="40" customHeight="1">
      <x:c r="A1223" s="3" t="str">
        <x:f>HYPERLINK("#'Research &amp; Analysis'!A495","Open")</x:f>
        <x:v>Open</x:v>
      </x:c>
      <x:c r="B1223" s="2" t="str">
        <x:f>'Research &amp; Analysis'!B495</x:f>
        <x:v>Cycle 4</x:v>
      </x:c>
      <x:c r="C1223" s="2" t="str">
        <x:f>'Research &amp; Analysis'!C495</x:f>
        <x:v>Phase 1</x:v>
      </x:c>
      <x:c r="D1223" s="2" t="str">
        <x:f>'Research &amp; Analysis'!D495</x:f>
        <x:v>Auto</x:v>
      </x:c>
      <x:c r="E1223" s="2" t="str">
        <x:v>Research &amp; Analysis</x:v>
      </x:c>
      <x:c r="F1223" s="56" t="str">
        <x:f>'Research &amp; Analysis'!E495</x:f>
        <x:v>RA.AU.1.3</x:v>
      </x:c>
      <x:c r="G1223" s="14" t="str">
        <x:f>'Research &amp; Analysis'!F495</x:f>
        <x:v>Identify best topic for Cycle</x:v>
      </x:c>
      <x:c r="H1223" s="2" t="str">
        <x:f>IF('Research &amp; Analysis'!G495="","",'Research &amp; Analysis'!G495)</x:f>
      </x:c>
      <x:c r="I1223" s="12" t="str">
        <x:f>IF('Research &amp; Analysis'!H495="","",'Research &amp; Analysis'!H495)</x:f>
      </x:c>
      <x:c r="J1223" s="12" t="n">
        <x:f>IF('Research &amp; Analysis'!I495="","",'Research &amp; Analysis'!I495)</x:f>
        <x:v>46387</x:v>
      </x:c>
      <x:c r="K1223" s="12" t="str">
        <x:f>IF('Research &amp; Analysis'!J495="","",'Research &amp; Analysis'!J495)</x:f>
      </x:c>
      <x:c r="L1223" s="2" t="str">
        <x:f>IF('Research &amp; Analysis'!K495="","",'Research &amp; Analysis'!K495)</x:f>
      </x:c>
      <x:c r="M1223" s="2" t="n">
        <x:f>'Research &amp; Analysis'!Q495</x:f>
        <x:v>1</x:v>
      </x:c>
      <x:c r="N1223" s="2" t="str">
        <x:f>'Research &amp; Analysis'!L495</x:f>
        <x:v>Not started</x:v>
      </x:c>
      <x:c r="O1223" s="2" t="str">
        <x:f>'Research &amp; Analysis'!N495</x:f>
        <x:v>RA.AU.1.3.2026.CY4</x:v>
      </x:c>
      <x:c r="P1223" s="2" t="n">
        <x:f>'Research &amp; Analysis'!O495</x:f>
        <x:v>0</x:v>
      </x:c>
      <x:c r="Q1223" s="2" t="n">
        <x:f>SUBTOTAL(103,O1223)</x:f>
        <x:v>1</x:v>
      </x:c>
      <x:c r="R1223" s="2" t="n">
        <x:f>IF(AND(M1223=1,OR(Dashboard!$B$7="All",Dashboard!$B$7='Cycles &amp; Guide'!$C$5),OR(Dashboard!$D$7="All",Dashboard!$D$7=B1223),OR(Dashboard!$F$7="All",Dashboard!$F$7=C1223),OR(Dashboard!$H$7="All",Dashboard!$H$7=D1223),OR(Dashboard!$K$7="All",Dashboard!$K$7=E1223)),1,0)</x:f>
        <x:v>1</x:v>
      </x:c>
      <x:c r="S1223" s="2" t="n">
        <x:f>IF(R1223=1,SUM($R$10:R1223),0)</x:f>
        <x:v>850</x:v>
      </x:c>
      <x:c r="T1223" s="2" t="str">
        <x:v>Research &amp; Analysis</x:v>
      </x:c>
      <x:c r="U1223" s="2" t="n">
        <x:v>495</x:v>
      </x:c>
      <x:c r="V1223" s="2" t="n">
        <x:f>IF(AND(M1223=1,P1223=0,ISNUMBER(J1223),J1223&lt;TODAY()),1,0)</x:f>
        <x:v>0</x:v>
      </x:c>
      <x:c r="W1223" s="2" t="str">
        <x:f>'Research &amp; Analysis'!M495</x:f>
        <x:v>Task</x:v>
      </x:c>
    </x:row>
    <x:row r="1224" ht="40" customHeight="1">
      <x:c r="A1224" s="3" t="str">
        <x:f>HYPERLINK("#'Research &amp; Analysis'!A496","Open")</x:f>
        <x:v>Open</x:v>
      </x:c>
      <x:c r="B1224" s="2" t="str">
        <x:f>'Research &amp; Analysis'!B496</x:f>
        <x:v>Cycle 4</x:v>
      </x:c>
      <x:c r="C1224" s="2" t="str">
        <x:f>'Research &amp; Analysis'!C496</x:f>
        <x:v>Phase 1</x:v>
      </x:c>
      <x:c r="D1224" s="2" t="str">
        <x:f>'Research &amp; Analysis'!D496</x:f>
        <x:v>Auto</x:v>
      </x:c>
      <x:c r="E1224" s="2" t="str">
        <x:v>Research &amp; Analysis</x:v>
      </x:c>
      <x:c r="F1224" s="56" t="str">
        <x:f>'Research &amp; Analysis'!E496</x:f>
        <x:v>RA.AU.1.4</x:v>
      </x:c>
      <x:c r="G1224" s="14" t="str">
        <x:f>'Research &amp; Analysis'!F496</x:f>
        <x:v>Identify backup topic for Cycle</x:v>
      </x:c>
      <x:c r="H1224" s="2" t="str">
        <x:f>IF('Research &amp; Analysis'!G496="","",'Research &amp; Analysis'!G496)</x:f>
      </x:c>
      <x:c r="I1224" s="12" t="str">
        <x:f>IF('Research &amp; Analysis'!H496="","",'Research &amp; Analysis'!H496)</x:f>
      </x:c>
      <x:c r="J1224" s="12" t="n">
        <x:f>IF('Research &amp; Analysis'!I496="","",'Research &amp; Analysis'!I496)</x:f>
        <x:v>46387</x:v>
      </x:c>
      <x:c r="K1224" s="12" t="str">
        <x:f>IF('Research &amp; Analysis'!J496="","",'Research &amp; Analysis'!J496)</x:f>
      </x:c>
      <x:c r="L1224" s="2" t="str">
        <x:f>IF('Research &amp; Analysis'!K496="","",'Research &amp; Analysis'!K496)</x:f>
      </x:c>
      <x:c r="M1224" s="2" t="n">
        <x:f>'Research &amp; Analysis'!Q496</x:f>
        <x:v>1</x:v>
      </x:c>
      <x:c r="N1224" s="2" t="str">
        <x:f>'Research &amp; Analysis'!L496</x:f>
        <x:v>Not started</x:v>
      </x:c>
      <x:c r="O1224" s="2" t="str">
        <x:f>'Research &amp; Analysis'!N496</x:f>
        <x:v>RA.AU.1.4.2026.CY4</x:v>
      </x:c>
      <x:c r="P1224" s="2" t="n">
        <x:f>'Research &amp; Analysis'!O496</x:f>
        <x:v>0</x:v>
      </x:c>
      <x:c r="Q1224" s="2" t="n">
        <x:f>SUBTOTAL(103,O1224)</x:f>
        <x:v>1</x:v>
      </x:c>
      <x:c r="R1224" s="2" t="n">
        <x:f>IF(AND(M1224=1,OR(Dashboard!$B$7="All",Dashboard!$B$7='Cycles &amp; Guide'!$C$5),OR(Dashboard!$D$7="All",Dashboard!$D$7=B1224),OR(Dashboard!$F$7="All",Dashboard!$F$7=C1224),OR(Dashboard!$H$7="All",Dashboard!$H$7=D1224),OR(Dashboard!$K$7="All",Dashboard!$K$7=E1224)),1,0)</x:f>
        <x:v>1</x:v>
      </x:c>
      <x:c r="S1224" s="2" t="n">
        <x:f>IF(R1224=1,SUM($R$10:R1224),0)</x:f>
        <x:v>851</x:v>
      </x:c>
      <x:c r="T1224" s="2" t="str">
        <x:v>Research &amp; Analysis</x:v>
      </x:c>
      <x:c r="U1224" s="2" t="n">
        <x:v>496</x:v>
      </x:c>
      <x:c r="V1224" s="2" t="n">
        <x:f>IF(AND(M1224=1,P1224=0,ISNUMBER(J1224),J1224&lt;TODAY()),1,0)</x:f>
        <x:v>0</x:v>
      </x:c>
      <x:c r="W1224" s="2" t="str">
        <x:f>'Research &amp; Analysis'!M496</x:f>
        <x:v>Task</x:v>
      </x:c>
    </x:row>
    <x:row r="1225" ht="40" customHeight="1">
      <x:c r="A1225" s="3" t="str">
        <x:f>HYPERLINK("#'Research &amp; Analysis'!A497","Open")</x:f>
        <x:v>Open</x:v>
      </x:c>
      <x:c r="B1225" s="2" t="str">
        <x:f>'Research &amp; Analysis'!B497</x:f>
        <x:v>Cycle 4</x:v>
      </x:c>
      <x:c r="C1225" s="2" t="str">
        <x:f>'Research &amp; Analysis'!C497</x:f>
        <x:v>Phase 1</x:v>
      </x:c>
      <x:c r="D1225" s="2" t="str">
        <x:f>'Research &amp; Analysis'!D497</x:f>
        <x:v>Auto</x:v>
      </x:c>
      <x:c r="E1225" s="2" t="str">
        <x:v>Research &amp; Analysis</x:v>
      </x:c>
      <x:c r="F1225" s="56" t="str">
        <x:f>'Research &amp; Analysis'!E497</x:f>
        <x:v>RA.AU.1.5</x:v>
      </x:c>
      <x:c r="G1225" s="14" t="str">
        <x:f>'Research &amp; Analysis'!F497</x:f>
        <x:v>Schedule topic approval meeting with D&amp;I and management</x:v>
      </x:c>
      <x:c r="H1225" s="2" t="str">
        <x:f>IF('Research &amp; Analysis'!G497="","",'Research &amp; Analysis'!G497)</x:f>
      </x:c>
      <x:c r="I1225" s="12" t="str">
        <x:f>IF('Research &amp; Analysis'!H497="","",'Research &amp; Analysis'!H497)</x:f>
      </x:c>
      <x:c r="J1225" s="12" t="n">
        <x:f>IF('Research &amp; Analysis'!I497="","",'Research &amp; Analysis'!I497)</x:f>
        <x:v>46387</x:v>
      </x:c>
      <x:c r="K1225" s="12" t="str">
        <x:f>IF('Research &amp; Analysis'!J497="","",'Research &amp; Analysis'!J497)</x:f>
      </x:c>
      <x:c r="L1225" s="2" t="str">
        <x:f>IF('Research &amp; Analysis'!K497="","",'Research &amp; Analysis'!K497)</x:f>
      </x:c>
      <x:c r="M1225" s="2" t="n">
        <x:f>'Research &amp; Analysis'!Q497</x:f>
        <x:v>1</x:v>
      </x:c>
      <x:c r="N1225" s="2" t="str">
        <x:f>'Research &amp; Analysis'!L497</x:f>
        <x:v>Not started</x:v>
      </x:c>
      <x:c r="O1225" s="2" t="str">
        <x:f>'Research &amp; Analysis'!N497</x:f>
        <x:v>RA.AU.1.5.2026.CY4</x:v>
      </x:c>
      <x:c r="P1225" s="2" t="n">
        <x:f>'Research &amp; Analysis'!O497</x:f>
        <x:v>0</x:v>
      </x:c>
      <x:c r="Q1225" s="2" t="n">
        <x:f>SUBTOTAL(103,O1225)</x:f>
        <x:v>1</x:v>
      </x:c>
      <x:c r="R1225" s="2" t="n">
        <x:f>IF(AND(M1225=1,OR(Dashboard!$B$7="All",Dashboard!$B$7='Cycles &amp; Guide'!$C$5),OR(Dashboard!$D$7="All",Dashboard!$D$7=B1225),OR(Dashboard!$F$7="All",Dashboard!$F$7=C1225),OR(Dashboard!$H$7="All",Dashboard!$H$7=D1225),OR(Dashboard!$K$7="All",Dashboard!$K$7=E1225)),1,0)</x:f>
        <x:v>1</x:v>
      </x:c>
      <x:c r="S1225" s="2" t="n">
        <x:f>IF(R1225=1,SUM($R$10:R1225),0)</x:f>
        <x:v>852</x:v>
      </x:c>
      <x:c r="T1225" s="2" t="str">
        <x:v>Research &amp; Analysis</x:v>
      </x:c>
      <x:c r="U1225" s="2" t="n">
        <x:v>497</x:v>
      </x:c>
      <x:c r="V1225" s="2" t="n">
        <x:f>IF(AND(M1225=1,P1225=0,ISNUMBER(J1225),J1225&lt;TODAY()),1,0)</x:f>
        <x:v>0</x:v>
      </x:c>
      <x:c r="W1225" s="2" t="str">
        <x:f>'Research &amp; Analysis'!M497</x:f>
        <x:v>Task</x:v>
      </x:c>
    </x:row>
    <x:row r="1226" ht="40" customHeight="1">
      <x:c r="A1226" s="3" t="str">
        <x:f>HYPERLINK("#'Research &amp; Analysis'!A498","Open")</x:f>
        <x:v>Open</x:v>
      </x:c>
      <x:c r="B1226" s="2" t="str">
        <x:f>'Research &amp; Analysis'!B498</x:f>
        <x:v>Cycle 4</x:v>
      </x:c>
      <x:c r="C1226" s="2" t="str">
        <x:f>'Research &amp; Analysis'!C498</x:f>
        <x:v>Phase 1</x:v>
      </x:c>
      <x:c r="D1226" s="2" t="str">
        <x:f>'Research &amp; Analysis'!D498</x:f>
        <x:v>Auto</x:v>
      </x:c>
      <x:c r="E1226" s="2" t="str">
        <x:v>Research &amp; Analysis</x:v>
      </x:c>
      <x:c r="F1226" s="56" t="str">
        <x:f>'Research &amp; Analysis'!E498</x:f>
        <x:v>RA.AU.1.6</x:v>
      </x:c>
      <x:c r="G1226" s="14" t="str">
        <x:f>'Research &amp; Analysis'!F498</x:f>
        <x:v>Present recommended topic to D&amp;I and management for approval</x:v>
      </x:c>
      <x:c r="H1226" s="2" t="str">
        <x:f>IF('Research &amp; Analysis'!G498="","",'Research &amp; Analysis'!G498)</x:f>
      </x:c>
      <x:c r="I1226" s="12" t="str">
        <x:f>IF('Research &amp; Analysis'!H498="","",'Research &amp; Analysis'!H498)</x:f>
      </x:c>
      <x:c r="J1226" s="12" t="n">
        <x:f>IF('Research &amp; Analysis'!I498="","",'Research &amp; Analysis'!I498)</x:f>
        <x:v>46387</x:v>
      </x:c>
      <x:c r="K1226" s="12" t="str">
        <x:f>IF('Research &amp; Analysis'!J498="","",'Research &amp; Analysis'!J498)</x:f>
      </x:c>
      <x:c r="L1226" s="2" t="str">
        <x:f>IF('Research &amp; Analysis'!K498="","",'Research &amp; Analysis'!K498)</x:f>
      </x:c>
      <x:c r="M1226" s="2" t="n">
        <x:f>'Research &amp; Analysis'!Q498</x:f>
        <x:v>1</x:v>
      </x:c>
      <x:c r="N1226" s="2" t="str">
        <x:f>'Research &amp; Analysis'!L498</x:f>
        <x:v>Not started</x:v>
      </x:c>
      <x:c r="O1226" s="2" t="str">
        <x:f>'Research &amp; Analysis'!N498</x:f>
        <x:v>RA.AU.1.6.2026.CY4</x:v>
      </x:c>
      <x:c r="P1226" s="2" t="n">
        <x:f>'Research &amp; Analysis'!O498</x:f>
        <x:v>0</x:v>
      </x:c>
      <x:c r="Q1226" s="2" t="n">
        <x:f>SUBTOTAL(103,O1226)</x:f>
        <x:v>1</x:v>
      </x:c>
      <x:c r="R1226" s="2" t="n">
        <x:f>IF(AND(M1226=1,OR(Dashboard!$B$7="All",Dashboard!$B$7='Cycles &amp; Guide'!$C$5),OR(Dashboard!$D$7="All",Dashboard!$D$7=B1226),OR(Dashboard!$F$7="All",Dashboard!$F$7=C1226),OR(Dashboard!$H$7="All",Dashboard!$H$7=D1226),OR(Dashboard!$K$7="All",Dashboard!$K$7=E1226)),1,0)</x:f>
        <x:v>1</x:v>
      </x:c>
      <x:c r="S1226" s="2" t="n">
        <x:f>IF(R1226=1,SUM($R$10:R1226),0)</x:f>
        <x:v>853</x:v>
      </x:c>
      <x:c r="T1226" s="2" t="str">
        <x:v>Research &amp; Analysis</x:v>
      </x:c>
      <x:c r="U1226" s="2" t="n">
        <x:v>498</x:v>
      </x:c>
      <x:c r="V1226" s="2" t="n">
        <x:f>IF(AND(M1226=1,P1226=0,ISNUMBER(J1226),J1226&lt;TODAY()),1,0)</x:f>
        <x:v>0</x:v>
      </x:c>
      <x:c r="W1226" s="2" t="str">
        <x:f>'Research &amp; Analysis'!M498</x:f>
        <x:v>Task</x:v>
      </x:c>
    </x:row>
    <x:row r="1227" ht="40" customHeight="1">
      <x:c r="A1227" s="3" t="str">
        <x:f>HYPERLINK("#'Research &amp; Analysis'!A499","Open")</x:f>
        <x:v>Open</x:v>
      </x:c>
      <x:c r="B1227" s="2" t="str">
        <x:f>'Research &amp; Analysis'!B499</x:f>
        <x:v>Cycle 4</x:v>
      </x:c>
      <x:c r="C1227" s="2" t="str">
        <x:f>'Research &amp; Analysis'!C499</x:f>
        <x:v>Phase 1</x:v>
      </x:c>
      <x:c r="D1227" s="2" t="str">
        <x:f>'Research &amp; Analysis'!D499</x:f>
        <x:v>Auto</x:v>
      </x:c>
      <x:c r="E1227" s="2" t="str">
        <x:v>Research &amp; Analysis</x:v>
      </x:c>
      <x:c r="F1227" s="56" t="str">
        <x:f>'Research &amp; Analysis'!E499</x:f>
        <x:v>RA.AU.1.7</x:v>
      </x:c>
      <x:c r="G1227" s="14" t="str">
        <x:f>'Research &amp; Analysis'!F499</x:f>
        <x:v>Obtain formal topic selection approval from management via SharePoint</x:v>
      </x:c>
      <x:c r="H1227" s="2" t="str">
        <x:f>IF('Research &amp; Analysis'!G499="","",'Research &amp; Analysis'!G499)</x:f>
      </x:c>
      <x:c r="I1227" s="12" t="str">
        <x:f>IF('Research &amp; Analysis'!H499="","",'Research &amp; Analysis'!H499)</x:f>
      </x:c>
      <x:c r="J1227" s="12" t="n">
        <x:f>IF('Research &amp; Analysis'!I499="","",'Research &amp; Analysis'!I499)</x:f>
        <x:v>46387</x:v>
      </x:c>
      <x:c r="K1227" s="12" t="str">
        <x:f>IF('Research &amp; Analysis'!J499="","",'Research &amp; Analysis'!J499)</x:f>
      </x:c>
      <x:c r="L1227" s="2" t="str">
        <x:f>IF('Research &amp; Analysis'!K499="","",'Research &amp; Analysis'!K499)</x:f>
      </x:c>
      <x:c r="M1227" s="2" t="n">
        <x:f>'Research &amp; Analysis'!Q499</x:f>
        <x:v>1</x:v>
      </x:c>
      <x:c r="N1227" s="2" t="str">
        <x:f>'Research &amp; Analysis'!L499</x:f>
        <x:v>Not started</x:v>
      </x:c>
      <x:c r="O1227" s="2" t="str">
        <x:f>'Research &amp; Analysis'!N499</x:f>
        <x:v>RA.AU.1.7.2026.CY4</x:v>
      </x:c>
      <x:c r="P1227" s="2" t="n">
        <x:f>'Research &amp; Analysis'!O499</x:f>
        <x:v>0</x:v>
      </x:c>
      <x:c r="Q1227" s="2" t="n">
        <x:f>SUBTOTAL(103,O1227)</x:f>
        <x:v>1</x:v>
      </x:c>
      <x:c r="R1227" s="2" t="n">
        <x:f>IF(AND(M1227=1,OR(Dashboard!$B$7="All",Dashboard!$B$7='Cycles &amp; Guide'!$C$5),OR(Dashboard!$D$7="All",Dashboard!$D$7=B1227),OR(Dashboard!$F$7="All",Dashboard!$F$7=C1227),OR(Dashboard!$H$7="All",Dashboard!$H$7=D1227),OR(Dashboard!$K$7="All",Dashboard!$K$7=E1227)),1,0)</x:f>
        <x:v>1</x:v>
      </x:c>
      <x:c r="S1227" s="2" t="n">
        <x:f>IF(R1227=1,SUM($R$10:R1227),0)</x:f>
        <x:v>854</x:v>
      </x:c>
      <x:c r="T1227" s="2" t="str">
        <x:v>Research &amp; Analysis</x:v>
      </x:c>
      <x:c r="U1227" s="2" t="n">
        <x:v>499</x:v>
      </x:c>
      <x:c r="V1227" s="2" t="n">
        <x:f>IF(AND(M1227=1,P1227=0,ISNUMBER(J1227),J1227&lt;TODAY()),1,0)</x:f>
        <x:v>0</x:v>
      </x:c>
      <x:c r="W1227" s="2" t="str">
        <x:f>'Research &amp; Analysis'!M499</x:f>
        <x:v>Task</x:v>
      </x:c>
    </x:row>
    <x:row r="1228" ht="40" customHeight="1">
      <x:c r="A1228" s="3" t="str">
        <x:f>HYPERLINK("#'Research &amp; Analysis'!A500","Open")</x:f>
        <x:v>Open</x:v>
      </x:c>
      <x:c r="B1228" s="2" t="str">
        <x:f>'Research &amp; Analysis'!B500</x:f>
        <x:v>Cycle 4</x:v>
      </x:c>
      <x:c r="C1228" s="2" t="str">
        <x:f>'Research &amp; Analysis'!C500</x:f>
        <x:v>Phase 1</x:v>
      </x:c>
      <x:c r="D1228" s="2" t="str">
        <x:f>'Research &amp; Analysis'!D500</x:f>
        <x:v>Auto</x:v>
      </x:c>
      <x:c r="E1228" s="2" t="str">
        <x:v>Research &amp; Analysis</x:v>
      </x:c>
      <x:c r="F1228" s="56" t="str">
        <x:f>'Research &amp; Analysis'!E500</x:f>
        <x:v>RA.AU.1.8</x:v>
      </x:c>
      <x:c r="G1228" s="14" t="str">
        <x:f>'Research &amp; Analysis'!F500</x:f>
        <x:v>Socialize topic selection with product owners and subject matter experts (if known)</x:v>
      </x:c>
      <x:c r="H1228" s="2" t="str">
        <x:f>IF('Research &amp; Analysis'!G500="","",'Research &amp; Analysis'!G500)</x:f>
      </x:c>
      <x:c r="I1228" s="12" t="str">
        <x:f>IF('Research &amp; Analysis'!H500="","",'Research &amp; Analysis'!H500)</x:f>
      </x:c>
      <x:c r="J1228" s="12" t="n">
        <x:f>IF('Research &amp; Analysis'!I500="","",'Research &amp; Analysis'!I500)</x:f>
        <x:v>46387</x:v>
      </x:c>
      <x:c r="K1228" s="12" t="str">
        <x:f>IF('Research &amp; Analysis'!J500="","",'Research &amp; Analysis'!J500)</x:f>
      </x:c>
      <x:c r="L1228" s="2" t="str">
        <x:f>IF('Research &amp; Analysis'!K500="","",'Research &amp; Analysis'!K500)</x:f>
      </x:c>
      <x:c r="M1228" s="2" t="n">
        <x:f>'Research &amp; Analysis'!Q500</x:f>
        <x:v>1</x:v>
      </x:c>
      <x:c r="N1228" s="2" t="str">
        <x:f>'Research &amp; Analysis'!L500</x:f>
        <x:v>Not started</x:v>
      </x:c>
      <x:c r="O1228" s="2" t="str">
        <x:f>'Research &amp; Analysis'!N500</x:f>
        <x:v>RA.AU.1.8.2026.CY4</x:v>
      </x:c>
      <x:c r="P1228" s="2" t="n">
        <x:f>'Research &amp; Analysis'!O500</x:f>
        <x:v>0</x:v>
      </x:c>
      <x:c r="Q1228" s="2" t="n">
        <x:f>SUBTOTAL(103,O1228)</x:f>
        <x:v>1</x:v>
      </x:c>
      <x:c r="R1228" s="2" t="n">
        <x:f>IF(AND(M1228=1,OR(Dashboard!$B$7="All",Dashboard!$B$7='Cycles &amp; Guide'!$C$5),OR(Dashboard!$D$7="All",Dashboard!$D$7=B1228),OR(Dashboard!$F$7="All",Dashboard!$F$7=C1228),OR(Dashboard!$H$7="All",Dashboard!$H$7=D1228),OR(Dashboard!$K$7="All",Dashboard!$K$7=E1228)),1,0)</x:f>
        <x:v>1</x:v>
      </x:c>
      <x:c r="S1228" s="2" t="n">
        <x:f>IF(R1228=1,SUM($R$10:R1228),0)</x:f>
        <x:v>855</x:v>
      </x:c>
      <x:c r="T1228" s="2" t="str">
        <x:v>Research &amp; Analysis</x:v>
      </x:c>
      <x:c r="U1228" s="2" t="n">
        <x:v>500</x:v>
      </x:c>
      <x:c r="V1228" s="2" t="n">
        <x:f>IF(AND(M1228=1,P1228=0,ISNUMBER(J1228),J1228&lt;TODAY()),1,0)</x:f>
        <x:v>0</x:v>
      </x:c>
      <x:c r="W1228" s="2" t="str">
        <x:f>'Research &amp; Analysis'!M500</x:f>
        <x:v>Task</x:v>
      </x:c>
    </x:row>
    <x:row r="1229" ht="40" customHeight="1">
      <x:c r="A1229" s="3" t="str">
        <x:f>HYPERLINK("#'Research &amp; Analysis'!A501","Open")</x:f>
        <x:v>Open</x:v>
      </x:c>
      <x:c r="B1229" s="2" t="str">
        <x:f>'Research &amp; Analysis'!B501</x:f>
        <x:v>Cycle 4</x:v>
      </x:c>
      <x:c r="C1229" s="2" t="str">
        <x:f>'Research &amp; Analysis'!C501</x:f>
        <x:v>Phase 1</x:v>
      </x:c>
      <x:c r="D1229" s="2" t="str">
        <x:f>'Research &amp; Analysis'!D501</x:f>
        <x:v>Auto</x:v>
      </x:c>
      <x:c r="E1229" s="2" t="str">
        <x:v>Research &amp; Analysis</x:v>
      </x:c>
      <x:c r="F1229" s="56" t="str">
        <x:f>'Research &amp; Analysis'!E501</x:f>
        <x:v>RA.AU.1.9</x:v>
      </x:c>
      <x:c r="G1229" s="14" t="str">
        <x:f>'Research &amp; Analysis'!F501</x:f>
        <x:v>Assign topic researchers</x:v>
      </x:c>
      <x:c r="H1229" s="2" t="str">
        <x:f>IF('Research &amp; Analysis'!G501="","",'Research &amp; Analysis'!G501)</x:f>
      </x:c>
      <x:c r="I1229" s="12" t="str">
        <x:f>IF('Research &amp; Analysis'!H501="","",'Research &amp; Analysis'!H501)</x:f>
      </x:c>
      <x:c r="J1229" s="12" t="n">
        <x:f>IF('Research &amp; Analysis'!I501="","",'Research &amp; Analysis'!I501)</x:f>
        <x:v>46387</x:v>
      </x:c>
      <x:c r="K1229" s="12" t="str">
        <x:f>IF('Research &amp; Analysis'!J501="","",'Research &amp; Analysis'!J501)</x:f>
      </x:c>
      <x:c r="L1229" s="2" t="str">
        <x:f>IF('Research &amp; Analysis'!K501="","",'Research &amp; Analysis'!K501)</x:f>
      </x:c>
      <x:c r="M1229" s="2" t="n">
        <x:f>'Research &amp; Analysis'!Q501</x:f>
        <x:v>1</x:v>
      </x:c>
      <x:c r="N1229" s="2" t="str">
        <x:f>'Research &amp; Analysis'!L501</x:f>
        <x:v>Not started</x:v>
      </x:c>
      <x:c r="O1229" s="2" t="str">
        <x:f>'Research &amp; Analysis'!N501</x:f>
        <x:v>RA.AU.1.9.2026.CY4</x:v>
      </x:c>
      <x:c r="P1229" s="2" t="n">
        <x:f>'Research &amp; Analysis'!O501</x:f>
        <x:v>0</x:v>
      </x:c>
      <x:c r="Q1229" s="2" t="n">
        <x:f>SUBTOTAL(103,O1229)</x:f>
        <x:v>1</x:v>
      </x:c>
      <x:c r="R1229" s="2" t="n">
        <x:f>IF(AND(M1229=1,OR(Dashboard!$B$7="All",Dashboard!$B$7='Cycles &amp; Guide'!$C$5),OR(Dashboard!$D$7="All",Dashboard!$D$7=B1229),OR(Dashboard!$F$7="All",Dashboard!$F$7=C1229),OR(Dashboard!$H$7="All",Dashboard!$H$7=D1229),OR(Dashboard!$K$7="All",Dashboard!$K$7=E1229)),1,0)</x:f>
        <x:v>1</x:v>
      </x:c>
      <x:c r="S1229" s="2" t="n">
        <x:f>IF(R1229=1,SUM($R$10:R1229),0)</x:f>
        <x:v>856</x:v>
      </x:c>
      <x:c r="T1229" s="2" t="str">
        <x:v>Research &amp; Analysis</x:v>
      </x:c>
      <x:c r="U1229" s="2" t="n">
        <x:v>501</x:v>
      </x:c>
      <x:c r="V1229" s="2" t="n">
        <x:f>IF(AND(M1229=1,P1229=0,ISNUMBER(J1229),J1229&lt;TODAY()),1,0)</x:f>
        <x:v>0</x:v>
      </x:c>
      <x:c r="W1229" s="2" t="str">
        <x:f>'Research &amp; Analysis'!M501</x:f>
        <x:v>Task</x:v>
      </x:c>
    </x:row>
    <x:row r="1230" ht="40" customHeight="1">
      <x:c r="A1230" s="3" t="str">
        <x:f>HYPERLINK("#'Research &amp; Analysis'!A502","Open")</x:f>
        <x:v>Open</x:v>
      </x:c>
      <x:c r="B1230" s="2" t="str">
        <x:f>'Research &amp; Analysis'!B502</x:f>
        <x:v>Cycle 4</x:v>
      </x:c>
      <x:c r="C1230" s="2" t="str">
        <x:f>'Research &amp; Analysis'!C502</x:f>
        <x:v>Phase 2</x:v>
      </x:c>
      <x:c r="D1230" s="2" t="str">
        <x:f>'Research &amp; Analysis'!D502</x:f>
        <x:v>Auto</x:v>
      </x:c>
      <x:c r="E1230" s="2" t="str">
        <x:v>Research &amp; Analysis</x:v>
      </x:c>
      <x:c r="F1230" s="56" t="str">
        <x:f>'Research &amp; Analysis'!E502</x:f>
        <x:v>RA.AU.2.1</x:v>
      </x:c>
      <x:c r="G1230" s="14" t="str">
        <x:f>'Research &amp; Analysis'!F502</x:f>
        <x:v>Review data sources</x:v>
      </x:c>
      <x:c r="H1230" s="2" t="str">
        <x:f>IF('Research &amp; Analysis'!G502="","",'Research &amp; Analysis'!G502)</x:f>
      </x:c>
      <x:c r="I1230" s="12" t="str">
        <x:f>IF('Research &amp; Analysis'!H502="","",'Research &amp; Analysis'!H502)</x:f>
      </x:c>
      <x:c r="J1230" s="12" t="n">
        <x:f>IF('Research &amp; Analysis'!I502="","",'Research &amp; Analysis'!I502)</x:f>
        <x:v>46387</x:v>
      </x:c>
      <x:c r="K1230" s="12" t="str">
        <x:f>IF('Research &amp; Analysis'!J502="","",'Research &amp; Analysis'!J502)</x:f>
      </x:c>
      <x:c r="L1230" s="2" t="str">
        <x:f>IF('Research &amp; Analysis'!K502="","",'Research &amp; Analysis'!K502)</x:f>
      </x:c>
      <x:c r="M1230" s="2" t="n">
        <x:f>'Research &amp; Analysis'!Q502</x:f>
        <x:v>1</x:v>
      </x:c>
      <x:c r="N1230" s="2" t="str">
        <x:f>'Research &amp; Analysis'!L502</x:f>
        <x:v>Not started</x:v>
      </x:c>
      <x:c r="O1230" s="2" t="str">
        <x:f>'Research &amp; Analysis'!N502</x:f>
        <x:v>RA.AU.2.1.2026.CY4</x:v>
      </x:c>
      <x:c r="P1230" s="2" t="n">
        <x:f>'Research &amp; Analysis'!O502</x:f>
        <x:v>0</x:v>
      </x:c>
      <x:c r="Q1230" s="2" t="n">
        <x:f>SUBTOTAL(103,O1230)</x:f>
        <x:v>1</x:v>
      </x:c>
      <x:c r="R1230" s="2" t="n">
        <x:f>IF(AND(M1230=1,OR(Dashboard!$B$7="All",Dashboard!$B$7='Cycles &amp; Guide'!$C$5),OR(Dashboard!$D$7="All",Dashboard!$D$7=B1230),OR(Dashboard!$F$7="All",Dashboard!$F$7=C1230),OR(Dashboard!$H$7="All",Dashboard!$H$7=D1230),OR(Dashboard!$K$7="All",Dashboard!$K$7=E1230)),1,0)</x:f>
        <x:v>1</x:v>
      </x:c>
      <x:c r="S1230" s="2" t="n">
        <x:f>IF(R1230=1,SUM($R$10:R1230),0)</x:f>
        <x:v>857</x:v>
      </x:c>
      <x:c r="T1230" s="2" t="str">
        <x:v>Research &amp; Analysis</x:v>
      </x:c>
      <x:c r="U1230" s="2" t="n">
        <x:v>502</x:v>
      </x:c>
      <x:c r="V1230" s="2" t="n">
        <x:f>IF(AND(M1230=1,P1230=0,ISNUMBER(J1230),J1230&lt;TODAY()),1,0)</x:f>
        <x:v>0</x:v>
      </x:c>
      <x:c r="W1230" s="2" t="str">
        <x:f>'Research &amp; Analysis'!M502</x:f>
        <x:v>Task</x:v>
      </x:c>
    </x:row>
    <x:row r="1231" ht="40" customHeight="1">
      <x:c r="A1231" s="3" t="str">
        <x:f>HYPERLINK("#'Research &amp; Analysis'!A503","Open")</x:f>
        <x:v>Open</x:v>
      </x:c>
      <x:c r="B1231" s="2" t="str">
        <x:f>'Research &amp; Analysis'!B503</x:f>
        <x:v>Cycle 4</x:v>
      </x:c>
      <x:c r="C1231" s="2" t="str">
        <x:f>'Research &amp; Analysis'!C503</x:f>
        <x:v>Phase 2</x:v>
      </x:c>
      <x:c r="D1231" s="2" t="str">
        <x:f>'Research &amp; Analysis'!D503</x:f>
        <x:v>Auto</x:v>
      </x:c>
      <x:c r="E1231" s="2" t="str">
        <x:v>Research &amp; Analysis</x:v>
      </x:c>
      <x:c r="F1231" s="56" t="str">
        <x:f>'Research &amp; Analysis'!E503</x:f>
        <x:v>RA.AU.2.2</x:v>
      </x:c>
      <x:c r="G1231" s="14" t="str">
        <x:f>'Research &amp; Analysis'!F503</x:f>
        <x:v>Review relevant policies and procedures</x:v>
      </x:c>
      <x:c r="H1231" s="2" t="str">
        <x:f>IF('Research &amp; Analysis'!G503="","",'Research &amp; Analysis'!G503)</x:f>
      </x:c>
      <x:c r="I1231" s="12" t="str">
        <x:f>IF('Research &amp; Analysis'!H503="","",'Research &amp; Analysis'!H503)</x:f>
      </x:c>
      <x:c r="J1231" s="12" t="n">
        <x:f>IF('Research &amp; Analysis'!I503="","",'Research &amp; Analysis'!I503)</x:f>
        <x:v>46387</x:v>
      </x:c>
      <x:c r="K1231" s="12" t="str">
        <x:f>IF('Research &amp; Analysis'!J503="","",'Research &amp; Analysis'!J503)</x:f>
      </x:c>
      <x:c r="L1231" s="2" t="str">
        <x:f>IF('Research &amp; Analysis'!K503="","",'Research &amp; Analysis'!K503)</x:f>
      </x:c>
      <x:c r="M1231" s="2" t="n">
        <x:f>'Research &amp; Analysis'!Q503</x:f>
        <x:v>1</x:v>
      </x:c>
      <x:c r="N1231" s="2" t="str">
        <x:f>'Research &amp; Analysis'!L503</x:f>
        <x:v>Not started</x:v>
      </x:c>
      <x:c r="O1231" s="2" t="str">
        <x:f>'Research &amp; Analysis'!N503</x:f>
        <x:v>RA.AU.2.2.2026.CY4</x:v>
      </x:c>
      <x:c r="P1231" s="2" t="n">
        <x:f>'Research &amp; Analysis'!O503</x:f>
        <x:v>0</x:v>
      </x:c>
      <x:c r="Q1231" s="2" t="n">
        <x:f>SUBTOTAL(103,O1231)</x:f>
        <x:v>1</x:v>
      </x:c>
      <x:c r="R1231" s="2" t="n">
        <x:f>IF(AND(M1231=1,OR(Dashboard!$B$7="All",Dashboard!$B$7='Cycles &amp; Guide'!$C$5),OR(Dashboard!$D$7="All",Dashboard!$D$7=B1231),OR(Dashboard!$F$7="All",Dashboard!$F$7=C1231),OR(Dashboard!$H$7="All",Dashboard!$H$7=D1231),OR(Dashboard!$K$7="All",Dashboard!$K$7=E1231)),1,0)</x:f>
        <x:v>1</x:v>
      </x:c>
      <x:c r="S1231" s="2" t="n">
        <x:f>IF(R1231=1,SUM($R$10:R1231),0)</x:f>
        <x:v>858</x:v>
      </x:c>
      <x:c r="T1231" s="2" t="str">
        <x:v>Research &amp; Analysis</x:v>
      </x:c>
      <x:c r="U1231" s="2" t="n">
        <x:v>503</x:v>
      </x:c>
      <x:c r="V1231" s="2" t="n">
        <x:f>IF(AND(M1231=1,P1231=0,ISNUMBER(J1231),J1231&lt;TODAY()),1,0)</x:f>
        <x:v>0</x:v>
      </x:c>
      <x:c r="W1231" s="2" t="str">
        <x:f>'Research &amp; Analysis'!M503</x:f>
        <x:v>Task</x:v>
      </x:c>
    </x:row>
    <x:row r="1232" ht="40" customHeight="1">
      <x:c r="A1232" s="3" t="str">
        <x:f>HYPERLINK("#'Research &amp; Analysis'!A504","Open")</x:f>
        <x:v>Open</x:v>
      </x:c>
      <x:c r="B1232" s="2" t="str">
        <x:f>'Research &amp; Analysis'!B504</x:f>
        <x:v>Cycle 4</x:v>
      </x:c>
      <x:c r="C1232" s="2" t="str">
        <x:f>'Research &amp; Analysis'!C504</x:f>
        <x:v>Phase 2</x:v>
      </x:c>
      <x:c r="D1232" s="2" t="str">
        <x:f>'Research &amp; Analysis'!D504</x:f>
        <x:v>Auto</x:v>
      </x:c>
      <x:c r="E1232" s="2" t="str">
        <x:v>Research &amp; Analysis</x:v>
      </x:c>
      <x:c r="F1232" s="56" t="str">
        <x:f>'Research &amp; Analysis'!E504</x:f>
        <x:v>RA.AU.2.3</x:v>
      </x:c>
      <x:c r="G1232" s="14" t="str">
        <x:f>'Research &amp; Analysis'!F504</x:f>
        <x:v>Meet with SMEs to gain business insight and clarify questions</x:v>
      </x:c>
      <x:c r="H1232" s="2" t="str">
        <x:f>IF('Research &amp; Analysis'!G504="","",'Research &amp; Analysis'!G504)</x:f>
      </x:c>
      <x:c r="I1232" s="12" t="str">
        <x:f>IF('Research &amp; Analysis'!H504="","",'Research &amp; Analysis'!H504)</x:f>
      </x:c>
      <x:c r="J1232" s="12" t="n">
        <x:f>IF('Research &amp; Analysis'!I504="","",'Research &amp; Analysis'!I504)</x:f>
        <x:v>46387</x:v>
      </x:c>
      <x:c r="K1232" s="12" t="str">
        <x:f>IF('Research &amp; Analysis'!J504="","",'Research &amp; Analysis'!J504)</x:f>
      </x:c>
      <x:c r="L1232" s="2" t="str">
        <x:f>IF('Research &amp; Analysis'!K504="","",'Research &amp; Analysis'!K504)</x:f>
      </x:c>
      <x:c r="M1232" s="2" t="n">
        <x:f>'Research &amp; Analysis'!Q504</x:f>
        <x:v>1</x:v>
      </x:c>
      <x:c r="N1232" s="2" t="str">
        <x:f>'Research &amp; Analysis'!L504</x:f>
        <x:v>Not started</x:v>
      </x:c>
      <x:c r="O1232" s="2" t="str">
        <x:f>'Research &amp; Analysis'!N504</x:f>
        <x:v>RA.AU.2.3.2026.CY4</x:v>
      </x:c>
      <x:c r="P1232" s="2" t="n">
        <x:f>'Research &amp; Analysis'!O504</x:f>
        <x:v>0</x:v>
      </x:c>
      <x:c r="Q1232" s="2" t="n">
        <x:f>SUBTOTAL(103,O1232)</x:f>
        <x:v>1</x:v>
      </x:c>
      <x:c r="R1232" s="2" t="n">
        <x:f>IF(AND(M1232=1,OR(Dashboard!$B$7="All",Dashboard!$B$7='Cycles &amp; Guide'!$C$5),OR(Dashboard!$D$7="All",Dashboard!$D$7=B1232),OR(Dashboard!$F$7="All",Dashboard!$F$7=C1232),OR(Dashboard!$H$7="All",Dashboard!$H$7=D1232),OR(Dashboard!$K$7="All",Dashboard!$K$7=E1232)),1,0)</x:f>
        <x:v>1</x:v>
      </x:c>
      <x:c r="S1232" s="2" t="n">
        <x:f>IF(R1232=1,SUM($R$10:R1232),0)</x:f>
        <x:v>859</x:v>
      </x:c>
      <x:c r="T1232" s="2" t="str">
        <x:v>Research &amp; Analysis</x:v>
      </x:c>
      <x:c r="U1232" s="2" t="n">
        <x:v>504</x:v>
      </x:c>
      <x:c r="V1232" s="2" t="n">
        <x:f>IF(AND(M1232=1,P1232=0,ISNUMBER(J1232),J1232&lt;TODAY()),1,0)</x:f>
        <x:v>0</x:v>
      </x:c>
      <x:c r="W1232" s="2" t="str">
        <x:f>'Research &amp; Analysis'!M504</x:f>
        <x:v>Task</x:v>
      </x:c>
    </x:row>
    <x:row r="1233" ht="40" customHeight="1">
      <x:c r="A1233" s="3" t="str">
        <x:f>HYPERLINK("#'Research &amp; Analysis'!A505","Open")</x:f>
        <x:v>Open</x:v>
      </x:c>
      <x:c r="B1233" s="2" t="str">
        <x:f>'Research &amp; Analysis'!B505</x:f>
        <x:v>Cycle 4</x:v>
      </x:c>
      <x:c r="C1233" s="2" t="str">
        <x:f>'Research &amp; Analysis'!C505</x:f>
        <x:v>Phase 2</x:v>
      </x:c>
      <x:c r="D1233" s="2" t="str">
        <x:f>'Research &amp; Analysis'!D505</x:f>
        <x:v>Auto</x:v>
      </x:c>
      <x:c r="E1233" s="2" t="str">
        <x:v>Research &amp; Analysis</x:v>
      </x:c>
      <x:c r="F1233" s="56" t="str">
        <x:f>'Research &amp; Analysis'!E505</x:f>
        <x:v>RA.AU.2.4</x:v>
      </x:c>
      <x:c r="G1233" s="14" t="str">
        <x:f>'Research &amp; Analysis'!F505</x:f>
        <x:v>Establish and maintain a recurring meeting with D&amp;I to discuss Cycle progress</x:v>
      </x:c>
      <x:c r="H1233" s="2" t="str">
        <x:f>IF('Research &amp; Analysis'!G505="","",'Research &amp; Analysis'!G505)</x:f>
      </x:c>
      <x:c r="I1233" s="12" t="str">
        <x:f>IF('Research &amp; Analysis'!H505="","",'Research &amp; Analysis'!H505)</x:f>
      </x:c>
      <x:c r="J1233" s="12" t="n">
        <x:f>IF('Research &amp; Analysis'!I505="","",'Research &amp; Analysis'!I505)</x:f>
        <x:v>46387</x:v>
      </x:c>
      <x:c r="K1233" s="12" t="str">
        <x:f>IF('Research &amp; Analysis'!J505="","",'Research &amp; Analysis'!J505)</x:f>
      </x:c>
      <x:c r="L1233" s="2" t="str">
        <x:f>IF('Research &amp; Analysis'!K505="","",'Research &amp; Analysis'!K505)</x:f>
      </x:c>
      <x:c r="M1233" s="2" t="n">
        <x:f>'Research &amp; Analysis'!Q505</x:f>
        <x:v>1</x:v>
      </x:c>
      <x:c r="N1233" s="2" t="str">
        <x:f>'Research &amp; Analysis'!L505</x:f>
        <x:v>Not started</x:v>
      </x:c>
      <x:c r="O1233" s="2" t="str">
        <x:f>'Research &amp; Analysis'!N505</x:f>
        <x:v>RA.AU.2.4.2026.CY4</x:v>
      </x:c>
      <x:c r="P1233" s="2" t="n">
        <x:f>'Research &amp; Analysis'!O505</x:f>
        <x:v>0</x:v>
      </x:c>
      <x:c r="Q1233" s="2" t="n">
        <x:f>SUBTOTAL(103,O1233)</x:f>
        <x:v>1</x:v>
      </x:c>
      <x:c r="R1233" s="2" t="n">
        <x:f>IF(AND(M1233=1,OR(Dashboard!$B$7="All",Dashboard!$B$7='Cycles &amp; Guide'!$C$5),OR(Dashboard!$D$7="All",Dashboard!$D$7=B1233),OR(Dashboard!$F$7="All",Dashboard!$F$7=C1233),OR(Dashboard!$H$7="All",Dashboard!$H$7=D1233),OR(Dashboard!$K$7="All",Dashboard!$K$7=E1233)),1,0)</x:f>
        <x:v>1</x:v>
      </x:c>
      <x:c r="S1233" s="2" t="n">
        <x:f>IF(R1233=1,SUM($R$10:R1233),0)</x:f>
        <x:v>860</x:v>
      </x:c>
      <x:c r="T1233" s="2" t="str">
        <x:v>Research &amp; Analysis</x:v>
      </x:c>
      <x:c r="U1233" s="2" t="n">
        <x:v>505</x:v>
      </x:c>
      <x:c r="V1233" s="2" t="n">
        <x:f>IF(AND(M1233=1,P1233=0,ISNUMBER(J1233),J1233&lt;TODAY()),1,0)</x:f>
        <x:v>0</x:v>
      </x:c>
      <x:c r="W1233" s="2" t="str">
        <x:f>'Research &amp; Analysis'!M505</x:f>
        <x:v>Task</x:v>
      </x:c>
    </x:row>
    <x:row r="1234" ht="40" customHeight="1">
      <x:c r="A1234" s="3" t="str">
        <x:f>HYPERLINK("#'Research &amp; Analysis'!A506","Open")</x:f>
        <x:v>Open</x:v>
      </x:c>
      <x:c r="B1234" s="2" t="str">
        <x:f>'Research &amp; Analysis'!B506</x:f>
        <x:v>Cycle 4</x:v>
      </x:c>
      <x:c r="C1234" s="2" t="str">
        <x:f>'Research &amp; Analysis'!C506</x:f>
        <x:v>Phase 2</x:v>
      </x:c>
      <x:c r="D1234" s="2" t="str">
        <x:f>'Research &amp; Analysis'!D506</x:f>
        <x:v>Auto</x:v>
      </x:c>
      <x:c r="E1234" s="2" t="str">
        <x:v>Research &amp; Analysis</x:v>
      </x:c>
      <x:c r="F1234" s="56" t="str">
        <x:f>'Research &amp; Analysis'!E506</x:f>
        <x:v>RA.AU.2.5</x:v>
      </x:c>
      <x:c r="G1234" s="14" t="str">
        <x:f>'Research &amp; Analysis'!F506</x:f>
        <x:v>Perform data testing and sampling</x:v>
      </x:c>
      <x:c r="H1234" s="2" t="str">
        <x:f>IF('Research &amp; Analysis'!G506="","",'Research &amp; Analysis'!G506)</x:f>
      </x:c>
      <x:c r="I1234" s="12" t="str">
        <x:f>IF('Research &amp; Analysis'!H506="","",'Research &amp; Analysis'!H506)</x:f>
      </x:c>
      <x:c r="J1234" s="12" t="n">
        <x:f>IF('Research &amp; Analysis'!I506="","",'Research &amp; Analysis'!I506)</x:f>
        <x:v>46387</x:v>
      </x:c>
      <x:c r="K1234" s="12" t="str">
        <x:f>IF('Research &amp; Analysis'!J506="","",'Research &amp; Analysis'!J506)</x:f>
      </x:c>
      <x:c r="L1234" s="2" t="str">
        <x:f>IF('Research &amp; Analysis'!K506="","",'Research &amp; Analysis'!K506)</x:f>
      </x:c>
      <x:c r="M1234" s="2" t="n">
        <x:f>'Research &amp; Analysis'!Q506</x:f>
        <x:v>1</x:v>
      </x:c>
      <x:c r="N1234" s="2" t="str">
        <x:f>'Research &amp; Analysis'!L506</x:f>
        <x:v>Not started</x:v>
      </x:c>
      <x:c r="O1234" s="2" t="str">
        <x:f>'Research &amp; Analysis'!N506</x:f>
        <x:v>RA.AU.2.5.2026.CY4</x:v>
      </x:c>
      <x:c r="P1234" s="2" t="n">
        <x:f>'Research &amp; Analysis'!O506</x:f>
        <x:v>0</x:v>
      </x:c>
      <x:c r="Q1234" s="2" t="n">
        <x:f>SUBTOTAL(103,O1234)</x:f>
        <x:v>1</x:v>
      </x:c>
      <x:c r="R1234" s="2" t="n">
        <x:f>IF(AND(M1234=1,OR(Dashboard!$B$7="All",Dashboard!$B$7='Cycles &amp; Guide'!$C$5),OR(Dashboard!$D$7="All",Dashboard!$D$7=B1234),OR(Dashboard!$F$7="All",Dashboard!$F$7=C1234),OR(Dashboard!$H$7="All",Dashboard!$H$7=D1234),OR(Dashboard!$K$7="All",Dashboard!$K$7=E1234)),1,0)</x:f>
        <x:v>1</x:v>
      </x:c>
      <x:c r="S1234" s="2" t="n">
        <x:f>IF(R1234=1,SUM($R$10:R1234),0)</x:f>
        <x:v>861</x:v>
      </x:c>
      <x:c r="T1234" s="2" t="str">
        <x:v>Research &amp; Analysis</x:v>
      </x:c>
      <x:c r="U1234" s="2" t="n">
        <x:v>506</x:v>
      </x:c>
      <x:c r="V1234" s="2" t="n">
        <x:f>IF(AND(M1234=1,P1234=0,ISNUMBER(J1234),J1234&lt;TODAY()),1,0)</x:f>
        <x:v>0</x:v>
      </x:c>
      <x:c r="W1234" s="2" t="str">
        <x:f>'Research &amp; Analysis'!M506</x:f>
        <x:v>Task</x:v>
      </x:c>
    </x:row>
    <x:row r="1235" ht="40" customHeight="1">
      <x:c r="A1235" s="3" t="str">
        <x:f>HYPERLINK("#'Research &amp; Analysis'!A507","Open")</x:f>
        <x:v>Open</x:v>
      </x:c>
      <x:c r="B1235" s="2" t="str">
        <x:f>'Research &amp; Analysis'!B507</x:f>
        <x:v>Cycle 4</x:v>
      </x:c>
      <x:c r="C1235" s="2" t="str">
        <x:f>'Research &amp; Analysis'!C507</x:f>
        <x:v>Phase 2</x:v>
      </x:c>
      <x:c r="D1235" s="2" t="str">
        <x:f>'Research &amp; Analysis'!D507</x:f>
        <x:v>Auto</x:v>
      </x:c>
      <x:c r="E1235" s="2" t="str">
        <x:v>Research &amp; Analysis</x:v>
      </x:c>
      <x:c r="F1235" s="56" t="str">
        <x:f>'Research &amp; Analysis'!E507</x:f>
        <x:v>RA.AU.2.6</x:v>
      </x:c>
      <x:c r="G1235" s="14" t="str">
        <x:f>'Research &amp; Analysis'!F507</x:f>
        <x:v>Complete Positive Testing</x:v>
      </x:c>
      <x:c r="H1235" s="2" t="str">
        <x:f>IF('Research &amp; Analysis'!G507="","",'Research &amp; Analysis'!G507)</x:f>
      </x:c>
      <x:c r="I1235" s="12" t="str">
        <x:f>IF('Research &amp; Analysis'!H507="","",'Research &amp; Analysis'!H507)</x:f>
      </x:c>
      <x:c r="J1235" s="12" t="n">
        <x:f>IF('Research &amp; Analysis'!I507="","",'Research &amp; Analysis'!I507)</x:f>
        <x:v>46387</x:v>
      </x:c>
      <x:c r="K1235" s="12" t="str">
        <x:f>IF('Research &amp; Analysis'!J507="","",'Research &amp; Analysis'!J507)</x:f>
      </x:c>
      <x:c r="L1235" s="2" t="str">
        <x:f>IF('Research &amp; Analysis'!K507="","",'Research &amp; Analysis'!K507)</x:f>
      </x:c>
      <x:c r="M1235" s="2" t="n">
        <x:f>'Research &amp; Analysis'!Q507</x:f>
        <x:v>1</x:v>
      </x:c>
      <x:c r="N1235" s="2" t="str">
        <x:f>'Research &amp; Analysis'!L507</x:f>
        <x:v>Not started</x:v>
      </x:c>
      <x:c r="O1235" s="2" t="str">
        <x:f>'Research &amp; Analysis'!N507</x:f>
        <x:v>RA.AU.2.6.2026.CY4</x:v>
      </x:c>
      <x:c r="P1235" s="2" t="n">
        <x:f>'Research &amp; Analysis'!O507</x:f>
        <x:v>0</x:v>
      </x:c>
      <x:c r="Q1235" s="2" t="n">
        <x:f>SUBTOTAL(103,O1235)</x:f>
        <x:v>1</x:v>
      </x:c>
      <x:c r="R1235" s="2" t="n">
        <x:f>IF(AND(M1235=1,OR(Dashboard!$B$7="All",Dashboard!$B$7='Cycles &amp; Guide'!$C$5),OR(Dashboard!$D$7="All",Dashboard!$D$7=B1235),OR(Dashboard!$F$7="All",Dashboard!$F$7=C1235),OR(Dashboard!$H$7="All",Dashboard!$H$7=D1235),OR(Dashboard!$K$7="All",Dashboard!$K$7=E1235)),1,0)</x:f>
        <x:v>1</x:v>
      </x:c>
      <x:c r="S1235" s="2" t="n">
        <x:f>IF(R1235=1,SUM($R$10:R1235),0)</x:f>
        <x:v>862</x:v>
      </x:c>
      <x:c r="T1235" s="2" t="str">
        <x:v>Research &amp; Analysis</x:v>
      </x:c>
      <x:c r="U1235" s="2" t="n">
        <x:v>507</x:v>
      </x:c>
      <x:c r="V1235" s="2" t="n">
        <x:f>IF(AND(M1235=1,P1235=0,ISNUMBER(J1235),J1235&lt;TODAY()),1,0)</x:f>
        <x:v>0</x:v>
      </x:c>
      <x:c r="W1235" s="2" t="str">
        <x:f>'Research &amp; Analysis'!M507</x:f>
        <x:v>Task</x:v>
      </x:c>
    </x:row>
    <x:row r="1236" ht="40" customHeight="1">
      <x:c r="A1236" s="3" t="str">
        <x:f>HYPERLINK("#'Research &amp; Analysis'!A508","Open")</x:f>
        <x:v>Open</x:v>
      </x:c>
      <x:c r="B1236" s="2" t="str">
        <x:f>'Research &amp; Analysis'!B508</x:f>
        <x:v>Cycle 4</x:v>
      </x:c>
      <x:c r="C1236" s="2" t="str">
        <x:f>'Research &amp; Analysis'!C508</x:f>
        <x:v>Phase 2</x:v>
      </x:c>
      <x:c r="D1236" s="2" t="str">
        <x:f>'Research &amp; Analysis'!D508</x:f>
        <x:v>Auto</x:v>
      </x:c>
      <x:c r="E1236" s="2" t="str">
        <x:v>Research &amp; Analysis</x:v>
      </x:c>
      <x:c r="F1236" s="56" t="str">
        <x:f>'Research &amp; Analysis'!E508</x:f>
        <x:v>RA.AU.2.7</x:v>
      </x:c>
      <x:c r="G1236" s="14" t="str">
        <x:f>'Research &amp; Analysis'!F508</x:f>
        <x:v>Complete Negative Testing</x:v>
      </x:c>
      <x:c r="H1236" s="2" t="str">
        <x:f>IF('Research &amp; Analysis'!G508="","",'Research &amp; Analysis'!G508)</x:f>
      </x:c>
      <x:c r="I1236" s="12" t="str">
        <x:f>IF('Research &amp; Analysis'!H508="","",'Research &amp; Analysis'!H508)</x:f>
      </x:c>
      <x:c r="J1236" s="12" t="n">
        <x:f>IF('Research &amp; Analysis'!I508="","",'Research &amp; Analysis'!I508)</x:f>
        <x:v>46387</x:v>
      </x:c>
      <x:c r="K1236" s="12" t="str">
        <x:f>IF('Research &amp; Analysis'!J508="","",'Research &amp; Analysis'!J508)</x:f>
      </x:c>
      <x:c r="L1236" s="2" t="str">
        <x:f>IF('Research &amp; Analysis'!K508="","",'Research &amp; Analysis'!K508)</x:f>
      </x:c>
      <x:c r="M1236" s="2" t="n">
        <x:f>'Research &amp; Analysis'!Q508</x:f>
        <x:v>1</x:v>
      </x:c>
      <x:c r="N1236" s="2" t="str">
        <x:f>'Research &amp; Analysis'!L508</x:f>
        <x:v>Not started</x:v>
      </x:c>
      <x:c r="O1236" s="2" t="str">
        <x:f>'Research &amp; Analysis'!N508</x:f>
        <x:v>RA.AU.2.7.2026.CY4</x:v>
      </x:c>
      <x:c r="P1236" s="2" t="n">
        <x:f>'Research &amp; Analysis'!O508</x:f>
        <x:v>0</x:v>
      </x:c>
      <x:c r="Q1236" s="2" t="n">
        <x:f>SUBTOTAL(103,O1236)</x:f>
        <x:v>1</x:v>
      </x:c>
      <x:c r="R1236" s="2" t="n">
        <x:f>IF(AND(M1236=1,OR(Dashboard!$B$7="All",Dashboard!$B$7='Cycles &amp; Guide'!$C$5),OR(Dashboard!$D$7="All",Dashboard!$D$7=B1236),OR(Dashboard!$F$7="All",Dashboard!$F$7=C1236),OR(Dashboard!$H$7="All",Dashboard!$H$7=D1236),OR(Dashboard!$K$7="All",Dashboard!$K$7=E1236)),1,0)</x:f>
        <x:v>1</x:v>
      </x:c>
      <x:c r="S1236" s="2" t="n">
        <x:f>IF(R1236=1,SUM($R$10:R1236),0)</x:f>
        <x:v>863</x:v>
      </x:c>
      <x:c r="T1236" s="2" t="str">
        <x:v>Research &amp; Analysis</x:v>
      </x:c>
      <x:c r="U1236" s="2" t="n">
        <x:v>508</x:v>
      </x:c>
      <x:c r="V1236" s="2" t="n">
        <x:f>IF(AND(M1236=1,P1236=0,ISNUMBER(J1236),J1236&lt;TODAY()),1,0)</x:f>
        <x:v>0</x:v>
      </x:c>
      <x:c r="W1236" s="2" t="str">
        <x:f>'Research &amp; Analysis'!M508</x:f>
        <x:v>Task</x:v>
      </x:c>
    </x:row>
    <x:row r="1237" ht="40" customHeight="1">
      <x:c r="A1237" s="3" t="str">
        <x:f>HYPERLINK("#'Research &amp; Analysis'!A509","Open")</x:f>
        <x:v>Open</x:v>
      </x:c>
      <x:c r="B1237" s="2" t="str">
        <x:f>'Research &amp; Analysis'!B509</x:f>
        <x:v>Cycle 4</x:v>
      </x:c>
      <x:c r="C1237" s="2" t="str">
        <x:f>'Research &amp; Analysis'!C509</x:f>
        <x:v>Phase 2</x:v>
      </x:c>
      <x:c r="D1237" s="2" t="str">
        <x:f>'Research &amp; Analysis'!D509</x:f>
        <x:v>Auto</x:v>
      </x:c>
      <x:c r="E1237" s="2" t="str">
        <x:v>Research &amp; Analysis</x:v>
      </x:c>
      <x:c r="F1237" s="56" t="str">
        <x:f>'Research &amp; Analysis'!E509</x:f>
        <x:v>RA.AU.2.8</x:v>
      </x:c>
      <x:c r="G1237" s="14" t="str">
        <x:f>'Research &amp; Analysis'!F509</x:f>
        <x:v>Request additional data (as needed)</x:v>
      </x:c>
      <x:c r="H1237" s="2" t="str">
        <x:f>IF('Research &amp; Analysis'!G509="","",'Research &amp; Analysis'!G509)</x:f>
      </x:c>
      <x:c r="I1237" s="12" t="str">
        <x:f>IF('Research &amp; Analysis'!H509="","",'Research &amp; Analysis'!H509)</x:f>
      </x:c>
      <x:c r="J1237" s="12" t="n">
        <x:f>IF('Research &amp; Analysis'!I509="","",'Research &amp; Analysis'!I509)</x:f>
        <x:v>46387</x:v>
      </x:c>
      <x:c r="K1237" s="12" t="str">
        <x:f>IF('Research &amp; Analysis'!J509="","",'Research &amp; Analysis'!J509)</x:f>
      </x:c>
      <x:c r="L1237" s="2" t="str">
        <x:f>IF('Research &amp; Analysis'!K509="","",'Research &amp; Analysis'!K509)</x:f>
      </x:c>
      <x:c r="M1237" s="2" t="n">
        <x:f>'Research &amp; Analysis'!Q509</x:f>
        <x:v>1</x:v>
      </x:c>
      <x:c r="N1237" s="2" t="str">
        <x:f>'Research &amp; Analysis'!L509</x:f>
        <x:v>Not started</x:v>
      </x:c>
      <x:c r="O1237" s="2" t="str">
        <x:f>'Research &amp; Analysis'!N509</x:f>
        <x:v>RA.AU.2.8.2026.CY4</x:v>
      </x:c>
      <x:c r="P1237" s="2" t="n">
        <x:f>'Research &amp; Analysis'!O509</x:f>
        <x:v>0</x:v>
      </x:c>
      <x:c r="Q1237" s="2" t="n">
        <x:f>SUBTOTAL(103,O1237)</x:f>
        <x:v>1</x:v>
      </x:c>
      <x:c r="R1237" s="2" t="n">
        <x:f>IF(AND(M1237=1,OR(Dashboard!$B$7="All",Dashboard!$B$7='Cycles &amp; Guide'!$C$5),OR(Dashboard!$D$7="All",Dashboard!$D$7=B1237),OR(Dashboard!$F$7="All",Dashboard!$F$7=C1237),OR(Dashboard!$H$7="All",Dashboard!$H$7=D1237),OR(Dashboard!$K$7="All",Dashboard!$K$7=E1237)),1,0)</x:f>
        <x:v>1</x:v>
      </x:c>
      <x:c r="S1237" s="2" t="n">
        <x:f>IF(R1237=1,SUM($R$10:R1237),0)</x:f>
        <x:v>864</x:v>
      </x:c>
      <x:c r="T1237" s="2" t="str">
        <x:v>Research &amp; Analysis</x:v>
      </x:c>
      <x:c r="U1237" s="2" t="n">
        <x:v>509</x:v>
      </x:c>
      <x:c r="V1237" s="2" t="n">
        <x:f>IF(AND(M1237=1,P1237=0,ISNUMBER(J1237),J1237&lt;TODAY()),1,0)</x:f>
        <x:v>0</x:v>
      </x:c>
      <x:c r="W1237" s="2" t="str">
        <x:f>'Research &amp; Analysis'!M509</x:f>
        <x:v>Task</x:v>
      </x:c>
    </x:row>
    <x:row r="1238" ht="40" customHeight="1">
      <x:c r="A1238" s="3" t="str">
        <x:f>HYPERLINK("#'Research &amp; Analysis'!A510","Open")</x:f>
        <x:v>Open</x:v>
      </x:c>
      <x:c r="B1238" s="2" t="str">
        <x:f>'Research &amp; Analysis'!B510</x:f>
        <x:v>Cycle 4</x:v>
      </x:c>
      <x:c r="C1238" s="2" t="str">
        <x:f>'Research &amp; Analysis'!C510</x:f>
        <x:v>Phase 2</x:v>
      </x:c>
      <x:c r="D1238" s="2" t="str">
        <x:f>'Research &amp; Analysis'!D510</x:f>
        <x:v>Auto</x:v>
      </x:c>
      <x:c r="E1238" s="2" t="str">
        <x:v>Research &amp; Analysis</x:v>
      </x:c>
      <x:c r="F1238" s="56" t="str">
        <x:f>'Research &amp; Analysis'!E510</x:f>
        <x:v>RA.AU.2.9</x:v>
      </x:c>
      <x:c r="G1238" s="14" t="str">
        <x:f>'Research &amp; Analysis'!F510</x:f>
        <x:v>Validate or disprove initial hypothesis assumptions</x:v>
      </x:c>
      <x:c r="H1238" s="2" t="str">
        <x:f>IF('Research &amp; Analysis'!G510="","",'Research &amp; Analysis'!G510)</x:f>
      </x:c>
      <x:c r="I1238" s="12" t="str">
        <x:f>IF('Research &amp; Analysis'!H510="","",'Research &amp; Analysis'!H510)</x:f>
      </x:c>
      <x:c r="J1238" s="12" t="n">
        <x:f>IF('Research &amp; Analysis'!I510="","",'Research &amp; Analysis'!I510)</x:f>
        <x:v>46387</x:v>
      </x:c>
      <x:c r="K1238" s="12" t="str">
        <x:f>IF('Research &amp; Analysis'!J510="","",'Research &amp; Analysis'!J510)</x:f>
      </x:c>
      <x:c r="L1238" s="2" t="str">
        <x:f>IF('Research &amp; Analysis'!K510="","",'Research &amp; Analysis'!K510)</x:f>
      </x:c>
      <x:c r="M1238" s="2" t="n">
        <x:f>'Research &amp; Analysis'!Q510</x:f>
        <x:v>1</x:v>
      </x:c>
      <x:c r="N1238" s="2" t="str">
        <x:f>'Research &amp; Analysis'!L510</x:f>
        <x:v>Not started</x:v>
      </x:c>
      <x:c r="O1238" s="2" t="str">
        <x:f>'Research &amp; Analysis'!N510</x:f>
        <x:v>RA.AU.2.9.2026.CY4</x:v>
      </x:c>
      <x:c r="P1238" s="2" t="n">
        <x:f>'Research &amp; Analysis'!O510</x:f>
        <x:v>0</x:v>
      </x:c>
      <x:c r="Q1238" s="2" t="n">
        <x:f>SUBTOTAL(103,O1238)</x:f>
        <x:v>1</x:v>
      </x:c>
      <x:c r="R1238" s="2" t="n">
        <x:f>IF(AND(M1238=1,OR(Dashboard!$B$7="All",Dashboard!$B$7='Cycles &amp; Guide'!$C$5),OR(Dashboard!$D$7="All",Dashboard!$D$7=B1238),OR(Dashboard!$F$7="All",Dashboard!$F$7=C1238),OR(Dashboard!$H$7="All",Dashboard!$H$7=D1238),OR(Dashboard!$K$7="All",Dashboard!$K$7=E1238)),1,0)</x:f>
        <x:v>1</x:v>
      </x:c>
      <x:c r="S1238" s="2" t="n">
        <x:f>IF(R1238=1,SUM($R$10:R1238),0)</x:f>
        <x:v>865</x:v>
      </x:c>
      <x:c r="T1238" s="2" t="str">
        <x:v>Research &amp; Analysis</x:v>
      </x:c>
      <x:c r="U1238" s="2" t="n">
        <x:v>510</x:v>
      </x:c>
      <x:c r="V1238" s="2" t="n">
        <x:f>IF(AND(M1238=1,P1238=0,ISNUMBER(J1238),J1238&lt;TODAY()),1,0)</x:f>
        <x:v>0</x:v>
      </x:c>
      <x:c r="W1238" s="2" t="str">
        <x:f>'Research &amp; Analysis'!M510</x:f>
        <x:v>Task</x:v>
      </x:c>
    </x:row>
    <x:row r="1239" ht="40" customHeight="1">
      <x:c r="A1239" s="3" t="str">
        <x:f>HYPERLINK("#'Research &amp; Analysis'!A511","Open")</x:f>
        <x:v>Open</x:v>
      </x:c>
      <x:c r="B1239" s="2" t="str">
        <x:f>'Research &amp; Analysis'!B511</x:f>
        <x:v>Cycle 4</x:v>
      </x:c>
      <x:c r="C1239" s="2" t="str">
        <x:f>'Research &amp; Analysis'!C511</x:f>
        <x:v>Phase 2</x:v>
      </x:c>
      <x:c r="D1239" s="2" t="str">
        <x:f>'Research &amp; Analysis'!D511</x:f>
        <x:v>Auto</x:v>
      </x:c>
      <x:c r="E1239" s="2" t="str">
        <x:v>Research &amp; Analysis</x:v>
      </x:c>
      <x:c r="F1239" s="56" t="str">
        <x:f>'Research &amp; Analysis'!E511</x:f>
        <x:v>RA.AU.2.10</x:v>
      </x:c>
      <x:c r="G1239" s="14" t="str">
        <x:f>'Research &amp; Analysis'!F511</x:f>
        <x:v>Identify and confirm root cause</x:v>
      </x:c>
      <x:c r="H1239" s="2" t="str">
        <x:f>IF('Research &amp; Analysis'!G511="","",'Research &amp; Analysis'!G511)</x:f>
      </x:c>
      <x:c r="I1239" s="12" t="str">
        <x:f>IF('Research &amp; Analysis'!H511="","",'Research &amp; Analysis'!H511)</x:f>
      </x:c>
      <x:c r="J1239" s="12" t="n">
        <x:f>IF('Research &amp; Analysis'!I511="","",'Research &amp; Analysis'!I511)</x:f>
        <x:v>46387</x:v>
      </x:c>
      <x:c r="K1239" s="12" t="str">
        <x:f>IF('Research &amp; Analysis'!J511="","",'Research &amp; Analysis'!J511)</x:f>
      </x:c>
      <x:c r="L1239" s="2" t="str">
        <x:f>IF('Research &amp; Analysis'!K511="","",'Research &amp; Analysis'!K511)</x:f>
      </x:c>
      <x:c r="M1239" s="2" t="n">
        <x:f>'Research &amp; Analysis'!Q511</x:f>
        <x:v>1</x:v>
      </x:c>
      <x:c r="N1239" s="2" t="str">
        <x:f>'Research &amp; Analysis'!L511</x:f>
        <x:v>Not started</x:v>
      </x:c>
      <x:c r="O1239" s="2" t="str">
        <x:f>'Research &amp; Analysis'!N511</x:f>
        <x:v>RA.AU.2.10.2026.CY4</x:v>
      </x:c>
      <x:c r="P1239" s="2" t="n">
        <x:f>'Research &amp; Analysis'!O511</x:f>
        <x:v>0</x:v>
      </x:c>
      <x:c r="Q1239" s="2" t="n">
        <x:f>SUBTOTAL(103,O1239)</x:f>
        <x:v>1</x:v>
      </x:c>
      <x:c r="R1239" s="2" t="n">
        <x:f>IF(AND(M1239=1,OR(Dashboard!$B$7="All",Dashboard!$B$7='Cycles &amp; Guide'!$C$5),OR(Dashboard!$D$7="All",Dashboard!$D$7=B1239),OR(Dashboard!$F$7="All",Dashboard!$F$7=C1239),OR(Dashboard!$H$7="All",Dashboard!$H$7=D1239),OR(Dashboard!$K$7="All",Dashboard!$K$7=E1239)),1,0)</x:f>
        <x:v>1</x:v>
      </x:c>
      <x:c r="S1239" s="2" t="n">
        <x:f>IF(R1239=1,SUM($R$10:R1239),0)</x:f>
        <x:v>866</x:v>
      </x:c>
      <x:c r="T1239" s="2" t="str">
        <x:v>Research &amp; Analysis</x:v>
      </x:c>
      <x:c r="U1239" s="2" t="n">
        <x:v>511</x:v>
      </x:c>
      <x:c r="V1239" s="2" t="n">
        <x:f>IF(AND(M1239=1,P1239=0,ISNUMBER(J1239),J1239&lt;TODAY()),1,0)</x:f>
        <x:v>0</x:v>
      </x:c>
      <x:c r="W1239" s="2" t="str">
        <x:f>'Research &amp; Analysis'!M511</x:f>
        <x:v>Task</x:v>
      </x:c>
    </x:row>
    <x:row r="1240" ht="40" customHeight="1">
      <x:c r="A1240" s="3" t="str">
        <x:f>HYPERLINK("#'Research &amp; Analysis'!A512","Open")</x:f>
        <x:v>Open</x:v>
      </x:c>
      <x:c r="B1240" s="2" t="str">
        <x:f>'Research &amp; Analysis'!B512</x:f>
        <x:v>Cycle 4</x:v>
      </x:c>
      <x:c r="C1240" s="2" t="str">
        <x:f>'Research &amp; Analysis'!C512</x:f>
        <x:v>Phase 3</x:v>
      </x:c>
      <x:c r="D1240" s="2" t="str">
        <x:f>'Research &amp; Analysis'!D512</x:f>
        <x:v>Auto</x:v>
      </x:c>
      <x:c r="E1240" s="2" t="str">
        <x:v>Research &amp; Analysis</x:v>
      </x:c>
      <x:c r="F1240" s="56" t="str">
        <x:f>'Research &amp; Analysis'!E512</x:f>
        <x:v>RA.AU.3.1</x:v>
      </x:c>
      <x:c r="G1240" s="14" t="str">
        <x:f>'Research &amp; Analysis'!F512</x:f>
        <x:v>Finalize results and supporting documentation</x:v>
      </x:c>
      <x:c r="H1240" s="2" t="str">
        <x:f>IF('Research &amp; Analysis'!G512="","",'Research &amp; Analysis'!G512)</x:f>
      </x:c>
      <x:c r="I1240" s="12" t="str">
        <x:f>IF('Research &amp; Analysis'!H512="","",'Research &amp; Analysis'!H512)</x:f>
      </x:c>
      <x:c r="J1240" s="12" t="n">
        <x:f>IF('Research &amp; Analysis'!I512="","",'Research &amp; Analysis'!I512)</x:f>
        <x:v>46387</x:v>
      </x:c>
      <x:c r="K1240" s="12" t="str">
        <x:f>IF('Research &amp; Analysis'!J512="","",'Research &amp; Analysis'!J512)</x:f>
      </x:c>
      <x:c r="L1240" s="2" t="str">
        <x:f>IF('Research &amp; Analysis'!K512="","",'Research &amp; Analysis'!K512)</x:f>
      </x:c>
      <x:c r="M1240" s="2" t="n">
        <x:f>'Research &amp; Analysis'!Q512</x:f>
        <x:v>1</x:v>
      </x:c>
      <x:c r="N1240" s="2" t="str">
        <x:f>'Research &amp; Analysis'!L512</x:f>
        <x:v>Not started</x:v>
      </x:c>
      <x:c r="O1240" s="2" t="str">
        <x:f>'Research &amp; Analysis'!N512</x:f>
        <x:v>RA.AU.3.1.2026.CY4</x:v>
      </x:c>
      <x:c r="P1240" s="2" t="n">
        <x:f>'Research &amp; Analysis'!O512</x:f>
        <x:v>0</x:v>
      </x:c>
      <x:c r="Q1240" s="2" t="n">
        <x:f>SUBTOTAL(103,O1240)</x:f>
        <x:v>1</x:v>
      </x:c>
      <x:c r="R1240" s="2" t="n">
        <x:f>IF(AND(M1240=1,OR(Dashboard!$B$7="All",Dashboard!$B$7='Cycles &amp; Guide'!$C$5),OR(Dashboard!$D$7="All",Dashboard!$D$7=B1240),OR(Dashboard!$F$7="All",Dashboard!$F$7=C1240),OR(Dashboard!$H$7="All",Dashboard!$H$7=D1240),OR(Dashboard!$K$7="All",Dashboard!$K$7=E1240)),1,0)</x:f>
        <x:v>1</x:v>
      </x:c>
      <x:c r="S1240" s="2" t="n">
        <x:f>IF(R1240=1,SUM($R$10:R1240),0)</x:f>
        <x:v>867</x:v>
      </x:c>
      <x:c r="T1240" s="2" t="str">
        <x:v>Research &amp; Analysis</x:v>
      </x:c>
      <x:c r="U1240" s="2" t="n">
        <x:v>512</x:v>
      </x:c>
      <x:c r="V1240" s="2" t="n">
        <x:f>IF(AND(M1240=1,P1240=0,ISNUMBER(J1240),J1240&lt;TODAY()),1,0)</x:f>
        <x:v>0</x:v>
      </x:c>
      <x:c r="W1240" s="2" t="str">
        <x:f>'Research &amp; Analysis'!M512</x:f>
        <x:v>Task</x:v>
      </x:c>
    </x:row>
    <x:row r="1241" ht="40" customHeight="1">
      <x:c r="A1241" s="3" t="str">
        <x:f>HYPERLINK("#'Research &amp; Analysis'!A513","Open")</x:f>
        <x:v>Open</x:v>
      </x:c>
      <x:c r="B1241" s="2" t="str">
        <x:f>'Research &amp; Analysis'!B513</x:f>
        <x:v>Cycle 4</x:v>
      </x:c>
      <x:c r="C1241" s="2" t="str">
        <x:f>'Research &amp; Analysis'!C513</x:f>
        <x:v>Phase 3</x:v>
      </x:c>
      <x:c r="D1241" s="2" t="str">
        <x:f>'Research &amp; Analysis'!D513</x:f>
        <x:v>Auto</x:v>
      </x:c>
      <x:c r="E1241" s="2" t="str">
        <x:v>Research &amp; Analysis</x:v>
      </x:c>
      <x:c r="F1241" s="56" t="str">
        <x:f>'Research &amp; Analysis'!E513</x:f>
        <x:v>RA.AU.3.2</x:v>
      </x:c>
      <x:c r="G1241" s="14" t="str">
        <x:f>'Research &amp; Analysis'!F513</x:f>
        <x:v>Maintain and update the evidence package prior to handoff to D&amp;I</x:v>
      </x:c>
      <x:c r="H1241" s="2" t="str">
        <x:f>IF('Research &amp; Analysis'!G513="","",'Research &amp; Analysis'!G513)</x:f>
      </x:c>
      <x:c r="I1241" s="12" t="str">
        <x:f>IF('Research &amp; Analysis'!H513="","",'Research &amp; Analysis'!H513)</x:f>
      </x:c>
      <x:c r="J1241" s="12" t="n">
        <x:f>IF('Research &amp; Analysis'!I513="","",'Research &amp; Analysis'!I513)</x:f>
        <x:v>46387</x:v>
      </x:c>
      <x:c r="K1241" s="12" t="str">
        <x:f>IF('Research &amp; Analysis'!J513="","",'Research &amp; Analysis'!J513)</x:f>
      </x:c>
      <x:c r="L1241" s="2" t="str">
        <x:f>IF('Research &amp; Analysis'!K513="","",'Research &amp; Analysis'!K513)</x:f>
      </x:c>
      <x:c r="M1241" s="2" t="n">
        <x:f>'Research &amp; Analysis'!Q513</x:f>
        <x:v>1</x:v>
      </x:c>
      <x:c r="N1241" s="2" t="str">
        <x:f>'Research &amp; Analysis'!L513</x:f>
        <x:v>Not started</x:v>
      </x:c>
      <x:c r="O1241" s="2" t="str">
        <x:f>'Research &amp; Analysis'!N513</x:f>
        <x:v>RA.AU.3.2.2026.CY4</x:v>
      </x:c>
      <x:c r="P1241" s="2" t="n">
        <x:f>'Research &amp; Analysis'!O513</x:f>
        <x:v>0</x:v>
      </x:c>
      <x:c r="Q1241" s="2" t="n">
        <x:f>SUBTOTAL(103,O1241)</x:f>
        <x:v>1</x:v>
      </x:c>
      <x:c r="R1241" s="2" t="n">
        <x:f>IF(AND(M1241=1,OR(Dashboard!$B$7="All",Dashboard!$B$7='Cycles &amp; Guide'!$C$5),OR(Dashboard!$D$7="All",Dashboard!$D$7=B1241),OR(Dashboard!$F$7="All",Dashboard!$F$7=C1241),OR(Dashboard!$H$7="All",Dashboard!$H$7=D1241),OR(Dashboard!$K$7="All",Dashboard!$K$7=E1241)),1,0)</x:f>
        <x:v>1</x:v>
      </x:c>
      <x:c r="S1241" s="2" t="n">
        <x:f>IF(R1241=1,SUM($R$10:R1241),0)</x:f>
        <x:v>868</x:v>
      </x:c>
      <x:c r="T1241" s="2" t="str">
        <x:v>Research &amp; Analysis</x:v>
      </x:c>
      <x:c r="U1241" s="2" t="n">
        <x:v>513</x:v>
      </x:c>
      <x:c r="V1241" s="2" t="n">
        <x:f>IF(AND(M1241=1,P1241=0,ISNUMBER(J1241),J1241&lt;TODAY()),1,0)</x:f>
        <x:v>0</x:v>
      </x:c>
      <x:c r="W1241" s="2" t="str">
        <x:f>'Research &amp; Analysis'!M513</x:f>
        <x:v>Task</x:v>
      </x:c>
    </x:row>
    <x:row r="1242" ht="40" customHeight="1">
      <x:c r="A1242" s="3" t="str">
        <x:f>HYPERLINK("#'Research &amp; Analysis'!A514","Open")</x:f>
        <x:v>Open</x:v>
      </x:c>
      <x:c r="B1242" s="2" t="str">
        <x:f>'Research &amp; Analysis'!B514</x:f>
        <x:v>Cycle 4</x:v>
      </x:c>
      <x:c r="C1242" s="2" t="str">
        <x:f>'Research &amp; Analysis'!C514</x:f>
        <x:v>Phase 3</x:v>
      </x:c>
      <x:c r="D1242" s="2" t="str">
        <x:f>'Research &amp; Analysis'!D514</x:f>
        <x:v>Auto</x:v>
      </x:c>
      <x:c r="E1242" s="2" t="str">
        <x:v>Research &amp; Analysis</x:v>
      </x:c>
      <x:c r="F1242" s="56" t="str">
        <x:f>'Research &amp; Analysis'!E514</x:f>
        <x:v>RA.AU.3.3</x:v>
      </x:c>
      <x:c r="G1242" s="14" t="str">
        <x:f>'Research &amp; Analysis'!F514</x:f>
        <x:v>Address any outstanding questions or requests from D&amp;I</x:v>
      </x:c>
      <x:c r="H1242" s="2" t="str">
        <x:f>IF('Research &amp; Analysis'!G514="","",'Research &amp; Analysis'!G514)</x:f>
      </x:c>
      <x:c r="I1242" s="12" t="str">
        <x:f>IF('Research &amp; Analysis'!H514="","",'Research &amp; Analysis'!H514)</x:f>
      </x:c>
      <x:c r="J1242" s="12" t="n">
        <x:f>IF('Research &amp; Analysis'!I514="","",'Research &amp; Analysis'!I514)</x:f>
        <x:v>46387</x:v>
      </x:c>
      <x:c r="K1242" s="12" t="str">
        <x:f>IF('Research &amp; Analysis'!J514="","",'Research &amp; Analysis'!J514)</x:f>
      </x:c>
      <x:c r="L1242" s="2" t="str">
        <x:f>IF('Research &amp; Analysis'!K514="","",'Research &amp; Analysis'!K514)</x:f>
      </x:c>
      <x:c r="M1242" s="2" t="n">
        <x:f>'Research &amp; Analysis'!Q514</x:f>
        <x:v>1</x:v>
      </x:c>
      <x:c r="N1242" s="2" t="str">
        <x:f>'Research &amp; Analysis'!L514</x:f>
        <x:v>Not started</x:v>
      </x:c>
      <x:c r="O1242" s="2" t="str">
        <x:f>'Research &amp; Analysis'!N514</x:f>
        <x:v>RA.AU.3.3.2026.CY4</x:v>
      </x:c>
      <x:c r="P1242" s="2" t="n">
        <x:f>'Research &amp; Analysis'!O514</x:f>
        <x:v>0</x:v>
      </x:c>
      <x:c r="Q1242" s="2" t="n">
        <x:f>SUBTOTAL(103,O1242)</x:f>
        <x:v>1</x:v>
      </x:c>
      <x:c r="R1242" s="2" t="n">
        <x:f>IF(AND(M1242=1,OR(Dashboard!$B$7="All",Dashboard!$B$7='Cycles &amp; Guide'!$C$5),OR(Dashboard!$D$7="All",Dashboard!$D$7=B1242),OR(Dashboard!$F$7="All",Dashboard!$F$7=C1242),OR(Dashboard!$H$7="All",Dashboard!$H$7=D1242),OR(Dashboard!$K$7="All",Dashboard!$K$7=E1242)),1,0)</x:f>
        <x:v>1</x:v>
      </x:c>
      <x:c r="S1242" s="2" t="n">
        <x:f>IF(R1242=1,SUM($R$10:R1242),0)</x:f>
        <x:v>869</x:v>
      </x:c>
      <x:c r="T1242" s="2" t="str">
        <x:v>Research &amp; Analysis</x:v>
      </x:c>
      <x:c r="U1242" s="2" t="n">
        <x:v>514</x:v>
      </x:c>
      <x:c r="V1242" s="2" t="n">
        <x:f>IF(AND(M1242=1,P1242=0,ISNUMBER(J1242),J1242&lt;TODAY()),1,0)</x:f>
        <x:v>0</x:v>
      </x:c>
      <x:c r="W1242" s="2" t="str">
        <x:f>'Research &amp; Analysis'!M514</x:f>
        <x:v>Task</x:v>
      </x:c>
    </x:row>
    <x:row r="1243" ht="40" customHeight="1">
      <x:c r="A1243" s="3" t="str">
        <x:f>HYPERLINK("#'Research &amp; Analysis'!A515","Open")</x:f>
        <x:v>Open</x:v>
      </x:c>
      <x:c r="B1243" s="2" t="str">
        <x:f>'Research &amp; Analysis'!B515</x:f>
        <x:v>Cycle 4</x:v>
      </x:c>
      <x:c r="C1243" s="2" t="str">
        <x:f>'Research &amp; Analysis'!C515</x:f>
        <x:v>Phase 3</x:v>
      </x:c>
      <x:c r="D1243" s="2" t="str">
        <x:f>'Research &amp; Analysis'!D515</x:f>
        <x:v>Auto</x:v>
      </x:c>
      <x:c r="E1243" s="2" t="str">
        <x:v>Research &amp; Analysis</x:v>
      </x:c>
      <x:c r="F1243" s="56" t="str">
        <x:f>'Research &amp; Analysis'!E515</x:f>
        <x:v>RA.AU.3.4</x:v>
      </x:c>
      <x:c r="G1243" s="14" t="str">
        <x:f>'Research &amp; Analysis'!F515</x:f>
        <x:v>Attend Forum meeting with D&amp;I to assist with answering stakeholder questions (as needed)</x:v>
      </x:c>
      <x:c r="H1243" s="2" t="str">
        <x:f>IF('Research &amp; Analysis'!G515="","",'Research &amp; Analysis'!G515)</x:f>
      </x:c>
      <x:c r="I1243" s="12" t="str">
        <x:f>IF('Research &amp; Analysis'!H515="","",'Research &amp; Analysis'!H515)</x:f>
      </x:c>
      <x:c r="J1243" s="12" t="str">
        <x:f>IF('Research &amp; Analysis'!I515="","",'Research &amp; Analysis'!I515)</x:f>
      </x:c>
      <x:c r="K1243" s="12" t="str">
        <x:f>IF('Research &amp; Analysis'!J515="","",'Research &amp; Analysis'!J515)</x:f>
      </x:c>
      <x:c r="L1243" s="2" t="str">
        <x:f>IF('Research &amp; Analysis'!K515="","",'Research &amp; Analysis'!K515)</x:f>
      </x:c>
      <x:c r="M1243" s="2" t="n">
        <x:f>'Research &amp; Analysis'!Q515</x:f>
        <x:v>1</x:v>
      </x:c>
      <x:c r="N1243" s="2" t="str">
        <x:f>'Research &amp; Analysis'!L515</x:f>
        <x:v>Not started</x:v>
      </x:c>
      <x:c r="O1243" s="2" t="str">
        <x:f>'Research &amp; Analysis'!N515</x:f>
        <x:v>RA.AU.3.4.2026.CY4</x:v>
      </x:c>
      <x:c r="P1243" s="2" t="n">
        <x:f>'Research &amp; Analysis'!O515</x:f>
        <x:v>0</x:v>
      </x:c>
      <x:c r="Q1243" s="2" t="n">
        <x:f>SUBTOTAL(103,O1243)</x:f>
        <x:v>1</x:v>
      </x:c>
      <x:c r="R1243" s="2" t="n">
        <x:f>IF(AND(M1243=1,OR(Dashboard!$B$7="All",Dashboard!$B$7='Cycles &amp; Guide'!$C$5),OR(Dashboard!$D$7="All",Dashboard!$D$7=B1243),OR(Dashboard!$F$7="All",Dashboard!$F$7=C1243),OR(Dashboard!$H$7="All",Dashboard!$H$7=D1243),OR(Dashboard!$K$7="All",Dashboard!$K$7=E1243)),1,0)</x:f>
        <x:v>1</x:v>
      </x:c>
      <x:c r="S1243" s="2" t="n">
        <x:f>IF(R1243=1,SUM($R$10:R1243),0)</x:f>
        <x:v>870</x:v>
      </x:c>
      <x:c r="T1243" s="2" t="str">
        <x:v>Research &amp; Analysis</x:v>
      </x:c>
      <x:c r="U1243" s="2" t="n">
        <x:v>515</x:v>
      </x:c>
      <x:c r="V1243" s="2" t="n">
        <x:f>IF(AND(M1243=1,P1243=0,ISNUMBER(J1243),J1243&lt;TODAY()),1,0)</x:f>
        <x:v>0</x:v>
      </x:c>
      <x:c r="W1243" s="2" t="str">
        <x:f>'Research &amp; Analysis'!M515</x:f>
        <x:v>Task</x:v>
      </x:c>
    </x:row>
    <x:row r="1244" ht="40" customHeight="1">
      <x:c r="A1244" s="3" t="str">
        <x:f>HYPERLINK("#'Research &amp; Analysis'!A516","Open")</x:f>
        <x:v>Open</x:v>
      </x:c>
      <x:c r="B1244" s="2" t="str">
        <x:f>'Research &amp; Analysis'!B516</x:f>
        <x:v>Cycle 4</x:v>
      </x:c>
      <x:c r="C1244" s="2" t="str">
        <x:f>'Research &amp; Analysis'!C516</x:f>
        <x:v>Phase 1</x:v>
      </x:c>
      <x:c r="D1244" s="2" t="str">
        <x:f>'Research &amp; Analysis'!D516</x:f>
        <x:v>Cards</x:v>
      </x:c>
      <x:c r="E1244" s="2" t="str">
        <x:v>Research &amp; Analysis</x:v>
      </x:c>
      <x:c r="F1244" s="56" t="str">
        <x:f>'Research &amp; Analysis'!E516</x:f>
        <x:v>RA.CA.1.1</x:v>
      </x:c>
      <x:c r="G1244" s="14" t="str">
        <x:f>'Research &amp; Analysis'!F516</x:f>
        <x:v>Begin Research process 2 weeks prior to Cycle start</x:v>
      </x:c>
      <x:c r="H1244" s="2" t="str">
        <x:f>IF('Research &amp; Analysis'!G516="","",'Research &amp; Analysis'!G516)</x:f>
      </x:c>
      <x:c r="I1244" s="12" t="str">
        <x:f>IF('Research &amp; Analysis'!H516="","",'Research &amp; Analysis'!H516)</x:f>
      </x:c>
      <x:c r="J1244" s="12" t="n">
        <x:f>IF('Research &amp; Analysis'!I516="","",'Research &amp; Analysis'!I516)</x:f>
        <x:v>46282</x:v>
      </x:c>
      <x:c r="K1244" s="12" t="str">
        <x:f>IF('Research &amp; Analysis'!J516="","",'Research &amp; Analysis'!J516)</x:f>
      </x:c>
      <x:c r="L1244" s="2" t="str">
        <x:f>IF('Research &amp; Analysis'!K516="","",'Research &amp; Analysis'!K516)</x:f>
      </x:c>
      <x:c r="M1244" s="2" t="n">
        <x:f>'Research &amp; Analysis'!Q516</x:f>
        <x:v>1</x:v>
      </x:c>
      <x:c r="N1244" s="2" t="str">
        <x:f>'Research &amp; Analysis'!L516</x:f>
        <x:v>Not started</x:v>
      </x:c>
      <x:c r="O1244" s="2" t="str">
        <x:f>'Research &amp; Analysis'!N516</x:f>
        <x:v>RA.CA.1.1.2026.CY4</x:v>
      </x:c>
      <x:c r="P1244" s="2" t="n">
        <x:f>'Research &amp; Analysis'!O516</x:f>
        <x:v>0</x:v>
      </x:c>
      <x:c r="Q1244" s="2" t="n">
        <x:f>SUBTOTAL(103,O1244)</x:f>
        <x:v>1</x:v>
      </x:c>
      <x:c r="R1244" s="2" t="n">
        <x:f>IF(AND(M1244=1,OR(Dashboard!$B$7="All",Dashboard!$B$7='Cycles &amp; Guide'!$C$5),OR(Dashboard!$D$7="All",Dashboard!$D$7=B1244),OR(Dashboard!$F$7="All",Dashboard!$F$7=C1244),OR(Dashboard!$H$7="All",Dashboard!$H$7=D1244),OR(Dashboard!$K$7="All",Dashboard!$K$7=E1244)),1,0)</x:f>
        <x:v>1</x:v>
      </x:c>
      <x:c r="S1244" s="2" t="n">
        <x:f>IF(R1244=1,SUM($R$10:R1244),0)</x:f>
        <x:v>871</x:v>
      </x:c>
      <x:c r="T1244" s="2" t="str">
        <x:v>Research &amp; Analysis</x:v>
      </x:c>
      <x:c r="U1244" s="2" t="n">
        <x:v>516</x:v>
      </x:c>
      <x:c r="V1244" s="2" t="n">
        <x:f>IF(AND(M1244=1,P1244=0,ISNUMBER(J1244),J1244&lt;TODAY()),1,0)</x:f>
        <x:v>1</x:v>
      </x:c>
      <x:c r="W1244" s="2" t="str">
        <x:f>'Research &amp; Analysis'!M516</x:f>
        <x:v>Task</x:v>
      </x:c>
    </x:row>
    <x:row r="1245" ht="40" customHeight="1">
      <x:c r="A1245" s="3" t="str">
        <x:f>HYPERLINK("#'Research &amp; Analysis'!A517","Open")</x:f>
        <x:v>Open</x:v>
      </x:c>
      <x:c r="B1245" s="2" t="str">
        <x:f>'Research &amp; Analysis'!B517</x:f>
        <x:v>Cycle 4</x:v>
      </x:c>
      <x:c r="C1245" s="2" t="str">
        <x:f>'Research &amp; Analysis'!C517</x:f>
        <x:v>Phase 1</x:v>
      </x:c>
      <x:c r="D1245" s="2" t="str">
        <x:f>'Research &amp; Analysis'!D517</x:f>
        <x:v>Cards</x:v>
      </x:c>
      <x:c r="E1245" s="2" t="str">
        <x:v>Research &amp; Analysis</x:v>
      </x:c>
      <x:c r="F1245" s="56" t="str">
        <x:f>'Research &amp; Analysis'!E517</x:f>
        <x:v>RA.CA.1.2</x:v>
      </x:c>
      <x:c r="G1245" s="14" t="str">
        <x:f>'Research &amp; Analysis'!F517</x:f>
        <x:v>Conduct initial assessment of each topic recommendation from SharePoint list</x:v>
      </x:c>
      <x:c r="H1245" s="2" t="str">
        <x:f>IF('Research &amp; Analysis'!G517="","",'Research &amp; Analysis'!G517)</x:f>
      </x:c>
      <x:c r="I1245" s="12" t="str">
        <x:f>IF('Research &amp; Analysis'!H517="","",'Research &amp; Analysis'!H517)</x:f>
      </x:c>
      <x:c r="J1245" s="12" t="n">
        <x:f>IF('Research &amp; Analysis'!I517="","",'Research &amp; Analysis'!I517)</x:f>
        <x:v>46387</x:v>
      </x:c>
      <x:c r="K1245" s="12" t="str">
        <x:f>IF('Research &amp; Analysis'!J517="","",'Research &amp; Analysis'!J517)</x:f>
      </x:c>
      <x:c r="L1245" s="2" t="str">
        <x:f>IF('Research &amp; Analysis'!K517="","",'Research &amp; Analysis'!K517)</x:f>
      </x:c>
      <x:c r="M1245" s="2" t="n">
        <x:f>'Research &amp; Analysis'!Q517</x:f>
        <x:v>1</x:v>
      </x:c>
      <x:c r="N1245" s="2" t="str">
        <x:f>'Research &amp; Analysis'!L517</x:f>
        <x:v>Not started</x:v>
      </x:c>
      <x:c r="O1245" s="2" t="str">
        <x:f>'Research &amp; Analysis'!N517</x:f>
        <x:v>RA.CA.1.2.2026.CY4</x:v>
      </x:c>
      <x:c r="P1245" s="2" t="n">
        <x:f>'Research &amp; Analysis'!O517</x:f>
        <x:v>0</x:v>
      </x:c>
      <x:c r="Q1245" s="2" t="n">
        <x:f>SUBTOTAL(103,O1245)</x:f>
        <x:v>1</x:v>
      </x:c>
      <x:c r="R1245" s="2" t="n">
        <x:f>IF(AND(M1245=1,OR(Dashboard!$B$7="All",Dashboard!$B$7='Cycles &amp; Guide'!$C$5),OR(Dashboard!$D$7="All",Dashboard!$D$7=B1245),OR(Dashboard!$F$7="All",Dashboard!$F$7=C1245),OR(Dashboard!$H$7="All",Dashboard!$H$7=D1245),OR(Dashboard!$K$7="All",Dashboard!$K$7=E1245)),1,0)</x:f>
        <x:v>1</x:v>
      </x:c>
      <x:c r="S1245" s="2" t="n">
        <x:f>IF(R1245=1,SUM($R$10:R1245),0)</x:f>
        <x:v>872</x:v>
      </x:c>
      <x:c r="T1245" s="2" t="str">
        <x:v>Research &amp; Analysis</x:v>
      </x:c>
      <x:c r="U1245" s="2" t="n">
        <x:v>517</x:v>
      </x:c>
      <x:c r="V1245" s="2" t="n">
        <x:f>IF(AND(M1245=1,P1245=0,ISNUMBER(J1245),J1245&lt;TODAY()),1,0)</x:f>
        <x:v>0</x:v>
      </x:c>
      <x:c r="W1245" s="2" t="str">
        <x:f>'Research &amp; Analysis'!M517</x:f>
        <x:v>Task</x:v>
      </x:c>
    </x:row>
    <x:row r="1246" ht="40" customHeight="1">
      <x:c r="A1246" s="3" t="str">
        <x:f>HYPERLINK("#'Research &amp; Analysis'!A518","Open")</x:f>
        <x:v>Open</x:v>
      </x:c>
      <x:c r="B1246" s="2" t="str">
        <x:f>'Research &amp; Analysis'!B518</x:f>
        <x:v>Cycle 4</x:v>
      </x:c>
      <x:c r="C1246" s="2" t="str">
        <x:f>'Research &amp; Analysis'!C518</x:f>
        <x:v>Phase 1</x:v>
      </x:c>
      <x:c r="D1246" s="2" t="str">
        <x:f>'Research &amp; Analysis'!D518</x:f>
        <x:v>Cards</x:v>
      </x:c>
      <x:c r="E1246" s="2" t="str">
        <x:v>Research &amp; Analysis</x:v>
      </x:c>
      <x:c r="F1246" s="56" t="str">
        <x:f>'Research &amp; Analysis'!E518</x:f>
        <x:v>RA.CA.1.3</x:v>
      </x:c>
      <x:c r="G1246" s="14" t="str">
        <x:f>'Research &amp; Analysis'!F518</x:f>
        <x:v>Identify best topic for Cycle</x:v>
      </x:c>
      <x:c r="H1246" s="2" t="str">
        <x:f>IF('Research &amp; Analysis'!G518="","",'Research &amp; Analysis'!G518)</x:f>
      </x:c>
      <x:c r="I1246" s="12" t="str">
        <x:f>IF('Research &amp; Analysis'!H518="","",'Research &amp; Analysis'!H518)</x:f>
      </x:c>
      <x:c r="J1246" s="12" t="n">
        <x:f>IF('Research &amp; Analysis'!I518="","",'Research &amp; Analysis'!I518)</x:f>
        <x:v>46387</x:v>
      </x:c>
      <x:c r="K1246" s="12" t="str">
        <x:f>IF('Research &amp; Analysis'!J518="","",'Research &amp; Analysis'!J518)</x:f>
      </x:c>
      <x:c r="L1246" s="2" t="str">
        <x:f>IF('Research &amp; Analysis'!K518="","",'Research &amp; Analysis'!K518)</x:f>
      </x:c>
      <x:c r="M1246" s="2" t="n">
        <x:f>'Research &amp; Analysis'!Q518</x:f>
        <x:v>1</x:v>
      </x:c>
      <x:c r="N1246" s="2" t="str">
        <x:f>'Research &amp; Analysis'!L518</x:f>
        <x:v>Not started</x:v>
      </x:c>
      <x:c r="O1246" s="2" t="str">
        <x:f>'Research &amp; Analysis'!N518</x:f>
        <x:v>RA.CA.1.3.2026.CY4</x:v>
      </x:c>
      <x:c r="P1246" s="2" t="n">
        <x:f>'Research &amp; Analysis'!O518</x:f>
        <x:v>0</x:v>
      </x:c>
      <x:c r="Q1246" s="2" t="n">
        <x:f>SUBTOTAL(103,O1246)</x:f>
        <x:v>1</x:v>
      </x:c>
      <x:c r="R1246" s="2" t="n">
        <x:f>IF(AND(M1246=1,OR(Dashboard!$B$7="All",Dashboard!$B$7='Cycles &amp; Guide'!$C$5),OR(Dashboard!$D$7="All",Dashboard!$D$7=B1246),OR(Dashboard!$F$7="All",Dashboard!$F$7=C1246),OR(Dashboard!$H$7="All",Dashboard!$H$7=D1246),OR(Dashboard!$K$7="All",Dashboard!$K$7=E1246)),1,0)</x:f>
        <x:v>1</x:v>
      </x:c>
      <x:c r="S1246" s="2" t="n">
        <x:f>IF(R1246=1,SUM($R$10:R1246),0)</x:f>
        <x:v>873</x:v>
      </x:c>
      <x:c r="T1246" s="2" t="str">
        <x:v>Research &amp; Analysis</x:v>
      </x:c>
      <x:c r="U1246" s="2" t="n">
        <x:v>518</x:v>
      </x:c>
      <x:c r="V1246" s="2" t="n">
        <x:f>IF(AND(M1246=1,P1246=0,ISNUMBER(J1246),J1246&lt;TODAY()),1,0)</x:f>
        <x:v>0</x:v>
      </x:c>
      <x:c r="W1246" s="2" t="str">
        <x:f>'Research &amp; Analysis'!M518</x:f>
        <x:v>Task</x:v>
      </x:c>
    </x:row>
    <x:row r="1247" ht="40" customHeight="1">
      <x:c r="A1247" s="3" t="str">
        <x:f>HYPERLINK("#'Research &amp; Analysis'!A519","Open")</x:f>
        <x:v>Open</x:v>
      </x:c>
      <x:c r="B1247" s="2" t="str">
        <x:f>'Research &amp; Analysis'!B519</x:f>
        <x:v>Cycle 4</x:v>
      </x:c>
      <x:c r="C1247" s="2" t="str">
        <x:f>'Research &amp; Analysis'!C519</x:f>
        <x:v>Phase 1</x:v>
      </x:c>
      <x:c r="D1247" s="2" t="str">
        <x:f>'Research &amp; Analysis'!D519</x:f>
        <x:v>Cards</x:v>
      </x:c>
      <x:c r="E1247" s="2" t="str">
        <x:v>Research &amp; Analysis</x:v>
      </x:c>
      <x:c r="F1247" s="56" t="str">
        <x:f>'Research &amp; Analysis'!E519</x:f>
        <x:v>RA.CA.1.4</x:v>
      </x:c>
      <x:c r="G1247" s="14" t="str">
        <x:f>'Research &amp; Analysis'!F519</x:f>
        <x:v>Identify backup topic for Cycle</x:v>
      </x:c>
      <x:c r="H1247" s="2" t="str">
        <x:f>IF('Research &amp; Analysis'!G519="","",'Research &amp; Analysis'!G519)</x:f>
      </x:c>
      <x:c r="I1247" s="12" t="str">
        <x:f>IF('Research &amp; Analysis'!H519="","",'Research &amp; Analysis'!H519)</x:f>
      </x:c>
      <x:c r="J1247" s="12" t="n">
        <x:f>IF('Research &amp; Analysis'!I519="","",'Research &amp; Analysis'!I519)</x:f>
        <x:v>46387</x:v>
      </x:c>
      <x:c r="K1247" s="12" t="str">
        <x:f>IF('Research &amp; Analysis'!J519="","",'Research &amp; Analysis'!J519)</x:f>
      </x:c>
      <x:c r="L1247" s="2" t="str">
        <x:f>IF('Research &amp; Analysis'!K519="","",'Research &amp; Analysis'!K519)</x:f>
      </x:c>
      <x:c r="M1247" s="2" t="n">
        <x:f>'Research &amp; Analysis'!Q519</x:f>
        <x:v>1</x:v>
      </x:c>
      <x:c r="N1247" s="2" t="str">
        <x:f>'Research &amp; Analysis'!L519</x:f>
        <x:v>Not started</x:v>
      </x:c>
      <x:c r="O1247" s="2" t="str">
        <x:f>'Research &amp; Analysis'!N519</x:f>
        <x:v>RA.CA.1.4.2026.CY4</x:v>
      </x:c>
      <x:c r="P1247" s="2" t="n">
        <x:f>'Research &amp; Analysis'!O519</x:f>
        <x:v>0</x:v>
      </x:c>
      <x:c r="Q1247" s="2" t="n">
        <x:f>SUBTOTAL(103,O1247)</x:f>
        <x:v>1</x:v>
      </x:c>
      <x:c r="R1247" s="2" t="n">
        <x:f>IF(AND(M1247=1,OR(Dashboard!$B$7="All",Dashboard!$B$7='Cycles &amp; Guide'!$C$5),OR(Dashboard!$D$7="All",Dashboard!$D$7=B1247),OR(Dashboard!$F$7="All",Dashboard!$F$7=C1247),OR(Dashboard!$H$7="All",Dashboard!$H$7=D1247),OR(Dashboard!$K$7="All",Dashboard!$K$7=E1247)),1,0)</x:f>
        <x:v>1</x:v>
      </x:c>
      <x:c r="S1247" s="2" t="n">
        <x:f>IF(R1247=1,SUM($R$10:R1247),0)</x:f>
        <x:v>874</x:v>
      </x:c>
      <x:c r="T1247" s="2" t="str">
        <x:v>Research &amp; Analysis</x:v>
      </x:c>
      <x:c r="U1247" s="2" t="n">
        <x:v>519</x:v>
      </x:c>
      <x:c r="V1247" s="2" t="n">
        <x:f>IF(AND(M1247=1,P1247=0,ISNUMBER(J1247),J1247&lt;TODAY()),1,0)</x:f>
        <x:v>0</x:v>
      </x:c>
      <x:c r="W1247" s="2" t="str">
        <x:f>'Research &amp; Analysis'!M519</x:f>
        <x:v>Task</x:v>
      </x:c>
    </x:row>
    <x:row r="1248" ht="40" customHeight="1">
      <x:c r="A1248" s="3" t="str">
        <x:f>HYPERLINK("#'Research &amp; Analysis'!A520","Open")</x:f>
        <x:v>Open</x:v>
      </x:c>
      <x:c r="B1248" s="2" t="str">
        <x:f>'Research &amp; Analysis'!B520</x:f>
        <x:v>Cycle 4</x:v>
      </x:c>
      <x:c r="C1248" s="2" t="str">
        <x:f>'Research &amp; Analysis'!C520</x:f>
        <x:v>Phase 1</x:v>
      </x:c>
      <x:c r="D1248" s="2" t="str">
        <x:f>'Research &amp; Analysis'!D520</x:f>
        <x:v>Cards</x:v>
      </x:c>
      <x:c r="E1248" s="2" t="str">
        <x:v>Research &amp; Analysis</x:v>
      </x:c>
      <x:c r="F1248" s="56" t="str">
        <x:f>'Research &amp; Analysis'!E520</x:f>
        <x:v>RA.CA.1.5</x:v>
      </x:c>
      <x:c r="G1248" s="14" t="str">
        <x:f>'Research &amp; Analysis'!F520</x:f>
        <x:v>Schedule topic approval meeting with D&amp;I and management</x:v>
      </x:c>
      <x:c r="H1248" s="2" t="str">
        <x:f>IF('Research &amp; Analysis'!G520="","",'Research &amp; Analysis'!G520)</x:f>
      </x:c>
      <x:c r="I1248" s="12" t="str">
        <x:f>IF('Research &amp; Analysis'!H520="","",'Research &amp; Analysis'!H520)</x:f>
      </x:c>
      <x:c r="J1248" s="12" t="n">
        <x:f>IF('Research &amp; Analysis'!I520="","",'Research &amp; Analysis'!I520)</x:f>
        <x:v>46387</x:v>
      </x:c>
      <x:c r="K1248" s="12" t="str">
        <x:f>IF('Research &amp; Analysis'!J520="","",'Research &amp; Analysis'!J520)</x:f>
      </x:c>
      <x:c r="L1248" s="2" t="str">
        <x:f>IF('Research &amp; Analysis'!K520="","",'Research &amp; Analysis'!K520)</x:f>
      </x:c>
      <x:c r="M1248" s="2" t="n">
        <x:f>'Research &amp; Analysis'!Q520</x:f>
        <x:v>1</x:v>
      </x:c>
      <x:c r="N1248" s="2" t="str">
        <x:f>'Research &amp; Analysis'!L520</x:f>
        <x:v>Not started</x:v>
      </x:c>
      <x:c r="O1248" s="2" t="str">
        <x:f>'Research &amp; Analysis'!N520</x:f>
        <x:v>RA.CA.1.5.2026.CY4</x:v>
      </x:c>
      <x:c r="P1248" s="2" t="n">
        <x:f>'Research &amp; Analysis'!O520</x:f>
        <x:v>0</x:v>
      </x:c>
      <x:c r="Q1248" s="2" t="n">
        <x:f>SUBTOTAL(103,O1248)</x:f>
        <x:v>1</x:v>
      </x:c>
      <x:c r="R1248" s="2" t="n">
        <x:f>IF(AND(M1248=1,OR(Dashboard!$B$7="All",Dashboard!$B$7='Cycles &amp; Guide'!$C$5),OR(Dashboard!$D$7="All",Dashboard!$D$7=B1248),OR(Dashboard!$F$7="All",Dashboard!$F$7=C1248),OR(Dashboard!$H$7="All",Dashboard!$H$7=D1248),OR(Dashboard!$K$7="All",Dashboard!$K$7=E1248)),1,0)</x:f>
        <x:v>1</x:v>
      </x:c>
      <x:c r="S1248" s="2" t="n">
        <x:f>IF(R1248=1,SUM($R$10:R1248),0)</x:f>
        <x:v>875</x:v>
      </x:c>
      <x:c r="T1248" s="2" t="str">
        <x:v>Research &amp; Analysis</x:v>
      </x:c>
      <x:c r="U1248" s="2" t="n">
        <x:v>520</x:v>
      </x:c>
      <x:c r="V1248" s="2" t="n">
        <x:f>IF(AND(M1248=1,P1248=0,ISNUMBER(J1248),J1248&lt;TODAY()),1,0)</x:f>
        <x:v>0</x:v>
      </x:c>
      <x:c r="W1248" s="2" t="str">
        <x:f>'Research &amp; Analysis'!M520</x:f>
        <x:v>Task</x:v>
      </x:c>
    </x:row>
    <x:row r="1249" ht="40" customHeight="1">
      <x:c r="A1249" s="3" t="str">
        <x:f>HYPERLINK("#'Research &amp; Analysis'!A521","Open")</x:f>
        <x:v>Open</x:v>
      </x:c>
      <x:c r="B1249" s="2" t="str">
        <x:f>'Research &amp; Analysis'!B521</x:f>
        <x:v>Cycle 4</x:v>
      </x:c>
      <x:c r="C1249" s="2" t="str">
        <x:f>'Research &amp; Analysis'!C521</x:f>
        <x:v>Phase 1</x:v>
      </x:c>
      <x:c r="D1249" s="2" t="str">
        <x:f>'Research &amp; Analysis'!D521</x:f>
        <x:v>Cards</x:v>
      </x:c>
      <x:c r="E1249" s="2" t="str">
        <x:v>Research &amp; Analysis</x:v>
      </x:c>
      <x:c r="F1249" s="56" t="str">
        <x:f>'Research &amp; Analysis'!E521</x:f>
        <x:v>RA.CA.1.6</x:v>
      </x:c>
      <x:c r="G1249" s="14" t="str">
        <x:f>'Research &amp; Analysis'!F521</x:f>
        <x:v>Present recommended topic to D&amp;I and management for approval</x:v>
      </x:c>
      <x:c r="H1249" s="2" t="str">
        <x:f>IF('Research &amp; Analysis'!G521="","",'Research &amp; Analysis'!G521)</x:f>
      </x:c>
      <x:c r="I1249" s="12" t="str">
        <x:f>IF('Research &amp; Analysis'!H521="","",'Research &amp; Analysis'!H521)</x:f>
      </x:c>
      <x:c r="J1249" s="12" t="n">
        <x:f>IF('Research &amp; Analysis'!I521="","",'Research &amp; Analysis'!I521)</x:f>
        <x:v>46387</x:v>
      </x:c>
      <x:c r="K1249" s="12" t="str">
        <x:f>IF('Research &amp; Analysis'!J521="","",'Research &amp; Analysis'!J521)</x:f>
      </x:c>
      <x:c r="L1249" s="2" t="str">
        <x:f>IF('Research &amp; Analysis'!K521="","",'Research &amp; Analysis'!K521)</x:f>
      </x:c>
      <x:c r="M1249" s="2" t="n">
        <x:f>'Research &amp; Analysis'!Q521</x:f>
        <x:v>1</x:v>
      </x:c>
      <x:c r="N1249" s="2" t="str">
        <x:f>'Research &amp; Analysis'!L521</x:f>
        <x:v>Not started</x:v>
      </x:c>
      <x:c r="O1249" s="2" t="str">
        <x:f>'Research &amp; Analysis'!N521</x:f>
        <x:v>RA.CA.1.6.2026.CY4</x:v>
      </x:c>
      <x:c r="P1249" s="2" t="n">
        <x:f>'Research &amp; Analysis'!O521</x:f>
        <x:v>0</x:v>
      </x:c>
      <x:c r="Q1249" s="2" t="n">
        <x:f>SUBTOTAL(103,O1249)</x:f>
        <x:v>1</x:v>
      </x:c>
      <x:c r="R1249" s="2" t="n">
        <x:f>IF(AND(M1249=1,OR(Dashboard!$B$7="All",Dashboard!$B$7='Cycles &amp; Guide'!$C$5),OR(Dashboard!$D$7="All",Dashboard!$D$7=B1249),OR(Dashboard!$F$7="All",Dashboard!$F$7=C1249),OR(Dashboard!$H$7="All",Dashboard!$H$7=D1249),OR(Dashboard!$K$7="All",Dashboard!$K$7=E1249)),1,0)</x:f>
        <x:v>1</x:v>
      </x:c>
      <x:c r="S1249" s="2" t="n">
        <x:f>IF(R1249=1,SUM($R$10:R1249),0)</x:f>
        <x:v>876</x:v>
      </x:c>
      <x:c r="T1249" s="2" t="str">
        <x:v>Research &amp; Analysis</x:v>
      </x:c>
      <x:c r="U1249" s="2" t="n">
        <x:v>521</x:v>
      </x:c>
      <x:c r="V1249" s="2" t="n">
        <x:f>IF(AND(M1249=1,P1249=0,ISNUMBER(J1249),J1249&lt;TODAY()),1,0)</x:f>
        <x:v>0</x:v>
      </x:c>
      <x:c r="W1249" s="2" t="str">
        <x:f>'Research &amp; Analysis'!M521</x:f>
        <x:v>Task</x:v>
      </x:c>
    </x:row>
    <x:row r="1250" ht="40" customHeight="1">
      <x:c r="A1250" s="3" t="str">
        <x:f>HYPERLINK("#'Research &amp; Analysis'!A522","Open")</x:f>
        <x:v>Open</x:v>
      </x:c>
      <x:c r="B1250" s="2" t="str">
        <x:f>'Research &amp; Analysis'!B522</x:f>
        <x:v>Cycle 4</x:v>
      </x:c>
      <x:c r="C1250" s="2" t="str">
        <x:f>'Research &amp; Analysis'!C522</x:f>
        <x:v>Phase 1</x:v>
      </x:c>
      <x:c r="D1250" s="2" t="str">
        <x:f>'Research &amp; Analysis'!D522</x:f>
        <x:v>Cards</x:v>
      </x:c>
      <x:c r="E1250" s="2" t="str">
        <x:v>Research &amp; Analysis</x:v>
      </x:c>
      <x:c r="F1250" s="56" t="str">
        <x:f>'Research &amp; Analysis'!E522</x:f>
        <x:v>RA.CA.1.7</x:v>
      </x:c>
      <x:c r="G1250" s="14" t="str">
        <x:f>'Research &amp; Analysis'!F522</x:f>
        <x:v>Obtain formal topic selection approval from management via SharePoint</x:v>
      </x:c>
      <x:c r="H1250" s="2" t="str">
        <x:f>IF('Research &amp; Analysis'!G522="","",'Research &amp; Analysis'!G522)</x:f>
      </x:c>
      <x:c r="I1250" s="12" t="str">
        <x:f>IF('Research &amp; Analysis'!H522="","",'Research &amp; Analysis'!H522)</x:f>
      </x:c>
      <x:c r="J1250" s="12" t="n">
        <x:f>IF('Research &amp; Analysis'!I522="","",'Research &amp; Analysis'!I522)</x:f>
        <x:v>46387</x:v>
      </x:c>
      <x:c r="K1250" s="12" t="str">
        <x:f>IF('Research &amp; Analysis'!J522="","",'Research &amp; Analysis'!J522)</x:f>
      </x:c>
      <x:c r="L1250" s="2" t="str">
        <x:f>IF('Research &amp; Analysis'!K522="","",'Research &amp; Analysis'!K522)</x:f>
      </x:c>
      <x:c r="M1250" s="2" t="n">
        <x:f>'Research &amp; Analysis'!Q522</x:f>
        <x:v>1</x:v>
      </x:c>
      <x:c r="N1250" s="2" t="str">
        <x:f>'Research &amp; Analysis'!L522</x:f>
        <x:v>Not started</x:v>
      </x:c>
      <x:c r="O1250" s="2" t="str">
        <x:f>'Research &amp; Analysis'!N522</x:f>
        <x:v>RA.CA.1.7.2026.CY4</x:v>
      </x:c>
      <x:c r="P1250" s="2" t="n">
        <x:f>'Research &amp; Analysis'!O522</x:f>
        <x:v>0</x:v>
      </x:c>
      <x:c r="Q1250" s="2" t="n">
        <x:f>SUBTOTAL(103,O1250)</x:f>
        <x:v>1</x:v>
      </x:c>
      <x:c r="R1250" s="2" t="n">
        <x:f>IF(AND(M1250=1,OR(Dashboard!$B$7="All",Dashboard!$B$7='Cycles &amp; Guide'!$C$5),OR(Dashboard!$D$7="All",Dashboard!$D$7=B1250),OR(Dashboard!$F$7="All",Dashboard!$F$7=C1250),OR(Dashboard!$H$7="All",Dashboard!$H$7=D1250),OR(Dashboard!$K$7="All",Dashboard!$K$7=E1250)),1,0)</x:f>
        <x:v>1</x:v>
      </x:c>
      <x:c r="S1250" s="2" t="n">
        <x:f>IF(R1250=1,SUM($R$10:R1250),0)</x:f>
        <x:v>877</x:v>
      </x:c>
      <x:c r="T1250" s="2" t="str">
        <x:v>Research &amp; Analysis</x:v>
      </x:c>
      <x:c r="U1250" s="2" t="n">
        <x:v>522</x:v>
      </x:c>
      <x:c r="V1250" s="2" t="n">
        <x:f>IF(AND(M1250=1,P1250=0,ISNUMBER(J1250),J1250&lt;TODAY()),1,0)</x:f>
        <x:v>0</x:v>
      </x:c>
      <x:c r="W1250" s="2" t="str">
        <x:f>'Research &amp; Analysis'!M522</x:f>
        <x:v>Task</x:v>
      </x:c>
    </x:row>
    <x:row r="1251" ht="40" customHeight="1">
      <x:c r="A1251" s="3" t="str">
        <x:f>HYPERLINK("#'Research &amp; Analysis'!A523","Open")</x:f>
        <x:v>Open</x:v>
      </x:c>
      <x:c r="B1251" s="2" t="str">
        <x:f>'Research &amp; Analysis'!B523</x:f>
        <x:v>Cycle 4</x:v>
      </x:c>
      <x:c r="C1251" s="2" t="str">
        <x:f>'Research &amp; Analysis'!C523</x:f>
        <x:v>Phase 1</x:v>
      </x:c>
      <x:c r="D1251" s="2" t="str">
        <x:f>'Research &amp; Analysis'!D523</x:f>
        <x:v>Cards</x:v>
      </x:c>
      <x:c r="E1251" s="2" t="str">
        <x:v>Research &amp; Analysis</x:v>
      </x:c>
      <x:c r="F1251" s="56" t="str">
        <x:f>'Research &amp; Analysis'!E523</x:f>
        <x:v>RA.CA.1.8</x:v>
      </x:c>
      <x:c r="G1251" s="14" t="str">
        <x:f>'Research &amp; Analysis'!F523</x:f>
        <x:v>Socialize topic selection with product owners and subject matter experts (if known)</x:v>
      </x:c>
      <x:c r="H1251" s="2" t="str">
        <x:f>IF('Research &amp; Analysis'!G523="","",'Research &amp; Analysis'!G523)</x:f>
      </x:c>
      <x:c r="I1251" s="12" t="str">
        <x:f>IF('Research &amp; Analysis'!H523="","",'Research &amp; Analysis'!H523)</x:f>
      </x:c>
      <x:c r="J1251" s="12" t="n">
        <x:f>IF('Research &amp; Analysis'!I523="","",'Research &amp; Analysis'!I523)</x:f>
        <x:v>46387</x:v>
      </x:c>
      <x:c r="K1251" s="12" t="str">
        <x:f>IF('Research &amp; Analysis'!J523="","",'Research &amp; Analysis'!J523)</x:f>
      </x:c>
      <x:c r="L1251" s="2" t="str">
        <x:f>IF('Research &amp; Analysis'!K523="","",'Research &amp; Analysis'!K523)</x:f>
      </x:c>
      <x:c r="M1251" s="2" t="n">
        <x:f>'Research &amp; Analysis'!Q523</x:f>
        <x:v>1</x:v>
      </x:c>
      <x:c r="N1251" s="2" t="str">
        <x:f>'Research &amp; Analysis'!L523</x:f>
        <x:v>Not started</x:v>
      </x:c>
      <x:c r="O1251" s="2" t="str">
        <x:f>'Research &amp; Analysis'!N523</x:f>
        <x:v>RA.CA.1.8.2026.CY4</x:v>
      </x:c>
      <x:c r="P1251" s="2" t="n">
        <x:f>'Research &amp; Analysis'!O523</x:f>
        <x:v>0</x:v>
      </x:c>
      <x:c r="Q1251" s="2" t="n">
        <x:f>SUBTOTAL(103,O1251)</x:f>
        <x:v>1</x:v>
      </x:c>
      <x:c r="R1251" s="2" t="n">
        <x:f>IF(AND(M1251=1,OR(Dashboard!$B$7="All",Dashboard!$B$7='Cycles &amp; Guide'!$C$5),OR(Dashboard!$D$7="All",Dashboard!$D$7=B1251),OR(Dashboard!$F$7="All",Dashboard!$F$7=C1251),OR(Dashboard!$H$7="All",Dashboard!$H$7=D1251),OR(Dashboard!$K$7="All",Dashboard!$K$7=E1251)),1,0)</x:f>
        <x:v>1</x:v>
      </x:c>
      <x:c r="S1251" s="2" t="n">
        <x:f>IF(R1251=1,SUM($R$10:R1251),0)</x:f>
        <x:v>878</x:v>
      </x:c>
      <x:c r="T1251" s="2" t="str">
        <x:v>Research &amp; Analysis</x:v>
      </x:c>
      <x:c r="U1251" s="2" t="n">
        <x:v>523</x:v>
      </x:c>
      <x:c r="V1251" s="2" t="n">
        <x:f>IF(AND(M1251=1,P1251=0,ISNUMBER(J1251),J1251&lt;TODAY()),1,0)</x:f>
        <x:v>0</x:v>
      </x:c>
      <x:c r="W1251" s="2" t="str">
        <x:f>'Research &amp; Analysis'!M523</x:f>
        <x:v>Task</x:v>
      </x:c>
    </x:row>
    <x:row r="1252" ht="40" customHeight="1">
      <x:c r="A1252" s="3" t="str">
        <x:f>HYPERLINK("#'Research &amp; Analysis'!A524","Open")</x:f>
        <x:v>Open</x:v>
      </x:c>
      <x:c r="B1252" s="2" t="str">
        <x:f>'Research &amp; Analysis'!B524</x:f>
        <x:v>Cycle 4</x:v>
      </x:c>
      <x:c r="C1252" s="2" t="str">
        <x:f>'Research &amp; Analysis'!C524</x:f>
        <x:v>Phase 1</x:v>
      </x:c>
      <x:c r="D1252" s="2" t="str">
        <x:f>'Research &amp; Analysis'!D524</x:f>
        <x:v>Cards</x:v>
      </x:c>
      <x:c r="E1252" s="2" t="str">
        <x:v>Research &amp; Analysis</x:v>
      </x:c>
      <x:c r="F1252" s="56" t="str">
        <x:f>'Research &amp; Analysis'!E524</x:f>
        <x:v>RA.CA.1.9</x:v>
      </x:c>
      <x:c r="G1252" s="14" t="str">
        <x:f>'Research &amp; Analysis'!F524</x:f>
        <x:v>Assign topic researchers</x:v>
      </x:c>
      <x:c r="H1252" s="2" t="str">
        <x:f>IF('Research &amp; Analysis'!G524="","",'Research &amp; Analysis'!G524)</x:f>
      </x:c>
      <x:c r="I1252" s="12" t="str">
        <x:f>IF('Research &amp; Analysis'!H524="","",'Research &amp; Analysis'!H524)</x:f>
      </x:c>
      <x:c r="J1252" s="12" t="n">
        <x:f>IF('Research &amp; Analysis'!I524="","",'Research &amp; Analysis'!I524)</x:f>
        <x:v>46387</x:v>
      </x:c>
      <x:c r="K1252" s="12" t="str">
        <x:f>IF('Research &amp; Analysis'!J524="","",'Research &amp; Analysis'!J524)</x:f>
      </x:c>
      <x:c r="L1252" s="2" t="str">
        <x:f>IF('Research &amp; Analysis'!K524="","",'Research &amp; Analysis'!K524)</x:f>
      </x:c>
      <x:c r="M1252" s="2" t="n">
        <x:f>'Research &amp; Analysis'!Q524</x:f>
        <x:v>1</x:v>
      </x:c>
      <x:c r="N1252" s="2" t="str">
        <x:f>'Research &amp; Analysis'!L524</x:f>
        <x:v>Not started</x:v>
      </x:c>
      <x:c r="O1252" s="2" t="str">
        <x:f>'Research &amp; Analysis'!N524</x:f>
        <x:v>RA.CA.1.9.2026.CY4</x:v>
      </x:c>
      <x:c r="P1252" s="2" t="n">
        <x:f>'Research &amp; Analysis'!O524</x:f>
        <x:v>0</x:v>
      </x:c>
      <x:c r="Q1252" s="2" t="n">
        <x:f>SUBTOTAL(103,O1252)</x:f>
        <x:v>1</x:v>
      </x:c>
      <x:c r="R1252" s="2" t="n">
        <x:f>IF(AND(M1252=1,OR(Dashboard!$B$7="All",Dashboard!$B$7='Cycles &amp; Guide'!$C$5),OR(Dashboard!$D$7="All",Dashboard!$D$7=B1252),OR(Dashboard!$F$7="All",Dashboard!$F$7=C1252),OR(Dashboard!$H$7="All",Dashboard!$H$7=D1252),OR(Dashboard!$K$7="All",Dashboard!$K$7=E1252)),1,0)</x:f>
        <x:v>1</x:v>
      </x:c>
      <x:c r="S1252" s="2" t="n">
        <x:f>IF(R1252=1,SUM($R$10:R1252),0)</x:f>
        <x:v>879</x:v>
      </x:c>
      <x:c r="T1252" s="2" t="str">
        <x:v>Research &amp; Analysis</x:v>
      </x:c>
      <x:c r="U1252" s="2" t="n">
        <x:v>524</x:v>
      </x:c>
      <x:c r="V1252" s="2" t="n">
        <x:f>IF(AND(M1252=1,P1252=0,ISNUMBER(J1252),J1252&lt;TODAY()),1,0)</x:f>
        <x:v>0</x:v>
      </x:c>
      <x:c r="W1252" s="2" t="str">
        <x:f>'Research &amp; Analysis'!M524</x:f>
        <x:v>Task</x:v>
      </x:c>
    </x:row>
    <x:row r="1253" ht="40" customHeight="1">
      <x:c r="A1253" s="3" t="str">
        <x:f>HYPERLINK("#'Research &amp; Analysis'!A525","Open")</x:f>
        <x:v>Open</x:v>
      </x:c>
      <x:c r="B1253" s="2" t="str">
        <x:f>'Research &amp; Analysis'!B525</x:f>
        <x:v>Cycle 4</x:v>
      </x:c>
      <x:c r="C1253" s="2" t="str">
        <x:f>'Research &amp; Analysis'!C525</x:f>
        <x:v>Phase 2</x:v>
      </x:c>
      <x:c r="D1253" s="2" t="str">
        <x:f>'Research &amp; Analysis'!D525</x:f>
        <x:v>Cards</x:v>
      </x:c>
      <x:c r="E1253" s="2" t="str">
        <x:v>Research &amp; Analysis</x:v>
      </x:c>
      <x:c r="F1253" s="56" t="str">
        <x:f>'Research &amp; Analysis'!E525</x:f>
        <x:v>RA.CA.2.1</x:v>
      </x:c>
      <x:c r="G1253" s="14" t="str">
        <x:f>'Research &amp; Analysis'!F525</x:f>
        <x:v>Review data sources</x:v>
      </x:c>
      <x:c r="H1253" s="2" t="str">
        <x:f>IF('Research &amp; Analysis'!G525="","",'Research &amp; Analysis'!G525)</x:f>
      </x:c>
      <x:c r="I1253" s="12" t="str">
        <x:f>IF('Research &amp; Analysis'!H525="","",'Research &amp; Analysis'!H525)</x:f>
      </x:c>
      <x:c r="J1253" s="12" t="n">
        <x:f>IF('Research &amp; Analysis'!I525="","",'Research &amp; Analysis'!I525)</x:f>
        <x:v>46387</x:v>
      </x:c>
      <x:c r="K1253" s="12" t="str">
        <x:f>IF('Research &amp; Analysis'!J525="","",'Research &amp; Analysis'!J525)</x:f>
      </x:c>
      <x:c r="L1253" s="2" t="str">
        <x:f>IF('Research &amp; Analysis'!K525="","",'Research &amp; Analysis'!K525)</x:f>
      </x:c>
      <x:c r="M1253" s="2" t="n">
        <x:f>'Research &amp; Analysis'!Q525</x:f>
        <x:v>1</x:v>
      </x:c>
      <x:c r="N1253" s="2" t="str">
        <x:f>'Research &amp; Analysis'!L525</x:f>
        <x:v>Not started</x:v>
      </x:c>
      <x:c r="O1253" s="2" t="str">
        <x:f>'Research &amp; Analysis'!N525</x:f>
        <x:v>RA.CA.2.1.2026.CY4</x:v>
      </x:c>
      <x:c r="P1253" s="2" t="n">
        <x:f>'Research &amp; Analysis'!O525</x:f>
        <x:v>0</x:v>
      </x:c>
      <x:c r="Q1253" s="2" t="n">
        <x:f>SUBTOTAL(103,O1253)</x:f>
        <x:v>1</x:v>
      </x:c>
      <x:c r="R1253" s="2" t="n">
        <x:f>IF(AND(M1253=1,OR(Dashboard!$B$7="All",Dashboard!$B$7='Cycles &amp; Guide'!$C$5),OR(Dashboard!$D$7="All",Dashboard!$D$7=B1253),OR(Dashboard!$F$7="All",Dashboard!$F$7=C1253),OR(Dashboard!$H$7="All",Dashboard!$H$7=D1253),OR(Dashboard!$K$7="All",Dashboard!$K$7=E1253)),1,0)</x:f>
        <x:v>1</x:v>
      </x:c>
      <x:c r="S1253" s="2" t="n">
        <x:f>IF(R1253=1,SUM($R$10:R1253),0)</x:f>
        <x:v>880</x:v>
      </x:c>
      <x:c r="T1253" s="2" t="str">
        <x:v>Research &amp; Analysis</x:v>
      </x:c>
      <x:c r="U1253" s="2" t="n">
        <x:v>525</x:v>
      </x:c>
      <x:c r="V1253" s="2" t="n">
        <x:f>IF(AND(M1253=1,P1253=0,ISNUMBER(J1253),J1253&lt;TODAY()),1,0)</x:f>
        <x:v>0</x:v>
      </x:c>
      <x:c r="W1253" s="2" t="str">
        <x:f>'Research &amp; Analysis'!M525</x:f>
        <x:v>Task</x:v>
      </x:c>
    </x:row>
    <x:row r="1254" ht="40" customHeight="1">
      <x:c r="A1254" s="3" t="str">
        <x:f>HYPERLINK("#'Research &amp; Analysis'!A526","Open")</x:f>
        <x:v>Open</x:v>
      </x:c>
      <x:c r="B1254" s="2" t="str">
        <x:f>'Research &amp; Analysis'!B526</x:f>
        <x:v>Cycle 4</x:v>
      </x:c>
      <x:c r="C1254" s="2" t="str">
        <x:f>'Research &amp; Analysis'!C526</x:f>
        <x:v>Phase 2</x:v>
      </x:c>
      <x:c r="D1254" s="2" t="str">
        <x:f>'Research &amp; Analysis'!D526</x:f>
        <x:v>Cards</x:v>
      </x:c>
      <x:c r="E1254" s="2" t="str">
        <x:v>Research &amp; Analysis</x:v>
      </x:c>
      <x:c r="F1254" s="56" t="str">
        <x:f>'Research &amp; Analysis'!E526</x:f>
        <x:v>RA.CA.2.2</x:v>
      </x:c>
      <x:c r="G1254" s="14" t="str">
        <x:f>'Research &amp; Analysis'!F526</x:f>
        <x:v>Review relevant policies and procedures</x:v>
      </x:c>
      <x:c r="H1254" s="2" t="str">
        <x:f>IF('Research &amp; Analysis'!G526="","",'Research &amp; Analysis'!G526)</x:f>
      </x:c>
      <x:c r="I1254" s="12" t="str">
        <x:f>IF('Research &amp; Analysis'!H526="","",'Research &amp; Analysis'!H526)</x:f>
      </x:c>
      <x:c r="J1254" s="12" t="n">
        <x:f>IF('Research &amp; Analysis'!I526="","",'Research &amp; Analysis'!I526)</x:f>
        <x:v>46387</x:v>
      </x:c>
      <x:c r="K1254" s="12" t="str">
        <x:f>IF('Research &amp; Analysis'!J526="","",'Research &amp; Analysis'!J526)</x:f>
      </x:c>
      <x:c r="L1254" s="2" t="str">
        <x:f>IF('Research &amp; Analysis'!K526="","",'Research &amp; Analysis'!K526)</x:f>
      </x:c>
      <x:c r="M1254" s="2" t="n">
        <x:f>'Research &amp; Analysis'!Q526</x:f>
        <x:v>1</x:v>
      </x:c>
      <x:c r="N1254" s="2" t="str">
        <x:f>'Research &amp; Analysis'!L526</x:f>
        <x:v>Not started</x:v>
      </x:c>
      <x:c r="O1254" s="2" t="str">
        <x:f>'Research &amp; Analysis'!N526</x:f>
        <x:v>RA.CA.2.2.2026.CY4</x:v>
      </x:c>
      <x:c r="P1254" s="2" t="n">
        <x:f>'Research &amp; Analysis'!O526</x:f>
        <x:v>0</x:v>
      </x:c>
      <x:c r="Q1254" s="2" t="n">
        <x:f>SUBTOTAL(103,O1254)</x:f>
        <x:v>1</x:v>
      </x:c>
      <x:c r="R1254" s="2" t="n">
        <x:f>IF(AND(M1254=1,OR(Dashboard!$B$7="All",Dashboard!$B$7='Cycles &amp; Guide'!$C$5),OR(Dashboard!$D$7="All",Dashboard!$D$7=B1254),OR(Dashboard!$F$7="All",Dashboard!$F$7=C1254),OR(Dashboard!$H$7="All",Dashboard!$H$7=D1254),OR(Dashboard!$K$7="All",Dashboard!$K$7=E1254)),1,0)</x:f>
        <x:v>1</x:v>
      </x:c>
      <x:c r="S1254" s="2" t="n">
        <x:f>IF(R1254=1,SUM($R$10:R1254),0)</x:f>
        <x:v>881</x:v>
      </x:c>
      <x:c r="T1254" s="2" t="str">
        <x:v>Research &amp; Analysis</x:v>
      </x:c>
      <x:c r="U1254" s="2" t="n">
        <x:v>526</x:v>
      </x:c>
      <x:c r="V1254" s="2" t="n">
        <x:f>IF(AND(M1254=1,P1254=0,ISNUMBER(J1254),J1254&lt;TODAY()),1,0)</x:f>
        <x:v>0</x:v>
      </x:c>
      <x:c r="W1254" s="2" t="str">
        <x:f>'Research &amp; Analysis'!M526</x:f>
        <x:v>Task</x:v>
      </x:c>
    </x:row>
    <x:row r="1255" ht="40" customHeight="1">
      <x:c r="A1255" s="3" t="str">
        <x:f>HYPERLINK("#'Research &amp; Analysis'!A527","Open")</x:f>
        <x:v>Open</x:v>
      </x:c>
      <x:c r="B1255" s="2" t="str">
        <x:f>'Research &amp; Analysis'!B527</x:f>
        <x:v>Cycle 4</x:v>
      </x:c>
      <x:c r="C1255" s="2" t="str">
        <x:f>'Research &amp; Analysis'!C527</x:f>
        <x:v>Phase 2</x:v>
      </x:c>
      <x:c r="D1255" s="2" t="str">
        <x:f>'Research &amp; Analysis'!D527</x:f>
        <x:v>Cards</x:v>
      </x:c>
      <x:c r="E1255" s="2" t="str">
        <x:v>Research &amp; Analysis</x:v>
      </x:c>
      <x:c r="F1255" s="56" t="str">
        <x:f>'Research &amp; Analysis'!E527</x:f>
        <x:v>RA.CA.2.3</x:v>
      </x:c>
      <x:c r="G1255" s="14" t="str">
        <x:f>'Research &amp; Analysis'!F527</x:f>
        <x:v>Meet with SMEs to gain business insight and clarify questions</x:v>
      </x:c>
      <x:c r="H1255" s="2" t="str">
        <x:f>IF('Research &amp; Analysis'!G527="","",'Research &amp; Analysis'!G527)</x:f>
      </x:c>
      <x:c r="I1255" s="12" t="str">
        <x:f>IF('Research &amp; Analysis'!H527="","",'Research &amp; Analysis'!H527)</x:f>
      </x:c>
      <x:c r="J1255" s="12" t="n">
        <x:f>IF('Research &amp; Analysis'!I527="","",'Research &amp; Analysis'!I527)</x:f>
        <x:v>46387</x:v>
      </x:c>
      <x:c r="K1255" s="12" t="str">
        <x:f>IF('Research &amp; Analysis'!J527="","",'Research &amp; Analysis'!J527)</x:f>
      </x:c>
      <x:c r="L1255" s="2" t="str">
        <x:f>IF('Research &amp; Analysis'!K527="","",'Research &amp; Analysis'!K527)</x:f>
      </x:c>
      <x:c r="M1255" s="2" t="n">
        <x:f>'Research &amp; Analysis'!Q527</x:f>
        <x:v>1</x:v>
      </x:c>
      <x:c r="N1255" s="2" t="str">
        <x:f>'Research &amp; Analysis'!L527</x:f>
        <x:v>Not started</x:v>
      </x:c>
      <x:c r="O1255" s="2" t="str">
        <x:f>'Research &amp; Analysis'!N527</x:f>
        <x:v>RA.CA.2.3.2026.CY4</x:v>
      </x:c>
      <x:c r="P1255" s="2" t="n">
        <x:f>'Research &amp; Analysis'!O527</x:f>
        <x:v>0</x:v>
      </x:c>
      <x:c r="Q1255" s="2" t="n">
        <x:f>SUBTOTAL(103,O1255)</x:f>
        <x:v>1</x:v>
      </x:c>
      <x:c r="R1255" s="2" t="n">
        <x:f>IF(AND(M1255=1,OR(Dashboard!$B$7="All",Dashboard!$B$7='Cycles &amp; Guide'!$C$5),OR(Dashboard!$D$7="All",Dashboard!$D$7=B1255),OR(Dashboard!$F$7="All",Dashboard!$F$7=C1255),OR(Dashboard!$H$7="All",Dashboard!$H$7=D1255),OR(Dashboard!$K$7="All",Dashboard!$K$7=E1255)),1,0)</x:f>
        <x:v>1</x:v>
      </x:c>
      <x:c r="S1255" s="2" t="n">
        <x:f>IF(R1255=1,SUM($R$10:R1255),0)</x:f>
        <x:v>882</x:v>
      </x:c>
      <x:c r="T1255" s="2" t="str">
        <x:v>Research &amp; Analysis</x:v>
      </x:c>
      <x:c r="U1255" s="2" t="n">
        <x:v>527</x:v>
      </x:c>
      <x:c r="V1255" s="2" t="n">
        <x:f>IF(AND(M1255=1,P1255=0,ISNUMBER(J1255),J1255&lt;TODAY()),1,0)</x:f>
        <x:v>0</x:v>
      </x:c>
      <x:c r="W1255" s="2" t="str">
        <x:f>'Research &amp; Analysis'!M527</x:f>
        <x:v>Task</x:v>
      </x:c>
    </x:row>
    <x:row r="1256" ht="40" customHeight="1">
      <x:c r="A1256" s="3" t="str">
        <x:f>HYPERLINK("#'Research &amp; Analysis'!A528","Open")</x:f>
        <x:v>Open</x:v>
      </x:c>
      <x:c r="B1256" s="2" t="str">
        <x:f>'Research &amp; Analysis'!B528</x:f>
        <x:v>Cycle 4</x:v>
      </x:c>
      <x:c r="C1256" s="2" t="str">
        <x:f>'Research &amp; Analysis'!C528</x:f>
        <x:v>Phase 2</x:v>
      </x:c>
      <x:c r="D1256" s="2" t="str">
        <x:f>'Research &amp; Analysis'!D528</x:f>
        <x:v>Cards</x:v>
      </x:c>
      <x:c r="E1256" s="2" t="str">
        <x:v>Research &amp; Analysis</x:v>
      </x:c>
      <x:c r="F1256" s="56" t="str">
        <x:f>'Research &amp; Analysis'!E528</x:f>
        <x:v>RA.CA.2.4</x:v>
      </x:c>
      <x:c r="G1256" s="14" t="str">
        <x:f>'Research &amp; Analysis'!F528</x:f>
        <x:v>Establish and maintain a recurring meeting with D&amp;I to discuss Cycle progress</x:v>
      </x:c>
      <x:c r="H1256" s="2" t="str">
        <x:f>IF('Research &amp; Analysis'!G528="","",'Research &amp; Analysis'!G528)</x:f>
      </x:c>
      <x:c r="I1256" s="12" t="str">
        <x:f>IF('Research &amp; Analysis'!H528="","",'Research &amp; Analysis'!H528)</x:f>
      </x:c>
      <x:c r="J1256" s="12" t="n">
        <x:f>IF('Research &amp; Analysis'!I528="","",'Research &amp; Analysis'!I528)</x:f>
        <x:v>46387</x:v>
      </x:c>
      <x:c r="K1256" s="12" t="str">
        <x:f>IF('Research &amp; Analysis'!J528="","",'Research &amp; Analysis'!J528)</x:f>
      </x:c>
      <x:c r="L1256" s="2" t="str">
        <x:f>IF('Research &amp; Analysis'!K528="","",'Research &amp; Analysis'!K528)</x:f>
      </x:c>
      <x:c r="M1256" s="2" t="n">
        <x:f>'Research &amp; Analysis'!Q528</x:f>
        <x:v>1</x:v>
      </x:c>
      <x:c r="N1256" s="2" t="str">
        <x:f>'Research &amp; Analysis'!L528</x:f>
        <x:v>Not started</x:v>
      </x:c>
      <x:c r="O1256" s="2" t="str">
        <x:f>'Research &amp; Analysis'!N528</x:f>
        <x:v>RA.CA.2.4.2026.CY4</x:v>
      </x:c>
      <x:c r="P1256" s="2" t="n">
        <x:f>'Research &amp; Analysis'!O528</x:f>
        <x:v>0</x:v>
      </x:c>
      <x:c r="Q1256" s="2" t="n">
        <x:f>SUBTOTAL(103,O1256)</x:f>
        <x:v>1</x:v>
      </x:c>
      <x:c r="R1256" s="2" t="n">
        <x:f>IF(AND(M1256=1,OR(Dashboard!$B$7="All",Dashboard!$B$7='Cycles &amp; Guide'!$C$5),OR(Dashboard!$D$7="All",Dashboard!$D$7=B1256),OR(Dashboard!$F$7="All",Dashboard!$F$7=C1256),OR(Dashboard!$H$7="All",Dashboard!$H$7=D1256),OR(Dashboard!$K$7="All",Dashboard!$K$7=E1256)),1,0)</x:f>
        <x:v>1</x:v>
      </x:c>
      <x:c r="S1256" s="2" t="n">
        <x:f>IF(R1256=1,SUM($R$10:R1256),0)</x:f>
        <x:v>883</x:v>
      </x:c>
      <x:c r="T1256" s="2" t="str">
        <x:v>Research &amp; Analysis</x:v>
      </x:c>
      <x:c r="U1256" s="2" t="n">
        <x:v>528</x:v>
      </x:c>
      <x:c r="V1256" s="2" t="n">
        <x:f>IF(AND(M1256=1,P1256=0,ISNUMBER(J1256),J1256&lt;TODAY()),1,0)</x:f>
        <x:v>0</x:v>
      </x:c>
      <x:c r="W1256" s="2" t="str">
        <x:f>'Research &amp; Analysis'!M528</x:f>
        <x:v>Task</x:v>
      </x:c>
    </x:row>
    <x:row r="1257" ht="40" customHeight="1">
      <x:c r="A1257" s="3" t="str">
        <x:f>HYPERLINK("#'Research &amp; Analysis'!A529","Open")</x:f>
        <x:v>Open</x:v>
      </x:c>
      <x:c r="B1257" s="2" t="str">
        <x:f>'Research &amp; Analysis'!B529</x:f>
        <x:v>Cycle 4</x:v>
      </x:c>
      <x:c r="C1257" s="2" t="str">
        <x:f>'Research &amp; Analysis'!C529</x:f>
        <x:v>Phase 2</x:v>
      </x:c>
      <x:c r="D1257" s="2" t="str">
        <x:f>'Research &amp; Analysis'!D529</x:f>
        <x:v>Cards</x:v>
      </x:c>
      <x:c r="E1257" s="2" t="str">
        <x:v>Research &amp; Analysis</x:v>
      </x:c>
      <x:c r="F1257" s="56" t="str">
        <x:f>'Research &amp; Analysis'!E529</x:f>
        <x:v>RA.CA.2.5</x:v>
      </x:c>
      <x:c r="G1257" s="14" t="str">
        <x:f>'Research &amp; Analysis'!F529</x:f>
        <x:v>Perform data testing and sampling</x:v>
      </x:c>
      <x:c r="H1257" s="2" t="str">
        <x:f>IF('Research &amp; Analysis'!G529="","",'Research &amp; Analysis'!G529)</x:f>
      </x:c>
      <x:c r="I1257" s="12" t="str">
        <x:f>IF('Research &amp; Analysis'!H529="","",'Research &amp; Analysis'!H529)</x:f>
      </x:c>
      <x:c r="J1257" s="12" t="n">
        <x:f>IF('Research &amp; Analysis'!I529="","",'Research &amp; Analysis'!I529)</x:f>
        <x:v>46387</x:v>
      </x:c>
      <x:c r="K1257" s="12" t="str">
        <x:f>IF('Research &amp; Analysis'!J529="","",'Research &amp; Analysis'!J529)</x:f>
      </x:c>
      <x:c r="L1257" s="2" t="str">
        <x:f>IF('Research &amp; Analysis'!K529="","",'Research &amp; Analysis'!K529)</x:f>
      </x:c>
      <x:c r="M1257" s="2" t="n">
        <x:f>'Research &amp; Analysis'!Q529</x:f>
        <x:v>1</x:v>
      </x:c>
      <x:c r="N1257" s="2" t="str">
        <x:f>'Research &amp; Analysis'!L529</x:f>
        <x:v>Not started</x:v>
      </x:c>
      <x:c r="O1257" s="2" t="str">
        <x:f>'Research &amp; Analysis'!N529</x:f>
        <x:v>RA.CA.2.5.2026.CY4</x:v>
      </x:c>
      <x:c r="P1257" s="2" t="n">
        <x:f>'Research &amp; Analysis'!O529</x:f>
        <x:v>0</x:v>
      </x:c>
      <x:c r="Q1257" s="2" t="n">
        <x:f>SUBTOTAL(103,O1257)</x:f>
        <x:v>1</x:v>
      </x:c>
      <x:c r="R1257" s="2" t="n">
        <x:f>IF(AND(M1257=1,OR(Dashboard!$B$7="All",Dashboard!$B$7='Cycles &amp; Guide'!$C$5),OR(Dashboard!$D$7="All",Dashboard!$D$7=B1257),OR(Dashboard!$F$7="All",Dashboard!$F$7=C1257),OR(Dashboard!$H$7="All",Dashboard!$H$7=D1257),OR(Dashboard!$K$7="All",Dashboard!$K$7=E1257)),1,0)</x:f>
        <x:v>1</x:v>
      </x:c>
      <x:c r="S1257" s="2" t="n">
        <x:f>IF(R1257=1,SUM($R$10:R1257),0)</x:f>
        <x:v>884</x:v>
      </x:c>
      <x:c r="T1257" s="2" t="str">
        <x:v>Research &amp; Analysis</x:v>
      </x:c>
      <x:c r="U1257" s="2" t="n">
        <x:v>529</x:v>
      </x:c>
      <x:c r="V1257" s="2" t="n">
        <x:f>IF(AND(M1257=1,P1257=0,ISNUMBER(J1257),J1257&lt;TODAY()),1,0)</x:f>
        <x:v>0</x:v>
      </x:c>
      <x:c r="W1257" s="2" t="str">
        <x:f>'Research &amp; Analysis'!M529</x:f>
        <x:v>Task</x:v>
      </x:c>
    </x:row>
    <x:row r="1258" ht="40" customHeight="1">
      <x:c r="A1258" s="3" t="str">
        <x:f>HYPERLINK("#'Research &amp; Analysis'!A530","Open")</x:f>
        <x:v>Open</x:v>
      </x:c>
      <x:c r="B1258" s="2" t="str">
        <x:f>'Research &amp; Analysis'!B530</x:f>
        <x:v>Cycle 4</x:v>
      </x:c>
      <x:c r="C1258" s="2" t="str">
        <x:f>'Research &amp; Analysis'!C530</x:f>
        <x:v>Phase 2</x:v>
      </x:c>
      <x:c r="D1258" s="2" t="str">
        <x:f>'Research &amp; Analysis'!D530</x:f>
        <x:v>Cards</x:v>
      </x:c>
      <x:c r="E1258" s="2" t="str">
        <x:v>Research &amp; Analysis</x:v>
      </x:c>
      <x:c r="F1258" s="56" t="str">
        <x:f>'Research &amp; Analysis'!E530</x:f>
        <x:v>RA.CA.2.6</x:v>
      </x:c>
      <x:c r="G1258" s="14" t="str">
        <x:f>'Research &amp; Analysis'!F530</x:f>
        <x:v>Complete Positive Testing</x:v>
      </x:c>
      <x:c r="H1258" s="2" t="str">
        <x:f>IF('Research &amp; Analysis'!G530="","",'Research &amp; Analysis'!G530)</x:f>
      </x:c>
      <x:c r="I1258" s="12" t="str">
        <x:f>IF('Research &amp; Analysis'!H530="","",'Research &amp; Analysis'!H530)</x:f>
      </x:c>
      <x:c r="J1258" s="12" t="n">
        <x:f>IF('Research &amp; Analysis'!I530="","",'Research &amp; Analysis'!I530)</x:f>
        <x:v>46387</x:v>
      </x:c>
      <x:c r="K1258" s="12" t="str">
        <x:f>IF('Research &amp; Analysis'!J530="","",'Research &amp; Analysis'!J530)</x:f>
      </x:c>
      <x:c r="L1258" s="2" t="str">
        <x:f>IF('Research &amp; Analysis'!K530="","",'Research &amp; Analysis'!K530)</x:f>
      </x:c>
      <x:c r="M1258" s="2" t="n">
        <x:f>'Research &amp; Analysis'!Q530</x:f>
        <x:v>1</x:v>
      </x:c>
      <x:c r="N1258" s="2" t="str">
        <x:f>'Research &amp; Analysis'!L530</x:f>
        <x:v>Not started</x:v>
      </x:c>
      <x:c r="O1258" s="2" t="str">
        <x:f>'Research &amp; Analysis'!N530</x:f>
        <x:v>RA.CA.2.6.2026.CY4</x:v>
      </x:c>
      <x:c r="P1258" s="2" t="n">
        <x:f>'Research &amp; Analysis'!O530</x:f>
        <x:v>0</x:v>
      </x:c>
      <x:c r="Q1258" s="2" t="n">
        <x:f>SUBTOTAL(103,O1258)</x:f>
        <x:v>1</x:v>
      </x:c>
      <x:c r="R1258" s="2" t="n">
        <x:f>IF(AND(M1258=1,OR(Dashboard!$B$7="All",Dashboard!$B$7='Cycles &amp; Guide'!$C$5),OR(Dashboard!$D$7="All",Dashboard!$D$7=B1258),OR(Dashboard!$F$7="All",Dashboard!$F$7=C1258),OR(Dashboard!$H$7="All",Dashboard!$H$7=D1258),OR(Dashboard!$K$7="All",Dashboard!$K$7=E1258)),1,0)</x:f>
        <x:v>1</x:v>
      </x:c>
      <x:c r="S1258" s="2" t="n">
        <x:f>IF(R1258=1,SUM($R$10:R1258),0)</x:f>
        <x:v>885</x:v>
      </x:c>
      <x:c r="T1258" s="2" t="str">
        <x:v>Research &amp; Analysis</x:v>
      </x:c>
      <x:c r="U1258" s="2" t="n">
        <x:v>530</x:v>
      </x:c>
      <x:c r="V1258" s="2" t="n">
        <x:f>IF(AND(M1258=1,P1258=0,ISNUMBER(J1258),J1258&lt;TODAY()),1,0)</x:f>
        <x:v>0</x:v>
      </x:c>
      <x:c r="W1258" s="2" t="str">
        <x:f>'Research &amp; Analysis'!M530</x:f>
        <x:v>Task</x:v>
      </x:c>
    </x:row>
    <x:row r="1259" ht="40" customHeight="1">
      <x:c r="A1259" s="3" t="str">
        <x:f>HYPERLINK("#'Research &amp; Analysis'!A531","Open")</x:f>
        <x:v>Open</x:v>
      </x:c>
      <x:c r="B1259" s="2" t="str">
        <x:f>'Research &amp; Analysis'!B531</x:f>
        <x:v>Cycle 4</x:v>
      </x:c>
      <x:c r="C1259" s="2" t="str">
        <x:f>'Research &amp; Analysis'!C531</x:f>
        <x:v>Phase 2</x:v>
      </x:c>
      <x:c r="D1259" s="2" t="str">
        <x:f>'Research &amp; Analysis'!D531</x:f>
        <x:v>Cards</x:v>
      </x:c>
      <x:c r="E1259" s="2" t="str">
        <x:v>Research &amp; Analysis</x:v>
      </x:c>
      <x:c r="F1259" s="56" t="str">
        <x:f>'Research &amp; Analysis'!E531</x:f>
        <x:v>RA.CA.2.7</x:v>
      </x:c>
      <x:c r="G1259" s="14" t="str">
        <x:f>'Research &amp; Analysis'!F531</x:f>
        <x:v>Complete Negative Testing</x:v>
      </x:c>
      <x:c r="H1259" s="2" t="str">
        <x:f>IF('Research &amp; Analysis'!G531="","",'Research &amp; Analysis'!G531)</x:f>
      </x:c>
      <x:c r="I1259" s="12" t="str">
        <x:f>IF('Research &amp; Analysis'!H531="","",'Research &amp; Analysis'!H531)</x:f>
      </x:c>
      <x:c r="J1259" s="12" t="n">
        <x:f>IF('Research &amp; Analysis'!I531="","",'Research &amp; Analysis'!I531)</x:f>
        <x:v>46387</x:v>
      </x:c>
      <x:c r="K1259" s="12" t="str">
        <x:f>IF('Research &amp; Analysis'!J531="","",'Research &amp; Analysis'!J531)</x:f>
      </x:c>
      <x:c r="L1259" s="2" t="str">
        <x:f>IF('Research &amp; Analysis'!K531="","",'Research &amp; Analysis'!K531)</x:f>
      </x:c>
      <x:c r="M1259" s="2" t="n">
        <x:f>'Research &amp; Analysis'!Q531</x:f>
        <x:v>1</x:v>
      </x:c>
      <x:c r="N1259" s="2" t="str">
        <x:f>'Research &amp; Analysis'!L531</x:f>
        <x:v>Not started</x:v>
      </x:c>
      <x:c r="O1259" s="2" t="str">
        <x:f>'Research &amp; Analysis'!N531</x:f>
        <x:v>RA.CA.2.7.2026.CY4</x:v>
      </x:c>
      <x:c r="P1259" s="2" t="n">
        <x:f>'Research &amp; Analysis'!O531</x:f>
        <x:v>0</x:v>
      </x:c>
      <x:c r="Q1259" s="2" t="n">
        <x:f>SUBTOTAL(103,O1259)</x:f>
        <x:v>1</x:v>
      </x:c>
      <x:c r="R1259" s="2" t="n">
        <x:f>IF(AND(M1259=1,OR(Dashboard!$B$7="All",Dashboard!$B$7='Cycles &amp; Guide'!$C$5),OR(Dashboard!$D$7="All",Dashboard!$D$7=B1259),OR(Dashboard!$F$7="All",Dashboard!$F$7=C1259),OR(Dashboard!$H$7="All",Dashboard!$H$7=D1259),OR(Dashboard!$K$7="All",Dashboard!$K$7=E1259)),1,0)</x:f>
        <x:v>1</x:v>
      </x:c>
      <x:c r="S1259" s="2" t="n">
        <x:f>IF(R1259=1,SUM($R$10:R1259),0)</x:f>
        <x:v>886</x:v>
      </x:c>
      <x:c r="T1259" s="2" t="str">
        <x:v>Research &amp; Analysis</x:v>
      </x:c>
      <x:c r="U1259" s="2" t="n">
        <x:v>531</x:v>
      </x:c>
      <x:c r="V1259" s="2" t="n">
        <x:f>IF(AND(M1259=1,P1259=0,ISNUMBER(J1259),J1259&lt;TODAY()),1,0)</x:f>
        <x:v>0</x:v>
      </x:c>
      <x:c r="W1259" s="2" t="str">
        <x:f>'Research &amp; Analysis'!M531</x:f>
        <x:v>Task</x:v>
      </x:c>
    </x:row>
    <x:row r="1260" ht="40" customHeight="1">
      <x:c r="A1260" s="3" t="str">
        <x:f>HYPERLINK("#'Research &amp; Analysis'!A532","Open")</x:f>
        <x:v>Open</x:v>
      </x:c>
      <x:c r="B1260" s="2" t="str">
        <x:f>'Research &amp; Analysis'!B532</x:f>
        <x:v>Cycle 4</x:v>
      </x:c>
      <x:c r="C1260" s="2" t="str">
        <x:f>'Research &amp; Analysis'!C532</x:f>
        <x:v>Phase 2</x:v>
      </x:c>
      <x:c r="D1260" s="2" t="str">
        <x:f>'Research &amp; Analysis'!D532</x:f>
        <x:v>Cards</x:v>
      </x:c>
      <x:c r="E1260" s="2" t="str">
        <x:v>Research &amp; Analysis</x:v>
      </x:c>
      <x:c r="F1260" s="56" t="str">
        <x:f>'Research &amp; Analysis'!E532</x:f>
        <x:v>RA.CA.2.8</x:v>
      </x:c>
      <x:c r="G1260" s="14" t="str">
        <x:f>'Research &amp; Analysis'!F532</x:f>
        <x:v>Request additional data (as needed)</x:v>
      </x:c>
      <x:c r="H1260" s="2" t="str">
        <x:f>IF('Research &amp; Analysis'!G532="","",'Research &amp; Analysis'!G532)</x:f>
      </x:c>
      <x:c r="I1260" s="12" t="str">
        <x:f>IF('Research &amp; Analysis'!H532="","",'Research &amp; Analysis'!H532)</x:f>
      </x:c>
      <x:c r="J1260" s="12" t="n">
        <x:f>IF('Research &amp; Analysis'!I532="","",'Research &amp; Analysis'!I532)</x:f>
        <x:v>46387</x:v>
      </x:c>
      <x:c r="K1260" s="12" t="str">
        <x:f>IF('Research &amp; Analysis'!J532="","",'Research &amp; Analysis'!J532)</x:f>
      </x:c>
      <x:c r="L1260" s="2" t="str">
        <x:f>IF('Research &amp; Analysis'!K532="","",'Research &amp; Analysis'!K532)</x:f>
      </x:c>
      <x:c r="M1260" s="2" t="n">
        <x:f>'Research &amp; Analysis'!Q532</x:f>
        <x:v>1</x:v>
      </x:c>
      <x:c r="N1260" s="2" t="str">
        <x:f>'Research &amp; Analysis'!L532</x:f>
        <x:v>Not started</x:v>
      </x:c>
      <x:c r="O1260" s="2" t="str">
        <x:f>'Research &amp; Analysis'!N532</x:f>
        <x:v>RA.CA.2.8.2026.CY4</x:v>
      </x:c>
      <x:c r="P1260" s="2" t="n">
        <x:f>'Research &amp; Analysis'!O532</x:f>
        <x:v>0</x:v>
      </x:c>
      <x:c r="Q1260" s="2" t="n">
        <x:f>SUBTOTAL(103,O1260)</x:f>
        <x:v>1</x:v>
      </x:c>
      <x:c r="R1260" s="2" t="n">
        <x:f>IF(AND(M1260=1,OR(Dashboard!$B$7="All",Dashboard!$B$7='Cycles &amp; Guide'!$C$5),OR(Dashboard!$D$7="All",Dashboard!$D$7=B1260),OR(Dashboard!$F$7="All",Dashboard!$F$7=C1260),OR(Dashboard!$H$7="All",Dashboard!$H$7=D1260),OR(Dashboard!$K$7="All",Dashboard!$K$7=E1260)),1,0)</x:f>
        <x:v>1</x:v>
      </x:c>
      <x:c r="S1260" s="2" t="n">
        <x:f>IF(R1260=1,SUM($R$10:R1260),0)</x:f>
        <x:v>887</x:v>
      </x:c>
      <x:c r="T1260" s="2" t="str">
        <x:v>Research &amp; Analysis</x:v>
      </x:c>
      <x:c r="U1260" s="2" t="n">
        <x:v>532</x:v>
      </x:c>
      <x:c r="V1260" s="2" t="n">
        <x:f>IF(AND(M1260=1,P1260=0,ISNUMBER(J1260),J1260&lt;TODAY()),1,0)</x:f>
        <x:v>0</x:v>
      </x:c>
      <x:c r="W1260" s="2" t="str">
        <x:f>'Research &amp; Analysis'!M532</x:f>
        <x:v>Task</x:v>
      </x:c>
    </x:row>
    <x:row r="1261" ht="40" customHeight="1">
      <x:c r="A1261" s="3" t="str">
        <x:f>HYPERLINK("#'Research &amp; Analysis'!A533","Open")</x:f>
        <x:v>Open</x:v>
      </x:c>
      <x:c r="B1261" s="2" t="str">
        <x:f>'Research &amp; Analysis'!B533</x:f>
        <x:v>Cycle 4</x:v>
      </x:c>
      <x:c r="C1261" s="2" t="str">
        <x:f>'Research &amp; Analysis'!C533</x:f>
        <x:v>Phase 2</x:v>
      </x:c>
      <x:c r="D1261" s="2" t="str">
        <x:f>'Research &amp; Analysis'!D533</x:f>
        <x:v>Cards</x:v>
      </x:c>
      <x:c r="E1261" s="2" t="str">
        <x:v>Research &amp; Analysis</x:v>
      </x:c>
      <x:c r="F1261" s="56" t="str">
        <x:f>'Research &amp; Analysis'!E533</x:f>
        <x:v>RA.CA.2.9</x:v>
      </x:c>
      <x:c r="G1261" s="14" t="str">
        <x:f>'Research &amp; Analysis'!F533</x:f>
        <x:v>Validate or disprove initial hypothesis assumptions</x:v>
      </x:c>
      <x:c r="H1261" s="2" t="str">
        <x:f>IF('Research &amp; Analysis'!G533="","",'Research &amp; Analysis'!G533)</x:f>
      </x:c>
      <x:c r="I1261" s="12" t="str">
        <x:f>IF('Research &amp; Analysis'!H533="","",'Research &amp; Analysis'!H533)</x:f>
      </x:c>
      <x:c r="J1261" s="12" t="n">
        <x:f>IF('Research &amp; Analysis'!I533="","",'Research &amp; Analysis'!I533)</x:f>
        <x:v>46387</x:v>
      </x:c>
      <x:c r="K1261" s="12" t="str">
        <x:f>IF('Research &amp; Analysis'!J533="","",'Research &amp; Analysis'!J533)</x:f>
      </x:c>
      <x:c r="L1261" s="2" t="str">
        <x:f>IF('Research &amp; Analysis'!K533="","",'Research &amp; Analysis'!K533)</x:f>
      </x:c>
      <x:c r="M1261" s="2" t="n">
        <x:f>'Research &amp; Analysis'!Q533</x:f>
        <x:v>1</x:v>
      </x:c>
      <x:c r="N1261" s="2" t="str">
        <x:f>'Research &amp; Analysis'!L533</x:f>
        <x:v>Not started</x:v>
      </x:c>
      <x:c r="O1261" s="2" t="str">
        <x:f>'Research &amp; Analysis'!N533</x:f>
        <x:v>RA.CA.2.9.2026.CY4</x:v>
      </x:c>
      <x:c r="P1261" s="2" t="n">
        <x:f>'Research &amp; Analysis'!O533</x:f>
        <x:v>0</x:v>
      </x:c>
      <x:c r="Q1261" s="2" t="n">
        <x:f>SUBTOTAL(103,O1261)</x:f>
        <x:v>1</x:v>
      </x:c>
      <x:c r="R1261" s="2" t="n">
        <x:f>IF(AND(M1261=1,OR(Dashboard!$B$7="All",Dashboard!$B$7='Cycles &amp; Guide'!$C$5),OR(Dashboard!$D$7="All",Dashboard!$D$7=B1261),OR(Dashboard!$F$7="All",Dashboard!$F$7=C1261),OR(Dashboard!$H$7="All",Dashboard!$H$7=D1261),OR(Dashboard!$K$7="All",Dashboard!$K$7=E1261)),1,0)</x:f>
        <x:v>1</x:v>
      </x:c>
      <x:c r="S1261" s="2" t="n">
        <x:f>IF(R1261=1,SUM($R$10:R1261),0)</x:f>
        <x:v>888</x:v>
      </x:c>
      <x:c r="T1261" s="2" t="str">
        <x:v>Research &amp; Analysis</x:v>
      </x:c>
      <x:c r="U1261" s="2" t="n">
        <x:v>533</x:v>
      </x:c>
      <x:c r="V1261" s="2" t="n">
        <x:f>IF(AND(M1261=1,P1261=0,ISNUMBER(J1261),J1261&lt;TODAY()),1,0)</x:f>
        <x:v>0</x:v>
      </x:c>
      <x:c r="W1261" s="2" t="str">
        <x:f>'Research &amp; Analysis'!M533</x:f>
        <x:v>Task</x:v>
      </x:c>
    </x:row>
    <x:row r="1262" ht="40" customHeight="1">
      <x:c r="A1262" s="3" t="str">
        <x:f>HYPERLINK("#'Research &amp; Analysis'!A534","Open")</x:f>
        <x:v>Open</x:v>
      </x:c>
      <x:c r="B1262" s="2" t="str">
        <x:f>'Research &amp; Analysis'!B534</x:f>
        <x:v>Cycle 4</x:v>
      </x:c>
      <x:c r="C1262" s="2" t="str">
        <x:f>'Research &amp; Analysis'!C534</x:f>
        <x:v>Phase 2</x:v>
      </x:c>
      <x:c r="D1262" s="2" t="str">
        <x:f>'Research &amp; Analysis'!D534</x:f>
        <x:v>Cards</x:v>
      </x:c>
      <x:c r="E1262" s="2" t="str">
        <x:v>Research &amp; Analysis</x:v>
      </x:c>
      <x:c r="F1262" s="56" t="str">
        <x:f>'Research &amp; Analysis'!E534</x:f>
        <x:v>RA.CA.2.10</x:v>
      </x:c>
      <x:c r="G1262" s="14" t="str">
        <x:f>'Research &amp; Analysis'!F534</x:f>
        <x:v>Identify and confirm root cause</x:v>
      </x:c>
      <x:c r="H1262" s="2" t="str">
        <x:f>IF('Research &amp; Analysis'!G534="","",'Research &amp; Analysis'!G534)</x:f>
      </x:c>
      <x:c r="I1262" s="12" t="str">
        <x:f>IF('Research &amp; Analysis'!H534="","",'Research &amp; Analysis'!H534)</x:f>
      </x:c>
      <x:c r="J1262" s="12" t="n">
        <x:f>IF('Research &amp; Analysis'!I534="","",'Research &amp; Analysis'!I534)</x:f>
        <x:v>46387</x:v>
      </x:c>
      <x:c r="K1262" s="12" t="str">
        <x:f>IF('Research &amp; Analysis'!J534="","",'Research &amp; Analysis'!J534)</x:f>
      </x:c>
      <x:c r="L1262" s="2" t="str">
        <x:f>IF('Research &amp; Analysis'!K534="","",'Research &amp; Analysis'!K534)</x:f>
      </x:c>
      <x:c r="M1262" s="2" t="n">
        <x:f>'Research &amp; Analysis'!Q534</x:f>
        <x:v>1</x:v>
      </x:c>
      <x:c r="N1262" s="2" t="str">
        <x:f>'Research &amp; Analysis'!L534</x:f>
        <x:v>Not started</x:v>
      </x:c>
      <x:c r="O1262" s="2" t="str">
        <x:f>'Research &amp; Analysis'!N534</x:f>
        <x:v>RA.CA.2.10.2026.CY4</x:v>
      </x:c>
      <x:c r="P1262" s="2" t="n">
        <x:f>'Research &amp; Analysis'!O534</x:f>
        <x:v>0</x:v>
      </x:c>
      <x:c r="Q1262" s="2" t="n">
        <x:f>SUBTOTAL(103,O1262)</x:f>
        <x:v>1</x:v>
      </x:c>
      <x:c r="R1262" s="2" t="n">
        <x:f>IF(AND(M1262=1,OR(Dashboard!$B$7="All",Dashboard!$B$7='Cycles &amp; Guide'!$C$5),OR(Dashboard!$D$7="All",Dashboard!$D$7=B1262),OR(Dashboard!$F$7="All",Dashboard!$F$7=C1262),OR(Dashboard!$H$7="All",Dashboard!$H$7=D1262),OR(Dashboard!$K$7="All",Dashboard!$K$7=E1262)),1,0)</x:f>
        <x:v>1</x:v>
      </x:c>
      <x:c r="S1262" s="2" t="n">
        <x:f>IF(R1262=1,SUM($R$10:R1262),0)</x:f>
        <x:v>889</x:v>
      </x:c>
      <x:c r="T1262" s="2" t="str">
        <x:v>Research &amp; Analysis</x:v>
      </x:c>
      <x:c r="U1262" s="2" t="n">
        <x:v>534</x:v>
      </x:c>
      <x:c r="V1262" s="2" t="n">
        <x:f>IF(AND(M1262=1,P1262=0,ISNUMBER(J1262),J1262&lt;TODAY()),1,0)</x:f>
        <x:v>0</x:v>
      </x:c>
      <x:c r="W1262" s="2" t="str">
        <x:f>'Research &amp; Analysis'!M534</x:f>
        <x:v>Task</x:v>
      </x:c>
    </x:row>
    <x:row r="1263" ht="40" customHeight="1">
      <x:c r="A1263" s="3" t="str">
        <x:f>HYPERLINK("#'Research &amp; Analysis'!A535","Open")</x:f>
        <x:v>Open</x:v>
      </x:c>
      <x:c r="B1263" s="2" t="str">
        <x:f>'Research &amp; Analysis'!B535</x:f>
        <x:v>Cycle 4</x:v>
      </x:c>
      <x:c r="C1263" s="2" t="str">
        <x:f>'Research &amp; Analysis'!C535</x:f>
        <x:v>Phase 3</x:v>
      </x:c>
      <x:c r="D1263" s="2" t="str">
        <x:f>'Research &amp; Analysis'!D535</x:f>
        <x:v>Cards</x:v>
      </x:c>
      <x:c r="E1263" s="2" t="str">
        <x:v>Research &amp; Analysis</x:v>
      </x:c>
      <x:c r="F1263" s="56" t="str">
        <x:f>'Research &amp; Analysis'!E535</x:f>
        <x:v>RA.CA.3.1</x:v>
      </x:c>
      <x:c r="G1263" s="14" t="str">
        <x:f>'Research &amp; Analysis'!F535</x:f>
        <x:v>Finalize results and supporting documentation</x:v>
      </x:c>
      <x:c r="H1263" s="2" t="str">
        <x:f>IF('Research &amp; Analysis'!G535="","",'Research &amp; Analysis'!G535)</x:f>
      </x:c>
      <x:c r="I1263" s="12" t="str">
        <x:f>IF('Research &amp; Analysis'!H535="","",'Research &amp; Analysis'!H535)</x:f>
      </x:c>
      <x:c r="J1263" s="12" t="n">
        <x:f>IF('Research &amp; Analysis'!I535="","",'Research &amp; Analysis'!I535)</x:f>
        <x:v>46387</x:v>
      </x:c>
      <x:c r="K1263" s="12" t="str">
        <x:f>IF('Research &amp; Analysis'!J535="","",'Research &amp; Analysis'!J535)</x:f>
      </x:c>
      <x:c r="L1263" s="2" t="str">
        <x:f>IF('Research &amp; Analysis'!K535="","",'Research &amp; Analysis'!K535)</x:f>
      </x:c>
      <x:c r="M1263" s="2" t="n">
        <x:f>'Research &amp; Analysis'!Q535</x:f>
        <x:v>1</x:v>
      </x:c>
      <x:c r="N1263" s="2" t="str">
        <x:f>'Research &amp; Analysis'!L535</x:f>
        <x:v>Not started</x:v>
      </x:c>
      <x:c r="O1263" s="2" t="str">
        <x:f>'Research &amp; Analysis'!N535</x:f>
        <x:v>RA.CA.3.1.2026.CY4</x:v>
      </x:c>
      <x:c r="P1263" s="2" t="n">
        <x:f>'Research &amp; Analysis'!O535</x:f>
        <x:v>0</x:v>
      </x:c>
      <x:c r="Q1263" s="2" t="n">
        <x:f>SUBTOTAL(103,O1263)</x:f>
        <x:v>1</x:v>
      </x:c>
      <x:c r="R1263" s="2" t="n">
        <x:f>IF(AND(M1263=1,OR(Dashboard!$B$7="All",Dashboard!$B$7='Cycles &amp; Guide'!$C$5),OR(Dashboard!$D$7="All",Dashboard!$D$7=B1263),OR(Dashboard!$F$7="All",Dashboard!$F$7=C1263),OR(Dashboard!$H$7="All",Dashboard!$H$7=D1263),OR(Dashboard!$K$7="All",Dashboard!$K$7=E1263)),1,0)</x:f>
        <x:v>1</x:v>
      </x:c>
      <x:c r="S1263" s="2" t="n">
        <x:f>IF(R1263=1,SUM($R$10:R1263),0)</x:f>
        <x:v>890</x:v>
      </x:c>
      <x:c r="T1263" s="2" t="str">
        <x:v>Research &amp; Analysis</x:v>
      </x:c>
      <x:c r="U1263" s="2" t="n">
        <x:v>535</x:v>
      </x:c>
      <x:c r="V1263" s="2" t="n">
        <x:f>IF(AND(M1263=1,P1263=0,ISNUMBER(J1263),J1263&lt;TODAY()),1,0)</x:f>
        <x:v>0</x:v>
      </x:c>
      <x:c r="W1263" s="2" t="str">
        <x:f>'Research &amp; Analysis'!M535</x:f>
        <x:v>Task</x:v>
      </x:c>
    </x:row>
    <x:row r="1264" ht="40" customHeight="1">
      <x:c r="A1264" s="3" t="str">
        <x:f>HYPERLINK("#'Research &amp; Analysis'!A536","Open")</x:f>
        <x:v>Open</x:v>
      </x:c>
      <x:c r="B1264" s="2" t="str">
        <x:f>'Research &amp; Analysis'!B536</x:f>
        <x:v>Cycle 4</x:v>
      </x:c>
      <x:c r="C1264" s="2" t="str">
        <x:f>'Research &amp; Analysis'!C536</x:f>
        <x:v>Phase 3</x:v>
      </x:c>
      <x:c r="D1264" s="2" t="str">
        <x:f>'Research &amp; Analysis'!D536</x:f>
        <x:v>Cards</x:v>
      </x:c>
      <x:c r="E1264" s="2" t="str">
        <x:v>Research &amp; Analysis</x:v>
      </x:c>
      <x:c r="F1264" s="56" t="str">
        <x:f>'Research &amp; Analysis'!E536</x:f>
        <x:v>RA.CA.3.2</x:v>
      </x:c>
      <x:c r="G1264" s="14" t="str">
        <x:f>'Research &amp; Analysis'!F536</x:f>
        <x:v>Maintain and update the evidence package prior to handoff to D&amp;I</x:v>
      </x:c>
      <x:c r="H1264" s="2" t="str">
        <x:f>IF('Research &amp; Analysis'!G536="","",'Research &amp; Analysis'!G536)</x:f>
      </x:c>
      <x:c r="I1264" s="12" t="str">
        <x:f>IF('Research &amp; Analysis'!H536="","",'Research &amp; Analysis'!H536)</x:f>
      </x:c>
      <x:c r="J1264" s="12" t="n">
        <x:f>IF('Research &amp; Analysis'!I536="","",'Research &amp; Analysis'!I536)</x:f>
        <x:v>46387</x:v>
      </x:c>
      <x:c r="K1264" s="12" t="str">
        <x:f>IF('Research &amp; Analysis'!J536="","",'Research &amp; Analysis'!J536)</x:f>
      </x:c>
      <x:c r="L1264" s="2" t="str">
        <x:f>IF('Research &amp; Analysis'!K536="","",'Research &amp; Analysis'!K536)</x:f>
      </x:c>
      <x:c r="M1264" s="2" t="n">
        <x:f>'Research &amp; Analysis'!Q536</x:f>
        <x:v>1</x:v>
      </x:c>
      <x:c r="N1264" s="2" t="str">
        <x:f>'Research &amp; Analysis'!L536</x:f>
        <x:v>Not started</x:v>
      </x:c>
      <x:c r="O1264" s="2" t="str">
        <x:f>'Research &amp; Analysis'!N536</x:f>
        <x:v>RA.CA.3.2.2026.CY4</x:v>
      </x:c>
      <x:c r="P1264" s="2" t="n">
        <x:f>'Research &amp; Analysis'!O536</x:f>
        <x:v>0</x:v>
      </x:c>
      <x:c r="Q1264" s="2" t="n">
        <x:f>SUBTOTAL(103,O1264)</x:f>
        <x:v>1</x:v>
      </x:c>
      <x:c r="R1264" s="2" t="n">
        <x:f>IF(AND(M1264=1,OR(Dashboard!$B$7="All",Dashboard!$B$7='Cycles &amp; Guide'!$C$5),OR(Dashboard!$D$7="All",Dashboard!$D$7=B1264),OR(Dashboard!$F$7="All",Dashboard!$F$7=C1264),OR(Dashboard!$H$7="All",Dashboard!$H$7=D1264),OR(Dashboard!$K$7="All",Dashboard!$K$7=E1264)),1,0)</x:f>
        <x:v>1</x:v>
      </x:c>
      <x:c r="S1264" s="2" t="n">
        <x:f>IF(R1264=1,SUM($R$10:R1264),0)</x:f>
        <x:v>891</x:v>
      </x:c>
      <x:c r="T1264" s="2" t="str">
        <x:v>Research &amp; Analysis</x:v>
      </x:c>
      <x:c r="U1264" s="2" t="n">
        <x:v>536</x:v>
      </x:c>
      <x:c r="V1264" s="2" t="n">
        <x:f>IF(AND(M1264=1,P1264=0,ISNUMBER(J1264),J1264&lt;TODAY()),1,0)</x:f>
        <x:v>0</x:v>
      </x:c>
      <x:c r="W1264" s="2" t="str">
        <x:f>'Research &amp; Analysis'!M536</x:f>
        <x:v>Task</x:v>
      </x:c>
    </x:row>
    <x:row r="1265" ht="40" customHeight="1">
      <x:c r="A1265" s="3" t="str">
        <x:f>HYPERLINK("#'Research &amp; Analysis'!A537","Open")</x:f>
        <x:v>Open</x:v>
      </x:c>
      <x:c r="B1265" s="2" t="str">
        <x:f>'Research &amp; Analysis'!B537</x:f>
        <x:v>Cycle 4</x:v>
      </x:c>
      <x:c r="C1265" s="2" t="str">
        <x:f>'Research &amp; Analysis'!C537</x:f>
        <x:v>Phase 3</x:v>
      </x:c>
      <x:c r="D1265" s="2" t="str">
        <x:f>'Research &amp; Analysis'!D537</x:f>
        <x:v>Cards</x:v>
      </x:c>
      <x:c r="E1265" s="2" t="str">
        <x:v>Research &amp; Analysis</x:v>
      </x:c>
      <x:c r="F1265" s="56" t="str">
        <x:f>'Research &amp; Analysis'!E537</x:f>
        <x:v>RA.CA.3.3</x:v>
      </x:c>
      <x:c r="G1265" s="14" t="str">
        <x:f>'Research &amp; Analysis'!F537</x:f>
        <x:v>Address any outstanding questions or requests from D&amp;I</x:v>
      </x:c>
      <x:c r="H1265" s="2" t="str">
        <x:f>IF('Research &amp; Analysis'!G537="","",'Research &amp; Analysis'!G537)</x:f>
      </x:c>
      <x:c r="I1265" s="12" t="str">
        <x:f>IF('Research &amp; Analysis'!H537="","",'Research &amp; Analysis'!H537)</x:f>
      </x:c>
      <x:c r="J1265" s="12" t="n">
        <x:f>IF('Research &amp; Analysis'!I537="","",'Research &amp; Analysis'!I537)</x:f>
        <x:v>46387</x:v>
      </x:c>
      <x:c r="K1265" s="12" t="str">
        <x:f>IF('Research &amp; Analysis'!J537="","",'Research &amp; Analysis'!J537)</x:f>
      </x:c>
      <x:c r="L1265" s="2" t="str">
        <x:f>IF('Research &amp; Analysis'!K537="","",'Research &amp; Analysis'!K537)</x:f>
      </x:c>
      <x:c r="M1265" s="2" t="n">
        <x:f>'Research &amp; Analysis'!Q537</x:f>
        <x:v>1</x:v>
      </x:c>
      <x:c r="N1265" s="2" t="str">
        <x:f>'Research &amp; Analysis'!L537</x:f>
        <x:v>Not started</x:v>
      </x:c>
      <x:c r="O1265" s="2" t="str">
        <x:f>'Research &amp; Analysis'!N537</x:f>
        <x:v>RA.CA.3.3.2026.CY4</x:v>
      </x:c>
      <x:c r="P1265" s="2" t="n">
        <x:f>'Research &amp; Analysis'!O537</x:f>
        <x:v>0</x:v>
      </x:c>
      <x:c r="Q1265" s="2" t="n">
        <x:f>SUBTOTAL(103,O1265)</x:f>
        <x:v>1</x:v>
      </x:c>
      <x:c r="R1265" s="2" t="n">
        <x:f>IF(AND(M1265=1,OR(Dashboard!$B$7="All",Dashboard!$B$7='Cycles &amp; Guide'!$C$5),OR(Dashboard!$D$7="All",Dashboard!$D$7=B1265),OR(Dashboard!$F$7="All",Dashboard!$F$7=C1265),OR(Dashboard!$H$7="All",Dashboard!$H$7=D1265),OR(Dashboard!$K$7="All",Dashboard!$K$7=E1265)),1,0)</x:f>
        <x:v>1</x:v>
      </x:c>
      <x:c r="S1265" s="2" t="n">
        <x:f>IF(R1265=1,SUM($R$10:R1265),0)</x:f>
        <x:v>892</x:v>
      </x:c>
      <x:c r="T1265" s="2" t="str">
        <x:v>Research &amp; Analysis</x:v>
      </x:c>
      <x:c r="U1265" s="2" t="n">
        <x:v>537</x:v>
      </x:c>
      <x:c r="V1265" s="2" t="n">
        <x:f>IF(AND(M1265=1,P1265=0,ISNUMBER(J1265),J1265&lt;TODAY()),1,0)</x:f>
        <x:v>0</x:v>
      </x:c>
      <x:c r="W1265" s="2" t="str">
        <x:f>'Research &amp; Analysis'!M537</x:f>
        <x:v>Task</x:v>
      </x:c>
    </x:row>
    <x:row r="1266" ht="40" customHeight="1">
      <x:c r="A1266" s="3" t="str">
        <x:f>HYPERLINK("#'Research &amp; Analysis'!A538","Open")</x:f>
        <x:v>Open</x:v>
      </x:c>
      <x:c r="B1266" s="2" t="str">
        <x:f>'Research &amp; Analysis'!B538</x:f>
        <x:v>Cycle 4</x:v>
      </x:c>
      <x:c r="C1266" s="2" t="str">
        <x:f>'Research &amp; Analysis'!C538</x:f>
        <x:v>Phase 3</x:v>
      </x:c>
      <x:c r="D1266" s="2" t="str">
        <x:f>'Research &amp; Analysis'!D538</x:f>
        <x:v>Cards</x:v>
      </x:c>
      <x:c r="E1266" s="2" t="str">
        <x:v>Research &amp; Analysis</x:v>
      </x:c>
      <x:c r="F1266" s="56" t="str">
        <x:f>'Research &amp; Analysis'!E538</x:f>
        <x:v>RA.CA.3.4</x:v>
      </x:c>
      <x:c r="G1266" s="14" t="str">
        <x:f>'Research &amp; Analysis'!F538</x:f>
        <x:v>Attend Forum meeting with D&amp;I to assist with answering stakeholder questions (as needed)</x:v>
      </x:c>
      <x:c r="H1266" s="2" t="str">
        <x:f>IF('Research &amp; Analysis'!G538="","",'Research &amp; Analysis'!G538)</x:f>
      </x:c>
      <x:c r="I1266" s="12" t="str">
        <x:f>IF('Research &amp; Analysis'!H538="","",'Research &amp; Analysis'!H538)</x:f>
      </x:c>
      <x:c r="J1266" s="12" t="str">
        <x:f>IF('Research &amp; Analysis'!I538="","",'Research &amp; Analysis'!I538)</x:f>
      </x:c>
      <x:c r="K1266" s="12" t="str">
        <x:f>IF('Research &amp; Analysis'!J538="","",'Research &amp; Analysis'!J538)</x:f>
      </x:c>
      <x:c r="L1266" s="2" t="str">
        <x:f>IF('Research &amp; Analysis'!K538="","",'Research &amp; Analysis'!K538)</x:f>
      </x:c>
      <x:c r="M1266" s="2" t="n">
        <x:f>'Research &amp; Analysis'!Q538</x:f>
        <x:v>1</x:v>
      </x:c>
      <x:c r="N1266" s="2" t="str">
        <x:f>'Research &amp; Analysis'!L538</x:f>
        <x:v>Not started</x:v>
      </x:c>
      <x:c r="O1266" s="2" t="str">
        <x:f>'Research &amp; Analysis'!N538</x:f>
        <x:v>RA.CA.3.4.2026.CY4</x:v>
      </x:c>
      <x:c r="P1266" s="2" t="n">
        <x:f>'Research &amp; Analysis'!O538</x:f>
        <x:v>0</x:v>
      </x:c>
      <x:c r="Q1266" s="2" t="n">
        <x:f>SUBTOTAL(103,O1266)</x:f>
        <x:v>1</x:v>
      </x:c>
      <x:c r="R1266" s="2" t="n">
        <x:f>IF(AND(M1266=1,OR(Dashboard!$B$7="All",Dashboard!$B$7='Cycles &amp; Guide'!$C$5),OR(Dashboard!$D$7="All",Dashboard!$D$7=B1266),OR(Dashboard!$F$7="All",Dashboard!$F$7=C1266),OR(Dashboard!$H$7="All",Dashboard!$H$7=D1266),OR(Dashboard!$K$7="All",Dashboard!$K$7=E1266)),1,0)</x:f>
        <x:v>1</x:v>
      </x:c>
      <x:c r="S1266" s="2" t="n">
        <x:f>IF(R1266=1,SUM($R$10:R1266),0)</x:f>
        <x:v>893</x:v>
      </x:c>
      <x:c r="T1266" s="2" t="str">
        <x:v>Research &amp; Analysis</x:v>
      </x:c>
      <x:c r="U1266" s="2" t="n">
        <x:v>538</x:v>
      </x:c>
      <x:c r="V1266" s="2" t="n">
        <x:f>IF(AND(M1266=1,P1266=0,ISNUMBER(J1266),J1266&lt;TODAY()),1,0)</x:f>
        <x:v>0</x:v>
      </x:c>
      <x:c r="W1266" s="2" t="str">
        <x:f>'Research &amp; Analysis'!M538</x:f>
        <x:v>Task</x:v>
      </x:c>
    </x:row>
    <x:row r="1267" ht="40" customHeight="1">
      <x:c r="A1267" s="3" t="str">
        <x:f>HYPERLINK("#'Research &amp; Analysis'!A539","Open")</x:f>
        <x:v>Open</x:v>
      </x:c>
      <x:c r="B1267" s="2" t="str">
        <x:f>'Research &amp; Analysis'!B539</x:f>
        <x:v>Cycle 4</x:v>
      </x:c>
      <x:c r="C1267" s="2" t="str">
        <x:f>'Research &amp; Analysis'!C539</x:f>
        <x:v>Phase 1</x:v>
      </x:c>
      <x:c r="D1267" s="2" t="str">
        <x:f>'Research &amp; Analysis'!D539</x:f>
        <x:v>CSBBO - Banking Ops</x:v>
      </x:c>
      <x:c r="E1267" s="2" t="str">
        <x:v>Research &amp; Analysis</x:v>
      </x:c>
      <x:c r="F1267" s="56" t="str">
        <x:f>'Research &amp; Analysis'!E539</x:f>
        <x:v>RA.BO.1.1</x:v>
      </x:c>
      <x:c r="G1267" s="14" t="str">
        <x:f>'Research &amp; Analysis'!F539</x:f>
        <x:v>Begin Research process 2 weeks prior to Cycle start</x:v>
      </x:c>
      <x:c r="H1267" s="2" t="str">
        <x:f>IF('Research &amp; Analysis'!G539="","",'Research &amp; Analysis'!G539)</x:f>
      </x:c>
      <x:c r="I1267" s="12" t="str">
        <x:f>IF('Research &amp; Analysis'!H539="","",'Research &amp; Analysis'!H539)</x:f>
      </x:c>
      <x:c r="J1267" s="12" t="n">
        <x:f>IF('Research &amp; Analysis'!I539="","",'Research &amp; Analysis'!I539)</x:f>
        <x:v>46282</x:v>
      </x:c>
      <x:c r="K1267" s="12" t="str">
        <x:f>IF('Research &amp; Analysis'!J539="","",'Research &amp; Analysis'!J539)</x:f>
      </x:c>
      <x:c r="L1267" s="2" t="str">
        <x:f>IF('Research &amp; Analysis'!K539="","",'Research &amp; Analysis'!K539)</x:f>
      </x:c>
      <x:c r="M1267" s="2" t="n">
        <x:f>'Research &amp; Analysis'!Q539</x:f>
        <x:v>1</x:v>
      </x:c>
      <x:c r="N1267" s="2" t="str">
        <x:f>'Research &amp; Analysis'!L539</x:f>
        <x:v>Not started</x:v>
      </x:c>
      <x:c r="O1267" s="2" t="str">
        <x:f>'Research &amp; Analysis'!N539</x:f>
        <x:v>RA.BO.1.1.2026.CY4</x:v>
      </x:c>
      <x:c r="P1267" s="2" t="n">
        <x:f>'Research &amp; Analysis'!O539</x:f>
        <x:v>0</x:v>
      </x:c>
      <x:c r="Q1267" s="2" t="n">
        <x:f>SUBTOTAL(103,O1267)</x:f>
        <x:v>1</x:v>
      </x:c>
      <x:c r="R1267" s="2" t="n">
        <x:f>IF(AND(M1267=1,OR(Dashboard!$B$7="All",Dashboard!$B$7='Cycles &amp; Guide'!$C$5),OR(Dashboard!$D$7="All",Dashboard!$D$7=B1267),OR(Dashboard!$F$7="All",Dashboard!$F$7=C1267),OR(Dashboard!$H$7="All",Dashboard!$H$7=D1267),OR(Dashboard!$K$7="All",Dashboard!$K$7=E1267)),1,0)</x:f>
        <x:v>1</x:v>
      </x:c>
      <x:c r="S1267" s="2" t="n">
        <x:f>IF(R1267=1,SUM($R$10:R1267),0)</x:f>
        <x:v>894</x:v>
      </x:c>
      <x:c r="T1267" s="2" t="str">
        <x:v>Research &amp; Analysis</x:v>
      </x:c>
      <x:c r="U1267" s="2" t="n">
        <x:v>539</x:v>
      </x:c>
      <x:c r="V1267" s="2" t="n">
        <x:f>IF(AND(M1267=1,P1267=0,ISNUMBER(J1267),J1267&lt;TODAY()),1,0)</x:f>
        <x:v>1</x:v>
      </x:c>
      <x:c r="W1267" s="2" t="str">
        <x:f>'Research &amp; Analysis'!M539</x:f>
        <x:v>Task</x:v>
      </x:c>
    </x:row>
    <x:row r="1268" ht="40" customHeight="1">
      <x:c r="A1268" s="3" t="str">
        <x:f>HYPERLINK("#'Research &amp; Analysis'!A540","Open")</x:f>
        <x:v>Open</x:v>
      </x:c>
      <x:c r="B1268" s="2" t="str">
        <x:f>'Research &amp; Analysis'!B540</x:f>
        <x:v>Cycle 4</x:v>
      </x:c>
      <x:c r="C1268" s="2" t="str">
        <x:f>'Research &amp; Analysis'!C540</x:f>
        <x:v>Phase 1</x:v>
      </x:c>
      <x:c r="D1268" s="2" t="str">
        <x:f>'Research &amp; Analysis'!D540</x:f>
        <x:v>CSBBO - Banking Ops</x:v>
      </x:c>
      <x:c r="E1268" s="2" t="str">
        <x:v>Research &amp; Analysis</x:v>
      </x:c>
      <x:c r="F1268" s="56" t="str">
        <x:f>'Research &amp; Analysis'!E540</x:f>
        <x:v>RA.BO.1.2</x:v>
      </x:c>
      <x:c r="G1268" s="14" t="str">
        <x:f>'Research &amp; Analysis'!F540</x:f>
        <x:v>Conduct initial assessment of each topic recommendation from SharePoint list</x:v>
      </x:c>
      <x:c r="H1268" s="2" t="str">
        <x:f>IF('Research &amp; Analysis'!G540="","",'Research &amp; Analysis'!G540)</x:f>
      </x:c>
      <x:c r="I1268" s="12" t="str">
        <x:f>IF('Research &amp; Analysis'!H540="","",'Research &amp; Analysis'!H540)</x:f>
      </x:c>
      <x:c r="J1268" s="12" t="n">
        <x:f>IF('Research &amp; Analysis'!I540="","",'Research &amp; Analysis'!I540)</x:f>
        <x:v>46387</x:v>
      </x:c>
      <x:c r="K1268" s="12" t="str">
        <x:f>IF('Research &amp; Analysis'!J540="","",'Research &amp; Analysis'!J540)</x:f>
      </x:c>
      <x:c r="L1268" s="2" t="str">
        <x:f>IF('Research &amp; Analysis'!K540="","",'Research &amp; Analysis'!K540)</x:f>
      </x:c>
      <x:c r="M1268" s="2" t="n">
        <x:f>'Research &amp; Analysis'!Q540</x:f>
        <x:v>1</x:v>
      </x:c>
      <x:c r="N1268" s="2" t="str">
        <x:f>'Research &amp; Analysis'!L540</x:f>
        <x:v>Not started</x:v>
      </x:c>
      <x:c r="O1268" s="2" t="str">
        <x:f>'Research &amp; Analysis'!N540</x:f>
        <x:v>RA.BO.1.2.2026.CY4</x:v>
      </x:c>
      <x:c r="P1268" s="2" t="n">
        <x:f>'Research &amp; Analysis'!O540</x:f>
        <x:v>0</x:v>
      </x:c>
      <x:c r="Q1268" s="2" t="n">
        <x:f>SUBTOTAL(103,O1268)</x:f>
        <x:v>1</x:v>
      </x:c>
      <x:c r="R1268" s="2" t="n">
        <x:f>IF(AND(M1268=1,OR(Dashboard!$B$7="All",Dashboard!$B$7='Cycles &amp; Guide'!$C$5),OR(Dashboard!$D$7="All",Dashboard!$D$7=B1268),OR(Dashboard!$F$7="All",Dashboard!$F$7=C1268),OR(Dashboard!$H$7="All",Dashboard!$H$7=D1268),OR(Dashboard!$K$7="All",Dashboard!$K$7=E1268)),1,0)</x:f>
        <x:v>1</x:v>
      </x:c>
      <x:c r="S1268" s="2" t="n">
        <x:f>IF(R1268=1,SUM($R$10:R1268),0)</x:f>
        <x:v>895</x:v>
      </x:c>
      <x:c r="T1268" s="2" t="str">
        <x:v>Research &amp; Analysis</x:v>
      </x:c>
      <x:c r="U1268" s="2" t="n">
        <x:v>540</x:v>
      </x:c>
      <x:c r="V1268" s="2" t="n">
        <x:f>IF(AND(M1268=1,P1268=0,ISNUMBER(J1268),J1268&lt;TODAY()),1,0)</x:f>
        <x:v>0</x:v>
      </x:c>
      <x:c r="W1268" s="2" t="str">
        <x:f>'Research &amp; Analysis'!M540</x:f>
        <x:v>Task</x:v>
      </x:c>
    </x:row>
    <x:row r="1269" ht="40" customHeight="1">
      <x:c r="A1269" s="3" t="str">
        <x:f>HYPERLINK("#'Research &amp; Analysis'!A541","Open")</x:f>
        <x:v>Open</x:v>
      </x:c>
      <x:c r="B1269" s="2" t="str">
        <x:f>'Research &amp; Analysis'!B541</x:f>
        <x:v>Cycle 4</x:v>
      </x:c>
      <x:c r="C1269" s="2" t="str">
        <x:f>'Research &amp; Analysis'!C541</x:f>
        <x:v>Phase 1</x:v>
      </x:c>
      <x:c r="D1269" s="2" t="str">
        <x:f>'Research &amp; Analysis'!D541</x:f>
        <x:v>CSBBO - Banking Ops</x:v>
      </x:c>
      <x:c r="E1269" s="2" t="str">
        <x:v>Research &amp; Analysis</x:v>
      </x:c>
      <x:c r="F1269" s="56" t="str">
        <x:f>'Research &amp; Analysis'!E541</x:f>
        <x:v>RA.BO.1.3</x:v>
      </x:c>
      <x:c r="G1269" s="14" t="str">
        <x:f>'Research &amp; Analysis'!F541</x:f>
        <x:v>Identify best topic for Cycle</x:v>
      </x:c>
      <x:c r="H1269" s="2" t="str">
        <x:f>IF('Research &amp; Analysis'!G541="","",'Research &amp; Analysis'!G541)</x:f>
      </x:c>
      <x:c r="I1269" s="12" t="str">
        <x:f>IF('Research &amp; Analysis'!H541="","",'Research &amp; Analysis'!H541)</x:f>
      </x:c>
      <x:c r="J1269" s="12" t="n">
        <x:f>IF('Research &amp; Analysis'!I541="","",'Research &amp; Analysis'!I541)</x:f>
        <x:v>46387</x:v>
      </x:c>
      <x:c r="K1269" s="12" t="str">
        <x:f>IF('Research &amp; Analysis'!J541="","",'Research &amp; Analysis'!J541)</x:f>
      </x:c>
      <x:c r="L1269" s="2" t="str">
        <x:f>IF('Research &amp; Analysis'!K541="","",'Research &amp; Analysis'!K541)</x:f>
      </x:c>
      <x:c r="M1269" s="2" t="n">
        <x:f>'Research &amp; Analysis'!Q541</x:f>
        <x:v>1</x:v>
      </x:c>
      <x:c r="N1269" s="2" t="str">
        <x:f>'Research &amp; Analysis'!L541</x:f>
        <x:v>Not started</x:v>
      </x:c>
      <x:c r="O1269" s="2" t="str">
        <x:f>'Research &amp; Analysis'!N541</x:f>
        <x:v>RA.BO.1.3.2026.CY4</x:v>
      </x:c>
      <x:c r="P1269" s="2" t="n">
        <x:f>'Research &amp; Analysis'!O541</x:f>
        <x:v>0</x:v>
      </x:c>
      <x:c r="Q1269" s="2" t="n">
        <x:f>SUBTOTAL(103,O1269)</x:f>
        <x:v>1</x:v>
      </x:c>
      <x:c r="R1269" s="2" t="n">
        <x:f>IF(AND(M1269=1,OR(Dashboard!$B$7="All",Dashboard!$B$7='Cycles &amp; Guide'!$C$5),OR(Dashboard!$D$7="All",Dashboard!$D$7=B1269),OR(Dashboard!$F$7="All",Dashboard!$F$7=C1269),OR(Dashboard!$H$7="All",Dashboard!$H$7=D1269),OR(Dashboard!$K$7="All",Dashboard!$K$7=E1269)),1,0)</x:f>
        <x:v>1</x:v>
      </x:c>
      <x:c r="S1269" s="2" t="n">
        <x:f>IF(R1269=1,SUM($R$10:R1269),0)</x:f>
        <x:v>896</x:v>
      </x:c>
      <x:c r="T1269" s="2" t="str">
        <x:v>Research &amp; Analysis</x:v>
      </x:c>
      <x:c r="U1269" s="2" t="n">
        <x:v>541</x:v>
      </x:c>
      <x:c r="V1269" s="2" t="n">
        <x:f>IF(AND(M1269=1,P1269=0,ISNUMBER(J1269),J1269&lt;TODAY()),1,0)</x:f>
        <x:v>0</x:v>
      </x:c>
      <x:c r="W1269" s="2" t="str">
        <x:f>'Research &amp; Analysis'!M541</x:f>
        <x:v>Task</x:v>
      </x:c>
    </x:row>
    <x:row r="1270" ht="40" customHeight="1">
      <x:c r="A1270" s="3" t="str">
        <x:f>HYPERLINK("#'Research &amp; Analysis'!A542","Open")</x:f>
        <x:v>Open</x:v>
      </x:c>
      <x:c r="B1270" s="2" t="str">
        <x:f>'Research &amp; Analysis'!B542</x:f>
        <x:v>Cycle 4</x:v>
      </x:c>
      <x:c r="C1270" s="2" t="str">
        <x:f>'Research &amp; Analysis'!C542</x:f>
        <x:v>Phase 1</x:v>
      </x:c>
      <x:c r="D1270" s="2" t="str">
        <x:f>'Research &amp; Analysis'!D542</x:f>
        <x:v>CSBBO - Banking Ops</x:v>
      </x:c>
      <x:c r="E1270" s="2" t="str">
        <x:v>Research &amp; Analysis</x:v>
      </x:c>
      <x:c r="F1270" s="56" t="str">
        <x:f>'Research &amp; Analysis'!E542</x:f>
        <x:v>RA.BO.1.4</x:v>
      </x:c>
      <x:c r="G1270" s="14" t="str">
        <x:f>'Research &amp; Analysis'!F542</x:f>
        <x:v>Identify backup topic for Cycle</x:v>
      </x:c>
      <x:c r="H1270" s="2" t="str">
        <x:f>IF('Research &amp; Analysis'!G542="","",'Research &amp; Analysis'!G542)</x:f>
      </x:c>
      <x:c r="I1270" s="12" t="str">
        <x:f>IF('Research &amp; Analysis'!H542="","",'Research &amp; Analysis'!H542)</x:f>
      </x:c>
      <x:c r="J1270" s="12" t="n">
        <x:f>IF('Research &amp; Analysis'!I542="","",'Research &amp; Analysis'!I542)</x:f>
        <x:v>46387</x:v>
      </x:c>
      <x:c r="K1270" s="12" t="str">
        <x:f>IF('Research &amp; Analysis'!J542="","",'Research &amp; Analysis'!J542)</x:f>
      </x:c>
      <x:c r="L1270" s="2" t="str">
        <x:f>IF('Research &amp; Analysis'!K542="","",'Research &amp; Analysis'!K542)</x:f>
      </x:c>
      <x:c r="M1270" s="2" t="n">
        <x:f>'Research &amp; Analysis'!Q542</x:f>
        <x:v>1</x:v>
      </x:c>
      <x:c r="N1270" s="2" t="str">
        <x:f>'Research &amp; Analysis'!L542</x:f>
        <x:v>Not started</x:v>
      </x:c>
      <x:c r="O1270" s="2" t="str">
        <x:f>'Research &amp; Analysis'!N542</x:f>
        <x:v>RA.BO.1.4.2026.CY4</x:v>
      </x:c>
      <x:c r="P1270" s="2" t="n">
        <x:f>'Research &amp; Analysis'!O542</x:f>
        <x:v>0</x:v>
      </x:c>
      <x:c r="Q1270" s="2" t="n">
        <x:f>SUBTOTAL(103,O1270)</x:f>
        <x:v>1</x:v>
      </x:c>
      <x:c r="R1270" s="2" t="n">
        <x:f>IF(AND(M1270=1,OR(Dashboard!$B$7="All",Dashboard!$B$7='Cycles &amp; Guide'!$C$5),OR(Dashboard!$D$7="All",Dashboard!$D$7=B1270),OR(Dashboard!$F$7="All",Dashboard!$F$7=C1270),OR(Dashboard!$H$7="All",Dashboard!$H$7=D1270),OR(Dashboard!$K$7="All",Dashboard!$K$7=E1270)),1,0)</x:f>
        <x:v>1</x:v>
      </x:c>
      <x:c r="S1270" s="2" t="n">
        <x:f>IF(R1270=1,SUM($R$10:R1270),0)</x:f>
        <x:v>897</x:v>
      </x:c>
      <x:c r="T1270" s="2" t="str">
        <x:v>Research &amp; Analysis</x:v>
      </x:c>
      <x:c r="U1270" s="2" t="n">
        <x:v>542</x:v>
      </x:c>
      <x:c r="V1270" s="2" t="n">
        <x:f>IF(AND(M1270=1,P1270=0,ISNUMBER(J1270),J1270&lt;TODAY()),1,0)</x:f>
        <x:v>0</x:v>
      </x:c>
      <x:c r="W1270" s="2" t="str">
        <x:f>'Research &amp; Analysis'!M542</x:f>
        <x:v>Task</x:v>
      </x:c>
    </x:row>
    <x:row r="1271" ht="40" customHeight="1">
      <x:c r="A1271" s="3" t="str">
        <x:f>HYPERLINK("#'Research &amp; Analysis'!A543","Open")</x:f>
        <x:v>Open</x:v>
      </x:c>
      <x:c r="B1271" s="2" t="str">
        <x:f>'Research &amp; Analysis'!B543</x:f>
        <x:v>Cycle 4</x:v>
      </x:c>
      <x:c r="C1271" s="2" t="str">
        <x:f>'Research &amp; Analysis'!C543</x:f>
        <x:v>Phase 1</x:v>
      </x:c>
      <x:c r="D1271" s="2" t="str">
        <x:f>'Research &amp; Analysis'!D543</x:f>
        <x:v>CSBBO - Banking Ops</x:v>
      </x:c>
      <x:c r="E1271" s="2" t="str">
        <x:v>Research &amp; Analysis</x:v>
      </x:c>
      <x:c r="F1271" s="56" t="str">
        <x:f>'Research &amp; Analysis'!E543</x:f>
        <x:v>RA.BO.1.5</x:v>
      </x:c>
      <x:c r="G1271" s="14" t="str">
        <x:f>'Research &amp; Analysis'!F543</x:f>
        <x:v>Schedule topic approval meeting with D&amp;I and management</x:v>
      </x:c>
      <x:c r="H1271" s="2" t="str">
        <x:f>IF('Research &amp; Analysis'!G543="","",'Research &amp; Analysis'!G543)</x:f>
      </x:c>
      <x:c r="I1271" s="12" t="str">
        <x:f>IF('Research &amp; Analysis'!H543="","",'Research &amp; Analysis'!H543)</x:f>
      </x:c>
      <x:c r="J1271" s="12" t="n">
        <x:f>IF('Research &amp; Analysis'!I543="","",'Research &amp; Analysis'!I543)</x:f>
        <x:v>46387</x:v>
      </x:c>
      <x:c r="K1271" s="12" t="str">
        <x:f>IF('Research &amp; Analysis'!J543="","",'Research &amp; Analysis'!J543)</x:f>
      </x:c>
      <x:c r="L1271" s="2" t="str">
        <x:f>IF('Research &amp; Analysis'!K543="","",'Research &amp; Analysis'!K543)</x:f>
      </x:c>
      <x:c r="M1271" s="2" t="n">
        <x:f>'Research &amp; Analysis'!Q543</x:f>
        <x:v>1</x:v>
      </x:c>
      <x:c r="N1271" s="2" t="str">
        <x:f>'Research &amp; Analysis'!L543</x:f>
        <x:v>Not started</x:v>
      </x:c>
      <x:c r="O1271" s="2" t="str">
        <x:f>'Research &amp; Analysis'!N543</x:f>
        <x:v>RA.BO.1.5.2026.CY4</x:v>
      </x:c>
      <x:c r="P1271" s="2" t="n">
        <x:f>'Research &amp; Analysis'!O543</x:f>
        <x:v>0</x:v>
      </x:c>
      <x:c r="Q1271" s="2" t="n">
        <x:f>SUBTOTAL(103,O1271)</x:f>
        <x:v>1</x:v>
      </x:c>
      <x:c r="R1271" s="2" t="n">
        <x:f>IF(AND(M1271=1,OR(Dashboard!$B$7="All",Dashboard!$B$7='Cycles &amp; Guide'!$C$5),OR(Dashboard!$D$7="All",Dashboard!$D$7=B1271),OR(Dashboard!$F$7="All",Dashboard!$F$7=C1271),OR(Dashboard!$H$7="All",Dashboard!$H$7=D1271),OR(Dashboard!$K$7="All",Dashboard!$K$7=E1271)),1,0)</x:f>
        <x:v>1</x:v>
      </x:c>
      <x:c r="S1271" s="2" t="n">
        <x:f>IF(R1271=1,SUM($R$10:R1271),0)</x:f>
        <x:v>898</x:v>
      </x:c>
      <x:c r="T1271" s="2" t="str">
        <x:v>Research &amp; Analysis</x:v>
      </x:c>
      <x:c r="U1271" s="2" t="n">
        <x:v>543</x:v>
      </x:c>
      <x:c r="V1271" s="2" t="n">
        <x:f>IF(AND(M1271=1,P1271=0,ISNUMBER(J1271),J1271&lt;TODAY()),1,0)</x:f>
        <x:v>0</x:v>
      </x:c>
      <x:c r="W1271" s="2" t="str">
        <x:f>'Research &amp; Analysis'!M543</x:f>
        <x:v>Task</x:v>
      </x:c>
    </x:row>
    <x:row r="1272" ht="40" customHeight="1">
      <x:c r="A1272" s="3" t="str">
        <x:f>HYPERLINK("#'Research &amp; Analysis'!A544","Open")</x:f>
        <x:v>Open</x:v>
      </x:c>
      <x:c r="B1272" s="2" t="str">
        <x:f>'Research &amp; Analysis'!B544</x:f>
        <x:v>Cycle 4</x:v>
      </x:c>
      <x:c r="C1272" s="2" t="str">
        <x:f>'Research &amp; Analysis'!C544</x:f>
        <x:v>Phase 1</x:v>
      </x:c>
      <x:c r="D1272" s="2" t="str">
        <x:f>'Research &amp; Analysis'!D544</x:f>
        <x:v>CSBBO - Banking Ops</x:v>
      </x:c>
      <x:c r="E1272" s="2" t="str">
        <x:v>Research &amp; Analysis</x:v>
      </x:c>
      <x:c r="F1272" s="56" t="str">
        <x:f>'Research &amp; Analysis'!E544</x:f>
        <x:v>RA.BO.1.6</x:v>
      </x:c>
      <x:c r="G1272" s="14" t="str">
        <x:f>'Research &amp; Analysis'!F544</x:f>
        <x:v>Present recommended topic to D&amp;I and management for approval</x:v>
      </x:c>
      <x:c r="H1272" s="2" t="str">
        <x:f>IF('Research &amp; Analysis'!G544="","",'Research &amp; Analysis'!G544)</x:f>
      </x:c>
      <x:c r="I1272" s="12" t="str">
        <x:f>IF('Research &amp; Analysis'!H544="","",'Research &amp; Analysis'!H544)</x:f>
      </x:c>
      <x:c r="J1272" s="12" t="n">
        <x:f>IF('Research &amp; Analysis'!I544="","",'Research &amp; Analysis'!I544)</x:f>
        <x:v>46387</x:v>
      </x:c>
      <x:c r="K1272" s="12" t="str">
        <x:f>IF('Research &amp; Analysis'!J544="","",'Research &amp; Analysis'!J544)</x:f>
      </x:c>
      <x:c r="L1272" s="2" t="str">
        <x:f>IF('Research &amp; Analysis'!K544="","",'Research &amp; Analysis'!K544)</x:f>
      </x:c>
      <x:c r="M1272" s="2" t="n">
        <x:f>'Research &amp; Analysis'!Q544</x:f>
        <x:v>1</x:v>
      </x:c>
      <x:c r="N1272" s="2" t="str">
        <x:f>'Research &amp; Analysis'!L544</x:f>
        <x:v>Not started</x:v>
      </x:c>
      <x:c r="O1272" s="2" t="str">
        <x:f>'Research &amp; Analysis'!N544</x:f>
        <x:v>RA.BO.1.6.2026.CY4</x:v>
      </x:c>
      <x:c r="P1272" s="2" t="n">
        <x:f>'Research &amp; Analysis'!O544</x:f>
        <x:v>0</x:v>
      </x:c>
      <x:c r="Q1272" s="2" t="n">
        <x:f>SUBTOTAL(103,O1272)</x:f>
        <x:v>1</x:v>
      </x:c>
      <x:c r="R1272" s="2" t="n">
        <x:f>IF(AND(M1272=1,OR(Dashboard!$B$7="All",Dashboard!$B$7='Cycles &amp; Guide'!$C$5),OR(Dashboard!$D$7="All",Dashboard!$D$7=B1272),OR(Dashboard!$F$7="All",Dashboard!$F$7=C1272),OR(Dashboard!$H$7="All",Dashboard!$H$7=D1272),OR(Dashboard!$K$7="All",Dashboard!$K$7=E1272)),1,0)</x:f>
        <x:v>1</x:v>
      </x:c>
      <x:c r="S1272" s="2" t="n">
        <x:f>IF(R1272=1,SUM($R$10:R1272),0)</x:f>
        <x:v>899</x:v>
      </x:c>
      <x:c r="T1272" s="2" t="str">
        <x:v>Research &amp; Analysis</x:v>
      </x:c>
      <x:c r="U1272" s="2" t="n">
        <x:v>544</x:v>
      </x:c>
      <x:c r="V1272" s="2" t="n">
        <x:f>IF(AND(M1272=1,P1272=0,ISNUMBER(J1272),J1272&lt;TODAY()),1,0)</x:f>
        <x:v>0</x:v>
      </x:c>
      <x:c r="W1272" s="2" t="str">
        <x:f>'Research &amp; Analysis'!M544</x:f>
        <x:v>Task</x:v>
      </x:c>
    </x:row>
    <x:row r="1273" ht="40" customHeight="1">
      <x:c r="A1273" s="3" t="str">
        <x:f>HYPERLINK("#'Research &amp; Analysis'!A545","Open")</x:f>
        <x:v>Open</x:v>
      </x:c>
      <x:c r="B1273" s="2" t="str">
        <x:f>'Research &amp; Analysis'!B545</x:f>
        <x:v>Cycle 4</x:v>
      </x:c>
      <x:c r="C1273" s="2" t="str">
        <x:f>'Research &amp; Analysis'!C545</x:f>
        <x:v>Phase 1</x:v>
      </x:c>
      <x:c r="D1273" s="2" t="str">
        <x:f>'Research &amp; Analysis'!D545</x:f>
        <x:v>CSBBO - Banking Ops</x:v>
      </x:c>
      <x:c r="E1273" s="2" t="str">
        <x:v>Research &amp; Analysis</x:v>
      </x:c>
      <x:c r="F1273" s="56" t="str">
        <x:f>'Research &amp; Analysis'!E545</x:f>
        <x:v>RA.BO.1.7</x:v>
      </x:c>
      <x:c r="G1273" s="14" t="str">
        <x:f>'Research &amp; Analysis'!F545</x:f>
        <x:v>Obtain formal topic selection approval from management via SharePoint</x:v>
      </x:c>
      <x:c r="H1273" s="2" t="str">
        <x:f>IF('Research &amp; Analysis'!G545="","",'Research &amp; Analysis'!G545)</x:f>
      </x:c>
      <x:c r="I1273" s="12" t="str">
        <x:f>IF('Research &amp; Analysis'!H545="","",'Research &amp; Analysis'!H545)</x:f>
      </x:c>
      <x:c r="J1273" s="12" t="n">
        <x:f>IF('Research &amp; Analysis'!I545="","",'Research &amp; Analysis'!I545)</x:f>
        <x:v>46387</x:v>
      </x:c>
      <x:c r="K1273" s="12" t="str">
        <x:f>IF('Research &amp; Analysis'!J545="","",'Research &amp; Analysis'!J545)</x:f>
      </x:c>
      <x:c r="L1273" s="2" t="str">
        <x:f>IF('Research &amp; Analysis'!K545="","",'Research &amp; Analysis'!K545)</x:f>
      </x:c>
      <x:c r="M1273" s="2" t="n">
        <x:f>'Research &amp; Analysis'!Q545</x:f>
        <x:v>1</x:v>
      </x:c>
      <x:c r="N1273" s="2" t="str">
        <x:f>'Research &amp; Analysis'!L545</x:f>
        <x:v>Not started</x:v>
      </x:c>
      <x:c r="O1273" s="2" t="str">
        <x:f>'Research &amp; Analysis'!N545</x:f>
        <x:v>RA.BO.1.7.2026.CY4</x:v>
      </x:c>
      <x:c r="P1273" s="2" t="n">
        <x:f>'Research &amp; Analysis'!O545</x:f>
        <x:v>0</x:v>
      </x:c>
      <x:c r="Q1273" s="2" t="n">
        <x:f>SUBTOTAL(103,O1273)</x:f>
        <x:v>1</x:v>
      </x:c>
      <x:c r="R1273" s="2" t="n">
        <x:f>IF(AND(M1273=1,OR(Dashboard!$B$7="All",Dashboard!$B$7='Cycles &amp; Guide'!$C$5),OR(Dashboard!$D$7="All",Dashboard!$D$7=B1273),OR(Dashboard!$F$7="All",Dashboard!$F$7=C1273),OR(Dashboard!$H$7="All",Dashboard!$H$7=D1273),OR(Dashboard!$K$7="All",Dashboard!$K$7=E1273)),1,0)</x:f>
        <x:v>1</x:v>
      </x:c>
      <x:c r="S1273" s="2" t="n">
        <x:f>IF(R1273=1,SUM($R$10:R1273),0)</x:f>
        <x:v>900</x:v>
      </x:c>
      <x:c r="T1273" s="2" t="str">
        <x:v>Research &amp; Analysis</x:v>
      </x:c>
      <x:c r="U1273" s="2" t="n">
        <x:v>545</x:v>
      </x:c>
      <x:c r="V1273" s="2" t="n">
        <x:f>IF(AND(M1273=1,P1273=0,ISNUMBER(J1273),J1273&lt;TODAY()),1,0)</x:f>
        <x:v>0</x:v>
      </x:c>
      <x:c r="W1273" s="2" t="str">
        <x:f>'Research &amp; Analysis'!M545</x:f>
        <x:v>Task</x:v>
      </x:c>
    </x:row>
    <x:row r="1274" ht="40" customHeight="1">
      <x:c r="A1274" s="3" t="str">
        <x:f>HYPERLINK("#'Research &amp; Analysis'!A546","Open")</x:f>
        <x:v>Open</x:v>
      </x:c>
      <x:c r="B1274" s="2" t="str">
        <x:f>'Research &amp; Analysis'!B546</x:f>
        <x:v>Cycle 4</x:v>
      </x:c>
      <x:c r="C1274" s="2" t="str">
        <x:f>'Research &amp; Analysis'!C546</x:f>
        <x:v>Phase 1</x:v>
      </x:c>
      <x:c r="D1274" s="2" t="str">
        <x:f>'Research &amp; Analysis'!D546</x:f>
        <x:v>CSBBO - Banking Ops</x:v>
      </x:c>
      <x:c r="E1274" s="2" t="str">
        <x:v>Research &amp; Analysis</x:v>
      </x:c>
      <x:c r="F1274" s="56" t="str">
        <x:f>'Research &amp; Analysis'!E546</x:f>
        <x:v>RA.BO.1.8</x:v>
      </x:c>
      <x:c r="G1274" s="14" t="str">
        <x:f>'Research &amp; Analysis'!F546</x:f>
        <x:v>Socialize topic selection with product owners and subject matter experts (if known)</x:v>
      </x:c>
      <x:c r="H1274" s="2" t="str">
        <x:f>IF('Research &amp; Analysis'!G546="","",'Research &amp; Analysis'!G546)</x:f>
      </x:c>
      <x:c r="I1274" s="12" t="str">
        <x:f>IF('Research &amp; Analysis'!H546="","",'Research &amp; Analysis'!H546)</x:f>
      </x:c>
      <x:c r="J1274" s="12" t="n">
        <x:f>IF('Research &amp; Analysis'!I546="","",'Research &amp; Analysis'!I546)</x:f>
        <x:v>46387</x:v>
      </x:c>
      <x:c r="K1274" s="12" t="str">
        <x:f>IF('Research &amp; Analysis'!J546="","",'Research &amp; Analysis'!J546)</x:f>
      </x:c>
      <x:c r="L1274" s="2" t="str">
        <x:f>IF('Research &amp; Analysis'!K546="","",'Research &amp; Analysis'!K546)</x:f>
      </x:c>
      <x:c r="M1274" s="2" t="n">
        <x:f>'Research &amp; Analysis'!Q546</x:f>
        <x:v>1</x:v>
      </x:c>
      <x:c r="N1274" s="2" t="str">
        <x:f>'Research &amp; Analysis'!L546</x:f>
        <x:v>Not started</x:v>
      </x:c>
      <x:c r="O1274" s="2" t="str">
        <x:f>'Research &amp; Analysis'!N546</x:f>
        <x:v>RA.BO.1.8.2026.CY4</x:v>
      </x:c>
      <x:c r="P1274" s="2" t="n">
        <x:f>'Research &amp; Analysis'!O546</x:f>
        <x:v>0</x:v>
      </x:c>
      <x:c r="Q1274" s="2" t="n">
        <x:f>SUBTOTAL(103,O1274)</x:f>
        <x:v>1</x:v>
      </x:c>
      <x:c r="R1274" s="2" t="n">
        <x:f>IF(AND(M1274=1,OR(Dashboard!$B$7="All",Dashboard!$B$7='Cycles &amp; Guide'!$C$5),OR(Dashboard!$D$7="All",Dashboard!$D$7=B1274),OR(Dashboard!$F$7="All",Dashboard!$F$7=C1274),OR(Dashboard!$H$7="All",Dashboard!$H$7=D1274),OR(Dashboard!$K$7="All",Dashboard!$K$7=E1274)),1,0)</x:f>
        <x:v>1</x:v>
      </x:c>
      <x:c r="S1274" s="2" t="n">
        <x:f>IF(R1274=1,SUM($R$10:R1274),0)</x:f>
        <x:v>901</x:v>
      </x:c>
      <x:c r="T1274" s="2" t="str">
        <x:v>Research &amp; Analysis</x:v>
      </x:c>
      <x:c r="U1274" s="2" t="n">
        <x:v>546</x:v>
      </x:c>
      <x:c r="V1274" s="2" t="n">
        <x:f>IF(AND(M1274=1,P1274=0,ISNUMBER(J1274),J1274&lt;TODAY()),1,0)</x:f>
        <x:v>0</x:v>
      </x:c>
      <x:c r="W1274" s="2" t="str">
        <x:f>'Research &amp; Analysis'!M546</x:f>
        <x:v>Task</x:v>
      </x:c>
    </x:row>
    <x:row r="1275" ht="40" customHeight="1">
      <x:c r="A1275" s="3" t="str">
        <x:f>HYPERLINK("#'Research &amp; Analysis'!A547","Open")</x:f>
        <x:v>Open</x:v>
      </x:c>
      <x:c r="B1275" s="2" t="str">
        <x:f>'Research &amp; Analysis'!B547</x:f>
        <x:v>Cycle 4</x:v>
      </x:c>
      <x:c r="C1275" s="2" t="str">
        <x:f>'Research &amp; Analysis'!C547</x:f>
        <x:v>Phase 1</x:v>
      </x:c>
      <x:c r="D1275" s="2" t="str">
        <x:f>'Research &amp; Analysis'!D547</x:f>
        <x:v>CSBBO - Banking Ops</x:v>
      </x:c>
      <x:c r="E1275" s="2" t="str">
        <x:v>Research &amp; Analysis</x:v>
      </x:c>
      <x:c r="F1275" s="56" t="str">
        <x:f>'Research &amp; Analysis'!E547</x:f>
        <x:v>RA.BO.1.9</x:v>
      </x:c>
      <x:c r="G1275" s="14" t="str">
        <x:f>'Research &amp; Analysis'!F547</x:f>
        <x:v>Assign topic researchers</x:v>
      </x:c>
      <x:c r="H1275" s="2" t="str">
        <x:f>IF('Research &amp; Analysis'!G547="","",'Research &amp; Analysis'!G547)</x:f>
      </x:c>
      <x:c r="I1275" s="12" t="str">
        <x:f>IF('Research &amp; Analysis'!H547="","",'Research &amp; Analysis'!H547)</x:f>
      </x:c>
      <x:c r="J1275" s="12" t="n">
        <x:f>IF('Research &amp; Analysis'!I547="","",'Research &amp; Analysis'!I547)</x:f>
        <x:v>46387</x:v>
      </x:c>
      <x:c r="K1275" s="12" t="str">
        <x:f>IF('Research &amp; Analysis'!J547="","",'Research &amp; Analysis'!J547)</x:f>
      </x:c>
      <x:c r="L1275" s="2" t="str">
        <x:f>IF('Research &amp; Analysis'!K547="","",'Research &amp; Analysis'!K547)</x:f>
      </x:c>
      <x:c r="M1275" s="2" t="n">
        <x:f>'Research &amp; Analysis'!Q547</x:f>
        <x:v>1</x:v>
      </x:c>
      <x:c r="N1275" s="2" t="str">
        <x:f>'Research &amp; Analysis'!L547</x:f>
        <x:v>Not started</x:v>
      </x:c>
      <x:c r="O1275" s="2" t="str">
        <x:f>'Research &amp; Analysis'!N547</x:f>
        <x:v>RA.BO.1.9.2026.CY4</x:v>
      </x:c>
      <x:c r="P1275" s="2" t="n">
        <x:f>'Research &amp; Analysis'!O547</x:f>
        <x:v>0</x:v>
      </x:c>
      <x:c r="Q1275" s="2" t="n">
        <x:f>SUBTOTAL(103,O1275)</x:f>
        <x:v>1</x:v>
      </x:c>
      <x:c r="R1275" s="2" t="n">
        <x:f>IF(AND(M1275=1,OR(Dashboard!$B$7="All",Dashboard!$B$7='Cycles &amp; Guide'!$C$5),OR(Dashboard!$D$7="All",Dashboard!$D$7=B1275),OR(Dashboard!$F$7="All",Dashboard!$F$7=C1275),OR(Dashboard!$H$7="All",Dashboard!$H$7=D1275),OR(Dashboard!$K$7="All",Dashboard!$K$7=E1275)),1,0)</x:f>
        <x:v>1</x:v>
      </x:c>
      <x:c r="S1275" s="2" t="n">
        <x:f>IF(R1275=1,SUM($R$10:R1275),0)</x:f>
        <x:v>902</x:v>
      </x:c>
      <x:c r="T1275" s="2" t="str">
        <x:v>Research &amp; Analysis</x:v>
      </x:c>
      <x:c r="U1275" s="2" t="n">
        <x:v>547</x:v>
      </x:c>
      <x:c r="V1275" s="2" t="n">
        <x:f>IF(AND(M1275=1,P1275=0,ISNUMBER(J1275),J1275&lt;TODAY()),1,0)</x:f>
        <x:v>0</x:v>
      </x:c>
      <x:c r="W1275" s="2" t="str">
        <x:f>'Research &amp; Analysis'!M547</x:f>
        <x:v>Task</x:v>
      </x:c>
    </x:row>
    <x:row r="1276" ht="40" customHeight="1">
      <x:c r="A1276" s="3" t="str">
        <x:f>HYPERLINK("#'Research &amp; Analysis'!A548","Open")</x:f>
        <x:v>Open</x:v>
      </x:c>
      <x:c r="B1276" s="2" t="str">
        <x:f>'Research &amp; Analysis'!B548</x:f>
        <x:v>Cycle 4</x:v>
      </x:c>
      <x:c r="C1276" s="2" t="str">
        <x:f>'Research &amp; Analysis'!C548</x:f>
        <x:v>Phase 2</x:v>
      </x:c>
      <x:c r="D1276" s="2" t="str">
        <x:f>'Research &amp; Analysis'!D548</x:f>
        <x:v>CSBBO - Banking Ops</x:v>
      </x:c>
      <x:c r="E1276" s="2" t="str">
        <x:v>Research &amp; Analysis</x:v>
      </x:c>
      <x:c r="F1276" s="56" t="str">
        <x:f>'Research &amp; Analysis'!E548</x:f>
        <x:v>RA.BO.2.1</x:v>
      </x:c>
      <x:c r="G1276" s="14" t="str">
        <x:f>'Research &amp; Analysis'!F548</x:f>
        <x:v>Review data sources</x:v>
      </x:c>
      <x:c r="H1276" s="2" t="str">
        <x:f>IF('Research &amp; Analysis'!G548="","",'Research &amp; Analysis'!G548)</x:f>
      </x:c>
      <x:c r="I1276" s="12" t="str">
        <x:f>IF('Research &amp; Analysis'!H548="","",'Research &amp; Analysis'!H548)</x:f>
      </x:c>
      <x:c r="J1276" s="12" t="n">
        <x:f>IF('Research &amp; Analysis'!I548="","",'Research &amp; Analysis'!I548)</x:f>
        <x:v>46387</x:v>
      </x:c>
      <x:c r="K1276" s="12" t="str">
        <x:f>IF('Research &amp; Analysis'!J548="","",'Research &amp; Analysis'!J548)</x:f>
      </x:c>
      <x:c r="L1276" s="2" t="str">
        <x:f>IF('Research &amp; Analysis'!K548="","",'Research &amp; Analysis'!K548)</x:f>
      </x:c>
      <x:c r="M1276" s="2" t="n">
        <x:f>'Research &amp; Analysis'!Q548</x:f>
        <x:v>1</x:v>
      </x:c>
      <x:c r="N1276" s="2" t="str">
        <x:f>'Research &amp; Analysis'!L548</x:f>
        <x:v>Not started</x:v>
      </x:c>
      <x:c r="O1276" s="2" t="str">
        <x:f>'Research &amp; Analysis'!N548</x:f>
        <x:v>RA.BO.2.1.2026.CY4</x:v>
      </x:c>
      <x:c r="P1276" s="2" t="n">
        <x:f>'Research &amp; Analysis'!O548</x:f>
        <x:v>0</x:v>
      </x:c>
      <x:c r="Q1276" s="2" t="n">
        <x:f>SUBTOTAL(103,O1276)</x:f>
        <x:v>1</x:v>
      </x:c>
      <x:c r="R1276" s="2" t="n">
        <x:f>IF(AND(M1276=1,OR(Dashboard!$B$7="All",Dashboard!$B$7='Cycles &amp; Guide'!$C$5),OR(Dashboard!$D$7="All",Dashboard!$D$7=B1276),OR(Dashboard!$F$7="All",Dashboard!$F$7=C1276),OR(Dashboard!$H$7="All",Dashboard!$H$7=D1276),OR(Dashboard!$K$7="All",Dashboard!$K$7=E1276)),1,0)</x:f>
        <x:v>1</x:v>
      </x:c>
      <x:c r="S1276" s="2" t="n">
        <x:f>IF(R1276=1,SUM($R$10:R1276),0)</x:f>
        <x:v>903</x:v>
      </x:c>
      <x:c r="T1276" s="2" t="str">
        <x:v>Research &amp; Analysis</x:v>
      </x:c>
      <x:c r="U1276" s="2" t="n">
        <x:v>548</x:v>
      </x:c>
      <x:c r="V1276" s="2" t="n">
        <x:f>IF(AND(M1276=1,P1276=0,ISNUMBER(J1276),J1276&lt;TODAY()),1,0)</x:f>
        <x:v>0</x:v>
      </x:c>
      <x:c r="W1276" s="2" t="str">
        <x:f>'Research &amp; Analysis'!M548</x:f>
        <x:v>Task</x:v>
      </x:c>
    </x:row>
    <x:row r="1277" ht="40" customHeight="1">
      <x:c r="A1277" s="3" t="str">
        <x:f>HYPERLINK("#'Research &amp; Analysis'!A549","Open")</x:f>
        <x:v>Open</x:v>
      </x:c>
      <x:c r="B1277" s="2" t="str">
        <x:f>'Research &amp; Analysis'!B549</x:f>
        <x:v>Cycle 4</x:v>
      </x:c>
      <x:c r="C1277" s="2" t="str">
        <x:f>'Research &amp; Analysis'!C549</x:f>
        <x:v>Phase 2</x:v>
      </x:c>
      <x:c r="D1277" s="2" t="str">
        <x:f>'Research &amp; Analysis'!D549</x:f>
        <x:v>CSBBO - Banking Ops</x:v>
      </x:c>
      <x:c r="E1277" s="2" t="str">
        <x:v>Research &amp; Analysis</x:v>
      </x:c>
      <x:c r="F1277" s="56" t="str">
        <x:f>'Research &amp; Analysis'!E549</x:f>
        <x:v>RA.BO.2.2</x:v>
      </x:c>
      <x:c r="G1277" s="14" t="str">
        <x:f>'Research &amp; Analysis'!F549</x:f>
        <x:v>Review relevant policies and procedures</x:v>
      </x:c>
      <x:c r="H1277" s="2" t="str">
        <x:f>IF('Research &amp; Analysis'!G549="","",'Research &amp; Analysis'!G549)</x:f>
      </x:c>
      <x:c r="I1277" s="12" t="str">
        <x:f>IF('Research &amp; Analysis'!H549="","",'Research &amp; Analysis'!H549)</x:f>
      </x:c>
      <x:c r="J1277" s="12" t="n">
        <x:f>IF('Research &amp; Analysis'!I549="","",'Research &amp; Analysis'!I549)</x:f>
        <x:v>46387</x:v>
      </x:c>
      <x:c r="K1277" s="12" t="str">
        <x:f>IF('Research &amp; Analysis'!J549="","",'Research &amp; Analysis'!J549)</x:f>
      </x:c>
      <x:c r="L1277" s="2" t="str">
        <x:f>IF('Research &amp; Analysis'!K549="","",'Research &amp; Analysis'!K549)</x:f>
      </x:c>
      <x:c r="M1277" s="2" t="n">
        <x:f>'Research &amp; Analysis'!Q549</x:f>
        <x:v>1</x:v>
      </x:c>
      <x:c r="N1277" s="2" t="str">
        <x:f>'Research &amp; Analysis'!L549</x:f>
        <x:v>Not started</x:v>
      </x:c>
      <x:c r="O1277" s="2" t="str">
        <x:f>'Research &amp; Analysis'!N549</x:f>
        <x:v>RA.BO.2.2.2026.CY4</x:v>
      </x:c>
      <x:c r="P1277" s="2" t="n">
        <x:f>'Research &amp; Analysis'!O549</x:f>
        <x:v>0</x:v>
      </x:c>
      <x:c r="Q1277" s="2" t="n">
        <x:f>SUBTOTAL(103,O1277)</x:f>
        <x:v>1</x:v>
      </x:c>
      <x:c r="R1277" s="2" t="n">
        <x:f>IF(AND(M1277=1,OR(Dashboard!$B$7="All",Dashboard!$B$7='Cycles &amp; Guide'!$C$5),OR(Dashboard!$D$7="All",Dashboard!$D$7=B1277),OR(Dashboard!$F$7="All",Dashboard!$F$7=C1277),OR(Dashboard!$H$7="All",Dashboard!$H$7=D1277),OR(Dashboard!$K$7="All",Dashboard!$K$7=E1277)),1,0)</x:f>
        <x:v>1</x:v>
      </x:c>
      <x:c r="S1277" s="2" t="n">
        <x:f>IF(R1277=1,SUM($R$10:R1277),0)</x:f>
        <x:v>904</x:v>
      </x:c>
      <x:c r="T1277" s="2" t="str">
        <x:v>Research &amp; Analysis</x:v>
      </x:c>
      <x:c r="U1277" s="2" t="n">
        <x:v>549</x:v>
      </x:c>
      <x:c r="V1277" s="2" t="n">
        <x:f>IF(AND(M1277=1,P1277=0,ISNUMBER(J1277),J1277&lt;TODAY()),1,0)</x:f>
        <x:v>0</x:v>
      </x:c>
      <x:c r="W1277" s="2" t="str">
        <x:f>'Research &amp; Analysis'!M549</x:f>
        <x:v>Task</x:v>
      </x:c>
    </x:row>
    <x:row r="1278" ht="40" customHeight="1">
      <x:c r="A1278" s="3" t="str">
        <x:f>HYPERLINK("#'Research &amp; Analysis'!A550","Open")</x:f>
        <x:v>Open</x:v>
      </x:c>
      <x:c r="B1278" s="2" t="str">
        <x:f>'Research &amp; Analysis'!B550</x:f>
        <x:v>Cycle 4</x:v>
      </x:c>
      <x:c r="C1278" s="2" t="str">
        <x:f>'Research &amp; Analysis'!C550</x:f>
        <x:v>Phase 2</x:v>
      </x:c>
      <x:c r="D1278" s="2" t="str">
        <x:f>'Research &amp; Analysis'!D550</x:f>
        <x:v>CSBBO - Banking Ops</x:v>
      </x:c>
      <x:c r="E1278" s="2" t="str">
        <x:v>Research &amp; Analysis</x:v>
      </x:c>
      <x:c r="F1278" s="56" t="str">
        <x:f>'Research &amp; Analysis'!E550</x:f>
        <x:v>RA.BO.2.3</x:v>
      </x:c>
      <x:c r="G1278" s="14" t="str">
        <x:f>'Research &amp; Analysis'!F550</x:f>
        <x:v>Meet with SMEs to gain business insight and clarify questions</x:v>
      </x:c>
      <x:c r="H1278" s="2" t="str">
        <x:f>IF('Research &amp; Analysis'!G550="","",'Research &amp; Analysis'!G550)</x:f>
      </x:c>
      <x:c r="I1278" s="12" t="str">
        <x:f>IF('Research &amp; Analysis'!H550="","",'Research &amp; Analysis'!H550)</x:f>
      </x:c>
      <x:c r="J1278" s="12" t="n">
        <x:f>IF('Research &amp; Analysis'!I550="","",'Research &amp; Analysis'!I550)</x:f>
        <x:v>46387</x:v>
      </x:c>
      <x:c r="K1278" s="12" t="str">
        <x:f>IF('Research &amp; Analysis'!J550="","",'Research &amp; Analysis'!J550)</x:f>
      </x:c>
      <x:c r="L1278" s="2" t="str">
        <x:f>IF('Research &amp; Analysis'!K550="","",'Research &amp; Analysis'!K550)</x:f>
      </x:c>
      <x:c r="M1278" s="2" t="n">
        <x:f>'Research &amp; Analysis'!Q550</x:f>
        <x:v>1</x:v>
      </x:c>
      <x:c r="N1278" s="2" t="str">
        <x:f>'Research &amp; Analysis'!L550</x:f>
        <x:v>Not started</x:v>
      </x:c>
      <x:c r="O1278" s="2" t="str">
        <x:f>'Research &amp; Analysis'!N550</x:f>
        <x:v>RA.BO.2.3.2026.CY4</x:v>
      </x:c>
      <x:c r="P1278" s="2" t="n">
        <x:f>'Research &amp; Analysis'!O550</x:f>
        <x:v>0</x:v>
      </x:c>
      <x:c r="Q1278" s="2" t="n">
        <x:f>SUBTOTAL(103,O1278)</x:f>
        <x:v>1</x:v>
      </x:c>
      <x:c r="R1278" s="2" t="n">
        <x:f>IF(AND(M1278=1,OR(Dashboard!$B$7="All",Dashboard!$B$7='Cycles &amp; Guide'!$C$5),OR(Dashboard!$D$7="All",Dashboard!$D$7=B1278),OR(Dashboard!$F$7="All",Dashboard!$F$7=C1278),OR(Dashboard!$H$7="All",Dashboard!$H$7=D1278),OR(Dashboard!$K$7="All",Dashboard!$K$7=E1278)),1,0)</x:f>
        <x:v>1</x:v>
      </x:c>
      <x:c r="S1278" s="2" t="n">
        <x:f>IF(R1278=1,SUM($R$10:R1278),0)</x:f>
        <x:v>905</x:v>
      </x:c>
      <x:c r="T1278" s="2" t="str">
        <x:v>Research &amp; Analysis</x:v>
      </x:c>
      <x:c r="U1278" s="2" t="n">
        <x:v>550</x:v>
      </x:c>
      <x:c r="V1278" s="2" t="n">
        <x:f>IF(AND(M1278=1,P1278=0,ISNUMBER(J1278),J1278&lt;TODAY()),1,0)</x:f>
        <x:v>0</x:v>
      </x:c>
      <x:c r="W1278" s="2" t="str">
        <x:f>'Research &amp; Analysis'!M550</x:f>
        <x:v>Task</x:v>
      </x:c>
    </x:row>
    <x:row r="1279" ht="40" customHeight="1">
      <x:c r="A1279" s="3" t="str">
        <x:f>HYPERLINK("#'Research &amp; Analysis'!A551","Open")</x:f>
        <x:v>Open</x:v>
      </x:c>
      <x:c r="B1279" s="2" t="str">
        <x:f>'Research &amp; Analysis'!B551</x:f>
        <x:v>Cycle 4</x:v>
      </x:c>
      <x:c r="C1279" s="2" t="str">
        <x:f>'Research &amp; Analysis'!C551</x:f>
        <x:v>Phase 2</x:v>
      </x:c>
      <x:c r="D1279" s="2" t="str">
        <x:f>'Research &amp; Analysis'!D551</x:f>
        <x:v>CSBBO - Banking Ops</x:v>
      </x:c>
      <x:c r="E1279" s="2" t="str">
        <x:v>Research &amp; Analysis</x:v>
      </x:c>
      <x:c r="F1279" s="56" t="str">
        <x:f>'Research &amp; Analysis'!E551</x:f>
        <x:v>RA.BO.2.4</x:v>
      </x:c>
      <x:c r="G1279" s="14" t="str">
        <x:f>'Research &amp; Analysis'!F551</x:f>
        <x:v>Establish and maintain a recurring meeting with D&amp;I to discuss Cycle progress</x:v>
      </x:c>
      <x:c r="H1279" s="2" t="str">
        <x:f>IF('Research &amp; Analysis'!G551="","",'Research &amp; Analysis'!G551)</x:f>
      </x:c>
      <x:c r="I1279" s="12" t="str">
        <x:f>IF('Research &amp; Analysis'!H551="","",'Research &amp; Analysis'!H551)</x:f>
      </x:c>
      <x:c r="J1279" s="12" t="n">
        <x:f>IF('Research &amp; Analysis'!I551="","",'Research &amp; Analysis'!I551)</x:f>
        <x:v>46387</x:v>
      </x:c>
      <x:c r="K1279" s="12" t="str">
        <x:f>IF('Research &amp; Analysis'!J551="","",'Research &amp; Analysis'!J551)</x:f>
      </x:c>
      <x:c r="L1279" s="2" t="str">
        <x:f>IF('Research &amp; Analysis'!K551="","",'Research &amp; Analysis'!K551)</x:f>
      </x:c>
      <x:c r="M1279" s="2" t="n">
        <x:f>'Research &amp; Analysis'!Q551</x:f>
        <x:v>1</x:v>
      </x:c>
      <x:c r="N1279" s="2" t="str">
        <x:f>'Research &amp; Analysis'!L551</x:f>
        <x:v>Not started</x:v>
      </x:c>
      <x:c r="O1279" s="2" t="str">
        <x:f>'Research &amp; Analysis'!N551</x:f>
        <x:v>RA.BO.2.4.2026.CY4</x:v>
      </x:c>
      <x:c r="P1279" s="2" t="n">
        <x:f>'Research &amp; Analysis'!O551</x:f>
        <x:v>0</x:v>
      </x:c>
      <x:c r="Q1279" s="2" t="n">
        <x:f>SUBTOTAL(103,O1279)</x:f>
        <x:v>1</x:v>
      </x:c>
      <x:c r="R1279" s="2" t="n">
        <x:f>IF(AND(M1279=1,OR(Dashboard!$B$7="All",Dashboard!$B$7='Cycles &amp; Guide'!$C$5),OR(Dashboard!$D$7="All",Dashboard!$D$7=B1279),OR(Dashboard!$F$7="All",Dashboard!$F$7=C1279),OR(Dashboard!$H$7="All",Dashboard!$H$7=D1279),OR(Dashboard!$K$7="All",Dashboard!$K$7=E1279)),1,0)</x:f>
        <x:v>1</x:v>
      </x:c>
      <x:c r="S1279" s="2" t="n">
        <x:f>IF(R1279=1,SUM($R$10:R1279),0)</x:f>
        <x:v>906</x:v>
      </x:c>
      <x:c r="T1279" s="2" t="str">
        <x:v>Research &amp; Analysis</x:v>
      </x:c>
      <x:c r="U1279" s="2" t="n">
        <x:v>551</x:v>
      </x:c>
      <x:c r="V1279" s="2" t="n">
        <x:f>IF(AND(M1279=1,P1279=0,ISNUMBER(J1279),J1279&lt;TODAY()),1,0)</x:f>
        <x:v>0</x:v>
      </x:c>
      <x:c r="W1279" s="2" t="str">
        <x:f>'Research &amp; Analysis'!M551</x:f>
        <x:v>Task</x:v>
      </x:c>
    </x:row>
    <x:row r="1280" ht="40" customHeight="1">
      <x:c r="A1280" s="3" t="str">
        <x:f>HYPERLINK("#'Research &amp; Analysis'!A552","Open")</x:f>
        <x:v>Open</x:v>
      </x:c>
      <x:c r="B1280" s="2" t="str">
        <x:f>'Research &amp; Analysis'!B552</x:f>
        <x:v>Cycle 4</x:v>
      </x:c>
      <x:c r="C1280" s="2" t="str">
        <x:f>'Research &amp; Analysis'!C552</x:f>
        <x:v>Phase 2</x:v>
      </x:c>
      <x:c r="D1280" s="2" t="str">
        <x:f>'Research &amp; Analysis'!D552</x:f>
        <x:v>CSBBO - Banking Ops</x:v>
      </x:c>
      <x:c r="E1280" s="2" t="str">
        <x:v>Research &amp; Analysis</x:v>
      </x:c>
      <x:c r="F1280" s="56" t="str">
        <x:f>'Research &amp; Analysis'!E552</x:f>
        <x:v>RA.BO.2.5</x:v>
      </x:c>
      <x:c r="G1280" s="14" t="str">
        <x:f>'Research &amp; Analysis'!F552</x:f>
        <x:v>Perform data testing and sampling</x:v>
      </x:c>
      <x:c r="H1280" s="2" t="str">
        <x:f>IF('Research &amp; Analysis'!G552="","",'Research &amp; Analysis'!G552)</x:f>
      </x:c>
      <x:c r="I1280" s="12" t="str">
        <x:f>IF('Research &amp; Analysis'!H552="","",'Research &amp; Analysis'!H552)</x:f>
      </x:c>
      <x:c r="J1280" s="12" t="n">
        <x:f>IF('Research &amp; Analysis'!I552="","",'Research &amp; Analysis'!I552)</x:f>
        <x:v>46387</x:v>
      </x:c>
      <x:c r="K1280" s="12" t="str">
        <x:f>IF('Research &amp; Analysis'!J552="","",'Research &amp; Analysis'!J552)</x:f>
      </x:c>
      <x:c r="L1280" s="2" t="str">
        <x:f>IF('Research &amp; Analysis'!K552="","",'Research &amp; Analysis'!K552)</x:f>
      </x:c>
      <x:c r="M1280" s="2" t="n">
        <x:f>'Research &amp; Analysis'!Q552</x:f>
        <x:v>1</x:v>
      </x:c>
      <x:c r="N1280" s="2" t="str">
        <x:f>'Research &amp; Analysis'!L552</x:f>
        <x:v>Not started</x:v>
      </x:c>
      <x:c r="O1280" s="2" t="str">
        <x:f>'Research &amp; Analysis'!N552</x:f>
        <x:v>RA.BO.2.5.2026.CY4</x:v>
      </x:c>
      <x:c r="P1280" s="2" t="n">
        <x:f>'Research &amp; Analysis'!O552</x:f>
        <x:v>0</x:v>
      </x:c>
      <x:c r="Q1280" s="2" t="n">
        <x:f>SUBTOTAL(103,O1280)</x:f>
        <x:v>1</x:v>
      </x:c>
      <x:c r="R1280" s="2" t="n">
        <x:f>IF(AND(M1280=1,OR(Dashboard!$B$7="All",Dashboard!$B$7='Cycles &amp; Guide'!$C$5),OR(Dashboard!$D$7="All",Dashboard!$D$7=B1280),OR(Dashboard!$F$7="All",Dashboard!$F$7=C1280),OR(Dashboard!$H$7="All",Dashboard!$H$7=D1280),OR(Dashboard!$K$7="All",Dashboard!$K$7=E1280)),1,0)</x:f>
        <x:v>1</x:v>
      </x:c>
      <x:c r="S1280" s="2" t="n">
        <x:f>IF(R1280=1,SUM($R$10:R1280),0)</x:f>
        <x:v>907</x:v>
      </x:c>
      <x:c r="T1280" s="2" t="str">
        <x:v>Research &amp; Analysis</x:v>
      </x:c>
      <x:c r="U1280" s="2" t="n">
        <x:v>552</x:v>
      </x:c>
      <x:c r="V1280" s="2" t="n">
        <x:f>IF(AND(M1280=1,P1280=0,ISNUMBER(J1280),J1280&lt;TODAY()),1,0)</x:f>
        <x:v>0</x:v>
      </x:c>
      <x:c r="W1280" s="2" t="str">
        <x:f>'Research &amp; Analysis'!M552</x:f>
        <x:v>Task</x:v>
      </x:c>
    </x:row>
    <x:row r="1281" ht="40" customHeight="1">
      <x:c r="A1281" s="3" t="str">
        <x:f>HYPERLINK("#'Research &amp; Analysis'!A553","Open")</x:f>
        <x:v>Open</x:v>
      </x:c>
      <x:c r="B1281" s="2" t="str">
        <x:f>'Research &amp; Analysis'!B553</x:f>
        <x:v>Cycle 4</x:v>
      </x:c>
      <x:c r="C1281" s="2" t="str">
        <x:f>'Research &amp; Analysis'!C553</x:f>
        <x:v>Phase 2</x:v>
      </x:c>
      <x:c r="D1281" s="2" t="str">
        <x:f>'Research &amp; Analysis'!D553</x:f>
        <x:v>CSBBO - Banking Ops</x:v>
      </x:c>
      <x:c r="E1281" s="2" t="str">
        <x:v>Research &amp; Analysis</x:v>
      </x:c>
      <x:c r="F1281" s="56" t="str">
        <x:f>'Research &amp; Analysis'!E553</x:f>
        <x:v>RA.BO.2.6</x:v>
      </x:c>
      <x:c r="G1281" s="14" t="str">
        <x:f>'Research &amp; Analysis'!F553</x:f>
        <x:v>Complete Positive Testing</x:v>
      </x:c>
      <x:c r="H1281" s="2" t="str">
        <x:f>IF('Research &amp; Analysis'!G553="","",'Research &amp; Analysis'!G553)</x:f>
      </x:c>
      <x:c r="I1281" s="12" t="str">
        <x:f>IF('Research &amp; Analysis'!H553="","",'Research &amp; Analysis'!H553)</x:f>
      </x:c>
      <x:c r="J1281" s="12" t="n">
        <x:f>IF('Research &amp; Analysis'!I553="","",'Research &amp; Analysis'!I553)</x:f>
        <x:v>46387</x:v>
      </x:c>
      <x:c r="K1281" s="12" t="str">
        <x:f>IF('Research &amp; Analysis'!J553="","",'Research &amp; Analysis'!J553)</x:f>
      </x:c>
      <x:c r="L1281" s="2" t="str">
        <x:f>IF('Research &amp; Analysis'!K553="","",'Research &amp; Analysis'!K553)</x:f>
      </x:c>
      <x:c r="M1281" s="2" t="n">
        <x:f>'Research &amp; Analysis'!Q553</x:f>
        <x:v>1</x:v>
      </x:c>
      <x:c r="N1281" s="2" t="str">
        <x:f>'Research &amp; Analysis'!L553</x:f>
        <x:v>Not started</x:v>
      </x:c>
      <x:c r="O1281" s="2" t="str">
        <x:f>'Research &amp; Analysis'!N553</x:f>
        <x:v>RA.BO.2.6.2026.CY4</x:v>
      </x:c>
      <x:c r="P1281" s="2" t="n">
        <x:f>'Research &amp; Analysis'!O553</x:f>
        <x:v>0</x:v>
      </x:c>
      <x:c r="Q1281" s="2" t="n">
        <x:f>SUBTOTAL(103,O1281)</x:f>
        <x:v>1</x:v>
      </x:c>
      <x:c r="R1281" s="2" t="n">
        <x:f>IF(AND(M1281=1,OR(Dashboard!$B$7="All",Dashboard!$B$7='Cycles &amp; Guide'!$C$5),OR(Dashboard!$D$7="All",Dashboard!$D$7=B1281),OR(Dashboard!$F$7="All",Dashboard!$F$7=C1281),OR(Dashboard!$H$7="All",Dashboard!$H$7=D1281),OR(Dashboard!$K$7="All",Dashboard!$K$7=E1281)),1,0)</x:f>
        <x:v>1</x:v>
      </x:c>
      <x:c r="S1281" s="2" t="n">
        <x:f>IF(R1281=1,SUM($R$10:R1281),0)</x:f>
        <x:v>908</x:v>
      </x:c>
      <x:c r="T1281" s="2" t="str">
        <x:v>Research &amp; Analysis</x:v>
      </x:c>
      <x:c r="U1281" s="2" t="n">
        <x:v>553</x:v>
      </x:c>
      <x:c r="V1281" s="2" t="n">
        <x:f>IF(AND(M1281=1,P1281=0,ISNUMBER(J1281),J1281&lt;TODAY()),1,0)</x:f>
        <x:v>0</x:v>
      </x:c>
      <x:c r="W1281" s="2" t="str">
        <x:f>'Research &amp; Analysis'!M553</x:f>
        <x:v>Task</x:v>
      </x:c>
    </x:row>
    <x:row r="1282" ht="40" customHeight="1">
      <x:c r="A1282" s="3" t="str">
        <x:f>HYPERLINK("#'Research &amp; Analysis'!A554","Open")</x:f>
        <x:v>Open</x:v>
      </x:c>
      <x:c r="B1282" s="2" t="str">
        <x:f>'Research &amp; Analysis'!B554</x:f>
        <x:v>Cycle 4</x:v>
      </x:c>
      <x:c r="C1282" s="2" t="str">
        <x:f>'Research &amp; Analysis'!C554</x:f>
        <x:v>Phase 2</x:v>
      </x:c>
      <x:c r="D1282" s="2" t="str">
        <x:f>'Research &amp; Analysis'!D554</x:f>
        <x:v>CSBBO - Banking Ops</x:v>
      </x:c>
      <x:c r="E1282" s="2" t="str">
        <x:v>Research &amp; Analysis</x:v>
      </x:c>
      <x:c r="F1282" s="56" t="str">
        <x:f>'Research &amp; Analysis'!E554</x:f>
        <x:v>RA.BO.2.7</x:v>
      </x:c>
      <x:c r="G1282" s="14" t="str">
        <x:f>'Research &amp; Analysis'!F554</x:f>
        <x:v>Complete Negative Testing</x:v>
      </x:c>
      <x:c r="H1282" s="2" t="str">
        <x:f>IF('Research &amp; Analysis'!G554="","",'Research &amp; Analysis'!G554)</x:f>
      </x:c>
      <x:c r="I1282" s="12" t="str">
        <x:f>IF('Research &amp; Analysis'!H554="","",'Research &amp; Analysis'!H554)</x:f>
      </x:c>
      <x:c r="J1282" s="12" t="n">
        <x:f>IF('Research &amp; Analysis'!I554="","",'Research &amp; Analysis'!I554)</x:f>
        <x:v>46387</x:v>
      </x:c>
      <x:c r="K1282" s="12" t="str">
        <x:f>IF('Research &amp; Analysis'!J554="","",'Research &amp; Analysis'!J554)</x:f>
      </x:c>
      <x:c r="L1282" s="2" t="str">
        <x:f>IF('Research &amp; Analysis'!K554="","",'Research &amp; Analysis'!K554)</x:f>
      </x:c>
      <x:c r="M1282" s="2" t="n">
        <x:f>'Research &amp; Analysis'!Q554</x:f>
        <x:v>1</x:v>
      </x:c>
      <x:c r="N1282" s="2" t="str">
        <x:f>'Research &amp; Analysis'!L554</x:f>
        <x:v>Not started</x:v>
      </x:c>
      <x:c r="O1282" s="2" t="str">
        <x:f>'Research &amp; Analysis'!N554</x:f>
        <x:v>RA.BO.2.7.2026.CY4</x:v>
      </x:c>
      <x:c r="P1282" s="2" t="n">
        <x:f>'Research &amp; Analysis'!O554</x:f>
        <x:v>0</x:v>
      </x:c>
      <x:c r="Q1282" s="2" t="n">
        <x:f>SUBTOTAL(103,O1282)</x:f>
        <x:v>1</x:v>
      </x:c>
      <x:c r="R1282" s="2" t="n">
        <x:f>IF(AND(M1282=1,OR(Dashboard!$B$7="All",Dashboard!$B$7='Cycles &amp; Guide'!$C$5),OR(Dashboard!$D$7="All",Dashboard!$D$7=B1282),OR(Dashboard!$F$7="All",Dashboard!$F$7=C1282),OR(Dashboard!$H$7="All",Dashboard!$H$7=D1282),OR(Dashboard!$K$7="All",Dashboard!$K$7=E1282)),1,0)</x:f>
        <x:v>1</x:v>
      </x:c>
      <x:c r="S1282" s="2" t="n">
        <x:f>IF(R1282=1,SUM($R$10:R1282),0)</x:f>
        <x:v>909</x:v>
      </x:c>
      <x:c r="T1282" s="2" t="str">
        <x:v>Research &amp; Analysis</x:v>
      </x:c>
      <x:c r="U1282" s="2" t="n">
        <x:v>554</x:v>
      </x:c>
      <x:c r="V1282" s="2" t="n">
        <x:f>IF(AND(M1282=1,P1282=0,ISNUMBER(J1282),J1282&lt;TODAY()),1,0)</x:f>
        <x:v>0</x:v>
      </x:c>
      <x:c r="W1282" s="2" t="str">
        <x:f>'Research &amp; Analysis'!M554</x:f>
        <x:v>Task</x:v>
      </x:c>
    </x:row>
    <x:row r="1283" ht="40" customHeight="1">
      <x:c r="A1283" s="3" t="str">
        <x:f>HYPERLINK("#'Research &amp; Analysis'!A555","Open")</x:f>
        <x:v>Open</x:v>
      </x:c>
      <x:c r="B1283" s="2" t="str">
        <x:f>'Research &amp; Analysis'!B555</x:f>
        <x:v>Cycle 4</x:v>
      </x:c>
      <x:c r="C1283" s="2" t="str">
        <x:f>'Research &amp; Analysis'!C555</x:f>
        <x:v>Phase 2</x:v>
      </x:c>
      <x:c r="D1283" s="2" t="str">
        <x:f>'Research &amp; Analysis'!D555</x:f>
        <x:v>CSBBO - Banking Ops</x:v>
      </x:c>
      <x:c r="E1283" s="2" t="str">
        <x:v>Research &amp; Analysis</x:v>
      </x:c>
      <x:c r="F1283" s="56" t="str">
        <x:f>'Research &amp; Analysis'!E555</x:f>
        <x:v>RA.BO.2.8</x:v>
      </x:c>
      <x:c r="G1283" s="14" t="str">
        <x:f>'Research &amp; Analysis'!F555</x:f>
        <x:v>Request additional data (as needed)</x:v>
      </x:c>
      <x:c r="H1283" s="2" t="str">
        <x:f>IF('Research &amp; Analysis'!G555="","",'Research &amp; Analysis'!G555)</x:f>
      </x:c>
      <x:c r="I1283" s="12" t="str">
        <x:f>IF('Research &amp; Analysis'!H555="","",'Research &amp; Analysis'!H555)</x:f>
      </x:c>
      <x:c r="J1283" s="12" t="n">
        <x:f>IF('Research &amp; Analysis'!I555="","",'Research &amp; Analysis'!I555)</x:f>
        <x:v>46387</x:v>
      </x:c>
      <x:c r="K1283" s="12" t="str">
        <x:f>IF('Research &amp; Analysis'!J555="","",'Research &amp; Analysis'!J555)</x:f>
      </x:c>
      <x:c r="L1283" s="2" t="str">
        <x:f>IF('Research &amp; Analysis'!K555="","",'Research &amp; Analysis'!K555)</x:f>
      </x:c>
      <x:c r="M1283" s="2" t="n">
        <x:f>'Research &amp; Analysis'!Q555</x:f>
        <x:v>1</x:v>
      </x:c>
      <x:c r="N1283" s="2" t="str">
        <x:f>'Research &amp; Analysis'!L555</x:f>
        <x:v>Not started</x:v>
      </x:c>
      <x:c r="O1283" s="2" t="str">
        <x:f>'Research &amp; Analysis'!N555</x:f>
        <x:v>RA.BO.2.8.2026.CY4</x:v>
      </x:c>
      <x:c r="P1283" s="2" t="n">
        <x:f>'Research &amp; Analysis'!O555</x:f>
        <x:v>0</x:v>
      </x:c>
      <x:c r="Q1283" s="2" t="n">
        <x:f>SUBTOTAL(103,O1283)</x:f>
        <x:v>1</x:v>
      </x:c>
      <x:c r="R1283" s="2" t="n">
        <x:f>IF(AND(M1283=1,OR(Dashboard!$B$7="All",Dashboard!$B$7='Cycles &amp; Guide'!$C$5),OR(Dashboard!$D$7="All",Dashboard!$D$7=B1283),OR(Dashboard!$F$7="All",Dashboard!$F$7=C1283),OR(Dashboard!$H$7="All",Dashboard!$H$7=D1283),OR(Dashboard!$K$7="All",Dashboard!$K$7=E1283)),1,0)</x:f>
        <x:v>1</x:v>
      </x:c>
      <x:c r="S1283" s="2" t="n">
        <x:f>IF(R1283=1,SUM($R$10:R1283),0)</x:f>
        <x:v>910</x:v>
      </x:c>
      <x:c r="T1283" s="2" t="str">
        <x:v>Research &amp; Analysis</x:v>
      </x:c>
      <x:c r="U1283" s="2" t="n">
        <x:v>555</x:v>
      </x:c>
      <x:c r="V1283" s="2" t="n">
        <x:f>IF(AND(M1283=1,P1283=0,ISNUMBER(J1283),J1283&lt;TODAY()),1,0)</x:f>
        <x:v>0</x:v>
      </x:c>
      <x:c r="W1283" s="2" t="str">
        <x:f>'Research &amp; Analysis'!M555</x:f>
        <x:v>Task</x:v>
      </x:c>
    </x:row>
    <x:row r="1284" ht="40" customHeight="1">
      <x:c r="A1284" s="3" t="str">
        <x:f>HYPERLINK("#'Research &amp; Analysis'!A556","Open")</x:f>
        <x:v>Open</x:v>
      </x:c>
      <x:c r="B1284" s="2" t="str">
        <x:f>'Research &amp; Analysis'!B556</x:f>
        <x:v>Cycle 4</x:v>
      </x:c>
      <x:c r="C1284" s="2" t="str">
        <x:f>'Research &amp; Analysis'!C556</x:f>
        <x:v>Phase 2</x:v>
      </x:c>
      <x:c r="D1284" s="2" t="str">
        <x:f>'Research &amp; Analysis'!D556</x:f>
        <x:v>CSBBO - Banking Ops</x:v>
      </x:c>
      <x:c r="E1284" s="2" t="str">
        <x:v>Research &amp; Analysis</x:v>
      </x:c>
      <x:c r="F1284" s="56" t="str">
        <x:f>'Research &amp; Analysis'!E556</x:f>
        <x:v>RA.BO.2.9</x:v>
      </x:c>
      <x:c r="G1284" s="14" t="str">
        <x:f>'Research &amp; Analysis'!F556</x:f>
        <x:v>Validate or disprove initial hypothesis assumptions</x:v>
      </x:c>
      <x:c r="H1284" s="2" t="str">
        <x:f>IF('Research &amp; Analysis'!G556="","",'Research &amp; Analysis'!G556)</x:f>
      </x:c>
      <x:c r="I1284" s="12" t="str">
        <x:f>IF('Research &amp; Analysis'!H556="","",'Research &amp; Analysis'!H556)</x:f>
      </x:c>
      <x:c r="J1284" s="12" t="n">
        <x:f>IF('Research &amp; Analysis'!I556="","",'Research &amp; Analysis'!I556)</x:f>
        <x:v>46387</x:v>
      </x:c>
      <x:c r="K1284" s="12" t="str">
        <x:f>IF('Research &amp; Analysis'!J556="","",'Research &amp; Analysis'!J556)</x:f>
      </x:c>
      <x:c r="L1284" s="2" t="str">
        <x:f>IF('Research &amp; Analysis'!K556="","",'Research &amp; Analysis'!K556)</x:f>
      </x:c>
      <x:c r="M1284" s="2" t="n">
        <x:f>'Research &amp; Analysis'!Q556</x:f>
        <x:v>1</x:v>
      </x:c>
      <x:c r="N1284" s="2" t="str">
        <x:f>'Research &amp; Analysis'!L556</x:f>
        <x:v>Not started</x:v>
      </x:c>
      <x:c r="O1284" s="2" t="str">
        <x:f>'Research &amp; Analysis'!N556</x:f>
        <x:v>RA.BO.2.9.2026.CY4</x:v>
      </x:c>
      <x:c r="P1284" s="2" t="n">
        <x:f>'Research &amp; Analysis'!O556</x:f>
        <x:v>0</x:v>
      </x:c>
      <x:c r="Q1284" s="2" t="n">
        <x:f>SUBTOTAL(103,O1284)</x:f>
        <x:v>1</x:v>
      </x:c>
      <x:c r="R1284" s="2" t="n">
        <x:f>IF(AND(M1284=1,OR(Dashboard!$B$7="All",Dashboard!$B$7='Cycles &amp; Guide'!$C$5),OR(Dashboard!$D$7="All",Dashboard!$D$7=B1284),OR(Dashboard!$F$7="All",Dashboard!$F$7=C1284),OR(Dashboard!$H$7="All",Dashboard!$H$7=D1284),OR(Dashboard!$K$7="All",Dashboard!$K$7=E1284)),1,0)</x:f>
        <x:v>1</x:v>
      </x:c>
      <x:c r="S1284" s="2" t="n">
        <x:f>IF(R1284=1,SUM($R$10:R1284),0)</x:f>
        <x:v>911</x:v>
      </x:c>
      <x:c r="T1284" s="2" t="str">
        <x:v>Research &amp; Analysis</x:v>
      </x:c>
      <x:c r="U1284" s="2" t="n">
        <x:v>556</x:v>
      </x:c>
      <x:c r="V1284" s="2" t="n">
        <x:f>IF(AND(M1284=1,P1284=0,ISNUMBER(J1284),J1284&lt;TODAY()),1,0)</x:f>
        <x:v>0</x:v>
      </x:c>
      <x:c r="W1284" s="2" t="str">
        <x:f>'Research &amp; Analysis'!M556</x:f>
        <x:v>Task</x:v>
      </x:c>
    </x:row>
    <x:row r="1285" ht="40" customHeight="1">
      <x:c r="A1285" s="3" t="str">
        <x:f>HYPERLINK("#'Research &amp; Analysis'!A557","Open")</x:f>
        <x:v>Open</x:v>
      </x:c>
      <x:c r="B1285" s="2" t="str">
        <x:f>'Research &amp; Analysis'!B557</x:f>
        <x:v>Cycle 4</x:v>
      </x:c>
      <x:c r="C1285" s="2" t="str">
        <x:f>'Research &amp; Analysis'!C557</x:f>
        <x:v>Phase 2</x:v>
      </x:c>
      <x:c r="D1285" s="2" t="str">
        <x:f>'Research &amp; Analysis'!D557</x:f>
        <x:v>CSBBO - Banking Ops</x:v>
      </x:c>
      <x:c r="E1285" s="2" t="str">
        <x:v>Research &amp; Analysis</x:v>
      </x:c>
      <x:c r="F1285" s="56" t="str">
        <x:f>'Research &amp; Analysis'!E557</x:f>
        <x:v>RA.BO.2.10</x:v>
      </x:c>
      <x:c r="G1285" s="14" t="str">
        <x:f>'Research &amp; Analysis'!F557</x:f>
        <x:v>Identify and confirm root cause</x:v>
      </x:c>
      <x:c r="H1285" s="2" t="str">
        <x:f>IF('Research &amp; Analysis'!G557="","",'Research &amp; Analysis'!G557)</x:f>
      </x:c>
      <x:c r="I1285" s="12" t="str">
        <x:f>IF('Research &amp; Analysis'!H557="","",'Research &amp; Analysis'!H557)</x:f>
      </x:c>
      <x:c r="J1285" s="12" t="n">
        <x:f>IF('Research &amp; Analysis'!I557="","",'Research &amp; Analysis'!I557)</x:f>
        <x:v>46387</x:v>
      </x:c>
      <x:c r="K1285" s="12" t="str">
        <x:f>IF('Research &amp; Analysis'!J557="","",'Research &amp; Analysis'!J557)</x:f>
      </x:c>
      <x:c r="L1285" s="2" t="str">
        <x:f>IF('Research &amp; Analysis'!K557="","",'Research &amp; Analysis'!K557)</x:f>
      </x:c>
      <x:c r="M1285" s="2" t="n">
        <x:f>'Research &amp; Analysis'!Q557</x:f>
        <x:v>1</x:v>
      </x:c>
      <x:c r="N1285" s="2" t="str">
        <x:f>'Research &amp; Analysis'!L557</x:f>
        <x:v>Not started</x:v>
      </x:c>
      <x:c r="O1285" s="2" t="str">
        <x:f>'Research &amp; Analysis'!N557</x:f>
        <x:v>RA.BO.2.10.2026.CY4</x:v>
      </x:c>
      <x:c r="P1285" s="2" t="n">
        <x:f>'Research &amp; Analysis'!O557</x:f>
        <x:v>0</x:v>
      </x:c>
      <x:c r="Q1285" s="2" t="n">
        <x:f>SUBTOTAL(103,O1285)</x:f>
        <x:v>1</x:v>
      </x:c>
      <x:c r="R1285" s="2" t="n">
        <x:f>IF(AND(M1285=1,OR(Dashboard!$B$7="All",Dashboard!$B$7='Cycles &amp; Guide'!$C$5),OR(Dashboard!$D$7="All",Dashboard!$D$7=B1285),OR(Dashboard!$F$7="All",Dashboard!$F$7=C1285),OR(Dashboard!$H$7="All",Dashboard!$H$7=D1285),OR(Dashboard!$K$7="All",Dashboard!$K$7=E1285)),1,0)</x:f>
        <x:v>1</x:v>
      </x:c>
      <x:c r="S1285" s="2" t="n">
        <x:f>IF(R1285=1,SUM($R$10:R1285),0)</x:f>
        <x:v>912</x:v>
      </x:c>
      <x:c r="T1285" s="2" t="str">
        <x:v>Research &amp; Analysis</x:v>
      </x:c>
      <x:c r="U1285" s="2" t="n">
        <x:v>557</x:v>
      </x:c>
      <x:c r="V1285" s="2" t="n">
        <x:f>IF(AND(M1285=1,P1285=0,ISNUMBER(J1285),J1285&lt;TODAY()),1,0)</x:f>
        <x:v>0</x:v>
      </x:c>
      <x:c r="W1285" s="2" t="str">
        <x:f>'Research &amp; Analysis'!M557</x:f>
        <x:v>Task</x:v>
      </x:c>
    </x:row>
    <x:row r="1286" ht="40" customHeight="1">
      <x:c r="A1286" s="3" t="str">
        <x:f>HYPERLINK("#'Research &amp; Analysis'!A558","Open")</x:f>
        <x:v>Open</x:v>
      </x:c>
      <x:c r="B1286" s="2" t="str">
        <x:f>'Research &amp; Analysis'!B558</x:f>
        <x:v>Cycle 4</x:v>
      </x:c>
      <x:c r="C1286" s="2" t="str">
        <x:f>'Research &amp; Analysis'!C558</x:f>
        <x:v>Phase 3</x:v>
      </x:c>
      <x:c r="D1286" s="2" t="str">
        <x:f>'Research &amp; Analysis'!D558</x:f>
        <x:v>CSBBO - Banking Ops</x:v>
      </x:c>
      <x:c r="E1286" s="2" t="str">
        <x:v>Research &amp; Analysis</x:v>
      </x:c>
      <x:c r="F1286" s="56" t="str">
        <x:f>'Research &amp; Analysis'!E558</x:f>
        <x:v>RA.BO.3.1</x:v>
      </x:c>
      <x:c r="G1286" s="14" t="str">
        <x:f>'Research &amp; Analysis'!F558</x:f>
        <x:v>Finalize results and supporting documentation</x:v>
      </x:c>
      <x:c r="H1286" s="2" t="str">
        <x:f>IF('Research &amp; Analysis'!G558="","",'Research &amp; Analysis'!G558)</x:f>
      </x:c>
      <x:c r="I1286" s="12" t="str">
        <x:f>IF('Research &amp; Analysis'!H558="","",'Research &amp; Analysis'!H558)</x:f>
      </x:c>
      <x:c r="J1286" s="12" t="n">
        <x:f>IF('Research &amp; Analysis'!I558="","",'Research &amp; Analysis'!I558)</x:f>
        <x:v>46387</x:v>
      </x:c>
      <x:c r="K1286" s="12" t="str">
        <x:f>IF('Research &amp; Analysis'!J558="","",'Research &amp; Analysis'!J558)</x:f>
      </x:c>
      <x:c r="L1286" s="2" t="str">
        <x:f>IF('Research &amp; Analysis'!K558="","",'Research &amp; Analysis'!K558)</x:f>
      </x:c>
      <x:c r="M1286" s="2" t="n">
        <x:f>'Research &amp; Analysis'!Q558</x:f>
        <x:v>1</x:v>
      </x:c>
      <x:c r="N1286" s="2" t="str">
        <x:f>'Research &amp; Analysis'!L558</x:f>
        <x:v>Not started</x:v>
      </x:c>
      <x:c r="O1286" s="2" t="str">
        <x:f>'Research &amp; Analysis'!N558</x:f>
        <x:v>RA.BO.3.1.2026.CY4</x:v>
      </x:c>
      <x:c r="P1286" s="2" t="n">
        <x:f>'Research &amp; Analysis'!O558</x:f>
        <x:v>0</x:v>
      </x:c>
      <x:c r="Q1286" s="2" t="n">
        <x:f>SUBTOTAL(103,O1286)</x:f>
        <x:v>1</x:v>
      </x:c>
      <x:c r="R1286" s="2" t="n">
        <x:f>IF(AND(M1286=1,OR(Dashboard!$B$7="All",Dashboard!$B$7='Cycles &amp; Guide'!$C$5),OR(Dashboard!$D$7="All",Dashboard!$D$7=B1286),OR(Dashboard!$F$7="All",Dashboard!$F$7=C1286),OR(Dashboard!$H$7="All",Dashboard!$H$7=D1286),OR(Dashboard!$K$7="All",Dashboard!$K$7=E1286)),1,0)</x:f>
        <x:v>1</x:v>
      </x:c>
      <x:c r="S1286" s="2" t="n">
        <x:f>IF(R1286=1,SUM($R$10:R1286),0)</x:f>
        <x:v>913</x:v>
      </x:c>
      <x:c r="T1286" s="2" t="str">
        <x:v>Research &amp; Analysis</x:v>
      </x:c>
      <x:c r="U1286" s="2" t="n">
        <x:v>558</x:v>
      </x:c>
      <x:c r="V1286" s="2" t="n">
        <x:f>IF(AND(M1286=1,P1286=0,ISNUMBER(J1286),J1286&lt;TODAY()),1,0)</x:f>
        <x:v>0</x:v>
      </x:c>
      <x:c r="W1286" s="2" t="str">
        <x:f>'Research &amp; Analysis'!M558</x:f>
        <x:v>Task</x:v>
      </x:c>
    </x:row>
    <x:row r="1287" ht="40" customHeight="1">
      <x:c r="A1287" s="3" t="str">
        <x:f>HYPERLINK("#'Research &amp; Analysis'!A559","Open")</x:f>
        <x:v>Open</x:v>
      </x:c>
      <x:c r="B1287" s="2" t="str">
        <x:f>'Research &amp; Analysis'!B559</x:f>
        <x:v>Cycle 4</x:v>
      </x:c>
      <x:c r="C1287" s="2" t="str">
        <x:f>'Research &amp; Analysis'!C559</x:f>
        <x:v>Phase 3</x:v>
      </x:c>
      <x:c r="D1287" s="2" t="str">
        <x:f>'Research &amp; Analysis'!D559</x:f>
        <x:v>CSBBO - Banking Ops</x:v>
      </x:c>
      <x:c r="E1287" s="2" t="str">
        <x:v>Research &amp; Analysis</x:v>
      </x:c>
      <x:c r="F1287" s="56" t="str">
        <x:f>'Research &amp; Analysis'!E559</x:f>
        <x:v>RA.BO.3.2</x:v>
      </x:c>
      <x:c r="G1287" s="14" t="str">
        <x:f>'Research &amp; Analysis'!F559</x:f>
        <x:v>Maintain and update the evidence package prior to handoff to D&amp;I</x:v>
      </x:c>
      <x:c r="H1287" s="2" t="str">
        <x:f>IF('Research &amp; Analysis'!G559="","",'Research &amp; Analysis'!G559)</x:f>
      </x:c>
      <x:c r="I1287" s="12" t="str">
        <x:f>IF('Research &amp; Analysis'!H559="","",'Research &amp; Analysis'!H559)</x:f>
      </x:c>
      <x:c r="J1287" s="12" t="n">
        <x:f>IF('Research &amp; Analysis'!I559="","",'Research &amp; Analysis'!I559)</x:f>
        <x:v>46387</x:v>
      </x:c>
      <x:c r="K1287" s="12" t="str">
        <x:f>IF('Research &amp; Analysis'!J559="","",'Research &amp; Analysis'!J559)</x:f>
      </x:c>
      <x:c r="L1287" s="2" t="str">
        <x:f>IF('Research &amp; Analysis'!K559="","",'Research &amp; Analysis'!K559)</x:f>
      </x:c>
      <x:c r="M1287" s="2" t="n">
        <x:f>'Research &amp; Analysis'!Q559</x:f>
        <x:v>1</x:v>
      </x:c>
      <x:c r="N1287" s="2" t="str">
        <x:f>'Research &amp; Analysis'!L559</x:f>
        <x:v>Not started</x:v>
      </x:c>
      <x:c r="O1287" s="2" t="str">
        <x:f>'Research &amp; Analysis'!N559</x:f>
        <x:v>RA.BO.3.2.2026.CY4</x:v>
      </x:c>
      <x:c r="P1287" s="2" t="n">
        <x:f>'Research &amp; Analysis'!O559</x:f>
        <x:v>0</x:v>
      </x:c>
      <x:c r="Q1287" s="2" t="n">
        <x:f>SUBTOTAL(103,O1287)</x:f>
        <x:v>1</x:v>
      </x:c>
      <x:c r="R1287" s="2" t="n">
        <x:f>IF(AND(M1287=1,OR(Dashboard!$B$7="All",Dashboard!$B$7='Cycles &amp; Guide'!$C$5),OR(Dashboard!$D$7="All",Dashboard!$D$7=B1287),OR(Dashboard!$F$7="All",Dashboard!$F$7=C1287),OR(Dashboard!$H$7="All",Dashboard!$H$7=D1287),OR(Dashboard!$K$7="All",Dashboard!$K$7=E1287)),1,0)</x:f>
        <x:v>1</x:v>
      </x:c>
      <x:c r="S1287" s="2" t="n">
        <x:f>IF(R1287=1,SUM($R$10:R1287),0)</x:f>
        <x:v>914</x:v>
      </x:c>
      <x:c r="T1287" s="2" t="str">
        <x:v>Research &amp; Analysis</x:v>
      </x:c>
      <x:c r="U1287" s="2" t="n">
        <x:v>559</x:v>
      </x:c>
      <x:c r="V1287" s="2" t="n">
        <x:f>IF(AND(M1287=1,P1287=0,ISNUMBER(J1287),J1287&lt;TODAY()),1,0)</x:f>
        <x:v>0</x:v>
      </x:c>
      <x:c r="W1287" s="2" t="str">
        <x:f>'Research &amp; Analysis'!M559</x:f>
        <x:v>Task</x:v>
      </x:c>
    </x:row>
    <x:row r="1288" ht="40" customHeight="1">
      <x:c r="A1288" s="3" t="str">
        <x:f>HYPERLINK("#'Research &amp; Analysis'!A560","Open")</x:f>
        <x:v>Open</x:v>
      </x:c>
      <x:c r="B1288" s="2" t="str">
        <x:f>'Research &amp; Analysis'!B560</x:f>
        <x:v>Cycle 4</x:v>
      </x:c>
      <x:c r="C1288" s="2" t="str">
        <x:f>'Research &amp; Analysis'!C560</x:f>
        <x:v>Phase 3</x:v>
      </x:c>
      <x:c r="D1288" s="2" t="str">
        <x:f>'Research &amp; Analysis'!D560</x:f>
        <x:v>CSBBO - Banking Ops</x:v>
      </x:c>
      <x:c r="E1288" s="2" t="str">
        <x:v>Research &amp; Analysis</x:v>
      </x:c>
      <x:c r="F1288" s="56" t="str">
        <x:f>'Research &amp; Analysis'!E560</x:f>
        <x:v>RA.BO.3.3</x:v>
      </x:c>
      <x:c r="G1288" s="14" t="str">
        <x:f>'Research &amp; Analysis'!F560</x:f>
        <x:v>Address any outstanding questions or requests from D&amp;I</x:v>
      </x:c>
      <x:c r="H1288" s="2" t="str">
        <x:f>IF('Research &amp; Analysis'!G560="","",'Research &amp; Analysis'!G560)</x:f>
      </x:c>
      <x:c r="I1288" s="12" t="str">
        <x:f>IF('Research &amp; Analysis'!H560="","",'Research &amp; Analysis'!H560)</x:f>
      </x:c>
      <x:c r="J1288" s="12" t="n">
        <x:f>IF('Research &amp; Analysis'!I560="","",'Research &amp; Analysis'!I560)</x:f>
        <x:v>46387</x:v>
      </x:c>
      <x:c r="K1288" s="12" t="str">
        <x:f>IF('Research &amp; Analysis'!J560="","",'Research &amp; Analysis'!J560)</x:f>
      </x:c>
      <x:c r="L1288" s="2" t="str">
        <x:f>IF('Research &amp; Analysis'!K560="","",'Research &amp; Analysis'!K560)</x:f>
      </x:c>
      <x:c r="M1288" s="2" t="n">
        <x:f>'Research &amp; Analysis'!Q560</x:f>
        <x:v>1</x:v>
      </x:c>
      <x:c r="N1288" s="2" t="str">
        <x:f>'Research &amp; Analysis'!L560</x:f>
        <x:v>Not started</x:v>
      </x:c>
      <x:c r="O1288" s="2" t="str">
        <x:f>'Research &amp; Analysis'!N560</x:f>
        <x:v>RA.BO.3.3.2026.CY4</x:v>
      </x:c>
      <x:c r="P1288" s="2" t="n">
        <x:f>'Research &amp; Analysis'!O560</x:f>
        <x:v>0</x:v>
      </x:c>
      <x:c r="Q1288" s="2" t="n">
        <x:f>SUBTOTAL(103,O1288)</x:f>
        <x:v>1</x:v>
      </x:c>
      <x:c r="R1288" s="2" t="n">
        <x:f>IF(AND(M1288=1,OR(Dashboard!$B$7="All",Dashboard!$B$7='Cycles &amp; Guide'!$C$5),OR(Dashboard!$D$7="All",Dashboard!$D$7=B1288),OR(Dashboard!$F$7="All",Dashboard!$F$7=C1288),OR(Dashboard!$H$7="All",Dashboard!$H$7=D1288),OR(Dashboard!$K$7="All",Dashboard!$K$7=E1288)),1,0)</x:f>
        <x:v>1</x:v>
      </x:c>
      <x:c r="S1288" s="2" t="n">
        <x:f>IF(R1288=1,SUM($R$10:R1288),0)</x:f>
        <x:v>915</x:v>
      </x:c>
      <x:c r="T1288" s="2" t="str">
        <x:v>Research &amp; Analysis</x:v>
      </x:c>
      <x:c r="U1288" s="2" t="n">
        <x:v>560</x:v>
      </x:c>
      <x:c r="V1288" s="2" t="n">
        <x:f>IF(AND(M1288=1,P1288=0,ISNUMBER(J1288),J1288&lt;TODAY()),1,0)</x:f>
        <x:v>0</x:v>
      </x:c>
      <x:c r="W1288" s="2" t="str">
        <x:f>'Research &amp; Analysis'!M560</x:f>
        <x:v>Task</x:v>
      </x:c>
    </x:row>
    <x:row r="1289" ht="40" customHeight="1">
      <x:c r="A1289" s="3" t="str">
        <x:f>HYPERLINK("#'Research &amp; Analysis'!A561","Open")</x:f>
        <x:v>Open</x:v>
      </x:c>
      <x:c r="B1289" s="2" t="str">
        <x:f>'Research &amp; Analysis'!B561</x:f>
        <x:v>Cycle 4</x:v>
      </x:c>
      <x:c r="C1289" s="2" t="str">
        <x:f>'Research &amp; Analysis'!C561</x:f>
        <x:v>Phase 3</x:v>
      </x:c>
      <x:c r="D1289" s="2" t="str">
        <x:f>'Research &amp; Analysis'!D561</x:f>
        <x:v>CSBBO - Banking Ops</x:v>
      </x:c>
      <x:c r="E1289" s="2" t="str">
        <x:v>Research &amp; Analysis</x:v>
      </x:c>
      <x:c r="F1289" s="56" t="str">
        <x:f>'Research &amp; Analysis'!E561</x:f>
        <x:v>RA.BO.3.4</x:v>
      </x:c>
      <x:c r="G1289" s="14" t="str">
        <x:f>'Research &amp; Analysis'!F561</x:f>
        <x:v>Attend Forum meeting with D&amp;I to assist with answering stakeholder questions (as needed)</x:v>
      </x:c>
      <x:c r="H1289" s="2" t="str">
        <x:f>IF('Research &amp; Analysis'!G561="","",'Research &amp; Analysis'!G561)</x:f>
      </x:c>
      <x:c r="I1289" s="12" t="str">
        <x:f>IF('Research &amp; Analysis'!H561="","",'Research &amp; Analysis'!H561)</x:f>
      </x:c>
      <x:c r="J1289" s="12" t="str">
        <x:f>IF('Research &amp; Analysis'!I561="","",'Research &amp; Analysis'!I561)</x:f>
      </x:c>
      <x:c r="K1289" s="12" t="str">
        <x:f>IF('Research &amp; Analysis'!J561="","",'Research &amp; Analysis'!J561)</x:f>
      </x:c>
      <x:c r="L1289" s="2" t="str">
        <x:f>IF('Research &amp; Analysis'!K561="","",'Research &amp; Analysis'!K561)</x:f>
      </x:c>
      <x:c r="M1289" s="2" t="n">
        <x:f>'Research &amp; Analysis'!Q561</x:f>
        <x:v>1</x:v>
      </x:c>
      <x:c r="N1289" s="2" t="str">
        <x:f>'Research &amp; Analysis'!L561</x:f>
        <x:v>Not started</x:v>
      </x:c>
      <x:c r="O1289" s="2" t="str">
        <x:f>'Research &amp; Analysis'!N561</x:f>
        <x:v>RA.BO.3.4.2026.CY4</x:v>
      </x:c>
      <x:c r="P1289" s="2" t="n">
        <x:f>'Research &amp; Analysis'!O561</x:f>
        <x:v>0</x:v>
      </x:c>
      <x:c r="Q1289" s="2" t="n">
        <x:f>SUBTOTAL(103,O1289)</x:f>
        <x:v>1</x:v>
      </x:c>
      <x:c r="R1289" s="2" t="n">
        <x:f>IF(AND(M1289=1,OR(Dashboard!$B$7="All",Dashboard!$B$7='Cycles &amp; Guide'!$C$5),OR(Dashboard!$D$7="All",Dashboard!$D$7=B1289),OR(Dashboard!$F$7="All",Dashboard!$F$7=C1289),OR(Dashboard!$H$7="All",Dashboard!$H$7=D1289),OR(Dashboard!$K$7="All",Dashboard!$K$7=E1289)),1,0)</x:f>
        <x:v>1</x:v>
      </x:c>
      <x:c r="S1289" s="2" t="n">
        <x:f>IF(R1289=1,SUM($R$10:R1289),0)</x:f>
        <x:v>916</x:v>
      </x:c>
      <x:c r="T1289" s="2" t="str">
        <x:v>Research &amp; Analysis</x:v>
      </x:c>
      <x:c r="U1289" s="2" t="n">
        <x:v>561</x:v>
      </x:c>
      <x:c r="V1289" s="2" t="n">
        <x:f>IF(AND(M1289=1,P1289=0,ISNUMBER(J1289),J1289&lt;TODAY()),1,0)</x:f>
        <x:v>0</x:v>
      </x:c>
      <x:c r="W1289" s="2" t="str">
        <x:f>'Research &amp; Analysis'!M561</x:f>
        <x:v>Task</x:v>
      </x:c>
    </x:row>
    <x:row r="1290" ht="40" customHeight="1">
      <x:c r="A1290" s="3" t="str">
        <x:f>HYPERLINK("#'Research &amp; Analysis'!A562","Open")</x:f>
        <x:v>Open</x:v>
      </x:c>
      <x:c r="B1290" s="2" t="str">
        <x:f>'Research &amp; Analysis'!B562</x:f>
        <x:v>Cycle 4</x:v>
      </x:c>
      <x:c r="C1290" s="2" t="str">
        <x:f>'Research &amp; Analysis'!C562</x:f>
        <x:v>Phase 1</x:v>
      </x:c>
      <x:c r="D1290" s="2" t="str">
        <x:f>'Research &amp; Analysis'!D562</x:f>
        <x:v>CSBBO - Customer Service</x:v>
      </x:c>
      <x:c r="E1290" s="2" t="str">
        <x:v>Research &amp; Analysis</x:v>
      </x:c>
      <x:c r="F1290" s="56" t="str">
        <x:f>'Research &amp; Analysis'!E562</x:f>
        <x:v>RA.CS.1.1</x:v>
      </x:c>
      <x:c r="G1290" s="14" t="str">
        <x:f>'Research &amp; Analysis'!F562</x:f>
        <x:v>Begin Research process 2 weeks prior to Cycle start</x:v>
      </x:c>
      <x:c r="H1290" s="2" t="str">
        <x:f>IF('Research &amp; Analysis'!G562="","",'Research &amp; Analysis'!G562)</x:f>
      </x:c>
      <x:c r="I1290" s="12" t="str">
        <x:f>IF('Research &amp; Analysis'!H562="","",'Research &amp; Analysis'!H562)</x:f>
      </x:c>
      <x:c r="J1290" s="12" t="n">
        <x:f>IF('Research &amp; Analysis'!I562="","",'Research &amp; Analysis'!I562)</x:f>
        <x:v>46282</x:v>
      </x:c>
      <x:c r="K1290" s="12" t="str">
        <x:f>IF('Research &amp; Analysis'!J562="","",'Research &amp; Analysis'!J562)</x:f>
      </x:c>
      <x:c r="L1290" s="2" t="str">
        <x:f>IF('Research &amp; Analysis'!K562="","",'Research &amp; Analysis'!K562)</x:f>
      </x:c>
      <x:c r="M1290" s="2" t="n">
        <x:f>'Research &amp; Analysis'!Q562</x:f>
        <x:v>1</x:v>
      </x:c>
      <x:c r="N1290" s="2" t="str">
        <x:f>'Research &amp; Analysis'!L562</x:f>
        <x:v>Not started</x:v>
      </x:c>
      <x:c r="O1290" s="2" t="str">
        <x:f>'Research &amp; Analysis'!N562</x:f>
        <x:v>RA.CS.1.1.2026.CY4</x:v>
      </x:c>
      <x:c r="P1290" s="2" t="n">
        <x:f>'Research &amp; Analysis'!O562</x:f>
        <x:v>0</x:v>
      </x:c>
      <x:c r="Q1290" s="2" t="n">
        <x:f>SUBTOTAL(103,O1290)</x:f>
        <x:v>1</x:v>
      </x:c>
      <x:c r="R1290" s="2" t="n">
        <x:f>IF(AND(M1290=1,OR(Dashboard!$B$7="All",Dashboard!$B$7='Cycles &amp; Guide'!$C$5),OR(Dashboard!$D$7="All",Dashboard!$D$7=B1290),OR(Dashboard!$F$7="All",Dashboard!$F$7=C1290),OR(Dashboard!$H$7="All",Dashboard!$H$7=D1290),OR(Dashboard!$K$7="All",Dashboard!$K$7=E1290)),1,0)</x:f>
        <x:v>1</x:v>
      </x:c>
      <x:c r="S1290" s="2" t="n">
        <x:f>IF(R1290=1,SUM($R$10:R1290),0)</x:f>
        <x:v>917</x:v>
      </x:c>
      <x:c r="T1290" s="2" t="str">
        <x:v>Research &amp; Analysis</x:v>
      </x:c>
      <x:c r="U1290" s="2" t="n">
        <x:v>562</x:v>
      </x:c>
      <x:c r="V1290" s="2" t="n">
        <x:f>IF(AND(M1290=1,P1290=0,ISNUMBER(J1290),J1290&lt;TODAY()),1,0)</x:f>
        <x:v>1</x:v>
      </x:c>
      <x:c r="W1290" s="2" t="str">
        <x:f>'Research &amp; Analysis'!M562</x:f>
        <x:v>Task</x:v>
      </x:c>
    </x:row>
    <x:row r="1291" ht="40" customHeight="1">
      <x:c r="A1291" s="3" t="str">
        <x:f>HYPERLINK("#'Research &amp; Analysis'!A563","Open")</x:f>
        <x:v>Open</x:v>
      </x:c>
      <x:c r="B1291" s="2" t="str">
        <x:f>'Research &amp; Analysis'!B563</x:f>
        <x:v>Cycle 4</x:v>
      </x:c>
      <x:c r="C1291" s="2" t="str">
        <x:f>'Research &amp; Analysis'!C563</x:f>
        <x:v>Phase 1</x:v>
      </x:c>
      <x:c r="D1291" s="2" t="str">
        <x:f>'Research &amp; Analysis'!D563</x:f>
        <x:v>CSBBO - Customer Service</x:v>
      </x:c>
      <x:c r="E1291" s="2" t="str">
        <x:v>Research &amp; Analysis</x:v>
      </x:c>
      <x:c r="F1291" s="56" t="str">
        <x:f>'Research &amp; Analysis'!E563</x:f>
        <x:v>RA.CS.1.2</x:v>
      </x:c>
      <x:c r="G1291" s="14" t="str">
        <x:f>'Research &amp; Analysis'!F563</x:f>
        <x:v>Conduct initial assessment of each topic recommendation from SharePoint list</x:v>
      </x:c>
      <x:c r="H1291" s="2" t="str">
        <x:f>IF('Research &amp; Analysis'!G563="","",'Research &amp; Analysis'!G563)</x:f>
      </x:c>
      <x:c r="I1291" s="12" t="str">
        <x:f>IF('Research &amp; Analysis'!H563="","",'Research &amp; Analysis'!H563)</x:f>
      </x:c>
      <x:c r="J1291" s="12" t="n">
        <x:f>IF('Research &amp; Analysis'!I563="","",'Research &amp; Analysis'!I563)</x:f>
        <x:v>46387</x:v>
      </x:c>
      <x:c r="K1291" s="12" t="str">
        <x:f>IF('Research &amp; Analysis'!J563="","",'Research &amp; Analysis'!J563)</x:f>
      </x:c>
      <x:c r="L1291" s="2" t="str">
        <x:f>IF('Research &amp; Analysis'!K563="","",'Research &amp; Analysis'!K563)</x:f>
      </x:c>
      <x:c r="M1291" s="2" t="n">
        <x:f>'Research &amp; Analysis'!Q563</x:f>
        <x:v>1</x:v>
      </x:c>
      <x:c r="N1291" s="2" t="str">
        <x:f>'Research &amp; Analysis'!L563</x:f>
        <x:v>Not started</x:v>
      </x:c>
      <x:c r="O1291" s="2" t="str">
        <x:f>'Research &amp; Analysis'!N563</x:f>
        <x:v>RA.CS.1.2.2026.CY4</x:v>
      </x:c>
      <x:c r="P1291" s="2" t="n">
        <x:f>'Research &amp; Analysis'!O563</x:f>
        <x:v>0</x:v>
      </x:c>
      <x:c r="Q1291" s="2" t="n">
        <x:f>SUBTOTAL(103,O1291)</x:f>
        <x:v>1</x:v>
      </x:c>
      <x:c r="R1291" s="2" t="n">
        <x:f>IF(AND(M1291=1,OR(Dashboard!$B$7="All",Dashboard!$B$7='Cycles &amp; Guide'!$C$5),OR(Dashboard!$D$7="All",Dashboard!$D$7=B1291),OR(Dashboard!$F$7="All",Dashboard!$F$7=C1291),OR(Dashboard!$H$7="All",Dashboard!$H$7=D1291),OR(Dashboard!$K$7="All",Dashboard!$K$7=E1291)),1,0)</x:f>
        <x:v>1</x:v>
      </x:c>
      <x:c r="S1291" s="2" t="n">
        <x:f>IF(R1291=1,SUM($R$10:R1291),0)</x:f>
        <x:v>918</x:v>
      </x:c>
      <x:c r="T1291" s="2" t="str">
        <x:v>Research &amp; Analysis</x:v>
      </x:c>
      <x:c r="U1291" s="2" t="n">
        <x:v>563</x:v>
      </x:c>
      <x:c r="V1291" s="2" t="n">
        <x:f>IF(AND(M1291=1,P1291=0,ISNUMBER(J1291),J1291&lt;TODAY()),1,0)</x:f>
        <x:v>0</x:v>
      </x:c>
      <x:c r="W1291" s="2" t="str">
        <x:f>'Research &amp; Analysis'!M563</x:f>
        <x:v>Task</x:v>
      </x:c>
    </x:row>
    <x:row r="1292" ht="40" customHeight="1">
      <x:c r="A1292" s="3" t="str">
        <x:f>HYPERLINK("#'Research &amp; Analysis'!A564","Open")</x:f>
        <x:v>Open</x:v>
      </x:c>
      <x:c r="B1292" s="2" t="str">
        <x:f>'Research &amp; Analysis'!B564</x:f>
        <x:v>Cycle 4</x:v>
      </x:c>
      <x:c r="C1292" s="2" t="str">
        <x:f>'Research &amp; Analysis'!C564</x:f>
        <x:v>Phase 1</x:v>
      </x:c>
      <x:c r="D1292" s="2" t="str">
        <x:f>'Research &amp; Analysis'!D564</x:f>
        <x:v>CSBBO - Customer Service</x:v>
      </x:c>
      <x:c r="E1292" s="2" t="str">
        <x:v>Research &amp; Analysis</x:v>
      </x:c>
      <x:c r="F1292" s="56" t="str">
        <x:f>'Research &amp; Analysis'!E564</x:f>
        <x:v>RA.CS.1.3</x:v>
      </x:c>
      <x:c r="G1292" s="14" t="str">
        <x:f>'Research &amp; Analysis'!F564</x:f>
        <x:v>Identify best topic for Cycle</x:v>
      </x:c>
      <x:c r="H1292" s="2" t="str">
        <x:f>IF('Research &amp; Analysis'!G564="","",'Research &amp; Analysis'!G564)</x:f>
      </x:c>
      <x:c r="I1292" s="12" t="str">
        <x:f>IF('Research &amp; Analysis'!H564="","",'Research &amp; Analysis'!H564)</x:f>
      </x:c>
      <x:c r="J1292" s="12" t="n">
        <x:f>IF('Research &amp; Analysis'!I564="","",'Research &amp; Analysis'!I564)</x:f>
        <x:v>46387</x:v>
      </x:c>
      <x:c r="K1292" s="12" t="str">
        <x:f>IF('Research &amp; Analysis'!J564="","",'Research &amp; Analysis'!J564)</x:f>
      </x:c>
      <x:c r="L1292" s="2" t="str">
        <x:f>IF('Research &amp; Analysis'!K564="","",'Research &amp; Analysis'!K564)</x:f>
      </x:c>
      <x:c r="M1292" s="2" t="n">
        <x:f>'Research &amp; Analysis'!Q564</x:f>
        <x:v>1</x:v>
      </x:c>
      <x:c r="N1292" s="2" t="str">
        <x:f>'Research &amp; Analysis'!L564</x:f>
        <x:v>Not started</x:v>
      </x:c>
      <x:c r="O1292" s="2" t="str">
        <x:f>'Research &amp; Analysis'!N564</x:f>
        <x:v>RA.CS.1.3.2026.CY4</x:v>
      </x:c>
      <x:c r="P1292" s="2" t="n">
        <x:f>'Research &amp; Analysis'!O564</x:f>
        <x:v>0</x:v>
      </x:c>
      <x:c r="Q1292" s="2" t="n">
        <x:f>SUBTOTAL(103,O1292)</x:f>
        <x:v>1</x:v>
      </x:c>
      <x:c r="R1292" s="2" t="n">
        <x:f>IF(AND(M1292=1,OR(Dashboard!$B$7="All",Dashboard!$B$7='Cycles &amp; Guide'!$C$5),OR(Dashboard!$D$7="All",Dashboard!$D$7=B1292),OR(Dashboard!$F$7="All",Dashboard!$F$7=C1292),OR(Dashboard!$H$7="All",Dashboard!$H$7=D1292),OR(Dashboard!$K$7="All",Dashboard!$K$7=E1292)),1,0)</x:f>
        <x:v>1</x:v>
      </x:c>
      <x:c r="S1292" s="2" t="n">
        <x:f>IF(R1292=1,SUM($R$10:R1292),0)</x:f>
        <x:v>919</x:v>
      </x:c>
      <x:c r="T1292" s="2" t="str">
        <x:v>Research &amp; Analysis</x:v>
      </x:c>
      <x:c r="U1292" s="2" t="n">
        <x:v>564</x:v>
      </x:c>
      <x:c r="V1292" s="2" t="n">
        <x:f>IF(AND(M1292=1,P1292=0,ISNUMBER(J1292),J1292&lt;TODAY()),1,0)</x:f>
        <x:v>0</x:v>
      </x:c>
      <x:c r="W1292" s="2" t="str">
        <x:f>'Research &amp; Analysis'!M564</x:f>
        <x:v>Task</x:v>
      </x:c>
    </x:row>
    <x:row r="1293" ht="40" customHeight="1">
      <x:c r="A1293" s="3" t="str">
        <x:f>HYPERLINK("#'Research &amp; Analysis'!A565","Open")</x:f>
        <x:v>Open</x:v>
      </x:c>
      <x:c r="B1293" s="2" t="str">
        <x:f>'Research &amp; Analysis'!B565</x:f>
        <x:v>Cycle 4</x:v>
      </x:c>
      <x:c r="C1293" s="2" t="str">
        <x:f>'Research &amp; Analysis'!C565</x:f>
        <x:v>Phase 1</x:v>
      </x:c>
      <x:c r="D1293" s="2" t="str">
        <x:f>'Research &amp; Analysis'!D565</x:f>
        <x:v>CSBBO - Customer Service</x:v>
      </x:c>
      <x:c r="E1293" s="2" t="str">
        <x:v>Research &amp; Analysis</x:v>
      </x:c>
      <x:c r="F1293" s="56" t="str">
        <x:f>'Research &amp; Analysis'!E565</x:f>
        <x:v>RA.CS.1.4</x:v>
      </x:c>
      <x:c r="G1293" s="14" t="str">
        <x:f>'Research &amp; Analysis'!F565</x:f>
        <x:v>Identify backup topic for Cycle</x:v>
      </x:c>
      <x:c r="H1293" s="2" t="str">
        <x:f>IF('Research &amp; Analysis'!G565="","",'Research &amp; Analysis'!G565)</x:f>
      </x:c>
      <x:c r="I1293" s="12" t="str">
        <x:f>IF('Research &amp; Analysis'!H565="","",'Research &amp; Analysis'!H565)</x:f>
      </x:c>
      <x:c r="J1293" s="12" t="n">
        <x:f>IF('Research &amp; Analysis'!I565="","",'Research &amp; Analysis'!I565)</x:f>
        <x:v>46387</x:v>
      </x:c>
      <x:c r="K1293" s="12" t="str">
        <x:f>IF('Research &amp; Analysis'!J565="","",'Research &amp; Analysis'!J565)</x:f>
      </x:c>
      <x:c r="L1293" s="2" t="str">
        <x:f>IF('Research &amp; Analysis'!K565="","",'Research &amp; Analysis'!K565)</x:f>
      </x:c>
      <x:c r="M1293" s="2" t="n">
        <x:f>'Research &amp; Analysis'!Q565</x:f>
        <x:v>1</x:v>
      </x:c>
      <x:c r="N1293" s="2" t="str">
        <x:f>'Research &amp; Analysis'!L565</x:f>
        <x:v>Not started</x:v>
      </x:c>
      <x:c r="O1293" s="2" t="str">
        <x:f>'Research &amp; Analysis'!N565</x:f>
        <x:v>RA.CS.1.4.2026.CY4</x:v>
      </x:c>
      <x:c r="P1293" s="2" t="n">
        <x:f>'Research &amp; Analysis'!O565</x:f>
        <x:v>0</x:v>
      </x:c>
      <x:c r="Q1293" s="2" t="n">
        <x:f>SUBTOTAL(103,O1293)</x:f>
        <x:v>1</x:v>
      </x:c>
      <x:c r="R1293" s="2" t="n">
        <x:f>IF(AND(M1293=1,OR(Dashboard!$B$7="All",Dashboard!$B$7='Cycles &amp; Guide'!$C$5),OR(Dashboard!$D$7="All",Dashboard!$D$7=B1293),OR(Dashboard!$F$7="All",Dashboard!$F$7=C1293),OR(Dashboard!$H$7="All",Dashboard!$H$7=D1293),OR(Dashboard!$K$7="All",Dashboard!$K$7=E1293)),1,0)</x:f>
        <x:v>1</x:v>
      </x:c>
      <x:c r="S1293" s="2" t="n">
        <x:f>IF(R1293=1,SUM($R$10:R1293),0)</x:f>
        <x:v>920</x:v>
      </x:c>
      <x:c r="T1293" s="2" t="str">
        <x:v>Research &amp; Analysis</x:v>
      </x:c>
      <x:c r="U1293" s="2" t="n">
        <x:v>565</x:v>
      </x:c>
      <x:c r="V1293" s="2" t="n">
        <x:f>IF(AND(M1293=1,P1293=0,ISNUMBER(J1293),J1293&lt;TODAY()),1,0)</x:f>
        <x:v>0</x:v>
      </x:c>
      <x:c r="W1293" s="2" t="str">
        <x:f>'Research &amp; Analysis'!M565</x:f>
        <x:v>Task</x:v>
      </x:c>
    </x:row>
    <x:row r="1294" ht="40" customHeight="1">
      <x:c r="A1294" s="3" t="str">
        <x:f>HYPERLINK("#'Research &amp; Analysis'!A566","Open")</x:f>
        <x:v>Open</x:v>
      </x:c>
      <x:c r="B1294" s="2" t="str">
        <x:f>'Research &amp; Analysis'!B566</x:f>
        <x:v>Cycle 4</x:v>
      </x:c>
      <x:c r="C1294" s="2" t="str">
        <x:f>'Research &amp; Analysis'!C566</x:f>
        <x:v>Phase 1</x:v>
      </x:c>
      <x:c r="D1294" s="2" t="str">
        <x:f>'Research &amp; Analysis'!D566</x:f>
        <x:v>CSBBO - Customer Service</x:v>
      </x:c>
      <x:c r="E1294" s="2" t="str">
        <x:v>Research &amp; Analysis</x:v>
      </x:c>
      <x:c r="F1294" s="56" t="str">
        <x:f>'Research &amp; Analysis'!E566</x:f>
        <x:v>RA.CS.1.5</x:v>
      </x:c>
      <x:c r="G1294" s="14" t="str">
        <x:f>'Research &amp; Analysis'!F566</x:f>
        <x:v>Schedule topic approval meeting with D&amp;I and management</x:v>
      </x:c>
      <x:c r="H1294" s="2" t="str">
        <x:f>IF('Research &amp; Analysis'!G566="","",'Research &amp; Analysis'!G566)</x:f>
      </x:c>
      <x:c r="I1294" s="12" t="str">
        <x:f>IF('Research &amp; Analysis'!H566="","",'Research &amp; Analysis'!H566)</x:f>
      </x:c>
      <x:c r="J1294" s="12" t="n">
        <x:f>IF('Research &amp; Analysis'!I566="","",'Research &amp; Analysis'!I566)</x:f>
        <x:v>46387</x:v>
      </x:c>
      <x:c r="K1294" s="12" t="str">
        <x:f>IF('Research &amp; Analysis'!J566="","",'Research &amp; Analysis'!J566)</x:f>
      </x:c>
      <x:c r="L1294" s="2" t="str">
        <x:f>IF('Research &amp; Analysis'!K566="","",'Research &amp; Analysis'!K566)</x:f>
      </x:c>
      <x:c r="M1294" s="2" t="n">
        <x:f>'Research &amp; Analysis'!Q566</x:f>
        <x:v>1</x:v>
      </x:c>
      <x:c r="N1294" s="2" t="str">
        <x:f>'Research &amp; Analysis'!L566</x:f>
        <x:v>Not started</x:v>
      </x:c>
      <x:c r="O1294" s="2" t="str">
        <x:f>'Research &amp; Analysis'!N566</x:f>
        <x:v>RA.CS.1.5.2026.CY4</x:v>
      </x:c>
      <x:c r="P1294" s="2" t="n">
        <x:f>'Research &amp; Analysis'!O566</x:f>
        <x:v>0</x:v>
      </x:c>
      <x:c r="Q1294" s="2" t="n">
        <x:f>SUBTOTAL(103,O1294)</x:f>
        <x:v>1</x:v>
      </x:c>
      <x:c r="R1294" s="2" t="n">
        <x:f>IF(AND(M1294=1,OR(Dashboard!$B$7="All",Dashboard!$B$7='Cycles &amp; Guide'!$C$5),OR(Dashboard!$D$7="All",Dashboard!$D$7=B1294),OR(Dashboard!$F$7="All",Dashboard!$F$7=C1294),OR(Dashboard!$H$7="All",Dashboard!$H$7=D1294),OR(Dashboard!$K$7="All",Dashboard!$K$7=E1294)),1,0)</x:f>
        <x:v>1</x:v>
      </x:c>
      <x:c r="S1294" s="2" t="n">
        <x:f>IF(R1294=1,SUM($R$10:R1294),0)</x:f>
        <x:v>921</x:v>
      </x:c>
      <x:c r="T1294" s="2" t="str">
        <x:v>Research &amp; Analysis</x:v>
      </x:c>
      <x:c r="U1294" s="2" t="n">
        <x:v>566</x:v>
      </x:c>
      <x:c r="V1294" s="2" t="n">
        <x:f>IF(AND(M1294=1,P1294=0,ISNUMBER(J1294),J1294&lt;TODAY()),1,0)</x:f>
        <x:v>0</x:v>
      </x:c>
      <x:c r="W1294" s="2" t="str">
        <x:f>'Research &amp; Analysis'!M566</x:f>
        <x:v>Task</x:v>
      </x:c>
    </x:row>
    <x:row r="1295" ht="40" customHeight="1">
      <x:c r="A1295" s="3" t="str">
        <x:f>HYPERLINK("#'Research &amp; Analysis'!A567","Open")</x:f>
        <x:v>Open</x:v>
      </x:c>
      <x:c r="B1295" s="2" t="str">
        <x:f>'Research &amp; Analysis'!B567</x:f>
        <x:v>Cycle 4</x:v>
      </x:c>
      <x:c r="C1295" s="2" t="str">
        <x:f>'Research &amp; Analysis'!C567</x:f>
        <x:v>Phase 1</x:v>
      </x:c>
      <x:c r="D1295" s="2" t="str">
        <x:f>'Research &amp; Analysis'!D567</x:f>
        <x:v>CSBBO - Customer Service</x:v>
      </x:c>
      <x:c r="E1295" s="2" t="str">
        <x:v>Research &amp; Analysis</x:v>
      </x:c>
      <x:c r="F1295" s="56" t="str">
        <x:f>'Research &amp; Analysis'!E567</x:f>
        <x:v>RA.CS.1.6</x:v>
      </x:c>
      <x:c r="G1295" s="14" t="str">
        <x:f>'Research &amp; Analysis'!F567</x:f>
        <x:v>Present recommended topic to D&amp;I and management for approval</x:v>
      </x:c>
      <x:c r="H1295" s="2" t="str">
        <x:f>IF('Research &amp; Analysis'!G567="","",'Research &amp; Analysis'!G567)</x:f>
      </x:c>
      <x:c r="I1295" s="12" t="str">
        <x:f>IF('Research &amp; Analysis'!H567="","",'Research &amp; Analysis'!H567)</x:f>
      </x:c>
      <x:c r="J1295" s="12" t="n">
        <x:f>IF('Research &amp; Analysis'!I567="","",'Research &amp; Analysis'!I567)</x:f>
        <x:v>46387</x:v>
      </x:c>
      <x:c r="K1295" s="12" t="str">
        <x:f>IF('Research &amp; Analysis'!J567="","",'Research &amp; Analysis'!J567)</x:f>
      </x:c>
      <x:c r="L1295" s="2" t="str">
        <x:f>IF('Research &amp; Analysis'!K567="","",'Research &amp; Analysis'!K567)</x:f>
      </x:c>
      <x:c r="M1295" s="2" t="n">
        <x:f>'Research &amp; Analysis'!Q567</x:f>
        <x:v>1</x:v>
      </x:c>
      <x:c r="N1295" s="2" t="str">
        <x:f>'Research &amp; Analysis'!L567</x:f>
        <x:v>Not started</x:v>
      </x:c>
      <x:c r="O1295" s="2" t="str">
        <x:f>'Research &amp; Analysis'!N567</x:f>
        <x:v>RA.CS.1.6.2026.CY4</x:v>
      </x:c>
      <x:c r="P1295" s="2" t="n">
        <x:f>'Research &amp; Analysis'!O567</x:f>
        <x:v>0</x:v>
      </x:c>
      <x:c r="Q1295" s="2" t="n">
        <x:f>SUBTOTAL(103,O1295)</x:f>
        <x:v>1</x:v>
      </x:c>
      <x:c r="R1295" s="2" t="n">
        <x:f>IF(AND(M1295=1,OR(Dashboard!$B$7="All",Dashboard!$B$7='Cycles &amp; Guide'!$C$5),OR(Dashboard!$D$7="All",Dashboard!$D$7=B1295),OR(Dashboard!$F$7="All",Dashboard!$F$7=C1295),OR(Dashboard!$H$7="All",Dashboard!$H$7=D1295),OR(Dashboard!$K$7="All",Dashboard!$K$7=E1295)),1,0)</x:f>
        <x:v>1</x:v>
      </x:c>
      <x:c r="S1295" s="2" t="n">
        <x:f>IF(R1295=1,SUM($R$10:R1295),0)</x:f>
        <x:v>922</x:v>
      </x:c>
      <x:c r="T1295" s="2" t="str">
        <x:v>Research &amp; Analysis</x:v>
      </x:c>
      <x:c r="U1295" s="2" t="n">
        <x:v>567</x:v>
      </x:c>
      <x:c r="V1295" s="2" t="n">
        <x:f>IF(AND(M1295=1,P1295=0,ISNUMBER(J1295),J1295&lt;TODAY()),1,0)</x:f>
        <x:v>0</x:v>
      </x:c>
      <x:c r="W1295" s="2" t="str">
        <x:f>'Research &amp; Analysis'!M567</x:f>
        <x:v>Task</x:v>
      </x:c>
    </x:row>
    <x:row r="1296" ht="40" customHeight="1">
      <x:c r="A1296" s="3" t="str">
        <x:f>HYPERLINK("#'Research &amp; Analysis'!A568","Open")</x:f>
        <x:v>Open</x:v>
      </x:c>
      <x:c r="B1296" s="2" t="str">
        <x:f>'Research &amp; Analysis'!B568</x:f>
        <x:v>Cycle 4</x:v>
      </x:c>
      <x:c r="C1296" s="2" t="str">
        <x:f>'Research &amp; Analysis'!C568</x:f>
        <x:v>Phase 1</x:v>
      </x:c>
      <x:c r="D1296" s="2" t="str">
        <x:f>'Research &amp; Analysis'!D568</x:f>
        <x:v>CSBBO - Customer Service</x:v>
      </x:c>
      <x:c r="E1296" s="2" t="str">
        <x:v>Research &amp; Analysis</x:v>
      </x:c>
      <x:c r="F1296" s="56" t="str">
        <x:f>'Research &amp; Analysis'!E568</x:f>
        <x:v>RA.CS.1.7</x:v>
      </x:c>
      <x:c r="G1296" s="14" t="str">
        <x:f>'Research &amp; Analysis'!F568</x:f>
        <x:v>Obtain formal topic selection approval from management via SharePoint</x:v>
      </x:c>
      <x:c r="H1296" s="2" t="str">
        <x:f>IF('Research &amp; Analysis'!G568="","",'Research &amp; Analysis'!G568)</x:f>
      </x:c>
      <x:c r="I1296" s="12" t="str">
        <x:f>IF('Research &amp; Analysis'!H568="","",'Research &amp; Analysis'!H568)</x:f>
      </x:c>
      <x:c r="J1296" s="12" t="n">
        <x:f>IF('Research &amp; Analysis'!I568="","",'Research &amp; Analysis'!I568)</x:f>
        <x:v>46387</x:v>
      </x:c>
      <x:c r="K1296" s="12" t="str">
        <x:f>IF('Research &amp; Analysis'!J568="","",'Research &amp; Analysis'!J568)</x:f>
      </x:c>
      <x:c r="L1296" s="2" t="str">
        <x:f>IF('Research &amp; Analysis'!K568="","",'Research &amp; Analysis'!K568)</x:f>
      </x:c>
      <x:c r="M1296" s="2" t="n">
        <x:f>'Research &amp; Analysis'!Q568</x:f>
        <x:v>1</x:v>
      </x:c>
      <x:c r="N1296" s="2" t="str">
        <x:f>'Research &amp; Analysis'!L568</x:f>
        <x:v>Not started</x:v>
      </x:c>
      <x:c r="O1296" s="2" t="str">
        <x:f>'Research &amp; Analysis'!N568</x:f>
        <x:v>RA.CS.1.7.2026.CY4</x:v>
      </x:c>
      <x:c r="P1296" s="2" t="n">
        <x:f>'Research &amp; Analysis'!O568</x:f>
        <x:v>0</x:v>
      </x:c>
      <x:c r="Q1296" s="2" t="n">
        <x:f>SUBTOTAL(103,O1296)</x:f>
        <x:v>1</x:v>
      </x:c>
      <x:c r="R1296" s="2" t="n">
        <x:f>IF(AND(M1296=1,OR(Dashboard!$B$7="All",Dashboard!$B$7='Cycles &amp; Guide'!$C$5),OR(Dashboard!$D$7="All",Dashboard!$D$7=B1296),OR(Dashboard!$F$7="All",Dashboard!$F$7=C1296),OR(Dashboard!$H$7="All",Dashboard!$H$7=D1296),OR(Dashboard!$K$7="All",Dashboard!$K$7=E1296)),1,0)</x:f>
        <x:v>1</x:v>
      </x:c>
      <x:c r="S1296" s="2" t="n">
        <x:f>IF(R1296=1,SUM($R$10:R1296),0)</x:f>
        <x:v>923</x:v>
      </x:c>
      <x:c r="T1296" s="2" t="str">
        <x:v>Research &amp; Analysis</x:v>
      </x:c>
      <x:c r="U1296" s="2" t="n">
        <x:v>568</x:v>
      </x:c>
      <x:c r="V1296" s="2" t="n">
        <x:f>IF(AND(M1296=1,P1296=0,ISNUMBER(J1296),J1296&lt;TODAY()),1,0)</x:f>
        <x:v>0</x:v>
      </x:c>
      <x:c r="W1296" s="2" t="str">
        <x:f>'Research &amp; Analysis'!M568</x:f>
        <x:v>Task</x:v>
      </x:c>
    </x:row>
    <x:row r="1297" ht="40" customHeight="1">
      <x:c r="A1297" s="3" t="str">
        <x:f>HYPERLINK("#'Research &amp; Analysis'!A569","Open")</x:f>
        <x:v>Open</x:v>
      </x:c>
      <x:c r="B1297" s="2" t="str">
        <x:f>'Research &amp; Analysis'!B569</x:f>
        <x:v>Cycle 4</x:v>
      </x:c>
      <x:c r="C1297" s="2" t="str">
        <x:f>'Research &amp; Analysis'!C569</x:f>
        <x:v>Phase 1</x:v>
      </x:c>
      <x:c r="D1297" s="2" t="str">
        <x:f>'Research &amp; Analysis'!D569</x:f>
        <x:v>CSBBO - Customer Service</x:v>
      </x:c>
      <x:c r="E1297" s="2" t="str">
        <x:v>Research &amp; Analysis</x:v>
      </x:c>
      <x:c r="F1297" s="56" t="str">
        <x:f>'Research &amp; Analysis'!E569</x:f>
        <x:v>RA.CS.1.8</x:v>
      </x:c>
      <x:c r="G1297" s="14" t="str">
        <x:f>'Research &amp; Analysis'!F569</x:f>
        <x:v>Socialize topic selection with product owners and subject matter experts (if known)</x:v>
      </x:c>
      <x:c r="H1297" s="2" t="str">
        <x:f>IF('Research &amp; Analysis'!G569="","",'Research &amp; Analysis'!G569)</x:f>
      </x:c>
      <x:c r="I1297" s="12" t="str">
        <x:f>IF('Research &amp; Analysis'!H569="","",'Research &amp; Analysis'!H569)</x:f>
      </x:c>
      <x:c r="J1297" s="12" t="n">
        <x:f>IF('Research &amp; Analysis'!I569="","",'Research &amp; Analysis'!I569)</x:f>
        <x:v>46387</x:v>
      </x:c>
      <x:c r="K1297" s="12" t="str">
        <x:f>IF('Research &amp; Analysis'!J569="","",'Research &amp; Analysis'!J569)</x:f>
      </x:c>
      <x:c r="L1297" s="2" t="str">
        <x:f>IF('Research &amp; Analysis'!K569="","",'Research &amp; Analysis'!K569)</x:f>
      </x:c>
      <x:c r="M1297" s="2" t="n">
        <x:f>'Research &amp; Analysis'!Q569</x:f>
        <x:v>1</x:v>
      </x:c>
      <x:c r="N1297" s="2" t="str">
        <x:f>'Research &amp; Analysis'!L569</x:f>
        <x:v>Not started</x:v>
      </x:c>
      <x:c r="O1297" s="2" t="str">
        <x:f>'Research &amp; Analysis'!N569</x:f>
        <x:v>RA.CS.1.8.2026.CY4</x:v>
      </x:c>
      <x:c r="P1297" s="2" t="n">
        <x:f>'Research &amp; Analysis'!O569</x:f>
        <x:v>0</x:v>
      </x:c>
      <x:c r="Q1297" s="2" t="n">
        <x:f>SUBTOTAL(103,O1297)</x:f>
        <x:v>1</x:v>
      </x:c>
      <x:c r="R1297" s="2" t="n">
        <x:f>IF(AND(M1297=1,OR(Dashboard!$B$7="All",Dashboard!$B$7='Cycles &amp; Guide'!$C$5),OR(Dashboard!$D$7="All",Dashboard!$D$7=B1297),OR(Dashboard!$F$7="All",Dashboard!$F$7=C1297),OR(Dashboard!$H$7="All",Dashboard!$H$7=D1297),OR(Dashboard!$K$7="All",Dashboard!$K$7=E1297)),1,0)</x:f>
        <x:v>1</x:v>
      </x:c>
      <x:c r="S1297" s="2" t="n">
        <x:f>IF(R1297=1,SUM($R$10:R1297),0)</x:f>
        <x:v>924</x:v>
      </x:c>
      <x:c r="T1297" s="2" t="str">
        <x:v>Research &amp; Analysis</x:v>
      </x:c>
      <x:c r="U1297" s="2" t="n">
        <x:v>569</x:v>
      </x:c>
      <x:c r="V1297" s="2" t="n">
        <x:f>IF(AND(M1297=1,P1297=0,ISNUMBER(J1297),J1297&lt;TODAY()),1,0)</x:f>
        <x:v>0</x:v>
      </x:c>
      <x:c r="W1297" s="2" t="str">
        <x:f>'Research &amp; Analysis'!M569</x:f>
        <x:v>Task</x:v>
      </x:c>
    </x:row>
    <x:row r="1298" ht="40" customHeight="1">
      <x:c r="A1298" s="3" t="str">
        <x:f>HYPERLINK("#'Research &amp; Analysis'!A570","Open")</x:f>
        <x:v>Open</x:v>
      </x:c>
      <x:c r="B1298" s="2" t="str">
        <x:f>'Research &amp; Analysis'!B570</x:f>
        <x:v>Cycle 4</x:v>
      </x:c>
      <x:c r="C1298" s="2" t="str">
        <x:f>'Research &amp; Analysis'!C570</x:f>
        <x:v>Phase 1</x:v>
      </x:c>
      <x:c r="D1298" s="2" t="str">
        <x:f>'Research &amp; Analysis'!D570</x:f>
        <x:v>CSBBO - Customer Service</x:v>
      </x:c>
      <x:c r="E1298" s="2" t="str">
        <x:v>Research &amp; Analysis</x:v>
      </x:c>
      <x:c r="F1298" s="56" t="str">
        <x:f>'Research &amp; Analysis'!E570</x:f>
        <x:v>RA.CS.1.9</x:v>
      </x:c>
      <x:c r="G1298" s="14" t="str">
        <x:f>'Research &amp; Analysis'!F570</x:f>
        <x:v>Assign topic researchers</x:v>
      </x:c>
      <x:c r="H1298" s="2" t="str">
        <x:f>IF('Research &amp; Analysis'!G570="","",'Research &amp; Analysis'!G570)</x:f>
      </x:c>
      <x:c r="I1298" s="12" t="str">
        <x:f>IF('Research &amp; Analysis'!H570="","",'Research &amp; Analysis'!H570)</x:f>
      </x:c>
      <x:c r="J1298" s="12" t="n">
        <x:f>IF('Research &amp; Analysis'!I570="","",'Research &amp; Analysis'!I570)</x:f>
        <x:v>46387</x:v>
      </x:c>
      <x:c r="K1298" s="12" t="str">
        <x:f>IF('Research &amp; Analysis'!J570="","",'Research &amp; Analysis'!J570)</x:f>
      </x:c>
      <x:c r="L1298" s="2" t="str">
        <x:f>IF('Research &amp; Analysis'!K570="","",'Research &amp; Analysis'!K570)</x:f>
      </x:c>
      <x:c r="M1298" s="2" t="n">
        <x:f>'Research &amp; Analysis'!Q570</x:f>
        <x:v>1</x:v>
      </x:c>
      <x:c r="N1298" s="2" t="str">
        <x:f>'Research &amp; Analysis'!L570</x:f>
        <x:v>Not started</x:v>
      </x:c>
      <x:c r="O1298" s="2" t="str">
        <x:f>'Research &amp; Analysis'!N570</x:f>
        <x:v>RA.CS.1.9.2026.CY4</x:v>
      </x:c>
      <x:c r="P1298" s="2" t="n">
        <x:f>'Research &amp; Analysis'!O570</x:f>
        <x:v>0</x:v>
      </x:c>
      <x:c r="Q1298" s="2" t="n">
        <x:f>SUBTOTAL(103,O1298)</x:f>
        <x:v>1</x:v>
      </x:c>
      <x:c r="R1298" s="2" t="n">
        <x:f>IF(AND(M1298=1,OR(Dashboard!$B$7="All",Dashboard!$B$7='Cycles &amp; Guide'!$C$5),OR(Dashboard!$D$7="All",Dashboard!$D$7=B1298),OR(Dashboard!$F$7="All",Dashboard!$F$7=C1298),OR(Dashboard!$H$7="All",Dashboard!$H$7=D1298),OR(Dashboard!$K$7="All",Dashboard!$K$7=E1298)),1,0)</x:f>
        <x:v>1</x:v>
      </x:c>
      <x:c r="S1298" s="2" t="n">
        <x:f>IF(R1298=1,SUM($R$10:R1298),0)</x:f>
        <x:v>925</x:v>
      </x:c>
      <x:c r="T1298" s="2" t="str">
        <x:v>Research &amp; Analysis</x:v>
      </x:c>
      <x:c r="U1298" s="2" t="n">
        <x:v>570</x:v>
      </x:c>
      <x:c r="V1298" s="2" t="n">
        <x:f>IF(AND(M1298=1,P1298=0,ISNUMBER(J1298),J1298&lt;TODAY()),1,0)</x:f>
        <x:v>0</x:v>
      </x:c>
      <x:c r="W1298" s="2" t="str">
        <x:f>'Research &amp; Analysis'!M570</x:f>
        <x:v>Task</x:v>
      </x:c>
    </x:row>
    <x:row r="1299" ht="40" customHeight="1">
      <x:c r="A1299" s="3" t="str">
        <x:f>HYPERLINK("#'Research &amp; Analysis'!A571","Open")</x:f>
        <x:v>Open</x:v>
      </x:c>
      <x:c r="B1299" s="2" t="str">
        <x:f>'Research &amp; Analysis'!B571</x:f>
        <x:v>Cycle 4</x:v>
      </x:c>
      <x:c r="C1299" s="2" t="str">
        <x:f>'Research &amp; Analysis'!C571</x:f>
        <x:v>Phase 2</x:v>
      </x:c>
      <x:c r="D1299" s="2" t="str">
        <x:f>'Research &amp; Analysis'!D571</x:f>
        <x:v>CSBBO - Customer Service</x:v>
      </x:c>
      <x:c r="E1299" s="2" t="str">
        <x:v>Research &amp; Analysis</x:v>
      </x:c>
      <x:c r="F1299" s="56" t="str">
        <x:f>'Research &amp; Analysis'!E571</x:f>
        <x:v>RA.CS.2.1</x:v>
      </x:c>
      <x:c r="G1299" s="14" t="str">
        <x:f>'Research &amp; Analysis'!F571</x:f>
        <x:v>Review data sources</x:v>
      </x:c>
      <x:c r="H1299" s="2" t="str">
        <x:f>IF('Research &amp; Analysis'!G571="","",'Research &amp; Analysis'!G571)</x:f>
      </x:c>
      <x:c r="I1299" s="12" t="str">
        <x:f>IF('Research &amp; Analysis'!H571="","",'Research &amp; Analysis'!H571)</x:f>
      </x:c>
      <x:c r="J1299" s="12" t="n">
        <x:f>IF('Research &amp; Analysis'!I571="","",'Research &amp; Analysis'!I571)</x:f>
        <x:v>46387</x:v>
      </x:c>
      <x:c r="K1299" s="12" t="str">
        <x:f>IF('Research &amp; Analysis'!J571="","",'Research &amp; Analysis'!J571)</x:f>
      </x:c>
      <x:c r="L1299" s="2" t="str">
        <x:f>IF('Research &amp; Analysis'!K571="","",'Research &amp; Analysis'!K571)</x:f>
      </x:c>
      <x:c r="M1299" s="2" t="n">
        <x:f>'Research &amp; Analysis'!Q571</x:f>
        <x:v>1</x:v>
      </x:c>
      <x:c r="N1299" s="2" t="str">
        <x:f>'Research &amp; Analysis'!L571</x:f>
        <x:v>Not started</x:v>
      </x:c>
      <x:c r="O1299" s="2" t="str">
        <x:f>'Research &amp; Analysis'!N571</x:f>
        <x:v>RA.CS.2.1.2026.CY4</x:v>
      </x:c>
      <x:c r="P1299" s="2" t="n">
        <x:f>'Research &amp; Analysis'!O571</x:f>
        <x:v>0</x:v>
      </x:c>
      <x:c r="Q1299" s="2" t="n">
        <x:f>SUBTOTAL(103,O1299)</x:f>
        <x:v>1</x:v>
      </x:c>
      <x:c r="R1299" s="2" t="n">
        <x:f>IF(AND(M1299=1,OR(Dashboard!$B$7="All",Dashboard!$B$7='Cycles &amp; Guide'!$C$5),OR(Dashboard!$D$7="All",Dashboard!$D$7=B1299),OR(Dashboard!$F$7="All",Dashboard!$F$7=C1299),OR(Dashboard!$H$7="All",Dashboard!$H$7=D1299),OR(Dashboard!$K$7="All",Dashboard!$K$7=E1299)),1,0)</x:f>
        <x:v>1</x:v>
      </x:c>
      <x:c r="S1299" s="2" t="n">
        <x:f>IF(R1299=1,SUM($R$10:R1299),0)</x:f>
        <x:v>926</x:v>
      </x:c>
      <x:c r="T1299" s="2" t="str">
        <x:v>Research &amp; Analysis</x:v>
      </x:c>
      <x:c r="U1299" s="2" t="n">
        <x:v>571</x:v>
      </x:c>
      <x:c r="V1299" s="2" t="n">
        <x:f>IF(AND(M1299=1,P1299=0,ISNUMBER(J1299),J1299&lt;TODAY()),1,0)</x:f>
        <x:v>0</x:v>
      </x:c>
      <x:c r="W1299" s="2" t="str">
        <x:f>'Research &amp; Analysis'!M571</x:f>
        <x:v>Task</x:v>
      </x:c>
    </x:row>
    <x:row r="1300" ht="40" customHeight="1">
      <x:c r="A1300" s="3" t="str">
        <x:f>HYPERLINK("#'Research &amp; Analysis'!A572","Open")</x:f>
        <x:v>Open</x:v>
      </x:c>
      <x:c r="B1300" s="2" t="str">
        <x:f>'Research &amp; Analysis'!B572</x:f>
        <x:v>Cycle 4</x:v>
      </x:c>
      <x:c r="C1300" s="2" t="str">
        <x:f>'Research &amp; Analysis'!C572</x:f>
        <x:v>Phase 2</x:v>
      </x:c>
      <x:c r="D1300" s="2" t="str">
        <x:f>'Research &amp; Analysis'!D572</x:f>
        <x:v>CSBBO - Customer Service</x:v>
      </x:c>
      <x:c r="E1300" s="2" t="str">
        <x:v>Research &amp; Analysis</x:v>
      </x:c>
      <x:c r="F1300" s="56" t="str">
        <x:f>'Research &amp; Analysis'!E572</x:f>
        <x:v>RA.CS.2.2</x:v>
      </x:c>
      <x:c r="G1300" s="14" t="str">
        <x:f>'Research &amp; Analysis'!F572</x:f>
        <x:v>Review relevant policies and procedures</x:v>
      </x:c>
      <x:c r="H1300" s="2" t="str">
        <x:f>IF('Research &amp; Analysis'!G572="","",'Research &amp; Analysis'!G572)</x:f>
      </x:c>
      <x:c r="I1300" s="12" t="str">
        <x:f>IF('Research &amp; Analysis'!H572="","",'Research &amp; Analysis'!H572)</x:f>
      </x:c>
      <x:c r="J1300" s="12" t="n">
        <x:f>IF('Research &amp; Analysis'!I572="","",'Research &amp; Analysis'!I572)</x:f>
        <x:v>46387</x:v>
      </x:c>
      <x:c r="K1300" s="12" t="str">
        <x:f>IF('Research &amp; Analysis'!J572="","",'Research &amp; Analysis'!J572)</x:f>
      </x:c>
      <x:c r="L1300" s="2" t="str">
        <x:f>IF('Research &amp; Analysis'!K572="","",'Research &amp; Analysis'!K572)</x:f>
      </x:c>
      <x:c r="M1300" s="2" t="n">
        <x:f>'Research &amp; Analysis'!Q572</x:f>
        <x:v>1</x:v>
      </x:c>
      <x:c r="N1300" s="2" t="str">
        <x:f>'Research &amp; Analysis'!L572</x:f>
        <x:v>Not started</x:v>
      </x:c>
      <x:c r="O1300" s="2" t="str">
        <x:f>'Research &amp; Analysis'!N572</x:f>
        <x:v>RA.CS.2.2.2026.CY4</x:v>
      </x:c>
      <x:c r="P1300" s="2" t="n">
        <x:f>'Research &amp; Analysis'!O572</x:f>
        <x:v>0</x:v>
      </x:c>
      <x:c r="Q1300" s="2" t="n">
        <x:f>SUBTOTAL(103,O1300)</x:f>
        <x:v>1</x:v>
      </x:c>
      <x:c r="R1300" s="2" t="n">
        <x:f>IF(AND(M1300=1,OR(Dashboard!$B$7="All",Dashboard!$B$7='Cycles &amp; Guide'!$C$5),OR(Dashboard!$D$7="All",Dashboard!$D$7=B1300),OR(Dashboard!$F$7="All",Dashboard!$F$7=C1300),OR(Dashboard!$H$7="All",Dashboard!$H$7=D1300),OR(Dashboard!$K$7="All",Dashboard!$K$7=E1300)),1,0)</x:f>
        <x:v>1</x:v>
      </x:c>
      <x:c r="S1300" s="2" t="n">
        <x:f>IF(R1300=1,SUM($R$10:R1300),0)</x:f>
        <x:v>927</x:v>
      </x:c>
      <x:c r="T1300" s="2" t="str">
        <x:v>Research &amp; Analysis</x:v>
      </x:c>
      <x:c r="U1300" s="2" t="n">
        <x:v>572</x:v>
      </x:c>
      <x:c r="V1300" s="2" t="n">
        <x:f>IF(AND(M1300=1,P1300=0,ISNUMBER(J1300),J1300&lt;TODAY()),1,0)</x:f>
        <x:v>0</x:v>
      </x:c>
      <x:c r="W1300" s="2" t="str">
        <x:f>'Research &amp; Analysis'!M572</x:f>
        <x:v>Task</x:v>
      </x:c>
    </x:row>
    <x:row r="1301" ht="40" customHeight="1">
      <x:c r="A1301" s="3" t="str">
        <x:f>HYPERLINK("#'Research &amp; Analysis'!A573","Open")</x:f>
        <x:v>Open</x:v>
      </x:c>
      <x:c r="B1301" s="2" t="str">
        <x:f>'Research &amp; Analysis'!B573</x:f>
        <x:v>Cycle 4</x:v>
      </x:c>
      <x:c r="C1301" s="2" t="str">
        <x:f>'Research &amp; Analysis'!C573</x:f>
        <x:v>Phase 2</x:v>
      </x:c>
      <x:c r="D1301" s="2" t="str">
        <x:f>'Research &amp; Analysis'!D573</x:f>
        <x:v>CSBBO - Customer Service</x:v>
      </x:c>
      <x:c r="E1301" s="2" t="str">
        <x:v>Research &amp; Analysis</x:v>
      </x:c>
      <x:c r="F1301" s="56" t="str">
        <x:f>'Research &amp; Analysis'!E573</x:f>
        <x:v>RA.CS.2.3</x:v>
      </x:c>
      <x:c r="G1301" s="14" t="str">
        <x:f>'Research &amp; Analysis'!F573</x:f>
        <x:v>Meet with SMEs to gain business insight and clarify questions</x:v>
      </x:c>
      <x:c r="H1301" s="2" t="str">
        <x:f>IF('Research &amp; Analysis'!G573="","",'Research &amp; Analysis'!G573)</x:f>
      </x:c>
      <x:c r="I1301" s="12" t="str">
        <x:f>IF('Research &amp; Analysis'!H573="","",'Research &amp; Analysis'!H573)</x:f>
      </x:c>
      <x:c r="J1301" s="12" t="n">
        <x:f>IF('Research &amp; Analysis'!I573="","",'Research &amp; Analysis'!I573)</x:f>
        <x:v>46387</x:v>
      </x:c>
      <x:c r="K1301" s="12" t="str">
        <x:f>IF('Research &amp; Analysis'!J573="","",'Research &amp; Analysis'!J573)</x:f>
      </x:c>
      <x:c r="L1301" s="2" t="str">
        <x:f>IF('Research &amp; Analysis'!K573="","",'Research &amp; Analysis'!K573)</x:f>
      </x:c>
      <x:c r="M1301" s="2" t="n">
        <x:f>'Research &amp; Analysis'!Q573</x:f>
        <x:v>1</x:v>
      </x:c>
      <x:c r="N1301" s="2" t="str">
        <x:f>'Research &amp; Analysis'!L573</x:f>
        <x:v>Not started</x:v>
      </x:c>
      <x:c r="O1301" s="2" t="str">
        <x:f>'Research &amp; Analysis'!N573</x:f>
        <x:v>RA.CS.2.3.2026.CY4</x:v>
      </x:c>
      <x:c r="P1301" s="2" t="n">
        <x:f>'Research &amp; Analysis'!O573</x:f>
        <x:v>0</x:v>
      </x:c>
      <x:c r="Q1301" s="2" t="n">
        <x:f>SUBTOTAL(103,O1301)</x:f>
        <x:v>1</x:v>
      </x:c>
      <x:c r="R1301" s="2" t="n">
        <x:f>IF(AND(M1301=1,OR(Dashboard!$B$7="All",Dashboard!$B$7='Cycles &amp; Guide'!$C$5),OR(Dashboard!$D$7="All",Dashboard!$D$7=B1301),OR(Dashboard!$F$7="All",Dashboard!$F$7=C1301),OR(Dashboard!$H$7="All",Dashboard!$H$7=D1301),OR(Dashboard!$K$7="All",Dashboard!$K$7=E1301)),1,0)</x:f>
        <x:v>1</x:v>
      </x:c>
      <x:c r="S1301" s="2" t="n">
        <x:f>IF(R1301=1,SUM($R$10:R1301),0)</x:f>
        <x:v>928</x:v>
      </x:c>
      <x:c r="T1301" s="2" t="str">
        <x:v>Research &amp; Analysis</x:v>
      </x:c>
      <x:c r="U1301" s="2" t="n">
        <x:v>573</x:v>
      </x:c>
      <x:c r="V1301" s="2" t="n">
        <x:f>IF(AND(M1301=1,P1301=0,ISNUMBER(J1301),J1301&lt;TODAY()),1,0)</x:f>
        <x:v>0</x:v>
      </x:c>
      <x:c r="W1301" s="2" t="str">
        <x:f>'Research &amp; Analysis'!M573</x:f>
        <x:v>Task</x:v>
      </x:c>
    </x:row>
    <x:row r="1302" ht="40" customHeight="1">
      <x:c r="A1302" s="3" t="str">
        <x:f>HYPERLINK("#'Research &amp; Analysis'!A574","Open")</x:f>
        <x:v>Open</x:v>
      </x:c>
      <x:c r="B1302" s="2" t="str">
        <x:f>'Research &amp; Analysis'!B574</x:f>
        <x:v>Cycle 4</x:v>
      </x:c>
      <x:c r="C1302" s="2" t="str">
        <x:f>'Research &amp; Analysis'!C574</x:f>
        <x:v>Phase 2</x:v>
      </x:c>
      <x:c r="D1302" s="2" t="str">
        <x:f>'Research &amp; Analysis'!D574</x:f>
        <x:v>CSBBO - Customer Service</x:v>
      </x:c>
      <x:c r="E1302" s="2" t="str">
        <x:v>Research &amp; Analysis</x:v>
      </x:c>
      <x:c r="F1302" s="56" t="str">
        <x:f>'Research &amp; Analysis'!E574</x:f>
        <x:v>RA.CS.2.4</x:v>
      </x:c>
      <x:c r="G1302" s="14" t="str">
        <x:f>'Research &amp; Analysis'!F574</x:f>
        <x:v>Establish and maintain a recurring meeting with D&amp;I to discuss Cycle progress</x:v>
      </x:c>
      <x:c r="H1302" s="2" t="str">
        <x:f>IF('Research &amp; Analysis'!G574="","",'Research &amp; Analysis'!G574)</x:f>
      </x:c>
      <x:c r="I1302" s="12" t="str">
        <x:f>IF('Research &amp; Analysis'!H574="","",'Research &amp; Analysis'!H574)</x:f>
      </x:c>
      <x:c r="J1302" s="12" t="n">
        <x:f>IF('Research &amp; Analysis'!I574="","",'Research &amp; Analysis'!I574)</x:f>
        <x:v>46387</x:v>
      </x:c>
      <x:c r="K1302" s="12" t="str">
        <x:f>IF('Research &amp; Analysis'!J574="","",'Research &amp; Analysis'!J574)</x:f>
      </x:c>
      <x:c r="L1302" s="2" t="str">
        <x:f>IF('Research &amp; Analysis'!K574="","",'Research &amp; Analysis'!K574)</x:f>
      </x:c>
      <x:c r="M1302" s="2" t="n">
        <x:f>'Research &amp; Analysis'!Q574</x:f>
        <x:v>1</x:v>
      </x:c>
      <x:c r="N1302" s="2" t="str">
        <x:f>'Research &amp; Analysis'!L574</x:f>
        <x:v>Not started</x:v>
      </x:c>
      <x:c r="O1302" s="2" t="str">
        <x:f>'Research &amp; Analysis'!N574</x:f>
        <x:v>RA.CS.2.4.2026.CY4</x:v>
      </x:c>
      <x:c r="P1302" s="2" t="n">
        <x:f>'Research &amp; Analysis'!O574</x:f>
        <x:v>0</x:v>
      </x:c>
      <x:c r="Q1302" s="2" t="n">
        <x:f>SUBTOTAL(103,O1302)</x:f>
        <x:v>1</x:v>
      </x:c>
      <x:c r="R1302" s="2" t="n">
        <x:f>IF(AND(M1302=1,OR(Dashboard!$B$7="All",Dashboard!$B$7='Cycles &amp; Guide'!$C$5),OR(Dashboard!$D$7="All",Dashboard!$D$7=B1302),OR(Dashboard!$F$7="All",Dashboard!$F$7=C1302),OR(Dashboard!$H$7="All",Dashboard!$H$7=D1302),OR(Dashboard!$K$7="All",Dashboard!$K$7=E1302)),1,0)</x:f>
        <x:v>1</x:v>
      </x:c>
      <x:c r="S1302" s="2" t="n">
        <x:f>IF(R1302=1,SUM($R$10:R1302),0)</x:f>
        <x:v>929</x:v>
      </x:c>
      <x:c r="T1302" s="2" t="str">
        <x:v>Research &amp; Analysis</x:v>
      </x:c>
      <x:c r="U1302" s="2" t="n">
        <x:v>574</x:v>
      </x:c>
      <x:c r="V1302" s="2" t="n">
        <x:f>IF(AND(M1302=1,P1302=0,ISNUMBER(J1302),J1302&lt;TODAY()),1,0)</x:f>
        <x:v>0</x:v>
      </x:c>
      <x:c r="W1302" s="2" t="str">
        <x:f>'Research &amp; Analysis'!M574</x:f>
        <x:v>Task</x:v>
      </x:c>
    </x:row>
    <x:row r="1303" ht="40" customHeight="1">
      <x:c r="A1303" s="3" t="str">
        <x:f>HYPERLINK("#'Research &amp; Analysis'!A575","Open")</x:f>
        <x:v>Open</x:v>
      </x:c>
      <x:c r="B1303" s="2" t="str">
        <x:f>'Research &amp; Analysis'!B575</x:f>
        <x:v>Cycle 4</x:v>
      </x:c>
      <x:c r="C1303" s="2" t="str">
        <x:f>'Research &amp; Analysis'!C575</x:f>
        <x:v>Phase 2</x:v>
      </x:c>
      <x:c r="D1303" s="2" t="str">
        <x:f>'Research &amp; Analysis'!D575</x:f>
        <x:v>CSBBO - Customer Service</x:v>
      </x:c>
      <x:c r="E1303" s="2" t="str">
        <x:v>Research &amp; Analysis</x:v>
      </x:c>
      <x:c r="F1303" s="56" t="str">
        <x:f>'Research &amp; Analysis'!E575</x:f>
        <x:v>RA.CS.2.5</x:v>
      </x:c>
      <x:c r="G1303" s="14" t="str">
        <x:f>'Research &amp; Analysis'!F575</x:f>
        <x:v>Perform data testing and sampling</x:v>
      </x:c>
      <x:c r="H1303" s="2" t="str">
        <x:f>IF('Research &amp; Analysis'!G575="","",'Research &amp; Analysis'!G575)</x:f>
      </x:c>
      <x:c r="I1303" s="12" t="str">
        <x:f>IF('Research &amp; Analysis'!H575="","",'Research &amp; Analysis'!H575)</x:f>
      </x:c>
      <x:c r="J1303" s="12" t="n">
        <x:f>IF('Research &amp; Analysis'!I575="","",'Research &amp; Analysis'!I575)</x:f>
        <x:v>46387</x:v>
      </x:c>
      <x:c r="K1303" s="12" t="str">
        <x:f>IF('Research &amp; Analysis'!J575="","",'Research &amp; Analysis'!J575)</x:f>
      </x:c>
      <x:c r="L1303" s="2" t="str">
        <x:f>IF('Research &amp; Analysis'!K575="","",'Research &amp; Analysis'!K575)</x:f>
      </x:c>
      <x:c r="M1303" s="2" t="n">
        <x:f>'Research &amp; Analysis'!Q575</x:f>
        <x:v>1</x:v>
      </x:c>
      <x:c r="N1303" s="2" t="str">
        <x:f>'Research &amp; Analysis'!L575</x:f>
        <x:v>Not started</x:v>
      </x:c>
      <x:c r="O1303" s="2" t="str">
        <x:f>'Research &amp; Analysis'!N575</x:f>
        <x:v>RA.CS.2.5.2026.CY4</x:v>
      </x:c>
      <x:c r="P1303" s="2" t="n">
        <x:f>'Research &amp; Analysis'!O575</x:f>
        <x:v>0</x:v>
      </x:c>
      <x:c r="Q1303" s="2" t="n">
        <x:f>SUBTOTAL(103,O1303)</x:f>
        <x:v>1</x:v>
      </x:c>
      <x:c r="R1303" s="2" t="n">
        <x:f>IF(AND(M1303=1,OR(Dashboard!$B$7="All",Dashboard!$B$7='Cycles &amp; Guide'!$C$5),OR(Dashboard!$D$7="All",Dashboard!$D$7=B1303),OR(Dashboard!$F$7="All",Dashboard!$F$7=C1303),OR(Dashboard!$H$7="All",Dashboard!$H$7=D1303),OR(Dashboard!$K$7="All",Dashboard!$K$7=E1303)),1,0)</x:f>
        <x:v>1</x:v>
      </x:c>
      <x:c r="S1303" s="2" t="n">
        <x:f>IF(R1303=1,SUM($R$10:R1303),0)</x:f>
        <x:v>930</x:v>
      </x:c>
      <x:c r="T1303" s="2" t="str">
        <x:v>Research &amp; Analysis</x:v>
      </x:c>
      <x:c r="U1303" s="2" t="n">
        <x:v>575</x:v>
      </x:c>
      <x:c r="V1303" s="2" t="n">
        <x:f>IF(AND(M1303=1,P1303=0,ISNUMBER(J1303),J1303&lt;TODAY()),1,0)</x:f>
        <x:v>0</x:v>
      </x:c>
      <x:c r="W1303" s="2" t="str">
        <x:f>'Research &amp; Analysis'!M575</x:f>
        <x:v>Task</x:v>
      </x:c>
    </x:row>
    <x:row r="1304" ht="40" customHeight="1">
      <x:c r="A1304" s="3" t="str">
        <x:f>HYPERLINK("#'Research &amp; Analysis'!A576","Open")</x:f>
        <x:v>Open</x:v>
      </x:c>
      <x:c r="B1304" s="2" t="str">
        <x:f>'Research &amp; Analysis'!B576</x:f>
        <x:v>Cycle 4</x:v>
      </x:c>
      <x:c r="C1304" s="2" t="str">
        <x:f>'Research &amp; Analysis'!C576</x:f>
        <x:v>Phase 2</x:v>
      </x:c>
      <x:c r="D1304" s="2" t="str">
        <x:f>'Research &amp; Analysis'!D576</x:f>
        <x:v>CSBBO - Customer Service</x:v>
      </x:c>
      <x:c r="E1304" s="2" t="str">
        <x:v>Research &amp; Analysis</x:v>
      </x:c>
      <x:c r="F1304" s="56" t="str">
        <x:f>'Research &amp; Analysis'!E576</x:f>
        <x:v>RA.CS.2.6</x:v>
      </x:c>
      <x:c r="G1304" s="14" t="str">
        <x:f>'Research &amp; Analysis'!F576</x:f>
        <x:v>Complete Positive Testing</x:v>
      </x:c>
      <x:c r="H1304" s="2" t="str">
        <x:f>IF('Research &amp; Analysis'!G576="","",'Research &amp; Analysis'!G576)</x:f>
      </x:c>
      <x:c r="I1304" s="12" t="str">
        <x:f>IF('Research &amp; Analysis'!H576="","",'Research &amp; Analysis'!H576)</x:f>
      </x:c>
      <x:c r="J1304" s="12" t="n">
        <x:f>IF('Research &amp; Analysis'!I576="","",'Research &amp; Analysis'!I576)</x:f>
        <x:v>46387</x:v>
      </x:c>
      <x:c r="K1304" s="12" t="str">
        <x:f>IF('Research &amp; Analysis'!J576="","",'Research &amp; Analysis'!J576)</x:f>
      </x:c>
      <x:c r="L1304" s="2" t="str">
        <x:f>IF('Research &amp; Analysis'!K576="","",'Research &amp; Analysis'!K576)</x:f>
      </x:c>
      <x:c r="M1304" s="2" t="n">
        <x:f>'Research &amp; Analysis'!Q576</x:f>
        <x:v>1</x:v>
      </x:c>
      <x:c r="N1304" s="2" t="str">
        <x:f>'Research &amp; Analysis'!L576</x:f>
        <x:v>Not started</x:v>
      </x:c>
      <x:c r="O1304" s="2" t="str">
        <x:f>'Research &amp; Analysis'!N576</x:f>
        <x:v>RA.CS.2.6.2026.CY4</x:v>
      </x:c>
      <x:c r="P1304" s="2" t="n">
        <x:f>'Research &amp; Analysis'!O576</x:f>
        <x:v>0</x:v>
      </x:c>
      <x:c r="Q1304" s="2" t="n">
        <x:f>SUBTOTAL(103,O1304)</x:f>
        <x:v>1</x:v>
      </x:c>
      <x:c r="R1304" s="2" t="n">
        <x:f>IF(AND(M1304=1,OR(Dashboard!$B$7="All",Dashboard!$B$7='Cycles &amp; Guide'!$C$5),OR(Dashboard!$D$7="All",Dashboard!$D$7=B1304),OR(Dashboard!$F$7="All",Dashboard!$F$7=C1304),OR(Dashboard!$H$7="All",Dashboard!$H$7=D1304),OR(Dashboard!$K$7="All",Dashboard!$K$7=E1304)),1,0)</x:f>
        <x:v>1</x:v>
      </x:c>
      <x:c r="S1304" s="2" t="n">
        <x:f>IF(R1304=1,SUM($R$10:R1304),0)</x:f>
        <x:v>931</x:v>
      </x:c>
      <x:c r="T1304" s="2" t="str">
        <x:v>Research &amp; Analysis</x:v>
      </x:c>
      <x:c r="U1304" s="2" t="n">
        <x:v>576</x:v>
      </x:c>
      <x:c r="V1304" s="2" t="n">
        <x:f>IF(AND(M1304=1,P1304=0,ISNUMBER(J1304),J1304&lt;TODAY()),1,0)</x:f>
        <x:v>0</x:v>
      </x:c>
      <x:c r="W1304" s="2" t="str">
        <x:f>'Research &amp; Analysis'!M576</x:f>
        <x:v>Task</x:v>
      </x:c>
    </x:row>
    <x:row r="1305" ht="40" customHeight="1">
      <x:c r="A1305" s="3" t="str">
        <x:f>HYPERLINK("#'Research &amp; Analysis'!A577","Open")</x:f>
        <x:v>Open</x:v>
      </x:c>
      <x:c r="B1305" s="2" t="str">
        <x:f>'Research &amp; Analysis'!B577</x:f>
        <x:v>Cycle 4</x:v>
      </x:c>
      <x:c r="C1305" s="2" t="str">
        <x:f>'Research &amp; Analysis'!C577</x:f>
        <x:v>Phase 2</x:v>
      </x:c>
      <x:c r="D1305" s="2" t="str">
        <x:f>'Research &amp; Analysis'!D577</x:f>
        <x:v>CSBBO - Customer Service</x:v>
      </x:c>
      <x:c r="E1305" s="2" t="str">
        <x:v>Research &amp; Analysis</x:v>
      </x:c>
      <x:c r="F1305" s="56" t="str">
        <x:f>'Research &amp; Analysis'!E577</x:f>
        <x:v>RA.CS.2.7</x:v>
      </x:c>
      <x:c r="G1305" s="14" t="str">
        <x:f>'Research &amp; Analysis'!F577</x:f>
        <x:v>Complete Negative Testing</x:v>
      </x:c>
      <x:c r="H1305" s="2" t="str">
        <x:f>IF('Research &amp; Analysis'!G577="","",'Research &amp; Analysis'!G577)</x:f>
      </x:c>
      <x:c r="I1305" s="12" t="str">
        <x:f>IF('Research &amp; Analysis'!H577="","",'Research &amp; Analysis'!H577)</x:f>
      </x:c>
      <x:c r="J1305" s="12" t="n">
        <x:f>IF('Research &amp; Analysis'!I577="","",'Research &amp; Analysis'!I577)</x:f>
        <x:v>46387</x:v>
      </x:c>
      <x:c r="K1305" s="12" t="str">
        <x:f>IF('Research &amp; Analysis'!J577="","",'Research &amp; Analysis'!J577)</x:f>
      </x:c>
      <x:c r="L1305" s="2" t="str">
        <x:f>IF('Research &amp; Analysis'!K577="","",'Research &amp; Analysis'!K577)</x:f>
      </x:c>
      <x:c r="M1305" s="2" t="n">
        <x:f>'Research &amp; Analysis'!Q577</x:f>
        <x:v>1</x:v>
      </x:c>
      <x:c r="N1305" s="2" t="str">
        <x:f>'Research &amp; Analysis'!L577</x:f>
        <x:v>Not started</x:v>
      </x:c>
      <x:c r="O1305" s="2" t="str">
        <x:f>'Research &amp; Analysis'!N577</x:f>
        <x:v>RA.CS.2.7.2026.CY4</x:v>
      </x:c>
      <x:c r="P1305" s="2" t="n">
        <x:f>'Research &amp; Analysis'!O577</x:f>
        <x:v>0</x:v>
      </x:c>
      <x:c r="Q1305" s="2" t="n">
        <x:f>SUBTOTAL(103,O1305)</x:f>
        <x:v>1</x:v>
      </x:c>
      <x:c r="R1305" s="2" t="n">
        <x:f>IF(AND(M1305=1,OR(Dashboard!$B$7="All",Dashboard!$B$7='Cycles &amp; Guide'!$C$5),OR(Dashboard!$D$7="All",Dashboard!$D$7=B1305),OR(Dashboard!$F$7="All",Dashboard!$F$7=C1305),OR(Dashboard!$H$7="All",Dashboard!$H$7=D1305),OR(Dashboard!$K$7="All",Dashboard!$K$7=E1305)),1,0)</x:f>
        <x:v>1</x:v>
      </x:c>
      <x:c r="S1305" s="2" t="n">
        <x:f>IF(R1305=1,SUM($R$10:R1305),0)</x:f>
        <x:v>932</x:v>
      </x:c>
      <x:c r="T1305" s="2" t="str">
        <x:v>Research &amp; Analysis</x:v>
      </x:c>
      <x:c r="U1305" s="2" t="n">
        <x:v>577</x:v>
      </x:c>
      <x:c r="V1305" s="2" t="n">
        <x:f>IF(AND(M1305=1,P1305=0,ISNUMBER(J1305),J1305&lt;TODAY()),1,0)</x:f>
        <x:v>0</x:v>
      </x:c>
      <x:c r="W1305" s="2" t="str">
        <x:f>'Research &amp; Analysis'!M577</x:f>
        <x:v>Task</x:v>
      </x:c>
    </x:row>
    <x:row r="1306" ht="40" customHeight="1">
      <x:c r="A1306" s="3" t="str">
        <x:f>HYPERLINK("#'Research &amp; Analysis'!A578","Open")</x:f>
        <x:v>Open</x:v>
      </x:c>
      <x:c r="B1306" s="2" t="str">
        <x:f>'Research &amp; Analysis'!B578</x:f>
        <x:v>Cycle 4</x:v>
      </x:c>
      <x:c r="C1306" s="2" t="str">
        <x:f>'Research &amp; Analysis'!C578</x:f>
        <x:v>Phase 2</x:v>
      </x:c>
      <x:c r="D1306" s="2" t="str">
        <x:f>'Research &amp; Analysis'!D578</x:f>
        <x:v>CSBBO - Customer Service</x:v>
      </x:c>
      <x:c r="E1306" s="2" t="str">
        <x:v>Research &amp; Analysis</x:v>
      </x:c>
      <x:c r="F1306" s="56" t="str">
        <x:f>'Research &amp; Analysis'!E578</x:f>
        <x:v>RA.CS.2.8</x:v>
      </x:c>
      <x:c r="G1306" s="14" t="str">
        <x:f>'Research &amp; Analysis'!F578</x:f>
        <x:v>Request additional data (as needed)</x:v>
      </x:c>
      <x:c r="H1306" s="2" t="str">
        <x:f>IF('Research &amp; Analysis'!G578="","",'Research &amp; Analysis'!G578)</x:f>
      </x:c>
      <x:c r="I1306" s="12" t="str">
        <x:f>IF('Research &amp; Analysis'!H578="","",'Research &amp; Analysis'!H578)</x:f>
      </x:c>
      <x:c r="J1306" s="12" t="n">
        <x:f>IF('Research &amp; Analysis'!I578="","",'Research &amp; Analysis'!I578)</x:f>
        <x:v>46387</x:v>
      </x:c>
      <x:c r="K1306" s="12" t="str">
        <x:f>IF('Research &amp; Analysis'!J578="","",'Research &amp; Analysis'!J578)</x:f>
      </x:c>
      <x:c r="L1306" s="2" t="str">
        <x:f>IF('Research &amp; Analysis'!K578="","",'Research &amp; Analysis'!K578)</x:f>
      </x:c>
      <x:c r="M1306" s="2" t="n">
        <x:f>'Research &amp; Analysis'!Q578</x:f>
        <x:v>1</x:v>
      </x:c>
      <x:c r="N1306" s="2" t="str">
        <x:f>'Research &amp; Analysis'!L578</x:f>
        <x:v>Not started</x:v>
      </x:c>
      <x:c r="O1306" s="2" t="str">
        <x:f>'Research &amp; Analysis'!N578</x:f>
        <x:v>RA.CS.2.8.2026.CY4</x:v>
      </x:c>
      <x:c r="P1306" s="2" t="n">
        <x:f>'Research &amp; Analysis'!O578</x:f>
        <x:v>0</x:v>
      </x:c>
      <x:c r="Q1306" s="2" t="n">
        <x:f>SUBTOTAL(103,O1306)</x:f>
        <x:v>1</x:v>
      </x:c>
      <x:c r="R1306" s="2" t="n">
        <x:f>IF(AND(M1306=1,OR(Dashboard!$B$7="All",Dashboard!$B$7='Cycles &amp; Guide'!$C$5),OR(Dashboard!$D$7="All",Dashboard!$D$7=B1306),OR(Dashboard!$F$7="All",Dashboard!$F$7=C1306),OR(Dashboard!$H$7="All",Dashboard!$H$7=D1306),OR(Dashboard!$K$7="All",Dashboard!$K$7=E1306)),1,0)</x:f>
        <x:v>1</x:v>
      </x:c>
      <x:c r="S1306" s="2" t="n">
        <x:f>IF(R1306=1,SUM($R$10:R1306),0)</x:f>
        <x:v>933</x:v>
      </x:c>
      <x:c r="T1306" s="2" t="str">
        <x:v>Research &amp; Analysis</x:v>
      </x:c>
      <x:c r="U1306" s="2" t="n">
        <x:v>578</x:v>
      </x:c>
      <x:c r="V1306" s="2" t="n">
        <x:f>IF(AND(M1306=1,P1306=0,ISNUMBER(J1306),J1306&lt;TODAY()),1,0)</x:f>
        <x:v>0</x:v>
      </x:c>
      <x:c r="W1306" s="2" t="str">
        <x:f>'Research &amp; Analysis'!M578</x:f>
        <x:v>Task</x:v>
      </x:c>
    </x:row>
    <x:row r="1307" ht="40" customHeight="1">
      <x:c r="A1307" s="3" t="str">
        <x:f>HYPERLINK("#'Research &amp; Analysis'!A579","Open")</x:f>
        <x:v>Open</x:v>
      </x:c>
      <x:c r="B1307" s="2" t="str">
        <x:f>'Research &amp; Analysis'!B579</x:f>
        <x:v>Cycle 4</x:v>
      </x:c>
      <x:c r="C1307" s="2" t="str">
        <x:f>'Research &amp; Analysis'!C579</x:f>
        <x:v>Phase 2</x:v>
      </x:c>
      <x:c r="D1307" s="2" t="str">
        <x:f>'Research &amp; Analysis'!D579</x:f>
        <x:v>CSBBO - Customer Service</x:v>
      </x:c>
      <x:c r="E1307" s="2" t="str">
        <x:v>Research &amp; Analysis</x:v>
      </x:c>
      <x:c r="F1307" s="56" t="str">
        <x:f>'Research &amp; Analysis'!E579</x:f>
        <x:v>RA.CS.2.9</x:v>
      </x:c>
      <x:c r="G1307" s="14" t="str">
        <x:f>'Research &amp; Analysis'!F579</x:f>
        <x:v>Validate or disprove initial hypothesis assumptions</x:v>
      </x:c>
      <x:c r="H1307" s="2" t="str">
        <x:f>IF('Research &amp; Analysis'!G579="","",'Research &amp; Analysis'!G579)</x:f>
      </x:c>
      <x:c r="I1307" s="12" t="str">
        <x:f>IF('Research &amp; Analysis'!H579="","",'Research &amp; Analysis'!H579)</x:f>
      </x:c>
      <x:c r="J1307" s="12" t="n">
        <x:f>IF('Research &amp; Analysis'!I579="","",'Research &amp; Analysis'!I579)</x:f>
        <x:v>46387</x:v>
      </x:c>
      <x:c r="K1307" s="12" t="str">
        <x:f>IF('Research &amp; Analysis'!J579="","",'Research &amp; Analysis'!J579)</x:f>
      </x:c>
      <x:c r="L1307" s="2" t="str">
        <x:f>IF('Research &amp; Analysis'!K579="","",'Research &amp; Analysis'!K579)</x:f>
      </x:c>
      <x:c r="M1307" s="2" t="n">
        <x:f>'Research &amp; Analysis'!Q579</x:f>
        <x:v>1</x:v>
      </x:c>
      <x:c r="N1307" s="2" t="str">
        <x:f>'Research &amp; Analysis'!L579</x:f>
        <x:v>Not started</x:v>
      </x:c>
      <x:c r="O1307" s="2" t="str">
        <x:f>'Research &amp; Analysis'!N579</x:f>
        <x:v>RA.CS.2.9.2026.CY4</x:v>
      </x:c>
      <x:c r="P1307" s="2" t="n">
        <x:f>'Research &amp; Analysis'!O579</x:f>
        <x:v>0</x:v>
      </x:c>
      <x:c r="Q1307" s="2" t="n">
        <x:f>SUBTOTAL(103,O1307)</x:f>
        <x:v>1</x:v>
      </x:c>
      <x:c r="R1307" s="2" t="n">
        <x:f>IF(AND(M1307=1,OR(Dashboard!$B$7="All",Dashboard!$B$7='Cycles &amp; Guide'!$C$5),OR(Dashboard!$D$7="All",Dashboard!$D$7=B1307),OR(Dashboard!$F$7="All",Dashboard!$F$7=C1307),OR(Dashboard!$H$7="All",Dashboard!$H$7=D1307),OR(Dashboard!$K$7="All",Dashboard!$K$7=E1307)),1,0)</x:f>
        <x:v>1</x:v>
      </x:c>
      <x:c r="S1307" s="2" t="n">
        <x:f>IF(R1307=1,SUM($R$10:R1307),0)</x:f>
        <x:v>934</x:v>
      </x:c>
      <x:c r="T1307" s="2" t="str">
        <x:v>Research &amp; Analysis</x:v>
      </x:c>
      <x:c r="U1307" s="2" t="n">
        <x:v>579</x:v>
      </x:c>
      <x:c r="V1307" s="2" t="n">
        <x:f>IF(AND(M1307=1,P1307=0,ISNUMBER(J1307),J1307&lt;TODAY()),1,0)</x:f>
        <x:v>0</x:v>
      </x:c>
      <x:c r="W1307" s="2" t="str">
        <x:f>'Research &amp; Analysis'!M579</x:f>
        <x:v>Task</x:v>
      </x:c>
    </x:row>
    <x:row r="1308" ht="40" customHeight="1">
      <x:c r="A1308" s="3" t="str">
        <x:f>HYPERLINK("#'Research &amp; Analysis'!A580","Open")</x:f>
        <x:v>Open</x:v>
      </x:c>
      <x:c r="B1308" s="2" t="str">
        <x:f>'Research &amp; Analysis'!B580</x:f>
        <x:v>Cycle 4</x:v>
      </x:c>
      <x:c r="C1308" s="2" t="str">
        <x:f>'Research &amp; Analysis'!C580</x:f>
        <x:v>Phase 2</x:v>
      </x:c>
      <x:c r="D1308" s="2" t="str">
        <x:f>'Research &amp; Analysis'!D580</x:f>
        <x:v>CSBBO - Customer Service</x:v>
      </x:c>
      <x:c r="E1308" s="2" t="str">
        <x:v>Research &amp; Analysis</x:v>
      </x:c>
      <x:c r="F1308" s="56" t="str">
        <x:f>'Research &amp; Analysis'!E580</x:f>
        <x:v>RA.CS.2.10</x:v>
      </x:c>
      <x:c r="G1308" s="14" t="str">
        <x:f>'Research &amp; Analysis'!F580</x:f>
        <x:v>Identify and confirm root cause</x:v>
      </x:c>
      <x:c r="H1308" s="2" t="str">
        <x:f>IF('Research &amp; Analysis'!G580="","",'Research &amp; Analysis'!G580)</x:f>
      </x:c>
      <x:c r="I1308" s="12" t="str">
        <x:f>IF('Research &amp; Analysis'!H580="","",'Research &amp; Analysis'!H580)</x:f>
      </x:c>
      <x:c r="J1308" s="12" t="n">
        <x:f>IF('Research &amp; Analysis'!I580="","",'Research &amp; Analysis'!I580)</x:f>
        <x:v>46387</x:v>
      </x:c>
      <x:c r="K1308" s="12" t="str">
        <x:f>IF('Research &amp; Analysis'!J580="","",'Research &amp; Analysis'!J580)</x:f>
      </x:c>
      <x:c r="L1308" s="2" t="str">
        <x:f>IF('Research &amp; Analysis'!K580="","",'Research &amp; Analysis'!K580)</x:f>
      </x:c>
      <x:c r="M1308" s="2" t="n">
        <x:f>'Research &amp; Analysis'!Q580</x:f>
        <x:v>1</x:v>
      </x:c>
      <x:c r="N1308" s="2" t="str">
        <x:f>'Research &amp; Analysis'!L580</x:f>
        <x:v>Not started</x:v>
      </x:c>
      <x:c r="O1308" s="2" t="str">
        <x:f>'Research &amp; Analysis'!N580</x:f>
        <x:v>RA.CS.2.10.2026.CY4</x:v>
      </x:c>
      <x:c r="P1308" s="2" t="n">
        <x:f>'Research &amp; Analysis'!O580</x:f>
        <x:v>0</x:v>
      </x:c>
      <x:c r="Q1308" s="2" t="n">
        <x:f>SUBTOTAL(103,O1308)</x:f>
        <x:v>1</x:v>
      </x:c>
      <x:c r="R1308" s="2" t="n">
        <x:f>IF(AND(M1308=1,OR(Dashboard!$B$7="All",Dashboard!$B$7='Cycles &amp; Guide'!$C$5),OR(Dashboard!$D$7="All",Dashboard!$D$7=B1308),OR(Dashboard!$F$7="All",Dashboard!$F$7=C1308),OR(Dashboard!$H$7="All",Dashboard!$H$7=D1308),OR(Dashboard!$K$7="All",Dashboard!$K$7=E1308)),1,0)</x:f>
        <x:v>1</x:v>
      </x:c>
      <x:c r="S1308" s="2" t="n">
        <x:f>IF(R1308=1,SUM($R$10:R1308),0)</x:f>
        <x:v>935</x:v>
      </x:c>
      <x:c r="T1308" s="2" t="str">
        <x:v>Research &amp; Analysis</x:v>
      </x:c>
      <x:c r="U1308" s="2" t="n">
        <x:v>580</x:v>
      </x:c>
      <x:c r="V1308" s="2" t="n">
        <x:f>IF(AND(M1308=1,P1308=0,ISNUMBER(J1308),J1308&lt;TODAY()),1,0)</x:f>
        <x:v>0</x:v>
      </x:c>
      <x:c r="W1308" s="2" t="str">
        <x:f>'Research &amp; Analysis'!M580</x:f>
        <x:v>Task</x:v>
      </x:c>
    </x:row>
    <x:row r="1309" ht="40" customHeight="1">
      <x:c r="A1309" s="3" t="str">
        <x:f>HYPERLINK("#'Research &amp; Analysis'!A581","Open")</x:f>
        <x:v>Open</x:v>
      </x:c>
      <x:c r="B1309" s="2" t="str">
        <x:f>'Research &amp; Analysis'!B581</x:f>
        <x:v>Cycle 4</x:v>
      </x:c>
      <x:c r="C1309" s="2" t="str">
        <x:f>'Research &amp; Analysis'!C581</x:f>
        <x:v>Phase 3</x:v>
      </x:c>
      <x:c r="D1309" s="2" t="str">
        <x:f>'Research &amp; Analysis'!D581</x:f>
        <x:v>CSBBO - Customer Service</x:v>
      </x:c>
      <x:c r="E1309" s="2" t="str">
        <x:v>Research &amp; Analysis</x:v>
      </x:c>
      <x:c r="F1309" s="56" t="str">
        <x:f>'Research &amp; Analysis'!E581</x:f>
        <x:v>RA.CS.3.1</x:v>
      </x:c>
      <x:c r="G1309" s="14" t="str">
        <x:f>'Research &amp; Analysis'!F581</x:f>
        <x:v>Finalize results and supporting documentation</x:v>
      </x:c>
      <x:c r="H1309" s="2" t="str">
        <x:f>IF('Research &amp; Analysis'!G581="","",'Research &amp; Analysis'!G581)</x:f>
      </x:c>
      <x:c r="I1309" s="12" t="str">
        <x:f>IF('Research &amp; Analysis'!H581="","",'Research &amp; Analysis'!H581)</x:f>
      </x:c>
      <x:c r="J1309" s="12" t="n">
        <x:f>IF('Research &amp; Analysis'!I581="","",'Research &amp; Analysis'!I581)</x:f>
        <x:v>46387</x:v>
      </x:c>
      <x:c r="K1309" s="12" t="str">
        <x:f>IF('Research &amp; Analysis'!J581="","",'Research &amp; Analysis'!J581)</x:f>
      </x:c>
      <x:c r="L1309" s="2" t="str">
        <x:f>IF('Research &amp; Analysis'!K581="","",'Research &amp; Analysis'!K581)</x:f>
      </x:c>
      <x:c r="M1309" s="2" t="n">
        <x:f>'Research &amp; Analysis'!Q581</x:f>
        <x:v>1</x:v>
      </x:c>
      <x:c r="N1309" s="2" t="str">
        <x:f>'Research &amp; Analysis'!L581</x:f>
        <x:v>Not started</x:v>
      </x:c>
      <x:c r="O1309" s="2" t="str">
        <x:f>'Research &amp; Analysis'!N581</x:f>
        <x:v>RA.CS.3.1.2026.CY4</x:v>
      </x:c>
      <x:c r="P1309" s="2" t="n">
        <x:f>'Research &amp; Analysis'!O581</x:f>
        <x:v>0</x:v>
      </x:c>
      <x:c r="Q1309" s="2" t="n">
        <x:f>SUBTOTAL(103,O1309)</x:f>
        <x:v>1</x:v>
      </x:c>
      <x:c r="R1309" s="2" t="n">
        <x:f>IF(AND(M1309=1,OR(Dashboard!$B$7="All",Dashboard!$B$7='Cycles &amp; Guide'!$C$5),OR(Dashboard!$D$7="All",Dashboard!$D$7=B1309),OR(Dashboard!$F$7="All",Dashboard!$F$7=C1309),OR(Dashboard!$H$7="All",Dashboard!$H$7=D1309),OR(Dashboard!$K$7="All",Dashboard!$K$7=E1309)),1,0)</x:f>
        <x:v>1</x:v>
      </x:c>
      <x:c r="S1309" s="2" t="n">
        <x:f>IF(R1309=1,SUM($R$10:R1309),0)</x:f>
        <x:v>936</x:v>
      </x:c>
      <x:c r="T1309" s="2" t="str">
        <x:v>Research &amp; Analysis</x:v>
      </x:c>
      <x:c r="U1309" s="2" t="n">
        <x:v>581</x:v>
      </x:c>
      <x:c r="V1309" s="2" t="n">
        <x:f>IF(AND(M1309=1,P1309=0,ISNUMBER(J1309),J1309&lt;TODAY()),1,0)</x:f>
        <x:v>0</x:v>
      </x:c>
      <x:c r="W1309" s="2" t="str">
        <x:f>'Research &amp; Analysis'!M581</x:f>
        <x:v>Task</x:v>
      </x:c>
    </x:row>
    <x:row r="1310" ht="40" customHeight="1">
      <x:c r="A1310" s="3" t="str">
        <x:f>HYPERLINK("#'Research &amp; Analysis'!A582","Open")</x:f>
        <x:v>Open</x:v>
      </x:c>
      <x:c r="B1310" s="2" t="str">
        <x:f>'Research &amp; Analysis'!B582</x:f>
        <x:v>Cycle 4</x:v>
      </x:c>
      <x:c r="C1310" s="2" t="str">
        <x:f>'Research &amp; Analysis'!C582</x:f>
        <x:v>Phase 3</x:v>
      </x:c>
      <x:c r="D1310" s="2" t="str">
        <x:f>'Research &amp; Analysis'!D582</x:f>
        <x:v>CSBBO - Customer Service</x:v>
      </x:c>
      <x:c r="E1310" s="2" t="str">
        <x:v>Research &amp; Analysis</x:v>
      </x:c>
      <x:c r="F1310" s="56" t="str">
        <x:f>'Research &amp; Analysis'!E582</x:f>
        <x:v>RA.CS.3.2</x:v>
      </x:c>
      <x:c r="G1310" s="14" t="str">
        <x:f>'Research &amp; Analysis'!F582</x:f>
        <x:v>Maintain and update the evidence package prior to handoff to D&amp;I</x:v>
      </x:c>
      <x:c r="H1310" s="2" t="str">
        <x:f>IF('Research &amp; Analysis'!G582="","",'Research &amp; Analysis'!G582)</x:f>
      </x:c>
      <x:c r="I1310" s="12" t="str">
        <x:f>IF('Research &amp; Analysis'!H582="","",'Research &amp; Analysis'!H582)</x:f>
      </x:c>
      <x:c r="J1310" s="12" t="n">
        <x:f>IF('Research &amp; Analysis'!I582="","",'Research &amp; Analysis'!I582)</x:f>
        <x:v>46387</x:v>
      </x:c>
      <x:c r="K1310" s="12" t="str">
        <x:f>IF('Research &amp; Analysis'!J582="","",'Research &amp; Analysis'!J582)</x:f>
      </x:c>
      <x:c r="L1310" s="2" t="str">
        <x:f>IF('Research &amp; Analysis'!K582="","",'Research &amp; Analysis'!K582)</x:f>
      </x:c>
      <x:c r="M1310" s="2" t="n">
        <x:f>'Research &amp; Analysis'!Q582</x:f>
        <x:v>1</x:v>
      </x:c>
      <x:c r="N1310" s="2" t="str">
        <x:f>'Research &amp; Analysis'!L582</x:f>
        <x:v>Not started</x:v>
      </x:c>
      <x:c r="O1310" s="2" t="str">
        <x:f>'Research &amp; Analysis'!N582</x:f>
        <x:v>RA.CS.3.2.2026.CY4</x:v>
      </x:c>
      <x:c r="P1310" s="2" t="n">
        <x:f>'Research &amp; Analysis'!O582</x:f>
        <x:v>0</x:v>
      </x:c>
      <x:c r="Q1310" s="2" t="n">
        <x:f>SUBTOTAL(103,O1310)</x:f>
        <x:v>1</x:v>
      </x:c>
      <x:c r="R1310" s="2" t="n">
        <x:f>IF(AND(M1310=1,OR(Dashboard!$B$7="All",Dashboard!$B$7='Cycles &amp; Guide'!$C$5),OR(Dashboard!$D$7="All",Dashboard!$D$7=B1310),OR(Dashboard!$F$7="All",Dashboard!$F$7=C1310),OR(Dashboard!$H$7="All",Dashboard!$H$7=D1310),OR(Dashboard!$K$7="All",Dashboard!$K$7=E1310)),1,0)</x:f>
        <x:v>1</x:v>
      </x:c>
      <x:c r="S1310" s="2" t="n">
        <x:f>IF(R1310=1,SUM($R$10:R1310),0)</x:f>
        <x:v>937</x:v>
      </x:c>
      <x:c r="T1310" s="2" t="str">
        <x:v>Research &amp; Analysis</x:v>
      </x:c>
      <x:c r="U1310" s="2" t="n">
        <x:v>582</x:v>
      </x:c>
      <x:c r="V1310" s="2" t="n">
        <x:f>IF(AND(M1310=1,P1310=0,ISNUMBER(J1310),J1310&lt;TODAY()),1,0)</x:f>
        <x:v>0</x:v>
      </x:c>
      <x:c r="W1310" s="2" t="str">
        <x:f>'Research &amp; Analysis'!M582</x:f>
        <x:v>Task</x:v>
      </x:c>
    </x:row>
    <x:row r="1311" ht="40" customHeight="1">
      <x:c r="A1311" s="3" t="str">
        <x:f>HYPERLINK("#'Research &amp; Analysis'!A583","Open")</x:f>
        <x:v>Open</x:v>
      </x:c>
      <x:c r="B1311" s="2" t="str">
        <x:f>'Research &amp; Analysis'!B583</x:f>
        <x:v>Cycle 4</x:v>
      </x:c>
      <x:c r="C1311" s="2" t="str">
        <x:f>'Research &amp; Analysis'!C583</x:f>
        <x:v>Phase 3</x:v>
      </x:c>
      <x:c r="D1311" s="2" t="str">
        <x:f>'Research &amp; Analysis'!D583</x:f>
        <x:v>CSBBO - Customer Service</x:v>
      </x:c>
      <x:c r="E1311" s="2" t="str">
        <x:v>Research &amp; Analysis</x:v>
      </x:c>
      <x:c r="F1311" s="56" t="str">
        <x:f>'Research &amp; Analysis'!E583</x:f>
        <x:v>RA.CS.3.3</x:v>
      </x:c>
      <x:c r="G1311" s="14" t="str">
        <x:f>'Research &amp; Analysis'!F583</x:f>
        <x:v>Address any outstanding questions or requests from D&amp;I</x:v>
      </x:c>
      <x:c r="H1311" s="2" t="str">
        <x:f>IF('Research &amp; Analysis'!G583="","",'Research &amp; Analysis'!G583)</x:f>
      </x:c>
      <x:c r="I1311" s="12" t="str">
        <x:f>IF('Research &amp; Analysis'!H583="","",'Research &amp; Analysis'!H583)</x:f>
      </x:c>
      <x:c r="J1311" s="12" t="n">
        <x:f>IF('Research &amp; Analysis'!I583="","",'Research &amp; Analysis'!I583)</x:f>
        <x:v>46387</x:v>
      </x:c>
      <x:c r="K1311" s="12" t="str">
        <x:f>IF('Research &amp; Analysis'!J583="","",'Research &amp; Analysis'!J583)</x:f>
      </x:c>
      <x:c r="L1311" s="2" t="str">
        <x:f>IF('Research &amp; Analysis'!K583="","",'Research &amp; Analysis'!K583)</x:f>
      </x:c>
      <x:c r="M1311" s="2" t="n">
        <x:f>'Research &amp; Analysis'!Q583</x:f>
        <x:v>1</x:v>
      </x:c>
      <x:c r="N1311" s="2" t="str">
        <x:f>'Research &amp; Analysis'!L583</x:f>
        <x:v>Not started</x:v>
      </x:c>
      <x:c r="O1311" s="2" t="str">
        <x:f>'Research &amp; Analysis'!N583</x:f>
        <x:v>RA.CS.3.3.2026.CY4</x:v>
      </x:c>
      <x:c r="P1311" s="2" t="n">
        <x:f>'Research &amp; Analysis'!O583</x:f>
        <x:v>0</x:v>
      </x:c>
      <x:c r="Q1311" s="2" t="n">
        <x:f>SUBTOTAL(103,O1311)</x:f>
        <x:v>1</x:v>
      </x:c>
      <x:c r="R1311" s="2" t="n">
        <x:f>IF(AND(M1311=1,OR(Dashboard!$B$7="All",Dashboard!$B$7='Cycles &amp; Guide'!$C$5),OR(Dashboard!$D$7="All",Dashboard!$D$7=B1311),OR(Dashboard!$F$7="All",Dashboard!$F$7=C1311),OR(Dashboard!$H$7="All",Dashboard!$H$7=D1311),OR(Dashboard!$K$7="All",Dashboard!$K$7=E1311)),1,0)</x:f>
        <x:v>1</x:v>
      </x:c>
      <x:c r="S1311" s="2" t="n">
        <x:f>IF(R1311=1,SUM($R$10:R1311),0)</x:f>
        <x:v>938</x:v>
      </x:c>
      <x:c r="T1311" s="2" t="str">
        <x:v>Research &amp; Analysis</x:v>
      </x:c>
      <x:c r="U1311" s="2" t="n">
        <x:v>583</x:v>
      </x:c>
      <x:c r="V1311" s="2" t="n">
        <x:f>IF(AND(M1311=1,P1311=0,ISNUMBER(J1311),J1311&lt;TODAY()),1,0)</x:f>
        <x:v>0</x:v>
      </x:c>
      <x:c r="W1311" s="2" t="str">
        <x:f>'Research &amp; Analysis'!M583</x:f>
        <x:v>Task</x:v>
      </x:c>
    </x:row>
    <x:row r="1312" ht="40" customHeight="1">
      <x:c r="A1312" s="3" t="str">
        <x:f>HYPERLINK("#'Research &amp; Analysis'!A584","Open")</x:f>
        <x:v>Open</x:v>
      </x:c>
      <x:c r="B1312" s="2" t="str">
        <x:f>'Research &amp; Analysis'!B584</x:f>
        <x:v>Cycle 4</x:v>
      </x:c>
      <x:c r="C1312" s="2" t="str">
        <x:f>'Research &amp; Analysis'!C584</x:f>
        <x:v>Phase 3</x:v>
      </x:c>
      <x:c r="D1312" s="2" t="str">
        <x:f>'Research &amp; Analysis'!D584</x:f>
        <x:v>CSBBO - Customer Service</x:v>
      </x:c>
      <x:c r="E1312" s="2" t="str">
        <x:v>Research &amp; Analysis</x:v>
      </x:c>
      <x:c r="F1312" s="56" t="str">
        <x:f>'Research &amp; Analysis'!E584</x:f>
        <x:v>RA.CS.3.4</x:v>
      </x:c>
      <x:c r="G1312" s="14" t="str">
        <x:f>'Research &amp; Analysis'!F584</x:f>
        <x:v>Attend Forum meeting with D&amp;I to assist with answering stakeholder questions (as needed)</x:v>
      </x:c>
      <x:c r="H1312" s="2" t="str">
        <x:f>IF('Research &amp; Analysis'!G584="","",'Research &amp; Analysis'!G584)</x:f>
      </x:c>
      <x:c r="I1312" s="12" t="str">
        <x:f>IF('Research &amp; Analysis'!H584="","",'Research &amp; Analysis'!H584)</x:f>
      </x:c>
      <x:c r="J1312" s="12" t="str">
        <x:f>IF('Research &amp; Analysis'!I584="","",'Research &amp; Analysis'!I584)</x:f>
      </x:c>
      <x:c r="K1312" s="12" t="str">
        <x:f>IF('Research &amp; Analysis'!J584="","",'Research &amp; Analysis'!J584)</x:f>
      </x:c>
      <x:c r="L1312" s="2" t="str">
        <x:f>IF('Research &amp; Analysis'!K584="","",'Research &amp; Analysis'!K584)</x:f>
      </x:c>
      <x:c r="M1312" s="2" t="n">
        <x:f>'Research &amp; Analysis'!Q584</x:f>
        <x:v>1</x:v>
      </x:c>
      <x:c r="N1312" s="2" t="str">
        <x:f>'Research &amp; Analysis'!L584</x:f>
        <x:v>Not started</x:v>
      </x:c>
      <x:c r="O1312" s="2" t="str">
        <x:f>'Research &amp; Analysis'!N584</x:f>
        <x:v>RA.CS.3.4.2026.CY4</x:v>
      </x:c>
      <x:c r="P1312" s="2" t="n">
        <x:f>'Research &amp; Analysis'!O584</x:f>
        <x:v>0</x:v>
      </x:c>
      <x:c r="Q1312" s="2" t="n">
        <x:f>SUBTOTAL(103,O1312)</x:f>
        <x:v>1</x:v>
      </x:c>
      <x:c r="R1312" s="2" t="n">
        <x:f>IF(AND(M1312=1,OR(Dashboard!$B$7="All",Dashboard!$B$7='Cycles &amp; Guide'!$C$5),OR(Dashboard!$D$7="All",Dashboard!$D$7=B1312),OR(Dashboard!$F$7="All",Dashboard!$F$7=C1312),OR(Dashboard!$H$7="All",Dashboard!$H$7=D1312),OR(Dashboard!$K$7="All",Dashboard!$K$7=E1312)),1,0)</x:f>
        <x:v>1</x:v>
      </x:c>
      <x:c r="S1312" s="2" t="n">
        <x:f>IF(R1312=1,SUM($R$10:R1312),0)</x:f>
        <x:v>939</x:v>
      </x:c>
      <x:c r="T1312" s="2" t="str">
        <x:v>Research &amp; Analysis</x:v>
      </x:c>
      <x:c r="U1312" s="2" t="n">
        <x:v>584</x:v>
      </x:c>
      <x:c r="V1312" s="2" t="n">
        <x:f>IF(AND(M1312=1,P1312=0,ISNUMBER(J1312),J1312&lt;TODAY()),1,0)</x:f>
        <x:v>0</x:v>
      </x:c>
      <x:c r="W1312" s="2" t="str">
        <x:f>'Research &amp; Analysis'!M584</x:f>
        <x:v>Task</x:v>
      </x:c>
    </x:row>
    <x:row r="1313" ht="40" customHeight="1">
      <x:c r="A1313" s="3" t="str">
        <x:f>HYPERLINK("#'Research &amp; Analysis'!A585","Open")</x:f>
        <x:v>Open</x:v>
      </x:c>
      <x:c r="B1313" s="2" t="str">
        <x:f>'Research &amp; Analysis'!B585</x:f>
        <x:v>Cycle 4</x:v>
      </x:c>
      <x:c r="C1313" s="2" t="str">
        <x:f>'Research &amp; Analysis'!C585</x:f>
        <x:v>Phase 1</x:v>
      </x:c>
      <x:c r="D1313" s="2" t="str">
        <x:f>'Research &amp; Analysis'!D585</x:f>
        <x:v>FCM</x:v>
      </x:c>
      <x:c r="E1313" s="2" t="str">
        <x:v>Research &amp; Analysis</x:v>
      </x:c>
      <x:c r="F1313" s="56" t="str">
        <x:f>'Research &amp; Analysis'!E585</x:f>
        <x:v>RA.FC.1.1</x:v>
      </x:c>
      <x:c r="G1313" s="14" t="str">
        <x:f>'Research &amp; Analysis'!F585</x:f>
        <x:v>Begin Research process 2 weeks prior to Cycle start</x:v>
      </x:c>
      <x:c r="H1313" s="2" t="str">
        <x:f>IF('Research &amp; Analysis'!G585="","",'Research &amp; Analysis'!G585)</x:f>
      </x:c>
      <x:c r="I1313" s="12" t="str">
        <x:f>IF('Research &amp; Analysis'!H585="","",'Research &amp; Analysis'!H585)</x:f>
      </x:c>
      <x:c r="J1313" s="12" t="n">
        <x:f>IF('Research &amp; Analysis'!I585="","",'Research &amp; Analysis'!I585)</x:f>
        <x:v>46282</x:v>
      </x:c>
      <x:c r="K1313" s="12" t="str">
        <x:f>IF('Research &amp; Analysis'!J585="","",'Research &amp; Analysis'!J585)</x:f>
      </x:c>
      <x:c r="L1313" s="2" t="str">
        <x:f>IF('Research &amp; Analysis'!K585="","",'Research &amp; Analysis'!K585)</x:f>
      </x:c>
      <x:c r="M1313" s="2" t="n">
        <x:f>'Research &amp; Analysis'!Q585</x:f>
        <x:v>1</x:v>
      </x:c>
      <x:c r="N1313" s="2" t="str">
        <x:f>'Research &amp; Analysis'!L585</x:f>
        <x:v>Not started</x:v>
      </x:c>
      <x:c r="O1313" s="2" t="str">
        <x:f>'Research &amp; Analysis'!N585</x:f>
        <x:v>RA.FC.1.1.2026.CY4</x:v>
      </x:c>
      <x:c r="P1313" s="2" t="n">
        <x:f>'Research &amp; Analysis'!O585</x:f>
        <x:v>0</x:v>
      </x:c>
      <x:c r="Q1313" s="2" t="n">
        <x:f>SUBTOTAL(103,O1313)</x:f>
        <x:v>1</x:v>
      </x:c>
      <x:c r="R1313" s="2" t="n">
        <x:f>IF(AND(M1313=1,OR(Dashboard!$B$7="All",Dashboard!$B$7='Cycles &amp; Guide'!$C$5),OR(Dashboard!$D$7="All",Dashboard!$D$7=B1313),OR(Dashboard!$F$7="All",Dashboard!$F$7=C1313),OR(Dashboard!$H$7="All",Dashboard!$H$7=D1313),OR(Dashboard!$K$7="All",Dashboard!$K$7=E1313)),1,0)</x:f>
        <x:v>1</x:v>
      </x:c>
      <x:c r="S1313" s="2" t="n">
        <x:f>IF(R1313=1,SUM($R$10:R1313),0)</x:f>
        <x:v>940</x:v>
      </x:c>
      <x:c r="T1313" s="2" t="str">
        <x:v>Research &amp; Analysis</x:v>
      </x:c>
      <x:c r="U1313" s="2" t="n">
        <x:v>585</x:v>
      </x:c>
      <x:c r="V1313" s="2" t="n">
        <x:f>IF(AND(M1313=1,P1313=0,ISNUMBER(J1313),J1313&lt;TODAY()),1,0)</x:f>
        <x:v>1</x:v>
      </x:c>
      <x:c r="W1313" s="2" t="str">
        <x:f>'Research &amp; Analysis'!M585</x:f>
        <x:v>Task</x:v>
      </x:c>
    </x:row>
    <x:row r="1314" ht="40" customHeight="1">
      <x:c r="A1314" s="3" t="str">
        <x:f>HYPERLINK("#'Research &amp; Analysis'!A586","Open")</x:f>
        <x:v>Open</x:v>
      </x:c>
      <x:c r="B1314" s="2" t="str">
        <x:f>'Research &amp; Analysis'!B586</x:f>
        <x:v>Cycle 4</x:v>
      </x:c>
      <x:c r="C1314" s="2" t="str">
        <x:f>'Research &amp; Analysis'!C586</x:f>
        <x:v>Phase 1</x:v>
      </x:c>
      <x:c r="D1314" s="2" t="str">
        <x:f>'Research &amp; Analysis'!D586</x:f>
        <x:v>FCM</x:v>
      </x:c>
      <x:c r="E1314" s="2" t="str">
        <x:v>Research &amp; Analysis</x:v>
      </x:c>
      <x:c r="F1314" s="56" t="str">
        <x:f>'Research &amp; Analysis'!E586</x:f>
        <x:v>RA.FC.1.2</x:v>
      </x:c>
      <x:c r="G1314" s="14" t="str">
        <x:f>'Research &amp; Analysis'!F586</x:f>
        <x:v>Conduct initial assessment of each topic recommendation from SharePoint list</x:v>
      </x:c>
      <x:c r="H1314" s="2" t="str">
        <x:f>IF('Research &amp; Analysis'!G586="","",'Research &amp; Analysis'!G586)</x:f>
      </x:c>
      <x:c r="I1314" s="12" t="str">
        <x:f>IF('Research &amp; Analysis'!H586="","",'Research &amp; Analysis'!H586)</x:f>
      </x:c>
      <x:c r="J1314" s="12" t="n">
        <x:f>IF('Research &amp; Analysis'!I586="","",'Research &amp; Analysis'!I586)</x:f>
        <x:v>46387</x:v>
      </x:c>
      <x:c r="K1314" s="12" t="str">
        <x:f>IF('Research &amp; Analysis'!J586="","",'Research &amp; Analysis'!J586)</x:f>
      </x:c>
      <x:c r="L1314" s="2" t="str">
        <x:f>IF('Research &amp; Analysis'!K586="","",'Research &amp; Analysis'!K586)</x:f>
      </x:c>
      <x:c r="M1314" s="2" t="n">
        <x:f>'Research &amp; Analysis'!Q586</x:f>
        <x:v>1</x:v>
      </x:c>
      <x:c r="N1314" s="2" t="str">
        <x:f>'Research &amp; Analysis'!L586</x:f>
        <x:v>Not started</x:v>
      </x:c>
      <x:c r="O1314" s="2" t="str">
        <x:f>'Research &amp; Analysis'!N586</x:f>
        <x:v>RA.FC.1.2.2026.CY4</x:v>
      </x:c>
      <x:c r="P1314" s="2" t="n">
        <x:f>'Research &amp; Analysis'!O586</x:f>
        <x:v>0</x:v>
      </x:c>
      <x:c r="Q1314" s="2" t="n">
        <x:f>SUBTOTAL(103,O1314)</x:f>
        <x:v>1</x:v>
      </x:c>
      <x:c r="R1314" s="2" t="n">
        <x:f>IF(AND(M1314=1,OR(Dashboard!$B$7="All",Dashboard!$B$7='Cycles &amp; Guide'!$C$5),OR(Dashboard!$D$7="All",Dashboard!$D$7=B1314),OR(Dashboard!$F$7="All",Dashboard!$F$7=C1314),OR(Dashboard!$H$7="All",Dashboard!$H$7=D1314),OR(Dashboard!$K$7="All",Dashboard!$K$7=E1314)),1,0)</x:f>
        <x:v>1</x:v>
      </x:c>
      <x:c r="S1314" s="2" t="n">
        <x:f>IF(R1314=1,SUM($R$10:R1314),0)</x:f>
        <x:v>941</x:v>
      </x:c>
      <x:c r="T1314" s="2" t="str">
        <x:v>Research &amp; Analysis</x:v>
      </x:c>
      <x:c r="U1314" s="2" t="n">
        <x:v>586</x:v>
      </x:c>
      <x:c r="V1314" s="2" t="n">
        <x:f>IF(AND(M1314=1,P1314=0,ISNUMBER(J1314),J1314&lt;TODAY()),1,0)</x:f>
        <x:v>0</x:v>
      </x:c>
      <x:c r="W1314" s="2" t="str">
        <x:f>'Research &amp; Analysis'!M586</x:f>
        <x:v>Task</x:v>
      </x:c>
    </x:row>
    <x:row r="1315" ht="40" customHeight="1">
      <x:c r="A1315" s="3" t="str">
        <x:f>HYPERLINK("#'Research &amp; Analysis'!A587","Open")</x:f>
        <x:v>Open</x:v>
      </x:c>
      <x:c r="B1315" s="2" t="str">
        <x:f>'Research &amp; Analysis'!B587</x:f>
        <x:v>Cycle 4</x:v>
      </x:c>
      <x:c r="C1315" s="2" t="str">
        <x:f>'Research &amp; Analysis'!C587</x:f>
        <x:v>Phase 1</x:v>
      </x:c>
      <x:c r="D1315" s="2" t="str">
        <x:f>'Research &amp; Analysis'!D587</x:f>
        <x:v>FCM</x:v>
      </x:c>
      <x:c r="E1315" s="2" t="str">
        <x:v>Research &amp; Analysis</x:v>
      </x:c>
      <x:c r="F1315" s="56" t="str">
        <x:f>'Research &amp; Analysis'!E587</x:f>
        <x:v>RA.FC.1.3</x:v>
      </x:c>
      <x:c r="G1315" s="14" t="str">
        <x:f>'Research &amp; Analysis'!F587</x:f>
        <x:v>Identify best topic for Cycle</x:v>
      </x:c>
      <x:c r="H1315" s="2" t="str">
        <x:f>IF('Research &amp; Analysis'!G587="","",'Research &amp; Analysis'!G587)</x:f>
      </x:c>
      <x:c r="I1315" s="12" t="str">
        <x:f>IF('Research &amp; Analysis'!H587="","",'Research &amp; Analysis'!H587)</x:f>
      </x:c>
      <x:c r="J1315" s="12" t="n">
        <x:f>IF('Research &amp; Analysis'!I587="","",'Research &amp; Analysis'!I587)</x:f>
        <x:v>46387</x:v>
      </x:c>
      <x:c r="K1315" s="12" t="str">
        <x:f>IF('Research &amp; Analysis'!J587="","",'Research &amp; Analysis'!J587)</x:f>
      </x:c>
      <x:c r="L1315" s="2" t="str">
        <x:f>IF('Research &amp; Analysis'!K587="","",'Research &amp; Analysis'!K587)</x:f>
      </x:c>
      <x:c r="M1315" s="2" t="n">
        <x:f>'Research &amp; Analysis'!Q587</x:f>
        <x:v>1</x:v>
      </x:c>
      <x:c r="N1315" s="2" t="str">
        <x:f>'Research &amp; Analysis'!L587</x:f>
        <x:v>Not started</x:v>
      </x:c>
      <x:c r="O1315" s="2" t="str">
        <x:f>'Research &amp; Analysis'!N587</x:f>
        <x:v>RA.FC.1.3.2026.CY4</x:v>
      </x:c>
      <x:c r="P1315" s="2" t="n">
        <x:f>'Research &amp; Analysis'!O587</x:f>
        <x:v>0</x:v>
      </x:c>
      <x:c r="Q1315" s="2" t="n">
        <x:f>SUBTOTAL(103,O1315)</x:f>
        <x:v>1</x:v>
      </x:c>
      <x:c r="R1315" s="2" t="n">
        <x:f>IF(AND(M1315=1,OR(Dashboard!$B$7="All",Dashboard!$B$7='Cycles &amp; Guide'!$C$5),OR(Dashboard!$D$7="All",Dashboard!$D$7=B1315),OR(Dashboard!$F$7="All",Dashboard!$F$7=C1315),OR(Dashboard!$H$7="All",Dashboard!$H$7=D1315),OR(Dashboard!$K$7="All",Dashboard!$K$7=E1315)),1,0)</x:f>
        <x:v>1</x:v>
      </x:c>
      <x:c r="S1315" s="2" t="n">
        <x:f>IF(R1315=1,SUM($R$10:R1315),0)</x:f>
        <x:v>942</x:v>
      </x:c>
      <x:c r="T1315" s="2" t="str">
        <x:v>Research &amp; Analysis</x:v>
      </x:c>
      <x:c r="U1315" s="2" t="n">
        <x:v>587</x:v>
      </x:c>
      <x:c r="V1315" s="2" t="n">
        <x:f>IF(AND(M1315=1,P1315=0,ISNUMBER(J1315),J1315&lt;TODAY()),1,0)</x:f>
        <x:v>0</x:v>
      </x:c>
      <x:c r="W1315" s="2" t="str">
        <x:f>'Research &amp; Analysis'!M587</x:f>
        <x:v>Task</x:v>
      </x:c>
    </x:row>
    <x:row r="1316" ht="40" customHeight="1">
      <x:c r="A1316" s="3" t="str">
        <x:f>HYPERLINK("#'Research &amp; Analysis'!A588","Open")</x:f>
        <x:v>Open</x:v>
      </x:c>
      <x:c r="B1316" s="2" t="str">
        <x:f>'Research &amp; Analysis'!B588</x:f>
        <x:v>Cycle 4</x:v>
      </x:c>
      <x:c r="C1316" s="2" t="str">
        <x:f>'Research &amp; Analysis'!C588</x:f>
        <x:v>Phase 1</x:v>
      </x:c>
      <x:c r="D1316" s="2" t="str">
        <x:f>'Research &amp; Analysis'!D588</x:f>
        <x:v>FCM</x:v>
      </x:c>
      <x:c r="E1316" s="2" t="str">
        <x:v>Research &amp; Analysis</x:v>
      </x:c>
      <x:c r="F1316" s="56" t="str">
        <x:f>'Research &amp; Analysis'!E588</x:f>
        <x:v>RA.FC.1.4</x:v>
      </x:c>
      <x:c r="G1316" s="14" t="str">
        <x:f>'Research &amp; Analysis'!F588</x:f>
        <x:v>Identify backup topic for Cycle</x:v>
      </x:c>
      <x:c r="H1316" s="2" t="str">
        <x:f>IF('Research &amp; Analysis'!G588="","",'Research &amp; Analysis'!G588)</x:f>
      </x:c>
      <x:c r="I1316" s="12" t="str">
        <x:f>IF('Research &amp; Analysis'!H588="","",'Research &amp; Analysis'!H588)</x:f>
      </x:c>
      <x:c r="J1316" s="12" t="n">
        <x:f>IF('Research &amp; Analysis'!I588="","",'Research &amp; Analysis'!I588)</x:f>
        <x:v>46387</x:v>
      </x:c>
      <x:c r="K1316" s="12" t="str">
        <x:f>IF('Research &amp; Analysis'!J588="","",'Research &amp; Analysis'!J588)</x:f>
      </x:c>
      <x:c r="L1316" s="2" t="str">
        <x:f>IF('Research &amp; Analysis'!K588="","",'Research &amp; Analysis'!K588)</x:f>
      </x:c>
      <x:c r="M1316" s="2" t="n">
        <x:f>'Research &amp; Analysis'!Q588</x:f>
        <x:v>1</x:v>
      </x:c>
      <x:c r="N1316" s="2" t="str">
        <x:f>'Research &amp; Analysis'!L588</x:f>
        <x:v>Not started</x:v>
      </x:c>
      <x:c r="O1316" s="2" t="str">
        <x:f>'Research &amp; Analysis'!N588</x:f>
        <x:v>RA.FC.1.4.2026.CY4</x:v>
      </x:c>
      <x:c r="P1316" s="2" t="n">
        <x:f>'Research &amp; Analysis'!O588</x:f>
        <x:v>0</x:v>
      </x:c>
      <x:c r="Q1316" s="2" t="n">
        <x:f>SUBTOTAL(103,O1316)</x:f>
        <x:v>1</x:v>
      </x:c>
      <x:c r="R1316" s="2" t="n">
        <x:f>IF(AND(M1316=1,OR(Dashboard!$B$7="All",Dashboard!$B$7='Cycles &amp; Guide'!$C$5),OR(Dashboard!$D$7="All",Dashboard!$D$7=B1316),OR(Dashboard!$F$7="All",Dashboard!$F$7=C1316),OR(Dashboard!$H$7="All",Dashboard!$H$7=D1316),OR(Dashboard!$K$7="All",Dashboard!$K$7=E1316)),1,0)</x:f>
        <x:v>1</x:v>
      </x:c>
      <x:c r="S1316" s="2" t="n">
        <x:f>IF(R1316=1,SUM($R$10:R1316),0)</x:f>
        <x:v>943</x:v>
      </x:c>
      <x:c r="T1316" s="2" t="str">
        <x:v>Research &amp; Analysis</x:v>
      </x:c>
      <x:c r="U1316" s="2" t="n">
        <x:v>588</x:v>
      </x:c>
      <x:c r="V1316" s="2" t="n">
        <x:f>IF(AND(M1316=1,P1316=0,ISNUMBER(J1316),J1316&lt;TODAY()),1,0)</x:f>
        <x:v>0</x:v>
      </x:c>
      <x:c r="W1316" s="2" t="str">
        <x:f>'Research &amp; Analysis'!M588</x:f>
        <x:v>Task</x:v>
      </x:c>
    </x:row>
    <x:row r="1317" ht="40" customHeight="1">
      <x:c r="A1317" s="3" t="str">
        <x:f>HYPERLINK("#'Research &amp; Analysis'!A589","Open")</x:f>
        <x:v>Open</x:v>
      </x:c>
      <x:c r="B1317" s="2" t="str">
        <x:f>'Research &amp; Analysis'!B589</x:f>
        <x:v>Cycle 4</x:v>
      </x:c>
      <x:c r="C1317" s="2" t="str">
        <x:f>'Research &amp; Analysis'!C589</x:f>
        <x:v>Phase 1</x:v>
      </x:c>
      <x:c r="D1317" s="2" t="str">
        <x:f>'Research &amp; Analysis'!D589</x:f>
        <x:v>FCM</x:v>
      </x:c>
      <x:c r="E1317" s="2" t="str">
        <x:v>Research &amp; Analysis</x:v>
      </x:c>
      <x:c r="F1317" s="56" t="str">
        <x:f>'Research &amp; Analysis'!E589</x:f>
        <x:v>RA.FC.1.5</x:v>
      </x:c>
      <x:c r="G1317" s="14" t="str">
        <x:f>'Research &amp; Analysis'!F589</x:f>
        <x:v>Schedule topic approval meeting with D&amp;I and management</x:v>
      </x:c>
      <x:c r="H1317" s="2" t="str">
        <x:f>IF('Research &amp; Analysis'!G589="","",'Research &amp; Analysis'!G589)</x:f>
      </x:c>
      <x:c r="I1317" s="12" t="str">
        <x:f>IF('Research &amp; Analysis'!H589="","",'Research &amp; Analysis'!H589)</x:f>
      </x:c>
      <x:c r="J1317" s="12" t="n">
        <x:f>IF('Research &amp; Analysis'!I589="","",'Research &amp; Analysis'!I589)</x:f>
        <x:v>46387</x:v>
      </x:c>
      <x:c r="K1317" s="12" t="str">
        <x:f>IF('Research &amp; Analysis'!J589="","",'Research &amp; Analysis'!J589)</x:f>
      </x:c>
      <x:c r="L1317" s="2" t="str">
        <x:f>IF('Research &amp; Analysis'!K589="","",'Research &amp; Analysis'!K589)</x:f>
      </x:c>
      <x:c r="M1317" s="2" t="n">
        <x:f>'Research &amp; Analysis'!Q589</x:f>
        <x:v>1</x:v>
      </x:c>
      <x:c r="N1317" s="2" t="str">
        <x:f>'Research &amp; Analysis'!L589</x:f>
        <x:v>Not started</x:v>
      </x:c>
      <x:c r="O1317" s="2" t="str">
        <x:f>'Research &amp; Analysis'!N589</x:f>
        <x:v>RA.FC.1.5.2026.CY4</x:v>
      </x:c>
      <x:c r="P1317" s="2" t="n">
        <x:f>'Research &amp; Analysis'!O589</x:f>
        <x:v>0</x:v>
      </x:c>
      <x:c r="Q1317" s="2" t="n">
        <x:f>SUBTOTAL(103,O1317)</x:f>
        <x:v>1</x:v>
      </x:c>
      <x:c r="R1317" s="2" t="n">
        <x:f>IF(AND(M1317=1,OR(Dashboard!$B$7="All",Dashboard!$B$7='Cycles &amp; Guide'!$C$5),OR(Dashboard!$D$7="All",Dashboard!$D$7=B1317),OR(Dashboard!$F$7="All",Dashboard!$F$7=C1317),OR(Dashboard!$H$7="All",Dashboard!$H$7=D1317),OR(Dashboard!$K$7="All",Dashboard!$K$7=E1317)),1,0)</x:f>
        <x:v>1</x:v>
      </x:c>
      <x:c r="S1317" s="2" t="n">
        <x:f>IF(R1317=1,SUM($R$10:R1317),0)</x:f>
        <x:v>944</x:v>
      </x:c>
      <x:c r="T1317" s="2" t="str">
        <x:v>Research &amp; Analysis</x:v>
      </x:c>
      <x:c r="U1317" s="2" t="n">
        <x:v>589</x:v>
      </x:c>
      <x:c r="V1317" s="2" t="n">
        <x:f>IF(AND(M1317=1,P1317=0,ISNUMBER(J1317),J1317&lt;TODAY()),1,0)</x:f>
        <x:v>0</x:v>
      </x:c>
      <x:c r="W1317" s="2" t="str">
        <x:f>'Research &amp; Analysis'!M589</x:f>
        <x:v>Task</x:v>
      </x:c>
    </x:row>
    <x:row r="1318" ht="40" customHeight="1">
      <x:c r="A1318" s="3" t="str">
        <x:f>HYPERLINK("#'Research &amp; Analysis'!A590","Open")</x:f>
        <x:v>Open</x:v>
      </x:c>
      <x:c r="B1318" s="2" t="str">
        <x:f>'Research &amp; Analysis'!B590</x:f>
        <x:v>Cycle 4</x:v>
      </x:c>
      <x:c r="C1318" s="2" t="str">
        <x:f>'Research &amp; Analysis'!C590</x:f>
        <x:v>Phase 1</x:v>
      </x:c>
      <x:c r="D1318" s="2" t="str">
        <x:f>'Research &amp; Analysis'!D590</x:f>
        <x:v>FCM</x:v>
      </x:c>
      <x:c r="E1318" s="2" t="str">
        <x:v>Research &amp; Analysis</x:v>
      </x:c>
      <x:c r="F1318" s="56" t="str">
        <x:f>'Research &amp; Analysis'!E590</x:f>
        <x:v>RA.FC.1.6</x:v>
      </x:c>
      <x:c r="G1318" s="14" t="str">
        <x:f>'Research &amp; Analysis'!F590</x:f>
        <x:v>Present recommended topic to D&amp;I and management for approval</x:v>
      </x:c>
      <x:c r="H1318" s="2" t="str">
        <x:f>IF('Research &amp; Analysis'!G590="","",'Research &amp; Analysis'!G590)</x:f>
      </x:c>
      <x:c r="I1318" s="12" t="str">
        <x:f>IF('Research &amp; Analysis'!H590="","",'Research &amp; Analysis'!H590)</x:f>
      </x:c>
      <x:c r="J1318" s="12" t="n">
        <x:f>IF('Research &amp; Analysis'!I590="","",'Research &amp; Analysis'!I590)</x:f>
        <x:v>46387</x:v>
      </x:c>
      <x:c r="K1318" s="12" t="str">
        <x:f>IF('Research &amp; Analysis'!J590="","",'Research &amp; Analysis'!J590)</x:f>
      </x:c>
      <x:c r="L1318" s="2" t="str">
        <x:f>IF('Research &amp; Analysis'!K590="","",'Research &amp; Analysis'!K590)</x:f>
      </x:c>
      <x:c r="M1318" s="2" t="n">
        <x:f>'Research &amp; Analysis'!Q590</x:f>
        <x:v>1</x:v>
      </x:c>
      <x:c r="N1318" s="2" t="str">
        <x:f>'Research &amp; Analysis'!L590</x:f>
        <x:v>Not started</x:v>
      </x:c>
      <x:c r="O1318" s="2" t="str">
        <x:f>'Research &amp; Analysis'!N590</x:f>
        <x:v>RA.FC.1.6.2026.CY4</x:v>
      </x:c>
      <x:c r="P1318" s="2" t="n">
        <x:f>'Research &amp; Analysis'!O590</x:f>
        <x:v>0</x:v>
      </x:c>
      <x:c r="Q1318" s="2" t="n">
        <x:f>SUBTOTAL(103,O1318)</x:f>
        <x:v>1</x:v>
      </x:c>
      <x:c r="R1318" s="2" t="n">
        <x:f>IF(AND(M1318=1,OR(Dashboard!$B$7="All",Dashboard!$B$7='Cycles &amp; Guide'!$C$5),OR(Dashboard!$D$7="All",Dashboard!$D$7=B1318),OR(Dashboard!$F$7="All",Dashboard!$F$7=C1318),OR(Dashboard!$H$7="All",Dashboard!$H$7=D1318),OR(Dashboard!$K$7="All",Dashboard!$K$7=E1318)),1,0)</x:f>
        <x:v>1</x:v>
      </x:c>
      <x:c r="S1318" s="2" t="n">
        <x:f>IF(R1318=1,SUM($R$10:R1318),0)</x:f>
        <x:v>945</x:v>
      </x:c>
      <x:c r="T1318" s="2" t="str">
        <x:v>Research &amp; Analysis</x:v>
      </x:c>
      <x:c r="U1318" s="2" t="n">
        <x:v>590</x:v>
      </x:c>
      <x:c r="V1318" s="2" t="n">
        <x:f>IF(AND(M1318=1,P1318=0,ISNUMBER(J1318),J1318&lt;TODAY()),1,0)</x:f>
        <x:v>0</x:v>
      </x:c>
      <x:c r="W1318" s="2" t="str">
        <x:f>'Research &amp; Analysis'!M590</x:f>
        <x:v>Task</x:v>
      </x:c>
    </x:row>
    <x:row r="1319" ht="40" customHeight="1">
      <x:c r="A1319" s="3" t="str">
        <x:f>HYPERLINK("#'Research &amp; Analysis'!A591","Open")</x:f>
        <x:v>Open</x:v>
      </x:c>
      <x:c r="B1319" s="2" t="str">
        <x:f>'Research &amp; Analysis'!B591</x:f>
        <x:v>Cycle 4</x:v>
      </x:c>
      <x:c r="C1319" s="2" t="str">
        <x:f>'Research &amp; Analysis'!C591</x:f>
        <x:v>Phase 1</x:v>
      </x:c>
      <x:c r="D1319" s="2" t="str">
        <x:f>'Research &amp; Analysis'!D591</x:f>
        <x:v>FCM</x:v>
      </x:c>
      <x:c r="E1319" s="2" t="str">
        <x:v>Research &amp; Analysis</x:v>
      </x:c>
      <x:c r="F1319" s="56" t="str">
        <x:f>'Research &amp; Analysis'!E591</x:f>
        <x:v>RA.FC.1.7</x:v>
      </x:c>
      <x:c r="G1319" s="14" t="str">
        <x:f>'Research &amp; Analysis'!F591</x:f>
        <x:v>Obtain formal topic selection approval from management via SharePoint</x:v>
      </x:c>
      <x:c r="H1319" s="2" t="str">
        <x:f>IF('Research &amp; Analysis'!G591="","",'Research &amp; Analysis'!G591)</x:f>
      </x:c>
      <x:c r="I1319" s="12" t="str">
        <x:f>IF('Research &amp; Analysis'!H591="","",'Research &amp; Analysis'!H591)</x:f>
      </x:c>
      <x:c r="J1319" s="12" t="n">
        <x:f>IF('Research &amp; Analysis'!I591="","",'Research &amp; Analysis'!I591)</x:f>
        <x:v>46387</x:v>
      </x:c>
      <x:c r="K1319" s="12" t="str">
        <x:f>IF('Research &amp; Analysis'!J591="","",'Research &amp; Analysis'!J591)</x:f>
      </x:c>
      <x:c r="L1319" s="2" t="str">
        <x:f>IF('Research &amp; Analysis'!K591="","",'Research &amp; Analysis'!K591)</x:f>
      </x:c>
      <x:c r="M1319" s="2" t="n">
        <x:f>'Research &amp; Analysis'!Q591</x:f>
        <x:v>1</x:v>
      </x:c>
      <x:c r="N1319" s="2" t="str">
        <x:f>'Research &amp; Analysis'!L591</x:f>
        <x:v>Not started</x:v>
      </x:c>
      <x:c r="O1319" s="2" t="str">
        <x:f>'Research &amp; Analysis'!N591</x:f>
        <x:v>RA.FC.1.7.2026.CY4</x:v>
      </x:c>
      <x:c r="P1319" s="2" t="n">
        <x:f>'Research &amp; Analysis'!O591</x:f>
        <x:v>0</x:v>
      </x:c>
      <x:c r="Q1319" s="2" t="n">
        <x:f>SUBTOTAL(103,O1319)</x:f>
        <x:v>1</x:v>
      </x:c>
      <x:c r="R1319" s="2" t="n">
        <x:f>IF(AND(M1319=1,OR(Dashboard!$B$7="All",Dashboard!$B$7='Cycles &amp; Guide'!$C$5),OR(Dashboard!$D$7="All",Dashboard!$D$7=B1319),OR(Dashboard!$F$7="All",Dashboard!$F$7=C1319),OR(Dashboard!$H$7="All",Dashboard!$H$7=D1319),OR(Dashboard!$K$7="All",Dashboard!$K$7=E1319)),1,0)</x:f>
        <x:v>1</x:v>
      </x:c>
      <x:c r="S1319" s="2" t="n">
        <x:f>IF(R1319=1,SUM($R$10:R1319),0)</x:f>
        <x:v>946</x:v>
      </x:c>
      <x:c r="T1319" s="2" t="str">
        <x:v>Research &amp; Analysis</x:v>
      </x:c>
      <x:c r="U1319" s="2" t="n">
        <x:v>591</x:v>
      </x:c>
      <x:c r="V1319" s="2" t="n">
        <x:f>IF(AND(M1319=1,P1319=0,ISNUMBER(J1319),J1319&lt;TODAY()),1,0)</x:f>
        <x:v>0</x:v>
      </x:c>
      <x:c r="W1319" s="2" t="str">
        <x:f>'Research &amp; Analysis'!M591</x:f>
        <x:v>Task</x:v>
      </x:c>
    </x:row>
    <x:row r="1320" ht="40" customHeight="1">
      <x:c r="A1320" s="3" t="str">
        <x:f>HYPERLINK("#'Research &amp; Analysis'!A592","Open")</x:f>
        <x:v>Open</x:v>
      </x:c>
      <x:c r="B1320" s="2" t="str">
        <x:f>'Research &amp; Analysis'!B592</x:f>
        <x:v>Cycle 4</x:v>
      </x:c>
      <x:c r="C1320" s="2" t="str">
        <x:f>'Research &amp; Analysis'!C592</x:f>
        <x:v>Phase 1</x:v>
      </x:c>
      <x:c r="D1320" s="2" t="str">
        <x:f>'Research &amp; Analysis'!D592</x:f>
        <x:v>FCM</x:v>
      </x:c>
      <x:c r="E1320" s="2" t="str">
        <x:v>Research &amp; Analysis</x:v>
      </x:c>
      <x:c r="F1320" s="56" t="str">
        <x:f>'Research &amp; Analysis'!E592</x:f>
        <x:v>RA.FC.1.8</x:v>
      </x:c>
      <x:c r="G1320" s="14" t="str">
        <x:f>'Research &amp; Analysis'!F592</x:f>
        <x:v>Socialize topic selection with product owners and subject matter experts (if known)</x:v>
      </x:c>
      <x:c r="H1320" s="2" t="str">
        <x:f>IF('Research &amp; Analysis'!G592="","",'Research &amp; Analysis'!G592)</x:f>
      </x:c>
      <x:c r="I1320" s="12" t="str">
        <x:f>IF('Research &amp; Analysis'!H592="","",'Research &amp; Analysis'!H592)</x:f>
      </x:c>
      <x:c r="J1320" s="12" t="n">
        <x:f>IF('Research &amp; Analysis'!I592="","",'Research &amp; Analysis'!I592)</x:f>
        <x:v>46387</x:v>
      </x:c>
      <x:c r="K1320" s="12" t="str">
        <x:f>IF('Research &amp; Analysis'!J592="","",'Research &amp; Analysis'!J592)</x:f>
      </x:c>
      <x:c r="L1320" s="2" t="str">
        <x:f>IF('Research &amp; Analysis'!K592="","",'Research &amp; Analysis'!K592)</x:f>
      </x:c>
      <x:c r="M1320" s="2" t="n">
        <x:f>'Research &amp; Analysis'!Q592</x:f>
        <x:v>1</x:v>
      </x:c>
      <x:c r="N1320" s="2" t="str">
        <x:f>'Research &amp; Analysis'!L592</x:f>
        <x:v>Not started</x:v>
      </x:c>
      <x:c r="O1320" s="2" t="str">
        <x:f>'Research &amp; Analysis'!N592</x:f>
        <x:v>RA.FC.1.8.2026.CY4</x:v>
      </x:c>
      <x:c r="P1320" s="2" t="n">
        <x:f>'Research &amp; Analysis'!O592</x:f>
        <x:v>0</x:v>
      </x:c>
      <x:c r="Q1320" s="2" t="n">
        <x:f>SUBTOTAL(103,O1320)</x:f>
        <x:v>1</x:v>
      </x:c>
      <x:c r="R1320" s="2" t="n">
        <x:f>IF(AND(M1320=1,OR(Dashboard!$B$7="All",Dashboard!$B$7='Cycles &amp; Guide'!$C$5),OR(Dashboard!$D$7="All",Dashboard!$D$7=B1320),OR(Dashboard!$F$7="All",Dashboard!$F$7=C1320),OR(Dashboard!$H$7="All",Dashboard!$H$7=D1320),OR(Dashboard!$K$7="All",Dashboard!$K$7=E1320)),1,0)</x:f>
        <x:v>1</x:v>
      </x:c>
      <x:c r="S1320" s="2" t="n">
        <x:f>IF(R1320=1,SUM($R$10:R1320),0)</x:f>
        <x:v>947</x:v>
      </x:c>
      <x:c r="T1320" s="2" t="str">
        <x:v>Research &amp; Analysis</x:v>
      </x:c>
      <x:c r="U1320" s="2" t="n">
        <x:v>592</x:v>
      </x:c>
      <x:c r="V1320" s="2" t="n">
        <x:f>IF(AND(M1320=1,P1320=0,ISNUMBER(J1320),J1320&lt;TODAY()),1,0)</x:f>
        <x:v>0</x:v>
      </x:c>
      <x:c r="W1320" s="2" t="str">
        <x:f>'Research &amp; Analysis'!M592</x:f>
        <x:v>Task</x:v>
      </x:c>
    </x:row>
    <x:row r="1321" ht="40" customHeight="1">
      <x:c r="A1321" s="3" t="str">
        <x:f>HYPERLINK("#'Research &amp; Analysis'!A593","Open")</x:f>
        <x:v>Open</x:v>
      </x:c>
      <x:c r="B1321" s="2" t="str">
        <x:f>'Research &amp; Analysis'!B593</x:f>
        <x:v>Cycle 4</x:v>
      </x:c>
      <x:c r="C1321" s="2" t="str">
        <x:f>'Research &amp; Analysis'!C593</x:f>
        <x:v>Phase 1</x:v>
      </x:c>
      <x:c r="D1321" s="2" t="str">
        <x:f>'Research &amp; Analysis'!D593</x:f>
        <x:v>FCM</x:v>
      </x:c>
      <x:c r="E1321" s="2" t="str">
        <x:v>Research &amp; Analysis</x:v>
      </x:c>
      <x:c r="F1321" s="56" t="str">
        <x:f>'Research &amp; Analysis'!E593</x:f>
        <x:v>RA.FC.1.9</x:v>
      </x:c>
      <x:c r="G1321" s="14" t="str">
        <x:f>'Research &amp; Analysis'!F593</x:f>
        <x:v>Assign topic researchers</x:v>
      </x:c>
      <x:c r="H1321" s="2" t="str">
        <x:f>IF('Research &amp; Analysis'!G593="","",'Research &amp; Analysis'!G593)</x:f>
      </x:c>
      <x:c r="I1321" s="12" t="str">
        <x:f>IF('Research &amp; Analysis'!H593="","",'Research &amp; Analysis'!H593)</x:f>
      </x:c>
      <x:c r="J1321" s="12" t="n">
        <x:f>IF('Research &amp; Analysis'!I593="","",'Research &amp; Analysis'!I593)</x:f>
        <x:v>46387</x:v>
      </x:c>
      <x:c r="K1321" s="12" t="str">
        <x:f>IF('Research &amp; Analysis'!J593="","",'Research &amp; Analysis'!J593)</x:f>
      </x:c>
      <x:c r="L1321" s="2" t="str">
        <x:f>IF('Research &amp; Analysis'!K593="","",'Research &amp; Analysis'!K593)</x:f>
      </x:c>
      <x:c r="M1321" s="2" t="n">
        <x:f>'Research &amp; Analysis'!Q593</x:f>
        <x:v>1</x:v>
      </x:c>
      <x:c r="N1321" s="2" t="str">
        <x:f>'Research &amp; Analysis'!L593</x:f>
        <x:v>Not started</x:v>
      </x:c>
      <x:c r="O1321" s="2" t="str">
        <x:f>'Research &amp; Analysis'!N593</x:f>
        <x:v>RA.FC.1.9.2026.CY4</x:v>
      </x:c>
      <x:c r="P1321" s="2" t="n">
        <x:f>'Research &amp; Analysis'!O593</x:f>
        <x:v>0</x:v>
      </x:c>
      <x:c r="Q1321" s="2" t="n">
        <x:f>SUBTOTAL(103,O1321)</x:f>
        <x:v>1</x:v>
      </x:c>
      <x:c r="R1321" s="2" t="n">
        <x:f>IF(AND(M1321=1,OR(Dashboard!$B$7="All",Dashboard!$B$7='Cycles &amp; Guide'!$C$5),OR(Dashboard!$D$7="All",Dashboard!$D$7=B1321),OR(Dashboard!$F$7="All",Dashboard!$F$7=C1321),OR(Dashboard!$H$7="All",Dashboard!$H$7=D1321),OR(Dashboard!$K$7="All",Dashboard!$K$7=E1321)),1,0)</x:f>
        <x:v>1</x:v>
      </x:c>
      <x:c r="S1321" s="2" t="n">
        <x:f>IF(R1321=1,SUM($R$10:R1321),0)</x:f>
        <x:v>948</x:v>
      </x:c>
      <x:c r="T1321" s="2" t="str">
        <x:v>Research &amp; Analysis</x:v>
      </x:c>
      <x:c r="U1321" s="2" t="n">
        <x:v>593</x:v>
      </x:c>
      <x:c r="V1321" s="2" t="n">
        <x:f>IF(AND(M1321=1,P1321=0,ISNUMBER(J1321),J1321&lt;TODAY()),1,0)</x:f>
        <x:v>0</x:v>
      </x:c>
      <x:c r="W1321" s="2" t="str">
        <x:f>'Research &amp; Analysis'!M593</x:f>
        <x:v>Task</x:v>
      </x:c>
    </x:row>
    <x:row r="1322" ht="40" customHeight="1">
      <x:c r="A1322" s="3" t="str">
        <x:f>HYPERLINK("#'Research &amp; Analysis'!A594","Open")</x:f>
        <x:v>Open</x:v>
      </x:c>
      <x:c r="B1322" s="2" t="str">
        <x:f>'Research &amp; Analysis'!B594</x:f>
        <x:v>Cycle 4</x:v>
      </x:c>
      <x:c r="C1322" s="2" t="str">
        <x:f>'Research &amp; Analysis'!C594</x:f>
        <x:v>Phase 2</x:v>
      </x:c>
      <x:c r="D1322" s="2" t="str">
        <x:f>'Research &amp; Analysis'!D594</x:f>
        <x:v>FCM</x:v>
      </x:c>
      <x:c r="E1322" s="2" t="str">
        <x:v>Research &amp; Analysis</x:v>
      </x:c>
      <x:c r="F1322" s="56" t="str">
        <x:f>'Research &amp; Analysis'!E594</x:f>
        <x:v>RA.FC.2.1</x:v>
      </x:c>
      <x:c r="G1322" s="14" t="str">
        <x:f>'Research &amp; Analysis'!F594</x:f>
        <x:v>Review data sources</x:v>
      </x:c>
      <x:c r="H1322" s="2" t="str">
        <x:f>IF('Research &amp; Analysis'!G594="","",'Research &amp; Analysis'!G594)</x:f>
      </x:c>
      <x:c r="I1322" s="12" t="str">
        <x:f>IF('Research &amp; Analysis'!H594="","",'Research &amp; Analysis'!H594)</x:f>
      </x:c>
      <x:c r="J1322" s="12" t="n">
        <x:f>IF('Research &amp; Analysis'!I594="","",'Research &amp; Analysis'!I594)</x:f>
        <x:v>46387</x:v>
      </x:c>
      <x:c r="K1322" s="12" t="str">
        <x:f>IF('Research &amp; Analysis'!J594="","",'Research &amp; Analysis'!J594)</x:f>
      </x:c>
      <x:c r="L1322" s="2" t="str">
        <x:f>IF('Research &amp; Analysis'!K594="","",'Research &amp; Analysis'!K594)</x:f>
      </x:c>
      <x:c r="M1322" s="2" t="n">
        <x:f>'Research &amp; Analysis'!Q594</x:f>
        <x:v>1</x:v>
      </x:c>
      <x:c r="N1322" s="2" t="str">
        <x:f>'Research &amp; Analysis'!L594</x:f>
        <x:v>Not started</x:v>
      </x:c>
      <x:c r="O1322" s="2" t="str">
        <x:f>'Research &amp; Analysis'!N594</x:f>
        <x:v>RA.FC.2.1.2026.CY4</x:v>
      </x:c>
      <x:c r="P1322" s="2" t="n">
        <x:f>'Research &amp; Analysis'!O594</x:f>
        <x:v>0</x:v>
      </x:c>
      <x:c r="Q1322" s="2" t="n">
        <x:f>SUBTOTAL(103,O1322)</x:f>
        <x:v>1</x:v>
      </x:c>
      <x:c r="R1322" s="2" t="n">
        <x:f>IF(AND(M1322=1,OR(Dashboard!$B$7="All",Dashboard!$B$7='Cycles &amp; Guide'!$C$5),OR(Dashboard!$D$7="All",Dashboard!$D$7=B1322),OR(Dashboard!$F$7="All",Dashboard!$F$7=C1322),OR(Dashboard!$H$7="All",Dashboard!$H$7=D1322),OR(Dashboard!$K$7="All",Dashboard!$K$7=E1322)),1,0)</x:f>
        <x:v>1</x:v>
      </x:c>
      <x:c r="S1322" s="2" t="n">
        <x:f>IF(R1322=1,SUM($R$10:R1322),0)</x:f>
        <x:v>949</x:v>
      </x:c>
      <x:c r="T1322" s="2" t="str">
        <x:v>Research &amp; Analysis</x:v>
      </x:c>
      <x:c r="U1322" s="2" t="n">
        <x:v>594</x:v>
      </x:c>
      <x:c r="V1322" s="2" t="n">
        <x:f>IF(AND(M1322=1,P1322=0,ISNUMBER(J1322),J1322&lt;TODAY()),1,0)</x:f>
        <x:v>0</x:v>
      </x:c>
      <x:c r="W1322" s="2" t="str">
        <x:f>'Research &amp; Analysis'!M594</x:f>
        <x:v>Task</x:v>
      </x:c>
    </x:row>
    <x:row r="1323" ht="40" customHeight="1">
      <x:c r="A1323" s="3" t="str">
        <x:f>HYPERLINK("#'Research &amp; Analysis'!A595","Open")</x:f>
        <x:v>Open</x:v>
      </x:c>
      <x:c r="B1323" s="2" t="str">
        <x:f>'Research &amp; Analysis'!B595</x:f>
        <x:v>Cycle 4</x:v>
      </x:c>
      <x:c r="C1323" s="2" t="str">
        <x:f>'Research &amp; Analysis'!C595</x:f>
        <x:v>Phase 2</x:v>
      </x:c>
      <x:c r="D1323" s="2" t="str">
        <x:f>'Research &amp; Analysis'!D595</x:f>
        <x:v>FCM</x:v>
      </x:c>
      <x:c r="E1323" s="2" t="str">
        <x:v>Research &amp; Analysis</x:v>
      </x:c>
      <x:c r="F1323" s="56" t="str">
        <x:f>'Research &amp; Analysis'!E595</x:f>
        <x:v>RA.FC.2.2</x:v>
      </x:c>
      <x:c r="G1323" s="14" t="str">
        <x:f>'Research &amp; Analysis'!F595</x:f>
        <x:v>Review relevant policies and procedures</x:v>
      </x:c>
      <x:c r="H1323" s="2" t="str">
        <x:f>IF('Research &amp; Analysis'!G595="","",'Research &amp; Analysis'!G595)</x:f>
      </x:c>
      <x:c r="I1323" s="12" t="str">
        <x:f>IF('Research &amp; Analysis'!H595="","",'Research &amp; Analysis'!H595)</x:f>
      </x:c>
      <x:c r="J1323" s="12" t="n">
        <x:f>IF('Research &amp; Analysis'!I595="","",'Research &amp; Analysis'!I595)</x:f>
        <x:v>46387</x:v>
      </x:c>
      <x:c r="K1323" s="12" t="str">
        <x:f>IF('Research &amp; Analysis'!J595="","",'Research &amp; Analysis'!J595)</x:f>
      </x:c>
      <x:c r="L1323" s="2" t="str">
        <x:f>IF('Research &amp; Analysis'!K595="","",'Research &amp; Analysis'!K595)</x:f>
      </x:c>
      <x:c r="M1323" s="2" t="n">
        <x:f>'Research &amp; Analysis'!Q595</x:f>
        <x:v>1</x:v>
      </x:c>
      <x:c r="N1323" s="2" t="str">
        <x:f>'Research &amp; Analysis'!L595</x:f>
        <x:v>Not started</x:v>
      </x:c>
      <x:c r="O1323" s="2" t="str">
        <x:f>'Research &amp; Analysis'!N595</x:f>
        <x:v>RA.FC.2.2.2026.CY4</x:v>
      </x:c>
      <x:c r="P1323" s="2" t="n">
        <x:f>'Research &amp; Analysis'!O595</x:f>
        <x:v>0</x:v>
      </x:c>
      <x:c r="Q1323" s="2" t="n">
        <x:f>SUBTOTAL(103,O1323)</x:f>
        <x:v>1</x:v>
      </x:c>
      <x:c r="R1323" s="2" t="n">
        <x:f>IF(AND(M1323=1,OR(Dashboard!$B$7="All",Dashboard!$B$7='Cycles &amp; Guide'!$C$5),OR(Dashboard!$D$7="All",Dashboard!$D$7=B1323),OR(Dashboard!$F$7="All",Dashboard!$F$7=C1323),OR(Dashboard!$H$7="All",Dashboard!$H$7=D1323),OR(Dashboard!$K$7="All",Dashboard!$K$7=E1323)),1,0)</x:f>
        <x:v>1</x:v>
      </x:c>
      <x:c r="S1323" s="2" t="n">
        <x:f>IF(R1323=1,SUM($R$10:R1323),0)</x:f>
        <x:v>950</x:v>
      </x:c>
      <x:c r="T1323" s="2" t="str">
        <x:v>Research &amp; Analysis</x:v>
      </x:c>
      <x:c r="U1323" s="2" t="n">
        <x:v>595</x:v>
      </x:c>
      <x:c r="V1323" s="2" t="n">
        <x:f>IF(AND(M1323=1,P1323=0,ISNUMBER(J1323),J1323&lt;TODAY()),1,0)</x:f>
        <x:v>0</x:v>
      </x:c>
      <x:c r="W1323" s="2" t="str">
        <x:f>'Research &amp; Analysis'!M595</x:f>
        <x:v>Task</x:v>
      </x:c>
    </x:row>
    <x:row r="1324" ht="40" customHeight="1">
      <x:c r="A1324" s="3" t="str">
        <x:f>HYPERLINK("#'Research &amp; Analysis'!A596","Open")</x:f>
        <x:v>Open</x:v>
      </x:c>
      <x:c r="B1324" s="2" t="str">
        <x:f>'Research &amp; Analysis'!B596</x:f>
        <x:v>Cycle 4</x:v>
      </x:c>
      <x:c r="C1324" s="2" t="str">
        <x:f>'Research &amp; Analysis'!C596</x:f>
        <x:v>Phase 2</x:v>
      </x:c>
      <x:c r="D1324" s="2" t="str">
        <x:f>'Research &amp; Analysis'!D596</x:f>
        <x:v>FCM</x:v>
      </x:c>
      <x:c r="E1324" s="2" t="str">
        <x:v>Research &amp; Analysis</x:v>
      </x:c>
      <x:c r="F1324" s="56" t="str">
        <x:f>'Research &amp; Analysis'!E596</x:f>
        <x:v>RA.FC.2.3</x:v>
      </x:c>
      <x:c r="G1324" s="14" t="str">
        <x:f>'Research &amp; Analysis'!F596</x:f>
        <x:v>Meet with SMEs to gain business insight and clarify questions</x:v>
      </x:c>
      <x:c r="H1324" s="2" t="str">
        <x:f>IF('Research &amp; Analysis'!G596="","",'Research &amp; Analysis'!G596)</x:f>
      </x:c>
      <x:c r="I1324" s="12" t="str">
        <x:f>IF('Research &amp; Analysis'!H596="","",'Research &amp; Analysis'!H596)</x:f>
      </x:c>
      <x:c r="J1324" s="12" t="n">
        <x:f>IF('Research &amp; Analysis'!I596="","",'Research &amp; Analysis'!I596)</x:f>
        <x:v>46387</x:v>
      </x:c>
      <x:c r="K1324" s="12" t="str">
        <x:f>IF('Research &amp; Analysis'!J596="","",'Research &amp; Analysis'!J596)</x:f>
      </x:c>
      <x:c r="L1324" s="2" t="str">
        <x:f>IF('Research &amp; Analysis'!K596="","",'Research &amp; Analysis'!K596)</x:f>
      </x:c>
      <x:c r="M1324" s="2" t="n">
        <x:f>'Research &amp; Analysis'!Q596</x:f>
        <x:v>1</x:v>
      </x:c>
      <x:c r="N1324" s="2" t="str">
        <x:f>'Research &amp; Analysis'!L596</x:f>
        <x:v>Not started</x:v>
      </x:c>
      <x:c r="O1324" s="2" t="str">
        <x:f>'Research &amp; Analysis'!N596</x:f>
        <x:v>RA.FC.2.3.2026.CY4</x:v>
      </x:c>
      <x:c r="P1324" s="2" t="n">
        <x:f>'Research &amp; Analysis'!O596</x:f>
        <x:v>0</x:v>
      </x:c>
      <x:c r="Q1324" s="2" t="n">
        <x:f>SUBTOTAL(103,O1324)</x:f>
        <x:v>1</x:v>
      </x:c>
      <x:c r="R1324" s="2" t="n">
        <x:f>IF(AND(M1324=1,OR(Dashboard!$B$7="All",Dashboard!$B$7='Cycles &amp; Guide'!$C$5),OR(Dashboard!$D$7="All",Dashboard!$D$7=B1324),OR(Dashboard!$F$7="All",Dashboard!$F$7=C1324),OR(Dashboard!$H$7="All",Dashboard!$H$7=D1324),OR(Dashboard!$K$7="All",Dashboard!$K$7=E1324)),1,0)</x:f>
        <x:v>1</x:v>
      </x:c>
      <x:c r="S1324" s="2" t="n">
        <x:f>IF(R1324=1,SUM($R$10:R1324),0)</x:f>
        <x:v>951</x:v>
      </x:c>
      <x:c r="T1324" s="2" t="str">
        <x:v>Research &amp; Analysis</x:v>
      </x:c>
      <x:c r="U1324" s="2" t="n">
        <x:v>596</x:v>
      </x:c>
      <x:c r="V1324" s="2" t="n">
        <x:f>IF(AND(M1324=1,P1324=0,ISNUMBER(J1324),J1324&lt;TODAY()),1,0)</x:f>
        <x:v>0</x:v>
      </x:c>
      <x:c r="W1324" s="2" t="str">
        <x:f>'Research &amp; Analysis'!M596</x:f>
        <x:v>Task</x:v>
      </x:c>
    </x:row>
    <x:row r="1325" ht="40" customHeight="1">
      <x:c r="A1325" s="3" t="str">
        <x:f>HYPERLINK("#'Research &amp; Analysis'!A597","Open")</x:f>
        <x:v>Open</x:v>
      </x:c>
      <x:c r="B1325" s="2" t="str">
        <x:f>'Research &amp; Analysis'!B597</x:f>
        <x:v>Cycle 4</x:v>
      </x:c>
      <x:c r="C1325" s="2" t="str">
        <x:f>'Research &amp; Analysis'!C597</x:f>
        <x:v>Phase 2</x:v>
      </x:c>
      <x:c r="D1325" s="2" t="str">
        <x:f>'Research &amp; Analysis'!D597</x:f>
        <x:v>FCM</x:v>
      </x:c>
      <x:c r="E1325" s="2" t="str">
        <x:v>Research &amp; Analysis</x:v>
      </x:c>
      <x:c r="F1325" s="56" t="str">
        <x:f>'Research &amp; Analysis'!E597</x:f>
        <x:v>RA.FC.2.4</x:v>
      </x:c>
      <x:c r="G1325" s="14" t="str">
        <x:f>'Research &amp; Analysis'!F597</x:f>
        <x:v>Establish and maintain a recurring meeting with D&amp;I to discuss Cycle progress</x:v>
      </x:c>
      <x:c r="H1325" s="2" t="str">
        <x:f>IF('Research &amp; Analysis'!G597="","",'Research &amp; Analysis'!G597)</x:f>
      </x:c>
      <x:c r="I1325" s="12" t="str">
        <x:f>IF('Research &amp; Analysis'!H597="","",'Research &amp; Analysis'!H597)</x:f>
      </x:c>
      <x:c r="J1325" s="12" t="n">
        <x:f>IF('Research &amp; Analysis'!I597="","",'Research &amp; Analysis'!I597)</x:f>
        <x:v>46387</x:v>
      </x:c>
      <x:c r="K1325" s="12" t="str">
        <x:f>IF('Research &amp; Analysis'!J597="","",'Research &amp; Analysis'!J597)</x:f>
      </x:c>
      <x:c r="L1325" s="2" t="str">
        <x:f>IF('Research &amp; Analysis'!K597="","",'Research &amp; Analysis'!K597)</x:f>
      </x:c>
      <x:c r="M1325" s="2" t="n">
        <x:f>'Research &amp; Analysis'!Q597</x:f>
        <x:v>1</x:v>
      </x:c>
      <x:c r="N1325" s="2" t="str">
        <x:f>'Research &amp; Analysis'!L597</x:f>
        <x:v>Not started</x:v>
      </x:c>
      <x:c r="O1325" s="2" t="str">
        <x:f>'Research &amp; Analysis'!N597</x:f>
        <x:v>RA.FC.2.4.2026.CY4</x:v>
      </x:c>
      <x:c r="P1325" s="2" t="n">
        <x:f>'Research &amp; Analysis'!O597</x:f>
        <x:v>0</x:v>
      </x:c>
      <x:c r="Q1325" s="2" t="n">
        <x:f>SUBTOTAL(103,O1325)</x:f>
        <x:v>1</x:v>
      </x:c>
      <x:c r="R1325" s="2" t="n">
        <x:f>IF(AND(M1325=1,OR(Dashboard!$B$7="All",Dashboard!$B$7='Cycles &amp; Guide'!$C$5),OR(Dashboard!$D$7="All",Dashboard!$D$7=B1325),OR(Dashboard!$F$7="All",Dashboard!$F$7=C1325),OR(Dashboard!$H$7="All",Dashboard!$H$7=D1325),OR(Dashboard!$K$7="All",Dashboard!$K$7=E1325)),1,0)</x:f>
        <x:v>1</x:v>
      </x:c>
      <x:c r="S1325" s="2" t="n">
        <x:f>IF(R1325=1,SUM($R$10:R1325),0)</x:f>
        <x:v>952</x:v>
      </x:c>
      <x:c r="T1325" s="2" t="str">
        <x:v>Research &amp; Analysis</x:v>
      </x:c>
      <x:c r="U1325" s="2" t="n">
        <x:v>597</x:v>
      </x:c>
      <x:c r="V1325" s="2" t="n">
        <x:f>IF(AND(M1325=1,P1325=0,ISNUMBER(J1325),J1325&lt;TODAY()),1,0)</x:f>
        <x:v>0</x:v>
      </x:c>
      <x:c r="W1325" s="2" t="str">
        <x:f>'Research &amp; Analysis'!M597</x:f>
        <x:v>Task</x:v>
      </x:c>
    </x:row>
    <x:row r="1326" ht="40" customHeight="1">
      <x:c r="A1326" s="3" t="str">
        <x:f>HYPERLINK("#'Research &amp; Analysis'!A598","Open")</x:f>
        <x:v>Open</x:v>
      </x:c>
      <x:c r="B1326" s="2" t="str">
        <x:f>'Research &amp; Analysis'!B598</x:f>
        <x:v>Cycle 4</x:v>
      </x:c>
      <x:c r="C1326" s="2" t="str">
        <x:f>'Research &amp; Analysis'!C598</x:f>
        <x:v>Phase 2</x:v>
      </x:c>
      <x:c r="D1326" s="2" t="str">
        <x:f>'Research &amp; Analysis'!D598</x:f>
        <x:v>FCM</x:v>
      </x:c>
      <x:c r="E1326" s="2" t="str">
        <x:v>Research &amp; Analysis</x:v>
      </x:c>
      <x:c r="F1326" s="56" t="str">
        <x:f>'Research &amp; Analysis'!E598</x:f>
        <x:v>RA.FC.2.5</x:v>
      </x:c>
      <x:c r="G1326" s="14" t="str">
        <x:f>'Research &amp; Analysis'!F598</x:f>
        <x:v>Perform data testing and sampling</x:v>
      </x:c>
      <x:c r="H1326" s="2" t="str">
        <x:f>IF('Research &amp; Analysis'!G598="","",'Research &amp; Analysis'!G598)</x:f>
      </x:c>
      <x:c r="I1326" s="12" t="str">
        <x:f>IF('Research &amp; Analysis'!H598="","",'Research &amp; Analysis'!H598)</x:f>
      </x:c>
      <x:c r="J1326" s="12" t="n">
        <x:f>IF('Research &amp; Analysis'!I598="","",'Research &amp; Analysis'!I598)</x:f>
        <x:v>46387</x:v>
      </x:c>
      <x:c r="K1326" s="12" t="str">
        <x:f>IF('Research &amp; Analysis'!J598="","",'Research &amp; Analysis'!J598)</x:f>
      </x:c>
      <x:c r="L1326" s="2" t="str">
        <x:f>IF('Research &amp; Analysis'!K598="","",'Research &amp; Analysis'!K598)</x:f>
      </x:c>
      <x:c r="M1326" s="2" t="n">
        <x:f>'Research &amp; Analysis'!Q598</x:f>
        <x:v>1</x:v>
      </x:c>
      <x:c r="N1326" s="2" t="str">
        <x:f>'Research &amp; Analysis'!L598</x:f>
        <x:v>Not started</x:v>
      </x:c>
      <x:c r="O1326" s="2" t="str">
        <x:f>'Research &amp; Analysis'!N598</x:f>
        <x:v>RA.FC.2.5.2026.CY4</x:v>
      </x:c>
      <x:c r="P1326" s="2" t="n">
        <x:f>'Research &amp; Analysis'!O598</x:f>
        <x:v>0</x:v>
      </x:c>
      <x:c r="Q1326" s="2" t="n">
        <x:f>SUBTOTAL(103,O1326)</x:f>
        <x:v>1</x:v>
      </x:c>
      <x:c r="R1326" s="2" t="n">
        <x:f>IF(AND(M1326=1,OR(Dashboard!$B$7="All",Dashboard!$B$7='Cycles &amp; Guide'!$C$5),OR(Dashboard!$D$7="All",Dashboard!$D$7=B1326),OR(Dashboard!$F$7="All",Dashboard!$F$7=C1326),OR(Dashboard!$H$7="All",Dashboard!$H$7=D1326),OR(Dashboard!$K$7="All",Dashboard!$K$7=E1326)),1,0)</x:f>
        <x:v>1</x:v>
      </x:c>
      <x:c r="S1326" s="2" t="n">
        <x:f>IF(R1326=1,SUM($R$10:R1326),0)</x:f>
        <x:v>953</x:v>
      </x:c>
      <x:c r="T1326" s="2" t="str">
        <x:v>Research &amp; Analysis</x:v>
      </x:c>
      <x:c r="U1326" s="2" t="n">
        <x:v>598</x:v>
      </x:c>
      <x:c r="V1326" s="2" t="n">
        <x:f>IF(AND(M1326=1,P1326=0,ISNUMBER(J1326),J1326&lt;TODAY()),1,0)</x:f>
        <x:v>0</x:v>
      </x:c>
      <x:c r="W1326" s="2" t="str">
        <x:f>'Research &amp; Analysis'!M598</x:f>
        <x:v>Task</x:v>
      </x:c>
    </x:row>
    <x:row r="1327" ht="40" customHeight="1">
      <x:c r="A1327" s="3" t="str">
        <x:f>HYPERLINK("#'Research &amp; Analysis'!A599","Open")</x:f>
        <x:v>Open</x:v>
      </x:c>
      <x:c r="B1327" s="2" t="str">
        <x:f>'Research &amp; Analysis'!B599</x:f>
        <x:v>Cycle 4</x:v>
      </x:c>
      <x:c r="C1327" s="2" t="str">
        <x:f>'Research &amp; Analysis'!C599</x:f>
        <x:v>Phase 2</x:v>
      </x:c>
      <x:c r="D1327" s="2" t="str">
        <x:f>'Research &amp; Analysis'!D599</x:f>
        <x:v>FCM</x:v>
      </x:c>
      <x:c r="E1327" s="2" t="str">
        <x:v>Research &amp; Analysis</x:v>
      </x:c>
      <x:c r="F1327" s="56" t="str">
        <x:f>'Research &amp; Analysis'!E599</x:f>
        <x:v>RA.FC.2.6</x:v>
      </x:c>
      <x:c r="G1327" s="14" t="str">
        <x:f>'Research &amp; Analysis'!F599</x:f>
        <x:v>Complete Positive Testing</x:v>
      </x:c>
      <x:c r="H1327" s="2" t="str">
        <x:f>IF('Research &amp; Analysis'!G599="","",'Research &amp; Analysis'!G599)</x:f>
      </x:c>
      <x:c r="I1327" s="12" t="str">
        <x:f>IF('Research &amp; Analysis'!H599="","",'Research &amp; Analysis'!H599)</x:f>
      </x:c>
      <x:c r="J1327" s="12" t="n">
        <x:f>IF('Research &amp; Analysis'!I599="","",'Research &amp; Analysis'!I599)</x:f>
        <x:v>46387</x:v>
      </x:c>
      <x:c r="K1327" s="12" t="str">
        <x:f>IF('Research &amp; Analysis'!J599="","",'Research &amp; Analysis'!J599)</x:f>
      </x:c>
      <x:c r="L1327" s="2" t="str">
        <x:f>IF('Research &amp; Analysis'!K599="","",'Research &amp; Analysis'!K599)</x:f>
      </x:c>
      <x:c r="M1327" s="2" t="n">
        <x:f>'Research &amp; Analysis'!Q599</x:f>
        <x:v>1</x:v>
      </x:c>
      <x:c r="N1327" s="2" t="str">
        <x:f>'Research &amp; Analysis'!L599</x:f>
        <x:v>Not started</x:v>
      </x:c>
      <x:c r="O1327" s="2" t="str">
        <x:f>'Research &amp; Analysis'!N599</x:f>
        <x:v>RA.FC.2.6.2026.CY4</x:v>
      </x:c>
      <x:c r="P1327" s="2" t="n">
        <x:f>'Research &amp; Analysis'!O599</x:f>
        <x:v>0</x:v>
      </x:c>
      <x:c r="Q1327" s="2" t="n">
        <x:f>SUBTOTAL(103,O1327)</x:f>
        <x:v>1</x:v>
      </x:c>
      <x:c r="R1327" s="2" t="n">
        <x:f>IF(AND(M1327=1,OR(Dashboard!$B$7="All",Dashboard!$B$7='Cycles &amp; Guide'!$C$5),OR(Dashboard!$D$7="All",Dashboard!$D$7=B1327),OR(Dashboard!$F$7="All",Dashboard!$F$7=C1327),OR(Dashboard!$H$7="All",Dashboard!$H$7=D1327),OR(Dashboard!$K$7="All",Dashboard!$K$7=E1327)),1,0)</x:f>
        <x:v>1</x:v>
      </x:c>
      <x:c r="S1327" s="2" t="n">
        <x:f>IF(R1327=1,SUM($R$10:R1327),0)</x:f>
        <x:v>954</x:v>
      </x:c>
      <x:c r="T1327" s="2" t="str">
        <x:v>Research &amp; Analysis</x:v>
      </x:c>
      <x:c r="U1327" s="2" t="n">
        <x:v>599</x:v>
      </x:c>
      <x:c r="V1327" s="2" t="n">
        <x:f>IF(AND(M1327=1,P1327=0,ISNUMBER(J1327),J1327&lt;TODAY()),1,0)</x:f>
        <x:v>0</x:v>
      </x:c>
      <x:c r="W1327" s="2" t="str">
        <x:f>'Research &amp; Analysis'!M599</x:f>
        <x:v>Task</x:v>
      </x:c>
    </x:row>
    <x:row r="1328" ht="40" customHeight="1">
      <x:c r="A1328" s="3" t="str">
        <x:f>HYPERLINK("#'Research &amp; Analysis'!A600","Open")</x:f>
        <x:v>Open</x:v>
      </x:c>
      <x:c r="B1328" s="2" t="str">
        <x:f>'Research &amp; Analysis'!B600</x:f>
        <x:v>Cycle 4</x:v>
      </x:c>
      <x:c r="C1328" s="2" t="str">
        <x:f>'Research &amp; Analysis'!C600</x:f>
        <x:v>Phase 2</x:v>
      </x:c>
      <x:c r="D1328" s="2" t="str">
        <x:f>'Research &amp; Analysis'!D600</x:f>
        <x:v>FCM</x:v>
      </x:c>
      <x:c r="E1328" s="2" t="str">
        <x:v>Research &amp; Analysis</x:v>
      </x:c>
      <x:c r="F1328" s="56" t="str">
        <x:f>'Research &amp; Analysis'!E600</x:f>
        <x:v>RA.FC.2.7</x:v>
      </x:c>
      <x:c r="G1328" s="14" t="str">
        <x:f>'Research &amp; Analysis'!F600</x:f>
        <x:v>Complete Negative Testing</x:v>
      </x:c>
      <x:c r="H1328" s="2" t="str">
        <x:f>IF('Research &amp; Analysis'!G600="","",'Research &amp; Analysis'!G600)</x:f>
      </x:c>
      <x:c r="I1328" s="12" t="str">
        <x:f>IF('Research &amp; Analysis'!H600="","",'Research &amp; Analysis'!H600)</x:f>
      </x:c>
      <x:c r="J1328" s="12" t="n">
        <x:f>IF('Research &amp; Analysis'!I600="","",'Research &amp; Analysis'!I600)</x:f>
        <x:v>46387</x:v>
      </x:c>
      <x:c r="K1328" s="12" t="str">
        <x:f>IF('Research &amp; Analysis'!J600="","",'Research &amp; Analysis'!J600)</x:f>
      </x:c>
      <x:c r="L1328" s="2" t="str">
        <x:f>IF('Research &amp; Analysis'!K600="","",'Research &amp; Analysis'!K600)</x:f>
      </x:c>
      <x:c r="M1328" s="2" t="n">
        <x:f>'Research &amp; Analysis'!Q600</x:f>
        <x:v>1</x:v>
      </x:c>
      <x:c r="N1328" s="2" t="str">
        <x:f>'Research &amp; Analysis'!L600</x:f>
        <x:v>Not started</x:v>
      </x:c>
      <x:c r="O1328" s="2" t="str">
        <x:f>'Research &amp; Analysis'!N600</x:f>
        <x:v>RA.FC.2.7.2026.CY4</x:v>
      </x:c>
      <x:c r="P1328" s="2" t="n">
        <x:f>'Research &amp; Analysis'!O600</x:f>
        <x:v>0</x:v>
      </x:c>
      <x:c r="Q1328" s="2" t="n">
        <x:f>SUBTOTAL(103,O1328)</x:f>
        <x:v>1</x:v>
      </x:c>
      <x:c r="R1328" s="2" t="n">
        <x:f>IF(AND(M1328=1,OR(Dashboard!$B$7="All",Dashboard!$B$7='Cycles &amp; Guide'!$C$5),OR(Dashboard!$D$7="All",Dashboard!$D$7=B1328),OR(Dashboard!$F$7="All",Dashboard!$F$7=C1328),OR(Dashboard!$H$7="All",Dashboard!$H$7=D1328),OR(Dashboard!$K$7="All",Dashboard!$K$7=E1328)),1,0)</x:f>
        <x:v>1</x:v>
      </x:c>
      <x:c r="S1328" s="2" t="n">
        <x:f>IF(R1328=1,SUM($R$10:R1328),0)</x:f>
        <x:v>955</x:v>
      </x:c>
      <x:c r="T1328" s="2" t="str">
        <x:v>Research &amp; Analysis</x:v>
      </x:c>
      <x:c r="U1328" s="2" t="n">
        <x:v>600</x:v>
      </x:c>
      <x:c r="V1328" s="2" t="n">
        <x:f>IF(AND(M1328=1,P1328=0,ISNUMBER(J1328),J1328&lt;TODAY()),1,0)</x:f>
        <x:v>0</x:v>
      </x:c>
      <x:c r="W1328" s="2" t="str">
        <x:f>'Research &amp; Analysis'!M600</x:f>
        <x:v>Task</x:v>
      </x:c>
    </x:row>
    <x:row r="1329" ht="40" customHeight="1">
      <x:c r="A1329" s="3" t="str">
        <x:f>HYPERLINK("#'Research &amp; Analysis'!A601","Open")</x:f>
        <x:v>Open</x:v>
      </x:c>
      <x:c r="B1329" s="2" t="str">
        <x:f>'Research &amp; Analysis'!B601</x:f>
        <x:v>Cycle 4</x:v>
      </x:c>
      <x:c r="C1329" s="2" t="str">
        <x:f>'Research &amp; Analysis'!C601</x:f>
        <x:v>Phase 2</x:v>
      </x:c>
      <x:c r="D1329" s="2" t="str">
        <x:f>'Research &amp; Analysis'!D601</x:f>
        <x:v>FCM</x:v>
      </x:c>
      <x:c r="E1329" s="2" t="str">
        <x:v>Research &amp; Analysis</x:v>
      </x:c>
      <x:c r="F1329" s="56" t="str">
        <x:f>'Research &amp; Analysis'!E601</x:f>
        <x:v>RA.FC.2.8</x:v>
      </x:c>
      <x:c r="G1329" s="14" t="str">
        <x:f>'Research &amp; Analysis'!F601</x:f>
        <x:v>Request additional data (as needed)</x:v>
      </x:c>
      <x:c r="H1329" s="2" t="str">
        <x:f>IF('Research &amp; Analysis'!G601="","",'Research &amp; Analysis'!G601)</x:f>
      </x:c>
      <x:c r="I1329" s="12" t="str">
        <x:f>IF('Research &amp; Analysis'!H601="","",'Research &amp; Analysis'!H601)</x:f>
      </x:c>
      <x:c r="J1329" s="12" t="n">
        <x:f>IF('Research &amp; Analysis'!I601="","",'Research &amp; Analysis'!I601)</x:f>
        <x:v>46387</x:v>
      </x:c>
      <x:c r="K1329" s="12" t="str">
        <x:f>IF('Research &amp; Analysis'!J601="","",'Research &amp; Analysis'!J601)</x:f>
      </x:c>
      <x:c r="L1329" s="2" t="str">
        <x:f>IF('Research &amp; Analysis'!K601="","",'Research &amp; Analysis'!K601)</x:f>
      </x:c>
      <x:c r="M1329" s="2" t="n">
        <x:f>'Research &amp; Analysis'!Q601</x:f>
        <x:v>1</x:v>
      </x:c>
      <x:c r="N1329" s="2" t="str">
        <x:f>'Research &amp; Analysis'!L601</x:f>
        <x:v>Not started</x:v>
      </x:c>
      <x:c r="O1329" s="2" t="str">
        <x:f>'Research &amp; Analysis'!N601</x:f>
        <x:v>RA.FC.2.8.2026.CY4</x:v>
      </x:c>
      <x:c r="P1329" s="2" t="n">
        <x:f>'Research &amp; Analysis'!O601</x:f>
        <x:v>0</x:v>
      </x:c>
      <x:c r="Q1329" s="2" t="n">
        <x:f>SUBTOTAL(103,O1329)</x:f>
        <x:v>1</x:v>
      </x:c>
      <x:c r="R1329" s="2" t="n">
        <x:f>IF(AND(M1329=1,OR(Dashboard!$B$7="All",Dashboard!$B$7='Cycles &amp; Guide'!$C$5),OR(Dashboard!$D$7="All",Dashboard!$D$7=B1329),OR(Dashboard!$F$7="All",Dashboard!$F$7=C1329),OR(Dashboard!$H$7="All",Dashboard!$H$7=D1329),OR(Dashboard!$K$7="All",Dashboard!$K$7=E1329)),1,0)</x:f>
        <x:v>1</x:v>
      </x:c>
      <x:c r="S1329" s="2" t="n">
        <x:f>IF(R1329=1,SUM($R$10:R1329),0)</x:f>
        <x:v>956</x:v>
      </x:c>
      <x:c r="T1329" s="2" t="str">
        <x:v>Research &amp; Analysis</x:v>
      </x:c>
      <x:c r="U1329" s="2" t="n">
        <x:v>601</x:v>
      </x:c>
      <x:c r="V1329" s="2" t="n">
        <x:f>IF(AND(M1329=1,P1329=0,ISNUMBER(J1329),J1329&lt;TODAY()),1,0)</x:f>
        <x:v>0</x:v>
      </x:c>
      <x:c r="W1329" s="2" t="str">
        <x:f>'Research &amp; Analysis'!M601</x:f>
        <x:v>Task</x:v>
      </x:c>
    </x:row>
    <x:row r="1330" ht="40" customHeight="1">
      <x:c r="A1330" s="3" t="str">
        <x:f>HYPERLINK("#'Research &amp; Analysis'!A602","Open")</x:f>
        <x:v>Open</x:v>
      </x:c>
      <x:c r="B1330" s="2" t="str">
        <x:f>'Research &amp; Analysis'!B602</x:f>
        <x:v>Cycle 4</x:v>
      </x:c>
      <x:c r="C1330" s="2" t="str">
        <x:f>'Research &amp; Analysis'!C602</x:f>
        <x:v>Phase 2</x:v>
      </x:c>
      <x:c r="D1330" s="2" t="str">
        <x:f>'Research &amp; Analysis'!D602</x:f>
        <x:v>FCM</x:v>
      </x:c>
      <x:c r="E1330" s="2" t="str">
        <x:v>Research &amp; Analysis</x:v>
      </x:c>
      <x:c r="F1330" s="56" t="str">
        <x:f>'Research &amp; Analysis'!E602</x:f>
        <x:v>RA.FC.2.9</x:v>
      </x:c>
      <x:c r="G1330" s="14" t="str">
        <x:f>'Research &amp; Analysis'!F602</x:f>
        <x:v>Validate or disprove initial hypothesis assumptions</x:v>
      </x:c>
      <x:c r="H1330" s="2" t="str">
        <x:f>IF('Research &amp; Analysis'!G602="","",'Research &amp; Analysis'!G602)</x:f>
      </x:c>
      <x:c r="I1330" s="12" t="str">
        <x:f>IF('Research &amp; Analysis'!H602="","",'Research &amp; Analysis'!H602)</x:f>
      </x:c>
      <x:c r="J1330" s="12" t="n">
        <x:f>IF('Research &amp; Analysis'!I602="","",'Research &amp; Analysis'!I602)</x:f>
        <x:v>46387</x:v>
      </x:c>
      <x:c r="K1330" s="12" t="str">
        <x:f>IF('Research &amp; Analysis'!J602="","",'Research &amp; Analysis'!J602)</x:f>
      </x:c>
      <x:c r="L1330" s="2" t="str">
        <x:f>IF('Research &amp; Analysis'!K602="","",'Research &amp; Analysis'!K602)</x:f>
      </x:c>
      <x:c r="M1330" s="2" t="n">
        <x:f>'Research &amp; Analysis'!Q602</x:f>
        <x:v>1</x:v>
      </x:c>
      <x:c r="N1330" s="2" t="str">
        <x:f>'Research &amp; Analysis'!L602</x:f>
        <x:v>Not started</x:v>
      </x:c>
      <x:c r="O1330" s="2" t="str">
        <x:f>'Research &amp; Analysis'!N602</x:f>
        <x:v>RA.FC.2.9.2026.CY4</x:v>
      </x:c>
      <x:c r="P1330" s="2" t="n">
        <x:f>'Research &amp; Analysis'!O602</x:f>
        <x:v>0</x:v>
      </x:c>
      <x:c r="Q1330" s="2" t="n">
        <x:f>SUBTOTAL(103,O1330)</x:f>
        <x:v>1</x:v>
      </x:c>
      <x:c r="R1330" s="2" t="n">
        <x:f>IF(AND(M1330=1,OR(Dashboard!$B$7="All",Dashboard!$B$7='Cycles &amp; Guide'!$C$5),OR(Dashboard!$D$7="All",Dashboard!$D$7=B1330),OR(Dashboard!$F$7="All",Dashboard!$F$7=C1330),OR(Dashboard!$H$7="All",Dashboard!$H$7=D1330),OR(Dashboard!$K$7="All",Dashboard!$K$7=E1330)),1,0)</x:f>
        <x:v>1</x:v>
      </x:c>
      <x:c r="S1330" s="2" t="n">
        <x:f>IF(R1330=1,SUM($R$10:R1330),0)</x:f>
        <x:v>957</x:v>
      </x:c>
      <x:c r="T1330" s="2" t="str">
        <x:v>Research &amp; Analysis</x:v>
      </x:c>
      <x:c r="U1330" s="2" t="n">
        <x:v>602</x:v>
      </x:c>
      <x:c r="V1330" s="2" t="n">
        <x:f>IF(AND(M1330=1,P1330=0,ISNUMBER(J1330),J1330&lt;TODAY()),1,0)</x:f>
        <x:v>0</x:v>
      </x:c>
      <x:c r="W1330" s="2" t="str">
        <x:f>'Research &amp; Analysis'!M602</x:f>
        <x:v>Task</x:v>
      </x:c>
    </x:row>
    <x:row r="1331" ht="40" customHeight="1">
      <x:c r="A1331" s="3" t="str">
        <x:f>HYPERLINK("#'Research &amp; Analysis'!A603","Open")</x:f>
        <x:v>Open</x:v>
      </x:c>
      <x:c r="B1331" s="2" t="str">
        <x:f>'Research &amp; Analysis'!B603</x:f>
        <x:v>Cycle 4</x:v>
      </x:c>
      <x:c r="C1331" s="2" t="str">
        <x:f>'Research &amp; Analysis'!C603</x:f>
        <x:v>Phase 2</x:v>
      </x:c>
      <x:c r="D1331" s="2" t="str">
        <x:f>'Research &amp; Analysis'!D603</x:f>
        <x:v>FCM</x:v>
      </x:c>
      <x:c r="E1331" s="2" t="str">
        <x:v>Research &amp; Analysis</x:v>
      </x:c>
      <x:c r="F1331" s="56" t="str">
        <x:f>'Research &amp; Analysis'!E603</x:f>
        <x:v>RA.FC.2.10</x:v>
      </x:c>
      <x:c r="G1331" s="14" t="str">
        <x:f>'Research &amp; Analysis'!F603</x:f>
        <x:v>Identify and confirm root cause</x:v>
      </x:c>
      <x:c r="H1331" s="2" t="str">
        <x:f>IF('Research &amp; Analysis'!G603="","",'Research &amp; Analysis'!G603)</x:f>
      </x:c>
      <x:c r="I1331" s="12" t="str">
        <x:f>IF('Research &amp; Analysis'!H603="","",'Research &amp; Analysis'!H603)</x:f>
      </x:c>
      <x:c r="J1331" s="12" t="n">
        <x:f>IF('Research &amp; Analysis'!I603="","",'Research &amp; Analysis'!I603)</x:f>
        <x:v>46387</x:v>
      </x:c>
      <x:c r="K1331" s="12" t="str">
        <x:f>IF('Research &amp; Analysis'!J603="","",'Research &amp; Analysis'!J603)</x:f>
      </x:c>
      <x:c r="L1331" s="2" t="str">
        <x:f>IF('Research &amp; Analysis'!K603="","",'Research &amp; Analysis'!K603)</x:f>
      </x:c>
      <x:c r="M1331" s="2" t="n">
        <x:f>'Research &amp; Analysis'!Q603</x:f>
        <x:v>1</x:v>
      </x:c>
      <x:c r="N1331" s="2" t="str">
        <x:f>'Research &amp; Analysis'!L603</x:f>
        <x:v>Not started</x:v>
      </x:c>
      <x:c r="O1331" s="2" t="str">
        <x:f>'Research &amp; Analysis'!N603</x:f>
        <x:v>RA.FC.2.10.2026.CY4</x:v>
      </x:c>
      <x:c r="P1331" s="2" t="n">
        <x:f>'Research &amp; Analysis'!O603</x:f>
        <x:v>0</x:v>
      </x:c>
      <x:c r="Q1331" s="2" t="n">
        <x:f>SUBTOTAL(103,O1331)</x:f>
        <x:v>1</x:v>
      </x:c>
      <x:c r="R1331" s="2" t="n">
        <x:f>IF(AND(M1331=1,OR(Dashboard!$B$7="All",Dashboard!$B$7='Cycles &amp; Guide'!$C$5),OR(Dashboard!$D$7="All",Dashboard!$D$7=B1331),OR(Dashboard!$F$7="All",Dashboard!$F$7=C1331),OR(Dashboard!$H$7="All",Dashboard!$H$7=D1331),OR(Dashboard!$K$7="All",Dashboard!$K$7=E1331)),1,0)</x:f>
        <x:v>1</x:v>
      </x:c>
      <x:c r="S1331" s="2" t="n">
        <x:f>IF(R1331=1,SUM($R$10:R1331),0)</x:f>
        <x:v>958</x:v>
      </x:c>
      <x:c r="T1331" s="2" t="str">
        <x:v>Research &amp; Analysis</x:v>
      </x:c>
      <x:c r="U1331" s="2" t="n">
        <x:v>603</x:v>
      </x:c>
      <x:c r="V1331" s="2" t="n">
        <x:f>IF(AND(M1331=1,P1331=0,ISNUMBER(J1331),J1331&lt;TODAY()),1,0)</x:f>
        <x:v>0</x:v>
      </x:c>
      <x:c r="W1331" s="2" t="str">
        <x:f>'Research &amp; Analysis'!M603</x:f>
        <x:v>Task</x:v>
      </x:c>
    </x:row>
    <x:row r="1332" ht="40" customHeight="1">
      <x:c r="A1332" s="3" t="str">
        <x:f>HYPERLINK("#'Research &amp; Analysis'!A604","Open")</x:f>
        <x:v>Open</x:v>
      </x:c>
      <x:c r="B1332" s="2" t="str">
        <x:f>'Research &amp; Analysis'!B604</x:f>
        <x:v>Cycle 4</x:v>
      </x:c>
      <x:c r="C1332" s="2" t="str">
        <x:f>'Research &amp; Analysis'!C604</x:f>
        <x:v>Phase 3</x:v>
      </x:c>
      <x:c r="D1332" s="2" t="str">
        <x:f>'Research &amp; Analysis'!D604</x:f>
        <x:v>FCM</x:v>
      </x:c>
      <x:c r="E1332" s="2" t="str">
        <x:v>Research &amp; Analysis</x:v>
      </x:c>
      <x:c r="F1332" s="56" t="str">
        <x:f>'Research &amp; Analysis'!E604</x:f>
        <x:v>RA.FC.3.1</x:v>
      </x:c>
      <x:c r="G1332" s="14" t="str">
        <x:f>'Research &amp; Analysis'!F604</x:f>
        <x:v>Finalize results and supporting documentation</x:v>
      </x:c>
      <x:c r="H1332" s="2" t="str">
        <x:f>IF('Research &amp; Analysis'!G604="","",'Research &amp; Analysis'!G604)</x:f>
      </x:c>
      <x:c r="I1332" s="12" t="str">
        <x:f>IF('Research &amp; Analysis'!H604="","",'Research &amp; Analysis'!H604)</x:f>
      </x:c>
      <x:c r="J1332" s="12" t="n">
        <x:f>IF('Research &amp; Analysis'!I604="","",'Research &amp; Analysis'!I604)</x:f>
        <x:v>46387</x:v>
      </x:c>
      <x:c r="K1332" s="12" t="str">
        <x:f>IF('Research &amp; Analysis'!J604="","",'Research &amp; Analysis'!J604)</x:f>
      </x:c>
      <x:c r="L1332" s="2" t="str">
        <x:f>IF('Research &amp; Analysis'!K604="","",'Research &amp; Analysis'!K604)</x:f>
      </x:c>
      <x:c r="M1332" s="2" t="n">
        <x:f>'Research &amp; Analysis'!Q604</x:f>
        <x:v>1</x:v>
      </x:c>
      <x:c r="N1332" s="2" t="str">
        <x:f>'Research &amp; Analysis'!L604</x:f>
        <x:v>Not started</x:v>
      </x:c>
      <x:c r="O1332" s="2" t="str">
        <x:f>'Research &amp; Analysis'!N604</x:f>
        <x:v>RA.FC.3.1.2026.CY4</x:v>
      </x:c>
      <x:c r="P1332" s="2" t="n">
        <x:f>'Research &amp; Analysis'!O604</x:f>
        <x:v>0</x:v>
      </x:c>
      <x:c r="Q1332" s="2" t="n">
        <x:f>SUBTOTAL(103,O1332)</x:f>
        <x:v>1</x:v>
      </x:c>
      <x:c r="R1332" s="2" t="n">
        <x:f>IF(AND(M1332=1,OR(Dashboard!$B$7="All",Dashboard!$B$7='Cycles &amp; Guide'!$C$5),OR(Dashboard!$D$7="All",Dashboard!$D$7=B1332),OR(Dashboard!$F$7="All",Dashboard!$F$7=C1332),OR(Dashboard!$H$7="All",Dashboard!$H$7=D1332),OR(Dashboard!$K$7="All",Dashboard!$K$7=E1332)),1,0)</x:f>
        <x:v>1</x:v>
      </x:c>
      <x:c r="S1332" s="2" t="n">
        <x:f>IF(R1332=1,SUM($R$10:R1332),0)</x:f>
        <x:v>959</x:v>
      </x:c>
      <x:c r="T1332" s="2" t="str">
        <x:v>Research &amp; Analysis</x:v>
      </x:c>
      <x:c r="U1332" s="2" t="n">
        <x:v>604</x:v>
      </x:c>
      <x:c r="V1332" s="2" t="n">
        <x:f>IF(AND(M1332=1,P1332=0,ISNUMBER(J1332),J1332&lt;TODAY()),1,0)</x:f>
        <x:v>0</x:v>
      </x:c>
      <x:c r="W1332" s="2" t="str">
        <x:f>'Research &amp; Analysis'!M604</x:f>
        <x:v>Task</x:v>
      </x:c>
    </x:row>
    <x:row r="1333" ht="40" customHeight="1">
      <x:c r="A1333" s="3" t="str">
        <x:f>HYPERLINK("#'Research &amp; Analysis'!A605","Open")</x:f>
        <x:v>Open</x:v>
      </x:c>
      <x:c r="B1333" s="2" t="str">
        <x:f>'Research &amp; Analysis'!B605</x:f>
        <x:v>Cycle 4</x:v>
      </x:c>
      <x:c r="C1333" s="2" t="str">
        <x:f>'Research &amp; Analysis'!C605</x:f>
        <x:v>Phase 3</x:v>
      </x:c>
      <x:c r="D1333" s="2" t="str">
        <x:f>'Research &amp; Analysis'!D605</x:f>
        <x:v>FCM</x:v>
      </x:c>
      <x:c r="E1333" s="2" t="str">
        <x:v>Research &amp; Analysis</x:v>
      </x:c>
      <x:c r="F1333" s="56" t="str">
        <x:f>'Research &amp; Analysis'!E605</x:f>
        <x:v>RA.FC.3.2</x:v>
      </x:c>
      <x:c r="G1333" s="14" t="str">
        <x:f>'Research &amp; Analysis'!F605</x:f>
        <x:v>Maintain and update the evidence package prior to handoff to D&amp;I</x:v>
      </x:c>
      <x:c r="H1333" s="2" t="str">
        <x:f>IF('Research &amp; Analysis'!G605="","",'Research &amp; Analysis'!G605)</x:f>
      </x:c>
      <x:c r="I1333" s="12" t="str">
        <x:f>IF('Research &amp; Analysis'!H605="","",'Research &amp; Analysis'!H605)</x:f>
      </x:c>
      <x:c r="J1333" s="12" t="n">
        <x:f>IF('Research &amp; Analysis'!I605="","",'Research &amp; Analysis'!I605)</x:f>
        <x:v>46387</x:v>
      </x:c>
      <x:c r="K1333" s="12" t="str">
        <x:f>IF('Research &amp; Analysis'!J605="","",'Research &amp; Analysis'!J605)</x:f>
      </x:c>
      <x:c r="L1333" s="2" t="str">
        <x:f>IF('Research &amp; Analysis'!K605="","",'Research &amp; Analysis'!K605)</x:f>
      </x:c>
      <x:c r="M1333" s="2" t="n">
        <x:f>'Research &amp; Analysis'!Q605</x:f>
        <x:v>1</x:v>
      </x:c>
      <x:c r="N1333" s="2" t="str">
        <x:f>'Research &amp; Analysis'!L605</x:f>
        <x:v>Not started</x:v>
      </x:c>
      <x:c r="O1333" s="2" t="str">
        <x:f>'Research &amp; Analysis'!N605</x:f>
        <x:v>RA.FC.3.2.2026.CY4</x:v>
      </x:c>
      <x:c r="P1333" s="2" t="n">
        <x:f>'Research &amp; Analysis'!O605</x:f>
        <x:v>0</x:v>
      </x:c>
      <x:c r="Q1333" s="2" t="n">
        <x:f>SUBTOTAL(103,O1333)</x:f>
        <x:v>1</x:v>
      </x:c>
      <x:c r="R1333" s="2" t="n">
        <x:f>IF(AND(M1333=1,OR(Dashboard!$B$7="All",Dashboard!$B$7='Cycles &amp; Guide'!$C$5),OR(Dashboard!$D$7="All",Dashboard!$D$7=B1333),OR(Dashboard!$F$7="All",Dashboard!$F$7=C1333),OR(Dashboard!$H$7="All",Dashboard!$H$7=D1333),OR(Dashboard!$K$7="All",Dashboard!$K$7=E1333)),1,0)</x:f>
        <x:v>1</x:v>
      </x:c>
      <x:c r="S1333" s="2" t="n">
        <x:f>IF(R1333=1,SUM($R$10:R1333),0)</x:f>
        <x:v>960</x:v>
      </x:c>
      <x:c r="T1333" s="2" t="str">
        <x:v>Research &amp; Analysis</x:v>
      </x:c>
      <x:c r="U1333" s="2" t="n">
        <x:v>605</x:v>
      </x:c>
      <x:c r="V1333" s="2" t="n">
        <x:f>IF(AND(M1333=1,P1333=0,ISNUMBER(J1333),J1333&lt;TODAY()),1,0)</x:f>
        <x:v>0</x:v>
      </x:c>
      <x:c r="W1333" s="2" t="str">
        <x:f>'Research &amp; Analysis'!M605</x:f>
        <x:v>Task</x:v>
      </x:c>
    </x:row>
    <x:row r="1334" ht="40" customHeight="1">
      <x:c r="A1334" s="3" t="str">
        <x:f>HYPERLINK("#'Research &amp; Analysis'!A606","Open")</x:f>
        <x:v>Open</x:v>
      </x:c>
      <x:c r="B1334" s="2" t="str">
        <x:f>'Research &amp; Analysis'!B606</x:f>
        <x:v>Cycle 4</x:v>
      </x:c>
      <x:c r="C1334" s="2" t="str">
        <x:f>'Research &amp; Analysis'!C606</x:f>
        <x:v>Phase 3</x:v>
      </x:c>
      <x:c r="D1334" s="2" t="str">
        <x:f>'Research &amp; Analysis'!D606</x:f>
        <x:v>FCM</x:v>
      </x:c>
      <x:c r="E1334" s="2" t="str">
        <x:v>Research &amp; Analysis</x:v>
      </x:c>
      <x:c r="F1334" s="56" t="str">
        <x:f>'Research &amp; Analysis'!E606</x:f>
        <x:v>RA.FC.3.3</x:v>
      </x:c>
      <x:c r="G1334" s="14" t="str">
        <x:f>'Research &amp; Analysis'!F606</x:f>
        <x:v>Address any outstanding questions or requests from D&amp;I</x:v>
      </x:c>
      <x:c r="H1334" s="2" t="str">
        <x:f>IF('Research &amp; Analysis'!G606="","",'Research &amp; Analysis'!G606)</x:f>
      </x:c>
      <x:c r="I1334" s="12" t="str">
        <x:f>IF('Research &amp; Analysis'!H606="","",'Research &amp; Analysis'!H606)</x:f>
      </x:c>
      <x:c r="J1334" s="12" t="n">
        <x:f>IF('Research &amp; Analysis'!I606="","",'Research &amp; Analysis'!I606)</x:f>
        <x:v>46387</x:v>
      </x:c>
      <x:c r="K1334" s="12" t="str">
        <x:f>IF('Research &amp; Analysis'!J606="","",'Research &amp; Analysis'!J606)</x:f>
      </x:c>
      <x:c r="L1334" s="2" t="str">
        <x:f>IF('Research &amp; Analysis'!K606="","",'Research &amp; Analysis'!K606)</x:f>
      </x:c>
      <x:c r="M1334" s="2" t="n">
        <x:f>'Research &amp; Analysis'!Q606</x:f>
        <x:v>1</x:v>
      </x:c>
      <x:c r="N1334" s="2" t="str">
        <x:f>'Research &amp; Analysis'!L606</x:f>
        <x:v>Not started</x:v>
      </x:c>
      <x:c r="O1334" s="2" t="str">
        <x:f>'Research &amp; Analysis'!N606</x:f>
        <x:v>RA.FC.3.3.2026.CY4</x:v>
      </x:c>
      <x:c r="P1334" s="2" t="n">
        <x:f>'Research &amp; Analysis'!O606</x:f>
        <x:v>0</x:v>
      </x:c>
      <x:c r="Q1334" s="2" t="n">
        <x:f>SUBTOTAL(103,O1334)</x:f>
        <x:v>1</x:v>
      </x:c>
      <x:c r="R1334" s="2" t="n">
        <x:f>IF(AND(M1334=1,OR(Dashboard!$B$7="All",Dashboard!$B$7='Cycles &amp; Guide'!$C$5),OR(Dashboard!$D$7="All",Dashboard!$D$7=B1334),OR(Dashboard!$F$7="All",Dashboard!$F$7=C1334),OR(Dashboard!$H$7="All",Dashboard!$H$7=D1334),OR(Dashboard!$K$7="All",Dashboard!$K$7=E1334)),1,0)</x:f>
        <x:v>1</x:v>
      </x:c>
      <x:c r="S1334" s="2" t="n">
        <x:f>IF(R1334=1,SUM($R$10:R1334),0)</x:f>
        <x:v>961</x:v>
      </x:c>
      <x:c r="T1334" s="2" t="str">
        <x:v>Research &amp; Analysis</x:v>
      </x:c>
      <x:c r="U1334" s="2" t="n">
        <x:v>606</x:v>
      </x:c>
      <x:c r="V1334" s="2" t="n">
        <x:f>IF(AND(M1334=1,P1334=0,ISNUMBER(J1334),J1334&lt;TODAY()),1,0)</x:f>
        <x:v>0</x:v>
      </x:c>
      <x:c r="W1334" s="2" t="str">
        <x:f>'Research &amp; Analysis'!M606</x:f>
        <x:v>Task</x:v>
      </x:c>
    </x:row>
    <x:row r="1335" ht="40" customHeight="1">
      <x:c r="A1335" s="3" t="str">
        <x:f>HYPERLINK("#'Research &amp; Analysis'!A607","Open")</x:f>
        <x:v>Open</x:v>
      </x:c>
      <x:c r="B1335" s="2" t="str">
        <x:f>'Research &amp; Analysis'!B607</x:f>
        <x:v>Cycle 4</x:v>
      </x:c>
      <x:c r="C1335" s="2" t="str">
        <x:f>'Research &amp; Analysis'!C607</x:f>
        <x:v>Phase 3</x:v>
      </x:c>
      <x:c r="D1335" s="2" t="str">
        <x:f>'Research &amp; Analysis'!D607</x:f>
        <x:v>FCM</x:v>
      </x:c>
      <x:c r="E1335" s="2" t="str">
        <x:v>Research &amp; Analysis</x:v>
      </x:c>
      <x:c r="F1335" s="56" t="str">
        <x:f>'Research &amp; Analysis'!E607</x:f>
        <x:v>RA.FC.3.4</x:v>
      </x:c>
      <x:c r="G1335" s="14" t="str">
        <x:f>'Research &amp; Analysis'!F607</x:f>
        <x:v>Attend Forum meeting with D&amp;I to assist with answering stakeholder questions (as needed)</x:v>
      </x:c>
      <x:c r="H1335" s="2" t="str">
        <x:f>IF('Research &amp; Analysis'!G607="","",'Research &amp; Analysis'!G607)</x:f>
      </x:c>
      <x:c r="I1335" s="12" t="str">
        <x:f>IF('Research &amp; Analysis'!H607="","",'Research &amp; Analysis'!H607)</x:f>
      </x:c>
      <x:c r="J1335" s="12" t="str">
        <x:f>IF('Research &amp; Analysis'!I607="","",'Research &amp; Analysis'!I607)</x:f>
      </x:c>
      <x:c r="K1335" s="12" t="str">
        <x:f>IF('Research &amp; Analysis'!J607="","",'Research &amp; Analysis'!J607)</x:f>
      </x:c>
      <x:c r="L1335" s="2" t="str">
        <x:f>IF('Research &amp; Analysis'!K607="","",'Research &amp; Analysis'!K607)</x:f>
      </x:c>
      <x:c r="M1335" s="2" t="n">
        <x:f>'Research &amp; Analysis'!Q607</x:f>
        <x:v>1</x:v>
      </x:c>
      <x:c r="N1335" s="2" t="str">
        <x:f>'Research &amp; Analysis'!L607</x:f>
        <x:v>Not started</x:v>
      </x:c>
      <x:c r="O1335" s="2" t="str">
        <x:f>'Research &amp; Analysis'!N607</x:f>
        <x:v>RA.FC.3.4.2026.CY4</x:v>
      </x:c>
      <x:c r="P1335" s="2" t="n">
        <x:f>'Research &amp; Analysis'!O607</x:f>
        <x:v>0</x:v>
      </x:c>
      <x:c r="Q1335" s="2" t="n">
        <x:f>SUBTOTAL(103,O1335)</x:f>
        <x:v>1</x:v>
      </x:c>
      <x:c r="R1335" s="2" t="n">
        <x:f>IF(AND(M1335=1,OR(Dashboard!$B$7="All",Dashboard!$B$7='Cycles &amp; Guide'!$C$5),OR(Dashboard!$D$7="All",Dashboard!$D$7=B1335),OR(Dashboard!$F$7="All",Dashboard!$F$7=C1335),OR(Dashboard!$H$7="All",Dashboard!$H$7=D1335),OR(Dashboard!$K$7="All",Dashboard!$K$7=E1335)),1,0)</x:f>
        <x:v>1</x:v>
      </x:c>
      <x:c r="S1335" s="2" t="n">
        <x:f>IF(R1335=1,SUM($R$10:R1335),0)</x:f>
        <x:v>962</x:v>
      </x:c>
      <x:c r="T1335" s="2" t="str">
        <x:v>Research &amp; Analysis</x:v>
      </x:c>
      <x:c r="U1335" s="2" t="n">
        <x:v>607</x:v>
      </x:c>
      <x:c r="V1335" s="2" t="n">
        <x:f>IF(AND(M1335=1,P1335=0,ISNUMBER(J1335),J1335&lt;TODAY()),1,0)</x:f>
        <x:v>0</x:v>
      </x:c>
      <x:c r="W1335" s="2" t="str">
        <x:f>'Research &amp; Analysis'!M607</x:f>
        <x:v>Task</x:v>
      </x:c>
    </x:row>
    <x:row r="1336" ht="40" customHeight="1">
      <x:c r="A1336" s="3" t="str">
        <x:f>HYPERLINK("#'Research &amp; Analysis'!A608","Open")</x:f>
        <x:v>Open</x:v>
      </x:c>
      <x:c r="B1336" s="2" t="str">
        <x:f>'Research &amp; Analysis'!B608</x:f>
        <x:v>Cycle 4</x:v>
      </x:c>
      <x:c r="C1336" s="2" t="str">
        <x:f>'Research &amp; Analysis'!C608</x:f>
        <x:v>Phase 1</x:v>
      </x:c>
      <x:c r="D1336" s="2" t="str">
        <x:f>'Research &amp; Analysis'!D608</x:f>
        <x:v>PLL</x:v>
      </x:c>
      <x:c r="E1336" s="2" t="str">
        <x:v>Research &amp; Analysis</x:v>
      </x:c>
      <x:c r="F1336" s="56" t="str">
        <x:f>'Research &amp; Analysis'!E608</x:f>
        <x:v>RA.PL.1.1</x:v>
      </x:c>
      <x:c r="G1336" s="14" t="str">
        <x:f>'Research &amp; Analysis'!F608</x:f>
        <x:v>Begin Research process 2 weeks prior to Cycle start</x:v>
      </x:c>
      <x:c r="H1336" s="2" t="str">
        <x:f>IF('Research &amp; Analysis'!G608="","",'Research &amp; Analysis'!G608)</x:f>
      </x:c>
      <x:c r="I1336" s="12" t="str">
        <x:f>IF('Research &amp; Analysis'!H608="","",'Research &amp; Analysis'!H608)</x:f>
      </x:c>
      <x:c r="J1336" s="12" t="n">
        <x:f>IF('Research &amp; Analysis'!I608="","",'Research &amp; Analysis'!I608)</x:f>
        <x:v>46282</x:v>
      </x:c>
      <x:c r="K1336" s="12" t="str">
        <x:f>IF('Research &amp; Analysis'!J608="","",'Research &amp; Analysis'!J608)</x:f>
      </x:c>
      <x:c r="L1336" s="2" t="str">
        <x:f>IF('Research &amp; Analysis'!K608="","",'Research &amp; Analysis'!K608)</x:f>
      </x:c>
      <x:c r="M1336" s="2" t="n">
        <x:f>'Research &amp; Analysis'!Q608</x:f>
        <x:v>1</x:v>
      </x:c>
      <x:c r="N1336" s="2" t="str">
        <x:f>'Research &amp; Analysis'!L608</x:f>
        <x:v>Not started</x:v>
      </x:c>
      <x:c r="O1336" s="2" t="str">
        <x:f>'Research &amp; Analysis'!N608</x:f>
        <x:v>RA.PL.1.1.2026.CY4</x:v>
      </x:c>
      <x:c r="P1336" s="2" t="n">
        <x:f>'Research &amp; Analysis'!O608</x:f>
        <x:v>0</x:v>
      </x:c>
      <x:c r="Q1336" s="2" t="n">
        <x:f>SUBTOTAL(103,O1336)</x:f>
        <x:v>1</x:v>
      </x:c>
      <x:c r="R1336" s="2" t="n">
        <x:f>IF(AND(M1336=1,OR(Dashboard!$B$7="All",Dashboard!$B$7='Cycles &amp; Guide'!$C$5),OR(Dashboard!$D$7="All",Dashboard!$D$7=B1336),OR(Dashboard!$F$7="All",Dashboard!$F$7=C1336),OR(Dashboard!$H$7="All",Dashboard!$H$7=D1336),OR(Dashboard!$K$7="All",Dashboard!$K$7=E1336)),1,0)</x:f>
        <x:v>1</x:v>
      </x:c>
      <x:c r="S1336" s="2" t="n">
        <x:f>IF(R1336=1,SUM($R$10:R1336),0)</x:f>
        <x:v>963</x:v>
      </x:c>
      <x:c r="T1336" s="2" t="str">
        <x:v>Research &amp; Analysis</x:v>
      </x:c>
      <x:c r="U1336" s="2" t="n">
        <x:v>608</x:v>
      </x:c>
      <x:c r="V1336" s="2" t="n">
        <x:f>IF(AND(M1336=1,P1336=0,ISNUMBER(J1336),J1336&lt;TODAY()),1,0)</x:f>
        <x:v>1</x:v>
      </x:c>
      <x:c r="W1336" s="2" t="str">
        <x:f>'Research &amp; Analysis'!M608</x:f>
        <x:v>Task</x:v>
      </x:c>
    </x:row>
    <x:row r="1337" ht="40" customHeight="1">
      <x:c r="A1337" s="3" t="str">
        <x:f>HYPERLINK("#'Research &amp; Analysis'!A609","Open")</x:f>
        <x:v>Open</x:v>
      </x:c>
      <x:c r="B1337" s="2" t="str">
        <x:f>'Research &amp; Analysis'!B609</x:f>
        <x:v>Cycle 4</x:v>
      </x:c>
      <x:c r="C1337" s="2" t="str">
        <x:f>'Research &amp; Analysis'!C609</x:f>
        <x:v>Phase 1</x:v>
      </x:c>
      <x:c r="D1337" s="2" t="str">
        <x:f>'Research &amp; Analysis'!D609</x:f>
        <x:v>PLL</x:v>
      </x:c>
      <x:c r="E1337" s="2" t="str">
        <x:v>Research &amp; Analysis</x:v>
      </x:c>
      <x:c r="F1337" s="56" t="str">
        <x:f>'Research &amp; Analysis'!E609</x:f>
        <x:v>RA.PL.1.2</x:v>
      </x:c>
      <x:c r="G1337" s="14" t="str">
        <x:f>'Research &amp; Analysis'!F609</x:f>
        <x:v>Conduct initial assessment of each topic recommendation from SharePoint list</x:v>
      </x:c>
      <x:c r="H1337" s="2" t="str">
        <x:f>IF('Research &amp; Analysis'!G609="","",'Research &amp; Analysis'!G609)</x:f>
      </x:c>
      <x:c r="I1337" s="12" t="str">
        <x:f>IF('Research &amp; Analysis'!H609="","",'Research &amp; Analysis'!H609)</x:f>
      </x:c>
      <x:c r="J1337" s="12" t="n">
        <x:f>IF('Research &amp; Analysis'!I609="","",'Research &amp; Analysis'!I609)</x:f>
        <x:v>46387</x:v>
      </x:c>
      <x:c r="K1337" s="12" t="str">
        <x:f>IF('Research &amp; Analysis'!J609="","",'Research &amp; Analysis'!J609)</x:f>
      </x:c>
      <x:c r="L1337" s="2" t="str">
        <x:f>IF('Research &amp; Analysis'!K609="","",'Research &amp; Analysis'!K609)</x:f>
      </x:c>
      <x:c r="M1337" s="2" t="n">
        <x:f>'Research &amp; Analysis'!Q609</x:f>
        <x:v>1</x:v>
      </x:c>
      <x:c r="N1337" s="2" t="str">
        <x:f>'Research &amp; Analysis'!L609</x:f>
        <x:v>Not started</x:v>
      </x:c>
      <x:c r="O1337" s="2" t="str">
        <x:f>'Research &amp; Analysis'!N609</x:f>
        <x:v>RA.PL.1.2.2026.CY4</x:v>
      </x:c>
      <x:c r="P1337" s="2" t="n">
        <x:f>'Research &amp; Analysis'!O609</x:f>
        <x:v>0</x:v>
      </x:c>
      <x:c r="Q1337" s="2" t="n">
        <x:f>SUBTOTAL(103,O1337)</x:f>
        <x:v>1</x:v>
      </x:c>
      <x:c r="R1337" s="2" t="n">
        <x:f>IF(AND(M1337=1,OR(Dashboard!$B$7="All",Dashboard!$B$7='Cycles &amp; Guide'!$C$5),OR(Dashboard!$D$7="All",Dashboard!$D$7=B1337),OR(Dashboard!$F$7="All",Dashboard!$F$7=C1337),OR(Dashboard!$H$7="All",Dashboard!$H$7=D1337),OR(Dashboard!$K$7="All",Dashboard!$K$7=E1337)),1,0)</x:f>
        <x:v>1</x:v>
      </x:c>
      <x:c r="S1337" s="2" t="n">
        <x:f>IF(R1337=1,SUM($R$10:R1337),0)</x:f>
        <x:v>964</x:v>
      </x:c>
      <x:c r="T1337" s="2" t="str">
        <x:v>Research &amp; Analysis</x:v>
      </x:c>
      <x:c r="U1337" s="2" t="n">
        <x:v>609</x:v>
      </x:c>
      <x:c r="V1337" s="2" t="n">
        <x:f>IF(AND(M1337=1,P1337=0,ISNUMBER(J1337),J1337&lt;TODAY()),1,0)</x:f>
        <x:v>0</x:v>
      </x:c>
      <x:c r="W1337" s="2" t="str">
        <x:f>'Research &amp; Analysis'!M609</x:f>
        <x:v>Task</x:v>
      </x:c>
    </x:row>
    <x:row r="1338" ht="40" customHeight="1">
      <x:c r="A1338" s="3" t="str">
        <x:f>HYPERLINK("#'Research &amp; Analysis'!A610","Open")</x:f>
        <x:v>Open</x:v>
      </x:c>
      <x:c r="B1338" s="2" t="str">
        <x:f>'Research &amp; Analysis'!B610</x:f>
        <x:v>Cycle 4</x:v>
      </x:c>
      <x:c r="C1338" s="2" t="str">
        <x:f>'Research &amp; Analysis'!C610</x:f>
        <x:v>Phase 1</x:v>
      </x:c>
      <x:c r="D1338" s="2" t="str">
        <x:f>'Research &amp; Analysis'!D610</x:f>
        <x:v>PLL</x:v>
      </x:c>
      <x:c r="E1338" s="2" t="str">
        <x:v>Research &amp; Analysis</x:v>
      </x:c>
      <x:c r="F1338" s="56" t="str">
        <x:f>'Research &amp; Analysis'!E610</x:f>
        <x:v>RA.PL.1.3</x:v>
      </x:c>
      <x:c r="G1338" s="14" t="str">
        <x:f>'Research &amp; Analysis'!F610</x:f>
        <x:v>Identify best topic for Cycle</x:v>
      </x:c>
      <x:c r="H1338" s="2" t="str">
        <x:f>IF('Research &amp; Analysis'!G610="","",'Research &amp; Analysis'!G610)</x:f>
      </x:c>
      <x:c r="I1338" s="12" t="str">
        <x:f>IF('Research &amp; Analysis'!H610="","",'Research &amp; Analysis'!H610)</x:f>
      </x:c>
      <x:c r="J1338" s="12" t="n">
        <x:f>IF('Research &amp; Analysis'!I610="","",'Research &amp; Analysis'!I610)</x:f>
        <x:v>46387</x:v>
      </x:c>
      <x:c r="K1338" s="12" t="str">
        <x:f>IF('Research &amp; Analysis'!J610="","",'Research &amp; Analysis'!J610)</x:f>
      </x:c>
      <x:c r="L1338" s="2" t="str">
        <x:f>IF('Research &amp; Analysis'!K610="","",'Research &amp; Analysis'!K610)</x:f>
      </x:c>
      <x:c r="M1338" s="2" t="n">
        <x:f>'Research &amp; Analysis'!Q610</x:f>
        <x:v>1</x:v>
      </x:c>
      <x:c r="N1338" s="2" t="str">
        <x:f>'Research &amp; Analysis'!L610</x:f>
        <x:v>Not started</x:v>
      </x:c>
      <x:c r="O1338" s="2" t="str">
        <x:f>'Research &amp; Analysis'!N610</x:f>
        <x:v>RA.PL.1.3.2026.CY4</x:v>
      </x:c>
      <x:c r="P1338" s="2" t="n">
        <x:f>'Research &amp; Analysis'!O610</x:f>
        <x:v>0</x:v>
      </x:c>
      <x:c r="Q1338" s="2" t="n">
        <x:f>SUBTOTAL(103,O1338)</x:f>
        <x:v>1</x:v>
      </x:c>
      <x:c r="R1338" s="2" t="n">
        <x:f>IF(AND(M1338=1,OR(Dashboard!$B$7="All",Dashboard!$B$7='Cycles &amp; Guide'!$C$5),OR(Dashboard!$D$7="All",Dashboard!$D$7=B1338),OR(Dashboard!$F$7="All",Dashboard!$F$7=C1338),OR(Dashboard!$H$7="All",Dashboard!$H$7=D1338),OR(Dashboard!$K$7="All",Dashboard!$K$7=E1338)),1,0)</x:f>
        <x:v>1</x:v>
      </x:c>
      <x:c r="S1338" s="2" t="n">
        <x:f>IF(R1338=1,SUM($R$10:R1338),0)</x:f>
        <x:v>965</x:v>
      </x:c>
      <x:c r="T1338" s="2" t="str">
        <x:v>Research &amp; Analysis</x:v>
      </x:c>
      <x:c r="U1338" s="2" t="n">
        <x:v>610</x:v>
      </x:c>
      <x:c r="V1338" s="2" t="n">
        <x:f>IF(AND(M1338=1,P1338=0,ISNUMBER(J1338),J1338&lt;TODAY()),1,0)</x:f>
        <x:v>0</x:v>
      </x:c>
      <x:c r="W1338" s="2" t="str">
        <x:f>'Research &amp; Analysis'!M610</x:f>
        <x:v>Task</x:v>
      </x:c>
    </x:row>
    <x:row r="1339" ht="40" customHeight="1">
      <x:c r="A1339" s="3" t="str">
        <x:f>HYPERLINK("#'Research &amp; Analysis'!A611","Open")</x:f>
        <x:v>Open</x:v>
      </x:c>
      <x:c r="B1339" s="2" t="str">
        <x:f>'Research &amp; Analysis'!B611</x:f>
        <x:v>Cycle 4</x:v>
      </x:c>
      <x:c r="C1339" s="2" t="str">
        <x:f>'Research &amp; Analysis'!C611</x:f>
        <x:v>Phase 1</x:v>
      </x:c>
      <x:c r="D1339" s="2" t="str">
        <x:f>'Research &amp; Analysis'!D611</x:f>
        <x:v>PLL</x:v>
      </x:c>
      <x:c r="E1339" s="2" t="str">
        <x:v>Research &amp; Analysis</x:v>
      </x:c>
      <x:c r="F1339" s="56" t="str">
        <x:f>'Research &amp; Analysis'!E611</x:f>
        <x:v>RA.PL.1.4</x:v>
      </x:c>
      <x:c r="G1339" s="14" t="str">
        <x:f>'Research &amp; Analysis'!F611</x:f>
        <x:v>Identify backup topic for Cycle</x:v>
      </x:c>
      <x:c r="H1339" s="2" t="str">
        <x:f>IF('Research &amp; Analysis'!G611="","",'Research &amp; Analysis'!G611)</x:f>
      </x:c>
      <x:c r="I1339" s="12" t="str">
        <x:f>IF('Research &amp; Analysis'!H611="","",'Research &amp; Analysis'!H611)</x:f>
      </x:c>
      <x:c r="J1339" s="12" t="n">
        <x:f>IF('Research &amp; Analysis'!I611="","",'Research &amp; Analysis'!I611)</x:f>
        <x:v>46387</x:v>
      </x:c>
      <x:c r="K1339" s="12" t="str">
        <x:f>IF('Research &amp; Analysis'!J611="","",'Research &amp; Analysis'!J611)</x:f>
      </x:c>
      <x:c r="L1339" s="2" t="str">
        <x:f>IF('Research &amp; Analysis'!K611="","",'Research &amp; Analysis'!K611)</x:f>
      </x:c>
      <x:c r="M1339" s="2" t="n">
        <x:f>'Research &amp; Analysis'!Q611</x:f>
        <x:v>1</x:v>
      </x:c>
      <x:c r="N1339" s="2" t="str">
        <x:f>'Research &amp; Analysis'!L611</x:f>
        <x:v>Not started</x:v>
      </x:c>
      <x:c r="O1339" s="2" t="str">
        <x:f>'Research &amp; Analysis'!N611</x:f>
        <x:v>RA.PL.1.4.2026.CY4</x:v>
      </x:c>
      <x:c r="P1339" s="2" t="n">
        <x:f>'Research &amp; Analysis'!O611</x:f>
        <x:v>0</x:v>
      </x:c>
      <x:c r="Q1339" s="2" t="n">
        <x:f>SUBTOTAL(103,O1339)</x:f>
        <x:v>1</x:v>
      </x:c>
      <x:c r="R1339" s="2" t="n">
        <x:f>IF(AND(M1339=1,OR(Dashboard!$B$7="All",Dashboard!$B$7='Cycles &amp; Guide'!$C$5),OR(Dashboard!$D$7="All",Dashboard!$D$7=B1339),OR(Dashboard!$F$7="All",Dashboard!$F$7=C1339),OR(Dashboard!$H$7="All",Dashboard!$H$7=D1339),OR(Dashboard!$K$7="All",Dashboard!$K$7=E1339)),1,0)</x:f>
        <x:v>1</x:v>
      </x:c>
      <x:c r="S1339" s="2" t="n">
        <x:f>IF(R1339=1,SUM($R$10:R1339),0)</x:f>
        <x:v>966</x:v>
      </x:c>
      <x:c r="T1339" s="2" t="str">
        <x:v>Research &amp; Analysis</x:v>
      </x:c>
      <x:c r="U1339" s="2" t="n">
        <x:v>611</x:v>
      </x:c>
      <x:c r="V1339" s="2" t="n">
        <x:f>IF(AND(M1339=1,P1339=0,ISNUMBER(J1339),J1339&lt;TODAY()),1,0)</x:f>
        <x:v>0</x:v>
      </x:c>
      <x:c r="W1339" s="2" t="str">
        <x:f>'Research &amp; Analysis'!M611</x:f>
        <x:v>Task</x:v>
      </x:c>
    </x:row>
    <x:row r="1340" ht="40" customHeight="1">
      <x:c r="A1340" s="3" t="str">
        <x:f>HYPERLINK("#'Research &amp; Analysis'!A612","Open")</x:f>
        <x:v>Open</x:v>
      </x:c>
      <x:c r="B1340" s="2" t="str">
        <x:f>'Research &amp; Analysis'!B612</x:f>
        <x:v>Cycle 4</x:v>
      </x:c>
      <x:c r="C1340" s="2" t="str">
        <x:f>'Research &amp; Analysis'!C612</x:f>
        <x:v>Phase 1</x:v>
      </x:c>
      <x:c r="D1340" s="2" t="str">
        <x:f>'Research &amp; Analysis'!D612</x:f>
        <x:v>PLL</x:v>
      </x:c>
      <x:c r="E1340" s="2" t="str">
        <x:v>Research &amp; Analysis</x:v>
      </x:c>
      <x:c r="F1340" s="56" t="str">
        <x:f>'Research &amp; Analysis'!E612</x:f>
        <x:v>RA.PL.1.5</x:v>
      </x:c>
      <x:c r="G1340" s="14" t="str">
        <x:f>'Research &amp; Analysis'!F612</x:f>
        <x:v>Schedule topic approval meeting with D&amp;I and management</x:v>
      </x:c>
      <x:c r="H1340" s="2" t="str">
        <x:f>IF('Research &amp; Analysis'!G612="","",'Research &amp; Analysis'!G612)</x:f>
      </x:c>
      <x:c r="I1340" s="12" t="str">
        <x:f>IF('Research &amp; Analysis'!H612="","",'Research &amp; Analysis'!H612)</x:f>
      </x:c>
      <x:c r="J1340" s="12" t="n">
        <x:f>IF('Research &amp; Analysis'!I612="","",'Research &amp; Analysis'!I612)</x:f>
        <x:v>46387</x:v>
      </x:c>
      <x:c r="K1340" s="12" t="str">
        <x:f>IF('Research &amp; Analysis'!J612="","",'Research &amp; Analysis'!J612)</x:f>
      </x:c>
      <x:c r="L1340" s="2" t="str">
        <x:f>IF('Research &amp; Analysis'!K612="","",'Research &amp; Analysis'!K612)</x:f>
      </x:c>
      <x:c r="M1340" s="2" t="n">
        <x:f>'Research &amp; Analysis'!Q612</x:f>
        <x:v>1</x:v>
      </x:c>
      <x:c r="N1340" s="2" t="str">
        <x:f>'Research &amp; Analysis'!L612</x:f>
        <x:v>Not started</x:v>
      </x:c>
      <x:c r="O1340" s="2" t="str">
        <x:f>'Research &amp; Analysis'!N612</x:f>
        <x:v>RA.PL.1.5.2026.CY4</x:v>
      </x:c>
      <x:c r="P1340" s="2" t="n">
        <x:f>'Research &amp; Analysis'!O612</x:f>
        <x:v>0</x:v>
      </x:c>
      <x:c r="Q1340" s="2" t="n">
        <x:f>SUBTOTAL(103,O1340)</x:f>
        <x:v>1</x:v>
      </x:c>
      <x:c r="R1340" s="2" t="n">
        <x:f>IF(AND(M1340=1,OR(Dashboard!$B$7="All",Dashboard!$B$7='Cycles &amp; Guide'!$C$5),OR(Dashboard!$D$7="All",Dashboard!$D$7=B1340),OR(Dashboard!$F$7="All",Dashboard!$F$7=C1340),OR(Dashboard!$H$7="All",Dashboard!$H$7=D1340),OR(Dashboard!$K$7="All",Dashboard!$K$7=E1340)),1,0)</x:f>
        <x:v>1</x:v>
      </x:c>
      <x:c r="S1340" s="2" t="n">
        <x:f>IF(R1340=1,SUM($R$10:R1340),0)</x:f>
        <x:v>967</x:v>
      </x:c>
      <x:c r="T1340" s="2" t="str">
        <x:v>Research &amp; Analysis</x:v>
      </x:c>
      <x:c r="U1340" s="2" t="n">
        <x:v>612</x:v>
      </x:c>
      <x:c r="V1340" s="2" t="n">
        <x:f>IF(AND(M1340=1,P1340=0,ISNUMBER(J1340),J1340&lt;TODAY()),1,0)</x:f>
        <x:v>0</x:v>
      </x:c>
      <x:c r="W1340" s="2" t="str">
        <x:f>'Research &amp; Analysis'!M612</x:f>
        <x:v>Task</x:v>
      </x:c>
    </x:row>
    <x:row r="1341" ht="40" customHeight="1">
      <x:c r="A1341" s="3" t="str">
        <x:f>HYPERLINK("#'Research &amp; Analysis'!A613","Open")</x:f>
        <x:v>Open</x:v>
      </x:c>
      <x:c r="B1341" s="2" t="str">
        <x:f>'Research &amp; Analysis'!B613</x:f>
        <x:v>Cycle 4</x:v>
      </x:c>
      <x:c r="C1341" s="2" t="str">
        <x:f>'Research &amp; Analysis'!C613</x:f>
        <x:v>Phase 1</x:v>
      </x:c>
      <x:c r="D1341" s="2" t="str">
        <x:f>'Research &amp; Analysis'!D613</x:f>
        <x:v>PLL</x:v>
      </x:c>
      <x:c r="E1341" s="2" t="str">
        <x:v>Research &amp; Analysis</x:v>
      </x:c>
      <x:c r="F1341" s="56" t="str">
        <x:f>'Research &amp; Analysis'!E613</x:f>
        <x:v>RA.PL.1.6</x:v>
      </x:c>
      <x:c r="G1341" s="14" t="str">
        <x:f>'Research &amp; Analysis'!F613</x:f>
        <x:v>Present recommended topic to D&amp;I and management for approval</x:v>
      </x:c>
      <x:c r="H1341" s="2" t="str">
        <x:f>IF('Research &amp; Analysis'!G613="","",'Research &amp; Analysis'!G613)</x:f>
      </x:c>
      <x:c r="I1341" s="12" t="str">
        <x:f>IF('Research &amp; Analysis'!H613="","",'Research &amp; Analysis'!H613)</x:f>
      </x:c>
      <x:c r="J1341" s="12" t="n">
        <x:f>IF('Research &amp; Analysis'!I613="","",'Research &amp; Analysis'!I613)</x:f>
        <x:v>46387</x:v>
      </x:c>
      <x:c r="K1341" s="12" t="str">
        <x:f>IF('Research &amp; Analysis'!J613="","",'Research &amp; Analysis'!J613)</x:f>
      </x:c>
      <x:c r="L1341" s="2" t="str">
        <x:f>IF('Research &amp; Analysis'!K613="","",'Research &amp; Analysis'!K613)</x:f>
      </x:c>
      <x:c r="M1341" s="2" t="n">
        <x:f>'Research &amp; Analysis'!Q613</x:f>
        <x:v>1</x:v>
      </x:c>
      <x:c r="N1341" s="2" t="str">
        <x:f>'Research &amp; Analysis'!L613</x:f>
        <x:v>Not started</x:v>
      </x:c>
      <x:c r="O1341" s="2" t="str">
        <x:f>'Research &amp; Analysis'!N613</x:f>
        <x:v>RA.PL.1.6.2026.CY4</x:v>
      </x:c>
      <x:c r="P1341" s="2" t="n">
        <x:f>'Research &amp; Analysis'!O613</x:f>
        <x:v>0</x:v>
      </x:c>
      <x:c r="Q1341" s="2" t="n">
        <x:f>SUBTOTAL(103,O1341)</x:f>
        <x:v>1</x:v>
      </x:c>
      <x:c r="R1341" s="2" t="n">
        <x:f>IF(AND(M1341=1,OR(Dashboard!$B$7="All",Dashboard!$B$7='Cycles &amp; Guide'!$C$5),OR(Dashboard!$D$7="All",Dashboard!$D$7=B1341),OR(Dashboard!$F$7="All",Dashboard!$F$7=C1341),OR(Dashboard!$H$7="All",Dashboard!$H$7=D1341),OR(Dashboard!$K$7="All",Dashboard!$K$7=E1341)),1,0)</x:f>
        <x:v>1</x:v>
      </x:c>
      <x:c r="S1341" s="2" t="n">
        <x:f>IF(R1341=1,SUM($R$10:R1341),0)</x:f>
        <x:v>968</x:v>
      </x:c>
      <x:c r="T1341" s="2" t="str">
        <x:v>Research &amp; Analysis</x:v>
      </x:c>
      <x:c r="U1341" s="2" t="n">
        <x:v>613</x:v>
      </x:c>
      <x:c r="V1341" s="2" t="n">
        <x:f>IF(AND(M1341=1,P1341=0,ISNUMBER(J1341),J1341&lt;TODAY()),1,0)</x:f>
        <x:v>0</x:v>
      </x:c>
      <x:c r="W1341" s="2" t="str">
        <x:f>'Research &amp; Analysis'!M613</x:f>
        <x:v>Task</x:v>
      </x:c>
    </x:row>
    <x:row r="1342" ht="40" customHeight="1">
      <x:c r="A1342" s="3" t="str">
        <x:f>HYPERLINK("#'Research &amp; Analysis'!A614","Open")</x:f>
        <x:v>Open</x:v>
      </x:c>
      <x:c r="B1342" s="2" t="str">
        <x:f>'Research &amp; Analysis'!B614</x:f>
        <x:v>Cycle 4</x:v>
      </x:c>
      <x:c r="C1342" s="2" t="str">
        <x:f>'Research &amp; Analysis'!C614</x:f>
        <x:v>Phase 1</x:v>
      </x:c>
      <x:c r="D1342" s="2" t="str">
        <x:f>'Research &amp; Analysis'!D614</x:f>
        <x:v>PLL</x:v>
      </x:c>
      <x:c r="E1342" s="2" t="str">
        <x:v>Research &amp; Analysis</x:v>
      </x:c>
      <x:c r="F1342" s="56" t="str">
        <x:f>'Research &amp; Analysis'!E614</x:f>
        <x:v>RA.PL.1.7</x:v>
      </x:c>
      <x:c r="G1342" s="14" t="str">
        <x:f>'Research &amp; Analysis'!F614</x:f>
        <x:v>Obtain formal topic selection approval from management via SharePoint</x:v>
      </x:c>
      <x:c r="H1342" s="2" t="str">
        <x:f>IF('Research &amp; Analysis'!G614="","",'Research &amp; Analysis'!G614)</x:f>
      </x:c>
      <x:c r="I1342" s="12" t="str">
        <x:f>IF('Research &amp; Analysis'!H614="","",'Research &amp; Analysis'!H614)</x:f>
      </x:c>
      <x:c r="J1342" s="12" t="n">
        <x:f>IF('Research &amp; Analysis'!I614="","",'Research &amp; Analysis'!I614)</x:f>
        <x:v>46387</x:v>
      </x:c>
      <x:c r="K1342" s="12" t="str">
        <x:f>IF('Research &amp; Analysis'!J614="","",'Research &amp; Analysis'!J614)</x:f>
      </x:c>
      <x:c r="L1342" s="2" t="str">
        <x:f>IF('Research &amp; Analysis'!K614="","",'Research &amp; Analysis'!K614)</x:f>
      </x:c>
      <x:c r="M1342" s="2" t="n">
        <x:f>'Research &amp; Analysis'!Q614</x:f>
        <x:v>1</x:v>
      </x:c>
      <x:c r="N1342" s="2" t="str">
        <x:f>'Research &amp; Analysis'!L614</x:f>
        <x:v>Not started</x:v>
      </x:c>
      <x:c r="O1342" s="2" t="str">
        <x:f>'Research &amp; Analysis'!N614</x:f>
        <x:v>RA.PL.1.7.2026.CY4</x:v>
      </x:c>
      <x:c r="P1342" s="2" t="n">
        <x:f>'Research &amp; Analysis'!O614</x:f>
        <x:v>0</x:v>
      </x:c>
      <x:c r="Q1342" s="2" t="n">
        <x:f>SUBTOTAL(103,O1342)</x:f>
        <x:v>1</x:v>
      </x:c>
      <x:c r="R1342" s="2" t="n">
        <x:f>IF(AND(M1342=1,OR(Dashboard!$B$7="All",Dashboard!$B$7='Cycles &amp; Guide'!$C$5),OR(Dashboard!$D$7="All",Dashboard!$D$7=B1342),OR(Dashboard!$F$7="All",Dashboard!$F$7=C1342),OR(Dashboard!$H$7="All",Dashboard!$H$7=D1342),OR(Dashboard!$K$7="All",Dashboard!$K$7=E1342)),1,0)</x:f>
        <x:v>1</x:v>
      </x:c>
      <x:c r="S1342" s="2" t="n">
        <x:f>IF(R1342=1,SUM($R$10:R1342),0)</x:f>
        <x:v>969</x:v>
      </x:c>
      <x:c r="T1342" s="2" t="str">
        <x:v>Research &amp; Analysis</x:v>
      </x:c>
      <x:c r="U1342" s="2" t="n">
        <x:v>614</x:v>
      </x:c>
      <x:c r="V1342" s="2" t="n">
        <x:f>IF(AND(M1342=1,P1342=0,ISNUMBER(J1342),J1342&lt;TODAY()),1,0)</x:f>
        <x:v>0</x:v>
      </x:c>
      <x:c r="W1342" s="2" t="str">
        <x:f>'Research &amp; Analysis'!M614</x:f>
        <x:v>Task</x:v>
      </x:c>
    </x:row>
    <x:row r="1343" ht="40" customHeight="1">
      <x:c r="A1343" s="3" t="str">
        <x:f>HYPERLINK("#'Research &amp; Analysis'!A615","Open")</x:f>
        <x:v>Open</x:v>
      </x:c>
      <x:c r="B1343" s="2" t="str">
        <x:f>'Research &amp; Analysis'!B615</x:f>
        <x:v>Cycle 4</x:v>
      </x:c>
      <x:c r="C1343" s="2" t="str">
        <x:f>'Research &amp; Analysis'!C615</x:f>
        <x:v>Phase 1</x:v>
      </x:c>
      <x:c r="D1343" s="2" t="str">
        <x:f>'Research &amp; Analysis'!D615</x:f>
        <x:v>PLL</x:v>
      </x:c>
      <x:c r="E1343" s="2" t="str">
        <x:v>Research &amp; Analysis</x:v>
      </x:c>
      <x:c r="F1343" s="56" t="str">
        <x:f>'Research &amp; Analysis'!E615</x:f>
        <x:v>RA.PL.1.8</x:v>
      </x:c>
      <x:c r="G1343" s="14" t="str">
        <x:f>'Research &amp; Analysis'!F615</x:f>
        <x:v>Socialize topic selection with product owners and subject matter experts (if known)</x:v>
      </x:c>
      <x:c r="H1343" s="2" t="str">
        <x:f>IF('Research &amp; Analysis'!G615="","",'Research &amp; Analysis'!G615)</x:f>
      </x:c>
      <x:c r="I1343" s="12" t="str">
        <x:f>IF('Research &amp; Analysis'!H615="","",'Research &amp; Analysis'!H615)</x:f>
      </x:c>
      <x:c r="J1343" s="12" t="n">
        <x:f>IF('Research &amp; Analysis'!I615="","",'Research &amp; Analysis'!I615)</x:f>
        <x:v>46387</x:v>
      </x:c>
      <x:c r="K1343" s="12" t="str">
        <x:f>IF('Research &amp; Analysis'!J615="","",'Research &amp; Analysis'!J615)</x:f>
      </x:c>
      <x:c r="L1343" s="2" t="str">
        <x:f>IF('Research &amp; Analysis'!K615="","",'Research &amp; Analysis'!K615)</x:f>
      </x:c>
      <x:c r="M1343" s="2" t="n">
        <x:f>'Research &amp; Analysis'!Q615</x:f>
        <x:v>1</x:v>
      </x:c>
      <x:c r="N1343" s="2" t="str">
        <x:f>'Research &amp; Analysis'!L615</x:f>
        <x:v>Not started</x:v>
      </x:c>
      <x:c r="O1343" s="2" t="str">
        <x:f>'Research &amp; Analysis'!N615</x:f>
        <x:v>RA.PL.1.8.2026.CY4</x:v>
      </x:c>
      <x:c r="P1343" s="2" t="n">
        <x:f>'Research &amp; Analysis'!O615</x:f>
        <x:v>0</x:v>
      </x:c>
      <x:c r="Q1343" s="2" t="n">
        <x:f>SUBTOTAL(103,O1343)</x:f>
        <x:v>1</x:v>
      </x:c>
      <x:c r="R1343" s="2" t="n">
        <x:f>IF(AND(M1343=1,OR(Dashboard!$B$7="All",Dashboard!$B$7='Cycles &amp; Guide'!$C$5),OR(Dashboard!$D$7="All",Dashboard!$D$7=B1343),OR(Dashboard!$F$7="All",Dashboard!$F$7=C1343),OR(Dashboard!$H$7="All",Dashboard!$H$7=D1343),OR(Dashboard!$K$7="All",Dashboard!$K$7=E1343)),1,0)</x:f>
        <x:v>1</x:v>
      </x:c>
      <x:c r="S1343" s="2" t="n">
        <x:f>IF(R1343=1,SUM($R$10:R1343),0)</x:f>
        <x:v>970</x:v>
      </x:c>
      <x:c r="T1343" s="2" t="str">
        <x:v>Research &amp; Analysis</x:v>
      </x:c>
      <x:c r="U1343" s="2" t="n">
        <x:v>615</x:v>
      </x:c>
      <x:c r="V1343" s="2" t="n">
        <x:f>IF(AND(M1343=1,P1343=0,ISNUMBER(J1343),J1343&lt;TODAY()),1,0)</x:f>
        <x:v>0</x:v>
      </x:c>
      <x:c r="W1343" s="2" t="str">
        <x:f>'Research &amp; Analysis'!M615</x:f>
        <x:v>Task</x:v>
      </x:c>
    </x:row>
    <x:row r="1344" ht="40" customHeight="1">
      <x:c r="A1344" s="3" t="str">
        <x:f>HYPERLINK("#'Research &amp; Analysis'!A616","Open")</x:f>
        <x:v>Open</x:v>
      </x:c>
      <x:c r="B1344" s="2" t="str">
        <x:f>'Research &amp; Analysis'!B616</x:f>
        <x:v>Cycle 4</x:v>
      </x:c>
      <x:c r="C1344" s="2" t="str">
        <x:f>'Research &amp; Analysis'!C616</x:f>
        <x:v>Phase 1</x:v>
      </x:c>
      <x:c r="D1344" s="2" t="str">
        <x:f>'Research &amp; Analysis'!D616</x:f>
        <x:v>PLL</x:v>
      </x:c>
      <x:c r="E1344" s="2" t="str">
        <x:v>Research &amp; Analysis</x:v>
      </x:c>
      <x:c r="F1344" s="56" t="str">
        <x:f>'Research &amp; Analysis'!E616</x:f>
        <x:v>RA.PL.1.9</x:v>
      </x:c>
      <x:c r="G1344" s="14" t="str">
        <x:f>'Research &amp; Analysis'!F616</x:f>
        <x:v>Assign topic researchers</x:v>
      </x:c>
      <x:c r="H1344" s="2" t="str">
        <x:f>IF('Research &amp; Analysis'!G616="","",'Research &amp; Analysis'!G616)</x:f>
      </x:c>
      <x:c r="I1344" s="12" t="str">
        <x:f>IF('Research &amp; Analysis'!H616="","",'Research &amp; Analysis'!H616)</x:f>
      </x:c>
      <x:c r="J1344" s="12" t="n">
        <x:f>IF('Research &amp; Analysis'!I616="","",'Research &amp; Analysis'!I616)</x:f>
        <x:v>46387</x:v>
      </x:c>
      <x:c r="K1344" s="12" t="str">
        <x:f>IF('Research &amp; Analysis'!J616="","",'Research &amp; Analysis'!J616)</x:f>
      </x:c>
      <x:c r="L1344" s="2" t="str">
        <x:f>IF('Research &amp; Analysis'!K616="","",'Research &amp; Analysis'!K616)</x:f>
      </x:c>
      <x:c r="M1344" s="2" t="n">
        <x:f>'Research &amp; Analysis'!Q616</x:f>
        <x:v>1</x:v>
      </x:c>
      <x:c r="N1344" s="2" t="str">
        <x:f>'Research &amp; Analysis'!L616</x:f>
        <x:v>Not started</x:v>
      </x:c>
      <x:c r="O1344" s="2" t="str">
        <x:f>'Research &amp; Analysis'!N616</x:f>
        <x:v>RA.PL.1.9.2026.CY4</x:v>
      </x:c>
      <x:c r="P1344" s="2" t="n">
        <x:f>'Research &amp; Analysis'!O616</x:f>
        <x:v>0</x:v>
      </x:c>
      <x:c r="Q1344" s="2" t="n">
        <x:f>SUBTOTAL(103,O1344)</x:f>
        <x:v>1</x:v>
      </x:c>
      <x:c r="R1344" s="2" t="n">
        <x:f>IF(AND(M1344=1,OR(Dashboard!$B$7="All",Dashboard!$B$7='Cycles &amp; Guide'!$C$5),OR(Dashboard!$D$7="All",Dashboard!$D$7=B1344),OR(Dashboard!$F$7="All",Dashboard!$F$7=C1344),OR(Dashboard!$H$7="All",Dashboard!$H$7=D1344),OR(Dashboard!$K$7="All",Dashboard!$K$7=E1344)),1,0)</x:f>
        <x:v>1</x:v>
      </x:c>
      <x:c r="S1344" s="2" t="n">
        <x:f>IF(R1344=1,SUM($R$10:R1344),0)</x:f>
        <x:v>971</x:v>
      </x:c>
      <x:c r="T1344" s="2" t="str">
        <x:v>Research &amp; Analysis</x:v>
      </x:c>
      <x:c r="U1344" s="2" t="n">
        <x:v>616</x:v>
      </x:c>
      <x:c r="V1344" s="2" t="n">
        <x:f>IF(AND(M1344=1,P1344=0,ISNUMBER(J1344),J1344&lt;TODAY()),1,0)</x:f>
        <x:v>0</x:v>
      </x:c>
      <x:c r="W1344" s="2" t="str">
        <x:f>'Research &amp; Analysis'!M616</x:f>
        <x:v>Task</x:v>
      </x:c>
    </x:row>
    <x:row r="1345" ht="40" customHeight="1">
      <x:c r="A1345" s="3" t="str">
        <x:f>HYPERLINK("#'Research &amp; Analysis'!A617","Open")</x:f>
        <x:v>Open</x:v>
      </x:c>
      <x:c r="B1345" s="2" t="str">
        <x:f>'Research &amp; Analysis'!B617</x:f>
        <x:v>Cycle 4</x:v>
      </x:c>
      <x:c r="C1345" s="2" t="str">
        <x:f>'Research &amp; Analysis'!C617</x:f>
        <x:v>Phase 2</x:v>
      </x:c>
      <x:c r="D1345" s="2" t="str">
        <x:f>'Research &amp; Analysis'!D617</x:f>
        <x:v>PLL</x:v>
      </x:c>
      <x:c r="E1345" s="2" t="str">
        <x:v>Research &amp; Analysis</x:v>
      </x:c>
      <x:c r="F1345" s="56" t="str">
        <x:f>'Research &amp; Analysis'!E617</x:f>
        <x:v>RA.PL.2.1</x:v>
      </x:c>
      <x:c r="G1345" s="14" t="str">
        <x:f>'Research &amp; Analysis'!F617</x:f>
        <x:v>Review data sources</x:v>
      </x:c>
      <x:c r="H1345" s="2" t="str">
        <x:f>IF('Research &amp; Analysis'!G617="","",'Research &amp; Analysis'!G617)</x:f>
      </x:c>
      <x:c r="I1345" s="12" t="str">
        <x:f>IF('Research &amp; Analysis'!H617="","",'Research &amp; Analysis'!H617)</x:f>
      </x:c>
      <x:c r="J1345" s="12" t="n">
        <x:f>IF('Research &amp; Analysis'!I617="","",'Research &amp; Analysis'!I617)</x:f>
        <x:v>46387</x:v>
      </x:c>
      <x:c r="K1345" s="12" t="str">
        <x:f>IF('Research &amp; Analysis'!J617="","",'Research &amp; Analysis'!J617)</x:f>
      </x:c>
      <x:c r="L1345" s="2" t="str">
        <x:f>IF('Research &amp; Analysis'!K617="","",'Research &amp; Analysis'!K617)</x:f>
      </x:c>
      <x:c r="M1345" s="2" t="n">
        <x:f>'Research &amp; Analysis'!Q617</x:f>
        <x:v>1</x:v>
      </x:c>
      <x:c r="N1345" s="2" t="str">
        <x:f>'Research &amp; Analysis'!L617</x:f>
        <x:v>Not started</x:v>
      </x:c>
      <x:c r="O1345" s="2" t="str">
        <x:f>'Research &amp; Analysis'!N617</x:f>
        <x:v>RA.PL.2.1.2026.CY4</x:v>
      </x:c>
      <x:c r="P1345" s="2" t="n">
        <x:f>'Research &amp; Analysis'!O617</x:f>
        <x:v>0</x:v>
      </x:c>
      <x:c r="Q1345" s="2" t="n">
        <x:f>SUBTOTAL(103,O1345)</x:f>
        <x:v>1</x:v>
      </x:c>
      <x:c r="R1345" s="2" t="n">
        <x:f>IF(AND(M1345=1,OR(Dashboard!$B$7="All",Dashboard!$B$7='Cycles &amp; Guide'!$C$5),OR(Dashboard!$D$7="All",Dashboard!$D$7=B1345),OR(Dashboard!$F$7="All",Dashboard!$F$7=C1345),OR(Dashboard!$H$7="All",Dashboard!$H$7=D1345),OR(Dashboard!$K$7="All",Dashboard!$K$7=E1345)),1,0)</x:f>
        <x:v>1</x:v>
      </x:c>
      <x:c r="S1345" s="2" t="n">
        <x:f>IF(R1345=1,SUM($R$10:R1345),0)</x:f>
        <x:v>972</x:v>
      </x:c>
      <x:c r="T1345" s="2" t="str">
        <x:v>Research &amp; Analysis</x:v>
      </x:c>
      <x:c r="U1345" s="2" t="n">
        <x:v>617</x:v>
      </x:c>
      <x:c r="V1345" s="2" t="n">
        <x:f>IF(AND(M1345=1,P1345=0,ISNUMBER(J1345),J1345&lt;TODAY()),1,0)</x:f>
        <x:v>0</x:v>
      </x:c>
      <x:c r="W1345" s="2" t="str">
        <x:f>'Research &amp; Analysis'!M617</x:f>
        <x:v>Task</x:v>
      </x:c>
    </x:row>
    <x:row r="1346" ht="40" customHeight="1">
      <x:c r="A1346" s="3" t="str">
        <x:f>HYPERLINK("#'Research &amp; Analysis'!A618","Open")</x:f>
        <x:v>Open</x:v>
      </x:c>
      <x:c r="B1346" s="2" t="str">
        <x:f>'Research &amp; Analysis'!B618</x:f>
        <x:v>Cycle 4</x:v>
      </x:c>
      <x:c r="C1346" s="2" t="str">
        <x:f>'Research &amp; Analysis'!C618</x:f>
        <x:v>Phase 2</x:v>
      </x:c>
      <x:c r="D1346" s="2" t="str">
        <x:f>'Research &amp; Analysis'!D618</x:f>
        <x:v>PLL</x:v>
      </x:c>
      <x:c r="E1346" s="2" t="str">
        <x:v>Research &amp; Analysis</x:v>
      </x:c>
      <x:c r="F1346" s="56" t="str">
        <x:f>'Research &amp; Analysis'!E618</x:f>
        <x:v>RA.PL.2.2</x:v>
      </x:c>
      <x:c r="G1346" s="14" t="str">
        <x:f>'Research &amp; Analysis'!F618</x:f>
        <x:v>Review relevant policies and procedures</x:v>
      </x:c>
      <x:c r="H1346" s="2" t="str">
        <x:f>IF('Research &amp; Analysis'!G618="","",'Research &amp; Analysis'!G618)</x:f>
      </x:c>
      <x:c r="I1346" s="12" t="str">
        <x:f>IF('Research &amp; Analysis'!H618="","",'Research &amp; Analysis'!H618)</x:f>
      </x:c>
      <x:c r="J1346" s="12" t="n">
        <x:f>IF('Research &amp; Analysis'!I618="","",'Research &amp; Analysis'!I618)</x:f>
        <x:v>46387</x:v>
      </x:c>
      <x:c r="K1346" s="12" t="str">
        <x:f>IF('Research &amp; Analysis'!J618="","",'Research &amp; Analysis'!J618)</x:f>
      </x:c>
      <x:c r="L1346" s="2" t="str">
        <x:f>IF('Research &amp; Analysis'!K618="","",'Research &amp; Analysis'!K618)</x:f>
      </x:c>
      <x:c r="M1346" s="2" t="n">
        <x:f>'Research &amp; Analysis'!Q618</x:f>
        <x:v>1</x:v>
      </x:c>
      <x:c r="N1346" s="2" t="str">
        <x:f>'Research &amp; Analysis'!L618</x:f>
        <x:v>Not started</x:v>
      </x:c>
      <x:c r="O1346" s="2" t="str">
        <x:f>'Research &amp; Analysis'!N618</x:f>
        <x:v>RA.PL.2.2.2026.CY4</x:v>
      </x:c>
      <x:c r="P1346" s="2" t="n">
        <x:f>'Research &amp; Analysis'!O618</x:f>
        <x:v>0</x:v>
      </x:c>
      <x:c r="Q1346" s="2" t="n">
        <x:f>SUBTOTAL(103,O1346)</x:f>
        <x:v>1</x:v>
      </x:c>
      <x:c r="R1346" s="2" t="n">
        <x:f>IF(AND(M1346=1,OR(Dashboard!$B$7="All",Dashboard!$B$7='Cycles &amp; Guide'!$C$5),OR(Dashboard!$D$7="All",Dashboard!$D$7=B1346),OR(Dashboard!$F$7="All",Dashboard!$F$7=C1346),OR(Dashboard!$H$7="All",Dashboard!$H$7=D1346),OR(Dashboard!$K$7="All",Dashboard!$K$7=E1346)),1,0)</x:f>
        <x:v>1</x:v>
      </x:c>
      <x:c r="S1346" s="2" t="n">
        <x:f>IF(R1346=1,SUM($R$10:R1346),0)</x:f>
        <x:v>973</x:v>
      </x:c>
      <x:c r="T1346" s="2" t="str">
        <x:v>Research &amp; Analysis</x:v>
      </x:c>
      <x:c r="U1346" s="2" t="n">
        <x:v>618</x:v>
      </x:c>
      <x:c r="V1346" s="2" t="n">
        <x:f>IF(AND(M1346=1,P1346=0,ISNUMBER(J1346),J1346&lt;TODAY()),1,0)</x:f>
        <x:v>0</x:v>
      </x:c>
      <x:c r="W1346" s="2" t="str">
        <x:f>'Research &amp; Analysis'!M618</x:f>
        <x:v>Task</x:v>
      </x:c>
    </x:row>
    <x:row r="1347" ht="40" customHeight="1">
      <x:c r="A1347" s="3" t="str">
        <x:f>HYPERLINK("#'Research &amp; Analysis'!A619","Open")</x:f>
        <x:v>Open</x:v>
      </x:c>
      <x:c r="B1347" s="2" t="str">
        <x:f>'Research &amp; Analysis'!B619</x:f>
        <x:v>Cycle 4</x:v>
      </x:c>
      <x:c r="C1347" s="2" t="str">
        <x:f>'Research &amp; Analysis'!C619</x:f>
        <x:v>Phase 2</x:v>
      </x:c>
      <x:c r="D1347" s="2" t="str">
        <x:f>'Research &amp; Analysis'!D619</x:f>
        <x:v>PLL</x:v>
      </x:c>
      <x:c r="E1347" s="2" t="str">
        <x:v>Research &amp; Analysis</x:v>
      </x:c>
      <x:c r="F1347" s="56" t="str">
        <x:f>'Research &amp; Analysis'!E619</x:f>
        <x:v>RA.PL.2.3</x:v>
      </x:c>
      <x:c r="G1347" s="14" t="str">
        <x:f>'Research &amp; Analysis'!F619</x:f>
        <x:v>Meet with SMEs to gain business insight and clarify questions</x:v>
      </x:c>
      <x:c r="H1347" s="2" t="str">
        <x:f>IF('Research &amp; Analysis'!G619="","",'Research &amp; Analysis'!G619)</x:f>
      </x:c>
      <x:c r="I1347" s="12" t="str">
        <x:f>IF('Research &amp; Analysis'!H619="","",'Research &amp; Analysis'!H619)</x:f>
      </x:c>
      <x:c r="J1347" s="12" t="n">
        <x:f>IF('Research &amp; Analysis'!I619="","",'Research &amp; Analysis'!I619)</x:f>
        <x:v>46387</x:v>
      </x:c>
      <x:c r="K1347" s="12" t="str">
        <x:f>IF('Research &amp; Analysis'!J619="","",'Research &amp; Analysis'!J619)</x:f>
      </x:c>
      <x:c r="L1347" s="2" t="str">
        <x:f>IF('Research &amp; Analysis'!K619="","",'Research &amp; Analysis'!K619)</x:f>
      </x:c>
      <x:c r="M1347" s="2" t="n">
        <x:f>'Research &amp; Analysis'!Q619</x:f>
        <x:v>1</x:v>
      </x:c>
      <x:c r="N1347" s="2" t="str">
        <x:f>'Research &amp; Analysis'!L619</x:f>
        <x:v>Not started</x:v>
      </x:c>
      <x:c r="O1347" s="2" t="str">
        <x:f>'Research &amp; Analysis'!N619</x:f>
        <x:v>RA.PL.2.3.2026.CY4</x:v>
      </x:c>
      <x:c r="P1347" s="2" t="n">
        <x:f>'Research &amp; Analysis'!O619</x:f>
        <x:v>0</x:v>
      </x:c>
      <x:c r="Q1347" s="2" t="n">
        <x:f>SUBTOTAL(103,O1347)</x:f>
        <x:v>1</x:v>
      </x:c>
      <x:c r="R1347" s="2" t="n">
        <x:f>IF(AND(M1347=1,OR(Dashboard!$B$7="All",Dashboard!$B$7='Cycles &amp; Guide'!$C$5),OR(Dashboard!$D$7="All",Dashboard!$D$7=B1347),OR(Dashboard!$F$7="All",Dashboard!$F$7=C1347),OR(Dashboard!$H$7="All",Dashboard!$H$7=D1347),OR(Dashboard!$K$7="All",Dashboard!$K$7=E1347)),1,0)</x:f>
        <x:v>1</x:v>
      </x:c>
      <x:c r="S1347" s="2" t="n">
        <x:f>IF(R1347=1,SUM($R$10:R1347),0)</x:f>
        <x:v>974</x:v>
      </x:c>
      <x:c r="T1347" s="2" t="str">
        <x:v>Research &amp; Analysis</x:v>
      </x:c>
      <x:c r="U1347" s="2" t="n">
        <x:v>619</x:v>
      </x:c>
      <x:c r="V1347" s="2" t="n">
        <x:f>IF(AND(M1347=1,P1347=0,ISNUMBER(J1347),J1347&lt;TODAY()),1,0)</x:f>
        <x:v>0</x:v>
      </x:c>
      <x:c r="W1347" s="2" t="str">
        <x:f>'Research &amp; Analysis'!M619</x:f>
        <x:v>Task</x:v>
      </x:c>
    </x:row>
    <x:row r="1348" ht="40" customHeight="1">
      <x:c r="A1348" s="3" t="str">
        <x:f>HYPERLINK("#'Research &amp; Analysis'!A620","Open")</x:f>
        <x:v>Open</x:v>
      </x:c>
      <x:c r="B1348" s="2" t="str">
        <x:f>'Research &amp; Analysis'!B620</x:f>
        <x:v>Cycle 4</x:v>
      </x:c>
      <x:c r="C1348" s="2" t="str">
        <x:f>'Research &amp; Analysis'!C620</x:f>
        <x:v>Phase 2</x:v>
      </x:c>
      <x:c r="D1348" s="2" t="str">
        <x:f>'Research &amp; Analysis'!D620</x:f>
        <x:v>PLL</x:v>
      </x:c>
      <x:c r="E1348" s="2" t="str">
        <x:v>Research &amp; Analysis</x:v>
      </x:c>
      <x:c r="F1348" s="56" t="str">
        <x:f>'Research &amp; Analysis'!E620</x:f>
        <x:v>RA.PL.2.4</x:v>
      </x:c>
      <x:c r="G1348" s="14" t="str">
        <x:f>'Research &amp; Analysis'!F620</x:f>
        <x:v>Establish and maintain a recurring meeting with D&amp;I to discuss Cycle progress</x:v>
      </x:c>
      <x:c r="H1348" s="2" t="str">
        <x:f>IF('Research &amp; Analysis'!G620="","",'Research &amp; Analysis'!G620)</x:f>
      </x:c>
      <x:c r="I1348" s="12" t="str">
        <x:f>IF('Research &amp; Analysis'!H620="","",'Research &amp; Analysis'!H620)</x:f>
      </x:c>
      <x:c r="J1348" s="12" t="n">
        <x:f>IF('Research &amp; Analysis'!I620="","",'Research &amp; Analysis'!I620)</x:f>
        <x:v>46387</x:v>
      </x:c>
      <x:c r="K1348" s="12" t="str">
        <x:f>IF('Research &amp; Analysis'!J620="","",'Research &amp; Analysis'!J620)</x:f>
      </x:c>
      <x:c r="L1348" s="2" t="str">
        <x:f>IF('Research &amp; Analysis'!K620="","",'Research &amp; Analysis'!K620)</x:f>
      </x:c>
      <x:c r="M1348" s="2" t="n">
        <x:f>'Research &amp; Analysis'!Q620</x:f>
        <x:v>1</x:v>
      </x:c>
      <x:c r="N1348" s="2" t="str">
        <x:f>'Research &amp; Analysis'!L620</x:f>
        <x:v>Not started</x:v>
      </x:c>
      <x:c r="O1348" s="2" t="str">
        <x:f>'Research &amp; Analysis'!N620</x:f>
        <x:v>RA.PL.2.4.2026.CY4</x:v>
      </x:c>
      <x:c r="P1348" s="2" t="n">
        <x:f>'Research &amp; Analysis'!O620</x:f>
        <x:v>0</x:v>
      </x:c>
      <x:c r="Q1348" s="2" t="n">
        <x:f>SUBTOTAL(103,O1348)</x:f>
        <x:v>1</x:v>
      </x:c>
      <x:c r="R1348" s="2" t="n">
        <x:f>IF(AND(M1348=1,OR(Dashboard!$B$7="All",Dashboard!$B$7='Cycles &amp; Guide'!$C$5),OR(Dashboard!$D$7="All",Dashboard!$D$7=B1348),OR(Dashboard!$F$7="All",Dashboard!$F$7=C1348),OR(Dashboard!$H$7="All",Dashboard!$H$7=D1348),OR(Dashboard!$K$7="All",Dashboard!$K$7=E1348)),1,0)</x:f>
        <x:v>1</x:v>
      </x:c>
      <x:c r="S1348" s="2" t="n">
        <x:f>IF(R1348=1,SUM($R$10:R1348),0)</x:f>
        <x:v>975</x:v>
      </x:c>
      <x:c r="T1348" s="2" t="str">
        <x:v>Research &amp; Analysis</x:v>
      </x:c>
      <x:c r="U1348" s="2" t="n">
        <x:v>620</x:v>
      </x:c>
      <x:c r="V1348" s="2" t="n">
        <x:f>IF(AND(M1348=1,P1348=0,ISNUMBER(J1348),J1348&lt;TODAY()),1,0)</x:f>
        <x:v>0</x:v>
      </x:c>
      <x:c r="W1348" s="2" t="str">
        <x:f>'Research &amp; Analysis'!M620</x:f>
        <x:v>Task</x:v>
      </x:c>
    </x:row>
    <x:row r="1349" ht="40" customHeight="1">
      <x:c r="A1349" s="3" t="str">
        <x:f>HYPERLINK("#'Research &amp; Analysis'!A621","Open")</x:f>
        <x:v>Open</x:v>
      </x:c>
      <x:c r="B1349" s="2" t="str">
        <x:f>'Research &amp; Analysis'!B621</x:f>
        <x:v>Cycle 4</x:v>
      </x:c>
      <x:c r="C1349" s="2" t="str">
        <x:f>'Research &amp; Analysis'!C621</x:f>
        <x:v>Phase 2</x:v>
      </x:c>
      <x:c r="D1349" s="2" t="str">
        <x:f>'Research &amp; Analysis'!D621</x:f>
        <x:v>PLL</x:v>
      </x:c>
      <x:c r="E1349" s="2" t="str">
        <x:v>Research &amp; Analysis</x:v>
      </x:c>
      <x:c r="F1349" s="56" t="str">
        <x:f>'Research &amp; Analysis'!E621</x:f>
        <x:v>RA.PL.2.5</x:v>
      </x:c>
      <x:c r="G1349" s="14" t="str">
        <x:f>'Research &amp; Analysis'!F621</x:f>
        <x:v>Perform data testing and sampling</x:v>
      </x:c>
      <x:c r="H1349" s="2" t="str">
        <x:f>IF('Research &amp; Analysis'!G621="","",'Research &amp; Analysis'!G621)</x:f>
      </x:c>
      <x:c r="I1349" s="12" t="str">
        <x:f>IF('Research &amp; Analysis'!H621="","",'Research &amp; Analysis'!H621)</x:f>
      </x:c>
      <x:c r="J1349" s="12" t="n">
        <x:f>IF('Research &amp; Analysis'!I621="","",'Research &amp; Analysis'!I621)</x:f>
        <x:v>46387</x:v>
      </x:c>
      <x:c r="K1349" s="12" t="str">
        <x:f>IF('Research &amp; Analysis'!J621="","",'Research &amp; Analysis'!J621)</x:f>
      </x:c>
      <x:c r="L1349" s="2" t="str">
        <x:f>IF('Research &amp; Analysis'!K621="","",'Research &amp; Analysis'!K621)</x:f>
      </x:c>
      <x:c r="M1349" s="2" t="n">
        <x:f>'Research &amp; Analysis'!Q621</x:f>
        <x:v>1</x:v>
      </x:c>
      <x:c r="N1349" s="2" t="str">
        <x:f>'Research &amp; Analysis'!L621</x:f>
        <x:v>Not started</x:v>
      </x:c>
      <x:c r="O1349" s="2" t="str">
        <x:f>'Research &amp; Analysis'!N621</x:f>
        <x:v>RA.PL.2.5.2026.CY4</x:v>
      </x:c>
      <x:c r="P1349" s="2" t="n">
        <x:f>'Research &amp; Analysis'!O621</x:f>
        <x:v>0</x:v>
      </x:c>
      <x:c r="Q1349" s="2" t="n">
        <x:f>SUBTOTAL(103,O1349)</x:f>
        <x:v>1</x:v>
      </x:c>
      <x:c r="R1349" s="2" t="n">
        <x:f>IF(AND(M1349=1,OR(Dashboard!$B$7="All",Dashboard!$B$7='Cycles &amp; Guide'!$C$5),OR(Dashboard!$D$7="All",Dashboard!$D$7=B1349),OR(Dashboard!$F$7="All",Dashboard!$F$7=C1349),OR(Dashboard!$H$7="All",Dashboard!$H$7=D1349),OR(Dashboard!$K$7="All",Dashboard!$K$7=E1349)),1,0)</x:f>
        <x:v>1</x:v>
      </x:c>
      <x:c r="S1349" s="2" t="n">
        <x:f>IF(R1349=1,SUM($R$10:R1349),0)</x:f>
        <x:v>976</x:v>
      </x:c>
      <x:c r="T1349" s="2" t="str">
        <x:v>Research &amp; Analysis</x:v>
      </x:c>
      <x:c r="U1349" s="2" t="n">
        <x:v>621</x:v>
      </x:c>
      <x:c r="V1349" s="2" t="n">
        <x:f>IF(AND(M1349=1,P1349=0,ISNUMBER(J1349),J1349&lt;TODAY()),1,0)</x:f>
        <x:v>0</x:v>
      </x:c>
      <x:c r="W1349" s="2" t="str">
        <x:f>'Research &amp; Analysis'!M621</x:f>
        <x:v>Task</x:v>
      </x:c>
    </x:row>
    <x:row r="1350" ht="40" customHeight="1">
      <x:c r="A1350" s="3" t="str">
        <x:f>HYPERLINK("#'Research &amp; Analysis'!A622","Open")</x:f>
        <x:v>Open</x:v>
      </x:c>
      <x:c r="B1350" s="2" t="str">
        <x:f>'Research &amp; Analysis'!B622</x:f>
        <x:v>Cycle 4</x:v>
      </x:c>
      <x:c r="C1350" s="2" t="str">
        <x:f>'Research &amp; Analysis'!C622</x:f>
        <x:v>Phase 2</x:v>
      </x:c>
      <x:c r="D1350" s="2" t="str">
        <x:f>'Research &amp; Analysis'!D622</x:f>
        <x:v>PLL</x:v>
      </x:c>
      <x:c r="E1350" s="2" t="str">
        <x:v>Research &amp; Analysis</x:v>
      </x:c>
      <x:c r="F1350" s="56" t="str">
        <x:f>'Research &amp; Analysis'!E622</x:f>
        <x:v>RA.PL.2.6</x:v>
      </x:c>
      <x:c r="G1350" s="14" t="str">
        <x:f>'Research &amp; Analysis'!F622</x:f>
        <x:v>Complete Positive Testing</x:v>
      </x:c>
      <x:c r="H1350" s="2" t="str">
        <x:f>IF('Research &amp; Analysis'!G622="","",'Research &amp; Analysis'!G622)</x:f>
      </x:c>
      <x:c r="I1350" s="12" t="str">
        <x:f>IF('Research &amp; Analysis'!H622="","",'Research &amp; Analysis'!H622)</x:f>
      </x:c>
      <x:c r="J1350" s="12" t="n">
        <x:f>IF('Research &amp; Analysis'!I622="","",'Research &amp; Analysis'!I622)</x:f>
        <x:v>46387</x:v>
      </x:c>
      <x:c r="K1350" s="12" t="str">
        <x:f>IF('Research &amp; Analysis'!J622="","",'Research &amp; Analysis'!J622)</x:f>
      </x:c>
      <x:c r="L1350" s="2" t="str">
        <x:f>IF('Research &amp; Analysis'!K622="","",'Research &amp; Analysis'!K622)</x:f>
      </x:c>
      <x:c r="M1350" s="2" t="n">
        <x:f>'Research &amp; Analysis'!Q622</x:f>
        <x:v>1</x:v>
      </x:c>
      <x:c r="N1350" s="2" t="str">
        <x:f>'Research &amp; Analysis'!L622</x:f>
        <x:v>Not started</x:v>
      </x:c>
      <x:c r="O1350" s="2" t="str">
        <x:f>'Research &amp; Analysis'!N622</x:f>
        <x:v>RA.PL.2.6.2026.CY4</x:v>
      </x:c>
      <x:c r="P1350" s="2" t="n">
        <x:f>'Research &amp; Analysis'!O622</x:f>
        <x:v>0</x:v>
      </x:c>
      <x:c r="Q1350" s="2" t="n">
        <x:f>SUBTOTAL(103,O1350)</x:f>
        <x:v>1</x:v>
      </x:c>
      <x:c r="R1350" s="2" t="n">
        <x:f>IF(AND(M1350=1,OR(Dashboard!$B$7="All",Dashboard!$B$7='Cycles &amp; Guide'!$C$5),OR(Dashboard!$D$7="All",Dashboard!$D$7=B1350),OR(Dashboard!$F$7="All",Dashboard!$F$7=C1350),OR(Dashboard!$H$7="All",Dashboard!$H$7=D1350),OR(Dashboard!$K$7="All",Dashboard!$K$7=E1350)),1,0)</x:f>
        <x:v>1</x:v>
      </x:c>
      <x:c r="S1350" s="2" t="n">
        <x:f>IF(R1350=1,SUM($R$10:R1350),0)</x:f>
        <x:v>977</x:v>
      </x:c>
      <x:c r="T1350" s="2" t="str">
        <x:v>Research &amp; Analysis</x:v>
      </x:c>
      <x:c r="U1350" s="2" t="n">
        <x:v>622</x:v>
      </x:c>
      <x:c r="V1350" s="2" t="n">
        <x:f>IF(AND(M1350=1,P1350=0,ISNUMBER(J1350),J1350&lt;TODAY()),1,0)</x:f>
        <x:v>0</x:v>
      </x:c>
      <x:c r="W1350" s="2" t="str">
        <x:f>'Research &amp; Analysis'!M622</x:f>
        <x:v>Task</x:v>
      </x:c>
    </x:row>
    <x:row r="1351" ht="40" customHeight="1">
      <x:c r="A1351" s="3" t="str">
        <x:f>HYPERLINK("#'Research &amp; Analysis'!A623","Open")</x:f>
        <x:v>Open</x:v>
      </x:c>
      <x:c r="B1351" s="2" t="str">
        <x:f>'Research &amp; Analysis'!B623</x:f>
        <x:v>Cycle 4</x:v>
      </x:c>
      <x:c r="C1351" s="2" t="str">
        <x:f>'Research &amp; Analysis'!C623</x:f>
        <x:v>Phase 2</x:v>
      </x:c>
      <x:c r="D1351" s="2" t="str">
        <x:f>'Research &amp; Analysis'!D623</x:f>
        <x:v>PLL</x:v>
      </x:c>
      <x:c r="E1351" s="2" t="str">
        <x:v>Research &amp; Analysis</x:v>
      </x:c>
      <x:c r="F1351" s="56" t="str">
        <x:f>'Research &amp; Analysis'!E623</x:f>
        <x:v>RA.PL.2.7</x:v>
      </x:c>
      <x:c r="G1351" s="14" t="str">
        <x:f>'Research &amp; Analysis'!F623</x:f>
        <x:v>Complete Negative Testing</x:v>
      </x:c>
      <x:c r="H1351" s="2" t="str">
        <x:f>IF('Research &amp; Analysis'!G623="","",'Research &amp; Analysis'!G623)</x:f>
      </x:c>
      <x:c r="I1351" s="12" t="str">
        <x:f>IF('Research &amp; Analysis'!H623="","",'Research &amp; Analysis'!H623)</x:f>
      </x:c>
      <x:c r="J1351" s="12" t="n">
        <x:f>IF('Research &amp; Analysis'!I623="","",'Research &amp; Analysis'!I623)</x:f>
        <x:v>46387</x:v>
      </x:c>
      <x:c r="K1351" s="12" t="str">
        <x:f>IF('Research &amp; Analysis'!J623="","",'Research &amp; Analysis'!J623)</x:f>
      </x:c>
      <x:c r="L1351" s="2" t="str">
        <x:f>IF('Research &amp; Analysis'!K623="","",'Research &amp; Analysis'!K623)</x:f>
      </x:c>
      <x:c r="M1351" s="2" t="n">
        <x:f>'Research &amp; Analysis'!Q623</x:f>
        <x:v>1</x:v>
      </x:c>
      <x:c r="N1351" s="2" t="str">
        <x:f>'Research &amp; Analysis'!L623</x:f>
        <x:v>Not started</x:v>
      </x:c>
      <x:c r="O1351" s="2" t="str">
        <x:f>'Research &amp; Analysis'!N623</x:f>
        <x:v>RA.PL.2.7.2026.CY4</x:v>
      </x:c>
      <x:c r="P1351" s="2" t="n">
        <x:f>'Research &amp; Analysis'!O623</x:f>
        <x:v>0</x:v>
      </x:c>
      <x:c r="Q1351" s="2" t="n">
        <x:f>SUBTOTAL(103,O1351)</x:f>
        <x:v>1</x:v>
      </x:c>
      <x:c r="R1351" s="2" t="n">
        <x:f>IF(AND(M1351=1,OR(Dashboard!$B$7="All",Dashboard!$B$7='Cycles &amp; Guide'!$C$5),OR(Dashboard!$D$7="All",Dashboard!$D$7=B1351),OR(Dashboard!$F$7="All",Dashboard!$F$7=C1351),OR(Dashboard!$H$7="All",Dashboard!$H$7=D1351),OR(Dashboard!$K$7="All",Dashboard!$K$7=E1351)),1,0)</x:f>
        <x:v>1</x:v>
      </x:c>
      <x:c r="S1351" s="2" t="n">
        <x:f>IF(R1351=1,SUM($R$10:R1351),0)</x:f>
        <x:v>978</x:v>
      </x:c>
      <x:c r="T1351" s="2" t="str">
        <x:v>Research &amp; Analysis</x:v>
      </x:c>
      <x:c r="U1351" s="2" t="n">
        <x:v>623</x:v>
      </x:c>
      <x:c r="V1351" s="2" t="n">
        <x:f>IF(AND(M1351=1,P1351=0,ISNUMBER(J1351),J1351&lt;TODAY()),1,0)</x:f>
        <x:v>0</x:v>
      </x:c>
      <x:c r="W1351" s="2" t="str">
        <x:f>'Research &amp; Analysis'!M623</x:f>
        <x:v>Task</x:v>
      </x:c>
    </x:row>
    <x:row r="1352" ht="40" customHeight="1">
      <x:c r="A1352" s="3" t="str">
        <x:f>HYPERLINK("#'Research &amp; Analysis'!A624","Open")</x:f>
        <x:v>Open</x:v>
      </x:c>
      <x:c r="B1352" s="2" t="str">
        <x:f>'Research &amp; Analysis'!B624</x:f>
        <x:v>Cycle 4</x:v>
      </x:c>
      <x:c r="C1352" s="2" t="str">
        <x:f>'Research &amp; Analysis'!C624</x:f>
        <x:v>Phase 2</x:v>
      </x:c>
      <x:c r="D1352" s="2" t="str">
        <x:f>'Research &amp; Analysis'!D624</x:f>
        <x:v>PLL</x:v>
      </x:c>
      <x:c r="E1352" s="2" t="str">
        <x:v>Research &amp; Analysis</x:v>
      </x:c>
      <x:c r="F1352" s="56" t="str">
        <x:f>'Research &amp; Analysis'!E624</x:f>
        <x:v>RA.PL.2.8</x:v>
      </x:c>
      <x:c r="G1352" s="14" t="str">
        <x:f>'Research &amp; Analysis'!F624</x:f>
        <x:v>Request additional data (as needed)</x:v>
      </x:c>
      <x:c r="H1352" s="2" t="str">
        <x:f>IF('Research &amp; Analysis'!G624="","",'Research &amp; Analysis'!G624)</x:f>
      </x:c>
      <x:c r="I1352" s="12" t="str">
        <x:f>IF('Research &amp; Analysis'!H624="","",'Research &amp; Analysis'!H624)</x:f>
      </x:c>
      <x:c r="J1352" s="12" t="n">
        <x:f>IF('Research &amp; Analysis'!I624="","",'Research &amp; Analysis'!I624)</x:f>
        <x:v>46387</x:v>
      </x:c>
      <x:c r="K1352" s="12" t="str">
        <x:f>IF('Research &amp; Analysis'!J624="","",'Research &amp; Analysis'!J624)</x:f>
      </x:c>
      <x:c r="L1352" s="2" t="str">
        <x:f>IF('Research &amp; Analysis'!K624="","",'Research &amp; Analysis'!K624)</x:f>
      </x:c>
      <x:c r="M1352" s="2" t="n">
        <x:f>'Research &amp; Analysis'!Q624</x:f>
        <x:v>1</x:v>
      </x:c>
      <x:c r="N1352" s="2" t="str">
        <x:f>'Research &amp; Analysis'!L624</x:f>
        <x:v>Not started</x:v>
      </x:c>
      <x:c r="O1352" s="2" t="str">
        <x:f>'Research &amp; Analysis'!N624</x:f>
        <x:v>RA.PL.2.8.2026.CY4</x:v>
      </x:c>
      <x:c r="P1352" s="2" t="n">
        <x:f>'Research &amp; Analysis'!O624</x:f>
        <x:v>0</x:v>
      </x:c>
      <x:c r="Q1352" s="2" t="n">
        <x:f>SUBTOTAL(103,O1352)</x:f>
        <x:v>1</x:v>
      </x:c>
      <x:c r="R1352" s="2" t="n">
        <x:f>IF(AND(M1352=1,OR(Dashboard!$B$7="All",Dashboard!$B$7='Cycles &amp; Guide'!$C$5),OR(Dashboard!$D$7="All",Dashboard!$D$7=B1352),OR(Dashboard!$F$7="All",Dashboard!$F$7=C1352),OR(Dashboard!$H$7="All",Dashboard!$H$7=D1352),OR(Dashboard!$K$7="All",Dashboard!$K$7=E1352)),1,0)</x:f>
        <x:v>1</x:v>
      </x:c>
      <x:c r="S1352" s="2" t="n">
        <x:f>IF(R1352=1,SUM($R$10:R1352),0)</x:f>
        <x:v>979</x:v>
      </x:c>
      <x:c r="T1352" s="2" t="str">
        <x:v>Research &amp; Analysis</x:v>
      </x:c>
      <x:c r="U1352" s="2" t="n">
        <x:v>624</x:v>
      </x:c>
      <x:c r="V1352" s="2" t="n">
        <x:f>IF(AND(M1352=1,P1352=0,ISNUMBER(J1352),J1352&lt;TODAY()),1,0)</x:f>
        <x:v>0</x:v>
      </x:c>
      <x:c r="W1352" s="2" t="str">
        <x:f>'Research &amp; Analysis'!M624</x:f>
        <x:v>Task</x:v>
      </x:c>
    </x:row>
    <x:row r="1353" ht="40" customHeight="1">
      <x:c r="A1353" s="3" t="str">
        <x:f>HYPERLINK("#'Research &amp; Analysis'!A625","Open")</x:f>
        <x:v>Open</x:v>
      </x:c>
      <x:c r="B1353" s="2" t="str">
        <x:f>'Research &amp; Analysis'!B625</x:f>
        <x:v>Cycle 4</x:v>
      </x:c>
      <x:c r="C1353" s="2" t="str">
        <x:f>'Research &amp; Analysis'!C625</x:f>
        <x:v>Phase 2</x:v>
      </x:c>
      <x:c r="D1353" s="2" t="str">
        <x:f>'Research &amp; Analysis'!D625</x:f>
        <x:v>PLL</x:v>
      </x:c>
      <x:c r="E1353" s="2" t="str">
        <x:v>Research &amp; Analysis</x:v>
      </x:c>
      <x:c r="F1353" s="56" t="str">
        <x:f>'Research &amp; Analysis'!E625</x:f>
        <x:v>RA.PL.2.9</x:v>
      </x:c>
      <x:c r="G1353" s="14" t="str">
        <x:f>'Research &amp; Analysis'!F625</x:f>
        <x:v>Validate or disprove initial hypothesis assumptions</x:v>
      </x:c>
      <x:c r="H1353" s="2" t="str">
        <x:f>IF('Research &amp; Analysis'!G625="","",'Research &amp; Analysis'!G625)</x:f>
      </x:c>
      <x:c r="I1353" s="12" t="str">
        <x:f>IF('Research &amp; Analysis'!H625="","",'Research &amp; Analysis'!H625)</x:f>
      </x:c>
      <x:c r="J1353" s="12" t="n">
        <x:f>IF('Research &amp; Analysis'!I625="","",'Research &amp; Analysis'!I625)</x:f>
        <x:v>46387</x:v>
      </x:c>
      <x:c r="K1353" s="12" t="str">
        <x:f>IF('Research &amp; Analysis'!J625="","",'Research &amp; Analysis'!J625)</x:f>
      </x:c>
      <x:c r="L1353" s="2" t="str">
        <x:f>IF('Research &amp; Analysis'!K625="","",'Research &amp; Analysis'!K625)</x:f>
      </x:c>
      <x:c r="M1353" s="2" t="n">
        <x:f>'Research &amp; Analysis'!Q625</x:f>
        <x:v>1</x:v>
      </x:c>
      <x:c r="N1353" s="2" t="str">
        <x:f>'Research &amp; Analysis'!L625</x:f>
        <x:v>Not started</x:v>
      </x:c>
      <x:c r="O1353" s="2" t="str">
        <x:f>'Research &amp; Analysis'!N625</x:f>
        <x:v>RA.PL.2.9.2026.CY4</x:v>
      </x:c>
      <x:c r="P1353" s="2" t="n">
        <x:f>'Research &amp; Analysis'!O625</x:f>
        <x:v>0</x:v>
      </x:c>
      <x:c r="Q1353" s="2" t="n">
        <x:f>SUBTOTAL(103,O1353)</x:f>
        <x:v>1</x:v>
      </x:c>
      <x:c r="R1353" s="2" t="n">
        <x:f>IF(AND(M1353=1,OR(Dashboard!$B$7="All",Dashboard!$B$7='Cycles &amp; Guide'!$C$5),OR(Dashboard!$D$7="All",Dashboard!$D$7=B1353),OR(Dashboard!$F$7="All",Dashboard!$F$7=C1353),OR(Dashboard!$H$7="All",Dashboard!$H$7=D1353),OR(Dashboard!$K$7="All",Dashboard!$K$7=E1353)),1,0)</x:f>
        <x:v>1</x:v>
      </x:c>
      <x:c r="S1353" s="2" t="n">
        <x:f>IF(R1353=1,SUM($R$10:R1353),0)</x:f>
        <x:v>980</x:v>
      </x:c>
      <x:c r="T1353" s="2" t="str">
        <x:v>Research &amp; Analysis</x:v>
      </x:c>
      <x:c r="U1353" s="2" t="n">
        <x:v>625</x:v>
      </x:c>
      <x:c r="V1353" s="2" t="n">
        <x:f>IF(AND(M1353=1,P1353=0,ISNUMBER(J1353),J1353&lt;TODAY()),1,0)</x:f>
        <x:v>0</x:v>
      </x:c>
      <x:c r="W1353" s="2" t="str">
        <x:f>'Research &amp; Analysis'!M625</x:f>
        <x:v>Task</x:v>
      </x:c>
    </x:row>
    <x:row r="1354" ht="40" customHeight="1">
      <x:c r="A1354" s="3" t="str">
        <x:f>HYPERLINK("#'Research &amp; Analysis'!A626","Open")</x:f>
        <x:v>Open</x:v>
      </x:c>
      <x:c r="B1354" s="2" t="str">
        <x:f>'Research &amp; Analysis'!B626</x:f>
        <x:v>Cycle 4</x:v>
      </x:c>
      <x:c r="C1354" s="2" t="str">
        <x:f>'Research &amp; Analysis'!C626</x:f>
        <x:v>Phase 2</x:v>
      </x:c>
      <x:c r="D1354" s="2" t="str">
        <x:f>'Research &amp; Analysis'!D626</x:f>
        <x:v>PLL</x:v>
      </x:c>
      <x:c r="E1354" s="2" t="str">
        <x:v>Research &amp; Analysis</x:v>
      </x:c>
      <x:c r="F1354" s="56" t="str">
        <x:f>'Research &amp; Analysis'!E626</x:f>
        <x:v>RA.PL.2.10</x:v>
      </x:c>
      <x:c r="G1354" s="14" t="str">
        <x:f>'Research &amp; Analysis'!F626</x:f>
        <x:v>Identify and confirm root cause</x:v>
      </x:c>
      <x:c r="H1354" s="2" t="str">
        <x:f>IF('Research &amp; Analysis'!G626="","",'Research &amp; Analysis'!G626)</x:f>
      </x:c>
      <x:c r="I1354" s="12" t="str">
        <x:f>IF('Research &amp; Analysis'!H626="","",'Research &amp; Analysis'!H626)</x:f>
      </x:c>
      <x:c r="J1354" s="12" t="n">
        <x:f>IF('Research &amp; Analysis'!I626="","",'Research &amp; Analysis'!I626)</x:f>
        <x:v>46387</x:v>
      </x:c>
      <x:c r="K1354" s="12" t="str">
        <x:f>IF('Research &amp; Analysis'!J626="","",'Research &amp; Analysis'!J626)</x:f>
      </x:c>
      <x:c r="L1354" s="2" t="str">
        <x:f>IF('Research &amp; Analysis'!K626="","",'Research &amp; Analysis'!K626)</x:f>
      </x:c>
      <x:c r="M1354" s="2" t="n">
        <x:f>'Research &amp; Analysis'!Q626</x:f>
        <x:v>1</x:v>
      </x:c>
      <x:c r="N1354" s="2" t="str">
        <x:f>'Research &amp; Analysis'!L626</x:f>
        <x:v>Not started</x:v>
      </x:c>
      <x:c r="O1354" s="2" t="str">
        <x:f>'Research &amp; Analysis'!N626</x:f>
        <x:v>RA.PL.2.10.2026.CY4</x:v>
      </x:c>
      <x:c r="P1354" s="2" t="n">
        <x:f>'Research &amp; Analysis'!O626</x:f>
        <x:v>0</x:v>
      </x:c>
      <x:c r="Q1354" s="2" t="n">
        <x:f>SUBTOTAL(103,O1354)</x:f>
        <x:v>1</x:v>
      </x:c>
      <x:c r="R1354" s="2" t="n">
        <x:f>IF(AND(M1354=1,OR(Dashboard!$B$7="All",Dashboard!$B$7='Cycles &amp; Guide'!$C$5),OR(Dashboard!$D$7="All",Dashboard!$D$7=B1354),OR(Dashboard!$F$7="All",Dashboard!$F$7=C1354),OR(Dashboard!$H$7="All",Dashboard!$H$7=D1354),OR(Dashboard!$K$7="All",Dashboard!$K$7=E1354)),1,0)</x:f>
        <x:v>1</x:v>
      </x:c>
      <x:c r="S1354" s="2" t="n">
        <x:f>IF(R1354=1,SUM($R$10:R1354),0)</x:f>
        <x:v>981</x:v>
      </x:c>
      <x:c r="T1354" s="2" t="str">
        <x:v>Research &amp; Analysis</x:v>
      </x:c>
      <x:c r="U1354" s="2" t="n">
        <x:v>626</x:v>
      </x:c>
      <x:c r="V1354" s="2" t="n">
        <x:f>IF(AND(M1354=1,P1354=0,ISNUMBER(J1354),J1354&lt;TODAY()),1,0)</x:f>
        <x:v>0</x:v>
      </x:c>
      <x:c r="W1354" s="2" t="str">
        <x:f>'Research &amp; Analysis'!M626</x:f>
        <x:v>Task</x:v>
      </x:c>
    </x:row>
    <x:row r="1355" ht="40" customHeight="1">
      <x:c r="A1355" s="3" t="str">
        <x:f>HYPERLINK("#'Research &amp; Analysis'!A627","Open")</x:f>
        <x:v>Open</x:v>
      </x:c>
      <x:c r="B1355" s="2" t="str">
        <x:f>'Research &amp; Analysis'!B627</x:f>
        <x:v>Cycle 4</x:v>
      </x:c>
      <x:c r="C1355" s="2" t="str">
        <x:f>'Research &amp; Analysis'!C627</x:f>
        <x:v>Phase 3</x:v>
      </x:c>
      <x:c r="D1355" s="2" t="str">
        <x:f>'Research &amp; Analysis'!D627</x:f>
        <x:v>PLL</x:v>
      </x:c>
      <x:c r="E1355" s="2" t="str">
        <x:v>Research &amp; Analysis</x:v>
      </x:c>
      <x:c r="F1355" s="56" t="str">
        <x:f>'Research &amp; Analysis'!E627</x:f>
        <x:v>RA.PL.3.1</x:v>
      </x:c>
      <x:c r="G1355" s="14" t="str">
        <x:f>'Research &amp; Analysis'!F627</x:f>
        <x:v>Finalize results and supporting documentation</x:v>
      </x:c>
      <x:c r="H1355" s="2" t="str">
        <x:f>IF('Research &amp; Analysis'!G627="","",'Research &amp; Analysis'!G627)</x:f>
      </x:c>
      <x:c r="I1355" s="12" t="str">
        <x:f>IF('Research &amp; Analysis'!H627="","",'Research &amp; Analysis'!H627)</x:f>
      </x:c>
      <x:c r="J1355" s="12" t="n">
        <x:f>IF('Research &amp; Analysis'!I627="","",'Research &amp; Analysis'!I627)</x:f>
        <x:v>46387</x:v>
      </x:c>
      <x:c r="K1355" s="12" t="str">
        <x:f>IF('Research &amp; Analysis'!J627="","",'Research &amp; Analysis'!J627)</x:f>
      </x:c>
      <x:c r="L1355" s="2" t="str">
        <x:f>IF('Research &amp; Analysis'!K627="","",'Research &amp; Analysis'!K627)</x:f>
      </x:c>
      <x:c r="M1355" s="2" t="n">
        <x:f>'Research &amp; Analysis'!Q627</x:f>
        <x:v>1</x:v>
      </x:c>
      <x:c r="N1355" s="2" t="str">
        <x:f>'Research &amp; Analysis'!L627</x:f>
        <x:v>Not started</x:v>
      </x:c>
      <x:c r="O1355" s="2" t="str">
        <x:f>'Research &amp; Analysis'!N627</x:f>
        <x:v>RA.PL.3.1.2026.CY4</x:v>
      </x:c>
      <x:c r="P1355" s="2" t="n">
        <x:f>'Research &amp; Analysis'!O627</x:f>
        <x:v>0</x:v>
      </x:c>
      <x:c r="Q1355" s="2" t="n">
        <x:f>SUBTOTAL(103,O1355)</x:f>
        <x:v>1</x:v>
      </x:c>
      <x:c r="R1355" s="2" t="n">
        <x:f>IF(AND(M1355=1,OR(Dashboard!$B$7="All",Dashboard!$B$7='Cycles &amp; Guide'!$C$5),OR(Dashboard!$D$7="All",Dashboard!$D$7=B1355),OR(Dashboard!$F$7="All",Dashboard!$F$7=C1355),OR(Dashboard!$H$7="All",Dashboard!$H$7=D1355),OR(Dashboard!$K$7="All",Dashboard!$K$7=E1355)),1,0)</x:f>
        <x:v>1</x:v>
      </x:c>
      <x:c r="S1355" s="2" t="n">
        <x:f>IF(R1355=1,SUM($R$10:R1355),0)</x:f>
        <x:v>982</x:v>
      </x:c>
      <x:c r="T1355" s="2" t="str">
        <x:v>Research &amp; Analysis</x:v>
      </x:c>
      <x:c r="U1355" s="2" t="n">
        <x:v>627</x:v>
      </x:c>
      <x:c r="V1355" s="2" t="n">
        <x:f>IF(AND(M1355=1,P1355=0,ISNUMBER(J1355),J1355&lt;TODAY()),1,0)</x:f>
        <x:v>0</x:v>
      </x:c>
      <x:c r="W1355" s="2" t="str">
        <x:f>'Research &amp; Analysis'!M627</x:f>
        <x:v>Task</x:v>
      </x:c>
    </x:row>
    <x:row r="1356" ht="40" customHeight="1">
      <x:c r="A1356" s="3" t="str">
        <x:f>HYPERLINK("#'Research &amp; Analysis'!A628","Open")</x:f>
        <x:v>Open</x:v>
      </x:c>
      <x:c r="B1356" s="2" t="str">
        <x:f>'Research &amp; Analysis'!B628</x:f>
        <x:v>Cycle 4</x:v>
      </x:c>
      <x:c r="C1356" s="2" t="str">
        <x:f>'Research &amp; Analysis'!C628</x:f>
        <x:v>Phase 3</x:v>
      </x:c>
      <x:c r="D1356" s="2" t="str">
        <x:f>'Research &amp; Analysis'!D628</x:f>
        <x:v>PLL</x:v>
      </x:c>
      <x:c r="E1356" s="2" t="str">
        <x:v>Research &amp; Analysis</x:v>
      </x:c>
      <x:c r="F1356" s="56" t="str">
        <x:f>'Research &amp; Analysis'!E628</x:f>
        <x:v>RA.PL.3.2</x:v>
      </x:c>
      <x:c r="G1356" s="14" t="str">
        <x:f>'Research &amp; Analysis'!F628</x:f>
        <x:v>Maintain and update the evidence package prior to handoff to D&amp;I</x:v>
      </x:c>
      <x:c r="H1356" s="2" t="str">
        <x:f>IF('Research &amp; Analysis'!G628="","",'Research &amp; Analysis'!G628)</x:f>
      </x:c>
      <x:c r="I1356" s="12" t="str">
        <x:f>IF('Research &amp; Analysis'!H628="","",'Research &amp; Analysis'!H628)</x:f>
      </x:c>
      <x:c r="J1356" s="12" t="n">
        <x:f>IF('Research &amp; Analysis'!I628="","",'Research &amp; Analysis'!I628)</x:f>
        <x:v>46387</x:v>
      </x:c>
      <x:c r="K1356" s="12" t="str">
        <x:f>IF('Research &amp; Analysis'!J628="","",'Research &amp; Analysis'!J628)</x:f>
      </x:c>
      <x:c r="L1356" s="2" t="str">
        <x:f>IF('Research &amp; Analysis'!K628="","",'Research &amp; Analysis'!K628)</x:f>
      </x:c>
      <x:c r="M1356" s="2" t="n">
        <x:f>'Research &amp; Analysis'!Q628</x:f>
        <x:v>1</x:v>
      </x:c>
      <x:c r="N1356" s="2" t="str">
        <x:f>'Research &amp; Analysis'!L628</x:f>
        <x:v>Not started</x:v>
      </x:c>
      <x:c r="O1356" s="2" t="str">
        <x:f>'Research &amp; Analysis'!N628</x:f>
        <x:v>RA.PL.3.2.2026.CY4</x:v>
      </x:c>
      <x:c r="P1356" s="2" t="n">
        <x:f>'Research &amp; Analysis'!O628</x:f>
        <x:v>0</x:v>
      </x:c>
      <x:c r="Q1356" s="2" t="n">
        <x:f>SUBTOTAL(103,O1356)</x:f>
        <x:v>1</x:v>
      </x:c>
      <x:c r="R1356" s="2" t="n">
        <x:f>IF(AND(M1356=1,OR(Dashboard!$B$7="All",Dashboard!$B$7='Cycles &amp; Guide'!$C$5),OR(Dashboard!$D$7="All",Dashboard!$D$7=B1356),OR(Dashboard!$F$7="All",Dashboard!$F$7=C1356),OR(Dashboard!$H$7="All",Dashboard!$H$7=D1356),OR(Dashboard!$K$7="All",Dashboard!$K$7=E1356)),1,0)</x:f>
        <x:v>1</x:v>
      </x:c>
      <x:c r="S1356" s="2" t="n">
        <x:f>IF(R1356=1,SUM($R$10:R1356),0)</x:f>
        <x:v>983</x:v>
      </x:c>
      <x:c r="T1356" s="2" t="str">
        <x:v>Research &amp; Analysis</x:v>
      </x:c>
      <x:c r="U1356" s="2" t="n">
        <x:v>628</x:v>
      </x:c>
      <x:c r="V1356" s="2" t="n">
        <x:f>IF(AND(M1356=1,P1356=0,ISNUMBER(J1356),J1356&lt;TODAY()),1,0)</x:f>
        <x:v>0</x:v>
      </x:c>
      <x:c r="W1356" s="2" t="str">
        <x:f>'Research &amp; Analysis'!M628</x:f>
        <x:v>Task</x:v>
      </x:c>
    </x:row>
    <x:row r="1357" ht="40" customHeight="1">
      <x:c r="A1357" s="3" t="str">
        <x:f>HYPERLINK("#'Research &amp; Analysis'!A629","Open")</x:f>
        <x:v>Open</x:v>
      </x:c>
      <x:c r="B1357" s="2" t="str">
        <x:f>'Research &amp; Analysis'!B629</x:f>
        <x:v>Cycle 4</x:v>
      </x:c>
      <x:c r="C1357" s="2" t="str">
        <x:f>'Research &amp; Analysis'!C629</x:f>
        <x:v>Phase 3</x:v>
      </x:c>
      <x:c r="D1357" s="2" t="str">
        <x:f>'Research &amp; Analysis'!D629</x:f>
        <x:v>PLL</x:v>
      </x:c>
      <x:c r="E1357" s="2" t="str">
        <x:v>Research &amp; Analysis</x:v>
      </x:c>
      <x:c r="F1357" s="56" t="str">
        <x:f>'Research &amp; Analysis'!E629</x:f>
        <x:v>RA.PL.3.3</x:v>
      </x:c>
      <x:c r="G1357" s="14" t="str">
        <x:f>'Research &amp; Analysis'!F629</x:f>
        <x:v>Address any outstanding questions or requests from D&amp;I</x:v>
      </x:c>
      <x:c r="H1357" s="2" t="str">
        <x:f>IF('Research &amp; Analysis'!G629="","",'Research &amp; Analysis'!G629)</x:f>
      </x:c>
      <x:c r="I1357" s="12" t="str">
        <x:f>IF('Research &amp; Analysis'!H629="","",'Research &amp; Analysis'!H629)</x:f>
      </x:c>
      <x:c r="J1357" s="12" t="n">
        <x:f>IF('Research &amp; Analysis'!I629="","",'Research &amp; Analysis'!I629)</x:f>
        <x:v>46387</x:v>
      </x:c>
      <x:c r="K1357" s="12" t="str">
        <x:f>IF('Research &amp; Analysis'!J629="","",'Research &amp; Analysis'!J629)</x:f>
      </x:c>
      <x:c r="L1357" s="2" t="str">
        <x:f>IF('Research &amp; Analysis'!K629="","",'Research &amp; Analysis'!K629)</x:f>
      </x:c>
      <x:c r="M1357" s="2" t="n">
        <x:f>'Research &amp; Analysis'!Q629</x:f>
        <x:v>1</x:v>
      </x:c>
      <x:c r="N1357" s="2" t="str">
        <x:f>'Research &amp; Analysis'!L629</x:f>
        <x:v>Not started</x:v>
      </x:c>
      <x:c r="O1357" s="2" t="str">
        <x:f>'Research &amp; Analysis'!N629</x:f>
        <x:v>RA.PL.3.3.2026.CY4</x:v>
      </x:c>
      <x:c r="P1357" s="2" t="n">
        <x:f>'Research &amp; Analysis'!O629</x:f>
        <x:v>0</x:v>
      </x:c>
      <x:c r="Q1357" s="2" t="n">
        <x:f>SUBTOTAL(103,O1357)</x:f>
        <x:v>1</x:v>
      </x:c>
      <x:c r="R1357" s="2" t="n">
        <x:f>IF(AND(M1357=1,OR(Dashboard!$B$7="All",Dashboard!$B$7='Cycles &amp; Guide'!$C$5),OR(Dashboard!$D$7="All",Dashboard!$D$7=B1357),OR(Dashboard!$F$7="All",Dashboard!$F$7=C1357),OR(Dashboard!$H$7="All",Dashboard!$H$7=D1357),OR(Dashboard!$K$7="All",Dashboard!$K$7=E1357)),1,0)</x:f>
        <x:v>1</x:v>
      </x:c>
      <x:c r="S1357" s="2" t="n">
        <x:f>IF(R1357=1,SUM($R$10:R1357),0)</x:f>
        <x:v>984</x:v>
      </x:c>
      <x:c r="T1357" s="2" t="str">
        <x:v>Research &amp; Analysis</x:v>
      </x:c>
      <x:c r="U1357" s="2" t="n">
        <x:v>629</x:v>
      </x:c>
      <x:c r="V1357" s="2" t="n">
        <x:f>IF(AND(M1357=1,P1357=0,ISNUMBER(J1357),J1357&lt;TODAY()),1,0)</x:f>
        <x:v>0</x:v>
      </x:c>
      <x:c r="W1357" s="2" t="str">
        <x:f>'Research &amp; Analysis'!M629</x:f>
        <x:v>Task</x:v>
      </x:c>
    </x:row>
    <x:row r="1358" ht="40" customHeight="1">
      <x:c r="A1358" s="3" t="str">
        <x:f>HYPERLINK("#'Research &amp; Analysis'!A630","Open")</x:f>
        <x:v>Open</x:v>
      </x:c>
      <x:c r="B1358" s="2" t="str">
        <x:f>'Research &amp; Analysis'!B630</x:f>
        <x:v>Cycle 4</x:v>
      </x:c>
      <x:c r="C1358" s="2" t="str">
        <x:f>'Research &amp; Analysis'!C630</x:f>
        <x:v>Phase 3</x:v>
      </x:c>
      <x:c r="D1358" s="2" t="str">
        <x:f>'Research &amp; Analysis'!D630</x:f>
        <x:v>PLL</x:v>
      </x:c>
      <x:c r="E1358" s="2" t="str">
        <x:v>Research &amp; Analysis</x:v>
      </x:c>
      <x:c r="F1358" s="56" t="str">
        <x:f>'Research &amp; Analysis'!E630</x:f>
        <x:v>RA.PL.3.4</x:v>
      </x:c>
      <x:c r="G1358" s="14" t="str">
        <x:f>'Research &amp; Analysis'!F630</x:f>
        <x:v>Attend Forum meeting with D&amp;I to assist with answering stakeholder questions (as needed)</x:v>
      </x:c>
      <x:c r="H1358" s="2" t="str">
        <x:f>IF('Research &amp; Analysis'!G630="","",'Research &amp; Analysis'!G630)</x:f>
      </x:c>
      <x:c r="I1358" s="12" t="str">
        <x:f>IF('Research &amp; Analysis'!H630="","",'Research &amp; Analysis'!H630)</x:f>
      </x:c>
      <x:c r="J1358" s="12" t="str">
        <x:f>IF('Research &amp; Analysis'!I630="","",'Research &amp; Analysis'!I630)</x:f>
      </x:c>
      <x:c r="K1358" s="12" t="str">
        <x:f>IF('Research &amp; Analysis'!J630="","",'Research &amp; Analysis'!J630)</x:f>
      </x:c>
      <x:c r="L1358" s="2" t="str">
        <x:f>IF('Research &amp; Analysis'!K630="","",'Research &amp; Analysis'!K630)</x:f>
      </x:c>
      <x:c r="M1358" s="2" t="n">
        <x:f>'Research &amp; Analysis'!Q630</x:f>
        <x:v>1</x:v>
      </x:c>
      <x:c r="N1358" s="2" t="str">
        <x:f>'Research &amp; Analysis'!L630</x:f>
        <x:v>Not started</x:v>
      </x:c>
      <x:c r="O1358" s="2" t="str">
        <x:f>'Research &amp; Analysis'!N630</x:f>
        <x:v>RA.PL.3.4.2026.CY4</x:v>
      </x:c>
      <x:c r="P1358" s="2" t="n">
        <x:f>'Research &amp; Analysis'!O630</x:f>
        <x:v>0</x:v>
      </x:c>
      <x:c r="Q1358" s="2" t="n">
        <x:f>SUBTOTAL(103,O1358)</x:f>
        <x:v>1</x:v>
      </x:c>
      <x:c r="R1358" s="2" t="n">
        <x:f>IF(AND(M1358=1,OR(Dashboard!$B$7="All",Dashboard!$B$7='Cycles &amp; Guide'!$C$5),OR(Dashboard!$D$7="All",Dashboard!$D$7=B1358),OR(Dashboard!$F$7="All",Dashboard!$F$7=C1358),OR(Dashboard!$H$7="All",Dashboard!$H$7=D1358),OR(Dashboard!$K$7="All",Dashboard!$K$7=E1358)),1,0)</x:f>
        <x:v>1</x:v>
      </x:c>
      <x:c r="S1358" s="2" t="n">
        <x:f>IF(R1358=1,SUM($R$10:R1358),0)</x:f>
        <x:v>985</x:v>
      </x:c>
      <x:c r="T1358" s="2" t="str">
        <x:v>Research &amp; Analysis</x:v>
      </x:c>
      <x:c r="U1358" s="2" t="n">
        <x:v>630</x:v>
      </x:c>
      <x:c r="V1358" s="2" t="n">
        <x:f>IF(AND(M1358=1,P1358=0,ISNUMBER(J1358),J1358&lt;TODAY()),1,0)</x:f>
        <x:v>0</x:v>
      </x:c>
      <x:c r="W1358" s="2" t="str">
        <x:f>'Research &amp; Analysis'!M630</x:f>
        <x:v>Task</x:v>
      </x:c>
    </x:row>
    <x:row r="1359" ht="40" customHeight="1">
      <x:c r="A1359" s="3" t="str">
        <x:f>HYPERLINK("#'Research &amp; Analysis'!A631","Open")</x:f>
        <x:v>Open</x:v>
      </x:c>
      <x:c r="B1359" s="2" t="str">
        <x:f>'Research &amp; Analysis'!B631</x:f>
        <x:v>Cycle 4</x:v>
      </x:c>
      <x:c r="C1359" s="2" t="str">
        <x:f>'Research &amp; Analysis'!C631</x:f>
        <x:v>Phase 1</x:v>
      </x:c>
      <x:c r="D1359" s="2" t="str">
        <x:f>'Research &amp; Analysis'!D631</x:f>
        <x:v>Retail Services</x:v>
      </x:c>
      <x:c r="E1359" s="2" t="str">
        <x:v>Research &amp; Analysis</x:v>
      </x:c>
      <x:c r="F1359" s="56" t="str">
        <x:f>'Research &amp; Analysis'!E631</x:f>
        <x:v>RA.RS.1.1</x:v>
      </x:c>
      <x:c r="G1359" s="14" t="str">
        <x:f>'Research &amp; Analysis'!F631</x:f>
        <x:v>Begin Research process 2 weeks prior to Cycle start</x:v>
      </x:c>
      <x:c r="H1359" s="2" t="str">
        <x:f>IF('Research &amp; Analysis'!G631="","",'Research &amp; Analysis'!G631)</x:f>
      </x:c>
      <x:c r="I1359" s="12" t="str">
        <x:f>IF('Research &amp; Analysis'!H631="","",'Research &amp; Analysis'!H631)</x:f>
      </x:c>
      <x:c r="J1359" s="12" t="n">
        <x:f>IF('Research &amp; Analysis'!I631="","",'Research &amp; Analysis'!I631)</x:f>
        <x:v>46282</x:v>
      </x:c>
      <x:c r="K1359" s="12" t="str">
        <x:f>IF('Research &amp; Analysis'!J631="","",'Research &amp; Analysis'!J631)</x:f>
      </x:c>
      <x:c r="L1359" s="2" t="str">
        <x:f>IF('Research &amp; Analysis'!K631="","",'Research &amp; Analysis'!K631)</x:f>
      </x:c>
      <x:c r="M1359" s="2" t="n">
        <x:f>'Research &amp; Analysis'!Q631</x:f>
        <x:v>1</x:v>
      </x:c>
      <x:c r="N1359" s="2" t="str">
        <x:f>'Research &amp; Analysis'!L631</x:f>
        <x:v>Not started</x:v>
      </x:c>
      <x:c r="O1359" s="2" t="str">
        <x:f>'Research &amp; Analysis'!N631</x:f>
        <x:v>RA.RS.1.1.2026.CY4</x:v>
      </x:c>
      <x:c r="P1359" s="2" t="n">
        <x:f>'Research &amp; Analysis'!O631</x:f>
        <x:v>0</x:v>
      </x:c>
      <x:c r="Q1359" s="2" t="n">
        <x:f>SUBTOTAL(103,O1359)</x:f>
        <x:v>1</x:v>
      </x:c>
      <x:c r="R1359" s="2" t="n">
        <x:f>IF(AND(M1359=1,OR(Dashboard!$B$7="All",Dashboard!$B$7='Cycles &amp; Guide'!$C$5),OR(Dashboard!$D$7="All",Dashboard!$D$7=B1359),OR(Dashboard!$F$7="All",Dashboard!$F$7=C1359),OR(Dashboard!$H$7="All",Dashboard!$H$7=D1359),OR(Dashboard!$K$7="All",Dashboard!$K$7=E1359)),1,0)</x:f>
        <x:v>1</x:v>
      </x:c>
      <x:c r="S1359" s="2" t="n">
        <x:f>IF(R1359=1,SUM($R$10:R1359),0)</x:f>
        <x:v>986</x:v>
      </x:c>
      <x:c r="T1359" s="2" t="str">
        <x:v>Research &amp; Analysis</x:v>
      </x:c>
      <x:c r="U1359" s="2" t="n">
        <x:v>631</x:v>
      </x:c>
      <x:c r="V1359" s="2" t="n">
        <x:f>IF(AND(M1359=1,P1359=0,ISNUMBER(J1359),J1359&lt;TODAY()),1,0)</x:f>
        <x:v>1</x:v>
      </x:c>
      <x:c r="W1359" s="2" t="str">
        <x:f>'Research &amp; Analysis'!M631</x:f>
        <x:v>Task</x:v>
      </x:c>
    </x:row>
    <x:row r="1360" ht="40" customHeight="1">
      <x:c r="A1360" s="3" t="str">
        <x:f>HYPERLINK("#'Research &amp; Analysis'!A632","Open")</x:f>
        <x:v>Open</x:v>
      </x:c>
      <x:c r="B1360" s="2" t="str">
        <x:f>'Research &amp; Analysis'!B632</x:f>
        <x:v>Cycle 4</x:v>
      </x:c>
      <x:c r="C1360" s="2" t="str">
        <x:f>'Research &amp; Analysis'!C632</x:f>
        <x:v>Phase 1</x:v>
      </x:c>
      <x:c r="D1360" s="2" t="str">
        <x:f>'Research &amp; Analysis'!D632</x:f>
        <x:v>Retail Services</x:v>
      </x:c>
      <x:c r="E1360" s="2" t="str">
        <x:v>Research &amp; Analysis</x:v>
      </x:c>
      <x:c r="F1360" s="56" t="str">
        <x:f>'Research &amp; Analysis'!E632</x:f>
        <x:v>RA.RS.1.2</x:v>
      </x:c>
      <x:c r="G1360" s="14" t="str">
        <x:f>'Research &amp; Analysis'!F632</x:f>
        <x:v>Conduct initial assessment of each topic recommendation from SharePoint list</x:v>
      </x:c>
      <x:c r="H1360" s="2" t="str">
        <x:f>IF('Research &amp; Analysis'!G632="","",'Research &amp; Analysis'!G632)</x:f>
      </x:c>
      <x:c r="I1360" s="12" t="str">
        <x:f>IF('Research &amp; Analysis'!H632="","",'Research &amp; Analysis'!H632)</x:f>
      </x:c>
      <x:c r="J1360" s="12" t="n">
        <x:f>IF('Research &amp; Analysis'!I632="","",'Research &amp; Analysis'!I632)</x:f>
        <x:v>46387</x:v>
      </x:c>
      <x:c r="K1360" s="12" t="str">
        <x:f>IF('Research &amp; Analysis'!J632="","",'Research &amp; Analysis'!J632)</x:f>
      </x:c>
      <x:c r="L1360" s="2" t="str">
        <x:f>IF('Research &amp; Analysis'!K632="","",'Research &amp; Analysis'!K632)</x:f>
      </x:c>
      <x:c r="M1360" s="2" t="n">
        <x:f>'Research &amp; Analysis'!Q632</x:f>
        <x:v>1</x:v>
      </x:c>
      <x:c r="N1360" s="2" t="str">
        <x:f>'Research &amp; Analysis'!L632</x:f>
        <x:v>Not started</x:v>
      </x:c>
      <x:c r="O1360" s="2" t="str">
        <x:f>'Research &amp; Analysis'!N632</x:f>
        <x:v>RA.RS.1.2.2026.CY4</x:v>
      </x:c>
      <x:c r="P1360" s="2" t="n">
        <x:f>'Research &amp; Analysis'!O632</x:f>
        <x:v>0</x:v>
      </x:c>
      <x:c r="Q1360" s="2" t="n">
        <x:f>SUBTOTAL(103,O1360)</x:f>
        <x:v>1</x:v>
      </x:c>
      <x:c r="R1360" s="2" t="n">
        <x:f>IF(AND(M1360=1,OR(Dashboard!$B$7="All",Dashboard!$B$7='Cycles &amp; Guide'!$C$5),OR(Dashboard!$D$7="All",Dashboard!$D$7=B1360),OR(Dashboard!$F$7="All",Dashboard!$F$7=C1360),OR(Dashboard!$H$7="All",Dashboard!$H$7=D1360),OR(Dashboard!$K$7="All",Dashboard!$K$7=E1360)),1,0)</x:f>
        <x:v>1</x:v>
      </x:c>
      <x:c r="S1360" s="2" t="n">
        <x:f>IF(R1360=1,SUM($R$10:R1360),0)</x:f>
        <x:v>987</x:v>
      </x:c>
      <x:c r="T1360" s="2" t="str">
        <x:v>Research &amp; Analysis</x:v>
      </x:c>
      <x:c r="U1360" s="2" t="n">
        <x:v>632</x:v>
      </x:c>
      <x:c r="V1360" s="2" t="n">
        <x:f>IF(AND(M1360=1,P1360=0,ISNUMBER(J1360),J1360&lt;TODAY()),1,0)</x:f>
        <x:v>0</x:v>
      </x:c>
      <x:c r="W1360" s="2" t="str">
        <x:f>'Research &amp; Analysis'!M632</x:f>
        <x:v>Task</x:v>
      </x:c>
    </x:row>
    <x:row r="1361" ht="40" customHeight="1">
      <x:c r="A1361" s="3" t="str">
        <x:f>HYPERLINK("#'Research &amp; Analysis'!A633","Open")</x:f>
        <x:v>Open</x:v>
      </x:c>
      <x:c r="B1361" s="2" t="str">
        <x:f>'Research &amp; Analysis'!B633</x:f>
        <x:v>Cycle 4</x:v>
      </x:c>
      <x:c r="C1361" s="2" t="str">
        <x:f>'Research &amp; Analysis'!C633</x:f>
        <x:v>Phase 1</x:v>
      </x:c>
      <x:c r="D1361" s="2" t="str">
        <x:f>'Research &amp; Analysis'!D633</x:f>
        <x:v>Retail Services</x:v>
      </x:c>
      <x:c r="E1361" s="2" t="str">
        <x:v>Research &amp; Analysis</x:v>
      </x:c>
      <x:c r="F1361" s="56" t="str">
        <x:f>'Research &amp; Analysis'!E633</x:f>
        <x:v>RA.RS.1.3</x:v>
      </x:c>
      <x:c r="G1361" s="14" t="str">
        <x:f>'Research &amp; Analysis'!F633</x:f>
        <x:v>Identify best topic for Cycle</x:v>
      </x:c>
      <x:c r="H1361" s="2" t="str">
        <x:f>IF('Research &amp; Analysis'!G633="","",'Research &amp; Analysis'!G633)</x:f>
      </x:c>
      <x:c r="I1361" s="12" t="str">
        <x:f>IF('Research &amp; Analysis'!H633="","",'Research &amp; Analysis'!H633)</x:f>
      </x:c>
      <x:c r="J1361" s="12" t="n">
        <x:f>IF('Research &amp; Analysis'!I633="","",'Research &amp; Analysis'!I633)</x:f>
        <x:v>46387</x:v>
      </x:c>
      <x:c r="K1361" s="12" t="str">
        <x:f>IF('Research &amp; Analysis'!J633="","",'Research &amp; Analysis'!J633)</x:f>
      </x:c>
      <x:c r="L1361" s="2" t="str">
        <x:f>IF('Research &amp; Analysis'!K633="","",'Research &amp; Analysis'!K633)</x:f>
      </x:c>
      <x:c r="M1361" s="2" t="n">
        <x:f>'Research &amp; Analysis'!Q633</x:f>
        <x:v>1</x:v>
      </x:c>
      <x:c r="N1361" s="2" t="str">
        <x:f>'Research &amp; Analysis'!L633</x:f>
        <x:v>Not started</x:v>
      </x:c>
      <x:c r="O1361" s="2" t="str">
        <x:f>'Research &amp; Analysis'!N633</x:f>
        <x:v>RA.RS.1.3.2026.CY4</x:v>
      </x:c>
      <x:c r="P1361" s="2" t="n">
        <x:f>'Research &amp; Analysis'!O633</x:f>
        <x:v>0</x:v>
      </x:c>
      <x:c r="Q1361" s="2" t="n">
        <x:f>SUBTOTAL(103,O1361)</x:f>
        <x:v>1</x:v>
      </x:c>
      <x:c r="R1361" s="2" t="n">
        <x:f>IF(AND(M1361=1,OR(Dashboard!$B$7="All",Dashboard!$B$7='Cycles &amp; Guide'!$C$5),OR(Dashboard!$D$7="All",Dashboard!$D$7=B1361),OR(Dashboard!$F$7="All",Dashboard!$F$7=C1361),OR(Dashboard!$H$7="All",Dashboard!$H$7=D1361),OR(Dashboard!$K$7="All",Dashboard!$K$7=E1361)),1,0)</x:f>
        <x:v>1</x:v>
      </x:c>
      <x:c r="S1361" s="2" t="n">
        <x:f>IF(R1361=1,SUM($R$10:R1361),0)</x:f>
        <x:v>988</x:v>
      </x:c>
      <x:c r="T1361" s="2" t="str">
        <x:v>Research &amp; Analysis</x:v>
      </x:c>
      <x:c r="U1361" s="2" t="n">
        <x:v>633</x:v>
      </x:c>
      <x:c r="V1361" s="2" t="n">
        <x:f>IF(AND(M1361=1,P1361=0,ISNUMBER(J1361),J1361&lt;TODAY()),1,0)</x:f>
        <x:v>0</x:v>
      </x:c>
      <x:c r="W1361" s="2" t="str">
        <x:f>'Research &amp; Analysis'!M633</x:f>
        <x:v>Task</x:v>
      </x:c>
    </x:row>
    <x:row r="1362" ht="40" customHeight="1">
      <x:c r="A1362" s="3" t="str">
        <x:f>HYPERLINK("#'Research &amp; Analysis'!A634","Open")</x:f>
        <x:v>Open</x:v>
      </x:c>
      <x:c r="B1362" s="2" t="str">
        <x:f>'Research &amp; Analysis'!B634</x:f>
        <x:v>Cycle 4</x:v>
      </x:c>
      <x:c r="C1362" s="2" t="str">
        <x:f>'Research &amp; Analysis'!C634</x:f>
        <x:v>Phase 1</x:v>
      </x:c>
      <x:c r="D1362" s="2" t="str">
        <x:f>'Research &amp; Analysis'!D634</x:f>
        <x:v>Retail Services</x:v>
      </x:c>
      <x:c r="E1362" s="2" t="str">
        <x:v>Research &amp; Analysis</x:v>
      </x:c>
      <x:c r="F1362" s="56" t="str">
        <x:f>'Research &amp; Analysis'!E634</x:f>
        <x:v>RA.RS.1.4</x:v>
      </x:c>
      <x:c r="G1362" s="14" t="str">
        <x:f>'Research &amp; Analysis'!F634</x:f>
        <x:v>Identify backup topic for Cycle</x:v>
      </x:c>
      <x:c r="H1362" s="2" t="str">
        <x:f>IF('Research &amp; Analysis'!G634="","",'Research &amp; Analysis'!G634)</x:f>
      </x:c>
      <x:c r="I1362" s="12" t="str">
        <x:f>IF('Research &amp; Analysis'!H634="","",'Research &amp; Analysis'!H634)</x:f>
      </x:c>
      <x:c r="J1362" s="12" t="n">
        <x:f>IF('Research &amp; Analysis'!I634="","",'Research &amp; Analysis'!I634)</x:f>
        <x:v>46387</x:v>
      </x:c>
      <x:c r="K1362" s="12" t="str">
        <x:f>IF('Research &amp; Analysis'!J634="","",'Research &amp; Analysis'!J634)</x:f>
      </x:c>
      <x:c r="L1362" s="2" t="str">
        <x:f>IF('Research &amp; Analysis'!K634="","",'Research &amp; Analysis'!K634)</x:f>
      </x:c>
      <x:c r="M1362" s="2" t="n">
        <x:f>'Research &amp; Analysis'!Q634</x:f>
        <x:v>1</x:v>
      </x:c>
      <x:c r="N1362" s="2" t="str">
        <x:f>'Research &amp; Analysis'!L634</x:f>
        <x:v>Not started</x:v>
      </x:c>
      <x:c r="O1362" s="2" t="str">
        <x:f>'Research &amp; Analysis'!N634</x:f>
        <x:v>RA.RS.1.4.2026.CY4</x:v>
      </x:c>
      <x:c r="P1362" s="2" t="n">
        <x:f>'Research &amp; Analysis'!O634</x:f>
        <x:v>0</x:v>
      </x:c>
      <x:c r="Q1362" s="2" t="n">
        <x:f>SUBTOTAL(103,O1362)</x:f>
        <x:v>1</x:v>
      </x:c>
      <x:c r="R1362" s="2" t="n">
        <x:f>IF(AND(M1362=1,OR(Dashboard!$B$7="All",Dashboard!$B$7='Cycles &amp; Guide'!$C$5),OR(Dashboard!$D$7="All",Dashboard!$D$7=B1362),OR(Dashboard!$F$7="All",Dashboard!$F$7=C1362),OR(Dashboard!$H$7="All",Dashboard!$H$7=D1362),OR(Dashboard!$K$7="All",Dashboard!$K$7=E1362)),1,0)</x:f>
        <x:v>1</x:v>
      </x:c>
      <x:c r="S1362" s="2" t="n">
        <x:f>IF(R1362=1,SUM($R$10:R1362),0)</x:f>
        <x:v>989</x:v>
      </x:c>
      <x:c r="T1362" s="2" t="str">
        <x:v>Research &amp; Analysis</x:v>
      </x:c>
      <x:c r="U1362" s="2" t="n">
        <x:v>634</x:v>
      </x:c>
      <x:c r="V1362" s="2" t="n">
        <x:f>IF(AND(M1362=1,P1362=0,ISNUMBER(J1362),J1362&lt;TODAY()),1,0)</x:f>
        <x:v>0</x:v>
      </x:c>
      <x:c r="W1362" s="2" t="str">
        <x:f>'Research &amp; Analysis'!M634</x:f>
        <x:v>Task</x:v>
      </x:c>
    </x:row>
    <x:row r="1363" ht="40" customHeight="1">
      <x:c r="A1363" s="3" t="str">
        <x:f>HYPERLINK("#'Research &amp; Analysis'!A635","Open")</x:f>
        <x:v>Open</x:v>
      </x:c>
      <x:c r="B1363" s="2" t="str">
        <x:f>'Research &amp; Analysis'!B635</x:f>
        <x:v>Cycle 4</x:v>
      </x:c>
      <x:c r="C1363" s="2" t="str">
        <x:f>'Research &amp; Analysis'!C635</x:f>
        <x:v>Phase 1</x:v>
      </x:c>
      <x:c r="D1363" s="2" t="str">
        <x:f>'Research &amp; Analysis'!D635</x:f>
        <x:v>Retail Services</x:v>
      </x:c>
      <x:c r="E1363" s="2" t="str">
        <x:v>Research &amp; Analysis</x:v>
      </x:c>
      <x:c r="F1363" s="56" t="str">
        <x:f>'Research &amp; Analysis'!E635</x:f>
        <x:v>RA.RS.1.5</x:v>
      </x:c>
      <x:c r="G1363" s="14" t="str">
        <x:f>'Research &amp; Analysis'!F635</x:f>
        <x:v>Schedule topic approval meeting with D&amp;I and management</x:v>
      </x:c>
      <x:c r="H1363" s="2" t="str">
        <x:f>IF('Research &amp; Analysis'!G635="","",'Research &amp; Analysis'!G635)</x:f>
      </x:c>
      <x:c r="I1363" s="12" t="str">
        <x:f>IF('Research &amp; Analysis'!H635="","",'Research &amp; Analysis'!H635)</x:f>
      </x:c>
      <x:c r="J1363" s="12" t="n">
        <x:f>IF('Research &amp; Analysis'!I635="","",'Research &amp; Analysis'!I635)</x:f>
        <x:v>46387</x:v>
      </x:c>
      <x:c r="K1363" s="12" t="str">
        <x:f>IF('Research &amp; Analysis'!J635="","",'Research &amp; Analysis'!J635)</x:f>
      </x:c>
      <x:c r="L1363" s="2" t="str">
        <x:f>IF('Research &amp; Analysis'!K635="","",'Research &amp; Analysis'!K635)</x:f>
      </x:c>
      <x:c r="M1363" s="2" t="n">
        <x:f>'Research &amp; Analysis'!Q635</x:f>
        <x:v>1</x:v>
      </x:c>
      <x:c r="N1363" s="2" t="str">
        <x:f>'Research &amp; Analysis'!L635</x:f>
        <x:v>Not started</x:v>
      </x:c>
      <x:c r="O1363" s="2" t="str">
        <x:f>'Research &amp; Analysis'!N635</x:f>
        <x:v>RA.RS.1.5.2026.CY4</x:v>
      </x:c>
      <x:c r="P1363" s="2" t="n">
        <x:f>'Research &amp; Analysis'!O635</x:f>
        <x:v>0</x:v>
      </x:c>
      <x:c r="Q1363" s="2" t="n">
        <x:f>SUBTOTAL(103,O1363)</x:f>
        <x:v>1</x:v>
      </x:c>
      <x:c r="R1363" s="2" t="n">
        <x:f>IF(AND(M1363=1,OR(Dashboard!$B$7="All",Dashboard!$B$7='Cycles &amp; Guide'!$C$5),OR(Dashboard!$D$7="All",Dashboard!$D$7=B1363),OR(Dashboard!$F$7="All",Dashboard!$F$7=C1363),OR(Dashboard!$H$7="All",Dashboard!$H$7=D1363),OR(Dashboard!$K$7="All",Dashboard!$K$7=E1363)),1,0)</x:f>
        <x:v>1</x:v>
      </x:c>
      <x:c r="S1363" s="2" t="n">
        <x:f>IF(R1363=1,SUM($R$10:R1363),0)</x:f>
        <x:v>990</x:v>
      </x:c>
      <x:c r="T1363" s="2" t="str">
        <x:v>Research &amp; Analysis</x:v>
      </x:c>
      <x:c r="U1363" s="2" t="n">
        <x:v>635</x:v>
      </x:c>
      <x:c r="V1363" s="2" t="n">
        <x:f>IF(AND(M1363=1,P1363=0,ISNUMBER(J1363),J1363&lt;TODAY()),1,0)</x:f>
        <x:v>0</x:v>
      </x:c>
      <x:c r="W1363" s="2" t="str">
        <x:f>'Research &amp; Analysis'!M635</x:f>
        <x:v>Task</x:v>
      </x:c>
    </x:row>
    <x:row r="1364" ht="40" customHeight="1">
      <x:c r="A1364" s="3" t="str">
        <x:f>HYPERLINK("#'Research &amp; Analysis'!A636","Open")</x:f>
        <x:v>Open</x:v>
      </x:c>
      <x:c r="B1364" s="2" t="str">
        <x:f>'Research &amp; Analysis'!B636</x:f>
        <x:v>Cycle 4</x:v>
      </x:c>
      <x:c r="C1364" s="2" t="str">
        <x:f>'Research &amp; Analysis'!C636</x:f>
        <x:v>Phase 1</x:v>
      </x:c>
      <x:c r="D1364" s="2" t="str">
        <x:f>'Research &amp; Analysis'!D636</x:f>
        <x:v>Retail Services</x:v>
      </x:c>
      <x:c r="E1364" s="2" t="str">
        <x:v>Research &amp; Analysis</x:v>
      </x:c>
      <x:c r="F1364" s="56" t="str">
        <x:f>'Research &amp; Analysis'!E636</x:f>
        <x:v>RA.RS.1.6</x:v>
      </x:c>
      <x:c r="G1364" s="14" t="str">
        <x:f>'Research &amp; Analysis'!F636</x:f>
        <x:v>Present recommended topic to D&amp;I and management for approval</x:v>
      </x:c>
      <x:c r="H1364" s="2" t="str">
        <x:f>IF('Research &amp; Analysis'!G636="","",'Research &amp; Analysis'!G636)</x:f>
      </x:c>
      <x:c r="I1364" s="12" t="str">
        <x:f>IF('Research &amp; Analysis'!H636="","",'Research &amp; Analysis'!H636)</x:f>
      </x:c>
      <x:c r="J1364" s="12" t="n">
        <x:f>IF('Research &amp; Analysis'!I636="","",'Research &amp; Analysis'!I636)</x:f>
        <x:v>46387</x:v>
      </x:c>
      <x:c r="K1364" s="12" t="str">
        <x:f>IF('Research &amp; Analysis'!J636="","",'Research &amp; Analysis'!J636)</x:f>
      </x:c>
      <x:c r="L1364" s="2" t="str">
        <x:f>IF('Research &amp; Analysis'!K636="","",'Research &amp; Analysis'!K636)</x:f>
      </x:c>
      <x:c r="M1364" s="2" t="n">
        <x:f>'Research &amp; Analysis'!Q636</x:f>
        <x:v>1</x:v>
      </x:c>
      <x:c r="N1364" s="2" t="str">
        <x:f>'Research &amp; Analysis'!L636</x:f>
        <x:v>Not started</x:v>
      </x:c>
      <x:c r="O1364" s="2" t="str">
        <x:f>'Research &amp; Analysis'!N636</x:f>
        <x:v>RA.RS.1.6.2026.CY4</x:v>
      </x:c>
      <x:c r="P1364" s="2" t="n">
        <x:f>'Research &amp; Analysis'!O636</x:f>
        <x:v>0</x:v>
      </x:c>
      <x:c r="Q1364" s="2" t="n">
        <x:f>SUBTOTAL(103,O1364)</x:f>
        <x:v>1</x:v>
      </x:c>
      <x:c r="R1364" s="2" t="n">
        <x:f>IF(AND(M1364=1,OR(Dashboard!$B$7="All",Dashboard!$B$7='Cycles &amp; Guide'!$C$5),OR(Dashboard!$D$7="All",Dashboard!$D$7=B1364),OR(Dashboard!$F$7="All",Dashboard!$F$7=C1364),OR(Dashboard!$H$7="All",Dashboard!$H$7=D1364),OR(Dashboard!$K$7="All",Dashboard!$K$7=E1364)),1,0)</x:f>
        <x:v>1</x:v>
      </x:c>
      <x:c r="S1364" s="2" t="n">
        <x:f>IF(R1364=1,SUM($R$10:R1364),0)</x:f>
        <x:v>991</x:v>
      </x:c>
      <x:c r="T1364" s="2" t="str">
        <x:v>Research &amp; Analysis</x:v>
      </x:c>
      <x:c r="U1364" s="2" t="n">
        <x:v>636</x:v>
      </x:c>
      <x:c r="V1364" s="2" t="n">
        <x:f>IF(AND(M1364=1,P1364=0,ISNUMBER(J1364),J1364&lt;TODAY()),1,0)</x:f>
        <x:v>0</x:v>
      </x:c>
      <x:c r="W1364" s="2" t="str">
        <x:f>'Research &amp; Analysis'!M636</x:f>
        <x:v>Task</x:v>
      </x:c>
    </x:row>
    <x:row r="1365" ht="40" customHeight="1">
      <x:c r="A1365" s="3" t="str">
        <x:f>HYPERLINK("#'Research &amp; Analysis'!A637","Open")</x:f>
        <x:v>Open</x:v>
      </x:c>
      <x:c r="B1365" s="2" t="str">
        <x:f>'Research &amp; Analysis'!B637</x:f>
        <x:v>Cycle 4</x:v>
      </x:c>
      <x:c r="C1365" s="2" t="str">
        <x:f>'Research &amp; Analysis'!C637</x:f>
        <x:v>Phase 1</x:v>
      </x:c>
      <x:c r="D1365" s="2" t="str">
        <x:f>'Research &amp; Analysis'!D637</x:f>
        <x:v>Retail Services</x:v>
      </x:c>
      <x:c r="E1365" s="2" t="str">
        <x:v>Research &amp; Analysis</x:v>
      </x:c>
      <x:c r="F1365" s="56" t="str">
        <x:f>'Research &amp; Analysis'!E637</x:f>
        <x:v>RA.RS.1.7</x:v>
      </x:c>
      <x:c r="G1365" s="14" t="str">
        <x:f>'Research &amp; Analysis'!F637</x:f>
        <x:v>Obtain formal topic selection approval from management via SharePoint</x:v>
      </x:c>
      <x:c r="H1365" s="2" t="str">
        <x:f>IF('Research &amp; Analysis'!G637="","",'Research &amp; Analysis'!G637)</x:f>
      </x:c>
      <x:c r="I1365" s="12" t="str">
        <x:f>IF('Research &amp; Analysis'!H637="","",'Research &amp; Analysis'!H637)</x:f>
      </x:c>
      <x:c r="J1365" s="12" t="n">
        <x:f>IF('Research &amp; Analysis'!I637="","",'Research &amp; Analysis'!I637)</x:f>
        <x:v>46387</x:v>
      </x:c>
      <x:c r="K1365" s="12" t="str">
        <x:f>IF('Research &amp; Analysis'!J637="","",'Research &amp; Analysis'!J637)</x:f>
      </x:c>
      <x:c r="L1365" s="2" t="str">
        <x:f>IF('Research &amp; Analysis'!K637="","",'Research &amp; Analysis'!K637)</x:f>
      </x:c>
      <x:c r="M1365" s="2" t="n">
        <x:f>'Research &amp; Analysis'!Q637</x:f>
        <x:v>1</x:v>
      </x:c>
      <x:c r="N1365" s="2" t="str">
        <x:f>'Research &amp; Analysis'!L637</x:f>
        <x:v>Not started</x:v>
      </x:c>
      <x:c r="O1365" s="2" t="str">
        <x:f>'Research &amp; Analysis'!N637</x:f>
        <x:v>RA.RS.1.7.2026.CY4</x:v>
      </x:c>
      <x:c r="P1365" s="2" t="n">
        <x:f>'Research &amp; Analysis'!O637</x:f>
        <x:v>0</x:v>
      </x:c>
      <x:c r="Q1365" s="2" t="n">
        <x:f>SUBTOTAL(103,O1365)</x:f>
        <x:v>1</x:v>
      </x:c>
      <x:c r="R1365" s="2" t="n">
        <x:f>IF(AND(M1365=1,OR(Dashboard!$B$7="All",Dashboard!$B$7='Cycles &amp; Guide'!$C$5),OR(Dashboard!$D$7="All",Dashboard!$D$7=B1365),OR(Dashboard!$F$7="All",Dashboard!$F$7=C1365),OR(Dashboard!$H$7="All",Dashboard!$H$7=D1365),OR(Dashboard!$K$7="All",Dashboard!$K$7=E1365)),1,0)</x:f>
        <x:v>1</x:v>
      </x:c>
      <x:c r="S1365" s="2" t="n">
        <x:f>IF(R1365=1,SUM($R$10:R1365),0)</x:f>
        <x:v>992</x:v>
      </x:c>
      <x:c r="T1365" s="2" t="str">
        <x:v>Research &amp; Analysis</x:v>
      </x:c>
      <x:c r="U1365" s="2" t="n">
        <x:v>637</x:v>
      </x:c>
      <x:c r="V1365" s="2" t="n">
        <x:f>IF(AND(M1365=1,P1365=0,ISNUMBER(J1365),J1365&lt;TODAY()),1,0)</x:f>
        <x:v>0</x:v>
      </x:c>
      <x:c r="W1365" s="2" t="str">
        <x:f>'Research &amp; Analysis'!M637</x:f>
        <x:v>Task</x:v>
      </x:c>
    </x:row>
    <x:row r="1366" ht="40" customHeight="1">
      <x:c r="A1366" s="3" t="str">
        <x:f>HYPERLINK("#'Research &amp; Analysis'!A638","Open")</x:f>
        <x:v>Open</x:v>
      </x:c>
      <x:c r="B1366" s="2" t="str">
        <x:f>'Research &amp; Analysis'!B638</x:f>
        <x:v>Cycle 4</x:v>
      </x:c>
      <x:c r="C1366" s="2" t="str">
        <x:f>'Research &amp; Analysis'!C638</x:f>
        <x:v>Phase 1</x:v>
      </x:c>
      <x:c r="D1366" s="2" t="str">
        <x:f>'Research &amp; Analysis'!D638</x:f>
        <x:v>Retail Services</x:v>
      </x:c>
      <x:c r="E1366" s="2" t="str">
        <x:v>Research &amp; Analysis</x:v>
      </x:c>
      <x:c r="F1366" s="56" t="str">
        <x:f>'Research &amp; Analysis'!E638</x:f>
        <x:v>RA.RS.1.8</x:v>
      </x:c>
      <x:c r="G1366" s="14" t="str">
        <x:f>'Research &amp; Analysis'!F638</x:f>
        <x:v>Socialize topic selection with product owners and subject matter experts (if known)</x:v>
      </x:c>
      <x:c r="H1366" s="2" t="str">
        <x:f>IF('Research &amp; Analysis'!G638="","",'Research &amp; Analysis'!G638)</x:f>
      </x:c>
      <x:c r="I1366" s="12" t="str">
        <x:f>IF('Research &amp; Analysis'!H638="","",'Research &amp; Analysis'!H638)</x:f>
      </x:c>
      <x:c r="J1366" s="12" t="n">
        <x:f>IF('Research &amp; Analysis'!I638="","",'Research &amp; Analysis'!I638)</x:f>
        <x:v>46387</x:v>
      </x:c>
      <x:c r="K1366" s="12" t="str">
        <x:f>IF('Research &amp; Analysis'!J638="","",'Research &amp; Analysis'!J638)</x:f>
      </x:c>
      <x:c r="L1366" s="2" t="str">
        <x:f>IF('Research &amp; Analysis'!K638="","",'Research &amp; Analysis'!K638)</x:f>
      </x:c>
      <x:c r="M1366" s="2" t="n">
        <x:f>'Research &amp; Analysis'!Q638</x:f>
        <x:v>1</x:v>
      </x:c>
      <x:c r="N1366" s="2" t="str">
        <x:f>'Research &amp; Analysis'!L638</x:f>
        <x:v>Not started</x:v>
      </x:c>
      <x:c r="O1366" s="2" t="str">
        <x:f>'Research &amp; Analysis'!N638</x:f>
        <x:v>RA.RS.1.8.2026.CY4</x:v>
      </x:c>
      <x:c r="P1366" s="2" t="n">
        <x:f>'Research &amp; Analysis'!O638</x:f>
        <x:v>0</x:v>
      </x:c>
      <x:c r="Q1366" s="2" t="n">
        <x:f>SUBTOTAL(103,O1366)</x:f>
        <x:v>1</x:v>
      </x:c>
      <x:c r="R1366" s="2" t="n">
        <x:f>IF(AND(M1366=1,OR(Dashboard!$B$7="All",Dashboard!$B$7='Cycles &amp; Guide'!$C$5),OR(Dashboard!$D$7="All",Dashboard!$D$7=B1366),OR(Dashboard!$F$7="All",Dashboard!$F$7=C1366),OR(Dashboard!$H$7="All",Dashboard!$H$7=D1366),OR(Dashboard!$K$7="All",Dashboard!$K$7=E1366)),1,0)</x:f>
        <x:v>1</x:v>
      </x:c>
      <x:c r="S1366" s="2" t="n">
        <x:f>IF(R1366=1,SUM($R$10:R1366),0)</x:f>
        <x:v>993</x:v>
      </x:c>
      <x:c r="T1366" s="2" t="str">
        <x:v>Research &amp; Analysis</x:v>
      </x:c>
      <x:c r="U1366" s="2" t="n">
        <x:v>638</x:v>
      </x:c>
      <x:c r="V1366" s="2" t="n">
        <x:f>IF(AND(M1366=1,P1366=0,ISNUMBER(J1366),J1366&lt;TODAY()),1,0)</x:f>
        <x:v>0</x:v>
      </x:c>
      <x:c r="W1366" s="2" t="str">
        <x:f>'Research &amp; Analysis'!M638</x:f>
        <x:v>Task</x:v>
      </x:c>
    </x:row>
    <x:row r="1367" ht="40" customHeight="1">
      <x:c r="A1367" s="3" t="str">
        <x:f>HYPERLINK("#'Research &amp; Analysis'!A639","Open")</x:f>
        <x:v>Open</x:v>
      </x:c>
      <x:c r="B1367" s="2" t="str">
        <x:f>'Research &amp; Analysis'!B639</x:f>
        <x:v>Cycle 4</x:v>
      </x:c>
      <x:c r="C1367" s="2" t="str">
        <x:f>'Research &amp; Analysis'!C639</x:f>
        <x:v>Phase 1</x:v>
      </x:c>
      <x:c r="D1367" s="2" t="str">
        <x:f>'Research &amp; Analysis'!D639</x:f>
        <x:v>Retail Services</x:v>
      </x:c>
      <x:c r="E1367" s="2" t="str">
        <x:v>Research &amp; Analysis</x:v>
      </x:c>
      <x:c r="F1367" s="56" t="str">
        <x:f>'Research &amp; Analysis'!E639</x:f>
        <x:v>RA.RS.1.9</x:v>
      </x:c>
      <x:c r="G1367" s="14" t="str">
        <x:f>'Research &amp; Analysis'!F639</x:f>
        <x:v>Assign topic researchers</x:v>
      </x:c>
      <x:c r="H1367" s="2" t="str">
        <x:f>IF('Research &amp; Analysis'!G639="","",'Research &amp; Analysis'!G639)</x:f>
      </x:c>
      <x:c r="I1367" s="12" t="str">
        <x:f>IF('Research &amp; Analysis'!H639="","",'Research &amp; Analysis'!H639)</x:f>
      </x:c>
      <x:c r="J1367" s="12" t="n">
        <x:f>IF('Research &amp; Analysis'!I639="","",'Research &amp; Analysis'!I639)</x:f>
        <x:v>46387</x:v>
      </x:c>
      <x:c r="K1367" s="12" t="str">
        <x:f>IF('Research &amp; Analysis'!J639="","",'Research &amp; Analysis'!J639)</x:f>
      </x:c>
      <x:c r="L1367" s="2" t="str">
        <x:f>IF('Research &amp; Analysis'!K639="","",'Research &amp; Analysis'!K639)</x:f>
      </x:c>
      <x:c r="M1367" s="2" t="n">
        <x:f>'Research &amp; Analysis'!Q639</x:f>
        <x:v>1</x:v>
      </x:c>
      <x:c r="N1367" s="2" t="str">
        <x:f>'Research &amp; Analysis'!L639</x:f>
        <x:v>Not started</x:v>
      </x:c>
      <x:c r="O1367" s="2" t="str">
        <x:f>'Research &amp; Analysis'!N639</x:f>
        <x:v>RA.RS.1.9.2026.CY4</x:v>
      </x:c>
      <x:c r="P1367" s="2" t="n">
        <x:f>'Research &amp; Analysis'!O639</x:f>
        <x:v>0</x:v>
      </x:c>
      <x:c r="Q1367" s="2" t="n">
        <x:f>SUBTOTAL(103,O1367)</x:f>
        <x:v>1</x:v>
      </x:c>
      <x:c r="R1367" s="2" t="n">
        <x:f>IF(AND(M1367=1,OR(Dashboard!$B$7="All",Dashboard!$B$7='Cycles &amp; Guide'!$C$5),OR(Dashboard!$D$7="All",Dashboard!$D$7=B1367),OR(Dashboard!$F$7="All",Dashboard!$F$7=C1367),OR(Dashboard!$H$7="All",Dashboard!$H$7=D1367),OR(Dashboard!$K$7="All",Dashboard!$K$7=E1367)),1,0)</x:f>
        <x:v>1</x:v>
      </x:c>
      <x:c r="S1367" s="2" t="n">
        <x:f>IF(R1367=1,SUM($R$10:R1367),0)</x:f>
        <x:v>994</x:v>
      </x:c>
      <x:c r="T1367" s="2" t="str">
        <x:v>Research &amp; Analysis</x:v>
      </x:c>
      <x:c r="U1367" s="2" t="n">
        <x:v>639</x:v>
      </x:c>
      <x:c r="V1367" s="2" t="n">
        <x:f>IF(AND(M1367=1,P1367=0,ISNUMBER(J1367),J1367&lt;TODAY()),1,0)</x:f>
        <x:v>0</x:v>
      </x:c>
      <x:c r="W1367" s="2" t="str">
        <x:f>'Research &amp; Analysis'!M639</x:f>
        <x:v>Task</x:v>
      </x:c>
    </x:row>
    <x:row r="1368" ht="40" customHeight="1">
      <x:c r="A1368" s="3" t="str">
        <x:f>HYPERLINK("#'Research &amp; Analysis'!A640","Open")</x:f>
        <x:v>Open</x:v>
      </x:c>
      <x:c r="B1368" s="2" t="str">
        <x:f>'Research &amp; Analysis'!B640</x:f>
        <x:v>Cycle 4</x:v>
      </x:c>
      <x:c r="C1368" s="2" t="str">
        <x:f>'Research &amp; Analysis'!C640</x:f>
        <x:v>Phase 2</x:v>
      </x:c>
      <x:c r="D1368" s="2" t="str">
        <x:f>'Research &amp; Analysis'!D640</x:f>
        <x:v>Retail Services</x:v>
      </x:c>
      <x:c r="E1368" s="2" t="str">
        <x:v>Research &amp; Analysis</x:v>
      </x:c>
      <x:c r="F1368" s="56" t="str">
        <x:f>'Research &amp; Analysis'!E640</x:f>
        <x:v>RA.RS.2.1</x:v>
      </x:c>
      <x:c r="G1368" s="14" t="str">
        <x:f>'Research &amp; Analysis'!F640</x:f>
        <x:v>Review data sources</x:v>
      </x:c>
      <x:c r="H1368" s="2" t="str">
        <x:f>IF('Research &amp; Analysis'!G640="","",'Research &amp; Analysis'!G640)</x:f>
      </x:c>
      <x:c r="I1368" s="12" t="str">
        <x:f>IF('Research &amp; Analysis'!H640="","",'Research &amp; Analysis'!H640)</x:f>
      </x:c>
      <x:c r="J1368" s="12" t="n">
        <x:f>IF('Research &amp; Analysis'!I640="","",'Research &amp; Analysis'!I640)</x:f>
        <x:v>46387</x:v>
      </x:c>
      <x:c r="K1368" s="12" t="str">
        <x:f>IF('Research &amp; Analysis'!J640="","",'Research &amp; Analysis'!J640)</x:f>
      </x:c>
      <x:c r="L1368" s="2" t="str">
        <x:f>IF('Research &amp; Analysis'!K640="","",'Research &amp; Analysis'!K640)</x:f>
      </x:c>
      <x:c r="M1368" s="2" t="n">
        <x:f>'Research &amp; Analysis'!Q640</x:f>
        <x:v>1</x:v>
      </x:c>
      <x:c r="N1368" s="2" t="str">
        <x:f>'Research &amp; Analysis'!L640</x:f>
        <x:v>Not started</x:v>
      </x:c>
      <x:c r="O1368" s="2" t="str">
        <x:f>'Research &amp; Analysis'!N640</x:f>
        <x:v>RA.RS.2.1.2026.CY4</x:v>
      </x:c>
      <x:c r="P1368" s="2" t="n">
        <x:f>'Research &amp; Analysis'!O640</x:f>
        <x:v>0</x:v>
      </x:c>
      <x:c r="Q1368" s="2" t="n">
        <x:f>SUBTOTAL(103,O1368)</x:f>
        <x:v>1</x:v>
      </x:c>
      <x:c r="R1368" s="2" t="n">
        <x:f>IF(AND(M1368=1,OR(Dashboard!$B$7="All",Dashboard!$B$7='Cycles &amp; Guide'!$C$5),OR(Dashboard!$D$7="All",Dashboard!$D$7=B1368),OR(Dashboard!$F$7="All",Dashboard!$F$7=C1368),OR(Dashboard!$H$7="All",Dashboard!$H$7=D1368),OR(Dashboard!$K$7="All",Dashboard!$K$7=E1368)),1,0)</x:f>
        <x:v>1</x:v>
      </x:c>
      <x:c r="S1368" s="2" t="n">
        <x:f>IF(R1368=1,SUM($R$10:R1368),0)</x:f>
        <x:v>995</x:v>
      </x:c>
      <x:c r="T1368" s="2" t="str">
        <x:v>Research &amp; Analysis</x:v>
      </x:c>
      <x:c r="U1368" s="2" t="n">
        <x:v>640</x:v>
      </x:c>
      <x:c r="V1368" s="2" t="n">
        <x:f>IF(AND(M1368=1,P1368=0,ISNUMBER(J1368),J1368&lt;TODAY()),1,0)</x:f>
        <x:v>0</x:v>
      </x:c>
      <x:c r="W1368" s="2" t="str">
        <x:f>'Research &amp; Analysis'!M640</x:f>
        <x:v>Task</x:v>
      </x:c>
    </x:row>
    <x:row r="1369" ht="40" customHeight="1">
      <x:c r="A1369" s="3" t="str">
        <x:f>HYPERLINK("#'Research &amp; Analysis'!A641","Open")</x:f>
        <x:v>Open</x:v>
      </x:c>
      <x:c r="B1369" s="2" t="str">
        <x:f>'Research &amp; Analysis'!B641</x:f>
        <x:v>Cycle 4</x:v>
      </x:c>
      <x:c r="C1369" s="2" t="str">
        <x:f>'Research &amp; Analysis'!C641</x:f>
        <x:v>Phase 2</x:v>
      </x:c>
      <x:c r="D1369" s="2" t="str">
        <x:f>'Research &amp; Analysis'!D641</x:f>
        <x:v>Retail Services</x:v>
      </x:c>
      <x:c r="E1369" s="2" t="str">
        <x:v>Research &amp; Analysis</x:v>
      </x:c>
      <x:c r="F1369" s="56" t="str">
        <x:f>'Research &amp; Analysis'!E641</x:f>
        <x:v>RA.RS.2.2</x:v>
      </x:c>
      <x:c r="G1369" s="14" t="str">
        <x:f>'Research &amp; Analysis'!F641</x:f>
        <x:v>Review relevant policies and procedures</x:v>
      </x:c>
      <x:c r="H1369" s="2" t="str">
        <x:f>IF('Research &amp; Analysis'!G641="","",'Research &amp; Analysis'!G641)</x:f>
      </x:c>
      <x:c r="I1369" s="12" t="str">
        <x:f>IF('Research &amp; Analysis'!H641="","",'Research &amp; Analysis'!H641)</x:f>
      </x:c>
      <x:c r="J1369" s="12" t="n">
        <x:f>IF('Research &amp; Analysis'!I641="","",'Research &amp; Analysis'!I641)</x:f>
        <x:v>46387</x:v>
      </x:c>
      <x:c r="K1369" s="12" t="str">
        <x:f>IF('Research &amp; Analysis'!J641="","",'Research &amp; Analysis'!J641)</x:f>
      </x:c>
      <x:c r="L1369" s="2" t="str">
        <x:f>IF('Research &amp; Analysis'!K641="","",'Research &amp; Analysis'!K641)</x:f>
      </x:c>
      <x:c r="M1369" s="2" t="n">
        <x:f>'Research &amp; Analysis'!Q641</x:f>
        <x:v>1</x:v>
      </x:c>
      <x:c r="N1369" s="2" t="str">
        <x:f>'Research &amp; Analysis'!L641</x:f>
        <x:v>Not started</x:v>
      </x:c>
      <x:c r="O1369" s="2" t="str">
        <x:f>'Research &amp; Analysis'!N641</x:f>
        <x:v>RA.RS.2.2.2026.CY4</x:v>
      </x:c>
      <x:c r="P1369" s="2" t="n">
        <x:f>'Research &amp; Analysis'!O641</x:f>
        <x:v>0</x:v>
      </x:c>
      <x:c r="Q1369" s="2" t="n">
        <x:f>SUBTOTAL(103,O1369)</x:f>
        <x:v>1</x:v>
      </x:c>
      <x:c r="R1369" s="2" t="n">
        <x:f>IF(AND(M1369=1,OR(Dashboard!$B$7="All",Dashboard!$B$7='Cycles &amp; Guide'!$C$5),OR(Dashboard!$D$7="All",Dashboard!$D$7=B1369),OR(Dashboard!$F$7="All",Dashboard!$F$7=C1369),OR(Dashboard!$H$7="All",Dashboard!$H$7=D1369),OR(Dashboard!$K$7="All",Dashboard!$K$7=E1369)),1,0)</x:f>
        <x:v>1</x:v>
      </x:c>
      <x:c r="S1369" s="2" t="n">
        <x:f>IF(R1369=1,SUM($R$10:R1369),0)</x:f>
        <x:v>996</x:v>
      </x:c>
      <x:c r="T1369" s="2" t="str">
        <x:v>Research &amp; Analysis</x:v>
      </x:c>
      <x:c r="U1369" s="2" t="n">
        <x:v>641</x:v>
      </x:c>
      <x:c r="V1369" s="2" t="n">
        <x:f>IF(AND(M1369=1,P1369=0,ISNUMBER(J1369),J1369&lt;TODAY()),1,0)</x:f>
        <x:v>0</x:v>
      </x:c>
      <x:c r="W1369" s="2" t="str">
        <x:f>'Research &amp; Analysis'!M641</x:f>
        <x:v>Task</x:v>
      </x:c>
    </x:row>
    <x:row r="1370" ht="40" customHeight="1">
      <x:c r="A1370" s="3" t="str">
        <x:f>HYPERLINK("#'Research &amp; Analysis'!A642","Open")</x:f>
        <x:v>Open</x:v>
      </x:c>
      <x:c r="B1370" s="2" t="str">
        <x:f>'Research &amp; Analysis'!B642</x:f>
        <x:v>Cycle 4</x:v>
      </x:c>
      <x:c r="C1370" s="2" t="str">
        <x:f>'Research &amp; Analysis'!C642</x:f>
        <x:v>Phase 2</x:v>
      </x:c>
      <x:c r="D1370" s="2" t="str">
        <x:f>'Research &amp; Analysis'!D642</x:f>
        <x:v>Retail Services</x:v>
      </x:c>
      <x:c r="E1370" s="2" t="str">
        <x:v>Research &amp; Analysis</x:v>
      </x:c>
      <x:c r="F1370" s="56" t="str">
        <x:f>'Research &amp; Analysis'!E642</x:f>
        <x:v>RA.RS.2.3</x:v>
      </x:c>
      <x:c r="G1370" s="14" t="str">
        <x:f>'Research &amp; Analysis'!F642</x:f>
        <x:v>Meet with SMEs to gain business insight and clarify questions</x:v>
      </x:c>
      <x:c r="H1370" s="2" t="str">
        <x:f>IF('Research &amp; Analysis'!G642="","",'Research &amp; Analysis'!G642)</x:f>
      </x:c>
      <x:c r="I1370" s="12" t="str">
        <x:f>IF('Research &amp; Analysis'!H642="","",'Research &amp; Analysis'!H642)</x:f>
      </x:c>
      <x:c r="J1370" s="12" t="n">
        <x:f>IF('Research &amp; Analysis'!I642="","",'Research &amp; Analysis'!I642)</x:f>
        <x:v>46387</x:v>
      </x:c>
      <x:c r="K1370" s="12" t="str">
        <x:f>IF('Research &amp; Analysis'!J642="","",'Research &amp; Analysis'!J642)</x:f>
      </x:c>
      <x:c r="L1370" s="2" t="str">
        <x:f>IF('Research &amp; Analysis'!K642="","",'Research &amp; Analysis'!K642)</x:f>
      </x:c>
      <x:c r="M1370" s="2" t="n">
        <x:f>'Research &amp; Analysis'!Q642</x:f>
        <x:v>1</x:v>
      </x:c>
      <x:c r="N1370" s="2" t="str">
        <x:f>'Research &amp; Analysis'!L642</x:f>
        <x:v>Not started</x:v>
      </x:c>
      <x:c r="O1370" s="2" t="str">
        <x:f>'Research &amp; Analysis'!N642</x:f>
        <x:v>RA.RS.2.3.2026.CY4</x:v>
      </x:c>
      <x:c r="P1370" s="2" t="n">
        <x:f>'Research &amp; Analysis'!O642</x:f>
        <x:v>0</x:v>
      </x:c>
      <x:c r="Q1370" s="2" t="n">
        <x:f>SUBTOTAL(103,O1370)</x:f>
        <x:v>1</x:v>
      </x:c>
      <x:c r="R1370" s="2" t="n">
        <x:f>IF(AND(M1370=1,OR(Dashboard!$B$7="All",Dashboard!$B$7='Cycles &amp; Guide'!$C$5),OR(Dashboard!$D$7="All",Dashboard!$D$7=B1370),OR(Dashboard!$F$7="All",Dashboard!$F$7=C1370),OR(Dashboard!$H$7="All",Dashboard!$H$7=D1370),OR(Dashboard!$K$7="All",Dashboard!$K$7=E1370)),1,0)</x:f>
        <x:v>1</x:v>
      </x:c>
      <x:c r="S1370" s="2" t="n">
        <x:f>IF(R1370=1,SUM($R$10:R1370),0)</x:f>
        <x:v>997</x:v>
      </x:c>
      <x:c r="T1370" s="2" t="str">
        <x:v>Research &amp; Analysis</x:v>
      </x:c>
      <x:c r="U1370" s="2" t="n">
        <x:v>642</x:v>
      </x:c>
      <x:c r="V1370" s="2" t="n">
        <x:f>IF(AND(M1370=1,P1370=0,ISNUMBER(J1370),J1370&lt;TODAY()),1,0)</x:f>
        <x:v>0</x:v>
      </x:c>
      <x:c r="W1370" s="2" t="str">
        <x:f>'Research &amp; Analysis'!M642</x:f>
        <x:v>Task</x:v>
      </x:c>
    </x:row>
    <x:row r="1371" ht="40" customHeight="1">
      <x:c r="A1371" s="3" t="str">
        <x:f>HYPERLINK("#'Research &amp; Analysis'!A643","Open")</x:f>
        <x:v>Open</x:v>
      </x:c>
      <x:c r="B1371" s="2" t="str">
        <x:f>'Research &amp; Analysis'!B643</x:f>
        <x:v>Cycle 4</x:v>
      </x:c>
      <x:c r="C1371" s="2" t="str">
        <x:f>'Research &amp; Analysis'!C643</x:f>
        <x:v>Phase 2</x:v>
      </x:c>
      <x:c r="D1371" s="2" t="str">
        <x:f>'Research &amp; Analysis'!D643</x:f>
        <x:v>Retail Services</x:v>
      </x:c>
      <x:c r="E1371" s="2" t="str">
        <x:v>Research &amp; Analysis</x:v>
      </x:c>
      <x:c r="F1371" s="56" t="str">
        <x:f>'Research &amp; Analysis'!E643</x:f>
        <x:v>RA.RS.2.4</x:v>
      </x:c>
      <x:c r="G1371" s="14" t="str">
        <x:f>'Research &amp; Analysis'!F643</x:f>
        <x:v>Establish and maintain a recurring meeting with D&amp;I to discuss Cycle progress</x:v>
      </x:c>
      <x:c r="H1371" s="2" t="str">
        <x:f>IF('Research &amp; Analysis'!G643="","",'Research &amp; Analysis'!G643)</x:f>
      </x:c>
      <x:c r="I1371" s="12" t="str">
        <x:f>IF('Research &amp; Analysis'!H643="","",'Research &amp; Analysis'!H643)</x:f>
      </x:c>
      <x:c r="J1371" s="12" t="n">
        <x:f>IF('Research &amp; Analysis'!I643="","",'Research &amp; Analysis'!I643)</x:f>
        <x:v>46387</x:v>
      </x:c>
      <x:c r="K1371" s="12" t="str">
        <x:f>IF('Research &amp; Analysis'!J643="","",'Research &amp; Analysis'!J643)</x:f>
      </x:c>
      <x:c r="L1371" s="2" t="str">
        <x:f>IF('Research &amp; Analysis'!K643="","",'Research &amp; Analysis'!K643)</x:f>
      </x:c>
      <x:c r="M1371" s="2" t="n">
        <x:f>'Research &amp; Analysis'!Q643</x:f>
        <x:v>1</x:v>
      </x:c>
      <x:c r="N1371" s="2" t="str">
        <x:f>'Research &amp; Analysis'!L643</x:f>
        <x:v>Not started</x:v>
      </x:c>
      <x:c r="O1371" s="2" t="str">
        <x:f>'Research &amp; Analysis'!N643</x:f>
        <x:v>RA.RS.2.4.2026.CY4</x:v>
      </x:c>
      <x:c r="P1371" s="2" t="n">
        <x:f>'Research &amp; Analysis'!O643</x:f>
        <x:v>0</x:v>
      </x:c>
      <x:c r="Q1371" s="2" t="n">
        <x:f>SUBTOTAL(103,O1371)</x:f>
        <x:v>1</x:v>
      </x:c>
      <x:c r="R1371" s="2" t="n">
        <x:f>IF(AND(M1371=1,OR(Dashboard!$B$7="All",Dashboard!$B$7='Cycles &amp; Guide'!$C$5),OR(Dashboard!$D$7="All",Dashboard!$D$7=B1371),OR(Dashboard!$F$7="All",Dashboard!$F$7=C1371),OR(Dashboard!$H$7="All",Dashboard!$H$7=D1371),OR(Dashboard!$K$7="All",Dashboard!$K$7=E1371)),1,0)</x:f>
        <x:v>1</x:v>
      </x:c>
      <x:c r="S1371" s="2" t="n">
        <x:f>IF(R1371=1,SUM($R$10:R1371),0)</x:f>
        <x:v>998</x:v>
      </x:c>
      <x:c r="T1371" s="2" t="str">
        <x:v>Research &amp; Analysis</x:v>
      </x:c>
      <x:c r="U1371" s="2" t="n">
        <x:v>643</x:v>
      </x:c>
      <x:c r="V1371" s="2" t="n">
        <x:f>IF(AND(M1371=1,P1371=0,ISNUMBER(J1371),J1371&lt;TODAY()),1,0)</x:f>
        <x:v>0</x:v>
      </x:c>
      <x:c r="W1371" s="2" t="str">
        <x:f>'Research &amp; Analysis'!M643</x:f>
        <x:v>Task</x:v>
      </x:c>
    </x:row>
    <x:row r="1372" ht="40" customHeight="1">
      <x:c r="A1372" s="3" t="str">
        <x:f>HYPERLINK("#'Research &amp; Analysis'!A644","Open")</x:f>
        <x:v>Open</x:v>
      </x:c>
      <x:c r="B1372" s="2" t="str">
        <x:f>'Research &amp; Analysis'!B644</x:f>
        <x:v>Cycle 4</x:v>
      </x:c>
      <x:c r="C1372" s="2" t="str">
        <x:f>'Research &amp; Analysis'!C644</x:f>
        <x:v>Phase 2</x:v>
      </x:c>
      <x:c r="D1372" s="2" t="str">
        <x:f>'Research &amp; Analysis'!D644</x:f>
        <x:v>Retail Services</x:v>
      </x:c>
      <x:c r="E1372" s="2" t="str">
        <x:v>Research &amp; Analysis</x:v>
      </x:c>
      <x:c r="F1372" s="56" t="str">
        <x:f>'Research &amp; Analysis'!E644</x:f>
        <x:v>RA.RS.2.5</x:v>
      </x:c>
      <x:c r="G1372" s="14" t="str">
        <x:f>'Research &amp; Analysis'!F644</x:f>
        <x:v>Perform data testing and sampling</x:v>
      </x:c>
      <x:c r="H1372" s="2" t="str">
        <x:f>IF('Research &amp; Analysis'!G644="","",'Research &amp; Analysis'!G644)</x:f>
      </x:c>
      <x:c r="I1372" s="12" t="str">
        <x:f>IF('Research &amp; Analysis'!H644="","",'Research &amp; Analysis'!H644)</x:f>
      </x:c>
      <x:c r="J1372" s="12" t="n">
        <x:f>IF('Research &amp; Analysis'!I644="","",'Research &amp; Analysis'!I644)</x:f>
        <x:v>46387</x:v>
      </x:c>
      <x:c r="K1372" s="12" t="str">
        <x:f>IF('Research &amp; Analysis'!J644="","",'Research &amp; Analysis'!J644)</x:f>
      </x:c>
      <x:c r="L1372" s="2" t="str">
        <x:f>IF('Research &amp; Analysis'!K644="","",'Research &amp; Analysis'!K644)</x:f>
      </x:c>
      <x:c r="M1372" s="2" t="n">
        <x:f>'Research &amp; Analysis'!Q644</x:f>
        <x:v>1</x:v>
      </x:c>
      <x:c r="N1372" s="2" t="str">
        <x:f>'Research &amp; Analysis'!L644</x:f>
        <x:v>Not started</x:v>
      </x:c>
      <x:c r="O1372" s="2" t="str">
        <x:f>'Research &amp; Analysis'!N644</x:f>
        <x:v>RA.RS.2.5.2026.CY4</x:v>
      </x:c>
      <x:c r="P1372" s="2" t="n">
        <x:f>'Research &amp; Analysis'!O644</x:f>
        <x:v>0</x:v>
      </x:c>
      <x:c r="Q1372" s="2" t="n">
        <x:f>SUBTOTAL(103,O1372)</x:f>
        <x:v>1</x:v>
      </x:c>
      <x:c r="R1372" s="2" t="n">
        <x:f>IF(AND(M1372=1,OR(Dashboard!$B$7="All",Dashboard!$B$7='Cycles &amp; Guide'!$C$5),OR(Dashboard!$D$7="All",Dashboard!$D$7=B1372),OR(Dashboard!$F$7="All",Dashboard!$F$7=C1372),OR(Dashboard!$H$7="All",Dashboard!$H$7=D1372),OR(Dashboard!$K$7="All",Dashboard!$K$7=E1372)),1,0)</x:f>
        <x:v>1</x:v>
      </x:c>
      <x:c r="S1372" s="2" t="n">
        <x:f>IF(R1372=1,SUM($R$10:R1372),0)</x:f>
        <x:v>999</x:v>
      </x:c>
      <x:c r="T1372" s="2" t="str">
        <x:v>Research &amp; Analysis</x:v>
      </x:c>
      <x:c r="U1372" s="2" t="n">
        <x:v>644</x:v>
      </x:c>
      <x:c r="V1372" s="2" t="n">
        <x:f>IF(AND(M1372=1,P1372=0,ISNUMBER(J1372),J1372&lt;TODAY()),1,0)</x:f>
        <x:v>0</x:v>
      </x:c>
      <x:c r="W1372" s="2" t="str">
        <x:f>'Research &amp; Analysis'!M644</x:f>
        <x:v>Task</x:v>
      </x:c>
    </x:row>
    <x:row r="1373" ht="40" customHeight="1">
      <x:c r="A1373" s="3" t="str">
        <x:f>HYPERLINK("#'Research &amp; Analysis'!A645","Open")</x:f>
        <x:v>Open</x:v>
      </x:c>
      <x:c r="B1373" s="2" t="str">
        <x:f>'Research &amp; Analysis'!B645</x:f>
        <x:v>Cycle 4</x:v>
      </x:c>
      <x:c r="C1373" s="2" t="str">
        <x:f>'Research &amp; Analysis'!C645</x:f>
        <x:v>Phase 2</x:v>
      </x:c>
      <x:c r="D1373" s="2" t="str">
        <x:f>'Research &amp; Analysis'!D645</x:f>
        <x:v>Retail Services</x:v>
      </x:c>
      <x:c r="E1373" s="2" t="str">
        <x:v>Research &amp; Analysis</x:v>
      </x:c>
      <x:c r="F1373" s="56" t="str">
        <x:f>'Research &amp; Analysis'!E645</x:f>
        <x:v>RA.RS.2.6</x:v>
      </x:c>
      <x:c r="G1373" s="14" t="str">
        <x:f>'Research &amp; Analysis'!F645</x:f>
        <x:v>Complete Positive Testing</x:v>
      </x:c>
      <x:c r="H1373" s="2" t="str">
        <x:f>IF('Research &amp; Analysis'!G645="","",'Research &amp; Analysis'!G645)</x:f>
      </x:c>
      <x:c r="I1373" s="12" t="str">
        <x:f>IF('Research &amp; Analysis'!H645="","",'Research &amp; Analysis'!H645)</x:f>
      </x:c>
      <x:c r="J1373" s="12" t="n">
        <x:f>IF('Research &amp; Analysis'!I645="","",'Research &amp; Analysis'!I645)</x:f>
        <x:v>46387</x:v>
      </x:c>
      <x:c r="K1373" s="12" t="str">
        <x:f>IF('Research &amp; Analysis'!J645="","",'Research &amp; Analysis'!J645)</x:f>
      </x:c>
      <x:c r="L1373" s="2" t="str">
        <x:f>IF('Research &amp; Analysis'!K645="","",'Research &amp; Analysis'!K645)</x:f>
      </x:c>
      <x:c r="M1373" s="2" t="n">
        <x:f>'Research &amp; Analysis'!Q645</x:f>
        <x:v>1</x:v>
      </x:c>
      <x:c r="N1373" s="2" t="str">
        <x:f>'Research &amp; Analysis'!L645</x:f>
        <x:v>Not started</x:v>
      </x:c>
      <x:c r="O1373" s="2" t="str">
        <x:f>'Research &amp; Analysis'!N645</x:f>
        <x:v>RA.RS.2.6.2026.CY4</x:v>
      </x:c>
      <x:c r="P1373" s="2" t="n">
        <x:f>'Research &amp; Analysis'!O645</x:f>
        <x:v>0</x:v>
      </x:c>
      <x:c r="Q1373" s="2" t="n">
        <x:f>SUBTOTAL(103,O1373)</x:f>
        <x:v>1</x:v>
      </x:c>
      <x:c r="R1373" s="2" t="n">
        <x:f>IF(AND(M1373=1,OR(Dashboard!$B$7="All",Dashboard!$B$7='Cycles &amp; Guide'!$C$5),OR(Dashboard!$D$7="All",Dashboard!$D$7=B1373),OR(Dashboard!$F$7="All",Dashboard!$F$7=C1373),OR(Dashboard!$H$7="All",Dashboard!$H$7=D1373),OR(Dashboard!$K$7="All",Dashboard!$K$7=E1373)),1,0)</x:f>
        <x:v>1</x:v>
      </x:c>
      <x:c r="S1373" s="2" t="n">
        <x:f>IF(R1373=1,SUM($R$10:R1373),0)</x:f>
        <x:v>1000</x:v>
      </x:c>
      <x:c r="T1373" s="2" t="str">
        <x:v>Research &amp; Analysis</x:v>
      </x:c>
      <x:c r="U1373" s="2" t="n">
        <x:v>645</x:v>
      </x:c>
      <x:c r="V1373" s="2" t="n">
        <x:f>IF(AND(M1373=1,P1373=0,ISNUMBER(J1373),J1373&lt;TODAY()),1,0)</x:f>
        <x:v>0</x:v>
      </x:c>
      <x:c r="W1373" s="2" t="str">
        <x:f>'Research &amp; Analysis'!M645</x:f>
        <x:v>Task</x:v>
      </x:c>
    </x:row>
    <x:row r="1374" ht="40" customHeight="1">
      <x:c r="A1374" s="3" t="str">
        <x:f>HYPERLINK("#'Research &amp; Analysis'!A646","Open")</x:f>
        <x:v>Open</x:v>
      </x:c>
      <x:c r="B1374" s="2" t="str">
        <x:f>'Research &amp; Analysis'!B646</x:f>
        <x:v>Cycle 4</x:v>
      </x:c>
      <x:c r="C1374" s="2" t="str">
        <x:f>'Research &amp; Analysis'!C646</x:f>
        <x:v>Phase 2</x:v>
      </x:c>
      <x:c r="D1374" s="2" t="str">
        <x:f>'Research &amp; Analysis'!D646</x:f>
        <x:v>Retail Services</x:v>
      </x:c>
      <x:c r="E1374" s="2" t="str">
        <x:v>Research &amp; Analysis</x:v>
      </x:c>
      <x:c r="F1374" s="56" t="str">
        <x:f>'Research &amp; Analysis'!E646</x:f>
        <x:v>RA.RS.2.7</x:v>
      </x:c>
      <x:c r="G1374" s="14" t="str">
        <x:f>'Research &amp; Analysis'!F646</x:f>
        <x:v>Complete Negative Testing</x:v>
      </x:c>
      <x:c r="H1374" s="2" t="str">
        <x:f>IF('Research &amp; Analysis'!G646="","",'Research &amp; Analysis'!G646)</x:f>
      </x:c>
      <x:c r="I1374" s="12" t="str">
        <x:f>IF('Research &amp; Analysis'!H646="","",'Research &amp; Analysis'!H646)</x:f>
      </x:c>
      <x:c r="J1374" s="12" t="n">
        <x:f>IF('Research &amp; Analysis'!I646="","",'Research &amp; Analysis'!I646)</x:f>
        <x:v>46387</x:v>
      </x:c>
      <x:c r="K1374" s="12" t="str">
        <x:f>IF('Research &amp; Analysis'!J646="","",'Research &amp; Analysis'!J646)</x:f>
      </x:c>
      <x:c r="L1374" s="2" t="str">
        <x:f>IF('Research &amp; Analysis'!K646="","",'Research &amp; Analysis'!K646)</x:f>
      </x:c>
      <x:c r="M1374" s="2" t="n">
        <x:f>'Research &amp; Analysis'!Q646</x:f>
        <x:v>1</x:v>
      </x:c>
      <x:c r="N1374" s="2" t="str">
        <x:f>'Research &amp; Analysis'!L646</x:f>
        <x:v>Not started</x:v>
      </x:c>
      <x:c r="O1374" s="2" t="str">
        <x:f>'Research &amp; Analysis'!N646</x:f>
        <x:v>RA.RS.2.7.2026.CY4</x:v>
      </x:c>
      <x:c r="P1374" s="2" t="n">
        <x:f>'Research &amp; Analysis'!O646</x:f>
        <x:v>0</x:v>
      </x:c>
      <x:c r="Q1374" s="2" t="n">
        <x:f>SUBTOTAL(103,O1374)</x:f>
        <x:v>1</x:v>
      </x:c>
      <x:c r="R1374" s="2" t="n">
        <x:f>IF(AND(M1374=1,OR(Dashboard!$B$7="All",Dashboard!$B$7='Cycles &amp; Guide'!$C$5),OR(Dashboard!$D$7="All",Dashboard!$D$7=B1374),OR(Dashboard!$F$7="All",Dashboard!$F$7=C1374),OR(Dashboard!$H$7="All",Dashboard!$H$7=D1374),OR(Dashboard!$K$7="All",Dashboard!$K$7=E1374)),1,0)</x:f>
        <x:v>1</x:v>
      </x:c>
      <x:c r="S1374" s="2" t="n">
        <x:f>IF(R1374=1,SUM($R$10:R1374),0)</x:f>
        <x:v>1001</x:v>
      </x:c>
      <x:c r="T1374" s="2" t="str">
        <x:v>Research &amp; Analysis</x:v>
      </x:c>
      <x:c r="U1374" s="2" t="n">
        <x:v>646</x:v>
      </x:c>
      <x:c r="V1374" s="2" t="n">
        <x:f>IF(AND(M1374=1,P1374=0,ISNUMBER(J1374),J1374&lt;TODAY()),1,0)</x:f>
        <x:v>0</x:v>
      </x:c>
      <x:c r="W1374" s="2" t="str">
        <x:f>'Research &amp; Analysis'!M646</x:f>
        <x:v>Task</x:v>
      </x:c>
    </x:row>
    <x:row r="1375" ht="40" customHeight="1">
      <x:c r="A1375" s="3" t="str">
        <x:f>HYPERLINK("#'Research &amp; Analysis'!A647","Open")</x:f>
        <x:v>Open</x:v>
      </x:c>
      <x:c r="B1375" s="2" t="str">
        <x:f>'Research &amp; Analysis'!B647</x:f>
        <x:v>Cycle 4</x:v>
      </x:c>
      <x:c r="C1375" s="2" t="str">
        <x:f>'Research &amp; Analysis'!C647</x:f>
        <x:v>Phase 2</x:v>
      </x:c>
      <x:c r="D1375" s="2" t="str">
        <x:f>'Research &amp; Analysis'!D647</x:f>
        <x:v>Retail Services</x:v>
      </x:c>
      <x:c r="E1375" s="2" t="str">
        <x:v>Research &amp; Analysis</x:v>
      </x:c>
      <x:c r="F1375" s="56" t="str">
        <x:f>'Research &amp; Analysis'!E647</x:f>
        <x:v>RA.RS.2.8</x:v>
      </x:c>
      <x:c r="G1375" s="14" t="str">
        <x:f>'Research &amp; Analysis'!F647</x:f>
        <x:v>Request additional data (as needed)</x:v>
      </x:c>
      <x:c r="H1375" s="2" t="str">
        <x:f>IF('Research &amp; Analysis'!G647="","",'Research &amp; Analysis'!G647)</x:f>
      </x:c>
      <x:c r="I1375" s="12" t="str">
        <x:f>IF('Research &amp; Analysis'!H647="","",'Research &amp; Analysis'!H647)</x:f>
      </x:c>
      <x:c r="J1375" s="12" t="n">
        <x:f>IF('Research &amp; Analysis'!I647="","",'Research &amp; Analysis'!I647)</x:f>
        <x:v>46387</x:v>
      </x:c>
      <x:c r="K1375" s="12" t="str">
        <x:f>IF('Research &amp; Analysis'!J647="","",'Research &amp; Analysis'!J647)</x:f>
      </x:c>
      <x:c r="L1375" s="2" t="str">
        <x:f>IF('Research &amp; Analysis'!K647="","",'Research &amp; Analysis'!K647)</x:f>
      </x:c>
      <x:c r="M1375" s="2" t="n">
        <x:f>'Research &amp; Analysis'!Q647</x:f>
        <x:v>1</x:v>
      </x:c>
      <x:c r="N1375" s="2" t="str">
        <x:f>'Research &amp; Analysis'!L647</x:f>
        <x:v>Not started</x:v>
      </x:c>
      <x:c r="O1375" s="2" t="str">
        <x:f>'Research &amp; Analysis'!N647</x:f>
        <x:v>RA.RS.2.8.2026.CY4</x:v>
      </x:c>
      <x:c r="P1375" s="2" t="n">
        <x:f>'Research &amp; Analysis'!O647</x:f>
        <x:v>0</x:v>
      </x:c>
      <x:c r="Q1375" s="2" t="n">
        <x:f>SUBTOTAL(103,O1375)</x:f>
        <x:v>1</x:v>
      </x:c>
      <x:c r="R1375" s="2" t="n">
        <x:f>IF(AND(M1375=1,OR(Dashboard!$B$7="All",Dashboard!$B$7='Cycles &amp; Guide'!$C$5),OR(Dashboard!$D$7="All",Dashboard!$D$7=B1375),OR(Dashboard!$F$7="All",Dashboard!$F$7=C1375),OR(Dashboard!$H$7="All",Dashboard!$H$7=D1375),OR(Dashboard!$K$7="All",Dashboard!$K$7=E1375)),1,0)</x:f>
        <x:v>1</x:v>
      </x:c>
      <x:c r="S1375" s="2" t="n">
        <x:f>IF(R1375=1,SUM($R$10:R1375),0)</x:f>
        <x:v>1002</x:v>
      </x:c>
      <x:c r="T1375" s="2" t="str">
        <x:v>Research &amp; Analysis</x:v>
      </x:c>
      <x:c r="U1375" s="2" t="n">
        <x:v>647</x:v>
      </x:c>
      <x:c r="V1375" s="2" t="n">
        <x:f>IF(AND(M1375=1,P1375=0,ISNUMBER(J1375),J1375&lt;TODAY()),1,0)</x:f>
        <x:v>0</x:v>
      </x:c>
      <x:c r="W1375" s="2" t="str">
        <x:f>'Research &amp; Analysis'!M647</x:f>
        <x:v>Task</x:v>
      </x:c>
    </x:row>
    <x:row r="1376" ht="40" customHeight="1">
      <x:c r="A1376" s="3" t="str">
        <x:f>HYPERLINK("#'Research &amp; Analysis'!A648","Open")</x:f>
        <x:v>Open</x:v>
      </x:c>
      <x:c r="B1376" s="2" t="str">
        <x:f>'Research &amp; Analysis'!B648</x:f>
        <x:v>Cycle 4</x:v>
      </x:c>
      <x:c r="C1376" s="2" t="str">
        <x:f>'Research &amp; Analysis'!C648</x:f>
        <x:v>Phase 2</x:v>
      </x:c>
      <x:c r="D1376" s="2" t="str">
        <x:f>'Research &amp; Analysis'!D648</x:f>
        <x:v>Retail Services</x:v>
      </x:c>
      <x:c r="E1376" s="2" t="str">
        <x:v>Research &amp; Analysis</x:v>
      </x:c>
      <x:c r="F1376" s="56" t="str">
        <x:f>'Research &amp; Analysis'!E648</x:f>
        <x:v>RA.RS.2.9</x:v>
      </x:c>
      <x:c r="G1376" s="14" t="str">
        <x:f>'Research &amp; Analysis'!F648</x:f>
        <x:v>Validate or disprove initial hypothesis assumptions</x:v>
      </x:c>
      <x:c r="H1376" s="2" t="str">
        <x:f>IF('Research &amp; Analysis'!G648="","",'Research &amp; Analysis'!G648)</x:f>
      </x:c>
      <x:c r="I1376" s="12" t="str">
        <x:f>IF('Research &amp; Analysis'!H648="","",'Research &amp; Analysis'!H648)</x:f>
      </x:c>
      <x:c r="J1376" s="12" t="n">
        <x:f>IF('Research &amp; Analysis'!I648="","",'Research &amp; Analysis'!I648)</x:f>
        <x:v>46387</x:v>
      </x:c>
      <x:c r="K1376" s="12" t="str">
        <x:f>IF('Research &amp; Analysis'!J648="","",'Research &amp; Analysis'!J648)</x:f>
      </x:c>
      <x:c r="L1376" s="2" t="str">
        <x:f>IF('Research &amp; Analysis'!K648="","",'Research &amp; Analysis'!K648)</x:f>
      </x:c>
      <x:c r="M1376" s="2" t="n">
        <x:f>'Research &amp; Analysis'!Q648</x:f>
        <x:v>1</x:v>
      </x:c>
      <x:c r="N1376" s="2" t="str">
        <x:f>'Research &amp; Analysis'!L648</x:f>
        <x:v>Not started</x:v>
      </x:c>
      <x:c r="O1376" s="2" t="str">
        <x:f>'Research &amp; Analysis'!N648</x:f>
        <x:v>RA.RS.2.9.2026.CY4</x:v>
      </x:c>
      <x:c r="P1376" s="2" t="n">
        <x:f>'Research &amp; Analysis'!O648</x:f>
        <x:v>0</x:v>
      </x:c>
      <x:c r="Q1376" s="2" t="n">
        <x:f>SUBTOTAL(103,O1376)</x:f>
        <x:v>1</x:v>
      </x:c>
      <x:c r="R1376" s="2" t="n">
        <x:f>IF(AND(M1376=1,OR(Dashboard!$B$7="All",Dashboard!$B$7='Cycles &amp; Guide'!$C$5),OR(Dashboard!$D$7="All",Dashboard!$D$7=B1376),OR(Dashboard!$F$7="All",Dashboard!$F$7=C1376),OR(Dashboard!$H$7="All",Dashboard!$H$7=D1376),OR(Dashboard!$K$7="All",Dashboard!$K$7=E1376)),1,0)</x:f>
        <x:v>1</x:v>
      </x:c>
      <x:c r="S1376" s="2" t="n">
        <x:f>IF(R1376=1,SUM($R$10:R1376),0)</x:f>
        <x:v>1003</x:v>
      </x:c>
      <x:c r="T1376" s="2" t="str">
        <x:v>Research &amp; Analysis</x:v>
      </x:c>
      <x:c r="U1376" s="2" t="n">
        <x:v>648</x:v>
      </x:c>
      <x:c r="V1376" s="2" t="n">
        <x:f>IF(AND(M1376=1,P1376=0,ISNUMBER(J1376),J1376&lt;TODAY()),1,0)</x:f>
        <x:v>0</x:v>
      </x:c>
      <x:c r="W1376" s="2" t="str">
        <x:f>'Research &amp; Analysis'!M648</x:f>
        <x:v>Task</x:v>
      </x:c>
    </x:row>
    <x:row r="1377" ht="40" customHeight="1">
      <x:c r="A1377" s="3" t="str">
        <x:f>HYPERLINK("#'Research &amp; Analysis'!A649","Open")</x:f>
        <x:v>Open</x:v>
      </x:c>
      <x:c r="B1377" s="2" t="str">
        <x:f>'Research &amp; Analysis'!B649</x:f>
        <x:v>Cycle 4</x:v>
      </x:c>
      <x:c r="C1377" s="2" t="str">
        <x:f>'Research &amp; Analysis'!C649</x:f>
        <x:v>Phase 2</x:v>
      </x:c>
      <x:c r="D1377" s="2" t="str">
        <x:f>'Research &amp; Analysis'!D649</x:f>
        <x:v>Retail Services</x:v>
      </x:c>
      <x:c r="E1377" s="2" t="str">
        <x:v>Research &amp; Analysis</x:v>
      </x:c>
      <x:c r="F1377" s="56" t="str">
        <x:f>'Research &amp; Analysis'!E649</x:f>
        <x:v>RA.RS.2.10</x:v>
      </x:c>
      <x:c r="G1377" s="14" t="str">
        <x:f>'Research &amp; Analysis'!F649</x:f>
        <x:v>Identify and confirm root cause</x:v>
      </x:c>
      <x:c r="H1377" s="2" t="str">
        <x:f>IF('Research &amp; Analysis'!G649="","",'Research &amp; Analysis'!G649)</x:f>
      </x:c>
      <x:c r="I1377" s="12" t="str">
        <x:f>IF('Research &amp; Analysis'!H649="","",'Research &amp; Analysis'!H649)</x:f>
      </x:c>
      <x:c r="J1377" s="12" t="n">
        <x:f>IF('Research &amp; Analysis'!I649="","",'Research &amp; Analysis'!I649)</x:f>
        <x:v>46387</x:v>
      </x:c>
      <x:c r="K1377" s="12" t="str">
        <x:f>IF('Research &amp; Analysis'!J649="","",'Research &amp; Analysis'!J649)</x:f>
      </x:c>
      <x:c r="L1377" s="2" t="str">
        <x:f>IF('Research &amp; Analysis'!K649="","",'Research &amp; Analysis'!K649)</x:f>
      </x:c>
      <x:c r="M1377" s="2" t="n">
        <x:f>'Research &amp; Analysis'!Q649</x:f>
        <x:v>1</x:v>
      </x:c>
      <x:c r="N1377" s="2" t="str">
        <x:f>'Research &amp; Analysis'!L649</x:f>
        <x:v>Not started</x:v>
      </x:c>
      <x:c r="O1377" s="2" t="str">
        <x:f>'Research &amp; Analysis'!N649</x:f>
        <x:v>RA.RS.2.10.2026.CY4</x:v>
      </x:c>
      <x:c r="P1377" s="2" t="n">
        <x:f>'Research &amp; Analysis'!O649</x:f>
        <x:v>0</x:v>
      </x:c>
      <x:c r="Q1377" s="2" t="n">
        <x:f>SUBTOTAL(103,O1377)</x:f>
        <x:v>1</x:v>
      </x:c>
      <x:c r="R1377" s="2" t="n">
        <x:f>IF(AND(M1377=1,OR(Dashboard!$B$7="All",Dashboard!$B$7='Cycles &amp; Guide'!$C$5),OR(Dashboard!$D$7="All",Dashboard!$D$7=B1377),OR(Dashboard!$F$7="All",Dashboard!$F$7=C1377),OR(Dashboard!$H$7="All",Dashboard!$H$7=D1377),OR(Dashboard!$K$7="All",Dashboard!$K$7=E1377)),1,0)</x:f>
        <x:v>1</x:v>
      </x:c>
      <x:c r="S1377" s="2" t="n">
        <x:f>IF(R1377=1,SUM($R$10:R1377),0)</x:f>
        <x:v>1004</x:v>
      </x:c>
      <x:c r="T1377" s="2" t="str">
        <x:v>Research &amp; Analysis</x:v>
      </x:c>
      <x:c r="U1377" s="2" t="n">
        <x:v>649</x:v>
      </x:c>
      <x:c r="V1377" s="2" t="n">
        <x:f>IF(AND(M1377=1,P1377=0,ISNUMBER(J1377),J1377&lt;TODAY()),1,0)</x:f>
        <x:v>0</x:v>
      </x:c>
      <x:c r="W1377" s="2" t="str">
        <x:f>'Research &amp; Analysis'!M649</x:f>
        <x:v>Task</x:v>
      </x:c>
    </x:row>
    <x:row r="1378" ht="40" customHeight="1">
      <x:c r="A1378" s="3" t="str">
        <x:f>HYPERLINK("#'Research &amp; Analysis'!A650","Open")</x:f>
        <x:v>Open</x:v>
      </x:c>
      <x:c r="B1378" s="2" t="str">
        <x:f>'Research &amp; Analysis'!B650</x:f>
        <x:v>Cycle 4</x:v>
      </x:c>
      <x:c r="C1378" s="2" t="str">
        <x:f>'Research &amp; Analysis'!C650</x:f>
        <x:v>Phase 3</x:v>
      </x:c>
      <x:c r="D1378" s="2" t="str">
        <x:f>'Research &amp; Analysis'!D650</x:f>
        <x:v>Retail Services</x:v>
      </x:c>
      <x:c r="E1378" s="2" t="str">
        <x:v>Research &amp; Analysis</x:v>
      </x:c>
      <x:c r="F1378" s="56" t="str">
        <x:f>'Research &amp; Analysis'!E650</x:f>
        <x:v>RA.RS.3.1</x:v>
      </x:c>
      <x:c r="G1378" s="14" t="str">
        <x:f>'Research &amp; Analysis'!F650</x:f>
        <x:v>Finalize results and supporting documentation</x:v>
      </x:c>
      <x:c r="H1378" s="2" t="str">
        <x:f>IF('Research &amp; Analysis'!G650="","",'Research &amp; Analysis'!G650)</x:f>
      </x:c>
      <x:c r="I1378" s="12" t="str">
        <x:f>IF('Research &amp; Analysis'!H650="","",'Research &amp; Analysis'!H650)</x:f>
      </x:c>
      <x:c r="J1378" s="12" t="n">
        <x:f>IF('Research &amp; Analysis'!I650="","",'Research &amp; Analysis'!I650)</x:f>
        <x:v>46387</x:v>
      </x:c>
      <x:c r="K1378" s="12" t="str">
        <x:f>IF('Research &amp; Analysis'!J650="","",'Research &amp; Analysis'!J650)</x:f>
      </x:c>
      <x:c r="L1378" s="2" t="str">
        <x:f>IF('Research &amp; Analysis'!K650="","",'Research &amp; Analysis'!K650)</x:f>
      </x:c>
      <x:c r="M1378" s="2" t="n">
        <x:f>'Research &amp; Analysis'!Q650</x:f>
        <x:v>1</x:v>
      </x:c>
      <x:c r="N1378" s="2" t="str">
        <x:f>'Research &amp; Analysis'!L650</x:f>
        <x:v>Not started</x:v>
      </x:c>
      <x:c r="O1378" s="2" t="str">
        <x:f>'Research &amp; Analysis'!N650</x:f>
        <x:v>RA.RS.3.1.2026.CY4</x:v>
      </x:c>
      <x:c r="P1378" s="2" t="n">
        <x:f>'Research &amp; Analysis'!O650</x:f>
        <x:v>0</x:v>
      </x:c>
      <x:c r="Q1378" s="2" t="n">
        <x:f>SUBTOTAL(103,O1378)</x:f>
        <x:v>1</x:v>
      </x:c>
      <x:c r="R1378" s="2" t="n">
        <x:f>IF(AND(M1378=1,OR(Dashboard!$B$7="All",Dashboard!$B$7='Cycles &amp; Guide'!$C$5),OR(Dashboard!$D$7="All",Dashboard!$D$7=B1378),OR(Dashboard!$F$7="All",Dashboard!$F$7=C1378),OR(Dashboard!$H$7="All",Dashboard!$H$7=D1378),OR(Dashboard!$K$7="All",Dashboard!$K$7=E1378)),1,0)</x:f>
        <x:v>1</x:v>
      </x:c>
      <x:c r="S1378" s="2" t="n">
        <x:f>IF(R1378=1,SUM($R$10:R1378),0)</x:f>
        <x:v>1005</x:v>
      </x:c>
      <x:c r="T1378" s="2" t="str">
        <x:v>Research &amp; Analysis</x:v>
      </x:c>
      <x:c r="U1378" s="2" t="n">
        <x:v>650</x:v>
      </x:c>
      <x:c r="V1378" s="2" t="n">
        <x:f>IF(AND(M1378=1,P1378=0,ISNUMBER(J1378),J1378&lt;TODAY()),1,0)</x:f>
        <x:v>0</x:v>
      </x:c>
      <x:c r="W1378" s="2" t="str">
        <x:f>'Research &amp; Analysis'!M650</x:f>
        <x:v>Task</x:v>
      </x:c>
    </x:row>
    <x:row r="1379" ht="40" customHeight="1">
      <x:c r="A1379" s="3" t="str">
        <x:f>HYPERLINK("#'Research &amp; Analysis'!A651","Open")</x:f>
        <x:v>Open</x:v>
      </x:c>
      <x:c r="B1379" s="2" t="str">
        <x:f>'Research &amp; Analysis'!B651</x:f>
        <x:v>Cycle 4</x:v>
      </x:c>
      <x:c r="C1379" s="2" t="str">
        <x:f>'Research &amp; Analysis'!C651</x:f>
        <x:v>Phase 3</x:v>
      </x:c>
      <x:c r="D1379" s="2" t="str">
        <x:f>'Research &amp; Analysis'!D651</x:f>
        <x:v>Retail Services</x:v>
      </x:c>
      <x:c r="E1379" s="2" t="str">
        <x:v>Research &amp; Analysis</x:v>
      </x:c>
      <x:c r="F1379" s="56" t="str">
        <x:f>'Research &amp; Analysis'!E651</x:f>
        <x:v>RA.RS.3.2</x:v>
      </x:c>
      <x:c r="G1379" s="14" t="str">
        <x:f>'Research &amp; Analysis'!F651</x:f>
        <x:v>Maintain and update the evidence package prior to handoff to D&amp;I</x:v>
      </x:c>
      <x:c r="H1379" s="2" t="str">
        <x:f>IF('Research &amp; Analysis'!G651="","",'Research &amp; Analysis'!G651)</x:f>
      </x:c>
      <x:c r="I1379" s="12" t="str">
        <x:f>IF('Research &amp; Analysis'!H651="","",'Research &amp; Analysis'!H651)</x:f>
      </x:c>
      <x:c r="J1379" s="12" t="n">
        <x:f>IF('Research &amp; Analysis'!I651="","",'Research &amp; Analysis'!I651)</x:f>
        <x:v>46387</x:v>
      </x:c>
      <x:c r="K1379" s="12" t="str">
        <x:f>IF('Research &amp; Analysis'!J651="","",'Research &amp; Analysis'!J651)</x:f>
      </x:c>
      <x:c r="L1379" s="2" t="str">
        <x:f>IF('Research &amp; Analysis'!K651="","",'Research &amp; Analysis'!K651)</x:f>
      </x:c>
      <x:c r="M1379" s="2" t="n">
        <x:f>'Research &amp; Analysis'!Q651</x:f>
        <x:v>1</x:v>
      </x:c>
      <x:c r="N1379" s="2" t="str">
        <x:f>'Research &amp; Analysis'!L651</x:f>
        <x:v>Not started</x:v>
      </x:c>
      <x:c r="O1379" s="2" t="str">
        <x:f>'Research &amp; Analysis'!N651</x:f>
        <x:v>RA.RS.3.2.2026.CY4</x:v>
      </x:c>
      <x:c r="P1379" s="2" t="n">
        <x:f>'Research &amp; Analysis'!O651</x:f>
        <x:v>0</x:v>
      </x:c>
      <x:c r="Q1379" s="2" t="n">
        <x:f>SUBTOTAL(103,O1379)</x:f>
        <x:v>1</x:v>
      </x:c>
      <x:c r="R1379" s="2" t="n">
        <x:f>IF(AND(M1379=1,OR(Dashboard!$B$7="All",Dashboard!$B$7='Cycles &amp; Guide'!$C$5),OR(Dashboard!$D$7="All",Dashboard!$D$7=B1379),OR(Dashboard!$F$7="All",Dashboard!$F$7=C1379),OR(Dashboard!$H$7="All",Dashboard!$H$7=D1379),OR(Dashboard!$K$7="All",Dashboard!$K$7=E1379)),1,0)</x:f>
        <x:v>1</x:v>
      </x:c>
      <x:c r="S1379" s="2" t="n">
        <x:f>IF(R1379=1,SUM($R$10:R1379),0)</x:f>
        <x:v>1006</x:v>
      </x:c>
      <x:c r="T1379" s="2" t="str">
        <x:v>Research &amp; Analysis</x:v>
      </x:c>
      <x:c r="U1379" s="2" t="n">
        <x:v>651</x:v>
      </x:c>
      <x:c r="V1379" s="2" t="n">
        <x:f>IF(AND(M1379=1,P1379=0,ISNUMBER(J1379),J1379&lt;TODAY()),1,0)</x:f>
        <x:v>0</x:v>
      </x:c>
      <x:c r="W1379" s="2" t="str">
        <x:f>'Research &amp; Analysis'!M651</x:f>
        <x:v>Task</x:v>
      </x:c>
    </x:row>
    <x:row r="1380" ht="40" customHeight="1">
      <x:c r="A1380" s="3" t="str">
        <x:f>HYPERLINK("#'Research &amp; Analysis'!A652","Open")</x:f>
        <x:v>Open</x:v>
      </x:c>
      <x:c r="B1380" s="2" t="str">
        <x:f>'Research &amp; Analysis'!B652</x:f>
        <x:v>Cycle 4</x:v>
      </x:c>
      <x:c r="C1380" s="2" t="str">
        <x:f>'Research &amp; Analysis'!C652</x:f>
        <x:v>Phase 3</x:v>
      </x:c>
      <x:c r="D1380" s="2" t="str">
        <x:f>'Research &amp; Analysis'!D652</x:f>
        <x:v>Retail Services</x:v>
      </x:c>
      <x:c r="E1380" s="2" t="str">
        <x:v>Research &amp; Analysis</x:v>
      </x:c>
      <x:c r="F1380" s="56" t="str">
        <x:f>'Research &amp; Analysis'!E652</x:f>
        <x:v>RA.RS.3.3</x:v>
      </x:c>
      <x:c r="G1380" s="14" t="str">
        <x:f>'Research &amp; Analysis'!F652</x:f>
        <x:v>Address any outstanding questions or requests from D&amp;I</x:v>
      </x:c>
      <x:c r="H1380" s="2" t="str">
        <x:f>IF('Research &amp; Analysis'!G652="","",'Research &amp; Analysis'!G652)</x:f>
      </x:c>
      <x:c r="I1380" s="12" t="str">
        <x:f>IF('Research &amp; Analysis'!H652="","",'Research &amp; Analysis'!H652)</x:f>
      </x:c>
      <x:c r="J1380" s="12" t="n">
        <x:f>IF('Research &amp; Analysis'!I652="","",'Research &amp; Analysis'!I652)</x:f>
        <x:v>46387</x:v>
      </x:c>
      <x:c r="K1380" s="12" t="str">
        <x:f>IF('Research &amp; Analysis'!J652="","",'Research &amp; Analysis'!J652)</x:f>
      </x:c>
      <x:c r="L1380" s="2" t="str">
        <x:f>IF('Research &amp; Analysis'!K652="","",'Research &amp; Analysis'!K652)</x:f>
      </x:c>
      <x:c r="M1380" s="2" t="n">
        <x:f>'Research &amp; Analysis'!Q652</x:f>
        <x:v>1</x:v>
      </x:c>
      <x:c r="N1380" s="2" t="str">
        <x:f>'Research &amp; Analysis'!L652</x:f>
        <x:v>Not started</x:v>
      </x:c>
      <x:c r="O1380" s="2" t="str">
        <x:f>'Research &amp; Analysis'!N652</x:f>
        <x:v>RA.RS.3.3.2026.CY4</x:v>
      </x:c>
      <x:c r="P1380" s="2" t="n">
        <x:f>'Research &amp; Analysis'!O652</x:f>
        <x:v>0</x:v>
      </x:c>
      <x:c r="Q1380" s="2" t="n">
        <x:f>SUBTOTAL(103,O1380)</x:f>
        <x:v>1</x:v>
      </x:c>
      <x:c r="R1380" s="2" t="n">
        <x:f>IF(AND(M1380=1,OR(Dashboard!$B$7="All",Dashboard!$B$7='Cycles &amp; Guide'!$C$5),OR(Dashboard!$D$7="All",Dashboard!$D$7=B1380),OR(Dashboard!$F$7="All",Dashboard!$F$7=C1380),OR(Dashboard!$H$7="All",Dashboard!$H$7=D1380),OR(Dashboard!$K$7="All",Dashboard!$K$7=E1380)),1,0)</x:f>
        <x:v>1</x:v>
      </x:c>
      <x:c r="S1380" s="2" t="n">
        <x:f>IF(R1380=1,SUM($R$10:R1380),0)</x:f>
        <x:v>1007</x:v>
      </x:c>
      <x:c r="T1380" s="2" t="str">
        <x:v>Research &amp; Analysis</x:v>
      </x:c>
      <x:c r="U1380" s="2" t="n">
        <x:v>652</x:v>
      </x:c>
      <x:c r="V1380" s="2" t="n">
        <x:f>IF(AND(M1380=1,P1380=0,ISNUMBER(J1380),J1380&lt;TODAY()),1,0)</x:f>
        <x:v>0</x:v>
      </x:c>
      <x:c r="W1380" s="2" t="str">
        <x:f>'Research &amp; Analysis'!M652</x:f>
        <x:v>Task</x:v>
      </x:c>
    </x:row>
    <x:row r="1381" ht="40" customHeight="1">
      <x:c r="A1381" s="3" t="str">
        <x:f>HYPERLINK("#'Research &amp; Analysis'!A653","Open")</x:f>
        <x:v>Open</x:v>
      </x:c>
      <x:c r="B1381" s="2" t="str">
        <x:f>'Research &amp; Analysis'!B653</x:f>
        <x:v>Cycle 4</x:v>
      </x:c>
      <x:c r="C1381" s="2" t="str">
        <x:f>'Research &amp; Analysis'!C653</x:f>
        <x:v>Phase 3</x:v>
      </x:c>
      <x:c r="D1381" s="2" t="str">
        <x:f>'Research &amp; Analysis'!D653</x:f>
        <x:v>Retail Services</x:v>
      </x:c>
      <x:c r="E1381" s="2" t="str">
        <x:v>Research &amp; Analysis</x:v>
      </x:c>
      <x:c r="F1381" s="56" t="str">
        <x:f>'Research &amp; Analysis'!E653</x:f>
        <x:v>RA.RS.3.4</x:v>
      </x:c>
      <x:c r="G1381" s="14" t="str">
        <x:f>'Research &amp; Analysis'!F653</x:f>
        <x:v>Attend Forum meeting with D&amp;I to assist with answering stakeholder questions (as needed)</x:v>
      </x:c>
      <x:c r="H1381" s="2" t="str">
        <x:f>IF('Research &amp; Analysis'!G653="","",'Research &amp; Analysis'!G653)</x:f>
      </x:c>
      <x:c r="I1381" s="12" t="str">
        <x:f>IF('Research &amp; Analysis'!H653="","",'Research &amp; Analysis'!H653)</x:f>
      </x:c>
      <x:c r="J1381" s="12" t="str">
        <x:f>IF('Research &amp; Analysis'!I653="","",'Research &amp; Analysis'!I653)</x:f>
      </x:c>
      <x:c r="K1381" s="12" t="str">
        <x:f>IF('Research &amp; Analysis'!J653="","",'Research &amp; Analysis'!J653)</x:f>
      </x:c>
      <x:c r="L1381" s="2" t="str">
        <x:f>IF('Research &amp; Analysis'!K653="","",'Research &amp; Analysis'!K653)</x:f>
      </x:c>
      <x:c r="M1381" s="2" t="n">
        <x:f>'Research &amp; Analysis'!Q653</x:f>
        <x:v>1</x:v>
      </x:c>
      <x:c r="N1381" s="2" t="str">
        <x:f>'Research &amp; Analysis'!L653</x:f>
        <x:v>Not started</x:v>
      </x:c>
      <x:c r="O1381" s="2" t="str">
        <x:f>'Research &amp; Analysis'!N653</x:f>
        <x:v>RA.RS.3.4.2026.CY4</x:v>
      </x:c>
      <x:c r="P1381" s="2" t="n">
        <x:f>'Research &amp; Analysis'!O653</x:f>
        <x:v>0</x:v>
      </x:c>
      <x:c r="Q1381" s="2" t="n">
        <x:f>SUBTOTAL(103,O1381)</x:f>
        <x:v>1</x:v>
      </x:c>
      <x:c r="R1381" s="2" t="n">
        <x:f>IF(AND(M1381=1,OR(Dashboard!$B$7="All",Dashboard!$B$7='Cycles &amp; Guide'!$C$5),OR(Dashboard!$D$7="All",Dashboard!$D$7=B1381),OR(Dashboard!$F$7="All",Dashboard!$F$7=C1381),OR(Dashboard!$H$7="All",Dashboard!$H$7=D1381),OR(Dashboard!$K$7="All",Dashboard!$K$7=E1381)),1,0)</x:f>
        <x:v>1</x:v>
      </x:c>
      <x:c r="S1381" s="2" t="n">
        <x:f>IF(R1381=1,SUM($R$10:R1381),0)</x:f>
        <x:v>1008</x:v>
      </x:c>
      <x:c r="T1381" s="2" t="str">
        <x:v>Research &amp; Analysis</x:v>
      </x:c>
      <x:c r="U1381" s="2" t="n">
        <x:v>653</x:v>
      </x:c>
      <x:c r="V1381" s="2" t="n">
        <x:f>IF(AND(M1381=1,P1381=0,ISNUMBER(J1381),J1381&lt;TODAY()),1,0)</x:f>
        <x:v>0</x:v>
      </x:c>
      <x:c r="W1381" s="2" t="str">
        <x:f>'Research &amp; Analysis'!M653</x:f>
        <x:v>Task</x:v>
      </x:c>
    </x:row>
    <x:row r="1382" ht="40" customHeight="1">
      <x:c r="A1382" s="3" t="str">
        <x:f>HYPERLINK("#'Design &amp; Insights'!A10","Open")</x:f>
        <x:v>Open</x:v>
      </x:c>
      <x:c r="B1382" s="2" t="str">
        <x:f>'Design &amp; Insights'!B10</x:f>
        <x:v>Cycle 1</x:v>
      </x:c>
      <x:c r="C1382" s="2" t="str">
        <x:f>'Design &amp; Insights'!C10</x:f>
        <x:v>Phase 1</x:v>
      </x:c>
      <x:c r="D1382" s="2" t="str">
        <x:f>'Design &amp; Insights'!D10</x:f>
        <x:v>Auto</x:v>
      </x:c>
      <x:c r="E1382" s="2" t="str">
        <x:v>Design &amp; Insights</x:v>
      </x:c>
      <x:c r="F1382" s="56" t="str">
        <x:f>'Design &amp; Insights'!E10</x:f>
        <x:v>DI.AU.1.1</x:v>
      </x:c>
      <x:c r="G1382" s="14" t="str">
        <x:f>'Design &amp; Insights'!F10</x:f>
        <x:v>Receive and review potential research topics at least 2 weeks prior to Cycle start date</x:v>
      </x:c>
      <x:c r="H1382" s="2" t="str">
        <x:f>IF('Design &amp; Insights'!G10="","",'Design &amp; Insights'!G10)</x:f>
      </x:c>
      <x:c r="I1382" s="12" t="str">
        <x:f>IF('Design &amp; Insights'!H10="","",'Design &amp; Insights'!H10)</x:f>
      </x:c>
      <x:c r="J1382" s="12" t="n">
        <x:f>IF('Design &amp; Insights'!I10="","",'Design &amp; Insights'!I10)</x:f>
        <x:v>46009</x:v>
      </x:c>
      <x:c r="K1382" s="12" t="str">
        <x:f>IF('Design &amp; Insights'!J10="","",'Design &amp; Insights'!J10)</x:f>
      </x:c>
      <x:c r="L1382" s="2" t="str">
        <x:f>IF('Design &amp; Insights'!K10="","",'Design &amp; Insights'!K10)</x:f>
      </x:c>
      <x:c r="M1382" s="2" t="n">
        <x:f>'Design &amp; Insights'!Q10</x:f>
        <x:v>1</x:v>
      </x:c>
      <x:c r="N1382" s="2" t="str">
        <x:f>'Design &amp; Insights'!L10</x:f>
        <x:v>Not started</x:v>
      </x:c>
      <x:c r="O1382" s="2" t="str">
        <x:f>'Design &amp; Insights'!N10</x:f>
        <x:v>DI.AU.1.1.2026.CY1</x:v>
      </x:c>
      <x:c r="P1382" s="2" t="n">
        <x:f>'Design &amp; Insights'!O10</x:f>
        <x:v>0</x:v>
      </x:c>
      <x:c r="Q1382" s="2" t="n">
        <x:f>SUBTOTAL(103,O1382)</x:f>
        <x:v>1</x:v>
      </x:c>
      <x:c r="R1382" s="2" t="n">
        <x:f>IF(AND(M1382=1,OR(Dashboard!$B$7="All",Dashboard!$B$7='Cycles &amp; Guide'!$C$5),OR(Dashboard!$D$7="All",Dashboard!$D$7=B1382),OR(Dashboard!$F$7="All",Dashboard!$F$7=C1382),OR(Dashboard!$H$7="All",Dashboard!$H$7=D1382),OR(Dashboard!$K$7="All",Dashboard!$K$7=E1382)),1,0)</x:f>
        <x:v>1</x:v>
      </x:c>
      <x:c r="S1382" s="2" t="n">
        <x:f>IF(R1382=1,SUM($R$10:R1382),0)</x:f>
        <x:v>1009</x:v>
      </x:c>
      <x:c r="T1382" s="2" t="str">
        <x:v>Design &amp; Insights</x:v>
      </x:c>
      <x:c r="U1382" s="2" t="n">
        <x:v>10</x:v>
      </x:c>
      <x:c r="V1382" s="2" t="n">
        <x:f>IF(AND(M1382=1,P1382=0,ISNUMBER(J1382),J1382&lt;TODAY()),1,0)</x:f>
        <x:v>1</x:v>
      </x:c>
      <x:c r="W1382" s="2" t="str">
        <x:f>'Design &amp; Insights'!M10</x:f>
        <x:v>Task</x:v>
      </x:c>
    </x:row>
    <x:row r="1383" ht="40" customHeight="1">
      <x:c r="A1383" s="3" t="str">
        <x:f>HYPERLINK("#'Design &amp; Insights'!A11","Open")</x:f>
        <x:v>Open</x:v>
      </x:c>
      <x:c r="B1383" s="2" t="str">
        <x:f>'Design &amp; Insights'!B11</x:f>
        <x:v>Cycle 1</x:v>
      </x:c>
      <x:c r="C1383" s="2" t="str">
        <x:f>'Design &amp; Insights'!C11</x:f>
        <x:v>Phase 1</x:v>
      </x:c>
      <x:c r="D1383" s="2" t="str">
        <x:f>'Design &amp; Insights'!D11</x:f>
        <x:v>Auto</x:v>
      </x:c>
      <x:c r="E1383" s="2" t="str">
        <x:v>Design &amp; Insights</x:v>
      </x:c>
      <x:c r="F1383" s="56" t="str">
        <x:f>'Design &amp; Insights'!E11</x:f>
        <x:v>DI.AU.1.2</x:v>
      </x:c>
      <x:c r="G1383" s="14" t="str">
        <x:f>'Design &amp; Insights'!F11</x:f>
        <x:v>Communicate any feedback on preferences or concerns with topics identified</x:v>
      </x:c>
      <x:c r="H1383" s="2" t="str">
        <x:f>IF('Design &amp; Insights'!G11="","",'Design &amp; Insights'!G11)</x:f>
      </x:c>
      <x:c r="I1383" s="12" t="str">
        <x:f>IF('Design &amp; Insights'!H11="","",'Design &amp; Insights'!H11)</x:f>
      </x:c>
      <x:c r="J1383" s="12" t="n">
        <x:f>IF('Design &amp; Insights'!I11="","",'Design &amp; Insights'!I11)</x:f>
        <x:v>46112</x:v>
      </x:c>
      <x:c r="K1383" s="12" t="str">
        <x:f>IF('Design &amp; Insights'!J11="","",'Design &amp; Insights'!J11)</x:f>
      </x:c>
      <x:c r="L1383" s="2" t="str">
        <x:f>IF('Design &amp; Insights'!K11="","",'Design &amp; Insights'!K11)</x:f>
      </x:c>
      <x:c r="M1383" s="2" t="n">
        <x:f>'Design &amp; Insights'!Q11</x:f>
        <x:v>1</x:v>
      </x:c>
      <x:c r="N1383" s="2" t="str">
        <x:f>'Design &amp; Insights'!L11</x:f>
        <x:v>Not started</x:v>
      </x:c>
      <x:c r="O1383" s="2" t="str">
        <x:f>'Design &amp; Insights'!N11</x:f>
        <x:v>DI.AU.1.2.2026.CY1</x:v>
      </x:c>
      <x:c r="P1383" s="2" t="n">
        <x:f>'Design &amp; Insights'!O11</x:f>
        <x:v>0</x:v>
      </x:c>
      <x:c r="Q1383" s="2" t="n">
        <x:f>SUBTOTAL(103,O1383)</x:f>
        <x:v>1</x:v>
      </x:c>
      <x:c r="R1383" s="2" t="n">
        <x:f>IF(AND(M1383=1,OR(Dashboard!$B$7="All",Dashboard!$B$7='Cycles &amp; Guide'!$C$5),OR(Dashboard!$D$7="All",Dashboard!$D$7=B1383),OR(Dashboard!$F$7="All",Dashboard!$F$7=C1383),OR(Dashboard!$H$7="All",Dashboard!$H$7=D1383),OR(Dashboard!$K$7="All",Dashboard!$K$7=E1383)),1,0)</x:f>
        <x:v>1</x:v>
      </x:c>
      <x:c r="S1383" s="2" t="n">
        <x:f>IF(R1383=1,SUM($R$10:R1383),0)</x:f>
        <x:v>1010</x:v>
      </x:c>
      <x:c r="T1383" s="2" t="str">
        <x:v>Design &amp; Insights</x:v>
      </x:c>
      <x:c r="U1383" s="2" t="n">
        <x:v>11</x:v>
      </x:c>
      <x:c r="V1383" s="2" t="n">
        <x:f>IF(AND(M1383=1,P1383=0,ISNUMBER(J1383),J1383&lt;TODAY()),1,0)</x:f>
        <x:v>1</x:v>
      </x:c>
      <x:c r="W1383" s="2" t="str">
        <x:f>'Design &amp; Insights'!M11</x:f>
        <x:v>Task</x:v>
      </x:c>
    </x:row>
    <x:row r="1384" ht="40" customHeight="1">
      <x:c r="A1384" s="3" t="str">
        <x:f>HYPERLINK("#'Design &amp; Insights'!A12","Open")</x:f>
        <x:v>Open</x:v>
      </x:c>
      <x:c r="B1384" s="2" t="str">
        <x:f>'Design &amp; Insights'!B12</x:f>
        <x:v>Cycle 1</x:v>
      </x:c>
      <x:c r="C1384" s="2" t="str">
        <x:f>'Design &amp; Insights'!C12</x:f>
        <x:v>Phase 1</x:v>
      </x:c>
      <x:c r="D1384" s="2" t="str">
        <x:f>'Design &amp; Insights'!D12</x:f>
        <x:v>Auto</x:v>
      </x:c>
      <x:c r="E1384" s="2" t="str">
        <x:v>Design &amp; Insights</x:v>
      </x:c>
      <x:c r="F1384" s="56" t="str">
        <x:f>'Design &amp; Insights'!E12</x:f>
        <x:v>DI.AU.1.3</x:v>
      </x:c>
      <x:c r="G1384" s="14" t="str">
        <x:f>'Design &amp; Insights'!F12</x:f>
        <x:v>Conduct high-level preliminary review of complaints within proposed topics</x:v>
      </x:c>
      <x:c r="H1384" s="2" t="str">
        <x:f>IF('Design &amp; Insights'!G12="","",'Design &amp; Insights'!G12)</x:f>
      </x:c>
      <x:c r="I1384" s="12" t="str">
        <x:f>IF('Design &amp; Insights'!H12="","",'Design &amp; Insights'!H12)</x:f>
      </x:c>
      <x:c r="J1384" s="12" t="n">
        <x:f>IF('Design &amp; Insights'!I12="","",'Design &amp; Insights'!I12)</x:f>
        <x:v>46112</x:v>
      </x:c>
      <x:c r="K1384" s="12" t="str">
        <x:f>IF('Design &amp; Insights'!J12="","",'Design &amp; Insights'!J12)</x:f>
      </x:c>
      <x:c r="L1384" s="2" t="str">
        <x:f>IF('Design &amp; Insights'!K12="","",'Design &amp; Insights'!K12)</x:f>
      </x:c>
      <x:c r="M1384" s="2" t="n">
        <x:f>'Design &amp; Insights'!Q12</x:f>
        <x:v>1</x:v>
      </x:c>
      <x:c r="N1384" s="2" t="str">
        <x:f>'Design &amp; Insights'!L12</x:f>
        <x:v>Not started</x:v>
      </x:c>
      <x:c r="O1384" s="2" t="str">
        <x:f>'Design &amp; Insights'!N12</x:f>
        <x:v>DI.AU.1.3.2026.CY1</x:v>
      </x:c>
      <x:c r="P1384" s="2" t="n">
        <x:f>'Design &amp; Insights'!O12</x:f>
        <x:v>0</x:v>
      </x:c>
      <x:c r="Q1384" s="2" t="n">
        <x:f>SUBTOTAL(103,O1384)</x:f>
        <x:v>1</x:v>
      </x:c>
      <x:c r="R1384" s="2" t="n">
        <x:f>IF(AND(M1384=1,OR(Dashboard!$B$7="All",Dashboard!$B$7='Cycles &amp; Guide'!$C$5),OR(Dashboard!$D$7="All",Dashboard!$D$7=B1384),OR(Dashboard!$F$7="All",Dashboard!$F$7=C1384),OR(Dashboard!$H$7="All",Dashboard!$H$7=D1384),OR(Dashboard!$K$7="All",Dashboard!$K$7=E1384)),1,0)</x:f>
        <x:v>1</x:v>
      </x:c>
      <x:c r="S1384" s="2" t="n">
        <x:f>IF(R1384=1,SUM($R$10:R1384),0)</x:f>
        <x:v>1011</x:v>
      </x:c>
      <x:c r="T1384" s="2" t="str">
        <x:v>Design &amp; Insights</x:v>
      </x:c>
      <x:c r="U1384" s="2" t="n">
        <x:v>12</x:v>
      </x:c>
      <x:c r="V1384" s="2" t="n">
        <x:f>IF(AND(M1384=1,P1384=0,ISNUMBER(J1384),J1384&lt;TODAY()),1,0)</x:f>
        <x:v>1</x:v>
      </x:c>
      <x:c r="W1384" s="2" t="str">
        <x:f>'Design &amp; Insights'!M12</x:f>
        <x:v>Task</x:v>
      </x:c>
    </x:row>
    <x:row r="1385" ht="40" customHeight="1">
      <x:c r="A1385" s="3" t="str">
        <x:f>HYPERLINK("#'Design &amp; Insights'!A13","Open")</x:f>
        <x:v>Open</x:v>
      </x:c>
      <x:c r="B1385" s="2" t="str">
        <x:f>'Design &amp; Insights'!B13</x:f>
        <x:v>Cycle 1</x:v>
      </x:c>
      <x:c r="C1385" s="2" t="str">
        <x:f>'Design &amp; Insights'!C13</x:f>
        <x:v>Phase 1</x:v>
      </x:c>
      <x:c r="D1385" s="2" t="str">
        <x:f>'Design &amp; Insights'!D13</x:f>
        <x:v>Auto</x:v>
      </x:c>
      <x:c r="E1385" s="2" t="str">
        <x:v>Design &amp; Insights</x:v>
      </x:c>
      <x:c r="F1385" s="56" t="str">
        <x:f>'Design &amp; Insights'!E13</x:f>
        <x:v>DI.AU.1.4</x:v>
      </x:c>
      <x:c r="G1385" s="14" t="str">
        <x:f>'Design &amp; Insights'!F13</x:f>
        <x:v>Meet with Research to discuss which topic to select based on potential impact</x:v>
      </x:c>
      <x:c r="H1385" s="2" t="str">
        <x:f>IF('Design &amp; Insights'!G13="","",'Design &amp; Insights'!G13)</x:f>
      </x:c>
      <x:c r="I1385" s="12" t="str">
        <x:f>IF('Design &amp; Insights'!H13="","",'Design &amp; Insights'!H13)</x:f>
      </x:c>
      <x:c r="J1385" s="12" t="n">
        <x:f>IF('Design &amp; Insights'!I13="","",'Design &amp; Insights'!I13)</x:f>
        <x:v>46112</x:v>
      </x:c>
      <x:c r="K1385" s="12" t="str">
        <x:f>IF('Design &amp; Insights'!J13="","",'Design &amp; Insights'!J13)</x:f>
      </x:c>
      <x:c r="L1385" s="2" t="str">
        <x:f>IF('Design &amp; Insights'!K13="","",'Design &amp; Insights'!K13)</x:f>
      </x:c>
      <x:c r="M1385" s="2" t="n">
        <x:f>'Design &amp; Insights'!Q13</x:f>
        <x:v>1</x:v>
      </x:c>
      <x:c r="N1385" s="2" t="str">
        <x:f>'Design &amp; Insights'!L13</x:f>
        <x:v>Not started</x:v>
      </x:c>
      <x:c r="O1385" s="2" t="str">
        <x:f>'Design &amp; Insights'!N13</x:f>
        <x:v>DI.AU.1.4.2026.CY1</x:v>
      </x:c>
      <x:c r="P1385" s="2" t="n">
        <x:f>'Design &amp; Insights'!O13</x:f>
        <x:v>0</x:v>
      </x:c>
      <x:c r="Q1385" s="2" t="n">
        <x:f>SUBTOTAL(103,O1385)</x:f>
        <x:v>1</x:v>
      </x:c>
      <x:c r="R1385" s="2" t="n">
        <x:f>IF(AND(M1385=1,OR(Dashboard!$B$7="All",Dashboard!$B$7='Cycles &amp; Guide'!$C$5),OR(Dashboard!$D$7="All",Dashboard!$D$7=B1385),OR(Dashboard!$F$7="All",Dashboard!$F$7=C1385),OR(Dashboard!$H$7="All",Dashboard!$H$7=D1385),OR(Dashboard!$K$7="All",Dashboard!$K$7=E1385)),1,0)</x:f>
        <x:v>1</x:v>
      </x:c>
      <x:c r="S1385" s="2" t="n">
        <x:f>IF(R1385=1,SUM($R$10:R1385),0)</x:f>
        <x:v>1012</x:v>
      </x:c>
      <x:c r="T1385" s="2" t="str">
        <x:v>Design &amp; Insights</x:v>
      </x:c>
      <x:c r="U1385" s="2" t="n">
        <x:v>13</x:v>
      </x:c>
      <x:c r="V1385" s="2" t="n">
        <x:f>IF(AND(M1385=1,P1385=0,ISNUMBER(J1385),J1385&lt;TODAY()),1,0)</x:f>
        <x:v>1</x:v>
      </x:c>
      <x:c r="W1385" s="2" t="str">
        <x:f>'Design &amp; Insights'!M13</x:f>
        <x:v>Task</x:v>
      </x:c>
    </x:row>
    <x:row r="1386" ht="40" customHeight="1">
      <x:c r="A1386" s="3" t="str">
        <x:f>HYPERLINK("#'Design &amp; Insights'!A14","Open")</x:f>
        <x:v>Open</x:v>
      </x:c>
      <x:c r="B1386" s="2" t="str">
        <x:f>'Design &amp; Insights'!B14</x:f>
        <x:v>Cycle 1</x:v>
      </x:c>
      <x:c r="C1386" s="2" t="str">
        <x:f>'Design &amp; Insights'!C14</x:f>
        <x:v>Phase 1</x:v>
      </x:c>
      <x:c r="D1386" s="2" t="str">
        <x:f>'Design &amp; Insights'!D14</x:f>
        <x:v>Auto</x:v>
      </x:c>
      <x:c r="E1386" s="2" t="str">
        <x:v>Design &amp; Insights</x:v>
      </x:c>
      <x:c r="F1386" s="56" t="str">
        <x:f>'Design &amp; Insights'!E14</x:f>
        <x:v>DI.AU.1.5</x:v>
      </x:c>
      <x:c r="G1386" s="14" t="str">
        <x:f>'Design &amp; Insights'!F14</x:f>
        <x:v>Confirm with Research the recommended topic for approval</x:v>
      </x:c>
      <x:c r="H1386" s="2" t="str">
        <x:f>IF('Design &amp; Insights'!G14="","",'Design &amp; Insights'!G14)</x:f>
      </x:c>
      <x:c r="I1386" s="12" t="str">
        <x:f>IF('Design &amp; Insights'!H14="","",'Design &amp; Insights'!H14)</x:f>
      </x:c>
      <x:c r="J1386" s="12" t="n">
        <x:f>IF('Design &amp; Insights'!I14="","",'Design &amp; Insights'!I14)</x:f>
        <x:v>46112</x:v>
      </x:c>
      <x:c r="K1386" s="12" t="str">
        <x:f>IF('Design &amp; Insights'!J14="","",'Design &amp; Insights'!J14)</x:f>
      </x:c>
      <x:c r="L1386" s="2" t="str">
        <x:f>IF('Design &amp; Insights'!K14="","",'Design &amp; Insights'!K14)</x:f>
      </x:c>
      <x:c r="M1386" s="2" t="n">
        <x:f>'Design &amp; Insights'!Q14</x:f>
        <x:v>1</x:v>
      </x:c>
      <x:c r="N1386" s="2" t="str">
        <x:f>'Design &amp; Insights'!L14</x:f>
        <x:v>Not started</x:v>
      </x:c>
      <x:c r="O1386" s="2" t="str">
        <x:f>'Design &amp; Insights'!N14</x:f>
        <x:v>DI.AU.1.5.2026.CY1</x:v>
      </x:c>
      <x:c r="P1386" s="2" t="n">
        <x:f>'Design &amp; Insights'!O14</x:f>
        <x:v>0</x:v>
      </x:c>
      <x:c r="Q1386" s="2" t="n">
        <x:f>SUBTOTAL(103,O1386)</x:f>
        <x:v>1</x:v>
      </x:c>
      <x:c r="R1386" s="2" t="n">
        <x:f>IF(AND(M1386=1,OR(Dashboard!$B$7="All",Dashboard!$B$7='Cycles &amp; Guide'!$C$5),OR(Dashboard!$D$7="All",Dashboard!$D$7=B1386),OR(Dashboard!$F$7="All",Dashboard!$F$7=C1386),OR(Dashboard!$H$7="All",Dashboard!$H$7=D1386),OR(Dashboard!$K$7="All",Dashboard!$K$7=E1386)),1,0)</x:f>
        <x:v>1</x:v>
      </x:c>
      <x:c r="S1386" s="2" t="n">
        <x:f>IF(R1386=1,SUM($R$10:R1386),0)</x:f>
        <x:v>1013</x:v>
      </x:c>
      <x:c r="T1386" s="2" t="str">
        <x:v>Design &amp; Insights</x:v>
      </x:c>
      <x:c r="U1386" s="2" t="n">
        <x:v>14</x:v>
      </x:c>
      <x:c r="V1386" s="2" t="n">
        <x:f>IF(AND(M1386=1,P1386=0,ISNUMBER(J1386),J1386&lt;TODAY()),1,0)</x:f>
        <x:v>1</x:v>
      </x:c>
      <x:c r="W1386" s="2" t="str">
        <x:f>'Design &amp; Insights'!M14</x:f>
        <x:v>Task</x:v>
      </x:c>
    </x:row>
    <x:row r="1387" ht="40" customHeight="1">
      <x:c r="A1387" s="3" t="str">
        <x:f>HYPERLINK("#'Design &amp; Insights'!A15","Open")</x:f>
        <x:v>Open</x:v>
      </x:c>
      <x:c r="B1387" s="2" t="str">
        <x:f>'Design &amp; Insights'!B15</x:f>
        <x:v>Cycle 1</x:v>
      </x:c>
      <x:c r="C1387" s="2" t="str">
        <x:f>'Design &amp; Insights'!C15</x:f>
        <x:v>Phase 1</x:v>
      </x:c>
      <x:c r="D1387" s="2" t="str">
        <x:f>'Design &amp; Insights'!D15</x:f>
        <x:v>Auto</x:v>
      </x:c>
      <x:c r="E1387" s="2" t="str">
        <x:v>Design &amp; Insights</x:v>
      </x:c>
      <x:c r="F1387" s="56" t="str">
        <x:f>'Design &amp; Insights'!E15</x:f>
        <x:v>DI.AU.1.6</x:v>
      </x:c>
      <x:c r="G1387" s="14" t="str">
        <x:f>'Design &amp; Insights'!F15</x:f>
        <x:v>Send topic selection socialization email to all key stakeholders on the first day of the review Cycle</x:v>
      </x:c>
      <x:c r="H1387" s="2" t="str">
        <x:f>IF('Design &amp; Insights'!G15="","",'Design &amp; Insights'!G15)</x:f>
      </x:c>
      <x:c r="I1387" s="12" t="str">
        <x:f>IF('Design &amp; Insights'!H15="","",'Design &amp; Insights'!H15)</x:f>
      </x:c>
      <x:c r="J1387" s="12" t="n">
        <x:f>IF('Design &amp; Insights'!I15="","",'Design &amp; Insights'!I15)</x:f>
        <x:v>46023</x:v>
      </x:c>
      <x:c r="K1387" s="12" t="str">
        <x:f>IF('Design &amp; Insights'!J15="","",'Design &amp; Insights'!J15)</x:f>
      </x:c>
      <x:c r="L1387" s="2" t="str">
        <x:f>IF('Design &amp; Insights'!K15="","",'Design &amp; Insights'!K15)</x:f>
      </x:c>
      <x:c r="M1387" s="2" t="n">
        <x:f>'Design &amp; Insights'!Q15</x:f>
        <x:v>1</x:v>
      </x:c>
      <x:c r="N1387" s="2" t="str">
        <x:f>'Design &amp; Insights'!L15</x:f>
        <x:v>Not started</x:v>
      </x:c>
      <x:c r="O1387" s="2" t="str">
        <x:f>'Design &amp; Insights'!N15</x:f>
        <x:v>DI.AU.1.6.2026.CY1</x:v>
      </x:c>
      <x:c r="P1387" s="2" t="n">
        <x:f>'Design &amp; Insights'!O15</x:f>
        <x:v>0</x:v>
      </x:c>
      <x:c r="Q1387" s="2" t="n">
        <x:f>SUBTOTAL(103,O1387)</x:f>
        <x:v>1</x:v>
      </x:c>
      <x:c r="R1387" s="2" t="n">
        <x:f>IF(AND(M1387=1,OR(Dashboard!$B$7="All",Dashboard!$B$7='Cycles &amp; Guide'!$C$5),OR(Dashboard!$D$7="All",Dashboard!$D$7=B1387),OR(Dashboard!$F$7="All",Dashboard!$F$7=C1387),OR(Dashboard!$H$7="All",Dashboard!$H$7=D1387),OR(Dashboard!$K$7="All",Dashboard!$K$7=E1387)),1,0)</x:f>
        <x:v>1</x:v>
      </x:c>
      <x:c r="S1387" s="2" t="n">
        <x:f>IF(R1387=1,SUM($R$10:R1387),0)</x:f>
        <x:v>1014</x:v>
      </x:c>
      <x:c r="T1387" s="2" t="str">
        <x:v>Design &amp; Insights</x:v>
      </x:c>
      <x:c r="U1387" s="2" t="n">
        <x:v>15</x:v>
      </x:c>
      <x:c r="V1387" s="2" t="n">
        <x:f>IF(AND(M1387=1,P1387=0,ISNUMBER(J1387),J1387&lt;TODAY()),1,0)</x:f>
        <x:v>1</x:v>
      </x:c>
      <x:c r="W1387" s="2" t="str">
        <x:f>'Design &amp; Insights'!M15</x:f>
        <x:v>Task</x:v>
      </x:c>
    </x:row>
    <x:row r="1388" ht="40" customHeight="1">
      <x:c r="A1388" s="3" t="str">
        <x:f>HYPERLINK("#'Design &amp; Insights'!A16","Open")</x:f>
        <x:v>Open</x:v>
      </x:c>
      <x:c r="B1388" s="2" t="str">
        <x:f>'Design &amp; Insights'!B16</x:f>
        <x:v>Cycle 1</x:v>
      </x:c>
      <x:c r="C1388" s="2" t="str">
        <x:f>'Design &amp; Insights'!C16</x:f>
        <x:v>Phase 2</x:v>
      </x:c>
      <x:c r="D1388" s="2" t="str">
        <x:f>'Design &amp; Insights'!D16</x:f>
        <x:v>Auto</x:v>
      </x:c>
      <x:c r="E1388" s="2" t="str">
        <x:v>Design &amp; Insights</x:v>
      </x:c>
      <x:c r="F1388" s="56" t="str">
        <x:f>'Design &amp; Insights'!E16</x:f>
        <x:v>DI.AU.2.1</x:v>
      </x:c>
      <x:c r="G1388" s="14" t="str">
        <x:f>'Design &amp; Insights'!F16</x:f>
        <x:v>Meet regularly with Research to stay informed on progress, findings, and potential enhancement</x:v>
      </x:c>
      <x:c r="H1388" s="2" t="str">
        <x:f>IF('Design &amp; Insights'!G16="","",'Design &amp; Insights'!G16)</x:f>
      </x:c>
      <x:c r="I1388" s="12" t="str">
        <x:f>IF('Design &amp; Insights'!H16="","",'Design &amp; Insights'!H16)</x:f>
      </x:c>
      <x:c r="J1388" s="12" t="n">
        <x:f>IF('Design &amp; Insights'!I16="","",'Design &amp; Insights'!I16)</x:f>
        <x:v>46112</x:v>
      </x:c>
      <x:c r="K1388" s="12" t="str">
        <x:f>IF('Design &amp; Insights'!J16="","",'Design &amp; Insights'!J16)</x:f>
      </x:c>
      <x:c r="L1388" s="2" t="str">
        <x:f>IF('Design &amp; Insights'!K16="","",'Design &amp; Insights'!K16)</x:f>
      </x:c>
      <x:c r="M1388" s="2" t="n">
        <x:f>'Design &amp; Insights'!Q16</x:f>
        <x:v>1</x:v>
      </x:c>
      <x:c r="N1388" s="2" t="str">
        <x:f>'Design &amp; Insights'!L16</x:f>
        <x:v>Not started</x:v>
      </x:c>
      <x:c r="O1388" s="2" t="str">
        <x:f>'Design &amp; Insights'!N16</x:f>
        <x:v>DI.AU.2.1.2026.CY1</x:v>
      </x:c>
      <x:c r="P1388" s="2" t="n">
        <x:f>'Design &amp; Insights'!O16</x:f>
        <x:v>0</x:v>
      </x:c>
      <x:c r="Q1388" s="2" t="n">
        <x:f>SUBTOTAL(103,O1388)</x:f>
        <x:v>1</x:v>
      </x:c>
      <x:c r="R1388" s="2" t="n">
        <x:f>IF(AND(M1388=1,OR(Dashboard!$B$7="All",Dashboard!$B$7='Cycles &amp; Guide'!$C$5),OR(Dashboard!$D$7="All",Dashboard!$D$7=B1388),OR(Dashboard!$F$7="All",Dashboard!$F$7=C1388),OR(Dashboard!$H$7="All",Dashboard!$H$7=D1388),OR(Dashboard!$K$7="All",Dashboard!$K$7=E1388)),1,0)</x:f>
        <x:v>1</x:v>
      </x:c>
      <x:c r="S1388" s="2" t="n">
        <x:f>IF(R1388=1,SUM($R$10:R1388),0)</x:f>
        <x:v>1015</x:v>
      </x:c>
      <x:c r="T1388" s="2" t="str">
        <x:v>Design &amp; Insights</x:v>
      </x:c>
      <x:c r="U1388" s="2" t="n">
        <x:v>16</x:v>
      </x:c>
      <x:c r="V1388" s="2" t="n">
        <x:f>IF(AND(M1388=1,P1388=0,ISNUMBER(J1388),J1388&lt;TODAY()),1,0)</x:f>
        <x:v>1</x:v>
      </x:c>
      <x:c r="W1388" s="2" t="str">
        <x:f>'Design &amp; Insights'!M16</x:f>
        <x:v>Task</x:v>
      </x:c>
    </x:row>
    <x:row r="1389" ht="40" customHeight="1">
      <x:c r="A1389" s="3" t="str">
        <x:f>HYPERLINK("#'Design &amp; Insights'!A17","Open")</x:f>
        <x:v>Open</x:v>
      </x:c>
      <x:c r="B1389" s="2" t="str">
        <x:f>'Design &amp; Insights'!B17</x:f>
        <x:v>Cycle 1</x:v>
      </x:c>
      <x:c r="C1389" s="2" t="str">
        <x:f>'Design &amp; Insights'!C17</x:f>
        <x:v>Phase 2</x:v>
      </x:c>
      <x:c r="D1389" s="2" t="str">
        <x:f>'Design &amp; Insights'!D17</x:f>
        <x:v>Auto</x:v>
      </x:c>
      <x:c r="E1389" s="2" t="str">
        <x:v>Design &amp; Insights</x:v>
      </x:c>
      <x:c r="F1389" s="56" t="str">
        <x:f>'Design &amp; Insights'!E17</x:f>
        <x:v>DI.AU.2.2</x:v>
      </x:c>
      <x:c r="G1389" s="14" t="str">
        <x:f>'Design &amp; Insights'!F17</x:f>
        <x:v>Collaborate with Research on research plan specifics</x:v>
      </x:c>
      <x:c r="H1389" s="2" t="str">
        <x:f>IF('Design &amp; Insights'!G17="","",'Design &amp; Insights'!G17)</x:f>
      </x:c>
      <x:c r="I1389" s="12" t="str">
        <x:f>IF('Design &amp; Insights'!H17="","",'Design &amp; Insights'!H17)</x:f>
      </x:c>
      <x:c r="J1389" s="12" t="n">
        <x:f>IF('Design &amp; Insights'!I17="","",'Design &amp; Insights'!I17)</x:f>
        <x:v>46112</x:v>
      </x:c>
      <x:c r="K1389" s="12" t="str">
        <x:f>IF('Design &amp; Insights'!J17="","",'Design &amp; Insights'!J17)</x:f>
      </x:c>
      <x:c r="L1389" s="2" t="str">
        <x:f>IF('Design &amp; Insights'!K17="","",'Design &amp; Insights'!K17)</x:f>
      </x:c>
      <x:c r="M1389" s="2" t="n">
        <x:f>'Design &amp; Insights'!Q17</x:f>
        <x:v>1</x:v>
      </x:c>
      <x:c r="N1389" s="2" t="str">
        <x:f>'Design &amp; Insights'!L17</x:f>
        <x:v>Not started</x:v>
      </x:c>
      <x:c r="O1389" s="2" t="str">
        <x:f>'Design &amp; Insights'!N17</x:f>
        <x:v>DI.AU.2.2.2026.CY1</x:v>
      </x:c>
      <x:c r="P1389" s="2" t="n">
        <x:f>'Design &amp; Insights'!O17</x:f>
        <x:v>0</x:v>
      </x:c>
      <x:c r="Q1389" s="2" t="n">
        <x:f>SUBTOTAL(103,O1389)</x:f>
        <x:v>1</x:v>
      </x:c>
      <x:c r="R1389" s="2" t="n">
        <x:f>IF(AND(M1389=1,OR(Dashboard!$B$7="All",Dashboard!$B$7='Cycles &amp; Guide'!$C$5),OR(Dashboard!$D$7="All",Dashboard!$D$7=B1389),OR(Dashboard!$F$7="All",Dashboard!$F$7=C1389),OR(Dashboard!$H$7="All",Dashboard!$H$7=D1389),OR(Dashboard!$K$7="All",Dashboard!$K$7=E1389)),1,0)</x:f>
        <x:v>1</x:v>
      </x:c>
      <x:c r="S1389" s="2" t="n">
        <x:f>IF(R1389=1,SUM($R$10:R1389),0)</x:f>
        <x:v>1016</x:v>
      </x:c>
      <x:c r="T1389" s="2" t="str">
        <x:v>Design &amp; Insights</x:v>
      </x:c>
      <x:c r="U1389" s="2" t="n">
        <x:v>17</x:v>
      </x:c>
      <x:c r="V1389" s="2" t="n">
        <x:f>IF(AND(M1389=1,P1389=0,ISNUMBER(J1389),J1389&lt;TODAY()),1,0)</x:f>
        <x:v>1</x:v>
      </x:c>
      <x:c r="W1389" s="2" t="str">
        <x:f>'Design &amp; Insights'!M17</x:f>
        <x:v>Task</x:v>
      </x:c>
    </x:row>
    <x:row r="1390" ht="40" customHeight="1">
      <x:c r="A1390" s="3" t="str">
        <x:f>HYPERLINK("#'Design &amp; Insights'!A18","Open")</x:f>
        <x:v>Open</x:v>
      </x:c>
      <x:c r="B1390" s="2" t="str">
        <x:f>'Design &amp; Insights'!B18</x:f>
        <x:v>Cycle 1</x:v>
      </x:c>
      <x:c r="C1390" s="2" t="str">
        <x:f>'Design &amp; Insights'!C18</x:f>
        <x:v>Phase 2</x:v>
      </x:c>
      <x:c r="D1390" s="2" t="str">
        <x:f>'Design &amp; Insights'!D18</x:f>
        <x:v>Auto</x:v>
      </x:c>
      <x:c r="E1390" s="2" t="str">
        <x:v>Design &amp; Insights</x:v>
      </x:c>
      <x:c r="F1390" s="56" t="str">
        <x:f>'Design &amp; Insights'!E18</x:f>
        <x:v>DI.AU.2.3</x:v>
      </x:c>
      <x:c r="G1390" s="14" t="str">
        <x:f>'Design &amp; Insights'!F18</x:f>
        <x:v>Participate in SME insight meetings to gain perspective and appetite on potential enhancements</x:v>
      </x:c>
      <x:c r="H1390" s="2" t="str">
        <x:f>IF('Design &amp; Insights'!G18="","",'Design &amp; Insights'!G18)</x:f>
      </x:c>
      <x:c r="I1390" s="12" t="str">
        <x:f>IF('Design &amp; Insights'!H18="","",'Design &amp; Insights'!H18)</x:f>
      </x:c>
      <x:c r="J1390" s="12" t="n">
        <x:f>IF('Design &amp; Insights'!I18="","",'Design &amp; Insights'!I18)</x:f>
        <x:v>46112</x:v>
      </x:c>
      <x:c r="K1390" s="12" t="str">
        <x:f>IF('Design &amp; Insights'!J18="","",'Design &amp; Insights'!J18)</x:f>
      </x:c>
      <x:c r="L1390" s="2" t="str">
        <x:f>IF('Design &amp; Insights'!K18="","",'Design &amp; Insights'!K18)</x:f>
      </x:c>
      <x:c r="M1390" s="2" t="n">
        <x:f>'Design &amp; Insights'!Q18</x:f>
        <x:v>1</x:v>
      </x:c>
      <x:c r="N1390" s="2" t="str">
        <x:f>'Design &amp; Insights'!L18</x:f>
        <x:v>Not started</x:v>
      </x:c>
      <x:c r="O1390" s="2" t="str">
        <x:f>'Design &amp; Insights'!N18</x:f>
        <x:v>DI.AU.2.3.2026.CY1</x:v>
      </x:c>
      <x:c r="P1390" s="2" t="n">
        <x:f>'Design &amp; Insights'!O18</x:f>
        <x:v>0</x:v>
      </x:c>
      <x:c r="Q1390" s="2" t="n">
        <x:f>SUBTOTAL(103,O1390)</x:f>
        <x:v>1</x:v>
      </x:c>
      <x:c r="R1390" s="2" t="n">
        <x:f>IF(AND(M1390=1,OR(Dashboard!$B$7="All",Dashboard!$B$7='Cycles &amp; Guide'!$C$5),OR(Dashboard!$D$7="All",Dashboard!$D$7=B1390),OR(Dashboard!$F$7="All",Dashboard!$F$7=C1390),OR(Dashboard!$H$7="All",Dashboard!$H$7=D1390),OR(Dashboard!$K$7="All",Dashboard!$K$7=E1390)),1,0)</x:f>
        <x:v>1</x:v>
      </x:c>
      <x:c r="S1390" s="2" t="n">
        <x:f>IF(R1390=1,SUM($R$10:R1390),0)</x:f>
        <x:v>1017</x:v>
      </x:c>
      <x:c r="T1390" s="2" t="str">
        <x:v>Design &amp; Insights</x:v>
      </x:c>
      <x:c r="U1390" s="2" t="n">
        <x:v>18</x:v>
      </x:c>
      <x:c r="V1390" s="2" t="n">
        <x:f>IF(AND(M1390=1,P1390=0,ISNUMBER(J1390),J1390&lt;TODAY()),1,0)</x:f>
        <x:v>1</x:v>
      </x:c>
      <x:c r="W1390" s="2" t="str">
        <x:f>'Design &amp; Insights'!M18</x:f>
        <x:v>Task</x:v>
      </x:c>
    </x:row>
    <x:row r="1391" ht="40" customHeight="1">
      <x:c r="A1391" s="3" t="str">
        <x:f>HYPERLINK("#'Design &amp; Insights'!A19","Open")</x:f>
        <x:v>Open</x:v>
      </x:c>
      <x:c r="B1391" s="2" t="str">
        <x:f>'Design &amp; Insights'!B19</x:f>
        <x:v>Cycle 1</x:v>
      </x:c>
      <x:c r="C1391" s="2" t="str">
        <x:f>'Design &amp; Insights'!C19</x:f>
        <x:v>Phase 2</x:v>
      </x:c>
      <x:c r="D1391" s="2" t="str">
        <x:f>'Design &amp; Insights'!D19</x:f>
        <x:v>Auto</x:v>
      </x:c>
      <x:c r="E1391" s="2" t="str">
        <x:v>Design &amp; Insights</x:v>
      </x:c>
      <x:c r="F1391" s="56" t="str">
        <x:f>'Design &amp; Insights'!E19</x:f>
        <x:v>DI.AU.2.4</x:v>
      </x:c>
      <x:c r="G1391" s="14" t="str">
        <x:f>'Design &amp; Insights'!F19</x:f>
        <x:v>Begin development of presentation materials as Research is being completed</x:v>
      </x:c>
      <x:c r="H1391" s="2" t="str">
        <x:f>IF('Design &amp; Insights'!G19="","",'Design &amp; Insights'!G19)</x:f>
      </x:c>
      <x:c r="I1391" s="12" t="str">
        <x:f>IF('Design &amp; Insights'!H19="","",'Design &amp; Insights'!H19)</x:f>
      </x:c>
      <x:c r="J1391" s="12" t="n">
        <x:f>IF('Design &amp; Insights'!I19="","",'Design &amp; Insights'!I19)</x:f>
        <x:v>46112</x:v>
      </x:c>
      <x:c r="K1391" s="12" t="str">
        <x:f>IF('Design &amp; Insights'!J19="","",'Design &amp; Insights'!J19)</x:f>
      </x:c>
      <x:c r="L1391" s="2" t="str">
        <x:f>IF('Design &amp; Insights'!K19="","",'Design &amp; Insights'!K19)</x:f>
      </x:c>
      <x:c r="M1391" s="2" t="n">
        <x:f>'Design &amp; Insights'!Q19</x:f>
        <x:v>1</x:v>
      </x:c>
      <x:c r="N1391" s="2" t="str">
        <x:f>'Design &amp; Insights'!L19</x:f>
        <x:v>Not started</x:v>
      </x:c>
      <x:c r="O1391" s="2" t="str">
        <x:f>'Design &amp; Insights'!N19</x:f>
        <x:v>DI.AU.2.4.2026.CY1</x:v>
      </x:c>
      <x:c r="P1391" s="2" t="n">
        <x:f>'Design &amp; Insights'!O19</x:f>
        <x:v>0</x:v>
      </x:c>
      <x:c r="Q1391" s="2" t="n">
        <x:f>SUBTOTAL(103,O1391)</x:f>
        <x:v>1</x:v>
      </x:c>
      <x:c r="R1391" s="2" t="n">
        <x:f>IF(AND(M1391=1,OR(Dashboard!$B$7="All",Dashboard!$B$7='Cycles &amp; Guide'!$C$5),OR(Dashboard!$D$7="All",Dashboard!$D$7=B1391),OR(Dashboard!$F$7="All",Dashboard!$F$7=C1391),OR(Dashboard!$H$7="All",Dashboard!$H$7=D1391),OR(Dashboard!$K$7="All",Dashboard!$K$7=E1391)),1,0)</x:f>
        <x:v>1</x:v>
      </x:c>
      <x:c r="S1391" s="2" t="n">
        <x:f>IF(R1391=1,SUM($R$10:R1391),0)</x:f>
        <x:v>1018</x:v>
      </x:c>
      <x:c r="T1391" s="2" t="str">
        <x:v>Design &amp; Insights</x:v>
      </x:c>
      <x:c r="U1391" s="2" t="n">
        <x:v>19</x:v>
      </x:c>
      <x:c r="V1391" s="2" t="n">
        <x:f>IF(AND(M1391=1,P1391=0,ISNUMBER(J1391),J1391&lt;TODAY()),1,0)</x:f>
        <x:v>1</x:v>
      </x:c>
      <x:c r="W1391" s="2" t="str">
        <x:f>'Design &amp; Insights'!M19</x:f>
        <x:v>Task</x:v>
      </x:c>
    </x:row>
    <x:row r="1392" ht="40" customHeight="1">
      <x:c r="A1392" s="3" t="str">
        <x:f>HYPERLINK("#'Design &amp; Insights'!A20","Open")</x:f>
        <x:v>Open</x:v>
      </x:c>
      <x:c r="B1392" s="2" t="str">
        <x:f>'Design &amp; Insights'!B20</x:f>
        <x:v>Cycle 1</x:v>
      </x:c>
      <x:c r="C1392" s="2" t="str">
        <x:f>'Design &amp; Insights'!C20</x:f>
        <x:v>Phase 2</x:v>
      </x:c>
      <x:c r="D1392" s="2" t="str">
        <x:f>'Design &amp; Insights'!D20</x:f>
        <x:v>Auto</x:v>
      </x:c>
      <x:c r="E1392" s="2" t="str">
        <x:v>Design &amp; Insights</x:v>
      </x:c>
      <x:c r="F1392" s="56" t="str">
        <x:f>'Design &amp; Insights'!E20</x:f>
        <x:v>DI.AU.2.5</x:v>
      </x:c>
      <x:c r="G1392" s="14" t="str">
        <x:f>'Design &amp; Insights'!F20</x:f>
        <x:v>Draft initial enhancement recommendations (as applicable)</x:v>
      </x:c>
      <x:c r="H1392" s="2" t="str">
        <x:f>IF('Design &amp; Insights'!G20="","",'Design &amp; Insights'!G20)</x:f>
      </x:c>
      <x:c r="I1392" s="12" t="str">
        <x:f>IF('Design &amp; Insights'!H20="","",'Design &amp; Insights'!H20)</x:f>
      </x:c>
      <x:c r="J1392" s="12" t="n">
        <x:f>IF('Design &amp; Insights'!I20="","",'Design &amp; Insights'!I20)</x:f>
        <x:v>46112</x:v>
      </x:c>
      <x:c r="K1392" s="12" t="str">
        <x:f>IF('Design &amp; Insights'!J20="","",'Design &amp; Insights'!J20)</x:f>
      </x:c>
      <x:c r="L1392" s="2" t="str">
        <x:f>IF('Design &amp; Insights'!K20="","",'Design &amp; Insights'!K20)</x:f>
      </x:c>
      <x:c r="M1392" s="2" t="n">
        <x:f>'Design &amp; Insights'!Q20</x:f>
        <x:v>1</x:v>
      </x:c>
      <x:c r="N1392" s="2" t="str">
        <x:f>'Design &amp; Insights'!L20</x:f>
        <x:v>Not started</x:v>
      </x:c>
      <x:c r="O1392" s="2" t="str">
        <x:f>'Design &amp; Insights'!N20</x:f>
        <x:v>DI.AU.2.5.2026.CY1</x:v>
      </x:c>
      <x:c r="P1392" s="2" t="n">
        <x:f>'Design &amp; Insights'!O20</x:f>
        <x:v>0</x:v>
      </x:c>
      <x:c r="Q1392" s="2" t="n">
        <x:f>SUBTOTAL(103,O1392)</x:f>
        <x:v>1</x:v>
      </x:c>
      <x:c r="R1392" s="2" t="n">
        <x:f>IF(AND(M1392=1,OR(Dashboard!$B$7="All",Dashboard!$B$7='Cycles &amp; Guide'!$C$5),OR(Dashboard!$D$7="All",Dashboard!$D$7=B1392),OR(Dashboard!$F$7="All",Dashboard!$F$7=C1392),OR(Dashboard!$H$7="All",Dashboard!$H$7=D1392),OR(Dashboard!$K$7="All",Dashboard!$K$7=E1392)),1,0)</x:f>
        <x:v>1</x:v>
      </x:c>
      <x:c r="S1392" s="2" t="n">
        <x:f>IF(R1392=1,SUM($R$10:R1392),0)</x:f>
        <x:v>1019</x:v>
      </x:c>
      <x:c r="T1392" s="2" t="str">
        <x:v>Design &amp; Insights</x:v>
      </x:c>
      <x:c r="U1392" s="2" t="n">
        <x:v>20</x:v>
      </x:c>
      <x:c r="V1392" s="2" t="n">
        <x:f>IF(AND(M1392=1,P1392=0,ISNUMBER(J1392),J1392&lt;TODAY()),1,0)</x:f>
        <x:v>1</x:v>
      </x:c>
      <x:c r="W1392" s="2" t="str">
        <x:f>'Design &amp; Insights'!M20</x:f>
        <x:v>Task</x:v>
      </x:c>
    </x:row>
    <x:row r="1393" ht="40" customHeight="1">
      <x:c r="A1393" s="3" t="str">
        <x:f>HYPERLINK("#'Design &amp; Insights'!A21","Open")</x:f>
        <x:v>Open</x:v>
      </x:c>
      <x:c r="B1393" s="2" t="str">
        <x:f>'Design &amp; Insights'!B21</x:f>
        <x:v>Cycle 1</x:v>
      </x:c>
      <x:c r="C1393" s="2" t="str">
        <x:f>'Design &amp; Insights'!C21</x:f>
        <x:v>Phase 2</x:v>
      </x:c>
      <x:c r="D1393" s="2" t="str">
        <x:f>'Design &amp; Insights'!D21</x:f>
        <x:v>Auto</x:v>
      </x:c>
      <x:c r="E1393" s="2" t="str">
        <x:v>Design &amp; Insights</x:v>
      </x:c>
      <x:c r="F1393" s="56" t="str">
        <x:f>'Design &amp; Insights'!E21</x:f>
        <x:v>DI.AU.2.6</x:v>
      </x:c>
      <x:c r="G1393" s="14" t="str">
        <x:f>'Design &amp; Insights'!F21</x:f>
        <x:v>Finalize presentation deck draft at conclusion of Research phase</x:v>
      </x:c>
      <x:c r="H1393" s="2" t="str">
        <x:f>IF('Design &amp; Insights'!G21="","",'Design &amp; Insights'!G21)</x:f>
      </x:c>
      <x:c r="I1393" s="12" t="str">
        <x:f>IF('Design &amp; Insights'!H21="","",'Design &amp; Insights'!H21)</x:f>
      </x:c>
      <x:c r="J1393" s="12" t="n">
        <x:f>IF('Design &amp; Insights'!I21="","",'Design &amp; Insights'!I21)</x:f>
        <x:v>46112</x:v>
      </x:c>
      <x:c r="K1393" s="12" t="str">
        <x:f>IF('Design &amp; Insights'!J21="","",'Design &amp; Insights'!J21)</x:f>
      </x:c>
      <x:c r="L1393" s="2" t="str">
        <x:f>IF('Design &amp; Insights'!K21="","",'Design &amp; Insights'!K21)</x:f>
      </x:c>
      <x:c r="M1393" s="2" t="n">
        <x:f>'Design &amp; Insights'!Q21</x:f>
        <x:v>1</x:v>
      </x:c>
      <x:c r="N1393" s="2" t="str">
        <x:f>'Design &amp; Insights'!L21</x:f>
        <x:v>Not started</x:v>
      </x:c>
      <x:c r="O1393" s="2" t="str">
        <x:f>'Design &amp; Insights'!N21</x:f>
        <x:v>DI.AU.2.6.2026.CY1</x:v>
      </x:c>
      <x:c r="P1393" s="2" t="n">
        <x:f>'Design &amp; Insights'!O21</x:f>
        <x:v>0</x:v>
      </x:c>
      <x:c r="Q1393" s="2" t="n">
        <x:f>SUBTOTAL(103,O1393)</x:f>
        <x:v>1</x:v>
      </x:c>
      <x:c r="R1393" s="2" t="n">
        <x:f>IF(AND(M1393=1,OR(Dashboard!$B$7="All",Dashboard!$B$7='Cycles &amp; Guide'!$C$5),OR(Dashboard!$D$7="All",Dashboard!$D$7=B1393),OR(Dashboard!$F$7="All",Dashboard!$F$7=C1393),OR(Dashboard!$H$7="All",Dashboard!$H$7=D1393),OR(Dashboard!$K$7="All",Dashboard!$K$7=E1393)),1,0)</x:f>
        <x:v>1</x:v>
      </x:c>
      <x:c r="S1393" s="2" t="n">
        <x:f>IF(R1393=1,SUM($R$10:R1393),0)</x:f>
        <x:v>1020</x:v>
      </x:c>
      <x:c r="T1393" s="2" t="str">
        <x:v>Design &amp; Insights</x:v>
      </x:c>
      <x:c r="U1393" s="2" t="n">
        <x:v>21</x:v>
      </x:c>
      <x:c r="V1393" s="2" t="n">
        <x:f>IF(AND(M1393=1,P1393=0,ISNUMBER(J1393),J1393&lt;TODAY()),1,0)</x:f>
        <x:v>1</x:v>
      </x:c>
      <x:c r="W1393" s="2" t="str">
        <x:f>'Design &amp; Insights'!M21</x:f>
        <x:v>Task</x:v>
      </x:c>
    </x:row>
    <x:row r="1394" ht="40" customHeight="1">
      <x:c r="A1394" s="3" t="str">
        <x:f>HYPERLINK("#'Design &amp; Insights'!A22","Open")</x:f>
        <x:v>Open</x:v>
      </x:c>
      <x:c r="B1394" s="2" t="str">
        <x:f>'Design &amp; Insights'!B22</x:f>
        <x:v>Cycle 1</x:v>
      </x:c>
      <x:c r="C1394" s="2" t="str">
        <x:f>'Design &amp; Insights'!C22</x:f>
        <x:v>Phase 2</x:v>
      </x:c>
      <x:c r="D1394" s="2" t="str">
        <x:f>'Design &amp; Insights'!D22</x:f>
        <x:v>Auto</x:v>
      </x:c>
      <x:c r="E1394" s="2" t="str">
        <x:v>Design &amp; Insights</x:v>
      </x:c>
      <x:c r="F1394" s="56" t="str">
        <x:f>'Design &amp; Insights'!E22</x:f>
        <x:v>DI.AU.2.7</x:v>
      </x:c>
      <x:c r="G1394" s="14" t="str">
        <x:f>'Design &amp; Insights'!F22</x:f>
        <x:v>Update Outcome portion of research plan with current enhancement verbiage (as needed)</x:v>
      </x:c>
      <x:c r="H1394" s="2" t="str">
        <x:f>IF('Design &amp; Insights'!G22="","",'Design &amp; Insights'!G22)</x:f>
      </x:c>
      <x:c r="I1394" s="12" t="str">
        <x:f>IF('Design &amp; Insights'!H22="","",'Design &amp; Insights'!H22)</x:f>
      </x:c>
      <x:c r="J1394" s="12" t="n">
        <x:f>IF('Design &amp; Insights'!I22="","",'Design &amp; Insights'!I22)</x:f>
        <x:v>46112</x:v>
      </x:c>
      <x:c r="K1394" s="12" t="str">
        <x:f>IF('Design &amp; Insights'!J22="","",'Design &amp; Insights'!J22)</x:f>
      </x:c>
      <x:c r="L1394" s="2" t="str">
        <x:f>IF('Design &amp; Insights'!K22="","",'Design &amp; Insights'!K22)</x:f>
      </x:c>
      <x:c r="M1394" s="2" t="n">
        <x:f>'Design &amp; Insights'!Q22</x:f>
        <x:v>1</x:v>
      </x:c>
      <x:c r="N1394" s="2" t="str">
        <x:f>'Design &amp; Insights'!L22</x:f>
        <x:v>Not started</x:v>
      </x:c>
      <x:c r="O1394" s="2" t="str">
        <x:f>'Design &amp; Insights'!N22</x:f>
        <x:v>DI.AU.2.7.2026.CY1</x:v>
      </x:c>
      <x:c r="P1394" s="2" t="n">
        <x:f>'Design &amp; Insights'!O22</x:f>
        <x:v>0</x:v>
      </x:c>
      <x:c r="Q1394" s="2" t="n">
        <x:f>SUBTOTAL(103,O1394)</x:f>
        <x:v>1</x:v>
      </x:c>
      <x:c r="R1394" s="2" t="n">
        <x:f>IF(AND(M1394=1,OR(Dashboard!$B$7="All",Dashboard!$B$7='Cycles &amp; Guide'!$C$5),OR(Dashboard!$D$7="All",Dashboard!$D$7=B1394),OR(Dashboard!$F$7="All",Dashboard!$F$7=C1394),OR(Dashboard!$H$7="All",Dashboard!$H$7=D1394),OR(Dashboard!$K$7="All",Dashboard!$K$7=E1394)),1,0)</x:f>
        <x:v>1</x:v>
      </x:c>
      <x:c r="S1394" s="2" t="n">
        <x:f>IF(R1394=1,SUM($R$10:R1394),0)</x:f>
        <x:v>1021</x:v>
      </x:c>
      <x:c r="T1394" s="2" t="str">
        <x:v>Design &amp; Insights</x:v>
      </x:c>
      <x:c r="U1394" s="2" t="n">
        <x:v>22</x:v>
      </x:c>
      <x:c r="V1394" s="2" t="n">
        <x:f>IF(AND(M1394=1,P1394=0,ISNUMBER(J1394),J1394&lt;TODAY()),1,0)</x:f>
        <x:v>1</x:v>
      </x:c>
      <x:c r="W1394" s="2" t="str">
        <x:f>'Design &amp; Insights'!M22</x:f>
        <x:v>Task</x:v>
      </x:c>
    </x:row>
    <x:row r="1395" ht="40" customHeight="1">
      <x:c r="A1395" s="3" t="str">
        <x:f>HYPERLINK("#'Design &amp; Insights'!A23","Open")</x:f>
        <x:v>Open</x:v>
      </x:c>
      <x:c r="B1395" s="2" t="str">
        <x:f>'Design &amp; Insights'!B23</x:f>
        <x:v>Cycle 1</x:v>
      </x:c>
      <x:c r="C1395" s="2" t="str">
        <x:f>'Design &amp; Insights'!C23</x:f>
        <x:v>Phase 3</x:v>
      </x:c>
      <x:c r="D1395" s="2" t="str">
        <x:f>'Design &amp; Insights'!D23</x:f>
        <x:v>Auto</x:v>
      </x:c>
      <x:c r="E1395" s="2" t="str">
        <x:v>Design &amp; Insights</x:v>
      </x:c>
      <x:c r="F1395" s="56" t="str">
        <x:f>'Design &amp; Insights'!E23</x:f>
        <x:v>DI.AU.3.1</x:v>
      </x:c>
      <x:c r="G1395" s="14" t="str">
        <x:f>'Design &amp; Insights'!F23</x:f>
        <x:v>Confirm list of required &amp; optional attendees for pre-socialization meeting</x:v>
      </x:c>
      <x:c r="H1395" s="2" t="str">
        <x:f>IF('Design &amp; Insights'!G23="","",'Design &amp; Insights'!G23)</x:f>
      </x:c>
      <x:c r="I1395" s="12" t="str">
        <x:f>IF('Design &amp; Insights'!H23="","",'Design &amp; Insights'!H23)</x:f>
      </x:c>
      <x:c r="J1395" s="12" t="n">
        <x:f>IF('Design &amp; Insights'!I23="","",'Design &amp; Insights'!I23)</x:f>
        <x:v>46112</x:v>
      </x:c>
      <x:c r="K1395" s="12" t="str">
        <x:f>IF('Design &amp; Insights'!J23="","",'Design &amp; Insights'!J23)</x:f>
      </x:c>
      <x:c r="L1395" s="2" t="str">
        <x:f>IF('Design &amp; Insights'!K23="","",'Design &amp; Insights'!K23)</x:f>
      </x:c>
      <x:c r="M1395" s="2" t="n">
        <x:f>'Design &amp; Insights'!Q23</x:f>
        <x:v>1</x:v>
      </x:c>
      <x:c r="N1395" s="2" t="str">
        <x:f>'Design &amp; Insights'!L23</x:f>
        <x:v>Not started</x:v>
      </x:c>
      <x:c r="O1395" s="2" t="str">
        <x:f>'Design &amp; Insights'!N23</x:f>
        <x:v>DI.AU.3.1.2026.CY1</x:v>
      </x:c>
      <x:c r="P1395" s="2" t="n">
        <x:f>'Design &amp; Insights'!O23</x:f>
        <x:v>0</x:v>
      </x:c>
      <x:c r="Q1395" s="2" t="n">
        <x:f>SUBTOTAL(103,O1395)</x:f>
        <x:v>1</x:v>
      </x:c>
      <x:c r="R1395" s="2" t="n">
        <x:f>IF(AND(M1395=1,OR(Dashboard!$B$7="All",Dashboard!$B$7='Cycles &amp; Guide'!$C$5),OR(Dashboard!$D$7="All",Dashboard!$D$7=B1395),OR(Dashboard!$F$7="All",Dashboard!$F$7=C1395),OR(Dashboard!$H$7="All",Dashboard!$H$7=D1395),OR(Dashboard!$K$7="All",Dashboard!$K$7=E1395)),1,0)</x:f>
        <x:v>1</x:v>
      </x:c>
      <x:c r="S1395" s="2" t="n">
        <x:f>IF(R1395=1,SUM($R$10:R1395),0)</x:f>
        <x:v>1022</x:v>
      </x:c>
      <x:c r="T1395" s="2" t="str">
        <x:v>Design &amp; Insights</x:v>
      </x:c>
      <x:c r="U1395" s="2" t="n">
        <x:v>23</x:v>
      </x:c>
      <x:c r="V1395" s="2" t="n">
        <x:f>IF(AND(M1395=1,P1395=0,ISNUMBER(J1395),J1395&lt;TODAY()),1,0)</x:f>
        <x:v>1</x:v>
      </x:c>
      <x:c r="W1395" s="2" t="str">
        <x:f>'Design &amp; Insights'!M23</x:f>
        <x:v>Task</x:v>
      </x:c>
    </x:row>
    <x:row r="1396" ht="40" customHeight="1">
      <x:c r="A1396" s="3" t="str">
        <x:f>HYPERLINK("#'Design &amp; Insights'!A24","Open")</x:f>
        <x:v>Open</x:v>
      </x:c>
      <x:c r="B1396" s="2" t="str">
        <x:f>'Design &amp; Insights'!B24</x:f>
        <x:v>Cycle 1</x:v>
      </x:c>
      <x:c r="C1396" s="2" t="str">
        <x:f>'Design &amp; Insights'!C24</x:f>
        <x:v>Phase 3</x:v>
      </x:c>
      <x:c r="D1396" s="2" t="str">
        <x:f>'Design &amp; Insights'!D24</x:f>
        <x:v>Auto</x:v>
      </x:c>
      <x:c r="E1396" s="2" t="str">
        <x:v>Design &amp; Insights</x:v>
      </x:c>
      <x:c r="F1396" s="56" t="str">
        <x:f>'Design &amp; Insights'!E24</x:f>
        <x:v>DI.AU.3.2</x:v>
      </x:c>
      <x:c r="G1396" s="14" t="str">
        <x:f>'Design &amp; Insights'!F24</x:f>
        <x:v>Schedule pre-socialization meeting 1 week prior to RCA Forum</x:v>
      </x:c>
      <x:c r="H1396" s="2" t="str">
        <x:f>IF('Design &amp; Insights'!G24="","",'Design &amp; Insights'!G24)</x:f>
      </x:c>
      <x:c r="I1396" s="12" t="str">
        <x:f>IF('Design &amp; Insights'!H24="","",'Design &amp; Insights'!H24)</x:f>
      </x:c>
      <x:c r="J1396" s="12" t="str">
        <x:f>IF('Design &amp; Insights'!I24="","",'Design &amp; Insights'!I24)</x:f>
      </x:c>
      <x:c r="K1396" s="12" t="str">
        <x:f>IF('Design &amp; Insights'!J24="","",'Design &amp; Insights'!J24)</x:f>
      </x:c>
      <x:c r="L1396" s="2" t="str">
        <x:f>IF('Design &amp; Insights'!K24="","",'Design &amp; Insights'!K24)</x:f>
      </x:c>
      <x:c r="M1396" s="2" t="n">
        <x:f>'Design &amp; Insights'!Q24</x:f>
        <x:v>1</x:v>
      </x:c>
      <x:c r="N1396" s="2" t="str">
        <x:f>'Design &amp; Insights'!L24</x:f>
        <x:v>Not started</x:v>
      </x:c>
      <x:c r="O1396" s="2" t="str">
        <x:f>'Design &amp; Insights'!N24</x:f>
        <x:v>DI.AU.3.2.2026.CY1</x:v>
      </x:c>
      <x:c r="P1396" s="2" t="n">
        <x:f>'Design &amp; Insights'!O24</x:f>
        <x:v>0</x:v>
      </x:c>
      <x:c r="Q1396" s="2" t="n">
        <x:f>SUBTOTAL(103,O1396)</x:f>
        <x:v>1</x:v>
      </x:c>
      <x:c r="R1396" s="2" t="n">
        <x:f>IF(AND(M1396=1,OR(Dashboard!$B$7="All",Dashboard!$B$7='Cycles &amp; Guide'!$C$5),OR(Dashboard!$D$7="All",Dashboard!$D$7=B1396),OR(Dashboard!$F$7="All",Dashboard!$F$7=C1396),OR(Dashboard!$H$7="All",Dashboard!$H$7=D1396),OR(Dashboard!$K$7="All",Dashboard!$K$7=E1396)),1,0)</x:f>
        <x:v>1</x:v>
      </x:c>
      <x:c r="S1396" s="2" t="n">
        <x:f>IF(R1396=1,SUM($R$10:R1396),0)</x:f>
        <x:v>1023</x:v>
      </x:c>
      <x:c r="T1396" s="2" t="str">
        <x:v>Design &amp; Insights</x:v>
      </x:c>
      <x:c r="U1396" s="2" t="n">
        <x:v>24</x:v>
      </x:c>
      <x:c r="V1396" s="2" t="n">
        <x:f>IF(AND(M1396=1,P1396=0,ISNUMBER(J1396),J1396&lt;TODAY()),1,0)</x:f>
        <x:v>0</x:v>
      </x:c>
      <x:c r="W1396" s="2" t="str">
        <x:f>'Design &amp; Insights'!M24</x:f>
        <x:v>Task</x:v>
      </x:c>
    </x:row>
    <x:row r="1397" ht="40" customHeight="1">
      <x:c r="A1397" s="3" t="str">
        <x:f>HYPERLINK("#'Design &amp; Insights'!A25","Open")</x:f>
        <x:v>Open</x:v>
      </x:c>
      <x:c r="B1397" s="2" t="str">
        <x:f>'Design &amp; Insights'!B25</x:f>
        <x:v>Cycle 1</x:v>
      </x:c>
      <x:c r="C1397" s="2" t="str">
        <x:f>'Design &amp; Insights'!C25</x:f>
        <x:v>Phase 3</x:v>
      </x:c>
      <x:c r="D1397" s="2" t="str">
        <x:f>'Design &amp; Insights'!D25</x:f>
        <x:v>Auto</x:v>
      </x:c>
      <x:c r="E1397" s="2" t="str">
        <x:v>Design &amp; Insights</x:v>
      </x:c>
      <x:c r="F1397" s="56" t="str">
        <x:f>'Design &amp; Insights'!E25</x:f>
        <x:v>DI.AU.3.3</x:v>
      </x:c>
      <x:c r="G1397" s="14" t="str">
        <x:f>'Design &amp; Insights'!F25</x:f>
        <x:v>Present findings, conclusions, and recommendation to SMEs</x:v>
      </x:c>
      <x:c r="H1397" s="2" t="str">
        <x:f>IF('Design &amp; Insights'!G25="","",'Design &amp; Insights'!G25)</x:f>
      </x:c>
      <x:c r="I1397" s="12" t="str">
        <x:f>IF('Design &amp; Insights'!H25="","",'Design &amp; Insights'!H25)</x:f>
      </x:c>
      <x:c r="J1397" s="12" t="n">
        <x:f>IF('Design &amp; Insights'!I25="","",'Design &amp; Insights'!I25)</x:f>
        <x:v>46112</x:v>
      </x:c>
      <x:c r="K1397" s="12" t="str">
        <x:f>IF('Design &amp; Insights'!J25="","",'Design &amp; Insights'!J25)</x:f>
      </x:c>
      <x:c r="L1397" s="2" t="str">
        <x:f>IF('Design &amp; Insights'!K25="","",'Design &amp; Insights'!K25)</x:f>
      </x:c>
      <x:c r="M1397" s="2" t="n">
        <x:f>'Design &amp; Insights'!Q25</x:f>
        <x:v>1</x:v>
      </x:c>
      <x:c r="N1397" s="2" t="str">
        <x:f>'Design &amp; Insights'!L25</x:f>
        <x:v>Not started</x:v>
      </x:c>
      <x:c r="O1397" s="2" t="str">
        <x:f>'Design &amp; Insights'!N25</x:f>
        <x:v>DI.AU.3.3.2026.CY1</x:v>
      </x:c>
      <x:c r="P1397" s="2" t="n">
        <x:f>'Design &amp; Insights'!O25</x:f>
        <x:v>0</x:v>
      </x:c>
      <x:c r="Q1397" s="2" t="n">
        <x:f>SUBTOTAL(103,O1397)</x:f>
        <x:v>1</x:v>
      </x:c>
      <x:c r="R1397" s="2" t="n">
        <x:f>IF(AND(M1397=1,OR(Dashboard!$B$7="All",Dashboard!$B$7='Cycles &amp; Guide'!$C$5),OR(Dashboard!$D$7="All",Dashboard!$D$7=B1397),OR(Dashboard!$F$7="All",Dashboard!$F$7=C1397),OR(Dashboard!$H$7="All",Dashboard!$H$7=D1397),OR(Dashboard!$K$7="All",Dashboard!$K$7=E1397)),1,0)</x:f>
        <x:v>1</x:v>
      </x:c>
      <x:c r="S1397" s="2" t="n">
        <x:f>IF(R1397=1,SUM($R$10:R1397),0)</x:f>
        <x:v>1024</x:v>
      </x:c>
      <x:c r="T1397" s="2" t="str">
        <x:v>Design &amp; Insights</x:v>
      </x:c>
      <x:c r="U1397" s="2" t="n">
        <x:v>25</x:v>
      </x:c>
      <x:c r="V1397" s="2" t="n">
        <x:f>IF(AND(M1397=1,P1397=0,ISNUMBER(J1397),J1397&lt;TODAY()),1,0)</x:f>
        <x:v>1</x:v>
      </x:c>
      <x:c r="W1397" s="2" t="str">
        <x:f>'Design &amp; Insights'!M25</x:f>
        <x:v>Task</x:v>
      </x:c>
    </x:row>
    <x:row r="1398" ht="40" customHeight="1">
      <x:c r="A1398" s="3" t="str">
        <x:f>HYPERLINK("#'Design &amp; Insights'!A26","Open")</x:f>
        <x:v>Open</x:v>
      </x:c>
      <x:c r="B1398" s="2" t="str">
        <x:f>'Design &amp; Insights'!B26</x:f>
        <x:v>Cycle 1</x:v>
      </x:c>
      <x:c r="C1398" s="2" t="str">
        <x:f>'Design &amp; Insights'!C26</x:f>
        <x:v>Phase 3</x:v>
      </x:c>
      <x:c r="D1398" s="2" t="str">
        <x:f>'Design &amp; Insights'!D26</x:f>
        <x:v>Auto</x:v>
      </x:c>
      <x:c r="E1398" s="2" t="str">
        <x:v>Design &amp; Insights</x:v>
      </x:c>
      <x:c r="F1398" s="56" t="str">
        <x:f>'Design &amp; Insights'!E26</x:f>
        <x:v>DI.AU.3.4</x:v>
      </x:c>
      <x:c r="G1398" s="14" t="str">
        <x:f>'Design &amp; Insights'!F26</x:f>
        <x:v>Update Outcome portion of research plan (as needed)</x:v>
      </x:c>
      <x:c r="H1398" s="2" t="str">
        <x:f>IF('Design &amp; Insights'!G26="","",'Design &amp; Insights'!G26)</x:f>
      </x:c>
      <x:c r="I1398" s="12" t="str">
        <x:f>IF('Design &amp; Insights'!H26="","",'Design &amp; Insights'!H26)</x:f>
      </x:c>
      <x:c r="J1398" s="12" t="n">
        <x:f>IF('Design &amp; Insights'!I26="","",'Design &amp; Insights'!I26)</x:f>
        <x:v>46112</x:v>
      </x:c>
      <x:c r="K1398" s="12" t="str">
        <x:f>IF('Design &amp; Insights'!J26="","",'Design &amp; Insights'!J26)</x:f>
      </x:c>
      <x:c r="L1398" s="2" t="str">
        <x:f>IF('Design &amp; Insights'!K26="","",'Design &amp; Insights'!K26)</x:f>
      </x:c>
      <x:c r="M1398" s="2" t="n">
        <x:f>'Design &amp; Insights'!Q26</x:f>
        <x:v>1</x:v>
      </x:c>
      <x:c r="N1398" s="2" t="str">
        <x:f>'Design &amp; Insights'!L26</x:f>
        <x:v>Not started</x:v>
      </x:c>
      <x:c r="O1398" s="2" t="str">
        <x:f>'Design &amp; Insights'!N26</x:f>
        <x:v>DI.AU.3.4.2026.CY1</x:v>
      </x:c>
      <x:c r="P1398" s="2" t="n">
        <x:f>'Design &amp; Insights'!O26</x:f>
        <x:v>0</x:v>
      </x:c>
      <x:c r="Q1398" s="2" t="n">
        <x:f>SUBTOTAL(103,O1398)</x:f>
        <x:v>1</x:v>
      </x:c>
      <x:c r="R1398" s="2" t="n">
        <x:f>IF(AND(M1398=1,OR(Dashboard!$B$7="All",Dashboard!$B$7='Cycles &amp; Guide'!$C$5),OR(Dashboard!$D$7="All",Dashboard!$D$7=B1398),OR(Dashboard!$F$7="All",Dashboard!$F$7=C1398),OR(Dashboard!$H$7="All",Dashboard!$H$7=D1398),OR(Dashboard!$K$7="All",Dashboard!$K$7=E1398)),1,0)</x:f>
        <x:v>1</x:v>
      </x:c>
      <x:c r="S1398" s="2" t="n">
        <x:f>IF(R1398=1,SUM($R$10:R1398),0)</x:f>
        <x:v>1025</x:v>
      </x:c>
      <x:c r="T1398" s="2" t="str">
        <x:v>Design &amp; Insights</x:v>
      </x:c>
      <x:c r="U1398" s="2" t="n">
        <x:v>26</x:v>
      </x:c>
      <x:c r="V1398" s="2" t="n">
        <x:f>IF(AND(M1398=1,P1398=0,ISNUMBER(J1398),J1398&lt;TODAY()),1,0)</x:f>
        <x:v>1</x:v>
      </x:c>
      <x:c r="W1398" s="2" t="str">
        <x:f>'Design &amp; Insights'!M26</x:f>
        <x:v>Task</x:v>
      </x:c>
    </x:row>
    <x:row r="1399" ht="40" customHeight="1">
      <x:c r="A1399" s="3" t="str">
        <x:f>HYPERLINK("#'Design &amp; Insights'!A27","Open")</x:f>
        <x:v>Open</x:v>
      </x:c>
      <x:c r="B1399" s="2" t="str">
        <x:f>'Design &amp; Insights'!B27</x:f>
        <x:v>Cycle 1</x:v>
      </x:c>
      <x:c r="C1399" s="2" t="str">
        <x:f>'Design &amp; Insights'!C27</x:f>
        <x:v>Phase 3</x:v>
      </x:c>
      <x:c r="D1399" s="2" t="str">
        <x:f>'Design &amp; Insights'!D27</x:f>
        <x:v>Auto</x:v>
      </x:c>
      <x:c r="E1399" s="2" t="str">
        <x:v>Design &amp; Insights</x:v>
      </x:c>
      <x:c r="F1399" s="56" t="str">
        <x:f>'Design &amp; Insights'!E27</x:f>
        <x:v>DI.AU.3.5</x:v>
      </x:c>
      <x:c r="G1399" s="14" t="str">
        <x:f>'Design &amp; Insights'!F27</x:f>
        <x:v>Finalize presentation deck by incorporating pre-socialization feedback (as needed)</x:v>
      </x:c>
      <x:c r="H1399" s="2" t="str">
        <x:f>IF('Design &amp; Insights'!G27="","",'Design &amp; Insights'!G27)</x:f>
      </x:c>
      <x:c r="I1399" s="12" t="str">
        <x:f>IF('Design &amp; Insights'!H27="","",'Design &amp; Insights'!H27)</x:f>
      </x:c>
      <x:c r="J1399" s="12" t="n">
        <x:f>IF('Design &amp; Insights'!I27="","",'Design &amp; Insights'!I27)</x:f>
        <x:v>46112</x:v>
      </x:c>
      <x:c r="K1399" s="12" t="str">
        <x:f>IF('Design &amp; Insights'!J27="","",'Design &amp; Insights'!J27)</x:f>
      </x:c>
      <x:c r="L1399" s="2" t="str">
        <x:f>IF('Design &amp; Insights'!K27="","",'Design &amp; Insights'!K27)</x:f>
      </x:c>
      <x:c r="M1399" s="2" t="n">
        <x:f>'Design &amp; Insights'!Q27</x:f>
        <x:v>1</x:v>
      </x:c>
      <x:c r="N1399" s="2" t="str">
        <x:f>'Design &amp; Insights'!L27</x:f>
        <x:v>Not started</x:v>
      </x:c>
      <x:c r="O1399" s="2" t="str">
        <x:f>'Design &amp; Insights'!N27</x:f>
        <x:v>DI.AU.3.5.2026.CY1</x:v>
      </x:c>
      <x:c r="P1399" s="2" t="n">
        <x:f>'Design &amp; Insights'!O27</x:f>
        <x:v>0</x:v>
      </x:c>
      <x:c r="Q1399" s="2" t="n">
        <x:f>SUBTOTAL(103,O1399)</x:f>
        <x:v>1</x:v>
      </x:c>
      <x:c r="R1399" s="2" t="n">
        <x:f>IF(AND(M1399=1,OR(Dashboard!$B$7="All",Dashboard!$B$7='Cycles &amp; Guide'!$C$5),OR(Dashboard!$D$7="All",Dashboard!$D$7=B1399),OR(Dashboard!$F$7="All",Dashboard!$F$7=C1399),OR(Dashboard!$H$7="All",Dashboard!$H$7=D1399),OR(Dashboard!$K$7="All",Dashboard!$K$7=E1399)),1,0)</x:f>
        <x:v>1</x:v>
      </x:c>
      <x:c r="S1399" s="2" t="n">
        <x:f>IF(R1399=1,SUM($R$10:R1399),0)</x:f>
        <x:v>1026</x:v>
      </x:c>
      <x:c r="T1399" s="2" t="str">
        <x:v>Design &amp; Insights</x:v>
      </x:c>
      <x:c r="U1399" s="2" t="n">
        <x:v>27</x:v>
      </x:c>
      <x:c r="V1399" s="2" t="n">
        <x:f>IF(AND(M1399=1,P1399=0,ISNUMBER(J1399),J1399&lt;TODAY()),1,0)</x:f>
        <x:v>1</x:v>
      </x:c>
      <x:c r="W1399" s="2" t="str">
        <x:f>'Design &amp; Insights'!M27</x:f>
        <x:v>Task</x:v>
      </x:c>
    </x:row>
    <x:row r="1400" ht="40" customHeight="1">
      <x:c r="A1400" s="3" t="str">
        <x:f>HYPERLINK("#'Design &amp; Insights'!A28","Open")</x:f>
        <x:v>Open</x:v>
      </x:c>
      <x:c r="B1400" s="2" t="str">
        <x:f>'Design &amp; Insights'!B28</x:f>
        <x:v>Cycle 1</x:v>
      </x:c>
      <x:c r="C1400" s="2" t="str">
        <x:f>'Design &amp; Insights'!C28</x:f>
        <x:v>Phase 3</x:v>
      </x:c>
      <x:c r="D1400" s="2" t="str">
        <x:f>'Design &amp; Insights'!D28</x:f>
        <x:v>Auto</x:v>
      </x:c>
      <x:c r="E1400" s="2" t="str">
        <x:v>Design &amp; Insights</x:v>
      </x:c>
      <x:c r="F1400" s="56" t="str">
        <x:f>'Design &amp; Insights'!E28</x:f>
        <x:v>DI.AU.3.6</x:v>
      </x:c>
      <x:c r="G1400" s="14" t="str">
        <x:f>'Design &amp; Insights'!F28</x:f>
        <x:v>Ensure final deck is communicated to Forum attendees</x:v>
      </x:c>
      <x:c r="H1400" s="2" t="str">
        <x:f>IF('Design &amp; Insights'!G28="","",'Design &amp; Insights'!G28)</x:f>
      </x:c>
      <x:c r="I1400" s="12" t="str">
        <x:f>IF('Design &amp; Insights'!H28="","",'Design &amp; Insights'!H28)</x:f>
      </x:c>
      <x:c r="J1400" s="12" t="n">
        <x:f>IF('Design &amp; Insights'!I28="","",'Design &amp; Insights'!I28)</x:f>
        <x:v>46112</x:v>
      </x:c>
      <x:c r="K1400" s="12" t="str">
        <x:f>IF('Design &amp; Insights'!J28="","",'Design &amp; Insights'!J28)</x:f>
      </x:c>
      <x:c r="L1400" s="2" t="str">
        <x:f>IF('Design &amp; Insights'!K28="","",'Design &amp; Insights'!K28)</x:f>
      </x:c>
      <x:c r="M1400" s="2" t="n">
        <x:f>'Design &amp; Insights'!Q28</x:f>
        <x:v>1</x:v>
      </x:c>
      <x:c r="N1400" s="2" t="str">
        <x:f>'Design &amp; Insights'!L28</x:f>
        <x:v>Not started</x:v>
      </x:c>
      <x:c r="O1400" s="2" t="str">
        <x:f>'Design &amp; Insights'!N28</x:f>
        <x:v>DI.AU.3.6.2026.CY1</x:v>
      </x:c>
      <x:c r="P1400" s="2" t="n">
        <x:f>'Design &amp; Insights'!O28</x:f>
        <x:v>0</x:v>
      </x:c>
      <x:c r="Q1400" s="2" t="n">
        <x:f>SUBTOTAL(103,O1400)</x:f>
        <x:v>1</x:v>
      </x:c>
      <x:c r="R1400" s="2" t="n">
        <x:f>IF(AND(M1400=1,OR(Dashboard!$B$7="All",Dashboard!$B$7='Cycles &amp; Guide'!$C$5),OR(Dashboard!$D$7="All",Dashboard!$D$7=B1400),OR(Dashboard!$F$7="All",Dashboard!$F$7=C1400),OR(Dashboard!$H$7="All",Dashboard!$H$7=D1400),OR(Dashboard!$K$7="All",Dashboard!$K$7=E1400)),1,0)</x:f>
        <x:v>1</x:v>
      </x:c>
      <x:c r="S1400" s="2" t="n">
        <x:f>IF(R1400=1,SUM($R$10:R1400),0)</x:f>
        <x:v>1027</x:v>
      </x:c>
      <x:c r="T1400" s="2" t="str">
        <x:v>Design &amp; Insights</x:v>
      </x:c>
      <x:c r="U1400" s="2" t="n">
        <x:v>28</x:v>
      </x:c>
      <x:c r="V1400" s="2" t="n">
        <x:f>IF(AND(M1400=1,P1400=0,ISNUMBER(J1400),J1400&lt;TODAY()),1,0)</x:f>
        <x:v>1</x:v>
      </x:c>
      <x:c r="W1400" s="2" t="str">
        <x:f>'Design &amp; Insights'!M28</x:f>
        <x:v>Task</x:v>
      </x:c>
    </x:row>
    <x:row r="1401" ht="40" customHeight="1">
      <x:c r="A1401" s="3" t="str">
        <x:f>HYPERLINK("#'Design &amp; Insights'!A29","Open")</x:f>
        <x:v>Open</x:v>
      </x:c>
      <x:c r="B1401" s="2" t="str">
        <x:f>'Design &amp; Insights'!B29</x:f>
        <x:v>Cycle 1</x:v>
      </x:c>
      <x:c r="C1401" s="2" t="str">
        <x:f>'Design &amp; Insights'!C29</x:f>
        <x:v>Phase 3</x:v>
      </x:c>
      <x:c r="D1401" s="2" t="str">
        <x:f>'Design &amp; Insights'!D29</x:f>
        <x:v>Auto</x:v>
      </x:c>
      <x:c r="E1401" s="2" t="str">
        <x:v>Design &amp; Insights</x:v>
      </x:c>
      <x:c r="F1401" s="56" t="str">
        <x:f>'Design &amp; Insights'!E29</x:f>
        <x:v>DI.AU.3.7</x:v>
      </x:c>
      <x:c r="G1401" s="14" t="str">
        <x:f>'Design &amp; Insights'!F29</x:f>
        <x:v>Present material in RCA Cycle Forum</x:v>
      </x:c>
      <x:c r="H1401" s="2" t="str">
        <x:f>IF('Design &amp; Insights'!G29="","",'Design &amp; Insights'!G29)</x:f>
      </x:c>
      <x:c r="I1401" s="12" t="str">
        <x:f>IF('Design &amp; Insights'!H29="","",'Design &amp; Insights'!H29)</x:f>
      </x:c>
      <x:c r="J1401" s="12" t="str">
        <x:f>IF('Design &amp; Insights'!I29="","",'Design &amp; Insights'!I29)</x:f>
      </x:c>
      <x:c r="K1401" s="12" t="str">
        <x:f>IF('Design &amp; Insights'!J29="","",'Design &amp; Insights'!J29)</x:f>
      </x:c>
      <x:c r="L1401" s="2" t="str">
        <x:f>IF('Design &amp; Insights'!K29="","",'Design &amp; Insights'!K29)</x:f>
      </x:c>
      <x:c r="M1401" s="2" t="n">
        <x:f>'Design &amp; Insights'!Q29</x:f>
        <x:v>1</x:v>
      </x:c>
      <x:c r="N1401" s="2" t="str">
        <x:f>'Design &amp; Insights'!L29</x:f>
        <x:v>Not started</x:v>
      </x:c>
      <x:c r="O1401" s="2" t="str">
        <x:f>'Design &amp; Insights'!N29</x:f>
        <x:v>DI.AU.3.7.2026.CY1</x:v>
      </x:c>
      <x:c r="P1401" s="2" t="n">
        <x:f>'Design &amp; Insights'!O29</x:f>
        <x:v>0</x:v>
      </x:c>
      <x:c r="Q1401" s="2" t="n">
        <x:f>SUBTOTAL(103,O1401)</x:f>
        <x:v>1</x:v>
      </x:c>
      <x:c r="R1401" s="2" t="n">
        <x:f>IF(AND(M1401=1,OR(Dashboard!$B$7="All",Dashboard!$B$7='Cycles &amp; Guide'!$C$5),OR(Dashboard!$D$7="All",Dashboard!$D$7=B1401),OR(Dashboard!$F$7="All",Dashboard!$F$7=C1401),OR(Dashboard!$H$7="All",Dashboard!$H$7=D1401),OR(Dashboard!$K$7="All",Dashboard!$K$7=E1401)),1,0)</x:f>
        <x:v>1</x:v>
      </x:c>
      <x:c r="S1401" s="2" t="n">
        <x:f>IF(R1401=1,SUM($R$10:R1401),0)</x:f>
        <x:v>1028</x:v>
      </x:c>
      <x:c r="T1401" s="2" t="str">
        <x:v>Design &amp; Insights</x:v>
      </x:c>
      <x:c r="U1401" s="2" t="n">
        <x:v>29</x:v>
      </x:c>
      <x:c r="V1401" s="2" t="n">
        <x:f>IF(AND(M1401=1,P1401=0,ISNUMBER(J1401),J1401&lt;TODAY()),1,0)</x:f>
        <x:v>0</x:v>
      </x:c>
      <x:c r="W1401" s="2" t="str">
        <x:f>'Design &amp; Insights'!M29</x:f>
        <x:v>Task</x:v>
      </x:c>
    </x:row>
    <x:row r="1402" ht="40" customHeight="1">
      <x:c r="A1402" s="3" t="str">
        <x:f>HYPERLINK("#'Design &amp; Insights'!A30","Open")</x:f>
        <x:v>Open</x:v>
      </x:c>
      <x:c r="B1402" s="2" t="str">
        <x:f>'Design &amp; Insights'!B30</x:f>
        <x:v>Cycle 1</x:v>
      </x:c>
      <x:c r="C1402" s="2" t="str">
        <x:f>'Design &amp; Insights'!C30</x:f>
        <x:v>Phase 1</x:v>
      </x:c>
      <x:c r="D1402" s="2" t="str">
        <x:f>'Design &amp; Insights'!D30</x:f>
        <x:v>Cards</x:v>
      </x:c>
      <x:c r="E1402" s="2" t="str">
        <x:v>Design &amp; Insights</x:v>
      </x:c>
      <x:c r="F1402" s="56" t="str">
        <x:f>'Design &amp; Insights'!E30</x:f>
        <x:v>DI.CA.1.1</x:v>
      </x:c>
      <x:c r="G1402" s="14" t="str">
        <x:f>'Design &amp; Insights'!F30</x:f>
        <x:v>Receive and review potential research topics at least 2 weeks prior to Cycle start date</x:v>
      </x:c>
      <x:c r="H1402" s="2" t="str">
        <x:f>IF('Design &amp; Insights'!G30="","",'Design &amp; Insights'!G30)</x:f>
      </x:c>
      <x:c r="I1402" s="12" t="str">
        <x:f>IF('Design &amp; Insights'!H30="","",'Design &amp; Insights'!H30)</x:f>
      </x:c>
      <x:c r="J1402" s="12" t="n">
        <x:f>IF('Design &amp; Insights'!I30="","",'Design &amp; Insights'!I30)</x:f>
        <x:v>46009</x:v>
      </x:c>
      <x:c r="K1402" s="12" t="str">
        <x:f>IF('Design &amp; Insights'!J30="","",'Design &amp; Insights'!J30)</x:f>
      </x:c>
      <x:c r="L1402" s="2" t="str">
        <x:f>IF('Design &amp; Insights'!K30="","",'Design &amp; Insights'!K30)</x:f>
      </x:c>
      <x:c r="M1402" s="2" t="n">
        <x:f>'Design &amp; Insights'!Q30</x:f>
        <x:v>1</x:v>
      </x:c>
      <x:c r="N1402" s="2" t="str">
        <x:f>'Design &amp; Insights'!L30</x:f>
        <x:v>Not started</x:v>
      </x:c>
      <x:c r="O1402" s="2" t="str">
        <x:f>'Design &amp; Insights'!N30</x:f>
        <x:v>DI.CA.1.1.2026.CY1</x:v>
      </x:c>
      <x:c r="P1402" s="2" t="n">
        <x:f>'Design &amp; Insights'!O30</x:f>
        <x:v>0</x:v>
      </x:c>
      <x:c r="Q1402" s="2" t="n">
        <x:f>SUBTOTAL(103,O1402)</x:f>
        <x:v>1</x:v>
      </x:c>
      <x:c r="R1402" s="2" t="n">
        <x:f>IF(AND(M1402=1,OR(Dashboard!$B$7="All",Dashboard!$B$7='Cycles &amp; Guide'!$C$5),OR(Dashboard!$D$7="All",Dashboard!$D$7=B1402),OR(Dashboard!$F$7="All",Dashboard!$F$7=C1402),OR(Dashboard!$H$7="All",Dashboard!$H$7=D1402),OR(Dashboard!$K$7="All",Dashboard!$K$7=E1402)),1,0)</x:f>
        <x:v>1</x:v>
      </x:c>
      <x:c r="S1402" s="2" t="n">
        <x:f>IF(R1402=1,SUM($R$10:R1402),0)</x:f>
        <x:v>1029</x:v>
      </x:c>
      <x:c r="T1402" s="2" t="str">
        <x:v>Design &amp; Insights</x:v>
      </x:c>
      <x:c r="U1402" s="2" t="n">
        <x:v>30</x:v>
      </x:c>
      <x:c r="V1402" s="2" t="n">
        <x:f>IF(AND(M1402=1,P1402=0,ISNUMBER(J1402),J1402&lt;TODAY()),1,0)</x:f>
        <x:v>1</x:v>
      </x:c>
      <x:c r="W1402" s="2" t="str">
        <x:f>'Design &amp; Insights'!M30</x:f>
        <x:v>Task</x:v>
      </x:c>
    </x:row>
    <x:row r="1403" ht="40" customHeight="1">
      <x:c r="A1403" s="3" t="str">
        <x:f>HYPERLINK("#'Design &amp; Insights'!A31","Open")</x:f>
        <x:v>Open</x:v>
      </x:c>
      <x:c r="B1403" s="2" t="str">
        <x:f>'Design &amp; Insights'!B31</x:f>
        <x:v>Cycle 1</x:v>
      </x:c>
      <x:c r="C1403" s="2" t="str">
        <x:f>'Design &amp; Insights'!C31</x:f>
        <x:v>Phase 1</x:v>
      </x:c>
      <x:c r="D1403" s="2" t="str">
        <x:f>'Design &amp; Insights'!D31</x:f>
        <x:v>Cards</x:v>
      </x:c>
      <x:c r="E1403" s="2" t="str">
        <x:v>Design &amp; Insights</x:v>
      </x:c>
      <x:c r="F1403" s="56" t="str">
        <x:f>'Design &amp; Insights'!E31</x:f>
        <x:v>DI.CA.1.2</x:v>
      </x:c>
      <x:c r="G1403" s="14" t="str">
        <x:f>'Design &amp; Insights'!F31</x:f>
        <x:v>Communicate any feedback on preferences or concerns with topics identified</x:v>
      </x:c>
      <x:c r="H1403" s="2" t="str">
        <x:f>IF('Design &amp; Insights'!G31="","",'Design &amp; Insights'!G31)</x:f>
      </x:c>
      <x:c r="I1403" s="12" t="str">
        <x:f>IF('Design &amp; Insights'!H31="","",'Design &amp; Insights'!H31)</x:f>
      </x:c>
      <x:c r="J1403" s="12" t="n">
        <x:f>IF('Design &amp; Insights'!I31="","",'Design &amp; Insights'!I31)</x:f>
        <x:v>46112</x:v>
      </x:c>
      <x:c r="K1403" s="12" t="str">
        <x:f>IF('Design &amp; Insights'!J31="","",'Design &amp; Insights'!J31)</x:f>
      </x:c>
      <x:c r="L1403" s="2" t="str">
        <x:f>IF('Design &amp; Insights'!K31="","",'Design &amp; Insights'!K31)</x:f>
      </x:c>
      <x:c r="M1403" s="2" t="n">
        <x:f>'Design &amp; Insights'!Q31</x:f>
        <x:v>1</x:v>
      </x:c>
      <x:c r="N1403" s="2" t="str">
        <x:f>'Design &amp; Insights'!L31</x:f>
        <x:v>Not started</x:v>
      </x:c>
      <x:c r="O1403" s="2" t="str">
        <x:f>'Design &amp; Insights'!N31</x:f>
        <x:v>DI.CA.1.2.2026.CY1</x:v>
      </x:c>
      <x:c r="P1403" s="2" t="n">
        <x:f>'Design &amp; Insights'!O31</x:f>
        <x:v>0</x:v>
      </x:c>
      <x:c r="Q1403" s="2" t="n">
        <x:f>SUBTOTAL(103,O1403)</x:f>
        <x:v>1</x:v>
      </x:c>
      <x:c r="R1403" s="2" t="n">
        <x:f>IF(AND(M1403=1,OR(Dashboard!$B$7="All",Dashboard!$B$7='Cycles &amp; Guide'!$C$5),OR(Dashboard!$D$7="All",Dashboard!$D$7=B1403),OR(Dashboard!$F$7="All",Dashboard!$F$7=C1403),OR(Dashboard!$H$7="All",Dashboard!$H$7=D1403),OR(Dashboard!$K$7="All",Dashboard!$K$7=E1403)),1,0)</x:f>
        <x:v>1</x:v>
      </x:c>
      <x:c r="S1403" s="2" t="n">
        <x:f>IF(R1403=1,SUM($R$10:R1403),0)</x:f>
        <x:v>1030</x:v>
      </x:c>
      <x:c r="T1403" s="2" t="str">
        <x:v>Design &amp; Insights</x:v>
      </x:c>
      <x:c r="U1403" s="2" t="n">
        <x:v>31</x:v>
      </x:c>
      <x:c r="V1403" s="2" t="n">
        <x:f>IF(AND(M1403=1,P1403=0,ISNUMBER(J1403),J1403&lt;TODAY()),1,0)</x:f>
        <x:v>1</x:v>
      </x:c>
      <x:c r="W1403" s="2" t="str">
        <x:f>'Design &amp; Insights'!M31</x:f>
        <x:v>Task</x:v>
      </x:c>
    </x:row>
    <x:row r="1404" ht="40" customHeight="1">
      <x:c r="A1404" s="3" t="str">
        <x:f>HYPERLINK("#'Design &amp; Insights'!A32","Open")</x:f>
        <x:v>Open</x:v>
      </x:c>
      <x:c r="B1404" s="2" t="str">
        <x:f>'Design &amp; Insights'!B32</x:f>
        <x:v>Cycle 1</x:v>
      </x:c>
      <x:c r="C1404" s="2" t="str">
        <x:f>'Design &amp; Insights'!C32</x:f>
        <x:v>Phase 1</x:v>
      </x:c>
      <x:c r="D1404" s="2" t="str">
        <x:f>'Design &amp; Insights'!D32</x:f>
        <x:v>Cards</x:v>
      </x:c>
      <x:c r="E1404" s="2" t="str">
        <x:v>Design &amp; Insights</x:v>
      </x:c>
      <x:c r="F1404" s="56" t="str">
        <x:f>'Design &amp; Insights'!E32</x:f>
        <x:v>DI.CA.1.3</x:v>
      </x:c>
      <x:c r="G1404" s="14" t="str">
        <x:f>'Design &amp; Insights'!F32</x:f>
        <x:v>Conduct high-level preliminary review of complaints within proposed topics</x:v>
      </x:c>
      <x:c r="H1404" s="2" t="str">
        <x:f>IF('Design &amp; Insights'!G32="","",'Design &amp; Insights'!G32)</x:f>
      </x:c>
      <x:c r="I1404" s="12" t="str">
        <x:f>IF('Design &amp; Insights'!H32="","",'Design &amp; Insights'!H32)</x:f>
      </x:c>
      <x:c r="J1404" s="12" t="n">
        <x:f>IF('Design &amp; Insights'!I32="","",'Design &amp; Insights'!I32)</x:f>
        <x:v>46112</x:v>
      </x:c>
      <x:c r="K1404" s="12" t="str">
        <x:f>IF('Design &amp; Insights'!J32="","",'Design &amp; Insights'!J32)</x:f>
      </x:c>
      <x:c r="L1404" s="2" t="str">
        <x:f>IF('Design &amp; Insights'!K32="","",'Design &amp; Insights'!K32)</x:f>
      </x:c>
      <x:c r="M1404" s="2" t="n">
        <x:f>'Design &amp; Insights'!Q32</x:f>
        <x:v>1</x:v>
      </x:c>
      <x:c r="N1404" s="2" t="str">
        <x:f>'Design &amp; Insights'!L32</x:f>
        <x:v>Not started</x:v>
      </x:c>
      <x:c r="O1404" s="2" t="str">
        <x:f>'Design &amp; Insights'!N32</x:f>
        <x:v>DI.CA.1.3.2026.CY1</x:v>
      </x:c>
      <x:c r="P1404" s="2" t="n">
        <x:f>'Design &amp; Insights'!O32</x:f>
        <x:v>0</x:v>
      </x:c>
      <x:c r="Q1404" s="2" t="n">
        <x:f>SUBTOTAL(103,O1404)</x:f>
        <x:v>1</x:v>
      </x:c>
      <x:c r="R1404" s="2" t="n">
        <x:f>IF(AND(M1404=1,OR(Dashboard!$B$7="All",Dashboard!$B$7='Cycles &amp; Guide'!$C$5),OR(Dashboard!$D$7="All",Dashboard!$D$7=B1404),OR(Dashboard!$F$7="All",Dashboard!$F$7=C1404),OR(Dashboard!$H$7="All",Dashboard!$H$7=D1404),OR(Dashboard!$K$7="All",Dashboard!$K$7=E1404)),1,0)</x:f>
        <x:v>1</x:v>
      </x:c>
      <x:c r="S1404" s="2" t="n">
        <x:f>IF(R1404=1,SUM($R$10:R1404),0)</x:f>
        <x:v>1031</x:v>
      </x:c>
      <x:c r="T1404" s="2" t="str">
        <x:v>Design &amp; Insights</x:v>
      </x:c>
      <x:c r="U1404" s="2" t="n">
        <x:v>32</x:v>
      </x:c>
      <x:c r="V1404" s="2" t="n">
        <x:f>IF(AND(M1404=1,P1404=0,ISNUMBER(J1404),J1404&lt;TODAY()),1,0)</x:f>
        <x:v>1</x:v>
      </x:c>
      <x:c r="W1404" s="2" t="str">
        <x:f>'Design &amp; Insights'!M32</x:f>
        <x:v>Task</x:v>
      </x:c>
    </x:row>
    <x:row r="1405" ht="40" customHeight="1">
      <x:c r="A1405" s="3" t="str">
        <x:f>HYPERLINK("#'Design &amp; Insights'!A33","Open")</x:f>
        <x:v>Open</x:v>
      </x:c>
      <x:c r="B1405" s="2" t="str">
        <x:f>'Design &amp; Insights'!B33</x:f>
        <x:v>Cycle 1</x:v>
      </x:c>
      <x:c r="C1405" s="2" t="str">
        <x:f>'Design &amp; Insights'!C33</x:f>
        <x:v>Phase 1</x:v>
      </x:c>
      <x:c r="D1405" s="2" t="str">
        <x:f>'Design &amp; Insights'!D33</x:f>
        <x:v>Cards</x:v>
      </x:c>
      <x:c r="E1405" s="2" t="str">
        <x:v>Design &amp; Insights</x:v>
      </x:c>
      <x:c r="F1405" s="56" t="str">
        <x:f>'Design &amp; Insights'!E33</x:f>
        <x:v>DI.CA.1.4</x:v>
      </x:c>
      <x:c r="G1405" s="14" t="str">
        <x:f>'Design &amp; Insights'!F33</x:f>
        <x:v>Meet with Research to discuss which topic to select based on potential impact</x:v>
      </x:c>
      <x:c r="H1405" s="2" t="str">
        <x:f>IF('Design &amp; Insights'!G33="","",'Design &amp; Insights'!G33)</x:f>
      </x:c>
      <x:c r="I1405" s="12" t="str">
        <x:f>IF('Design &amp; Insights'!H33="","",'Design &amp; Insights'!H33)</x:f>
      </x:c>
      <x:c r="J1405" s="12" t="n">
        <x:f>IF('Design &amp; Insights'!I33="","",'Design &amp; Insights'!I33)</x:f>
        <x:v>46112</x:v>
      </x:c>
      <x:c r="K1405" s="12" t="str">
        <x:f>IF('Design &amp; Insights'!J33="","",'Design &amp; Insights'!J33)</x:f>
      </x:c>
      <x:c r="L1405" s="2" t="str">
        <x:f>IF('Design &amp; Insights'!K33="","",'Design &amp; Insights'!K33)</x:f>
      </x:c>
      <x:c r="M1405" s="2" t="n">
        <x:f>'Design &amp; Insights'!Q33</x:f>
        <x:v>1</x:v>
      </x:c>
      <x:c r="N1405" s="2" t="str">
        <x:f>'Design &amp; Insights'!L33</x:f>
        <x:v>Not started</x:v>
      </x:c>
      <x:c r="O1405" s="2" t="str">
        <x:f>'Design &amp; Insights'!N33</x:f>
        <x:v>DI.CA.1.4.2026.CY1</x:v>
      </x:c>
      <x:c r="P1405" s="2" t="n">
        <x:f>'Design &amp; Insights'!O33</x:f>
        <x:v>0</x:v>
      </x:c>
      <x:c r="Q1405" s="2" t="n">
        <x:f>SUBTOTAL(103,O1405)</x:f>
        <x:v>1</x:v>
      </x:c>
      <x:c r="R1405" s="2" t="n">
        <x:f>IF(AND(M1405=1,OR(Dashboard!$B$7="All",Dashboard!$B$7='Cycles &amp; Guide'!$C$5),OR(Dashboard!$D$7="All",Dashboard!$D$7=B1405),OR(Dashboard!$F$7="All",Dashboard!$F$7=C1405),OR(Dashboard!$H$7="All",Dashboard!$H$7=D1405),OR(Dashboard!$K$7="All",Dashboard!$K$7=E1405)),1,0)</x:f>
        <x:v>1</x:v>
      </x:c>
      <x:c r="S1405" s="2" t="n">
        <x:f>IF(R1405=1,SUM($R$10:R1405),0)</x:f>
        <x:v>1032</x:v>
      </x:c>
      <x:c r="T1405" s="2" t="str">
        <x:v>Design &amp; Insights</x:v>
      </x:c>
      <x:c r="U1405" s="2" t="n">
        <x:v>33</x:v>
      </x:c>
      <x:c r="V1405" s="2" t="n">
        <x:f>IF(AND(M1405=1,P1405=0,ISNUMBER(J1405),J1405&lt;TODAY()),1,0)</x:f>
        <x:v>1</x:v>
      </x:c>
      <x:c r="W1405" s="2" t="str">
        <x:f>'Design &amp; Insights'!M33</x:f>
        <x:v>Task</x:v>
      </x:c>
    </x:row>
    <x:row r="1406" ht="40" customHeight="1">
      <x:c r="A1406" s="3" t="str">
        <x:f>HYPERLINK("#'Design &amp; Insights'!A34","Open")</x:f>
        <x:v>Open</x:v>
      </x:c>
      <x:c r="B1406" s="2" t="str">
        <x:f>'Design &amp; Insights'!B34</x:f>
        <x:v>Cycle 1</x:v>
      </x:c>
      <x:c r="C1406" s="2" t="str">
        <x:f>'Design &amp; Insights'!C34</x:f>
        <x:v>Phase 1</x:v>
      </x:c>
      <x:c r="D1406" s="2" t="str">
        <x:f>'Design &amp; Insights'!D34</x:f>
        <x:v>Cards</x:v>
      </x:c>
      <x:c r="E1406" s="2" t="str">
        <x:v>Design &amp; Insights</x:v>
      </x:c>
      <x:c r="F1406" s="56" t="str">
        <x:f>'Design &amp; Insights'!E34</x:f>
        <x:v>DI.CA.1.5</x:v>
      </x:c>
      <x:c r="G1406" s="14" t="str">
        <x:f>'Design &amp; Insights'!F34</x:f>
        <x:v>Confirm with Research the recommended topic for approval</x:v>
      </x:c>
      <x:c r="H1406" s="2" t="str">
        <x:f>IF('Design &amp; Insights'!G34="","",'Design &amp; Insights'!G34)</x:f>
      </x:c>
      <x:c r="I1406" s="12" t="str">
        <x:f>IF('Design &amp; Insights'!H34="","",'Design &amp; Insights'!H34)</x:f>
      </x:c>
      <x:c r="J1406" s="12" t="n">
        <x:f>IF('Design &amp; Insights'!I34="","",'Design &amp; Insights'!I34)</x:f>
        <x:v>46112</x:v>
      </x:c>
      <x:c r="K1406" s="12" t="str">
        <x:f>IF('Design &amp; Insights'!J34="","",'Design &amp; Insights'!J34)</x:f>
      </x:c>
      <x:c r="L1406" s="2" t="str">
        <x:f>IF('Design &amp; Insights'!K34="","",'Design &amp; Insights'!K34)</x:f>
      </x:c>
      <x:c r="M1406" s="2" t="n">
        <x:f>'Design &amp; Insights'!Q34</x:f>
        <x:v>1</x:v>
      </x:c>
      <x:c r="N1406" s="2" t="str">
        <x:f>'Design &amp; Insights'!L34</x:f>
        <x:v>Not started</x:v>
      </x:c>
      <x:c r="O1406" s="2" t="str">
        <x:f>'Design &amp; Insights'!N34</x:f>
        <x:v>DI.CA.1.5.2026.CY1</x:v>
      </x:c>
      <x:c r="P1406" s="2" t="n">
        <x:f>'Design &amp; Insights'!O34</x:f>
        <x:v>0</x:v>
      </x:c>
      <x:c r="Q1406" s="2" t="n">
        <x:f>SUBTOTAL(103,O1406)</x:f>
        <x:v>1</x:v>
      </x:c>
      <x:c r="R1406" s="2" t="n">
        <x:f>IF(AND(M1406=1,OR(Dashboard!$B$7="All",Dashboard!$B$7='Cycles &amp; Guide'!$C$5),OR(Dashboard!$D$7="All",Dashboard!$D$7=B1406),OR(Dashboard!$F$7="All",Dashboard!$F$7=C1406),OR(Dashboard!$H$7="All",Dashboard!$H$7=D1406),OR(Dashboard!$K$7="All",Dashboard!$K$7=E1406)),1,0)</x:f>
        <x:v>1</x:v>
      </x:c>
      <x:c r="S1406" s="2" t="n">
        <x:f>IF(R1406=1,SUM($R$10:R1406),0)</x:f>
        <x:v>1033</x:v>
      </x:c>
      <x:c r="T1406" s="2" t="str">
        <x:v>Design &amp; Insights</x:v>
      </x:c>
      <x:c r="U1406" s="2" t="n">
        <x:v>34</x:v>
      </x:c>
      <x:c r="V1406" s="2" t="n">
        <x:f>IF(AND(M1406=1,P1406=0,ISNUMBER(J1406),J1406&lt;TODAY()),1,0)</x:f>
        <x:v>1</x:v>
      </x:c>
      <x:c r="W1406" s="2" t="str">
        <x:f>'Design &amp; Insights'!M34</x:f>
        <x:v>Task</x:v>
      </x:c>
    </x:row>
    <x:row r="1407" ht="40" customHeight="1">
      <x:c r="A1407" s="3" t="str">
        <x:f>HYPERLINK("#'Design &amp; Insights'!A35","Open")</x:f>
        <x:v>Open</x:v>
      </x:c>
      <x:c r="B1407" s="2" t="str">
        <x:f>'Design &amp; Insights'!B35</x:f>
        <x:v>Cycle 1</x:v>
      </x:c>
      <x:c r="C1407" s="2" t="str">
        <x:f>'Design &amp; Insights'!C35</x:f>
        <x:v>Phase 1</x:v>
      </x:c>
      <x:c r="D1407" s="2" t="str">
        <x:f>'Design &amp; Insights'!D35</x:f>
        <x:v>Cards</x:v>
      </x:c>
      <x:c r="E1407" s="2" t="str">
        <x:v>Design &amp; Insights</x:v>
      </x:c>
      <x:c r="F1407" s="56" t="str">
        <x:f>'Design &amp; Insights'!E35</x:f>
        <x:v>DI.CA.1.6</x:v>
      </x:c>
      <x:c r="G1407" s="14" t="str">
        <x:f>'Design &amp; Insights'!F35</x:f>
        <x:v>Send topic selection socialization email to all key stakeholders on the first day of the review Cycle</x:v>
      </x:c>
      <x:c r="H1407" s="2" t="str">
        <x:f>IF('Design &amp; Insights'!G35="","",'Design &amp; Insights'!G35)</x:f>
      </x:c>
      <x:c r="I1407" s="12" t="str">
        <x:f>IF('Design &amp; Insights'!H35="","",'Design &amp; Insights'!H35)</x:f>
      </x:c>
      <x:c r="J1407" s="12" t="n">
        <x:f>IF('Design &amp; Insights'!I35="","",'Design &amp; Insights'!I35)</x:f>
        <x:v>46023</x:v>
      </x:c>
      <x:c r="K1407" s="12" t="str">
        <x:f>IF('Design &amp; Insights'!J35="","",'Design &amp; Insights'!J35)</x:f>
      </x:c>
      <x:c r="L1407" s="2" t="str">
        <x:f>IF('Design &amp; Insights'!K35="","",'Design &amp; Insights'!K35)</x:f>
      </x:c>
      <x:c r="M1407" s="2" t="n">
        <x:f>'Design &amp; Insights'!Q35</x:f>
        <x:v>1</x:v>
      </x:c>
      <x:c r="N1407" s="2" t="str">
        <x:f>'Design &amp; Insights'!L35</x:f>
        <x:v>Not started</x:v>
      </x:c>
      <x:c r="O1407" s="2" t="str">
        <x:f>'Design &amp; Insights'!N35</x:f>
        <x:v>DI.CA.1.6.2026.CY1</x:v>
      </x:c>
      <x:c r="P1407" s="2" t="n">
        <x:f>'Design &amp; Insights'!O35</x:f>
        <x:v>0</x:v>
      </x:c>
      <x:c r="Q1407" s="2" t="n">
        <x:f>SUBTOTAL(103,O1407)</x:f>
        <x:v>1</x:v>
      </x:c>
      <x:c r="R1407" s="2" t="n">
        <x:f>IF(AND(M1407=1,OR(Dashboard!$B$7="All",Dashboard!$B$7='Cycles &amp; Guide'!$C$5),OR(Dashboard!$D$7="All",Dashboard!$D$7=B1407),OR(Dashboard!$F$7="All",Dashboard!$F$7=C1407),OR(Dashboard!$H$7="All",Dashboard!$H$7=D1407),OR(Dashboard!$K$7="All",Dashboard!$K$7=E1407)),1,0)</x:f>
        <x:v>1</x:v>
      </x:c>
      <x:c r="S1407" s="2" t="n">
        <x:f>IF(R1407=1,SUM($R$10:R1407),0)</x:f>
        <x:v>1034</x:v>
      </x:c>
      <x:c r="T1407" s="2" t="str">
        <x:v>Design &amp; Insights</x:v>
      </x:c>
      <x:c r="U1407" s="2" t="n">
        <x:v>35</x:v>
      </x:c>
      <x:c r="V1407" s="2" t="n">
        <x:f>IF(AND(M1407=1,P1407=0,ISNUMBER(J1407),J1407&lt;TODAY()),1,0)</x:f>
        <x:v>1</x:v>
      </x:c>
      <x:c r="W1407" s="2" t="str">
        <x:f>'Design &amp; Insights'!M35</x:f>
        <x:v>Task</x:v>
      </x:c>
    </x:row>
    <x:row r="1408" ht="40" customHeight="1">
      <x:c r="A1408" s="3" t="str">
        <x:f>HYPERLINK("#'Design &amp; Insights'!A36","Open")</x:f>
        <x:v>Open</x:v>
      </x:c>
      <x:c r="B1408" s="2" t="str">
        <x:f>'Design &amp; Insights'!B36</x:f>
        <x:v>Cycle 1</x:v>
      </x:c>
      <x:c r="C1408" s="2" t="str">
        <x:f>'Design &amp; Insights'!C36</x:f>
        <x:v>Phase 2</x:v>
      </x:c>
      <x:c r="D1408" s="2" t="str">
        <x:f>'Design &amp; Insights'!D36</x:f>
        <x:v>Cards</x:v>
      </x:c>
      <x:c r="E1408" s="2" t="str">
        <x:v>Design &amp; Insights</x:v>
      </x:c>
      <x:c r="F1408" s="56" t="str">
        <x:f>'Design &amp; Insights'!E36</x:f>
        <x:v>DI.CA.2.1</x:v>
      </x:c>
      <x:c r="G1408" s="14" t="str">
        <x:f>'Design &amp; Insights'!F36</x:f>
        <x:v>Meet regularly with Research to stay informed on progress, findings, and potential enhancement</x:v>
      </x:c>
      <x:c r="H1408" s="2" t="str">
        <x:f>IF('Design &amp; Insights'!G36="","",'Design &amp; Insights'!G36)</x:f>
      </x:c>
      <x:c r="I1408" s="12" t="str">
        <x:f>IF('Design &amp; Insights'!H36="","",'Design &amp; Insights'!H36)</x:f>
      </x:c>
      <x:c r="J1408" s="12" t="n">
        <x:f>IF('Design &amp; Insights'!I36="","",'Design &amp; Insights'!I36)</x:f>
        <x:v>46112</x:v>
      </x:c>
      <x:c r="K1408" s="12" t="str">
        <x:f>IF('Design &amp; Insights'!J36="","",'Design &amp; Insights'!J36)</x:f>
      </x:c>
      <x:c r="L1408" s="2" t="str">
        <x:f>IF('Design &amp; Insights'!K36="","",'Design &amp; Insights'!K36)</x:f>
      </x:c>
      <x:c r="M1408" s="2" t="n">
        <x:f>'Design &amp; Insights'!Q36</x:f>
        <x:v>1</x:v>
      </x:c>
      <x:c r="N1408" s="2" t="str">
        <x:f>'Design &amp; Insights'!L36</x:f>
        <x:v>Not started</x:v>
      </x:c>
      <x:c r="O1408" s="2" t="str">
        <x:f>'Design &amp; Insights'!N36</x:f>
        <x:v>DI.CA.2.1.2026.CY1</x:v>
      </x:c>
      <x:c r="P1408" s="2" t="n">
        <x:f>'Design &amp; Insights'!O36</x:f>
        <x:v>0</x:v>
      </x:c>
      <x:c r="Q1408" s="2" t="n">
        <x:f>SUBTOTAL(103,O1408)</x:f>
        <x:v>1</x:v>
      </x:c>
      <x:c r="R1408" s="2" t="n">
        <x:f>IF(AND(M1408=1,OR(Dashboard!$B$7="All",Dashboard!$B$7='Cycles &amp; Guide'!$C$5),OR(Dashboard!$D$7="All",Dashboard!$D$7=B1408),OR(Dashboard!$F$7="All",Dashboard!$F$7=C1408),OR(Dashboard!$H$7="All",Dashboard!$H$7=D1408),OR(Dashboard!$K$7="All",Dashboard!$K$7=E1408)),1,0)</x:f>
        <x:v>1</x:v>
      </x:c>
      <x:c r="S1408" s="2" t="n">
        <x:f>IF(R1408=1,SUM($R$10:R1408),0)</x:f>
        <x:v>1035</x:v>
      </x:c>
      <x:c r="T1408" s="2" t="str">
        <x:v>Design &amp; Insights</x:v>
      </x:c>
      <x:c r="U1408" s="2" t="n">
        <x:v>36</x:v>
      </x:c>
      <x:c r="V1408" s="2" t="n">
        <x:f>IF(AND(M1408=1,P1408=0,ISNUMBER(J1408),J1408&lt;TODAY()),1,0)</x:f>
        <x:v>1</x:v>
      </x:c>
      <x:c r="W1408" s="2" t="str">
        <x:f>'Design &amp; Insights'!M36</x:f>
        <x:v>Task</x:v>
      </x:c>
    </x:row>
    <x:row r="1409" ht="40" customHeight="1">
      <x:c r="A1409" s="3" t="str">
        <x:f>HYPERLINK("#'Design &amp; Insights'!A37","Open")</x:f>
        <x:v>Open</x:v>
      </x:c>
      <x:c r="B1409" s="2" t="str">
        <x:f>'Design &amp; Insights'!B37</x:f>
        <x:v>Cycle 1</x:v>
      </x:c>
      <x:c r="C1409" s="2" t="str">
        <x:f>'Design &amp; Insights'!C37</x:f>
        <x:v>Phase 2</x:v>
      </x:c>
      <x:c r="D1409" s="2" t="str">
        <x:f>'Design &amp; Insights'!D37</x:f>
        <x:v>Cards</x:v>
      </x:c>
      <x:c r="E1409" s="2" t="str">
        <x:v>Design &amp; Insights</x:v>
      </x:c>
      <x:c r="F1409" s="56" t="str">
        <x:f>'Design &amp; Insights'!E37</x:f>
        <x:v>DI.CA.2.2</x:v>
      </x:c>
      <x:c r="G1409" s="14" t="str">
        <x:f>'Design &amp; Insights'!F37</x:f>
        <x:v>Collaborate with Research on research plan specifics</x:v>
      </x:c>
      <x:c r="H1409" s="2" t="str">
        <x:f>IF('Design &amp; Insights'!G37="","",'Design &amp; Insights'!G37)</x:f>
      </x:c>
      <x:c r="I1409" s="12" t="str">
        <x:f>IF('Design &amp; Insights'!H37="","",'Design &amp; Insights'!H37)</x:f>
      </x:c>
      <x:c r="J1409" s="12" t="n">
        <x:f>IF('Design &amp; Insights'!I37="","",'Design &amp; Insights'!I37)</x:f>
        <x:v>46112</x:v>
      </x:c>
      <x:c r="K1409" s="12" t="str">
        <x:f>IF('Design &amp; Insights'!J37="","",'Design &amp; Insights'!J37)</x:f>
      </x:c>
      <x:c r="L1409" s="2" t="str">
        <x:f>IF('Design &amp; Insights'!K37="","",'Design &amp; Insights'!K37)</x:f>
      </x:c>
      <x:c r="M1409" s="2" t="n">
        <x:f>'Design &amp; Insights'!Q37</x:f>
        <x:v>1</x:v>
      </x:c>
      <x:c r="N1409" s="2" t="str">
        <x:f>'Design &amp; Insights'!L37</x:f>
        <x:v>Not started</x:v>
      </x:c>
      <x:c r="O1409" s="2" t="str">
        <x:f>'Design &amp; Insights'!N37</x:f>
        <x:v>DI.CA.2.2.2026.CY1</x:v>
      </x:c>
      <x:c r="P1409" s="2" t="n">
        <x:f>'Design &amp; Insights'!O37</x:f>
        <x:v>0</x:v>
      </x:c>
      <x:c r="Q1409" s="2" t="n">
        <x:f>SUBTOTAL(103,O1409)</x:f>
        <x:v>1</x:v>
      </x:c>
      <x:c r="R1409" s="2" t="n">
        <x:f>IF(AND(M1409=1,OR(Dashboard!$B$7="All",Dashboard!$B$7='Cycles &amp; Guide'!$C$5),OR(Dashboard!$D$7="All",Dashboard!$D$7=B1409),OR(Dashboard!$F$7="All",Dashboard!$F$7=C1409),OR(Dashboard!$H$7="All",Dashboard!$H$7=D1409),OR(Dashboard!$K$7="All",Dashboard!$K$7=E1409)),1,0)</x:f>
        <x:v>1</x:v>
      </x:c>
      <x:c r="S1409" s="2" t="n">
        <x:f>IF(R1409=1,SUM($R$10:R1409),0)</x:f>
        <x:v>1036</x:v>
      </x:c>
      <x:c r="T1409" s="2" t="str">
        <x:v>Design &amp; Insights</x:v>
      </x:c>
      <x:c r="U1409" s="2" t="n">
        <x:v>37</x:v>
      </x:c>
      <x:c r="V1409" s="2" t="n">
        <x:f>IF(AND(M1409=1,P1409=0,ISNUMBER(J1409),J1409&lt;TODAY()),1,0)</x:f>
        <x:v>1</x:v>
      </x:c>
      <x:c r="W1409" s="2" t="str">
        <x:f>'Design &amp; Insights'!M37</x:f>
        <x:v>Task</x:v>
      </x:c>
    </x:row>
    <x:row r="1410" ht="40" customHeight="1">
      <x:c r="A1410" s="3" t="str">
        <x:f>HYPERLINK("#'Design &amp; Insights'!A38","Open")</x:f>
        <x:v>Open</x:v>
      </x:c>
      <x:c r="B1410" s="2" t="str">
        <x:f>'Design &amp; Insights'!B38</x:f>
        <x:v>Cycle 1</x:v>
      </x:c>
      <x:c r="C1410" s="2" t="str">
        <x:f>'Design &amp; Insights'!C38</x:f>
        <x:v>Phase 2</x:v>
      </x:c>
      <x:c r="D1410" s="2" t="str">
        <x:f>'Design &amp; Insights'!D38</x:f>
        <x:v>Cards</x:v>
      </x:c>
      <x:c r="E1410" s="2" t="str">
        <x:v>Design &amp; Insights</x:v>
      </x:c>
      <x:c r="F1410" s="56" t="str">
        <x:f>'Design &amp; Insights'!E38</x:f>
        <x:v>DI.CA.2.3</x:v>
      </x:c>
      <x:c r="G1410" s="14" t="str">
        <x:f>'Design &amp; Insights'!F38</x:f>
        <x:v>Participate in SME insight meetings to gain perspective and appetite on potential enhancements</x:v>
      </x:c>
      <x:c r="H1410" s="2" t="str">
        <x:f>IF('Design &amp; Insights'!G38="","",'Design &amp; Insights'!G38)</x:f>
      </x:c>
      <x:c r="I1410" s="12" t="str">
        <x:f>IF('Design &amp; Insights'!H38="","",'Design &amp; Insights'!H38)</x:f>
      </x:c>
      <x:c r="J1410" s="12" t="n">
        <x:f>IF('Design &amp; Insights'!I38="","",'Design &amp; Insights'!I38)</x:f>
        <x:v>46112</x:v>
      </x:c>
      <x:c r="K1410" s="12" t="str">
        <x:f>IF('Design &amp; Insights'!J38="","",'Design &amp; Insights'!J38)</x:f>
      </x:c>
      <x:c r="L1410" s="2" t="str">
        <x:f>IF('Design &amp; Insights'!K38="","",'Design &amp; Insights'!K38)</x:f>
      </x:c>
      <x:c r="M1410" s="2" t="n">
        <x:f>'Design &amp; Insights'!Q38</x:f>
        <x:v>1</x:v>
      </x:c>
      <x:c r="N1410" s="2" t="str">
        <x:f>'Design &amp; Insights'!L38</x:f>
        <x:v>Not started</x:v>
      </x:c>
      <x:c r="O1410" s="2" t="str">
        <x:f>'Design &amp; Insights'!N38</x:f>
        <x:v>DI.CA.2.3.2026.CY1</x:v>
      </x:c>
      <x:c r="P1410" s="2" t="n">
        <x:f>'Design &amp; Insights'!O38</x:f>
        <x:v>0</x:v>
      </x:c>
      <x:c r="Q1410" s="2" t="n">
        <x:f>SUBTOTAL(103,O1410)</x:f>
        <x:v>1</x:v>
      </x:c>
      <x:c r="R1410" s="2" t="n">
        <x:f>IF(AND(M1410=1,OR(Dashboard!$B$7="All",Dashboard!$B$7='Cycles &amp; Guide'!$C$5),OR(Dashboard!$D$7="All",Dashboard!$D$7=B1410),OR(Dashboard!$F$7="All",Dashboard!$F$7=C1410),OR(Dashboard!$H$7="All",Dashboard!$H$7=D1410),OR(Dashboard!$K$7="All",Dashboard!$K$7=E1410)),1,0)</x:f>
        <x:v>1</x:v>
      </x:c>
      <x:c r="S1410" s="2" t="n">
        <x:f>IF(R1410=1,SUM($R$10:R1410),0)</x:f>
        <x:v>1037</x:v>
      </x:c>
      <x:c r="T1410" s="2" t="str">
        <x:v>Design &amp; Insights</x:v>
      </x:c>
      <x:c r="U1410" s="2" t="n">
        <x:v>38</x:v>
      </x:c>
      <x:c r="V1410" s="2" t="n">
        <x:f>IF(AND(M1410=1,P1410=0,ISNUMBER(J1410),J1410&lt;TODAY()),1,0)</x:f>
        <x:v>1</x:v>
      </x:c>
      <x:c r="W1410" s="2" t="str">
        <x:f>'Design &amp; Insights'!M38</x:f>
        <x:v>Task</x:v>
      </x:c>
    </x:row>
    <x:row r="1411" ht="40" customHeight="1">
      <x:c r="A1411" s="3" t="str">
        <x:f>HYPERLINK("#'Design &amp; Insights'!A39","Open")</x:f>
        <x:v>Open</x:v>
      </x:c>
      <x:c r="B1411" s="2" t="str">
        <x:f>'Design &amp; Insights'!B39</x:f>
        <x:v>Cycle 1</x:v>
      </x:c>
      <x:c r="C1411" s="2" t="str">
        <x:f>'Design &amp; Insights'!C39</x:f>
        <x:v>Phase 2</x:v>
      </x:c>
      <x:c r="D1411" s="2" t="str">
        <x:f>'Design &amp; Insights'!D39</x:f>
        <x:v>Cards</x:v>
      </x:c>
      <x:c r="E1411" s="2" t="str">
        <x:v>Design &amp; Insights</x:v>
      </x:c>
      <x:c r="F1411" s="56" t="str">
        <x:f>'Design &amp; Insights'!E39</x:f>
        <x:v>DI.CA.2.4</x:v>
      </x:c>
      <x:c r="G1411" s="14" t="str">
        <x:f>'Design &amp; Insights'!F39</x:f>
        <x:v>Begin development of presentation materials as Research is being completed</x:v>
      </x:c>
      <x:c r="H1411" s="2" t="str">
        <x:f>IF('Design &amp; Insights'!G39="","",'Design &amp; Insights'!G39)</x:f>
      </x:c>
      <x:c r="I1411" s="12" t="str">
        <x:f>IF('Design &amp; Insights'!H39="","",'Design &amp; Insights'!H39)</x:f>
      </x:c>
      <x:c r="J1411" s="12" t="n">
        <x:f>IF('Design &amp; Insights'!I39="","",'Design &amp; Insights'!I39)</x:f>
        <x:v>46112</x:v>
      </x:c>
      <x:c r="K1411" s="12" t="str">
        <x:f>IF('Design &amp; Insights'!J39="","",'Design &amp; Insights'!J39)</x:f>
      </x:c>
      <x:c r="L1411" s="2" t="str">
        <x:f>IF('Design &amp; Insights'!K39="","",'Design &amp; Insights'!K39)</x:f>
      </x:c>
      <x:c r="M1411" s="2" t="n">
        <x:f>'Design &amp; Insights'!Q39</x:f>
        <x:v>1</x:v>
      </x:c>
      <x:c r="N1411" s="2" t="str">
        <x:f>'Design &amp; Insights'!L39</x:f>
        <x:v>Not started</x:v>
      </x:c>
      <x:c r="O1411" s="2" t="str">
        <x:f>'Design &amp; Insights'!N39</x:f>
        <x:v>DI.CA.2.4.2026.CY1</x:v>
      </x:c>
      <x:c r="P1411" s="2" t="n">
        <x:f>'Design &amp; Insights'!O39</x:f>
        <x:v>0</x:v>
      </x:c>
      <x:c r="Q1411" s="2" t="n">
        <x:f>SUBTOTAL(103,O1411)</x:f>
        <x:v>1</x:v>
      </x:c>
      <x:c r="R1411" s="2" t="n">
        <x:f>IF(AND(M1411=1,OR(Dashboard!$B$7="All",Dashboard!$B$7='Cycles &amp; Guide'!$C$5),OR(Dashboard!$D$7="All",Dashboard!$D$7=B1411),OR(Dashboard!$F$7="All",Dashboard!$F$7=C1411),OR(Dashboard!$H$7="All",Dashboard!$H$7=D1411),OR(Dashboard!$K$7="All",Dashboard!$K$7=E1411)),1,0)</x:f>
        <x:v>1</x:v>
      </x:c>
      <x:c r="S1411" s="2" t="n">
        <x:f>IF(R1411=1,SUM($R$10:R1411),0)</x:f>
        <x:v>1038</x:v>
      </x:c>
      <x:c r="T1411" s="2" t="str">
        <x:v>Design &amp; Insights</x:v>
      </x:c>
      <x:c r="U1411" s="2" t="n">
        <x:v>39</x:v>
      </x:c>
      <x:c r="V1411" s="2" t="n">
        <x:f>IF(AND(M1411=1,P1411=0,ISNUMBER(J1411),J1411&lt;TODAY()),1,0)</x:f>
        <x:v>1</x:v>
      </x:c>
      <x:c r="W1411" s="2" t="str">
        <x:f>'Design &amp; Insights'!M39</x:f>
        <x:v>Task</x:v>
      </x:c>
    </x:row>
    <x:row r="1412" ht="40" customHeight="1">
      <x:c r="A1412" s="3" t="str">
        <x:f>HYPERLINK("#'Design &amp; Insights'!A40","Open")</x:f>
        <x:v>Open</x:v>
      </x:c>
      <x:c r="B1412" s="2" t="str">
        <x:f>'Design &amp; Insights'!B40</x:f>
        <x:v>Cycle 1</x:v>
      </x:c>
      <x:c r="C1412" s="2" t="str">
        <x:f>'Design &amp; Insights'!C40</x:f>
        <x:v>Phase 2</x:v>
      </x:c>
      <x:c r="D1412" s="2" t="str">
        <x:f>'Design &amp; Insights'!D40</x:f>
        <x:v>Cards</x:v>
      </x:c>
      <x:c r="E1412" s="2" t="str">
        <x:v>Design &amp; Insights</x:v>
      </x:c>
      <x:c r="F1412" s="56" t="str">
        <x:f>'Design &amp; Insights'!E40</x:f>
        <x:v>DI.CA.2.5</x:v>
      </x:c>
      <x:c r="G1412" s="14" t="str">
        <x:f>'Design &amp; Insights'!F40</x:f>
        <x:v>Draft initial enhancement recommendations (as applicable)</x:v>
      </x:c>
      <x:c r="H1412" s="2" t="str">
        <x:f>IF('Design &amp; Insights'!G40="","",'Design &amp; Insights'!G40)</x:f>
      </x:c>
      <x:c r="I1412" s="12" t="str">
        <x:f>IF('Design &amp; Insights'!H40="","",'Design &amp; Insights'!H40)</x:f>
      </x:c>
      <x:c r="J1412" s="12" t="n">
        <x:f>IF('Design &amp; Insights'!I40="","",'Design &amp; Insights'!I40)</x:f>
        <x:v>46112</x:v>
      </x:c>
      <x:c r="K1412" s="12" t="str">
        <x:f>IF('Design &amp; Insights'!J40="","",'Design &amp; Insights'!J40)</x:f>
      </x:c>
      <x:c r="L1412" s="2" t="str">
        <x:f>IF('Design &amp; Insights'!K40="","",'Design &amp; Insights'!K40)</x:f>
      </x:c>
      <x:c r="M1412" s="2" t="n">
        <x:f>'Design &amp; Insights'!Q40</x:f>
        <x:v>1</x:v>
      </x:c>
      <x:c r="N1412" s="2" t="str">
        <x:f>'Design &amp; Insights'!L40</x:f>
        <x:v>Not started</x:v>
      </x:c>
      <x:c r="O1412" s="2" t="str">
        <x:f>'Design &amp; Insights'!N40</x:f>
        <x:v>DI.CA.2.5.2026.CY1</x:v>
      </x:c>
      <x:c r="P1412" s="2" t="n">
        <x:f>'Design &amp; Insights'!O40</x:f>
        <x:v>0</x:v>
      </x:c>
      <x:c r="Q1412" s="2" t="n">
        <x:f>SUBTOTAL(103,O1412)</x:f>
        <x:v>1</x:v>
      </x:c>
      <x:c r="R1412" s="2" t="n">
        <x:f>IF(AND(M1412=1,OR(Dashboard!$B$7="All",Dashboard!$B$7='Cycles &amp; Guide'!$C$5),OR(Dashboard!$D$7="All",Dashboard!$D$7=B1412),OR(Dashboard!$F$7="All",Dashboard!$F$7=C1412),OR(Dashboard!$H$7="All",Dashboard!$H$7=D1412),OR(Dashboard!$K$7="All",Dashboard!$K$7=E1412)),1,0)</x:f>
        <x:v>1</x:v>
      </x:c>
      <x:c r="S1412" s="2" t="n">
        <x:f>IF(R1412=1,SUM($R$10:R1412),0)</x:f>
        <x:v>1039</x:v>
      </x:c>
      <x:c r="T1412" s="2" t="str">
        <x:v>Design &amp; Insights</x:v>
      </x:c>
      <x:c r="U1412" s="2" t="n">
        <x:v>40</x:v>
      </x:c>
      <x:c r="V1412" s="2" t="n">
        <x:f>IF(AND(M1412=1,P1412=0,ISNUMBER(J1412),J1412&lt;TODAY()),1,0)</x:f>
        <x:v>1</x:v>
      </x:c>
      <x:c r="W1412" s="2" t="str">
        <x:f>'Design &amp; Insights'!M40</x:f>
        <x:v>Task</x:v>
      </x:c>
    </x:row>
    <x:row r="1413" ht="40" customHeight="1">
      <x:c r="A1413" s="3" t="str">
        <x:f>HYPERLINK("#'Design &amp; Insights'!A41","Open")</x:f>
        <x:v>Open</x:v>
      </x:c>
      <x:c r="B1413" s="2" t="str">
        <x:f>'Design &amp; Insights'!B41</x:f>
        <x:v>Cycle 1</x:v>
      </x:c>
      <x:c r="C1413" s="2" t="str">
        <x:f>'Design &amp; Insights'!C41</x:f>
        <x:v>Phase 2</x:v>
      </x:c>
      <x:c r="D1413" s="2" t="str">
        <x:f>'Design &amp; Insights'!D41</x:f>
        <x:v>Cards</x:v>
      </x:c>
      <x:c r="E1413" s="2" t="str">
        <x:v>Design &amp; Insights</x:v>
      </x:c>
      <x:c r="F1413" s="56" t="str">
        <x:f>'Design &amp; Insights'!E41</x:f>
        <x:v>DI.CA.2.6</x:v>
      </x:c>
      <x:c r="G1413" s="14" t="str">
        <x:f>'Design &amp; Insights'!F41</x:f>
        <x:v>Finalize presentation deck draft at conclusion of Research phase</x:v>
      </x:c>
      <x:c r="H1413" s="2" t="str">
        <x:f>IF('Design &amp; Insights'!G41="","",'Design &amp; Insights'!G41)</x:f>
      </x:c>
      <x:c r="I1413" s="12" t="str">
        <x:f>IF('Design &amp; Insights'!H41="","",'Design &amp; Insights'!H41)</x:f>
      </x:c>
      <x:c r="J1413" s="12" t="n">
        <x:f>IF('Design &amp; Insights'!I41="","",'Design &amp; Insights'!I41)</x:f>
        <x:v>46112</x:v>
      </x:c>
      <x:c r="K1413" s="12" t="str">
        <x:f>IF('Design &amp; Insights'!J41="","",'Design &amp; Insights'!J41)</x:f>
      </x:c>
      <x:c r="L1413" s="2" t="str">
        <x:f>IF('Design &amp; Insights'!K41="","",'Design &amp; Insights'!K41)</x:f>
      </x:c>
      <x:c r="M1413" s="2" t="n">
        <x:f>'Design &amp; Insights'!Q41</x:f>
        <x:v>1</x:v>
      </x:c>
      <x:c r="N1413" s="2" t="str">
        <x:f>'Design &amp; Insights'!L41</x:f>
        <x:v>Not started</x:v>
      </x:c>
      <x:c r="O1413" s="2" t="str">
        <x:f>'Design &amp; Insights'!N41</x:f>
        <x:v>DI.CA.2.6.2026.CY1</x:v>
      </x:c>
      <x:c r="P1413" s="2" t="n">
        <x:f>'Design &amp; Insights'!O41</x:f>
        <x:v>0</x:v>
      </x:c>
      <x:c r="Q1413" s="2" t="n">
        <x:f>SUBTOTAL(103,O1413)</x:f>
        <x:v>1</x:v>
      </x:c>
      <x:c r="R1413" s="2" t="n">
        <x:f>IF(AND(M1413=1,OR(Dashboard!$B$7="All",Dashboard!$B$7='Cycles &amp; Guide'!$C$5),OR(Dashboard!$D$7="All",Dashboard!$D$7=B1413),OR(Dashboard!$F$7="All",Dashboard!$F$7=C1413),OR(Dashboard!$H$7="All",Dashboard!$H$7=D1413),OR(Dashboard!$K$7="All",Dashboard!$K$7=E1413)),1,0)</x:f>
        <x:v>1</x:v>
      </x:c>
      <x:c r="S1413" s="2" t="n">
        <x:f>IF(R1413=1,SUM($R$10:R1413),0)</x:f>
        <x:v>1040</x:v>
      </x:c>
      <x:c r="T1413" s="2" t="str">
        <x:v>Design &amp; Insights</x:v>
      </x:c>
      <x:c r="U1413" s="2" t="n">
        <x:v>41</x:v>
      </x:c>
      <x:c r="V1413" s="2" t="n">
        <x:f>IF(AND(M1413=1,P1413=0,ISNUMBER(J1413),J1413&lt;TODAY()),1,0)</x:f>
        <x:v>1</x:v>
      </x:c>
      <x:c r="W1413" s="2" t="str">
        <x:f>'Design &amp; Insights'!M41</x:f>
        <x:v>Task</x:v>
      </x:c>
    </x:row>
    <x:row r="1414" ht="40" customHeight="1">
      <x:c r="A1414" s="3" t="str">
        <x:f>HYPERLINK("#'Design &amp; Insights'!A42","Open")</x:f>
        <x:v>Open</x:v>
      </x:c>
      <x:c r="B1414" s="2" t="str">
        <x:f>'Design &amp; Insights'!B42</x:f>
        <x:v>Cycle 1</x:v>
      </x:c>
      <x:c r="C1414" s="2" t="str">
        <x:f>'Design &amp; Insights'!C42</x:f>
        <x:v>Phase 2</x:v>
      </x:c>
      <x:c r="D1414" s="2" t="str">
        <x:f>'Design &amp; Insights'!D42</x:f>
        <x:v>Cards</x:v>
      </x:c>
      <x:c r="E1414" s="2" t="str">
        <x:v>Design &amp; Insights</x:v>
      </x:c>
      <x:c r="F1414" s="56" t="str">
        <x:f>'Design &amp; Insights'!E42</x:f>
        <x:v>DI.CA.2.7</x:v>
      </x:c>
      <x:c r="G1414" s="14" t="str">
        <x:f>'Design &amp; Insights'!F42</x:f>
        <x:v>Update Outcome portion of research plan with current enhancement verbiage (as needed)</x:v>
      </x:c>
      <x:c r="H1414" s="2" t="str">
        <x:f>IF('Design &amp; Insights'!G42="","",'Design &amp; Insights'!G42)</x:f>
      </x:c>
      <x:c r="I1414" s="12" t="str">
        <x:f>IF('Design &amp; Insights'!H42="","",'Design &amp; Insights'!H42)</x:f>
      </x:c>
      <x:c r="J1414" s="12" t="n">
        <x:f>IF('Design &amp; Insights'!I42="","",'Design &amp; Insights'!I42)</x:f>
        <x:v>46112</x:v>
      </x:c>
      <x:c r="K1414" s="12" t="str">
        <x:f>IF('Design &amp; Insights'!J42="","",'Design &amp; Insights'!J42)</x:f>
      </x:c>
      <x:c r="L1414" s="2" t="str">
        <x:f>IF('Design &amp; Insights'!K42="","",'Design &amp; Insights'!K42)</x:f>
      </x:c>
      <x:c r="M1414" s="2" t="n">
        <x:f>'Design &amp; Insights'!Q42</x:f>
        <x:v>1</x:v>
      </x:c>
      <x:c r="N1414" s="2" t="str">
        <x:f>'Design &amp; Insights'!L42</x:f>
        <x:v>Not started</x:v>
      </x:c>
      <x:c r="O1414" s="2" t="str">
        <x:f>'Design &amp; Insights'!N42</x:f>
        <x:v>DI.CA.2.7.2026.CY1</x:v>
      </x:c>
      <x:c r="P1414" s="2" t="n">
        <x:f>'Design &amp; Insights'!O42</x:f>
        <x:v>0</x:v>
      </x:c>
      <x:c r="Q1414" s="2" t="n">
        <x:f>SUBTOTAL(103,O1414)</x:f>
        <x:v>1</x:v>
      </x:c>
      <x:c r="R1414" s="2" t="n">
        <x:f>IF(AND(M1414=1,OR(Dashboard!$B$7="All",Dashboard!$B$7='Cycles &amp; Guide'!$C$5),OR(Dashboard!$D$7="All",Dashboard!$D$7=B1414),OR(Dashboard!$F$7="All",Dashboard!$F$7=C1414),OR(Dashboard!$H$7="All",Dashboard!$H$7=D1414),OR(Dashboard!$K$7="All",Dashboard!$K$7=E1414)),1,0)</x:f>
        <x:v>1</x:v>
      </x:c>
      <x:c r="S1414" s="2" t="n">
        <x:f>IF(R1414=1,SUM($R$10:R1414),0)</x:f>
        <x:v>1041</x:v>
      </x:c>
      <x:c r="T1414" s="2" t="str">
        <x:v>Design &amp; Insights</x:v>
      </x:c>
      <x:c r="U1414" s="2" t="n">
        <x:v>42</x:v>
      </x:c>
      <x:c r="V1414" s="2" t="n">
        <x:f>IF(AND(M1414=1,P1414=0,ISNUMBER(J1414),J1414&lt;TODAY()),1,0)</x:f>
        <x:v>1</x:v>
      </x:c>
      <x:c r="W1414" s="2" t="str">
        <x:f>'Design &amp; Insights'!M42</x:f>
        <x:v>Task</x:v>
      </x:c>
    </x:row>
    <x:row r="1415" ht="40" customHeight="1">
      <x:c r="A1415" s="3" t="str">
        <x:f>HYPERLINK("#'Design &amp; Insights'!A43","Open")</x:f>
        <x:v>Open</x:v>
      </x:c>
      <x:c r="B1415" s="2" t="str">
        <x:f>'Design &amp; Insights'!B43</x:f>
        <x:v>Cycle 1</x:v>
      </x:c>
      <x:c r="C1415" s="2" t="str">
        <x:f>'Design &amp; Insights'!C43</x:f>
        <x:v>Phase 3</x:v>
      </x:c>
      <x:c r="D1415" s="2" t="str">
        <x:f>'Design &amp; Insights'!D43</x:f>
        <x:v>Cards</x:v>
      </x:c>
      <x:c r="E1415" s="2" t="str">
        <x:v>Design &amp; Insights</x:v>
      </x:c>
      <x:c r="F1415" s="56" t="str">
        <x:f>'Design &amp; Insights'!E43</x:f>
        <x:v>DI.CA.3.1</x:v>
      </x:c>
      <x:c r="G1415" s="14" t="str">
        <x:f>'Design &amp; Insights'!F43</x:f>
        <x:v>Confirm list of required &amp; optional attendees for pre-socialization meeting</x:v>
      </x:c>
      <x:c r="H1415" s="2" t="str">
        <x:f>IF('Design &amp; Insights'!G43="","",'Design &amp; Insights'!G43)</x:f>
      </x:c>
      <x:c r="I1415" s="12" t="str">
        <x:f>IF('Design &amp; Insights'!H43="","",'Design &amp; Insights'!H43)</x:f>
      </x:c>
      <x:c r="J1415" s="12" t="n">
        <x:f>IF('Design &amp; Insights'!I43="","",'Design &amp; Insights'!I43)</x:f>
        <x:v>46112</x:v>
      </x:c>
      <x:c r="K1415" s="12" t="str">
        <x:f>IF('Design &amp; Insights'!J43="","",'Design &amp; Insights'!J43)</x:f>
      </x:c>
      <x:c r="L1415" s="2" t="str">
        <x:f>IF('Design &amp; Insights'!K43="","",'Design &amp; Insights'!K43)</x:f>
      </x:c>
      <x:c r="M1415" s="2" t="n">
        <x:f>'Design &amp; Insights'!Q43</x:f>
        <x:v>1</x:v>
      </x:c>
      <x:c r="N1415" s="2" t="str">
        <x:f>'Design &amp; Insights'!L43</x:f>
        <x:v>Not started</x:v>
      </x:c>
      <x:c r="O1415" s="2" t="str">
        <x:f>'Design &amp; Insights'!N43</x:f>
        <x:v>DI.CA.3.1.2026.CY1</x:v>
      </x:c>
      <x:c r="P1415" s="2" t="n">
        <x:f>'Design &amp; Insights'!O43</x:f>
        <x:v>0</x:v>
      </x:c>
      <x:c r="Q1415" s="2" t="n">
        <x:f>SUBTOTAL(103,O1415)</x:f>
        <x:v>1</x:v>
      </x:c>
      <x:c r="R1415" s="2" t="n">
        <x:f>IF(AND(M1415=1,OR(Dashboard!$B$7="All",Dashboard!$B$7='Cycles &amp; Guide'!$C$5),OR(Dashboard!$D$7="All",Dashboard!$D$7=B1415),OR(Dashboard!$F$7="All",Dashboard!$F$7=C1415),OR(Dashboard!$H$7="All",Dashboard!$H$7=D1415),OR(Dashboard!$K$7="All",Dashboard!$K$7=E1415)),1,0)</x:f>
        <x:v>1</x:v>
      </x:c>
      <x:c r="S1415" s="2" t="n">
        <x:f>IF(R1415=1,SUM($R$10:R1415),0)</x:f>
        <x:v>1042</x:v>
      </x:c>
      <x:c r="T1415" s="2" t="str">
        <x:v>Design &amp; Insights</x:v>
      </x:c>
      <x:c r="U1415" s="2" t="n">
        <x:v>43</x:v>
      </x:c>
      <x:c r="V1415" s="2" t="n">
        <x:f>IF(AND(M1415=1,P1415=0,ISNUMBER(J1415),J1415&lt;TODAY()),1,0)</x:f>
        <x:v>1</x:v>
      </x:c>
      <x:c r="W1415" s="2" t="str">
        <x:f>'Design &amp; Insights'!M43</x:f>
        <x:v>Task</x:v>
      </x:c>
    </x:row>
    <x:row r="1416" ht="40" customHeight="1">
      <x:c r="A1416" s="3" t="str">
        <x:f>HYPERLINK("#'Design &amp; Insights'!A44","Open")</x:f>
        <x:v>Open</x:v>
      </x:c>
      <x:c r="B1416" s="2" t="str">
        <x:f>'Design &amp; Insights'!B44</x:f>
        <x:v>Cycle 1</x:v>
      </x:c>
      <x:c r="C1416" s="2" t="str">
        <x:f>'Design &amp; Insights'!C44</x:f>
        <x:v>Phase 3</x:v>
      </x:c>
      <x:c r="D1416" s="2" t="str">
        <x:f>'Design &amp; Insights'!D44</x:f>
        <x:v>Cards</x:v>
      </x:c>
      <x:c r="E1416" s="2" t="str">
        <x:v>Design &amp; Insights</x:v>
      </x:c>
      <x:c r="F1416" s="56" t="str">
        <x:f>'Design &amp; Insights'!E44</x:f>
        <x:v>DI.CA.3.2</x:v>
      </x:c>
      <x:c r="G1416" s="14" t="str">
        <x:f>'Design &amp; Insights'!F44</x:f>
        <x:v>Schedule pre-socialization meeting 1 week prior to RCA Forum</x:v>
      </x:c>
      <x:c r="H1416" s="2" t="str">
        <x:f>IF('Design &amp; Insights'!G44="","",'Design &amp; Insights'!G44)</x:f>
      </x:c>
      <x:c r="I1416" s="12" t="str">
        <x:f>IF('Design &amp; Insights'!H44="","",'Design &amp; Insights'!H44)</x:f>
      </x:c>
      <x:c r="J1416" s="12" t="str">
        <x:f>IF('Design &amp; Insights'!I44="","",'Design &amp; Insights'!I44)</x:f>
      </x:c>
      <x:c r="K1416" s="12" t="str">
        <x:f>IF('Design &amp; Insights'!J44="","",'Design &amp; Insights'!J44)</x:f>
      </x:c>
      <x:c r="L1416" s="2" t="str">
        <x:f>IF('Design &amp; Insights'!K44="","",'Design &amp; Insights'!K44)</x:f>
      </x:c>
      <x:c r="M1416" s="2" t="n">
        <x:f>'Design &amp; Insights'!Q44</x:f>
        <x:v>1</x:v>
      </x:c>
      <x:c r="N1416" s="2" t="str">
        <x:f>'Design &amp; Insights'!L44</x:f>
        <x:v>Not started</x:v>
      </x:c>
      <x:c r="O1416" s="2" t="str">
        <x:f>'Design &amp; Insights'!N44</x:f>
        <x:v>DI.CA.3.2.2026.CY1</x:v>
      </x:c>
      <x:c r="P1416" s="2" t="n">
        <x:f>'Design &amp; Insights'!O44</x:f>
        <x:v>0</x:v>
      </x:c>
      <x:c r="Q1416" s="2" t="n">
        <x:f>SUBTOTAL(103,O1416)</x:f>
        <x:v>1</x:v>
      </x:c>
      <x:c r="R1416" s="2" t="n">
        <x:f>IF(AND(M1416=1,OR(Dashboard!$B$7="All",Dashboard!$B$7='Cycles &amp; Guide'!$C$5),OR(Dashboard!$D$7="All",Dashboard!$D$7=B1416),OR(Dashboard!$F$7="All",Dashboard!$F$7=C1416),OR(Dashboard!$H$7="All",Dashboard!$H$7=D1416),OR(Dashboard!$K$7="All",Dashboard!$K$7=E1416)),1,0)</x:f>
        <x:v>1</x:v>
      </x:c>
      <x:c r="S1416" s="2" t="n">
        <x:f>IF(R1416=1,SUM($R$10:R1416),0)</x:f>
        <x:v>1043</x:v>
      </x:c>
      <x:c r="T1416" s="2" t="str">
        <x:v>Design &amp; Insights</x:v>
      </x:c>
      <x:c r="U1416" s="2" t="n">
        <x:v>44</x:v>
      </x:c>
      <x:c r="V1416" s="2" t="n">
        <x:f>IF(AND(M1416=1,P1416=0,ISNUMBER(J1416),J1416&lt;TODAY()),1,0)</x:f>
        <x:v>0</x:v>
      </x:c>
      <x:c r="W1416" s="2" t="str">
        <x:f>'Design &amp; Insights'!M44</x:f>
        <x:v>Task</x:v>
      </x:c>
    </x:row>
    <x:row r="1417" ht="40" customHeight="1">
      <x:c r="A1417" s="3" t="str">
        <x:f>HYPERLINK("#'Design &amp; Insights'!A45","Open")</x:f>
        <x:v>Open</x:v>
      </x:c>
      <x:c r="B1417" s="2" t="str">
        <x:f>'Design &amp; Insights'!B45</x:f>
        <x:v>Cycle 1</x:v>
      </x:c>
      <x:c r="C1417" s="2" t="str">
        <x:f>'Design &amp; Insights'!C45</x:f>
        <x:v>Phase 3</x:v>
      </x:c>
      <x:c r="D1417" s="2" t="str">
        <x:f>'Design &amp; Insights'!D45</x:f>
        <x:v>Cards</x:v>
      </x:c>
      <x:c r="E1417" s="2" t="str">
        <x:v>Design &amp; Insights</x:v>
      </x:c>
      <x:c r="F1417" s="56" t="str">
        <x:f>'Design &amp; Insights'!E45</x:f>
        <x:v>DI.CA.3.3</x:v>
      </x:c>
      <x:c r="G1417" s="14" t="str">
        <x:f>'Design &amp; Insights'!F45</x:f>
        <x:v>Present findings, conclusions, and recommendation to SMEs</x:v>
      </x:c>
      <x:c r="H1417" s="2" t="str">
        <x:f>IF('Design &amp; Insights'!G45="","",'Design &amp; Insights'!G45)</x:f>
      </x:c>
      <x:c r="I1417" s="12" t="str">
        <x:f>IF('Design &amp; Insights'!H45="","",'Design &amp; Insights'!H45)</x:f>
      </x:c>
      <x:c r="J1417" s="12" t="n">
        <x:f>IF('Design &amp; Insights'!I45="","",'Design &amp; Insights'!I45)</x:f>
        <x:v>46112</x:v>
      </x:c>
      <x:c r="K1417" s="12" t="str">
        <x:f>IF('Design &amp; Insights'!J45="","",'Design &amp; Insights'!J45)</x:f>
      </x:c>
      <x:c r="L1417" s="2" t="str">
        <x:f>IF('Design &amp; Insights'!K45="","",'Design &amp; Insights'!K45)</x:f>
      </x:c>
      <x:c r="M1417" s="2" t="n">
        <x:f>'Design &amp; Insights'!Q45</x:f>
        <x:v>1</x:v>
      </x:c>
      <x:c r="N1417" s="2" t="str">
        <x:f>'Design &amp; Insights'!L45</x:f>
        <x:v>Not started</x:v>
      </x:c>
      <x:c r="O1417" s="2" t="str">
        <x:f>'Design &amp; Insights'!N45</x:f>
        <x:v>DI.CA.3.3.2026.CY1</x:v>
      </x:c>
      <x:c r="P1417" s="2" t="n">
        <x:f>'Design &amp; Insights'!O45</x:f>
        <x:v>0</x:v>
      </x:c>
      <x:c r="Q1417" s="2" t="n">
        <x:f>SUBTOTAL(103,O1417)</x:f>
        <x:v>1</x:v>
      </x:c>
      <x:c r="R1417" s="2" t="n">
        <x:f>IF(AND(M1417=1,OR(Dashboard!$B$7="All",Dashboard!$B$7='Cycles &amp; Guide'!$C$5),OR(Dashboard!$D$7="All",Dashboard!$D$7=B1417),OR(Dashboard!$F$7="All",Dashboard!$F$7=C1417),OR(Dashboard!$H$7="All",Dashboard!$H$7=D1417),OR(Dashboard!$K$7="All",Dashboard!$K$7=E1417)),1,0)</x:f>
        <x:v>1</x:v>
      </x:c>
      <x:c r="S1417" s="2" t="n">
        <x:f>IF(R1417=1,SUM($R$10:R1417),0)</x:f>
        <x:v>1044</x:v>
      </x:c>
      <x:c r="T1417" s="2" t="str">
        <x:v>Design &amp; Insights</x:v>
      </x:c>
      <x:c r="U1417" s="2" t="n">
        <x:v>45</x:v>
      </x:c>
      <x:c r="V1417" s="2" t="n">
        <x:f>IF(AND(M1417=1,P1417=0,ISNUMBER(J1417),J1417&lt;TODAY()),1,0)</x:f>
        <x:v>1</x:v>
      </x:c>
      <x:c r="W1417" s="2" t="str">
        <x:f>'Design &amp; Insights'!M45</x:f>
        <x:v>Task</x:v>
      </x:c>
    </x:row>
    <x:row r="1418" ht="40" customHeight="1">
      <x:c r="A1418" s="3" t="str">
        <x:f>HYPERLINK("#'Design &amp; Insights'!A46","Open")</x:f>
        <x:v>Open</x:v>
      </x:c>
      <x:c r="B1418" s="2" t="str">
        <x:f>'Design &amp; Insights'!B46</x:f>
        <x:v>Cycle 1</x:v>
      </x:c>
      <x:c r="C1418" s="2" t="str">
        <x:f>'Design &amp; Insights'!C46</x:f>
        <x:v>Phase 3</x:v>
      </x:c>
      <x:c r="D1418" s="2" t="str">
        <x:f>'Design &amp; Insights'!D46</x:f>
        <x:v>Cards</x:v>
      </x:c>
      <x:c r="E1418" s="2" t="str">
        <x:v>Design &amp; Insights</x:v>
      </x:c>
      <x:c r="F1418" s="56" t="str">
        <x:f>'Design &amp; Insights'!E46</x:f>
        <x:v>DI.CA.3.4</x:v>
      </x:c>
      <x:c r="G1418" s="14" t="str">
        <x:f>'Design &amp; Insights'!F46</x:f>
        <x:v>Update Outcome portion of research plan (as needed)</x:v>
      </x:c>
      <x:c r="H1418" s="2" t="str">
        <x:f>IF('Design &amp; Insights'!G46="","",'Design &amp; Insights'!G46)</x:f>
      </x:c>
      <x:c r="I1418" s="12" t="str">
        <x:f>IF('Design &amp; Insights'!H46="","",'Design &amp; Insights'!H46)</x:f>
      </x:c>
      <x:c r="J1418" s="12" t="n">
        <x:f>IF('Design &amp; Insights'!I46="","",'Design &amp; Insights'!I46)</x:f>
        <x:v>46112</x:v>
      </x:c>
      <x:c r="K1418" s="12" t="str">
        <x:f>IF('Design &amp; Insights'!J46="","",'Design &amp; Insights'!J46)</x:f>
      </x:c>
      <x:c r="L1418" s="2" t="str">
        <x:f>IF('Design &amp; Insights'!K46="","",'Design &amp; Insights'!K46)</x:f>
      </x:c>
      <x:c r="M1418" s="2" t="n">
        <x:f>'Design &amp; Insights'!Q46</x:f>
        <x:v>1</x:v>
      </x:c>
      <x:c r="N1418" s="2" t="str">
        <x:f>'Design &amp; Insights'!L46</x:f>
        <x:v>Not started</x:v>
      </x:c>
      <x:c r="O1418" s="2" t="str">
        <x:f>'Design &amp; Insights'!N46</x:f>
        <x:v>DI.CA.3.4.2026.CY1</x:v>
      </x:c>
      <x:c r="P1418" s="2" t="n">
        <x:f>'Design &amp; Insights'!O46</x:f>
        <x:v>0</x:v>
      </x:c>
      <x:c r="Q1418" s="2" t="n">
        <x:f>SUBTOTAL(103,O1418)</x:f>
        <x:v>1</x:v>
      </x:c>
      <x:c r="R1418" s="2" t="n">
        <x:f>IF(AND(M1418=1,OR(Dashboard!$B$7="All",Dashboard!$B$7='Cycles &amp; Guide'!$C$5),OR(Dashboard!$D$7="All",Dashboard!$D$7=B1418),OR(Dashboard!$F$7="All",Dashboard!$F$7=C1418),OR(Dashboard!$H$7="All",Dashboard!$H$7=D1418),OR(Dashboard!$K$7="All",Dashboard!$K$7=E1418)),1,0)</x:f>
        <x:v>1</x:v>
      </x:c>
      <x:c r="S1418" s="2" t="n">
        <x:f>IF(R1418=1,SUM($R$10:R1418),0)</x:f>
        <x:v>1045</x:v>
      </x:c>
      <x:c r="T1418" s="2" t="str">
        <x:v>Design &amp; Insights</x:v>
      </x:c>
      <x:c r="U1418" s="2" t="n">
        <x:v>46</x:v>
      </x:c>
      <x:c r="V1418" s="2" t="n">
        <x:f>IF(AND(M1418=1,P1418=0,ISNUMBER(J1418),J1418&lt;TODAY()),1,0)</x:f>
        <x:v>1</x:v>
      </x:c>
      <x:c r="W1418" s="2" t="str">
        <x:f>'Design &amp; Insights'!M46</x:f>
        <x:v>Task</x:v>
      </x:c>
    </x:row>
    <x:row r="1419" ht="40" customHeight="1">
      <x:c r="A1419" s="3" t="str">
        <x:f>HYPERLINK("#'Design &amp; Insights'!A47","Open")</x:f>
        <x:v>Open</x:v>
      </x:c>
      <x:c r="B1419" s="2" t="str">
        <x:f>'Design &amp; Insights'!B47</x:f>
        <x:v>Cycle 1</x:v>
      </x:c>
      <x:c r="C1419" s="2" t="str">
        <x:f>'Design &amp; Insights'!C47</x:f>
        <x:v>Phase 3</x:v>
      </x:c>
      <x:c r="D1419" s="2" t="str">
        <x:f>'Design &amp; Insights'!D47</x:f>
        <x:v>Cards</x:v>
      </x:c>
      <x:c r="E1419" s="2" t="str">
        <x:v>Design &amp; Insights</x:v>
      </x:c>
      <x:c r="F1419" s="56" t="str">
        <x:f>'Design &amp; Insights'!E47</x:f>
        <x:v>DI.CA.3.5</x:v>
      </x:c>
      <x:c r="G1419" s="14" t="str">
        <x:f>'Design &amp; Insights'!F47</x:f>
        <x:v>Finalize presentation deck by incorporating pre-socialization feedback (as needed)</x:v>
      </x:c>
      <x:c r="H1419" s="2" t="str">
        <x:f>IF('Design &amp; Insights'!G47="","",'Design &amp; Insights'!G47)</x:f>
      </x:c>
      <x:c r="I1419" s="12" t="str">
        <x:f>IF('Design &amp; Insights'!H47="","",'Design &amp; Insights'!H47)</x:f>
      </x:c>
      <x:c r="J1419" s="12" t="n">
        <x:f>IF('Design &amp; Insights'!I47="","",'Design &amp; Insights'!I47)</x:f>
        <x:v>46112</x:v>
      </x:c>
      <x:c r="K1419" s="12" t="str">
        <x:f>IF('Design &amp; Insights'!J47="","",'Design &amp; Insights'!J47)</x:f>
      </x:c>
      <x:c r="L1419" s="2" t="str">
        <x:f>IF('Design &amp; Insights'!K47="","",'Design &amp; Insights'!K47)</x:f>
      </x:c>
      <x:c r="M1419" s="2" t="n">
        <x:f>'Design &amp; Insights'!Q47</x:f>
        <x:v>1</x:v>
      </x:c>
      <x:c r="N1419" s="2" t="str">
        <x:f>'Design &amp; Insights'!L47</x:f>
        <x:v>Not started</x:v>
      </x:c>
      <x:c r="O1419" s="2" t="str">
        <x:f>'Design &amp; Insights'!N47</x:f>
        <x:v>DI.CA.3.5.2026.CY1</x:v>
      </x:c>
      <x:c r="P1419" s="2" t="n">
        <x:f>'Design &amp; Insights'!O47</x:f>
        <x:v>0</x:v>
      </x:c>
      <x:c r="Q1419" s="2" t="n">
        <x:f>SUBTOTAL(103,O1419)</x:f>
        <x:v>1</x:v>
      </x:c>
      <x:c r="R1419" s="2" t="n">
        <x:f>IF(AND(M1419=1,OR(Dashboard!$B$7="All",Dashboard!$B$7='Cycles &amp; Guide'!$C$5),OR(Dashboard!$D$7="All",Dashboard!$D$7=B1419),OR(Dashboard!$F$7="All",Dashboard!$F$7=C1419),OR(Dashboard!$H$7="All",Dashboard!$H$7=D1419),OR(Dashboard!$K$7="All",Dashboard!$K$7=E1419)),1,0)</x:f>
        <x:v>1</x:v>
      </x:c>
      <x:c r="S1419" s="2" t="n">
        <x:f>IF(R1419=1,SUM($R$10:R1419),0)</x:f>
        <x:v>1046</x:v>
      </x:c>
      <x:c r="T1419" s="2" t="str">
        <x:v>Design &amp; Insights</x:v>
      </x:c>
      <x:c r="U1419" s="2" t="n">
        <x:v>47</x:v>
      </x:c>
      <x:c r="V1419" s="2" t="n">
        <x:f>IF(AND(M1419=1,P1419=0,ISNUMBER(J1419),J1419&lt;TODAY()),1,0)</x:f>
        <x:v>1</x:v>
      </x:c>
      <x:c r="W1419" s="2" t="str">
        <x:f>'Design &amp; Insights'!M47</x:f>
        <x:v>Task</x:v>
      </x:c>
    </x:row>
    <x:row r="1420" ht="40" customHeight="1">
      <x:c r="A1420" s="3" t="str">
        <x:f>HYPERLINK("#'Design &amp; Insights'!A48","Open")</x:f>
        <x:v>Open</x:v>
      </x:c>
      <x:c r="B1420" s="2" t="str">
        <x:f>'Design &amp; Insights'!B48</x:f>
        <x:v>Cycle 1</x:v>
      </x:c>
      <x:c r="C1420" s="2" t="str">
        <x:f>'Design &amp; Insights'!C48</x:f>
        <x:v>Phase 3</x:v>
      </x:c>
      <x:c r="D1420" s="2" t="str">
        <x:f>'Design &amp; Insights'!D48</x:f>
        <x:v>Cards</x:v>
      </x:c>
      <x:c r="E1420" s="2" t="str">
        <x:v>Design &amp; Insights</x:v>
      </x:c>
      <x:c r="F1420" s="56" t="str">
        <x:f>'Design &amp; Insights'!E48</x:f>
        <x:v>DI.CA.3.6</x:v>
      </x:c>
      <x:c r="G1420" s="14" t="str">
        <x:f>'Design &amp; Insights'!F48</x:f>
        <x:v>Ensure final deck is communicated to Forum attendees</x:v>
      </x:c>
      <x:c r="H1420" s="2" t="str">
        <x:f>IF('Design &amp; Insights'!G48="","",'Design &amp; Insights'!G48)</x:f>
      </x:c>
      <x:c r="I1420" s="12" t="str">
        <x:f>IF('Design &amp; Insights'!H48="","",'Design &amp; Insights'!H48)</x:f>
      </x:c>
      <x:c r="J1420" s="12" t="n">
        <x:f>IF('Design &amp; Insights'!I48="","",'Design &amp; Insights'!I48)</x:f>
        <x:v>46112</x:v>
      </x:c>
      <x:c r="K1420" s="12" t="str">
        <x:f>IF('Design &amp; Insights'!J48="","",'Design &amp; Insights'!J48)</x:f>
      </x:c>
      <x:c r="L1420" s="2" t="str">
        <x:f>IF('Design &amp; Insights'!K48="","",'Design &amp; Insights'!K48)</x:f>
      </x:c>
      <x:c r="M1420" s="2" t="n">
        <x:f>'Design &amp; Insights'!Q48</x:f>
        <x:v>1</x:v>
      </x:c>
      <x:c r="N1420" s="2" t="str">
        <x:f>'Design &amp; Insights'!L48</x:f>
        <x:v>Not started</x:v>
      </x:c>
      <x:c r="O1420" s="2" t="str">
        <x:f>'Design &amp; Insights'!N48</x:f>
        <x:v>DI.CA.3.6.2026.CY1</x:v>
      </x:c>
      <x:c r="P1420" s="2" t="n">
        <x:f>'Design &amp; Insights'!O48</x:f>
        <x:v>0</x:v>
      </x:c>
      <x:c r="Q1420" s="2" t="n">
        <x:f>SUBTOTAL(103,O1420)</x:f>
        <x:v>1</x:v>
      </x:c>
      <x:c r="R1420" s="2" t="n">
        <x:f>IF(AND(M1420=1,OR(Dashboard!$B$7="All",Dashboard!$B$7='Cycles &amp; Guide'!$C$5),OR(Dashboard!$D$7="All",Dashboard!$D$7=B1420),OR(Dashboard!$F$7="All",Dashboard!$F$7=C1420),OR(Dashboard!$H$7="All",Dashboard!$H$7=D1420),OR(Dashboard!$K$7="All",Dashboard!$K$7=E1420)),1,0)</x:f>
        <x:v>1</x:v>
      </x:c>
      <x:c r="S1420" s="2" t="n">
        <x:f>IF(R1420=1,SUM($R$10:R1420),0)</x:f>
        <x:v>1047</x:v>
      </x:c>
      <x:c r="T1420" s="2" t="str">
        <x:v>Design &amp; Insights</x:v>
      </x:c>
      <x:c r="U1420" s="2" t="n">
        <x:v>48</x:v>
      </x:c>
      <x:c r="V1420" s="2" t="n">
        <x:f>IF(AND(M1420=1,P1420=0,ISNUMBER(J1420),J1420&lt;TODAY()),1,0)</x:f>
        <x:v>1</x:v>
      </x:c>
      <x:c r="W1420" s="2" t="str">
        <x:f>'Design &amp; Insights'!M48</x:f>
        <x:v>Task</x:v>
      </x:c>
    </x:row>
    <x:row r="1421" ht="40" customHeight="1">
      <x:c r="A1421" s="3" t="str">
        <x:f>HYPERLINK("#'Design &amp; Insights'!A49","Open")</x:f>
        <x:v>Open</x:v>
      </x:c>
      <x:c r="B1421" s="2" t="str">
        <x:f>'Design &amp; Insights'!B49</x:f>
        <x:v>Cycle 1</x:v>
      </x:c>
      <x:c r="C1421" s="2" t="str">
        <x:f>'Design &amp; Insights'!C49</x:f>
        <x:v>Phase 3</x:v>
      </x:c>
      <x:c r="D1421" s="2" t="str">
        <x:f>'Design &amp; Insights'!D49</x:f>
        <x:v>Cards</x:v>
      </x:c>
      <x:c r="E1421" s="2" t="str">
        <x:v>Design &amp; Insights</x:v>
      </x:c>
      <x:c r="F1421" s="56" t="str">
        <x:f>'Design &amp; Insights'!E49</x:f>
        <x:v>DI.CA.3.7</x:v>
      </x:c>
      <x:c r="G1421" s="14" t="str">
        <x:f>'Design &amp; Insights'!F49</x:f>
        <x:v>Present material in RCA Cycle Forum</x:v>
      </x:c>
      <x:c r="H1421" s="2" t="str">
        <x:f>IF('Design &amp; Insights'!G49="","",'Design &amp; Insights'!G49)</x:f>
      </x:c>
      <x:c r="I1421" s="12" t="str">
        <x:f>IF('Design &amp; Insights'!H49="","",'Design &amp; Insights'!H49)</x:f>
      </x:c>
      <x:c r="J1421" s="12" t="str">
        <x:f>IF('Design &amp; Insights'!I49="","",'Design &amp; Insights'!I49)</x:f>
      </x:c>
      <x:c r="K1421" s="12" t="str">
        <x:f>IF('Design &amp; Insights'!J49="","",'Design &amp; Insights'!J49)</x:f>
      </x:c>
      <x:c r="L1421" s="2" t="str">
        <x:f>IF('Design &amp; Insights'!K49="","",'Design &amp; Insights'!K49)</x:f>
      </x:c>
      <x:c r="M1421" s="2" t="n">
        <x:f>'Design &amp; Insights'!Q49</x:f>
        <x:v>1</x:v>
      </x:c>
      <x:c r="N1421" s="2" t="str">
        <x:f>'Design &amp; Insights'!L49</x:f>
        <x:v>Not started</x:v>
      </x:c>
      <x:c r="O1421" s="2" t="str">
        <x:f>'Design &amp; Insights'!N49</x:f>
        <x:v>DI.CA.3.7.2026.CY1</x:v>
      </x:c>
      <x:c r="P1421" s="2" t="n">
        <x:f>'Design &amp; Insights'!O49</x:f>
        <x:v>0</x:v>
      </x:c>
      <x:c r="Q1421" s="2" t="n">
        <x:f>SUBTOTAL(103,O1421)</x:f>
        <x:v>1</x:v>
      </x:c>
      <x:c r="R1421" s="2" t="n">
        <x:f>IF(AND(M1421=1,OR(Dashboard!$B$7="All",Dashboard!$B$7='Cycles &amp; Guide'!$C$5),OR(Dashboard!$D$7="All",Dashboard!$D$7=B1421),OR(Dashboard!$F$7="All",Dashboard!$F$7=C1421),OR(Dashboard!$H$7="All",Dashboard!$H$7=D1421),OR(Dashboard!$K$7="All",Dashboard!$K$7=E1421)),1,0)</x:f>
        <x:v>1</x:v>
      </x:c>
      <x:c r="S1421" s="2" t="n">
        <x:f>IF(R1421=1,SUM($R$10:R1421),0)</x:f>
        <x:v>1048</x:v>
      </x:c>
      <x:c r="T1421" s="2" t="str">
        <x:v>Design &amp; Insights</x:v>
      </x:c>
      <x:c r="U1421" s="2" t="n">
        <x:v>49</x:v>
      </x:c>
      <x:c r="V1421" s="2" t="n">
        <x:f>IF(AND(M1421=1,P1421=0,ISNUMBER(J1421),J1421&lt;TODAY()),1,0)</x:f>
        <x:v>0</x:v>
      </x:c>
      <x:c r="W1421" s="2" t="str">
        <x:f>'Design &amp; Insights'!M49</x:f>
        <x:v>Task</x:v>
      </x:c>
    </x:row>
    <x:row r="1422" ht="40" customHeight="1">
      <x:c r="A1422" s="3" t="str">
        <x:f>HYPERLINK("#'Design &amp; Insights'!A50","Open")</x:f>
        <x:v>Open</x:v>
      </x:c>
      <x:c r="B1422" s="2" t="str">
        <x:f>'Design &amp; Insights'!B50</x:f>
        <x:v>Cycle 1</x:v>
      </x:c>
      <x:c r="C1422" s="2" t="str">
        <x:f>'Design &amp; Insights'!C50</x:f>
        <x:v>Phase 1</x:v>
      </x:c>
      <x:c r="D1422" s="2" t="str">
        <x:f>'Design &amp; Insights'!D50</x:f>
        <x:v>CSBBO - Banking Ops</x:v>
      </x:c>
      <x:c r="E1422" s="2" t="str">
        <x:v>Design &amp; Insights</x:v>
      </x:c>
      <x:c r="F1422" s="56" t="str">
        <x:f>'Design &amp; Insights'!E50</x:f>
        <x:v>DI.BO.1.1</x:v>
      </x:c>
      <x:c r="G1422" s="14" t="str">
        <x:f>'Design &amp; Insights'!F50</x:f>
        <x:v>Receive and review potential research topics at least 2 weeks prior to Cycle start date</x:v>
      </x:c>
      <x:c r="H1422" s="2" t="str">
        <x:f>IF('Design &amp; Insights'!G50="","",'Design &amp; Insights'!G50)</x:f>
      </x:c>
      <x:c r="I1422" s="12" t="str">
        <x:f>IF('Design &amp; Insights'!H50="","",'Design &amp; Insights'!H50)</x:f>
      </x:c>
      <x:c r="J1422" s="12" t="n">
        <x:f>IF('Design &amp; Insights'!I50="","",'Design &amp; Insights'!I50)</x:f>
        <x:v>46009</x:v>
      </x:c>
      <x:c r="K1422" s="12" t="str">
        <x:f>IF('Design &amp; Insights'!J50="","",'Design &amp; Insights'!J50)</x:f>
      </x:c>
      <x:c r="L1422" s="2" t="str">
        <x:f>IF('Design &amp; Insights'!K50="","",'Design &amp; Insights'!K50)</x:f>
      </x:c>
      <x:c r="M1422" s="2" t="n">
        <x:f>'Design &amp; Insights'!Q50</x:f>
        <x:v>1</x:v>
      </x:c>
      <x:c r="N1422" s="2" t="str">
        <x:f>'Design &amp; Insights'!L50</x:f>
        <x:v>Not started</x:v>
      </x:c>
      <x:c r="O1422" s="2" t="str">
        <x:f>'Design &amp; Insights'!N50</x:f>
        <x:v>DI.BO.1.1.2026.CY1</x:v>
      </x:c>
      <x:c r="P1422" s="2" t="n">
        <x:f>'Design &amp; Insights'!O50</x:f>
        <x:v>0</x:v>
      </x:c>
      <x:c r="Q1422" s="2" t="n">
        <x:f>SUBTOTAL(103,O1422)</x:f>
        <x:v>1</x:v>
      </x:c>
      <x:c r="R1422" s="2" t="n">
        <x:f>IF(AND(M1422=1,OR(Dashboard!$B$7="All",Dashboard!$B$7='Cycles &amp; Guide'!$C$5),OR(Dashboard!$D$7="All",Dashboard!$D$7=B1422),OR(Dashboard!$F$7="All",Dashboard!$F$7=C1422),OR(Dashboard!$H$7="All",Dashboard!$H$7=D1422),OR(Dashboard!$K$7="All",Dashboard!$K$7=E1422)),1,0)</x:f>
        <x:v>1</x:v>
      </x:c>
      <x:c r="S1422" s="2" t="n">
        <x:f>IF(R1422=1,SUM($R$10:R1422),0)</x:f>
        <x:v>1049</x:v>
      </x:c>
      <x:c r="T1422" s="2" t="str">
        <x:v>Design &amp; Insights</x:v>
      </x:c>
      <x:c r="U1422" s="2" t="n">
        <x:v>50</x:v>
      </x:c>
      <x:c r="V1422" s="2" t="n">
        <x:f>IF(AND(M1422=1,P1422=0,ISNUMBER(J1422),J1422&lt;TODAY()),1,0)</x:f>
        <x:v>1</x:v>
      </x:c>
      <x:c r="W1422" s="2" t="str">
        <x:f>'Design &amp; Insights'!M50</x:f>
        <x:v>Task</x:v>
      </x:c>
    </x:row>
    <x:row r="1423" ht="40" customHeight="1">
      <x:c r="A1423" s="3" t="str">
        <x:f>HYPERLINK("#'Design &amp; Insights'!A51","Open")</x:f>
        <x:v>Open</x:v>
      </x:c>
      <x:c r="B1423" s="2" t="str">
        <x:f>'Design &amp; Insights'!B51</x:f>
        <x:v>Cycle 1</x:v>
      </x:c>
      <x:c r="C1423" s="2" t="str">
        <x:f>'Design &amp; Insights'!C51</x:f>
        <x:v>Phase 1</x:v>
      </x:c>
      <x:c r="D1423" s="2" t="str">
        <x:f>'Design &amp; Insights'!D51</x:f>
        <x:v>CSBBO - Banking Ops</x:v>
      </x:c>
      <x:c r="E1423" s="2" t="str">
        <x:v>Design &amp; Insights</x:v>
      </x:c>
      <x:c r="F1423" s="56" t="str">
        <x:f>'Design &amp; Insights'!E51</x:f>
        <x:v>DI.BO.1.2</x:v>
      </x:c>
      <x:c r="G1423" s="14" t="str">
        <x:f>'Design &amp; Insights'!F51</x:f>
        <x:v>Communicate any feedback on preferences or concerns with topics identified</x:v>
      </x:c>
      <x:c r="H1423" s="2" t="str">
        <x:f>IF('Design &amp; Insights'!G51="","",'Design &amp; Insights'!G51)</x:f>
      </x:c>
      <x:c r="I1423" s="12" t="str">
        <x:f>IF('Design &amp; Insights'!H51="","",'Design &amp; Insights'!H51)</x:f>
      </x:c>
      <x:c r="J1423" s="12" t="n">
        <x:f>IF('Design &amp; Insights'!I51="","",'Design &amp; Insights'!I51)</x:f>
        <x:v>46112</x:v>
      </x:c>
      <x:c r="K1423" s="12" t="str">
        <x:f>IF('Design &amp; Insights'!J51="","",'Design &amp; Insights'!J51)</x:f>
      </x:c>
      <x:c r="L1423" s="2" t="str">
        <x:f>IF('Design &amp; Insights'!K51="","",'Design &amp; Insights'!K51)</x:f>
      </x:c>
      <x:c r="M1423" s="2" t="n">
        <x:f>'Design &amp; Insights'!Q51</x:f>
        <x:v>1</x:v>
      </x:c>
      <x:c r="N1423" s="2" t="str">
        <x:f>'Design &amp; Insights'!L51</x:f>
        <x:v>Not started</x:v>
      </x:c>
      <x:c r="O1423" s="2" t="str">
        <x:f>'Design &amp; Insights'!N51</x:f>
        <x:v>DI.BO.1.2.2026.CY1</x:v>
      </x:c>
      <x:c r="P1423" s="2" t="n">
        <x:f>'Design &amp; Insights'!O51</x:f>
        <x:v>0</x:v>
      </x:c>
      <x:c r="Q1423" s="2" t="n">
        <x:f>SUBTOTAL(103,O1423)</x:f>
        <x:v>1</x:v>
      </x:c>
      <x:c r="R1423" s="2" t="n">
        <x:f>IF(AND(M1423=1,OR(Dashboard!$B$7="All",Dashboard!$B$7='Cycles &amp; Guide'!$C$5),OR(Dashboard!$D$7="All",Dashboard!$D$7=B1423),OR(Dashboard!$F$7="All",Dashboard!$F$7=C1423),OR(Dashboard!$H$7="All",Dashboard!$H$7=D1423),OR(Dashboard!$K$7="All",Dashboard!$K$7=E1423)),1,0)</x:f>
        <x:v>1</x:v>
      </x:c>
      <x:c r="S1423" s="2" t="n">
        <x:f>IF(R1423=1,SUM($R$10:R1423),0)</x:f>
        <x:v>1050</x:v>
      </x:c>
      <x:c r="T1423" s="2" t="str">
        <x:v>Design &amp; Insights</x:v>
      </x:c>
      <x:c r="U1423" s="2" t="n">
        <x:v>51</x:v>
      </x:c>
      <x:c r="V1423" s="2" t="n">
        <x:f>IF(AND(M1423=1,P1423=0,ISNUMBER(J1423),J1423&lt;TODAY()),1,0)</x:f>
        <x:v>1</x:v>
      </x:c>
      <x:c r="W1423" s="2" t="str">
        <x:f>'Design &amp; Insights'!M51</x:f>
        <x:v>Task</x:v>
      </x:c>
    </x:row>
    <x:row r="1424" ht="40" customHeight="1">
      <x:c r="A1424" s="3" t="str">
        <x:f>HYPERLINK("#'Design &amp; Insights'!A52","Open")</x:f>
        <x:v>Open</x:v>
      </x:c>
      <x:c r="B1424" s="2" t="str">
        <x:f>'Design &amp; Insights'!B52</x:f>
        <x:v>Cycle 1</x:v>
      </x:c>
      <x:c r="C1424" s="2" t="str">
        <x:f>'Design &amp; Insights'!C52</x:f>
        <x:v>Phase 1</x:v>
      </x:c>
      <x:c r="D1424" s="2" t="str">
        <x:f>'Design &amp; Insights'!D52</x:f>
        <x:v>CSBBO - Banking Ops</x:v>
      </x:c>
      <x:c r="E1424" s="2" t="str">
        <x:v>Design &amp; Insights</x:v>
      </x:c>
      <x:c r="F1424" s="56" t="str">
        <x:f>'Design &amp; Insights'!E52</x:f>
        <x:v>DI.BO.1.3</x:v>
      </x:c>
      <x:c r="G1424" s="14" t="str">
        <x:f>'Design &amp; Insights'!F52</x:f>
        <x:v>Conduct high-level preliminary review of complaints within proposed topics</x:v>
      </x:c>
      <x:c r="H1424" s="2" t="str">
        <x:f>IF('Design &amp; Insights'!G52="","",'Design &amp; Insights'!G52)</x:f>
      </x:c>
      <x:c r="I1424" s="12" t="str">
        <x:f>IF('Design &amp; Insights'!H52="","",'Design &amp; Insights'!H52)</x:f>
      </x:c>
      <x:c r="J1424" s="12" t="n">
        <x:f>IF('Design &amp; Insights'!I52="","",'Design &amp; Insights'!I52)</x:f>
        <x:v>46112</x:v>
      </x:c>
      <x:c r="K1424" s="12" t="str">
        <x:f>IF('Design &amp; Insights'!J52="","",'Design &amp; Insights'!J52)</x:f>
      </x:c>
      <x:c r="L1424" s="2" t="str">
        <x:f>IF('Design &amp; Insights'!K52="","",'Design &amp; Insights'!K52)</x:f>
      </x:c>
      <x:c r="M1424" s="2" t="n">
        <x:f>'Design &amp; Insights'!Q52</x:f>
        <x:v>1</x:v>
      </x:c>
      <x:c r="N1424" s="2" t="str">
        <x:f>'Design &amp; Insights'!L52</x:f>
        <x:v>Not started</x:v>
      </x:c>
      <x:c r="O1424" s="2" t="str">
        <x:f>'Design &amp; Insights'!N52</x:f>
        <x:v>DI.BO.1.3.2026.CY1</x:v>
      </x:c>
      <x:c r="P1424" s="2" t="n">
        <x:f>'Design &amp; Insights'!O52</x:f>
        <x:v>0</x:v>
      </x:c>
      <x:c r="Q1424" s="2" t="n">
        <x:f>SUBTOTAL(103,O1424)</x:f>
        <x:v>1</x:v>
      </x:c>
      <x:c r="R1424" s="2" t="n">
        <x:f>IF(AND(M1424=1,OR(Dashboard!$B$7="All",Dashboard!$B$7='Cycles &amp; Guide'!$C$5),OR(Dashboard!$D$7="All",Dashboard!$D$7=B1424),OR(Dashboard!$F$7="All",Dashboard!$F$7=C1424),OR(Dashboard!$H$7="All",Dashboard!$H$7=D1424),OR(Dashboard!$K$7="All",Dashboard!$K$7=E1424)),1,0)</x:f>
        <x:v>1</x:v>
      </x:c>
      <x:c r="S1424" s="2" t="n">
        <x:f>IF(R1424=1,SUM($R$10:R1424),0)</x:f>
        <x:v>1051</x:v>
      </x:c>
      <x:c r="T1424" s="2" t="str">
        <x:v>Design &amp; Insights</x:v>
      </x:c>
      <x:c r="U1424" s="2" t="n">
        <x:v>52</x:v>
      </x:c>
      <x:c r="V1424" s="2" t="n">
        <x:f>IF(AND(M1424=1,P1424=0,ISNUMBER(J1424),J1424&lt;TODAY()),1,0)</x:f>
        <x:v>1</x:v>
      </x:c>
      <x:c r="W1424" s="2" t="str">
        <x:f>'Design &amp; Insights'!M52</x:f>
        <x:v>Task</x:v>
      </x:c>
    </x:row>
    <x:row r="1425" ht="40" customHeight="1">
      <x:c r="A1425" s="3" t="str">
        <x:f>HYPERLINK("#'Design &amp; Insights'!A53","Open")</x:f>
        <x:v>Open</x:v>
      </x:c>
      <x:c r="B1425" s="2" t="str">
        <x:f>'Design &amp; Insights'!B53</x:f>
        <x:v>Cycle 1</x:v>
      </x:c>
      <x:c r="C1425" s="2" t="str">
        <x:f>'Design &amp; Insights'!C53</x:f>
        <x:v>Phase 1</x:v>
      </x:c>
      <x:c r="D1425" s="2" t="str">
        <x:f>'Design &amp; Insights'!D53</x:f>
        <x:v>CSBBO - Banking Ops</x:v>
      </x:c>
      <x:c r="E1425" s="2" t="str">
        <x:v>Design &amp; Insights</x:v>
      </x:c>
      <x:c r="F1425" s="56" t="str">
        <x:f>'Design &amp; Insights'!E53</x:f>
        <x:v>DI.BO.1.4</x:v>
      </x:c>
      <x:c r="G1425" s="14" t="str">
        <x:f>'Design &amp; Insights'!F53</x:f>
        <x:v>Meet with Research to discuss which topic to select based on potential impact</x:v>
      </x:c>
      <x:c r="H1425" s="2" t="str">
        <x:f>IF('Design &amp; Insights'!G53="","",'Design &amp; Insights'!G53)</x:f>
      </x:c>
      <x:c r="I1425" s="12" t="str">
        <x:f>IF('Design &amp; Insights'!H53="","",'Design &amp; Insights'!H53)</x:f>
      </x:c>
      <x:c r="J1425" s="12" t="n">
        <x:f>IF('Design &amp; Insights'!I53="","",'Design &amp; Insights'!I53)</x:f>
        <x:v>46112</x:v>
      </x:c>
      <x:c r="K1425" s="12" t="str">
        <x:f>IF('Design &amp; Insights'!J53="","",'Design &amp; Insights'!J53)</x:f>
      </x:c>
      <x:c r="L1425" s="2" t="str">
        <x:f>IF('Design &amp; Insights'!K53="","",'Design &amp; Insights'!K53)</x:f>
      </x:c>
      <x:c r="M1425" s="2" t="n">
        <x:f>'Design &amp; Insights'!Q53</x:f>
        <x:v>1</x:v>
      </x:c>
      <x:c r="N1425" s="2" t="str">
        <x:f>'Design &amp; Insights'!L53</x:f>
        <x:v>Not started</x:v>
      </x:c>
      <x:c r="O1425" s="2" t="str">
        <x:f>'Design &amp; Insights'!N53</x:f>
        <x:v>DI.BO.1.4.2026.CY1</x:v>
      </x:c>
      <x:c r="P1425" s="2" t="n">
        <x:f>'Design &amp; Insights'!O53</x:f>
        <x:v>0</x:v>
      </x:c>
      <x:c r="Q1425" s="2" t="n">
        <x:f>SUBTOTAL(103,O1425)</x:f>
        <x:v>1</x:v>
      </x:c>
      <x:c r="R1425" s="2" t="n">
        <x:f>IF(AND(M1425=1,OR(Dashboard!$B$7="All",Dashboard!$B$7='Cycles &amp; Guide'!$C$5),OR(Dashboard!$D$7="All",Dashboard!$D$7=B1425),OR(Dashboard!$F$7="All",Dashboard!$F$7=C1425),OR(Dashboard!$H$7="All",Dashboard!$H$7=D1425),OR(Dashboard!$K$7="All",Dashboard!$K$7=E1425)),1,0)</x:f>
        <x:v>1</x:v>
      </x:c>
      <x:c r="S1425" s="2" t="n">
        <x:f>IF(R1425=1,SUM($R$10:R1425),0)</x:f>
        <x:v>1052</x:v>
      </x:c>
      <x:c r="T1425" s="2" t="str">
        <x:v>Design &amp; Insights</x:v>
      </x:c>
      <x:c r="U1425" s="2" t="n">
        <x:v>53</x:v>
      </x:c>
      <x:c r="V1425" s="2" t="n">
        <x:f>IF(AND(M1425=1,P1425=0,ISNUMBER(J1425),J1425&lt;TODAY()),1,0)</x:f>
        <x:v>1</x:v>
      </x:c>
      <x:c r="W1425" s="2" t="str">
        <x:f>'Design &amp; Insights'!M53</x:f>
        <x:v>Task</x:v>
      </x:c>
    </x:row>
    <x:row r="1426" ht="40" customHeight="1">
      <x:c r="A1426" s="3" t="str">
        <x:f>HYPERLINK("#'Design &amp; Insights'!A54","Open")</x:f>
        <x:v>Open</x:v>
      </x:c>
      <x:c r="B1426" s="2" t="str">
        <x:f>'Design &amp; Insights'!B54</x:f>
        <x:v>Cycle 1</x:v>
      </x:c>
      <x:c r="C1426" s="2" t="str">
        <x:f>'Design &amp; Insights'!C54</x:f>
        <x:v>Phase 1</x:v>
      </x:c>
      <x:c r="D1426" s="2" t="str">
        <x:f>'Design &amp; Insights'!D54</x:f>
        <x:v>CSBBO - Banking Ops</x:v>
      </x:c>
      <x:c r="E1426" s="2" t="str">
        <x:v>Design &amp; Insights</x:v>
      </x:c>
      <x:c r="F1426" s="56" t="str">
        <x:f>'Design &amp; Insights'!E54</x:f>
        <x:v>DI.BO.1.5</x:v>
      </x:c>
      <x:c r="G1426" s="14" t="str">
        <x:f>'Design &amp; Insights'!F54</x:f>
        <x:v>Confirm with Research the recommended topic for approval</x:v>
      </x:c>
      <x:c r="H1426" s="2" t="str">
        <x:f>IF('Design &amp; Insights'!G54="","",'Design &amp; Insights'!G54)</x:f>
      </x:c>
      <x:c r="I1426" s="12" t="str">
        <x:f>IF('Design &amp; Insights'!H54="","",'Design &amp; Insights'!H54)</x:f>
      </x:c>
      <x:c r="J1426" s="12" t="n">
        <x:f>IF('Design &amp; Insights'!I54="","",'Design &amp; Insights'!I54)</x:f>
        <x:v>46112</x:v>
      </x:c>
      <x:c r="K1426" s="12" t="str">
        <x:f>IF('Design &amp; Insights'!J54="","",'Design &amp; Insights'!J54)</x:f>
      </x:c>
      <x:c r="L1426" s="2" t="str">
        <x:f>IF('Design &amp; Insights'!K54="","",'Design &amp; Insights'!K54)</x:f>
      </x:c>
      <x:c r="M1426" s="2" t="n">
        <x:f>'Design &amp; Insights'!Q54</x:f>
        <x:v>1</x:v>
      </x:c>
      <x:c r="N1426" s="2" t="str">
        <x:f>'Design &amp; Insights'!L54</x:f>
        <x:v>Not started</x:v>
      </x:c>
      <x:c r="O1426" s="2" t="str">
        <x:f>'Design &amp; Insights'!N54</x:f>
        <x:v>DI.BO.1.5.2026.CY1</x:v>
      </x:c>
      <x:c r="P1426" s="2" t="n">
        <x:f>'Design &amp; Insights'!O54</x:f>
        <x:v>0</x:v>
      </x:c>
      <x:c r="Q1426" s="2" t="n">
        <x:f>SUBTOTAL(103,O1426)</x:f>
        <x:v>1</x:v>
      </x:c>
      <x:c r="R1426" s="2" t="n">
        <x:f>IF(AND(M1426=1,OR(Dashboard!$B$7="All",Dashboard!$B$7='Cycles &amp; Guide'!$C$5),OR(Dashboard!$D$7="All",Dashboard!$D$7=B1426),OR(Dashboard!$F$7="All",Dashboard!$F$7=C1426),OR(Dashboard!$H$7="All",Dashboard!$H$7=D1426),OR(Dashboard!$K$7="All",Dashboard!$K$7=E1426)),1,0)</x:f>
        <x:v>1</x:v>
      </x:c>
      <x:c r="S1426" s="2" t="n">
        <x:f>IF(R1426=1,SUM($R$10:R1426),0)</x:f>
        <x:v>1053</x:v>
      </x:c>
      <x:c r="T1426" s="2" t="str">
        <x:v>Design &amp; Insights</x:v>
      </x:c>
      <x:c r="U1426" s="2" t="n">
        <x:v>54</x:v>
      </x:c>
      <x:c r="V1426" s="2" t="n">
        <x:f>IF(AND(M1426=1,P1426=0,ISNUMBER(J1426),J1426&lt;TODAY()),1,0)</x:f>
        <x:v>1</x:v>
      </x:c>
      <x:c r="W1426" s="2" t="str">
        <x:f>'Design &amp; Insights'!M54</x:f>
        <x:v>Task</x:v>
      </x:c>
    </x:row>
    <x:row r="1427" ht="40" customHeight="1">
      <x:c r="A1427" s="3" t="str">
        <x:f>HYPERLINK("#'Design &amp; Insights'!A55","Open")</x:f>
        <x:v>Open</x:v>
      </x:c>
      <x:c r="B1427" s="2" t="str">
        <x:f>'Design &amp; Insights'!B55</x:f>
        <x:v>Cycle 1</x:v>
      </x:c>
      <x:c r="C1427" s="2" t="str">
        <x:f>'Design &amp; Insights'!C55</x:f>
        <x:v>Phase 1</x:v>
      </x:c>
      <x:c r="D1427" s="2" t="str">
        <x:f>'Design &amp; Insights'!D55</x:f>
        <x:v>CSBBO - Banking Ops</x:v>
      </x:c>
      <x:c r="E1427" s="2" t="str">
        <x:v>Design &amp; Insights</x:v>
      </x:c>
      <x:c r="F1427" s="56" t="str">
        <x:f>'Design &amp; Insights'!E55</x:f>
        <x:v>DI.BO.1.6</x:v>
      </x:c>
      <x:c r="G1427" s="14" t="str">
        <x:f>'Design &amp; Insights'!F55</x:f>
        <x:v>Send topic selection socialization email to all key stakeholders on the first day of the review Cycle</x:v>
      </x:c>
      <x:c r="H1427" s="2" t="str">
        <x:f>IF('Design &amp; Insights'!G55="","",'Design &amp; Insights'!G55)</x:f>
      </x:c>
      <x:c r="I1427" s="12" t="str">
        <x:f>IF('Design &amp; Insights'!H55="","",'Design &amp; Insights'!H55)</x:f>
      </x:c>
      <x:c r="J1427" s="12" t="n">
        <x:f>IF('Design &amp; Insights'!I55="","",'Design &amp; Insights'!I55)</x:f>
        <x:v>46023</x:v>
      </x:c>
      <x:c r="K1427" s="12" t="str">
        <x:f>IF('Design &amp; Insights'!J55="","",'Design &amp; Insights'!J55)</x:f>
      </x:c>
      <x:c r="L1427" s="2" t="str">
        <x:f>IF('Design &amp; Insights'!K55="","",'Design &amp; Insights'!K55)</x:f>
      </x:c>
      <x:c r="M1427" s="2" t="n">
        <x:f>'Design &amp; Insights'!Q55</x:f>
        <x:v>1</x:v>
      </x:c>
      <x:c r="N1427" s="2" t="str">
        <x:f>'Design &amp; Insights'!L55</x:f>
        <x:v>Not started</x:v>
      </x:c>
      <x:c r="O1427" s="2" t="str">
        <x:f>'Design &amp; Insights'!N55</x:f>
        <x:v>DI.BO.1.6.2026.CY1</x:v>
      </x:c>
      <x:c r="P1427" s="2" t="n">
        <x:f>'Design &amp; Insights'!O55</x:f>
        <x:v>0</x:v>
      </x:c>
      <x:c r="Q1427" s="2" t="n">
        <x:f>SUBTOTAL(103,O1427)</x:f>
        <x:v>1</x:v>
      </x:c>
      <x:c r="R1427" s="2" t="n">
        <x:f>IF(AND(M1427=1,OR(Dashboard!$B$7="All",Dashboard!$B$7='Cycles &amp; Guide'!$C$5),OR(Dashboard!$D$7="All",Dashboard!$D$7=B1427),OR(Dashboard!$F$7="All",Dashboard!$F$7=C1427),OR(Dashboard!$H$7="All",Dashboard!$H$7=D1427),OR(Dashboard!$K$7="All",Dashboard!$K$7=E1427)),1,0)</x:f>
        <x:v>1</x:v>
      </x:c>
      <x:c r="S1427" s="2" t="n">
        <x:f>IF(R1427=1,SUM($R$10:R1427),0)</x:f>
        <x:v>1054</x:v>
      </x:c>
      <x:c r="T1427" s="2" t="str">
        <x:v>Design &amp; Insights</x:v>
      </x:c>
      <x:c r="U1427" s="2" t="n">
        <x:v>55</x:v>
      </x:c>
      <x:c r="V1427" s="2" t="n">
        <x:f>IF(AND(M1427=1,P1427=0,ISNUMBER(J1427),J1427&lt;TODAY()),1,0)</x:f>
        <x:v>1</x:v>
      </x:c>
      <x:c r="W1427" s="2" t="str">
        <x:f>'Design &amp; Insights'!M55</x:f>
        <x:v>Task</x:v>
      </x:c>
    </x:row>
    <x:row r="1428" ht="40" customHeight="1">
      <x:c r="A1428" s="3" t="str">
        <x:f>HYPERLINK("#'Design &amp; Insights'!A56","Open")</x:f>
        <x:v>Open</x:v>
      </x:c>
      <x:c r="B1428" s="2" t="str">
        <x:f>'Design &amp; Insights'!B56</x:f>
        <x:v>Cycle 1</x:v>
      </x:c>
      <x:c r="C1428" s="2" t="str">
        <x:f>'Design &amp; Insights'!C56</x:f>
        <x:v>Phase 2</x:v>
      </x:c>
      <x:c r="D1428" s="2" t="str">
        <x:f>'Design &amp; Insights'!D56</x:f>
        <x:v>CSBBO - Banking Ops</x:v>
      </x:c>
      <x:c r="E1428" s="2" t="str">
        <x:v>Design &amp; Insights</x:v>
      </x:c>
      <x:c r="F1428" s="56" t="str">
        <x:f>'Design &amp; Insights'!E56</x:f>
        <x:v>DI.BO.2.1</x:v>
      </x:c>
      <x:c r="G1428" s="14" t="str">
        <x:f>'Design &amp; Insights'!F56</x:f>
        <x:v>Meet regularly with Research to stay informed on progress, findings, and potential enhancement</x:v>
      </x:c>
      <x:c r="H1428" s="2" t="str">
        <x:f>IF('Design &amp; Insights'!G56="","",'Design &amp; Insights'!G56)</x:f>
      </x:c>
      <x:c r="I1428" s="12" t="str">
        <x:f>IF('Design &amp; Insights'!H56="","",'Design &amp; Insights'!H56)</x:f>
      </x:c>
      <x:c r="J1428" s="12" t="n">
        <x:f>IF('Design &amp; Insights'!I56="","",'Design &amp; Insights'!I56)</x:f>
        <x:v>46112</x:v>
      </x:c>
      <x:c r="K1428" s="12" t="str">
        <x:f>IF('Design &amp; Insights'!J56="","",'Design &amp; Insights'!J56)</x:f>
      </x:c>
      <x:c r="L1428" s="2" t="str">
        <x:f>IF('Design &amp; Insights'!K56="","",'Design &amp; Insights'!K56)</x:f>
      </x:c>
      <x:c r="M1428" s="2" t="n">
        <x:f>'Design &amp; Insights'!Q56</x:f>
        <x:v>1</x:v>
      </x:c>
      <x:c r="N1428" s="2" t="str">
        <x:f>'Design &amp; Insights'!L56</x:f>
        <x:v>Not started</x:v>
      </x:c>
      <x:c r="O1428" s="2" t="str">
        <x:f>'Design &amp; Insights'!N56</x:f>
        <x:v>DI.BO.2.1.2026.CY1</x:v>
      </x:c>
      <x:c r="P1428" s="2" t="n">
        <x:f>'Design &amp; Insights'!O56</x:f>
        <x:v>0</x:v>
      </x:c>
      <x:c r="Q1428" s="2" t="n">
        <x:f>SUBTOTAL(103,O1428)</x:f>
        <x:v>1</x:v>
      </x:c>
      <x:c r="R1428" s="2" t="n">
        <x:f>IF(AND(M1428=1,OR(Dashboard!$B$7="All",Dashboard!$B$7='Cycles &amp; Guide'!$C$5),OR(Dashboard!$D$7="All",Dashboard!$D$7=B1428),OR(Dashboard!$F$7="All",Dashboard!$F$7=C1428),OR(Dashboard!$H$7="All",Dashboard!$H$7=D1428),OR(Dashboard!$K$7="All",Dashboard!$K$7=E1428)),1,0)</x:f>
        <x:v>1</x:v>
      </x:c>
      <x:c r="S1428" s="2" t="n">
        <x:f>IF(R1428=1,SUM($R$10:R1428),0)</x:f>
        <x:v>1055</x:v>
      </x:c>
      <x:c r="T1428" s="2" t="str">
        <x:v>Design &amp; Insights</x:v>
      </x:c>
      <x:c r="U1428" s="2" t="n">
        <x:v>56</x:v>
      </x:c>
      <x:c r="V1428" s="2" t="n">
        <x:f>IF(AND(M1428=1,P1428=0,ISNUMBER(J1428),J1428&lt;TODAY()),1,0)</x:f>
        <x:v>1</x:v>
      </x:c>
      <x:c r="W1428" s="2" t="str">
        <x:f>'Design &amp; Insights'!M56</x:f>
        <x:v>Task</x:v>
      </x:c>
    </x:row>
    <x:row r="1429" ht="40" customHeight="1">
      <x:c r="A1429" s="3" t="str">
        <x:f>HYPERLINK("#'Design &amp; Insights'!A57","Open")</x:f>
        <x:v>Open</x:v>
      </x:c>
      <x:c r="B1429" s="2" t="str">
        <x:f>'Design &amp; Insights'!B57</x:f>
        <x:v>Cycle 1</x:v>
      </x:c>
      <x:c r="C1429" s="2" t="str">
        <x:f>'Design &amp; Insights'!C57</x:f>
        <x:v>Phase 2</x:v>
      </x:c>
      <x:c r="D1429" s="2" t="str">
        <x:f>'Design &amp; Insights'!D57</x:f>
        <x:v>CSBBO - Banking Ops</x:v>
      </x:c>
      <x:c r="E1429" s="2" t="str">
        <x:v>Design &amp; Insights</x:v>
      </x:c>
      <x:c r="F1429" s="56" t="str">
        <x:f>'Design &amp; Insights'!E57</x:f>
        <x:v>DI.BO.2.2</x:v>
      </x:c>
      <x:c r="G1429" s="14" t="str">
        <x:f>'Design &amp; Insights'!F57</x:f>
        <x:v>Collaborate with Research on research plan specifics</x:v>
      </x:c>
      <x:c r="H1429" s="2" t="str">
        <x:f>IF('Design &amp; Insights'!G57="","",'Design &amp; Insights'!G57)</x:f>
      </x:c>
      <x:c r="I1429" s="12" t="str">
        <x:f>IF('Design &amp; Insights'!H57="","",'Design &amp; Insights'!H57)</x:f>
      </x:c>
      <x:c r="J1429" s="12" t="n">
        <x:f>IF('Design &amp; Insights'!I57="","",'Design &amp; Insights'!I57)</x:f>
        <x:v>46112</x:v>
      </x:c>
      <x:c r="K1429" s="12" t="str">
        <x:f>IF('Design &amp; Insights'!J57="","",'Design &amp; Insights'!J57)</x:f>
      </x:c>
      <x:c r="L1429" s="2" t="str">
        <x:f>IF('Design &amp; Insights'!K57="","",'Design &amp; Insights'!K57)</x:f>
      </x:c>
      <x:c r="M1429" s="2" t="n">
        <x:f>'Design &amp; Insights'!Q57</x:f>
        <x:v>1</x:v>
      </x:c>
      <x:c r="N1429" s="2" t="str">
        <x:f>'Design &amp; Insights'!L57</x:f>
        <x:v>Not started</x:v>
      </x:c>
      <x:c r="O1429" s="2" t="str">
        <x:f>'Design &amp; Insights'!N57</x:f>
        <x:v>DI.BO.2.2.2026.CY1</x:v>
      </x:c>
      <x:c r="P1429" s="2" t="n">
        <x:f>'Design &amp; Insights'!O57</x:f>
        <x:v>0</x:v>
      </x:c>
      <x:c r="Q1429" s="2" t="n">
        <x:f>SUBTOTAL(103,O1429)</x:f>
        <x:v>1</x:v>
      </x:c>
      <x:c r="R1429" s="2" t="n">
        <x:f>IF(AND(M1429=1,OR(Dashboard!$B$7="All",Dashboard!$B$7='Cycles &amp; Guide'!$C$5),OR(Dashboard!$D$7="All",Dashboard!$D$7=B1429),OR(Dashboard!$F$7="All",Dashboard!$F$7=C1429),OR(Dashboard!$H$7="All",Dashboard!$H$7=D1429),OR(Dashboard!$K$7="All",Dashboard!$K$7=E1429)),1,0)</x:f>
        <x:v>1</x:v>
      </x:c>
      <x:c r="S1429" s="2" t="n">
        <x:f>IF(R1429=1,SUM($R$10:R1429),0)</x:f>
        <x:v>1056</x:v>
      </x:c>
      <x:c r="T1429" s="2" t="str">
        <x:v>Design &amp; Insights</x:v>
      </x:c>
      <x:c r="U1429" s="2" t="n">
        <x:v>57</x:v>
      </x:c>
      <x:c r="V1429" s="2" t="n">
        <x:f>IF(AND(M1429=1,P1429=0,ISNUMBER(J1429),J1429&lt;TODAY()),1,0)</x:f>
        <x:v>1</x:v>
      </x:c>
      <x:c r="W1429" s="2" t="str">
        <x:f>'Design &amp; Insights'!M57</x:f>
        <x:v>Task</x:v>
      </x:c>
    </x:row>
    <x:row r="1430" ht="40" customHeight="1">
      <x:c r="A1430" s="3" t="str">
        <x:f>HYPERLINK("#'Design &amp; Insights'!A58","Open")</x:f>
        <x:v>Open</x:v>
      </x:c>
      <x:c r="B1430" s="2" t="str">
        <x:f>'Design &amp; Insights'!B58</x:f>
        <x:v>Cycle 1</x:v>
      </x:c>
      <x:c r="C1430" s="2" t="str">
        <x:f>'Design &amp; Insights'!C58</x:f>
        <x:v>Phase 2</x:v>
      </x:c>
      <x:c r="D1430" s="2" t="str">
        <x:f>'Design &amp; Insights'!D58</x:f>
        <x:v>CSBBO - Banking Ops</x:v>
      </x:c>
      <x:c r="E1430" s="2" t="str">
        <x:v>Design &amp; Insights</x:v>
      </x:c>
      <x:c r="F1430" s="56" t="str">
        <x:f>'Design &amp; Insights'!E58</x:f>
        <x:v>DI.BO.2.3</x:v>
      </x:c>
      <x:c r="G1430" s="14" t="str">
        <x:f>'Design &amp; Insights'!F58</x:f>
        <x:v>Participate in SME insight meetings to gain perspective and appetite on potential enhancements</x:v>
      </x:c>
      <x:c r="H1430" s="2" t="str">
        <x:f>IF('Design &amp; Insights'!G58="","",'Design &amp; Insights'!G58)</x:f>
      </x:c>
      <x:c r="I1430" s="12" t="str">
        <x:f>IF('Design &amp; Insights'!H58="","",'Design &amp; Insights'!H58)</x:f>
      </x:c>
      <x:c r="J1430" s="12" t="n">
        <x:f>IF('Design &amp; Insights'!I58="","",'Design &amp; Insights'!I58)</x:f>
        <x:v>46112</x:v>
      </x:c>
      <x:c r="K1430" s="12" t="str">
        <x:f>IF('Design &amp; Insights'!J58="","",'Design &amp; Insights'!J58)</x:f>
      </x:c>
      <x:c r="L1430" s="2" t="str">
        <x:f>IF('Design &amp; Insights'!K58="","",'Design &amp; Insights'!K58)</x:f>
      </x:c>
      <x:c r="M1430" s="2" t="n">
        <x:f>'Design &amp; Insights'!Q58</x:f>
        <x:v>1</x:v>
      </x:c>
      <x:c r="N1430" s="2" t="str">
        <x:f>'Design &amp; Insights'!L58</x:f>
        <x:v>Not started</x:v>
      </x:c>
      <x:c r="O1430" s="2" t="str">
        <x:f>'Design &amp; Insights'!N58</x:f>
        <x:v>DI.BO.2.3.2026.CY1</x:v>
      </x:c>
      <x:c r="P1430" s="2" t="n">
        <x:f>'Design &amp; Insights'!O58</x:f>
        <x:v>0</x:v>
      </x:c>
      <x:c r="Q1430" s="2" t="n">
        <x:f>SUBTOTAL(103,O1430)</x:f>
        <x:v>1</x:v>
      </x:c>
      <x:c r="R1430" s="2" t="n">
        <x:f>IF(AND(M1430=1,OR(Dashboard!$B$7="All",Dashboard!$B$7='Cycles &amp; Guide'!$C$5),OR(Dashboard!$D$7="All",Dashboard!$D$7=B1430),OR(Dashboard!$F$7="All",Dashboard!$F$7=C1430),OR(Dashboard!$H$7="All",Dashboard!$H$7=D1430),OR(Dashboard!$K$7="All",Dashboard!$K$7=E1430)),1,0)</x:f>
        <x:v>1</x:v>
      </x:c>
      <x:c r="S1430" s="2" t="n">
        <x:f>IF(R1430=1,SUM($R$10:R1430),0)</x:f>
        <x:v>1057</x:v>
      </x:c>
      <x:c r="T1430" s="2" t="str">
        <x:v>Design &amp; Insights</x:v>
      </x:c>
      <x:c r="U1430" s="2" t="n">
        <x:v>58</x:v>
      </x:c>
      <x:c r="V1430" s="2" t="n">
        <x:f>IF(AND(M1430=1,P1430=0,ISNUMBER(J1430),J1430&lt;TODAY()),1,0)</x:f>
        <x:v>1</x:v>
      </x:c>
      <x:c r="W1430" s="2" t="str">
        <x:f>'Design &amp; Insights'!M58</x:f>
        <x:v>Task</x:v>
      </x:c>
    </x:row>
    <x:row r="1431" ht="40" customHeight="1">
      <x:c r="A1431" s="3" t="str">
        <x:f>HYPERLINK("#'Design &amp; Insights'!A59","Open")</x:f>
        <x:v>Open</x:v>
      </x:c>
      <x:c r="B1431" s="2" t="str">
        <x:f>'Design &amp; Insights'!B59</x:f>
        <x:v>Cycle 1</x:v>
      </x:c>
      <x:c r="C1431" s="2" t="str">
        <x:f>'Design &amp; Insights'!C59</x:f>
        <x:v>Phase 2</x:v>
      </x:c>
      <x:c r="D1431" s="2" t="str">
        <x:f>'Design &amp; Insights'!D59</x:f>
        <x:v>CSBBO - Banking Ops</x:v>
      </x:c>
      <x:c r="E1431" s="2" t="str">
        <x:v>Design &amp; Insights</x:v>
      </x:c>
      <x:c r="F1431" s="56" t="str">
        <x:f>'Design &amp; Insights'!E59</x:f>
        <x:v>DI.BO.2.4</x:v>
      </x:c>
      <x:c r="G1431" s="14" t="str">
        <x:f>'Design &amp; Insights'!F59</x:f>
        <x:v>Begin development of presentation materials as Research is being completed</x:v>
      </x:c>
      <x:c r="H1431" s="2" t="str">
        <x:f>IF('Design &amp; Insights'!G59="","",'Design &amp; Insights'!G59)</x:f>
      </x:c>
      <x:c r="I1431" s="12" t="str">
        <x:f>IF('Design &amp; Insights'!H59="","",'Design &amp; Insights'!H59)</x:f>
      </x:c>
      <x:c r="J1431" s="12" t="n">
        <x:f>IF('Design &amp; Insights'!I59="","",'Design &amp; Insights'!I59)</x:f>
        <x:v>46112</x:v>
      </x:c>
      <x:c r="K1431" s="12" t="str">
        <x:f>IF('Design &amp; Insights'!J59="","",'Design &amp; Insights'!J59)</x:f>
      </x:c>
      <x:c r="L1431" s="2" t="str">
        <x:f>IF('Design &amp; Insights'!K59="","",'Design &amp; Insights'!K59)</x:f>
      </x:c>
      <x:c r="M1431" s="2" t="n">
        <x:f>'Design &amp; Insights'!Q59</x:f>
        <x:v>1</x:v>
      </x:c>
      <x:c r="N1431" s="2" t="str">
        <x:f>'Design &amp; Insights'!L59</x:f>
        <x:v>Not started</x:v>
      </x:c>
      <x:c r="O1431" s="2" t="str">
        <x:f>'Design &amp; Insights'!N59</x:f>
        <x:v>DI.BO.2.4.2026.CY1</x:v>
      </x:c>
      <x:c r="P1431" s="2" t="n">
        <x:f>'Design &amp; Insights'!O59</x:f>
        <x:v>0</x:v>
      </x:c>
      <x:c r="Q1431" s="2" t="n">
        <x:f>SUBTOTAL(103,O1431)</x:f>
        <x:v>1</x:v>
      </x:c>
      <x:c r="R1431" s="2" t="n">
        <x:f>IF(AND(M1431=1,OR(Dashboard!$B$7="All",Dashboard!$B$7='Cycles &amp; Guide'!$C$5),OR(Dashboard!$D$7="All",Dashboard!$D$7=B1431),OR(Dashboard!$F$7="All",Dashboard!$F$7=C1431),OR(Dashboard!$H$7="All",Dashboard!$H$7=D1431),OR(Dashboard!$K$7="All",Dashboard!$K$7=E1431)),1,0)</x:f>
        <x:v>1</x:v>
      </x:c>
      <x:c r="S1431" s="2" t="n">
        <x:f>IF(R1431=1,SUM($R$10:R1431),0)</x:f>
        <x:v>1058</x:v>
      </x:c>
      <x:c r="T1431" s="2" t="str">
        <x:v>Design &amp; Insights</x:v>
      </x:c>
      <x:c r="U1431" s="2" t="n">
        <x:v>59</x:v>
      </x:c>
      <x:c r="V1431" s="2" t="n">
        <x:f>IF(AND(M1431=1,P1431=0,ISNUMBER(J1431),J1431&lt;TODAY()),1,0)</x:f>
        <x:v>1</x:v>
      </x:c>
      <x:c r="W1431" s="2" t="str">
        <x:f>'Design &amp; Insights'!M59</x:f>
        <x:v>Task</x:v>
      </x:c>
    </x:row>
    <x:row r="1432" ht="40" customHeight="1">
      <x:c r="A1432" s="3" t="str">
        <x:f>HYPERLINK("#'Design &amp; Insights'!A60","Open")</x:f>
        <x:v>Open</x:v>
      </x:c>
      <x:c r="B1432" s="2" t="str">
        <x:f>'Design &amp; Insights'!B60</x:f>
        <x:v>Cycle 1</x:v>
      </x:c>
      <x:c r="C1432" s="2" t="str">
        <x:f>'Design &amp; Insights'!C60</x:f>
        <x:v>Phase 2</x:v>
      </x:c>
      <x:c r="D1432" s="2" t="str">
        <x:f>'Design &amp; Insights'!D60</x:f>
        <x:v>CSBBO - Banking Ops</x:v>
      </x:c>
      <x:c r="E1432" s="2" t="str">
        <x:v>Design &amp; Insights</x:v>
      </x:c>
      <x:c r="F1432" s="56" t="str">
        <x:f>'Design &amp; Insights'!E60</x:f>
        <x:v>DI.BO.2.5</x:v>
      </x:c>
      <x:c r="G1432" s="14" t="str">
        <x:f>'Design &amp; Insights'!F60</x:f>
        <x:v>Draft initial enhancement recommendations (as applicable)</x:v>
      </x:c>
      <x:c r="H1432" s="2" t="str">
        <x:f>IF('Design &amp; Insights'!G60="","",'Design &amp; Insights'!G60)</x:f>
      </x:c>
      <x:c r="I1432" s="12" t="str">
        <x:f>IF('Design &amp; Insights'!H60="","",'Design &amp; Insights'!H60)</x:f>
      </x:c>
      <x:c r="J1432" s="12" t="n">
        <x:f>IF('Design &amp; Insights'!I60="","",'Design &amp; Insights'!I60)</x:f>
        <x:v>46112</x:v>
      </x:c>
      <x:c r="K1432" s="12" t="str">
        <x:f>IF('Design &amp; Insights'!J60="","",'Design &amp; Insights'!J60)</x:f>
      </x:c>
      <x:c r="L1432" s="2" t="str">
        <x:f>IF('Design &amp; Insights'!K60="","",'Design &amp; Insights'!K60)</x:f>
      </x:c>
      <x:c r="M1432" s="2" t="n">
        <x:f>'Design &amp; Insights'!Q60</x:f>
        <x:v>1</x:v>
      </x:c>
      <x:c r="N1432" s="2" t="str">
        <x:f>'Design &amp; Insights'!L60</x:f>
        <x:v>Not started</x:v>
      </x:c>
      <x:c r="O1432" s="2" t="str">
        <x:f>'Design &amp; Insights'!N60</x:f>
        <x:v>DI.BO.2.5.2026.CY1</x:v>
      </x:c>
      <x:c r="P1432" s="2" t="n">
        <x:f>'Design &amp; Insights'!O60</x:f>
        <x:v>0</x:v>
      </x:c>
      <x:c r="Q1432" s="2" t="n">
        <x:f>SUBTOTAL(103,O1432)</x:f>
        <x:v>1</x:v>
      </x:c>
      <x:c r="R1432" s="2" t="n">
        <x:f>IF(AND(M1432=1,OR(Dashboard!$B$7="All",Dashboard!$B$7='Cycles &amp; Guide'!$C$5),OR(Dashboard!$D$7="All",Dashboard!$D$7=B1432),OR(Dashboard!$F$7="All",Dashboard!$F$7=C1432),OR(Dashboard!$H$7="All",Dashboard!$H$7=D1432),OR(Dashboard!$K$7="All",Dashboard!$K$7=E1432)),1,0)</x:f>
        <x:v>1</x:v>
      </x:c>
      <x:c r="S1432" s="2" t="n">
        <x:f>IF(R1432=1,SUM($R$10:R1432),0)</x:f>
        <x:v>1059</x:v>
      </x:c>
      <x:c r="T1432" s="2" t="str">
        <x:v>Design &amp; Insights</x:v>
      </x:c>
      <x:c r="U1432" s="2" t="n">
        <x:v>60</x:v>
      </x:c>
      <x:c r="V1432" s="2" t="n">
        <x:f>IF(AND(M1432=1,P1432=0,ISNUMBER(J1432),J1432&lt;TODAY()),1,0)</x:f>
        <x:v>1</x:v>
      </x:c>
      <x:c r="W1432" s="2" t="str">
        <x:f>'Design &amp; Insights'!M60</x:f>
        <x:v>Task</x:v>
      </x:c>
    </x:row>
    <x:row r="1433" ht="40" customHeight="1">
      <x:c r="A1433" s="3" t="str">
        <x:f>HYPERLINK("#'Design &amp; Insights'!A61","Open")</x:f>
        <x:v>Open</x:v>
      </x:c>
      <x:c r="B1433" s="2" t="str">
        <x:f>'Design &amp; Insights'!B61</x:f>
        <x:v>Cycle 1</x:v>
      </x:c>
      <x:c r="C1433" s="2" t="str">
        <x:f>'Design &amp; Insights'!C61</x:f>
        <x:v>Phase 2</x:v>
      </x:c>
      <x:c r="D1433" s="2" t="str">
        <x:f>'Design &amp; Insights'!D61</x:f>
        <x:v>CSBBO - Banking Ops</x:v>
      </x:c>
      <x:c r="E1433" s="2" t="str">
        <x:v>Design &amp; Insights</x:v>
      </x:c>
      <x:c r="F1433" s="56" t="str">
        <x:f>'Design &amp; Insights'!E61</x:f>
        <x:v>DI.BO.2.6</x:v>
      </x:c>
      <x:c r="G1433" s="14" t="str">
        <x:f>'Design &amp; Insights'!F61</x:f>
        <x:v>Finalize presentation deck draft at conclusion of Research phase</x:v>
      </x:c>
      <x:c r="H1433" s="2" t="str">
        <x:f>IF('Design &amp; Insights'!G61="","",'Design &amp; Insights'!G61)</x:f>
      </x:c>
      <x:c r="I1433" s="12" t="str">
        <x:f>IF('Design &amp; Insights'!H61="","",'Design &amp; Insights'!H61)</x:f>
      </x:c>
      <x:c r="J1433" s="12" t="n">
        <x:f>IF('Design &amp; Insights'!I61="","",'Design &amp; Insights'!I61)</x:f>
        <x:v>46112</x:v>
      </x:c>
      <x:c r="K1433" s="12" t="str">
        <x:f>IF('Design &amp; Insights'!J61="","",'Design &amp; Insights'!J61)</x:f>
      </x:c>
      <x:c r="L1433" s="2" t="str">
        <x:f>IF('Design &amp; Insights'!K61="","",'Design &amp; Insights'!K61)</x:f>
      </x:c>
      <x:c r="M1433" s="2" t="n">
        <x:f>'Design &amp; Insights'!Q61</x:f>
        <x:v>1</x:v>
      </x:c>
      <x:c r="N1433" s="2" t="str">
        <x:f>'Design &amp; Insights'!L61</x:f>
        <x:v>Not started</x:v>
      </x:c>
      <x:c r="O1433" s="2" t="str">
        <x:f>'Design &amp; Insights'!N61</x:f>
        <x:v>DI.BO.2.6.2026.CY1</x:v>
      </x:c>
      <x:c r="P1433" s="2" t="n">
        <x:f>'Design &amp; Insights'!O61</x:f>
        <x:v>0</x:v>
      </x:c>
      <x:c r="Q1433" s="2" t="n">
        <x:f>SUBTOTAL(103,O1433)</x:f>
        <x:v>1</x:v>
      </x:c>
      <x:c r="R1433" s="2" t="n">
        <x:f>IF(AND(M1433=1,OR(Dashboard!$B$7="All",Dashboard!$B$7='Cycles &amp; Guide'!$C$5),OR(Dashboard!$D$7="All",Dashboard!$D$7=B1433),OR(Dashboard!$F$7="All",Dashboard!$F$7=C1433),OR(Dashboard!$H$7="All",Dashboard!$H$7=D1433),OR(Dashboard!$K$7="All",Dashboard!$K$7=E1433)),1,0)</x:f>
        <x:v>1</x:v>
      </x:c>
      <x:c r="S1433" s="2" t="n">
        <x:f>IF(R1433=1,SUM($R$10:R1433),0)</x:f>
        <x:v>1060</x:v>
      </x:c>
      <x:c r="T1433" s="2" t="str">
        <x:v>Design &amp; Insights</x:v>
      </x:c>
      <x:c r="U1433" s="2" t="n">
        <x:v>61</x:v>
      </x:c>
      <x:c r="V1433" s="2" t="n">
        <x:f>IF(AND(M1433=1,P1433=0,ISNUMBER(J1433),J1433&lt;TODAY()),1,0)</x:f>
        <x:v>1</x:v>
      </x:c>
      <x:c r="W1433" s="2" t="str">
        <x:f>'Design &amp; Insights'!M61</x:f>
        <x:v>Task</x:v>
      </x:c>
    </x:row>
    <x:row r="1434" ht="40" customHeight="1">
      <x:c r="A1434" s="3" t="str">
        <x:f>HYPERLINK("#'Design &amp; Insights'!A62","Open")</x:f>
        <x:v>Open</x:v>
      </x:c>
      <x:c r="B1434" s="2" t="str">
        <x:f>'Design &amp; Insights'!B62</x:f>
        <x:v>Cycle 1</x:v>
      </x:c>
      <x:c r="C1434" s="2" t="str">
        <x:f>'Design &amp; Insights'!C62</x:f>
        <x:v>Phase 2</x:v>
      </x:c>
      <x:c r="D1434" s="2" t="str">
        <x:f>'Design &amp; Insights'!D62</x:f>
        <x:v>CSBBO - Banking Ops</x:v>
      </x:c>
      <x:c r="E1434" s="2" t="str">
        <x:v>Design &amp; Insights</x:v>
      </x:c>
      <x:c r="F1434" s="56" t="str">
        <x:f>'Design &amp; Insights'!E62</x:f>
        <x:v>DI.BO.2.7</x:v>
      </x:c>
      <x:c r="G1434" s="14" t="str">
        <x:f>'Design &amp; Insights'!F62</x:f>
        <x:v>Update Outcome portion of research plan with current enhancement verbiage (as needed)</x:v>
      </x:c>
      <x:c r="H1434" s="2" t="str">
        <x:f>IF('Design &amp; Insights'!G62="","",'Design &amp; Insights'!G62)</x:f>
      </x:c>
      <x:c r="I1434" s="12" t="str">
        <x:f>IF('Design &amp; Insights'!H62="","",'Design &amp; Insights'!H62)</x:f>
      </x:c>
      <x:c r="J1434" s="12" t="n">
        <x:f>IF('Design &amp; Insights'!I62="","",'Design &amp; Insights'!I62)</x:f>
        <x:v>46112</x:v>
      </x:c>
      <x:c r="K1434" s="12" t="str">
        <x:f>IF('Design &amp; Insights'!J62="","",'Design &amp; Insights'!J62)</x:f>
      </x:c>
      <x:c r="L1434" s="2" t="str">
        <x:f>IF('Design &amp; Insights'!K62="","",'Design &amp; Insights'!K62)</x:f>
      </x:c>
      <x:c r="M1434" s="2" t="n">
        <x:f>'Design &amp; Insights'!Q62</x:f>
        <x:v>1</x:v>
      </x:c>
      <x:c r="N1434" s="2" t="str">
        <x:f>'Design &amp; Insights'!L62</x:f>
        <x:v>Not started</x:v>
      </x:c>
      <x:c r="O1434" s="2" t="str">
        <x:f>'Design &amp; Insights'!N62</x:f>
        <x:v>DI.BO.2.7.2026.CY1</x:v>
      </x:c>
      <x:c r="P1434" s="2" t="n">
        <x:f>'Design &amp; Insights'!O62</x:f>
        <x:v>0</x:v>
      </x:c>
      <x:c r="Q1434" s="2" t="n">
        <x:f>SUBTOTAL(103,O1434)</x:f>
        <x:v>1</x:v>
      </x:c>
      <x:c r="R1434" s="2" t="n">
        <x:f>IF(AND(M1434=1,OR(Dashboard!$B$7="All",Dashboard!$B$7='Cycles &amp; Guide'!$C$5),OR(Dashboard!$D$7="All",Dashboard!$D$7=B1434),OR(Dashboard!$F$7="All",Dashboard!$F$7=C1434),OR(Dashboard!$H$7="All",Dashboard!$H$7=D1434),OR(Dashboard!$K$7="All",Dashboard!$K$7=E1434)),1,0)</x:f>
        <x:v>1</x:v>
      </x:c>
      <x:c r="S1434" s="2" t="n">
        <x:f>IF(R1434=1,SUM($R$10:R1434),0)</x:f>
        <x:v>1061</x:v>
      </x:c>
      <x:c r="T1434" s="2" t="str">
        <x:v>Design &amp; Insights</x:v>
      </x:c>
      <x:c r="U1434" s="2" t="n">
        <x:v>62</x:v>
      </x:c>
      <x:c r="V1434" s="2" t="n">
        <x:f>IF(AND(M1434=1,P1434=0,ISNUMBER(J1434),J1434&lt;TODAY()),1,0)</x:f>
        <x:v>1</x:v>
      </x:c>
      <x:c r="W1434" s="2" t="str">
        <x:f>'Design &amp; Insights'!M62</x:f>
        <x:v>Task</x:v>
      </x:c>
    </x:row>
    <x:row r="1435" ht="40" customHeight="1">
      <x:c r="A1435" s="3" t="str">
        <x:f>HYPERLINK("#'Design &amp; Insights'!A63","Open")</x:f>
        <x:v>Open</x:v>
      </x:c>
      <x:c r="B1435" s="2" t="str">
        <x:f>'Design &amp; Insights'!B63</x:f>
        <x:v>Cycle 1</x:v>
      </x:c>
      <x:c r="C1435" s="2" t="str">
        <x:f>'Design &amp; Insights'!C63</x:f>
        <x:v>Phase 3</x:v>
      </x:c>
      <x:c r="D1435" s="2" t="str">
        <x:f>'Design &amp; Insights'!D63</x:f>
        <x:v>CSBBO - Banking Ops</x:v>
      </x:c>
      <x:c r="E1435" s="2" t="str">
        <x:v>Design &amp; Insights</x:v>
      </x:c>
      <x:c r="F1435" s="56" t="str">
        <x:f>'Design &amp; Insights'!E63</x:f>
        <x:v>DI.BO.3.1</x:v>
      </x:c>
      <x:c r="G1435" s="14" t="str">
        <x:f>'Design &amp; Insights'!F63</x:f>
        <x:v>Confirm list of required &amp; optional attendees for pre-socialization meeting</x:v>
      </x:c>
      <x:c r="H1435" s="2" t="str">
        <x:f>IF('Design &amp; Insights'!G63="","",'Design &amp; Insights'!G63)</x:f>
      </x:c>
      <x:c r="I1435" s="12" t="str">
        <x:f>IF('Design &amp; Insights'!H63="","",'Design &amp; Insights'!H63)</x:f>
      </x:c>
      <x:c r="J1435" s="12" t="n">
        <x:f>IF('Design &amp; Insights'!I63="","",'Design &amp; Insights'!I63)</x:f>
        <x:v>46112</x:v>
      </x:c>
      <x:c r="K1435" s="12" t="str">
        <x:f>IF('Design &amp; Insights'!J63="","",'Design &amp; Insights'!J63)</x:f>
      </x:c>
      <x:c r="L1435" s="2" t="str">
        <x:f>IF('Design &amp; Insights'!K63="","",'Design &amp; Insights'!K63)</x:f>
      </x:c>
      <x:c r="M1435" s="2" t="n">
        <x:f>'Design &amp; Insights'!Q63</x:f>
        <x:v>1</x:v>
      </x:c>
      <x:c r="N1435" s="2" t="str">
        <x:f>'Design &amp; Insights'!L63</x:f>
        <x:v>Not started</x:v>
      </x:c>
      <x:c r="O1435" s="2" t="str">
        <x:f>'Design &amp; Insights'!N63</x:f>
        <x:v>DI.BO.3.1.2026.CY1</x:v>
      </x:c>
      <x:c r="P1435" s="2" t="n">
        <x:f>'Design &amp; Insights'!O63</x:f>
        <x:v>0</x:v>
      </x:c>
      <x:c r="Q1435" s="2" t="n">
        <x:f>SUBTOTAL(103,O1435)</x:f>
        <x:v>1</x:v>
      </x:c>
      <x:c r="R1435" s="2" t="n">
        <x:f>IF(AND(M1435=1,OR(Dashboard!$B$7="All",Dashboard!$B$7='Cycles &amp; Guide'!$C$5),OR(Dashboard!$D$7="All",Dashboard!$D$7=B1435),OR(Dashboard!$F$7="All",Dashboard!$F$7=C1435),OR(Dashboard!$H$7="All",Dashboard!$H$7=D1435),OR(Dashboard!$K$7="All",Dashboard!$K$7=E1435)),1,0)</x:f>
        <x:v>1</x:v>
      </x:c>
      <x:c r="S1435" s="2" t="n">
        <x:f>IF(R1435=1,SUM($R$10:R1435),0)</x:f>
        <x:v>1062</x:v>
      </x:c>
      <x:c r="T1435" s="2" t="str">
        <x:v>Design &amp; Insights</x:v>
      </x:c>
      <x:c r="U1435" s="2" t="n">
        <x:v>63</x:v>
      </x:c>
      <x:c r="V1435" s="2" t="n">
        <x:f>IF(AND(M1435=1,P1435=0,ISNUMBER(J1435),J1435&lt;TODAY()),1,0)</x:f>
        <x:v>1</x:v>
      </x:c>
      <x:c r="W1435" s="2" t="str">
        <x:f>'Design &amp; Insights'!M63</x:f>
        <x:v>Task</x:v>
      </x:c>
    </x:row>
    <x:row r="1436" ht="40" customHeight="1">
      <x:c r="A1436" s="3" t="str">
        <x:f>HYPERLINK("#'Design &amp; Insights'!A64","Open")</x:f>
        <x:v>Open</x:v>
      </x:c>
      <x:c r="B1436" s="2" t="str">
        <x:f>'Design &amp; Insights'!B64</x:f>
        <x:v>Cycle 1</x:v>
      </x:c>
      <x:c r="C1436" s="2" t="str">
        <x:f>'Design &amp; Insights'!C64</x:f>
        <x:v>Phase 3</x:v>
      </x:c>
      <x:c r="D1436" s="2" t="str">
        <x:f>'Design &amp; Insights'!D64</x:f>
        <x:v>CSBBO - Banking Ops</x:v>
      </x:c>
      <x:c r="E1436" s="2" t="str">
        <x:v>Design &amp; Insights</x:v>
      </x:c>
      <x:c r="F1436" s="56" t="str">
        <x:f>'Design &amp; Insights'!E64</x:f>
        <x:v>DI.BO.3.2</x:v>
      </x:c>
      <x:c r="G1436" s="14" t="str">
        <x:f>'Design &amp; Insights'!F64</x:f>
        <x:v>Schedule pre-socialization meeting 1 week prior to RCA Forum</x:v>
      </x:c>
      <x:c r="H1436" s="2" t="str">
        <x:f>IF('Design &amp; Insights'!G64="","",'Design &amp; Insights'!G64)</x:f>
      </x:c>
      <x:c r="I1436" s="12" t="str">
        <x:f>IF('Design &amp; Insights'!H64="","",'Design &amp; Insights'!H64)</x:f>
      </x:c>
      <x:c r="J1436" s="12" t="str">
        <x:f>IF('Design &amp; Insights'!I64="","",'Design &amp; Insights'!I64)</x:f>
      </x:c>
      <x:c r="K1436" s="12" t="str">
        <x:f>IF('Design &amp; Insights'!J64="","",'Design &amp; Insights'!J64)</x:f>
      </x:c>
      <x:c r="L1436" s="2" t="str">
        <x:f>IF('Design &amp; Insights'!K64="","",'Design &amp; Insights'!K64)</x:f>
      </x:c>
      <x:c r="M1436" s="2" t="n">
        <x:f>'Design &amp; Insights'!Q64</x:f>
        <x:v>1</x:v>
      </x:c>
      <x:c r="N1436" s="2" t="str">
        <x:f>'Design &amp; Insights'!L64</x:f>
        <x:v>Not started</x:v>
      </x:c>
      <x:c r="O1436" s="2" t="str">
        <x:f>'Design &amp; Insights'!N64</x:f>
        <x:v>DI.BO.3.2.2026.CY1</x:v>
      </x:c>
      <x:c r="P1436" s="2" t="n">
        <x:f>'Design &amp; Insights'!O64</x:f>
        <x:v>0</x:v>
      </x:c>
      <x:c r="Q1436" s="2" t="n">
        <x:f>SUBTOTAL(103,O1436)</x:f>
        <x:v>1</x:v>
      </x:c>
      <x:c r="R1436" s="2" t="n">
        <x:f>IF(AND(M1436=1,OR(Dashboard!$B$7="All",Dashboard!$B$7='Cycles &amp; Guide'!$C$5),OR(Dashboard!$D$7="All",Dashboard!$D$7=B1436),OR(Dashboard!$F$7="All",Dashboard!$F$7=C1436),OR(Dashboard!$H$7="All",Dashboard!$H$7=D1436),OR(Dashboard!$K$7="All",Dashboard!$K$7=E1436)),1,0)</x:f>
        <x:v>1</x:v>
      </x:c>
      <x:c r="S1436" s="2" t="n">
        <x:f>IF(R1436=1,SUM($R$10:R1436),0)</x:f>
        <x:v>1063</x:v>
      </x:c>
      <x:c r="T1436" s="2" t="str">
        <x:v>Design &amp; Insights</x:v>
      </x:c>
      <x:c r="U1436" s="2" t="n">
        <x:v>64</x:v>
      </x:c>
      <x:c r="V1436" s="2" t="n">
        <x:f>IF(AND(M1436=1,P1436=0,ISNUMBER(J1436),J1436&lt;TODAY()),1,0)</x:f>
        <x:v>0</x:v>
      </x:c>
      <x:c r="W1436" s="2" t="str">
        <x:f>'Design &amp; Insights'!M64</x:f>
        <x:v>Task</x:v>
      </x:c>
    </x:row>
    <x:row r="1437" ht="40" customHeight="1">
      <x:c r="A1437" s="3" t="str">
        <x:f>HYPERLINK("#'Design &amp; Insights'!A65","Open")</x:f>
        <x:v>Open</x:v>
      </x:c>
      <x:c r="B1437" s="2" t="str">
        <x:f>'Design &amp; Insights'!B65</x:f>
        <x:v>Cycle 1</x:v>
      </x:c>
      <x:c r="C1437" s="2" t="str">
        <x:f>'Design &amp; Insights'!C65</x:f>
        <x:v>Phase 3</x:v>
      </x:c>
      <x:c r="D1437" s="2" t="str">
        <x:f>'Design &amp; Insights'!D65</x:f>
        <x:v>CSBBO - Banking Ops</x:v>
      </x:c>
      <x:c r="E1437" s="2" t="str">
        <x:v>Design &amp; Insights</x:v>
      </x:c>
      <x:c r="F1437" s="56" t="str">
        <x:f>'Design &amp; Insights'!E65</x:f>
        <x:v>DI.BO.3.3</x:v>
      </x:c>
      <x:c r="G1437" s="14" t="str">
        <x:f>'Design &amp; Insights'!F65</x:f>
        <x:v>Present findings, conclusions, and recommendation to SMEs</x:v>
      </x:c>
      <x:c r="H1437" s="2" t="str">
        <x:f>IF('Design &amp; Insights'!G65="","",'Design &amp; Insights'!G65)</x:f>
      </x:c>
      <x:c r="I1437" s="12" t="str">
        <x:f>IF('Design &amp; Insights'!H65="","",'Design &amp; Insights'!H65)</x:f>
      </x:c>
      <x:c r="J1437" s="12" t="n">
        <x:f>IF('Design &amp; Insights'!I65="","",'Design &amp; Insights'!I65)</x:f>
        <x:v>46112</x:v>
      </x:c>
      <x:c r="K1437" s="12" t="str">
        <x:f>IF('Design &amp; Insights'!J65="","",'Design &amp; Insights'!J65)</x:f>
      </x:c>
      <x:c r="L1437" s="2" t="str">
        <x:f>IF('Design &amp; Insights'!K65="","",'Design &amp; Insights'!K65)</x:f>
      </x:c>
      <x:c r="M1437" s="2" t="n">
        <x:f>'Design &amp; Insights'!Q65</x:f>
        <x:v>1</x:v>
      </x:c>
      <x:c r="N1437" s="2" t="str">
        <x:f>'Design &amp; Insights'!L65</x:f>
        <x:v>Not started</x:v>
      </x:c>
      <x:c r="O1437" s="2" t="str">
        <x:f>'Design &amp; Insights'!N65</x:f>
        <x:v>DI.BO.3.3.2026.CY1</x:v>
      </x:c>
      <x:c r="P1437" s="2" t="n">
        <x:f>'Design &amp; Insights'!O65</x:f>
        <x:v>0</x:v>
      </x:c>
      <x:c r="Q1437" s="2" t="n">
        <x:f>SUBTOTAL(103,O1437)</x:f>
        <x:v>1</x:v>
      </x:c>
      <x:c r="R1437" s="2" t="n">
        <x:f>IF(AND(M1437=1,OR(Dashboard!$B$7="All",Dashboard!$B$7='Cycles &amp; Guide'!$C$5),OR(Dashboard!$D$7="All",Dashboard!$D$7=B1437),OR(Dashboard!$F$7="All",Dashboard!$F$7=C1437),OR(Dashboard!$H$7="All",Dashboard!$H$7=D1437),OR(Dashboard!$K$7="All",Dashboard!$K$7=E1437)),1,0)</x:f>
        <x:v>1</x:v>
      </x:c>
      <x:c r="S1437" s="2" t="n">
        <x:f>IF(R1437=1,SUM($R$10:R1437),0)</x:f>
        <x:v>1064</x:v>
      </x:c>
      <x:c r="T1437" s="2" t="str">
        <x:v>Design &amp; Insights</x:v>
      </x:c>
      <x:c r="U1437" s="2" t="n">
        <x:v>65</x:v>
      </x:c>
      <x:c r="V1437" s="2" t="n">
        <x:f>IF(AND(M1437=1,P1437=0,ISNUMBER(J1437),J1437&lt;TODAY()),1,0)</x:f>
        <x:v>1</x:v>
      </x:c>
      <x:c r="W1437" s="2" t="str">
        <x:f>'Design &amp; Insights'!M65</x:f>
        <x:v>Task</x:v>
      </x:c>
    </x:row>
    <x:row r="1438" ht="40" customHeight="1">
      <x:c r="A1438" s="3" t="str">
        <x:f>HYPERLINK("#'Design &amp; Insights'!A66","Open")</x:f>
        <x:v>Open</x:v>
      </x:c>
      <x:c r="B1438" s="2" t="str">
        <x:f>'Design &amp; Insights'!B66</x:f>
        <x:v>Cycle 1</x:v>
      </x:c>
      <x:c r="C1438" s="2" t="str">
        <x:f>'Design &amp; Insights'!C66</x:f>
        <x:v>Phase 3</x:v>
      </x:c>
      <x:c r="D1438" s="2" t="str">
        <x:f>'Design &amp; Insights'!D66</x:f>
        <x:v>CSBBO - Banking Ops</x:v>
      </x:c>
      <x:c r="E1438" s="2" t="str">
        <x:v>Design &amp; Insights</x:v>
      </x:c>
      <x:c r="F1438" s="56" t="str">
        <x:f>'Design &amp; Insights'!E66</x:f>
        <x:v>DI.BO.3.4</x:v>
      </x:c>
      <x:c r="G1438" s="14" t="str">
        <x:f>'Design &amp; Insights'!F66</x:f>
        <x:v>Update Outcome portion of research plan (as needed)</x:v>
      </x:c>
      <x:c r="H1438" s="2" t="str">
        <x:f>IF('Design &amp; Insights'!G66="","",'Design &amp; Insights'!G66)</x:f>
      </x:c>
      <x:c r="I1438" s="12" t="str">
        <x:f>IF('Design &amp; Insights'!H66="","",'Design &amp; Insights'!H66)</x:f>
      </x:c>
      <x:c r="J1438" s="12" t="n">
        <x:f>IF('Design &amp; Insights'!I66="","",'Design &amp; Insights'!I66)</x:f>
        <x:v>46112</x:v>
      </x:c>
      <x:c r="K1438" s="12" t="str">
        <x:f>IF('Design &amp; Insights'!J66="","",'Design &amp; Insights'!J66)</x:f>
      </x:c>
      <x:c r="L1438" s="2" t="str">
        <x:f>IF('Design &amp; Insights'!K66="","",'Design &amp; Insights'!K66)</x:f>
      </x:c>
      <x:c r="M1438" s="2" t="n">
        <x:f>'Design &amp; Insights'!Q66</x:f>
        <x:v>1</x:v>
      </x:c>
      <x:c r="N1438" s="2" t="str">
        <x:f>'Design &amp; Insights'!L66</x:f>
        <x:v>Not started</x:v>
      </x:c>
      <x:c r="O1438" s="2" t="str">
        <x:f>'Design &amp; Insights'!N66</x:f>
        <x:v>DI.BO.3.4.2026.CY1</x:v>
      </x:c>
      <x:c r="P1438" s="2" t="n">
        <x:f>'Design &amp; Insights'!O66</x:f>
        <x:v>0</x:v>
      </x:c>
      <x:c r="Q1438" s="2" t="n">
        <x:f>SUBTOTAL(103,O1438)</x:f>
        <x:v>1</x:v>
      </x:c>
      <x:c r="R1438" s="2" t="n">
        <x:f>IF(AND(M1438=1,OR(Dashboard!$B$7="All",Dashboard!$B$7='Cycles &amp; Guide'!$C$5),OR(Dashboard!$D$7="All",Dashboard!$D$7=B1438),OR(Dashboard!$F$7="All",Dashboard!$F$7=C1438),OR(Dashboard!$H$7="All",Dashboard!$H$7=D1438),OR(Dashboard!$K$7="All",Dashboard!$K$7=E1438)),1,0)</x:f>
        <x:v>1</x:v>
      </x:c>
      <x:c r="S1438" s="2" t="n">
        <x:f>IF(R1438=1,SUM($R$10:R1438),0)</x:f>
        <x:v>1065</x:v>
      </x:c>
      <x:c r="T1438" s="2" t="str">
        <x:v>Design &amp; Insights</x:v>
      </x:c>
      <x:c r="U1438" s="2" t="n">
        <x:v>66</x:v>
      </x:c>
      <x:c r="V1438" s="2" t="n">
        <x:f>IF(AND(M1438=1,P1438=0,ISNUMBER(J1438),J1438&lt;TODAY()),1,0)</x:f>
        <x:v>1</x:v>
      </x:c>
      <x:c r="W1438" s="2" t="str">
        <x:f>'Design &amp; Insights'!M66</x:f>
        <x:v>Task</x:v>
      </x:c>
    </x:row>
    <x:row r="1439" ht="40" customHeight="1">
      <x:c r="A1439" s="3" t="str">
        <x:f>HYPERLINK("#'Design &amp; Insights'!A67","Open")</x:f>
        <x:v>Open</x:v>
      </x:c>
      <x:c r="B1439" s="2" t="str">
        <x:f>'Design &amp; Insights'!B67</x:f>
        <x:v>Cycle 1</x:v>
      </x:c>
      <x:c r="C1439" s="2" t="str">
        <x:f>'Design &amp; Insights'!C67</x:f>
        <x:v>Phase 3</x:v>
      </x:c>
      <x:c r="D1439" s="2" t="str">
        <x:f>'Design &amp; Insights'!D67</x:f>
        <x:v>CSBBO - Banking Ops</x:v>
      </x:c>
      <x:c r="E1439" s="2" t="str">
        <x:v>Design &amp; Insights</x:v>
      </x:c>
      <x:c r="F1439" s="56" t="str">
        <x:f>'Design &amp; Insights'!E67</x:f>
        <x:v>DI.BO.3.5</x:v>
      </x:c>
      <x:c r="G1439" s="14" t="str">
        <x:f>'Design &amp; Insights'!F67</x:f>
        <x:v>Finalize presentation deck by incorporating pre-socialization feedback (as needed)</x:v>
      </x:c>
      <x:c r="H1439" s="2" t="str">
        <x:f>IF('Design &amp; Insights'!G67="","",'Design &amp; Insights'!G67)</x:f>
      </x:c>
      <x:c r="I1439" s="12" t="str">
        <x:f>IF('Design &amp; Insights'!H67="","",'Design &amp; Insights'!H67)</x:f>
      </x:c>
      <x:c r="J1439" s="12" t="n">
        <x:f>IF('Design &amp; Insights'!I67="","",'Design &amp; Insights'!I67)</x:f>
        <x:v>46112</x:v>
      </x:c>
      <x:c r="K1439" s="12" t="str">
        <x:f>IF('Design &amp; Insights'!J67="","",'Design &amp; Insights'!J67)</x:f>
      </x:c>
      <x:c r="L1439" s="2" t="str">
        <x:f>IF('Design &amp; Insights'!K67="","",'Design &amp; Insights'!K67)</x:f>
      </x:c>
      <x:c r="M1439" s="2" t="n">
        <x:f>'Design &amp; Insights'!Q67</x:f>
        <x:v>1</x:v>
      </x:c>
      <x:c r="N1439" s="2" t="str">
        <x:f>'Design &amp; Insights'!L67</x:f>
        <x:v>Not started</x:v>
      </x:c>
      <x:c r="O1439" s="2" t="str">
        <x:f>'Design &amp; Insights'!N67</x:f>
        <x:v>DI.BO.3.5.2026.CY1</x:v>
      </x:c>
      <x:c r="P1439" s="2" t="n">
        <x:f>'Design &amp; Insights'!O67</x:f>
        <x:v>0</x:v>
      </x:c>
      <x:c r="Q1439" s="2" t="n">
        <x:f>SUBTOTAL(103,O1439)</x:f>
        <x:v>1</x:v>
      </x:c>
      <x:c r="R1439" s="2" t="n">
        <x:f>IF(AND(M1439=1,OR(Dashboard!$B$7="All",Dashboard!$B$7='Cycles &amp; Guide'!$C$5),OR(Dashboard!$D$7="All",Dashboard!$D$7=B1439),OR(Dashboard!$F$7="All",Dashboard!$F$7=C1439),OR(Dashboard!$H$7="All",Dashboard!$H$7=D1439),OR(Dashboard!$K$7="All",Dashboard!$K$7=E1439)),1,0)</x:f>
        <x:v>1</x:v>
      </x:c>
      <x:c r="S1439" s="2" t="n">
        <x:f>IF(R1439=1,SUM($R$10:R1439),0)</x:f>
        <x:v>1066</x:v>
      </x:c>
      <x:c r="T1439" s="2" t="str">
        <x:v>Design &amp; Insights</x:v>
      </x:c>
      <x:c r="U1439" s="2" t="n">
        <x:v>67</x:v>
      </x:c>
      <x:c r="V1439" s="2" t="n">
        <x:f>IF(AND(M1439=1,P1439=0,ISNUMBER(J1439),J1439&lt;TODAY()),1,0)</x:f>
        <x:v>1</x:v>
      </x:c>
      <x:c r="W1439" s="2" t="str">
        <x:f>'Design &amp; Insights'!M67</x:f>
        <x:v>Task</x:v>
      </x:c>
    </x:row>
    <x:row r="1440" ht="40" customHeight="1">
      <x:c r="A1440" s="3" t="str">
        <x:f>HYPERLINK("#'Design &amp; Insights'!A68","Open")</x:f>
        <x:v>Open</x:v>
      </x:c>
      <x:c r="B1440" s="2" t="str">
        <x:f>'Design &amp; Insights'!B68</x:f>
        <x:v>Cycle 1</x:v>
      </x:c>
      <x:c r="C1440" s="2" t="str">
        <x:f>'Design &amp; Insights'!C68</x:f>
        <x:v>Phase 3</x:v>
      </x:c>
      <x:c r="D1440" s="2" t="str">
        <x:f>'Design &amp; Insights'!D68</x:f>
        <x:v>CSBBO - Banking Ops</x:v>
      </x:c>
      <x:c r="E1440" s="2" t="str">
        <x:v>Design &amp; Insights</x:v>
      </x:c>
      <x:c r="F1440" s="56" t="str">
        <x:f>'Design &amp; Insights'!E68</x:f>
        <x:v>DI.BO.3.6</x:v>
      </x:c>
      <x:c r="G1440" s="14" t="str">
        <x:f>'Design &amp; Insights'!F68</x:f>
        <x:v>Ensure final deck is communicated to Forum attendees</x:v>
      </x:c>
      <x:c r="H1440" s="2" t="str">
        <x:f>IF('Design &amp; Insights'!G68="","",'Design &amp; Insights'!G68)</x:f>
      </x:c>
      <x:c r="I1440" s="12" t="str">
        <x:f>IF('Design &amp; Insights'!H68="","",'Design &amp; Insights'!H68)</x:f>
      </x:c>
      <x:c r="J1440" s="12" t="n">
        <x:f>IF('Design &amp; Insights'!I68="","",'Design &amp; Insights'!I68)</x:f>
        <x:v>46112</x:v>
      </x:c>
      <x:c r="K1440" s="12" t="str">
        <x:f>IF('Design &amp; Insights'!J68="","",'Design &amp; Insights'!J68)</x:f>
      </x:c>
      <x:c r="L1440" s="2" t="str">
        <x:f>IF('Design &amp; Insights'!K68="","",'Design &amp; Insights'!K68)</x:f>
      </x:c>
      <x:c r="M1440" s="2" t="n">
        <x:f>'Design &amp; Insights'!Q68</x:f>
        <x:v>1</x:v>
      </x:c>
      <x:c r="N1440" s="2" t="str">
        <x:f>'Design &amp; Insights'!L68</x:f>
        <x:v>Not started</x:v>
      </x:c>
      <x:c r="O1440" s="2" t="str">
        <x:f>'Design &amp; Insights'!N68</x:f>
        <x:v>DI.BO.3.6.2026.CY1</x:v>
      </x:c>
      <x:c r="P1440" s="2" t="n">
        <x:f>'Design &amp; Insights'!O68</x:f>
        <x:v>0</x:v>
      </x:c>
      <x:c r="Q1440" s="2" t="n">
        <x:f>SUBTOTAL(103,O1440)</x:f>
        <x:v>1</x:v>
      </x:c>
      <x:c r="R1440" s="2" t="n">
        <x:f>IF(AND(M1440=1,OR(Dashboard!$B$7="All",Dashboard!$B$7='Cycles &amp; Guide'!$C$5),OR(Dashboard!$D$7="All",Dashboard!$D$7=B1440),OR(Dashboard!$F$7="All",Dashboard!$F$7=C1440),OR(Dashboard!$H$7="All",Dashboard!$H$7=D1440),OR(Dashboard!$K$7="All",Dashboard!$K$7=E1440)),1,0)</x:f>
        <x:v>1</x:v>
      </x:c>
      <x:c r="S1440" s="2" t="n">
        <x:f>IF(R1440=1,SUM($R$10:R1440),0)</x:f>
        <x:v>1067</x:v>
      </x:c>
      <x:c r="T1440" s="2" t="str">
        <x:v>Design &amp; Insights</x:v>
      </x:c>
      <x:c r="U1440" s="2" t="n">
        <x:v>68</x:v>
      </x:c>
      <x:c r="V1440" s="2" t="n">
        <x:f>IF(AND(M1440=1,P1440=0,ISNUMBER(J1440),J1440&lt;TODAY()),1,0)</x:f>
        <x:v>1</x:v>
      </x:c>
      <x:c r="W1440" s="2" t="str">
        <x:f>'Design &amp; Insights'!M68</x:f>
        <x:v>Task</x:v>
      </x:c>
    </x:row>
    <x:row r="1441" ht="40" customHeight="1">
      <x:c r="A1441" s="3" t="str">
        <x:f>HYPERLINK("#'Design &amp; Insights'!A69","Open")</x:f>
        <x:v>Open</x:v>
      </x:c>
      <x:c r="B1441" s="2" t="str">
        <x:f>'Design &amp; Insights'!B69</x:f>
        <x:v>Cycle 1</x:v>
      </x:c>
      <x:c r="C1441" s="2" t="str">
        <x:f>'Design &amp; Insights'!C69</x:f>
        <x:v>Phase 3</x:v>
      </x:c>
      <x:c r="D1441" s="2" t="str">
        <x:f>'Design &amp; Insights'!D69</x:f>
        <x:v>CSBBO - Banking Ops</x:v>
      </x:c>
      <x:c r="E1441" s="2" t="str">
        <x:v>Design &amp; Insights</x:v>
      </x:c>
      <x:c r="F1441" s="56" t="str">
        <x:f>'Design &amp; Insights'!E69</x:f>
        <x:v>DI.BO.3.7</x:v>
      </x:c>
      <x:c r="G1441" s="14" t="str">
        <x:f>'Design &amp; Insights'!F69</x:f>
        <x:v>Present material in RCA Cycle Forum</x:v>
      </x:c>
      <x:c r="H1441" s="2" t="str">
        <x:f>IF('Design &amp; Insights'!G69="","",'Design &amp; Insights'!G69)</x:f>
      </x:c>
      <x:c r="I1441" s="12" t="str">
        <x:f>IF('Design &amp; Insights'!H69="","",'Design &amp; Insights'!H69)</x:f>
      </x:c>
      <x:c r="J1441" s="12" t="str">
        <x:f>IF('Design &amp; Insights'!I69="","",'Design &amp; Insights'!I69)</x:f>
      </x:c>
      <x:c r="K1441" s="12" t="str">
        <x:f>IF('Design &amp; Insights'!J69="","",'Design &amp; Insights'!J69)</x:f>
      </x:c>
      <x:c r="L1441" s="2" t="str">
        <x:f>IF('Design &amp; Insights'!K69="","",'Design &amp; Insights'!K69)</x:f>
      </x:c>
      <x:c r="M1441" s="2" t="n">
        <x:f>'Design &amp; Insights'!Q69</x:f>
        <x:v>1</x:v>
      </x:c>
      <x:c r="N1441" s="2" t="str">
        <x:f>'Design &amp; Insights'!L69</x:f>
        <x:v>Not started</x:v>
      </x:c>
      <x:c r="O1441" s="2" t="str">
        <x:f>'Design &amp; Insights'!N69</x:f>
        <x:v>DI.BO.3.7.2026.CY1</x:v>
      </x:c>
      <x:c r="P1441" s="2" t="n">
        <x:f>'Design &amp; Insights'!O69</x:f>
        <x:v>0</x:v>
      </x:c>
      <x:c r="Q1441" s="2" t="n">
        <x:f>SUBTOTAL(103,O1441)</x:f>
        <x:v>1</x:v>
      </x:c>
      <x:c r="R1441" s="2" t="n">
        <x:f>IF(AND(M1441=1,OR(Dashboard!$B$7="All",Dashboard!$B$7='Cycles &amp; Guide'!$C$5),OR(Dashboard!$D$7="All",Dashboard!$D$7=B1441),OR(Dashboard!$F$7="All",Dashboard!$F$7=C1441),OR(Dashboard!$H$7="All",Dashboard!$H$7=D1441),OR(Dashboard!$K$7="All",Dashboard!$K$7=E1441)),1,0)</x:f>
        <x:v>1</x:v>
      </x:c>
      <x:c r="S1441" s="2" t="n">
        <x:f>IF(R1441=1,SUM($R$10:R1441),0)</x:f>
        <x:v>1068</x:v>
      </x:c>
      <x:c r="T1441" s="2" t="str">
        <x:v>Design &amp; Insights</x:v>
      </x:c>
      <x:c r="U1441" s="2" t="n">
        <x:v>69</x:v>
      </x:c>
      <x:c r="V1441" s="2" t="n">
        <x:f>IF(AND(M1441=1,P1441=0,ISNUMBER(J1441),J1441&lt;TODAY()),1,0)</x:f>
        <x:v>0</x:v>
      </x:c>
      <x:c r="W1441" s="2" t="str">
        <x:f>'Design &amp; Insights'!M69</x:f>
        <x:v>Task</x:v>
      </x:c>
    </x:row>
    <x:row r="1442" ht="40" customHeight="1">
      <x:c r="A1442" s="3" t="str">
        <x:f>HYPERLINK("#'Design &amp; Insights'!A70","Open")</x:f>
        <x:v>Open</x:v>
      </x:c>
      <x:c r="B1442" s="2" t="str">
        <x:f>'Design &amp; Insights'!B70</x:f>
        <x:v>Cycle 1</x:v>
      </x:c>
      <x:c r="C1442" s="2" t="str">
        <x:f>'Design &amp; Insights'!C70</x:f>
        <x:v>Phase 1</x:v>
      </x:c>
      <x:c r="D1442" s="2" t="str">
        <x:f>'Design &amp; Insights'!D70</x:f>
        <x:v>CSBBO - Customer Service</x:v>
      </x:c>
      <x:c r="E1442" s="2" t="str">
        <x:v>Design &amp; Insights</x:v>
      </x:c>
      <x:c r="F1442" s="56" t="str">
        <x:f>'Design &amp; Insights'!E70</x:f>
        <x:v>DI.CS.1.1</x:v>
      </x:c>
      <x:c r="G1442" s="14" t="str">
        <x:f>'Design &amp; Insights'!F70</x:f>
        <x:v>Receive and review potential research topics at least 2 weeks prior to Cycle start date</x:v>
      </x:c>
      <x:c r="H1442" s="2" t="str">
        <x:f>IF('Design &amp; Insights'!G70="","",'Design &amp; Insights'!G70)</x:f>
      </x:c>
      <x:c r="I1442" s="12" t="str">
        <x:f>IF('Design &amp; Insights'!H70="","",'Design &amp; Insights'!H70)</x:f>
      </x:c>
      <x:c r="J1442" s="12" t="n">
        <x:f>IF('Design &amp; Insights'!I70="","",'Design &amp; Insights'!I70)</x:f>
        <x:v>46009</x:v>
      </x:c>
      <x:c r="K1442" s="12" t="str">
        <x:f>IF('Design &amp; Insights'!J70="","",'Design &amp; Insights'!J70)</x:f>
      </x:c>
      <x:c r="L1442" s="2" t="str">
        <x:f>IF('Design &amp; Insights'!K70="","",'Design &amp; Insights'!K70)</x:f>
      </x:c>
      <x:c r="M1442" s="2" t="n">
        <x:f>'Design &amp; Insights'!Q70</x:f>
        <x:v>1</x:v>
      </x:c>
      <x:c r="N1442" s="2" t="str">
        <x:f>'Design &amp; Insights'!L70</x:f>
        <x:v>Not started</x:v>
      </x:c>
      <x:c r="O1442" s="2" t="str">
        <x:f>'Design &amp; Insights'!N70</x:f>
        <x:v>DI.CS.1.1.2026.CY1</x:v>
      </x:c>
      <x:c r="P1442" s="2" t="n">
        <x:f>'Design &amp; Insights'!O70</x:f>
        <x:v>0</x:v>
      </x:c>
      <x:c r="Q1442" s="2" t="n">
        <x:f>SUBTOTAL(103,O1442)</x:f>
        <x:v>1</x:v>
      </x:c>
      <x:c r="R1442" s="2" t="n">
        <x:f>IF(AND(M1442=1,OR(Dashboard!$B$7="All",Dashboard!$B$7='Cycles &amp; Guide'!$C$5),OR(Dashboard!$D$7="All",Dashboard!$D$7=B1442),OR(Dashboard!$F$7="All",Dashboard!$F$7=C1442),OR(Dashboard!$H$7="All",Dashboard!$H$7=D1442),OR(Dashboard!$K$7="All",Dashboard!$K$7=E1442)),1,0)</x:f>
        <x:v>1</x:v>
      </x:c>
      <x:c r="S1442" s="2" t="n">
        <x:f>IF(R1442=1,SUM($R$10:R1442),0)</x:f>
        <x:v>1069</x:v>
      </x:c>
      <x:c r="T1442" s="2" t="str">
        <x:v>Design &amp; Insights</x:v>
      </x:c>
      <x:c r="U1442" s="2" t="n">
        <x:v>70</x:v>
      </x:c>
      <x:c r="V1442" s="2" t="n">
        <x:f>IF(AND(M1442=1,P1442=0,ISNUMBER(J1442),J1442&lt;TODAY()),1,0)</x:f>
        <x:v>1</x:v>
      </x:c>
      <x:c r="W1442" s="2" t="str">
        <x:f>'Design &amp; Insights'!M70</x:f>
        <x:v>Task</x:v>
      </x:c>
    </x:row>
    <x:row r="1443" ht="40" customHeight="1">
      <x:c r="A1443" s="3" t="str">
        <x:f>HYPERLINK("#'Design &amp; Insights'!A71","Open")</x:f>
        <x:v>Open</x:v>
      </x:c>
      <x:c r="B1443" s="2" t="str">
        <x:f>'Design &amp; Insights'!B71</x:f>
        <x:v>Cycle 1</x:v>
      </x:c>
      <x:c r="C1443" s="2" t="str">
        <x:f>'Design &amp; Insights'!C71</x:f>
        <x:v>Phase 1</x:v>
      </x:c>
      <x:c r="D1443" s="2" t="str">
        <x:f>'Design &amp; Insights'!D71</x:f>
        <x:v>CSBBO - Customer Service</x:v>
      </x:c>
      <x:c r="E1443" s="2" t="str">
        <x:v>Design &amp; Insights</x:v>
      </x:c>
      <x:c r="F1443" s="56" t="str">
        <x:f>'Design &amp; Insights'!E71</x:f>
        <x:v>DI.CS.1.2</x:v>
      </x:c>
      <x:c r="G1443" s="14" t="str">
        <x:f>'Design &amp; Insights'!F71</x:f>
        <x:v>Communicate any feedback on preferences or concerns with topics identified</x:v>
      </x:c>
      <x:c r="H1443" s="2" t="str">
        <x:f>IF('Design &amp; Insights'!G71="","",'Design &amp; Insights'!G71)</x:f>
      </x:c>
      <x:c r="I1443" s="12" t="str">
        <x:f>IF('Design &amp; Insights'!H71="","",'Design &amp; Insights'!H71)</x:f>
      </x:c>
      <x:c r="J1443" s="12" t="n">
        <x:f>IF('Design &amp; Insights'!I71="","",'Design &amp; Insights'!I71)</x:f>
        <x:v>46112</x:v>
      </x:c>
      <x:c r="K1443" s="12" t="str">
        <x:f>IF('Design &amp; Insights'!J71="","",'Design &amp; Insights'!J71)</x:f>
      </x:c>
      <x:c r="L1443" s="2" t="str">
        <x:f>IF('Design &amp; Insights'!K71="","",'Design &amp; Insights'!K71)</x:f>
      </x:c>
      <x:c r="M1443" s="2" t="n">
        <x:f>'Design &amp; Insights'!Q71</x:f>
        <x:v>1</x:v>
      </x:c>
      <x:c r="N1443" s="2" t="str">
        <x:f>'Design &amp; Insights'!L71</x:f>
        <x:v>Not started</x:v>
      </x:c>
      <x:c r="O1443" s="2" t="str">
        <x:f>'Design &amp; Insights'!N71</x:f>
        <x:v>DI.CS.1.2.2026.CY1</x:v>
      </x:c>
      <x:c r="P1443" s="2" t="n">
        <x:f>'Design &amp; Insights'!O71</x:f>
        <x:v>0</x:v>
      </x:c>
      <x:c r="Q1443" s="2" t="n">
        <x:f>SUBTOTAL(103,O1443)</x:f>
        <x:v>1</x:v>
      </x:c>
      <x:c r="R1443" s="2" t="n">
        <x:f>IF(AND(M1443=1,OR(Dashboard!$B$7="All",Dashboard!$B$7='Cycles &amp; Guide'!$C$5),OR(Dashboard!$D$7="All",Dashboard!$D$7=B1443),OR(Dashboard!$F$7="All",Dashboard!$F$7=C1443),OR(Dashboard!$H$7="All",Dashboard!$H$7=D1443),OR(Dashboard!$K$7="All",Dashboard!$K$7=E1443)),1,0)</x:f>
        <x:v>1</x:v>
      </x:c>
      <x:c r="S1443" s="2" t="n">
        <x:f>IF(R1443=1,SUM($R$10:R1443),0)</x:f>
        <x:v>1070</x:v>
      </x:c>
      <x:c r="T1443" s="2" t="str">
        <x:v>Design &amp; Insights</x:v>
      </x:c>
      <x:c r="U1443" s="2" t="n">
        <x:v>71</x:v>
      </x:c>
      <x:c r="V1443" s="2" t="n">
        <x:f>IF(AND(M1443=1,P1443=0,ISNUMBER(J1443),J1443&lt;TODAY()),1,0)</x:f>
        <x:v>1</x:v>
      </x:c>
      <x:c r="W1443" s="2" t="str">
        <x:f>'Design &amp; Insights'!M71</x:f>
        <x:v>Task</x:v>
      </x:c>
    </x:row>
    <x:row r="1444" ht="40" customHeight="1">
      <x:c r="A1444" s="3" t="str">
        <x:f>HYPERLINK("#'Design &amp; Insights'!A72","Open")</x:f>
        <x:v>Open</x:v>
      </x:c>
      <x:c r="B1444" s="2" t="str">
        <x:f>'Design &amp; Insights'!B72</x:f>
        <x:v>Cycle 1</x:v>
      </x:c>
      <x:c r="C1444" s="2" t="str">
        <x:f>'Design &amp; Insights'!C72</x:f>
        <x:v>Phase 1</x:v>
      </x:c>
      <x:c r="D1444" s="2" t="str">
        <x:f>'Design &amp; Insights'!D72</x:f>
        <x:v>CSBBO - Customer Service</x:v>
      </x:c>
      <x:c r="E1444" s="2" t="str">
        <x:v>Design &amp; Insights</x:v>
      </x:c>
      <x:c r="F1444" s="56" t="str">
        <x:f>'Design &amp; Insights'!E72</x:f>
        <x:v>DI.CS.1.3</x:v>
      </x:c>
      <x:c r="G1444" s="14" t="str">
        <x:f>'Design &amp; Insights'!F72</x:f>
        <x:v>Conduct high-level preliminary review of complaints within proposed topics</x:v>
      </x:c>
      <x:c r="H1444" s="2" t="str">
        <x:f>IF('Design &amp; Insights'!G72="","",'Design &amp; Insights'!G72)</x:f>
      </x:c>
      <x:c r="I1444" s="12" t="str">
        <x:f>IF('Design &amp; Insights'!H72="","",'Design &amp; Insights'!H72)</x:f>
      </x:c>
      <x:c r="J1444" s="12" t="n">
        <x:f>IF('Design &amp; Insights'!I72="","",'Design &amp; Insights'!I72)</x:f>
        <x:v>46112</x:v>
      </x:c>
      <x:c r="K1444" s="12" t="str">
        <x:f>IF('Design &amp; Insights'!J72="","",'Design &amp; Insights'!J72)</x:f>
      </x:c>
      <x:c r="L1444" s="2" t="str">
        <x:f>IF('Design &amp; Insights'!K72="","",'Design &amp; Insights'!K72)</x:f>
      </x:c>
      <x:c r="M1444" s="2" t="n">
        <x:f>'Design &amp; Insights'!Q72</x:f>
        <x:v>1</x:v>
      </x:c>
      <x:c r="N1444" s="2" t="str">
        <x:f>'Design &amp; Insights'!L72</x:f>
        <x:v>Not started</x:v>
      </x:c>
      <x:c r="O1444" s="2" t="str">
        <x:f>'Design &amp; Insights'!N72</x:f>
        <x:v>DI.CS.1.3.2026.CY1</x:v>
      </x:c>
      <x:c r="P1444" s="2" t="n">
        <x:f>'Design &amp; Insights'!O72</x:f>
        <x:v>0</x:v>
      </x:c>
      <x:c r="Q1444" s="2" t="n">
        <x:f>SUBTOTAL(103,O1444)</x:f>
        <x:v>1</x:v>
      </x:c>
      <x:c r="R1444" s="2" t="n">
        <x:f>IF(AND(M1444=1,OR(Dashboard!$B$7="All",Dashboard!$B$7='Cycles &amp; Guide'!$C$5),OR(Dashboard!$D$7="All",Dashboard!$D$7=B1444),OR(Dashboard!$F$7="All",Dashboard!$F$7=C1444),OR(Dashboard!$H$7="All",Dashboard!$H$7=D1444),OR(Dashboard!$K$7="All",Dashboard!$K$7=E1444)),1,0)</x:f>
        <x:v>1</x:v>
      </x:c>
      <x:c r="S1444" s="2" t="n">
        <x:f>IF(R1444=1,SUM($R$10:R1444),0)</x:f>
        <x:v>1071</x:v>
      </x:c>
      <x:c r="T1444" s="2" t="str">
        <x:v>Design &amp; Insights</x:v>
      </x:c>
      <x:c r="U1444" s="2" t="n">
        <x:v>72</x:v>
      </x:c>
      <x:c r="V1444" s="2" t="n">
        <x:f>IF(AND(M1444=1,P1444=0,ISNUMBER(J1444),J1444&lt;TODAY()),1,0)</x:f>
        <x:v>1</x:v>
      </x:c>
      <x:c r="W1444" s="2" t="str">
        <x:f>'Design &amp; Insights'!M72</x:f>
        <x:v>Task</x:v>
      </x:c>
    </x:row>
    <x:row r="1445" ht="40" customHeight="1">
      <x:c r="A1445" s="3" t="str">
        <x:f>HYPERLINK("#'Design &amp; Insights'!A73","Open")</x:f>
        <x:v>Open</x:v>
      </x:c>
      <x:c r="B1445" s="2" t="str">
        <x:f>'Design &amp; Insights'!B73</x:f>
        <x:v>Cycle 1</x:v>
      </x:c>
      <x:c r="C1445" s="2" t="str">
        <x:f>'Design &amp; Insights'!C73</x:f>
        <x:v>Phase 1</x:v>
      </x:c>
      <x:c r="D1445" s="2" t="str">
        <x:f>'Design &amp; Insights'!D73</x:f>
        <x:v>CSBBO - Customer Service</x:v>
      </x:c>
      <x:c r="E1445" s="2" t="str">
        <x:v>Design &amp; Insights</x:v>
      </x:c>
      <x:c r="F1445" s="56" t="str">
        <x:f>'Design &amp; Insights'!E73</x:f>
        <x:v>DI.CS.1.4</x:v>
      </x:c>
      <x:c r="G1445" s="14" t="str">
        <x:f>'Design &amp; Insights'!F73</x:f>
        <x:v>Meet with Research to discuss which topic to select based on potential impact</x:v>
      </x:c>
      <x:c r="H1445" s="2" t="str">
        <x:f>IF('Design &amp; Insights'!G73="","",'Design &amp; Insights'!G73)</x:f>
      </x:c>
      <x:c r="I1445" s="12" t="str">
        <x:f>IF('Design &amp; Insights'!H73="","",'Design &amp; Insights'!H73)</x:f>
      </x:c>
      <x:c r="J1445" s="12" t="n">
        <x:f>IF('Design &amp; Insights'!I73="","",'Design &amp; Insights'!I73)</x:f>
        <x:v>46112</x:v>
      </x:c>
      <x:c r="K1445" s="12" t="str">
        <x:f>IF('Design &amp; Insights'!J73="","",'Design &amp; Insights'!J73)</x:f>
      </x:c>
      <x:c r="L1445" s="2" t="str">
        <x:f>IF('Design &amp; Insights'!K73="","",'Design &amp; Insights'!K73)</x:f>
      </x:c>
      <x:c r="M1445" s="2" t="n">
        <x:f>'Design &amp; Insights'!Q73</x:f>
        <x:v>1</x:v>
      </x:c>
      <x:c r="N1445" s="2" t="str">
        <x:f>'Design &amp; Insights'!L73</x:f>
        <x:v>Not started</x:v>
      </x:c>
      <x:c r="O1445" s="2" t="str">
        <x:f>'Design &amp; Insights'!N73</x:f>
        <x:v>DI.CS.1.4.2026.CY1</x:v>
      </x:c>
      <x:c r="P1445" s="2" t="n">
        <x:f>'Design &amp; Insights'!O73</x:f>
        <x:v>0</x:v>
      </x:c>
      <x:c r="Q1445" s="2" t="n">
        <x:f>SUBTOTAL(103,O1445)</x:f>
        <x:v>1</x:v>
      </x:c>
      <x:c r="R1445" s="2" t="n">
        <x:f>IF(AND(M1445=1,OR(Dashboard!$B$7="All",Dashboard!$B$7='Cycles &amp; Guide'!$C$5),OR(Dashboard!$D$7="All",Dashboard!$D$7=B1445),OR(Dashboard!$F$7="All",Dashboard!$F$7=C1445),OR(Dashboard!$H$7="All",Dashboard!$H$7=D1445),OR(Dashboard!$K$7="All",Dashboard!$K$7=E1445)),1,0)</x:f>
        <x:v>1</x:v>
      </x:c>
      <x:c r="S1445" s="2" t="n">
        <x:f>IF(R1445=1,SUM($R$10:R1445),0)</x:f>
        <x:v>1072</x:v>
      </x:c>
      <x:c r="T1445" s="2" t="str">
        <x:v>Design &amp; Insights</x:v>
      </x:c>
      <x:c r="U1445" s="2" t="n">
        <x:v>73</x:v>
      </x:c>
      <x:c r="V1445" s="2" t="n">
        <x:f>IF(AND(M1445=1,P1445=0,ISNUMBER(J1445),J1445&lt;TODAY()),1,0)</x:f>
        <x:v>1</x:v>
      </x:c>
      <x:c r="W1445" s="2" t="str">
        <x:f>'Design &amp; Insights'!M73</x:f>
        <x:v>Task</x:v>
      </x:c>
    </x:row>
    <x:row r="1446" ht="40" customHeight="1">
      <x:c r="A1446" s="3" t="str">
        <x:f>HYPERLINK("#'Design &amp; Insights'!A74","Open")</x:f>
        <x:v>Open</x:v>
      </x:c>
      <x:c r="B1446" s="2" t="str">
        <x:f>'Design &amp; Insights'!B74</x:f>
        <x:v>Cycle 1</x:v>
      </x:c>
      <x:c r="C1446" s="2" t="str">
        <x:f>'Design &amp; Insights'!C74</x:f>
        <x:v>Phase 1</x:v>
      </x:c>
      <x:c r="D1446" s="2" t="str">
        <x:f>'Design &amp; Insights'!D74</x:f>
        <x:v>CSBBO - Customer Service</x:v>
      </x:c>
      <x:c r="E1446" s="2" t="str">
        <x:v>Design &amp; Insights</x:v>
      </x:c>
      <x:c r="F1446" s="56" t="str">
        <x:f>'Design &amp; Insights'!E74</x:f>
        <x:v>DI.CS.1.5</x:v>
      </x:c>
      <x:c r="G1446" s="14" t="str">
        <x:f>'Design &amp; Insights'!F74</x:f>
        <x:v>Confirm with Research the recommended topic for approval</x:v>
      </x:c>
      <x:c r="H1446" s="2" t="str">
        <x:f>IF('Design &amp; Insights'!G74="","",'Design &amp; Insights'!G74)</x:f>
      </x:c>
      <x:c r="I1446" s="12" t="str">
        <x:f>IF('Design &amp; Insights'!H74="","",'Design &amp; Insights'!H74)</x:f>
      </x:c>
      <x:c r="J1446" s="12" t="n">
        <x:f>IF('Design &amp; Insights'!I74="","",'Design &amp; Insights'!I74)</x:f>
        <x:v>46112</x:v>
      </x:c>
      <x:c r="K1446" s="12" t="str">
        <x:f>IF('Design &amp; Insights'!J74="","",'Design &amp; Insights'!J74)</x:f>
      </x:c>
      <x:c r="L1446" s="2" t="str">
        <x:f>IF('Design &amp; Insights'!K74="","",'Design &amp; Insights'!K74)</x:f>
      </x:c>
      <x:c r="M1446" s="2" t="n">
        <x:f>'Design &amp; Insights'!Q74</x:f>
        <x:v>1</x:v>
      </x:c>
      <x:c r="N1446" s="2" t="str">
        <x:f>'Design &amp; Insights'!L74</x:f>
        <x:v>Not started</x:v>
      </x:c>
      <x:c r="O1446" s="2" t="str">
        <x:f>'Design &amp; Insights'!N74</x:f>
        <x:v>DI.CS.1.5.2026.CY1</x:v>
      </x:c>
      <x:c r="P1446" s="2" t="n">
        <x:f>'Design &amp; Insights'!O74</x:f>
        <x:v>0</x:v>
      </x:c>
      <x:c r="Q1446" s="2" t="n">
        <x:f>SUBTOTAL(103,O1446)</x:f>
        <x:v>1</x:v>
      </x:c>
      <x:c r="R1446" s="2" t="n">
        <x:f>IF(AND(M1446=1,OR(Dashboard!$B$7="All",Dashboard!$B$7='Cycles &amp; Guide'!$C$5),OR(Dashboard!$D$7="All",Dashboard!$D$7=B1446),OR(Dashboard!$F$7="All",Dashboard!$F$7=C1446),OR(Dashboard!$H$7="All",Dashboard!$H$7=D1446),OR(Dashboard!$K$7="All",Dashboard!$K$7=E1446)),1,0)</x:f>
        <x:v>1</x:v>
      </x:c>
      <x:c r="S1446" s="2" t="n">
        <x:f>IF(R1446=1,SUM($R$10:R1446),0)</x:f>
        <x:v>1073</x:v>
      </x:c>
      <x:c r="T1446" s="2" t="str">
        <x:v>Design &amp; Insights</x:v>
      </x:c>
      <x:c r="U1446" s="2" t="n">
        <x:v>74</x:v>
      </x:c>
      <x:c r="V1446" s="2" t="n">
        <x:f>IF(AND(M1446=1,P1446=0,ISNUMBER(J1446),J1446&lt;TODAY()),1,0)</x:f>
        <x:v>1</x:v>
      </x:c>
      <x:c r="W1446" s="2" t="str">
        <x:f>'Design &amp; Insights'!M74</x:f>
        <x:v>Task</x:v>
      </x:c>
    </x:row>
    <x:row r="1447" ht="40" customHeight="1">
      <x:c r="A1447" s="3" t="str">
        <x:f>HYPERLINK("#'Design &amp; Insights'!A75","Open")</x:f>
        <x:v>Open</x:v>
      </x:c>
      <x:c r="B1447" s="2" t="str">
        <x:f>'Design &amp; Insights'!B75</x:f>
        <x:v>Cycle 1</x:v>
      </x:c>
      <x:c r="C1447" s="2" t="str">
        <x:f>'Design &amp; Insights'!C75</x:f>
        <x:v>Phase 1</x:v>
      </x:c>
      <x:c r="D1447" s="2" t="str">
        <x:f>'Design &amp; Insights'!D75</x:f>
        <x:v>CSBBO - Customer Service</x:v>
      </x:c>
      <x:c r="E1447" s="2" t="str">
        <x:v>Design &amp; Insights</x:v>
      </x:c>
      <x:c r="F1447" s="56" t="str">
        <x:f>'Design &amp; Insights'!E75</x:f>
        <x:v>DI.CS.1.6</x:v>
      </x:c>
      <x:c r="G1447" s="14" t="str">
        <x:f>'Design &amp; Insights'!F75</x:f>
        <x:v>Send topic selection socialization email to all key stakeholders on the first day of the review Cycle</x:v>
      </x:c>
      <x:c r="H1447" s="2" t="str">
        <x:f>IF('Design &amp; Insights'!G75="","",'Design &amp; Insights'!G75)</x:f>
      </x:c>
      <x:c r="I1447" s="12" t="str">
        <x:f>IF('Design &amp; Insights'!H75="","",'Design &amp; Insights'!H75)</x:f>
      </x:c>
      <x:c r="J1447" s="12" t="n">
        <x:f>IF('Design &amp; Insights'!I75="","",'Design &amp; Insights'!I75)</x:f>
        <x:v>46023</x:v>
      </x:c>
      <x:c r="K1447" s="12" t="str">
        <x:f>IF('Design &amp; Insights'!J75="","",'Design &amp; Insights'!J75)</x:f>
      </x:c>
      <x:c r="L1447" s="2" t="str">
        <x:f>IF('Design &amp; Insights'!K75="","",'Design &amp; Insights'!K75)</x:f>
      </x:c>
      <x:c r="M1447" s="2" t="n">
        <x:f>'Design &amp; Insights'!Q75</x:f>
        <x:v>1</x:v>
      </x:c>
      <x:c r="N1447" s="2" t="str">
        <x:f>'Design &amp; Insights'!L75</x:f>
        <x:v>Not started</x:v>
      </x:c>
      <x:c r="O1447" s="2" t="str">
        <x:f>'Design &amp; Insights'!N75</x:f>
        <x:v>DI.CS.1.6.2026.CY1</x:v>
      </x:c>
      <x:c r="P1447" s="2" t="n">
        <x:f>'Design &amp; Insights'!O75</x:f>
        <x:v>0</x:v>
      </x:c>
      <x:c r="Q1447" s="2" t="n">
        <x:f>SUBTOTAL(103,O1447)</x:f>
        <x:v>1</x:v>
      </x:c>
      <x:c r="R1447" s="2" t="n">
        <x:f>IF(AND(M1447=1,OR(Dashboard!$B$7="All",Dashboard!$B$7='Cycles &amp; Guide'!$C$5),OR(Dashboard!$D$7="All",Dashboard!$D$7=B1447),OR(Dashboard!$F$7="All",Dashboard!$F$7=C1447),OR(Dashboard!$H$7="All",Dashboard!$H$7=D1447),OR(Dashboard!$K$7="All",Dashboard!$K$7=E1447)),1,0)</x:f>
        <x:v>1</x:v>
      </x:c>
      <x:c r="S1447" s="2" t="n">
        <x:f>IF(R1447=1,SUM($R$10:R1447),0)</x:f>
        <x:v>1074</x:v>
      </x:c>
      <x:c r="T1447" s="2" t="str">
        <x:v>Design &amp; Insights</x:v>
      </x:c>
      <x:c r="U1447" s="2" t="n">
        <x:v>75</x:v>
      </x:c>
      <x:c r="V1447" s="2" t="n">
        <x:f>IF(AND(M1447=1,P1447=0,ISNUMBER(J1447),J1447&lt;TODAY()),1,0)</x:f>
        <x:v>1</x:v>
      </x:c>
      <x:c r="W1447" s="2" t="str">
        <x:f>'Design &amp; Insights'!M75</x:f>
        <x:v>Task</x:v>
      </x:c>
    </x:row>
    <x:row r="1448" ht="40" customHeight="1">
      <x:c r="A1448" s="3" t="str">
        <x:f>HYPERLINK("#'Design &amp; Insights'!A76","Open")</x:f>
        <x:v>Open</x:v>
      </x:c>
      <x:c r="B1448" s="2" t="str">
        <x:f>'Design &amp; Insights'!B76</x:f>
        <x:v>Cycle 1</x:v>
      </x:c>
      <x:c r="C1448" s="2" t="str">
        <x:f>'Design &amp; Insights'!C76</x:f>
        <x:v>Phase 2</x:v>
      </x:c>
      <x:c r="D1448" s="2" t="str">
        <x:f>'Design &amp; Insights'!D76</x:f>
        <x:v>CSBBO - Customer Service</x:v>
      </x:c>
      <x:c r="E1448" s="2" t="str">
        <x:v>Design &amp; Insights</x:v>
      </x:c>
      <x:c r="F1448" s="56" t="str">
        <x:f>'Design &amp; Insights'!E76</x:f>
        <x:v>DI.CS.2.1</x:v>
      </x:c>
      <x:c r="G1448" s="14" t="str">
        <x:f>'Design &amp; Insights'!F76</x:f>
        <x:v>Meet regularly with Research to stay informed on progress, findings, and potential enhancement</x:v>
      </x:c>
      <x:c r="H1448" s="2" t="str">
        <x:f>IF('Design &amp; Insights'!G76="","",'Design &amp; Insights'!G76)</x:f>
      </x:c>
      <x:c r="I1448" s="12" t="str">
        <x:f>IF('Design &amp; Insights'!H76="","",'Design &amp; Insights'!H76)</x:f>
      </x:c>
      <x:c r="J1448" s="12" t="n">
        <x:f>IF('Design &amp; Insights'!I76="","",'Design &amp; Insights'!I76)</x:f>
        <x:v>46112</x:v>
      </x:c>
      <x:c r="K1448" s="12" t="str">
        <x:f>IF('Design &amp; Insights'!J76="","",'Design &amp; Insights'!J76)</x:f>
      </x:c>
      <x:c r="L1448" s="2" t="str">
        <x:f>IF('Design &amp; Insights'!K76="","",'Design &amp; Insights'!K76)</x:f>
      </x:c>
      <x:c r="M1448" s="2" t="n">
        <x:f>'Design &amp; Insights'!Q76</x:f>
        <x:v>1</x:v>
      </x:c>
      <x:c r="N1448" s="2" t="str">
        <x:f>'Design &amp; Insights'!L76</x:f>
        <x:v>Not started</x:v>
      </x:c>
      <x:c r="O1448" s="2" t="str">
        <x:f>'Design &amp; Insights'!N76</x:f>
        <x:v>DI.CS.2.1.2026.CY1</x:v>
      </x:c>
      <x:c r="P1448" s="2" t="n">
        <x:f>'Design &amp; Insights'!O76</x:f>
        <x:v>0</x:v>
      </x:c>
      <x:c r="Q1448" s="2" t="n">
        <x:f>SUBTOTAL(103,O1448)</x:f>
        <x:v>1</x:v>
      </x:c>
      <x:c r="R1448" s="2" t="n">
        <x:f>IF(AND(M1448=1,OR(Dashboard!$B$7="All",Dashboard!$B$7='Cycles &amp; Guide'!$C$5),OR(Dashboard!$D$7="All",Dashboard!$D$7=B1448),OR(Dashboard!$F$7="All",Dashboard!$F$7=C1448),OR(Dashboard!$H$7="All",Dashboard!$H$7=D1448),OR(Dashboard!$K$7="All",Dashboard!$K$7=E1448)),1,0)</x:f>
        <x:v>1</x:v>
      </x:c>
      <x:c r="S1448" s="2" t="n">
        <x:f>IF(R1448=1,SUM($R$10:R1448),0)</x:f>
        <x:v>1075</x:v>
      </x:c>
      <x:c r="T1448" s="2" t="str">
        <x:v>Design &amp; Insights</x:v>
      </x:c>
      <x:c r="U1448" s="2" t="n">
        <x:v>76</x:v>
      </x:c>
      <x:c r="V1448" s="2" t="n">
        <x:f>IF(AND(M1448=1,P1448=0,ISNUMBER(J1448),J1448&lt;TODAY()),1,0)</x:f>
        <x:v>1</x:v>
      </x:c>
      <x:c r="W1448" s="2" t="str">
        <x:f>'Design &amp; Insights'!M76</x:f>
        <x:v>Task</x:v>
      </x:c>
    </x:row>
    <x:row r="1449" ht="40" customHeight="1">
      <x:c r="A1449" s="3" t="str">
        <x:f>HYPERLINK("#'Design &amp; Insights'!A77","Open")</x:f>
        <x:v>Open</x:v>
      </x:c>
      <x:c r="B1449" s="2" t="str">
        <x:f>'Design &amp; Insights'!B77</x:f>
        <x:v>Cycle 1</x:v>
      </x:c>
      <x:c r="C1449" s="2" t="str">
        <x:f>'Design &amp; Insights'!C77</x:f>
        <x:v>Phase 2</x:v>
      </x:c>
      <x:c r="D1449" s="2" t="str">
        <x:f>'Design &amp; Insights'!D77</x:f>
        <x:v>CSBBO - Customer Service</x:v>
      </x:c>
      <x:c r="E1449" s="2" t="str">
        <x:v>Design &amp; Insights</x:v>
      </x:c>
      <x:c r="F1449" s="56" t="str">
        <x:f>'Design &amp; Insights'!E77</x:f>
        <x:v>DI.CS.2.2</x:v>
      </x:c>
      <x:c r="G1449" s="14" t="str">
        <x:f>'Design &amp; Insights'!F77</x:f>
        <x:v>Collaborate with Research on research plan specifics</x:v>
      </x:c>
      <x:c r="H1449" s="2" t="str">
        <x:f>IF('Design &amp; Insights'!G77="","",'Design &amp; Insights'!G77)</x:f>
      </x:c>
      <x:c r="I1449" s="12" t="str">
        <x:f>IF('Design &amp; Insights'!H77="","",'Design &amp; Insights'!H77)</x:f>
      </x:c>
      <x:c r="J1449" s="12" t="n">
        <x:f>IF('Design &amp; Insights'!I77="","",'Design &amp; Insights'!I77)</x:f>
        <x:v>46112</x:v>
      </x:c>
      <x:c r="K1449" s="12" t="str">
        <x:f>IF('Design &amp; Insights'!J77="","",'Design &amp; Insights'!J77)</x:f>
      </x:c>
      <x:c r="L1449" s="2" t="str">
        <x:f>IF('Design &amp; Insights'!K77="","",'Design &amp; Insights'!K77)</x:f>
      </x:c>
      <x:c r="M1449" s="2" t="n">
        <x:f>'Design &amp; Insights'!Q77</x:f>
        <x:v>1</x:v>
      </x:c>
      <x:c r="N1449" s="2" t="str">
        <x:f>'Design &amp; Insights'!L77</x:f>
        <x:v>Not started</x:v>
      </x:c>
      <x:c r="O1449" s="2" t="str">
        <x:f>'Design &amp; Insights'!N77</x:f>
        <x:v>DI.CS.2.2.2026.CY1</x:v>
      </x:c>
      <x:c r="P1449" s="2" t="n">
        <x:f>'Design &amp; Insights'!O77</x:f>
        <x:v>0</x:v>
      </x:c>
      <x:c r="Q1449" s="2" t="n">
        <x:f>SUBTOTAL(103,O1449)</x:f>
        <x:v>1</x:v>
      </x:c>
      <x:c r="R1449" s="2" t="n">
        <x:f>IF(AND(M1449=1,OR(Dashboard!$B$7="All",Dashboard!$B$7='Cycles &amp; Guide'!$C$5),OR(Dashboard!$D$7="All",Dashboard!$D$7=B1449),OR(Dashboard!$F$7="All",Dashboard!$F$7=C1449),OR(Dashboard!$H$7="All",Dashboard!$H$7=D1449),OR(Dashboard!$K$7="All",Dashboard!$K$7=E1449)),1,0)</x:f>
        <x:v>1</x:v>
      </x:c>
      <x:c r="S1449" s="2" t="n">
        <x:f>IF(R1449=1,SUM($R$10:R1449),0)</x:f>
        <x:v>1076</x:v>
      </x:c>
      <x:c r="T1449" s="2" t="str">
        <x:v>Design &amp; Insights</x:v>
      </x:c>
      <x:c r="U1449" s="2" t="n">
        <x:v>77</x:v>
      </x:c>
      <x:c r="V1449" s="2" t="n">
        <x:f>IF(AND(M1449=1,P1449=0,ISNUMBER(J1449),J1449&lt;TODAY()),1,0)</x:f>
        <x:v>1</x:v>
      </x:c>
      <x:c r="W1449" s="2" t="str">
        <x:f>'Design &amp; Insights'!M77</x:f>
        <x:v>Task</x:v>
      </x:c>
    </x:row>
    <x:row r="1450" ht="40" customHeight="1">
      <x:c r="A1450" s="3" t="str">
        <x:f>HYPERLINK("#'Design &amp; Insights'!A78","Open")</x:f>
        <x:v>Open</x:v>
      </x:c>
      <x:c r="B1450" s="2" t="str">
        <x:f>'Design &amp; Insights'!B78</x:f>
        <x:v>Cycle 1</x:v>
      </x:c>
      <x:c r="C1450" s="2" t="str">
        <x:f>'Design &amp; Insights'!C78</x:f>
        <x:v>Phase 2</x:v>
      </x:c>
      <x:c r="D1450" s="2" t="str">
        <x:f>'Design &amp; Insights'!D78</x:f>
        <x:v>CSBBO - Customer Service</x:v>
      </x:c>
      <x:c r="E1450" s="2" t="str">
        <x:v>Design &amp; Insights</x:v>
      </x:c>
      <x:c r="F1450" s="56" t="str">
        <x:f>'Design &amp; Insights'!E78</x:f>
        <x:v>DI.CS.2.3</x:v>
      </x:c>
      <x:c r="G1450" s="14" t="str">
        <x:f>'Design &amp; Insights'!F78</x:f>
        <x:v>Participate in SME insight meetings to gain perspective and appetite on potential enhancements</x:v>
      </x:c>
      <x:c r="H1450" s="2" t="str">
        <x:f>IF('Design &amp; Insights'!G78="","",'Design &amp; Insights'!G78)</x:f>
      </x:c>
      <x:c r="I1450" s="12" t="str">
        <x:f>IF('Design &amp; Insights'!H78="","",'Design &amp; Insights'!H78)</x:f>
      </x:c>
      <x:c r="J1450" s="12" t="n">
        <x:f>IF('Design &amp; Insights'!I78="","",'Design &amp; Insights'!I78)</x:f>
        <x:v>46112</x:v>
      </x:c>
      <x:c r="K1450" s="12" t="str">
        <x:f>IF('Design &amp; Insights'!J78="","",'Design &amp; Insights'!J78)</x:f>
      </x:c>
      <x:c r="L1450" s="2" t="str">
        <x:f>IF('Design &amp; Insights'!K78="","",'Design &amp; Insights'!K78)</x:f>
      </x:c>
      <x:c r="M1450" s="2" t="n">
        <x:f>'Design &amp; Insights'!Q78</x:f>
        <x:v>1</x:v>
      </x:c>
      <x:c r="N1450" s="2" t="str">
        <x:f>'Design &amp; Insights'!L78</x:f>
        <x:v>Not started</x:v>
      </x:c>
      <x:c r="O1450" s="2" t="str">
        <x:f>'Design &amp; Insights'!N78</x:f>
        <x:v>DI.CS.2.3.2026.CY1</x:v>
      </x:c>
      <x:c r="P1450" s="2" t="n">
        <x:f>'Design &amp; Insights'!O78</x:f>
        <x:v>0</x:v>
      </x:c>
      <x:c r="Q1450" s="2" t="n">
        <x:f>SUBTOTAL(103,O1450)</x:f>
        <x:v>1</x:v>
      </x:c>
      <x:c r="R1450" s="2" t="n">
        <x:f>IF(AND(M1450=1,OR(Dashboard!$B$7="All",Dashboard!$B$7='Cycles &amp; Guide'!$C$5),OR(Dashboard!$D$7="All",Dashboard!$D$7=B1450),OR(Dashboard!$F$7="All",Dashboard!$F$7=C1450),OR(Dashboard!$H$7="All",Dashboard!$H$7=D1450),OR(Dashboard!$K$7="All",Dashboard!$K$7=E1450)),1,0)</x:f>
        <x:v>1</x:v>
      </x:c>
      <x:c r="S1450" s="2" t="n">
        <x:f>IF(R1450=1,SUM($R$10:R1450),0)</x:f>
        <x:v>1077</x:v>
      </x:c>
      <x:c r="T1450" s="2" t="str">
        <x:v>Design &amp; Insights</x:v>
      </x:c>
      <x:c r="U1450" s="2" t="n">
        <x:v>78</x:v>
      </x:c>
      <x:c r="V1450" s="2" t="n">
        <x:f>IF(AND(M1450=1,P1450=0,ISNUMBER(J1450),J1450&lt;TODAY()),1,0)</x:f>
        <x:v>1</x:v>
      </x:c>
      <x:c r="W1450" s="2" t="str">
        <x:f>'Design &amp; Insights'!M78</x:f>
        <x:v>Task</x:v>
      </x:c>
    </x:row>
    <x:row r="1451" ht="40" customHeight="1">
      <x:c r="A1451" s="3" t="str">
        <x:f>HYPERLINK("#'Design &amp; Insights'!A79","Open")</x:f>
        <x:v>Open</x:v>
      </x:c>
      <x:c r="B1451" s="2" t="str">
        <x:f>'Design &amp; Insights'!B79</x:f>
        <x:v>Cycle 1</x:v>
      </x:c>
      <x:c r="C1451" s="2" t="str">
        <x:f>'Design &amp; Insights'!C79</x:f>
        <x:v>Phase 2</x:v>
      </x:c>
      <x:c r="D1451" s="2" t="str">
        <x:f>'Design &amp; Insights'!D79</x:f>
        <x:v>CSBBO - Customer Service</x:v>
      </x:c>
      <x:c r="E1451" s="2" t="str">
        <x:v>Design &amp; Insights</x:v>
      </x:c>
      <x:c r="F1451" s="56" t="str">
        <x:f>'Design &amp; Insights'!E79</x:f>
        <x:v>DI.CS.2.4</x:v>
      </x:c>
      <x:c r="G1451" s="14" t="str">
        <x:f>'Design &amp; Insights'!F79</x:f>
        <x:v>Begin development of presentation materials as Research is being completed</x:v>
      </x:c>
      <x:c r="H1451" s="2" t="str">
        <x:f>IF('Design &amp; Insights'!G79="","",'Design &amp; Insights'!G79)</x:f>
      </x:c>
      <x:c r="I1451" s="12" t="str">
        <x:f>IF('Design &amp; Insights'!H79="","",'Design &amp; Insights'!H79)</x:f>
      </x:c>
      <x:c r="J1451" s="12" t="n">
        <x:f>IF('Design &amp; Insights'!I79="","",'Design &amp; Insights'!I79)</x:f>
        <x:v>46112</x:v>
      </x:c>
      <x:c r="K1451" s="12" t="str">
        <x:f>IF('Design &amp; Insights'!J79="","",'Design &amp; Insights'!J79)</x:f>
      </x:c>
      <x:c r="L1451" s="2" t="str">
        <x:f>IF('Design &amp; Insights'!K79="","",'Design &amp; Insights'!K79)</x:f>
      </x:c>
      <x:c r="M1451" s="2" t="n">
        <x:f>'Design &amp; Insights'!Q79</x:f>
        <x:v>1</x:v>
      </x:c>
      <x:c r="N1451" s="2" t="str">
        <x:f>'Design &amp; Insights'!L79</x:f>
        <x:v>Not started</x:v>
      </x:c>
      <x:c r="O1451" s="2" t="str">
        <x:f>'Design &amp; Insights'!N79</x:f>
        <x:v>DI.CS.2.4.2026.CY1</x:v>
      </x:c>
      <x:c r="P1451" s="2" t="n">
        <x:f>'Design &amp; Insights'!O79</x:f>
        <x:v>0</x:v>
      </x:c>
      <x:c r="Q1451" s="2" t="n">
        <x:f>SUBTOTAL(103,O1451)</x:f>
        <x:v>1</x:v>
      </x:c>
      <x:c r="R1451" s="2" t="n">
        <x:f>IF(AND(M1451=1,OR(Dashboard!$B$7="All",Dashboard!$B$7='Cycles &amp; Guide'!$C$5),OR(Dashboard!$D$7="All",Dashboard!$D$7=B1451),OR(Dashboard!$F$7="All",Dashboard!$F$7=C1451),OR(Dashboard!$H$7="All",Dashboard!$H$7=D1451),OR(Dashboard!$K$7="All",Dashboard!$K$7=E1451)),1,0)</x:f>
        <x:v>1</x:v>
      </x:c>
      <x:c r="S1451" s="2" t="n">
        <x:f>IF(R1451=1,SUM($R$10:R1451),0)</x:f>
        <x:v>1078</x:v>
      </x:c>
      <x:c r="T1451" s="2" t="str">
        <x:v>Design &amp; Insights</x:v>
      </x:c>
      <x:c r="U1451" s="2" t="n">
        <x:v>79</x:v>
      </x:c>
      <x:c r="V1451" s="2" t="n">
        <x:f>IF(AND(M1451=1,P1451=0,ISNUMBER(J1451),J1451&lt;TODAY()),1,0)</x:f>
        <x:v>1</x:v>
      </x:c>
      <x:c r="W1451" s="2" t="str">
        <x:f>'Design &amp; Insights'!M79</x:f>
        <x:v>Task</x:v>
      </x:c>
    </x:row>
    <x:row r="1452" ht="40" customHeight="1">
      <x:c r="A1452" s="3" t="str">
        <x:f>HYPERLINK("#'Design &amp; Insights'!A80","Open")</x:f>
        <x:v>Open</x:v>
      </x:c>
      <x:c r="B1452" s="2" t="str">
        <x:f>'Design &amp; Insights'!B80</x:f>
        <x:v>Cycle 1</x:v>
      </x:c>
      <x:c r="C1452" s="2" t="str">
        <x:f>'Design &amp; Insights'!C80</x:f>
        <x:v>Phase 2</x:v>
      </x:c>
      <x:c r="D1452" s="2" t="str">
        <x:f>'Design &amp; Insights'!D80</x:f>
        <x:v>CSBBO - Customer Service</x:v>
      </x:c>
      <x:c r="E1452" s="2" t="str">
        <x:v>Design &amp; Insights</x:v>
      </x:c>
      <x:c r="F1452" s="56" t="str">
        <x:f>'Design &amp; Insights'!E80</x:f>
        <x:v>DI.CS.2.5</x:v>
      </x:c>
      <x:c r="G1452" s="14" t="str">
        <x:f>'Design &amp; Insights'!F80</x:f>
        <x:v>Draft initial enhancement recommendations (as applicable)</x:v>
      </x:c>
      <x:c r="H1452" s="2" t="str">
        <x:f>IF('Design &amp; Insights'!G80="","",'Design &amp; Insights'!G80)</x:f>
      </x:c>
      <x:c r="I1452" s="12" t="str">
        <x:f>IF('Design &amp; Insights'!H80="","",'Design &amp; Insights'!H80)</x:f>
      </x:c>
      <x:c r="J1452" s="12" t="n">
        <x:f>IF('Design &amp; Insights'!I80="","",'Design &amp; Insights'!I80)</x:f>
        <x:v>46112</x:v>
      </x:c>
      <x:c r="K1452" s="12" t="str">
        <x:f>IF('Design &amp; Insights'!J80="","",'Design &amp; Insights'!J80)</x:f>
      </x:c>
      <x:c r="L1452" s="2" t="str">
        <x:f>IF('Design &amp; Insights'!K80="","",'Design &amp; Insights'!K80)</x:f>
      </x:c>
      <x:c r="M1452" s="2" t="n">
        <x:f>'Design &amp; Insights'!Q80</x:f>
        <x:v>1</x:v>
      </x:c>
      <x:c r="N1452" s="2" t="str">
        <x:f>'Design &amp; Insights'!L80</x:f>
        <x:v>Not started</x:v>
      </x:c>
      <x:c r="O1452" s="2" t="str">
        <x:f>'Design &amp; Insights'!N80</x:f>
        <x:v>DI.CS.2.5.2026.CY1</x:v>
      </x:c>
      <x:c r="P1452" s="2" t="n">
        <x:f>'Design &amp; Insights'!O80</x:f>
        <x:v>0</x:v>
      </x:c>
      <x:c r="Q1452" s="2" t="n">
        <x:f>SUBTOTAL(103,O1452)</x:f>
        <x:v>1</x:v>
      </x:c>
      <x:c r="R1452" s="2" t="n">
        <x:f>IF(AND(M1452=1,OR(Dashboard!$B$7="All",Dashboard!$B$7='Cycles &amp; Guide'!$C$5),OR(Dashboard!$D$7="All",Dashboard!$D$7=B1452),OR(Dashboard!$F$7="All",Dashboard!$F$7=C1452),OR(Dashboard!$H$7="All",Dashboard!$H$7=D1452),OR(Dashboard!$K$7="All",Dashboard!$K$7=E1452)),1,0)</x:f>
        <x:v>1</x:v>
      </x:c>
      <x:c r="S1452" s="2" t="n">
        <x:f>IF(R1452=1,SUM($R$10:R1452),0)</x:f>
        <x:v>1079</x:v>
      </x:c>
      <x:c r="T1452" s="2" t="str">
        <x:v>Design &amp; Insights</x:v>
      </x:c>
      <x:c r="U1452" s="2" t="n">
        <x:v>80</x:v>
      </x:c>
      <x:c r="V1452" s="2" t="n">
        <x:f>IF(AND(M1452=1,P1452=0,ISNUMBER(J1452),J1452&lt;TODAY()),1,0)</x:f>
        <x:v>1</x:v>
      </x:c>
      <x:c r="W1452" s="2" t="str">
        <x:f>'Design &amp; Insights'!M80</x:f>
        <x:v>Task</x:v>
      </x:c>
    </x:row>
    <x:row r="1453" ht="40" customHeight="1">
      <x:c r="A1453" s="3" t="str">
        <x:f>HYPERLINK("#'Design &amp; Insights'!A81","Open")</x:f>
        <x:v>Open</x:v>
      </x:c>
      <x:c r="B1453" s="2" t="str">
        <x:f>'Design &amp; Insights'!B81</x:f>
        <x:v>Cycle 1</x:v>
      </x:c>
      <x:c r="C1453" s="2" t="str">
        <x:f>'Design &amp; Insights'!C81</x:f>
        <x:v>Phase 2</x:v>
      </x:c>
      <x:c r="D1453" s="2" t="str">
        <x:f>'Design &amp; Insights'!D81</x:f>
        <x:v>CSBBO - Customer Service</x:v>
      </x:c>
      <x:c r="E1453" s="2" t="str">
        <x:v>Design &amp; Insights</x:v>
      </x:c>
      <x:c r="F1453" s="56" t="str">
        <x:f>'Design &amp; Insights'!E81</x:f>
        <x:v>DI.CS.2.6</x:v>
      </x:c>
      <x:c r="G1453" s="14" t="str">
        <x:f>'Design &amp; Insights'!F81</x:f>
        <x:v>Finalize presentation deck draft at conclusion of Research phase</x:v>
      </x:c>
      <x:c r="H1453" s="2" t="str">
        <x:f>IF('Design &amp; Insights'!G81="","",'Design &amp; Insights'!G81)</x:f>
      </x:c>
      <x:c r="I1453" s="12" t="str">
        <x:f>IF('Design &amp; Insights'!H81="","",'Design &amp; Insights'!H81)</x:f>
      </x:c>
      <x:c r="J1453" s="12" t="n">
        <x:f>IF('Design &amp; Insights'!I81="","",'Design &amp; Insights'!I81)</x:f>
        <x:v>46112</x:v>
      </x:c>
      <x:c r="K1453" s="12" t="str">
        <x:f>IF('Design &amp; Insights'!J81="","",'Design &amp; Insights'!J81)</x:f>
      </x:c>
      <x:c r="L1453" s="2" t="str">
        <x:f>IF('Design &amp; Insights'!K81="","",'Design &amp; Insights'!K81)</x:f>
      </x:c>
      <x:c r="M1453" s="2" t="n">
        <x:f>'Design &amp; Insights'!Q81</x:f>
        <x:v>1</x:v>
      </x:c>
      <x:c r="N1453" s="2" t="str">
        <x:f>'Design &amp; Insights'!L81</x:f>
        <x:v>Not started</x:v>
      </x:c>
      <x:c r="O1453" s="2" t="str">
        <x:f>'Design &amp; Insights'!N81</x:f>
        <x:v>DI.CS.2.6.2026.CY1</x:v>
      </x:c>
      <x:c r="P1453" s="2" t="n">
        <x:f>'Design &amp; Insights'!O81</x:f>
        <x:v>0</x:v>
      </x:c>
      <x:c r="Q1453" s="2" t="n">
        <x:f>SUBTOTAL(103,O1453)</x:f>
        <x:v>1</x:v>
      </x:c>
      <x:c r="R1453" s="2" t="n">
        <x:f>IF(AND(M1453=1,OR(Dashboard!$B$7="All",Dashboard!$B$7='Cycles &amp; Guide'!$C$5),OR(Dashboard!$D$7="All",Dashboard!$D$7=B1453),OR(Dashboard!$F$7="All",Dashboard!$F$7=C1453),OR(Dashboard!$H$7="All",Dashboard!$H$7=D1453),OR(Dashboard!$K$7="All",Dashboard!$K$7=E1453)),1,0)</x:f>
        <x:v>1</x:v>
      </x:c>
      <x:c r="S1453" s="2" t="n">
        <x:f>IF(R1453=1,SUM($R$10:R1453),0)</x:f>
        <x:v>1080</x:v>
      </x:c>
      <x:c r="T1453" s="2" t="str">
        <x:v>Design &amp; Insights</x:v>
      </x:c>
      <x:c r="U1453" s="2" t="n">
        <x:v>81</x:v>
      </x:c>
      <x:c r="V1453" s="2" t="n">
        <x:f>IF(AND(M1453=1,P1453=0,ISNUMBER(J1453),J1453&lt;TODAY()),1,0)</x:f>
        <x:v>1</x:v>
      </x:c>
      <x:c r="W1453" s="2" t="str">
        <x:f>'Design &amp; Insights'!M81</x:f>
        <x:v>Task</x:v>
      </x:c>
    </x:row>
    <x:row r="1454" ht="40" customHeight="1">
      <x:c r="A1454" s="3" t="str">
        <x:f>HYPERLINK("#'Design &amp; Insights'!A82","Open")</x:f>
        <x:v>Open</x:v>
      </x:c>
      <x:c r="B1454" s="2" t="str">
        <x:f>'Design &amp; Insights'!B82</x:f>
        <x:v>Cycle 1</x:v>
      </x:c>
      <x:c r="C1454" s="2" t="str">
        <x:f>'Design &amp; Insights'!C82</x:f>
        <x:v>Phase 2</x:v>
      </x:c>
      <x:c r="D1454" s="2" t="str">
        <x:f>'Design &amp; Insights'!D82</x:f>
        <x:v>CSBBO - Customer Service</x:v>
      </x:c>
      <x:c r="E1454" s="2" t="str">
        <x:v>Design &amp; Insights</x:v>
      </x:c>
      <x:c r="F1454" s="56" t="str">
        <x:f>'Design &amp; Insights'!E82</x:f>
        <x:v>DI.CS.2.7</x:v>
      </x:c>
      <x:c r="G1454" s="14" t="str">
        <x:f>'Design &amp; Insights'!F82</x:f>
        <x:v>Update Outcome portion of research plan with current enhancement verbiage (as needed)</x:v>
      </x:c>
      <x:c r="H1454" s="2" t="str">
        <x:f>IF('Design &amp; Insights'!G82="","",'Design &amp; Insights'!G82)</x:f>
      </x:c>
      <x:c r="I1454" s="12" t="str">
        <x:f>IF('Design &amp; Insights'!H82="","",'Design &amp; Insights'!H82)</x:f>
      </x:c>
      <x:c r="J1454" s="12" t="n">
        <x:f>IF('Design &amp; Insights'!I82="","",'Design &amp; Insights'!I82)</x:f>
        <x:v>46112</x:v>
      </x:c>
      <x:c r="K1454" s="12" t="str">
        <x:f>IF('Design &amp; Insights'!J82="","",'Design &amp; Insights'!J82)</x:f>
      </x:c>
      <x:c r="L1454" s="2" t="str">
        <x:f>IF('Design &amp; Insights'!K82="","",'Design &amp; Insights'!K82)</x:f>
      </x:c>
      <x:c r="M1454" s="2" t="n">
        <x:f>'Design &amp; Insights'!Q82</x:f>
        <x:v>1</x:v>
      </x:c>
      <x:c r="N1454" s="2" t="str">
        <x:f>'Design &amp; Insights'!L82</x:f>
        <x:v>Not started</x:v>
      </x:c>
      <x:c r="O1454" s="2" t="str">
        <x:f>'Design &amp; Insights'!N82</x:f>
        <x:v>DI.CS.2.7.2026.CY1</x:v>
      </x:c>
      <x:c r="P1454" s="2" t="n">
        <x:f>'Design &amp; Insights'!O82</x:f>
        <x:v>0</x:v>
      </x:c>
      <x:c r="Q1454" s="2" t="n">
        <x:f>SUBTOTAL(103,O1454)</x:f>
        <x:v>1</x:v>
      </x:c>
      <x:c r="R1454" s="2" t="n">
        <x:f>IF(AND(M1454=1,OR(Dashboard!$B$7="All",Dashboard!$B$7='Cycles &amp; Guide'!$C$5),OR(Dashboard!$D$7="All",Dashboard!$D$7=B1454),OR(Dashboard!$F$7="All",Dashboard!$F$7=C1454),OR(Dashboard!$H$7="All",Dashboard!$H$7=D1454),OR(Dashboard!$K$7="All",Dashboard!$K$7=E1454)),1,0)</x:f>
        <x:v>1</x:v>
      </x:c>
      <x:c r="S1454" s="2" t="n">
        <x:f>IF(R1454=1,SUM($R$10:R1454),0)</x:f>
        <x:v>1081</x:v>
      </x:c>
      <x:c r="T1454" s="2" t="str">
        <x:v>Design &amp; Insights</x:v>
      </x:c>
      <x:c r="U1454" s="2" t="n">
        <x:v>82</x:v>
      </x:c>
      <x:c r="V1454" s="2" t="n">
        <x:f>IF(AND(M1454=1,P1454=0,ISNUMBER(J1454),J1454&lt;TODAY()),1,0)</x:f>
        <x:v>1</x:v>
      </x:c>
      <x:c r="W1454" s="2" t="str">
        <x:f>'Design &amp; Insights'!M82</x:f>
        <x:v>Task</x:v>
      </x:c>
    </x:row>
    <x:row r="1455" ht="40" customHeight="1">
      <x:c r="A1455" s="3" t="str">
        <x:f>HYPERLINK("#'Design &amp; Insights'!A83","Open")</x:f>
        <x:v>Open</x:v>
      </x:c>
      <x:c r="B1455" s="2" t="str">
        <x:f>'Design &amp; Insights'!B83</x:f>
        <x:v>Cycle 1</x:v>
      </x:c>
      <x:c r="C1455" s="2" t="str">
        <x:f>'Design &amp; Insights'!C83</x:f>
        <x:v>Phase 3</x:v>
      </x:c>
      <x:c r="D1455" s="2" t="str">
        <x:f>'Design &amp; Insights'!D83</x:f>
        <x:v>CSBBO - Customer Service</x:v>
      </x:c>
      <x:c r="E1455" s="2" t="str">
        <x:v>Design &amp; Insights</x:v>
      </x:c>
      <x:c r="F1455" s="56" t="str">
        <x:f>'Design &amp; Insights'!E83</x:f>
        <x:v>DI.CS.3.1</x:v>
      </x:c>
      <x:c r="G1455" s="14" t="str">
        <x:f>'Design &amp; Insights'!F83</x:f>
        <x:v>Confirm list of required &amp; optional attendees for pre-socialization meeting</x:v>
      </x:c>
      <x:c r="H1455" s="2" t="str">
        <x:f>IF('Design &amp; Insights'!G83="","",'Design &amp; Insights'!G83)</x:f>
      </x:c>
      <x:c r="I1455" s="12" t="str">
        <x:f>IF('Design &amp; Insights'!H83="","",'Design &amp; Insights'!H83)</x:f>
      </x:c>
      <x:c r="J1455" s="12" t="n">
        <x:f>IF('Design &amp; Insights'!I83="","",'Design &amp; Insights'!I83)</x:f>
        <x:v>46112</x:v>
      </x:c>
      <x:c r="K1455" s="12" t="str">
        <x:f>IF('Design &amp; Insights'!J83="","",'Design &amp; Insights'!J83)</x:f>
      </x:c>
      <x:c r="L1455" s="2" t="str">
        <x:f>IF('Design &amp; Insights'!K83="","",'Design &amp; Insights'!K83)</x:f>
      </x:c>
      <x:c r="M1455" s="2" t="n">
        <x:f>'Design &amp; Insights'!Q83</x:f>
        <x:v>1</x:v>
      </x:c>
      <x:c r="N1455" s="2" t="str">
        <x:f>'Design &amp; Insights'!L83</x:f>
        <x:v>Not started</x:v>
      </x:c>
      <x:c r="O1455" s="2" t="str">
        <x:f>'Design &amp; Insights'!N83</x:f>
        <x:v>DI.CS.3.1.2026.CY1</x:v>
      </x:c>
      <x:c r="P1455" s="2" t="n">
        <x:f>'Design &amp; Insights'!O83</x:f>
        <x:v>0</x:v>
      </x:c>
      <x:c r="Q1455" s="2" t="n">
        <x:f>SUBTOTAL(103,O1455)</x:f>
        <x:v>1</x:v>
      </x:c>
      <x:c r="R1455" s="2" t="n">
        <x:f>IF(AND(M1455=1,OR(Dashboard!$B$7="All",Dashboard!$B$7='Cycles &amp; Guide'!$C$5),OR(Dashboard!$D$7="All",Dashboard!$D$7=B1455),OR(Dashboard!$F$7="All",Dashboard!$F$7=C1455),OR(Dashboard!$H$7="All",Dashboard!$H$7=D1455),OR(Dashboard!$K$7="All",Dashboard!$K$7=E1455)),1,0)</x:f>
        <x:v>1</x:v>
      </x:c>
      <x:c r="S1455" s="2" t="n">
        <x:f>IF(R1455=1,SUM($R$10:R1455),0)</x:f>
        <x:v>1082</x:v>
      </x:c>
      <x:c r="T1455" s="2" t="str">
        <x:v>Design &amp; Insights</x:v>
      </x:c>
      <x:c r="U1455" s="2" t="n">
        <x:v>83</x:v>
      </x:c>
      <x:c r="V1455" s="2" t="n">
        <x:f>IF(AND(M1455=1,P1455=0,ISNUMBER(J1455),J1455&lt;TODAY()),1,0)</x:f>
        <x:v>1</x:v>
      </x:c>
      <x:c r="W1455" s="2" t="str">
        <x:f>'Design &amp; Insights'!M83</x:f>
        <x:v>Task</x:v>
      </x:c>
    </x:row>
    <x:row r="1456" ht="40" customHeight="1">
      <x:c r="A1456" s="3" t="str">
        <x:f>HYPERLINK("#'Design &amp; Insights'!A84","Open")</x:f>
        <x:v>Open</x:v>
      </x:c>
      <x:c r="B1456" s="2" t="str">
        <x:f>'Design &amp; Insights'!B84</x:f>
        <x:v>Cycle 1</x:v>
      </x:c>
      <x:c r="C1456" s="2" t="str">
        <x:f>'Design &amp; Insights'!C84</x:f>
        <x:v>Phase 3</x:v>
      </x:c>
      <x:c r="D1456" s="2" t="str">
        <x:f>'Design &amp; Insights'!D84</x:f>
        <x:v>CSBBO - Customer Service</x:v>
      </x:c>
      <x:c r="E1456" s="2" t="str">
        <x:v>Design &amp; Insights</x:v>
      </x:c>
      <x:c r="F1456" s="56" t="str">
        <x:f>'Design &amp; Insights'!E84</x:f>
        <x:v>DI.CS.3.2</x:v>
      </x:c>
      <x:c r="G1456" s="14" t="str">
        <x:f>'Design &amp; Insights'!F84</x:f>
        <x:v>Schedule pre-socialization meeting 1 week prior to RCA Forum</x:v>
      </x:c>
      <x:c r="H1456" s="2" t="str">
        <x:f>IF('Design &amp; Insights'!G84="","",'Design &amp; Insights'!G84)</x:f>
      </x:c>
      <x:c r="I1456" s="12" t="str">
        <x:f>IF('Design &amp; Insights'!H84="","",'Design &amp; Insights'!H84)</x:f>
      </x:c>
      <x:c r="J1456" s="12" t="str">
        <x:f>IF('Design &amp; Insights'!I84="","",'Design &amp; Insights'!I84)</x:f>
      </x:c>
      <x:c r="K1456" s="12" t="str">
        <x:f>IF('Design &amp; Insights'!J84="","",'Design &amp; Insights'!J84)</x:f>
      </x:c>
      <x:c r="L1456" s="2" t="str">
        <x:f>IF('Design &amp; Insights'!K84="","",'Design &amp; Insights'!K84)</x:f>
      </x:c>
      <x:c r="M1456" s="2" t="n">
        <x:f>'Design &amp; Insights'!Q84</x:f>
        <x:v>1</x:v>
      </x:c>
      <x:c r="N1456" s="2" t="str">
        <x:f>'Design &amp; Insights'!L84</x:f>
        <x:v>Not started</x:v>
      </x:c>
      <x:c r="O1456" s="2" t="str">
        <x:f>'Design &amp; Insights'!N84</x:f>
        <x:v>DI.CS.3.2.2026.CY1</x:v>
      </x:c>
      <x:c r="P1456" s="2" t="n">
        <x:f>'Design &amp; Insights'!O84</x:f>
        <x:v>0</x:v>
      </x:c>
      <x:c r="Q1456" s="2" t="n">
        <x:f>SUBTOTAL(103,O1456)</x:f>
        <x:v>1</x:v>
      </x:c>
      <x:c r="R1456" s="2" t="n">
        <x:f>IF(AND(M1456=1,OR(Dashboard!$B$7="All",Dashboard!$B$7='Cycles &amp; Guide'!$C$5),OR(Dashboard!$D$7="All",Dashboard!$D$7=B1456),OR(Dashboard!$F$7="All",Dashboard!$F$7=C1456),OR(Dashboard!$H$7="All",Dashboard!$H$7=D1456),OR(Dashboard!$K$7="All",Dashboard!$K$7=E1456)),1,0)</x:f>
        <x:v>1</x:v>
      </x:c>
      <x:c r="S1456" s="2" t="n">
        <x:f>IF(R1456=1,SUM($R$10:R1456),0)</x:f>
        <x:v>1083</x:v>
      </x:c>
      <x:c r="T1456" s="2" t="str">
        <x:v>Design &amp; Insights</x:v>
      </x:c>
      <x:c r="U1456" s="2" t="n">
        <x:v>84</x:v>
      </x:c>
      <x:c r="V1456" s="2" t="n">
        <x:f>IF(AND(M1456=1,P1456=0,ISNUMBER(J1456),J1456&lt;TODAY()),1,0)</x:f>
        <x:v>0</x:v>
      </x:c>
      <x:c r="W1456" s="2" t="str">
        <x:f>'Design &amp; Insights'!M84</x:f>
        <x:v>Task</x:v>
      </x:c>
    </x:row>
    <x:row r="1457" ht="40" customHeight="1">
      <x:c r="A1457" s="3" t="str">
        <x:f>HYPERLINK("#'Design &amp; Insights'!A85","Open")</x:f>
        <x:v>Open</x:v>
      </x:c>
      <x:c r="B1457" s="2" t="str">
        <x:f>'Design &amp; Insights'!B85</x:f>
        <x:v>Cycle 1</x:v>
      </x:c>
      <x:c r="C1457" s="2" t="str">
        <x:f>'Design &amp; Insights'!C85</x:f>
        <x:v>Phase 3</x:v>
      </x:c>
      <x:c r="D1457" s="2" t="str">
        <x:f>'Design &amp; Insights'!D85</x:f>
        <x:v>CSBBO - Customer Service</x:v>
      </x:c>
      <x:c r="E1457" s="2" t="str">
        <x:v>Design &amp; Insights</x:v>
      </x:c>
      <x:c r="F1457" s="56" t="str">
        <x:f>'Design &amp; Insights'!E85</x:f>
        <x:v>DI.CS.3.3</x:v>
      </x:c>
      <x:c r="G1457" s="14" t="str">
        <x:f>'Design &amp; Insights'!F85</x:f>
        <x:v>Present findings, conclusions, and recommendation to SMEs</x:v>
      </x:c>
      <x:c r="H1457" s="2" t="str">
        <x:f>IF('Design &amp; Insights'!G85="","",'Design &amp; Insights'!G85)</x:f>
      </x:c>
      <x:c r="I1457" s="12" t="str">
        <x:f>IF('Design &amp; Insights'!H85="","",'Design &amp; Insights'!H85)</x:f>
      </x:c>
      <x:c r="J1457" s="12" t="n">
        <x:f>IF('Design &amp; Insights'!I85="","",'Design &amp; Insights'!I85)</x:f>
        <x:v>46112</x:v>
      </x:c>
      <x:c r="K1457" s="12" t="str">
        <x:f>IF('Design &amp; Insights'!J85="","",'Design &amp; Insights'!J85)</x:f>
      </x:c>
      <x:c r="L1457" s="2" t="str">
        <x:f>IF('Design &amp; Insights'!K85="","",'Design &amp; Insights'!K85)</x:f>
      </x:c>
      <x:c r="M1457" s="2" t="n">
        <x:f>'Design &amp; Insights'!Q85</x:f>
        <x:v>1</x:v>
      </x:c>
      <x:c r="N1457" s="2" t="str">
        <x:f>'Design &amp; Insights'!L85</x:f>
        <x:v>Not started</x:v>
      </x:c>
      <x:c r="O1457" s="2" t="str">
        <x:f>'Design &amp; Insights'!N85</x:f>
        <x:v>DI.CS.3.3.2026.CY1</x:v>
      </x:c>
      <x:c r="P1457" s="2" t="n">
        <x:f>'Design &amp; Insights'!O85</x:f>
        <x:v>0</x:v>
      </x:c>
      <x:c r="Q1457" s="2" t="n">
        <x:f>SUBTOTAL(103,O1457)</x:f>
        <x:v>1</x:v>
      </x:c>
      <x:c r="R1457" s="2" t="n">
        <x:f>IF(AND(M1457=1,OR(Dashboard!$B$7="All",Dashboard!$B$7='Cycles &amp; Guide'!$C$5),OR(Dashboard!$D$7="All",Dashboard!$D$7=B1457),OR(Dashboard!$F$7="All",Dashboard!$F$7=C1457),OR(Dashboard!$H$7="All",Dashboard!$H$7=D1457),OR(Dashboard!$K$7="All",Dashboard!$K$7=E1457)),1,0)</x:f>
        <x:v>1</x:v>
      </x:c>
      <x:c r="S1457" s="2" t="n">
        <x:f>IF(R1457=1,SUM($R$10:R1457),0)</x:f>
        <x:v>1084</x:v>
      </x:c>
      <x:c r="T1457" s="2" t="str">
        <x:v>Design &amp; Insights</x:v>
      </x:c>
      <x:c r="U1457" s="2" t="n">
        <x:v>85</x:v>
      </x:c>
      <x:c r="V1457" s="2" t="n">
        <x:f>IF(AND(M1457=1,P1457=0,ISNUMBER(J1457),J1457&lt;TODAY()),1,0)</x:f>
        <x:v>1</x:v>
      </x:c>
      <x:c r="W1457" s="2" t="str">
        <x:f>'Design &amp; Insights'!M85</x:f>
        <x:v>Task</x:v>
      </x:c>
    </x:row>
    <x:row r="1458" ht="40" customHeight="1">
      <x:c r="A1458" s="3" t="str">
        <x:f>HYPERLINK("#'Design &amp; Insights'!A86","Open")</x:f>
        <x:v>Open</x:v>
      </x:c>
      <x:c r="B1458" s="2" t="str">
        <x:f>'Design &amp; Insights'!B86</x:f>
        <x:v>Cycle 1</x:v>
      </x:c>
      <x:c r="C1458" s="2" t="str">
        <x:f>'Design &amp; Insights'!C86</x:f>
        <x:v>Phase 3</x:v>
      </x:c>
      <x:c r="D1458" s="2" t="str">
        <x:f>'Design &amp; Insights'!D86</x:f>
        <x:v>CSBBO - Customer Service</x:v>
      </x:c>
      <x:c r="E1458" s="2" t="str">
        <x:v>Design &amp; Insights</x:v>
      </x:c>
      <x:c r="F1458" s="56" t="str">
        <x:f>'Design &amp; Insights'!E86</x:f>
        <x:v>DI.CS.3.4</x:v>
      </x:c>
      <x:c r="G1458" s="14" t="str">
        <x:f>'Design &amp; Insights'!F86</x:f>
        <x:v>Update Outcome portion of research plan (as needed)</x:v>
      </x:c>
      <x:c r="H1458" s="2" t="str">
        <x:f>IF('Design &amp; Insights'!G86="","",'Design &amp; Insights'!G86)</x:f>
      </x:c>
      <x:c r="I1458" s="12" t="str">
        <x:f>IF('Design &amp; Insights'!H86="","",'Design &amp; Insights'!H86)</x:f>
      </x:c>
      <x:c r="J1458" s="12" t="n">
        <x:f>IF('Design &amp; Insights'!I86="","",'Design &amp; Insights'!I86)</x:f>
        <x:v>46112</x:v>
      </x:c>
      <x:c r="K1458" s="12" t="str">
        <x:f>IF('Design &amp; Insights'!J86="","",'Design &amp; Insights'!J86)</x:f>
      </x:c>
      <x:c r="L1458" s="2" t="str">
        <x:f>IF('Design &amp; Insights'!K86="","",'Design &amp; Insights'!K86)</x:f>
      </x:c>
      <x:c r="M1458" s="2" t="n">
        <x:f>'Design &amp; Insights'!Q86</x:f>
        <x:v>1</x:v>
      </x:c>
      <x:c r="N1458" s="2" t="str">
        <x:f>'Design &amp; Insights'!L86</x:f>
        <x:v>Not started</x:v>
      </x:c>
      <x:c r="O1458" s="2" t="str">
        <x:f>'Design &amp; Insights'!N86</x:f>
        <x:v>DI.CS.3.4.2026.CY1</x:v>
      </x:c>
      <x:c r="P1458" s="2" t="n">
        <x:f>'Design &amp; Insights'!O86</x:f>
        <x:v>0</x:v>
      </x:c>
      <x:c r="Q1458" s="2" t="n">
        <x:f>SUBTOTAL(103,O1458)</x:f>
        <x:v>1</x:v>
      </x:c>
      <x:c r="R1458" s="2" t="n">
        <x:f>IF(AND(M1458=1,OR(Dashboard!$B$7="All",Dashboard!$B$7='Cycles &amp; Guide'!$C$5),OR(Dashboard!$D$7="All",Dashboard!$D$7=B1458),OR(Dashboard!$F$7="All",Dashboard!$F$7=C1458),OR(Dashboard!$H$7="All",Dashboard!$H$7=D1458),OR(Dashboard!$K$7="All",Dashboard!$K$7=E1458)),1,0)</x:f>
        <x:v>1</x:v>
      </x:c>
      <x:c r="S1458" s="2" t="n">
        <x:f>IF(R1458=1,SUM($R$10:R1458),0)</x:f>
        <x:v>1085</x:v>
      </x:c>
      <x:c r="T1458" s="2" t="str">
        <x:v>Design &amp; Insights</x:v>
      </x:c>
      <x:c r="U1458" s="2" t="n">
        <x:v>86</x:v>
      </x:c>
      <x:c r="V1458" s="2" t="n">
        <x:f>IF(AND(M1458=1,P1458=0,ISNUMBER(J1458),J1458&lt;TODAY()),1,0)</x:f>
        <x:v>1</x:v>
      </x:c>
      <x:c r="W1458" s="2" t="str">
        <x:f>'Design &amp; Insights'!M86</x:f>
        <x:v>Task</x:v>
      </x:c>
    </x:row>
    <x:row r="1459" ht="40" customHeight="1">
      <x:c r="A1459" s="3" t="str">
        <x:f>HYPERLINK("#'Design &amp; Insights'!A87","Open")</x:f>
        <x:v>Open</x:v>
      </x:c>
      <x:c r="B1459" s="2" t="str">
        <x:f>'Design &amp; Insights'!B87</x:f>
        <x:v>Cycle 1</x:v>
      </x:c>
      <x:c r="C1459" s="2" t="str">
        <x:f>'Design &amp; Insights'!C87</x:f>
        <x:v>Phase 3</x:v>
      </x:c>
      <x:c r="D1459" s="2" t="str">
        <x:f>'Design &amp; Insights'!D87</x:f>
        <x:v>CSBBO - Customer Service</x:v>
      </x:c>
      <x:c r="E1459" s="2" t="str">
        <x:v>Design &amp; Insights</x:v>
      </x:c>
      <x:c r="F1459" s="56" t="str">
        <x:f>'Design &amp; Insights'!E87</x:f>
        <x:v>DI.CS.3.5</x:v>
      </x:c>
      <x:c r="G1459" s="14" t="str">
        <x:f>'Design &amp; Insights'!F87</x:f>
        <x:v>Finalize presentation deck by incorporating pre-socialization feedback (as needed)</x:v>
      </x:c>
      <x:c r="H1459" s="2" t="str">
        <x:f>IF('Design &amp; Insights'!G87="","",'Design &amp; Insights'!G87)</x:f>
      </x:c>
      <x:c r="I1459" s="12" t="str">
        <x:f>IF('Design &amp; Insights'!H87="","",'Design &amp; Insights'!H87)</x:f>
      </x:c>
      <x:c r="J1459" s="12" t="n">
        <x:f>IF('Design &amp; Insights'!I87="","",'Design &amp; Insights'!I87)</x:f>
        <x:v>46112</x:v>
      </x:c>
      <x:c r="K1459" s="12" t="str">
        <x:f>IF('Design &amp; Insights'!J87="","",'Design &amp; Insights'!J87)</x:f>
      </x:c>
      <x:c r="L1459" s="2" t="str">
        <x:f>IF('Design &amp; Insights'!K87="","",'Design &amp; Insights'!K87)</x:f>
      </x:c>
      <x:c r="M1459" s="2" t="n">
        <x:f>'Design &amp; Insights'!Q87</x:f>
        <x:v>1</x:v>
      </x:c>
      <x:c r="N1459" s="2" t="str">
        <x:f>'Design &amp; Insights'!L87</x:f>
        <x:v>Not started</x:v>
      </x:c>
      <x:c r="O1459" s="2" t="str">
        <x:f>'Design &amp; Insights'!N87</x:f>
        <x:v>DI.CS.3.5.2026.CY1</x:v>
      </x:c>
      <x:c r="P1459" s="2" t="n">
        <x:f>'Design &amp; Insights'!O87</x:f>
        <x:v>0</x:v>
      </x:c>
      <x:c r="Q1459" s="2" t="n">
        <x:f>SUBTOTAL(103,O1459)</x:f>
        <x:v>1</x:v>
      </x:c>
      <x:c r="R1459" s="2" t="n">
        <x:f>IF(AND(M1459=1,OR(Dashboard!$B$7="All",Dashboard!$B$7='Cycles &amp; Guide'!$C$5),OR(Dashboard!$D$7="All",Dashboard!$D$7=B1459),OR(Dashboard!$F$7="All",Dashboard!$F$7=C1459),OR(Dashboard!$H$7="All",Dashboard!$H$7=D1459),OR(Dashboard!$K$7="All",Dashboard!$K$7=E1459)),1,0)</x:f>
        <x:v>1</x:v>
      </x:c>
      <x:c r="S1459" s="2" t="n">
        <x:f>IF(R1459=1,SUM($R$10:R1459),0)</x:f>
        <x:v>1086</x:v>
      </x:c>
      <x:c r="T1459" s="2" t="str">
        <x:v>Design &amp; Insights</x:v>
      </x:c>
      <x:c r="U1459" s="2" t="n">
        <x:v>87</x:v>
      </x:c>
      <x:c r="V1459" s="2" t="n">
        <x:f>IF(AND(M1459=1,P1459=0,ISNUMBER(J1459),J1459&lt;TODAY()),1,0)</x:f>
        <x:v>1</x:v>
      </x:c>
      <x:c r="W1459" s="2" t="str">
        <x:f>'Design &amp; Insights'!M87</x:f>
        <x:v>Task</x:v>
      </x:c>
    </x:row>
    <x:row r="1460" ht="40" customHeight="1">
      <x:c r="A1460" s="3" t="str">
        <x:f>HYPERLINK("#'Design &amp; Insights'!A88","Open")</x:f>
        <x:v>Open</x:v>
      </x:c>
      <x:c r="B1460" s="2" t="str">
        <x:f>'Design &amp; Insights'!B88</x:f>
        <x:v>Cycle 1</x:v>
      </x:c>
      <x:c r="C1460" s="2" t="str">
        <x:f>'Design &amp; Insights'!C88</x:f>
        <x:v>Phase 3</x:v>
      </x:c>
      <x:c r="D1460" s="2" t="str">
        <x:f>'Design &amp; Insights'!D88</x:f>
        <x:v>CSBBO - Customer Service</x:v>
      </x:c>
      <x:c r="E1460" s="2" t="str">
        <x:v>Design &amp; Insights</x:v>
      </x:c>
      <x:c r="F1460" s="56" t="str">
        <x:f>'Design &amp; Insights'!E88</x:f>
        <x:v>DI.CS.3.6</x:v>
      </x:c>
      <x:c r="G1460" s="14" t="str">
        <x:f>'Design &amp; Insights'!F88</x:f>
        <x:v>Ensure final deck is communicated to Forum attendees</x:v>
      </x:c>
      <x:c r="H1460" s="2" t="str">
        <x:f>IF('Design &amp; Insights'!G88="","",'Design &amp; Insights'!G88)</x:f>
      </x:c>
      <x:c r="I1460" s="12" t="str">
        <x:f>IF('Design &amp; Insights'!H88="","",'Design &amp; Insights'!H88)</x:f>
      </x:c>
      <x:c r="J1460" s="12" t="n">
        <x:f>IF('Design &amp; Insights'!I88="","",'Design &amp; Insights'!I88)</x:f>
        <x:v>46112</x:v>
      </x:c>
      <x:c r="K1460" s="12" t="str">
        <x:f>IF('Design &amp; Insights'!J88="","",'Design &amp; Insights'!J88)</x:f>
      </x:c>
      <x:c r="L1460" s="2" t="str">
        <x:f>IF('Design &amp; Insights'!K88="","",'Design &amp; Insights'!K88)</x:f>
      </x:c>
      <x:c r="M1460" s="2" t="n">
        <x:f>'Design &amp; Insights'!Q88</x:f>
        <x:v>1</x:v>
      </x:c>
      <x:c r="N1460" s="2" t="str">
        <x:f>'Design &amp; Insights'!L88</x:f>
        <x:v>Not started</x:v>
      </x:c>
      <x:c r="O1460" s="2" t="str">
        <x:f>'Design &amp; Insights'!N88</x:f>
        <x:v>DI.CS.3.6.2026.CY1</x:v>
      </x:c>
      <x:c r="P1460" s="2" t="n">
        <x:f>'Design &amp; Insights'!O88</x:f>
        <x:v>0</x:v>
      </x:c>
      <x:c r="Q1460" s="2" t="n">
        <x:f>SUBTOTAL(103,O1460)</x:f>
        <x:v>1</x:v>
      </x:c>
      <x:c r="R1460" s="2" t="n">
        <x:f>IF(AND(M1460=1,OR(Dashboard!$B$7="All",Dashboard!$B$7='Cycles &amp; Guide'!$C$5),OR(Dashboard!$D$7="All",Dashboard!$D$7=B1460),OR(Dashboard!$F$7="All",Dashboard!$F$7=C1460),OR(Dashboard!$H$7="All",Dashboard!$H$7=D1460),OR(Dashboard!$K$7="All",Dashboard!$K$7=E1460)),1,0)</x:f>
        <x:v>1</x:v>
      </x:c>
      <x:c r="S1460" s="2" t="n">
        <x:f>IF(R1460=1,SUM($R$10:R1460),0)</x:f>
        <x:v>1087</x:v>
      </x:c>
      <x:c r="T1460" s="2" t="str">
        <x:v>Design &amp; Insights</x:v>
      </x:c>
      <x:c r="U1460" s="2" t="n">
        <x:v>88</x:v>
      </x:c>
      <x:c r="V1460" s="2" t="n">
        <x:f>IF(AND(M1460=1,P1460=0,ISNUMBER(J1460),J1460&lt;TODAY()),1,0)</x:f>
        <x:v>1</x:v>
      </x:c>
      <x:c r="W1460" s="2" t="str">
        <x:f>'Design &amp; Insights'!M88</x:f>
        <x:v>Task</x:v>
      </x:c>
    </x:row>
    <x:row r="1461" ht="40" customHeight="1">
      <x:c r="A1461" s="3" t="str">
        <x:f>HYPERLINK("#'Design &amp; Insights'!A89","Open")</x:f>
        <x:v>Open</x:v>
      </x:c>
      <x:c r="B1461" s="2" t="str">
        <x:f>'Design &amp; Insights'!B89</x:f>
        <x:v>Cycle 1</x:v>
      </x:c>
      <x:c r="C1461" s="2" t="str">
        <x:f>'Design &amp; Insights'!C89</x:f>
        <x:v>Phase 3</x:v>
      </x:c>
      <x:c r="D1461" s="2" t="str">
        <x:f>'Design &amp; Insights'!D89</x:f>
        <x:v>CSBBO - Customer Service</x:v>
      </x:c>
      <x:c r="E1461" s="2" t="str">
        <x:v>Design &amp; Insights</x:v>
      </x:c>
      <x:c r="F1461" s="56" t="str">
        <x:f>'Design &amp; Insights'!E89</x:f>
        <x:v>DI.CS.3.7</x:v>
      </x:c>
      <x:c r="G1461" s="14" t="str">
        <x:f>'Design &amp; Insights'!F89</x:f>
        <x:v>Present material in RCA Cycle Forum</x:v>
      </x:c>
      <x:c r="H1461" s="2" t="str">
        <x:f>IF('Design &amp; Insights'!G89="","",'Design &amp; Insights'!G89)</x:f>
      </x:c>
      <x:c r="I1461" s="12" t="str">
        <x:f>IF('Design &amp; Insights'!H89="","",'Design &amp; Insights'!H89)</x:f>
      </x:c>
      <x:c r="J1461" s="12" t="str">
        <x:f>IF('Design &amp; Insights'!I89="","",'Design &amp; Insights'!I89)</x:f>
      </x:c>
      <x:c r="K1461" s="12" t="str">
        <x:f>IF('Design &amp; Insights'!J89="","",'Design &amp; Insights'!J89)</x:f>
      </x:c>
      <x:c r="L1461" s="2" t="str">
        <x:f>IF('Design &amp; Insights'!K89="","",'Design &amp; Insights'!K89)</x:f>
      </x:c>
      <x:c r="M1461" s="2" t="n">
        <x:f>'Design &amp; Insights'!Q89</x:f>
        <x:v>1</x:v>
      </x:c>
      <x:c r="N1461" s="2" t="str">
        <x:f>'Design &amp; Insights'!L89</x:f>
        <x:v>Not started</x:v>
      </x:c>
      <x:c r="O1461" s="2" t="str">
        <x:f>'Design &amp; Insights'!N89</x:f>
        <x:v>DI.CS.3.7.2026.CY1</x:v>
      </x:c>
      <x:c r="P1461" s="2" t="n">
        <x:f>'Design &amp; Insights'!O89</x:f>
        <x:v>0</x:v>
      </x:c>
      <x:c r="Q1461" s="2" t="n">
        <x:f>SUBTOTAL(103,O1461)</x:f>
        <x:v>1</x:v>
      </x:c>
      <x:c r="R1461" s="2" t="n">
        <x:f>IF(AND(M1461=1,OR(Dashboard!$B$7="All",Dashboard!$B$7='Cycles &amp; Guide'!$C$5),OR(Dashboard!$D$7="All",Dashboard!$D$7=B1461),OR(Dashboard!$F$7="All",Dashboard!$F$7=C1461),OR(Dashboard!$H$7="All",Dashboard!$H$7=D1461),OR(Dashboard!$K$7="All",Dashboard!$K$7=E1461)),1,0)</x:f>
        <x:v>1</x:v>
      </x:c>
      <x:c r="S1461" s="2" t="n">
        <x:f>IF(R1461=1,SUM($R$10:R1461),0)</x:f>
        <x:v>1088</x:v>
      </x:c>
      <x:c r="T1461" s="2" t="str">
        <x:v>Design &amp; Insights</x:v>
      </x:c>
      <x:c r="U1461" s="2" t="n">
        <x:v>89</x:v>
      </x:c>
      <x:c r="V1461" s="2" t="n">
        <x:f>IF(AND(M1461=1,P1461=0,ISNUMBER(J1461),J1461&lt;TODAY()),1,0)</x:f>
        <x:v>0</x:v>
      </x:c>
      <x:c r="W1461" s="2" t="str">
        <x:f>'Design &amp; Insights'!M89</x:f>
        <x:v>Task</x:v>
      </x:c>
    </x:row>
    <x:row r="1462" ht="40" customHeight="1">
      <x:c r="A1462" s="3" t="str">
        <x:f>HYPERLINK("#'Design &amp; Insights'!A90","Open")</x:f>
        <x:v>Open</x:v>
      </x:c>
      <x:c r="B1462" s="2" t="str">
        <x:f>'Design &amp; Insights'!B90</x:f>
        <x:v>Cycle 1</x:v>
      </x:c>
      <x:c r="C1462" s="2" t="str">
        <x:f>'Design &amp; Insights'!C90</x:f>
        <x:v>Phase 1</x:v>
      </x:c>
      <x:c r="D1462" s="2" t="str">
        <x:f>'Design &amp; Insights'!D90</x:f>
        <x:v>FCM</x:v>
      </x:c>
      <x:c r="E1462" s="2" t="str">
        <x:v>Design &amp; Insights</x:v>
      </x:c>
      <x:c r="F1462" s="56" t="str">
        <x:f>'Design &amp; Insights'!E90</x:f>
        <x:v>DI.FC.1.1</x:v>
      </x:c>
      <x:c r="G1462" s="14" t="str">
        <x:f>'Design &amp; Insights'!F90</x:f>
        <x:v>Receive and review potential research topics at least 2 weeks prior to Cycle start date</x:v>
      </x:c>
      <x:c r="H1462" s="2" t="str">
        <x:f>IF('Design &amp; Insights'!G90="","",'Design &amp; Insights'!G90)</x:f>
      </x:c>
      <x:c r="I1462" s="12" t="str">
        <x:f>IF('Design &amp; Insights'!H90="","",'Design &amp; Insights'!H90)</x:f>
      </x:c>
      <x:c r="J1462" s="12" t="n">
        <x:f>IF('Design &amp; Insights'!I90="","",'Design &amp; Insights'!I90)</x:f>
        <x:v>46009</x:v>
      </x:c>
      <x:c r="K1462" s="12" t="str">
        <x:f>IF('Design &amp; Insights'!J90="","",'Design &amp; Insights'!J90)</x:f>
      </x:c>
      <x:c r="L1462" s="2" t="str">
        <x:f>IF('Design &amp; Insights'!K90="","",'Design &amp; Insights'!K90)</x:f>
      </x:c>
      <x:c r="M1462" s="2" t="n">
        <x:f>'Design &amp; Insights'!Q90</x:f>
        <x:v>1</x:v>
      </x:c>
      <x:c r="N1462" s="2" t="str">
        <x:f>'Design &amp; Insights'!L90</x:f>
        <x:v>Not started</x:v>
      </x:c>
      <x:c r="O1462" s="2" t="str">
        <x:f>'Design &amp; Insights'!N90</x:f>
        <x:v>DI.FC.1.1.2026.CY1</x:v>
      </x:c>
      <x:c r="P1462" s="2" t="n">
        <x:f>'Design &amp; Insights'!O90</x:f>
        <x:v>0</x:v>
      </x:c>
      <x:c r="Q1462" s="2" t="n">
        <x:f>SUBTOTAL(103,O1462)</x:f>
        <x:v>1</x:v>
      </x:c>
      <x:c r="R1462" s="2" t="n">
        <x:f>IF(AND(M1462=1,OR(Dashboard!$B$7="All",Dashboard!$B$7='Cycles &amp; Guide'!$C$5),OR(Dashboard!$D$7="All",Dashboard!$D$7=B1462),OR(Dashboard!$F$7="All",Dashboard!$F$7=C1462),OR(Dashboard!$H$7="All",Dashboard!$H$7=D1462),OR(Dashboard!$K$7="All",Dashboard!$K$7=E1462)),1,0)</x:f>
        <x:v>1</x:v>
      </x:c>
      <x:c r="S1462" s="2" t="n">
        <x:f>IF(R1462=1,SUM($R$10:R1462),0)</x:f>
        <x:v>1089</x:v>
      </x:c>
      <x:c r="T1462" s="2" t="str">
        <x:v>Design &amp; Insights</x:v>
      </x:c>
      <x:c r="U1462" s="2" t="n">
        <x:v>90</x:v>
      </x:c>
      <x:c r="V1462" s="2" t="n">
        <x:f>IF(AND(M1462=1,P1462=0,ISNUMBER(J1462),J1462&lt;TODAY()),1,0)</x:f>
        <x:v>1</x:v>
      </x:c>
      <x:c r="W1462" s="2" t="str">
        <x:f>'Design &amp; Insights'!M90</x:f>
        <x:v>Task</x:v>
      </x:c>
    </x:row>
    <x:row r="1463" ht="40" customHeight="1">
      <x:c r="A1463" s="3" t="str">
        <x:f>HYPERLINK("#'Design &amp; Insights'!A91","Open")</x:f>
        <x:v>Open</x:v>
      </x:c>
      <x:c r="B1463" s="2" t="str">
        <x:f>'Design &amp; Insights'!B91</x:f>
        <x:v>Cycle 1</x:v>
      </x:c>
      <x:c r="C1463" s="2" t="str">
        <x:f>'Design &amp; Insights'!C91</x:f>
        <x:v>Phase 1</x:v>
      </x:c>
      <x:c r="D1463" s="2" t="str">
        <x:f>'Design &amp; Insights'!D91</x:f>
        <x:v>FCM</x:v>
      </x:c>
      <x:c r="E1463" s="2" t="str">
        <x:v>Design &amp; Insights</x:v>
      </x:c>
      <x:c r="F1463" s="56" t="str">
        <x:f>'Design &amp; Insights'!E91</x:f>
        <x:v>DI.FC.1.2</x:v>
      </x:c>
      <x:c r="G1463" s="14" t="str">
        <x:f>'Design &amp; Insights'!F91</x:f>
        <x:v>Communicate any feedback on preferences or concerns with topics identified</x:v>
      </x:c>
      <x:c r="H1463" s="2" t="str">
        <x:f>IF('Design &amp; Insights'!G91="","",'Design &amp; Insights'!G91)</x:f>
      </x:c>
      <x:c r="I1463" s="12" t="str">
        <x:f>IF('Design &amp; Insights'!H91="","",'Design &amp; Insights'!H91)</x:f>
      </x:c>
      <x:c r="J1463" s="12" t="n">
        <x:f>IF('Design &amp; Insights'!I91="","",'Design &amp; Insights'!I91)</x:f>
        <x:v>46112</x:v>
      </x:c>
      <x:c r="K1463" s="12" t="str">
        <x:f>IF('Design &amp; Insights'!J91="","",'Design &amp; Insights'!J91)</x:f>
      </x:c>
      <x:c r="L1463" s="2" t="str">
        <x:f>IF('Design &amp; Insights'!K91="","",'Design &amp; Insights'!K91)</x:f>
      </x:c>
      <x:c r="M1463" s="2" t="n">
        <x:f>'Design &amp; Insights'!Q91</x:f>
        <x:v>1</x:v>
      </x:c>
      <x:c r="N1463" s="2" t="str">
        <x:f>'Design &amp; Insights'!L91</x:f>
        <x:v>Not started</x:v>
      </x:c>
      <x:c r="O1463" s="2" t="str">
        <x:f>'Design &amp; Insights'!N91</x:f>
        <x:v>DI.FC.1.2.2026.CY1</x:v>
      </x:c>
      <x:c r="P1463" s="2" t="n">
        <x:f>'Design &amp; Insights'!O91</x:f>
        <x:v>0</x:v>
      </x:c>
      <x:c r="Q1463" s="2" t="n">
        <x:f>SUBTOTAL(103,O1463)</x:f>
        <x:v>1</x:v>
      </x:c>
      <x:c r="R1463" s="2" t="n">
        <x:f>IF(AND(M1463=1,OR(Dashboard!$B$7="All",Dashboard!$B$7='Cycles &amp; Guide'!$C$5),OR(Dashboard!$D$7="All",Dashboard!$D$7=B1463),OR(Dashboard!$F$7="All",Dashboard!$F$7=C1463),OR(Dashboard!$H$7="All",Dashboard!$H$7=D1463),OR(Dashboard!$K$7="All",Dashboard!$K$7=E1463)),1,0)</x:f>
        <x:v>1</x:v>
      </x:c>
      <x:c r="S1463" s="2" t="n">
        <x:f>IF(R1463=1,SUM($R$10:R1463),0)</x:f>
        <x:v>1090</x:v>
      </x:c>
      <x:c r="T1463" s="2" t="str">
        <x:v>Design &amp; Insights</x:v>
      </x:c>
      <x:c r="U1463" s="2" t="n">
        <x:v>91</x:v>
      </x:c>
      <x:c r="V1463" s="2" t="n">
        <x:f>IF(AND(M1463=1,P1463=0,ISNUMBER(J1463),J1463&lt;TODAY()),1,0)</x:f>
        <x:v>1</x:v>
      </x:c>
      <x:c r="W1463" s="2" t="str">
        <x:f>'Design &amp; Insights'!M91</x:f>
        <x:v>Task</x:v>
      </x:c>
    </x:row>
    <x:row r="1464" ht="40" customHeight="1">
      <x:c r="A1464" s="3" t="str">
        <x:f>HYPERLINK("#'Design &amp; Insights'!A92","Open")</x:f>
        <x:v>Open</x:v>
      </x:c>
      <x:c r="B1464" s="2" t="str">
        <x:f>'Design &amp; Insights'!B92</x:f>
        <x:v>Cycle 1</x:v>
      </x:c>
      <x:c r="C1464" s="2" t="str">
        <x:f>'Design &amp; Insights'!C92</x:f>
        <x:v>Phase 1</x:v>
      </x:c>
      <x:c r="D1464" s="2" t="str">
        <x:f>'Design &amp; Insights'!D92</x:f>
        <x:v>FCM</x:v>
      </x:c>
      <x:c r="E1464" s="2" t="str">
        <x:v>Design &amp; Insights</x:v>
      </x:c>
      <x:c r="F1464" s="56" t="str">
        <x:f>'Design &amp; Insights'!E92</x:f>
        <x:v>DI.FC.1.3</x:v>
      </x:c>
      <x:c r="G1464" s="14" t="str">
        <x:f>'Design &amp; Insights'!F92</x:f>
        <x:v>Conduct high-level preliminary review of complaints within proposed topics</x:v>
      </x:c>
      <x:c r="H1464" s="2" t="str">
        <x:f>IF('Design &amp; Insights'!G92="","",'Design &amp; Insights'!G92)</x:f>
      </x:c>
      <x:c r="I1464" s="12" t="str">
        <x:f>IF('Design &amp; Insights'!H92="","",'Design &amp; Insights'!H92)</x:f>
      </x:c>
      <x:c r="J1464" s="12" t="n">
        <x:f>IF('Design &amp; Insights'!I92="","",'Design &amp; Insights'!I92)</x:f>
        <x:v>46112</x:v>
      </x:c>
      <x:c r="K1464" s="12" t="str">
        <x:f>IF('Design &amp; Insights'!J92="","",'Design &amp; Insights'!J92)</x:f>
      </x:c>
      <x:c r="L1464" s="2" t="str">
        <x:f>IF('Design &amp; Insights'!K92="","",'Design &amp; Insights'!K92)</x:f>
      </x:c>
      <x:c r="M1464" s="2" t="n">
        <x:f>'Design &amp; Insights'!Q92</x:f>
        <x:v>1</x:v>
      </x:c>
      <x:c r="N1464" s="2" t="str">
        <x:f>'Design &amp; Insights'!L92</x:f>
        <x:v>Not started</x:v>
      </x:c>
      <x:c r="O1464" s="2" t="str">
        <x:f>'Design &amp; Insights'!N92</x:f>
        <x:v>DI.FC.1.3.2026.CY1</x:v>
      </x:c>
      <x:c r="P1464" s="2" t="n">
        <x:f>'Design &amp; Insights'!O92</x:f>
        <x:v>0</x:v>
      </x:c>
      <x:c r="Q1464" s="2" t="n">
        <x:f>SUBTOTAL(103,O1464)</x:f>
        <x:v>1</x:v>
      </x:c>
      <x:c r="R1464" s="2" t="n">
        <x:f>IF(AND(M1464=1,OR(Dashboard!$B$7="All",Dashboard!$B$7='Cycles &amp; Guide'!$C$5),OR(Dashboard!$D$7="All",Dashboard!$D$7=B1464),OR(Dashboard!$F$7="All",Dashboard!$F$7=C1464),OR(Dashboard!$H$7="All",Dashboard!$H$7=D1464),OR(Dashboard!$K$7="All",Dashboard!$K$7=E1464)),1,0)</x:f>
        <x:v>1</x:v>
      </x:c>
      <x:c r="S1464" s="2" t="n">
        <x:f>IF(R1464=1,SUM($R$10:R1464),0)</x:f>
        <x:v>1091</x:v>
      </x:c>
      <x:c r="T1464" s="2" t="str">
        <x:v>Design &amp; Insights</x:v>
      </x:c>
      <x:c r="U1464" s="2" t="n">
        <x:v>92</x:v>
      </x:c>
      <x:c r="V1464" s="2" t="n">
        <x:f>IF(AND(M1464=1,P1464=0,ISNUMBER(J1464),J1464&lt;TODAY()),1,0)</x:f>
        <x:v>1</x:v>
      </x:c>
      <x:c r="W1464" s="2" t="str">
        <x:f>'Design &amp; Insights'!M92</x:f>
        <x:v>Task</x:v>
      </x:c>
    </x:row>
    <x:row r="1465" ht="40" customHeight="1">
      <x:c r="A1465" s="3" t="str">
        <x:f>HYPERLINK("#'Design &amp; Insights'!A93","Open")</x:f>
        <x:v>Open</x:v>
      </x:c>
      <x:c r="B1465" s="2" t="str">
        <x:f>'Design &amp; Insights'!B93</x:f>
        <x:v>Cycle 1</x:v>
      </x:c>
      <x:c r="C1465" s="2" t="str">
        <x:f>'Design &amp; Insights'!C93</x:f>
        <x:v>Phase 1</x:v>
      </x:c>
      <x:c r="D1465" s="2" t="str">
        <x:f>'Design &amp; Insights'!D93</x:f>
        <x:v>FCM</x:v>
      </x:c>
      <x:c r="E1465" s="2" t="str">
        <x:v>Design &amp; Insights</x:v>
      </x:c>
      <x:c r="F1465" s="56" t="str">
        <x:f>'Design &amp; Insights'!E93</x:f>
        <x:v>DI.FC.1.4</x:v>
      </x:c>
      <x:c r="G1465" s="14" t="str">
        <x:f>'Design &amp; Insights'!F93</x:f>
        <x:v>Meet with Research to discuss which topic to select based on potential impact</x:v>
      </x:c>
      <x:c r="H1465" s="2" t="str">
        <x:f>IF('Design &amp; Insights'!G93="","",'Design &amp; Insights'!G93)</x:f>
      </x:c>
      <x:c r="I1465" s="12" t="str">
        <x:f>IF('Design &amp; Insights'!H93="","",'Design &amp; Insights'!H93)</x:f>
      </x:c>
      <x:c r="J1465" s="12" t="n">
        <x:f>IF('Design &amp; Insights'!I93="","",'Design &amp; Insights'!I93)</x:f>
        <x:v>46112</x:v>
      </x:c>
      <x:c r="K1465" s="12" t="str">
        <x:f>IF('Design &amp; Insights'!J93="","",'Design &amp; Insights'!J93)</x:f>
      </x:c>
      <x:c r="L1465" s="2" t="str">
        <x:f>IF('Design &amp; Insights'!K93="","",'Design &amp; Insights'!K93)</x:f>
      </x:c>
      <x:c r="M1465" s="2" t="n">
        <x:f>'Design &amp; Insights'!Q93</x:f>
        <x:v>1</x:v>
      </x:c>
      <x:c r="N1465" s="2" t="str">
        <x:f>'Design &amp; Insights'!L93</x:f>
        <x:v>Not started</x:v>
      </x:c>
      <x:c r="O1465" s="2" t="str">
        <x:f>'Design &amp; Insights'!N93</x:f>
        <x:v>DI.FC.1.4.2026.CY1</x:v>
      </x:c>
      <x:c r="P1465" s="2" t="n">
        <x:f>'Design &amp; Insights'!O93</x:f>
        <x:v>0</x:v>
      </x:c>
      <x:c r="Q1465" s="2" t="n">
        <x:f>SUBTOTAL(103,O1465)</x:f>
        <x:v>1</x:v>
      </x:c>
      <x:c r="R1465" s="2" t="n">
        <x:f>IF(AND(M1465=1,OR(Dashboard!$B$7="All",Dashboard!$B$7='Cycles &amp; Guide'!$C$5),OR(Dashboard!$D$7="All",Dashboard!$D$7=B1465),OR(Dashboard!$F$7="All",Dashboard!$F$7=C1465),OR(Dashboard!$H$7="All",Dashboard!$H$7=D1465),OR(Dashboard!$K$7="All",Dashboard!$K$7=E1465)),1,0)</x:f>
        <x:v>1</x:v>
      </x:c>
      <x:c r="S1465" s="2" t="n">
        <x:f>IF(R1465=1,SUM($R$10:R1465),0)</x:f>
        <x:v>1092</x:v>
      </x:c>
      <x:c r="T1465" s="2" t="str">
        <x:v>Design &amp; Insights</x:v>
      </x:c>
      <x:c r="U1465" s="2" t="n">
        <x:v>93</x:v>
      </x:c>
      <x:c r="V1465" s="2" t="n">
        <x:f>IF(AND(M1465=1,P1465=0,ISNUMBER(J1465),J1465&lt;TODAY()),1,0)</x:f>
        <x:v>1</x:v>
      </x:c>
      <x:c r="W1465" s="2" t="str">
        <x:f>'Design &amp; Insights'!M93</x:f>
        <x:v>Task</x:v>
      </x:c>
    </x:row>
    <x:row r="1466" ht="40" customHeight="1">
      <x:c r="A1466" s="3" t="str">
        <x:f>HYPERLINK("#'Design &amp; Insights'!A94","Open")</x:f>
        <x:v>Open</x:v>
      </x:c>
      <x:c r="B1466" s="2" t="str">
        <x:f>'Design &amp; Insights'!B94</x:f>
        <x:v>Cycle 1</x:v>
      </x:c>
      <x:c r="C1466" s="2" t="str">
        <x:f>'Design &amp; Insights'!C94</x:f>
        <x:v>Phase 1</x:v>
      </x:c>
      <x:c r="D1466" s="2" t="str">
        <x:f>'Design &amp; Insights'!D94</x:f>
        <x:v>FCM</x:v>
      </x:c>
      <x:c r="E1466" s="2" t="str">
        <x:v>Design &amp; Insights</x:v>
      </x:c>
      <x:c r="F1466" s="56" t="str">
        <x:f>'Design &amp; Insights'!E94</x:f>
        <x:v>DI.FC.1.5</x:v>
      </x:c>
      <x:c r="G1466" s="14" t="str">
        <x:f>'Design &amp; Insights'!F94</x:f>
        <x:v>Confirm with Research the recommended topic for approval</x:v>
      </x:c>
      <x:c r="H1466" s="2" t="str">
        <x:f>IF('Design &amp; Insights'!G94="","",'Design &amp; Insights'!G94)</x:f>
      </x:c>
      <x:c r="I1466" s="12" t="str">
        <x:f>IF('Design &amp; Insights'!H94="","",'Design &amp; Insights'!H94)</x:f>
      </x:c>
      <x:c r="J1466" s="12" t="n">
        <x:f>IF('Design &amp; Insights'!I94="","",'Design &amp; Insights'!I94)</x:f>
        <x:v>46112</x:v>
      </x:c>
      <x:c r="K1466" s="12" t="str">
        <x:f>IF('Design &amp; Insights'!J94="","",'Design &amp; Insights'!J94)</x:f>
      </x:c>
      <x:c r="L1466" s="2" t="str">
        <x:f>IF('Design &amp; Insights'!K94="","",'Design &amp; Insights'!K94)</x:f>
      </x:c>
      <x:c r="M1466" s="2" t="n">
        <x:f>'Design &amp; Insights'!Q94</x:f>
        <x:v>1</x:v>
      </x:c>
      <x:c r="N1466" s="2" t="str">
        <x:f>'Design &amp; Insights'!L94</x:f>
        <x:v>Not started</x:v>
      </x:c>
      <x:c r="O1466" s="2" t="str">
        <x:f>'Design &amp; Insights'!N94</x:f>
        <x:v>DI.FC.1.5.2026.CY1</x:v>
      </x:c>
      <x:c r="P1466" s="2" t="n">
        <x:f>'Design &amp; Insights'!O94</x:f>
        <x:v>0</x:v>
      </x:c>
      <x:c r="Q1466" s="2" t="n">
        <x:f>SUBTOTAL(103,O1466)</x:f>
        <x:v>1</x:v>
      </x:c>
      <x:c r="R1466" s="2" t="n">
        <x:f>IF(AND(M1466=1,OR(Dashboard!$B$7="All",Dashboard!$B$7='Cycles &amp; Guide'!$C$5),OR(Dashboard!$D$7="All",Dashboard!$D$7=B1466),OR(Dashboard!$F$7="All",Dashboard!$F$7=C1466),OR(Dashboard!$H$7="All",Dashboard!$H$7=D1466),OR(Dashboard!$K$7="All",Dashboard!$K$7=E1466)),1,0)</x:f>
        <x:v>1</x:v>
      </x:c>
      <x:c r="S1466" s="2" t="n">
        <x:f>IF(R1466=1,SUM($R$10:R1466),0)</x:f>
        <x:v>1093</x:v>
      </x:c>
      <x:c r="T1466" s="2" t="str">
        <x:v>Design &amp; Insights</x:v>
      </x:c>
      <x:c r="U1466" s="2" t="n">
        <x:v>94</x:v>
      </x:c>
      <x:c r="V1466" s="2" t="n">
        <x:f>IF(AND(M1466=1,P1466=0,ISNUMBER(J1466),J1466&lt;TODAY()),1,0)</x:f>
        <x:v>1</x:v>
      </x:c>
      <x:c r="W1466" s="2" t="str">
        <x:f>'Design &amp; Insights'!M94</x:f>
        <x:v>Task</x:v>
      </x:c>
    </x:row>
    <x:row r="1467" ht="40" customHeight="1">
      <x:c r="A1467" s="3" t="str">
        <x:f>HYPERLINK("#'Design &amp; Insights'!A95","Open")</x:f>
        <x:v>Open</x:v>
      </x:c>
      <x:c r="B1467" s="2" t="str">
        <x:f>'Design &amp; Insights'!B95</x:f>
        <x:v>Cycle 1</x:v>
      </x:c>
      <x:c r="C1467" s="2" t="str">
        <x:f>'Design &amp; Insights'!C95</x:f>
        <x:v>Phase 1</x:v>
      </x:c>
      <x:c r="D1467" s="2" t="str">
        <x:f>'Design &amp; Insights'!D95</x:f>
        <x:v>FCM</x:v>
      </x:c>
      <x:c r="E1467" s="2" t="str">
        <x:v>Design &amp; Insights</x:v>
      </x:c>
      <x:c r="F1467" s="56" t="str">
        <x:f>'Design &amp; Insights'!E95</x:f>
        <x:v>DI.FC.1.6</x:v>
      </x:c>
      <x:c r="G1467" s="14" t="str">
        <x:f>'Design &amp; Insights'!F95</x:f>
        <x:v>Send topic selection socialization email to all key stakeholders on the first day of the review Cycle</x:v>
      </x:c>
      <x:c r="H1467" s="2" t="str">
        <x:f>IF('Design &amp; Insights'!G95="","",'Design &amp; Insights'!G95)</x:f>
      </x:c>
      <x:c r="I1467" s="12" t="str">
        <x:f>IF('Design &amp; Insights'!H95="","",'Design &amp; Insights'!H95)</x:f>
      </x:c>
      <x:c r="J1467" s="12" t="n">
        <x:f>IF('Design &amp; Insights'!I95="","",'Design &amp; Insights'!I95)</x:f>
        <x:v>46023</x:v>
      </x:c>
      <x:c r="K1467" s="12" t="str">
        <x:f>IF('Design &amp; Insights'!J95="","",'Design &amp; Insights'!J95)</x:f>
      </x:c>
      <x:c r="L1467" s="2" t="str">
        <x:f>IF('Design &amp; Insights'!K95="","",'Design &amp; Insights'!K95)</x:f>
      </x:c>
      <x:c r="M1467" s="2" t="n">
        <x:f>'Design &amp; Insights'!Q95</x:f>
        <x:v>1</x:v>
      </x:c>
      <x:c r="N1467" s="2" t="str">
        <x:f>'Design &amp; Insights'!L95</x:f>
        <x:v>Not started</x:v>
      </x:c>
      <x:c r="O1467" s="2" t="str">
        <x:f>'Design &amp; Insights'!N95</x:f>
        <x:v>DI.FC.1.6.2026.CY1</x:v>
      </x:c>
      <x:c r="P1467" s="2" t="n">
        <x:f>'Design &amp; Insights'!O95</x:f>
        <x:v>0</x:v>
      </x:c>
      <x:c r="Q1467" s="2" t="n">
        <x:f>SUBTOTAL(103,O1467)</x:f>
        <x:v>1</x:v>
      </x:c>
      <x:c r="R1467" s="2" t="n">
        <x:f>IF(AND(M1467=1,OR(Dashboard!$B$7="All",Dashboard!$B$7='Cycles &amp; Guide'!$C$5),OR(Dashboard!$D$7="All",Dashboard!$D$7=B1467),OR(Dashboard!$F$7="All",Dashboard!$F$7=C1467),OR(Dashboard!$H$7="All",Dashboard!$H$7=D1467),OR(Dashboard!$K$7="All",Dashboard!$K$7=E1467)),1,0)</x:f>
        <x:v>1</x:v>
      </x:c>
      <x:c r="S1467" s="2" t="n">
        <x:f>IF(R1467=1,SUM($R$10:R1467),0)</x:f>
        <x:v>1094</x:v>
      </x:c>
      <x:c r="T1467" s="2" t="str">
        <x:v>Design &amp; Insights</x:v>
      </x:c>
      <x:c r="U1467" s="2" t="n">
        <x:v>95</x:v>
      </x:c>
      <x:c r="V1467" s="2" t="n">
        <x:f>IF(AND(M1467=1,P1467=0,ISNUMBER(J1467),J1467&lt;TODAY()),1,0)</x:f>
        <x:v>1</x:v>
      </x:c>
      <x:c r="W1467" s="2" t="str">
        <x:f>'Design &amp; Insights'!M95</x:f>
        <x:v>Task</x:v>
      </x:c>
    </x:row>
    <x:row r="1468" ht="40" customHeight="1">
      <x:c r="A1468" s="3" t="str">
        <x:f>HYPERLINK("#'Design &amp; Insights'!A96","Open")</x:f>
        <x:v>Open</x:v>
      </x:c>
      <x:c r="B1468" s="2" t="str">
        <x:f>'Design &amp; Insights'!B96</x:f>
        <x:v>Cycle 1</x:v>
      </x:c>
      <x:c r="C1468" s="2" t="str">
        <x:f>'Design &amp; Insights'!C96</x:f>
        <x:v>Phase 2</x:v>
      </x:c>
      <x:c r="D1468" s="2" t="str">
        <x:f>'Design &amp; Insights'!D96</x:f>
        <x:v>FCM</x:v>
      </x:c>
      <x:c r="E1468" s="2" t="str">
        <x:v>Design &amp; Insights</x:v>
      </x:c>
      <x:c r="F1468" s="56" t="str">
        <x:f>'Design &amp; Insights'!E96</x:f>
        <x:v>DI.FC.2.1</x:v>
      </x:c>
      <x:c r="G1468" s="14" t="str">
        <x:f>'Design &amp; Insights'!F96</x:f>
        <x:v>Meet regularly with Research to stay informed on progress, findings, and potential enhancement</x:v>
      </x:c>
      <x:c r="H1468" s="2" t="str">
        <x:f>IF('Design &amp; Insights'!G96="","",'Design &amp; Insights'!G96)</x:f>
      </x:c>
      <x:c r="I1468" s="12" t="str">
        <x:f>IF('Design &amp; Insights'!H96="","",'Design &amp; Insights'!H96)</x:f>
      </x:c>
      <x:c r="J1468" s="12" t="n">
        <x:f>IF('Design &amp; Insights'!I96="","",'Design &amp; Insights'!I96)</x:f>
        <x:v>46112</x:v>
      </x:c>
      <x:c r="K1468" s="12" t="str">
        <x:f>IF('Design &amp; Insights'!J96="","",'Design &amp; Insights'!J96)</x:f>
      </x:c>
      <x:c r="L1468" s="2" t="str">
        <x:f>IF('Design &amp; Insights'!K96="","",'Design &amp; Insights'!K96)</x:f>
      </x:c>
      <x:c r="M1468" s="2" t="n">
        <x:f>'Design &amp; Insights'!Q96</x:f>
        <x:v>1</x:v>
      </x:c>
      <x:c r="N1468" s="2" t="str">
        <x:f>'Design &amp; Insights'!L96</x:f>
        <x:v>Not started</x:v>
      </x:c>
      <x:c r="O1468" s="2" t="str">
        <x:f>'Design &amp; Insights'!N96</x:f>
        <x:v>DI.FC.2.1.2026.CY1</x:v>
      </x:c>
      <x:c r="P1468" s="2" t="n">
        <x:f>'Design &amp; Insights'!O96</x:f>
        <x:v>0</x:v>
      </x:c>
      <x:c r="Q1468" s="2" t="n">
        <x:f>SUBTOTAL(103,O1468)</x:f>
        <x:v>1</x:v>
      </x:c>
      <x:c r="R1468" s="2" t="n">
        <x:f>IF(AND(M1468=1,OR(Dashboard!$B$7="All",Dashboard!$B$7='Cycles &amp; Guide'!$C$5),OR(Dashboard!$D$7="All",Dashboard!$D$7=B1468),OR(Dashboard!$F$7="All",Dashboard!$F$7=C1468),OR(Dashboard!$H$7="All",Dashboard!$H$7=D1468),OR(Dashboard!$K$7="All",Dashboard!$K$7=E1468)),1,0)</x:f>
        <x:v>1</x:v>
      </x:c>
      <x:c r="S1468" s="2" t="n">
        <x:f>IF(R1468=1,SUM($R$10:R1468),0)</x:f>
        <x:v>1095</x:v>
      </x:c>
      <x:c r="T1468" s="2" t="str">
        <x:v>Design &amp; Insights</x:v>
      </x:c>
      <x:c r="U1468" s="2" t="n">
        <x:v>96</x:v>
      </x:c>
      <x:c r="V1468" s="2" t="n">
        <x:f>IF(AND(M1468=1,P1468=0,ISNUMBER(J1468),J1468&lt;TODAY()),1,0)</x:f>
        <x:v>1</x:v>
      </x:c>
      <x:c r="W1468" s="2" t="str">
        <x:f>'Design &amp; Insights'!M96</x:f>
        <x:v>Task</x:v>
      </x:c>
    </x:row>
    <x:row r="1469" ht="40" customHeight="1">
      <x:c r="A1469" s="3" t="str">
        <x:f>HYPERLINK("#'Design &amp; Insights'!A97","Open")</x:f>
        <x:v>Open</x:v>
      </x:c>
      <x:c r="B1469" s="2" t="str">
        <x:f>'Design &amp; Insights'!B97</x:f>
        <x:v>Cycle 1</x:v>
      </x:c>
      <x:c r="C1469" s="2" t="str">
        <x:f>'Design &amp; Insights'!C97</x:f>
        <x:v>Phase 2</x:v>
      </x:c>
      <x:c r="D1469" s="2" t="str">
        <x:f>'Design &amp; Insights'!D97</x:f>
        <x:v>FCM</x:v>
      </x:c>
      <x:c r="E1469" s="2" t="str">
        <x:v>Design &amp; Insights</x:v>
      </x:c>
      <x:c r="F1469" s="56" t="str">
        <x:f>'Design &amp; Insights'!E97</x:f>
        <x:v>DI.FC.2.2</x:v>
      </x:c>
      <x:c r="G1469" s="14" t="str">
        <x:f>'Design &amp; Insights'!F97</x:f>
        <x:v>Collaborate with Research on research plan specifics</x:v>
      </x:c>
      <x:c r="H1469" s="2" t="str">
        <x:f>IF('Design &amp; Insights'!G97="","",'Design &amp; Insights'!G97)</x:f>
      </x:c>
      <x:c r="I1469" s="12" t="str">
        <x:f>IF('Design &amp; Insights'!H97="","",'Design &amp; Insights'!H97)</x:f>
      </x:c>
      <x:c r="J1469" s="12" t="n">
        <x:f>IF('Design &amp; Insights'!I97="","",'Design &amp; Insights'!I97)</x:f>
        <x:v>46112</x:v>
      </x:c>
      <x:c r="K1469" s="12" t="str">
        <x:f>IF('Design &amp; Insights'!J97="","",'Design &amp; Insights'!J97)</x:f>
      </x:c>
      <x:c r="L1469" s="2" t="str">
        <x:f>IF('Design &amp; Insights'!K97="","",'Design &amp; Insights'!K97)</x:f>
      </x:c>
      <x:c r="M1469" s="2" t="n">
        <x:f>'Design &amp; Insights'!Q97</x:f>
        <x:v>1</x:v>
      </x:c>
      <x:c r="N1469" s="2" t="str">
        <x:f>'Design &amp; Insights'!L97</x:f>
        <x:v>Not started</x:v>
      </x:c>
      <x:c r="O1469" s="2" t="str">
        <x:f>'Design &amp; Insights'!N97</x:f>
        <x:v>DI.FC.2.2.2026.CY1</x:v>
      </x:c>
      <x:c r="P1469" s="2" t="n">
        <x:f>'Design &amp; Insights'!O97</x:f>
        <x:v>0</x:v>
      </x:c>
      <x:c r="Q1469" s="2" t="n">
        <x:f>SUBTOTAL(103,O1469)</x:f>
        <x:v>1</x:v>
      </x:c>
      <x:c r="R1469" s="2" t="n">
        <x:f>IF(AND(M1469=1,OR(Dashboard!$B$7="All",Dashboard!$B$7='Cycles &amp; Guide'!$C$5),OR(Dashboard!$D$7="All",Dashboard!$D$7=B1469),OR(Dashboard!$F$7="All",Dashboard!$F$7=C1469),OR(Dashboard!$H$7="All",Dashboard!$H$7=D1469),OR(Dashboard!$K$7="All",Dashboard!$K$7=E1469)),1,0)</x:f>
        <x:v>1</x:v>
      </x:c>
      <x:c r="S1469" s="2" t="n">
        <x:f>IF(R1469=1,SUM($R$10:R1469),0)</x:f>
        <x:v>1096</x:v>
      </x:c>
      <x:c r="T1469" s="2" t="str">
        <x:v>Design &amp; Insights</x:v>
      </x:c>
      <x:c r="U1469" s="2" t="n">
        <x:v>97</x:v>
      </x:c>
      <x:c r="V1469" s="2" t="n">
        <x:f>IF(AND(M1469=1,P1469=0,ISNUMBER(J1469),J1469&lt;TODAY()),1,0)</x:f>
        <x:v>1</x:v>
      </x:c>
      <x:c r="W1469" s="2" t="str">
        <x:f>'Design &amp; Insights'!M97</x:f>
        <x:v>Task</x:v>
      </x:c>
    </x:row>
    <x:row r="1470" ht="40" customHeight="1">
      <x:c r="A1470" s="3" t="str">
        <x:f>HYPERLINK("#'Design &amp; Insights'!A98","Open")</x:f>
        <x:v>Open</x:v>
      </x:c>
      <x:c r="B1470" s="2" t="str">
        <x:f>'Design &amp; Insights'!B98</x:f>
        <x:v>Cycle 1</x:v>
      </x:c>
      <x:c r="C1470" s="2" t="str">
        <x:f>'Design &amp; Insights'!C98</x:f>
        <x:v>Phase 2</x:v>
      </x:c>
      <x:c r="D1470" s="2" t="str">
        <x:f>'Design &amp; Insights'!D98</x:f>
        <x:v>FCM</x:v>
      </x:c>
      <x:c r="E1470" s="2" t="str">
        <x:v>Design &amp; Insights</x:v>
      </x:c>
      <x:c r="F1470" s="56" t="str">
        <x:f>'Design &amp; Insights'!E98</x:f>
        <x:v>DI.FC.2.3</x:v>
      </x:c>
      <x:c r="G1470" s="14" t="str">
        <x:f>'Design &amp; Insights'!F98</x:f>
        <x:v>Participate in SME insight meetings to gain perspective and appetite on potential enhancements</x:v>
      </x:c>
      <x:c r="H1470" s="2" t="str">
        <x:f>IF('Design &amp; Insights'!G98="","",'Design &amp; Insights'!G98)</x:f>
      </x:c>
      <x:c r="I1470" s="12" t="str">
        <x:f>IF('Design &amp; Insights'!H98="","",'Design &amp; Insights'!H98)</x:f>
      </x:c>
      <x:c r="J1470" s="12" t="n">
        <x:f>IF('Design &amp; Insights'!I98="","",'Design &amp; Insights'!I98)</x:f>
        <x:v>46112</x:v>
      </x:c>
      <x:c r="K1470" s="12" t="str">
        <x:f>IF('Design &amp; Insights'!J98="","",'Design &amp; Insights'!J98)</x:f>
      </x:c>
      <x:c r="L1470" s="2" t="str">
        <x:f>IF('Design &amp; Insights'!K98="","",'Design &amp; Insights'!K98)</x:f>
      </x:c>
      <x:c r="M1470" s="2" t="n">
        <x:f>'Design &amp; Insights'!Q98</x:f>
        <x:v>1</x:v>
      </x:c>
      <x:c r="N1470" s="2" t="str">
        <x:f>'Design &amp; Insights'!L98</x:f>
        <x:v>Not started</x:v>
      </x:c>
      <x:c r="O1470" s="2" t="str">
        <x:f>'Design &amp; Insights'!N98</x:f>
        <x:v>DI.FC.2.3.2026.CY1</x:v>
      </x:c>
      <x:c r="P1470" s="2" t="n">
        <x:f>'Design &amp; Insights'!O98</x:f>
        <x:v>0</x:v>
      </x:c>
      <x:c r="Q1470" s="2" t="n">
        <x:f>SUBTOTAL(103,O1470)</x:f>
        <x:v>1</x:v>
      </x:c>
      <x:c r="R1470" s="2" t="n">
        <x:f>IF(AND(M1470=1,OR(Dashboard!$B$7="All",Dashboard!$B$7='Cycles &amp; Guide'!$C$5),OR(Dashboard!$D$7="All",Dashboard!$D$7=B1470),OR(Dashboard!$F$7="All",Dashboard!$F$7=C1470),OR(Dashboard!$H$7="All",Dashboard!$H$7=D1470),OR(Dashboard!$K$7="All",Dashboard!$K$7=E1470)),1,0)</x:f>
        <x:v>1</x:v>
      </x:c>
      <x:c r="S1470" s="2" t="n">
        <x:f>IF(R1470=1,SUM($R$10:R1470),0)</x:f>
        <x:v>1097</x:v>
      </x:c>
      <x:c r="T1470" s="2" t="str">
        <x:v>Design &amp; Insights</x:v>
      </x:c>
      <x:c r="U1470" s="2" t="n">
        <x:v>98</x:v>
      </x:c>
      <x:c r="V1470" s="2" t="n">
        <x:f>IF(AND(M1470=1,P1470=0,ISNUMBER(J1470),J1470&lt;TODAY()),1,0)</x:f>
        <x:v>1</x:v>
      </x:c>
      <x:c r="W1470" s="2" t="str">
        <x:f>'Design &amp; Insights'!M98</x:f>
        <x:v>Task</x:v>
      </x:c>
    </x:row>
    <x:row r="1471" ht="40" customHeight="1">
      <x:c r="A1471" s="3" t="str">
        <x:f>HYPERLINK("#'Design &amp; Insights'!A99","Open")</x:f>
        <x:v>Open</x:v>
      </x:c>
      <x:c r="B1471" s="2" t="str">
        <x:f>'Design &amp; Insights'!B99</x:f>
        <x:v>Cycle 1</x:v>
      </x:c>
      <x:c r="C1471" s="2" t="str">
        <x:f>'Design &amp; Insights'!C99</x:f>
        <x:v>Phase 2</x:v>
      </x:c>
      <x:c r="D1471" s="2" t="str">
        <x:f>'Design &amp; Insights'!D99</x:f>
        <x:v>FCM</x:v>
      </x:c>
      <x:c r="E1471" s="2" t="str">
        <x:v>Design &amp; Insights</x:v>
      </x:c>
      <x:c r="F1471" s="56" t="str">
        <x:f>'Design &amp; Insights'!E99</x:f>
        <x:v>DI.FC.2.4</x:v>
      </x:c>
      <x:c r="G1471" s="14" t="str">
        <x:f>'Design &amp; Insights'!F99</x:f>
        <x:v>Begin development of presentation materials as Research is being completed</x:v>
      </x:c>
      <x:c r="H1471" s="2" t="str">
        <x:f>IF('Design &amp; Insights'!G99="","",'Design &amp; Insights'!G99)</x:f>
      </x:c>
      <x:c r="I1471" s="12" t="str">
        <x:f>IF('Design &amp; Insights'!H99="","",'Design &amp; Insights'!H99)</x:f>
      </x:c>
      <x:c r="J1471" s="12" t="n">
        <x:f>IF('Design &amp; Insights'!I99="","",'Design &amp; Insights'!I99)</x:f>
        <x:v>46112</x:v>
      </x:c>
      <x:c r="K1471" s="12" t="str">
        <x:f>IF('Design &amp; Insights'!J99="","",'Design &amp; Insights'!J99)</x:f>
      </x:c>
      <x:c r="L1471" s="2" t="str">
        <x:f>IF('Design &amp; Insights'!K99="","",'Design &amp; Insights'!K99)</x:f>
      </x:c>
      <x:c r="M1471" s="2" t="n">
        <x:f>'Design &amp; Insights'!Q99</x:f>
        <x:v>1</x:v>
      </x:c>
      <x:c r="N1471" s="2" t="str">
        <x:f>'Design &amp; Insights'!L99</x:f>
        <x:v>Not started</x:v>
      </x:c>
      <x:c r="O1471" s="2" t="str">
        <x:f>'Design &amp; Insights'!N99</x:f>
        <x:v>DI.FC.2.4.2026.CY1</x:v>
      </x:c>
      <x:c r="P1471" s="2" t="n">
        <x:f>'Design &amp; Insights'!O99</x:f>
        <x:v>0</x:v>
      </x:c>
      <x:c r="Q1471" s="2" t="n">
        <x:f>SUBTOTAL(103,O1471)</x:f>
        <x:v>1</x:v>
      </x:c>
      <x:c r="R1471" s="2" t="n">
        <x:f>IF(AND(M1471=1,OR(Dashboard!$B$7="All",Dashboard!$B$7='Cycles &amp; Guide'!$C$5),OR(Dashboard!$D$7="All",Dashboard!$D$7=B1471),OR(Dashboard!$F$7="All",Dashboard!$F$7=C1471),OR(Dashboard!$H$7="All",Dashboard!$H$7=D1471),OR(Dashboard!$K$7="All",Dashboard!$K$7=E1471)),1,0)</x:f>
        <x:v>1</x:v>
      </x:c>
      <x:c r="S1471" s="2" t="n">
        <x:f>IF(R1471=1,SUM($R$10:R1471),0)</x:f>
        <x:v>1098</x:v>
      </x:c>
      <x:c r="T1471" s="2" t="str">
        <x:v>Design &amp; Insights</x:v>
      </x:c>
      <x:c r="U1471" s="2" t="n">
        <x:v>99</x:v>
      </x:c>
      <x:c r="V1471" s="2" t="n">
        <x:f>IF(AND(M1471=1,P1471=0,ISNUMBER(J1471),J1471&lt;TODAY()),1,0)</x:f>
        <x:v>1</x:v>
      </x:c>
      <x:c r="W1471" s="2" t="str">
        <x:f>'Design &amp; Insights'!M99</x:f>
        <x:v>Task</x:v>
      </x:c>
    </x:row>
    <x:row r="1472" ht="40" customHeight="1">
      <x:c r="A1472" s="3" t="str">
        <x:f>HYPERLINK("#'Design &amp; Insights'!A100","Open")</x:f>
        <x:v>Open</x:v>
      </x:c>
      <x:c r="B1472" s="2" t="str">
        <x:f>'Design &amp; Insights'!B100</x:f>
        <x:v>Cycle 1</x:v>
      </x:c>
      <x:c r="C1472" s="2" t="str">
        <x:f>'Design &amp; Insights'!C100</x:f>
        <x:v>Phase 2</x:v>
      </x:c>
      <x:c r="D1472" s="2" t="str">
        <x:f>'Design &amp; Insights'!D100</x:f>
        <x:v>FCM</x:v>
      </x:c>
      <x:c r="E1472" s="2" t="str">
        <x:v>Design &amp; Insights</x:v>
      </x:c>
      <x:c r="F1472" s="56" t="str">
        <x:f>'Design &amp; Insights'!E100</x:f>
        <x:v>DI.FC.2.5</x:v>
      </x:c>
      <x:c r="G1472" s="14" t="str">
        <x:f>'Design &amp; Insights'!F100</x:f>
        <x:v>Draft initial enhancement recommendations (as applicable)</x:v>
      </x:c>
      <x:c r="H1472" s="2" t="str">
        <x:f>IF('Design &amp; Insights'!G100="","",'Design &amp; Insights'!G100)</x:f>
      </x:c>
      <x:c r="I1472" s="12" t="str">
        <x:f>IF('Design &amp; Insights'!H100="","",'Design &amp; Insights'!H100)</x:f>
      </x:c>
      <x:c r="J1472" s="12" t="n">
        <x:f>IF('Design &amp; Insights'!I100="","",'Design &amp; Insights'!I100)</x:f>
        <x:v>46112</x:v>
      </x:c>
      <x:c r="K1472" s="12" t="str">
        <x:f>IF('Design &amp; Insights'!J100="","",'Design &amp; Insights'!J100)</x:f>
      </x:c>
      <x:c r="L1472" s="2" t="str">
        <x:f>IF('Design &amp; Insights'!K100="","",'Design &amp; Insights'!K100)</x:f>
      </x:c>
      <x:c r="M1472" s="2" t="n">
        <x:f>'Design &amp; Insights'!Q100</x:f>
        <x:v>1</x:v>
      </x:c>
      <x:c r="N1472" s="2" t="str">
        <x:f>'Design &amp; Insights'!L100</x:f>
        <x:v>Not started</x:v>
      </x:c>
      <x:c r="O1472" s="2" t="str">
        <x:f>'Design &amp; Insights'!N100</x:f>
        <x:v>DI.FC.2.5.2026.CY1</x:v>
      </x:c>
      <x:c r="P1472" s="2" t="n">
        <x:f>'Design &amp; Insights'!O100</x:f>
        <x:v>0</x:v>
      </x:c>
      <x:c r="Q1472" s="2" t="n">
        <x:f>SUBTOTAL(103,O1472)</x:f>
        <x:v>1</x:v>
      </x:c>
      <x:c r="R1472" s="2" t="n">
        <x:f>IF(AND(M1472=1,OR(Dashboard!$B$7="All",Dashboard!$B$7='Cycles &amp; Guide'!$C$5),OR(Dashboard!$D$7="All",Dashboard!$D$7=B1472),OR(Dashboard!$F$7="All",Dashboard!$F$7=C1472),OR(Dashboard!$H$7="All",Dashboard!$H$7=D1472),OR(Dashboard!$K$7="All",Dashboard!$K$7=E1472)),1,0)</x:f>
        <x:v>1</x:v>
      </x:c>
      <x:c r="S1472" s="2" t="n">
        <x:f>IF(R1472=1,SUM($R$10:R1472),0)</x:f>
        <x:v>1099</x:v>
      </x:c>
      <x:c r="T1472" s="2" t="str">
        <x:v>Design &amp; Insights</x:v>
      </x:c>
      <x:c r="U1472" s="2" t="n">
        <x:v>100</x:v>
      </x:c>
      <x:c r="V1472" s="2" t="n">
        <x:f>IF(AND(M1472=1,P1472=0,ISNUMBER(J1472),J1472&lt;TODAY()),1,0)</x:f>
        <x:v>1</x:v>
      </x:c>
      <x:c r="W1472" s="2" t="str">
        <x:f>'Design &amp; Insights'!M100</x:f>
        <x:v>Task</x:v>
      </x:c>
    </x:row>
    <x:row r="1473" ht="40" customHeight="1">
      <x:c r="A1473" s="3" t="str">
        <x:f>HYPERLINK("#'Design &amp; Insights'!A101","Open")</x:f>
        <x:v>Open</x:v>
      </x:c>
      <x:c r="B1473" s="2" t="str">
        <x:f>'Design &amp; Insights'!B101</x:f>
        <x:v>Cycle 1</x:v>
      </x:c>
      <x:c r="C1473" s="2" t="str">
        <x:f>'Design &amp; Insights'!C101</x:f>
        <x:v>Phase 2</x:v>
      </x:c>
      <x:c r="D1473" s="2" t="str">
        <x:f>'Design &amp; Insights'!D101</x:f>
        <x:v>FCM</x:v>
      </x:c>
      <x:c r="E1473" s="2" t="str">
        <x:v>Design &amp; Insights</x:v>
      </x:c>
      <x:c r="F1473" s="56" t="str">
        <x:f>'Design &amp; Insights'!E101</x:f>
        <x:v>DI.FC.2.6</x:v>
      </x:c>
      <x:c r="G1473" s="14" t="str">
        <x:f>'Design &amp; Insights'!F101</x:f>
        <x:v>Finalize presentation deck draft at conclusion of Research phase</x:v>
      </x:c>
      <x:c r="H1473" s="2" t="str">
        <x:f>IF('Design &amp; Insights'!G101="","",'Design &amp; Insights'!G101)</x:f>
      </x:c>
      <x:c r="I1473" s="12" t="str">
        <x:f>IF('Design &amp; Insights'!H101="","",'Design &amp; Insights'!H101)</x:f>
      </x:c>
      <x:c r="J1473" s="12" t="n">
        <x:f>IF('Design &amp; Insights'!I101="","",'Design &amp; Insights'!I101)</x:f>
        <x:v>46112</x:v>
      </x:c>
      <x:c r="K1473" s="12" t="str">
        <x:f>IF('Design &amp; Insights'!J101="","",'Design &amp; Insights'!J101)</x:f>
      </x:c>
      <x:c r="L1473" s="2" t="str">
        <x:f>IF('Design &amp; Insights'!K101="","",'Design &amp; Insights'!K101)</x:f>
      </x:c>
      <x:c r="M1473" s="2" t="n">
        <x:f>'Design &amp; Insights'!Q101</x:f>
        <x:v>1</x:v>
      </x:c>
      <x:c r="N1473" s="2" t="str">
        <x:f>'Design &amp; Insights'!L101</x:f>
        <x:v>Not started</x:v>
      </x:c>
      <x:c r="O1473" s="2" t="str">
        <x:f>'Design &amp; Insights'!N101</x:f>
        <x:v>DI.FC.2.6.2026.CY1</x:v>
      </x:c>
      <x:c r="P1473" s="2" t="n">
        <x:f>'Design &amp; Insights'!O101</x:f>
        <x:v>0</x:v>
      </x:c>
      <x:c r="Q1473" s="2" t="n">
        <x:f>SUBTOTAL(103,O1473)</x:f>
        <x:v>1</x:v>
      </x:c>
      <x:c r="R1473" s="2" t="n">
        <x:f>IF(AND(M1473=1,OR(Dashboard!$B$7="All",Dashboard!$B$7='Cycles &amp; Guide'!$C$5),OR(Dashboard!$D$7="All",Dashboard!$D$7=B1473),OR(Dashboard!$F$7="All",Dashboard!$F$7=C1473),OR(Dashboard!$H$7="All",Dashboard!$H$7=D1473),OR(Dashboard!$K$7="All",Dashboard!$K$7=E1473)),1,0)</x:f>
        <x:v>1</x:v>
      </x:c>
      <x:c r="S1473" s="2" t="n">
        <x:f>IF(R1473=1,SUM($R$10:R1473),0)</x:f>
        <x:v>1100</x:v>
      </x:c>
      <x:c r="T1473" s="2" t="str">
        <x:v>Design &amp; Insights</x:v>
      </x:c>
      <x:c r="U1473" s="2" t="n">
        <x:v>101</x:v>
      </x:c>
      <x:c r="V1473" s="2" t="n">
        <x:f>IF(AND(M1473=1,P1473=0,ISNUMBER(J1473),J1473&lt;TODAY()),1,0)</x:f>
        <x:v>1</x:v>
      </x:c>
      <x:c r="W1473" s="2" t="str">
        <x:f>'Design &amp; Insights'!M101</x:f>
        <x:v>Task</x:v>
      </x:c>
    </x:row>
    <x:row r="1474" ht="40" customHeight="1">
      <x:c r="A1474" s="3" t="str">
        <x:f>HYPERLINK("#'Design &amp; Insights'!A102","Open")</x:f>
        <x:v>Open</x:v>
      </x:c>
      <x:c r="B1474" s="2" t="str">
        <x:f>'Design &amp; Insights'!B102</x:f>
        <x:v>Cycle 1</x:v>
      </x:c>
      <x:c r="C1474" s="2" t="str">
        <x:f>'Design &amp; Insights'!C102</x:f>
        <x:v>Phase 2</x:v>
      </x:c>
      <x:c r="D1474" s="2" t="str">
        <x:f>'Design &amp; Insights'!D102</x:f>
        <x:v>FCM</x:v>
      </x:c>
      <x:c r="E1474" s="2" t="str">
        <x:v>Design &amp; Insights</x:v>
      </x:c>
      <x:c r="F1474" s="56" t="str">
        <x:f>'Design &amp; Insights'!E102</x:f>
        <x:v>DI.FC.2.7</x:v>
      </x:c>
      <x:c r="G1474" s="14" t="str">
        <x:f>'Design &amp; Insights'!F102</x:f>
        <x:v>Update Outcome portion of research plan with current enhancement verbiage (as needed)</x:v>
      </x:c>
      <x:c r="H1474" s="2" t="str">
        <x:f>IF('Design &amp; Insights'!G102="","",'Design &amp; Insights'!G102)</x:f>
      </x:c>
      <x:c r="I1474" s="12" t="str">
        <x:f>IF('Design &amp; Insights'!H102="","",'Design &amp; Insights'!H102)</x:f>
      </x:c>
      <x:c r="J1474" s="12" t="n">
        <x:f>IF('Design &amp; Insights'!I102="","",'Design &amp; Insights'!I102)</x:f>
        <x:v>46112</x:v>
      </x:c>
      <x:c r="K1474" s="12" t="str">
        <x:f>IF('Design &amp; Insights'!J102="","",'Design &amp; Insights'!J102)</x:f>
      </x:c>
      <x:c r="L1474" s="2" t="str">
        <x:f>IF('Design &amp; Insights'!K102="","",'Design &amp; Insights'!K102)</x:f>
      </x:c>
      <x:c r="M1474" s="2" t="n">
        <x:f>'Design &amp; Insights'!Q102</x:f>
        <x:v>1</x:v>
      </x:c>
      <x:c r="N1474" s="2" t="str">
        <x:f>'Design &amp; Insights'!L102</x:f>
        <x:v>Not started</x:v>
      </x:c>
      <x:c r="O1474" s="2" t="str">
        <x:f>'Design &amp; Insights'!N102</x:f>
        <x:v>DI.FC.2.7.2026.CY1</x:v>
      </x:c>
      <x:c r="P1474" s="2" t="n">
        <x:f>'Design &amp; Insights'!O102</x:f>
        <x:v>0</x:v>
      </x:c>
      <x:c r="Q1474" s="2" t="n">
        <x:f>SUBTOTAL(103,O1474)</x:f>
        <x:v>1</x:v>
      </x:c>
      <x:c r="R1474" s="2" t="n">
        <x:f>IF(AND(M1474=1,OR(Dashboard!$B$7="All",Dashboard!$B$7='Cycles &amp; Guide'!$C$5),OR(Dashboard!$D$7="All",Dashboard!$D$7=B1474),OR(Dashboard!$F$7="All",Dashboard!$F$7=C1474),OR(Dashboard!$H$7="All",Dashboard!$H$7=D1474),OR(Dashboard!$K$7="All",Dashboard!$K$7=E1474)),1,0)</x:f>
        <x:v>1</x:v>
      </x:c>
      <x:c r="S1474" s="2" t="n">
        <x:f>IF(R1474=1,SUM($R$10:R1474),0)</x:f>
        <x:v>1101</x:v>
      </x:c>
      <x:c r="T1474" s="2" t="str">
        <x:v>Design &amp; Insights</x:v>
      </x:c>
      <x:c r="U1474" s="2" t="n">
        <x:v>102</x:v>
      </x:c>
      <x:c r="V1474" s="2" t="n">
        <x:f>IF(AND(M1474=1,P1474=0,ISNUMBER(J1474),J1474&lt;TODAY()),1,0)</x:f>
        <x:v>1</x:v>
      </x:c>
      <x:c r="W1474" s="2" t="str">
        <x:f>'Design &amp; Insights'!M102</x:f>
        <x:v>Task</x:v>
      </x:c>
    </x:row>
    <x:row r="1475" ht="40" customHeight="1">
      <x:c r="A1475" s="3" t="str">
        <x:f>HYPERLINK("#'Design &amp; Insights'!A103","Open")</x:f>
        <x:v>Open</x:v>
      </x:c>
      <x:c r="B1475" s="2" t="str">
        <x:f>'Design &amp; Insights'!B103</x:f>
        <x:v>Cycle 1</x:v>
      </x:c>
      <x:c r="C1475" s="2" t="str">
        <x:f>'Design &amp; Insights'!C103</x:f>
        <x:v>Phase 3</x:v>
      </x:c>
      <x:c r="D1475" s="2" t="str">
        <x:f>'Design &amp; Insights'!D103</x:f>
        <x:v>FCM</x:v>
      </x:c>
      <x:c r="E1475" s="2" t="str">
        <x:v>Design &amp; Insights</x:v>
      </x:c>
      <x:c r="F1475" s="56" t="str">
        <x:f>'Design &amp; Insights'!E103</x:f>
        <x:v>DI.FC.3.1</x:v>
      </x:c>
      <x:c r="G1475" s="14" t="str">
        <x:f>'Design &amp; Insights'!F103</x:f>
        <x:v>Confirm list of required &amp; optional attendees for pre-socialization meeting</x:v>
      </x:c>
      <x:c r="H1475" s="2" t="str">
        <x:f>IF('Design &amp; Insights'!G103="","",'Design &amp; Insights'!G103)</x:f>
      </x:c>
      <x:c r="I1475" s="12" t="str">
        <x:f>IF('Design &amp; Insights'!H103="","",'Design &amp; Insights'!H103)</x:f>
      </x:c>
      <x:c r="J1475" s="12" t="n">
        <x:f>IF('Design &amp; Insights'!I103="","",'Design &amp; Insights'!I103)</x:f>
        <x:v>46112</x:v>
      </x:c>
      <x:c r="K1475" s="12" t="str">
        <x:f>IF('Design &amp; Insights'!J103="","",'Design &amp; Insights'!J103)</x:f>
      </x:c>
      <x:c r="L1475" s="2" t="str">
        <x:f>IF('Design &amp; Insights'!K103="","",'Design &amp; Insights'!K103)</x:f>
      </x:c>
      <x:c r="M1475" s="2" t="n">
        <x:f>'Design &amp; Insights'!Q103</x:f>
        <x:v>1</x:v>
      </x:c>
      <x:c r="N1475" s="2" t="str">
        <x:f>'Design &amp; Insights'!L103</x:f>
        <x:v>Not started</x:v>
      </x:c>
      <x:c r="O1475" s="2" t="str">
        <x:f>'Design &amp; Insights'!N103</x:f>
        <x:v>DI.FC.3.1.2026.CY1</x:v>
      </x:c>
      <x:c r="P1475" s="2" t="n">
        <x:f>'Design &amp; Insights'!O103</x:f>
        <x:v>0</x:v>
      </x:c>
      <x:c r="Q1475" s="2" t="n">
        <x:f>SUBTOTAL(103,O1475)</x:f>
        <x:v>1</x:v>
      </x:c>
      <x:c r="R1475" s="2" t="n">
        <x:f>IF(AND(M1475=1,OR(Dashboard!$B$7="All",Dashboard!$B$7='Cycles &amp; Guide'!$C$5),OR(Dashboard!$D$7="All",Dashboard!$D$7=B1475),OR(Dashboard!$F$7="All",Dashboard!$F$7=C1475),OR(Dashboard!$H$7="All",Dashboard!$H$7=D1475),OR(Dashboard!$K$7="All",Dashboard!$K$7=E1475)),1,0)</x:f>
        <x:v>1</x:v>
      </x:c>
      <x:c r="S1475" s="2" t="n">
        <x:f>IF(R1475=1,SUM($R$10:R1475),0)</x:f>
        <x:v>1102</x:v>
      </x:c>
      <x:c r="T1475" s="2" t="str">
        <x:v>Design &amp; Insights</x:v>
      </x:c>
      <x:c r="U1475" s="2" t="n">
        <x:v>103</x:v>
      </x:c>
      <x:c r="V1475" s="2" t="n">
        <x:f>IF(AND(M1475=1,P1475=0,ISNUMBER(J1475),J1475&lt;TODAY()),1,0)</x:f>
        <x:v>1</x:v>
      </x:c>
      <x:c r="W1475" s="2" t="str">
        <x:f>'Design &amp; Insights'!M103</x:f>
        <x:v>Task</x:v>
      </x:c>
    </x:row>
    <x:row r="1476" ht="40" customHeight="1">
      <x:c r="A1476" s="3" t="str">
        <x:f>HYPERLINK("#'Design &amp; Insights'!A104","Open")</x:f>
        <x:v>Open</x:v>
      </x:c>
      <x:c r="B1476" s="2" t="str">
        <x:f>'Design &amp; Insights'!B104</x:f>
        <x:v>Cycle 1</x:v>
      </x:c>
      <x:c r="C1476" s="2" t="str">
        <x:f>'Design &amp; Insights'!C104</x:f>
        <x:v>Phase 3</x:v>
      </x:c>
      <x:c r="D1476" s="2" t="str">
        <x:f>'Design &amp; Insights'!D104</x:f>
        <x:v>FCM</x:v>
      </x:c>
      <x:c r="E1476" s="2" t="str">
        <x:v>Design &amp; Insights</x:v>
      </x:c>
      <x:c r="F1476" s="56" t="str">
        <x:f>'Design &amp; Insights'!E104</x:f>
        <x:v>DI.FC.3.2</x:v>
      </x:c>
      <x:c r="G1476" s="14" t="str">
        <x:f>'Design &amp; Insights'!F104</x:f>
        <x:v>Schedule pre-socialization meeting 1 week prior to RCA Forum</x:v>
      </x:c>
      <x:c r="H1476" s="2" t="str">
        <x:f>IF('Design &amp; Insights'!G104="","",'Design &amp; Insights'!G104)</x:f>
      </x:c>
      <x:c r="I1476" s="12" t="str">
        <x:f>IF('Design &amp; Insights'!H104="","",'Design &amp; Insights'!H104)</x:f>
      </x:c>
      <x:c r="J1476" s="12" t="str">
        <x:f>IF('Design &amp; Insights'!I104="","",'Design &amp; Insights'!I104)</x:f>
      </x:c>
      <x:c r="K1476" s="12" t="str">
        <x:f>IF('Design &amp; Insights'!J104="","",'Design &amp; Insights'!J104)</x:f>
      </x:c>
      <x:c r="L1476" s="2" t="str">
        <x:f>IF('Design &amp; Insights'!K104="","",'Design &amp; Insights'!K104)</x:f>
      </x:c>
      <x:c r="M1476" s="2" t="n">
        <x:f>'Design &amp; Insights'!Q104</x:f>
        <x:v>1</x:v>
      </x:c>
      <x:c r="N1476" s="2" t="str">
        <x:f>'Design &amp; Insights'!L104</x:f>
        <x:v>Not started</x:v>
      </x:c>
      <x:c r="O1476" s="2" t="str">
        <x:f>'Design &amp; Insights'!N104</x:f>
        <x:v>DI.FC.3.2.2026.CY1</x:v>
      </x:c>
      <x:c r="P1476" s="2" t="n">
        <x:f>'Design &amp; Insights'!O104</x:f>
        <x:v>0</x:v>
      </x:c>
      <x:c r="Q1476" s="2" t="n">
        <x:f>SUBTOTAL(103,O1476)</x:f>
        <x:v>1</x:v>
      </x:c>
      <x:c r="R1476" s="2" t="n">
        <x:f>IF(AND(M1476=1,OR(Dashboard!$B$7="All",Dashboard!$B$7='Cycles &amp; Guide'!$C$5),OR(Dashboard!$D$7="All",Dashboard!$D$7=B1476),OR(Dashboard!$F$7="All",Dashboard!$F$7=C1476),OR(Dashboard!$H$7="All",Dashboard!$H$7=D1476),OR(Dashboard!$K$7="All",Dashboard!$K$7=E1476)),1,0)</x:f>
        <x:v>1</x:v>
      </x:c>
      <x:c r="S1476" s="2" t="n">
        <x:f>IF(R1476=1,SUM($R$10:R1476),0)</x:f>
        <x:v>1103</x:v>
      </x:c>
      <x:c r="T1476" s="2" t="str">
        <x:v>Design &amp; Insights</x:v>
      </x:c>
      <x:c r="U1476" s="2" t="n">
        <x:v>104</x:v>
      </x:c>
      <x:c r="V1476" s="2" t="n">
        <x:f>IF(AND(M1476=1,P1476=0,ISNUMBER(J1476),J1476&lt;TODAY()),1,0)</x:f>
        <x:v>0</x:v>
      </x:c>
      <x:c r="W1476" s="2" t="str">
        <x:f>'Design &amp; Insights'!M104</x:f>
        <x:v>Task</x:v>
      </x:c>
    </x:row>
    <x:row r="1477" ht="40" customHeight="1">
      <x:c r="A1477" s="3" t="str">
        <x:f>HYPERLINK("#'Design &amp; Insights'!A105","Open")</x:f>
        <x:v>Open</x:v>
      </x:c>
      <x:c r="B1477" s="2" t="str">
        <x:f>'Design &amp; Insights'!B105</x:f>
        <x:v>Cycle 1</x:v>
      </x:c>
      <x:c r="C1477" s="2" t="str">
        <x:f>'Design &amp; Insights'!C105</x:f>
        <x:v>Phase 3</x:v>
      </x:c>
      <x:c r="D1477" s="2" t="str">
        <x:f>'Design &amp; Insights'!D105</x:f>
        <x:v>FCM</x:v>
      </x:c>
      <x:c r="E1477" s="2" t="str">
        <x:v>Design &amp; Insights</x:v>
      </x:c>
      <x:c r="F1477" s="56" t="str">
        <x:f>'Design &amp; Insights'!E105</x:f>
        <x:v>DI.FC.3.3</x:v>
      </x:c>
      <x:c r="G1477" s="14" t="str">
        <x:f>'Design &amp; Insights'!F105</x:f>
        <x:v>Present findings, conclusions, and recommendation to SMEs</x:v>
      </x:c>
      <x:c r="H1477" s="2" t="str">
        <x:f>IF('Design &amp; Insights'!G105="","",'Design &amp; Insights'!G105)</x:f>
      </x:c>
      <x:c r="I1477" s="12" t="str">
        <x:f>IF('Design &amp; Insights'!H105="","",'Design &amp; Insights'!H105)</x:f>
      </x:c>
      <x:c r="J1477" s="12" t="n">
        <x:f>IF('Design &amp; Insights'!I105="","",'Design &amp; Insights'!I105)</x:f>
        <x:v>46112</x:v>
      </x:c>
      <x:c r="K1477" s="12" t="str">
        <x:f>IF('Design &amp; Insights'!J105="","",'Design &amp; Insights'!J105)</x:f>
      </x:c>
      <x:c r="L1477" s="2" t="str">
        <x:f>IF('Design &amp; Insights'!K105="","",'Design &amp; Insights'!K105)</x:f>
      </x:c>
      <x:c r="M1477" s="2" t="n">
        <x:f>'Design &amp; Insights'!Q105</x:f>
        <x:v>1</x:v>
      </x:c>
      <x:c r="N1477" s="2" t="str">
        <x:f>'Design &amp; Insights'!L105</x:f>
        <x:v>Not started</x:v>
      </x:c>
      <x:c r="O1477" s="2" t="str">
        <x:f>'Design &amp; Insights'!N105</x:f>
        <x:v>DI.FC.3.3.2026.CY1</x:v>
      </x:c>
      <x:c r="P1477" s="2" t="n">
        <x:f>'Design &amp; Insights'!O105</x:f>
        <x:v>0</x:v>
      </x:c>
      <x:c r="Q1477" s="2" t="n">
        <x:f>SUBTOTAL(103,O1477)</x:f>
        <x:v>1</x:v>
      </x:c>
      <x:c r="R1477" s="2" t="n">
        <x:f>IF(AND(M1477=1,OR(Dashboard!$B$7="All",Dashboard!$B$7='Cycles &amp; Guide'!$C$5),OR(Dashboard!$D$7="All",Dashboard!$D$7=B1477),OR(Dashboard!$F$7="All",Dashboard!$F$7=C1477),OR(Dashboard!$H$7="All",Dashboard!$H$7=D1477),OR(Dashboard!$K$7="All",Dashboard!$K$7=E1477)),1,0)</x:f>
        <x:v>1</x:v>
      </x:c>
      <x:c r="S1477" s="2" t="n">
        <x:f>IF(R1477=1,SUM($R$10:R1477),0)</x:f>
        <x:v>1104</x:v>
      </x:c>
      <x:c r="T1477" s="2" t="str">
        <x:v>Design &amp; Insights</x:v>
      </x:c>
      <x:c r="U1477" s="2" t="n">
        <x:v>105</x:v>
      </x:c>
      <x:c r="V1477" s="2" t="n">
        <x:f>IF(AND(M1477=1,P1477=0,ISNUMBER(J1477),J1477&lt;TODAY()),1,0)</x:f>
        <x:v>1</x:v>
      </x:c>
      <x:c r="W1477" s="2" t="str">
        <x:f>'Design &amp; Insights'!M105</x:f>
        <x:v>Task</x:v>
      </x:c>
    </x:row>
    <x:row r="1478" ht="40" customHeight="1">
      <x:c r="A1478" s="3" t="str">
        <x:f>HYPERLINK("#'Design &amp; Insights'!A106","Open")</x:f>
        <x:v>Open</x:v>
      </x:c>
      <x:c r="B1478" s="2" t="str">
        <x:f>'Design &amp; Insights'!B106</x:f>
        <x:v>Cycle 1</x:v>
      </x:c>
      <x:c r="C1478" s="2" t="str">
        <x:f>'Design &amp; Insights'!C106</x:f>
        <x:v>Phase 3</x:v>
      </x:c>
      <x:c r="D1478" s="2" t="str">
        <x:f>'Design &amp; Insights'!D106</x:f>
        <x:v>FCM</x:v>
      </x:c>
      <x:c r="E1478" s="2" t="str">
        <x:v>Design &amp; Insights</x:v>
      </x:c>
      <x:c r="F1478" s="56" t="str">
        <x:f>'Design &amp; Insights'!E106</x:f>
        <x:v>DI.FC.3.4</x:v>
      </x:c>
      <x:c r="G1478" s="14" t="str">
        <x:f>'Design &amp; Insights'!F106</x:f>
        <x:v>Update Outcome portion of research plan (as needed)</x:v>
      </x:c>
      <x:c r="H1478" s="2" t="str">
        <x:f>IF('Design &amp; Insights'!G106="","",'Design &amp; Insights'!G106)</x:f>
      </x:c>
      <x:c r="I1478" s="12" t="str">
        <x:f>IF('Design &amp; Insights'!H106="","",'Design &amp; Insights'!H106)</x:f>
      </x:c>
      <x:c r="J1478" s="12" t="n">
        <x:f>IF('Design &amp; Insights'!I106="","",'Design &amp; Insights'!I106)</x:f>
        <x:v>46112</x:v>
      </x:c>
      <x:c r="K1478" s="12" t="str">
        <x:f>IF('Design &amp; Insights'!J106="","",'Design &amp; Insights'!J106)</x:f>
      </x:c>
      <x:c r="L1478" s="2" t="str">
        <x:f>IF('Design &amp; Insights'!K106="","",'Design &amp; Insights'!K106)</x:f>
      </x:c>
      <x:c r="M1478" s="2" t="n">
        <x:f>'Design &amp; Insights'!Q106</x:f>
        <x:v>1</x:v>
      </x:c>
      <x:c r="N1478" s="2" t="str">
        <x:f>'Design &amp; Insights'!L106</x:f>
        <x:v>Not started</x:v>
      </x:c>
      <x:c r="O1478" s="2" t="str">
        <x:f>'Design &amp; Insights'!N106</x:f>
        <x:v>DI.FC.3.4.2026.CY1</x:v>
      </x:c>
      <x:c r="P1478" s="2" t="n">
        <x:f>'Design &amp; Insights'!O106</x:f>
        <x:v>0</x:v>
      </x:c>
      <x:c r="Q1478" s="2" t="n">
        <x:f>SUBTOTAL(103,O1478)</x:f>
        <x:v>1</x:v>
      </x:c>
      <x:c r="R1478" s="2" t="n">
        <x:f>IF(AND(M1478=1,OR(Dashboard!$B$7="All",Dashboard!$B$7='Cycles &amp; Guide'!$C$5),OR(Dashboard!$D$7="All",Dashboard!$D$7=B1478),OR(Dashboard!$F$7="All",Dashboard!$F$7=C1478),OR(Dashboard!$H$7="All",Dashboard!$H$7=D1478),OR(Dashboard!$K$7="All",Dashboard!$K$7=E1478)),1,0)</x:f>
        <x:v>1</x:v>
      </x:c>
      <x:c r="S1478" s="2" t="n">
        <x:f>IF(R1478=1,SUM($R$10:R1478),0)</x:f>
        <x:v>1105</x:v>
      </x:c>
      <x:c r="T1478" s="2" t="str">
        <x:v>Design &amp; Insights</x:v>
      </x:c>
      <x:c r="U1478" s="2" t="n">
        <x:v>106</x:v>
      </x:c>
      <x:c r="V1478" s="2" t="n">
        <x:f>IF(AND(M1478=1,P1478=0,ISNUMBER(J1478),J1478&lt;TODAY()),1,0)</x:f>
        <x:v>1</x:v>
      </x:c>
      <x:c r="W1478" s="2" t="str">
        <x:f>'Design &amp; Insights'!M106</x:f>
        <x:v>Task</x:v>
      </x:c>
    </x:row>
    <x:row r="1479" ht="40" customHeight="1">
      <x:c r="A1479" s="3" t="str">
        <x:f>HYPERLINK("#'Design &amp; Insights'!A107","Open")</x:f>
        <x:v>Open</x:v>
      </x:c>
      <x:c r="B1479" s="2" t="str">
        <x:f>'Design &amp; Insights'!B107</x:f>
        <x:v>Cycle 1</x:v>
      </x:c>
      <x:c r="C1479" s="2" t="str">
        <x:f>'Design &amp; Insights'!C107</x:f>
        <x:v>Phase 3</x:v>
      </x:c>
      <x:c r="D1479" s="2" t="str">
        <x:f>'Design &amp; Insights'!D107</x:f>
        <x:v>FCM</x:v>
      </x:c>
      <x:c r="E1479" s="2" t="str">
        <x:v>Design &amp; Insights</x:v>
      </x:c>
      <x:c r="F1479" s="56" t="str">
        <x:f>'Design &amp; Insights'!E107</x:f>
        <x:v>DI.FC.3.5</x:v>
      </x:c>
      <x:c r="G1479" s="14" t="str">
        <x:f>'Design &amp; Insights'!F107</x:f>
        <x:v>Finalize presentation deck by incorporating pre-socialization feedback (as needed)</x:v>
      </x:c>
      <x:c r="H1479" s="2" t="str">
        <x:f>IF('Design &amp; Insights'!G107="","",'Design &amp; Insights'!G107)</x:f>
      </x:c>
      <x:c r="I1479" s="12" t="str">
        <x:f>IF('Design &amp; Insights'!H107="","",'Design &amp; Insights'!H107)</x:f>
      </x:c>
      <x:c r="J1479" s="12" t="n">
        <x:f>IF('Design &amp; Insights'!I107="","",'Design &amp; Insights'!I107)</x:f>
        <x:v>46112</x:v>
      </x:c>
      <x:c r="K1479" s="12" t="str">
        <x:f>IF('Design &amp; Insights'!J107="","",'Design &amp; Insights'!J107)</x:f>
      </x:c>
      <x:c r="L1479" s="2" t="str">
        <x:f>IF('Design &amp; Insights'!K107="","",'Design &amp; Insights'!K107)</x:f>
      </x:c>
      <x:c r="M1479" s="2" t="n">
        <x:f>'Design &amp; Insights'!Q107</x:f>
        <x:v>1</x:v>
      </x:c>
      <x:c r="N1479" s="2" t="str">
        <x:f>'Design &amp; Insights'!L107</x:f>
        <x:v>Not started</x:v>
      </x:c>
      <x:c r="O1479" s="2" t="str">
        <x:f>'Design &amp; Insights'!N107</x:f>
        <x:v>DI.FC.3.5.2026.CY1</x:v>
      </x:c>
      <x:c r="P1479" s="2" t="n">
        <x:f>'Design &amp; Insights'!O107</x:f>
        <x:v>0</x:v>
      </x:c>
      <x:c r="Q1479" s="2" t="n">
        <x:f>SUBTOTAL(103,O1479)</x:f>
        <x:v>1</x:v>
      </x:c>
      <x:c r="R1479" s="2" t="n">
        <x:f>IF(AND(M1479=1,OR(Dashboard!$B$7="All",Dashboard!$B$7='Cycles &amp; Guide'!$C$5),OR(Dashboard!$D$7="All",Dashboard!$D$7=B1479),OR(Dashboard!$F$7="All",Dashboard!$F$7=C1479),OR(Dashboard!$H$7="All",Dashboard!$H$7=D1479),OR(Dashboard!$K$7="All",Dashboard!$K$7=E1479)),1,0)</x:f>
        <x:v>1</x:v>
      </x:c>
      <x:c r="S1479" s="2" t="n">
        <x:f>IF(R1479=1,SUM($R$10:R1479),0)</x:f>
        <x:v>1106</x:v>
      </x:c>
      <x:c r="T1479" s="2" t="str">
        <x:v>Design &amp; Insights</x:v>
      </x:c>
      <x:c r="U1479" s="2" t="n">
        <x:v>107</x:v>
      </x:c>
      <x:c r="V1479" s="2" t="n">
        <x:f>IF(AND(M1479=1,P1479=0,ISNUMBER(J1479),J1479&lt;TODAY()),1,0)</x:f>
        <x:v>1</x:v>
      </x:c>
      <x:c r="W1479" s="2" t="str">
        <x:f>'Design &amp; Insights'!M107</x:f>
        <x:v>Task</x:v>
      </x:c>
    </x:row>
    <x:row r="1480" ht="40" customHeight="1">
      <x:c r="A1480" s="3" t="str">
        <x:f>HYPERLINK("#'Design &amp; Insights'!A108","Open")</x:f>
        <x:v>Open</x:v>
      </x:c>
      <x:c r="B1480" s="2" t="str">
        <x:f>'Design &amp; Insights'!B108</x:f>
        <x:v>Cycle 1</x:v>
      </x:c>
      <x:c r="C1480" s="2" t="str">
        <x:f>'Design &amp; Insights'!C108</x:f>
        <x:v>Phase 3</x:v>
      </x:c>
      <x:c r="D1480" s="2" t="str">
        <x:f>'Design &amp; Insights'!D108</x:f>
        <x:v>FCM</x:v>
      </x:c>
      <x:c r="E1480" s="2" t="str">
        <x:v>Design &amp; Insights</x:v>
      </x:c>
      <x:c r="F1480" s="56" t="str">
        <x:f>'Design &amp; Insights'!E108</x:f>
        <x:v>DI.FC.3.6</x:v>
      </x:c>
      <x:c r="G1480" s="14" t="str">
        <x:f>'Design &amp; Insights'!F108</x:f>
        <x:v>Ensure final deck is communicated to Forum attendees</x:v>
      </x:c>
      <x:c r="H1480" s="2" t="str">
        <x:f>IF('Design &amp; Insights'!G108="","",'Design &amp; Insights'!G108)</x:f>
      </x:c>
      <x:c r="I1480" s="12" t="str">
        <x:f>IF('Design &amp; Insights'!H108="","",'Design &amp; Insights'!H108)</x:f>
      </x:c>
      <x:c r="J1480" s="12" t="n">
        <x:f>IF('Design &amp; Insights'!I108="","",'Design &amp; Insights'!I108)</x:f>
        <x:v>46112</x:v>
      </x:c>
      <x:c r="K1480" s="12" t="str">
        <x:f>IF('Design &amp; Insights'!J108="","",'Design &amp; Insights'!J108)</x:f>
      </x:c>
      <x:c r="L1480" s="2" t="str">
        <x:f>IF('Design &amp; Insights'!K108="","",'Design &amp; Insights'!K108)</x:f>
      </x:c>
      <x:c r="M1480" s="2" t="n">
        <x:f>'Design &amp; Insights'!Q108</x:f>
        <x:v>1</x:v>
      </x:c>
      <x:c r="N1480" s="2" t="str">
        <x:f>'Design &amp; Insights'!L108</x:f>
        <x:v>Not started</x:v>
      </x:c>
      <x:c r="O1480" s="2" t="str">
        <x:f>'Design &amp; Insights'!N108</x:f>
        <x:v>DI.FC.3.6.2026.CY1</x:v>
      </x:c>
      <x:c r="P1480" s="2" t="n">
        <x:f>'Design &amp; Insights'!O108</x:f>
        <x:v>0</x:v>
      </x:c>
      <x:c r="Q1480" s="2" t="n">
        <x:f>SUBTOTAL(103,O1480)</x:f>
        <x:v>1</x:v>
      </x:c>
      <x:c r="R1480" s="2" t="n">
        <x:f>IF(AND(M1480=1,OR(Dashboard!$B$7="All",Dashboard!$B$7='Cycles &amp; Guide'!$C$5),OR(Dashboard!$D$7="All",Dashboard!$D$7=B1480),OR(Dashboard!$F$7="All",Dashboard!$F$7=C1480),OR(Dashboard!$H$7="All",Dashboard!$H$7=D1480),OR(Dashboard!$K$7="All",Dashboard!$K$7=E1480)),1,0)</x:f>
        <x:v>1</x:v>
      </x:c>
      <x:c r="S1480" s="2" t="n">
        <x:f>IF(R1480=1,SUM($R$10:R1480),0)</x:f>
        <x:v>1107</x:v>
      </x:c>
      <x:c r="T1480" s="2" t="str">
        <x:v>Design &amp; Insights</x:v>
      </x:c>
      <x:c r="U1480" s="2" t="n">
        <x:v>108</x:v>
      </x:c>
      <x:c r="V1480" s="2" t="n">
        <x:f>IF(AND(M1480=1,P1480=0,ISNUMBER(J1480),J1480&lt;TODAY()),1,0)</x:f>
        <x:v>1</x:v>
      </x:c>
      <x:c r="W1480" s="2" t="str">
        <x:f>'Design &amp; Insights'!M108</x:f>
        <x:v>Task</x:v>
      </x:c>
    </x:row>
    <x:row r="1481" ht="40" customHeight="1">
      <x:c r="A1481" s="3" t="str">
        <x:f>HYPERLINK("#'Design &amp; Insights'!A109","Open")</x:f>
        <x:v>Open</x:v>
      </x:c>
      <x:c r="B1481" s="2" t="str">
        <x:f>'Design &amp; Insights'!B109</x:f>
        <x:v>Cycle 1</x:v>
      </x:c>
      <x:c r="C1481" s="2" t="str">
        <x:f>'Design &amp; Insights'!C109</x:f>
        <x:v>Phase 3</x:v>
      </x:c>
      <x:c r="D1481" s="2" t="str">
        <x:f>'Design &amp; Insights'!D109</x:f>
        <x:v>FCM</x:v>
      </x:c>
      <x:c r="E1481" s="2" t="str">
        <x:v>Design &amp; Insights</x:v>
      </x:c>
      <x:c r="F1481" s="56" t="str">
        <x:f>'Design &amp; Insights'!E109</x:f>
        <x:v>DI.FC.3.7</x:v>
      </x:c>
      <x:c r="G1481" s="14" t="str">
        <x:f>'Design &amp; Insights'!F109</x:f>
        <x:v>Present material in RCA Cycle Forum</x:v>
      </x:c>
      <x:c r="H1481" s="2" t="str">
        <x:f>IF('Design &amp; Insights'!G109="","",'Design &amp; Insights'!G109)</x:f>
      </x:c>
      <x:c r="I1481" s="12" t="str">
        <x:f>IF('Design &amp; Insights'!H109="","",'Design &amp; Insights'!H109)</x:f>
      </x:c>
      <x:c r="J1481" s="12" t="str">
        <x:f>IF('Design &amp; Insights'!I109="","",'Design &amp; Insights'!I109)</x:f>
      </x:c>
      <x:c r="K1481" s="12" t="str">
        <x:f>IF('Design &amp; Insights'!J109="","",'Design &amp; Insights'!J109)</x:f>
      </x:c>
      <x:c r="L1481" s="2" t="str">
        <x:f>IF('Design &amp; Insights'!K109="","",'Design &amp; Insights'!K109)</x:f>
      </x:c>
      <x:c r="M1481" s="2" t="n">
        <x:f>'Design &amp; Insights'!Q109</x:f>
        <x:v>1</x:v>
      </x:c>
      <x:c r="N1481" s="2" t="str">
        <x:f>'Design &amp; Insights'!L109</x:f>
        <x:v>Not started</x:v>
      </x:c>
      <x:c r="O1481" s="2" t="str">
        <x:f>'Design &amp; Insights'!N109</x:f>
        <x:v>DI.FC.3.7.2026.CY1</x:v>
      </x:c>
      <x:c r="P1481" s="2" t="n">
        <x:f>'Design &amp; Insights'!O109</x:f>
        <x:v>0</x:v>
      </x:c>
      <x:c r="Q1481" s="2" t="n">
        <x:f>SUBTOTAL(103,O1481)</x:f>
        <x:v>1</x:v>
      </x:c>
      <x:c r="R1481" s="2" t="n">
        <x:f>IF(AND(M1481=1,OR(Dashboard!$B$7="All",Dashboard!$B$7='Cycles &amp; Guide'!$C$5),OR(Dashboard!$D$7="All",Dashboard!$D$7=B1481),OR(Dashboard!$F$7="All",Dashboard!$F$7=C1481),OR(Dashboard!$H$7="All",Dashboard!$H$7=D1481),OR(Dashboard!$K$7="All",Dashboard!$K$7=E1481)),1,0)</x:f>
        <x:v>1</x:v>
      </x:c>
      <x:c r="S1481" s="2" t="n">
        <x:f>IF(R1481=1,SUM($R$10:R1481),0)</x:f>
        <x:v>1108</x:v>
      </x:c>
      <x:c r="T1481" s="2" t="str">
        <x:v>Design &amp; Insights</x:v>
      </x:c>
      <x:c r="U1481" s="2" t="n">
        <x:v>109</x:v>
      </x:c>
      <x:c r="V1481" s="2" t="n">
        <x:f>IF(AND(M1481=1,P1481=0,ISNUMBER(J1481),J1481&lt;TODAY()),1,0)</x:f>
        <x:v>0</x:v>
      </x:c>
      <x:c r="W1481" s="2" t="str">
        <x:f>'Design &amp; Insights'!M109</x:f>
        <x:v>Task</x:v>
      </x:c>
    </x:row>
    <x:row r="1482" ht="40" customHeight="1">
      <x:c r="A1482" s="3" t="str">
        <x:f>HYPERLINK("#'Design &amp; Insights'!A110","Open")</x:f>
        <x:v>Open</x:v>
      </x:c>
      <x:c r="B1482" s="2" t="str">
        <x:f>'Design &amp; Insights'!B110</x:f>
        <x:v>Cycle 1</x:v>
      </x:c>
      <x:c r="C1482" s="2" t="str">
        <x:f>'Design &amp; Insights'!C110</x:f>
        <x:v>Phase 1</x:v>
      </x:c>
      <x:c r="D1482" s="2" t="str">
        <x:f>'Design &amp; Insights'!D110</x:f>
        <x:v>PLL</x:v>
      </x:c>
      <x:c r="E1482" s="2" t="str">
        <x:v>Design &amp; Insights</x:v>
      </x:c>
      <x:c r="F1482" s="56" t="str">
        <x:f>'Design &amp; Insights'!E110</x:f>
        <x:v>DI.PL.1.1</x:v>
      </x:c>
      <x:c r="G1482" s="14" t="str">
        <x:f>'Design &amp; Insights'!F110</x:f>
        <x:v>Receive and review potential research topics at least 2 weeks prior to Cycle start date</x:v>
      </x:c>
      <x:c r="H1482" s="2" t="str">
        <x:f>IF('Design &amp; Insights'!G110="","",'Design &amp; Insights'!G110)</x:f>
      </x:c>
      <x:c r="I1482" s="12" t="str">
        <x:f>IF('Design &amp; Insights'!H110="","",'Design &amp; Insights'!H110)</x:f>
      </x:c>
      <x:c r="J1482" s="12" t="n">
        <x:f>IF('Design &amp; Insights'!I110="","",'Design &amp; Insights'!I110)</x:f>
        <x:v>46009</x:v>
      </x:c>
      <x:c r="K1482" s="12" t="str">
        <x:f>IF('Design &amp; Insights'!J110="","",'Design &amp; Insights'!J110)</x:f>
      </x:c>
      <x:c r="L1482" s="2" t="str">
        <x:f>IF('Design &amp; Insights'!K110="","",'Design &amp; Insights'!K110)</x:f>
      </x:c>
      <x:c r="M1482" s="2" t="n">
        <x:f>'Design &amp; Insights'!Q110</x:f>
        <x:v>1</x:v>
      </x:c>
      <x:c r="N1482" s="2" t="str">
        <x:f>'Design &amp; Insights'!L110</x:f>
        <x:v>Not started</x:v>
      </x:c>
      <x:c r="O1482" s="2" t="str">
        <x:f>'Design &amp; Insights'!N110</x:f>
        <x:v>DI.PL.1.1.2026.CY1</x:v>
      </x:c>
      <x:c r="P1482" s="2" t="n">
        <x:f>'Design &amp; Insights'!O110</x:f>
        <x:v>0</x:v>
      </x:c>
      <x:c r="Q1482" s="2" t="n">
        <x:f>SUBTOTAL(103,O1482)</x:f>
        <x:v>1</x:v>
      </x:c>
      <x:c r="R1482" s="2" t="n">
        <x:f>IF(AND(M1482=1,OR(Dashboard!$B$7="All",Dashboard!$B$7='Cycles &amp; Guide'!$C$5),OR(Dashboard!$D$7="All",Dashboard!$D$7=B1482),OR(Dashboard!$F$7="All",Dashboard!$F$7=C1482),OR(Dashboard!$H$7="All",Dashboard!$H$7=D1482),OR(Dashboard!$K$7="All",Dashboard!$K$7=E1482)),1,0)</x:f>
        <x:v>1</x:v>
      </x:c>
      <x:c r="S1482" s="2" t="n">
        <x:f>IF(R1482=1,SUM($R$10:R1482),0)</x:f>
        <x:v>1109</x:v>
      </x:c>
      <x:c r="T1482" s="2" t="str">
        <x:v>Design &amp; Insights</x:v>
      </x:c>
      <x:c r="U1482" s="2" t="n">
        <x:v>110</x:v>
      </x:c>
      <x:c r="V1482" s="2" t="n">
        <x:f>IF(AND(M1482=1,P1482=0,ISNUMBER(J1482),J1482&lt;TODAY()),1,0)</x:f>
        <x:v>1</x:v>
      </x:c>
      <x:c r="W1482" s="2" t="str">
        <x:f>'Design &amp; Insights'!M110</x:f>
        <x:v>Task</x:v>
      </x:c>
    </x:row>
    <x:row r="1483" ht="40" customHeight="1">
      <x:c r="A1483" s="3" t="str">
        <x:f>HYPERLINK("#'Design &amp; Insights'!A111","Open")</x:f>
        <x:v>Open</x:v>
      </x:c>
      <x:c r="B1483" s="2" t="str">
        <x:f>'Design &amp; Insights'!B111</x:f>
        <x:v>Cycle 1</x:v>
      </x:c>
      <x:c r="C1483" s="2" t="str">
        <x:f>'Design &amp; Insights'!C111</x:f>
        <x:v>Phase 1</x:v>
      </x:c>
      <x:c r="D1483" s="2" t="str">
        <x:f>'Design &amp; Insights'!D111</x:f>
        <x:v>PLL</x:v>
      </x:c>
      <x:c r="E1483" s="2" t="str">
        <x:v>Design &amp; Insights</x:v>
      </x:c>
      <x:c r="F1483" s="56" t="str">
        <x:f>'Design &amp; Insights'!E111</x:f>
        <x:v>DI.PL.1.2</x:v>
      </x:c>
      <x:c r="G1483" s="14" t="str">
        <x:f>'Design &amp; Insights'!F111</x:f>
        <x:v>Communicate any feedback on preferences or concerns with topics identified</x:v>
      </x:c>
      <x:c r="H1483" s="2" t="str">
        <x:f>IF('Design &amp; Insights'!G111="","",'Design &amp; Insights'!G111)</x:f>
      </x:c>
      <x:c r="I1483" s="12" t="str">
        <x:f>IF('Design &amp; Insights'!H111="","",'Design &amp; Insights'!H111)</x:f>
      </x:c>
      <x:c r="J1483" s="12" t="n">
        <x:f>IF('Design &amp; Insights'!I111="","",'Design &amp; Insights'!I111)</x:f>
        <x:v>46112</x:v>
      </x:c>
      <x:c r="K1483" s="12" t="str">
        <x:f>IF('Design &amp; Insights'!J111="","",'Design &amp; Insights'!J111)</x:f>
      </x:c>
      <x:c r="L1483" s="2" t="str">
        <x:f>IF('Design &amp; Insights'!K111="","",'Design &amp; Insights'!K111)</x:f>
      </x:c>
      <x:c r="M1483" s="2" t="n">
        <x:f>'Design &amp; Insights'!Q111</x:f>
        <x:v>1</x:v>
      </x:c>
      <x:c r="N1483" s="2" t="str">
        <x:f>'Design &amp; Insights'!L111</x:f>
        <x:v>Not started</x:v>
      </x:c>
      <x:c r="O1483" s="2" t="str">
        <x:f>'Design &amp; Insights'!N111</x:f>
        <x:v>DI.PL.1.2.2026.CY1</x:v>
      </x:c>
      <x:c r="P1483" s="2" t="n">
        <x:f>'Design &amp; Insights'!O111</x:f>
        <x:v>0</x:v>
      </x:c>
      <x:c r="Q1483" s="2" t="n">
        <x:f>SUBTOTAL(103,O1483)</x:f>
        <x:v>1</x:v>
      </x:c>
      <x:c r="R1483" s="2" t="n">
        <x:f>IF(AND(M1483=1,OR(Dashboard!$B$7="All",Dashboard!$B$7='Cycles &amp; Guide'!$C$5),OR(Dashboard!$D$7="All",Dashboard!$D$7=B1483),OR(Dashboard!$F$7="All",Dashboard!$F$7=C1483),OR(Dashboard!$H$7="All",Dashboard!$H$7=D1483),OR(Dashboard!$K$7="All",Dashboard!$K$7=E1483)),1,0)</x:f>
        <x:v>1</x:v>
      </x:c>
      <x:c r="S1483" s="2" t="n">
        <x:f>IF(R1483=1,SUM($R$10:R1483),0)</x:f>
        <x:v>1110</x:v>
      </x:c>
      <x:c r="T1483" s="2" t="str">
        <x:v>Design &amp; Insights</x:v>
      </x:c>
      <x:c r="U1483" s="2" t="n">
        <x:v>111</x:v>
      </x:c>
      <x:c r="V1483" s="2" t="n">
        <x:f>IF(AND(M1483=1,P1483=0,ISNUMBER(J1483),J1483&lt;TODAY()),1,0)</x:f>
        <x:v>1</x:v>
      </x:c>
      <x:c r="W1483" s="2" t="str">
        <x:f>'Design &amp; Insights'!M111</x:f>
        <x:v>Task</x:v>
      </x:c>
    </x:row>
    <x:row r="1484" ht="40" customHeight="1">
      <x:c r="A1484" s="3" t="str">
        <x:f>HYPERLINK("#'Design &amp; Insights'!A112","Open")</x:f>
        <x:v>Open</x:v>
      </x:c>
      <x:c r="B1484" s="2" t="str">
        <x:f>'Design &amp; Insights'!B112</x:f>
        <x:v>Cycle 1</x:v>
      </x:c>
      <x:c r="C1484" s="2" t="str">
        <x:f>'Design &amp; Insights'!C112</x:f>
        <x:v>Phase 1</x:v>
      </x:c>
      <x:c r="D1484" s="2" t="str">
        <x:f>'Design &amp; Insights'!D112</x:f>
        <x:v>PLL</x:v>
      </x:c>
      <x:c r="E1484" s="2" t="str">
        <x:v>Design &amp; Insights</x:v>
      </x:c>
      <x:c r="F1484" s="56" t="str">
        <x:f>'Design &amp; Insights'!E112</x:f>
        <x:v>DI.PL.1.3</x:v>
      </x:c>
      <x:c r="G1484" s="14" t="str">
        <x:f>'Design &amp; Insights'!F112</x:f>
        <x:v>Conduct high-level preliminary review of complaints within proposed topics</x:v>
      </x:c>
      <x:c r="H1484" s="2" t="str">
        <x:f>IF('Design &amp; Insights'!G112="","",'Design &amp; Insights'!G112)</x:f>
      </x:c>
      <x:c r="I1484" s="12" t="str">
        <x:f>IF('Design &amp; Insights'!H112="","",'Design &amp; Insights'!H112)</x:f>
      </x:c>
      <x:c r="J1484" s="12" t="n">
        <x:f>IF('Design &amp; Insights'!I112="","",'Design &amp; Insights'!I112)</x:f>
        <x:v>46112</x:v>
      </x:c>
      <x:c r="K1484" s="12" t="str">
        <x:f>IF('Design &amp; Insights'!J112="","",'Design &amp; Insights'!J112)</x:f>
      </x:c>
      <x:c r="L1484" s="2" t="str">
        <x:f>IF('Design &amp; Insights'!K112="","",'Design &amp; Insights'!K112)</x:f>
      </x:c>
      <x:c r="M1484" s="2" t="n">
        <x:f>'Design &amp; Insights'!Q112</x:f>
        <x:v>1</x:v>
      </x:c>
      <x:c r="N1484" s="2" t="str">
        <x:f>'Design &amp; Insights'!L112</x:f>
        <x:v>Not started</x:v>
      </x:c>
      <x:c r="O1484" s="2" t="str">
        <x:f>'Design &amp; Insights'!N112</x:f>
        <x:v>DI.PL.1.3.2026.CY1</x:v>
      </x:c>
      <x:c r="P1484" s="2" t="n">
        <x:f>'Design &amp; Insights'!O112</x:f>
        <x:v>0</x:v>
      </x:c>
      <x:c r="Q1484" s="2" t="n">
        <x:f>SUBTOTAL(103,O1484)</x:f>
        <x:v>1</x:v>
      </x:c>
      <x:c r="R1484" s="2" t="n">
        <x:f>IF(AND(M1484=1,OR(Dashboard!$B$7="All",Dashboard!$B$7='Cycles &amp; Guide'!$C$5),OR(Dashboard!$D$7="All",Dashboard!$D$7=B1484),OR(Dashboard!$F$7="All",Dashboard!$F$7=C1484),OR(Dashboard!$H$7="All",Dashboard!$H$7=D1484),OR(Dashboard!$K$7="All",Dashboard!$K$7=E1484)),1,0)</x:f>
        <x:v>1</x:v>
      </x:c>
      <x:c r="S1484" s="2" t="n">
        <x:f>IF(R1484=1,SUM($R$10:R1484),0)</x:f>
        <x:v>1111</x:v>
      </x:c>
      <x:c r="T1484" s="2" t="str">
        <x:v>Design &amp; Insights</x:v>
      </x:c>
      <x:c r="U1484" s="2" t="n">
        <x:v>112</x:v>
      </x:c>
      <x:c r="V1484" s="2" t="n">
        <x:f>IF(AND(M1484=1,P1484=0,ISNUMBER(J1484),J1484&lt;TODAY()),1,0)</x:f>
        <x:v>1</x:v>
      </x:c>
      <x:c r="W1484" s="2" t="str">
        <x:f>'Design &amp; Insights'!M112</x:f>
        <x:v>Task</x:v>
      </x:c>
    </x:row>
    <x:row r="1485" ht="40" customHeight="1">
      <x:c r="A1485" s="3" t="str">
        <x:f>HYPERLINK("#'Design &amp; Insights'!A113","Open")</x:f>
        <x:v>Open</x:v>
      </x:c>
      <x:c r="B1485" s="2" t="str">
        <x:f>'Design &amp; Insights'!B113</x:f>
        <x:v>Cycle 1</x:v>
      </x:c>
      <x:c r="C1485" s="2" t="str">
        <x:f>'Design &amp; Insights'!C113</x:f>
        <x:v>Phase 1</x:v>
      </x:c>
      <x:c r="D1485" s="2" t="str">
        <x:f>'Design &amp; Insights'!D113</x:f>
        <x:v>PLL</x:v>
      </x:c>
      <x:c r="E1485" s="2" t="str">
        <x:v>Design &amp; Insights</x:v>
      </x:c>
      <x:c r="F1485" s="56" t="str">
        <x:f>'Design &amp; Insights'!E113</x:f>
        <x:v>DI.PL.1.4</x:v>
      </x:c>
      <x:c r="G1485" s="14" t="str">
        <x:f>'Design &amp; Insights'!F113</x:f>
        <x:v>Meet with Research to discuss which topic to select based on potential impact</x:v>
      </x:c>
      <x:c r="H1485" s="2" t="str">
        <x:f>IF('Design &amp; Insights'!G113="","",'Design &amp; Insights'!G113)</x:f>
      </x:c>
      <x:c r="I1485" s="12" t="str">
        <x:f>IF('Design &amp; Insights'!H113="","",'Design &amp; Insights'!H113)</x:f>
      </x:c>
      <x:c r="J1485" s="12" t="n">
        <x:f>IF('Design &amp; Insights'!I113="","",'Design &amp; Insights'!I113)</x:f>
        <x:v>46112</x:v>
      </x:c>
      <x:c r="K1485" s="12" t="str">
        <x:f>IF('Design &amp; Insights'!J113="","",'Design &amp; Insights'!J113)</x:f>
      </x:c>
      <x:c r="L1485" s="2" t="str">
        <x:f>IF('Design &amp; Insights'!K113="","",'Design &amp; Insights'!K113)</x:f>
      </x:c>
      <x:c r="M1485" s="2" t="n">
        <x:f>'Design &amp; Insights'!Q113</x:f>
        <x:v>1</x:v>
      </x:c>
      <x:c r="N1485" s="2" t="str">
        <x:f>'Design &amp; Insights'!L113</x:f>
        <x:v>Not started</x:v>
      </x:c>
      <x:c r="O1485" s="2" t="str">
        <x:f>'Design &amp; Insights'!N113</x:f>
        <x:v>DI.PL.1.4.2026.CY1</x:v>
      </x:c>
      <x:c r="P1485" s="2" t="n">
        <x:f>'Design &amp; Insights'!O113</x:f>
        <x:v>0</x:v>
      </x:c>
      <x:c r="Q1485" s="2" t="n">
        <x:f>SUBTOTAL(103,O1485)</x:f>
        <x:v>1</x:v>
      </x:c>
      <x:c r="R1485" s="2" t="n">
        <x:f>IF(AND(M1485=1,OR(Dashboard!$B$7="All",Dashboard!$B$7='Cycles &amp; Guide'!$C$5),OR(Dashboard!$D$7="All",Dashboard!$D$7=B1485),OR(Dashboard!$F$7="All",Dashboard!$F$7=C1485),OR(Dashboard!$H$7="All",Dashboard!$H$7=D1485),OR(Dashboard!$K$7="All",Dashboard!$K$7=E1485)),1,0)</x:f>
        <x:v>1</x:v>
      </x:c>
      <x:c r="S1485" s="2" t="n">
        <x:f>IF(R1485=1,SUM($R$10:R1485),0)</x:f>
        <x:v>1112</x:v>
      </x:c>
      <x:c r="T1485" s="2" t="str">
        <x:v>Design &amp; Insights</x:v>
      </x:c>
      <x:c r="U1485" s="2" t="n">
        <x:v>113</x:v>
      </x:c>
      <x:c r="V1485" s="2" t="n">
        <x:f>IF(AND(M1485=1,P1485=0,ISNUMBER(J1485),J1485&lt;TODAY()),1,0)</x:f>
        <x:v>1</x:v>
      </x:c>
      <x:c r="W1485" s="2" t="str">
        <x:f>'Design &amp; Insights'!M113</x:f>
        <x:v>Task</x:v>
      </x:c>
    </x:row>
    <x:row r="1486" ht="40" customHeight="1">
      <x:c r="A1486" s="3" t="str">
        <x:f>HYPERLINK("#'Design &amp; Insights'!A114","Open")</x:f>
        <x:v>Open</x:v>
      </x:c>
      <x:c r="B1486" s="2" t="str">
        <x:f>'Design &amp; Insights'!B114</x:f>
        <x:v>Cycle 1</x:v>
      </x:c>
      <x:c r="C1486" s="2" t="str">
        <x:f>'Design &amp; Insights'!C114</x:f>
        <x:v>Phase 1</x:v>
      </x:c>
      <x:c r="D1486" s="2" t="str">
        <x:f>'Design &amp; Insights'!D114</x:f>
        <x:v>PLL</x:v>
      </x:c>
      <x:c r="E1486" s="2" t="str">
        <x:v>Design &amp; Insights</x:v>
      </x:c>
      <x:c r="F1486" s="56" t="str">
        <x:f>'Design &amp; Insights'!E114</x:f>
        <x:v>DI.PL.1.5</x:v>
      </x:c>
      <x:c r="G1486" s="14" t="str">
        <x:f>'Design &amp; Insights'!F114</x:f>
        <x:v>Confirm with Research the recommended topic for approval</x:v>
      </x:c>
      <x:c r="H1486" s="2" t="str">
        <x:f>IF('Design &amp; Insights'!G114="","",'Design &amp; Insights'!G114)</x:f>
      </x:c>
      <x:c r="I1486" s="12" t="str">
        <x:f>IF('Design &amp; Insights'!H114="","",'Design &amp; Insights'!H114)</x:f>
      </x:c>
      <x:c r="J1486" s="12" t="n">
        <x:f>IF('Design &amp; Insights'!I114="","",'Design &amp; Insights'!I114)</x:f>
        <x:v>46112</x:v>
      </x:c>
      <x:c r="K1486" s="12" t="str">
        <x:f>IF('Design &amp; Insights'!J114="","",'Design &amp; Insights'!J114)</x:f>
      </x:c>
      <x:c r="L1486" s="2" t="str">
        <x:f>IF('Design &amp; Insights'!K114="","",'Design &amp; Insights'!K114)</x:f>
      </x:c>
      <x:c r="M1486" s="2" t="n">
        <x:f>'Design &amp; Insights'!Q114</x:f>
        <x:v>1</x:v>
      </x:c>
      <x:c r="N1486" s="2" t="str">
        <x:f>'Design &amp; Insights'!L114</x:f>
        <x:v>Not started</x:v>
      </x:c>
      <x:c r="O1486" s="2" t="str">
        <x:f>'Design &amp; Insights'!N114</x:f>
        <x:v>DI.PL.1.5.2026.CY1</x:v>
      </x:c>
      <x:c r="P1486" s="2" t="n">
        <x:f>'Design &amp; Insights'!O114</x:f>
        <x:v>0</x:v>
      </x:c>
      <x:c r="Q1486" s="2" t="n">
        <x:f>SUBTOTAL(103,O1486)</x:f>
        <x:v>1</x:v>
      </x:c>
      <x:c r="R1486" s="2" t="n">
        <x:f>IF(AND(M1486=1,OR(Dashboard!$B$7="All",Dashboard!$B$7='Cycles &amp; Guide'!$C$5),OR(Dashboard!$D$7="All",Dashboard!$D$7=B1486),OR(Dashboard!$F$7="All",Dashboard!$F$7=C1486),OR(Dashboard!$H$7="All",Dashboard!$H$7=D1486),OR(Dashboard!$K$7="All",Dashboard!$K$7=E1486)),1,0)</x:f>
        <x:v>1</x:v>
      </x:c>
      <x:c r="S1486" s="2" t="n">
        <x:f>IF(R1486=1,SUM($R$10:R1486),0)</x:f>
        <x:v>1113</x:v>
      </x:c>
      <x:c r="T1486" s="2" t="str">
        <x:v>Design &amp; Insights</x:v>
      </x:c>
      <x:c r="U1486" s="2" t="n">
        <x:v>114</x:v>
      </x:c>
      <x:c r="V1486" s="2" t="n">
        <x:f>IF(AND(M1486=1,P1486=0,ISNUMBER(J1486),J1486&lt;TODAY()),1,0)</x:f>
        <x:v>1</x:v>
      </x:c>
      <x:c r="W1486" s="2" t="str">
        <x:f>'Design &amp; Insights'!M114</x:f>
        <x:v>Task</x:v>
      </x:c>
    </x:row>
    <x:row r="1487" ht="40" customHeight="1">
      <x:c r="A1487" s="3" t="str">
        <x:f>HYPERLINK("#'Design &amp; Insights'!A115","Open")</x:f>
        <x:v>Open</x:v>
      </x:c>
      <x:c r="B1487" s="2" t="str">
        <x:f>'Design &amp; Insights'!B115</x:f>
        <x:v>Cycle 1</x:v>
      </x:c>
      <x:c r="C1487" s="2" t="str">
        <x:f>'Design &amp; Insights'!C115</x:f>
        <x:v>Phase 1</x:v>
      </x:c>
      <x:c r="D1487" s="2" t="str">
        <x:f>'Design &amp; Insights'!D115</x:f>
        <x:v>PLL</x:v>
      </x:c>
      <x:c r="E1487" s="2" t="str">
        <x:v>Design &amp; Insights</x:v>
      </x:c>
      <x:c r="F1487" s="56" t="str">
        <x:f>'Design &amp; Insights'!E115</x:f>
        <x:v>DI.PL.1.6</x:v>
      </x:c>
      <x:c r="G1487" s="14" t="str">
        <x:f>'Design &amp; Insights'!F115</x:f>
        <x:v>Send topic selection socialization email to all key stakeholders on the first day of the review Cycle</x:v>
      </x:c>
      <x:c r="H1487" s="2" t="str">
        <x:f>IF('Design &amp; Insights'!G115="","",'Design &amp; Insights'!G115)</x:f>
      </x:c>
      <x:c r="I1487" s="12" t="str">
        <x:f>IF('Design &amp; Insights'!H115="","",'Design &amp; Insights'!H115)</x:f>
      </x:c>
      <x:c r="J1487" s="12" t="n">
        <x:f>IF('Design &amp; Insights'!I115="","",'Design &amp; Insights'!I115)</x:f>
        <x:v>46023</x:v>
      </x:c>
      <x:c r="K1487" s="12" t="str">
        <x:f>IF('Design &amp; Insights'!J115="","",'Design &amp; Insights'!J115)</x:f>
      </x:c>
      <x:c r="L1487" s="2" t="str">
        <x:f>IF('Design &amp; Insights'!K115="","",'Design &amp; Insights'!K115)</x:f>
      </x:c>
      <x:c r="M1487" s="2" t="n">
        <x:f>'Design &amp; Insights'!Q115</x:f>
        <x:v>1</x:v>
      </x:c>
      <x:c r="N1487" s="2" t="str">
        <x:f>'Design &amp; Insights'!L115</x:f>
        <x:v>Not started</x:v>
      </x:c>
      <x:c r="O1487" s="2" t="str">
        <x:f>'Design &amp; Insights'!N115</x:f>
        <x:v>DI.PL.1.6.2026.CY1</x:v>
      </x:c>
      <x:c r="P1487" s="2" t="n">
        <x:f>'Design &amp; Insights'!O115</x:f>
        <x:v>0</x:v>
      </x:c>
      <x:c r="Q1487" s="2" t="n">
        <x:f>SUBTOTAL(103,O1487)</x:f>
        <x:v>1</x:v>
      </x:c>
      <x:c r="R1487" s="2" t="n">
        <x:f>IF(AND(M1487=1,OR(Dashboard!$B$7="All",Dashboard!$B$7='Cycles &amp; Guide'!$C$5),OR(Dashboard!$D$7="All",Dashboard!$D$7=B1487),OR(Dashboard!$F$7="All",Dashboard!$F$7=C1487),OR(Dashboard!$H$7="All",Dashboard!$H$7=D1487),OR(Dashboard!$K$7="All",Dashboard!$K$7=E1487)),1,0)</x:f>
        <x:v>1</x:v>
      </x:c>
      <x:c r="S1487" s="2" t="n">
        <x:f>IF(R1487=1,SUM($R$10:R1487),0)</x:f>
        <x:v>1114</x:v>
      </x:c>
      <x:c r="T1487" s="2" t="str">
        <x:v>Design &amp; Insights</x:v>
      </x:c>
      <x:c r="U1487" s="2" t="n">
        <x:v>115</x:v>
      </x:c>
      <x:c r="V1487" s="2" t="n">
        <x:f>IF(AND(M1487=1,P1487=0,ISNUMBER(J1487),J1487&lt;TODAY()),1,0)</x:f>
        <x:v>1</x:v>
      </x:c>
      <x:c r="W1487" s="2" t="str">
        <x:f>'Design &amp; Insights'!M115</x:f>
        <x:v>Task</x:v>
      </x:c>
    </x:row>
    <x:row r="1488" ht="40" customHeight="1">
      <x:c r="A1488" s="3" t="str">
        <x:f>HYPERLINK("#'Design &amp; Insights'!A116","Open")</x:f>
        <x:v>Open</x:v>
      </x:c>
      <x:c r="B1488" s="2" t="str">
        <x:f>'Design &amp; Insights'!B116</x:f>
        <x:v>Cycle 1</x:v>
      </x:c>
      <x:c r="C1488" s="2" t="str">
        <x:f>'Design &amp; Insights'!C116</x:f>
        <x:v>Phase 2</x:v>
      </x:c>
      <x:c r="D1488" s="2" t="str">
        <x:f>'Design &amp; Insights'!D116</x:f>
        <x:v>PLL</x:v>
      </x:c>
      <x:c r="E1488" s="2" t="str">
        <x:v>Design &amp; Insights</x:v>
      </x:c>
      <x:c r="F1488" s="56" t="str">
        <x:f>'Design &amp; Insights'!E116</x:f>
        <x:v>DI.PL.2.1</x:v>
      </x:c>
      <x:c r="G1488" s="14" t="str">
        <x:f>'Design &amp; Insights'!F116</x:f>
        <x:v>Meet regularly with Research to stay informed on progress, findings, and potential enhancement</x:v>
      </x:c>
      <x:c r="H1488" s="2" t="str">
        <x:f>IF('Design &amp; Insights'!G116="","",'Design &amp; Insights'!G116)</x:f>
      </x:c>
      <x:c r="I1488" s="12" t="str">
        <x:f>IF('Design &amp; Insights'!H116="","",'Design &amp; Insights'!H116)</x:f>
      </x:c>
      <x:c r="J1488" s="12" t="n">
        <x:f>IF('Design &amp; Insights'!I116="","",'Design &amp; Insights'!I116)</x:f>
        <x:v>46112</x:v>
      </x:c>
      <x:c r="K1488" s="12" t="str">
        <x:f>IF('Design &amp; Insights'!J116="","",'Design &amp; Insights'!J116)</x:f>
      </x:c>
      <x:c r="L1488" s="2" t="str">
        <x:f>IF('Design &amp; Insights'!K116="","",'Design &amp; Insights'!K116)</x:f>
      </x:c>
      <x:c r="M1488" s="2" t="n">
        <x:f>'Design &amp; Insights'!Q116</x:f>
        <x:v>1</x:v>
      </x:c>
      <x:c r="N1488" s="2" t="str">
        <x:f>'Design &amp; Insights'!L116</x:f>
        <x:v>Not started</x:v>
      </x:c>
      <x:c r="O1488" s="2" t="str">
        <x:f>'Design &amp; Insights'!N116</x:f>
        <x:v>DI.PL.2.1.2026.CY1</x:v>
      </x:c>
      <x:c r="P1488" s="2" t="n">
        <x:f>'Design &amp; Insights'!O116</x:f>
        <x:v>0</x:v>
      </x:c>
      <x:c r="Q1488" s="2" t="n">
        <x:f>SUBTOTAL(103,O1488)</x:f>
        <x:v>1</x:v>
      </x:c>
      <x:c r="R1488" s="2" t="n">
        <x:f>IF(AND(M1488=1,OR(Dashboard!$B$7="All",Dashboard!$B$7='Cycles &amp; Guide'!$C$5),OR(Dashboard!$D$7="All",Dashboard!$D$7=B1488),OR(Dashboard!$F$7="All",Dashboard!$F$7=C1488),OR(Dashboard!$H$7="All",Dashboard!$H$7=D1488),OR(Dashboard!$K$7="All",Dashboard!$K$7=E1488)),1,0)</x:f>
        <x:v>1</x:v>
      </x:c>
      <x:c r="S1488" s="2" t="n">
        <x:f>IF(R1488=1,SUM($R$10:R1488),0)</x:f>
        <x:v>1115</x:v>
      </x:c>
      <x:c r="T1488" s="2" t="str">
        <x:v>Design &amp; Insights</x:v>
      </x:c>
      <x:c r="U1488" s="2" t="n">
        <x:v>116</x:v>
      </x:c>
      <x:c r="V1488" s="2" t="n">
        <x:f>IF(AND(M1488=1,P1488=0,ISNUMBER(J1488),J1488&lt;TODAY()),1,0)</x:f>
        <x:v>1</x:v>
      </x:c>
      <x:c r="W1488" s="2" t="str">
        <x:f>'Design &amp; Insights'!M116</x:f>
        <x:v>Task</x:v>
      </x:c>
    </x:row>
    <x:row r="1489" ht="40" customHeight="1">
      <x:c r="A1489" s="3" t="str">
        <x:f>HYPERLINK("#'Design &amp; Insights'!A117","Open")</x:f>
        <x:v>Open</x:v>
      </x:c>
      <x:c r="B1489" s="2" t="str">
        <x:f>'Design &amp; Insights'!B117</x:f>
        <x:v>Cycle 1</x:v>
      </x:c>
      <x:c r="C1489" s="2" t="str">
        <x:f>'Design &amp; Insights'!C117</x:f>
        <x:v>Phase 2</x:v>
      </x:c>
      <x:c r="D1489" s="2" t="str">
        <x:f>'Design &amp; Insights'!D117</x:f>
        <x:v>PLL</x:v>
      </x:c>
      <x:c r="E1489" s="2" t="str">
        <x:v>Design &amp; Insights</x:v>
      </x:c>
      <x:c r="F1489" s="56" t="str">
        <x:f>'Design &amp; Insights'!E117</x:f>
        <x:v>DI.PL.2.2</x:v>
      </x:c>
      <x:c r="G1489" s="14" t="str">
        <x:f>'Design &amp; Insights'!F117</x:f>
        <x:v>Collaborate with Research on research plan specifics</x:v>
      </x:c>
      <x:c r="H1489" s="2" t="str">
        <x:f>IF('Design &amp; Insights'!G117="","",'Design &amp; Insights'!G117)</x:f>
      </x:c>
      <x:c r="I1489" s="12" t="str">
        <x:f>IF('Design &amp; Insights'!H117="","",'Design &amp; Insights'!H117)</x:f>
      </x:c>
      <x:c r="J1489" s="12" t="n">
        <x:f>IF('Design &amp; Insights'!I117="","",'Design &amp; Insights'!I117)</x:f>
        <x:v>46112</x:v>
      </x:c>
      <x:c r="K1489" s="12" t="str">
        <x:f>IF('Design &amp; Insights'!J117="","",'Design &amp; Insights'!J117)</x:f>
      </x:c>
      <x:c r="L1489" s="2" t="str">
        <x:f>IF('Design &amp; Insights'!K117="","",'Design &amp; Insights'!K117)</x:f>
      </x:c>
      <x:c r="M1489" s="2" t="n">
        <x:f>'Design &amp; Insights'!Q117</x:f>
        <x:v>1</x:v>
      </x:c>
      <x:c r="N1489" s="2" t="str">
        <x:f>'Design &amp; Insights'!L117</x:f>
        <x:v>Not started</x:v>
      </x:c>
      <x:c r="O1489" s="2" t="str">
        <x:f>'Design &amp; Insights'!N117</x:f>
        <x:v>DI.PL.2.2.2026.CY1</x:v>
      </x:c>
      <x:c r="P1489" s="2" t="n">
        <x:f>'Design &amp; Insights'!O117</x:f>
        <x:v>0</x:v>
      </x:c>
      <x:c r="Q1489" s="2" t="n">
        <x:f>SUBTOTAL(103,O1489)</x:f>
        <x:v>1</x:v>
      </x:c>
      <x:c r="R1489" s="2" t="n">
        <x:f>IF(AND(M1489=1,OR(Dashboard!$B$7="All",Dashboard!$B$7='Cycles &amp; Guide'!$C$5),OR(Dashboard!$D$7="All",Dashboard!$D$7=B1489),OR(Dashboard!$F$7="All",Dashboard!$F$7=C1489),OR(Dashboard!$H$7="All",Dashboard!$H$7=D1489),OR(Dashboard!$K$7="All",Dashboard!$K$7=E1489)),1,0)</x:f>
        <x:v>1</x:v>
      </x:c>
      <x:c r="S1489" s="2" t="n">
        <x:f>IF(R1489=1,SUM($R$10:R1489),0)</x:f>
        <x:v>1116</x:v>
      </x:c>
      <x:c r="T1489" s="2" t="str">
        <x:v>Design &amp; Insights</x:v>
      </x:c>
      <x:c r="U1489" s="2" t="n">
        <x:v>117</x:v>
      </x:c>
      <x:c r="V1489" s="2" t="n">
        <x:f>IF(AND(M1489=1,P1489=0,ISNUMBER(J1489),J1489&lt;TODAY()),1,0)</x:f>
        <x:v>1</x:v>
      </x:c>
      <x:c r="W1489" s="2" t="str">
        <x:f>'Design &amp; Insights'!M117</x:f>
        <x:v>Task</x:v>
      </x:c>
    </x:row>
    <x:row r="1490" ht="40" customHeight="1">
      <x:c r="A1490" s="3" t="str">
        <x:f>HYPERLINK("#'Design &amp; Insights'!A118","Open")</x:f>
        <x:v>Open</x:v>
      </x:c>
      <x:c r="B1490" s="2" t="str">
        <x:f>'Design &amp; Insights'!B118</x:f>
        <x:v>Cycle 1</x:v>
      </x:c>
      <x:c r="C1490" s="2" t="str">
        <x:f>'Design &amp; Insights'!C118</x:f>
        <x:v>Phase 2</x:v>
      </x:c>
      <x:c r="D1490" s="2" t="str">
        <x:f>'Design &amp; Insights'!D118</x:f>
        <x:v>PLL</x:v>
      </x:c>
      <x:c r="E1490" s="2" t="str">
        <x:v>Design &amp; Insights</x:v>
      </x:c>
      <x:c r="F1490" s="56" t="str">
        <x:f>'Design &amp; Insights'!E118</x:f>
        <x:v>DI.PL.2.3</x:v>
      </x:c>
      <x:c r="G1490" s="14" t="str">
        <x:f>'Design &amp; Insights'!F118</x:f>
        <x:v>Participate in SME insight meetings to gain perspective and appetite on potential enhancements</x:v>
      </x:c>
      <x:c r="H1490" s="2" t="str">
        <x:f>IF('Design &amp; Insights'!G118="","",'Design &amp; Insights'!G118)</x:f>
      </x:c>
      <x:c r="I1490" s="12" t="str">
        <x:f>IF('Design &amp; Insights'!H118="","",'Design &amp; Insights'!H118)</x:f>
      </x:c>
      <x:c r="J1490" s="12" t="n">
        <x:f>IF('Design &amp; Insights'!I118="","",'Design &amp; Insights'!I118)</x:f>
        <x:v>46112</x:v>
      </x:c>
      <x:c r="K1490" s="12" t="str">
        <x:f>IF('Design &amp; Insights'!J118="","",'Design &amp; Insights'!J118)</x:f>
      </x:c>
      <x:c r="L1490" s="2" t="str">
        <x:f>IF('Design &amp; Insights'!K118="","",'Design &amp; Insights'!K118)</x:f>
      </x:c>
      <x:c r="M1490" s="2" t="n">
        <x:f>'Design &amp; Insights'!Q118</x:f>
        <x:v>1</x:v>
      </x:c>
      <x:c r="N1490" s="2" t="str">
        <x:f>'Design &amp; Insights'!L118</x:f>
        <x:v>Not started</x:v>
      </x:c>
      <x:c r="O1490" s="2" t="str">
        <x:f>'Design &amp; Insights'!N118</x:f>
        <x:v>DI.PL.2.3.2026.CY1</x:v>
      </x:c>
      <x:c r="P1490" s="2" t="n">
        <x:f>'Design &amp; Insights'!O118</x:f>
        <x:v>0</x:v>
      </x:c>
      <x:c r="Q1490" s="2" t="n">
        <x:f>SUBTOTAL(103,O1490)</x:f>
        <x:v>1</x:v>
      </x:c>
      <x:c r="R1490" s="2" t="n">
        <x:f>IF(AND(M1490=1,OR(Dashboard!$B$7="All",Dashboard!$B$7='Cycles &amp; Guide'!$C$5),OR(Dashboard!$D$7="All",Dashboard!$D$7=B1490),OR(Dashboard!$F$7="All",Dashboard!$F$7=C1490),OR(Dashboard!$H$7="All",Dashboard!$H$7=D1490),OR(Dashboard!$K$7="All",Dashboard!$K$7=E1490)),1,0)</x:f>
        <x:v>1</x:v>
      </x:c>
      <x:c r="S1490" s="2" t="n">
        <x:f>IF(R1490=1,SUM($R$10:R1490),0)</x:f>
        <x:v>1117</x:v>
      </x:c>
      <x:c r="T1490" s="2" t="str">
        <x:v>Design &amp; Insights</x:v>
      </x:c>
      <x:c r="U1490" s="2" t="n">
        <x:v>118</x:v>
      </x:c>
      <x:c r="V1490" s="2" t="n">
        <x:f>IF(AND(M1490=1,P1490=0,ISNUMBER(J1490),J1490&lt;TODAY()),1,0)</x:f>
        <x:v>1</x:v>
      </x:c>
      <x:c r="W1490" s="2" t="str">
        <x:f>'Design &amp; Insights'!M118</x:f>
        <x:v>Task</x:v>
      </x:c>
    </x:row>
    <x:row r="1491" ht="40" customHeight="1">
      <x:c r="A1491" s="3" t="str">
        <x:f>HYPERLINK("#'Design &amp; Insights'!A119","Open")</x:f>
        <x:v>Open</x:v>
      </x:c>
      <x:c r="B1491" s="2" t="str">
        <x:f>'Design &amp; Insights'!B119</x:f>
        <x:v>Cycle 1</x:v>
      </x:c>
      <x:c r="C1491" s="2" t="str">
        <x:f>'Design &amp; Insights'!C119</x:f>
        <x:v>Phase 2</x:v>
      </x:c>
      <x:c r="D1491" s="2" t="str">
        <x:f>'Design &amp; Insights'!D119</x:f>
        <x:v>PLL</x:v>
      </x:c>
      <x:c r="E1491" s="2" t="str">
        <x:v>Design &amp; Insights</x:v>
      </x:c>
      <x:c r="F1491" s="56" t="str">
        <x:f>'Design &amp; Insights'!E119</x:f>
        <x:v>DI.PL.2.4</x:v>
      </x:c>
      <x:c r="G1491" s="14" t="str">
        <x:f>'Design &amp; Insights'!F119</x:f>
        <x:v>Begin development of presentation materials as Research is being completed</x:v>
      </x:c>
      <x:c r="H1491" s="2" t="str">
        <x:f>IF('Design &amp; Insights'!G119="","",'Design &amp; Insights'!G119)</x:f>
      </x:c>
      <x:c r="I1491" s="12" t="str">
        <x:f>IF('Design &amp; Insights'!H119="","",'Design &amp; Insights'!H119)</x:f>
      </x:c>
      <x:c r="J1491" s="12" t="n">
        <x:f>IF('Design &amp; Insights'!I119="","",'Design &amp; Insights'!I119)</x:f>
        <x:v>46112</x:v>
      </x:c>
      <x:c r="K1491" s="12" t="str">
        <x:f>IF('Design &amp; Insights'!J119="","",'Design &amp; Insights'!J119)</x:f>
      </x:c>
      <x:c r="L1491" s="2" t="str">
        <x:f>IF('Design &amp; Insights'!K119="","",'Design &amp; Insights'!K119)</x:f>
      </x:c>
      <x:c r="M1491" s="2" t="n">
        <x:f>'Design &amp; Insights'!Q119</x:f>
        <x:v>1</x:v>
      </x:c>
      <x:c r="N1491" s="2" t="str">
        <x:f>'Design &amp; Insights'!L119</x:f>
        <x:v>Not started</x:v>
      </x:c>
      <x:c r="O1491" s="2" t="str">
        <x:f>'Design &amp; Insights'!N119</x:f>
        <x:v>DI.PL.2.4.2026.CY1</x:v>
      </x:c>
      <x:c r="P1491" s="2" t="n">
        <x:f>'Design &amp; Insights'!O119</x:f>
        <x:v>0</x:v>
      </x:c>
      <x:c r="Q1491" s="2" t="n">
        <x:f>SUBTOTAL(103,O1491)</x:f>
        <x:v>1</x:v>
      </x:c>
      <x:c r="R1491" s="2" t="n">
        <x:f>IF(AND(M1491=1,OR(Dashboard!$B$7="All",Dashboard!$B$7='Cycles &amp; Guide'!$C$5),OR(Dashboard!$D$7="All",Dashboard!$D$7=B1491),OR(Dashboard!$F$7="All",Dashboard!$F$7=C1491),OR(Dashboard!$H$7="All",Dashboard!$H$7=D1491),OR(Dashboard!$K$7="All",Dashboard!$K$7=E1491)),1,0)</x:f>
        <x:v>1</x:v>
      </x:c>
      <x:c r="S1491" s="2" t="n">
        <x:f>IF(R1491=1,SUM($R$10:R1491),0)</x:f>
        <x:v>1118</x:v>
      </x:c>
      <x:c r="T1491" s="2" t="str">
        <x:v>Design &amp; Insights</x:v>
      </x:c>
      <x:c r="U1491" s="2" t="n">
        <x:v>119</x:v>
      </x:c>
      <x:c r="V1491" s="2" t="n">
        <x:f>IF(AND(M1491=1,P1491=0,ISNUMBER(J1491),J1491&lt;TODAY()),1,0)</x:f>
        <x:v>1</x:v>
      </x:c>
      <x:c r="W1491" s="2" t="str">
        <x:f>'Design &amp; Insights'!M119</x:f>
        <x:v>Task</x:v>
      </x:c>
    </x:row>
    <x:row r="1492" ht="40" customHeight="1">
      <x:c r="A1492" s="3" t="str">
        <x:f>HYPERLINK("#'Design &amp; Insights'!A120","Open")</x:f>
        <x:v>Open</x:v>
      </x:c>
      <x:c r="B1492" s="2" t="str">
        <x:f>'Design &amp; Insights'!B120</x:f>
        <x:v>Cycle 1</x:v>
      </x:c>
      <x:c r="C1492" s="2" t="str">
        <x:f>'Design &amp; Insights'!C120</x:f>
        <x:v>Phase 2</x:v>
      </x:c>
      <x:c r="D1492" s="2" t="str">
        <x:f>'Design &amp; Insights'!D120</x:f>
        <x:v>PLL</x:v>
      </x:c>
      <x:c r="E1492" s="2" t="str">
        <x:v>Design &amp; Insights</x:v>
      </x:c>
      <x:c r="F1492" s="56" t="str">
        <x:f>'Design &amp; Insights'!E120</x:f>
        <x:v>DI.PL.2.5</x:v>
      </x:c>
      <x:c r="G1492" s="14" t="str">
        <x:f>'Design &amp; Insights'!F120</x:f>
        <x:v>Draft initial enhancement recommendations (as applicable)</x:v>
      </x:c>
      <x:c r="H1492" s="2" t="str">
        <x:f>IF('Design &amp; Insights'!G120="","",'Design &amp; Insights'!G120)</x:f>
      </x:c>
      <x:c r="I1492" s="12" t="str">
        <x:f>IF('Design &amp; Insights'!H120="","",'Design &amp; Insights'!H120)</x:f>
      </x:c>
      <x:c r="J1492" s="12" t="n">
        <x:f>IF('Design &amp; Insights'!I120="","",'Design &amp; Insights'!I120)</x:f>
        <x:v>46112</x:v>
      </x:c>
      <x:c r="K1492" s="12" t="str">
        <x:f>IF('Design &amp; Insights'!J120="","",'Design &amp; Insights'!J120)</x:f>
      </x:c>
      <x:c r="L1492" s="2" t="str">
        <x:f>IF('Design &amp; Insights'!K120="","",'Design &amp; Insights'!K120)</x:f>
      </x:c>
      <x:c r="M1492" s="2" t="n">
        <x:f>'Design &amp; Insights'!Q120</x:f>
        <x:v>1</x:v>
      </x:c>
      <x:c r="N1492" s="2" t="str">
        <x:f>'Design &amp; Insights'!L120</x:f>
        <x:v>Not started</x:v>
      </x:c>
      <x:c r="O1492" s="2" t="str">
        <x:f>'Design &amp; Insights'!N120</x:f>
        <x:v>DI.PL.2.5.2026.CY1</x:v>
      </x:c>
      <x:c r="P1492" s="2" t="n">
        <x:f>'Design &amp; Insights'!O120</x:f>
        <x:v>0</x:v>
      </x:c>
      <x:c r="Q1492" s="2" t="n">
        <x:f>SUBTOTAL(103,O1492)</x:f>
        <x:v>1</x:v>
      </x:c>
      <x:c r="R1492" s="2" t="n">
        <x:f>IF(AND(M1492=1,OR(Dashboard!$B$7="All",Dashboard!$B$7='Cycles &amp; Guide'!$C$5),OR(Dashboard!$D$7="All",Dashboard!$D$7=B1492),OR(Dashboard!$F$7="All",Dashboard!$F$7=C1492),OR(Dashboard!$H$7="All",Dashboard!$H$7=D1492),OR(Dashboard!$K$7="All",Dashboard!$K$7=E1492)),1,0)</x:f>
        <x:v>1</x:v>
      </x:c>
      <x:c r="S1492" s="2" t="n">
        <x:f>IF(R1492=1,SUM($R$10:R1492),0)</x:f>
        <x:v>1119</x:v>
      </x:c>
      <x:c r="T1492" s="2" t="str">
        <x:v>Design &amp; Insights</x:v>
      </x:c>
      <x:c r="U1492" s="2" t="n">
        <x:v>120</x:v>
      </x:c>
      <x:c r="V1492" s="2" t="n">
        <x:f>IF(AND(M1492=1,P1492=0,ISNUMBER(J1492),J1492&lt;TODAY()),1,0)</x:f>
        <x:v>1</x:v>
      </x:c>
      <x:c r="W1492" s="2" t="str">
        <x:f>'Design &amp; Insights'!M120</x:f>
        <x:v>Task</x:v>
      </x:c>
    </x:row>
    <x:row r="1493" ht="40" customHeight="1">
      <x:c r="A1493" s="3" t="str">
        <x:f>HYPERLINK("#'Design &amp; Insights'!A121","Open")</x:f>
        <x:v>Open</x:v>
      </x:c>
      <x:c r="B1493" s="2" t="str">
        <x:f>'Design &amp; Insights'!B121</x:f>
        <x:v>Cycle 1</x:v>
      </x:c>
      <x:c r="C1493" s="2" t="str">
        <x:f>'Design &amp; Insights'!C121</x:f>
        <x:v>Phase 2</x:v>
      </x:c>
      <x:c r="D1493" s="2" t="str">
        <x:f>'Design &amp; Insights'!D121</x:f>
        <x:v>PLL</x:v>
      </x:c>
      <x:c r="E1493" s="2" t="str">
        <x:v>Design &amp; Insights</x:v>
      </x:c>
      <x:c r="F1493" s="56" t="str">
        <x:f>'Design &amp; Insights'!E121</x:f>
        <x:v>DI.PL.2.6</x:v>
      </x:c>
      <x:c r="G1493" s="14" t="str">
        <x:f>'Design &amp; Insights'!F121</x:f>
        <x:v>Finalize presentation deck draft at conclusion of Research phase</x:v>
      </x:c>
      <x:c r="H1493" s="2" t="str">
        <x:f>IF('Design &amp; Insights'!G121="","",'Design &amp; Insights'!G121)</x:f>
      </x:c>
      <x:c r="I1493" s="12" t="str">
        <x:f>IF('Design &amp; Insights'!H121="","",'Design &amp; Insights'!H121)</x:f>
      </x:c>
      <x:c r="J1493" s="12" t="n">
        <x:f>IF('Design &amp; Insights'!I121="","",'Design &amp; Insights'!I121)</x:f>
        <x:v>46112</x:v>
      </x:c>
      <x:c r="K1493" s="12" t="str">
        <x:f>IF('Design &amp; Insights'!J121="","",'Design &amp; Insights'!J121)</x:f>
      </x:c>
      <x:c r="L1493" s="2" t="str">
        <x:f>IF('Design &amp; Insights'!K121="","",'Design &amp; Insights'!K121)</x:f>
      </x:c>
      <x:c r="M1493" s="2" t="n">
        <x:f>'Design &amp; Insights'!Q121</x:f>
        <x:v>1</x:v>
      </x:c>
      <x:c r="N1493" s="2" t="str">
        <x:f>'Design &amp; Insights'!L121</x:f>
        <x:v>Not started</x:v>
      </x:c>
      <x:c r="O1493" s="2" t="str">
        <x:f>'Design &amp; Insights'!N121</x:f>
        <x:v>DI.PL.2.6.2026.CY1</x:v>
      </x:c>
      <x:c r="P1493" s="2" t="n">
        <x:f>'Design &amp; Insights'!O121</x:f>
        <x:v>0</x:v>
      </x:c>
      <x:c r="Q1493" s="2" t="n">
        <x:f>SUBTOTAL(103,O1493)</x:f>
        <x:v>1</x:v>
      </x:c>
      <x:c r="R1493" s="2" t="n">
        <x:f>IF(AND(M1493=1,OR(Dashboard!$B$7="All",Dashboard!$B$7='Cycles &amp; Guide'!$C$5),OR(Dashboard!$D$7="All",Dashboard!$D$7=B1493),OR(Dashboard!$F$7="All",Dashboard!$F$7=C1493),OR(Dashboard!$H$7="All",Dashboard!$H$7=D1493),OR(Dashboard!$K$7="All",Dashboard!$K$7=E1493)),1,0)</x:f>
        <x:v>1</x:v>
      </x:c>
      <x:c r="S1493" s="2" t="n">
        <x:f>IF(R1493=1,SUM($R$10:R1493),0)</x:f>
        <x:v>1120</x:v>
      </x:c>
      <x:c r="T1493" s="2" t="str">
        <x:v>Design &amp; Insights</x:v>
      </x:c>
      <x:c r="U1493" s="2" t="n">
        <x:v>121</x:v>
      </x:c>
      <x:c r="V1493" s="2" t="n">
        <x:f>IF(AND(M1493=1,P1493=0,ISNUMBER(J1493),J1493&lt;TODAY()),1,0)</x:f>
        <x:v>1</x:v>
      </x:c>
      <x:c r="W1493" s="2" t="str">
        <x:f>'Design &amp; Insights'!M121</x:f>
        <x:v>Task</x:v>
      </x:c>
    </x:row>
    <x:row r="1494" ht="40" customHeight="1">
      <x:c r="A1494" s="3" t="str">
        <x:f>HYPERLINK("#'Design &amp; Insights'!A122","Open")</x:f>
        <x:v>Open</x:v>
      </x:c>
      <x:c r="B1494" s="2" t="str">
        <x:f>'Design &amp; Insights'!B122</x:f>
        <x:v>Cycle 1</x:v>
      </x:c>
      <x:c r="C1494" s="2" t="str">
        <x:f>'Design &amp; Insights'!C122</x:f>
        <x:v>Phase 2</x:v>
      </x:c>
      <x:c r="D1494" s="2" t="str">
        <x:f>'Design &amp; Insights'!D122</x:f>
        <x:v>PLL</x:v>
      </x:c>
      <x:c r="E1494" s="2" t="str">
        <x:v>Design &amp; Insights</x:v>
      </x:c>
      <x:c r="F1494" s="56" t="str">
        <x:f>'Design &amp; Insights'!E122</x:f>
        <x:v>DI.PL.2.7</x:v>
      </x:c>
      <x:c r="G1494" s="14" t="str">
        <x:f>'Design &amp; Insights'!F122</x:f>
        <x:v>Update Outcome portion of research plan with current enhancement verbiage (as needed)</x:v>
      </x:c>
      <x:c r="H1494" s="2" t="str">
        <x:f>IF('Design &amp; Insights'!G122="","",'Design &amp; Insights'!G122)</x:f>
      </x:c>
      <x:c r="I1494" s="12" t="str">
        <x:f>IF('Design &amp; Insights'!H122="","",'Design &amp; Insights'!H122)</x:f>
      </x:c>
      <x:c r="J1494" s="12" t="n">
        <x:f>IF('Design &amp; Insights'!I122="","",'Design &amp; Insights'!I122)</x:f>
        <x:v>46112</x:v>
      </x:c>
      <x:c r="K1494" s="12" t="str">
        <x:f>IF('Design &amp; Insights'!J122="","",'Design &amp; Insights'!J122)</x:f>
      </x:c>
      <x:c r="L1494" s="2" t="str">
        <x:f>IF('Design &amp; Insights'!K122="","",'Design &amp; Insights'!K122)</x:f>
      </x:c>
      <x:c r="M1494" s="2" t="n">
        <x:f>'Design &amp; Insights'!Q122</x:f>
        <x:v>1</x:v>
      </x:c>
      <x:c r="N1494" s="2" t="str">
        <x:f>'Design &amp; Insights'!L122</x:f>
        <x:v>Not started</x:v>
      </x:c>
      <x:c r="O1494" s="2" t="str">
        <x:f>'Design &amp; Insights'!N122</x:f>
        <x:v>DI.PL.2.7.2026.CY1</x:v>
      </x:c>
      <x:c r="P1494" s="2" t="n">
        <x:f>'Design &amp; Insights'!O122</x:f>
        <x:v>0</x:v>
      </x:c>
      <x:c r="Q1494" s="2" t="n">
        <x:f>SUBTOTAL(103,O1494)</x:f>
        <x:v>1</x:v>
      </x:c>
      <x:c r="R1494" s="2" t="n">
        <x:f>IF(AND(M1494=1,OR(Dashboard!$B$7="All",Dashboard!$B$7='Cycles &amp; Guide'!$C$5),OR(Dashboard!$D$7="All",Dashboard!$D$7=B1494),OR(Dashboard!$F$7="All",Dashboard!$F$7=C1494),OR(Dashboard!$H$7="All",Dashboard!$H$7=D1494),OR(Dashboard!$K$7="All",Dashboard!$K$7=E1494)),1,0)</x:f>
        <x:v>1</x:v>
      </x:c>
      <x:c r="S1494" s="2" t="n">
        <x:f>IF(R1494=1,SUM($R$10:R1494),0)</x:f>
        <x:v>1121</x:v>
      </x:c>
      <x:c r="T1494" s="2" t="str">
        <x:v>Design &amp; Insights</x:v>
      </x:c>
      <x:c r="U1494" s="2" t="n">
        <x:v>122</x:v>
      </x:c>
      <x:c r="V1494" s="2" t="n">
        <x:f>IF(AND(M1494=1,P1494=0,ISNUMBER(J1494),J1494&lt;TODAY()),1,0)</x:f>
        <x:v>1</x:v>
      </x:c>
      <x:c r="W1494" s="2" t="str">
        <x:f>'Design &amp; Insights'!M122</x:f>
        <x:v>Task</x:v>
      </x:c>
    </x:row>
    <x:row r="1495" ht="40" customHeight="1">
      <x:c r="A1495" s="3" t="str">
        <x:f>HYPERLINK("#'Design &amp; Insights'!A123","Open")</x:f>
        <x:v>Open</x:v>
      </x:c>
      <x:c r="B1495" s="2" t="str">
        <x:f>'Design &amp; Insights'!B123</x:f>
        <x:v>Cycle 1</x:v>
      </x:c>
      <x:c r="C1495" s="2" t="str">
        <x:f>'Design &amp; Insights'!C123</x:f>
        <x:v>Phase 3</x:v>
      </x:c>
      <x:c r="D1495" s="2" t="str">
        <x:f>'Design &amp; Insights'!D123</x:f>
        <x:v>PLL</x:v>
      </x:c>
      <x:c r="E1495" s="2" t="str">
        <x:v>Design &amp; Insights</x:v>
      </x:c>
      <x:c r="F1495" s="56" t="str">
        <x:f>'Design &amp; Insights'!E123</x:f>
        <x:v>DI.PL.3.1</x:v>
      </x:c>
      <x:c r="G1495" s="14" t="str">
        <x:f>'Design &amp; Insights'!F123</x:f>
        <x:v>Confirm list of required &amp; optional attendees for pre-socialization meeting</x:v>
      </x:c>
      <x:c r="H1495" s="2" t="str">
        <x:f>IF('Design &amp; Insights'!G123="","",'Design &amp; Insights'!G123)</x:f>
      </x:c>
      <x:c r="I1495" s="12" t="str">
        <x:f>IF('Design &amp; Insights'!H123="","",'Design &amp; Insights'!H123)</x:f>
      </x:c>
      <x:c r="J1495" s="12" t="n">
        <x:f>IF('Design &amp; Insights'!I123="","",'Design &amp; Insights'!I123)</x:f>
        <x:v>46112</x:v>
      </x:c>
      <x:c r="K1495" s="12" t="str">
        <x:f>IF('Design &amp; Insights'!J123="","",'Design &amp; Insights'!J123)</x:f>
      </x:c>
      <x:c r="L1495" s="2" t="str">
        <x:f>IF('Design &amp; Insights'!K123="","",'Design &amp; Insights'!K123)</x:f>
      </x:c>
      <x:c r="M1495" s="2" t="n">
        <x:f>'Design &amp; Insights'!Q123</x:f>
        <x:v>1</x:v>
      </x:c>
      <x:c r="N1495" s="2" t="str">
        <x:f>'Design &amp; Insights'!L123</x:f>
        <x:v>Not started</x:v>
      </x:c>
      <x:c r="O1495" s="2" t="str">
        <x:f>'Design &amp; Insights'!N123</x:f>
        <x:v>DI.PL.3.1.2026.CY1</x:v>
      </x:c>
      <x:c r="P1495" s="2" t="n">
        <x:f>'Design &amp; Insights'!O123</x:f>
        <x:v>0</x:v>
      </x:c>
      <x:c r="Q1495" s="2" t="n">
        <x:f>SUBTOTAL(103,O1495)</x:f>
        <x:v>1</x:v>
      </x:c>
      <x:c r="R1495" s="2" t="n">
        <x:f>IF(AND(M1495=1,OR(Dashboard!$B$7="All",Dashboard!$B$7='Cycles &amp; Guide'!$C$5),OR(Dashboard!$D$7="All",Dashboard!$D$7=B1495),OR(Dashboard!$F$7="All",Dashboard!$F$7=C1495),OR(Dashboard!$H$7="All",Dashboard!$H$7=D1495),OR(Dashboard!$K$7="All",Dashboard!$K$7=E1495)),1,0)</x:f>
        <x:v>1</x:v>
      </x:c>
      <x:c r="S1495" s="2" t="n">
        <x:f>IF(R1495=1,SUM($R$10:R1495),0)</x:f>
        <x:v>1122</x:v>
      </x:c>
      <x:c r="T1495" s="2" t="str">
        <x:v>Design &amp; Insights</x:v>
      </x:c>
      <x:c r="U1495" s="2" t="n">
        <x:v>123</x:v>
      </x:c>
      <x:c r="V1495" s="2" t="n">
        <x:f>IF(AND(M1495=1,P1495=0,ISNUMBER(J1495),J1495&lt;TODAY()),1,0)</x:f>
        <x:v>1</x:v>
      </x:c>
      <x:c r="W1495" s="2" t="str">
        <x:f>'Design &amp; Insights'!M123</x:f>
        <x:v>Task</x:v>
      </x:c>
    </x:row>
    <x:row r="1496" ht="40" customHeight="1">
      <x:c r="A1496" s="3" t="str">
        <x:f>HYPERLINK("#'Design &amp; Insights'!A124","Open")</x:f>
        <x:v>Open</x:v>
      </x:c>
      <x:c r="B1496" s="2" t="str">
        <x:f>'Design &amp; Insights'!B124</x:f>
        <x:v>Cycle 1</x:v>
      </x:c>
      <x:c r="C1496" s="2" t="str">
        <x:f>'Design &amp; Insights'!C124</x:f>
        <x:v>Phase 3</x:v>
      </x:c>
      <x:c r="D1496" s="2" t="str">
        <x:f>'Design &amp; Insights'!D124</x:f>
        <x:v>PLL</x:v>
      </x:c>
      <x:c r="E1496" s="2" t="str">
        <x:v>Design &amp; Insights</x:v>
      </x:c>
      <x:c r="F1496" s="56" t="str">
        <x:f>'Design &amp; Insights'!E124</x:f>
        <x:v>DI.PL.3.2</x:v>
      </x:c>
      <x:c r="G1496" s="14" t="str">
        <x:f>'Design &amp; Insights'!F124</x:f>
        <x:v>Schedule pre-socialization meeting 1 week prior to RCA Forum</x:v>
      </x:c>
      <x:c r="H1496" s="2" t="str">
        <x:f>IF('Design &amp; Insights'!G124="","",'Design &amp; Insights'!G124)</x:f>
      </x:c>
      <x:c r="I1496" s="12" t="str">
        <x:f>IF('Design &amp; Insights'!H124="","",'Design &amp; Insights'!H124)</x:f>
      </x:c>
      <x:c r="J1496" s="12" t="str">
        <x:f>IF('Design &amp; Insights'!I124="","",'Design &amp; Insights'!I124)</x:f>
      </x:c>
      <x:c r="K1496" s="12" t="str">
        <x:f>IF('Design &amp; Insights'!J124="","",'Design &amp; Insights'!J124)</x:f>
      </x:c>
      <x:c r="L1496" s="2" t="str">
        <x:f>IF('Design &amp; Insights'!K124="","",'Design &amp; Insights'!K124)</x:f>
      </x:c>
      <x:c r="M1496" s="2" t="n">
        <x:f>'Design &amp; Insights'!Q124</x:f>
        <x:v>1</x:v>
      </x:c>
      <x:c r="N1496" s="2" t="str">
        <x:f>'Design &amp; Insights'!L124</x:f>
        <x:v>Not started</x:v>
      </x:c>
      <x:c r="O1496" s="2" t="str">
        <x:f>'Design &amp; Insights'!N124</x:f>
        <x:v>DI.PL.3.2.2026.CY1</x:v>
      </x:c>
      <x:c r="P1496" s="2" t="n">
        <x:f>'Design &amp; Insights'!O124</x:f>
        <x:v>0</x:v>
      </x:c>
      <x:c r="Q1496" s="2" t="n">
        <x:f>SUBTOTAL(103,O1496)</x:f>
        <x:v>1</x:v>
      </x:c>
      <x:c r="R1496" s="2" t="n">
        <x:f>IF(AND(M1496=1,OR(Dashboard!$B$7="All",Dashboard!$B$7='Cycles &amp; Guide'!$C$5),OR(Dashboard!$D$7="All",Dashboard!$D$7=B1496),OR(Dashboard!$F$7="All",Dashboard!$F$7=C1496),OR(Dashboard!$H$7="All",Dashboard!$H$7=D1496),OR(Dashboard!$K$7="All",Dashboard!$K$7=E1496)),1,0)</x:f>
        <x:v>1</x:v>
      </x:c>
      <x:c r="S1496" s="2" t="n">
        <x:f>IF(R1496=1,SUM($R$10:R1496),0)</x:f>
        <x:v>1123</x:v>
      </x:c>
      <x:c r="T1496" s="2" t="str">
        <x:v>Design &amp; Insights</x:v>
      </x:c>
      <x:c r="U1496" s="2" t="n">
        <x:v>124</x:v>
      </x:c>
      <x:c r="V1496" s="2" t="n">
        <x:f>IF(AND(M1496=1,P1496=0,ISNUMBER(J1496),J1496&lt;TODAY()),1,0)</x:f>
        <x:v>0</x:v>
      </x:c>
      <x:c r="W1496" s="2" t="str">
        <x:f>'Design &amp; Insights'!M124</x:f>
        <x:v>Task</x:v>
      </x:c>
    </x:row>
    <x:row r="1497" ht="40" customHeight="1">
      <x:c r="A1497" s="3" t="str">
        <x:f>HYPERLINK("#'Design &amp; Insights'!A125","Open")</x:f>
        <x:v>Open</x:v>
      </x:c>
      <x:c r="B1497" s="2" t="str">
        <x:f>'Design &amp; Insights'!B125</x:f>
        <x:v>Cycle 1</x:v>
      </x:c>
      <x:c r="C1497" s="2" t="str">
        <x:f>'Design &amp; Insights'!C125</x:f>
        <x:v>Phase 3</x:v>
      </x:c>
      <x:c r="D1497" s="2" t="str">
        <x:f>'Design &amp; Insights'!D125</x:f>
        <x:v>PLL</x:v>
      </x:c>
      <x:c r="E1497" s="2" t="str">
        <x:v>Design &amp; Insights</x:v>
      </x:c>
      <x:c r="F1497" s="56" t="str">
        <x:f>'Design &amp; Insights'!E125</x:f>
        <x:v>DI.PL.3.3</x:v>
      </x:c>
      <x:c r="G1497" s="14" t="str">
        <x:f>'Design &amp; Insights'!F125</x:f>
        <x:v>Present findings, conclusions, and recommendation to SMEs</x:v>
      </x:c>
      <x:c r="H1497" s="2" t="str">
        <x:f>IF('Design &amp; Insights'!G125="","",'Design &amp; Insights'!G125)</x:f>
      </x:c>
      <x:c r="I1497" s="12" t="str">
        <x:f>IF('Design &amp; Insights'!H125="","",'Design &amp; Insights'!H125)</x:f>
      </x:c>
      <x:c r="J1497" s="12" t="n">
        <x:f>IF('Design &amp; Insights'!I125="","",'Design &amp; Insights'!I125)</x:f>
        <x:v>46112</x:v>
      </x:c>
      <x:c r="K1497" s="12" t="str">
        <x:f>IF('Design &amp; Insights'!J125="","",'Design &amp; Insights'!J125)</x:f>
      </x:c>
      <x:c r="L1497" s="2" t="str">
        <x:f>IF('Design &amp; Insights'!K125="","",'Design &amp; Insights'!K125)</x:f>
      </x:c>
      <x:c r="M1497" s="2" t="n">
        <x:f>'Design &amp; Insights'!Q125</x:f>
        <x:v>1</x:v>
      </x:c>
      <x:c r="N1497" s="2" t="str">
        <x:f>'Design &amp; Insights'!L125</x:f>
        <x:v>Not started</x:v>
      </x:c>
      <x:c r="O1497" s="2" t="str">
        <x:f>'Design &amp; Insights'!N125</x:f>
        <x:v>DI.PL.3.3.2026.CY1</x:v>
      </x:c>
      <x:c r="P1497" s="2" t="n">
        <x:f>'Design &amp; Insights'!O125</x:f>
        <x:v>0</x:v>
      </x:c>
      <x:c r="Q1497" s="2" t="n">
        <x:f>SUBTOTAL(103,O1497)</x:f>
        <x:v>1</x:v>
      </x:c>
      <x:c r="R1497" s="2" t="n">
        <x:f>IF(AND(M1497=1,OR(Dashboard!$B$7="All",Dashboard!$B$7='Cycles &amp; Guide'!$C$5),OR(Dashboard!$D$7="All",Dashboard!$D$7=B1497),OR(Dashboard!$F$7="All",Dashboard!$F$7=C1497),OR(Dashboard!$H$7="All",Dashboard!$H$7=D1497),OR(Dashboard!$K$7="All",Dashboard!$K$7=E1497)),1,0)</x:f>
        <x:v>1</x:v>
      </x:c>
      <x:c r="S1497" s="2" t="n">
        <x:f>IF(R1497=1,SUM($R$10:R1497),0)</x:f>
        <x:v>1124</x:v>
      </x:c>
      <x:c r="T1497" s="2" t="str">
        <x:v>Design &amp; Insights</x:v>
      </x:c>
      <x:c r="U1497" s="2" t="n">
        <x:v>125</x:v>
      </x:c>
      <x:c r="V1497" s="2" t="n">
        <x:f>IF(AND(M1497=1,P1497=0,ISNUMBER(J1497),J1497&lt;TODAY()),1,0)</x:f>
        <x:v>1</x:v>
      </x:c>
      <x:c r="W1497" s="2" t="str">
        <x:f>'Design &amp; Insights'!M125</x:f>
        <x:v>Task</x:v>
      </x:c>
    </x:row>
    <x:row r="1498" ht="40" customHeight="1">
      <x:c r="A1498" s="3" t="str">
        <x:f>HYPERLINK("#'Design &amp; Insights'!A126","Open")</x:f>
        <x:v>Open</x:v>
      </x:c>
      <x:c r="B1498" s="2" t="str">
        <x:f>'Design &amp; Insights'!B126</x:f>
        <x:v>Cycle 1</x:v>
      </x:c>
      <x:c r="C1498" s="2" t="str">
        <x:f>'Design &amp; Insights'!C126</x:f>
        <x:v>Phase 3</x:v>
      </x:c>
      <x:c r="D1498" s="2" t="str">
        <x:f>'Design &amp; Insights'!D126</x:f>
        <x:v>PLL</x:v>
      </x:c>
      <x:c r="E1498" s="2" t="str">
        <x:v>Design &amp; Insights</x:v>
      </x:c>
      <x:c r="F1498" s="56" t="str">
        <x:f>'Design &amp; Insights'!E126</x:f>
        <x:v>DI.PL.3.4</x:v>
      </x:c>
      <x:c r="G1498" s="14" t="str">
        <x:f>'Design &amp; Insights'!F126</x:f>
        <x:v>Update Outcome portion of research plan (as needed)</x:v>
      </x:c>
      <x:c r="H1498" s="2" t="str">
        <x:f>IF('Design &amp; Insights'!G126="","",'Design &amp; Insights'!G126)</x:f>
      </x:c>
      <x:c r="I1498" s="12" t="str">
        <x:f>IF('Design &amp; Insights'!H126="","",'Design &amp; Insights'!H126)</x:f>
      </x:c>
      <x:c r="J1498" s="12" t="n">
        <x:f>IF('Design &amp; Insights'!I126="","",'Design &amp; Insights'!I126)</x:f>
        <x:v>46112</x:v>
      </x:c>
      <x:c r="K1498" s="12" t="str">
        <x:f>IF('Design &amp; Insights'!J126="","",'Design &amp; Insights'!J126)</x:f>
      </x:c>
      <x:c r="L1498" s="2" t="str">
        <x:f>IF('Design &amp; Insights'!K126="","",'Design &amp; Insights'!K126)</x:f>
      </x:c>
      <x:c r="M1498" s="2" t="n">
        <x:f>'Design &amp; Insights'!Q126</x:f>
        <x:v>1</x:v>
      </x:c>
      <x:c r="N1498" s="2" t="str">
        <x:f>'Design &amp; Insights'!L126</x:f>
        <x:v>Not started</x:v>
      </x:c>
      <x:c r="O1498" s="2" t="str">
        <x:f>'Design &amp; Insights'!N126</x:f>
        <x:v>DI.PL.3.4.2026.CY1</x:v>
      </x:c>
      <x:c r="P1498" s="2" t="n">
        <x:f>'Design &amp; Insights'!O126</x:f>
        <x:v>0</x:v>
      </x:c>
      <x:c r="Q1498" s="2" t="n">
        <x:f>SUBTOTAL(103,O1498)</x:f>
        <x:v>1</x:v>
      </x:c>
      <x:c r="R1498" s="2" t="n">
        <x:f>IF(AND(M1498=1,OR(Dashboard!$B$7="All",Dashboard!$B$7='Cycles &amp; Guide'!$C$5),OR(Dashboard!$D$7="All",Dashboard!$D$7=B1498),OR(Dashboard!$F$7="All",Dashboard!$F$7=C1498),OR(Dashboard!$H$7="All",Dashboard!$H$7=D1498),OR(Dashboard!$K$7="All",Dashboard!$K$7=E1498)),1,0)</x:f>
        <x:v>1</x:v>
      </x:c>
      <x:c r="S1498" s="2" t="n">
        <x:f>IF(R1498=1,SUM($R$10:R1498),0)</x:f>
        <x:v>1125</x:v>
      </x:c>
      <x:c r="T1498" s="2" t="str">
        <x:v>Design &amp; Insights</x:v>
      </x:c>
      <x:c r="U1498" s="2" t="n">
        <x:v>126</x:v>
      </x:c>
      <x:c r="V1498" s="2" t="n">
        <x:f>IF(AND(M1498=1,P1498=0,ISNUMBER(J1498),J1498&lt;TODAY()),1,0)</x:f>
        <x:v>1</x:v>
      </x:c>
      <x:c r="W1498" s="2" t="str">
        <x:f>'Design &amp; Insights'!M126</x:f>
        <x:v>Task</x:v>
      </x:c>
    </x:row>
    <x:row r="1499" ht="40" customHeight="1">
      <x:c r="A1499" s="3" t="str">
        <x:f>HYPERLINK("#'Design &amp; Insights'!A127","Open")</x:f>
        <x:v>Open</x:v>
      </x:c>
      <x:c r="B1499" s="2" t="str">
        <x:f>'Design &amp; Insights'!B127</x:f>
        <x:v>Cycle 1</x:v>
      </x:c>
      <x:c r="C1499" s="2" t="str">
        <x:f>'Design &amp; Insights'!C127</x:f>
        <x:v>Phase 3</x:v>
      </x:c>
      <x:c r="D1499" s="2" t="str">
        <x:f>'Design &amp; Insights'!D127</x:f>
        <x:v>PLL</x:v>
      </x:c>
      <x:c r="E1499" s="2" t="str">
        <x:v>Design &amp; Insights</x:v>
      </x:c>
      <x:c r="F1499" s="56" t="str">
        <x:f>'Design &amp; Insights'!E127</x:f>
        <x:v>DI.PL.3.5</x:v>
      </x:c>
      <x:c r="G1499" s="14" t="str">
        <x:f>'Design &amp; Insights'!F127</x:f>
        <x:v>Finalize presentation deck by incorporating pre-socialization feedback (as needed)</x:v>
      </x:c>
      <x:c r="H1499" s="2" t="str">
        <x:f>IF('Design &amp; Insights'!G127="","",'Design &amp; Insights'!G127)</x:f>
      </x:c>
      <x:c r="I1499" s="12" t="str">
        <x:f>IF('Design &amp; Insights'!H127="","",'Design &amp; Insights'!H127)</x:f>
      </x:c>
      <x:c r="J1499" s="12" t="n">
        <x:f>IF('Design &amp; Insights'!I127="","",'Design &amp; Insights'!I127)</x:f>
        <x:v>46112</x:v>
      </x:c>
      <x:c r="K1499" s="12" t="str">
        <x:f>IF('Design &amp; Insights'!J127="","",'Design &amp; Insights'!J127)</x:f>
      </x:c>
      <x:c r="L1499" s="2" t="str">
        <x:f>IF('Design &amp; Insights'!K127="","",'Design &amp; Insights'!K127)</x:f>
      </x:c>
      <x:c r="M1499" s="2" t="n">
        <x:f>'Design &amp; Insights'!Q127</x:f>
        <x:v>1</x:v>
      </x:c>
      <x:c r="N1499" s="2" t="str">
        <x:f>'Design &amp; Insights'!L127</x:f>
        <x:v>Not started</x:v>
      </x:c>
      <x:c r="O1499" s="2" t="str">
        <x:f>'Design &amp; Insights'!N127</x:f>
        <x:v>DI.PL.3.5.2026.CY1</x:v>
      </x:c>
      <x:c r="P1499" s="2" t="n">
        <x:f>'Design &amp; Insights'!O127</x:f>
        <x:v>0</x:v>
      </x:c>
      <x:c r="Q1499" s="2" t="n">
        <x:f>SUBTOTAL(103,O1499)</x:f>
        <x:v>1</x:v>
      </x:c>
      <x:c r="R1499" s="2" t="n">
        <x:f>IF(AND(M1499=1,OR(Dashboard!$B$7="All",Dashboard!$B$7='Cycles &amp; Guide'!$C$5),OR(Dashboard!$D$7="All",Dashboard!$D$7=B1499),OR(Dashboard!$F$7="All",Dashboard!$F$7=C1499),OR(Dashboard!$H$7="All",Dashboard!$H$7=D1499),OR(Dashboard!$K$7="All",Dashboard!$K$7=E1499)),1,0)</x:f>
        <x:v>1</x:v>
      </x:c>
      <x:c r="S1499" s="2" t="n">
        <x:f>IF(R1499=1,SUM($R$10:R1499),0)</x:f>
        <x:v>1126</x:v>
      </x:c>
      <x:c r="T1499" s="2" t="str">
        <x:v>Design &amp; Insights</x:v>
      </x:c>
      <x:c r="U1499" s="2" t="n">
        <x:v>127</x:v>
      </x:c>
      <x:c r="V1499" s="2" t="n">
        <x:f>IF(AND(M1499=1,P1499=0,ISNUMBER(J1499),J1499&lt;TODAY()),1,0)</x:f>
        <x:v>1</x:v>
      </x:c>
      <x:c r="W1499" s="2" t="str">
        <x:f>'Design &amp; Insights'!M127</x:f>
        <x:v>Task</x:v>
      </x:c>
    </x:row>
    <x:row r="1500" ht="40" customHeight="1">
      <x:c r="A1500" s="3" t="str">
        <x:f>HYPERLINK("#'Design &amp; Insights'!A128","Open")</x:f>
        <x:v>Open</x:v>
      </x:c>
      <x:c r="B1500" s="2" t="str">
        <x:f>'Design &amp; Insights'!B128</x:f>
        <x:v>Cycle 1</x:v>
      </x:c>
      <x:c r="C1500" s="2" t="str">
        <x:f>'Design &amp; Insights'!C128</x:f>
        <x:v>Phase 3</x:v>
      </x:c>
      <x:c r="D1500" s="2" t="str">
        <x:f>'Design &amp; Insights'!D128</x:f>
        <x:v>PLL</x:v>
      </x:c>
      <x:c r="E1500" s="2" t="str">
        <x:v>Design &amp; Insights</x:v>
      </x:c>
      <x:c r="F1500" s="56" t="str">
        <x:f>'Design &amp; Insights'!E128</x:f>
        <x:v>DI.PL.3.6</x:v>
      </x:c>
      <x:c r="G1500" s="14" t="str">
        <x:f>'Design &amp; Insights'!F128</x:f>
        <x:v>Ensure final deck is communicated to Forum attendees</x:v>
      </x:c>
      <x:c r="H1500" s="2" t="str">
        <x:f>IF('Design &amp; Insights'!G128="","",'Design &amp; Insights'!G128)</x:f>
      </x:c>
      <x:c r="I1500" s="12" t="str">
        <x:f>IF('Design &amp; Insights'!H128="","",'Design &amp; Insights'!H128)</x:f>
      </x:c>
      <x:c r="J1500" s="12" t="n">
        <x:f>IF('Design &amp; Insights'!I128="","",'Design &amp; Insights'!I128)</x:f>
        <x:v>46112</x:v>
      </x:c>
      <x:c r="K1500" s="12" t="str">
        <x:f>IF('Design &amp; Insights'!J128="","",'Design &amp; Insights'!J128)</x:f>
      </x:c>
      <x:c r="L1500" s="2" t="str">
        <x:f>IF('Design &amp; Insights'!K128="","",'Design &amp; Insights'!K128)</x:f>
      </x:c>
      <x:c r="M1500" s="2" t="n">
        <x:f>'Design &amp; Insights'!Q128</x:f>
        <x:v>1</x:v>
      </x:c>
      <x:c r="N1500" s="2" t="str">
        <x:f>'Design &amp; Insights'!L128</x:f>
        <x:v>Not started</x:v>
      </x:c>
      <x:c r="O1500" s="2" t="str">
        <x:f>'Design &amp; Insights'!N128</x:f>
        <x:v>DI.PL.3.6.2026.CY1</x:v>
      </x:c>
      <x:c r="P1500" s="2" t="n">
        <x:f>'Design &amp; Insights'!O128</x:f>
        <x:v>0</x:v>
      </x:c>
      <x:c r="Q1500" s="2" t="n">
        <x:f>SUBTOTAL(103,O1500)</x:f>
        <x:v>1</x:v>
      </x:c>
      <x:c r="R1500" s="2" t="n">
        <x:f>IF(AND(M1500=1,OR(Dashboard!$B$7="All",Dashboard!$B$7='Cycles &amp; Guide'!$C$5),OR(Dashboard!$D$7="All",Dashboard!$D$7=B1500),OR(Dashboard!$F$7="All",Dashboard!$F$7=C1500),OR(Dashboard!$H$7="All",Dashboard!$H$7=D1500),OR(Dashboard!$K$7="All",Dashboard!$K$7=E1500)),1,0)</x:f>
        <x:v>1</x:v>
      </x:c>
      <x:c r="S1500" s="2" t="n">
        <x:f>IF(R1500=1,SUM($R$10:R1500),0)</x:f>
        <x:v>1127</x:v>
      </x:c>
      <x:c r="T1500" s="2" t="str">
        <x:v>Design &amp; Insights</x:v>
      </x:c>
      <x:c r="U1500" s="2" t="n">
        <x:v>128</x:v>
      </x:c>
      <x:c r="V1500" s="2" t="n">
        <x:f>IF(AND(M1500=1,P1500=0,ISNUMBER(J1500),J1500&lt;TODAY()),1,0)</x:f>
        <x:v>1</x:v>
      </x:c>
      <x:c r="W1500" s="2" t="str">
        <x:f>'Design &amp; Insights'!M128</x:f>
        <x:v>Task</x:v>
      </x:c>
    </x:row>
    <x:row r="1501" ht="40" customHeight="1">
      <x:c r="A1501" s="3" t="str">
        <x:f>HYPERLINK("#'Design &amp; Insights'!A129","Open")</x:f>
        <x:v>Open</x:v>
      </x:c>
      <x:c r="B1501" s="2" t="str">
        <x:f>'Design &amp; Insights'!B129</x:f>
        <x:v>Cycle 1</x:v>
      </x:c>
      <x:c r="C1501" s="2" t="str">
        <x:f>'Design &amp; Insights'!C129</x:f>
        <x:v>Phase 3</x:v>
      </x:c>
      <x:c r="D1501" s="2" t="str">
        <x:f>'Design &amp; Insights'!D129</x:f>
        <x:v>PLL</x:v>
      </x:c>
      <x:c r="E1501" s="2" t="str">
        <x:v>Design &amp; Insights</x:v>
      </x:c>
      <x:c r="F1501" s="56" t="str">
        <x:f>'Design &amp; Insights'!E129</x:f>
        <x:v>DI.PL.3.7</x:v>
      </x:c>
      <x:c r="G1501" s="14" t="str">
        <x:f>'Design &amp; Insights'!F129</x:f>
        <x:v>Present material in RCA Cycle Forum</x:v>
      </x:c>
      <x:c r="H1501" s="2" t="str">
        <x:f>IF('Design &amp; Insights'!G129="","",'Design &amp; Insights'!G129)</x:f>
      </x:c>
      <x:c r="I1501" s="12" t="str">
        <x:f>IF('Design &amp; Insights'!H129="","",'Design &amp; Insights'!H129)</x:f>
      </x:c>
      <x:c r="J1501" s="12" t="str">
        <x:f>IF('Design &amp; Insights'!I129="","",'Design &amp; Insights'!I129)</x:f>
      </x:c>
      <x:c r="K1501" s="12" t="str">
        <x:f>IF('Design &amp; Insights'!J129="","",'Design &amp; Insights'!J129)</x:f>
      </x:c>
      <x:c r="L1501" s="2" t="str">
        <x:f>IF('Design &amp; Insights'!K129="","",'Design &amp; Insights'!K129)</x:f>
      </x:c>
      <x:c r="M1501" s="2" t="n">
        <x:f>'Design &amp; Insights'!Q129</x:f>
        <x:v>1</x:v>
      </x:c>
      <x:c r="N1501" s="2" t="str">
        <x:f>'Design &amp; Insights'!L129</x:f>
        <x:v>Not started</x:v>
      </x:c>
      <x:c r="O1501" s="2" t="str">
        <x:f>'Design &amp; Insights'!N129</x:f>
        <x:v>DI.PL.3.7.2026.CY1</x:v>
      </x:c>
      <x:c r="P1501" s="2" t="n">
        <x:f>'Design &amp; Insights'!O129</x:f>
        <x:v>0</x:v>
      </x:c>
      <x:c r="Q1501" s="2" t="n">
        <x:f>SUBTOTAL(103,O1501)</x:f>
        <x:v>1</x:v>
      </x:c>
      <x:c r="R1501" s="2" t="n">
        <x:f>IF(AND(M1501=1,OR(Dashboard!$B$7="All",Dashboard!$B$7='Cycles &amp; Guide'!$C$5),OR(Dashboard!$D$7="All",Dashboard!$D$7=B1501),OR(Dashboard!$F$7="All",Dashboard!$F$7=C1501),OR(Dashboard!$H$7="All",Dashboard!$H$7=D1501),OR(Dashboard!$K$7="All",Dashboard!$K$7=E1501)),1,0)</x:f>
        <x:v>1</x:v>
      </x:c>
      <x:c r="S1501" s="2" t="n">
        <x:f>IF(R1501=1,SUM($R$10:R1501),0)</x:f>
        <x:v>1128</x:v>
      </x:c>
      <x:c r="T1501" s="2" t="str">
        <x:v>Design &amp; Insights</x:v>
      </x:c>
      <x:c r="U1501" s="2" t="n">
        <x:v>129</x:v>
      </x:c>
      <x:c r="V1501" s="2" t="n">
        <x:f>IF(AND(M1501=1,P1501=0,ISNUMBER(J1501),J1501&lt;TODAY()),1,0)</x:f>
        <x:v>0</x:v>
      </x:c>
      <x:c r="W1501" s="2" t="str">
        <x:f>'Design &amp; Insights'!M129</x:f>
        <x:v>Task</x:v>
      </x:c>
    </x:row>
    <x:row r="1502" ht="40" customHeight="1">
      <x:c r="A1502" s="3" t="str">
        <x:f>HYPERLINK("#'Design &amp; Insights'!A130","Open")</x:f>
        <x:v>Open</x:v>
      </x:c>
      <x:c r="B1502" s="2" t="str">
        <x:f>'Design &amp; Insights'!B130</x:f>
        <x:v>Cycle 1</x:v>
      </x:c>
      <x:c r="C1502" s="2" t="str">
        <x:f>'Design &amp; Insights'!C130</x:f>
        <x:v>Phase 1</x:v>
      </x:c>
      <x:c r="D1502" s="2" t="str">
        <x:f>'Design &amp; Insights'!D130</x:f>
        <x:v>Retail Services</x:v>
      </x:c>
      <x:c r="E1502" s="2" t="str">
        <x:v>Design &amp; Insights</x:v>
      </x:c>
      <x:c r="F1502" s="56" t="str">
        <x:f>'Design &amp; Insights'!E130</x:f>
        <x:v>DI.RS.1.1</x:v>
      </x:c>
      <x:c r="G1502" s="14" t="str">
        <x:f>'Design &amp; Insights'!F130</x:f>
        <x:v>Receive and review potential research topics at least 2 weeks prior to Cycle start date</x:v>
      </x:c>
      <x:c r="H1502" s="2" t="str">
        <x:f>IF('Design &amp; Insights'!G130="","",'Design &amp; Insights'!G130)</x:f>
      </x:c>
      <x:c r="I1502" s="12" t="str">
        <x:f>IF('Design &amp; Insights'!H130="","",'Design &amp; Insights'!H130)</x:f>
      </x:c>
      <x:c r="J1502" s="12" t="n">
        <x:f>IF('Design &amp; Insights'!I130="","",'Design &amp; Insights'!I130)</x:f>
        <x:v>46009</x:v>
      </x:c>
      <x:c r="K1502" s="12" t="str">
        <x:f>IF('Design &amp; Insights'!J130="","",'Design &amp; Insights'!J130)</x:f>
      </x:c>
      <x:c r="L1502" s="2" t="str">
        <x:f>IF('Design &amp; Insights'!K130="","",'Design &amp; Insights'!K130)</x:f>
      </x:c>
      <x:c r="M1502" s="2" t="n">
        <x:f>'Design &amp; Insights'!Q130</x:f>
        <x:v>1</x:v>
      </x:c>
      <x:c r="N1502" s="2" t="str">
        <x:f>'Design &amp; Insights'!L130</x:f>
        <x:v>Not started</x:v>
      </x:c>
      <x:c r="O1502" s="2" t="str">
        <x:f>'Design &amp; Insights'!N130</x:f>
        <x:v>DI.RS.1.1.2026.CY1</x:v>
      </x:c>
      <x:c r="P1502" s="2" t="n">
        <x:f>'Design &amp; Insights'!O130</x:f>
        <x:v>0</x:v>
      </x:c>
      <x:c r="Q1502" s="2" t="n">
        <x:f>SUBTOTAL(103,O1502)</x:f>
        <x:v>1</x:v>
      </x:c>
      <x:c r="R1502" s="2" t="n">
        <x:f>IF(AND(M1502=1,OR(Dashboard!$B$7="All",Dashboard!$B$7='Cycles &amp; Guide'!$C$5),OR(Dashboard!$D$7="All",Dashboard!$D$7=B1502),OR(Dashboard!$F$7="All",Dashboard!$F$7=C1502),OR(Dashboard!$H$7="All",Dashboard!$H$7=D1502),OR(Dashboard!$K$7="All",Dashboard!$K$7=E1502)),1,0)</x:f>
        <x:v>1</x:v>
      </x:c>
      <x:c r="S1502" s="2" t="n">
        <x:f>IF(R1502=1,SUM($R$10:R1502),0)</x:f>
        <x:v>1129</x:v>
      </x:c>
      <x:c r="T1502" s="2" t="str">
        <x:v>Design &amp; Insights</x:v>
      </x:c>
      <x:c r="U1502" s="2" t="n">
        <x:v>130</x:v>
      </x:c>
      <x:c r="V1502" s="2" t="n">
        <x:f>IF(AND(M1502=1,P1502=0,ISNUMBER(J1502),J1502&lt;TODAY()),1,0)</x:f>
        <x:v>1</x:v>
      </x:c>
      <x:c r="W1502" s="2" t="str">
        <x:f>'Design &amp; Insights'!M130</x:f>
        <x:v>Task</x:v>
      </x:c>
    </x:row>
    <x:row r="1503" ht="40" customHeight="1">
      <x:c r="A1503" s="3" t="str">
        <x:f>HYPERLINK("#'Design &amp; Insights'!A131","Open")</x:f>
        <x:v>Open</x:v>
      </x:c>
      <x:c r="B1503" s="2" t="str">
        <x:f>'Design &amp; Insights'!B131</x:f>
        <x:v>Cycle 1</x:v>
      </x:c>
      <x:c r="C1503" s="2" t="str">
        <x:f>'Design &amp; Insights'!C131</x:f>
        <x:v>Phase 1</x:v>
      </x:c>
      <x:c r="D1503" s="2" t="str">
        <x:f>'Design &amp; Insights'!D131</x:f>
        <x:v>Retail Services</x:v>
      </x:c>
      <x:c r="E1503" s="2" t="str">
        <x:v>Design &amp; Insights</x:v>
      </x:c>
      <x:c r="F1503" s="56" t="str">
        <x:f>'Design &amp; Insights'!E131</x:f>
        <x:v>DI.RS.1.2</x:v>
      </x:c>
      <x:c r="G1503" s="14" t="str">
        <x:f>'Design &amp; Insights'!F131</x:f>
        <x:v>Communicate any feedback on preferences or concerns with topics identified</x:v>
      </x:c>
      <x:c r="H1503" s="2" t="str">
        <x:f>IF('Design &amp; Insights'!G131="","",'Design &amp; Insights'!G131)</x:f>
      </x:c>
      <x:c r="I1503" s="12" t="str">
        <x:f>IF('Design &amp; Insights'!H131="","",'Design &amp; Insights'!H131)</x:f>
      </x:c>
      <x:c r="J1503" s="12" t="n">
        <x:f>IF('Design &amp; Insights'!I131="","",'Design &amp; Insights'!I131)</x:f>
        <x:v>46112</x:v>
      </x:c>
      <x:c r="K1503" s="12" t="str">
        <x:f>IF('Design &amp; Insights'!J131="","",'Design &amp; Insights'!J131)</x:f>
      </x:c>
      <x:c r="L1503" s="2" t="str">
        <x:f>IF('Design &amp; Insights'!K131="","",'Design &amp; Insights'!K131)</x:f>
      </x:c>
      <x:c r="M1503" s="2" t="n">
        <x:f>'Design &amp; Insights'!Q131</x:f>
        <x:v>1</x:v>
      </x:c>
      <x:c r="N1503" s="2" t="str">
        <x:f>'Design &amp; Insights'!L131</x:f>
        <x:v>Not started</x:v>
      </x:c>
      <x:c r="O1503" s="2" t="str">
        <x:f>'Design &amp; Insights'!N131</x:f>
        <x:v>DI.RS.1.2.2026.CY1</x:v>
      </x:c>
      <x:c r="P1503" s="2" t="n">
        <x:f>'Design &amp; Insights'!O131</x:f>
        <x:v>0</x:v>
      </x:c>
      <x:c r="Q1503" s="2" t="n">
        <x:f>SUBTOTAL(103,O1503)</x:f>
        <x:v>1</x:v>
      </x:c>
      <x:c r="R1503" s="2" t="n">
        <x:f>IF(AND(M1503=1,OR(Dashboard!$B$7="All",Dashboard!$B$7='Cycles &amp; Guide'!$C$5),OR(Dashboard!$D$7="All",Dashboard!$D$7=B1503),OR(Dashboard!$F$7="All",Dashboard!$F$7=C1503),OR(Dashboard!$H$7="All",Dashboard!$H$7=D1503),OR(Dashboard!$K$7="All",Dashboard!$K$7=E1503)),1,0)</x:f>
        <x:v>1</x:v>
      </x:c>
      <x:c r="S1503" s="2" t="n">
        <x:f>IF(R1503=1,SUM($R$10:R1503),0)</x:f>
        <x:v>1130</x:v>
      </x:c>
      <x:c r="T1503" s="2" t="str">
        <x:v>Design &amp; Insights</x:v>
      </x:c>
      <x:c r="U1503" s="2" t="n">
        <x:v>131</x:v>
      </x:c>
      <x:c r="V1503" s="2" t="n">
        <x:f>IF(AND(M1503=1,P1503=0,ISNUMBER(J1503),J1503&lt;TODAY()),1,0)</x:f>
        <x:v>1</x:v>
      </x:c>
      <x:c r="W1503" s="2" t="str">
        <x:f>'Design &amp; Insights'!M131</x:f>
        <x:v>Task</x:v>
      </x:c>
    </x:row>
    <x:row r="1504" ht="40" customHeight="1">
      <x:c r="A1504" s="3" t="str">
        <x:f>HYPERLINK("#'Design &amp; Insights'!A132","Open")</x:f>
        <x:v>Open</x:v>
      </x:c>
      <x:c r="B1504" s="2" t="str">
        <x:f>'Design &amp; Insights'!B132</x:f>
        <x:v>Cycle 1</x:v>
      </x:c>
      <x:c r="C1504" s="2" t="str">
        <x:f>'Design &amp; Insights'!C132</x:f>
        <x:v>Phase 1</x:v>
      </x:c>
      <x:c r="D1504" s="2" t="str">
        <x:f>'Design &amp; Insights'!D132</x:f>
        <x:v>Retail Services</x:v>
      </x:c>
      <x:c r="E1504" s="2" t="str">
        <x:v>Design &amp; Insights</x:v>
      </x:c>
      <x:c r="F1504" s="56" t="str">
        <x:f>'Design &amp; Insights'!E132</x:f>
        <x:v>DI.RS.1.3</x:v>
      </x:c>
      <x:c r="G1504" s="14" t="str">
        <x:f>'Design &amp; Insights'!F132</x:f>
        <x:v>Conduct high-level preliminary review of complaints within proposed topics</x:v>
      </x:c>
      <x:c r="H1504" s="2" t="str">
        <x:f>IF('Design &amp; Insights'!G132="","",'Design &amp; Insights'!G132)</x:f>
      </x:c>
      <x:c r="I1504" s="12" t="str">
        <x:f>IF('Design &amp; Insights'!H132="","",'Design &amp; Insights'!H132)</x:f>
      </x:c>
      <x:c r="J1504" s="12" t="n">
        <x:f>IF('Design &amp; Insights'!I132="","",'Design &amp; Insights'!I132)</x:f>
        <x:v>46112</x:v>
      </x:c>
      <x:c r="K1504" s="12" t="str">
        <x:f>IF('Design &amp; Insights'!J132="","",'Design &amp; Insights'!J132)</x:f>
      </x:c>
      <x:c r="L1504" s="2" t="str">
        <x:f>IF('Design &amp; Insights'!K132="","",'Design &amp; Insights'!K132)</x:f>
      </x:c>
      <x:c r="M1504" s="2" t="n">
        <x:f>'Design &amp; Insights'!Q132</x:f>
        <x:v>1</x:v>
      </x:c>
      <x:c r="N1504" s="2" t="str">
        <x:f>'Design &amp; Insights'!L132</x:f>
        <x:v>Not started</x:v>
      </x:c>
      <x:c r="O1504" s="2" t="str">
        <x:f>'Design &amp; Insights'!N132</x:f>
        <x:v>DI.RS.1.3.2026.CY1</x:v>
      </x:c>
      <x:c r="P1504" s="2" t="n">
        <x:f>'Design &amp; Insights'!O132</x:f>
        <x:v>0</x:v>
      </x:c>
      <x:c r="Q1504" s="2" t="n">
        <x:f>SUBTOTAL(103,O1504)</x:f>
        <x:v>1</x:v>
      </x:c>
      <x:c r="R1504" s="2" t="n">
        <x:f>IF(AND(M1504=1,OR(Dashboard!$B$7="All",Dashboard!$B$7='Cycles &amp; Guide'!$C$5),OR(Dashboard!$D$7="All",Dashboard!$D$7=B1504),OR(Dashboard!$F$7="All",Dashboard!$F$7=C1504),OR(Dashboard!$H$7="All",Dashboard!$H$7=D1504),OR(Dashboard!$K$7="All",Dashboard!$K$7=E1504)),1,0)</x:f>
        <x:v>1</x:v>
      </x:c>
      <x:c r="S1504" s="2" t="n">
        <x:f>IF(R1504=1,SUM($R$10:R1504),0)</x:f>
        <x:v>1131</x:v>
      </x:c>
      <x:c r="T1504" s="2" t="str">
        <x:v>Design &amp; Insights</x:v>
      </x:c>
      <x:c r="U1504" s="2" t="n">
        <x:v>132</x:v>
      </x:c>
      <x:c r="V1504" s="2" t="n">
        <x:f>IF(AND(M1504=1,P1504=0,ISNUMBER(J1504),J1504&lt;TODAY()),1,0)</x:f>
        <x:v>1</x:v>
      </x:c>
      <x:c r="W1504" s="2" t="str">
        <x:f>'Design &amp; Insights'!M132</x:f>
        <x:v>Task</x:v>
      </x:c>
    </x:row>
    <x:row r="1505" ht="40" customHeight="1">
      <x:c r="A1505" s="3" t="str">
        <x:f>HYPERLINK("#'Design &amp; Insights'!A133","Open")</x:f>
        <x:v>Open</x:v>
      </x:c>
      <x:c r="B1505" s="2" t="str">
        <x:f>'Design &amp; Insights'!B133</x:f>
        <x:v>Cycle 1</x:v>
      </x:c>
      <x:c r="C1505" s="2" t="str">
        <x:f>'Design &amp; Insights'!C133</x:f>
        <x:v>Phase 1</x:v>
      </x:c>
      <x:c r="D1505" s="2" t="str">
        <x:f>'Design &amp; Insights'!D133</x:f>
        <x:v>Retail Services</x:v>
      </x:c>
      <x:c r="E1505" s="2" t="str">
        <x:v>Design &amp; Insights</x:v>
      </x:c>
      <x:c r="F1505" s="56" t="str">
        <x:f>'Design &amp; Insights'!E133</x:f>
        <x:v>DI.RS.1.4</x:v>
      </x:c>
      <x:c r="G1505" s="14" t="str">
        <x:f>'Design &amp; Insights'!F133</x:f>
        <x:v>Meet with Research to discuss which topic to select based on potential impact</x:v>
      </x:c>
      <x:c r="H1505" s="2" t="str">
        <x:f>IF('Design &amp; Insights'!G133="","",'Design &amp; Insights'!G133)</x:f>
      </x:c>
      <x:c r="I1505" s="12" t="str">
        <x:f>IF('Design &amp; Insights'!H133="","",'Design &amp; Insights'!H133)</x:f>
      </x:c>
      <x:c r="J1505" s="12" t="n">
        <x:f>IF('Design &amp; Insights'!I133="","",'Design &amp; Insights'!I133)</x:f>
        <x:v>46112</x:v>
      </x:c>
      <x:c r="K1505" s="12" t="str">
        <x:f>IF('Design &amp; Insights'!J133="","",'Design &amp; Insights'!J133)</x:f>
      </x:c>
      <x:c r="L1505" s="2" t="str">
        <x:f>IF('Design &amp; Insights'!K133="","",'Design &amp; Insights'!K133)</x:f>
      </x:c>
      <x:c r="M1505" s="2" t="n">
        <x:f>'Design &amp; Insights'!Q133</x:f>
        <x:v>1</x:v>
      </x:c>
      <x:c r="N1505" s="2" t="str">
        <x:f>'Design &amp; Insights'!L133</x:f>
        <x:v>Not started</x:v>
      </x:c>
      <x:c r="O1505" s="2" t="str">
        <x:f>'Design &amp; Insights'!N133</x:f>
        <x:v>DI.RS.1.4.2026.CY1</x:v>
      </x:c>
      <x:c r="P1505" s="2" t="n">
        <x:f>'Design &amp; Insights'!O133</x:f>
        <x:v>0</x:v>
      </x:c>
      <x:c r="Q1505" s="2" t="n">
        <x:f>SUBTOTAL(103,O1505)</x:f>
        <x:v>1</x:v>
      </x:c>
      <x:c r="R1505" s="2" t="n">
        <x:f>IF(AND(M1505=1,OR(Dashboard!$B$7="All",Dashboard!$B$7='Cycles &amp; Guide'!$C$5),OR(Dashboard!$D$7="All",Dashboard!$D$7=B1505),OR(Dashboard!$F$7="All",Dashboard!$F$7=C1505),OR(Dashboard!$H$7="All",Dashboard!$H$7=D1505),OR(Dashboard!$K$7="All",Dashboard!$K$7=E1505)),1,0)</x:f>
        <x:v>1</x:v>
      </x:c>
      <x:c r="S1505" s="2" t="n">
        <x:f>IF(R1505=1,SUM($R$10:R1505),0)</x:f>
        <x:v>1132</x:v>
      </x:c>
      <x:c r="T1505" s="2" t="str">
        <x:v>Design &amp; Insights</x:v>
      </x:c>
      <x:c r="U1505" s="2" t="n">
        <x:v>133</x:v>
      </x:c>
      <x:c r="V1505" s="2" t="n">
        <x:f>IF(AND(M1505=1,P1505=0,ISNUMBER(J1505),J1505&lt;TODAY()),1,0)</x:f>
        <x:v>1</x:v>
      </x:c>
      <x:c r="W1505" s="2" t="str">
        <x:f>'Design &amp; Insights'!M133</x:f>
        <x:v>Task</x:v>
      </x:c>
    </x:row>
    <x:row r="1506" ht="40" customHeight="1">
      <x:c r="A1506" s="3" t="str">
        <x:f>HYPERLINK("#'Design &amp; Insights'!A134","Open")</x:f>
        <x:v>Open</x:v>
      </x:c>
      <x:c r="B1506" s="2" t="str">
        <x:f>'Design &amp; Insights'!B134</x:f>
        <x:v>Cycle 1</x:v>
      </x:c>
      <x:c r="C1506" s="2" t="str">
        <x:f>'Design &amp; Insights'!C134</x:f>
        <x:v>Phase 1</x:v>
      </x:c>
      <x:c r="D1506" s="2" t="str">
        <x:f>'Design &amp; Insights'!D134</x:f>
        <x:v>Retail Services</x:v>
      </x:c>
      <x:c r="E1506" s="2" t="str">
        <x:v>Design &amp; Insights</x:v>
      </x:c>
      <x:c r="F1506" s="56" t="str">
        <x:f>'Design &amp; Insights'!E134</x:f>
        <x:v>DI.RS.1.5</x:v>
      </x:c>
      <x:c r="G1506" s="14" t="str">
        <x:f>'Design &amp; Insights'!F134</x:f>
        <x:v>Confirm with Research the recommended topic for approval</x:v>
      </x:c>
      <x:c r="H1506" s="2" t="str">
        <x:f>IF('Design &amp; Insights'!G134="","",'Design &amp; Insights'!G134)</x:f>
      </x:c>
      <x:c r="I1506" s="12" t="str">
        <x:f>IF('Design &amp; Insights'!H134="","",'Design &amp; Insights'!H134)</x:f>
      </x:c>
      <x:c r="J1506" s="12" t="n">
        <x:f>IF('Design &amp; Insights'!I134="","",'Design &amp; Insights'!I134)</x:f>
        <x:v>46112</x:v>
      </x:c>
      <x:c r="K1506" s="12" t="str">
        <x:f>IF('Design &amp; Insights'!J134="","",'Design &amp; Insights'!J134)</x:f>
      </x:c>
      <x:c r="L1506" s="2" t="str">
        <x:f>IF('Design &amp; Insights'!K134="","",'Design &amp; Insights'!K134)</x:f>
      </x:c>
      <x:c r="M1506" s="2" t="n">
        <x:f>'Design &amp; Insights'!Q134</x:f>
        <x:v>1</x:v>
      </x:c>
      <x:c r="N1506" s="2" t="str">
        <x:f>'Design &amp; Insights'!L134</x:f>
        <x:v>Not started</x:v>
      </x:c>
      <x:c r="O1506" s="2" t="str">
        <x:f>'Design &amp; Insights'!N134</x:f>
        <x:v>DI.RS.1.5.2026.CY1</x:v>
      </x:c>
      <x:c r="P1506" s="2" t="n">
        <x:f>'Design &amp; Insights'!O134</x:f>
        <x:v>0</x:v>
      </x:c>
      <x:c r="Q1506" s="2" t="n">
        <x:f>SUBTOTAL(103,O1506)</x:f>
        <x:v>1</x:v>
      </x:c>
      <x:c r="R1506" s="2" t="n">
        <x:f>IF(AND(M1506=1,OR(Dashboard!$B$7="All",Dashboard!$B$7='Cycles &amp; Guide'!$C$5),OR(Dashboard!$D$7="All",Dashboard!$D$7=B1506),OR(Dashboard!$F$7="All",Dashboard!$F$7=C1506),OR(Dashboard!$H$7="All",Dashboard!$H$7=D1506),OR(Dashboard!$K$7="All",Dashboard!$K$7=E1506)),1,0)</x:f>
        <x:v>1</x:v>
      </x:c>
      <x:c r="S1506" s="2" t="n">
        <x:f>IF(R1506=1,SUM($R$10:R1506),0)</x:f>
        <x:v>1133</x:v>
      </x:c>
      <x:c r="T1506" s="2" t="str">
        <x:v>Design &amp; Insights</x:v>
      </x:c>
      <x:c r="U1506" s="2" t="n">
        <x:v>134</x:v>
      </x:c>
      <x:c r="V1506" s="2" t="n">
        <x:f>IF(AND(M1506=1,P1506=0,ISNUMBER(J1506),J1506&lt;TODAY()),1,0)</x:f>
        <x:v>1</x:v>
      </x:c>
      <x:c r="W1506" s="2" t="str">
        <x:f>'Design &amp; Insights'!M134</x:f>
        <x:v>Task</x:v>
      </x:c>
    </x:row>
    <x:row r="1507" ht="40" customHeight="1">
      <x:c r="A1507" s="3" t="str">
        <x:f>HYPERLINK("#'Design &amp; Insights'!A135","Open")</x:f>
        <x:v>Open</x:v>
      </x:c>
      <x:c r="B1507" s="2" t="str">
        <x:f>'Design &amp; Insights'!B135</x:f>
        <x:v>Cycle 1</x:v>
      </x:c>
      <x:c r="C1507" s="2" t="str">
        <x:f>'Design &amp; Insights'!C135</x:f>
        <x:v>Phase 1</x:v>
      </x:c>
      <x:c r="D1507" s="2" t="str">
        <x:f>'Design &amp; Insights'!D135</x:f>
        <x:v>Retail Services</x:v>
      </x:c>
      <x:c r="E1507" s="2" t="str">
        <x:v>Design &amp; Insights</x:v>
      </x:c>
      <x:c r="F1507" s="56" t="str">
        <x:f>'Design &amp; Insights'!E135</x:f>
        <x:v>DI.RS.1.6</x:v>
      </x:c>
      <x:c r="G1507" s="14" t="str">
        <x:f>'Design &amp; Insights'!F135</x:f>
        <x:v>Send topic selection socialization email to all key stakeholders on the first day of the review Cycle</x:v>
      </x:c>
      <x:c r="H1507" s="2" t="str">
        <x:f>IF('Design &amp; Insights'!G135="","",'Design &amp; Insights'!G135)</x:f>
      </x:c>
      <x:c r="I1507" s="12" t="str">
        <x:f>IF('Design &amp; Insights'!H135="","",'Design &amp; Insights'!H135)</x:f>
      </x:c>
      <x:c r="J1507" s="12" t="n">
        <x:f>IF('Design &amp; Insights'!I135="","",'Design &amp; Insights'!I135)</x:f>
        <x:v>46023</x:v>
      </x:c>
      <x:c r="K1507" s="12" t="str">
        <x:f>IF('Design &amp; Insights'!J135="","",'Design &amp; Insights'!J135)</x:f>
      </x:c>
      <x:c r="L1507" s="2" t="str">
        <x:f>IF('Design &amp; Insights'!K135="","",'Design &amp; Insights'!K135)</x:f>
      </x:c>
      <x:c r="M1507" s="2" t="n">
        <x:f>'Design &amp; Insights'!Q135</x:f>
        <x:v>1</x:v>
      </x:c>
      <x:c r="N1507" s="2" t="str">
        <x:f>'Design &amp; Insights'!L135</x:f>
        <x:v>Not started</x:v>
      </x:c>
      <x:c r="O1507" s="2" t="str">
        <x:f>'Design &amp; Insights'!N135</x:f>
        <x:v>DI.RS.1.6.2026.CY1</x:v>
      </x:c>
      <x:c r="P1507" s="2" t="n">
        <x:f>'Design &amp; Insights'!O135</x:f>
        <x:v>0</x:v>
      </x:c>
      <x:c r="Q1507" s="2" t="n">
        <x:f>SUBTOTAL(103,O1507)</x:f>
        <x:v>1</x:v>
      </x:c>
      <x:c r="R1507" s="2" t="n">
        <x:f>IF(AND(M1507=1,OR(Dashboard!$B$7="All",Dashboard!$B$7='Cycles &amp; Guide'!$C$5),OR(Dashboard!$D$7="All",Dashboard!$D$7=B1507),OR(Dashboard!$F$7="All",Dashboard!$F$7=C1507),OR(Dashboard!$H$7="All",Dashboard!$H$7=D1507),OR(Dashboard!$K$7="All",Dashboard!$K$7=E1507)),1,0)</x:f>
        <x:v>1</x:v>
      </x:c>
      <x:c r="S1507" s="2" t="n">
        <x:f>IF(R1507=1,SUM($R$10:R1507),0)</x:f>
        <x:v>1134</x:v>
      </x:c>
      <x:c r="T1507" s="2" t="str">
        <x:v>Design &amp; Insights</x:v>
      </x:c>
      <x:c r="U1507" s="2" t="n">
        <x:v>135</x:v>
      </x:c>
      <x:c r="V1507" s="2" t="n">
        <x:f>IF(AND(M1507=1,P1507=0,ISNUMBER(J1507),J1507&lt;TODAY()),1,0)</x:f>
        <x:v>1</x:v>
      </x:c>
      <x:c r="W1507" s="2" t="str">
        <x:f>'Design &amp; Insights'!M135</x:f>
        <x:v>Task</x:v>
      </x:c>
    </x:row>
    <x:row r="1508" ht="40" customHeight="1">
      <x:c r="A1508" s="3" t="str">
        <x:f>HYPERLINK("#'Design &amp; Insights'!A136","Open")</x:f>
        <x:v>Open</x:v>
      </x:c>
      <x:c r="B1508" s="2" t="str">
        <x:f>'Design &amp; Insights'!B136</x:f>
        <x:v>Cycle 1</x:v>
      </x:c>
      <x:c r="C1508" s="2" t="str">
        <x:f>'Design &amp; Insights'!C136</x:f>
        <x:v>Phase 2</x:v>
      </x:c>
      <x:c r="D1508" s="2" t="str">
        <x:f>'Design &amp; Insights'!D136</x:f>
        <x:v>Retail Services</x:v>
      </x:c>
      <x:c r="E1508" s="2" t="str">
        <x:v>Design &amp; Insights</x:v>
      </x:c>
      <x:c r="F1508" s="56" t="str">
        <x:f>'Design &amp; Insights'!E136</x:f>
        <x:v>DI.RS.2.1</x:v>
      </x:c>
      <x:c r="G1508" s="14" t="str">
        <x:f>'Design &amp; Insights'!F136</x:f>
        <x:v>Meet regularly with Research to stay informed on progress, findings, and potential enhancement</x:v>
      </x:c>
      <x:c r="H1508" s="2" t="str">
        <x:f>IF('Design &amp; Insights'!G136="","",'Design &amp; Insights'!G136)</x:f>
      </x:c>
      <x:c r="I1508" s="12" t="str">
        <x:f>IF('Design &amp; Insights'!H136="","",'Design &amp; Insights'!H136)</x:f>
      </x:c>
      <x:c r="J1508" s="12" t="n">
        <x:f>IF('Design &amp; Insights'!I136="","",'Design &amp; Insights'!I136)</x:f>
        <x:v>46112</x:v>
      </x:c>
      <x:c r="K1508" s="12" t="str">
        <x:f>IF('Design &amp; Insights'!J136="","",'Design &amp; Insights'!J136)</x:f>
      </x:c>
      <x:c r="L1508" s="2" t="str">
        <x:f>IF('Design &amp; Insights'!K136="","",'Design &amp; Insights'!K136)</x:f>
      </x:c>
      <x:c r="M1508" s="2" t="n">
        <x:f>'Design &amp; Insights'!Q136</x:f>
        <x:v>1</x:v>
      </x:c>
      <x:c r="N1508" s="2" t="str">
        <x:f>'Design &amp; Insights'!L136</x:f>
        <x:v>Not started</x:v>
      </x:c>
      <x:c r="O1508" s="2" t="str">
        <x:f>'Design &amp; Insights'!N136</x:f>
        <x:v>DI.RS.2.1.2026.CY1</x:v>
      </x:c>
      <x:c r="P1508" s="2" t="n">
        <x:f>'Design &amp; Insights'!O136</x:f>
        <x:v>0</x:v>
      </x:c>
      <x:c r="Q1508" s="2" t="n">
        <x:f>SUBTOTAL(103,O1508)</x:f>
        <x:v>1</x:v>
      </x:c>
      <x:c r="R1508" s="2" t="n">
        <x:f>IF(AND(M1508=1,OR(Dashboard!$B$7="All",Dashboard!$B$7='Cycles &amp; Guide'!$C$5),OR(Dashboard!$D$7="All",Dashboard!$D$7=B1508),OR(Dashboard!$F$7="All",Dashboard!$F$7=C1508),OR(Dashboard!$H$7="All",Dashboard!$H$7=D1508),OR(Dashboard!$K$7="All",Dashboard!$K$7=E1508)),1,0)</x:f>
        <x:v>1</x:v>
      </x:c>
      <x:c r="S1508" s="2" t="n">
        <x:f>IF(R1508=1,SUM($R$10:R1508),0)</x:f>
        <x:v>1135</x:v>
      </x:c>
      <x:c r="T1508" s="2" t="str">
        <x:v>Design &amp; Insights</x:v>
      </x:c>
      <x:c r="U1508" s="2" t="n">
        <x:v>136</x:v>
      </x:c>
      <x:c r="V1508" s="2" t="n">
        <x:f>IF(AND(M1508=1,P1508=0,ISNUMBER(J1508),J1508&lt;TODAY()),1,0)</x:f>
        <x:v>1</x:v>
      </x:c>
      <x:c r="W1508" s="2" t="str">
        <x:f>'Design &amp; Insights'!M136</x:f>
        <x:v>Task</x:v>
      </x:c>
    </x:row>
    <x:row r="1509" ht="40" customHeight="1">
      <x:c r="A1509" s="3" t="str">
        <x:f>HYPERLINK("#'Design &amp; Insights'!A137","Open")</x:f>
        <x:v>Open</x:v>
      </x:c>
      <x:c r="B1509" s="2" t="str">
        <x:f>'Design &amp; Insights'!B137</x:f>
        <x:v>Cycle 1</x:v>
      </x:c>
      <x:c r="C1509" s="2" t="str">
        <x:f>'Design &amp; Insights'!C137</x:f>
        <x:v>Phase 2</x:v>
      </x:c>
      <x:c r="D1509" s="2" t="str">
        <x:f>'Design &amp; Insights'!D137</x:f>
        <x:v>Retail Services</x:v>
      </x:c>
      <x:c r="E1509" s="2" t="str">
        <x:v>Design &amp; Insights</x:v>
      </x:c>
      <x:c r="F1509" s="56" t="str">
        <x:f>'Design &amp; Insights'!E137</x:f>
        <x:v>DI.RS.2.2</x:v>
      </x:c>
      <x:c r="G1509" s="14" t="str">
        <x:f>'Design &amp; Insights'!F137</x:f>
        <x:v>Collaborate with Research on research plan specifics</x:v>
      </x:c>
      <x:c r="H1509" s="2" t="str">
        <x:f>IF('Design &amp; Insights'!G137="","",'Design &amp; Insights'!G137)</x:f>
      </x:c>
      <x:c r="I1509" s="12" t="str">
        <x:f>IF('Design &amp; Insights'!H137="","",'Design &amp; Insights'!H137)</x:f>
      </x:c>
      <x:c r="J1509" s="12" t="n">
        <x:f>IF('Design &amp; Insights'!I137="","",'Design &amp; Insights'!I137)</x:f>
        <x:v>46112</x:v>
      </x:c>
      <x:c r="K1509" s="12" t="str">
        <x:f>IF('Design &amp; Insights'!J137="","",'Design &amp; Insights'!J137)</x:f>
      </x:c>
      <x:c r="L1509" s="2" t="str">
        <x:f>IF('Design &amp; Insights'!K137="","",'Design &amp; Insights'!K137)</x:f>
      </x:c>
      <x:c r="M1509" s="2" t="n">
        <x:f>'Design &amp; Insights'!Q137</x:f>
        <x:v>1</x:v>
      </x:c>
      <x:c r="N1509" s="2" t="str">
        <x:f>'Design &amp; Insights'!L137</x:f>
        <x:v>Not started</x:v>
      </x:c>
      <x:c r="O1509" s="2" t="str">
        <x:f>'Design &amp; Insights'!N137</x:f>
        <x:v>DI.RS.2.2.2026.CY1</x:v>
      </x:c>
      <x:c r="P1509" s="2" t="n">
        <x:f>'Design &amp; Insights'!O137</x:f>
        <x:v>0</x:v>
      </x:c>
      <x:c r="Q1509" s="2" t="n">
        <x:f>SUBTOTAL(103,O1509)</x:f>
        <x:v>1</x:v>
      </x:c>
      <x:c r="R1509" s="2" t="n">
        <x:f>IF(AND(M1509=1,OR(Dashboard!$B$7="All",Dashboard!$B$7='Cycles &amp; Guide'!$C$5),OR(Dashboard!$D$7="All",Dashboard!$D$7=B1509),OR(Dashboard!$F$7="All",Dashboard!$F$7=C1509),OR(Dashboard!$H$7="All",Dashboard!$H$7=D1509),OR(Dashboard!$K$7="All",Dashboard!$K$7=E1509)),1,0)</x:f>
        <x:v>1</x:v>
      </x:c>
      <x:c r="S1509" s="2" t="n">
        <x:f>IF(R1509=1,SUM($R$10:R1509),0)</x:f>
        <x:v>1136</x:v>
      </x:c>
      <x:c r="T1509" s="2" t="str">
        <x:v>Design &amp; Insights</x:v>
      </x:c>
      <x:c r="U1509" s="2" t="n">
        <x:v>137</x:v>
      </x:c>
      <x:c r="V1509" s="2" t="n">
        <x:f>IF(AND(M1509=1,P1509=0,ISNUMBER(J1509),J1509&lt;TODAY()),1,0)</x:f>
        <x:v>1</x:v>
      </x:c>
      <x:c r="W1509" s="2" t="str">
        <x:f>'Design &amp; Insights'!M137</x:f>
        <x:v>Task</x:v>
      </x:c>
    </x:row>
    <x:row r="1510" ht="40" customHeight="1">
      <x:c r="A1510" s="3" t="str">
        <x:f>HYPERLINK("#'Design &amp; Insights'!A138","Open")</x:f>
        <x:v>Open</x:v>
      </x:c>
      <x:c r="B1510" s="2" t="str">
        <x:f>'Design &amp; Insights'!B138</x:f>
        <x:v>Cycle 1</x:v>
      </x:c>
      <x:c r="C1510" s="2" t="str">
        <x:f>'Design &amp; Insights'!C138</x:f>
        <x:v>Phase 2</x:v>
      </x:c>
      <x:c r="D1510" s="2" t="str">
        <x:f>'Design &amp; Insights'!D138</x:f>
        <x:v>Retail Services</x:v>
      </x:c>
      <x:c r="E1510" s="2" t="str">
        <x:v>Design &amp; Insights</x:v>
      </x:c>
      <x:c r="F1510" s="56" t="str">
        <x:f>'Design &amp; Insights'!E138</x:f>
        <x:v>DI.RS.2.3</x:v>
      </x:c>
      <x:c r="G1510" s="14" t="str">
        <x:f>'Design &amp; Insights'!F138</x:f>
        <x:v>Participate in SME insight meetings to gain perspective and appetite on potential enhancements</x:v>
      </x:c>
      <x:c r="H1510" s="2" t="str">
        <x:f>IF('Design &amp; Insights'!G138="","",'Design &amp; Insights'!G138)</x:f>
      </x:c>
      <x:c r="I1510" s="12" t="str">
        <x:f>IF('Design &amp; Insights'!H138="","",'Design &amp; Insights'!H138)</x:f>
      </x:c>
      <x:c r="J1510" s="12" t="n">
        <x:f>IF('Design &amp; Insights'!I138="","",'Design &amp; Insights'!I138)</x:f>
        <x:v>46112</x:v>
      </x:c>
      <x:c r="K1510" s="12" t="str">
        <x:f>IF('Design &amp; Insights'!J138="","",'Design &amp; Insights'!J138)</x:f>
      </x:c>
      <x:c r="L1510" s="2" t="str">
        <x:f>IF('Design &amp; Insights'!K138="","",'Design &amp; Insights'!K138)</x:f>
      </x:c>
      <x:c r="M1510" s="2" t="n">
        <x:f>'Design &amp; Insights'!Q138</x:f>
        <x:v>1</x:v>
      </x:c>
      <x:c r="N1510" s="2" t="str">
        <x:f>'Design &amp; Insights'!L138</x:f>
        <x:v>Not started</x:v>
      </x:c>
      <x:c r="O1510" s="2" t="str">
        <x:f>'Design &amp; Insights'!N138</x:f>
        <x:v>DI.RS.2.3.2026.CY1</x:v>
      </x:c>
      <x:c r="P1510" s="2" t="n">
        <x:f>'Design &amp; Insights'!O138</x:f>
        <x:v>0</x:v>
      </x:c>
      <x:c r="Q1510" s="2" t="n">
        <x:f>SUBTOTAL(103,O1510)</x:f>
        <x:v>1</x:v>
      </x:c>
      <x:c r="R1510" s="2" t="n">
        <x:f>IF(AND(M1510=1,OR(Dashboard!$B$7="All",Dashboard!$B$7='Cycles &amp; Guide'!$C$5),OR(Dashboard!$D$7="All",Dashboard!$D$7=B1510),OR(Dashboard!$F$7="All",Dashboard!$F$7=C1510),OR(Dashboard!$H$7="All",Dashboard!$H$7=D1510),OR(Dashboard!$K$7="All",Dashboard!$K$7=E1510)),1,0)</x:f>
        <x:v>1</x:v>
      </x:c>
      <x:c r="S1510" s="2" t="n">
        <x:f>IF(R1510=1,SUM($R$10:R1510),0)</x:f>
        <x:v>1137</x:v>
      </x:c>
      <x:c r="T1510" s="2" t="str">
        <x:v>Design &amp; Insights</x:v>
      </x:c>
      <x:c r="U1510" s="2" t="n">
        <x:v>138</x:v>
      </x:c>
      <x:c r="V1510" s="2" t="n">
        <x:f>IF(AND(M1510=1,P1510=0,ISNUMBER(J1510),J1510&lt;TODAY()),1,0)</x:f>
        <x:v>1</x:v>
      </x:c>
      <x:c r="W1510" s="2" t="str">
        <x:f>'Design &amp; Insights'!M138</x:f>
        <x:v>Task</x:v>
      </x:c>
    </x:row>
    <x:row r="1511" ht="40" customHeight="1">
      <x:c r="A1511" s="3" t="str">
        <x:f>HYPERLINK("#'Design &amp; Insights'!A139","Open")</x:f>
        <x:v>Open</x:v>
      </x:c>
      <x:c r="B1511" s="2" t="str">
        <x:f>'Design &amp; Insights'!B139</x:f>
        <x:v>Cycle 1</x:v>
      </x:c>
      <x:c r="C1511" s="2" t="str">
        <x:f>'Design &amp; Insights'!C139</x:f>
        <x:v>Phase 2</x:v>
      </x:c>
      <x:c r="D1511" s="2" t="str">
        <x:f>'Design &amp; Insights'!D139</x:f>
        <x:v>Retail Services</x:v>
      </x:c>
      <x:c r="E1511" s="2" t="str">
        <x:v>Design &amp; Insights</x:v>
      </x:c>
      <x:c r="F1511" s="56" t="str">
        <x:f>'Design &amp; Insights'!E139</x:f>
        <x:v>DI.RS.2.4</x:v>
      </x:c>
      <x:c r="G1511" s="14" t="str">
        <x:f>'Design &amp; Insights'!F139</x:f>
        <x:v>Begin development of presentation materials as Research is being completed</x:v>
      </x:c>
      <x:c r="H1511" s="2" t="str">
        <x:f>IF('Design &amp; Insights'!G139="","",'Design &amp; Insights'!G139)</x:f>
      </x:c>
      <x:c r="I1511" s="12" t="str">
        <x:f>IF('Design &amp; Insights'!H139="","",'Design &amp; Insights'!H139)</x:f>
      </x:c>
      <x:c r="J1511" s="12" t="n">
        <x:f>IF('Design &amp; Insights'!I139="","",'Design &amp; Insights'!I139)</x:f>
        <x:v>46112</x:v>
      </x:c>
      <x:c r="K1511" s="12" t="str">
        <x:f>IF('Design &amp; Insights'!J139="","",'Design &amp; Insights'!J139)</x:f>
      </x:c>
      <x:c r="L1511" s="2" t="str">
        <x:f>IF('Design &amp; Insights'!K139="","",'Design &amp; Insights'!K139)</x:f>
      </x:c>
      <x:c r="M1511" s="2" t="n">
        <x:f>'Design &amp; Insights'!Q139</x:f>
        <x:v>1</x:v>
      </x:c>
      <x:c r="N1511" s="2" t="str">
        <x:f>'Design &amp; Insights'!L139</x:f>
        <x:v>Not started</x:v>
      </x:c>
      <x:c r="O1511" s="2" t="str">
        <x:f>'Design &amp; Insights'!N139</x:f>
        <x:v>DI.RS.2.4.2026.CY1</x:v>
      </x:c>
      <x:c r="P1511" s="2" t="n">
        <x:f>'Design &amp; Insights'!O139</x:f>
        <x:v>0</x:v>
      </x:c>
      <x:c r="Q1511" s="2" t="n">
        <x:f>SUBTOTAL(103,O1511)</x:f>
        <x:v>1</x:v>
      </x:c>
      <x:c r="R1511" s="2" t="n">
        <x:f>IF(AND(M1511=1,OR(Dashboard!$B$7="All",Dashboard!$B$7='Cycles &amp; Guide'!$C$5),OR(Dashboard!$D$7="All",Dashboard!$D$7=B1511),OR(Dashboard!$F$7="All",Dashboard!$F$7=C1511),OR(Dashboard!$H$7="All",Dashboard!$H$7=D1511),OR(Dashboard!$K$7="All",Dashboard!$K$7=E1511)),1,0)</x:f>
        <x:v>1</x:v>
      </x:c>
      <x:c r="S1511" s="2" t="n">
        <x:f>IF(R1511=1,SUM($R$10:R1511),0)</x:f>
        <x:v>1138</x:v>
      </x:c>
      <x:c r="T1511" s="2" t="str">
        <x:v>Design &amp; Insights</x:v>
      </x:c>
      <x:c r="U1511" s="2" t="n">
        <x:v>139</x:v>
      </x:c>
      <x:c r="V1511" s="2" t="n">
        <x:f>IF(AND(M1511=1,P1511=0,ISNUMBER(J1511),J1511&lt;TODAY()),1,0)</x:f>
        <x:v>1</x:v>
      </x:c>
      <x:c r="W1511" s="2" t="str">
        <x:f>'Design &amp; Insights'!M139</x:f>
        <x:v>Task</x:v>
      </x:c>
    </x:row>
    <x:row r="1512" ht="40" customHeight="1">
      <x:c r="A1512" s="3" t="str">
        <x:f>HYPERLINK("#'Design &amp; Insights'!A140","Open")</x:f>
        <x:v>Open</x:v>
      </x:c>
      <x:c r="B1512" s="2" t="str">
        <x:f>'Design &amp; Insights'!B140</x:f>
        <x:v>Cycle 1</x:v>
      </x:c>
      <x:c r="C1512" s="2" t="str">
        <x:f>'Design &amp; Insights'!C140</x:f>
        <x:v>Phase 2</x:v>
      </x:c>
      <x:c r="D1512" s="2" t="str">
        <x:f>'Design &amp; Insights'!D140</x:f>
        <x:v>Retail Services</x:v>
      </x:c>
      <x:c r="E1512" s="2" t="str">
        <x:v>Design &amp; Insights</x:v>
      </x:c>
      <x:c r="F1512" s="56" t="str">
        <x:f>'Design &amp; Insights'!E140</x:f>
        <x:v>DI.RS.2.5</x:v>
      </x:c>
      <x:c r="G1512" s="14" t="str">
        <x:f>'Design &amp; Insights'!F140</x:f>
        <x:v>Draft initial enhancement recommendations (as applicable)</x:v>
      </x:c>
      <x:c r="H1512" s="2" t="str">
        <x:f>IF('Design &amp; Insights'!G140="","",'Design &amp; Insights'!G140)</x:f>
      </x:c>
      <x:c r="I1512" s="12" t="str">
        <x:f>IF('Design &amp; Insights'!H140="","",'Design &amp; Insights'!H140)</x:f>
      </x:c>
      <x:c r="J1512" s="12" t="n">
        <x:f>IF('Design &amp; Insights'!I140="","",'Design &amp; Insights'!I140)</x:f>
        <x:v>46112</x:v>
      </x:c>
      <x:c r="K1512" s="12" t="str">
        <x:f>IF('Design &amp; Insights'!J140="","",'Design &amp; Insights'!J140)</x:f>
      </x:c>
      <x:c r="L1512" s="2" t="str">
        <x:f>IF('Design &amp; Insights'!K140="","",'Design &amp; Insights'!K140)</x:f>
      </x:c>
      <x:c r="M1512" s="2" t="n">
        <x:f>'Design &amp; Insights'!Q140</x:f>
        <x:v>1</x:v>
      </x:c>
      <x:c r="N1512" s="2" t="str">
        <x:f>'Design &amp; Insights'!L140</x:f>
        <x:v>Not started</x:v>
      </x:c>
      <x:c r="O1512" s="2" t="str">
        <x:f>'Design &amp; Insights'!N140</x:f>
        <x:v>DI.RS.2.5.2026.CY1</x:v>
      </x:c>
      <x:c r="P1512" s="2" t="n">
        <x:f>'Design &amp; Insights'!O140</x:f>
        <x:v>0</x:v>
      </x:c>
      <x:c r="Q1512" s="2" t="n">
        <x:f>SUBTOTAL(103,O1512)</x:f>
        <x:v>1</x:v>
      </x:c>
      <x:c r="R1512" s="2" t="n">
        <x:f>IF(AND(M1512=1,OR(Dashboard!$B$7="All",Dashboard!$B$7='Cycles &amp; Guide'!$C$5),OR(Dashboard!$D$7="All",Dashboard!$D$7=B1512),OR(Dashboard!$F$7="All",Dashboard!$F$7=C1512),OR(Dashboard!$H$7="All",Dashboard!$H$7=D1512),OR(Dashboard!$K$7="All",Dashboard!$K$7=E1512)),1,0)</x:f>
        <x:v>1</x:v>
      </x:c>
      <x:c r="S1512" s="2" t="n">
        <x:f>IF(R1512=1,SUM($R$10:R1512),0)</x:f>
        <x:v>1139</x:v>
      </x:c>
      <x:c r="T1512" s="2" t="str">
        <x:v>Design &amp; Insights</x:v>
      </x:c>
      <x:c r="U1512" s="2" t="n">
        <x:v>140</x:v>
      </x:c>
      <x:c r="V1512" s="2" t="n">
        <x:f>IF(AND(M1512=1,P1512=0,ISNUMBER(J1512),J1512&lt;TODAY()),1,0)</x:f>
        <x:v>1</x:v>
      </x:c>
      <x:c r="W1512" s="2" t="str">
        <x:f>'Design &amp; Insights'!M140</x:f>
        <x:v>Task</x:v>
      </x:c>
    </x:row>
    <x:row r="1513" ht="40" customHeight="1">
      <x:c r="A1513" s="3" t="str">
        <x:f>HYPERLINK("#'Design &amp; Insights'!A141","Open")</x:f>
        <x:v>Open</x:v>
      </x:c>
      <x:c r="B1513" s="2" t="str">
        <x:f>'Design &amp; Insights'!B141</x:f>
        <x:v>Cycle 1</x:v>
      </x:c>
      <x:c r="C1513" s="2" t="str">
        <x:f>'Design &amp; Insights'!C141</x:f>
        <x:v>Phase 2</x:v>
      </x:c>
      <x:c r="D1513" s="2" t="str">
        <x:f>'Design &amp; Insights'!D141</x:f>
        <x:v>Retail Services</x:v>
      </x:c>
      <x:c r="E1513" s="2" t="str">
        <x:v>Design &amp; Insights</x:v>
      </x:c>
      <x:c r="F1513" s="56" t="str">
        <x:f>'Design &amp; Insights'!E141</x:f>
        <x:v>DI.RS.2.6</x:v>
      </x:c>
      <x:c r="G1513" s="14" t="str">
        <x:f>'Design &amp; Insights'!F141</x:f>
        <x:v>Finalize presentation deck draft at conclusion of Research phase</x:v>
      </x:c>
      <x:c r="H1513" s="2" t="str">
        <x:f>IF('Design &amp; Insights'!G141="","",'Design &amp; Insights'!G141)</x:f>
      </x:c>
      <x:c r="I1513" s="12" t="str">
        <x:f>IF('Design &amp; Insights'!H141="","",'Design &amp; Insights'!H141)</x:f>
      </x:c>
      <x:c r="J1513" s="12" t="n">
        <x:f>IF('Design &amp; Insights'!I141="","",'Design &amp; Insights'!I141)</x:f>
        <x:v>46112</x:v>
      </x:c>
      <x:c r="K1513" s="12" t="str">
        <x:f>IF('Design &amp; Insights'!J141="","",'Design &amp; Insights'!J141)</x:f>
      </x:c>
      <x:c r="L1513" s="2" t="str">
        <x:f>IF('Design &amp; Insights'!K141="","",'Design &amp; Insights'!K141)</x:f>
      </x:c>
      <x:c r="M1513" s="2" t="n">
        <x:f>'Design &amp; Insights'!Q141</x:f>
        <x:v>1</x:v>
      </x:c>
      <x:c r="N1513" s="2" t="str">
        <x:f>'Design &amp; Insights'!L141</x:f>
        <x:v>Not started</x:v>
      </x:c>
      <x:c r="O1513" s="2" t="str">
        <x:f>'Design &amp; Insights'!N141</x:f>
        <x:v>DI.RS.2.6.2026.CY1</x:v>
      </x:c>
      <x:c r="P1513" s="2" t="n">
        <x:f>'Design &amp; Insights'!O141</x:f>
        <x:v>0</x:v>
      </x:c>
      <x:c r="Q1513" s="2" t="n">
        <x:f>SUBTOTAL(103,O1513)</x:f>
        <x:v>1</x:v>
      </x:c>
      <x:c r="R1513" s="2" t="n">
        <x:f>IF(AND(M1513=1,OR(Dashboard!$B$7="All",Dashboard!$B$7='Cycles &amp; Guide'!$C$5),OR(Dashboard!$D$7="All",Dashboard!$D$7=B1513),OR(Dashboard!$F$7="All",Dashboard!$F$7=C1513),OR(Dashboard!$H$7="All",Dashboard!$H$7=D1513),OR(Dashboard!$K$7="All",Dashboard!$K$7=E1513)),1,0)</x:f>
        <x:v>1</x:v>
      </x:c>
      <x:c r="S1513" s="2" t="n">
        <x:f>IF(R1513=1,SUM($R$10:R1513),0)</x:f>
        <x:v>1140</x:v>
      </x:c>
      <x:c r="T1513" s="2" t="str">
        <x:v>Design &amp; Insights</x:v>
      </x:c>
      <x:c r="U1513" s="2" t="n">
        <x:v>141</x:v>
      </x:c>
      <x:c r="V1513" s="2" t="n">
        <x:f>IF(AND(M1513=1,P1513=0,ISNUMBER(J1513),J1513&lt;TODAY()),1,0)</x:f>
        <x:v>1</x:v>
      </x:c>
      <x:c r="W1513" s="2" t="str">
        <x:f>'Design &amp; Insights'!M141</x:f>
        <x:v>Task</x:v>
      </x:c>
    </x:row>
    <x:row r="1514" ht="40" customHeight="1">
      <x:c r="A1514" s="3" t="str">
        <x:f>HYPERLINK("#'Design &amp; Insights'!A142","Open")</x:f>
        <x:v>Open</x:v>
      </x:c>
      <x:c r="B1514" s="2" t="str">
        <x:f>'Design &amp; Insights'!B142</x:f>
        <x:v>Cycle 1</x:v>
      </x:c>
      <x:c r="C1514" s="2" t="str">
        <x:f>'Design &amp; Insights'!C142</x:f>
        <x:v>Phase 2</x:v>
      </x:c>
      <x:c r="D1514" s="2" t="str">
        <x:f>'Design &amp; Insights'!D142</x:f>
        <x:v>Retail Services</x:v>
      </x:c>
      <x:c r="E1514" s="2" t="str">
        <x:v>Design &amp; Insights</x:v>
      </x:c>
      <x:c r="F1514" s="56" t="str">
        <x:f>'Design &amp; Insights'!E142</x:f>
        <x:v>DI.RS.2.7</x:v>
      </x:c>
      <x:c r="G1514" s="14" t="str">
        <x:f>'Design &amp; Insights'!F142</x:f>
        <x:v>Update Outcome portion of research plan with current enhancement verbiage (as needed)</x:v>
      </x:c>
      <x:c r="H1514" s="2" t="str">
        <x:f>IF('Design &amp; Insights'!G142="","",'Design &amp; Insights'!G142)</x:f>
      </x:c>
      <x:c r="I1514" s="12" t="str">
        <x:f>IF('Design &amp; Insights'!H142="","",'Design &amp; Insights'!H142)</x:f>
      </x:c>
      <x:c r="J1514" s="12" t="n">
        <x:f>IF('Design &amp; Insights'!I142="","",'Design &amp; Insights'!I142)</x:f>
        <x:v>46112</x:v>
      </x:c>
      <x:c r="K1514" s="12" t="str">
        <x:f>IF('Design &amp; Insights'!J142="","",'Design &amp; Insights'!J142)</x:f>
      </x:c>
      <x:c r="L1514" s="2" t="str">
        <x:f>IF('Design &amp; Insights'!K142="","",'Design &amp; Insights'!K142)</x:f>
      </x:c>
      <x:c r="M1514" s="2" t="n">
        <x:f>'Design &amp; Insights'!Q142</x:f>
        <x:v>1</x:v>
      </x:c>
      <x:c r="N1514" s="2" t="str">
        <x:f>'Design &amp; Insights'!L142</x:f>
        <x:v>Not started</x:v>
      </x:c>
      <x:c r="O1514" s="2" t="str">
        <x:f>'Design &amp; Insights'!N142</x:f>
        <x:v>DI.RS.2.7.2026.CY1</x:v>
      </x:c>
      <x:c r="P1514" s="2" t="n">
        <x:f>'Design &amp; Insights'!O142</x:f>
        <x:v>0</x:v>
      </x:c>
      <x:c r="Q1514" s="2" t="n">
        <x:f>SUBTOTAL(103,O1514)</x:f>
        <x:v>1</x:v>
      </x:c>
      <x:c r="R1514" s="2" t="n">
        <x:f>IF(AND(M1514=1,OR(Dashboard!$B$7="All",Dashboard!$B$7='Cycles &amp; Guide'!$C$5),OR(Dashboard!$D$7="All",Dashboard!$D$7=B1514),OR(Dashboard!$F$7="All",Dashboard!$F$7=C1514),OR(Dashboard!$H$7="All",Dashboard!$H$7=D1514),OR(Dashboard!$K$7="All",Dashboard!$K$7=E1514)),1,0)</x:f>
        <x:v>1</x:v>
      </x:c>
      <x:c r="S1514" s="2" t="n">
        <x:f>IF(R1514=1,SUM($R$10:R1514),0)</x:f>
        <x:v>1141</x:v>
      </x:c>
      <x:c r="T1514" s="2" t="str">
        <x:v>Design &amp; Insights</x:v>
      </x:c>
      <x:c r="U1514" s="2" t="n">
        <x:v>142</x:v>
      </x:c>
      <x:c r="V1514" s="2" t="n">
        <x:f>IF(AND(M1514=1,P1514=0,ISNUMBER(J1514),J1514&lt;TODAY()),1,0)</x:f>
        <x:v>1</x:v>
      </x:c>
      <x:c r="W1514" s="2" t="str">
        <x:f>'Design &amp; Insights'!M142</x:f>
        <x:v>Task</x:v>
      </x:c>
    </x:row>
    <x:row r="1515" ht="40" customHeight="1">
      <x:c r="A1515" s="3" t="str">
        <x:f>HYPERLINK("#'Design &amp; Insights'!A143","Open")</x:f>
        <x:v>Open</x:v>
      </x:c>
      <x:c r="B1515" s="2" t="str">
        <x:f>'Design &amp; Insights'!B143</x:f>
        <x:v>Cycle 1</x:v>
      </x:c>
      <x:c r="C1515" s="2" t="str">
        <x:f>'Design &amp; Insights'!C143</x:f>
        <x:v>Phase 3</x:v>
      </x:c>
      <x:c r="D1515" s="2" t="str">
        <x:f>'Design &amp; Insights'!D143</x:f>
        <x:v>Retail Services</x:v>
      </x:c>
      <x:c r="E1515" s="2" t="str">
        <x:v>Design &amp; Insights</x:v>
      </x:c>
      <x:c r="F1515" s="56" t="str">
        <x:f>'Design &amp; Insights'!E143</x:f>
        <x:v>DI.RS.3.1</x:v>
      </x:c>
      <x:c r="G1515" s="14" t="str">
        <x:f>'Design &amp; Insights'!F143</x:f>
        <x:v>Confirm list of required &amp; optional attendees for pre-socialization meeting</x:v>
      </x:c>
      <x:c r="H1515" s="2" t="str">
        <x:f>IF('Design &amp; Insights'!G143="","",'Design &amp; Insights'!G143)</x:f>
      </x:c>
      <x:c r="I1515" s="12" t="str">
        <x:f>IF('Design &amp; Insights'!H143="","",'Design &amp; Insights'!H143)</x:f>
      </x:c>
      <x:c r="J1515" s="12" t="n">
        <x:f>IF('Design &amp; Insights'!I143="","",'Design &amp; Insights'!I143)</x:f>
        <x:v>46112</x:v>
      </x:c>
      <x:c r="K1515" s="12" t="str">
        <x:f>IF('Design &amp; Insights'!J143="","",'Design &amp; Insights'!J143)</x:f>
      </x:c>
      <x:c r="L1515" s="2" t="str">
        <x:f>IF('Design &amp; Insights'!K143="","",'Design &amp; Insights'!K143)</x:f>
      </x:c>
      <x:c r="M1515" s="2" t="n">
        <x:f>'Design &amp; Insights'!Q143</x:f>
        <x:v>1</x:v>
      </x:c>
      <x:c r="N1515" s="2" t="str">
        <x:f>'Design &amp; Insights'!L143</x:f>
        <x:v>Not started</x:v>
      </x:c>
      <x:c r="O1515" s="2" t="str">
        <x:f>'Design &amp; Insights'!N143</x:f>
        <x:v>DI.RS.3.1.2026.CY1</x:v>
      </x:c>
      <x:c r="P1515" s="2" t="n">
        <x:f>'Design &amp; Insights'!O143</x:f>
        <x:v>0</x:v>
      </x:c>
      <x:c r="Q1515" s="2" t="n">
        <x:f>SUBTOTAL(103,O1515)</x:f>
        <x:v>1</x:v>
      </x:c>
      <x:c r="R1515" s="2" t="n">
        <x:f>IF(AND(M1515=1,OR(Dashboard!$B$7="All",Dashboard!$B$7='Cycles &amp; Guide'!$C$5),OR(Dashboard!$D$7="All",Dashboard!$D$7=B1515),OR(Dashboard!$F$7="All",Dashboard!$F$7=C1515),OR(Dashboard!$H$7="All",Dashboard!$H$7=D1515),OR(Dashboard!$K$7="All",Dashboard!$K$7=E1515)),1,0)</x:f>
        <x:v>1</x:v>
      </x:c>
      <x:c r="S1515" s="2" t="n">
        <x:f>IF(R1515=1,SUM($R$10:R1515),0)</x:f>
        <x:v>1142</x:v>
      </x:c>
      <x:c r="T1515" s="2" t="str">
        <x:v>Design &amp; Insights</x:v>
      </x:c>
      <x:c r="U1515" s="2" t="n">
        <x:v>143</x:v>
      </x:c>
      <x:c r="V1515" s="2" t="n">
        <x:f>IF(AND(M1515=1,P1515=0,ISNUMBER(J1515),J1515&lt;TODAY()),1,0)</x:f>
        <x:v>1</x:v>
      </x:c>
      <x:c r="W1515" s="2" t="str">
        <x:f>'Design &amp; Insights'!M143</x:f>
        <x:v>Task</x:v>
      </x:c>
    </x:row>
    <x:row r="1516" ht="40" customHeight="1">
      <x:c r="A1516" s="3" t="str">
        <x:f>HYPERLINK("#'Design &amp; Insights'!A144","Open")</x:f>
        <x:v>Open</x:v>
      </x:c>
      <x:c r="B1516" s="2" t="str">
        <x:f>'Design &amp; Insights'!B144</x:f>
        <x:v>Cycle 1</x:v>
      </x:c>
      <x:c r="C1516" s="2" t="str">
        <x:f>'Design &amp; Insights'!C144</x:f>
        <x:v>Phase 3</x:v>
      </x:c>
      <x:c r="D1516" s="2" t="str">
        <x:f>'Design &amp; Insights'!D144</x:f>
        <x:v>Retail Services</x:v>
      </x:c>
      <x:c r="E1516" s="2" t="str">
        <x:v>Design &amp; Insights</x:v>
      </x:c>
      <x:c r="F1516" s="56" t="str">
        <x:f>'Design &amp; Insights'!E144</x:f>
        <x:v>DI.RS.3.2</x:v>
      </x:c>
      <x:c r="G1516" s="14" t="str">
        <x:f>'Design &amp; Insights'!F144</x:f>
        <x:v>Schedule pre-socialization meeting 1 week prior to RCA Forum</x:v>
      </x:c>
      <x:c r="H1516" s="2" t="str">
        <x:f>IF('Design &amp; Insights'!G144="","",'Design &amp; Insights'!G144)</x:f>
      </x:c>
      <x:c r="I1516" s="12" t="str">
        <x:f>IF('Design &amp; Insights'!H144="","",'Design &amp; Insights'!H144)</x:f>
      </x:c>
      <x:c r="J1516" s="12" t="str">
        <x:f>IF('Design &amp; Insights'!I144="","",'Design &amp; Insights'!I144)</x:f>
      </x:c>
      <x:c r="K1516" s="12" t="str">
        <x:f>IF('Design &amp; Insights'!J144="","",'Design &amp; Insights'!J144)</x:f>
      </x:c>
      <x:c r="L1516" s="2" t="str">
        <x:f>IF('Design &amp; Insights'!K144="","",'Design &amp; Insights'!K144)</x:f>
      </x:c>
      <x:c r="M1516" s="2" t="n">
        <x:f>'Design &amp; Insights'!Q144</x:f>
        <x:v>1</x:v>
      </x:c>
      <x:c r="N1516" s="2" t="str">
        <x:f>'Design &amp; Insights'!L144</x:f>
        <x:v>Not started</x:v>
      </x:c>
      <x:c r="O1516" s="2" t="str">
        <x:f>'Design &amp; Insights'!N144</x:f>
        <x:v>DI.RS.3.2.2026.CY1</x:v>
      </x:c>
      <x:c r="P1516" s="2" t="n">
        <x:f>'Design &amp; Insights'!O144</x:f>
        <x:v>0</x:v>
      </x:c>
      <x:c r="Q1516" s="2" t="n">
        <x:f>SUBTOTAL(103,O1516)</x:f>
        <x:v>1</x:v>
      </x:c>
      <x:c r="R1516" s="2" t="n">
        <x:f>IF(AND(M1516=1,OR(Dashboard!$B$7="All",Dashboard!$B$7='Cycles &amp; Guide'!$C$5),OR(Dashboard!$D$7="All",Dashboard!$D$7=B1516),OR(Dashboard!$F$7="All",Dashboard!$F$7=C1516),OR(Dashboard!$H$7="All",Dashboard!$H$7=D1516),OR(Dashboard!$K$7="All",Dashboard!$K$7=E1516)),1,0)</x:f>
        <x:v>1</x:v>
      </x:c>
      <x:c r="S1516" s="2" t="n">
        <x:f>IF(R1516=1,SUM($R$10:R1516),0)</x:f>
        <x:v>1143</x:v>
      </x:c>
      <x:c r="T1516" s="2" t="str">
        <x:v>Design &amp; Insights</x:v>
      </x:c>
      <x:c r="U1516" s="2" t="n">
        <x:v>144</x:v>
      </x:c>
      <x:c r="V1516" s="2" t="n">
        <x:f>IF(AND(M1516=1,P1516=0,ISNUMBER(J1516),J1516&lt;TODAY()),1,0)</x:f>
        <x:v>0</x:v>
      </x:c>
      <x:c r="W1516" s="2" t="str">
        <x:f>'Design &amp; Insights'!M144</x:f>
        <x:v>Task</x:v>
      </x:c>
    </x:row>
    <x:row r="1517" ht="40" customHeight="1">
      <x:c r="A1517" s="3" t="str">
        <x:f>HYPERLINK("#'Design &amp; Insights'!A145","Open")</x:f>
        <x:v>Open</x:v>
      </x:c>
      <x:c r="B1517" s="2" t="str">
        <x:f>'Design &amp; Insights'!B145</x:f>
        <x:v>Cycle 1</x:v>
      </x:c>
      <x:c r="C1517" s="2" t="str">
        <x:f>'Design &amp; Insights'!C145</x:f>
        <x:v>Phase 3</x:v>
      </x:c>
      <x:c r="D1517" s="2" t="str">
        <x:f>'Design &amp; Insights'!D145</x:f>
        <x:v>Retail Services</x:v>
      </x:c>
      <x:c r="E1517" s="2" t="str">
        <x:v>Design &amp; Insights</x:v>
      </x:c>
      <x:c r="F1517" s="56" t="str">
        <x:f>'Design &amp; Insights'!E145</x:f>
        <x:v>DI.RS.3.3</x:v>
      </x:c>
      <x:c r="G1517" s="14" t="str">
        <x:f>'Design &amp; Insights'!F145</x:f>
        <x:v>Present findings, conclusions, and recommendation to SMEs</x:v>
      </x:c>
      <x:c r="H1517" s="2" t="str">
        <x:f>IF('Design &amp; Insights'!G145="","",'Design &amp; Insights'!G145)</x:f>
      </x:c>
      <x:c r="I1517" s="12" t="str">
        <x:f>IF('Design &amp; Insights'!H145="","",'Design &amp; Insights'!H145)</x:f>
      </x:c>
      <x:c r="J1517" s="12" t="n">
        <x:f>IF('Design &amp; Insights'!I145="","",'Design &amp; Insights'!I145)</x:f>
        <x:v>46112</x:v>
      </x:c>
      <x:c r="K1517" s="12" t="str">
        <x:f>IF('Design &amp; Insights'!J145="","",'Design &amp; Insights'!J145)</x:f>
      </x:c>
      <x:c r="L1517" s="2" t="str">
        <x:f>IF('Design &amp; Insights'!K145="","",'Design &amp; Insights'!K145)</x:f>
      </x:c>
      <x:c r="M1517" s="2" t="n">
        <x:f>'Design &amp; Insights'!Q145</x:f>
        <x:v>1</x:v>
      </x:c>
      <x:c r="N1517" s="2" t="str">
        <x:f>'Design &amp; Insights'!L145</x:f>
        <x:v>Not started</x:v>
      </x:c>
      <x:c r="O1517" s="2" t="str">
        <x:f>'Design &amp; Insights'!N145</x:f>
        <x:v>DI.RS.3.3.2026.CY1</x:v>
      </x:c>
      <x:c r="P1517" s="2" t="n">
        <x:f>'Design &amp; Insights'!O145</x:f>
        <x:v>0</x:v>
      </x:c>
      <x:c r="Q1517" s="2" t="n">
        <x:f>SUBTOTAL(103,O1517)</x:f>
        <x:v>1</x:v>
      </x:c>
      <x:c r="R1517" s="2" t="n">
        <x:f>IF(AND(M1517=1,OR(Dashboard!$B$7="All",Dashboard!$B$7='Cycles &amp; Guide'!$C$5),OR(Dashboard!$D$7="All",Dashboard!$D$7=B1517),OR(Dashboard!$F$7="All",Dashboard!$F$7=C1517),OR(Dashboard!$H$7="All",Dashboard!$H$7=D1517),OR(Dashboard!$K$7="All",Dashboard!$K$7=E1517)),1,0)</x:f>
        <x:v>1</x:v>
      </x:c>
      <x:c r="S1517" s="2" t="n">
        <x:f>IF(R1517=1,SUM($R$10:R1517),0)</x:f>
        <x:v>1144</x:v>
      </x:c>
      <x:c r="T1517" s="2" t="str">
        <x:v>Design &amp; Insights</x:v>
      </x:c>
      <x:c r="U1517" s="2" t="n">
        <x:v>145</x:v>
      </x:c>
      <x:c r="V1517" s="2" t="n">
        <x:f>IF(AND(M1517=1,P1517=0,ISNUMBER(J1517),J1517&lt;TODAY()),1,0)</x:f>
        <x:v>1</x:v>
      </x:c>
      <x:c r="W1517" s="2" t="str">
        <x:f>'Design &amp; Insights'!M145</x:f>
        <x:v>Task</x:v>
      </x:c>
    </x:row>
    <x:row r="1518" ht="40" customHeight="1">
      <x:c r="A1518" s="3" t="str">
        <x:f>HYPERLINK("#'Design &amp; Insights'!A146","Open")</x:f>
        <x:v>Open</x:v>
      </x:c>
      <x:c r="B1518" s="2" t="str">
        <x:f>'Design &amp; Insights'!B146</x:f>
        <x:v>Cycle 1</x:v>
      </x:c>
      <x:c r="C1518" s="2" t="str">
        <x:f>'Design &amp; Insights'!C146</x:f>
        <x:v>Phase 3</x:v>
      </x:c>
      <x:c r="D1518" s="2" t="str">
        <x:f>'Design &amp; Insights'!D146</x:f>
        <x:v>Retail Services</x:v>
      </x:c>
      <x:c r="E1518" s="2" t="str">
        <x:v>Design &amp; Insights</x:v>
      </x:c>
      <x:c r="F1518" s="56" t="str">
        <x:f>'Design &amp; Insights'!E146</x:f>
        <x:v>DI.RS.3.4</x:v>
      </x:c>
      <x:c r="G1518" s="14" t="str">
        <x:f>'Design &amp; Insights'!F146</x:f>
        <x:v>Update Outcome portion of research plan (as needed)</x:v>
      </x:c>
      <x:c r="H1518" s="2" t="str">
        <x:f>IF('Design &amp; Insights'!G146="","",'Design &amp; Insights'!G146)</x:f>
      </x:c>
      <x:c r="I1518" s="12" t="str">
        <x:f>IF('Design &amp; Insights'!H146="","",'Design &amp; Insights'!H146)</x:f>
      </x:c>
      <x:c r="J1518" s="12" t="n">
        <x:f>IF('Design &amp; Insights'!I146="","",'Design &amp; Insights'!I146)</x:f>
        <x:v>46112</x:v>
      </x:c>
      <x:c r="K1518" s="12" t="str">
        <x:f>IF('Design &amp; Insights'!J146="","",'Design &amp; Insights'!J146)</x:f>
      </x:c>
      <x:c r="L1518" s="2" t="str">
        <x:f>IF('Design &amp; Insights'!K146="","",'Design &amp; Insights'!K146)</x:f>
      </x:c>
      <x:c r="M1518" s="2" t="n">
        <x:f>'Design &amp; Insights'!Q146</x:f>
        <x:v>1</x:v>
      </x:c>
      <x:c r="N1518" s="2" t="str">
        <x:f>'Design &amp; Insights'!L146</x:f>
        <x:v>Not started</x:v>
      </x:c>
      <x:c r="O1518" s="2" t="str">
        <x:f>'Design &amp; Insights'!N146</x:f>
        <x:v>DI.RS.3.4.2026.CY1</x:v>
      </x:c>
      <x:c r="P1518" s="2" t="n">
        <x:f>'Design &amp; Insights'!O146</x:f>
        <x:v>0</x:v>
      </x:c>
      <x:c r="Q1518" s="2" t="n">
        <x:f>SUBTOTAL(103,O1518)</x:f>
        <x:v>1</x:v>
      </x:c>
      <x:c r="R1518" s="2" t="n">
        <x:f>IF(AND(M1518=1,OR(Dashboard!$B$7="All",Dashboard!$B$7='Cycles &amp; Guide'!$C$5),OR(Dashboard!$D$7="All",Dashboard!$D$7=B1518),OR(Dashboard!$F$7="All",Dashboard!$F$7=C1518),OR(Dashboard!$H$7="All",Dashboard!$H$7=D1518),OR(Dashboard!$K$7="All",Dashboard!$K$7=E1518)),1,0)</x:f>
        <x:v>1</x:v>
      </x:c>
      <x:c r="S1518" s="2" t="n">
        <x:f>IF(R1518=1,SUM($R$10:R1518),0)</x:f>
        <x:v>1145</x:v>
      </x:c>
      <x:c r="T1518" s="2" t="str">
        <x:v>Design &amp; Insights</x:v>
      </x:c>
      <x:c r="U1518" s="2" t="n">
        <x:v>146</x:v>
      </x:c>
      <x:c r="V1518" s="2" t="n">
        <x:f>IF(AND(M1518=1,P1518=0,ISNUMBER(J1518),J1518&lt;TODAY()),1,0)</x:f>
        <x:v>1</x:v>
      </x:c>
      <x:c r="W1518" s="2" t="str">
        <x:f>'Design &amp; Insights'!M146</x:f>
        <x:v>Task</x:v>
      </x:c>
    </x:row>
    <x:row r="1519" ht="40" customHeight="1">
      <x:c r="A1519" s="3" t="str">
        <x:f>HYPERLINK("#'Design &amp; Insights'!A147","Open")</x:f>
        <x:v>Open</x:v>
      </x:c>
      <x:c r="B1519" s="2" t="str">
        <x:f>'Design &amp; Insights'!B147</x:f>
        <x:v>Cycle 1</x:v>
      </x:c>
      <x:c r="C1519" s="2" t="str">
        <x:f>'Design &amp; Insights'!C147</x:f>
        <x:v>Phase 3</x:v>
      </x:c>
      <x:c r="D1519" s="2" t="str">
        <x:f>'Design &amp; Insights'!D147</x:f>
        <x:v>Retail Services</x:v>
      </x:c>
      <x:c r="E1519" s="2" t="str">
        <x:v>Design &amp; Insights</x:v>
      </x:c>
      <x:c r="F1519" s="56" t="str">
        <x:f>'Design &amp; Insights'!E147</x:f>
        <x:v>DI.RS.3.5</x:v>
      </x:c>
      <x:c r="G1519" s="14" t="str">
        <x:f>'Design &amp; Insights'!F147</x:f>
        <x:v>Finalize presentation deck by incorporating pre-socialization feedback (as needed)</x:v>
      </x:c>
      <x:c r="H1519" s="2" t="str">
        <x:f>IF('Design &amp; Insights'!G147="","",'Design &amp; Insights'!G147)</x:f>
      </x:c>
      <x:c r="I1519" s="12" t="str">
        <x:f>IF('Design &amp; Insights'!H147="","",'Design &amp; Insights'!H147)</x:f>
      </x:c>
      <x:c r="J1519" s="12" t="n">
        <x:f>IF('Design &amp; Insights'!I147="","",'Design &amp; Insights'!I147)</x:f>
        <x:v>46112</x:v>
      </x:c>
      <x:c r="K1519" s="12" t="str">
        <x:f>IF('Design &amp; Insights'!J147="","",'Design &amp; Insights'!J147)</x:f>
      </x:c>
      <x:c r="L1519" s="2" t="str">
        <x:f>IF('Design &amp; Insights'!K147="","",'Design &amp; Insights'!K147)</x:f>
      </x:c>
      <x:c r="M1519" s="2" t="n">
        <x:f>'Design &amp; Insights'!Q147</x:f>
        <x:v>1</x:v>
      </x:c>
      <x:c r="N1519" s="2" t="str">
        <x:f>'Design &amp; Insights'!L147</x:f>
        <x:v>Not started</x:v>
      </x:c>
      <x:c r="O1519" s="2" t="str">
        <x:f>'Design &amp; Insights'!N147</x:f>
        <x:v>DI.RS.3.5.2026.CY1</x:v>
      </x:c>
      <x:c r="P1519" s="2" t="n">
        <x:f>'Design &amp; Insights'!O147</x:f>
        <x:v>0</x:v>
      </x:c>
      <x:c r="Q1519" s="2" t="n">
        <x:f>SUBTOTAL(103,O1519)</x:f>
        <x:v>1</x:v>
      </x:c>
      <x:c r="R1519" s="2" t="n">
        <x:f>IF(AND(M1519=1,OR(Dashboard!$B$7="All",Dashboard!$B$7='Cycles &amp; Guide'!$C$5),OR(Dashboard!$D$7="All",Dashboard!$D$7=B1519),OR(Dashboard!$F$7="All",Dashboard!$F$7=C1519),OR(Dashboard!$H$7="All",Dashboard!$H$7=D1519),OR(Dashboard!$K$7="All",Dashboard!$K$7=E1519)),1,0)</x:f>
        <x:v>1</x:v>
      </x:c>
      <x:c r="S1519" s="2" t="n">
        <x:f>IF(R1519=1,SUM($R$10:R1519),0)</x:f>
        <x:v>1146</x:v>
      </x:c>
      <x:c r="T1519" s="2" t="str">
        <x:v>Design &amp; Insights</x:v>
      </x:c>
      <x:c r="U1519" s="2" t="n">
        <x:v>147</x:v>
      </x:c>
      <x:c r="V1519" s="2" t="n">
        <x:f>IF(AND(M1519=1,P1519=0,ISNUMBER(J1519),J1519&lt;TODAY()),1,0)</x:f>
        <x:v>1</x:v>
      </x:c>
      <x:c r="W1519" s="2" t="str">
        <x:f>'Design &amp; Insights'!M147</x:f>
        <x:v>Task</x:v>
      </x:c>
    </x:row>
    <x:row r="1520" ht="40" customHeight="1">
      <x:c r="A1520" s="3" t="str">
        <x:f>HYPERLINK("#'Design &amp; Insights'!A148","Open")</x:f>
        <x:v>Open</x:v>
      </x:c>
      <x:c r="B1520" s="2" t="str">
        <x:f>'Design &amp; Insights'!B148</x:f>
        <x:v>Cycle 1</x:v>
      </x:c>
      <x:c r="C1520" s="2" t="str">
        <x:f>'Design &amp; Insights'!C148</x:f>
        <x:v>Phase 3</x:v>
      </x:c>
      <x:c r="D1520" s="2" t="str">
        <x:f>'Design &amp; Insights'!D148</x:f>
        <x:v>Retail Services</x:v>
      </x:c>
      <x:c r="E1520" s="2" t="str">
        <x:v>Design &amp; Insights</x:v>
      </x:c>
      <x:c r="F1520" s="56" t="str">
        <x:f>'Design &amp; Insights'!E148</x:f>
        <x:v>DI.RS.3.6</x:v>
      </x:c>
      <x:c r="G1520" s="14" t="str">
        <x:f>'Design &amp; Insights'!F148</x:f>
        <x:v>Ensure final deck is communicated to Forum attendees</x:v>
      </x:c>
      <x:c r="H1520" s="2" t="str">
        <x:f>IF('Design &amp; Insights'!G148="","",'Design &amp; Insights'!G148)</x:f>
      </x:c>
      <x:c r="I1520" s="12" t="str">
        <x:f>IF('Design &amp; Insights'!H148="","",'Design &amp; Insights'!H148)</x:f>
      </x:c>
      <x:c r="J1520" s="12" t="n">
        <x:f>IF('Design &amp; Insights'!I148="","",'Design &amp; Insights'!I148)</x:f>
        <x:v>46112</x:v>
      </x:c>
      <x:c r="K1520" s="12" t="str">
        <x:f>IF('Design &amp; Insights'!J148="","",'Design &amp; Insights'!J148)</x:f>
      </x:c>
      <x:c r="L1520" s="2" t="str">
        <x:f>IF('Design &amp; Insights'!K148="","",'Design &amp; Insights'!K148)</x:f>
      </x:c>
      <x:c r="M1520" s="2" t="n">
        <x:f>'Design &amp; Insights'!Q148</x:f>
        <x:v>1</x:v>
      </x:c>
      <x:c r="N1520" s="2" t="str">
        <x:f>'Design &amp; Insights'!L148</x:f>
        <x:v>Not started</x:v>
      </x:c>
      <x:c r="O1520" s="2" t="str">
        <x:f>'Design &amp; Insights'!N148</x:f>
        <x:v>DI.RS.3.6.2026.CY1</x:v>
      </x:c>
      <x:c r="P1520" s="2" t="n">
        <x:f>'Design &amp; Insights'!O148</x:f>
        <x:v>0</x:v>
      </x:c>
      <x:c r="Q1520" s="2" t="n">
        <x:f>SUBTOTAL(103,O1520)</x:f>
        <x:v>1</x:v>
      </x:c>
      <x:c r="R1520" s="2" t="n">
        <x:f>IF(AND(M1520=1,OR(Dashboard!$B$7="All",Dashboard!$B$7='Cycles &amp; Guide'!$C$5),OR(Dashboard!$D$7="All",Dashboard!$D$7=B1520),OR(Dashboard!$F$7="All",Dashboard!$F$7=C1520),OR(Dashboard!$H$7="All",Dashboard!$H$7=D1520),OR(Dashboard!$K$7="All",Dashboard!$K$7=E1520)),1,0)</x:f>
        <x:v>1</x:v>
      </x:c>
      <x:c r="S1520" s="2" t="n">
        <x:f>IF(R1520=1,SUM($R$10:R1520),0)</x:f>
        <x:v>1147</x:v>
      </x:c>
      <x:c r="T1520" s="2" t="str">
        <x:v>Design &amp; Insights</x:v>
      </x:c>
      <x:c r="U1520" s="2" t="n">
        <x:v>148</x:v>
      </x:c>
      <x:c r="V1520" s="2" t="n">
        <x:f>IF(AND(M1520=1,P1520=0,ISNUMBER(J1520),J1520&lt;TODAY()),1,0)</x:f>
        <x:v>1</x:v>
      </x:c>
      <x:c r="W1520" s="2" t="str">
        <x:f>'Design &amp; Insights'!M148</x:f>
        <x:v>Task</x:v>
      </x:c>
    </x:row>
    <x:row r="1521" ht="40" customHeight="1">
      <x:c r="A1521" s="3" t="str">
        <x:f>HYPERLINK("#'Design &amp; Insights'!A149","Open")</x:f>
        <x:v>Open</x:v>
      </x:c>
      <x:c r="B1521" s="2" t="str">
        <x:f>'Design &amp; Insights'!B149</x:f>
        <x:v>Cycle 1</x:v>
      </x:c>
      <x:c r="C1521" s="2" t="str">
        <x:f>'Design &amp; Insights'!C149</x:f>
        <x:v>Phase 3</x:v>
      </x:c>
      <x:c r="D1521" s="2" t="str">
        <x:f>'Design &amp; Insights'!D149</x:f>
        <x:v>Retail Services</x:v>
      </x:c>
      <x:c r="E1521" s="2" t="str">
        <x:v>Design &amp; Insights</x:v>
      </x:c>
      <x:c r="F1521" s="56" t="str">
        <x:f>'Design &amp; Insights'!E149</x:f>
        <x:v>DI.RS.3.7</x:v>
      </x:c>
      <x:c r="G1521" s="14" t="str">
        <x:f>'Design &amp; Insights'!F149</x:f>
        <x:v>Present material in RCA Cycle Forum</x:v>
      </x:c>
      <x:c r="H1521" s="2" t="str">
        <x:f>IF('Design &amp; Insights'!G149="","",'Design &amp; Insights'!G149)</x:f>
      </x:c>
      <x:c r="I1521" s="12" t="str">
        <x:f>IF('Design &amp; Insights'!H149="","",'Design &amp; Insights'!H149)</x:f>
      </x:c>
      <x:c r="J1521" s="12" t="str">
        <x:f>IF('Design &amp; Insights'!I149="","",'Design &amp; Insights'!I149)</x:f>
      </x:c>
      <x:c r="K1521" s="12" t="str">
        <x:f>IF('Design &amp; Insights'!J149="","",'Design &amp; Insights'!J149)</x:f>
      </x:c>
      <x:c r="L1521" s="2" t="str">
        <x:f>IF('Design &amp; Insights'!K149="","",'Design &amp; Insights'!K149)</x:f>
      </x:c>
      <x:c r="M1521" s="2" t="n">
        <x:f>'Design &amp; Insights'!Q149</x:f>
        <x:v>1</x:v>
      </x:c>
      <x:c r="N1521" s="2" t="str">
        <x:f>'Design &amp; Insights'!L149</x:f>
        <x:v>Not started</x:v>
      </x:c>
      <x:c r="O1521" s="2" t="str">
        <x:f>'Design &amp; Insights'!N149</x:f>
        <x:v>DI.RS.3.7.2026.CY1</x:v>
      </x:c>
      <x:c r="P1521" s="2" t="n">
        <x:f>'Design &amp; Insights'!O149</x:f>
        <x:v>0</x:v>
      </x:c>
      <x:c r="Q1521" s="2" t="n">
        <x:f>SUBTOTAL(103,O1521)</x:f>
        <x:v>1</x:v>
      </x:c>
      <x:c r="R1521" s="2" t="n">
        <x:f>IF(AND(M1521=1,OR(Dashboard!$B$7="All",Dashboard!$B$7='Cycles &amp; Guide'!$C$5),OR(Dashboard!$D$7="All",Dashboard!$D$7=B1521),OR(Dashboard!$F$7="All",Dashboard!$F$7=C1521),OR(Dashboard!$H$7="All",Dashboard!$H$7=D1521),OR(Dashboard!$K$7="All",Dashboard!$K$7=E1521)),1,0)</x:f>
        <x:v>1</x:v>
      </x:c>
      <x:c r="S1521" s="2" t="n">
        <x:f>IF(R1521=1,SUM($R$10:R1521),0)</x:f>
        <x:v>1148</x:v>
      </x:c>
      <x:c r="T1521" s="2" t="str">
        <x:v>Design &amp; Insights</x:v>
      </x:c>
      <x:c r="U1521" s="2" t="n">
        <x:v>149</x:v>
      </x:c>
      <x:c r="V1521" s="2" t="n">
        <x:f>IF(AND(M1521=1,P1521=0,ISNUMBER(J1521),J1521&lt;TODAY()),1,0)</x:f>
        <x:v>0</x:v>
      </x:c>
      <x:c r="W1521" s="2" t="str">
        <x:f>'Design &amp; Insights'!M149</x:f>
        <x:v>Task</x:v>
      </x:c>
    </x:row>
    <x:row r="1522" ht="40" customHeight="1">
      <x:c r="A1522" s="3" t="str">
        <x:f>HYPERLINK("#'Design &amp; Insights'!A150","Open")</x:f>
        <x:v>Open</x:v>
      </x:c>
      <x:c r="B1522" s="2" t="str">
        <x:f>'Design &amp; Insights'!B150</x:f>
        <x:v>Cycle 2</x:v>
      </x:c>
      <x:c r="C1522" s="2" t="str">
        <x:f>'Design &amp; Insights'!C150</x:f>
        <x:v>Phase 1</x:v>
      </x:c>
      <x:c r="D1522" s="2" t="str">
        <x:f>'Design &amp; Insights'!D150</x:f>
        <x:v>Auto</x:v>
      </x:c>
      <x:c r="E1522" s="2" t="str">
        <x:v>Design &amp; Insights</x:v>
      </x:c>
      <x:c r="F1522" s="56" t="str">
        <x:f>'Design &amp; Insights'!E150</x:f>
        <x:v>DI.AU.1.1</x:v>
      </x:c>
      <x:c r="G1522" s="14" t="str">
        <x:f>'Design &amp; Insights'!F150</x:f>
        <x:v>Receive and review potential research topics at least 2 weeks prior to Cycle start date</x:v>
      </x:c>
      <x:c r="H1522" s="2" t="str">
        <x:f>IF('Design &amp; Insights'!G150="","",'Design &amp; Insights'!G150)</x:f>
      </x:c>
      <x:c r="I1522" s="12" t="str">
        <x:f>IF('Design &amp; Insights'!H150="","",'Design &amp; Insights'!H150)</x:f>
      </x:c>
      <x:c r="J1522" s="12" t="n">
        <x:f>IF('Design &amp; Insights'!I150="","",'Design &amp; Insights'!I150)</x:f>
        <x:v>46099</x:v>
      </x:c>
      <x:c r="K1522" s="12" t="str">
        <x:f>IF('Design &amp; Insights'!J150="","",'Design &amp; Insights'!J150)</x:f>
      </x:c>
      <x:c r="L1522" s="2" t="str">
        <x:f>IF('Design &amp; Insights'!K150="","",'Design &amp; Insights'!K150)</x:f>
      </x:c>
      <x:c r="M1522" s="2" t="n">
        <x:f>'Design &amp; Insights'!Q150</x:f>
        <x:v>1</x:v>
      </x:c>
      <x:c r="N1522" s="2" t="str">
        <x:f>'Design &amp; Insights'!L150</x:f>
        <x:v>Not started</x:v>
      </x:c>
      <x:c r="O1522" s="2" t="str">
        <x:f>'Design &amp; Insights'!N150</x:f>
        <x:v>DI.AU.1.1.2026.CY2</x:v>
      </x:c>
      <x:c r="P1522" s="2" t="n">
        <x:f>'Design &amp; Insights'!O150</x:f>
        <x:v>0</x:v>
      </x:c>
      <x:c r="Q1522" s="2" t="n">
        <x:f>SUBTOTAL(103,O1522)</x:f>
        <x:v>1</x:v>
      </x:c>
      <x:c r="R1522" s="2" t="n">
        <x:f>IF(AND(M1522=1,OR(Dashboard!$B$7="All",Dashboard!$B$7='Cycles &amp; Guide'!$C$5),OR(Dashboard!$D$7="All",Dashboard!$D$7=B1522),OR(Dashboard!$F$7="All",Dashboard!$F$7=C1522),OR(Dashboard!$H$7="All",Dashboard!$H$7=D1522),OR(Dashboard!$K$7="All",Dashboard!$K$7=E1522)),1,0)</x:f>
        <x:v>1</x:v>
      </x:c>
      <x:c r="S1522" s="2" t="n">
        <x:f>IF(R1522=1,SUM($R$10:R1522),0)</x:f>
        <x:v>1149</x:v>
      </x:c>
      <x:c r="T1522" s="2" t="str">
        <x:v>Design &amp; Insights</x:v>
      </x:c>
      <x:c r="U1522" s="2" t="n">
        <x:v>150</x:v>
      </x:c>
      <x:c r="V1522" s="2" t="n">
        <x:f>IF(AND(M1522=1,P1522=0,ISNUMBER(J1522),J1522&lt;TODAY()),1,0)</x:f>
        <x:v>1</x:v>
      </x:c>
      <x:c r="W1522" s="2" t="str">
        <x:f>'Design &amp; Insights'!M150</x:f>
        <x:v>Task</x:v>
      </x:c>
    </x:row>
    <x:row r="1523" ht="40" customHeight="1">
      <x:c r="A1523" s="3" t="str">
        <x:f>HYPERLINK("#'Design &amp; Insights'!A151","Open")</x:f>
        <x:v>Open</x:v>
      </x:c>
      <x:c r="B1523" s="2" t="str">
        <x:f>'Design &amp; Insights'!B151</x:f>
        <x:v>Cycle 2</x:v>
      </x:c>
      <x:c r="C1523" s="2" t="str">
        <x:f>'Design &amp; Insights'!C151</x:f>
        <x:v>Phase 1</x:v>
      </x:c>
      <x:c r="D1523" s="2" t="str">
        <x:f>'Design &amp; Insights'!D151</x:f>
        <x:v>Auto</x:v>
      </x:c>
      <x:c r="E1523" s="2" t="str">
        <x:v>Design &amp; Insights</x:v>
      </x:c>
      <x:c r="F1523" s="56" t="str">
        <x:f>'Design &amp; Insights'!E151</x:f>
        <x:v>DI.AU.1.2</x:v>
      </x:c>
      <x:c r="G1523" s="14" t="str">
        <x:f>'Design &amp; Insights'!F151</x:f>
        <x:v>Communicate any feedback on preferences or concerns with topics identified</x:v>
      </x:c>
      <x:c r="H1523" s="2" t="str">
        <x:f>IF('Design &amp; Insights'!G151="","",'Design &amp; Insights'!G151)</x:f>
      </x:c>
      <x:c r="I1523" s="12" t="str">
        <x:f>IF('Design &amp; Insights'!H151="","",'Design &amp; Insights'!H151)</x:f>
      </x:c>
      <x:c r="J1523" s="12" t="n">
        <x:f>IF('Design &amp; Insights'!I151="","",'Design &amp; Insights'!I151)</x:f>
        <x:v>46203</x:v>
      </x:c>
      <x:c r="K1523" s="12" t="str">
        <x:f>IF('Design &amp; Insights'!J151="","",'Design &amp; Insights'!J151)</x:f>
      </x:c>
      <x:c r="L1523" s="2" t="str">
        <x:f>IF('Design &amp; Insights'!K151="","",'Design &amp; Insights'!K151)</x:f>
      </x:c>
      <x:c r="M1523" s="2" t="n">
        <x:f>'Design &amp; Insights'!Q151</x:f>
        <x:v>1</x:v>
      </x:c>
      <x:c r="N1523" s="2" t="str">
        <x:f>'Design &amp; Insights'!L151</x:f>
        <x:v>Not started</x:v>
      </x:c>
      <x:c r="O1523" s="2" t="str">
        <x:f>'Design &amp; Insights'!N151</x:f>
        <x:v>DI.AU.1.2.2026.CY2</x:v>
      </x:c>
      <x:c r="P1523" s="2" t="n">
        <x:f>'Design &amp; Insights'!O151</x:f>
        <x:v>0</x:v>
      </x:c>
      <x:c r="Q1523" s="2" t="n">
        <x:f>SUBTOTAL(103,O1523)</x:f>
        <x:v>1</x:v>
      </x:c>
      <x:c r="R1523" s="2" t="n">
        <x:f>IF(AND(M1523=1,OR(Dashboard!$B$7="All",Dashboard!$B$7='Cycles &amp; Guide'!$C$5),OR(Dashboard!$D$7="All",Dashboard!$D$7=B1523),OR(Dashboard!$F$7="All",Dashboard!$F$7=C1523),OR(Dashboard!$H$7="All",Dashboard!$H$7=D1523),OR(Dashboard!$K$7="All",Dashboard!$K$7=E1523)),1,0)</x:f>
        <x:v>1</x:v>
      </x:c>
      <x:c r="S1523" s="2" t="n">
        <x:f>IF(R1523=1,SUM($R$10:R1523),0)</x:f>
        <x:v>1150</x:v>
      </x:c>
      <x:c r="T1523" s="2" t="str">
        <x:v>Design &amp; Insights</x:v>
      </x:c>
      <x:c r="U1523" s="2" t="n">
        <x:v>151</x:v>
      </x:c>
      <x:c r="V1523" s="2" t="n">
        <x:f>IF(AND(M1523=1,P1523=0,ISNUMBER(J1523),J1523&lt;TODAY()),1,0)</x:f>
        <x:v>1</x:v>
      </x:c>
      <x:c r="W1523" s="2" t="str">
        <x:f>'Design &amp; Insights'!M151</x:f>
        <x:v>Task</x:v>
      </x:c>
    </x:row>
    <x:row r="1524" ht="40" customHeight="1">
      <x:c r="A1524" s="3" t="str">
        <x:f>HYPERLINK("#'Design &amp; Insights'!A152","Open")</x:f>
        <x:v>Open</x:v>
      </x:c>
      <x:c r="B1524" s="2" t="str">
        <x:f>'Design &amp; Insights'!B152</x:f>
        <x:v>Cycle 2</x:v>
      </x:c>
      <x:c r="C1524" s="2" t="str">
        <x:f>'Design &amp; Insights'!C152</x:f>
        <x:v>Phase 1</x:v>
      </x:c>
      <x:c r="D1524" s="2" t="str">
        <x:f>'Design &amp; Insights'!D152</x:f>
        <x:v>Auto</x:v>
      </x:c>
      <x:c r="E1524" s="2" t="str">
        <x:v>Design &amp; Insights</x:v>
      </x:c>
      <x:c r="F1524" s="56" t="str">
        <x:f>'Design &amp; Insights'!E152</x:f>
        <x:v>DI.AU.1.3</x:v>
      </x:c>
      <x:c r="G1524" s="14" t="str">
        <x:f>'Design &amp; Insights'!F152</x:f>
        <x:v>Conduct high-level preliminary review of complaints within proposed topics</x:v>
      </x:c>
      <x:c r="H1524" s="2" t="str">
        <x:f>IF('Design &amp; Insights'!G152="","",'Design &amp; Insights'!G152)</x:f>
      </x:c>
      <x:c r="I1524" s="12" t="str">
        <x:f>IF('Design &amp; Insights'!H152="","",'Design &amp; Insights'!H152)</x:f>
      </x:c>
      <x:c r="J1524" s="12" t="n">
        <x:f>IF('Design &amp; Insights'!I152="","",'Design &amp; Insights'!I152)</x:f>
        <x:v>46203</x:v>
      </x:c>
      <x:c r="K1524" s="12" t="str">
        <x:f>IF('Design &amp; Insights'!J152="","",'Design &amp; Insights'!J152)</x:f>
      </x:c>
      <x:c r="L1524" s="2" t="str">
        <x:f>IF('Design &amp; Insights'!K152="","",'Design &amp; Insights'!K152)</x:f>
      </x:c>
      <x:c r="M1524" s="2" t="n">
        <x:f>'Design &amp; Insights'!Q152</x:f>
        <x:v>1</x:v>
      </x:c>
      <x:c r="N1524" s="2" t="str">
        <x:f>'Design &amp; Insights'!L152</x:f>
        <x:v>Not started</x:v>
      </x:c>
      <x:c r="O1524" s="2" t="str">
        <x:f>'Design &amp; Insights'!N152</x:f>
        <x:v>DI.AU.1.3.2026.CY2</x:v>
      </x:c>
      <x:c r="P1524" s="2" t="n">
        <x:f>'Design &amp; Insights'!O152</x:f>
        <x:v>0</x:v>
      </x:c>
      <x:c r="Q1524" s="2" t="n">
        <x:f>SUBTOTAL(103,O1524)</x:f>
        <x:v>1</x:v>
      </x:c>
      <x:c r="R1524" s="2" t="n">
        <x:f>IF(AND(M1524=1,OR(Dashboard!$B$7="All",Dashboard!$B$7='Cycles &amp; Guide'!$C$5),OR(Dashboard!$D$7="All",Dashboard!$D$7=B1524),OR(Dashboard!$F$7="All",Dashboard!$F$7=C1524),OR(Dashboard!$H$7="All",Dashboard!$H$7=D1524),OR(Dashboard!$K$7="All",Dashboard!$K$7=E1524)),1,0)</x:f>
        <x:v>1</x:v>
      </x:c>
      <x:c r="S1524" s="2" t="n">
        <x:f>IF(R1524=1,SUM($R$10:R1524),0)</x:f>
        <x:v>1151</x:v>
      </x:c>
      <x:c r="T1524" s="2" t="str">
        <x:v>Design &amp; Insights</x:v>
      </x:c>
      <x:c r="U1524" s="2" t="n">
        <x:v>152</x:v>
      </x:c>
      <x:c r="V1524" s="2" t="n">
        <x:f>IF(AND(M1524=1,P1524=0,ISNUMBER(J1524),J1524&lt;TODAY()),1,0)</x:f>
        <x:v>1</x:v>
      </x:c>
      <x:c r="W1524" s="2" t="str">
        <x:f>'Design &amp; Insights'!M152</x:f>
        <x:v>Task</x:v>
      </x:c>
    </x:row>
    <x:row r="1525" ht="40" customHeight="1">
      <x:c r="A1525" s="3" t="str">
        <x:f>HYPERLINK("#'Design &amp; Insights'!A153","Open")</x:f>
        <x:v>Open</x:v>
      </x:c>
      <x:c r="B1525" s="2" t="str">
        <x:f>'Design &amp; Insights'!B153</x:f>
        <x:v>Cycle 2</x:v>
      </x:c>
      <x:c r="C1525" s="2" t="str">
        <x:f>'Design &amp; Insights'!C153</x:f>
        <x:v>Phase 1</x:v>
      </x:c>
      <x:c r="D1525" s="2" t="str">
        <x:f>'Design &amp; Insights'!D153</x:f>
        <x:v>Auto</x:v>
      </x:c>
      <x:c r="E1525" s="2" t="str">
        <x:v>Design &amp; Insights</x:v>
      </x:c>
      <x:c r="F1525" s="56" t="str">
        <x:f>'Design &amp; Insights'!E153</x:f>
        <x:v>DI.AU.1.4</x:v>
      </x:c>
      <x:c r="G1525" s="14" t="str">
        <x:f>'Design &amp; Insights'!F153</x:f>
        <x:v>Meet with Research to discuss which topic to select based on potential impact</x:v>
      </x:c>
      <x:c r="H1525" s="2" t="str">
        <x:f>IF('Design &amp; Insights'!G153="","",'Design &amp; Insights'!G153)</x:f>
      </x:c>
      <x:c r="I1525" s="12" t="str">
        <x:f>IF('Design &amp; Insights'!H153="","",'Design &amp; Insights'!H153)</x:f>
      </x:c>
      <x:c r="J1525" s="12" t="n">
        <x:f>IF('Design &amp; Insights'!I153="","",'Design &amp; Insights'!I153)</x:f>
        <x:v>46203</x:v>
      </x:c>
      <x:c r="K1525" s="12" t="str">
        <x:f>IF('Design &amp; Insights'!J153="","",'Design &amp; Insights'!J153)</x:f>
      </x:c>
      <x:c r="L1525" s="2" t="str">
        <x:f>IF('Design &amp; Insights'!K153="","",'Design &amp; Insights'!K153)</x:f>
      </x:c>
      <x:c r="M1525" s="2" t="n">
        <x:f>'Design &amp; Insights'!Q153</x:f>
        <x:v>1</x:v>
      </x:c>
      <x:c r="N1525" s="2" t="str">
        <x:f>'Design &amp; Insights'!L153</x:f>
        <x:v>Not started</x:v>
      </x:c>
      <x:c r="O1525" s="2" t="str">
        <x:f>'Design &amp; Insights'!N153</x:f>
        <x:v>DI.AU.1.4.2026.CY2</x:v>
      </x:c>
      <x:c r="P1525" s="2" t="n">
        <x:f>'Design &amp; Insights'!O153</x:f>
        <x:v>0</x:v>
      </x:c>
      <x:c r="Q1525" s="2" t="n">
        <x:f>SUBTOTAL(103,O1525)</x:f>
        <x:v>1</x:v>
      </x:c>
      <x:c r="R1525" s="2" t="n">
        <x:f>IF(AND(M1525=1,OR(Dashboard!$B$7="All",Dashboard!$B$7='Cycles &amp; Guide'!$C$5),OR(Dashboard!$D$7="All",Dashboard!$D$7=B1525),OR(Dashboard!$F$7="All",Dashboard!$F$7=C1525),OR(Dashboard!$H$7="All",Dashboard!$H$7=D1525),OR(Dashboard!$K$7="All",Dashboard!$K$7=E1525)),1,0)</x:f>
        <x:v>1</x:v>
      </x:c>
      <x:c r="S1525" s="2" t="n">
        <x:f>IF(R1525=1,SUM($R$10:R1525),0)</x:f>
        <x:v>1152</x:v>
      </x:c>
      <x:c r="T1525" s="2" t="str">
        <x:v>Design &amp; Insights</x:v>
      </x:c>
      <x:c r="U1525" s="2" t="n">
        <x:v>153</x:v>
      </x:c>
      <x:c r="V1525" s="2" t="n">
        <x:f>IF(AND(M1525=1,P1525=0,ISNUMBER(J1525),J1525&lt;TODAY()),1,0)</x:f>
        <x:v>1</x:v>
      </x:c>
      <x:c r="W1525" s="2" t="str">
        <x:f>'Design &amp; Insights'!M153</x:f>
        <x:v>Task</x:v>
      </x:c>
    </x:row>
    <x:row r="1526" ht="40" customHeight="1">
      <x:c r="A1526" s="3" t="str">
        <x:f>HYPERLINK("#'Design &amp; Insights'!A154","Open")</x:f>
        <x:v>Open</x:v>
      </x:c>
      <x:c r="B1526" s="2" t="str">
        <x:f>'Design &amp; Insights'!B154</x:f>
        <x:v>Cycle 2</x:v>
      </x:c>
      <x:c r="C1526" s="2" t="str">
        <x:f>'Design &amp; Insights'!C154</x:f>
        <x:v>Phase 1</x:v>
      </x:c>
      <x:c r="D1526" s="2" t="str">
        <x:f>'Design &amp; Insights'!D154</x:f>
        <x:v>Auto</x:v>
      </x:c>
      <x:c r="E1526" s="2" t="str">
        <x:v>Design &amp; Insights</x:v>
      </x:c>
      <x:c r="F1526" s="56" t="str">
        <x:f>'Design &amp; Insights'!E154</x:f>
        <x:v>DI.AU.1.5</x:v>
      </x:c>
      <x:c r="G1526" s="14" t="str">
        <x:f>'Design &amp; Insights'!F154</x:f>
        <x:v>Confirm with Research the recommended topic for approval</x:v>
      </x:c>
      <x:c r="H1526" s="2" t="str">
        <x:f>IF('Design &amp; Insights'!G154="","",'Design &amp; Insights'!G154)</x:f>
      </x:c>
      <x:c r="I1526" s="12" t="str">
        <x:f>IF('Design &amp; Insights'!H154="","",'Design &amp; Insights'!H154)</x:f>
      </x:c>
      <x:c r="J1526" s="12" t="n">
        <x:f>IF('Design &amp; Insights'!I154="","",'Design &amp; Insights'!I154)</x:f>
        <x:v>46203</x:v>
      </x:c>
      <x:c r="K1526" s="12" t="str">
        <x:f>IF('Design &amp; Insights'!J154="","",'Design &amp; Insights'!J154)</x:f>
      </x:c>
      <x:c r="L1526" s="2" t="str">
        <x:f>IF('Design &amp; Insights'!K154="","",'Design &amp; Insights'!K154)</x:f>
      </x:c>
      <x:c r="M1526" s="2" t="n">
        <x:f>'Design &amp; Insights'!Q154</x:f>
        <x:v>1</x:v>
      </x:c>
      <x:c r="N1526" s="2" t="str">
        <x:f>'Design &amp; Insights'!L154</x:f>
        <x:v>Not started</x:v>
      </x:c>
      <x:c r="O1526" s="2" t="str">
        <x:f>'Design &amp; Insights'!N154</x:f>
        <x:v>DI.AU.1.5.2026.CY2</x:v>
      </x:c>
      <x:c r="P1526" s="2" t="n">
        <x:f>'Design &amp; Insights'!O154</x:f>
        <x:v>0</x:v>
      </x:c>
      <x:c r="Q1526" s="2" t="n">
        <x:f>SUBTOTAL(103,O1526)</x:f>
        <x:v>1</x:v>
      </x:c>
      <x:c r="R1526" s="2" t="n">
        <x:f>IF(AND(M1526=1,OR(Dashboard!$B$7="All",Dashboard!$B$7='Cycles &amp; Guide'!$C$5),OR(Dashboard!$D$7="All",Dashboard!$D$7=B1526),OR(Dashboard!$F$7="All",Dashboard!$F$7=C1526),OR(Dashboard!$H$7="All",Dashboard!$H$7=D1526),OR(Dashboard!$K$7="All",Dashboard!$K$7=E1526)),1,0)</x:f>
        <x:v>1</x:v>
      </x:c>
      <x:c r="S1526" s="2" t="n">
        <x:f>IF(R1526=1,SUM($R$10:R1526),0)</x:f>
        <x:v>1153</x:v>
      </x:c>
      <x:c r="T1526" s="2" t="str">
        <x:v>Design &amp; Insights</x:v>
      </x:c>
      <x:c r="U1526" s="2" t="n">
        <x:v>154</x:v>
      </x:c>
      <x:c r="V1526" s="2" t="n">
        <x:f>IF(AND(M1526=1,P1526=0,ISNUMBER(J1526),J1526&lt;TODAY()),1,0)</x:f>
        <x:v>1</x:v>
      </x:c>
      <x:c r="W1526" s="2" t="str">
        <x:f>'Design &amp; Insights'!M154</x:f>
        <x:v>Task</x:v>
      </x:c>
    </x:row>
    <x:row r="1527" ht="40" customHeight="1">
      <x:c r="A1527" s="3" t="str">
        <x:f>HYPERLINK("#'Design &amp; Insights'!A155","Open")</x:f>
        <x:v>Open</x:v>
      </x:c>
      <x:c r="B1527" s="2" t="str">
        <x:f>'Design &amp; Insights'!B155</x:f>
        <x:v>Cycle 2</x:v>
      </x:c>
      <x:c r="C1527" s="2" t="str">
        <x:f>'Design &amp; Insights'!C155</x:f>
        <x:v>Phase 1</x:v>
      </x:c>
      <x:c r="D1527" s="2" t="str">
        <x:f>'Design &amp; Insights'!D155</x:f>
        <x:v>Auto</x:v>
      </x:c>
      <x:c r="E1527" s="2" t="str">
        <x:v>Design &amp; Insights</x:v>
      </x:c>
      <x:c r="F1527" s="56" t="str">
        <x:f>'Design &amp; Insights'!E155</x:f>
        <x:v>DI.AU.1.6</x:v>
      </x:c>
      <x:c r="G1527" s="14" t="str">
        <x:f>'Design &amp; Insights'!F155</x:f>
        <x:v>Send topic selection socialization email to all key stakeholders on the first day of the review Cycle</x:v>
      </x:c>
      <x:c r="H1527" s="2" t="str">
        <x:f>IF('Design &amp; Insights'!G155="","",'Design &amp; Insights'!G155)</x:f>
      </x:c>
      <x:c r="I1527" s="12" t="str">
        <x:f>IF('Design &amp; Insights'!H155="","",'Design &amp; Insights'!H155)</x:f>
      </x:c>
      <x:c r="J1527" s="12" t="n">
        <x:f>IF('Design &amp; Insights'!I155="","",'Design &amp; Insights'!I155)</x:f>
        <x:v>46113</x:v>
      </x:c>
      <x:c r="K1527" s="12" t="str">
        <x:f>IF('Design &amp; Insights'!J155="","",'Design &amp; Insights'!J155)</x:f>
      </x:c>
      <x:c r="L1527" s="2" t="str">
        <x:f>IF('Design &amp; Insights'!K155="","",'Design &amp; Insights'!K155)</x:f>
      </x:c>
      <x:c r="M1527" s="2" t="n">
        <x:f>'Design &amp; Insights'!Q155</x:f>
        <x:v>1</x:v>
      </x:c>
      <x:c r="N1527" s="2" t="str">
        <x:f>'Design &amp; Insights'!L155</x:f>
        <x:v>Not started</x:v>
      </x:c>
      <x:c r="O1527" s="2" t="str">
        <x:f>'Design &amp; Insights'!N155</x:f>
        <x:v>DI.AU.1.6.2026.CY2</x:v>
      </x:c>
      <x:c r="P1527" s="2" t="n">
        <x:f>'Design &amp; Insights'!O155</x:f>
        <x:v>0</x:v>
      </x:c>
      <x:c r="Q1527" s="2" t="n">
        <x:f>SUBTOTAL(103,O1527)</x:f>
        <x:v>1</x:v>
      </x:c>
      <x:c r="R1527" s="2" t="n">
        <x:f>IF(AND(M1527=1,OR(Dashboard!$B$7="All",Dashboard!$B$7='Cycles &amp; Guide'!$C$5),OR(Dashboard!$D$7="All",Dashboard!$D$7=B1527),OR(Dashboard!$F$7="All",Dashboard!$F$7=C1527),OR(Dashboard!$H$7="All",Dashboard!$H$7=D1527),OR(Dashboard!$K$7="All",Dashboard!$K$7=E1527)),1,0)</x:f>
        <x:v>1</x:v>
      </x:c>
      <x:c r="S1527" s="2" t="n">
        <x:f>IF(R1527=1,SUM($R$10:R1527),0)</x:f>
        <x:v>1154</x:v>
      </x:c>
      <x:c r="T1527" s="2" t="str">
        <x:v>Design &amp; Insights</x:v>
      </x:c>
      <x:c r="U1527" s="2" t="n">
        <x:v>155</x:v>
      </x:c>
      <x:c r="V1527" s="2" t="n">
        <x:f>IF(AND(M1527=1,P1527=0,ISNUMBER(J1527),J1527&lt;TODAY()),1,0)</x:f>
        <x:v>1</x:v>
      </x:c>
      <x:c r="W1527" s="2" t="str">
        <x:f>'Design &amp; Insights'!M155</x:f>
        <x:v>Task</x:v>
      </x:c>
    </x:row>
    <x:row r="1528" ht="40" customHeight="1">
      <x:c r="A1528" s="3" t="str">
        <x:f>HYPERLINK("#'Design &amp; Insights'!A156","Open")</x:f>
        <x:v>Open</x:v>
      </x:c>
      <x:c r="B1528" s="2" t="str">
        <x:f>'Design &amp; Insights'!B156</x:f>
        <x:v>Cycle 2</x:v>
      </x:c>
      <x:c r="C1528" s="2" t="str">
        <x:f>'Design &amp; Insights'!C156</x:f>
        <x:v>Phase 2</x:v>
      </x:c>
      <x:c r="D1528" s="2" t="str">
        <x:f>'Design &amp; Insights'!D156</x:f>
        <x:v>Auto</x:v>
      </x:c>
      <x:c r="E1528" s="2" t="str">
        <x:v>Design &amp; Insights</x:v>
      </x:c>
      <x:c r="F1528" s="56" t="str">
        <x:f>'Design &amp; Insights'!E156</x:f>
        <x:v>DI.AU.2.1</x:v>
      </x:c>
      <x:c r="G1528" s="14" t="str">
        <x:f>'Design &amp; Insights'!F156</x:f>
        <x:v>Meet regularly with Research to stay informed on progress, findings, and potential enhancement</x:v>
      </x:c>
      <x:c r="H1528" s="2" t="str">
        <x:f>IF('Design &amp; Insights'!G156="","",'Design &amp; Insights'!G156)</x:f>
      </x:c>
      <x:c r="I1528" s="12" t="str">
        <x:f>IF('Design &amp; Insights'!H156="","",'Design &amp; Insights'!H156)</x:f>
      </x:c>
      <x:c r="J1528" s="12" t="n">
        <x:f>IF('Design &amp; Insights'!I156="","",'Design &amp; Insights'!I156)</x:f>
        <x:v>46203</x:v>
      </x:c>
      <x:c r="K1528" s="12" t="str">
        <x:f>IF('Design &amp; Insights'!J156="","",'Design &amp; Insights'!J156)</x:f>
      </x:c>
      <x:c r="L1528" s="2" t="str">
        <x:f>IF('Design &amp; Insights'!K156="","",'Design &amp; Insights'!K156)</x:f>
      </x:c>
      <x:c r="M1528" s="2" t="n">
        <x:f>'Design &amp; Insights'!Q156</x:f>
        <x:v>1</x:v>
      </x:c>
      <x:c r="N1528" s="2" t="str">
        <x:f>'Design &amp; Insights'!L156</x:f>
        <x:v>Not started</x:v>
      </x:c>
      <x:c r="O1528" s="2" t="str">
        <x:f>'Design &amp; Insights'!N156</x:f>
        <x:v>DI.AU.2.1.2026.CY2</x:v>
      </x:c>
      <x:c r="P1528" s="2" t="n">
        <x:f>'Design &amp; Insights'!O156</x:f>
        <x:v>0</x:v>
      </x:c>
      <x:c r="Q1528" s="2" t="n">
        <x:f>SUBTOTAL(103,O1528)</x:f>
        <x:v>1</x:v>
      </x:c>
      <x:c r="R1528" s="2" t="n">
        <x:f>IF(AND(M1528=1,OR(Dashboard!$B$7="All",Dashboard!$B$7='Cycles &amp; Guide'!$C$5),OR(Dashboard!$D$7="All",Dashboard!$D$7=B1528),OR(Dashboard!$F$7="All",Dashboard!$F$7=C1528),OR(Dashboard!$H$7="All",Dashboard!$H$7=D1528),OR(Dashboard!$K$7="All",Dashboard!$K$7=E1528)),1,0)</x:f>
        <x:v>1</x:v>
      </x:c>
      <x:c r="S1528" s="2" t="n">
        <x:f>IF(R1528=1,SUM($R$10:R1528),0)</x:f>
        <x:v>1155</x:v>
      </x:c>
      <x:c r="T1528" s="2" t="str">
        <x:v>Design &amp; Insights</x:v>
      </x:c>
      <x:c r="U1528" s="2" t="n">
        <x:v>156</x:v>
      </x:c>
      <x:c r="V1528" s="2" t="n">
        <x:f>IF(AND(M1528=1,P1528=0,ISNUMBER(J1528),J1528&lt;TODAY()),1,0)</x:f>
        <x:v>1</x:v>
      </x:c>
      <x:c r="W1528" s="2" t="str">
        <x:f>'Design &amp; Insights'!M156</x:f>
        <x:v>Task</x:v>
      </x:c>
    </x:row>
    <x:row r="1529" ht="40" customHeight="1">
      <x:c r="A1529" s="3" t="str">
        <x:f>HYPERLINK("#'Design &amp; Insights'!A157","Open")</x:f>
        <x:v>Open</x:v>
      </x:c>
      <x:c r="B1529" s="2" t="str">
        <x:f>'Design &amp; Insights'!B157</x:f>
        <x:v>Cycle 2</x:v>
      </x:c>
      <x:c r="C1529" s="2" t="str">
        <x:f>'Design &amp; Insights'!C157</x:f>
        <x:v>Phase 2</x:v>
      </x:c>
      <x:c r="D1529" s="2" t="str">
        <x:f>'Design &amp; Insights'!D157</x:f>
        <x:v>Auto</x:v>
      </x:c>
      <x:c r="E1529" s="2" t="str">
        <x:v>Design &amp; Insights</x:v>
      </x:c>
      <x:c r="F1529" s="56" t="str">
        <x:f>'Design &amp; Insights'!E157</x:f>
        <x:v>DI.AU.2.2</x:v>
      </x:c>
      <x:c r="G1529" s="14" t="str">
        <x:f>'Design &amp; Insights'!F157</x:f>
        <x:v>Collaborate with Research on research plan specifics</x:v>
      </x:c>
      <x:c r="H1529" s="2" t="str">
        <x:f>IF('Design &amp; Insights'!G157="","",'Design &amp; Insights'!G157)</x:f>
      </x:c>
      <x:c r="I1529" s="12" t="str">
        <x:f>IF('Design &amp; Insights'!H157="","",'Design &amp; Insights'!H157)</x:f>
      </x:c>
      <x:c r="J1529" s="12" t="n">
        <x:f>IF('Design &amp; Insights'!I157="","",'Design &amp; Insights'!I157)</x:f>
        <x:v>46203</x:v>
      </x:c>
      <x:c r="K1529" s="12" t="str">
        <x:f>IF('Design &amp; Insights'!J157="","",'Design &amp; Insights'!J157)</x:f>
      </x:c>
      <x:c r="L1529" s="2" t="str">
        <x:f>IF('Design &amp; Insights'!K157="","",'Design &amp; Insights'!K157)</x:f>
      </x:c>
      <x:c r="M1529" s="2" t="n">
        <x:f>'Design &amp; Insights'!Q157</x:f>
        <x:v>1</x:v>
      </x:c>
      <x:c r="N1529" s="2" t="str">
        <x:f>'Design &amp; Insights'!L157</x:f>
        <x:v>Not started</x:v>
      </x:c>
      <x:c r="O1529" s="2" t="str">
        <x:f>'Design &amp; Insights'!N157</x:f>
        <x:v>DI.AU.2.2.2026.CY2</x:v>
      </x:c>
      <x:c r="P1529" s="2" t="n">
        <x:f>'Design &amp; Insights'!O157</x:f>
        <x:v>0</x:v>
      </x:c>
      <x:c r="Q1529" s="2" t="n">
        <x:f>SUBTOTAL(103,O1529)</x:f>
        <x:v>1</x:v>
      </x:c>
      <x:c r="R1529" s="2" t="n">
        <x:f>IF(AND(M1529=1,OR(Dashboard!$B$7="All",Dashboard!$B$7='Cycles &amp; Guide'!$C$5),OR(Dashboard!$D$7="All",Dashboard!$D$7=B1529),OR(Dashboard!$F$7="All",Dashboard!$F$7=C1529),OR(Dashboard!$H$7="All",Dashboard!$H$7=D1529),OR(Dashboard!$K$7="All",Dashboard!$K$7=E1529)),1,0)</x:f>
        <x:v>1</x:v>
      </x:c>
      <x:c r="S1529" s="2" t="n">
        <x:f>IF(R1529=1,SUM($R$10:R1529),0)</x:f>
        <x:v>1156</x:v>
      </x:c>
      <x:c r="T1529" s="2" t="str">
        <x:v>Design &amp; Insights</x:v>
      </x:c>
      <x:c r="U1529" s="2" t="n">
        <x:v>157</x:v>
      </x:c>
      <x:c r="V1529" s="2" t="n">
        <x:f>IF(AND(M1529=1,P1529=0,ISNUMBER(J1529),J1529&lt;TODAY()),1,0)</x:f>
        <x:v>1</x:v>
      </x:c>
      <x:c r="W1529" s="2" t="str">
        <x:f>'Design &amp; Insights'!M157</x:f>
        <x:v>Task</x:v>
      </x:c>
    </x:row>
    <x:row r="1530" ht="40" customHeight="1">
      <x:c r="A1530" s="3" t="str">
        <x:f>HYPERLINK("#'Design &amp; Insights'!A158","Open")</x:f>
        <x:v>Open</x:v>
      </x:c>
      <x:c r="B1530" s="2" t="str">
        <x:f>'Design &amp; Insights'!B158</x:f>
        <x:v>Cycle 2</x:v>
      </x:c>
      <x:c r="C1530" s="2" t="str">
        <x:f>'Design &amp; Insights'!C158</x:f>
        <x:v>Phase 2</x:v>
      </x:c>
      <x:c r="D1530" s="2" t="str">
        <x:f>'Design &amp; Insights'!D158</x:f>
        <x:v>Auto</x:v>
      </x:c>
      <x:c r="E1530" s="2" t="str">
        <x:v>Design &amp; Insights</x:v>
      </x:c>
      <x:c r="F1530" s="56" t="str">
        <x:f>'Design &amp; Insights'!E158</x:f>
        <x:v>DI.AU.2.3</x:v>
      </x:c>
      <x:c r="G1530" s="14" t="str">
        <x:f>'Design &amp; Insights'!F158</x:f>
        <x:v>Participate in SME insight meetings to gain perspective and appetite on potential enhancements</x:v>
      </x:c>
      <x:c r="H1530" s="2" t="str">
        <x:f>IF('Design &amp; Insights'!G158="","",'Design &amp; Insights'!G158)</x:f>
      </x:c>
      <x:c r="I1530" s="12" t="str">
        <x:f>IF('Design &amp; Insights'!H158="","",'Design &amp; Insights'!H158)</x:f>
      </x:c>
      <x:c r="J1530" s="12" t="n">
        <x:f>IF('Design &amp; Insights'!I158="","",'Design &amp; Insights'!I158)</x:f>
        <x:v>46203</x:v>
      </x:c>
      <x:c r="K1530" s="12" t="str">
        <x:f>IF('Design &amp; Insights'!J158="","",'Design &amp; Insights'!J158)</x:f>
      </x:c>
      <x:c r="L1530" s="2" t="str">
        <x:f>IF('Design &amp; Insights'!K158="","",'Design &amp; Insights'!K158)</x:f>
      </x:c>
      <x:c r="M1530" s="2" t="n">
        <x:f>'Design &amp; Insights'!Q158</x:f>
        <x:v>1</x:v>
      </x:c>
      <x:c r="N1530" s="2" t="str">
        <x:f>'Design &amp; Insights'!L158</x:f>
        <x:v>Not started</x:v>
      </x:c>
      <x:c r="O1530" s="2" t="str">
        <x:f>'Design &amp; Insights'!N158</x:f>
        <x:v>DI.AU.2.3.2026.CY2</x:v>
      </x:c>
      <x:c r="P1530" s="2" t="n">
        <x:f>'Design &amp; Insights'!O158</x:f>
        <x:v>0</x:v>
      </x:c>
      <x:c r="Q1530" s="2" t="n">
        <x:f>SUBTOTAL(103,O1530)</x:f>
        <x:v>1</x:v>
      </x:c>
      <x:c r="R1530" s="2" t="n">
        <x:f>IF(AND(M1530=1,OR(Dashboard!$B$7="All",Dashboard!$B$7='Cycles &amp; Guide'!$C$5),OR(Dashboard!$D$7="All",Dashboard!$D$7=B1530),OR(Dashboard!$F$7="All",Dashboard!$F$7=C1530),OR(Dashboard!$H$7="All",Dashboard!$H$7=D1530),OR(Dashboard!$K$7="All",Dashboard!$K$7=E1530)),1,0)</x:f>
        <x:v>1</x:v>
      </x:c>
      <x:c r="S1530" s="2" t="n">
        <x:f>IF(R1530=1,SUM($R$10:R1530),0)</x:f>
        <x:v>1157</x:v>
      </x:c>
      <x:c r="T1530" s="2" t="str">
        <x:v>Design &amp; Insights</x:v>
      </x:c>
      <x:c r="U1530" s="2" t="n">
        <x:v>158</x:v>
      </x:c>
      <x:c r="V1530" s="2" t="n">
        <x:f>IF(AND(M1530=1,P1530=0,ISNUMBER(J1530),J1530&lt;TODAY()),1,0)</x:f>
        <x:v>1</x:v>
      </x:c>
      <x:c r="W1530" s="2" t="str">
        <x:f>'Design &amp; Insights'!M158</x:f>
        <x:v>Task</x:v>
      </x:c>
    </x:row>
    <x:row r="1531" ht="40" customHeight="1">
      <x:c r="A1531" s="3" t="str">
        <x:f>HYPERLINK("#'Design &amp; Insights'!A159","Open")</x:f>
        <x:v>Open</x:v>
      </x:c>
      <x:c r="B1531" s="2" t="str">
        <x:f>'Design &amp; Insights'!B159</x:f>
        <x:v>Cycle 2</x:v>
      </x:c>
      <x:c r="C1531" s="2" t="str">
        <x:f>'Design &amp; Insights'!C159</x:f>
        <x:v>Phase 2</x:v>
      </x:c>
      <x:c r="D1531" s="2" t="str">
        <x:f>'Design &amp; Insights'!D159</x:f>
        <x:v>Auto</x:v>
      </x:c>
      <x:c r="E1531" s="2" t="str">
        <x:v>Design &amp; Insights</x:v>
      </x:c>
      <x:c r="F1531" s="56" t="str">
        <x:f>'Design &amp; Insights'!E159</x:f>
        <x:v>DI.AU.2.4</x:v>
      </x:c>
      <x:c r="G1531" s="14" t="str">
        <x:f>'Design &amp; Insights'!F159</x:f>
        <x:v>Begin development of presentation materials as Research is being completed</x:v>
      </x:c>
      <x:c r="H1531" s="2" t="str">
        <x:f>IF('Design &amp; Insights'!G159="","",'Design &amp; Insights'!G159)</x:f>
      </x:c>
      <x:c r="I1531" s="12" t="str">
        <x:f>IF('Design &amp; Insights'!H159="","",'Design &amp; Insights'!H159)</x:f>
      </x:c>
      <x:c r="J1531" s="12" t="n">
        <x:f>IF('Design &amp; Insights'!I159="","",'Design &amp; Insights'!I159)</x:f>
        <x:v>46203</x:v>
      </x:c>
      <x:c r="K1531" s="12" t="str">
        <x:f>IF('Design &amp; Insights'!J159="","",'Design &amp; Insights'!J159)</x:f>
      </x:c>
      <x:c r="L1531" s="2" t="str">
        <x:f>IF('Design &amp; Insights'!K159="","",'Design &amp; Insights'!K159)</x:f>
      </x:c>
      <x:c r="M1531" s="2" t="n">
        <x:f>'Design &amp; Insights'!Q159</x:f>
        <x:v>1</x:v>
      </x:c>
      <x:c r="N1531" s="2" t="str">
        <x:f>'Design &amp; Insights'!L159</x:f>
        <x:v>Not started</x:v>
      </x:c>
      <x:c r="O1531" s="2" t="str">
        <x:f>'Design &amp; Insights'!N159</x:f>
        <x:v>DI.AU.2.4.2026.CY2</x:v>
      </x:c>
      <x:c r="P1531" s="2" t="n">
        <x:f>'Design &amp; Insights'!O159</x:f>
        <x:v>0</x:v>
      </x:c>
      <x:c r="Q1531" s="2" t="n">
        <x:f>SUBTOTAL(103,O1531)</x:f>
        <x:v>1</x:v>
      </x:c>
      <x:c r="R1531" s="2" t="n">
        <x:f>IF(AND(M1531=1,OR(Dashboard!$B$7="All",Dashboard!$B$7='Cycles &amp; Guide'!$C$5),OR(Dashboard!$D$7="All",Dashboard!$D$7=B1531),OR(Dashboard!$F$7="All",Dashboard!$F$7=C1531),OR(Dashboard!$H$7="All",Dashboard!$H$7=D1531),OR(Dashboard!$K$7="All",Dashboard!$K$7=E1531)),1,0)</x:f>
        <x:v>1</x:v>
      </x:c>
      <x:c r="S1531" s="2" t="n">
        <x:f>IF(R1531=1,SUM($R$10:R1531),0)</x:f>
        <x:v>1158</x:v>
      </x:c>
      <x:c r="T1531" s="2" t="str">
        <x:v>Design &amp; Insights</x:v>
      </x:c>
      <x:c r="U1531" s="2" t="n">
        <x:v>159</x:v>
      </x:c>
      <x:c r="V1531" s="2" t="n">
        <x:f>IF(AND(M1531=1,P1531=0,ISNUMBER(J1531),J1531&lt;TODAY()),1,0)</x:f>
        <x:v>1</x:v>
      </x:c>
      <x:c r="W1531" s="2" t="str">
        <x:f>'Design &amp; Insights'!M159</x:f>
        <x:v>Task</x:v>
      </x:c>
    </x:row>
    <x:row r="1532" ht="40" customHeight="1">
      <x:c r="A1532" s="3" t="str">
        <x:f>HYPERLINK("#'Design &amp; Insights'!A160","Open")</x:f>
        <x:v>Open</x:v>
      </x:c>
      <x:c r="B1532" s="2" t="str">
        <x:f>'Design &amp; Insights'!B160</x:f>
        <x:v>Cycle 2</x:v>
      </x:c>
      <x:c r="C1532" s="2" t="str">
        <x:f>'Design &amp; Insights'!C160</x:f>
        <x:v>Phase 2</x:v>
      </x:c>
      <x:c r="D1532" s="2" t="str">
        <x:f>'Design &amp; Insights'!D160</x:f>
        <x:v>Auto</x:v>
      </x:c>
      <x:c r="E1532" s="2" t="str">
        <x:v>Design &amp; Insights</x:v>
      </x:c>
      <x:c r="F1532" s="56" t="str">
        <x:f>'Design &amp; Insights'!E160</x:f>
        <x:v>DI.AU.2.5</x:v>
      </x:c>
      <x:c r="G1532" s="14" t="str">
        <x:f>'Design &amp; Insights'!F160</x:f>
        <x:v>Draft initial enhancement recommendations (as applicable)</x:v>
      </x:c>
      <x:c r="H1532" s="2" t="str">
        <x:f>IF('Design &amp; Insights'!G160="","",'Design &amp; Insights'!G160)</x:f>
      </x:c>
      <x:c r="I1532" s="12" t="str">
        <x:f>IF('Design &amp; Insights'!H160="","",'Design &amp; Insights'!H160)</x:f>
      </x:c>
      <x:c r="J1532" s="12" t="n">
        <x:f>IF('Design &amp; Insights'!I160="","",'Design &amp; Insights'!I160)</x:f>
        <x:v>46203</x:v>
      </x:c>
      <x:c r="K1532" s="12" t="str">
        <x:f>IF('Design &amp; Insights'!J160="","",'Design &amp; Insights'!J160)</x:f>
      </x:c>
      <x:c r="L1532" s="2" t="str">
        <x:f>IF('Design &amp; Insights'!K160="","",'Design &amp; Insights'!K160)</x:f>
      </x:c>
      <x:c r="M1532" s="2" t="n">
        <x:f>'Design &amp; Insights'!Q160</x:f>
        <x:v>1</x:v>
      </x:c>
      <x:c r="N1532" s="2" t="str">
        <x:f>'Design &amp; Insights'!L160</x:f>
        <x:v>Not started</x:v>
      </x:c>
      <x:c r="O1532" s="2" t="str">
        <x:f>'Design &amp; Insights'!N160</x:f>
        <x:v>DI.AU.2.5.2026.CY2</x:v>
      </x:c>
      <x:c r="P1532" s="2" t="n">
        <x:f>'Design &amp; Insights'!O160</x:f>
        <x:v>0</x:v>
      </x:c>
      <x:c r="Q1532" s="2" t="n">
        <x:f>SUBTOTAL(103,O1532)</x:f>
        <x:v>1</x:v>
      </x:c>
      <x:c r="R1532" s="2" t="n">
        <x:f>IF(AND(M1532=1,OR(Dashboard!$B$7="All",Dashboard!$B$7='Cycles &amp; Guide'!$C$5),OR(Dashboard!$D$7="All",Dashboard!$D$7=B1532),OR(Dashboard!$F$7="All",Dashboard!$F$7=C1532),OR(Dashboard!$H$7="All",Dashboard!$H$7=D1532),OR(Dashboard!$K$7="All",Dashboard!$K$7=E1532)),1,0)</x:f>
        <x:v>1</x:v>
      </x:c>
      <x:c r="S1532" s="2" t="n">
        <x:f>IF(R1532=1,SUM($R$10:R1532),0)</x:f>
        <x:v>1159</x:v>
      </x:c>
      <x:c r="T1532" s="2" t="str">
        <x:v>Design &amp; Insights</x:v>
      </x:c>
      <x:c r="U1532" s="2" t="n">
        <x:v>160</x:v>
      </x:c>
      <x:c r="V1532" s="2" t="n">
        <x:f>IF(AND(M1532=1,P1532=0,ISNUMBER(J1532),J1532&lt;TODAY()),1,0)</x:f>
        <x:v>1</x:v>
      </x:c>
      <x:c r="W1532" s="2" t="str">
        <x:f>'Design &amp; Insights'!M160</x:f>
        <x:v>Task</x:v>
      </x:c>
    </x:row>
    <x:row r="1533" ht="40" customHeight="1">
      <x:c r="A1533" s="3" t="str">
        <x:f>HYPERLINK("#'Design &amp; Insights'!A161","Open")</x:f>
        <x:v>Open</x:v>
      </x:c>
      <x:c r="B1533" s="2" t="str">
        <x:f>'Design &amp; Insights'!B161</x:f>
        <x:v>Cycle 2</x:v>
      </x:c>
      <x:c r="C1533" s="2" t="str">
        <x:f>'Design &amp; Insights'!C161</x:f>
        <x:v>Phase 2</x:v>
      </x:c>
      <x:c r="D1533" s="2" t="str">
        <x:f>'Design &amp; Insights'!D161</x:f>
        <x:v>Auto</x:v>
      </x:c>
      <x:c r="E1533" s="2" t="str">
        <x:v>Design &amp; Insights</x:v>
      </x:c>
      <x:c r="F1533" s="56" t="str">
        <x:f>'Design &amp; Insights'!E161</x:f>
        <x:v>DI.AU.2.6</x:v>
      </x:c>
      <x:c r="G1533" s="14" t="str">
        <x:f>'Design &amp; Insights'!F161</x:f>
        <x:v>Finalize presentation deck draft at conclusion of Research phase</x:v>
      </x:c>
      <x:c r="H1533" s="2" t="str">
        <x:f>IF('Design &amp; Insights'!G161="","",'Design &amp; Insights'!G161)</x:f>
      </x:c>
      <x:c r="I1533" s="12" t="str">
        <x:f>IF('Design &amp; Insights'!H161="","",'Design &amp; Insights'!H161)</x:f>
      </x:c>
      <x:c r="J1533" s="12" t="n">
        <x:f>IF('Design &amp; Insights'!I161="","",'Design &amp; Insights'!I161)</x:f>
        <x:v>46203</x:v>
      </x:c>
      <x:c r="K1533" s="12" t="str">
        <x:f>IF('Design &amp; Insights'!J161="","",'Design &amp; Insights'!J161)</x:f>
      </x:c>
      <x:c r="L1533" s="2" t="str">
        <x:f>IF('Design &amp; Insights'!K161="","",'Design &amp; Insights'!K161)</x:f>
      </x:c>
      <x:c r="M1533" s="2" t="n">
        <x:f>'Design &amp; Insights'!Q161</x:f>
        <x:v>1</x:v>
      </x:c>
      <x:c r="N1533" s="2" t="str">
        <x:f>'Design &amp; Insights'!L161</x:f>
        <x:v>Not started</x:v>
      </x:c>
      <x:c r="O1533" s="2" t="str">
        <x:f>'Design &amp; Insights'!N161</x:f>
        <x:v>DI.AU.2.6.2026.CY2</x:v>
      </x:c>
      <x:c r="P1533" s="2" t="n">
        <x:f>'Design &amp; Insights'!O161</x:f>
        <x:v>0</x:v>
      </x:c>
      <x:c r="Q1533" s="2" t="n">
        <x:f>SUBTOTAL(103,O1533)</x:f>
        <x:v>1</x:v>
      </x:c>
      <x:c r="R1533" s="2" t="n">
        <x:f>IF(AND(M1533=1,OR(Dashboard!$B$7="All",Dashboard!$B$7='Cycles &amp; Guide'!$C$5),OR(Dashboard!$D$7="All",Dashboard!$D$7=B1533),OR(Dashboard!$F$7="All",Dashboard!$F$7=C1533),OR(Dashboard!$H$7="All",Dashboard!$H$7=D1533),OR(Dashboard!$K$7="All",Dashboard!$K$7=E1533)),1,0)</x:f>
        <x:v>1</x:v>
      </x:c>
      <x:c r="S1533" s="2" t="n">
        <x:f>IF(R1533=1,SUM($R$10:R1533),0)</x:f>
        <x:v>1160</x:v>
      </x:c>
      <x:c r="T1533" s="2" t="str">
        <x:v>Design &amp; Insights</x:v>
      </x:c>
      <x:c r="U1533" s="2" t="n">
        <x:v>161</x:v>
      </x:c>
      <x:c r="V1533" s="2" t="n">
        <x:f>IF(AND(M1533=1,P1533=0,ISNUMBER(J1533),J1533&lt;TODAY()),1,0)</x:f>
        <x:v>1</x:v>
      </x:c>
      <x:c r="W1533" s="2" t="str">
        <x:f>'Design &amp; Insights'!M161</x:f>
        <x:v>Task</x:v>
      </x:c>
    </x:row>
    <x:row r="1534" ht="40" customHeight="1">
      <x:c r="A1534" s="3" t="str">
        <x:f>HYPERLINK("#'Design &amp; Insights'!A162","Open")</x:f>
        <x:v>Open</x:v>
      </x:c>
      <x:c r="B1534" s="2" t="str">
        <x:f>'Design &amp; Insights'!B162</x:f>
        <x:v>Cycle 2</x:v>
      </x:c>
      <x:c r="C1534" s="2" t="str">
        <x:f>'Design &amp; Insights'!C162</x:f>
        <x:v>Phase 2</x:v>
      </x:c>
      <x:c r="D1534" s="2" t="str">
        <x:f>'Design &amp; Insights'!D162</x:f>
        <x:v>Auto</x:v>
      </x:c>
      <x:c r="E1534" s="2" t="str">
        <x:v>Design &amp; Insights</x:v>
      </x:c>
      <x:c r="F1534" s="56" t="str">
        <x:f>'Design &amp; Insights'!E162</x:f>
        <x:v>DI.AU.2.7</x:v>
      </x:c>
      <x:c r="G1534" s="14" t="str">
        <x:f>'Design &amp; Insights'!F162</x:f>
        <x:v>Update Outcome portion of research plan with current enhancement verbiage (as needed)</x:v>
      </x:c>
      <x:c r="H1534" s="2" t="str">
        <x:f>IF('Design &amp; Insights'!G162="","",'Design &amp; Insights'!G162)</x:f>
      </x:c>
      <x:c r="I1534" s="12" t="str">
        <x:f>IF('Design &amp; Insights'!H162="","",'Design &amp; Insights'!H162)</x:f>
      </x:c>
      <x:c r="J1534" s="12" t="n">
        <x:f>IF('Design &amp; Insights'!I162="","",'Design &amp; Insights'!I162)</x:f>
        <x:v>46203</x:v>
      </x:c>
      <x:c r="K1534" s="12" t="str">
        <x:f>IF('Design &amp; Insights'!J162="","",'Design &amp; Insights'!J162)</x:f>
      </x:c>
      <x:c r="L1534" s="2" t="str">
        <x:f>IF('Design &amp; Insights'!K162="","",'Design &amp; Insights'!K162)</x:f>
      </x:c>
      <x:c r="M1534" s="2" t="n">
        <x:f>'Design &amp; Insights'!Q162</x:f>
        <x:v>1</x:v>
      </x:c>
      <x:c r="N1534" s="2" t="str">
        <x:f>'Design &amp; Insights'!L162</x:f>
        <x:v>Not started</x:v>
      </x:c>
      <x:c r="O1534" s="2" t="str">
        <x:f>'Design &amp; Insights'!N162</x:f>
        <x:v>DI.AU.2.7.2026.CY2</x:v>
      </x:c>
      <x:c r="P1534" s="2" t="n">
        <x:f>'Design &amp; Insights'!O162</x:f>
        <x:v>0</x:v>
      </x:c>
      <x:c r="Q1534" s="2" t="n">
        <x:f>SUBTOTAL(103,O1534)</x:f>
        <x:v>1</x:v>
      </x:c>
      <x:c r="R1534" s="2" t="n">
        <x:f>IF(AND(M1534=1,OR(Dashboard!$B$7="All",Dashboard!$B$7='Cycles &amp; Guide'!$C$5),OR(Dashboard!$D$7="All",Dashboard!$D$7=B1534),OR(Dashboard!$F$7="All",Dashboard!$F$7=C1534),OR(Dashboard!$H$7="All",Dashboard!$H$7=D1534),OR(Dashboard!$K$7="All",Dashboard!$K$7=E1534)),1,0)</x:f>
        <x:v>1</x:v>
      </x:c>
      <x:c r="S1534" s="2" t="n">
        <x:f>IF(R1534=1,SUM($R$10:R1534),0)</x:f>
        <x:v>1161</x:v>
      </x:c>
      <x:c r="T1534" s="2" t="str">
        <x:v>Design &amp; Insights</x:v>
      </x:c>
      <x:c r="U1534" s="2" t="n">
        <x:v>162</x:v>
      </x:c>
      <x:c r="V1534" s="2" t="n">
        <x:f>IF(AND(M1534=1,P1534=0,ISNUMBER(J1534),J1534&lt;TODAY()),1,0)</x:f>
        <x:v>1</x:v>
      </x:c>
      <x:c r="W1534" s="2" t="str">
        <x:f>'Design &amp; Insights'!M162</x:f>
        <x:v>Task</x:v>
      </x:c>
    </x:row>
    <x:row r="1535" ht="40" customHeight="1">
      <x:c r="A1535" s="3" t="str">
        <x:f>HYPERLINK("#'Design &amp; Insights'!A163","Open")</x:f>
        <x:v>Open</x:v>
      </x:c>
      <x:c r="B1535" s="2" t="str">
        <x:f>'Design &amp; Insights'!B163</x:f>
        <x:v>Cycle 2</x:v>
      </x:c>
      <x:c r="C1535" s="2" t="str">
        <x:f>'Design &amp; Insights'!C163</x:f>
        <x:v>Phase 3</x:v>
      </x:c>
      <x:c r="D1535" s="2" t="str">
        <x:f>'Design &amp; Insights'!D163</x:f>
        <x:v>Auto</x:v>
      </x:c>
      <x:c r="E1535" s="2" t="str">
        <x:v>Design &amp; Insights</x:v>
      </x:c>
      <x:c r="F1535" s="56" t="str">
        <x:f>'Design &amp; Insights'!E163</x:f>
        <x:v>DI.AU.3.1</x:v>
      </x:c>
      <x:c r="G1535" s="14" t="str">
        <x:f>'Design &amp; Insights'!F163</x:f>
        <x:v>Confirm list of required &amp; optional attendees for pre-socialization meeting</x:v>
      </x:c>
      <x:c r="H1535" s="2" t="str">
        <x:f>IF('Design &amp; Insights'!G163="","",'Design &amp; Insights'!G163)</x:f>
      </x:c>
      <x:c r="I1535" s="12" t="str">
        <x:f>IF('Design &amp; Insights'!H163="","",'Design &amp; Insights'!H163)</x:f>
      </x:c>
      <x:c r="J1535" s="12" t="n">
        <x:f>IF('Design &amp; Insights'!I163="","",'Design &amp; Insights'!I163)</x:f>
        <x:v>46203</x:v>
      </x:c>
      <x:c r="K1535" s="12" t="str">
        <x:f>IF('Design &amp; Insights'!J163="","",'Design &amp; Insights'!J163)</x:f>
      </x:c>
      <x:c r="L1535" s="2" t="str">
        <x:f>IF('Design &amp; Insights'!K163="","",'Design &amp; Insights'!K163)</x:f>
      </x:c>
      <x:c r="M1535" s="2" t="n">
        <x:f>'Design &amp; Insights'!Q163</x:f>
        <x:v>1</x:v>
      </x:c>
      <x:c r="N1535" s="2" t="str">
        <x:f>'Design &amp; Insights'!L163</x:f>
        <x:v>Not started</x:v>
      </x:c>
      <x:c r="O1535" s="2" t="str">
        <x:f>'Design &amp; Insights'!N163</x:f>
        <x:v>DI.AU.3.1.2026.CY2</x:v>
      </x:c>
      <x:c r="P1535" s="2" t="n">
        <x:f>'Design &amp; Insights'!O163</x:f>
        <x:v>0</x:v>
      </x:c>
      <x:c r="Q1535" s="2" t="n">
        <x:f>SUBTOTAL(103,O1535)</x:f>
        <x:v>1</x:v>
      </x:c>
      <x:c r="R1535" s="2" t="n">
        <x:f>IF(AND(M1535=1,OR(Dashboard!$B$7="All",Dashboard!$B$7='Cycles &amp; Guide'!$C$5),OR(Dashboard!$D$7="All",Dashboard!$D$7=B1535),OR(Dashboard!$F$7="All",Dashboard!$F$7=C1535),OR(Dashboard!$H$7="All",Dashboard!$H$7=D1535),OR(Dashboard!$K$7="All",Dashboard!$K$7=E1535)),1,0)</x:f>
        <x:v>1</x:v>
      </x:c>
      <x:c r="S1535" s="2" t="n">
        <x:f>IF(R1535=1,SUM($R$10:R1535),0)</x:f>
        <x:v>1162</x:v>
      </x:c>
      <x:c r="T1535" s="2" t="str">
        <x:v>Design &amp; Insights</x:v>
      </x:c>
      <x:c r="U1535" s="2" t="n">
        <x:v>163</x:v>
      </x:c>
      <x:c r="V1535" s="2" t="n">
        <x:f>IF(AND(M1535=1,P1535=0,ISNUMBER(J1535),J1535&lt;TODAY()),1,0)</x:f>
        <x:v>1</x:v>
      </x:c>
      <x:c r="W1535" s="2" t="str">
        <x:f>'Design &amp; Insights'!M163</x:f>
        <x:v>Task</x:v>
      </x:c>
    </x:row>
    <x:row r="1536" ht="40" customHeight="1">
      <x:c r="A1536" s="3" t="str">
        <x:f>HYPERLINK("#'Design &amp; Insights'!A164","Open")</x:f>
        <x:v>Open</x:v>
      </x:c>
      <x:c r="B1536" s="2" t="str">
        <x:f>'Design &amp; Insights'!B164</x:f>
        <x:v>Cycle 2</x:v>
      </x:c>
      <x:c r="C1536" s="2" t="str">
        <x:f>'Design &amp; Insights'!C164</x:f>
        <x:v>Phase 3</x:v>
      </x:c>
      <x:c r="D1536" s="2" t="str">
        <x:f>'Design &amp; Insights'!D164</x:f>
        <x:v>Auto</x:v>
      </x:c>
      <x:c r="E1536" s="2" t="str">
        <x:v>Design &amp; Insights</x:v>
      </x:c>
      <x:c r="F1536" s="56" t="str">
        <x:f>'Design &amp; Insights'!E164</x:f>
        <x:v>DI.AU.3.2</x:v>
      </x:c>
      <x:c r="G1536" s="14" t="str">
        <x:f>'Design &amp; Insights'!F164</x:f>
        <x:v>Schedule pre-socialization meeting 1 week prior to RCA Forum</x:v>
      </x:c>
      <x:c r="H1536" s="2" t="str">
        <x:f>IF('Design &amp; Insights'!G164="","",'Design &amp; Insights'!G164)</x:f>
      </x:c>
      <x:c r="I1536" s="12" t="str">
        <x:f>IF('Design &amp; Insights'!H164="","",'Design &amp; Insights'!H164)</x:f>
      </x:c>
      <x:c r="J1536" s="12" t="str">
        <x:f>IF('Design &amp; Insights'!I164="","",'Design &amp; Insights'!I164)</x:f>
      </x:c>
      <x:c r="K1536" s="12" t="str">
        <x:f>IF('Design &amp; Insights'!J164="","",'Design &amp; Insights'!J164)</x:f>
      </x:c>
      <x:c r="L1536" s="2" t="str">
        <x:f>IF('Design &amp; Insights'!K164="","",'Design &amp; Insights'!K164)</x:f>
      </x:c>
      <x:c r="M1536" s="2" t="n">
        <x:f>'Design &amp; Insights'!Q164</x:f>
        <x:v>1</x:v>
      </x:c>
      <x:c r="N1536" s="2" t="str">
        <x:f>'Design &amp; Insights'!L164</x:f>
        <x:v>Not started</x:v>
      </x:c>
      <x:c r="O1536" s="2" t="str">
        <x:f>'Design &amp; Insights'!N164</x:f>
        <x:v>DI.AU.3.2.2026.CY2</x:v>
      </x:c>
      <x:c r="P1536" s="2" t="n">
        <x:f>'Design &amp; Insights'!O164</x:f>
        <x:v>0</x:v>
      </x:c>
      <x:c r="Q1536" s="2" t="n">
        <x:f>SUBTOTAL(103,O1536)</x:f>
        <x:v>1</x:v>
      </x:c>
      <x:c r="R1536" s="2" t="n">
        <x:f>IF(AND(M1536=1,OR(Dashboard!$B$7="All",Dashboard!$B$7='Cycles &amp; Guide'!$C$5),OR(Dashboard!$D$7="All",Dashboard!$D$7=B1536),OR(Dashboard!$F$7="All",Dashboard!$F$7=C1536),OR(Dashboard!$H$7="All",Dashboard!$H$7=D1536),OR(Dashboard!$K$7="All",Dashboard!$K$7=E1536)),1,0)</x:f>
        <x:v>1</x:v>
      </x:c>
      <x:c r="S1536" s="2" t="n">
        <x:f>IF(R1536=1,SUM($R$10:R1536),0)</x:f>
        <x:v>1163</x:v>
      </x:c>
      <x:c r="T1536" s="2" t="str">
        <x:v>Design &amp; Insights</x:v>
      </x:c>
      <x:c r="U1536" s="2" t="n">
        <x:v>164</x:v>
      </x:c>
      <x:c r="V1536" s="2" t="n">
        <x:f>IF(AND(M1536=1,P1536=0,ISNUMBER(J1536),J1536&lt;TODAY()),1,0)</x:f>
        <x:v>0</x:v>
      </x:c>
      <x:c r="W1536" s="2" t="str">
        <x:f>'Design &amp; Insights'!M164</x:f>
        <x:v>Task</x:v>
      </x:c>
    </x:row>
    <x:row r="1537" ht="40" customHeight="1">
      <x:c r="A1537" s="3" t="str">
        <x:f>HYPERLINK("#'Design &amp; Insights'!A165","Open")</x:f>
        <x:v>Open</x:v>
      </x:c>
      <x:c r="B1537" s="2" t="str">
        <x:f>'Design &amp; Insights'!B165</x:f>
        <x:v>Cycle 2</x:v>
      </x:c>
      <x:c r="C1537" s="2" t="str">
        <x:f>'Design &amp; Insights'!C165</x:f>
        <x:v>Phase 3</x:v>
      </x:c>
      <x:c r="D1537" s="2" t="str">
        <x:f>'Design &amp; Insights'!D165</x:f>
        <x:v>Auto</x:v>
      </x:c>
      <x:c r="E1537" s="2" t="str">
        <x:v>Design &amp; Insights</x:v>
      </x:c>
      <x:c r="F1537" s="56" t="str">
        <x:f>'Design &amp; Insights'!E165</x:f>
        <x:v>DI.AU.3.3</x:v>
      </x:c>
      <x:c r="G1537" s="14" t="str">
        <x:f>'Design &amp; Insights'!F165</x:f>
        <x:v>Present findings, conclusions, and recommendation to SMEs</x:v>
      </x:c>
      <x:c r="H1537" s="2" t="str">
        <x:f>IF('Design &amp; Insights'!G165="","",'Design &amp; Insights'!G165)</x:f>
      </x:c>
      <x:c r="I1537" s="12" t="str">
        <x:f>IF('Design &amp; Insights'!H165="","",'Design &amp; Insights'!H165)</x:f>
      </x:c>
      <x:c r="J1537" s="12" t="n">
        <x:f>IF('Design &amp; Insights'!I165="","",'Design &amp; Insights'!I165)</x:f>
        <x:v>46203</x:v>
      </x:c>
      <x:c r="K1537" s="12" t="str">
        <x:f>IF('Design &amp; Insights'!J165="","",'Design &amp; Insights'!J165)</x:f>
      </x:c>
      <x:c r="L1537" s="2" t="str">
        <x:f>IF('Design &amp; Insights'!K165="","",'Design &amp; Insights'!K165)</x:f>
      </x:c>
      <x:c r="M1537" s="2" t="n">
        <x:f>'Design &amp; Insights'!Q165</x:f>
        <x:v>1</x:v>
      </x:c>
      <x:c r="N1537" s="2" t="str">
        <x:f>'Design &amp; Insights'!L165</x:f>
        <x:v>Not started</x:v>
      </x:c>
      <x:c r="O1537" s="2" t="str">
        <x:f>'Design &amp; Insights'!N165</x:f>
        <x:v>DI.AU.3.3.2026.CY2</x:v>
      </x:c>
      <x:c r="P1537" s="2" t="n">
        <x:f>'Design &amp; Insights'!O165</x:f>
        <x:v>0</x:v>
      </x:c>
      <x:c r="Q1537" s="2" t="n">
        <x:f>SUBTOTAL(103,O1537)</x:f>
        <x:v>1</x:v>
      </x:c>
      <x:c r="R1537" s="2" t="n">
        <x:f>IF(AND(M1537=1,OR(Dashboard!$B$7="All",Dashboard!$B$7='Cycles &amp; Guide'!$C$5),OR(Dashboard!$D$7="All",Dashboard!$D$7=B1537),OR(Dashboard!$F$7="All",Dashboard!$F$7=C1537),OR(Dashboard!$H$7="All",Dashboard!$H$7=D1537),OR(Dashboard!$K$7="All",Dashboard!$K$7=E1537)),1,0)</x:f>
        <x:v>1</x:v>
      </x:c>
      <x:c r="S1537" s="2" t="n">
        <x:f>IF(R1537=1,SUM($R$10:R1537),0)</x:f>
        <x:v>1164</x:v>
      </x:c>
      <x:c r="T1537" s="2" t="str">
        <x:v>Design &amp; Insights</x:v>
      </x:c>
      <x:c r="U1537" s="2" t="n">
        <x:v>165</x:v>
      </x:c>
      <x:c r="V1537" s="2" t="n">
        <x:f>IF(AND(M1537=1,P1537=0,ISNUMBER(J1537),J1537&lt;TODAY()),1,0)</x:f>
        <x:v>1</x:v>
      </x:c>
      <x:c r="W1537" s="2" t="str">
        <x:f>'Design &amp; Insights'!M165</x:f>
        <x:v>Task</x:v>
      </x:c>
    </x:row>
    <x:row r="1538" ht="40" customHeight="1">
      <x:c r="A1538" s="3" t="str">
        <x:f>HYPERLINK("#'Design &amp; Insights'!A166","Open")</x:f>
        <x:v>Open</x:v>
      </x:c>
      <x:c r="B1538" s="2" t="str">
        <x:f>'Design &amp; Insights'!B166</x:f>
        <x:v>Cycle 2</x:v>
      </x:c>
      <x:c r="C1538" s="2" t="str">
        <x:f>'Design &amp; Insights'!C166</x:f>
        <x:v>Phase 3</x:v>
      </x:c>
      <x:c r="D1538" s="2" t="str">
        <x:f>'Design &amp; Insights'!D166</x:f>
        <x:v>Auto</x:v>
      </x:c>
      <x:c r="E1538" s="2" t="str">
        <x:v>Design &amp; Insights</x:v>
      </x:c>
      <x:c r="F1538" s="56" t="str">
        <x:f>'Design &amp; Insights'!E166</x:f>
        <x:v>DI.AU.3.4</x:v>
      </x:c>
      <x:c r="G1538" s="14" t="str">
        <x:f>'Design &amp; Insights'!F166</x:f>
        <x:v>Update Outcome portion of research plan (as needed)</x:v>
      </x:c>
      <x:c r="H1538" s="2" t="str">
        <x:f>IF('Design &amp; Insights'!G166="","",'Design &amp; Insights'!G166)</x:f>
      </x:c>
      <x:c r="I1538" s="12" t="str">
        <x:f>IF('Design &amp; Insights'!H166="","",'Design &amp; Insights'!H166)</x:f>
      </x:c>
      <x:c r="J1538" s="12" t="n">
        <x:f>IF('Design &amp; Insights'!I166="","",'Design &amp; Insights'!I166)</x:f>
        <x:v>46203</x:v>
      </x:c>
      <x:c r="K1538" s="12" t="str">
        <x:f>IF('Design &amp; Insights'!J166="","",'Design &amp; Insights'!J166)</x:f>
      </x:c>
      <x:c r="L1538" s="2" t="str">
        <x:f>IF('Design &amp; Insights'!K166="","",'Design &amp; Insights'!K166)</x:f>
      </x:c>
      <x:c r="M1538" s="2" t="n">
        <x:f>'Design &amp; Insights'!Q166</x:f>
        <x:v>1</x:v>
      </x:c>
      <x:c r="N1538" s="2" t="str">
        <x:f>'Design &amp; Insights'!L166</x:f>
        <x:v>Not started</x:v>
      </x:c>
      <x:c r="O1538" s="2" t="str">
        <x:f>'Design &amp; Insights'!N166</x:f>
        <x:v>DI.AU.3.4.2026.CY2</x:v>
      </x:c>
      <x:c r="P1538" s="2" t="n">
        <x:f>'Design &amp; Insights'!O166</x:f>
        <x:v>0</x:v>
      </x:c>
      <x:c r="Q1538" s="2" t="n">
        <x:f>SUBTOTAL(103,O1538)</x:f>
        <x:v>1</x:v>
      </x:c>
      <x:c r="R1538" s="2" t="n">
        <x:f>IF(AND(M1538=1,OR(Dashboard!$B$7="All",Dashboard!$B$7='Cycles &amp; Guide'!$C$5),OR(Dashboard!$D$7="All",Dashboard!$D$7=B1538),OR(Dashboard!$F$7="All",Dashboard!$F$7=C1538),OR(Dashboard!$H$7="All",Dashboard!$H$7=D1538),OR(Dashboard!$K$7="All",Dashboard!$K$7=E1538)),1,0)</x:f>
        <x:v>1</x:v>
      </x:c>
      <x:c r="S1538" s="2" t="n">
        <x:f>IF(R1538=1,SUM($R$10:R1538),0)</x:f>
        <x:v>1165</x:v>
      </x:c>
      <x:c r="T1538" s="2" t="str">
        <x:v>Design &amp; Insights</x:v>
      </x:c>
      <x:c r="U1538" s="2" t="n">
        <x:v>166</x:v>
      </x:c>
      <x:c r="V1538" s="2" t="n">
        <x:f>IF(AND(M1538=1,P1538=0,ISNUMBER(J1538),J1538&lt;TODAY()),1,0)</x:f>
        <x:v>1</x:v>
      </x:c>
      <x:c r="W1538" s="2" t="str">
        <x:f>'Design &amp; Insights'!M166</x:f>
        <x:v>Task</x:v>
      </x:c>
    </x:row>
    <x:row r="1539" ht="40" customHeight="1">
      <x:c r="A1539" s="3" t="str">
        <x:f>HYPERLINK("#'Design &amp; Insights'!A167","Open")</x:f>
        <x:v>Open</x:v>
      </x:c>
      <x:c r="B1539" s="2" t="str">
        <x:f>'Design &amp; Insights'!B167</x:f>
        <x:v>Cycle 2</x:v>
      </x:c>
      <x:c r="C1539" s="2" t="str">
        <x:f>'Design &amp; Insights'!C167</x:f>
        <x:v>Phase 3</x:v>
      </x:c>
      <x:c r="D1539" s="2" t="str">
        <x:f>'Design &amp; Insights'!D167</x:f>
        <x:v>Auto</x:v>
      </x:c>
      <x:c r="E1539" s="2" t="str">
        <x:v>Design &amp; Insights</x:v>
      </x:c>
      <x:c r="F1539" s="56" t="str">
        <x:f>'Design &amp; Insights'!E167</x:f>
        <x:v>DI.AU.3.5</x:v>
      </x:c>
      <x:c r="G1539" s="14" t="str">
        <x:f>'Design &amp; Insights'!F167</x:f>
        <x:v>Finalize presentation deck by incorporating pre-socialization feedback (as needed)</x:v>
      </x:c>
      <x:c r="H1539" s="2" t="str">
        <x:f>IF('Design &amp; Insights'!G167="","",'Design &amp; Insights'!G167)</x:f>
      </x:c>
      <x:c r="I1539" s="12" t="str">
        <x:f>IF('Design &amp; Insights'!H167="","",'Design &amp; Insights'!H167)</x:f>
      </x:c>
      <x:c r="J1539" s="12" t="n">
        <x:f>IF('Design &amp; Insights'!I167="","",'Design &amp; Insights'!I167)</x:f>
        <x:v>46203</x:v>
      </x:c>
      <x:c r="K1539" s="12" t="str">
        <x:f>IF('Design &amp; Insights'!J167="","",'Design &amp; Insights'!J167)</x:f>
      </x:c>
      <x:c r="L1539" s="2" t="str">
        <x:f>IF('Design &amp; Insights'!K167="","",'Design &amp; Insights'!K167)</x:f>
      </x:c>
      <x:c r="M1539" s="2" t="n">
        <x:f>'Design &amp; Insights'!Q167</x:f>
        <x:v>1</x:v>
      </x:c>
      <x:c r="N1539" s="2" t="str">
        <x:f>'Design &amp; Insights'!L167</x:f>
        <x:v>Not started</x:v>
      </x:c>
      <x:c r="O1539" s="2" t="str">
        <x:f>'Design &amp; Insights'!N167</x:f>
        <x:v>DI.AU.3.5.2026.CY2</x:v>
      </x:c>
      <x:c r="P1539" s="2" t="n">
        <x:f>'Design &amp; Insights'!O167</x:f>
        <x:v>0</x:v>
      </x:c>
      <x:c r="Q1539" s="2" t="n">
        <x:f>SUBTOTAL(103,O1539)</x:f>
        <x:v>1</x:v>
      </x:c>
      <x:c r="R1539" s="2" t="n">
        <x:f>IF(AND(M1539=1,OR(Dashboard!$B$7="All",Dashboard!$B$7='Cycles &amp; Guide'!$C$5),OR(Dashboard!$D$7="All",Dashboard!$D$7=B1539),OR(Dashboard!$F$7="All",Dashboard!$F$7=C1539),OR(Dashboard!$H$7="All",Dashboard!$H$7=D1539),OR(Dashboard!$K$7="All",Dashboard!$K$7=E1539)),1,0)</x:f>
        <x:v>1</x:v>
      </x:c>
      <x:c r="S1539" s="2" t="n">
        <x:f>IF(R1539=1,SUM($R$10:R1539),0)</x:f>
        <x:v>1166</x:v>
      </x:c>
      <x:c r="T1539" s="2" t="str">
        <x:v>Design &amp; Insights</x:v>
      </x:c>
      <x:c r="U1539" s="2" t="n">
        <x:v>167</x:v>
      </x:c>
      <x:c r="V1539" s="2" t="n">
        <x:f>IF(AND(M1539=1,P1539=0,ISNUMBER(J1539),J1539&lt;TODAY()),1,0)</x:f>
        <x:v>1</x:v>
      </x:c>
      <x:c r="W1539" s="2" t="str">
        <x:f>'Design &amp; Insights'!M167</x:f>
        <x:v>Task</x:v>
      </x:c>
    </x:row>
    <x:row r="1540" ht="40" customHeight="1">
      <x:c r="A1540" s="3" t="str">
        <x:f>HYPERLINK("#'Design &amp; Insights'!A168","Open")</x:f>
        <x:v>Open</x:v>
      </x:c>
      <x:c r="B1540" s="2" t="str">
        <x:f>'Design &amp; Insights'!B168</x:f>
        <x:v>Cycle 2</x:v>
      </x:c>
      <x:c r="C1540" s="2" t="str">
        <x:f>'Design &amp; Insights'!C168</x:f>
        <x:v>Phase 3</x:v>
      </x:c>
      <x:c r="D1540" s="2" t="str">
        <x:f>'Design &amp; Insights'!D168</x:f>
        <x:v>Auto</x:v>
      </x:c>
      <x:c r="E1540" s="2" t="str">
        <x:v>Design &amp; Insights</x:v>
      </x:c>
      <x:c r="F1540" s="56" t="str">
        <x:f>'Design &amp; Insights'!E168</x:f>
        <x:v>DI.AU.3.6</x:v>
      </x:c>
      <x:c r="G1540" s="14" t="str">
        <x:f>'Design &amp; Insights'!F168</x:f>
        <x:v>Ensure final deck is communicated to Forum attendees</x:v>
      </x:c>
      <x:c r="H1540" s="2" t="str">
        <x:f>IF('Design &amp; Insights'!G168="","",'Design &amp; Insights'!G168)</x:f>
      </x:c>
      <x:c r="I1540" s="12" t="str">
        <x:f>IF('Design &amp; Insights'!H168="","",'Design &amp; Insights'!H168)</x:f>
      </x:c>
      <x:c r="J1540" s="12" t="n">
        <x:f>IF('Design &amp; Insights'!I168="","",'Design &amp; Insights'!I168)</x:f>
        <x:v>46203</x:v>
      </x:c>
      <x:c r="K1540" s="12" t="str">
        <x:f>IF('Design &amp; Insights'!J168="","",'Design &amp; Insights'!J168)</x:f>
      </x:c>
      <x:c r="L1540" s="2" t="str">
        <x:f>IF('Design &amp; Insights'!K168="","",'Design &amp; Insights'!K168)</x:f>
      </x:c>
      <x:c r="M1540" s="2" t="n">
        <x:f>'Design &amp; Insights'!Q168</x:f>
        <x:v>1</x:v>
      </x:c>
      <x:c r="N1540" s="2" t="str">
        <x:f>'Design &amp; Insights'!L168</x:f>
        <x:v>Not started</x:v>
      </x:c>
      <x:c r="O1540" s="2" t="str">
        <x:f>'Design &amp; Insights'!N168</x:f>
        <x:v>DI.AU.3.6.2026.CY2</x:v>
      </x:c>
      <x:c r="P1540" s="2" t="n">
        <x:f>'Design &amp; Insights'!O168</x:f>
        <x:v>0</x:v>
      </x:c>
      <x:c r="Q1540" s="2" t="n">
        <x:f>SUBTOTAL(103,O1540)</x:f>
        <x:v>1</x:v>
      </x:c>
      <x:c r="R1540" s="2" t="n">
        <x:f>IF(AND(M1540=1,OR(Dashboard!$B$7="All",Dashboard!$B$7='Cycles &amp; Guide'!$C$5),OR(Dashboard!$D$7="All",Dashboard!$D$7=B1540),OR(Dashboard!$F$7="All",Dashboard!$F$7=C1540),OR(Dashboard!$H$7="All",Dashboard!$H$7=D1540),OR(Dashboard!$K$7="All",Dashboard!$K$7=E1540)),1,0)</x:f>
        <x:v>1</x:v>
      </x:c>
      <x:c r="S1540" s="2" t="n">
        <x:f>IF(R1540=1,SUM($R$10:R1540),0)</x:f>
        <x:v>1167</x:v>
      </x:c>
      <x:c r="T1540" s="2" t="str">
        <x:v>Design &amp; Insights</x:v>
      </x:c>
      <x:c r="U1540" s="2" t="n">
        <x:v>168</x:v>
      </x:c>
      <x:c r="V1540" s="2" t="n">
        <x:f>IF(AND(M1540=1,P1540=0,ISNUMBER(J1540),J1540&lt;TODAY()),1,0)</x:f>
        <x:v>1</x:v>
      </x:c>
      <x:c r="W1540" s="2" t="str">
        <x:f>'Design &amp; Insights'!M168</x:f>
        <x:v>Task</x:v>
      </x:c>
    </x:row>
    <x:row r="1541" ht="40" customHeight="1">
      <x:c r="A1541" s="3" t="str">
        <x:f>HYPERLINK("#'Design &amp; Insights'!A169","Open")</x:f>
        <x:v>Open</x:v>
      </x:c>
      <x:c r="B1541" s="2" t="str">
        <x:f>'Design &amp; Insights'!B169</x:f>
        <x:v>Cycle 2</x:v>
      </x:c>
      <x:c r="C1541" s="2" t="str">
        <x:f>'Design &amp; Insights'!C169</x:f>
        <x:v>Phase 3</x:v>
      </x:c>
      <x:c r="D1541" s="2" t="str">
        <x:f>'Design &amp; Insights'!D169</x:f>
        <x:v>Auto</x:v>
      </x:c>
      <x:c r="E1541" s="2" t="str">
        <x:v>Design &amp; Insights</x:v>
      </x:c>
      <x:c r="F1541" s="56" t="str">
        <x:f>'Design &amp; Insights'!E169</x:f>
        <x:v>DI.AU.3.7</x:v>
      </x:c>
      <x:c r="G1541" s="14" t="str">
        <x:f>'Design &amp; Insights'!F169</x:f>
        <x:v>Present material in RCA Cycle Forum</x:v>
      </x:c>
      <x:c r="H1541" s="2" t="str">
        <x:f>IF('Design &amp; Insights'!G169="","",'Design &amp; Insights'!G169)</x:f>
      </x:c>
      <x:c r="I1541" s="12" t="str">
        <x:f>IF('Design &amp; Insights'!H169="","",'Design &amp; Insights'!H169)</x:f>
      </x:c>
      <x:c r="J1541" s="12" t="str">
        <x:f>IF('Design &amp; Insights'!I169="","",'Design &amp; Insights'!I169)</x:f>
      </x:c>
      <x:c r="K1541" s="12" t="str">
        <x:f>IF('Design &amp; Insights'!J169="","",'Design &amp; Insights'!J169)</x:f>
      </x:c>
      <x:c r="L1541" s="2" t="str">
        <x:f>IF('Design &amp; Insights'!K169="","",'Design &amp; Insights'!K169)</x:f>
      </x:c>
      <x:c r="M1541" s="2" t="n">
        <x:f>'Design &amp; Insights'!Q169</x:f>
        <x:v>1</x:v>
      </x:c>
      <x:c r="N1541" s="2" t="str">
        <x:f>'Design &amp; Insights'!L169</x:f>
        <x:v>Not started</x:v>
      </x:c>
      <x:c r="O1541" s="2" t="str">
        <x:f>'Design &amp; Insights'!N169</x:f>
        <x:v>DI.AU.3.7.2026.CY2</x:v>
      </x:c>
      <x:c r="P1541" s="2" t="n">
        <x:f>'Design &amp; Insights'!O169</x:f>
        <x:v>0</x:v>
      </x:c>
      <x:c r="Q1541" s="2" t="n">
        <x:f>SUBTOTAL(103,O1541)</x:f>
        <x:v>1</x:v>
      </x:c>
      <x:c r="R1541" s="2" t="n">
        <x:f>IF(AND(M1541=1,OR(Dashboard!$B$7="All",Dashboard!$B$7='Cycles &amp; Guide'!$C$5),OR(Dashboard!$D$7="All",Dashboard!$D$7=B1541),OR(Dashboard!$F$7="All",Dashboard!$F$7=C1541),OR(Dashboard!$H$7="All",Dashboard!$H$7=D1541),OR(Dashboard!$K$7="All",Dashboard!$K$7=E1541)),1,0)</x:f>
        <x:v>1</x:v>
      </x:c>
      <x:c r="S1541" s="2" t="n">
        <x:f>IF(R1541=1,SUM($R$10:R1541),0)</x:f>
        <x:v>1168</x:v>
      </x:c>
      <x:c r="T1541" s="2" t="str">
        <x:v>Design &amp; Insights</x:v>
      </x:c>
      <x:c r="U1541" s="2" t="n">
        <x:v>169</x:v>
      </x:c>
      <x:c r="V1541" s="2" t="n">
        <x:f>IF(AND(M1541=1,P1541=0,ISNUMBER(J1541),J1541&lt;TODAY()),1,0)</x:f>
        <x:v>0</x:v>
      </x:c>
      <x:c r="W1541" s="2" t="str">
        <x:f>'Design &amp; Insights'!M169</x:f>
        <x:v>Task</x:v>
      </x:c>
    </x:row>
    <x:row r="1542" ht="40" customHeight="1">
      <x:c r="A1542" s="3" t="str">
        <x:f>HYPERLINK("#'Design &amp; Insights'!A170","Open")</x:f>
        <x:v>Open</x:v>
      </x:c>
      <x:c r="B1542" s="2" t="str">
        <x:f>'Design &amp; Insights'!B170</x:f>
        <x:v>Cycle 2</x:v>
      </x:c>
      <x:c r="C1542" s="2" t="str">
        <x:f>'Design &amp; Insights'!C170</x:f>
        <x:v>Phase 1</x:v>
      </x:c>
      <x:c r="D1542" s="2" t="str">
        <x:f>'Design &amp; Insights'!D170</x:f>
        <x:v>Cards</x:v>
      </x:c>
      <x:c r="E1542" s="2" t="str">
        <x:v>Design &amp; Insights</x:v>
      </x:c>
      <x:c r="F1542" s="56" t="str">
        <x:f>'Design &amp; Insights'!E170</x:f>
        <x:v>DI.CA.1.1</x:v>
      </x:c>
      <x:c r="G1542" s="14" t="str">
        <x:f>'Design &amp; Insights'!F170</x:f>
        <x:v>Receive and review potential research topics at least 2 weeks prior to Cycle start date</x:v>
      </x:c>
      <x:c r="H1542" s="2" t="str">
        <x:f>IF('Design &amp; Insights'!G170="","",'Design &amp; Insights'!G170)</x:f>
      </x:c>
      <x:c r="I1542" s="12" t="str">
        <x:f>IF('Design &amp; Insights'!H170="","",'Design &amp; Insights'!H170)</x:f>
      </x:c>
      <x:c r="J1542" s="12" t="n">
        <x:f>IF('Design &amp; Insights'!I170="","",'Design &amp; Insights'!I170)</x:f>
        <x:v>46099</x:v>
      </x:c>
      <x:c r="K1542" s="12" t="str">
        <x:f>IF('Design &amp; Insights'!J170="","",'Design &amp; Insights'!J170)</x:f>
      </x:c>
      <x:c r="L1542" s="2" t="str">
        <x:f>IF('Design &amp; Insights'!K170="","",'Design &amp; Insights'!K170)</x:f>
      </x:c>
      <x:c r="M1542" s="2" t="n">
        <x:f>'Design &amp; Insights'!Q170</x:f>
        <x:v>1</x:v>
      </x:c>
      <x:c r="N1542" s="2" t="str">
        <x:f>'Design &amp; Insights'!L170</x:f>
        <x:v>Not started</x:v>
      </x:c>
      <x:c r="O1542" s="2" t="str">
        <x:f>'Design &amp; Insights'!N170</x:f>
        <x:v>DI.CA.1.1.2026.CY2</x:v>
      </x:c>
      <x:c r="P1542" s="2" t="n">
        <x:f>'Design &amp; Insights'!O170</x:f>
        <x:v>0</x:v>
      </x:c>
      <x:c r="Q1542" s="2" t="n">
        <x:f>SUBTOTAL(103,O1542)</x:f>
        <x:v>1</x:v>
      </x:c>
      <x:c r="R1542" s="2" t="n">
        <x:f>IF(AND(M1542=1,OR(Dashboard!$B$7="All",Dashboard!$B$7='Cycles &amp; Guide'!$C$5),OR(Dashboard!$D$7="All",Dashboard!$D$7=B1542),OR(Dashboard!$F$7="All",Dashboard!$F$7=C1542),OR(Dashboard!$H$7="All",Dashboard!$H$7=D1542),OR(Dashboard!$K$7="All",Dashboard!$K$7=E1542)),1,0)</x:f>
        <x:v>1</x:v>
      </x:c>
      <x:c r="S1542" s="2" t="n">
        <x:f>IF(R1542=1,SUM($R$10:R1542),0)</x:f>
        <x:v>1169</x:v>
      </x:c>
      <x:c r="T1542" s="2" t="str">
        <x:v>Design &amp; Insights</x:v>
      </x:c>
      <x:c r="U1542" s="2" t="n">
        <x:v>170</x:v>
      </x:c>
      <x:c r="V1542" s="2" t="n">
        <x:f>IF(AND(M1542=1,P1542=0,ISNUMBER(J1542),J1542&lt;TODAY()),1,0)</x:f>
        <x:v>1</x:v>
      </x:c>
      <x:c r="W1542" s="2" t="str">
        <x:f>'Design &amp; Insights'!M170</x:f>
        <x:v>Task</x:v>
      </x:c>
    </x:row>
    <x:row r="1543" ht="40" customHeight="1">
      <x:c r="A1543" s="3" t="str">
        <x:f>HYPERLINK("#'Design &amp; Insights'!A171","Open")</x:f>
        <x:v>Open</x:v>
      </x:c>
      <x:c r="B1543" s="2" t="str">
        <x:f>'Design &amp; Insights'!B171</x:f>
        <x:v>Cycle 2</x:v>
      </x:c>
      <x:c r="C1543" s="2" t="str">
        <x:f>'Design &amp; Insights'!C171</x:f>
        <x:v>Phase 1</x:v>
      </x:c>
      <x:c r="D1543" s="2" t="str">
        <x:f>'Design &amp; Insights'!D171</x:f>
        <x:v>Cards</x:v>
      </x:c>
      <x:c r="E1543" s="2" t="str">
        <x:v>Design &amp; Insights</x:v>
      </x:c>
      <x:c r="F1543" s="56" t="str">
        <x:f>'Design &amp; Insights'!E171</x:f>
        <x:v>DI.CA.1.2</x:v>
      </x:c>
      <x:c r="G1543" s="14" t="str">
        <x:f>'Design &amp; Insights'!F171</x:f>
        <x:v>Communicate any feedback on preferences or concerns with topics identified</x:v>
      </x:c>
      <x:c r="H1543" s="2" t="str">
        <x:f>IF('Design &amp; Insights'!G171="","",'Design &amp; Insights'!G171)</x:f>
      </x:c>
      <x:c r="I1543" s="12" t="str">
        <x:f>IF('Design &amp; Insights'!H171="","",'Design &amp; Insights'!H171)</x:f>
      </x:c>
      <x:c r="J1543" s="12" t="n">
        <x:f>IF('Design &amp; Insights'!I171="","",'Design &amp; Insights'!I171)</x:f>
        <x:v>46203</x:v>
      </x:c>
      <x:c r="K1543" s="12" t="str">
        <x:f>IF('Design &amp; Insights'!J171="","",'Design &amp; Insights'!J171)</x:f>
      </x:c>
      <x:c r="L1543" s="2" t="str">
        <x:f>IF('Design &amp; Insights'!K171="","",'Design &amp; Insights'!K171)</x:f>
      </x:c>
      <x:c r="M1543" s="2" t="n">
        <x:f>'Design &amp; Insights'!Q171</x:f>
        <x:v>1</x:v>
      </x:c>
      <x:c r="N1543" s="2" t="str">
        <x:f>'Design &amp; Insights'!L171</x:f>
        <x:v>Not started</x:v>
      </x:c>
      <x:c r="O1543" s="2" t="str">
        <x:f>'Design &amp; Insights'!N171</x:f>
        <x:v>DI.CA.1.2.2026.CY2</x:v>
      </x:c>
      <x:c r="P1543" s="2" t="n">
        <x:f>'Design &amp; Insights'!O171</x:f>
        <x:v>0</x:v>
      </x:c>
      <x:c r="Q1543" s="2" t="n">
        <x:f>SUBTOTAL(103,O1543)</x:f>
        <x:v>1</x:v>
      </x:c>
      <x:c r="R1543" s="2" t="n">
        <x:f>IF(AND(M1543=1,OR(Dashboard!$B$7="All",Dashboard!$B$7='Cycles &amp; Guide'!$C$5),OR(Dashboard!$D$7="All",Dashboard!$D$7=B1543),OR(Dashboard!$F$7="All",Dashboard!$F$7=C1543),OR(Dashboard!$H$7="All",Dashboard!$H$7=D1543),OR(Dashboard!$K$7="All",Dashboard!$K$7=E1543)),1,0)</x:f>
        <x:v>1</x:v>
      </x:c>
      <x:c r="S1543" s="2" t="n">
        <x:f>IF(R1543=1,SUM($R$10:R1543),0)</x:f>
        <x:v>1170</x:v>
      </x:c>
      <x:c r="T1543" s="2" t="str">
        <x:v>Design &amp; Insights</x:v>
      </x:c>
      <x:c r="U1543" s="2" t="n">
        <x:v>171</x:v>
      </x:c>
      <x:c r="V1543" s="2" t="n">
        <x:f>IF(AND(M1543=1,P1543=0,ISNUMBER(J1543),J1543&lt;TODAY()),1,0)</x:f>
        <x:v>1</x:v>
      </x:c>
      <x:c r="W1543" s="2" t="str">
        <x:f>'Design &amp; Insights'!M171</x:f>
        <x:v>Task</x:v>
      </x:c>
    </x:row>
    <x:row r="1544" ht="40" customHeight="1">
      <x:c r="A1544" s="3" t="str">
        <x:f>HYPERLINK("#'Design &amp; Insights'!A172","Open")</x:f>
        <x:v>Open</x:v>
      </x:c>
      <x:c r="B1544" s="2" t="str">
        <x:f>'Design &amp; Insights'!B172</x:f>
        <x:v>Cycle 2</x:v>
      </x:c>
      <x:c r="C1544" s="2" t="str">
        <x:f>'Design &amp; Insights'!C172</x:f>
        <x:v>Phase 1</x:v>
      </x:c>
      <x:c r="D1544" s="2" t="str">
        <x:f>'Design &amp; Insights'!D172</x:f>
        <x:v>Cards</x:v>
      </x:c>
      <x:c r="E1544" s="2" t="str">
        <x:v>Design &amp; Insights</x:v>
      </x:c>
      <x:c r="F1544" s="56" t="str">
        <x:f>'Design &amp; Insights'!E172</x:f>
        <x:v>DI.CA.1.3</x:v>
      </x:c>
      <x:c r="G1544" s="14" t="str">
        <x:f>'Design &amp; Insights'!F172</x:f>
        <x:v>Conduct high-level preliminary review of complaints within proposed topics</x:v>
      </x:c>
      <x:c r="H1544" s="2" t="str">
        <x:f>IF('Design &amp; Insights'!G172="","",'Design &amp; Insights'!G172)</x:f>
      </x:c>
      <x:c r="I1544" s="12" t="str">
        <x:f>IF('Design &amp; Insights'!H172="","",'Design &amp; Insights'!H172)</x:f>
      </x:c>
      <x:c r="J1544" s="12" t="n">
        <x:f>IF('Design &amp; Insights'!I172="","",'Design &amp; Insights'!I172)</x:f>
        <x:v>46203</x:v>
      </x:c>
      <x:c r="K1544" s="12" t="str">
        <x:f>IF('Design &amp; Insights'!J172="","",'Design &amp; Insights'!J172)</x:f>
      </x:c>
      <x:c r="L1544" s="2" t="str">
        <x:f>IF('Design &amp; Insights'!K172="","",'Design &amp; Insights'!K172)</x:f>
      </x:c>
      <x:c r="M1544" s="2" t="n">
        <x:f>'Design &amp; Insights'!Q172</x:f>
        <x:v>1</x:v>
      </x:c>
      <x:c r="N1544" s="2" t="str">
        <x:f>'Design &amp; Insights'!L172</x:f>
        <x:v>Not started</x:v>
      </x:c>
      <x:c r="O1544" s="2" t="str">
        <x:f>'Design &amp; Insights'!N172</x:f>
        <x:v>DI.CA.1.3.2026.CY2</x:v>
      </x:c>
      <x:c r="P1544" s="2" t="n">
        <x:f>'Design &amp; Insights'!O172</x:f>
        <x:v>0</x:v>
      </x:c>
      <x:c r="Q1544" s="2" t="n">
        <x:f>SUBTOTAL(103,O1544)</x:f>
        <x:v>1</x:v>
      </x:c>
      <x:c r="R1544" s="2" t="n">
        <x:f>IF(AND(M1544=1,OR(Dashboard!$B$7="All",Dashboard!$B$7='Cycles &amp; Guide'!$C$5),OR(Dashboard!$D$7="All",Dashboard!$D$7=B1544),OR(Dashboard!$F$7="All",Dashboard!$F$7=C1544),OR(Dashboard!$H$7="All",Dashboard!$H$7=D1544),OR(Dashboard!$K$7="All",Dashboard!$K$7=E1544)),1,0)</x:f>
        <x:v>1</x:v>
      </x:c>
      <x:c r="S1544" s="2" t="n">
        <x:f>IF(R1544=1,SUM($R$10:R1544),0)</x:f>
        <x:v>1171</x:v>
      </x:c>
      <x:c r="T1544" s="2" t="str">
        <x:v>Design &amp; Insights</x:v>
      </x:c>
      <x:c r="U1544" s="2" t="n">
        <x:v>172</x:v>
      </x:c>
      <x:c r="V1544" s="2" t="n">
        <x:f>IF(AND(M1544=1,P1544=0,ISNUMBER(J1544),J1544&lt;TODAY()),1,0)</x:f>
        <x:v>1</x:v>
      </x:c>
      <x:c r="W1544" s="2" t="str">
        <x:f>'Design &amp; Insights'!M172</x:f>
        <x:v>Task</x:v>
      </x:c>
    </x:row>
    <x:row r="1545" ht="40" customHeight="1">
      <x:c r="A1545" s="3" t="str">
        <x:f>HYPERLINK("#'Design &amp; Insights'!A173","Open")</x:f>
        <x:v>Open</x:v>
      </x:c>
      <x:c r="B1545" s="2" t="str">
        <x:f>'Design &amp; Insights'!B173</x:f>
        <x:v>Cycle 2</x:v>
      </x:c>
      <x:c r="C1545" s="2" t="str">
        <x:f>'Design &amp; Insights'!C173</x:f>
        <x:v>Phase 1</x:v>
      </x:c>
      <x:c r="D1545" s="2" t="str">
        <x:f>'Design &amp; Insights'!D173</x:f>
        <x:v>Cards</x:v>
      </x:c>
      <x:c r="E1545" s="2" t="str">
        <x:v>Design &amp; Insights</x:v>
      </x:c>
      <x:c r="F1545" s="56" t="str">
        <x:f>'Design &amp; Insights'!E173</x:f>
        <x:v>DI.CA.1.4</x:v>
      </x:c>
      <x:c r="G1545" s="14" t="str">
        <x:f>'Design &amp; Insights'!F173</x:f>
        <x:v>Meet with Research to discuss which topic to select based on potential impact</x:v>
      </x:c>
      <x:c r="H1545" s="2" t="str">
        <x:f>IF('Design &amp; Insights'!G173="","",'Design &amp; Insights'!G173)</x:f>
      </x:c>
      <x:c r="I1545" s="12" t="str">
        <x:f>IF('Design &amp; Insights'!H173="","",'Design &amp; Insights'!H173)</x:f>
      </x:c>
      <x:c r="J1545" s="12" t="n">
        <x:f>IF('Design &amp; Insights'!I173="","",'Design &amp; Insights'!I173)</x:f>
        <x:v>46203</x:v>
      </x:c>
      <x:c r="K1545" s="12" t="str">
        <x:f>IF('Design &amp; Insights'!J173="","",'Design &amp; Insights'!J173)</x:f>
      </x:c>
      <x:c r="L1545" s="2" t="str">
        <x:f>IF('Design &amp; Insights'!K173="","",'Design &amp; Insights'!K173)</x:f>
      </x:c>
      <x:c r="M1545" s="2" t="n">
        <x:f>'Design &amp; Insights'!Q173</x:f>
        <x:v>1</x:v>
      </x:c>
      <x:c r="N1545" s="2" t="str">
        <x:f>'Design &amp; Insights'!L173</x:f>
        <x:v>Not started</x:v>
      </x:c>
      <x:c r="O1545" s="2" t="str">
        <x:f>'Design &amp; Insights'!N173</x:f>
        <x:v>DI.CA.1.4.2026.CY2</x:v>
      </x:c>
      <x:c r="P1545" s="2" t="n">
        <x:f>'Design &amp; Insights'!O173</x:f>
        <x:v>0</x:v>
      </x:c>
      <x:c r="Q1545" s="2" t="n">
        <x:f>SUBTOTAL(103,O1545)</x:f>
        <x:v>1</x:v>
      </x:c>
      <x:c r="R1545" s="2" t="n">
        <x:f>IF(AND(M1545=1,OR(Dashboard!$B$7="All",Dashboard!$B$7='Cycles &amp; Guide'!$C$5),OR(Dashboard!$D$7="All",Dashboard!$D$7=B1545),OR(Dashboard!$F$7="All",Dashboard!$F$7=C1545),OR(Dashboard!$H$7="All",Dashboard!$H$7=D1545),OR(Dashboard!$K$7="All",Dashboard!$K$7=E1545)),1,0)</x:f>
        <x:v>1</x:v>
      </x:c>
      <x:c r="S1545" s="2" t="n">
        <x:f>IF(R1545=1,SUM($R$10:R1545),0)</x:f>
        <x:v>1172</x:v>
      </x:c>
      <x:c r="T1545" s="2" t="str">
        <x:v>Design &amp; Insights</x:v>
      </x:c>
      <x:c r="U1545" s="2" t="n">
        <x:v>173</x:v>
      </x:c>
      <x:c r="V1545" s="2" t="n">
        <x:f>IF(AND(M1545=1,P1545=0,ISNUMBER(J1545),J1545&lt;TODAY()),1,0)</x:f>
        <x:v>1</x:v>
      </x:c>
      <x:c r="W1545" s="2" t="str">
        <x:f>'Design &amp; Insights'!M173</x:f>
        <x:v>Task</x:v>
      </x:c>
    </x:row>
    <x:row r="1546" ht="40" customHeight="1">
      <x:c r="A1546" s="3" t="str">
        <x:f>HYPERLINK("#'Design &amp; Insights'!A174","Open")</x:f>
        <x:v>Open</x:v>
      </x:c>
      <x:c r="B1546" s="2" t="str">
        <x:f>'Design &amp; Insights'!B174</x:f>
        <x:v>Cycle 2</x:v>
      </x:c>
      <x:c r="C1546" s="2" t="str">
        <x:f>'Design &amp; Insights'!C174</x:f>
        <x:v>Phase 1</x:v>
      </x:c>
      <x:c r="D1546" s="2" t="str">
        <x:f>'Design &amp; Insights'!D174</x:f>
        <x:v>Cards</x:v>
      </x:c>
      <x:c r="E1546" s="2" t="str">
        <x:v>Design &amp; Insights</x:v>
      </x:c>
      <x:c r="F1546" s="56" t="str">
        <x:f>'Design &amp; Insights'!E174</x:f>
        <x:v>DI.CA.1.5</x:v>
      </x:c>
      <x:c r="G1546" s="14" t="str">
        <x:f>'Design &amp; Insights'!F174</x:f>
        <x:v>Confirm with Research the recommended topic for approval</x:v>
      </x:c>
      <x:c r="H1546" s="2" t="str">
        <x:f>IF('Design &amp; Insights'!G174="","",'Design &amp; Insights'!G174)</x:f>
      </x:c>
      <x:c r="I1546" s="12" t="str">
        <x:f>IF('Design &amp; Insights'!H174="","",'Design &amp; Insights'!H174)</x:f>
      </x:c>
      <x:c r="J1546" s="12" t="n">
        <x:f>IF('Design &amp; Insights'!I174="","",'Design &amp; Insights'!I174)</x:f>
        <x:v>46203</x:v>
      </x:c>
      <x:c r="K1546" s="12" t="str">
        <x:f>IF('Design &amp; Insights'!J174="","",'Design &amp; Insights'!J174)</x:f>
      </x:c>
      <x:c r="L1546" s="2" t="str">
        <x:f>IF('Design &amp; Insights'!K174="","",'Design &amp; Insights'!K174)</x:f>
      </x:c>
      <x:c r="M1546" s="2" t="n">
        <x:f>'Design &amp; Insights'!Q174</x:f>
        <x:v>1</x:v>
      </x:c>
      <x:c r="N1546" s="2" t="str">
        <x:f>'Design &amp; Insights'!L174</x:f>
        <x:v>Not started</x:v>
      </x:c>
      <x:c r="O1546" s="2" t="str">
        <x:f>'Design &amp; Insights'!N174</x:f>
        <x:v>DI.CA.1.5.2026.CY2</x:v>
      </x:c>
      <x:c r="P1546" s="2" t="n">
        <x:f>'Design &amp; Insights'!O174</x:f>
        <x:v>0</x:v>
      </x:c>
      <x:c r="Q1546" s="2" t="n">
        <x:f>SUBTOTAL(103,O1546)</x:f>
        <x:v>1</x:v>
      </x:c>
      <x:c r="R1546" s="2" t="n">
        <x:f>IF(AND(M1546=1,OR(Dashboard!$B$7="All",Dashboard!$B$7='Cycles &amp; Guide'!$C$5),OR(Dashboard!$D$7="All",Dashboard!$D$7=B1546),OR(Dashboard!$F$7="All",Dashboard!$F$7=C1546),OR(Dashboard!$H$7="All",Dashboard!$H$7=D1546),OR(Dashboard!$K$7="All",Dashboard!$K$7=E1546)),1,0)</x:f>
        <x:v>1</x:v>
      </x:c>
      <x:c r="S1546" s="2" t="n">
        <x:f>IF(R1546=1,SUM($R$10:R1546),0)</x:f>
        <x:v>1173</x:v>
      </x:c>
      <x:c r="T1546" s="2" t="str">
        <x:v>Design &amp; Insights</x:v>
      </x:c>
      <x:c r="U1546" s="2" t="n">
        <x:v>174</x:v>
      </x:c>
      <x:c r="V1546" s="2" t="n">
        <x:f>IF(AND(M1546=1,P1546=0,ISNUMBER(J1546),J1546&lt;TODAY()),1,0)</x:f>
        <x:v>1</x:v>
      </x:c>
      <x:c r="W1546" s="2" t="str">
        <x:f>'Design &amp; Insights'!M174</x:f>
        <x:v>Task</x:v>
      </x:c>
    </x:row>
    <x:row r="1547" ht="40" customHeight="1">
      <x:c r="A1547" s="3" t="str">
        <x:f>HYPERLINK("#'Design &amp; Insights'!A175","Open")</x:f>
        <x:v>Open</x:v>
      </x:c>
      <x:c r="B1547" s="2" t="str">
        <x:f>'Design &amp; Insights'!B175</x:f>
        <x:v>Cycle 2</x:v>
      </x:c>
      <x:c r="C1547" s="2" t="str">
        <x:f>'Design &amp; Insights'!C175</x:f>
        <x:v>Phase 1</x:v>
      </x:c>
      <x:c r="D1547" s="2" t="str">
        <x:f>'Design &amp; Insights'!D175</x:f>
        <x:v>Cards</x:v>
      </x:c>
      <x:c r="E1547" s="2" t="str">
        <x:v>Design &amp; Insights</x:v>
      </x:c>
      <x:c r="F1547" s="56" t="str">
        <x:f>'Design &amp; Insights'!E175</x:f>
        <x:v>DI.CA.1.6</x:v>
      </x:c>
      <x:c r="G1547" s="14" t="str">
        <x:f>'Design &amp; Insights'!F175</x:f>
        <x:v>Send topic selection socialization email to all key stakeholders on the first day of the review Cycle</x:v>
      </x:c>
      <x:c r="H1547" s="2" t="str">
        <x:f>IF('Design &amp; Insights'!G175="","",'Design &amp; Insights'!G175)</x:f>
      </x:c>
      <x:c r="I1547" s="12" t="str">
        <x:f>IF('Design &amp; Insights'!H175="","",'Design &amp; Insights'!H175)</x:f>
      </x:c>
      <x:c r="J1547" s="12" t="n">
        <x:f>IF('Design &amp; Insights'!I175="","",'Design &amp; Insights'!I175)</x:f>
        <x:v>46113</x:v>
      </x:c>
      <x:c r="K1547" s="12" t="str">
        <x:f>IF('Design &amp; Insights'!J175="","",'Design &amp; Insights'!J175)</x:f>
      </x:c>
      <x:c r="L1547" s="2" t="str">
        <x:f>IF('Design &amp; Insights'!K175="","",'Design &amp; Insights'!K175)</x:f>
      </x:c>
      <x:c r="M1547" s="2" t="n">
        <x:f>'Design &amp; Insights'!Q175</x:f>
        <x:v>1</x:v>
      </x:c>
      <x:c r="N1547" s="2" t="str">
        <x:f>'Design &amp; Insights'!L175</x:f>
        <x:v>Not started</x:v>
      </x:c>
      <x:c r="O1547" s="2" t="str">
        <x:f>'Design &amp; Insights'!N175</x:f>
        <x:v>DI.CA.1.6.2026.CY2</x:v>
      </x:c>
      <x:c r="P1547" s="2" t="n">
        <x:f>'Design &amp; Insights'!O175</x:f>
        <x:v>0</x:v>
      </x:c>
      <x:c r="Q1547" s="2" t="n">
        <x:f>SUBTOTAL(103,O1547)</x:f>
        <x:v>1</x:v>
      </x:c>
      <x:c r="R1547" s="2" t="n">
        <x:f>IF(AND(M1547=1,OR(Dashboard!$B$7="All",Dashboard!$B$7='Cycles &amp; Guide'!$C$5),OR(Dashboard!$D$7="All",Dashboard!$D$7=B1547),OR(Dashboard!$F$7="All",Dashboard!$F$7=C1547),OR(Dashboard!$H$7="All",Dashboard!$H$7=D1547),OR(Dashboard!$K$7="All",Dashboard!$K$7=E1547)),1,0)</x:f>
        <x:v>1</x:v>
      </x:c>
      <x:c r="S1547" s="2" t="n">
        <x:f>IF(R1547=1,SUM($R$10:R1547),0)</x:f>
        <x:v>1174</x:v>
      </x:c>
      <x:c r="T1547" s="2" t="str">
        <x:v>Design &amp; Insights</x:v>
      </x:c>
      <x:c r="U1547" s="2" t="n">
        <x:v>175</x:v>
      </x:c>
      <x:c r="V1547" s="2" t="n">
        <x:f>IF(AND(M1547=1,P1547=0,ISNUMBER(J1547),J1547&lt;TODAY()),1,0)</x:f>
        <x:v>1</x:v>
      </x:c>
      <x:c r="W1547" s="2" t="str">
        <x:f>'Design &amp; Insights'!M175</x:f>
        <x:v>Task</x:v>
      </x:c>
    </x:row>
    <x:row r="1548" ht="40" customHeight="1">
      <x:c r="A1548" s="3" t="str">
        <x:f>HYPERLINK("#'Design &amp; Insights'!A176","Open")</x:f>
        <x:v>Open</x:v>
      </x:c>
      <x:c r="B1548" s="2" t="str">
        <x:f>'Design &amp; Insights'!B176</x:f>
        <x:v>Cycle 2</x:v>
      </x:c>
      <x:c r="C1548" s="2" t="str">
        <x:f>'Design &amp; Insights'!C176</x:f>
        <x:v>Phase 2</x:v>
      </x:c>
      <x:c r="D1548" s="2" t="str">
        <x:f>'Design &amp; Insights'!D176</x:f>
        <x:v>Cards</x:v>
      </x:c>
      <x:c r="E1548" s="2" t="str">
        <x:v>Design &amp; Insights</x:v>
      </x:c>
      <x:c r="F1548" s="56" t="str">
        <x:f>'Design &amp; Insights'!E176</x:f>
        <x:v>DI.CA.2.1</x:v>
      </x:c>
      <x:c r="G1548" s="14" t="str">
        <x:f>'Design &amp; Insights'!F176</x:f>
        <x:v>Meet regularly with Research to stay informed on progress, findings, and potential enhancement</x:v>
      </x:c>
      <x:c r="H1548" s="2" t="str">
        <x:f>IF('Design &amp; Insights'!G176="","",'Design &amp; Insights'!G176)</x:f>
      </x:c>
      <x:c r="I1548" s="12" t="str">
        <x:f>IF('Design &amp; Insights'!H176="","",'Design &amp; Insights'!H176)</x:f>
      </x:c>
      <x:c r="J1548" s="12" t="n">
        <x:f>IF('Design &amp; Insights'!I176="","",'Design &amp; Insights'!I176)</x:f>
        <x:v>46203</x:v>
      </x:c>
      <x:c r="K1548" s="12" t="str">
        <x:f>IF('Design &amp; Insights'!J176="","",'Design &amp; Insights'!J176)</x:f>
      </x:c>
      <x:c r="L1548" s="2" t="str">
        <x:f>IF('Design &amp; Insights'!K176="","",'Design &amp; Insights'!K176)</x:f>
      </x:c>
      <x:c r="M1548" s="2" t="n">
        <x:f>'Design &amp; Insights'!Q176</x:f>
        <x:v>1</x:v>
      </x:c>
      <x:c r="N1548" s="2" t="str">
        <x:f>'Design &amp; Insights'!L176</x:f>
        <x:v>Not started</x:v>
      </x:c>
      <x:c r="O1548" s="2" t="str">
        <x:f>'Design &amp; Insights'!N176</x:f>
        <x:v>DI.CA.2.1.2026.CY2</x:v>
      </x:c>
      <x:c r="P1548" s="2" t="n">
        <x:f>'Design &amp; Insights'!O176</x:f>
        <x:v>0</x:v>
      </x:c>
      <x:c r="Q1548" s="2" t="n">
        <x:f>SUBTOTAL(103,O1548)</x:f>
        <x:v>1</x:v>
      </x:c>
      <x:c r="R1548" s="2" t="n">
        <x:f>IF(AND(M1548=1,OR(Dashboard!$B$7="All",Dashboard!$B$7='Cycles &amp; Guide'!$C$5),OR(Dashboard!$D$7="All",Dashboard!$D$7=B1548),OR(Dashboard!$F$7="All",Dashboard!$F$7=C1548),OR(Dashboard!$H$7="All",Dashboard!$H$7=D1548),OR(Dashboard!$K$7="All",Dashboard!$K$7=E1548)),1,0)</x:f>
        <x:v>1</x:v>
      </x:c>
      <x:c r="S1548" s="2" t="n">
        <x:f>IF(R1548=1,SUM($R$10:R1548),0)</x:f>
        <x:v>1175</x:v>
      </x:c>
      <x:c r="T1548" s="2" t="str">
        <x:v>Design &amp; Insights</x:v>
      </x:c>
      <x:c r="U1548" s="2" t="n">
        <x:v>176</x:v>
      </x:c>
      <x:c r="V1548" s="2" t="n">
        <x:f>IF(AND(M1548=1,P1548=0,ISNUMBER(J1548),J1548&lt;TODAY()),1,0)</x:f>
        <x:v>1</x:v>
      </x:c>
      <x:c r="W1548" s="2" t="str">
        <x:f>'Design &amp; Insights'!M176</x:f>
        <x:v>Task</x:v>
      </x:c>
    </x:row>
    <x:row r="1549" ht="40" customHeight="1">
      <x:c r="A1549" s="3" t="str">
        <x:f>HYPERLINK("#'Design &amp; Insights'!A177","Open")</x:f>
        <x:v>Open</x:v>
      </x:c>
      <x:c r="B1549" s="2" t="str">
        <x:f>'Design &amp; Insights'!B177</x:f>
        <x:v>Cycle 2</x:v>
      </x:c>
      <x:c r="C1549" s="2" t="str">
        <x:f>'Design &amp; Insights'!C177</x:f>
        <x:v>Phase 2</x:v>
      </x:c>
      <x:c r="D1549" s="2" t="str">
        <x:f>'Design &amp; Insights'!D177</x:f>
        <x:v>Cards</x:v>
      </x:c>
      <x:c r="E1549" s="2" t="str">
        <x:v>Design &amp; Insights</x:v>
      </x:c>
      <x:c r="F1549" s="56" t="str">
        <x:f>'Design &amp; Insights'!E177</x:f>
        <x:v>DI.CA.2.2</x:v>
      </x:c>
      <x:c r="G1549" s="14" t="str">
        <x:f>'Design &amp; Insights'!F177</x:f>
        <x:v>Collaborate with Research on research plan specifics</x:v>
      </x:c>
      <x:c r="H1549" s="2" t="str">
        <x:f>IF('Design &amp; Insights'!G177="","",'Design &amp; Insights'!G177)</x:f>
      </x:c>
      <x:c r="I1549" s="12" t="str">
        <x:f>IF('Design &amp; Insights'!H177="","",'Design &amp; Insights'!H177)</x:f>
      </x:c>
      <x:c r="J1549" s="12" t="n">
        <x:f>IF('Design &amp; Insights'!I177="","",'Design &amp; Insights'!I177)</x:f>
        <x:v>46203</x:v>
      </x:c>
      <x:c r="K1549" s="12" t="str">
        <x:f>IF('Design &amp; Insights'!J177="","",'Design &amp; Insights'!J177)</x:f>
      </x:c>
      <x:c r="L1549" s="2" t="str">
        <x:f>IF('Design &amp; Insights'!K177="","",'Design &amp; Insights'!K177)</x:f>
      </x:c>
      <x:c r="M1549" s="2" t="n">
        <x:f>'Design &amp; Insights'!Q177</x:f>
        <x:v>1</x:v>
      </x:c>
      <x:c r="N1549" s="2" t="str">
        <x:f>'Design &amp; Insights'!L177</x:f>
        <x:v>Not started</x:v>
      </x:c>
      <x:c r="O1549" s="2" t="str">
        <x:f>'Design &amp; Insights'!N177</x:f>
        <x:v>DI.CA.2.2.2026.CY2</x:v>
      </x:c>
      <x:c r="P1549" s="2" t="n">
        <x:f>'Design &amp; Insights'!O177</x:f>
        <x:v>0</x:v>
      </x:c>
      <x:c r="Q1549" s="2" t="n">
        <x:f>SUBTOTAL(103,O1549)</x:f>
        <x:v>1</x:v>
      </x:c>
      <x:c r="R1549" s="2" t="n">
        <x:f>IF(AND(M1549=1,OR(Dashboard!$B$7="All",Dashboard!$B$7='Cycles &amp; Guide'!$C$5),OR(Dashboard!$D$7="All",Dashboard!$D$7=B1549),OR(Dashboard!$F$7="All",Dashboard!$F$7=C1549),OR(Dashboard!$H$7="All",Dashboard!$H$7=D1549),OR(Dashboard!$K$7="All",Dashboard!$K$7=E1549)),1,0)</x:f>
        <x:v>1</x:v>
      </x:c>
      <x:c r="S1549" s="2" t="n">
        <x:f>IF(R1549=1,SUM($R$10:R1549),0)</x:f>
        <x:v>1176</x:v>
      </x:c>
      <x:c r="T1549" s="2" t="str">
        <x:v>Design &amp; Insights</x:v>
      </x:c>
      <x:c r="U1549" s="2" t="n">
        <x:v>177</x:v>
      </x:c>
      <x:c r="V1549" s="2" t="n">
        <x:f>IF(AND(M1549=1,P1549=0,ISNUMBER(J1549),J1549&lt;TODAY()),1,0)</x:f>
        <x:v>1</x:v>
      </x:c>
      <x:c r="W1549" s="2" t="str">
        <x:f>'Design &amp; Insights'!M177</x:f>
        <x:v>Task</x:v>
      </x:c>
    </x:row>
    <x:row r="1550" ht="40" customHeight="1">
      <x:c r="A1550" s="3" t="str">
        <x:f>HYPERLINK("#'Design &amp; Insights'!A178","Open")</x:f>
        <x:v>Open</x:v>
      </x:c>
      <x:c r="B1550" s="2" t="str">
        <x:f>'Design &amp; Insights'!B178</x:f>
        <x:v>Cycle 2</x:v>
      </x:c>
      <x:c r="C1550" s="2" t="str">
        <x:f>'Design &amp; Insights'!C178</x:f>
        <x:v>Phase 2</x:v>
      </x:c>
      <x:c r="D1550" s="2" t="str">
        <x:f>'Design &amp; Insights'!D178</x:f>
        <x:v>Cards</x:v>
      </x:c>
      <x:c r="E1550" s="2" t="str">
        <x:v>Design &amp; Insights</x:v>
      </x:c>
      <x:c r="F1550" s="56" t="str">
        <x:f>'Design &amp; Insights'!E178</x:f>
        <x:v>DI.CA.2.3</x:v>
      </x:c>
      <x:c r="G1550" s="14" t="str">
        <x:f>'Design &amp; Insights'!F178</x:f>
        <x:v>Participate in SME insight meetings to gain perspective and appetite on potential enhancements</x:v>
      </x:c>
      <x:c r="H1550" s="2" t="str">
        <x:f>IF('Design &amp; Insights'!G178="","",'Design &amp; Insights'!G178)</x:f>
      </x:c>
      <x:c r="I1550" s="12" t="str">
        <x:f>IF('Design &amp; Insights'!H178="","",'Design &amp; Insights'!H178)</x:f>
      </x:c>
      <x:c r="J1550" s="12" t="n">
        <x:f>IF('Design &amp; Insights'!I178="","",'Design &amp; Insights'!I178)</x:f>
        <x:v>46203</x:v>
      </x:c>
      <x:c r="K1550" s="12" t="str">
        <x:f>IF('Design &amp; Insights'!J178="","",'Design &amp; Insights'!J178)</x:f>
      </x:c>
      <x:c r="L1550" s="2" t="str">
        <x:f>IF('Design &amp; Insights'!K178="","",'Design &amp; Insights'!K178)</x:f>
      </x:c>
      <x:c r="M1550" s="2" t="n">
        <x:f>'Design &amp; Insights'!Q178</x:f>
        <x:v>1</x:v>
      </x:c>
      <x:c r="N1550" s="2" t="str">
        <x:f>'Design &amp; Insights'!L178</x:f>
        <x:v>Not started</x:v>
      </x:c>
      <x:c r="O1550" s="2" t="str">
        <x:f>'Design &amp; Insights'!N178</x:f>
        <x:v>DI.CA.2.3.2026.CY2</x:v>
      </x:c>
      <x:c r="P1550" s="2" t="n">
        <x:f>'Design &amp; Insights'!O178</x:f>
        <x:v>0</x:v>
      </x:c>
      <x:c r="Q1550" s="2" t="n">
        <x:f>SUBTOTAL(103,O1550)</x:f>
        <x:v>1</x:v>
      </x:c>
      <x:c r="R1550" s="2" t="n">
        <x:f>IF(AND(M1550=1,OR(Dashboard!$B$7="All",Dashboard!$B$7='Cycles &amp; Guide'!$C$5),OR(Dashboard!$D$7="All",Dashboard!$D$7=B1550),OR(Dashboard!$F$7="All",Dashboard!$F$7=C1550),OR(Dashboard!$H$7="All",Dashboard!$H$7=D1550),OR(Dashboard!$K$7="All",Dashboard!$K$7=E1550)),1,0)</x:f>
        <x:v>1</x:v>
      </x:c>
      <x:c r="S1550" s="2" t="n">
        <x:f>IF(R1550=1,SUM($R$10:R1550),0)</x:f>
        <x:v>1177</x:v>
      </x:c>
      <x:c r="T1550" s="2" t="str">
        <x:v>Design &amp; Insights</x:v>
      </x:c>
      <x:c r="U1550" s="2" t="n">
        <x:v>178</x:v>
      </x:c>
      <x:c r="V1550" s="2" t="n">
        <x:f>IF(AND(M1550=1,P1550=0,ISNUMBER(J1550),J1550&lt;TODAY()),1,0)</x:f>
        <x:v>1</x:v>
      </x:c>
      <x:c r="W1550" s="2" t="str">
        <x:f>'Design &amp; Insights'!M178</x:f>
        <x:v>Task</x:v>
      </x:c>
    </x:row>
    <x:row r="1551" ht="40" customHeight="1">
      <x:c r="A1551" s="3" t="str">
        <x:f>HYPERLINK("#'Design &amp; Insights'!A179","Open")</x:f>
        <x:v>Open</x:v>
      </x:c>
      <x:c r="B1551" s="2" t="str">
        <x:f>'Design &amp; Insights'!B179</x:f>
        <x:v>Cycle 2</x:v>
      </x:c>
      <x:c r="C1551" s="2" t="str">
        <x:f>'Design &amp; Insights'!C179</x:f>
        <x:v>Phase 2</x:v>
      </x:c>
      <x:c r="D1551" s="2" t="str">
        <x:f>'Design &amp; Insights'!D179</x:f>
        <x:v>Cards</x:v>
      </x:c>
      <x:c r="E1551" s="2" t="str">
        <x:v>Design &amp; Insights</x:v>
      </x:c>
      <x:c r="F1551" s="56" t="str">
        <x:f>'Design &amp; Insights'!E179</x:f>
        <x:v>DI.CA.2.4</x:v>
      </x:c>
      <x:c r="G1551" s="14" t="str">
        <x:f>'Design &amp; Insights'!F179</x:f>
        <x:v>Begin development of presentation materials as Research is being completed</x:v>
      </x:c>
      <x:c r="H1551" s="2" t="str">
        <x:f>IF('Design &amp; Insights'!G179="","",'Design &amp; Insights'!G179)</x:f>
      </x:c>
      <x:c r="I1551" s="12" t="str">
        <x:f>IF('Design &amp; Insights'!H179="","",'Design &amp; Insights'!H179)</x:f>
      </x:c>
      <x:c r="J1551" s="12" t="n">
        <x:f>IF('Design &amp; Insights'!I179="","",'Design &amp; Insights'!I179)</x:f>
        <x:v>46203</x:v>
      </x:c>
      <x:c r="K1551" s="12" t="str">
        <x:f>IF('Design &amp; Insights'!J179="","",'Design &amp; Insights'!J179)</x:f>
      </x:c>
      <x:c r="L1551" s="2" t="str">
        <x:f>IF('Design &amp; Insights'!K179="","",'Design &amp; Insights'!K179)</x:f>
      </x:c>
      <x:c r="M1551" s="2" t="n">
        <x:f>'Design &amp; Insights'!Q179</x:f>
        <x:v>1</x:v>
      </x:c>
      <x:c r="N1551" s="2" t="str">
        <x:f>'Design &amp; Insights'!L179</x:f>
        <x:v>Not started</x:v>
      </x:c>
      <x:c r="O1551" s="2" t="str">
        <x:f>'Design &amp; Insights'!N179</x:f>
        <x:v>DI.CA.2.4.2026.CY2</x:v>
      </x:c>
      <x:c r="P1551" s="2" t="n">
        <x:f>'Design &amp; Insights'!O179</x:f>
        <x:v>0</x:v>
      </x:c>
      <x:c r="Q1551" s="2" t="n">
        <x:f>SUBTOTAL(103,O1551)</x:f>
        <x:v>1</x:v>
      </x:c>
      <x:c r="R1551" s="2" t="n">
        <x:f>IF(AND(M1551=1,OR(Dashboard!$B$7="All",Dashboard!$B$7='Cycles &amp; Guide'!$C$5),OR(Dashboard!$D$7="All",Dashboard!$D$7=B1551),OR(Dashboard!$F$7="All",Dashboard!$F$7=C1551),OR(Dashboard!$H$7="All",Dashboard!$H$7=D1551),OR(Dashboard!$K$7="All",Dashboard!$K$7=E1551)),1,0)</x:f>
        <x:v>1</x:v>
      </x:c>
      <x:c r="S1551" s="2" t="n">
        <x:f>IF(R1551=1,SUM($R$10:R1551),0)</x:f>
        <x:v>1178</x:v>
      </x:c>
      <x:c r="T1551" s="2" t="str">
        <x:v>Design &amp; Insights</x:v>
      </x:c>
      <x:c r="U1551" s="2" t="n">
        <x:v>179</x:v>
      </x:c>
      <x:c r="V1551" s="2" t="n">
        <x:f>IF(AND(M1551=1,P1551=0,ISNUMBER(J1551),J1551&lt;TODAY()),1,0)</x:f>
        <x:v>1</x:v>
      </x:c>
      <x:c r="W1551" s="2" t="str">
        <x:f>'Design &amp; Insights'!M179</x:f>
        <x:v>Task</x:v>
      </x:c>
    </x:row>
    <x:row r="1552" ht="40" customHeight="1">
      <x:c r="A1552" s="3" t="str">
        <x:f>HYPERLINK("#'Design &amp; Insights'!A180","Open")</x:f>
        <x:v>Open</x:v>
      </x:c>
      <x:c r="B1552" s="2" t="str">
        <x:f>'Design &amp; Insights'!B180</x:f>
        <x:v>Cycle 2</x:v>
      </x:c>
      <x:c r="C1552" s="2" t="str">
        <x:f>'Design &amp; Insights'!C180</x:f>
        <x:v>Phase 2</x:v>
      </x:c>
      <x:c r="D1552" s="2" t="str">
        <x:f>'Design &amp; Insights'!D180</x:f>
        <x:v>Cards</x:v>
      </x:c>
      <x:c r="E1552" s="2" t="str">
        <x:v>Design &amp; Insights</x:v>
      </x:c>
      <x:c r="F1552" s="56" t="str">
        <x:f>'Design &amp; Insights'!E180</x:f>
        <x:v>DI.CA.2.5</x:v>
      </x:c>
      <x:c r="G1552" s="14" t="str">
        <x:f>'Design &amp; Insights'!F180</x:f>
        <x:v>Draft initial enhancement recommendations (as applicable)</x:v>
      </x:c>
      <x:c r="H1552" s="2" t="str">
        <x:f>IF('Design &amp; Insights'!G180="","",'Design &amp; Insights'!G180)</x:f>
      </x:c>
      <x:c r="I1552" s="12" t="str">
        <x:f>IF('Design &amp; Insights'!H180="","",'Design &amp; Insights'!H180)</x:f>
      </x:c>
      <x:c r="J1552" s="12" t="n">
        <x:f>IF('Design &amp; Insights'!I180="","",'Design &amp; Insights'!I180)</x:f>
        <x:v>46203</x:v>
      </x:c>
      <x:c r="K1552" s="12" t="str">
        <x:f>IF('Design &amp; Insights'!J180="","",'Design &amp; Insights'!J180)</x:f>
      </x:c>
      <x:c r="L1552" s="2" t="str">
        <x:f>IF('Design &amp; Insights'!K180="","",'Design &amp; Insights'!K180)</x:f>
      </x:c>
      <x:c r="M1552" s="2" t="n">
        <x:f>'Design &amp; Insights'!Q180</x:f>
        <x:v>1</x:v>
      </x:c>
      <x:c r="N1552" s="2" t="str">
        <x:f>'Design &amp; Insights'!L180</x:f>
        <x:v>Not started</x:v>
      </x:c>
      <x:c r="O1552" s="2" t="str">
        <x:f>'Design &amp; Insights'!N180</x:f>
        <x:v>DI.CA.2.5.2026.CY2</x:v>
      </x:c>
      <x:c r="P1552" s="2" t="n">
        <x:f>'Design &amp; Insights'!O180</x:f>
        <x:v>0</x:v>
      </x:c>
      <x:c r="Q1552" s="2" t="n">
        <x:f>SUBTOTAL(103,O1552)</x:f>
        <x:v>1</x:v>
      </x:c>
      <x:c r="R1552" s="2" t="n">
        <x:f>IF(AND(M1552=1,OR(Dashboard!$B$7="All",Dashboard!$B$7='Cycles &amp; Guide'!$C$5),OR(Dashboard!$D$7="All",Dashboard!$D$7=B1552),OR(Dashboard!$F$7="All",Dashboard!$F$7=C1552),OR(Dashboard!$H$7="All",Dashboard!$H$7=D1552),OR(Dashboard!$K$7="All",Dashboard!$K$7=E1552)),1,0)</x:f>
        <x:v>1</x:v>
      </x:c>
      <x:c r="S1552" s="2" t="n">
        <x:f>IF(R1552=1,SUM($R$10:R1552),0)</x:f>
        <x:v>1179</x:v>
      </x:c>
      <x:c r="T1552" s="2" t="str">
        <x:v>Design &amp; Insights</x:v>
      </x:c>
      <x:c r="U1552" s="2" t="n">
        <x:v>180</x:v>
      </x:c>
      <x:c r="V1552" s="2" t="n">
        <x:f>IF(AND(M1552=1,P1552=0,ISNUMBER(J1552),J1552&lt;TODAY()),1,0)</x:f>
        <x:v>1</x:v>
      </x:c>
      <x:c r="W1552" s="2" t="str">
        <x:f>'Design &amp; Insights'!M180</x:f>
        <x:v>Task</x:v>
      </x:c>
    </x:row>
    <x:row r="1553" ht="40" customHeight="1">
      <x:c r="A1553" s="3" t="str">
        <x:f>HYPERLINK("#'Design &amp; Insights'!A181","Open")</x:f>
        <x:v>Open</x:v>
      </x:c>
      <x:c r="B1553" s="2" t="str">
        <x:f>'Design &amp; Insights'!B181</x:f>
        <x:v>Cycle 2</x:v>
      </x:c>
      <x:c r="C1553" s="2" t="str">
        <x:f>'Design &amp; Insights'!C181</x:f>
        <x:v>Phase 2</x:v>
      </x:c>
      <x:c r="D1553" s="2" t="str">
        <x:f>'Design &amp; Insights'!D181</x:f>
        <x:v>Cards</x:v>
      </x:c>
      <x:c r="E1553" s="2" t="str">
        <x:v>Design &amp; Insights</x:v>
      </x:c>
      <x:c r="F1553" s="56" t="str">
        <x:f>'Design &amp; Insights'!E181</x:f>
        <x:v>DI.CA.2.6</x:v>
      </x:c>
      <x:c r="G1553" s="14" t="str">
        <x:f>'Design &amp; Insights'!F181</x:f>
        <x:v>Finalize presentation deck draft at conclusion of Research phase</x:v>
      </x:c>
      <x:c r="H1553" s="2" t="str">
        <x:f>IF('Design &amp; Insights'!G181="","",'Design &amp; Insights'!G181)</x:f>
      </x:c>
      <x:c r="I1553" s="12" t="str">
        <x:f>IF('Design &amp; Insights'!H181="","",'Design &amp; Insights'!H181)</x:f>
      </x:c>
      <x:c r="J1553" s="12" t="n">
        <x:f>IF('Design &amp; Insights'!I181="","",'Design &amp; Insights'!I181)</x:f>
        <x:v>46203</x:v>
      </x:c>
      <x:c r="K1553" s="12" t="str">
        <x:f>IF('Design &amp; Insights'!J181="","",'Design &amp; Insights'!J181)</x:f>
      </x:c>
      <x:c r="L1553" s="2" t="str">
        <x:f>IF('Design &amp; Insights'!K181="","",'Design &amp; Insights'!K181)</x:f>
      </x:c>
      <x:c r="M1553" s="2" t="n">
        <x:f>'Design &amp; Insights'!Q181</x:f>
        <x:v>1</x:v>
      </x:c>
      <x:c r="N1553" s="2" t="str">
        <x:f>'Design &amp; Insights'!L181</x:f>
        <x:v>Not started</x:v>
      </x:c>
      <x:c r="O1553" s="2" t="str">
        <x:f>'Design &amp; Insights'!N181</x:f>
        <x:v>DI.CA.2.6.2026.CY2</x:v>
      </x:c>
      <x:c r="P1553" s="2" t="n">
        <x:f>'Design &amp; Insights'!O181</x:f>
        <x:v>0</x:v>
      </x:c>
      <x:c r="Q1553" s="2" t="n">
        <x:f>SUBTOTAL(103,O1553)</x:f>
        <x:v>1</x:v>
      </x:c>
      <x:c r="R1553" s="2" t="n">
        <x:f>IF(AND(M1553=1,OR(Dashboard!$B$7="All",Dashboard!$B$7='Cycles &amp; Guide'!$C$5),OR(Dashboard!$D$7="All",Dashboard!$D$7=B1553),OR(Dashboard!$F$7="All",Dashboard!$F$7=C1553),OR(Dashboard!$H$7="All",Dashboard!$H$7=D1553),OR(Dashboard!$K$7="All",Dashboard!$K$7=E1553)),1,0)</x:f>
        <x:v>1</x:v>
      </x:c>
      <x:c r="S1553" s="2" t="n">
        <x:f>IF(R1553=1,SUM($R$10:R1553),0)</x:f>
        <x:v>1180</x:v>
      </x:c>
      <x:c r="T1553" s="2" t="str">
        <x:v>Design &amp; Insights</x:v>
      </x:c>
      <x:c r="U1553" s="2" t="n">
        <x:v>181</x:v>
      </x:c>
      <x:c r="V1553" s="2" t="n">
        <x:f>IF(AND(M1553=1,P1553=0,ISNUMBER(J1553),J1553&lt;TODAY()),1,0)</x:f>
        <x:v>1</x:v>
      </x:c>
      <x:c r="W1553" s="2" t="str">
        <x:f>'Design &amp; Insights'!M181</x:f>
        <x:v>Task</x:v>
      </x:c>
    </x:row>
    <x:row r="1554" ht="40" customHeight="1">
      <x:c r="A1554" s="3" t="str">
        <x:f>HYPERLINK("#'Design &amp; Insights'!A182","Open")</x:f>
        <x:v>Open</x:v>
      </x:c>
      <x:c r="B1554" s="2" t="str">
        <x:f>'Design &amp; Insights'!B182</x:f>
        <x:v>Cycle 2</x:v>
      </x:c>
      <x:c r="C1554" s="2" t="str">
        <x:f>'Design &amp; Insights'!C182</x:f>
        <x:v>Phase 2</x:v>
      </x:c>
      <x:c r="D1554" s="2" t="str">
        <x:f>'Design &amp; Insights'!D182</x:f>
        <x:v>Cards</x:v>
      </x:c>
      <x:c r="E1554" s="2" t="str">
        <x:v>Design &amp; Insights</x:v>
      </x:c>
      <x:c r="F1554" s="56" t="str">
        <x:f>'Design &amp; Insights'!E182</x:f>
        <x:v>DI.CA.2.7</x:v>
      </x:c>
      <x:c r="G1554" s="14" t="str">
        <x:f>'Design &amp; Insights'!F182</x:f>
        <x:v>Update Outcome portion of research plan with current enhancement verbiage (as needed)</x:v>
      </x:c>
      <x:c r="H1554" s="2" t="str">
        <x:f>IF('Design &amp; Insights'!G182="","",'Design &amp; Insights'!G182)</x:f>
      </x:c>
      <x:c r="I1554" s="12" t="str">
        <x:f>IF('Design &amp; Insights'!H182="","",'Design &amp; Insights'!H182)</x:f>
      </x:c>
      <x:c r="J1554" s="12" t="n">
        <x:f>IF('Design &amp; Insights'!I182="","",'Design &amp; Insights'!I182)</x:f>
        <x:v>46203</x:v>
      </x:c>
      <x:c r="K1554" s="12" t="str">
        <x:f>IF('Design &amp; Insights'!J182="","",'Design &amp; Insights'!J182)</x:f>
      </x:c>
      <x:c r="L1554" s="2" t="str">
        <x:f>IF('Design &amp; Insights'!K182="","",'Design &amp; Insights'!K182)</x:f>
      </x:c>
      <x:c r="M1554" s="2" t="n">
        <x:f>'Design &amp; Insights'!Q182</x:f>
        <x:v>1</x:v>
      </x:c>
      <x:c r="N1554" s="2" t="str">
        <x:f>'Design &amp; Insights'!L182</x:f>
        <x:v>Not started</x:v>
      </x:c>
      <x:c r="O1554" s="2" t="str">
        <x:f>'Design &amp; Insights'!N182</x:f>
        <x:v>DI.CA.2.7.2026.CY2</x:v>
      </x:c>
      <x:c r="P1554" s="2" t="n">
        <x:f>'Design &amp; Insights'!O182</x:f>
        <x:v>0</x:v>
      </x:c>
      <x:c r="Q1554" s="2" t="n">
        <x:f>SUBTOTAL(103,O1554)</x:f>
        <x:v>1</x:v>
      </x:c>
      <x:c r="R1554" s="2" t="n">
        <x:f>IF(AND(M1554=1,OR(Dashboard!$B$7="All",Dashboard!$B$7='Cycles &amp; Guide'!$C$5),OR(Dashboard!$D$7="All",Dashboard!$D$7=B1554),OR(Dashboard!$F$7="All",Dashboard!$F$7=C1554),OR(Dashboard!$H$7="All",Dashboard!$H$7=D1554),OR(Dashboard!$K$7="All",Dashboard!$K$7=E1554)),1,0)</x:f>
        <x:v>1</x:v>
      </x:c>
      <x:c r="S1554" s="2" t="n">
        <x:f>IF(R1554=1,SUM($R$10:R1554),0)</x:f>
        <x:v>1181</x:v>
      </x:c>
      <x:c r="T1554" s="2" t="str">
        <x:v>Design &amp; Insights</x:v>
      </x:c>
      <x:c r="U1554" s="2" t="n">
        <x:v>182</x:v>
      </x:c>
      <x:c r="V1554" s="2" t="n">
        <x:f>IF(AND(M1554=1,P1554=0,ISNUMBER(J1554),J1554&lt;TODAY()),1,0)</x:f>
        <x:v>1</x:v>
      </x:c>
      <x:c r="W1554" s="2" t="str">
        <x:f>'Design &amp; Insights'!M182</x:f>
        <x:v>Task</x:v>
      </x:c>
    </x:row>
    <x:row r="1555" ht="40" customHeight="1">
      <x:c r="A1555" s="3" t="str">
        <x:f>HYPERLINK("#'Design &amp; Insights'!A183","Open")</x:f>
        <x:v>Open</x:v>
      </x:c>
      <x:c r="B1555" s="2" t="str">
        <x:f>'Design &amp; Insights'!B183</x:f>
        <x:v>Cycle 2</x:v>
      </x:c>
      <x:c r="C1555" s="2" t="str">
        <x:f>'Design &amp; Insights'!C183</x:f>
        <x:v>Phase 3</x:v>
      </x:c>
      <x:c r="D1555" s="2" t="str">
        <x:f>'Design &amp; Insights'!D183</x:f>
        <x:v>Cards</x:v>
      </x:c>
      <x:c r="E1555" s="2" t="str">
        <x:v>Design &amp; Insights</x:v>
      </x:c>
      <x:c r="F1555" s="56" t="str">
        <x:f>'Design &amp; Insights'!E183</x:f>
        <x:v>DI.CA.3.1</x:v>
      </x:c>
      <x:c r="G1555" s="14" t="str">
        <x:f>'Design &amp; Insights'!F183</x:f>
        <x:v>Confirm list of required &amp; optional attendees for pre-socialization meeting</x:v>
      </x:c>
      <x:c r="H1555" s="2" t="str">
        <x:f>IF('Design &amp; Insights'!G183="","",'Design &amp; Insights'!G183)</x:f>
      </x:c>
      <x:c r="I1555" s="12" t="str">
        <x:f>IF('Design &amp; Insights'!H183="","",'Design &amp; Insights'!H183)</x:f>
      </x:c>
      <x:c r="J1555" s="12" t="n">
        <x:f>IF('Design &amp; Insights'!I183="","",'Design &amp; Insights'!I183)</x:f>
        <x:v>46203</x:v>
      </x:c>
      <x:c r="K1555" s="12" t="str">
        <x:f>IF('Design &amp; Insights'!J183="","",'Design &amp; Insights'!J183)</x:f>
      </x:c>
      <x:c r="L1555" s="2" t="str">
        <x:f>IF('Design &amp; Insights'!K183="","",'Design &amp; Insights'!K183)</x:f>
      </x:c>
      <x:c r="M1555" s="2" t="n">
        <x:f>'Design &amp; Insights'!Q183</x:f>
        <x:v>1</x:v>
      </x:c>
      <x:c r="N1555" s="2" t="str">
        <x:f>'Design &amp; Insights'!L183</x:f>
        <x:v>Not started</x:v>
      </x:c>
      <x:c r="O1555" s="2" t="str">
        <x:f>'Design &amp; Insights'!N183</x:f>
        <x:v>DI.CA.3.1.2026.CY2</x:v>
      </x:c>
      <x:c r="P1555" s="2" t="n">
        <x:f>'Design &amp; Insights'!O183</x:f>
        <x:v>0</x:v>
      </x:c>
      <x:c r="Q1555" s="2" t="n">
        <x:f>SUBTOTAL(103,O1555)</x:f>
        <x:v>1</x:v>
      </x:c>
      <x:c r="R1555" s="2" t="n">
        <x:f>IF(AND(M1555=1,OR(Dashboard!$B$7="All",Dashboard!$B$7='Cycles &amp; Guide'!$C$5),OR(Dashboard!$D$7="All",Dashboard!$D$7=B1555),OR(Dashboard!$F$7="All",Dashboard!$F$7=C1555),OR(Dashboard!$H$7="All",Dashboard!$H$7=D1555),OR(Dashboard!$K$7="All",Dashboard!$K$7=E1555)),1,0)</x:f>
        <x:v>1</x:v>
      </x:c>
      <x:c r="S1555" s="2" t="n">
        <x:f>IF(R1555=1,SUM($R$10:R1555),0)</x:f>
        <x:v>1182</x:v>
      </x:c>
      <x:c r="T1555" s="2" t="str">
        <x:v>Design &amp; Insights</x:v>
      </x:c>
      <x:c r="U1555" s="2" t="n">
        <x:v>183</x:v>
      </x:c>
      <x:c r="V1555" s="2" t="n">
        <x:f>IF(AND(M1555=1,P1555=0,ISNUMBER(J1555),J1555&lt;TODAY()),1,0)</x:f>
        <x:v>1</x:v>
      </x:c>
      <x:c r="W1555" s="2" t="str">
        <x:f>'Design &amp; Insights'!M183</x:f>
        <x:v>Task</x:v>
      </x:c>
    </x:row>
    <x:row r="1556" ht="40" customHeight="1">
      <x:c r="A1556" s="3" t="str">
        <x:f>HYPERLINK("#'Design &amp; Insights'!A184","Open")</x:f>
        <x:v>Open</x:v>
      </x:c>
      <x:c r="B1556" s="2" t="str">
        <x:f>'Design &amp; Insights'!B184</x:f>
        <x:v>Cycle 2</x:v>
      </x:c>
      <x:c r="C1556" s="2" t="str">
        <x:f>'Design &amp; Insights'!C184</x:f>
        <x:v>Phase 3</x:v>
      </x:c>
      <x:c r="D1556" s="2" t="str">
        <x:f>'Design &amp; Insights'!D184</x:f>
        <x:v>Cards</x:v>
      </x:c>
      <x:c r="E1556" s="2" t="str">
        <x:v>Design &amp; Insights</x:v>
      </x:c>
      <x:c r="F1556" s="56" t="str">
        <x:f>'Design &amp; Insights'!E184</x:f>
        <x:v>DI.CA.3.2</x:v>
      </x:c>
      <x:c r="G1556" s="14" t="str">
        <x:f>'Design &amp; Insights'!F184</x:f>
        <x:v>Schedule pre-socialization meeting 1 week prior to RCA Forum</x:v>
      </x:c>
      <x:c r="H1556" s="2" t="str">
        <x:f>IF('Design &amp; Insights'!G184="","",'Design &amp; Insights'!G184)</x:f>
      </x:c>
      <x:c r="I1556" s="12" t="str">
        <x:f>IF('Design &amp; Insights'!H184="","",'Design &amp; Insights'!H184)</x:f>
      </x:c>
      <x:c r="J1556" s="12" t="str">
        <x:f>IF('Design &amp; Insights'!I184="","",'Design &amp; Insights'!I184)</x:f>
      </x:c>
      <x:c r="K1556" s="12" t="str">
        <x:f>IF('Design &amp; Insights'!J184="","",'Design &amp; Insights'!J184)</x:f>
      </x:c>
      <x:c r="L1556" s="2" t="str">
        <x:f>IF('Design &amp; Insights'!K184="","",'Design &amp; Insights'!K184)</x:f>
      </x:c>
      <x:c r="M1556" s="2" t="n">
        <x:f>'Design &amp; Insights'!Q184</x:f>
        <x:v>1</x:v>
      </x:c>
      <x:c r="N1556" s="2" t="str">
        <x:f>'Design &amp; Insights'!L184</x:f>
        <x:v>Not started</x:v>
      </x:c>
      <x:c r="O1556" s="2" t="str">
        <x:f>'Design &amp; Insights'!N184</x:f>
        <x:v>DI.CA.3.2.2026.CY2</x:v>
      </x:c>
      <x:c r="P1556" s="2" t="n">
        <x:f>'Design &amp; Insights'!O184</x:f>
        <x:v>0</x:v>
      </x:c>
      <x:c r="Q1556" s="2" t="n">
        <x:f>SUBTOTAL(103,O1556)</x:f>
        <x:v>1</x:v>
      </x:c>
      <x:c r="R1556" s="2" t="n">
        <x:f>IF(AND(M1556=1,OR(Dashboard!$B$7="All",Dashboard!$B$7='Cycles &amp; Guide'!$C$5),OR(Dashboard!$D$7="All",Dashboard!$D$7=B1556),OR(Dashboard!$F$7="All",Dashboard!$F$7=C1556),OR(Dashboard!$H$7="All",Dashboard!$H$7=D1556),OR(Dashboard!$K$7="All",Dashboard!$K$7=E1556)),1,0)</x:f>
        <x:v>1</x:v>
      </x:c>
      <x:c r="S1556" s="2" t="n">
        <x:f>IF(R1556=1,SUM($R$10:R1556),0)</x:f>
        <x:v>1183</x:v>
      </x:c>
      <x:c r="T1556" s="2" t="str">
        <x:v>Design &amp; Insights</x:v>
      </x:c>
      <x:c r="U1556" s="2" t="n">
        <x:v>184</x:v>
      </x:c>
      <x:c r="V1556" s="2" t="n">
        <x:f>IF(AND(M1556=1,P1556=0,ISNUMBER(J1556),J1556&lt;TODAY()),1,0)</x:f>
        <x:v>0</x:v>
      </x:c>
      <x:c r="W1556" s="2" t="str">
        <x:f>'Design &amp; Insights'!M184</x:f>
        <x:v>Task</x:v>
      </x:c>
    </x:row>
    <x:row r="1557" ht="40" customHeight="1">
      <x:c r="A1557" s="3" t="str">
        <x:f>HYPERLINK("#'Design &amp; Insights'!A185","Open")</x:f>
        <x:v>Open</x:v>
      </x:c>
      <x:c r="B1557" s="2" t="str">
        <x:f>'Design &amp; Insights'!B185</x:f>
        <x:v>Cycle 2</x:v>
      </x:c>
      <x:c r="C1557" s="2" t="str">
        <x:f>'Design &amp; Insights'!C185</x:f>
        <x:v>Phase 3</x:v>
      </x:c>
      <x:c r="D1557" s="2" t="str">
        <x:f>'Design &amp; Insights'!D185</x:f>
        <x:v>Cards</x:v>
      </x:c>
      <x:c r="E1557" s="2" t="str">
        <x:v>Design &amp; Insights</x:v>
      </x:c>
      <x:c r="F1557" s="56" t="str">
        <x:f>'Design &amp; Insights'!E185</x:f>
        <x:v>DI.CA.3.3</x:v>
      </x:c>
      <x:c r="G1557" s="14" t="str">
        <x:f>'Design &amp; Insights'!F185</x:f>
        <x:v>Present findings, conclusions, and recommendation to SMEs</x:v>
      </x:c>
      <x:c r="H1557" s="2" t="str">
        <x:f>IF('Design &amp; Insights'!G185="","",'Design &amp; Insights'!G185)</x:f>
      </x:c>
      <x:c r="I1557" s="12" t="str">
        <x:f>IF('Design &amp; Insights'!H185="","",'Design &amp; Insights'!H185)</x:f>
      </x:c>
      <x:c r="J1557" s="12" t="n">
        <x:f>IF('Design &amp; Insights'!I185="","",'Design &amp; Insights'!I185)</x:f>
        <x:v>46203</x:v>
      </x:c>
      <x:c r="K1557" s="12" t="str">
        <x:f>IF('Design &amp; Insights'!J185="","",'Design &amp; Insights'!J185)</x:f>
      </x:c>
      <x:c r="L1557" s="2" t="str">
        <x:f>IF('Design &amp; Insights'!K185="","",'Design &amp; Insights'!K185)</x:f>
      </x:c>
      <x:c r="M1557" s="2" t="n">
        <x:f>'Design &amp; Insights'!Q185</x:f>
        <x:v>1</x:v>
      </x:c>
      <x:c r="N1557" s="2" t="str">
        <x:f>'Design &amp; Insights'!L185</x:f>
        <x:v>Not started</x:v>
      </x:c>
      <x:c r="O1557" s="2" t="str">
        <x:f>'Design &amp; Insights'!N185</x:f>
        <x:v>DI.CA.3.3.2026.CY2</x:v>
      </x:c>
      <x:c r="P1557" s="2" t="n">
        <x:f>'Design &amp; Insights'!O185</x:f>
        <x:v>0</x:v>
      </x:c>
      <x:c r="Q1557" s="2" t="n">
        <x:f>SUBTOTAL(103,O1557)</x:f>
        <x:v>1</x:v>
      </x:c>
      <x:c r="R1557" s="2" t="n">
        <x:f>IF(AND(M1557=1,OR(Dashboard!$B$7="All",Dashboard!$B$7='Cycles &amp; Guide'!$C$5),OR(Dashboard!$D$7="All",Dashboard!$D$7=B1557),OR(Dashboard!$F$7="All",Dashboard!$F$7=C1557),OR(Dashboard!$H$7="All",Dashboard!$H$7=D1557),OR(Dashboard!$K$7="All",Dashboard!$K$7=E1557)),1,0)</x:f>
        <x:v>1</x:v>
      </x:c>
      <x:c r="S1557" s="2" t="n">
        <x:f>IF(R1557=1,SUM($R$10:R1557),0)</x:f>
        <x:v>1184</x:v>
      </x:c>
      <x:c r="T1557" s="2" t="str">
        <x:v>Design &amp; Insights</x:v>
      </x:c>
      <x:c r="U1557" s="2" t="n">
        <x:v>185</x:v>
      </x:c>
      <x:c r="V1557" s="2" t="n">
        <x:f>IF(AND(M1557=1,P1557=0,ISNUMBER(J1557),J1557&lt;TODAY()),1,0)</x:f>
        <x:v>1</x:v>
      </x:c>
      <x:c r="W1557" s="2" t="str">
        <x:f>'Design &amp; Insights'!M185</x:f>
        <x:v>Task</x:v>
      </x:c>
    </x:row>
    <x:row r="1558" ht="40" customHeight="1">
      <x:c r="A1558" s="3" t="str">
        <x:f>HYPERLINK("#'Design &amp; Insights'!A186","Open")</x:f>
        <x:v>Open</x:v>
      </x:c>
      <x:c r="B1558" s="2" t="str">
        <x:f>'Design &amp; Insights'!B186</x:f>
        <x:v>Cycle 2</x:v>
      </x:c>
      <x:c r="C1558" s="2" t="str">
        <x:f>'Design &amp; Insights'!C186</x:f>
        <x:v>Phase 3</x:v>
      </x:c>
      <x:c r="D1558" s="2" t="str">
        <x:f>'Design &amp; Insights'!D186</x:f>
        <x:v>Cards</x:v>
      </x:c>
      <x:c r="E1558" s="2" t="str">
        <x:v>Design &amp; Insights</x:v>
      </x:c>
      <x:c r="F1558" s="56" t="str">
        <x:f>'Design &amp; Insights'!E186</x:f>
        <x:v>DI.CA.3.4</x:v>
      </x:c>
      <x:c r="G1558" s="14" t="str">
        <x:f>'Design &amp; Insights'!F186</x:f>
        <x:v>Update Outcome portion of research plan (as needed)</x:v>
      </x:c>
      <x:c r="H1558" s="2" t="str">
        <x:f>IF('Design &amp; Insights'!G186="","",'Design &amp; Insights'!G186)</x:f>
      </x:c>
      <x:c r="I1558" s="12" t="str">
        <x:f>IF('Design &amp; Insights'!H186="","",'Design &amp; Insights'!H186)</x:f>
      </x:c>
      <x:c r="J1558" s="12" t="n">
        <x:f>IF('Design &amp; Insights'!I186="","",'Design &amp; Insights'!I186)</x:f>
        <x:v>46203</x:v>
      </x:c>
      <x:c r="K1558" s="12" t="str">
        <x:f>IF('Design &amp; Insights'!J186="","",'Design &amp; Insights'!J186)</x:f>
      </x:c>
      <x:c r="L1558" s="2" t="str">
        <x:f>IF('Design &amp; Insights'!K186="","",'Design &amp; Insights'!K186)</x:f>
      </x:c>
      <x:c r="M1558" s="2" t="n">
        <x:f>'Design &amp; Insights'!Q186</x:f>
        <x:v>1</x:v>
      </x:c>
      <x:c r="N1558" s="2" t="str">
        <x:f>'Design &amp; Insights'!L186</x:f>
        <x:v>Not started</x:v>
      </x:c>
      <x:c r="O1558" s="2" t="str">
        <x:f>'Design &amp; Insights'!N186</x:f>
        <x:v>DI.CA.3.4.2026.CY2</x:v>
      </x:c>
      <x:c r="P1558" s="2" t="n">
        <x:f>'Design &amp; Insights'!O186</x:f>
        <x:v>0</x:v>
      </x:c>
      <x:c r="Q1558" s="2" t="n">
        <x:f>SUBTOTAL(103,O1558)</x:f>
        <x:v>1</x:v>
      </x:c>
      <x:c r="R1558" s="2" t="n">
        <x:f>IF(AND(M1558=1,OR(Dashboard!$B$7="All",Dashboard!$B$7='Cycles &amp; Guide'!$C$5),OR(Dashboard!$D$7="All",Dashboard!$D$7=B1558),OR(Dashboard!$F$7="All",Dashboard!$F$7=C1558),OR(Dashboard!$H$7="All",Dashboard!$H$7=D1558),OR(Dashboard!$K$7="All",Dashboard!$K$7=E1558)),1,0)</x:f>
        <x:v>1</x:v>
      </x:c>
      <x:c r="S1558" s="2" t="n">
        <x:f>IF(R1558=1,SUM($R$10:R1558),0)</x:f>
        <x:v>1185</x:v>
      </x:c>
      <x:c r="T1558" s="2" t="str">
        <x:v>Design &amp; Insights</x:v>
      </x:c>
      <x:c r="U1558" s="2" t="n">
        <x:v>186</x:v>
      </x:c>
      <x:c r="V1558" s="2" t="n">
        <x:f>IF(AND(M1558=1,P1558=0,ISNUMBER(J1558),J1558&lt;TODAY()),1,0)</x:f>
        <x:v>1</x:v>
      </x:c>
      <x:c r="W1558" s="2" t="str">
        <x:f>'Design &amp; Insights'!M186</x:f>
        <x:v>Task</x:v>
      </x:c>
    </x:row>
    <x:row r="1559" ht="40" customHeight="1">
      <x:c r="A1559" s="3" t="str">
        <x:f>HYPERLINK("#'Design &amp; Insights'!A187","Open")</x:f>
        <x:v>Open</x:v>
      </x:c>
      <x:c r="B1559" s="2" t="str">
        <x:f>'Design &amp; Insights'!B187</x:f>
        <x:v>Cycle 2</x:v>
      </x:c>
      <x:c r="C1559" s="2" t="str">
        <x:f>'Design &amp; Insights'!C187</x:f>
        <x:v>Phase 3</x:v>
      </x:c>
      <x:c r="D1559" s="2" t="str">
        <x:f>'Design &amp; Insights'!D187</x:f>
        <x:v>Cards</x:v>
      </x:c>
      <x:c r="E1559" s="2" t="str">
        <x:v>Design &amp; Insights</x:v>
      </x:c>
      <x:c r="F1559" s="56" t="str">
        <x:f>'Design &amp; Insights'!E187</x:f>
        <x:v>DI.CA.3.5</x:v>
      </x:c>
      <x:c r="G1559" s="14" t="str">
        <x:f>'Design &amp; Insights'!F187</x:f>
        <x:v>Finalize presentation deck by incorporating pre-socialization feedback (as needed)</x:v>
      </x:c>
      <x:c r="H1559" s="2" t="str">
        <x:f>IF('Design &amp; Insights'!G187="","",'Design &amp; Insights'!G187)</x:f>
      </x:c>
      <x:c r="I1559" s="12" t="str">
        <x:f>IF('Design &amp; Insights'!H187="","",'Design &amp; Insights'!H187)</x:f>
      </x:c>
      <x:c r="J1559" s="12" t="n">
        <x:f>IF('Design &amp; Insights'!I187="","",'Design &amp; Insights'!I187)</x:f>
        <x:v>46203</x:v>
      </x:c>
      <x:c r="K1559" s="12" t="str">
        <x:f>IF('Design &amp; Insights'!J187="","",'Design &amp; Insights'!J187)</x:f>
      </x:c>
      <x:c r="L1559" s="2" t="str">
        <x:f>IF('Design &amp; Insights'!K187="","",'Design &amp; Insights'!K187)</x:f>
      </x:c>
      <x:c r="M1559" s="2" t="n">
        <x:f>'Design &amp; Insights'!Q187</x:f>
        <x:v>1</x:v>
      </x:c>
      <x:c r="N1559" s="2" t="str">
        <x:f>'Design &amp; Insights'!L187</x:f>
        <x:v>Not started</x:v>
      </x:c>
      <x:c r="O1559" s="2" t="str">
        <x:f>'Design &amp; Insights'!N187</x:f>
        <x:v>DI.CA.3.5.2026.CY2</x:v>
      </x:c>
      <x:c r="P1559" s="2" t="n">
        <x:f>'Design &amp; Insights'!O187</x:f>
        <x:v>0</x:v>
      </x:c>
      <x:c r="Q1559" s="2" t="n">
        <x:f>SUBTOTAL(103,O1559)</x:f>
        <x:v>1</x:v>
      </x:c>
      <x:c r="R1559" s="2" t="n">
        <x:f>IF(AND(M1559=1,OR(Dashboard!$B$7="All",Dashboard!$B$7='Cycles &amp; Guide'!$C$5),OR(Dashboard!$D$7="All",Dashboard!$D$7=B1559),OR(Dashboard!$F$7="All",Dashboard!$F$7=C1559),OR(Dashboard!$H$7="All",Dashboard!$H$7=D1559),OR(Dashboard!$K$7="All",Dashboard!$K$7=E1559)),1,0)</x:f>
        <x:v>1</x:v>
      </x:c>
      <x:c r="S1559" s="2" t="n">
        <x:f>IF(R1559=1,SUM($R$10:R1559),0)</x:f>
        <x:v>1186</x:v>
      </x:c>
      <x:c r="T1559" s="2" t="str">
        <x:v>Design &amp; Insights</x:v>
      </x:c>
      <x:c r="U1559" s="2" t="n">
        <x:v>187</x:v>
      </x:c>
      <x:c r="V1559" s="2" t="n">
        <x:f>IF(AND(M1559=1,P1559=0,ISNUMBER(J1559),J1559&lt;TODAY()),1,0)</x:f>
        <x:v>1</x:v>
      </x:c>
      <x:c r="W1559" s="2" t="str">
        <x:f>'Design &amp; Insights'!M187</x:f>
        <x:v>Task</x:v>
      </x:c>
    </x:row>
    <x:row r="1560" ht="40" customHeight="1">
      <x:c r="A1560" s="3" t="str">
        <x:f>HYPERLINK("#'Design &amp; Insights'!A188","Open")</x:f>
        <x:v>Open</x:v>
      </x:c>
      <x:c r="B1560" s="2" t="str">
        <x:f>'Design &amp; Insights'!B188</x:f>
        <x:v>Cycle 2</x:v>
      </x:c>
      <x:c r="C1560" s="2" t="str">
        <x:f>'Design &amp; Insights'!C188</x:f>
        <x:v>Phase 3</x:v>
      </x:c>
      <x:c r="D1560" s="2" t="str">
        <x:f>'Design &amp; Insights'!D188</x:f>
        <x:v>Cards</x:v>
      </x:c>
      <x:c r="E1560" s="2" t="str">
        <x:v>Design &amp; Insights</x:v>
      </x:c>
      <x:c r="F1560" s="56" t="str">
        <x:f>'Design &amp; Insights'!E188</x:f>
        <x:v>DI.CA.3.6</x:v>
      </x:c>
      <x:c r="G1560" s="14" t="str">
        <x:f>'Design &amp; Insights'!F188</x:f>
        <x:v>Ensure final deck is communicated to Forum attendees</x:v>
      </x:c>
      <x:c r="H1560" s="2" t="str">
        <x:f>IF('Design &amp; Insights'!G188="","",'Design &amp; Insights'!G188)</x:f>
      </x:c>
      <x:c r="I1560" s="12" t="str">
        <x:f>IF('Design &amp; Insights'!H188="","",'Design &amp; Insights'!H188)</x:f>
      </x:c>
      <x:c r="J1560" s="12" t="n">
        <x:f>IF('Design &amp; Insights'!I188="","",'Design &amp; Insights'!I188)</x:f>
        <x:v>46203</x:v>
      </x:c>
      <x:c r="K1560" s="12" t="str">
        <x:f>IF('Design &amp; Insights'!J188="","",'Design &amp; Insights'!J188)</x:f>
      </x:c>
      <x:c r="L1560" s="2" t="str">
        <x:f>IF('Design &amp; Insights'!K188="","",'Design &amp; Insights'!K188)</x:f>
      </x:c>
      <x:c r="M1560" s="2" t="n">
        <x:f>'Design &amp; Insights'!Q188</x:f>
        <x:v>1</x:v>
      </x:c>
      <x:c r="N1560" s="2" t="str">
        <x:f>'Design &amp; Insights'!L188</x:f>
        <x:v>Not started</x:v>
      </x:c>
      <x:c r="O1560" s="2" t="str">
        <x:f>'Design &amp; Insights'!N188</x:f>
        <x:v>DI.CA.3.6.2026.CY2</x:v>
      </x:c>
      <x:c r="P1560" s="2" t="n">
        <x:f>'Design &amp; Insights'!O188</x:f>
        <x:v>0</x:v>
      </x:c>
      <x:c r="Q1560" s="2" t="n">
        <x:f>SUBTOTAL(103,O1560)</x:f>
        <x:v>1</x:v>
      </x:c>
      <x:c r="R1560" s="2" t="n">
        <x:f>IF(AND(M1560=1,OR(Dashboard!$B$7="All",Dashboard!$B$7='Cycles &amp; Guide'!$C$5),OR(Dashboard!$D$7="All",Dashboard!$D$7=B1560),OR(Dashboard!$F$7="All",Dashboard!$F$7=C1560),OR(Dashboard!$H$7="All",Dashboard!$H$7=D1560),OR(Dashboard!$K$7="All",Dashboard!$K$7=E1560)),1,0)</x:f>
        <x:v>1</x:v>
      </x:c>
      <x:c r="S1560" s="2" t="n">
        <x:f>IF(R1560=1,SUM($R$10:R1560),0)</x:f>
        <x:v>1187</x:v>
      </x:c>
      <x:c r="T1560" s="2" t="str">
        <x:v>Design &amp; Insights</x:v>
      </x:c>
      <x:c r="U1560" s="2" t="n">
        <x:v>188</x:v>
      </x:c>
      <x:c r="V1560" s="2" t="n">
        <x:f>IF(AND(M1560=1,P1560=0,ISNUMBER(J1560),J1560&lt;TODAY()),1,0)</x:f>
        <x:v>1</x:v>
      </x:c>
      <x:c r="W1560" s="2" t="str">
        <x:f>'Design &amp; Insights'!M188</x:f>
        <x:v>Task</x:v>
      </x:c>
    </x:row>
    <x:row r="1561" ht="40" customHeight="1">
      <x:c r="A1561" s="3" t="str">
        <x:f>HYPERLINK("#'Design &amp; Insights'!A189","Open")</x:f>
        <x:v>Open</x:v>
      </x:c>
      <x:c r="B1561" s="2" t="str">
        <x:f>'Design &amp; Insights'!B189</x:f>
        <x:v>Cycle 2</x:v>
      </x:c>
      <x:c r="C1561" s="2" t="str">
        <x:f>'Design &amp; Insights'!C189</x:f>
        <x:v>Phase 3</x:v>
      </x:c>
      <x:c r="D1561" s="2" t="str">
        <x:f>'Design &amp; Insights'!D189</x:f>
        <x:v>Cards</x:v>
      </x:c>
      <x:c r="E1561" s="2" t="str">
        <x:v>Design &amp; Insights</x:v>
      </x:c>
      <x:c r="F1561" s="56" t="str">
        <x:f>'Design &amp; Insights'!E189</x:f>
        <x:v>DI.CA.3.7</x:v>
      </x:c>
      <x:c r="G1561" s="14" t="str">
        <x:f>'Design &amp; Insights'!F189</x:f>
        <x:v>Present material in RCA Cycle Forum</x:v>
      </x:c>
      <x:c r="H1561" s="2" t="str">
        <x:f>IF('Design &amp; Insights'!G189="","",'Design &amp; Insights'!G189)</x:f>
      </x:c>
      <x:c r="I1561" s="12" t="str">
        <x:f>IF('Design &amp; Insights'!H189="","",'Design &amp; Insights'!H189)</x:f>
      </x:c>
      <x:c r="J1561" s="12" t="str">
        <x:f>IF('Design &amp; Insights'!I189="","",'Design &amp; Insights'!I189)</x:f>
      </x:c>
      <x:c r="K1561" s="12" t="str">
        <x:f>IF('Design &amp; Insights'!J189="","",'Design &amp; Insights'!J189)</x:f>
      </x:c>
      <x:c r="L1561" s="2" t="str">
        <x:f>IF('Design &amp; Insights'!K189="","",'Design &amp; Insights'!K189)</x:f>
      </x:c>
      <x:c r="M1561" s="2" t="n">
        <x:f>'Design &amp; Insights'!Q189</x:f>
        <x:v>1</x:v>
      </x:c>
      <x:c r="N1561" s="2" t="str">
        <x:f>'Design &amp; Insights'!L189</x:f>
        <x:v>Not started</x:v>
      </x:c>
      <x:c r="O1561" s="2" t="str">
        <x:f>'Design &amp; Insights'!N189</x:f>
        <x:v>DI.CA.3.7.2026.CY2</x:v>
      </x:c>
      <x:c r="P1561" s="2" t="n">
        <x:f>'Design &amp; Insights'!O189</x:f>
        <x:v>0</x:v>
      </x:c>
      <x:c r="Q1561" s="2" t="n">
        <x:f>SUBTOTAL(103,O1561)</x:f>
        <x:v>1</x:v>
      </x:c>
      <x:c r="R1561" s="2" t="n">
        <x:f>IF(AND(M1561=1,OR(Dashboard!$B$7="All",Dashboard!$B$7='Cycles &amp; Guide'!$C$5),OR(Dashboard!$D$7="All",Dashboard!$D$7=B1561),OR(Dashboard!$F$7="All",Dashboard!$F$7=C1561),OR(Dashboard!$H$7="All",Dashboard!$H$7=D1561),OR(Dashboard!$K$7="All",Dashboard!$K$7=E1561)),1,0)</x:f>
        <x:v>1</x:v>
      </x:c>
      <x:c r="S1561" s="2" t="n">
        <x:f>IF(R1561=1,SUM($R$10:R1561),0)</x:f>
        <x:v>1188</x:v>
      </x:c>
      <x:c r="T1561" s="2" t="str">
        <x:v>Design &amp; Insights</x:v>
      </x:c>
      <x:c r="U1561" s="2" t="n">
        <x:v>189</x:v>
      </x:c>
      <x:c r="V1561" s="2" t="n">
        <x:f>IF(AND(M1561=1,P1561=0,ISNUMBER(J1561),J1561&lt;TODAY()),1,0)</x:f>
        <x:v>0</x:v>
      </x:c>
      <x:c r="W1561" s="2" t="str">
        <x:f>'Design &amp; Insights'!M189</x:f>
        <x:v>Task</x:v>
      </x:c>
    </x:row>
    <x:row r="1562" ht="40" customHeight="1">
      <x:c r="A1562" s="3" t="str">
        <x:f>HYPERLINK("#'Design &amp; Insights'!A190","Open")</x:f>
        <x:v>Open</x:v>
      </x:c>
      <x:c r="B1562" s="2" t="str">
        <x:f>'Design &amp; Insights'!B190</x:f>
        <x:v>Cycle 2</x:v>
      </x:c>
      <x:c r="C1562" s="2" t="str">
        <x:f>'Design &amp; Insights'!C190</x:f>
        <x:v>Phase 1</x:v>
      </x:c>
      <x:c r="D1562" s="2" t="str">
        <x:f>'Design &amp; Insights'!D190</x:f>
        <x:v>CSBBO - Banking Ops</x:v>
      </x:c>
      <x:c r="E1562" s="2" t="str">
        <x:v>Design &amp; Insights</x:v>
      </x:c>
      <x:c r="F1562" s="56" t="str">
        <x:f>'Design &amp; Insights'!E190</x:f>
        <x:v>DI.BO.1.1</x:v>
      </x:c>
      <x:c r="G1562" s="14" t="str">
        <x:f>'Design &amp; Insights'!F190</x:f>
        <x:v>Receive and review potential research topics at least 2 weeks prior to Cycle start date</x:v>
      </x:c>
      <x:c r="H1562" s="2" t="str">
        <x:f>IF('Design &amp; Insights'!G190="","",'Design &amp; Insights'!G190)</x:f>
      </x:c>
      <x:c r="I1562" s="12" t="str">
        <x:f>IF('Design &amp; Insights'!H190="","",'Design &amp; Insights'!H190)</x:f>
      </x:c>
      <x:c r="J1562" s="12" t="n">
        <x:f>IF('Design &amp; Insights'!I190="","",'Design &amp; Insights'!I190)</x:f>
        <x:v>46099</x:v>
      </x:c>
      <x:c r="K1562" s="12" t="str">
        <x:f>IF('Design &amp; Insights'!J190="","",'Design &amp; Insights'!J190)</x:f>
      </x:c>
      <x:c r="L1562" s="2" t="str">
        <x:f>IF('Design &amp; Insights'!K190="","",'Design &amp; Insights'!K190)</x:f>
      </x:c>
      <x:c r="M1562" s="2" t="n">
        <x:f>'Design &amp; Insights'!Q190</x:f>
        <x:v>1</x:v>
      </x:c>
      <x:c r="N1562" s="2" t="str">
        <x:f>'Design &amp; Insights'!L190</x:f>
        <x:v>Not started</x:v>
      </x:c>
      <x:c r="O1562" s="2" t="str">
        <x:f>'Design &amp; Insights'!N190</x:f>
        <x:v>DI.BO.1.1.2026.CY2</x:v>
      </x:c>
      <x:c r="P1562" s="2" t="n">
        <x:f>'Design &amp; Insights'!O190</x:f>
        <x:v>0</x:v>
      </x:c>
      <x:c r="Q1562" s="2" t="n">
        <x:f>SUBTOTAL(103,O1562)</x:f>
        <x:v>1</x:v>
      </x:c>
      <x:c r="R1562" s="2" t="n">
        <x:f>IF(AND(M1562=1,OR(Dashboard!$B$7="All",Dashboard!$B$7='Cycles &amp; Guide'!$C$5),OR(Dashboard!$D$7="All",Dashboard!$D$7=B1562),OR(Dashboard!$F$7="All",Dashboard!$F$7=C1562),OR(Dashboard!$H$7="All",Dashboard!$H$7=D1562),OR(Dashboard!$K$7="All",Dashboard!$K$7=E1562)),1,0)</x:f>
        <x:v>1</x:v>
      </x:c>
      <x:c r="S1562" s="2" t="n">
        <x:f>IF(R1562=1,SUM($R$10:R1562),0)</x:f>
        <x:v>1189</x:v>
      </x:c>
      <x:c r="T1562" s="2" t="str">
        <x:v>Design &amp; Insights</x:v>
      </x:c>
      <x:c r="U1562" s="2" t="n">
        <x:v>190</x:v>
      </x:c>
      <x:c r="V1562" s="2" t="n">
        <x:f>IF(AND(M1562=1,P1562=0,ISNUMBER(J1562),J1562&lt;TODAY()),1,0)</x:f>
        <x:v>1</x:v>
      </x:c>
      <x:c r="W1562" s="2" t="str">
        <x:f>'Design &amp; Insights'!M190</x:f>
        <x:v>Task</x:v>
      </x:c>
    </x:row>
    <x:row r="1563" ht="40" customHeight="1">
      <x:c r="A1563" s="3" t="str">
        <x:f>HYPERLINK("#'Design &amp; Insights'!A191","Open")</x:f>
        <x:v>Open</x:v>
      </x:c>
      <x:c r="B1563" s="2" t="str">
        <x:f>'Design &amp; Insights'!B191</x:f>
        <x:v>Cycle 2</x:v>
      </x:c>
      <x:c r="C1563" s="2" t="str">
        <x:f>'Design &amp; Insights'!C191</x:f>
        <x:v>Phase 1</x:v>
      </x:c>
      <x:c r="D1563" s="2" t="str">
        <x:f>'Design &amp; Insights'!D191</x:f>
        <x:v>CSBBO - Banking Ops</x:v>
      </x:c>
      <x:c r="E1563" s="2" t="str">
        <x:v>Design &amp; Insights</x:v>
      </x:c>
      <x:c r="F1563" s="56" t="str">
        <x:f>'Design &amp; Insights'!E191</x:f>
        <x:v>DI.BO.1.2</x:v>
      </x:c>
      <x:c r="G1563" s="14" t="str">
        <x:f>'Design &amp; Insights'!F191</x:f>
        <x:v>Communicate any feedback on preferences or concerns with topics identified</x:v>
      </x:c>
      <x:c r="H1563" s="2" t="str">
        <x:f>IF('Design &amp; Insights'!G191="","",'Design &amp; Insights'!G191)</x:f>
      </x:c>
      <x:c r="I1563" s="12" t="str">
        <x:f>IF('Design &amp; Insights'!H191="","",'Design &amp; Insights'!H191)</x:f>
      </x:c>
      <x:c r="J1563" s="12" t="n">
        <x:f>IF('Design &amp; Insights'!I191="","",'Design &amp; Insights'!I191)</x:f>
        <x:v>46203</x:v>
      </x:c>
      <x:c r="K1563" s="12" t="str">
        <x:f>IF('Design &amp; Insights'!J191="","",'Design &amp; Insights'!J191)</x:f>
      </x:c>
      <x:c r="L1563" s="2" t="str">
        <x:f>IF('Design &amp; Insights'!K191="","",'Design &amp; Insights'!K191)</x:f>
      </x:c>
      <x:c r="M1563" s="2" t="n">
        <x:f>'Design &amp; Insights'!Q191</x:f>
        <x:v>1</x:v>
      </x:c>
      <x:c r="N1563" s="2" t="str">
        <x:f>'Design &amp; Insights'!L191</x:f>
        <x:v>Not started</x:v>
      </x:c>
      <x:c r="O1563" s="2" t="str">
        <x:f>'Design &amp; Insights'!N191</x:f>
        <x:v>DI.BO.1.2.2026.CY2</x:v>
      </x:c>
      <x:c r="P1563" s="2" t="n">
        <x:f>'Design &amp; Insights'!O191</x:f>
        <x:v>0</x:v>
      </x:c>
      <x:c r="Q1563" s="2" t="n">
        <x:f>SUBTOTAL(103,O1563)</x:f>
        <x:v>1</x:v>
      </x:c>
      <x:c r="R1563" s="2" t="n">
        <x:f>IF(AND(M1563=1,OR(Dashboard!$B$7="All",Dashboard!$B$7='Cycles &amp; Guide'!$C$5),OR(Dashboard!$D$7="All",Dashboard!$D$7=B1563),OR(Dashboard!$F$7="All",Dashboard!$F$7=C1563),OR(Dashboard!$H$7="All",Dashboard!$H$7=D1563),OR(Dashboard!$K$7="All",Dashboard!$K$7=E1563)),1,0)</x:f>
        <x:v>1</x:v>
      </x:c>
      <x:c r="S1563" s="2" t="n">
        <x:f>IF(R1563=1,SUM($R$10:R1563),0)</x:f>
        <x:v>1190</x:v>
      </x:c>
      <x:c r="T1563" s="2" t="str">
        <x:v>Design &amp; Insights</x:v>
      </x:c>
      <x:c r="U1563" s="2" t="n">
        <x:v>191</x:v>
      </x:c>
      <x:c r="V1563" s="2" t="n">
        <x:f>IF(AND(M1563=1,P1563=0,ISNUMBER(J1563),J1563&lt;TODAY()),1,0)</x:f>
        <x:v>1</x:v>
      </x:c>
      <x:c r="W1563" s="2" t="str">
        <x:f>'Design &amp; Insights'!M191</x:f>
        <x:v>Task</x:v>
      </x:c>
    </x:row>
    <x:row r="1564" ht="40" customHeight="1">
      <x:c r="A1564" s="3" t="str">
        <x:f>HYPERLINK("#'Design &amp; Insights'!A192","Open")</x:f>
        <x:v>Open</x:v>
      </x:c>
      <x:c r="B1564" s="2" t="str">
        <x:f>'Design &amp; Insights'!B192</x:f>
        <x:v>Cycle 2</x:v>
      </x:c>
      <x:c r="C1564" s="2" t="str">
        <x:f>'Design &amp; Insights'!C192</x:f>
        <x:v>Phase 1</x:v>
      </x:c>
      <x:c r="D1564" s="2" t="str">
        <x:f>'Design &amp; Insights'!D192</x:f>
        <x:v>CSBBO - Banking Ops</x:v>
      </x:c>
      <x:c r="E1564" s="2" t="str">
        <x:v>Design &amp; Insights</x:v>
      </x:c>
      <x:c r="F1564" s="56" t="str">
        <x:f>'Design &amp; Insights'!E192</x:f>
        <x:v>DI.BO.1.3</x:v>
      </x:c>
      <x:c r="G1564" s="14" t="str">
        <x:f>'Design &amp; Insights'!F192</x:f>
        <x:v>Conduct high-level preliminary review of complaints within proposed topics</x:v>
      </x:c>
      <x:c r="H1564" s="2" t="str">
        <x:f>IF('Design &amp; Insights'!G192="","",'Design &amp; Insights'!G192)</x:f>
      </x:c>
      <x:c r="I1564" s="12" t="str">
        <x:f>IF('Design &amp; Insights'!H192="","",'Design &amp; Insights'!H192)</x:f>
      </x:c>
      <x:c r="J1564" s="12" t="n">
        <x:f>IF('Design &amp; Insights'!I192="","",'Design &amp; Insights'!I192)</x:f>
        <x:v>46203</x:v>
      </x:c>
      <x:c r="K1564" s="12" t="str">
        <x:f>IF('Design &amp; Insights'!J192="","",'Design &amp; Insights'!J192)</x:f>
      </x:c>
      <x:c r="L1564" s="2" t="str">
        <x:f>IF('Design &amp; Insights'!K192="","",'Design &amp; Insights'!K192)</x:f>
      </x:c>
      <x:c r="M1564" s="2" t="n">
        <x:f>'Design &amp; Insights'!Q192</x:f>
        <x:v>1</x:v>
      </x:c>
      <x:c r="N1564" s="2" t="str">
        <x:f>'Design &amp; Insights'!L192</x:f>
        <x:v>Not started</x:v>
      </x:c>
      <x:c r="O1564" s="2" t="str">
        <x:f>'Design &amp; Insights'!N192</x:f>
        <x:v>DI.BO.1.3.2026.CY2</x:v>
      </x:c>
      <x:c r="P1564" s="2" t="n">
        <x:f>'Design &amp; Insights'!O192</x:f>
        <x:v>0</x:v>
      </x:c>
      <x:c r="Q1564" s="2" t="n">
        <x:f>SUBTOTAL(103,O1564)</x:f>
        <x:v>1</x:v>
      </x:c>
      <x:c r="R1564" s="2" t="n">
        <x:f>IF(AND(M1564=1,OR(Dashboard!$B$7="All",Dashboard!$B$7='Cycles &amp; Guide'!$C$5),OR(Dashboard!$D$7="All",Dashboard!$D$7=B1564),OR(Dashboard!$F$7="All",Dashboard!$F$7=C1564),OR(Dashboard!$H$7="All",Dashboard!$H$7=D1564),OR(Dashboard!$K$7="All",Dashboard!$K$7=E1564)),1,0)</x:f>
        <x:v>1</x:v>
      </x:c>
      <x:c r="S1564" s="2" t="n">
        <x:f>IF(R1564=1,SUM($R$10:R1564),0)</x:f>
        <x:v>1191</x:v>
      </x:c>
      <x:c r="T1564" s="2" t="str">
        <x:v>Design &amp; Insights</x:v>
      </x:c>
      <x:c r="U1564" s="2" t="n">
        <x:v>192</x:v>
      </x:c>
      <x:c r="V1564" s="2" t="n">
        <x:f>IF(AND(M1564=1,P1564=0,ISNUMBER(J1564),J1564&lt;TODAY()),1,0)</x:f>
        <x:v>1</x:v>
      </x:c>
      <x:c r="W1564" s="2" t="str">
        <x:f>'Design &amp; Insights'!M192</x:f>
        <x:v>Task</x:v>
      </x:c>
    </x:row>
    <x:row r="1565" ht="40" customHeight="1">
      <x:c r="A1565" s="3" t="str">
        <x:f>HYPERLINK("#'Design &amp; Insights'!A193","Open")</x:f>
        <x:v>Open</x:v>
      </x:c>
      <x:c r="B1565" s="2" t="str">
        <x:f>'Design &amp; Insights'!B193</x:f>
        <x:v>Cycle 2</x:v>
      </x:c>
      <x:c r="C1565" s="2" t="str">
        <x:f>'Design &amp; Insights'!C193</x:f>
        <x:v>Phase 1</x:v>
      </x:c>
      <x:c r="D1565" s="2" t="str">
        <x:f>'Design &amp; Insights'!D193</x:f>
        <x:v>CSBBO - Banking Ops</x:v>
      </x:c>
      <x:c r="E1565" s="2" t="str">
        <x:v>Design &amp; Insights</x:v>
      </x:c>
      <x:c r="F1565" s="56" t="str">
        <x:f>'Design &amp; Insights'!E193</x:f>
        <x:v>DI.BO.1.4</x:v>
      </x:c>
      <x:c r="G1565" s="14" t="str">
        <x:f>'Design &amp; Insights'!F193</x:f>
        <x:v>Meet with Research to discuss which topic to select based on potential impact</x:v>
      </x:c>
      <x:c r="H1565" s="2" t="str">
        <x:f>IF('Design &amp; Insights'!G193="","",'Design &amp; Insights'!G193)</x:f>
      </x:c>
      <x:c r="I1565" s="12" t="str">
        <x:f>IF('Design &amp; Insights'!H193="","",'Design &amp; Insights'!H193)</x:f>
      </x:c>
      <x:c r="J1565" s="12" t="n">
        <x:f>IF('Design &amp; Insights'!I193="","",'Design &amp; Insights'!I193)</x:f>
        <x:v>46203</x:v>
      </x:c>
      <x:c r="K1565" s="12" t="str">
        <x:f>IF('Design &amp; Insights'!J193="","",'Design &amp; Insights'!J193)</x:f>
      </x:c>
      <x:c r="L1565" s="2" t="str">
        <x:f>IF('Design &amp; Insights'!K193="","",'Design &amp; Insights'!K193)</x:f>
      </x:c>
      <x:c r="M1565" s="2" t="n">
        <x:f>'Design &amp; Insights'!Q193</x:f>
        <x:v>1</x:v>
      </x:c>
      <x:c r="N1565" s="2" t="str">
        <x:f>'Design &amp; Insights'!L193</x:f>
        <x:v>Not started</x:v>
      </x:c>
      <x:c r="O1565" s="2" t="str">
        <x:f>'Design &amp; Insights'!N193</x:f>
        <x:v>DI.BO.1.4.2026.CY2</x:v>
      </x:c>
      <x:c r="P1565" s="2" t="n">
        <x:f>'Design &amp; Insights'!O193</x:f>
        <x:v>0</x:v>
      </x:c>
      <x:c r="Q1565" s="2" t="n">
        <x:f>SUBTOTAL(103,O1565)</x:f>
        <x:v>1</x:v>
      </x:c>
      <x:c r="R1565" s="2" t="n">
        <x:f>IF(AND(M1565=1,OR(Dashboard!$B$7="All",Dashboard!$B$7='Cycles &amp; Guide'!$C$5),OR(Dashboard!$D$7="All",Dashboard!$D$7=B1565),OR(Dashboard!$F$7="All",Dashboard!$F$7=C1565),OR(Dashboard!$H$7="All",Dashboard!$H$7=D1565),OR(Dashboard!$K$7="All",Dashboard!$K$7=E1565)),1,0)</x:f>
        <x:v>1</x:v>
      </x:c>
      <x:c r="S1565" s="2" t="n">
        <x:f>IF(R1565=1,SUM($R$10:R1565),0)</x:f>
        <x:v>1192</x:v>
      </x:c>
      <x:c r="T1565" s="2" t="str">
        <x:v>Design &amp; Insights</x:v>
      </x:c>
      <x:c r="U1565" s="2" t="n">
        <x:v>193</x:v>
      </x:c>
      <x:c r="V1565" s="2" t="n">
        <x:f>IF(AND(M1565=1,P1565=0,ISNUMBER(J1565),J1565&lt;TODAY()),1,0)</x:f>
        <x:v>1</x:v>
      </x:c>
      <x:c r="W1565" s="2" t="str">
        <x:f>'Design &amp; Insights'!M193</x:f>
        <x:v>Task</x:v>
      </x:c>
    </x:row>
    <x:row r="1566" ht="40" customHeight="1">
      <x:c r="A1566" s="3" t="str">
        <x:f>HYPERLINK("#'Design &amp; Insights'!A194","Open")</x:f>
        <x:v>Open</x:v>
      </x:c>
      <x:c r="B1566" s="2" t="str">
        <x:f>'Design &amp; Insights'!B194</x:f>
        <x:v>Cycle 2</x:v>
      </x:c>
      <x:c r="C1566" s="2" t="str">
        <x:f>'Design &amp; Insights'!C194</x:f>
        <x:v>Phase 1</x:v>
      </x:c>
      <x:c r="D1566" s="2" t="str">
        <x:f>'Design &amp; Insights'!D194</x:f>
        <x:v>CSBBO - Banking Ops</x:v>
      </x:c>
      <x:c r="E1566" s="2" t="str">
        <x:v>Design &amp; Insights</x:v>
      </x:c>
      <x:c r="F1566" s="56" t="str">
        <x:f>'Design &amp; Insights'!E194</x:f>
        <x:v>DI.BO.1.5</x:v>
      </x:c>
      <x:c r="G1566" s="14" t="str">
        <x:f>'Design &amp; Insights'!F194</x:f>
        <x:v>Confirm with Research the recommended topic for approval</x:v>
      </x:c>
      <x:c r="H1566" s="2" t="str">
        <x:f>IF('Design &amp; Insights'!G194="","",'Design &amp; Insights'!G194)</x:f>
      </x:c>
      <x:c r="I1566" s="12" t="str">
        <x:f>IF('Design &amp; Insights'!H194="","",'Design &amp; Insights'!H194)</x:f>
      </x:c>
      <x:c r="J1566" s="12" t="n">
        <x:f>IF('Design &amp; Insights'!I194="","",'Design &amp; Insights'!I194)</x:f>
        <x:v>46203</x:v>
      </x:c>
      <x:c r="K1566" s="12" t="str">
        <x:f>IF('Design &amp; Insights'!J194="","",'Design &amp; Insights'!J194)</x:f>
      </x:c>
      <x:c r="L1566" s="2" t="str">
        <x:f>IF('Design &amp; Insights'!K194="","",'Design &amp; Insights'!K194)</x:f>
      </x:c>
      <x:c r="M1566" s="2" t="n">
        <x:f>'Design &amp; Insights'!Q194</x:f>
        <x:v>1</x:v>
      </x:c>
      <x:c r="N1566" s="2" t="str">
        <x:f>'Design &amp; Insights'!L194</x:f>
        <x:v>Not started</x:v>
      </x:c>
      <x:c r="O1566" s="2" t="str">
        <x:f>'Design &amp; Insights'!N194</x:f>
        <x:v>DI.BO.1.5.2026.CY2</x:v>
      </x:c>
      <x:c r="P1566" s="2" t="n">
        <x:f>'Design &amp; Insights'!O194</x:f>
        <x:v>0</x:v>
      </x:c>
      <x:c r="Q1566" s="2" t="n">
        <x:f>SUBTOTAL(103,O1566)</x:f>
        <x:v>1</x:v>
      </x:c>
      <x:c r="R1566" s="2" t="n">
        <x:f>IF(AND(M1566=1,OR(Dashboard!$B$7="All",Dashboard!$B$7='Cycles &amp; Guide'!$C$5),OR(Dashboard!$D$7="All",Dashboard!$D$7=B1566),OR(Dashboard!$F$7="All",Dashboard!$F$7=C1566),OR(Dashboard!$H$7="All",Dashboard!$H$7=D1566),OR(Dashboard!$K$7="All",Dashboard!$K$7=E1566)),1,0)</x:f>
        <x:v>1</x:v>
      </x:c>
      <x:c r="S1566" s="2" t="n">
        <x:f>IF(R1566=1,SUM($R$10:R1566),0)</x:f>
        <x:v>1193</x:v>
      </x:c>
      <x:c r="T1566" s="2" t="str">
        <x:v>Design &amp; Insights</x:v>
      </x:c>
      <x:c r="U1566" s="2" t="n">
        <x:v>194</x:v>
      </x:c>
      <x:c r="V1566" s="2" t="n">
        <x:f>IF(AND(M1566=1,P1566=0,ISNUMBER(J1566),J1566&lt;TODAY()),1,0)</x:f>
        <x:v>1</x:v>
      </x:c>
      <x:c r="W1566" s="2" t="str">
        <x:f>'Design &amp; Insights'!M194</x:f>
        <x:v>Task</x:v>
      </x:c>
    </x:row>
    <x:row r="1567" ht="40" customHeight="1">
      <x:c r="A1567" s="3" t="str">
        <x:f>HYPERLINK("#'Design &amp; Insights'!A195","Open")</x:f>
        <x:v>Open</x:v>
      </x:c>
      <x:c r="B1567" s="2" t="str">
        <x:f>'Design &amp; Insights'!B195</x:f>
        <x:v>Cycle 2</x:v>
      </x:c>
      <x:c r="C1567" s="2" t="str">
        <x:f>'Design &amp; Insights'!C195</x:f>
        <x:v>Phase 1</x:v>
      </x:c>
      <x:c r="D1567" s="2" t="str">
        <x:f>'Design &amp; Insights'!D195</x:f>
        <x:v>CSBBO - Banking Ops</x:v>
      </x:c>
      <x:c r="E1567" s="2" t="str">
        <x:v>Design &amp; Insights</x:v>
      </x:c>
      <x:c r="F1567" s="56" t="str">
        <x:f>'Design &amp; Insights'!E195</x:f>
        <x:v>DI.BO.1.6</x:v>
      </x:c>
      <x:c r="G1567" s="14" t="str">
        <x:f>'Design &amp; Insights'!F195</x:f>
        <x:v>Send topic selection socialization email to all key stakeholders on the first day of the review Cycle</x:v>
      </x:c>
      <x:c r="H1567" s="2" t="str">
        <x:f>IF('Design &amp; Insights'!G195="","",'Design &amp; Insights'!G195)</x:f>
      </x:c>
      <x:c r="I1567" s="12" t="str">
        <x:f>IF('Design &amp; Insights'!H195="","",'Design &amp; Insights'!H195)</x:f>
      </x:c>
      <x:c r="J1567" s="12" t="n">
        <x:f>IF('Design &amp; Insights'!I195="","",'Design &amp; Insights'!I195)</x:f>
        <x:v>46113</x:v>
      </x:c>
      <x:c r="K1567" s="12" t="str">
        <x:f>IF('Design &amp; Insights'!J195="","",'Design &amp; Insights'!J195)</x:f>
      </x:c>
      <x:c r="L1567" s="2" t="str">
        <x:f>IF('Design &amp; Insights'!K195="","",'Design &amp; Insights'!K195)</x:f>
      </x:c>
      <x:c r="M1567" s="2" t="n">
        <x:f>'Design &amp; Insights'!Q195</x:f>
        <x:v>1</x:v>
      </x:c>
      <x:c r="N1567" s="2" t="str">
        <x:f>'Design &amp; Insights'!L195</x:f>
        <x:v>Not started</x:v>
      </x:c>
      <x:c r="O1567" s="2" t="str">
        <x:f>'Design &amp; Insights'!N195</x:f>
        <x:v>DI.BO.1.6.2026.CY2</x:v>
      </x:c>
      <x:c r="P1567" s="2" t="n">
        <x:f>'Design &amp; Insights'!O195</x:f>
        <x:v>0</x:v>
      </x:c>
      <x:c r="Q1567" s="2" t="n">
        <x:f>SUBTOTAL(103,O1567)</x:f>
        <x:v>1</x:v>
      </x:c>
      <x:c r="R1567" s="2" t="n">
        <x:f>IF(AND(M1567=1,OR(Dashboard!$B$7="All",Dashboard!$B$7='Cycles &amp; Guide'!$C$5),OR(Dashboard!$D$7="All",Dashboard!$D$7=B1567),OR(Dashboard!$F$7="All",Dashboard!$F$7=C1567),OR(Dashboard!$H$7="All",Dashboard!$H$7=D1567),OR(Dashboard!$K$7="All",Dashboard!$K$7=E1567)),1,0)</x:f>
        <x:v>1</x:v>
      </x:c>
      <x:c r="S1567" s="2" t="n">
        <x:f>IF(R1567=1,SUM($R$10:R1567),0)</x:f>
        <x:v>1194</x:v>
      </x:c>
      <x:c r="T1567" s="2" t="str">
        <x:v>Design &amp; Insights</x:v>
      </x:c>
      <x:c r="U1567" s="2" t="n">
        <x:v>195</x:v>
      </x:c>
      <x:c r="V1567" s="2" t="n">
        <x:f>IF(AND(M1567=1,P1567=0,ISNUMBER(J1567),J1567&lt;TODAY()),1,0)</x:f>
        <x:v>1</x:v>
      </x:c>
      <x:c r="W1567" s="2" t="str">
        <x:f>'Design &amp; Insights'!M195</x:f>
        <x:v>Task</x:v>
      </x:c>
    </x:row>
    <x:row r="1568" ht="40" customHeight="1">
      <x:c r="A1568" s="3" t="str">
        <x:f>HYPERLINK("#'Design &amp; Insights'!A196","Open")</x:f>
        <x:v>Open</x:v>
      </x:c>
      <x:c r="B1568" s="2" t="str">
        <x:f>'Design &amp; Insights'!B196</x:f>
        <x:v>Cycle 2</x:v>
      </x:c>
      <x:c r="C1568" s="2" t="str">
        <x:f>'Design &amp; Insights'!C196</x:f>
        <x:v>Phase 2</x:v>
      </x:c>
      <x:c r="D1568" s="2" t="str">
        <x:f>'Design &amp; Insights'!D196</x:f>
        <x:v>CSBBO - Banking Ops</x:v>
      </x:c>
      <x:c r="E1568" s="2" t="str">
        <x:v>Design &amp; Insights</x:v>
      </x:c>
      <x:c r="F1568" s="56" t="str">
        <x:f>'Design &amp; Insights'!E196</x:f>
        <x:v>DI.BO.2.1</x:v>
      </x:c>
      <x:c r="G1568" s="14" t="str">
        <x:f>'Design &amp; Insights'!F196</x:f>
        <x:v>Meet regularly with Research to stay informed on progress, findings, and potential enhancement</x:v>
      </x:c>
      <x:c r="H1568" s="2" t="str">
        <x:f>IF('Design &amp; Insights'!G196="","",'Design &amp; Insights'!G196)</x:f>
      </x:c>
      <x:c r="I1568" s="12" t="str">
        <x:f>IF('Design &amp; Insights'!H196="","",'Design &amp; Insights'!H196)</x:f>
      </x:c>
      <x:c r="J1568" s="12" t="n">
        <x:f>IF('Design &amp; Insights'!I196="","",'Design &amp; Insights'!I196)</x:f>
        <x:v>46203</x:v>
      </x:c>
      <x:c r="K1568" s="12" t="str">
        <x:f>IF('Design &amp; Insights'!J196="","",'Design &amp; Insights'!J196)</x:f>
      </x:c>
      <x:c r="L1568" s="2" t="str">
        <x:f>IF('Design &amp; Insights'!K196="","",'Design &amp; Insights'!K196)</x:f>
      </x:c>
      <x:c r="M1568" s="2" t="n">
        <x:f>'Design &amp; Insights'!Q196</x:f>
        <x:v>1</x:v>
      </x:c>
      <x:c r="N1568" s="2" t="str">
        <x:f>'Design &amp; Insights'!L196</x:f>
        <x:v>Not started</x:v>
      </x:c>
      <x:c r="O1568" s="2" t="str">
        <x:f>'Design &amp; Insights'!N196</x:f>
        <x:v>DI.BO.2.1.2026.CY2</x:v>
      </x:c>
      <x:c r="P1568" s="2" t="n">
        <x:f>'Design &amp; Insights'!O196</x:f>
        <x:v>0</x:v>
      </x:c>
      <x:c r="Q1568" s="2" t="n">
        <x:f>SUBTOTAL(103,O1568)</x:f>
        <x:v>1</x:v>
      </x:c>
      <x:c r="R1568" s="2" t="n">
        <x:f>IF(AND(M1568=1,OR(Dashboard!$B$7="All",Dashboard!$B$7='Cycles &amp; Guide'!$C$5),OR(Dashboard!$D$7="All",Dashboard!$D$7=B1568),OR(Dashboard!$F$7="All",Dashboard!$F$7=C1568),OR(Dashboard!$H$7="All",Dashboard!$H$7=D1568),OR(Dashboard!$K$7="All",Dashboard!$K$7=E1568)),1,0)</x:f>
        <x:v>1</x:v>
      </x:c>
      <x:c r="S1568" s="2" t="n">
        <x:f>IF(R1568=1,SUM($R$10:R1568),0)</x:f>
        <x:v>1195</x:v>
      </x:c>
      <x:c r="T1568" s="2" t="str">
        <x:v>Design &amp; Insights</x:v>
      </x:c>
      <x:c r="U1568" s="2" t="n">
        <x:v>196</x:v>
      </x:c>
      <x:c r="V1568" s="2" t="n">
        <x:f>IF(AND(M1568=1,P1568=0,ISNUMBER(J1568),J1568&lt;TODAY()),1,0)</x:f>
        <x:v>1</x:v>
      </x:c>
      <x:c r="W1568" s="2" t="str">
        <x:f>'Design &amp; Insights'!M196</x:f>
        <x:v>Task</x:v>
      </x:c>
    </x:row>
    <x:row r="1569" ht="40" customHeight="1">
      <x:c r="A1569" s="3" t="str">
        <x:f>HYPERLINK("#'Design &amp; Insights'!A197","Open")</x:f>
        <x:v>Open</x:v>
      </x:c>
      <x:c r="B1569" s="2" t="str">
        <x:f>'Design &amp; Insights'!B197</x:f>
        <x:v>Cycle 2</x:v>
      </x:c>
      <x:c r="C1569" s="2" t="str">
        <x:f>'Design &amp; Insights'!C197</x:f>
        <x:v>Phase 2</x:v>
      </x:c>
      <x:c r="D1569" s="2" t="str">
        <x:f>'Design &amp; Insights'!D197</x:f>
        <x:v>CSBBO - Banking Ops</x:v>
      </x:c>
      <x:c r="E1569" s="2" t="str">
        <x:v>Design &amp; Insights</x:v>
      </x:c>
      <x:c r="F1569" s="56" t="str">
        <x:f>'Design &amp; Insights'!E197</x:f>
        <x:v>DI.BO.2.2</x:v>
      </x:c>
      <x:c r="G1569" s="14" t="str">
        <x:f>'Design &amp; Insights'!F197</x:f>
        <x:v>Collaborate with Research on research plan specifics</x:v>
      </x:c>
      <x:c r="H1569" s="2" t="str">
        <x:f>IF('Design &amp; Insights'!G197="","",'Design &amp; Insights'!G197)</x:f>
      </x:c>
      <x:c r="I1569" s="12" t="str">
        <x:f>IF('Design &amp; Insights'!H197="","",'Design &amp; Insights'!H197)</x:f>
      </x:c>
      <x:c r="J1569" s="12" t="n">
        <x:f>IF('Design &amp; Insights'!I197="","",'Design &amp; Insights'!I197)</x:f>
        <x:v>46203</x:v>
      </x:c>
      <x:c r="K1569" s="12" t="str">
        <x:f>IF('Design &amp; Insights'!J197="","",'Design &amp; Insights'!J197)</x:f>
      </x:c>
      <x:c r="L1569" s="2" t="str">
        <x:f>IF('Design &amp; Insights'!K197="","",'Design &amp; Insights'!K197)</x:f>
      </x:c>
      <x:c r="M1569" s="2" t="n">
        <x:f>'Design &amp; Insights'!Q197</x:f>
        <x:v>1</x:v>
      </x:c>
      <x:c r="N1569" s="2" t="str">
        <x:f>'Design &amp; Insights'!L197</x:f>
        <x:v>Not started</x:v>
      </x:c>
      <x:c r="O1569" s="2" t="str">
        <x:f>'Design &amp; Insights'!N197</x:f>
        <x:v>DI.BO.2.2.2026.CY2</x:v>
      </x:c>
      <x:c r="P1569" s="2" t="n">
        <x:f>'Design &amp; Insights'!O197</x:f>
        <x:v>0</x:v>
      </x:c>
      <x:c r="Q1569" s="2" t="n">
        <x:f>SUBTOTAL(103,O1569)</x:f>
        <x:v>1</x:v>
      </x:c>
      <x:c r="R1569" s="2" t="n">
        <x:f>IF(AND(M1569=1,OR(Dashboard!$B$7="All",Dashboard!$B$7='Cycles &amp; Guide'!$C$5),OR(Dashboard!$D$7="All",Dashboard!$D$7=B1569),OR(Dashboard!$F$7="All",Dashboard!$F$7=C1569),OR(Dashboard!$H$7="All",Dashboard!$H$7=D1569),OR(Dashboard!$K$7="All",Dashboard!$K$7=E1569)),1,0)</x:f>
        <x:v>1</x:v>
      </x:c>
      <x:c r="S1569" s="2" t="n">
        <x:f>IF(R1569=1,SUM($R$10:R1569),0)</x:f>
        <x:v>1196</x:v>
      </x:c>
      <x:c r="T1569" s="2" t="str">
        <x:v>Design &amp; Insights</x:v>
      </x:c>
      <x:c r="U1569" s="2" t="n">
        <x:v>197</x:v>
      </x:c>
      <x:c r="V1569" s="2" t="n">
        <x:f>IF(AND(M1569=1,P1569=0,ISNUMBER(J1569),J1569&lt;TODAY()),1,0)</x:f>
        <x:v>1</x:v>
      </x:c>
      <x:c r="W1569" s="2" t="str">
        <x:f>'Design &amp; Insights'!M197</x:f>
        <x:v>Task</x:v>
      </x:c>
    </x:row>
    <x:row r="1570" ht="40" customHeight="1">
      <x:c r="A1570" s="3" t="str">
        <x:f>HYPERLINK("#'Design &amp; Insights'!A198","Open")</x:f>
        <x:v>Open</x:v>
      </x:c>
      <x:c r="B1570" s="2" t="str">
        <x:f>'Design &amp; Insights'!B198</x:f>
        <x:v>Cycle 2</x:v>
      </x:c>
      <x:c r="C1570" s="2" t="str">
        <x:f>'Design &amp; Insights'!C198</x:f>
        <x:v>Phase 2</x:v>
      </x:c>
      <x:c r="D1570" s="2" t="str">
        <x:f>'Design &amp; Insights'!D198</x:f>
        <x:v>CSBBO - Banking Ops</x:v>
      </x:c>
      <x:c r="E1570" s="2" t="str">
        <x:v>Design &amp; Insights</x:v>
      </x:c>
      <x:c r="F1570" s="56" t="str">
        <x:f>'Design &amp; Insights'!E198</x:f>
        <x:v>DI.BO.2.3</x:v>
      </x:c>
      <x:c r="G1570" s="14" t="str">
        <x:f>'Design &amp; Insights'!F198</x:f>
        <x:v>Participate in SME insight meetings to gain perspective and appetite on potential enhancements</x:v>
      </x:c>
      <x:c r="H1570" s="2" t="str">
        <x:f>IF('Design &amp; Insights'!G198="","",'Design &amp; Insights'!G198)</x:f>
      </x:c>
      <x:c r="I1570" s="12" t="str">
        <x:f>IF('Design &amp; Insights'!H198="","",'Design &amp; Insights'!H198)</x:f>
      </x:c>
      <x:c r="J1570" s="12" t="n">
        <x:f>IF('Design &amp; Insights'!I198="","",'Design &amp; Insights'!I198)</x:f>
        <x:v>46203</x:v>
      </x:c>
      <x:c r="K1570" s="12" t="str">
        <x:f>IF('Design &amp; Insights'!J198="","",'Design &amp; Insights'!J198)</x:f>
      </x:c>
      <x:c r="L1570" s="2" t="str">
        <x:f>IF('Design &amp; Insights'!K198="","",'Design &amp; Insights'!K198)</x:f>
      </x:c>
      <x:c r="M1570" s="2" t="n">
        <x:f>'Design &amp; Insights'!Q198</x:f>
        <x:v>1</x:v>
      </x:c>
      <x:c r="N1570" s="2" t="str">
        <x:f>'Design &amp; Insights'!L198</x:f>
        <x:v>Not started</x:v>
      </x:c>
      <x:c r="O1570" s="2" t="str">
        <x:f>'Design &amp; Insights'!N198</x:f>
        <x:v>DI.BO.2.3.2026.CY2</x:v>
      </x:c>
      <x:c r="P1570" s="2" t="n">
        <x:f>'Design &amp; Insights'!O198</x:f>
        <x:v>0</x:v>
      </x:c>
      <x:c r="Q1570" s="2" t="n">
        <x:f>SUBTOTAL(103,O1570)</x:f>
        <x:v>1</x:v>
      </x:c>
      <x:c r="R1570" s="2" t="n">
        <x:f>IF(AND(M1570=1,OR(Dashboard!$B$7="All",Dashboard!$B$7='Cycles &amp; Guide'!$C$5),OR(Dashboard!$D$7="All",Dashboard!$D$7=B1570),OR(Dashboard!$F$7="All",Dashboard!$F$7=C1570),OR(Dashboard!$H$7="All",Dashboard!$H$7=D1570),OR(Dashboard!$K$7="All",Dashboard!$K$7=E1570)),1,0)</x:f>
        <x:v>1</x:v>
      </x:c>
      <x:c r="S1570" s="2" t="n">
        <x:f>IF(R1570=1,SUM($R$10:R1570),0)</x:f>
        <x:v>1197</x:v>
      </x:c>
      <x:c r="T1570" s="2" t="str">
        <x:v>Design &amp; Insights</x:v>
      </x:c>
      <x:c r="U1570" s="2" t="n">
        <x:v>198</x:v>
      </x:c>
      <x:c r="V1570" s="2" t="n">
        <x:f>IF(AND(M1570=1,P1570=0,ISNUMBER(J1570),J1570&lt;TODAY()),1,0)</x:f>
        <x:v>1</x:v>
      </x:c>
      <x:c r="W1570" s="2" t="str">
        <x:f>'Design &amp; Insights'!M198</x:f>
        <x:v>Task</x:v>
      </x:c>
    </x:row>
    <x:row r="1571" ht="40" customHeight="1">
      <x:c r="A1571" s="3" t="str">
        <x:f>HYPERLINK("#'Design &amp; Insights'!A199","Open")</x:f>
        <x:v>Open</x:v>
      </x:c>
      <x:c r="B1571" s="2" t="str">
        <x:f>'Design &amp; Insights'!B199</x:f>
        <x:v>Cycle 2</x:v>
      </x:c>
      <x:c r="C1571" s="2" t="str">
        <x:f>'Design &amp; Insights'!C199</x:f>
        <x:v>Phase 2</x:v>
      </x:c>
      <x:c r="D1571" s="2" t="str">
        <x:f>'Design &amp; Insights'!D199</x:f>
        <x:v>CSBBO - Banking Ops</x:v>
      </x:c>
      <x:c r="E1571" s="2" t="str">
        <x:v>Design &amp; Insights</x:v>
      </x:c>
      <x:c r="F1571" s="56" t="str">
        <x:f>'Design &amp; Insights'!E199</x:f>
        <x:v>DI.BO.2.4</x:v>
      </x:c>
      <x:c r="G1571" s="14" t="str">
        <x:f>'Design &amp; Insights'!F199</x:f>
        <x:v>Begin development of presentation materials as Research is being completed</x:v>
      </x:c>
      <x:c r="H1571" s="2" t="str">
        <x:f>IF('Design &amp; Insights'!G199="","",'Design &amp; Insights'!G199)</x:f>
      </x:c>
      <x:c r="I1571" s="12" t="str">
        <x:f>IF('Design &amp; Insights'!H199="","",'Design &amp; Insights'!H199)</x:f>
      </x:c>
      <x:c r="J1571" s="12" t="n">
        <x:f>IF('Design &amp; Insights'!I199="","",'Design &amp; Insights'!I199)</x:f>
        <x:v>46203</x:v>
      </x:c>
      <x:c r="K1571" s="12" t="str">
        <x:f>IF('Design &amp; Insights'!J199="","",'Design &amp; Insights'!J199)</x:f>
      </x:c>
      <x:c r="L1571" s="2" t="str">
        <x:f>IF('Design &amp; Insights'!K199="","",'Design &amp; Insights'!K199)</x:f>
      </x:c>
      <x:c r="M1571" s="2" t="n">
        <x:f>'Design &amp; Insights'!Q199</x:f>
        <x:v>1</x:v>
      </x:c>
      <x:c r="N1571" s="2" t="str">
        <x:f>'Design &amp; Insights'!L199</x:f>
        <x:v>Not started</x:v>
      </x:c>
      <x:c r="O1571" s="2" t="str">
        <x:f>'Design &amp; Insights'!N199</x:f>
        <x:v>DI.BO.2.4.2026.CY2</x:v>
      </x:c>
      <x:c r="P1571" s="2" t="n">
        <x:f>'Design &amp; Insights'!O199</x:f>
        <x:v>0</x:v>
      </x:c>
      <x:c r="Q1571" s="2" t="n">
        <x:f>SUBTOTAL(103,O1571)</x:f>
        <x:v>1</x:v>
      </x:c>
      <x:c r="R1571" s="2" t="n">
        <x:f>IF(AND(M1571=1,OR(Dashboard!$B$7="All",Dashboard!$B$7='Cycles &amp; Guide'!$C$5),OR(Dashboard!$D$7="All",Dashboard!$D$7=B1571),OR(Dashboard!$F$7="All",Dashboard!$F$7=C1571),OR(Dashboard!$H$7="All",Dashboard!$H$7=D1571),OR(Dashboard!$K$7="All",Dashboard!$K$7=E1571)),1,0)</x:f>
        <x:v>1</x:v>
      </x:c>
      <x:c r="S1571" s="2" t="n">
        <x:f>IF(R1571=1,SUM($R$10:R1571),0)</x:f>
        <x:v>1198</x:v>
      </x:c>
      <x:c r="T1571" s="2" t="str">
        <x:v>Design &amp; Insights</x:v>
      </x:c>
      <x:c r="U1571" s="2" t="n">
        <x:v>199</x:v>
      </x:c>
      <x:c r="V1571" s="2" t="n">
        <x:f>IF(AND(M1571=1,P1571=0,ISNUMBER(J1571),J1571&lt;TODAY()),1,0)</x:f>
        <x:v>1</x:v>
      </x:c>
      <x:c r="W1571" s="2" t="str">
        <x:f>'Design &amp; Insights'!M199</x:f>
        <x:v>Task</x:v>
      </x:c>
    </x:row>
    <x:row r="1572" ht="40" customHeight="1">
      <x:c r="A1572" s="3" t="str">
        <x:f>HYPERLINK("#'Design &amp; Insights'!A200","Open")</x:f>
        <x:v>Open</x:v>
      </x:c>
      <x:c r="B1572" s="2" t="str">
        <x:f>'Design &amp; Insights'!B200</x:f>
        <x:v>Cycle 2</x:v>
      </x:c>
      <x:c r="C1572" s="2" t="str">
        <x:f>'Design &amp; Insights'!C200</x:f>
        <x:v>Phase 2</x:v>
      </x:c>
      <x:c r="D1572" s="2" t="str">
        <x:f>'Design &amp; Insights'!D200</x:f>
        <x:v>CSBBO - Banking Ops</x:v>
      </x:c>
      <x:c r="E1572" s="2" t="str">
        <x:v>Design &amp; Insights</x:v>
      </x:c>
      <x:c r="F1572" s="56" t="str">
        <x:f>'Design &amp; Insights'!E200</x:f>
        <x:v>DI.BO.2.5</x:v>
      </x:c>
      <x:c r="G1572" s="14" t="str">
        <x:f>'Design &amp; Insights'!F200</x:f>
        <x:v>Draft initial enhancement recommendations (as applicable)</x:v>
      </x:c>
      <x:c r="H1572" s="2" t="str">
        <x:f>IF('Design &amp; Insights'!G200="","",'Design &amp; Insights'!G200)</x:f>
      </x:c>
      <x:c r="I1572" s="12" t="str">
        <x:f>IF('Design &amp; Insights'!H200="","",'Design &amp; Insights'!H200)</x:f>
      </x:c>
      <x:c r="J1572" s="12" t="n">
        <x:f>IF('Design &amp; Insights'!I200="","",'Design &amp; Insights'!I200)</x:f>
        <x:v>46203</x:v>
      </x:c>
      <x:c r="K1572" s="12" t="str">
        <x:f>IF('Design &amp; Insights'!J200="","",'Design &amp; Insights'!J200)</x:f>
      </x:c>
      <x:c r="L1572" s="2" t="str">
        <x:f>IF('Design &amp; Insights'!K200="","",'Design &amp; Insights'!K200)</x:f>
      </x:c>
      <x:c r="M1572" s="2" t="n">
        <x:f>'Design &amp; Insights'!Q200</x:f>
        <x:v>1</x:v>
      </x:c>
      <x:c r="N1572" s="2" t="str">
        <x:f>'Design &amp; Insights'!L200</x:f>
        <x:v>Not started</x:v>
      </x:c>
      <x:c r="O1572" s="2" t="str">
        <x:f>'Design &amp; Insights'!N200</x:f>
        <x:v>DI.BO.2.5.2026.CY2</x:v>
      </x:c>
      <x:c r="P1572" s="2" t="n">
        <x:f>'Design &amp; Insights'!O200</x:f>
        <x:v>0</x:v>
      </x:c>
      <x:c r="Q1572" s="2" t="n">
        <x:f>SUBTOTAL(103,O1572)</x:f>
        <x:v>1</x:v>
      </x:c>
      <x:c r="R1572" s="2" t="n">
        <x:f>IF(AND(M1572=1,OR(Dashboard!$B$7="All",Dashboard!$B$7='Cycles &amp; Guide'!$C$5),OR(Dashboard!$D$7="All",Dashboard!$D$7=B1572),OR(Dashboard!$F$7="All",Dashboard!$F$7=C1572),OR(Dashboard!$H$7="All",Dashboard!$H$7=D1572),OR(Dashboard!$K$7="All",Dashboard!$K$7=E1572)),1,0)</x:f>
        <x:v>1</x:v>
      </x:c>
      <x:c r="S1572" s="2" t="n">
        <x:f>IF(R1572=1,SUM($R$10:R1572),0)</x:f>
        <x:v>1199</x:v>
      </x:c>
      <x:c r="T1572" s="2" t="str">
        <x:v>Design &amp; Insights</x:v>
      </x:c>
      <x:c r="U1572" s="2" t="n">
        <x:v>200</x:v>
      </x:c>
      <x:c r="V1572" s="2" t="n">
        <x:f>IF(AND(M1572=1,P1572=0,ISNUMBER(J1572),J1572&lt;TODAY()),1,0)</x:f>
        <x:v>1</x:v>
      </x:c>
      <x:c r="W1572" s="2" t="str">
        <x:f>'Design &amp; Insights'!M200</x:f>
        <x:v>Task</x:v>
      </x:c>
    </x:row>
    <x:row r="1573" ht="40" customHeight="1">
      <x:c r="A1573" s="3" t="str">
        <x:f>HYPERLINK("#'Design &amp; Insights'!A201","Open")</x:f>
        <x:v>Open</x:v>
      </x:c>
      <x:c r="B1573" s="2" t="str">
        <x:f>'Design &amp; Insights'!B201</x:f>
        <x:v>Cycle 2</x:v>
      </x:c>
      <x:c r="C1573" s="2" t="str">
        <x:f>'Design &amp; Insights'!C201</x:f>
        <x:v>Phase 2</x:v>
      </x:c>
      <x:c r="D1573" s="2" t="str">
        <x:f>'Design &amp; Insights'!D201</x:f>
        <x:v>CSBBO - Banking Ops</x:v>
      </x:c>
      <x:c r="E1573" s="2" t="str">
        <x:v>Design &amp; Insights</x:v>
      </x:c>
      <x:c r="F1573" s="56" t="str">
        <x:f>'Design &amp; Insights'!E201</x:f>
        <x:v>DI.BO.2.6</x:v>
      </x:c>
      <x:c r="G1573" s="14" t="str">
        <x:f>'Design &amp; Insights'!F201</x:f>
        <x:v>Finalize presentation deck draft at conclusion of Research phase</x:v>
      </x:c>
      <x:c r="H1573" s="2" t="str">
        <x:f>IF('Design &amp; Insights'!G201="","",'Design &amp; Insights'!G201)</x:f>
      </x:c>
      <x:c r="I1573" s="12" t="str">
        <x:f>IF('Design &amp; Insights'!H201="","",'Design &amp; Insights'!H201)</x:f>
      </x:c>
      <x:c r="J1573" s="12" t="n">
        <x:f>IF('Design &amp; Insights'!I201="","",'Design &amp; Insights'!I201)</x:f>
        <x:v>46203</x:v>
      </x:c>
      <x:c r="K1573" s="12" t="str">
        <x:f>IF('Design &amp; Insights'!J201="","",'Design &amp; Insights'!J201)</x:f>
      </x:c>
      <x:c r="L1573" s="2" t="str">
        <x:f>IF('Design &amp; Insights'!K201="","",'Design &amp; Insights'!K201)</x:f>
      </x:c>
      <x:c r="M1573" s="2" t="n">
        <x:f>'Design &amp; Insights'!Q201</x:f>
        <x:v>1</x:v>
      </x:c>
      <x:c r="N1573" s="2" t="str">
        <x:f>'Design &amp; Insights'!L201</x:f>
        <x:v>Not started</x:v>
      </x:c>
      <x:c r="O1573" s="2" t="str">
        <x:f>'Design &amp; Insights'!N201</x:f>
        <x:v>DI.BO.2.6.2026.CY2</x:v>
      </x:c>
      <x:c r="P1573" s="2" t="n">
        <x:f>'Design &amp; Insights'!O201</x:f>
        <x:v>0</x:v>
      </x:c>
      <x:c r="Q1573" s="2" t="n">
        <x:f>SUBTOTAL(103,O1573)</x:f>
        <x:v>1</x:v>
      </x:c>
      <x:c r="R1573" s="2" t="n">
        <x:f>IF(AND(M1573=1,OR(Dashboard!$B$7="All",Dashboard!$B$7='Cycles &amp; Guide'!$C$5),OR(Dashboard!$D$7="All",Dashboard!$D$7=B1573),OR(Dashboard!$F$7="All",Dashboard!$F$7=C1573),OR(Dashboard!$H$7="All",Dashboard!$H$7=D1573),OR(Dashboard!$K$7="All",Dashboard!$K$7=E1573)),1,0)</x:f>
        <x:v>1</x:v>
      </x:c>
      <x:c r="S1573" s="2" t="n">
        <x:f>IF(R1573=1,SUM($R$10:R1573),0)</x:f>
        <x:v>1200</x:v>
      </x:c>
      <x:c r="T1573" s="2" t="str">
        <x:v>Design &amp; Insights</x:v>
      </x:c>
      <x:c r="U1573" s="2" t="n">
        <x:v>201</x:v>
      </x:c>
      <x:c r="V1573" s="2" t="n">
        <x:f>IF(AND(M1573=1,P1573=0,ISNUMBER(J1573),J1573&lt;TODAY()),1,0)</x:f>
        <x:v>1</x:v>
      </x:c>
      <x:c r="W1573" s="2" t="str">
        <x:f>'Design &amp; Insights'!M201</x:f>
        <x:v>Task</x:v>
      </x:c>
    </x:row>
    <x:row r="1574" ht="40" customHeight="1">
      <x:c r="A1574" s="3" t="str">
        <x:f>HYPERLINK("#'Design &amp; Insights'!A202","Open")</x:f>
        <x:v>Open</x:v>
      </x:c>
      <x:c r="B1574" s="2" t="str">
        <x:f>'Design &amp; Insights'!B202</x:f>
        <x:v>Cycle 2</x:v>
      </x:c>
      <x:c r="C1574" s="2" t="str">
        <x:f>'Design &amp; Insights'!C202</x:f>
        <x:v>Phase 2</x:v>
      </x:c>
      <x:c r="D1574" s="2" t="str">
        <x:f>'Design &amp; Insights'!D202</x:f>
        <x:v>CSBBO - Banking Ops</x:v>
      </x:c>
      <x:c r="E1574" s="2" t="str">
        <x:v>Design &amp; Insights</x:v>
      </x:c>
      <x:c r="F1574" s="56" t="str">
        <x:f>'Design &amp; Insights'!E202</x:f>
        <x:v>DI.BO.2.7</x:v>
      </x:c>
      <x:c r="G1574" s="14" t="str">
        <x:f>'Design &amp; Insights'!F202</x:f>
        <x:v>Update Outcome portion of research plan with current enhancement verbiage (as needed)</x:v>
      </x:c>
      <x:c r="H1574" s="2" t="str">
        <x:f>IF('Design &amp; Insights'!G202="","",'Design &amp; Insights'!G202)</x:f>
      </x:c>
      <x:c r="I1574" s="12" t="str">
        <x:f>IF('Design &amp; Insights'!H202="","",'Design &amp; Insights'!H202)</x:f>
      </x:c>
      <x:c r="J1574" s="12" t="n">
        <x:f>IF('Design &amp; Insights'!I202="","",'Design &amp; Insights'!I202)</x:f>
        <x:v>46203</x:v>
      </x:c>
      <x:c r="K1574" s="12" t="str">
        <x:f>IF('Design &amp; Insights'!J202="","",'Design &amp; Insights'!J202)</x:f>
      </x:c>
      <x:c r="L1574" s="2" t="str">
        <x:f>IF('Design &amp; Insights'!K202="","",'Design &amp; Insights'!K202)</x:f>
      </x:c>
      <x:c r="M1574" s="2" t="n">
        <x:f>'Design &amp; Insights'!Q202</x:f>
        <x:v>1</x:v>
      </x:c>
      <x:c r="N1574" s="2" t="str">
        <x:f>'Design &amp; Insights'!L202</x:f>
        <x:v>Not started</x:v>
      </x:c>
      <x:c r="O1574" s="2" t="str">
        <x:f>'Design &amp; Insights'!N202</x:f>
        <x:v>DI.BO.2.7.2026.CY2</x:v>
      </x:c>
      <x:c r="P1574" s="2" t="n">
        <x:f>'Design &amp; Insights'!O202</x:f>
        <x:v>0</x:v>
      </x:c>
      <x:c r="Q1574" s="2" t="n">
        <x:f>SUBTOTAL(103,O1574)</x:f>
        <x:v>1</x:v>
      </x:c>
      <x:c r="R1574" s="2" t="n">
        <x:f>IF(AND(M1574=1,OR(Dashboard!$B$7="All",Dashboard!$B$7='Cycles &amp; Guide'!$C$5),OR(Dashboard!$D$7="All",Dashboard!$D$7=B1574),OR(Dashboard!$F$7="All",Dashboard!$F$7=C1574),OR(Dashboard!$H$7="All",Dashboard!$H$7=D1574),OR(Dashboard!$K$7="All",Dashboard!$K$7=E1574)),1,0)</x:f>
        <x:v>1</x:v>
      </x:c>
      <x:c r="S1574" s="2" t="n">
        <x:f>IF(R1574=1,SUM($R$10:R1574),0)</x:f>
        <x:v>1201</x:v>
      </x:c>
      <x:c r="T1574" s="2" t="str">
        <x:v>Design &amp; Insights</x:v>
      </x:c>
      <x:c r="U1574" s="2" t="n">
        <x:v>202</x:v>
      </x:c>
      <x:c r="V1574" s="2" t="n">
        <x:f>IF(AND(M1574=1,P1574=0,ISNUMBER(J1574),J1574&lt;TODAY()),1,0)</x:f>
        <x:v>1</x:v>
      </x:c>
      <x:c r="W1574" s="2" t="str">
        <x:f>'Design &amp; Insights'!M202</x:f>
        <x:v>Task</x:v>
      </x:c>
    </x:row>
    <x:row r="1575" ht="40" customHeight="1">
      <x:c r="A1575" s="3" t="str">
        <x:f>HYPERLINK("#'Design &amp; Insights'!A203","Open")</x:f>
        <x:v>Open</x:v>
      </x:c>
      <x:c r="B1575" s="2" t="str">
        <x:f>'Design &amp; Insights'!B203</x:f>
        <x:v>Cycle 2</x:v>
      </x:c>
      <x:c r="C1575" s="2" t="str">
        <x:f>'Design &amp; Insights'!C203</x:f>
        <x:v>Phase 3</x:v>
      </x:c>
      <x:c r="D1575" s="2" t="str">
        <x:f>'Design &amp; Insights'!D203</x:f>
        <x:v>CSBBO - Banking Ops</x:v>
      </x:c>
      <x:c r="E1575" s="2" t="str">
        <x:v>Design &amp; Insights</x:v>
      </x:c>
      <x:c r="F1575" s="56" t="str">
        <x:f>'Design &amp; Insights'!E203</x:f>
        <x:v>DI.BO.3.1</x:v>
      </x:c>
      <x:c r="G1575" s="14" t="str">
        <x:f>'Design &amp; Insights'!F203</x:f>
        <x:v>Confirm list of required &amp; optional attendees for pre-socialization meeting</x:v>
      </x:c>
      <x:c r="H1575" s="2" t="str">
        <x:f>IF('Design &amp; Insights'!G203="","",'Design &amp; Insights'!G203)</x:f>
      </x:c>
      <x:c r="I1575" s="12" t="str">
        <x:f>IF('Design &amp; Insights'!H203="","",'Design &amp; Insights'!H203)</x:f>
      </x:c>
      <x:c r="J1575" s="12" t="n">
        <x:f>IF('Design &amp; Insights'!I203="","",'Design &amp; Insights'!I203)</x:f>
        <x:v>46203</x:v>
      </x:c>
      <x:c r="K1575" s="12" t="str">
        <x:f>IF('Design &amp; Insights'!J203="","",'Design &amp; Insights'!J203)</x:f>
      </x:c>
      <x:c r="L1575" s="2" t="str">
        <x:f>IF('Design &amp; Insights'!K203="","",'Design &amp; Insights'!K203)</x:f>
      </x:c>
      <x:c r="M1575" s="2" t="n">
        <x:f>'Design &amp; Insights'!Q203</x:f>
        <x:v>1</x:v>
      </x:c>
      <x:c r="N1575" s="2" t="str">
        <x:f>'Design &amp; Insights'!L203</x:f>
        <x:v>Not started</x:v>
      </x:c>
      <x:c r="O1575" s="2" t="str">
        <x:f>'Design &amp; Insights'!N203</x:f>
        <x:v>DI.BO.3.1.2026.CY2</x:v>
      </x:c>
      <x:c r="P1575" s="2" t="n">
        <x:f>'Design &amp; Insights'!O203</x:f>
        <x:v>0</x:v>
      </x:c>
      <x:c r="Q1575" s="2" t="n">
        <x:f>SUBTOTAL(103,O1575)</x:f>
        <x:v>1</x:v>
      </x:c>
      <x:c r="R1575" s="2" t="n">
        <x:f>IF(AND(M1575=1,OR(Dashboard!$B$7="All",Dashboard!$B$7='Cycles &amp; Guide'!$C$5),OR(Dashboard!$D$7="All",Dashboard!$D$7=B1575),OR(Dashboard!$F$7="All",Dashboard!$F$7=C1575),OR(Dashboard!$H$7="All",Dashboard!$H$7=D1575),OR(Dashboard!$K$7="All",Dashboard!$K$7=E1575)),1,0)</x:f>
        <x:v>1</x:v>
      </x:c>
      <x:c r="S1575" s="2" t="n">
        <x:f>IF(R1575=1,SUM($R$10:R1575),0)</x:f>
        <x:v>1202</x:v>
      </x:c>
      <x:c r="T1575" s="2" t="str">
        <x:v>Design &amp; Insights</x:v>
      </x:c>
      <x:c r="U1575" s="2" t="n">
        <x:v>203</x:v>
      </x:c>
      <x:c r="V1575" s="2" t="n">
        <x:f>IF(AND(M1575=1,P1575=0,ISNUMBER(J1575),J1575&lt;TODAY()),1,0)</x:f>
        <x:v>1</x:v>
      </x:c>
      <x:c r="W1575" s="2" t="str">
        <x:f>'Design &amp; Insights'!M203</x:f>
        <x:v>Task</x:v>
      </x:c>
    </x:row>
    <x:row r="1576" ht="40" customHeight="1">
      <x:c r="A1576" s="3" t="str">
        <x:f>HYPERLINK("#'Design &amp; Insights'!A204","Open")</x:f>
        <x:v>Open</x:v>
      </x:c>
      <x:c r="B1576" s="2" t="str">
        <x:f>'Design &amp; Insights'!B204</x:f>
        <x:v>Cycle 2</x:v>
      </x:c>
      <x:c r="C1576" s="2" t="str">
        <x:f>'Design &amp; Insights'!C204</x:f>
        <x:v>Phase 3</x:v>
      </x:c>
      <x:c r="D1576" s="2" t="str">
        <x:f>'Design &amp; Insights'!D204</x:f>
        <x:v>CSBBO - Banking Ops</x:v>
      </x:c>
      <x:c r="E1576" s="2" t="str">
        <x:v>Design &amp; Insights</x:v>
      </x:c>
      <x:c r="F1576" s="56" t="str">
        <x:f>'Design &amp; Insights'!E204</x:f>
        <x:v>DI.BO.3.2</x:v>
      </x:c>
      <x:c r="G1576" s="14" t="str">
        <x:f>'Design &amp; Insights'!F204</x:f>
        <x:v>Schedule pre-socialization meeting 1 week prior to RCA Forum</x:v>
      </x:c>
      <x:c r="H1576" s="2" t="str">
        <x:f>IF('Design &amp; Insights'!G204="","",'Design &amp; Insights'!G204)</x:f>
      </x:c>
      <x:c r="I1576" s="12" t="str">
        <x:f>IF('Design &amp; Insights'!H204="","",'Design &amp; Insights'!H204)</x:f>
      </x:c>
      <x:c r="J1576" s="12" t="str">
        <x:f>IF('Design &amp; Insights'!I204="","",'Design &amp; Insights'!I204)</x:f>
      </x:c>
      <x:c r="K1576" s="12" t="str">
        <x:f>IF('Design &amp; Insights'!J204="","",'Design &amp; Insights'!J204)</x:f>
      </x:c>
      <x:c r="L1576" s="2" t="str">
        <x:f>IF('Design &amp; Insights'!K204="","",'Design &amp; Insights'!K204)</x:f>
      </x:c>
      <x:c r="M1576" s="2" t="n">
        <x:f>'Design &amp; Insights'!Q204</x:f>
        <x:v>1</x:v>
      </x:c>
      <x:c r="N1576" s="2" t="str">
        <x:f>'Design &amp; Insights'!L204</x:f>
        <x:v>Not started</x:v>
      </x:c>
      <x:c r="O1576" s="2" t="str">
        <x:f>'Design &amp; Insights'!N204</x:f>
        <x:v>DI.BO.3.2.2026.CY2</x:v>
      </x:c>
      <x:c r="P1576" s="2" t="n">
        <x:f>'Design &amp; Insights'!O204</x:f>
        <x:v>0</x:v>
      </x:c>
      <x:c r="Q1576" s="2" t="n">
        <x:f>SUBTOTAL(103,O1576)</x:f>
        <x:v>1</x:v>
      </x:c>
      <x:c r="R1576" s="2" t="n">
        <x:f>IF(AND(M1576=1,OR(Dashboard!$B$7="All",Dashboard!$B$7='Cycles &amp; Guide'!$C$5),OR(Dashboard!$D$7="All",Dashboard!$D$7=B1576),OR(Dashboard!$F$7="All",Dashboard!$F$7=C1576),OR(Dashboard!$H$7="All",Dashboard!$H$7=D1576),OR(Dashboard!$K$7="All",Dashboard!$K$7=E1576)),1,0)</x:f>
        <x:v>1</x:v>
      </x:c>
      <x:c r="S1576" s="2" t="n">
        <x:f>IF(R1576=1,SUM($R$10:R1576),0)</x:f>
        <x:v>1203</x:v>
      </x:c>
      <x:c r="T1576" s="2" t="str">
        <x:v>Design &amp; Insights</x:v>
      </x:c>
      <x:c r="U1576" s="2" t="n">
        <x:v>204</x:v>
      </x:c>
      <x:c r="V1576" s="2" t="n">
        <x:f>IF(AND(M1576=1,P1576=0,ISNUMBER(J1576),J1576&lt;TODAY()),1,0)</x:f>
        <x:v>0</x:v>
      </x:c>
      <x:c r="W1576" s="2" t="str">
        <x:f>'Design &amp; Insights'!M204</x:f>
        <x:v>Task</x:v>
      </x:c>
    </x:row>
    <x:row r="1577" ht="40" customHeight="1">
      <x:c r="A1577" s="3" t="str">
        <x:f>HYPERLINK("#'Design &amp; Insights'!A205","Open")</x:f>
        <x:v>Open</x:v>
      </x:c>
      <x:c r="B1577" s="2" t="str">
        <x:f>'Design &amp; Insights'!B205</x:f>
        <x:v>Cycle 2</x:v>
      </x:c>
      <x:c r="C1577" s="2" t="str">
        <x:f>'Design &amp; Insights'!C205</x:f>
        <x:v>Phase 3</x:v>
      </x:c>
      <x:c r="D1577" s="2" t="str">
        <x:f>'Design &amp; Insights'!D205</x:f>
        <x:v>CSBBO - Banking Ops</x:v>
      </x:c>
      <x:c r="E1577" s="2" t="str">
        <x:v>Design &amp; Insights</x:v>
      </x:c>
      <x:c r="F1577" s="56" t="str">
        <x:f>'Design &amp; Insights'!E205</x:f>
        <x:v>DI.BO.3.3</x:v>
      </x:c>
      <x:c r="G1577" s="14" t="str">
        <x:f>'Design &amp; Insights'!F205</x:f>
        <x:v>Present findings, conclusions, and recommendation to SMEs</x:v>
      </x:c>
      <x:c r="H1577" s="2" t="str">
        <x:f>IF('Design &amp; Insights'!G205="","",'Design &amp; Insights'!G205)</x:f>
      </x:c>
      <x:c r="I1577" s="12" t="str">
        <x:f>IF('Design &amp; Insights'!H205="","",'Design &amp; Insights'!H205)</x:f>
      </x:c>
      <x:c r="J1577" s="12" t="n">
        <x:f>IF('Design &amp; Insights'!I205="","",'Design &amp; Insights'!I205)</x:f>
        <x:v>46203</x:v>
      </x:c>
      <x:c r="K1577" s="12" t="str">
        <x:f>IF('Design &amp; Insights'!J205="","",'Design &amp; Insights'!J205)</x:f>
      </x:c>
      <x:c r="L1577" s="2" t="str">
        <x:f>IF('Design &amp; Insights'!K205="","",'Design &amp; Insights'!K205)</x:f>
      </x:c>
      <x:c r="M1577" s="2" t="n">
        <x:f>'Design &amp; Insights'!Q205</x:f>
        <x:v>1</x:v>
      </x:c>
      <x:c r="N1577" s="2" t="str">
        <x:f>'Design &amp; Insights'!L205</x:f>
        <x:v>Not started</x:v>
      </x:c>
      <x:c r="O1577" s="2" t="str">
        <x:f>'Design &amp; Insights'!N205</x:f>
        <x:v>DI.BO.3.3.2026.CY2</x:v>
      </x:c>
      <x:c r="P1577" s="2" t="n">
        <x:f>'Design &amp; Insights'!O205</x:f>
        <x:v>0</x:v>
      </x:c>
      <x:c r="Q1577" s="2" t="n">
        <x:f>SUBTOTAL(103,O1577)</x:f>
        <x:v>1</x:v>
      </x:c>
      <x:c r="R1577" s="2" t="n">
        <x:f>IF(AND(M1577=1,OR(Dashboard!$B$7="All",Dashboard!$B$7='Cycles &amp; Guide'!$C$5),OR(Dashboard!$D$7="All",Dashboard!$D$7=B1577),OR(Dashboard!$F$7="All",Dashboard!$F$7=C1577),OR(Dashboard!$H$7="All",Dashboard!$H$7=D1577),OR(Dashboard!$K$7="All",Dashboard!$K$7=E1577)),1,0)</x:f>
        <x:v>1</x:v>
      </x:c>
      <x:c r="S1577" s="2" t="n">
        <x:f>IF(R1577=1,SUM($R$10:R1577),0)</x:f>
        <x:v>1204</x:v>
      </x:c>
      <x:c r="T1577" s="2" t="str">
        <x:v>Design &amp; Insights</x:v>
      </x:c>
      <x:c r="U1577" s="2" t="n">
        <x:v>205</x:v>
      </x:c>
      <x:c r="V1577" s="2" t="n">
        <x:f>IF(AND(M1577=1,P1577=0,ISNUMBER(J1577),J1577&lt;TODAY()),1,0)</x:f>
        <x:v>1</x:v>
      </x:c>
      <x:c r="W1577" s="2" t="str">
        <x:f>'Design &amp; Insights'!M205</x:f>
        <x:v>Task</x:v>
      </x:c>
    </x:row>
    <x:row r="1578" ht="40" customHeight="1">
      <x:c r="A1578" s="3" t="str">
        <x:f>HYPERLINK("#'Design &amp; Insights'!A206","Open")</x:f>
        <x:v>Open</x:v>
      </x:c>
      <x:c r="B1578" s="2" t="str">
        <x:f>'Design &amp; Insights'!B206</x:f>
        <x:v>Cycle 2</x:v>
      </x:c>
      <x:c r="C1578" s="2" t="str">
        <x:f>'Design &amp; Insights'!C206</x:f>
        <x:v>Phase 3</x:v>
      </x:c>
      <x:c r="D1578" s="2" t="str">
        <x:f>'Design &amp; Insights'!D206</x:f>
        <x:v>CSBBO - Banking Ops</x:v>
      </x:c>
      <x:c r="E1578" s="2" t="str">
        <x:v>Design &amp; Insights</x:v>
      </x:c>
      <x:c r="F1578" s="56" t="str">
        <x:f>'Design &amp; Insights'!E206</x:f>
        <x:v>DI.BO.3.4</x:v>
      </x:c>
      <x:c r="G1578" s="14" t="str">
        <x:f>'Design &amp; Insights'!F206</x:f>
        <x:v>Update Outcome portion of research plan (as needed)</x:v>
      </x:c>
      <x:c r="H1578" s="2" t="str">
        <x:f>IF('Design &amp; Insights'!G206="","",'Design &amp; Insights'!G206)</x:f>
      </x:c>
      <x:c r="I1578" s="12" t="str">
        <x:f>IF('Design &amp; Insights'!H206="","",'Design &amp; Insights'!H206)</x:f>
      </x:c>
      <x:c r="J1578" s="12" t="n">
        <x:f>IF('Design &amp; Insights'!I206="","",'Design &amp; Insights'!I206)</x:f>
        <x:v>46203</x:v>
      </x:c>
      <x:c r="K1578" s="12" t="str">
        <x:f>IF('Design &amp; Insights'!J206="","",'Design &amp; Insights'!J206)</x:f>
      </x:c>
      <x:c r="L1578" s="2" t="str">
        <x:f>IF('Design &amp; Insights'!K206="","",'Design &amp; Insights'!K206)</x:f>
      </x:c>
      <x:c r="M1578" s="2" t="n">
        <x:f>'Design &amp; Insights'!Q206</x:f>
        <x:v>1</x:v>
      </x:c>
      <x:c r="N1578" s="2" t="str">
        <x:f>'Design &amp; Insights'!L206</x:f>
        <x:v>Not started</x:v>
      </x:c>
      <x:c r="O1578" s="2" t="str">
        <x:f>'Design &amp; Insights'!N206</x:f>
        <x:v>DI.BO.3.4.2026.CY2</x:v>
      </x:c>
      <x:c r="P1578" s="2" t="n">
        <x:f>'Design &amp; Insights'!O206</x:f>
        <x:v>0</x:v>
      </x:c>
      <x:c r="Q1578" s="2" t="n">
        <x:f>SUBTOTAL(103,O1578)</x:f>
        <x:v>1</x:v>
      </x:c>
      <x:c r="R1578" s="2" t="n">
        <x:f>IF(AND(M1578=1,OR(Dashboard!$B$7="All",Dashboard!$B$7='Cycles &amp; Guide'!$C$5),OR(Dashboard!$D$7="All",Dashboard!$D$7=B1578),OR(Dashboard!$F$7="All",Dashboard!$F$7=C1578),OR(Dashboard!$H$7="All",Dashboard!$H$7=D1578),OR(Dashboard!$K$7="All",Dashboard!$K$7=E1578)),1,0)</x:f>
        <x:v>1</x:v>
      </x:c>
      <x:c r="S1578" s="2" t="n">
        <x:f>IF(R1578=1,SUM($R$10:R1578),0)</x:f>
        <x:v>1205</x:v>
      </x:c>
      <x:c r="T1578" s="2" t="str">
        <x:v>Design &amp; Insights</x:v>
      </x:c>
      <x:c r="U1578" s="2" t="n">
        <x:v>206</x:v>
      </x:c>
      <x:c r="V1578" s="2" t="n">
        <x:f>IF(AND(M1578=1,P1578=0,ISNUMBER(J1578),J1578&lt;TODAY()),1,0)</x:f>
        <x:v>1</x:v>
      </x:c>
      <x:c r="W1578" s="2" t="str">
        <x:f>'Design &amp; Insights'!M206</x:f>
        <x:v>Task</x:v>
      </x:c>
    </x:row>
    <x:row r="1579" ht="40" customHeight="1">
      <x:c r="A1579" s="3" t="str">
        <x:f>HYPERLINK("#'Design &amp; Insights'!A207","Open")</x:f>
        <x:v>Open</x:v>
      </x:c>
      <x:c r="B1579" s="2" t="str">
        <x:f>'Design &amp; Insights'!B207</x:f>
        <x:v>Cycle 2</x:v>
      </x:c>
      <x:c r="C1579" s="2" t="str">
        <x:f>'Design &amp; Insights'!C207</x:f>
        <x:v>Phase 3</x:v>
      </x:c>
      <x:c r="D1579" s="2" t="str">
        <x:f>'Design &amp; Insights'!D207</x:f>
        <x:v>CSBBO - Banking Ops</x:v>
      </x:c>
      <x:c r="E1579" s="2" t="str">
        <x:v>Design &amp; Insights</x:v>
      </x:c>
      <x:c r="F1579" s="56" t="str">
        <x:f>'Design &amp; Insights'!E207</x:f>
        <x:v>DI.BO.3.5</x:v>
      </x:c>
      <x:c r="G1579" s="14" t="str">
        <x:f>'Design &amp; Insights'!F207</x:f>
        <x:v>Finalize presentation deck by incorporating pre-socialization feedback (as needed)</x:v>
      </x:c>
      <x:c r="H1579" s="2" t="str">
        <x:f>IF('Design &amp; Insights'!G207="","",'Design &amp; Insights'!G207)</x:f>
      </x:c>
      <x:c r="I1579" s="12" t="str">
        <x:f>IF('Design &amp; Insights'!H207="","",'Design &amp; Insights'!H207)</x:f>
      </x:c>
      <x:c r="J1579" s="12" t="n">
        <x:f>IF('Design &amp; Insights'!I207="","",'Design &amp; Insights'!I207)</x:f>
        <x:v>46203</x:v>
      </x:c>
      <x:c r="K1579" s="12" t="str">
        <x:f>IF('Design &amp; Insights'!J207="","",'Design &amp; Insights'!J207)</x:f>
      </x:c>
      <x:c r="L1579" s="2" t="str">
        <x:f>IF('Design &amp; Insights'!K207="","",'Design &amp; Insights'!K207)</x:f>
      </x:c>
      <x:c r="M1579" s="2" t="n">
        <x:f>'Design &amp; Insights'!Q207</x:f>
        <x:v>1</x:v>
      </x:c>
      <x:c r="N1579" s="2" t="str">
        <x:f>'Design &amp; Insights'!L207</x:f>
        <x:v>Not started</x:v>
      </x:c>
      <x:c r="O1579" s="2" t="str">
        <x:f>'Design &amp; Insights'!N207</x:f>
        <x:v>DI.BO.3.5.2026.CY2</x:v>
      </x:c>
      <x:c r="P1579" s="2" t="n">
        <x:f>'Design &amp; Insights'!O207</x:f>
        <x:v>0</x:v>
      </x:c>
      <x:c r="Q1579" s="2" t="n">
        <x:f>SUBTOTAL(103,O1579)</x:f>
        <x:v>1</x:v>
      </x:c>
      <x:c r="R1579" s="2" t="n">
        <x:f>IF(AND(M1579=1,OR(Dashboard!$B$7="All",Dashboard!$B$7='Cycles &amp; Guide'!$C$5),OR(Dashboard!$D$7="All",Dashboard!$D$7=B1579),OR(Dashboard!$F$7="All",Dashboard!$F$7=C1579),OR(Dashboard!$H$7="All",Dashboard!$H$7=D1579),OR(Dashboard!$K$7="All",Dashboard!$K$7=E1579)),1,0)</x:f>
        <x:v>1</x:v>
      </x:c>
      <x:c r="S1579" s="2" t="n">
        <x:f>IF(R1579=1,SUM($R$10:R1579),0)</x:f>
        <x:v>1206</x:v>
      </x:c>
      <x:c r="T1579" s="2" t="str">
        <x:v>Design &amp; Insights</x:v>
      </x:c>
      <x:c r="U1579" s="2" t="n">
        <x:v>207</x:v>
      </x:c>
      <x:c r="V1579" s="2" t="n">
        <x:f>IF(AND(M1579=1,P1579=0,ISNUMBER(J1579),J1579&lt;TODAY()),1,0)</x:f>
        <x:v>1</x:v>
      </x:c>
      <x:c r="W1579" s="2" t="str">
        <x:f>'Design &amp; Insights'!M207</x:f>
        <x:v>Task</x:v>
      </x:c>
    </x:row>
    <x:row r="1580" ht="40" customHeight="1">
      <x:c r="A1580" s="3" t="str">
        <x:f>HYPERLINK("#'Design &amp; Insights'!A208","Open")</x:f>
        <x:v>Open</x:v>
      </x:c>
      <x:c r="B1580" s="2" t="str">
        <x:f>'Design &amp; Insights'!B208</x:f>
        <x:v>Cycle 2</x:v>
      </x:c>
      <x:c r="C1580" s="2" t="str">
        <x:f>'Design &amp; Insights'!C208</x:f>
        <x:v>Phase 3</x:v>
      </x:c>
      <x:c r="D1580" s="2" t="str">
        <x:f>'Design &amp; Insights'!D208</x:f>
        <x:v>CSBBO - Banking Ops</x:v>
      </x:c>
      <x:c r="E1580" s="2" t="str">
        <x:v>Design &amp; Insights</x:v>
      </x:c>
      <x:c r="F1580" s="56" t="str">
        <x:f>'Design &amp; Insights'!E208</x:f>
        <x:v>DI.BO.3.6</x:v>
      </x:c>
      <x:c r="G1580" s="14" t="str">
        <x:f>'Design &amp; Insights'!F208</x:f>
        <x:v>Ensure final deck is communicated to Forum attendees</x:v>
      </x:c>
      <x:c r="H1580" s="2" t="str">
        <x:f>IF('Design &amp; Insights'!G208="","",'Design &amp; Insights'!G208)</x:f>
      </x:c>
      <x:c r="I1580" s="12" t="str">
        <x:f>IF('Design &amp; Insights'!H208="","",'Design &amp; Insights'!H208)</x:f>
      </x:c>
      <x:c r="J1580" s="12" t="n">
        <x:f>IF('Design &amp; Insights'!I208="","",'Design &amp; Insights'!I208)</x:f>
        <x:v>46203</x:v>
      </x:c>
      <x:c r="K1580" s="12" t="str">
        <x:f>IF('Design &amp; Insights'!J208="","",'Design &amp; Insights'!J208)</x:f>
      </x:c>
      <x:c r="L1580" s="2" t="str">
        <x:f>IF('Design &amp; Insights'!K208="","",'Design &amp; Insights'!K208)</x:f>
      </x:c>
      <x:c r="M1580" s="2" t="n">
        <x:f>'Design &amp; Insights'!Q208</x:f>
        <x:v>1</x:v>
      </x:c>
      <x:c r="N1580" s="2" t="str">
        <x:f>'Design &amp; Insights'!L208</x:f>
        <x:v>Not started</x:v>
      </x:c>
      <x:c r="O1580" s="2" t="str">
        <x:f>'Design &amp; Insights'!N208</x:f>
        <x:v>DI.BO.3.6.2026.CY2</x:v>
      </x:c>
      <x:c r="P1580" s="2" t="n">
        <x:f>'Design &amp; Insights'!O208</x:f>
        <x:v>0</x:v>
      </x:c>
      <x:c r="Q1580" s="2" t="n">
        <x:f>SUBTOTAL(103,O1580)</x:f>
        <x:v>1</x:v>
      </x:c>
      <x:c r="R1580" s="2" t="n">
        <x:f>IF(AND(M1580=1,OR(Dashboard!$B$7="All",Dashboard!$B$7='Cycles &amp; Guide'!$C$5),OR(Dashboard!$D$7="All",Dashboard!$D$7=B1580),OR(Dashboard!$F$7="All",Dashboard!$F$7=C1580),OR(Dashboard!$H$7="All",Dashboard!$H$7=D1580),OR(Dashboard!$K$7="All",Dashboard!$K$7=E1580)),1,0)</x:f>
        <x:v>1</x:v>
      </x:c>
      <x:c r="S1580" s="2" t="n">
        <x:f>IF(R1580=1,SUM($R$10:R1580),0)</x:f>
        <x:v>1207</x:v>
      </x:c>
      <x:c r="T1580" s="2" t="str">
        <x:v>Design &amp; Insights</x:v>
      </x:c>
      <x:c r="U1580" s="2" t="n">
        <x:v>208</x:v>
      </x:c>
      <x:c r="V1580" s="2" t="n">
        <x:f>IF(AND(M1580=1,P1580=0,ISNUMBER(J1580),J1580&lt;TODAY()),1,0)</x:f>
        <x:v>1</x:v>
      </x:c>
      <x:c r="W1580" s="2" t="str">
        <x:f>'Design &amp; Insights'!M208</x:f>
        <x:v>Task</x:v>
      </x:c>
    </x:row>
    <x:row r="1581" ht="40" customHeight="1">
      <x:c r="A1581" s="3" t="str">
        <x:f>HYPERLINK("#'Design &amp; Insights'!A209","Open")</x:f>
        <x:v>Open</x:v>
      </x:c>
      <x:c r="B1581" s="2" t="str">
        <x:f>'Design &amp; Insights'!B209</x:f>
        <x:v>Cycle 2</x:v>
      </x:c>
      <x:c r="C1581" s="2" t="str">
        <x:f>'Design &amp; Insights'!C209</x:f>
        <x:v>Phase 3</x:v>
      </x:c>
      <x:c r="D1581" s="2" t="str">
        <x:f>'Design &amp; Insights'!D209</x:f>
        <x:v>CSBBO - Banking Ops</x:v>
      </x:c>
      <x:c r="E1581" s="2" t="str">
        <x:v>Design &amp; Insights</x:v>
      </x:c>
      <x:c r="F1581" s="56" t="str">
        <x:f>'Design &amp; Insights'!E209</x:f>
        <x:v>DI.BO.3.7</x:v>
      </x:c>
      <x:c r="G1581" s="14" t="str">
        <x:f>'Design &amp; Insights'!F209</x:f>
        <x:v>Present material in RCA Cycle Forum</x:v>
      </x:c>
      <x:c r="H1581" s="2" t="str">
        <x:f>IF('Design &amp; Insights'!G209="","",'Design &amp; Insights'!G209)</x:f>
      </x:c>
      <x:c r="I1581" s="12" t="str">
        <x:f>IF('Design &amp; Insights'!H209="","",'Design &amp; Insights'!H209)</x:f>
      </x:c>
      <x:c r="J1581" s="12" t="str">
        <x:f>IF('Design &amp; Insights'!I209="","",'Design &amp; Insights'!I209)</x:f>
      </x:c>
      <x:c r="K1581" s="12" t="str">
        <x:f>IF('Design &amp; Insights'!J209="","",'Design &amp; Insights'!J209)</x:f>
      </x:c>
      <x:c r="L1581" s="2" t="str">
        <x:f>IF('Design &amp; Insights'!K209="","",'Design &amp; Insights'!K209)</x:f>
      </x:c>
      <x:c r="M1581" s="2" t="n">
        <x:f>'Design &amp; Insights'!Q209</x:f>
        <x:v>1</x:v>
      </x:c>
      <x:c r="N1581" s="2" t="str">
        <x:f>'Design &amp; Insights'!L209</x:f>
        <x:v>Not started</x:v>
      </x:c>
      <x:c r="O1581" s="2" t="str">
        <x:f>'Design &amp; Insights'!N209</x:f>
        <x:v>DI.BO.3.7.2026.CY2</x:v>
      </x:c>
      <x:c r="P1581" s="2" t="n">
        <x:f>'Design &amp; Insights'!O209</x:f>
        <x:v>0</x:v>
      </x:c>
      <x:c r="Q1581" s="2" t="n">
        <x:f>SUBTOTAL(103,O1581)</x:f>
        <x:v>1</x:v>
      </x:c>
      <x:c r="R1581" s="2" t="n">
        <x:f>IF(AND(M1581=1,OR(Dashboard!$B$7="All",Dashboard!$B$7='Cycles &amp; Guide'!$C$5),OR(Dashboard!$D$7="All",Dashboard!$D$7=B1581),OR(Dashboard!$F$7="All",Dashboard!$F$7=C1581),OR(Dashboard!$H$7="All",Dashboard!$H$7=D1581),OR(Dashboard!$K$7="All",Dashboard!$K$7=E1581)),1,0)</x:f>
        <x:v>1</x:v>
      </x:c>
      <x:c r="S1581" s="2" t="n">
        <x:f>IF(R1581=1,SUM($R$10:R1581),0)</x:f>
        <x:v>1208</x:v>
      </x:c>
      <x:c r="T1581" s="2" t="str">
        <x:v>Design &amp; Insights</x:v>
      </x:c>
      <x:c r="U1581" s="2" t="n">
        <x:v>209</x:v>
      </x:c>
      <x:c r="V1581" s="2" t="n">
        <x:f>IF(AND(M1581=1,P1581=0,ISNUMBER(J1581),J1581&lt;TODAY()),1,0)</x:f>
        <x:v>0</x:v>
      </x:c>
      <x:c r="W1581" s="2" t="str">
        <x:f>'Design &amp; Insights'!M209</x:f>
        <x:v>Task</x:v>
      </x:c>
    </x:row>
    <x:row r="1582" ht="40" customHeight="1">
      <x:c r="A1582" s="3" t="str">
        <x:f>HYPERLINK("#'Design &amp; Insights'!A210","Open")</x:f>
        <x:v>Open</x:v>
      </x:c>
      <x:c r="B1582" s="2" t="str">
        <x:f>'Design &amp; Insights'!B210</x:f>
        <x:v>Cycle 2</x:v>
      </x:c>
      <x:c r="C1582" s="2" t="str">
        <x:f>'Design &amp; Insights'!C210</x:f>
        <x:v>Phase 1</x:v>
      </x:c>
      <x:c r="D1582" s="2" t="str">
        <x:f>'Design &amp; Insights'!D210</x:f>
        <x:v>CSBBO - Customer Service</x:v>
      </x:c>
      <x:c r="E1582" s="2" t="str">
        <x:v>Design &amp; Insights</x:v>
      </x:c>
      <x:c r="F1582" s="56" t="str">
        <x:f>'Design &amp; Insights'!E210</x:f>
        <x:v>DI.CS.1.1</x:v>
      </x:c>
      <x:c r="G1582" s="14" t="str">
        <x:f>'Design &amp; Insights'!F210</x:f>
        <x:v>Receive and review potential research topics at least 2 weeks prior to Cycle start date</x:v>
      </x:c>
      <x:c r="H1582" s="2" t="str">
        <x:f>IF('Design &amp; Insights'!G210="","",'Design &amp; Insights'!G210)</x:f>
      </x:c>
      <x:c r="I1582" s="12" t="str">
        <x:f>IF('Design &amp; Insights'!H210="","",'Design &amp; Insights'!H210)</x:f>
      </x:c>
      <x:c r="J1582" s="12" t="n">
        <x:f>IF('Design &amp; Insights'!I210="","",'Design &amp; Insights'!I210)</x:f>
        <x:v>46099</x:v>
      </x:c>
      <x:c r="K1582" s="12" t="str">
        <x:f>IF('Design &amp; Insights'!J210="","",'Design &amp; Insights'!J210)</x:f>
      </x:c>
      <x:c r="L1582" s="2" t="str">
        <x:f>IF('Design &amp; Insights'!K210="","",'Design &amp; Insights'!K210)</x:f>
      </x:c>
      <x:c r="M1582" s="2" t="n">
        <x:f>'Design &amp; Insights'!Q210</x:f>
        <x:v>1</x:v>
      </x:c>
      <x:c r="N1582" s="2" t="str">
        <x:f>'Design &amp; Insights'!L210</x:f>
        <x:v>Not started</x:v>
      </x:c>
      <x:c r="O1582" s="2" t="str">
        <x:f>'Design &amp; Insights'!N210</x:f>
        <x:v>DI.CS.1.1.2026.CY2</x:v>
      </x:c>
      <x:c r="P1582" s="2" t="n">
        <x:f>'Design &amp; Insights'!O210</x:f>
        <x:v>0</x:v>
      </x:c>
      <x:c r="Q1582" s="2" t="n">
        <x:f>SUBTOTAL(103,O1582)</x:f>
        <x:v>1</x:v>
      </x:c>
      <x:c r="R1582" s="2" t="n">
        <x:f>IF(AND(M1582=1,OR(Dashboard!$B$7="All",Dashboard!$B$7='Cycles &amp; Guide'!$C$5),OR(Dashboard!$D$7="All",Dashboard!$D$7=B1582),OR(Dashboard!$F$7="All",Dashboard!$F$7=C1582),OR(Dashboard!$H$7="All",Dashboard!$H$7=D1582),OR(Dashboard!$K$7="All",Dashboard!$K$7=E1582)),1,0)</x:f>
        <x:v>1</x:v>
      </x:c>
      <x:c r="S1582" s="2" t="n">
        <x:f>IF(R1582=1,SUM($R$10:R1582),0)</x:f>
        <x:v>1209</x:v>
      </x:c>
      <x:c r="T1582" s="2" t="str">
        <x:v>Design &amp; Insights</x:v>
      </x:c>
      <x:c r="U1582" s="2" t="n">
        <x:v>210</x:v>
      </x:c>
      <x:c r="V1582" s="2" t="n">
        <x:f>IF(AND(M1582=1,P1582=0,ISNUMBER(J1582),J1582&lt;TODAY()),1,0)</x:f>
        <x:v>1</x:v>
      </x:c>
      <x:c r="W1582" s="2" t="str">
        <x:f>'Design &amp; Insights'!M210</x:f>
        <x:v>Task</x:v>
      </x:c>
    </x:row>
    <x:row r="1583" ht="40" customHeight="1">
      <x:c r="A1583" s="3" t="str">
        <x:f>HYPERLINK("#'Design &amp; Insights'!A211","Open")</x:f>
        <x:v>Open</x:v>
      </x:c>
      <x:c r="B1583" s="2" t="str">
        <x:f>'Design &amp; Insights'!B211</x:f>
        <x:v>Cycle 2</x:v>
      </x:c>
      <x:c r="C1583" s="2" t="str">
        <x:f>'Design &amp; Insights'!C211</x:f>
        <x:v>Phase 1</x:v>
      </x:c>
      <x:c r="D1583" s="2" t="str">
        <x:f>'Design &amp; Insights'!D211</x:f>
        <x:v>CSBBO - Customer Service</x:v>
      </x:c>
      <x:c r="E1583" s="2" t="str">
        <x:v>Design &amp; Insights</x:v>
      </x:c>
      <x:c r="F1583" s="56" t="str">
        <x:f>'Design &amp; Insights'!E211</x:f>
        <x:v>DI.CS.1.2</x:v>
      </x:c>
      <x:c r="G1583" s="14" t="str">
        <x:f>'Design &amp; Insights'!F211</x:f>
        <x:v>Communicate any feedback on preferences or concerns with topics identified</x:v>
      </x:c>
      <x:c r="H1583" s="2" t="str">
        <x:f>IF('Design &amp; Insights'!G211="","",'Design &amp; Insights'!G211)</x:f>
      </x:c>
      <x:c r="I1583" s="12" t="str">
        <x:f>IF('Design &amp; Insights'!H211="","",'Design &amp; Insights'!H211)</x:f>
      </x:c>
      <x:c r="J1583" s="12" t="n">
        <x:f>IF('Design &amp; Insights'!I211="","",'Design &amp; Insights'!I211)</x:f>
        <x:v>46203</x:v>
      </x:c>
      <x:c r="K1583" s="12" t="str">
        <x:f>IF('Design &amp; Insights'!J211="","",'Design &amp; Insights'!J211)</x:f>
      </x:c>
      <x:c r="L1583" s="2" t="str">
        <x:f>IF('Design &amp; Insights'!K211="","",'Design &amp; Insights'!K211)</x:f>
      </x:c>
      <x:c r="M1583" s="2" t="n">
        <x:f>'Design &amp; Insights'!Q211</x:f>
        <x:v>1</x:v>
      </x:c>
      <x:c r="N1583" s="2" t="str">
        <x:f>'Design &amp; Insights'!L211</x:f>
        <x:v>Not started</x:v>
      </x:c>
      <x:c r="O1583" s="2" t="str">
        <x:f>'Design &amp; Insights'!N211</x:f>
        <x:v>DI.CS.1.2.2026.CY2</x:v>
      </x:c>
      <x:c r="P1583" s="2" t="n">
        <x:f>'Design &amp; Insights'!O211</x:f>
        <x:v>0</x:v>
      </x:c>
      <x:c r="Q1583" s="2" t="n">
        <x:f>SUBTOTAL(103,O1583)</x:f>
        <x:v>1</x:v>
      </x:c>
      <x:c r="R1583" s="2" t="n">
        <x:f>IF(AND(M1583=1,OR(Dashboard!$B$7="All",Dashboard!$B$7='Cycles &amp; Guide'!$C$5),OR(Dashboard!$D$7="All",Dashboard!$D$7=B1583),OR(Dashboard!$F$7="All",Dashboard!$F$7=C1583),OR(Dashboard!$H$7="All",Dashboard!$H$7=D1583),OR(Dashboard!$K$7="All",Dashboard!$K$7=E1583)),1,0)</x:f>
        <x:v>1</x:v>
      </x:c>
      <x:c r="S1583" s="2" t="n">
        <x:f>IF(R1583=1,SUM($R$10:R1583),0)</x:f>
        <x:v>1210</x:v>
      </x:c>
      <x:c r="T1583" s="2" t="str">
        <x:v>Design &amp; Insights</x:v>
      </x:c>
      <x:c r="U1583" s="2" t="n">
        <x:v>211</x:v>
      </x:c>
      <x:c r="V1583" s="2" t="n">
        <x:f>IF(AND(M1583=1,P1583=0,ISNUMBER(J1583),J1583&lt;TODAY()),1,0)</x:f>
        <x:v>1</x:v>
      </x:c>
      <x:c r="W1583" s="2" t="str">
        <x:f>'Design &amp; Insights'!M211</x:f>
        <x:v>Task</x:v>
      </x:c>
    </x:row>
    <x:row r="1584" ht="40" customHeight="1">
      <x:c r="A1584" s="3" t="str">
        <x:f>HYPERLINK("#'Design &amp; Insights'!A212","Open")</x:f>
        <x:v>Open</x:v>
      </x:c>
      <x:c r="B1584" s="2" t="str">
        <x:f>'Design &amp; Insights'!B212</x:f>
        <x:v>Cycle 2</x:v>
      </x:c>
      <x:c r="C1584" s="2" t="str">
        <x:f>'Design &amp; Insights'!C212</x:f>
        <x:v>Phase 1</x:v>
      </x:c>
      <x:c r="D1584" s="2" t="str">
        <x:f>'Design &amp; Insights'!D212</x:f>
        <x:v>CSBBO - Customer Service</x:v>
      </x:c>
      <x:c r="E1584" s="2" t="str">
        <x:v>Design &amp; Insights</x:v>
      </x:c>
      <x:c r="F1584" s="56" t="str">
        <x:f>'Design &amp; Insights'!E212</x:f>
        <x:v>DI.CS.1.3</x:v>
      </x:c>
      <x:c r="G1584" s="14" t="str">
        <x:f>'Design &amp; Insights'!F212</x:f>
        <x:v>Conduct high-level preliminary review of complaints within proposed topics</x:v>
      </x:c>
      <x:c r="H1584" s="2" t="str">
        <x:f>IF('Design &amp; Insights'!G212="","",'Design &amp; Insights'!G212)</x:f>
      </x:c>
      <x:c r="I1584" s="12" t="str">
        <x:f>IF('Design &amp; Insights'!H212="","",'Design &amp; Insights'!H212)</x:f>
      </x:c>
      <x:c r="J1584" s="12" t="n">
        <x:f>IF('Design &amp; Insights'!I212="","",'Design &amp; Insights'!I212)</x:f>
        <x:v>46203</x:v>
      </x:c>
      <x:c r="K1584" s="12" t="str">
        <x:f>IF('Design &amp; Insights'!J212="","",'Design &amp; Insights'!J212)</x:f>
      </x:c>
      <x:c r="L1584" s="2" t="str">
        <x:f>IF('Design &amp; Insights'!K212="","",'Design &amp; Insights'!K212)</x:f>
      </x:c>
      <x:c r="M1584" s="2" t="n">
        <x:f>'Design &amp; Insights'!Q212</x:f>
        <x:v>1</x:v>
      </x:c>
      <x:c r="N1584" s="2" t="str">
        <x:f>'Design &amp; Insights'!L212</x:f>
        <x:v>Not started</x:v>
      </x:c>
      <x:c r="O1584" s="2" t="str">
        <x:f>'Design &amp; Insights'!N212</x:f>
        <x:v>DI.CS.1.3.2026.CY2</x:v>
      </x:c>
      <x:c r="P1584" s="2" t="n">
        <x:f>'Design &amp; Insights'!O212</x:f>
        <x:v>0</x:v>
      </x:c>
      <x:c r="Q1584" s="2" t="n">
        <x:f>SUBTOTAL(103,O1584)</x:f>
        <x:v>1</x:v>
      </x:c>
      <x:c r="R1584" s="2" t="n">
        <x:f>IF(AND(M1584=1,OR(Dashboard!$B$7="All",Dashboard!$B$7='Cycles &amp; Guide'!$C$5),OR(Dashboard!$D$7="All",Dashboard!$D$7=B1584),OR(Dashboard!$F$7="All",Dashboard!$F$7=C1584),OR(Dashboard!$H$7="All",Dashboard!$H$7=D1584),OR(Dashboard!$K$7="All",Dashboard!$K$7=E1584)),1,0)</x:f>
        <x:v>1</x:v>
      </x:c>
      <x:c r="S1584" s="2" t="n">
        <x:f>IF(R1584=1,SUM($R$10:R1584),0)</x:f>
        <x:v>1211</x:v>
      </x:c>
      <x:c r="T1584" s="2" t="str">
        <x:v>Design &amp; Insights</x:v>
      </x:c>
      <x:c r="U1584" s="2" t="n">
        <x:v>212</x:v>
      </x:c>
      <x:c r="V1584" s="2" t="n">
        <x:f>IF(AND(M1584=1,P1584=0,ISNUMBER(J1584),J1584&lt;TODAY()),1,0)</x:f>
        <x:v>1</x:v>
      </x:c>
      <x:c r="W1584" s="2" t="str">
        <x:f>'Design &amp; Insights'!M212</x:f>
        <x:v>Task</x:v>
      </x:c>
    </x:row>
    <x:row r="1585" ht="40" customHeight="1">
      <x:c r="A1585" s="3" t="str">
        <x:f>HYPERLINK("#'Design &amp; Insights'!A213","Open")</x:f>
        <x:v>Open</x:v>
      </x:c>
      <x:c r="B1585" s="2" t="str">
        <x:f>'Design &amp; Insights'!B213</x:f>
        <x:v>Cycle 2</x:v>
      </x:c>
      <x:c r="C1585" s="2" t="str">
        <x:f>'Design &amp; Insights'!C213</x:f>
        <x:v>Phase 1</x:v>
      </x:c>
      <x:c r="D1585" s="2" t="str">
        <x:f>'Design &amp; Insights'!D213</x:f>
        <x:v>CSBBO - Customer Service</x:v>
      </x:c>
      <x:c r="E1585" s="2" t="str">
        <x:v>Design &amp; Insights</x:v>
      </x:c>
      <x:c r="F1585" s="56" t="str">
        <x:f>'Design &amp; Insights'!E213</x:f>
        <x:v>DI.CS.1.4</x:v>
      </x:c>
      <x:c r="G1585" s="14" t="str">
        <x:f>'Design &amp; Insights'!F213</x:f>
        <x:v>Meet with Research to discuss which topic to select based on potential impact</x:v>
      </x:c>
      <x:c r="H1585" s="2" t="str">
        <x:f>IF('Design &amp; Insights'!G213="","",'Design &amp; Insights'!G213)</x:f>
      </x:c>
      <x:c r="I1585" s="12" t="str">
        <x:f>IF('Design &amp; Insights'!H213="","",'Design &amp; Insights'!H213)</x:f>
      </x:c>
      <x:c r="J1585" s="12" t="n">
        <x:f>IF('Design &amp; Insights'!I213="","",'Design &amp; Insights'!I213)</x:f>
        <x:v>46203</x:v>
      </x:c>
      <x:c r="K1585" s="12" t="str">
        <x:f>IF('Design &amp; Insights'!J213="","",'Design &amp; Insights'!J213)</x:f>
      </x:c>
      <x:c r="L1585" s="2" t="str">
        <x:f>IF('Design &amp; Insights'!K213="","",'Design &amp; Insights'!K213)</x:f>
      </x:c>
      <x:c r="M1585" s="2" t="n">
        <x:f>'Design &amp; Insights'!Q213</x:f>
        <x:v>1</x:v>
      </x:c>
      <x:c r="N1585" s="2" t="str">
        <x:f>'Design &amp; Insights'!L213</x:f>
        <x:v>Not started</x:v>
      </x:c>
      <x:c r="O1585" s="2" t="str">
        <x:f>'Design &amp; Insights'!N213</x:f>
        <x:v>DI.CS.1.4.2026.CY2</x:v>
      </x:c>
      <x:c r="P1585" s="2" t="n">
        <x:f>'Design &amp; Insights'!O213</x:f>
        <x:v>0</x:v>
      </x:c>
      <x:c r="Q1585" s="2" t="n">
        <x:f>SUBTOTAL(103,O1585)</x:f>
        <x:v>1</x:v>
      </x:c>
      <x:c r="R1585" s="2" t="n">
        <x:f>IF(AND(M1585=1,OR(Dashboard!$B$7="All",Dashboard!$B$7='Cycles &amp; Guide'!$C$5),OR(Dashboard!$D$7="All",Dashboard!$D$7=B1585),OR(Dashboard!$F$7="All",Dashboard!$F$7=C1585),OR(Dashboard!$H$7="All",Dashboard!$H$7=D1585),OR(Dashboard!$K$7="All",Dashboard!$K$7=E1585)),1,0)</x:f>
        <x:v>1</x:v>
      </x:c>
      <x:c r="S1585" s="2" t="n">
        <x:f>IF(R1585=1,SUM($R$10:R1585),0)</x:f>
        <x:v>1212</x:v>
      </x:c>
      <x:c r="T1585" s="2" t="str">
        <x:v>Design &amp; Insights</x:v>
      </x:c>
      <x:c r="U1585" s="2" t="n">
        <x:v>213</x:v>
      </x:c>
      <x:c r="V1585" s="2" t="n">
        <x:f>IF(AND(M1585=1,P1585=0,ISNUMBER(J1585),J1585&lt;TODAY()),1,0)</x:f>
        <x:v>1</x:v>
      </x:c>
      <x:c r="W1585" s="2" t="str">
        <x:f>'Design &amp; Insights'!M213</x:f>
        <x:v>Task</x:v>
      </x:c>
    </x:row>
    <x:row r="1586" ht="40" customHeight="1">
      <x:c r="A1586" s="3" t="str">
        <x:f>HYPERLINK("#'Design &amp; Insights'!A214","Open")</x:f>
        <x:v>Open</x:v>
      </x:c>
      <x:c r="B1586" s="2" t="str">
        <x:f>'Design &amp; Insights'!B214</x:f>
        <x:v>Cycle 2</x:v>
      </x:c>
      <x:c r="C1586" s="2" t="str">
        <x:f>'Design &amp; Insights'!C214</x:f>
        <x:v>Phase 1</x:v>
      </x:c>
      <x:c r="D1586" s="2" t="str">
        <x:f>'Design &amp; Insights'!D214</x:f>
        <x:v>CSBBO - Customer Service</x:v>
      </x:c>
      <x:c r="E1586" s="2" t="str">
        <x:v>Design &amp; Insights</x:v>
      </x:c>
      <x:c r="F1586" s="56" t="str">
        <x:f>'Design &amp; Insights'!E214</x:f>
        <x:v>DI.CS.1.5</x:v>
      </x:c>
      <x:c r="G1586" s="14" t="str">
        <x:f>'Design &amp; Insights'!F214</x:f>
        <x:v>Confirm with Research the recommended topic for approval</x:v>
      </x:c>
      <x:c r="H1586" s="2" t="str">
        <x:f>IF('Design &amp; Insights'!G214="","",'Design &amp; Insights'!G214)</x:f>
      </x:c>
      <x:c r="I1586" s="12" t="str">
        <x:f>IF('Design &amp; Insights'!H214="","",'Design &amp; Insights'!H214)</x:f>
      </x:c>
      <x:c r="J1586" s="12" t="n">
        <x:f>IF('Design &amp; Insights'!I214="","",'Design &amp; Insights'!I214)</x:f>
        <x:v>46203</x:v>
      </x:c>
      <x:c r="K1586" s="12" t="str">
        <x:f>IF('Design &amp; Insights'!J214="","",'Design &amp; Insights'!J214)</x:f>
      </x:c>
      <x:c r="L1586" s="2" t="str">
        <x:f>IF('Design &amp; Insights'!K214="","",'Design &amp; Insights'!K214)</x:f>
      </x:c>
      <x:c r="M1586" s="2" t="n">
        <x:f>'Design &amp; Insights'!Q214</x:f>
        <x:v>1</x:v>
      </x:c>
      <x:c r="N1586" s="2" t="str">
        <x:f>'Design &amp; Insights'!L214</x:f>
        <x:v>Not started</x:v>
      </x:c>
      <x:c r="O1586" s="2" t="str">
        <x:f>'Design &amp; Insights'!N214</x:f>
        <x:v>DI.CS.1.5.2026.CY2</x:v>
      </x:c>
      <x:c r="P1586" s="2" t="n">
        <x:f>'Design &amp; Insights'!O214</x:f>
        <x:v>0</x:v>
      </x:c>
      <x:c r="Q1586" s="2" t="n">
        <x:f>SUBTOTAL(103,O1586)</x:f>
        <x:v>1</x:v>
      </x:c>
      <x:c r="R1586" s="2" t="n">
        <x:f>IF(AND(M1586=1,OR(Dashboard!$B$7="All",Dashboard!$B$7='Cycles &amp; Guide'!$C$5),OR(Dashboard!$D$7="All",Dashboard!$D$7=B1586),OR(Dashboard!$F$7="All",Dashboard!$F$7=C1586),OR(Dashboard!$H$7="All",Dashboard!$H$7=D1586),OR(Dashboard!$K$7="All",Dashboard!$K$7=E1586)),1,0)</x:f>
        <x:v>1</x:v>
      </x:c>
      <x:c r="S1586" s="2" t="n">
        <x:f>IF(R1586=1,SUM($R$10:R1586),0)</x:f>
        <x:v>1213</x:v>
      </x:c>
      <x:c r="T1586" s="2" t="str">
        <x:v>Design &amp; Insights</x:v>
      </x:c>
      <x:c r="U1586" s="2" t="n">
        <x:v>214</x:v>
      </x:c>
      <x:c r="V1586" s="2" t="n">
        <x:f>IF(AND(M1586=1,P1586=0,ISNUMBER(J1586),J1586&lt;TODAY()),1,0)</x:f>
        <x:v>1</x:v>
      </x:c>
      <x:c r="W1586" s="2" t="str">
        <x:f>'Design &amp; Insights'!M214</x:f>
        <x:v>Task</x:v>
      </x:c>
    </x:row>
    <x:row r="1587" ht="40" customHeight="1">
      <x:c r="A1587" s="3" t="str">
        <x:f>HYPERLINK("#'Design &amp; Insights'!A215","Open")</x:f>
        <x:v>Open</x:v>
      </x:c>
      <x:c r="B1587" s="2" t="str">
        <x:f>'Design &amp; Insights'!B215</x:f>
        <x:v>Cycle 2</x:v>
      </x:c>
      <x:c r="C1587" s="2" t="str">
        <x:f>'Design &amp; Insights'!C215</x:f>
        <x:v>Phase 1</x:v>
      </x:c>
      <x:c r="D1587" s="2" t="str">
        <x:f>'Design &amp; Insights'!D215</x:f>
        <x:v>CSBBO - Customer Service</x:v>
      </x:c>
      <x:c r="E1587" s="2" t="str">
        <x:v>Design &amp; Insights</x:v>
      </x:c>
      <x:c r="F1587" s="56" t="str">
        <x:f>'Design &amp; Insights'!E215</x:f>
        <x:v>DI.CS.1.6</x:v>
      </x:c>
      <x:c r="G1587" s="14" t="str">
        <x:f>'Design &amp; Insights'!F215</x:f>
        <x:v>Send topic selection socialization email to all key stakeholders on the first day of the review Cycle</x:v>
      </x:c>
      <x:c r="H1587" s="2" t="str">
        <x:f>IF('Design &amp; Insights'!G215="","",'Design &amp; Insights'!G215)</x:f>
      </x:c>
      <x:c r="I1587" s="12" t="str">
        <x:f>IF('Design &amp; Insights'!H215="","",'Design &amp; Insights'!H215)</x:f>
      </x:c>
      <x:c r="J1587" s="12" t="n">
        <x:f>IF('Design &amp; Insights'!I215="","",'Design &amp; Insights'!I215)</x:f>
        <x:v>46113</x:v>
      </x:c>
      <x:c r="K1587" s="12" t="str">
        <x:f>IF('Design &amp; Insights'!J215="","",'Design &amp; Insights'!J215)</x:f>
      </x:c>
      <x:c r="L1587" s="2" t="str">
        <x:f>IF('Design &amp; Insights'!K215="","",'Design &amp; Insights'!K215)</x:f>
      </x:c>
      <x:c r="M1587" s="2" t="n">
        <x:f>'Design &amp; Insights'!Q215</x:f>
        <x:v>1</x:v>
      </x:c>
      <x:c r="N1587" s="2" t="str">
        <x:f>'Design &amp; Insights'!L215</x:f>
        <x:v>Not started</x:v>
      </x:c>
      <x:c r="O1587" s="2" t="str">
        <x:f>'Design &amp; Insights'!N215</x:f>
        <x:v>DI.CS.1.6.2026.CY2</x:v>
      </x:c>
      <x:c r="P1587" s="2" t="n">
        <x:f>'Design &amp; Insights'!O215</x:f>
        <x:v>0</x:v>
      </x:c>
      <x:c r="Q1587" s="2" t="n">
        <x:f>SUBTOTAL(103,O1587)</x:f>
        <x:v>1</x:v>
      </x:c>
      <x:c r="R1587" s="2" t="n">
        <x:f>IF(AND(M1587=1,OR(Dashboard!$B$7="All",Dashboard!$B$7='Cycles &amp; Guide'!$C$5),OR(Dashboard!$D$7="All",Dashboard!$D$7=B1587),OR(Dashboard!$F$7="All",Dashboard!$F$7=C1587),OR(Dashboard!$H$7="All",Dashboard!$H$7=D1587),OR(Dashboard!$K$7="All",Dashboard!$K$7=E1587)),1,0)</x:f>
        <x:v>1</x:v>
      </x:c>
      <x:c r="S1587" s="2" t="n">
        <x:f>IF(R1587=1,SUM($R$10:R1587),0)</x:f>
        <x:v>1214</x:v>
      </x:c>
      <x:c r="T1587" s="2" t="str">
        <x:v>Design &amp; Insights</x:v>
      </x:c>
      <x:c r="U1587" s="2" t="n">
        <x:v>215</x:v>
      </x:c>
      <x:c r="V1587" s="2" t="n">
        <x:f>IF(AND(M1587=1,P1587=0,ISNUMBER(J1587),J1587&lt;TODAY()),1,0)</x:f>
        <x:v>1</x:v>
      </x:c>
      <x:c r="W1587" s="2" t="str">
        <x:f>'Design &amp; Insights'!M215</x:f>
        <x:v>Task</x:v>
      </x:c>
    </x:row>
    <x:row r="1588" ht="40" customHeight="1">
      <x:c r="A1588" s="3" t="str">
        <x:f>HYPERLINK("#'Design &amp; Insights'!A216","Open")</x:f>
        <x:v>Open</x:v>
      </x:c>
      <x:c r="B1588" s="2" t="str">
        <x:f>'Design &amp; Insights'!B216</x:f>
        <x:v>Cycle 2</x:v>
      </x:c>
      <x:c r="C1588" s="2" t="str">
        <x:f>'Design &amp; Insights'!C216</x:f>
        <x:v>Phase 2</x:v>
      </x:c>
      <x:c r="D1588" s="2" t="str">
        <x:f>'Design &amp; Insights'!D216</x:f>
        <x:v>CSBBO - Customer Service</x:v>
      </x:c>
      <x:c r="E1588" s="2" t="str">
        <x:v>Design &amp; Insights</x:v>
      </x:c>
      <x:c r="F1588" s="56" t="str">
        <x:f>'Design &amp; Insights'!E216</x:f>
        <x:v>DI.CS.2.1</x:v>
      </x:c>
      <x:c r="G1588" s="14" t="str">
        <x:f>'Design &amp; Insights'!F216</x:f>
        <x:v>Meet regularly with Research to stay informed on progress, findings, and potential enhancement</x:v>
      </x:c>
      <x:c r="H1588" s="2" t="str">
        <x:f>IF('Design &amp; Insights'!G216="","",'Design &amp; Insights'!G216)</x:f>
      </x:c>
      <x:c r="I1588" s="12" t="str">
        <x:f>IF('Design &amp; Insights'!H216="","",'Design &amp; Insights'!H216)</x:f>
      </x:c>
      <x:c r="J1588" s="12" t="n">
        <x:f>IF('Design &amp; Insights'!I216="","",'Design &amp; Insights'!I216)</x:f>
        <x:v>46203</x:v>
      </x:c>
      <x:c r="K1588" s="12" t="str">
        <x:f>IF('Design &amp; Insights'!J216="","",'Design &amp; Insights'!J216)</x:f>
      </x:c>
      <x:c r="L1588" s="2" t="str">
        <x:f>IF('Design &amp; Insights'!K216="","",'Design &amp; Insights'!K216)</x:f>
      </x:c>
      <x:c r="M1588" s="2" t="n">
        <x:f>'Design &amp; Insights'!Q216</x:f>
        <x:v>1</x:v>
      </x:c>
      <x:c r="N1588" s="2" t="str">
        <x:f>'Design &amp; Insights'!L216</x:f>
        <x:v>Not started</x:v>
      </x:c>
      <x:c r="O1588" s="2" t="str">
        <x:f>'Design &amp; Insights'!N216</x:f>
        <x:v>DI.CS.2.1.2026.CY2</x:v>
      </x:c>
      <x:c r="P1588" s="2" t="n">
        <x:f>'Design &amp; Insights'!O216</x:f>
        <x:v>0</x:v>
      </x:c>
      <x:c r="Q1588" s="2" t="n">
        <x:f>SUBTOTAL(103,O1588)</x:f>
        <x:v>1</x:v>
      </x:c>
      <x:c r="R1588" s="2" t="n">
        <x:f>IF(AND(M1588=1,OR(Dashboard!$B$7="All",Dashboard!$B$7='Cycles &amp; Guide'!$C$5),OR(Dashboard!$D$7="All",Dashboard!$D$7=B1588),OR(Dashboard!$F$7="All",Dashboard!$F$7=C1588),OR(Dashboard!$H$7="All",Dashboard!$H$7=D1588),OR(Dashboard!$K$7="All",Dashboard!$K$7=E1588)),1,0)</x:f>
        <x:v>1</x:v>
      </x:c>
      <x:c r="S1588" s="2" t="n">
        <x:f>IF(R1588=1,SUM($R$10:R1588),0)</x:f>
        <x:v>1215</x:v>
      </x:c>
      <x:c r="T1588" s="2" t="str">
        <x:v>Design &amp; Insights</x:v>
      </x:c>
      <x:c r="U1588" s="2" t="n">
        <x:v>216</x:v>
      </x:c>
      <x:c r="V1588" s="2" t="n">
        <x:f>IF(AND(M1588=1,P1588=0,ISNUMBER(J1588),J1588&lt;TODAY()),1,0)</x:f>
        <x:v>1</x:v>
      </x:c>
      <x:c r="W1588" s="2" t="str">
        <x:f>'Design &amp; Insights'!M216</x:f>
        <x:v>Task</x:v>
      </x:c>
    </x:row>
    <x:row r="1589" ht="40" customHeight="1">
      <x:c r="A1589" s="3" t="str">
        <x:f>HYPERLINK("#'Design &amp; Insights'!A217","Open")</x:f>
        <x:v>Open</x:v>
      </x:c>
      <x:c r="B1589" s="2" t="str">
        <x:f>'Design &amp; Insights'!B217</x:f>
        <x:v>Cycle 2</x:v>
      </x:c>
      <x:c r="C1589" s="2" t="str">
        <x:f>'Design &amp; Insights'!C217</x:f>
        <x:v>Phase 2</x:v>
      </x:c>
      <x:c r="D1589" s="2" t="str">
        <x:f>'Design &amp; Insights'!D217</x:f>
        <x:v>CSBBO - Customer Service</x:v>
      </x:c>
      <x:c r="E1589" s="2" t="str">
        <x:v>Design &amp; Insights</x:v>
      </x:c>
      <x:c r="F1589" s="56" t="str">
        <x:f>'Design &amp; Insights'!E217</x:f>
        <x:v>DI.CS.2.2</x:v>
      </x:c>
      <x:c r="G1589" s="14" t="str">
        <x:f>'Design &amp; Insights'!F217</x:f>
        <x:v>Collaborate with Research on research plan specifics</x:v>
      </x:c>
      <x:c r="H1589" s="2" t="str">
        <x:f>IF('Design &amp; Insights'!G217="","",'Design &amp; Insights'!G217)</x:f>
      </x:c>
      <x:c r="I1589" s="12" t="str">
        <x:f>IF('Design &amp; Insights'!H217="","",'Design &amp; Insights'!H217)</x:f>
      </x:c>
      <x:c r="J1589" s="12" t="n">
        <x:f>IF('Design &amp; Insights'!I217="","",'Design &amp; Insights'!I217)</x:f>
        <x:v>46203</x:v>
      </x:c>
      <x:c r="K1589" s="12" t="str">
        <x:f>IF('Design &amp; Insights'!J217="","",'Design &amp; Insights'!J217)</x:f>
      </x:c>
      <x:c r="L1589" s="2" t="str">
        <x:f>IF('Design &amp; Insights'!K217="","",'Design &amp; Insights'!K217)</x:f>
      </x:c>
      <x:c r="M1589" s="2" t="n">
        <x:f>'Design &amp; Insights'!Q217</x:f>
        <x:v>1</x:v>
      </x:c>
      <x:c r="N1589" s="2" t="str">
        <x:f>'Design &amp; Insights'!L217</x:f>
        <x:v>Not started</x:v>
      </x:c>
      <x:c r="O1589" s="2" t="str">
        <x:f>'Design &amp; Insights'!N217</x:f>
        <x:v>DI.CS.2.2.2026.CY2</x:v>
      </x:c>
      <x:c r="P1589" s="2" t="n">
        <x:f>'Design &amp; Insights'!O217</x:f>
        <x:v>0</x:v>
      </x:c>
      <x:c r="Q1589" s="2" t="n">
        <x:f>SUBTOTAL(103,O1589)</x:f>
        <x:v>1</x:v>
      </x:c>
      <x:c r="R1589" s="2" t="n">
        <x:f>IF(AND(M1589=1,OR(Dashboard!$B$7="All",Dashboard!$B$7='Cycles &amp; Guide'!$C$5),OR(Dashboard!$D$7="All",Dashboard!$D$7=B1589),OR(Dashboard!$F$7="All",Dashboard!$F$7=C1589),OR(Dashboard!$H$7="All",Dashboard!$H$7=D1589),OR(Dashboard!$K$7="All",Dashboard!$K$7=E1589)),1,0)</x:f>
        <x:v>1</x:v>
      </x:c>
      <x:c r="S1589" s="2" t="n">
        <x:f>IF(R1589=1,SUM($R$10:R1589),0)</x:f>
        <x:v>1216</x:v>
      </x:c>
      <x:c r="T1589" s="2" t="str">
        <x:v>Design &amp; Insights</x:v>
      </x:c>
      <x:c r="U1589" s="2" t="n">
        <x:v>217</x:v>
      </x:c>
      <x:c r="V1589" s="2" t="n">
        <x:f>IF(AND(M1589=1,P1589=0,ISNUMBER(J1589),J1589&lt;TODAY()),1,0)</x:f>
        <x:v>1</x:v>
      </x:c>
      <x:c r="W1589" s="2" t="str">
        <x:f>'Design &amp; Insights'!M217</x:f>
        <x:v>Task</x:v>
      </x:c>
    </x:row>
    <x:row r="1590" ht="40" customHeight="1">
      <x:c r="A1590" s="3" t="str">
        <x:f>HYPERLINK("#'Design &amp; Insights'!A218","Open")</x:f>
        <x:v>Open</x:v>
      </x:c>
      <x:c r="B1590" s="2" t="str">
        <x:f>'Design &amp; Insights'!B218</x:f>
        <x:v>Cycle 2</x:v>
      </x:c>
      <x:c r="C1590" s="2" t="str">
        <x:f>'Design &amp; Insights'!C218</x:f>
        <x:v>Phase 2</x:v>
      </x:c>
      <x:c r="D1590" s="2" t="str">
        <x:f>'Design &amp; Insights'!D218</x:f>
        <x:v>CSBBO - Customer Service</x:v>
      </x:c>
      <x:c r="E1590" s="2" t="str">
        <x:v>Design &amp; Insights</x:v>
      </x:c>
      <x:c r="F1590" s="56" t="str">
        <x:f>'Design &amp; Insights'!E218</x:f>
        <x:v>DI.CS.2.3</x:v>
      </x:c>
      <x:c r="G1590" s="14" t="str">
        <x:f>'Design &amp; Insights'!F218</x:f>
        <x:v>Participate in SME insight meetings to gain perspective and appetite on potential enhancements</x:v>
      </x:c>
      <x:c r="H1590" s="2" t="str">
        <x:f>IF('Design &amp; Insights'!G218="","",'Design &amp; Insights'!G218)</x:f>
      </x:c>
      <x:c r="I1590" s="12" t="str">
        <x:f>IF('Design &amp; Insights'!H218="","",'Design &amp; Insights'!H218)</x:f>
      </x:c>
      <x:c r="J1590" s="12" t="n">
        <x:f>IF('Design &amp; Insights'!I218="","",'Design &amp; Insights'!I218)</x:f>
        <x:v>46203</x:v>
      </x:c>
      <x:c r="K1590" s="12" t="str">
        <x:f>IF('Design &amp; Insights'!J218="","",'Design &amp; Insights'!J218)</x:f>
      </x:c>
      <x:c r="L1590" s="2" t="str">
        <x:f>IF('Design &amp; Insights'!K218="","",'Design &amp; Insights'!K218)</x:f>
      </x:c>
      <x:c r="M1590" s="2" t="n">
        <x:f>'Design &amp; Insights'!Q218</x:f>
        <x:v>1</x:v>
      </x:c>
      <x:c r="N1590" s="2" t="str">
        <x:f>'Design &amp; Insights'!L218</x:f>
        <x:v>Not started</x:v>
      </x:c>
      <x:c r="O1590" s="2" t="str">
        <x:f>'Design &amp; Insights'!N218</x:f>
        <x:v>DI.CS.2.3.2026.CY2</x:v>
      </x:c>
      <x:c r="P1590" s="2" t="n">
        <x:f>'Design &amp; Insights'!O218</x:f>
        <x:v>0</x:v>
      </x:c>
      <x:c r="Q1590" s="2" t="n">
        <x:f>SUBTOTAL(103,O1590)</x:f>
        <x:v>1</x:v>
      </x:c>
      <x:c r="R1590" s="2" t="n">
        <x:f>IF(AND(M1590=1,OR(Dashboard!$B$7="All",Dashboard!$B$7='Cycles &amp; Guide'!$C$5),OR(Dashboard!$D$7="All",Dashboard!$D$7=B1590),OR(Dashboard!$F$7="All",Dashboard!$F$7=C1590),OR(Dashboard!$H$7="All",Dashboard!$H$7=D1590),OR(Dashboard!$K$7="All",Dashboard!$K$7=E1590)),1,0)</x:f>
        <x:v>1</x:v>
      </x:c>
      <x:c r="S1590" s="2" t="n">
        <x:f>IF(R1590=1,SUM($R$10:R1590),0)</x:f>
        <x:v>1217</x:v>
      </x:c>
      <x:c r="T1590" s="2" t="str">
        <x:v>Design &amp; Insights</x:v>
      </x:c>
      <x:c r="U1590" s="2" t="n">
        <x:v>218</x:v>
      </x:c>
      <x:c r="V1590" s="2" t="n">
        <x:f>IF(AND(M1590=1,P1590=0,ISNUMBER(J1590),J1590&lt;TODAY()),1,0)</x:f>
        <x:v>1</x:v>
      </x:c>
      <x:c r="W1590" s="2" t="str">
        <x:f>'Design &amp; Insights'!M218</x:f>
        <x:v>Task</x:v>
      </x:c>
    </x:row>
    <x:row r="1591" ht="40" customHeight="1">
      <x:c r="A1591" s="3" t="str">
        <x:f>HYPERLINK("#'Design &amp; Insights'!A219","Open")</x:f>
        <x:v>Open</x:v>
      </x:c>
      <x:c r="B1591" s="2" t="str">
        <x:f>'Design &amp; Insights'!B219</x:f>
        <x:v>Cycle 2</x:v>
      </x:c>
      <x:c r="C1591" s="2" t="str">
        <x:f>'Design &amp; Insights'!C219</x:f>
        <x:v>Phase 2</x:v>
      </x:c>
      <x:c r="D1591" s="2" t="str">
        <x:f>'Design &amp; Insights'!D219</x:f>
        <x:v>CSBBO - Customer Service</x:v>
      </x:c>
      <x:c r="E1591" s="2" t="str">
        <x:v>Design &amp; Insights</x:v>
      </x:c>
      <x:c r="F1591" s="56" t="str">
        <x:f>'Design &amp; Insights'!E219</x:f>
        <x:v>DI.CS.2.4</x:v>
      </x:c>
      <x:c r="G1591" s="14" t="str">
        <x:f>'Design &amp; Insights'!F219</x:f>
        <x:v>Begin development of presentation materials as Research is being completed</x:v>
      </x:c>
      <x:c r="H1591" s="2" t="str">
        <x:f>IF('Design &amp; Insights'!G219="","",'Design &amp; Insights'!G219)</x:f>
      </x:c>
      <x:c r="I1591" s="12" t="str">
        <x:f>IF('Design &amp; Insights'!H219="","",'Design &amp; Insights'!H219)</x:f>
      </x:c>
      <x:c r="J1591" s="12" t="n">
        <x:f>IF('Design &amp; Insights'!I219="","",'Design &amp; Insights'!I219)</x:f>
        <x:v>46203</x:v>
      </x:c>
      <x:c r="K1591" s="12" t="str">
        <x:f>IF('Design &amp; Insights'!J219="","",'Design &amp; Insights'!J219)</x:f>
      </x:c>
      <x:c r="L1591" s="2" t="str">
        <x:f>IF('Design &amp; Insights'!K219="","",'Design &amp; Insights'!K219)</x:f>
      </x:c>
      <x:c r="M1591" s="2" t="n">
        <x:f>'Design &amp; Insights'!Q219</x:f>
        <x:v>1</x:v>
      </x:c>
      <x:c r="N1591" s="2" t="str">
        <x:f>'Design &amp; Insights'!L219</x:f>
        <x:v>Not started</x:v>
      </x:c>
      <x:c r="O1591" s="2" t="str">
        <x:f>'Design &amp; Insights'!N219</x:f>
        <x:v>DI.CS.2.4.2026.CY2</x:v>
      </x:c>
      <x:c r="P1591" s="2" t="n">
        <x:f>'Design &amp; Insights'!O219</x:f>
        <x:v>0</x:v>
      </x:c>
      <x:c r="Q1591" s="2" t="n">
        <x:f>SUBTOTAL(103,O1591)</x:f>
        <x:v>1</x:v>
      </x:c>
      <x:c r="R1591" s="2" t="n">
        <x:f>IF(AND(M1591=1,OR(Dashboard!$B$7="All",Dashboard!$B$7='Cycles &amp; Guide'!$C$5),OR(Dashboard!$D$7="All",Dashboard!$D$7=B1591),OR(Dashboard!$F$7="All",Dashboard!$F$7=C1591),OR(Dashboard!$H$7="All",Dashboard!$H$7=D1591),OR(Dashboard!$K$7="All",Dashboard!$K$7=E1591)),1,0)</x:f>
        <x:v>1</x:v>
      </x:c>
      <x:c r="S1591" s="2" t="n">
        <x:f>IF(R1591=1,SUM($R$10:R1591),0)</x:f>
        <x:v>1218</x:v>
      </x:c>
      <x:c r="T1591" s="2" t="str">
        <x:v>Design &amp; Insights</x:v>
      </x:c>
      <x:c r="U1591" s="2" t="n">
        <x:v>219</x:v>
      </x:c>
      <x:c r="V1591" s="2" t="n">
        <x:f>IF(AND(M1591=1,P1591=0,ISNUMBER(J1591),J1591&lt;TODAY()),1,0)</x:f>
        <x:v>1</x:v>
      </x:c>
      <x:c r="W1591" s="2" t="str">
        <x:f>'Design &amp; Insights'!M219</x:f>
        <x:v>Task</x:v>
      </x:c>
    </x:row>
    <x:row r="1592" ht="40" customHeight="1">
      <x:c r="A1592" s="3" t="str">
        <x:f>HYPERLINK("#'Design &amp; Insights'!A220","Open")</x:f>
        <x:v>Open</x:v>
      </x:c>
      <x:c r="B1592" s="2" t="str">
        <x:f>'Design &amp; Insights'!B220</x:f>
        <x:v>Cycle 2</x:v>
      </x:c>
      <x:c r="C1592" s="2" t="str">
        <x:f>'Design &amp; Insights'!C220</x:f>
        <x:v>Phase 2</x:v>
      </x:c>
      <x:c r="D1592" s="2" t="str">
        <x:f>'Design &amp; Insights'!D220</x:f>
        <x:v>CSBBO - Customer Service</x:v>
      </x:c>
      <x:c r="E1592" s="2" t="str">
        <x:v>Design &amp; Insights</x:v>
      </x:c>
      <x:c r="F1592" s="56" t="str">
        <x:f>'Design &amp; Insights'!E220</x:f>
        <x:v>DI.CS.2.5</x:v>
      </x:c>
      <x:c r="G1592" s="14" t="str">
        <x:f>'Design &amp; Insights'!F220</x:f>
        <x:v>Draft initial enhancement recommendations (as applicable)</x:v>
      </x:c>
      <x:c r="H1592" s="2" t="str">
        <x:f>IF('Design &amp; Insights'!G220="","",'Design &amp; Insights'!G220)</x:f>
      </x:c>
      <x:c r="I1592" s="12" t="str">
        <x:f>IF('Design &amp; Insights'!H220="","",'Design &amp; Insights'!H220)</x:f>
      </x:c>
      <x:c r="J1592" s="12" t="n">
        <x:f>IF('Design &amp; Insights'!I220="","",'Design &amp; Insights'!I220)</x:f>
        <x:v>46203</x:v>
      </x:c>
      <x:c r="K1592" s="12" t="str">
        <x:f>IF('Design &amp; Insights'!J220="","",'Design &amp; Insights'!J220)</x:f>
      </x:c>
      <x:c r="L1592" s="2" t="str">
        <x:f>IF('Design &amp; Insights'!K220="","",'Design &amp; Insights'!K220)</x:f>
      </x:c>
      <x:c r="M1592" s="2" t="n">
        <x:f>'Design &amp; Insights'!Q220</x:f>
        <x:v>1</x:v>
      </x:c>
      <x:c r="N1592" s="2" t="str">
        <x:f>'Design &amp; Insights'!L220</x:f>
        <x:v>Not started</x:v>
      </x:c>
      <x:c r="O1592" s="2" t="str">
        <x:f>'Design &amp; Insights'!N220</x:f>
        <x:v>DI.CS.2.5.2026.CY2</x:v>
      </x:c>
      <x:c r="P1592" s="2" t="n">
        <x:f>'Design &amp; Insights'!O220</x:f>
        <x:v>0</x:v>
      </x:c>
      <x:c r="Q1592" s="2" t="n">
        <x:f>SUBTOTAL(103,O1592)</x:f>
        <x:v>1</x:v>
      </x:c>
      <x:c r="R1592" s="2" t="n">
        <x:f>IF(AND(M1592=1,OR(Dashboard!$B$7="All",Dashboard!$B$7='Cycles &amp; Guide'!$C$5),OR(Dashboard!$D$7="All",Dashboard!$D$7=B1592),OR(Dashboard!$F$7="All",Dashboard!$F$7=C1592),OR(Dashboard!$H$7="All",Dashboard!$H$7=D1592),OR(Dashboard!$K$7="All",Dashboard!$K$7=E1592)),1,0)</x:f>
        <x:v>1</x:v>
      </x:c>
      <x:c r="S1592" s="2" t="n">
        <x:f>IF(R1592=1,SUM($R$10:R1592),0)</x:f>
        <x:v>1219</x:v>
      </x:c>
      <x:c r="T1592" s="2" t="str">
        <x:v>Design &amp; Insights</x:v>
      </x:c>
      <x:c r="U1592" s="2" t="n">
        <x:v>220</x:v>
      </x:c>
      <x:c r="V1592" s="2" t="n">
        <x:f>IF(AND(M1592=1,P1592=0,ISNUMBER(J1592),J1592&lt;TODAY()),1,0)</x:f>
        <x:v>1</x:v>
      </x:c>
      <x:c r="W1592" s="2" t="str">
        <x:f>'Design &amp; Insights'!M220</x:f>
        <x:v>Task</x:v>
      </x:c>
    </x:row>
    <x:row r="1593" ht="40" customHeight="1">
      <x:c r="A1593" s="3" t="str">
        <x:f>HYPERLINK("#'Design &amp; Insights'!A221","Open")</x:f>
        <x:v>Open</x:v>
      </x:c>
      <x:c r="B1593" s="2" t="str">
        <x:f>'Design &amp; Insights'!B221</x:f>
        <x:v>Cycle 2</x:v>
      </x:c>
      <x:c r="C1593" s="2" t="str">
        <x:f>'Design &amp; Insights'!C221</x:f>
        <x:v>Phase 2</x:v>
      </x:c>
      <x:c r="D1593" s="2" t="str">
        <x:f>'Design &amp; Insights'!D221</x:f>
        <x:v>CSBBO - Customer Service</x:v>
      </x:c>
      <x:c r="E1593" s="2" t="str">
        <x:v>Design &amp; Insights</x:v>
      </x:c>
      <x:c r="F1593" s="56" t="str">
        <x:f>'Design &amp; Insights'!E221</x:f>
        <x:v>DI.CS.2.6</x:v>
      </x:c>
      <x:c r="G1593" s="14" t="str">
        <x:f>'Design &amp; Insights'!F221</x:f>
        <x:v>Finalize presentation deck draft at conclusion of Research phase</x:v>
      </x:c>
      <x:c r="H1593" s="2" t="str">
        <x:f>IF('Design &amp; Insights'!G221="","",'Design &amp; Insights'!G221)</x:f>
      </x:c>
      <x:c r="I1593" s="12" t="str">
        <x:f>IF('Design &amp; Insights'!H221="","",'Design &amp; Insights'!H221)</x:f>
      </x:c>
      <x:c r="J1593" s="12" t="n">
        <x:f>IF('Design &amp; Insights'!I221="","",'Design &amp; Insights'!I221)</x:f>
        <x:v>46203</x:v>
      </x:c>
      <x:c r="K1593" s="12" t="str">
        <x:f>IF('Design &amp; Insights'!J221="","",'Design &amp; Insights'!J221)</x:f>
      </x:c>
      <x:c r="L1593" s="2" t="str">
        <x:f>IF('Design &amp; Insights'!K221="","",'Design &amp; Insights'!K221)</x:f>
      </x:c>
      <x:c r="M1593" s="2" t="n">
        <x:f>'Design &amp; Insights'!Q221</x:f>
        <x:v>1</x:v>
      </x:c>
      <x:c r="N1593" s="2" t="str">
        <x:f>'Design &amp; Insights'!L221</x:f>
        <x:v>Not started</x:v>
      </x:c>
      <x:c r="O1593" s="2" t="str">
        <x:f>'Design &amp; Insights'!N221</x:f>
        <x:v>DI.CS.2.6.2026.CY2</x:v>
      </x:c>
      <x:c r="P1593" s="2" t="n">
        <x:f>'Design &amp; Insights'!O221</x:f>
        <x:v>0</x:v>
      </x:c>
      <x:c r="Q1593" s="2" t="n">
        <x:f>SUBTOTAL(103,O1593)</x:f>
        <x:v>1</x:v>
      </x:c>
      <x:c r="R1593" s="2" t="n">
        <x:f>IF(AND(M1593=1,OR(Dashboard!$B$7="All",Dashboard!$B$7='Cycles &amp; Guide'!$C$5),OR(Dashboard!$D$7="All",Dashboard!$D$7=B1593),OR(Dashboard!$F$7="All",Dashboard!$F$7=C1593),OR(Dashboard!$H$7="All",Dashboard!$H$7=D1593),OR(Dashboard!$K$7="All",Dashboard!$K$7=E1593)),1,0)</x:f>
        <x:v>1</x:v>
      </x:c>
      <x:c r="S1593" s="2" t="n">
        <x:f>IF(R1593=1,SUM($R$10:R1593),0)</x:f>
        <x:v>1220</x:v>
      </x:c>
      <x:c r="T1593" s="2" t="str">
        <x:v>Design &amp; Insights</x:v>
      </x:c>
      <x:c r="U1593" s="2" t="n">
        <x:v>221</x:v>
      </x:c>
      <x:c r="V1593" s="2" t="n">
        <x:f>IF(AND(M1593=1,P1593=0,ISNUMBER(J1593),J1593&lt;TODAY()),1,0)</x:f>
        <x:v>1</x:v>
      </x:c>
      <x:c r="W1593" s="2" t="str">
        <x:f>'Design &amp; Insights'!M221</x:f>
        <x:v>Task</x:v>
      </x:c>
    </x:row>
    <x:row r="1594" ht="40" customHeight="1">
      <x:c r="A1594" s="3" t="str">
        <x:f>HYPERLINK("#'Design &amp; Insights'!A222","Open")</x:f>
        <x:v>Open</x:v>
      </x:c>
      <x:c r="B1594" s="2" t="str">
        <x:f>'Design &amp; Insights'!B222</x:f>
        <x:v>Cycle 2</x:v>
      </x:c>
      <x:c r="C1594" s="2" t="str">
        <x:f>'Design &amp; Insights'!C222</x:f>
        <x:v>Phase 2</x:v>
      </x:c>
      <x:c r="D1594" s="2" t="str">
        <x:f>'Design &amp; Insights'!D222</x:f>
        <x:v>CSBBO - Customer Service</x:v>
      </x:c>
      <x:c r="E1594" s="2" t="str">
        <x:v>Design &amp; Insights</x:v>
      </x:c>
      <x:c r="F1594" s="56" t="str">
        <x:f>'Design &amp; Insights'!E222</x:f>
        <x:v>DI.CS.2.7</x:v>
      </x:c>
      <x:c r="G1594" s="14" t="str">
        <x:f>'Design &amp; Insights'!F222</x:f>
        <x:v>Update Outcome portion of research plan with current enhancement verbiage (as needed)</x:v>
      </x:c>
      <x:c r="H1594" s="2" t="str">
        <x:f>IF('Design &amp; Insights'!G222="","",'Design &amp; Insights'!G222)</x:f>
      </x:c>
      <x:c r="I1594" s="12" t="str">
        <x:f>IF('Design &amp; Insights'!H222="","",'Design &amp; Insights'!H222)</x:f>
      </x:c>
      <x:c r="J1594" s="12" t="n">
        <x:f>IF('Design &amp; Insights'!I222="","",'Design &amp; Insights'!I222)</x:f>
        <x:v>46203</x:v>
      </x:c>
      <x:c r="K1594" s="12" t="str">
        <x:f>IF('Design &amp; Insights'!J222="","",'Design &amp; Insights'!J222)</x:f>
      </x:c>
      <x:c r="L1594" s="2" t="str">
        <x:f>IF('Design &amp; Insights'!K222="","",'Design &amp; Insights'!K222)</x:f>
      </x:c>
      <x:c r="M1594" s="2" t="n">
        <x:f>'Design &amp; Insights'!Q222</x:f>
        <x:v>1</x:v>
      </x:c>
      <x:c r="N1594" s="2" t="str">
        <x:f>'Design &amp; Insights'!L222</x:f>
        <x:v>Not started</x:v>
      </x:c>
      <x:c r="O1594" s="2" t="str">
        <x:f>'Design &amp; Insights'!N222</x:f>
        <x:v>DI.CS.2.7.2026.CY2</x:v>
      </x:c>
      <x:c r="P1594" s="2" t="n">
        <x:f>'Design &amp; Insights'!O222</x:f>
        <x:v>0</x:v>
      </x:c>
      <x:c r="Q1594" s="2" t="n">
        <x:f>SUBTOTAL(103,O1594)</x:f>
        <x:v>1</x:v>
      </x:c>
      <x:c r="R1594" s="2" t="n">
        <x:f>IF(AND(M1594=1,OR(Dashboard!$B$7="All",Dashboard!$B$7='Cycles &amp; Guide'!$C$5),OR(Dashboard!$D$7="All",Dashboard!$D$7=B1594),OR(Dashboard!$F$7="All",Dashboard!$F$7=C1594),OR(Dashboard!$H$7="All",Dashboard!$H$7=D1594),OR(Dashboard!$K$7="All",Dashboard!$K$7=E1594)),1,0)</x:f>
        <x:v>1</x:v>
      </x:c>
      <x:c r="S1594" s="2" t="n">
        <x:f>IF(R1594=1,SUM($R$10:R1594),0)</x:f>
        <x:v>1221</x:v>
      </x:c>
      <x:c r="T1594" s="2" t="str">
        <x:v>Design &amp; Insights</x:v>
      </x:c>
      <x:c r="U1594" s="2" t="n">
        <x:v>222</x:v>
      </x:c>
      <x:c r="V1594" s="2" t="n">
        <x:f>IF(AND(M1594=1,P1594=0,ISNUMBER(J1594),J1594&lt;TODAY()),1,0)</x:f>
        <x:v>1</x:v>
      </x:c>
      <x:c r="W1594" s="2" t="str">
        <x:f>'Design &amp; Insights'!M222</x:f>
        <x:v>Task</x:v>
      </x:c>
    </x:row>
    <x:row r="1595" ht="40" customHeight="1">
      <x:c r="A1595" s="3" t="str">
        <x:f>HYPERLINK("#'Design &amp; Insights'!A223","Open")</x:f>
        <x:v>Open</x:v>
      </x:c>
      <x:c r="B1595" s="2" t="str">
        <x:f>'Design &amp; Insights'!B223</x:f>
        <x:v>Cycle 2</x:v>
      </x:c>
      <x:c r="C1595" s="2" t="str">
        <x:f>'Design &amp; Insights'!C223</x:f>
        <x:v>Phase 3</x:v>
      </x:c>
      <x:c r="D1595" s="2" t="str">
        <x:f>'Design &amp; Insights'!D223</x:f>
        <x:v>CSBBO - Customer Service</x:v>
      </x:c>
      <x:c r="E1595" s="2" t="str">
        <x:v>Design &amp; Insights</x:v>
      </x:c>
      <x:c r="F1595" s="56" t="str">
        <x:f>'Design &amp; Insights'!E223</x:f>
        <x:v>DI.CS.3.1</x:v>
      </x:c>
      <x:c r="G1595" s="14" t="str">
        <x:f>'Design &amp; Insights'!F223</x:f>
        <x:v>Confirm list of required &amp; optional attendees for pre-socialization meeting</x:v>
      </x:c>
      <x:c r="H1595" s="2" t="str">
        <x:f>IF('Design &amp; Insights'!G223="","",'Design &amp; Insights'!G223)</x:f>
      </x:c>
      <x:c r="I1595" s="12" t="str">
        <x:f>IF('Design &amp; Insights'!H223="","",'Design &amp; Insights'!H223)</x:f>
      </x:c>
      <x:c r="J1595" s="12" t="n">
        <x:f>IF('Design &amp; Insights'!I223="","",'Design &amp; Insights'!I223)</x:f>
        <x:v>46203</x:v>
      </x:c>
      <x:c r="K1595" s="12" t="str">
        <x:f>IF('Design &amp; Insights'!J223="","",'Design &amp; Insights'!J223)</x:f>
      </x:c>
      <x:c r="L1595" s="2" t="str">
        <x:f>IF('Design &amp; Insights'!K223="","",'Design &amp; Insights'!K223)</x:f>
      </x:c>
      <x:c r="M1595" s="2" t="n">
        <x:f>'Design &amp; Insights'!Q223</x:f>
        <x:v>1</x:v>
      </x:c>
      <x:c r="N1595" s="2" t="str">
        <x:f>'Design &amp; Insights'!L223</x:f>
        <x:v>Not started</x:v>
      </x:c>
      <x:c r="O1595" s="2" t="str">
        <x:f>'Design &amp; Insights'!N223</x:f>
        <x:v>DI.CS.3.1.2026.CY2</x:v>
      </x:c>
      <x:c r="P1595" s="2" t="n">
        <x:f>'Design &amp; Insights'!O223</x:f>
        <x:v>0</x:v>
      </x:c>
      <x:c r="Q1595" s="2" t="n">
        <x:f>SUBTOTAL(103,O1595)</x:f>
        <x:v>1</x:v>
      </x:c>
      <x:c r="R1595" s="2" t="n">
        <x:f>IF(AND(M1595=1,OR(Dashboard!$B$7="All",Dashboard!$B$7='Cycles &amp; Guide'!$C$5),OR(Dashboard!$D$7="All",Dashboard!$D$7=B1595),OR(Dashboard!$F$7="All",Dashboard!$F$7=C1595),OR(Dashboard!$H$7="All",Dashboard!$H$7=D1595),OR(Dashboard!$K$7="All",Dashboard!$K$7=E1595)),1,0)</x:f>
        <x:v>1</x:v>
      </x:c>
      <x:c r="S1595" s="2" t="n">
        <x:f>IF(R1595=1,SUM($R$10:R1595),0)</x:f>
        <x:v>1222</x:v>
      </x:c>
      <x:c r="T1595" s="2" t="str">
        <x:v>Design &amp; Insights</x:v>
      </x:c>
      <x:c r="U1595" s="2" t="n">
        <x:v>223</x:v>
      </x:c>
      <x:c r="V1595" s="2" t="n">
        <x:f>IF(AND(M1595=1,P1595=0,ISNUMBER(J1595),J1595&lt;TODAY()),1,0)</x:f>
        <x:v>1</x:v>
      </x:c>
      <x:c r="W1595" s="2" t="str">
        <x:f>'Design &amp; Insights'!M223</x:f>
        <x:v>Task</x:v>
      </x:c>
    </x:row>
    <x:row r="1596" ht="40" customHeight="1">
      <x:c r="A1596" s="3" t="str">
        <x:f>HYPERLINK("#'Design &amp; Insights'!A224","Open")</x:f>
        <x:v>Open</x:v>
      </x:c>
      <x:c r="B1596" s="2" t="str">
        <x:f>'Design &amp; Insights'!B224</x:f>
        <x:v>Cycle 2</x:v>
      </x:c>
      <x:c r="C1596" s="2" t="str">
        <x:f>'Design &amp; Insights'!C224</x:f>
        <x:v>Phase 3</x:v>
      </x:c>
      <x:c r="D1596" s="2" t="str">
        <x:f>'Design &amp; Insights'!D224</x:f>
        <x:v>CSBBO - Customer Service</x:v>
      </x:c>
      <x:c r="E1596" s="2" t="str">
        <x:v>Design &amp; Insights</x:v>
      </x:c>
      <x:c r="F1596" s="56" t="str">
        <x:f>'Design &amp; Insights'!E224</x:f>
        <x:v>DI.CS.3.2</x:v>
      </x:c>
      <x:c r="G1596" s="14" t="str">
        <x:f>'Design &amp; Insights'!F224</x:f>
        <x:v>Schedule pre-socialization meeting 1 week prior to RCA Forum</x:v>
      </x:c>
      <x:c r="H1596" s="2" t="str">
        <x:f>IF('Design &amp; Insights'!G224="","",'Design &amp; Insights'!G224)</x:f>
      </x:c>
      <x:c r="I1596" s="12" t="str">
        <x:f>IF('Design &amp; Insights'!H224="","",'Design &amp; Insights'!H224)</x:f>
      </x:c>
      <x:c r="J1596" s="12" t="str">
        <x:f>IF('Design &amp; Insights'!I224="","",'Design &amp; Insights'!I224)</x:f>
      </x:c>
      <x:c r="K1596" s="12" t="str">
        <x:f>IF('Design &amp; Insights'!J224="","",'Design &amp; Insights'!J224)</x:f>
      </x:c>
      <x:c r="L1596" s="2" t="str">
        <x:f>IF('Design &amp; Insights'!K224="","",'Design &amp; Insights'!K224)</x:f>
      </x:c>
      <x:c r="M1596" s="2" t="n">
        <x:f>'Design &amp; Insights'!Q224</x:f>
        <x:v>1</x:v>
      </x:c>
      <x:c r="N1596" s="2" t="str">
        <x:f>'Design &amp; Insights'!L224</x:f>
        <x:v>Not started</x:v>
      </x:c>
      <x:c r="O1596" s="2" t="str">
        <x:f>'Design &amp; Insights'!N224</x:f>
        <x:v>DI.CS.3.2.2026.CY2</x:v>
      </x:c>
      <x:c r="P1596" s="2" t="n">
        <x:f>'Design &amp; Insights'!O224</x:f>
        <x:v>0</x:v>
      </x:c>
      <x:c r="Q1596" s="2" t="n">
        <x:f>SUBTOTAL(103,O1596)</x:f>
        <x:v>1</x:v>
      </x:c>
      <x:c r="R1596" s="2" t="n">
        <x:f>IF(AND(M1596=1,OR(Dashboard!$B$7="All",Dashboard!$B$7='Cycles &amp; Guide'!$C$5),OR(Dashboard!$D$7="All",Dashboard!$D$7=B1596),OR(Dashboard!$F$7="All",Dashboard!$F$7=C1596),OR(Dashboard!$H$7="All",Dashboard!$H$7=D1596),OR(Dashboard!$K$7="All",Dashboard!$K$7=E1596)),1,0)</x:f>
        <x:v>1</x:v>
      </x:c>
      <x:c r="S1596" s="2" t="n">
        <x:f>IF(R1596=1,SUM($R$10:R1596),0)</x:f>
        <x:v>1223</x:v>
      </x:c>
      <x:c r="T1596" s="2" t="str">
        <x:v>Design &amp; Insights</x:v>
      </x:c>
      <x:c r="U1596" s="2" t="n">
        <x:v>224</x:v>
      </x:c>
      <x:c r="V1596" s="2" t="n">
        <x:f>IF(AND(M1596=1,P1596=0,ISNUMBER(J1596),J1596&lt;TODAY()),1,0)</x:f>
        <x:v>0</x:v>
      </x:c>
      <x:c r="W1596" s="2" t="str">
        <x:f>'Design &amp; Insights'!M224</x:f>
        <x:v>Task</x:v>
      </x:c>
    </x:row>
    <x:row r="1597" ht="40" customHeight="1">
      <x:c r="A1597" s="3" t="str">
        <x:f>HYPERLINK("#'Design &amp; Insights'!A225","Open")</x:f>
        <x:v>Open</x:v>
      </x:c>
      <x:c r="B1597" s="2" t="str">
        <x:f>'Design &amp; Insights'!B225</x:f>
        <x:v>Cycle 2</x:v>
      </x:c>
      <x:c r="C1597" s="2" t="str">
        <x:f>'Design &amp; Insights'!C225</x:f>
        <x:v>Phase 3</x:v>
      </x:c>
      <x:c r="D1597" s="2" t="str">
        <x:f>'Design &amp; Insights'!D225</x:f>
        <x:v>CSBBO - Customer Service</x:v>
      </x:c>
      <x:c r="E1597" s="2" t="str">
        <x:v>Design &amp; Insights</x:v>
      </x:c>
      <x:c r="F1597" s="56" t="str">
        <x:f>'Design &amp; Insights'!E225</x:f>
        <x:v>DI.CS.3.3</x:v>
      </x:c>
      <x:c r="G1597" s="14" t="str">
        <x:f>'Design &amp; Insights'!F225</x:f>
        <x:v>Present findings, conclusions, and recommendation to SMEs</x:v>
      </x:c>
      <x:c r="H1597" s="2" t="str">
        <x:f>IF('Design &amp; Insights'!G225="","",'Design &amp; Insights'!G225)</x:f>
      </x:c>
      <x:c r="I1597" s="12" t="str">
        <x:f>IF('Design &amp; Insights'!H225="","",'Design &amp; Insights'!H225)</x:f>
      </x:c>
      <x:c r="J1597" s="12" t="n">
        <x:f>IF('Design &amp; Insights'!I225="","",'Design &amp; Insights'!I225)</x:f>
        <x:v>46203</x:v>
      </x:c>
      <x:c r="K1597" s="12" t="str">
        <x:f>IF('Design &amp; Insights'!J225="","",'Design &amp; Insights'!J225)</x:f>
      </x:c>
      <x:c r="L1597" s="2" t="str">
        <x:f>IF('Design &amp; Insights'!K225="","",'Design &amp; Insights'!K225)</x:f>
      </x:c>
      <x:c r="M1597" s="2" t="n">
        <x:f>'Design &amp; Insights'!Q225</x:f>
        <x:v>1</x:v>
      </x:c>
      <x:c r="N1597" s="2" t="str">
        <x:f>'Design &amp; Insights'!L225</x:f>
        <x:v>Not started</x:v>
      </x:c>
      <x:c r="O1597" s="2" t="str">
        <x:f>'Design &amp; Insights'!N225</x:f>
        <x:v>DI.CS.3.3.2026.CY2</x:v>
      </x:c>
      <x:c r="P1597" s="2" t="n">
        <x:f>'Design &amp; Insights'!O225</x:f>
        <x:v>0</x:v>
      </x:c>
      <x:c r="Q1597" s="2" t="n">
        <x:f>SUBTOTAL(103,O1597)</x:f>
        <x:v>1</x:v>
      </x:c>
      <x:c r="R1597" s="2" t="n">
        <x:f>IF(AND(M1597=1,OR(Dashboard!$B$7="All",Dashboard!$B$7='Cycles &amp; Guide'!$C$5),OR(Dashboard!$D$7="All",Dashboard!$D$7=B1597),OR(Dashboard!$F$7="All",Dashboard!$F$7=C1597),OR(Dashboard!$H$7="All",Dashboard!$H$7=D1597),OR(Dashboard!$K$7="All",Dashboard!$K$7=E1597)),1,0)</x:f>
        <x:v>1</x:v>
      </x:c>
      <x:c r="S1597" s="2" t="n">
        <x:f>IF(R1597=1,SUM($R$10:R1597),0)</x:f>
        <x:v>1224</x:v>
      </x:c>
      <x:c r="T1597" s="2" t="str">
        <x:v>Design &amp; Insights</x:v>
      </x:c>
      <x:c r="U1597" s="2" t="n">
        <x:v>225</x:v>
      </x:c>
      <x:c r="V1597" s="2" t="n">
        <x:f>IF(AND(M1597=1,P1597=0,ISNUMBER(J1597),J1597&lt;TODAY()),1,0)</x:f>
        <x:v>1</x:v>
      </x:c>
      <x:c r="W1597" s="2" t="str">
        <x:f>'Design &amp; Insights'!M225</x:f>
        <x:v>Task</x:v>
      </x:c>
    </x:row>
    <x:row r="1598" ht="40" customHeight="1">
      <x:c r="A1598" s="3" t="str">
        <x:f>HYPERLINK("#'Design &amp; Insights'!A226","Open")</x:f>
        <x:v>Open</x:v>
      </x:c>
      <x:c r="B1598" s="2" t="str">
        <x:f>'Design &amp; Insights'!B226</x:f>
        <x:v>Cycle 2</x:v>
      </x:c>
      <x:c r="C1598" s="2" t="str">
        <x:f>'Design &amp; Insights'!C226</x:f>
        <x:v>Phase 3</x:v>
      </x:c>
      <x:c r="D1598" s="2" t="str">
        <x:f>'Design &amp; Insights'!D226</x:f>
        <x:v>CSBBO - Customer Service</x:v>
      </x:c>
      <x:c r="E1598" s="2" t="str">
        <x:v>Design &amp; Insights</x:v>
      </x:c>
      <x:c r="F1598" s="56" t="str">
        <x:f>'Design &amp; Insights'!E226</x:f>
        <x:v>DI.CS.3.4</x:v>
      </x:c>
      <x:c r="G1598" s="14" t="str">
        <x:f>'Design &amp; Insights'!F226</x:f>
        <x:v>Update Outcome portion of research plan (as needed)</x:v>
      </x:c>
      <x:c r="H1598" s="2" t="str">
        <x:f>IF('Design &amp; Insights'!G226="","",'Design &amp; Insights'!G226)</x:f>
      </x:c>
      <x:c r="I1598" s="12" t="str">
        <x:f>IF('Design &amp; Insights'!H226="","",'Design &amp; Insights'!H226)</x:f>
      </x:c>
      <x:c r="J1598" s="12" t="n">
        <x:f>IF('Design &amp; Insights'!I226="","",'Design &amp; Insights'!I226)</x:f>
        <x:v>46203</x:v>
      </x:c>
      <x:c r="K1598" s="12" t="str">
        <x:f>IF('Design &amp; Insights'!J226="","",'Design &amp; Insights'!J226)</x:f>
      </x:c>
      <x:c r="L1598" s="2" t="str">
        <x:f>IF('Design &amp; Insights'!K226="","",'Design &amp; Insights'!K226)</x:f>
      </x:c>
      <x:c r="M1598" s="2" t="n">
        <x:f>'Design &amp; Insights'!Q226</x:f>
        <x:v>1</x:v>
      </x:c>
      <x:c r="N1598" s="2" t="str">
        <x:f>'Design &amp; Insights'!L226</x:f>
        <x:v>Not started</x:v>
      </x:c>
      <x:c r="O1598" s="2" t="str">
        <x:f>'Design &amp; Insights'!N226</x:f>
        <x:v>DI.CS.3.4.2026.CY2</x:v>
      </x:c>
      <x:c r="P1598" s="2" t="n">
        <x:f>'Design &amp; Insights'!O226</x:f>
        <x:v>0</x:v>
      </x:c>
      <x:c r="Q1598" s="2" t="n">
        <x:f>SUBTOTAL(103,O1598)</x:f>
        <x:v>1</x:v>
      </x:c>
      <x:c r="R1598" s="2" t="n">
        <x:f>IF(AND(M1598=1,OR(Dashboard!$B$7="All",Dashboard!$B$7='Cycles &amp; Guide'!$C$5),OR(Dashboard!$D$7="All",Dashboard!$D$7=B1598),OR(Dashboard!$F$7="All",Dashboard!$F$7=C1598),OR(Dashboard!$H$7="All",Dashboard!$H$7=D1598),OR(Dashboard!$K$7="All",Dashboard!$K$7=E1598)),1,0)</x:f>
        <x:v>1</x:v>
      </x:c>
      <x:c r="S1598" s="2" t="n">
        <x:f>IF(R1598=1,SUM($R$10:R1598),0)</x:f>
        <x:v>1225</x:v>
      </x:c>
      <x:c r="T1598" s="2" t="str">
        <x:v>Design &amp; Insights</x:v>
      </x:c>
      <x:c r="U1598" s="2" t="n">
        <x:v>226</x:v>
      </x:c>
      <x:c r="V1598" s="2" t="n">
        <x:f>IF(AND(M1598=1,P1598=0,ISNUMBER(J1598),J1598&lt;TODAY()),1,0)</x:f>
        <x:v>1</x:v>
      </x:c>
      <x:c r="W1598" s="2" t="str">
        <x:f>'Design &amp; Insights'!M226</x:f>
        <x:v>Task</x:v>
      </x:c>
    </x:row>
    <x:row r="1599" ht="40" customHeight="1">
      <x:c r="A1599" s="3" t="str">
        <x:f>HYPERLINK("#'Design &amp; Insights'!A227","Open")</x:f>
        <x:v>Open</x:v>
      </x:c>
      <x:c r="B1599" s="2" t="str">
        <x:f>'Design &amp; Insights'!B227</x:f>
        <x:v>Cycle 2</x:v>
      </x:c>
      <x:c r="C1599" s="2" t="str">
        <x:f>'Design &amp; Insights'!C227</x:f>
        <x:v>Phase 3</x:v>
      </x:c>
      <x:c r="D1599" s="2" t="str">
        <x:f>'Design &amp; Insights'!D227</x:f>
        <x:v>CSBBO - Customer Service</x:v>
      </x:c>
      <x:c r="E1599" s="2" t="str">
        <x:v>Design &amp; Insights</x:v>
      </x:c>
      <x:c r="F1599" s="56" t="str">
        <x:f>'Design &amp; Insights'!E227</x:f>
        <x:v>DI.CS.3.5</x:v>
      </x:c>
      <x:c r="G1599" s="14" t="str">
        <x:f>'Design &amp; Insights'!F227</x:f>
        <x:v>Finalize presentation deck by incorporating pre-socialization feedback (as needed)</x:v>
      </x:c>
      <x:c r="H1599" s="2" t="str">
        <x:f>IF('Design &amp; Insights'!G227="","",'Design &amp; Insights'!G227)</x:f>
      </x:c>
      <x:c r="I1599" s="12" t="str">
        <x:f>IF('Design &amp; Insights'!H227="","",'Design &amp; Insights'!H227)</x:f>
      </x:c>
      <x:c r="J1599" s="12" t="n">
        <x:f>IF('Design &amp; Insights'!I227="","",'Design &amp; Insights'!I227)</x:f>
        <x:v>46203</x:v>
      </x:c>
      <x:c r="K1599" s="12" t="str">
        <x:f>IF('Design &amp; Insights'!J227="","",'Design &amp; Insights'!J227)</x:f>
      </x:c>
      <x:c r="L1599" s="2" t="str">
        <x:f>IF('Design &amp; Insights'!K227="","",'Design &amp; Insights'!K227)</x:f>
      </x:c>
      <x:c r="M1599" s="2" t="n">
        <x:f>'Design &amp; Insights'!Q227</x:f>
        <x:v>1</x:v>
      </x:c>
      <x:c r="N1599" s="2" t="str">
        <x:f>'Design &amp; Insights'!L227</x:f>
        <x:v>Not started</x:v>
      </x:c>
      <x:c r="O1599" s="2" t="str">
        <x:f>'Design &amp; Insights'!N227</x:f>
        <x:v>DI.CS.3.5.2026.CY2</x:v>
      </x:c>
      <x:c r="P1599" s="2" t="n">
        <x:f>'Design &amp; Insights'!O227</x:f>
        <x:v>0</x:v>
      </x:c>
      <x:c r="Q1599" s="2" t="n">
        <x:f>SUBTOTAL(103,O1599)</x:f>
        <x:v>1</x:v>
      </x:c>
      <x:c r="R1599" s="2" t="n">
        <x:f>IF(AND(M1599=1,OR(Dashboard!$B$7="All",Dashboard!$B$7='Cycles &amp; Guide'!$C$5),OR(Dashboard!$D$7="All",Dashboard!$D$7=B1599),OR(Dashboard!$F$7="All",Dashboard!$F$7=C1599),OR(Dashboard!$H$7="All",Dashboard!$H$7=D1599),OR(Dashboard!$K$7="All",Dashboard!$K$7=E1599)),1,0)</x:f>
        <x:v>1</x:v>
      </x:c>
      <x:c r="S1599" s="2" t="n">
        <x:f>IF(R1599=1,SUM($R$10:R1599),0)</x:f>
        <x:v>1226</x:v>
      </x:c>
      <x:c r="T1599" s="2" t="str">
        <x:v>Design &amp; Insights</x:v>
      </x:c>
      <x:c r="U1599" s="2" t="n">
        <x:v>227</x:v>
      </x:c>
      <x:c r="V1599" s="2" t="n">
        <x:f>IF(AND(M1599=1,P1599=0,ISNUMBER(J1599),J1599&lt;TODAY()),1,0)</x:f>
        <x:v>1</x:v>
      </x:c>
      <x:c r="W1599" s="2" t="str">
        <x:f>'Design &amp; Insights'!M227</x:f>
        <x:v>Task</x:v>
      </x:c>
    </x:row>
    <x:row r="1600" ht="40" customHeight="1">
      <x:c r="A1600" s="3" t="str">
        <x:f>HYPERLINK("#'Design &amp; Insights'!A228","Open")</x:f>
        <x:v>Open</x:v>
      </x:c>
      <x:c r="B1600" s="2" t="str">
        <x:f>'Design &amp; Insights'!B228</x:f>
        <x:v>Cycle 2</x:v>
      </x:c>
      <x:c r="C1600" s="2" t="str">
        <x:f>'Design &amp; Insights'!C228</x:f>
        <x:v>Phase 3</x:v>
      </x:c>
      <x:c r="D1600" s="2" t="str">
        <x:f>'Design &amp; Insights'!D228</x:f>
        <x:v>CSBBO - Customer Service</x:v>
      </x:c>
      <x:c r="E1600" s="2" t="str">
        <x:v>Design &amp; Insights</x:v>
      </x:c>
      <x:c r="F1600" s="56" t="str">
        <x:f>'Design &amp; Insights'!E228</x:f>
        <x:v>DI.CS.3.6</x:v>
      </x:c>
      <x:c r="G1600" s="14" t="str">
        <x:f>'Design &amp; Insights'!F228</x:f>
        <x:v>Ensure final deck is communicated to Forum attendees</x:v>
      </x:c>
      <x:c r="H1600" s="2" t="str">
        <x:f>IF('Design &amp; Insights'!G228="","",'Design &amp; Insights'!G228)</x:f>
      </x:c>
      <x:c r="I1600" s="12" t="str">
        <x:f>IF('Design &amp; Insights'!H228="","",'Design &amp; Insights'!H228)</x:f>
      </x:c>
      <x:c r="J1600" s="12" t="n">
        <x:f>IF('Design &amp; Insights'!I228="","",'Design &amp; Insights'!I228)</x:f>
        <x:v>46203</x:v>
      </x:c>
      <x:c r="K1600" s="12" t="str">
        <x:f>IF('Design &amp; Insights'!J228="","",'Design &amp; Insights'!J228)</x:f>
      </x:c>
      <x:c r="L1600" s="2" t="str">
        <x:f>IF('Design &amp; Insights'!K228="","",'Design &amp; Insights'!K228)</x:f>
      </x:c>
      <x:c r="M1600" s="2" t="n">
        <x:f>'Design &amp; Insights'!Q228</x:f>
        <x:v>1</x:v>
      </x:c>
      <x:c r="N1600" s="2" t="str">
        <x:f>'Design &amp; Insights'!L228</x:f>
        <x:v>Not started</x:v>
      </x:c>
      <x:c r="O1600" s="2" t="str">
        <x:f>'Design &amp; Insights'!N228</x:f>
        <x:v>DI.CS.3.6.2026.CY2</x:v>
      </x:c>
      <x:c r="P1600" s="2" t="n">
        <x:f>'Design &amp; Insights'!O228</x:f>
        <x:v>0</x:v>
      </x:c>
      <x:c r="Q1600" s="2" t="n">
        <x:f>SUBTOTAL(103,O1600)</x:f>
        <x:v>1</x:v>
      </x:c>
      <x:c r="R1600" s="2" t="n">
        <x:f>IF(AND(M1600=1,OR(Dashboard!$B$7="All",Dashboard!$B$7='Cycles &amp; Guide'!$C$5),OR(Dashboard!$D$7="All",Dashboard!$D$7=B1600),OR(Dashboard!$F$7="All",Dashboard!$F$7=C1600),OR(Dashboard!$H$7="All",Dashboard!$H$7=D1600),OR(Dashboard!$K$7="All",Dashboard!$K$7=E1600)),1,0)</x:f>
        <x:v>1</x:v>
      </x:c>
      <x:c r="S1600" s="2" t="n">
        <x:f>IF(R1600=1,SUM($R$10:R1600),0)</x:f>
        <x:v>1227</x:v>
      </x:c>
      <x:c r="T1600" s="2" t="str">
        <x:v>Design &amp; Insights</x:v>
      </x:c>
      <x:c r="U1600" s="2" t="n">
        <x:v>228</x:v>
      </x:c>
      <x:c r="V1600" s="2" t="n">
        <x:f>IF(AND(M1600=1,P1600=0,ISNUMBER(J1600),J1600&lt;TODAY()),1,0)</x:f>
        <x:v>1</x:v>
      </x:c>
      <x:c r="W1600" s="2" t="str">
        <x:f>'Design &amp; Insights'!M228</x:f>
        <x:v>Task</x:v>
      </x:c>
    </x:row>
    <x:row r="1601" ht="40" customHeight="1">
      <x:c r="A1601" s="3" t="str">
        <x:f>HYPERLINK("#'Design &amp; Insights'!A229","Open")</x:f>
        <x:v>Open</x:v>
      </x:c>
      <x:c r="B1601" s="2" t="str">
        <x:f>'Design &amp; Insights'!B229</x:f>
        <x:v>Cycle 2</x:v>
      </x:c>
      <x:c r="C1601" s="2" t="str">
        <x:f>'Design &amp; Insights'!C229</x:f>
        <x:v>Phase 3</x:v>
      </x:c>
      <x:c r="D1601" s="2" t="str">
        <x:f>'Design &amp; Insights'!D229</x:f>
        <x:v>CSBBO - Customer Service</x:v>
      </x:c>
      <x:c r="E1601" s="2" t="str">
        <x:v>Design &amp; Insights</x:v>
      </x:c>
      <x:c r="F1601" s="56" t="str">
        <x:f>'Design &amp; Insights'!E229</x:f>
        <x:v>DI.CS.3.7</x:v>
      </x:c>
      <x:c r="G1601" s="14" t="str">
        <x:f>'Design &amp; Insights'!F229</x:f>
        <x:v>Present material in RCA Cycle Forum</x:v>
      </x:c>
      <x:c r="H1601" s="2" t="str">
        <x:f>IF('Design &amp; Insights'!G229="","",'Design &amp; Insights'!G229)</x:f>
      </x:c>
      <x:c r="I1601" s="12" t="str">
        <x:f>IF('Design &amp; Insights'!H229="","",'Design &amp; Insights'!H229)</x:f>
      </x:c>
      <x:c r="J1601" s="12" t="str">
        <x:f>IF('Design &amp; Insights'!I229="","",'Design &amp; Insights'!I229)</x:f>
      </x:c>
      <x:c r="K1601" s="12" t="str">
        <x:f>IF('Design &amp; Insights'!J229="","",'Design &amp; Insights'!J229)</x:f>
      </x:c>
      <x:c r="L1601" s="2" t="str">
        <x:f>IF('Design &amp; Insights'!K229="","",'Design &amp; Insights'!K229)</x:f>
      </x:c>
      <x:c r="M1601" s="2" t="n">
        <x:f>'Design &amp; Insights'!Q229</x:f>
        <x:v>1</x:v>
      </x:c>
      <x:c r="N1601" s="2" t="str">
        <x:f>'Design &amp; Insights'!L229</x:f>
        <x:v>Not started</x:v>
      </x:c>
      <x:c r="O1601" s="2" t="str">
        <x:f>'Design &amp; Insights'!N229</x:f>
        <x:v>DI.CS.3.7.2026.CY2</x:v>
      </x:c>
      <x:c r="P1601" s="2" t="n">
        <x:f>'Design &amp; Insights'!O229</x:f>
        <x:v>0</x:v>
      </x:c>
      <x:c r="Q1601" s="2" t="n">
        <x:f>SUBTOTAL(103,O1601)</x:f>
        <x:v>1</x:v>
      </x:c>
      <x:c r="R1601" s="2" t="n">
        <x:f>IF(AND(M1601=1,OR(Dashboard!$B$7="All",Dashboard!$B$7='Cycles &amp; Guide'!$C$5),OR(Dashboard!$D$7="All",Dashboard!$D$7=B1601),OR(Dashboard!$F$7="All",Dashboard!$F$7=C1601),OR(Dashboard!$H$7="All",Dashboard!$H$7=D1601),OR(Dashboard!$K$7="All",Dashboard!$K$7=E1601)),1,0)</x:f>
        <x:v>1</x:v>
      </x:c>
      <x:c r="S1601" s="2" t="n">
        <x:f>IF(R1601=1,SUM($R$10:R1601),0)</x:f>
        <x:v>1228</x:v>
      </x:c>
      <x:c r="T1601" s="2" t="str">
        <x:v>Design &amp; Insights</x:v>
      </x:c>
      <x:c r="U1601" s="2" t="n">
        <x:v>229</x:v>
      </x:c>
      <x:c r="V1601" s="2" t="n">
        <x:f>IF(AND(M1601=1,P1601=0,ISNUMBER(J1601),J1601&lt;TODAY()),1,0)</x:f>
        <x:v>0</x:v>
      </x:c>
      <x:c r="W1601" s="2" t="str">
        <x:f>'Design &amp; Insights'!M229</x:f>
        <x:v>Task</x:v>
      </x:c>
    </x:row>
    <x:row r="1602" ht="40" customHeight="1">
      <x:c r="A1602" s="3" t="str">
        <x:f>HYPERLINK("#'Design &amp; Insights'!A230","Open")</x:f>
        <x:v>Open</x:v>
      </x:c>
      <x:c r="B1602" s="2" t="str">
        <x:f>'Design &amp; Insights'!B230</x:f>
        <x:v>Cycle 2</x:v>
      </x:c>
      <x:c r="C1602" s="2" t="str">
        <x:f>'Design &amp; Insights'!C230</x:f>
        <x:v>Phase 1</x:v>
      </x:c>
      <x:c r="D1602" s="2" t="str">
        <x:f>'Design &amp; Insights'!D230</x:f>
        <x:v>FCM</x:v>
      </x:c>
      <x:c r="E1602" s="2" t="str">
        <x:v>Design &amp; Insights</x:v>
      </x:c>
      <x:c r="F1602" s="56" t="str">
        <x:f>'Design &amp; Insights'!E230</x:f>
        <x:v>DI.FC.1.1</x:v>
      </x:c>
      <x:c r="G1602" s="14" t="str">
        <x:f>'Design &amp; Insights'!F230</x:f>
        <x:v>Receive and review potential research topics at least 2 weeks prior to Cycle start date</x:v>
      </x:c>
      <x:c r="H1602" s="2" t="str">
        <x:f>IF('Design &amp; Insights'!G230="","",'Design &amp; Insights'!G230)</x:f>
      </x:c>
      <x:c r="I1602" s="12" t="str">
        <x:f>IF('Design &amp; Insights'!H230="","",'Design &amp; Insights'!H230)</x:f>
      </x:c>
      <x:c r="J1602" s="12" t="n">
        <x:f>IF('Design &amp; Insights'!I230="","",'Design &amp; Insights'!I230)</x:f>
        <x:v>46099</x:v>
      </x:c>
      <x:c r="K1602" s="12" t="str">
        <x:f>IF('Design &amp; Insights'!J230="","",'Design &amp; Insights'!J230)</x:f>
      </x:c>
      <x:c r="L1602" s="2" t="str">
        <x:f>IF('Design &amp; Insights'!K230="","",'Design &amp; Insights'!K230)</x:f>
      </x:c>
      <x:c r="M1602" s="2" t="n">
        <x:f>'Design &amp; Insights'!Q230</x:f>
        <x:v>1</x:v>
      </x:c>
      <x:c r="N1602" s="2" t="str">
        <x:f>'Design &amp; Insights'!L230</x:f>
        <x:v>Not started</x:v>
      </x:c>
      <x:c r="O1602" s="2" t="str">
        <x:f>'Design &amp; Insights'!N230</x:f>
        <x:v>DI.FC.1.1.2026.CY2</x:v>
      </x:c>
      <x:c r="P1602" s="2" t="n">
        <x:f>'Design &amp; Insights'!O230</x:f>
        <x:v>0</x:v>
      </x:c>
      <x:c r="Q1602" s="2" t="n">
        <x:f>SUBTOTAL(103,O1602)</x:f>
        <x:v>1</x:v>
      </x:c>
      <x:c r="R1602" s="2" t="n">
        <x:f>IF(AND(M1602=1,OR(Dashboard!$B$7="All",Dashboard!$B$7='Cycles &amp; Guide'!$C$5),OR(Dashboard!$D$7="All",Dashboard!$D$7=B1602),OR(Dashboard!$F$7="All",Dashboard!$F$7=C1602),OR(Dashboard!$H$7="All",Dashboard!$H$7=D1602),OR(Dashboard!$K$7="All",Dashboard!$K$7=E1602)),1,0)</x:f>
        <x:v>1</x:v>
      </x:c>
      <x:c r="S1602" s="2" t="n">
        <x:f>IF(R1602=1,SUM($R$10:R1602),0)</x:f>
        <x:v>1229</x:v>
      </x:c>
      <x:c r="T1602" s="2" t="str">
        <x:v>Design &amp; Insights</x:v>
      </x:c>
      <x:c r="U1602" s="2" t="n">
        <x:v>230</x:v>
      </x:c>
      <x:c r="V1602" s="2" t="n">
        <x:f>IF(AND(M1602=1,P1602=0,ISNUMBER(J1602),J1602&lt;TODAY()),1,0)</x:f>
        <x:v>1</x:v>
      </x:c>
      <x:c r="W1602" s="2" t="str">
        <x:f>'Design &amp; Insights'!M230</x:f>
        <x:v>Task</x:v>
      </x:c>
    </x:row>
    <x:row r="1603" ht="40" customHeight="1">
      <x:c r="A1603" s="3" t="str">
        <x:f>HYPERLINK("#'Design &amp; Insights'!A231","Open")</x:f>
        <x:v>Open</x:v>
      </x:c>
      <x:c r="B1603" s="2" t="str">
        <x:f>'Design &amp; Insights'!B231</x:f>
        <x:v>Cycle 2</x:v>
      </x:c>
      <x:c r="C1603" s="2" t="str">
        <x:f>'Design &amp; Insights'!C231</x:f>
        <x:v>Phase 1</x:v>
      </x:c>
      <x:c r="D1603" s="2" t="str">
        <x:f>'Design &amp; Insights'!D231</x:f>
        <x:v>FCM</x:v>
      </x:c>
      <x:c r="E1603" s="2" t="str">
        <x:v>Design &amp; Insights</x:v>
      </x:c>
      <x:c r="F1603" s="56" t="str">
        <x:f>'Design &amp; Insights'!E231</x:f>
        <x:v>DI.FC.1.2</x:v>
      </x:c>
      <x:c r="G1603" s="14" t="str">
        <x:f>'Design &amp; Insights'!F231</x:f>
        <x:v>Communicate any feedback on preferences or concerns with topics identified</x:v>
      </x:c>
      <x:c r="H1603" s="2" t="str">
        <x:f>IF('Design &amp; Insights'!G231="","",'Design &amp; Insights'!G231)</x:f>
      </x:c>
      <x:c r="I1603" s="12" t="str">
        <x:f>IF('Design &amp; Insights'!H231="","",'Design &amp; Insights'!H231)</x:f>
      </x:c>
      <x:c r="J1603" s="12" t="n">
        <x:f>IF('Design &amp; Insights'!I231="","",'Design &amp; Insights'!I231)</x:f>
        <x:v>46203</x:v>
      </x:c>
      <x:c r="K1603" s="12" t="str">
        <x:f>IF('Design &amp; Insights'!J231="","",'Design &amp; Insights'!J231)</x:f>
      </x:c>
      <x:c r="L1603" s="2" t="str">
        <x:f>IF('Design &amp; Insights'!K231="","",'Design &amp; Insights'!K231)</x:f>
      </x:c>
      <x:c r="M1603" s="2" t="n">
        <x:f>'Design &amp; Insights'!Q231</x:f>
        <x:v>1</x:v>
      </x:c>
      <x:c r="N1603" s="2" t="str">
        <x:f>'Design &amp; Insights'!L231</x:f>
        <x:v>Not started</x:v>
      </x:c>
      <x:c r="O1603" s="2" t="str">
        <x:f>'Design &amp; Insights'!N231</x:f>
        <x:v>DI.FC.1.2.2026.CY2</x:v>
      </x:c>
      <x:c r="P1603" s="2" t="n">
        <x:f>'Design &amp; Insights'!O231</x:f>
        <x:v>0</x:v>
      </x:c>
      <x:c r="Q1603" s="2" t="n">
        <x:f>SUBTOTAL(103,O1603)</x:f>
        <x:v>1</x:v>
      </x:c>
      <x:c r="R1603" s="2" t="n">
        <x:f>IF(AND(M1603=1,OR(Dashboard!$B$7="All",Dashboard!$B$7='Cycles &amp; Guide'!$C$5),OR(Dashboard!$D$7="All",Dashboard!$D$7=B1603),OR(Dashboard!$F$7="All",Dashboard!$F$7=C1603),OR(Dashboard!$H$7="All",Dashboard!$H$7=D1603),OR(Dashboard!$K$7="All",Dashboard!$K$7=E1603)),1,0)</x:f>
        <x:v>1</x:v>
      </x:c>
      <x:c r="S1603" s="2" t="n">
        <x:f>IF(R1603=1,SUM($R$10:R1603),0)</x:f>
        <x:v>1230</x:v>
      </x:c>
      <x:c r="T1603" s="2" t="str">
        <x:v>Design &amp; Insights</x:v>
      </x:c>
      <x:c r="U1603" s="2" t="n">
        <x:v>231</x:v>
      </x:c>
      <x:c r="V1603" s="2" t="n">
        <x:f>IF(AND(M1603=1,P1603=0,ISNUMBER(J1603),J1603&lt;TODAY()),1,0)</x:f>
        <x:v>1</x:v>
      </x:c>
      <x:c r="W1603" s="2" t="str">
        <x:f>'Design &amp; Insights'!M231</x:f>
        <x:v>Task</x:v>
      </x:c>
    </x:row>
    <x:row r="1604" ht="40" customHeight="1">
      <x:c r="A1604" s="3" t="str">
        <x:f>HYPERLINK("#'Design &amp; Insights'!A232","Open")</x:f>
        <x:v>Open</x:v>
      </x:c>
      <x:c r="B1604" s="2" t="str">
        <x:f>'Design &amp; Insights'!B232</x:f>
        <x:v>Cycle 2</x:v>
      </x:c>
      <x:c r="C1604" s="2" t="str">
        <x:f>'Design &amp; Insights'!C232</x:f>
        <x:v>Phase 1</x:v>
      </x:c>
      <x:c r="D1604" s="2" t="str">
        <x:f>'Design &amp; Insights'!D232</x:f>
        <x:v>FCM</x:v>
      </x:c>
      <x:c r="E1604" s="2" t="str">
        <x:v>Design &amp; Insights</x:v>
      </x:c>
      <x:c r="F1604" s="56" t="str">
        <x:f>'Design &amp; Insights'!E232</x:f>
        <x:v>DI.FC.1.3</x:v>
      </x:c>
      <x:c r="G1604" s="14" t="str">
        <x:f>'Design &amp; Insights'!F232</x:f>
        <x:v>Conduct high-level preliminary review of complaints within proposed topics</x:v>
      </x:c>
      <x:c r="H1604" s="2" t="str">
        <x:f>IF('Design &amp; Insights'!G232="","",'Design &amp; Insights'!G232)</x:f>
      </x:c>
      <x:c r="I1604" s="12" t="str">
        <x:f>IF('Design &amp; Insights'!H232="","",'Design &amp; Insights'!H232)</x:f>
      </x:c>
      <x:c r="J1604" s="12" t="n">
        <x:f>IF('Design &amp; Insights'!I232="","",'Design &amp; Insights'!I232)</x:f>
        <x:v>46203</x:v>
      </x:c>
      <x:c r="K1604" s="12" t="str">
        <x:f>IF('Design &amp; Insights'!J232="","",'Design &amp; Insights'!J232)</x:f>
      </x:c>
      <x:c r="L1604" s="2" t="str">
        <x:f>IF('Design &amp; Insights'!K232="","",'Design &amp; Insights'!K232)</x:f>
      </x:c>
      <x:c r="M1604" s="2" t="n">
        <x:f>'Design &amp; Insights'!Q232</x:f>
        <x:v>1</x:v>
      </x:c>
      <x:c r="N1604" s="2" t="str">
        <x:f>'Design &amp; Insights'!L232</x:f>
        <x:v>Not started</x:v>
      </x:c>
      <x:c r="O1604" s="2" t="str">
        <x:f>'Design &amp; Insights'!N232</x:f>
        <x:v>DI.FC.1.3.2026.CY2</x:v>
      </x:c>
      <x:c r="P1604" s="2" t="n">
        <x:f>'Design &amp; Insights'!O232</x:f>
        <x:v>0</x:v>
      </x:c>
      <x:c r="Q1604" s="2" t="n">
        <x:f>SUBTOTAL(103,O1604)</x:f>
        <x:v>1</x:v>
      </x:c>
      <x:c r="R1604" s="2" t="n">
        <x:f>IF(AND(M1604=1,OR(Dashboard!$B$7="All",Dashboard!$B$7='Cycles &amp; Guide'!$C$5),OR(Dashboard!$D$7="All",Dashboard!$D$7=B1604),OR(Dashboard!$F$7="All",Dashboard!$F$7=C1604),OR(Dashboard!$H$7="All",Dashboard!$H$7=D1604),OR(Dashboard!$K$7="All",Dashboard!$K$7=E1604)),1,0)</x:f>
        <x:v>1</x:v>
      </x:c>
      <x:c r="S1604" s="2" t="n">
        <x:f>IF(R1604=1,SUM($R$10:R1604),0)</x:f>
        <x:v>1231</x:v>
      </x:c>
      <x:c r="T1604" s="2" t="str">
        <x:v>Design &amp; Insights</x:v>
      </x:c>
      <x:c r="U1604" s="2" t="n">
        <x:v>232</x:v>
      </x:c>
      <x:c r="V1604" s="2" t="n">
        <x:f>IF(AND(M1604=1,P1604=0,ISNUMBER(J1604),J1604&lt;TODAY()),1,0)</x:f>
        <x:v>1</x:v>
      </x:c>
      <x:c r="W1604" s="2" t="str">
        <x:f>'Design &amp; Insights'!M232</x:f>
        <x:v>Task</x:v>
      </x:c>
    </x:row>
    <x:row r="1605" ht="40" customHeight="1">
      <x:c r="A1605" s="3" t="str">
        <x:f>HYPERLINK("#'Design &amp; Insights'!A233","Open")</x:f>
        <x:v>Open</x:v>
      </x:c>
      <x:c r="B1605" s="2" t="str">
        <x:f>'Design &amp; Insights'!B233</x:f>
        <x:v>Cycle 2</x:v>
      </x:c>
      <x:c r="C1605" s="2" t="str">
        <x:f>'Design &amp; Insights'!C233</x:f>
        <x:v>Phase 1</x:v>
      </x:c>
      <x:c r="D1605" s="2" t="str">
        <x:f>'Design &amp; Insights'!D233</x:f>
        <x:v>FCM</x:v>
      </x:c>
      <x:c r="E1605" s="2" t="str">
        <x:v>Design &amp; Insights</x:v>
      </x:c>
      <x:c r="F1605" s="56" t="str">
        <x:f>'Design &amp; Insights'!E233</x:f>
        <x:v>DI.FC.1.4</x:v>
      </x:c>
      <x:c r="G1605" s="14" t="str">
        <x:f>'Design &amp; Insights'!F233</x:f>
        <x:v>Meet with Research to discuss which topic to select based on potential impact</x:v>
      </x:c>
      <x:c r="H1605" s="2" t="str">
        <x:f>IF('Design &amp; Insights'!G233="","",'Design &amp; Insights'!G233)</x:f>
      </x:c>
      <x:c r="I1605" s="12" t="str">
        <x:f>IF('Design &amp; Insights'!H233="","",'Design &amp; Insights'!H233)</x:f>
      </x:c>
      <x:c r="J1605" s="12" t="n">
        <x:f>IF('Design &amp; Insights'!I233="","",'Design &amp; Insights'!I233)</x:f>
        <x:v>46203</x:v>
      </x:c>
      <x:c r="K1605" s="12" t="str">
        <x:f>IF('Design &amp; Insights'!J233="","",'Design &amp; Insights'!J233)</x:f>
      </x:c>
      <x:c r="L1605" s="2" t="str">
        <x:f>IF('Design &amp; Insights'!K233="","",'Design &amp; Insights'!K233)</x:f>
      </x:c>
      <x:c r="M1605" s="2" t="n">
        <x:f>'Design &amp; Insights'!Q233</x:f>
        <x:v>1</x:v>
      </x:c>
      <x:c r="N1605" s="2" t="str">
        <x:f>'Design &amp; Insights'!L233</x:f>
        <x:v>Not started</x:v>
      </x:c>
      <x:c r="O1605" s="2" t="str">
        <x:f>'Design &amp; Insights'!N233</x:f>
        <x:v>DI.FC.1.4.2026.CY2</x:v>
      </x:c>
      <x:c r="P1605" s="2" t="n">
        <x:f>'Design &amp; Insights'!O233</x:f>
        <x:v>0</x:v>
      </x:c>
      <x:c r="Q1605" s="2" t="n">
        <x:f>SUBTOTAL(103,O1605)</x:f>
        <x:v>1</x:v>
      </x:c>
      <x:c r="R1605" s="2" t="n">
        <x:f>IF(AND(M1605=1,OR(Dashboard!$B$7="All",Dashboard!$B$7='Cycles &amp; Guide'!$C$5),OR(Dashboard!$D$7="All",Dashboard!$D$7=B1605),OR(Dashboard!$F$7="All",Dashboard!$F$7=C1605),OR(Dashboard!$H$7="All",Dashboard!$H$7=D1605),OR(Dashboard!$K$7="All",Dashboard!$K$7=E1605)),1,0)</x:f>
        <x:v>1</x:v>
      </x:c>
      <x:c r="S1605" s="2" t="n">
        <x:f>IF(R1605=1,SUM($R$10:R1605),0)</x:f>
        <x:v>1232</x:v>
      </x:c>
      <x:c r="T1605" s="2" t="str">
        <x:v>Design &amp; Insights</x:v>
      </x:c>
      <x:c r="U1605" s="2" t="n">
        <x:v>233</x:v>
      </x:c>
      <x:c r="V1605" s="2" t="n">
        <x:f>IF(AND(M1605=1,P1605=0,ISNUMBER(J1605),J1605&lt;TODAY()),1,0)</x:f>
        <x:v>1</x:v>
      </x:c>
      <x:c r="W1605" s="2" t="str">
        <x:f>'Design &amp; Insights'!M233</x:f>
        <x:v>Task</x:v>
      </x:c>
    </x:row>
    <x:row r="1606" ht="40" customHeight="1">
      <x:c r="A1606" s="3" t="str">
        <x:f>HYPERLINK("#'Design &amp; Insights'!A234","Open")</x:f>
        <x:v>Open</x:v>
      </x:c>
      <x:c r="B1606" s="2" t="str">
        <x:f>'Design &amp; Insights'!B234</x:f>
        <x:v>Cycle 2</x:v>
      </x:c>
      <x:c r="C1606" s="2" t="str">
        <x:f>'Design &amp; Insights'!C234</x:f>
        <x:v>Phase 1</x:v>
      </x:c>
      <x:c r="D1606" s="2" t="str">
        <x:f>'Design &amp; Insights'!D234</x:f>
        <x:v>FCM</x:v>
      </x:c>
      <x:c r="E1606" s="2" t="str">
        <x:v>Design &amp; Insights</x:v>
      </x:c>
      <x:c r="F1606" s="56" t="str">
        <x:f>'Design &amp; Insights'!E234</x:f>
        <x:v>DI.FC.1.5</x:v>
      </x:c>
      <x:c r="G1606" s="14" t="str">
        <x:f>'Design &amp; Insights'!F234</x:f>
        <x:v>Confirm with Research the recommended topic for approval</x:v>
      </x:c>
      <x:c r="H1606" s="2" t="str">
        <x:f>IF('Design &amp; Insights'!G234="","",'Design &amp; Insights'!G234)</x:f>
      </x:c>
      <x:c r="I1606" s="12" t="str">
        <x:f>IF('Design &amp; Insights'!H234="","",'Design &amp; Insights'!H234)</x:f>
      </x:c>
      <x:c r="J1606" s="12" t="n">
        <x:f>IF('Design &amp; Insights'!I234="","",'Design &amp; Insights'!I234)</x:f>
        <x:v>46203</x:v>
      </x:c>
      <x:c r="K1606" s="12" t="str">
        <x:f>IF('Design &amp; Insights'!J234="","",'Design &amp; Insights'!J234)</x:f>
      </x:c>
      <x:c r="L1606" s="2" t="str">
        <x:f>IF('Design &amp; Insights'!K234="","",'Design &amp; Insights'!K234)</x:f>
      </x:c>
      <x:c r="M1606" s="2" t="n">
        <x:f>'Design &amp; Insights'!Q234</x:f>
        <x:v>1</x:v>
      </x:c>
      <x:c r="N1606" s="2" t="str">
        <x:f>'Design &amp; Insights'!L234</x:f>
        <x:v>Not started</x:v>
      </x:c>
      <x:c r="O1606" s="2" t="str">
        <x:f>'Design &amp; Insights'!N234</x:f>
        <x:v>DI.FC.1.5.2026.CY2</x:v>
      </x:c>
      <x:c r="P1606" s="2" t="n">
        <x:f>'Design &amp; Insights'!O234</x:f>
        <x:v>0</x:v>
      </x:c>
      <x:c r="Q1606" s="2" t="n">
        <x:f>SUBTOTAL(103,O1606)</x:f>
        <x:v>1</x:v>
      </x:c>
      <x:c r="R1606" s="2" t="n">
        <x:f>IF(AND(M1606=1,OR(Dashboard!$B$7="All",Dashboard!$B$7='Cycles &amp; Guide'!$C$5),OR(Dashboard!$D$7="All",Dashboard!$D$7=B1606),OR(Dashboard!$F$7="All",Dashboard!$F$7=C1606),OR(Dashboard!$H$7="All",Dashboard!$H$7=D1606),OR(Dashboard!$K$7="All",Dashboard!$K$7=E1606)),1,0)</x:f>
        <x:v>1</x:v>
      </x:c>
      <x:c r="S1606" s="2" t="n">
        <x:f>IF(R1606=1,SUM($R$10:R1606),0)</x:f>
        <x:v>1233</x:v>
      </x:c>
      <x:c r="T1606" s="2" t="str">
        <x:v>Design &amp; Insights</x:v>
      </x:c>
      <x:c r="U1606" s="2" t="n">
        <x:v>234</x:v>
      </x:c>
      <x:c r="V1606" s="2" t="n">
        <x:f>IF(AND(M1606=1,P1606=0,ISNUMBER(J1606),J1606&lt;TODAY()),1,0)</x:f>
        <x:v>1</x:v>
      </x:c>
      <x:c r="W1606" s="2" t="str">
        <x:f>'Design &amp; Insights'!M234</x:f>
        <x:v>Task</x:v>
      </x:c>
    </x:row>
    <x:row r="1607" ht="40" customHeight="1">
      <x:c r="A1607" s="3" t="str">
        <x:f>HYPERLINK("#'Design &amp; Insights'!A235","Open")</x:f>
        <x:v>Open</x:v>
      </x:c>
      <x:c r="B1607" s="2" t="str">
        <x:f>'Design &amp; Insights'!B235</x:f>
        <x:v>Cycle 2</x:v>
      </x:c>
      <x:c r="C1607" s="2" t="str">
        <x:f>'Design &amp; Insights'!C235</x:f>
        <x:v>Phase 1</x:v>
      </x:c>
      <x:c r="D1607" s="2" t="str">
        <x:f>'Design &amp; Insights'!D235</x:f>
        <x:v>FCM</x:v>
      </x:c>
      <x:c r="E1607" s="2" t="str">
        <x:v>Design &amp; Insights</x:v>
      </x:c>
      <x:c r="F1607" s="56" t="str">
        <x:f>'Design &amp; Insights'!E235</x:f>
        <x:v>DI.FC.1.6</x:v>
      </x:c>
      <x:c r="G1607" s="14" t="str">
        <x:f>'Design &amp; Insights'!F235</x:f>
        <x:v>Send topic selection socialization email to all key stakeholders on the first day of the review Cycle</x:v>
      </x:c>
      <x:c r="H1607" s="2" t="str">
        <x:f>IF('Design &amp; Insights'!G235="","",'Design &amp; Insights'!G235)</x:f>
      </x:c>
      <x:c r="I1607" s="12" t="str">
        <x:f>IF('Design &amp; Insights'!H235="","",'Design &amp; Insights'!H235)</x:f>
      </x:c>
      <x:c r="J1607" s="12" t="n">
        <x:f>IF('Design &amp; Insights'!I235="","",'Design &amp; Insights'!I235)</x:f>
        <x:v>46113</x:v>
      </x:c>
      <x:c r="K1607" s="12" t="str">
        <x:f>IF('Design &amp; Insights'!J235="","",'Design &amp; Insights'!J235)</x:f>
      </x:c>
      <x:c r="L1607" s="2" t="str">
        <x:f>IF('Design &amp; Insights'!K235="","",'Design &amp; Insights'!K235)</x:f>
      </x:c>
      <x:c r="M1607" s="2" t="n">
        <x:f>'Design &amp; Insights'!Q235</x:f>
        <x:v>1</x:v>
      </x:c>
      <x:c r="N1607" s="2" t="str">
        <x:f>'Design &amp; Insights'!L235</x:f>
        <x:v>Not started</x:v>
      </x:c>
      <x:c r="O1607" s="2" t="str">
        <x:f>'Design &amp; Insights'!N235</x:f>
        <x:v>DI.FC.1.6.2026.CY2</x:v>
      </x:c>
      <x:c r="P1607" s="2" t="n">
        <x:f>'Design &amp; Insights'!O235</x:f>
        <x:v>0</x:v>
      </x:c>
      <x:c r="Q1607" s="2" t="n">
        <x:f>SUBTOTAL(103,O1607)</x:f>
        <x:v>1</x:v>
      </x:c>
      <x:c r="R1607" s="2" t="n">
        <x:f>IF(AND(M1607=1,OR(Dashboard!$B$7="All",Dashboard!$B$7='Cycles &amp; Guide'!$C$5),OR(Dashboard!$D$7="All",Dashboard!$D$7=B1607),OR(Dashboard!$F$7="All",Dashboard!$F$7=C1607),OR(Dashboard!$H$7="All",Dashboard!$H$7=D1607),OR(Dashboard!$K$7="All",Dashboard!$K$7=E1607)),1,0)</x:f>
        <x:v>1</x:v>
      </x:c>
      <x:c r="S1607" s="2" t="n">
        <x:f>IF(R1607=1,SUM($R$10:R1607),0)</x:f>
        <x:v>1234</x:v>
      </x:c>
      <x:c r="T1607" s="2" t="str">
        <x:v>Design &amp; Insights</x:v>
      </x:c>
      <x:c r="U1607" s="2" t="n">
        <x:v>235</x:v>
      </x:c>
      <x:c r="V1607" s="2" t="n">
        <x:f>IF(AND(M1607=1,P1607=0,ISNUMBER(J1607),J1607&lt;TODAY()),1,0)</x:f>
        <x:v>1</x:v>
      </x:c>
      <x:c r="W1607" s="2" t="str">
        <x:f>'Design &amp; Insights'!M235</x:f>
        <x:v>Task</x:v>
      </x:c>
    </x:row>
    <x:row r="1608" ht="40" customHeight="1">
      <x:c r="A1608" s="3" t="str">
        <x:f>HYPERLINK("#'Design &amp; Insights'!A236","Open")</x:f>
        <x:v>Open</x:v>
      </x:c>
      <x:c r="B1608" s="2" t="str">
        <x:f>'Design &amp; Insights'!B236</x:f>
        <x:v>Cycle 2</x:v>
      </x:c>
      <x:c r="C1608" s="2" t="str">
        <x:f>'Design &amp; Insights'!C236</x:f>
        <x:v>Phase 2</x:v>
      </x:c>
      <x:c r="D1608" s="2" t="str">
        <x:f>'Design &amp; Insights'!D236</x:f>
        <x:v>FCM</x:v>
      </x:c>
      <x:c r="E1608" s="2" t="str">
        <x:v>Design &amp; Insights</x:v>
      </x:c>
      <x:c r="F1608" s="56" t="str">
        <x:f>'Design &amp; Insights'!E236</x:f>
        <x:v>DI.FC.2.1</x:v>
      </x:c>
      <x:c r="G1608" s="14" t="str">
        <x:f>'Design &amp; Insights'!F236</x:f>
        <x:v>Meet regularly with Research to stay informed on progress, findings, and potential enhancement</x:v>
      </x:c>
      <x:c r="H1608" s="2" t="str">
        <x:f>IF('Design &amp; Insights'!G236="","",'Design &amp; Insights'!G236)</x:f>
      </x:c>
      <x:c r="I1608" s="12" t="str">
        <x:f>IF('Design &amp; Insights'!H236="","",'Design &amp; Insights'!H236)</x:f>
      </x:c>
      <x:c r="J1608" s="12" t="n">
        <x:f>IF('Design &amp; Insights'!I236="","",'Design &amp; Insights'!I236)</x:f>
        <x:v>46203</x:v>
      </x:c>
      <x:c r="K1608" s="12" t="str">
        <x:f>IF('Design &amp; Insights'!J236="","",'Design &amp; Insights'!J236)</x:f>
      </x:c>
      <x:c r="L1608" s="2" t="str">
        <x:f>IF('Design &amp; Insights'!K236="","",'Design &amp; Insights'!K236)</x:f>
      </x:c>
      <x:c r="M1608" s="2" t="n">
        <x:f>'Design &amp; Insights'!Q236</x:f>
        <x:v>1</x:v>
      </x:c>
      <x:c r="N1608" s="2" t="str">
        <x:f>'Design &amp; Insights'!L236</x:f>
        <x:v>Not started</x:v>
      </x:c>
      <x:c r="O1608" s="2" t="str">
        <x:f>'Design &amp; Insights'!N236</x:f>
        <x:v>DI.FC.2.1.2026.CY2</x:v>
      </x:c>
      <x:c r="P1608" s="2" t="n">
        <x:f>'Design &amp; Insights'!O236</x:f>
        <x:v>0</x:v>
      </x:c>
      <x:c r="Q1608" s="2" t="n">
        <x:f>SUBTOTAL(103,O1608)</x:f>
        <x:v>1</x:v>
      </x:c>
      <x:c r="R1608" s="2" t="n">
        <x:f>IF(AND(M1608=1,OR(Dashboard!$B$7="All",Dashboard!$B$7='Cycles &amp; Guide'!$C$5),OR(Dashboard!$D$7="All",Dashboard!$D$7=B1608),OR(Dashboard!$F$7="All",Dashboard!$F$7=C1608),OR(Dashboard!$H$7="All",Dashboard!$H$7=D1608),OR(Dashboard!$K$7="All",Dashboard!$K$7=E1608)),1,0)</x:f>
        <x:v>1</x:v>
      </x:c>
      <x:c r="S1608" s="2" t="n">
        <x:f>IF(R1608=1,SUM($R$10:R1608),0)</x:f>
        <x:v>1235</x:v>
      </x:c>
      <x:c r="T1608" s="2" t="str">
        <x:v>Design &amp; Insights</x:v>
      </x:c>
      <x:c r="U1608" s="2" t="n">
        <x:v>236</x:v>
      </x:c>
      <x:c r="V1608" s="2" t="n">
        <x:f>IF(AND(M1608=1,P1608=0,ISNUMBER(J1608),J1608&lt;TODAY()),1,0)</x:f>
        <x:v>1</x:v>
      </x:c>
      <x:c r="W1608" s="2" t="str">
        <x:f>'Design &amp; Insights'!M236</x:f>
        <x:v>Task</x:v>
      </x:c>
    </x:row>
    <x:row r="1609" ht="40" customHeight="1">
      <x:c r="A1609" s="3" t="str">
        <x:f>HYPERLINK("#'Design &amp; Insights'!A237","Open")</x:f>
        <x:v>Open</x:v>
      </x:c>
      <x:c r="B1609" s="2" t="str">
        <x:f>'Design &amp; Insights'!B237</x:f>
        <x:v>Cycle 2</x:v>
      </x:c>
      <x:c r="C1609" s="2" t="str">
        <x:f>'Design &amp; Insights'!C237</x:f>
        <x:v>Phase 2</x:v>
      </x:c>
      <x:c r="D1609" s="2" t="str">
        <x:f>'Design &amp; Insights'!D237</x:f>
        <x:v>FCM</x:v>
      </x:c>
      <x:c r="E1609" s="2" t="str">
        <x:v>Design &amp; Insights</x:v>
      </x:c>
      <x:c r="F1609" s="56" t="str">
        <x:f>'Design &amp; Insights'!E237</x:f>
        <x:v>DI.FC.2.2</x:v>
      </x:c>
      <x:c r="G1609" s="14" t="str">
        <x:f>'Design &amp; Insights'!F237</x:f>
        <x:v>Collaborate with Research on research plan specifics</x:v>
      </x:c>
      <x:c r="H1609" s="2" t="str">
        <x:f>IF('Design &amp; Insights'!G237="","",'Design &amp; Insights'!G237)</x:f>
      </x:c>
      <x:c r="I1609" s="12" t="str">
        <x:f>IF('Design &amp; Insights'!H237="","",'Design &amp; Insights'!H237)</x:f>
      </x:c>
      <x:c r="J1609" s="12" t="n">
        <x:f>IF('Design &amp; Insights'!I237="","",'Design &amp; Insights'!I237)</x:f>
        <x:v>46203</x:v>
      </x:c>
      <x:c r="K1609" s="12" t="str">
        <x:f>IF('Design &amp; Insights'!J237="","",'Design &amp; Insights'!J237)</x:f>
      </x:c>
      <x:c r="L1609" s="2" t="str">
        <x:f>IF('Design &amp; Insights'!K237="","",'Design &amp; Insights'!K237)</x:f>
      </x:c>
      <x:c r="M1609" s="2" t="n">
        <x:f>'Design &amp; Insights'!Q237</x:f>
        <x:v>1</x:v>
      </x:c>
      <x:c r="N1609" s="2" t="str">
        <x:f>'Design &amp; Insights'!L237</x:f>
        <x:v>Not started</x:v>
      </x:c>
      <x:c r="O1609" s="2" t="str">
        <x:f>'Design &amp; Insights'!N237</x:f>
        <x:v>DI.FC.2.2.2026.CY2</x:v>
      </x:c>
      <x:c r="P1609" s="2" t="n">
        <x:f>'Design &amp; Insights'!O237</x:f>
        <x:v>0</x:v>
      </x:c>
      <x:c r="Q1609" s="2" t="n">
        <x:f>SUBTOTAL(103,O1609)</x:f>
        <x:v>1</x:v>
      </x:c>
      <x:c r="R1609" s="2" t="n">
        <x:f>IF(AND(M1609=1,OR(Dashboard!$B$7="All",Dashboard!$B$7='Cycles &amp; Guide'!$C$5),OR(Dashboard!$D$7="All",Dashboard!$D$7=B1609),OR(Dashboard!$F$7="All",Dashboard!$F$7=C1609),OR(Dashboard!$H$7="All",Dashboard!$H$7=D1609),OR(Dashboard!$K$7="All",Dashboard!$K$7=E1609)),1,0)</x:f>
        <x:v>1</x:v>
      </x:c>
      <x:c r="S1609" s="2" t="n">
        <x:f>IF(R1609=1,SUM($R$10:R1609),0)</x:f>
        <x:v>1236</x:v>
      </x:c>
      <x:c r="T1609" s="2" t="str">
        <x:v>Design &amp; Insights</x:v>
      </x:c>
      <x:c r="U1609" s="2" t="n">
        <x:v>237</x:v>
      </x:c>
      <x:c r="V1609" s="2" t="n">
        <x:f>IF(AND(M1609=1,P1609=0,ISNUMBER(J1609),J1609&lt;TODAY()),1,0)</x:f>
        <x:v>1</x:v>
      </x:c>
      <x:c r="W1609" s="2" t="str">
        <x:f>'Design &amp; Insights'!M237</x:f>
        <x:v>Task</x:v>
      </x:c>
    </x:row>
    <x:row r="1610" ht="40" customHeight="1">
      <x:c r="A1610" s="3" t="str">
        <x:f>HYPERLINK("#'Design &amp; Insights'!A238","Open")</x:f>
        <x:v>Open</x:v>
      </x:c>
      <x:c r="B1610" s="2" t="str">
        <x:f>'Design &amp; Insights'!B238</x:f>
        <x:v>Cycle 2</x:v>
      </x:c>
      <x:c r="C1610" s="2" t="str">
        <x:f>'Design &amp; Insights'!C238</x:f>
        <x:v>Phase 2</x:v>
      </x:c>
      <x:c r="D1610" s="2" t="str">
        <x:f>'Design &amp; Insights'!D238</x:f>
        <x:v>FCM</x:v>
      </x:c>
      <x:c r="E1610" s="2" t="str">
        <x:v>Design &amp; Insights</x:v>
      </x:c>
      <x:c r="F1610" s="56" t="str">
        <x:f>'Design &amp; Insights'!E238</x:f>
        <x:v>DI.FC.2.3</x:v>
      </x:c>
      <x:c r="G1610" s="14" t="str">
        <x:f>'Design &amp; Insights'!F238</x:f>
        <x:v>Participate in SME insight meetings to gain perspective and appetite on potential enhancements</x:v>
      </x:c>
      <x:c r="H1610" s="2" t="str">
        <x:f>IF('Design &amp; Insights'!G238="","",'Design &amp; Insights'!G238)</x:f>
      </x:c>
      <x:c r="I1610" s="12" t="str">
        <x:f>IF('Design &amp; Insights'!H238="","",'Design &amp; Insights'!H238)</x:f>
      </x:c>
      <x:c r="J1610" s="12" t="n">
        <x:f>IF('Design &amp; Insights'!I238="","",'Design &amp; Insights'!I238)</x:f>
        <x:v>46203</x:v>
      </x:c>
      <x:c r="K1610" s="12" t="str">
        <x:f>IF('Design &amp; Insights'!J238="","",'Design &amp; Insights'!J238)</x:f>
      </x:c>
      <x:c r="L1610" s="2" t="str">
        <x:f>IF('Design &amp; Insights'!K238="","",'Design &amp; Insights'!K238)</x:f>
      </x:c>
      <x:c r="M1610" s="2" t="n">
        <x:f>'Design &amp; Insights'!Q238</x:f>
        <x:v>1</x:v>
      </x:c>
      <x:c r="N1610" s="2" t="str">
        <x:f>'Design &amp; Insights'!L238</x:f>
        <x:v>Not started</x:v>
      </x:c>
      <x:c r="O1610" s="2" t="str">
        <x:f>'Design &amp; Insights'!N238</x:f>
        <x:v>DI.FC.2.3.2026.CY2</x:v>
      </x:c>
      <x:c r="P1610" s="2" t="n">
        <x:f>'Design &amp; Insights'!O238</x:f>
        <x:v>0</x:v>
      </x:c>
      <x:c r="Q1610" s="2" t="n">
        <x:f>SUBTOTAL(103,O1610)</x:f>
        <x:v>1</x:v>
      </x:c>
      <x:c r="R1610" s="2" t="n">
        <x:f>IF(AND(M1610=1,OR(Dashboard!$B$7="All",Dashboard!$B$7='Cycles &amp; Guide'!$C$5),OR(Dashboard!$D$7="All",Dashboard!$D$7=B1610),OR(Dashboard!$F$7="All",Dashboard!$F$7=C1610),OR(Dashboard!$H$7="All",Dashboard!$H$7=D1610),OR(Dashboard!$K$7="All",Dashboard!$K$7=E1610)),1,0)</x:f>
        <x:v>1</x:v>
      </x:c>
      <x:c r="S1610" s="2" t="n">
        <x:f>IF(R1610=1,SUM($R$10:R1610),0)</x:f>
        <x:v>1237</x:v>
      </x:c>
      <x:c r="T1610" s="2" t="str">
        <x:v>Design &amp; Insights</x:v>
      </x:c>
      <x:c r="U1610" s="2" t="n">
        <x:v>238</x:v>
      </x:c>
      <x:c r="V1610" s="2" t="n">
        <x:f>IF(AND(M1610=1,P1610=0,ISNUMBER(J1610),J1610&lt;TODAY()),1,0)</x:f>
        <x:v>1</x:v>
      </x:c>
      <x:c r="W1610" s="2" t="str">
        <x:f>'Design &amp; Insights'!M238</x:f>
        <x:v>Task</x:v>
      </x:c>
    </x:row>
    <x:row r="1611" ht="40" customHeight="1">
      <x:c r="A1611" s="3" t="str">
        <x:f>HYPERLINK("#'Design &amp; Insights'!A239","Open")</x:f>
        <x:v>Open</x:v>
      </x:c>
      <x:c r="B1611" s="2" t="str">
        <x:f>'Design &amp; Insights'!B239</x:f>
        <x:v>Cycle 2</x:v>
      </x:c>
      <x:c r="C1611" s="2" t="str">
        <x:f>'Design &amp; Insights'!C239</x:f>
        <x:v>Phase 2</x:v>
      </x:c>
      <x:c r="D1611" s="2" t="str">
        <x:f>'Design &amp; Insights'!D239</x:f>
        <x:v>FCM</x:v>
      </x:c>
      <x:c r="E1611" s="2" t="str">
        <x:v>Design &amp; Insights</x:v>
      </x:c>
      <x:c r="F1611" s="56" t="str">
        <x:f>'Design &amp; Insights'!E239</x:f>
        <x:v>DI.FC.2.4</x:v>
      </x:c>
      <x:c r="G1611" s="14" t="str">
        <x:f>'Design &amp; Insights'!F239</x:f>
        <x:v>Begin development of presentation materials as Research is being completed</x:v>
      </x:c>
      <x:c r="H1611" s="2" t="str">
        <x:f>IF('Design &amp; Insights'!G239="","",'Design &amp; Insights'!G239)</x:f>
      </x:c>
      <x:c r="I1611" s="12" t="str">
        <x:f>IF('Design &amp; Insights'!H239="","",'Design &amp; Insights'!H239)</x:f>
      </x:c>
      <x:c r="J1611" s="12" t="n">
        <x:f>IF('Design &amp; Insights'!I239="","",'Design &amp; Insights'!I239)</x:f>
        <x:v>46203</x:v>
      </x:c>
      <x:c r="K1611" s="12" t="str">
        <x:f>IF('Design &amp; Insights'!J239="","",'Design &amp; Insights'!J239)</x:f>
      </x:c>
      <x:c r="L1611" s="2" t="str">
        <x:f>IF('Design &amp; Insights'!K239="","",'Design &amp; Insights'!K239)</x:f>
      </x:c>
      <x:c r="M1611" s="2" t="n">
        <x:f>'Design &amp; Insights'!Q239</x:f>
        <x:v>1</x:v>
      </x:c>
      <x:c r="N1611" s="2" t="str">
        <x:f>'Design &amp; Insights'!L239</x:f>
        <x:v>Not started</x:v>
      </x:c>
      <x:c r="O1611" s="2" t="str">
        <x:f>'Design &amp; Insights'!N239</x:f>
        <x:v>DI.FC.2.4.2026.CY2</x:v>
      </x:c>
      <x:c r="P1611" s="2" t="n">
        <x:f>'Design &amp; Insights'!O239</x:f>
        <x:v>0</x:v>
      </x:c>
      <x:c r="Q1611" s="2" t="n">
        <x:f>SUBTOTAL(103,O1611)</x:f>
        <x:v>1</x:v>
      </x:c>
      <x:c r="R1611" s="2" t="n">
        <x:f>IF(AND(M1611=1,OR(Dashboard!$B$7="All",Dashboard!$B$7='Cycles &amp; Guide'!$C$5),OR(Dashboard!$D$7="All",Dashboard!$D$7=B1611),OR(Dashboard!$F$7="All",Dashboard!$F$7=C1611),OR(Dashboard!$H$7="All",Dashboard!$H$7=D1611),OR(Dashboard!$K$7="All",Dashboard!$K$7=E1611)),1,0)</x:f>
        <x:v>1</x:v>
      </x:c>
      <x:c r="S1611" s="2" t="n">
        <x:f>IF(R1611=1,SUM($R$10:R1611),0)</x:f>
        <x:v>1238</x:v>
      </x:c>
      <x:c r="T1611" s="2" t="str">
        <x:v>Design &amp; Insights</x:v>
      </x:c>
      <x:c r="U1611" s="2" t="n">
        <x:v>239</x:v>
      </x:c>
      <x:c r="V1611" s="2" t="n">
        <x:f>IF(AND(M1611=1,P1611=0,ISNUMBER(J1611),J1611&lt;TODAY()),1,0)</x:f>
        <x:v>1</x:v>
      </x:c>
      <x:c r="W1611" s="2" t="str">
        <x:f>'Design &amp; Insights'!M239</x:f>
        <x:v>Task</x:v>
      </x:c>
    </x:row>
    <x:row r="1612" ht="40" customHeight="1">
      <x:c r="A1612" s="3" t="str">
        <x:f>HYPERLINK("#'Design &amp; Insights'!A240","Open")</x:f>
        <x:v>Open</x:v>
      </x:c>
      <x:c r="B1612" s="2" t="str">
        <x:f>'Design &amp; Insights'!B240</x:f>
        <x:v>Cycle 2</x:v>
      </x:c>
      <x:c r="C1612" s="2" t="str">
        <x:f>'Design &amp; Insights'!C240</x:f>
        <x:v>Phase 2</x:v>
      </x:c>
      <x:c r="D1612" s="2" t="str">
        <x:f>'Design &amp; Insights'!D240</x:f>
        <x:v>FCM</x:v>
      </x:c>
      <x:c r="E1612" s="2" t="str">
        <x:v>Design &amp; Insights</x:v>
      </x:c>
      <x:c r="F1612" s="56" t="str">
        <x:f>'Design &amp; Insights'!E240</x:f>
        <x:v>DI.FC.2.5</x:v>
      </x:c>
      <x:c r="G1612" s="14" t="str">
        <x:f>'Design &amp; Insights'!F240</x:f>
        <x:v>Draft initial enhancement recommendations (as applicable)</x:v>
      </x:c>
      <x:c r="H1612" s="2" t="str">
        <x:f>IF('Design &amp; Insights'!G240="","",'Design &amp; Insights'!G240)</x:f>
      </x:c>
      <x:c r="I1612" s="12" t="str">
        <x:f>IF('Design &amp; Insights'!H240="","",'Design &amp; Insights'!H240)</x:f>
      </x:c>
      <x:c r="J1612" s="12" t="n">
        <x:f>IF('Design &amp; Insights'!I240="","",'Design &amp; Insights'!I240)</x:f>
        <x:v>46203</x:v>
      </x:c>
      <x:c r="K1612" s="12" t="str">
        <x:f>IF('Design &amp; Insights'!J240="","",'Design &amp; Insights'!J240)</x:f>
      </x:c>
      <x:c r="L1612" s="2" t="str">
        <x:f>IF('Design &amp; Insights'!K240="","",'Design &amp; Insights'!K240)</x:f>
      </x:c>
      <x:c r="M1612" s="2" t="n">
        <x:f>'Design &amp; Insights'!Q240</x:f>
        <x:v>1</x:v>
      </x:c>
      <x:c r="N1612" s="2" t="str">
        <x:f>'Design &amp; Insights'!L240</x:f>
        <x:v>Not started</x:v>
      </x:c>
      <x:c r="O1612" s="2" t="str">
        <x:f>'Design &amp; Insights'!N240</x:f>
        <x:v>DI.FC.2.5.2026.CY2</x:v>
      </x:c>
      <x:c r="P1612" s="2" t="n">
        <x:f>'Design &amp; Insights'!O240</x:f>
        <x:v>0</x:v>
      </x:c>
      <x:c r="Q1612" s="2" t="n">
        <x:f>SUBTOTAL(103,O1612)</x:f>
        <x:v>1</x:v>
      </x:c>
      <x:c r="R1612" s="2" t="n">
        <x:f>IF(AND(M1612=1,OR(Dashboard!$B$7="All",Dashboard!$B$7='Cycles &amp; Guide'!$C$5),OR(Dashboard!$D$7="All",Dashboard!$D$7=B1612),OR(Dashboard!$F$7="All",Dashboard!$F$7=C1612),OR(Dashboard!$H$7="All",Dashboard!$H$7=D1612),OR(Dashboard!$K$7="All",Dashboard!$K$7=E1612)),1,0)</x:f>
        <x:v>1</x:v>
      </x:c>
      <x:c r="S1612" s="2" t="n">
        <x:f>IF(R1612=1,SUM($R$10:R1612),0)</x:f>
        <x:v>1239</x:v>
      </x:c>
      <x:c r="T1612" s="2" t="str">
        <x:v>Design &amp; Insights</x:v>
      </x:c>
      <x:c r="U1612" s="2" t="n">
        <x:v>240</x:v>
      </x:c>
      <x:c r="V1612" s="2" t="n">
        <x:f>IF(AND(M1612=1,P1612=0,ISNUMBER(J1612),J1612&lt;TODAY()),1,0)</x:f>
        <x:v>1</x:v>
      </x:c>
      <x:c r="W1612" s="2" t="str">
        <x:f>'Design &amp; Insights'!M240</x:f>
        <x:v>Task</x:v>
      </x:c>
    </x:row>
    <x:row r="1613" ht="40" customHeight="1">
      <x:c r="A1613" s="3" t="str">
        <x:f>HYPERLINK("#'Design &amp; Insights'!A241","Open")</x:f>
        <x:v>Open</x:v>
      </x:c>
      <x:c r="B1613" s="2" t="str">
        <x:f>'Design &amp; Insights'!B241</x:f>
        <x:v>Cycle 2</x:v>
      </x:c>
      <x:c r="C1613" s="2" t="str">
        <x:f>'Design &amp; Insights'!C241</x:f>
        <x:v>Phase 2</x:v>
      </x:c>
      <x:c r="D1613" s="2" t="str">
        <x:f>'Design &amp; Insights'!D241</x:f>
        <x:v>FCM</x:v>
      </x:c>
      <x:c r="E1613" s="2" t="str">
        <x:v>Design &amp; Insights</x:v>
      </x:c>
      <x:c r="F1613" s="56" t="str">
        <x:f>'Design &amp; Insights'!E241</x:f>
        <x:v>DI.FC.2.6</x:v>
      </x:c>
      <x:c r="G1613" s="14" t="str">
        <x:f>'Design &amp; Insights'!F241</x:f>
        <x:v>Finalize presentation deck draft at conclusion of Research phase</x:v>
      </x:c>
      <x:c r="H1613" s="2" t="str">
        <x:f>IF('Design &amp; Insights'!G241="","",'Design &amp; Insights'!G241)</x:f>
      </x:c>
      <x:c r="I1613" s="12" t="str">
        <x:f>IF('Design &amp; Insights'!H241="","",'Design &amp; Insights'!H241)</x:f>
      </x:c>
      <x:c r="J1613" s="12" t="n">
        <x:f>IF('Design &amp; Insights'!I241="","",'Design &amp; Insights'!I241)</x:f>
        <x:v>46203</x:v>
      </x:c>
      <x:c r="K1613" s="12" t="str">
        <x:f>IF('Design &amp; Insights'!J241="","",'Design &amp; Insights'!J241)</x:f>
      </x:c>
      <x:c r="L1613" s="2" t="str">
        <x:f>IF('Design &amp; Insights'!K241="","",'Design &amp; Insights'!K241)</x:f>
      </x:c>
      <x:c r="M1613" s="2" t="n">
        <x:f>'Design &amp; Insights'!Q241</x:f>
        <x:v>1</x:v>
      </x:c>
      <x:c r="N1613" s="2" t="str">
        <x:f>'Design &amp; Insights'!L241</x:f>
        <x:v>Not started</x:v>
      </x:c>
      <x:c r="O1613" s="2" t="str">
        <x:f>'Design &amp; Insights'!N241</x:f>
        <x:v>DI.FC.2.6.2026.CY2</x:v>
      </x:c>
      <x:c r="P1613" s="2" t="n">
        <x:f>'Design &amp; Insights'!O241</x:f>
        <x:v>0</x:v>
      </x:c>
      <x:c r="Q1613" s="2" t="n">
        <x:f>SUBTOTAL(103,O1613)</x:f>
        <x:v>1</x:v>
      </x:c>
      <x:c r="R1613" s="2" t="n">
        <x:f>IF(AND(M1613=1,OR(Dashboard!$B$7="All",Dashboard!$B$7='Cycles &amp; Guide'!$C$5),OR(Dashboard!$D$7="All",Dashboard!$D$7=B1613),OR(Dashboard!$F$7="All",Dashboard!$F$7=C1613),OR(Dashboard!$H$7="All",Dashboard!$H$7=D1613),OR(Dashboard!$K$7="All",Dashboard!$K$7=E1613)),1,0)</x:f>
        <x:v>1</x:v>
      </x:c>
      <x:c r="S1613" s="2" t="n">
        <x:f>IF(R1613=1,SUM($R$10:R1613),0)</x:f>
        <x:v>1240</x:v>
      </x:c>
      <x:c r="T1613" s="2" t="str">
        <x:v>Design &amp; Insights</x:v>
      </x:c>
      <x:c r="U1613" s="2" t="n">
        <x:v>241</x:v>
      </x:c>
      <x:c r="V1613" s="2" t="n">
        <x:f>IF(AND(M1613=1,P1613=0,ISNUMBER(J1613),J1613&lt;TODAY()),1,0)</x:f>
        <x:v>1</x:v>
      </x:c>
      <x:c r="W1613" s="2" t="str">
        <x:f>'Design &amp; Insights'!M241</x:f>
        <x:v>Task</x:v>
      </x:c>
    </x:row>
    <x:row r="1614" ht="40" customHeight="1">
      <x:c r="A1614" s="3" t="str">
        <x:f>HYPERLINK("#'Design &amp; Insights'!A242","Open")</x:f>
        <x:v>Open</x:v>
      </x:c>
      <x:c r="B1614" s="2" t="str">
        <x:f>'Design &amp; Insights'!B242</x:f>
        <x:v>Cycle 2</x:v>
      </x:c>
      <x:c r="C1614" s="2" t="str">
        <x:f>'Design &amp; Insights'!C242</x:f>
        <x:v>Phase 2</x:v>
      </x:c>
      <x:c r="D1614" s="2" t="str">
        <x:f>'Design &amp; Insights'!D242</x:f>
        <x:v>FCM</x:v>
      </x:c>
      <x:c r="E1614" s="2" t="str">
        <x:v>Design &amp; Insights</x:v>
      </x:c>
      <x:c r="F1614" s="56" t="str">
        <x:f>'Design &amp; Insights'!E242</x:f>
        <x:v>DI.FC.2.7</x:v>
      </x:c>
      <x:c r="G1614" s="14" t="str">
        <x:f>'Design &amp; Insights'!F242</x:f>
        <x:v>Update Outcome portion of research plan with current enhancement verbiage (as needed)</x:v>
      </x:c>
      <x:c r="H1614" s="2" t="str">
        <x:f>IF('Design &amp; Insights'!G242="","",'Design &amp; Insights'!G242)</x:f>
      </x:c>
      <x:c r="I1614" s="12" t="str">
        <x:f>IF('Design &amp; Insights'!H242="","",'Design &amp; Insights'!H242)</x:f>
      </x:c>
      <x:c r="J1614" s="12" t="n">
        <x:f>IF('Design &amp; Insights'!I242="","",'Design &amp; Insights'!I242)</x:f>
        <x:v>46203</x:v>
      </x:c>
      <x:c r="K1614" s="12" t="str">
        <x:f>IF('Design &amp; Insights'!J242="","",'Design &amp; Insights'!J242)</x:f>
      </x:c>
      <x:c r="L1614" s="2" t="str">
        <x:f>IF('Design &amp; Insights'!K242="","",'Design &amp; Insights'!K242)</x:f>
      </x:c>
      <x:c r="M1614" s="2" t="n">
        <x:f>'Design &amp; Insights'!Q242</x:f>
        <x:v>1</x:v>
      </x:c>
      <x:c r="N1614" s="2" t="str">
        <x:f>'Design &amp; Insights'!L242</x:f>
        <x:v>Not started</x:v>
      </x:c>
      <x:c r="O1614" s="2" t="str">
        <x:f>'Design &amp; Insights'!N242</x:f>
        <x:v>DI.FC.2.7.2026.CY2</x:v>
      </x:c>
      <x:c r="P1614" s="2" t="n">
        <x:f>'Design &amp; Insights'!O242</x:f>
        <x:v>0</x:v>
      </x:c>
      <x:c r="Q1614" s="2" t="n">
        <x:f>SUBTOTAL(103,O1614)</x:f>
        <x:v>1</x:v>
      </x:c>
      <x:c r="R1614" s="2" t="n">
        <x:f>IF(AND(M1614=1,OR(Dashboard!$B$7="All",Dashboard!$B$7='Cycles &amp; Guide'!$C$5),OR(Dashboard!$D$7="All",Dashboard!$D$7=B1614),OR(Dashboard!$F$7="All",Dashboard!$F$7=C1614),OR(Dashboard!$H$7="All",Dashboard!$H$7=D1614),OR(Dashboard!$K$7="All",Dashboard!$K$7=E1614)),1,0)</x:f>
        <x:v>1</x:v>
      </x:c>
      <x:c r="S1614" s="2" t="n">
        <x:f>IF(R1614=1,SUM($R$10:R1614),0)</x:f>
        <x:v>1241</x:v>
      </x:c>
      <x:c r="T1614" s="2" t="str">
        <x:v>Design &amp; Insights</x:v>
      </x:c>
      <x:c r="U1614" s="2" t="n">
        <x:v>242</x:v>
      </x:c>
      <x:c r="V1614" s="2" t="n">
        <x:f>IF(AND(M1614=1,P1614=0,ISNUMBER(J1614),J1614&lt;TODAY()),1,0)</x:f>
        <x:v>1</x:v>
      </x:c>
      <x:c r="W1614" s="2" t="str">
        <x:f>'Design &amp; Insights'!M242</x:f>
        <x:v>Task</x:v>
      </x:c>
    </x:row>
    <x:row r="1615" ht="40" customHeight="1">
      <x:c r="A1615" s="3" t="str">
        <x:f>HYPERLINK("#'Design &amp; Insights'!A243","Open")</x:f>
        <x:v>Open</x:v>
      </x:c>
      <x:c r="B1615" s="2" t="str">
        <x:f>'Design &amp; Insights'!B243</x:f>
        <x:v>Cycle 2</x:v>
      </x:c>
      <x:c r="C1615" s="2" t="str">
        <x:f>'Design &amp; Insights'!C243</x:f>
        <x:v>Phase 3</x:v>
      </x:c>
      <x:c r="D1615" s="2" t="str">
        <x:f>'Design &amp; Insights'!D243</x:f>
        <x:v>FCM</x:v>
      </x:c>
      <x:c r="E1615" s="2" t="str">
        <x:v>Design &amp; Insights</x:v>
      </x:c>
      <x:c r="F1615" s="56" t="str">
        <x:f>'Design &amp; Insights'!E243</x:f>
        <x:v>DI.FC.3.1</x:v>
      </x:c>
      <x:c r="G1615" s="14" t="str">
        <x:f>'Design &amp; Insights'!F243</x:f>
        <x:v>Confirm list of required &amp; optional attendees for pre-socialization meeting</x:v>
      </x:c>
      <x:c r="H1615" s="2" t="str">
        <x:f>IF('Design &amp; Insights'!G243="","",'Design &amp; Insights'!G243)</x:f>
      </x:c>
      <x:c r="I1615" s="12" t="str">
        <x:f>IF('Design &amp; Insights'!H243="","",'Design &amp; Insights'!H243)</x:f>
      </x:c>
      <x:c r="J1615" s="12" t="n">
        <x:f>IF('Design &amp; Insights'!I243="","",'Design &amp; Insights'!I243)</x:f>
        <x:v>46203</x:v>
      </x:c>
      <x:c r="K1615" s="12" t="str">
        <x:f>IF('Design &amp; Insights'!J243="","",'Design &amp; Insights'!J243)</x:f>
      </x:c>
      <x:c r="L1615" s="2" t="str">
        <x:f>IF('Design &amp; Insights'!K243="","",'Design &amp; Insights'!K243)</x:f>
      </x:c>
      <x:c r="M1615" s="2" t="n">
        <x:f>'Design &amp; Insights'!Q243</x:f>
        <x:v>1</x:v>
      </x:c>
      <x:c r="N1615" s="2" t="str">
        <x:f>'Design &amp; Insights'!L243</x:f>
        <x:v>Not started</x:v>
      </x:c>
      <x:c r="O1615" s="2" t="str">
        <x:f>'Design &amp; Insights'!N243</x:f>
        <x:v>DI.FC.3.1.2026.CY2</x:v>
      </x:c>
      <x:c r="P1615" s="2" t="n">
        <x:f>'Design &amp; Insights'!O243</x:f>
        <x:v>0</x:v>
      </x:c>
      <x:c r="Q1615" s="2" t="n">
        <x:f>SUBTOTAL(103,O1615)</x:f>
        <x:v>1</x:v>
      </x:c>
      <x:c r="R1615" s="2" t="n">
        <x:f>IF(AND(M1615=1,OR(Dashboard!$B$7="All",Dashboard!$B$7='Cycles &amp; Guide'!$C$5),OR(Dashboard!$D$7="All",Dashboard!$D$7=B1615),OR(Dashboard!$F$7="All",Dashboard!$F$7=C1615),OR(Dashboard!$H$7="All",Dashboard!$H$7=D1615),OR(Dashboard!$K$7="All",Dashboard!$K$7=E1615)),1,0)</x:f>
        <x:v>1</x:v>
      </x:c>
      <x:c r="S1615" s="2" t="n">
        <x:f>IF(R1615=1,SUM($R$10:R1615),0)</x:f>
        <x:v>1242</x:v>
      </x:c>
      <x:c r="T1615" s="2" t="str">
        <x:v>Design &amp; Insights</x:v>
      </x:c>
      <x:c r="U1615" s="2" t="n">
        <x:v>243</x:v>
      </x:c>
      <x:c r="V1615" s="2" t="n">
        <x:f>IF(AND(M1615=1,P1615=0,ISNUMBER(J1615),J1615&lt;TODAY()),1,0)</x:f>
        <x:v>1</x:v>
      </x:c>
      <x:c r="W1615" s="2" t="str">
        <x:f>'Design &amp; Insights'!M243</x:f>
        <x:v>Task</x:v>
      </x:c>
    </x:row>
    <x:row r="1616" ht="40" customHeight="1">
      <x:c r="A1616" s="3" t="str">
        <x:f>HYPERLINK("#'Design &amp; Insights'!A244","Open")</x:f>
        <x:v>Open</x:v>
      </x:c>
      <x:c r="B1616" s="2" t="str">
        <x:f>'Design &amp; Insights'!B244</x:f>
        <x:v>Cycle 2</x:v>
      </x:c>
      <x:c r="C1616" s="2" t="str">
        <x:f>'Design &amp; Insights'!C244</x:f>
        <x:v>Phase 3</x:v>
      </x:c>
      <x:c r="D1616" s="2" t="str">
        <x:f>'Design &amp; Insights'!D244</x:f>
        <x:v>FCM</x:v>
      </x:c>
      <x:c r="E1616" s="2" t="str">
        <x:v>Design &amp; Insights</x:v>
      </x:c>
      <x:c r="F1616" s="56" t="str">
        <x:f>'Design &amp; Insights'!E244</x:f>
        <x:v>DI.FC.3.2</x:v>
      </x:c>
      <x:c r="G1616" s="14" t="str">
        <x:f>'Design &amp; Insights'!F244</x:f>
        <x:v>Schedule pre-socialization meeting 1 week prior to RCA Forum</x:v>
      </x:c>
      <x:c r="H1616" s="2" t="str">
        <x:f>IF('Design &amp; Insights'!G244="","",'Design &amp; Insights'!G244)</x:f>
      </x:c>
      <x:c r="I1616" s="12" t="str">
        <x:f>IF('Design &amp; Insights'!H244="","",'Design &amp; Insights'!H244)</x:f>
      </x:c>
      <x:c r="J1616" s="12" t="str">
        <x:f>IF('Design &amp; Insights'!I244="","",'Design &amp; Insights'!I244)</x:f>
      </x:c>
      <x:c r="K1616" s="12" t="str">
        <x:f>IF('Design &amp; Insights'!J244="","",'Design &amp; Insights'!J244)</x:f>
      </x:c>
      <x:c r="L1616" s="2" t="str">
        <x:f>IF('Design &amp; Insights'!K244="","",'Design &amp; Insights'!K244)</x:f>
      </x:c>
      <x:c r="M1616" s="2" t="n">
        <x:f>'Design &amp; Insights'!Q244</x:f>
        <x:v>1</x:v>
      </x:c>
      <x:c r="N1616" s="2" t="str">
        <x:f>'Design &amp; Insights'!L244</x:f>
        <x:v>Not started</x:v>
      </x:c>
      <x:c r="O1616" s="2" t="str">
        <x:f>'Design &amp; Insights'!N244</x:f>
        <x:v>DI.FC.3.2.2026.CY2</x:v>
      </x:c>
      <x:c r="P1616" s="2" t="n">
        <x:f>'Design &amp; Insights'!O244</x:f>
        <x:v>0</x:v>
      </x:c>
      <x:c r="Q1616" s="2" t="n">
        <x:f>SUBTOTAL(103,O1616)</x:f>
        <x:v>1</x:v>
      </x:c>
      <x:c r="R1616" s="2" t="n">
        <x:f>IF(AND(M1616=1,OR(Dashboard!$B$7="All",Dashboard!$B$7='Cycles &amp; Guide'!$C$5),OR(Dashboard!$D$7="All",Dashboard!$D$7=B1616),OR(Dashboard!$F$7="All",Dashboard!$F$7=C1616),OR(Dashboard!$H$7="All",Dashboard!$H$7=D1616),OR(Dashboard!$K$7="All",Dashboard!$K$7=E1616)),1,0)</x:f>
        <x:v>1</x:v>
      </x:c>
      <x:c r="S1616" s="2" t="n">
        <x:f>IF(R1616=1,SUM($R$10:R1616),0)</x:f>
        <x:v>1243</x:v>
      </x:c>
      <x:c r="T1616" s="2" t="str">
        <x:v>Design &amp; Insights</x:v>
      </x:c>
      <x:c r="U1616" s="2" t="n">
        <x:v>244</x:v>
      </x:c>
      <x:c r="V1616" s="2" t="n">
        <x:f>IF(AND(M1616=1,P1616=0,ISNUMBER(J1616),J1616&lt;TODAY()),1,0)</x:f>
        <x:v>0</x:v>
      </x:c>
      <x:c r="W1616" s="2" t="str">
        <x:f>'Design &amp; Insights'!M244</x:f>
        <x:v>Task</x:v>
      </x:c>
    </x:row>
    <x:row r="1617" ht="40" customHeight="1">
      <x:c r="A1617" s="3" t="str">
        <x:f>HYPERLINK("#'Design &amp; Insights'!A245","Open")</x:f>
        <x:v>Open</x:v>
      </x:c>
      <x:c r="B1617" s="2" t="str">
        <x:f>'Design &amp; Insights'!B245</x:f>
        <x:v>Cycle 2</x:v>
      </x:c>
      <x:c r="C1617" s="2" t="str">
        <x:f>'Design &amp; Insights'!C245</x:f>
        <x:v>Phase 3</x:v>
      </x:c>
      <x:c r="D1617" s="2" t="str">
        <x:f>'Design &amp; Insights'!D245</x:f>
        <x:v>FCM</x:v>
      </x:c>
      <x:c r="E1617" s="2" t="str">
        <x:v>Design &amp; Insights</x:v>
      </x:c>
      <x:c r="F1617" s="56" t="str">
        <x:f>'Design &amp; Insights'!E245</x:f>
        <x:v>DI.FC.3.3</x:v>
      </x:c>
      <x:c r="G1617" s="14" t="str">
        <x:f>'Design &amp; Insights'!F245</x:f>
        <x:v>Present findings, conclusions, and recommendation to SMEs</x:v>
      </x:c>
      <x:c r="H1617" s="2" t="str">
        <x:f>IF('Design &amp; Insights'!G245="","",'Design &amp; Insights'!G245)</x:f>
      </x:c>
      <x:c r="I1617" s="12" t="str">
        <x:f>IF('Design &amp; Insights'!H245="","",'Design &amp; Insights'!H245)</x:f>
      </x:c>
      <x:c r="J1617" s="12" t="n">
        <x:f>IF('Design &amp; Insights'!I245="","",'Design &amp; Insights'!I245)</x:f>
        <x:v>46203</x:v>
      </x:c>
      <x:c r="K1617" s="12" t="str">
        <x:f>IF('Design &amp; Insights'!J245="","",'Design &amp; Insights'!J245)</x:f>
      </x:c>
      <x:c r="L1617" s="2" t="str">
        <x:f>IF('Design &amp; Insights'!K245="","",'Design &amp; Insights'!K245)</x:f>
      </x:c>
      <x:c r="M1617" s="2" t="n">
        <x:f>'Design &amp; Insights'!Q245</x:f>
        <x:v>1</x:v>
      </x:c>
      <x:c r="N1617" s="2" t="str">
        <x:f>'Design &amp; Insights'!L245</x:f>
        <x:v>Not started</x:v>
      </x:c>
      <x:c r="O1617" s="2" t="str">
        <x:f>'Design &amp; Insights'!N245</x:f>
        <x:v>DI.FC.3.3.2026.CY2</x:v>
      </x:c>
      <x:c r="P1617" s="2" t="n">
        <x:f>'Design &amp; Insights'!O245</x:f>
        <x:v>0</x:v>
      </x:c>
      <x:c r="Q1617" s="2" t="n">
        <x:f>SUBTOTAL(103,O1617)</x:f>
        <x:v>1</x:v>
      </x:c>
      <x:c r="R1617" s="2" t="n">
        <x:f>IF(AND(M1617=1,OR(Dashboard!$B$7="All",Dashboard!$B$7='Cycles &amp; Guide'!$C$5),OR(Dashboard!$D$7="All",Dashboard!$D$7=B1617),OR(Dashboard!$F$7="All",Dashboard!$F$7=C1617),OR(Dashboard!$H$7="All",Dashboard!$H$7=D1617),OR(Dashboard!$K$7="All",Dashboard!$K$7=E1617)),1,0)</x:f>
        <x:v>1</x:v>
      </x:c>
      <x:c r="S1617" s="2" t="n">
        <x:f>IF(R1617=1,SUM($R$10:R1617),0)</x:f>
        <x:v>1244</x:v>
      </x:c>
      <x:c r="T1617" s="2" t="str">
        <x:v>Design &amp; Insights</x:v>
      </x:c>
      <x:c r="U1617" s="2" t="n">
        <x:v>245</x:v>
      </x:c>
      <x:c r="V1617" s="2" t="n">
        <x:f>IF(AND(M1617=1,P1617=0,ISNUMBER(J1617),J1617&lt;TODAY()),1,0)</x:f>
        <x:v>1</x:v>
      </x:c>
      <x:c r="W1617" s="2" t="str">
        <x:f>'Design &amp; Insights'!M245</x:f>
        <x:v>Task</x:v>
      </x:c>
    </x:row>
    <x:row r="1618" ht="40" customHeight="1">
      <x:c r="A1618" s="3" t="str">
        <x:f>HYPERLINK("#'Design &amp; Insights'!A246","Open")</x:f>
        <x:v>Open</x:v>
      </x:c>
      <x:c r="B1618" s="2" t="str">
        <x:f>'Design &amp; Insights'!B246</x:f>
        <x:v>Cycle 2</x:v>
      </x:c>
      <x:c r="C1618" s="2" t="str">
        <x:f>'Design &amp; Insights'!C246</x:f>
        <x:v>Phase 3</x:v>
      </x:c>
      <x:c r="D1618" s="2" t="str">
        <x:f>'Design &amp; Insights'!D246</x:f>
        <x:v>FCM</x:v>
      </x:c>
      <x:c r="E1618" s="2" t="str">
        <x:v>Design &amp; Insights</x:v>
      </x:c>
      <x:c r="F1618" s="56" t="str">
        <x:f>'Design &amp; Insights'!E246</x:f>
        <x:v>DI.FC.3.4</x:v>
      </x:c>
      <x:c r="G1618" s="14" t="str">
        <x:f>'Design &amp; Insights'!F246</x:f>
        <x:v>Update Outcome portion of research plan (as needed)</x:v>
      </x:c>
      <x:c r="H1618" s="2" t="str">
        <x:f>IF('Design &amp; Insights'!G246="","",'Design &amp; Insights'!G246)</x:f>
      </x:c>
      <x:c r="I1618" s="12" t="str">
        <x:f>IF('Design &amp; Insights'!H246="","",'Design &amp; Insights'!H246)</x:f>
      </x:c>
      <x:c r="J1618" s="12" t="n">
        <x:f>IF('Design &amp; Insights'!I246="","",'Design &amp; Insights'!I246)</x:f>
        <x:v>46203</x:v>
      </x:c>
      <x:c r="K1618" s="12" t="str">
        <x:f>IF('Design &amp; Insights'!J246="","",'Design &amp; Insights'!J246)</x:f>
      </x:c>
      <x:c r="L1618" s="2" t="str">
        <x:f>IF('Design &amp; Insights'!K246="","",'Design &amp; Insights'!K246)</x:f>
      </x:c>
      <x:c r="M1618" s="2" t="n">
        <x:f>'Design &amp; Insights'!Q246</x:f>
        <x:v>1</x:v>
      </x:c>
      <x:c r="N1618" s="2" t="str">
        <x:f>'Design &amp; Insights'!L246</x:f>
        <x:v>Not started</x:v>
      </x:c>
      <x:c r="O1618" s="2" t="str">
        <x:f>'Design &amp; Insights'!N246</x:f>
        <x:v>DI.FC.3.4.2026.CY2</x:v>
      </x:c>
      <x:c r="P1618" s="2" t="n">
        <x:f>'Design &amp; Insights'!O246</x:f>
        <x:v>0</x:v>
      </x:c>
      <x:c r="Q1618" s="2" t="n">
        <x:f>SUBTOTAL(103,O1618)</x:f>
        <x:v>1</x:v>
      </x:c>
      <x:c r="R1618" s="2" t="n">
        <x:f>IF(AND(M1618=1,OR(Dashboard!$B$7="All",Dashboard!$B$7='Cycles &amp; Guide'!$C$5),OR(Dashboard!$D$7="All",Dashboard!$D$7=B1618),OR(Dashboard!$F$7="All",Dashboard!$F$7=C1618),OR(Dashboard!$H$7="All",Dashboard!$H$7=D1618),OR(Dashboard!$K$7="All",Dashboard!$K$7=E1618)),1,0)</x:f>
        <x:v>1</x:v>
      </x:c>
      <x:c r="S1618" s="2" t="n">
        <x:f>IF(R1618=1,SUM($R$10:R1618),0)</x:f>
        <x:v>1245</x:v>
      </x:c>
      <x:c r="T1618" s="2" t="str">
        <x:v>Design &amp; Insights</x:v>
      </x:c>
      <x:c r="U1618" s="2" t="n">
        <x:v>246</x:v>
      </x:c>
      <x:c r="V1618" s="2" t="n">
        <x:f>IF(AND(M1618=1,P1618=0,ISNUMBER(J1618),J1618&lt;TODAY()),1,0)</x:f>
        <x:v>1</x:v>
      </x:c>
      <x:c r="W1618" s="2" t="str">
        <x:f>'Design &amp; Insights'!M246</x:f>
        <x:v>Task</x:v>
      </x:c>
    </x:row>
    <x:row r="1619" ht="40" customHeight="1">
      <x:c r="A1619" s="3" t="str">
        <x:f>HYPERLINK("#'Design &amp; Insights'!A247","Open")</x:f>
        <x:v>Open</x:v>
      </x:c>
      <x:c r="B1619" s="2" t="str">
        <x:f>'Design &amp; Insights'!B247</x:f>
        <x:v>Cycle 2</x:v>
      </x:c>
      <x:c r="C1619" s="2" t="str">
        <x:f>'Design &amp; Insights'!C247</x:f>
        <x:v>Phase 3</x:v>
      </x:c>
      <x:c r="D1619" s="2" t="str">
        <x:f>'Design &amp; Insights'!D247</x:f>
        <x:v>FCM</x:v>
      </x:c>
      <x:c r="E1619" s="2" t="str">
        <x:v>Design &amp; Insights</x:v>
      </x:c>
      <x:c r="F1619" s="56" t="str">
        <x:f>'Design &amp; Insights'!E247</x:f>
        <x:v>DI.FC.3.5</x:v>
      </x:c>
      <x:c r="G1619" s="14" t="str">
        <x:f>'Design &amp; Insights'!F247</x:f>
        <x:v>Finalize presentation deck by incorporating pre-socialization feedback (as needed)</x:v>
      </x:c>
      <x:c r="H1619" s="2" t="str">
        <x:f>IF('Design &amp; Insights'!G247="","",'Design &amp; Insights'!G247)</x:f>
      </x:c>
      <x:c r="I1619" s="12" t="str">
        <x:f>IF('Design &amp; Insights'!H247="","",'Design &amp; Insights'!H247)</x:f>
      </x:c>
      <x:c r="J1619" s="12" t="n">
        <x:f>IF('Design &amp; Insights'!I247="","",'Design &amp; Insights'!I247)</x:f>
        <x:v>46203</x:v>
      </x:c>
      <x:c r="K1619" s="12" t="str">
        <x:f>IF('Design &amp; Insights'!J247="","",'Design &amp; Insights'!J247)</x:f>
      </x:c>
      <x:c r="L1619" s="2" t="str">
        <x:f>IF('Design &amp; Insights'!K247="","",'Design &amp; Insights'!K247)</x:f>
      </x:c>
      <x:c r="M1619" s="2" t="n">
        <x:f>'Design &amp; Insights'!Q247</x:f>
        <x:v>1</x:v>
      </x:c>
      <x:c r="N1619" s="2" t="str">
        <x:f>'Design &amp; Insights'!L247</x:f>
        <x:v>Not started</x:v>
      </x:c>
      <x:c r="O1619" s="2" t="str">
        <x:f>'Design &amp; Insights'!N247</x:f>
        <x:v>DI.FC.3.5.2026.CY2</x:v>
      </x:c>
      <x:c r="P1619" s="2" t="n">
        <x:f>'Design &amp; Insights'!O247</x:f>
        <x:v>0</x:v>
      </x:c>
      <x:c r="Q1619" s="2" t="n">
        <x:f>SUBTOTAL(103,O1619)</x:f>
        <x:v>1</x:v>
      </x:c>
      <x:c r="R1619" s="2" t="n">
        <x:f>IF(AND(M1619=1,OR(Dashboard!$B$7="All",Dashboard!$B$7='Cycles &amp; Guide'!$C$5),OR(Dashboard!$D$7="All",Dashboard!$D$7=B1619),OR(Dashboard!$F$7="All",Dashboard!$F$7=C1619),OR(Dashboard!$H$7="All",Dashboard!$H$7=D1619),OR(Dashboard!$K$7="All",Dashboard!$K$7=E1619)),1,0)</x:f>
        <x:v>1</x:v>
      </x:c>
      <x:c r="S1619" s="2" t="n">
        <x:f>IF(R1619=1,SUM($R$10:R1619),0)</x:f>
        <x:v>1246</x:v>
      </x:c>
      <x:c r="T1619" s="2" t="str">
        <x:v>Design &amp; Insights</x:v>
      </x:c>
      <x:c r="U1619" s="2" t="n">
        <x:v>247</x:v>
      </x:c>
      <x:c r="V1619" s="2" t="n">
        <x:f>IF(AND(M1619=1,P1619=0,ISNUMBER(J1619),J1619&lt;TODAY()),1,0)</x:f>
        <x:v>1</x:v>
      </x:c>
      <x:c r="W1619" s="2" t="str">
        <x:f>'Design &amp; Insights'!M247</x:f>
        <x:v>Task</x:v>
      </x:c>
    </x:row>
    <x:row r="1620" ht="40" customHeight="1">
      <x:c r="A1620" s="3" t="str">
        <x:f>HYPERLINK("#'Design &amp; Insights'!A248","Open")</x:f>
        <x:v>Open</x:v>
      </x:c>
      <x:c r="B1620" s="2" t="str">
        <x:f>'Design &amp; Insights'!B248</x:f>
        <x:v>Cycle 2</x:v>
      </x:c>
      <x:c r="C1620" s="2" t="str">
        <x:f>'Design &amp; Insights'!C248</x:f>
        <x:v>Phase 3</x:v>
      </x:c>
      <x:c r="D1620" s="2" t="str">
        <x:f>'Design &amp; Insights'!D248</x:f>
        <x:v>FCM</x:v>
      </x:c>
      <x:c r="E1620" s="2" t="str">
        <x:v>Design &amp; Insights</x:v>
      </x:c>
      <x:c r="F1620" s="56" t="str">
        <x:f>'Design &amp; Insights'!E248</x:f>
        <x:v>DI.FC.3.6</x:v>
      </x:c>
      <x:c r="G1620" s="14" t="str">
        <x:f>'Design &amp; Insights'!F248</x:f>
        <x:v>Ensure final deck is communicated to Forum attendees</x:v>
      </x:c>
      <x:c r="H1620" s="2" t="str">
        <x:f>IF('Design &amp; Insights'!G248="","",'Design &amp; Insights'!G248)</x:f>
      </x:c>
      <x:c r="I1620" s="12" t="str">
        <x:f>IF('Design &amp; Insights'!H248="","",'Design &amp; Insights'!H248)</x:f>
      </x:c>
      <x:c r="J1620" s="12" t="n">
        <x:f>IF('Design &amp; Insights'!I248="","",'Design &amp; Insights'!I248)</x:f>
        <x:v>46203</x:v>
      </x:c>
      <x:c r="K1620" s="12" t="str">
        <x:f>IF('Design &amp; Insights'!J248="","",'Design &amp; Insights'!J248)</x:f>
      </x:c>
      <x:c r="L1620" s="2" t="str">
        <x:f>IF('Design &amp; Insights'!K248="","",'Design &amp; Insights'!K248)</x:f>
      </x:c>
      <x:c r="M1620" s="2" t="n">
        <x:f>'Design &amp; Insights'!Q248</x:f>
        <x:v>1</x:v>
      </x:c>
      <x:c r="N1620" s="2" t="str">
        <x:f>'Design &amp; Insights'!L248</x:f>
        <x:v>Not started</x:v>
      </x:c>
      <x:c r="O1620" s="2" t="str">
        <x:f>'Design &amp; Insights'!N248</x:f>
        <x:v>DI.FC.3.6.2026.CY2</x:v>
      </x:c>
      <x:c r="P1620" s="2" t="n">
        <x:f>'Design &amp; Insights'!O248</x:f>
        <x:v>0</x:v>
      </x:c>
      <x:c r="Q1620" s="2" t="n">
        <x:f>SUBTOTAL(103,O1620)</x:f>
        <x:v>1</x:v>
      </x:c>
      <x:c r="R1620" s="2" t="n">
        <x:f>IF(AND(M1620=1,OR(Dashboard!$B$7="All",Dashboard!$B$7='Cycles &amp; Guide'!$C$5),OR(Dashboard!$D$7="All",Dashboard!$D$7=B1620),OR(Dashboard!$F$7="All",Dashboard!$F$7=C1620),OR(Dashboard!$H$7="All",Dashboard!$H$7=D1620),OR(Dashboard!$K$7="All",Dashboard!$K$7=E1620)),1,0)</x:f>
        <x:v>1</x:v>
      </x:c>
      <x:c r="S1620" s="2" t="n">
        <x:f>IF(R1620=1,SUM($R$10:R1620),0)</x:f>
        <x:v>1247</x:v>
      </x:c>
      <x:c r="T1620" s="2" t="str">
        <x:v>Design &amp; Insights</x:v>
      </x:c>
      <x:c r="U1620" s="2" t="n">
        <x:v>248</x:v>
      </x:c>
      <x:c r="V1620" s="2" t="n">
        <x:f>IF(AND(M1620=1,P1620=0,ISNUMBER(J1620),J1620&lt;TODAY()),1,0)</x:f>
        <x:v>1</x:v>
      </x:c>
      <x:c r="W1620" s="2" t="str">
        <x:f>'Design &amp; Insights'!M248</x:f>
        <x:v>Task</x:v>
      </x:c>
    </x:row>
    <x:row r="1621" ht="40" customHeight="1">
      <x:c r="A1621" s="3" t="str">
        <x:f>HYPERLINK("#'Design &amp; Insights'!A249","Open")</x:f>
        <x:v>Open</x:v>
      </x:c>
      <x:c r="B1621" s="2" t="str">
        <x:f>'Design &amp; Insights'!B249</x:f>
        <x:v>Cycle 2</x:v>
      </x:c>
      <x:c r="C1621" s="2" t="str">
        <x:f>'Design &amp; Insights'!C249</x:f>
        <x:v>Phase 3</x:v>
      </x:c>
      <x:c r="D1621" s="2" t="str">
        <x:f>'Design &amp; Insights'!D249</x:f>
        <x:v>FCM</x:v>
      </x:c>
      <x:c r="E1621" s="2" t="str">
        <x:v>Design &amp; Insights</x:v>
      </x:c>
      <x:c r="F1621" s="56" t="str">
        <x:f>'Design &amp; Insights'!E249</x:f>
        <x:v>DI.FC.3.7</x:v>
      </x:c>
      <x:c r="G1621" s="14" t="str">
        <x:f>'Design &amp; Insights'!F249</x:f>
        <x:v>Present material in RCA Cycle Forum</x:v>
      </x:c>
      <x:c r="H1621" s="2" t="str">
        <x:f>IF('Design &amp; Insights'!G249="","",'Design &amp; Insights'!G249)</x:f>
      </x:c>
      <x:c r="I1621" s="12" t="str">
        <x:f>IF('Design &amp; Insights'!H249="","",'Design &amp; Insights'!H249)</x:f>
      </x:c>
      <x:c r="J1621" s="12" t="str">
        <x:f>IF('Design &amp; Insights'!I249="","",'Design &amp; Insights'!I249)</x:f>
      </x:c>
      <x:c r="K1621" s="12" t="str">
        <x:f>IF('Design &amp; Insights'!J249="","",'Design &amp; Insights'!J249)</x:f>
      </x:c>
      <x:c r="L1621" s="2" t="str">
        <x:f>IF('Design &amp; Insights'!K249="","",'Design &amp; Insights'!K249)</x:f>
      </x:c>
      <x:c r="M1621" s="2" t="n">
        <x:f>'Design &amp; Insights'!Q249</x:f>
        <x:v>1</x:v>
      </x:c>
      <x:c r="N1621" s="2" t="str">
        <x:f>'Design &amp; Insights'!L249</x:f>
        <x:v>Not started</x:v>
      </x:c>
      <x:c r="O1621" s="2" t="str">
        <x:f>'Design &amp; Insights'!N249</x:f>
        <x:v>DI.FC.3.7.2026.CY2</x:v>
      </x:c>
      <x:c r="P1621" s="2" t="n">
        <x:f>'Design &amp; Insights'!O249</x:f>
        <x:v>0</x:v>
      </x:c>
      <x:c r="Q1621" s="2" t="n">
        <x:f>SUBTOTAL(103,O1621)</x:f>
        <x:v>1</x:v>
      </x:c>
      <x:c r="R1621" s="2" t="n">
        <x:f>IF(AND(M1621=1,OR(Dashboard!$B$7="All",Dashboard!$B$7='Cycles &amp; Guide'!$C$5),OR(Dashboard!$D$7="All",Dashboard!$D$7=B1621),OR(Dashboard!$F$7="All",Dashboard!$F$7=C1621),OR(Dashboard!$H$7="All",Dashboard!$H$7=D1621),OR(Dashboard!$K$7="All",Dashboard!$K$7=E1621)),1,0)</x:f>
        <x:v>1</x:v>
      </x:c>
      <x:c r="S1621" s="2" t="n">
        <x:f>IF(R1621=1,SUM($R$10:R1621),0)</x:f>
        <x:v>1248</x:v>
      </x:c>
      <x:c r="T1621" s="2" t="str">
        <x:v>Design &amp; Insights</x:v>
      </x:c>
      <x:c r="U1621" s="2" t="n">
        <x:v>249</x:v>
      </x:c>
      <x:c r="V1621" s="2" t="n">
        <x:f>IF(AND(M1621=1,P1621=0,ISNUMBER(J1621),J1621&lt;TODAY()),1,0)</x:f>
        <x:v>0</x:v>
      </x:c>
      <x:c r="W1621" s="2" t="str">
        <x:f>'Design &amp; Insights'!M249</x:f>
        <x:v>Task</x:v>
      </x:c>
    </x:row>
    <x:row r="1622" ht="40" customHeight="1">
      <x:c r="A1622" s="3" t="str">
        <x:f>HYPERLINK("#'Design &amp; Insights'!A250","Open")</x:f>
        <x:v>Open</x:v>
      </x:c>
      <x:c r="B1622" s="2" t="str">
        <x:f>'Design &amp; Insights'!B250</x:f>
        <x:v>Cycle 2</x:v>
      </x:c>
      <x:c r="C1622" s="2" t="str">
        <x:f>'Design &amp; Insights'!C250</x:f>
        <x:v>Phase 1</x:v>
      </x:c>
      <x:c r="D1622" s="2" t="str">
        <x:f>'Design &amp; Insights'!D250</x:f>
        <x:v>PLL</x:v>
      </x:c>
      <x:c r="E1622" s="2" t="str">
        <x:v>Design &amp; Insights</x:v>
      </x:c>
      <x:c r="F1622" s="56" t="str">
        <x:f>'Design &amp; Insights'!E250</x:f>
        <x:v>DI.PL.1.1</x:v>
      </x:c>
      <x:c r="G1622" s="14" t="str">
        <x:f>'Design &amp; Insights'!F250</x:f>
        <x:v>Receive and review potential research topics at least 2 weeks prior to Cycle start date</x:v>
      </x:c>
      <x:c r="H1622" s="2" t="str">
        <x:f>IF('Design &amp; Insights'!G250="","",'Design &amp; Insights'!G250)</x:f>
      </x:c>
      <x:c r="I1622" s="12" t="str">
        <x:f>IF('Design &amp; Insights'!H250="","",'Design &amp; Insights'!H250)</x:f>
      </x:c>
      <x:c r="J1622" s="12" t="n">
        <x:f>IF('Design &amp; Insights'!I250="","",'Design &amp; Insights'!I250)</x:f>
        <x:v>46099</x:v>
      </x:c>
      <x:c r="K1622" s="12" t="str">
        <x:f>IF('Design &amp; Insights'!J250="","",'Design &amp; Insights'!J250)</x:f>
      </x:c>
      <x:c r="L1622" s="2" t="str">
        <x:f>IF('Design &amp; Insights'!K250="","",'Design &amp; Insights'!K250)</x:f>
      </x:c>
      <x:c r="M1622" s="2" t="n">
        <x:f>'Design &amp; Insights'!Q250</x:f>
        <x:v>1</x:v>
      </x:c>
      <x:c r="N1622" s="2" t="str">
        <x:f>'Design &amp; Insights'!L250</x:f>
        <x:v>Not started</x:v>
      </x:c>
      <x:c r="O1622" s="2" t="str">
        <x:f>'Design &amp; Insights'!N250</x:f>
        <x:v>DI.PL.1.1.2026.CY2</x:v>
      </x:c>
      <x:c r="P1622" s="2" t="n">
        <x:f>'Design &amp; Insights'!O250</x:f>
        <x:v>0</x:v>
      </x:c>
      <x:c r="Q1622" s="2" t="n">
        <x:f>SUBTOTAL(103,O1622)</x:f>
        <x:v>1</x:v>
      </x:c>
      <x:c r="R1622" s="2" t="n">
        <x:f>IF(AND(M1622=1,OR(Dashboard!$B$7="All",Dashboard!$B$7='Cycles &amp; Guide'!$C$5),OR(Dashboard!$D$7="All",Dashboard!$D$7=B1622),OR(Dashboard!$F$7="All",Dashboard!$F$7=C1622),OR(Dashboard!$H$7="All",Dashboard!$H$7=D1622),OR(Dashboard!$K$7="All",Dashboard!$K$7=E1622)),1,0)</x:f>
        <x:v>1</x:v>
      </x:c>
      <x:c r="S1622" s="2" t="n">
        <x:f>IF(R1622=1,SUM($R$10:R1622),0)</x:f>
        <x:v>1249</x:v>
      </x:c>
      <x:c r="T1622" s="2" t="str">
        <x:v>Design &amp; Insights</x:v>
      </x:c>
      <x:c r="U1622" s="2" t="n">
        <x:v>250</x:v>
      </x:c>
      <x:c r="V1622" s="2" t="n">
        <x:f>IF(AND(M1622=1,P1622=0,ISNUMBER(J1622),J1622&lt;TODAY()),1,0)</x:f>
        <x:v>1</x:v>
      </x:c>
      <x:c r="W1622" s="2" t="str">
        <x:f>'Design &amp; Insights'!M250</x:f>
        <x:v>Task</x:v>
      </x:c>
    </x:row>
    <x:row r="1623" ht="40" customHeight="1">
      <x:c r="A1623" s="3" t="str">
        <x:f>HYPERLINK("#'Design &amp; Insights'!A251","Open")</x:f>
        <x:v>Open</x:v>
      </x:c>
      <x:c r="B1623" s="2" t="str">
        <x:f>'Design &amp; Insights'!B251</x:f>
        <x:v>Cycle 2</x:v>
      </x:c>
      <x:c r="C1623" s="2" t="str">
        <x:f>'Design &amp; Insights'!C251</x:f>
        <x:v>Phase 1</x:v>
      </x:c>
      <x:c r="D1623" s="2" t="str">
        <x:f>'Design &amp; Insights'!D251</x:f>
        <x:v>PLL</x:v>
      </x:c>
      <x:c r="E1623" s="2" t="str">
        <x:v>Design &amp; Insights</x:v>
      </x:c>
      <x:c r="F1623" s="56" t="str">
        <x:f>'Design &amp; Insights'!E251</x:f>
        <x:v>DI.PL.1.2</x:v>
      </x:c>
      <x:c r="G1623" s="14" t="str">
        <x:f>'Design &amp; Insights'!F251</x:f>
        <x:v>Communicate any feedback on preferences or concerns with topics identified</x:v>
      </x:c>
      <x:c r="H1623" s="2" t="str">
        <x:f>IF('Design &amp; Insights'!G251="","",'Design &amp; Insights'!G251)</x:f>
      </x:c>
      <x:c r="I1623" s="12" t="str">
        <x:f>IF('Design &amp; Insights'!H251="","",'Design &amp; Insights'!H251)</x:f>
      </x:c>
      <x:c r="J1623" s="12" t="n">
        <x:f>IF('Design &amp; Insights'!I251="","",'Design &amp; Insights'!I251)</x:f>
        <x:v>46203</x:v>
      </x:c>
      <x:c r="K1623" s="12" t="str">
        <x:f>IF('Design &amp; Insights'!J251="","",'Design &amp; Insights'!J251)</x:f>
      </x:c>
      <x:c r="L1623" s="2" t="str">
        <x:f>IF('Design &amp; Insights'!K251="","",'Design &amp; Insights'!K251)</x:f>
      </x:c>
      <x:c r="M1623" s="2" t="n">
        <x:f>'Design &amp; Insights'!Q251</x:f>
        <x:v>1</x:v>
      </x:c>
      <x:c r="N1623" s="2" t="str">
        <x:f>'Design &amp; Insights'!L251</x:f>
        <x:v>Not started</x:v>
      </x:c>
      <x:c r="O1623" s="2" t="str">
        <x:f>'Design &amp; Insights'!N251</x:f>
        <x:v>DI.PL.1.2.2026.CY2</x:v>
      </x:c>
      <x:c r="P1623" s="2" t="n">
        <x:f>'Design &amp; Insights'!O251</x:f>
        <x:v>0</x:v>
      </x:c>
      <x:c r="Q1623" s="2" t="n">
        <x:f>SUBTOTAL(103,O1623)</x:f>
        <x:v>1</x:v>
      </x:c>
      <x:c r="R1623" s="2" t="n">
        <x:f>IF(AND(M1623=1,OR(Dashboard!$B$7="All",Dashboard!$B$7='Cycles &amp; Guide'!$C$5),OR(Dashboard!$D$7="All",Dashboard!$D$7=B1623),OR(Dashboard!$F$7="All",Dashboard!$F$7=C1623),OR(Dashboard!$H$7="All",Dashboard!$H$7=D1623),OR(Dashboard!$K$7="All",Dashboard!$K$7=E1623)),1,0)</x:f>
        <x:v>1</x:v>
      </x:c>
      <x:c r="S1623" s="2" t="n">
        <x:f>IF(R1623=1,SUM($R$10:R1623),0)</x:f>
        <x:v>1250</x:v>
      </x:c>
      <x:c r="T1623" s="2" t="str">
        <x:v>Design &amp; Insights</x:v>
      </x:c>
      <x:c r="U1623" s="2" t="n">
        <x:v>251</x:v>
      </x:c>
      <x:c r="V1623" s="2" t="n">
        <x:f>IF(AND(M1623=1,P1623=0,ISNUMBER(J1623),J1623&lt;TODAY()),1,0)</x:f>
        <x:v>1</x:v>
      </x:c>
      <x:c r="W1623" s="2" t="str">
        <x:f>'Design &amp; Insights'!M251</x:f>
        <x:v>Task</x:v>
      </x:c>
    </x:row>
    <x:row r="1624" ht="40" customHeight="1">
      <x:c r="A1624" s="3" t="str">
        <x:f>HYPERLINK("#'Design &amp; Insights'!A252","Open")</x:f>
        <x:v>Open</x:v>
      </x:c>
      <x:c r="B1624" s="2" t="str">
        <x:f>'Design &amp; Insights'!B252</x:f>
        <x:v>Cycle 2</x:v>
      </x:c>
      <x:c r="C1624" s="2" t="str">
        <x:f>'Design &amp; Insights'!C252</x:f>
        <x:v>Phase 1</x:v>
      </x:c>
      <x:c r="D1624" s="2" t="str">
        <x:f>'Design &amp; Insights'!D252</x:f>
        <x:v>PLL</x:v>
      </x:c>
      <x:c r="E1624" s="2" t="str">
        <x:v>Design &amp; Insights</x:v>
      </x:c>
      <x:c r="F1624" s="56" t="str">
        <x:f>'Design &amp; Insights'!E252</x:f>
        <x:v>DI.PL.1.3</x:v>
      </x:c>
      <x:c r="G1624" s="14" t="str">
        <x:f>'Design &amp; Insights'!F252</x:f>
        <x:v>Conduct high-level preliminary review of complaints within proposed topics</x:v>
      </x:c>
      <x:c r="H1624" s="2" t="str">
        <x:f>IF('Design &amp; Insights'!G252="","",'Design &amp; Insights'!G252)</x:f>
      </x:c>
      <x:c r="I1624" s="12" t="str">
        <x:f>IF('Design &amp; Insights'!H252="","",'Design &amp; Insights'!H252)</x:f>
      </x:c>
      <x:c r="J1624" s="12" t="n">
        <x:f>IF('Design &amp; Insights'!I252="","",'Design &amp; Insights'!I252)</x:f>
        <x:v>46203</x:v>
      </x:c>
      <x:c r="K1624" s="12" t="str">
        <x:f>IF('Design &amp; Insights'!J252="","",'Design &amp; Insights'!J252)</x:f>
      </x:c>
      <x:c r="L1624" s="2" t="str">
        <x:f>IF('Design &amp; Insights'!K252="","",'Design &amp; Insights'!K252)</x:f>
      </x:c>
      <x:c r="M1624" s="2" t="n">
        <x:f>'Design &amp; Insights'!Q252</x:f>
        <x:v>1</x:v>
      </x:c>
      <x:c r="N1624" s="2" t="str">
        <x:f>'Design &amp; Insights'!L252</x:f>
        <x:v>Not started</x:v>
      </x:c>
      <x:c r="O1624" s="2" t="str">
        <x:f>'Design &amp; Insights'!N252</x:f>
        <x:v>DI.PL.1.3.2026.CY2</x:v>
      </x:c>
      <x:c r="P1624" s="2" t="n">
        <x:f>'Design &amp; Insights'!O252</x:f>
        <x:v>0</x:v>
      </x:c>
      <x:c r="Q1624" s="2" t="n">
        <x:f>SUBTOTAL(103,O1624)</x:f>
        <x:v>1</x:v>
      </x:c>
      <x:c r="R1624" s="2" t="n">
        <x:f>IF(AND(M1624=1,OR(Dashboard!$B$7="All",Dashboard!$B$7='Cycles &amp; Guide'!$C$5),OR(Dashboard!$D$7="All",Dashboard!$D$7=B1624),OR(Dashboard!$F$7="All",Dashboard!$F$7=C1624),OR(Dashboard!$H$7="All",Dashboard!$H$7=D1624),OR(Dashboard!$K$7="All",Dashboard!$K$7=E1624)),1,0)</x:f>
        <x:v>1</x:v>
      </x:c>
      <x:c r="S1624" s="2" t="n">
        <x:f>IF(R1624=1,SUM($R$10:R1624),0)</x:f>
        <x:v>1251</x:v>
      </x:c>
      <x:c r="T1624" s="2" t="str">
        <x:v>Design &amp; Insights</x:v>
      </x:c>
      <x:c r="U1624" s="2" t="n">
        <x:v>252</x:v>
      </x:c>
      <x:c r="V1624" s="2" t="n">
        <x:f>IF(AND(M1624=1,P1624=0,ISNUMBER(J1624),J1624&lt;TODAY()),1,0)</x:f>
        <x:v>1</x:v>
      </x:c>
      <x:c r="W1624" s="2" t="str">
        <x:f>'Design &amp; Insights'!M252</x:f>
        <x:v>Task</x:v>
      </x:c>
    </x:row>
    <x:row r="1625" ht="40" customHeight="1">
      <x:c r="A1625" s="3" t="str">
        <x:f>HYPERLINK("#'Design &amp; Insights'!A253","Open")</x:f>
        <x:v>Open</x:v>
      </x:c>
      <x:c r="B1625" s="2" t="str">
        <x:f>'Design &amp; Insights'!B253</x:f>
        <x:v>Cycle 2</x:v>
      </x:c>
      <x:c r="C1625" s="2" t="str">
        <x:f>'Design &amp; Insights'!C253</x:f>
        <x:v>Phase 1</x:v>
      </x:c>
      <x:c r="D1625" s="2" t="str">
        <x:f>'Design &amp; Insights'!D253</x:f>
        <x:v>PLL</x:v>
      </x:c>
      <x:c r="E1625" s="2" t="str">
        <x:v>Design &amp; Insights</x:v>
      </x:c>
      <x:c r="F1625" s="56" t="str">
        <x:f>'Design &amp; Insights'!E253</x:f>
        <x:v>DI.PL.1.4</x:v>
      </x:c>
      <x:c r="G1625" s="14" t="str">
        <x:f>'Design &amp; Insights'!F253</x:f>
        <x:v>Meet with Research to discuss which topic to select based on potential impact</x:v>
      </x:c>
      <x:c r="H1625" s="2" t="str">
        <x:f>IF('Design &amp; Insights'!G253="","",'Design &amp; Insights'!G253)</x:f>
      </x:c>
      <x:c r="I1625" s="12" t="str">
        <x:f>IF('Design &amp; Insights'!H253="","",'Design &amp; Insights'!H253)</x:f>
      </x:c>
      <x:c r="J1625" s="12" t="n">
        <x:f>IF('Design &amp; Insights'!I253="","",'Design &amp; Insights'!I253)</x:f>
        <x:v>46203</x:v>
      </x:c>
      <x:c r="K1625" s="12" t="str">
        <x:f>IF('Design &amp; Insights'!J253="","",'Design &amp; Insights'!J253)</x:f>
      </x:c>
      <x:c r="L1625" s="2" t="str">
        <x:f>IF('Design &amp; Insights'!K253="","",'Design &amp; Insights'!K253)</x:f>
      </x:c>
      <x:c r="M1625" s="2" t="n">
        <x:f>'Design &amp; Insights'!Q253</x:f>
        <x:v>1</x:v>
      </x:c>
      <x:c r="N1625" s="2" t="str">
        <x:f>'Design &amp; Insights'!L253</x:f>
        <x:v>Not started</x:v>
      </x:c>
      <x:c r="O1625" s="2" t="str">
        <x:f>'Design &amp; Insights'!N253</x:f>
        <x:v>DI.PL.1.4.2026.CY2</x:v>
      </x:c>
      <x:c r="P1625" s="2" t="n">
        <x:f>'Design &amp; Insights'!O253</x:f>
        <x:v>0</x:v>
      </x:c>
      <x:c r="Q1625" s="2" t="n">
        <x:f>SUBTOTAL(103,O1625)</x:f>
        <x:v>1</x:v>
      </x:c>
      <x:c r="R1625" s="2" t="n">
        <x:f>IF(AND(M1625=1,OR(Dashboard!$B$7="All",Dashboard!$B$7='Cycles &amp; Guide'!$C$5),OR(Dashboard!$D$7="All",Dashboard!$D$7=B1625),OR(Dashboard!$F$7="All",Dashboard!$F$7=C1625),OR(Dashboard!$H$7="All",Dashboard!$H$7=D1625),OR(Dashboard!$K$7="All",Dashboard!$K$7=E1625)),1,0)</x:f>
        <x:v>1</x:v>
      </x:c>
      <x:c r="S1625" s="2" t="n">
        <x:f>IF(R1625=1,SUM($R$10:R1625),0)</x:f>
        <x:v>1252</x:v>
      </x:c>
      <x:c r="T1625" s="2" t="str">
        <x:v>Design &amp; Insights</x:v>
      </x:c>
      <x:c r="U1625" s="2" t="n">
        <x:v>253</x:v>
      </x:c>
      <x:c r="V1625" s="2" t="n">
        <x:f>IF(AND(M1625=1,P1625=0,ISNUMBER(J1625),J1625&lt;TODAY()),1,0)</x:f>
        <x:v>1</x:v>
      </x:c>
      <x:c r="W1625" s="2" t="str">
        <x:f>'Design &amp; Insights'!M253</x:f>
        <x:v>Task</x:v>
      </x:c>
    </x:row>
    <x:row r="1626" ht="40" customHeight="1">
      <x:c r="A1626" s="3" t="str">
        <x:f>HYPERLINK("#'Design &amp; Insights'!A254","Open")</x:f>
        <x:v>Open</x:v>
      </x:c>
      <x:c r="B1626" s="2" t="str">
        <x:f>'Design &amp; Insights'!B254</x:f>
        <x:v>Cycle 2</x:v>
      </x:c>
      <x:c r="C1626" s="2" t="str">
        <x:f>'Design &amp; Insights'!C254</x:f>
        <x:v>Phase 1</x:v>
      </x:c>
      <x:c r="D1626" s="2" t="str">
        <x:f>'Design &amp; Insights'!D254</x:f>
        <x:v>PLL</x:v>
      </x:c>
      <x:c r="E1626" s="2" t="str">
        <x:v>Design &amp; Insights</x:v>
      </x:c>
      <x:c r="F1626" s="56" t="str">
        <x:f>'Design &amp; Insights'!E254</x:f>
        <x:v>DI.PL.1.5</x:v>
      </x:c>
      <x:c r="G1626" s="14" t="str">
        <x:f>'Design &amp; Insights'!F254</x:f>
        <x:v>Confirm with Research the recommended topic for approval</x:v>
      </x:c>
      <x:c r="H1626" s="2" t="str">
        <x:f>IF('Design &amp; Insights'!G254="","",'Design &amp; Insights'!G254)</x:f>
      </x:c>
      <x:c r="I1626" s="12" t="str">
        <x:f>IF('Design &amp; Insights'!H254="","",'Design &amp; Insights'!H254)</x:f>
      </x:c>
      <x:c r="J1626" s="12" t="n">
        <x:f>IF('Design &amp; Insights'!I254="","",'Design &amp; Insights'!I254)</x:f>
        <x:v>46203</x:v>
      </x:c>
      <x:c r="K1626" s="12" t="str">
        <x:f>IF('Design &amp; Insights'!J254="","",'Design &amp; Insights'!J254)</x:f>
      </x:c>
      <x:c r="L1626" s="2" t="str">
        <x:f>IF('Design &amp; Insights'!K254="","",'Design &amp; Insights'!K254)</x:f>
      </x:c>
      <x:c r="M1626" s="2" t="n">
        <x:f>'Design &amp; Insights'!Q254</x:f>
        <x:v>1</x:v>
      </x:c>
      <x:c r="N1626" s="2" t="str">
        <x:f>'Design &amp; Insights'!L254</x:f>
        <x:v>Not started</x:v>
      </x:c>
      <x:c r="O1626" s="2" t="str">
        <x:f>'Design &amp; Insights'!N254</x:f>
        <x:v>DI.PL.1.5.2026.CY2</x:v>
      </x:c>
      <x:c r="P1626" s="2" t="n">
        <x:f>'Design &amp; Insights'!O254</x:f>
        <x:v>0</x:v>
      </x:c>
      <x:c r="Q1626" s="2" t="n">
        <x:f>SUBTOTAL(103,O1626)</x:f>
        <x:v>1</x:v>
      </x:c>
      <x:c r="R1626" s="2" t="n">
        <x:f>IF(AND(M1626=1,OR(Dashboard!$B$7="All",Dashboard!$B$7='Cycles &amp; Guide'!$C$5),OR(Dashboard!$D$7="All",Dashboard!$D$7=B1626),OR(Dashboard!$F$7="All",Dashboard!$F$7=C1626),OR(Dashboard!$H$7="All",Dashboard!$H$7=D1626),OR(Dashboard!$K$7="All",Dashboard!$K$7=E1626)),1,0)</x:f>
        <x:v>1</x:v>
      </x:c>
      <x:c r="S1626" s="2" t="n">
        <x:f>IF(R1626=1,SUM($R$10:R1626),0)</x:f>
        <x:v>1253</x:v>
      </x:c>
      <x:c r="T1626" s="2" t="str">
        <x:v>Design &amp; Insights</x:v>
      </x:c>
      <x:c r="U1626" s="2" t="n">
        <x:v>254</x:v>
      </x:c>
      <x:c r="V1626" s="2" t="n">
        <x:f>IF(AND(M1626=1,P1626=0,ISNUMBER(J1626),J1626&lt;TODAY()),1,0)</x:f>
        <x:v>1</x:v>
      </x:c>
      <x:c r="W1626" s="2" t="str">
        <x:f>'Design &amp; Insights'!M254</x:f>
        <x:v>Task</x:v>
      </x:c>
    </x:row>
    <x:row r="1627" ht="40" customHeight="1">
      <x:c r="A1627" s="3" t="str">
        <x:f>HYPERLINK("#'Design &amp; Insights'!A255","Open")</x:f>
        <x:v>Open</x:v>
      </x:c>
      <x:c r="B1627" s="2" t="str">
        <x:f>'Design &amp; Insights'!B255</x:f>
        <x:v>Cycle 2</x:v>
      </x:c>
      <x:c r="C1627" s="2" t="str">
        <x:f>'Design &amp; Insights'!C255</x:f>
        <x:v>Phase 1</x:v>
      </x:c>
      <x:c r="D1627" s="2" t="str">
        <x:f>'Design &amp; Insights'!D255</x:f>
        <x:v>PLL</x:v>
      </x:c>
      <x:c r="E1627" s="2" t="str">
        <x:v>Design &amp; Insights</x:v>
      </x:c>
      <x:c r="F1627" s="56" t="str">
        <x:f>'Design &amp; Insights'!E255</x:f>
        <x:v>DI.PL.1.6</x:v>
      </x:c>
      <x:c r="G1627" s="14" t="str">
        <x:f>'Design &amp; Insights'!F255</x:f>
        <x:v>Send topic selection socialization email to all key stakeholders on the first day of the review Cycle</x:v>
      </x:c>
      <x:c r="H1627" s="2" t="str">
        <x:f>IF('Design &amp; Insights'!G255="","",'Design &amp; Insights'!G255)</x:f>
      </x:c>
      <x:c r="I1627" s="12" t="str">
        <x:f>IF('Design &amp; Insights'!H255="","",'Design &amp; Insights'!H255)</x:f>
      </x:c>
      <x:c r="J1627" s="12" t="n">
        <x:f>IF('Design &amp; Insights'!I255="","",'Design &amp; Insights'!I255)</x:f>
        <x:v>46113</x:v>
      </x:c>
      <x:c r="K1627" s="12" t="str">
        <x:f>IF('Design &amp; Insights'!J255="","",'Design &amp; Insights'!J255)</x:f>
      </x:c>
      <x:c r="L1627" s="2" t="str">
        <x:f>IF('Design &amp; Insights'!K255="","",'Design &amp; Insights'!K255)</x:f>
      </x:c>
      <x:c r="M1627" s="2" t="n">
        <x:f>'Design &amp; Insights'!Q255</x:f>
        <x:v>1</x:v>
      </x:c>
      <x:c r="N1627" s="2" t="str">
        <x:f>'Design &amp; Insights'!L255</x:f>
        <x:v>Not started</x:v>
      </x:c>
      <x:c r="O1627" s="2" t="str">
        <x:f>'Design &amp; Insights'!N255</x:f>
        <x:v>DI.PL.1.6.2026.CY2</x:v>
      </x:c>
      <x:c r="P1627" s="2" t="n">
        <x:f>'Design &amp; Insights'!O255</x:f>
        <x:v>0</x:v>
      </x:c>
      <x:c r="Q1627" s="2" t="n">
        <x:f>SUBTOTAL(103,O1627)</x:f>
        <x:v>1</x:v>
      </x:c>
      <x:c r="R1627" s="2" t="n">
        <x:f>IF(AND(M1627=1,OR(Dashboard!$B$7="All",Dashboard!$B$7='Cycles &amp; Guide'!$C$5),OR(Dashboard!$D$7="All",Dashboard!$D$7=B1627),OR(Dashboard!$F$7="All",Dashboard!$F$7=C1627),OR(Dashboard!$H$7="All",Dashboard!$H$7=D1627),OR(Dashboard!$K$7="All",Dashboard!$K$7=E1627)),1,0)</x:f>
        <x:v>1</x:v>
      </x:c>
      <x:c r="S1627" s="2" t="n">
        <x:f>IF(R1627=1,SUM($R$10:R1627),0)</x:f>
        <x:v>1254</x:v>
      </x:c>
      <x:c r="T1627" s="2" t="str">
        <x:v>Design &amp; Insights</x:v>
      </x:c>
      <x:c r="U1627" s="2" t="n">
        <x:v>255</x:v>
      </x:c>
      <x:c r="V1627" s="2" t="n">
        <x:f>IF(AND(M1627=1,P1627=0,ISNUMBER(J1627),J1627&lt;TODAY()),1,0)</x:f>
        <x:v>1</x:v>
      </x:c>
      <x:c r="W1627" s="2" t="str">
        <x:f>'Design &amp; Insights'!M255</x:f>
        <x:v>Task</x:v>
      </x:c>
    </x:row>
    <x:row r="1628" ht="40" customHeight="1">
      <x:c r="A1628" s="3" t="str">
        <x:f>HYPERLINK("#'Design &amp; Insights'!A256","Open")</x:f>
        <x:v>Open</x:v>
      </x:c>
      <x:c r="B1628" s="2" t="str">
        <x:f>'Design &amp; Insights'!B256</x:f>
        <x:v>Cycle 2</x:v>
      </x:c>
      <x:c r="C1628" s="2" t="str">
        <x:f>'Design &amp; Insights'!C256</x:f>
        <x:v>Phase 2</x:v>
      </x:c>
      <x:c r="D1628" s="2" t="str">
        <x:f>'Design &amp; Insights'!D256</x:f>
        <x:v>PLL</x:v>
      </x:c>
      <x:c r="E1628" s="2" t="str">
        <x:v>Design &amp; Insights</x:v>
      </x:c>
      <x:c r="F1628" s="56" t="str">
        <x:f>'Design &amp; Insights'!E256</x:f>
        <x:v>DI.PL.2.1</x:v>
      </x:c>
      <x:c r="G1628" s="14" t="str">
        <x:f>'Design &amp; Insights'!F256</x:f>
        <x:v>Meet regularly with Research to stay informed on progress, findings, and potential enhancement</x:v>
      </x:c>
      <x:c r="H1628" s="2" t="str">
        <x:f>IF('Design &amp; Insights'!G256="","",'Design &amp; Insights'!G256)</x:f>
      </x:c>
      <x:c r="I1628" s="12" t="str">
        <x:f>IF('Design &amp; Insights'!H256="","",'Design &amp; Insights'!H256)</x:f>
      </x:c>
      <x:c r="J1628" s="12" t="n">
        <x:f>IF('Design &amp; Insights'!I256="","",'Design &amp; Insights'!I256)</x:f>
        <x:v>46203</x:v>
      </x:c>
      <x:c r="K1628" s="12" t="str">
        <x:f>IF('Design &amp; Insights'!J256="","",'Design &amp; Insights'!J256)</x:f>
      </x:c>
      <x:c r="L1628" s="2" t="str">
        <x:f>IF('Design &amp; Insights'!K256="","",'Design &amp; Insights'!K256)</x:f>
      </x:c>
      <x:c r="M1628" s="2" t="n">
        <x:f>'Design &amp; Insights'!Q256</x:f>
        <x:v>1</x:v>
      </x:c>
      <x:c r="N1628" s="2" t="str">
        <x:f>'Design &amp; Insights'!L256</x:f>
        <x:v>Not started</x:v>
      </x:c>
      <x:c r="O1628" s="2" t="str">
        <x:f>'Design &amp; Insights'!N256</x:f>
        <x:v>DI.PL.2.1.2026.CY2</x:v>
      </x:c>
      <x:c r="P1628" s="2" t="n">
        <x:f>'Design &amp; Insights'!O256</x:f>
        <x:v>0</x:v>
      </x:c>
      <x:c r="Q1628" s="2" t="n">
        <x:f>SUBTOTAL(103,O1628)</x:f>
        <x:v>1</x:v>
      </x:c>
      <x:c r="R1628" s="2" t="n">
        <x:f>IF(AND(M1628=1,OR(Dashboard!$B$7="All",Dashboard!$B$7='Cycles &amp; Guide'!$C$5),OR(Dashboard!$D$7="All",Dashboard!$D$7=B1628),OR(Dashboard!$F$7="All",Dashboard!$F$7=C1628),OR(Dashboard!$H$7="All",Dashboard!$H$7=D1628),OR(Dashboard!$K$7="All",Dashboard!$K$7=E1628)),1,0)</x:f>
        <x:v>1</x:v>
      </x:c>
      <x:c r="S1628" s="2" t="n">
        <x:f>IF(R1628=1,SUM($R$10:R1628),0)</x:f>
        <x:v>1255</x:v>
      </x:c>
      <x:c r="T1628" s="2" t="str">
        <x:v>Design &amp; Insights</x:v>
      </x:c>
      <x:c r="U1628" s="2" t="n">
        <x:v>256</x:v>
      </x:c>
      <x:c r="V1628" s="2" t="n">
        <x:f>IF(AND(M1628=1,P1628=0,ISNUMBER(J1628),J1628&lt;TODAY()),1,0)</x:f>
        <x:v>1</x:v>
      </x:c>
      <x:c r="W1628" s="2" t="str">
        <x:f>'Design &amp; Insights'!M256</x:f>
        <x:v>Task</x:v>
      </x:c>
    </x:row>
    <x:row r="1629" ht="40" customHeight="1">
      <x:c r="A1629" s="3" t="str">
        <x:f>HYPERLINK("#'Design &amp; Insights'!A257","Open")</x:f>
        <x:v>Open</x:v>
      </x:c>
      <x:c r="B1629" s="2" t="str">
        <x:f>'Design &amp; Insights'!B257</x:f>
        <x:v>Cycle 2</x:v>
      </x:c>
      <x:c r="C1629" s="2" t="str">
        <x:f>'Design &amp; Insights'!C257</x:f>
        <x:v>Phase 2</x:v>
      </x:c>
      <x:c r="D1629" s="2" t="str">
        <x:f>'Design &amp; Insights'!D257</x:f>
        <x:v>PLL</x:v>
      </x:c>
      <x:c r="E1629" s="2" t="str">
        <x:v>Design &amp; Insights</x:v>
      </x:c>
      <x:c r="F1629" s="56" t="str">
        <x:f>'Design &amp; Insights'!E257</x:f>
        <x:v>DI.PL.2.2</x:v>
      </x:c>
      <x:c r="G1629" s="14" t="str">
        <x:f>'Design &amp; Insights'!F257</x:f>
        <x:v>Collaborate with Research on research plan specifics</x:v>
      </x:c>
      <x:c r="H1629" s="2" t="str">
        <x:f>IF('Design &amp; Insights'!G257="","",'Design &amp; Insights'!G257)</x:f>
      </x:c>
      <x:c r="I1629" s="12" t="str">
        <x:f>IF('Design &amp; Insights'!H257="","",'Design &amp; Insights'!H257)</x:f>
      </x:c>
      <x:c r="J1629" s="12" t="n">
        <x:f>IF('Design &amp; Insights'!I257="","",'Design &amp; Insights'!I257)</x:f>
        <x:v>46203</x:v>
      </x:c>
      <x:c r="K1629" s="12" t="str">
        <x:f>IF('Design &amp; Insights'!J257="","",'Design &amp; Insights'!J257)</x:f>
      </x:c>
      <x:c r="L1629" s="2" t="str">
        <x:f>IF('Design &amp; Insights'!K257="","",'Design &amp; Insights'!K257)</x:f>
      </x:c>
      <x:c r="M1629" s="2" t="n">
        <x:f>'Design &amp; Insights'!Q257</x:f>
        <x:v>1</x:v>
      </x:c>
      <x:c r="N1629" s="2" t="str">
        <x:f>'Design &amp; Insights'!L257</x:f>
        <x:v>Not started</x:v>
      </x:c>
      <x:c r="O1629" s="2" t="str">
        <x:f>'Design &amp; Insights'!N257</x:f>
        <x:v>DI.PL.2.2.2026.CY2</x:v>
      </x:c>
      <x:c r="P1629" s="2" t="n">
        <x:f>'Design &amp; Insights'!O257</x:f>
        <x:v>0</x:v>
      </x:c>
      <x:c r="Q1629" s="2" t="n">
        <x:f>SUBTOTAL(103,O1629)</x:f>
        <x:v>1</x:v>
      </x:c>
      <x:c r="R1629" s="2" t="n">
        <x:f>IF(AND(M1629=1,OR(Dashboard!$B$7="All",Dashboard!$B$7='Cycles &amp; Guide'!$C$5),OR(Dashboard!$D$7="All",Dashboard!$D$7=B1629),OR(Dashboard!$F$7="All",Dashboard!$F$7=C1629),OR(Dashboard!$H$7="All",Dashboard!$H$7=D1629),OR(Dashboard!$K$7="All",Dashboard!$K$7=E1629)),1,0)</x:f>
        <x:v>1</x:v>
      </x:c>
      <x:c r="S1629" s="2" t="n">
        <x:f>IF(R1629=1,SUM($R$10:R1629),0)</x:f>
        <x:v>1256</x:v>
      </x:c>
      <x:c r="T1629" s="2" t="str">
        <x:v>Design &amp; Insights</x:v>
      </x:c>
      <x:c r="U1629" s="2" t="n">
        <x:v>257</x:v>
      </x:c>
      <x:c r="V1629" s="2" t="n">
        <x:f>IF(AND(M1629=1,P1629=0,ISNUMBER(J1629),J1629&lt;TODAY()),1,0)</x:f>
        <x:v>1</x:v>
      </x:c>
      <x:c r="W1629" s="2" t="str">
        <x:f>'Design &amp; Insights'!M257</x:f>
        <x:v>Task</x:v>
      </x:c>
    </x:row>
    <x:row r="1630" ht="40" customHeight="1">
      <x:c r="A1630" s="3" t="str">
        <x:f>HYPERLINK("#'Design &amp; Insights'!A258","Open")</x:f>
        <x:v>Open</x:v>
      </x:c>
      <x:c r="B1630" s="2" t="str">
        <x:f>'Design &amp; Insights'!B258</x:f>
        <x:v>Cycle 2</x:v>
      </x:c>
      <x:c r="C1630" s="2" t="str">
        <x:f>'Design &amp; Insights'!C258</x:f>
        <x:v>Phase 2</x:v>
      </x:c>
      <x:c r="D1630" s="2" t="str">
        <x:f>'Design &amp; Insights'!D258</x:f>
        <x:v>PLL</x:v>
      </x:c>
      <x:c r="E1630" s="2" t="str">
        <x:v>Design &amp; Insights</x:v>
      </x:c>
      <x:c r="F1630" s="56" t="str">
        <x:f>'Design &amp; Insights'!E258</x:f>
        <x:v>DI.PL.2.3</x:v>
      </x:c>
      <x:c r="G1630" s="14" t="str">
        <x:f>'Design &amp; Insights'!F258</x:f>
        <x:v>Participate in SME insight meetings to gain perspective and appetite on potential enhancements</x:v>
      </x:c>
      <x:c r="H1630" s="2" t="str">
        <x:f>IF('Design &amp; Insights'!G258="","",'Design &amp; Insights'!G258)</x:f>
      </x:c>
      <x:c r="I1630" s="12" t="str">
        <x:f>IF('Design &amp; Insights'!H258="","",'Design &amp; Insights'!H258)</x:f>
      </x:c>
      <x:c r="J1630" s="12" t="n">
        <x:f>IF('Design &amp; Insights'!I258="","",'Design &amp; Insights'!I258)</x:f>
        <x:v>46203</x:v>
      </x:c>
      <x:c r="K1630" s="12" t="str">
        <x:f>IF('Design &amp; Insights'!J258="","",'Design &amp; Insights'!J258)</x:f>
      </x:c>
      <x:c r="L1630" s="2" t="str">
        <x:f>IF('Design &amp; Insights'!K258="","",'Design &amp; Insights'!K258)</x:f>
      </x:c>
      <x:c r="M1630" s="2" t="n">
        <x:f>'Design &amp; Insights'!Q258</x:f>
        <x:v>1</x:v>
      </x:c>
      <x:c r="N1630" s="2" t="str">
        <x:f>'Design &amp; Insights'!L258</x:f>
        <x:v>Not started</x:v>
      </x:c>
      <x:c r="O1630" s="2" t="str">
        <x:f>'Design &amp; Insights'!N258</x:f>
        <x:v>DI.PL.2.3.2026.CY2</x:v>
      </x:c>
      <x:c r="P1630" s="2" t="n">
        <x:f>'Design &amp; Insights'!O258</x:f>
        <x:v>0</x:v>
      </x:c>
      <x:c r="Q1630" s="2" t="n">
        <x:f>SUBTOTAL(103,O1630)</x:f>
        <x:v>1</x:v>
      </x:c>
      <x:c r="R1630" s="2" t="n">
        <x:f>IF(AND(M1630=1,OR(Dashboard!$B$7="All",Dashboard!$B$7='Cycles &amp; Guide'!$C$5),OR(Dashboard!$D$7="All",Dashboard!$D$7=B1630),OR(Dashboard!$F$7="All",Dashboard!$F$7=C1630),OR(Dashboard!$H$7="All",Dashboard!$H$7=D1630),OR(Dashboard!$K$7="All",Dashboard!$K$7=E1630)),1,0)</x:f>
        <x:v>1</x:v>
      </x:c>
      <x:c r="S1630" s="2" t="n">
        <x:f>IF(R1630=1,SUM($R$10:R1630),0)</x:f>
        <x:v>1257</x:v>
      </x:c>
      <x:c r="T1630" s="2" t="str">
        <x:v>Design &amp; Insights</x:v>
      </x:c>
      <x:c r="U1630" s="2" t="n">
        <x:v>258</x:v>
      </x:c>
      <x:c r="V1630" s="2" t="n">
        <x:f>IF(AND(M1630=1,P1630=0,ISNUMBER(J1630),J1630&lt;TODAY()),1,0)</x:f>
        <x:v>1</x:v>
      </x:c>
      <x:c r="W1630" s="2" t="str">
        <x:f>'Design &amp; Insights'!M258</x:f>
        <x:v>Task</x:v>
      </x:c>
    </x:row>
    <x:row r="1631" ht="40" customHeight="1">
      <x:c r="A1631" s="3" t="str">
        <x:f>HYPERLINK("#'Design &amp; Insights'!A259","Open")</x:f>
        <x:v>Open</x:v>
      </x:c>
      <x:c r="B1631" s="2" t="str">
        <x:f>'Design &amp; Insights'!B259</x:f>
        <x:v>Cycle 2</x:v>
      </x:c>
      <x:c r="C1631" s="2" t="str">
        <x:f>'Design &amp; Insights'!C259</x:f>
        <x:v>Phase 2</x:v>
      </x:c>
      <x:c r="D1631" s="2" t="str">
        <x:f>'Design &amp; Insights'!D259</x:f>
        <x:v>PLL</x:v>
      </x:c>
      <x:c r="E1631" s="2" t="str">
        <x:v>Design &amp; Insights</x:v>
      </x:c>
      <x:c r="F1631" s="56" t="str">
        <x:f>'Design &amp; Insights'!E259</x:f>
        <x:v>DI.PL.2.4</x:v>
      </x:c>
      <x:c r="G1631" s="14" t="str">
        <x:f>'Design &amp; Insights'!F259</x:f>
        <x:v>Begin development of presentation materials as Research is being completed</x:v>
      </x:c>
      <x:c r="H1631" s="2" t="str">
        <x:f>IF('Design &amp; Insights'!G259="","",'Design &amp; Insights'!G259)</x:f>
      </x:c>
      <x:c r="I1631" s="12" t="str">
        <x:f>IF('Design &amp; Insights'!H259="","",'Design &amp; Insights'!H259)</x:f>
      </x:c>
      <x:c r="J1631" s="12" t="n">
        <x:f>IF('Design &amp; Insights'!I259="","",'Design &amp; Insights'!I259)</x:f>
        <x:v>46203</x:v>
      </x:c>
      <x:c r="K1631" s="12" t="str">
        <x:f>IF('Design &amp; Insights'!J259="","",'Design &amp; Insights'!J259)</x:f>
      </x:c>
      <x:c r="L1631" s="2" t="str">
        <x:f>IF('Design &amp; Insights'!K259="","",'Design &amp; Insights'!K259)</x:f>
      </x:c>
      <x:c r="M1631" s="2" t="n">
        <x:f>'Design &amp; Insights'!Q259</x:f>
        <x:v>1</x:v>
      </x:c>
      <x:c r="N1631" s="2" t="str">
        <x:f>'Design &amp; Insights'!L259</x:f>
        <x:v>Not started</x:v>
      </x:c>
      <x:c r="O1631" s="2" t="str">
        <x:f>'Design &amp; Insights'!N259</x:f>
        <x:v>DI.PL.2.4.2026.CY2</x:v>
      </x:c>
      <x:c r="P1631" s="2" t="n">
        <x:f>'Design &amp; Insights'!O259</x:f>
        <x:v>0</x:v>
      </x:c>
      <x:c r="Q1631" s="2" t="n">
        <x:f>SUBTOTAL(103,O1631)</x:f>
        <x:v>1</x:v>
      </x:c>
      <x:c r="R1631" s="2" t="n">
        <x:f>IF(AND(M1631=1,OR(Dashboard!$B$7="All",Dashboard!$B$7='Cycles &amp; Guide'!$C$5),OR(Dashboard!$D$7="All",Dashboard!$D$7=B1631),OR(Dashboard!$F$7="All",Dashboard!$F$7=C1631),OR(Dashboard!$H$7="All",Dashboard!$H$7=D1631),OR(Dashboard!$K$7="All",Dashboard!$K$7=E1631)),1,0)</x:f>
        <x:v>1</x:v>
      </x:c>
      <x:c r="S1631" s="2" t="n">
        <x:f>IF(R1631=1,SUM($R$10:R1631),0)</x:f>
        <x:v>1258</x:v>
      </x:c>
      <x:c r="T1631" s="2" t="str">
        <x:v>Design &amp; Insights</x:v>
      </x:c>
      <x:c r="U1631" s="2" t="n">
        <x:v>259</x:v>
      </x:c>
      <x:c r="V1631" s="2" t="n">
        <x:f>IF(AND(M1631=1,P1631=0,ISNUMBER(J1631),J1631&lt;TODAY()),1,0)</x:f>
        <x:v>1</x:v>
      </x:c>
      <x:c r="W1631" s="2" t="str">
        <x:f>'Design &amp; Insights'!M259</x:f>
        <x:v>Task</x:v>
      </x:c>
    </x:row>
    <x:row r="1632" ht="40" customHeight="1">
      <x:c r="A1632" s="3" t="str">
        <x:f>HYPERLINK("#'Design &amp; Insights'!A260","Open")</x:f>
        <x:v>Open</x:v>
      </x:c>
      <x:c r="B1632" s="2" t="str">
        <x:f>'Design &amp; Insights'!B260</x:f>
        <x:v>Cycle 2</x:v>
      </x:c>
      <x:c r="C1632" s="2" t="str">
        <x:f>'Design &amp; Insights'!C260</x:f>
        <x:v>Phase 2</x:v>
      </x:c>
      <x:c r="D1632" s="2" t="str">
        <x:f>'Design &amp; Insights'!D260</x:f>
        <x:v>PLL</x:v>
      </x:c>
      <x:c r="E1632" s="2" t="str">
        <x:v>Design &amp; Insights</x:v>
      </x:c>
      <x:c r="F1632" s="56" t="str">
        <x:f>'Design &amp; Insights'!E260</x:f>
        <x:v>DI.PL.2.5</x:v>
      </x:c>
      <x:c r="G1632" s="14" t="str">
        <x:f>'Design &amp; Insights'!F260</x:f>
        <x:v>Draft initial enhancement recommendations (as applicable)</x:v>
      </x:c>
      <x:c r="H1632" s="2" t="str">
        <x:f>IF('Design &amp; Insights'!G260="","",'Design &amp; Insights'!G260)</x:f>
      </x:c>
      <x:c r="I1632" s="12" t="str">
        <x:f>IF('Design &amp; Insights'!H260="","",'Design &amp; Insights'!H260)</x:f>
      </x:c>
      <x:c r="J1632" s="12" t="n">
        <x:f>IF('Design &amp; Insights'!I260="","",'Design &amp; Insights'!I260)</x:f>
        <x:v>46203</x:v>
      </x:c>
      <x:c r="K1632" s="12" t="str">
        <x:f>IF('Design &amp; Insights'!J260="","",'Design &amp; Insights'!J260)</x:f>
      </x:c>
      <x:c r="L1632" s="2" t="str">
        <x:f>IF('Design &amp; Insights'!K260="","",'Design &amp; Insights'!K260)</x:f>
      </x:c>
      <x:c r="M1632" s="2" t="n">
        <x:f>'Design &amp; Insights'!Q260</x:f>
        <x:v>1</x:v>
      </x:c>
      <x:c r="N1632" s="2" t="str">
        <x:f>'Design &amp; Insights'!L260</x:f>
        <x:v>Not started</x:v>
      </x:c>
      <x:c r="O1632" s="2" t="str">
        <x:f>'Design &amp; Insights'!N260</x:f>
        <x:v>DI.PL.2.5.2026.CY2</x:v>
      </x:c>
      <x:c r="P1632" s="2" t="n">
        <x:f>'Design &amp; Insights'!O260</x:f>
        <x:v>0</x:v>
      </x:c>
      <x:c r="Q1632" s="2" t="n">
        <x:f>SUBTOTAL(103,O1632)</x:f>
        <x:v>1</x:v>
      </x:c>
      <x:c r="R1632" s="2" t="n">
        <x:f>IF(AND(M1632=1,OR(Dashboard!$B$7="All",Dashboard!$B$7='Cycles &amp; Guide'!$C$5),OR(Dashboard!$D$7="All",Dashboard!$D$7=B1632),OR(Dashboard!$F$7="All",Dashboard!$F$7=C1632),OR(Dashboard!$H$7="All",Dashboard!$H$7=D1632),OR(Dashboard!$K$7="All",Dashboard!$K$7=E1632)),1,0)</x:f>
        <x:v>1</x:v>
      </x:c>
      <x:c r="S1632" s="2" t="n">
        <x:f>IF(R1632=1,SUM($R$10:R1632),0)</x:f>
        <x:v>1259</x:v>
      </x:c>
      <x:c r="T1632" s="2" t="str">
        <x:v>Design &amp; Insights</x:v>
      </x:c>
      <x:c r="U1632" s="2" t="n">
        <x:v>260</x:v>
      </x:c>
      <x:c r="V1632" s="2" t="n">
        <x:f>IF(AND(M1632=1,P1632=0,ISNUMBER(J1632),J1632&lt;TODAY()),1,0)</x:f>
        <x:v>1</x:v>
      </x:c>
      <x:c r="W1632" s="2" t="str">
        <x:f>'Design &amp; Insights'!M260</x:f>
        <x:v>Task</x:v>
      </x:c>
    </x:row>
    <x:row r="1633" ht="40" customHeight="1">
      <x:c r="A1633" s="3" t="str">
        <x:f>HYPERLINK("#'Design &amp; Insights'!A261","Open")</x:f>
        <x:v>Open</x:v>
      </x:c>
      <x:c r="B1633" s="2" t="str">
        <x:f>'Design &amp; Insights'!B261</x:f>
        <x:v>Cycle 2</x:v>
      </x:c>
      <x:c r="C1633" s="2" t="str">
        <x:f>'Design &amp; Insights'!C261</x:f>
        <x:v>Phase 2</x:v>
      </x:c>
      <x:c r="D1633" s="2" t="str">
        <x:f>'Design &amp; Insights'!D261</x:f>
        <x:v>PLL</x:v>
      </x:c>
      <x:c r="E1633" s="2" t="str">
        <x:v>Design &amp; Insights</x:v>
      </x:c>
      <x:c r="F1633" s="56" t="str">
        <x:f>'Design &amp; Insights'!E261</x:f>
        <x:v>DI.PL.2.6</x:v>
      </x:c>
      <x:c r="G1633" s="14" t="str">
        <x:f>'Design &amp; Insights'!F261</x:f>
        <x:v>Finalize presentation deck draft at conclusion of Research phase</x:v>
      </x:c>
      <x:c r="H1633" s="2" t="str">
        <x:f>IF('Design &amp; Insights'!G261="","",'Design &amp; Insights'!G261)</x:f>
      </x:c>
      <x:c r="I1633" s="12" t="str">
        <x:f>IF('Design &amp; Insights'!H261="","",'Design &amp; Insights'!H261)</x:f>
      </x:c>
      <x:c r="J1633" s="12" t="n">
        <x:f>IF('Design &amp; Insights'!I261="","",'Design &amp; Insights'!I261)</x:f>
        <x:v>46203</x:v>
      </x:c>
      <x:c r="K1633" s="12" t="str">
        <x:f>IF('Design &amp; Insights'!J261="","",'Design &amp; Insights'!J261)</x:f>
      </x:c>
      <x:c r="L1633" s="2" t="str">
        <x:f>IF('Design &amp; Insights'!K261="","",'Design &amp; Insights'!K261)</x:f>
      </x:c>
      <x:c r="M1633" s="2" t="n">
        <x:f>'Design &amp; Insights'!Q261</x:f>
        <x:v>1</x:v>
      </x:c>
      <x:c r="N1633" s="2" t="str">
        <x:f>'Design &amp; Insights'!L261</x:f>
        <x:v>Not started</x:v>
      </x:c>
      <x:c r="O1633" s="2" t="str">
        <x:f>'Design &amp; Insights'!N261</x:f>
        <x:v>DI.PL.2.6.2026.CY2</x:v>
      </x:c>
      <x:c r="P1633" s="2" t="n">
        <x:f>'Design &amp; Insights'!O261</x:f>
        <x:v>0</x:v>
      </x:c>
      <x:c r="Q1633" s="2" t="n">
        <x:f>SUBTOTAL(103,O1633)</x:f>
        <x:v>1</x:v>
      </x:c>
      <x:c r="R1633" s="2" t="n">
        <x:f>IF(AND(M1633=1,OR(Dashboard!$B$7="All",Dashboard!$B$7='Cycles &amp; Guide'!$C$5),OR(Dashboard!$D$7="All",Dashboard!$D$7=B1633),OR(Dashboard!$F$7="All",Dashboard!$F$7=C1633),OR(Dashboard!$H$7="All",Dashboard!$H$7=D1633),OR(Dashboard!$K$7="All",Dashboard!$K$7=E1633)),1,0)</x:f>
        <x:v>1</x:v>
      </x:c>
      <x:c r="S1633" s="2" t="n">
        <x:f>IF(R1633=1,SUM($R$10:R1633),0)</x:f>
        <x:v>1260</x:v>
      </x:c>
      <x:c r="T1633" s="2" t="str">
        <x:v>Design &amp; Insights</x:v>
      </x:c>
      <x:c r="U1633" s="2" t="n">
        <x:v>261</x:v>
      </x:c>
      <x:c r="V1633" s="2" t="n">
        <x:f>IF(AND(M1633=1,P1633=0,ISNUMBER(J1633),J1633&lt;TODAY()),1,0)</x:f>
        <x:v>1</x:v>
      </x:c>
      <x:c r="W1633" s="2" t="str">
        <x:f>'Design &amp; Insights'!M261</x:f>
        <x:v>Task</x:v>
      </x:c>
    </x:row>
    <x:row r="1634" ht="40" customHeight="1">
      <x:c r="A1634" s="3" t="str">
        <x:f>HYPERLINK("#'Design &amp; Insights'!A262","Open")</x:f>
        <x:v>Open</x:v>
      </x:c>
      <x:c r="B1634" s="2" t="str">
        <x:f>'Design &amp; Insights'!B262</x:f>
        <x:v>Cycle 2</x:v>
      </x:c>
      <x:c r="C1634" s="2" t="str">
        <x:f>'Design &amp; Insights'!C262</x:f>
        <x:v>Phase 2</x:v>
      </x:c>
      <x:c r="D1634" s="2" t="str">
        <x:f>'Design &amp; Insights'!D262</x:f>
        <x:v>PLL</x:v>
      </x:c>
      <x:c r="E1634" s="2" t="str">
        <x:v>Design &amp; Insights</x:v>
      </x:c>
      <x:c r="F1634" s="56" t="str">
        <x:f>'Design &amp; Insights'!E262</x:f>
        <x:v>DI.PL.2.7</x:v>
      </x:c>
      <x:c r="G1634" s="14" t="str">
        <x:f>'Design &amp; Insights'!F262</x:f>
        <x:v>Update Outcome portion of research plan with current enhancement verbiage (as needed)</x:v>
      </x:c>
      <x:c r="H1634" s="2" t="str">
        <x:f>IF('Design &amp; Insights'!G262="","",'Design &amp; Insights'!G262)</x:f>
      </x:c>
      <x:c r="I1634" s="12" t="str">
        <x:f>IF('Design &amp; Insights'!H262="","",'Design &amp; Insights'!H262)</x:f>
      </x:c>
      <x:c r="J1634" s="12" t="n">
        <x:f>IF('Design &amp; Insights'!I262="","",'Design &amp; Insights'!I262)</x:f>
        <x:v>46203</x:v>
      </x:c>
      <x:c r="K1634" s="12" t="str">
        <x:f>IF('Design &amp; Insights'!J262="","",'Design &amp; Insights'!J262)</x:f>
      </x:c>
      <x:c r="L1634" s="2" t="str">
        <x:f>IF('Design &amp; Insights'!K262="","",'Design &amp; Insights'!K262)</x:f>
      </x:c>
      <x:c r="M1634" s="2" t="n">
        <x:f>'Design &amp; Insights'!Q262</x:f>
        <x:v>1</x:v>
      </x:c>
      <x:c r="N1634" s="2" t="str">
        <x:f>'Design &amp; Insights'!L262</x:f>
        <x:v>Not started</x:v>
      </x:c>
      <x:c r="O1634" s="2" t="str">
        <x:f>'Design &amp; Insights'!N262</x:f>
        <x:v>DI.PL.2.7.2026.CY2</x:v>
      </x:c>
      <x:c r="P1634" s="2" t="n">
        <x:f>'Design &amp; Insights'!O262</x:f>
        <x:v>0</x:v>
      </x:c>
      <x:c r="Q1634" s="2" t="n">
        <x:f>SUBTOTAL(103,O1634)</x:f>
        <x:v>1</x:v>
      </x:c>
      <x:c r="R1634" s="2" t="n">
        <x:f>IF(AND(M1634=1,OR(Dashboard!$B$7="All",Dashboard!$B$7='Cycles &amp; Guide'!$C$5),OR(Dashboard!$D$7="All",Dashboard!$D$7=B1634),OR(Dashboard!$F$7="All",Dashboard!$F$7=C1634),OR(Dashboard!$H$7="All",Dashboard!$H$7=D1634),OR(Dashboard!$K$7="All",Dashboard!$K$7=E1634)),1,0)</x:f>
        <x:v>1</x:v>
      </x:c>
      <x:c r="S1634" s="2" t="n">
        <x:f>IF(R1634=1,SUM($R$10:R1634),0)</x:f>
        <x:v>1261</x:v>
      </x:c>
      <x:c r="T1634" s="2" t="str">
        <x:v>Design &amp; Insights</x:v>
      </x:c>
      <x:c r="U1634" s="2" t="n">
        <x:v>262</x:v>
      </x:c>
      <x:c r="V1634" s="2" t="n">
        <x:f>IF(AND(M1634=1,P1634=0,ISNUMBER(J1634),J1634&lt;TODAY()),1,0)</x:f>
        <x:v>1</x:v>
      </x:c>
      <x:c r="W1634" s="2" t="str">
        <x:f>'Design &amp; Insights'!M262</x:f>
        <x:v>Task</x:v>
      </x:c>
    </x:row>
    <x:row r="1635" ht="40" customHeight="1">
      <x:c r="A1635" s="3" t="str">
        <x:f>HYPERLINK("#'Design &amp; Insights'!A263","Open")</x:f>
        <x:v>Open</x:v>
      </x:c>
      <x:c r="B1635" s="2" t="str">
        <x:f>'Design &amp; Insights'!B263</x:f>
        <x:v>Cycle 2</x:v>
      </x:c>
      <x:c r="C1635" s="2" t="str">
        <x:f>'Design &amp; Insights'!C263</x:f>
        <x:v>Phase 3</x:v>
      </x:c>
      <x:c r="D1635" s="2" t="str">
        <x:f>'Design &amp; Insights'!D263</x:f>
        <x:v>PLL</x:v>
      </x:c>
      <x:c r="E1635" s="2" t="str">
        <x:v>Design &amp; Insights</x:v>
      </x:c>
      <x:c r="F1635" s="56" t="str">
        <x:f>'Design &amp; Insights'!E263</x:f>
        <x:v>DI.PL.3.1</x:v>
      </x:c>
      <x:c r="G1635" s="14" t="str">
        <x:f>'Design &amp; Insights'!F263</x:f>
        <x:v>Confirm list of required &amp; optional attendees for pre-socialization meeting</x:v>
      </x:c>
      <x:c r="H1635" s="2" t="str">
        <x:f>IF('Design &amp; Insights'!G263="","",'Design &amp; Insights'!G263)</x:f>
      </x:c>
      <x:c r="I1635" s="12" t="str">
        <x:f>IF('Design &amp; Insights'!H263="","",'Design &amp; Insights'!H263)</x:f>
      </x:c>
      <x:c r="J1635" s="12" t="n">
        <x:f>IF('Design &amp; Insights'!I263="","",'Design &amp; Insights'!I263)</x:f>
        <x:v>46203</x:v>
      </x:c>
      <x:c r="K1635" s="12" t="str">
        <x:f>IF('Design &amp; Insights'!J263="","",'Design &amp; Insights'!J263)</x:f>
      </x:c>
      <x:c r="L1635" s="2" t="str">
        <x:f>IF('Design &amp; Insights'!K263="","",'Design &amp; Insights'!K263)</x:f>
      </x:c>
      <x:c r="M1635" s="2" t="n">
        <x:f>'Design &amp; Insights'!Q263</x:f>
        <x:v>1</x:v>
      </x:c>
      <x:c r="N1635" s="2" t="str">
        <x:f>'Design &amp; Insights'!L263</x:f>
        <x:v>Not started</x:v>
      </x:c>
      <x:c r="O1635" s="2" t="str">
        <x:f>'Design &amp; Insights'!N263</x:f>
        <x:v>DI.PL.3.1.2026.CY2</x:v>
      </x:c>
      <x:c r="P1635" s="2" t="n">
        <x:f>'Design &amp; Insights'!O263</x:f>
        <x:v>0</x:v>
      </x:c>
      <x:c r="Q1635" s="2" t="n">
        <x:f>SUBTOTAL(103,O1635)</x:f>
        <x:v>1</x:v>
      </x:c>
      <x:c r="R1635" s="2" t="n">
        <x:f>IF(AND(M1635=1,OR(Dashboard!$B$7="All",Dashboard!$B$7='Cycles &amp; Guide'!$C$5),OR(Dashboard!$D$7="All",Dashboard!$D$7=B1635),OR(Dashboard!$F$7="All",Dashboard!$F$7=C1635),OR(Dashboard!$H$7="All",Dashboard!$H$7=D1635),OR(Dashboard!$K$7="All",Dashboard!$K$7=E1635)),1,0)</x:f>
        <x:v>1</x:v>
      </x:c>
      <x:c r="S1635" s="2" t="n">
        <x:f>IF(R1635=1,SUM($R$10:R1635),0)</x:f>
        <x:v>1262</x:v>
      </x:c>
      <x:c r="T1635" s="2" t="str">
        <x:v>Design &amp; Insights</x:v>
      </x:c>
      <x:c r="U1635" s="2" t="n">
        <x:v>263</x:v>
      </x:c>
      <x:c r="V1635" s="2" t="n">
        <x:f>IF(AND(M1635=1,P1635=0,ISNUMBER(J1635),J1635&lt;TODAY()),1,0)</x:f>
        <x:v>1</x:v>
      </x:c>
      <x:c r="W1635" s="2" t="str">
        <x:f>'Design &amp; Insights'!M263</x:f>
        <x:v>Task</x:v>
      </x:c>
    </x:row>
    <x:row r="1636" ht="40" customHeight="1">
      <x:c r="A1636" s="3" t="str">
        <x:f>HYPERLINK("#'Design &amp; Insights'!A264","Open")</x:f>
        <x:v>Open</x:v>
      </x:c>
      <x:c r="B1636" s="2" t="str">
        <x:f>'Design &amp; Insights'!B264</x:f>
        <x:v>Cycle 2</x:v>
      </x:c>
      <x:c r="C1636" s="2" t="str">
        <x:f>'Design &amp; Insights'!C264</x:f>
        <x:v>Phase 3</x:v>
      </x:c>
      <x:c r="D1636" s="2" t="str">
        <x:f>'Design &amp; Insights'!D264</x:f>
        <x:v>PLL</x:v>
      </x:c>
      <x:c r="E1636" s="2" t="str">
        <x:v>Design &amp; Insights</x:v>
      </x:c>
      <x:c r="F1636" s="56" t="str">
        <x:f>'Design &amp; Insights'!E264</x:f>
        <x:v>DI.PL.3.2</x:v>
      </x:c>
      <x:c r="G1636" s="14" t="str">
        <x:f>'Design &amp; Insights'!F264</x:f>
        <x:v>Schedule pre-socialization meeting 1 week prior to RCA Forum</x:v>
      </x:c>
      <x:c r="H1636" s="2" t="str">
        <x:f>IF('Design &amp; Insights'!G264="","",'Design &amp; Insights'!G264)</x:f>
      </x:c>
      <x:c r="I1636" s="12" t="str">
        <x:f>IF('Design &amp; Insights'!H264="","",'Design &amp; Insights'!H264)</x:f>
      </x:c>
      <x:c r="J1636" s="12" t="str">
        <x:f>IF('Design &amp; Insights'!I264="","",'Design &amp; Insights'!I264)</x:f>
      </x:c>
      <x:c r="K1636" s="12" t="str">
        <x:f>IF('Design &amp; Insights'!J264="","",'Design &amp; Insights'!J264)</x:f>
      </x:c>
      <x:c r="L1636" s="2" t="str">
        <x:f>IF('Design &amp; Insights'!K264="","",'Design &amp; Insights'!K264)</x:f>
      </x:c>
      <x:c r="M1636" s="2" t="n">
        <x:f>'Design &amp; Insights'!Q264</x:f>
        <x:v>1</x:v>
      </x:c>
      <x:c r="N1636" s="2" t="str">
        <x:f>'Design &amp; Insights'!L264</x:f>
        <x:v>Not started</x:v>
      </x:c>
      <x:c r="O1636" s="2" t="str">
        <x:f>'Design &amp; Insights'!N264</x:f>
        <x:v>DI.PL.3.2.2026.CY2</x:v>
      </x:c>
      <x:c r="P1636" s="2" t="n">
        <x:f>'Design &amp; Insights'!O264</x:f>
        <x:v>0</x:v>
      </x:c>
      <x:c r="Q1636" s="2" t="n">
        <x:f>SUBTOTAL(103,O1636)</x:f>
        <x:v>1</x:v>
      </x:c>
      <x:c r="R1636" s="2" t="n">
        <x:f>IF(AND(M1636=1,OR(Dashboard!$B$7="All",Dashboard!$B$7='Cycles &amp; Guide'!$C$5),OR(Dashboard!$D$7="All",Dashboard!$D$7=B1636),OR(Dashboard!$F$7="All",Dashboard!$F$7=C1636),OR(Dashboard!$H$7="All",Dashboard!$H$7=D1636),OR(Dashboard!$K$7="All",Dashboard!$K$7=E1636)),1,0)</x:f>
        <x:v>1</x:v>
      </x:c>
      <x:c r="S1636" s="2" t="n">
        <x:f>IF(R1636=1,SUM($R$10:R1636),0)</x:f>
        <x:v>1263</x:v>
      </x:c>
      <x:c r="T1636" s="2" t="str">
        <x:v>Design &amp; Insights</x:v>
      </x:c>
      <x:c r="U1636" s="2" t="n">
        <x:v>264</x:v>
      </x:c>
      <x:c r="V1636" s="2" t="n">
        <x:f>IF(AND(M1636=1,P1636=0,ISNUMBER(J1636),J1636&lt;TODAY()),1,0)</x:f>
        <x:v>0</x:v>
      </x:c>
      <x:c r="W1636" s="2" t="str">
        <x:f>'Design &amp; Insights'!M264</x:f>
        <x:v>Task</x:v>
      </x:c>
    </x:row>
    <x:row r="1637" ht="40" customHeight="1">
      <x:c r="A1637" s="3" t="str">
        <x:f>HYPERLINK("#'Design &amp; Insights'!A265","Open")</x:f>
        <x:v>Open</x:v>
      </x:c>
      <x:c r="B1637" s="2" t="str">
        <x:f>'Design &amp; Insights'!B265</x:f>
        <x:v>Cycle 2</x:v>
      </x:c>
      <x:c r="C1637" s="2" t="str">
        <x:f>'Design &amp; Insights'!C265</x:f>
        <x:v>Phase 3</x:v>
      </x:c>
      <x:c r="D1637" s="2" t="str">
        <x:f>'Design &amp; Insights'!D265</x:f>
        <x:v>PLL</x:v>
      </x:c>
      <x:c r="E1637" s="2" t="str">
        <x:v>Design &amp; Insights</x:v>
      </x:c>
      <x:c r="F1637" s="56" t="str">
        <x:f>'Design &amp; Insights'!E265</x:f>
        <x:v>DI.PL.3.3</x:v>
      </x:c>
      <x:c r="G1637" s="14" t="str">
        <x:f>'Design &amp; Insights'!F265</x:f>
        <x:v>Present findings, conclusions, and recommendation to SMEs</x:v>
      </x:c>
      <x:c r="H1637" s="2" t="str">
        <x:f>IF('Design &amp; Insights'!G265="","",'Design &amp; Insights'!G265)</x:f>
      </x:c>
      <x:c r="I1637" s="12" t="str">
        <x:f>IF('Design &amp; Insights'!H265="","",'Design &amp; Insights'!H265)</x:f>
      </x:c>
      <x:c r="J1637" s="12" t="n">
        <x:f>IF('Design &amp; Insights'!I265="","",'Design &amp; Insights'!I265)</x:f>
        <x:v>46203</x:v>
      </x:c>
      <x:c r="K1637" s="12" t="str">
        <x:f>IF('Design &amp; Insights'!J265="","",'Design &amp; Insights'!J265)</x:f>
      </x:c>
      <x:c r="L1637" s="2" t="str">
        <x:f>IF('Design &amp; Insights'!K265="","",'Design &amp; Insights'!K265)</x:f>
      </x:c>
      <x:c r="M1637" s="2" t="n">
        <x:f>'Design &amp; Insights'!Q265</x:f>
        <x:v>1</x:v>
      </x:c>
      <x:c r="N1637" s="2" t="str">
        <x:f>'Design &amp; Insights'!L265</x:f>
        <x:v>Not started</x:v>
      </x:c>
      <x:c r="O1637" s="2" t="str">
        <x:f>'Design &amp; Insights'!N265</x:f>
        <x:v>DI.PL.3.3.2026.CY2</x:v>
      </x:c>
      <x:c r="P1637" s="2" t="n">
        <x:f>'Design &amp; Insights'!O265</x:f>
        <x:v>0</x:v>
      </x:c>
      <x:c r="Q1637" s="2" t="n">
        <x:f>SUBTOTAL(103,O1637)</x:f>
        <x:v>1</x:v>
      </x:c>
      <x:c r="R1637" s="2" t="n">
        <x:f>IF(AND(M1637=1,OR(Dashboard!$B$7="All",Dashboard!$B$7='Cycles &amp; Guide'!$C$5),OR(Dashboard!$D$7="All",Dashboard!$D$7=B1637),OR(Dashboard!$F$7="All",Dashboard!$F$7=C1637),OR(Dashboard!$H$7="All",Dashboard!$H$7=D1637),OR(Dashboard!$K$7="All",Dashboard!$K$7=E1637)),1,0)</x:f>
        <x:v>1</x:v>
      </x:c>
      <x:c r="S1637" s="2" t="n">
        <x:f>IF(R1637=1,SUM($R$10:R1637),0)</x:f>
        <x:v>1264</x:v>
      </x:c>
      <x:c r="T1637" s="2" t="str">
        <x:v>Design &amp; Insights</x:v>
      </x:c>
      <x:c r="U1637" s="2" t="n">
        <x:v>265</x:v>
      </x:c>
      <x:c r="V1637" s="2" t="n">
        <x:f>IF(AND(M1637=1,P1637=0,ISNUMBER(J1637),J1637&lt;TODAY()),1,0)</x:f>
        <x:v>1</x:v>
      </x:c>
      <x:c r="W1637" s="2" t="str">
        <x:f>'Design &amp; Insights'!M265</x:f>
        <x:v>Task</x:v>
      </x:c>
    </x:row>
    <x:row r="1638" ht="40" customHeight="1">
      <x:c r="A1638" s="3" t="str">
        <x:f>HYPERLINK("#'Design &amp; Insights'!A266","Open")</x:f>
        <x:v>Open</x:v>
      </x:c>
      <x:c r="B1638" s="2" t="str">
        <x:f>'Design &amp; Insights'!B266</x:f>
        <x:v>Cycle 2</x:v>
      </x:c>
      <x:c r="C1638" s="2" t="str">
        <x:f>'Design &amp; Insights'!C266</x:f>
        <x:v>Phase 3</x:v>
      </x:c>
      <x:c r="D1638" s="2" t="str">
        <x:f>'Design &amp; Insights'!D266</x:f>
        <x:v>PLL</x:v>
      </x:c>
      <x:c r="E1638" s="2" t="str">
        <x:v>Design &amp; Insights</x:v>
      </x:c>
      <x:c r="F1638" s="56" t="str">
        <x:f>'Design &amp; Insights'!E266</x:f>
        <x:v>DI.PL.3.4</x:v>
      </x:c>
      <x:c r="G1638" s="14" t="str">
        <x:f>'Design &amp; Insights'!F266</x:f>
        <x:v>Update Outcome portion of research plan (as needed)</x:v>
      </x:c>
      <x:c r="H1638" s="2" t="str">
        <x:f>IF('Design &amp; Insights'!G266="","",'Design &amp; Insights'!G266)</x:f>
      </x:c>
      <x:c r="I1638" s="12" t="str">
        <x:f>IF('Design &amp; Insights'!H266="","",'Design &amp; Insights'!H266)</x:f>
      </x:c>
      <x:c r="J1638" s="12" t="n">
        <x:f>IF('Design &amp; Insights'!I266="","",'Design &amp; Insights'!I266)</x:f>
        <x:v>46203</x:v>
      </x:c>
      <x:c r="K1638" s="12" t="str">
        <x:f>IF('Design &amp; Insights'!J266="","",'Design &amp; Insights'!J266)</x:f>
      </x:c>
      <x:c r="L1638" s="2" t="str">
        <x:f>IF('Design &amp; Insights'!K266="","",'Design &amp; Insights'!K266)</x:f>
      </x:c>
      <x:c r="M1638" s="2" t="n">
        <x:f>'Design &amp; Insights'!Q266</x:f>
        <x:v>1</x:v>
      </x:c>
      <x:c r="N1638" s="2" t="str">
        <x:f>'Design &amp; Insights'!L266</x:f>
        <x:v>Not started</x:v>
      </x:c>
      <x:c r="O1638" s="2" t="str">
        <x:f>'Design &amp; Insights'!N266</x:f>
        <x:v>DI.PL.3.4.2026.CY2</x:v>
      </x:c>
      <x:c r="P1638" s="2" t="n">
        <x:f>'Design &amp; Insights'!O266</x:f>
        <x:v>0</x:v>
      </x:c>
      <x:c r="Q1638" s="2" t="n">
        <x:f>SUBTOTAL(103,O1638)</x:f>
        <x:v>1</x:v>
      </x:c>
      <x:c r="R1638" s="2" t="n">
        <x:f>IF(AND(M1638=1,OR(Dashboard!$B$7="All",Dashboard!$B$7='Cycles &amp; Guide'!$C$5),OR(Dashboard!$D$7="All",Dashboard!$D$7=B1638),OR(Dashboard!$F$7="All",Dashboard!$F$7=C1638),OR(Dashboard!$H$7="All",Dashboard!$H$7=D1638),OR(Dashboard!$K$7="All",Dashboard!$K$7=E1638)),1,0)</x:f>
        <x:v>1</x:v>
      </x:c>
      <x:c r="S1638" s="2" t="n">
        <x:f>IF(R1638=1,SUM($R$10:R1638),0)</x:f>
        <x:v>1265</x:v>
      </x:c>
      <x:c r="T1638" s="2" t="str">
        <x:v>Design &amp; Insights</x:v>
      </x:c>
      <x:c r="U1638" s="2" t="n">
        <x:v>266</x:v>
      </x:c>
      <x:c r="V1638" s="2" t="n">
        <x:f>IF(AND(M1638=1,P1638=0,ISNUMBER(J1638),J1638&lt;TODAY()),1,0)</x:f>
        <x:v>1</x:v>
      </x:c>
      <x:c r="W1638" s="2" t="str">
        <x:f>'Design &amp; Insights'!M266</x:f>
        <x:v>Task</x:v>
      </x:c>
    </x:row>
    <x:row r="1639" ht="40" customHeight="1">
      <x:c r="A1639" s="3" t="str">
        <x:f>HYPERLINK("#'Design &amp; Insights'!A267","Open")</x:f>
        <x:v>Open</x:v>
      </x:c>
      <x:c r="B1639" s="2" t="str">
        <x:f>'Design &amp; Insights'!B267</x:f>
        <x:v>Cycle 2</x:v>
      </x:c>
      <x:c r="C1639" s="2" t="str">
        <x:f>'Design &amp; Insights'!C267</x:f>
        <x:v>Phase 3</x:v>
      </x:c>
      <x:c r="D1639" s="2" t="str">
        <x:f>'Design &amp; Insights'!D267</x:f>
        <x:v>PLL</x:v>
      </x:c>
      <x:c r="E1639" s="2" t="str">
        <x:v>Design &amp; Insights</x:v>
      </x:c>
      <x:c r="F1639" s="56" t="str">
        <x:f>'Design &amp; Insights'!E267</x:f>
        <x:v>DI.PL.3.5</x:v>
      </x:c>
      <x:c r="G1639" s="14" t="str">
        <x:f>'Design &amp; Insights'!F267</x:f>
        <x:v>Finalize presentation deck by incorporating pre-socialization feedback (as needed)</x:v>
      </x:c>
      <x:c r="H1639" s="2" t="str">
        <x:f>IF('Design &amp; Insights'!G267="","",'Design &amp; Insights'!G267)</x:f>
      </x:c>
      <x:c r="I1639" s="12" t="str">
        <x:f>IF('Design &amp; Insights'!H267="","",'Design &amp; Insights'!H267)</x:f>
      </x:c>
      <x:c r="J1639" s="12" t="n">
        <x:f>IF('Design &amp; Insights'!I267="","",'Design &amp; Insights'!I267)</x:f>
        <x:v>46203</x:v>
      </x:c>
      <x:c r="K1639" s="12" t="str">
        <x:f>IF('Design &amp; Insights'!J267="","",'Design &amp; Insights'!J267)</x:f>
      </x:c>
      <x:c r="L1639" s="2" t="str">
        <x:f>IF('Design &amp; Insights'!K267="","",'Design &amp; Insights'!K267)</x:f>
      </x:c>
      <x:c r="M1639" s="2" t="n">
        <x:f>'Design &amp; Insights'!Q267</x:f>
        <x:v>1</x:v>
      </x:c>
      <x:c r="N1639" s="2" t="str">
        <x:f>'Design &amp; Insights'!L267</x:f>
        <x:v>Not started</x:v>
      </x:c>
      <x:c r="O1639" s="2" t="str">
        <x:f>'Design &amp; Insights'!N267</x:f>
        <x:v>DI.PL.3.5.2026.CY2</x:v>
      </x:c>
      <x:c r="P1639" s="2" t="n">
        <x:f>'Design &amp; Insights'!O267</x:f>
        <x:v>0</x:v>
      </x:c>
      <x:c r="Q1639" s="2" t="n">
        <x:f>SUBTOTAL(103,O1639)</x:f>
        <x:v>1</x:v>
      </x:c>
      <x:c r="R1639" s="2" t="n">
        <x:f>IF(AND(M1639=1,OR(Dashboard!$B$7="All",Dashboard!$B$7='Cycles &amp; Guide'!$C$5),OR(Dashboard!$D$7="All",Dashboard!$D$7=B1639),OR(Dashboard!$F$7="All",Dashboard!$F$7=C1639),OR(Dashboard!$H$7="All",Dashboard!$H$7=D1639),OR(Dashboard!$K$7="All",Dashboard!$K$7=E1639)),1,0)</x:f>
        <x:v>1</x:v>
      </x:c>
      <x:c r="S1639" s="2" t="n">
        <x:f>IF(R1639=1,SUM($R$10:R1639),0)</x:f>
        <x:v>1266</x:v>
      </x:c>
      <x:c r="T1639" s="2" t="str">
        <x:v>Design &amp; Insights</x:v>
      </x:c>
      <x:c r="U1639" s="2" t="n">
        <x:v>267</x:v>
      </x:c>
      <x:c r="V1639" s="2" t="n">
        <x:f>IF(AND(M1639=1,P1639=0,ISNUMBER(J1639),J1639&lt;TODAY()),1,0)</x:f>
        <x:v>1</x:v>
      </x:c>
      <x:c r="W1639" s="2" t="str">
        <x:f>'Design &amp; Insights'!M267</x:f>
        <x:v>Task</x:v>
      </x:c>
    </x:row>
    <x:row r="1640" ht="40" customHeight="1">
      <x:c r="A1640" s="3" t="str">
        <x:f>HYPERLINK("#'Design &amp; Insights'!A268","Open")</x:f>
        <x:v>Open</x:v>
      </x:c>
      <x:c r="B1640" s="2" t="str">
        <x:f>'Design &amp; Insights'!B268</x:f>
        <x:v>Cycle 2</x:v>
      </x:c>
      <x:c r="C1640" s="2" t="str">
        <x:f>'Design &amp; Insights'!C268</x:f>
        <x:v>Phase 3</x:v>
      </x:c>
      <x:c r="D1640" s="2" t="str">
        <x:f>'Design &amp; Insights'!D268</x:f>
        <x:v>PLL</x:v>
      </x:c>
      <x:c r="E1640" s="2" t="str">
        <x:v>Design &amp; Insights</x:v>
      </x:c>
      <x:c r="F1640" s="56" t="str">
        <x:f>'Design &amp; Insights'!E268</x:f>
        <x:v>DI.PL.3.6</x:v>
      </x:c>
      <x:c r="G1640" s="14" t="str">
        <x:f>'Design &amp; Insights'!F268</x:f>
        <x:v>Ensure final deck is communicated to Forum attendees</x:v>
      </x:c>
      <x:c r="H1640" s="2" t="str">
        <x:f>IF('Design &amp; Insights'!G268="","",'Design &amp; Insights'!G268)</x:f>
      </x:c>
      <x:c r="I1640" s="12" t="str">
        <x:f>IF('Design &amp; Insights'!H268="","",'Design &amp; Insights'!H268)</x:f>
      </x:c>
      <x:c r="J1640" s="12" t="n">
        <x:f>IF('Design &amp; Insights'!I268="","",'Design &amp; Insights'!I268)</x:f>
        <x:v>46203</x:v>
      </x:c>
      <x:c r="K1640" s="12" t="str">
        <x:f>IF('Design &amp; Insights'!J268="","",'Design &amp; Insights'!J268)</x:f>
      </x:c>
      <x:c r="L1640" s="2" t="str">
        <x:f>IF('Design &amp; Insights'!K268="","",'Design &amp; Insights'!K268)</x:f>
      </x:c>
      <x:c r="M1640" s="2" t="n">
        <x:f>'Design &amp; Insights'!Q268</x:f>
        <x:v>1</x:v>
      </x:c>
      <x:c r="N1640" s="2" t="str">
        <x:f>'Design &amp; Insights'!L268</x:f>
        <x:v>Not started</x:v>
      </x:c>
      <x:c r="O1640" s="2" t="str">
        <x:f>'Design &amp; Insights'!N268</x:f>
        <x:v>DI.PL.3.6.2026.CY2</x:v>
      </x:c>
      <x:c r="P1640" s="2" t="n">
        <x:f>'Design &amp; Insights'!O268</x:f>
        <x:v>0</x:v>
      </x:c>
      <x:c r="Q1640" s="2" t="n">
        <x:f>SUBTOTAL(103,O1640)</x:f>
        <x:v>1</x:v>
      </x:c>
      <x:c r="R1640" s="2" t="n">
        <x:f>IF(AND(M1640=1,OR(Dashboard!$B$7="All",Dashboard!$B$7='Cycles &amp; Guide'!$C$5),OR(Dashboard!$D$7="All",Dashboard!$D$7=B1640),OR(Dashboard!$F$7="All",Dashboard!$F$7=C1640),OR(Dashboard!$H$7="All",Dashboard!$H$7=D1640),OR(Dashboard!$K$7="All",Dashboard!$K$7=E1640)),1,0)</x:f>
        <x:v>1</x:v>
      </x:c>
      <x:c r="S1640" s="2" t="n">
        <x:f>IF(R1640=1,SUM($R$10:R1640),0)</x:f>
        <x:v>1267</x:v>
      </x:c>
      <x:c r="T1640" s="2" t="str">
        <x:v>Design &amp; Insights</x:v>
      </x:c>
      <x:c r="U1640" s="2" t="n">
        <x:v>268</x:v>
      </x:c>
      <x:c r="V1640" s="2" t="n">
        <x:f>IF(AND(M1640=1,P1640=0,ISNUMBER(J1640),J1640&lt;TODAY()),1,0)</x:f>
        <x:v>1</x:v>
      </x:c>
      <x:c r="W1640" s="2" t="str">
        <x:f>'Design &amp; Insights'!M268</x:f>
        <x:v>Task</x:v>
      </x:c>
    </x:row>
    <x:row r="1641" ht="40" customHeight="1">
      <x:c r="A1641" s="3" t="str">
        <x:f>HYPERLINK("#'Design &amp; Insights'!A269","Open")</x:f>
        <x:v>Open</x:v>
      </x:c>
      <x:c r="B1641" s="2" t="str">
        <x:f>'Design &amp; Insights'!B269</x:f>
        <x:v>Cycle 2</x:v>
      </x:c>
      <x:c r="C1641" s="2" t="str">
        <x:f>'Design &amp; Insights'!C269</x:f>
        <x:v>Phase 3</x:v>
      </x:c>
      <x:c r="D1641" s="2" t="str">
        <x:f>'Design &amp; Insights'!D269</x:f>
        <x:v>PLL</x:v>
      </x:c>
      <x:c r="E1641" s="2" t="str">
        <x:v>Design &amp; Insights</x:v>
      </x:c>
      <x:c r="F1641" s="56" t="str">
        <x:f>'Design &amp; Insights'!E269</x:f>
        <x:v>DI.PL.3.7</x:v>
      </x:c>
      <x:c r="G1641" s="14" t="str">
        <x:f>'Design &amp; Insights'!F269</x:f>
        <x:v>Present material in RCA Cycle Forum</x:v>
      </x:c>
      <x:c r="H1641" s="2" t="str">
        <x:f>IF('Design &amp; Insights'!G269="","",'Design &amp; Insights'!G269)</x:f>
      </x:c>
      <x:c r="I1641" s="12" t="str">
        <x:f>IF('Design &amp; Insights'!H269="","",'Design &amp; Insights'!H269)</x:f>
      </x:c>
      <x:c r="J1641" s="12" t="str">
        <x:f>IF('Design &amp; Insights'!I269="","",'Design &amp; Insights'!I269)</x:f>
      </x:c>
      <x:c r="K1641" s="12" t="str">
        <x:f>IF('Design &amp; Insights'!J269="","",'Design &amp; Insights'!J269)</x:f>
      </x:c>
      <x:c r="L1641" s="2" t="str">
        <x:f>IF('Design &amp; Insights'!K269="","",'Design &amp; Insights'!K269)</x:f>
      </x:c>
      <x:c r="M1641" s="2" t="n">
        <x:f>'Design &amp; Insights'!Q269</x:f>
        <x:v>1</x:v>
      </x:c>
      <x:c r="N1641" s="2" t="str">
        <x:f>'Design &amp; Insights'!L269</x:f>
        <x:v>Not started</x:v>
      </x:c>
      <x:c r="O1641" s="2" t="str">
        <x:f>'Design &amp; Insights'!N269</x:f>
        <x:v>DI.PL.3.7.2026.CY2</x:v>
      </x:c>
      <x:c r="P1641" s="2" t="n">
        <x:f>'Design &amp; Insights'!O269</x:f>
        <x:v>0</x:v>
      </x:c>
      <x:c r="Q1641" s="2" t="n">
        <x:f>SUBTOTAL(103,O1641)</x:f>
        <x:v>1</x:v>
      </x:c>
      <x:c r="R1641" s="2" t="n">
        <x:f>IF(AND(M1641=1,OR(Dashboard!$B$7="All",Dashboard!$B$7='Cycles &amp; Guide'!$C$5),OR(Dashboard!$D$7="All",Dashboard!$D$7=B1641),OR(Dashboard!$F$7="All",Dashboard!$F$7=C1641),OR(Dashboard!$H$7="All",Dashboard!$H$7=D1641),OR(Dashboard!$K$7="All",Dashboard!$K$7=E1641)),1,0)</x:f>
        <x:v>1</x:v>
      </x:c>
      <x:c r="S1641" s="2" t="n">
        <x:f>IF(R1641=1,SUM($R$10:R1641),0)</x:f>
        <x:v>1268</x:v>
      </x:c>
      <x:c r="T1641" s="2" t="str">
        <x:v>Design &amp; Insights</x:v>
      </x:c>
      <x:c r="U1641" s="2" t="n">
        <x:v>269</x:v>
      </x:c>
      <x:c r="V1641" s="2" t="n">
        <x:f>IF(AND(M1641=1,P1641=0,ISNUMBER(J1641),J1641&lt;TODAY()),1,0)</x:f>
        <x:v>0</x:v>
      </x:c>
      <x:c r="W1641" s="2" t="str">
        <x:f>'Design &amp; Insights'!M269</x:f>
        <x:v>Task</x:v>
      </x:c>
    </x:row>
    <x:row r="1642" ht="40" customHeight="1">
      <x:c r="A1642" s="3" t="str">
        <x:f>HYPERLINK("#'Design &amp; Insights'!A270","Open")</x:f>
        <x:v>Open</x:v>
      </x:c>
      <x:c r="B1642" s="2" t="str">
        <x:f>'Design &amp; Insights'!B270</x:f>
        <x:v>Cycle 2</x:v>
      </x:c>
      <x:c r="C1642" s="2" t="str">
        <x:f>'Design &amp; Insights'!C270</x:f>
        <x:v>Phase 1</x:v>
      </x:c>
      <x:c r="D1642" s="2" t="str">
        <x:f>'Design &amp; Insights'!D270</x:f>
        <x:v>Retail Services</x:v>
      </x:c>
      <x:c r="E1642" s="2" t="str">
        <x:v>Design &amp; Insights</x:v>
      </x:c>
      <x:c r="F1642" s="56" t="str">
        <x:f>'Design &amp; Insights'!E270</x:f>
        <x:v>DI.RS.1.1</x:v>
      </x:c>
      <x:c r="G1642" s="14" t="str">
        <x:f>'Design &amp; Insights'!F270</x:f>
        <x:v>Receive and review potential research topics at least 2 weeks prior to Cycle start date</x:v>
      </x:c>
      <x:c r="H1642" s="2" t="str">
        <x:f>IF('Design &amp; Insights'!G270="","",'Design &amp; Insights'!G270)</x:f>
      </x:c>
      <x:c r="I1642" s="12" t="str">
        <x:f>IF('Design &amp; Insights'!H270="","",'Design &amp; Insights'!H270)</x:f>
      </x:c>
      <x:c r="J1642" s="12" t="n">
        <x:f>IF('Design &amp; Insights'!I270="","",'Design &amp; Insights'!I270)</x:f>
        <x:v>46099</x:v>
      </x:c>
      <x:c r="K1642" s="12" t="str">
        <x:f>IF('Design &amp; Insights'!J270="","",'Design &amp; Insights'!J270)</x:f>
      </x:c>
      <x:c r="L1642" s="2" t="str">
        <x:f>IF('Design &amp; Insights'!K270="","",'Design &amp; Insights'!K270)</x:f>
      </x:c>
      <x:c r="M1642" s="2" t="n">
        <x:f>'Design &amp; Insights'!Q270</x:f>
        <x:v>1</x:v>
      </x:c>
      <x:c r="N1642" s="2" t="str">
        <x:f>'Design &amp; Insights'!L270</x:f>
        <x:v>Not started</x:v>
      </x:c>
      <x:c r="O1642" s="2" t="str">
        <x:f>'Design &amp; Insights'!N270</x:f>
        <x:v>DI.RS.1.1.2026.CY2</x:v>
      </x:c>
      <x:c r="P1642" s="2" t="n">
        <x:f>'Design &amp; Insights'!O270</x:f>
        <x:v>0</x:v>
      </x:c>
      <x:c r="Q1642" s="2" t="n">
        <x:f>SUBTOTAL(103,O1642)</x:f>
        <x:v>1</x:v>
      </x:c>
      <x:c r="R1642" s="2" t="n">
        <x:f>IF(AND(M1642=1,OR(Dashboard!$B$7="All",Dashboard!$B$7='Cycles &amp; Guide'!$C$5),OR(Dashboard!$D$7="All",Dashboard!$D$7=B1642),OR(Dashboard!$F$7="All",Dashboard!$F$7=C1642),OR(Dashboard!$H$7="All",Dashboard!$H$7=D1642),OR(Dashboard!$K$7="All",Dashboard!$K$7=E1642)),1,0)</x:f>
        <x:v>1</x:v>
      </x:c>
      <x:c r="S1642" s="2" t="n">
        <x:f>IF(R1642=1,SUM($R$10:R1642),0)</x:f>
        <x:v>1269</x:v>
      </x:c>
      <x:c r="T1642" s="2" t="str">
        <x:v>Design &amp; Insights</x:v>
      </x:c>
      <x:c r="U1642" s="2" t="n">
        <x:v>270</x:v>
      </x:c>
      <x:c r="V1642" s="2" t="n">
        <x:f>IF(AND(M1642=1,P1642=0,ISNUMBER(J1642),J1642&lt;TODAY()),1,0)</x:f>
        <x:v>1</x:v>
      </x:c>
      <x:c r="W1642" s="2" t="str">
        <x:f>'Design &amp; Insights'!M270</x:f>
        <x:v>Task</x:v>
      </x:c>
    </x:row>
    <x:row r="1643" ht="40" customHeight="1">
      <x:c r="A1643" s="3" t="str">
        <x:f>HYPERLINK("#'Design &amp; Insights'!A271","Open")</x:f>
        <x:v>Open</x:v>
      </x:c>
      <x:c r="B1643" s="2" t="str">
        <x:f>'Design &amp; Insights'!B271</x:f>
        <x:v>Cycle 2</x:v>
      </x:c>
      <x:c r="C1643" s="2" t="str">
        <x:f>'Design &amp; Insights'!C271</x:f>
        <x:v>Phase 1</x:v>
      </x:c>
      <x:c r="D1643" s="2" t="str">
        <x:f>'Design &amp; Insights'!D271</x:f>
        <x:v>Retail Services</x:v>
      </x:c>
      <x:c r="E1643" s="2" t="str">
        <x:v>Design &amp; Insights</x:v>
      </x:c>
      <x:c r="F1643" s="56" t="str">
        <x:f>'Design &amp; Insights'!E271</x:f>
        <x:v>DI.RS.1.2</x:v>
      </x:c>
      <x:c r="G1643" s="14" t="str">
        <x:f>'Design &amp; Insights'!F271</x:f>
        <x:v>Communicate any feedback on preferences or concerns with topics identified</x:v>
      </x:c>
      <x:c r="H1643" s="2" t="str">
        <x:f>IF('Design &amp; Insights'!G271="","",'Design &amp; Insights'!G271)</x:f>
      </x:c>
      <x:c r="I1643" s="12" t="str">
        <x:f>IF('Design &amp; Insights'!H271="","",'Design &amp; Insights'!H271)</x:f>
      </x:c>
      <x:c r="J1643" s="12" t="n">
        <x:f>IF('Design &amp; Insights'!I271="","",'Design &amp; Insights'!I271)</x:f>
        <x:v>46203</x:v>
      </x:c>
      <x:c r="K1643" s="12" t="str">
        <x:f>IF('Design &amp; Insights'!J271="","",'Design &amp; Insights'!J271)</x:f>
      </x:c>
      <x:c r="L1643" s="2" t="str">
        <x:f>IF('Design &amp; Insights'!K271="","",'Design &amp; Insights'!K271)</x:f>
      </x:c>
      <x:c r="M1643" s="2" t="n">
        <x:f>'Design &amp; Insights'!Q271</x:f>
        <x:v>1</x:v>
      </x:c>
      <x:c r="N1643" s="2" t="str">
        <x:f>'Design &amp; Insights'!L271</x:f>
        <x:v>Not started</x:v>
      </x:c>
      <x:c r="O1643" s="2" t="str">
        <x:f>'Design &amp; Insights'!N271</x:f>
        <x:v>DI.RS.1.2.2026.CY2</x:v>
      </x:c>
      <x:c r="P1643" s="2" t="n">
        <x:f>'Design &amp; Insights'!O271</x:f>
        <x:v>0</x:v>
      </x:c>
      <x:c r="Q1643" s="2" t="n">
        <x:f>SUBTOTAL(103,O1643)</x:f>
        <x:v>1</x:v>
      </x:c>
      <x:c r="R1643" s="2" t="n">
        <x:f>IF(AND(M1643=1,OR(Dashboard!$B$7="All",Dashboard!$B$7='Cycles &amp; Guide'!$C$5),OR(Dashboard!$D$7="All",Dashboard!$D$7=B1643),OR(Dashboard!$F$7="All",Dashboard!$F$7=C1643),OR(Dashboard!$H$7="All",Dashboard!$H$7=D1643),OR(Dashboard!$K$7="All",Dashboard!$K$7=E1643)),1,0)</x:f>
        <x:v>1</x:v>
      </x:c>
      <x:c r="S1643" s="2" t="n">
        <x:f>IF(R1643=1,SUM($R$10:R1643),0)</x:f>
        <x:v>1270</x:v>
      </x:c>
      <x:c r="T1643" s="2" t="str">
        <x:v>Design &amp; Insights</x:v>
      </x:c>
      <x:c r="U1643" s="2" t="n">
        <x:v>271</x:v>
      </x:c>
      <x:c r="V1643" s="2" t="n">
        <x:f>IF(AND(M1643=1,P1643=0,ISNUMBER(J1643),J1643&lt;TODAY()),1,0)</x:f>
        <x:v>1</x:v>
      </x:c>
      <x:c r="W1643" s="2" t="str">
        <x:f>'Design &amp; Insights'!M271</x:f>
        <x:v>Task</x:v>
      </x:c>
    </x:row>
    <x:row r="1644" ht="40" customHeight="1">
      <x:c r="A1644" s="3" t="str">
        <x:f>HYPERLINK("#'Design &amp; Insights'!A272","Open")</x:f>
        <x:v>Open</x:v>
      </x:c>
      <x:c r="B1644" s="2" t="str">
        <x:f>'Design &amp; Insights'!B272</x:f>
        <x:v>Cycle 2</x:v>
      </x:c>
      <x:c r="C1644" s="2" t="str">
        <x:f>'Design &amp; Insights'!C272</x:f>
        <x:v>Phase 1</x:v>
      </x:c>
      <x:c r="D1644" s="2" t="str">
        <x:f>'Design &amp; Insights'!D272</x:f>
        <x:v>Retail Services</x:v>
      </x:c>
      <x:c r="E1644" s="2" t="str">
        <x:v>Design &amp; Insights</x:v>
      </x:c>
      <x:c r="F1644" s="56" t="str">
        <x:f>'Design &amp; Insights'!E272</x:f>
        <x:v>DI.RS.1.3</x:v>
      </x:c>
      <x:c r="G1644" s="14" t="str">
        <x:f>'Design &amp; Insights'!F272</x:f>
        <x:v>Conduct high-level preliminary review of complaints within proposed topics</x:v>
      </x:c>
      <x:c r="H1644" s="2" t="str">
        <x:f>IF('Design &amp; Insights'!G272="","",'Design &amp; Insights'!G272)</x:f>
      </x:c>
      <x:c r="I1644" s="12" t="str">
        <x:f>IF('Design &amp; Insights'!H272="","",'Design &amp; Insights'!H272)</x:f>
      </x:c>
      <x:c r="J1644" s="12" t="n">
        <x:f>IF('Design &amp; Insights'!I272="","",'Design &amp; Insights'!I272)</x:f>
        <x:v>46203</x:v>
      </x:c>
      <x:c r="K1644" s="12" t="str">
        <x:f>IF('Design &amp; Insights'!J272="","",'Design &amp; Insights'!J272)</x:f>
      </x:c>
      <x:c r="L1644" s="2" t="str">
        <x:f>IF('Design &amp; Insights'!K272="","",'Design &amp; Insights'!K272)</x:f>
      </x:c>
      <x:c r="M1644" s="2" t="n">
        <x:f>'Design &amp; Insights'!Q272</x:f>
        <x:v>1</x:v>
      </x:c>
      <x:c r="N1644" s="2" t="str">
        <x:f>'Design &amp; Insights'!L272</x:f>
        <x:v>Not started</x:v>
      </x:c>
      <x:c r="O1644" s="2" t="str">
        <x:f>'Design &amp; Insights'!N272</x:f>
        <x:v>DI.RS.1.3.2026.CY2</x:v>
      </x:c>
      <x:c r="P1644" s="2" t="n">
        <x:f>'Design &amp; Insights'!O272</x:f>
        <x:v>0</x:v>
      </x:c>
      <x:c r="Q1644" s="2" t="n">
        <x:f>SUBTOTAL(103,O1644)</x:f>
        <x:v>1</x:v>
      </x:c>
      <x:c r="R1644" s="2" t="n">
        <x:f>IF(AND(M1644=1,OR(Dashboard!$B$7="All",Dashboard!$B$7='Cycles &amp; Guide'!$C$5),OR(Dashboard!$D$7="All",Dashboard!$D$7=B1644),OR(Dashboard!$F$7="All",Dashboard!$F$7=C1644),OR(Dashboard!$H$7="All",Dashboard!$H$7=D1644),OR(Dashboard!$K$7="All",Dashboard!$K$7=E1644)),1,0)</x:f>
        <x:v>1</x:v>
      </x:c>
      <x:c r="S1644" s="2" t="n">
        <x:f>IF(R1644=1,SUM($R$10:R1644),0)</x:f>
        <x:v>1271</x:v>
      </x:c>
      <x:c r="T1644" s="2" t="str">
        <x:v>Design &amp; Insights</x:v>
      </x:c>
      <x:c r="U1644" s="2" t="n">
        <x:v>272</x:v>
      </x:c>
      <x:c r="V1644" s="2" t="n">
        <x:f>IF(AND(M1644=1,P1644=0,ISNUMBER(J1644),J1644&lt;TODAY()),1,0)</x:f>
        <x:v>1</x:v>
      </x:c>
      <x:c r="W1644" s="2" t="str">
        <x:f>'Design &amp; Insights'!M272</x:f>
        <x:v>Task</x:v>
      </x:c>
    </x:row>
    <x:row r="1645" ht="40" customHeight="1">
      <x:c r="A1645" s="3" t="str">
        <x:f>HYPERLINK("#'Design &amp; Insights'!A273","Open")</x:f>
        <x:v>Open</x:v>
      </x:c>
      <x:c r="B1645" s="2" t="str">
        <x:f>'Design &amp; Insights'!B273</x:f>
        <x:v>Cycle 2</x:v>
      </x:c>
      <x:c r="C1645" s="2" t="str">
        <x:f>'Design &amp; Insights'!C273</x:f>
        <x:v>Phase 1</x:v>
      </x:c>
      <x:c r="D1645" s="2" t="str">
        <x:f>'Design &amp; Insights'!D273</x:f>
        <x:v>Retail Services</x:v>
      </x:c>
      <x:c r="E1645" s="2" t="str">
        <x:v>Design &amp; Insights</x:v>
      </x:c>
      <x:c r="F1645" s="56" t="str">
        <x:f>'Design &amp; Insights'!E273</x:f>
        <x:v>DI.RS.1.4</x:v>
      </x:c>
      <x:c r="G1645" s="14" t="str">
        <x:f>'Design &amp; Insights'!F273</x:f>
        <x:v>Meet with Research to discuss which topic to select based on potential impact</x:v>
      </x:c>
      <x:c r="H1645" s="2" t="str">
        <x:f>IF('Design &amp; Insights'!G273="","",'Design &amp; Insights'!G273)</x:f>
      </x:c>
      <x:c r="I1645" s="12" t="str">
        <x:f>IF('Design &amp; Insights'!H273="","",'Design &amp; Insights'!H273)</x:f>
      </x:c>
      <x:c r="J1645" s="12" t="n">
        <x:f>IF('Design &amp; Insights'!I273="","",'Design &amp; Insights'!I273)</x:f>
        <x:v>46203</x:v>
      </x:c>
      <x:c r="K1645" s="12" t="str">
        <x:f>IF('Design &amp; Insights'!J273="","",'Design &amp; Insights'!J273)</x:f>
      </x:c>
      <x:c r="L1645" s="2" t="str">
        <x:f>IF('Design &amp; Insights'!K273="","",'Design &amp; Insights'!K273)</x:f>
      </x:c>
      <x:c r="M1645" s="2" t="n">
        <x:f>'Design &amp; Insights'!Q273</x:f>
        <x:v>1</x:v>
      </x:c>
      <x:c r="N1645" s="2" t="str">
        <x:f>'Design &amp; Insights'!L273</x:f>
        <x:v>Not started</x:v>
      </x:c>
      <x:c r="O1645" s="2" t="str">
        <x:f>'Design &amp; Insights'!N273</x:f>
        <x:v>DI.RS.1.4.2026.CY2</x:v>
      </x:c>
      <x:c r="P1645" s="2" t="n">
        <x:f>'Design &amp; Insights'!O273</x:f>
        <x:v>0</x:v>
      </x:c>
      <x:c r="Q1645" s="2" t="n">
        <x:f>SUBTOTAL(103,O1645)</x:f>
        <x:v>1</x:v>
      </x:c>
      <x:c r="R1645" s="2" t="n">
        <x:f>IF(AND(M1645=1,OR(Dashboard!$B$7="All",Dashboard!$B$7='Cycles &amp; Guide'!$C$5),OR(Dashboard!$D$7="All",Dashboard!$D$7=B1645),OR(Dashboard!$F$7="All",Dashboard!$F$7=C1645),OR(Dashboard!$H$7="All",Dashboard!$H$7=D1645),OR(Dashboard!$K$7="All",Dashboard!$K$7=E1645)),1,0)</x:f>
        <x:v>1</x:v>
      </x:c>
      <x:c r="S1645" s="2" t="n">
        <x:f>IF(R1645=1,SUM($R$10:R1645),0)</x:f>
        <x:v>1272</x:v>
      </x:c>
      <x:c r="T1645" s="2" t="str">
        <x:v>Design &amp; Insights</x:v>
      </x:c>
      <x:c r="U1645" s="2" t="n">
        <x:v>273</x:v>
      </x:c>
      <x:c r="V1645" s="2" t="n">
        <x:f>IF(AND(M1645=1,P1645=0,ISNUMBER(J1645),J1645&lt;TODAY()),1,0)</x:f>
        <x:v>1</x:v>
      </x:c>
      <x:c r="W1645" s="2" t="str">
        <x:f>'Design &amp; Insights'!M273</x:f>
        <x:v>Task</x:v>
      </x:c>
    </x:row>
    <x:row r="1646" ht="40" customHeight="1">
      <x:c r="A1646" s="3" t="str">
        <x:f>HYPERLINK("#'Design &amp; Insights'!A274","Open")</x:f>
        <x:v>Open</x:v>
      </x:c>
      <x:c r="B1646" s="2" t="str">
        <x:f>'Design &amp; Insights'!B274</x:f>
        <x:v>Cycle 2</x:v>
      </x:c>
      <x:c r="C1646" s="2" t="str">
        <x:f>'Design &amp; Insights'!C274</x:f>
        <x:v>Phase 1</x:v>
      </x:c>
      <x:c r="D1646" s="2" t="str">
        <x:f>'Design &amp; Insights'!D274</x:f>
        <x:v>Retail Services</x:v>
      </x:c>
      <x:c r="E1646" s="2" t="str">
        <x:v>Design &amp; Insights</x:v>
      </x:c>
      <x:c r="F1646" s="56" t="str">
        <x:f>'Design &amp; Insights'!E274</x:f>
        <x:v>DI.RS.1.5</x:v>
      </x:c>
      <x:c r="G1646" s="14" t="str">
        <x:f>'Design &amp; Insights'!F274</x:f>
        <x:v>Confirm with Research the recommended topic for approval</x:v>
      </x:c>
      <x:c r="H1646" s="2" t="str">
        <x:f>IF('Design &amp; Insights'!G274="","",'Design &amp; Insights'!G274)</x:f>
      </x:c>
      <x:c r="I1646" s="12" t="str">
        <x:f>IF('Design &amp; Insights'!H274="","",'Design &amp; Insights'!H274)</x:f>
      </x:c>
      <x:c r="J1646" s="12" t="n">
        <x:f>IF('Design &amp; Insights'!I274="","",'Design &amp; Insights'!I274)</x:f>
        <x:v>46203</x:v>
      </x:c>
      <x:c r="K1646" s="12" t="str">
        <x:f>IF('Design &amp; Insights'!J274="","",'Design &amp; Insights'!J274)</x:f>
      </x:c>
      <x:c r="L1646" s="2" t="str">
        <x:f>IF('Design &amp; Insights'!K274="","",'Design &amp; Insights'!K274)</x:f>
      </x:c>
      <x:c r="M1646" s="2" t="n">
        <x:f>'Design &amp; Insights'!Q274</x:f>
        <x:v>1</x:v>
      </x:c>
      <x:c r="N1646" s="2" t="str">
        <x:f>'Design &amp; Insights'!L274</x:f>
        <x:v>Not started</x:v>
      </x:c>
      <x:c r="O1646" s="2" t="str">
        <x:f>'Design &amp; Insights'!N274</x:f>
        <x:v>DI.RS.1.5.2026.CY2</x:v>
      </x:c>
      <x:c r="P1646" s="2" t="n">
        <x:f>'Design &amp; Insights'!O274</x:f>
        <x:v>0</x:v>
      </x:c>
      <x:c r="Q1646" s="2" t="n">
        <x:f>SUBTOTAL(103,O1646)</x:f>
        <x:v>1</x:v>
      </x:c>
      <x:c r="R1646" s="2" t="n">
        <x:f>IF(AND(M1646=1,OR(Dashboard!$B$7="All",Dashboard!$B$7='Cycles &amp; Guide'!$C$5),OR(Dashboard!$D$7="All",Dashboard!$D$7=B1646),OR(Dashboard!$F$7="All",Dashboard!$F$7=C1646),OR(Dashboard!$H$7="All",Dashboard!$H$7=D1646),OR(Dashboard!$K$7="All",Dashboard!$K$7=E1646)),1,0)</x:f>
        <x:v>1</x:v>
      </x:c>
      <x:c r="S1646" s="2" t="n">
        <x:f>IF(R1646=1,SUM($R$10:R1646),0)</x:f>
        <x:v>1273</x:v>
      </x:c>
      <x:c r="T1646" s="2" t="str">
        <x:v>Design &amp; Insights</x:v>
      </x:c>
      <x:c r="U1646" s="2" t="n">
        <x:v>274</x:v>
      </x:c>
      <x:c r="V1646" s="2" t="n">
        <x:f>IF(AND(M1646=1,P1646=0,ISNUMBER(J1646),J1646&lt;TODAY()),1,0)</x:f>
        <x:v>1</x:v>
      </x:c>
      <x:c r="W1646" s="2" t="str">
        <x:f>'Design &amp; Insights'!M274</x:f>
        <x:v>Task</x:v>
      </x:c>
    </x:row>
    <x:row r="1647" ht="40" customHeight="1">
      <x:c r="A1647" s="3" t="str">
        <x:f>HYPERLINK("#'Design &amp; Insights'!A275","Open")</x:f>
        <x:v>Open</x:v>
      </x:c>
      <x:c r="B1647" s="2" t="str">
        <x:f>'Design &amp; Insights'!B275</x:f>
        <x:v>Cycle 2</x:v>
      </x:c>
      <x:c r="C1647" s="2" t="str">
        <x:f>'Design &amp; Insights'!C275</x:f>
        <x:v>Phase 1</x:v>
      </x:c>
      <x:c r="D1647" s="2" t="str">
        <x:f>'Design &amp; Insights'!D275</x:f>
        <x:v>Retail Services</x:v>
      </x:c>
      <x:c r="E1647" s="2" t="str">
        <x:v>Design &amp; Insights</x:v>
      </x:c>
      <x:c r="F1647" s="56" t="str">
        <x:f>'Design &amp; Insights'!E275</x:f>
        <x:v>DI.RS.1.6</x:v>
      </x:c>
      <x:c r="G1647" s="14" t="str">
        <x:f>'Design &amp; Insights'!F275</x:f>
        <x:v>Send topic selection socialization email to all key stakeholders on the first day of the review Cycle</x:v>
      </x:c>
      <x:c r="H1647" s="2" t="str">
        <x:f>IF('Design &amp; Insights'!G275="","",'Design &amp; Insights'!G275)</x:f>
      </x:c>
      <x:c r="I1647" s="12" t="str">
        <x:f>IF('Design &amp; Insights'!H275="","",'Design &amp; Insights'!H275)</x:f>
      </x:c>
      <x:c r="J1647" s="12" t="n">
        <x:f>IF('Design &amp; Insights'!I275="","",'Design &amp; Insights'!I275)</x:f>
        <x:v>46113</x:v>
      </x:c>
      <x:c r="K1647" s="12" t="str">
        <x:f>IF('Design &amp; Insights'!J275="","",'Design &amp; Insights'!J275)</x:f>
      </x:c>
      <x:c r="L1647" s="2" t="str">
        <x:f>IF('Design &amp; Insights'!K275="","",'Design &amp; Insights'!K275)</x:f>
      </x:c>
      <x:c r="M1647" s="2" t="n">
        <x:f>'Design &amp; Insights'!Q275</x:f>
        <x:v>1</x:v>
      </x:c>
      <x:c r="N1647" s="2" t="str">
        <x:f>'Design &amp; Insights'!L275</x:f>
        <x:v>Not started</x:v>
      </x:c>
      <x:c r="O1647" s="2" t="str">
        <x:f>'Design &amp; Insights'!N275</x:f>
        <x:v>DI.RS.1.6.2026.CY2</x:v>
      </x:c>
      <x:c r="P1647" s="2" t="n">
        <x:f>'Design &amp; Insights'!O275</x:f>
        <x:v>0</x:v>
      </x:c>
      <x:c r="Q1647" s="2" t="n">
        <x:f>SUBTOTAL(103,O1647)</x:f>
        <x:v>1</x:v>
      </x:c>
      <x:c r="R1647" s="2" t="n">
        <x:f>IF(AND(M1647=1,OR(Dashboard!$B$7="All",Dashboard!$B$7='Cycles &amp; Guide'!$C$5),OR(Dashboard!$D$7="All",Dashboard!$D$7=B1647),OR(Dashboard!$F$7="All",Dashboard!$F$7=C1647),OR(Dashboard!$H$7="All",Dashboard!$H$7=D1647),OR(Dashboard!$K$7="All",Dashboard!$K$7=E1647)),1,0)</x:f>
        <x:v>1</x:v>
      </x:c>
      <x:c r="S1647" s="2" t="n">
        <x:f>IF(R1647=1,SUM($R$10:R1647),0)</x:f>
        <x:v>1274</x:v>
      </x:c>
      <x:c r="T1647" s="2" t="str">
        <x:v>Design &amp; Insights</x:v>
      </x:c>
      <x:c r="U1647" s="2" t="n">
        <x:v>275</x:v>
      </x:c>
      <x:c r="V1647" s="2" t="n">
        <x:f>IF(AND(M1647=1,P1647=0,ISNUMBER(J1647),J1647&lt;TODAY()),1,0)</x:f>
        <x:v>1</x:v>
      </x:c>
      <x:c r="W1647" s="2" t="str">
        <x:f>'Design &amp; Insights'!M275</x:f>
        <x:v>Task</x:v>
      </x:c>
    </x:row>
    <x:row r="1648" ht="40" customHeight="1">
      <x:c r="A1648" s="3" t="str">
        <x:f>HYPERLINK("#'Design &amp; Insights'!A276","Open")</x:f>
        <x:v>Open</x:v>
      </x:c>
      <x:c r="B1648" s="2" t="str">
        <x:f>'Design &amp; Insights'!B276</x:f>
        <x:v>Cycle 2</x:v>
      </x:c>
      <x:c r="C1648" s="2" t="str">
        <x:f>'Design &amp; Insights'!C276</x:f>
        <x:v>Phase 2</x:v>
      </x:c>
      <x:c r="D1648" s="2" t="str">
        <x:f>'Design &amp; Insights'!D276</x:f>
        <x:v>Retail Services</x:v>
      </x:c>
      <x:c r="E1648" s="2" t="str">
        <x:v>Design &amp; Insights</x:v>
      </x:c>
      <x:c r="F1648" s="56" t="str">
        <x:f>'Design &amp; Insights'!E276</x:f>
        <x:v>DI.RS.2.1</x:v>
      </x:c>
      <x:c r="G1648" s="14" t="str">
        <x:f>'Design &amp; Insights'!F276</x:f>
        <x:v>Meet regularly with Research to stay informed on progress, findings, and potential enhancement</x:v>
      </x:c>
      <x:c r="H1648" s="2" t="str">
        <x:f>IF('Design &amp; Insights'!G276="","",'Design &amp; Insights'!G276)</x:f>
      </x:c>
      <x:c r="I1648" s="12" t="str">
        <x:f>IF('Design &amp; Insights'!H276="","",'Design &amp; Insights'!H276)</x:f>
      </x:c>
      <x:c r="J1648" s="12" t="n">
        <x:f>IF('Design &amp; Insights'!I276="","",'Design &amp; Insights'!I276)</x:f>
        <x:v>46203</x:v>
      </x:c>
      <x:c r="K1648" s="12" t="str">
        <x:f>IF('Design &amp; Insights'!J276="","",'Design &amp; Insights'!J276)</x:f>
      </x:c>
      <x:c r="L1648" s="2" t="str">
        <x:f>IF('Design &amp; Insights'!K276="","",'Design &amp; Insights'!K276)</x:f>
      </x:c>
      <x:c r="M1648" s="2" t="n">
        <x:f>'Design &amp; Insights'!Q276</x:f>
        <x:v>1</x:v>
      </x:c>
      <x:c r="N1648" s="2" t="str">
        <x:f>'Design &amp; Insights'!L276</x:f>
        <x:v>Not started</x:v>
      </x:c>
      <x:c r="O1648" s="2" t="str">
        <x:f>'Design &amp; Insights'!N276</x:f>
        <x:v>DI.RS.2.1.2026.CY2</x:v>
      </x:c>
      <x:c r="P1648" s="2" t="n">
        <x:f>'Design &amp; Insights'!O276</x:f>
        <x:v>0</x:v>
      </x:c>
      <x:c r="Q1648" s="2" t="n">
        <x:f>SUBTOTAL(103,O1648)</x:f>
        <x:v>1</x:v>
      </x:c>
      <x:c r="R1648" s="2" t="n">
        <x:f>IF(AND(M1648=1,OR(Dashboard!$B$7="All",Dashboard!$B$7='Cycles &amp; Guide'!$C$5),OR(Dashboard!$D$7="All",Dashboard!$D$7=B1648),OR(Dashboard!$F$7="All",Dashboard!$F$7=C1648),OR(Dashboard!$H$7="All",Dashboard!$H$7=D1648),OR(Dashboard!$K$7="All",Dashboard!$K$7=E1648)),1,0)</x:f>
        <x:v>1</x:v>
      </x:c>
      <x:c r="S1648" s="2" t="n">
        <x:f>IF(R1648=1,SUM($R$10:R1648),0)</x:f>
        <x:v>1275</x:v>
      </x:c>
      <x:c r="T1648" s="2" t="str">
        <x:v>Design &amp; Insights</x:v>
      </x:c>
      <x:c r="U1648" s="2" t="n">
        <x:v>276</x:v>
      </x:c>
      <x:c r="V1648" s="2" t="n">
        <x:f>IF(AND(M1648=1,P1648=0,ISNUMBER(J1648),J1648&lt;TODAY()),1,0)</x:f>
        <x:v>1</x:v>
      </x:c>
      <x:c r="W1648" s="2" t="str">
        <x:f>'Design &amp; Insights'!M276</x:f>
        <x:v>Task</x:v>
      </x:c>
    </x:row>
    <x:row r="1649" ht="40" customHeight="1">
      <x:c r="A1649" s="3" t="str">
        <x:f>HYPERLINK("#'Design &amp; Insights'!A277","Open")</x:f>
        <x:v>Open</x:v>
      </x:c>
      <x:c r="B1649" s="2" t="str">
        <x:f>'Design &amp; Insights'!B277</x:f>
        <x:v>Cycle 2</x:v>
      </x:c>
      <x:c r="C1649" s="2" t="str">
        <x:f>'Design &amp; Insights'!C277</x:f>
        <x:v>Phase 2</x:v>
      </x:c>
      <x:c r="D1649" s="2" t="str">
        <x:f>'Design &amp; Insights'!D277</x:f>
        <x:v>Retail Services</x:v>
      </x:c>
      <x:c r="E1649" s="2" t="str">
        <x:v>Design &amp; Insights</x:v>
      </x:c>
      <x:c r="F1649" s="56" t="str">
        <x:f>'Design &amp; Insights'!E277</x:f>
        <x:v>DI.RS.2.2</x:v>
      </x:c>
      <x:c r="G1649" s="14" t="str">
        <x:f>'Design &amp; Insights'!F277</x:f>
        <x:v>Collaborate with Research on research plan specifics</x:v>
      </x:c>
      <x:c r="H1649" s="2" t="str">
        <x:f>IF('Design &amp; Insights'!G277="","",'Design &amp; Insights'!G277)</x:f>
      </x:c>
      <x:c r="I1649" s="12" t="str">
        <x:f>IF('Design &amp; Insights'!H277="","",'Design &amp; Insights'!H277)</x:f>
      </x:c>
      <x:c r="J1649" s="12" t="n">
        <x:f>IF('Design &amp; Insights'!I277="","",'Design &amp; Insights'!I277)</x:f>
        <x:v>46203</x:v>
      </x:c>
      <x:c r="K1649" s="12" t="str">
        <x:f>IF('Design &amp; Insights'!J277="","",'Design &amp; Insights'!J277)</x:f>
      </x:c>
      <x:c r="L1649" s="2" t="str">
        <x:f>IF('Design &amp; Insights'!K277="","",'Design &amp; Insights'!K277)</x:f>
      </x:c>
      <x:c r="M1649" s="2" t="n">
        <x:f>'Design &amp; Insights'!Q277</x:f>
        <x:v>1</x:v>
      </x:c>
      <x:c r="N1649" s="2" t="str">
        <x:f>'Design &amp; Insights'!L277</x:f>
        <x:v>Not started</x:v>
      </x:c>
      <x:c r="O1649" s="2" t="str">
        <x:f>'Design &amp; Insights'!N277</x:f>
        <x:v>DI.RS.2.2.2026.CY2</x:v>
      </x:c>
      <x:c r="P1649" s="2" t="n">
        <x:f>'Design &amp; Insights'!O277</x:f>
        <x:v>0</x:v>
      </x:c>
      <x:c r="Q1649" s="2" t="n">
        <x:f>SUBTOTAL(103,O1649)</x:f>
        <x:v>1</x:v>
      </x:c>
      <x:c r="R1649" s="2" t="n">
        <x:f>IF(AND(M1649=1,OR(Dashboard!$B$7="All",Dashboard!$B$7='Cycles &amp; Guide'!$C$5),OR(Dashboard!$D$7="All",Dashboard!$D$7=B1649),OR(Dashboard!$F$7="All",Dashboard!$F$7=C1649),OR(Dashboard!$H$7="All",Dashboard!$H$7=D1649),OR(Dashboard!$K$7="All",Dashboard!$K$7=E1649)),1,0)</x:f>
        <x:v>1</x:v>
      </x:c>
      <x:c r="S1649" s="2" t="n">
        <x:f>IF(R1649=1,SUM($R$10:R1649),0)</x:f>
        <x:v>1276</x:v>
      </x:c>
      <x:c r="T1649" s="2" t="str">
        <x:v>Design &amp; Insights</x:v>
      </x:c>
      <x:c r="U1649" s="2" t="n">
        <x:v>277</x:v>
      </x:c>
      <x:c r="V1649" s="2" t="n">
        <x:f>IF(AND(M1649=1,P1649=0,ISNUMBER(J1649),J1649&lt;TODAY()),1,0)</x:f>
        <x:v>1</x:v>
      </x:c>
      <x:c r="W1649" s="2" t="str">
        <x:f>'Design &amp; Insights'!M277</x:f>
        <x:v>Task</x:v>
      </x:c>
    </x:row>
    <x:row r="1650" ht="40" customHeight="1">
      <x:c r="A1650" s="3" t="str">
        <x:f>HYPERLINK("#'Design &amp; Insights'!A278","Open")</x:f>
        <x:v>Open</x:v>
      </x:c>
      <x:c r="B1650" s="2" t="str">
        <x:f>'Design &amp; Insights'!B278</x:f>
        <x:v>Cycle 2</x:v>
      </x:c>
      <x:c r="C1650" s="2" t="str">
        <x:f>'Design &amp; Insights'!C278</x:f>
        <x:v>Phase 2</x:v>
      </x:c>
      <x:c r="D1650" s="2" t="str">
        <x:f>'Design &amp; Insights'!D278</x:f>
        <x:v>Retail Services</x:v>
      </x:c>
      <x:c r="E1650" s="2" t="str">
        <x:v>Design &amp; Insights</x:v>
      </x:c>
      <x:c r="F1650" s="56" t="str">
        <x:f>'Design &amp; Insights'!E278</x:f>
        <x:v>DI.RS.2.3</x:v>
      </x:c>
      <x:c r="G1650" s="14" t="str">
        <x:f>'Design &amp; Insights'!F278</x:f>
        <x:v>Participate in SME insight meetings to gain perspective and appetite on potential enhancements</x:v>
      </x:c>
      <x:c r="H1650" s="2" t="str">
        <x:f>IF('Design &amp; Insights'!G278="","",'Design &amp; Insights'!G278)</x:f>
      </x:c>
      <x:c r="I1650" s="12" t="str">
        <x:f>IF('Design &amp; Insights'!H278="","",'Design &amp; Insights'!H278)</x:f>
      </x:c>
      <x:c r="J1650" s="12" t="n">
        <x:f>IF('Design &amp; Insights'!I278="","",'Design &amp; Insights'!I278)</x:f>
        <x:v>46203</x:v>
      </x:c>
      <x:c r="K1650" s="12" t="str">
        <x:f>IF('Design &amp; Insights'!J278="","",'Design &amp; Insights'!J278)</x:f>
      </x:c>
      <x:c r="L1650" s="2" t="str">
        <x:f>IF('Design &amp; Insights'!K278="","",'Design &amp; Insights'!K278)</x:f>
      </x:c>
      <x:c r="M1650" s="2" t="n">
        <x:f>'Design &amp; Insights'!Q278</x:f>
        <x:v>1</x:v>
      </x:c>
      <x:c r="N1650" s="2" t="str">
        <x:f>'Design &amp; Insights'!L278</x:f>
        <x:v>Not started</x:v>
      </x:c>
      <x:c r="O1650" s="2" t="str">
        <x:f>'Design &amp; Insights'!N278</x:f>
        <x:v>DI.RS.2.3.2026.CY2</x:v>
      </x:c>
      <x:c r="P1650" s="2" t="n">
        <x:f>'Design &amp; Insights'!O278</x:f>
        <x:v>0</x:v>
      </x:c>
      <x:c r="Q1650" s="2" t="n">
        <x:f>SUBTOTAL(103,O1650)</x:f>
        <x:v>1</x:v>
      </x:c>
      <x:c r="R1650" s="2" t="n">
        <x:f>IF(AND(M1650=1,OR(Dashboard!$B$7="All",Dashboard!$B$7='Cycles &amp; Guide'!$C$5),OR(Dashboard!$D$7="All",Dashboard!$D$7=B1650),OR(Dashboard!$F$7="All",Dashboard!$F$7=C1650),OR(Dashboard!$H$7="All",Dashboard!$H$7=D1650),OR(Dashboard!$K$7="All",Dashboard!$K$7=E1650)),1,0)</x:f>
        <x:v>1</x:v>
      </x:c>
      <x:c r="S1650" s="2" t="n">
        <x:f>IF(R1650=1,SUM($R$10:R1650),0)</x:f>
        <x:v>1277</x:v>
      </x:c>
      <x:c r="T1650" s="2" t="str">
        <x:v>Design &amp; Insights</x:v>
      </x:c>
      <x:c r="U1650" s="2" t="n">
        <x:v>278</x:v>
      </x:c>
      <x:c r="V1650" s="2" t="n">
        <x:f>IF(AND(M1650=1,P1650=0,ISNUMBER(J1650),J1650&lt;TODAY()),1,0)</x:f>
        <x:v>1</x:v>
      </x:c>
      <x:c r="W1650" s="2" t="str">
        <x:f>'Design &amp; Insights'!M278</x:f>
        <x:v>Task</x:v>
      </x:c>
    </x:row>
    <x:row r="1651" ht="40" customHeight="1">
      <x:c r="A1651" s="3" t="str">
        <x:f>HYPERLINK("#'Design &amp; Insights'!A279","Open")</x:f>
        <x:v>Open</x:v>
      </x:c>
      <x:c r="B1651" s="2" t="str">
        <x:f>'Design &amp; Insights'!B279</x:f>
        <x:v>Cycle 2</x:v>
      </x:c>
      <x:c r="C1651" s="2" t="str">
        <x:f>'Design &amp; Insights'!C279</x:f>
        <x:v>Phase 2</x:v>
      </x:c>
      <x:c r="D1651" s="2" t="str">
        <x:f>'Design &amp; Insights'!D279</x:f>
        <x:v>Retail Services</x:v>
      </x:c>
      <x:c r="E1651" s="2" t="str">
        <x:v>Design &amp; Insights</x:v>
      </x:c>
      <x:c r="F1651" s="56" t="str">
        <x:f>'Design &amp; Insights'!E279</x:f>
        <x:v>DI.RS.2.4</x:v>
      </x:c>
      <x:c r="G1651" s="14" t="str">
        <x:f>'Design &amp; Insights'!F279</x:f>
        <x:v>Begin development of presentation materials as Research is being completed</x:v>
      </x:c>
      <x:c r="H1651" s="2" t="str">
        <x:f>IF('Design &amp; Insights'!G279="","",'Design &amp; Insights'!G279)</x:f>
      </x:c>
      <x:c r="I1651" s="12" t="str">
        <x:f>IF('Design &amp; Insights'!H279="","",'Design &amp; Insights'!H279)</x:f>
      </x:c>
      <x:c r="J1651" s="12" t="n">
        <x:f>IF('Design &amp; Insights'!I279="","",'Design &amp; Insights'!I279)</x:f>
        <x:v>46203</x:v>
      </x:c>
      <x:c r="K1651" s="12" t="str">
        <x:f>IF('Design &amp; Insights'!J279="","",'Design &amp; Insights'!J279)</x:f>
      </x:c>
      <x:c r="L1651" s="2" t="str">
        <x:f>IF('Design &amp; Insights'!K279="","",'Design &amp; Insights'!K279)</x:f>
      </x:c>
      <x:c r="M1651" s="2" t="n">
        <x:f>'Design &amp; Insights'!Q279</x:f>
        <x:v>1</x:v>
      </x:c>
      <x:c r="N1651" s="2" t="str">
        <x:f>'Design &amp; Insights'!L279</x:f>
        <x:v>Not started</x:v>
      </x:c>
      <x:c r="O1651" s="2" t="str">
        <x:f>'Design &amp; Insights'!N279</x:f>
        <x:v>DI.RS.2.4.2026.CY2</x:v>
      </x:c>
      <x:c r="P1651" s="2" t="n">
        <x:f>'Design &amp; Insights'!O279</x:f>
        <x:v>0</x:v>
      </x:c>
      <x:c r="Q1651" s="2" t="n">
        <x:f>SUBTOTAL(103,O1651)</x:f>
        <x:v>1</x:v>
      </x:c>
      <x:c r="R1651" s="2" t="n">
        <x:f>IF(AND(M1651=1,OR(Dashboard!$B$7="All",Dashboard!$B$7='Cycles &amp; Guide'!$C$5),OR(Dashboard!$D$7="All",Dashboard!$D$7=B1651),OR(Dashboard!$F$7="All",Dashboard!$F$7=C1651),OR(Dashboard!$H$7="All",Dashboard!$H$7=D1651),OR(Dashboard!$K$7="All",Dashboard!$K$7=E1651)),1,0)</x:f>
        <x:v>1</x:v>
      </x:c>
      <x:c r="S1651" s="2" t="n">
        <x:f>IF(R1651=1,SUM($R$10:R1651),0)</x:f>
        <x:v>1278</x:v>
      </x:c>
      <x:c r="T1651" s="2" t="str">
        <x:v>Design &amp; Insights</x:v>
      </x:c>
      <x:c r="U1651" s="2" t="n">
        <x:v>279</x:v>
      </x:c>
      <x:c r="V1651" s="2" t="n">
        <x:f>IF(AND(M1651=1,P1651=0,ISNUMBER(J1651),J1651&lt;TODAY()),1,0)</x:f>
        <x:v>1</x:v>
      </x:c>
      <x:c r="W1651" s="2" t="str">
        <x:f>'Design &amp; Insights'!M279</x:f>
        <x:v>Task</x:v>
      </x:c>
    </x:row>
    <x:row r="1652" ht="40" customHeight="1">
      <x:c r="A1652" s="3" t="str">
        <x:f>HYPERLINK("#'Design &amp; Insights'!A280","Open")</x:f>
        <x:v>Open</x:v>
      </x:c>
      <x:c r="B1652" s="2" t="str">
        <x:f>'Design &amp; Insights'!B280</x:f>
        <x:v>Cycle 2</x:v>
      </x:c>
      <x:c r="C1652" s="2" t="str">
        <x:f>'Design &amp; Insights'!C280</x:f>
        <x:v>Phase 2</x:v>
      </x:c>
      <x:c r="D1652" s="2" t="str">
        <x:f>'Design &amp; Insights'!D280</x:f>
        <x:v>Retail Services</x:v>
      </x:c>
      <x:c r="E1652" s="2" t="str">
        <x:v>Design &amp; Insights</x:v>
      </x:c>
      <x:c r="F1652" s="56" t="str">
        <x:f>'Design &amp; Insights'!E280</x:f>
        <x:v>DI.RS.2.5</x:v>
      </x:c>
      <x:c r="G1652" s="14" t="str">
        <x:f>'Design &amp; Insights'!F280</x:f>
        <x:v>Draft initial enhancement recommendations (as applicable)</x:v>
      </x:c>
      <x:c r="H1652" s="2" t="str">
        <x:f>IF('Design &amp; Insights'!G280="","",'Design &amp; Insights'!G280)</x:f>
      </x:c>
      <x:c r="I1652" s="12" t="str">
        <x:f>IF('Design &amp; Insights'!H280="","",'Design &amp; Insights'!H280)</x:f>
      </x:c>
      <x:c r="J1652" s="12" t="n">
        <x:f>IF('Design &amp; Insights'!I280="","",'Design &amp; Insights'!I280)</x:f>
        <x:v>46203</x:v>
      </x:c>
      <x:c r="K1652" s="12" t="str">
        <x:f>IF('Design &amp; Insights'!J280="","",'Design &amp; Insights'!J280)</x:f>
      </x:c>
      <x:c r="L1652" s="2" t="str">
        <x:f>IF('Design &amp; Insights'!K280="","",'Design &amp; Insights'!K280)</x:f>
      </x:c>
      <x:c r="M1652" s="2" t="n">
        <x:f>'Design &amp; Insights'!Q280</x:f>
        <x:v>1</x:v>
      </x:c>
      <x:c r="N1652" s="2" t="str">
        <x:f>'Design &amp; Insights'!L280</x:f>
        <x:v>Not started</x:v>
      </x:c>
      <x:c r="O1652" s="2" t="str">
        <x:f>'Design &amp; Insights'!N280</x:f>
        <x:v>DI.RS.2.5.2026.CY2</x:v>
      </x:c>
      <x:c r="P1652" s="2" t="n">
        <x:f>'Design &amp; Insights'!O280</x:f>
        <x:v>0</x:v>
      </x:c>
      <x:c r="Q1652" s="2" t="n">
        <x:f>SUBTOTAL(103,O1652)</x:f>
        <x:v>1</x:v>
      </x:c>
      <x:c r="R1652" s="2" t="n">
        <x:f>IF(AND(M1652=1,OR(Dashboard!$B$7="All",Dashboard!$B$7='Cycles &amp; Guide'!$C$5),OR(Dashboard!$D$7="All",Dashboard!$D$7=B1652),OR(Dashboard!$F$7="All",Dashboard!$F$7=C1652),OR(Dashboard!$H$7="All",Dashboard!$H$7=D1652),OR(Dashboard!$K$7="All",Dashboard!$K$7=E1652)),1,0)</x:f>
        <x:v>1</x:v>
      </x:c>
      <x:c r="S1652" s="2" t="n">
        <x:f>IF(R1652=1,SUM($R$10:R1652),0)</x:f>
        <x:v>1279</x:v>
      </x:c>
      <x:c r="T1652" s="2" t="str">
        <x:v>Design &amp; Insights</x:v>
      </x:c>
      <x:c r="U1652" s="2" t="n">
        <x:v>280</x:v>
      </x:c>
      <x:c r="V1652" s="2" t="n">
        <x:f>IF(AND(M1652=1,P1652=0,ISNUMBER(J1652),J1652&lt;TODAY()),1,0)</x:f>
        <x:v>1</x:v>
      </x:c>
      <x:c r="W1652" s="2" t="str">
        <x:f>'Design &amp; Insights'!M280</x:f>
        <x:v>Task</x:v>
      </x:c>
    </x:row>
    <x:row r="1653" ht="40" customHeight="1">
      <x:c r="A1653" s="3" t="str">
        <x:f>HYPERLINK("#'Design &amp; Insights'!A281","Open")</x:f>
        <x:v>Open</x:v>
      </x:c>
      <x:c r="B1653" s="2" t="str">
        <x:f>'Design &amp; Insights'!B281</x:f>
        <x:v>Cycle 2</x:v>
      </x:c>
      <x:c r="C1653" s="2" t="str">
        <x:f>'Design &amp; Insights'!C281</x:f>
        <x:v>Phase 2</x:v>
      </x:c>
      <x:c r="D1653" s="2" t="str">
        <x:f>'Design &amp; Insights'!D281</x:f>
        <x:v>Retail Services</x:v>
      </x:c>
      <x:c r="E1653" s="2" t="str">
        <x:v>Design &amp; Insights</x:v>
      </x:c>
      <x:c r="F1653" s="56" t="str">
        <x:f>'Design &amp; Insights'!E281</x:f>
        <x:v>DI.RS.2.6</x:v>
      </x:c>
      <x:c r="G1653" s="14" t="str">
        <x:f>'Design &amp; Insights'!F281</x:f>
        <x:v>Finalize presentation deck draft at conclusion of Research phase</x:v>
      </x:c>
      <x:c r="H1653" s="2" t="str">
        <x:f>IF('Design &amp; Insights'!G281="","",'Design &amp; Insights'!G281)</x:f>
      </x:c>
      <x:c r="I1653" s="12" t="str">
        <x:f>IF('Design &amp; Insights'!H281="","",'Design &amp; Insights'!H281)</x:f>
      </x:c>
      <x:c r="J1653" s="12" t="n">
        <x:f>IF('Design &amp; Insights'!I281="","",'Design &amp; Insights'!I281)</x:f>
        <x:v>46203</x:v>
      </x:c>
      <x:c r="K1653" s="12" t="str">
        <x:f>IF('Design &amp; Insights'!J281="","",'Design &amp; Insights'!J281)</x:f>
      </x:c>
      <x:c r="L1653" s="2" t="str">
        <x:f>IF('Design &amp; Insights'!K281="","",'Design &amp; Insights'!K281)</x:f>
      </x:c>
      <x:c r="M1653" s="2" t="n">
        <x:f>'Design &amp; Insights'!Q281</x:f>
        <x:v>1</x:v>
      </x:c>
      <x:c r="N1653" s="2" t="str">
        <x:f>'Design &amp; Insights'!L281</x:f>
        <x:v>Not started</x:v>
      </x:c>
      <x:c r="O1653" s="2" t="str">
        <x:f>'Design &amp; Insights'!N281</x:f>
        <x:v>DI.RS.2.6.2026.CY2</x:v>
      </x:c>
      <x:c r="P1653" s="2" t="n">
        <x:f>'Design &amp; Insights'!O281</x:f>
        <x:v>0</x:v>
      </x:c>
      <x:c r="Q1653" s="2" t="n">
        <x:f>SUBTOTAL(103,O1653)</x:f>
        <x:v>1</x:v>
      </x:c>
      <x:c r="R1653" s="2" t="n">
        <x:f>IF(AND(M1653=1,OR(Dashboard!$B$7="All",Dashboard!$B$7='Cycles &amp; Guide'!$C$5),OR(Dashboard!$D$7="All",Dashboard!$D$7=B1653),OR(Dashboard!$F$7="All",Dashboard!$F$7=C1653),OR(Dashboard!$H$7="All",Dashboard!$H$7=D1653),OR(Dashboard!$K$7="All",Dashboard!$K$7=E1653)),1,0)</x:f>
        <x:v>1</x:v>
      </x:c>
      <x:c r="S1653" s="2" t="n">
        <x:f>IF(R1653=1,SUM($R$10:R1653),0)</x:f>
        <x:v>1280</x:v>
      </x:c>
      <x:c r="T1653" s="2" t="str">
        <x:v>Design &amp; Insights</x:v>
      </x:c>
      <x:c r="U1653" s="2" t="n">
        <x:v>281</x:v>
      </x:c>
      <x:c r="V1653" s="2" t="n">
        <x:f>IF(AND(M1653=1,P1653=0,ISNUMBER(J1653),J1653&lt;TODAY()),1,0)</x:f>
        <x:v>1</x:v>
      </x:c>
      <x:c r="W1653" s="2" t="str">
        <x:f>'Design &amp; Insights'!M281</x:f>
        <x:v>Task</x:v>
      </x:c>
    </x:row>
    <x:row r="1654" ht="40" customHeight="1">
      <x:c r="A1654" s="3" t="str">
        <x:f>HYPERLINK("#'Design &amp; Insights'!A282","Open")</x:f>
        <x:v>Open</x:v>
      </x:c>
      <x:c r="B1654" s="2" t="str">
        <x:f>'Design &amp; Insights'!B282</x:f>
        <x:v>Cycle 2</x:v>
      </x:c>
      <x:c r="C1654" s="2" t="str">
        <x:f>'Design &amp; Insights'!C282</x:f>
        <x:v>Phase 2</x:v>
      </x:c>
      <x:c r="D1654" s="2" t="str">
        <x:f>'Design &amp; Insights'!D282</x:f>
        <x:v>Retail Services</x:v>
      </x:c>
      <x:c r="E1654" s="2" t="str">
        <x:v>Design &amp; Insights</x:v>
      </x:c>
      <x:c r="F1654" s="56" t="str">
        <x:f>'Design &amp; Insights'!E282</x:f>
        <x:v>DI.RS.2.7</x:v>
      </x:c>
      <x:c r="G1654" s="14" t="str">
        <x:f>'Design &amp; Insights'!F282</x:f>
        <x:v>Update Outcome portion of research plan with current enhancement verbiage (as needed)</x:v>
      </x:c>
      <x:c r="H1654" s="2" t="str">
        <x:f>IF('Design &amp; Insights'!G282="","",'Design &amp; Insights'!G282)</x:f>
      </x:c>
      <x:c r="I1654" s="12" t="str">
        <x:f>IF('Design &amp; Insights'!H282="","",'Design &amp; Insights'!H282)</x:f>
      </x:c>
      <x:c r="J1654" s="12" t="n">
        <x:f>IF('Design &amp; Insights'!I282="","",'Design &amp; Insights'!I282)</x:f>
        <x:v>46203</x:v>
      </x:c>
      <x:c r="K1654" s="12" t="str">
        <x:f>IF('Design &amp; Insights'!J282="","",'Design &amp; Insights'!J282)</x:f>
      </x:c>
      <x:c r="L1654" s="2" t="str">
        <x:f>IF('Design &amp; Insights'!K282="","",'Design &amp; Insights'!K282)</x:f>
      </x:c>
      <x:c r="M1654" s="2" t="n">
        <x:f>'Design &amp; Insights'!Q282</x:f>
        <x:v>1</x:v>
      </x:c>
      <x:c r="N1654" s="2" t="str">
        <x:f>'Design &amp; Insights'!L282</x:f>
        <x:v>Not started</x:v>
      </x:c>
      <x:c r="O1654" s="2" t="str">
        <x:f>'Design &amp; Insights'!N282</x:f>
        <x:v>DI.RS.2.7.2026.CY2</x:v>
      </x:c>
      <x:c r="P1654" s="2" t="n">
        <x:f>'Design &amp; Insights'!O282</x:f>
        <x:v>0</x:v>
      </x:c>
      <x:c r="Q1654" s="2" t="n">
        <x:f>SUBTOTAL(103,O1654)</x:f>
        <x:v>1</x:v>
      </x:c>
      <x:c r="R1654" s="2" t="n">
        <x:f>IF(AND(M1654=1,OR(Dashboard!$B$7="All",Dashboard!$B$7='Cycles &amp; Guide'!$C$5),OR(Dashboard!$D$7="All",Dashboard!$D$7=B1654),OR(Dashboard!$F$7="All",Dashboard!$F$7=C1654),OR(Dashboard!$H$7="All",Dashboard!$H$7=D1654),OR(Dashboard!$K$7="All",Dashboard!$K$7=E1654)),1,0)</x:f>
        <x:v>1</x:v>
      </x:c>
      <x:c r="S1654" s="2" t="n">
        <x:f>IF(R1654=1,SUM($R$10:R1654),0)</x:f>
        <x:v>1281</x:v>
      </x:c>
      <x:c r="T1654" s="2" t="str">
        <x:v>Design &amp; Insights</x:v>
      </x:c>
      <x:c r="U1654" s="2" t="n">
        <x:v>282</x:v>
      </x:c>
      <x:c r="V1654" s="2" t="n">
        <x:f>IF(AND(M1654=1,P1654=0,ISNUMBER(J1654),J1654&lt;TODAY()),1,0)</x:f>
        <x:v>1</x:v>
      </x:c>
      <x:c r="W1654" s="2" t="str">
        <x:f>'Design &amp; Insights'!M282</x:f>
        <x:v>Task</x:v>
      </x:c>
    </x:row>
    <x:row r="1655" ht="40" customHeight="1">
      <x:c r="A1655" s="3" t="str">
        <x:f>HYPERLINK("#'Design &amp; Insights'!A283","Open")</x:f>
        <x:v>Open</x:v>
      </x:c>
      <x:c r="B1655" s="2" t="str">
        <x:f>'Design &amp; Insights'!B283</x:f>
        <x:v>Cycle 2</x:v>
      </x:c>
      <x:c r="C1655" s="2" t="str">
        <x:f>'Design &amp; Insights'!C283</x:f>
        <x:v>Phase 3</x:v>
      </x:c>
      <x:c r="D1655" s="2" t="str">
        <x:f>'Design &amp; Insights'!D283</x:f>
        <x:v>Retail Services</x:v>
      </x:c>
      <x:c r="E1655" s="2" t="str">
        <x:v>Design &amp; Insights</x:v>
      </x:c>
      <x:c r="F1655" s="56" t="str">
        <x:f>'Design &amp; Insights'!E283</x:f>
        <x:v>DI.RS.3.1</x:v>
      </x:c>
      <x:c r="G1655" s="14" t="str">
        <x:f>'Design &amp; Insights'!F283</x:f>
        <x:v>Confirm list of required &amp; optional attendees for pre-socialization meeting</x:v>
      </x:c>
      <x:c r="H1655" s="2" t="str">
        <x:f>IF('Design &amp; Insights'!G283="","",'Design &amp; Insights'!G283)</x:f>
      </x:c>
      <x:c r="I1655" s="12" t="str">
        <x:f>IF('Design &amp; Insights'!H283="","",'Design &amp; Insights'!H283)</x:f>
      </x:c>
      <x:c r="J1655" s="12" t="n">
        <x:f>IF('Design &amp; Insights'!I283="","",'Design &amp; Insights'!I283)</x:f>
        <x:v>46203</x:v>
      </x:c>
      <x:c r="K1655" s="12" t="str">
        <x:f>IF('Design &amp; Insights'!J283="","",'Design &amp; Insights'!J283)</x:f>
      </x:c>
      <x:c r="L1655" s="2" t="str">
        <x:f>IF('Design &amp; Insights'!K283="","",'Design &amp; Insights'!K283)</x:f>
      </x:c>
      <x:c r="M1655" s="2" t="n">
        <x:f>'Design &amp; Insights'!Q283</x:f>
        <x:v>1</x:v>
      </x:c>
      <x:c r="N1655" s="2" t="str">
        <x:f>'Design &amp; Insights'!L283</x:f>
        <x:v>Not started</x:v>
      </x:c>
      <x:c r="O1655" s="2" t="str">
        <x:f>'Design &amp; Insights'!N283</x:f>
        <x:v>DI.RS.3.1.2026.CY2</x:v>
      </x:c>
      <x:c r="P1655" s="2" t="n">
        <x:f>'Design &amp; Insights'!O283</x:f>
        <x:v>0</x:v>
      </x:c>
      <x:c r="Q1655" s="2" t="n">
        <x:f>SUBTOTAL(103,O1655)</x:f>
        <x:v>1</x:v>
      </x:c>
      <x:c r="R1655" s="2" t="n">
        <x:f>IF(AND(M1655=1,OR(Dashboard!$B$7="All",Dashboard!$B$7='Cycles &amp; Guide'!$C$5),OR(Dashboard!$D$7="All",Dashboard!$D$7=B1655),OR(Dashboard!$F$7="All",Dashboard!$F$7=C1655),OR(Dashboard!$H$7="All",Dashboard!$H$7=D1655),OR(Dashboard!$K$7="All",Dashboard!$K$7=E1655)),1,0)</x:f>
        <x:v>1</x:v>
      </x:c>
      <x:c r="S1655" s="2" t="n">
        <x:f>IF(R1655=1,SUM($R$10:R1655),0)</x:f>
        <x:v>1282</x:v>
      </x:c>
      <x:c r="T1655" s="2" t="str">
        <x:v>Design &amp; Insights</x:v>
      </x:c>
      <x:c r="U1655" s="2" t="n">
        <x:v>283</x:v>
      </x:c>
      <x:c r="V1655" s="2" t="n">
        <x:f>IF(AND(M1655=1,P1655=0,ISNUMBER(J1655),J1655&lt;TODAY()),1,0)</x:f>
        <x:v>1</x:v>
      </x:c>
      <x:c r="W1655" s="2" t="str">
        <x:f>'Design &amp; Insights'!M283</x:f>
        <x:v>Task</x:v>
      </x:c>
    </x:row>
    <x:row r="1656" ht="40" customHeight="1">
      <x:c r="A1656" s="3" t="str">
        <x:f>HYPERLINK("#'Design &amp; Insights'!A284","Open")</x:f>
        <x:v>Open</x:v>
      </x:c>
      <x:c r="B1656" s="2" t="str">
        <x:f>'Design &amp; Insights'!B284</x:f>
        <x:v>Cycle 2</x:v>
      </x:c>
      <x:c r="C1656" s="2" t="str">
        <x:f>'Design &amp; Insights'!C284</x:f>
        <x:v>Phase 3</x:v>
      </x:c>
      <x:c r="D1656" s="2" t="str">
        <x:f>'Design &amp; Insights'!D284</x:f>
        <x:v>Retail Services</x:v>
      </x:c>
      <x:c r="E1656" s="2" t="str">
        <x:v>Design &amp; Insights</x:v>
      </x:c>
      <x:c r="F1656" s="56" t="str">
        <x:f>'Design &amp; Insights'!E284</x:f>
        <x:v>DI.RS.3.2</x:v>
      </x:c>
      <x:c r="G1656" s="14" t="str">
        <x:f>'Design &amp; Insights'!F284</x:f>
        <x:v>Schedule pre-socialization meeting 1 week prior to RCA Forum</x:v>
      </x:c>
      <x:c r="H1656" s="2" t="str">
        <x:f>IF('Design &amp; Insights'!G284="","",'Design &amp; Insights'!G284)</x:f>
      </x:c>
      <x:c r="I1656" s="12" t="str">
        <x:f>IF('Design &amp; Insights'!H284="","",'Design &amp; Insights'!H284)</x:f>
      </x:c>
      <x:c r="J1656" s="12" t="str">
        <x:f>IF('Design &amp; Insights'!I284="","",'Design &amp; Insights'!I284)</x:f>
      </x:c>
      <x:c r="K1656" s="12" t="str">
        <x:f>IF('Design &amp; Insights'!J284="","",'Design &amp; Insights'!J284)</x:f>
      </x:c>
      <x:c r="L1656" s="2" t="str">
        <x:f>IF('Design &amp; Insights'!K284="","",'Design &amp; Insights'!K284)</x:f>
      </x:c>
      <x:c r="M1656" s="2" t="n">
        <x:f>'Design &amp; Insights'!Q284</x:f>
        <x:v>1</x:v>
      </x:c>
      <x:c r="N1656" s="2" t="str">
        <x:f>'Design &amp; Insights'!L284</x:f>
        <x:v>Not started</x:v>
      </x:c>
      <x:c r="O1656" s="2" t="str">
        <x:f>'Design &amp; Insights'!N284</x:f>
        <x:v>DI.RS.3.2.2026.CY2</x:v>
      </x:c>
      <x:c r="P1656" s="2" t="n">
        <x:f>'Design &amp; Insights'!O284</x:f>
        <x:v>0</x:v>
      </x:c>
      <x:c r="Q1656" s="2" t="n">
        <x:f>SUBTOTAL(103,O1656)</x:f>
        <x:v>1</x:v>
      </x:c>
      <x:c r="R1656" s="2" t="n">
        <x:f>IF(AND(M1656=1,OR(Dashboard!$B$7="All",Dashboard!$B$7='Cycles &amp; Guide'!$C$5),OR(Dashboard!$D$7="All",Dashboard!$D$7=B1656),OR(Dashboard!$F$7="All",Dashboard!$F$7=C1656),OR(Dashboard!$H$7="All",Dashboard!$H$7=D1656),OR(Dashboard!$K$7="All",Dashboard!$K$7=E1656)),1,0)</x:f>
        <x:v>1</x:v>
      </x:c>
      <x:c r="S1656" s="2" t="n">
        <x:f>IF(R1656=1,SUM($R$10:R1656),0)</x:f>
        <x:v>1283</x:v>
      </x:c>
      <x:c r="T1656" s="2" t="str">
        <x:v>Design &amp; Insights</x:v>
      </x:c>
      <x:c r="U1656" s="2" t="n">
        <x:v>284</x:v>
      </x:c>
      <x:c r="V1656" s="2" t="n">
        <x:f>IF(AND(M1656=1,P1656=0,ISNUMBER(J1656),J1656&lt;TODAY()),1,0)</x:f>
        <x:v>0</x:v>
      </x:c>
      <x:c r="W1656" s="2" t="str">
        <x:f>'Design &amp; Insights'!M284</x:f>
        <x:v>Task</x:v>
      </x:c>
    </x:row>
    <x:row r="1657" ht="40" customHeight="1">
      <x:c r="A1657" s="3" t="str">
        <x:f>HYPERLINK("#'Design &amp; Insights'!A285","Open")</x:f>
        <x:v>Open</x:v>
      </x:c>
      <x:c r="B1657" s="2" t="str">
        <x:f>'Design &amp; Insights'!B285</x:f>
        <x:v>Cycle 2</x:v>
      </x:c>
      <x:c r="C1657" s="2" t="str">
        <x:f>'Design &amp; Insights'!C285</x:f>
        <x:v>Phase 3</x:v>
      </x:c>
      <x:c r="D1657" s="2" t="str">
        <x:f>'Design &amp; Insights'!D285</x:f>
        <x:v>Retail Services</x:v>
      </x:c>
      <x:c r="E1657" s="2" t="str">
        <x:v>Design &amp; Insights</x:v>
      </x:c>
      <x:c r="F1657" s="56" t="str">
        <x:f>'Design &amp; Insights'!E285</x:f>
        <x:v>DI.RS.3.3</x:v>
      </x:c>
      <x:c r="G1657" s="14" t="str">
        <x:f>'Design &amp; Insights'!F285</x:f>
        <x:v>Present findings, conclusions, and recommendation to SMEs</x:v>
      </x:c>
      <x:c r="H1657" s="2" t="str">
        <x:f>IF('Design &amp; Insights'!G285="","",'Design &amp; Insights'!G285)</x:f>
      </x:c>
      <x:c r="I1657" s="12" t="str">
        <x:f>IF('Design &amp; Insights'!H285="","",'Design &amp; Insights'!H285)</x:f>
      </x:c>
      <x:c r="J1657" s="12" t="n">
        <x:f>IF('Design &amp; Insights'!I285="","",'Design &amp; Insights'!I285)</x:f>
        <x:v>46203</x:v>
      </x:c>
      <x:c r="K1657" s="12" t="str">
        <x:f>IF('Design &amp; Insights'!J285="","",'Design &amp; Insights'!J285)</x:f>
      </x:c>
      <x:c r="L1657" s="2" t="str">
        <x:f>IF('Design &amp; Insights'!K285="","",'Design &amp; Insights'!K285)</x:f>
      </x:c>
      <x:c r="M1657" s="2" t="n">
        <x:f>'Design &amp; Insights'!Q285</x:f>
        <x:v>1</x:v>
      </x:c>
      <x:c r="N1657" s="2" t="str">
        <x:f>'Design &amp; Insights'!L285</x:f>
        <x:v>Not started</x:v>
      </x:c>
      <x:c r="O1657" s="2" t="str">
        <x:f>'Design &amp; Insights'!N285</x:f>
        <x:v>DI.RS.3.3.2026.CY2</x:v>
      </x:c>
      <x:c r="P1657" s="2" t="n">
        <x:f>'Design &amp; Insights'!O285</x:f>
        <x:v>0</x:v>
      </x:c>
      <x:c r="Q1657" s="2" t="n">
        <x:f>SUBTOTAL(103,O1657)</x:f>
        <x:v>1</x:v>
      </x:c>
      <x:c r="R1657" s="2" t="n">
        <x:f>IF(AND(M1657=1,OR(Dashboard!$B$7="All",Dashboard!$B$7='Cycles &amp; Guide'!$C$5),OR(Dashboard!$D$7="All",Dashboard!$D$7=B1657),OR(Dashboard!$F$7="All",Dashboard!$F$7=C1657),OR(Dashboard!$H$7="All",Dashboard!$H$7=D1657),OR(Dashboard!$K$7="All",Dashboard!$K$7=E1657)),1,0)</x:f>
        <x:v>1</x:v>
      </x:c>
      <x:c r="S1657" s="2" t="n">
        <x:f>IF(R1657=1,SUM($R$10:R1657),0)</x:f>
        <x:v>1284</x:v>
      </x:c>
      <x:c r="T1657" s="2" t="str">
        <x:v>Design &amp; Insights</x:v>
      </x:c>
      <x:c r="U1657" s="2" t="n">
        <x:v>285</x:v>
      </x:c>
      <x:c r="V1657" s="2" t="n">
        <x:f>IF(AND(M1657=1,P1657=0,ISNUMBER(J1657),J1657&lt;TODAY()),1,0)</x:f>
        <x:v>1</x:v>
      </x:c>
      <x:c r="W1657" s="2" t="str">
        <x:f>'Design &amp; Insights'!M285</x:f>
        <x:v>Task</x:v>
      </x:c>
    </x:row>
    <x:row r="1658" ht="40" customHeight="1">
      <x:c r="A1658" s="3" t="str">
        <x:f>HYPERLINK("#'Design &amp; Insights'!A286","Open")</x:f>
        <x:v>Open</x:v>
      </x:c>
      <x:c r="B1658" s="2" t="str">
        <x:f>'Design &amp; Insights'!B286</x:f>
        <x:v>Cycle 2</x:v>
      </x:c>
      <x:c r="C1658" s="2" t="str">
        <x:f>'Design &amp; Insights'!C286</x:f>
        <x:v>Phase 3</x:v>
      </x:c>
      <x:c r="D1658" s="2" t="str">
        <x:f>'Design &amp; Insights'!D286</x:f>
        <x:v>Retail Services</x:v>
      </x:c>
      <x:c r="E1658" s="2" t="str">
        <x:v>Design &amp; Insights</x:v>
      </x:c>
      <x:c r="F1658" s="56" t="str">
        <x:f>'Design &amp; Insights'!E286</x:f>
        <x:v>DI.RS.3.4</x:v>
      </x:c>
      <x:c r="G1658" s="14" t="str">
        <x:f>'Design &amp; Insights'!F286</x:f>
        <x:v>Update Outcome portion of research plan (as needed)</x:v>
      </x:c>
      <x:c r="H1658" s="2" t="str">
        <x:f>IF('Design &amp; Insights'!G286="","",'Design &amp; Insights'!G286)</x:f>
      </x:c>
      <x:c r="I1658" s="12" t="str">
        <x:f>IF('Design &amp; Insights'!H286="","",'Design &amp; Insights'!H286)</x:f>
      </x:c>
      <x:c r="J1658" s="12" t="n">
        <x:f>IF('Design &amp; Insights'!I286="","",'Design &amp; Insights'!I286)</x:f>
        <x:v>46203</x:v>
      </x:c>
      <x:c r="K1658" s="12" t="str">
        <x:f>IF('Design &amp; Insights'!J286="","",'Design &amp; Insights'!J286)</x:f>
      </x:c>
      <x:c r="L1658" s="2" t="str">
        <x:f>IF('Design &amp; Insights'!K286="","",'Design &amp; Insights'!K286)</x:f>
      </x:c>
      <x:c r="M1658" s="2" t="n">
        <x:f>'Design &amp; Insights'!Q286</x:f>
        <x:v>1</x:v>
      </x:c>
      <x:c r="N1658" s="2" t="str">
        <x:f>'Design &amp; Insights'!L286</x:f>
        <x:v>Not started</x:v>
      </x:c>
      <x:c r="O1658" s="2" t="str">
        <x:f>'Design &amp; Insights'!N286</x:f>
        <x:v>DI.RS.3.4.2026.CY2</x:v>
      </x:c>
      <x:c r="P1658" s="2" t="n">
        <x:f>'Design &amp; Insights'!O286</x:f>
        <x:v>0</x:v>
      </x:c>
      <x:c r="Q1658" s="2" t="n">
        <x:f>SUBTOTAL(103,O1658)</x:f>
        <x:v>1</x:v>
      </x:c>
      <x:c r="R1658" s="2" t="n">
        <x:f>IF(AND(M1658=1,OR(Dashboard!$B$7="All",Dashboard!$B$7='Cycles &amp; Guide'!$C$5),OR(Dashboard!$D$7="All",Dashboard!$D$7=B1658),OR(Dashboard!$F$7="All",Dashboard!$F$7=C1658),OR(Dashboard!$H$7="All",Dashboard!$H$7=D1658),OR(Dashboard!$K$7="All",Dashboard!$K$7=E1658)),1,0)</x:f>
        <x:v>1</x:v>
      </x:c>
      <x:c r="S1658" s="2" t="n">
        <x:f>IF(R1658=1,SUM($R$10:R1658),0)</x:f>
        <x:v>1285</x:v>
      </x:c>
      <x:c r="T1658" s="2" t="str">
        <x:v>Design &amp; Insights</x:v>
      </x:c>
      <x:c r="U1658" s="2" t="n">
        <x:v>286</x:v>
      </x:c>
      <x:c r="V1658" s="2" t="n">
        <x:f>IF(AND(M1658=1,P1658=0,ISNUMBER(J1658),J1658&lt;TODAY()),1,0)</x:f>
        <x:v>1</x:v>
      </x:c>
      <x:c r="W1658" s="2" t="str">
        <x:f>'Design &amp; Insights'!M286</x:f>
        <x:v>Task</x:v>
      </x:c>
    </x:row>
    <x:row r="1659" ht="40" customHeight="1">
      <x:c r="A1659" s="3" t="str">
        <x:f>HYPERLINK("#'Design &amp; Insights'!A287","Open")</x:f>
        <x:v>Open</x:v>
      </x:c>
      <x:c r="B1659" s="2" t="str">
        <x:f>'Design &amp; Insights'!B287</x:f>
        <x:v>Cycle 2</x:v>
      </x:c>
      <x:c r="C1659" s="2" t="str">
        <x:f>'Design &amp; Insights'!C287</x:f>
        <x:v>Phase 3</x:v>
      </x:c>
      <x:c r="D1659" s="2" t="str">
        <x:f>'Design &amp; Insights'!D287</x:f>
        <x:v>Retail Services</x:v>
      </x:c>
      <x:c r="E1659" s="2" t="str">
        <x:v>Design &amp; Insights</x:v>
      </x:c>
      <x:c r="F1659" s="56" t="str">
        <x:f>'Design &amp; Insights'!E287</x:f>
        <x:v>DI.RS.3.5</x:v>
      </x:c>
      <x:c r="G1659" s="14" t="str">
        <x:f>'Design &amp; Insights'!F287</x:f>
        <x:v>Finalize presentation deck by incorporating pre-socialization feedback (as needed)</x:v>
      </x:c>
      <x:c r="H1659" s="2" t="str">
        <x:f>IF('Design &amp; Insights'!G287="","",'Design &amp; Insights'!G287)</x:f>
      </x:c>
      <x:c r="I1659" s="12" t="str">
        <x:f>IF('Design &amp; Insights'!H287="","",'Design &amp; Insights'!H287)</x:f>
      </x:c>
      <x:c r="J1659" s="12" t="n">
        <x:f>IF('Design &amp; Insights'!I287="","",'Design &amp; Insights'!I287)</x:f>
        <x:v>46203</x:v>
      </x:c>
      <x:c r="K1659" s="12" t="str">
        <x:f>IF('Design &amp; Insights'!J287="","",'Design &amp; Insights'!J287)</x:f>
      </x:c>
      <x:c r="L1659" s="2" t="str">
        <x:f>IF('Design &amp; Insights'!K287="","",'Design &amp; Insights'!K287)</x:f>
      </x:c>
      <x:c r="M1659" s="2" t="n">
        <x:f>'Design &amp; Insights'!Q287</x:f>
        <x:v>1</x:v>
      </x:c>
      <x:c r="N1659" s="2" t="str">
        <x:f>'Design &amp; Insights'!L287</x:f>
        <x:v>Not started</x:v>
      </x:c>
      <x:c r="O1659" s="2" t="str">
        <x:f>'Design &amp; Insights'!N287</x:f>
        <x:v>DI.RS.3.5.2026.CY2</x:v>
      </x:c>
      <x:c r="P1659" s="2" t="n">
        <x:f>'Design &amp; Insights'!O287</x:f>
        <x:v>0</x:v>
      </x:c>
      <x:c r="Q1659" s="2" t="n">
        <x:f>SUBTOTAL(103,O1659)</x:f>
        <x:v>1</x:v>
      </x:c>
      <x:c r="R1659" s="2" t="n">
        <x:f>IF(AND(M1659=1,OR(Dashboard!$B$7="All",Dashboard!$B$7='Cycles &amp; Guide'!$C$5),OR(Dashboard!$D$7="All",Dashboard!$D$7=B1659),OR(Dashboard!$F$7="All",Dashboard!$F$7=C1659),OR(Dashboard!$H$7="All",Dashboard!$H$7=D1659),OR(Dashboard!$K$7="All",Dashboard!$K$7=E1659)),1,0)</x:f>
        <x:v>1</x:v>
      </x:c>
      <x:c r="S1659" s="2" t="n">
        <x:f>IF(R1659=1,SUM($R$10:R1659),0)</x:f>
        <x:v>1286</x:v>
      </x:c>
      <x:c r="T1659" s="2" t="str">
        <x:v>Design &amp; Insights</x:v>
      </x:c>
      <x:c r="U1659" s="2" t="n">
        <x:v>287</x:v>
      </x:c>
      <x:c r="V1659" s="2" t="n">
        <x:f>IF(AND(M1659=1,P1659=0,ISNUMBER(J1659),J1659&lt;TODAY()),1,0)</x:f>
        <x:v>1</x:v>
      </x:c>
      <x:c r="W1659" s="2" t="str">
        <x:f>'Design &amp; Insights'!M287</x:f>
        <x:v>Task</x:v>
      </x:c>
    </x:row>
    <x:row r="1660" ht="40" customHeight="1">
      <x:c r="A1660" s="3" t="str">
        <x:f>HYPERLINK("#'Design &amp; Insights'!A288","Open")</x:f>
        <x:v>Open</x:v>
      </x:c>
      <x:c r="B1660" s="2" t="str">
        <x:f>'Design &amp; Insights'!B288</x:f>
        <x:v>Cycle 2</x:v>
      </x:c>
      <x:c r="C1660" s="2" t="str">
        <x:f>'Design &amp; Insights'!C288</x:f>
        <x:v>Phase 3</x:v>
      </x:c>
      <x:c r="D1660" s="2" t="str">
        <x:f>'Design &amp; Insights'!D288</x:f>
        <x:v>Retail Services</x:v>
      </x:c>
      <x:c r="E1660" s="2" t="str">
        <x:v>Design &amp; Insights</x:v>
      </x:c>
      <x:c r="F1660" s="56" t="str">
        <x:f>'Design &amp; Insights'!E288</x:f>
        <x:v>DI.RS.3.6</x:v>
      </x:c>
      <x:c r="G1660" s="14" t="str">
        <x:f>'Design &amp; Insights'!F288</x:f>
        <x:v>Ensure final deck is communicated to Forum attendees</x:v>
      </x:c>
      <x:c r="H1660" s="2" t="str">
        <x:f>IF('Design &amp; Insights'!G288="","",'Design &amp; Insights'!G288)</x:f>
      </x:c>
      <x:c r="I1660" s="12" t="str">
        <x:f>IF('Design &amp; Insights'!H288="","",'Design &amp; Insights'!H288)</x:f>
      </x:c>
      <x:c r="J1660" s="12" t="n">
        <x:f>IF('Design &amp; Insights'!I288="","",'Design &amp; Insights'!I288)</x:f>
        <x:v>46203</x:v>
      </x:c>
      <x:c r="K1660" s="12" t="str">
        <x:f>IF('Design &amp; Insights'!J288="","",'Design &amp; Insights'!J288)</x:f>
      </x:c>
      <x:c r="L1660" s="2" t="str">
        <x:f>IF('Design &amp; Insights'!K288="","",'Design &amp; Insights'!K288)</x:f>
      </x:c>
      <x:c r="M1660" s="2" t="n">
        <x:f>'Design &amp; Insights'!Q288</x:f>
        <x:v>1</x:v>
      </x:c>
      <x:c r="N1660" s="2" t="str">
        <x:f>'Design &amp; Insights'!L288</x:f>
        <x:v>Not started</x:v>
      </x:c>
      <x:c r="O1660" s="2" t="str">
        <x:f>'Design &amp; Insights'!N288</x:f>
        <x:v>DI.RS.3.6.2026.CY2</x:v>
      </x:c>
      <x:c r="P1660" s="2" t="n">
        <x:f>'Design &amp; Insights'!O288</x:f>
        <x:v>0</x:v>
      </x:c>
      <x:c r="Q1660" s="2" t="n">
        <x:f>SUBTOTAL(103,O1660)</x:f>
        <x:v>1</x:v>
      </x:c>
      <x:c r="R1660" s="2" t="n">
        <x:f>IF(AND(M1660=1,OR(Dashboard!$B$7="All",Dashboard!$B$7='Cycles &amp; Guide'!$C$5),OR(Dashboard!$D$7="All",Dashboard!$D$7=B1660),OR(Dashboard!$F$7="All",Dashboard!$F$7=C1660),OR(Dashboard!$H$7="All",Dashboard!$H$7=D1660),OR(Dashboard!$K$7="All",Dashboard!$K$7=E1660)),1,0)</x:f>
        <x:v>1</x:v>
      </x:c>
      <x:c r="S1660" s="2" t="n">
        <x:f>IF(R1660=1,SUM($R$10:R1660),0)</x:f>
        <x:v>1287</x:v>
      </x:c>
      <x:c r="T1660" s="2" t="str">
        <x:v>Design &amp; Insights</x:v>
      </x:c>
      <x:c r="U1660" s="2" t="n">
        <x:v>288</x:v>
      </x:c>
      <x:c r="V1660" s="2" t="n">
        <x:f>IF(AND(M1660=1,P1660=0,ISNUMBER(J1660),J1660&lt;TODAY()),1,0)</x:f>
        <x:v>1</x:v>
      </x:c>
      <x:c r="W1660" s="2" t="str">
        <x:f>'Design &amp; Insights'!M288</x:f>
        <x:v>Task</x:v>
      </x:c>
    </x:row>
    <x:row r="1661" ht="40" customHeight="1">
      <x:c r="A1661" s="3" t="str">
        <x:f>HYPERLINK("#'Design &amp; Insights'!A289","Open")</x:f>
        <x:v>Open</x:v>
      </x:c>
      <x:c r="B1661" s="2" t="str">
        <x:f>'Design &amp; Insights'!B289</x:f>
        <x:v>Cycle 2</x:v>
      </x:c>
      <x:c r="C1661" s="2" t="str">
        <x:f>'Design &amp; Insights'!C289</x:f>
        <x:v>Phase 3</x:v>
      </x:c>
      <x:c r="D1661" s="2" t="str">
        <x:f>'Design &amp; Insights'!D289</x:f>
        <x:v>Retail Services</x:v>
      </x:c>
      <x:c r="E1661" s="2" t="str">
        <x:v>Design &amp; Insights</x:v>
      </x:c>
      <x:c r="F1661" s="56" t="str">
        <x:f>'Design &amp; Insights'!E289</x:f>
        <x:v>DI.RS.3.7</x:v>
      </x:c>
      <x:c r="G1661" s="14" t="str">
        <x:f>'Design &amp; Insights'!F289</x:f>
        <x:v>Present material in RCA Cycle Forum</x:v>
      </x:c>
      <x:c r="H1661" s="2" t="str">
        <x:f>IF('Design &amp; Insights'!G289="","",'Design &amp; Insights'!G289)</x:f>
      </x:c>
      <x:c r="I1661" s="12" t="str">
        <x:f>IF('Design &amp; Insights'!H289="","",'Design &amp; Insights'!H289)</x:f>
      </x:c>
      <x:c r="J1661" s="12" t="str">
        <x:f>IF('Design &amp; Insights'!I289="","",'Design &amp; Insights'!I289)</x:f>
      </x:c>
      <x:c r="K1661" s="12" t="str">
        <x:f>IF('Design &amp; Insights'!J289="","",'Design &amp; Insights'!J289)</x:f>
      </x:c>
      <x:c r="L1661" s="2" t="str">
        <x:f>IF('Design &amp; Insights'!K289="","",'Design &amp; Insights'!K289)</x:f>
      </x:c>
      <x:c r="M1661" s="2" t="n">
        <x:f>'Design &amp; Insights'!Q289</x:f>
        <x:v>1</x:v>
      </x:c>
      <x:c r="N1661" s="2" t="str">
        <x:f>'Design &amp; Insights'!L289</x:f>
        <x:v>Not started</x:v>
      </x:c>
      <x:c r="O1661" s="2" t="str">
        <x:f>'Design &amp; Insights'!N289</x:f>
        <x:v>DI.RS.3.7.2026.CY2</x:v>
      </x:c>
      <x:c r="P1661" s="2" t="n">
        <x:f>'Design &amp; Insights'!O289</x:f>
        <x:v>0</x:v>
      </x:c>
      <x:c r="Q1661" s="2" t="n">
        <x:f>SUBTOTAL(103,O1661)</x:f>
        <x:v>1</x:v>
      </x:c>
      <x:c r="R1661" s="2" t="n">
        <x:f>IF(AND(M1661=1,OR(Dashboard!$B$7="All",Dashboard!$B$7='Cycles &amp; Guide'!$C$5),OR(Dashboard!$D$7="All",Dashboard!$D$7=B1661),OR(Dashboard!$F$7="All",Dashboard!$F$7=C1661),OR(Dashboard!$H$7="All",Dashboard!$H$7=D1661),OR(Dashboard!$K$7="All",Dashboard!$K$7=E1661)),1,0)</x:f>
        <x:v>1</x:v>
      </x:c>
      <x:c r="S1661" s="2" t="n">
        <x:f>IF(R1661=1,SUM($R$10:R1661),0)</x:f>
        <x:v>1288</x:v>
      </x:c>
      <x:c r="T1661" s="2" t="str">
        <x:v>Design &amp; Insights</x:v>
      </x:c>
      <x:c r="U1661" s="2" t="n">
        <x:v>289</x:v>
      </x:c>
      <x:c r="V1661" s="2" t="n">
        <x:f>IF(AND(M1661=1,P1661=0,ISNUMBER(J1661),J1661&lt;TODAY()),1,0)</x:f>
        <x:v>0</x:v>
      </x:c>
      <x:c r="W1661" s="2" t="str">
        <x:f>'Design &amp; Insights'!M289</x:f>
        <x:v>Task</x:v>
      </x:c>
    </x:row>
    <x:row r="1662" ht="40" customHeight="1">
      <x:c r="A1662" s="3" t="str">
        <x:f>HYPERLINK("#'Design &amp; Insights'!A290","Open")</x:f>
        <x:v>Open</x:v>
      </x:c>
      <x:c r="B1662" s="2" t="str">
        <x:f>'Design &amp; Insights'!B290</x:f>
        <x:v>Cycle 3</x:v>
      </x:c>
      <x:c r="C1662" s="2" t="str">
        <x:f>'Design &amp; Insights'!C290</x:f>
        <x:v>Phase 1</x:v>
      </x:c>
      <x:c r="D1662" s="2" t="str">
        <x:f>'Design &amp; Insights'!D290</x:f>
        <x:v>Auto</x:v>
      </x:c>
      <x:c r="E1662" s="2" t="str">
        <x:v>Design &amp; Insights</x:v>
      </x:c>
      <x:c r="F1662" s="56" t="str">
        <x:f>'Design &amp; Insights'!E290</x:f>
        <x:v>DI.AU.1.1</x:v>
      </x:c>
      <x:c r="G1662" s="14" t="str">
        <x:f>'Design &amp; Insights'!F290</x:f>
        <x:v>Receive and review potential research topics at least 2 weeks prior to Cycle start date</x:v>
      </x:c>
      <x:c r="H1662" s="2" t="str">
        <x:f>IF('Design &amp; Insights'!G290="","",'Design &amp; Insights'!G290)</x:f>
      </x:c>
      <x:c r="I1662" s="12" t="str">
        <x:f>IF('Design &amp; Insights'!H290="","",'Design &amp; Insights'!H290)</x:f>
      </x:c>
      <x:c r="J1662" s="12" t="n">
        <x:f>IF('Design &amp; Insights'!I290="","",'Design &amp; Insights'!I290)</x:f>
        <x:v>46190</x:v>
      </x:c>
      <x:c r="K1662" s="12" t="str">
        <x:f>IF('Design &amp; Insights'!J290="","",'Design &amp; Insights'!J290)</x:f>
      </x:c>
      <x:c r="L1662" s="2" t="str">
        <x:f>IF('Design &amp; Insights'!K290="","",'Design &amp; Insights'!K290)</x:f>
      </x:c>
      <x:c r="M1662" s="2" t="n">
        <x:f>'Design &amp; Insights'!Q290</x:f>
        <x:v>1</x:v>
      </x:c>
      <x:c r="N1662" s="2" t="str">
        <x:f>'Design &amp; Insights'!L290</x:f>
        <x:v>Not started</x:v>
      </x:c>
      <x:c r="O1662" s="2" t="str">
        <x:f>'Design &amp; Insights'!N290</x:f>
        <x:v>DI.AU.1.1.2026.CY3</x:v>
      </x:c>
      <x:c r="P1662" s="2" t="n">
        <x:f>'Design &amp; Insights'!O290</x:f>
        <x:v>0</x:v>
      </x:c>
      <x:c r="Q1662" s="2" t="n">
        <x:f>SUBTOTAL(103,O1662)</x:f>
        <x:v>1</x:v>
      </x:c>
      <x:c r="R1662" s="2" t="n">
        <x:f>IF(AND(M1662=1,OR(Dashboard!$B$7="All",Dashboard!$B$7='Cycles &amp; Guide'!$C$5),OR(Dashboard!$D$7="All",Dashboard!$D$7=B1662),OR(Dashboard!$F$7="All",Dashboard!$F$7=C1662),OR(Dashboard!$H$7="All",Dashboard!$H$7=D1662),OR(Dashboard!$K$7="All",Dashboard!$K$7=E1662)),1,0)</x:f>
        <x:v>1</x:v>
      </x:c>
      <x:c r="S1662" s="2" t="n">
        <x:f>IF(R1662=1,SUM($R$10:R1662),0)</x:f>
        <x:v>1289</x:v>
      </x:c>
      <x:c r="T1662" s="2" t="str">
        <x:v>Design &amp; Insights</x:v>
      </x:c>
      <x:c r="U1662" s="2" t="n">
        <x:v>290</x:v>
      </x:c>
      <x:c r="V1662" s="2" t="n">
        <x:f>IF(AND(M1662=1,P1662=0,ISNUMBER(J1662),J1662&lt;TODAY()),1,0)</x:f>
        <x:v>1</x:v>
      </x:c>
      <x:c r="W1662" s="2" t="str">
        <x:f>'Design &amp; Insights'!M290</x:f>
        <x:v>Task</x:v>
      </x:c>
    </x:row>
    <x:row r="1663" ht="40" customHeight="1">
      <x:c r="A1663" s="3" t="str">
        <x:f>HYPERLINK("#'Design &amp; Insights'!A291","Open")</x:f>
        <x:v>Open</x:v>
      </x:c>
      <x:c r="B1663" s="2" t="str">
        <x:f>'Design &amp; Insights'!B291</x:f>
        <x:v>Cycle 3</x:v>
      </x:c>
      <x:c r="C1663" s="2" t="str">
        <x:f>'Design &amp; Insights'!C291</x:f>
        <x:v>Phase 1</x:v>
      </x:c>
      <x:c r="D1663" s="2" t="str">
        <x:f>'Design &amp; Insights'!D291</x:f>
        <x:v>Auto</x:v>
      </x:c>
      <x:c r="E1663" s="2" t="str">
        <x:v>Design &amp; Insights</x:v>
      </x:c>
      <x:c r="F1663" s="56" t="str">
        <x:f>'Design &amp; Insights'!E291</x:f>
        <x:v>DI.AU.1.2</x:v>
      </x:c>
      <x:c r="G1663" s="14" t="str">
        <x:f>'Design &amp; Insights'!F291</x:f>
        <x:v>Communicate any feedback on preferences or concerns with topics identified</x:v>
      </x:c>
      <x:c r="H1663" s="2" t="str">
        <x:f>IF('Design &amp; Insights'!G291="","",'Design &amp; Insights'!G291)</x:f>
      </x:c>
      <x:c r="I1663" s="12" t="str">
        <x:f>IF('Design &amp; Insights'!H291="","",'Design &amp; Insights'!H291)</x:f>
      </x:c>
      <x:c r="J1663" s="12" t="n">
        <x:f>IF('Design &amp; Insights'!I291="","",'Design &amp; Insights'!I291)</x:f>
        <x:v>46295</x:v>
      </x:c>
      <x:c r="K1663" s="12" t="str">
        <x:f>IF('Design &amp; Insights'!J291="","",'Design &amp; Insights'!J291)</x:f>
      </x:c>
      <x:c r="L1663" s="2" t="str">
        <x:f>IF('Design &amp; Insights'!K291="","",'Design &amp; Insights'!K291)</x:f>
      </x:c>
      <x:c r="M1663" s="2" t="n">
        <x:f>'Design &amp; Insights'!Q291</x:f>
        <x:v>1</x:v>
      </x:c>
      <x:c r="N1663" s="2" t="str">
        <x:f>'Design &amp; Insights'!L291</x:f>
        <x:v>Not started</x:v>
      </x:c>
      <x:c r="O1663" s="2" t="str">
        <x:f>'Design &amp; Insights'!N291</x:f>
        <x:v>DI.AU.1.2.2026.CY3</x:v>
      </x:c>
      <x:c r="P1663" s="2" t="n">
        <x:f>'Design &amp; Insights'!O291</x:f>
        <x:v>0</x:v>
      </x:c>
      <x:c r="Q1663" s="2" t="n">
        <x:f>SUBTOTAL(103,O1663)</x:f>
        <x:v>1</x:v>
      </x:c>
      <x:c r="R1663" s="2" t="n">
        <x:f>IF(AND(M1663=1,OR(Dashboard!$B$7="All",Dashboard!$B$7='Cycles &amp; Guide'!$C$5),OR(Dashboard!$D$7="All",Dashboard!$D$7=B1663),OR(Dashboard!$F$7="All",Dashboard!$F$7=C1663),OR(Dashboard!$H$7="All",Dashboard!$H$7=D1663),OR(Dashboard!$K$7="All",Dashboard!$K$7=E1663)),1,0)</x:f>
        <x:v>1</x:v>
      </x:c>
      <x:c r="S1663" s="2" t="n">
        <x:f>IF(R1663=1,SUM($R$10:R1663),0)</x:f>
        <x:v>1290</x:v>
      </x:c>
      <x:c r="T1663" s="2" t="str">
        <x:v>Design &amp; Insights</x:v>
      </x:c>
      <x:c r="U1663" s="2" t="n">
        <x:v>291</x:v>
      </x:c>
      <x:c r="V1663" s="2" t="n">
        <x:f>IF(AND(M1663=1,P1663=0,ISNUMBER(J1663),J1663&lt;TODAY()),1,0)</x:f>
        <x:v>0</x:v>
      </x:c>
      <x:c r="W1663" s="2" t="str">
        <x:f>'Design &amp; Insights'!M291</x:f>
        <x:v>Task</x:v>
      </x:c>
    </x:row>
    <x:row r="1664" ht="40" customHeight="1">
      <x:c r="A1664" s="3" t="str">
        <x:f>HYPERLINK("#'Design &amp; Insights'!A292","Open")</x:f>
        <x:v>Open</x:v>
      </x:c>
      <x:c r="B1664" s="2" t="str">
        <x:f>'Design &amp; Insights'!B292</x:f>
        <x:v>Cycle 3</x:v>
      </x:c>
      <x:c r="C1664" s="2" t="str">
        <x:f>'Design &amp; Insights'!C292</x:f>
        <x:v>Phase 1</x:v>
      </x:c>
      <x:c r="D1664" s="2" t="str">
        <x:f>'Design &amp; Insights'!D292</x:f>
        <x:v>Auto</x:v>
      </x:c>
      <x:c r="E1664" s="2" t="str">
        <x:v>Design &amp; Insights</x:v>
      </x:c>
      <x:c r="F1664" s="56" t="str">
        <x:f>'Design &amp; Insights'!E292</x:f>
        <x:v>DI.AU.1.3</x:v>
      </x:c>
      <x:c r="G1664" s="14" t="str">
        <x:f>'Design &amp; Insights'!F292</x:f>
        <x:v>Conduct high-level preliminary review of complaints within proposed topics</x:v>
      </x:c>
      <x:c r="H1664" s="2" t="str">
        <x:f>IF('Design &amp; Insights'!G292="","",'Design &amp; Insights'!G292)</x:f>
      </x:c>
      <x:c r="I1664" s="12" t="str">
        <x:f>IF('Design &amp; Insights'!H292="","",'Design &amp; Insights'!H292)</x:f>
      </x:c>
      <x:c r="J1664" s="12" t="n">
        <x:f>IF('Design &amp; Insights'!I292="","",'Design &amp; Insights'!I292)</x:f>
        <x:v>46295</x:v>
      </x:c>
      <x:c r="K1664" s="12" t="str">
        <x:f>IF('Design &amp; Insights'!J292="","",'Design &amp; Insights'!J292)</x:f>
      </x:c>
      <x:c r="L1664" s="2" t="str">
        <x:f>IF('Design &amp; Insights'!K292="","",'Design &amp; Insights'!K292)</x:f>
      </x:c>
      <x:c r="M1664" s="2" t="n">
        <x:f>'Design &amp; Insights'!Q292</x:f>
        <x:v>1</x:v>
      </x:c>
      <x:c r="N1664" s="2" t="str">
        <x:f>'Design &amp; Insights'!L292</x:f>
        <x:v>Not started</x:v>
      </x:c>
      <x:c r="O1664" s="2" t="str">
        <x:f>'Design &amp; Insights'!N292</x:f>
        <x:v>DI.AU.1.3.2026.CY3</x:v>
      </x:c>
      <x:c r="P1664" s="2" t="n">
        <x:f>'Design &amp; Insights'!O292</x:f>
        <x:v>0</x:v>
      </x:c>
      <x:c r="Q1664" s="2" t="n">
        <x:f>SUBTOTAL(103,O1664)</x:f>
        <x:v>1</x:v>
      </x:c>
      <x:c r="R1664" s="2" t="n">
        <x:f>IF(AND(M1664=1,OR(Dashboard!$B$7="All",Dashboard!$B$7='Cycles &amp; Guide'!$C$5),OR(Dashboard!$D$7="All",Dashboard!$D$7=B1664),OR(Dashboard!$F$7="All",Dashboard!$F$7=C1664),OR(Dashboard!$H$7="All",Dashboard!$H$7=D1664),OR(Dashboard!$K$7="All",Dashboard!$K$7=E1664)),1,0)</x:f>
        <x:v>1</x:v>
      </x:c>
      <x:c r="S1664" s="2" t="n">
        <x:f>IF(R1664=1,SUM($R$10:R1664),0)</x:f>
        <x:v>1291</x:v>
      </x:c>
      <x:c r="T1664" s="2" t="str">
        <x:v>Design &amp; Insights</x:v>
      </x:c>
      <x:c r="U1664" s="2" t="n">
        <x:v>292</x:v>
      </x:c>
      <x:c r="V1664" s="2" t="n">
        <x:f>IF(AND(M1664=1,P1664=0,ISNUMBER(J1664),J1664&lt;TODAY()),1,0)</x:f>
        <x:v>0</x:v>
      </x:c>
      <x:c r="W1664" s="2" t="str">
        <x:f>'Design &amp; Insights'!M292</x:f>
        <x:v>Task</x:v>
      </x:c>
    </x:row>
    <x:row r="1665" ht="40" customHeight="1">
      <x:c r="A1665" s="3" t="str">
        <x:f>HYPERLINK("#'Design &amp; Insights'!A293","Open")</x:f>
        <x:v>Open</x:v>
      </x:c>
      <x:c r="B1665" s="2" t="str">
        <x:f>'Design &amp; Insights'!B293</x:f>
        <x:v>Cycle 3</x:v>
      </x:c>
      <x:c r="C1665" s="2" t="str">
        <x:f>'Design &amp; Insights'!C293</x:f>
        <x:v>Phase 1</x:v>
      </x:c>
      <x:c r="D1665" s="2" t="str">
        <x:f>'Design &amp; Insights'!D293</x:f>
        <x:v>Auto</x:v>
      </x:c>
      <x:c r="E1665" s="2" t="str">
        <x:v>Design &amp; Insights</x:v>
      </x:c>
      <x:c r="F1665" s="56" t="str">
        <x:f>'Design &amp; Insights'!E293</x:f>
        <x:v>DI.AU.1.4</x:v>
      </x:c>
      <x:c r="G1665" s="14" t="str">
        <x:f>'Design &amp; Insights'!F293</x:f>
        <x:v>Meet with Research to discuss which topic to select based on potential impact</x:v>
      </x:c>
      <x:c r="H1665" s="2" t="str">
        <x:f>IF('Design &amp; Insights'!G293="","",'Design &amp; Insights'!G293)</x:f>
      </x:c>
      <x:c r="I1665" s="12" t="str">
        <x:f>IF('Design &amp; Insights'!H293="","",'Design &amp; Insights'!H293)</x:f>
      </x:c>
      <x:c r="J1665" s="12" t="n">
        <x:f>IF('Design &amp; Insights'!I293="","",'Design &amp; Insights'!I293)</x:f>
        <x:v>46295</x:v>
      </x:c>
      <x:c r="K1665" s="12" t="str">
        <x:f>IF('Design &amp; Insights'!J293="","",'Design &amp; Insights'!J293)</x:f>
      </x:c>
      <x:c r="L1665" s="2" t="str">
        <x:f>IF('Design &amp; Insights'!K293="","",'Design &amp; Insights'!K293)</x:f>
      </x:c>
      <x:c r="M1665" s="2" t="n">
        <x:f>'Design &amp; Insights'!Q293</x:f>
        <x:v>1</x:v>
      </x:c>
      <x:c r="N1665" s="2" t="str">
        <x:f>'Design &amp; Insights'!L293</x:f>
        <x:v>Not started</x:v>
      </x:c>
      <x:c r="O1665" s="2" t="str">
        <x:f>'Design &amp; Insights'!N293</x:f>
        <x:v>DI.AU.1.4.2026.CY3</x:v>
      </x:c>
      <x:c r="P1665" s="2" t="n">
        <x:f>'Design &amp; Insights'!O293</x:f>
        <x:v>0</x:v>
      </x:c>
      <x:c r="Q1665" s="2" t="n">
        <x:f>SUBTOTAL(103,O1665)</x:f>
        <x:v>1</x:v>
      </x:c>
      <x:c r="R1665" s="2" t="n">
        <x:f>IF(AND(M1665=1,OR(Dashboard!$B$7="All",Dashboard!$B$7='Cycles &amp; Guide'!$C$5),OR(Dashboard!$D$7="All",Dashboard!$D$7=B1665),OR(Dashboard!$F$7="All",Dashboard!$F$7=C1665),OR(Dashboard!$H$7="All",Dashboard!$H$7=D1665),OR(Dashboard!$K$7="All",Dashboard!$K$7=E1665)),1,0)</x:f>
        <x:v>1</x:v>
      </x:c>
      <x:c r="S1665" s="2" t="n">
        <x:f>IF(R1665=1,SUM($R$10:R1665),0)</x:f>
        <x:v>1292</x:v>
      </x:c>
      <x:c r="T1665" s="2" t="str">
        <x:v>Design &amp; Insights</x:v>
      </x:c>
      <x:c r="U1665" s="2" t="n">
        <x:v>293</x:v>
      </x:c>
      <x:c r="V1665" s="2" t="n">
        <x:f>IF(AND(M1665=1,P1665=0,ISNUMBER(J1665),J1665&lt;TODAY()),1,0)</x:f>
        <x:v>0</x:v>
      </x:c>
      <x:c r="W1665" s="2" t="str">
        <x:f>'Design &amp; Insights'!M293</x:f>
        <x:v>Task</x:v>
      </x:c>
    </x:row>
    <x:row r="1666" ht="40" customHeight="1">
      <x:c r="A1666" s="3" t="str">
        <x:f>HYPERLINK("#'Design &amp; Insights'!A294","Open")</x:f>
        <x:v>Open</x:v>
      </x:c>
      <x:c r="B1666" s="2" t="str">
        <x:f>'Design &amp; Insights'!B294</x:f>
        <x:v>Cycle 3</x:v>
      </x:c>
      <x:c r="C1666" s="2" t="str">
        <x:f>'Design &amp; Insights'!C294</x:f>
        <x:v>Phase 1</x:v>
      </x:c>
      <x:c r="D1666" s="2" t="str">
        <x:f>'Design &amp; Insights'!D294</x:f>
        <x:v>Auto</x:v>
      </x:c>
      <x:c r="E1666" s="2" t="str">
        <x:v>Design &amp; Insights</x:v>
      </x:c>
      <x:c r="F1666" s="56" t="str">
        <x:f>'Design &amp; Insights'!E294</x:f>
        <x:v>DI.AU.1.5</x:v>
      </x:c>
      <x:c r="G1666" s="14" t="str">
        <x:f>'Design &amp; Insights'!F294</x:f>
        <x:v>Confirm with Research the recommended topic for approval</x:v>
      </x:c>
      <x:c r="H1666" s="2" t="str">
        <x:f>IF('Design &amp; Insights'!G294="","",'Design &amp; Insights'!G294)</x:f>
      </x:c>
      <x:c r="I1666" s="12" t="str">
        <x:f>IF('Design &amp; Insights'!H294="","",'Design &amp; Insights'!H294)</x:f>
      </x:c>
      <x:c r="J1666" s="12" t="n">
        <x:f>IF('Design &amp; Insights'!I294="","",'Design &amp; Insights'!I294)</x:f>
        <x:v>46295</x:v>
      </x:c>
      <x:c r="K1666" s="12" t="str">
        <x:f>IF('Design &amp; Insights'!J294="","",'Design &amp; Insights'!J294)</x:f>
      </x:c>
      <x:c r="L1666" s="2" t="str">
        <x:f>IF('Design &amp; Insights'!K294="","",'Design &amp; Insights'!K294)</x:f>
      </x:c>
      <x:c r="M1666" s="2" t="n">
        <x:f>'Design &amp; Insights'!Q294</x:f>
        <x:v>1</x:v>
      </x:c>
      <x:c r="N1666" s="2" t="str">
        <x:f>'Design &amp; Insights'!L294</x:f>
        <x:v>Not started</x:v>
      </x:c>
      <x:c r="O1666" s="2" t="str">
        <x:f>'Design &amp; Insights'!N294</x:f>
        <x:v>DI.AU.1.5.2026.CY3</x:v>
      </x:c>
      <x:c r="P1666" s="2" t="n">
        <x:f>'Design &amp; Insights'!O294</x:f>
        <x:v>0</x:v>
      </x:c>
      <x:c r="Q1666" s="2" t="n">
        <x:f>SUBTOTAL(103,O1666)</x:f>
        <x:v>1</x:v>
      </x:c>
      <x:c r="R1666" s="2" t="n">
        <x:f>IF(AND(M1666=1,OR(Dashboard!$B$7="All",Dashboard!$B$7='Cycles &amp; Guide'!$C$5),OR(Dashboard!$D$7="All",Dashboard!$D$7=B1666),OR(Dashboard!$F$7="All",Dashboard!$F$7=C1666),OR(Dashboard!$H$7="All",Dashboard!$H$7=D1666),OR(Dashboard!$K$7="All",Dashboard!$K$7=E1666)),1,0)</x:f>
        <x:v>1</x:v>
      </x:c>
      <x:c r="S1666" s="2" t="n">
        <x:f>IF(R1666=1,SUM($R$10:R1666),0)</x:f>
        <x:v>1293</x:v>
      </x:c>
      <x:c r="T1666" s="2" t="str">
        <x:v>Design &amp; Insights</x:v>
      </x:c>
      <x:c r="U1666" s="2" t="n">
        <x:v>294</x:v>
      </x:c>
      <x:c r="V1666" s="2" t="n">
        <x:f>IF(AND(M1666=1,P1666=0,ISNUMBER(J1666),J1666&lt;TODAY()),1,0)</x:f>
        <x:v>0</x:v>
      </x:c>
      <x:c r="W1666" s="2" t="str">
        <x:f>'Design &amp; Insights'!M294</x:f>
        <x:v>Task</x:v>
      </x:c>
    </x:row>
    <x:row r="1667" ht="40" customHeight="1">
      <x:c r="A1667" s="3" t="str">
        <x:f>HYPERLINK("#'Design &amp; Insights'!A295","Open")</x:f>
        <x:v>Open</x:v>
      </x:c>
      <x:c r="B1667" s="2" t="str">
        <x:f>'Design &amp; Insights'!B295</x:f>
        <x:v>Cycle 3</x:v>
      </x:c>
      <x:c r="C1667" s="2" t="str">
        <x:f>'Design &amp; Insights'!C295</x:f>
        <x:v>Phase 1</x:v>
      </x:c>
      <x:c r="D1667" s="2" t="str">
        <x:f>'Design &amp; Insights'!D295</x:f>
        <x:v>Auto</x:v>
      </x:c>
      <x:c r="E1667" s="2" t="str">
        <x:v>Design &amp; Insights</x:v>
      </x:c>
      <x:c r="F1667" s="56" t="str">
        <x:f>'Design &amp; Insights'!E295</x:f>
        <x:v>DI.AU.1.6</x:v>
      </x:c>
      <x:c r="G1667" s="14" t="str">
        <x:f>'Design &amp; Insights'!F295</x:f>
        <x:v>Send topic selection socialization email to all key stakeholders on the first day of the review Cycle</x:v>
      </x:c>
      <x:c r="H1667" s="2" t="str">
        <x:f>IF('Design &amp; Insights'!G295="","",'Design &amp; Insights'!G295)</x:f>
      </x:c>
      <x:c r="I1667" s="12" t="str">
        <x:f>IF('Design &amp; Insights'!H295="","",'Design &amp; Insights'!H295)</x:f>
      </x:c>
      <x:c r="J1667" s="12" t="n">
        <x:f>IF('Design &amp; Insights'!I295="","",'Design &amp; Insights'!I295)</x:f>
        <x:v>46204</x:v>
      </x:c>
      <x:c r="K1667" s="12" t="str">
        <x:f>IF('Design &amp; Insights'!J295="","",'Design &amp; Insights'!J295)</x:f>
      </x:c>
      <x:c r="L1667" s="2" t="str">
        <x:f>IF('Design &amp; Insights'!K295="","",'Design &amp; Insights'!K295)</x:f>
      </x:c>
      <x:c r="M1667" s="2" t="n">
        <x:f>'Design &amp; Insights'!Q295</x:f>
        <x:v>1</x:v>
      </x:c>
      <x:c r="N1667" s="2" t="str">
        <x:f>'Design &amp; Insights'!L295</x:f>
        <x:v>Not started</x:v>
      </x:c>
      <x:c r="O1667" s="2" t="str">
        <x:f>'Design &amp; Insights'!N295</x:f>
        <x:v>DI.AU.1.6.2026.CY3</x:v>
      </x:c>
      <x:c r="P1667" s="2" t="n">
        <x:f>'Design &amp; Insights'!O295</x:f>
        <x:v>0</x:v>
      </x:c>
      <x:c r="Q1667" s="2" t="n">
        <x:f>SUBTOTAL(103,O1667)</x:f>
        <x:v>1</x:v>
      </x:c>
      <x:c r="R1667" s="2" t="n">
        <x:f>IF(AND(M1667=1,OR(Dashboard!$B$7="All",Dashboard!$B$7='Cycles &amp; Guide'!$C$5),OR(Dashboard!$D$7="All",Dashboard!$D$7=B1667),OR(Dashboard!$F$7="All",Dashboard!$F$7=C1667),OR(Dashboard!$H$7="All",Dashboard!$H$7=D1667),OR(Dashboard!$K$7="All",Dashboard!$K$7=E1667)),1,0)</x:f>
        <x:v>1</x:v>
      </x:c>
      <x:c r="S1667" s="2" t="n">
        <x:f>IF(R1667=1,SUM($R$10:R1667),0)</x:f>
        <x:v>1294</x:v>
      </x:c>
      <x:c r="T1667" s="2" t="str">
        <x:v>Design &amp; Insights</x:v>
      </x:c>
      <x:c r="U1667" s="2" t="n">
        <x:v>295</x:v>
      </x:c>
      <x:c r="V1667" s="2" t="n">
        <x:f>IF(AND(M1667=1,P1667=0,ISNUMBER(J1667),J1667&lt;TODAY()),1,0)</x:f>
        <x:v>1</x:v>
      </x:c>
      <x:c r="W1667" s="2" t="str">
        <x:f>'Design &amp; Insights'!M295</x:f>
        <x:v>Task</x:v>
      </x:c>
    </x:row>
    <x:row r="1668" ht="40" customHeight="1">
      <x:c r="A1668" s="3" t="str">
        <x:f>HYPERLINK("#'Design &amp; Insights'!A296","Open")</x:f>
        <x:v>Open</x:v>
      </x:c>
      <x:c r="B1668" s="2" t="str">
        <x:f>'Design &amp; Insights'!B296</x:f>
        <x:v>Cycle 3</x:v>
      </x:c>
      <x:c r="C1668" s="2" t="str">
        <x:f>'Design &amp; Insights'!C296</x:f>
        <x:v>Phase 2</x:v>
      </x:c>
      <x:c r="D1668" s="2" t="str">
        <x:f>'Design &amp; Insights'!D296</x:f>
        <x:v>Auto</x:v>
      </x:c>
      <x:c r="E1668" s="2" t="str">
        <x:v>Design &amp; Insights</x:v>
      </x:c>
      <x:c r="F1668" s="56" t="str">
        <x:f>'Design &amp; Insights'!E296</x:f>
        <x:v>DI.AU.2.1</x:v>
      </x:c>
      <x:c r="G1668" s="14" t="str">
        <x:f>'Design &amp; Insights'!F296</x:f>
        <x:v>Meet regularly with Research to stay informed on progress, findings, and potential enhancement</x:v>
      </x:c>
      <x:c r="H1668" s="2" t="str">
        <x:f>IF('Design &amp; Insights'!G296="","",'Design &amp; Insights'!G296)</x:f>
      </x:c>
      <x:c r="I1668" s="12" t="str">
        <x:f>IF('Design &amp; Insights'!H296="","",'Design &amp; Insights'!H296)</x:f>
      </x:c>
      <x:c r="J1668" s="12" t="n">
        <x:f>IF('Design &amp; Insights'!I296="","",'Design &amp; Insights'!I296)</x:f>
        <x:v>46295</x:v>
      </x:c>
      <x:c r="K1668" s="12" t="str">
        <x:f>IF('Design &amp; Insights'!J296="","",'Design &amp; Insights'!J296)</x:f>
      </x:c>
      <x:c r="L1668" s="2" t="str">
        <x:f>IF('Design &amp; Insights'!K296="","",'Design &amp; Insights'!K296)</x:f>
      </x:c>
      <x:c r="M1668" s="2" t="n">
        <x:f>'Design &amp; Insights'!Q296</x:f>
        <x:v>1</x:v>
      </x:c>
      <x:c r="N1668" s="2" t="str">
        <x:f>'Design &amp; Insights'!L296</x:f>
        <x:v>Not started</x:v>
      </x:c>
      <x:c r="O1668" s="2" t="str">
        <x:f>'Design &amp; Insights'!N296</x:f>
        <x:v>DI.AU.2.1.2026.CY3</x:v>
      </x:c>
      <x:c r="P1668" s="2" t="n">
        <x:f>'Design &amp; Insights'!O296</x:f>
        <x:v>0</x:v>
      </x:c>
      <x:c r="Q1668" s="2" t="n">
        <x:f>SUBTOTAL(103,O1668)</x:f>
        <x:v>1</x:v>
      </x:c>
      <x:c r="R1668" s="2" t="n">
        <x:f>IF(AND(M1668=1,OR(Dashboard!$B$7="All",Dashboard!$B$7='Cycles &amp; Guide'!$C$5),OR(Dashboard!$D$7="All",Dashboard!$D$7=B1668),OR(Dashboard!$F$7="All",Dashboard!$F$7=C1668),OR(Dashboard!$H$7="All",Dashboard!$H$7=D1668),OR(Dashboard!$K$7="All",Dashboard!$K$7=E1668)),1,0)</x:f>
        <x:v>1</x:v>
      </x:c>
      <x:c r="S1668" s="2" t="n">
        <x:f>IF(R1668=1,SUM($R$10:R1668),0)</x:f>
        <x:v>1295</x:v>
      </x:c>
      <x:c r="T1668" s="2" t="str">
        <x:v>Design &amp; Insights</x:v>
      </x:c>
      <x:c r="U1668" s="2" t="n">
        <x:v>296</x:v>
      </x:c>
      <x:c r="V1668" s="2" t="n">
        <x:f>IF(AND(M1668=1,P1668=0,ISNUMBER(J1668),J1668&lt;TODAY()),1,0)</x:f>
        <x:v>0</x:v>
      </x:c>
      <x:c r="W1668" s="2" t="str">
        <x:f>'Design &amp; Insights'!M296</x:f>
        <x:v>Task</x:v>
      </x:c>
    </x:row>
    <x:row r="1669" ht="40" customHeight="1">
      <x:c r="A1669" s="3" t="str">
        <x:f>HYPERLINK("#'Design &amp; Insights'!A297","Open")</x:f>
        <x:v>Open</x:v>
      </x:c>
      <x:c r="B1669" s="2" t="str">
        <x:f>'Design &amp; Insights'!B297</x:f>
        <x:v>Cycle 3</x:v>
      </x:c>
      <x:c r="C1669" s="2" t="str">
        <x:f>'Design &amp; Insights'!C297</x:f>
        <x:v>Phase 2</x:v>
      </x:c>
      <x:c r="D1669" s="2" t="str">
        <x:f>'Design &amp; Insights'!D297</x:f>
        <x:v>Auto</x:v>
      </x:c>
      <x:c r="E1669" s="2" t="str">
        <x:v>Design &amp; Insights</x:v>
      </x:c>
      <x:c r="F1669" s="56" t="str">
        <x:f>'Design &amp; Insights'!E297</x:f>
        <x:v>DI.AU.2.2</x:v>
      </x:c>
      <x:c r="G1669" s="14" t="str">
        <x:f>'Design &amp; Insights'!F297</x:f>
        <x:v>Collaborate with Research on research plan specifics</x:v>
      </x:c>
      <x:c r="H1669" s="2" t="str">
        <x:f>IF('Design &amp; Insights'!G297="","",'Design &amp; Insights'!G297)</x:f>
      </x:c>
      <x:c r="I1669" s="12" t="str">
        <x:f>IF('Design &amp; Insights'!H297="","",'Design &amp; Insights'!H297)</x:f>
      </x:c>
      <x:c r="J1669" s="12" t="n">
        <x:f>IF('Design &amp; Insights'!I297="","",'Design &amp; Insights'!I297)</x:f>
        <x:v>46295</x:v>
      </x:c>
      <x:c r="K1669" s="12" t="str">
        <x:f>IF('Design &amp; Insights'!J297="","",'Design &amp; Insights'!J297)</x:f>
      </x:c>
      <x:c r="L1669" s="2" t="str">
        <x:f>IF('Design &amp; Insights'!K297="","",'Design &amp; Insights'!K297)</x:f>
      </x:c>
      <x:c r="M1669" s="2" t="n">
        <x:f>'Design &amp; Insights'!Q297</x:f>
        <x:v>1</x:v>
      </x:c>
      <x:c r="N1669" s="2" t="str">
        <x:f>'Design &amp; Insights'!L297</x:f>
        <x:v>Not started</x:v>
      </x:c>
      <x:c r="O1669" s="2" t="str">
        <x:f>'Design &amp; Insights'!N297</x:f>
        <x:v>DI.AU.2.2.2026.CY3</x:v>
      </x:c>
      <x:c r="P1669" s="2" t="n">
        <x:f>'Design &amp; Insights'!O297</x:f>
        <x:v>0</x:v>
      </x:c>
      <x:c r="Q1669" s="2" t="n">
        <x:f>SUBTOTAL(103,O1669)</x:f>
        <x:v>1</x:v>
      </x:c>
      <x:c r="R1669" s="2" t="n">
        <x:f>IF(AND(M1669=1,OR(Dashboard!$B$7="All",Dashboard!$B$7='Cycles &amp; Guide'!$C$5),OR(Dashboard!$D$7="All",Dashboard!$D$7=B1669),OR(Dashboard!$F$7="All",Dashboard!$F$7=C1669),OR(Dashboard!$H$7="All",Dashboard!$H$7=D1669),OR(Dashboard!$K$7="All",Dashboard!$K$7=E1669)),1,0)</x:f>
        <x:v>1</x:v>
      </x:c>
      <x:c r="S1669" s="2" t="n">
        <x:f>IF(R1669=1,SUM($R$10:R1669),0)</x:f>
        <x:v>1296</x:v>
      </x:c>
      <x:c r="T1669" s="2" t="str">
        <x:v>Design &amp; Insights</x:v>
      </x:c>
      <x:c r="U1669" s="2" t="n">
        <x:v>297</x:v>
      </x:c>
      <x:c r="V1669" s="2" t="n">
        <x:f>IF(AND(M1669=1,P1669=0,ISNUMBER(J1669),J1669&lt;TODAY()),1,0)</x:f>
        <x:v>0</x:v>
      </x:c>
      <x:c r="W1669" s="2" t="str">
        <x:f>'Design &amp; Insights'!M297</x:f>
        <x:v>Task</x:v>
      </x:c>
    </x:row>
    <x:row r="1670" ht="40" customHeight="1">
      <x:c r="A1670" s="3" t="str">
        <x:f>HYPERLINK("#'Design &amp; Insights'!A298","Open")</x:f>
        <x:v>Open</x:v>
      </x:c>
      <x:c r="B1670" s="2" t="str">
        <x:f>'Design &amp; Insights'!B298</x:f>
        <x:v>Cycle 3</x:v>
      </x:c>
      <x:c r="C1670" s="2" t="str">
        <x:f>'Design &amp; Insights'!C298</x:f>
        <x:v>Phase 2</x:v>
      </x:c>
      <x:c r="D1670" s="2" t="str">
        <x:f>'Design &amp; Insights'!D298</x:f>
        <x:v>Auto</x:v>
      </x:c>
      <x:c r="E1670" s="2" t="str">
        <x:v>Design &amp; Insights</x:v>
      </x:c>
      <x:c r="F1670" s="56" t="str">
        <x:f>'Design &amp; Insights'!E298</x:f>
        <x:v>DI.AU.2.3</x:v>
      </x:c>
      <x:c r="G1670" s="14" t="str">
        <x:f>'Design &amp; Insights'!F298</x:f>
        <x:v>Participate in SME insight meetings to gain perspective and appetite on potential enhancements</x:v>
      </x:c>
      <x:c r="H1670" s="2" t="str">
        <x:f>IF('Design &amp; Insights'!G298="","",'Design &amp; Insights'!G298)</x:f>
      </x:c>
      <x:c r="I1670" s="12" t="str">
        <x:f>IF('Design &amp; Insights'!H298="","",'Design &amp; Insights'!H298)</x:f>
      </x:c>
      <x:c r="J1670" s="12" t="n">
        <x:f>IF('Design &amp; Insights'!I298="","",'Design &amp; Insights'!I298)</x:f>
        <x:v>46295</x:v>
      </x:c>
      <x:c r="K1670" s="12" t="str">
        <x:f>IF('Design &amp; Insights'!J298="","",'Design &amp; Insights'!J298)</x:f>
      </x:c>
      <x:c r="L1670" s="2" t="str">
        <x:f>IF('Design &amp; Insights'!K298="","",'Design &amp; Insights'!K298)</x:f>
      </x:c>
      <x:c r="M1670" s="2" t="n">
        <x:f>'Design &amp; Insights'!Q298</x:f>
        <x:v>1</x:v>
      </x:c>
      <x:c r="N1670" s="2" t="str">
        <x:f>'Design &amp; Insights'!L298</x:f>
        <x:v>Not started</x:v>
      </x:c>
      <x:c r="O1670" s="2" t="str">
        <x:f>'Design &amp; Insights'!N298</x:f>
        <x:v>DI.AU.2.3.2026.CY3</x:v>
      </x:c>
      <x:c r="P1670" s="2" t="n">
        <x:f>'Design &amp; Insights'!O298</x:f>
        <x:v>0</x:v>
      </x:c>
      <x:c r="Q1670" s="2" t="n">
        <x:f>SUBTOTAL(103,O1670)</x:f>
        <x:v>1</x:v>
      </x:c>
      <x:c r="R1670" s="2" t="n">
        <x:f>IF(AND(M1670=1,OR(Dashboard!$B$7="All",Dashboard!$B$7='Cycles &amp; Guide'!$C$5),OR(Dashboard!$D$7="All",Dashboard!$D$7=B1670),OR(Dashboard!$F$7="All",Dashboard!$F$7=C1670),OR(Dashboard!$H$7="All",Dashboard!$H$7=D1670),OR(Dashboard!$K$7="All",Dashboard!$K$7=E1670)),1,0)</x:f>
        <x:v>1</x:v>
      </x:c>
      <x:c r="S1670" s="2" t="n">
        <x:f>IF(R1670=1,SUM($R$10:R1670),0)</x:f>
        <x:v>1297</x:v>
      </x:c>
      <x:c r="T1670" s="2" t="str">
        <x:v>Design &amp; Insights</x:v>
      </x:c>
      <x:c r="U1670" s="2" t="n">
        <x:v>298</x:v>
      </x:c>
      <x:c r="V1670" s="2" t="n">
        <x:f>IF(AND(M1670=1,P1670=0,ISNUMBER(J1670),J1670&lt;TODAY()),1,0)</x:f>
        <x:v>0</x:v>
      </x:c>
      <x:c r="W1670" s="2" t="str">
        <x:f>'Design &amp; Insights'!M298</x:f>
        <x:v>Task</x:v>
      </x:c>
    </x:row>
    <x:row r="1671" ht="40" customHeight="1">
      <x:c r="A1671" s="3" t="str">
        <x:f>HYPERLINK("#'Design &amp; Insights'!A299","Open")</x:f>
        <x:v>Open</x:v>
      </x:c>
      <x:c r="B1671" s="2" t="str">
        <x:f>'Design &amp; Insights'!B299</x:f>
        <x:v>Cycle 3</x:v>
      </x:c>
      <x:c r="C1671" s="2" t="str">
        <x:f>'Design &amp; Insights'!C299</x:f>
        <x:v>Phase 2</x:v>
      </x:c>
      <x:c r="D1671" s="2" t="str">
        <x:f>'Design &amp; Insights'!D299</x:f>
        <x:v>Auto</x:v>
      </x:c>
      <x:c r="E1671" s="2" t="str">
        <x:v>Design &amp; Insights</x:v>
      </x:c>
      <x:c r="F1671" s="56" t="str">
        <x:f>'Design &amp; Insights'!E299</x:f>
        <x:v>DI.AU.2.4</x:v>
      </x:c>
      <x:c r="G1671" s="14" t="str">
        <x:f>'Design &amp; Insights'!F299</x:f>
        <x:v>Begin development of presentation materials as Research is being completed</x:v>
      </x:c>
      <x:c r="H1671" s="2" t="str">
        <x:f>IF('Design &amp; Insights'!G299="","",'Design &amp; Insights'!G299)</x:f>
      </x:c>
      <x:c r="I1671" s="12" t="str">
        <x:f>IF('Design &amp; Insights'!H299="","",'Design &amp; Insights'!H299)</x:f>
      </x:c>
      <x:c r="J1671" s="12" t="n">
        <x:f>IF('Design &amp; Insights'!I299="","",'Design &amp; Insights'!I299)</x:f>
        <x:v>46295</x:v>
      </x:c>
      <x:c r="K1671" s="12" t="str">
        <x:f>IF('Design &amp; Insights'!J299="","",'Design &amp; Insights'!J299)</x:f>
      </x:c>
      <x:c r="L1671" s="2" t="str">
        <x:f>IF('Design &amp; Insights'!K299="","",'Design &amp; Insights'!K299)</x:f>
      </x:c>
      <x:c r="M1671" s="2" t="n">
        <x:f>'Design &amp; Insights'!Q299</x:f>
        <x:v>1</x:v>
      </x:c>
      <x:c r="N1671" s="2" t="str">
        <x:f>'Design &amp; Insights'!L299</x:f>
        <x:v>Not started</x:v>
      </x:c>
      <x:c r="O1671" s="2" t="str">
        <x:f>'Design &amp; Insights'!N299</x:f>
        <x:v>DI.AU.2.4.2026.CY3</x:v>
      </x:c>
      <x:c r="P1671" s="2" t="n">
        <x:f>'Design &amp; Insights'!O299</x:f>
        <x:v>0</x:v>
      </x:c>
      <x:c r="Q1671" s="2" t="n">
        <x:f>SUBTOTAL(103,O1671)</x:f>
        <x:v>1</x:v>
      </x:c>
      <x:c r="R1671" s="2" t="n">
        <x:f>IF(AND(M1671=1,OR(Dashboard!$B$7="All",Dashboard!$B$7='Cycles &amp; Guide'!$C$5),OR(Dashboard!$D$7="All",Dashboard!$D$7=B1671),OR(Dashboard!$F$7="All",Dashboard!$F$7=C1671),OR(Dashboard!$H$7="All",Dashboard!$H$7=D1671),OR(Dashboard!$K$7="All",Dashboard!$K$7=E1671)),1,0)</x:f>
        <x:v>1</x:v>
      </x:c>
      <x:c r="S1671" s="2" t="n">
        <x:f>IF(R1671=1,SUM($R$10:R1671),0)</x:f>
        <x:v>1298</x:v>
      </x:c>
      <x:c r="T1671" s="2" t="str">
        <x:v>Design &amp; Insights</x:v>
      </x:c>
      <x:c r="U1671" s="2" t="n">
        <x:v>299</x:v>
      </x:c>
      <x:c r="V1671" s="2" t="n">
        <x:f>IF(AND(M1671=1,P1671=0,ISNUMBER(J1671),J1671&lt;TODAY()),1,0)</x:f>
        <x:v>0</x:v>
      </x:c>
      <x:c r="W1671" s="2" t="str">
        <x:f>'Design &amp; Insights'!M299</x:f>
        <x:v>Task</x:v>
      </x:c>
    </x:row>
    <x:row r="1672" ht="40" customHeight="1">
      <x:c r="A1672" s="3" t="str">
        <x:f>HYPERLINK("#'Design &amp; Insights'!A300","Open")</x:f>
        <x:v>Open</x:v>
      </x:c>
      <x:c r="B1672" s="2" t="str">
        <x:f>'Design &amp; Insights'!B300</x:f>
        <x:v>Cycle 3</x:v>
      </x:c>
      <x:c r="C1672" s="2" t="str">
        <x:f>'Design &amp; Insights'!C300</x:f>
        <x:v>Phase 2</x:v>
      </x:c>
      <x:c r="D1672" s="2" t="str">
        <x:f>'Design &amp; Insights'!D300</x:f>
        <x:v>Auto</x:v>
      </x:c>
      <x:c r="E1672" s="2" t="str">
        <x:v>Design &amp; Insights</x:v>
      </x:c>
      <x:c r="F1672" s="56" t="str">
        <x:f>'Design &amp; Insights'!E300</x:f>
        <x:v>DI.AU.2.5</x:v>
      </x:c>
      <x:c r="G1672" s="14" t="str">
        <x:f>'Design &amp; Insights'!F300</x:f>
        <x:v>Draft initial enhancement recommendations (as applicable)</x:v>
      </x:c>
      <x:c r="H1672" s="2" t="str">
        <x:f>IF('Design &amp; Insights'!G300="","",'Design &amp; Insights'!G300)</x:f>
      </x:c>
      <x:c r="I1672" s="12" t="str">
        <x:f>IF('Design &amp; Insights'!H300="","",'Design &amp; Insights'!H300)</x:f>
      </x:c>
      <x:c r="J1672" s="12" t="n">
        <x:f>IF('Design &amp; Insights'!I300="","",'Design &amp; Insights'!I300)</x:f>
        <x:v>46295</x:v>
      </x:c>
      <x:c r="K1672" s="12" t="str">
        <x:f>IF('Design &amp; Insights'!J300="","",'Design &amp; Insights'!J300)</x:f>
      </x:c>
      <x:c r="L1672" s="2" t="str">
        <x:f>IF('Design &amp; Insights'!K300="","",'Design &amp; Insights'!K300)</x:f>
      </x:c>
      <x:c r="M1672" s="2" t="n">
        <x:f>'Design &amp; Insights'!Q300</x:f>
        <x:v>1</x:v>
      </x:c>
      <x:c r="N1672" s="2" t="str">
        <x:f>'Design &amp; Insights'!L300</x:f>
        <x:v>Not started</x:v>
      </x:c>
      <x:c r="O1672" s="2" t="str">
        <x:f>'Design &amp; Insights'!N300</x:f>
        <x:v>DI.AU.2.5.2026.CY3</x:v>
      </x:c>
      <x:c r="P1672" s="2" t="n">
        <x:f>'Design &amp; Insights'!O300</x:f>
        <x:v>0</x:v>
      </x:c>
      <x:c r="Q1672" s="2" t="n">
        <x:f>SUBTOTAL(103,O1672)</x:f>
        <x:v>1</x:v>
      </x:c>
      <x:c r="R1672" s="2" t="n">
        <x:f>IF(AND(M1672=1,OR(Dashboard!$B$7="All",Dashboard!$B$7='Cycles &amp; Guide'!$C$5),OR(Dashboard!$D$7="All",Dashboard!$D$7=B1672),OR(Dashboard!$F$7="All",Dashboard!$F$7=C1672),OR(Dashboard!$H$7="All",Dashboard!$H$7=D1672),OR(Dashboard!$K$7="All",Dashboard!$K$7=E1672)),1,0)</x:f>
        <x:v>1</x:v>
      </x:c>
      <x:c r="S1672" s="2" t="n">
        <x:f>IF(R1672=1,SUM($R$10:R1672),0)</x:f>
        <x:v>1299</x:v>
      </x:c>
      <x:c r="T1672" s="2" t="str">
        <x:v>Design &amp; Insights</x:v>
      </x:c>
      <x:c r="U1672" s="2" t="n">
        <x:v>300</x:v>
      </x:c>
      <x:c r="V1672" s="2" t="n">
        <x:f>IF(AND(M1672=1,P1672=0,ISNUMBER(J1672),J1672&lt;TODAY()),1,0)</x:f>
        <x:v>0</x:v>
      </x:c>
      <x:c r="W1672" s="2" t="str">
        <x:f>'Design &amp; Insights'!M300</x:f>
        <x:v>Task</x:v>
      </x:c>
    </x:row>
    <x:row r="1673" ht="40" customHeight="1">
      <x:c r="A1673" s="3" t="str">
        <x:f>HYPERLINK("#'Design &amp; Insights'!A301","Open")</x:f>
        <x:v>Open</x:v>
      </x:c>
      <x:c r="B1673" s="2" t="str">
        <x:f>'Design &amp; Insights'!B301</x:f>
        <x:v>Cycle 3</x:v>
      </x:c>
      <x:c r="C1673" s="2" t="str">
        <x:f>'Design &amp; Insights'!C301</x:f>
        <x:v>Phase 2</x:v>
      </x:c>
      <x:c r="D1673" s="2" t="str">
        <x:f>'Design &amp; Insights'!D301</x:f>
        <x:v>Auto</x:v>
      </x:c>
      <x:c r="E1673" s="2" t="str">
        <x:v>Design &amp; Insights</x:v>
      </x:c>
      <x:c r="F1673" s="56" t="str">
        <x:f>'Design &amp; Insights'!E301</x:f>
        <x:v>DI.AU.2.6</x:v>
      </x:c>
      <x:c r="G1673" s="14" t="str">
        <x:f>'Design &amp; Insights'!F301</x:f>
        <x:v>Finalize presentation deck draft at conclusion of Research phase</x:v>
      </x:c>
      <x:c r="H1673" s="2" t="str">
        <x:f>IF('Design &amp; Insights'!G301="","",'Design &amp; Insights'!G301)</x:f>
      </x:c>
      <x:c r="I1673" s="12" t="str">
        <x:f>IF('Design &amp; Insights'!H301="","",'Design &amp; Insights'!H301)</x:f>
      </x:c>
      <x:c r="J1673" s="12" t="n">
        <x:f>IF('Design &amp; Insights'!I301="","",'Design &amp; Insights'!I301)</x:f>
        <x:v>46295</x:v>
      </x:c>
      <x:c r="K1673" s="12" t="str">
        <x:f>IF('Design &amp; Insights'!J301="","",'Design &amp; Insights'!J301)</x:f>
      </x:c>
      <x:c r="L1673" s="2" t="str">
        <x:f>IF('Design &amp; Insights'!K301="","",'Design &amp; Insights'!K301)</x:f>
      </x:c>
      <x:c r="M1673" s="2" t="n">
        <x:f>'Design &amp; Insights'!Q301</x:f>
        <x:v>1</x:v>
      </x:c>
      <x:c r="N1673" s="2" t="str">
        <x:f>'Design &amp; Insights'!L301</x:f>
        <x:v>Not started</x:v>
      </x:c>
      <x:c r="O1673" s="2" t="str">
        <x:f>'Design &amp; Insights'!N301</x:f>
        <x:v>DI.AU.2.6.2026.CY3</x:v>
      </x:c>
      <x:c r="P1673" s="2" t="n">
        <x:f>'Design &amp; Insights'!O301</x:f>
        <x:v>0</x:v>
      </x:c>
      <x:c r="Q1673" s="2" t="n">
        <x:f>SUBTOTAL(103,O1673)</x:f>
        <x:v>1</x:v>
      </x:c>
      <x:c r="R1673" s="2" t="n">
        <x:f>IF(AND(M1673=1,OR(Dashboard!$B$7="All",Dashboard!$B$7='Cycles &amp; Guide'!$C$5),OR(Dashboard!$D$7="All",Dashboard!$D$7=B1673),OR(Dashboard!$F$7="All",Dashboard!$F$7=C1673),OR(Dashboard!$H$7="All",Dashboard!$H$7=D1673),OR(Dashboard!$K$7="All",Dashboard!$K$7=E1673)),1,0)</x:f>
        <x:v>1</x:v>
      </x:c>
      <x:c r="S1673" s="2" t="n">
        <x:f>IF(R1673=1,SUM($R$10:R1673),0)</x:f>
        <x:v>1300</x:v>
      </x:c>
      <x:c r="T1673" s="2" t="str">
        <x:v>Design &amp; Insights</x:v>
      </x:c>
      <x:c r="U1673" s="2" t="n">
        <x:v>301</x:v>
      </x:c>
      <x:c r="V1673" s="2" t="n">
        <x:f>IF(AND(M1673=1,P1673=0,ISNUMBER(J1673),J1673&lt;TODAY()),1,0)</x:f>
        <x:v>0</x:v>
      </x:c>
      <x:c r="W1673" s="2" t="str">
        <x:f>'Design &amp; Insights'!M301</x:f>
        <x:v>Task</x:v>
      </x:c>
    </x:row>
    <x:row r="1674" ht="40" customHeight="1">
      <x:c r="A1674" s="3" t="str">
        <x:f>HYPERLINK("#'Design &amp; Insights'!A302","Open")</x:f>
        <x:v>Open</x:v>
      </x:c>
      <x:c r="B1674" s="2" t="str">
        <x:f>'Design &amp; Insights'!B302</x:f>
        <x:v>Cycle 3</x:v>
      </x:c>
      <x:c r="C1674" s="2" t="str">
        <x:f>'Design &amp; Insights'!C302</x:f>
        <x:v>Phase 2</x:v>
      </x:c>
      <x:c r="D1674" s="2" t="str">
        <x:f>'Design &amp; Insights'!D302</x:f>
        <x:v>Auto</x:v>
      </x:c>
      <x:c r="E1674" s="2" t="str">
        <x:v>Design &amp; Insights</x:v>
      </x:c>
      <x:c r="F1674" s="56" t="str">
        <x:f>'Design &amp; Insights'!E302</x:f>
        <x:v>DI.AU.2.7</x:v>
      </x:c>
      <x:c r="G1674" s="14" t="str">
        <x:f>'Design &amp; Insights'!F302</x:f>
        <x:v>Update Outcome portion of research plan with current enhancement verbiage (as needed)</x:v>
      </x:c>
      <x:c r="H1674" s="2" t="str">
        <x:f>IF('Design &amp; Insights'!G302="","",'Design &amp; Insights'!G302)</x:f>
      </x:c>
      <x:c r="I1674" s="12" t="str">
        <x:f>IF('Design &amp; Insights'!H302="","",'Design &amp; Insights'!H302)</x:f>
      </x:c>
      <x:c r="J1674" s="12" t="n">
        <x:f>IF('Design &amp; Insights'!I302="","",'Design &amp; Insights'!I302)</x:f>
        <x:v>46295</x:v>
      </x:c>
      <x:c r="K1674" s="12" t="str">
        <x:f>IF('Design &amp; Insights'!J302="","",'Design &amp; Insights'!J302)</x:f>
      </x:c>
      <x:c r="L1674" s="2" t="str">
        <x:f>IF('Design &amp; Insights'!K302="","",'Design &amp; Insights'!K302)</x:f>
      </x:c>
      <x:c r="M1674" s="2" t="n">
        <x:f>'Design &amp; Insights'!Q302</x:f>
        <x:v>1</x:v>
      </x:c>
      <x:c r="N1674" s="2" t="str">
        <x:f>'Design &amp; Insights'!L302</x:f>
        <x:v>Not started</x:v>
      </x:c>
      <x:c r="O1674" s="2" t="str">
        <x:f>'Design &amp; Insights'!N302</x:f>
        <x:v>DI.AU.2.7.2026.CY3</x:v>
      </x:c>
      <x:c r="P1674" s="2" t="n">
        <x:f>'Design &amp; Insights'!O302</x:f>
        <x:v>0</x:v>
      </x:c>
      <x:c r="Q1674" s="2" t="n">
        <x:f>SUBTOTAL(103,O1674)</x:f>
        <x:v>1</x:v>
      </x:c>
      <x:c r="R1674" s="2" t="n">
        <x:f>IF(AND(M1674=1,OR(Dashboard!$B$7="All",Dashboard!$B$7='Cycles &amp; Guide'!$C$5),OR(Dashboard!$D$7="All",Dashboard!$D$7=B1674),OR(Dashboard!$F$7="All",Dashboard!$F$7=C1674),OR(Dashboard!$H$7="All",Dashboard!$H$7=D1674),OR(Dashboard!$K$7="All",Dashboard!$K$7=E1674)),1,0)</x:f>
        <x:v>1</x:v>
      </x:c>
      <x:c r="S1674" s="2" t="n">
        <x:f>IF(R1674=1,SUM($R$10:R1674),0)</x:f>
        <x:v>1301</x:v>
      </x:c>
      <x:c r="T1674" s="2" t="str">
        <x:v>Design &amp; Insights</x:v>
      </x:c>
      <x:c r="U1674" s="2" t="n">
        <x:v>302</x:v>
      </x:c>
      <x:c r="V1674" s="2" t="n">
        <x:f>IF(AND(M1674=1,P1674=0,ISNUMBER(J1674),J1674&lt;TODAY()),1,0)</x:f>
        <x:v>0</x:v>
      </x:c>
      <x:c r="W1674" s="2" t="str">
        <x:f>'Design &amp; Insights'!M302</x:f>
        <x:v>Task</x:v>
      </x:c>
    </x:row>
    <x:row r="1675" ht="40" customHeight="1">
      <x:c r="A1675" s="3" t="str">
        <x:f>HYPERLINK("#'Design &amp; Insights'!A303","Open")</x:f>
        <x:v>Open</x:v>
      </x:c>
      <x:c r="B1675" s="2" t="str">
        <x:f>'Design &amp; Insights'!B303</x:f>
        <x:v>Cycle 3</x:v>
      </x:c>
      <x:c r="C1675" s="2" t="str">
        <x:f>'Design &amp; Insights'!C303</x:f>
        <x:v>Phase 3</x:v>
      </x:c>
      <x:c r="D1675" s="2" t="str">
        <x:f>'Design &amp; Insights'!D303</x:f>
        <x:v>Auto</x:v>
      </x:c>
      <x:c r="E1675" s="2" t="str">
        <x:v>Design &amp; Insights</x:v>
      </x:c>
      <x:c r="F1675" s="56" t="str">
        <x:f>'Design &amp; Insights'!E303</x:f>
        <x:v>DI.AU.3.1</x:v>
      </x:c>
      <x:c r="G1675" s="14" t="str">
        <x:f>'Design &amp; Insights'!F303</x:f>
        <x:v>Confirm list of required &amp; optional attendees for pre-socialization meeting</x:v>
      </x:c>
      <x:c r="H1675" s="2" t="str">
        <x:f>IF('Design &amp; Insights'!G303="","",'Design &amp; Insights'!G303)</x:f>
      </x:c>
      <x:c r="I1675" s="12" t="str">
        <x:f>IF('Design &amp; Insights'!H303="","",'Design &amp; Insights'!H303)</x:f>
      </x:c>
      <x:c r="J1675" s="12" t="n">
        <x:f>IF('Design &amp; Insights'!I303="","",'Design &amp; Insights'!I303)</x:f>
        <x:v>46295</x:v>
      </x:c>
      <x:c r="K1675" s="12" t="str">
        <x:f>IF('Design &amp; Insights'!J303="","",'Design &amp; Insights'!J303)</x:f>
      </x:c>
      <x:c r="L1675" s="2" t="str">
        <x:f>IF('Design &amp; Insights'!K303="","",'Design &amp; Insights'!K303)</x:f>
      </x:c>
      <x:c r="M1675" s="2" t="n">
        <x:f>'Design &amp; Insights'!Q303</x:f>
        <x:v>1</x:v>
      </x:c>
      <x:c r="N1675" s="2" t="str">
        <x:f>'Design &amp; Insights'!L303</x:f>
        <x:v>Not started</x:v>
      </x:c>
      <x:c r="O1675" s="2" t="str">
        <x:f>'Design &amp; Insights'!N303</x:f>
        <x:v>DI.AU.3.1.2026.CY3</x:v>
      </x:c>
      <x:c r="P1675" s="2" t="n">
        <x:f>'Design &amp; Insights'!O303</x:f>
        <x:v>0</x:v>
      </x:c>
      <x:c r="Q1675" s="2" t="n">
        <x:f>SUBTOTAL(103,O1675)</x:f>
        <x:v>1</x:v>
      </x:c>
      <x:c r="R1675" s="2" t="n">
        <x:f>IF(AND(M1675=1,OR(Dashboard!$B$7="All",Dashboard!$B$7='Cycles &amp; Guide'!$C$5),OR(Dashboard!$D$7="All",Dashboard!$D$7=B1675),OR(Dashboard!$F$7="All",Dashboard!$F$7=C1675),OR(Dashboard!$H$7="All",Dashboard!$H$7=D1675),OR(Dashboard!$K$7="All",Dashboard!$K$7=E1675)),1,0)</x:f>
        <x:v>1</x:v>
      </x:c>
      <x:c r="S1675" s="2" t="n">
        <x:f>IF(R1675=1,SUM($R$10:R1675),0)</x:f>
        <x:v>1302</x:v>
      </x:c>
      <x:c r="T1675" s="2" t="str">
        <x:v>Design &amp; Insights</x:v>
      </x:c>
      <x:c r="U1675" s="2" t="n">
        <x:v>303</x:v>
      </x:c>
      <x:c r="V1675" s="2" t="n">
        <x:f>IF(AND(M1675=1,P1675=0,ISNUMBER(J1675),J1675&lt;TODAY()),1,0)</x:f>
        <x:v>0</x:v>
      </x:c>
      <x:c r="W1675" s="2" t="str">
        <x:f>'Design &amp; Insights'!M303</x:f>
        <x:v>Task</x:v>
      </x:c>
    </x:row>
    <x:row r="1676" ht="40" customHeight="1">
      <x:c r="A1676" s="3" t="str">
        <x:f>HYPERLINK("#'Design &amp; Insights'!A304","Open")</x:f>
        <x:v>Open</x:v>
      </x:c>
      <x:c r="B1676" s="2" t="str">
        <x:f>'Design &amp; Insights'!B304</x:f>
        <x:v>Cycle 3</x:v>
      </x:c>
      <x:c r="C1676" s="2" t="str">
        <x:f>'Design &amp; Insights'!C304</x:f>
        <x:v>Phase 3</x:v>
      </x:c>
      <x:c r="D1676" s="2" t="str">
        <x:f>'Design &amp; Insights'!D304</x:f>
        <x:v>Auto</x:v>
      </x:c>
      <x:c r="E1676" s="2" t="str">
        <x:v>Design &amp; Insights</x:v>
      </x:c>
      <x:c r="F1676" s="56" t="str">
        <x:f>'Design &amp; Insights'!E304</x:f>
        <x:v>DI.AU.3.2</x:v>
      </x:c>
      <x:c r="G1676" s="14" t="str">
        <x:f>'Design &amp; Insights'!F304</x:f>
        <x:v>Schedule pre-socialization meeting 1 week prior to RCA Forum</x:v>
      </x:c>
      <x:c r="H1676" s="2" t="str">
        <x:f>IF('Design &amp; Insights'!G304="","",'Design &amp; Insights'!G304)</x:f>
      </x:c>
      <x:c r="I1676" s="12" t="str">
        <x:f>IF('Design &amp; Insights'!H304="","",'Design &amp; Insights'!H304)</x:f>
      </x:c>
      <x:c r="J1676" s="12" t="str">
        <x:f>IF('Design &amp; Insights'!I304="","",'Design &amp; Insights'!I304)</x:f>
      </x:c>
      <x:c r="K1676" s="12" t="str">
        <x:f>IF('Design &amp; Insights'!J304="","",'Design &amp; Insights'!J304)</x:f>
      </x:c>
      <x:c r="L1676" s="2" t="str">
        <x:f>IF('Design &amp; Insights'!K304="","",'Design &amp; Insights'!K304)</x:f>
      </x:c>
      <x:c r="M1676" s="2" t="n">
        <x:f>'Design &amp; Insights'!Q304</x:f>
        <x:v>1</x:v>
      </x:c>
      <x:c r="N1676" s="2" t="str">
        <x:f>'Design &amp; Insights'!L304</x:f>
        <x:v>Not started</x:v>
      </x:c>
      <x:c r="O1676" s="2" t="str">
        <x:f>'Design &amp; Insights'!N304</x:f>
        <x:v>DI.AU.3.2.2026.CY3</x:v>
      </x:c>
      <x:c r="P1676" s="2" t="n">
        <x:f>'Design &amp; Insights'!O304</x:f>
        <x:v>0</x:v>
      </x:c>
      <x:c r="Q1676" s="2" t="n">
        <x:f>SUBTOTAL(103,O1676)</x:f>
        <x:v>1</x:v>
      </x:c>
      <x:c r="R1676" s="2" t="n">
        <x:f>IF(AND(M1676=1,OR(Dashboard!$B$7="All",Dashboard!$B$7='Cycles &amp; Guide'!$C$5),OR(Dashboard!$D$7="All",Dashboard!$D$7=B1676),OR(Dashboard!$F$7="All",Dashboard!$F$7=C1676),OR(Dashboard!$H$7="All",Dashboard!$H$7=D1676),OR(Dashboard!$K$7="All",Dashboard!$K$7=E1676)),1,0)</x:f>
        <x:v>1</x:v>
      </x:c>
      <x:c r="S1676" s="2" t="n">
        <x:f>IF(R1676=1,SUM($R$10:R1676),0)</x:f>
        <x:v>1303</x:v>
      </x:c>
      <x:c r="T1676" s="2" t="str">
        <x:v>Design &amp; Insights</x:v>
      </x:c>
      <x:c r="U1676" s="2" t="n">
        <x:v>304</x:v>
      </x:c>
      <x:c r="V1676" s="2" t="n">
        <x:f>IF(AND(M1676=1,P1676=0,ISNUMBER(J1676),J1676&lt;TODAY()),1,0)</x:f>
        <x:v>0</x:v>
      </x:c>
      <x:c r="W1676" s="2" t="str">
        <x:f>'Design &amp; Insights'!M304</x:f>
        <x:v>Task</x:v>
      </x:c>
    </x:row>
    <x:row r="1677" ht="40" customHeight="1">
      <x:c r="A1677" s="3" t="str">
        <x:f>HYPERLINK("#'Design &amp; Insights'!A305","Open")</x:f>
        <x:v>Open</x:v>
      </x:c>
      <x:c r="B1677" s="2" t="str">
        <x:f>'Design &amp; Insights'!B305</x:f>
        <x:v>Cycle 3</x:v>
      </x:c>
      <x:c r="C1677" s="2" t="str">
        <x:f>'Design &amp; Insights'!C305</x:f>
        <x:v>Phase 3</x:v>
      </x:c>
      <x:c r="D1677" s="2" t="str">
        <x:f>'Design &amp; Insights'!D305</x:f>
        <x:v>Auto</x:v>
      </x:c>
      <x:c r="E1677" s="2" t="str">
        <x:v>Design &amp; Insights</x:v>
      </x:c>
      <x:c r="F1677" s="56" t="str">
        <x:f>'Design &amp; Insights'!E305</x:f>
        <x:v>DI.AU.3.3</x:v>
      </x:c>
      <x:c r="G1677" s="14" t="str">
        <x:f>'Design &amp; Insights'!F305</x:f>
        <x:v>Present findings, conclusions, and recommendation to SMEs</x:v>
      </x:c>
      <x:c r="H1677" s="2" t="str">
        <x:f>IF('Design &amp; Insights'!G305="","",'Design &amp; Insights'!G305)</x:f>
      </x:c>
      <x:c r="I1677" s="12" t="str">
        <x:f>IF('Design &amp; Insights'!H305="","",'Design &amp; Insights'!H305)</x:f>
      </x:c>
      <x:c r="J1677" s="12" t="n">
        <x:f>IF('Design &amp; Insights'!I305="","",'Design &amp; Insights'!I305)</x:f>
        <x:v>46295</x:v>
      </x:c>
      <x:c r="K1677" s="12" t="str">
        <x:f>IF('Design &amp; Insights'!J305="","",'Design &amp; Insights'!J305)</x:f>
      </x:c>
      <x:c r="L1677" s="2" t="str">
        <x:f>IF('Design &amp; Insights'!K305="","",'Design &amp; Insights'!K305)</x:f>
      </x:c>
      <x:c r="M1677" s="2" t="n">
        <x:f>'Design &amp; Insights'!Q305</x:f>
        <x:v>1</x:v>
      </x:c>
      <x:c r="N1677" s="2" t="str">
        <x:f>'Design &amp; Insights'!L305</x:f>
        <x:v>Not started</x:v>
      </x:c>
      <x:c r="O1677" s="2" t="str">
        <x:f>'Design &amp; Insights'!N305</x:f>
        <x:v>DI.AU.3.3.2026.CY3</x:v>
      </x:c>
      <x:c r="P1677" s="2" t="n">
        <x:f>'Design &amp; Insights'!O305</x:f>
        <x:v>0</x:v>
      </x:c>
      <x:c r="Q1677" s="2" t="n">
        <x:f>SUBTOTAL(103,O1677)</x:f>
        <x:v>1</x:v>
      </x:c>
      <x:c r="R1677" s="2" t="n">
        <x:f>IF(AND(M1677=1,OR(Dashboard!$B$7="All",Dashboard!$B$7='Cycles &amp; Guide'!$C$5),OR(Dashboard!$D$7="All",Dashboard!$D$7=B1677),OR(Dashboard!$F$7="All",Dashboard!$F$7=C1677),OR(Dashboard!$H$7="All",Dashboard!$H$7=D1677),OR(Dashboard!$K$7="All",Dashboard!$K$7=E1677)),1,0)</x:f>
        <x:v>1</x:v>
      </x:c>
      <x:c r="S1677" s="2" t="n">
        <x:f>IF(R1677=1,SUM($R$10:R1677),0)</x:f>
        <x:v>1304</x:v>
      </x:c>
      <x:c r="T1677" s="2" t="str">
        <x:v>Design &amp; Insights</x:v>
      </x:c>
      <x:c r="U1677" s="2" t="n">
        <x:v>305</x:v>
      </x:c>
      <x:c r="V1677" s="2" t="n">
        <x:f>IF(AND(M1677=1,P1677=0,ISNUMBER(J1677),J1677&lt;TODAY()),1,0)</x:f>
        <x:v>0</x:v>
      </x:c>
      <x:c r="W1677" s="2" t="str">
        <x:f>'Design &amp; Insights'!M305</x:f>
        <x:v>Task</x:v>
      </x:c>
    </x:row>
    <x:row r="1678" ht="40" customHeight="1">
      <x:c r="A1678" s="3" t="str">
        <x:f>HYPERLINK("#'Design &amp; Insights'!A306","Open")</x:f>
        <x:v>Open</x:v>
      </x:c>
      <x:c r="B1678" s="2" t="str">
        <x:f>'Design &amp; Insights'!B306</x:f>
        <x:v>Cycle 3</x:v>
      </x:c>
      <x:c r="C1678" s="2" t="str">
        <x:f>'Design &amp; Insights'!C306</x:f>
        <x:v>Phase 3</x:v>
      </x:c>
      <x:c r="D1678" s="2" t="str">
        <x:f>'Design &amp; Insights'!D306</x:f>
        <x:v>Auto</x:v>
      </x:c>
      <x:c r="E1678" s="2" t="str">
        <x:v>Design &amp; Insights</x:v>
      </x:c>
      <x:c r="F1678" s="56" t="str">
        <x:f>'Design &amp; Insights'!E306</x:f>
        <x:v>DI.AU.3.4</x:v>
      </x:c>
      <x:c r="G1678" s="14" t="str">
        <x:f>'Design &amp; Insights'!F306</x:f>
        <x:v>Update Outcome portion of research plan (as needed)</x:v>
      </x:c>
      <x:c r="H1678" s="2" t="str">
        <x:f>IF('Design &amp; Insights'!G306="","",'Design &amp; Insights'!G306)</x:f>
      </x:c>
      <x:c r="I1678" s="12" t="str">
        <x:f>IF('Design &amp; Insights'!H306="","",'Design &amp; Insights'!H306)</x:f>
      </x:c>
      <x:c r="J1678" s="12" t="n">
        <x:f>IF('Design &amp; Insights'!I306="","",'Design &amp; Insights'!I306)</x:f>
        <x:v>46295</x:v>
      </x:c>
      <x:c r="K1678" s="12" t="str">
        <x:f>IF('Design &amp; Insights'!J306="","",'Design &amp; Insights'!J306)</x:f>
      </x:c>
      <x:c r="L1678" s="2" t="str">
        <x:f>IF('Design &amp; Insights'!K306="","",'Design &amp; Insights'!K306)</x:f>
      </x:c>
      <x:c r="M1678" s="2" t="n">
        <x:f>'Design &amp; Insights'!Q306</x:f>
        <x:v>1</x:v>
      </x:c>
      <x:c r="N1678" s="2" t="str">
        <x:f>'Design &amp; Insights'!L306</x:f>
        <x:v>Not started</x:v>
      </x:c>
      <x:c r="O1678" s="2" t="str">
        <x:f>'Design &amp; Insights'!N306</x:f>
        <x:v>DI.AU.3.4.2026.CY3</x:v>
      </x:c>
      <x:c r="P1678" s="2" t="n">
        <x:f>'Design &amp; Insights'!O306</x:f>
        <x:v>0</x:v>
      </x:c>
      <x:c r="Q1678" s="2" t="n">
        <x:f>SUBTOTAL(103,O1678)</x:f>
        <x:v>1</x:v>
      </x:c>
      <x:c r="R1678" s="2" t="n">
        <x:f>IF(AND(M1678=1,OR(Dashboard!$B$7="All",Dashboard!$B$7='Cycles &amp; Guide'!$C$5),OR(Dashboard!$D$7="All",Dashboard!$D$7=B1678),OR(Dashboard!$F$7="All",Dashboard!$F$7=C1678),OR(Dashboard!$H$7="All",Dashboard!$H$7=D1678),OR(Dashboard!$K$7="All",Dashboard!$K$7=E1678)),1,0)</x:f>
        <x:v>1</x:v>
      </x:c>
      <x:c r="S1678" s="2" t="n">
        <x:f>IF(R1678=1,SUM($R$10:R1678),0)</x:f>
        <x:v>1305</x:v>
      </x:c>
      <x:c r="T1678" s="2" t="str">
        <x:v>Design &amp; Insights</x:v>
      </x:c>
      <x:c r="U1678" s="2" t="n">
        <x:v>306</x:v>
      </x:c>
      <x:c r="V1678" s="2" t="n">
        <x:f>IF(AND(M1678=1,P1678=0,ISNUMBER(J1678),J1678&lt;TODAY()),1,0)</x:f>
        <x:v>0</x:v>
      </x:c>
      <x:c r="W1678" s="2" t="str">
        <x:f>'Design &amp; Insights'!M306</x:f>
        <x:v>Task</x:v>
      </x:c>
    </x:row>
    <x:row r="1679" ht="40" customHeight="1">
      <x:c r="A1679" s="3" t="str">
        <x:f>HYPERLINK("#'Design &amp; Insights'!A307","Open")</x:f>
        <x:v>Open</x:v>
      </x:c>
      <x:c r="B1679" s="2" t="str">
        <x:f>'Design &amp; Insights'!B307</x:f>
        <x:v>Cycle 3</x:v>
      </x:c>
      <x:c r="C1679" s="2" t="str">
        <x:f>'Design &amp; Insights'!C307</x:f>
        <x:v>Phase 3</x:v>
      </x:c>
      <x:c r="D1679" s="2" t="str">
        <x:f>'Design &amp; Insights'!D307</x:f>
        <x:v>Auto</x:v>
      </x:c>
      <x:c r="E1679" s="2" t="str">
        <x:v>Design &amp; Insights</x:v>
      </x:c>
      <x:c r="F1679" s="56" t="str">
        <x:f>'Design &amp; Insights'!E307</x:f>
        <x:v>DI.AU.3.5</x:v>
      </x:c>
      <x:c r="G1679" s="14" t="str">
        <x:f>'Design &amp; Insights'!F307</x:f>
        <x:v>Finalize presentation deck by incorporating pre-socialization feedback (as needed)</x:v>
      </x:c>
      <x:c r="H1679" s="2" t="str">
        <x:f>IF('Design &amp; Insights'!G307="","",'Design &amp; Insights'!G307)</x:f>
      </x:c>
      <x:c r="I1679" s="12" t="str">
        <x:f>IF('Design &amp; Insights'!H307="","",'Design &amp; Insights'!H307)</x:f>
      </x:c>
      <x:c r="J1679" s="12" t="n">
        <x:f>IF('Design &amp; Insights'!I307="","",'Design &amp; Insights'!I307)</x:f>
        <x:v>46295</x:v>
      </x:c>
      <x:c r="K1679" s="12" t="str">
        <x:f>IF('Design &amp; Insights'!J307="","",'Design &amp; Insights'!J307)</x:f>
      </x:c>
      <x:c r="L1679" s="2" t="str">
        <x:f>IF('Design &amp; Insights'!K307="","",'Design &amp; Insights'!K307)</x:f>
      </x:c>
      <x:c r="M1679" s="2" t="n">
        <x:f>'Design &amp; Insights'!Q307</x:f>
        <x:v>1</x:v>
      </x:c>
      <x:c r="N1679" s="2" t="str">
        <x:f>'Design &amp; Insights'!L307</x:f>
        <x:v>Not started</x:v>
      </x:c>
      <x:c r="O1679" s="2" t="str">
        <x:f>'Design &amp; Insights'!N307</x:f>
        <x:v>DI.AU.3.5.2026.CY3</x:v>
      </x:c>
      <x:c r="P1679" s="2" t="n">
        <x:f>'Design &amp; Insights'!O307</x:f>
        <x:v>0</x:v>
      </x:c>
      <x:c r="Q1679" s="2" t="n">
        <x:f>SUBTOTAL(103,O1679)</x:f>
        <x:v>1</x:v>
      </x:c>
      <x:c r="R1679" s="2" t="n">
        <x:f>IF(AND(M1679=1,OR(Dashboard!$B$7="All",Dashboard!$B$7='Cycles &amp; Guide'!$C$5),OR(Dashboard!$D$7="All",Dashboard!$D$7=B1679),OR(Dashboard!$F$7="All",Dashboard!$F$7=C1679),OR(Dashboard!$H$7="All",Dashboard!$H$7=D1679),OR(Dashboard!$K$7="All",Dashboard!$K$7=E1679)),1,0)</x:f>
        <x:v>1</x:v>
      </x:c>
      <x:c r="S1679" s="2" t="n">
        <x:f>IF(R1679=1,SUM($R$10:R1679),0)</x:f>
        <x:v>1306</x:v>
      </x:c>
      <x:c r="T1679" s="2" t="str">
        <x:v>Design &amp; Insights</x:v>
      </x:c>
      <x:c r="U1679" s="2" t="n">
        <x:v>307</x:v>
      </x:c>
      <x:c r="V1679" s="2" t="n">
        <x:f>IF(AND(M1679=1,P1679=0,ISNUMBER(J1679),J1679&lt;TODAY()),1,0)</x:f>
        <x:v>0</x:v>
      </x:c>
      <x:c r="W1679" s="2" t="str">
        <x:f>'Design &amp; Insights'!M307</x:f>
        <x:v>Task</x:v>
      </x:c>
    </x:row>
    <x:row r="1680" ht="40" customHeight="1">
      <x:c r="A1680" s="3" t="str">
        <x:f>HYPERLINK("#'Design &amp; Insights'!A308","Open")</x:f>
        <x:v>Open</x:v>
      </x:c>
      <x:c r="B1680" s="2" t="str">
        <x:f>'Design &amp; Insights'!B308</x:f>
        <x:v>Cycle 3</x:v>
      </x:c>
      <x:c r="C1680" s="2" t="str">
        <x:f>'Design &amp; Insights'!C308</x:f>
        <x:v>Phase 3</x:v>
      </x:c>
      <x:c r="D1680" s="2" t="str">
        <x:f>'Design &amp; Insights'!D308</x:f>
        <x:v>Auto</x:v>
      </x:c>
      <x:c r="E1680" s="2" t="str">
        <x:v>Design &amp; Insights</x:v>
      </x:c>
      <x:c r="F1680" s="56" t="str">
        <x:f>'Design &amp; Insights'!E308</x:f>
        <x:v>DI.AU.3.6</x:v>
      </x:c>
      <x:c r="G1680" s="14" t="str">
        <x:f>'Design &amp; Insights'!F308</x:f>
        <x:v>Ensure final deck is communicated to Forum attendees</x:v>
      </x:c>
      <x:c r="H1680" s="2" t="str">
        <x:f>IF('Design &amp; Insights'!G308="","",'Design &amp; Insights'!G308)</x:f>
      </x:c>
      <x:c r="I1680" s="12" t="str">
        <x:f>IF('Design &amp; Insights'!H308="","",'Design &amp; Insights'!H308)</x:f>
      </x:c>
      <x:c r="J1680" s="12" t="n">
        <x:f>IF('Design &amp; Insights'!I308="","",'Design &amp; Insights'!I308)</x:f>
        <x:v>46295</x:v>
      </x:c>
      <x:c r="K1680" s="12" t="str">
        <x:f>IF('Design &amp; Insights'!J308="","",'Design &amp; Insights'!J308)</x:f>
      </x:c>
      <x:c r="L1680" s="2" t="str">
        <x:f>IF('Design &amp; Insights'!K308="","",'Design &amp; Insights'!K308)</x:f>
      </x:c>
      <x:c r="M1680" s="2" t="n">
        <x:f>'Design &amp; Insights'!Q308</x:f>
        <x:v>1</x:v>
      </x:c>
      <x:c r="N1680" s="2" t="str">
        <x:f>'Design &amp; Insights'!L308</x:f>
        <x:v>Not started</x:v>
      </x:c>
      <x:c r="O1680" s="2" t="str">
        <x:f>'Design &amp; Insights'!N308</x:f>
        <x:v>DI.AU.3.6.2026.CY3</x:v>
      </x:c>
      <x:c r="P1680" s="2" t="n">
        <x:f>'Design &amp; Insights'!O308</x:f>
        <x:v>0</x:v>
      </x:c>
      <x:c r="Q1680" s="2" t="n">
        <x:f>SUBTOTAL(103,O1680)</x:f>
        <x:v>1</x:v>
      </x:c>
      <x:c r="R1680" s="2" t="n">
        <x:f>IF(AND(M1680=1,OR(Dashboard!$B$7="All",Dashboard!$B$7='Cycles &amp; Guide'!$C$5),OR(Dashboard!$D$7="All",Dashboard!$D$7=B1680),OR(Dashboard!$F$7="All",Dashboard!$F$7=C1680),OR(Dashboard!$H$7="All",Dashboard!$H$7=D1680),OR(Dashboard!$K$7="All",Dashboard!$K$7=E1680)),1,0)</x:f>
        <x:v>1</x:v>
      </x:c>
      <x:c r="S1680" s="2" t="n">
        <x:f>IF(R1680=1,SUM($R$10:R1680),0)</x:f>
        <x:v>1307</x:v>
      </x:c>
      <x:c r="T1680" s="2" t="str">
        <x:v>Design &amp; Insights</x:v>
      </x:c>
      <x:c r="U1680" s="2" t="n">
        <x:v>308</x:v>
      </x:c>
      <x:c r="V1680" s="2" t="n">
        <x:f>IF(AND(M1680=1,P1680=0,ISNUMBER(J1680),J1680&lt;TODAY()),1,0)</x:f>
        <x:v>0</x:v>
      </x:c>
      <x:c r="W1680" s="2" t="str">
        <x:f>'Design &amp; Insights'!M308</x:f>
        <x:v>Task</x:v>
      </x:c>
    </x:row>
    <x:row r="1681" ht="40" customHeight="1">
      <x:c r="A1681" s="3" t="str">
        <x:f>HYPERLINK("#'Design &amp; Insights'!A309","Open")</x:f>
        <x:v>Open</x:v>
      </x:c>
      <x:c r="B1681" s="2" t="str">
        <x:f>'Design &amp; Insights'!B309</x:f>
        <x:v>Cycle 3</x:v>
      </x:c>
      <x:c r="C1681" s="2" t="str">
        <x:f>'Design &amp; Insights'!C309</x:f>
        <x:v>Phase 3</x:v>
      </x:c>
      <x:c r="D1681" s="2" t="str">
        <x:f>'Design &amp; Insights'!D309</x:f>
        <x:v>Auto</x:v>
      </x:c>
      <x:c r="E1681" s="2" t="str">
        <x:v>Design &amp; Insights</x:v>
      </x:c>
      <x:c r="F1681" s="56" t="str">
        <x:f>'Design &amp; Insights'!E309</x:f>
        <x:v>DI.AU.3.7</x:v>
      </x:c>
      <x:c r="G1681" s="14" t="str">
        <x:f>'Design &amp; Insights'!F309</x:f>
        <x:v>Present material in RCA Cycle Forum</x:v>
      </x:c>
      <x:c r="H1681" s="2" t="str">
        <x:f>IF('Design &amp; Insights'!G309="","",'Design &amp; Insights'!G309)</x:f>
      </x:c>
      <x:c r="I1681" s="12" t="str">
        <x:f>IF('Design &amp; Insights'!H309="","",'Design &amp; Insights'!H309)</x:f>
      </x:c>
      <x:c r="J1681" s="12" t="str">
        <x:f>IF('Design &amp; Insights'!I309="","",'Design &amp; Insights'!I309)</x:f>
      </x:c>
      <x:c r="K1681" s="12" t="str">
        <x:f>IF('Design &amp; Insights'!J309="","",'Design &amp; Insights'!J309)</x:f>
      </x:c>
      <x:c r="L1681" s="2" t="str">
        <x:f>IF('Design &amp; Insights'!K309="","",'Design &amp; Insights'!K309)</x:f>
      </x:c>
      <x:c r="M1681" s="2" t="n">
        <x:f>'Design &amp; Insights'!Q309</x:f>
        <x:v>1</x:v>
      </x:c>
      <x:c r="N1681" s="2" t="str">
        <x:f>'Design &amp; Insights'!L309</x:f>
        <x:v>Not started</x:v>
      </x:c>
      <x:c r="O1681" s="2" t="str">
        <x:f>'Design &amp; Insights'!N309</x:f>
        <x:v>DI.AU.3.7.2026.CY3</x:v>
      </x:c>
      <x:c r="P1681" s="2" t="n">
        <x:f>'Design &amp; Insights'!O309</x:f>
        <x:v>0</x:v>
      </x:c>
      <x:c r="Q1681" s="2" t="n">
        <x:f>SUBTOTAL(103,O1681)</x:f>
        <x:v>1</x:v>
      </x:c>
      <x:c r="R1681" s="2" t="n">
        <x:f>IF(AND(M1681=1,OR(Dashboard!$B$7="All",Dashboard!$B$7='Cycles &amp; Guide'!$C$5),OR(Dashboard!$D$7="All",Dashboard!$D$7=B1681),OR(Dashboard!$F$7="All",Dashboard!$F$7=C1681),OR(Dashboard!$H$7="All",Dashboard!$H$7=D1681),OR(Dashboard!$K$7="All",Dashboard!$K$7=E1681)),1,0)</x:f>
        <x:v>1</x:v>
      </x:c>
      <x:c r="S1681" s="2" t="n">
        <x:f>IF(R1681=1,SUM($R$10:R1681),0)</x:f>
        <x:v>1308</x:v>
      </x:c>
      <x:c r="T1681" s="2" t="str">
        <x:v>Design &amp; Insights</x:v>
      </x:c>
      <x:c r="U1681" s="2" t="n">
        <x:v>309</x:v>
      </x:c>
      <x:c r="V1681" s="2" t="n">
        <x:f>IF(AND(M1681=1,P1681=0,ISNUMBER(J1681),J1681&lt;TODAY()),1,0)</x:f>
        <x:v>0</x:v>
      </x:c>
      <x:c r="W1681" s="2" t="str">
        <x:f>'Design &amp; Insights'!M309</x:f>
        <x:v>Task</x:v>
      </x:c>
    </x:row>
    <x:row r="1682" ht="40" customHeight="1">
      <x:c r="A1682" s="3" t="str">
        <x:f>HYPERLINK("#'Design &amp; Insights'!A310","Open")</x:f>
        <x:v>Open</x:v>
      </x:c>
      <x:c r="B1682" s="2" t="str">
        <x:f>'Design &amp; Insights'!B310</x:f>
        <x:v>Cycle 3</x:v>
      </x:c>
      <x:c r="C1682" s="2" t="str">
        <x:f>'Design &amp; Insights'!C310</x:f>
        <x:v>Phase 1</x:v>
      </x:c>
      <x:c r="D1682" s="2" t="str">
        <x:f>'Design &amp; Insights'!D310</x:f>
        <x:v>Cards</x:v>
      </x:c>
      <x:c r="E1682" s="2" t="str">
        <x:v>Design &amp; Insights</x:v>
      </x:c>
      <x:c r="F1682" s="56" t="str">
        <x:f>'Design &amp; Insights'!E310</x:f>
        <x:v>DI.CA.1.1</x:v>
      </x:c>
      <x:c r="G1682" s="14" t="str">
        <x:f>'Design &amp; Insights'!F310</x:f>
        <x:v>Receive and review potential research topics at least 2 weeks prior to Cycle start date</x:v>
      </x:c>
      <x:c r="H1682" s="2" t="str">
        <x:f>IF('Design &amp; Insights'!G310="","",'Design &amp; Insights'!G310)</x:f>
      </x:c>
      <x:c r="I1682" s="12" t="str">
        <x:f>IF('Design &amp; Insights'!H310="","",'Design &amp; Insights'!H310)</x:f>
      </x:c>
      <x:c r="J1682" s="12" t="n">
        <x:f>IF('Design &amp; Insights'!I310="","",'Design &amp; Insights'!I310)</x:f>
        <x:v>46190</x:v>
      </x:c>
      <x:c r="K1682" s="12" t="str">
        <x:f>IF('Design &amp; Insights'!J310="","",'Design &amp; Insights'!J310)</x:f>
      </x:c>
      <x:c r="L1682" s="2" t="str">
        <x:f>IF('Design &amp; Insights'!K310="","",'Design &amp; Insights'!K310)</x:f>
      </x:c>
      <x:c r="M1682" s="2" t="n">
        <x:f>'Design &amp; Insights'!Q310</x:f>
        <x:v>1</x:v>
      </x:c>
      <x:c r="N1682" s="2" t="str">
        <x:f>'Design &amp; Insights'!L310</x:f>
        <x:v>Not started</x:v>
      </x:c>
      <x:c r="O1682" s="2" t="str">
        <x:f>'Design &amp; Insights'!N310</x:f>
        <x:v>DI.CA.1.1.2026.CY3</x:v>
      </x:c>
      <x:c r="P1682" s="2" t="n">
        <x:f>'Design &amp; Insights'!O310</x:f>
        <x:v>0</x:v>
      </x:c>
      <x:c r="Q1682" s="2" t="n">
        <x:f>SUBTOTAL(103,O1682)</x:f>
        <x:v>1</x:v>
      </x:c>
      <x:c r="R1682" s="2" t="n">
        <x:f>IF(AND(M1682=1,OR(Dashboard!$B$7="All",Dashboard!$B$7='Cycles &amp; Guide'!$C$5),OR(Dashboard!$D$7="All",Dashboard!$D$7=B1682),OR(Dashboard!$F$7="All",Dashboard!$F$7=C1682),OR(Dashboard!$H$7="All",Dashboard!$H$7=D1682),OR(Dashboard!$K$7="All",Dashboard!$K$7=E1682)),1,0)</x:f>
        <x:v>1</x:v>
      </x:c>
      <x:c r="S1682" s="2" t="n">
        <x:f>IF(R1682=1,SUM($R$10:R1682),0)</x:f>
        <x:v>1309</x:v>
      </x:c>
      <x:c r="T1682" s="2" t="str">
        <x:v>Design &amp; Insights</x:v>
      </x:c>
      <x:c r="U1682" s="2" t="n">
        <x:v>310</x:v>
      </x:c>
      <x:c r="V1682" s="2" t="n">
        <x:f>IF(AND(M1682=1,P1682=0,ISNUMBER(J1682),J1682&lt;TODAY()),1,0)</x:f>
        <x:v>1</x:v>
      </x:c>
      <x:c r="W1682" s="2" t="str">
        <x:f>'Design &amp; Insights'!M310</x:f>
        <x:v>Task</x:v>
      </x:c>
    </x:row>
    <x:row r="1683" ht="40" customHeight="1">
      <x:c r="A1683" s="3" t="str">
        <x:f>HYPERLINK("#'Design &amp; Insights'!A311","Open")</x:f>
        <x:v>Open</x:v>
      </x:c>
      <x:c r="B1683" s="2" t="str">
        <x:f>'Design &amp; Insights'!B311</x:f>
        <x:v>Cycle 3</x:v>
      </x:c>
      <x:c r="C1683" s="2" t="str">
        <x:f>'Design &amp; Insights'!C311</x:f>
        <x:v>Phase 1</x:v>
      </x:c>
      <x:c r="D1683" s="2" t="str">
        <x:f>'Design &amp; Insights'!D311</x:f>
        <x:v>Cards</x:v>
      </x:c>
      <x:c r="E1683" s="2" t="str">
        <x:v>Design &amp; Insights</x:v>
      </x:c>
      <x:c r="F1683" s="56" t="str">
        <x:f>'Design &amp; Insights'!E311</x:f>
        <x:v>DI.CA.1.2</x:v>
      </x:c>
      <x:c r="G1683" s="14" t="str">
        <x:f>'Design &amp; Insights'!F311</x:f>
        <x:v>Communicate any feedback on preferences or concerns with topics identified</x:v>
      </x:c>
      <x:c r="H1683" s="2" t="str">
        <x:f>IF('Design &amp; Insights'!G311="","",'Design &amp; Insights'!G311)</x:f>
      </x:c>
      <x:c r="I1683" s="12" t="str">
        <x:f>IF('Design &amp; Insights'!H311="","",'Design &amp; Insights'!H311)</x:f>
      </x:c>
      <x:c r="J1683" s="12" t="n">
        <x:f>IF('Design &amp; Insights'!I311="","",'Design &amp; Insights'!I311)</x:f>
        <x:v>46295</x:v>
      </x:c>
      <x:c r="K1683" s="12" t="str">
        <x:f>IF('Design &amp; Insights'!J311="","",'Design &amp; Insights'!J311)</x:f>
      </x:c>
      <x:c r="L1683" s="2" t="str">
        <x:f>IF('Design &amp; Insights'!K311="","",'Design &amp; Insights'!K311)</x:f>
      </x:c>
      <x:c r="M1683" s="2" t="n">
        <x:f>'Design &amp; Insights'!Q311</x:f>
        <x:v>1</x:v>
      </x:c>
      <x:c r="N1683" s="2" t="str">
        <x:f>'Design &amp; Insights'!L311</x:f>
        <x:v>Not started</x:v>
      </x:c>
      <x:c r="O1683" s="2" t="str">
        <x:f>'Design &amp; Insights'!N311</x:f>
        <x:v>DI.CA.1.2.2026.CY3</x:v>
      </x:c>
      <x:c r="P1683" s="2" t="n">
        <x:f>'Design &amp; Insights'!O311</x:f>
        <x:v>0</x:v>
      </x:c>
      <x:c r="Q1683" s="2" t="n">
        <x:f>SUBTOTAL(103,O1683)</x:f>
        <x:v>1</x:v>
      </x:c>
      <x:c r="R1683" s="2" t="n">
        <x:f>IF(AND(M1683=1,OR(Dashboard!$B$7="All",Dashboard!$B$7='Cycles &amp; Guide'!$C$5),OR(Dashboard!$D$7="All",Dashboard!$D$7=B1683),OR(Dashboard!$F$7="All",Dashboard!$F$7=C1683),OR(Dashboard!$H$7="All",Dashboard!$H$7=D1683),OR(Dashboard!$K$7="All",Dashboard!$K$7=E1683)),1,0)</x:f>
        <x:v>1</x:v>
      </x:c>
      <x:c r="S1683" s="2" t="n">
        <x:f>IF(R1683=1,SUM($R$10:R1683),0)</x:f>
        <x:v>1310</x:v>
      </x:c>
      <x:c r="T1683" s="2" t="str">
        <x:v>Design &amp; Insights</x:v>
      </x:c>
      <x:c r="U1683" s="2" t="n">
        <x:v>311</x:v>
      </x:c>
      <x:c r="V1683" s="2" t="n">
        <x:f>IF(AND(M1683=1,P1683=0,ISNUMBER(J1683),J1683&lt;TODAY()),1,0)</x:f>
        <x:v>0</x:v>
      </x:c>
      <x:c r="W1683" s="2" t="str">
        <x:f>'Design &amp; Insights'!M311</x:f>
        <x:v>Task</x:v>
      </x:c>
    </x:row>
    <x:row r="1684" ht="40" customHeight="1">
      <x:c r="A1684" s="3" t="str">
        <x:f>HYPERLINK("#'Design &amp; Insights'!A312","Open")</x:f>
        <x:v>Open</x:v>
      </x:c>
      <x:c r="B1684" s="2" t="str">
        <x:f>'Design &amp; Insights'!B312</x:f>
        <x:v>Cycle 3</x:v>
      </x:c>
      <x:c r="C1684" s="2" t="str">
        <x:f>'Design &amp; Insights'!C312</x:f>
        <x:v>Phase 1</x:v>
      </x:c>
      <x:c r="D1684" s="2" t="str">
        <x:f>'Design &amp; Insights'!D312</x:f>
        <x:v>Cards</x:v>
      </x:c>
      <x:c r="E1684" s="2" t="str">
        <x:v>Design &amp; Insights</x:v>
      </x:c>
      <x:c r="F1684" s="56" t="str">
        <x:f>'Design &amp; Insights'!E312</x:f>
        <x:v>DI.CA.1.3</x:v>
      </x:c>
      <x:c r="G1684" s="14" t="str">
        <x:f>'Design &amp; Insights'!F312</x:f>
        <x:v>Conduct high-level preliminary review of complaints within proposed topics</x:v>
      </x:c>
      <x:c r="H1684" s="2" t="str">
        <x:f>IF('Design &amp; Insights'!G312="","",'Design &amp; Insights'!G312)</x:f>
      </x:c>
      <x:c r="I1684" s="12" t="str">
        <x:f>IF('Design &amp; Insights'!H312="","",'Design &amp; Insights'!H312)</x:f>
      </x:c>
      <x:c r="J1684" s="12" t="n">
        <x:f>IF('Design &amp; Insights'!I312="","",'Design &amp; Insights'!I312)</x:f>
        <x:v>46295</x:v>
      </x:c>
      <x:c r="K1684" s="12" t="str">
        <x:f>IF('Design &amp; Insights'!J312="","",'Design &amp; Insights'!J312)</x:f>
      </x:c>
      <x:c r="L1684" s="2" t="str">
        <x:f>IF('Design &amp; Insights'!K312="","",'Design &amp; Insights'!K312)</x:f>
      </x:c>
      <x:c r="M1684" s="2" t="n">
        <x:f>'Design &amp; Insights'!Q312</x:f>
        <x:v>1</x:v>
      </x:c>
      <x:c r="N1684" s="2" t="str">
        <x:f>'Design &amp; Insights'!L312</x:f>
        <x:v>Not started</x:v>
      </x:c>
      <x:c r="O1684" s="2" t="str">
        <x:f>'Design &amp; Insights'!N312</x:f>
        <x:v>DI.CA.1.3.2026.CY3</x:v>
      </x:c>
      <x:c r="P1684" s="2" t="n">
        <x:f>'Design &amp; Insights'!O312</x:f>
        <x:v>0</x:v>
      </x:c>
      <x:c r="Q1684" s="2" t="n">
        <x:f>SUBTOTAL(103,O1684)</x:f>
        <x:v>1</x:v>
      </x:c>
      <x:c r="R1684" s="2" t="n">
        <x:f>IF(AND(M1684=1,OR(Dashboard!$B$7="All",Dashboard!$B$7='Cycles &amp; Guide'!$C$5),OR(Dashboard!$D$7="All",Dashboard!$D$7=B1684),OR(Dashboard!$F$7="All",Dashboard!$F$7=C1684),OR(Dashboard!$H$7="All",Dashboard!$H$7=D1684),OR(Dashboard!$K$7="All",Dashboard!$K$7=E1684)),1,0)</x:f>
        <x:v>1</x:v>
      </x:c>
      <x:c r="S1684" s="2" t="n">
        <x:f>IF(R1684=1,SUM($R$10:R1684),0)</x:f>
        <x:v>1311</x:v>
      </x:c>
      <x:c r="T1684" s="2" t="str">
        <x:v>Design &amp; Insights</x:v>
      </x:c>
      <x:c r="U1684" s="2" t="n">
        <x:v>312</x:v>
      </x:c>
      <x:c r="V1684" s="2" t="n">
        <x:f>IF(AND(M1684=1,P1684=0,ISNUMBER(J1684),J1684&lt;TODAY()),1,0)</x:f>
        <x:v>0</x:v>
      </x:c>
      <x:c r="W1684" s="2" t="str">
        <x:f>'Design &amp; Insights'!M312</x:f>
        <x:v>Task</x:v>
      </x:c>
    </x:row>
    <x:row r="1685" ht="40" customHeight="1">
      <x:c r="A1685" s="3" t="str">
        <x:f>HYPERLINK("#'Design &amp; Insights'!A313","Open")</x:f>
        <x:v>Open</x:v>
      </x:c>
      <x:c r="B1685" s="2" t="str">
        <x:f>'Design &amp; Insights'!B313</x:f>
        <x:v>Cycle 3</x:v>
      </x:c>
      <x:c r="C1685" s="2" t="str">
        <x:f>'Design &amp; Insights'!C313</x:f>
        <x:v>Phase 1</x:v>
      </x:c>
      <x:c r="D1685" s="2" t="str">
        <x:f>'Design &amp; Insights'!D313</x:f>
        <x:v>Cards</x:v>
      </x:c>
      <x:c r="E1685" s="2" t="str">
        <x:v>Design &amp; Insights</x:v>
      </x:c>
      <x:c r="F1685" s="56" t="str">
        <x:f>'Design &amp; Insights'!E313</x:f>
        <x:v>DI.CA.1.4</x:v>
      </x:c>
      <x:c r="G1685" s="14" t="str">
        <x:f>'Design &amp; Insights'!F313</x:f>
        <x:v>Meet with Research to discuss which topic to select based on potential impact</x:v>
      </x:c>
      <x:c r="H1685" s="2" t="str">
        <x:f>IF('Design &amp; Insights'!G313="","",'Design &amp; Insights'!G313)</x:f>
      </x:c>
      <x:c r="I1685" s="12" t="str">
        <x:f>IF('Design &amp; Insights'!H313="","",'Design &amp; Insights'!H313)</x:f>
      </x:c>
      <x:c r="J1685" s="12" t="n">
        <x:f>IF('Design &amp; Insights'!I313="","",'Design &amp; Insights'!I313)</x:f>
        <x:v>46295</x:v>
      </x:c>
      <x:c r="K1685" s="12" t="str">
        <x:f>IF('Design &amp; Insights'!J313="","",'Design &amp; Insights'!J313)</x:f>
      </x:c>
      <x:c r="L1685" s="2" t="str">
        <x:f>IF('Design &amp; Insights'!K313="","",'Design &amp; Insights'!K313)</x:f>
      </x:c>
      <x:c r="M1685" s="2" t="n">
        <x:f>'Design &amp; Insights'!Q313</x:f>
        <x:v>1</x:v>
      </x:c>
      <x:c r="N1685" s="2" t="str">
        <x:f>'Design &amp; Insights'!L313</x:f>
        <x:v>Not started</x:v>
      </x:c>
      <x:c r="O1685" s="2" t="str">
        <x:f>'Design &amp; Insights'!N313</x:f>
        <x:v>DI.CA.1.4.2026.CY3</x:v>
      </x:c>
      <x:c r="P1685" s="2" t="n">
        <x:f>'Design &amp; Insights'!O313</x:f>
        <x:v>0</x:v>
      </x:c>
      <x:c r="Q1685" s="2" t="n">
        <x:f>SUBTOTAL(103,O1685)</x:f>
        <x:v>1</x:v>
      </x:c>
      <x:c r="R1685" s="2" t="n">
        <x:f>IF(AND(M1685=1,OR(Dashboard!$B$7="All",Dashboard!$B$7='Cycles &amp; Guide'!$C$5),OR(Dashboard!$D$7="All",Dashboard!$D$7=B1685),OR(Dashboard!$F$7="All",Dashboard!$F$7=C1685),OR(Dashboard!$H$7="All",Dashboard!$H$7=D1685),OR(Dashboard!$K$7="All",Dashboard!$K$7=E1685)),1,0)</x:f>
        <x:v>1</x:v>
      </x:c>
      <x:c r="S1685" s="2" t="n">
        <x:f>IF(R1685=1,SUM($R$10:R1685),0)</x:f>
        <x:v>1312</x:v>
      </x:c>
      <x:c r="T1685" s="2" t="str">
        <x:v>Design &amp; Insights</x:v>
      </x:c>
      <x:c r="U1685" s="2" t="n">
        <x:v>313</x:v>
      </x:c>
      <x:c r="V1685" s="2" t="n">
        <x:f>IF(AND(M1685=1,P1685=0,ISNUMBER(J1685),J1685&lt;TODAY()),1,0)</x:f>
        <x:v>0</x:v>
      </x:c>
      <x:c r="W1685" s="2" t="str">
        <x:f>'Design &amp; Insights'!M313</x:f>
        <x:v>Task</x:v>
      </x:c>
    </x:row>
    <x:row r="1686" ht="40" customHeight="1">
      <x:c r="A1686" s="3" t="str">
        <x:f>HYPERLINK("#'Design &amp; Insights'!A314","Open")</x:f>
        <x:v>Open</x:v>
      </x:c>
      <x:c r="B1686" s="2" t="str">
        <x:f>'Design &amp; Insights'!B314</x:f>
        <x:v>Cycle 3</x:v>
      </x:c>
      <x:c r="C1686" s="2" t="str">
        <x:f>'Design &amp; Insights'!C314</x:f>
        <x:v>Phase 1</x:v>
      </x:c>
      <x:c r="D1686" s="2" t="str">
        <x:f>'Design &amp; Insights'!D314</x:f>
        <x:v>Cards</x:v>
      </x:c>
      <x:c r="E1686" s="2" t="str">
        <x:v>Design &amp; Insights</x:v>
      </x:c>
      <x:c r="F1686" s="56" t="str">
        <x:f>'Design &amp; Insights'!E314</x:f>
        <x:v>DI.CA.1.5</x:v>
      </x:c>
      <x:c r="G1686" s="14" t="str">
        <x:f>'Design &amp; Insights'!F314</x:f>
        <x:v>Confirm with Research the recommended topic for approval</x:v>
      </x:c>
      <x:c r="H1686" s="2" t="str">
        <x:f>IF('Design &amp; Insights'!G314="","",'Design &amp; Insights'!G314)</x:f>
      </x:c>
      <x:c r="I1686" s="12" t="str">
        <x:f>IF('Design &amp; Insights'!H314="","",'Design &amp; Insights'!H314)</x:f>
      </x:c>
      <x:c r="J1686" s="12" t="n">
        <x:f>IF('Design &amp; Insights'!I314="","",'Design &amp; Insights'!I314)</x:f>
        <x:v>46295</x:v>
      </x:c>
      <x:c r="K1686" s="12" t="str">
        <x:f>IF('Design &amp; Insights'!J314="","",'Design &amp; Insights'!J314)</x:f>
      </x:c>
      <x:c r="L1686" s="2" t="str">
        <x:f>IF('Design &amp; Insights'!K314="","",'Design &amp; Insights'!K314)</x:f>
      </x:c>
      <x:c r="M1686" s="2" t="n">
        <x:f>'Design &amp; Insights'!Q314</x:f>
        <x:v>1</x:v>
      </x:c>
      <x:c r="N1686" s="2" t="str">
        <x:f>'Design &amp; Insights'!L314</x:f>
        <x:v>Not started</x:v>
      </x:c>
      <x:c r="O1686" s="2" t="str">
        <x:f>'Design &amp; Insights'!N314</x:f>
        <x:v>DI.CA.1.5.2026.CY3</x:v>
      </x:c>
      <x:c r="P1686" s="2" t="n">
        <x:f>'Design &amp; Insights'!O314</x:f>
        <x:v>0</x:v>
      </x:c>
      <x:c r="Q1686" s="2" t="n">
        <x:f>SUBTOTAL(103,O1686)</x:f>
        <x:v>1</x:v>
      </x:c>
      <x:c r="R1686" s="2" t="n">
        <x:f>IF(AND(M1686=1,OR(Dashboard!$B$7="All",Dashboard!$B$7='Cycles &amp; Guide'!$C$5),OR(Dashboard!$D$7="All",Dashboard!$D$7=B1686),OR(Dashboard!$F$7="All",Dashboard!$F$7=C1686),OR(Dashboard!$H$7="All",Dashboard!$H$7=D1686),OR(Dashboard!$K$7="All",Dashboard!$K$7=E1686)),1,0)</x:f>
        <x:v>1</x:v>
      </x:c>
      <x:c r="S1686" s="2" t="n">
        <x:f>IF(R1686=1,SUM($R$10:R1686),0)</x:f>
        <x:v>1313</x:v>
      </x:c>
      <x:c r="T1686" s="2" t="str">
        <x:v>Design &amp; Insights</x:v>
      </x:c>
      <x:c r="U1686" s="2" t="n">
        <x:v>314</x:v>
      </x:c>
      <x:c r="V1686" s="2" t="n">
        <x:f>IF(AND(M1686=1,P1686=0,ISNUMBER(J1686),J1686&lt;TODAY()),1,0)</x:f>
        <x:v>0</x:v>
      </x:c>
      <x:c r="W1686" s="2" t="str">
        <x:f>'Design &amp; Insights'!M314</x:f>
        <x:v>Task</x:v>
      </x:c>
    </x:row>
    <x:row r="1687" ht="40" customHeight="1">
      <x:c r="A1687" s="3" t="str">
        <x:f>HYPERLINK("#'Design &amp; Insights'!A315","Open")</x:f>
        <x:v>Open</x:v>
      </x:c>
      <x:c r="B1687" s="2" t="str">
        <x:f>'Design &amp; Insights'!B315</x:f>
        <x:v>Cycle 3</x:v>
      </x:c>
      <x:c r="C1687" s="2" t="str">
        <x:f>'Design &amp; Insights'!C315</x:f>
        <x:v>Phase 1</x:v>
      </x:c>
      <x:c r="D1687" s="2" t="str">
        <x:f>'Design &amp; Insights'!D315</x:f>
        <x:v>Cards</x:v>
      </x:c>
      <x:c r="E1687" s="2" t="str">
        <x:v>Design &amp; Insights</x:v>
      </x:c>
      <x:c r="F1687" s="56" t="str">
        <x:f>'Design &amp; Insights'!E315</x:f>
        <x:v>DI.CA.1.6</x:v>
      </x:c>
      <x:c r="G1687" s="14" t="str">
        <x:f>'Design &amp; Insights'!F315</x:f>
        <x:v>Send topic selection socialization email to all key stakeholders on the first day of the review Cycle</x:v>
      </x:c>
      <x:c r="H1687" s="2" t="str">
        <x:f>IF('Design &amp; Insights'!G315="","",'Design &amp; Insights'!G315)</x:f>
      </x:c>
      <x:c r="I1687" s="12" t="str">
        <x:f>IF('Design &amp; Insights'!H315="","",'Design &amp; Insights'!H315)</x:f>
      </x:c>
      <x:c r="J1687" s="12" t="n">
        <x:f>IF('Design &amp; Insights'!I315="","",'Design &amp; Insights'!I315)</x:f>
        <x:v>46204</x:v>
      </x:c>
      <x:c r="K1687" s="12" t="str">
        <x:f>IF('Design &amp; Insights'!J315="","",'Design &amp; Insights'!J315)</x:f>
      </x:c>
      <x:c r="L1687" s="2" t="str">
        <x:f>IF('Design &amp; Insights'!K315="","",'Design &amp; Insights'!K315)</x:f>
      </x:c>
      <x:c r="M1687" s="2" t="n">
        <x:f>'Design &amp; Insights'!Q315</x:f>
        <x:v>1</x:v>
      </x:c>
      <x:c r="N1687" s="2" t="str">
        <x:f>'Design &amp; Insights'!L315</x:f>
        <x:v>Not started</x:v>
      </x:c>
      <x:c r="O1687" s="2" t="str">
        <x:f>'Design &amp; Insights'!N315</x:f>
        <x:v>DI.CA.1.6.2026.CY3</x:v>
      </x:c>
      <x:c r="P1687" s="2" t="n">
        <x:f>'Design &amp; Insights'!O315</x:f>
        <x:v>0</x:v>
      </x:c>
      <x:c r="Q1687" s="2" t="n">
        <x:f>SUBTOTAL(103,O1687)</x:f>
        <x:v>1</x:v>
      </x:c>
      <x:c r="R1687" s="2" t="n">
        <x:f>IF(AND(M1687=1,OR(Dashboard!$B$7="All",Dashboard!$B$7='Cycles &amp; Guide'!$C$5),OR(Dashboard!$D$7="All",Dashboard!$D$7=B1687),OR(Dashboard!$F$7="All",Dashboard!$F$7=C1687),OR(Dashboard!$H$7="All",Dashboard!$H$7=D1687),OR(Dashboard!$K$7="All",Dashboard!$K$7=E1687)),1,0)</x:f>
        <x:v>1</x:v>
      </x:c>
      <x:c r="S1687" s="2" t="n">
        <x:f>IF(R1687=1,SUM($R$10:R1687),0)</x:f>
        <x:v>1314</x:v>
      </x:c>
      <x:c r="T1687" s="2" t="str">
        <x:v>Design &amp; Insights</x:v>
      </x:c>
      <x:c r="U1687" s="2" t="n">
        <x:v>315</x:v>
      </x:c>
      <x:c r="V1687" s="2" t="n">
        <x:f>IF(AND(M1687=1,P1687=0,ISNUMBER(J1687),J1687&lt;TODAY()),1,0)</x:f>
        <x:v>1</x:v>
      </x:c>
      <x:c r="W1687" s="2" t="str">
        <x:f>'Design &amp; Insights'!M315</x:f>
        <x:v>Task</x:v>
      </x:c>
    </x:row>
    <x:row r="1688" ht="40" customHeight="1">
      <x:c r="A1688" s="3" t="str">
        <x:f>HYPERLINK("#'Design &amp; Insights'!A316","Open")</x:f>
        <x:v>Open</x:v>
      </x:c>
      <x:c r="B1688" s="2" t="str">
        <x:f>'Design &amp; Insights'!B316</x:f>
        <x:v>Cycle 3</x:v>
      </x:c>
      <x:c r="C1688" s="2" t="str">
        <x:f>'Design &amp; Insights'!C316</x:f>
        <x:v>Phase 2</x:v>
      </x:c>
      <x:c r="D1688" s="2" t="str">
        <x:f>'Design &amp; Insights'!D316</x:f>
        <x:v>Cards</x:v>
      </x:c>
      <x:c r="E1688" s="2" t="str">
        <x:v>Design &amp; Insights</x:v>
      </x:c>
      <x:c r="F1688" s="56" t="str">
        <x:f>'Design &amp; Insights'!E316</x:f>
        <x:v>DI.CA.2.1</x:v>
      </x:c>
      <x:c r="G1688" s="14" t="str">
        <x:f>'Design &amp; Insights'!F316</x:f>
        <x:v>Meet regularly with Research to stay informed on progress, findings, and potential enhancement</x:v>
      </x:c>
      <x:c r="H1688" s="2" t="str">
        <x:f>IF('Design &amp; Insights'!G316="","",'Design &amp; Insights'!G316)</x:f>
      </x:c>
      <x:c r="I1688" s="12" t="str">
        <x:f>IF('Design &amp; Insights'!H316="","",'Design &amp; Insights'!H316)</x:f>
      </x:c>
      <x:c r="J1688" s="12" t="n">
        <x:f>IF('Design &amp; Insights'!I316="","",'Design &amp; Insights'!I316)</x:f>
        <x:v>46295</x:v>
      </x:c>
      <x:c r="K1688" s="12" t="str">
        <x:f>IF('Design &amp; Insights'!J316="","",'Design &amp; Insights'!J316)</x:f>
      </x:c>
      <x:c r="L1688" s="2" t="str">
        <x:f>IF('Design &amp; Insights'!K316="","",'Design &amp; Insights'!K316)</x:f>
      </x:c>
      <x:c r="M1688" s="2" t="n">
        <x:f>'Design &amp; Insights'!Q316</x:f>
        <x:v>1</x:v>
      </x:c>
      <x:c r="N1688" s="2" t="str">
        <x:f>'Design &amp; Insights'!L316</x:f>
        <x:v>Not started</x:v>
      </x:c>
      <x:c r="O1688" s="2" t="str">
        <x:f>'Design &amp; Insights'!N316</x:f>
        <x:v>DI.CA.2.1.2026.CY3</x:v>
      </x:c>
      <x:c r="P1688" s="2" t="n">
        <x:f>'Design &amp; Insights'!O316</x:f>
        <x:v>0</x:v>
      </x:c>
      <x:c r="Q1688" s="2" t="n">
        <x:f>SUBTOTAL(103,O1688)</x:f>
        <x:v>1</x:v>
      </x:c>
      <x:c r="R1688" s="2" t="n">
        <x:f>IF(AND(M1688=1,OR(Dashboard!$B$7="All",Dashboard!$B$7='Cycles &amp; Guide'!$C$5),OR(Dashboard!$D$7="All",Dashboard!$D$7=B1688),OR(Dashboard!$F$7="All",Dashboard!$F$7=C1688),OR(Dashboard!$H$7="All",Dashboard!$H$7=D1688),OR(Dashboard!$K$7="All",Dashboard!$K$7=E1688)),1,0)</x:f>
        <x:v>1</x:v>
      </x:c>
      <x:c r="S1688" s="2" t="n">
        <x:f>IF(R1688=1,SUM($R$10:R1688),0)</x:f>
        <x:v>1315</x:v>
      </x:c>
      <x:c r="T1688" s="2" t="str">
        <x:v>Design &amp; Insights</x:v>
      </x:c>
      <x:c r="U1688" s="2" t="n">
        <x:v>316</x:v>
      </x:c>
      <x:c r="V1688" s="2" t="n">
        <x:f>IF(AND(M1688=1,P1688=0,ISNUMBER(J1688),J1688&lt;TODAY()),1,0)</x:f>
        <x:v>0</x:v>
      </x:c>
      <x:c r="W1688" s="2" t="str">
        <x:f>'Design &amp; Insights'!M316</x:f>
        <x:v>Task</x:v>
      </x:c>
    </x:row>
    <x:row r="1689" ht="40" customHeight="1">
      <x:c r="A1689" s="3" t="str">
        <x:f>HYPERLINK("#'Design &amp; Insights'!A317","Open")</x:f>
        <x:v>Open</x:v>
      </x:c>
      <x:c r="B1689" s="2" t="str">
        <x:f>'Design &amp; Insights'!B317</x:f>
        <x:v>Cycle 3</x:v>
      </x:c>
      <x:c r="C1689" s="2" t="str">
        <x:f>'Design &amp; Insights'!C317</x:f>
        <x:v>Phase 2</x:v>
      </x:c>
      <x:c r="D1689" s="2" t="str">
        <x:f>'Design &amp; Insights'!D317</x:f>
        <x:v>Cards</x:v>
      </x:c>
      <x:c r="E1689" s="2" t="str">
        <x:v>Design &amp; Insights</x:v>
      </x:c>
      <x:c r="F1689" s="56" t="str">
        <x:f>'Design &amp; Insights'!E317</x:f>
        <x:v>DI.CA.2.2</x:v>
      </x:c>
      <x:c r="G1689" s="14" t="str">
        <x:f>'Design &amp; Insights'!F317</x:f>
        <x:v>Collaborate with Research on research plan specifics</x:v>
      </x:c>
      <x:c r="H1689" s="2" t="str">
        <x:f>IF('Design &amp; Insights'!G317="","",'Design &amp; Insights'!G317)</x:f>
      </x:c>
      <x:c r="I1689" s="12" t="str">
        <x:f>IF('Design &amp; Insights'!H317="","",'Design &amp; Insights'!H317)</x:f>
      </x:c>
      <x:c r="J1689" s="12" t="n">
        <x:f>IF('Design &amp; Insights'!I317="","",'Design &amp; Insights'!I317)</x:f>
        <x:v>46295</x:v>
      </x:c>
      <x:c r="K1689" s="12" t="str">
        <x:f>IF('Design &amp; Insights'!J317="","",'Design &amp; Insights'!J317)</x:f>
      </x:c>
      <x:c r="L1689" s="2" t="str">
        <x:f>IF('Design &amp; Insights'!K317="","",'Design &amp; Insights'!K317)</x:f>
      </x:c>
      <x:c r="M1689" s="2" t="n">
        <x:f>'Design &amp; Insights'!Q317</x:f>
        <x:v>1</x:v>
      </x:c>
      <x:c r="N1689" s="2" t="str">
        <x:f>'Design &amp; Insights'!L317</x:f>
        <x:v>Not started</x:v>
      </x:c>
      <x:c r="O1689" s="2" t="str">
        <x:f>'Design &amp; Insights'!N317</x:f>
        <x:v>DI.CA.2.2.2026.CY3</x:v>
      </x:c>
      <x:c r="P1689" s="2" t="n">
        <x:f>'Design &amp; Insights'!O317</x:f>
        <x:v>0</x:v>
      </x:c>
      <x:c r="Q1689" s="2" t="n">
        <x:f>SUBTOTAL(103,O1689)</x:f>
        <x:v>1</x:v>
      </x:c>
      <x:c r="R1689" s="2" t="n">
        <x:f>IF(AND(M1689=1,OR(Dashboard!$B$7="All",Dashboard!$B$7='Cycles &amp; Guide'!$C$5),OR(Dashboard!$D$7="All",Dashboard!$D$7=B1689),OR(Dashboard!$F$7="All",Dashboard!$F$7=C1689),OR(Dashboard!$H$7="All",Dashboard!$H$7=D1689),OR(Dashboard!$K$7="All",Dashboard!$K$7=E1689)),1,0)</x:f>
        <x:v>1</x:v>
      </x:c>
      <x:c r="S1689" s="2" t="n">
        <x:f>IF(R1689=1,SUM($R$10:R1689),0)</x:f>
        <x:v>1316</x:v>
      </x:c>
      <x:c r="T1689" s="2" t="str">
        <x:v>Design &amp; Insights</x:v>
      </x:c>
      <x:c r="U1689" s="2" t="n">
        <x:v>317</x:v>
      </x:c>
      <x:c r="V1689" s="2" t="n">
        <x:f>IF(AND(M1689=1,P1689=0,ISNUMBER(J1689),J1689&lt;TODAY()),1,0)</x:f>
        <x:v>0</x:v>
      </x:c>
      <x:c r="W1689" s="2" t="str">
        <x:f>'Design &amp; Insights'!M317</x:f>
        <x:v>Task</x:v>
      </x:c>
    </x:row>
    <x:row r="1690" ht="40" customHeight="1">
      <x:c r="A1690" s="3" t="str">
        <x:f>HYPERLINK("#'Design &amp; Insights'!A318","Open")</x:f>
        <x:v>Open</x:v>
      </x:c>
      <x:c r="B1690" s="2" t="str">
        <x:f>'Design &amp; Insights'!B318</x:f>
        <x:v>Cycle 3</x:v>
      </x:c>
      <x:c r="C1690" s="2" t="str">
        <x:f>'Design &amp; Insights'!C318</x:f>
        <x:v>Phase 2</x:v>
      </x:c>
      <x:c r="D1690" s="2" t="str">
        <x:f>'Design &amp; Insights'!D318</x:f>
        <x:v>Cards</x:v>
      </x:c>
      <x:c r="E1690" s="2" t="str">
        <x:v>Design &amp; Insights</x:v>
      </x:c>
      <x:c r="F1690" s="56" t="str">
        <x:f>'Design &amp; Insights'!E318</x:f>
        <x:v>DI.CA.2.3</x:v>
      </x:c>
      <x:c r="G1690" s="14" t="str">
        <x:f>'Design &amp; Insights'!F318</x:f>
        <x:v>Participate in SME insight meetings to gain perspective and appetite on potential enhancements</x:v>
      </x:c>
      <x:c r="H1690" s="2" t="str">
        <x:f>IF('Design &amp; Insights'!G318="","",'Design &amp; Insights'!G318)</x:f>
      </x:c>
      <x:c r="I1690" s="12" t="str">
        <x:f>IF('Design &amp; Insights'!H318="","",'Design &amp; Insights'!H318)</x:f>
      </x:c>
      <x:c r="J1690" s="12" t="n">
        <x:f>IF('Design &amp; Insights'!I318="","",'Design &amp; Insights'!I318)</x:f>
        <x:v>46295</x:v>
      </x:c>
      <x:c r="K1690" s="12" t="str">
        <x:f>IF('Design &amp; Insights'!J318="","",'Design &amp; Insights'!J318)</x:f>
      </x:c>
      <x:c r="L1690" s="2" t="str">
        <x:f>IF('Design &amp; Insights'!K318="","",'Design &amp; Insights'!K318)</x:f>
      </x:c>
      <x:c r="M1690" s="2" t="n">
        <x:f>'Design &amp; Insights'!Q318</x:f>
        <x:v>1</x:v>
      </x:c>
      <x:c r="N1690" s="2" t="str">
        <x:f>'Design &amp; Insights'!L318</x:f>
        <x:v>Not started</x:v>
      </x:c>
      <x:c r="O1690" s="2" t="str">
        <x:f>'Design &amp; Insights'!N318</x:f>
        <x:v>DI.CA.2.3.2026.CY3</x:v>
      </x:c>
      <x:c r="P1690" s="2" t="n">
        <x:f>'Design &amp; Insights'!O318</x:f>
        <x:v>0</x:v>
      </x:c>
      <x:c r="Q1690" s="2" t="n">
        <x:f>SUBTOTAL(103,O1690)</x:f>
        <x:v>1</x:v>
      </x:c>
      <x:c r="R1690" s="2" t="n">
        <x:f>IF(AND(M1690=1,OR(Dashboard!$B$7="All",Dashboard!$B$7='Cycles &amp; Guide'!$C$5),OR(Dashboard!$D$7="All",Dashboard!$D$7=B1690),OR(Dashboard!$F$7="All",Dashboard!$F$7=C1690),OR(Dashboard!$H$7="All",Dashboard!$H$7=D1690),OR(Dashboard!$K$7="All",Dashboard!$K$7=E1690)),1,0)</x:f>
        <x:v>1</x:v>
      </x:c>
      <x:c r="S1690" s="2" t="n">
        <x:f>IF(R1690=1,SUM($R$10:R1690),0)</x:f>
        <x:v>1317</x:v>
      </x:c>
      <x:c r="T1690" s="2" t="str">
        <x:v>Design &amp; Insights</x:v>
      </x:c>
      <x:c r="U1690" s="2" t="n">
        <x:v>318</x:v>
      </x:c>
      <x:c r="V1690" s="2" t="n">
        <x:f>IF(AND(M1690=1,P1690=0,ISNUMBER(J1690),J1690&lt;TODAY()),1,0)</x:f>
        <x:v>0</x:v>
      </x:c>
      <x:c r="W1690" s="2" t="str">
        <x:f>'Design &amp; Insights'!M318</x:f>
        <x:v>Task</x:v>
      </x:c>
    </x:row>
    <x:row r="1691" ht="40" customHeight="1">
      <x:c r="A1691" s="3" t="str">
        <x:f>HYPERLINK("#'Design &amp; Insights'!A319","Open")</x:f>
        <x:v>Open</x:v>
      </x:c>
      <x:c r="B1691" s="2" t="str">
        <x:f>'Design &amp; Insights'!B319</x:f>
        <x:v>Cycle 3</x:v>
      </x:c>
      <x:c r="C1691" s="2" t="str">
        <x:f>'Design &amp; Insights'!C319</x:f>
        <x:v>Phase 2</x:v>
      </x:c>
      <x:c r="D1691" s="2" t="str">
        <x:f>'Design &amp; Insights'!D319</x:f>
        <x:v>Cards</x:v>
      </x:c>
      <x:c r="E1691" s="2" t="str">
        <x:v>Design &amp; Insights</x:v>
      </x:c>
      <x:c r="F1691" s="56" t="str">
        <x:f>'Design &amp; Insights'!E319</x:f>
        <x:v>DI.CA.2.4</x:v>
      </x:c>
      <x:c r="G1691" s="14" t="str">
        <x:f>'Design &amp; Insights'!F319</x:f>
        <x:v>Begin development of presentation materials as Research is being completed</x:v>
      </x:c>
      <x:c r="H1691" s="2" t="str">
        <x:f>IF('Design &amp; Insights'!G319="","",'Design &amp; Insights'!G319)</x:f>
      </x:c>
      <x:c r="I1691" s="12" t="str">
        <x:f>IF('Design &amp; Insights'!H319="","",'Design &amp; Insights'!H319)</x:f>
      </x:c>
      <x:c r="J1691" s="12" t="n">
        <x:f>IF('Design &amp; Insights'!I319="","",'Design &amp; Insights'!I319)</x:f>
        <x:v>46295</x:v>
      </x:c>
      <x:c r="K1691" s="12" t="str">
        <x:f>IF('Design &amp; Insights'!J319="","",'Design &amp; Insights'!J319)</x:f>
      </x:c>
      <x:c r="L1691" s="2" t="str">
        <x:f>IF('Design &amp; Insights'!K319="","",'Design &amp; Insights'!K319)</x:f>
      </x:c>
      <x:c r="M1691" s="2" t="n">
        <x:f>'Design &amp; Insights'!Q319</x:f>
        <x:v>1</x:v>
      </x:c>
      <x:c r="N1691" s="2" t="str">
        <x:f>'Design &amp; Insights'!L319</x:f>
        <x:v>Not started</x:v>
      </x:c>
      <x:c r="O1691" s="2" t="str">
        <x:f>'Design &amp; Insights'!N319</x:f>
        <x:v>DI.CA.2.4.2026.CY3</x:v>
      </x:c>
      <x:c r="P1691" s="2" t="n">
        <x:f>'Design &amp; Insights'!O319</x:f>
        <x:v>0</x:v>
      </x:c>
      <x:c r="Q1691" s="2" t="n">
        <x:f>SUBTOTAL(103,O1691)</x:f>
        <x:v>1</x:v>
      </x:c>
      <x:c r="R1691" s="2" t="n">
        <x:f>IF(AND(M1691=1,OR(Dashboard!$B$7="All",Dashboard!$B$7='Cycles &amp; Guide'!$C$5),OR(Dashboard!$D$7="All",Dashboard!$D$7=B1691),OR(Dashboard!$F$7="All",Dashboard!$F$7=C1691),OR(Dashboard!$H$7="All",Dashboard!$H$7=D1691),OR(Dashboard!$K$7="All",Dashboard!$K$7=E1691)),1,0)</x:f>
        <x:v>1</x:v>
      </x:c>
      <x:c r="S1691" s="2" t="n">
        <x:f>IF(R1691=1,SUM($R$10:R1691),0)</x:f>
        <x:v>1318</x:v>
      </x:c>
      <x:c r="T1691" s="2" t="str">
        <x:v>Design &amp; Insights</x:v>
      </x:c>
      <x:c r="U1691" s="2" t="n">
        <x:v>319</x:v>
      </x:c>
      <x:c r="V1691" s="2" t="n">
        <x:f>IF(AND(M1691=1,P1691=0,ISNUMBER(J1691),J1691&lt;TODAY()),1,0)</x:f>
        <x:v>0</x:v>
      </x:c>
      <x:c r="W1691" s="2" t="str">
        <x:f>'Design &amp; Insights'!M319</x:f>
        <x:v>Task</x:v>
      </x:c>
    </x:row>
    <x:row r="1692" ht="40" customHeight="1">
      <x:c r="A1692" s="3" t="str">
        <x:f>HYPERLINK("#'Design &amp; Insights'!A320","Open")</x:f>
        <x:v>Open</x:v>
      </x:c>
      <x:c r="B1692" s="2" t="str">
        <x:f>'Design &amp; Insights'!B320</x:f>
        <x:v>Cycle 3</x:v>
      </x:c>
      <x:c r="C1692" s="2" t="str">
        <x:f>'Design &amp; Insights'!C320</x:f>
        <x:v>Phase 2</x:v>
      </x:c>
      <x:c r="D1692" s="2" t="str">
        <x:f>'Design &amp; Insights'!D320</x:f>
        <x:v>Cards</x:v>
      </x:c>
      <x:c r="E1692" s="2" t="str">
        <x:v>Design &amp; Insights</x:v>
      </x:c>
      <x:c r="F1692" s="56" t="str">
        <x:f>'Design &amp; Insights'!E320</x:f>
        <x:v>DI.CA.2.5</x:v>
      </x:c>
      <x:c r="G1692" s="14" t="str">
        <x:f>'Design &amp; Insights'!F320</x:f>
        <x:v>Draft initial enhancement recommendations (as applicable)</x:v>
      </x:c>
      <x:c r="H1692" s="2" t="str">
        <x:f>IF('Design &amp; Insights'!G320="","",'Design &amp; Insights'!G320)</x:f>
      </x:c>
      <x:c r="I1692" s="12" t="str">
        <x:f>IF('Design &amp; Insights'!H320="","",'Design &amp; Insights'!H320)</x:f>
      </x:c>
      <x:c r="J1692" s="12" t="n">
        <x:f>IF('Design &amp; Insights'!I320="","",'Design &amp; Insights'!I320)</x:f>
        <x:v>46295</x:v>
      </x:c>
      <x:c r="K1692" s="12" t="str">
        <x:f>IF('Design &amp; Insights'!J320="","",'Design &amp; Insights'!J320)</x:f>
      </x:c>
      <x:c r="L1692" s="2" t="str">
        <x:f>IF('Design &amp; Insights'!K320="","",'Design &amp; Insights'!K320)</x:f>
      </x:c>
      <x:c r="M1692" s="2" t="n">
        <x:f>'Design &amp; Insights'!Q320</x:f>
        <x:v>1</x:v>
      </x:c>
      <x:c r="N1692" s="2" t="str">
        <x:f>'Design &amp; Insights'!L320</x:f>
        <x:v>Not started</x:v>
      </x:c>
      <x:c r="O1692" s="2" t="str">
        <x:f>'Design &amp; Insights'!N320</x:f>
        <x:v>DI.CA.2.5.2026.CY3</x:v>
      </x:c>
      <x:c r="P1692" s="2" t="n">
        <x:f>'Design &amp; Insights'!O320</x:f>
        <x:v>0</x:v>
      </x:c>
      <x:c r="Q1692" s="2" t="n">
        <x:f>SUBTOTAL(103,O1692)</x:f>
        <x:v>1</x:v>
      </x:c>
      <x:c r="R1692" s="2" t="n">
        <x:f>IF(AND(M1692=1,OR(Dashboard!$B$7="All",Dashboard!$B$7='Cycles &amp; Guide'!$C$5),OR(Dashboard!$D$7="All",Dashboard!$D$7=B1692),OR(Dashboard!$F$7="All",Dashboard!$F$7=C1692),OR(Dashboard!$H$7="All",Dashboard!$H$7=D1692),OR(Dashboard!$K$7="All",Dashboard!$K$7=E1692)),1,0)</x:f>
        <x:v>1</x:v>
      </x:c>
      <x:c r="S1692" s="2" t="n">
        <x:f>IF(R1692=1,SUM($R$10:R1692),0)</x:f>
        <x:v>1319</x:v>
      </x:c>
      <x:c r="T1692" s="2" t="str">
        <x:v>Design &amp; Insights</x:v>
      </x:c>
      <x:c r="U1692" s="2" t="n">
        <x:v>320</x:v>
      </x:c>
      <x:c r="V1692" s="2" t="n">
        <x:f>IF(AND(M1692=1,P1692=0,ISNUMBER(J1692),J1692&lt;TODAY()),1,0)</x:f>
        <x:v>0</x:v>
      </x:c>
      <x:c r="W1692" s="2" t="str">
        <x:f>'Design &amp; Insights'!M320</x:f>
        <x:v>Task</x:v>
      </x:c>
    </x:row>
    <x:row r="1693" ht="40" customHeight="1">
      <x:c r="A1693" s="3" t="str">
        <x:f>HYPERLINK("#'Design &amp; Insights'!A321","Open")</x:f>
        <x:v>Open</x:v>
      </x:c>
      <x:c r="B1693" s="2" t="str">
        <x:f>'Design &amp; Insights'!B321</x:f>
        <x:v>Cycle 3</x:v>
      </x:c>
      <x:c r="C1693" s="2" t="str">
        <x:f>'Design &amp; Insights'!C321</x:f>
        <x:v>Phase 2</x:v>
      </x:c>
      <x:c r="D1693" s="2" t="str">
        <x:f>'Design &amp; Insights'!D321</x:f>
        <x:v>Cards</x:v>
      </x:c>
      <x:c r="E1693" s="2" t="str">
        <x:v>Design &amp; Insights</x:v>
      </x:c>
      <x:c r="F1693" s="56" t="str">
        <x:f>'Design &amp; Insights'!E321</x:f>
        <x:v>DI.CA.2.6</x:v>
      </x:c>
      <x:c r="G1693" s="14" t="str">
        <x:f>'Design &amp; Insights'!F321</x:f>
        <x:v>Finalize presentation deck draft at conclusion of Research phase</x:v>
      </x:c>
      <x:c r="H1693" s="2" t="str">
        <x:f>IF('Design &amp; Insights'!G321="","",'Design &amp; Insights'!G321)</x:f>
      </x:c>
      <x:c r="I1693" s="12" t="str">
        <x:f>IF('Design &amp; Insights'!H321="","",'Design &amp; Insights'!H321)</x:f>
      </x:c>
      <x:c r="J1693" s="12" t="n">
        <x:f>IF('Design &amp; Insights'!I321="","",'Design &amp; Insights'!I321)</x:f>
        <x:v>46295</x:v>
      </x:c>
      <x:c r="K1693" s="12" t="str">
        <x:f>IF('Design &amp; Insights'!J321="","",'Design &amp; Insights'!J321)</x:f>
      </x:c>
      <x:c r="L1693" s="2" t="str">
        <x:f>IF('Design &amp; Insights'!K321="","",'Design &amp; Insights'!K321)</x:f>
      </x:c>
      <x:c r="M1693" s="2" t="n">
        <x:f>'Design &amp; Insights'!Q321</x:f>
        <x:v>1</x:v>
      </x:c>
      <x:c r="N1693" s="2" t="str">
        <x:f>'Design &amp; Insights'!L321</x:f>
        <x:v>Not started</x:v>
      </x:c>
      <x:c r="O1693" s="2" t="str">
        <x:f>'Design &amp; Insights'!N321</x:f>
        <x:v>DI.CA.2.6.2026.CY3</x:v>
      </x:c>
      <x:c r="P1693" s="2" t="n">
        <x:f>'Design &amp; Insights'!O321</x:f>
        <x:v>0</x:v>
      </x:c>
      <x:c r="Q1693" s="2" t="n">
        <x:f>SUBTOTAL(103,O1693)</x:f>
        <x:v>1</x:v>
      </x:c>
      <x:c r="R1693" s="2" t="n">
        <x:f>IF(AND(M1693=1,OR(Dashboard!$B$7="All",Dashboard!$B$7='Cycles &amp; Guide'!$C$5),OR(Dashboard!$D$7="All",Dashboard!$D$7=B1693),OR(Dashboard!$F$7="All",Dashboard!$F$7=C1693),OR(Dashboard!$H$7="All",Dashboard!$H$7=D1693),OR(Dashboard!$K$7="All",Dashboard!$K$7=E1693)),1,0)</x:f>
        <x:v>1</x:v>
      </x:c>
      <x:c r="S1693" s="2" t="n">
        <x:f>IF(R1693=1,SUM($R$10:R1693),0)</x:f>
        <x:v>1320</x:v>
      </x:c>
      <x:c r="T1693" s="2" t="str">
        <x:v>Design &amp; Insights</x:v>
      </x:c>
      <x:c r="U1693" s="2" t="n">
        <x:v>321</x:v>
      </x:c>
      <x:c r="V1693" s="2" t="n">
        <x:f>IF(AND(M1693=1,P1693=0,ISNUMBER(J1693),J1693&lt;TODAY()),1,0)</x:f>
        <x:v>0</x:v>
      </x:c>
      <x:c r="W1693" s="2" t="str">
        <x:f>'Design &amp; Insights'!M321</x:f>
        <x:v>Task</x:v>
      </x:c>
    </x:row>
    <x:row r="1694" ht="40" customHeight="1">
      <x:c r="A1694" s="3" t="str">
        <x:f>HYPERLINK("#'Design &amp; Insights'!A322","Open")</x:f>
        <x:v>Open</x:v>
      </x:c>
      <x:c r="B1694" s="2" t="str">
        <x:f>'Design &amp; Insights'!B322</x:f>
        <x:v>Cycle 3</x:v>
      </x:c>
      <x:c r="C1694" s="2" t="str">
        <x:f>'Design &amp; Insights'!C322</x:f>
        <x:v>Phase 2</x:v>
      </x:c>
      <x:c r="D1694" s="2" t="str">
        <x:f>'Design &amp; Insights'!D322</x:f>
        <x:v>Cards</x:v>
      </x:c>
      <x:c r="E1694" s="2" t="str">
        <x:v>Design &amp; Insights</x:v>
      </x:c>
      <x:c r="F1694" s="56" t="str">
        <x:f>'Design &amp; Insights'!E322</x:f>
        <x:v>DI.CA.2.7</x:v>
      </x:c>
      <x:c r="G1694" s="14" t="str">
        <x:f>'Design &amp; Insights'!F322</x:f>
        <x:v>Update Outcome portion of research plan with current enhancement verbiage (as needed)</x:v>
      </x:c>
      <x:c r="H1694" s="2" t="str">
        <x:f>IF('Design &amp; Insights'!G322="","",'Design &amp; Insights'!G322)</x:f>
      </x:c>
      <x:c r="I1694" s="12" t="str">
        <x:f>IF('Design &amp; Insights'!H322="","",'Design &amp; Insights'!H322)</x:f>
      </x:c>
      <x:c r="J1694" s="12" t="n">
        <x:f>IF('Design &amp; Insights'!I322="","",'Design &amp; Insights'!I322)</x:f>
        <x:v>46295</x:v>
      </x:c>
      <x:c r="K1694" s="12" t="str">
        <x:f>IF('Design &amp; Insights'!J322="","",'Design &amp; Insights'!J322)</x:f>
      </x:c>
      <x:c r="L1694" s="2" t="str">
        <x:f>IF('Design &amp; Insights'!K322="","",'Design &amp; Insights'!K322)</x:f>
      </x:c>
      <x:c r="M1694" s="2" t="n">
        <x:f>'Design &amp; Insights'!Q322</x:f>
        <x:v>1</x:v>
      </x:c>
      <x:c r="N1694" s="2" t="str">
        <x:f>'Design &amp; Insights'!L322</x:f>
        <x:v>Not started</x:v>
      </x:c>
      <x:c r="O1694" s="2" t="str">
        <x:f>'Design &amp; Insights'!N322</x:f>
        <x:v>DI.CA.2.7.2026.CY3</x:v>
      </x:c>
      <x:c r="P1694" s="2" t="n">
        <x:f>'Design &amp; Insights'!O322</x:f>
        <x:v>0</x:v>
      </x:c>
      <x:c r="Q1694" s="2" t="n">
        <x:f>SUBTOTAL(103,O1694)</x:f>
        <x:v>1</x:v>
      </x:c>
      <x:c r="R1694" s="2" t="n">
        <x:f>IF(AND(M1694=1,OR(Dashboard!$B$7="All",Dashboard!$B$7='Cycles &amp; Guide'!$C$5),OR(Dashboard!$D$7="All",Dashboard!$D$7=B1694),OR(Dashboard!$F$7="All",Dashboard!$F$7=C1694),OR(Dashboard!$H$7="All",Dashboard!$H$7=D1694),OR(Dashboard!$K$7="All",Dashboard!$K$7=E1694)),1,0)</x:f>
        <x:v>1</x:v>
      </x:c>
      <x:c r="S1694" s="2" t="n">
        <x:f>IF(R1694=1,SUM($R$10:R1694),0)</x:f>
        <x:v>1321</x:v>
      </x:c>
      <x:c r="T1694" s="2" t="str">
        <x:v>Design &amp; Insights</x:v>
      </x:c>
      <x:c r="U1694" s="2" t="n">
        <x:v>322</x:v>
      </x:c>
      <x:c r="V1694" s="2" t="n">
        <x:f>IF(AND(M1694=1,P1694=0,ISNUMBER(J1694),J1694&lt;TODAY()),1,0)</x:f>
        <x:v>0</x:v>
      </x:c>
      <x:c r="W1694" s="2" t="str">
        <x:f>'Design &amp; Insights'!M322</x:f>
        <x:v>Task</x:v>
      </x:c>
    </x:row>
    <x:row r="1695" ht="40" customHeight="1">
      <x:c r="A1695" s="3" t="str">
        <x:f>HYPERLINK("#'Design &amp; Insights'!A323","Open")</x:f>
        <x:v>Open</x:v>
      </x:c>
      <x:c r="B1695" s="2" t="str">
        <x:f>'Design &amp; Insights'!B323</x:f>
        <x:v>Cycle 3</x:v>
      </x:c>
      <x:c r="C1695" s="2" t="str">
        <x:f>'Design &amp; Insights'!C323</x:f>
        <x:v>Phase 3</x:v>
      </x:c>
      <x:c r="D1695" s="2" t="str">
        <x:f>'Design &amp; Insights'!D323</x:f>
        <x:v>Cards</x:v>
      </x:c>
      <x:c r="E1695" s="2" t="str">
        <x:v>Design &amp; Insights</x:v>
      </x:c>
      <x:c r="F1695" s="56" t="str">
        <x:f>'Design &amp; Insights'!E323</x:f>
        <x:v>DI.CA.3.1</x:v>
      </x:c>
      <x:c r="G1695" s="14" t="str">
        <x:f>'Design &amp; Insights'!F323</x:f>
        <x:v>Confirm list of required &amp; optional attendees for pre-socialization meeting</x:v>
      </x:c>
      <x:c r="H1695" s="2" t="str">
        <x:f>IF('Design &amp; Insights'!G323="","",'Design &amp; Insights'!G323)</x:f>
      </x:c>
      <x:c r="I1695" s="12" t="str">
        <x:f>IF('Design &amp; Insights'!H323="","",'Design &amp; Insights'!H323)</x:f>
      </x:c>
      <x:c r="J1695" s="12" t="n">
        <x:f>IF('Design &amp; Insights'!I323="","",'Design &amp; Insights'!I323)</x:f>
        <x:v>46295</x:v>
      </x:c>
      <x:c r="K1695" s="12" t="str">
        <x:f>IF('Design &amp; Insights'!J323="","",'Design &amp; Insights'!J323)</x:f>
      </x:c>
      <x:c r="L1695" s="2" t="str">
        <x:f>IF('Design &amp; Insights'!K323="","",'Design &amp; Insights'!K323)</x:f>
      </x:c>
      <x:c r="M1695" s="2" t="n">
        <x:f>'Design &amp; Insights'!Q323</x:f>
        <x:v>1</x:v>
      </x:c>
      <x:c r="N1695" s="2" t="str">
        <x:f>'Design &amp; Insights'!L323</x:f>
        <x:v>Not started</x:v>
      </x:c>
      <x:c r="O1695" s="2" t="str">
        <x:f>'Design &amp; Insights'!N323</x:f>
        <x:v>DI.CA.3.1.2026.CY3</x:v>
      </x:c>
      <x:c r="P1695" s="2" t="n">
        <x:f>'Design &amp; Insights'!O323</x:f>
        <x:v>0</x:v>
      </x:c>
      <x:c r="Q1695" s="2" t="n">
        <x:f>SUBTOTAL(103,O1695)</x:f>
        <x:v>1</x:v>
      </x:c>
      <x:c r="R1695" s="2" t="n">
        <x:f>IF(AND(M1695=1,OR(Dashboard!$B$7="All",Dashboard!$B$7='Cycles &amp; Guide'!$C$5),OR(Dashboard!$D$7="All",Dashboard!$D$7=B1695),OR(Dashboard!$F$7="All",Dashboard!$F$7=C1695),OR(Dashboard!$H$7="All",Dashboard!$H$7=D1695),OR(Dashboard!$K$7="All",Dashboard!$K$7=E1695)),1,0)</x:f>
        <x:v>1</x:v>
      </x:c>
      <x:c r="S1695" s="2" t="n">
        <x:f>IF(R1695=1,SUM($R$10:R1695),0)</x:f>
        <x:v>1322</x:v>
      </x:c>
      <x:c r="T1695" s="2" t="str">
        <x:v>Design &amp; Insights</x:v>
      </x:c>
      <x:c r="U1695" s="2" t="n">
        <x:v>323</x:v>
      </x:c>
      <x:c r="V1695" s="2" t="n">
        <x:f>IF(AND(M1695=1,P1695=0,ISNUMBER(J1695),J1695&lt;TODAY()),1,0)</x:f>
        <x:v>0</x:v>
      </x:c>
      <x:c r="W1695" s="2" t="str">
        <x:f>'Design &amp; Insights'!M323</x:f>
        <x:v>Task</x:v>
      </x:c>
    </x:row>
    <x:row r="1696" ht="40" customHeight="1">
      <x:c r="A1696" s="3" t="str">
        <x:f>HYPERLINK("#'Design &amp; Insights'!A324","Open")</x:f>
        <x:v>Open</x:v>
      </x:c>
      <x:c r="B1696" s="2" t="str">
        <x:f>'Design &amp; Insights'!B324</x:f>
        <x:v>Cycle 3</x:v>
      </x:c>
      <x:c r="C1696" s="2" t="str">
        <x:f>'Design &amp; Insights'!C324</x:f>
        <x:v>Phase 3</x:v>
      </x:c>
      <x:c r="D1696" s="2" t="str">
        <x:f>'Design &amp; Insights'!D324</x:f>
        <x:v>Cards</x:v>
      </x:c>
      <x:c r="E1696" s="2" t="str">
        <x:v>Design &amp; Insights</x:v>
      </x:c>
      <x:c r="F1696" s="56" t="str">
        <x:f>'Design &amp; Insights'!E324</x:f>
        <x:v>DI.CA.3.2</x:v>
      </x:c>
      <x:c r="G1696" s="14" t="str">
        <x:f>'Design &amp; Insights'!F324</x:f>
        <x:v>Schedule pre-socialization meeting 1 week prior to RCA Forum</x:v>
      </x:c>
      <x:c r="H1696" s="2" t="str">
        <x:f>IF('Design &amp; Insights'!G324="","",'Design &amp; Insights'!G324)</x:f>
      </x:c>
      <x:c r="I1696" s="12" t="str">
        <x:f>IF('Design &amp; Insights'!H324="","",'Design &amp; Insights'!H324)</x:f>
      </x:c>
      <x:c r="J1696" s="12" t="str">
        <x:f>IF('Design &amp; Insights'!I324="","",'Design &amp; Insights'!I324)</x:f>
      </x:c>
      <x:c r="K1696" s="12" t="str">
        <x:f>IF('Design &amp; Insights'!J324="","",'Design &amp; Insights'!J324)</x:f>
      </x:c>
      <x:c r="L1696" s="2" t="str">
        <x:f>IF('Design &amp; Insights'!K324="","",'Design &amp; Insights'!K324)</x:f>
      </x:c>
      <x:c r="M1696" s="2" t="n">
        <x:f>'Design &amp; Insights'!Q324</x:f>
        <x:v>1</x:v>
      </x:c>
      <x:c r="N1696" s="2" t="str">
        <x:f>'Design &amp; Insights'!L324</x:f>
        <x:v>Not started</x:v>
      </x:c>
      <x:c r="O1696" s="2" t="str">
        <x:f>'Design &amp; Insights'!N324</x:f>
        <x:v>DI.CA.3.2.2026.CY3</x:v>
      </x:c>
      <x:c r="P1696" s="2" t="n">
        <x:f>'Design &amp; Insights'!O324</x:f>
        <x:v>0</x:v>
      </x:c>
      <x:c r="Q1696" s="2" t="n">
        <x:f>SUBTOTAL(103,O1696)</x:f>
        <x:v>1</x:v>
      </x:c>
      <x:c r="R1696" s="2" t="n">
        <x:f>IF(AND(M1696=1,OR(Dashboard!$B$7="All",Dashboard!$B$7='Cycles &amp; Guide'!$C$5),OR(Dashboard!$D$7="All",Dashboard!$D$7=B1696),OR(Dashboard!$F$7="All",Dashboard!$F$7=C1696),OR(Dashboard!$H$7="All",Dashboard!$H$7=D1696),OR(Dashboard!$K$7="All",Dashboard!$K$7=E1696)),1,0)</x:f>
        <x:v>1</x:v>
      </x:c>
      <x:c r="S1696" s="2" t="n">
        <x:f>IF(R1696=1,SUM($R$10:R1696),0)</x:f>
        <x:v>1323</x:v>
      </x:c>
      <x:c r="T1696" s="2" t="str">
        <x:v>Design &amp; Insights</x:v>
      </x:c>
      <x:c r="U1696" s="2" t="n">
        <x:v>324</x:v>
      </x:c>
      <x:c r="V1696" s="2" t="n">
        <x:f>IF(AND(M1696=1,P1696=0,ISNUMBER(J1696),J1696&lt;TODAY()),1,0)</x:f>
        <x:v>0</x:v>
      </x:c>
      <x:c r="W1696" s="2" t="str">
        <x:f>'Design &amp; Insights'!M324</x:f>
        <x:v>Task</x:v>
      </x:c>
    </x:row>
    <x:row r="1697" ht="40" customHeight="1">
      <x:c r="A1697" s="3" t="str">
        <x:f>HYPERLINK("#'Design &amp; Insights'!A325","Open")</x:f>
        <x:v>Open</x:v>
      </x:c>
      <x:c r="B1697" s="2" t="str">
        <x:f>'Design &amp; Insights'!B325</x:f>
        <x:v>Cycle 3</x:v>
      </x:c>
      <x:c r="C1697" s="2" t="str">
        <x:f>'Design &amp; Insights'!C325</x:f>
        <x:v>Phase 3</x:v>
      </x:c>
      <x:c r="D1697" s="2" t="str">
        <x:f>'Design &amp; Insights'!D325</x:f>
        <x:v>Cards</x:v>
      </x:c>
      <x:c r="E1697" s="2" t="str">
        <x:v>Design &amp; Insights</x:v>
      </x:c>
      <x:c r="F1697" s="56" t="str">
        <x:f>'Design &amp; Insights'!E325</x:f>
        <x:v>DI.CA.3.3</x:v>
      </x:c>
      <x:c r="G1697" s="14" t="str">
        <x:f>'Design &amp; Insights'!F325</x:f>
        <x:v>Present findings, conclusions, and recommendation to SMEs</x:v>
      </x:c>
      <x:c r="H1697" s="2" t="str">
        <x:f>IF('Design &amp; Insights'!G325="","",'Design &amp; Insights'!G325)</x:f>
      </x:c>
      <x:c r="I1697" s="12" t="str">
        <x:f>IF('Design &amp; Insights'!H325="","",'Design &amp; Insights'!H325)</x:f>
      </x:c>
      <x:c r="J1697" s="12" t="n">
        <x:f>IF('Design &amp; Insights'!I325="","",'Design &amp; Insights'!I325)</x:f>
        <x:v>46295</x:v>
      </x:c>
      <x:c r="K1697" s="12" t="str">
        <x:f>IF('Design &amp; Insights'!J325="","",'Design &amp; Insights'!J325)</x:f>
      </x:c>
      <x:c r="L1697" s="2" t="str">
        <x:f>IF('Design &amp; Insights'!K325="","",'Design &amp; Insights'!K325)</x:f>
      </x:c>
      <x:c r="M1697" s="2" t="n">
        <x:f>'Design &amp; Insights'!Q325</x:f>
        <x:v>1</x:v>
      </x:c>
      <x:c r="N1697" s="2" t="str">
        <x:f>'Design &amp; Insights'!L325</x:f>
        <x:v>Not started</x:v>
      </x:c>
      <x:c r="O1697" s="2" t="str">
        <x:f>'Design &amp; Insights'!N325</x:f>
        <x:v>DI.CA.3.3.2026.CY3</x:v>
      </x:c>
      <x:c r="P1697" s="2" t="n">
        <x:f>'Design &amp; Insights'!O325</x:f>
        <x:v>0</x:v>
      </x:c>
      <x:c r="Q1697" s="2" t="n">
        <x:f>SUBTOTAL(103,O1697)</x:f>
        <x:v>1</x:v>
      </x:c>
      <x:c r="R1697" s="2" t="n">
        <x:f>IF(AND(M1697=1,OR(Dashboard!$B$7="All",Dashboard!$B$7='Cycles &amp; Guide'!$C$5),OR(Dashboard!$D$7="All",Dashboard!$D$7=B1697),OR(Dashboard!$F$7="All",Dashboard!$F$7=C1697),OR(Dashboard!$H$7="All",Dashboard!$H$7=D1697),OR(Dashboard!$K$7="All",Dashboard!$K$7=E1697)),1,0)</x:f>
        <x:v>1</x:v>
      </x:c>
      <x:c r="S1697" s="2" t="n">
        <x:f>IF(R1697=1,SUM($R$10:R1697),0)</x:f>
        <x:v>1324</x:v>
      </x:c>
      <x:c r="T1697" s="2" t="str">
        <x:v>Design &amp; Insights</x:v>
      </x:c>
      <x:c r="U1697" s="2" t="n">
        <x:v>325</x:v>
      </x:c>
      <x:c r="V1697" s="2" t="n">
        <x:f>IF(AND(M1697=1,P1697=0,ISNUMBER(J1697),J1697&lt;TODAY()),1,0)</x:f>
        <x:v>0</x:v>
      </x:c>
      <x:c r="W1697" s="2" t="str">
        <x:f>'Design &amp; Insights'!M325</x:f>
        <x:v>Task</x:v>
      </x:c>
    </x:row>
    <x:row r="1698" ht="40" customHeight="1">
      <x:c r="A1698" s="3" t="str">
        <x:f>HYPERLINK("#'Design &amp; Insights'!A326","Open")</x:f>
        <x:v>Open</x:v>
      </x:c>
      <x:c r="B1698" s="2" t="str">
        <x:f>'Design &amp; Insights'!B326</x:f>
        <x:v>Cycle 3</x:v>
      </x:c>
      <x:c r="C1698" s="2" t="str">
        <x:f>'Design &amp; Insights'!C326</x:f>
        <x:v>Phase 3</x:v>
      </x:c>
      <x:c r="D1698" s="2" t="str">
        <x:f>'Design &amp; Insights'!D326</x:f>
        <x:v>Cards</x:v>
      </x:c>
      <x:c r="E1698" s="2" t="str">
        <x:v>Design &amp; Insights</x:v>
      </x:c>
      <x:c r="F1698" s="56" t="str">
        <x:f>'Design &amp; Insights'!E326</x:f>
        <x:v>DI.CA.3.4</x:v>
      </x:c>
      <x:c r="G1698" s="14" t="str">
        <x:f>'Design &amp; Insights'!F326</x:f>
        <x:v>Update Outcome portion of research plan (as needed)</x:v>
      </x:c>
      <x:c r="H1698" s="2" t="str">
        <x:f>IF('Design &amp; Insights'!G326="","",'Design &amp; Insights'!G326)</x:f>
      </x:c>
      <x:c r="I1698" s="12" t="str">
        <x:f>IF('Design &amp; Insights'!H326="","",'Design &amp; Insights'!H326)</x:f>
      </x:c>
      <x:c r="J1698" s="12" t="n">
        <x:f>IF('Design &amp; Insights'!I326="","",'Design &amp; Insights'!I326)</x:f>
        <x:v>46295</x:v>
      </x:c>
      <x:c r="K1698" s="12" t="str">
        <x:f>IF('Design &amp; Insights'!J326="","",'Design &amp; Insights'!J326)</x:f>
      </x:c>
      <x:c r="L1698" s="2" t="str">
        <x:f>IF('Design &amp; Insights'!K326="","",'Design &amp; Insights'!K326)</x:f>
      </x:c>
      <x:c r="M1698" s="2" t="n">
        <x:f>'Design &amp; Insights'!Q326</x:f>
        <x:v>1</x:v>
      </x:c>
      <x:c r="N1698" s="2" t="str">
        <x:f>'Design &amp; Insights'!L326</x:f>
        <x:v>Not started</x:v>
      </x:c>
      <x:c r="O1698" s="2" t="str">
        <x:f>'Design &amp; Insights'!N326</x:f>
        <x:v>DI.CA.3.4.2026.CY3</x:v>
      </x:c>
      <x:c r="P1698" s="2" t="n">
        <x:f>'Design &amp; Insights'!O326</x:f>
        <x:v>0</x:v>
      </x:c>
      <x:c r="Q1698" s="2" t="n">
        <x:f>SUBTOTAL(103,O1698)</x:f>
        <x:v>1</x:v>
      </x:c>
      <x:c r="R1698" s="2" t="n">
        <x:f>IF(AND(M1698=1,OR(Dashboard!$B$7="All",Dashboard!$B$7='Cycles &amp; Guide'!$C$5),OR(Dashboard!$D$7="All",Dashboard!$D$7=B1698),OR(Dashboard!$F$7="All",Dashboard!$F$7=C1698),OR(Dashboard!$H$7="All",Dashboard!$H$7=D1698),OR(Dashboard!$K$7="All",Dashboard!$K$7=E1698)),1,0)</x:f>
        <x:v>1</x:v>
      </x:c>
      <x:c r="S1698" s="2" t="n">
        <x:f>IF(R1698=1,SUM($R$10:R1698),0)</x:f>
        <x:v>1325</x:v>
      </x:c>
      <x:c r="T1698" s="2" t="str">
        <x:v>Design &amp; Insights</x:v>
      </x:c>
      <x:c r="U1698" s="2" t="n">
        <x:v>326</x:v>
      </x:c>
      <x:c r="V1698" s="2" t="n">
        <x:f>IF(AND(M1698=1,P1698=0,ISNUMBER(J1698),J1698&lt;TODAY()),1,0)</x:f>
        <x:v>0</x:v>
      </x:c>
      <x:c r="W1698" s="2" t="str">
        <x:f>'Design &amp; Insights'!M326</x:f>
        <x:v>Task</x:v>
      </x:c>
    </x:row>
    <x:row r="1699" ht="40" customHeight="1">
      <x:c r="A1699" s="3" t="str">
        <x:f>HYPERLINK("#'Design &amp; Insights'!A327","Open")</x:f>
        <x:v>Open</x:v>
      </x:c>
      <x:c r="B1699" s="2" t="str">
        <x:f>'Design &amp; Insights'!B327</x:f>
        <x:v>Cycle 3</x:v>
      </x:c>
      <x:c r="C1699" s="2" t="str">
        <x:f>'Design &amp; Insights'!C327</x:f>
        <x:v>Phase 3</x:v>
      </x:c>
      <x:c r="D1699" s="2" t="str">
        <x:f>'Design &amp; Insights'!D327</x:f>
        <x:v>Cards</x:v>
      </x:c>
      <x:c r="E1699" s="2" t="str">
        <x:v>Design &amp; Insights</x:v>
      </x:c>
      <x:c r="F1699" s="56" t="str">
        <x:f>'Design &amp; Insights'!E327</x:f>
        <x:v>DI.CA.3.5</x:v>
      </x:c>
      <x:c r="G1699" s="14" t="str">
        <x:f>'Design &amp; Insights'!F327</x:f>
        <x:v>Finalize presentation deck by incorporating pre-socialization feedback (as needed)</x:v>
      </x:c>
      <x:c r="H1699" s="2" t="str">
        <x:f>IF('Design &amp; Insights'!G327="","",'Design &amp; Insights'!G327)</x:f>
      </x:c>
      <x:c r="I1699" s="12" t="str">
        <x:f>IF('Design &amp; Insights'!H327="","",'Design &amp; Insights'!H327)</x:f>
      </x:c>
      <x:c r="J1699" s="12" t="n">
        <x:f>IF('Design &amp; Insights'!I327="","",'Design &amp; Insights'!I327)</x:f>
        <x:v>46295</x:v>
      </x:c>
      <x:c r="K1699" s="12" t="str">
        <x:f>IF('Design &amp; Insights'!J327="","",'Design &amp; Insights'!J327)</x:f>
      </x:c>
      <x:c r="L1699" s="2" t="str">
        <x:f>IF('Design &amp; Insights'!K327="","",'Design &amp; Insights'!K327)</x:f>
      </x:c>
      <x:c r="M1699" s="2" t="n">
        <x:f>'Design &amp; Insights'!Q327</x:f>
        <x:v>1</x:v>
      </x:c>
      <x:c r="N1699" s="2" t="str">
        <x:f>'Design &amp; Insights'!L327</x:f>
        <x:v>Not started</x:v>
      </x:c>
      <x:c r="O1699" s="2" t="str">
        <x:f>'Design &amp; Insights'!N327</x:f>
        <x:v>DI.CA.3.5.2026.CY3</x:v>
      </x:c>
      <x:c r="P1699" s="2" t="n">
        <x:f>'Design &amp; Insights'!O327</x:f>
        <x:v>0</x:v>
      </x:c>
      <x:c r="Q1699" s="2" t="n">
        <x:f>SUBTOTAL(103,O1699)</x:f>
        <x:v>1</x:v>
      </x:c>
      <x:c r="R1699" s="2" t="n">
        <x:f>IF(AND(M1699=1,OR(Dashboard!$B$7="All",Dashboard!$B$7='Cycles &amp; Guide'!$C$5),OR(Dashboard!$D$7="All",Dashboard!$D$7=B1699),OR(Dashboard!$F$7="All",Dashboard!$F$7=C1699),OR(Dashboard!$H$7="All",Dashboard!$H$7=D1699),OR(Dashboard!$K$7="All",Dashboard!$K$7=E1699)),1,0)</x:f>
        <x:v>1</x:v>
      </x:c>
      <x:c r="S1699" s="2" t="n">
        <x:f>IF(R1699=1,SUM($R$10:R1699),0)</x:f>
        <x:v>1326</x:v>
      </x:c>
      <x:c r="T1699" s="2" t="str">
        <x:v>Design &amp; Insights</x:v>
      </x:c>
      <x:c r="U1699" s="2" t="n">
        <x:v>327</x:v>
      </x:c>
      <x:c r="V1699" s="2" t="n">
        <x:f>IF(AND(M1699=1,P1699=0,ISNUMBER(J1699),J1699&lt;TODAY()),1,0)</x:f>
        <x:v>0</x:v>
      </x:c>
      <x:c r="W1699" s="2" t="str">
        <x:f>'Design &amp; Insights'!M327</x:f>
        <x:v>Task</x:v>
      </x:c>
    </x:row>
    <x:row r="1700" ht="40" customHeight="1">
      <x:c r="A1700" s="3" t="str">
        <x:f>HYPERLINK("#'Design &amp; Insights'!A328","Open")</x:f>
        <x:v>Open</x:v>
      </x:c>
      <x:c r="B1700" s="2" t="str">
        <x:f>'Design &amp; Insights'!B328</x:f>
        <x:v>Cycle 3</x:v>
      </x:c>
      <x:c r="C1700" s="2" t="str">
        <x:f>'Design &amp; Insights'!C328</x:f>
        <x:v>Phase 3</x:v>
      </x:c>
      <x:c r="D1700" s="2" t="str">
        <x:f>'Design &amp; Insights'!D328</x:f>
        <x:v>Cards</x:v>
      </x:c>
      <x:c r="E1700" s="2" t="str">
        <x:v>Design &amp; Insights</x:v>
      </x:c>
      <x:c r="F1700" s="56" t="str">
        <x:f>'Design &amp; Insights'!E328</x:f>
        <x:v>DI.CA.3.6</x:v>
      </x:c>
      <x:c r="G1700" s="14" t="str">
        <x:f>'Design &amp; Insights'!F328</x:f>
        <x:v>Ensure final deck is communicated to Forum attendees</x:v>
      </x:c>
      <x:c r="H1700" s="2" t="str">
        <x:f>IF('Design &amp; Insights'!G328="","",'Design &amp; Insights'!G328)</x:f>
      </x:c>
      <x:c r="I1700" s="12" t="str">
        <x:f>IF('Design &amp; Insights'!H328="","",'Design &amp; Insights'!H328)</x:f>
      </x:c>
      <x:c r="J1700" s="12" t="n">
        <x:f>IF('Design &amp; Insights'!I328="","",'Design &amp; Insights'!I328)</x:f>
        <x:v>46295</x:v>
      </x:c>
      <x:c r="K1700" s="12" t="str">
        <x:f>IF('Design &amp; Insights'!J328="","",'Design &amp; Insights'!J328)</x:f>
      </x:c>
      <x:c r="L1700" s="2" t="str">
        <x:f>IF('Design &amp; Insights'!K328="","",'Design &amp; Insights'!K328)</x:f>
      </x:c>
      <x:c r="M1700" s="2" t="n">
        <x:f>'Design &amp; Insights'!Q328</x:f>
        <x:v>1</x:v>
      </x:c>
      <x:c r="N1700" s="2" t="str">
        <x:f>'Design &amp; Insights'!L328</x:f>
        <x:v>Not started</x:v>
      </x:c>
      <x:c r="O1700" s="2" t="str">
        <x:f>'Design &amp; Insights'!N328</x:f>
        <x:v>DI.CA.3.6.2026.CY3</x:v>
      </x:c>
      <x:c r="P1700" s="2" t="n">
        <x:f>'Design &amp; Insights'!O328</x:f>
        <x:v>0</x:v>
      </x:c>
      <x:c r="Q1700" s="2" t="n">
        <x:f>SUBTOTAL(103,O1700)</x:f>
        <x:v>1</x:v>
      </x:c>
      <x:c r="R1700" s="2" t="n">
        <x:f>IF(AND(M1700=1,OR(Dashboard!$B$7="All",Dashboard!$B$7='Cycles &amp; Guide'!$C$5),OR(Dashboard!$D$7="All",Dashboard!$D$7=B1700),OR(Dashboard!$F$7="All",Dashboard!$F$7=C1700),OR(Dashboard!$H$7="All",Dashboard!$H$7=D1700),OR(Dashboard!$K$7="All",Dashboard!$K$7=E1700)),1,0)</x:f>
        <x:v>1</x:v>
      </x:c>
      <x:c r="S1700" s="2" t="n">
        <x:f>IF(R1700=1,SUM($R$10:R1700),0)</x:f>
        <x:v>1327</x:v>
      </x:c>
      <x:c r="T1700" s="2" t="str">
        <x:v>Design &amp; Insights</x:v>
      </x:c>
      <x:c r="U1700" s="2" t="n">
        <x:v>328</x:v>
      </x:c>
      <x:c r="V1700" s="2" t="n">
        <x:f>IF(AND(M1700=1,P1700=0,ISNUMBER(J1700),J1700&lt;TODAY()),1,0)</x:f>
        <x:v>0</x:v>
      </x:c>
      <x:c r="W1700" s="2" t="str">
        <x:f>'Design &amp; Insights'!M328</x:f>
        <x:v>Task</x:v>
      </x:c>
    </x:row>
    <x:row r="1701" ht="40" customHeight="1">
      <x:c r="A1701" s="3" t="str">
        <x:f>HYPERLINK("#'Design &amp; Insights'!A329","Open")</x:f>
        <x:v>Open</x:v>
      </x:c>
      <x:c r="B1701" s="2" t="str">
        <x:f>'Design &amp; Insights'!B329</x:f>
        <x:v>Cycle 3</x:v>
      </x:c>
      <x:c r="C1701" s="2" t="str">
        <x:f>'Design &amp; Insights'!C329</x:f>
        <x:v>Phase 3</x:v>
      </x:c>
      <x:c r="D1701" s="2" t="str">
        <x:f>'Design &amp; Insights'!D329</x:f>
        <x:v>Cards</x:v>
      </x:c>
      <x:c r="E1701" s="2" t="str">
        <x:v>Design &amp; Insights</x:v>
      </x:c>
      <x:c r="F1701" s="56" t="str">
        <x:f>'Design &amp; Insights'!E329</x:f>
        <x:v>DI.CA.3.7</x:v>
      </x:c>
      <x:c r="G1701" s="14" t="str">
        <x:f>'Design &amp; Insights'!F329</x:f>
        <x:v>Present material in RCA Cycle Forum</x:v>
      </x:c>
      <x:c r="H1701" s="2" t="str">
        <x:f>IF('Design &amp; Insights'!G329="","",'Design &amp; Insights'!G329)</x:f>
      </x:c>
      <x:c r="I1701" s="12" t="str">
        <x:f>IF('Design &amp; Insights'!H329="","",'Design &amp; Insights'!H329)</x:f>
      </x:c>
      <x:c r="J1701" s="12" t="str">
        <x:f>IF('Design &amp; Insights'!I329="","",'Design &amp; Insights'!I329)</x:f>
      </x:c>
      <x:c r="K1701" s="12" t="str">
        <x:f>IF('Design &amp; Insights'!J329="","",'Design &amp; Insights'!J329)</x:f>
      </x:c>
      <x:c r="L1701" s="2" t="str">
        <x:f>IF('Design &amp; Insights'!K329="","",'Design &amp; Insights'!K329)</x:f>
      </x:c>
      <x:c r="M1701" s="2" t="n">
        <x:f>'Design &amp; Insights'!Q329</x:f>
        <x:v>1</x:v>
      </x:c>
      <x:c r="N1701" s="2" t="str">
        <x:f>'Design &amp; Insights'!L329</x:f>
        <x:v>Not started</x:v>
      </x:c>
      <x:c r="O1701" s="2" t="str">
        <x:f>'Design &amp; Insights'!N329</x:f>
        <x:v>DI.CA.3.7.2026.CY3</x:v>
      </x:c>
      <x:c r="P1701" s="2" t="n">
        <x:f>'Design &amp; Insights'!O329</x:f>
        <x:v>0</x:v>
      </x:c>
      <x:c r="Q1701" s="2" t="n">
        <x:f>SUBTOTAL(103,O1701)</x:f>
        <x:v>1</x:v>
      </x:c>
      <x:c r="R1701" s="2" t="n">
        <x:f>IF(AND(M1701=1,OR(Dashboard!$B$7="All",Dashboard!$B$7='Cycles &amp; Guide'!$C$5),OR(Dashboard!$D$7="All",Dashboard!$D$7=B1701),OR(Dashboard!$F$7="All",Dashboard!$F$7=C1701),OR(Dashboard!$H$7="All",Dashboard!$H$7=D1701),OR(Dashboard!$K$7="All",Dashboard!$K$7=E1701)),1,0)</x:f>
        <x:v>1</x:v>
      </x:c>
      <x:c r="S1701" s="2" t="n">
        <x:f>IF(R1701=1,SUM($R$10:R1701),0)</x:f>
        <x:v>1328</x:v>
      </x:c>
      <x:c r="T1701" s="2" t="str">
        <x:v>Design &amp; Insights</x:v>
      </x:c>
      <x:c r="U1701" s="2" t="n">
        <x:v>329</x:v>
      </x:c>
      <x:c r="V1701" s="2" t="n">
        <x:f>IF(AND(M1701=1,P1701=0,ISNUMBER(J1701),J1701&lt;TODAY()),1,0)</x:f>
        <x:v>0</x:v>
      </x:c>
      <x:c r="W1701" s="2" t="str">
        <x:f>'Design &amp; Insights'!M329</x:f>
        <x:v>Task</x:v>
      </x:c>
    </x:row>
    <x:row r="1702" ht="40" customHeight="1">
      <x:c r="A1702" s="3" t="str">
        <x:f>HYPERLINK("#'Design &amp; Insights'!A330","Open")</x:f>
        <x:v>Open</x:v>
      </x:c>
      <x:c r="B1702" s="2" t="str">
        <x:f>'Design &amp; Insights'!B330</x:f>
        <x:v>Cycle 3</x:v>
      </x:c>
      <x:c r="C1702" s="2" t="str">
        <x:f>'Design &amp; Insights'!C330</x:f>
        <x:v>Phase 1</x:v>
      </x:c>
      <x:c r="D1702" s="2" t="str">
        <x:f>'Design &amp; Insights'!D330</x:f>
        <x:v>CSBBO - Banking Ops</x:v>
      </x:c>
      <x:c r="E1702" s="2" t="str">
        <x:v>Design &amp; Insights</x:v>
      </x:c>
      <x:c r="F1702" s="56" t="str">
        <x:f>'Design &amp; Insights'!E330</x:f>
        <x:v>DI.BO.1.1</x:v>
      </x:c>
      <x:c r="G1702" s="14" t="str">
        <x:f>'Design &amp; Insights'!F330</x:f>
        <x:v>Receive and review potential research topics at least 2 weeks prior to Cycle start date</x:v>
      </x:c>
      <x:c r="H1702" s="2" t="str">
        <x:f>IF('Design &amp; Insights'!G330="","",'Design &amp; Insights'!G330)</x:f>
      </x:c>
      <x:c r="I1702" s="12" t="str">
        <x:f>IF('Design &amp; Insights'!H330="","",'Design &amp; Insights'!H330)</x:f>
      </x:c>
      <x:c r="J1702" s="12" t="n">
        <x:f>IF('Design &amp; Insights'!I330="","",'Design &amp; Insights'!I330)</x:f>
        <x:v>46190</x:v>
      </x:c>
      <x:c r="K1702" s="12" t="str">
        <x:f>IF('Design &amp; Insights'!J330="","",'Design &amp; Insights'!J330)</x:f>
      </x:c>
      <x:c r="L1702" s="2" t="str">
        <x:f>IF('Design &amp; Insights'!K330="","",'Design &amp; Insights'!K330)</x:f>
      </x:c>
      <x:c r="M1702" s="2" t="n">
        <x:f>'Design &amp; Insights'!Q330</x:f>
        <x:v>1</x:v>
      </x:c>
      <x:c r="N1702" s="2" t="str">
        <x:f>'Design &amp; Insights'!L330</x:f>
        <x:v>Not started</x:v>
      </x:c>
      <x:c r="O1702" s="2" t="str">
        <x:f>'Design &amp; Insights'!N330</x:f>
        <x:v>DI.BO.1.1.2026.CY3</x:v>
      </x:c>
      <x:c r="P1702" s="2" t="n">
        <x:f>'Design &amp; Insights'!O330</x:f>
        <x:v>0</x:v>
      </x:c>
      <x:c r="Q1702" s="2" t="n">
        <x:f>SUBTOTAL(103,O1702)</x:f>
        <x:v>1</x:v>
      </x:c>
      <x:c r="R1702" s="2" t="n">
        <x:f>IF(AND(M1702=1,OR(Dashboard!$B$7="All",Dashboard!$B$7='Cycles &amp; Guide'!$C$5),OR(Dashboard!$D$7="All",Dashboard!$D$7=B1702),OR(Dashboard!$F$7="All",Dashboard!$F$7=C1702),OR(Dashboard!$H$7="All",Dashboard!$H$7=D1702),OR(Dashboard!$K$7="All",Dashboard!$K$7=E1702)),1,0)</x:f>
        <x:v>1</x:v>
      </x:c>
      <x:c r="S1702" s="2" t="n">
        <x:f>IF(R1702=1,SUM($R$10:R1702),0)</x:f>
        <x:v>1329</x:v>
      </x:c>
      <x:c r="T1702" s="2" t="str">
        <x:v>Design &amp; Insights</x:v>
      </x:c>
      <x:c r="U1702" s="2" t="n">
        <x:v>330</x:v>
      </x:c>
      <x:c r="V1702" s="2" t="n">
        <x:f>IF(AND(M1702=1,P1702=0,ISNUMBER(J1702),J1702&lt;TODAY()),1,0)</x:f>
        <x:v>1</x:v>
      </x:c>
      <x:c r="W1702" s="2" t="str">
        <x:f>'Design &amp; Insights'!M330</x:f>
        <x:v>Task</x:v>
      </x:c>
    </x:row>
    <x:row r="1703" ht="40" customHeight="1">
      <x:c r="A1703" s="3" t="str">
        <x:f>HYPERLINK("#'Design &amp; Insights'!A331","Open")</x:f>
        <x:v>Open</x:v>
      </x:c>
      <x:c r="B1703" s="2" t="str">
        <x:f>'Design &amp; Insights'!B331</x:f>
        <x:v>Cycle 3</x:v>
      </x:c>
      <x:c r="C1703" s="2" t="str">
        <x:f>'Design &amp; Insights'!C331</x:f>
        <x:v>Phase 1</x:v>
      </x:c>
      <x:c r="D1703" s="2" t="str">
        <x:f>'Design &amp; Insights'!D331</x:f>
        <x:v>CSBBO - Banking Ops</x:v>
      </x:c>
      <x:c r="E1703" s="2" t="str">
        <x:v>Design &amp; Insights</x:v>
      </x:c>
      <x:c r="F1703" s="56" t="str">
        <x:f>'Design &amp; Insights'!E331</x:f>
        <x:v>DI.BO.1.2</x:v>
      </x:c>
      <x:c r="G1703" s="14" t="str">
        <x:f>'Design &amp; Insights'!F331</x:f>
        <x:v>Communicate any feedback on preferences or concerns with topics identified</x:v>
      </x:c>
      <x:c r="H1703" s="2" t="str">
        <x:f>IF('Design &amp; Insights'!G331="","",'Design &amp; Insights'!G331)</x:f>
      </x:c>
      <x:c r="I1703" s="12" t="str">
        <x:f>IF('Design &amp; Insights'!H331="","",'Design &amp; Insights'!H331)</x:f>
      </x:c>
      <x:c r="J1703" s="12" t="n">
        <x:f>IF('Design &amp; Insights'!I331="","",'Design &amp; Insights'!I331)</x:f>
        <x:v>46295</x:v>
      </x:c>
      <x:c r="K1703" s="12" t="str">
        <x:f>IF('Design &amp; Insights'!J331="","",'Design &amp; Insights'!J331)</x:f>
      </x:c>
      <x:c r="L1703" s="2" t="str">
        <x:f>IF('Design &amp; Insights'!K331="","",'Design &amp; Insights'!K331)</x:f>
      </x:c>
      <x:c r="M1703" s="2" t="n">
        <x:f>'Design &amp; Insights'!Q331</x:f>
        <x:v>1</x:v>
      </x:c>
      <x:c r="N1703" s="2" t="str">
        <x:f>'Design &amp; Insights'!L331</x:f>
        <x:v>Not started</x:v>
      </x:c>
      <x:c r="O1703" s="2" t="str">
        <x:f>'Design &amp; Insights'!N331</x:f>
        <x:v>DI.BO.1.2.2026.CY3</x:v>
      </x:c>
      <x:c r="P1703" s="2" t="n">
        <x:f>'Design &amp; Insights'!O331</x:f>
        <x:v>0</x:v>
      </x:c>
      <x:c r="Q1703" s="2" t="n">
        <x:f>SUBTOTAL(103,O1703)</x:f>
        <x:v>1</x:v>
      </x:c>
      <x:c r="R1703" s="2" t="n">
        <x:f>IF(AND(M1703=1,OR(Dashboard!$B$7="All",Dashboard!$B$7='Cycles &amp; Guide'!$C$5),OR(Dashboard!$D$7="All",Dashboard!$D$7=B1703),OR(Dashboard!$F$7="All",Dashboard!$F$7=C1703),OR(Dashboard!$H$7="All",Dashboard!$H$7=D1703),OR(Dashboard!$K$7="All",Dashboard!$K$7=E1703)),1,0)</x:f>
        <x:v>1</x:v>
      </x:c>
      <x:c r="S1703" s="2" t="n">
        <x:f>IF(R1703=1,SUM($R$10:R1703),0)</x:f>
        <x:v>1330</x:v>
      </x:c>
      <x:c r="T1703" s="2" t="str">
        <x:v>Design &amp; Insights</x:v>
      </x:c>
      <x:c r="U1703" s="2" t="n">
        <x:v>331</x:v>
      </x:c>
      <x:c r="V1703" s="2" t="n">
        <x:f>IF(AND(M1703=1,P1703=0,ISNUMBER(J1703),J1703&lt;TODAY()),1,0)</x:f>
        <x:v>0</x:v>
      </x:c>
      <x:c r="W1703" s="2" t="str">
        <x:f>'Design &amp; Insights'!M331</x:f>
        <x:v>Task</x:v>
      </x:c>
    </x:row>
    <x:row r="1704" ht="40" customHeight="1">
      <x:c r="A1704" s="3" t="str">
        <x:f>HYPERLINK("#'Design &amp; Insights'!A332","Open")</x:f>
        <x:v>Open</x:v>
      </x:c>
      <x:c r="B1704" s="2" t="str">
        <x:f>'Design &amp; Insights'!B332</x:f>
        <x:v>Cycle 3</x:v>
      </x:c>
      <x:c r="C1704" s="2" t="str">
        <x:f>'Design &amp; Insights'!C332</x:f>
        <x:v>Phase 1</x:v>
      </x:c>
      <x:c r="D1704" s="2" t="str">
        <x:f>'Design &amp; Insights'!D332</x:f>
        <x:v>CSBBO - Banking Ops</x:v>
      </x:c>
      <x:c r="E1704" s="2" t="str">
        <x:v>Design &amp; Insights</x:v>
      </x:c>
      <x:c r="F1704" s="56" t="str">
        <x:f>'Design &amp; Insights'!E332</x:f>
        <x:v>DI.BO.1.3</x:v>
      </x:c>
      <x:c r="G1704" s="14" t="str">
        <x:f>'Design &amp; Insights'!F332</x:f>
        <x:v>Conduct high-level preliminary review of complaints within proposed topics</x:v>
      </x:c>
      <x:c r="H1704" s="2" t="str">
        <x:f>IF('Design &amp; Insights'!G332="","",'Design &amp; Insights'!G332)</x:f>
      </x:c>
      <x:c r="I1704" s="12" t="str">
        <x:f>IF('Design &amp; Insights'!H332="","",'Design &amp; Insights'!H332)</x:f>
      </x:c>
      <x:c r="J1704" s="12" t="n">
        <x:f>IF('Design &amp; Insights'!I332="","",'Design &amp; Insights'!I332)</x:f>
        <x:v>46295</x:v>
      </x:c>
      <x:c r="K1704" s="12" t="str">
        <x:f>IF('Design &amp; Insights'!J332="","",'Design &amp; Insights'!J332)</x:f>
      </x:c>
      <x:c r="L1704" s="2" t="str">
        <x:f>IF('Design &amp; Insights'!K332="","",'Design &amp; Insights'!K332)</x:f>
      </x:c>
      <x:c r="M1704" s="2" t="n">
        <x:f>'Design &amp; Insights'!Q332</x:f>
        <x:v>1</x:v>
      </x:c>
      <x:c r="N1704" s="2" t="str">
        <x:f>'Design &amp; Insights'!L332</x:f>
        <x:v>Not started</x:v>
      </x:c>
      <x:c r="O1704" s="2" t="str">
        <x:f>'Design &amp; Insights'!N332</x:f>
        <x:v>DI.BO.1.3.2026.CY3</x:v>
      </x:c>
      <x:c r="P1704" s="2" t="n">
        <x:f>'Design &amp; Insights'!O332</x:f>
        <x:v>0</x:v>
      </x:c>
      <x:c r="Q1704" s="2" t="n">
        <x:f>SUBTOTAL(103,O1704)</x:f>
        <x:v>1</x:v>
      </x:c>
      <x:c r="R1704" s="2" t="n">
        <x:f>IF(AND(M1704=1,OR(Dashboard!$B$7="All",Dashboard!$B$7='Cycles &amp; Guide'!$C$5),OR(Dashboard!$D$7="All",Dashboard!$D$7=B1704),OR(Dashboard!$F$7="All",Dashboard!$F$7=C1704),OR(Dashboard!$H$7="All",Dashboard!$H$7=D1704),OR(Dashboard!$K$7="All",Dashboard!$K$7=E1704)),1,0)</x:f>
        <x:v>1</x:v>
      </x:c>
      <x:c r="S1704" s="2" t="n">
        <x:f>IF(R1704=1,SUM($R$10:R1704),0)</x:f>
        <x:v>1331</x:v>
      </x:c>
      <x:c r="T1704" s="2" t="str">
        <x:v>Design &amp; Insights</x:v>
      </x:c>
      <x:c r="U1704" s="2" t="n">
        <x:v>332</x:v>
      </x:c>
      <x:c r="V1704" s="2" t="n">
        <x:f>IF(AND(M1704=1,P1704=0,ISNUMBER(J1704),J1704&lt;TODAY()),1,0)</x:f>
        <x:v>0</x:v>
      </x:c>
      <x:c r="W1704" s="2" t="str">
        <x:f>'Design &amp; Insights'!M332</x:f>
        <x:v>Task</x:v>
      </x:c>
    </x:row>
    <x:row r="1705" ht="40" customHeight="1">
      <x:c r="A1705" s="3" t="str">
        <x:f>HYPERLINK("#'Design &amp; Insights'!A333","Open")</x:f>
        <x:v>Open</x:v>
      </x:c>
      <x:c r="B1705" s="2" t="str">
        <x:f>'Design &amp; Insights'!B333</x:f>
        <x:v>Cycle 3</x:v>
      </x:c>
      <x:c r="C1705" s="2" t="str">
        <x:f>'Design &amp; Insights'!C333</x:f>
        <x:v>Phase 1</x:v>
      </x:c>
      <x:c r="D1705" s="2" t="str">
        <x:f>'Design &amp; Insights'!D333</x:f>
        <x:v>CSBBO - Banking Ops</x:v>
      </x:c>
      <x:c r="E1705" s="2" t="str">
        <x:v>Design &amp; Insights</x:v>
      </x:c>
      <x:c r="F1705" s="56" t="str">
        <x:f>'Design &amp; Insights'!E333</x:f>
        <x:v>DI.BO.1.4</x:v>
      </x:c>
      <x:c r="G1705" s="14" t="str">
        <x:f>'Design &amp; Insights'!F333</x:f>
        <x:v>Meet with Research to discuss which topic to select based on potential impact</x:v>
      </x:c>
      <x:c r="H1705" s="2" t="str">
        <x:f>IF('Design &amp; Insights'!G333="","",'Design &amp; Insights'!G333)</x:f>
      </x:c>
      <x:c r="I1705" s="12" t="str">
        <x:f>IF('Design &amp; Insights'!H333="","",'Design &amp; Insights'!H333)</x:f>
      </x:c>
      <x:c r="J1705" s="12" t="n">
        <x:f>IF('Design &amp; Insights'!I333="","",'Design &amp; Insights'!I333)</x:f>
        <x:v>46295</x:v>
      </x:c>
      <x:c r="K1705" s="12" t="str">
        <x:f>IF('Design &amp; Insights'!J333="","",'Design &amp; Insights'!J333)</x:f>
      </x:c>
      <x:c r="L1705" s="2" t="str">
        <x:f>IF('Design &amp; Insights'!K333="","",'Design &amp; Insights'!K333)</x:f>
      </x:c>
      <x:c r="M1705" s="2" t="n">
        <x:f>'Design &amp; Insights'!Q333</x:f>
        <x:v>1</x:v>
      </x:c>
      <x:c r="N1705" s="2" t="str">
        <x:f>'Design &amp; Insights'!L333</x:f>
        <x:v>Not started</x:v>
      </x:c>
      <x:c r="O1705" s="2" t="str">
        <x:f>'Design &amp; Insights'!N333</x:f>
        <x:v>DI.BO.1.4.2026.CY3</x:v>
      </x:c>
      <x:c r="P1705" s="2" t="n">
        <x:f>'Design &amp; Insights'!O333</x:f>
        <x:v>0</x:v>
      </x:c>
      <x:c r="Q1705" s="2" t="n">
        <x:f>SUBTOTAL(103,O1705)</x:f>
        <x:v>1</x:v>
      </x:c>
      <x:c r="R1705" s="2" t="n">
        <x:f>IF(AND(M1705=1,OR(Dashboard!$B$7="All",Dashboard!$B$7='Cycles &amp; Guide'!$C$5),OR(Dashboard!$D$7="All",Dashboard!$D$7=B1705),OR(Dashboard!$F$7="All",Dashboard!$F$7=C1705),OR(Dashboard!$H$7="All",Dashboard!$H$7=D1705),OR(Dashboard!$K$7="All",Dashboard!$K$7=E1705)),1,0)</x:f>
        <x:v>1</x:v>
      </x:c>
      <x:c r="S1705" s="2" t="n">
        <x:f>IF(R1705=1,SUM($R$10:R1705),0)</x:f>
        <x:v>1332</x:v>
      </x:c>
      <x:c r="T1705" s="2" t="str">
        <x:v>Design &amp; Insights</x:v>
      </x:c>
      <x:c r="U1705" s="2" t="n">
        <x:v>333</x:v>
      </x:c>
      <x:c r="V1705" s="2" t="n">
        <x:f>IF(AND(M1705=1,P1705=0,ISNUMBER(J1705),J1705&lt;TODAY()),1,0)</x:f>
        <x:v>0</x:v>
      </x:c>
      <x:c r="W1705" s="2" t="str">
        <x:f>'Design &amp; Insights'!M333</x:f>
        <x:v>Task</x:v>
      </x:c>
    </x:row>
    <x:row r="1706" ht="40" customHeight="1">
      <x:c r="A1706" s="3" t="str">
        <x:f>HYPERLINK("#'Design &amp; Insights'!A334","Open")</x:f>
        <x:v>Open</x:v>
      </x:c>
      <x:c r="B1706" s="2" t="str">
        <x:f>'Design &amp; Insights'!B334</x:f>
        <x:v>Cycle 3</x:v>
      </x:c>
      <x:c r="C1706" s="2" t="str">
        <x:f>'Design &amp; Insights'!C334</x:f>
        <x:v>Phase 1</x:v>
      </x:c>
      <x:c r="D1706" s="2" t="str">
        <x:f>'Design &amp; Insights'!D334</x:f>
        <x:v>CSBBO - Banking Ops</x:v>
      </x:c>
      <x:c r="E1706" s="2" t="str">
        <x:v>Design &amp; Insights</x:v>
      </x:c>
      <x:c r="F1706" s="56" t="str">
        <x:f>'Design &amp; Insights'!E334</x:f>
        <x:v>DI.BO.1.5</x:v>
      </x:c>
      <x:c r="G1706" s="14" t="str">
        <x:f>'Design &amp; Insights'!F334</x:f>
        <x:v>Confirm with Research the recommended topic for approval</x:v>
      </x:c>
      <x:c r="H1706" s="2" t="str">
        <x:f>IF('Design &amp; Insights'!G334="","",'Design &amp; Insights'!G334)</x:f>
      </x:c>
      <x:c r="I1706" s="12" t="str">
        <x:f>IF('Design &amp; Insights'!H334="","",'Design &amp; Insights'!H334)</x:f>
      </x:c>
      <x:c r="J1706" s="12" t="n">
        <x:f>IF('Design &amp; Insights'!I334="","",'Design &amp; Insights'!I334)</x:f>
        <x:v>46295</x:v>
      </x:c>
      <x:c r="K1706" s="12" t="str">
        <x:f>IF('Design &amp; Insights'!J334="","",'Design &amp; Insights'!J334)</x:f>
      </x:c>
      <x:c r="L1706" s="2" t="str">
        <x:f>IF('Design &amp; Insights'!K334="","",'Design &amp; Insights'!K334)</x:f>
      </x:c>
      <x:c r="M1706" s="2" t="n">
        <x:f>'Design &amp; Insights'!Q334</x:f>
        <x:v>1</x:v>
      </x:c>
      <x:c r="N1706" s="2" t="str">
        <x:f>'Design &amp; Insights'!L334</x:f>
        <x:v>Not started</x:v>
      </x:c>
      <x:c r="O1706" s="2" t="str">
        <x:f>'Design &amp; Insights'!N334</x:f>
        <x:v>DI.BO.1.5.2026.CY3</x:v>
      </x:c>
      <x:c r="P1706" s="2" t="n">
        <x:f>'Design &amp; Insights'!O334</x:f>
        <x:v>0</x:v>
      </x:c>
      <x:c r="Q1706" s="2" t="n">
        <x:f>SUBTOTAL(103,O1706)</x:f>
        <x:v>1</x:v>
      </x:c>
      <x:c r="R1706" s="2" t="n">
        <x:f>IF(AND(M1706=1,OR(Dashboard!$B$7="All",Dashboard!$B$7='Cycles &amp; Guide'!$C$5),OR(Dashboard!$D$7="All",Dashboard!$D$7=B1706),OR(Dashboard!$F$7="All",Dashboard!$F$7=C1706),OR(Dashboard!$H$7="All",Dashboard!$H$7=D1706),OR(Dashboard!$K$7="All",Dashboard!$K$7=E1706)),1,0)</x:f>
        <x:v>1</x:v>
      </x:c>
      <x:c r="S1706" s="2" t="n">
        <x:f>IF(R1706=1,SUM($R$10:R1706),0)</x:f>
        <x:v>1333</x:v>
      </x:c>
      <x:c r="T1706" s="2" t="str">
        <x:v>Design &amp; Insights</x:v>
      </x:c>
      <x:c r="U1706" s="2" t="n">
        <x:v>334</x:v>
      </x:c>
      <x:c r="V1706" s="2" t="n">
        <x:f>IF(AND(M1706=1,P1706=0,ISNUMBER(J1706),J1706&lt;TODAY()),1,0)</x:f>
        <x:v>0</x:v>
      </x:c>
      <x:c r="W1706" s="2" t="str">
        <x:f>'Design &amp; Insights'!M334</x:f>
        <x:v>Task</x:v>
      </x:c>
    </x:row>
    <x:row r="1707" ht="40" customHeight="1">
      <x:c r="A1707" s="3" t="str">
        <x:f>HYPERLINK("#'Design &amp; Insights'!A335","Open")</x:f>
        <x:v>Open</x:v>
      </x:c>
      <x:c r="B1707" s="2" t="str">
        <x:f>'Design &amp; Insights'!B335</x:f>
        <x:v>Cycle 3</x:v>
      </x:c>
      <x:c r="C1707" s="2" t="str">
        <x:f>'Design &amp; Insights'!C335</x:f>
        <x:v>Phase 1</x:v>
      </x:c>
      <x:c r="D1707" s="2" t="str">
        <x:f>'Design &amp; Insights'!D335</x:f>
        <x:v>CSBBO - Banking Ops</x:v>
      </x:c>
      <x:c r="E1707" s="2" t="str">
        <x:v>Design &amp; Insights</x:v>
      </x:c>
      <x:c r="F1707" s="56" t="str">
        <x:f>'Design &amp; Insights'!E335</x:f>
        <x:v>DI.BO.1.6</x:v>
      </x:c>
      <x:c r="G1707" s="14" t="str">
        <x:f>'Design &amp; Insights'!F335</x:f>
        <x:v>Send topic selection socialization email to all key stakeholders on the first day of the review Cycle</x:v>
      </x:c>
      <x:c r="H1707" s="2" t="str">
        <x:f>IF('Design &amp; Insights'!G335="","",'Design &amp; Insights'!G335)</x:f>
      </x:c>
      <x:c r="I1707" s="12" t="str">
        <x:f>IF('Design &amp; Insights'!H335="","",'Design &amp; Insights'!H335)</x:f>
      </x:c>
      <x:c r="J1707" s="12" t="n">
        <x:f>IF('Design &amp; Insights'!I335="","",'Design &amp; Insights'!I335)</x:f>
        <x:v>46204</x:v>
      </x:c>
      <x:c r="K1707" s="12" t="str">
        <x:f>IF('Design &amp; Insights'!J335="","",'Design &amp; Insights'!J335)</x:f>
      </x:c>
      <x:c r="L1707" s="2" t="str">
        <x:f>IF('Design &amp; Insights'!K335="","",'Design &amp; Insights'!K335)</x:f>
      </x:c>
      <x:c r="M1707" s="2" t="n">
        <x:f>'Design &amp; Insights'!Q335</x:f>
        <x:v>1</x:v>
      </x:c>
      <x:c r="N1707" s="2" t="str">
        <x:f>'Design &amp; Insights'!L335</x:f>
        <x:v>Not started</x:v>
      </x:c>
      <x:c r="O1707" s="2" t="str">
        <x:f>'Design &amp; Insights'!N335</x:f>
        <x:v>DI.BO.1.6.2026.CY3</x:v>
      </x:c>
      <x:c r="P1707" s="2" t="n">
        <x:f>'Design &amp; Insights'!O335</x:f>
        <x:v>0</x:v>
      </x:c>
      <x:c r="Q1707" s="2" t="n">
        <x:f>SUBTOTAL(103,O1707)</x:f>
        <x:v>1</x:v>
      </x:c>
      <x:c r="R1707" s="2" t="n">
        <x:f>IF(AND(M1707=1,OR(Dashboard!$B$7="All",Dashboard!$B$7='Cycles &amp; Guide'!$C$5),OR(Dashboard!$D$7="All",Dashboard!$D$7=B1707),OR(Dashboard!$F$7="All",Dashboard!$F$7=C1707),OR(Dashboard!$H$7="All",Dashboard!$H$7=D1707),OR(Dashboard!$K$7="All",Dashboard!$K$7=E1707)),1,0)</x:f>
        <x:v>1</x:v>
      </x:c>
      <x:c r="S1707" s="2" t="n">
        <x:f>IF(R1707=1,SUM($R$10:R1707),0)</x:f>
        <x:v>1334</x:v>
      </x:c>
      <x:c r="T1707" s="2" t="str">
        <x:v>Design &amp; Insights</x:v>
      </x:c>
      <x:c r="U1707" s="2" t="n">
        <x:v>335</x:v>
      </x:c>
      <x:c r="V1707" s="2" t="n">
        <x:f>IF(AND(M1707=1,P1707=0,ISNUMBER(J1707),J1707&lt;TODAY()),1,0)</x:f>
        <x:v>1</x:v>
      </x:c>
      <x:c r="W1707" s="2" t="str">
        <x:f>'Design &amp; Insights'!M335</x:f>
        <x:v>Task</x:v>
      </x:c>
    </x:row>
    <x:row r="1708" ht="40" customHeight="1">
      <x:c r="A1708" s="3" t="str">
        <x:f>HYPERLINK("#'Design &amp; Insights'!A336","Open")</x:f>
        <x:v>Open</x:v>
      </x:c>
      <x:c r="B1708" s="2" t="str">
        <x:f>'Design &amp; Insights'!B336</x:f>
        <x:v>Cycle 3</x:v>
      </x:c>
      <x:c r="C1708" s="2" t="str">
        <x:f>'Design &amp; Insights'!C336</x:f>
        <x:v>Phase 2</x:v>
      </x:c>
      <x:c r="D1708" s="2" t="str">
        <x:f>'Design &amp; Insights'!D336</x:f>
        <x:v>CSBBO - Banking Ops</x:v>
      </x:c>
      <x:c r="E1708" s="2" t="str">
        <x:v>Design &amp; Insights</x:v>
      </x:c>
      <x:c r="F1708" s="56" t="str">
        <x:f>'Design &amp; Insights'!E336</x:f>
        <x:v>DI.BO.2.1</x:v>
      </x:c>
      <x:c r="G1708" s="14" t="str">
        <x:f>'Design &amp; Insights'!F336</x:f>
        <x:v>Meet regularly with Research to stay informed on progress, findings, and potential enhancement</x:v>
      </x:c>
      <x:c r="H1708" s="2" t="str">
        <x:f>IF('Design &amp; Insights'!G336="","",'Design &amp; Insights'!G336)</x:f>
      </x:c>
      <x:c r="I1708" s="12" t="str">
        <x:f>IF('Design &amp; Insights'!H336="","",'Design &amp; Insights'!H336)</x:f>
      </x:c>
      <x:c r="J1708" s="12" t="n">
        <x:f>IF('Design &amp; Insights'!I336="","",'Design &amp; Insights'!I336)</x:f>
        <x:v>46295</x:v>
      </x:c>
      <x:c r="K1708" s="12" t="str">
        <x:f>IF('Design &amp; Insights'!J336="","",'Design &amp; Insights'!J336)</x:f>
      </x:c>
      <x:c r="L1708" s="2" t="str">
        <x:f>IF('Design &amp; Insights'!K336="","",'Design &amp; Insights'!K336)</x:f>
      </x:c>
      <x:c r="M1708" s="2" t="n">
        <x:f>'Design &amp; Insights'!Q336</x:f>
        <x:v>1</x:v>
      </x:c>
      <x:c r="N1708" s="2" t="str">
        <x:f>'Design &amp; Insights'!L336</x:f>
        <x:v>Not started</x:v>
      </x:c>
      <x:c r="O1708" s="2" t="str">
        <x:f>'Design &amp; Insights'!N336</x:f>
        <x:v>DI.BO.2.1.2026.CY3</x:v>
      </x:c>
      <x:c r="P1708" s="2" t="n">
        <x:f>'Design &amp; Insights'!O336</x:f>
        <x:v>0</x:v>
      </x:c>
      <x:c r="Q1708" s="2" t="n">
        <x:f>SUBTOTAL(103,O1708)</x:f>
        <x:v>1</x:v>
      </x:c>
      <x:c r="R1708" s="2" t="n">
        <x:f>IF(AND(M1708=1,OR(Dashboard!$B$7="All",Dashboard!$B$7='Cycles &amp; Guide'!$C$5),OR(Dashboard!$D$7="All",Dashboard!$D$7=B1708),OR(Dashboard!$F$7="All",Dashboard!$F$7=C1708),OR(Dashboard!$H$7="All",Dashboard!$H$7=D1708),OR(Dashboard!$K$7="All",Dashboard!$K$7=E1708)),1,0)</x:f>
        <x:v>1</x:v>
      </x:c>
      <x:c r="S1708" s="2" t="n">
        <x:f>IF(R1708=1,SUM($R$10:R1708),0)</x:f>
        <x:v>1335</x:v>
      </x:c>
      <x:c r="T1708" s="2" t="str">
        <x:v>Design &amp; Insights</x:v>
      </x:c>
      <x:c r="U1708" s="2" t="n">
        <x:v>336</x:v>
      </x:c>
      <x:c r="V1708" s="2" t="n">
        <x:f>IF(AND(M1708=1,P1708=0,ISNUMBER(J1708),J1708&lt;TODAY()),1,0)</x:f>
        <x:v>0</x:v>
      </x:c>
      <x:c r="W1708" s="2" t="str">
        <x:f>'Design &amp; Insights'!M336</x:f>
        <x:v>Task</x:v>
      </x:c>
    </x:row>
    <x:row r="1709" ht="40" customHeight="1">
      <x:c r="A1709" s="3" t="str">
        <x:f>HYPERLINK("#'Design &amp; Insights'!A337","Open")</x:f>
        <x:v>Open</x:v>
      </x:c>
      <x:c r="B1709" s="2" t="str">
        <x:f>'Design &amp; Insights'!B337</x:f>
        <x:v>Cycle 3</x:v>
      </x:c>
      <x:c r="C1709" s="2" t="str">
        <x:f>'Design &amp; Insights'!C337</x:f>
        <x:v>Phase 2</x:v>
      </x:c>
      <x:c r="D1709" s="2" t="str">
        <x:f>'Design &amp; Insights'!D337</x:f>
        <x:v>CSBBO - Banking Ops</x:v>
      </x:c>
      <x:c r="E1709" s="2" t="str">
        <x:v>Design &amp; Insights</x:v>
      </x:c>
      <x:c r="F1709" s="56" t="str">
        <x:f>'Design &amp; Insights'!E337</x:f>
        <x:v>DI.BO.2.2</x:v>
      </x:c>
      <x:c r="G1709" s="14" t="str">
        <x:f>'Design &amp; Insights'!F337</x:f>
        <x:v>Collaborate with Research on research plan specifics</x:v>
      </x:c>
      <x:c r="H1709" s="2" t="str">
        <x:f>IF('Design &amp; Insights'!G337="","",'Design &amp; Insights'!G337)</x:f>
      </x:c>
      <x:c r="I1709" s="12" t="str">
        <x:f>IF('Design &amp; Insights'!H337="","",'Design &amp; Insights'!H337)</x:f>
      </x:c>
      <x:c r="J1709" s="12" t="n">
        <x:f>IF('Design &amp; Insights'!I337="","",'Design &amp; Insights'!I337)</x:f>
        <x:v>46295</x:v>
      </x:c>
      <x:c r="K1709" s="12" t="str">
        <x:f>IF('Design &amp; Insights'!J337="","",'Design &amp; Insights'!J337)</x:f>
      </x:c>
      <x:c r="L1709" s="2" t="str">
        <x:f>IF('Design &amp; Insights'!K337="","",'Design &amp; Insights'!K337)</x:f>
      </x:c>
      <x:c r="M1709" s="2" t="n">
        <x:f>'Design &amp; Insights'!Q337</x:f>
        <x:v>1</x:v>
      </x:c>
      <x:c r="N1709" s="2" t="str">
        <x:f>'Design &amp; Insights'!L337</x:f>
        <x:v>Not started</x:v>
      </x:c>
      <x:c r="O1709" s="2" t="str">
        <x:f>'Design &amp; Insights'!N337</x:f>
        <x:v>DI.BO.2.2.2026.CY3</x:v>
      </x:c>
      <x:c r="P1709" s="2" t="n">
        <x:f>'Design &amp; Insights'!O337</x:f>
        <x:v>0</x:v>
      </x:c>
      <x:c r="Q1709" s="2" t="n">
        <x:f>SUBTOTAL(103,O1709)</x:f>
        <x:v>1</x:v>
      </x:c>
      <x:c r="R1709" s="2" t="n">
        <x:f>IF(AND(M1709=1,OR(Dashboard!$B$7="All",Dashboard!$B$7='Cycles &amp; Guide'!$C$5),OR(Dashboard!$D$7="All",Dashboard!$D$7=B1709),OR(Dashboard!$F$7="All",Dashboard!$F$7=C1709),OR(Dashboard!$H$7="All",Dashboard!$H$7=D1709),OR(Dashboard!$K$7="All",Dashboard!$K$7=E1709)),1,0)</x:f>
        <x:v>1</x:v>
      </x:c>
      <x:c r="S1709" s="2" t="n">
        <x:f>IF(R1709=1,SUM($R$10:R1709),0)</x:f>
        <x:v>1336</x:v>
      </x:c>
      <x:c r="T1709" s="2" t="str">
        <x:v>Design &amp; Insights</x:v>
      </x:c>
      <x:c r="U1709" s="2" t="n">
        <x:v>337</x:v>
      </x:c>
      <x:c r="V1709" s="2" t="n">
        <x:f>IF(AND(M1709=1,P1709=0,ISNUMBER(J1709),J1709&lt;TODAY()),1,0)</x:f>
        <x:v>0</x:v>
      </x:c>
      <x:c r="W1709" s="2" t="str">
        <x:f>'Design &amp; Insights'!M337</x:f>
        <x:v>Task</x:v>
      </x:c>
    </x:row>
    <x:row r="1710" ht="40" customHeight="1">
      <x:c r="A1710" s="3" t="str">
        <x:f>HYPERLINK("#'Design &amp; Insights'!A338","Open")</x:f>
        <x:v>Open</x:v>
      </x:c>
      <x:c r="B1710" s="2" t="str">
        <x:f>'Design &amp; Insights'!B338</x:f>
        <x:v>Cycle 3</x:v>
      </x:c>
      <x:c r="C1710" s="2" t="str">
        <x:f>'Design &amp; Insights'!C338</x:f>
        <x:v>Phase 2</x:v>
      </x:c>
      <x:c r="D1710" s="2" t="str">
        <x:f>'Design &amp; Insights'!D338</x:f>
        <x:v>CSBBO - Banking Ops</x:v>
      </x:c>
      <x:c r="E1710" s="2" t="str">
        <x:v>Design &amp; Insights</x:v>
      </x:c>
      <x:c r="F1710" s="56" t="str">
        <x:f>'Design &amp; Insights'!E338</x:f>
        <x:v>DI.BO.2.3</x:v>
      </x:c>
      <x:c r="G1710" s="14" t="str">
        <x:f>'Design &amp; Insights'!F338</x:f>
        <x:v>Participate in SME insight meetings to gain perspective and appetite on potential enhancements</x:v>
      </x:c>
      <x:c r="H1710" s="2" t="str">
        <x:f>IF('Design &amp; Insights'!G338="","",'Design &amp; Insights'!G338)</x:f>
      </x:c>
      <x:c r="I1710" s="12" t="str">
        <x:f>IF('Design &amp; Insights'!H338="","",'Design &amp; Insights'!H338)</x:f>
      </x:c>
      <x:c r="J1710" s="12" t="n">
        <x:f>IF('Design &amp; Insights'!I338="","",'Design &amp; Insights'!I338)</x:f>
        <x:v>46295</x:v>
      </x:c>
      <x:c r="K1710" s="12" t="str">
        <x:f>IF('Design &amp; Insights'!J338="","",'Design &amp; Insights'!J338)</x:f>
      </x:c>
      <x:c r="L1710" s="2" t="str">
        <x:f>IF('Design &amp; Insights'!K338="","",'Design &amp; Insights'!K338)</x:f>
      </x:c>
      <x:c r="M1710" s="2" t="n">
        <x:f>'Design &amp; Insights'!Q338</x:f>
        <x:v>1</x:v>
      </x:c>
      <x:c r="N1710" s="2" t="str">
        <x:f>'Design &amp; Insights'!L338</x:f>
        <x:v>Not started</x:v>
      </x:c>
      <x:c r="O1710" s="2" t="str">
        <x:f>'Design &amp; Insights'!N338</x:f>
        <x:v>DI.BO.2.3.2026.CY3</x:v>
      </x:c>
      <x:c r="P1710" s="2" t="n">
        <x:f>'Design &amp; Insights'!O338</x:f>
        <x:v>0</x:v>
      </x:c>
      <x:c r="Q1710" s="2" t="n">
        <x:f>SUBTOTAL(103,O1710)</x:f>
        <x:v>1</x:v>
      </x:c>
      <x:c r="R1710" s="2" t="n">
        <x:f>IF(AND(M1710=1,OR(Dashboard!$B$7="All",Dashboard!$B$7='Cycles &amp; Guide'!$C$5),OR(Dashboard!$D$7="All",Dashboard!$D$7=B1710),OR(Dashboard!$F$7="All",Dashboard!$F$7=C1710),OR(Dashboard!$H$7="All",Dashboard!$H$7=D1710),OR(Dashboard!$K$7="All",Dashboard!$K$7=E1710)),1,0)</x:f>
        <x:v>1</x:v>
      </x:c>
      <x:c r="S1710" s="2" t="n">
        <x:f>IF(R1710=1,SUM($R$10:R1710),0)</x:f>
        <x:v>1337</x:v>
      </x:c>
      <x:c r="T1710" s="2" t="str">
        <x:v>Design &amp; Insights</x:v>
      </x:c>
      <x:c r="U1710" s="2" t="n">
        <x:v>338</x:v>
      </x:c>
      <x:c r="V1710" s="2" t="n">
        <x:f>IF(AND(M1710=1,P1710=0,ISNUMBER(J1710),J1710&lt;TODAY()),1,0)</x:f>
        <x:v>0</x:v>
      </x:c>
      <x:c r="W1710" s="2" t="str">
        <x:f>'Design &amp; Insights'!M338</x:f>
        <x:v>Task</x:v>
      </x:c>
    </x:row>
    <x:row r="1711" ht="40" customHeight="1">
      <x:c r="A1711" s="3" t="str">
        <x:f>HYPERLINK("#'Design &amp; Insights'!A339","Open")</x:f>
        <x:v>Open</x:v>
      </x:c>
      <x:c r="B1711" s="2" t="str">
        <x:f>'Design &amp; Insights'!B339</x:f>
        <x:v>Cycle 3</x:v>
      </x:c>
      <x:c r="C1711" s="2" t="str">
        <x:f>'Design &amp; Insights'!C339</x:f>
        <x:v>Phase 2</x:v>
      </x:c>
      <x:c r="D1711" s="2" t="str">
        <x:f>'Design &amp; Insights'!D339</x:f>
        <x:v>CSBBO - Banking Ops</x:v>
      </x:c>
      <x:c r="E1711" s="2" t="str">
        <x:v>Design &amp; Insights</x:v>
      </x:c>
      <x:c r="F1711" s="56" t="str">
        <x:f>'Design &amp; Insights'!E339</x:f>
        <x:v>DI.BO.2.4</x:v>
      </x:c>
      <x:c r="G1711" s="14" t="str">
        <x:f>'Design &amp; Insights'!F339</x:f>
        <x:v>Begin development of presentation materials as Research is being completed</x:v>
      </x:c>
      <x:c r="H1711" s="2" t="str">
        <x:f>IF('Design &amp; Insights'!G339="","",'Design &amp; Insights'!G339)</x:f>
      </x:c>
      <x:c r="I1711" s="12" t="str">
        <x:f>IF('Design &amp; Insights'!H339="","",'Design &amp; Insights'!H339)</x:f>
      </x:c>
      <x:c r="J1711" s="12" t="n">
        <x:f>IF('Design &amp; Insights'!I339="","",'Design &amp; Insights'!I339)</x:f>
        <x:v>46295</x:v>
      </x:c>
      <x:c r="K1711" s="12" t="str">
        <x:f>IF('Design &amp; Insights'!J339="","",'Design &amp; Insights'!J339)</x:f>
      </x:c>
      <x:c r="L1711" s="2" t="str">
        <x:f>IF('Design &amp; Insights'!K339="","",'Design &amp; Insights'!K339)</x:f>
      </x:c>
      <x:c r="M1711" s="2" t="n">
        <x:f>'Design &amp; Insights'!Q339</x:f>
        <x:v>1</x:v>
      </x:c>
      <x:c r="N1711" s="2" t="str">
        <x:f>'Design &amp; Insights'!L339</x:f>
        <x:v>Not started</x:v>
      </x:c>
      <x:c r="O1711" s="2" t="str">
        <x:f>'Design &amp; Insights'!N339</x:f>
        <x:v>DI.BO.2.4.2026.CY3</x:v>
      </x:c>
      <x:c r="P1711" s="2" t="n">
        <x:f>'Design &amp; Insights'!O339</x:f>
        <x:v>0</x:v>
      </x:c>
      <x:c r="Q1711" s="2" t="n">
        <x:f>SUBTOTAL(103,O1711)</x:f>
        <x:v>1</x:v>
      </x:c>
      <x:c r="R1711" s="2" t="n">
        <x:f>IF(AND(M1711=1,OR(Dashboard!$B$7="All",Dashboard!$B$7='Cycles &amp; Guide'!$C$5),OR(Dashboard!$D$7="All",Dashboard!$D$7=B1711),OR(Dashboard!$F$7="All",Dashboard!$F$7=C1711),OR(Dashboard!$H$7="All",Dashboard!$H$7=D1711),OR(Dashboard!$K$7="All",Dashboard!$K$7=E1711)),1,0)</x:f>
        <x:v>1</x:v>
      </x:c>
      <x:c r="S1711" s="2" t="n">
        <x:f>IF(R1711=1,SUM($R$10:R1711),0)</x:f>
        <x:v>1338</x:v>
      </x:c>
      <x:c r="T1711" s="2" t="str">
        <x:v>Design &amp; Insights</x:v>
      </x:c>
      <x:c r="U1711" s="2" t="n">
        <x:v>339</x:v>
      </x:c>
      <x:c r="V1711" s="2" t="n">
        <x:f>IF(AND(M1711=1,P1711=0,ISNUMBER(J1711),J1711&lt;TODAY()),1,0)</x:f>
        <x:v>0</x:v>
      </x:c>
      <x:c r="W1711" s="2" t="str">
        <x:f>'Design &amp; Insights'!M339</x:f>
        <x:v>Task</x:v>
      </x:c>
    </x:row>
    <x:row r="1712" ht="40" customHeight="1">
      <x:c r="A1712" s="3" t="str">
        <x:f>HYPERLINK("#'Design &amp; Insights'!A340","Open")</x:f>
        <x:v>Open</x:v>
      </x:c>
      <x:c r="B1712" s="2" t="str">
        <x:f>'Design &amp; Insights'!B340</x:f>
        <x:v>Cycle 3</x:v>
      </x:c>
      <x:c r="C1712" s="2" t="str">
        <x:f>'Design &amp; Insights'!C340</x:f>
        <x:v>Phase 2</x:v>
      </x:c>
      <x:c r="D1712" s="2" t="str">
        <x:f>'Design &amp; Insights'!D340</x:f>
        <x:v>CSBBO - Banking Ops</x:v>
      </x:c>
      <x:c r="E1712" s="2" t="str">
        <x:v>Design &amp; Insights</x:v>
      </x:c>
      <x:c r="F1712" s="56" t="str">
        <x:f>'Design &amp; Insights'!E340</x:f>
        <x:v>DI.BO.2.5</x:v>
      </x:c>
      <x:c r="G1712" s="14" t="str">
        <x:f>'Design &amp; Insights'!F340</x:f>
        <x:v>Draft initial enhancement recommendations (as applicable)</x:v>
      </x:c>
      <x:c r="H1712" s="2" t="str">
        <x:f>IF('Design &amp; Insights'!G340="","",'Design &amp; Insights'!G340)</x:f>
      </x:c>
      <x:c r="I1712" s="12" t="str">
        <x:f>IF('Design &amp; Insights'!H340="","",'Design &amp; Insights'!H340)</x:f>
      </x:c>
      <x:c r="J1712" s="12" t="n">
        <x:f>IF('Design &amp; Insights'!I340="","",'Design &amp; Insights'!I340)</x:f>
        <x:v>46295</x:v>
      </x:c>
      <x:c r="K1712" s="12" t="str">
        <x:f>IF('Design &amp; Insights'!J340="","",'Design &amp; Insights'!J340)</x:f>
      </x:c>
      <x:c r="L1712" s="2" t="str">
        <x:f>IF('Design &amp; Insights'!K340="","",'Design &amp; Insights'!K340)</x:f>
      </x:c>
      <x:c r="M1712" s="2" t="n">
        <x:f>'Design &amp; Insights'!Q340</x:f>
        <x:v>1</x:v>
      </x:c>
      <x:c r="N1712" s="2" t="str">
        <x:f>'Design &amp; Insights'!L340</x:f>
        <x:v>Not started</x:v>
      </x:c>
      <x:c r="O1712" s="2" t="str">
        <x:f>'Design &amp; Insights'!N340</x:f>
        <x:v>DI.BO.2.5.2026.CY3</x:v>
      </x:c>
      <x:c r="P1712" s="2" t="n">
        <x:f>'Design &amp; Insights'!O340</x:f>
        <x:v>0</x:v>
      </x:c>
      <x:c r="Q1712" s="2" t="n">
        <x:f>SUBTOTAL(103,O1712)</x:f>
        <x:v>1</x:v>
      </x:c>
      <x:c r="R1712" s="2" t="n">
        <x:f>IF(AND(M1712=1,OR(Dashboard!$B$7="All",Dashboard!$B$7='Cycles &amp; Guide'!$C$5),OR(Dashboard!$D$7="All",Dashboard!$D$7=B1712),OR(Dashboard!$F$7="All",Dashboard!$F$7=C1712),OR(Dashboard!$H$7="All",Dashboard!$H$7=D1712),OR(Dashboard!$K$7="All",Dashboard!$K$7=E1712)),1,0)</x:f>
        <x:v>1</x:v>
      </x:c>
      <x:c r="S1712" s="2" t="n">
        <x:f>IF(R1712=1,SUM($R$10:R1712),0)</x:f>
        <x:v>1339</x:v>
      </x:c>
      <x:c r="T1712" s="2" t="str">
        <x:v>Design &amp; Insights</x:v>
      </x:c>
      <x:c r="U1712" s="2" t="n">
        <x:v>340</x:v>
      </x:c>
      <x:c r="V1712" s="2" t="n">
        <x:f>IF(AND(M1712=1,P1712=0,ISNUMBER(J1712),J1712&lt;TODAY()),1,0)</x:f>
        <x:v>0</x:v>
      </x:c>
      <x:c r="W1712" s="2" t="str">
        <x:f>'Design &amp; Insights'!M340</x:f>
        <x:v>Task</x:v>
      </x:c>
    </x:row>
    <x:row r="1713" ht="40" customHeight="1">
      <x:c r="A1713" s="3" t="str">
        <x:f>HYPERLINK("#'Design &amp; Insights'!A341","Open")</x:f>
        <x:v>Open</x:v>
      </x:c>
      <x:c r="B1713" s="2" t="str">
        <x:f>'Design &amp; Insights'!B341</x:f>
        <x:v>Cycle 3</x:v>
      </x:c>
      <x:c r="C1713" s="2" t="str">
        <x:f>'Design &amp; Insights'!C341</x:f>
        <x:v>Phase 2</x:v>
      </x:c>
      <x:c r="D1713" s="2" t="str">
        <x:f>'Design &amp; Insights'!D341</x:f>
        <x:v>CSBBO - Banking Ops</x:v>
      </x:c>
      <x:c r="E1713" s="2" t="str">
        <x:v>Design &amp; Insights</x:v>
      </x:c>
      <x:c r="F1713" s="56" t="str">
        <x:f>'Design &amp; Insights'!E341</x:f>
        <x:v>DI.BO.2.6</x:v>
      </x:c>
      <x:c r="G1713" s="14" t="str">
        <x:f>'Design &amp; Insights'!F341</x:f>
        <x:v>Finalize presentation deck draft at conclusion of Research phase</x:v>
      </x:c>
      <x:c r="H1713" s="2" t="str">
        <x:f>IF('Design &amp; Insights'!G341="","",'Design &amp; Insights'!G341)</x:f>
      </x:c>
      <x:c r="I1713" s="12" t="str">
        <x:f>IF('Design &amp; Insights'!H341="","",'Design &amp; Insights'!H341)</x:f>
      </x:c>
      <x:c r="J1713" s="12" t="n">
        <x:f>IF('Design &amp; Insights'!I341="","",'Design &amp; Insights'!I341)</x:f>
        <x:v>46295</x:v>
      </x:c>
      <x:c r="K1713" s="12" t="str">
        <x:f>IF('Design &amp; Insights'!J341="","",'Design &amp; Insights'!J341)</x:f>
      </x:c>
      <x:c r="L1713" s="2" t="str">
        <x:f>IF('Design &amp; Insights'!K341="","",'Design &amp; Insights'!K341)</x:f>
      </x:c>
      <x:c r="M1713" s="2" t="n">
        <x:f>'Design &amp; Insights'!Q341</x:f>
        <x:v>1</x:v>
      </x:c>
      <x:c r="N1713" s="2" t="str">
        <x:f>'Design &amp; Insights'!L341</x:f>
        <x:v>Not started</x:v>
      </x:c>
      <x:c r="O1713" s="2" t="str">
        <x:f>'Design &amp; Insights'!N341</x:f>
        <x:v>DI.BO.2.6.2026.CY3</x:v>
      </x:c>
      <x:c r="P1713" s="2" t="n">
        <x:f>'Design &amp; Insights'!O341</x:f>
        <x:v>0</x:v>
      </x:c>
      <x:c r="Q1713" s="2" t="n">
        <x:f>SUBTOTAL(103,O1713)</x:f>
        <x:v>1</x:v>
      </x:c>
      <x:c r="R1713" s="2" t="n">
        <x:f>IF(AND(M1713=1,OR(Dashboard!$B$7="All",Dashboard!$B$7='Cycles &amp; Guide'!$C$5),OR(Dashboard!$D$7="All",Dashboard!$D$7=B1713),OR(Dashboard!$F$7="All",Dashboard!$F$7=C1713),OR(Dashboard!$H$7="All",Dashboard!$H$7=D1713),OR(Dashboard!$K$7="All",Dashboard!$K$7=E1713)),1,0)</x:f>
        <x:v>1</x:v>
      </x:c>
      <x:c r="S1713" s="2" t="n">
        <x:f>IF(R1713=1,SUM($R$10:R1713),0)</x:f>
        <x:v>1340</x:v>
      </x:c>
      <x:c r="T1713" s="2" t="str">
        <x:v>Design &amp; Insights</x:v>
      </x:c>
      <x:c r="U1713" s="2" t="n">
        <x:v>341</x:v>
      </x:c>
      <x:c r="V1713" s="2" t="n">
        <x:f>IF(AND(M1713=1,P1713=0,ISNUMBER(J1713),J1713&lt;TODAY()),1,0)</x:f>
        <x:v>0</x:v>
      </x:c>
      <x:c r="W1713" s="2" t="str">
        <x:f>'Design &amp; Insights'!M341</x:f>
        <x:v>Task</x:v>
      </x:c>
    </x:row>
    <x:row r="1714" ht="40" customHeight="1">
      <x:c r="A1714" s="3" t="str">
        <x:f>HYPERLINK("#'Design &amp; Insights'!A342","Open")</x:f>
        <x:v>Open</x:v>
      </x:c>
      <x:c r="B1714" s="2" t="str">
        <x:f>'Design &amp; Insights'!B342</x:f>
        <x:v>Cycle 3</x:v>
      </x:c>
      <x:c r="C1714" s="2" t="str">
        <x:f>'Design &amp; Insights'!C342</x:f>
        <x:v>Phase 2</x:v>
      </x:c>
      <x:c r="D1714" s="2" t="str">
        <x:f>'Design &amp; Insights'!D342</x:f>
        <x:v>CSBBO - Banking Ops</x:v>
      </x:c>
      <x:c r="E1714" s="2" t="str">
        <x:v>Design &amp; Insights</x:v>
      </x:c>
      <x:c r="F1714" s="56" t="str">
        <x:f>'Design &amp; Insights'!E342</x:f>
        <x:v>DI.BO.2.7</x:v>
      </x:c>
      <x:c r="G1714" s="14" t="str">
        <x:f>'Design &amp; Insights'!F342</x:f>
        <x:v>Update Outcome portion of research plan with current enhancement verbiage (as needed)</x:v>
      </x:c>
      <x:c r="H1714" s="2" t="str">
        <x:f>IF('Design &amp; Insights'!G342="","",'Design &amp; Insights'!G342)</x:f>
      </x:c>
      <x:c r="I1714" s="12" t="str">
        <x:f>IF('Design &amp; Insights'!H342="","",'Design &amp; Insights'!H342)</x:f>
      </x:c>
      <x:c r="J1714" s="12" t="n">
        <x:f>IF('Design &amp; Insights'!I342="","",'Design &amp; Insights'!I342)</x:f>
        <x:v>46295</x:v>
      </x:c>
      <x:c r="K1714" s="12" t="str">
        <x:f>IF('Design &amp; Insights'!J342="","",'Design &amp; Insights'!J342)</x:f>
      </x:c>
      <x:c r="L1714" s="2" t="str">
        <x:f>IF('Design &amp; Insights'!K342="","",'Design &amp; Insights'!K342)</x:f>
      </x:c>
      <x:c r="M1714" s="2" t="n">
        <x:f>'Design &amp; Insights'!Q342</x:f>
        <x:v>1</x:v>
      </x:c>
      <x:c r="N1714" s="2" t="str">
        <x:f>'Design &amp; Insights'!L342</x:f>
        <x:v>Not started</x:v>
      </x:c>
      <x:c r="O1714" s="2" t="str">
        <x:f>'Design &amp; Insights'!N342</x:f>
        <x:v>DI.BO.2.7.2026.CY3</x:v>
      </x:c>
      <x:c r="P1714" s="2" t="n">
        <x:f>'Design &amp; Insights'!O342</x:f>
        <x:v>0</x:v>
      </x:c>
      <x:c r="Q1714" s="2" t="n">
        <x:f>SUBTOTAL(103,O1714)</x:f>
        <x:v>1</x:v>
      </x:c>
      <x:c r="R1714" s="2" t="n">
        <x:f>IF(AND(M1714=1,OR(Dashboard!$B$7="All",Dashboard!$B$7='Cycles &amp; Guide'!$C$5),OR(Dashboard!$D$7="All",Dashboard!$D$7=B1714),OR(Dashboard!$F$7="All",Dashboard!$F$7=C1714),OR(Dashboard!$H$7="All",Dashboard!$H$7=D1714),OR(Dashboard!$K$7="All",Dashboard!$K$7=E1714)),1,0)</x:f>
        <x:v>1</x:v>
      </x:c>
      <x:c r="S1714" s="2" t="n">
        <x:f>IF(R1714=1,SUM($R$10:R1714),0)</x:f>
        <x:v>1341</x:v>
      </x:c>
      <x:c r="T1714" s="2" t="str">
        <x:v>Design &amp; Insights</x:v>
      </x:c>
      <x:c r="U1714" s="2" t="n">
        <x:v>342</x:v>
      </x:c>
      <x:c r="V1714" s="2" t="n">
        <x:f>IF(AND(M1714=1,P1714=0,ISNUMBER(J1714),J1714&lt;TODAY()),1,0)</x:f>
        <x:v>0</x:v>
      </x:c>
      <x:c r="W1714" s="2" t="str">
        <x:f>'Design &amp; Insights'!M342</x:f>
        <x:v>Task</x:v>
      </x:c>
    </x:row>
    <x:row r="1715" ht="40" customHeight="1">
      <x:c r="A1715" s="3" t="str">
        <x:f>HYPERLINK("#'Design &amp; Insights'!A343","Open")</x:f>
        <x:v>Open</x:v>
      </x:c>
      <x:c r="B1715" s="2" t="str">
        <x:f>'Design &amp; Insights'!B343</x:f>
        <x:v>Cycle 3</x:v>
      </x:c>
      <x:c r="C1715" s="2" t="str">
        <x:f>'Design &amp; Insights'!C343</x:f>
        <x:v>Phase 3</x:v>
      </x:c>
      <x:c r="D1715" s="2" t="str">
        <x:f>'Design &amp; Insights'!D343</x:f>
        <x:v>CSBBO - Banking Ops</x:v>
      </x:c>
      <x:c r="E1715" s="2" t="str">
        <x:v>Design &amp; Insights</x:v>
      </x:c>
      <x:c r="F1715" s="56" t="str">
        <x:f>'Design &amp; Insights'!E343</x:f>
        <x:v>DI.BO.3.1</x:v>
      </x:c>
      <x:c r="G1715" s="14" t="str">
        <x:f>'Design &amp; Insights'!F343</x:f>
        <x:v>Confirm list of required &amp; optional attendees for pre-socialization meeting</x:v>
      </x:c>
      <x:c r="H1715" s="2" t="str">
        <x:f>IF('Design &amp; Insights'!G343="","",'Design &amp; Insights'!G343)</x:f>
      </x:c>
      <x:c r="I1715" s="12" t="str">
        <x:f>IF('Design &amp; Insights'!H343="","",'Design &amp; Insights'!H343)</x:f>
      </x:c>
      <x:c r="J1715" s="12" t="n">
        <x:f>IF('Design &amp; Insights'!I343="","",'Design &amp; Insights'!I343)</x:f>
        <x:v>46295</x:v>
      </x:c>
      <x:c r="K1715" s="12" t="str">
        <x:f>IF('Design &amp; Insights'!J343="","",'Design &amp; Insights'!J343)</x:f>
      </x:c>
      <x:c r="L1715" s="2" t="str">
        <x:f>IF('Design &amp; Insights'!K343="","",'Design &amp; Insights'!K343)</x:f>
      </x:c>
      <x:c r="M1715" s="2" t="n">
        <x:f>'Design &amp; Insights'!Q343</x:f>
        <x:v>1</x:v>
      </x:c>
      <x:c r="N1715" s="2" t="str">
        <x:f>'Design &amp; Insights'!L343</x:f>
        <x:v>Not started</x:v>
      </x:c>
      <x:c r="O1715" s="2" t="str">
        <x:f>'Design &amp; Insights'!N343</x:f>
        <x:v>DI.BO.3.1.2026.CY3</x:v>
      </x:c>
      <x:c r="P1715" s="2" t="n">
        <x:f>'Design &amp; Insights'!O343</x:f>
        <x:v>0</x:v>
      </x:c>
      <x:c r="Q1715" s="2" t="n">
        <x:f>SUBTOTAL(103,O1715)</x:f>
        <x:v>1</x:v>
      </x:c>
      <x:c r="R1715" s="2" t="n">
        <x:f>IF(AND(M1715=1,OR(Dashboard!$B$7="All",Dashboard!$B$7='Cycles &amp; Guide'!$C$5),OR(Dashboard!$D$7="All",Dashboard!$D$7=B1715),OR(Dashboard!$F$7="All",Dashboard!$F$7=C1715),OR(Dashboard!$H$7="All",Dashboard!$H$7=D1715),OR(Dashboard!$K$7="All",Dashboard!$K$7=E1715)),1,0)</x:f>
        <x:v>1</x:v>
      </x:c>
      <x:c r="S1715" s="2" t="n">
        <x:f>IF(R1715=1,SUM($R$10:R1715),0)</x:f>
        <x:v>1342</x:v>
      </x:c>
      <x:c r="T1715" s="2" t="str">
        <x:v>Design &amp; Insights</x:v>
      </x:c>
      <x:c r="U1715" s="2" t="n">
        <x:v>343</x:v>
      </x:c>
      <x:c r="V1715" s="2" t="n">
        <x:f>IF(AND(M1715=1,P1715=0,ISNUMBER(J1715),J1715&lt;TODAY()),1,0)</x:f>
        <x:v>0</x:v>
      </x:c>
      <x:c r="W1715" s="2" t="str">
        <x:f>'Design &amp; Insights'!M343</x:f>
        <x:v>Task</x:v>
      </x:c>
    </x:row>
    <x:row r="1716" ht="40" customHeight="1">
      <x:c r="A1716" s="3" t="str">
        <x:f>HYPERLINK("#'Design &amp; Insights'!A344","Open")</x:f>
        <x:v>Open</x:v>
      </x:c>
      <x:c r="B1716" s="2" t="str">
        <x:f>'Design &amp; Insights'!B344</x:f>
        <x:v>Cycle 3</x:v>
      </x:c>
      <x:c r="C1716" s="2" t="str">
        <x:f>'Design &amp; Insights'!C344</x:f>
        <x:v>Phase 3</x:v>
      </x:c>
      <x:c r="D1716" s="2" t="str">
        <x:f>'Design &amp; Insights'!D344</x:f>
        <x:v>CSBBO - Banking Ops</x:v>
      </x:c>
      <x:c r="E1716" s="2" t="str">
        <x:v>Design &amp; Insights</x:v>
      </x:c>
      <x:c r="F1716" s="56" t="str">
        <x:f>'Design &amp; Insights'!E344</x:f>
        <x:v>DI.BO.3.2</x:v>
      </x:c>
      <x:c r="G1716" s="14" t="str">
        <x:f>'Design &amp; Insights'!F344</x:f>
        <x:v>Schedule pre-socialization meeting 1 week prior to RCA Forum</x:v>
      </x:c>
      <x:c r="H1716" s="2" t="str">
        <x:f>IF('Design &amp; Insights'!G344="","",'Design &amp; Insights'!G344)</x:f>
      </x:c>
      <x:c r="I1716" s="12" t="str">
        <x:f>IF('Design &amp; Insights'!H344="","",'Design &amp; Insights'!H344)</x:f>
      </x:c>
      <x:c r="J1716" s="12" t="str">
        <x:f>IF('Design &amp; Insights'!I344="","",'Design &amp; Insights'!I344)</x:f>
      </x:c>
      <x:c r="K1716" s="12" t="str">
        <x:f>IF('Design &amp; Insights'!J344="","",'Design &amp; Insights'!J344)</x:f>
      </x:c>
      <x:c r="L1716" s="2" t="str">
        <x:f>IF('Design &amp; Insights'!K344="","",'Design &amp; Insights'!K344)</x:f>
      </x:c>
      <x:c r="M1716" s="2" t="n">
        <x:f>'Design &amp; Insights'!Q344</x:f>
        <x:v>1</x:v>
      </x:c>
      <x:c r="N1716" s="2" t="str">
        <x:f>'Design &amp; Insights'!L344</x:f>
        <x:v>Not started</x:v>
      </x:c>
      <x:c r="O1716" s="2" t="str">
        <x:f>'Design &amp; Insights'!N344</x:f>
        <x:v>DI.BO.3.2.2026.CY3</x:v>
      </x:c>
      <x:c r="P1716" s="2" t="n">
        <x:f>'Design &amp; Insights'!O344</x:f>
        <x:v>0</x:v>
      </x:c>
      <x:c r="Q1716" s="2" t="n">
        <x:f>SUBTOTAL(103,O1716)</x:f>
        <x:v>1</x:v>
      </x:c>
      <x:c r="R1716" s="2" t="n">
        <x:f>IF(AND(M1716=1,OR(Dashboard!$B$7="All",Dashboard!$B$7='Cycles &amp; Guide'!$C$5),OR(Dashboard!$D$7="All",Dashboard!$D$7=B1716),OR(Dashboard!$F$7="All",Dashboard!$F$7=C1716),OR(Dashboard!$H$7="All",Dashboard!$H$7=D1716),OR(Dashboard!$K$7="All",Dashboard!$K$7=E1716)),1,0)</x:f>
        <x:v>1</x:v>
      </x:c>
      <x:c r="S1716" s="2" t="n">
        <x:f>IF(R1716=1,SUM($R$10:R1716),0)</x:f>
        <x:v>1343</x:v>
      </x:c>
      <x:c r="T1716" s="2" t="str">
        <x:v>Design &amp; Insights</x:v>
      </x:c>
      <x:c r="U1716" s="2" t="n">
        <x:v>344</x:v>
      </x:c>
      <x:c r="V1716" s="2" t="n">
        <x:f>IF(AND(M1716=1,P1716=0,ISNUMBER(J1716),J1716&lt;TODAY()),1,0)</x:f>
        <x:v>0</x:v>
      </x:c>
      <x:c r="W1716" s="2" t="str">
        <x:f>'Design &amp; Insights'!M344</x:f>
        <x:v>Task</x:v>
      </x:c>
    </x:row>
    <x:row r="1717" ht="40" customHeight="1">
      <x:c r="A1717" s="3" t="str">
        <x:f>HYPERLINK("#'Design &amp; Insights'!A345","Open")</x:f>
        <x:v>Open</x:v>
      </x:c>
      <x:c r="B1717" s="2" t="str">
        <x:f>'Design &amp; Insights'!B345</x:f>
        <x:v>Cycle 3</x:v>
      </x:c>
      <x:c r="C1717" s="2" t="str">
        <x:f>'Design &amp; Insights'!C345</x:f>
        <x:v>Phase 3</x:v>
      </x:c>
      <x:c r="D1717" s="2" t="str">
        <x:f>'Design &amp; Insights'!D345</x:f>
        <x:v>CSBBO - Banking Ops</x:v>
      </x:c>
      <x:c r="E1717" s="2" t="str">
        <x:v>Design &amp; Insights</x:v>
      </x:c>
      <x:c r="F1717" s="56" t="str">
        <x:f>'Design &amp; Insights'!E345</x:f>
        <x:v>DI.BO.3.3</x:v>
      </x:c>
      <x:c r="G1717" s="14" t="str">
        <x:f>'Design &amp; Insights'!F345</x:f>
        <x:v>Present findings, conclusions, and recommendation to SMEs</x:v>
      </x:c>
      <x:c r="H1717" s="2" t="str">
        <x:f>IF('Design &amp; Insights'!G345="","",'Design &amp; Insights'!G345)</x:f>
      </x:c>
      <x:c r="I1717" s="12" t="str">
        <x:f>IF('Design &amp; Insights'!H345="","",'Design &amp; Insights'!H345)</x:f>
      </x:c>
      <x:c r="J1717" s="12" t="n">
        <x:f>IF('Design &amp; Insights'!I345="","",'Design &amp; Insights'!I345)</x:f>
        <x:v>46295</x:v>
      </x:c>
      <x:c r="K1717" s="12" t="str">
        <x:f>IF('Design &amp; Insights'!J345="","",'Design &amp; Insights'!J345)</x:f>
      </x:c>
      <x:c r="L1717" s="2" t="str">
        <x:f>IF('Design &amp; Insights'!K345="","",'Design &amp; Insights'!K345)</x:f>
      </x:c>
      <x:c r="M1717" s="2" t="n">
        <x:f>'Design &amp; Insights'!Q345</x:f>
        <x:v>1</x:v>
      </x:c>
      <x:c r="N1717" s="2" t="str">
        <x:f>'Design &amp; Insights'!L345</x:f>
        <x:v>Not started</x:v>
      </x:c>
      <x:c r="O1717" s="2" t="str">
        <x:f>'Design &amp; Insights'!N345</x:f>
        <x:v>DI.BO.3.3.2026.CY3</x:v>
      </x:c>
      <x:c r="P1717" s="2" t="n">
        <x:f>'Design &amp; Insights'!O345</x:f>
        <x:v>0</x:v>
      </x:c>
      <x:c r="Q1717" s="2" t="n">
        <x:f>SUBTOTAL(103,O1717)</x:f>
        <x:v>1</x:v>
      </x:c>
      <x:c r="R1717" s="2" t="n">
        <x:f>IF(AND(M1717=1,OR(Dashboard!$B$7="All",Dashboard!$B$7='Cycles &amp; Guide'!$C$5),OR(Dashboard!$D$7="All",Dashboard!$D$7=B1717),OR(Dashboard!$F$7="All",Dashboard!$F$7=C1717),OR(Dashboard!$H$7="All",Dashboard!$H$7=D1717),OR(Dashboard!$K$7="All",Dashboard!$K$7=E1717)),1,0)</x:f>
        <x:v>1</x:v>
      </x:c>
      <x:c r="S1717" s="2" t="n">
        <x:f>IF(R1717=1,SUM($R$10:R1717),0)</x:f>
        <x:v>1344</x:v>
      </x:c>
      <x:c r="T1717" s="2" t="str">
        <x:v>Design &amp; Insights</x:v>
      </x:c>
      <x:c r="U1717" s="2" t="n">
        <x:v>345</x:v>
      </x:c>
      <x:c r="V1717" s="2" t="n">
        <x:f>IF(AND(M1717=1,P1717=0,ISNUMBER(J1717),J1717&lt;TODAY()),1,0)</x:f>
        <x:v>0</x:v>
      </x:c>
      <x:c r="W1717" s="2" t="str">
        <x:f>'Design &amp; Insights'!M345</x:f>
        <x:v>Task</x:v>
      </x:c>
    </x:row>
    <x:row r="1718" ht="40" customHeight="1">
      <x:c r="A1718" s="3" t="str">
        <x:f>HYPERLINK("#'Design &amp; Insights'!A346","Open")</x:f>
        <x:v>Open</x:v>
      </x:c>
      <x:c r="B1718" s="2" t="str">
        <x:f>'Design &amp; Insights'!B346</x:f>
        <x:v>Cycle 3</x:v>
      </x:c>
      <x:c r="C1718" s="2" t="str">
        <x:f>'Design &amp; Insights'!C346</x:f>
        <x:v>Phase 3</x:v>
      </x:c>
      <x:c r="D1718" s="2" t="str">
        <x:f>'Design &amp; Insights'!D346</x:f>
        <x:v>CSBBO - Banking Ops</x:v>
      </x:c>
      <x:c r="E1718" s="2" t="str">
        <x:v>Design &amp; Insights</x:v>
      </x:c>
      <x:c r="F1718" s="56" t="str">
        <x:f>'Design &amp; Insights'!E346</x:f>
        <x:v>DI.BO.3.4</x:v>
      </x:c>
      <x:c r="G1718" s="14" t="str">
        <x:f>'Design &amp; Insights'!F346</x:f>
        <x:v>Update Outcome portion of research plan (as needed)</x:v>
      </x:c>
      <x:c r="H1718" s="2" t="str">
        <x:f>IF('Design &amp; Insights'!G346="","",'Design &amp; Insights'!G346)</x:f>
      </x:c>
      <x:c r="I1718" s="12" t="str">
        <x:f>IF('Design &amp; Insights'!H346="","",'Design &amp; Insights'!H346)</x:f>
      </x:c>
      <x:c r="J1718" s="12" t="n">
        <x:f>IF('Design &amp; Insights'!I346="","",'Design &amp; Insights'!I346)</x:f>
        <x:v>46295</x:v>
      </x:c>
      <x:c r="K1718" s="12" t="str">
        <x:f>IF('Design &amp; Insights'!J346="","",'Design &amp; Insights'!J346)</x:f>
      </x:c>
      <x:c r="L1718" s="2" t="str">
        <x:f>IF('Design &amp; Insights'!K346="","",'Design &amp; Insights'!K346)</x:f>
      </x:c>
      <x:c r="M1718" s="2" t="n">
        <x:f>'Design &amp; Insights'!Q346</x:f>
        <x:v>1</x:v>
      </x:c>
      <x:c r="N1718" s="2" t="str">
        <x:f>'Design &amp; Insights'!L346</x:f>
        <x:v>Not started</x:v>
      </x:c>
      <x:c r="O1718" s="2" t="str">
        <x:f>'Design &amp; Insights'!N346</x:f>
        <x:v>DI.BO.3.4.2026.CY3</x:v>
      </x:c>
      <x:c r="P1718" s="2" t="n">
        <x:f>'Design &amp; Insights'!O346</x:f>
        <x:v>0</x:v>
      </x:c>
      <x:c r="Q1718" s="2" t="n">
        <x:f>SUBTOTAL(103,O1718)</x:f>
        <x:v>1</x:v>
      </x:c>
      <x:c r="R1718" s="2" t="n">
        <x:f>IF(AND(M1718=1,OR(Dashboard!$B$7="All",Dashboard!$B$7='Cycles &amp; Guide'!$C$5),OR(Dashboard!$D$7="All",Dashboard!$D$7=B1718),OR(Dashboard!$F$7="All",Dashboard!$F$7=C1718),OR(Dashboard!$H$7="All",Dashboard!$H$7=D1718),OR(Dashboard!$K$7="All",Dashboard!$K$7=E1718)),1,0)</x:f>
        <x:v>1</x:v>
      </x:c>
      <x:c r="S1718" s="2" t="n">
        <x:f>IF(R1718=1,SUM($R$10:R1718),0)</x:f>
        <x:v>1345</x:v>
      </x:c>
      <x:c r="T1718" s="2" t="str">
        <x:v>Design &amp; Insights</x:v>
      </x:c>
      <x:c r="U1718" s="2" t="n">
        <x:v>346</x:v>
      </x:c>
      <x:c r="V1718" s="2" t="n">
        <x:f>IF(AND(M1718=1,P1718=0,ISNUMBER(J1718),J1718&lt;TODAY()),1,0)</x:f>
        <x:v>0</x:v>
      </x:c>
      <x:c r="W1718" s="2" t="str">
        <x:f>'Design &amp; Insights'!M346</x:f>
        <x:v>Task</x:v>
      </x:c>
    </x:row>
    <x:row r="1719" ht="40" customHeight="1">
      <x:c r="A1719" s="3" t="str">
        <x:f>HYPERLINK("#'Design &amp; Insights'!A347","Open")</x:f>
        <x:v>Open</x:v>
      </x:c>
      <x:c r="B1719" s="2" t="str">
        <x:f>'Design &amp; Insights'!B347</x:f>
        <x:v>Cycle 3</x:v>
      </x:c>
      <x:c r="C1719" s="2" t="str">
        <x:f>'Design &amp; Insights'!C347</x:f>
        <x:v>Phase 3</x:v>
      </x:c>
      <x:c r="D1719" s="2" t="str">
        <x:f>'Design &amp; Insights'!D347</x:f>
        <x:v>CSBBO - Banking Ops</x:v>
      </x:c>
      <x:c r="E1719" s="2" t="str">
        <x:v>Design &amp; Insights</x:v>
      </x:c>
      <x:c r="F1719" s="56" t="str">
        <x:f>'Design &amp; Insights'!E347</x:f>
        <x:v>DI.BO.3.5</x:v>
      </x:c>
      <x:c r="G1719" s="14" t="str">
        <x:f>'Design &amp; Insights'!F347</x:f>
        <x:v>Finalize presentation deck by incorporating pre-socialization feedback (as needed)</x:v>
      </x:c>
      <x:c r="H1719" s="2" t="str">
        <x:f>IF('Design &amp; Insights'!G347="","",'Design &amp; Insights'!G347)</x:f>
      </x:c>
      <x:c r="I1719" s="12" t="str">
        <x:f>IF('Design &amp; Insights'!H347="","",'Design &amp; Insights'!H347)</x:f>
      </x:c>
      <x:c r="J1719" s="12" t="n">
        <x:f>IF('Design &amp; Insights'!I347="","",'Design &amp; Insights'!I347)</x:f>
        <x:v>46295</x:v>
      </x:c>
      <x:c r="K1719" s="12" t="str">
        <x:f>IF('Design &amp; Insights'!J347="","",'Design &amp; Insights'!J347)</x:f>
      </x:c>
      <x:c r="L1719" s="2" t="str">
        <x:f>IF('Design &amp; Insights'!K347="","",'Design &amp; Insights'!K347)</x:f>
      </x:c>
      <x:c r="M1719" s="2" t="n">
        <x:f>'Design &amp; Insights'!Q347</x:f>
        <x:v>1</x:v>
      </x:c>
      <x:c r="N1719" s="2" t="str">
        <x:f>'Design &amp; Insights'!L347</x:f>
        <x:v>Not started</x:v>
      </x:c>
      <x:c r="O1719" s="2" t="str">
        <x:f>'Design &amp; Insights'!N347</x:f>
        <x:v>DI.BO.3.5.2026.CY3</x:v>
      </x:c>
      <x:c r="P1719" s="2" t="n">
        <x:f>'Design &amp; Insights'!O347</x:f>
        <x:v>0</x:v>
      </x:c>
      <x:c r="Q1719" s="2" t="n">
        <x:f>SUBTOTAL(103,O1719)</x:f>
        <x:v>1</x:v>
      </x:c>
      <x:c r="R1719" s="2" t="n">
        <x:f>IF(AND(M1719=1,OR(Dashboard!$B$7="All",Dashboard!$B$7='Cycles &amp; Guide'!$C$5),OR(Dashboard!$D$7="All",Dashboard!$D$7=B1719),OR(Dashboard!$F$7="All",Dashboard!$F$7=C1719),OR(Dashboard!$H$7="All",Dashboard!$H$7=D1719),OR(Dashboard!$K$7="All",Dashboard!$K$7=E1719)),1,0)</x:f>
        <x:v>1</x:v>
      </x:c>
      <x:c r="S1719" s="2" t="n">
        <x:f>IF(R1719=1,SUM($R$10:R1719),0)</x:f>
        <x:v>1346</x:v>
      </x:c>
      <x:c r="T1719" s="2" t="str">
        <x:v>Design &amp; Insights</x:v>
      </x:c>
      <x:c r="U1719" s="2" t="n">
        <x:v>347</x:v>
      </x:c>
      <x:c r="V1719" s="2" t="n">
        <x:f>IF(AND(M1719=1,P1719=0,ISNUMBER(J1719),J1719&lt;TODAY()),1,0)</x:f>
        <x:v>0</x:v>
      </x:c>
      <x:c r="W1719" s="2" t="str">
        <x:f>'Design &amp; Insights'!M347</x:f>
        <x:v>Task</x:v>
      </x:c>
    </x:row>
    <x:row r="1720" ht="40" customHeight="1">
      <x:c r="A1720" s="3" t="str">
        <x:f>HYPERLINK("#'Design &amp; Insights'!A348","Open")</x:f>
        <x:v>Open</x:v>
      </x:c>
      <x:c r="B1720" s="2" t="str">
        <x:f>'Design &amp; Insights'!B348</x:f>
        <x:v>Cycle 3</x:v>
      </x:c>
      <x:c r="C1720" s="2" t="str">
        <x:f>'Design &amp; Insights'!C348</x:f>
        <x:v>Phase 3</x:v>
      </x:c>
      <x:c r="D1720" s="2" t="str">
        <x:f>'Design &amp; Insights'!D348</x:f>
        <x:v>CSBBO - Banking Ops</x:v>
      </x:c>
      <x:c r="E1720" s="2" t="str">
        <x:v>Design &amp; Insights</x:v>
      </x:c>
      <x:c r="F1720" s="56" t="str">
        <x:f>'Design &amp; Insights'!E348</x:f>
        <x:v>DI.BO.3.6</x:v>
      </x:c>
      <x:c r="G1720" s="14" t="str">
        <x:f>'Design &amp; Insights'!F348</x:f>
        <x:v>Ensure final deck is communicated to Forum attendees</x:v>
      </x:c>
      <x:c r="H1720" s="2" t="str">
        <x:f>IF('Design &amp; Insights'!G348="","",'Design &amp; Insights'!G348)</x:f>
      </x:c>
      <x:c r="I1720" s="12" t="str">
        <x:f>IF('Design &amp; Insights'!H348="","",'Design &amp; Insights'!H348)</x:f>
      </x:c>
      <x:c r="J1720" s="12" t="n">
        <x:f>IF('Design &amp; Insights'!I348="","",'Design &amp; Insights'!I348)</x:f>
        <x:v>46295</x:v>
      </x:c>
      <x:c r="K1720" s="12" t="str">
        <x:f>IF('Design &amp; Insights'!J348="","",'Design &amp; Insights'!J348)</x:f>
      </x:c>
      <x:c r="L1720" s="2" t="str">
        <x:f>IF('Design &amp; Insights'!K348="","",'Design &amp; Insights'!K348)</x:f>
      </x:c>
      <x:c r="M1720" s="2" t="n">
        <x:f>'Design &amp; Insights'!Q348</x:f>
        <x:v>1</x:v>
      </x:c>
      <x:c r="N1720" s="2" t="str">
        <x:f>'Design &amp; Insights'!L348</x:f>
        <x:v>Not started</x:v>
      </x:c>
      <x:c r="O1720" s="2" t="str">
        <x:f>'Design &amp; Insights'!N348</x:f>
        <x:v>DI.BO.3.6.2026.CY3</x:v>
      </x:c>
      <x:c r="P1720" s="2" t="n">
        <x:f>'Design &amp; Insights'!O348</x:f>
        <x:v>0</x:v>
      </x:c>
      <x:c r="Q1720" s="2" t="n">
        <x:f>SUBTOTAL(103,O1720)</x:f>
        <x:v>1</x:v>
      </x:c>
      <x:c r="R1720" s="2" t="n">
        <x:f>IF(AND(M1720=1,OR(Dashboard!$B$7="All",Dashboard!$B$7='Cycles &amp; Guide'!$C$5),OR(Dashboard!$D$7="All",Dashboard!$D$7=B1720),OR(Dashboard!$F$7="All",Dashboard!$F$7=C1720),OR(Dashboard!$H$7="All",Dashboard!$H$7=D1720),OR(Dashboard!$K$7="All",Dashboard!$K$7=E1720)),1,0)</x:f>
        <x:v>1</x:v>
      </x:c>
      <x:c r="S1720" s="2" t="n">
        <x:f>IF(R1720=1,SUM($R$10:R1720),0)</x:f>
        <x:v>1347</x:v>
      </x:c>
      <x:c r="T1720" s="2" t="str">
        <x:v>Design &amp; Insights</x:v>
      </x:c>
      <x:c r="U1720" s="2" t="n">
        <x:v>348</x:v>
      </x:c>
      <x:c r="V1720" s="2" t="n">
        <x:f>IF(AND(M1720=1,P1720=0,ISNUMBER(J1720),J1720&lt;TODAY()),1,0)</x:f>
        <x:v>0</x:v>
      </x:c>
      <x:c r="W1720" s="2" t="str">
        <x:f>'Design &amp; Insights'!M348</x:f>
        <x:v>Task</x:v>
      </x:c>
    </x:row>
    <x:row r="1721" ht="40" customHeight="1">
      <x:c r="A1721" s="3" t="str">
        <x:f>HYPERLINK("#'Design &amp; Insights'!A349","Open")</x:f>
        <x:v>Open</x:v>
      </x:c>
      <x:c r="B1721" s="2" t="str">
        <x:f>'Design &amp; Insights'!B349</x:f>
        <x:v>Cycle 3</x:v>
      </x:c>
      <x:c r="C1721" s="2" t="str">
        <x:f>'Design &amp; Insights'!C349</x:f>
        <x:v>Phase 3</x:v>
      </x:c>
      <x:c r="D1721" s="2" t="str">
        <x:f>'Design &amp; Insights'!D349</x:f>
        <x:v>CSBBO - Banking Ops</x:v>
      </x:c>
      <x:c r="E1721" s="2" t="str">
        <x:v>Design &amp; Insights</x:v>
      </x:c>
      <x:c r="F1721" s="56" t="str">
        <x:f>'Design &amp; Insights'!E349</x:f>
        <x:v>DI.BO.3.7</x:v>
      </x:c>
      <x:c r="G1721" s="14" t="str">
        <x:f>'Design &amp; Insights'!F349</x:f>
        <x:v>Present material in RCA Cycle Forum</x:v>
      </x:c>
      <x:c r="H1721" s="2" t="str">
        <x:f>IF('Design &amp; Insights'!G349="","",'Design &amp; Insights'!G349)</x:f>
      </x:c>
      <x:c r="I1721" s="12" t="str">
        <x:f>IF('Design &amp; Insights'!H349="","",'Design &amp; Insights'!H349)</x:f>
      </x:c>
      <x:c r="J1721" s="12" t="str">
        <x:f>IF('Design &amp; Insights'!I349="","",'Design &amp; Insights'!I349)</x:f>
      </x:c>
      <x:c r="K1721" s="12" t="str">
        <x:f>IF('Design &amp; Insights'!J349="","",'Design &amp; Insights'!J349)</x:f>
      </x:c>
      <x:c r="L1721" s="2" t="str">
        <x:f>IF('Design &amp; Insights'!K349="","",'Design &amp; Insights'!K349)</x:f>
      </x:c>
      <x:c r="M1721" s="2" t="n">
        <x:f>'Design &amp; Insights'!Q349</x:f>
        <x:v>1</x:v>
      </x:c>
      <x:c r="N1721" s="2" t="str">
        <x:f>'Design &amp; Insights'!L349</x:f>
        <x:v>Not started</x:v>
      </x:c>
      <x:c r="O1721" s="2" t="str">
        <x:f>'Design &amp; Insights'!N349</x:f>
        <x:v>DI.BO.3.7.2026.CY3</x:v>
      </x:c>
      <x:c r="P1721" s="2" t="n">
        <x:f>'Design &amp; Insights'!O349</x:f>
        <x:v>0</x:v>
      </x:c>
      <x:c r="Q1721" s="2" t="n">
        <x:f>SUBTOTAL(103,O1721)</x:f>
        <x:v>1</x:v>
      </x:c>
      <x:c r="R1721" s="2" t="n">
        <x:f>IF(AND(M1721=1,OR(Dashboard!$B$7="All",Dashboard!$B$7='Cycles &amp; Guide'!$C$5),OR(Dashboard!$D$7="All",Dashboard!$D$7=B1721),OR(Dashboard!$F$7="All",Dashboard!$F$7=C1721),OR(Dashboard!$H$7="All",Dashboard!$H$7=D1721),OR(Dashboard!$K$7="All",Dashboard!$K$7=E1721)),1,0)</x:f>
        <x:v>1</x:v>
      </x:c>
      <x:c r="S1721" s="2" t="n">
        <x:f>IF(R1721=1,SUM($R$10:R1721),0)</x:f>
        <x:v>1348</x:v>
      </x:c>
      <x:c r="T1721" s="2" t="str">
        <x:v>Design &amp; Insights</x:v>
      </x:c>
      <x:c r="U1721" s="2" t="n">
        <x:v>349</x:v>
      </x:c>
      <x:c r="V1721" s="2" t="n">
        <x:f>IF(AND(M1721=1,P1721=0,ISNUMBER(J1721),J1721&lt;TODAY()),1,0)</x:f>
        <x:v>0</x:v>
      </x:c>
      <x:c r="W1721" s="2" t="str">
        <x:f>'Design &amp; Insights'!M349</x:f>
        <x:v>Task</x:v>
      </x:c>
    </x:row>
    <x:row r="1722" ht="40" customHeight="1">
      <x:c r="A1722" s="3" t="str">
        <x:f>HYPERLINK("#'Design &amp; Insights'!A350","Open")</x:f>
        <x:v>Open</x:v>
      </x:c>
      <x:c r="B1722" s="2" t="str">
        <x:f>'Design &amp; Insights'!B350</x:f>
        <x:v>Cycle 3</x:v>
      </x:c>
      <x:c r="C1722" s="2" t="str">
        <x:f>'Design &amp; Insights'!C350</x:f>
        <x:v>Phase 1</x:v>
      </x:c>
      <x:c r="D1722" s="2" t="str">
        <x:f>'Design &amp; Insights'!D350</x:f>
        <x:v>CSBBO - Customer Service</x:v>
      </x:c>
      <x:c r="E1722" s="2" t="str">
        <x:v>Design &amp; Insights</x:v>
      </x:c>
      <x:c r="F1722" s="56" t="str">
        <x:f>'Design &amp; Insights'!E350</x:f>
        <x:v>DI.CS.1.1</x:v>
      </x:c>
      <x:c r="G1722" s="14" t="str">
        <x:f>'Design &amp; Insights'!F350</x:f>
        <x:v>Receive and review potential research topics at least 2 weeks prior to Cycle start date</x:v>
      </x:c>
      <x:c r="H1722" s="2" t="str">
        <x:f>IF('Design &amp; Insights'!G350="","",'Design &amp; Insights'!G350)</x:f>
      </x:c>
      <x:c r="I1722" s="12" t="str">
        <x:f>IF('Design &amp; Insights'!H350="","",'Design &amp; Insights'!H350)</x:f>
      </x:c>
      <x:c r="J1722" s="12" t="n">
        <x:f>IF('Design &amp; Insights'!I350="","",'Design &amp; Insights'!I350)</x:f>
        <x:v>46190</x:v>
      </x:c>
      <x:c r="K1722" s="12" t="str">
        <x:f>IF('Design &amp; Insights'!J350="","",'Design &amp; Insights'!J350)</x:f>
      </x:c>
      <x:c r="L1722" s="2" t="str">
        <x:f>IF('Design &amp; Insights'!K350="","",'Design &amp; Insights'!K350)</x:f>
      </x:c>
      <x:c r="M1722" s="2" t="n">
        <x:f>'Design &amp; Insights'!Q350</x:f>
        <x:v>1</x:v>
      </x:c>
      <x:c r="N1722" s="2" t="str">
        <x:f>'Design &amp; Insights'!L350</x:f>
        <x:v>Not started</x:v>
      </x:c>
      <x:c r="O1722" s="2" t="str">
        <x:f>'Design &amp; Insights'!N350</x:f>
        <x:v>DI.CS.1.1.2026.CY3</x:v>
      </x:c>
      <x:c r="P1722" s="2" t="n">
        <x:f>'Design &amp; Insights'!O350</x:f>
        <x:v>0</x:v>
      </x:c>
      <x:c r="Q1722" s="2" t="n">
        <x:f>SUBTOTAL(103,O1722)</x:f>
        <x:v>1</x:v>
      </x:c>
      <x:c r="R1722" s="2" t="n">
        <x:f>IF(AND(M1722=1,OR(Dashboard!$B$7="All",Dashboard!$B$7='Cycles &amp; Guide'!$C$5),OR(Dashboard!$D$7="All",Dashboard!$D$7=B1722),OR(Dashboard!$F$7="All",Dashboard!$F$7=C1722),OR(Dashboard!$H$7="All",Dashboard!$H$7=D1722),OR(Dashboard!$K$7="All",Dashboard!$K$7=E1722)),1,0)</x:f>
        <x:v>1</x:v>
      </x:c>
      <x:c r="S1722" s="2" t="n">
        <x:f>IF(R1722=1,SUM($R$10:R1722),0)</x:f>
        <x:v>1349</x:v>
      </x:c>
      <x:c r="T1722" s="2" t="str">
        <x:v>Design &amp; Insights</x:v>
      </x:c>
      <x:c r="U1722" s="2" t="n">
        <x:v>350</x:v>
      </x:c>
      <x:c r="V1722" s="2" t="n">
        <x:f>IF(AND(M1722=1,P1722=0,ISNUMBER(J1722),J1722&lt;TODAY()),1,0)</x:f>
        <x:v>1</x:v>
      </x:c>
      <x:c r="W1722" s="2" t="str">
        <x:f>'Design &amp; Insights'!M350</x:f>
        <x:v>Task</x:v>
      </x:c>
    </x:row>
    <x:row r="1723" ht="40" customHeight="1">
      <x:c r="A1723" s="3" t="str">
        <x:f>HYPERLINK("#'Design &amp; Insights'!A351","Open")</x:f>
        <x:v>Open</x:v>
      </x:c>
      <x:c r="B1723" s="2" t="str">
        <x:f>'Design &amp; Insights'!B351</x:f>
        <x:v>Cycle 3</x:v>
      </x:c>
      <x:c r="C1723" s="2" t="str">
        <x:f>'Design &amp; Insights'!C351</x:f>
        <x:v>Phase 1</x:v>
      </x:c>
      <x:c r="D1723" s="2" t="str">
        <x:f>'Design &amp; Insights'!D351</x:f>
        <x:v>CSBBO - Customer Service</x:v>
      </x:c>
      <x:c r="E1723" s="2" t="str">
        <x:v>Design &amp; Insights</x:v>
      </x:c>
      <x:c r="F1723" s="56" t="str">
        <x:f>'Design &amp; Insights'!E351</x:f>
        <x:v>DI.CS.1.2</x:v>
      </x:c>
      <x:c r="G1723" s="14" t="str">
        <x:f>'Design &amp; Insights'!F351</x:f>
        <x:v>Communicate any feedback on preferences or concerns with topics identified</x:v>
      </x:c>
      <x:c r="H1723" s="2" t="str">
        <x:f>IF('Design &amp; Insights'!G351="","",'Design &amp; Insights'!G351)</x:f>
      </x:c>
      <x:c r="I1723" s="12" t="str">
        <x:f>IF('Design &amp; Insights'!H351="","",'Design &amp; Insights'!H351)</x:f>
      </x:c>
      <x:c r="J1723" s="12" t="n">
        <x:f>IF('Design &amp; Insights'!I351="","",'Design &amp; Insights'!I351)</x:f>
        <x:v>46295</x:v>
      </x:c>
      <x:c r="K1723" s="12" t="str">
        <x:f>IF('Design &amp; Insights'!J351="","",'Design &amp; Insights'!J351)</x:f>
      </x:c>
      <x:c r="L1723" s="2" t="str">
        <x:f>IF('Design &amp; Insights'!K351="","",'Design &amp; Insights'!K351)</x:f>
      </x:c>
      <x:c r="M1723" s="2" t="n">
        <x:f>'Design &amp; Insights'!Q351</x:f>
        <x:v>1</x:v>
      </x:c>
      <x:c r="N1723" s="2" t="str">
        <x:f>'Design &amp; Insights'!L351</x:f>
        <x:v>Not started</x:v>
      </x:c>
      <x:c r="O1723" s="2" t="str">
        <x:f>'Design &amp; Insights'!N351</x:f>
        <x:v>DI.CS.1.2.2026.CY3</x:v>
      </x:c>
      <x:c r="P1723" s="2" t="n">
        <x:f>'Design &amp; Insights'!O351</x:f>
        <x:v>0</x:v>
      </x:c>
      <x:c r="Q1723" s="2" t="n">
        <x:f>SUBTOTAL(103,O1723)</x:f>
        <x:v>1</x:v>
      </x:c>
      <x:c r="R1723" s="2" t="n">
        <x:f>IF(AND(M1723=1,OR(Dashboard!$B$7="All",Dashboard!$B$7='Cycles &amp; Guide'!$C$5),OR(Dashboard!$D$7="All",Dashboard!$D$7=B1723),OR(Dashboard!$F$7="All",Dashboard!$F$7=C1723),OR(Dashboard!$H$7="All",Dashboard!$H$7=D1723),OR(Dashboard!$K$7="All",Dashboard!$K$7=E1723)),1,0)</x:f>
        <x:v>1</x:v>
      </x:c>
      <x:c r="S1723" s="2" t="n">
        <x:f>IF(R1723=1,SUM($R$10:R1723),0)</x:f>
        <x:v>1350</x:v>
      </x:c>
      <x:c r="T1723" s="2" t="str">
        <x:v>Design &amp; Insights</x:v>
      </x:c>
      <x:c r="U1723" s="2" t="n">
        <x:v>351</x:v>
      </x:c>
      <x:c r="V1723" s="2" t="n">
        <x:f>IF(AND(M1723=1,P1723=0,ISNUMBER(J1723),J1723&lt;TODAY()),1,0)</x:f>
        <x:v>0</x:v>
      </x:c>
      <x:c r="W1723" s="2" t="str">
        <x:f>'Design &amp; Insights'!M351</x:f>
        <x:v>Task</x:v>
      </x:c>
    </x:row>
    <x:row r="1724" ht="40" customHeight="1">
      <x:c r="A1724" s="3" t="str">
        <x:f>HYPERLINK("#'Design &amp; Insights'!A352","Open")</x:f>
        <x:v>Open</x:v>
      </x:c>
      <x:c r="B1724" s="2" t="str">
        <x:f>'Design &amp; Insights'!B352</x:f>
        <x:v>Cycle 3</x:v>
      </x:c>
      <x:c r="C1724" s="2" t="str">
        <x:f>'Design &amp; Insights'!C352</x:f>
        <x:v>Phase 1</x:v>
      </x:c>
      <x:c r="D1724" s="2" t="str">
        <x:f>'Design &amp; Insights'!D352</x:f>
        <x:v>CSBBO - Customer Service</x:v>
      </x:c>
      <x:c r="E1724" s="2" t="str">
        <x:v>Design &amp; Insights</x:v>
      </x:c>
      <x:c r="F1724" s="56" t="str">
        <x:f>'Design &amp; Insights'!E352</x:f>
        <x:v>DI.CS.1.3</x:v>
      </x:c>
      <x:c r="G1724" s="14" t="str">
        <x:f>'Design &amp; Insights'!F352</x:f>
        <x:v>Conduct high-level preliminary review of complaints within proposed topics</x:v>
      </x:c>
      <x:c r="H1724" s="2" t="str">
        <x:f>IF('Design &amp; Insights'!G352="","",'Design &amp; Insights'!G352)</x:f>
      </x:c>
      <x:c r="I1724" s="12" t="str">
        <x:f>IF('Design &amp; Insights'!H352="","",'Design &amp; Insights'!H352)</x:f>
      </x:c>
      <x:c r="J1724" s="12" t="n">
        <x:f>IF('Design &amp; Insights'!I352="","",'Design &amp; Insights'!I352)</x:f>
        <x:v>46295</x:v>
      </x:c>
      <x:c r="K1724" s="12" t="str">
        <x:f>IF('Design &amp; Insights'!J352="","",'Design &amp; Insights'!J352)</x:f>
      </x:c>
      <x:c r="L1724" s="2" t="str">
        <x:f>IF('Design &amp; Insights'!K352="","",'Design &amp; Insights'!K352)</x:f>
      </x:c>
      <x:c r="M1724" s="2" t="n">
        <x:f>'Design &amp; Insights'!Q352</x:f>
        <x:v>1</x:v>
      </x:c>
      <x:c r="N1724" s="2" t="str">
        <x:f>'Design &amp; Insights'!L352</x:f>
        <x:v>Not started</x:v>
      </x:c>
      <x:c r="O1724" s="2" t="str">
        <x:f>'Design &amp; Insights'!N352</x:f>
        <x:v>DI.CS.1.3.2026.CY3</x:v>
      </x:c>
      <x:c r="P1724" s="2" t="n">
        <x:f>'Design &amp; Insights'!O352</x:f>
        <x:v>0</x:v>
      </x:c>
      <x:c r="Q1724" s="2" t="n">
        <x:f>SUBTOTAL(103,O1724)</x:f>
        <x:v>1</x:v>
      </x:c>
      <x:c r="R1724" s="2" t="n">
        <x:f>IF(AND(M1724=1,OR(Dashboard!$B$7="All",Dashboard!$B$7='Cycles &amp; Guide'!$C$5),OR(Dashboard!$D$7="All",Dashboard!$D$7=B1724),OR(Dashboard!$F$7="All",Dashboard!$F$7=C1724),OR(Dashboard!$H$7="All",Dashboard!$H$7=D1724),OR(Dashboard!$K$7="All",Dashboard!$K$7=E1724)),1,0)</x:f>
        <x:v>1</x:v>
      </x:c>
      <x:c r="S1724" s="2" t="n">
        <x:f>IF(R1724=1,SUM($R$10:R1724),0)</x:f>
        <x:v>1351</x:v>
      </x:c>
      <x:c r="T1724" s="2" t="str">
        <x:v>Design &amp; Insights</x:v>
      </x:c>
      <x:c r="U1724" s="2" t="n">
        <x:v>352</x:v>
      </x:c>
      <x:c r="V1724" s="2" t="n">
        <x:f>IF(AND(M1724=1,P1724=0,ISNUMBER(J1724),J1724&lt;TODAY()),1,0)</x:f>
        <x:v>0</x:v>
      </x:c>
      <x:c r="W1724" s="2" t="str">
        <x:f>'Design &amp; Insights'!M352</x:f>
        <x:v>Task</x:v>
      </x:c>
    </x:row>
    <x:row r="1725" ht="40" customHeight="1">
      <x:c r="A1725" s="3" t="str">
        <x:f>HYPERLINK("#'Design &amp; Insights'!A353","Open")</x:f>
        <x:v>Open</x:v>
      </x:c>
      <x:c r="B1725" s="2" t="str">
        <x:f>'Design &amp; Insights'!B353</x:f>
        <x:v>Cycle 3</x:v>
      </x:c>
      <x:c r="C1725" s="2" t="str">
        <x:f>'Design &amp; Insights'!C353</x:f>
        <x:v>Phase 1</x:v>
      </x:c>
      <x:c r="D1725" s="2" t="str">
        <x:f>'Design &amp; Insights'!D353</x:f>
        <x:v>CSBBO - Customer Service</x:v>
      </x:c>
      <x:c r="E1725" s="2" t="str">
        <x:v>Design &amp; Insights</x:v>
      </x:c>
      <x:c r="F1725" s="56" t="str">
        <x:f>'Design &amp; Insights'!E353</x:f>
        <x:v>DI.CS.1.4</x:v>
      </x:c>
      <x:c r="G1725" s="14" t="str">
        <x:f>'Design &amp; Insights'!F353</x:f>
        <x:v>Meet with Research to discuss which topic to select based on potential impact</x:v>
      </x:c>
      <x:c r="H1725" s="2" t="str">
        <x:f>IF('Design &amp; Insights'!G353="","",'Design &amp; Insights'!G353)</x:f>
      </x:c>
      <x:c r="I1725" s="12" t="str">
        <x:f>IF('Design &amp; Insights'!H353="","",'Design &amp; Insights'!H353)</x:f>
      </x:c>
      <x:c r="J1725" s="12" t="n">
        <x:f>IF('Design &amp; Insights'!I353="","",'Design &amp; Insights'!I353)</x:f>
        <x:v>46295</x:v>
      </x:c>
      <x:c r="K1725" s="12" t="str">
        <x:f>IF('Design &amp; Insights'!J353="","",'Design &amp; Insights'!J353)</x:f>
      </x:c>
      <x:c r="L1725" s="2" t="str">
        <x:f>IF('Design &amp; Insights'!K353="","",'Design &amp; Insights'!K353)</x:f>
      </x:c>
      <x:c r="M1725" s="2" t="n">
        <x:f>'Design &amp; Insights'!Q353</x:f>
        <x:v>1</x:v>
      </x:c>
      <x:c r="N1725" s="2" t="str">
        <x:f>'Design &amp; Insights'!L353</x:f>
        <x:v>Not started</x:v>
      </x:c>
      <x:c r="O1725" s="2" t="str">
        <x:f>'Design &amp; Insights'!N353</x:f>
        <x:v>DI.CS.1.4.2026.CY3</x:v>
      </x:c>
      <x:c r="P1725" s="2" t="n">
        <x:f>'Design &amp; Insights'!O353</x:f>
        <x:v>0</x:v>
      </x:c>
      <x:c r="Q1725" s="2" t="n">
        <x:f>SUBTOTAL(103,O1725)</x:f>
        <x:v>1</x:v>
      </x:c>
      <x:c r="R1725" s="2" t="n">
        <x:f>IF(AND(M1725=1,OR(Dashboard!$B$7="All",Dashboard!$B$7='Cycles &amp; Guide'!$C$5),OR(Dashboard!$D$7="All",Dashboard!$D$7=B1725),OR(Dashboard!$F$7="All",Dashboard!$F$7=C1725),OR(Dashboard!$H$7="All",Dashboard!$H$7=D1725),OR(Dashboard!$K$7="All",Dashboard!$K$7=E1725)),1,0)</x:f>
        <x:v>1</x:v>
      </x:c>
      <x:c r="S1725" s="2" t="n">
        <x:f>IF(R1725=1,SUM($R$10:R1725),0)</x:f>
        <x:v>1352</x:v>
      </x:c>
      <x:c r="T1725" s="2" t="str">
        <x:v>Design &amp; Insights</x:v>
      </x:c>
      <x:c r="U1725" s="2" t="n">
        <x:v>353</x:v>
      </x:c>
      <x:c r="V1725" s="2" t="n">
        <x:f>IF(AND(M1725=1,P1725=0,ISNUMBER(J1725),J1725&lt;TODAY()),1,0)</x:f>
        <x:v>0</x:v>
      </x:c>
      <x:c r="W1725" s="2" t="str">
        <x:f>'Design &amp; Insights'!M353</x:f>
        <x:v>Task</x:v>
      </x:c>
    </x:row>
    <x:row r="1726" ht="40" customHeight="1">
      <x:c r="A1726" s="3" t="str">
        <x:f>HYPERLINK("#'Design &amp; Insights'!A354","Open")</x:f>
        <x:v>Open</x:v>
      </x:c>
      <x:c r="B1726" s="2" t="str">
        <x:f>'Design &amp; Insights'!B354</x:f>
        <x:v>Cycle 3</x:v>
      </x:c>
      <x:c r="C1726" s="2" t="str">
        <x:f>'Design &amp; Insights'!C354</x:f>
        <x:v>Phase 1</x:v>
      </x:c>
      <x:c r="D1726" s="2" t="str">
        <x:f>'Design &amp; Insights'!D354</x:f>
        <x:v>CSBBO - Customer Service</x:v>
      </x:c>
      <x:c r="E1726" s="2" t="str">
        <x:v>Design &amp; Insights</x:v>
      </x:c>
      <x:c r="F1726" s="56" t="str">
        <x:f>'Design &amp; Insights'!E354</x:f>
        <x:v>DI.CS.1.5</x:v>
      </x:c>
      <x:c r="G1726" s="14" t="str">
        <x:f>'Design &amp; Insights'!F354</x:f>
        <x:v>Confirm with Research the recommended topic for approval</x:v>
      </x:c>
      <x:c r="H1726" s="2" t="str">
        <x:f>IF('Design &amp; Insights'!G354="","",'Design &amp; Insights'!G354)</x:f>
      </x:c>
      <x:c r="I1726" s="12" t="str">
        <x:f>IF('Design &amp; Insights'!H354="","",'Design &amp; Insights'!H354)</x:f>
      </x:c>
      <x:c r="J1726" s="12" t="n">
        <x:f>IF('Design &amp; Insights'!I354="","",'Design &amp; Insights'!I354)</x:f>
        <x:v>46295</x:v>
      </x:c>
      <x:c r="K1726" s="12" t="str">
        <x:f>IF('Design &amp; Insights'!J354="","",'Design &amp; Insights'!J354)</x:f>
      </x:c>
      <x:c r="L1726" s="2" t="str">
        <x:f>IF('Design &amp; Insights'!K354="","",'Design &amp; Insights'!K354)</x:f>
      </x:c>
      <x:c r="M1726" s="2" t="n">
        <x:f>'Design &amp; Insights'!Q354</x:f>
        <x:v>1</x:v>
      </x:c>
      <x:c r="N1726" s="2" t="str">
        <x:f>'Design &amp; Insights'!L354</x:f>
        <x:v>Not started</x:v>
      </x:c>
      <x:c r="O1726" s="2" t="str">
        <x:f>'Design &amp; Insights'!N354</x:f>
        <x:v>DI.CS.1.5.2026.CY3</x:v>
      </x:c>
      <x:c r="P1726" s="2" t="n">
        <x:f>'Design &amp; Insights'!O354</x:f>
        <x:v>0</x:v>
      </x:c>
      <x:c r="Q1726" s="2" t="n">
        <x:f>SUBTOTAL(103,O1726)</x:f>
        <x:v>1</x:v>
      </x:c>
      <x:c r="R1726" s="2" t="n">
        <x:f>IF(AND(M1726=1,OR(Dashboard!$B$7="All",Dashboard!$B$7='Cycles &amp; Guide'!$C$5),OR(Dashboard!$D$7="All",Dashboard!$D$7=B1726),OR(Dashboard!$F$7="All",Dashboard!$F$7=C1726),OR(Dashboard!$H$7="All",Dashboard!$H$7=D1726),OR(Dashboard!$K$7="All",Dashboard!$K$7=E1726)),1,0)</x:f>
        <x:v>1</x:v>
      </x:c>
      <x:c r="S1726" s="2" t="n">
        <x:f>IF(R1726=1,SUM($R$10:R1726),0)</x:f>
        <x:v>1353</x:v>
      </x:c>
      <x:c r="T1726" s="2" t="str">
        <x:v>Design &amp; Insights</x:v>
      </x:c>
      <x:c r="U1726" s="2" t="n">
        <x:v>354</x:v>
      </x:c>
      <x:c r="V1726" s="2" t="n">
        <x:f>IF(AND(M1726=1,P1726=0,ISNUMBER(J1726),J1726&lt;TODAY()),1,0)</x:f>
        <x:v>0</x:v>
      </x:c>
      <x:c r="W1726" s="2" t="str">
        <x:f>'Design &amp; Insights'!M354</x:f>
        <x:v>Task</x:v>
      </x:c>
    </x:row>
    <x:row r="1727" ht="40" customHeight="1">
      <x:c r="A1727" s="3" t="str">
        <x:f>HYPERLINK("#'Design &amp; Insights'!A355","Open")</x:f>
        <x:v>Open</x:v>
      </x:c>
      <x:c r="B1727" s="2" t="str">
        <x:f>'Design &amp; Insights'!B355</x:f>
        <x:v>Cycle 3</x:v>
      </x:c>
      <x:c r="C1727" s="2" t="str">
        <x:f>'Design &amp; Insights'!C355</x:f>
        <x:v>Phase 1</x:v>
      </x:c>
      <x:c r="D1727" s="2" t="str">
        <x:f>'Design &amp; Insights'!D355</x:f>
        <x:v>CSBBO - Customer Service</x:v>
      </x:c>
      <x:c r="E1727" s="2" t="str">
        <x:v>Design &amp; Insights</x:v>
      </x:c>
      <x:c r="F1727" s="56" t="str">
        <x:f>'Design &amp; Insights'!E355</x:f>
        <x:v>DI.CS.1.6</x:v>
      </x:c>
      <x:c r="G1727" s="14" t="str">
        <x:f>'Design &amp; Insights'!F355</x:f>
        <x:v>Send topic selection socialization email to all key stakeholders on the first day of the review Cycle</x:v>
      </x:c>
      <x:c r="H1727" s="2" t="str">
        <x:f>IF('Design &amp; Insights'!G355="","",'Design &amp; Insights'!G355)</x:f>
      </x:c>
      <x:c r="I1727" s="12" t="str">
        <x:f>IF('Design &amp; Insights'!H355="","",'Design &amp; Insights'!H355)</x:f>
      </x:c>
      <x:c r="J1727" s="12" t="n">
        <x:f>IF('Design &amp; Insights'!I355="","",'Design &amp; Insights'!I355)</x:f>
        <x:v>46204</x:v>
      </x:c>
      <x:c r="K1727" s="12" t="str">
        <x:f>IF('Design &amp; Insights'!J355="","",'Design &amp; Insights'!J355)</x:f>
      </x:c>
      <x:c r="L1727" s="2" t="str">
        <x:f>IF('Design &amp; Insights'!K355="","",'Design &amp; Insights'!K355)</x:f>
      </x:c>
      <x:c r="M1727" s="2" t="n">
        <x:f>'Design &amp; Insights'!Q355</x:f>
        <x:v>1</x:v>
      </x:c>
      <x:c r="N1727" s="2" t="str">
        <x:f>'Design &amp; Insights'!L355</x:f>
        <x:v>Not started</x:v>
      </x:c>
      <x:c r="O1727" s="2" t="str">
        <x:f>'Design &amp; Insights'!N355</x:f>
        <x:v>DI.CS.1.6.2026.CY3</x:v>
      </x:c>
      <x:c r="P1727" s="2" t="n">
        <x:f>'Design &amp; Insights'!O355</x:f>
        <x:v>0</x:v>
      </x:c>
      <x:c r="Q1727" s="2" t="n">
        <x:f>SUBTOTAL(103,O1727)</x:f>
        <x:v>1</x:v>
      </x:c>
      <x:c r="R1727" s="2" t="n">
        <x:f>IF(AND(M1727=1,OR(Dashboard!$B$7="All",Dashboard!$B$7='Cycles &amp; Guide'!$C$5),OR(Dashboard!$D$7="All",Dashboard!$D$7=B1727),OR(Dashboard!$F$7="All",Dashboard!$F$7=C1727),OR(Dashboard!$H$7="All",Dashboard!$H$7=D1727),OR(Dashboard!$K$7="All",Dashboard!$K$7=E1727)),1,0)</x:f>
        <x:v>1</x:v>
      </x:c>
      <x:c r="S1727" s="2" t="n">
        <x:f>IF(R1727=1,SUM($R$10:R1727),0)</x:f>
        <x:v>1354</x:v>
      </x:c>
      <x:c r="T1727" s="2" t="str">
        <x:v>Design &amp; Insights</x:v>
      </x:c>
      <x:c r="U1727" s="2" t="n">
        <x:v>355</x:v>
      </x:c>
      <x:c r="V1727" s="2" t="n">
        <x:f>IF(AND(M1727=1,P1727=0,ISNUMBER(J1727),J1727&lt;TODAY()),1,0)</x:f>
        <x:v>1</x:v>
      </x:c>
      <x:c r="W1727" s="2" t="str">
        <x:f>'Design &amp; Insights'!M355</x:f>
        <x:v>Task</x:v>
      </x:c>
    </x:row>
    <x:row r="1728" ht="40" customHeight="1">
      <x:c r="A1728" s="3" t="str">
        <x:f>HYPERLINK("#'Design &amp; Insights'!A356","Open")</x:f>
        <x:v>Open</x:v>
      </x:c>
      <x:c r="B1728" s="2" t="str">
        <x:f>'Design &amp; Insights'!B356</x:f>
        <x:v>Cycle 3</x:v>
      </x:c>
      <x:c r="C1728" s="2" t="str">
        <x:f>'Design &amp; Insights'!C356</x:f>
        <x:v>Phase 2</x:v>
      </x:c>
      <x:c r="D1728" s="2" t="str">
        <x:f>'Design &amp; Insights'!D356</x:f>
        <x:v>CSBBO - Customer Service</x:v>
      </x:c>
      <x:c r="E1728" s="2" t="str">
        <x:v>Design &amp; Insights</x:v>
      </x:c>
      <x:c r="F1728" s="56" t="str">
        <x:f>'Design &amp; Insights'!E356</x:f>
        <x:v>DI.CS.2.1</x:v>
      </x:c>
      <x:c r="G1728" s="14" t="str">
        <x:f>'Design &amp; Insights'!F356</x:f>
        <x:v>Meet regularly with Research to stay informed on progress, findings, and potential enhancement</x:v>
      </x:c>
      <x:c r="H1728" s="2" t="str">
        <x:f>IF('Design &amp; Insights'!G356="","",'Design &amp; Insights'!G356)</x:f>
      </x:c>
      <x:c r="I1728" s="12" t="str">
        <x:f>IF('Design &amp; Insights'!H356="","",'Design &amp; Insights'!H356)</x:f>
      </x:c>
      <x:c r="J1728" s="12" t="n">
        <x:f>IF('Design &amp; Insights'!I356="","",'Design &amp; Insights'!I356)</x:f>
        <x:v>46295</x:v>
      </x:c>
      <x:c r="K1728" s="12" t="str">
        <x:f>IF('Design &amp; Insights'!J356="","",'Design &amp; Insights'!J356)</x:f>
      </x:c>
      <x:c r="L1728" s="2" t="str">
        <x:f>IF('Design &amp; Insights'!K356="","",'Design &amp; Insights'!K356)</x:f>
      </x:c>
      <x:c r="M1728" s="2" t="n">
        <x:f>'Design &amp; Insights'!Q356</x:f>
        <x:v>1</x:v>
      </x:c>
      <x:c r="N1728" s="2" t="str">
        <x:f>'Design &amp; Insights'!L356</x:f>
        <x:v>Not started</x:v>
      </x:c>
      <x:c r="O1728" s="2" t="str">
        <x:f>'Design &amp; Insights'!N356</x:f>
        <x:v>DI.CS.2.1.2026.CY3</x:v>
      </x:c>
      <x:c r="P1728" s="2" t="n">
        <x:f>'Design &amp; Insights'!O356</x:f>
        <x:v>0</x:v>
      </x:c>
      <x:c r="Q1728" s="2" t="n">
        <x:f>SUBTOTAL(103,O1728)</x:f>
        <x:v>1</x:v>
      </x:c>
      <x:c r="R1728" s="2" t="n">
        <x:f>IF(AND(M1728=1,OR(Dashboard!$B$7="All",Dashboard!$B$7='Cycles &amp; Guide'!$C$5),OR(Dashboard!$D$7="All",Dashboard!$D$7=B1728),OR(Dashboard!$F$7="All",Dashboard!$F$7=C1728),OR(Dashboard!$H$7="All",Dashboard!$H$7=D1728),OR(Dashboard!$K$7="All",Dashboard!$K$7=E1728)),1,0)</x:f>
        <x:v>1</x:v>
      </x:c>
      <x:c r="S1728" s="2" t="n">
        <x:f>IF(R1728=1,SUM($R$10:R1728),0)</x:f>
        <x:v>1355</x:v>
      </x:c>
      <x:c r="T1728" s="2" t="str">
        <x:v>Design &amp; Insights</x:v>
      </x:c>
      <x:c r="U1728" s="2" t="n">
        <x:v>356</x:v>
      </x:c>
      <x:c r="V1728" s="2" t="n">
        <x:f>IF(AND(M1728=1,P1728=0,ISNUMBER(J1728),J1728&lt;TODAY()),1,0)</x:f>
        <x:v>0</x:v>
      </x:c>
      <x:c r="W1728" s="2" t="str">
        <x:f>'Design &amp; Insights'!M356</x:f>
        <x:v>Task</x:v>
      </x:c>
    </x:row>
    <x:row r="1729" ht="40" customHeight="1">
      <x:c r="A1729" s="3" t="str">
        <x:f>HYPERLINK("#'Design &amp; Insights'!A357","Open")</x:f>
        <x:v>Open</x:v>
      </x:c>
      <x:c r="B1729" s="2" t="str">
        <x:f>'Design &amp; Insights'!B357</x:f>
        <x:v>Cycle 3</x:v>
      </x:c>
      <x:c r="C1729" s="2" t="str">
        <x:f>'Design &amp; Insights'!C357</x:f>
        <x:v>Phase 2</x:v>
      </x:c>
      <x:c r="D1729" s="2" t="str">
        <x:f>'Design &amp; Insights'!D357</x:f>
        <x:v>CSBBO - Customer Service</x:v>
      </x:c>
      <x:c r="E1729" s="2" t="str">
        <x:v>Design &amp; Insights</x:v>
      </x:c>
      <x:c r="F1729" s="56" t="str">
        <x:f>'Design &amp; Insights'!E357</x:f>
        <x:v>DI.CS.2.2</x:v>
      </x:c>
      <x:c r="G1729" s="14" t="str">
        <x:f>'Design &amp; Insights'!F357</x:f>
        <x:v>Collaborate with Research on research plan specifics</x:v>
      </x:c>
      <x:c r="H1729" s="2" t="str">
        <x:f>IF('Design &amp; Insights'!G357="","",'Design &amp; Insights'!G357)</x:f>
      </x:c>
      <x:c r="I1729" s="12" t="str">
        <x:f>IF('Design &amp; Insights'!H357="","",'Design &amp; Insights'!H357)</x:f>
      </x:c>
      <x:c r="J1729" s="12" t="n">
        <x:f>IF('Design &amp; Insights'!I357="","",'Design &amp; Insights'!I357)</x:f>
        <x:v>46295</x:v>
      </x:c>
      <x:c r="K1729" s="12" t="str">
        <x:f>IF('Design &amp; Insights'!J357="","",'Design &amp; Insights'!J357)</x:f>
      </x:c>
      <x:c r="L1729" s="2" t="str">
        <x:f>IF('Design &amp; Insights'!K357="","",'Design &amp; Insights'!K357)</x:f>
      </x:c>
      <x:c r="M1729" s="2" t="n">
        <x:f>'Design &amp; Insights'!Q357</x:f>
        <x:v>1</x:v>
      </x:c>
      <x:c r="N1729" s="2" t="str">
        <x:f>'Design &amp; Insights'!L357</x:f>
        <x:v>Not started</x:v>
      </x:c>
      <x:c r="O1729" s="2" t="str">
        <x:f>'Design &amp; Insights'!N357</x:f>
        <x:v>DI.CS.2.2.2026.CY3</x:v>
      </x:c>
      <x:c r="P1729" s="2" t="n">
        <x:f>'Design &amp; Insights'!O357</x:f>
        <x:v>0</x:v>
      </x:c>
      <x:c r="Q1729" s="2" t="n">
        <x:f>SUBTOTAL(103,O1729)</x:f>
        <x:v>1</x:v>
      </x:c>
      <x:c r="R1729" s="2" t="n">
        <x:f>IF(AND(M1729=1,OR(Dashboard!$B$7="All",Dashboard!$B$7='Cycles &amp; Guide'!$C$5),OR(Dashboard!$D$7="All",Dashboard!$D$7=B1729),OR(Dashboard!$F$7="All",Dashboard!$F$7=C1729),OR(Dashboard!$H$7="All",Dashboard!$H$7=D1729),OR(Dashboard!$K$7="All",Dashboard!$K$7=E1729)),1,0)</x:f>
        <x:v>1</x:v>
      </x:c>
      <x:c r="S1729" s="2" t="n">
        <x:f>IF(R1729=1,SUM($R$10:R1729),0)</x:f>
        <x:v>1356</x:v>
      </x:c>
      <x:c r="T1729" s="2" t="str">
        <x:v>Design &amp; Insights</x:v>
      </x:c>
      <x:c r="U1729" s="2" t="n">
        <x:v>357</x:v>
      </x:c>
      <x:c r="V1729" s="2" t="n">
        <x:f>IF(AND(M1729=1,P1729=0,ISNUMBER(J1729),J1729&lt;TODAY()),1,0)</x:f>
        <x:v>0</x:v>
      </x:c>
      <x:c r="W1729" s="2" t="str">
        <x:f>'Design &amp; Insights'!M357</x:f>
        <x:v>Task</x:v>
      </x:c>
    </x:row>
    <x:row r="1730" ht="40" customHeight="1">
      <x:c r="A1730" s="3" t="str">
        <x:f>HYPERLINK("#'Design &amp; Insights'!A358","Open")</x:f>
        <x:v>Open</x:v>
      </x:c>
      <x:c r="B1730" s="2" t="str">
        <x:f>'Design &amp; Insights'!B358</x:f>
        <x:v>Cycle 3</x:v>
      </x:c>
      <x:c r="C1730" s="2" t="str">
        <x:f>'Design &amp; Insights'!C358</x:f>
        <x:v>Phase 2</x:v>
      </x:c>
      <x:c r="D1730" s="2" t="str">
        <x:f>'Design &amp; Insights'!D358</x:f>
        <x:v>CSBBO - Customer Service</x:v>
      </x:c>
      <x:c r="E1730" s="2" t="str">
        <x:v>Design &amp; Insights</x:v>
      </x:c>
      <x:c r="F1730" s="56" t="str">
        <x:f>'Design &amp; Insights'!E358</x:f>
        <x:v>DI.CS.2.3</x:v>
      </x:c>
      <x:c r="G1730" s="14" t="str">
        <x:f>'Design &amp; Insights'!F358</x:f>
        <x:v>Participate in SME insight meetings to gain perspective and appetite on potential enhancements</x:v>
      </x:c>
      <x:c r="H1730" s="2" t="str">
        <x:f>IF('Design &amp; Insights'!G358="","",'Design &amp; Insights'!G358)</x:f>
      </x:c>
      <x:c r="I1730" s="12" t="str">
        <x:f>IF('Design &amp; Insights'!H358="","",'Design &amp; Insights'!H358)</x:f>
      </x:c>
      <x:c r="J1730" s="12" t="n">
        <x:f>IF('Design &amp; Insights'!I358="","",'Design &amp; Insights'!I358)</x:f>
        <x:v>46295</x:v>
      </x:c>
      <x:c r="K1730" s="12" t="str">
        <x:f>IF('Design &amp; Insights'!J358="","",'Design &amp; Insights'!J358)</x:f>
      </x:c>
      <x:c r="L1730" s="2" t="str">
        <x:f>IF('Design &amp; Insights'!K358="","",'Design &amp; Insights'!K358)</x:f>
      </x:c>
      <x:c r="M1730" s="2" t="n">
        <x:f>'Design &amp; Insights'!Q358</x:f>
        <x:v>1</x:v>
      </x:c>
      <x:c r="N1730" s="2" t="str">
        <x:f>'Design &amp; Insights'!L358</x:f>
        <x:v>Not started</x:v>
      </x:c>
      <x:c r="O1730" s="2" t="str">
        <x:f>'Design &amp; Insights'!N358</x:f>
        <x:v>DI.CS.2.3.2026.CY3</x:v>
      </x:c>
      <x:c r="P1730" s="2" t="n">
        <x:f>'Design &amp; Insights'!O358</x:f>
        <x:v>0</x:v>
      </x:c>
      <x:c r="Q1730" s="2" t="n">
        <x:f>SUBTOTAL(103,O1730)</x:f>
        <x:v>1</x:v>
      </x:c>
      <x:c r="R1730" s="2" t="n">
        <x:f>IF(AND(M1730=1,OR(Dashboard!$B$7="All",Dashboard!$B$7='Cycles &amp; Guide'!$C$5),OR(Dashboard!$D$7="All",Dashboard!$D$7=B1730),OR(Dashboard!$F$7="All",Dashboard!$F$7=C1730),OR(Dashboard!$H$7="All",Dashboard!$H$7=D1730),OR(Dashboard!$K$7="All",Dashboard!$K$7=E1730)),1,0)</x:f>
        <x:v>1</x:v>
      </x:c>
      <x:c r="S1730" s="2" t="n">
        <x:f>IF(R1730=1,SUM($R$10:R1730),0)</x:f>
        <x:v>1357</x:v>
      </x:c>
      <x:c r="T1730" s="2" t="str">
        <x:v>Design &amp; Insights</x:v>
      </x:c>
      <x:c r="U1730" s="2" t="n">
        <x:v>358</x:v>
      </x:c>
      <x:c r="V1730" s="2" t="n">
        <x:f>IF(AND(M1730=1,P1730=0,ISNUMBER(J1730),J1730&lt;TODAY()),1,0)</x:f>
        <x:v>0</x:v>
      </x:c>
      <x:c r="W1730" s="2" t="str">
        <x:f>'Design &amp; Insights'!M358</x:f>
        <x:v>Task</x:v>
      </x:c>
    </x:row>
    <x:row r="1731" ht="40" customHeight="1">
      <x:c r="A1731" s="3" t="str">
        <x:f>HYPERLINK("#'Design &amp; Insights'!A359","Open")</x:f>
        <x:v>Open</x:v>
      </x:c>
      <x:c r="B1731" s="2" t="str">
        <x:f>'Design &amp; Insights'!B359</x:f>
        <x:v>Cycle 3</x:v>
      </x:c>
      <x:c r="C1731" s="2" t="str">
        <x:f>'Design &amp; Insights'!C359</x:f>
        <x:v>Phase 2</x:v>
      </x:c>
      <x:c r="D1731" s="2" t="str">
        <x:f>'Design &amp; Insights'!D359</x:f>
        <x:v>CSBBO - Customer Service</x:v>
      </x:c>
      <x:c r="E1731" s="2" t="str">
        <x:v>Design &amp; Insights</x:v>
      </x:c>
      <x:c r="F1731" s="56" t="str">
        <x:f>'Design &amp; Insights'!E359</x:f>
        <x:v>DI.CS.2.4</x:v>
      </x:c>
      <x:c r="G1731" s="14" t="str">
        <x:f>'Design &amp; Insights'!F359</x:f>
        <x:v>Begin development of presentation materials as Research is being completed</x:v>
      </x:c>
      <x:c r="H1731" s="2" t="str">
        <x:f>IF('Design &amp; Insights'!G359="","",'Design &amp; Insights'!G359)</x:f>
      </x:c>
      <x:c r="I1731" s="12" t="str">
        <x:f>IF('Design &amp; Insights'!H359="","",'Design &amp; Insights'!H359)</x:f>
      </x:c>
      <x:c r="J1731" s="12" t="n">
        <x:f>IF('Design &amp; Insights'!I359="","",'Design &amp; Insights'!I359)</x:f>
        <x:v>46295</x:v>
      </x:c>
      <x:c r="K1731" s="12" t="str">
        <x:f>IF('Design &amp; Insights'!J359="","",'Design &amp; Insights'!J359)</x:f>
      </x:c>
      <x:c r="L1731" s="2" t="str">
        <x:f>IF('Design &amp; Insights'!K359="","",'Design &amp; Insights'!K359)</x:f>
      </x:c>
      <x:c r="M1731" s="2" t="n">
        <x:f>'Design &amp; Insights'!Q359</x:f>
        <x:v>1</x:v>
      </x:c>
      <x:c r="N1731" s="2" t="str">
        <x:f>'Design &amp; Insights'!L359</x:f>
        <x:v>Not started</x:v>
      </x:c>
      <x:c r="O1731" s="2" t="str">
        <x:f>'Design &amp; Insights'!N359</x:f>
        <x:v>DI.CS.2.4.2026.CY3</x:v>
      </x:c>
      <x:c r="P1731" s="2" t="n">
        <x:f>'Design &amp; Insights'!O359</x:f>
        <x:v>0</x:v>
      </x:c>
      <x:c r="Q1731" s="2" t="n">
        <x:f>SUBTOTAL(103,O1731)</x:f>
        <x:v>1</x:v>
      </x:c>
      <x:c r="R1731" s="2" t="n">
        <x:f>IF(AND(M1731=1,OR(Dashboard!$B$7="All",Dashboard!$B$7='Cycles &amp; Guide'!$C$5),OR(Dashboard!$D$7="All",Dashboard!$D$7=B1731),OR(Dashboard!$F$7="All",Dashboard!$F$7=C1731),OR(Dashboard!$H$7="All",Dashboard!$H$7=D1731),OR(Dashboard!$K$7="All",Dashboard!$K$7=E1731)),1,0)</x:f>
        <x:v>1</x:v>
      </x:c>
      <x:c r="S1731" s="2" t="n">
        <x:f>IF(R1731=1,SUM($R$10:R1731),0)</x:f>
        <x:v>1358</x:v>
      </x:c>
      <x:c r="T1731" s="2" t="str">
        <x:v>Design &amp; Insights</x:v>
      </x:c>
      <x:c r="U1731" s="2" t="n">
        <x:v>359</x:v>
      </x:c>
      <x:c r="V1731" s="2" t="n">
        <x:f>IF(AND(M1731=1,P1731=0,ISNUMBER(J1731),J1731&lt;TODAY()),1,0)</x:f>
        <x:v>0</x:v>
      </x:c>
      <x:c r="W1731" s="2" t="str">
        <x:f>'Design &amp; Insights'!M359</x:f>
        <x:v>Task</x:v>
      </x:c>
    </x:row>
    <x:row r="1732" ht="40" customHeight="1">
      <x:c r="A1732" s="3" t="str">
        <x:f>HYPERLINK("#'Design &amp; Insights'!A360","Open")</x:f>
        <x:v>Open</x:v>
      </x:c>
      <x:c r="B1732" s="2" t="str">
        <x:f>'Design &amp; Insights'!B360</x:f>
        <x:v>Cycle 3</x:v>
      </x:c>
      <x:c r="C1732" s="2" t="str">
        <x:f>'Design &amp; Insights'!C360</x:f>
        <x:v>Phase 2</x:v>
      </x:c>
      <x:c r="D1732" s="2" t="str">
        <x:f>'Design &amp; Insights'!D360</x:f>
        <x:v>CSBBO - Customer Service</x:v>
      </x:c>
      <x:c r="E1732" s="2" t="str">
        <x:v>Design &amp; Insights</x:v>
      </x:c>
      <x:c r="F1732" s="56" t="str">
        <x:f>'Design &amp; Insights'!E360</x:f>
        <x:v>DI.CS.2.5</x:v>
      </x:c>
      <x:c r="G1732" s="14" t="str">
        <x:f>'Design &amp; Insights'!F360</x:f>
        <x:v>Draft initial enhancement recommendations (as applicable)</x:v>
      </x:c>
      <x:c r="H1732" s="2" t="str">
        <x:f>IF('Design &amp; Insights'!G360="","",'Design &amp; Insights'!G360)</x:f>
      </x:c>
      <x:c r="I1732" s="12" t="str">
        <x:f>IF('Design &amp; Insights'!H360="","",'Design &amp; Insights'!H360)</x:f>
      </x:c>
      <x:c r="J1732" s="12" t="n">
        <x:f>IF('Design &amp; Insights'!I360="","",'Design &amp; Insights'!I360)</x:f>
        <x:v>46295</x:v>
      </x:c>
      <x:c r="K1732" s="12" t="str">
        <x:f>IF('Design &amp; Insights'!J360="","",'Design &amp; Insights'!J360)</x:f>
      </x:c>
      <x:c r="L1732" s="2" t="str">
        <x:f>IF('Design &amp; Insights'!K360="","",'Design &amp; Insights'!K360)</x:f>
      </x:c>
      <x:c r="M1732" s="2" t="n">
        <x:f>'Design &amp; Insights'!Q360</x:f>
        <x:v>1</x:v>
      </x:c>
      <x:c r="N1732" s="2" t="str">
        <x:f>'Design &amp; Insights'!L360</x:f>
        <x:v>Not started</x:v>
      </x:c>
      <x:c r="O1732" s="2" t="str">
        <x:f>'Design &amp; Insights'!N360</x:f>
        <x:v>DI.CS.2.5.2026.CY3</x:v>
      </x:c>
      <x:c r="P1732" s="2" t="n">
        <x:f>'Design &amp; Insights'!O360</x:f>
        <x:v>0</x:v>
      </x:c>
      <x:c r="Q1732" s="2" t="n">
        <x:f>SUBTOTAL(103,O1732)</x:f>
        <x:v>1</x:v>
      </x:c>
      <x:c r="R1732" s="2" t="n">
        <x:f>IF(AND(M1732=1,OR(Dashboard!$B$7="All",Dashboard!$B$7='Cycles &amp; Guide'!$C$5),OR(Dashboard!$D$7="All",Dashboard!$D$7=B1732),OR(Dashboard!$F$7="All",Dashboard!$F$7=C1732),OR(Dashboard!$H$7="All",Dashboard!$H$7=D1732),OR(Dashboard!$K$7="All",Dashboard!$K$7=E1732)),1,0)</x:f>
        <x:v>1</x:v>
      </x:c>
      <x:c r="S1732" s="2" t="n">
        <x:f>IF(R1732=1,SUM($R$10:R1732),0)</x:f>
        <x:v>1359</x:v>
      </x:c>
      <x:c r="T1732" s="2" t="str">
        <x:v>Design &amp; Insights</x:v>
      </x:c>
      <x:c r="U1732" s="2" t="n">
        <x:v>360</x:v>
      </x:c>
      <x:c r="V1732" s="2" t="n">
        <x:f>IF(AND(M1732=1,P1732=0,ISNUMBER(J1732),J1732&lt;TODAY()),1,0)</x:f>
        <x:v>0</x:v>
      </x:c>
      <x:c r="W1732" s="2" t="str">
        <x:f>'Design &amp; Insights'!M360</x:f>
        <x:v>Task</x:v>
      </x:c>
    </x:row>
    <x:row r="1733" ht="40" customHeight="1">
      <x:c r="A1733" s="3" t="str">
        <x:f>HYPERLINK("#'Design &amp; Insights'!A361","Open")</x:f>
        <x:v>Open</x:v>
      </x:c>
      <x:c r="B1733" s="2" t="str">
        <x:f>'Design &amp; Insights'!B361</x:f>
        <x:v>Cycle 3</x:v>
      </x:c>
      <x:c r="C1733" s="2" t="str">
        <x:f>'Design &amp; Insights'!C361</x:f>
        <x:v>Phase 2</x:v>
      </x:c>
      <x:c r="D1733" s="2" t="str">
        <x:f>'Design &amp; Insights'!D361</x:f>
        <x:v>CSBBO - Customer Service</x:v>
      </x:c>
      <x:c r="E1733" s="2" t="str">
        <x:v>Design &amp; Insights</x:v>
      </x:c>
      <x:c r="F1733" s="56" t="str">
        <x:f>'Design &amp; Insights'!E361</x:f>
        <x:v>DI.CS.2.6</x:v>
      </x:c>
      <x:c r="G1733" s="14" t="str">
        <x:f>'Design &amp; Insights'!F361</x:f>
        <x:v>Finalize presentation deck draft at conclusion of Research phase</x:v>
      </x:c>
      <x:c r="H1733" s="2" t="str">
        <x:f>IF('Design &amp; Insights'!G361="","",'Design &amp; Insights'!G361)</x:f>
      </x:c>
      <x:c r="I1733" s="12" t="str">
        <x:f>IF('Design &amp; Insights'!H361="","",'Design &amp; Insights'!H361)</x:f>
      </x:c>
      <x:c r="J1733" s="12" t="n">
        <x:f>IF('Design &amp; Insights'!I361="","",'Design &amp; Insights'!I361)</x:f>
        <x:v>46295</x:v>
      </x:c>
      <x:c r="K1733" s="12" t="str">
        <x:f>IF('Design &amp; Insights'!J361="","",'Design &amp; Insights'!J361)</x:f>
      </x:c>
      <x:c r="L1733" s="2" t="str">
        <x:f>IF('Design &amp; Insights'!K361="","",'Design &amp; Insights'!K361)</x:f>
      </x:c>
      <x:c r="M1733" s="2" t="n">
        <x:f>'Design &amp; Insights'!Q361</x:f>
        <x:v>1</x:v>
      </x:c>
      <x:c r="N1733" s="2" t="str">
        <x:f>'Design &amp; Insights'!L361</x:f>
        <x:v>Not started</x:v>
      </x:c>
      <x:c r="O1733" s="2" t="str">
        <x:f>'Design &amp; Insights'!N361</x:f>
        <x:v>DI.CS.2.6.2026.CY3</x:v>
      </x:c>
      <x:c r="P1733" s="2" t="n">
        <x:f>'Design &amp; Insights'!O361</x:f>
        <x:v>0</x:v>
      </x:c>
      <x:c r="Q1733" s="2" t="n">
        <x:f>SUBTOTAL(103,O1733)</x:f>
        <x:v>1</x:v>
      </x:c>
      <x:c r="R1733" s="2" t="n">
        <x:f>IF(AND(M1733=1,OR(Dashboard!$B$7="All",Dashboard!$B$7='Cycles &amp; Guide'!$C$5),OR(Dashboard!$D$7="All",Dashboard!$D$7=B1733),OR(Dashboard!$F$7="All",Dashboard!$F$7=C1733),OR(Dashboard!$H$7="All",Dashboard!$H$7=D1733),OR(Dashboard!$K$7="All",Dashboard!$K$7=E1733)),1,0)</x:f>
        <x:v>1</x:v>
      </x:c>
      <x:c r="S1733" s="2" t="n">
        <x:f>IF(R1733=1,SUM($R$10:R1733),0)</x:f>
        <x:v>1360</x:v>
      </x:c>
      <x:c r="T1733" s="2" t="str">
        <x:v>Design &amp; Insights</x:v>
      </x:c>
      <x:c r="U1733" s="2" t="n">
        <x:v>361</x:v>
      </x:c>
      <x:c r="V1733" s="2" t="n">
        <x:f>IF(AND(M1733=1,P1733=0,ISNUMBER(J1733),J1733&lt;TODAY()),1,0)</x:f>
        <x:v>0</x:v>
      </x:c>
      <x:c r="W1733" s="2" t="str">
        <x:f>'Design &amp; Insights'!M361</x:f>
        <x:v>Task</x:v>
      </x:c>
    </x:row>
    <x:row r="1734" ht="40" customHeight="1">
      <x:c r="A1734" s="3" t="str">
        <x:f>HYPERLINK("#'Design &amp; Insights'!A362","Open")</x:f>
        <x:v>Open</x:v>
      </x:c>
      <x:c r="B1734" s="2" t="str">
        <x:f>'Design &amp; Insights'!B362</x:f>
        <x:v>Cycle 3</x:v>
      </x:c>
      <x:c r="C1734" s="2" t="str">
        <x:f>'Design &amp; Insights'!C362</x:f>
        <x:v>Phase 2</x:v>
      </x:c>
      <x:c r="D1734" s="2" t="str">
        <x:f>'Design &amp; Insights'!D362</x:f>
        <x:v>CSBBO - Customer Service</x:v>
      </x:c>
      <x:c r="E1734" s="2" t="str">
        <x:v>Design &amp; Insights</x:v>
      </x:c>
      <x:c r="F1734" s="56" t="str">
        <x:f>'Design &amp; Insights'!E362</x:f>
        <x:v>DI.CS.2.7</x:v>
      </x:c>
      <x:c r="G1734" s="14" t="str">
        <x:f>'Design &amp; Insights'!F362</x:f>
        <x:v>Update Outcome portion of research plan with current enhancement verbiage (as needed)</x:v>
      </x:c>
      <x:c r="H1734" s="2" t="str">
        <x:f>IF('Design &amp; Insights'!G362="","",'Design &amp; Insights'!G362)</x:f>
      </x:c>
      <x:c r="I1734" s="12" t="str">
        <x:f>IF('Design &amp; Insights'!H362="","",'Design &amp; Insights'!H362)</x:f>
      </x:c>
      <x:c r="J1734" s="12" t="n">
        <x:f>IF('Design &amp; Insights'!I362="","",'Design &amp; Insights'!I362)</x:f>
        <x:v>46295</x:v>
      </x:c>
      <x:c r="K1734" s="12" t="str">
        <x:f>IF('Design &amp; Insights'!J362="","",'Design &amp; Insights'!J362)</x:f>
      </x:c>
      <x:c r="L1734" s="2" t="str">
        <x:f>IF('Design &amp; Insights'!K362="","",'Design &amp; Insights'!K362)</x:f>
      </x:c>
      <x:c r="M1734" s="2" t="n">
        <x:f>'Design &amp; Insights'!Q362</x:f>
        <x:v>1</x:v>
      </x:c>
      <x:c r="N1734" s="2" t="str">
        <x:f>'Design &amp; Insights'!L362</x:f>
        <x:v>Not started</x:v>
      </x:c>
      <x:c r="O1734" s="2" t="str">
        <x:f>'Design &amp; Insights'!N362</x:f>
        <x:v>DI.CS.2.7.2026.CY3</x:v>
      </x:c>
      <x:c r="P1734" s="2" t="n">
        <x:f>'Design &amp; Insights'!O362</x:f>
        <x:v>0</x:v>
      </x:c>
      <x:c r="Q1734" s="2" t="n">
        <x:f>SUBTOTAL(103,O1734)</x:f>
        <x:v>1</x:v>
      </x:c>
      <x:c r="R1734" s="2" t="n">
        <x:f>IF(AND(M1734=1,OR(Dashboard!$B$7="All",Dashboard!$B$7='Cycles &amp; Guide'!$C$5),OR(Dashboard!$D$7="All",Dashboard!$D$7=B1734),OR(Dashboard!$F$7="All",Dashboard!$F$7=C1734),OR(Dashboard!$H$7="All",Dashboard!$H$7=D1734),OR(Dashboard!$K$7="All",Dashboard!$K$7=E1734)),1,0)</x:f>
        <x:v>1</x:v>
      </x:c>
      <x:c r="S1734" s="2" t="n">
        <x:f>IF(R1734=1,SUM($R$10:R1734),0)</x:f>
        <x:v>1361</x:v>
      </x:c>
      <x:c r="T1734" s="2" t="str">
        <x:v>Design &amp; Insights</x:v>
      </x:c>
      <x:c r="U1734" s="2" t="n">
        <x:v>362</x:v>
      </x:c>
      <x:c r="V1734" s="2" t="n">
        <x:f>IF(AND(M1734=1,P1734=0,ISNUMBER(J1734),J1734&lt;TODAY()),1,0)</x:f>
        <x:v>0</x:v>
      </x:c>
      <x:c r="W1734" s="2" t="str">
        <x:f>'Design &amp; Insights'!M362</x:f>
        <x:v>Task</x:v>
      </x:c>
    </x:row>
    <x:row r="1735" ht="40" customHeight="1">
      <x:c r="A1735" s="3" t="str">
        <x:f>HYPERLINK("#'Design &amp; Insights'!A363","Open")</x:f>
        <x:v>Open</x:v>
      </x:c>
      <x:c r="B1735" s="2" t="str">
        <x:f>'Design &amp; Insights'!B363</x:f>
        <x:v>Cycle 3</x:v>
      </x:c>
      <x:c r="C1735" s="2" t="str">
        <x:f>'Design &amp; Insights'!C363</x:f>
        <x:v>Phase 3</x:v>
      </x:c>
      <x:c r="D1735" s="2" t="str">
        <x:f>'Design &amp; Insights'!D363</x:f>
        <x:v>CSBBO - Customer Service</x:v>
      </x:c>
      <x:c r="E1735" s="2" t="str">
        <x:v>Design &amp; Insights</x:v>
      </x:c>
      <x:c r="F1735" s="56" t="str">
        <x:f>'Design &amp; Insights'!E363</x:f>
        <x:v>DI.CS.3.1</x:v>
      </x:c>
      <x:c r="G1735" s="14" t="str">
        <x:f>'Design &amp; Insights'!F363</x:f>
        <x:v>Confirm list of required &amp; optional attendees for pre-socialization meeting</x:v>
      </x:c>
      <x:c r="H1735" s="2" t="str">
        <x:f>IF('Design &amp; Insights'!G363="","",'Design &amp; Insights'!G363)</x:f>
      </x:c>
      <x:c r="I1735" s="12" t="str">
        <x:f>IF('Design &amp; Insights'!H363="","",'Design &amp; Insights'!H363)</x:f>
      </x:c>
      <x:c r="J1735" s="12" t="n">
        <x:f>IF('Design &amp; Insights'!I363="","",'Design &amp; Insights'!I363)</x:f>
        <x:v>46295</x:v>
      </x:c>
      <x:c r="K1735" s="12" t="str">
        <x:f>IF('Design &amp; Insights'!J363="","",'Design &amp; Insights'!J363)</x:f>
      </x:c>
      <x:c r="L1735" s="2" t="str">
        <x:f>IF('Design &amp; Insights'!K363="","",'Design &amp; Insights'!K363)</x:f>
      </x:c>
      <x:c r="M1735" s="2" t="n">
        <x:f>'Design &amp; Insights'!Q363</x:f>
        <x:v>1</x:v>
      </x:c>
      <x:c r="N1735" s="2" t="str">
        <x:f>'Design &amp; Insights'!L363</x:f>
        <x:v>Not started</x:v>
      </x:c>
      <x:c r="O1735" s="2" t="str">
        <x:f>'Design &amp; Insights'!N363</x:f>
        <x:v>DI.CS.3.1.2026.CY3</x:v>
      </x:c>
      <x:c r="P1735" s="2" t="n">
        <x:f>'Design &amp; Insights'!O363</x:f>
        <x:v>0</x:v>
      </x:c>
      <x:c r="Q1735" s="2" t="n">
        <x:f>SUBTOTAL(103,O1735)</x:f>
        <x:v>1</x:v>
      </x:c>
      <x:c r="R1735" s="2" t="n">
        <x:f>IF(AND(M1735=1,OR(Dashboard!$B$7="All",Dashboard!$B$7='Cycles &amp; Guide'!$C$5),OR(Dashboard!$D$7="All",Dashboard!$D$7=B1735),OR(Dashboard!$F$7="All",Dashboard!$F$7=C1735),OR(Dashboard!$H$7="All",Dashboard!$H$7=D1735),OR(Dashboard!$K$7="All",Dashboard!$K$7=E1735)),1,0)</x:f>
        <x:v>1</x:v>
      </x:c>
      <x:c r="S1735" s="2" t="n">
        <x:f>IF(R1735=1,SUM($R$10:R1735),0)</x:f>
        <x:v>1362</x:v>
      </x:c>
      <x:c r="T1735" s="2" t="str">
        <x:v>Design &amp; Insights</x:v>
      </x:c>
      <x:c r="U1735" s="2" t="n">
        <x:v>363</x:v>
      </x:c>
      <x:c r="V1735" s="2" t="n">
        <x:f>IF(AND(M1735=1,P1735=0,ISNUMBER(J1735),J1735&lt;TODAY()),1,0)</x:f>
        <x:v>0</x:v>
      </x:c>
      <x:c r="W1735" s="2" t="str">
        <x:f>'Design &amp; Insights'!M363</x:f>
        <x:v>Task</x:v>
      </x:c>
    </x:row>
    <x:row r="1736" ht="40" customHeight="1">
      <x:c r="A1736" s="3" t="str">
        <x:f>HYPERLINK("#'Design &amp; Insights'!A364","Open")</x:f>
        <x:v>Open</x:v>
      </x:c>
      <x:c r="B1736" s="2" t="str">
        <x:f>'Design &amp; Insights'!B364</x:f>
        <x:v>Cycle 3</x:v>
      </x:c>
      <x:c r="C1736" s="2" t="str">
        <x:f>'Design &amp; Insights'!C364</x:f>
        <x:v>Phase 3</x:v>
      </x:c>
      <x:c r="D1736" s="2" t="str">
        <x:f>'Design &amp; Insights'!D364</x:f>
        <x:v>CSBBO - Customer Service</x:v>
      </x:c>
      <x:c r="E1736" s="2" t="str">
        <x:v>Design &amp; Insights</x:v>
      </x:c>
      <x:c r="F1736" s="56" t="str">
        <x:f>'Design &amp; Insights'!E364</x:f>
        <x:v>DI.CS.3.2</x:v>
      </x:c>
      <x:c r="G1736" s="14" t="str">
        <x:f>'Design &amp; Insights'!F364</x:f>
        <x:v>Schedule pre-socialization meeting 1 week prior to RCA Forum</x:v>
      </x:c>
      <x:c r="H1736" s="2" t="str">
        <x:f>IF('Design &amp; Insights'!G364="","",'Design &amp; Insights'!G364)</x:f>
      </x:c>
      <x:c r="I1736" s="12" t="str">
        <x:f>IF('Design &amp; Insights'!H364="","",'Design &amp; Insights'!H364)</x:f>
      </x:c>
      <x:c r="J1736" s="12" t="str">
        <x:f>IF('Design &amp; Insights'!I364="","",'Design &amp; Insights'!I364)</x:f>
      </x:c>
      <x:c r="K1736" s="12" t="str">
        <x:f>IF('Design &amp; Insights'!J364="","",'Design &amp; Insights'!J364)</x:f>
      </x:c>
      <x:c r="L1736" s="2" t="str">
        <x:f>IF('Design &amp; Insights'!K364="","",'Design &amp; Insights'!K364)</x:f>
      </x:c>
      <x:c r="M1736" s="2" t="n">
        <x:f>'Design &amp; Insights'!Q364</x:f>
        <x:v>1</x:v>
      </x:c>
      <x:c r="N1736" s="2" t="str">
        <x:f>'Design &amp; Insights'!L364</x:f>
        <x:v>Not started</x:v>
      </x:c>
      <x:c r="O1736" s="2" t="str">
        <x:f>'Design &amp; Insights'!N364</x:f>
        <x:v>DI.CS.3.2.2026.CY3</x:v>
      </x:c>
      <x:c r="P1736" s="2" t="n">
        <x:f>'Design &amp; Insights'!O364</x:f>
        <x:v>0</x:v>
      </x:c>
      <x:c r="Q1736" s="2" t="n">
        <x:f>SUBTOTAL(103,O1736)</x:f>
        <x:v>1</x:v>
      </x:c>
      <x:c r="R1736" s="2" t="n">
        <x:f>IF(AND(M1736=1,OR(Dashboard!$B$7="All",Dashboard!$B$7='Cycles &amp; Guide'!$C$5),OR(Dashboard!$D$7="All",Dashboard!$D$7=B1736),OR(Dashboard!$F$7="All",Dashboard!$F$7=C1736),OR(Dashboard!$H$7="All",Dashboard!$H$7=D1736),OR(Dashboard!$K$7="All",Dashboard!$K$7=E1736)),1,0)</x:f>
        <x:v>1</x:v>
      </x:c>
      <x:c r="S1736" s="2" t="n">
        <x:f>IF(R1736=1,SUM($R$10:R1736),0)</x:f>
        <x:v>1363</x:v>
      </x:c>
      <x:c r="T1736" s="2" t="str">
        <x:v>Design &amp; Insights</x:v>
      </x:c>
      <x:c r="U1736" s="2" t="n">
        <x:v>364</x:v>
      </x:c>
      <x:c r="V1736" s="2" t="n">
        <x:f>IF(AND(M1736=1,P1736=0,ISNUMBER(J1736),J1736&lt;TODAY()),1,0)</x:f>
        <x:v>0</x:v>
      </x:c>
      <x:c r="W1736" s="2" t="str">
        <x:f>'Design &amp; Insights'!M364</x:f>
        <x:v>Task</x:v>
      </x:c>
    </x:row>
    <x:row r="1737" ht="40" customHeight="1">
      <x:c r="A1737" s="3" t="str">
        <x:f>HYPERLINK("#'Design &amp; Insights'!A365","Open")</x:f>
        <x:v>Open</x:v>
      </x:c>
      <x:c r="B1737" s="2" t="str">
        <x:f>'Design &amp; Insights'!B365</x:f>
        <x:v>Cycle 3</x:v>
      </x:c>
      <x:c r="C1737" s="2" t="str">
        <x:f>'Design &amp; Insights'!C365</x:f>
        <x:v>Phase 3</x:v>
      </x:c>
      <x:c r="D1737" s="2" t="str">
        <x:f>'Design &amp; Insights'!D365</x:f>
        <x:v>CSBBO - Customer Service</x:v>
      </x:c>
      <x:c r="E1737" s="2" t="str">
        <x:v>Design &amp; Insights</x:v>
      </x:c>
      <x:c r="F1737" s="56" t="str">
        <x:f>'Design &amp; Insights'!E365</x:f>
        <x:v>DI.CS.3.3</x:v>
      </x:c>
      <x:c r="G1737" s="14" t="str">
        <x:f>'Design &amp; Insights'!F365</x:f>
        <x:v>Present findings, conclusions, and recommendation to SMEs</x:v>
      </x:c>
      <x:c r="H1737" s="2" t="str">
        <x:f>IF('Design &amp; Insights'!G365="","",'Design &amp; Insights'!G365)</x:f>
      </x:c>
      <x:c r="I1737" s="12" t="str">
        <x:f>IF('Design &amp; Insights'!H365="","",'Design &amp; Insights'!H365)</x:f>
      </x:c>
      <x:c r="J1737" s="12" t="n">
        <x:f>IF('Design &amp; Insights'!I365="","",'Design &amp; Insights'!I365)</x:f>
        <x:v>46295</x:v>
      </x:c>
      <x:c r="K1737" s="12" t="str">
        <x:f>IF('Design &amp; Insights'!J365="","",'Design &amp; Insights'!J365)</x:f>
      </x:c>
      <x:c r="L1737" s="2" t="str">
        <x:f>IF('Design &amp; Insights'!K365="","",'Design &amp; Insights'!K365)</x:f>
      </x:c>
      <x:c r="M1737" s="2" t="n">
        <x:f>'Design &amp; Insights'!Q365</x:f>
        <x:v>1</x:v>
      </x:c>
      <x:c r="N1737" s="2" t="str">
        <x:f>'Design &amp; Insights'!L365</x:f>
        <x:v>Not started</x:v>
      </x:c>
      <x:c r="O1737" s="2" t="str">
        <x:f>'Design &amp; Insights'!N365</x:f>
        <x:v>DI.CS.3.3.2026.CY3</x:v>
      </x:c>
      <x:c r="P1737" s="2" t="n">
        <x:f>'Design &amp; Insights'!O365</x:f>
        <x:v>0</x:v>
      </x:c>
      <x:c r="Q1737" s="2" t="n">
        <x:f>SUBTOTAL(103,O1737)</x:f>
        <x:v>1</x:v>
      </x:c>
      <x:c r="R1737" s="2" t="n">
        <x:f>IF(AND(M1737=1,OR(Dashboard!$B$7="All",Dashboard!$B$7='Cycles &amp; Guide'!$C$5),OR(Dashboard!$D$7="All",Dashboard!$D$7=B1737),OR(Dashboard!$F$7="All",Dashboard!$F$7=C1737),OR(Dashboard!$H$7="All",Dashboard!$H$7=D1737),OR(Dashboard!$K$7="All",Dashboard!$K$7=E1737)),1,0)</x:f>
        <x:v>1</x:v>
      </x:c>
      <x:c r="S1737" s="2" t="n">
        <x:f>IF(R1737=1,SUM($R$10:R1737),0)</x:f>
        <x:v>1364</x:v>
      </x:c>
      <x:c r="T1737" s="2" t="str">
        <x:v>Design &amp; Insights</x:v>
      </x:c>
      <x:c r="U1737" s="2" t="n">
        <x:v>365</x:v>
      </x:c>
      <x:c r="V1737" s="2" t="n">
        <x:f>IF(AND(M1737=1,P1737=0,ISNUMBER(J1737),J1737&lt;TODAY()),1,0)</x:f>
        <x:v>0</x:v>
      </x:c>
      <x:c r="W1737" s="2" t="str">
        <x:f>'Design &amp; Insights'!M365</x:f>
        <x:v>Task</x:v>
      </x:c>
    </x:row>
    <x:row r="1738" ht="40" customHeight="1">
      <x:c r="A1738" s="3" t="str">
        <x:f>HYPERLINK("#'Design &amp; Insights'!A366","Open")</x:f>
        <x:v>Open</x:v>
      </x:c>
      <x:c r="B1738" s="2" t="str">
        <x:f>'Design &amp; Insights'!B366</x:f>
        <x:v>Cycle 3</x:v>
      </x:c>
      <x:c r="C1738" s="2" t="str">
        <x:f>'Design &amp; Insights'!C366</x:f>
        <x:v>Phase 3</x:v>
      </x:c>
      <x:c r="D1738" s="2" t="str">
        <x:f>'Design &amp; Insights'!D366</x:f>
        <x:v>CSBBO - Customer Service</x:v>
      </x:c>
      <x:c r="E1738" s="2" t="str">
        <x:v>Design &amp; Insights</x:v>
      </x:c>
      <x:c r="F1738" s="56" t="str">
        <x:f>'Design &amp; Insights'!E366</x:f>
        <x:v>DI.CS.3.4</x:v>
      </x:c>
      <x:c r="G1738" s="14" t="str">
        <x:f>'Design &amp; Insights'!F366</x:f>
        <x:v>Update Outcome portion of research plan (as needed)</x:v>
      </x:c>
      <x:c r="H1738" s="2" t="str">
        <x:f>IF('Design &amp; Insights'!G366="","",'Design &amp; Insights'!G366)</x:f>
      </x:c>
      <x:c r="I1738" s="12" t="str">
        <x:f>IF('Design &amp; Insights'!H366="","",'Design &amp; Insights'!H366)</x:f>
      </x:c>
      <x:c r="J1738" s="12" t="n">
        <x:f>IF('Design &amp; Insights'!I366="","",'Design &amp; Insights'!I366)</x:f>
        <x:v>46295</x:v>
      </x:c>
      <x:c r="K1738" s="12" t="str">
        <x:f>IF('Design &amp; Insights'!J366="","",'Design &amp; Insights'!J366)</x:f>
      </x:c>
      <x:c r="L1738" s="2" t="str">
        <x:f>IF('Design &amp; Insights'!K366="","",'Design &amp; Insights'!K366)</x:f>
      </x:c>
      <x:c r="M1738" s="2" t="n">
        <x:f>'Design &amp; Insights'!Q366</x:f>
        <x:v>1</x:v>
      </x:c>
      <x:c r="N1738" s="2" t="str">
        <x:f>'Design &amp; Insights'!L366</x:f>
        <x:v>Not started</x:v>
      </x:c>
      <x:c r="O1738" s="2" t="str">
        <x:f>'Design &amp; Insights'!N366</x:f>
        <x:v>DI.CS.3.4.2026.CY3</x:v>
      </x:c>
      <x:c r="P1738" s="2" t="n">
        <x:f>'Design &amp; Insights'!O366</x:f>
        <x:v>0</x:v>
      </x:c>
      <x:c r="Q1738" s="2" t="n">
        <x:f>SUBTOTAL(103,O1738)</x:f>
        <x:v>1</x:v>
      </x:c>
      <x:c r="R1738" s="2" t="n">
        <x:f>IF(AND(M1738=1,OR(Dashboard!$B$7="All",Dashboard!$B$7='Cycles &amp; Guide'!$C$5),OR(Dashboard!$D$7="All",Dashboard!$D$7=B1738),OR(Dashboard!$F$7="All",Dashboard!$F$7=C1738),OR(Dashboard!$H$7="All",Dashboard!$H$7=D1738),OR(Dashboard!$K$7="All",Dashboard!$K$7=E1738)),1,0)</x:f>
        <x:v>1</x:v>
      </x:c>
      <x:c r="S1738" s="2" t="n">
        <x:f>IF(R1738=1,SUM($R$10:R1738),0)</x:f>
        <x:v>1365</x:v>
      </x:c>
      <x:c r="T1738" s="2" t="str">
        <x:v>Design &amp; Insights</x:v>
      </x:c>
      <x:c r="U1738" s="2" t="n">
        <x:v>366</x:v>
      </x:c>
      <x:c r="V1738" s="2" t="n">
        <x:f>IF(AND(M1738=1,P1738=0,ISNUMBER(J1738),J1738&lt;TODAY()),1,0)</x:f>
        <x:v>0</x:v>
      </x:c>
      <x:c r="W1738" s="2" t="str">
        <x:f>'Design &amp; Insights'!M366</x:f>
        <x:v>Task</x:v>
      </x:c>
    </x:row>
    <x:row r="1739" ht="40" customHeight="1">
      <x:c r="A1739" s="3" t="str">
        <x:f>HYPERLINK("#'Design &amp; Insights'!A367","Open")</x:f>
        <x:v>Open</x:v>
      </x:c>
      <x:c r="B1739" s="2" t="str">
        <x:f>'Design &amp; Insights'!B367</x:f>
        <x:v>Cycle 3</x:v>
      </x:c>
      <x:c r="C1739" s="2" t="str">
        <x:f>'Design &amp; Insights'!C367</x:f>
        <x:v>Phase 3</x:v>
      </x:c>
      <x:c r="D1739" s="2" t="str">
        <x:f>'Design &amp; Insights'!D367</x:f>
        <x:v>CSBBO - Customer Service</x:v>
      </x:c>
      <x:c r="E1739" s="2" t="str">
        <x:v>Design &amp; Insights</x:v>
      </x:c>
      <x:c r="F1739" s="56" t="str">
        <x:f>'Design &amp; Insights'!E367</x:f>
        <x:v>DI.CS.3.5</x:v>
      </x:c>
      <x:c r="G1739" s="14" t="str">
        <x:f>'Design &amp; Insights'!F367</x:f>
        <x:v>Finalize presentation deck by incorporating pre-socialization feedback (as needed)</x:v>
      </x:c>
      <x:c r="H1739" s="2" t="str">
        <x:f>IF('Design &amp; Insights'!G367="","",'Design &amp; Insights'!G367)</x:f>
      </x:c>
      <x:c r="I1739" s="12" t="str">
        <x:f>IF('Design &amp; Insights'!H367="","",'Design &amp; Insights'!H367)</x:f>
      </x:c>
      <x:c r="J1739" s="12" t="n">
        <x:f>IF('Design &amp; Insights'!I367="","",'Design &amp; Insights'!I367)</x:f>
        <x:v>46295</x:v>
      </x:c>
      <x:c r="K1739" s="12" t="str">
        <x:f>IF('Design &amp; Insights'!J367="","",'Design &amp; Insights'!J367)</x:f>
      </x:c>
      <x:c r="L1739" s="2" t="str">
        <x:f>IF('Design &amp; Insights'!K367="","",'Design &amp; Insights'!K367)</x:f>
      </x:c>
      <x:c r="M1739" s="2" t="n">
        <x:f>'Design &amp; Insights'!Q367</x:f>
        <x:v>1</x:v>
      </x:c>
      <x:c r="N1739" s="2" t="str">
        <x:f>'Design &amp; Insights'!L367</x:f>
        <x:v>Not started</x:v>
      </x:c>
      <x:c r="O1739" s="2" t="str">
        <x:f>'Design &amp; Insights'!N367</x:f>
        <x:v>DI.CS.3.5.2026.CY3</x:v>
      </x:c>
      <x:c r="P1739" s="2" t="n">
        <x:f>'Design &amp; Insights'!O367</x:f>
        <x:v>0</x:v>
      </x:c>
      <x:c r="Q1739" s="2" t="n">
        <x:f>SUBTOTAL(103,O1739)</x:f>
        <x:v>1</x:v>
      </x:c>
      <x:c r="R1739" s="2" t="n">
        <x:f>IF(AND(M1739=1,OR(Dashboard!$B$7="All",Dashboard!$B$7='Cycles &amp; Guide'!$C$5),OR(Dashboard!$D$7="All",Dashboard!$D$7=B1739),OR(Dashboard!$F$7="All",Dashboard!$F$7=C1739),OR(Dashboard!$H$7="All",Dashboard!$H$7=D1739),OR(Dashboard!$K$7="All",Dashboard!$K$7=E1739)),1,0)</x:f>
        <x:v>1</x:v>
      </x:c>
      <x:c r="S1739" s="2" t="n">
        <x:f>IF(R1739=1,SUM($R$10:R1739),0)</x:f>
        <x:v>1366</x:v>
      </x:c>
      <x:c r="T1739" s="2" t="str">
        <x:v>Design &amp; Insights</x:v>
      </x:c>
      <x:c r="U1739" s="2" t="n">
        <x:v>367</x:v>
      </x:c>
      <x:c r="V1739" s="2" t="n">
        <x:f>IF(AND(M1739=1,P1739=0,ISNUMBER(J1739),J1739&lt;TODAY()),1,0)</x:f>
        <x:v>0</x:v>
      </x:c>
      <x:c r="W1739" s="2" t="str">
        <x:f>'Design &amp; Insights'!M367</x:f>
        <x:v>Task</x:v>
      </x:c>
    </x:row>
    <x:row r="1740" ht="40" customHeight="1">
      <x:c r="A1740" s="3" t="str">
        <x:f>HYPERLINK("#'Design &amp; Insights'!A368","Open")</x:f>
        <x:v>Open</x:v>
      </x:c>
      <x:c r="B1740" s="2" t="str">
        <x:f>'Design &amp; Insights'!B368</x:f>
        <x:v>Cycle 3</x:v>
      </x:c>
      <x:c r="C1740" s="2" t="str">
        <x:f>'Design &amp; Insights'!C368</x:f>
        <x:v>Phase 3</x:v>
      </x:c>
      <x:c r="D1740" s="2" t="str">
        <x:f>'Design &amp; Insights'!D368</x:f>
        <x:v>CSBBO - Customer Service</x:v>
      </x:c>
      <x:c r="E1740" s="2" t="str">
        <x:v>Design &amp; Insights</x:v>
      </x:c>
      <x:c r="F1740" s="56" t="str">
        <x:f>'Design &amp; Insights'!E368</x:f>
        <x:v>DI.CS.3.6</x:v>
      </x:c>
      <x:c r="G1740" s="14" t="str">
        <x:f>'Design &amp; Insights'!F368</x:f>
        <x:v>Ensure final deck is communicated to Forum attendees</x:v>
      </x:c>
      <x:c r="H1740" s="2" t="str">
        <x:f>IF('Design &amp; Insights'!G368="","",'Design &amp; Insights'!G368)</x:f>
      </x:c>
      <x:c r="I1740" s="12" t="str">
        <x:f>IF('Design &amp; Insights'!H368="","",'Design &amp; Insights'!H368)</x:f>
      </x:c>
      <x:c r="J1740" s="12" t="n">
        <x:f>IF('Design &amp; Insights'!I368="","",'Design &amp; Insights'!I368)</x:f>
        <x:v>46295</x:v>
      </x:c>
      <x:c r="K1740" s="12" t="str">
        <x:f>IF('Design &amp; Insights'!J368="","",'Design &amp; Insights'!J368)</x:f>
      </x:c>
      <x:c r="L1740" s="2" t="str">
        <x:f>IF('Design &amp; Insights'!K368="","",'Design &amp; Insights'!K368)</x:f>
      </x:c>
      <x:c r="M1740" s="2" t="n">
        <x:f>'Design &amp; Insights'!Q368</x:f>
        <x:v>1</x:v>
      </x:c>
      <x:c r="N1740" s="2" t="str">
        <x:f>'Design &amp; Insights'!L368</x:f>
        <x:v>Not started</x:v>
      </x:c>
      <x:c r="O1740" s="2" t="str">
        <x:f>'Design &amp; Insights'!N368</x:f>
        <x:v>DI.CS.3.6.2026.CY3</x:v>
      </x:c>
      <x:c r="P1740" s="2" t="n">
        <x:f>'Design &amp; Insights'!O368</x:f>
        <x:v>0</x:v>
      </x:c>
      <x:c r="Q1740" s="2" t="n">
        <x:f>SUBTOTAL(103,O1740)</x:f>
        <x:v>1</x:v>
      </x:c>
      <x:c r="R1740" s="2" t="n">
        <x:f>IF(AND(M1740=1,OR(Dashboard!$B$7="All",Dashboard!$B$7='Cycles &amp; Guide'!$C$5),OR(Dashboard!$D$7="All",Dashboard!$D$7=B1740),OR(Dashboard!$F$7="All",Dashboard!$F$7=C1740),OR(Dashboard!$H$7="All",Dashboard!$H$7=D1740),OR(Dashboard!$K$7="All",Dashboard!$K$7=E1740)),1,0)</x:f>
        <x:v>1</x:v>
      </x:c>
      <x:c r="S1740" s="2" t="n">
        <x:f>IF(R1740=1,SUM($R$10:R1740),0)</x:f>
        <x:v>1367</x:v>
      </x:c>
      <x:c r="T1740" s="2" t="str">
        <x:v>Design &amp; Insights</x:v>
      </x:c>
      <x:c r="U1740" s="2" t="n">
        <x:v>368</x:v>
      </x:c>
      <x:c r="V1740" s="2" t="n">
        <x:f>IF(AND(M1740=1,P1740=0,ISNUMBER(J1740),J1740&lt;TODAY()),1,0)</x:f>
        <x:v>0</x:v>
      </x:c>
      <x:c r="W1740" s="2" t="str">
        <x:f>'Design &amp; Insights'!M368</x:f>
        <x:v>Task</x:v>
      </x:c>
    </x:row>
    <x:row r="1741" ht="40" customHeight="1">
      <x:c r="A1741" s="3" t="str">
        <x:f>HYPERLINK("#'Design &amp; Insights'!A369","Open")</x:f>
        <x:v>Open</x:v>
      </x:c>
      <x:c r="B1741" s="2" t="str">
        <x:f>'Design &amp; Insights'!B369</x:f>
        <x:v>Cycle 3</x:v>
      </x:c>
      <x:c r="C1741" s="2" t="str">
        <x:f>'Design &amp; Insights'!C369</x:f>
        <x:v>Phase 3</x:v>
      </x:c>
      <x:c r="D1741" s="2" t="str">
        <x:f>'Design &amp; Insights'!D369</x:f>
        <x:v>CSBBO - Customer Service</x:v>
      </x:c>
      <x:c r="E1741" s="2" t="str">
        <x:v>Design &amp; Insights</x:v>
      </x:c>
      <x:c r="F1741" s="56" t="str">
        <x:f>'Design &amp; Insights'!E369</x:f>
        <x:v>DI.CS.3.7</x:v>
      </x:c>
      <x:c r="G1741" s="14" t="str">
        <x:f>'Design &amp; Insights'!F369</x:f>
        <x:v>Present material in RCA Cycle Forum</x:v>
      </x:c>
      <x:c r="H1741" s="2" t="str">
        <x:f>IF('Design &amp; Insights'!G369="","",'Design &amp; Insights'!G369)</x:f>
      </x:c>
      <x:c r="I1741" s="12" t="str">
        <x:f>IF('Design &amp; Insights'!H369="","",'Design &amp; Insights'!H369)</x:f>
      </x:c>
      <x:c r="J1741" s="12" t="str">
        <x:f>IF('Design &amp; Insights'!I369="","",'Design &amp; Insights'!I369)</x:f>
      </x:c>
      <x:c r="K1741" s="12" t="str">
        <x:f>IF('Design &amp; Insights'!J369="","",'Design &amp; Insights'!J369)</x:f>
      </x:c>
      <x:c r="L1741" s="2" t="str">
        <x:f>IF('Design &amp; Insights'!K369="","",'Design &amp; Insights'!K369)</x:f>
      </x:c>
      <x:c r="M1741" s="2" t="n">
        <x:f>'Design &amp; Insights'!Q369</x:f>
        <x:v>1</x:v>
      </x:c>
      <x:c r="N1741" s="2" t="str">
        <x:f>'Design &amp; Insights'!L369</x:f>
        <x:v>Not started</x:v>
      </x:c>
      <x:c r="O1741" s="2" t="str">
        <x:f>'Design &amp; Insights'!N369</x:f>
        <x:v>DI.CS.3.7.2026.CY3</x:v>
      </x:c>
      <x:c r="P1741" s="2" t="n">
        <x:f>'Design &amp; Insights'!O369</x:f>
        <x:v>0</x:v>
      </x:c>
      <x:c r="Q1741" s="2" t="n">
        <x:f>SUBTOTAL(103,O1741)</x:f>
        <x:v>1</x:v>
      </x:c>
      <x:c r="R1741" s="2" t="n">
        <x:f>IF(AND(M1741=1,OR(Dashboard!$B$7="All",Dashboard!$B$7='Cycles &amp; Guide'!$C$5),OR(Dashboard!$D$7="All",Dashboard!$D$7=B1741),OR(Dashboard!$F$7="All",Dashboard!$F$7=C1741),OR(Dashboard!$H$7="All",Dashboard!$H$7=D1741),OR(Dashboard!$K$7="All",Dashboard!$K$7=E1741)),1,0)</x:f>
        <x:v>1</x:v>
      </x:c>
      <x:c r="S1741" s="2" t="n">
        <x:f>IF(R1741=1,SUM($R$10:R1741),0)</x:f>
        <x:v>1368</x:v>
      </x:c>
      <x:c r="T1741" s="2" t="str">
        <x:v>Design &amp; Insights</x:v>
      </x:c>
      <x:c r="U1741" s="2" t="n">
        <x:v>369</x:v>
      </x:c>
      <x:c r="V1741" s="2" t="n">
        <x:f>IF(AND(M1741=1,P1741=0,ISNUMBER(J1741),J1741&lt;TODAY()),1,0)</x:f>
        <x:v>0</x:v>
      </x:c>
      <x:c r="W1741" s="2" t="str">
        <x:f>'Design &amp; Insights'!M369</x:f>
        <x:v>Task</x:v>
      </x:c>
    </x:row>
    <x:row r="1742" ht="40" customHeight="1">
      <x:c r="A1742" s="3" t="str">
        <x:f>HYPERLINK("#'Design &amp; Insights'!A370","Open")</x:f>
        <x:v>Open</x:v>
      </x:c>
      <x:c r="B1742" s="2" t="str">
        <x:f>'Design &amp; Insights'!B370</x:f>
        <x:v>Cycle 3</x:v>
      </x:c>
      <x:c r="C1742" s="2" t="str">
        <x:f>'Design &amp; Insights'!C370</x:f>
        <x:v>Phase 1</x:v>
      </x:c>
      <x:c r="D1742" s="2" t="str">
        <x:f>'Design &amp; Insights'!D370</x:f>
        <x:v>FCM</x:v>
      </x:c>
      <x:c r="E1742" s="2" t="str">
        <x:v>Design &amp; Insights</x:v>
      </x:c>
      <x:c r="F1742" s="56" t="str">
        <x:f>'Design &amp; Insights'!E370</x:f>
        <x:v>DI.FC.1.1</x:v>
      </x:c>
      <x:c r="G1742" s="14" t="str">
        <x:f>'Design &amp; Insights'!F370</x:f>
        <x:v>Receive and review potential research topics at least 2 weeks prior to Cycle start date</x:v>
      </x:c>
      <x:c r="H1742" s="2" t="str">
        <x:f>IF('Design &amp; Insights'!G370="","",'Design &amp; Insights'!G370)</x:f>
      </x:c>
      <x:c r="I1742" s="12" t="str">
        <x:f>IF('Design &amp; Insights'!H370="","",'Design &amp; Insights'!H370)</x:f>
      </x:c>
      <x:c r="J1742" s="12" t="n">
        <x:f>IF('Design &amp; Insights'!I370="","",'Design &amp; Insights'!I370)</x:f>
        <x:v>46190</x:v>
      </x:c>
      <x:c r="K1742" s="12" t="str">
        <x:f>IF('Design &amp; Insights'!J370="","",'Design &amp; Insights'!J370)</x:f>
      </x:c>
      <x:c r="L1742" s="2" t="str">
        <x:f>IF('Design &amp; Insights'!K370="","",'Design &amp; Insights'!K370)</x:f>
      </x:c>
      <x:c r="M1742" s="2" t="n">
        <x:f>'Design &amp; Insights'!Q370</x:f>
        <x:v>1</x:v>
      </x:c>
      <x:c r="N1742" s="2" t="str">
        <x:f>'Design &amp; Insights'!L370</x:f>
        <x:v>Not started</x:v>
      </x:c>
      <x:c r="O1742" s="2" t="str">
        <x:f>'Design &amp; Insights'!N370</x:f>
        <x:v>DI.FC.1.1.2026.CY3</x:v>
      </x:c>
      <x:c r="P1742" s="2" t="n">
        <x:f>'Design &amp; Insights'!O370</x:f>
        <x:v>0</x:v>
      </x:c>
      <x:c r="Q1742" s="2" t="n">
        <x:f>SUBTOTAL(103,O1742)</x:f>
        <x:v>1</x:v>
      </x:c>
      <x:c r="R1742" s="2" t="n">
        <x:f>IF(AND(M1742=1,OR(Dashboard!$B$7="All",Dashboard!$B$7='Cycles &amp; Guide'!$C$5),OR(Dashboard!$D$7="All",Dashboard!$D$7=B1742),OR(Dashboard!$F$7="All",Dashboard!$F$7=C1742),OR(Dashboard!$H$7="All",Dashboard!$H$7=D1742),OR(Dashboard!$K$7="All",Dashboard!$K$7=E1742)),1,0)</x:f>
        <x:v>1</x:v>
      </x:c>
      <x:c r="S1742" s="2" t="n">
        <x:f>IF(R1742=1,SUM($R$10:R1742),0)</x:f>
        <x:v>1369</x:v>
      </x:c>
      <x:c r="T1742" s="2" t="str">
        <x:v>Design &amp; Insights</x:v>
      </x:c>
      <x:c r="U1742" s="2" t="n">
        <x:v>370</x:v>
      </x:c>
      <x:c r="V1742" s="2" t="n">
        <x:f>IF(AND(M1742=1,P1742=0,ISNUMBER(J1742),J1742&lt;TODAY()),1,0)</x:f>
        <x:v>1</x:v>
      </x:c>
      <x:c r="W1742" s="2" t="str">
        <x:f>'Design &amp; Insights'!M370</x:f>
        <x:v>Task</x:v>
      </x:c>
    </x:row>
    <x:row r="1743" ht="40" customHeight="1">
      <x:c r="A1743" s="3" t="str">
        <x:f>HYPERLINK("#'Design &amp; Insights'!A371","Open")</x:f>
        <x:v>Open</x:v>
      </x:c>
      <x:c r="B1743" s="2" t="str">
        <x:f>'Design &amp; Insights'!B371</x:f>
        <x:v>Cycle 3</x:v>
      </x:c>
      <x:c r="C1743" s="2" t="str">
        <x:f>'Design &amp; Insights'!C371</x:f>
        <x:v>Phase 1</x:v>
      </x:c>
      <x:c r="D1743" s="2" t="str">
        <x:f>'Design &amp; Insights'!D371</x:f>
        <x:v>FCM</x:v>
      </x:c>
      <x:c r="E1743" s="2" t="str">
        <x:v>Design &amp; Insights</x:v>
      </x:c>
      <x:c r="F1743" s="56" t="str">
        <x:f>'Design &amp; Insights'!E371</x:f>
        <x:v>DI.FC.1.2</x:v>
      </x:c>
      <x:c r="G1743" s="14" t="str">
        <x:f>'Design &amp; Insights'!F371</x:f>
        <x:v>Communicate any feedback on preferences or concerns with topics identified</x:v>
      </x:c>
      <x:c r="H1743" s="2" t="str">
        <x:f>IF('Design &amp; Insights'!G371="","",'Design &amp; Insights'!G371)</x:f>
      </x:c>
      <x:c r="I1743" s="12" t="str">
        <x:f>IF('Design &amp; Insights'!H371="","",'Design &amp; Insights'!H371)</x:f>
      </x:c>
      <x:c r="J1743" s="12" t="n">
        <x:f>IF('Design &amp; Insights'!I371="","",'Design &amp; Insights'!I371)</x:f>
        <x:v>46295</x:v>
      </x:c>
      <x:c r="K1743" s="12" t="str">
        <x:f>IF('Design &amp; Insights'!J371="","",'Design &amp; Insights'!J371)</x:f>
      </x:c>
      <x:c r="L1743" s="2" t="str">
        <x:f>IF('Design &amp; Insights'!K371="","",'Design &amp; Insights'!K371)</x:f>
      </x:c>
      <x:c r="M1743" s="2" t="n">
        <x:f>'Design &amp; Insights'!Q371</x:f>
        <x:v>1</x:v>
      </x:c>
      <x:c r="N1743" s="2" t="str">
        <x:f>'Design &amp; Insights'!L371</x:f>
        <x:v>Not started</x:v>
      </x:c>
      <x:c r="O1743" s="2" t="str">
        <x:f>'Design &amp; Insights'!N371</x:f>
        <x:v>DI.FC.1.2.2026.CY3</x:v>
      </x:c>
      <x:c r="P1743" s="2" t="n">
        <x:f>'Design &amp; Insights'!O371</x:f>
        <x:v>0</x:v>
      </x:c>
      <x:c r="Q1743" s="2" t="n">
        <x:f>SUBTOTAL(103,O1743)</x:f>
        <x:v>1</x:v>
      </x:c>
      <x:c r="R1743" s="2" t="n">
        <x:f>IF(AND(M1743=1,OR(Dashboard!$B$7="All",Dashboard!$B$7='Cycles &amp; Guide'!$C$5),OR(Dashboard!$D$7="All",Dashboard!$D$7=B1743),OR(Dashboard!$F$7="All",Dashboard!$F$7=C1743),OR(Dashboard!$H$7="All",Dashboard!$H$7=D1743),OR(Dashboard!$K$7="All",Dashboard!$K$7=E1743)),1,0)</x:f>
        <x:v>1</x:v>
      </x:c>
      <x:c r="S1743" s="2" t="n">
        <x:f>IF(R1743=1,SUM($R$10:R1743),0)</x:f>
        <x:v>1370</x:v>
      </x:c>
      <x:c r="T1743" s="2" t="str">
        <x:v>Design &amp; Insights</x:v>
      </x:c>
      <x:c r="U1743" s="2" t="n">
        <x:v>371</x:v>
      </x:c>
      <x:c r="V1743" s="2" t="n">
        <x:f>IF(AND(M1743=1,P1743=0,ISNUMBER(J1743),J1743&lt;TODAY()),1,0)</x:f>
        <x:v>0</x:v>
      </x:c>
      <x:c r="W1743" s="2" t="str">
        <x:f>'Design &amp; Insights'!M371</x:f>
        <x:v>Task</x:v>
      </x:c>
    </x:row>
    <x:row r="1744" ht="40" customHeight="1">
      <x:c r="A1744" s="3" t="str">
        <x:f>HYPERLINK("#'Design &amp; Insights'!A372","Open")</x:f>
        <x:v>Open</x:v>
      </x:c>
      <x:c r="B1744" s="2" t="str">
        <x:f>'Design &amp; Insights'!B372</x:f>
        <x:v>Cycle 3</x:v>
      </x:c>
      <x:c r="C1744" s="2" t="str">
        <x:f>'Design &amp; Insights'!C372</x:f>
        <x:v>Phase 1</x:v>
      </x:c>
      <x:c r="D1744" s="2" t="str">
        <x:f>'Design &amp; Insights'!D372</x:f>
        <x:v>FCM</x:v>
      </x:c>
      <x:c r="E1744" s="2" t="str">
        <x:v>Design &amp; Insights</x:v>
      </x:c>
      <x:c r="F1744" s="56" t="str">
        <x:f>'Design &amp; Insights'!E372</x:f>
        <x:v>DI.FC.1.3</x:v>
      </x:c>
      <x:c r="G1744" s="14" t="str">
        <x:f>'Design &amp; Insights'!F372</x:f>
        <x:v>Conduct high-level preliminary review of complaints within proposed topics</x:v>
      </x:c>
      <x:c r="H1744" s="2" t="str">
        <x:f>IF('Design &amp; Insights'!G372="","",'Design &amp; Insights'!G372)</x:f>
      </x:c>
      <x:c r="I1744" s="12" t="str">
        <x:f>IF('Design &amp; Insights'!H372="","",'Design &amp; Insights'!H372)</x:f>
      </x:c>
      <x:c r="J1744" s="12" t="n">
        <x:f>IF('Design &amp; Insights'!I372="","",'Design &amp; Insights'!I372)</x:f>
        <x:v>46295</x:v>
      </x:c>
      <x:c r="K1744" s="12" t="str">
        <x:f>IF('Design &amp; Insights'!J372="","",'Design &amp; Insights'!J372)</x:f>
      </x:c>
      <x:c r="L1744" s="2" t="str">
        <x:f>IF('Design &amp; Insights'!K372="","",'Design &amp; Insights'!K372)</x:f>
      </x:c>
      <x:c r="M1744" s="2" t="n">
        <x:f>'Design &amp; Insights'!Q372</x:f>
        <x:v>1</x:v>
      </x:c>
      <x:c r="N1744" s="2" t="str">
        <x:f>'Design &amp; Insights'!L372</x:f>
        <x:v>Not started</x:v>
      </x:c>
      <x:c r="O1744" s="2" t="str">
        <x:f>'Design &amp; Insights'!N372</x:f>
        <x:v>DI.FC.1.3.2026.CY3</x:v>
      </x:c>
      <x:c r="P1744" s="2" t="n">
        <x:f>'Design &amp; Insights'!O372</x:f>
        <x:v>0</x:v>
      </x:c>
      <x:c r="Q1744" s="2" t="n">
        <x:f>SUBTOTAL(103,O1744)</x:f>
        <x:v>1</x:v>
      </x:c>
      <x:c r="R1744" s="2" t="n">
        <x:f>IF(AND(M1744=1,OR(Dashboard!$B$7="All",Dashboard!$B$7='Cycles &amp; Guide'!$C$5),OR(Dashboard!$D$7="All",Dashboard!$D$7=B1744),OR(Dashboard!$F$7="All",Dashboard!$F$7=C1744),OR(Dashboard!$H$7="All",Dashboard!$H$7=D1744),OR(Dashboard!$K$7="All",Dashboard!$K$7=E1744)),1,0)</x:f>
        <x:v>1</x:v>
      </x:c>
      <x:c r="S1744" s="2" t="n">
        <x:f>IF(R1744=1,SUM($R$10:R1744),0)</x:f>
        <x:v>1371</x:v>
      </x:c>
      <x:c r="T1744" s="2" t="str">
        <x:v>Design &amp; Insights</x:v>
      </x:c>
      <x:c r="U1744" s="2" t="n">
        <x:v>372</x:v>
      </x:c>
      <x:c r="V1744" s="2" t="n">
        <x:f>IF(AND(M1744=1,P1744=0,ISNUMBER(J1744),J1744&lt;TODAY()),1,0)</x:f>
        <x:v>0</x:v>
      </x:c>
      <x:c r="W1744" s="2" t="str">
        <x:f>'Design &amp; Insights'!M372</x:f>
        <x:v>Task</x:v>
      </x:c>
    </x:row>
    <x:row r="1745" ht="40" customHeight="1">
      <x:c r="A1745" s="3" t="str">
        <x:f>HYPERLINK("#'Design &amp; Insights'!A373","Open")</x:f>
        <x:v>Open</x:v>
      </x:c>
      <x:c r="B1745" s="2" t="str">
        <x:f>'Design &amp; Insights'!B373</x:f>
        <x:v>Cycle 3</x:v>
      </x:c>
      <x:c r="C1745" s="2" t="str">
        <x:f>'Design &amp; Insights'!C373</x:f>
        <x:v>Phase 1</x:v>
      </x:c>
      <x:c r="D1745" s="2" t="str">
        <x:f>'Design &amp; Insights'!D373</x:f>
        <x:v>FCM</x:v>
      </x:c>
      <x:c r="E1745" s="2" t="str">
        <x:v>Design &amp; Insights</x:v>
      </x:c>
      <x:c r="F1745" s="56" t="str">
        <x:f>'Design &amp; Insights'!E373</x:f>
        <x:v>DI.FC.1.4</x:v>
      </x:c>
      <x:c r="G1745" s="14" t="str">
        <x:f>'Design &amp; Insights'!F373</x:f>
        <x:v>Meet with Research to discuss which topic to select based on potential impact</x:v>
      </x:c>
      <x:c r="H1745" s="2" t="str">
        <x:f>IF('Design &amp; Insights'!G373="","",'Design &amp; Insights'!G373)</x:f>
      </x:c>
      <x:c r="I1745" s="12" t="str">
        <x:f>IF('Design &amp; Insights'!H373="","",'Design &amp; Insights'!H373)</x:f>
      </x:c>
      <x:c r="J1745" s="12" t="n">
        <x:f>IF('Design &amp; Insights'!I373="","",'Design &amp; Insights'!I373)</x:f>
        <x:v>46295</x:v>
      </x:c>
      <x:c r="K1745" s="12" t="str">
        <x:f>IF('Design &amp; Insights'!J373="","",'Design &amp; Insights'!J373)</x:f>
      </x:c>
      <x:c r="L1745" s="2" t="str">
        <x:f>IF('Design &amp; Insights'!K373="","",'Design &amp; Insights'!K373)</x:f>
      </x:c>
      <x:c r="M1745" s="2" t="n">
        <x:f>'Design &amp; Insights'!Q373</x:f>
        <x:v>1</x:v>
      </x:c>
      <x:c r="N1745" s="2" t="str">
        <x:f>'Design &amp; Insights'!L373</x:f>
        <x:v>Not started</x:v>
      </x:c>
      <x:c r="O1745" s="2" t="str">
        <x:f>'Design &amp; Insights'!N373</x:f>
        <x:v>DI.FC.1.4.2026.CY3</x:v>
      </x:c>
      <x:c r="P1745" s="2" t="n">
        <x:f>'Design &amp; Insights'!O373</x:f>
        <x:v>0</x:v>
      </x:c>
      <x:c r="Q1745" s="2" t="n">
        <x:f>SUBTOTAL(103,O1745)</x:f>
        <x:v>1</x:v>
      </x:c>
      <x:c r="R1745" s="2" t="n">
        <x:f>IF(AND(M1745=1,OR(Dashboard!$B$7="All",Dashboard!$B$7='Cycles &amp; Guide'!$C$5),OR(Dashboard!$D$7="All",Dashboard!$D$7=B1745),OR(Dashboard!$F$7="All",Dashboard!$F$7=C1745),OR(Dashboard!$H$7="All",Dashboard!$H$7=D1745),OR(Dashboard!$K$7="All",Dashboard!$K$7=E1745)),1,0)</x:f>
        <x:v>1</x:v>
      </x:c>
      <x:c r="S1745" s="2" t="n">
        <x:f>IF(R1745=1,SUM($R$10:R1745),0)</x:f>
        <x:v>1372</x:v>
      </x:c>
      <x:c r="T1745" s="2" t="str">
        <x:v>Design &amp; Insights</x:v>
      </x:c>
      <x:c r="U1745" s="2" t="n">
        <x:v>373</x:v>
      </x:c>
      <x:c r="V1745" s="2" t="n">
        <x:f>IF(AND(M1745=1,P1745=0,ISNUMBER(J1745),J1745&lt;TODAY()),1,0)</x:f>
        <x:v>0</x:v>
      </x:c>
      <x:c r="W1745" s="2" t="str">
        <x:f>'Design &amp; Insights'!M373</x:f>
        <x:v>Task</x:v>
      </x:c>
    </x:row>
    <x:row r="1746" ht="40" customHeight="1">
      <x:c r="A1746" s="3" t="str">
        <x:f>HYPERLINK("#'Design &amp; Insights'!A374","Open")</x:f>
        <x:v>Open</x:v>
      </x:c>
      <x:c r="B1746" s="2" t="str">
        <x:f>'Design &amp; Insights'!B374</x:f>
        <x:v>Cycle 3</x:v>
      </x:c>
      <x:c r="C1746" s="2" t="str">
        <x:f>'Design &amp; Insights'!C374</x:f>
        <x:v>Phase 1</x:v>
      </x:c>
      <x:c r="D1746" s="2" t="str">
        <x:f>'Design &amp; Insights'!D374</x:f>
        <x:v>FCM</x:v>
      </x:c>
      <x:c r="E1746" s="2" t="str">
        <x:v>Design &amp; Insights</x:v>
      </x:c>
      <x:c r="F1746" s="56" t="str">
        <x:f>'Design &amp; Insights'!E374</x:f>
        <x:v>DI.FC.1.5</x:v>
      </x:c>
      <x:c r="G1746" s="14" t="str">
        <x:f>'Design &amp; Insights'!F374</x:f>
        <x:v>Confirm with Research the recommended topic for approval</x:v>
      </x:c>
      <x:c r="H1746" s="2" t="str">
        <x:f>IF('Design &amp; Insights'!G374="","",'Design &amp; Insights'!G374)</x:f>
      </x:c>
      <x:c r="I1746" s="12" t="str">
        <x:f>IF('Design &amp; Insights'!H374="","",'Design &amp; Insights'!H374)</x:f>
      </x:c>
      <x:c r="J1746" s="12" t="n">
        <x:f>IF('Design &amp; Insights'!I374="","",'Design &amp; Insights'!I374)</x:f>
        <x:v>46295</x:v>
      </x:c>
      <x:c r="K1746" s="12" t="str">
        <x:f>IF('Design &amp; Insights'!J374="","",'Design &amp; Insights'!J374)</x:f>
      </x:c>
      <x:c r="L1746" s="2" t="str">
        <x:f>IF('Design &amp; Insights'!K374="","",'Design &amp; Insights'!K374)</x:f>
      </x:c>
      <x:c r="M1746" s="2" t="n">
        <x:f>'Design &amp; Insights'!Q374</x:f>
        <x:v>1</x:v>
      </x:c>
      <x:c r="N1746" s="2" t="str">
        <x:f>'Design &amp; Insights'!L374</x:f>
        <x:v>Not started</x:v>
      </x:c>
      <x:c r="O1746" s="2" t="str">
        <x:f>'Design &amp; Insights'!N374</x:f>
        <x:v>DI.FC.1.5.2026.CY3</x:v>
      </x:c>
      <x:c r="P1746" s="2" t="n">
        <x:f>'Design &amp; Insights'!O374</x:f>
        <x:v>0</x:v>
      </x:c>
      <x:c r="Q1746" s="2" t="n">
        <x:f>SUBTOTAL(103,O1746)</x:f>
        <x:v>1</x:v>
      </x:c>
      <x:c r="R1746" s="2" t="n">
        <x:f>IF(AND(M1746=1,OR(Dashboard!$B$7="All",Dashboard!$B$7='Cycles &amp; Guide'!$C$5),OR(Dashboard!$D$7="All",Dashboard!$D$7=B1746),OR(Dashboard!$F$7="All",Dashboard!$F$7=C1746),OR(Dashboard!$H$7="All",Dashboard!$H$7=D1746),OR(Dashboard!$K$7="All",Dashboard!$K$7=E1746)),1,0)</x:f>
        <x:v>1</x:v>
      </x:c>
      <x:c r="S1746" s="2" t="n">
        <x:f>IF(R1746=1,SUM($R$10:R1746),0)</x:f>
        <x:v>1373</x:v>
      </x:c>
      <x:c r="T1746" s="2" t="str">
        <x:v>Design &amp; Insights</x:v>
      </x:c>
      <x:c r="U1746" s="2" t="n">
        <x:v>374</x:v>
      </x:c>
      <x:c r="V1746" s="2" t="n">
        <x:f>IF(AND(M1746=1,P1746=0,ISNUMBER(J1746),J1746&lt;TODAY()),1,0)</x:f>
        <x:v>0</x:v>
      </x:c>
      <x:c r="W1746" s="2" t="str">
        <x:f>'Design &amp; Insights'!M374</x:f>
        <x:v>Task</x:v>
      </x:c>
    </x:row>
    <x:row r="1747" ht="40" customHeight="1">
      <x:c r="A1747" s="3" t="str">
        <x:f>HYPERLINK("#'Design &amp; Insights'!A375","Open")</x:f>
        <x:v>Open</x:v>
      </x:c>
      <x:c r="B1747" s="2" t="str">
        <x:f>'Design &amp; Insights'!B375</x:f>
        <x:v>Cycle 3</x:v>
      </x:c>
      <x:c r="C1747" s="2" t="str">
        <x:f>'Design &amp; Insights'!C375</x:f>
        <x:v>Phase 1</x:v>
      </x:c>
      <x:c r="D1747" s="2" t="str">
        <x:f>'Design &amp; Insights'!D375</x:f>
        <x:v>FCM</x:v>
      </x:c>
      <x:c r="E1747" s="2" t="str">
        <x:v>Design &amp; Insights</x:v>
      </x:c>
      <x:c r="F1747" s="56" t="str">
        <x:f>'Design &amp; Insights'!E375</x:f>
        <x:v>DI.FC.1.6</x:v>
      </x:c>
      <x:c r="G1747" s="14" t="str">
        <x:f>'Design &amp; Insights'!F375</x:f>
        <x:v>Send topic selection socialization email to all key stakeholders on the first day of the review Cycle</x:v>
      </x:c>
      <x:c r="H1747" s="2" t="str">
        <x:f>IF('Design &amp; Insights'!G375="","",'Design &amp; Insights'!G375)</x:f>
      </x:c>
      <x:c r="I1747" s="12" t="str">
        <x:f>IF('Design &amp; Insights'!H375="","",'Design &amp; Insights'!H375)</x:f>
      </x:c>
      <x:c r="J1747" s="12" t="n">
        <x:f>IF('Design &amp; Insights'!I375="","",'Design &amp; Insights'!I375)</x:f>
        <x:v>46204</x:v>
      </x:c>
      <x:c r="K1747" s="12" t="str">
        <x:f>IF('Design &amp; Insights'!J375="","",'Design &amp; Insights'!J375)</x:f>
      </x:c>
      <x:c r="L1747" s="2" t="str">
        <x:f>IF('Design &amp; Insights'!K375="","",'Design &amp; Insights'!K375)</x:f>
      </x:c>
      <x:c r="M1747" s="2" t="n">
        <x:f>'Design &amp; Insights'!Q375</x:f>
        <x:v>1</x:v>
      </x:c>
      <x:c r="N1747" s="2" t="str">
        <x:f>'Design &amp; Insights'!L375</x:f>
        <x:v>Not started</x:v>
      </x:c>
      <x:c r="O1747" s="2" t="str">
        <x:f>'Design &amp; Insights'!N375</x:f>
        <x:v>DI.FC.1.6.2026.CY3</x:v>
      </x:c>
      <x:c r="P1747" s="2" t="n">
        <x:f>'Design &amp; Insights'!O375</x:f>
        <x:v>0</x:v>
      </x:c>
      <x:c r="Q1747" s="2" t="n">
        <x:f>SUBTOTAL(103,O1747)</x:f>
        <x:v>1</x:v>
      </x:c>
      <x:c r="R1747" s="2" t="n">
        <x:f>IF(AND(M1747=1,OR(Dashboard!$B$7="All",Dashboard!$B$7='Cycles &amp; Guide'!$C$5),OR(Dashboard!$D$7="All",Dashboard!$D$7=B1747),OR(Dashboard!$F$7="All",Dashboard!$F$7=C1747),OR(Dashboard!$H$7="All",Dashboard!$H$7=D1747),OR(Dashboard!$K$7="All",Dashboard!$K$7=E1747)),1,0)</x:f>
        <x:v>1</x:v>
      </x:c>
      <x:c r="S1747" s="2" t="n">
        <x:f>IF(R1747=1,SUM($R$10:R1747),0)</x:f>
        <x:v>1374</x:v>
      </x:c>
      <x:c r="T1747" s="2" t="str">
        <x:v>Design &amp; Insights</x:v>
      </x:c>
      <x:c r="U1747" s="2" t="n">
        <x:v>375</x:v>
      </x:c>
      <x:c r="V1747" s="2" t="n">
        <x:f>IF(AND(M1747=1,P1747=0,ISNUMBER(J1747),J1747&lt;TODAY()),1,0)</x:f>
        <x:v>1</x:v>
      </x:c>
      <x:c r="W1747" s="2" t="str">
        <x:f>'Design &amp; Insights'!M375</x:f>
        <x:v>Task</x:v>
      </x:c>
    </x:row>
    <x:row r="1748" ht="40" customHeight="1">
      <x:c r="A1748" s="3" t="str">
        <x:f>HYPERLINK("#'Design &amp; Insights'!A376","Open")</x:f>
        <x:v>Open</x:v>
      </x:c>
      <x:c r="B1748" s="2" t="str">
        <x:f>'Design &amp; Insights'!B376</x:f>
        <x:v>Cycle 3</x:v>
      </x:c>
      <x:c r="C1748" s="2" t="str">
        <x:f>'Design &amp; Insights'!C376</x:f>
        <x:v>Phase 2</x:v>
      </x:c>
      <x:c r="D1748" s="2" t="str">
        <x:f>'Design &amp; Insights'!D376</x:f>
        <x:v>FCM</x:v>
      </x:c>
      <x:c r="E1748" s="2" t="str">
        <x:v>Design &amp; Insights</x:v>
      </x:c>
      <x:c r="F1748" s="56" t="str">
        <x:f>'Design &amp; Insights'!E376</x:f>
        <x:v>DI.FC.2.1</x:v>
      </x:c>
      <x:c r="G1748" s="14" t="str">
        <x:f>'Design &amp; Insights'!F376</x:f>
        <x:v>Meet regularly with Research to stay informed on progress, findings, and potential enhancement</x:v>
      </x:c>
      <x:c r="H1748" s="2" t="str">
        <x:f>IF('Design &amp; Insights'!G376="","",'Design &amp; Insights'!G376)</x:f>
      </x:c>
      <x:c r="I1748" s="12" t="str">
        <x:f>IF('Design &amp; Insights'!H376="","",'Design &amp; Insights'!H376)</x:f>
      </x:c>
      <x:c r="J1748" s="12" t="n">
        <x:f>IF('Design &amp; Insights'!I376="","",'Design &amp; Insights'!I376)</x:f>
        <x:v>46295</x:v>
      </x:c>
      <x:c r="K1748" s="12" t="str">
        <x:f>IF('Design &amp; Insights'!J376="","",'Design &amp; Insights'!J376)</x:f>
      </x:c>
      <x:c r="L1748" s="2" t="str">
        <x:f>IF('Design &amp; Insights'!K376="","",'Design &amp; Insights'!K376)</x:f>
      </x:c>
      <x:c r="M1748" s="2" t="n">
        <x:f>'Design &amp; Insights'!Q376</x:f>
        <x:v>1</x:v>
      </x:c>
      <x:c r="N1748" s="2" t="str">
        <x:f>'Design &amp; Insights'!L376</x:f>
        <x:v>Not started</x:v>
      </x:c>
      <x:c r="O1748" s="2" t="str">
        <x:f>'Design &amp; Insights'!N376</x:f>
        <x:v>DI.FC.2.1.2026.CY3</x:v>
      </x:c>
      <x:c r="P1748" s="2" t="n">
        <x:f>'Design &amp; Insights'!O376</x:f>
        <x:v>0</x:v>
      </x:c>
      <x:c r="Q1748" s="2" t="n">
        <x:f>SUBTOTAL(103,O1748)</x:f>
        <x:v>1</x:v>
      </x:c>
      <x:c r="R1748" s="2" t="n">
        <x:f>IF(AND(M1748=1,OR(Dashboard!$B$7="All",Dashboard!$B$7='Cycles &amp; Guide'!$C$5),OR(Dashboard!$D$7="All",Dashboard!$D$7=B1748),OR(Dashboard!$F$7="All",Dashboard!$F$7=C1748),OR(Dashboard!$H$7="All",Dashboard!$H$7=D1748),OR(Dashboard!$K$7="All",Dashboard!$K$7=E1748)),1,0)</x:f>
        <x:v>1</x:v>
      </x:c>
      <x:c r="S1748" s="2" t="n">
        <x:f>IF(R1748=1,SUM($R$10:R1748),0)</x:f>
        <x:v>1375</x:v>
      </x:c>
      <x:c r="T1748" s="2" t="str">
        <x:v>Design &amp; Insights</x:v>
      </x:c>
      <x:c r="U1748" s="2" t="n">
        <x:v>376</x:v>
      </x:c>
      <x:c r="V1748" s="2" t="n">
        <x:f>IF(AND(M1748=1,P1748=0,ISNUMBER(J1748),J1748&lt;TODAY()),1,0)</x:f>
        <x:v>0</x:v>
      </x:c>
      <x:c r="W1748" s="2" t="str">
        <x:f>'Design &amp; Insights'!M376</x:f>
        <x:v>Task</x:v>
      </x:c>
    </x:row>
    <x:row r="1749" ht="40" customHeight="1">
      <x:c r="A1749" s="3" t="str">
        <x:f>HYPERLINK("#'Design &amp; Insights'!A377","Open")</x:f>
        <x:v>Open</x:v>
      </x:c>
      <x:c r="B1749" s="2" t="str">
        <x:f>'Design &amp; Insights'!B377</x:f>
        <x:v>Cycle 3</x:v>
      </x:c>
      <x:c r="C1749" s="2" t="str">
        <x:f>'Design &amp; Insights'!C377</x:f>
        <x:v>Phase 2</x:v>
      </x:c>
      <x:c r="D1749" s="2" t="str">
        <x:f>'Design &amp; Insights'!D377</x:f>
        <x:v>FCM</x:v>
      </x:c>
      <x:c r="E1749" s="2" t="str">
        <x:v>Design &amp; Insights</x:v>
      </x:c>
      <x:c r="F1749" s="56" t="str">
        <x:f>'Design &amp; Insights'!E377</x:f>
        <x:v>DI.FC.2.2</x:v>
      </x:c>
      <x:c r="G1749" s="14" t="str">
        <x:f>'Design &amp; Insights'!F377</x:f>
        <x:v>Collaborate with Research on research plan specifics</x:v>
      </x:c>
      <x:c r="H1749" s="2" t="str">
        <x:f>IF('Design &amp; Insights'!G377="","",'Design &amp; Insights'!G377)</x:f>
      </x:c>
      <x:c r="I1749" s="12" t="str">
        <x:f>IF('Design &amp; Insights'!H377="","",'Design &amp; Insights'!H377)</x:f>
      </x:c>
      <x:c r="J1749" s="12" t="n">
        <x:f>IF('Design &amp; Insights'!I377="","",'Design &amp; Insights'!I377)</x:f>
        <x:v>46295</x:v>
      </x:c>
      <x:c r="K1749" s="12" t="str">
        <x:f>IF('Design &amp; Insights'!J377="","",'Design &amp; Insights'!J377)</x:f>
      </x:c>
      <x:c r="L1749" s="2" t="str">
        <x:f>IF('Design &amp; Insights'!K377="","",'Design &amp; Insights'!K377)</x:f>
      </x:c>
      <x:c r="M1749" s="2" t="n">
        <x:f>'Design &amp; Insights'!Q377</x:f>
        <x:v>1</x:v>
      </x:c>
      <x:c r="N1749" s="2" t="str">
        <x:f>'Design &amp; Insights'!L377</x:f>
        <x:v>Not started</x:v>
      </x:c>
      <x:c r="O1749" s="2" t="str">
        <x:f>'Design &amp; Insights'!N377</x:f>
        <x:v>DI.FC.2.2.2026.CY3</x:v>
      </x:c>
      <x:c r="P1749" s="2" t="n">
        <x:f>'Design &amp; Insights'!O377</x:f>
        <x:v>0</x:v>
      </x:c>
      <x:c r="Q1749" s="2" t="n">
        <x:f>SUBTOTAL(103,O1749)</x:f>
        <x:v>1</x:v>
      </x:c>
      <x:c r="R1749" s="2" t="n">
        <x:f>IF(AND(M1749=1,OR(Dashboard!$B$7="All",Dashboard!$B$7='Cycles &amp; Guide'!$C$5),OR(Dashboard!$D$7="All",Dashboard!$D$7=B1749),OR(Dashboard!$F$7="All",Dashboard!$F$7=C1749),OR(Dashboard!$H$7="All",Dashboard!$H$7=D1749),OR(Dashboard!$K$7="All",Dashboard!$K$7=E1749)),1,0)</x:f>
        <x:v>1</x:v>
      </x:c>
      <x:c r="S1749" s="2" t="n">
        <x:f>IF(R1749=1,SUM($R$10:R1749),0)</x:f>
        <x:v>1376</x:v>
      </x:c>
      <x:c r="T1749" s="2" t="str">
        <x:v>Design &amp; Insights</x:v>
      </x:c>
      <x:c r="U1749" s="2" t="n">
        <x:v>377</x:v>
      </x:c>
      <x:c r="V1749" s="2" t="n">
        <x:f>IF(AND(M1749=1,P1749=0,ISNUMBER(J1749),J1749&lt;TODAY()),1,0)</x:f>
        <x:v>0</x:v>
      </x:c>
      <x:c r="W1749" s="2" t="str">
        <x:f>'Design &amp; Insights'!M377</x:f>
        <x:v>Task</x:v>
      </x:c>
    </x:row>
    <x:row r="1750" ht="40" customHeight="1">
      <x:c r="A1750" s="3" t="str">
        <x:f>HYPERLINK("#'Design &amp; Insights'!A378","Open")</x:f>
        <x:v>Open</x:v>
      </x:c>
      <x:c r="B1750" s="2" t="str">
        <x:f>'Design &amp; Insights'!B378</x:f>
        <x:v>Cycle 3</x:v>
      </x:c>
      <x:c r="C1750" s="2" t="str">
        <x:f>'Design &amp; Insights'!C378</x:f>
        <x:v>Phase 2</x:v>
      </x:c>
      <x:c r="D1750" s="2" t="str">
        <x:f>'Design &amp; Insights'!D378</x:f>
        <x:v>FCM</x:v>
      </x:c>
      <x:c r="E1750" s="2" t="str">
        <x:v>Design &amp; Insights</x:v>
      </x:c>
      <x:c r="F1750" s="56" t="str">
        <x:f>'Design &amp; Insights'!E378</x:f>
        <x:v>DI.FC.2.3</x:v>
      </x:c>
      <x:c r="G1750" s="14" t="str">
        <x:f>'Design &amp; Insights'!F378</x:f>
        <x:v>Participate in SME insight meetings to gain perspective and appetite on potential enhancements</x:v>
      </x:c>
      <x:c r="H1750" s="2" t="str">
        <x:f>IF('Design &amp; Insights'!G378="","",'Design &amp; Insights'!G378)</x:f>
      </x:c>
      <x:c r="I1750" s="12" t="str">
        <x:f>IF('Design &amp; Insights'!H378="","",'Design &amp; Insights'!H378)</x:f>
      </x:c>
      <x:c r="J1750" s="12" t="n">
        <x:f>IF('Design &amp; Insights'!I378="","",'Design &amp; Insights'!I378)</x:f>
        <x:v>46295</x:v>
      </x:c>
      <x:c r="K1750" s="12" t="str">
        <x:f>IF('Design &amp; Insights'!J378="","",'Design &amp; Insights'!J378)</x:f>
      </x:c>
      <x:c r="L1750" s="2" t="str">
        <x:f>IF('Design &amp; Insights'!K378="","",'Design &amp; Insights'!K378)</x:f>
      </x:c>
      <x:c r="M1750" s="2" t="n">
        <x:f>'Design &amp; Insights'!Q378</x:f>
        <x:v>1</x:v>
      </x:c>
      <x:c r="N1750" s="2" t="str">
        <x:f>'Design &amp; Insights'!L378</x:f>
        <x:v>Not started</x:v>
      </x:c>
      <x:c r="O1750" s="2" t="str">
        <x:f>'Design &amp; Insights'!N378</x:f>
        <x:v>DI.FC.2.3.2026.CY3</x:v>
      </x:c>
      <x:c r="P1750" s="2" t="n">
        <x:f>'Design &amp; Insights'!O378</x:f>
        <x:v>0</x:v>
      </x:c>
      <x:c r="Q1750" s="2" t="n">
        <x:f>SUBTOTAL(103,O1750)</x:f>
        <x:v>1</x:v>
      </x:c>
      <x:c r="R1750" s="2" t="n">
        <x:f>IF(AND(M1750=1,OR(Dashboard!$B$7="All",Dashboard!$B$7='Cycles &amp; Guide'!$C$5),OR(Dashboard!$D$7="All",Dashboard!$D$7=B1750),OR(Dashboard!$F$7="All",Dashboard!$F$7=C1750),OR(Dashboard!$H$7="All",Dashboard!$H$7=D1750),OR(Dashboard!$K$7="All",Dashboard!$K$7=E1750)),1,0)</x:f>
        <x:v>1</x:v>
      </x:c>
      <x:c r="S1750" s="2" t="n">
        <x:f>IF(R1750=1,SUM($R$10:R1750),0)</x:f>
        <x:v>1377</x:v>
      </x:c>
      <x:c r="T1750" s="2" t="str">
        <x:v>Design &amp; Insights</x:v>
      </x:c>
      <x:c r="U1750" s="2" t="n">
        <x:v>378</x:v>
      </x:c>
      <x:c r="V1750" s="2" t="n">
        <x:f>IF(AND(M1750=1,P1750=0,ISNUMBER(J1750),J1750&lt;TODAY()),1,0)</x:f>
        <x:v>0</x:v>
      </x:c>
      <x:c r="W1750" s="2" t="str">
        <x:f>'Design &amp; Insights'!M378</x:f>
        <x:v>Task</x:v>
      </x:c>
    </x:row>
    <x:row r="1751" ht="40" customHeight="1">
      <x:c r="A1751" s="3" t="str">
        <x:f>HYPERLINK("#'Design &amp; Insights'!A379","Open")</x:f>
        <x:v>Open</x:v>
      </x:c>
      <x:c r="B1751" s="2" t="str">
        <x:f>'Design &amp; Insights'!B379</x:f>
        <x:v>Cycle 3</x:v>
      </x:c>
      <x:c r="C1751" s="2" t="str">
        <x:f>'Design &amp; Insights'!C379</x:f>
        <x:v>Phase 2</x:v>
      </x:c>
      <x:c r="D1751" s="2" t="str">
        <x:f>'Design &amp; Insights'!D379</x:f>
        <x:v>FCM</x:v>
      </x:c>
      <x:c r="E1751" s="2" t="str">
        <x:v>Design &amp; Insights</x:v>
      </x:c>
      <x:c r="F1751" s="56" t="str">
        <x:f>'Design &amp; Insights'!E379</x:f>
        <x:v>DI.FC.2.4</x:v>
      </x:c>
      <x:c r="G1751" s="14" t="str">
        <x:f>'Design &amp; Insights'!F379</x:f>
        <x:v>Begin development of presentation materials as Research is being completed</x:v>
      </x:c>
      <x:c r="H1751" s="2" t="str">
        <x:f>IF('Design &amp; Insights'!G379="","",'Design &amp; Insights'!G379)</x:f>
      </x:c>
      <x:c r="I1751" s="12" t="str">
        <x:f>IF('Design &amp; Insights'!H379="","",'Design &amp; Insights'!H379)</x:f>
      </x:c>
      <x:c r="J1751" s="12" t="n">
        <x:f>IF('Design &amp; Insights'!I379="","",'Design &amp; Insights'!I379)</x:f>
        <x:v>46295</x:v>
      </x:c>
      <x:c r="K1751" s="12" t="str">
        <x:f>IF('Design &amp; Insights'!J379="","",'Design &amp; Insights'!J379)</x:f>
      </x:c>
      <x:c r="L1751" s="2" t="str">
        <x:f>IF('Design &amp; Insights'!K379="","",'Design &amp; Insights'!K379)</x:f>
      </x:c>
      <x:c r="M1751" s="2" t="n">
        <x:f>'Design &amp; Insights'!Q379</x:f>
        <x:v>1</x:v>
      </x:c>
      <x:c r="N1751" s="2" t="str">
        <x:f>'Design &amp; Insights'!L379</x:f>
        <x:v>Not started</x:v>
      </x:c>
      <x:c r="O1751" s="2" t="str">
        <x:f>'Design &amp; Insights'!N379</x:f>
        <x:v>DI.FC.2.4.2026.CY3</x:v>
      </x:c>
      <x:c r="P1751" s="2" t="n">
        <x:f>'Design &amp; Insights'!O379</x:f>
        <x:v>0</x:v>
      </x:c>
      <x:c r="Q1751" s="2" t="n">
        <x:f>SUBTOTAL(103,O1751)</x:f>
        <x:v>1</x:v>
      </x:c>
      <x:c r="R1751" s="2" t="n">
        <x:f>IF(AND(M1751=1,OR(Dashboard!$B$7="All",Dashboard!$B$7='Cycles &amp; Guide'!$C$5),OR(Dashboard!$D$7="All",Dashboard!$D$7=B1751),OR(Dashboard!$F$7="All",Dashboard!$F$7=C1751),OR(Dashboard!$H$7="All",Dashboard!$H$7=D1751),OR(Dashboard!$K$7="All",Dashboard!$K$7=E1751)),1,0)</x:f>
        <x:v>1</x:v>
      </x:c>
      <x:c r="S1751" s="2" t="n">
        <x:f>IF(R1751=1,SUM($R$10:R1751),0)</x:f>
        <x:v>1378</x:v>
      </x:c>
      <x:c r="T1751" s="2" t="str">
        <x:v>Design &amp; Insights</x:v>
      </x:c>
      <x:c r="U1751" s="2" t="n">
        <x:v>379</x:v>
      </x:c>
      <x:c r="V1751" s="2" t="n">
        <x:f>IF(AND(M1751=1,P1751=0,ISNUMBER(J1751),J1751&lt;TODAY()),1,0)</x:f>
        <x:v>0</x:v>
      </x:c>
      <x:c r="W1751" s="2" t="str">
        <x:f>'Design &amp; Insights'!M379</x:f>
        <x:v>Task</x:v>
      </x:c>
    </x:row>
    <x:row r="1752" ht="40" customHeight="1">
      <x:c r="A1752" s="3" t="str">
        <x:f>HYPERLINK("#'Design &amp; Insights'!A380","Open")</x:f>
        <x:v>Open</x:v>
      </x:c>
      <x:c r="B1752" s="2" t="str">
        <x:f>'Design &amp; Insights'!B380</x:f>
        <x:v>Cycle 3</x:v>
      </x:c>
      <x:c r="C1752" s="2" t="str">
        <x:f>'Design &amp; Insights'!C380</x:f>
        <x:v>Phase 2</x:v>
      </x:c>
      <x:c r="D1752" s="2" t="str">
        <x:f>'Design &amp; Insights'!D380</x:f>
        <x:v>FCM</x:v>
      </x:c>
      <x:c r="E1752" s="2" t="str">
        <x:v>Design &amp; Insights</x:v>
      </x:c>
      <x:c r="F1752" s="56" t="str">
        <x:f>'Design &amp; Insights'!E380</x:f>
        <x:v>DI.FC.2.5</x:v>
      </x:c>
      <x:c r="G1752" s="14" t="str">
        <x:f>'Design &amp; Insights'!F380</x:f>
        <x:v>Draft initial enhancement recommendations (as applicable)</x:v>
      </x:c>
      <x:c r="H1752" s="2" t="str">
        <x:f>IF('Design &amp; Insights'!G380="","",'Design &amp; Insights'!G380)</x:f>
      </x:c>
      <x:c r="I1752" s="12" t="str">
        <x:f>IF('Design &amp; Insights'!H380="","",'Design &amp; Insights'!H380)</x:f>
      </x:c>
      <x:c r="J1752" s="12" t="n">
        <x:f>IF('Design &amp; Insights'!I380="","",'Design &amp; Insights'!I380)</x:f>
        <x:v>46295</x:v>
      </x:c>
      <x:c r="K1752" s="12" t="str">
        <x:f>IF('Design &amp; Insights'!J380="","",'Design &amp; Insights'!J380)</x:f>
      </x:c>
      <x:c r="L1752" s="2" t="str">
        <x:f>IF('Design &amp; Insights'!K380="","",'Design &amp; Insights'!K380)</x:f>
      </x:c>
      <x:c r="M1752" s="2" t="n">
        <x:f>'Design &amp; Insights'!Q380</x:f>
        <x:v>1</x:v>
      </x:c>
      <x:c r="N1752" s="2" t="str">
        <x:f>'Design &amp; Insights'!L380</x:f>
        <x:v>Not started</x:v>
      </x:c>
      <x:c r="O1752" s="2" t="str">
        <x:f>'Design &amp; Insights'!N380</x:f>
        <x:v>DI.FC.2.5.2026.CY3</x:v>
      </x:c>
      <x:c r="P1752" s="2" t="n">
        <x:f>'Design &amp; Insights'!O380</x:f>
        <x:v>0</x:v>
      </x:c>
      <x:c r="Q1752" s="2" t="n">
        <x:f>SUBTOTAL(103,O1752)</x:f>
        <x:v>1</x:v>
      </x:c>
      <x:c r="R1752" s="2" t="n">
        <x:f>IF(AND(M1752=1,OR(Dashboard!$B$7="All",Dashboard!$B$7='Cycles &amp; Guide'!$C$5),OR(Dashboard!$D$7="All",Dashboard!$D$7=B1752),OR(Dashboard!$F$7="All",Dashboard!$F$7=C1752),OR(Dashboard!$H$7="All",Dashboard!$H$7=D1752),OR(Dashboard!$K$7="All",Dashboard!$K$7=E1752)),1,0)</x:f>
        <x:v>1</x:v>
      </x:c>
      <x:c r="S1752" s="2" t="n">
        <x:f>IF(R1752=1,SUM($R$10:R1752),0)</x:f>
        <x:v>1379</x:v>
      </x:c>
      <x:c r="T1752" s="2" t="str">
        <x:v>Design &amp; Insights</x:v>
      </x:c>
      <x:c r="U1752" s="2" t="n">
        <x:v>380</x:v>
      </x:c>
      <x:c r="V1752" s="2" t="n">
        <x:f>IF(AND(M1752=1,P1752=0,ISNUMBER(J1752),J1752&lt;TODAY()),1,0)</x:f>
        <x:v>0</x:v>
      </x:c>
      <x:c r="W1752" s="2" t="str">
        <x:f>'Design &amp; Insights'!M380</x:f>
        <x:v>Task</x:v>
      </x:c>
    </x:row>
    <x:row r="1753" ht="40" customHeight="1">
      <x:c r="A1753" s="3" t="str">
        <x:f>HYPERLINK("#'Design &amp; Insights'!A381","Open")</x:f>
        <x:v>Open</x:v>
      </x:c>
      <x:c r="B1753" s="2" t="str">
        <x:f>'Design &amp; Insights'!B381</x:f>
        <x:v>Cycle 3</x:v>
      </x:c>
      <x:c r="C1753" s="2" t="str">
        <x:f>'Design &amp; Insights'!C381</x:f>
        <x:v>Phase 2</x:v>
      </x:c>
      <x:c r="D1753" s="2" t="str">
        <x:f>'Design &amp; Insights'!D381</x:f>
        <x:v>FCM</x:v>
      </x:c>
      <x:c r="E1753" s="2" t="str">
        <x:v>Design &amp; Insights</x:v>
      </x:c>
      <x:c r="F1753" s="56" t="str">
        <x:f>'Design &amp; Insights'!E381</x:f>
        <x:v>DI.FC.2.6</x:v>
      </x:c>
      <x:c r="G1753" s="14" t="str">
        <x:f>'Design &amp; Insights'!F381</x:f>
        <x:v>Finalize presentation deck draft at conclusion of Research phase</x:v>
      </x:c>
      <x:c r="H1753" s="2" t="str">
        <x:f>IF('Design &amp; Insights'!G381="","",'Design &amp; Insights'!G381)</x:f>
      </x:c>
      <x:c r="I1753" s="12" t="str">
        <x:f>IF('Design &amp; Insights'!H381="","",'Design &amp; Insights'!H381)</x:f>
      </x:c>
      <x:c r="J1753" s="12" t="n">
        <x:f>IF('Design &amp; Insights'!I381="","",'Design &amp; Insights'!I381)</x:f>
        <x:v>46295</x:v>
      </x:c>
      <x:c r="K1753" s="12" t="str">
        <x:f>IF('Design &amp; Insights'!J381="","",'Design &amp; Insights'!J381)</x:f>
      </x:c>
      <x:c r="L1753" s="2" t="str">
        <x:f>IF('Design &amp; Insights'!K381="","",'Design &amp; Insights'!K381)</x:f>
      </x:c>
      <x:c r="M1753" s="2" t="n">
        <x:f>'Design &amp; Insights'!Q381</x:f>
        <x:v>1</x:v>
      </x:c>
      <x:c r="N1753" s="2" t="str">
        <x:f>'Design &amp; Insights'!L381</x:f>
        <x:v>Not started</x:v>
      </x:c>
      <x:c r="O1753" s="2" t="str">
        <x:f>'Design &amp; Insights'!N381</x:f>
        <x:v>DI.FC.2.6.2026.CY3</x:v>
      </x:c>
      <x:c r="P1753" s="2" t="n">
        <x:f>'Design &amp; Insights'!O381</x:f>
        <x:v>0</x:v>
      </x:c>
      <x:c r="Q1753" s="2" t="n">
        <x:f>SUBTOTAL(103,O1753)</x:f>
        <x:v>1</x:v>
      </x:c>
      <x:c r="R1753" s="2" t="n">
        <x:f>IF(AND(M1753=1,OR(Dashboard!$B$7="All",Dashboard!$B$7='Cycles &amp; Guide'!$C$5),OR(Dashboard!$D$7="All",Dashboard!$D$7=B1753),OR(Dashboard!$F$7="All",Dashboard!$F$7=C1753),OR(Dashboard!$H$7="All",Dashboard!$H$7=D1753),OR(Dashboard!$K$7="All",Dashboard!$K$7=E1753)),1,0)</x:f>
        <x:v>1</x:v>
      </x:c>
      <x:c r="S1753" s="2" t="n">
        <x:f>IF(R1753=1,SUM($R$10:R1753),0)</x:f>
        <x:v>1380</x:v>
      </x:c>
      <x:c r="T1753" s="2" t="str">
        <x:v>Design &amp; Insights</x:v>
      </x:c>
      <x:c r="U1753" s="2" t="n">
        <x:v>381</x:v>
      </x:c>
      <x:c r="V1753" s="2" t="n">
        <x:f>IF(AND(M1753=1,P1753=0,ISNUMBER(J1753),J1753&lt;TODAY()),1,0)</x:f>
        <x:v>0</x:v>
      </x:c>
      <x:c r="W1753" s="2" t="str">
        <x:f>'Design &amp; Insights'!M381</x:f>
        <x:v>Task</x:v>
      </x:c>
    </x:row>
    <x:row r="1754" ht="40" customHeight="1">
      <x:c r="A1754" s="3" t="str">
        <x:f>HYPERLINK("#'Design &amp; Insights'!A382","Open")</x:f>
        <x:v>Open</x:v>
      </x:c>
      <x:c r="B1754" s="2" t="str">
        <x:f>'Design &amp; Insights'!B382</x:f>
        <x:v>Cycle 3</x:v>
      </x:c>
      <x:c r="C1754" s="2" t="str">
        <x:f>'Design &amp; Insights'!C382</x:f>
        <x:v>Phase 2</x:v>
      </x:c>
      <x:c r="D1754" s="2" t="str">
        <x:f>'Design &amp; Insights'!D382</x:f>
        <x:v>FCM</x:v>
      </x:c>
      <x:c r="E1754" s="2" t="str">
        <x:v>Design &amp; Insights</x:v>
      </x:c>
      <x:c r="F1754" s="56" t="str">
        <x:f>'Design &amp; Insights'!E382</x:f>
        <x:v>DI.FC.2.7</x:v>
      </x:c>
      <x:c r="G1754" s="14" t="str">
        <x:f>'Design &amp; Insights'!F382</x:f>
        <x:v>Update Outcome portion of research plan with current enhancement verbiage (as needed)</x:v>
      </x:c>
      <x:c r="H1754" s="2" t="str">
        <x:f>IF('Design &amp; Insights'!G382="","",'Design &amp; Insights'!G382)</x:f>
      </x:c>
      <x:c r="I1754" s="12" t="str">
        <x:f>IF('Design &amp; Insights'!H382="","",'Design &amp; Insights'!H382)</x:f>
      </x:c>
      <x:c r="J1754" s="12" t="n">
        <x:f>IF('Design &amp; Insights'!I382="","",'Design &amp; Insights'!I382)</x:f>
        <x:v>46295</x:v>
      </x:c>
      <x:c r="K1754" s="12" t="str">
        <x:f>IF('Design &amp; Insights'!J382="","",'Design &amp; Insights'!J382)</x:f>
      </x:c>
      <x:c r="L1754" s="2" t="str">
        <x:f>IF('Design &amp; Insights'!K382="","",'Design &amp; Insights'!K382)</x:f>
      </x:c>
      <x:c r="M1754" s="2" t="n">
        <x:f>'Design &amp; Insights'!Q382</x:f>
        <x:v>1</x:v>
      </x:c>
      <x:c r="N1754" s="2" t="str">
        <x:f>'Design &amp; Insights'!L382</x:f>
        <x:v>Not started</x:v>
      </x:c>
      <x:c r="O1754" s="2" t="str">
        <x:f>'Design &amp; Insights'!N382</x:f>
        <x:v>DI.FC.2.7.2026.CY3</x:v>
      </x:c>
      <x:c r="P1754" s="2" t="n">
        <x:f>'Design &amp; Insights'!O382</x:f>
        <x:v>0</x:v>
      </x:c>
      <x:c r="Q1754" s="2" t="n">
        <x:f>SUBTOTAL(103,O1754)</x:f>
        <x:v>1</x:v>
      </x:c>
      <x:c r="R1754" s="2" t="n">
        <x:f>IF(AND(M1754=1,OR(Dashboard!$B$7="All",Dashboard!$B$7='Cycles &amp; Guide'!$C$5),OR(Dashboard!$D$7="All",Dashboard!$D$7=B1754),OR(Dashboard!$F$7="All",Dashboard!$F$7=C1754),OR(Dashboard!$H$7="All",Dashboard!$H$7=D1754),OR(Dashboard!$K$7="All",Dashboard!$K$7=E1754)),1,0)</x:f>
        <x:v>1</x:v>
      </x:c>
      <x:c r="S1754" s="2" t="n">
        <x:f>IF(R1754=1,SUM($R$10:R1754),0)</x:f>
        <x:v>1381</x:v>
      </x:c>
      <x:c r="T1754" s="2" t="str">
        <x:v>Design &amp; Insights</x:v>
      </x:c>
      <x:c r="U1754" s="2" t="n">
        <x:v>382</x:v>
      </x:c>
      <x:c r="V1754" s="2" t="n">
        <x:f>IF(AND(M1754=1,P1754=0,ISNUMBER(J1754),J1754&lt;TODAY()),1,0)</x:f>
        <x:v>0</x:v>
      </x:c>
      <x:c r="W1754" s="2" t="str">
        <x:f>'Design &amp; Insights'!M382</x:f>
        <x:v>Task</x:v>
      </x:c>
    </x:row>
    <x:row r="1755" ht="40" customHeight="1">
      <x:c r="A1755" s="3" t="str">
        <x:f>HYPERLINK("#'Design &amp; Insights'!A383","Open")</x:f>
        <x:v>Open</x:v>
      </x:c>
      <x:c r="B1755" s="2" t="str">
        <x:f>'Design &amp; Insights'!B383</x:f>
        <x:v>Cycle 3</x:v>
      </x:c>
      <x:c r="C1755" s="2" t="str">
        <x:f>'Design &amp; Insights'!C383</x:f>
        <x:v>Phase 3</x:v>
      </x:c>
      <x:c r="D1755" s="2" t="str">
        <x:f>'Design &amp; Insights'!D383</x:f>
        <x:v>FCM</x:v>
      </x:c>
      <x:c r="E1755" s="2" t="str">
        <x:v>Design &amp; Insights</x:v>
      </x:c>
      <x:c r="F1755" s="56" t="str">
        <x:f>'Design &amp; Insights'!E383</x:f>
        <x:v>DI.FC.3.1</x:v>
      </x:c>
      <x:c r="G1755" s="14" t="str">
        <x:f>'Design &amp; Insights'!F383</x:f>
        <x:v>Confirm list of required &amp; optional attendees for pre-socialization meeting</x:v>
      </x:c>
      <x:c r="H1755" s="2" t="str">
        <x:f>IF('Design &amp; Insights'!G383="","",'Design &amp; Insights'!G383)</x:f>
      </x:c>
      <x:c r="I1755" s="12" t="str">
        <x:f>IF('Design &amp; Insights'!H383="","",'Design &amp; Insights'!H383)</x:f>
      </x:c>
      <x:c r="J1755" s="12" t="n">
        <x:f>IF('Design &amp; Insights'!I383="","",'Design &amp; Insights'!I383)</x:f>
        <x:v>46295</x:v>
      </x:c>
      <x:c r="K1755" s="12" t="str">
        <x:f>IF('Design &amp; Insights'!J383="","",'Design &amp; Insights'!J383)</x:f>
      </x:c>
      <x:c r="L1755" s="2" t="str">
        <x:f>IF('Design &amp; Insights'!K383="","",'Design &amp; Insights'!K383)</x:f>
      </x:c>
      <x:c r="M1755" s="2" t="n">
        <x:f>'Design &amp; Insights'!Q383</x:f>
        <x:v>1</x:v>
      </x:c>
      <x:c r="N1755" s="2" t="str">
        <x:f>'Design &amp; Insights'!L383</x:f>
        <x:v>Not started</x:v>
      </x:c>
      <x:c r="O1755" s="2" t="str">
        <x:f>'Design &amp; Insights'!N383</x:f>
        <x:v>DI.FC.3.1.2026.CY3</x:v>
      </x:c>
      <x:c r="P1755" s="2" t="n">
        <x:f>'Design &amp; Insights'!O383</x:f>
        <x:v>0</x:v>
      </x:c>
      <x:c r="Q1755" s="2" t="n">
        <x:f>SUBTOTAL(103,O1755)</x:f>
        <x:v>1</x:v>
      </x:c>
      <x:c r="R1755" s="2" t="n">
        <x:f>IF(AND(M1755=1,OR(Dashboard!$B$7="All",Dashboard!$B$7='Cycles &amp; Guide'!$C$5),OR(Dashboard!$D$7="All",Dashboard!$D$7=B1755),OR(Dashboard!$F$7="All",Dashboard!$F$7=C1755),OR(Dashboard!$H$7="All",Dashboard!$H$7=D1755),OR(Dashboard!$K$7="All",Dashboard!$K$7=E1755)),1,0)</x:f>
        <x:v>1</x:v>
      </x:c>
      <x:c r="S1755" s="2" t="n">
        <x:f>IF(R1755=1,SUM($R$10:R1755),0)</x:f>
        <x:v>1382</x:v>
      </x:c>
      <x:c r="T1755" s="2" t="str">
        <x:v>Design &amp; Insights</x:v>
      </x:c>
      <x:c r="U1755" s="2" t="n">
        <x:v>383</x:v>
      </x:c>
      <x:c r="V1755" s="2" t="n">
        <x:f>IF(AND(M1755=1,P1755=0,ISNUMBER(J1755),J1755&lt;TODAY()),1,0)</x:f>
        <x:v>0</x:v>
      </x:c>
      <x:c r="W1755" s="2" t="str">
        <x:f>'Design &amp; Insights'!M383</x:f>
        <x:v>Task</x:v>
      </x:c>
    </x:row>
    <x:row r="1756" ht="40" customHeight="1">
      <x:c r="A1756" s="3" t="str">
        <x:f>HYPERLINK("#'Design &amp; Insights'!A384","Open")</x:f>
        <x:v>Open</x:v>
      </x:c>
      <x:c r="B1756" s="2" t="str">
        <x:f>'Design &amp; Insights'!B384</x:f>
        <x:v>Cycle 3</x:v>
      </x:c>
      <x:c r="C1756" s="2" t="str">
        <x:f>'Design &amp; Insights'!C384</x:f>
        <x:v>Phase 3</x:v>
      </x:c>
      <x:c r="D1756" s="2" t="str">
        <x:f>'Design &amp; Insights'!D384</x:f>
        <x:v>FCM</x:v>
      </x:c>
      <x:c r="E1756" s="2" t="str">
        <x:v>Design &amp; Insights</x:v>
      </x:c>
      <x:c r="F1756" s="56" t="str">
        <x:f>'Design &amp; Insights'!E384</x:f>
        <x:v>DI.FC.3.2</x:v>
      </x:c>
      <x:c r="G1756" s="14" t="str">
        <x:f>'Design &amp; Insights'!F384</x:f>
        <x:v>Schedule pre-socialization meeting 1 week prior to RCA Forum</x:v>
      </x:c>
      <x:c r="H1756" s="2" t="str">
        <x:f>IF('Design &amp; Insights'!G384="","",'Design &amp; Insights'!G384)</x:f>
      </x:c>
      <x:c r="I1756" s="12" t="str">
        <x:f>IF('Design &amp; Insights'!H384="","",'Design &amp; Insights'!H384)</x:f>
      </x:c>
      <x:c r="J1756" s="12" t="str">
        <x:f>IF('Design &amp; Insights'!I384="","",'Design &amp; Insights'!I384)</x:f>
      </x:c>
      <x:c r="K1756" s="12" t="str">
        <x:f>IF('Design &amp; Insights'!J384="","",'Design &amp; Insights'!J384)</x:f>
      </x:c>
      <x:c r="L1756" s="2" t="str">
        <x:f>IF('Design &amp; Insights'!K384="","",'Design &amp; Insights'!K384)</x:f>
      </x:c>
      <x:c r="M1756" s="2" t="n">
        <x:f>'Design &amp; Insights'!Q384</x:f>
        <x:v>1</x:v>
      </x:c>
      <x:c r="N1756" s="2" t="str">
        <x:f>'Design &amp; Insights'!L384</x:f>
        <x:v>Not started</x:v>
      </x:c>
      <x:c r="O1756" s="2" t="str">
        <x:f>'Design &amp; Insights'!N384</x:f>
        <x:v>DI.FC.3.2.2026.CY3</x:v>
      </x:c>
      <x:c r="P1756" s="2" t="n">
        <x:f>'Design &amp; Insights'!O384</x:f>
        <x:v>0</x:v>
      </x:c>
      <x:c r="Q1756" s="2" t="n">
        <x:f>SUBTOTAL(103,O1756)</x:f>
        <x:v>1</x:v>
      </x:c>
      <x:c r="R1756" s="2" t="n">
        <x:f>IF(AND(M1756=1,OR(Dashboard!$B$7="All",Dashboard!$B$7='Cycles &amp; Guide'!$C$5),OR(Dashboard!$D$7="All",Dashboard!$D$7=B1756),OR(Dashboard!$F$7="All",Dashboard!$F$7=C1756),OR(Dashboard!$H$7="All",Dashboard!$H$7=D1756),OR(Dashboard!$K$7="All",Dashboard!$K$7=E1756)),1,0)</x:f>
        <x:v>1</x:v>
      </x:c>
      <x:c r="S1756" s="2" t="n">
        <x:f>IF(R1756=1,SUM($R$10:R1756),0)</x:f>
        <x:v>1383</x:v>
      </x:c>
      <x:c r="T1756" s="2" t="str">
        <x:v>Design &amp; Insights</x:v>
      </x:c>
      <x:c r="U1756" s="2" t="n">
        <x:v>384</x:v>
      </x:c>
      <x:c r="V1756" s="2" t="n">
        <x:f>IF(AND(M1756=1,P1756=0,ISNUMBER(J1756),J1756&lt;TODAY()),1,0)</x:f>
        <x:v>0</x:v>
      </x:c>
      <x:c r="W1756" s="2" t="str">
        <x:f>'Design &amp; Insights'!M384</x:f>
        <x:v>Task</x:v>
      </x:c>
    </x:row>
    <x:row r="1757" ht="40" customHeight="1">
      <x:c r="A1757" s="3" t="str">
        <x:f>HYPERLINK("#'Design &amp; Insights'!A385","Open")</x:f>
        <x:v>Open</x:v>
      </x:c>
      <x:c r="B1757" s="2" t="str">
        <x:f>'Design &amp; Insights'!B385</x:f>
        <x:v>Cycle 3</x:v>
      </x:c>
      <x:c r="C1757" s="2" t="str">
        <x:f>'Design &amp; Insights'!C385</x:f>
        <x:v>Phase 3</x:v>
      </x:c>
      <x:c r="D1757" s="2" t="str">
        <x:f>'Design &amp; Insights'!D385</x:f>
        <x:v>FCM</x:v>
      </x:c>
      <x:c r="E1757" s="2" t="str">
        <x:v>Design &amp; Insights</x:v>
      </x:c>
      <x:c r="F1757" s="56" t="str">
        <x:f>'Design &amp; Insights'!E385</x:f>
        <x:v>DI.FC.3.3</x:v>
      </x:c>
      <x:c r="G1757" s="14" t="str">
        <x:f>'Design &amp; Insights'!F385</x:f>
        <x:v>Present findings, conclusions, and recommendation to SMEs</x:v>
      </x:c>
      <x:c r="H1757" s="2" t="str">
        <x:f>IF('Design &amp; Insights'!G385="","",'Design &amp; Insights'!G385)</x:f>
      </x:c>
      <x:c r="I1757" s="12" t="str">
        <x:f>IF('Design &amp; Insights'!H385="","",'Design &amp; Insights'!H385)</x:f>
      </x:c>
      <x:c r="J1757" s="12" t="n">
        <x:f>IF('Design &amp; Insights'!I385="","",'Design &amp; Insights'!I385)</x:f>
        <x:v>46295</x:v>
      </x:c>
      <x:c r="K1757" s="12" t="str">
        <x:f>IF('Design &amp; Insights'!J385="","",'Design &amp; Insights'!J385)</x:f>
      </x:c>
      <x:c r="L1757" s="2" t="str">
        <x:f>IF('Design &amp; Insights'!K385="","",'Design &amp; Insights'!K385)</x:f>
      </x:c>
      <x:c r="M1757" s="2" t="n">
        <x:f>'Design &amp; Insights'!Q385</x:f>
        <x:v>1</x:v>
      </x:c>
      <x:c r="N1757" s="2" t="str">
        <x:f>'Design &amp; Insights'!L385</x:f>
        <x:v>Not started</x:v>
      </x:c>
      <x:c r="O1757" s="2" t="str">
        <x:f>'Design &amp; Insights'!N385</x:f>
        <x:v>DI.FC.3.3.2026.CY3</x:v>
      </x:c>
      <x:c r="P1757" s="2" t="n">
        <x:f>'Design &amp; Insights'!O385</x:f>
        <x:v>0</x:v>
      </x:c>
      <x:c r="Q1757" s="2" t="n">
        <x:f>SUBTOTAL(103,O1757)</x:f>
        <x:v>1</x:v>
      </x:c>
      <x:c r="R1757" s="2" t="n">
        <x:f>IF(AND(M1757=1,OR(Dashboard!$B$7="All",Dashboard!$B$7='Cycles &amp; Guide'!$C$5),OR(Dashboard!$D$7="All",Dashboard!$D$7=B1757),OR(Dashboard!$F$7="All",Dashboard!$F$7=C1757),OR(Dashboard!$H$7="All",Dashboard!$H$7=D1757),OR(Dashboard!$K$7="All",Dashboard!$K$7=E1757)),1,0)</x:f>
        <x:v>1</x:v>
      </x:c>
      <x:c r="S1757" s="2" t="n">
        <x:f>IF(R1757=1,SUM($R$10:R1757),0)</x:f>
        <x:v>1384</x:v>
      </x:c>
      <x:c r="T1757" s="2" t="str">
        <x:v>Design &amp; Insights</x:v>
      </x:c>
      <x:c r="U1757" s="2" t="n">
        <x:v>385</x:v>
      </x:c>
      <x:c r="V1757" s="2" t="n">
        <x:f>IF(AND(M1757=1,P1757=0,ISNUMBER(J1757),J1757&lt;TODAY()),1,0)</x:f>
        <x:v>0</x:v>
      </x:c>
      <x:c r="W1757" s="2" t="str">
        <x:f>'Design &amp; Insights'!M385</x:f>
        <x:v>Task</x:v>
      </x:c>
    </x:row>
    <x:row r="1758" ht="40" customHeight="1">
      <x:c r="A1758" s="3" t="str">
        <x:f>HYPERLINK("#'Design &amp; Insights'!A386","Open")</x:f>
        <x:v>Open</x:v>
      </x:c>
      <x:c r="B1758" s="2" t="str">
        <x:f>'Design &amp; Insights'!B386</x:f>
        <x:v>Cycle 3</x:v>
      </x:c>
      <x:c r="C1758" s="2" t="str">
        <x:f>'Design &amp; Insights'!C386</x:f>
        <x:v>Phase 3</x:v>
      </x:c>
      <x:c r="D1758" s="2" t="str">
        <x:f>'Design &amp; Insights'!D386</x:f>
        <x:v>FCM</x:v>
      </x:c>
      <x:c r="E1758" s="2" t="str">
        <x:v>Design &amp; Insights</x:v>
      </x:c>
      <x:c r="F1758" s="56" t="str">
        <x:f>'Design &amp; Insights'!E386</x:f>
        <x:v>DI.FC.3.4</x:v>
      </x:c>
      <x:c r="G1758" s="14" t="str">
        <x:f>'Design &amp; Insights'!F386</x:f>
        <x:v>Update Outcome portion of research plan (as needed)</x:v>
      </x:c>
      <x:c r="H1758" s="2" t="str">
        <x:f>IF('Design &amp; Insights'!G386="","",'Design &amp; Insights'!G386)</x:f>
      </x:c>
      <x:c r="I1758" s="12" t="str">
        <x:f>IF('Design &amp; Insights'!H386="","",'Design &amp; Insights'!H386)</x:f>
      </x:c>
      <x:c r="J1758" s="12" t="n">
        <x:f>IF('Design &amp; Insights'!I386="","",'Design &amp; Insights'!I386)</x:f>
        <x:v>46295</x:v>
      </x:c>
      <x:c r="K1758" s="12" t="str">
        <x:f>IF('Design &amp; Insights'!J386="","",'Design &amp; Insights'!J386)</x:f>
      </x:c>
      <x:c r="L1758" s="2" t="str">
        <x:f>IF('Design &amp; Insights'!K386="","",'Design &amp; Insights'!K386)</x:f>
      </x:c>
      <x:c r="M1758" s="2" t="n">
        <x:f>'Design &amp; Insights'!Q386</x:f>
        <x:v>1</x:v>
      </x:c>
      <x:c r="N1758" s="2" t="str">
        <x:f>'Design &amp; Insights'!L386</x:f>
        <x:v>Not started</x:v>
      </x:c>
      <x:c r="O1758" s="2" t="str">
        <x:f>'Design &amp; Insights'!N386</x:f>
        <x:v>DI.FC.3.4.2026.CY3</x:v>
      </x:c>
      <x:c r="P1758" s="2" t="n">
        <x:f>'Design &amp; Insights'!O386</x:f>
        <x:v>0</x:v>
      </x:c>
      <x:c r="Q1758" s="2" t="n">
        <x:f>SUBTOTAL(103,O1758)</x:f>
        <x:v>1</x:v>
      </x:c>
      <x:c r="R1758" s="2" t="n">
        <x:f>IF(AND(M1758=1,OR(Dashboard!$B$7="All",Dashboard!$B$7='Cycles &amp; Guide'!$C$5),OR(Dashboard!$D$7="All",Dashboard!$D$7=B1758),OR(Dashboard!$F$7="All",Dashboard!$F$7=C1758),OR(Dashboard!$H$7="All",Dashboard!$H$7=D1758),OR(Dashboard!$K$7="All",Dashboard!$K$7=E1758)),1,0)</x:f>
        <x:v>1</x:v>
      </x:c>
      <x:c r="S1758" s="2" t="n">
        <x:f>IF(R1758=1,SUM($R$10:R1758),0)</x:f>
        <x:v>1385</x:v>
      </x:c>
      <x:c r="T1758" s="2" t="str">
        <x:v>Design &amp; Insights</x:v>
      </x:c>
      <x:c r="U1758" s="2" t="n">
        <x:v>386</x:v>
      </x:c>
      <x:c r="V1758" s="2" t="n">
        <x:f>IF(AND(M1758=1,P1758=0,ISNUMBER(J1758),J1758&lt;TODAY()),1,0)</x:f>
        <x:v>0</x:v>
      </x:c>
      <x:c r="W1758" s="2" t="str">
        <x:f>'Design &amp; Insights'!M386</x:f>
        <x:v>Task</x:v>
      </x:c>
    </x:row>
    <x:row r="1759" ht="40" customHeight="1">
      <x:c r="A1759" s="3" t="str">
        <x:f>HYPERLINK("#'Design &amp; Insights'!A387","Open")</x:f>
        <x:v>Open</x:v>
      </x:c>
      <x:c r="B1759" s="2" t="str">
        <x:f>'Design &amp; Insights'!B387</x:f>
        <x:v>Cycle 3</x:v>
      </x:c>
      <x:c r="C1759" s="2" t="str">
        <x:f>'Design &amp; Insights'!C387</x:f>
        <x:v>Phase 3</x:v>
      </x:c>
      <x:c r="D1759" s="2" t="str">
        <x:f>'Design &amp; Insights'!D387</x:f>
        <x:v>FCM</x:v>
      </x:c>
      <x:c r="E1759" s="2" t="str">
        <x:v>Design &amp; Insights</x:v>
      </x:c>
      <x:c r="F1759" s="56" t="str">
        <x:f>'Design &amp; Insights'!E387</x:f>
        <x:v>DI.FC.3.5</x:v>
      </x:c>
      <x:c r="G1759" s="14" t="str">
        <x:f>'Design &amp; Insights'!F387</x:f>
        <x:v>Finalize presentation deck by incorporating pre-socialization feedback (as needed)</x:v>
      </x:c>
      <x:c r="H1759" s="2" t="str">
        <x:f>IF('Design &amp; Insights'!G387="","",'Design &amp; Insights'!G387)</x:f>
      </x:c>
      <x:c r="I1759" s="12" t="str">
        <x:f>IF('Design &amp; Insights'!H387="","",'Design &amp; Insights'!H387)</x:f>
      </x:c>
      <x:c r="J1759" s="12" t="n">
        <x:f>IF('Design &amp; Insights'!I387="","",'Design &amp; Insights'!I387)</x:f>
        <x:v>46295</x:v>
      </x:c>
      <x:c r="K1759" s="12" t="str">
        <x:f>IF('Design &amp; Insights'!J387="","",'Design &amp; Insights'!J387)</x:f>
      </x:c>
      <x:c r="L1759" s="2" t="str">
        <x:f>IF('Design &amp; Insights'!K387="","",'Design &amp; Insights'!K387)</x:f>
      </x:c>
      <x:c r="M1759" s="2" t="n">
        <x:f>'Design &amp; Insights'!Q387</x:f>
        <x:v>1</x:v>
      </x:c>
      <x:c r="N1759" s="2" t="str">
        <x:f>'Design &amp; Insights'!L387</x:f>
        <x:v>Not started</x:v>
      </x:c>
      <x:c r="O1759" s="2" t="str">
        <x:f>'Design &amp; Insights'!N387</x:f>
        <x:v>DI.FC.3.5.2026.CY3</x:v>
      </x:c>
      <x:c r="P1759" s="2" t="n">
        <x:f>'Design &amp; Insights'!O387</x:f>
        <x:v>0</x:v>
      </x:c>
      <x:c r="Q1759" s="2" t="n">
        <x:f>SUBTOTAL(103,O1759)</x:f>
        <x:v>1</x:v>
      </x:c>
      <x:c r="R1759" s="2" t="n">
        <x:f>IF(AND(M1759=1,OR(Dashboard!$B$7="All",Dashboard!$B$7='Cycles &amp; Guide'!$C$5),OR(Dashboard!$D$7="All",Dashboard!$D$7=B1759),OR(Dashboard!$F$7="All",Dashboard!$F$7=C1759),OR(Dashboard!$H$7="All",Dashboard!$H$7=D1759),OR(Dashboard!$K$7="All",Dashboard!$K$7=E1759)),1,0)</x:f>
        <x:v>1</x:v>
      </x:c>
      <x:c r="S1759" s="2" t="n">
        <x:f>IF(R1759=1,SUM($R$10:R1759),0)</x:f>
        <x:v>1386</x:v>
      </x:c>
      <x:c r="T1759" s="2" t="str">
        <x:v>Design &amp; Insights</x:v>
      </x:c>
      <x:c r="U1759" s="2" t="n">
        <x:v>387</x:v>
      </x:c>
      <x:c r="V1759" s="2" t="n">
        <x:f>IF(AND(M1759=1,P1759=0,ISNUMBER(J1759),J1759&lt;TODAY()),1,0)</x:f>
        <x:v>0</x:v>
      </x:c>
      <x:c r="W1759" s="2" t="str">
        <x:f>'Design &amp; Insights'!M387</x:f>
        <x:v>Task</x:v>
      </x:c>
    </x:row>
    <x:row r="1760" ht="40" customHeight="1">
      <x:c r="A1760" s="3" t="str">
        <x:f>HYPERLINK("#'Design &amp; Insights'!A388","Open")</x:f>
        <x:v>Open</x:v>
      </x:c>
      <x:c r="B1760" s="2" t="str">
        <x:f>'Design &amp; Insights'!B388</x:f>
        <x:v>Cycle 3</x:v>
      </x:c>
      <x:c r="C1760" s="2" t="str">
        <x:f>'Design &amp; Insights'!C388</x:f>
        <x:v>Phase 3</x:v>
      </x:c>
      <x:c r="D1760" s="2" t="str">
        <x:f>'Design &amp; Insights'!D388</x:f>
        <x:v>FCM</x:v>
      </x:c>
      <x:c r="E1760" s="2" t="str">
        <x:v>Design &amp; Insights</x:v>
      </x:c>
      <x:c r="F1760" s="56" t="str">
        <x:f>'Design &amp; Insights'!E388</x:f>
        <x:v>DI.FC.3.6</x:v>
      </x:c>
      <x:c r="G1760" s="14" t="str">
        <x:f>'Design &amp; Insights'!F388</x:f>
        <x:v>Ensure final deck is communicated to Forum attendees</x:v>
      </x:c>
      <x:c r="H1760" s="2" t="str">
        <x:f>IF('Design &amp; Insights'!G388="","",'Design &amp; Insights'!G388)</x:f>
      </x:c>
      <x:c r="I1760" s="12" t="str">
        <x:f>IF('Design &amp; Insights'!H388="","",'Design &amp; Insights'!H388)</x:f>
      </x:c>
      <x:c r="J1760" s="12" t="n">
        <x:f>IF('Design &amp; Insights'!I388="","",'Design &amp; Insights'!I388)</x:f>
        <x:v>46295</x:v>
      </x:c>
      <x:c r="K1760" s="12" t="str">
        <x:f>IF('Design &amp; Insights'!J388="","",'Design &amp; Insights'!J388)</x:f>
      </x:c>
      <x:c r="L1760" s="2" t="str">
        <x:f>IF('Design &amp; Insights'!K388="","",'Design &amp; Insights'!K388)</x:f>
      </x:c>
      <x:c r="M1760" s="2" t="n">
        <x:f>'Design &amp; Insights'!Q388</x:f>
        <x:v>1</x:v>
      </x:c>
      <x:c r="N1760" s="2" t="str">
        <x:f>'Design &amp; Insights'!L388</x:f>
        <x:v>Not started</x:v>
      </x:c>
      <x:c r="O1760" s="2" t="str">
        <x:f>'Design &amp; Insights'!N388</x:f>
        <x:v>DI.FC.3.6.2026.CY3</x:v>
      </x:c>
      <x:c r="P1760" s="2" t="n">
        <x:f>'Design &amp; Insights'!O388</x:f>
        <x:v>0</x:v>
      </x:c>
      <x:c r="Q1760" s="2" t="n">
        <x:f>SUBTOTAL(103,O1760)</x:f>
        <x:v>1</x:v>
      </x:c>
      <x:c r="R1760" s="2" t="n">
        <x:f>IF(AND(M1760=1,OR(Dashboard!$B$7="All",Dashboard!$B$7='Cycles &amp; Guide'!$C$5),OR(Dashboard!$D$7="All",Dashboard!$D$7=B1760),OR(Dashboard!$F$7="All",Dashboard!$F$7=C1760),OR(Dashboard!$H$7="All",Dashboard!$H$7=D1760),OR(Dashboard!$K$7="All",Dashboard!$K$7=E1760)),1,0)</x:f>
        <x:v>1</x:v>
      </x:c>
      <x:c r="S1760" s="2" t="n">
        <x:f>IF(R1760=1,SUM($R$10:R1760),0)</x:f>
        <x:v>1387</x:v>
      </x:c>
      <x:c r="T1760" s="2" t="str">
        <x:v>Design &amp; Insights</x:v>
      </x:c>
      <x:c r="U1760" s="2" t="n">
        <x:v>388</x:v>
      </x:c>
      <x:c r="V1760" s="2" t="n">
        <x:f>IF(AND(M1760=1,P1760=0,ISNUMBER(J1760),J1760&lt;TODAY()),1,0)</x:f>
        <x:v>0</x:v>
      </x:c>
      <x:c r="W1760" s="2" t="str">
        <x:f>'Design &amp; Insights'!M388</x:f>
        <x:v>Task</x:v>
      </x:c>
    </x:row>
    <x:row r="1761" ht="40" customHeight="1">
      <x:c r="A1761" s="3" t="str">
        <x:f>HYPERLINK("#'Design &amp; Insights'!A389","Open")</x:f>
        <x:v>Open</x:v>
      </x:c>
      <x:c r="B1761" s="2" t="str">
        <x:f>'Design &amp; Insights'!B389</x:f>
        <x:v>Cycle 3</x:v>
      </x:c>
      <x:c r="C1761" s="2" t="str">
        <x:f>'Design &amp; Insights'!C389</x:f>
        <x:v>Phase 3</x:v>
      </x:c>
      <x:c r="D1761" s="2" t="str">
        <x:f>'Design &amp; Insights'!D389</x:f>
        <x:v>FCM</x:v>
      </x:c>
      <x:c r="E1761" s="2" t="str">
        <x:v>Design &amp; Insights</x:v>
      </x:c>
      <x:c r="F1761" s="56" t="str">
        <x:f>'Design &amp; Insights'!E389</x:f>
        <x:v>DI.FC.3.7</x:v>
      </x:c>
      <x:c r="G1761" s="14" t="str">
        <x:f>'Design &amp; Insights'!F389</x:f>
        <x:v>Present material in RCA Cycle Forum</x:v>
      </x:c>
      <x:c r="H1761" s="2" t="str">
        <x:f>IF('Design &amp; Insights'!G389="","",'Design &amp; Insights'!G389)</x:f>
      </x:c>
      <x:c r="I1761" s="12" t="str">
        <x:f>IF('Design &amp; Insights'!H389="","",'Design &amp; Insights'!H389)</x:f>
      </x:c>
      <x:c r="J1761" s="12" t="str">
        <x:f>IF('Design &amp; Insights'!I389="","",'Design &amp; Insights'!I389)</x:f>
      </x:c>
      <x:c r="K1761" s="12" t="str">
        <x:f>IF('Design &amp; Insights'!J389="","",'Design &amp; Insights'!J389)</x:f>
      </x:c>
      <x:c r="L1761" s="2" t="str">
        <x:f>IF('Design &amp; Insights'!K389="","",'Design &amp; Insights'!K389)</x:f>
      </x:c>
      <x:c r="M1761" s="2" t="n">
        <x:f>'Design &amp; Insights'!Q389</x:f>
        <x:v>1</x:v>
      </x:c>
      <x:c r="N1761" s="2" t="str">
        <x:f>'Design &amp; Insights'!L389</x:f>
        <x:v>Not started</x:v>
      </x:c>
      <x:c r="O1761" s="2" t="str">
        <x:f>'Design &amp; Insights'!N389</x:f>
        <x:v>DI.FC.3.7.2026.CY3</x:v>
      </x:c>
      <x:c r="P1761" s="2" t="n">
        <x:f>'Design &amp; Insights'!O389</x:f>
        <x:v>0</x:v>
      </x:c>
      <x:c r="Q1761" s="2" t="n">
        <x:f>SUBTOTAL(103,O1761)</x:f>
        <x:v>1</x:v>
      </x:c>
      <x:c r="R1761" s="2" t="n">
        <x:f>IF(AND(M1761=1,OR(Dashboard!$B$7="All",Dashboard!$B$7='Cycles &amp; Guide'!$C$5),OR(Dashboard!$D$7="All",Dashboard!$D$7=B1761),OR(Dashboard!$F$7="All",Dashboard!$F$7=C1761),OR(Dashboard!$H$7="All",Dashboard!$H$7=D1761),OR(Dashboard!$K$7="All",Dashboard!$K$7=E1761)),1,0)</x:f>
        <x:v>1</x:v>
      </x:c>
      <x:c r="S1761" s="2" t="n">
        <x:f>IF(R1761=1,SUM($R$10:R1761),0)</x:f>
        <x:v>1388</x:v>
      </x:c>
      <x:c r="T1761" s="2" t="str">
        <x:v>Design &amp; Insights</x:v>
      </x:c>
      <x:c r="U1761" s="2" t="n">
        <x:v>389</x:v>
      </x:c>
      <x:c r="V1761" s="2" t="n">
        <x:f>IF(AND(M1761=1,P1761=0,ISNUMBER(J1761),J1761&lt;TODAY()),1,0)</x:f>
        <x:v>0</x:v>
      </x:c>
      <x:c r="W1761" s="2" t="str">
        <x:f>'Design &amp; Insights'!M389</x:f>
        <x:v>Task</x:v>
      </x:c>
    </x:row>
    <x:row r="1762" ht="40" customHeight="1">
      <x:c r="A1762" s="3" t="str">
        <x:f>HYPERLINK("#'Design &amp; Insights'!A390","Open")</x:f>
        <x:v>Open</x:v>
      </x:c>
      <x:c r="B1762" s="2" t="str">
        <x:f>'Design &amp; Insights'!B390</x:f>
        <x:v>Cycle 3</x:v>
      </x:c>
      <x:c r="C1762" s="2" t="str">
        <x:f>'Design &amp; Insights'!C390</x:f>
        <x:v>Phase 1</x:v>
      </x:c>
      <x:c r="D1762" s="2" t="str">
        <x:f>'Design &amp; Insights'!D390</x:f>
        <x:v>PLL</x:v>
      </x:c>
      <x:c r="E1762" s="2" t="str">
        <x:v>Design &amp; Insights</x:v>
      </x:c>
      <x:c r="F1762" s="56" t="str">
        <x:f>'Design &amp; Insights'!E390</x:f>
        <x:v>DI.PL.1.1</x:v>
      </x:c>
      <x:c r="G1762" s="14" t="str">
        <x:f>'Design &amp; Insights'!F390</x:f>
        <x:v>Receive and review potential research topics at least 2 weeks prior to Cycle start date</x:v>
      </x:c>
      <x:c r="H1762" s="2" t="str">
        <x:f>IF('Design &amp; Insights'!G390="","",'Design &amp; Insights'!G390)</x:f>
      </x:c>
      <x:c r="I1762" s="12" t="str">
        <x:f>IF('Design &amp; Insights'!H390="","",'Design &amp; Insights'!H390)</x:f>
      </x:c>
      <x:c r="J1762" s="12" t="n">
        <x:f>IF('Design &amp; Insights'!I390="","",'Design &amp; Insights'!I390)</x:f>
        <x:v>46190</x:v>
      </x:c>
      <x:c r="K1762" s="12" t="str">
        <x:f>IF('Design &amp; Insights'!J390="","",'Design &amp; Insights'!J390)</x:f>
      </x:c>
      <x:c r="L1762" s="2" t="str">
        <x:f>IF('Design &amp; Insights'!K390="","",'Design &amp; Insights'!K390)</x:f>
      </x:c>
      <x:c r="M1762" s="2" t="n">
        <x:f>'Design &amp; Insights'!Q390</x:f>
        <x:v>1</x:v>
      </x:c>
      <x:c r="N1762" s="2" t="str">
        <x:f>'Design &amp; Insights'!L390</x:f>
        <x:v>Not started</x:v>
      </x:c>
      <x:c r="O1762" s="2" t="str">
        <x:f>'Design &amp; Insights'!N390</x:f>
        <x:v>DI.PL.1.1.2026.CY3</x:v>
      </x:c>
      <x:c r="P1762" s="2" t="n">
        <x:f>'Design &amp; Insights'!O390</x:f>
        <x:v>0</x:v>
      </x:c>
      <x:c r="Q1762" s="2" t="n">
        <x:f>SUBTOTAL(103,O1762)</x:f>
        <x:v>1</x:v>
      </x:c>
      <x:c r="R1762" s="2" t="n">
        <x:f>IF(AND(M1762=1,OR(Dashboard!$B$7="All",Dashboard!$B$7='Cycles &amp; Guide'!$C$5),OR(Dashboard!$D$7="All",Dashboard!$D$7=B1762),OR(Dashboard!$F$7="All",Dashboard!$F$7=C1762),OR(Dashboard!$H$7="All",Dashboard!$H$7=D1762),OR(Dashboard!$K$7="All",Dashboard!$K$7=E1762)),1,0)</x:f>
        <x:v>1</x:v>
      </x:c>
      <x:c r="S1762" s="2" t="n">
        <x:f>IF(R1762=1,SUM($R$10:R1762),0)</x:f>
        <x:v>1389</x:v>
      </x:c>
      <x:c r="T1762" s="2" t="str">
        <x:v>Design &amp; Insights</x:v>
      </x:c>
      <x:c r="U1762" s="2" t="n">
        <x:v>390</x:v>
      </x:c>
      <x:c r="V1762" s="2" t="n">
        <x:f>IF(AND(M1762=1,P1762=0,ISNUMBER(J1762),J1762&lt;TODAY()),1,0)</x:f>
        <x:v>1</x:v>
      </x:c>
      <x:c r="W1762" s="2" t="str">
        <x:f>'Design &amp; Insights'!M390</x:f>
        <x:v>Task</x:v>
      </x:c>
    </x:row>
    <x:row r="1763" ht="40" customHeight="1">
      <x:c r="A1763" s="3" t="str">
        <x:f>HYPERLINK("#'Design &amp; Insights'!A391","Open")</x:f>
        <x:v>Open</x:v>
      </x:c>
      <x:c r="B1763" s="2" t="str">
        <x:f>'Design &amp; Insights'!B391</x:f>
        <x:v>Cycle 3</x:v>
      </x:c>
      <x:c r="C1763" s="2" t="str">
        <x:f>'Design &amp; Insights'!C391</x:f>
        <x:v>Phase 1</x:v>
      </x:c>
      <x:c r="D1763" s="2" t="str">
        <x:f>'Design &amp; Insights'!D391</x:f>
        <x:v>PLL</x:v>
      </x:c>
      <x:c r="E1763" s="2" t="str">
        <x:v>Design &amp; Insights</x:v>
      </x:c>
      <x:c r="F1763" s="56" t="str">
        <x:f>'Design &amp; Insights'!E391</x:f>
        <x:v>DI.PL.1.2</x:v>
      </x:c>
      <x:c r="G1763" s="14" t="str">
        <x:f>'Design &amp; Insights'!F391</x:f>
        <x:v>Communicate any feedback on preferences or concerns with topics identified</x:v>
      </x:c>
      <x:c r="H1763" s="2" t="str">
        <x:f>IF('Design &amp; Insights'!G391="","",'Design &amp; Insights'!G391)</x:f>
      </x:c>
      <x:c r="I1763" s="12" t="str">
        <x:f>IF('Design &amp; Insights'!H391="","",'Design &amp; Insights'!H391)</x:f>
      </x:c>
      <x:c r="J1763" s="12" t="n">
        <x:f>IF('Design &amp; Insights'!I391="","",'Design &amp; Insights'!I391)</x:f>
        <x:v>46295</x:v>
      </x:c>
      <x:c r="K1763" s="12" t="str">
        <x:f>IF('Design &amp; Insights'!J391="","",'Design &amp; Insights'!J391)</x:f>
      </x:c>
      <x:c r="L1763" s="2" t="str">
        <x:f>IF('Design &amp; Insights'!K391="","",'Design &amp; Insights'!K391)</x:f>
      </x:c>
      <x:c r="M1763" s="2" t="n">
        <x:f>'Design &amp; Insights'!Q391</x:f>
        <x:v>1</x:v>
      </x:c>
      <x:c r="N1763" s="2" t="str">
        <x:f>'Design &amp; Insights'!L391</x:f>
        <x:v>Not started</x:v>
      </x:c>
      <x:c r="O1763" s="2" t="str">
        <x:f>'Design &amp; Insights'!N391</x:f>
        <x:v>DI.PL.1.2.2026.CY3</x:v>
      </x:c>
      <x:c r="P1763" s="2" t="n">
        <x:f>'Design &amp; Insights'!O391</x:f>
        <x:v>0</x:v>
      </x:c>
      <x:c r="Q1763" s="2" t="n">
        <x:f>SUBTOTAL(103,O1763)</x:f>
        <x:v>1</x:v>
      </x:c>
      <x:c r="R1763" s="2" t="n">
        <x:f>IF(AND(M1763=1,OR(Dashboard!$B$7="All",Dashboard!$B$7='Cycles &amp; Guide'!$C$5),OR(Dashboard!$D$7="All",Dashboard!$D$7=B1763),OR(Dashboard!$F$7="All",Dashboard!$F$7=C1763),OR(Dashboard!$H$7="All",Dashboard!$H$7=D1763),OR(Dashboard!$K$7="All",Dashboard!$K$7=E1763)),1,0)</x:f>
        <x:v>1</x:v>
      </x:c>
      <x:c r="S1763" s="2" t="n">
        <x:f>IF(R1763=1,SUM($R$10:R1763),0)</x:f>
        <x:v>1390</x:v>
      </x:c>
      <x:c r="T1763" s="2" t="str">
        <x:v>Design &amp; Insights</x:v>
      </x:c>
      <x:c r="U1763" s="2" t="n">
        <x:v>391</x:v>
      </x:c>
      <x:c r="V1763" s="2" t="n">
        <x:f>IF(AND(M1763=1,P1763=0,ISNUMBER(J1763),J1763&lt;TODAY()),1,0)</x:f>
        <x:v>0</x:v>
      </x:c>
      <x:c r="W1763" s="2" t="str">
        <x:f>'Design &amp; Insights'!M391</x:f>
        <x:v>Task</x:v>
      </x:c>
    </x:row>
    <x:row r="1764" ht="40" customHeight="1">
      <x:c r="A1764" s="3" t="str">
        <x:f>HYPERLINK("#'Design &amp; Insights'!A392","Open")</x:f>
        <x:v>Open</x:v>
      </x:c>
      <x:c r="B1764" s="2" t="str">
        <x:f>'Design &amp; Insights'!B392</x:f>
        <x:v>Cycle 3</x:v>
      </x:c>
      <x:c r="C1764" s="2" t="str">
        <x:f>'Design &amp; Insights'!C392</x:f>
        <x:v>Phase 1</x:v>
      </x:c>
      <x:c r="D1764" s="2" t="str">
        <x:f>'Design &amp; Insights'!D392</x:f>
        <x:v>PLL</x:v>
      </x:c>
      <x:c r="E1764" s="2" t="str">
        <x:v>Design &amp; Insights</x:v>
      </x:c>
      <x:c r="F1764" s="56" t="str">
        <x:f>'Design &amp; Insights'!E392</x:f>
        <x:v>DI.PL.1.3</x:v>
      </x:c>
      <x:c r="G1764" s="14" t="str">
        <x:f>'Design &amp; Insights'!F392</x:f>
        <x:v>Conduct high-level preliminary review of complaints within proposed topics</x:v>
      </x:c>
      <x:c r="H1764" s="2" t="str">
        <x:f>IF('Design &amp; Insights'!G392="","",'Design &amp; Insights'!G392)</x:f>
      </x:c>
      <x:c r="I1764" s="12" t="str">
        <x:f>IF('Design &amp; Insights'!H392="","",'Design &amp; Insights'!H392)</x:f>
      </x:c>
      <x:c r="J1764" s="12" t="n">
        <x:f>IF('Design &amp; Insights'!I392="","",'Design &amp; Insights'!I392)</x:f>
        <x:v>46295</x:v>
      </x:c>
      <x:c r="K1764" s="12" t="str">
        <x:f>IF('Design &amp; Insights'!J392="","",'Design &amp; Insights'!J392)</x:f>
      </x:c>
      <x:c r="L1764" s="2" t="str">
        <x:f>IF('Design &amp; Insights'!K392="","",'Design &amp; Insights'!K392)</x:f>
      </x:c>
      <x:c r="M1764" s="2" t="n">
        <x:f>'Design &amp; Insights'!Q392</x:f>
        <x:v>1</x:v>
      </x:c>
      <x:c r="N1764" s="2" t="str">
        <x:f>'Design &amp; Insights'!L392</x:f>
        <x:v>Not started</x:v>
      </x:c>
      <x:c r="O1764" s="2" t="str">
        <x:f>'Design &amp; Insights'!N392</x:f>
        <x:v>DI.PL.1.3.2026.CY3</x:v>
      </x:c>
      <x:c r="P1764" s="2" t="n">
        <x:f>'Design &amp; Insights'!O392</x:f>
        <x:v>0</x:v>
      </x:c>
      <x:c r="Q1764" s="2" t="n">
        <x:f>SUBTOTAL(103,O1764)</x:f>
        <x:v>1</x:v>
      </x:c>
      <x:c r="R1764" s="2" t="n">
        <x:f>IF(AND(M1764=1,OR(Dashboard!$B$7="All",Dashboard!$B$7='Cycles &amp; Guide'!$C$5),OR(Dashboard!$D$7="All",Dashboard!$D$7=B1764),OR(Dashboard!$F$7="All",Dashboard!$F$7=C1764),OR(Dashboard!$H$7="All",Dashboard!$H$7=D1764),OR(Dashboard!$K$7="All",Dashboard!$K$7=E1764)),1,0)</x:f>
        <x:v>1</x:v>
      </x:c>
      <x:c r="S1764" s="2" t="n">
        <x:f>IF(R1764=1,SUM($R$10:R1764),0)</x:f>
        <x:v>1391</x:v>
      </x:c>
      <x:c r="T1764" s="2" t="str">
        <x:v>Design &amp; Insights</x:v>
      </x:c>
      <x:c r="U1764" s="2" t="n">
        <x:v>392</x:v>
      </x:c>
      <x:c r="V1764" s="2" t="n">
        <x:f>IF(AND(M1764=1,P1764=0,ISNUMBER(J1764),J1764&lt;TODAY()),1,0)</x:f>
        <x:v>0</x:v>
      </x:c>
      <x:c r="W1764" s="2" t="str">
        <x:f>'Design &amp; Insights'!M392</x:f>
        <x:v>Task</x:v>
      </x:c>
    </x:row>
    <x:row r="1765" ht="40" customHeight="1">
      <x:c r="A1765" s="3" t="str">
        <x:f>HYPERLINK("#'Design &amp; Insights'!A393","Open")</x:f>
        <x:v>Open</x:v>
      </x:c>
      <x:c r="B1765" s="2" t="str">
        <x:f>'Design &amp; Insights'!B393</x:f>
        <x:v>Cycle 3</x:v>
      </x:c>
      <x:c r="C1765" s="2" t="str">
        <x:f>'Design &amp; Insights'!C393</x:f>
        <x:v>Phase 1</x:v>
      </x:c>
      <x:c r="D1765" s="2" t="str">
        <x:f>'Design &amp; Insights'!D393</x:f>
        <x:v>PLL</x:v>
      </x:c>
      <x:c r="E1765" s="2" t="str">
        <x:v>Design &amp; Insights</x:v>
      </x:c>
      <x:c r="F1765" s="56" t="str">
        <x:f>'Design &amp; Insights'!E393</x:f>
        <x:v>DI.PL.1.4</x:v>
      </x:c>
      <x:c r="G1765" s="14" t="str">
        <x:f>'Design &amp; Insights'!F393</x:f>
        <x:v>Meet with Research to discuss which topic to select based on potential impact</x:v>
      </x:c>
      <x:c r="H1765" s="2" t="str">
        <x:f>IF('Design &amp; Insights'!G393="","",'Design &amp; Insights'!G393)</x:f>
      </x:c>
      <x:c r="I1765" s="12" t="str">
        <x:f>IF('Design &amp; Insights'!H393="","",'Design &amp; Insights'!H393)</x:f>
      </x:c>
      <x:c r="J1765" s="12" t="n">
        <x:f>IF('Design &amp; Insights'!I393="","",'Design &amp; Insights'!I393)</x:f>
        <x:v>46295</x:v>
      </x:c>
      <x:c r="K1765" s="12" t="str">
        <x:f>IF('Design &amp; Insights'!J393="","",'Design &amp; Insights'!J393)</x:f>
      </x:c>
      <x:c r="L1765" s="2" t="str">
        <x:f>IF('Design &amp; Insights'!K393="","",'Design &amp; Insights'!K393)</x:f>
      </x:c>
      <x:c r="M1765" s="2" t="n">
        <x:f>'Design &amp; Insights'!Q393</x:f>
        <x:v>1</x:v>
      </x:c>
      <x:c r="N1765" s="2" t="str">
        <x:f>'Design &amp; Insights'!L393</x:f>
        <x:v>Not started</x:v>
      </x:c>
      <x:c r="O1765" s="2" t="str">
        <x:f>'Design &amp; Insights'!N393</x:f>
        <x:v>DI.PL.1.4.2026.CY3</x:v>
      </x:c>
      <x:c r="P1765" s="2" t="n">
        <x:f>'Design &amp; Insights'!O393</x:f>
        <x:v>0</x:v>
      </x:c>
      <x:c r="Q1765" s="2" t="n">
        <x:f>SUBTOTAL(103,O1765)</x:f>
        <x:v>1</x:v>
      </x:c>
      <x:c r="R1765" s="2" t="n">
        <x:f>IF(AND(M1765=1,OR(Dashboard!$B$7="All",Dashboard!$B$7='Cycles &amp; Guide'!$C$5),OR(Dashboard!$D$7="All",Dashboard!$D$7=B1765),OR(Dashboard!$F$7="All",Dashboard!$F$7=C1765),OR(Dashboard!$H$7="All",Dashboard!$H$7=D1765),OR(Dashboard!$K$7="All",Dashboard!$K$7=E1765)),1,0)</x:f>
        <x:v>1</x:v>
      </x:c>
      <x:c r="S1765" s="2" t="n">
        <x:f>IF(R1765=1,SUM($R$10:R1765),0)</x:f>
        <x:v>1392</x:v>
      </x:c>
      <x:c r="T1765" s="2" t="str">
        <x:v>Design &amp; Insights</x:v>
      </x:c>
      <x:c r="U1765" s="2" t="n">
        <x:v>393</x:v>
      </x:c>
      <x:c r="V1765" s="2" t="n">
        <x:f>IF(AND(M1765=1,P1765=0,ISNUMBER(J1765),J1765&lt;TODAY()),1,0)</x:f>
        <x:v>0</x:v>
      </x:c>
      <x:c r="W1765" s="2" t="str">
        <x:f>'Design &amp; Insights'!M393</x:f>
        <x:v>Task</x:v>
      </x:c>
    </x:row>
    <x:row r="1766" ht="40" customHeight="1">
      <x:c r="A1766" s="3" t="str">
        <x:f>HYPERLINK("#'Design &amp; Insights'!A394","Open")</x:f>
        <x:v>Open</x:v>
      </x:c>
      <x:c r="B1766" s="2" t="str">
        <x:f>'Design &amp; Insights'!B394</x:f>
        <x:v>Cycle 3</x:v>
      </x:c>
      <x:c r="C1766" s="2" t="str">
        <x:f>'Design &amp; Insights'!C394</x:f>
        <x:v>Phase 1</x:v>
      </x:c>
      <x:c r="D1766" s="2" t="str">
        <x:f>'Design &amp; Insights'!D394</x:f>
        <x:v>PLL</x:v>
      </x:c>
      <x:c r="E1766" s="2" t="str">
        <x:v>Design &amp; Insights</x:v>
      </x:c>
      <x:c r="F1766" s="56" t="str">
        <x:f>'Design &amp; Insights'!E394</x:f>
        <x:v>DI.PL.1.5</x:v>
      </x:c>
      <x:c r="G1766" s="14" t="str">
        <x:f>'Design &amp; Insights'!F394</x:f>
        <x:v>Confirm with Research the recommended topic for approval</x:v>
      </x:c>
      <x:c r="H1766" s="2" t="str">
        <x:f>IF('Design &amp; Insights'!G394="","",'Design &amp; Insights'!G394)</x:f>
      </x:c>
      <x:c r="I1766" s="12" t="str">
        <x:f>IF('Design &amp; Insights'!H394="","",'Design &amp; Insights'!H394)</x:f>
      </x:c>
      <x:c r="J1766" s="12" t="n">
        <x:f>IF('Design &amp; Insights'!I394="","",'Design &amp; Insights'!I394)</x:f>
        <x:v>46295</x:v>
      </x:c>
      <x:c r="K1766" s="12" t="str">
        <x:f>IF('Design &amp; Insights'!J394="","",'Design &amp; Insights'!J394)</x:f>
      </x:c>
      <x:c r="L1766" s="2" t="str">
        <x:f>IF('Design &amp; Insights'!K394="","",'Design &amp; Insights'!K394)</x:f>
      </x:c>
      <x:c r="M1766" s="2" t="n">
        <x:f>'Design &amp; Insights'!Q394</x:f>
        <x:v>1</x:v>
      </x:c>
      <x:c r="N1766" s="2" t="str">
        <x:f>'Design &amp; Insights'!L394</x:f>
        <x:v>Not started</x:v>
      </x:c>
      <x:c r="O1766" s="2" t="str">
        <x:f>'Design &amp; Insights'!N394</x:f>
        <x:v>DI.PL.1.5.2026.CY3</x:v>
      </x:c>
      <x:c r="P1766" s="2" t="n">
        <x:f>'Design &amp; Insights'!O394</x:f>
        <x:v>0</x:v>
      </x:c>
      <x:c r="Q1766" s="2" t="n">
        <x:f>SUBTOTAL(103,O1766)</x:f>
        <x:v>1</x:v>
      </x:c>
      <x:c r="R1766" s="2" t="n">
        <x:f>IF(AND(M1766=1,OR(Dashboard!$B$7="All",Dashboard!$B$7='Cycles &amp; Guide'!$C$5),OR(Dashboard!$D$7="All",Dashboard!$D$7=B1766),OR(Dashboard!$F$7="All",Dashboard!$F$7=C1766),OR(Dashboard!$H$7="All",Dashboard!$H$7=D1766),OR(Dashboard!$K$7="All",Dashboard!$K$7=E1766)),1,0)</x:f>
        <x:v>1</x:v>
      </x:c>
      <x:c r="S1766" s="2" t="n">
        <x:f>IF(R1766=1,SUM($R$10:R1766),0)</x:f>
        <x:v>1393</x:v>
      </x:c>
      <x:c r="T1766" s="2" t="str">
        <x:v>Design &amp; Insights</x:v>
      </x:c>
      <x:c r="U1766" s="2" t="n">
        <x:v>394</x:v>
      </x:c>
      <x:c r="V1766" s="2" t="n">
        <x:f>IF(AND(M1766=1,P1766=0,ISNUMBER(J1766),J1766&lt;TODAY()),1,0)</x:f>
        <x:v>0</x:v>
      </x:c>
      <x:c r="W1766" s="2" t="str">
        <x:f>'Design &amp; Insights'!M394</x:f>
        <x:v>Task</x:v>
      </x:c>
    </x:row>
    <x:row r="1767" ht="40" customHeight="1">
      <x:c r="A1767" s="3" t="str">
        <x:f>HYPERLINK("#'Design &amp; Insights'!A395","Open")</x:f>
        <x:v>Open</x:v>
      </x:c>
      <x:c r="B1767" s="2" t="str">
        <x:f>'Design &amp; Insights'!B395</x:f>
        <x:v>Cycle 3</x:v>
      </x:c>
      <x:c r="C1767" s="2" t="str">
        <x:f>'Design &amp; Insights'!C395</x:f>
        <x:v>Phase 1</x:v>
      </x:c>
      <x:c r="D1767" s="2" t="str">
        <x:f>'Design &amp; Insights'!D395</x:f>
        <x:v>PLL</x:v>
      </x:c>
      <x:c r="E1767" s="2" t="str">
        <x:v>Design &amp; Insights</x:v>
      </x:c>
      <x:c r="F1767" s="56" t="str">
        <x:f>'Design &amp; Insights'!E395</x:f>
        <x:v>DI.PL.1.6</x:v>
      </x:c>
      <x:c r="G1767" s="14" t="str">
        <x:f>'Design &amp; Insights'!F395</x:f>
        <x:v>Send topic selection socialization email to all key stakeholders on the first day of the review Cycle</x:v>
      </x:c>
      <x:c r="H1767" s="2" t="str">
        <x:f>IF('Design &amp; Insights'!G395="","",'Design &amp; Insights'!G395)</x:f>
      </x:c>
      <x:c r="I1767" s="12" t="str">
        <x:f>IF('Design &amp; Insights'!H395="","",'Design &amp; Insights'!H395)</x:f>
      </x:c>
      <x:c r="J1767" s="12" t="n">
        <x:f>IF('Design &amp; Insights'!I395="","",'Design &amp; Insights'!I395)</x:f>
        <x:v>46204</x:v>
      </x:c>
      <x:c r="K1767" s="12" t="str">
        <x:f>IF('Design &amp; Insights'!J395="","",'Design &amp; Insights'!J395)</x:f>
      </x:c>
      <x:c r="L1767" s="2" t="str">
        <x:f>IF('Design &amp; Insights'!K395="","",'Design &amp; Insights'!K395)</x:f>
      </x:c>
      <x:c r="M1767" s="2" t="n">
        <x:f>'Design &amp; Insights'!Q395</x:f>
        <x:v>1</x:v>
      </x:c>
      <x:c r="N1767" s="2" t="str">
        <x:f>'Design &amp; Insights'!L395</x:f>
        <x:v>Not started</x:v>
      </x:c>
      <x:c r="O1767" s="2" t="str">
        <x:f>'Design &amp; Insights'!N395</x:f>
        <x:v>DI.PL.1.6.2026.CY3</x:v>
      </x:c>
      <x:c r="P1767" s="2" t="n">
        <x:f>'Design &amp; Insights'!O395</x:f>
        <x:v>0</x:v>
      </x:c>
      <x:c r="Q1767" s="2" t="n">
        <x:f>SUBTOTAL(103,O1767)</x:f>
        <x:v>1</x:v>
      </x:c>
      <x:c r="R1767" s="2" t="n">
        <x:f>IF(AND(M1767=1,OR(Dashboard!$B$7="All",Dashboard!$B$7='Cycles &amp; Guide'!$C$5),OR(Dashboard!$D$7="All",Dashboard!$D$7=B1767),OR(Dashboard!$F$7="All",Dashboard!$F$7=C1767),OR(Dashboard!$H$7="All",Dashboard!$H$7=D1767),OR(Dashboard!$K$7="All",Dashboard!$K$7=E1767)),1,0)</x:f>
        <x:v>1</x:v>
      </x:c>
      <x:c r="S1767" s="2" t="n">
        <x:f>IF(R1767=1,SUM($R$10:R1767),0)</x:f>
        <x:v>1394</x:v>
      </x:c>
      <x:c r="T1767" s="2" t="str">
        <x:v>Design &amp; Insights</x:v>
      </x:c>
      <x:c r="U1767" s="2" t="n">
        <x:v>395</x:v>
      </x:c>
      <x:c r="V1767" s="2" t="n">
        <x:f>IF(AND(M1767=1,P1767=0,ISNUMBER(J1767),J1767&lt;TODAY()),1,0)</x:f>
        <x:v>1</x:v>
      </x:c>
      <x:c r="W1767" s="2" t="str">
        <x:f>'Design &amp; Insights'!M395</x:f>
        <x:v>Task</x:v>
      </x:c>
    </x:row>
    <x:row r="1768" ht="40" customHeight="1">
      <x:c r="A1768" s="3" t="str">
        <x:f>HYPERLINK("#'Design &amp; Insights'!A396","Open")</x:f>
        <x:v>Open</x:v>
      </x:c>
      <x:c r="B1768" s="2" t="str">
        <x:f>'Design &amp; Insights'!B396</x:f>
        <x:v>Cycle 3</x:v>
      </x:c>
      <x:c r="C1768" s="2" t="str">
        <x:f>'Design &amp; Insights'!C396</x:f>
        <x:v>Phase 2</x:v>
      </x:c>
      <x:c r="D1768" s="2" t="str">
        <x:f>'Design &amp; Insights'!D396</x:f>
        <x:v>PLL</x:v>
      </x:c>
      <x:c r="E1768" s="2" t="str">
        <x:v>Design &amp; Insights</x:v>
      </x:c>
      <x:c r="F1768" s="56" t="str">
        <x:f>'Design &amp; Insights'!E396</x:f>
        <x:v>DI.PL.2.1</x:v>
      </x:c>
      <x:c r="G1768" s="14" t="str">
        <x:f>'Design &amp; Insights'!F396</x:f>
        <x:v>Meet regularly with Research to stay informed on progress, findings, and potential enhancement</x:v>
      </x:c>
      <x:c r="H1768" s="2" t="str">
        <x:f>IF('Design &amp; Insights'!G396="","",'Design &amp; Insights'!G396)</x:f>
      </x:c>
      <x:c r="I1768" s="12" t="str">
        <x:f>IF('Design &amp; Insights'!H396="","",'Design &amp; Insights'!H396)</x:f>
      </x:c>
      <x:c r="J1768" s="12" t="n">
        <x:f>IF('Design &amp; Insights'!I396="","",'Design &amp; Insights'!I396)</x:f>
        <x:v>46295</x:v>
      </x:c>
      <x:c r="K1768" s="12" t="str">
        <x:f>IF('Design &amp; Insights'!J396="","",'Design &amp; Insights'!J396)</x:f>
      </x:c>
      <x:c r="L1768" s="2" t="str">
        <x:f>IF('Design &amp; Insights'!K396="","",'Design &amp; Insights'!K396)</x:f>
      </x:c>
      <x:c r="M1768" s="2" t="n">
        <x:f>'Design &amp; Insights'!Q396</x:f>
        <x:v>1</x:v>
      </x:c>
      <x:c r="N1768" s="2" t="str">
        <x:f>'Design &amp; Insights'!L396</x:f>
        <x:v>Not started</x:v>
      </x:c>
      <x:c r="O1768" s="2" t="str">
        <x:f>'Design &amp; Insights'!N396</x:f>
        <x:v>DI.PL.2.1.2026.CY3</x:v>
      </x:c>
      <x:c r="P1768" s="2" t="n">
        <x:f>'Design &amp; Insights'!O396</x:f>
        <x:v>0</x:v>
      </x:c>
      <x:c r="Q1768" s="2" t="n">
        <x:f>SUBTOTAL(103,O1768)</x:f>
        <x:v>1</x:v>
      </x:c>
      <x:c r="R1768" s="2" t="n">
        <x:f>IF(AND(M1768=1,OR(Dashboard!$B$7="All",Dashboard!$B$7='Cycles &amp; Guide'!$C$5),OR(Dashboard!$D$7="All",Dashboard!$D$7=B1768),OR(Dashboard!$F$7="All",Dashboard!$F$7=C1768),OR(Dashboard!$H$7="All",Dashboard!$H$7=D1768),OR(Dashboard!$K$7="All",Dashboard!$K$7=E1768)),1,0)</x:f>
        <x:v>1</x:v>
      </x:c>
      <x:c r="S1768" s="2" t="n">
        <x:f>IF(R1768=1,SUM($R$10:R1768),0)</x:f>
        <x:v>1395</x:v>
      </x:c>
      <x:c r="T1768" s="2" t="str">
        <x:v>Design &amp; Insights</x:v>
      </x:c>
      <x:c r="U1768" s="2" t="n">
        <x:v>396</x:v>
      </x:c>
      <x:c r="V1768" s="2" t="n">
        <x:f>IF(AND(M1768=1,P1768=0,ISNUMBER(J1768),J1768&lt;TODAY()),1,0)</x:f>
        <x:v>0</x:v>
      </x:c>
      <x:c r="W1768" s="2" t="str">
        <x:f>'Design &amp; Insights'!M396</x:f>
        <x:v>Task</x:v>
      </x:c>
    </x:row>
    <x:row r="1769" ht="40" customHeight="1">
      <x:c r="A1769" s="3" t="str">
        <x:f>HYPERLINK("#'Design &amp; Insights'!A397","Open")</x:f>
        <x:v>Open</x:v>
      </x:c>
      <x:c r="B1769" s="2" t="str">
        <x:f>'Design &amp; Insights'!B397</x:f>
        <x:v>Cycle 3</x:v>
      </x:c>
      <x:c r="C1769" s="2" t="str">
        <x:f>'Design &amp; Insights'!C397</x:f>
        <x:v>Phase 2</x:v>
      </x:c>
      <x:c r="D1769" s="2" t="str">
        <x:f>'Design &amp; Insights'!D397</x:f>
        <x:v>PLL</x:v>
      </x:c>
      <x:c r="E1769" s="2" t="str">
        <x:v>Design &amp; Insights</x:v>
      </x:c>
      <x:c r="F1769" s="56" t="str">
        <x:f>'Design &amp; Insights'!E397</x:f>
        <x:v>DI.PL.2.2</x:v>
      </x:c>
      <x:c r="G1769" s="14" t="str">
        <x:f>'Design &amp; Insights'!F397</x:f>
        <x:v>Collaborate with Research on research plan specifics</x:v>
      </x:c>
      <x:c r="H1769" s="2" t="str">
        <x:f>IF('Design &amp; Insights'!G397="","",'Design &amp; Insights'!G397)</x:f>
      </x:c>
      <x:c r="I1769" s="12" t="str">
        <x:f>IF('Design &amp; Insights'!H397="","",'Design &amp; Insights'!H397)</x:f>
      </x:c>
      <x:c r="J1769" s="12" t="n">
        <x:f>IF('Design &amp; Insights'!I397="","",'Design &amp; Insights'!I397)</x:f>
        <x:v>46295</x:v>
      </x:c>
      <x:c r="K1769" s="12" t="str">
        <x:f>IF('Design &amp; Insights'!J397="","",'Design &amp; Insights'!J397)</x:f>
      </x:c>
      <x:c r="L1769" s="2" t="str">
        <x:f>IF('Design &amp; Insights'!K397="","",'Design &amp; Insights'!K397)</x:f>
      </x:c>
      <x:c r="M1769" s="2" t="n">
        <x:f>'Design &amp; Insights'!Q397</x:f>
        <x:v>1</x:v>
      </x:c>
      <x:c r="N1769" s="2" t="str">
        <x:f>'Design &amp; Insights'!L397</x:f>
        <x:v>Not started</x:v>
      </x:c>
      <x:c r="O1769" s="2" t="str">
        <x:f>'Design &amp; Insights'!N397</x:f>
        <x:v>DI.PL.2.2.2026.CY3</x:v>
      </x:c>
      <x:c r="P1769" s="2" t="n">
        <x:f>'Design &amp; Insights'!O397</x:f>
        <x:v>0</x:v>
      </x:c>
      <x:c r="Q1769" s="2" t="n">
        <x:f>SUBTOTAL(103,O1769)</x:f>
        <x:v>1</x:v>
      </x:c>
      <x:c r="R1769" s="2" t="n">
        <x:f>IF(AND(M1769=1,OR(Dashboard!$B$7="All",Dashboard!$B$7='Cycles &amp; Guide'!$C$5),OR(Dashboard!$D$7="All",Dashboard!$D$7=B1769),OR(Dashboard!$F$7="All",Dashboard!$F$7=C1769),OR(Dashboard!$H$7="All",Dashboard!$H$7=D1769),OR(Dashboard!$K$7="All",Dashboard!$K$7=E1769)),1,0)</x:f>
        <x:v>1</x:v>
      </x:c>
      <x:c r="S1769" s="2" t="n">
        <x:f>IF(R1769=1,SUM($R$10:R1769),0)</x:f>
        <x:v>1396</x:v>
      </x:c>
      <x:c r="T1769" s="2" t="str">
        <x:v>Design &amp; Insights</x:v>
      </x:c>
      <x:c r="U1769" s="2" t="n">
        <x:v>397</x:v>
      </x:c>
      <x:c r="V1769" s="2" t="n">
        <x:f>IF(AND(M1769=1,P1769=0,ISNUMBER(J1769),J1769&lt;TODAY()),1,0)</x:f>
        <x:v>0</x:v>
      </x:c>
      <x:c r="W1769" s="2" t="str">
        <x:f>'Design &amp; Insights'!M397</x:f>
        <x:v>Task</x:v>
      </x:c>
    </x:row>
    <x:row r="1770" ht="40" customHeight="1">
      <x:c r="A1770" s="3" t="str">
        <x:f>HYPERLINK("#'Design &amp; Insights'!A398","Open")</x:f>
        <x:v>Open</x:v>
      </x:c>
      <x:c r="B1770" s="2" t="str">
        <x:f>'Design &amp; Insights'!B398</x:f>
        <x:v>Cycle 3</x:v>
      </x:c>
      <x:c r="C1770" s="2" t="str">
        <x:f>'Design &amp; Insights'!C398</x:f>
        <x:v>Phase 2</x:v>
      </x:c>
      <x:c r="D1770" s="2" t="str">
        <x:f>'Design &amp; Insights'!D398</x:f>
        <x:v>PLL</x:v>
      </x:c>
      <x:c r="E1770" s="2" t="str">
        <x:v>Design &amp; Insights</x:v>
      </x:c>
      <x:c r="F1770" s="56" t="str">
        <x:f>'Design &amp; Insights'!E398</x:f>
        <x:v>DI.PL.2.3</x:v>
      </x:c>
      <x:c r="G1770" s="14" t="str">
        <x:f>'Design &amp; Insights'!F398</x:f>
        <x:v>Participate in SME insight meetings to gain perspective and appetite on potential enhancements</x:v>
      </x:c>
      <x:c r="H1770" s="2" t="str">
        <x:f>IF('Design &amp; Insights'!G398="","",'Design &amp; Insights'!G398)</x:f>
      </x:c>
      <x:c r="I1770" s="12" t="str">
        <x:f>IF('Design &amp; Insights'!H398="","",'Design &amp; Insights'!H398)</x:f>
      </x:c>
      <x:c r="J1770" s="12" t="n">
        <x:f>IF('Design &amp; Insights'!I398="","",'Design &amp; Insights'!I398)</x:f>
        <x:v>46295</x:v>
      </x:c>
      <x:c r="K1770" s="12" t="str">
        <x:f>IF('Design &amp; Insights'!J398="","",'Design &amp; Insights'!J398)</x:f>
      </x:c>
      <x:c r="L1770" s="2" t="str">
        <x:f>IF('Design &amp; Insights'!K398="","",'Design &amp; Insights'!K398)</x:f>
      </x:c>
      <x:c r="M1770" s="2" t="n">
        <x:f>'Design &amp; Insights'!Q398</x:f>
        <x:v>1</x:v>
      </x:c>
      <x:c r="N1770" s="2" t="str">
        <x:f>'Design &amp; Insights'!L398</x:f>
        <x:v>Not started</x:v>
      </x:c>
      <x:c r="O1770" s="2" t="str">
        <x:f>'Design &amp; Insights'!N398</x:f>
        <x:v>DI.PL.2.3.2026.CY3</x:v>
      </x:c>
      <x:c r="P1770" s="2" t="n">
        <x:f>'Design &amp; Insights'!O398</x:f>
        <x:v>0</x:v>
      </x:c>
      <x:c r="Q1770" s="2" t="n">
        <x:f>SUBTOTAL(103,O1770)</x:f>
        <x:v>1</x:v>
      </x:c>
      <x:c r="R1770" s="2" t="n">
        <x:f>IF(AND(M1770=1,OR(Dashboard!$B$7="All",Dashboard!$B$7='Cycles &amp; Guide'!$C$5),OR(Dashboard!$D$7="All",Dashboard!$D$7=B1770),OR(Dashboard!$F$7="All",Dashboard!$F$7=C1770),OR(Dashboard!$H$7="All",Dashboard!$H$7=D1770),OR(Dashboard!$K$7="All",Dashboard!$K$7=E1770)),1,0)</x:f>
        <x:v>1</x:v>
      </x:c>
      <x:c r="S1770" s="2" t="n">
        <x:f>IF(R1770=1,SUM($R$10:R1770),0)</x:f>
        <x:v>1397</x:v>
      </x:c>
      <x:c r="T1770" s="2" t="str">
        <x:v>Design &amp; Insights</x:v>
      </x:c>
      <x:c r="U1770" s="2" t="n">
        <x:v>398</x:v>
      </x:c>
      <x:c r="V1770" s="2" t="n">
        <x:f>IF(AND(M1770=1,P1770=0,ISNUMBER(J1770),J1770&lt;TODAY()),1,0)</x:f>
        <x:v>0</x:v>
      </x:c>
      <x:c r="W1770" s="2" t="str">
        <x:f>'Design &amp; Insights'!M398</x:f>
        <x:v>Task</x:v>
      </x:c>
    </x:row>
    <x:row r="1771" ht="40" customHeight="1">
      <x:c r="A1771" s="3" t="str">
        <x:f>HYPERLINK("#'Design &amp; Insights'!A399","Open")</x:f>
        <x:v>Open</x:v>
      </x:c>
      <x:c r="B1771" s="2" t="str">
        <x:f>'Design &amp; Insights'!B399</x:f>
        <x:v>Cycle 3</x:v>
      </x:c>
      <x:c r="C1771" s="2" t="str">
        <x:f>'Design &amp; Insights'!C399</x:f>
        <x:v>Phase 2</x:v>
      </x:c>
      <x:c r="D1771" s="2" t="str">
        <x:f>'Design &amp; Insights'!D399</x:f>
        <x:v>PLL</x:v>
      </x:c>
      <x:c r="E1771" s="2" t="str">
        <x:v>Design &amp; Insights</x:v>
      </x:c>
      <x:c r="F1771" s="56" t="str">
        <x:f>'Design &amp; Insights'!E399</x:f>
        <x:v>DI.PL.2.4</x:v>
      </x:c>
      <x:c r="G1771" s="14" t="str">
        <x:f>'Design &amp; Insights'!F399</x:f>
        <x:v>Begin development of presentation materials as Research is being completed</x:v>
      </x:c>
      <x:c r="H1771" s="2" t="str">
        <x:f>IF('Design &amp; Insights'!G399="","",'Design &amp; Insights'!G399)</x:f>
      </x:c>
      <x:c r="I1771" s="12" t="str">
        <x:f>IF('Design &amp; Insights'!H399="","",'Design &amp; Insights'!H399)</x:f>
      </x:c>
      <x:c r="J1771" s="12" t="n">
        <x:f>IF('Design &amp; Insights'!I399="","",'Design &amp; Insights'!I399)</x:f>
        <x:v>46295</x:v>
      </x:c>
      <x:c r="K1771" s="12" t="str">
        <x:f>IF('Design &amp; Insights'!J399="","",'Design &amp; Insights'!J399)</x:f>
      </x:c>
      <x:c r="L1771" s="2" t="str">
        <x:f>IF('Design &amp; Insights'!K399="","",'Design &amp; Insights'!K399)</x:f>
      </x:c>
      <x:c r="M1771" s="2" t="n">
        <x:f>'Design &amp; Insights'!Q399</x:f>
        <x:v>1</x:v>
      </x:c>
      <x:c r="N1771" s="2" t="str">
        <x:f>'Design &amp; Insights'!L399</x:f>
        <x:v>Not started</x:v>
      </x:c>
      <x:c r="O1771" s="2" t="str">
        <x:f>'Design &amp; Insights'!N399</x:f>
        <x:v>DI.PL.2.4.2026.CY3</x:v>
      </x:c>
      <x:c r="P1771" s="2" t="n">
        <x:f>'Design &amp; Insights'!O399</x:f>
        <x:v>0</x:v>
      </x:c>
      <x:c r="Q1771" s="2" t="n">
        <x:f>SUBTOTAL(103,O1771)</x:f>
        <x:v>1</x:v>
      </x:c>
      <x:c r="R1771" s="2" t="n">
        <x:f>IF(AND(M1771=1,OR(Dashboard!$B$7="All",Dashboard!$B$7='Cycles &amp; Guide'!$C$5),OR(Dashboard!$D$7="All",Dashboard!$D$7=B1771),OR(Dashboard!$F$7="All",Dashboard!$F$7=C1771),OR(Dashboard!$H$7="All",Dashboard!$H$7=D1771),OR(Dashboard!$K$7="All",Dashboard!$K$7=E1771)),1,0)</x:f>
        <x:v>1</x:v>
      </x:c>
      <x:c r="S1771" s="2" t="n">
        <x:f>IF(R1771=1,SUM($R$10:R1771),0)</x:f>
        <x:v>1398</x:v>
      </x:c>
      <x:c r="T1771" s="2" t="str">
        <x:v>Design &amp; Insights</x:v>
      </x:c>
      <x:c r="U1771" s="2" t="n">
        <x:v>399</x:v>
      </x:c>
      <x:c r="V1771" s="2" t="n">
        <x:f>IF(AND(M1771=1,P1771=0,ISNUMBER(J1771),J1771&lt;TODAY()),1,0)</x:f>
        <x:v>0</x:v>
      </x:c>
      <x:c r="W1771" s="2" t="str">
        <x:f>'Design &amp; Insights'!M399</x:f>
        <x:v>Task</x:v>
      </x:c>
    </x:row>
    <x:row r="1772" ht="40" customHeight="1">
      <x:c r="A1772" s="3" t="str">
        <x:f>HYPERLINK("#'Design &amp; Insights'!A400","Open")</x:f>
        <x:v>Open</x:v>
      </x:c>
      <x:c r="B1772" s="2" t="str">
        <x:f>'Design &amp; Insights'!B400</x:f>
        <x:v>Cycle 3</x:v>
      </x:c>
      <x:c r="C1772" s="2" t="str">
        <x:f>'Design &amp; Insights'!C400</x:f>
        <x:v>Phase 2</x:v>
      </x:c>
      <x:c r="D1772" s="2" t="str">
        <x:f>'Design &amp; Insights'!D400</x:f>
        <x:v>PLL</x:v>
      </x:c>
      <x:c r="E1772" s="2" t="str">
        <x:v>Design &amp; Insights</x:v>
      </x:c>
      <x:c r="F1772" s="56" t="str">
        <x:f>'Design &amp; Insights'!E400</x:f>
        <x:v>DI.PL.2.5</x:v>
      </x:c>
      <x:c r="G1772" s="14" t="str">
        <x:f>'Design &amp; Insights'!F400</x:f>
        <x:v>Draft initial enhancement recommendations (as applicable)</x:v>
      </x:c>
      <x:c r="H1772" s="2" t="str">
        <x:f>IF('Design &amp; Insights'!G400="","",'Design &amp; Insights'!G400)</x:f>
      </x:c>
      <x:c r="I1772" s="12" t="str">
        <x:f>IF('Design &amp; Insights'!H400="","",'Design &amp; Insights'!H400)</x:f>
      </x:c>
      <x:c r="J1772" s="12" t="n">
        <x:f>IF('Design &amp; Insights'!I400="","",'Design &amp; Insights'!I400)</x:f>
        <x:v>46295</x:v>
      </x:c>
      <x:c r="K1772" s="12" t="str">
        <x:f>IF('Design &amp; Insights'!J400="","",'Design &amp; Insights'!J400)</x:f>
      </x:c>
      <x:c r="L1772" s="2" t="str">
        <x:f>IF('Design &amp; Insights'!K400="","",'Design &amp; Insights'!K400)</x:f>
      </x:c>
      <x:c r="M1772" s="2" t="n">
        <x:f>'Design &amp; Insights'!Q400</x:f>
        <x:v>1</x:v>
      </x:c>
      <x:c r="N1772" s="2" t="str">
        <x:f>'Design &amp; Insights'!L400</x:f>
        <x:v>Not started</x:v>
      </x:c>
      <x:c r="O1772" s="2" t="str">
        <x:f>'Design &amp; Insights'!N400</x:f>
        <x:v>DI.PL.2.5.2026.CY3</x:v>
      </x:c>
      <x:c r="P1772" s="2" t="n">
        <x:f>'Design &amp; Insights'!O400</x:f>
        <x:v>0</x:v>
      </x:c>
      <x:c r="Q1772" s="2" t="n">
        <x:f>SUBTOTAL(103,O1772)</x:f>
        <x:v>1</x:v>
      </x:c>
      <x:c r="R1772" s="2" t="n">
        <x:f>IF(AND(M1772=1,OR(Dashboard!$B$7="All",Dashboard!$B$7='Cycles &amp; Guide'!$C$5),OR(Dashboard!$D$7="All",Dashboard!$D$7=B1772),OR(Dashboard!$F$7="All",Dashboard!$F$7=C1772),OR(Dashboard!$H$7="All",Dashboard!$H$7=D1772),OR(Dashboard!$K$7="All",Dashboard!$K$7=E1772)),1,0)</x:f>
        <x:v>1</x:v>
      </x:c>
      <x:c r="S1772" s="2" t="n">
        <x:f>IF(R1772=1,SUM($R$10:R1772),0)</x:f>
        <x:v>1399</x:v>
      </x:c>
      <x:c r="T1772" s="2" t="str">
        <x:v>Design &amp; Insights</x:v>
      </x:c>
      <x:c r="U1772" s="2" t="n">
        <x:v>400</x:v>
      </x:c>
      <x:c r="V1772" s="2" t="n">
        <x:f>IF(AND(M1772=1,P1772=0,ISNUMBER(J1772),J1772&lt;TODAY()),1,0)</x:f>
        <x:v>0</x:v>
      </x:c>
      <x:c r="W1772" s="2" t="str">
        <x:f>'Design &amp; Insights'!M400</x:f>
        <x:v>Task</x:v>
      </x:c>
    </x:row>
    <x:row r="1773" ht="40" customHeight="1">
      <x:c r="A1773" s="3" t="str">
        <x:f>HYPERLINK("#'Design &amp; Insights'!A401","Open")</x:f>
        <x:v>Open</x:v>
      </x:c>
      <x:c r="B1773" s="2" t="str">
        <x:f>'Design &amp; Insights'!B401</x:f>
        <x:v>Cycle 3</x:v>
      </x:c>
      <x:c r="C1773" s="2" t="str">
        <x:f>'Design &amp; Insights'!C401</x:f>
        <x:v>Phase 2</x:v>
      </x:c>
      <x:c r="D1773" s="2" t="str">
        <x:f>'Design &amp; Insights'!D401</x:f>
        <x:v>PLL</x:v>
      </x:c>
      <x:c r="E1773" s="2" t="str">
        <x:v>Design &amp; Insights</x:v>
      </x:c>
      <x:c r="F1773" s="56" t="str">
        <x:f>'Design &amp; Insights'!E401</x:f>
        <x:v>DI.PL.2.6</x:v>
      </x:c>
      <x:c r="G1773" s="14" t="str">
        <x:f>'Design &amp; Insights'!F401</x:f>
        <x:v>Finalize presentation deck draft at conclusion of Research phase</x:v>
      </x:c>
      <x:c r="H1773" s="2" t="str">
        <x:f>IF('Design &amp; Insights'!G401="","",'Design &amp; Insights'!G401)</x:f>
      </x:c>
      <x:c r="I1773" s="12" t="str">
        <x:f>IF('Design &amp; Insights'!H401="","",'Design &amp; Insights'!H401)</x:f>
      </x:c>
      <x:c r="J1773" s="12" t="n">
        <x:f>IF('Design &amp; Insights'!I401="","",'Design &amp; Insights'!I401)</x:f>
        <x:v>46295</x:v>
      </x:c>
      <x:c r="K1773" s="12" t="str">
        <x:f>IF('Design &amp; Insights'!J401="","",'Design &amp; Insights'!J401)</x:f>
      </x:c>
      <x:c r="L1773" s="2" t="str">
        <x:f>IF('Design &amp; Insights'!K401="","",'Design &amp; Insights'!K401)</x:f>
      </x:c>
      <x:c r="M1773" s="2" t="n">
        <x:f>'Design &amp; Insights'!Q401</x:f>
        <x:v>1</x:v>
      </x:c>
      <x:c r="N1773" s="2" t="str">
        <x:f>'Design &amp; Insights'!L401</x:f>
        <x:v>Not started</x:v>
      </x:c>
      <x:c r="O1773" s="2" t="str">
        <x:f>'Design &amp; Insights'!N401</x:f>
        <x:v>DI.PL.2.6.2026.CY3</x:v>
      </x:c>
      <x:c r="P1773" s="2" t="n">
        <x:f>'Design &amp; Insights'!O401</x:f>
        <x:v>0</x:v>
      </x:c>
      <x:c r="Q1773" s="2" t="n">
        <x:f>SUBTOTAL(103,O1773)</x:f>
        <x:v>1</x:v>
      </x:c>
      <x:c r="R1773" s="2" t="n">
        <x:f>IF(AND(M1773=1,OR(Dashboard!$B$7="All",Dashboard!$B$7='Cycles &amp; Guide'!$C$5),OR(Dashboard!$D$7="All",Dashboard!$D$7=B1773),OR(Dashboard!$F$7="All",Dashboard!$F$7=C1773),OR(Dashboard!$H$7="All",Dashboard!$H$7=D1773),OR(Dashboard!$K$7="All",Dashboard!$K$7=E1773)),1,0)</x:f>
        <x:v>1</x:v>
      </x:c>
      <x:c r="S1773" s="2" t="n">
        <x:f>IF(R1773=1,SUM($R$10:R1773),0)</x:f>
        <x:v>1400</x:v>
      </x:c>
      <x:c r="T1773" s="2" t="str">
        <x:v>Design &amp; Insights</x:v>
      </x:c>
      <x:c r="U1773" s="2" t="n">
        <x:v>401</x:v>
      </x:c>
      <x:c r="V1773" s="2" t="n">
        <x:f>IF(AND(M1773=1,P1773=0,ISNUMBER(J1773),J1773&lt;TODAY()),1,0)</x:f>
        <x:v>0</x:v>
      </x:c>
      <x:c r="W1773" s="2" t="str">
        <x:f>'Design &amp; Insights'!M401</x:f>
        <x:v>Task</x:v>
      </x:c>
    </x:row>
    <x:row r="1774" ht="40" customHeight="1">
      <x:c r="A1774" s="3" t="str">
        <x:f>HYPERLINK("#'Design &amp; Insights'!A402","Open")</x:f>
        <x:v>Open</x:v>
      </x:c>
      <x:c r="B1774" s="2" t="str">
        <x:f>'Design &amp; Insights'!B402</x:f>
        <x:v>Cycle 3</x:v>
      </x:c>
      <x:c r="C1774" s="2" t="str">
        <x:f>'Design &amp; Insights'!C402</x:f>
        <x:v>Phase 2</x:v>
      </x:c>
      <x:c r="D1774" s="2" t="str">
        <x:f>'Design &amp; Insights'!D402</x:f>
        <x:v>PLL</x:v>
      </x:c>
      <x:c r="E1774" s="2" t="str">
        <x:v>Design &amp; Insights</x:v>
      </x:c>
      <x:c r="F1774" s="56" t="str">
        <x:f>'Design &amp; Insights'!E402</x:f>
        <x:v>DI.PL.2.7</x:v>
      </x:c>
      <x:c r="G1774" s="14" t="str">
        <x:f>'Design &amp; Insights'!F402</x:f>
        <x:v>Update Outcome portion of research plan with current enhancement verbiage (as needed)</x:v>
      </x:c>
      <x:c r="H1774" s="2" t="str">
        <x:f>IF('Design &amp; Insights'!G402="","",'Design &amp; Insights'!G402)</x:f>
      </x:c>
      <x:c r="I1774" s="12" t="str">
        <x:f>IF('Design &amp; Insights'!H402="","",'Design &amp; Insights'!H402)</x:f>
      </x:c>
      <x:c r="J1774" s="12" t="n">
        <x:f>IF('Design &amp; Insights'!I402="","",'Design &amp; Insights'!I402)</x:f>
        <x:v>46295</x:v>
      </x:c>
      <x:c r="K1774" s="12" t="str">
        <x:f>IF('Design &amp; Insights'!J402="","",'Design &amp; Insights'!J402)</x:f>
      </x:c>
      <x:c r="L1774" s="2" t="str">
        <x:f>IF('Design &amp; Insights'!K402="","",'Design &amp; Insights'!K402)</x:f>
      </x:c>
      <x:c r="M1774" s="2" t="n">
        <x:f>'Design &amp; Insights'!Q402</x:f>
        <x:v>1</x:v>
      </x:c>
      <x:c r="N1774" s="2" t="str">
        <x:f>'Design &amp; Insights'!L402</x:f>
        <x:v>Not started</x:v>
      </x:c>
      <x:c r="O1774" s="2" t="str">
        <x:f>'Design &amp; Insights'!N402</x:f>
        <x:v>DI.PL.2.7.2026.CY3</x:v>
      </x:c>
      <x:c r="P1774" s="2" t="n">
        <x:f>'Design &amp; Insights'!O402</x:f>
        <x:v>0</x:v>
      </x:c>
      <x:c r="Q1774" s="2" t="n">
        <x:f>SUBTOTAL(103,O1774)</x:f>
        <x:v>1</x:v>
      </x:c>
      <x:c r="R1774" s="2" t="n">
        <x:f>IF(AND(M1774=1,OR(Dashboard!$B$7="All",Dashboard!$B$7='Cycles &amp; Guide'!$C$5),OR(Dashboard!$D$7="All",Dashboard!$D$7=B1774),OR(Dashboard!$F$7="All",Dashboard!$F$7=C1774),OR(Dashboard!$H$7="All",Dashboard!$H$7=D1774),OR(Dashboard!$K$7="All",Dashboard!$K$7=E1774)),1,0)</x:f>
        <x:v>1</x:v>
      </x:c>
      <x:c r="S1774" s="2" t="n">
        <x:f>IF(R1774=1,SUM($R$10:R1774),0)</x:f>
        <x:v>1401</x:v>
      </x:c>
      <x:c r="T1774" s="2" t="str">
        <x:v>Design &amp; Insights</x:v>
      </x:c>
      <x:c r="U1774" s="2" t="n">
        <x:v>402</x:v>
      </x:c>
      <x:c r="V1774" s="2" t="n">
        <x:f>IF(AND(M1774=1,P1774=0,ISNUMBER(J1774),J1774&lt;TODAY()),1,0)</x:f>
        <x:v>0</x:v>
      </x:c>
      <x:c r="W1774" s="2" t="str">
        <x:f>'Design &amp; Insights'!M402</x:f>
        <x:v>Task</x:v>
      </x:c>
    </x:row>
    <x:row r="1775" ht="40" customHeight="1">
      <x:c r="A1775" s="3" t="str">
        <x:f>HYPERLINK("#'Design &amp; Insights'!A403","Open")</x:f>
        <x:v>Open</x:v>
      </x:c>
      <x:c r="B1775" s="2" t="str">
        <x:f>'Design &amp; Insights'!B403</x:f>
        <x:v>Cycle 3</x:v>
      </x:c>
      <x:c r="C1775" s="2" t="str">
        <x:f>'Design &amp; Insights'!C403</x:f>
        <x:v>Phase 3</x:v>
      </x:c>
      <x:c r="D1775" s="2" t="str">
        <x:f>'Design &amp; Insights'!D403</x:f>
        <x:v>PLL</x:v>
      </x:c>
      <x:c r="E1775" s="2" t="str">
        <x:v>Design &amp; Insights</x:v>
      </x:c>
      <x:c r="F1775" s="56" t="str">
        <x:f>'Design &amp; Insights'!E403</x:f>
        <x:v>DI.PL.3.1</x:v>
      </x:c>
      <x:c r="G1775" s="14" t="str">
        <x:f>'Design &amp; Insights'!F403</x:f>
        <x:v>Confirm list of required &amp; optional attendees for pre-socialization meeting</x:v>
      </x:c>
      <x:c r="H1775" s="2" t="str">
        <x:f>IF('Design &amp; Insights'!G403="","",'Design &amp; Insights'!G403)</x:f>
      </x:c>
      <x:c r="I1775" s="12" t="str">
        <x:f>IF('Design &amp; Insights'!H403="","",'Design &amp; Insights'!H403)</x:f>
      </x:c>
      <x:c r="J1775" s="12" t="n">
        <x:f>IF('Design &amp; Insights'!I403="","",'Design &amp; Insights'!I403)</x:f>
        <x:v>46295</x:v>
      </x:c>
      <x:c r="K1775" s="12" t="str">
        <x:f>IF('Design &amp; Insights'!J403="","",'Design &amp; Insights'!J403)</x:f>
      </x:c>
      <x:c r="L1775" s="2" t="str">
        <x:f>IF('Design &amp; Insights'!K403="","",'Design &amp; Insights'!K403)</x:f>
      </x:c>
      <x:c r="M1775" s="2" t="n">
        <x:f>'Design &amp; Insights'!Q403</x:f>
        <x:v>1</x:v>
      </x:c>
      <x:c r="N1775" s="2" t="str">
        <x:f>'Design &amp; Insights'!L403</x:f>
        <x:v>Not started</x:v>
      </x:c>
      <x:c r="O1775" s="2" t="str">
        <x:f>'Design &amp; Insights'!N403</x:f>
        <x:v>DI.PL.3.1.2026.CY3</x:v>
      </x:c>
      <x:c r="P1775" s="2" t="n">
        <x:f>'Design &amp; Insights'!O403</x:f>
        <x:v>0</x:v>
      </x:c>
      <x:c r="Q1775" s="2" t="n">
        <x:f>SUBTOTAL(103,O1775)</x:f>
        <x:v>1</x:v>
      </x:c>
      <x:c r="R1775" s="2" t="n">
        <x:f>IF(AND(M1775=1,OR(Dashboard!$B$7="All",Dashboard!$B$7='Cycles &amp; Guide'!$C$5),OR(Dashboard!$D$7="All",Dashboard!$D$7=B1775),OR(Dashboard!$F$7="All",Dashboard!$F$7=C1775),OR(Dashboard!$H$7="All",Dashboard!$H$7=D1775),OR(Dashboard!$K$7="All",Dashboard!$K$7=E1775)),1,0)</x:f>
        <x:v>1</x:v>
      </x:c>
      <x:c r="S1775" s="2" t="n">
        <x:f>IF(R1775=1,SUM($R$10:R1775),0)</x:f>
        <x:v>1402</x:v>
      </x:c>
      <x:c r="T1775" s="2" t="str">
        <x:v>Design &amp; Insights</x:v>
      </x:c>
      <x:c r="U1775" s="2" t="n">
        <x:v>403</x:v>
      </x:c>
      <x:c r="V1775" s="2" t="n">
        <x:f>IF(AND(M1775=1,P1775=0,ISNUMBER(J1775),J1775&lt;TODAY()),1,0)</x:f>
        <x:v>0</x:v>
      </x:c>
      <x:c r="W1775" s="2" t="str">
        <x:f>'Design &amp; Insights'!M403</x:f>
        <x:v>Task</x:v>
      </x:c>
    </x:row>
    <x:row r="1776" ht="40" customHeight="1">
      <x:c r="A1776" s="3" t="str">
        <x:f>HYPERLINK("#'Design &amp; Insights'!A404","Open")</x:f>
        <x:v>Open</x:v>
      </x:c>
      <x:c r="B1776" s="2" t="str">
        <x:f>'Design &amp; Insights'!B404</x:f>
        <x:v>Cycle 3</x:v>
      </x:c>
      <x:c r="C1776" s="2" t="str">
        <x:f>'Design &amp; Insights'!C404</x:f>
        <x:v>Phase 3</x:v>
      </x:c>
      <x:c r="D1776" s="2" t="str">
        <x:f>'Design &amp; Insights'!D404</x:f>
        <x:v>PLL</x:v>
      </x:c>
      <x:c r="E1776" s="2" t="str">
        <x:v>Design &amp; Insights</x:v>
      </x:c>
      <x:c r="F1776" s="56" t="str">
        <x:f>'Design &amp; Insights'!E404</x:f>
        <x:v>DI.PL.3.2</x:v>
      </x:c>
      <x:c r="G1776" s="14" t="str">
        <x:f>'Design &amp; Insights'!F404</x:f>
        <x:v>Schedule pre-socialization meeting 1 week prior to RCA Forum</x:v>
      </x:c>
      <x:c r="H1776" s="2" t="str">
        <x:f>IF('Design &amp; Insights'!G404="","",'Design &amp; Insights'!G404)</x:f>
      </x:c>
      <x:c r="I1776" s="12" t="str">
        <x:f>IF('Design &amp; Insights'!H404="","",'Design &amp; Insights'!H404)</x:f>
      </x:c>
      <x:c r="J1776" s="12" t="str">
        <x:f>IF('Design &amp; Insights'!I404="","",'Design &amp; Insights'!I404)</x:f>
      </x:c>
      <x:c r="K1776" s="12" t="str">
        <x:f>IF('Design &amp; Insights'!J404="","",'Design &amp; Insights'!J404)</x:f>
      </x:c>
      <x:c r="L1776" s="2" t="str">
        <x:f>IF('Design &amp; Insights'!K404="","",'Design &amp; Insights'!K404)</x:f>
      </x:c>
      <x:c r="M1776" s="2" t="n">
        <x:f>'Design &amp; Insights'!Q404</x:f>
        <x:v>1</x:v>
      </x:c>
      <x:c r="N1776" s="2" t="str">
        <x:f>'Design &amp; Insights'!L404</x:f>
        <x:v>Not started</x:v>
      </x:c>
      <x:c r="O1776" s="2" t="str">
        <x:f>'Design &amp; Insights'!N404</x:f>
        <x:v>DI.PL.3.2.2026.CY3</x:v>
      </x:c>
      <x:c r="P1776" s="2" t="n">
        <x:f>'Design &amp; Insights'!O404</x:f>
        <x:v>0</x:v>
      </x:c>
      <x:c r="Q1776" s="2" t="n">
        <x:f>SUBTOTAL(103,O1776)</x:f>
        <x:v>1</x:v>
      </x:c>
      <x:c r="R1776" s="2" t="n">
        <x:f>IF(AND(M1776=1,OR(Dashboard!$B$7="All",Dashboard!$B$7='Cycles &amp; Guide'!$C$5),OR(Dashboard!$D$7="All",Dashboard!$D$7=B1776),OR(Dashboard!$F$7="All",Dashboard!$F$7=C1776),OR(Dashboard!$H$7="All",Dashboard!$H$7=D1776),OR(Dashboard!$K$7="All",Dashboard!$K$7=E1776)),1,0)</x:f>
        <x:v>1</x:v>
      </x:c>
      <x:c r="S1776" s="2" t="n">
        <x:f>IF(R1776=1,SUM($R$10:R1776),0)</x:f>
        <x:v>1403</x:v>
      </x:c>
      <x:c r="T1776" s="2" t="str">
        <x:v>Design &amp; Insights</x:v>
      </x:c>
      <x:c r="U1776" s="2" t="n">
        <x:v>404</x:v>
      </x:c>
      <x:c r="V1776" s="2" t="n">
        <x:f>IF(AND(M1776=1,P1776=0,ISNUMBER(J1776),J1776&lt;TODAY()),1,0)</x:f>
        <x:v>0</x:v>
      </x:c>
      <x:c r="W1776" s="2" t="str">
        <x:f>'Design &amp; Insights'!M404</x:f>
        <x:v>Task</x:v>
      </x:c>
    </x:row>
    <x:row r="1777" ht="40" customHeight="1">
      <x:c r="A1777" s="3" t="str">
        <x:f>HYPERLINK("#'Design &amp; Insights'!A405","Open")</x:f>
        <x:v>Open</x:v>
      </x:c>
      <x:c r="B1777" s="2" t="str">
        <x:f>'Design &amp; Insights'!B405</x:f>
        <x:v>Cycle 3</x:v>
      </x:c>
      <x:c r="C1777" s="2" t="str">
        <x:f>'Design &amp; Insights'!C405</x:f>
        <x:v>Phase 3</x:v>
      </x:c>
      <x:c r="D1777" s="2" t="str">
        <x:f>'Design &amp; Insights'!D405</x:f>
        <x:v>PLL</x:v>
      </x:c>
      <x:c r="E1777" s="2" t="str">
        <x:v>Design &amp; Insights</x:v>
      </x:c>
      <x:c r="F1777" s="56" t="str">
        <x:f>'Design &amp; Insights'!E405</x:f>
        <x:v>DI.PL.3.3</x:v>
      </x:c>
      <x:c r="G1777" s="14" t="str">
        <x:f>'Design &amp; Insights'!F405</x:f>
        <x:v>Present findings, conclusions, and recommendation to SMEs</x:v>
      </x:c>
      <x:c r="H1777" s="2" t="str">
        <x:f>IF('Design &amp; Insights'!G405="","",'Design &amp; Insights'!G405)</x:f>
      </x:c>
      <x:c r="I1777" s="12" t="str">
        <x:f>IF('Design &amp; Insights'!H405="","",'Design &amp; Insights'!H405)</x:f>
      </x:c>
      <x:c r="J1777" s="12" t="n">
        <x:f>IF('Design &amp; Insights'!I405="","",'Design &amp; Insights'!I405)</x:f>
        <x:v>46295</x:v>
      </x:c>
      <x:c r="K1777" s="12" t="str">
        <x:f>IF('Design &amp; Insights'!J405="","",'Design &amp; Insights'!J405)</x:f>
      </x:c>
      <x:c r="L1777" s="2" t="str">
        <x:f>IF('Design &amp; Insights'!K405="","",'Design &amp; Insights'!K405)</x:f>
      </x:c>
      <x:c r="M1777" s="2" t="n">
        <x:f>'Design &amp; Insights'!Q405</x:f>
        <x:v>1</x:v>
      </x:c>
      <x:c r="N1777" s="2" t="str">
        <x:f>'Design &amp; Insights'!L405</x:f>
        <x:v>Not started</x:v>
      </x:c>
      <x:c r="O1777" s="2" t="str">
        <x:f>'Design &amp; Insights'!N405</x:f>
        <x:v>DI.PL.3.3.2026.CY3</x:v>
      </x:c>
      <x:c r="P1777" s="2" t="n">
        <x:f>'Design &amp; Insights'!O405</x:f>
        <x:v>0</x:v>
      </x:c>
      <x:c r="Q1777" s="2" t="n">
        <x:f>SUBTOTAL(103,O1777)</x:f>
        <x:v>1</x:v>
      </x:c>
      <x:c r="R1777" s="2" t="n">
        <x:f>IF(AND(M1777=1,OR(Dashboard!$B$7="All",Dashboard!$B$7='Cycles &amp; Guide'!$C$5),OR(Dashboard!$D$7="All",Dashboard!$D$7=B1777),OR(Dashboard!$F$7="All",Dashboard!$F$7=C1777),OR(Dashboard!$H$7="All",Dashboard!$H$7=D1777),OR(Dashboard!$K$7="All",Dashboard!$K$7=E1777)),1,0)</x:f>
        <x:v>1</x:v>
      </x:c>
      <x:c r="S1777" s="2" t="n">
        <x:f>IF(R1777=1,SUM($R$10:R1777),0)</x:f>
        <x:v>1404</x:v>
      </x:c>
      <x:c r="T1777" s="2" t="str">
        <x:v>Design &amp; Insights</x:v>
      </x:c>
      <x:c r="U1777" s="2" t="n">
        <x:v>405</x:v>
      </x:c>
      <x:c r="V1777" s="2" t="n">
        <x:f>IF(AND(M1777=1,P1777=0,ISNUMBER(J1777),J1777&lt;TODAY()),1,0)</x:f>
        <x:v>0</x:v>
      </x:c>
      <x:c r="W1777" s="2" t="str">
        <x:f>'Design &amp; Insights'!M405</x:f>
        <x:v>Task</x:v>
      </x:c>
    </x:row>
    <x:row r="1778" ht="40" customHeight="1">
      <x:c r="A1778" s="3" t="str">
        <x:f>HYPERLINK("#'Design &amp; Insights'!A406","Open")</x:f>
        <x:v>Open</x:v>
      </x:c>
      <x:c r="B1778" s="2" t="str">
        <x:f>'Design &amp; Insights'!B406</x:f>
        <x:v>Cycle 3</x:v>
      </x:c>
      <x:c r="C1778" s="2" t="str">
        <x:f>'Design &amp; Insights'!C406</x:f>
        <x:v>Phase 3</x:v>
      </x:c>
      <x:c r="D1778" s="2" t="str">
        <x:f>'Design &amp; Insights'!D406</x:f>
        <x:v>PLL</x:v>
      </x:c>
      <x:c r="E1778" s="2" t="str">
        <x:v>Design &amp; Insights</x:v>
      </x:c>
      <x:c r="F1778" s="56" t="str">
        <x:f>'Design &amp; Insights'!E406</x:f>
        <x:v>DI.PL.3.4</x:v>
      </x:c>
      <x:c r="G1778" s="14" t="str">
        <x:f>'Design &amp; Insights'!F406</x:f>
        <x:v>Update Outcome portion of research plan (as needed)</x:v>
      </x:c>
      <x:c r="H1778" s="2" t="str">
        <x:f>IF('Design &amp; Insights'!G406="","",'Design &amp; Insights'!G406)</x:f>
      </x:c>
      <x:c r="I1778" s="12" t="str">
        <x:f>IF('Design &amp; Insights'!H406="","",'Design &amp; Insights'!H406)</x:f>
      </x:c>
      <x:c r="J1778" s="12" t="n">
        <x:f>IF('Design &amp; Insights'!I406="","",'Design &amp; Insights'!I406)</x:f>
        <x:v>46295</x:v>
      </x:c>
      <x:c r="K1778" s="12" t="str">
        <x:f>IF('Design &amp; Insights'!J406="","",'Design &amp; Insights'!J406)</x:f>
      </x:c>
      <x:c r="L1778" s="2" t="str">
        <x:f>IF('Design &amp; Insights'!K406="","",'Design &amp; Insights'!K406)</x:f>
      </x:c>
      <x:c r="M1778" s="2" t="n">
        <x:f>'Design &amp; Insights'!Q406</x:f>
        <x:v>1</x:v>
      </x:c>
      <x:c r="N1778" s="2" t="str">
        <x:f>'Design &amp; Insights'!L406</x:f>
        <x:v>Not started</x:v>
      </x:c>
      <x:c r="O1778" s="2" t="str">
        <x:f>'Design &amp; Insights'!N406</x:f>
        <x:v>DI.PL.3.4.2026.CY3</x:v>
      </x:c>
      <x:c r="P1778" s="2" t="n">
        <x:f>'Design &amp; Insights'!O406</x:f>
        <x:v>0</x:v>
      </x:c>
      <x:c r="Q1778" s="2" t="n">
        <x:f>SUBTOTAL(103,O1778)</x:f>
        <x:v>1</x:v>
      </x:c>
      <x:c r="R1778" s="2" t="n">
        <x:f>IF(AND(M1778=1,OR(Dashboard!$B$7="All",Dashboard!$B$7='Cycles &amp; Guide'!$C$5),OR(Dashboard!$D$7="All",Dashboard!$D$7=B1778),OR(Dashboard!$F$7="All",Dashboard!$F$7=C1778),OR(Dashboard!$H$7="All",Dashboard!$H$7=D1778),OR(Dashboard!$K$7="All",Dashboard!$K$7=E1778)),1,0)</x:f>
        <x:v>1</x:v>
      </x:c>
      <x:c r="S1778" s="2" t="n">
        <x:f>IF(R1778=1,SUM($R$10:R1778),0)</x:f>
        <x:v>1405</x:v>
      </x:c>
      <x:c r="T1778" s="2" t="str">
        <x:v>Design &amp; Insights</x:v>
      </x:c>
      <x:c r="U1778" s="2" t="n">
        <x:v>406</x:v>
      </x:c>
      <x:c r="V1778" s="2" t="n">
        <x:f>IF(AND(M1778=1,P1778=0,ISNUMBER(J1778),J1778&lt;TODAY()),1,0)</x:f>
        <x:v>0</x:v>
      </x:c>
      <x:c r="W1778" s="2" t="str">
        <x:f>'Design &amp; Insights'!M406</x:f>
        <x:v>Task</x:v>
      </x:c>
    </x:row>
    <x:row r="1779" ht="40" customHeight="1">
      <x:c r="A1779" s="3" t="str">
        <x:f>HYPERLINK("#'Design &amp; Insights'!A407","Open")</x:f>
        <x:v>Open</x:v>
      </x:c>
      <x:c r="B1779" s="2" t="str">
        <x:f>'Design &amp; Insights'!B407</x:f>
        <x:v>Cycle 3</x:v>
      </x:c>
      <x:c r="C1779" s="2" t="str">
        <x:f>'Design &amp; Insights'!C407</x:f>
        <x:v>Phase 3</x:v>
      </x:c>
      <x:c r="D1779" s="2" t="str">
        <x:f>'Design &amp; Insights'!D407</x:f>
        <x:v>PLL</x:v>
      </x:c>
      <x:c r="E1779" s="2" t="str">
        <x:v>Design &amp; Insights</x:v>
      </x:c>
      <x:c r="F1779" s="56" t="str">
        <x:f>'Design &amp; Insights'!E407</x:f>
        <x:v>DI.PL.3.5</x:v>
      </x:c>
      <x:c r="G1779" s="14" t="str">
        <x:f>'Design &amp; Insights'!F407</x:f>
        <x:v>Finalize presentation deck by incorporating pre-socialization feedback (as needed)</x:v>
      </x:c>
      <x:c r="H1779" s="2" t="str">
        <x:f>IF('Design &amp; Insights'!G407="","",'Design &amp; Insights'!G407)</x:f>
      </x:c>
      <x:c r="I1779" s="12" t="str">
        <x:f>IF('Design &amp; Insights'!H407="","",'Design &amp; Insights'!H407)</x:f>
      </x:c>
      <x:c r="J1779" s="12" t="n">
        <x:f>IF('Design &amp; Insights'!I407="","",'Design &amp; Insights'!I407)</x:f>
        <x:v>46295</x:v>
      </x:c>
      <x:c r="K1779" s="12" t="str">
        <x:f>IF('Design &amp; Insights'!J407="","",'Design &amp; Insights'!J407)</x:f>
      </x:c>
      <x:c r="L1779" s="2" t="str">
        <x:f>IF('Design &amp; Insights'!K407="","",'Design &amp; Insights'!K407)</x:f>
      </x:c>
      <x:c r="M1779" s="2" t="n">
        <x:f>'Design &amp; Insights'!Q407</x:f>
        <x:v>1</x:v>
      </x:c>
      <x:c r="N1779" s="2" t="str">
        <x:f>'Design &amp; Insights'!L407</x:f>
        <x:v>Not started</x:v>
      </x:c>
      <x:c r="O1779" s="2" t="str">
        <x:f>'Design &amp; Insights'!N407</x:f>
        <x:v>DI.PL.3.5.2026.CY3</x:v>
      </x:c>
      <x:c r="P1779" s="2" t="n">
        <x:f>'Design &amp; Insights'!O407</x:f>
        <x:v>0</x:v>
      </x:c>
      <x:c r="Q1779" s="2" t="n">
        <x:f>SUBTOTAL(103,O1779)</x:f>
        <x:v>1</x:v>
      </x:c>
      <x:c r="R1779" s="2" t="n">
        <x:f>IF(AND(M1779=1,OR(Dashboard!$B$7="All",Dashboard!$B$7='Cycles &amp; Guide'!$C$5),OR(Dashboard!$D$7="All",Dashboard!$D$7=B1779),OR(Dashboard!$F$7="All",Dashboard!$F$7=C1779),OR(Dashboard!$H$7="All",Dashboard!$H$7=D1779),OR(Dashboard!$K$7="All",Dashboard!$K$7=E1779)),1,0)</x:f>
        <x:v>1</x:v>
      </x:c>
      <x:c r="S1779" s="2" t="n">
        <x:f>IF(R1779=1,SUM($R$10:R1779),0)</x:f>
        <x:v>1406</x:v>
      </x:c>
      <x:c r="T1779" s="2" t="str">
        <x:v>Design &amp; Insights</x:v>
      </x:c>
      <x:c r="U1779" s="2" t="n">
        <x:v>407</x:v>
      </x:c>
      <x:c r="V1779" s="2" t="n">
        <x:f>IF(AND(M1779=1,P1779=0,ISNUMBER(J1779),J1779&lt;TODAY()),1,0)</x:f>
        <x:v>0</x:v>
      </x:c>
      <x:c r="W1779" s="2" t="str">
        <x:f>'Design &amp; Insights'!M407</x:f>
        <x:v>Task</x:v>
      </x:c>
    </x:row>
    <x:row r="1780" ht="40" customHeight="1">
      <x:c r="A1780" s="3" t="str">
        <x:f>HYPERLINK("#'Design &amp; Insights'!A408","Open")</x:f>
        <x:v>Open</x:v>
      </x:c>
      <x:c r="B1780" s="2" t="str">
        <x:f>'Design &amp; Insights'!B408</x:f>
        <x:v>Cycle 3</x:v>
      </x:c>
      <x:c r="C1780" s="2" t="str">
        <x:f>'Design &amp; Insights'!C408</x:f>
        <x:v>Phase 3</x:v>
      </x:c>
      <x:c r="D1780" s="2" t="str">
        <x:f>'Design &amp; Insights'!D408</x:f>
        <x:v>PLL</x:v>
      </x:c>
      <x:c r="E1780" s="2" t="str">
        <x:v>Design &amp; Insights</x:v>
      </x:c>
      <x:c r="F1780" s="56" t="str">
        <x:f>'Design &amp; Insights'!E408</x:f>
        <x:v>DI.PL.3.6</x:v>
      </x:c>
      <x:c r="G1780" s="14" t="str">
        <x:f>'Design &amp; Insights'!F408</x:f>
        <x:v>Ensure final deck is communicated to Forum attendees</x:v>
      </x:c>
      <x:c r="H1780" s="2" t="str">
        <x:f>IF('Design &amp; Insights'!G408="","",'Design &amp; Insights'!G408)</x:f>
      </x:c>
      <x:c r="I1780" s="12" t="str">
        <x:f>IF('Design &amp; Insights'!H408="","",'Design &amp; Insights'!H408)</x:f>
      </x:c>
      <x:c r="J1780" s="12" t="n">
        <x:f>IF('Design &amp; Insights'!I408="","",'Design &amp; Insights'!I408)</x:f>
        <x:v>46295</x:v>
      </x:c>
      <x:c r="K1780" s="12" t="str">
        <x:f>IF('Design &amp; Insights'!J408="","",'Design &amp; Insights'!J408)</x:f>
      </x:c>
      <x:c r="L1780" s="2" t="str">
        <x:f>IF('Design &amp; Insights'!K408="","",'Design &amp; Insights'!K408)</x:f>
      </x:c>
      <x:c r="M1780" s="2" t="n">
        <x:f>'Design &amp; Insights'!Q408</x:f>
        <x:v>1</x:v>
      </x:c>
      <x:c r="N1780" s="2" t="str">
        <x:f>'Design &amp; Insights'!L408</x:f>
        <x:v>Not started</x:v>
      </x:c>
      <x:c r="O1780" s="2" t="str">
        <x:f>'Design &amp; Insights'!N408</x:f>
        <x:v>DI.PL.3.6.2026.CY3</x:v>
      </x:c>
      <x:c r="P1780" s="2" t="n">
        <x:f>'Design &amp; Insights'!O408</x:f>
        <x:v>0</x:v>
      </x:c>
      <x:c r="Q1780" s="2" t="n">
        <x:f>SUBTOTAL(103,O1780)</x:f>
        <x:v>1</x:v>
      </x:c>
      <x:c r="R1780" s="2" t="n">
        <x:f>IF(AND(M1780=1,OR(Dashboard!$B$7="All",Dashboard!$B$7='Cycles &amp; Guide'!$C$5),OR(Dashboard!$D$7="All",Dashboard!$D$7=B1780),OR(Dashboard!$F$7="All",Dashboard!$F$7=C1780),OR(Dashboard!$H$7="All",Dashboard!$H$7=D1780),OR(Dashboard!$K$7="All",Dashboard!$K$7=E1780)),1,0)</x:f>
        <x:v>1</x:v>
      </x:c>
      <x:c r="S1780" s="2" t="n">
        <x:f>IF(R1780=1,SUM($R$10:R1780),0)</x:f>
        <x:v>1407</x:v>
      </x:c>
      <x:c r="T1780" s="2" t="str">
        <x:v>Design &amp; Insights</x:v>
      </x:c>
      <x:c r="U1780" s="2" t="n">
        <x:v>408</x:v>
      </x:c>
      <x:c r="V1780" s="2" t="n">
        <x:f>IF(AND(M1780=1,P1780=0,ISNUMBER(J1780),J1780&lt;TODAY()),1,0)</x:f>
        <x:v>0</x:v>
      </x:c>
      <x:c r="W1780" s="2" t="str">
        <x:f>'Design &amp; Insights'!M408</x:f>
        <x:v>Task</x:v>
      </x:c>
    </x:row>
    <x:row r="1781" ht="40" customHeight="1">
      <x:c r="A1781" s="3" t="str">
        <x:f>HYPERLINK("#'Design &amp; Insights'!A409","Open")</x:f>
        <x:v>Open</x:v>
      </x:c>
      <x:c r="B1781" s="2" t="str">
        <x:f>'Design &amp; Insights'!B409</x:f>
        <x:v>Cycle 3</x:v>
      </x:c>
      <x:c r="C1781" s="2" t="str">
        <x:f>'Design &amp; Insights'!C409</x:f>
        <x:v>Phase 3</x:v>
      </x:c>
      <x:c r="D1781" s="2" t="str">
        <x:f>'Design &amp; Insights'!D409</x:f>
        <x:v>PLL</x:v>
      </x:c>
      <x:c r="E1781" s="2" t="str">
        <x:v>Design &amp; Insights</x:v>
      </x:c>
      <x:c r="F1781" s="56" t="str">
        <x:f>'Design &amp; Insights'!E409</x:f>
        <x:v>DI.PL.3.7</x:v>
      </x:c>
      <x:c r="G1781" s="14" t="str">
        <x:f>'Design &amp; Insights'!F409</x:f>
        <x:v>Present material in RCA Cycle Forum</x:v>
      </x:c>
      <x:c r="H1781" s="2" t="str">
        <x:f>IF('Design &amp; Insights'!G409="","",'Design &amp; Insights'!G409)</x:f>
      </x:c>
      <x:c r="I1781" s="12" t="str">
        <x:f>IF('Design &amp; Insights'!H409="","",'Design &amp; Insights'!H409)</x:f>
      </x:c>
      <x:c r="J1781" s="12" t="str">
        <x:f>IF('Design &amp; Insights'!I409="","",'Design &amp; Insights'!I409)</x:f>
      </x:c>
      <x:c r="K1781" s="12" t="str">
        <x:f>IF('Design &amp; Insights'!J409="","",'Design &amp; Insights'!J409)</x:f>
      </x:c>
      <x:c r="L1781" s="2" t="str">
        <x:f>IF('Design &amp; Insights'!K409="","",'Design &amp; Insights'!K409)</x:f>
      </x:c>
      <x:c r="M1781" s="2" t="n">
        <x:f>'Design &amp; Insights'!Q409</x:f>
        <x:v>1</x:v>
      </x:c>
      <x:c r="N1781" s="2" t="str">
        <x:f>'Design &amp; Insights'!L409</x:f>
        <x:v>Not started</x:v>
      </x:c>
      <x:c r="O1781" s="2" t="str">
        <x:f>'Design &amp; Insights'!N409</x:f>
        <x:v>DI.PL.3.7.2026.CY3</x:v>
      </x:c>
      <x:c r="P1781" s="2" t="n">
        <x:f>'Design &amp; Insights'!O409</x:f>
        <x:v>0</x:v>
      </x:c>
      <x:c r="Q1781" s="2" t="n">
        <x:f>SUBTOTAL(103,O1781)</x:f>
        <x:v>1</x:v>
      </x:c>
      <x:c r="R1781" s="2" t="n">
        <x:f>IF(AND(M1781=1,OR(Dashboard!$B$7="All",Dashboard!$B$7='Cycles &amp; Guide'!$C$5),OR(Dashboard!$D$7="All",Dashboard!$D$7=B1781),OR(Dashboard!$F$7="All",Dashboard!$F$7=C1781),OR(Dashboard!$H$7="All",Dashboard!$H$7=D1781),OR(Dashboard!$K$7="All",Dashboard!$K$7=E1781)),1,0)</x:f>
        <x:v>1</x:v>
      </x:c>
      <x:c r="S1781" s="2" t="n">
        <x:f>IF(R1781=1,SUM($R$10:R1781),0)</x:f>
        <x:v>1408</x:v>
      </x:c>
      <x:c r="T1781" s="2" t="str">
        <x:v>Design &amp; Insights</x:v>
      </x:c>
      <x:c r="U1781" s="2" t="n">
        <x:v>409</x:v>
      </x:c>
      <x:c r="V1781" s="2" t="n">
        <x:f>IF(AND(M1781=1,P1781=0,ISNUMBER(J1781),J1781&lt;TODAY()),1,0)</x:f>
        <x:v>0</x:v>
      </x:c>
      <x:c r="W1781" s="2" t="str">
        <x:f>'Design &amp; Insights'!M409</x:f>
        <x:v>Task</x:v>
      </x:c>
    </x:row>
    <x:row r="1782" ht="40" customHeight="1">
      <x:c r="A1782" s="3" t="str">
        <x:f>HYPERLINK("#'Design &amp; Insights'!A410","Open")</x:f>
        <x:v>Open</x:v>
      </x:c>
      <x:c r="B1782" s="2" t="str">
        <x:f>'Design &amp; Insights'!B410</x:f>
        <x:v>Cycle 3</x:v>
      </x:c>
      <x:c r="C1782" s="2" t="str">
        <x:f>'Design &amp; Insights'!C410</x:f>
        <x:v>Phase 1</x:v>
      </x:c>
      <x:c r="D1782" s="2" t="str">
        <x:f>'Design &amp; Insights'!D410</x:f>
        <x:v>Retail Services</x:v>
      </x:c>
      <x:c r="E1782" s="2" t="str">
        <x:v>Design &amp; Insights</x:v>
      </x:c>
      <x:c r="F1782" s="56" t="str">
        <x:f>'Design &amp; Insights'!E410</x:f>
        <x:v>DI.RS.1.1</x:v>
      </x:c>
      <x:c r="G1782" s="14" t="str">
        <x:f>'Design &amp; Insights'!F410</x:f>
        <x:v>Receive and review potential research topics at least 2 weeks prior to Cycle start date</x:v>
      </x:c>
      <x:c r="H1782" s="2" t="str">
        <x:f>IF('Design &amp; Insights'!G410="","",'Design &amp; Insights'!G410)</x:f>
      </x:c>
      <x:c r="I1782" s="12" t="str">
        <x:f>IF('Design &amp; Insights'!H410="","",'Design &amp; Insights'!H410)</x:f>
      </x:c>
      <x:c r="J1782" s="12" t="n">
        <x:f>IF('Design &amp; Insights'!I410="","",'Design &amp; Insights'!I410)</x:f>
        <x:v>46190</x:v>
      </x:c>
      <x:c r="K1782" s="12" t="str">
        <x:f>IF('Design &amp; Insights'!J410="","",'Design &amp; Insights'!J410)</x:f>
      </x:c>
      <x:c r="L1782" s="2" t="str">
        <x:f>IF('Design &amp; Insights'!K410="","",'Design &amp; Insights'!K410)</x:f>
      </x:c>
      <x:c r="M1782" s="2" t="n">
        <x:f>'Design &amp; Insights'!Q410</x:f>
        <x:v>1</x:v>
      </x:c>
      <x:c r="N1782" s="2" t="str">
        <x:f>'Design &amp; Insights'!L410</x:f>
        <x:v>Not started</x:v>
      </x:c>
      <x:c r="O1782" s="2" t="str">
        <x:f>'Design &amp; Insights'!N410</x:f>
        <x:v>DI.RS.1.1.2026.CY3</x:v>
      </x:c>
      <x:c r="P1782" s="2" t="n">
        <x:f>'Design &amp; Insights'!O410</x:f>
        <x:v>0</x:v>
      </x:c>
      <x:c r="Q1782" s="2" t="n">
        <x:f>SUBTOTAL(103,O1782)</x:f>
        <x:v>1</x:v>
      </x:c>
      <x:c r="R1782" s="2" t="n">
        <x:f>IF(AND(M1782=1,OR(Dashboard!$B$7="All",Dashboard!$B$7='Cycles &amp; Guide'!$C$5),OR(Dashboard!$D$7="All",Dashboard!$D$7=B1782),OR(Dashboard!$F$7="All",Dashboard!$F$7=C1782),OR(Dashboard!$H$7="All",Dashboard!$H$7=D1782),OR(Dashboard!$K$7="All",Dashboard!$K$7=E1782)),1,0)</x:f>
        <x:v>1</x:v>
      </x:c>
      <x:c r="S1782" s="2" t="n">
        <x:f>IF(R1782=1,SUM($R$10:R1782),0)</x:f>
        <x:v>1409</x:v>
      </x:c>
      <x:c r="T1782" s="2" t="str">
        <x:v>Design &amp; Insights</x:v>
      </x:c>
      <x:c r="U1782" s="2" t="n">
        <x:v>410</x:v>
      </x:c>
      <x:c r="V1782" s="2" t="n">
        <x:f>IF(AND(M1782=1,P1782=0,ISNUMBER(J1782),J1782&lt;TODAY()),1,0)</x:f>
        <x:v>1</x:v>
      </x:c>
      <x:c r="W1782" s="2" t="str">
        <x:f>'Design &amp; Insights'!M410</x:f>
        <x:v>Task</x:v>
      </x:c>
    </x:row>
    <x:row r="1783" ht="40" customHeight="1">
      <x:c r="A1783" s="3" t="str">
        <x:f>HYPERLINK("#'Design &amp; Insights'!A411","Open")</x:f>
        <x:v>Open</x:v>
      </x:c>
      <x:c r="B1783" s="2" t="str">
        <x:f>'Design &amp; Insights'!B411</x:f>
        <x:v>Cycle 3</x:v>
      </x:c>
      <x:c r="C1783" s="2" t="str">
        <x:f>'Design &amp; Insights'!C411</x:f>
        <x:v>Phase 1</x:v>
      </x:c>
      <x:c r="D1783" s="2" t="str">
        <x:f>'Design &amp; Insights'!D411</x:f>
        <x:v>Retail Services</x:v>
      </x:c>
      <x:c r="E1783" s="2" t="str">
        <x:v>Design &amp; Insights</x:v>
      </x:c>
      <x:c r="F1783" s="56" t="str">
        <x:f>'Design &amp; Insights'!E411</x:f>
        <x:v>DI.RS.1.2</x:v>
      </x:c>
      <x:c r="G1783" s="14" t="str">
        <x:f>'Design &amp; Insights'!F411</x:f>
        <x:v>Communicate any feedback on preferences or concerns with topics identified</x:v>
      </x:c>
      <x:c r="H1783" s="2" t="str">
        <x:f>IF('Design &amp; Insights'!G411="","",'Design &amp; Insights'!G411)</x:f>
      </x:c>
      <x:c r="I1783" s="12" t="str">
        <x:f>IF('Design &amp; Insights'!H411="","",'Design &amp; Insights'!H411)</x:f>
      </x:c>
      <x:c r="J1783" s="12" t="n">
        <x:f>IF('Design &amp; Insights'!I411="","",'Design &amp; Insights'!I411)</x:f>
        <x:v>46295</x:v>
      </x:c>
      <x:c r="K1783" s="12" t="str">
        <x:f>IF('Design &amp; Insights'!J411="","",'Design &amp; Insights'!J411)</x:f>
      </x:c>
      <x:c r="L1783" s="2" t="str">
        <x:f>IF('Design &amp; Insights'!K411="","",'Design &amp; Insights'!K411)</x:f>
      </x:c>
      <x:c r="M1783" s="2" t="n">
        <x:f>'Design &amp; Insights'!Q411</x:f>
        <x:v>1</x:v>
      </x:c>
      <x:c r="N1783" s="2" t="str">
        <x:f>'Design &amp; Insights'!L411</x:f>
        <x:v>Not started</x:v>
      </x:c>
      <x:c r="O1783" s="2" t="str">
        <x:f>'Design &amp; Insights'!N411</x:f>
        <x:v>DI.RS.1.2.2026.CY3</x:v>
      </x:c>
      <x:c r="P1783" s="2" t="n">
        <x:f>'Design &amp; Insights'!O411</x:f>
        <x:v>0</x:v>
      </x:c>
      <x:c r="Q1783" s="2" t="n">
        <x:f>SUBTOTAL(103,O1783)</x:f>
        <x:v>1</x:v>
      </x:c>
      <x:c r="R1783" s="2" t="n">
        <x:f>IF(AND(M1783=1,OR(Dashboard!$B$7="All",Dashboard!$B$7='Cycles &amp; Guide'!$C$5),OR(Dashboard!$D$7="All",Dashboard!$D$7=B1783),OR(Dashboard!$F$7="All",Dashboard!$F$7=C1783),OR(Dashboard!$H$7="All",Dashboard!$H$7=D1783),OR(Dashboard!$K$7="All",Dashboard!$K$7=E1783)),1,0)</x:f>
        <x:v>1</x:v>
      </x:c>
      <x:c r="S1783" s="2" t="n">
        <x:f>IF(R1783=1,SUM($R$10:R1783),0)</x:f>
        <x:v>1410</x:v>
      </x:c>
      <x:c r="T1783" s="2" t="str">
        <x:v>Design &amp; Insights</x:v>
      </x:c>
      <x:c r="U1783" s="2" t="n">
        <x:v>411</x:v>
      </x:c>
      <x:c r="V1783" s="2" t="n">
        <x:f>IF(AND(M1783=1,P1783=0,ISNUMBER(J1783),J1783&lt;TODAY()),1,0)</x:f>
        <x:v>0</x:v>
      </x:c>
      <x:c r="W1783" s="2" t="str">
        <x:f>'Design &amp; Insights'!M411</x:f>
        <x:v>Task</x:v>
      </x:c>
    </x:row>
    <x:row r="1784" ht="40" customHeight="1">
      <x:c r="A1784" s="3" t="str">
        <x:f>HYPERLINK("#'Design &amp; Insights'!A412","Open")</x:f>
        <x:v>Open</x:v>
      </x:c>
      <x:c r="B1784" s="2" t="str">
        <x:f>'Design &amp; Insights'!B412</x:f>
        <x:v>Cycle 3</x:v>
      </x:c>
      <x:c r="C1784" s="2" t="str">
        <x:f>'Design &amp; Insights'!C412</x:f>
        <x:v>Phase 1</x:v>
      </x:c>
      <x:c r="D1784" s="2" t="str">
        <x:f>'Design &amp; Insights'!D412</x:f>
        <x:v>Retail Services</x:v>
      </x:c>
      <x:c r="E1784" s="2" t="str">
        <x:v>Design &amp; Insights</x:v>
      </x:c>
      <x:c r="F1784" s="56" t="str">
        <x:f>'Design &amp; Insights'!E412</x:f>
        <x:v>DI.RS.1.3</x:v>
      </x:c>
      <x:c r="G1784" s="14" t="str">
        <x:f>'Design &amp; Insights'!F412</x:f>
        <x:v>Conduct high-level preliminary review of complaints within proposed topics</x:v>
      </x:c>
      <x:c r="H1784" s="2" t="str">
        <x:f>IF('Design &amp; Insights'!G412="","",'Design &amp; Insights'!G412)</x:f>
      </x:c>
      <x:c r="I1784" s="12" t="str">
        <x:f>IF('Design &amp; Insights'!H412="","",'Design &amp; Insights'!H412)</x:f>
      </x:c>
      <x:c r="J1784" s="12" t="n">
        <x:f>IF('Design &amp; Insights'!I412="","",'Design &amp; Insights'!I412)</x:f>
        <x:v>46295</x:v>
      </x:c>
      <x:c r="K1784" s="12" t="str">
        <x:f>IF('Design &amp; Insights'!J412="","",'Design &amp; Insights'!J412)</x:f>
      </x:c>
      <x:c r="L1784" s="2" t="str">
        <x:f>IF('Design &amp; Insights'!K412="","",'Design &amp; Insights'!K412)</x:f>
      </x:c>
      <x:c r="M1784" s="2" t="n">
        <x:f>'Design &amp; Insights'!Q412</x:f>
        <x:v>1</x:v>
      </x:c>
      <x:c r="N1784" s="2" t="str">
        <x:f>'Design &amp; Insights'!L412</x:f>
        <x:v>Not started</x:v>
      </x:c>
      <x:c r="O1784" s="2" t="str">
        <x:f>'Design &amp; Insights'!N412</x:f>
        <x:v>DI.RS.1.3.2026.CY3</x:v>
      </x:c>
      <x:c r="P1784" s="2" t="n">
        <x:f>'Design &amp; Insights'!O412</x:f>
        <x:v>0</x:v>
      </x:c>
      <x:c r="Q1784" s="2" t="n">
        <x:f>SUBTOTAL(103,O1784)</x:f>
        <x:v>1</x:v>
      </x:c>
      <x:c r="R1784" s="2" t="n">
        <x:f>IF(AND(M1784=1,OR(Dashboard!$B$7="All",Dashboard!$B$7='Cycles &amp; Guide'!$C$5),OR(Dashboard!$D$7="All",Dashboard!$D$7=B1784),OR(Dashboard!$F$7="All",Dashboard!$F$7=C1784),OR(Dashboard!$H$7="All",Dashboard!$H$7=D1784),OR(Dashboard!$K$7="All",Dashboard!$K$7=E1784)),1,0)</x:f>
        <x:v>1</x:v>
      </x:c>
      <x:c r="S1784" s="2" t="n">
        <x:f>IF(R1784=1,SUM($R$10:R1784),0)</x:f>
        <x:v>1411</x:v>
      </x:c>
      <x:c r="T1784" s="2" t="str">
        <x:v>Design &amp; Insights</x:v>
      </x:c>
      <x:c r="U1784" s="2" t="n">
        <x:v>412</x:v>
      </x:c>
      <x:c r="V1784" s="2" t="n">
        <x:f>IF(AND(M1784=1,P1784=0,ISNUMBER(J1784),J1784&lt;TODAY()),1,0)</x:f>
        <x:v>0</x:v>
      </x:c>
      <x:c r="W1784" s="2" t="str">
        <x:f>'Design &amp; Insights'!M412</x:f>
        <x:v>Task</x:v>
      </x:c>
    </x:row>
    <x:row r="1785" ht="40" customHeight="1">
      <x:c r="A1785" s="3" t="str">
        <x:f>HYPERLINK("#'Design &amp; Insights'!A413","Open")</x:f>
        <x:v>Open</x:v>
      </x:c>
      <x:c r="B1785" s="2" t="str">
        <x:f>'Design &amp; Insights'!B413</x:f>
        <x:v>Cycle 3</x:v>
      </x:c>
      <x:c r="C1785" s="2" t="str">
        <x:f>'Design &amp; Insights'!C413</x:f>
        <x:v>Phase 1</x:v>
      </x:c>
      <x:c r="D1785" s="2" t="str">
        <x:f>'Design &amp; Insights'!D413</x:f>
        <x:v>Retail Services</x:v>
      </x:c>
      <x:c r="E1785" s="2" t="str">
        <x:v>Design &amp; Insights</x:v>
      </x:c>
      <x:c r="F1785" s="56" t="str">
        <x:f>'Design &amp; Insights'!E413</x:f>
        <x:v>DI.RS.1.4</x:v>
      </x:c>
      <x:c r="G1785" s="14" t="str">
        <x:f>'Design &amp; Insights'!F413</x:f>
        <x:v>Meet with Research to discuss which topic to select based on potential impact</x:v>
      </x:c>
      <x:c r="H1785" s="2" t="str">
        <x:f>IF('Design &amp; Insights'!G413="","",'Design &amp; Insights'!G413)</x:f>
      </x:c>
      <x:c r="I1785" s="12" t="str">
        <x:f>IF('Design &amp; Insights'!H413="","",'Design &amp; Insights'!H413)</x:f>
      </x:c>
      <x:c r="J1785" s="12" t="n">
        <x:f>IF('Design &amp; Insights'!I413="","",'Design &amp; Insights'!I413)</x:f>
        <x:v>46295</x:v>
      </x:c>
      <x:c r="K1785" s="12" t="str">
        <x:f>IF('Design &amp; Insights'!J413="","",'Design &amp; Insights'!J413)</x:f>
      </x:c>
      <x:c r="L1785" s="2" t="str">
        <x:f>IF('Design &amp; Insights'!K413="","",'Design &amp; Insights'!K413)</x:f>
      </x:c>
      <x:c r="M1785" s="2" t="n">
        <x:f>'Design &amp; Insights'!Q413</x:f>
        <x:v>1</x:v>
      </x:c>
      <x:c r="N1785" s="2" t="str">
        <x:f>'Design &amp; Insights'!L413</x:f>
        <x:v>Not started</x:v>
      </x:c>
      <x:c r="O1785" s="2" t="str">
        <x:f>'Design &amp; Insights'!N413</x:f>
        <x:v>DI.RS.1.4.2026.CY3</x:v>
      </x:c>
      <x:c r="P1785" s="2" t="n">
        <x:f>'Design &amp; Insights'!O413</x:f>
        <x:v>0</x:v>
      </x:c>
      <x:c r="Q1785" s="2" t="n">
        <x:f>SUBTOTAL(103,O1785)</x:f>
        <x:v>1</x:v>
      </x:c>
      <x:c r="R1785" s="2" t="n">
        <x:f>IF(AND(M1785=1,OR(Dashboard!$B$7="All",Dashboard!$B$7='Cycles &amp; Guide'!$C$5),OR(Dashboard!$D$7="All",Dashboard!$D$7=B1785),OR(Dashboard!$F$7="All",Dashboard!$F$7=C1785),OR(Dashboard!$H$7="All",Dashboard!$H$7=D1785),OR(Dashboard!$K$7="All",Dashboard!$K$7=E1785)),1,0)</x:f>
        <x:v>1</x:v>
      </x:c>
      <x:c r="S1785" s="2" t="n">
        <x:f>IF(R1785=1,SUM($R$10:R1785),0)</x:f>
        <x:v>1412</x:v>
      </x:c>
      <x:c r="T1785" s="2" t="str">
        <x:v>Design &amp; Insights</x:v>
      </x:c>
      <x:c r="U1785" s="2" t="n">
        <x:v>413</x:v>
      </x:c>
      <x:c r="V1785" s="2" t="n">
        <x:f>IF(AND(M1785=1,P1785=0,ISNUMBER(J1785),J1785&lt;TODAY()),1,0)</x:f>
        <x:v>0</x:v>
      </x:c>
      <x:c r="W1785" s="2" t="str">
        <x:f>'Design &amp; Insights'!M413</x:f>
        <x:v>Task</x:v>
      </x:c>
    </x:row>
    <x:row r="1786" ht="40" customHeight="1">
      <x:c r="A1786" s="3" t="str">
        <x:f>HYPERLINK("#'Design &amp; Insights'!A414","Open")</x:f>
        <x:v>Open</x:v>
      </x:c>
      <x:c r="B1786" s="2" t="str">
        <x:f>'Design &amp; Insights'!B414</x:f>
        <x:v>Cycle 3</x:v>
      </x:c>
      <x:c r="C1786" s="2" t="str">
        <x:f>'Design &amp; Insights'!C414</x:f>
        <x:v>Phase 1</x:v>
      </x:c>
      <x:c r="D1786" s="2" t="str">
        <x:f>'Design &amp; Insights'!D414</x:f>
        <x:v>Retail Services</x:v>
      </x:c>
      <x:c r="E1786" s="2" t="str">
        <x:v>Design &amp; Insights</x:v>
      </x:c>
      <x:c r="F1786" s="56" t="str">
        <x:f>'Design &amp; Insights'!E414</x:f>
        <x:v>DI.RS.1.5</x:v>
      </x:c>
      <x:c r="G1786" s="14" t="str">
        <x:f>'Design &amp; Insights'!F414</x:f>
        <x:v>Confirm with Research the recommended topic for approval</x:v>
      </x:c>
      <x:c r="H1786" s="2" t="str">
        <x:f>IF('Design &amp; Insights'!G414="","",'Design &amp; Insights'!G414)</x:f>
      </x:c>
      <x:c r="I1786" s="12" t="str">
        <x:f>IF('Design &amp; Insights'!H414="","",'Design &amp; Insights'!H414)</x:f>
      </x:c>
      <x:c r="J1786" s="12" t="n">
        <x:f>IF('Design &amp; Insights'!I414="","",'Design &amp; Insights'!I414)</x:f>
        <x:v>46295</x:v>
      </x:c>
      <x:c r="K1786" s="12" t="str">
        <x:f>IF('Design &amp; Insights'!J414="","",'Design &amp; Insights'!J414)</x:f>
      </x:c>
      <x:c r="L1786" s="2" t="str">
        <x:f>IF('Design &amp; Insights'!K414="","",'Design &amp; Insights'!K414)</x:f>
      </x:c>
      <x:c r="M1786" s="2" t="n">
        <x:f>'Design &amp; Insights'!Q414</x:f>
        <x:v>1</x:v>
      </x:c>
      <x:c r="N1786" s="2" t="str">
        <x:f>'Design &amp; Insights'!L414</x:f>
        <x:v>Not started</x:v>
      </x:c>
      <x:c r="O1786" s="2" t="str">
        <x:f>'Design &amp; Insights'!N414</x:f>
        <x:v>DI.RS.1.5.2026.CY3</x:v>
      </x:c>
      <x:c r="P1786" s="2" t="n">
        <x:f>'Design &amp; Insights'!O414</x:f>
        <x:v>0</x:v>
      </x:c>
      <x:c r="Q1786" s="2" t="n">
        <x:f>SUBTOTAL(103,O1786)</x:f>
        <x:v>1</x:v>
      </x:c>
      <x:c r="R1786" s="2" t="n">
        <x:f>IF(AND(M1786=1,OR(Dashboard!$B$7="All",Dashboard!$B$7='Cycles &amp; Guide'!$C$5),OR(Dashboard!$D$7="All",Dashboard!$D$7=B1786),OR(Dashboard!$F$7="All",Dashboard!$F$7=C1786),OR(Dashboard!$H$7="All",Dashboard!$H$7=D1786),OR(Dashboard!$K$7="All",Dashboard!$K$7=E1786)),1,0)</x:f>
        <x:v>1</x:v>
      </x:c>
      <x:c r="S1786" s="2" t="n">
        <x:f>IF(R1786=1,SUM($R$10:R1786),0)</x:f>
        <x:v>1413</x:v>
      </x:c>
      <x:c r="T1786" s="2" t="str">
        <x:v>Design &amp; Insights</x:v>
      </x:c>
      <x:c r="U1786" s="2" t="n">
        <x:v>414</x:v>
      </x:c>
      <x:c r="V1786" s="2" t="n">
        <x:f>IF(AND(M1786=1,P1786=0,ISNUMBER(J1786),J1786&lt;TODAY()),1,0)</x:f>
        <x:v>0</x:v>
      </x:c>
      <x:c r="W1786" s="2" t="str">
        <x:f>'Design &amp; Insights'!M414</x:f>
        <x:v>Task</x:v>
      </x:c>
    </x:row>
    <x:row r="1787" ht="40" customHeight="1">
      <x:c r="A1787" s="3" t="str">
        <x:f>HYPERLINK("#'Design &amp; Insights'!A415","Open")</x:f>
        <x:v>Open</x:v>
      </x:c>
      <x:c r="B1787" s="2" t="str">
        <x:f>'Design &amp; Insights'!B415</x:f>
        <x:v>Cycle 3</x:v>
      </x:c>
      <x:c r="C1787" s="2" t="str">
        <x:f>'Design &amp; Insights'!C415</x:f>
        <x:v>Phase 1</x:v>
      </x:c>
      <x:c r="D1787" s="2" t="str">
        <x:f>'Design &amp; Insights'!D415</x:f>
        <x:v>Retail Services</x:v>
      </x:c>
      <x:c r="E1787" s="2" t="str">
        <x:v>Design &amp; Insights</x:v>
      </x:c>
      <x:c r="F1787" s="56" t="str">
        <x:f>'Design &amp; Insights'!E415</x:f>
        <x:v>DI.RS.1.6</x:v>
      </x:c>
      <x:c r="G1787" s="14" t="str">
        <x:f>'Design &amp; Insights'!F415</x:f>
        <x:v>Send topic selection socialization email to all key stakeholders on the first day of the review Cycle</x:v>
      </x:c>
      <x:c r="H1787" s="2" t="str">
        <x:f>IF('Design &amp; Insights'!G415="","",'Design &amp; Insights'!G415)</x:f>
      </x:c>
      <x:c r="I1787" s="12" t="str">
        <x:f>IF('Design &amp; Insights'!H415="","",'Design &amp; Insights'!H415)</x:f>
      </x:c>
      <x:c r="J1787" s="12" t="n">
        <x:f>IF('Design &amp; Insights'!I415="","",'Design &amp; Insights'!I415)</x:f>
        <x:v>46204</x:v>
      </x:c>
      <x:c r="K1787" s="12" t="str">
        <x:f>IF('Design &amp; Insights'!J415="","",'Design &amp; Insights'!J415)</x:f>
      </x:c>
      <x:c r="L1787" s="2" t="str">
        <x:f>IF('Design &amp; Insights'!K415="","",'Design &amp; Insights'!K415)</x:f>
      </x:c>
      <x:c r="M1787" s="2" t="n">
        <x:f>'Design &amp; Insights'!Q415</x:f>
        <x:v>1</x:v>
      </x:c>
      <x:c r="N1787" s="2" t="str">
        <x:f>'Design &amp; Insights'!L415</x:f>
        <x:v>Not started</x:v>
      </x:c>
      <x:c r="O1787" s="2" t="str">
        <x:f>'Design &amp; Insights'!N415</x:f>
        <x:v>DI.RS.1.6.2026.CY3</x:v>
      </x:c>
      <x:c r="P1787" s="2" t="n">
        <x:f>'Design &amp; Insights'!O415</x:f>
        <x:v>0</x:v>
      </x:c>
      <x:c r="Q1787" s="2" t="n">
        <x:f>SUBTOTAL(103,O1787)</x:f>
        <x:v>1</x:v>
      </x:c>
      <x:c r="R1787" s="2" t="n">
        <x:f>IF(AND(M1787=1,OR(Dashboard!$B$7="All",Dashboard!$B$7='Cycles &amp; Guide'!$C$5),OR(Dashboard!$D$7="All",Dashboard!$D$7=B1787),OR(Dashboard!$F$7="All",Dashboard!$F$7=C1787),OR(Dashboard!$H$7="All",Dashboard!$H$7=D1787),OR(Dashboard!$K$7="All",Dashboard!$K$7=E1787)),1,0)</x:f>
        <x:v>1</x:v>
      </x:c>
      <x:c r="S1787" s="2" t="n">
        <x:f>IF(R1787=1,SUM($R$10:R1787),0)</x:f>
        <x:v>1414</x:v>
      </x:c>
      <x:c r="T1787" s="2" t="str">
        <x:v>Design &amp; Insights</x:v>
      </x:c>
      <x:c r="U1787" s="2" t="n">
        <x:v>415</x:v>
      </x:c>
      <x:c r="V1787" s="2" t="n">
        <x:f>IF(AND(M1787=1,P1787=0,ISNUMBER(J1787),J1787&lt;TODAY()),1,0)</x:f>
        <x:v>1</x:v>
      </x:c>
      <x:c r="W1787" s="2" t="str">
        <x:f>'Design &amp; Insights'!M415</x:f>
        <x:v>Task</x:v>
      </x:c>
    </x:row>
    <x:row r="1788" ht="40" customHeight="1">
      <x:c r="A1788" s="3" t="str">
        <x:f>HYPERLINK("#'Design &amp; Insights'!A416","Open")</x:f>
        <x:v>Open</x:v>
      </x:c>
      <x:c r="B1788" s="2" t="str">
        <x:f>'Design &amp; Insights'!B416</x:f>
        <x:v>Cycle 3</x:v>
      </x:c>
      <x:c r="C1788" s="2" t="str">
        <x:f>'Design &amp; Insights'!C416</x:f>
        <x:v>Phase 2</x:v>
      </x:c>
      <x:c r="D1788" s="2" t="str">
        <x:f>'Design &amp; Insights'!D416</x:f>
        <x:v>Retail Services</x:v>
      </x:c>
      <x:c r="E1788" s="2" t="str">
        <x:v>Design &amp; Insights</x:v>
      </x:c>
      <x:c r="F1788" s="56" t="str">
        <x:f>'Design &amp; Insights'!E416</x:f>
        <x:v>DI.RS.2.1</x:v>
      </x:c>
      <x:c r="G1788" s="14" t="str">
        <x:f>'Design &amp; Insights'!F416</x:f>
        <x:v>Meet regularly with Research to stay informed on progress, findings, and potential enhancement</x:v>
      </x:c>
      <x:c r="H1788" s="2" t="str">
        <x:f>IF('Design &amp; Insights'!G416="","",'Design &amp; Insights'!G416)</x:f>
      </x:c>
      <x:c r="I1788" s="12" t="str">
        <x:f>IF('Design &amp; Insights'!H416="","",'Design &amp; Insights'!H416)</x:f>
      </x:c>
      <x:c r="J1788" s="12" t="n">
        <x:f>IF('Design &amp; Insights'!I416="","",'Design &amp; Insights'!I416)</x:f>
        <x:v>46295</x:v>
      </x:c>
      <x:c r="K1788" s="12" t="str">
        <x:f>IF('Design &amp; Insights'!J416="","",'Design &amp; Insights'!J416)</x:f>
      </x:c>
      <x:c r="L1788" s="2" t="str">
        <x:f>IF('Design &amp; Insights'!K416="","",'Design &amp; Insights'!K416)</x:f>
      </x:c>
      <x:c r="M1788" s="2" t="n">
        <x:f>'Design &amp; Insights'!Q416</x:f>
        <x:v>1</x:v>
      </x:c>
      <x:c r="N1788" s="2" t="str">
        <x:f>'Design &amp; Insights'!L416</x:f>
        <x:v>Not started</x:v>
      </x:c>
      <x:c r="O1788" s="2" t="str">
        <x:f>'Design &amp; Insights'!N416</x:f>
        <x:v>DI.RS.2.1.2026.CY3</x:v>
      </x:c>
      <x:c r="P1788" s="2" t="n">
        <x:f>'Design &amp; Insights'!O416</x:f>
        <x:v>0</x:v>
      </x:c>
      <x:c r="Q1788" s="2" t="n">
        <x:f>SUBTOTAL(103,O1788)</x:f>
        <x:v>1</x:v>
      </x:c>
      <x:c r="R1788" s="2" t="n">
        <x:f>IF(AND(M1788=1,OR(Dashboard!$B$7="All",Dashboard!$B$7='Cycles &amp; Guide'!$C$5),OR(Dashboard!$D$7="All",Dashboard!$D$7=B1788),OR(Dashboard!$F$7="All",Dashboard!$F$7=C1788),OR(Dashboard!$H$7="All",Dashboard!$H$7=D1788),OR(Dashboard!$K$7="All",Dashboard!$K$7=E1788)),1,0)</x:f>
        <x:v>1</x:v>
      </x:c>
      <x:c r="S1788" s="2" t="n">
        <x:f>IF(R1788=1,SUM($R$10:R1788),0)</x:f>
        <x:v>1415</x:v>
      </x:c>
      <x:c r="T1788" s="2" t="str">
        <x:v>Design &amp; Insights</x:v>
      </x:c>
      <x:c r="U1788" s="2" t="n">
        <x:v>416</x:v>
      </x:c>
      <x:c r="V1788" s="2" t="n">
        <x:f>IF(AND(M1788=1,P1788=0,ISNUMBER(J1788),J1788&lt;TODAY()),1,0)</x:f>
        <x:v>0</x:v>
      </x:c>
      <x:c r="W1788" s="2" t="str">
        <x:f>'Design &amp; Insights'!M416</x:f>
        <x:v>Task</x:v>
      </x:c>
    </x:row>
    <x:row r="1789" ht="40" customHeight="1">
      <x:c r="A1789" s="3" t="str">
        <x:f>HYPERLINK("#'Design &amp; Insights'!A417","Open")</x:f>
        <x:v>Open</x:v>
      </x:c>
      <x:c r="B1789" s="2" t="str">
        <x:f>'Design &amp; Insights'!B417</x:f>
        <x:v>Cycle 3</x:v>
      </x:c>
      <x:c r="C1789" s="2" t="str">
        <x:f>'Design &amp; Insights'!C417</x:f>
        <x:v>Phase 2</x:v>
      </x:c>
      <x:c r="D1789" s="2" t="str">
        <x:f>'Design &amp; Insights'!D417</x:f>
        <x:v>Retail Services</x:v>
      </x:c>
      <x:c r="E1789" s="2" t="str">
        <x:v>Design &amp; Insights</x:v>
      </x:c>
      <x:c r="F1789" s="56" t="str">
        <x:f>'Design &amp; Insights'!E417</x:f>
        <x:v>DI.RS.2.2</x:v>
      </x:c>
      <x:c r="G1789" s="14" t="str">
        <x:f>'Design &amp; Insights'!F417</x:f>
        <x:v>Collaborate with Research on research plan specifics</x:v>
      </x:c>
      <x:c r="H1789" s="2" t="str">
        <x:f>IF('Design &amp; Insights'!G417="","",'Design &amp; Insights'!G417)</x:f>
      </x:c>
      <x:c r="I1789" s="12" t="str">
        <x:f>IF('Design &amp; Insights'!H417="","",'Design &amp; Insights'!H417)</x:f>
      </x:c>
      <x:c r="J1789" s="12" t="n">
        <x:f>IF('Design &amp; Insights'!I417="","",'Design &amp; Insights'!I417)</x:f>
        <x:v>46295</x:v>
      </x:c>
      <x:c r="K1789" s="12" t="str">
        <x:f>IF('Design &amp; Insights'!J417="","",'Design &amp; Insights'!J417)</x:f>
      </x:c>
      <x:c r="L1789" s="2" t="str">
        <x:f>IF('Design &amp; Insights'!K417="","",'Design &amp; Insights'!K417)</x:f>
      </x:c>
      <x:c r="M1789" s="2" t="n">
        <x:f>'Design &amp; Insights'!Q417</x:f>
        <x:v>1</x:v>
      </x:c>
      <x:c r="N1789" s="2" t="str">
        <x:f>'Design &amp; Insights'!L417</x:f>
        <x:v>Not started</x:v>
      </x:c>
      <x:c r="O1789" s="2" t="str">
        <x:f>'Design &amp; Insights'!N417</x:f>
        <x:v>DI.RS.2.2.2026.CY3</x:v>
      </x:c>
      <x:c r="P1789" s="2" t="n">
        <x:f>'Design &amp; Insights'!O417</x:f>
        <x:v>0</x:v>
      </x:c>
      <x:c r="Q1789" s="2" t="n">
        <x:f>SUBTOTAL(103,O1789)</x:f>
        <x:v>1</x:v>
      </x:c>
      <x:c r="R1789" s="2" t="n">
        <x:f>IF(AND(M1789=1,OR(Dashboard!$B$7="All",Dashboard!$B$7='Cycles &amp; Guide'!$C$5),OR(Dashboard!$D$7="All",Dashboard!$D$7=B1789),OR(Dashboard!$F$7="All",Dashboard!$F$7=C1789),OR(Dashboard!$H$7="All",Dashboard!$H$7=D1789),OR(Dashboard!$K$7="All",Dashboard!$K$7=E1789)),1,0)</x:f>
        <x:v>1</x:v>
      </x:c>
      <x:c r="S1789" s="2" t="n">
        <x:f>IF(R1789=1,SUM($R$10:R1789),0)</x:f>
        <x:v>1416</x:v>
      </x:c>
      <x:c r="T1789" s="2" t="str">
        <x:v>Design &amp; Insights</x:v>
      </x:c>
      <x:c r="U1789" s="2" t="n">
        <x:v>417</x:v>
      </x:c>
      <x:c r="V1789" s="2" t="n">
        <x:f>IF(AND(M1789=1,P1789=0,ISNUMBER(J1789),J1789&lt;TODAY()),1,0)</x:f>
        <x:v>0</x:v>
      </x:c>
      <x:c r="W1789" s="2" t="str">
        <x:f>'Design &amp; Insights'!M417</x:f>
        <x:v>Task</x:v>
      </x:c>
    </x:row>
    <x:row r="1790" ht="40" customHeight="1">
      <x:c r="A1790" s="3" t="str">
        <x:f>HYPERLINK("#'Design &amp; Insights'!A418","Open")</x:f>
        <x:v>Open</x:v>
      </x:c>
      <x:c r="B1790" s="2" t="str">
        <x:f>'Design &amp; Insights'!B418</x:f>
        <x:v>Cycle 3</x:v>
      </x:c>
      <x:c r="C1790" s="2" t="str">
        <x:f>'Design &amp; Insights'!C418</x:f>
        <x:v>Phase 2</x:v>
      </x:c>
      <x:c r="D1790" s="2" t="str">
        <x:f>'Design &amp; Insights'!D418</x:f>
        <x:v>Retail Services</x:v>
      </x:c>
      <x:c r="E1790" s="2" t="str">
        <x:v>Design &amp; Insights</x:v>
      </x:c>
      <x:c r="F1790" s="56" t="str">
        <x:f>'Design &amp; Insights'!E418</x:f>
        <x:v>DI.RS.2.3</x:v>
      </x:c>
      <x:c r="G1790" s="14" t="str">
        <x:f>'Design &amp; Insights'!F418</x:f>
        <x:v>Participate in SME insight meetings to gain perspective and appetite on potential enhancements</x:v>
      </x:c>
      <x:c r="H1790" s="2" t="str">
        <x:f>IF('Design &amp; Insights'!G418="","",'Design &amp; Insights'!G418)</x:f>
      </x:c>
      <x:c r="I1790" s="12" t="str">
        <x:f>IF('Design &amp; Insights'!H418="","",'Design &amp; Insights'!H418)</x:f>
      </x:c>
      <x:c r="J1790" s="12" t="n">
        <x:f>IF('Design &amp; Insights'!I418="","",'Design &amp; Insights'!I418)</x:f>
        <x:v>46295</x:v>
      </x:c>
      <x:c r="K1790" s="12" t="str">
        <x:f>IF('Design &amp; Insights'!J418="","",'Design &amp; Insights'!J418)</x:f>
      </x:c>
      <x:c r="L1790" s="2" t="str">
        <x:f>IF('Design &amp; Insights'!K418="","",'Design &amp; Insights'!K418)</x:f>
      </x:c>
      <x:c r="M1790" s="2" t="n">
        <x:f>'Design &amp; Insights'!Q418</x:f>
        <x:v>1</x:v>
      </x:c>
      <x:c r="N1790" s="2" t="str">
        <x:f>'Design &amp; Insights'!L418</x:f>
        <x:v>Not started</x:v>
      </x:c>
      <x:c r="O1790" s="2" t="str">
        <x:f>'Design &amp; Insights'!N418</x:f>
        <x:v>DI.RS.2.3.2026.CY3</x:v>
      </x:c>
      <x:c r="P1790" s="2" t="n">
        <x:f>'Design &amp; Insights'!O418</x:f>
        <x:v>0</x:v>
      </x:c>
      <x:c r="Q1790" s="2" t="n">
        <x:f>SUBTOTAL(103,O1790)</x:f>
        <x:v>1</x:v>
      </x:c>
      <x:c r="R1790" s="2" t="n">
        <x:f>IF(AND(M1790=1,OR(Dashboard!$B$7="All",Dashboard!$B$7='Cycles &amp; Guide'!$C$5),OR(Dashboard!$D$7="All",Dashboard!$D$7=B1790),OR(Dashboard!$F$7="All",Dashboard!$F$7=C1790),OR(Dashboard!$H$7="All",Dashboard!$H$7=D1790),OR(Dashboard!$K$7="All",Dashboard!$K$7=E1790)),1,0)</x:f>
        <x:v>1</x:v>
      </x:c>
      <x:c r="S1790" s="2" t="n">
        <x:f>IF(R1790=1,SUM($R$10:R1790),0)</x:f>
        <x:v>1417</x:v>
      </x:c>
      <x:c r="T1790" s="2" t="str">
        <x:v>Design &amp; Insights</x:v>
      </x:c>
      <x:c r="U1790" s="2" t="n">
        <x:v>418</x:v>
      </x:c>
      <x:c r="V1790" s="2" t="n">
        <x:f>IF(AND(M1790=1,P1790=0,ISNUMBER(J1790),J1790&lt;TODAY()),1,0)</x:f>
        <x:v>0</x:v>
      </x:c>
      <x:c r="W1790" s="2" t="str">
        <x:f>'Design &amp; Insights'!M418</x:f>
        <x:v>Task</x:v>
      </x:c>
    </x:row>
    <x:row r="1791" ht="40" customHeight="1">
      <x:c r="A1791" s="3" t="str">
        <x:f>HYPERLINK("#'Design &amp; Insights'!A419","Open")</x:f>
        <x:v>Open</x:v>
      </x:c>
      <x:c r="B1791" s="2" t="str">
        <x:f>'Design &amp; Insights'!B419</x:f>
        <x:v>Cycle 3</x:v>
      </x:c>
      <x:c r="C1791" s="2" t="str">
        <x:f>'Design &amp; Insights'!C419</x:f>
        <x:v>Phase 2</x:v>
      </x:c>
      <x:c r="D1791" s="2" t="str">
        <x:f>'Design &amp; Insights'!D419</x:f>
        <x:v>Retail Services</x:v>
      </x:c>
      <x:c r="E1791" s="2" t="str">
        <x:v>Design &amp; Insights</x:v>
      </x:c>
      <x:c r="F1791" s="56" t="str">
        <x:f>'Design &amp; Insights'!E419</x:f>
        <x:v>DI.RS.2.4</x:v>
      </x:c>
      <x:c r="G1791" s="14" t="str">
        <x:f>'Design &amp; Insights'!F419</x:f>
        <x:v>Begin development of presentation materials as Research is being completed</x:v>
      </x:c>
      <x:c r="H1791" s="2" t="str">
        <x:f>IF('Design &amp; Insights'!G419="","",'Design &amp; Insights'!G419)</x:f>
      </x:c>
      <x:c r="I1791" s="12" t="str">
        <x:f>IF('Design &amp; Insights'!H419="","",'Design &amp; Insights'!H419)</x:f>
      </x:c>
      <x:c r="J1791" s="12" t="n">
        <x:f>IF('Design &amp; Insights'!I419="","",'Design &amp; Insights'!I419)</x:f>
        <x:v>46295</x:v>
      </x:c>
      <x:c r="K1791" s="12" t="str">
        <x:f>IF('Design &amp; Insights'!J419="","",'Design &amp; Insights'!J419)</x:f>
      </x:c>
      <x:c r="L1791" s="2" t="str">
        <x:f>IF('Design &amp; Insights'!K419="","",'Design &amp; Insights'!K419)</x:f>
      </x:c>
      <x:c r="M1791" s="2" t="n">
        <x:f>'Design &amp; Insights'!Q419</x:f>
        <x:v>1</x:v>
      </x:c>
      <x:c r="N1791" s="2" t="str">
        <x:f>'Design &amp; Insights'!L419</x:f>
        <x:v>Not started</x:v>
      </x:c>
      <x:c r="O1791" s="2" t="str">
        <x:f>'Design &amp; Insights'!N419</x:f>
        <x:v>DI.RS.2.4.2026.CY3</x:v>
      </x:c>
      <x:c r="P1791" s="2" t="n">
        <x:f>'Design &amp; Insights'!O419</x:f>
        <x:v>0</x:v>
      </x:c>
      <x:c r="Q1791" s="2" t="n">
        <x:f>SUBTOTAL(103,O1791)</x:f>
        <x:v>1</x:v>
      </x:c>
      <x:c r="R1791" s="2" t="n">
        <x:f>IF(AND(M1791=1,OR(Dashboard!$B$7="All",Dashboard!$B$7='Cycles &amp; Guide'!$C$5),OR(Dashboard!$D$7="All",Dashboard!$D$7=B1791),OR(Dashboard!$F$7="All",Dashboard!$F$7=C1791),OR(Dashboard!$H$7="All",Dashboard!$H$7=D1791),OR(Dashboard!$K$7="All",Dashboard!$K$7=E1791)),1,0)</x:f>
        <x:v>1</x:v>
      </x:c>
      <x:c r="S1791" s="2" t="n">
        <x:f>IF(R1791=1,SUM($R$10:R1791),0)</x:f>
        <x:v>1418</x:v>
      </x:c>
      <x:c r="T1791" s="2" t="str">
        <x:v>Design &amp; Insights</x:v>
      </x:c>
      <x:c r="U1791" s="2" t="n">
        <x:v>419</x:v>
      </x:c>
      <x:c r="V1791" s="2" t="n">
        <x:f>IF(AND(M1791=1,P1791=0,ISNUMBER(J1791),J1791&lt;TODAY()),1,0)</x:f>
        <x:v>0</x:v>
      </x:c>
      <x:c r="W1791" s="2" t="str">
        <x:f>'Design &amp; Insights'!M419</x:f>
        <x:v>Task</x:v>
      </x:c>
    </x:row>
    <x:row r="1792" ht="40" customHeight="1">
      <x:c r="A1792" s="3" t="str">
        <x:f>HYPERLINK("#'Design &amp; Insights'!A420","Open")</x:f>
        <x:v>Open</x:v>
      </x:c>
      <x:c r="B1792" s="2" t="str">
        <x:f>'Design &amp; Insights'!B420</x:f>
        <x:v>Cycle 3</x:v>
      </x:c>
      <x:c r="C1792" s="2" t="str">
        <x:f>'Design &amp; Insights'!C420</x:f>
        <x:v>Phase 2</x:v>
      </x:c>
      <x:c r="D1792" s="2" t="str">
        <x:f>'Design &amp; Insights'!D420</x:f>
        <x:v>Retail Services</x:v>
      </x:c>
      <x:c r="E1792" s="2" t="str">
        <x:v>Design &amp; Insights</x:v>
      </x:c>
      <x:c r="F1792" s="56" t="str">
        <x:f>'Design &amp; Insights'!E420</x:f>
        <x:v>DI.RS.2.5</x:v>
      </x:c>
      <x:c r="G1792" s="14" t="str">
        <x:f>'Design &amp; Insights'!F420</x:f>
        <x:v>Draft initial enhancement recommendations (as applicable)</x:v>
      </x:c>
      <x:c r="H1792" s="2" t="str">
        <x:f>IF('Design &amp; Insights'!G420="","",'Design &amp; Insights'!G420)</x:f>
      </x:c>
      <x:c r="I1792" s="12" t="str">
        <x:f>IF('Design &amp; Insights'!H420="","",'Design &amp; Insights'!H420)</x:f>
      </x:c>
      <x:c r="J1792" s="12" t="n">
        <x:f>IF('Design &amp; Insights'!I420="","",'Design &amp; Insights'!I420)</x:f>
        <x:v>46295</x:v>
      </x:c>
      <x:c r="K1792" s="12" t="str">
        <x:f>IF('Design &amp; Insights'!J420="","",'Design &amp; Insights'!J420)</x:f>
      </x:c>
      <x:c r="L1792" s="2" t="str">
        <x:f>IF('Design &amp; Insights'!K420="","",'Design &amp; Insights'!K420)</x:f>
      </x:c>
      <x:c r="M1792" s="2" t="n">
        <x:f>'Design &amp; Insights'!Q420</x:f>
        <x:v>1</x:v>
      </x:c>
      <x:c r="N1792" s="2" t="str">
        <x:f>'Design &amp; Insights'!L420</x:f>
        <x:v>Not started</x:v>
      </x:c>
      <x:c r="O1792" s="2" t="str">
        <x:f>'Design &amp; Insights'!N420</x:f>
        <x:v>DI.RS.2.5.2026.CY3</x:v>
      </x:c>
      <x:c r="P1792" s="2" t="n">
        <x:f>'Design &amp; Insights'!O420</x:f>
        <x:v>0</x:v>
      </x:c>
      <x:c r="Q1792" s="2" t="n">
        <x:f>SUBTOTAL(103,O1792)</x:f>
        <x:v>1</x:v>
      </x:c>
      <x:c r="R1792" s="2" t="n">
        <x:f>IF(AND(M1792=1,OR(Dashboard!$B$7="All",Dashboard!$B$7='Cycles &amp; Guide'!$C$5),OR(Dashboard!$D$7="All",Dashboard!$D$7=B1792),OR(Dashboard!$F$7="All",Dashboard!$F$7=C1792),OR(Dashboard!$H$7="All",Dashboard!$H$7=D1792),OR(Dashboard!$K$7="All",Dashboard!$K$7=E1792)),1,0)</x:f>
        <x:v>1</x:v>
      </x:c>
      <x:c r="S1792" s="2" t="n">
        <x:f>IF(R1792=1,SUM($R$10:R1792),0)</x:f>
        <x:v>1419</x:v>
      </x:c>
      <x:c r="T1792" s="2" t="str">
        <x:v>Design &amp; Insights</x:v>
      </x:c>
      <x:c r="U1792" s="2" t="n">
        <x:v>420</x:v>
      </x:c>
      <x:c r="V1792" s="2" t="n">
        <x:f>IF(AND(M1792=1,P1792=0,ISNUMBER(J1792),J1792&lt;TODAY()),1,0)</x:f>
        <x:v>0</x:v>
      </x:c>
      <x:c r="W1792" s="2" t="str">
        <x:f>'Design &amp; Insights'!M420</x:f>
        <x:v>Task</x:v>
      </x:c>
    </x:row>
    <x:row r="1793" ht="40" customHeight="1">
      <x:c r="A1793" s="3" t="str">
        <x:f>HYPERLINK("#'Design &amp; Insights'!A421","Open")</x:f>
        <x:v>Open</x:v>
      </x:c>
      <x:c r="B1793" s="2" t="str">
        <x:f>'Design &amp; Insights'!B421</x:f>
        <x:v>Cycle 3</x:v>
      </x:c>
      <x:c r="C1793" s="2" t="str">
        <x:f>'Design &amp; Insights'!C421</x:f>
        <x:v>Phase 2</x:v>
      </x:c>
      <x:c r="D1793" s="2" t="str">
        <x:f>'Design &amp; Insights'!D421</x:f>
        <x:v>Retail Services</x:v>
      </x:c>
      <x:c r="E1793" s="2" t="str">
        <x:v>Design &amp; Insights</x:v>
      </x:c>
      <x:c r="F1793" s="56" t="str">
        <x:f>'Design &amp; Insights'!E421</x:f>
        <x:v>DI.RS.2.6</x:v>
      </x:c>
      <x:c r="G1793" s="14" t="str">
        <x:f>'Design &amp; Insights'!F421</x:f>
        <x:v>Finalize presentation deck draft at conclusion of Research phase</x:v>
      </x:c>
      <x:c r="H1793" s="2" t="str">
        <x:f>IF('Design &amp; Insights'!G421="","",'Design &amp; Insights'!G421)</x:f>
      </x:c>
      <x:c r="I1793" s="12" t="str">
        <x:f>IF('Design &amp; Insights'!H421="","",'Design &amp; Insights'!H421)</x:f>
      </x:c>
      <x:c r="J1793" s="12" t="n">
        <x:f>IF('Design &amp; Insights'!I421="","",'Design &amp; Insights'!I421)</x:f>
        <x:v>46295</x:v>
      </x:c>
      <x:c r="K1793" s="12" t="str">
        <x:f>IF('Design &amp; Insights'!J421="","",'Design &amp; Insights'!J421)</x:f>
      </x:c>
      <x:c r="L1793" s="2" t="str">
        <x:f>IF('Design &amp; Insights'!K421="","",'Design &amp; Insights'!K421)</x:f>
      </x:c>
      <x:c r="M1793" s="2" t="n">
        <x:f>'Design &amp; Insights'!Q421</x:f>
        <x:v>1</x:v>
      </x:c>
      <x:c r="N1793" s="2" t="str">
        <x:f>'Design &amp; Insights'!L421</x:f>
        <x:v>Not started</x:v>
      </x:c>
      <x:c r="O1793" s="2" t="str">
        <x:f>'Design &amp; Insights'!N421</x:f>
        <x:v>DI.RS.2.6.2026.CY3</x:v>
      </x:c>
      <x:c r="P1793" s="2" t="n">
        <x:f>'Design &amp; Insights'!O421</x:f>
        <x:v>0</x:v>
      </x:c>
      <x:c r="Q1793" s="2" t="n">
        <x:f>SUBTOTAL(103,O1793)</x:f>
        <x:v>1</x:v>
      </x:c>
      <x:c r="R1793" s="2" t="n">
        <x:f>IF(AND(M1793=1,OR(Dashboard!$B$7="All",Dashboard!$B$7='Cycles &amp; Guide'!$C$5),OR(Dashboard!$D$7="All",Dashboard!$D$7=B1793),OR(Dashboard!$F$7="All",Dashboard!$F$7=C1793),OR(Dashboard!$H$7="All",Dashboard!$H$7=D1793),OR(Dashboard!$K$7="All",Dashboard!$K$7=E1793)),1,0)</x:f>
        <x:v>1</x:v>
      </x:c>
      <x:c r="S1793" s="2" t="n">
        <x:f>IF(R1793=1,SUM($R$10:R1793),0)</x:f>
        <x:v>1420</x:v>
      </x:c>
      <x:c r="T1793" s="2" t="str">
        <x:v>Design &amp; Insights</x:v>
      </x:c>
      <x:c r="U1793" s="2" t="n">
        <x:v>421</x:v>
      </x:c>
      <x:c r="V1793" s="2" t="n">
        <x:f>IF(AND(M1793=1,P1793=0,ISNUMBER(J1793),J1793&lt;TODAY()),1,0)</x:f>
        <x:v>0</x:v>
      </x:c>
      <x:c r="W1793" s="2" t="str">
        <x:f>'Design &amp; Insights'!M421</x:f>
        <x:v>Task</x:v>
      </x:c>
    </x:row>
    <x:row r="1794" ht="40" customHeight="1">
      <x:c r="A1794" s="3" t="str">
        <x:f>HYPERLINK("#'Design &amp; Insights'!A422","Open")</x:f>
        <x:v>Open</x:v>
      </x:c>
      <x:c r="B1794" s="2" t="str">
        <x:f>'Design &amp; Insights'!B422</x:f>
        <x:v>Cycle 3</x:v>
      </x:c>
      <x:c r="C1794" s="2" t="str">
        <x:f>'Design &amp; Insights'!C422</x:f>
        <x:v>Phase 2</x:v>
      </x:c>
      <x:c r="D1794" s="2" t="str">
        <x:f>'Design &amp; Insights'!D422</x:f>
        <x:v>Retail Services</x:v>
      </x:c>
      <x:c r="E1794" s="2" t="str">
        <x:v>Design &amp; Insights</x:v>
      </x:c>
      <x:c r="F1794" s="56" t="str">
        <x:f>'Design &amp; Insights'!E422</x:f>
        <x:v>DI.RS.2.7</x:v>
      </x:c>
      <x:c r="G1794" s="14" t="str">
        <x:f>'Design &amp; Insights'!F422</x:f>
        <x:v>Update Outcome portion of research plan with current enhancement verbiage (as needed)</x:v>
      </x:c>
      <x:c r="H1794" s="2" t="str">
        <x:f>IF('Design &amp; Insights'!G422="","",'Design &amp; Insights'!G422)</x:f>
      </x:c>
      <x:c r="I1794" s="12" t="str">
        <x:f>IF('Design &amp; Insights'!H422="","",'Design &amp; Insights'!H422)</x:f>
      </x:c>
      <x:c r="J1794" s="12" t="n">
        <x:f>IF('Design &amp; Insights'!I422="","",'Design &amp; Insights'!I422)</x:f>
        <x:v>46295</x:v>
      </x:c>
      <x:c r="K1794" s="12" t="str">
        <x:f>IF('Design &amp; Insights'!J422="","",'Design &amp; Insights'!J422)</x:f>
      </x:c>
      <x:c r="L1794" s="2" t="str">
        <x:f>IF('Design &amp; Insights'!K422="","",'Design &amp; Insights'!K422)</x:f>
      </x:c>
      <x:c r="M1794" s="2" t="n">
        <x:f>'Design &amp; Insights'!Q422</x:f>
        <x:v>1</x:v>
      </x:c>
      <x:c r="N1794" s="2" t="str">
        <x:f>'Design &amp; Insights'!L422</x:f>
        <x:v>Not started</x:v>
      </x:c>
      <x:c r="O1794" s="2" t="str">
        <x:f>'Design &amp; Insights'!N422</x:f>
        <x:v>DI.RS.2.7.2026.CY3</x:v>
      </x:c>
      <x:c r="P1794" s="2" t="n">
        <x:f>'Design &amp; Insights'!O422</x:f>
        <x:v>0</x:v>
      </x:c>
      <x:c r="Q1794" s="2" t="n">
        <x:f>SUBTOTAL(103,O1794)</x:f>
        <x:v>1</x:v>
      </x:c>
      <x:c r="R1794" s="2" t="n">
        <x:f>IF(AND(M1794=1,OR(Dashboard!$B$7="All",Dashboard!$B$7='Cycles &amp; Guide'!$C$5),OR(Dashboard!$D$7="All",Dashboard!$D$7=B1794),OR(Dashboard!$F$7="All",Dashboard!$F$7=C1794),OR(Dashboard!$H$7="All",Dashboard!$H$7=D1794),OR(Dashboard!$K$7="All",Dashboard!$K$7=E1794)),1,0)</x:f>
        <x:v>1</x:v>
      </x:c>
      <x:c r="S1794" s="2" t="n">
        <x:f>IF(R1794=1,SUM($R$10:R1794),0)</x:f>
        <x:v>1421</x:v>
      </x:c>
      <x:c r="T1794" s="2" t="str">
        <x:v>Design &amp; Insights</x:v>
      </x:c>
      <x:c r="U1794" s="2" t="n">
        <x:v>422</x:v>
      </x:c>
      <x:c r="V1794" s="2" t="n">
        <x:f>IF(AND(M1794=1,P1794=0,ISNUMBER(J1794),J1794&lt;TODAY()),1,0)</x:f>
        <x:v>0</x:v>
      </x:c>
      <x:c r="W1794" s="2" t="str">
        <x:f>'Design &amp; Insights'!M422</x:f>
        <x:v>Task</x:v>
      </x:c>
    </x:row>
    <x:row r="1795" ht="40" customHeight="1">
      <x:c r="A1795" s="3" t="str">
        <x:f>HYPERLINK("#'Design &amp; Insights'!A423","Open")</x:f>
        <x:v>Open</x:v>
      </x:c>
      <x:c r="B1795" s="2" t="str">
        <x:f>'Design &amp; Insights'!B423</x:f>
        <x:v>Cycle 3</x:v>
      </x:c>
      <x:c r="C1795" s="2" t="str">
        <x:f>'Design &amp; Insights'!C423</x:f>
        <x:v>Phase 3</x:v>
      </x:c>
      <x:c r="D1795" s="2" t="str">
        <x:f>'Design &amp; Insights'!D423</x:f>
        <x:v>Retail Services</x:v>
      </x:c>
      <x:c r="E1795" s="2" t="str">
        <x:v>Design &amp; Insights</x:v>
      </x:c>
      <x:c r="F1795" s="56" t="str">
        <x:f>'Design &amp; Insights'!E423</x:f>
        <x:v>DI.RS.3.1</x:v>
      </x:c>
      <x:c r="G1795" s="14" t="str">
        <x:f>'Design &amp; Insights'!F423</x:f>
        <x:v>Confirm list of required &amp; optional attendees for pre-socialization meeting</x:v>
      </x:c>
      <x:c r="H1795" s="2" t="str">
        <x:f>IF('Design &amp; Insights'!G423="","",'Design &amp; Insights'!G423)</x:f>
      </x:c>
      <x:c r="I1795" s="12" t="str">
        <x:f>IF('Design &amp; Insights'!H423="","",'Design &amp; Insights'!H423)</x:f>
      </x:c>
      <x:c r="J1795" s="12" t="n">
        <x:f>IF('Design &amp; Insights'!I423="","",'Design &amp; Insights'!I423)</x:f>
        <x:v>46295</x:v>
      </x:c>
      <x:c r="K1795" s="12" t="str">
        <x:f>IF('Design &amp; Insights'!J423="","",'Design &amp; Insights'!J423)</x:f>
      </x:c>
      <x:c r="L1795" s="2" t="str">
        <x:f>IF('Design &amp; Insights'!K423="","",'Design &amp; Insights'!K423)</x:f>
      </x:c>
      <x:c r="M1795" s="2" t="n">
        <x:f>'Design &amp; Insights'!Q423</x:f>
        <x:v>1</x:v>
      </x:c>
      <x:c r="N1795" s="2" t="str">
        <x:f>'Design &amp; Insights'!L423</x:f>
        <x:v>Not started</x:v>
      </x:c>
      <x:c r="O1795" s="2" t="str">
        <x:f>'Design &amp; Insights'!N423</x:f>
        <x:v>DI.RS.3.1.2026.CY3</x:v>
      </x:c>
      <x:c r="P1795" s="2" t="n">
        <x:f>'Design &amp; Insights'!O423</x:f>
        <x:v>0</x:v>
      </x:c>
      <x:c r="Q1795" s="2" t="n">
        <x:f>SUBTOTAL(103,O1795)</x:f>
        <x:v>1</x:v>
      </x:c>
      <x:c r="R1795" s="2" t="n">
        <x:f>IF(AND(M1795=1,OR(Dashboard!$B$7="All",Dashboard!$B$7='Cycles &amp; Guide'!$C$5),OR(Dashboard!$D$7="All",Dashboard!$D$7=B1795),OR(Dashboard!$F$7="All",Dashboard!$F$7=C1795),OR(Dashboard!$H$7="All",Dashboard!$H$7=D1795),OR(Dashboard!$K$7="All",Dashboard!$K$7=E1795)),1,0)</x:f>
        <x:v>1</x:v>
      </x:c>
      <x:c r="S1795" s="2" t="n">
        <x:f>IF(R1795=1,SUM($R$10:R1795),0)</x:f>
        <x:v>1422</x:v>
      </x:c>
      <x:c r="T1795" s="2" t="str">
        <x:v>Design &amp; Insights</x:v>
      </x:c>
      <x:c r="U1795" s="2" t="n">
        <x:v>423</x:v>
      </x:c>
      <x:c r="V1795" s="2" t="n">
        <x:f>IF(AND(M1795=1,P1795=0,ISNUMBER(J1795),J1795&lt;TODAY()),1,0)</x:f>
        <x:v>0</x:v>
      </x:c>
      <x:c r="W1795" s="2" t="str">
        <x:f>'Design &amp; Insights'!M423</x:f>
        <x:v>Task</x:v>
      </x:c>
    </x:row>
    <x:row r="1796" ht="40" customHeight="1">
      <x:c r="A1796" s="3" t="str">
        <x:f>HYPERLINK("#'Design &amp; Insights'!A424","Open")</x:f>
        <x:v>Open</x:v>
      </x:c>
      <x:c r="B1796" s="2" t="str">
        <x:f>'Design &amp; Insights'!B424</x:f>
        <x:v>Cycle 3</x:v>
      </x:c>
      <x:c r="C1796" s="2" t="str">
        <x:f>'Design &amp; Insights'!C424</x:f>
        <x:v>Phase 3</x:v>
      </x:c>
      <x:c r="D1796" s="2" t="str">
        <x:f>'Design &amp; Insights'!D424</x:f>
        <x:v>Retail Services</x:v>
      </x:c>
      <x:c r="E1796" s="2" t="str">
        <x:v>Design &amp; Insights</x:v>
      </x:c>
      <x:c r="F1796" s="56" t="str">
        <x:f>'Design &amp; Insights'!E424</x:f>
        <x:v>DI.RS.3.2</x:v>
      </x:c>
      <x:c r="G1796" s="14" t="str">
        <x:f>'Design &amp; Insights'!F424</x:f>
        <x:v>Schedule pre-socialization meeting 1 week prior to RCA Forum</x:v>
      </x:c>
      <x:c r="H1796" s="2" t="str">
        <x:f>IF('Design &amp; Insights'!G424="","",'Design &amp; Insights'!G424)</x:f>
      </x:c>
      <x:c r="I1796" s="12" t="str">
        <x:f>IF('Design &amp; Insights'!H424="","",'Design &amp; Insights'!H424)</x:f>
      </x:c>
      <x:c r="J1796" s="12" t="str">
        <x:f>IF('Design &amp; Insights'!I424="","",'Design &amp; Insights'!I424)</x:f>
      </x:c>
      <x:c r="K1796" s="12" t="str">
        <x:f>IF('Design &amp; Insights'!J424="","",'Design &amp; Insights'!J424)</x:f>
      </x:c>
      <x:c r="L1796" s="2" t="str">
        <x:f>IF('Design &amp; Insights'!K424="","",'Design &amp; Insights'!K424)</x:f>
      </x:c>
      <x:c r="M1796" s="2" t="n">
        <x:f>'Design &amp; Insights'!Q424</x:f>
        <x:v>1</x:v>
      </x:c>
      <x:c r="N1796" s="2" t="str">
        <x:f>'Design &amp; Insights'!L424</x:f>
        <x:v>Not started</x:v>
      </x:c>
      <x:c r="O1796" s="2" t="str">
        <x:f>'Design &amp; Insights'!N424</x:f>
        <x:v>DI.RS.3.2.2026.CY3</x:v>
      </x:c>
      <x:c r="P1796" s="2" t="n">
        <x:f>'Design &amp; Insights'!O424</x:f>
        <x:v>0</x:v>
      </x:c>
      <x:c r="Q1796" s="2" t="n">
        <x:f>SUBTOTAL(103,O1796)</x:f>
        <x:v>1</x:v>
      </x:c>
      <x:c r="R1796" s="2" t="n">
        <x:f>IF(AND(M1796=1,OR(Dashboard!$B$7="All",Dashboard!$B$7='Cycles &amp; Guide'!$C$5),OR(Dashboard!$D$7="All",Dashboard!$D$7=B1796),OR(Dashboard!$F$7="All",Dashboard!$F$7=C1796),OR(Dashboard!$H$7="All",Dashboard!$H$7=D1796),OR(Dashboard!$K$7="All",Dashboard!$K$7=E1796)),1,0)</x:f>
        <x:v>1</x:v>
      </x:c>
      <x:c r="S1796" s="2" t="n">
        <x:f>IF(R1796=1,SUM($R$10:R1796),0)</x:f>
        <x:v>1423</x:v>
      </x:c>
      <x:c r="T1796" s="2" t="str">
        <x:v>Design &amp; Insights</x:v>
      </x:c>
      <x:c r="U1796" s="2" t="n">
        <x:v>424</x:v>
      </x:c>
      <x:c r="V1796" s="2" t="n">
        <x:f>IF(AND(M1796=1,P1796=0,ISNUMBER(J1796),J1796&lt;TODAY()),1,0)</x:f>
        <x:v>0</x:v>
      </x:c>
      <x:c r="W1796" s="2" t="str">
        <x:f>'Design &amp; Insights'!M424</x:f>
        <x:v>Task</x:v>
      </x:c>
    </x:row>
    <x:row r="1797" ht="40" customHeight="1">
      <x:c r="A1797" s="3" t="str">
        <x:f>HYPERLINK("#'Design &amp; Insights'!A425","Open")</x:f>
        <x:v>Open</x:v>
      </x:c>
      <x:c r="B1797" s="2" t="str">
        <x:f>'Design &amp; Insights'!B425</x:f>
        <x:v>Cycle 3</x:v>
      </x:c>
      <x:c r="C1797" s="2" t="str">
        <x:f>'Design &amp; Insights'!C425</x:f>
        <x:v>Phase 3</x:v>
      </x:c>
      <x:c r="D1797" s="2" t="str">
        <x:f>'Design &amp; Insights'!D425</x:f>
        <x:v>Retail Services</x:v>
      </x:c>
      <x:c r="E1797" s="2" t="str">
        <x:v>Design &amp; Insights</x:v>
      </x:c>
      <x:c r="F1797" s="56" t="str">
        <x:f>'Design &amp; Insights'!E425</x:f>
        <x:v>DI.RS.3.3</x:v>
      </x:c>
      <x:c r="G1797" s="14" t="str">
        <x:f>'Design &amp; Insights'!F425</x:f>
        <x:v>Present findings, conclusions, and recommendation to SMEs</x:v>
      </x:c>
      <x:c r="H1797" s="2" t="str">
        <x:f>IF('Design &amp; Insights'!G425="","",'Design &amp; Insights'!G425)</x:f>
      </x:c>
      <x:c r="I1797" s="12" t="str">
        <x:f>IF('Design &amp; Insights'!H425="","",'Design &amp; Insights'!H425)</x:f>
      </x:c>
      <x:c r="J1797" s="12" t="n">
        <x:f>IF('Design &amp; Insights'!I425="","",'Design &amp; Insights'!I425)</x:f>
        <x:v>46295</x:v>
      </x:c>
      <x:c r="K1797" s="12" t="str">
        <x:f>IF('Design &amp; Insights'!J425="","",'Design &amp; Insights'!J425)</x:f>
      </x:c>
      <x:c r="L1797" s="2" t="str">
        <x:f>IF('Design &amp; Insights'!K425="","",'Design &amp; Insights'!K425)</x:f>
      </x:c>
      <x:c r="M1797" s="2" t="n">
        <x:f>'Design &amp; Insights'!Q425</x:f>
        <x:v>1</x:v>
      </x:c>
      <x:c r="N1797" s="2" t="str">
        <x:f>'Design &amp; Insights'!L425</x:f>
        <x:v>Not started</x:v>
      </x:c>
      <x:c r="O1797" s="2" t="str">
        <x:f>'Design &amp; Insights'!N425</x:f>
        <x:v>DI.RS.3.3.2026.CY3</x:v>
      </x:c>
      <x:c r="P1797" s="2" t="n">
        <x:f>'Design &amp; Insights'!O425</x:f>
        <x:v>0</x:v>
      </x:c>
      <x:c r="Q1797" s="2" t="n">
        <x:f>SUBTOTAL(103,O1797)</x:f>
        <x:v>1</x:v>
      </x:c>
      <x:c r="R1797" s="2" t="n">
        <x:f>IF(AND(M1797=1,OR(Dashboard!$B$7="All",Dashboard!$B$7='Cycles &amp; Guide'!$C$5),OR(Dashboard!$D$7="All",Dashboard!$D$7=B1797),OR(Dashboard!$F$7="All",Dashboard!$F$7=C1797),OR(Dashboard!$H$7="All",Dashboard!$H$7=D1797),OR(Dashboard!$K$7="All",Dashboard!$K$7=E1797)),1,0)</x:f>
        <x:v>1</x:v>
      </x:c>
      <x:c r="S1797" s="2" t="n">
        <x:f>IF(R1797=1,SUM($R$10:R1797),0)</x:f>
        <x:v>1424</x:v>
      </x:c>
      <x:c r="T1797" s="2" t="str">
        <x:v>Design &amp; Insights</x:v>
      </x:c>
      <x:c r="U1797" s="2" t="n">
        <x:v>425</x:v>
      </x:c>
      <x:c r="V1797" s="2" t="n">
        <x:f>IF(AND(M1797=1,P1797=0,ISNUMBER(J1797),J1797&lt;TODAY()),1,0)</x:f>
        <x:v>0</x:v>
      </x:c>
      <x:c r="W1797" s="2" t="str">
        <x:f>'Design &amp; Insights'!M425</x:f>
        <x:v>Task</x:v>
      </x:c>
    </x:row>
    <x:row r="1798" ht="40" customHeight="1">
      <x:c r="A1798" s="3" t="str">
        <x:f>HYPERLINK("#'Design &amp; Insights'!A426","Open")</x:f>
        <x:v>Open</x:v>
      </x:c>
      <x:c r="B1798" s="2" t="str">
        <x:f>'Design &amp; Insights'!B426</x:f>
        <x:v>Cycle 3</x:v>
      </x:c>
      <x:c r="C1798" s="2" t="str">
        <x:f>'Design &amp; Insights'!C426</x:f>
        <x:v>Phase 3</x:v>
      </x:c>
      <x:c r="D1798" s="2" t="str">
        <x:f>'Design &amp; Insights'!D426</x:f>
        <x:v>Retail Services</x:v>
      </x:c>
      <x:c r="E1798" s="2" t="str">
        <x:v>Design &amp; Insights</x:v>
      </x:c>
      <x:c r="F1798" s="56" t="str">
        <x:f>'Design &amp; Insights'!E426</x:f>
        <x:v>DI.RS.3.4</x:v>
      </x:c>
      <x:c r="G1798" s="14" t="str">
        <x:f>'Design &amp; Insights'!F426</x:f>
        <x:v>Update Outcome portion of research plan (as needed)</x:v>
      </x:c>
      <x:c r="H1798" s="2" t="str">
        <x:f>IF('Design &amp; Insights'!G426="","",'Design &amp; Insights'!G426)</x:f>
      </x:c>
      <x:c r="I1798" s="12" t="str">
        <x:f>IF('Design &amp; Insights'!H426="","",'Design &amp; Insights'!H426)</x:f>
      </x:c>
      <x:c r="J1798" s="12" t="n">
        <x:f>IF('Design &amp; Insights'!I426="","",'Design &amp; Insights'!I426)</x:f>
        <x:v>46295</x:v>
      </x:c>
      <x:c r="K1798" s="12" t="str">
        <x:f>IF('Design &amp; Insights'!J426="","",'Design &amp; Insights'!J426)</x:f>
      </x:c>
      <x:c r="L1798" s="2" t="str">
        <x:f>IF('Design &amp; Insights'!K426="","",'Design &amp; Insights'!K426)</x:f>
      </x:c>
      <x:c r="M1798" s="2" t="n">
        <x:f>'Design &amp; Insights'!Q426</x:f>
        <x:v>1</x:v>
      </x:c>
      <x:c r="N1798" s="2" t="str">
        <x:f>'Design &amp; Insights'!L426</x:f>
        <x:v>Not started</x:v>
      </x:c>
      <x:c r="O1798" s="2" t="str">
        <x:f>'Design &amp; Insights'!N426</x:f>
        <x:v>DI.RS.3.4.2026.CY3</x:v>
      </x:c>
      <x:c r="P1798" s="2" t="n">
        <x:f>'Design &amp; Insights'!O426</x:f>
        <x:v>0</x:v>
      </x:c>
      <x:c r="Q1798" s="2" t="n">
        <x:f>SUBTOTAL(103,O1798)</x:f>
        <x:v>1</x:v>
      </x:c>
      <x:c r="R1798" s="2" t="n">
        <x:f>IF(AND(M1798=1,OR(Dashboard!$B$7="All",Dashboard!$B$7='Cycles &amp; Guide'!$C$5),OR(Dashboard!$D$7="All",Dashboard!$D$7=B1798),OR(Dashboard!$F$7="All",Dashboard!$F$7=C1798),OR(Dashboard!$H$7="All",Dashboard!$H$7=D1798),OR(Dashboard!$K$7="All",Dashboard!$K$7=E1798)),1,0)</x:f>
        <x:v>1</x:v>
      </x:c>
      <x:c r="S1798" s="2" t="n">
        <x:f>IF(R1798=1,SUM($R$10:R1798),0)</x:f>
        <x:v>1425</x:v>
      </x:c>
      <x:c r="T1798" s="2" t="str">
        <x:v>Design &amp; Insights</x:v>
      </x:c>
      <x:c r="U1798" s="2" t="n">
        <x:v>426</x:v>
      </x:c>
      <x:c r="V1798" s="2" t="n">
        <x:f>IF(AND(M1798=1,P1798=0,ISNUMBER(J1798),J1798&lt;TODAY()),1,0)</x:f>
        <x:v>0</x:v>
      </x:c>
      <x:c r="W1798" s="2" t="str">
        <x:f>'Design &amp; Insights'!M426</x:f>
        <x:v>Task</x:v>
      </x:c>
    </x:row>
    <x:row r="1799" ht="40" customHeight="1">
      <x:c r="A1799" s="3" t="str">
        <x:f>HYPERLINK("#'Design &amp; Insights'!A427","Open")</x:f>
        <x:v>Open</x:v>
      </x:c>
      <x:c r="B1799" s="2" t="str">
        <x:f>'Design &amp; Insights'!B427</x:f>
        <x:v>Cycle 3</x:v>
      </x:c>
      <x:c r="C1799" s="2" t="str">
        <x:f>'Design &amp; Insights'!C427</x:f>
        <x:v>Phase 3</x:v>
      </x:c>
      <x:c r="D1799" s="2" t="str">
        <x:f>'Design &amp; Insights'!D427</x:f>
        <x:v>Retail Services</x:v>
      </x:c>
      <x:c r="E1799" s="2" t="str">
        <x:v>Design &amp; Insights</x:v>
      </x:c>
      <x:c r="F1799" s="56" t="str">
        <x:f>'Design &amp; Insights'!E427</x:f>
        <x:v>DI.RS.3.5</x:v>
      </x:c>
      <x:c r="G1799" s="14" t="str">
        <x:f>'Design &amp; Insights'!F427</x:f>
        <x:v>Finalize presentation deck by incorporating pre-socialization feedback (as needed)</x:v>
      </x:c>
      <x:c r="H1799" s="2" t="str">
        <x:f>IF('Design &amp; Insights'!G427="","",'Design &amp; Insights'!G427)</x:f>
      </x:c>
      <x:c r="I1799" s="12" t="str">
        <x:f>IF('Design &amp; Insights'!H427="","",'Design &amp; Insights'!H427)</x:f>
      </x:c>
      <x:c r="J1799" s="12" t="n">
        <x:f>IF('Design &amp; Insights'!I427="","",'Design &amp; Insights'!I427)</x:f>
        <x:v>46295</x:v>
      </x:c>
      <x:c r="K1799" s="12" t="str">
        <x:f>IF('Design &amp; Insights'!J427="","",'Design &amp; Insights'!J427)</x:f>
      </x:c>
      <x:c r="L1799" s="2" t="str">
        <x:f>IF('Design &amp; Insights'!K427="","",'Design &amp; Insights'!K427)</x:f>
      </x:c>
      <x:c r="M1799" s="2" t="n">
        <x:f>'Design &amp; Insights'!Q427</x:f>
        <x:v>1</x:v>
      </x:c>
      <x:c r="N1799" s="2" t="str">
        <x:f>'Design &amp; Insights'!L427</x:f>
        <x:v>Not started</x:v>
      </x:c>
      <x:c r="O1799" s="2" t="str">
        <x:f>'Design &amp; Insights'!N427</x:f>
        <x:v>DI.RS.3.5.2026.CY3</x:v>
      </x:c>
      <x:c r="P1799" s="2" t="n">
        <x:f>'Design &amp; Insights'!O427</x:f>
        <x:v>0</x:v>
      </x:c>
      <x:c r="Q1799" s="2" t="n">
        <x:f>SUBTOTAL(103,O1799)</x:f>
        <x:v>1</x:v>
      </x:c>
      <x:c r="R1799" s="2" t="n">
        <x:f>IF(AND(M1799=1,OR(Dashboard!$B$7="All",Dashboard!$B$7='Cycles &amp; Guide'!$C$5),OR(Dashboard!$D$7="All",Dashboard!$D$7=B1799),OR(Dashboard!$F$7="All",Dashboard!$F$7=C1799),OR(Dashboard!$H$7="All",Dashboard!$H$7=D1799),OR(Dashboard!$K$7="All",Dashboard!$K$7=E1799)),1,0)</x:f>
        <x:v>1</x:v>
      </x:c>
      <x:c r="S1799" s="2" t="n">
        <x:f>IF(R1799=1,SUM($R$10:R1799),0)</x:f>
        <x:v>1426</x:v>
      </x:c>
      <x:c r="T1799" s="2" t="str">
        <x:v>Design &amp; Insights</x:v>
      </x:c>
      <x:c r="U1799" s="2" t="n">
        <x:v>427</x:v>
      </x:c>
      <x:c r="V1799" s="2" t="n">
        <x:f>IF(AND(M1799=1,P1799=0,ISNUMBER(J1799),J1799&lt;TODAY()),1,0)</x:f>
        <x:v>0</x:v>
      </x:c>
      <x:c r="W1799" s="2" t="str">
        <x:f>'Design &amp; Insights'!M427</x:f>
        <x:v>Task</x:v>
      </x:c>
    </x:row>
    <x:row r="1800" ht="40" customHeight="1">
      <x:c r="A1800" s="3" t="str">
        <x:f>HYPERLINK("#'Design &amp; Insights'!A428","Open")</x:f>
        <x:v>Open</x:v>
      </x:c>
      <x:c r="B1800" s="2" t="str">
        <x:f>'Design &amp; Insights'!B428</x:f>
        <x:v>Cycle 3</x:v>
      </x:c>
      <x:c r="C1800" s="2" t="str">
        <x:f>'Design &amp; Insights'!C428</x:f>
        <x:v>Phase 3</x:v>
      </x:c>
      <x:c r="D1800" s="2" t="str">
        <x:f>'Design &amp; Insights'!D428</x:f>
        <x:v>Retail Services</x:v>
      </x:c>
      <x:c r="E1800" s="2" t="str">
        <x:v>Design &amp; Insights</x:v>
      </x:c>
      <x:c r="F1800" s="56" t="str">
        <x:f>'Design &amp; Insights'!E428</x:f>
        <x:v>DI.RS.3.6</x:v>
      </x:c>
      <x:c r="G1800" s="14" t="str">
        <x:f>'Design &amp; Insights'!F428</x:f>
        <x:v>Ensure final deck is communicated to Forum attendees</x:v>
      </x:c>
      <x:c r="H1800" s="2" t="str">
        <x:f>IF('Design &amp; Insights'!G428="","",'Design &amp; Insights'!G428)</x:f>
      </x:c>
      <x:c r="I1800" s="12" t="str">
        <x:f>IF('Design &amp; Insights'!H428="","",'Design &amp; Insights'!H428)</x:f>
      </x:c>
      <x:c r="J1800" s="12" t="n">
        <x:f>IF('Design &amp; Insights'!I428="","",'Design &amp; Insights'!I428)</x:f>
        <x:v>46295</x:v>
      </x:c>
      <x:c r="K1800" s="12" t="str">
        <x:f>IF('Design &amp; Insights'!J428="","",'Design &amp; Insights'!J428)</x:f>
      </x:c>
      <x:c r="L1800" s="2" t="str">
        <x:f>IF('Design &amp; Insights'!K428="","",'Design &amp; Insights'!K428)</x:f>
      </x:c>
      <x:c r="M1800" s="2" t="n">
        <x:f>'Design &amp; Insights'!Q428</x:f>
        <x:v>1</x:v>
      </x:c>
      <x:c r="N1800" s="2" t="str">
        <x:f>'Design &amp; Insights'!L428</x:f>
        <x:v>Not started</x:v>
      </x:c>
      <x:c r="O1800" s="2" t="str">
        <x:f>'Design &amp; Insights'!N428</x:f>
        <x:v>DI.RS.3.6.2026.CY3</x:v>
      </x:c>
      <x:c r="P1800" s="2" t="n">
        <x:f>'Design &amp; Insights'!O428</x:f>
        <x:v>0</x:v>
      </x:c>
      <x:c r="Q1800" s="2" t="n">
        <x:f>SUBTOTAL(103,O1800)</x:f>
        <x:v>1</x:v>
      </x:c>
      <x:c r="R1800" s="2" t="n">
        <x:f>IF(AND(M1800=1,OR(Dashboard!$B$7="All",Dashboard!$B$7='Cycles &amp; Guide'!$C$5),OR(Dashboard!$D$7="All",Dashboard!$D$7=B1800),OR(Dashboard!$F$7="All",Dashboard!$F$7=C1800),OR(Dashboard!$H$7="All",Dashboard!$H$7=D1800),OR(Dashboard!$K$7="All",Dashboard!$K$7=E1800)),1,0)</x:f>
        <x:v>1</x:v>
      </x:c>
      <x:c r="S1800" s="2" t="n">
        <x:f>IF(R1800=1,SUM($R$10:R1800),0)</x:f>
        <x:v>1427</x:v>
      </x:c>
      <x:c r="T1800" s="2" t="str">
        <x:v>Design &amp; Insights</x:v>
      </x:c>
      <x:c r="U1800" s="2" t="n">
        <x:v>428</x:v>
      </x:c>
      <x:c r="V1800" s="2" t="n">
        <x:f>IF(AND(M1800=1,P1800=0,ISNUMBER(J1800),J1800&lt;TODAY()),1,0)</x:f>
        <x:v>0</x:v>
      </x:c>
      <x:c r="W1800" s="2" t="str">
        <x:f>'Design &amp; Insights'!M428</x:f>
        <x:v>Task</x:v>
      </x:c>
    </x:row>
    <x:row r="1801" ht="40" customHeight="1">
      <x:c r="A1801" s="3" t="str">
        <x:f>HYPERLINK("#'Design &amp; Insights'!A429","Open")</x:f>
        <x:v>Open</x:v>
      </x:c>
      <x:c r="B1801" s="2" t="str">
        <x:f>'Design &amp; Insights'!B429</x:f>
        <x:v>Cycle 3</x:v>
      </x:c>
      <x:c r="C1801" s="2" t="str">
        <x:f>'Design &amp; Insights'!C429</x:f>
        <x:v>Phase 3</x:v>
      </x:c>
      <x:c r="D1801" s="2" t="str">
        <x:f>'Design &amp; Insights'!D429</x:f>
        <x:v>Retail Services</x:v>
      </x:c>
      <x:c r="E1801" s="2" t="str">
        <x:v>Design &amp; Insights</x:v>
      </x:c>
      <x:c r="F1801" s="56" t="str">
        <x:f>'Design &amp; Insights'!E429</x:f>
        <x:v>DI.RS.3.7</x:v>
      </x:c>
      <x:c r="G1801" s="14" t="str">
        <x:f>'Design &amp; Insights'!F429</x:f>
        <x:v>Present material in RCA Cycle Forum</x:v>
      </x:c>
      <x:c r="H1801" s="2" t="str">
        <x:f>IF('Design &amp; Insights'!G429="","",'Design &amp; Insights'!G429)</x:f>
      </x:c>
      <x:c r="I1801" s="12" t="str">
        <x:f>IF('Design &amp; Insights'!H429="","",'Design &amp; Insights'!H429)</x:f>
      </x:c>
      <x:c r="J1801" s="12" t="str">
        <x:f>IF('Design &amp; Insights'!I429="","",'Design &amp; Insights'!I429)</x:f>
      </x:c>
      <x:c r="K1801" s="12" t="str">
        <x:f>IF('Design &amp; Insights'!J429="","",'Design &amp; Insights'!J429)</x:f>
      </x:c>
      <x:c r="L1801" s="2" t="str">
        <x:f>IF('Design &amp; Insights'!K429="","",'Design &amp; Insights'!K429)</x:f>
      </x:c>
      <x:c r="M1801" s="2" t="n">
        <x:f>'Design &amp; Insights'!Q429</x:f>
        <x:v>1</x:v>
      </x:c>
      <x:c r="N1801" s="2" t="str">
        <x:f>'Design &amp; Insights'!L429</x:f>
        <x:v>Not started</x:v>
      </x:c>
      <x:c r="O1801" s="2" t="str">
        <x:f>'Design &amp; Insights'!N429</x:f>
        <x:v>DI.RS.3.7.2026.CY3</x:v>
      </x:c>
      <x:c r="P1801" s="2" t="n">
        <x:f>'Design &amp; Insights'!O429</x:f>
        <x:v>0</x:v>
      </x:c>
      <x:c r="Q1801" s="2" t="n">
        <x:f>SUBTOTAL(103,O1801)</x:f>
        <x:v>1</x:v>
      </x:c>
      <x:c r="R1801" s="2" t="n">
        <x:f>IF(AND(M1801=1,OR(Dashboard!$B$7="All",Dashboard!$B$7='Cycles &amp; Guide'!$C$5),OR(Dashboard!$D$7="All",Dashboard!$D$7=B1801),OR(Dashboard!$F$7="All",Dashboard!$F$7=C1801),OR(Dashboard!$H$7="All",Dashboard!$H$7=D1801),OR(Dashboard!$K$7="All",Dashboard!$K$7=E1801)),1,0)</x:f>
        <x:v>1</x:v>
      </x:c>
      <x:c r="S1801" s="2" t="n">
        <x:f>IF(R1801=1,SUM($R$10:R1801),0)</x:f>
        <x:v>1428</x:v>
      </x:c>
      <x:c r="T1801" s="2" t="str">
        <x:v>Design &amp; Insights</x:v>
      </x:c>
      <x:c r="U1801" s="2" t="n">
        <x:v>429</x:v>
      </x:c>
      <x:c r="V1801" s="2" t="n">
        <x:f>IF(AND(M1801=1,P1801=0,ISNUMBER(J1801),J1801&lt;TODAY()),1,0)</x:f>
        <x:v>0</x:v>
      </x:c>
      <x:c r="W1801" s="2" t="str">
        <x:f>'Design &amp; Insights'!M429</x:f>
        <x:v>Task</x:v>
      </x:c>
    </x:row>
    <x:row r="1802" ht="40" customHeight="1">
      <x:c r="A1802" s="3" t="str">
        <x:f>HYPERLINK("#'Design &amp; Insights'!A430","Open")</x:f>
        <x:v>Open</x:v>
      </x:c>
      <x:c r="B1802" s="2" t="str">
        <x:f>'Design &amp; Insights'!B430</x:f>
        <x:v>Cycle 4</x:v>
      </x:c>
      <x:c r="C1802" s="2" t="str">
        <x:f>'Design &amp; Insights'!C430</x:f>
        <x:v>Phase 1</x:v>
      </x:c>
      <x:c r="D1802" s="2" t="str">
        <x:f>'Design &amp; Insights'!D430</x:f>
        <x:v>Auto</x:v>
      </x:c>
      <x:c r="E1802" s="2" t="str">
        <x:v>Design &amp; Insights</x:v>
      </x:c>
      <x:c r="F1802" s="56" t="str">
        <x:f>'Design &amp; Insights'!E430</x:f>
        <x:v>DI.AU.1.1</x:v>
      </x:c>
      <x:c r="G1802" s="14" t="str">
        <x:f>'Design &amp; Insights'!F430</x:f>
        <x:v>Receive and review potential research topics at least 2 weeks prior to Cycle start date</x:v>
      </x:c>
      <x:c r="H1802" s="2" t="str">
        <x:f>IF('Design &amp; Insights'!G430="","",'Design &amp; Insights'!G430)</x:f>
      </x:c>
      <x:c r="I1802" s="12" t="str">
        <x:f>IF('Design &amp; Insights'!H430="","",'Design &amp; Insights'!H430)</x:f>
      </x:c>
      <x:c r="J1802" s="12" t="n">
        <x:f>IF('Design &amp; Insights'!I430="","",'Design &amp; Insights'!I430)</x:f>
        <x:v>46282</x:v>
      </x:c>
      <x:c r="K1802" s="12" t="str">
        <x:f>IF('Design &amp; Insights'!J430="","",'Design &amp; Insights'!J430)</x:f>
      </x:c>
      <x:c r="L1802" s="2" t="str">
        <x:f>IF('Design &amp; Insights'!K430="","",'Design &amp; Insights'!K430)</x:f>
      </x:c>
      <x:c r="M1802" s="2" t="n">
        <x:f>'Design &amp; Insights'!Q430</x:f>
        <x:v>1</x:v>
      </x:c>
      <x:c r="N1802" s="2" t="str">
        <x:f>'Design &amp; Insights'!L430</x:f>
        <x:v>Not started</x:v>
      </x:c>
      <x:c r="O1802" s="2" t="str">
        <x:f>'Design &amp; Insights'!N430</x:f>
        <x:v>DI.AU.1.1.2026.CY4</x:v>
      </x:c>
      <x:c r="P1802" s="2" t="n">
        <x:f>'Design &amp; Insights'!O430</x:f>
        <x:v>0</x:v>
      </x:c>
      <x:c r="Q1802" s="2" t="n">
        <x:f>SUBTOTAL(103,O1802)</x:f>
        <x:v>1</x:v>
      </x:c>
      <x:c r="R1802" s="2" t="n">
        <x:f>IF(AND(M1802=1,OR(Dashboard!$B$7="All",Dashboard!$B$7='Cycles &amp; Guide'!$C$5),OR(Dashboard!$D$7="All",Dashboard!$D$7=B1802),OR(Dashboard!$F$7="All",Dashboard!$F$7=C1802),OR(Dashboard!$H$7="All",Dashboard!$H$7=D1802),OR(Dashboard!$K$7="All",Dashboard!$K$7=E1802)),1,0)</x:f>
        <x:v>1</x:v>
      </x:c>
      <x:c r="S1802" s="2" t="n">
        <x:f>IF(R1802=1,SUM($R$10:R1802),0)</x:f>
        <x:v>1429</x:v>
      </x:c>
      <x:c r="T1802" s="2" t="str">
        <x:v>Design &amp; Insights</x:v>
      </x:c>
      <x:c r="U1802" s="2" t="n">
        <x:v>430</x:v>
      </x:c>
      <x:c r="V1802" s="2" t="n">
        <x:f>IF(AND(M1802=1,P1802=0,ISNUMBER(J1802),J1802&lt;TODAY()),1,0)</x:f>
        <x:v>1</x:v>
      </x:c>
      <x:c r="W1802" s="2" t="str">
        <x:f>'Design &amp; Insights'!M430</x:f>
        <x:v>Task</x:v>
      </x:c>
    </x:row>
    <x:row r="1803" ht="40" customHeight="1">
      <x:c r="A1803" s="3" t="str">
        <x:f>HYPERLINK("#'Design &amp; Insights'!A431","Open")</x:f>
        <x:v>Open</x:v>
      </x:c>
      <x:c r="B1803" s="2" t="str">
        <x:f>'Design &amp; Insights'!B431</x:f>
        <x:v>Cycle 4</x:v>
      </x:c>
      <x:c r="C1803" s="2" t="str">
        <x:f>'Design &amp; Insights'!C431</x:f>
        <x:v>Phase 1</x:v>
      </x:c>
      <x:c r="D1803" s="2" t="str">
        <x:f>'Design &amp; Insights'!D431</x:f>
        <x:v>Auto</x:v>
      </x:c>
      <x:c r="E1803" s="2" t="str">
        <x:v>Design &amp; Insights</x:v>
      </x:c>
      <x:c r="F1803" s="56" t="str">
        <x:f>'Design &amp; Insights'!E431</x:f>
        <x:v>DI.AU.1.2</x:v>
      </x:c>
      <x:c r="G1803" s="14" t="str">
        <x:f>'Design &amp; Insights'!F431</x:f>
        <x:v>Communicate any feedback on preferences or concerns with topics identified</x:v>
      </x:c>
      <x:c r="H1803" s="2" t="str">
        <x:f>IF('Design &amp; Insights'!G431="","",'Design &amp; Insights'!G431)</x:f>
      </x:c>
      <x:c r="I1803" s="12" t="str">
        <x:f>IF('Design &amp; Insights'!H431="","",'Design &amp; Insights'!H431)</x:f>
      </x:c>
      <x:c r="J1803" s="12" t="n">
        <x:f>IF('Design &amp; Insights'!I431="","",'Design &amp; Insights'!I431)</x:f>
        <x:v>46387</x:v>
      </x:c>
      <x:c r="K1803" s="12" t="str">
        <x:f>IF('Design &amp; Insights'!J431="","",'Design &amp; Insights'!J431)</x:f>
      </x:c>
      <x:c r="L1803" s="2" t="str">
        <x:f>IF('Design &amp; Insights'!K431="","",'Design &amp; Insights'!K431)</x:f>
      </x:c>
      <x:c r="M1803" s="2" t="n">
        <x:f>'Design &amp; Insights'!Q431</x:f>
        <x:v>1</x:v>
      </x:c>
      <x:c r="N1803" s="2" t="str">
        <x:f>'Design &amp; Insights'!L431</x:f>
        <x:v>Not started</x:v>
      </x:c>
      <x:c r="O1803" s="2" t="str">
        <x:f>'Design &amp; Insights'!N431</x:f>
        <x:v>DI.AU.1.2.2026.CY4</x:v>
      </x:c>
      <x:c r="P1803" s="2" t="n">
        <x:f>'Design &amp; Insights'!O431</x:f>
        <x:v>0</x:v>
      </x:c>
      <x:c r="Q1803" s="2" t="n">
        <x:f>SUBTOTAL(103,O1803)</x:f>
        <x:v>1</x:v>
      </x:c>
      <x:c r="R1803" s="2" t="n">
        <x:f>IF(AND(M1803=1,OR(Dashboard!$B$7="All",Dashboard!$B$7='Cycles &amp; Guide'!$C$5),OR(Dashboard!$D$7="All",Dashboard!$D$7=B1803),OR(Dashboard!$F$7="All",Dashboard!$F$7=C1803),OR(Dashboard!$H$7="All",Dashboard!$H$7=D1803),OR(Dashboard!$K$7="All",Dashboard!$K$7=E1803)),1,0)</x:f>
        <x:v>1</x:v>
      </x:c>
      <x:c r="S1803" s="2" t="n">
        <x:f>IF(R1803=1,SUM($R$10:R1803),0)</x:f>
        <x:v>1430</x:v>
      </x:c>
      <x:c r="T1803" s="2" t="str">
        <x:v>Design &amp; Insights</x:v>
      </x:c>
      <x:c r="U1803" s="2" t="n">
        <x:v>431</x:v>
      </x:c>
      <x:c r="V1803" s="2" t="n">
        <x:f>IF(AND(M1803=1,P1803=0,ISNUMBER(J1803),J1803&lt;TODAY()),1,0)</x:f>
        <x:v>0</x:v>
      </x:c>
      <x:c r="W1803" s="2" t="str">
        <x:f>'Design &amp; Insights'!M431</x:f>
        <x:v>Task</x:v>
      </x:c>
    </x:row>
    <x:row r="1804" ht="40" customHeight="1">
      <x:c r="A1804" s="3" t="str">
        <x:f>HYPERLINK("#'Design &amp; Insights'!A432","Open")</x:f>
        <x:v>Open</x:v>
      </x:c>
      <x:c r="B1804" s="2" t="str">
        <x:f>'Design &amp; Insights'!B432</x:f>
        <x:v>Cycle 4</x:v>
      </x:c>
      <x:c r="C1804" s="2" t="str">
        <x:f>'Design &amp; Insights'!C432</x:f>
        <x:v>Phase 1</x:v>
      </x:c>
      <x:c r="D1804" s="2" t="str">
        <x:f>'Design &amp; Insights'!D432</x:f>
        <x:v>Auto</x:v>
      </x:c>
      <x:c r="E1804" s="2" t="str">
        <x:v>Design &amp; Insights</x:v>
      </x:c>
      <x:c r="F1804" s="56" t="str">
        <x:f>'Design &amp; Insights'!E432</x:f>
        <x:v>DI.AU.1.3</x:v>
      </x:c>
      <x:c r="G1804" s="14" t="str">
        <x:f>'Design &amp; Insights'!F432</x:f>
        <x:v>Conduct high-level preliminary review of complaints within proposed topics</x:v>
      </x:c>
      <x:c r="H1804" s="2" t="str">
        <x:f>IF('Design &amp; Insights'!G432="","",'Design &amp; Insights'!G432)</x:f>
      </x:c>
      <x:c r="I1804" s="12" t="str">
        <x:f>IF('Design &amp; Insights'!H432="","",'Design &amp; Insights'!H432)</x:f>
      </x:c>
      <x:c r="J1804" s="12" t="n">
        <x:f>IF('Design &amp; Insights'!I432="","",'Design &amp; Insights'!I432)</x:f>
        <x:v>46387</x:v>
      </x:c>
      <x:c r="K1804" s="12" t="str">
        <x:f>IF('Design &amp; Insights'!J432="","",'Design &amp; Insights'!J432)</x:f>
      </x:c>
      <x:c r="L1804" s="2" t="str">
        <x:f>IF('Design &amp; Insights'!K432="","",'Design &amp; Insights'!K432)</x:f>
      </x:c>
      <x:c r="M1804" s="2" t="n">
        <x:f>'Design &amp; Insights'!Q432</x:f>
        <x:v>1</x:v>
      </x:c>
      <x:c r="N1804" s="2" t="str">
        <x:f>'Design &amp; Insights'!L432</x:f>
        <x:v>Not started</x:v>
      </x:c>
      <x:c r="O1804" s="2" t="str">
        <x:f>'Design &amp; Insights'!N432</x:f>
        <x:v>DI.AU.1.3.2026.CY4</x:v>
      </x:c>
      <x:c r="P1804" s="2" t="n">
        <x:f>'Design &amp; Insights'!O432</x:f>
        <x:v>0</x:v>
      </x:c>
      <x:c r="Q1804" s="2" t="n">
        <x:f>SUBTOTAL(103,O1804)</x:f>
        <x:v>1</x:v>
      </x:c>
      <x:c r="R1804" s="2" t="n">
        <x:f>IF(AND(M1804=1,OR(Dashboard!$B$7="All",Dashboard!$B$7='Cycles &amp; Guide'!$C$5),OR(Dashboard!$D$7="All",Dashboard!$D$7=B1804),OR(Dashboard!$F$7="All",Dashboard!$F$7=C1804),OR(Dashboard!$H$7="All",Dashboard!$H$7=D1804),OR(Dashboard!$K$7="All",Dashboard!$K$7=E1804)),1,0)</x:f>
        <x:v>1</x:v>
      </x:c>
      <x:c r="S1804" s="2" t="n">
        <x:f>IF(R1804=1,SUM($R$10:R1804),0)</x:f>
        <x:v>1431</x:v>
      </x:c>
      <x:c r="T1804" s="2" t="str">
        <x:v>Design &amp; Insights</x:v>
      </x:c>
      <x:c r="U1804" s="2" t="n">
        <x:v>432</x:v>
      </x:c>
      <x:c r="V1804" s="2" t="n">
        <x:f>IF(AND(M1804=1,P1804=0,ISNUMBER(J1804),J1804&lt;TODAY()),1,0)</x:f>
        <x:v>0</x:v>
      </x:c>
      <x:c r="W1804" s="2" t="str">
        <x:f>'Design &amp; Insights'!M432</x:f>
        <x:v>Task</x:v>
      </x:c>
    </x:row>
    <x:row r="1805" ht="40" customHeight="1">
      <x:c r="A1805" s="3" t="str">
        <x:f>HYPERLINK("#'Design &amp; Insights'!A433","Open")</x:f>
        <x:v>Open</x:v>
      </x:c>
      <x:c r="B1805" s="2" t="str">
        <x:f>'Design &amp; Insights'!B433</x:f>
        <x:v>Cycle 4</x:v>
      </x:c>
      <x:c r="C1805" s="2" t="str">
        <x:f>'Design &amp; Insights'!C433</x:f>
        <x:v>Phase 1</x:v>
      </x:c>
      <x:c r="D1805" s="2" t="str">
        <x:f>'Design &amp; Insights'!D433</x:f>
        <x:v>Auto</x:v>
      </x:c>
      <x:c r="E1805" s="2" t="str">
        <x:v>Design &amp; Insights</x:v>
      </x:c>
      <x:c r="F1805" s="56" t="str">
        <x:f>'Design &amp; Insights'!E433</x:f>
        <x:v>DI.AU.1.4</x:v>
      </x:c>
      <x:c r="G1805" s="14" t="str">
        <x:f>'Design &amp; Insights'!F433</x:f>
        <x:v>Meet with Research to discuss which topic to select based on potential impact</x:v>
      </x:c>
      <x:c r="H1805" s="2" t="str">
        <x:f>IF('Design &amp; Insights'!G433="","",'Design &amp; Insights'!G433)</x:f>
      </x:c>
      <x:c r="I1805" s="12" t="str">
        <x:f>IF('Design &amp; Insights'!H433="","",'Design &amp; Insights'!H433)</x:f>
      </x:c>
      <x:c r="J1805" s="12" t="n">
        <x:f>IF('Design &amp; Insights'!I433="","",'Design &amp; Insights'!I433)</x:f>
        <x:v>46387</x:v>
      </x:c>
      <x:c r="K1805" s="12" t="str">
        <x:f>IF('Design &amp; Insights'!J433="","",'Design &amp; Insights'!J433)</x:f>
      </x:c>
      <x:c r="L1805" s="2" t="str">
        <x:f>IF('Design &amp; Insights'!K433="","",'Design &amp; Insights'!K433)</x:f>
      </x:c>
      <x:c r="M1805" s="2" t="n">
        <x:f>'Design &amp; Insights'!Q433</x:f>
        <x:v>1</x:v>
      </x:c>
      <x:c r="N1805" s="2" t="str">
        <x:f>'Design &amp; Insights'!L433</x:f>
        <x:v>Not started</x:v>
      </x:c>
      <x:c r="O1805" s="2" t="str">
        <x:f>'Design &amp; Insights'!N433</x:f>
        <x:v>DI.AU.1.4.2026.CY4</x:v>
      </x:c>
      <x:c r="P1805" s="2" t="n">
        <x:f>'Design &amp; Insights'!O433</x:f>
        <x:v>0</x:v>
      </x:c>
      <x:c r="Q1805" s="2" t="n">
        <x:f>SUBTOTAL(103,O1805)</x:f>
        <x:v>1</x:v>
      </x:c>
      <x:c r="R1805" s="2" t="n">
        <x:f>IF(AND(M1805=1,OR(Dashboard!$B$7="All",Dashboard!$B$7='Cycles &amp; Guide'!$C$5),OR(Dashboard!$D$7="All",Dashboard!$D$7=B1805),OR(Dashboard!$F$7="All",Dashboard!$F$7=C1805),OR(Dashboard!$H$7="All",Dashboard!$H$7=D1805),OR(Dashboard!$K$7="All",Dashboard!$K$7=E1805)),1,0)</x:f>
        <x:v>1</x:v>
      </x:c>
      <x:c r="S1805" s="2" t="n">
        <x:f>IF(R1805=1,SUM($R$10:R1805),0)</x:f>
        <x:v>1432</x:v>
      </x:c>
      <x:c r="T1805" s="2" t="str">
        <x:v>Design &amp; Insights</x:v>
      </x:c>
      <x:c r="U1805" s="2" t="n">
        <x:v>433</x:v>
      </x:c>
      <x:c r="V1805" s="2" t="n">
        <x:f>IF(AND(M1805=1,P1805=0,ISNUMBER(J1805),J1805&lt;TODAY()),1,0)</x:f>
        <x:v>0</x:v>
      </x:c>
      <x:c r="W1805" s="2" t="str">
        <x:f>'Design &amp; Insights'!M433</x:f>
        <x:v>Task</x:v>
      </x:c>
    </x:row>
    <x:row r="1806" ht="40" customHeight="1">
      <x:c r="A1806" s="3" t="str">
        <x:f>HYPERLINK("#'Design &amp; Insights'!A434","Open")</x:f>
        <x:v>Open</x:v>
      </x:c>
      <x:c r="B1806" s="2" t="str">
        <x:f>'Design &amp; Insights'!B434</x:f>
        <x:v>Cycle 4</x:v>
      </x:c>
      <x:c r="C1806" s="2" t="str">
        <x:f>'Design &amp; Insights'!C434</x:f>
        <x:v>Phase 1</x:v>
      </x:c>
      <x:c r="D1806" s="2" t="str">
        <x:f>'Design &amp; Insights'!D434</x:f>
        <x:v>Auto</x:v>
      </x:c>
      <x:c r="E1806" s="2" t="str">
        <x:v>Design &amp; Insights</x:v>
      </x:c>
      <x:c r="F1806" s="56" t="str">
        <x:f>'Design &amp; Insights'!E434</x:f>
        <x:v>DI.AU.1.5</x:v>
      </x:c>
      <x:c r="G1806" s="14" t="str">
        <x:f>'Design &amp; Insights'!F434</x:f>
        <x:v>Confirm with Research the recommended topic for approval</x:v>
      </x:c>
      <x:c r="H1806" s="2" t="str">
        <x:f>IF('Design &amp; Insights'!G434="","",'Design &amp; Insights'!G434)</x:f>
      </x:c>
      <x:c r="I1806" s="12" t="str">
        <x:f>IF('Design &amp; Insights'!H434="","",'Design &amp; Insights'!H434)</x:f>
      </x:c>
      <x:c r="J1806" s="12" t="n">
        <x:f>IF('Design &amp; Insights'!I434="","",'Design &amp; Insights'!I434)</x:f>
        <x:v>46387</x:v>
      </x:c>
      <x:c r="K1806" s="12" t="str">
        <x:f>IF('Design &amp; Insights'!J434="","",'Design &amp; Insights'!J434)</x:f>
      </x:c>
      <x:c r="L1806" s="2" t="str">
        <x:f>IF('Design &amp; Insights'!K434="","",'Design &amp; Insights'!K434)</x:f>
      </x:c>
      <x:c r="M1806" s="2" t="n">
        <x:f>'Design &amp; Insights'!Q434</x:f>
        <x:v>1</x:v>
      </x:c>
      <x:c r="N1806" s="2" t="str">
        <x:f>'Design &amp; Insights'!L434</x:f>
        <x:v>Not started</x:v>
      </x:c>
      <x:c r="O1806" s="2" t="str">
        <x:f>'Design &amp; Insights'!N434</x:f>
        <x:v>DI.AU.1.5.2026.CY4</x:v>
      </x:c>
      <x:c r="P1806" s="2" t="n">
        <x:f>'Design &amp; Insights'!O434</x:f>
        <x:v>0</x:v>
      </x:c>
      <x:c r="Q1806" s="2" t="n">
        <x:f>SUBTOTAL(103,O1806)</x:f>
        <x:v>1</x:v>
      </x:c>
      <x:c r="R1806" s="2" t="n">
        <x:f>IF(AND(M1806=1,OR(Dashboard!$B$7="All",Dashboard!$B$7='Cycles &amp; Guide'!$C$5),OR(Dashboard!$D$7="All",Dashboard!$D$7=B1806),OR(Dashboard!$F$7="All",Dashboard!$F$7=C1806),OR(Dashboard!$H$7="All",Dashboard!$H$7=D1806),OR(Dashboard!$K$7="All",Dashboard!$K$7=E1806)),1,0)</x:f>
        <x:v>1</x:v>
      </x:c>
      <x:c r="S1806" s="2" t="n">
        <x:f>IF(R1806=1,SUM($R$10:R1806),0)</x:f>
        <x:v>1433</x:v>
      </x:c>
      <x:c r="T1806" s="2" t="str">
        <x:v>Design &amp; Insights</x:v>
      </x:c>
      <x:c r="U1806" s="2" t="n">
        <x:v>434</x:v>
      </x:c>
      <x:c r="V1806" s="2" t="n">
        <x:f>IF(AND(M1806=1,P1806=0,ISNUMBER(J1806),J1806&lt;TODAY()),1,0)</x:f>
        <x:v>0</x:v>
      </x:c>
      <x:c r="W1806" s="2" t="str">
        <x:f>'Design &amp; Insights'!M434</x:f>
        <x:v>Task</x:v>
      </x:c>
    </x:row>
    <x:row r="1807" ht="40" customHeight="1">
      <x:c r="A1807" s="3" t="str">
        <x:f>HYPERLINK("#'Design &amp; Insights'!A435","Open")</x:f>
        <x:v>Open</x:v>
      </x:c>
      <x:c r="B1807" s="2" t="str">
        <x:f>'Design &amp; Insights'!B435</x:f>
        <x:v>Cycle 4</x:v>
      </x:c>
      <x:c r="C1807" s="2" t="str">
        <x:f>'Design &amp; Insights'!C435</x:f>
        <x:v>Phase 1</x:v>
      </x:c>
      <x:c r="D1807" s="2" t="str">
        <x:f>'Design &amp; Insights'!D435</x:f>
        <x:v>Auto</x:v>
      </x:c>
      <x:c r="E1807" s="2" t="str">
        <x:v>Design &amp; Insights</x:v>
      </x:c>
      <x:c r="F1807" s="56" t="str">
        <x:f>'Design &amp; Insights'!E435</x:f>
        <x:v>DI.AU.1.6</x:v>
      </x:c>
      <x:c r="G1807" s="14" t="str">
        <x:f>'Design &amp; Insights'!F435</x:f>
        <x:v>Send topic selection socialization email to all key stakeholders on the first day of the review Cycle</x:v>
      </x:c>
      <x:c r="H1807" s="2" t="str">
        <x:f>IF('Design &amp; Insights'!G435="","",'Design &amp; Insights'!G435)</x:f>
      </x:c>
      <x:c r="I1807" s="12" t="str">
        <x:f>IF('Design &amp; Insights'!H435="","",'Design &amp; Insights'!H435)</x:f>
      </x:c>
      <x:c r="J1807" s="12" t="n">
        <x:f>IF('Design &amp; Insights'!I435="","",'Design &amp; Insights'!I435)</x:f>
        <x:v>46296</x:v>
      </x:c>
      <x:c r="K1807" s="12" t="str">
        <x:f>IF('Design &amp; Insights'!J435="","",'Design &amp; Insights'!J435)</x:f>
      </x:c>
      <x:c r="L1807" s="2" t="str">
        <x:f>IF('Design &amp; Insights'!K435="","",'Design &amp; Insights'!K435)</x:f>
      </x:c>
      <x:c r="M1807" s="2" t="n">
        <x:f>'Design &amp; Insights'!Q435</x:f>
        <x:v>1</x:v>
      </x:c>
      <x:c r="N1807" s="2" t="str">
        <x:f>'Design &amp; Insights'!L435</x:f>
        <x:v>Not started</x:v>
      </x:c>
      <x:c r="O1807" s="2" t="str">
        <x:f>'Design &amp; Insights'!N435</x:f>
        <x:v>DI.AU.1.6.2026.CY4</x:v>
      </x:c>
      <x:c r="P1807" s="2" t="n">
        <x:f>'Design &amp; Insights'!O435</x:f>
        <x:v>0</x:v>
      </x:c>
      <x:c r="Q1807" s="2" t="n">
        <x:f>SUBTOTAL(103,O1807)</x:f>
        <x:v>1</x:v>
      </x:c>
      <x:c r="R1807" s="2" t="n">
        <x:f>IF(AND(M1807=1,OR(Dashboard!$B$7="All",Dashboard!$B$7='Cycles &amp; Guide'!$C$5),OR(Dashboard!$D$7="All",Dashboard!$D$7=B1807),OR(Dashboard!$F$7="All",Dashboard!$F$7=C1807),OR(Dashboard!$H$7="All",Dashboard!$H$7=D1807),OR(Dashboard!$K$7="All",Dashboard!$K$7=E1807)),1,0)</x:f>
        <x:v>1</x:v>
      </x:c>
      <x:c r="S1807" s="2" t="n">
        <x:f>IF(R1807=1,SUM($R$10:R1807),0)</x:f>
        <x:v>1434</x:v>
      </x:c>
      <x:c r="T1807" s="2" t="str">
        <x:v>Design &amp; Insights</x:v>
      </x:c>
      <x:c r="U1807" s="2" t="n">
        <x:v>435</x:v>
      </x:c>
      <x:c r="V1807" s="2" t="n">
        <x:f>IF(AND(M1807=1,P1807=0,ISNUMBER(J1807),J1807&lt;TODAY()),1,0)</x:f>
        <x:v>0</x:v>
      </x:c>
      <x:c r="W1807" s="2" t="str">
        <x:f>'Design &amp; Insights'!M435</x:f>
        <x:v>Task</x:v>
      </x:c>
    </x:row>
    <x:row r="1808" ht="40" customHeight="1">
      <x:c r="A1808" s="3" t="str">
        <x:f>HYPERLINK("#'Design &amp; Insights'!A436","Open")</x:f>
        <x:v>Open</x:v>
      </x:c>
      <x:c r="B1808" s="2" t="str">
        <x:f>'Design &amp; Insights'!B436</x:f>
        <x:v>Cycle 4</x:v>
      </x:c>
      <x:c r="C1808" s="2" t="str">
        <x:f>'Design &amp; Insights'!C436</x:f>
        <x:v>Phase 2</x:v>
      </x:c>
      <x:c r="D1808" s="2" t="str">
        <x:f>'Design &amp; Insights'!D436</x:f>
        <x:v>Auto</x:v>
      </x:c>
      <x:c r="E1808" s="2" t="str">
        <x:v>Design &amp; Insights</x:v>
      </x:c>
      <x:c r="F1808" s="56" t="str">
        <x:f>'Design &amp; Insights'!E436</x:f>
        <x:v>DI.AU.2.1</x:v>
      </x:c>
      <x:c r="G1808" s="14" t="str">
        <x:f>'Design &amp; Insights'!F436</x:f>
        <x:v>Meet regularly with Research to stay informed on progress, findings, and potential enhancement</x:v>
      </x:c>
      <x:c r="H1808" s="2" t="str">
        <x:f>IF('Design &amp; Insights'!G436="","",'Design &amp; Insights'!G436)</x:f>
      </x:c>
      <x:c r="I1808" s="12" t="str">
        <x:f>IF('Design &amp; Insights'!H436="","",'Design &amp; Insights'!H436)</x:f>
      </x:c>
      <x:c r="J1808" s="12" t="n">
        <x:f>IF('Design &amp; Insights'!I436="","",'Design &amp; Insights'!I436)</x:f>
        <x:v>46387</x:v>
      </x:c>
      <x:c r="K1808" s="12" t="str">
        <x:f>IF('Design &amp; Insights'!J436="","",'Design &amp; Insights'!J436)</x:f>
      </x:c>
      <x:c r="L1808" s="2" t="str">
        <x:f>IF('Design &amp; Insights'!K436="","",'Design &amp; Insights'!K436)</x:f>
      </x:c>
      <x:c r="M1808" s="2" t="n">
        <x:f>'Design &amp; Insights'!Q436</x:f>
        <x:v>1</x:v>
      </x:c>
      <x:c r="N1808" s="2" t="str">
        <x:f>'Design &amp; Insights'!L436</x:f>
        <x:v>Not started</x:v>
      </x:c>
      <x:c r="O1808" s="2" t="str">
        <x:f>'Design &amp; Insights'!N436</x:f>
        <x:v>DI.AU.2.1.2026.CY4</x:v>
      </x:c>
      <x:c r="P1808" s="2" t="n">
        <x:f>'Design &amp; Insights'!O436</x:f>
        <x:v>0</x:v>
      </x:c>
      <x:c r="Q1808" s="2" t="n">
        <x:f>SUBTOTAL(103,O1808)</x:f>
        <x:v>1</x:v>
      </x:c>
      <x:c r="R1808" s="2" t="n">
        <x:f>IF(AND(M1808=1,OR(Dashboard!$B$7="All",Dashboard!$B$7='Cycles &amp; Guide'!$C$5),OR(Dashboard!$D$7="All",Dashboard!$D$7=B1808),OR(Dashboard!$F$7="All",Dashboard!$F$7=C1808),OR(Dashboard!$H$7="All",Dashboard!$H$7=D1808),OR(Dashboard!$K$7="All",Dashboard!$K$7=E1808)),1,0)</x:f>
        <x:v>1</x:v>
      </x:c>
      <x:c r="S1808" s="2" t="n">
        <x:f>IF(R1808=1,SUM($R$10:R1808),0)</x:f>
        <x:v>1435</x:v>
      </x:c>
      <x:c r="T1808" s="2" t="str">
        <x:v>Design &amp; Insights</x:v>
      </x:c>
      <x:c r="U1808" s="2" t="n">
        <x:v>436</x:v>
      </x:c>
      <x:c r="V1808" s="2" t="n">
        <x:f>IF(AND(M1808=1,P1808=0,ISNUMBER(J1808),J1808&lt;TODAY()),1,0)</x:f>
        <x:v>0</x:v>
      </x:c>
      <x:c r="W1808" s="2" t="str">
        <x:f>'Design &amp; Insights'!M436</x:f>
        <x:v>Task</x:v>
      </x:c>
    </x:row>
    <x:row r="1809" ht="40" customHeight="1">
      <x:c r="A1809" s="3" t="str">
        <x:f>HYPERLINK("#'Design &amp; Insights'!A437","Open")</x:f>
        <x:v>Open</x:v>
      </x:c>
      <x:c r="B1809" s="2" t="str">
        <x:f>'Design &amp; Insights'!B437</x:f>
        <x:v>Cycle 4</x:v>
      </x:c>
      <x:c r="C1809" s="2" t="str">
        <x:f>'Design &amp; Insights'!C437</x:f>
        <x:v>Phase 2</x:v>
      </x:c>
      <x:c r="D1809" s="2" t="str">
        <x:f>'Design &amp; Insights'!D437</x:f>
        <x:v>Auto</x:v>
      </x:c>
      <x:c r="E1809" s="2" t="str">
        <x:v>Design &amp; Insights</x:v>
      </x:c>
      <x:c r="F1809" s="56" t="str">
        <x:f>'Design &amp; Insights'!E437</x:f>
        <x:v>DI.AU.2.2</x:v>
      </x:c>
      <x:c r="G1809" s="14" t="str">
        <x:f>'Design &amp; Insights'!F437</x:f>
        <x:v>Collaborate with Research on research plan specifics</x:v>
      </x:c>
      <x:c r="H1809" s="2" t="str">
        <x:f>IF('Design &amp; Insights'!G437="","",'Design &amp; Insights'!G437)</x:f>
      </x:c>
      <x:c r="I1809" s="12" t="str">
        <x:f>IF('Design &amp; Insights'!H437="","",'Design &amp; Insights'!H437)</x:f>
      </x:c>
      <x:c r="J1809" s="12" t="n">
        <x:f>IF('Design &amp; Insights'!I437="","",'Design &amp; Insights'!I437)</x:f>
        <x:v>46387</x:v>
      </x:c>
      <x:c r="K1809" s="12" t="str">
        <x:f>IF('Design &amp; Insights'!J437="","",'Design &amp; Insights'!J437)</x:f>
      </x:c>
      <x:c r="L1809" s="2" t="str">
        <x:f>IF('Design &amp; Insights'!K437="","",'Design &amp; Insights'!K437)</x:f>
      </x:c>
      <x:c r="M1809" s="2" t="n">
        <x:f>'Design &amp; Insights'!Q437</x:f>
        <x:v>1</x:v>
      </x:c>
      <x:c r="N1809" s="2" t="str">
        <x:f>'Design &amp; Insights'!L437</x:f>
        <x:v>Not started</x:v>
      </x:c>
      <x:c r="O1809" s="2" t="str">
        <x:f>'Design &amp; Insights'!N437</x:f>
        <x:v>DI.AU.2.2.2026.CY4</x:v>
      </x:c>
      <x:c r="P1809" s="2" t="n">
        <x:f>'Design &amp; Insights'!O437</x:f>
        <x:v>0</x:v>
      </x:c>
      <x:c r="Q1809" s="2" t="n">
        <x:f>SUBTOTAL(103,O1809)</x:f>
        <x:v>1</x:v>
      </x:c>
      <x:c r="R1809" s="2" t="n">
        <x:f>IF(AND(M1809=1,OR(Dashboard!$B$7="All",Dashboard!$B$7='Cycles &amp; Guide'!$C$5),OR(Dashboard!$D$7="All",Dashboard!$D$7=B1809),OR(Dashboard!$F$7="All",Dashboard!$F$7=C1809),OR(Dashboard!$H$7="All",Dashboard!$H$7=D1809),OR(Dashboard!$K$7="All",Dashboard!$K$7=E1809)),1,0)</x:f>
        <x:v>1</x:v>
      </x:c>
      <x:c r="S1809" s="2" t="n">
        <x:f>IF(R1809=1,SUM($R$10:R1809),0)</x:f>
        <x:v>1436</x:v>
      </x:c>
      <x:c r="T1809" s="2" t="str">
        <x:v>Design &amp; Insights</x:v>
      </x:c>
      <x:c r="U1809" s="2" t="n">
        <x:v>437</x:v>
      </x:c>
      <x:c r="V1809" s="2" t="n">
        <x:f>IF(AND(M1809=1,P1809=0,ISNUMBER(J1809),J1809&lt;TODAY()),1,0)</x:f>
        <x:v>0</x:v>
      </x:c>
      <x:c r="W1809" s="2" t="str">
        <x:f>'Design &amp; Insights'!M437</x:f>
        <x:v>Task</x:v>
      </x:c>
    </x:row>
    <x:row r="1810" ht="40" customHeight="1">
      <x:c r="A1810" s="3" t="str">
        <x:f>HYPERLINK("#'Design &amp; Insights'!A438","Open")</x:f>
        <x:v>Open</x:v>
      </x:c>
      <x:c r="B1810" s="2" t="str">
        <x:f>'Design &amp; Insights'!B438</x:f>
        <x:v>Cycle 4</x:v>
      </x:c>
      <x:c r="C1810" s="2" t="str">
        <x:f>'Design &amp; Insights'!C438</x:f>
        <x:v>Phase 2</x:v>
      </x:c>
      <x:c r="D1810" s="2" t="str">
        <x:f>'Design &amp; Insights'!D438</x:f>
        <x:v>Auto</x:v>
      </x:c>
      <x:c r="E1810" s="2" t="str">
        <x:v>Design &amp; Insights</x:v>
      </x:c>
      <x:c r="F1810" s="56" t="str">
        <x:f>'Design &amp; Insights'!E438</x:f>
        <x:v>DI.AU.2.3</x:v>
      </x:c>
      <x:c r="G1810" s="14" t="str">
        <x:f>'Design &amp; Insights'!F438</x:f>
        <x:v>Participate in SME insight meetings to gain perspective and appetite on potential enhancements</x:v>
      </x:c>
      <x:c r="H1810" s="2" t="str">
        <x:f>IF('Design &amp; Insights'!G438="","",'Design &amp; Insights'!G438)</x:f>
      </x:c>
      <x:c r="I1810" s="12" t="str">
        <x:f>IF('Design &amp; Insights'!H438="","",'Design &amp; Insights'!H438)</x:f>
      </x:c>
      <x:c r="J1810" s="12" t="n">
        <x:f>IF('Design &amp; Insights'!I438="","",'Design &amp; Insights'!I438)</x:f>
        <x:v>46387</x:v>
      </x:c>
      <x:c r="K1810" s="12" t="str">
        <x:f>IF('Design &amp; Insights'!J438="","",'Design &amp; Insights'!J438)</x:f>
      </x:c>
      <x:c r="L1810" s="2" t="str">
        <x:f>IF('Design &amp; Insights'!K438="","",'Design &amp; Insights'!K438)</x:f>
      </x:c>
      <x:c r="M1810" s="2" t="n">
        <x:f>'Design &amp; Insights'!Q438</x:f>
        <x:v>1</x:v>
      </x:c>
      <x:c r="N1810" s="2" t="str">
        <x:f>'Design &amp; Insights'!L438</x:f>
        <x:v>Not started</x:v>
      </x:c>
      <x:c r="O1810" s="2" t="str">
        <x:f>'Design &amp; Insights'!N438</x:f>
        <x:v>DI.AU.2.3.2026.CY4</x:v>
      </x:c>
      <x:c r="P1810" s="2" t="n">
        <x:f>'Design &amp; Insights'!O438</x:f>
        <x:v>0</x:v>
      </x:c>
      <x:c r="Q1810" s="2" t="n">
        <x:f>SUBTOTAL(103,O1810)</x:f>
        <x:v>1</x:v>
      </x:c>
      <x:c r="R1810" s="2" t="n">
        <x:f>IF(AND(M1810=1,OR(Dashboard!$B$7="All",Dashboard!$B$7='Cycles &amp; Guide'!$C$5),OR(Dashboard!$D$7="All",Dashboard!$D$7=B1810),OR(Dashboard!$F$7="All",Dashboard!$F$7=C1810),OR(Dashboard!$H$7="All",Dashboard!$H$7=D1810),OR(Dashboard!$K$7="All",Dashboard!$K$7=E1810)),1,0)</x:f>
        <x:v>1</x:v>
      </x:c>
      <x:c r="S1810" s="2" t="n">
        <x:f>IF(R1810=1,SUM($R$10:R1810),0)</x:f>
        <x:v>1437</x:v>
      </x:c>
      <x:c r="T1810" s="2" t="str">
        <x:v>Design &amp; Insights</x:v>
      </x:c>
      <x:c r="U1810" s="2" t="n">
        <x:v>438</x:v>
      </x:c>
      <x:c r="V1810" s="2" t="n">
        <x:f>IF(AND(M1810=1,P1810=0,ISNUMBER(J1810),J1810&lt;TODAY()),1,0)</x:f>
        <x:v>0</x:v>
      </x:c>
      <x:c r="W1810" s="2" t="str">
        <x:f>'Design &amp; Insights'!M438</x:f>
        <x:v>Task</x:v>
      </x:c>
    </x:row>
    <x:row r="1811" ht="40" customHeight="1">
      <x:c r="A1811" s="3" t="str">
        <x:f>HYPERLINK("#'Design &amp; Insights'!A439","Open")</x:f>
        <x:v>Open</x:v>
      </x:c>
      <x:c r="B1811" s="2" t="str">
        <x:f>'Design &amp; Insights'!B439</x:f>
        <x:v>Cycle 4</x:v>
      </x:c>
      <x:c r="C1811" s="2" t="str">
        <x:f>'Design &amp; Insights'!C439</x:f>
        <x:v>Phase 2</x:v>
      </x:c>
      <x:c r="D1811" s="2" t="str">
        <x:f>'Design &amp; Insights'!D439</x:f>
        <x:v>Auto</x:v>
      </x:c>
      <x:c r="E1811" s="2" t="str">
        <x:v>Design &amp; Insights</x:v>
      </x:c>
      <x:c r="F1811" s="56" t="str">
        <x:f>'Design &amp; Insights'!E439</x:f>
        <x:v>DI.AU.2.4</x:v>
      </x:c>
      <x:c r="G1811" s="14" t="str">
        <x:f>'Design &amp; Insights'!F439</x:f>
        <x:v>Begin development of presentation materials as Research is being completed</x:v>
      </x:c>
      <x:c r="H1811" s="2" t="str">
        <x:f>IF('Design &amp; Insights'!G439="","",'Design &amp; Insights'!G439)</x:f>
      </x:c>
      <x:c r="I1811" s="12" t="str">
        <x:f>IF('Design &amp; Insights'!H439="","",'Design &amp; Insights'!H439)</x:f>
      </x:c>
      <x:c r="J1811" s="12" t="n">
        <x:f>IF('Design &amp; Insights'!I439="","",'Design &amp; Insights'!I439)</x:f>
        <x:v>46387</x:v>
      </x:c>
      <x:c r="K1811" s="12" t="str">
        <x:f>IF('Design &amp; Insights'!J439="","",'Design &amp; Insights'!J439)</x:f>
      </x:c>
      <x:c r="L1811" s="2" t="str">
        <x:f>IF('Design &amp; Insights'!K439="","",'Design &amp; Insights'!K439)</x:f>
      </x:c>
      <x:c r="M1811" s="2" t="n">
        <x:f>'Design &amp; Insights'!Q439</x:f>
        <x:v>1</x:v>
      </x:c>
      <x:c r="N1811" s="2" t="str">
        <x:f>'Design &amp; Insights'!L439</x:f>
        <x:v>Not started</x:v>
      </x:c>
      <x:c r="O1811" s="2" t="str">
        <x:f>'Design &amp; Insights'!N439</x:f>
        <x:v>DI.AU.2.4.2026.CY4</x:v>
      </x:c>
      <x:c r="P1811" s="2" t="n">
        <x:f>'Design &amp; Insights'!O439</x:f>
        <x:v>0</x:v>
      </x:c>
      <x:c r="Q1811" s="2" t="n">
        <x:f>SUBTOTAL(103,O1811)</x:f>
        <x:v>1</x:v>
      </x:c>
      <x:c r="R1811" s="2" t="n">
        <x:f>IF(AND(M1811=1,OR(Dashboard!$B$7="All",Dashboard!$B$7='Cycles &amp; Guide'!$C$5),OR(Dashboard!$D$7="All",Dashboard!$D$7=B1811),OR(Dashboard!$F$7="All",Dashboard!$F$7=C1811),OR(Dashboard!$H$7="All",Dashboard!$H$7=D1811),OR(Dashboard!$K$7="All",Dashboard!$K$7=E1811)),1,0)</x:f>
        <x:v>1</x:v>
      </x:c>
      <x:c r="S1811" s="2" t="n">
        <x:f>IF(R1811=1,SUM($R$10:R1811),0)</x:f>
        <x:v>1438</x:v>
      </x:c>
      <x:c r="T1811" s="2" t="str">
        <x:v>Design &amp; Insights</x:v>
      </x:c>
      <x:c r="U1811" s="2" t="n">
        <x:v>439</x:v>
      </x:c>
      <x:c r="V1811" s="2" t="n">
        <x:f>IF(AND(M1811=1,P1811=0,ISNUMBER(J1811),J1811&lt;TODAY()),1,0)</x:f>
        <x:v>0</x:v>
      </x:c>
      <x:c r="W1811" s="2" t="str">
        <x:f>'Design &amp; Insights'!M439</x:f>
        <x:v>Task</x:v>
      </x:c>
    </x:row>
    <x:row r="1812" ht="40" customHeight="1">
      <x:c r="A1812" s="3" t="str">
        <x:f>HYPERLINK("#'Design &amp; Insights'!A440","Open")</x:f>
        <x:v>Open</x:v>
      </x:c>
      <x:c r="B1812" s="2" t="str">
        <x:f>'Design &amp; Insights'!B440</x:f>
        <x:v>Cycle 4</x:v>
      </x:c>
      <x:c r="C1812" s="2" t="str">
        <x:f>'Design &amp; Insights'!C440</x:f>
        <x:v>Phase 2</x:v>
      </x:c>
      <x:c r="D1812" s="2" t="str">
        <x:f>'Design &amp; Insights'!D440</x:f>
        <x:v>Auto</x:v>
      </x:c>
      <x:c r="E1812" s="2" t="str">
        <x:v>Design &amp; Insights</x:v>
      </x:c>
      <x:c r="F1812" s="56" t="str">
        <x:f>'Design &amp; Insights'!E440</x:f>
        <x:v>DI.AU.2.5</x:v>
      </x:c>
      <x:c r="G1812" s="14" t="str">
        <x:f>'Design &amp; Insights'!F440</x:f>
        <x:v>Draft initial enhancement recommendations (as applicable)</x:v>
      </x:c>
      <x:c r="H1812" s="2" t="str">
        <x:f>IF('Design &amp; Insights'!G440="","",'Design &amp; Insights'!G440)</x:f>
      </x:c>
      <x:c r="I1812" s="12" t="str">
        <x:f>IF('Design &amp; Insights'!H440="","",'Design &amp; Insights'!H440)</x:f>
      </x:c>
      <x:c r="J1812" s="12" t="n">
        <x:f>IF('Design &amp; Insights'!I440="","",'Design &amp; Insights'!I440)</x:f>
        <x:v>46387</x:v>
      </x:c>
      <x:c r="K1812" s="12" t="str">
        <x:f>IF('Design &amp; Insights'!J440="","",'Design &amp; Insights'!J440)</x:f>
      </x:c>
      <x:c r="L1812" s="2" t="str">
        <x:f>IF('Design &amp; Insights'!K440="","",'Design &amp; Insights'!K440)</x:f>
      </x:c>
      <x:c r="M1812" s="2" t="n">
        <x:f>'Design &amp; Insights'!Q440</x:f>
        <x:v>1</x:v>
      </x:c>
      <x:c r="N1812" s="2" t="str">
        <x:f>'Design &amp; Insights'!L440</x:f>
        <x:v>Not started</x:v>
      </x:c>
      <x:c r="O1812" s="2" t="str">
        <x:f>'Design &amp; Insights'!N440</x:f>
        <x:v>DI.AU.2.5.2026.CY4</x:v>
      </x:c>
      <x:c r="P1812" s="2" t="n">
        <x:f>'Design &amp; Insights'!O440</x:f>
        <x:v>0</x:v>
      </x:c>
      <x:c r="Q1812" s="2" t="n">
        <x:f>SUBTOTAL(103,O1812)</x:f>
        <x:v>1</x:v>
      </x:c>
      <x:c r="R1812" s="2" t="n">
        <x:f>IF(AND(M1812=1,OR(Dashboard!$B$7="All",Dashboard!$B$7='Cycles &amp; Guide'!$C$5),OR(Dashboard!$D$7="All",Dashboard!$D$7=B1812),OR(Dashboard!$F$7="All",Dashboard!$F$7=C1812),OR(Dashboard!$H$7="All",Dashboard!$H$7=D1812),OR(Dashboard!$K$7="All",Dashboard!$K$7=E1812)),1,0)</x:f>
        <x:v>1</x:v>
      </x:c>
      <x:c r="S1812" s="2" t="n">
        <x:f>IF(R1812=1,SUM($R$10:R1812),0)</x:f>
        <x:v>1439</x:v>
      </x:c>
      <x:c r="T1812" s="2" t="str">
        <x:v>Design &amp; Insights</x:v>
      </x:c>
      <x:c r="U1812" s="2" t="n">
        <x:v>440</x:v>
      </x:c>
      <x:c r="V1812" s="2" t="n">
        <x:f>IF(AND(M1812=1,P1812=0,ISNUMBER(J1812),J1812&lt;TODAY()),1,0)</x:f>
        <x:v>0</x:v>
      </x:c>
      <x:c r="W1812" s="2" t="str">
        <x:f>'Design &amp; Insights'!M440</x:f>
        <x:v>Task</x:v>
      </x:c>
    </x:row>
    <x:row r="1813" ht="40" customHeight="1">
      <x:c r="A1813" s="3" t="str">
        <x:f>HYPERLINK("#'Design &amp; Insights'!A441","Open")</x:f>
        <x:v>Open</x:v>
      </x:c>
      <x:c r="B1813" s="2" t="str">
        <x:f>'Design &amp; Insights'!B441</x:f>
        <x:v>Cycle 4</x:v>
      </x:c>
      <x:c r="C1813" s="2" t="str">
        <x:f>'Design &amp; Insights'!C441</x:f>
        <x:v>Phase 2</x:v>
      </x:c>
      <x:c r="D1813" s="2" t="str">
        <x:f>'Design &amp; Insights'!D441</x:f>
        <x:v>Auto</x:v>
      </x:c>
      <x:c r="E1813" s="2" t="str">
        <x:v>Design &amp; Insights</x:v>
      </x:c>
      <x:c r="F1813" s="56" t="str">
        <x:f>'Design &amp; Insights'!E441</x:f>
        <x:v>DI.AU.2.6</x:v>
      </x:c>
      <x:c r="G1813" s="14" t="str">
        <x:f>'Design &amp; Insights'!F441</x:f>
        <x:v>Finalize presentation deck draft at conclusion of Research phase</x:v>
      </x:c>
      <x:c r="H1813" s="2" t="str">
        <x:f>IF('Design &amp; Insights'!G441="","",'Design &amp; Insights'!G441)</x:f>
      </x:c>
      <x:c r="I1813" s="12" t="str">
        <x:f>IF('Design &amp; Insights'!H441="","",'Design &amp; Insights'!H441)</x:f>
      </x:c>
      <x:c r="J1813" s="12" t="n">
        <x:f>IF('Design &amp; Insights'!I441="","",'Design &amp; Insights'!I441)</x:f>
        <x:v>46387</x:v>
      </x:c>
      <x:c r="K1813" s="12" t="str">
        <x:f>IF('Design &amp; Insights'!J441="","",'Design &amp; Insights'!J441)</x:f>
      </x:c>
      <x:c r="L1813" s="2" t="str">
        <x:f>IF('Design &amp; Insights'!K441="","",'Design &amp; Insights'!K441)</x:f>
      </x:c>
      <x:c r="M1813" s="2" t="n">
        <x:f>'Design &amp; Insights'!Q441</x:f>
        <x:v>1</x:v>
      </x:c>
      <x:c r="N1813" s="2" t="str">
        <x:f>'Design &amp; Insights'!L441</x:f>
        <x:v>Not started</x:v>
      </x:c>
      <x:c r="O1813" s="2" t="str">
        <x:f>'Design &amp; Insights'!N441</x:f>
        <x:v>DI.AU.2.6.2026.CY4</x:v>
      </x:c>
      <x:c r="P1813" s="2" t="n">
        <x:f>'Design &amp; Insights'!O441</x:f>
        <x:v>0</x:v>
      </x:c>
      <x:c r="Q1813" s="2" t="n">
        <x:f>SUBTOTAL(103,O1813)</x:f>
        <x:v>1</x:v>
      </x:c>
      <x:c r="R1813" s="2" t="n">
        <x:f>IF(AND(M1813=1,OR(Dashboard!$B$7="All",Dashboard!$B$7='Cycles &amp; Guide'!$C$5),OR(Dashboard!$D$7="All",Dashboard!$D$7=B1813),OR(Dashboard!$F$7="All",Dashboard!$F$7=C1813),OR(Dashboard!$H$7="All",Dashboard!$H$7=D1813),OR(Dashboard!$K$7="All",Dashboard!$K$7=E1813)),1,0)</x:f>
        <x:v>1</x:v>
      </x:c>
      <x:c r="S1813" s="2" t="n">
        <x:f>IF(R1813=1,SUM($R$10:R1813),0)</x:f>
        <x:v>1440</x:v>
      </x:c>
      <x:c r="T1813" s="2" t="str">
        <x:v>Design &amp; Insights</x:v>
      </x:c>
      <x:c r="U1813" s="2" t="n">
        <x:v>441</x:v>
      </x:c>
      <x:c r="V1813" s="2" t="n">
        <x:f>IF(AND(M1813=1,P1813=0,ISNUMBER(J1813),J1813&lt;TODAY()),1,0)</x:f>
        <x:v>0</x:v>
      </x:c>
      <x:c r="W1813" s="2" t="str">
        <x:f>'Design &amp; Insights'!M441</x:f>
        <x:v>Task</x:v>
      </x:c>
    </x:row>
    <x:row r="1814" ht="40" customHeight="1">
      <x:c r="A1814" s="3" t="str">
        <x:f>HYPERLINK("#'Design &amp; Insights'!A442","Open")</x:f>
        <x:v>Open</x:v>
      </x:c>
      <x:c r="B1814" s="2" t="str">
        <x:f>'Design &amp; Insights'!B442</x:f>
        <x:v>Cycle 4</x:v>
      </x:c>
      <x:c r="C1814" s="2" t="str">
        <x:f>'Design &amp; Insights'!C442</x:f>
        <x:v>Phase 2</x:v>
      </x:c>
      <x:c r="D1814" s="2" t="str">
        <x:f>'Design &amp; Insights'!D442</x:f>
        <x:v>Auto</x:v>
      </x:c>
      <x:c r="E1814" s="2" t="str">
        <x:v>Design &amp; Insights</x:v>
      </x:c>
      <x:c r="F1814" s="56" t="str">
        <x:f>'Design &amp; Insights'!E442</x:f>
        <x:v>DI.AU.2.7</x:v>
      </x:c>
      <x:c r="G1814" s="14" t="str">
        <x:f>'Design &amp; Insights'!F442</x:f>
        <x:v>Update Outcome portion of research plan with current enhancement verbiage (as needed)</x:v>
      </x:c>
      <x:c r="H1814" s="2" t="str">
        <x:f>IF('Design &amp; Insights'!G442="","",'Design &amp; Insights'!G442)</x:f>
      </x:c>
      <x:c r="I1814" s="12" t="str">
        <x:f>IF('Design &amp; Insights'!H442="","",'Design &amp; Insights'!H442)</x:f>
      </x:c>
      <x:c r="J1814" s="12" t="n">
        <x:f>IF('Design &amp; Insights'!I442="","",'Design &amp; Insights'!I442)</x:f>
        <x:v>46387</x:v>
      </x:c>
      <x:c r="K1814" s="12" t="str">
        <x:f>IF('Design &amp; Insights'!J442="","",'Design &amp; Insights'!J442)</x:f>
      </x:c>
      <x:c r="L1814" s="2" t="str">
        <x:f>IF('Design &amp; Insights'!K442="","",'Design &amp; Insights'!K442)</x:f>
      </x:c>
      <x:c r="M1814" s="2" t="n">
        <x:f>'Design &amp; Insights'!Q442</x:f>
        <x:v>1</x:v>
      </x:c>
      <x:c r="N1814" s="2" t="str">
        <x:f>'Design &amp; Insights'!L442</x:f>
        <x:v>Not started</x:v>
      </x:c>
      <x:c r="O1814" s="2" t="str">
        <x:f>'Design &amp; Insights'!N442</x:f>
        <x:v>DI.AU.2.7.2026.CY4</x:v>
      </x:c>
      <x:c r="P1814" s="2" t="n">
        <x:f>'Design &amp; Insights'!O442</x:f>
        <x:v>0</x:v>
      </x:c>
      <x:c r="Q1814" s="2" t="n">
        <x:f>SUBTOTAL(103,O1814)</x:f>
        <x:v>1</x:v>
      </x:c>
      <x:c r="R1814" s="2" t="n">
        <x:f>IF(AND(M1814=1,OR(Dashboard!$B$7="All",Dashboard!$B$7='Cycles &amp; Guide'!$C$5),OR(Dashboard!$D$7="All",Dashboard!$D$7=B1814),OR(Dashboard!$F$7="All",Dashboard!$F$7=C1814),OR(Dashboard!$H$7="All",Dashboard!$H$7=D1814),OR(Dashboard!$K$7="All",Dashboard!$K$7=E1814)),1,0)</x:f>
        <x:v>1</x:v>
      </x:c>
      <x:c r="S1814" s="2" t="n">
        <x:f>IF(R1814=1,SUM($R$10:R1814),0)</x:f>
        <x:v>1441</x:v>
      </x:c>
      <x:c r="T1814" s="2" t="str">
        <x:v>Design &amp; Insights</x:v>
      </x:c>
      <x:c r="U1814" s="2" t="n">
        <x:v>442</x:v>
      </x:c>
      <x:c r="V1814" s="2" t="n">
        <x:f>IF(AND(M1814=1,P1814=0,ISNUMBER(J1814),J1814&lt;TODAY()),1,0)</x:f>
        <x:v>0</x:v>
      </x:c>
      <x:c r="W1814" s="2" t="str">
        <x:f>'Design &amp; Insights'!M442</x:f>
        <x:v>Task</x:v>
      </x:c>
    </x:row>
    <x:row r="1815" ht="40" customHeight="1">
      <x:c r="A1815" s="3" t="str">
        <x:f>HYPERLINK("#'Design &amp; Insights'!A443","Open")</x:f>
        <x:v>Open</x:v>
      </x:c>
      <x:c r="B1815" s="2" t="str">
        <x:f>'Design &amp; Insights'!B443</x:f>
        <x:v>Cycle 4</x:v>
      </x:c>
      <x:c r="C1815" s="2" t="str">
        <x:f>'Design &amp; Insights'!C443</x:f>
        <x:v>Phase 3</x:v>
      </x:c>
      <x:c r="D1815" s="2" t="str">
        <x:f>'Design &amp; Insights'!D443</x:f>
        <x:v>Auto</x:v>
      </x:c>
      <x:c r="E1815" s="2" t="str">
        <x:v>Design &amp; Insights</x:v>
      </x:c>
      <x:c r="F1815" s="56" t="str">
        <x:f>'Design &amp; Insights'!E443</x:f>
        <x:v>DI.AU.3.1</x:v>
      </x:c>
      <x:c r="G1815" s="14" t="str">
        <x:f>'Design &amp; Insights'!F443</x:f>
        <x:v>Confirm list of required &amp; optional attendees for pre-socialization meeting</x:v>
      </x:c>
      <x:c r="H1815" s="2" t="str">
        <x:f>IF('Design &amp; Insights'!G443="","",'Design &amp; Insights'!G443)</x:f>
      </x:c>
      <x:c r="I1815" s="12" t="str">
        <x:f>IF('Design &amp; Insights'!H443="","",'Design &amp; Insights'!H443)</x:f>
      </x:c>
      <x:c r="J1815" s="12" t="n">
        <x:f>IF('Design &amp; Insights'!I443="","",'Design &amp; Insights'!I443)</x:f>
        <x:v>46387</x:v>
      </x:c>
      <x:c r="K1815" s="12" t="str">
        <x:f>IF('Design &amp; Insights'!J443="","",'Design &amp; Insights'!J443)</x:f>
      </x:c>
      <x:c r="L1815" s="2" t="str">
        <x:f>IF('Design &amp; Insights'!K443="","",'Design &amp; Insights'!K443)</x:f>
      </x:c>
      <x:c r="M1815" s="2" t="n">
        <x:f>'Design &amp; Insights'!Q443</x:f>
        <x:v>1</x:v>
      </x:c>
      <x:c r="N1815" s="2" t="str">
        <x:f>'Design &amp; Insights'!L443</x:f>
        <x:v>Not started</x:v>
      </x:c>
      <x:c r="O1815" s="2" t="str">
        <x:f>'Design &amp; Insights'!N443</x:f>
        <x:v>DI.AU.3.1.2026.CY4</x:v>
      </x:c>
      <x:c r="P1815" s="2" t="n">
        <x:f>'Design &amp; Insights'!O443</x:f>
        <x:v>0</x:v>
      </x:c>
      <x:c r="Q1815" s="2" t="n">
        <x:f>SUBTOTAL(103,O1815)</x:f>
        <x:v>1</x:v>
      </x:c>
      <x:c r="R1815" s="2" t="n">
        <x:f>IF(AND(M1815=1,OR(Dashboard!$B$7="All",Dashboard!$B$7='Cycles &amp; Guide'!$C$5),OR(Dashboard!$D$7="All",Dashboard!$D$7=B1815),OR(Dashboard!$F$7="All",Dashboard!$F$7=C1815),OR(Dashboard!$H$7="All",Dashboard!$H$7=D1815),OR(Dashboard!$K$7="All",Dashboard!$K$7=E1815)),1,0)</x:f>
        <x:v>1</x:v>
      </x:c>
      <x:c r="S1815" s="2" t="n">
        <x:f>IF(R1815=1,SUM($R$10:R1815),0)</x:f>
        <x:v>1442</x:v>
      </x:c>
      <x:c r="T1815" s="2" t="str">
        <x:v>Design &amp; Insights</x:v>
      </x:c>
      <x:c r="U1815" s="2" t="n">
        <x:v>443</x:v>
      </x:c>
      <x:c r="V1815" s="2" t="n">
        <x:f>IF(AND(M1815=1,P1815=0,ISNUMBER(J1815),J1815&lt;TODAY()),1,0)</x:f>
        <x:v>0</x:v>
      </x:c>
      <x:c r="W1815" s="2" t="str">
        <x:f>'Design &amp; Insights'!M443</x:f>
        <x:v>Task</x:v>
      </x:c>
    </x:row>
    <x:row r="1816" ht="40" customHeight="1">
      <x:c r="A1816" s="3" t="str">
        <x:f>HYPERLINK("#'Design &amp; Insights'!A444","Open")</x:f>
        <x:v>Open</x:v>
      </x:c>
      <x:c r="B1816" s="2" t="str">
        <x:f>'Design &amp; Insights'!B444</x:f>
        <x:v>Cycle 4</x:v>
      </x:c>
      <x:c r="C1816" s="2" t="str">
        <x:f>'Design &amp; Insights'!C444</x:f>
        <x:v>Phase 3</x:v>
      </x:c>
      <x:c r="D1816" s="2" t="str">
        <x:f>'Design &amp; Insights'!D444</x:f>
        <x:v>Auto</x:v>
      </x:c>
      <x:c r="E1816" s="2" t="str">
        <x:v>Design &amp; Insights</x:v>
      </x:c>
      <x:c r="F1816" s="56" t="str">
        <x:f>'Design &amp; Insights'!E444</x:f>
        <x:v>DI.AU.3.2</x:v>
      </x:c>
      <x:c r="G1816" s="14" t="str">
        <x:f>'Design &amp; Insights'!F444</x:f>
        <x:v>Schedule pre-socialization meeting 1 week prior to RCA Forum</x:v>
      </x:c>
      <x:c r="H1816" s="2" t="str">
        <x:f>IF('Design &amp; Insights'!G444="","",'Design &amp; Insights'!G444)</x:f>
      </x:c>
      <x:c r="I1816" s="12" t="str">
        <x:f>IF('Design &amp; Insights'!H444="","",'Design &amp; Insights'!H444)</x:f>
      </x:c>
      <x:c r="J1816" s="12" t="str">
        <x:f>IF('Design &amp; Insights'!I444="","",'Design &amp; Insights'!I444)</x:f>
      </x:c>
      <x:c r="K1816" s="12" t="str">
        <x:f>IF('Design &amp; Insights'!J444="","",'Design &amp; Insights'!J444)</x:f>
      </x:c>
      <x:c r="L1816" s="2" t="str">
        <x:f>IF('Design &amp; Insights'!K444="","",'Design &amp; Insights'!K444)</x:f>
      </x:c>
      <x:c r="M1816" s="2" t="n">
        <x:f>'Design &amp; Insights'!Q444</x:f>
        <x:v>1</x:v>
      </x:c>
      <x:c r="N1816" s="2" t="str">
        <x:f>'Design &amp; Insights'!L444</x:f>
        <x:v>Not started</x:v>
      </x:c>
      <x:c r="O1816" s="2" t="str">
        <x:f>'Design &amp; Insights'!N444</x:f>
        <x:v>DI.AU.3.2.2026.CY4</x:v>
      </x:c>
      <x:c r="P1816" s="2" t="n">
        <x:f>'Design &amp; Insights'!O444</x:f>
        <x:v>0</x:v>
      </x:c>
      <x:c r="Q1816" s="2" t="n">
        <x:f>SUBTOTAL(103,O1816)</x:f>
        <x:v>1</x:v>
      </x:c>
      <x:c r="R1816" s="2" t="n">
        <x:f>IF(AND(M1816=1,OR(Dashboard!$B$7="All",Dashboard!$B$7='Cycles &amp; Guide'!$C$5),OR(Dashboard!$D$7="All",Dashboard!$D$7=B1816),OR(Dashboard!$F$7="All",Dashboard!$F$7=C1816),OR(Dashboard!$H$7="All",Dashboard!$H$7=D1816),OR(Dashboard!$K$7="All",Dashboard!$K$7=E1816)),1,0)</x:f>
        <x:v>1</x:v>
      </x:c>
      <x:c r="S1816" s="2" t="n">
        <x:f>IF(R1816=1,SUM($R$10:R1816),0)</x:f>
        <x:v>1443</x:v>
      </x:c>
      <x:c r="T1816" s="2" t="str">
        <x:v>Design &amp; Insights</x:v>
      </x:c>
      <x:c r="U1816" s="2" t="n">
        <x:v>444</x:v>
      </x:c>
      <x:c r="V1816" s="2" t="n">
        <x:f>IF(AND(M1816=1,P1816=0,ISNUMBER(J1816),J1816&lt;TODAY()),1,0)</x:f>
        <x:v>0</x:v>
      </x:c>
      <x:c r="W1816" s="2" t="str">
        <x:f>'Design &amp; Insights'!M444</x:f>
        <x:v>Task</x:v>
      </x:c>
    </x:row>
    <x:row r="1817" ht="40" customHeight="1">
      <x:c r="A1817" s="3" t="str">
        <x:f>HYPERLINK("#'Design &amp; Insights'!A445","Open")</x:f>
        <x:v>Open</x:v>
      </x:c>
      <x:c r="B1817" s="2" t="str">
        <x:f>'Design &amp; Insights'!B445</x:f>
        <x:v>Cycle 4</x:v>
      </x:c>
      <x:c r="C1817" s="2" t="str">
        <x:f>'Design &amp; Insights'!C445</x:f>
        <x:v>Phase 3</x:v>
      </x:c>
      <x:c r="D1817" s="2" t="str">
        <x:f>'Design &amp; Insights'!D445</x:f>
        <x:v>Auto</x:v>
      </x:c>
      <x:c r="E1817" s="2" t="str">
        <x:v>Design &amp; Insights</x:v>
      </x:c>
      <x:c r="F1817" s="56" t="str">
        <x:f>'Design &amp; Insights'!E445</x:f>
        <x:v>DI.AU.3.3</x:v>
      </x:c>
      <x:c r="G1817" s="14" t="str">
        <x:f>'Design &amp; Insights'!F445</x:f>
        <x:v>Present findings, conclusions, and recommendation to SMEs</x:v>
      </x:c>
      <x:c r="H1817" s="2" t="str">
        <x:f>IF('Design &amp; Insights'!G445="","",'Design &amp; Insights'!G445)</x:f>
      </x:c>
      <x:c r="I1817" s="12" t="str">
        <x:f>IF('Design &amp; Insights'!H445="","",'Design &amp; Insights'!H445)</x:f>
      </x:c>
      <x:c r="J1817" s="12" t="n">
        <x:f>IF('Design &amp; Insights'!I445="","",'Design &amp; Insights'!I445)</x:f>
        <x:v>46387</x:v>
      </x:c>
      <x:c r="K1817" s="12" t="str">
        <x:f>IF('Design &amp; Insights'!J445="","",'Design &amp; Insights'!J445)</x:f>
      </x:c>
      <x:c r="L1817" s="2" t="str">
        <x:f>IF('Design &amp; Insights'!K445="","",'Design &amp; Insights'!K445)</x:f>
      </x:c>
      <x:c r="M1817" s="2" t="n">
        <x:f>'Design &amp; Insights'!Q445</x:f>
        <x:v>1</x:v>
      </x:c>
      <x:c r="N1817" s="2" t="str">
        <x:f>'Design &amp; Insights'!L445</x:f>
        <x:v>Not started</x:v>
      </x:c>
      <x:c r="O1817" s="2" t="str">
        <x:f>'Design &amp; Insights'!N445</x:f>
        <x:v>DI.AU.3.3.2026.CY4</x:v>
      </x:c>
      <x:c r="P1817" s="2" t="n">
        <x:f>'Design &amp; Insights'!O445</x:f>
        <x:v>0</x:v>
      </x:c>
      <x:c r="Q1817" s="2" t="n">
        <x:f>SUBTOTAL(103,O1817)</x:f>
        <x:v>1</x:v>
      </x:c>
      <x:c r="R1817" s="2" t="n">
        <x:f>IF(AND(M1817=1,OR(Dashboard!$B$7="All",Dashboard!$B$7='Cycles &amp; Guide'!$C$5),OR(Dashboard!$D$7="All",Dashboard!$D$7=B1817),OR(Dashboard!$F$7="All",Dashboard!$F$7=C1817),OR(Dashboard!$H$7="All",Dashboard!$H$7=D1817),OR(Dashboard!$K$7="All",Dashboard!$K$7=E1817)),1,0)</x:f>
        <x:v>1</x:v>
      </x:c>
      <x:c r="S1817" s="2" t="n">
        <x:f>IF(R1817=1,SUM($R$10:R1817),0)</x:f>
        <x:v>1444</x:v>
      </x:c>
      <x:c r="T1817" s="2" t="str">
        <x:v>Design &amp; Insights</x:v>
      </x:c>
      <x:c r="U1817" s="2" t="n">
        <x:v>445</x:v>
      </x:c>
      <x:c r="V1817" s="2" t="n">
        <x:f>IF(AND(M1817=1,P1817=0,ISNUMBER(J1817),J1817&lt;TODAY()),1,0)</x:f>
        <x:v>0</x:v>
      </x:c>
      <x:c r="W1817" s="2" t="str">
        <x:f>'Design &amp; Insights'!M445</x:f>
        <x:v>Task</x:v>
      </x:c>
    </x:row>
    <x:row r="1818" ht="40" customHeight="1">
      <x:c r="A1818" s="3" t="str">
        <x:f>HYPERLINK("#'Design &amp; Insights'!A446","Open")</x:f>
        <x:v>Open</x:v>
      </x:c>
      <x:c r="B1818" s="2" t="str">
        <x:f>'Design &amp; Insights'!B446</x:f>
        <x:v>Cycle 4</x:v>
      </x:c>
      <x:c r="C1818" s="2" t="str">
        <x:f>'Design &amp; Insights'!C446</x:f>
        <x:v>Phase 3</x:v>
      </x:c>
      <x:c r="D1818" s="2" t="str">
        <x:f>'Design &amp; Insights'!D446</x:f>
        <x:v>Auto</x:v>
      </x:c>
      <x:c r="E1818" s="2" t="str">
        <x:v>Design &amp; Insights</x:v>
      </x:c>
      <x:c r="F1818" s="56" t="str">
        <x:f>'Design &amp; Insights'!E446</x:f>
        <x:v>DI.AU.3.4</x:v>
      </x:c>
      <x:c r="G1818" s="14" t="str">
        <x:f>'Design &amp; Insights'!F446</x:f>
        <x:v>Update Outcome portion of research plan (as needed)</x:v>
      </x:c>
      <x:c r="H1818" s="2" t="str">
        <x:f>IF('Design &amp; Insights'!G446="","",'Design &amp; Insights'!G446)</x:f>
      </x:c>
      <x:c r="I1818" s="12" t="str">
        <x:f>IF('Design &amp; Insights'!H446="","",'Design &amp; Insights'!H446)</x:f>
      </x:c>
      <x:c r="J1818" s="12" t="n">
        <x:f>IF('Design &amp; Insights'!I446="","",'Design &amp; Insights'!I446)</x:f>
        <x:v>46387</x:v>
      </x:c>
      <x:c r="K1818" s="12" t="str">
        <x:f>IF('Design &amp; Insights'!J446="","",'Design &amp; Insights'!J446)</x:f>
      </x:c>
      <x:c r="L1818" s="2" t="str">
        <x:f>IF('Design &amp; Insights'!K446="","",'Design &amp; Insights'!K446)</x:f>
      </x:c>
      <x:c r="M1818" s="2" t="n">
        <x:f>'Design &amp; Insights'!Q446</x:f>
        <x:v>1</x:v>
      </x:c>
      <x:c r="N1818" s="2" t="str">
        <x:f>'Design &amp; Insights'!L446</x:f>
        <x:v>Not started</x:v>
      </x:c>
      <x:c r="O1818" s="2" t="str">
        <x:f>'Design &amp; Insights'!N446</x:f>
        <x:v>DI.AU.3.4.2026.CY4</x:v>
      </x:c>
      <x:c r="P1818" s="2" t="n">
        <x:f>'Design &amp; Insights'!O446</x:f>
        <x:v>0</x:v>
      </x:c>
      <x:c r="Q1818" s="2" t="n">
        <x:f>SUBTOTAL(103,O1818)</x:f>
        <x:v>1</x:v>
      </x:c>
      <x:c r="R1818" s="2" t="n">
        <x:f>IF(AND(M1818=1,OR(Dashboard!$B$7="All",Dashboard!$B$7='Cycles &amp; Guide'!$C$5),OR(Dashboard!$D$7="All",Dashboard!$D$7=B1818),OR(Dashboard!$F$7="All",Dashboard!$F$7=C1818),OR(Dashboard!$H$7="All",Dashboard!$H$7=D1818),OR(Dashboard!$K$7="All",Dashboard!$K$7=E1818)),1,0)</x:f>
        <x:v>1</x:v>
      </x:c>
      <x:c r="S1818" s="2" t="n">
        <x:f>IF(R1818=1,SUM($R$10:R1818),0)</x:f>
        <x:v>1445</x:v>
      </x:c>
      <x:c r="T1818" s="2" t="str">
        <x:v>Design &amp; Insights</x:v>
      </x:c>
      <x:c r="U1818" s="2" t="n">
        <x:v>446</x:v>
      </x:c>
      <x:c r="V1818" s="2" t="n">
        <x:f>IF(AND(M1818=1,P1818=0,ISNUMBER(J1818),J1818&lt;TODAY()),1,0)</x:f>
        <x:v>0</x:v>
      </x:c>
      <x:c r="W1818" s="2" t="str">
        <x:f>'Design &amp; Insights'!M446</x:f>
        <x:v>Task</x:v>
      </x:c>
    </x:row>
    <x:row r="1819" ht="40" customHeight="1">
      <x:c r="A1819" s="3" t="str">
        <x:f>HYPERLINK("#'Design &amp; Insights'!A447","Open")</x:f>
        <x:v>Open</x:v>
      </x:c>
      <x:c r="B1819" s="2" t="str">
        <x:f>'Design &amp; Insights'!B447</x:f>
        <x:v>Cycle 4</x:v>
      </x:c>
      <x:c r="C1819" s="2" t="str">
        <x:f>'Design &amp; Insights'!C447</x:f>
        <x:v>Phase 3</x:v>
      </x:c>
      <x:c r="D1819" s="2" t="str">
        <x:f>'Design &amp; Insights'!D447</x:f>
        <x:v>Auto</x:v>
      </x:c>
      <x:c r="E1819" s="2" t="str">
        <x:v>Design &amp; Insights</x:v>
      </x:c>
      <x:c r="F1819" s="56" t="str">
        <x:f>'Design &amp; Insights'!E447</x:f>
        <x:v>DI.AU.3.5</x:v>
      </x:c>
      <x:c r="G1819" s="14" t="str">
        <x:f>'Design &amp; Insights'!F447</x:f>
        <x:v>Finalize presentation deck by incorporating pre-socialization feedback (as needed)</x:v>
      </x:c>
      <x:c r="H1819" s="2" t="str">
        <x:f>IF('Design &amp; Insights'!G447="","",'Design &amp; Insights'!G447)</x:f>
      </x:c>
      <x:c r="I1819" s="12" t="str">
        <x:f>IF('Design &amp; Insights'!H447="","",'Design &amp; Insights'!H447)</x:f>
      </x:c>
      <x:c r="J1819" s="12" t="n">
        <x:f>IF('Design &amp; Insights'!I447="","",'Design &amp; Insights'!I447)</x:f>
        <x:v>46387</x:v>
      </x:c>
      <x:c r="K1819" s="12" t="str">
        <x:f>IF('Design &amp; Insights'!J447="","",'Design &amp; Insights'!J447)</x:f>
      </x:c>
      <x:c r="L1819" s="2" t="str">
        <x:f>IF('Design &amp; Insights'!K447="","",'Design &amp; Insights'!K447)</x:f>
      </x:c>
      <x:c r="M1819" s="2" t="n">
        <x:f>'Design &amp; Insights'!Q447</x:f>
        <x:v>1</x:v>
      </x:c>
      <x:c r="N1819" s="2" t="str">
        <x:f>'Design &amp; Insights'!L447</x:f>
        <x:v>Not started</x:v>
      </x:c>
      <x:c r="O1819" s="2" t="str">
        <x:f>'Design &amp; Insights'!N447</x:f>
        <x:v>DI.AU.3.5.2026.CY4</x:v>
      </x:c>
      <x:c r="P1819" s="2" t="n">
        <x:f>'Design &amp; Insights'!O447</x:f>
        <x:v>0</x:v>
      </x:c>
      <x:c r="Q1819" s="2" t="n">
        <x:f>SUBTOTAL(103,O1819)</x:f>
        <x:v>1</x:v>
      </x:c>
      <x:c r="R1819" s="2" t="n">
        <x:f>IF(AND(M1819=1,OR(Dashboard!$B$7="All",Dashboard!$B$7='Cycles &amp; Guide'!$C$5),OR(Dashboard!$D$7="All",Dashboard!$D$7=B1819),OR(Dashboard!$F$7="All",Dashboard!$F$7=C1819),OR(Dashboard!$H$7="All",Dashboard!$H$7=D1819),OR(Dashboard!$K$7="All",Dashboard!$K$7=E1819)),1,0)</x:f>
        <x:v>1</x:v>
      </x:c>
      <x:c r="S1819" s="2" t="n">
        <x:f>IF(R1819=1,SUM($R$10:R1819),0)</x:f>
        <x:v>1446</x:v>
      </x:c>
      <x:c r="T1819" s="2" t="str">
        <x:v>Design &amp; Insights</x:v>
      </x:c>
      <x:c r="U1819" s="2" t="n">
        <x:v>447</x:v>
      </x:c>
      <x:c r="V1819" s="2" t="n">
        <x:f>IF(AND(M1819=1,P1819=0,ISNUMBER(J1819),J1819&lt;TODAY()),1,0)</x:f>
        <x:v>0</x:v>
      </x:c>
      <x:c r="W1819" s="2" t="str">
        <x:f>'Design &amp; Insights'!M447</x:f>
        <x:v>Task</x:v>
      </x:c>
    </x:row>
    <x:row r="1820" ht="40" customHeight="1">
      <x:c r="A1820" s="3" t="str">
        <x:f>HYPERLINK("#'Design &amp; Insights'!A448","Open")</x:f>
        <x:v>Open</x:v>
      </x:c>
      <x:c r="B1820" s="2" t="str">
        <x:f>'Design &amp; Insights'!B448</x:f>
        <x:v>Cycle 4</x:v>
      </x:c>
      <x:c r="C1820" s="2" t="str">
        <x:f>'Design &amp; Insights'!C448</x:f>
        <x:v>Phase 3</x:v>
      </x:c>
      <x:c r="D1820" s="2" t="str">
        <x:f>'Design &amp; Insights'!D448</x:f>
        <x:v>Auto</x:v>
      </x:c>
      <x:c r="E1820" s="2" t="str">
        <x:v>Design &amp; Insights</x:v>
      </x:c>
      <x:c r="F1820" s="56" t="str">
        <x:f>'Design &amp; Insights'!E448</x:f>
        <x:v>DI.AU.3.6</x:v>
      </x:c>
      <x:c r="G1820" s="14" t="str">
        <x:f>'Design &amp; Insights'!F448</x:f>
        <x:v>Ensure final deck is communicated to Forum attendees</x:v>
      </x:c>
      <x:c r="H1820" s="2" t="str">
        <x:f>IF('Design &amp; Insights'!G448="","",'Design &amp; Insights'!G448)</x:f>
      </x:c>
      <x:c r="I1820" s="12" t="str">
        <x:f>IF('Design &amp; Insights'!H448="","",'Design &amp; Insights'!H448)</x:f>
      </x:c>
      <x:c r="J1820" s="12" t="n">
        <x:f>IF('Design &amp; Insights'!I448="","",'Design &amp; Insights'!I448)</x:f>
        <x:v>46387</x:v>
      </x:c>
      <x:c r="K1820" s="12" t="str">
        <x:f>IF('Design &amp; Insights'!J448="","",'Design &amp; Insights'!J448)</x:f>
      </x:c>
      <x:c r="L1820" s="2" t="str">
        <x:f>IF('Design &amp; Insights'!K448="","",'Design &amp; Insights'!K448)</x:f>
      </x:c>
      <x:c r="M1820" s="2" t="n">
        <x:f>'Design &amp; Insights'!Q448</x:f>
        <x:v>1</x:v>
      </x:c>
      <x:c r="N1820" s="2" t="str">
        <x:f>'Design &amp; Insights'!L448</x:f>
        <x:v>Not started</x:v>
      </x:c>
      <x:c r="O1820" s="2" t="str">
        <x:f>'Design &amp; Insights'!N448</x:f>
        <x:v>DI.AU.3.6.2026.CY4</x:v>
      </x:c>
      <x:c r="P1820" s="2" t="n">
        <x:f>'Design &amp; Insights'!O448</x:f>
        <x:v>0</x:v>
      </x:c>
      <x:c r="Q1820" s="2" t="n">
        <x:f>SUBTOTAL(103,O1820)</x:f>
        <x:v>1</x:v>
      </x:c>
      <x:c r="R1820" s="2" t="n">
        <x:f>IF(AND(M1820=1,OR(Dashboard!$B$7="All",Dashboard!$B$7='Cycles &amp; Guide'!$C$5),OR(Dashboard!$D$7="All",Dashboard!$D$7=B1820),OR(Dashboard!$F$7="All",Dashboard!$F$7=C1820),OR(Dashboard!$H$7="All",Dashboard!$H$7=D1820),OR(Dashboard!$K$7="All",Dashboard!$K$7=E1820)),1,0)</x:f>
        <x:v>1</x:v>
      </x:c>
      <x:c r="S1820" s="2" t="n">
        <x:f>IF(R1820=1,SUM($R$10:R1820),0)</x:f>
        <x:v>1447</x:v>
      </x:c>
      <x:c r="T1820" s="2" t="str">
        <x:v>Design &amp; Insights</x:v>
      </x:c>
      <x:c r="U1820" s="2" t="n">
        <x:v>448</x:v>
      </x:c>
      <x:c r="V1820" s="2" t="n">
        <x:f>IF(AND(M1820=1,P1820=0,ISNUMBER(J1820),J1820&lt;TODAY()),1,0)</x:f>
        <x:v>0</x:v>
      </x:c>
      <x:c r="W1820" s="2" t="str">
        <x:f>'Design &amp; Insights'!M448</x:f>
        <x:v>Task</x:v>
      </x:c>
    </x:row>
    <x:row r="1821" ht="40" customHeight="1">
      <x:c r="A1821" s="3" t="str">
        <x:f>HYPERLINK("#'Design &amp; Insights'!A449","Open")</x:f>
        <x:v>Open</x:v>
      </x:c>
      <x:c r="B1821" s="2" t="str">
        <x:f>'Design &amp; Insights'!B449</x:f>
        <x:v>Cycle 4</x:v>
      </x:c>
      <x:c r="C1821" s="2" t="str">
        <x:f>'Design &amp; Insights'!C449</x:f>
        <x:v>Phase 3</x:v>
      </x:c>
      <x:c r="D1821" s="2" t="str">
        <x:f>'Design &amp; Insights'!D449</x:f>
        <x:v>Auto</x:v>
      </x:c>
      <x:c r="E1821" s="2" t="str">
        <x:v>Design &amp; Insights</x:v>
      </x:c>
      <x:c r="F1821" s="56" t="str">
        <x:f>'Design &amp; Insights'!E449</x:f>
        <x:v>DI.AU.3.7</x:v>
      </x:c>
      <x:c r="G1821" s="14" t="str">
        <x:f>'Design &amp; Insights'!F449</x:f>
        <x:v>Present material in RCA Cycle Forum</x:v>
      </x:c>
      <x:c r="H1821" s="2" t="str">
        <x:f>IF('Design &amp; Insights'!G449="","",'Design &amp; Insights'!G449)</x:f>
      </x:c>
      <x:c r="I1821" s="12" t="str">
        <x:f>IF('Design &amp; Insights'!H449="","",'Design &amp; Insights'!H449)</x:f>
      </x:c>
      <x:c r="J1821" s="12" t="str">
        <x:f>IF('Design &amp; Insights'!I449="","",'Design &amp; Insights'!I449)</x:f>
      </x:c>
      <x:c r="K1821" s="12" t="str">
        <x:f>IF('Design &amp; Insights'!J449="","",'Design &amp; Insights'!J449)</x:f>
      </x:c>
      <x:c r="L1821" s="2" t="str">
        <x:f>IF('Design &amp; Insights'!K449="","",'Design &amp; Insights'!K449)</x:f>
      </x:c>
      <x:c r="M1821" s="2" t="n">
        <x:f>'Design &amp; Insights'!Q449</x:f>
        <x:v>1</x:v>
      </x:c>
      <x:c r="N1821" s="2" t="str">
        <x:f>'Design &amp; Insights'!L449</x:f>
        <x:v>Not started</x:v>
      </x:c>
      <x:c r="O1821" s="2" t="str">
        <x:f>'Design &amp; Insights'!N449</x:f>
        <x:v>DI.AU.3.7.2026.CY4</x:v>
      </x:c>
      <x:c r="P1821" s="2" t="n">
        <x:f>'Design &amp; Insights'!O449</x:f>
        <x:v>0</x:v>
      </x:c>
      <x:c r="Q1821" s="2" t="n">
        <x:f>SUBTOTAL(103,O1821)</x:f>
        <x:v>1</x:v>
      </x:c>
      <x:c r="R1821" s="2" t="n">
        <x:f>IF(AND(M1821=1,OR(Dashboard!$B$7="All",Dashboard!$B$7='Cycles &amp; Guide'!$C$5),OR(Dashboard!$D$7="All",Dashboard!$D$7=B1821),OR(Dashboard!$F$7="All",Dashboard!$F$7=C1821),OR(Dashboard!$H$7="All",Dashboard!$H$7=D1821),OR(Dashboard!$K$7="All",Dashboard!$K$7=E1821)),1,0)</x:f>
        <x:v>1</x:v>
      </x:c>
      <x:c r="S1821" s="2" t="n">
        <x:f>IF(R1821=1,SUM($R$10:R1821),0)</x:f>
        <x:v>1448</x:v>
      </x:c>
      <x:c r="T1821" s="2" t="str">
        <x:v>Design &amp; Insights</x:v>
      </x:c>
      <x:c r="U1821" s="2" t="n">
        <x:v>449</x:v>
      </x:c>
      <x:c r="V1821" s="2" t="n">
        <x:f>IF(AND(M1821=1,P1821=0,ISNUMBER(J1821),J1821&lt;TODAY()),1,0)</x:f>
        <x:v>0</x:v>
      </x:c>
      <x:c r="W1821" s="2" t="str">
        <x:f>'Design &amp; Insights'!M449</x:f>
        <x:v>Task</x:v>
      </x:c>
    </x:row>
    <x:row r="1822" ht="40" customHeight="1">
      <x:c r="A1822" s="3" t="str">
        <x:f>HYPERLINK("#'Design &amp; Insights'!A450","Open")</x:f>
        <x:v>Open</x:v>
      </x:c>
      <x:c r="B1822" s="2" t="str">
        <x:f>'Design &amp; Insights'!B450</x:f>
        <x:v>Cycle 4</x:v>
      </x:c>
      <x:c r="C1822" s="2" t="str">
        <x:f>'Design &amp; Insights'!C450</x:f>
        <x:v>Phase 1</x:v>
      </x:c>
      <x:c r="D1822" s="2" t="str">
        <x:f>'Design &amp; Insights'!D450</x:f>
        <x:v>Cards</x:v>
      </x:c>
      <x:c r="E1822" s="2" t="str">
        <x:v>Design &amp; Insights</x:v>
      </x:c>
      <x:c r="F1822" s="56" t="str">
        <x:f>'Design &amp; Insights'!E450</x:f>
        <x:v>DI.CA.1.1</x:v>
      </x:c>
      <x:c r="G1822" s="14" t="str">
        <x:f>'Design &amp; Insights'!F450</x:f>
        <x:v>Receive and review potential research topics at least 2 weeks prior to Cycle start date</x:v>
      </x:c>
      <x:c r="H1822" s="2" t="str">
        <x:f>IF('Design &amp; Insights'!G450="","",'Design &amp; Insights'!G450)</x:f>
      </x:c>
      <x:c r="I1822" s="12" t="str">
        <x:f>IF('Design &amp; Insights'!H450="","",'Design &amp; Insights'!H450)</x:f>
      </x:c>
      <x:c r="J1822" s="12" t="n">
        <x:f>IF('Design &amp; Insights'!I450="","",'Design &amp; Insights'!I450)</x:f>
        <x:v>46282</x:v>
      </x:c>
      <x:c r="K1822" s="12" t="str">
        <x:f>IF('Design &amp; Insights'!J450="","",'Design &amp; Insights'!J450)</x:f>
      </x:c>
      <x:c r="L1822" s="2" t="str">
        <x:f>IF('Design &amp; Insights'!K450="","",'Design &amp; Insights'!K450)</x:f>
      </x:c>
      <x:c r="M1822" s="2" t="n">
        <x:f>'Design &amp; Insights'!Q450</x:f>
        <x:v>1</x:v>
      </x:c>
      <x:c r="N1822" s="2" t="str">
        <x:f>'Design &amp; Insights'!L450</x:f>
        <x:v>Not started</x:v>
      </x:c>
      <x:c r="O1822" s="2" t="str">
        <x:f>'Design &amp; Insights'!N450</x:f>
        <x:v>DI.CA.1.1.2026.CY4</x:v>
      </x:c>
      <x:c r="P1822" s="2" t="n">
        <x:f>'Design &amp; Insights'!O450</x:f>
        <x:v>0</x:v>
      </x:c>
      <x:c r="Q1822" s="2" t="n">
        <x:f>SUBTOTAL(103,O1822)</x:f>
        <x:v>1</x:v>
      </x:c>
      <x:c r="R1822" s="2" t="n">
        <x:f>IF(AND(M1822=1,OR(Dashboard!$B$7="All",Dashboard!$B$7='Cycles &amp; Guide'!$C$5),OR(Dashboard!$D$7="All",Dashboard!$D$7=B1822),OR(Dashboard!$F$7="All",Dashboard!$F$7=C1822),OR(Dashboard!$H$7="All",Dashboard!$H$7=D1822),OR(Dashboard!$K$7="All",Dashboard!$K$7=E1822)),1,0)</x:f>
        <x:v>1</x:v>
      </x:c>
      <x:c r="S1822" s="2" t="n">
        <x:f>IF(R1822=1,SUM($R$10:R1822),0)</x:f>
        <x:v>1449</x:v>
      </x:c>
      <x:c r="T1822" s="2" t="str">
        <x:v>Design &amp; Insights</x:v>
      </x:c>
      <x:c r="U1822" s="2" t="n">
        <x:v>450</x:v>
      </x:c>
      <x:c r="V1822" s="2" t="n">
        <x:f>IF(AND(M1822=1,P1822=0,ISNUMBER(J1822),J1822&lt;TODAY()),1,0)</x:f>
        <x:v>1</x:v>
      </x:c>
      <x:c r="W1822" s="2" t="str">
        <x:f>'Design &amp; Insights'!M450</x:f>
        <x:v>Task</x:v>
      </x:c>
    </x:row>
    <x:row r="1823" ht="40" customHeight="1">
      <x:c r="A1823" s="3" t="str">
        <x:f>HYPERLINK("#'Design &amp; Insights'!A451","Open")</x:f>
        <x:v>Open</x:v>
      </x:c>
      <x:c r="B1823" s="2" t="str">
        <x:f>'Design &amp; Insights'!B451</x:f>
        <x:v>Cycle 4</x:v>
      </x:c>
      <x:c r="C1823" s="2" t="str">
        <x:f>'Design &amp; Insights'!C451</x:f>
        <x:v>Phase 1</x:v>
      </x:c>
      <x:c r="D1823" s="2" t="str">
        <x:f>'Design &amp; Insights'!D451</x:f>
        <x:v>Cards</x:v>
      </x:c>
      <x:c r="E1823" s="2" t="str">
        <x:v>Design &amp; Insights</x:v>
      </x:c>
      <x:c r="F1823" s="56" t="str">
        <x:f>'Design &amp; Insights'!E451</x:f>
        <x:v>DI.CA.1.2</x:v>
      </x:c>
      <x:c r="G1823" s="14" t="str">
        <x:f>'Design &amp; Insights'!F451</x:f>
        <x:v>Communicate any feedback on preferences or concerns with topics identified</x:v>
      </x:c>
      <x:c r="H1823" s="2" t="str">
        <x:f>IF('Design &amp; Insights'!G451="","",'Design &amp; Insights'!G451)</x:f>
      </x:c>
      <x:c r="I1823" s="12" t="str">
        <x:f>IF('Design &amp; Insights'!H451="","",'Design &amp; Insights'!H451)</x:f>
      </x:c>
      <x:c r="J1823" s="12" t="n">
        <x:f>IF('Design &amp; Insights'!I451="","",'Design &amp; Insights'!I451)</x:f>
        <x:v>46387</x:v>
      </x:c>
      <x:c r="K1823" s="12" t="str">
        <x:f>IF('Design &amp; Insights'!J451="","",'Design &amp; Insights'!J451)</x:f>
      </x:c>
      <x:c r="L1823" s="2" t="str">
        <x:f>IF('Design &amp; Insights'!K451="","",'Design &amp; Insights'!K451)</x:f>
      </x:c>
      <x:c r="M1823" s="2" t="n">
        <x:f>'Design &amp; Insights'!Q451</x:f>
        <x:v>1</x:v>
      </x:c>
      <x:c r="N1823" s="2" t="str">
        <x:f>'Design &amp; Insights'!L451</x:f>
        <x:v>Not started</x:v>
      </x:c>
      <x:c r="O1823" s="2" t="str">
        <x:f>'Design &amp; Insights'!N451</x:f>
        <x:v>DI.CA.1.2.2026.CY4</x:v>
      </x:c>
      <x:c r="P1823" s="2" t="n">
        <x:f>'Design &amp; Insights'!O451</x:f>
        <x:v>0</x:v>
      </x:c>
      <x:c r="Q1823" s="2" t="n">
        <x:f>SUBTOTAL(103,O1823)</x:f>
        <x:v>1</x:v>
      </x:c>
      <x:c r="R1823" s="2" t="n">
        <x:f>IF(AND(M1823=1,OR(Dashboard!$B$7="All",Dashboard!$B$7='Cycles &amp; Guide'!$C$5),OR(Dashboard!$D$7="All",Dashboard!$D$7=B1823),OR(Dashboard!$F$7="All",Dashboard!$F$7=C1823),OR(Dashboard!$H$7="All",Dashboard!$H$7=D1823),OR(Dashboard!$K$7="All",Dashboard!$K$7=E1823)),1,0)</x:f>
        <x:v>1</x:v>
      </x:c>
      <x:c r="S1823" s="2" t="n">
        <x:f>IF(R1823=1,SUM($R$10:R1823),0)</x:f>
        <x:v>1450</x:v>
      </x:c>
      <x:c r="T1823" s="2" t="str">
        <x:v>Design &amp; Insights</x:v>
      </x:c>
      <x:c r="U1823" s="2" t="n">
        <x:v>451</x:v>
      </x:c>
      <x:c r="V1823" s="2" t="n">
        <x:f>IF(AND(M1823=1,P1823=0,ISNUMBER(J1823),J1823&lt;TODAY()),1,0)</x:f>
        <x:v>0</x:v>
      </x:c>
      <x:c r="W1823" s="2" t="str">
        <x:f>'Design &amp; Insights'!M451</x:f>
        <x:v>Task</x:v>
      </x:c>
    </x:row>
    <x:row r="1824" ht="40" customHeight="1">
      <x:c r="A1824" s="3" t="str">
        <x:f>HYPERLINK("#'Design &amp; Insights'!A452","Open")</x:f>
        <x:v>Open</x:v>
      </x:c>
      <x:c r="B1824" s="2" t="str">
        <x:f>'Design &amp; Insights'!B452</x:f>
        <x:v>Cycle 4</x:v>
      </x:c>
      <x:c r="C1824" s="2" t="str">
        <x:f>'Design &amp; Insights'!C452</x:f>
        <x:v>Phase 1</x:v>
      </x:c>
      <x:c r="D1824" s="2" t="str">
        <x:f>'Design &amp; Insights'!D452</x:f>
        <x:v>Cards</x:v>
      </x:c>
      <x:c r="E1824" s="2" t="str">
        <x:v>Design &amp; Insights</x:v>
      </x:c>
      <x:c r="F1824" s="56" t="str">
        <x:f>'Design &amp; Insights'!E452</x:f>
        <x:v>DI.CA.1.3</x:v>
      </x:c>
      <x:c r="G1824" s="14" t="str">
        <x:f>'Design &amp; Insights'!F452</x:f>
        <x:v>Conduct high-level preliminary review of complaints within proposed topics</x:v>
      </x:c>
      <x:c r="H1824" s="2" t="str">
        <x:f>IF('Design &amp; Insights'!G452="","",'Design &amp; Insights'!G452)</x:f>
      </x:c>
      <x:c r="I1824" s="12" t="str">
        <x:f>IF('Design &amp; Insights'!H452="","",'Design &amp; Insights'!H452)</x:f>
      </x:c>
      <x:c r="J1824" s="12" t="n">
        <x:f>IF('Design &amp; Insights'!I452="","",'Design &amp; Insights'!I452)</x:f>
        <x:v>46387</x:v>
      </x:c>
      <x:c r="K1824" s="12" t="str">
        <x:f>IF('Design &amp; Insights'!J452="","",'Design &amp; Insights'!J452)</x:f>
      </x:c>
      <x:c r="L1824" s="2" t="str">
        <x:f>IF('Design &amp; Insights'!K452="","",'Design &amp; Insights'!K452)</x:f>
      </x:c>
      <x:c r="M1824" s="2" t="n">
        <x:f>'Design &amp; Insights'!Q452</x:f>
        <x:v>1</x:v>
      </x:c>
      <x:c r="N1824" s="2" t="str">
        <x:f>'Design &amp; Insights'!L452</x:f>
        <x:v>Not started</x:v>
      </x:c>
      <x:c r="O1824" s="2" t="str">
        <x:f>'Design &amp; Insights'!N452</x:f>
        <x:v>DI.CA.1.3.2026.CY4</x:v>
      </x:c>
      <x:c r="P1824" s="2" t="n">
        <x:f>'Design &amp; Insights'!O452</x:f>
        <x:v>0</x:v>
      </x:c>
      <x:c r="Q1824" s="2" t="n">
        <x:f>SUBTOTAL(103,O1824)</x:f>
        <x:v>1</x:v>
      </x:c>
      <x:c r="R1824" s="2" t="n">
        <x:f>IF(AND(M1824=1,OR(Dashboard!$B$7="All",Dashboard!$B$7='Cycles &amp; Guide'!$C$5),OR(Dashboard!$D$7="All",Dashboard!$D$7=B1824),OR(Dashboard!$F$7="All",Dashboard!$F$7=C1824),OR(Dashboard!$H$7="All",Dashboard!$H$7=D1824),OR(Dashboard!$K$7="All",Dashboard!$K$7=E1824)),1,0)</x:f>
        <x:v>1</x:v>
      </x:c>
      <x:c r="S1824" s="2" t="n">
        <x:f>IF(R1824=1,SUM($R$10:R1824),0)</x:f>
        <x:v>1451</x:v>
      </x:c>
      <x:c r="T1824" s="2" t="str">
        <x:v>Design &amp; Insights</x:v>
      </x:c>
      <x:c r="U1824" s="2" t="n">
        <x:v>452</x:v>
      </x:c>
      <x:c r="V1824" s="2" t="n">
        <x:f>IF(AND(M1824=1,P1824=0,ISNUMBER(J1824),J1824&lt;TODAY()),1,0)</x:f>
        <x:v>0</x:v>
      </x:c>
      <x:c r="W1824" s="2" t="str">
        <x:f>'Design &amp; Insights'!M452</x:f>
        <x:v>Task</x:v>
      </x:c>
    </x:row>
    <x:row r="1825" ht="40" customHeight="1">
      <x:c r="A1825" s="3" t="str">
        <x:f>HYPERLINK("#'Design &amp; Insights'!A453","Open")</x:f>
        <x:v>Open</x:v>
      </x:c>
      <x:c r="B1825" s="2" t="str">
        <x:f>'Design &amp; Insights'!B453</x:f>
        <x:v>Cycle 4</x:v>
      </x:c>
      <x:c r="C1825" s="2" t="str">
        <x:f>'Design &amp; Insights'!C453</x:f>
        <x:v>Phase 1</x:v>
      </x:c>
      <x:c r="D1825" s="2" t="str">
        <x:f>'Design &amp; Insights'!D453</x:f>
        <x:v>Cards</x:v>
      </x:c>
      <x:c r="E1825" s="2" t="str">
        <x:v>Design &amp; Insights</x:v>
      </x:c>
      <x:c r="F1825" s="56" t="str">
        <x:f>'Design &amp; Insights'!E453</x:f>
        <x:v>DI.CA.1.4</x:v>
      </x:c>
      <x:c r="G1825" s="14" t="str">
        <x:f>'Design &amp; Insights'!F453</x:f>
        <x:v>Meet with Research to discuss which topic to select based on potential impact</x:v>
      </x:c>
      <x:c r="H1825" s="2" t="str">
        <x:f>IF('Design &amp; Insights'!G453="","",'Design &amp; Insights'!G453)</x:f>
      </x:c>
      <x:c r="I1825" s="12" t="str">
        <x:f>IF('Design &amp; Insights'!H453="","",'Design &amp; Insights'!H453)</x:f>
      </x:c>
      <x:c r="J1825" s="12" t="n">
        <x:f>IF('Design &amp; Insights'!I453="","",'Design &amp; Insights'!I453)</x:f>
        <x:v>46387</x:v>
      </x:c>
      <x:c r="K1825" s="12" t="str">
        <x:f>IF('Design &amp; Insights'!J453="","",'Design &amp; Insights'!J453)</x:f>
      </x:c>
      <x:c r="L1825" s="2" t="str">
        <x:f>IF('Design &amp; Insights'!K453="","",'Design &amp; Insights'!K453)</x:f>
      </x:c>
      <x:c r="M1825" s="2" t="n">
        <x:f>'Design &amp; Insights'!Q453</x:f>
        <x:v>1</x:v>
      </x:c>
      <x:c r="N1825" s="2" t="str">
        <x:f>'Design &amp; Insights'!L453</x:f>
        <x:v>Not started</x:v>
      </x:c>
      <x:c r="O1825" s="2" t="str">
        <x:f>'Design &amp; Insights'!N453</x:f>
        <x:v>DI.CA.1.4.2026.CY4</x:v>
      </x:c>
      <x:c r="P1825" s="2" t="n">
        <x:f>'Design &amp; Insights'!O453</x:f>
        <x:v>0</x:v>
      </x:c>
      <x:c r="Q1825" s="2" t="n">
        <x:f>SUBTOTAL(103,O1825)</x:f>
        <x:v>1</x:v>
      </x:c>
      <x:c r="R1825" s="2" t="n">
        <x:f>IF(AND(M1825=1,OR(Dashboard!$B$7="All",Dashboard!$B$7='Cycles &amp; Guide'!$C$5),OR(Dashboard!$D$7="All",Dashboard!$D$7=B1825),OR(Dashboard!$F$7="All",Dashboard!$F$7=C1825),OR(Dashboard!$H$7="All",Dashboard!$H$7=D1825),OR(Dashboard!$K$7="All",Dashboard!$K$7=E1825)),1,0)</x:f>
        <x:v>1</x:v>
      </x:c>
      <x:c r="S1825" s="2" t="n">
        <x:f>IF(R1825=1,SUM($R$10:R1825),0)</x:f>
        <x:v>1452</x:v>
      </x:c>
      <x:c r="T1825" s="2" t="str">
        <x:v>Design &amp; Insights</x:v>
      </x:c>
      <x:c r="U1825" s="2" t="n">
        <x:v>453</x:v>
      </x:c>
      <x:c r="V1825" s="2" t="n">
        <x:f>IF(AND(M1825=1,P1825=0,ISNUMBER(J1825),J1825&lt;TODAY()),1,0)</x:f>
        <x:v>0</x:v>
      </x:c>
      <x:c r="W1825" s="2" t="str">
        <x:f>'Design &amp; Insights'!M453</x:f>
        <x:v>Task</x:v>
      </x:c>
    </x:row>
    <x:row r="1826" ht="40" customHeight="1">
      <x:c r="A1826" s="3" t="str">
        <x:f>HYPERLINK("#'Design &amp; Insights'!A454","Open")</x:f>
        <x:v>Open</x:v>
      </x:c>
      <x:c r="B1826" s="2" t="str">
        <x:f>'Design &amp; Insights'!B454</x:f>
        <x:v>Cycle 4</x:v>
      </x:c>
      <x:c r="C1826" s="2" t="str">
        <x:f>'Design &amp; Insights'!C454</x:f>
        <x:v>Phase 1</x:v>
      </x:c>
      <x:c r="D1826" s="2" t="str">
        <x:f>'Design &amp; Insights'!D454</x:f>
        <x:v>Cards</x:v>
      </x:c>
      <x:c r="E1826" s="2" t="str">
        <x:v>Design &amp; Insights</x:v>
      </x:c>
      <x:c r="F1826" s="56" t="str">
        <x:f>'Design &amp; Insights'!E454</x:f>
        <x:v>DI.CA.1.5</x:v>
      </x:c>
      <x:c r="G1826" s="14" t="str">
        <x:f>'Design &amp; Insights'!F454</x:f>
        <x:v>Confirm with Research the recommended topic for approval</x:v>
      </x:c>
      <x:c r="H1826" s="2" t="str">
        <x:f>IF('Design &amp; Insights'!G454="","",'Design &amp; Insights'!G454)</x:f>
      </x:c>
      <x:c r="I1826" s="12" t="str">
        <x:f>IF('Design &amp; Insights'!H454="","",'Design &amp; Insights'!H454)</x:f>
      </x:c>
      <x:c r="J1826" s="12" t="n">
        <x:f>IF('Design &amp; Insights'!I454="","",'Design &amp; Insights'!I454)</x:f>
        <x:v>46387</x:v>
      </x:c>
      <x:c r="K1826" s="12" t="str">
        <x:f>IF('Design &amp; Insights'!J454="","",'Design &amp; Insights'!J454)</x:f>
      </x:c>
      <x:c r="L1826" s="2" t="str">
        <x:f>IF('Design &amp; Insights'!K454="","",'Design &amp; Insights'!K454)</x:f>
      </x:c>
      <x:c r="M1826" s="2" t="n">
        <x:f>'Design &amp; Insights'!Q454</x:f>
        <x:v>1</x:v>
      </x:c>
      <x:c r="N1826" s="2" t="str">
        <x:f>'Design &amp; Insights'!L454</x:f>
        <x:v>Not started</x:v>
      </x:c>
      <x:c r="O1826" s="2" t="str">
        <x:f>'Design &amp; Insights'!N454</x:f>
        <x:v>DI.CA.1.5.2026.CY4</x:v>
      </x:c>
      <x:c r="P1826" s="2" t="n">
        <x:f>'Design &amp; Insights'!O454</x:f>
        <x:v>0</x:v>
      </x:c>
      <x:c r="Q1826" s="2" t="n">
        <x:f>SUBTOTAL(103,O1826)</x:f>
        <x:v>1</x:v>
      </x:c>
      <x:c r="R1826" s="2" t="n">
        <x:f>IF(AND(M1826=1,OR(Dashboard!$B$7="All",Dashboard!$B$7='Cycles &amp; Guide'!$C$5),OR(Dashboard!$D$7="All",Dashboard!$D$7=B1826),OR(Dashboard!$F$7="All",Dashboard!$F$7=C1826),OR(Dashboard!$H$7="All",Dashboard!$H$7=D1826),OR(Dashboard!$K$7="All",Dashboard!$K$7=E1826)),1,0)</x:f>
        <x:v>1</x:v>
      </x:c>
      <x:c r="S1826" s="2" t="n">
        <x:f>IF(R1826=1,SUM($R$10:R1826),0)</x:f>
        <x:v>1453</x:v>
      </x:c>
      <x:c r="T1826" s="2" t="str">
        <x:v>Design &amp; Insights</x:v>
      </x:c>
      <x:c r="U1826" s="2" t="n">
        <x:v>454</x:v>
      </x:c>
      <x:c r="V1826" s="2" t="n">
        <x:f>IF(AND(M1826=1,P1826=0,ISNUMBER(J1826),J1826&lt;TODAY()),1,0)</x:f>
        <x:v>0</x:v>
      </x:c>
      <x:c r="W1826" s="2" t="str">
        <x:f>'Design &amp; Insights'!M454</x:f>
        <x:v>Task</x:v>
      </x:c>
    </x:row>
    <x:row r="1827" ht="40" customHeight="1">
      <x:c r="A1827" s="3" t="str">
        <x:f>HYPERLINK("#'Design &amp; Insights'!A455","Open")</x:f>
        <x:v>Open</x:v>
      </x:c>
      <x:c r="B1827" s="2" t="str">
        <x:f>'Design &amp; Insights'!B455</x:f>
        <x:v>Cycle 4</x:v>
      </x:c>
      <x:c r="C1827" s="2" t="str">
        <x:f>'Design &amp; Insights'!C455</x:f>
        <x:v>Phase 1</x:v>
      </x:c>
      <x:c r="D1827" s="2" t="str">
        <x:f>'Design &amp; Insights'!D455</x:f>
        <x:v>Cards</x:v>
      </x:c>
      <x:c r="E1827" s="2" t="str">
        <x:v>Design &amp; Insights</x:v>
      </x:c>
      <x:c r="F1827" s="56" t="str">
        <x:f>'Design &amp; Insights'!E455</x:f>
        <x:v>DI.CA.1.6</x:v>
      </x:c>
      <x:c r="G1827" s="14" t="str">
        <x:f>'Design &amp; Insights'!F455</x:f>
        <x:v>Send topic selection socialization email to all key stakeholders on the first day of the review Cycle</x:v>
      </x:c>
      <x:c r="H1827" s="2" t="str">
        <x:f>IF('Design &amp; Insights'!G455="","",'Design &amp; Insights'!G455)</x:f>
      </x:c>
      <x:c r="I1827" s="12" t="str">
        <x:f>IF('Design &amp; Insights'!H455="","",'Design &amp; Insights'!H455)</x:f>
      </x:c>
      <x:c r="J1827" s="12" t="n">
        <x:f>IF('Design &amp; Insights'!I455="","",'Design &amp; Insights'!I455)</x:f>
        <x:v>46296</x:v>
      </x:c>
      <x:c r="K1827" s="12" t="str">
        <x:f>IF('Design &amp; Insights'!J455="","",'Design &amp; Insights'!J455)</x:f>
      </x:c>
      <x:c r="L1827" s="2" t="str">
        <x:f>IF('Design &amp; Insights'!K455="","",'Design &amp; Insights'!K455)</x:f>
      </x:c>
      <x:c r="M1827" s="2" t="n">
        <x:f>'Design &amp; Insights'!Q455</x:f>
        <x:v>1</x:v>
      </x:c>
      <x:c r="N1827" s="2" t="str">
        <x:f>'Design &amp; Insights'!L455</x:f>
        <x:v>Not started</x:v>
      </x:c>
      <x:c r="O1827" s="2" t="str">
        <x:f>'Design &amp; Insights'!N455</x:f>
        <x:v>DI.CA.1.6.2026.CY4</x:v>
      </x:c>
      <x:c r="P1827" s="2" t="n">
        <x:f>'Design &amp; Insights'!O455</x:f>
        <x:v>0</x:v>
      </x:c>
      <x:c r="Q1827" s="2" t="n">
        <x:f>SUBTOTAL(103,O1827)</x:f>
        <x:v>1</x:v>
      </x:c>
      <x:c r="R1827" s="2" t="n">
        <x:f>IF(AND(M1827=1,OR(Dashboard!$B$7="All",Dashboard!$B$7='Cycles &amp; Guide'!$C$5),OR(Dashboard!$D$7="All",Dashboard!$D$7=B1827),OR(Dashboard!$F$7="All",Dashboard!$F$7=C1827),OR(Dashboard!$H$7="All",Dashboard!$H$7=D1827),OR(Dashboard!$K$7="All",Dashboard!$K$7=E1827)),1,0)</x:f>
        <x:v>1</x:v>
      </x:c>
      <x:c r="S1827" s="2" t="n">
        <x:f>IF(R1827=1,SUM($R$10:R1827),0)</x:f>
        <x:v>1454</x:v>
      </x:c>
      <x:c r="T1827" s="2" t="str">
        <x:v>Design &amp; Insights</x:v>
      </x:c>
      <x:c r="U1827" s="2" t="n">
        <x:v>455</x:v>
      </x:c>
      <x:c r="V1827" s="2" t="n">
        <x:f>IF(AND(M1827=1,P1827=0,ISNUMBER(J1827),J1827&lt;TODAY()),1,0)</x:f>
        <x:v>0</x:v>
      </x:c>
      <x:c r="W1827" s="2" t="str">
        <x:f>'Design &amp; Insights'!M455</x:f>
        <x:v>Task</x:v>
      </x:c>
    </x:row>
    <x:row r="1828" ht="40" customHeight="1">
      <x:c r="A1828" s="3" t="str">
        <x:f>HYPERLINK("#'Design &amp; Insights'!A456","Open")</x:f>
        <x:v>Open</x:v>
      </x:c>
      <x:c r="B1828" s="2" t="str">
        <x:f>'Design &amp; Insights'!B456</x:f>
        <x:v>Cycle 4</x:v>
      </x:c>
      <x:c r="C1828" s="2" t="str">
        <x:f>'Design &amp; Insights'!C456</x:f>
        <x:v>Phase 2</x:v>
      </x:c>
      <x:c r="D1828" s="2" t="str">
        <x:f>'Design &amp; Insights'!D456</x:f>
        <x:v>Cards</x:v>
      </x:c>
      <x:c r="E1828" s="2" t="str">
        <x:v>Design &amp; Insights</x:v>
      </x:c>
      <x:c r="F1828" s="56" t="str">
        <x:f>'Design &amp; Insights'!E456</x:f>
        <x:v>DI.CA.2.1</x:v>
      </x:c>
      <x:c r="G1828" s="14" t="str">
        <x:f>'Design &amp; Insights'!F456</x:f>
        <x:v>Meet regularly with Research to stay informed on progress, findings, and potential enhancement</x:v>
      </x:c>
      <x:c r="H1828" s="2" t="str">
        <x:f>IF('Design &amp; Insights'!G456="","",'Design &amp; Insights'!G456)</x:f>
      </x:c>
      <x:c r="I1828" s="12" t="str">
        <x:f>IF('Design &amp; Insights'!H456="","",'Design &amp; Insights'!H456)</x:f>
      </x:c>
      <x:c r="J1828" s="12" t="n">
        <x:f>IF('Design &amp; Insights'!I456="","",'Design &amp; Insights'!I456)</x:f>
        <x:v>46387</x:v>
      </x:c>
      <x:c r="K1828" s="12" t="str">
        <x:f>IF('Design &amp; Insights'!J456="","",'Design &amp; Insights'!J456)</x:f>
      </x:c>
      <x:c r="L1828" s="2" t="str">
        <x:f>IF('Design &amp; Insights'!K456="","",'Design &amp; Insights'!K456)</x:f>
      </x:c>
      <x:c r="M1828" s="2" t="n">
        <x:f>'Design &amp; Insights'!Q456</x:f>
        <x:v>1</x:v>
      </x:c>
      <x:c r="N1828" s="2" t="str">
        <x:f>'Design &amp; Insights'!L456</x:f>
        <x:v>Not started</x:v>
      </x:c>
      <x:c r="O1828" s="2" t="str">
        <x:f>'Design &amp; Insights'!N456</x:f>
        <x:v>DI.CA.2.1.2026.CY4</x:v>
      </x:c>
      <x:c r="P1828" s="2" t="n">
        <x:f>'Design &amp; Insights'!O456</x:f>
        <x:v>0</x:v>
      </x:c>
      <x:c r="Q1828" s="2" t="n">
        <x:f>SUBTOTAL(103,O1828)</x:f>
        <x:v>1</x:v>
      </x:c>
      <x:c r="R1828" s="2" t="n">
        <x:f>IF(AND(M1828=1,OR(Dashboard!$B$7="All",Dashboard!$B$7='Cycles &amp; Guide'!$C$5),OR(Dashboard!$D$7="All",Dashboard!$D$7=B1828),OR(Dashboard!$F$7="All",Dashboard!$F$7=C1828),OR(Dashboard!$H$7="All",Dashboard!$H$7=D1828),OR(Dashboard!$K$7="All",Dashboard!$K$7=E1828)),1,0)</x:f>
        <x:v>1</x:v>
      </x:c>
      <x:c r="S1828" s="2" t="n">
        <x:f>IF(R1828=1,SUM($R$10:R1828),0)</x:f>
        <x:v>1455</x:v>
      </x:c>
      <x:c r="T1828" s="2" t="str">
        <x:v>Design &amp; Insights</x:v>
      </x:c>
      <x:c r="U1828" s="2" t="n">
        <x:v>456</x:v>
      </x:c>
      <x:c r="V1828" s="2" t="n">
        <x:f>IF(AND(M1828=1,P1828=0,ISNUMBER(J1828),J1828&lt;TODAY()),1,0)</x:f>
        <x:v>0</x:v>
      </x:c>
      <x:c r="W1828" s="2" t="str">
        <x:f>'Design &amp; Insights'!M456</x:f>
        <x:v>Task</x:v>
      </x:c>
    </x:row>
    <x:row r="1829" ht="40" customHeight="1">
      <x:c r="A1829" s="3" t="str">
        <x:f>HYPERLINK("#'Design &amp; Insights'!A457","Open")</x:f>
        <x:v>Open</x:v>
      </x:c>
      <x:c r="B1829" s="2" t="str">
        <x:f>'Design &amp; Insights'!B457</x:f>
        <x:v>Cycle 4</x:v>
      </x:c>
      <x:c r="C1829" s="2" t="str">
        <x:f>'Design &amp; Insights'!C457</x:f>
        <x:v>Phase 2</x:v>
      </x:c>
      <x:c r="D1829" s="2" t="str">
        <x:f>'Design &amp; Insights'!D457</x:f>
        <x:v>Cards</x:v>
      </x:c>
      <x:c r="E1829" s="2" t="str">
        <x:v>Design &amp; Insights</x:v>
      </x:c>
      <x:c r="F1829" s="56" t="str">
        <x:f>'Design &amp; Insights'!E457</x:f>
        <x:v>DI.CA.2.2</x:v>
      </x:c>
      <x:c r="G1829" s="14" t="str">
        <x:f>'Design &amp; Insights'!F457</x:f>
        <x:v>Collaborate with Research on research plan specifics</x:v>
      </x:c>
      <x:c r="H1829" s="2" t="str">
        <x:f>IF('Design &amp; Insights'!G457="","",'Design &amp; Insights'!G457)</x:f>
      </x:c>
      <x:c r="I1829" s="12" t="str">
        <x:f>IF('Design &amp; Insights'!H457="","",'Design &amp; Insights'!H457)</x:f>
      </x:c>
      <x:c r="J1829" s="12" t="n">
        <x:f>IF('Design &amp; Insights'!I457="","",'Design &amp; Insights'!I457)</x:f>
        <x:v>46387</x:v>
      </x:c>
      <x:c r="K1829" s="12" t="str">
        <x:f>IF('Design &amp; Insights'!J457="","",'Design &amp; Insights'!J457)</x:f>
      </x:c>
      <x:c r="L1829" s="2" t="str">
        <x:f>IF('Design &amp; Insights'!K457="","",'Design &amp; Insights'!K457)</x:f>
      </x:c>
      <x:c r="M1829" s="2" t="n">
        <x:f>'Design &amp; Insights'!Q457</x:f>
        <x:v>1</x:v>
      </x:c>
      <x:c r="N1829" s="2" t="str">
        <x:f>'Design &amp; Insights'!L457</x:f>
        <x:v>Not started</x:v>
      </x:c>
      <x:c r="O1829" s="2" t="str">
        <x:f>'Design &amp; Insights'!N457</x:f>
        <x:v>DI.CA.2.2.2026.CY4</x:v>
      </x:c>
      <x:c r="P1829" s="2" t="n">
        <x:f>'Design &amp; Insights'!O457</x:f>
        <x:v>0</x:v>
      </x:c>
      <x:c r="Q1829" s="2" t="n">
        <x:f>SUBTOTAL(103,O1829)</x:f>
        <x:v>1</x:v>
      </x:c>
      <x:c r="R1829" s="2" t="n">
        <x:f>IF(AND(M1829=1,OR(Dashboard!$B$7="All",Dashboard!$B$7='Cycles &amp; Guide'!$C$5),OR(Dashboard!$D$7="All",Dashboard!$D$7=B1829),OR(Dashboard!$F$7="All",Dashboard!$F$7=C1829),OR(Dashboard!$H$7="All",Dashboard!$H$7=D1829),OR(Dashboard!$K$7="All",Dashboard!$K$7=E1829)),1,0)</x:f>
        <x:v>1</x:v>
      </x:c>
      <x:c r="S1829" s="2" t="n">
        <x:f>IF(R1829=1,SUM($R$10:R1829),0)</x:f>
        <x:v>1456</x:v>
      </x:c>
      <x:c r="T1829" s="2" t="str">
        <x:v>Design &amp; Insights</x:v>
      </x:c>
      <x:c r="U1829" s="2" t="n">
        <x:v>457</x:v>
      </x:c>
      <x:c r="V1829" s="2" t="n">
        <x:f>IF(AND(M1829=1,P1829=0,ISNUMBER(J1829),J1829&lt;TODAY()),1,0)</x:f>
        <x:v>0</x:v>
      </x:c>
      <x:c r="W1829" s="2" t="str">
        <x:f>'Design &amp; Insights'!M457</x:f>
        <x:v>Task</x:v>
      </x:c>
    </x:row>
    <x:row r="1830" ht="40" customHeight="1">
      <x:c r="A1830" s="3" t="str">
        <x:f>HYPERLINK("#'Design &amp; Insights'!A458","Open")</x:f>
        <x:v>Open</x:v>
      </x:c>
      <x:c r="B1830" s="2" t="str">
        <x:f>'Design &amp; Insights'!B458</x:f>
        <x:v>Cycle 4</x:v>
      </x:c>
      <x:c r="C1830" s="2" t="str">
        <x:f>'Design &amp; Insights'!C458</x:f>
        <x:v>Phase 2</x:v>
      </x:c>
      <x:c r="D1830" s="2" t="str">
        <x:f>'Design &amp; Insights'!D458</x:f>
        <x:v>Cards</x:v>
      </x:c>
      <x:c r="E1830" s="2" t="str">
        <x:v>Design &amp; Insights</x:v>
      </x:c>
      <x:c r="F1830" s="56" t="str">
        <x:f>'Design &amp; Insights'!E458</x:f>
        <x:v>DI.CA.2.3</x:v>
      </x:c>
      <x:c r="G1830" s="14" t="str">
        <x:f>'Design &amp; Insights'!F458</x:f>
        <x:v>Participate in SME insight meetings to gain perspective and appetite on potential enhancements</x:v>
      </x:c>
      <x:c r="H1830" s="2" t="str">
        <x:f>IF('Design &amp; Insights'!G458="","",'Design &amp; Insights'!G458)</x:f>
      </x:c>
      <x:c r="I1830" s="12" t="str">
        <x:f>IF('Design &amp; Insights'!H458="","",'Design &amp; Insights'!H458)</x:f>
      </x:c>
      <x:c r="J1830" s="12" t="n">
        <x:f>IF('Design &amp; Insights'!I458="","",'Design &amp; Insights'!I458)</x:f>
        <x:v>46387</x:v>
      </x:c>
      <x:c r="K1830" s="12" t="str">
        <x:f>IF('Design &amp; Insights'!J458="","",'Design &amp; Insights'!J458)</x:f>
      </x:c>
      <x:c r="L1830" s="2" t="str">
        <x:f>IF('Design &amp; Insights'!K458="","",'Design &amp; Insights'!K458)</x:f>
      </x:c>
      <x:c r="M1830" s="2" t="n">
        <x:f>'Design &amp; Insights'!Q458</x:f>
        <x:v>1</x:v>
      </x:c>
      <x:c r="N1830" s="2" t="str">
        <x:f>'Design &amp; Insights'!L458</x:f>
        <x:v>Not started</x:v>
      </x:c>
      <x:c r="O1830" s="2" t="str">
        <x:f>'Design &amp; Insights'!N458</x:f>
        <x:v>DI.CA.2.3.2026.CY4</x:v>
      </x:c>
      <x:c r="P1830" s="2" t="n">
        <x:f>'Design &amp; Insights'!O458</x:f>
        <x:v>0</x:v>
      </x:c>
      <x:c r="Q1830" s="2" t="n">
        <x:f>SUBTOTAL(103,O1830)</x:f>
        <x:v>1</x:v>
      </x:c>
      <x:c r="R1830" s="2" t="n">
        <x:f>IF(AND(M1830=1,OR(Dashboard!$B$7="All",Dashboard!$B$7='Cycles &amp; Guide'!$C$5),OR(Dashboard!$D$7="All",Dashboard!$D$7=B1830),OR(Dashboard!$F$7="All",Dashboard!$F$7=C1830),OR(Dashboard!$H$7="All",Dashboard!$H$7=D1830),OR(Dashboard!$K$7="All",Dashboard!$K$7=E1830)),1,0)</x:f>
        <x:v>1</x:v>
      </x:c>
      <x:c r="S1830" s="2" t="n">
        <x:f>IF(R1830=1,SUM($R$10:R1830),0)</x:f>
        <x:v>1457</x:v>
      </x:c>
      <x:c r="T1830" s="2" t="str">
        <x:v>Design &amp; Insights</x:v>
      </x:c>
      <x:c r="U1830" s="2" t="n">
        <x:v>458</x:v>
      </x:c>
      <x:c r="V1830" s="2" t="n">
        <x:f>IF(AND(M1830=1,P1830=0,ISNUMBER(J1830),J1830&lt;TODAY()),1,0)</x:f>
        <x:v>0</x:v>
      </x:c>
      <x:c r="W1830" s="2" t="str">
        <x:f>'Design &amp; Insights'!M458</x:f>
        <x:v>Task</x:v>
      </x:c>
    </x:row>
    <x:row r="1831" ht="40" customHeight="1">
      <x:c r="A1831" s="3" t="str">
        <x:f>HYPERLINK("#'Design &amp; Insights'!A459","Open")</x:f>
        <x:v>Open</x:v>
      </x:c>
      <x:c r="B1831" s="2" t="str">
        <x:f>'Design &amp; Insights'!B459</x:f>
        <x:v>Cycle 4</x:v>
      </x:c>
      <x:c r="C1831" s="2" t="str">
        <x:f>'Design &amp; Insights'!C459</x:f>
        <x:v>Phase 2</x:v>
      </x:c>
      <x:c r="D1831" s="2" t="str">
        <x:f>'Design &amp; Insights'!D459</x:f>
        <x:v>Cards</x:v>
      </x:c>
      <x:c r="E1831" s="2" t="str">
        <x:v>Design &amp; Insights</x:v>
      </x:c>
      <x:c r="F1831" s="56" t="str">
        <x:f>'Design &amp; Insights'!E459</x:f>
        <x:v>DI.CA.2.4</x:v>
      </x:c>
      <x:c r="G1831" s="14" t="str">
        <x:f>'Design &amp; Insights'!F459</x:f>
        <x:v>Begin development of presentation materials as Research is being completed</x:v>
      </x:c>
      <x:c r="H1831" s="2" t="str">
        <x:f>IF('Design &amp; Insights'!G459="","",'Design &amp; Insights'!G459)</x:f>
      </x:c>
      <x:c r="I1831" s="12" t="str">
        <x:f>IF('Design &amp; Insights'!H459="","",'Design &amp; Insights'!H459)</x:f>
      </x:c>
      <x:c r="J1831" s="12" t="n">
        <x:f>IF('Design &amp; Insights'!I459="","",'Design &amp; Insights'!I459)</x:f>
        <x:v>46387</x:v>
      </x:c>
      <x:c r="K1831" s="12" t="str">
        <x:f>IF('Design &amp; Insights'!J459="","",'Design &amp; Insights'!J459)</x:f>
      </x:c>
      <x:c r="L1831" s="2" t="str">
        <x:f>IF('Design &amp; Insights'!K459="","",'Design &amp; Insights'!K459)</x:f>
      </x:c>
      <x:c r="M1831" s="2" t="n">
        <x:f>'Design &amp; Insights'!Q459</x:f>
        <x:v>1</x:v>
      </x:c>
      <x:c r="N1831" s="2" t="str">
        <x:f>'Design &amp; Insights'!L459</x:f>
        <x:v>Not started</x:v>
      </x:c>
      <x:c r="O1831" s="2" t="str">
        <x:f>'Design &amp; Insights'!N459</x:f>
        <x:v>DI.CA.2.4.2026.CY4</x:v>
      </x:c>
      <x:c r="P1831" s="2" t="n">
        <x:f>'Design &amp; Insights'!O459</x:f>
        <x:v>0</x:v>
      </x:c>
      <x:c r="Q1831" s="2" t="n">
        <x:f>SUBTOTAL(103,O1831)</x:f>
        <x:v>1</x:v>
      </x:c>
      <x:c r="R1831" s="2" t="n">
        <x:f>IF(AND(M1831=1,OR(Dashboard!$B$7="All",Dashboard!$B$7='Cycles &amp; Guide'!$C$5),OR(Dashboard!$D$7="All",Dashboard!$D$7=B1831),OR(Dashboard!$F$7="All",Dashboard!$F$7=C1831),OR(Dashboard!$H$7="All",Dashboard!$H$7=D1831),OR(Dashboard!$K$7="All",Dashboard!$K$7=E1831)),1,0)</x:f>
        <x:v>1</x:v>
      </x:c>
      <x:c r="S1831" s="2" t="n">
        <x:f>IF(R1831=1,SUM($R$10:R1831),0)</x:f>
        <x:v>1458</x:v>
      </x:c>
      <x:c r="T1831" s="2" t="str">
        <x:v>Design &amp; Insights</x:v>
      </x:c>
      <x:c r="U1831" s="2" t="n">
        <x:v>459</x:v>
      </x:c>
      <x:c r="V1831" s="2" t="n">
        <x:f>IF(AND(M1831=1,P1831=0,ISNUMBER(J1831),J1831&lt;TODAY()),1,0)</x:f>
        <x:v>0</x:v>
      </x:c>
      <x:c r="W1831" s="2" t="str">
        <x:f>'Design &amp; Insights'!M459</x:f>
        <x:v>Task</x:v>
      </x:c>
    </x:row>
    <x:row r="1832" ht="40" customHeight="1">
      <x:c r="A1832" s="3" t="str">
        <x:f>HYPERLINK("#'Design &amp; Insights'!A460","Open")</x:f>
        <x:v>Open</x:v>
      </x:c>
      <x:c r="B1832" s="2" t="str">
        <x:f>'Design &amp; Insights'!B460</x:f>
        <x:v>Cycle 4</x:v>
      </x:c>
      <x:c r="C1832" s="2" t="str">
        <x:f>'Design &amp; Insights'!C460</x:f>
        <x:v>Phase 2</x:v>
      </x:c>
      <x:c r="D1832" s="2" t="str">
        <x:f>'Design &amp; Insights'!D460</x:f>
        <x:v>Cards</x:v>
      </x:c>
      <x:c r="E1832" s="2" t="str">
        <x:v>Design &amp; Insights</x:v>
      </x:c>
      <x:c r="F1832" s="56" t="str">
        <x:f>'Design &amp; Insights'!E460</x:f>
        <x:v>DI.CA.2.5</x:v>
      </x:c>
      <x:c r="G1832" s="14" t="str">
        <x:f>'Design &amp; Insights'!F460</x:f>
        <x:v>Draft initial enhancement recommendations (as applicable)</x:v>
      </x:c>
      <x:c r="H1832" s="2" t="str">
        <x:f>IF('Design &amp; Insights'!G460="","",'Design &amp; Insights'!G460)</x:f>
      </x:c>
      <x:c r="I1832" s="12" t="str">
        <x:f>IF('Design &amp; Insights'!H460="","",'Design &amp; Insights'!H460)</x:f>
      </x:c>
      <x:c r="J1832" s="12" t="n">
        <x:f>IF('Design &amp; Insights'!I460="","",'Design &amp; Insights'!I460)</x:f>
        <x:v>46387</x:v>
      </x:c>
      <x:c r="K1832" s="12" t="str">
        <x:f>IF('Design &amp; Insights'!J460="","",'Design &amp; Insights'!J460)</x:f>
      </x:c>
      <x:c r="L1832" s="2" t="str">
        <x:f>IF('Design &amp; Insights'!K460="","",'Design &amp; Insights'!K460)</x:f>
      </x:c>
      <x:c r="M1832" s="2" t="n">
        <x:f>'Design &amp; Insights'!Q460</x:f>
        <x:v>1</x:v>
      </x:c>
      <x:c r="N1832" s="2" t="str">
        <x:f>'Design &amp; Insights'!L460</x:f>
        <x:v>Not started</x:v>
      </x:c>
      <x:c r="O1832" s="2" t="str">
        <x:f>'Design &amp; Insights'!N460</x:f>
        <x:v>DI.CA.2.5.2026.CY4</x:v>
      </x:c>
      <x:c r="P1832" s="2" t="n">
        <x:f>'Design &amp; Insights'!O460</x:f>
        <x:v>0</x:v>
      </x:c>
      <x:c r="Q1832" s="2" t="n">
        <x:f>SUBTOTAL(103,O1832)</x:f>
        <x:v>1</x:v>
      </x:c>
      <x:c r="R1832" s="2" t="n">
        <x:f>IF(AND(M1832=1,OR(Dashboard!$B$7="All",Dashboard!$B$7='Cycles &amp; Guide'!$C$5),OR(Dashboard!$D$7="All",Dashboard!$D$7=B1832),OR(Dashboard!$F$7="All",Dashboard!$F$7=C1832),OR(Dashboard!$H$7="All",Dashboard!$H$7=D1832),OR(Dashboard!$K$7="All",Dashboard!$K$7=E1832)),1,0)</x:f>
        <x:v>1</x:v>
      </x:c>
      <x:c r="S1832" s="2" t="n">
        <x:f>IF(R1832=1,SUM($R$10:R1832),0)</x:f>
        <x:v>1459</x:v>
      </x:c>
      <x:c r="T1832" s="2" t="str">
        <x:v>Design &amp; Insights</x:v>
      </x:c>
      <x:c r="U1832" s="2" t="n">
        <x:v>460</x:v>
      </x:c>
      <x:c r="V1832" s="2" t="n">
        <x:f>IF(AND(M1832=1,P1832=0,ISNUMBER(J1832),J1832&lt;TODAY()),1,0)</x:f>
        <x:v>0</x:v>
      </x:c>
      <x:c r="W1832" s="2" t="str">
        <x:f>'Design &amp; Insights'!M460</x:f>
        <x:v>Task</x:v>
      </x:c>
    </x:row>
    <x:row r="1833" ht="40" customHeight="1">
      <x:c r="A1833" s="3" t="str">
        <x:f>HYPERLINK("#'Design &amp; Insights'!A461","Open")</x:f>
        <x:v>Open</x:v>
      </x:c>
      <x:c r="B1833" s="2" t="str">
        <x:f>'Design &amp; Insights'!B461</x:f>
        <x:v>Cycle 4</x:v>
      </x:c>
      <x:c r="C1833" s="2" t="str">
        <x:f>'Design &amp; Insights'!C461</x:f>
        <x:v>Phase 2</x:v>
      </x:c>
      <x:c r="D1833" s="2" t="str">
        <x:f>'Design &amp; Insights'!D461</x:f>
        <x:v>Cards</x:v>
      </x:c>
      <x:c r="E1833" s="2" t="str">
        <x:v>Design &amp; Insights</x:v>
      </x:c>
      <x:c r="F1833" s="56" t="str">
        <x:f>'Design &amp; Insights'!E461</x:f>
        <x:v>DI.CA.2.6</x:v>
      </x:c>
      <x:c r="G1833" s="14" t="str">
        <x:f>'Design &amp; Insights'!F461</x:f>
        <x:v>Finalize presentation deck draft at conclusion of Research phase</x:v>
      </x:c>
      <x:c r="H1833" s="2" t="str">
        <x:f>IF('Design &amp; Insights'!G461="","",'Design &amp; Insights'!G461)</x:f>
      </x:c>
      <x:c r="I1833" s="12" t="str">
        <x:f>IF('Design &amp; Insights'!H461="","",'Design &amp; Insights'!H461)</x:f>
      </x:c>
      <x:c r="J1833" s="12" t="n">
        <x:f>IF('Design &amp; Insights'!I461="","",'Design &amp; Insights'!I461)</x:f>
        <x:v>46387</x:v>
      </x:c>
      <x:c r="K1833" s="12" t="str">
        <x:f>IF('Design &amp; Insights'!J461="","",'Design &amp; Insights'!J461)</x:f>
      </x:c>
      <x:c r="L1833" s="2" t="str">
        <x:f>IF('Design &amp; Insights'!K461="","",'Design &amp; Insights'!K461)</x:f>
      </x:c>
      <x:c r="M1833" s="2" t="n">
        <x:f>'Design &amp; Insights'!Q461</x:f>
        <x:v>1</x:v>
      </x:c>
      <x:c r="N1833" s="2" t="str">
        <x:f>'Design &amp; Insights'!L461</x:f>
        <x:v>Not started</x:v>
      </x:c>
      <x:c r="O1833" s="2" t="str">
        <x:f>'Design &amp; Insights'!N461</x:f>
        <x:v>DI.CA.2.6.2026.CY4</x:v>
      </x:c>
      <x:c r="P1833" s="2" t="n">
        <x:f>'Design &amp; Insights'!O461</x:f>
        <x:v>0</x:v>
      </x:c>
      <x:c r="Q1833" s="2" t="n">
        <x:f>SUBTOTAL(103,O1833)</x:f>
        <x:v>1</x:v>
      </x:c>
      <x:c r="R1833" s="2" t="n">
        <x:f>IF(AND(M1833=1,OR(Dashboard!$B$7="All",Dashboard!$B$7='Cycles &amp; Guide'!$C$5),OR(Dashboard!$D$7="All",Dashboard!$D$7=B1833),OR(Dashboard!$F$7="All",Dashboard!$F$7=C1833),OR(Dashboard!$H$7="All",Dashboard!$H$7=D1833),OR(Dashboard!$K$7="All",Dashboard!$K$7=E1833)),1,0)</x:f>
        <x:v>1</x:v>
      </x:c>
      <x:c r="S1833" s="2" t="n">
        <x:f>IF(R1833=1,SUM($R$10:R1833),0)</x:f>
        <x:v>1460</x:v>
      </x:c>
      <x:c r="T1833" s="2" t="str">
        <x:v>Design &amp; Insights</x:v>
      </x:c>
      <x:c r="U1833" s="2" t="n">
        <x:v>461</x:v>
      </x:c>
      <x:c r="V1833" s="2" t="n">
        <x:f>IF(AND(M1833=1,P1833=0,ISNUMBER(J1833),J1833&lt;TODAY()),1,0)</x:f>
        <x:v>0</x:v>
      </x:c>
      <x:c r="W1833" s="2" t="str">
        <x:f>'Design &amp; Insights'!M461</x:f>
        <x:v>Task</x:v>
      </x:c>
    </x:row>
    <x:row r="1834" ht="40" customHeight="1">
      <x:c r="A1834" s="3" t="str">
        <x:f>HYPERLINK("#'Design &amp; Insights'!A462","Open")</x:f>
        <x:v>Open</x:v>
      </x:c>
      <x:c r="B1834" s="2" t="str">
        <x:f>'Design &amp; Insights'!B462</x:f>
        <x:v>Cycle 4</x:v>
      </x:c>
      <x:c r="C1834" s="2" t="str">
        <x:f>'Design &amp; Insights'!C462</x:f>
        <x:v>Phase 2</x:v>
      </x:c>
      <x:c r="D1834" s="2" t="str">
        <x:f>'Design &amp; Insights'!D462</x:f>
        <x:v>Cards</x:v>
      </x:c>
      <x:c r="E1834" s="2" t="str">
        <x:v>Design &amp; Insights</x:v>
      </x:c>
      <x:c r="F1834" s="56" t="str">
        <x:f>'Design &amp; Insights'!E462</x:f>
        <x:v>DI.CA.2.7</x:v>
      </x:c>
      <x:c r="G1834" s="14" t="str">
        <x:f>'Design &amp; Insights'!F462</x:f>
        <x:v>Update Outcome portion of research plan with current enhancement verbiage (as needed)</x:v>
      </x:c>
      <x:c r="H1834" s="2" t="str">
        <x:f>IF('Design &amp; Insights'!G462="","",'Design &amp; Insights'!G462)</x:f>
      </x:c>
      <x:c r="I1834" s="12" t="str">
        <x:f>IF('Design &amp; Insights'!H462="","",'Design &amp; Insights'!H462)</x:f>
      </x:c>
      <x:c r="J1834" s="12" t="n">
        <x:f>IF('Design &amp; Insights'!I462="","",'Design &amp; Insights'!I462)</x:f>
        <x:v>46387</x:v>
      </x:c>
      <x:c r="K1834" s="12" t="str">
        <x:f>IF('Design &amp; Insights'!J462="","",'Design &amp; Insights'!J462)</x:f>
      </x:c>
      <x:c r="L1834" s="2" t="str">
        <x:f>IF('Design &amp; Insights'!K462="","",'Design &amp; Insights'!K462)</x:f>
      </x:c>
      <x:c r="M1834" s="2" t="n">
        <x:f>'Design &amp; Insights'!Q462</x:f>
        <x:v>1</x:v>
      </x:c>
      <x:c r="N1834" s="2" t="str">
        <x:f>'Design &amp; Insights'!L462</x:f>
        <x:v>Not started</x:v>
      </x:c>
      <x:c r="O1834" s="2" t="str">
        <x:f>'Design &amp; Insights'!N462</x:f>
        <x:v>DI.CA.2.7.2026.CY4</x:v>
      </x:c>
      <x:c r="P1834" s="2" t="n">
        <x:f>'Design &amp; Insights'!O462</x:f>
        <x:v>0</x:v>
      </x:c>
      <x:c r="Q1834" s="2" t="n">
        <x:f>SUBTOTAL(103,O1834)</x:f>
        <x:v>1</x:v>
      </x:c>
      <x:c r="R1834" s="2" t="n">
        <x:f>IF(AND(M1834=1,OR(Dashboard!$B$7="All",Dashboard!$B$7='Cycles &amp; Guide'!$C$5),OR(Dashboard!$D$7="All",Dashboard!$D$7=B1834),OR(Dashboard!$F$7="All",Dashboard!$F$7=C1834),OR(Dashboard!$H$7="All",Dashboard!$H$7=D1834),OR(Dashboard!$K$7="All",Dashboard!$K$7=E1834)),1,0)</x:f>
        <x:v>1</x:v>
      </x:c>
      <x:c r="S1834" s="2" t="n">
        <x:f>IF(R1834=1,SUM($R$10:R1834),0)</x:f>
        <x:v>1461</x:v>
      </x:c>
      <x:c r="T1834" s="2" t="str">
        <x:v>Design &amp; Insights</x:v>
      </x:c>
      <x:c r="U1834" s="2" t="n">
        <x:v>462</x:v>
      </x:c>
      <x:c r="V1834" s="2" t="n">
        <x:f>IF(AND(M1834=1,P1834=0,ISNUMBER(J1834),J1834&lt;TODAY()),1,0)</x:f>
        <x:v>0</x:v>
      </x:c>
      <x:c r="W1834" s="2" t="str">
        <x:f>'Design &amp; Insights'!M462</x:f>
        <x:v>Task</x:v>
      </x:c>
    </x:row>
    <x:row r="1835" ht="40" customHeight="1">
      <x:c r="A1835" s="3" t="str">
        <x:f>HYPERLINK("#'Design &amp; Insights'!A463","Open")</x:f>
        <x:v>Open</x:v>
      </x:c>
      <x:c r="B1835" s="2" t="str">
        <x:f>'Design &amp; Insights'!B463</x:f>
        <x:v>Cycle 4</x:v>
      </x:c>
      <x:c r="C1835" s="2" t="str">
        <x:f>'Design &amp; Insights'!C463</x:f>
        <x:v>Phase 3</x:v>
      </x:c>
      <x:c r="D1835" s="2" t="str">
        <x:f>'Design &amp; Insights'!D463</x:f>
        <x:v>Cards</x:v>
      </x:c>
      <x:c r="E1835" s="2" t="str">
        <x:v>Design &amp; Insights</x:v>
      </x:c>
      <x:c r="F1835" s="56" t="str">
        <x:f>'Design &amp; Insights'!E463</x:f>
        <x:v>DI.CA.3.1</x:v>
      </x:c>
      <x:c r="G1835" s="14" t="str">
        <x:f>'Design &amp; Insights'!F463</x:f>
        <x:v>Confirm list of required &amp; optional attendees for pre-socialization meeting</x:v>
      </x:c>
      <x:c r="H1835" s="2" t="str">
        <x:f>IF('Design &amp; Insights'!G463="","",'Design &amp; Insights'!G463)</x:f>
      </x:c>
      <x:c r="I1835" s="12" t="str">
        <x:f>IF('Design &amp; Insights'!H463="","",'Design &amp; Insights'!H463)</x:f>
      </x:c>
      <x:c r="J1835" s="12" t="n">
        <x:f>IF('Design &amp; Insights'!I463="","",'Design &amp; Insights'!I463)</x:f>
        <x:v>46387</x:v>
      </x:c>
      <x:c r="K1835" s="12" t="str">
        <x:f>IF('Design &amp; Insights'!J463="","",'Design &amp; Insights'!J463)</x:f>
      </x:c>
      <x:c r="L1835" s="2" t="str">
        <x:f>IF('Design &amp; Insights'!K463="","",'Design &amp; Insights'!K463)</x:f>
      </x:c>
      <x:c r="M1835" s="2" t="n">
        <x:f>'Design &amp; Insights'!Q463</x:f>
        <x:v>1</x:v>
      </x:c>
      <x:c r="N1835" s="2" t="str">
        <x:f>'Design &amp; Insights'!L463</x:f>
        <x:v>Not started</x:v>
      </x:c>
      <x:c r="O1835" s="2" t="str">
        <x:f>'Design &amp; Insights'!N463</x:f>
        <x:v>DI.CA.3.1.2026.CY4</x:v>
      </x:c>
      <x:c r="P1835" s="2" t="n">
        <x:f>'Design &amp; Insights'!O463</x:f>
        <x:v>0</x:v>
      </x:c>
      <x:c r="Q1835" s="2" t="n">
        <x:f>SUBTOTAL(103,O1835)</x:f>
        <x:v>1</x:v>
      </x:c>
      <x:c r="R1835" s="2" t="n">
        <x:f>IF(AND(M1835=1,OR(Dashboard!$B$7="All",Dashboard!$B$7='Cycles &amp; Guide'!$C$5),OR(Dashboard!$D$7="All",Dashboard!$D$7=B1835),OR(Dashboard!$F$7="All",Dashboard!$F$7=C1835),OR(Dashboard!$H$7="All",Dashboard!$H$7=D1835),OR(Dashboard!$K$7="All",Dashboard!$K$7=E1835)),1,0)</x:f>
        <x:v>1</x:v>
      </x:c>
      <x:c r="S1835" s="2" t="n">
        <x:f>IF(R1835=1,SUM($R$10:R1835),0)</x:f>
        <x:v>1462</x:v>
      </x:c>
      <x:c r="T1835" s="2" t="str">
        <x:v>Design &amp; Insights</x:v>
      </x:c>
      <x:c r="U1835" s="2" t="n">
        <x:v>463</x:v>
      </x:c>
      <x:c r="V1835" s="2" t="n">
        <x:f>IF(AND(M1835=1,P1835=0,ISNUMBER(J1835),J1835&lt;TODAY()),1,0)</x:f>
        <x:v>0</x:v>
      </x:c>
      <x:c r="W1835" s="2" t="str">
        <x:f>'Design &amp; Insights'!M463</x:f>
        <x:v>Task</x:v>
      </x:c>
    </x:row>
    <x:row r="1836" ht="40" customHeight="1">
      <x:c r="A1836" s="3" t="str">
        <x:f>HYPERLINK("#'Design &amp; Insights'!A464","Open")</x:f>
        <x:v>Open</x:v>
      </x:c>
      <x:c r="B1836" s="2" t="str">
        <x:f>'Design &amp; Insights'!B464</x:f>
        <x:v>Cycle 4</x:v>
      </x:c>
      <x:c r="C1836" s="2" t="str">
        <x:f>'Design &amp; Insights'!C464</x:f>
        <x:v>Phase 3</x:v>
      </x:c>
      <x:c r="D1836" s="2" t="str">
        <x:f>'Design &amp; Insights'!D464</x:f>
        <x:v>Cards</x:v>
      </x:c>
      <x:c r="E1836" s="2" t="str">
        <x:v>Design &amp; Insights</x:v>
      </x:c>
      <x:c r="F1836" s="56" t="str">
        <x:f>'Design &amp; Insights'!E464</x:f>
        <x:v>DI.CA.3.2</x:v>
      </x:c>
      <x:c r="G1836" s="14" t="str">
        <x:f>'Design &amp; Insights'!F464</x:f>
        <x:v>Schedule pre-socialization meeting 1 week prior to RCA Forum</x:v>
      </x:c>
      <x:c r="H1836" s="2" t="str">
        <x:f>IF('Design &amp; Insights'!G464="","",'Design &amp; Insights'!G464)</x:f>
      </x:c>
      <x:c r="I1836" s="12" t="str">
        <x:f>IF('Design &amp; Insights'!H464="","",'Design &amp; Insights'!H464)</x:f>
      </x:c>
      <x:c r="J1836" s="12" t="str">
        <x:f>IF('Design &amp; Insights'!I464="","",'Design &amp; Insights'!I464)</x:f>
      </x:c>
      <x:c r="K1836" s="12" t="str">
        <x:f>IF('Design &amp; Insights'!J464="","",'Design &amp; Insights'!J464)</x:f>
      </x:c>
      <x:c r="L1836" s="2" t="str">
        <x:f>IF('Design &amp; Insights'!K464="","",'Design &amp; Insights'!K464)</x:f>
      </x:c>
      <x:c r="M1836" s="2" t="n">
        <x:f>'Design &amp; Insights'!Q464</x:f>
        <x:v>1</x:v>
      </x:c>
      <x:c r="N1836" s="2" t="str">
        <x:f>'Design &amp; Insights'!L464</x:f>
        <x:v>Not started</x:v>
      </x:c>
      <x:c r="O1836" s="2" t="str">
        <x:f>'Design &amp; Insights'!N464</x:f>
        <x:v>DI.CA.3.2.2026.CY4</x:v>
      </x:c>
      <x:c r="P1836" s="2" t="n">
        <x:f>'Design &amp; Insights'!O464</x:f>
        <x:v>0</x:v>
      </x:c>
      <x:c r="Q1836" s="2" t="n">
        <x:f>SUBTOTAL(103,O1836)</x:f>
        <x:v>1</x:v>
      </x:c>
      <x:c r="R1836" s="2" t="n">
        <x:f>IF(AND(M1836=1,OR(Dashboard!$B$7="All",Dashboard!$B$7='Cycles &amp; Guide'!$C$5),OR(Dashboard!$D$7="All",Dashboard!$D$7=B1836),OR(Dashboard!$F$7="All",Dashboard!$F$7=C1836),OR(Dashboard!$H$7="All",Dashboard!$H$7=D1836),OR(Dashboard!$K$7="All",Dashboard!$K$7=E1836)),1,0)</x:f>
        <x:v>1</x:v>
      </x:c>
      <x:c r="S1836" s="2" t="n">
        <x:f>IF(R1836=1,SUM($R$10:R1836),0)</x:f>
        <x:v>1463</x:v>
      </x:c>
      <x:c r="T1836" s="2" t="str">
        <x:v>Design &amp; Insights</x:v>
      </x:c>
      <x:c r="U1836" s="2" t="n">
        <x:v>464</x:v>
      </x:c>
      <x:c r="V1836" s="2" t="n">
        <x:f>IF(AND(M1836=1,P1836=0,ISNUMBER(J1836),J1836&lt;TODAY()),1,0)</x:f>
        <x:v>0</x:v>
      </x:c>
      <x:c r="W1836" s="2" t="str">
        <x:f>'Design &amp; Insights'!M464</x:f>
        <x:v>Task</x:v>
      </x:c>
    </x:row>
    <x:row r="1837" ht="40" customHeight="1">
      <x:c r="A1837" s="3" t="str">
        <x:f>HYPERLINK("#'Design &amp; Insights'!A465","Open")</x:f>
        <x:v>Open</x:v>
      </x:c>
      <x:c r="B1837" s="2" t="str">
        <x:f>'Design &amp; Insights'!B465</x:f>
        <x:v>Cycle 4</x:v>
      </x:c>
      <x:c r="C1837" s="2" t="str">
        <x:f>'Design &amp; Insights'!C465</x:f>
        <x:v>Phase 3</x:v>
      </x:c>
      <x:c r="D1837" s="2" t="str">
        <x:f>'Design &amp; Insights'!D465</x:f>
        <x:v>Cards</x:v>
      </x:c>
      <x:c r="E1837" s="2" t="str">
        <x:v>Design &amp; Insights</x:v>
      </x:c>
      <x:c r="F1837" s="56" t="str">
        <x:f>'Design &amp; Insights'!E465</x:f>
        <x:v>DI.CA.3.3</x:v>
      </x:c>
      <x:c r="G1837" s="14" t="str">
        <x:f>'Design &amp; Insights'!F465</x:f>
        <x:v>Present findings, conclusions, and recommendation to SMEs</x:v>
      </x:c>
      <x:c r="H1837" s="2" t="str">
        <x:f>IF('Design &amp; Insights'!G465="","",'Design &amp; Insights'!G465)</x:f>
      </x:c>
      <x:c r="I1837" s="12" t="str">
        <x:f>IF('Design &amp; Insights'!H465="","",'Design &amp; Insights'!H465)</x:f>
      </x:c>
      <x:c r="J1837" s="12" t="n">
        <x:f>IF('Design &amp; Insights'!I465="","",'Design &amp; Insights'!I465)</x:f>
        <x:v>46387</x:v>
      </x:c>
      <x:c r="K1837" s="12" t="str">
        <x:f>IF('Design &amp; Insights'!J465="","",'Design &amp; Insights'!J465)</x:f>
      </x:c>
      <x:c r="L1837" s="2" t="str">
        <x:f>IF('Design &amp; Insights'!K465="","",'Design &amp; Insights'!K465)</x:f>
      </x:c>
      <x:c r="M1837" s="2" t="n">
        <x:f>'Design &amp; Insights'!Q465</x:f>
        <x:v>1</x:v>
      </x:c>
      <x:c r="N1837" s="2" t="str">
        <x:f>'Design &amp; Insights'!L465</x:f>
        <x:v>Not started</x:v>
      </x:c>
      <x:c r="O1837" s="2" t="str">
        <x:f>'Design &amp; Insights'!N465</x:f>
        <x:v>DI.CA.3.3.2026.CY4</x:v>
      </x:c>
      <x:c r="P1837" s="2" t="n">
        <x:f>'Design &amp; Insights'!O465</x:f>
        <x:v>0</x:v>
      </x:c>
      <x:c r="Q1837" s="2" t="n">
        <x:f>SUBTOTAL(103,O1837)</x:f>
        <x:v>1</x:v>
      </x:c>
      <x:c r="R1837" s="2" t="n">
        <x:f>IF(AND(M1837=1,OR(Dashboard!$B$7="All",Dashboard!$B$7='Cycles &amp; Guide'!$C$5),OR(Dashboard!$D$7="All",Dashboard!$D$7=B1837),OR(Dashboard!$F$7="All",Dashboard!$F$7=C1837),OR(Dashboard!$H$7="All",Dashboard!$H$7=D1837),OR(Dashboard!$K$7="All",Dashboard!$K$7=E1837)),1,0)</x:f>
        <x:v>1</x:v>
      </x:c>
      <x:c r="S1837" s="2" t="n">
        <x:f>IF(R1837=1,SUM($R$10:R1837),0)</x:f>
        <x:v>1464</x:v>
      </x:c>
      <x:c r="T1837" s="2" t="str">
        <x:v>Design &amp; Insights</x:v>
      </x:c>
      <x:c r="U1837" s="2" t="n">
        <x:v>465</x:v>
      </x:c>
      <x:c r="V1837" s="2" t="n">
        <x:f>IF(AND(M1837=1,P1837=0,ISNUMBER(J1837),J1837&lt;TODAY()),1,0)</x:f>
        <x:v>0</x:v>
      </x:c>
      <x:c r="W1837" s="2" t="str">
        <x:f>'Design &amp; Insights'!M465</x:f>
        <x:v>Task</x:v>
      </x:c>
    </x:row>
    <x:row r="1838" ht="40" customHeight="1">
      <x:c r="A1838" s="3" t="str">
        <x:f>HYPERLINK("#'Design &amp; Insights'!A466","Open")</x:f>
        <x:v>Open</x:v>
      </x:c>
      <x:c r="B1838" s="2" t="str">
        <x:f>'Design &amp; Insights'!B466</x:f>
        <x:v>Cycle 4</x:v>
      </x:c>
      <x:c r="C1838" s="2" t="str">
        <x:f>'Design &amp; Insights'!C466</x:f>
        <x:v>Phase 3</x:v>
      </x:c>
      <x:c r="D1838" s="2" t="str">
        <x:f>'Design &amp; Insights'!D466</x:f>
        <x:v>Cards</x:v>
      </x:c>
      <x:c r="E1838" s="2" t="str">
        <x:v>Design &amp; Insights</x:v>
      </x:c>
      <x:c r="F1838" s="56" t="str">
        <x:f>'Design &amp; Insights'!E466</x:f>
        <x:v>DI.CA.3.4</x:v>
      </x:c>
      <x:c r="G1838" s="14" t="str">
        <x:f>'Design &amp; Insights'!F466</x:f>
        <x:v>Update Outcome portion of research plan (as needed)</x:v>
      </x:c>
      <x:c r="H1838" s="2" t="str">
        <x:f>IF('Design &amp; Insights'!G466="","",'Design &amp; Insights'!G466)</x:f>
      </x:c>
      <x:c r="I1838" s="12" t="str">
        <x:f>IF('Design &amp; Insights'!H466="","",'Design &amp; Insights'!H466)</x:f>
      </x:c>
      <x:c r="J1838" s="12" t="n">
        <x:f>IF('Design &amp; Insights'!I466="","",'Design &amp; Insights'!I466)</x:f>
        <x:v>46387</x:v>
      </x:c>
      <x:c r="K1838" s="12" t="str">
        <x:f>IF('Design &amp; Insights'!J466="","",'Design &amp; Insights'!J466)</x:f>
      </x:c>
      <x:c r="L1838" s="2" t="str">
        <x:f>IF('Design &amp; Insights'!K466="","",'Design &amp; Insights'!K466)</x:f>
      </x:c>
      <x:c r="M1838" s="2" t="n">
        <x:f>'Design &amp; Insights'!Q466</x:f>
        <x:v>1</x:v>
      </x:c>
      <x:c r="N1838" s="2" t="str">
        <x:f>'Design &amp; Insights'!L466</x:f>
        <x:v>Not started</x:v>
      </x:c>
      <x:c r="O1838" s="2" t="str">
        <x:f>'Design &amp; Insights'!N466</x:f>
        <x:v>DI.CA.3.4.2026.CY4</x:v>
      </x:c>
      <x:c r="P1838" s="2" t="n">
        <x:f>'Design &amp; Insights'!O466</x:f>
        <x:v>0</x:v>
      </x:c>
      <x:c r="Q1838" s="2" t="n">
        <x:f>SUBTOTAL(103,O1838)</x:f>
        <x:v>1</x:v>
      </x:c>
      <x:c r="R1838" s="2" t="n">
        <x:f>IF(AND(M1838=1,OR(Dashboard!$B$7="All",Dashboard!$B$7='Cycles &amp; Guide'!$C$5),OR(Dashboard!$D$7="All",Dashboard!$D$7=B1838),OR(Dashboard!$F$7="All",Dashboard!$F$7=C1838),OR(Dashboard!$H$7="All",Dashboard!$H$7=D1838),OR(Dashboard!$K$7="All",Dashboard!$K$7=E1838)),1,0)</x:f>
        <x:v>1</x:v>
      </x:c>
      <x:c r="S1838" s="2" t="n">
        <x:f>IF(R1838=1,SUM($R$10:R1838),0)</x:f>
        <x:v>1465</x:v>
      </x:c>
      <x:c r="T1838" s="2" t="str">
        <x:v>Design &amp; Insights</x:v>
      </x:c>
      <x:c r="U1838" s="2" t="n">
        <x:v>466</x:v>
      </x:c>
      <x:c r="V1838" s="2" t="n">
        <x:f>IF(AND(M1838=1,P1838=0,ISNUMBER(J1838),J1838&lt;TODAY()),1,0)</x:f>
        <x:v>0</x:v>
      </x:c>
      <x:c r="W1838" s="2" t="str">
        <x:f>'Design &amp; Insights'!M466</x:f>
        <x:v>Task</x:v>
      </x:c>
    </x:row>
    <x:row r="1839" ht="40" customHeight="1">
      <x:c r="A1839" s="3" t="str">
        <x:f>HYPERLINK("#'Design &amp; Insights'!A467","Open")</x:f>
        <x:v>Open</x:v>
      </x:c>
      <x:c r="B1839" s="2" t="str">
        <x:f>'Design &amp; Insights'!B467</x:f>
        <x:v>Cycle 4</x:v>
      </x:c>
      <x:c r="C1839" s="2" t="str">
        <x:f>'Design &amp; Insights'!C467</x:f>
        <x:v>Phase 3</x:v>
      </x:c>
      <x:c r="D1839" s="2" t="str">
        <x:f>'Design &amp; Insights'!D467</x:f>
        <x:v>Cards</x:v>
      </x:c>
      <x:c r="E1839" s="2" t="str">
        <x:v>Design &amp; Insights</x:v>
      </x:c>
      <x:c r="F1839" s="56" t="str">
        <x:f>'Design &amp; Insights'!E467</x:f>
        <x:v>DI.CA.3.5</x:v>
      </x:c>
      <x:c r="G1839" s="14" t="str">
        <x:f>'Design &amp; Insights'!F467</x:f>
        <x:v>Finalize presentation deck by incorporating pre-socialization feedback (as needed)</x:v>
      </x:c>
      <x:c r="H1839" s="2" t="str">
        <x:f>IF('Design &amp; Insights'!G467="","",'Design &amp; Insights'!G467)</x:f>
      </x:c>
      <x:c r="I1839" s="12" t="str">
        <x:f>IF('Design &amp; Insights'!H467="","",'Design &amp; Insights'!H467)</x:f>
      </x:c>
      <x:c r="J1839" s="12" t="n">
        <x:f>IF('Design &amp; Insights'!I467="","",'Design &amp; Insights'!I467)</x:f>
        <x:v>46387</x:v>
      </x:c>
      <x:c r="K1839" s="12" t="str">
        <x:f>IF('Design &amp; Insights'!J467="","",'Design &amp; Insights'!J467)</x:f>
      </x:c>
      <x:c r="L1839" s="2" t="str">
        <x:f>IF('Design &amp; Insights'!K467="","",'Design &amp; Insights'!K467)</x:f>
      </x:c>
      <x:c r="M1839" s="2" t="n">
        <x:f>'Design &amp; Insights'!Q467</x:f>
        <x:v>1</x:v>
      </x:c>
      <x:c r="N1839" s="2" t="str">
        <x:f>'Design &amp; Insights'!L467</x:f>
        <x:v>Not started</x:v>
      </x:c>
      <x:c r="O1839" s="2" t="str">
        <x:f>'Design &amp; Insights'!N467</x:f>
        <x:v>DI.CA.3.5.2026.CY4</x:v>
      </x:c>
      <x:c r="P1839" s="2" t="n">
        <x:f>'Design &amp; Insights'!O467</x:f>
        <x:v>0</x:v>
      </x:c>
      <x:c r="Q1839" s="2" t="n">
        <x:f>SUBTOTAL(103,O1839)</x:f>
        <x:v>1</x:v>
      </x:c>
      <x:c r="R1839" s="2" t="n">
        <x:f>IF(AND(M1839=1,OR(Dashboard!$B$7="All",Dashboard!$B$7='Cycles &amp; Guide'!$C$5),OR(Dashboard!$D$7="All",Dashboard!$D$7=B1839),OR(Dashboard!$F$7="All",Dashboard!$F$7=C1839),OR(Dashboard!$H$7="All",Dashboard!$H$7=D1839),OR(Dashboard!$K$7="All",Dashboard!$K$7=E1839)),1,0)</x:f>
        <x:v>1</x:v>
      </x:c>
      <x:c r="S1839" s="2" t="n">
        <x:f>IF(R1839=1,SUM($R$10:R1839),0)</x:f>
        <x:v>1466</x:v>
      </x:c>
      <x:c r="T1839" s="2" t="str">
        <x:v>Design &amp; Insights</x:v>
      </x:c>
      <x:c r="U1839" s="2" t="n">
        <x:v>467</x:v>
      </x:c>
      <x:c r="V1839" s="2" t="n">
        <x:f>IF(AND(M1839=1,P1839=0,ISNUMBER(J1839),J1839&lt;TODAY()),1,0)</x:f>
        <x:v>0</x:v>
      </x:c>
      <x:c r="W1839" s="2" t="str">
        <x:f>'Design &amp; Insights'!M467</x:f>
        <x:v>Task</x:v>
      </x:c>
    </x:row>
    <x:row r="1840" ht="40" customHeight="1">
      <x:c r="A1840" s="3" t="str">
        <x:f>HYPERLINK("#'Design &amp; Insights'!A468","Open")</x:f>
        <x:v>Open</x:v>
      </x:c>
      <x:c r="B1840" s="2" t="str">
        <x:f>'Design &amp; Insights'!B468</x:f>
        <x:v>Cycle 4</x:v>
      </x:c>
      <x:c r="C1840" s="2" t="str">
        <x:f>'Design &amp; Insights'!C468</x:f>
        <x:v>Phase 3</x:v>
      </x:c>
      <x:c r="D1840" s="2" t="str">
        <x:f>'Design &amp; Insights'!D468</x:f>
        <x:v>Cards</x:v>
      </x:c>
      <x:c r="E1840" s="2" t="str">
        <x:v>Design &amp; Insights</x:v>
      </x:c>
      <x:c r="F1840" s="56" t="str">
        <x:f>'Design &amp; Insights'!E468</x:f>
        <x:v>DI.CA.3.6</x:v>
      </x:c>
      <x:c r="G1840" s="14" t="str">
        <x:f>'Design &amp; Insights'!F468</x:f>
        <x:v>Ensure final deck is communicated to Forum attendees</x:v>
      </x:c>
      <x:c r="H1840" s="2" t="str">
        <x:f>IF('Design &amp; Insights'!G468="","",'Design &amp; Insights'!G468)</x:f>
      </x:c>
      <x:c r="I1840" s="12" t="str">
        <x:f>IF('Design &amp; Insights'!H468="","",'Design &amp; Insights'!H468)</x:f>
      </x:c>
      <x:c r="J1840" s="12" t="n">
        <x:f>IF('Design &amp; Insights'!I468="","",'Design &amp; Insights'!I468)</x:f>
        <x:v>46387</x:v>
      </x:c>
      <x:c r="K1840" s="12" t="str">
        <x:f>IF('Design &amp; Insights'!J468="","",'Design &amp; Insights'!J468)</x:f>
      </x:c>
      <x:c r="L1840" s="2" t="str">
        <x:f>IF('Design &amp; Insights'!K468="","",'Design &amp; Insights'!K468)</x:f>
      </x:c>
      <x:c r="M1840" s="2" t="n">
        <x:f>'Design &amp; Insights'!Q468</x:f>
        <x:v>1</x:v>
      </x:c>
      <x:c r="N1840" s="2" t="str">
        <x:f>'Design &amp; Insights'!L468</x:f>
        <x:v>Not started</x:v>
      </x:c>
      <x:c r="O1840" s="2" t="str">
        <x:f>'Design &amp; Insights'!N468</x:f>
        <x:v>DI.CA.3.6.2026.CY4</x:v>
      </x:c>
      <x:c r="P1840" s="2" t="n">
        <x:f>'Design &amp; Insights'!O468</x:f>
        <x:v>0</x:v>
      </x:c>
      <x:c r="Q1840" s="2" t="n">
        <x:f>SUBTOTAL(103,O1840)</x:f>
        <x:v>1</x:v>
      </x:c>
      <x:c r="R1840" s="2" t="n">
        <x:f>IF(AND(M1840=1,OR(Dashboard!$B$7="All",Dashboard!$B$7='Cycles &amp; Guide'!$C$5),OR(Dashboard!$D$7="All",Dashboard!$D$7=B1840),OR(Dashboard!$F$7="All",Dashboard!$F$7=C1840),OR(Dashboard!$H$7="All",Dashboard!$H$7=D1840),OR(Dashboard!$K$7="All",Dashboard!$K$7=E1840)),1,0)</x:f>
        <x:v>1</x:v>
      </x:c>
      <x:c r="S1840" s="2" t="n">
        <x:f>IF(R1840=1,SUM($R$10:R1840),0)</x:f>
        <x:v>1467</x:v>
      </x:c>
      <x:c r="T1840" s="2" t="str">
        <x:v>Design &amp; Insights</x:v>
      </x:c>
      <x:c r="U1840" s="2" t="n">
        <x:v>468</x:v>
      </x:c>
      <x:c r="V1840" s="2" t="n">
        <x:f>IF(AND(M1840=1,P1840=0,ISNUMBER(J1840),J1840&lt;TODAY()),1,0)</x:f>
        <x:v>0</x:v>
      </x:c>
      <x:c r="W1840" s="2" t="str">
        <x:f>'Design &amp; Insights'!M468</x:f>
        <x:v>Task</x:v>
      </x:c>
    </x:row>
    <x:row r="1841" ht="40" customHeight="1">
      <x:c r="A1841" s="3" t="str">
        <x:f>HYPERLINK("#'Design &amp; Insights'!A469","Open")</x:f>
        <x:v>Open</x:v>
      </x:c>
      <x:c r="B1841" s="2" t="str">
        <x:f>'Design &amp; Insights'!B469</x:f>
        <x:v>Cycle 4</x:v>
      </x:c>
      <x:c r="C1841" s="2" t="str">
        <x:f>'Design &amp; Insights'!C469</x:f>
        <x:v>Phase 3</x:v>
      </x:c>
      <x:c r="D1841" s="2" t="str">
        <x:f>'Design &amp; Insights'!D469</x:f>
        <x:v>Cards</x:v>
      </x:c>
      <x:c r="E1841" s="2" t="str">
        <x:v>Design &amp; Insights</x:v>
      </x:c>
      <x:c r="F1841" s="56" t="str">
        <x:f>'Design &amp; Insights'!E469</x:f>
        <x:v>DI.CA.3.7</x:v>
      </x:c>
      <x:c r="G1841" s="14" t="str">
        <x:f>'Design &amp; Insights'!F469</x:f>
        <x:v>Present material in RCA Cycle Forum</x:v>
      </x:c>
      <x:c r="H1841" s="2" t="str">
        <x:f>IF('Design &amp; Insights'!G469="","",'Design &amp; Insights'!G469)</x:f>
      </x:c>
      <x:c r="I1841" s="12" t="str">
        <x:f>IF('Design &amp; Insights'!H469="","",'Design &amp; Insights'!H469)</x:f>
      </x:c>
      <x:c r="J1841" s="12" t="str">
        <x:f>IF('Design &amp; Insights'!I469="","",'Design &amp; Insights'!I469)</x:f>
      </x:c>
      <x:c r="K1841" s="12" t="str">
        <x:f>IF('Design &amp; Insights'!J469="","",'Design &amp; Insights'!J469)</x:f>
      </x:c>
      <x:c r="L1841" s="2" t="str">
        <x:f>IF('Design &amp; Insights'!K469="","",'Design &amp; Insights'!K469)</x:f>
      </x:c>
      <x:c r="M1841" s="2" t="n">
        <x:f>'Design &amp; Insights'!Q469</x:f>
        <x:v>1</x:v>
      </x:c>
      <x:c r="N1841" s="2" t="str">
        <x:f>'Design &amp; Insights'!L469</x:f>
        <x:v>Not started</x:v>
      </x:c>
      <x:c r="O1841" s="2" t="str">
        <x:f>'Design &amp; Insights'!N469</x:f>
        <x:v>DI.CA.3.7.2026.CY4</x:v>
      </x:c>
      <x:c r="P1841" s="2" t="n">
        <x:f>'Design &amp; Insights'!O469</x:f>
        <x:v>0</x:v>
      </x:c>
      <x:c r="Q1841" s="2" t="n">
        <x:f>SUBTOTAL(103,O1841)</x:f>
        <x:v>1</x:v>
      </x:c>
      <x:c r="R1841" s="2" t="n">
        <x:f>IF(AND(M1841=1,OR(Dashboard!$B$7="All",Dashboard!$B$7='Cycles &amp; Guide'!$C$5),OR(Dashboard!$D$7="All",Dashboard!$D$7=B1841),OR(Dashboard!$F$7="All",Dashboard!$F$7=C1841),OR(Dashboard!$H$7="All",Dashboard!$H$7=D1841),OR(Dashboard!$K$7="All",Dashboard!$K$7=E1841)),1,0)</x:f>
        <x:v>1</x:v>
      </x:c>
      <x:c r="S1841" s="2" t="n">
        <x:f>IF(R1841=1,SUM($R$10:R1841),0)</x:f>
        <x:v>1468</x:v>
      </x:c>
      <x:c r="T1841" s="2" t="str">
        <x:v>Design &amp; Insights</x:v>
      </x:c>
      <x:c r="U1841" s="2" t="n">
        <x:v>469</x:v>
      </x:c>
      <x:c r="V1841" s="2" t="n">
        <x:f>IF(AND(M1841=1,P1841=0,ISNUMBER(J1841),J1841&lt;TODAY()),1,0)</x:f>
        <x:v>0</x:v>
      </x:c>
      <x:c r="W1841" s="2" t="str">
        <x:f>'Design &amp; Insights'!M469</x:f>
        <x:v>Task</x:v>
      </x:c>
    </x:row>
    <x:row r="1842" ht="40" customHeight="1">
      <x:c r="A1842" s="3" t="str">
        <x:f>HYPERLINK("#'Design &amp; Insights'!A470","Open")</x:f>
        <x:v>Open</x:v>
      </x:c>
      <x:c r="B1842" s="2" t="str">
        <x:f>'Design &amp; Insights'!B470</x:f>
        <x:v>Cycle 4</x:v>
      </x:c>
      <x:c r="C1842" s="2" t="str">
        <x:f>'Design &amp; Insights'!C470</x:f>
        <x:v>Phase 1</x:v>
      </x:c>
      <x:c r="D1842" s="2" t="str">
        <x:f>'Design &amp; Insights'!D470</x:f>
        <x:v>CSBBO - Banking Ops</x:v>
      </x:c>
      <x:c r="E1842" s="2" t="str">
        <x:v>Design &amp; Insights</x:v>
      </x:c>
      <x:c r="F1842" s="56" t="str">
        <x:f>'Design &amp; Insights'!E470</x:f>
        <x:v>DI.BO.1.1</x:v>
      </x:c>
      <x:c r="G1842" s="14" t="str">
        <x:f>'Design &amp; Insights'!F470</x:f>
        <x:v>Receive and review potential research topics at least 2 weeks prior to Cycle start date</x:v>
      </x:c>
      <x:c r="H1842" s="2" t="str">
        <x:f>IF('Design &amp; Insights'!G470="","",'Design &amp; Insights'!G470)</x:f>
      </x:c>
      <x:c r="I1842" s="12" t="str">
        <x:f>IF('Design &amp; Insights'!H470="","",'Design &amp; Insights'!H470)</x:f>
      </x:c>
      <x:c r="J1842" s="12" t="n">
        <x:f>IF('Design &amp; Insights'!I470="","",'Design &amp; Insights'!I470)</x:f>
        <x:v>46282</x:v>
      </x:c>
      <x:c r="K1842" s="12" t="str">
        <x:f>IF('Design &amp; Insights'!J470="","",'Design &amp; Insights'!J470)</x:f>
      </x:c>
      <x:c r="L1842" s="2" t="str">
        <x:f>IF('Design &amp; Insights'!K470="","",'Design &amp; Insights'!K470)</x:f>
      </x:c>
      <x:c r="M1842" s="2" t="n">
        <x:f>'Design &amp; Insights'!Q470</x:f>
        <x:v>1</x:v>
      </x:c>
      <x:c r="N1842" s="2" t="str">
        <x:f>'Design &amp; Insights'!L470</x:f>
        <x:v>Not started</x:v>
      </x:c>
      <x:c r="O1842" s="2" t="str">
        <x:f>'Design &amp; Insights'!N470</x:f>
        <x:v>DI.BO.1.1.2026.CY4</x:v>
      </x:c>
      <x:c r="P1842" s="2" t="n">
        <x:f>'Design &amp; Insights'!O470</x:f>
        <x:v>0</x:v>
      </x:c>
      <x:c r="Q1842" s="2" t="n">
        <x:f>SUBTOTAL(103,O1842)</x:f>
        <x:v>1</x:v>
      </x:c>
      <x:c r="R1842" s="2" t="n">
        <x:f>IF(AND(M1842=1,OR(Dashboard!$B$7="All",Dashboard!$B$7='Cycles &amp; Guide'!$C$5),OR(Dashboard!$D$7="All",Dashboard!$D$7=B1842),OR(Dashboard!$F$7="All",Dashboard!$F$7=C1842),OR(Dashboard!$H$7="All",Dashboard!$H$7=D1842),OR(Dashboard!$K$7="All",Dashboard!$K$7=E1842)),1,0)</x:f>
        <x:v>1</x:v>
      </x:c>
      <x:c r="S1842" s="2" t="n">
        <x:f>IF(R1842=1,SUM($R$10:R1842),0)</x:f>
        <x:v>1469</x:v>
      </x:c>
      <x:c r="T1842" s="2" t="str">
        <x:v>Design &amp; Insights</x:v>
      </x:c>
      <x:c r="U1842" s="2" t="n">
        <x:v>470</x:v>
      </x:c>
      <x:c r="V1842" s="2" t="n">
        <x:f>IF(AND(M1842=1,P1842=0,ISNUMBER(J1842),J1842&lt;TODAY()),1,0)</x:f>
        <x:v>1</x:v>
      </x:c>
      <x:c r="W1842" s="2" t="str">
        <x:f>'Design &amp; Insights'!M470</x:f>
        <x:v>Task</x:v>
      </x:c>
    </x:row>
    <x:row r="1843" ht="40" customHeight="1">
      <x:c r="A1843" s="3" t="str">
        <x:f>HYPERLINK("#'Design &amp; Insights'!A471","Open")</x:f>
        <x:v>Open</x:v>
      </x:c>
      <x:c r="B1843" s="2" t="str">
        <x:f>'Design &amp; Insights'!B471</x:f>
        <x:v>Cycle 4</x:v>
      </x:c>
      <x:c r="C1843" s="2" t="str">
        <x:f>'Design &amp; Insights'!C471</x:f>
        <x:v>Phase 1</x:v>
      </x:c>
      <x:c r="D1843" s="2" t="str">
        <x:f>'Design &amp; Insights'!D471</x:f>
        <x:v>CSBBO - Banking Ops</x:v>
      </x:c>
      <x:c r="E1843" s="2" t="str">
        <x:v>Design &amp; Insights</x:v>
      </x:c>
      <x:c r="F1843" s="56" t="str">
        <x:f>'Design &amp; Insights'!E471</x:f>
        <x:v>DI.BO.1.2</x:v>
      </x:c>
      <x:c r="G1843" s="14" t="str">
        <x:f>'Design &amp; Insights'!F471</x:f>
        <x:v>Communicate any feedback on preferences or concerns with topics identified</x:v>
      </x:c>
      <x:c r="H1843" s="2" t="str">
        <x:f>IF('Design &amp; Insights'!G471="","",'Design &amp; Insights'!G471)</x:f>
      </x:c>
      <x:c r="I1843" s="12" t="str">
        <x:f>IF('Design &amp; Insights'!H471="","",'Design &amp; Insights'!H471)</x:f>
      </x:c>
      <x:c r="J1843" s="12" t="n">
        <x:f>IF('Design &amp; Insights'!I471="","",'Design &amp; Insights'!I471)</x:f>
        <x:v>46387</x:v>
      </x:c>
      <x:c r="K1843" s="12" t="str">
        <x:f>IF('Design &amp; Insights'!J471="","",'Design &amp; Insights'!J471)</x:f>
      </x:c>
      <x:c r="L1843" s="2" t="str">
        <x:f>IF('Design &amp; Insights'!K471="","",'Design &amp; Insights'!K471)</x:f>
      </x:c>
      <x:c r="M1843" s="2" t="n">
        <x:f>'Design &amp; Insights'!Q471</x:f>
        <x:v>1</x:v>
      </x:c>
      <x:c r="N1843" s="2" t="str">
        <x:f>'Design &amp; Insights'!L471</x:f>
        <x:v>Not started</x:v>
      </x:c>
      <x:c r="O1843" s="2" t="str">
        <x:f>'Design &amp; Insights'!N471</x:f>
        <x:v>DI.BO.1.2.2026.CY4</x:v>
      </x:c>
      <x:c r="P1843" s="2" t="n">
        <x:f>'Design &amp; Insights'!O471</x:f>
        <x:v>0</x:v>
      </x:c>
      <x:c r="Q1843" s="2" t="n">
        <x:f>SUBTOTAL(103,O1843)</x:f>
        <x:v>1</x:v>
      </x:c>
      <x:c r="R1843" s="2" t="n">
        <x:f>IF(AND(M1843=1,OR(Dashboard!$B$7="All",Dashboard!$B$7='Cycles &amp; Guide'!$C$5),OR(Dashboard!$D$7="All",Dashboard!$D$7=B1843),OR(Dashboard!$F$7="All",Dashboard!$F$7=C1843),OR(Dashboard!$H$7="All",Dashboard!$H$7=D1843),OR(Dashboard!$K$7="All",Dashboard!$K$7=E1843)),1,0)</x:f>
        <x:v>1</x:v>
      </x:c>
      <x:c r="S1843" s="2" t="n">
        <x:f>IF(R1843=1,SUM($R$10:R1843),0)</x:f>
        <x:v>1470</x:v>
      </x:c>
      <x:c r="T1843" s="2" t="str">
        <x:v>Design &amp; Insights</x:v>
      </x:c>
      <x:c r="U1843" s="2" t="n">
        <x:v>471</x:v>
      </x:c>
      <x:c r="V1843" s="2" t="n">
        <x:f>IF(AND(M1843=1,P1843=0,ISNUMBER(J1843),J1843&lt;TODAY()),1,0)</x:f>
        <x:v>0</x:v>
      </x:c>
      <x:c r="W1843" s="2" t="str">
        <x:f>'Design &amp; Insights'!M471</x:f>
        <x:v>Task</x:v>
      </x:c>
    </x:row>
    <x:row r="1844" ht="40" customHeight="1">
      <x:c r="A1844" s="3" t="str">
        <x:f>HYPERLINK("#'Design &amp; Insights'!A472","Open")</x:f>
        <x:v>Open</x:v>
      </x:c>
      <x:c r="B1844" s="2" t="str">
        <x:f>'Design &amp; Insights'!B472</x:f>
        <x:v>Cycle 4</x:v>
      </x:c>
      <x:c r="C1844" s="2" t="str">
        <x:f>'Design &amp; Insights'!C472</x:f>
        <x:v>Phase 1</x:v>
      </x:c>
      <x:c r="D1844" s="2" t="str">
        <x:f>'Design &amp; Insights'!D472</x:f>
        <x:v>CSBBO - Banking Ops</x:v>
      </x:c>
      <x:c r="E1844" s="2" t="str">
        <x:v>Design &amp; Insights</x:v>
      </x:c>
      <x:c r="F1844" s="56" t="str">
        <x:f>'Design &amp; Insights'!E472</x:f>
        <x:v>DI.BO.1.3</x:v>
      </x:c>
      <x:c r="G1844" s="14" t="str">
        <x:f>'Design &amp; Insights'!F472</x:f>
        <x:v>Conduct high-level preliminary review of complaints within proposed topics</x:v>
      </x:c>
      <x:c r="H1844" s="2" t="str">
        <x:f>IF('Design &amp; Insights'!G472="","",'Design &amp; Insights'!G472)</x:f>
      </x:c>
      <x:c r="I1844" s="12" t="str">
        <x:f>IF('Design &amp; Insights'!H472="","",'Design &amp; Insights'!H472)</x:f>
      </x:c>
      <x:c r="J1844" s="12" t="n">
        <x:f>IF('Design &amp; Insights'!I472="","",'Design &amp; Insights'!I472)</x:f>
        <x:v>46387</x:v>
      </x:c>
      <x:c r="K1844" s="12" t="str">
        <x:f>IF('Design &amp; Insights'!J472="","",'Design &amp; Insights'!J472)</x:f>
      </x:c>
      <x:c r="L1844" s="2" t="str">
        <x:f>IF('Design &amp; Insights'!K472="","",'Design &amp; Insights'!K472)</x:f>
      </x:c>
      <x:c r="M1844" s="2" t="n">
        <x:f>'Design &amp; Insights'!Q472</x:f>
        <x:v>1</x:v>
      </x:c>
      <x:c r="N1844" s="2" t="str">
        <x:f>'Design &amp; Insights'!L472</x:f>
        <x:v>Not started</x:v>
      </x:c>
      <x:c r="O1844" s="2" t="str">
        <x:f>'Design &amp; Insights'!N472</x:f>
        <x:v>DI.BO.1.3.2026.CY4</x:v>
      </x:c>
      <x:c r="P1844" s="2" t="n">
        <x:f>'Design &amp; Insights'!O472</x:f>
        <x:v>0</x:v>
      </x:c>
      <x:c r="Q1844" s="2" t="n">
        <x:f>SUBTOTAL(103,O1844)</x:f>
        <x:v>1</x:v>
      </x:c>
      <x:c r="R1844" s="2" t="n">
        <x:f>IF(AND(M1844=1,OR(Dashboard!$B$7="All",Dashboard!$B$7='Cycles &amp; Guide'!$C$5),OR(Dashboard!$D$7="All",Dashboard!$D$7=B1844),OR(Dashboard!$F$7="All",Dashboard!$F$7=C1844),OR(Dashboard!$H$7="All",Dashboard!$H$7=D1844),OR(Dashboard!$K$7="All",Dashboard!$K$7=E1844)),1,0)</x:f>
        <x:v>1</x:v>
      </x:c>
      <x:c r="S1844" s="2" t="n">
        <x:f>IF(R1844=1,SUM($R$10:R1844),0)</x:f>
        <x:v>1471</x:v>
      </x:c>
      <x:c r="T1844" s="2" t="str">
        <x:v>Design &amp; Insights</x:v>
      </x:c>
      <x:c r="U1844" s="2" t="n">
        <x:v>472</x:v>
      </x:c>
      <x:c r="V1844" s="2" t="n">
        <x:f>IF(AND(M1844=1,P1844=0,ISNUMBER(J1844),J1844&lt;TODAY()),1,0)</x:f>
        <x:v>0</x:v>
      </x:c>
      <x:c r="W1844" s="2" t="str">
        <x:f>'Design &amp; Insights'!M472</x:f>
        <x:v>Task</x:v>
      </x:c>
    </x:row>
    <x:row r="1845" ht="40" customHeight="1">
      <x:c r="A1845" s="3" t="str">
        <x:f>HYPERLINK("#'Design &amp; Insights'!A473","Open")</x:f>
        <x:v>Open</x:v>
      </x:c>
      <x:c r="B1845" s="2" t="str">
        <x:f>'Design &amp; Insights'!B473</x:f>
        <x:v>Cycle 4</x:v>
      </x:c>
      <x:c r="C1845" s="2" t="str">
        <x:f>'Design &amp; Insights'!C473</x:f>
        <x:v>Phase 1</x:v>
      </x:c>
      <x:c r="D1845" s="2" t="str">
        <x:f>'Design &amp; Insights'!D473</x:f>
        <x:v>CSBBO - Banking Ops</x:v>
      </x:c>
      <x:c r="E1845" s="2" t="str">
        <x:v>Design &amp; Insights</x:v>
      </x:c>
      <x:c r="F1845" s="56" t="str">
        <x:f>'Design &amp; Insights'!E473</x:f>
        <x:v>DI.BO.1.4</x:v>
      </x:c>
      <x:c r="G1845" s="14" t="str">
        <x:f>'Design &amp; Insights'!F473</x:f>
        <x:v>Meet with Research to discuss which topic to select based on potential impact</x:v>
      </x:c>
      <x:c r="H1845" s="2" t="str">
        <x:f>IF('Design &amp; Insights'!G473="","",'Design &amp; Insights'!G473)</x:f>
      </x:c>
      <x:c r="I1845" s="12" t="str">
        <x:f>IF('Design &amp; Insights'!H473="","",'Design &amp; Insights'!H473)</x:f>
      </x:c>
      <x:c r="J1845" s="12" t="n">
        <x:f>IF('Design &amp; Insights'!I473="","",'Design &amp; Insights'!I473)</x:f>
        <x:v>46387</x:v>
      </x:c>
      <x:c r="K1845" s="12" t="str">
        <x:f>IF('Design &amp; Insights'!J473="","",'Design &amp; Insights'!J473)</x:f>
      </x:c>
      <x:c r="L1845" s="2" t="str">
        <x:f>IF('Design &amp; Insights'!K473="","",'Design &amp; Insights'!K473)</x:f>
      </x:c>
      <x:c r="M1845" s="2" t="n">
        <x:f>'Design &amp; Insights'!Q473</x:f>
        <x:v>1</x:v>
      </x:c>
      <x:c r="N1845" s="2" t="str">
        <x:f>'Design &amp; Insights'!L473</x:f>
        <x:v>Not started</x:v>
      </x:c>
      <x:c r="O1845" s="2" t="str">
        <x:f>'Design &amp; Insights'!N473</x:f>
        <x:v>DI.BO.1.4.2026.CY4</x:v>
      </x:c>
      <x:c r="P1845" s="2" t="n">
        <x:f>'Design &amp; Insights'!O473</x:f>
        <x:v>0</x:v>
      </x:c>
      <x:c r="Q1845" s="2" t="n">
        <x:f>SUBTOTAL(103,O1845)</x:f>
        <x:v>1</x:v>
      </x:c>
      <x:c r="R1845" s="2" t="n">
        <x:f>IF(AND(M1845=1,OR(Dashboard!$B$7="All",Dashboard!$B$7='Cycles &amp; Guide'!$C$5),OR(Dashboard!$D$7="All",Dashboard!$D$7=B1845),OR(Dashboard!$F$7="All",Dashboard!$F$7=C1845),OR(Dashboard!$H$7="All",Dashboard!$H$7=D1845),OR(Dashboard!$K$7="All",Dashboard!$K$7=E1845)),1,0)</x:f>
        <x:v>1</x:v>
      </x:c>
      <x:c r="S1845" s="2" t="n">
        <x:f>IF(R1845=1,SUM($R$10:R1845),0)</x:f>
        <x:v>1472</x:v>
      </x:c>
      <x:c r="T1845" s="2" t="str">
        <x:v>Design &amp; Insights</x:v>
      </x:c>
      <x:c r="U1845" s="2" t="n">
        <x:v>473</x:v>
      </x:c>
      <x:c r="V1845" s="2" t="n">
        <x:f>IF(AND(M1845=1,P1845=0,ISNUMBER(J1845),J1845&lt;TODAY()),1,0)</x:f>
        <x:v>0</x:v>
      </x:c>
      <x:c r="W1845" s="2" t="str">
        <x:f>'Design &amp; Insights'!M473</x:f>
        <x:v>Task</x:v>
      </x:c>
    </x:row>
    <x:row r="1846" ht="40" customHeight="1">
      <x:c r="A1846" s="3" t="str">
        <x:f>HYPERLINK("#'Design &amp; Insights'!A474","Open")</x:f>
        <x:v>Open</x:v>
      </x:c>
      <x:c r="B1846" s="2" t="str">
        <x:f>'Design &amp; Insights'!B474</x:f>
        <x:v>Cycle 4</x:v>
      </x:c>
      <x:c r="C1846" s="2" t="str">
        <x:f>'Design &amp; Insights'!C474</x:f>
        <x:v>Phase 1</x:v>
      </x:c>
      <x:c r="D1846" s="2" t="str">
        <x:f>'Design &amp; Insights'!D474</x:f>
        <x:v>CSBBO - Banking Ops</x:v>
      </x:c>
      <x:c r="E1846" s="2" t="str">
        <x:v>Design &amp; Insights</x:v>
      </x:c>
      <x:c r="F1846" s="56" t="str">
        <x:f>'Design &amp; Insights'!E474</x:f>
        <x:v>DI.BO.1.5</x:v>
      </x:c>
      <x:c r="G1846" s="14" t="str">
        <x:f>'Design &amp; Insights'!F474</x:f>
        <x:v>Confirm with Research the recommended topic for approval</x:v>
      </x:c>
      <x:c r="H1846" s="2" t="str">
        <x:f>IF('Design &amp; Insights'!G474="","",'Design &amp; Insights'!G474)</x:f>
      </x:c>
      <x:c r="I1846" s="12" t="str">
        <x:f>IF('Design &amp; Insights'!H474="","",'Design &amp; Insights'!H474)</x:f>
      </x:c>
      <x:c r="J1846" s="12" t="n">
        <x:f>IF('Design &amp; Insights'!I474="","",'Design &amp; Insights'!I474)</x:f>
        <x:v>46387</x:v>
      </x:c>
      <x:c r="K1846" s="12" t="str">
        <x:f>IF('Design &amp; Insights'!J474="","",'Design &amp; Insights'!J474)</x:f>
      </x:c>
      <x:c r="L1846" s="2" t="str">
        <x:f>IF('Design &amp; Insights'!K474="","",'Design &amp; Insights'!K474)</x:f>
      </x:c>
      <x:c r="M1846" s="2" t="n">
        <x:f>'Design &amp; Insights'!Q474</x:f>
        <x:v>1</x:v>
      </x:c>
      <x:c r="N1846" s="2" t="str">
        <x:f>'Design &amp; Insights'!L474</x:f>
        <x:v>Not started</x:v>
      </x:c>
      <x:c r="O1846" s="2" t="str">
        <x:f>'Design &amp; Insights'!N474</x:f>
        <x:v>DI.BO.1.5.2026.CY4</x:v>
      </x:c>
      <x:c r="P1846" s="2" t="n">
        <x:f>'Design &amp; Insights'!O474</x:f>
        <x:v>0</x:v>
      </x:c>
      <x:c r="Q1846" s="2" t="n">
        <x:f>SUBTOTAL(103,O1846)</x:f>
        <x:v>1</x:v>
      </x:c>
      <x:c r="R1846" s="2" t="n">
        <x:f>IF(AND(M1846=1,OR(Dashboard!$B$7="All",Dashboard!$B$7='Cycles &amp; Guide'!$C$5),OR(Dashboard!$D$7="All",Dashboard!$D$7=B1846),OR(Dashboard!$F$7="All",Dashboard!$F$7=C1846),OR(Dashboard!$H$7="All",Dashboard!$H$7=D1846),OR(Dashboard!$K$7="All",Dashboard!$K$7=E1846)),1,0)</x:f>
        <x:v>1</x:v>
      </x:c>
      <x:c r="S1846" s="2" t="n">
        <x:f>IF(R1846=1,SUM($R$10:R1846),0)</x:f>
        <x:v>1473</x:v>
      </x:c>
      <x:c r="T1846" s="2" t="str">
        <x:v>Design &amp; Insights</x:v>
      </x:c>
      <x:c r="U1846" s="2" t="n">
        <x:v>474</x:v>
      </x:c>
      <x:c r="V1846" s="2" t="n">
        <x:f>IF(AND(M1846=1,P1846=0,ISNUMBER(J1846),J1846&lt;TODAY()),1,0)</x:f>
        <x:v>0</x:v>
      </x:c>
      <x:c r="W1846" s="2" t="str">
        <x:f>'Design &amp; Insights'!M474</x:f>
        <x:v>Task</x:v>
      </x:c>
    </x:row>
    <x:row r="1847" ht="40" customHeight="1">
      <x:c r="A1847" s="3" t="str">
        <x:f>HYPERLINK("#'Design &amp; Insights'!A475","Open")</x:f>
        <x:v>Open</x:v>
      </x:c>
      <x:c r="B1847" s="2" t="str">
        <x:f>'Design &amp; Insights'!B475</x:f>
        <x:v>Cycle 4</x:v>
      </x:c>
      <x:c r="C1847" s="2" t="str">
        <x:f>'Design &amp; Insights'!C475</x:f>
        <x:v>Phase 1</x:v>
      </x:c>
      <x:c r="D1847" s="2" t="str">
        <x:f>'Design &amp; Insights'!D475</x:f>
        <x:v>CSBBO - Banking Ops</x:v>
      </x:c>
      <x:c r="E1847" s="2" t="str">
        <x:v>Design &amp; Insights</x:v>
      </x:c>
      <x:c r="F1847" s="56" t="str">
        <x:f>'Design &amp; Insights'!E475</x:f>
        <x:v>DI.BO.1.6</x:v>
      </x:c>
      <x:c r="G1847" s="14" t="str">
        <x:f>'Design &amp; Insights'!F475</x:f>
        <x:v>Send topic selection socialization email to all key stakeholders on the first day of the review Cycle</x:v>
      </x:c>
      <x:c r="H1847" s="2" t="str">
        <x:f>IF('Design &amp; Insights'!G475="","",'Design &amp; Insights'!G475)</x:f>
      </x:c>
      <x:c r="I1847" s="12" t="str">
        <x:f>IF('Design &amp; Insights'!H475="","",'Design &amp; Insights'!H475)</x:f>
      </x:c>
      <x:c r="J1847" s="12" t="n">
        <x:f>IF('Design &amp; Insights'!I475="","",'Design &amp; Insights'!I475)</x:f>
        <x:v>46296</x:v>
      </x:c>
      <x:c r="K1847" s="12" t="str">
        <x:f>IF('Design &amp; Insights'!J475="","",'Design &amp; Insights'!J475)</x:f>
      </x:c>
      <x:c r="L1847" s="2" t="str">
        <x:f>IF('Design &amp; Insights'!K475="","",'Design &amp; Insights'!K475)</x:f>
      </x:c>
      <x:c r="M1847" s="2" t="n">
        <x:f>'Design &amp; Insights'!Q475</x:f>
        <x:v>1</x:v>
      </x:c>
      <x:c r="N1847" s="2" t="str">
        <x:f>'Design &amp; Insights'!L475</x:f>
        <x:v>Not started</x:v>
      </x:c>
      <x:c r="O1847" s="2" t="str">
        <x:f>'Design &amp; Insights'!N475</x:f>
        <x:v>DI.BO.1.6.2026.CY4</x:v>
      </x:c>
      <x:c r="P1847" s="2" t="n">
        <x:f>'Design &amp; Insights'!O475</x:f>
        <x:v>0</x:v>
      </x:c>
      <x:c r="Q1847" s="2" t="n">
        <x:f>SUBTOTAL(103,O1847)</x:f>
        <x:v>1</x:v>
      </x:c>
      <x:c r="R1847" s="2" t="n">
        <x:f>IF(AND(M1847=1,OR(Dashboard!$B$7="All",Dashboard!$B$7='Cycles &amp; Guide'!$C$5),OR(Dashboard!$D$7="All",Dashboard!$D$7=B1847),OR(Dashboard!$F$7="All",Dashboard!$F$7=C1847),OR(Dashboard!$H$7="All",Dashboard!$H$7=D1847),OR(Dashboard!$K$7="All",Dashboard!$K$7=E1847)),1,0)</x:f>
        <x:v>1</x:v>
      </x:c>
      <x:c r="S1847" s="2" t="n">
        <x:f>IF(R1847=1,SUM($R$10:R1847),0)</x:f>
        <x:v>1474</x:v>
      </x:c>
      <x:c r="T1847" s="2" t="str">
        <x:v>Design &amp; Insights</x:v>
      </x:c>
      <x:c r="U1847" s="2" t="n">
        <x:v>475</x:v>
      </x:c>
      <x:c r="V1847" s="2" t="n">
        <x:f>IF(AND(M1847=1,P1847=0,ISNUMBER(J1847),J1847&lt;TODAY()),1,0)</x:f>
        <x:v>0</x:v>
      </x:c>
      <x:c r="W1847" s="2" t="str">
        <x:f>'Design &amp; Insights'!M475</x:f>
        <x:v>Task</x:v>
      </x:c>
    </x:row>
    <x:row r="1848" ht="40" customHeight="1">
      <x:c r="A1848" s="3" t="str">
        <x:f>HYPERLINK("#'Design &amp; Insights'!A476","Open")</x:f>
        <x:v>Open</x:v>
      </x:c>
      <x:c r="B1848" s="2" t="str">
        <x:f>'Design &amp; Insights'!B476</x:f>
        <x:v>Cycle 4</x:v>
      </x:c>
      <x:c r="C1848" s="2" t="str">
        <x:f>'Design &amp; Insights'!C476</x:f>
        <x:v>Phase 2</x:v>
      </x:c>
      <x:c r="D1848" s="2" t="str">
        <x:f>'Design &amp; Insights'!D476</x:f>
        <x:v>CSBBO - Banking Ops</x:v>
      </x:c>
      <x:c r="E1848" s="2" t="str">
        <x:v>Design &amp; Insights</x:v>
      </x:c>
      <x:c r="F1848" s="56" t="str">
        <x:f>'Design &amp; Insights'!E476</x:f>
        <x:v>DI.BO.2.1</x:v>
      </x:c>
      <x:c r="G1848" s="14" t="str">
        <x:f>'Design &amp; Insights'!F476</x:f>
        <x:v>Meet regularly with Research to stay informed on progress, findings, and potential enhancement</x:v>
      </x:c>
      <x:c r="H1848" s="2" t="str">
        <x:f>IF('Design &amp; Insights'!G476="","",'Design &amp; Insights'!G476)</x:f>
      </x:c>
      <x:c r="I1848" s="12" t="str">
        <x:f>IF('Design &amp; Insights'!H476="","",'Design &amp; Insights'!H476)</x:f>
      </x:c>
      <x:c r="J1848" s="12" t="n">
        <x:f>IF('Design &amp; Insights'!I476="","",'Design &amp; Insights'!I476)</x:f>
        <x:v>46387</x:v>
      </x:c>
      <x:c r="K1848" s="12" t="str">
        <x:f>IF('Design &amp; Insights'!J476="","",'Design &amp; Insights'!J476)</x:f>
      </x:c>
      <x:c r="L1848" s="2" t="str">
        <x:f>IF('Design &amp; Insights'!K476="","",'Design &amp; Insights'!K476)</x:f>
      </x:c>
      <x:c r="M1848" s="2" t="n">
        <x:f>'Design &amp; Insights'!Q476</x:f>
        <x:v>1</x:v>
      </x:c>
      <x:c r="N1848" s="2" t="str">
        <x:f>'Design &amp; Insights'!L476</x:f>
        <x:v>Not started</x:v>
      </x:c>
      <x:c r="O1848" s="2" t="str">
        <x:f>'Design &amp; Insights'!N476</x:f>
        <x:v>DI.BO.2.1.2026.CY4</x:v>
      </x:c>
      <x:c r="P1848" s="2" t="n">
        <x:f>'Design &amp; Insights'!O476</x:f>
        <x:v>0</x:v>
      </x:c>
      <x:c r="Q1848" s="2" t="n">
        <x:f>SUBTOTAL(103,O1848)</x:f>
        <x:v>1</x:v>
      </x:c>
      <x:c r="R1848" s="2" t="n">
        <x:f>IF(AND(M1848=1,OR(Dashboard!$B$7="All",Dashboard!$B$7='Cycles &amp; Guide'!$C$5),OR(Dashboard!$D$7="All",Dashboard!$D$7=B1848),OR(Dashboard!$F$7="All",Dashboard!$F$7=C1848),OR(Dashboard!$H$7="All",Dashboard!$H$7=D1848),OR(Dashboard!$K$7="All",Dashboard!$K$7=E1848)),1,0)</x:f>
        <x:v>1</x:v>
      </x:c>
      <x:c r="S1848" s="2" t="n">
        <x:f>IF(R1848=1,SUM($R$10:R1848),0)</x:f>
        <x:v>1475</x:v>
      </x:c>
      <x:c r="T1848" s="2" t="str">
        <x:v>Design &amp; Insights</x:v>
      </x:c>
      <x:c r="U1848" s="2" t="n">
        <x:v>476</x:v>
      </x:c>
      <x:c r="V1848" s="2" t="n">
        <x:f>IF(AND(M1848=1,P1848=0,ISNUMBER(J1848),J1848&lt;TODAY()),1,0)</x:f>
        <x:v>0</x:v>
      </x:c>
      <x:c r="W1848" s="2" t="str">
        <x:f>'Design &amp; Insights'!M476</x:f>
        <x:v>Task</x:v>
      </x:c>
    </x:row>
    <x:row r="1849" ht="40" customHeight="1">
      <x:c r="A1849" s="3" t="str">
        <x:f>HYPERLINK("#'Design &amp; Insights'!A477","Open")</x:f>
        <x:v>Open</x:v>
      </x:c>
      <x:c r="B1849" s="2" t="str">
        <x:f>'Design &amp; Insights'!B477</x:f>
        <x:v>Cycle 4</x:v>
      </x:c>
      <x:c r="C1849" s="2" t="str">
        <x:f>'Design &amp; Insights'!C477</x:f>
        <x:v>Phase 2</x:v>
      </x:c>
      <x:c r="D1849" s="2" t="str">
        <x:f>'Design &amp; Insights'!D477</x:f>
        <x:v>CSBBO - Banking Ops</x:v>
      </x:c>
      <x:c r="E1849" s="2" t="str">
        <x:v>Design &amp; Insights</x:v>
      </x:c>
      <x:c r="F1849" s="56" t="str">
        <x:f>'Design &amp; Insights'!E477</x:f>
        <x:v>DI.BO.2.2</x:v>
      </x:c>
      <x:c r="G1849" s="14" t="str">
        <x:f>'Design &amp; Insights'!F477</x:f>
        <x:v>Collaborate with Research on research plan specifics</x:v>
      </x:c>
      <x:c r="H1849" s="2" t="str">
        <x:f>IF('Design &amp; Insights'!G477="","",'Design &amp; Insights'!G477)</x:f>
      </x:c>
      <x:c r="I1849" s="12" t="str">
        <x:f>IF('Design &amp; Insights'!H477="","",'Design &amp; Insights'!H477)</x:f>
      </x:c>
      <x:c r="J1849" s="12" t="n">
        <x:f>IF('Design &amp; Insights'!I477="","",'Design &amp; Insights'!I477)</x:f>
        <x:v>46387</x:v>
      </x:c>
      <x:c r="K1849" s="12" t="str">
        <x:f>IF('Design &amp; Insights'!J477="","",'Design &amp; Insights'!J477)</x:f>
      </x:c>
      <x:c r="L1849" s="2" t="str">
        <x:f>IF('Design &amp; Insights'!K477="","",'Design &amp; Insights'!K477)</x:f>
      </x:c>
      <x:c r="M1849" s="2" t="n">
        <x:f>'Design &amp; Insights'!Q477</x:f>
        <x:v>1</x:v>
      </x:c>
      <x:c r="N1849" s="2" t="str">
        <x:f>'Design &amp; Insights'!L477</x:f>
        <x:v>Not started</x:v>
      </x:c>
      <x:c r="O1849" s="2" t="str">
        <x:f>'Design &amp; Insights'!N477</x:f>
        <x:v>DI.BO.2.2.2026.CY4</x:v>
      </x:c>
      <x:c r="P1849" s="2" t="n">
        <x:f>'Design &amp; Insights'!O477</x:f>
        <x:v>0</x:v>
      </x:c>
      <x:c r="Q1849" s="2" t="n">
        <x:f>SUBTOTAL(103,O1849)</x:f>
        <x:v>1</x:v>
      </x:c>
      <x:c r="R1849" s="2" t="n">
        <x:f>IF(AND(M1849=1,OR(Dashboard!$B$7="All",Dashboard!$B$7='Cycles &amp; Guide'!$C$5),OR(Dashboard!$D$7="All",Dashboard!$D$7=B1849),OR(Dashboard!$F$7="All",Dashboard!$F$7=C1849),OR(Dashboard!$H$7="All",Dashboard!$H$7=D1849),OR(Dashboard!$K$7="All",Dashboard!$K$7=E1849)),1,0)</x:f>
        <x:v>1</x:v>
      </x:c>
      <x:c r="S1849" s="2" t="n">
        <x:f>IF(R1849=1,SUM($R$10:R1849),0)</x:f>
        <x:v>1476</x:v>
      </x:c>
      <x:c r="T1849" s="2" t="str">
        <x:v>Design &amp; Insights</x:v>
      </x:c>
      <x:c r="U1849" s="2" t="n">
        <x:v>477</x:v>
      </x:c>
      <x:c r="V1849" s="2" t="n">
        <x:f>IF(AND(M1849=1,P1849=0,ISNUMBER(J1849),J1849&lt;TODAY()),1,0)</x:f>
        <x:v>0</x:v>
      </x:c>
      <x:c r="W1849" s="2" t="str">
        <x:f>'Design &amp; Insights'!M477</x:f>
        <x:v>Task</x:v>
      </x:c>
    </x:row>
    <x:row r="1850" ht="40" customHeight="1">
      <x:c r="A1850" s="3" t="str">
        <x:f>HYPERLINK("#'Design &amp; Insights'!A478","Open")</x:f>
        <x:v>Open</x:v>
      </x:c>
      <x:c r="B1850" s="2" t="str">
        <x:f>'Design &amp; Insights'!B478</x:f>
        <x:v>Cycle 4</x:v>
      </x:c>
      <x:c r="C1850" s="2" t="str">
        <x:f>'Design &amp; Insights'!C478</x:f>
        <x:v>Phase 2</x:v>
      </x:c>
      <x:c r="D1850" s="2" t="str">
        <x:f>'Design &amp; Insights'!D478</x:f>
        <x:v>CSBBO - Banking Ops</x:v>
      </x:c>
      <x:c r="E1850" s="2" t="str">
        <x:v>Design &amp; Insights</x:v>
      </x:c>
      <x:c r="F1850" s="56" t="str">
        <x:f>'Design &amp; Insights'!E478</x:f>
        <x:v>DI.BO.2.3</x:v>
      </x:c>
      <x:c r="G1850" s="14" t="str">
        <x:f>'Design &amp; Insights'!F478</x:f>
        <x:v>Participate in SME insight meetings to gain perspective and appetite on potential enhancements</x:v>
      </x:c>
      <x:c r="H1850" s="2" t="str">
        <x:f>IF('Design &amp; Insights'!G478="","",'Design &amp; Insights'!G478)</x:f>
      </x:c>
      <x:c r="I1850" s="12" t="str">
        <x:f>IF('Design &amp; Insights'!H478="","",'Design &amp; Insights'!H478)</x:f>
      </x:c>
      <x:c r="J1850" s="12" t="n">
        <x:f>IF('Design &amp; Insights'!I478="","",'Design &amp; Insights'!I478)</x:f>
        <x:v>46387</x:v>
      </x:c>
      <x:c r="K1850" s="12" t="str">
        <x:f>IF('Design &amp; Insights'!J478="","",'Design &amp; Insights'!J478)</x:f>
      </x:c>
      <x:c r="L1850" s="2" t="str">
        <x:f>IF('Design &amp; Insights'!K478="","",'Design &amp; Insights'!K478)</x:f>
      </x:c>
      <x:c r="M1850" s="2" t="n">
        <x:f>'Design &amp; Insights'!Q478</x:f>
        <x:v>1</x:v>
      </x:c>
      <x:c r="N1850" s="2" t="str">
        <x:f>'Design &amp; Insights'!L478</x:f>
        <x:v>Not started</x:v>
      </x:c>
      <x:c r="O1850" s="2" t="str">
        <x:f>'Design &amp; Insights'!N478</x:f>
        <x:v>DI.BO.2.3.2026.CY4</x:v>
      </x:c>
      <x:c r="P1850" s="2" t="n">
        <x:f>'Design &amp; Insights'!O478</x:f>
        <x:v>0</x:v>
      </x:c>
      <x:c r="Q1850" s="2" t="n">
        <x:f>SUBTOTAL(103,O1850)</x:f>
        <x:v>1</x:v>
      </x:c>
      <x:c r="R1850" s="2" t="n">
        <x:f>IF(AND(M1850=1,OR(Dashboard!$B$7="All",Dashboard!$B$7='Cycles &amp; Guide'!$C$5),OR(Dashboard!$D$7="All",Dashboard!$D$7=B1850),OR(Dashboard!$F$7="All",Dashboard!$F$7=C1850),OR(Dashboard!$H$7="All",Dashboard!$H$7=D1850),OR(Dashboard!$K$7="All",Dashboard!$K$7=E1850)),1,0)</x:f>
        <x:v>1</x:v>
      </x:c>
      <x:c r="S1850" s="2" t="n">
        <x:f>IF(R1850=1,SUM($R$10:R1850),0)</x:f>
        <x:v>1477</x:v>
      </x:c>
      <x:c r="T1850" s="2" t="str">
        <x:v>Design &amp; Insights</x:v>
      </x:c>
      <x:c r="U1850" s="2" t="n">
        <x:v>478</x:v>
      </x:c>
      <x:c r="V1850" s="2" t="n">
        <x:f>IF(AND(M1850=1,P1850=0,ISNUMBER(J1850),J1850&lt;TODAY()),1,0)</x:f>
        <x:v>0</x:v>
      </x:c>
      <x:c r="W1850" s="2" t="str">
        <x:f>'Design &amp; Insights'!M478</x:f>
        <x:v>Task</x:v>
      </x:c>
    </x:row>
    <x:row r="1851" ht="40" customHeight="1">
      <x:c r="A1851" s="3" t="str">
        <x:f>HYPERLINK("#'Design &amp; Insights'!A479","Open")</x:f>
        <x:v>Open</x:v>
      </x:c>
      <x:c r="B1851" s="2" t="str">
        <x:f>'Design &amp; Insights'!B479</x:f>
        <x:v>Cycle 4</x:v>
      </x:c>
      <x:c r="C1851" s="2" t="str">
        <x:f>'Design &amp; Insights'!C479</x:f>
        <x:v>Phase 2</x:v>
      </x:c>
      <x:c r="D1851" s="2" t="str">
        <x:f>'Design &amp; Insights'!D479</x:f>
        <x:v>CSBBO - Banking Ops</x:v>
      </x:c>
      <x:c r="E1851" s="2" t="str">
        <x:v>Design &amp; Insights</x:v>
      </x:c>
      <x:c r="F1851" s="56" t="str">
        <x:f>'Design &amp; Insights'!E479</x:f>
        <x:v>DI.BO.2.4</x:v>
      </x:c>
      <x:c r="G1851" s="14" t="str">
        <x:f>'Design &amp; Insights'!F479</x:f>
        <x:v>Begin development of presentation materials as Research is being completed</x:v>
      </x:c>
      <x:c r="H1851" s="2" t="str">
        <x:f>IF('Design &amp; Insights'!G479="","",'Design &amp; Insights'!G479)</x:f>
      </x:c>
      <x:c r="I1851" s="12" t="str">
        <x:f>IF('Design &amp; Insights'!H479="","",'Design &amp; Insights'!H479)</x:f>
      </x:c>
      <x:c r="J1851" s="12" t="n">
        <x:f>IF('Design &amp; Insights'!I479="","",'Design &amp; Insights'!I479)</x:f>
        <x:v>46387</x:v>
      </x:c>
      <x:c r="K1851" s="12" t="str">
        <x:f>IF('Design &amp; Insights'!J479="","",'Design &amp; Insights'!J479)</x:f>
      </x:c>
      <x:c r="L1851" s="2" t="str">
        <x:f>IF('Design &amp; Insights'!K479="","",'Design &amp; Insights'!K479)</x:f>
      </x:c>
      <x:c r="M1851" s="2" t="n">
        <x:f>'Design &amp; Insights'!Q479</x:f>
        <x:v>1</x:v>
      </x:c>
      <x:c r="N1851" s="2" t="str">
        <x:f>'Design &amp; Insights'!L479</x:f>
        <x:v>Not started</x:v>
      </x:c>
      <x:c r="O1851" s="2" t="str">
        <x:f>'Design &amp; Insights'!N479</x:f>
        <x:v>DI.BO.2.4.2026.CY4</x:v>
      </x:c>
      <x:c r="P1851" s="2" t="n">
        <x:f>'Design &amp; Insights'!O479</x:f>
        <x:v>0</x:v>
      </x:c>
      <x:c r="Q1851" s="2" t="n">
        <x:f>SUBTOTAL(103,O1851)</x:f>
        <x:v>1</x:v>
      </x:c>
      <x:c r="R1851" s="2" t="n">
        <x:f>IF(AND(M1851=1,OR(Dashboard!$B$7="All",Dashboard!$B$7='Cycles &amp; Guide'!$C$5),OR(Dashboard!$D$7="All",Dashboard!$D$7=B1851),OR(Dashboard!$F$7="All",Dashboard!$F$7=C1851),OR(Dashboard!$H$7="All",Dashboard!$H$7=D1851),OR(Dashboard!$K$7="All",Dashboard!$K$7=E1851)),1,0)</x:f>
        <x:v>1</x:v>
      </x:c>
      <x:c r="S1851" s="2" t="n">
        <x:f>IF(R1851=1,SUM($R$10:R1851),0)</x:f>
        <x:v>1478</x:v>
      </x:c>
      <x:c r="T1851" s="2" t="str">
        <x:v>Design &amp; Insights</x:v>
      </x:c>
      <x:c r="U1851" s="2" t="n">
        <x:v>479</x:v>
      </x:c>
      <x:c r="V1851" s="2" t="n">
        <x:f>IF(AND(M1851=1,P1851=0,ISNUMBER(J1851),J1851&lt;TODAY()),1,0)</x:f>
        <x:v>0</x:v>
      </x:c>
      <x:c r="W1851" s="2" t="str">
        <x:f>'Design &amp; Insights'!M479</x:f>
        <x:v>Task</x:v>
      </x:c>
    </x:row>
    <x:row r="1852" ht="40" customHeight="1">
      <x:c r="A1852" s="3" t="str">
        <x:f>HYPERLINK("#'Design &amp; Insights'!A480","Open")</x:f>
        <x:v>Open</x:v>
      </x:c>
      <x:c r="B1852" s="2" t="str">
        <x:f>'Design &amp; Insights'!B480</x:f>
        <x:v>Cycle 4</x:v>
      </x:c>
      <x:c r="C1852" s="2" t="str">
        <x:f>'Design &amp; Insights'!C480</x:f>
        <x:v>Phase 2</x:v>
      </x:c>
      <x:c r="D1852" s="2" t="str">
        <x:f>'Design &amp; Insights'!D480</x:f>
        <x:v>CSBBO - Banking Ops</x:v>
      </x:c>
      <x:c r="E1852" s="2" t="str">
        <x:v>Design &amp; Insights</x:v>
      </x:c>
      <x:c r="F1852" s="56" t="str">
        <x:f>'Design &amp; Insights'!E480</x:f>
        <x:v>DI.BO.2.5</x:v>
      </x:c>
      <x:c r="G1852" s="14" t="str">
        <x:f>'Design &amp; Insights'!F480</x:f>
        <x:v>Draft initial enhancement recommendations (as applicable)</x:v>
      </x:c>
      <x:c r="H1852" s="2" t="str">
        <x:f>IF('Design &amp; Insights'!G480="","",'Design &amp; Insights'!G480)</x:f>
      </x:c>
      <x:c r="I1852" s="12" t="str">
        <x:f>IF('Design &amp; Insights'!H480="","",'Design &amp; Insights'!H480)</x:f>
      </x:c>
      <x:c r="J1852" s="12" t="n">
        <x:f>IF('Design &amp; Insights'!I480="","",'Design &amp; Insights'!I480)</x:f>
        <x:v>46387</x:v>
      </x:c>
      <x:c r="K1852" s="12" t="str">
        <x:f>IF('Design &amp; Insights'!J480="","",'Design &amp; Insights'!J480)</x:f>
      </x:c>
      <x:c r="L1852" s="2" t="str">
        <x:f>IF('Design &amp; Insights'!K480="","",'Design &amp; Insights'!K480)</x:f>
      </x:c>
      <x:c r="M1852" s="2" t="n">
        <x:f>'Design &amp; Insights'!Q480</x:f>
        <x:v>1</x:v>
      </x:c>
      <x:c r="N1852" s="2" t="str">
        <x:f>'Design &amp; Insights'!L480</x:f>
        <x:v>Not started</x:v>
      </x:c>
      <x:c r="O1852" s="2" t="str">
        <x:f>'Design &amp; Insights'!N480</x:f>
        <x:v>DI.BO.2.5.2026.CY4</x:v>
      </x:c>
      <x:c r="P1852" s="2" t="n">
        <x:f>'Design &amp; Insights'!O480</x:f>
        <x:v>0</x:v>
      </x:c>
      <x:c r="Q1852" s="2" t="n">
        <x:f>SUBTOTAL(103,O1852)</x:f>
        <x:v>1</x:v>
      </x:c>
      <x:c r="R1852" s="2" t="n">
        <x:f>IF(AND(M1852=1,OR(Dashboard!$B$7="All",Dashboard!$B$7='Cycles &amp; Guide'!$C$5),OR(Dashboard!$D$7="All",Dashboard!$D$7=B1852),OR(Dashboard!$F$7="All",Dashboard!$F$7=C1852),OR(Dashboard!$H$7="All",Dashboard!$H$7=D1852),OR(Dashboard!$K$7="All",Dashboard!$K$7=E1852)),1,0)</x:f>
        <x:v>1</x:v>
      </x:c>
      <x:c r="S1852" s="2" t="n">
        <x:f>IF(R1852=1,SUM($R$10:R1852),0)</x:f>
        <x:v>1479</x:v>
      </x:c>
      <x:c r="T1852" s="2" t="str">
        <x:v>Design &amp; Insights</x:v>
      </x:c>
      <x:c r="U1852" s="2" t="n">
        <x:v>480</x:v>
      </x:c>
      <x:c r="V1852" s="2" t="n">
        <x:f>IF(AND(M1852=1,P1852=0,ISNUMBER(J1852),J1852&lt;TODAY()),1,0)</x:f>
        <x:v>0</x:v>
      </x:c>
      <x:c r="W1852" s="2" t="str">
        <x:f>'Design &amp; Insights'!M480</x:f>
        <x:v>Task</x:v>
      </x:c>
    </x:row>
    <x:row r="1853" ht="40" customHeight="1">
      <x:c r="A1853" s="3" t="str">
        <x:f>HYPERLINK("#'Design &amp; Insights'!A481","Open")</x:f>
        <x:v>Open</x:v>
      </x:c>
      <x:c r="B1853" s="2" t="str">
        <x:f>'Design &amp; Insights'!B481</x:f>
        <x:v>Cycle 4</x:v>
      </x:c>
      <x:c r="C1853" s="2" t="str">
        <x:f>'Design &amp; Insights'!C481</x:f>
        <x:v>Phase 2</x:v>
      </x:c>
      <x:c r="D1853" s="2" t="str">
        <x:f>'Design &amp; Insights'!D481</x:f>
        <x:v>CSBBO - Banking Ops</x:v>
      </x:c>
      <x:c r="E1853" s="2" t="str">
        <x:v>Design &amp; Insights</x:v>
      </x:c>
      <x:c r="F1853" s="56" t="str">
        <x:f>'Design &amp; Insights'!E481</x:f>
        <x:v>DI.BO.2.6</x:v>
      </x:c>
      <x:c r="G1853" s="14" t="str">
        <x:f>'Design &amp; Insights'!F481</x:f>
        <x:v>Finalize presentation deck draft at conclusion of Research phase</x:v>
      </x:c>
      <x:c r="H1853" s="2" t="str">
        <x:f>IF('Design &amp; Insights'!G481="","",'Design &amp; Insights'!G481)</x:f>
      </x:c>
      <x:c r="I1853" s="12" t="str">
        <x:f>IF('Design &amp; Insights'!H481="","",'Design &amp; Insights'!H481)</x:f>
      </x:c>
      <x:c r="J1853" s="12" t="n">
        <x:f>IF('Design &amp; Insights'!I481="","",'Design &amp; Insights'!I481)</x:f>
        <x:v>46387</x:v>
      </x:c>
      <x:c r="K1853" s="12" t="str">
        <x:f>IF('Design &amp; Insights'!J481="","",'Design &amp; Insights'!J481)</x:f>
      </x:c>
      <x:c r="L1853" s="2" t="str">
        <x:f>IF('Design &amp; Insights'!K481="","",'Design &amp; Insights'!K481)</x:f>
      </x:c>
      <x:c r="M1853" s="2" t="n">
        <x:f>'Design &amp; Insights'!Q481</x:f>
        <x:v>1</x:v>
      </x:c>
      <x:c r="N1853" s="2" t="str">
        <x:f>'Design &amp; Insights'!L481</x:f>
        <x:v>Not started</x:v>
      </x:c>
      <x:c r="O1853" s="2" t="str">
        <x:f>'Design &amp; Insights'!N481</x:f>
        <x:v>DI.BO.2.6.2026.CY4</x:v>
      </x:c>
      <x:c r="P1853" s="2" t="n">
        <x:f>'Design &amp; Insights'!O481</x:f>
        <x:v>0</x:v>
      </x:c>
      <x:c r="Q1853" s="2" t="n">
        <x:f>SUBTOTAL(103,O1853)</x:f>
        <x:v>1</x:v>
      </x:c>
      <x:c r="R1853" s="2" t="n">
        <x:f>IF(AND(M1853=1,OR(Dashboard!$B$7="All",Dashboard!$B$7='Cycles &amp; Guide'!$C$5),OR(Dashboard!$D$7="All",Dashboard!$D$7=B1853),OR(Dashboard!$F$7="All",Dashboard!$F$7=C1853),OR(Dashboard!$H$7="All",Dashboard!$H$7=D1853),OR(Dashboard!$K$7="All",Dashboard!$K$7=E1853)),1,0)</x:f>
        <x:v>1</x:v>
      </x:c>
      <x:c r="S1853" s="2" t="n">
        <x:f>IF(R1853=1,SUM($R$10:R1853),0)</x:f>
        <x:v>1480</x:v>
      </x:c>
      <x:c r="T1853" s="2" t="str">
        <x:v>Design &amp; Insights</x:v>
      </x:c>
      <x:c r="U1853" s="2" t="n">
        <x:v>481</x:v>
      </x:c>
      <x:c r="V1853" s="2" t="n">
        <x:f>IF(AND(M1853=1,P1853=0,ISNUMBER(J1853),J1853&lt;TODAY()),1,0)</x:f>
        <x:v>0</x:v>
      </x:c>
      <x:c r="W1853" s="2" t="str">
        <x:f>'Design &amp; Insights'!M481</x:f>
        <x:v>Task</x:v>
      </x:c>
    </x:row>
    <x:row r="1854" ht="40" customHeight="1">
      <x:c r="A1854" s="3" t="str">
        <x:f>HYPERLINK("#'Design &amp; Insights'!A482","Open")</x:f>
        <x:v>Open</x:v>
      </x:c>
      <x:c r="B1854" s="2" t="str">
        <x:f>'Design &amp; Insights'!B482</x:f>
        <x:v>Cycle 4</x:v>
      </x:c>
      <x:c r="C1854" s="2" t="str">
        <x:f>'Design &amp; Insights'!C482</x:f>
        <x:v>Phase 2</x:v>
      </x:c>
      <x:c r="D1854" s="2" t="str">
        <x:f>'Design &amp; Insights'!D482</x:f>
        <x:v>CSBBO - Banking Ops</x:v>
      </x:c>
      <x:c r="E1854" s="2" t="str">
        <x:v>Design &amp; Insights</x:v>
      </x:c>
      <x:c r="F1854" s="56" t="str">
        <x:f>'Design &amp; Insights'!E482</x:f>
        <x:v>DI.BO.2.7</x:v>
      </x:c>
      <x:c r="G1854" s="14" t="str">
        <x:f>'Design &amp; Insights'!F482</x:f>
        <x:v>Update Outcome portion of research plan with current enhancement verbiage (as needed)</x:v>
      </x:c>
      <x:c r="H1854" s="2" t="str">
        <x:f>IF('Design &amp; Insights'!G482="","",'Design &amp; Insights'!G482)</x:f>
      </x:c>
      <x:c r="I1854" s="12" t="str">
        <x:f>IF('Design &amp; Insights'!H482="","",'Design &amp; Insights'!H482)</x:f>
      </x:c>
      <x:c r="J1854" s="12" t="n">
        <x:f>IF('Design &amp; Insights'!I482="","",'Design &amp; Insights'!I482)</x:f>
        <x:v>46387</x:v>
      </x:c>
      <x:c r="K1854" s="12" t="str">
        <x:f>IF('Design &amp; Insights'!J482="","",'Design &amp; Insights'!J482)</x:f>
      </x:c>
      <x:c r="L1854" s="2" t="str">
        <x:f>IF('Design &amp; Insights'!K482="","",'Design &amp; Insights'!K482)</x:f>
      </x:c>
      <x:c r="M1854" s="2" t="n">
        <x:f>'Design &amp; Insights'!Q482</x:f>
        <x:v>1</x:v>
      </x:c>
      <x:c r="N1854" s="2" t="str">
        <x:f>'Design &amp; Insights'!L482</x:f>
        <x:v>Not started</x:v>
      </x:c>
      <x:c r="O1854" s="2" t="str">
        <x:f>'Design &amp; Insights'!N482</x:f>
        <x:v>DI.BO.2.7.2026.CY4</x:v>
      </x:c>
      <x:c r="P1854" s="2" t="n">
        <x:f>'Design &amp; Insights'!O482</x:f>
        <x:v>0</x:v>
      </x:c>
      <x:c r="Q1854" s="2" t="n">
        <x:f>SUBTOTAL(103,O1854)</x:f>
        <x:v>1</x:v>
      </x:c>
      <x:c r="R1854" s="2" t="n">
        <x:f>IF(AND(M1854=1,OR(Dashboard!$B$7="All",Dashboard!$B$7='Cycles &amp; Guide'!$C$5),OR(Dashboard!$D$7="All",Dashboard!$D$7=B1854),OR(Dashboard!$F$7="All",Dashboard!$F$7=C1854),OR(Dashboard!$H$7="All",Dashboard!$H$7=D1854),OR(Dashboard!$K$7="All",Dashboard!$K$7=E1854)),1,0)</x:f>
        <x:v>1</x:v>
      </x:c>
      <x:c r="S1854" s="2" t="n">
        <x:f>IF(R1854=1,SUM($R$10:R1854),0)</x:f>
        <x:v>1481</x:v>
      </x:c>
      <x:c r="T1854" s="2" t="str">
        <x:v>Design &amp; Insights</x:v>
      </x:c>
      <x:c r="U1854" s="2" t="n">
        <x:v>482</x:v>
      </x:c>
      <x:c r="V1854" s="2" t="n">
        <x:f>IF(AND(M1854=1,P1854=0,ISNUMBER(J1854),J1854&lt;TODAY()),1,0)</x:f>
        <x:v>0</x:v>
      </x:c>
      <x:c r="W1854" s="2" t="str">
        <x:f>'Design &amp; Insights'!M482</x:f>
        <x:v>Task</x:v>
      </x:c>
    </x:row>
    <x:row r="1855" ht="40" customHeight="1">
      <x:c r="A1855" s="3" t="str">
        <x:f>HYPERLINK("#'Design &amp; Insights'!A483","Open")</x:f>
        <x:v>Open</x:v>
      </x:c>
      <x:c r="B1855" s="2" t="str">
        <x:f>'Design &amp; Insights'!B483</x:f>
        <x:v>Cycle 4</x:v>
      </x:c>
      <x:c r="C1855" s="2" t="str">
        <x:f>'Design &amp; Insights'!C483</x:f>
        <x:v>Phase 3</x:v>
      </x:c>
      <x:c r="D1855" s="2" t="str">
        <x:f>'Design &amp; Insights'!D483</x:f>
        <x:v>CSBBO - Banking Ops</x:v>
      </x:c>
      <x:c r="E1855" s="2" t="str">
        <x:v>Design &amp; Insights</x:v>
      </x:c>
      <x:c r="F1855" s="56" t="str">
        <x:f>'Design &amp; Insights'!E483</x:f>
        <x:v>DI.BO.3.1</x:v>
      </x:c>
      <x:c r="G1855" s="14" t="str">
        <x:f>'Design &amp; Insights'!F483</x:f>
        <x:v>Confirm list of required &amp; optional attendees for pre-socialization meeting</x:v>
      </x:c>
      <x:c r="H1855" s="2" t="str">
        <x:f>IF('Design &amp; Insights'!G483="","",'Design &amp; Insights'!G483)</x:f>
      </x:c>
      <x:c r="I1855" s="12" t="str">
        <x:f>IF('Design &amp; Insights'!H483="","",'Design &amp; Insights'!H483)</x:f>
      </x:c>
      <x:c r="J1855" s="12" t="n">
        <x:f>IF('Design &amp; Insights'!I483="","",'Design &amp; Insights'!I483)</x:f>
        <x:v>46387</x:v>
      </x:c>
      <x:c r="K1855" s="12" t="str">
        <x:f>IF('Design &amp; Insights'!J483="","",'Design &amp; Insights'!J483)</x:f>
      </x:c>
      <x:c r="L1855" s="2" t="str">
        <x:f>IF('Design &amp; Insights'!K483="","",'Design &amp; Insights'!K483)</x:f>
      </x:c>
      <x:c r="M1855" s="2" t="n">
        <x:f>'Design &amp; Insights'!Q483</x:f>
        <x:v>1</x:v>
      </x:c>
      <x:c r="N1855" s="2" t="str">
        <x:f>'Design &amp; Insights'!L483</x:f>
        <x:v>Not started</x:v>
      </x:c>
      <x:c r="O1855" s="2" t="str">
        <x:f>'Design &amp; Insights'!N483</x:f>
        <x:v>DI.BO.3.1.2026.CY4</x:v>
      </x:c>
      <x:c r="P1855" s="2" t="n">
        <x:f>'Design &amp; Insights'!O483</x:f>
        <x:v>0</x:v>
      </x:c>
      <x:c r="Q1855" s="2" t="n">
        <x:f>SUBTOTAL(103,O1855)</x:f>
        <x:v>1</x:v>
      </x:c>
      <x:c r="R1855" s="2" t="n">
        <x:f>IF(AND(M1855=1,OR(Dashboard!$B$7="All",Dashboard!$B$7='Cycles &amp; Guide'!$C$5),OR(Dashboard!$D$7="All",Dashboard!$D$7=B1855),OR(Dashboard!$F$7="All",Dashboard!$F$7=C1855),OR(Dashboard!$H$7="All",Dashboard!$H$7=D1855),OR(Dashboard!$K$7="All",Dashboard!$K$7=E1855)),1,0)</x:f>
        <x:v>1</x:v>
      </x:c>
      <x:c r="S1855" s="2" t="n">
        <x:f>IF(R1855=1,SUM($R$10:R1855),0)</x:f>
        <x:v>1482</x:v>
      </x:c>
      <x:c r="T1855" s="2" t="str">
        <x:v>Design &amp; Insights</x:v>
      </x:c>
      <x:c r="U1855" s="2" t="n">
        <x:v>483</x:v>
      </x:c>
      <x:c r="V1855" s="2" t="n">
        <x:f>IF(AND(M1855=1,P1855=0,ISNUMBER(J1855),J1855&lt;TODAY()),1,0)</x:f>
        <x:v>0</x:v>
      </x:c>
      <x:c r="W1855" s="2" t="str">
        <x:f>'Design &amp; Insights'!M483</x:f>
        <x:v>Task</x:v>
      </x:c>
    </x:row>
    <x:row r="1856" ht="40" customHeight="1">
      <x:c r="A1856" s="3" t="str">
        <x:f>HYPERLINK("#'Design &amp; Insights'!A484","Open")</x:f>
        <x:v>Open</x:v>
      </x:c>
      <x:c r="B1856" s="2" t="str">
        <x:f>'Design &amp; Insights'!B484</x:f>
        <x:v>Cycle 4</x:v>
      </x:c>
      <x:c r="C1856" s="2" t="str">
        <x:f>'Design &amp; Insights'!C484</x:f>
        <x:v>Phase 3</x:v>
      </x:c>
      <x:c r="D1856" s="2" t="str">
        <x:f>'Design &amp; Insights'!D484</x:f>
        <x:v>CSBBO - Banking Ops</x:v>
      </x:c>
      <x:c r="E1856" s="2" t="str">
        <x:v>Design &amp; Insights</x:v>
      </x:c>
      <x:c r="F1856" s="56" t="str">
        <x:f>'Design &amp; Insights'!E484</x:f>
        <x:v>DI.BO.3.2</x:v>
      </x:c>
      <x:c r="G1856" s="14" t="str">
        <x:f>'Design &amp; Insights'!F484</x:f>
        <x:v>Schedule pre-socialization meeting 1 week prior to RCA Forum</x:v>
      </x:c>
      <x:c r="H1856" s="2" t="str">
        <x:f>IF('Design &amp; Insights'!G484="","",'Design &amp; Insights'!G484)</x:f>
      </x:c>
      <x:c r="I1856" s="12" t="str">
        <x:f>IF('Design &amp; Insights'!H484="","",'Design &amp; Insights'!H484)</x:f>
      </x:c>
      <x:c r="J1856" s="12" t="str">
        <x:f>IF('Design &amp; Insights'!I484="","",'Design &amp; Insights'!I484)</x:f>
      </x:c>
      <x:c r="K1856" s="12" t="str">
        <x:f>IF('Design &amp; Insights'!J484="","",'Design &amp; Insights'!J484)</x:f>
      </x:c>
      <x:c r="L1856" s="2" t="str">
        <x:f>IF('Design &amp; Insights'!K484="","",'Design &amp; Insights'!K484)</x:f>
      </x:c>
      <x:c r="M1856" s="2" t="n">
        <x:f>'Design &amp; Insights'!Q484</x:f>
        <x:v>1</x:v>
      </x:c>
      <x:c r="N1856" s="2" t="str">
        <x:f>'Design &amp; Insights'!L484</x:f>
        <x:v>Not started</x:v>
      </x:c>
      <x:c r="O1856" s="2" t="str">
        <x:f>'Design &amp; Insights'!N484</x:f>
        <x:v>DI.BO.3.2.2026.CY4</x:v>
      </x:c>
      <x:c r="P1856" s="2" t="n">
        <x:f>'Design &amp; Insights'!O484</x:f>
        <x:v>0</x:v>
      </x:c>
      <x:c r="Q1856" s="2" t="n">
        <x:f>SUBTOTAL(103,O1856)</x:f>
        <x:v>1</x:v>
      </x:c>
      <x:c r="R1856" s="2" t="n">
        <x:f>IF(AND(M1856=1,OR(Dashboard!$B$7="All",Dashboard!$B$7='Cycles &amp; Guide'!$C$5),OR(Dashboard!$D$7="All",Dashboard!$D$7=B1856),OR(Dashboard!$F$7="All",Dashboard!$F$7=C1856),OR(Dashboard!$H$7="All",Dashboard!$H$7=D1856),OR(Dashboard!$K$7="All",Dashboard!$K$7=E1856)),1,0)</x:f>
        <x:v>1</x:v>
      </x:c>
      <x:c r="S1856" s="2" t="n">
        <x:f>IF(R1856=1,SUM($R$10:R1856),0)</x:f>
        <x:v>1483</x:v>
      </x:c>
      <x:c r="T1856" s="2" t="str">
        <x:v>Design &amp; Insights</x:v>
      </x:c>
      <x:c r="U1856" s="2" t="n">
        <x:v>484</x:v>
      </x:c>
      <x:c r="V1856" s="2" t="n">
        <x:f>IF(AND(M1856=1,P1856=0,ISNUMBER(J1856),J1856&lt;TODAY()),1,0)</x:f>
        <x:v>0</x:v>
      </x:c>
      <x:c r="W1856" s="2" t="str">
        <x:f>'Design &amp; Insights'!M484</x:f>
        <x:v>Task</x:v>
      </x:c>
    </x:row>
    <x:row r="1857" ht="40" customHeight="1">
      <x:c r="A1857" s="3" t="str">
        <x:f>HYPERLINK("#'Design &amp; Insights'!A485","Open")</x:f>
        <x:v>Open</x:v>
      </x:c>
      <x:c r="B1857" s="2" t="str">
        <x:f>'Design &amp; Insights'!B485</x:f>
        <x:v>Cycle 4</x:v>
      </x:c>
      <x:c r="C1857" s="2" t="str">
        <x:f>'Design &amp; Insights'!C485</x:f>
        <x:v>Phase 3</x:v>
      </x:c>
      <x:c r="D1857" s="2" t="str">
        <x:f>'Design &amp; Insights'!D485</x:f>
        <x:v>CSBBO - Banking Ops</x:v>
      </x:c>
      <x:c r="E1857" s="2" t="str">
        <x:v>Design &amp; Insights</x:v>
      </x:c>
      <x:c r="F1857" s="56" t="str">
        <x:f>'Design &amp; Insights'!E485</x:f>
        <x:v>DI.BO.3.3</x:v>
      </x:c>
      <x:c r="G1857" s="14" t="str">
        <x:f>'Design &amp; Insights'!F485</x:f>
        <x:v>Present findings, conclusions, and recommendation to SMEs</x:v>
      </x:c>
      <x:c r="H1857" s="2" t="str">
        <x:f>IF('Design &amp; Insights'!G485="","",'Design &amp; Insights'!G485)</x:f>
      </x:c>
      <x:c r="I1857" s="12" t="str">
        <x:f>IF('Design &amp; Insights'!H485="","",'Design &amp; Insights'!H485)</x:f>
      </x:c>
      <x:c r="J1857" s="12" t="n">
        <x:f>IF('Design &amp; Insights'!I485="","",'Design &amp; Insights'!I485)</x:f>
        <x:v>46387</x:v>
      </x:c>
      <x:c r="K1857" s="12" t="str">
        <x:f>IF('Design &amp; Insights'!J485="","",'Design &amp; Insights'!J485)</x:f>
      </x:c>
      <x:c r="L1857" s="2" t="str">
        <x:f>IF('Design &amp; Insights'!K485="","",'Design &amp; Insights'!K485)</x:f>
      </x:c>
      <x:c r="M1857" s="2" t="n">
        <x:f>'Design &amp; Insights'!Q485</x:f>
        <x:v>1</x:v>
      </x:c>
      <x:c r="N1857" s="2" t="str">
        <x:f>'Design &amp; Insights'!L485</x:f>
        <x:v>Not started</x:v>
      </x:c>
      <x:c r="O1857" s="2" t="str">
        <x:f>'Design &amp; Insights'!N485</x:f>
        <x:v>DI.BO.3.3.2026.CY4</x:v>
      </x:c>
      <x:c r="P1857" s="2" t="n">
        <x:f>'Design &amp; Insights'!O485</x:f>
        <x:v>0</x:v>
      </x:c>
      <x:c r="Q1857" s="2" t="n">
        <x:f>SUBTOTAL(103,O1857)</x:f>
        <x:v>1</x:v>
      </x:c>
      <x:c r="R1857" s="2" t="n">
        <x:f>IF(AND(M1857=1,OR(Dashboard!$B$7="All",Dashboard!$B$7='Cycles &amp; Guide'!$C$5),OR(Dashboard!$D$7="All",Dashboard!$D$7=B1857),OR(Dashboard!$F$7="All",Dashboard!$F$7=C1857),OR(Dashboard!$H$7="All",Dashboard!$H$7=D1857),OR(Dashboard!$K$7="All",Dashboard!$K$7=E1857)),1,0)</x:f>
        <x:v>1</x:v>
      </x:c>
      <x:c r="S1857" s="2" t="n">
        <x:f>IF(R1857=1,SUM($R$10:R1857),0)</x:f>
        <x:v>1484</x:v>
      </x:c>
      <x:c r="T1857" s="2" t="str">
        <x:v>Design &amp; Insights</x:v>
      </x:c>
      <x:c r="U1857" s="2" t="n">
        <x:v>485</x:v>
      </x:c>
      <x:c r="V1857" s="2" t="n">
        <x:f>IF(AND(M1857=1,P1857=0,ISNUMBER(J1857),J1857&lt;TODAY()),1,0)</x:f>
        <x:v>0</x:v>
      </x:c>
      <x:c r="W1857" s="2" t="str">
        <x:f>'Design &amp; Insights'!M485</x:f>
        <x:v>Task</x:v>
      </x:c>
    </x:row>
    <x:row r="1858" ht="40" customHeight="1">
      <x:c r="A1858" s="3" t="str">
        <x:f>HYPERLINK("#'Design &amp; Insights'!A486","Open")</x:f>
        <x:v>Open</x:v>
      </x:c>
      <x:c r="B1858" s="2" t="str">
        <x:f>'Design &amp; Insights'!B486</x:f>
        <x:v>Cycle 4</x:v>
      </x:c>
      <x:c r="C1858" s="2" t="str">
        <x:f>'Design &amp; Insights'!C486</x:f>
        <x:v>Phase 3</x:v>
      </x:c>
      <x:c r="D1858" s="2" t="str">
        <x:f>'Design &amp; Insights'!D486</x:f>
        <x:v>CSBBO - Banking Ops</x:v>
      </x:c>
      <x:c r="E1858" s="2" t="str">
        <x:v>Design &amp; Insights</x:v>
      </x:c>
      <x:c r="F1858" s="56" t="str">
        <x:f>'Design &amp; Insights'!E486</x:f>
        <x:v>DI.BO.3.4</x:v>
      </x:c>
      <x:c r="G1858" s="14" t="str">
        <x:f>'Design &amp; Insights'!F486</x:f>
        <x:v>Update Outcome portion of research plan (as needed)</x:v>
      </x:c>
      <x:c r="H1858" s="2" t="str">
        <x:f>IF('Design &amp; Insights'!G486="","",'Design &amp; Insights'!G486)</x:f>
      </x:c>
      <x:c r="I1858" s="12" t="str">
        <x:f>IF('Design &amp; Insights'!H486="","",'Design &amp; Insights'!H486)</x:f>
      </x:c>
      <x:c r="J1858" s="12" t="n">
        <x:f>IF('Design &amp; Insights'!I486="","",'Design &amp; Insights'!I486)</x:f>
        <x:v>46387</x:v>
      </x:c>
      <x:c r="K1858" s="12" t="str">
        <x:f>IF('Design &amp; Insights'!J486="","",'Design &amp; Insights'!J486)</x:f>
      </x:c>
      <x:c r="L1858" s="2" t="str">
        <x:f>IF('Design &amp; Insights'!K486="","",'Design &amp; Insights'!K486)</x:f>
      </x:c>
      <x:c r="M1858" s="2" t="n">
        <x:f>'Design &amp; Insights'!Q486</x:f>
        <x:v>1</x:v>
      </x:c>
      <x:c r="N1858" s="2" t="str">
        <x:f>'Design &amp; Insights'!L486</x:f>
        <x:v>Not started</x:v>
      </x:c>
      <x:c r="O1858" s="2" t="str">
        <x:f>'Design &amp; Insights'!N486</x:f>
        <x:v>DI.BO.3.4.2026.CY4</x:v>
      </x:c>
      <x:c r="P1858" s="2" t="n">
        <x:f>'Design &amp; Insights'!O486</x:f>
        <x:v>0</x:v>
      </x:c>
      <x:c r="Q1858" s="2" t="n">
        <x:f>SUBTOTAL(103,O1858)</x:f>
        <x:v>1</x:v>
      </x:c>
      <x:c r="R1858" s="2" t="n">
        <x:f>IF(AND(M1858=1,OR(Dashboard!$B$7="All",Dashboard!$B$7='Cycles &amp; Guide'!$C$5),OR(Dashboard!$D$7="All",Dashboard!$D$7=B1858),OR(Dashboard!$F$7="All",Dashboard!$F$7=C1858),OR(Dashboard!$H$7="All",Dashboard!$H$7=D1858),OR(Dashboard!$K$7="All",Dashboard!$K$7=E1858)),1,0)</x:f>
        <x:v>1</x:v>
      </x:c>
      <x:c r="S1858" s="2" t="n">
        <x:f>IF(R1858=1,SUM($R$10:R1858),0)</x:f>
        <x:v>1485</x:v>
      </x:c>
      <x:c r="T1858" s="2" t="str">
        <x:v>Design &amp; Insights</x:v>
      </x:c>
      <x:c r="U1858" s="2" t="n">
        <x:v>486</x:v>
      </x:c>
      <x:c r="V1858" s="2" t="n">
        <x:f>IF(AND(M1858=1,P1858=0,ISNUMBER(J1858),J1858&lt;TODAY()),1,0)</x:f>
        <x:v>0</x:v>
      </x:c>
      <x:c r="W1858" s="2" t="str">
        <x:f>'Design &amp; Insights'!M486</x:f>
        <x:v>Task</x:v>
      </x:c>
    </x:row>
    <x:row r="1859" ht="40" customHeight="1">
      <x:c r="A1859" s="3" t="str">
        <x:f>HYPERLINK("#'Design &amp; Insights'!A487","Open")</x:f>
        <x:v>Open</x:v>
      </x:c>
      <x:c r="B1859" s="2" t="str">
        <x:f>'Design &amp; Insights'!B487</x:f>
        <x:v>Cycle 4</x:v>
      </x:c>
      <x:c r="C1859" s="2" t="str">
        <x:f>'Design &amp; Insights'!C487</x:f>
        <x:v>Phase 3</x:v>
      </x:c>
      <x:c r="D1859" s="2" t="str">
        <x:f>'Design &amp; Insights'!D487</x:f>
        <x:v>CSBBO - Banking Ops</x:v>
      </x:c>
      <x:c r="E1859" s="2" t="str">
        <x:v>Design &amp; Insights</x:v>
      </x:c>
      <x:c r="F1859" s="56" t="str">
        <x:f>'Design &amp; Insights'!E487</x:f>
        <x:v>DI.BO.3.5</x:v>
      </x:c>
      <x:c r="G1859" s="14" t="str">
        <x:f>'Design &amp; Insights'!F487</x:f>
        <x:v>Finalize presentation deck by incorporating pre-socialization feedback (as needed)</x:v>
      </x:c>
      <x:c r="H1859" s="2" t="str">
        <x:f>IF('Design &amp; Insights'!G487="","",'Design &amp; Insights'!G487)</x:f>
      </x:c>
      <x:c r="I1859" s="12" t="str">
        <x:f>IF('Design &amp; Insights'!H487="","",'Design &amp; Insights'!H487)</x:f>
      </x:c>
      <x:c r="J1859" s="12" t="n">
        <x:f>IF('Design &amp; Insights'!I487="","",'Design &amp; Insights'!I487)</x:f>
        <x:v>46387</x:v>
      </x:c>
      <x:c r="K1859" s="12" t="str">
        <x:f>IF('Design &amp; Insights'!J487="","",'Design &amp; Insights'!J487)</x:f>
      </x:c>
      <x:c r="L1859" s="2" t="str">
        <x:f>IF('Design &amp; Insights'!K487="","",'Design &amp; Insights'!K487)</x:f>
      </x:c>
      <x:c r="M1859" s="2" t="n">
        <x:f>'Design &amp; Insights'!Q487</x:f>
        <x:v>1</x:v>
      </x:c>
      <x:c r="N1859" s="2" t="str">
        <x:f>'Design &amp; Insights'!L487</x:f>
        <x:v>Not started</x:v>
      </x:c>
      <x:c r="O1859" s="2" t="str">
        <x:f>'Design &amp; Insights'!N487</x:f>
        <x:v>DI.BO.3.5.2026.CY4</x:v>
      </x:c>
      <x:c r="P1859" s="2" t="n">
        <x:f>'Design &amp; Insights'!O487</x:f>
        <x:v>0</x:v>
      </x:c>
      <x:c r="Q1859" s="2" t="n">
        <x:f>SUBTOTAL(103,O1859)</x:f>
        <x:v>1</x:v>
      </x:c>
      <x:c r="R1859" s="2" t="n">
        <x:f>IF(AND(M1859=1,OR(Dashboard!$B$7="All",Dashboard!$B$7='Cycles &amp; Guide'!$C$5),OR(Dashboard!$D$7="All",Dashboard!$D$7=B1859),OR(Dashboard!$F$7="All",Dashboard!$F$7=C1859),OR(Dashboard!$H$7="All",Dashboard!$H$7=D1859),OR(Dashboard!$K$7="All",Dashboard!$K$7=E1859)),1,0)</x:f>
        <x:v>1</x:v>
      </x:c>
      <x:c r="S1859" s="2" t="n">
        <x:f>IF(R1859=1,SUM($R$10:R1859),0)</x:f>
        <x:v>1486</x:v>
      </x:c>
      <x:c r="T1859" s="2" t="str">
        <x:v>Design &amp; Insights</x:v>
      </x:c>
      <x:c r="U1859" s="2" t="n">
        <x:v>487</x:v>
      </x:c>
      <x:c r="V1859" s="2" t="n">
        <x:f>IF(AND(M1859=1,P1859=0,ISNUMBER(J1859),J1859&lt;TODAY()),1,0)</x:f>
        <x:v>0</x:v>
      </x:c>
      <x:c r="W1859" s="2" t="str">
        <x:f>'Design &amp; Insights'!M487</x:f>
        <x:v>Task</x:v>
      </x:c>
    </x:row>
    <x:row r="1860" ht="40" customHeight="1">
      <x:c r="A1860" s="3" t="str">
        <x:f>HYPERLINK("#'Design &amp; Insights'!A488","Open")</x:f>
        <x:v>Open</x:v>
      </x:c>
      <x:c r="B1860" s="2" t="str">
        <x:f>'Design &amp; Insights'!B488</x:f>
        <x:v>Cycle 4</x:v>
      </x:c>
      <x:c r="C1860" s="2" t="str">
        <x:f>'Design &amp; Insights'!C488</x:f>
        <x:v>Phase 3</x:v>
      </x:c>
      <x:c r="D1860" s="2" t="str">
        <x:f>'Design &amp; Insights'!D488</x:f>
        <x:v>CSBBO - Banking Ops</x:v>
      </x:c>
      <x:c r="E1860" s="2" t="str">
        <x:v>Design &amp; Insights</x:v>
      </x:c>
      <x:c r="F1860" s="56" t="str">
        <x:f>'Design &amp; Insights'!E488</x:f>
        <x:v>DI.BO.3.6</x:v>
      </x:c>
      <x:c r="G1860" s="14" t="str">
        <x:f>'Design &amp; Insights'!F488</x:f>
        <x:v>Ensure final deck is communicated to Forum attendees</x:v>
      </x:c>
      <x:c r="H1860" s="2" t="str">
        <x:f>IF('Design &amp; Insights'!G488="","",'Design &amp; Insights'!G488)</x:f>
      </x:c>
      <x:c r="I1860" s="12" t="str">
        <x:f>IF('Design &amp; Insights'!H488="","",'Design &amp; Insights'!H488)</x:f>
      </x:c>
      <x:c r="J1860" s="12" t="n">
        <x:f>IF('Design &amp; Insights'!I488="","",'Design &amp; Insights'!I488)</x:f>
        <x:v>46387</x:v>
      </x:c>
      <x:c r="K1860" s="12" t="str">
        <x:f>IF('Design &amp; Insights'!J488="","",'Design &amp; Insights'!J488)</x:f>
      </x:c>
      <x:c r="L1860" s="2" t="str">
        <x:f>IF('Design &amp; Insights'!K488="","",'Design &amp; Insights'!K488)</x:f>
      </x:c>
      <x:c r="M1860" s="2" t="n">
        <x:f>'Design &amp; Insights'!Q488</x:f>
        <x:v>1</x:v>
      </x:c>
      <x:c r="N1860" s="2" t="str">
        <x:f>'Design &amp; Insights'!L488</x:f>
        <x:v>Not started</x:v>
      </x:c>
      <x:c r="O1860" s="2" t="str">
        <x:f>'Design &amp; Insights'!N488</x:f>
        <x:v>DI.BO.3.6.2026.CY4</x:v>
      </x:c>
      <x:c r="P1860" s="2" t="n">
        <x:f>'Design &amp; Insights'!O488</x:f>
        <x:v>0</x:v>
      </x:c>
      <x:c r="Q1860" s="2" t="n">
        <x:f>SUBTOTAL(103,O1860)</x:f>
        <x:v>1</x:v>
      </x:c>
      <x:c r="R1860" s="2" t="n">
        <x:f>IF(AND(M1860=1,OR(Dashboard!$B$7="All",Dashboard!$B$7='Cycles &amp; Guide'!$C$5),OR(Dashboard!$D$7="All",Dashboard!$D$7=B1860),OR(Dashboard!$F$7="All",Dashboard!$F$7=C1860),OR(Dashboard!$H$7="All",Dashboard!$H$7=D1860),OR(Dashboard!$K$7="All",Dashboard!$K$7=E1860)),1,0)</x:f>
        <x:v>1</x:v>
      </x:c>
      <x:c r="S1860" s="2" t="n">
        <x:f>IF(R1860=1,SUM($R$10:R1860),0)</x:f>
        <x:v>1487</x:v>
      </x:c>
      <x:c r="T1860" s="2" t="str">
        <x:v>Design &amp; Insights</x:v>
      </x:c>
      <x:c r="U1860" s="2" t="n">
        <x:v>488</x:v>
      </x:c>
      <x:c r="V1860" s="2" t="n">
        <x:f>IF(AND(M1860=1,P1860=0,ISNUMBER(J1860),J1860&lt;TODAY()),1,0)</x:f>
        <x:v>0</x:v>
      </x:c>
      <x:c r="W1860" s="2" t="str">
        <x:f>'Design &amp; Insights'!M488</x:f>
        <x:v>Task</x:v>
      </x:c>
    </x:row>
    <x:row r="1861" ht="40" customHeight="1">
      <x:c r="A1861" s="3" t="str">
        <x:f>HYPERLINK("#'Design &amp; Insights'!A489","Open")</x:f>
        <x:v>Open</x:v>
      </x:c>
      <x:c r="B1861" s="2" t="str">
        <x:f>'Design &amp; Insights'!B489</x:f>
        <x:v>Cycle 4</x:v>
      </x:c>
      <x:c r="C1861" s="2" t="str">
        <x:f>'Design &amp; Insights'!C489</x:f>
        <x:v>Phase 3</x:v>
      </x:c>
      <x:c r="D1861" s="2" t="str">
        <x:f>'Design &amp; Insights'!D489</x:f>
        <x:v>CSBBO - Banking Ops</x:v>
      </x:c>
      <x:c r="E1861" s="2" t="str">
        <x:v>Design &amp; Insights</x:v>
      </x:c>
      <x:c r="F1861" s="56" t="str">
        <x:f>'Design &amp; Insights'!E489</x:f>
        <x:v>DI.BO.3.7</x:v>
      </x:c>
      <x:c r="G1861" s="14" t="str">
        <x:f>'Design &amp; Insights'!F489</x:f>
        <x:v>Present material in RCA Cycle Forum</x:v>
      </x:c>
      <x:c r="H1861" s="2" t="str">
        <x:f>IF('Design &amp; Insights'!G489="","",'Design &amp; Insights'!G489)</x:f>
      </x:c>
      <x:c r="I1861" s="12" t="str">
        <x:f>IF('Design &amp; Insights'!H489="","",'Design &amp; Insights'!H489)</x:f>
      </x:c>
      <x:c r="J1861" s="12" t="str">
        <x:f>IF('Design &amp; Insights'!I489="","",'Design &amp; Insights'!I489)</x:f>
      </x:c>
      <x:c r="K1861" s="12" t="str">
        <x:f>IF('Design &amp; Insights'!J489="","",'Design &amp; Insights'!J489)</x:f>
      </x:c>
      <x:c r="L1861" s="2" t="str">
        <x:f>IF('Design &amp; Insights'!K489="","",'Design &amp; Insights'!K489)</x:f>
      </x:c>
      <x:c r="M1861" s="2" t="n">
        <x:f>'Design &amp; Insights'!Q489</x:f>
        <x:v>1</x:v>
      </x:c>
      <x:c r="N1861" s="2" t="str">
        <x:f>'Design &amp; Insights'!L489</x:f>
        <x:v>Not started</x:v>
      </x:c>
      <x:c r="O1861" s="2" t="str">
        <x:f>'Design &amp; Insights'!N489</x:f>
        <x:v>DI.BO.3.7.2026.CY4</x:v>
      </x:c>
      <x:c r="P1861" s="2" t="n">
        <x:f>'Design &amp; Insights'!O489</x:f>
        <x:v>0</x:v>
      </x:c>
      <x:c r="Q1861" s="2" t="n">
        <x:f>SUBTOTAL(103,O1861)</x:f>
        <x:v>1</x:v>
      </x:c>
      <x:c r="R1861" s="2" t="n">
        <x:f>IF(AND(M1861=1,OR(Dashboard!$B$7="All",Dashboard!$B$7='Cycles &amp; Guide'!$C$5),OR(Dashboard!$D$7="All",Dashboard!$D$7=B1861),OR(Dashboard!$F$7="All",Dashboard!$F$7=C1861),OR(Dashboard!$H$7="All",Dashboard!$H$7=D1861),OR(Dashboard!$K$7="All",Dashboard!$K$7=E1861)),1,0)</x:f>
        <x:v>1</x:v>
      </x:c>
      <x:c r="S1861" s="2" t="n">
        <x:f>IF(R1861=1,SUM($R$10:R1861),0)</x:f>
        <x:v>1488</x:v>
      </x:c>
      <x:c r="T1861" s="2" t="str">
        <x:v>Design &amp; Insights</x:v>
      </x:c>
      <x:c r="U1861" s="2" t="n">
        <x:v>489</x:v>
      </x:c>
      <x:c r="V1861" s="2" t="n">
        <x:f>IF(AND(M1861=1,P1861=0,ISNUMBER(J1861),J1861&lt;TODAY()),1,0)</x:f>
        <x:v>0</x:v>
      </x:c>
      <x:c r="W1861" s="2" t="str">
        <x:f>'Design &amp; Insights'!M489</x:f>
        <x:v>Task</x:v>
      </x:c>
    </x:row>
    <x:row r="1862" ht="40" customHeight="1">
      <x:c r="A1862" s="3" t="str">
        <x:f>HYPERLINK("#'Design &amp; Insights'!A490","Open")</x:f>
        <x:v>Open</x:v>
      </x:c>
      <x:c r="B1862" s="2" t="str">
        <x:f>'Design &amp; Insights'!B490</x:f>
        <x:v>Cycle 4</x:v>
      </x:c>
      <x:c r="C1862" s="2" t="str">
        <x:f>'Design &amp; Insights'!C490</x:f>
        <x:v>Phase 1</x:v>
      </x:c>
      <x:c r="D1862" s="2" t="str">
        <x:f>'Design &amp; Insights'!D490</x:f>
        <x:v>CSBBO - Customer Service</x:v>
      </x:c>
      <x:c r="E1862" s="2" t="str">
        <x:v>Design &amp; Insights</x:v>
      </x:c>
      <x:c r="F1862" s="56" t="str">
        <x:f>'Design &amp; Insights'!E490</x:f>
        <x:v>DI.CS.1.1</x:v>
      </x:c>
      <x:c r="G1862" s="14" t="str">
        <x:f>'Design &amp; Insights'!F490</x:f>
        <x:v>Receive and review potential research topics at least 2 weeks prior to Cycle start date</x:v>
      </x:c>
      <x:c r="H1862" s="2" t="str">
        <x:f>IF('Design &amp; Insights'!G490="","",'Design &amp; Insights'!G490)</x:f>
      </x:c>
      <x:c r="I1862" s="12" t="str">
        <x:f>IF('Design &amp; Insights'!H490="","",'Design &amp; Insights'!H490)</x:f>
      </x:c>
      <x:c r="J1862" s="12" t="n">
        <x:f>IF('Design &amp; Insights'!I490="","",'Design &amp; Insights'!I490)</x:f>
        <x:v>46282</x:v>
      </x:c>
      <x:c r="K1862" s="12" t="str">
        <x:f>IF('Design &amp; Insights'!J490="","",'Design &amp; Insights'!J490)</x:f>
      </x:c>
      <x:c r="L1862" s="2" t="str">
        <x:f>IF('Design &amp; Insights'!K490="","",'Design &amp; Insights'!K490)</x:f>
      </x:c>
      <x:c r="M1862" s="2" t="n">
        <x:f>'Design &amp; Insights'!Q490</x:f>
        <x:v>1</x:v>
      </x:c>
      <x:c r="N1862" s="2" t="str">
        <x:f>'Design &amp; Insights'!L490</x:f>
        <x:v>Not started</x:v>
      </x:c>
      <x:c r="O1862" s="2" t="str">
        <x:f>'Design &amp; Insights'!N490</x:f>
        <x:v>DI.CS.1.1.2026.CY4</x:v>
      </x:c>
      <x:c r="P1862" s="2" t="n">
        <x:f>'Design &amp; Insights'!O490</x:f>
        <x:v>0</x:v>
      </x:c>
      <x:c r="Q1862" s="2" t="n">
        <x:f>SUBTOTAL(103,O1862)</x:f>
        <x:v>1</x:v>
      </x:c>
      <x:c r="R1862" s="2" t="n">
        <x:f>IF(AND(M1862=1,OR(Dashboard!$B$7="All",Dashboard!$B$7='Cycles &amp; Guide'!$C$5),OR(Dashboard!$D$7="All",Dashboard!$D$7=B1862),OR(Dashboard!$F$7="All",Dashboard!$F$7=C1862),OR(Dashboard!$H$7="All",Dashboard!$H$7=D1862),OR(Dashboard!$K$7="All",Dashboard!$K$7=E1862)),1,0)</x:f>
        <x:v>1</x:v>
      </x:c>
      <x:c r="S1862" s="2" t="n">
        <x:f>IF(R1862=1,SUM($R$10:R1862),0)</x:f>
        <x:v>1489</x:v>
      </x:c>
      <x:c r="T1862" s="2" t="str">
        <x:v>Design &amp; Insights</x:v>
      </x:c>
      <x:c r="U1862" s="2" t="n">
        <x:v>490</x:v>
      </x:c>
      <x:c r="V1862" s="2" t="n">
        <x:f>IF(AND(M1862=1,P1862=0,ISNUMBER(J1862),J1862&lt;TODAY()),1,0)</x:f>
        <x:v>1</x:v>
      </x:c>
      <x:c r="W1862" s="2" t="str">
        <x:f>'Design &amp; Insights'!M490</x:f>
        <x:v>Task</x:v>
      </x:c>
    </x:row>
    <x:row r="1863" ht="40" customHeight="1">
      <x:c r="A1863" s="3" t="str">
        <x:f>HYPERLINK("#'Design &amp; Insights'!A491","Open")</x:f>
        <x:v>Open</x:v>
      </x:c>
      <x:c r="B1863" s="2" t="str">
        <x:f>'Design &amp; Insights'!B491</x:f>
        <x:v>Cycle 4</x:v>
      </x:c>
      <x:c r="C1863" s="2" t="str">
        <x:f>'Design &amp; Insights'!C491</x:f>
        <x:v>Phase 1</x:v>
      </x:c>
      <x:c r="D1863" s="2" t="str">
        <x:f>'Design &amp; Insights'!D491</x:f>
        <x:v>CSBBO - Customer Service</x:v>
      </x:c>
      <x:c r="E1863" s="2" t="str">
        <x:v>Design &amp; Insights</x:v>
      </x:c>
      <x:c r="F1863" s="56" t="str">
        <x:f>'Design &amp; Insights'!E491</x:f>
        <x:v>DI.CS.1.2</x:v>
      </x:c>
      <x:c r="G1863" s="14" t="str">
        <x:f>'Design &amp; Insights'!F491</x:f>
        <x:v>Communicate any feedback on preferences or concerns with topics identified</x:v>
      </x:c>
      <x:c r="H1863" s="2" t="str">
        <x:f>IF('Design &amp; Insights'!G491="","",'Design &amp; Insights'!G491)</x:f>
      </x:c>
      <x:c r="I1863" s="12" t="str">
        <x:f>IF('Design &amp; Insights'!H491="","",'Design &amp; Insights'!H491)</x:f>
      </x:c>
      <x:c r="J1863" s="12" t="n">
        <x:f>IF('Design &amp; Insights'!I491="","",'Design &amp; Insights'!I491)</x:f>
        <x:v>46387</x:v>
      </x:c>
      <x:c r="K1863" s="12" t="str">
        <x:f>IF('Design &amp; Insights'!J491="","",'Design &amp; Insights'!J491)</x:f>
      </x:c>
      <x:c r="L1863" s="2" t="str">
        <x:f>IF('Design &amp; Insights'!K491="","",'Design &amp; Insights'!K491)</x:f>
      </x:c>
      <x:c r="M1863" s="2" t="n">
        <x:f>'Design &amp; Insights'!Q491</x:f>
        <x:v>1</x:v>
      </x:c>
      <x:c r="N1863" s="2" t="str">
        <x:f>'Design &amp; Insights'!L491</x:f>
        <x:v>Not started</x:v>
      </x:c>
      <x:c r="O1863" s="2" t="str">
        <x:f>'Design &amp; Insights'!N491</x:f>
        <x:v>DI.CS.1.2.2026.CY4</x:v>
      </x:c>
      <x:c r="P1863" s="2" t="n">
        <x:f>'Design &amp; Insights'!O491</x:f>
        <x:v>0</x:v>
      </x:c>
      <x:c r="Q1863" s="2" t="n">
        <x:f>SUBTOTAL(103,O1863)</x:f>
        <x:v>1</x:v>
      </x:c>
      <x:c r="R1863" s="2" t="n">
        <x:f>IF(AND(M1863=1,OR(Dashboard!$B$7="All",Dashboard!$B$7='Cycles &amp; Guide'!$C$5),OR(Dashboard!$D$7="All",Dashboard!$D$7=B1863),OR(Dashboard!$F$7="All",Dashboard!$F$7=C1863),OR(Dashboard!$H$7="All",Dashboard!$H$7=D1863),OR(Dashboard!$K$7="All",Dashboard!$K$7=E1863)),1,0)</x:f>
        <x:v>1</x:v>
      </x:c>
      <x:c r="S1863" s="2" t="n">
        <x:f>IF(R1863=1,SUM($R$10:R1863),0)</x:f>
        <x:v>1490</x:v>
      </x:c>
      <x:c r="T1863" s="2" t="str">
        <x:v>Design &amp; Insights</x:v>
      </x:c>
      <x:c r="U1863" s="2" t="n">
        <x:v>491</x:v>
      </x:c>
      <x:c r="V1863" s="2" t="n">
        <x:f>IF(AND(M1863=1,P1863=0,ISNUMBER(J1863),J1863&lt;TODAY()),1,0)</x:f>
        <x:v>0</x:v>
      </x:c>
      <x:c r="W1863" s="2" t="str">
        <x:f>'Design &amp; Insights'!M491</x:f>
        <x:v>Task</x:v>
      </x:c>
    </x:row>
    <x:row r="1864" ht="40" customHeight="1">
      <x:c r="A1864" s="3" t="str">
        <x:f>HYPERLINK("#'Design &amp; Insights'!A492","Open")</x:f>
        <x:v>Open</x:v>
      </x:c>
      <x:c r="B1864" s="2" t="str">
        <x:f>'Design &amp; Insights'!B492</x:f>
        <x:v>Cycle 4</x:v>
      </x:c>
      <x:c r="C1864" s="2" t="str">
        <x:f>'Design &amp; Insights'!C492</x:f>
        <x:v>Phase 1</x:v>
      </x:c>
      <x:c r="D1864" s="2" t="str">
        <x:f>'Design &amp; Insights'!D492</x:f>
        <x:v>CSBBO - Customer Service</x:v>
      </x:c>
      <x:c r="E1864" s="2" t="str">
        <x:v>Design &amp; Insights</x:v>
      </x:c>
      <x:c r="F1864" s="56" t="str">
        <x:f>'Design &amp; Insights'!E492</x:f>
        <x:v>DI.CS.1.3</x:v>
      </x:c>
      <x:c r="G1864" s="14" t="str">
        <x:f>'Design &amp; Insights'!F492</x:f>
        <x:v>Conduct high-level preliminary review of complaints within proposed topics</x:v>
      </x:c>
      <x:c r="H1864" s="2" t="str">
        <x:f>IF('Design &amp; Insights'!G492="","",'Design &amp; Insights'!G492)</x:f>
      </x:c>
      <x:c r="I1864" s="12" t="str">
        <x:f>IF('Design &amp; Insights'!H492="","",'Design &amp; Insights'!H492)</x:f>
      </x:c>
      <x:c r="J1864" s="12" t="n">
        <x:f>IF('Design &amp; Insights'!I492="","",'Design &amp; Insights'!I492)</x:f>
        <x:v>46387</x:v>
      </x:c>
      <x:c r="K1864" s="12" t="str">
        <x:f>IF('Design &amp; Insights'!J492="","",'Design &amp; Insights'!J492)</x:f>
      </x:c>
      <x:c r="L1864" s="2" t="str">
        <x:f>IF('Design &amp; Insights'!K492="","",'Design &amp; Insights'!K492)</x:f>
      </x:c>
      <x:c r="M1864" s="2" t="n">
        <x:f>'Design &amp; Insights'!Q492</x:f>
        <x:v>1</x:v>
      </x:c>
      <x:c r="N1864" s="2" t="str">
        <x:f>'Design &amp; Insights'!L492</x:f>
        <x:v>Not started</x:v>
      </x:c>
      <x:c r="O1864" s="2" t="str">
        <x:f>'Design &amp; Insights'!N492</x:f>
        <x:v>DI.CS.1.3.2026.CY4</x:v>
      </x:c>
      <x:c r="P1864" s="2" t="n">
        <x:f>'Design &amp; Insights'!O492</x:f>
        <x:v>0</x:v>
      </x:c>
      <x:c r="Q1864" s="2" t="n">
        <x:f>SUBTOTAL(103,O1864)</x:f>
        <x:v>1</x:v>
      </x:c>
      <x:c r="R1864" s="2" t="n">
        <x:f>IF(AND(M1864=1,OR(Dashboard!$B$7="All",Dashboard!$B$7='Cycles &amp; Guide'!$C$5),OR(Dashboard!$D$7="All",Dashboard!$D$7=B1864),OR(Dashboard!$F$7="All",Dashboard!$F$7=C1864),OR(Dashboard!$H$7="All",Dashboard!$H$7=D1864),OR(Dashboard!$K$7="All",Dashboard!$K$7=E1864)),1,0)</x:f>
        <x:v>1</x:v>
      </x:c>
      <x:c r="S1864" s="2" t="n">
        <x:f>IF(R1864=1,SUM($R$10:R1864),0)</x:f>
        <x:v>1491</x:v>
      </x:c>
      <x:c r="T1864" s="2" t="str">
        <x:v>Design &amp; Insights</x:v>
      </x:c>
      <x:c r="U1864" s="2" t="n">
        <x:v>492</x:v>
      </x:c>
      <x:c r="V1864" s="2" t="n">
        <x:f>IF(AND(M1864=1,P1864=0,ISNUMBER(J1864),J1864&lt;TODAY()),1,0)</x:f>
        <x:v>0</x:v>
      </x:c>
      <x:c r="W1864" s="2" t="str">
        <x:f>'Design &amp; Insights'!M492</x:f>
        <x:v>Task</x:v>
      </x:c>
    </x:row>
    <x:row r="1865" ht="40" customHeight="1">
      <x:c r="A1865" s="3" t="str">
        <x:f>HYPERLINK("#'Design &amp; Insights'!A493","Open")</x:f>
        <x:v>Open</x:v>
      </x:c>
      <x:c r="B1865" s="2" t="str">
        <x:f>'Design &amp; Insights'!B493</x:f>
        <x:v>Cycle 4</x:v>
      </x:c>
      <x:c r="C1865" s="2" t="str">
        <x:f>'Design &amp; Insights'!C493</x:f>
        <x:v>Phase 1</x:v>
      </x:c>
      <x:c r="D1865" s="2" t="str">
        <x:f>'Design &amp; Insights'!D493</x:f>
        <x:v>CSBBO - Customer Service</x:v>
      </x:c>
      <x:c r="E1865" s="2" t="str">
        <x:v>Design &amp; Insights</x:v>
      </x:c>
      <x:c r="F1865" s="56" t="str">
        <x:f>'Design &amp; Insights'!E493</x:f>
        <x:v>DI.CS.1.4</x:v>
      </x:c>
      <x:c r="G1865" s="14" t="str">
        <x:f>'Design &amp; Insights'!F493</x:f>
        <x:v>Meet with Research to discuss which topic to select based on potential impact</x:v>
      </x:c>
      <x:c r="H1865" s="2" t="str">
        <x:f>IF('Design &amp; Insights'!G493="","",'Design &amp; Insights'!G493)</x:f>
      </x:c>
      <x:c r="I1865" s="12" t="str">
        <x:f>IF('Design &amp; Insights'!H493="","",'Design &amp; Insights'!H493)</x:f>
      </x:c>
      <x:c r="J1865" s="12" t="n">
        <x:f>IF('Design &amp; Insights'!I493="","",'Design &amp; Insights'!I493)</x:f>
        <x:v>46387</x:v>
      </x:c>
      <x:c r="K1865" s="12" t="str">
        <x:f>IF('Design &amp; Insights'!J493="","",'Design &amp; Insights'!J493)</x:f>
      </x:c>
      <x:c r="L1865" s="2" t="str">
        <x:f>IF('Design &amp; Insights'!K493="","",'Design &amp; Insights'!K493)</x:f>
      </x:c>
      <x:c r="M1865" s="2" t="n">
        <x:f>'Design &amp; Insights'!Q493</x:f>
        <x:v>1</x:v>
      </x:c>
      <x:c r="N1865" s="2" t="str">
        <x:f>'Design &amp; Insights'!L493</x:f>
        <x:v>Not started</x:v>
      </x:c>
      <x:c r="O1865" s="2" t="str">
        <x:f>'Design &amp; Insights'!N493</x:f>
        <x:v>DI.CS.1.4.2026.CY4</x:v>
      </x:c>
      <x:c r="P1865" s="2" t="n">
        <x:f>'Design &amp; Insights'!O493</x:f>
        <x:v>0</x:v>
      </x:c>
      <x:c r="Q1865" s="2" t="n">
        <x:f>SUBTOTAL(103,O1865)</x:f>
        <x:v>1</x:v>
      </x:c>
      <x:c r="R1865" s="2" t="n">
        <x:f>IF(AND(M1865=1,OR(Dashboard!$B$7="All",Dashboard!$B$7='Cycles &amp; Guide'!$C$5),OR(Dashboard!$D$7="All",Dashboard!$D$7=B1865),OR(Dashboard!$F$7="All",Dashboard!$F$7=C1865),OR(Dashboard!$H$7="All",Dashboard!$H$7=D1865),OR(Dashboard!$K$7="All",Dashboard!$K$7=E1865)),1,0)</x:f>
        <x:v>1</x:v>
      </x:c>
      <x:c r="S1865" s="2" t="n">
        <x:f>IF(R1865=1,SUM($R$10:R1865),0)</x:f>
        <x:v>1492</x:v>
      </x:c>
      <x:c r="T1865" s="2" t="str">
        <x:v>Design &amp; Insights</x:v>
      </x:c>
      <x:c r="U1865" s="2" t="n">
        <x:v>493</x:v>
      </x:c>
      <x:c r="V1865" s="2" t="n">
        <x:f>IF(AND(M1865=1,P1865=0,ISNUMBER(J1865),J1865&lt;TODAY()),1,0)</x:f>
        <x:v>0</x:v>
      </x:c>
      <x:c r="W1865" s="2" t="str">
        <x:f>'Design &amp; Insights'!M493</x:f>
        <x:v>Task</x:v>
      </x:c>
    </x:row>
    <x:row r="1866" ht="40" customHeight="1">
      <x:c r="A1866" s="3" t="str">
        <x:f>HYPERLINK("#'Design &amp; Insights'!A494","Open")</x:f>
        <x:v>Open</x:v>
      </x:c>
      <x:c r="B1866" s="2" t="str">
        <x:f>'Design &amp; Insights'!B494</x:f>
        <x:v>Cycle 4</x:v>
      </x:c>
      <x:c r="C1866" s="2" t="str">
        <x:f>'Design &amp; Insights'!C494</x:f>
        <x:v>Phase 1</x:v>
      </x:c>
      <x:c r="D1866" s="2" t="str">
        <x:f>'Design &amp; Insights'!D494</x:f>
        <x:v>CSBBO - Customer Service</x:v>
      </x:c>
      <x:c r="E1866" s="2" t="str">
        <x:v>Design &amp; Insights</x:v>
      </x:c>
      <x:c r="F1866" s="56" t="str">
        <x:f>'Design &amp; Insights'!E494</x:f>
        <x:v>DI.CS.1.5</x:v>
      </x:c>
      <x:c r="G1866" s="14" t="str">
        <x:f>'Design &amp; Insights'!F494</x:f>
        <x:v>Confirm with Research the recommended topic for approval</x:v>
      </x:c>
      <x:c r="H1866" s="2" t="str">
        <x:f>IF('Design &amp; Insights'!G494="","",'Design &amp; Insights'!G494)</x:f>
      </x:c>
      <x:c r="I1866" s="12" t="str">
        <x:f>IF('Design &amp; Insights'!H494="","",'Design &amp; Insights'!H494)</x:f>
      </x:c>
      <x:c r="J1866" s="12" t="n">
        <x:f>IF('Design &amp; Insights'!I494="","",'Design &amp; Insights'!I494)</x:f>
        <x:v>46387</x:v>
      </x:c>
      <x:c r="K1866" s="12" t="str">
        <x:f>IF('Design &amp; Insights'!J494="","",'Design &amp; Insights'!J494)</x:f>
      </x:c>
      <x:c r="L1866" s="2" t="str">
        <x:f>IF('Design &amp; Insights'!K494="","",'Design &amp; Insights'!K494)</x:f>
      </x:c>
      <x:c r="M1866" s="2" t="n">
        <x:f>'Design &amp; Insights'!Q494</x:f>
        <x:v>1</x:v>
      </x:c>
      <x:c r="N1866" s="2" t="str">
        <x:f>'Design &amp; Insights'!L494</x:f>
        <x:v>Not started</x:v>
      </x:c>
      <x:c r="O1866" s="2" t="str">
        <x:f>'Design &amp; Insights'!N494</x:f>
        <x:v>DI.CS.1.5.2026.CY4</x:v>
      </x:c>
      <x:c r="P1866" s="2" t="n">
        <x:f>'Design &amp; Insights'!O494</x:f>
        <x:v>0</x:v>
      </x:c>
      <x:c r="Q1866" s="2" t="n">
        <x:f>SUBTOTAL(103,O1866)</x:f>
        <x:v>1</x:v>
      </x:c>
      <x:c r="R1866" s="2" t="n">
        <x:f>IF(AND(M1866=1,OR(Dashboard!$B$7="All",Dashboard!$B$7='Cycles &amp; Guide'!$C$5),OR(Dashboard!$D$7="All",Dashboard!$D$7=B1866),OR(Dashboard!$F$7="All",Dashboard!$F$7=C1866),OR(Dashboard!$H$7="All",Dashboard!$H$7=D1866),OR(Dashboard!$K$7="All",Dashboard!$K$7=E1866)),1,0)</x:f>
        <x:v>1</x:v>
      </x:c>
      <x:c r="S1866" s="2" t="n">
        <x:f>IF(R1866=1,SUM($R$10:R1866),0)</x:f>
        <x:v>1493</x:v>
      </x:c>
      <x:c r="T1866" s="2" t="str">
        <x:v>Design &amp; Insights</x:v>
      </x:c>
      <x:c r="U1866" s="2" t="n">
        <x:v>494</x:v>
      </x:c>
      <x:c r="V1866" s="2" t="n">
        <x:f>IF(AND(M1866=1,P1866=0,ISNUMBER(J1866),J1866&lt;TODAY()),1,0)</x:f>
        <x:v>0</x:v>
      </x:c>
      <x:c r="W1866" s="2" t="str">
        <x:f>'Design &amp; Insights'!M494</x:f>
        <x:v>Task</x:v>
      </x:c>
    </x:row>
    <x:row r="1867" ht="40" customHeight="1">
      <x:c r="A1867" s="3" t="str">
        <x:f>HYPERLINK("#'Design &amp; Insights'!A495","Open")</x:f>
        <x:v>Open</x:v>
      </x:c>
      <x:c r="B1867" s="2" t="str">
        <x:f>'Design &amp; Insights'!B495</x:f>
        <x:v>Cycle 4</x:v>
      </x:c>
      <x:c r="C1867" s="2" t="str">
        <x:f>'Design &amp; Insights'!C495</x:f>
        <x:v>Phase 1</x:v>
      </x:c>
      <x:c r="D1867" s="2" t="str">
        <x:f>'Design &amp; Insights'!D495</x:f>
        <x:v>CSBBO - Customer Service</x:v>
      </x:c>
      <x:c r="E1867" s="2" t="str">
        <x:v>Design &amp; Insights</x:v>
      </x:c>
      <x:c r="F1867" s="56" t="str">
        <x:f>'Design &amp; Insights'!E495</x:f>
        <x:v>DI.CS.1.6</x:v>
      </x:c>
      <x:c r="G1867" s="14" t="str">
        <x:f>'Design &amp; Insights'!F495</x:f>
        <x:v>Send topic selection socialization email to all key stakeholders on the first day of the review Cycle</x:v>
      </x:c>
      <x:c r="H1867" s="2" t="str">
        <x:f>IF('Design &amp; Insights'!G495="","",'Design &amp; Insights'!G495)</x:f>
      </x:c>
      <x:c r="I1867" s="12" t="str">
        <x:f>IF('Design &amp; Insights'!H495="","",'Design &amp; Insights'!H495)</x:f>
      </x:c>
      <x:c r="J1867" s="12" t="n">
        <x:f>IF('Design &amp; Insights'!I495="","",'Design &amp; Insights'!I495)</x:f>
        <x:v>46296</x:v>
      </x:c>
      <x:c r="K1867" s="12" t="str">
        <x:f>IF('Design &amp; Insights'!J495="","",'Design &amp; Insights'!J495)</x:f>
      </x:c>
      <x:c r="L1867" s="2" t="str">
        <x:f>IF('Design &amp; Insights'!K495="","",'Design &amp; Insights'!K495)</x:f>
      </x:c>
      <x:c r="M1867" s="2" t="n">
        <x:f>'Design &amp; Insights'!Q495</x:f>
        <x:v>1</x:v>
      </x:c>
      <x:c r="N1867" s="2" t="str">
        <x:f>'Design &amp; Insights'!L495</x:f>
        <x:v>Not started</x:v>
      </x:c>
      <x:c r="O1867" s="2" t="str">
        <x:f>'Design &amp; Insights'!N495</x:f>
        <x:v>DI.CS.1.6.2026.CY4</x:v>
      </x:c>
      <x:c r="P1867" s="2" t="n">
        <x:f>'Design &amp; Insights'!O495</x:f>
        <x:v>0</x:v>
      </x:c>
      <x:c r="Q1867" s="2" t="n">
        <x:f>SUBTOTAL(103,O1867)</x:f>
        <x:v>1</x:v>
      </x:c>
      <x:c r="R1867" s="2" t="n">
        <x:f>IF(AND(M1867=1,OR(Dashboard!$B$7="All",Dashboard!$B$7='Cycles &amp; Guide'!$C$5),OR(Dashboard!$D$7="All",Dashboard!$D$7=B1867),OR(Dashboard!$F$7="All",Dashboard!$F$7=C1867),OR(Dashboard!$H$7="All",Dashboard!$H$7=D1867),OR(Dashboard!$K$7="All",Dashboard!$K$7=E1867)),1,0)</x:f>
        <x:v>1</x:v>
      </x:c>
      <x:c r="S1867" s="2" t="n">
        <x:f>IF(R1867=1,SUM($R$10:R1867),0)</x:f>
        <x:v>1494</x:v>
      </x:c>
      <x:c r="T1867" s="2" t="str">
        <x:v>Design &amp; Insights</x:v>
      </x:c>
      <x:c r="U1867" s="2" t="n">
        <x:v>495</x:v>
      </x:c>
      <x:c r="V1867" s="2" t="n">
        <x:f>IF(AND(M1867=1,P1867=0,ISNUMBER(J1867),J1867&lt;TODAY()),1,0)</x:f>
        <x:v>0</x:v>
      </x:c>
      <x:c r="W1867" s="2" t="str">
        <x:f>'Design &amp; Insights'!M495</x:f>
        <x:v>Task</x:v>
      </x:c>
    </x:row>
    <x:row r="1868" ht="40" customHeight="1">
      <x:c r="A1868" s="3" t="str">
        <x:f>HYPERLINK("#'Design &amp; Insights'!A496","Open")</x:f>
        <x:v>Open</x:v>
      </x:c>
      <x:c r="B1868" s="2" t="str">
        <x:f>'Design &amp; Insights'!B496</x:f>
        <x:v>Cycle 4</x:v>
      </x:c>
      <x:c r="C1868" s="2" t="str">
        <x:f>'Design &amp; Insights'!C496</x:f>
        <x:v>Phase 2</x:v>
      </x:c>
      <x:c r="D1868" s="2" t="str">
        <x:f>'Design &amp; Insights'!D496</x:f>
        <x:v>CSBBO - Customer Service</x:v>
      </x:c>
      <x:c r="E1868" s="2" t="str">
        <x:v>Design &amp; Insights</x:v>
      </x:c>
      <x:c r="F1868" s="56" t="str">
        <x:f>'Design &amp; Insights'!E496</x:f>
        <x:v>DI.CS.2.1</x:v>
      </x:c>
      <x:c r="G1868" s="14" t="str">
        <x:f>'Design &amp; Insights'!F496</x:f>
        <x:v>Meet regularly with Research to stay informed on progress, findings, and potential enhancement</x:v>
      </x:c>
      <x:c r="H1868" s="2" t="str">
        <x:f>IF('Design &amp; Insights'!G496="","",'Design &amp; Insights'!G496)</x:f>
      </x:c>
      <x:c r="I1868" s="12" t="str">
        <x:f>IF('Design &amp; Insights'!H496="","",'Design &amp; Insights'!H496)</x:f>
      </x:c>
      <x:c r="J1868" s="12" t="n">
        <x:f>IF('Design &amp; Insights'!I496="","",'Design &amp; Insights'!I496)</x:f>
        <x:v>46387</x:v>
      </x:c>
      <x:c r="K1868" s="12" t="str">
        <x:f>IF('Design &amp; Insights'!J496="","",'Design &amp; Insights'!J496)</x:f>
      </x:c>
      <x:c r="L1868" s="2" t="str">
        <x:f>IF('Design &amp; Insights'!K496="","",'Design &amp; Insights'!K496)</x:f>
      </x:c>
      <x:c r="M1868" s="2" t="n">
        <x:f>'Design &amp; Insights'!Q496</x:f>
        <x:v>1</x:v>
      </x:c>
      <x:c r="N1868" s="2" t="str">
        <x:f>'Design &amp; Insights'!L496</x:f>
        <x:v>Not started</x:v>
      </x:c>
      <x:c r="O1868" s="2" t="str">
        <x:f>'Design &amp; Insights'!N496</x:f>
        <x:v>DI.CS.2.1.2026.CY4</x:v>
      </x:c>
      <x:c r="P1868" s="2" t="n">
        <x:f>'Design &amp; Insights'!O496</x:f>
        <x:v>0</x:v>
      </x:c>
      <x:c r="Q1868" s="2" t="n">
        <x:f>SUBTOTAL(103,O1868)</x:f>
        <x:v>1</x:v>
      </x:c>
      <x:c r="R1868" s="2" t="n">
        <x:f>IF(AND(M1868=1,OR(Dashboard!$B$7="All",Dashboard!$B$7='Cycles &amp; Guide'!$C$5),OR(Dashboard!$D$7="All",Dashboard!$D$7=B1868),OR(Dashboard!$F$7="All",Dashboard!$F$7=C1868),OR(Dashboard!$H$7="All",Dashboard!$H$7=D1868),OR(Dashboard!$K$7="All",Dashboard!$K$7=E1868)),1,0)</x:f>
        <x:v>1</x:v>
      </x:c>
      <x:c r="S1868" s="2" t="n">
        <x:f>IF(R1868=1,SUM($R$10:R1868),0)</x:f>
        <x:v>1495</x:v>
      </x:c>
      <x:c r="T1868" s="2" t="str">
        <x:v>Design &amp; Insights</x:v>
      </x:c>
      <x:c r="U1868" s="2" t="n">
        <x:v>496</x:v>
      </x:c>
      <x:c r="V1868" s="2" t="n">
        <x:f>IF(AND(M1868=1,P1868=0,ISNUMBER(J1868),J1868&lt;TODAY()),1,0)</x:f>
        <x:v>0</x:v>
      </x:c>
      <x:c r="W1868" s="2" t="str">
        <x:f>'Design &amp; Insights'!M496</x:f>
        <x:v>Task</x:v>
      </x:c>
    </x:row>
    <x:row r="1869" ht="40" customHeight="1">
      <x:c r="A1869" s="3" t="str">
        <x:f>HYPERLINK("#'Design &amp; Insights'!A497","Open")</x:f>
        <x:v>Open</x:v>
      </x:c>
      <x:c r="B1869" s="2" t="str">
        <x:f>'Design &amp; Insights'!B497</x:f>
        <x:v>Cycle 4</x:v>
      </x:c>
      <x:c r="C1869" s="2" t="str">
        <x:f>'Design &amp; Insights'!C497</x:f>
        <x:v>Phase 2</x:v>
      </x:c>
      <x:c r="D1869" s="2" t="str">
        <x:f>'Design &amp; Insights'!D497</x:f>
        <x:v>CSBBO - Customer Service</x:v>
      </x:c>
      <x:c r="E1869" s="2" t="str">
        <x:v>Design &amp; Insights</x:v>
      </x:c>
      <x:c r="F1869" s="56" t="str">
        <x:f>'Design &amp; Insights'!E497</x:f>
        <x:v>DI.CS.2.2</x:v>
      </x:c>
      <x:c r="G1869" s="14" t="str">
        <x:f>'Design &amp; Insights'!F497</x:f>
        <x:v>Collaborate with Research on research plan specifics</x:v>
      </x:c>
      <x:c r="H1869" s="2" t="str">
        <x:f>IF('Design &amp; Insights'!G497="","",'Design &amp; Insights'!G497)</x:f>
      </x:c>
      <x:c r="I1869" s="12" t="str">
        <x:f>IF('Design &amp; Insights'!H497="","",'Design &amp; Insights'!H497)</x:f>
      </x:c>
      <x:c r="J1869" s="12" t="n">
        <x:f>IF('Design &amp; Insights'!I497="","",'Design &amp; Insights'!I497)</x:f>
        <x:v>46387</x:v>
      </x:c>
      <x:c r="K1869" s="12" t="str">
        <x:f>IF('Design &amp; Insights'!J497="","",'Design &amp; Insights'!J497)</x:f>
      </x:c>
      <x:c r="L1869" s="2" t="str">
        <x:f>IF('Design &amp; Insights'!K497="","",'Design &amp; Insights'!K497)</x:f>
      </x:c>
      <x:c r="M1869" s="2" t="n">
        <x:f>'Design &amp; Insights'!Q497</x:f>
        <x:v>1</x:v>
      </x:c>
      <x:c r="N1869" s="2" t="str">
        <x:f>'Design &amp; Insights'!L497</x:f>
        <x:v>Not started</x:v>
      </x:c>
      <x:c r="O1869" s="2" t="str">
        <x:f>'Design &amp; Insights'!N497</x:f>
        <x:v>DI.CS.2.2.2026.CY4</x:v>
      </x:c>
      <x:c r="P1869" s="2" t="n">
        <x:f>'Design &amp; Insights'!O497</x:f>
        <x:v>0</x:v>
      </x:c>
      <x:c r="Q1869" s="2" t="n">
        <x:f>SUBTOTAL(103,O1869)</x:f>
        <x:v>1</x:v>
      </x:c>
      <x:c r="R1869" s="2" t="n">
        <x:f>IF(AND(M1869=1,OR(Dashboard!$B$7="All",Dashboard!$B$7='Cycles &amp; Guide'!$C$5),OR(Dashboard!$D$7="All",Dashboard!$D$7=B1869),OR(Dashboard!$F$7="All",Dashboard!$F$7=C1869),OR(Dashboard!$H$7="All",Dashboard!$H$7=D1869),OR(Dashboard!$K$7="All",Dashboard!$K$7=E1869)),1,0)</x:f>
        <x:v>1</x:v>
      </x:c>
      <x:c r="S1869" s="2" t="n">
        <x:f>IF(R1869=1,SUM($R$10:R1869),0)</x:f>
        <x:v>1496</x:v>
      </x:c>
      <x:c r="T1869" s="2" t="str">
        <x:v>Design &amp; Insights</x:v>
      </x:c>
      <x:c r="U1869" s="2" t="n">
        <x:v>497</x:v>
      </x:c>
      <x:c r="V1869" s="2" t="n">
        <x:f>IF(AND(M1869=1,P1869=0,ISNUMBER(J1869),J1869&lt;TODAY()),1,0)</x:f>
        <x:v>0</x:v>
      </x:c>
      <x:c r="W1869" s="2" t="str">
        <x:f>'Design &amp; Insights'!M497</x:f>
        <x:v>Task</x:v>
      </x:c>
    </x:row>
    <x:row r="1870" ht="40" customHeight="1">
      <x:c r="A1870" s="3" t="str">
        <x:f>HYPERLINK("#'Design &amp; Insights'!A498","Open")</x:f>
        <x:v>Open</x:v>
      </x:c>
      <x:c r="B1870" s="2" t="str">
        <x:f>'Design &amp; Insights'!B498</x:f>
        <x:v>Cycle 4</x:v>
      </x:c>
      <x:c r="C1870" s="2" t="str">
        <x:f>'Design &amp; Insights'!C498</x:f>
        <x:v>Phase 2</x:v>
      </x:c>
      <x:c r="D1870" s="2" t="str">
        <x:f>'Design &amp; Insights'!D498</x:f>
        <x:v>CSBBO - Customer Service</x:v>
      </x:c>
      <x:c r="E1870" s="2" t="str">
        <x:v>Design &amp; Insights</x:v>
      </x:c>
      <x:c r="F1870" s="56" t="str">
        <x:f>'Design &amp; Insights'!E498</x:f>
        <x:v>DI.CS.2.3</x:v>
      </x:c>
      <x:c r="G1870" s="14" t="str">
        <x:f>'Design &amp; Insights'!F498</x:f>
        <x:v>Participate in SME insight meetings to gain perspective and appetite on potential enhancements</x:v>
      </x:c>
      <x:c r="H1870" s="2" t="str">
        <x:f>IF('Design &amp; Insights'!G498="","",'Design &amp; Insights'!G498)</x:f>
      </x:c>
      <x:c r="I1870" s="12" t="str">
        <x:f>IF('Design &amp; Insights'!H498="","",'Design &amp; Insights'!H498)</x:f>
      </x:c>
      <x:c r="J1870" s="12" t="n">
        <x:f>IF('Design &amp; Insights'!I498="","",'Design &amp; Insights'!I498)</x:f>
        <x:v>46387</x:v>
      </x:c>
      <x:c r="K1870" s="12" t="str">
        <x:f>IF('Design &amp; Insights'!J498="","",'Design &amp; Insights'!J498)</x:f>
      </x:c>
      <x:c r="L1870" s="2" t="str">
        <x:f>IF('Design &amp; Insights'!K498="","",'Design &amp; Insights'!K498)</x:f>
      </x:c>
      <x:c r="M1870" s="2" t="n">
        <x:f>'Design &amp; Insights'!Q498</x:f>
        <x:v>1</x:v>
      </x:c>
      <x:c r="N1870" s="2" t="str">
        <x:f>'Design &amp; Insights'!L498</x:f>
        <x:v>Not started</x:v>
      </x:c>
      <x:c r="O1870" s="2" t="str">
        <x:f>'Design &amp; Insights'!N498</x:f>
        <x:v>DI.CS.2.3.2026.CY4</x:v>
      </x:c>
      <x:c r="P1870" s="2" t="n">
        <x:f>'Design &amp; Insights'!O498</x:f>
        <x:v>0</x:v>
      </x:c>
      <x:c r="Q1870" s="2" t="n">
        <x:f>SUBTOTAL(103,O1870)</x:f>
        <x:v>1</x:v>
      </x:c>
      <x:c r="R1870" s="2" t="n">
        <x:f>IF(AND(M1870=1,OR(Dashboard!$B$7="All",Dashboard!$B$7='Cycles &amp; Guide'!$C$5),OR(Dashboard!$D$7="All",Dashboard!$D$7=B1870),OR(Dashboard!$F$7="All",Dashboard!$F$7=C1870),OR(Dashboard!$H$7="All",Dashboard!$H$7=D1870),OR(Dashboard!$K$7="All",Dashboard!$K$7=E1870)),1,0)</x:f>
        <x:v>1</x:v>
      </x:c>
      <x:c r="S1870" s="2" t="n">
        <x:f>IF(R1870=1,SUM($R$10:R1870),0)</x:f>
        <x:v>1497</x:v>
      </x:c>
      <x:c r="T1870" s="2" t="str">
        <x:v>Design &amp; Insights</x:v>
      </x:c>
      <x:c r="U1870" s="2" t="n">
        <x:v>498</x:v>
      </x:c>
      <x:c r="V1870" s="2" t="n">
        <x:f>IF(AND(M1870=1,P1870=0,ISNUMBER(J1870),J1870&lt;TODAY()),1,0)</x:f>
        <x:v>0</x:v>
      </x:c>
      <x:c r="W1870" s="2" t="str">
        <x:f>'Design &amp; Insights'!M498</x:f>
        <x:v>Task</x:v>
      </x:c>
    </x:row>
    <x:row r="1871" ht="40" customHeight="1">
      <x:c r="A1871" s="3" t="str">
        <x:f>HYPERLINK("#'Design &amp; Insights'!A499","Open")</x:f>
        <x:v>Open</x:v>
      </x:c>
      <x:c r="B1871" s="2" t="str">
        <x:f>'Design &amp; Insights'!B499</x:f>
        <x:v>Cycle 4</x:v>
      </x:c>
      <x:c r="C1871" s="2" t="str">
        <x:f>'Design &amp; Insights'!C499</x:f>
        <x:v>Phase 2</x:v>
      </x:c>
      <x:c r="D1871" s="2" t="str">
        <x:f>'Design &amp; Insights'!D499</x:f>
        <x:v>CSBBO - Customer Service</x:v>
      </x:c>
      <x:c r="E1871" s="2" t="str">
        <x:v>Design &amp; Insights</x:v>
      </x:c>
      <x:c r="F1871" s="56" t="str">
        <x:f>'Design &amp; Insights'!E499</x:f>
        <x:v>DI.CS.2.4</x:v>
      </x:c>
      <x:c r="G1871" s="14" t="str">
        <x:f>'Design &amp; Insights'!F499</x:f>
        <x:v>Begin development of presentation materials as Research is being completed</x:v>
      </x:c>
      <x:c r="H1871" s="2" t="str">
        <x:f>IF('Design &amp; Insights'!G499="","",'Design &amp; Insights'!G499)</x:f>
      </x:c>
      <x:c r="I1871" s="12" t="str">
        <x:f>IF('Design &amp; Insights'!H499="","",'Design &amp; Insights'!H499)</x:f>
      </x:c>
      <x:c r="J1871" s="12" t="n">
        <x:f>IF('Design &amp; Insights'!I499="","",'Design &amp; Insights'!I499)</x:f>
        <x:v>46387</x:v>
      </x:c>
      <x:c r="K1871" s="12" t="str">
        <x:f>IF('Design &amp; Insights'!J499="","",'Design &amp; Insights'!J499)</x:f>
      </x:c>
      <x:c r="L1871" s="2" t="str">
        <x:f>IF('Design &amp; Insights'!K499="","",'Design &amp; Insights'!K499)</x:f>
      </x:c>
      <x:c r="M1871" s="2" t="n">
        <x:f>'Design &amp; Insights'!Q499</x:f>
        <x:v>1</x:v>
      </x:c>
      <x:c r="N1871" s="2" t="str">
        <x:f>'Design &amp; Insights'!L499</x:f>
        <x:v>Not started</x:v>
      </x:c>
      <x:c r="O1871" s="2" t="str">
        <x:f>'Design &amp; Insights'!N499</x:f>
        <x:v>DI.CS.2.4.2026.CY4</x:v>
      </x:c>
      <x:c r="P1871" s="2" t="n">
        <x:f>'Design &amp; Insights'!O499</x:f>
        <x:v>0</x:v>
      </x:c>
      <x:c r="Q1871" s="2" t="n">
        <x:f>SUBTOTAL(103,O1871)</x:f>
        <x:v>1</x:v>
      </x:c>
      <x:c r="R1871" s="2" t="n">
        <x:f>IF(AND(M1871=1,OR(Dashboard!$B$7="All",Dashboard!$B$7='Cycles &amp; Guide'!$C$5),OR(Dashboard!$D$7="All",Dashboard!$D$7=B1871),OR(Dashboard!$F$7="All",Dashboard!$F$7=C1871),OR(Dashboard!$H$7="All",Dashboard!$H$7=D1871),OR(Dashboard!$K$7="All",Dashboard!$K$7=E1871)),1,0)</x:f>
        <x:v>1</x:v>
      </x:c>
      <x:c r="S1871" s="2" t="n">
        <x:f>IF(R1871=1,SUM($R$10:R1871),0)</x:f>
        <x:v>1498</x:v>
      </x:c>
      <x:c r="T1871" s="2" t="str">
        <x:v>Design &amp; Insights</x:v>
      </x:c>
      <x:c r="U1871" s="2" t="n">
        <x:v>499</x:v>
      </x:c>
      <x:c r="V1871" s="2" t="n">
        <x:f>IF(AND(M1871=1,P1871=0,ISNUMBER(J1871),J1871&lt;TODAY()),1,0)</x:f>
        <x:v>0</x:v>
      </x:c>
      <x:c r="W1871" s="2" t="str">
        <x:f>'Design &amp; Insights'!M499</x:f>
        <x:v>Task</x:v>
      </x:c>
    </x:row>
    <x:row r="1872" ht="40" customHeight="1">
      <x:c r="A1872" s="3" t="str">
        <x:f>HYPERLINK("#'Design &amp; Insights'!A500","Open")</x:f>
        <x:v>Open</x:v>
      </x:c>
      <x:c r="B1872" s="2" t="str">
        <x:f>'Design &amp; Insights'!B500</x:f>
        <x:v>Cycle 4</x:v>
      </x:c>
      <x:c r="C1872" s="2" t="str">
        <x:f>'Design &amp; Insights'!C500</x:f>
        <x:v>Phase 2</x:v>
      </x:c>
      <x:c r="D1872" s="2" t="str">
        <x:f>'Design &amp; Insights'!D500</x:f>
        <x:v>CSBBO - Customer Service</x:v>
      </x:c>
      <x:c r="E1872" s="2" t="str">
        <x:v>Design &amp; Insights</x:v>
      </x:c>
      <x:c r="F1872" s="56" t="str">
        <x:f>'Design &amp; Insights'!E500</x:f>
        <x:v>DI.CS.2.5</x:v>
      </x:c>
      <x:c r="G1872" s="14" t="str">
        <x:f>'Design &amp; Insights'!F500</x:f>
        <x:v>Draft initial enhancement recommendations (as applicable)</x:v>
      </x:c>
      <x:c r="H1872" s="2" t="str">
        <x:f>IF('Design &amp; Insights'!G500="","",'Design &amp; Insights'!G500)</x:f>
      </x:c>
      <x:c r="I1872" s="12" t="str">
        <x:f>IF('Design &amp; Insights'!H500="","",'Design &amp; Insights'!H500)</x:f>
      </x:c>
      <x:c r="J1872" s="12" t="n">
        <x:f>IF('Design &amp; Insights'!I500="","",'Design &amp; Insights'!I500)</x:f>
        <x:v>46387</x:v>
      </x:c>
      <x:c r="K1872" s="12" t="str">
        <x:f>IF('Design &amp; Insights'!J500="","",'Design &amp; Insights'!J500)</x:f>
      </x:c>
      <x:c r="L1872" s="2" t="str">
        <x:f>IF('Design &amp; Insights'!K500="","",'Design &amp; Insights'!K500)</x:f>
      </x:c>
      <x:c r="M1872" s="2" t="n">
        <x:f>'Design &amp; Insights'!Q500</x:f>
        <x:v>1</x:v>
      </x:c>
      <x:c r="N1872" s="2" t="str">
        <x:f>'Design &amp; Insights'!L500</x:f>
        <x:v>Not started</x:v>
      </x:c>
      <x:c r="O1872" s="2" t="str">
        <x:f>'Design &amp; Insights'!N500</x:f>
        <x:v>DI.CS.2.5.2026.CY4</x:v>
      </x:c>
      <x:c r="P1872" s="2" t="n">
        <x:f>'Design &amp; Insights'!O500</x:f>
        <x:v>0</x:v>
      </x:c>
      <x:c r="Q1872" s="2" t="n">
        <x:f>SUBTOTAL(103,O1872)</x:f>
        <x:v>1</x:v>
      </x:c>
      <x:c r="R1872" s="2" t="n">
        <x:f>IF(AND(M1872=1,OR(Dashboard!$B$7="All",Dashboard!$B$7='Cycles &amp; Guide'!$C$5),OR(Dashboard!$D$7="All",Dashboard!$D$7=B1872),OR(Dashboard!$F$7="All",Dashboard!$F$7=C1872),OR(Dashboard!$H$7="All",Dashboard!$H$7=D1872),OR(Dashboard!$K$7="All",Dashboard!$K$7=E1872)),1,0)</x:f>
        <x:v>1</x:v>
      </x:c>
      <x:c r="S1872" s="2" t="n">
        <x:f>IF(R1872=1,SUM($R$10:R1872),0)</x:f>
        <x:v>1499</x:v>
      </x:c>
      <x:c r="T1872" s="2" t="str">
        <x:v>Design &amp; Insights</x:v>
      </x:c>
      <x:c r="U1872" s="2" t="n">
        <x:v>500</x:v>
      </x:c>
      <x:c r="V1872" s="2" t="n">
        <x:f>IF(AND(M1872=1,P1872=0,ISNUMBER(J1872),J1872&lt;TODAY()),1,0)</x:f>
        <x:v>0</x:v>
      </x:c>
      <x:c r="W1872" s="2" t="str">
        <x:f>'Design &amp; Insights'!M500</x:f>
        <x:v>Task</x:v>
      </x:c>
    </x:row>
    <x:row r="1873" ht="40" customHeight="1">
      <x:c r="A1873" s="3" t="str">
        <x:f>HYPERLINK("#'Design &amp; Insights'!A501","Open")</x:f>
        <x:v>Open</x:v>
      </x:c>
      <x:c r="B1873" s="2" t="str">
        <x:f>'Design &amp; Insights'!B501</x:f>
        <x:v>Cycle 4</x:v>
      </x:c>
      <x:c r="C1873" s="2" t="str">
        <x:f>'Design &amp; Insights'!C501</x:f>
        <x:v>Phase 2</x:v>
      </x:c>
      <x:c r="D1873" s="2" t="str">
        <x:f>'Design &amp; Insights'!D501</x:f>
        <x:v>CSBBO - Customer Service</x:v>
      </x:c>
      <x:c r="E1873" s="2" t="str">
        <x:v>Design &amp; Insights</x:v>
      </x:c>
      <x:c r="F1873" s="56" t="str">
        <x:f>'Design &amp; Insights'!E501</x:f>
        <x:v>DI.CS.2.6</x:v>
      </x:c>
      <x:c r="G1873" s="14" t="str">
        <x:f>'Design &amp; Insights'!F501</x:f>
        <x:v>Finalize presentation deck draft at conclusion of Research phase</x:v>
      </x:c>
      <x:c r="H1873" s="2" t="str">
        <x:f>IF('Design &amp; Insights'!G501="","",'Design &amp; Insights'!G501)</x:f>
      </x:c>
      <x:c r="I1873" s="12" t="str">
        <x:f>IF('Design &amp; Insights'!H501="","",'Design &amp; Insights'!H501)</x:f>
      </x:c>
      <x:c r="J1873" s="12" t="n">
        <x:f>IF('Design &amp; Insights'!I501="","",'Design &amp; Insights'!I501)</x:f>
        <x:v>46387</x:v>
      </x:c>
      <x:c r="K1873" s="12" t="str">
        <x:f>IF('Design &amp; Insights'!J501="","",'Design &amp; Insights'!J501)</x:f>
      </x:c>
      <x:c r="L1873" s="2" t="str">
        <x:f>IF('Design &amp; Insights'!K501="","",'Design &amp; Insights'!K501)</x:f>
      </x:c>
      <x:c r="M1873" s="2" t="n">
        <x:f>'Design &amp; Insights'!Q501</x:f>
        <x:v>1</x:v>
      </x:c>
      <x:c r="N1873" s="2" t="str">
        <x:f>'Design &amp; Insights'!L501</x:f>
        <x:v>Not started</x:v>
      </x:c>
      <x:c r="O1873" s="2" t="str">
        <x:f>'Design &amp; Insights'!N501</x:f>
        <x:v>DI.CS.2.6.2026.CY4</x:v>
      </x:c>
      <x:c r="P1873" s="2" t="n">
        <x:f>'Design &amp; Insights'!O501</x:f>
        <x:v>0</x:v>
      </x:c>
      <x:c r="Q1873" s="2" t="n">
        <x:f>SUBTOTAL(103,O1873)</x:f>
        <x:v>1</x:v>
      </x:c>
      <x:c r="R1873" s="2" t="n">
        <x:f>IF(AND(M1873=1,OR(Dashboard!$B$7="All",Dashboard!$B$7='Cycles &amp; Guide'!$C$5),OR(Dashboard!$D$7="All",Dashboard!$D$7=B1873),OR(Dashboard!$F$7="All",Dashboard!$F$7=C1873),OR(Dashboard!$H$7="All",Dashboard!$H$7=D1873),OR(Dashboard!$K$7="All",Dashboard!$K$7=E1873)),1,0)</x:f>
        <x:v>1</x:v>
      </x:c>
      <x:c r="S1873" s="2" t="n">
        <x:f>IF(R1873=1,SUM($R$10:R1873),0)</x:f>
        <x:v>1500</x:v>
      </x:c>
      <x:c r="T1873" s="2" t="str">
        <x:v>Design &amp; Insights</x:v>
      </x:c>
      <x:c r="U1873" s="2" t="n">
        <x:v>501</x:v>
      </x:c>
      <x:c r="V1873" s="2" t="n">
        <x:f>IF(AND(M1873=1,P1873=0,ISNUMBER(J1873),J1873&lt;TODAY()),1,0)</x:f>
        <x:v>0</x:v>
      </x:c>
      <x:c r="W1873" s="2" t="str">
        <x:f>'Design &amp; Insights'!M501</x:f>
        <x:v>Task</x:v>
      </x:c>
    </x:row>
    <x:row r="1874" ht="40" customHeight="1">
      <x:c r="A1874" s="3" t="str">
        <x:f>HYPERLINK("#'Design &amp; Insights'!A502","Open")</x:f>
        <x:v>Open</x:v>
      </x:c>
      <x:c r="B1874" s="2" t="str">
        <x:f>'Design &amp; Insights'!B502</x:f>
        <x:v>Cycle 4</x:v>
      </x:c>
      <x:c r="C1874" s="2" t="str">
        <x:f>'Design &amp; Insights'!C502</x:f>
        <x:v>Phase 2</x:v>
      </x:c>
      <x:c r="D1874" s="2" t="str">
        <x:f>'Design &amp; Insights'!D502</x:f>
        <x:v>CSBBO - Customer Service</x:v>
      </x:c>
      <x:c r="E1874" s="2" t="str">
        <x:v>Design &amp; Insights</x:v>
      </x:c>
      <x:c r="F1874" s="56" t="str">
        <x:f>'Design &amp; Insights'!E502</x:f>
        <x:v>DI.CS.2.7</x:v>
      </x:c>
      <x:c r="G1874" s="14" t="str">
        <x:f>'Design &amp; Insights'!F502</x:f>
        <x:v>Update Outcome portion of research plan with current enhancement verbiage (as needed)</x:v>
      </x:c>
      <x:c r="H1874" s="2" t="str">
        <x:f>IF('Design &amp; Insights'!G502="","",'Design &amp; Insights'!G502)</x:f>
      </x:c>
      <x:c r="I1874" s="12" t="str">
        <x:f>IF('Design &amp; Insights'!H502="","",'Design &amp; Insights'!H502)</x:f>
      </x:c>
      <x:c r="J1874" s="12" t="n">
        <x:f>IF('Design &amp; Insights'!I502="","",'Design &amp; Insights'!I502)</x:f>
        <x:v>46387</x:v>
      </x:c>
      <x:c r="K1874" s="12" t="str">
        <x:f>IF('Design &amp; Insights'!J502="","",'Design &amp; Insights'!J502)</x:f>
      </x:c>
      <x:c r="L1874" s="2" t="str">
        <x:f>IF('Design &amp; Insights'!K502="","",'Design &amp; Insights'!K502)</x:f>
      </x:c>
      <x:c r="M1874" s="2" t="n">
        <x:f>'Design &amp; Insights'!Q502</x:f>
        <x:v>1</x:v>
      </x:c>
      <x:c r="N1874" s="2" t="str">
        <x:f>'Design &amp; Insights'!L502</x:f>
        <x:v>Not started</x:v>
      </x:c>
      <x:c r="O1874" s="2" t="str">
        <x:f>'Design &amp; Insights'!N502</x:f>
        <x:v>DI.CS.2.7.2026.CY4</x:v>
      </x:c>
      <x:c r="P1874" s="2" t="n">
        <x:f>'Design &amp; Insights'!O502</x:f>
        <x:v>0</x:v>
      </x:c>
      <x:c r="Q1874" s="2" t="n">
        <x:f>SUBTOTAL(103,O1874)</x:f>
        <x:v>1</x:v>
      </x:c>
      <x:c r="R1874" s="2" t="n">
        <x:f>IF(AND(M1874=1,OR(Dashboard!$B$7="All",Dashboard!$B$7='Cycles &amp; Guide'!$C$5),OR(Dashboard!$D$7="All",Dashboard!$D$7=B1874),OR(Dashboard!$F$7="All",Dashboard!$F$7=C1874),OR(Dashboard!$H$7="All",Dashboard!$H$7=D1874),OR(Dashboard!$K$7="All",Dashboard!$K$7=E1874)),1,0)</x:f>
        <x:v>1</x:v>
      </x:c>
      <x:c r="S1874" s="2" t="n">
        <x:f>IF(R1874=1,SUM($R$10:R1874),0)</x:f>
        <x:v>1501</x:v>
      </x:c>
      <x:c r="T1874" s="2" t="str">
        <x:v>Design &amp; Insights</x:v>
      </x:c>
      <x:c r="U1874" s="2" t="n">
        <x:v>502</x:v>
      </x:c>
      <x:c r="V1874" s="2" t="n">
        <x:f>IF(AND(M1874=1,P1874=0,ISNUMBER(J1874),J1874&lt;TODAY()),1,0)</x:f>
        <x:v>0</x:v>
      </x:c>
      <x:c r="W1874" s="2" t="str">
        <x:f>'Design &amp; Insights'!M502</x:f>
        <x:v>Task</x:v>
      </x:c>
    </x:row>
    <x:row r="1875" ht="40" customHeight="1">
      <x:c r="A1875" s="3" t="str">
        <x:f>HYPERLINK("#'Design &amp; Insights'!A503","Open")</x:f>
        <x:v>Open</x:v>
      </x:c>
      <x:c r="B1875" s="2" t="str">
        <x:f>'Design &amp; Insights'!B503</x:f>
        <x:v>Cycle 4</x:v>
      </x:c>
      <x:c r="C1875" s="2" t="str">
        <x:f>'Design &amp; Insights'!C503</x:f>
        <x:v>Phase 3</x:v>
      </x:c>
      <x:c r="D1875" s="2" t="str">
        <x:f>'Design &amp; Insights'!D503</x:f>
        <x:v>CSBBO - Customer Service</x:v>
      </x:c>
      <x:c r="E1875" s="2" t="str">
        <x:v>Design &amp; Insights</x:v>
      </x:c>
      <x:c r="F1875" s="56" t="str">
        <x:f>'Design &amp; Insights'!E503</x:f>
        <x:v>DI.CS.3.1</x:v>
      </x:c>
      <x:c r="G1875" s="14" t="str">
        <x:f>'Design &amp; Insights'!F503</x:f>
        <x:v>Confirm list of required &amp; optional attendees for pre-socialization meeting</x:v>
      </x:c>
      <x:c r="H1875" s="2" t="str">
        <x:f>IF('Design &amp; Insights'!G503="","",'Design &amp; Insights'!G503)</x:f>
      </x:c>
      <x:c r="I1875" s="12" t="str">
        <x:f>IF('Design &amp; Insights'!H503="","",'Design &amp; Insights'!H503)</x:f>
      </x:c>
      <x:c r="J1875" s="12" t="n">
        <x:f>IF('Design &amp; Insights'!I503="","",'Design &amp; Insights'!I503)</x:f>
        <x:v>46387</x:v>
      </x:c>
      <x:c r="K1875" s="12" t="str">
        <x:f>IF('Design &amp; Insights'!J503="","",'Design &amp; Insights'!J503)</x:f>
      </x:c>
      <x:c r="L1875" s="2" t="str">
        <x:f>IF('Design &amp; Insights'!K503="","",'Design &amp; Insights'!K503)</x:f>
      </x:c>
      <x:c r="M1875" s="2" t="n">
        <x:f>'Design &amp; Insights'!Q503</x:f>
        <x:v>1</x:v>
      </x:c>
      <x:c r="N1875" s="2" t="str">
        <x:f>'Design &amp; Insights'!L503</x:f>
        <x:v>Not started</x:v>
      </x:c>
      <x:c r="O1875" s="2" t="str">
        <x:f>'Design &amp; Insights'!N503</x:f>
        <x:v>DI.CS.3.1.2026.CY4</x:v>
      </x:c>
      <x:c r="P1875" s="2" t="n">
        <x:f>'Design &amp; Insights'!O503</x:f>
        <x:v>0</x:v>
      </x:c>
      <x:c r="Q1875" s="2" t="n">
        <x:f>SUBTOTAL(103,O1875)</x:f>
        <x:v>1</x:v>
      </x:c>
      <x:c r="R1875" s="2" t="n">
        <x:f>IF(AND(M1875=1,OR(Dashboard!$B$7="All",Dashboard!$B$7='Cycles &amp; Guide'!$C$5),OR(Dashboard!$D$7="All",Dashboard!$D$7=B1875),OR(Dashboard!$F$7="All",Dashboard!$F$7=C1875),OR(Dashboard!$H$7="All",Dashboard!$H$7=D1875),OR(Dashboard!$K$7="All",Dashboard!$K$7=E1875)),1,0)</x:f>
        <x:v>1</x:v>
      </x:c>
      <x:c r="S1875" s="2" t="n">
        <x:f>IF(R1875=1,SUM($R$10:R1875),0)</x:f>
        <x:v>1502</x:v>
      </x:c>
      <x:c r="T1875" s="2" t="str">
        <x:v>Design &amp; Insights</x:v>
      </x:c>
      <x:c r="U1875" s="2" t="n">
        <x:v>503</x:v>
      </x:c>
      <x:c r="V1875" s="2" t="n">
        <x:f>IF(AND(M1875=1,P1875=0,ISNUMBER(J1875),J1875&lt;TODAY()),1,0)</x:f>
        <x:v>0</x:v>
      </x:c>
      <x:c r="W1875" s="2" t="str">
        <x:f>'Design &amp; Insights'!M503</x:f>
        <x:v>Task</x:v>
      </x:c>
    </x:row>
    <x:row r="1876" ht="40" customHeight="1">
      <x:c r="A1876" s="3" t="str">
        <x:f>HYPERLINK("#'Design &amp; Insights'!A504","Open")</x:f>
        <x:v>Open</x:v>
      </x:c>
      <x:c r="B1876" s="2" t="str">
        <x:f>'Design &amp; Insights'!B504</x:f>
        <x:v>Cycle 4</x:v>
      </x:c>
      <x:c r="C1876" s="2" t="str">
        <x:f>'Design &amp; Insights'!C504</x:f>
        <x:v>Phase 3</x:v>
      </x:c>
      <x:c r="D1876" s="2" t="str">
        <x:f>'Design &amp; Insights'!D504</x:f>
        <x:v>CSBBO - Customer Service</x:v>
      </x:c>
      <x:c r="E1876" s="2" t="str">
        <x:v>Design &amp; Insights</x:v>
      </x:c>
      <x:c r="F1876" s="56" t="str">
        <x:f>'Design &amp; Insights'!E504</x:f>
        <x:v>DI.CS.3.2</x:v>
      </x:c>
      <x:c r="G1876" s="14" t="str">
        <x:f>'Design &amp; Insights'!F504</x:f>
        <x:v>Schedule pre-socialization meeting 1 week prior to RCA Forum</x:v>
      </x:c>
      <x:c r="H1876" s="2" t="str">
        <x:f>IF('Design &amp; Insights'!G504="","",'Design &amp; Insights'!G504)</x:f>
      </x:c>
      <x:c r="I1876" s="12" t="str">
        <x:f>IF('Design &amp; Insights'!H504="","",'Design &amp; Insights'!H504)</x:f>
      </x:c>
      <x:c r="J1876" s="12" t="str">
        <x:f>IF('Design &amp; Insights'!I504="","",'Design &amp; Insights'!I504)</x:f>
      </x:c>
      <x:c r="K1876" s="12" t="str">
        <x:f>IF('Design &amp; Insights'!J504="","",'Design &amp; Insights'!J504)</x:f>
      </x:c>
      <x:c r="L1876" s="2" t="str">
        <x:f>IF('Design &amp; Insights'!K504="","",'Design &amp; Insights'!K504)</x:f>
      </x:c>
      <x:c r="M1876" s="2" t="n">
        <x:f>'Design &amp; Insights'!Q504</x:f>
        <x:v>1</x:v>
      </x:c>
      <x:c r="N1876" s="2" t="str">
        <x:f>'Design &amp; Insights'!L504</x:f>
        <x:v>Not started</x:v>
      </x:c>
      <x:c r="O1876" s="2" t="str">
        <x:f>'Design &amp; Insights'!N504</x:f>
        <x:v>DI.CS.3.2.2026.CY4</x:v>
      </x:c>
      <x:c r="P1876" s="2" t="n">
        <x:f>'Design &amp; Insights'!O504</x:f>
        <x:v>0</x:v>
      </x:c>
      <x:c r="Q1876" s="2" t="n">
        <x:f>SUBTOTAL(103,O1876)</x:f>
        <x:v>1</x:v>
      </x:c>
      <x:c r="R1876" s="2" t="n">
        <x:f>IF(AND(M1876=1,OR(Dashboard!$B$7="All",Dashboard!$B$7='Cycles &amp; Guide'!$C$5),OR(Dashboard!$D$7="All",Dashboard!$D$7=B1876),OR(Dashboard!$F$7="All",Dashboard!$F$7=C1876),OR(Dashboard!$H$7="All",Dashboard!$H$7=D1876),OR(Dashboard!$K$7="All",Dashboard!$K$7=E1876)),1,0)</x:f>
        <x:v>1</x:v>
      </x:c>
      <x:c r="S1876" s="2" t="n">
        <x:f>IF(R1876=1,SUM($R$10:R1876),0)</x:f>
        <x:v>1503</x:v>
      </x:c>
      <x:c r="T1876" s="2" t="str">
        <x:v>Design &amp; Insights</x:v>
      </x:c>
      <x:c r="U1876" s="2" t="n">
        <x:v>504</x:v>
      </x:c>
      <x:c r="V1876" s="2" t="n">
        <x:f>IF(AND(M1876=1,P1876=0,ISNUMBER(J1876),J1876&lt;TODAY()),1,0)</x:f>
        <x:v>0</x:v>
      </x:c>
      <x:c r="W1876" s="2" t="str">
        <x:f>'Design &amp; Insights'!M504</x:f>
        <x:v>Task</x:v>
      </x:c>
    </x:row>
    <x:row r="1877" ht="40" customHeight="1">
      <x:c r="A1877" s="3" t="str">
        <x:f>HYPERLINK("#'Design &amp; Insights'!A505","Open")</x:f>
        <x:v>Open</x:v>
      </x:c>
      <x:c r="B1877" s="2" t="str">
        <x:f>'Design &amp; Insights'!B505</x:f>
        <x:v>Cycle 4</x:v>
      </x:c>
      <x:c r="C1877" s="2" t="str">
        <x:f>'Design &amp; Insights'!C505</x:f>
        <x:v>Phase 3</x:v>
      </x:c>
      <x:c r="D1877" s="2" t="str">
        <x:f>'Design &amp; Insights'!D505</x:f>
        <x:v>CSBBO - Customer Service</x:v>
      </x:c>
      <x:c r="E1877" s="2" t="str">
        <x:v>Design &amp; Insights</x:v>
      </x:c>
      <x:c r="F1877" s="56" t="str">
        <x:f>'Design &amp; Insights'!E505</x:f>
        <x:v>DI.CS.3.3</x:v>
      </x:c>
      <x:c r="G1877" s="14" t="str">
        <x:f>'Design &amp; Insights'!F505</x:f>
        <x:v>Present findings, conclusions, and recommendation to SMEs</x:v>
      </x:c>
      <x:c r="H1877" s="2" t="str">
        <x:f>IF('Design &amp; Insights'!G505="","",'Design &amp; Insights'!G505)</x:f>
      </x:c>
      <x:c r="I1877" s="12" t="str">
        <x:f>IF('Design &amp; Insights'!H505="","",'Design &amp; Insights'!H505)</x:f>
      </x:c>
      <x:c r="J1877" s="12" t="n">
        <x:f>IF('Design &amp; Insights'!I505="","",'Design &amp; Insights'!I505)</x:f>
        <x:v>46387</x:v>
      </x:c>
      <x:c r="K1877" s="12" t="str">
        <x:f>IF('Design &amp; Insights'!J505="","",'Design &amp; Insights'!J505)</x:f>
      </x:c>
      <x:c r="L1877" s="2" t="str">
        <x:f>IF('Design &amp; Insights'!K505="","",'Design &amp; Insights'!K505)</x:f>
      </x:c>
      <x:c r="M1877" s="2" t="n">
        <x:f>'Design &amp; Insights'!Q505</x:f>
        <x:v>1</x:v>
      </x:c>
      <x:c r="N1877" s="2" t="str">
        <x:f>'Design &amp; Insights'!L505</x:f>
        <x:v>Not started</x:v>
      </x:c>
      <x:c r="O1877" s="2" t="str">
        <x:f>'Design &amp; Insights'!N505</x:f>
        <x:v>DI.CS.3.3.2026.CY4</x:v>
      </x:c>
      <x:c r="P1877" s="2" t="n">
        <x:f>'Design &amp; Insights'!O505</x:f>
        <x:v>0</x:v>
      </x:c>
      <x:c r="Q1877" s="2" t="n">
        <x:f>SUBTOTAL(103,O1877)</x:f>
        <x:v>1</x:v>
      </x:c>
      <x:c r="R1877" s="2" t="n">
        <x:f>IF(AND(M1877=1,OR(Dashboard!$B$7="All",Dashboard!$B$7='Cycles &amp; Guide'!$C$5),OR(Dashboard!$D$7="All",Dashboard!$D$7=B1877),OR(Dashboard!$F$7="All",Dashboard!$F$7=C1877),OR(Dashboard!$H$7="All",Dashboard!$H$7=D1877),OR(Dashboard!$K$7="All",Dashboard!$K$7=E1877)),1,0)</x:f>
        <x:v>1</x:v>
      </x:c>
      <x:c r="S1877" s="2" t="n">
        <x:f>IF(R1877=1,SUM($R$10:R1877),0)</x:f>
        <x:v>1504</x:v>
      </x:c>
      <x:c r="T1877" s="2" t="str">
        <x:v>Design &amp; Insights</x:v>
      </x:c>
      <x:c r="U1877" s="2" t="n">
        <x:v>505</x:v>
      </x:c>
      <x:c r="V1877" s="2" t="n">
        <x:f>IF(AND(M1877=1,P1877=0,ISNUMBER(J1877),J1877&lt;TODAY()),1,0)</x:f>
        <x:v>0</x:v>
      </x:c>
      <x:c r="W1877" s="2" t="str">
        <x:f>'Design &amp; Insights'!M505</x:f>
        <x:v>Task</x:v>
      </x:c>
    </x:row>
    <x:row r="1878" ht="40" customHeight="1">
      <x:c r="A1878" s="3" t="str">
        <x:f>HYPERLINK("#'Design &amp; Insights'!A506","Open")</x:f>
        <x:v>Open</x:v>
      </x:c>
      <x:c r="B1878" s="2" t="str">
        <x:f>'Design &amp; Insights'!B506</x:f>
        <x:v>Cycle 4</x:v>
      </x:c>
      <x:c r="C1878" s="2" t="str">
        <x:f>'Design &amp; Insights'!C506</x:f>
        <x:v>Phase 3</x:v>
      </x:c>
      <x:c r="D1878" s="2" t="str">
        <x:f>'Design &amp; Insights'!D506</x:f>
        <x:v>CSBBO - Customer Service</x:v>
      </x:c>
      <x:c r="E1878" s="2" t="str">
        <x:v>Design &amp; Insights</x:v>
      </x:c>
      <x:c r="F1878" s="56" t="str">
        <x:f>'Design &amp; Insights'!E506</x:f>
        <x:v>DI.CS.3.4</x:v>
      </x:c>
      <x:c r="G1878" s="14" t="str">
        <x:f>'Design &amp; Insights'!F506</x:f>
        <x:v>Update Outcome portion of research plan (as needed)</x:v>
      </x:c>
      <x:c r="H1878" s="2" t="str">
        <x:f>IF('Design &amp; Insights'!G506="","",'Design &amp; Insights'!G506)</x:f>
      </x:c>
      <x:c r="I1878" s="12" t="str">
        <x:f>IF('Design &amp; Insights'!H506="","",'Design &amp; Insights'!H506)</x:f>
      </x:c>
      <x:c r="J1878" s="12" t="n">
        <x:f>IF('Design &amp; Insights'!I506="","",'Design &amp; Insights'!I506)</x:f>
        <x:v>46387</x:v>
      </x:c>
      <x:c r="K1878" s="12" t="str">
        <x:f>IF('Design &amp; Insights'!J506="","",'Design &amp; Insights'!J506)</x:f>
      </x:c>
      <x:c r="L1878" s="2" t="str">
        <x:f>IF('Design &amp; Insights'!K506="","",'Design &amp; Insights'!K506)</x:f>
      </x:c>
      <x:c r="M1878" s="2" t="n">
        <x:f>'Design &amp; Insights'!Q506</x:f>
        <x:v>1</x:v>
      </x:c>
      <x:c r="N1878" s="2" t="str">
        <x:f>'Design &amp; Insights'!L506</x:f>
        <x:v>Not started</x:v>
      </x:c>
      <x:c r="O1878" s="2" t="str">
        <x:f>'Design &amp; Insights'!N506</x:f>
        <x:v>DI.CS.3.4.2026.CY4</x:v>
      </x:c>
      <x:c r="P1878" s="2" t="n">
        <x:f>'Design &amp; Insights'!O506</x:f>
        <x:v>0</x:v>
      </x:c>
      <x:c r="Q1878" s="2" t="n">
        <x:f>SUBTOTAL(103,O1878)</x:f>
        <x:v>1</x:v>
      </x:c>
      <x:c r="R1878" s="2" t="n">
        <x:f>IF(AND(M1878=1,OR(Dashboard!$B$7="All",Dashboard!$B$7='Cycles &amp; Guide'!$C$5),OR(Dashboard!$D$7="All",Dashboard!$D$7=B1878),OR(Dashboard!$F$7="All",Dashboard!$F$7=C1878),OR(Dashboard!$H$7="All",Dashboard!$H$7=D1878),OR(Dashboard!$K$7="All",Dashboard!$K$7=E1878)),1,0)</x:f>
        <x:v>1</x:v>
      </x:c>
      <x:c r="S1878" s="2" t="n">
        <x:f>IF(R1878=1,SUM($R$10:R1878),0)</x:f>
        <x:v>1505</x:v>
      </x:c>
      <x:c r="T1878" s="2" t="str">
        <x:v>Design &amp; Insights</x:v>
      </x:c>
      <x:c r="U1878" s="2" t="n">
        <x:v>506</x:v>
      </x:c>
      <x:c r="V1878" s="2" t="n">
        <x:f>IF(AND(M1878=1,P1878=0,ISNUMBER(J1878),J1878&lt;TODAY()),1,0)</x:f>
        <x:v>0</x:v>
      </x:c>
      <x:c r="W1878" s="2" t="str">
        <x:f>'Design &amp; Insights'!M506</x:f>
        <x:v>Task</x:v>
      </x:c>
    </x:row>
    <x:row r="1879" ht="40" customHeight="1">
      <x:c r="A1879" s="3" t="str">
        <x:f>HYPERLINK("#'Design &amp; Insights'!A507","Open")</x:f>
        <x:v>Open</x:v>
      </x:c>
      <x:c r="B1879" s="2" t="str">
        <x:f>'Design &amp; Insights'!B507</x:f>
        <x:v>Cycle 4</x:v>
      </x:c>
      <x:c r="C1879" s="2" t="str">
        <x:f>'Design &amp; Insights'!C507</x:f>
        <x:v>Phase 3</x:v>
      </x:c>
      <x:c r="D1879" s="2" t="str">
        <x:f>'Design &amp; Insights'!D507</x:f>
        <x:v>CSBBO - Customer Service</x:v>
      </x:c>
      <x:c r="E1879" s="2" t="str">
        <x:v>Design &amp; Insights</x:v>
      </x:c>
      <x:c r="F1879" s="56" t="str">
        <x:f>'Design &amp; Insights'!E507</x:f>
        <x:v>DI.CS.3.5</x:v>
      </x:c>
      <x:c r="G1879" s="14" t="str">
        <x:f>'Design &amp; Insights'!F507</x:f>
        <x:v>Finalize presentation deck by incorporating pre-socialization feedback (as needed)</x:v>
      </x:c>
      <x:c r="H1879" s="2" t="str">
        <x:f>IF('Design &amp; Insights'!G507="","",'Design &amp; Insights'!G507)</x:f>
      </x:c>
      <x:c r="I1879" s="12" t="str">
        <x:f>IF('Design &amp; Insights'!H507="","",'Design &amp; Insights'!H507)</x:f>
      </x:c>
      <x:c r="J1879" s="12" t="n">
        <x:f>IF('Design &amp; Insights'!I507="","",'Design &amp; Insights'!I507)</x:f>
        <x:v>46387</x:v>
      </x:c>
      <x:c r="K1879" s="12" t="str">
        <x:f>IF('Design &amp; Insights'!J507="","",'Design &amp; Insights'!J507)</x:f>
      </x:c>
      <x:c r="L1879" s="2" t="str">
        <x:f>IF('Design &amp; Insights'!K507="","",'Design &amp; Insights'!K507)</x:f>
      </x:c>
      <x:c r="M1879" s="2" t="n">
        <x:f>'Design &amp; Insights'!Q507</x:f>
        <x:v>1</x:v>
      </x:c>
      <x:c r="N1879" s="2" t="str">
        <x:f>'Design &amp; Insights'!L507</x:f>
        <x:v>Not started</x:v>
      </x:c>
      <x:c r="O1879" s="2" t="str">
        <x:f>'Design &amp; Insights'!N507</x:f>
        <x:v>DI.CS.3.5.2026.CY4</x:v>
      </x:c>
      <x:c r="P1879" s="2" t="n">
        <x:f>'Design &amp; Insights'!O507</x:f>
        <x:v>0</x:v>
      </x:c>
      <x:c r="Q1879" s="2" t="n">
        <x:f>SUBTOTAL(103,O1879)</x:f>
        <x:v>1</x:v>
      </x:c>
      <x:c r="R1879" s="2" t="n">
        <x:f>IF(AND(M1879=1,OR(Dashboard!$B$7="All",Dashboard!$B$7='Cycles &amp; Guide'!$C$5),OR(Dashboard!$D$7="All",Dashboard!$D$7=B1879),OR(Dashboard!$F$7="All",Dashboard!$F$7=C1879),OR(Dashboard!$H$7="All",Dashboard!$H$7=D1879),OR(Dashboard!$K$7="All",Dashboard!$K$7=E1879)),1,0)</x:f>
        <x:v>1</x:v>
      </x:c>
      <x:c r="S1879" s="2" t="n">
        <x:f>IF(R1879=1,SUM($R$10:R1879),0)</x:f>
        <x:v>1506</x:v>
      </x:c>
      <x:c r="T1879" s="2" t="str">
        <x:v>Design &amp; Insights</x:v>
      </x:c>
      <x:c r="U1879" s="2" t="n">
        <x:v>507</x:v>
      </x:c>
      <x:c r="V1879" s="2" t="n">
        <x:f>IF(AND(M1879=1,P1879=0,ISNUMBER(J1879),J1879&lt;TODAY()),1,0)</x:f>
        <x:v>0</x:v>
      </x:c>
      <x:c r="W1879" s="2" t="str">
        <x:f>'Design &amp; Insights'!M507</x:f>
        <x:v>Task</x:v>
      </x:c>
    </x:row>
    <x:row r="1880" ht="40" customHeight="1">
      <x:c r="A1880" s="3" t="str">
        <x:f>HYPERLINK("#'Design &amp; Insights'!A508","Open")</x:f>
        <x:v>Open</x:v>
      </x:c>
      <x:c r="B1880" s="2" t="str">
        <x:f>'Design &amp; Insights'!B508</x:f>
        <x:v>Cycle 4</x:v>
      </x:c>
      <x:c r="C1880" s="2" t="str">
        <x:f>'Design &amp; Insights'!C508</x:f>
        <x:v>Phase 3</x:v>
      </x:c>
      <x:c r="D1880" s="2" t="str">
        <x:f>'Design &amp; Insights'!D508</x:f>
        <x:v>CSBBO - Customer Service</x:v>
      </x:c>
      <x:c r="E1880" s="2" t="str">
        <x:v>Design &amp; Insights</x:v>
      </x:c>
      <x:c r="F1880" s="56" t="str">
        <x:f>'Design &amp; Insights'!E508</x:f>
        <x:v>DI.CS.3.6</x:v>
      </x:c>
      <x:c r="G1880" s="14" t="str">
        <x:f>'Design &amp; Insights'!F508</x:f>
        <x:v>Ensure final deck is communicated to Forum attendees</x:v>
      </x:c>
      <x:c r="H1880" s="2" t="str">
        <x:f>IF('Design &amp; Insights'!G508="","",'Design &amp; Insights'!G508)</x:f>
      </x:c>
      <x:c r="I1880" s="12" t="str">
        <x:f>IF('Design &amp; Insights'!H508="","",'Design &amp; Insights'!H508)</x:f>
      </x:c>
      <x:c r="J1880" s="12" t="n">
        <x:f>IF('Design &amp; Insights'!I508="","",'Design &amp; Insights'!I508)</x:f>
        <x:v>46387</x:v>
      </x:c>
      <x:c r="K1880" s="12" t="str">
        <x:f>IF('Design &amp; Insights'!J508="","",'Design &amp; Insights'!J508)</x:f>
      </x:c>
      <x:c r="L1880" s="2" t="str">
        <x:f>IF('Design &amp; Insights'!K508="","",'Design &amp; Insights'!K508)</x:f>
      </x:c>
      <x:c r="M1880" s="2" t="n">
        <x:f>'Design &amp; Insights'!Q508</x:f>
        <x:v>1</x:v>
      </x:c>
      <x:c r="N1880" s="2" t="str">
        <x:f>'Design &amp; Insights'!L508</x:f>
        <x:v>Not started</x:v>
      </x:c>
      <x:c r="O1880" s="2" t="str">
        <x:f>'Design &amp; Insights'!N508</x:f>
        <x:v>DI.CS.3.6.2026.CY4</x:v>
      </x:c>
      <x:c r="P1880" s="2" t="n">
        <x:f>'Design &amp; Insights'!O508</x:f>
        <x:v>0</x:v>
      </x:c>
      <x:c r="Q1880" s="2" t="n">
        <x:f>SUBTOTAL(103,O1880)</x:f>
        <x:v>1</x:v>
      </x:c>
      <x:c r="R1880" s="2" t="n">
        <x:f>IF(AND(M1880=1,OR(Dashboard!$B$7="All",Dashboard!$B$7='Cycles &amp; Guide'!$C$5),OR(Dashboard!$D$7="All",Dashboard!$D$7=B1880),OR(Dashboard!$F$7="All",Dashboard!$F$7=C1880),OR(Dashboard!$H$7="All",Dashboard!$H$7=D1880),OR(Dashboard!$K$7="All",Dashboard!$K$7=E1880)),1,0)</x:f>
        <x:v>1</x:v>
      </x:c>
      <x:c r="S1880" s="2" t="n">
        <x:f>IF(R1880=1,SUM($R$10:R1880),0)</x:f>
        <x:v>1507</x:v>
      </x:c>
      <x:c r="T1880" s="2" t="str">
        <x:v>Design &amp; Insights</x:v>
      </x:c>
      <x:c r="U1880" s="2" t="n">
        <x:v>508</x:v>
      </x:c>
      <x:c r="V1880" s="2" t="n">
        <x:f>IF(AND(M1880=1,P1880=0,ISNUMBER(J1880),J1880&lt;TODAY()),1,0)</x:f>
        <x:v>0</x:v>
      </x:c>
      <x:c r="W1880" s="2" t="str">
        <x:f>'Design &amp; Insights'!M508</x:f>
        <x:v>Task</x:v>
      </x:c>
    </x:row>
    <x:row r="1881" ht="40" customHeight="1">
      <x:c r="A1881" s="3" t="str">
        <x:f>HYPERLINK("#'Design &amp; Insights'!A509","Open")</x:f>
        <x:v>Open</x:v>
      </x:c>
      <x:c r="B1881" s="2" t="str">
        <x:f>'Design &amp; Insights'!B509</x:f>
        <x:v>Cycle 4</x:v>
      </x:c>
      <x:c r="C1881" s="2" t="str">
        <x:f>'Design &amp; Insights'!C509</x:f>
        <x:v>Phase 3</x:v>
      </x:c>
      <x:c r="D1881" s="2" t="str">
        <x:f>'Design &amp; Insights'!D509</x:f>
        <x:v>CSBBO - Customer Service</x:v>
      </x:c>
      <x:c r="E1881" s="2" t="str">
        <x:v>Design &amp; Insights</x:v>
      </x:c>
      <x:c r="F1881" s="56" t="str">
        <x:f>'Design &amp; Insights'!E509</x:f>
        <x:v>DI.CS.3.7</x:v>
      </x:c>
      <x:c r="G1881" s="14" t="str">
        <x:f>'Design &amp; Insights'!F509</x:f>
        <x:v>Present material in RCA Cycle Forum</x:v>
      </x:c>
      <x:c r="H1881" s="2" t="str">
        <x:f>IF('Design &amp; Insights'!G509="","",'Design &amp; Insights'!G509)</x:f>
      </x:c>
      <x:c r="I1881" s="12" t="str">
        <x:f>IF('Design &amp; Insights'!H509="","",'Design &amp; Insights'!H509)</x:f>
      </x:c>
      <x:c r="J1881" s="12" t="str">
        <x:f>IF('Design &amp; Insights'!I509="","",'Design &amp; Insights'!I509)</x:f>
      </x:c>
      <x:c r="K1881" s="12" t="str">
        <x:f>IF('Design &amp; Insights'!J509="","",'Design &amp; Insights'!J509)</x:f>
      </x:c>
      <x:c r="L1881" s="2" t="str">
        <x:f>IF('Design &amp; Insights'!K509="","",'Design &amp; Insights'!K509)</x:f>
      </x:c>
      <x:c r="M1881" s="2" t="n">
        <x:f>'Design &amp; Insights'!Q509</x:f>
        <x:v>1</x:v>
      </x:c>
      <x:c r="N1881" s="2" t="str">
        <x:f>'Design &amp; Insights'!L509</x:f>
        <x:v>Not started</x:v>
      </x:c>
      <x:c r="O1881" s="2" t="str">
        <x:f>'Design &amp; Insights'!N509</x:f>
        <x:v>DI.CS.3.7.2026.CY4</x:v>
      </x:c>
      <x:c r="P1881" s="2" t="n">
        <x:f>'Design &amp; Insights'!O509</x:f>
        <x:v>0</x:v>
      </x:c>
      <x:c r="Q1881" s="2" t="n">
        <x:f>SUBTOTAL(103,O1881)</x:f>
        <x:v>1</x:v>
      </x:c>
      <x:c r="R1881" s="2" t="n">
        <x:f>IF(AND(M1881=1,OR(Dashboard!$B$7="All",Dashboard!$B$7='Cycles &amp; Guide'!$C$5),OR(Dashboard!$D$7="All",Dashboard!$D$7=B1881),OR(Dashboard!$F$7="All",Dashboard!$F$7=C1881),OR(Dashboard!$H$7="All",Dashboard!$H$7=D1881),OR(Dashboard!$K$7="All",Dashboard!$K$7=E1881)),1,0)</x:f>
        <x:v>1</x:v>
      </x:c>
      <x:c r="S1881" s="2" t="n">
        <x:f>IF(R1881=1,SUM($R$10:R1881),0)</x:f>
        <x:v>1508</x:v>
      </x:c>
      <x:c r="T1881" s="2" t="str">
        <x:v>Design &amp; Insights</x:v>
      </x:c>
      <x:c r="U1881" s="2" t="n">
        <x:v>509</x:v>
      </x:c>
      <x:c r="V1881" s="2" t="n">
        <x:f>IF(AND(M1881=1,P1881=0,ISNUMBER(J1881),J1881&lt;TODAY()),1,0)</x:f>
        <x:v>0</x:v>
      </x:c>
      <x:c r="W1881" s="2" t="str">
        <x:f>'Design &amp; Insights'!M509</x:f>
        <x:v>Task</x:v>
      </x:c>
    </x:row>
    <x:row r="1882" ht="40" customHeight="1">
      <x:c r="A1882" s="3" t="str">
        <x:f>HYPERLINK("#'Design &amp; Insights'!A510","Open")</x:f>
        <x:v>Open</x:v>
      </x:c>
      <x:c r="B1882" s="2" t="str">
        <x:f>'Design &amp; Insights'!B510</x:f>
        <x:v>Cycle 4</x:v>
      </x:c>
      <x:c r="C1882" s="2" t="str">
        <x:f>'Design &amp; Insights'!C510</x:f>
        <x:v>Phase 1</x:v>
      </x:c>
      <x:c r="D1882" s="2" t="str">
        <x:f>'Design &amp; Insights'!D510</x:f>
        <x:v>FCM</x:v>
      </x:c>
      <x:c r="E1882" s="2" t="str">
        <x:v>Design &amp; Insights</x:v>
      </x:c>
      <x:c r="F1882" s="56" t="str">
        <x:f>'Design &amp; Insights'!E510</x:f>
        <x:v>DI.FC.1.1</x:v>
      </x:c>
      <x:c r="G1882" s="14" t="str">
        <x:f>'Design &amp; Insights'!F510</x:f>
        <x:v>Receive and review potential research topics at least 2 weeks prior to Cycle start date</x:v>
      </x:c>
      <x:c r="H1882" s="2" t="str">
        <x:f>IF('Design &amp; Insights'!G510="","",'Design &amp; Insights'!G510)</x:f>
      </x:c>
      <x:c r="I1882" s="12" t="str">
        <x:f>IF('Design &amp; Insights'!H510="","",'Design &amp; Insights'!H510)</x:f>
      </x:c>
      <x:c r="J1882" s="12" t="n">
        <x:f>IF('Design &amp; Insights'!I510="","",'Design &amp; Insights'!I510)</x:f>
        <x:v>46282</x:v>
      </x:c>
      <x:c r="K1882" s="12" t="str">
        <x:f>IF('Design &amp; Insights'!J510="","",'Design &amp; Insights'!J510)</x:f>
      </x:c>
      <x:c r="L1882" s="2" t="str">
        <x:f>IF('Design &amp; Insights'!K510="","",'Design &amp; Insights'!K510)</x:f>
      </x:c>
      <x:c r="M1882" s="2" t="n">
        <x:f>'Design &amp; Insights'!Q510</x:f>
        <x:v>1</x:v>
      </x:c>
      <x:c r="N1882" s="2" t="str">
        <x:f>'Design &amp; Insights'!L510</x:f>
        <x:v>Not started</x:v>
      </x:c>
      <x:c r="O1882" s="2" t="str">
        <x:f>'Design &amp; Insights'!N510</x:f>
        <x:v>DI.FC.1.1.2026.CY4</x:v>
      </x:c>
      <x:c r="P1882" s="2" t="n">
        <x:f>'Design &amp; Insights'!O510</x:f>
        <x:v>0</x:v>
      </x:c>
      <x:c r="Q1882" s="2" t="n">
        <x:f>SUBTOTAL(103,O1882)</x:f>
        <x:v>1</x:v>
      </x:c>
      <x:c r="R1882" s="2" t="n">
        <x:f>IF(AND(M1882=1,OR(Dashboard!$B$7="All",Dashboard!$B$7='Cycles &amp; Guide'!$C$5),OR(Dashboard!$D$7="All",Dashboard!$D$7=B1882),OR(Dashboard!$F$7="All",Dashboard!$F$7=C1882),OR(Dashboard!$H$7="All",Dashboard!$H$7=D1882),OR(Dashboard!$K$7="All",Dashboard!$K$7=E1882)),1,0)</x:f>
        <x:v>1</x:v>
      </x:c>
      <x:c r="S1882" s="2" t="n">
        <x:f>IF(R1882=1,SUM($R$10:R1882),0)</x:f>
        <x:v>1509</x:v>
      </x:c>
      <x:c r="T1882" s="2" t="str">
        <x:v>Design &amp; Insights</x:v>
      </x:c>
      <x:c r="U1882" s="2" t="n">
        <x:v>510</x:v>
      </x:c>
      <x:c r="V1882" s="2" t="n">
        <x:f>IF(AND(M1882=1,P1882=0,ISNUMBER(J1882),J1882&lt;TODAY()),1,0)</x:f>
        <x:v>1</x:v>
      </x:c>
      <x:c r="W1882" s="2" t="str">
        <x:f>'Design &amp; Insights'!M510</x:f>
        <x:v>Task</x:v>
      </x:c>
    </x:row>
    <x:row r="1883" ht="40" customHeight="1">
      <x:c r="A1883" s="3" t="str">
        <x:f>HYPERLINK("#'Design &amp; Insights'!A511","Open")</x:f>
        <x:v>Open</x:v>
      </x:c>
      <x:c r="B1883" s="2" t="str">
        <x:f>'Design &amp; Insights'!B511</x:f>
        <x:v>Cycle 4</x:v>
      </x:c>
      <x:c r="C1883" s="2" t="str">
        <x:f>'Design &amp; Insights'!C511</x:f>
        <x:v>Phase 1</x:v>
      </x:c>
      <x:c r="D1883" s="2" t="str">
        <x:f>'Design &amp; Insights'!D511</x:f>
        <x:v>FCM</x:v>
      </x:c>
      <x:c r="E1883" s="2" t="str">
        <x:v>Design &amp; Insights</x:v>
      </x:c>
      <x:c r="F1883" s="56" t="str">
        <x:f>'Design &amp; Insights'!E511</x:f>
        <x:v>DI.FC.1.2</x:v>
      </x:c>
      <x:c r="G1883" s="14" t="str">
        <x:f>'Design &amp; Insights'!F511</x:f>
        <x:v>Communicate any feedback on preferences or concerns with topics identified</x:v>
      </x:c>
      <x:c r="H1883" s="2" t="str">
        <x:f>IF('Design &amp; Insights'!G511="","",'Design &amp; Insights'!G511)</x:f>
      </x:c>
      <x:c r="I1883" s="12" t="str">
        <x:f>IF('Design &amp; Insights'!H511="","",'Design &amp; Insights'!H511)</x:f>
      </x:c>
      <x:c r="J1883" s="12" t="n">
        <x:f>IF('Design &amp; Insights'!I511="","",'Design &amp; Insights'!I511)</x:f>
        <x:v>46387</x:v>
      </x:c>
      <x:c r="K1883" s="12" t="str">
        <x:f>IF('Design &amp; Insights'!J511="","",'Design &amp; Insights'!J511)</x:f>
      </x:c>
      <x:c r="L1883" s="2" t="str">
        <x:f>IF('Design &amp; Insights'!K511="","",'Design &amp; Insights'!K511)</x:f>
      </x:c>
      <x:c r="M1883" s="2" t="n">
        <x:f>'Design &amp; Insights'!Q511</x:f>
        <x:v>1</x:v>
      </x:c>
      <x:c r="N1883" s="2" t="str">
        <x:f>'Design &amp; Insights'!L511</x:f>
        <x:v>Not started</x:v>
      </x:c>
      <x:c r="O1883" s="2" t="str">
        <x:f>'Design &amp; Insights'!N511</x:f>
        <x:v>DI.FC.1.2.2026.CY4</x:v>
      </x:c>
      <x:c r="P1883" s="2" t="n">
        <x:f>'Design &amp; Insights'!O511</x:f>
        <x:v>0</x:v>
      </x:c>
      <x:c r="Q1883" s="2" t="n">
        <x:f>SUBTOTAL(103,O1883)</x:f>
        <x:v>1</x:v>
      </x:c>
      <x:c r="R1883" s="2" t="n">
        <x:f>IF(AND(M1883=1,OR(Dashboard!$B$7="All",Dashboard!$B$7='Cycles &amp; Guide'!$C$5),OR(Dashboard!$D$7="All",Dashboard!$D$7=B1883),OR(Dashboard!$F$7="All",Dashboard!$F$7=C1883),OR(Dashboard!$H$7="All",Dashboard!$H$7=D1883),OR(Dashboard!$K$7="All",Dashboard!$K$7=E1883)),1,0)</x:f>
        <x:v>1</x:v>
      </x:c>
      <x:c r="S1883" s="2" t="n">
        <x:f>IF(R1883=1,SUM($R$10:R1883),0)</x:f>
        <x:v>1510</x:v>
      </x:c>
      <x:c r="T1883" s="2" t="str">
        <x:v>Design &amp; Insights</x:v>
      </x:c>
      <x:c r="U1883" s="2" t="n">
        <x:v>511</x:v>
      </x:c>
      <x:c r="V1883" s="2" t="n">
        <x:f>IF(AND(M1883=1,P1883=0,ISNUMBER(J1883),J1883&lt;TODAY()),1,0)</x:f>
        <x:v>0</x:v>
      </x:c>
      <x:c r="W1883" s="2" t="str">
        <x:f>'Design &amp; Insights'!M511</x:f>
        <x:v>Task</x:v>
      </x:c>
    </x:row>
    <x:row r="1884" ht="40" customHeight="1">
      <x:c r="A1884" s="3" t="str">
        <x:f>HYPERLINK("#'Design &amp; Insights'!A512","Open")</x:f>
        <x:v>Open</x:v>
      </x:c>
      <x:c r="B1884" s="2" t="str">
        <x:f>'Design &amp; Insights'!B512</x:f>
        <x:v>Cycle 4</x:v>
      </x:c>
      <x:c r="C1884" s="2" t="str">
        <x:f>'Design &amp; Insights'!C512</x:f>
        <x:v>Phase 1</x:v>
      </x:c>
      <x:c r="D1884" s="2" t="str">
        <x:f>'Design &amp; Insights'!D512</x:f>
        <x:v>FCM</x:v>
      </x:c>
      <x:c r="E1884" s="2" t="str">
        <x:v>Design &amp; Insights</x:v>
      </x:c>
      <x:c r="F1884" s="56" t="str">
        <x:f>'Design &amp; Insights'!E512</x:f>
        <x:v>DI.FC.1.3</x:v>
      </x:c>
      <x:c r="G1884" s="14" t="str">
        <x:f>'Design &amp; Insights'!F512</x:f>
        <x:v>Conduct high-level preliminary review of complaints within proposed topics</x:v>
      </x:c>
      <x:c r="H1884" s="2" t="str">
        <x:f>IF('Design &amp; Insights'!G512="","",'Design &amp; Insights'!G512)</x:f>
      </x:c>
      <x:c r="I1884" s="12" t="str">
        <x:f>IF('Design &amp; Insights'!H512="","",'Design &amp; Insights'!H512)</x:f>
      </x:c>
      <x:c r="J1884" s="12" t="n">
        <x:f>IF('Design &amp; Insights'!I512="","",'Design &amp; Insights'!I512)</x:f>
        <x:v>46387</x:v>
      </x:c>
      <x:c r="K1884" s="12" t="str">
        <x:f>IF('Design &amp; Insights'!J512="","",'Design &amp; Insights'!J512)</x:f>
      </x:c>
      <x:c r="L1884" s="2" t="str">
        <x:f>IF('Design &amp; Insights'!K512="","",'Design &amp; Insights'!K512)</x:f>
      </x:c>
      <x:c r="M1884" s="2" t="n">
        <x:f>'Design &amp; Insights'!Q512</x:f>
        <x:v>1</x:v>
      </x:c>
      <x:c r="N1884" s="2" t="str">
        <x:f>'Design &amp; Insights'!L512</x:f>
        <x:v>Not started</x:v>
      </x:c>
      <x:c r="O1884" s="2" t="str">
        <x:f>'Design &amp; Insights'!N512</x:f>
        <x:v>DI.FC.1.3.2026.CY4</x:v>
      </x:c>
      <x:c r="P1884" s="2" t="n">
        <x:f>'Design &amp; Insights'!O512</x:f>
        <x:v>0</x:v>
      </x:c>
      <x:c r="Q1884" s="2" t="n">
        <x:f>SUBTOTAL(103,O1884)</x:f>
        <x:v>1</x:v>
      </x:c>
      <x:c r="R1884" s="2" t="n">
        <x:f>IF(AND(M1884=1,OR(Dashboard!$B$7="All",Dashboard!$B$7='Cycles &amp; Guide'!$C$5),OR(Dashboard!$D$7="All",Dashboard!$D$7=B1884),OR(Dashboard!$F$7="All",Dashboard!$F$7=C1884),OR(Dashboard!$H$7="All",Dashboard!$H$7=D1884),OR(Dashboard!$K$7="All",Dashboard!$K$7=E1884)),1,0)</x:f>
        <x:v>1</x:v>
      </x:c>
      <x:c r="S1884" s="2" t="n">
        <x:f>IF(R1884=1,SUM($R$10:R1884),0)</x:f>
        <x:v>1511</x:v>
      </x:c>
      <x:c r="T1884" s="2" t="str">
        <x:v>Design &amp; Insights</x:v>
      </x:c>
      <x:c r="U1884" s="2" t="n">
        <x:v>512</x:v>
      </x:c>
      <x:c r="V1884" s="2" t="n">
        <x:f>IF(AND(M1884=1,P1884=0,ISNUMBER(J1884),J1884&lt;TODAY()),1,0)</x:f>
        <x:v>0</x:v>
      </x:c>
      <x:c r="W1884" s="2" t="str">
        <x:f>'Design &amp; Insights'!M512</x:f>
        <x:v>Task</x:v>
      </x:c>
    </x:row>
    <x:row r="1885" ht="40" customHeight="1">
      <x:c r="A1885" s="3" t="str">
        <x:f>HYPERLINK("#'Design &amp; Insights'!A513","Open")</x:f>
        <x:v>Open</x:v>
      </x:c>
      <x:c r="B1885" s="2" t="str">
        <x:f>'Design &amp; Insights'!B513</x:f>
        <x:v>Cycle 4</x:v>
      </x:c>
      <x:c r="C1885" s="2" t="str">
        <x:f>'Design &amp; Insights'!C513</x:f>
        <x:v>Phase 1</x:v>
      </x:c>
      <x:c r="D1885" s="2" t="str">
        <x:f>'Design &amp; Insights'!D513</x:f>
        <x:v>FCM</x:v>
      </x:c>
      <x:c r="E1885" s="2" t="str">
        <x:v>Design &amp; Insights</x:v>
      </x:c>
      <x:c r="F1885" s="56" t="str">
        <x:f>'Design &amp; Insights'!E513</x:f>
        <x:v>DI.FC.1.4</x:v>
      </x:c>
      <x:c r="G1885" s="14" t="str">
        <x:f>'Design &amp; Insights'!F513</x:f>
        <x:v>Meet with Research to discuss which topic to select based on potential impact</x:v>
      </x:c>
      <x:c r="H1885" s="2" t="str">
        <x:f>IF('Design &amp; Insights'!G513="","",'Design &amp; Insights'!G513)</x:f>
      </x:c>
      <x:c r="I1885" s="12" t="str">
        <x:f>IF('Design &amp; Insights'!H513="","",'Design &amp; Insights'!H513)</x:f>
      </x:c>
      <x:c r="J1885" s="12" t="n">
        <x:f>IF('Design &amp; Insights'!I513="","",'Design &amp; Insights'!I513)</x:f>
        <x:v>46387</x:v>
      </x:c>
      <x:c r="K1885" s="12" t="str">
        <x:f>IF('Design &amp; Insights'!J513="","",'Design &amp; Insights'!J513)</x:f>
      </x:c>
      <x:c r="L1885" s="2" t="str">
        <x:f>IF('Design &amp; Insights'!K513="","",'Design &amp; Insights'!K513)</x:f>
      </x:c>
      <x:c r="M1885" s="2" t="n">
        <x:f>'Design &amp; Insights'!Q513</x:f>
        <x:v>1</x:v>
      </x:c>
      <x:c r="N1885" s="2" t="str">
        <x:f>'Design &amp; Insights'!L513</x:f>
        <x:v>Not started</x:v>
      </x:c>
      <x:c r="O1885" s="2" t="str">
        <x:f>'Design &amp; Insights'!N513</x:f>
        <x:v>DI.FC.1.4.2026.CY4</x:v>
      </x:c>
      <x:c r="P1885" s="2" t="n">
        <x:f>'Design &amp; Insights'!O513</x:f>
        <x:v>0</x:v>
      </x:c>
      <x:c r="Q1885" s="2" t="n">
        <x:f>SUBTOTAL(103,O1885)</x:f>
        <x:v>1</x:v>
      </x:c>
      <x:c r="R1885" s="2" t="n">
        <x:f>IF(AND(M1885=1,OR(Dashboard!$B$7="All",Dashboard!$B$7='Cycles &amp; Guide'!$C$5),OR(Dashboard!$D$7="All",Dashboard!$D$7=B1885),OR(Dashboard!$F$7="All",Dashboard!$F$7=C1885),OR(Dashboard!$H$7="All",Dashboard!$H$7=D1885),OR(Dashboard!$K$7="All",Dashboard!$K$7=E1885)),1,0)</x:f>
        <x:v>1</x:v>
      </x:c>
      <x:c r="S1885" s="2" t="n">
        <x:f>IF(R1885=1,SUM($R$10:R1885),0)</x:f>
        <x:v>1512</x:v>
      </x:c>
      <x:c r="T1885" s="2" t="str">
        <x:v>Design &amp; Insights</x:v>
      </x:c>
      <x:c r="U1885" s="2" t="n">
        <x:v>513</x:v>
      </x:c>
      <x:c r="V1885" s="2" t="n">
        <x:f>IF(AND(M1885=1,P1885=0,ISNUMBER(J1885),J1885&lt;TODAY()),1,0)</x:f>
        <x:v>0</x:v>
      </x:c>
      <x:c r="W1885" s="2" t="str">
        <x:f>'Design &amp; Insights'!M513</x:f>
        <x:v>Task</x:v>
      </x:c>
    </x:row>
    <x:row r="1886" ht="40" customHeight="1">
      <x:c r="A1886" s="3" t="str">
        <x:f>HYPERLINK("#'Design &amp; Insights'!A514","Open")</x:f>
        <x:v>Open</x:v>
      </x:c>
      <x:c r="B1886" s="2" t="str">
        <x:f>'Design &amp; Insights'!B514</x:f>
        <x:v>Cycle 4</x:v>
      </x:c>
      <x:c r="C1886" s="2" t="str">
        <x:f>'Design &amp; Insights'!C514</x:f>
        <x:v>Phase 1</x:v>
      </x:c>
      <x:c r="D1886" s="2" t="str">
        <x:f>'Design &amp; Insights'!D514</x:f>
        <x:v>FCM</x:v>
      </x:c>
      <x:c r="E1886" s="2" t="str">
        <x:v>Design &amp; Insights</x:v>
      </x:c>
      <x:c r="F1886" s="56" t="str">
        <x:f>'Design &amp; Insights'!E514</x:f>
        <x:v>DI.FC.1.5</x:v>
      </x:c>
      <x:c r="G1886" s="14" t="str">
        <x:f>'Design &amp; Insights'!F514</x:f>
        <x:v>Confirm with Research the recommended topic for approval</x:v>
      </x:c>
      <x:c r="H1886" s="2" t="str">
        <x:f>IF('Design &amp; Insights'!G514="","",'Design &amp; Insights'!G514)</x:f>
      </x:c>
      <x:c r="I1886" s="12" t="str">
        <x:f>IF('Design &amp; Insights'!H514="","",'Design &amp; Insights'!H514)</x:f>
      </x:c>
      <x:c r="J1886" s="12" t="n">
        <x:f>IF('Design &amp; Insights'!I514="","",'Design &amp; Insights'!I514)</x:f>
        <x:v>46387</x:v>
      </x:c>
      <x:c r="K1886" s="12" t="str">
        <x:f>IF('Design &amp; Insights'!J514="","",'Design &amp; Insights'!J514)</x:f>
      </x:c>
      <x:c r="L1886" s="2" t="str">
        <x:f>IF('Design &amp; Insights'!K514="","",'Design &amp; Insights'!K514)</x:f>
      </x:c>
      <x:c r="M1886" s="2" t="n">
        <x:f>'Design &amp; Insights'!Q514</x:f>
        <x:v>1</x:v>
      </x:c>
      <x:c r="N1886" s="2" t="str">
        <x:f>'Design &amp; Insights'!L514</x:f>
        <x:v>Not started</x:v>
      </x:c>
      <x:c r="O1886" s="2" t="str">
        <x:f>'Design &amp; Insights'!N514</x:f>
        <x:v>DI.FC.1.5.2026.CY4</x:v>
      </x:c>
      <x:c r="P1886" s="2" t="n">
        <x:f>'Design &amp; Insights'!O514</x:f>
        <x:v>0</x:v>
      </x:c>
      <x:c r="Q1886" s="2" t="n">
        <x:f>SUBTOTAL(103,O1886)</x:f>
        <x:v>1</x:v>
      </x:c>
      <x:c r="R1886" s="2" t="n">
        <x:f>IF(AND(M1886=1,OR(Dashboard!$B$7="All",Dashboard!$B$7='Cycles &amp; Guide'!$C$5),OR(Dashboard!$D$7="All",Dashboard!$D$7=B1886),OR(Dashboard!$F$7="All",Dashboard!$F$7=C1886),OR(Dashboard!$H$7="All",Dashboard!$H$7=D1886),OR(Dashboard!$K$7="All",Dashboard!$K$7=E1886)),1,0)</x:f>
        <x:v>1</x:v>
      </x:c>
      <x:c r="S1886" s="2" t="n">
        <x:f>IF(R1886=1,SUM($R$10:R1886),0)</x:f>
        <x:v>1513</x:v>
      </x:c>
      <x:c r="T1886" s="2" t="str">
        <x:v>Design &amp; Insights</x:v>
      </x:c>
      <x:c r="U1886" s="2" t="n">
        <x:v>514</x:v>
      </x:c>
      <x:c r="V1886" s="2" t="n">
        <x:f>IF(AND(M1886=1,P1886=0,ISNUMBER(J1886),J1886&lt;TODAY()),1,0)</x:f>
        <x:v>0</x:v>
      </x:c>
      <x:c r="W1886" s="2" t="str">
        <x:f>'Design &amp; Insights'!M514</x:f>
        <x:v>Task</x:v>
      </x:c>
    </x:row>
    <x:row r="1887" ht="40" customHeight="1">
      <x:c r="A1887" s="3" t="str">
        <x:f>HYPERLINK("#'Design &amp; Insights'!A515","Open")</x:f>
        <x:v>Open</x:v>
      </x:c>
      <x:c r="B1887" s="2" t="str">
        <x:f>'Design &amp; Insights'!B515</x:f>
        <x:v>Cycle 4</x:v>
      </x:c>
      <x:c r="C1887" s="2" t="str">
        <x:f>'Design &amp; Insights'!C515</x:f>
        <x:v>Phase 1</x:v>
      </x:c>
      <x:c r="D1887" s="2" t="str">
        <x:f>'Design &amp; Insights'!D515</x:f>
        <x:v>FCM</x:v>
      </x:c>
      <x:c r="E1887" s="2" t="str">
        <x:v>Design &amp; Insights</x:v>
      </x:c>
      <x:c r="F1887" s="56" t="str">
        <x:f>'Design &amp; Insights'!E515</x:f>
        <x:v>DI.FC.1.6</x:v>
      </x:c>
      <x:c r="G1887" s="14" t="str">
        <x:f>'Design &amp; Insights'!F515</x:f>
        <x:v>Send topic selection socialization email to all key stakeholders on the first day of the review Cycle</x:v>
      </x:c>
      <x:c r="H1887" s="2" t="str">
        <x:f>IF('Design &amp; Insights'!G515="","",'Design &amp; Insights'!G515)</x:f>
      </x:c>
      <x:c r="I1887" s="12" t="str">
        <x:f>IF('Design &amp; Insights'!H515="","",'Design &amp; Insights'!H515)</x:f>
      </x:c>
      <x:c r="J1887" s="12" t="n">
        <x:f>IF('Design &amp; Insights'!I515="","",'Design &amp; Insights'!I515)</x:f>
        <x:v>46296</x:v>
      </x:c>
      <x:c r="K1887" s="12" t="str">
        <x:f>IF('Design &amp; Insights'!J515="","",'Design &amp; Insights'!J515)</x:f>
      </x:c>
      <x:c r="L1887" s="2" t="str">
        <x:f>IF('Design &amp; Insights'!K515="","",'Design &amp; Insights'!K515)</x:f>
      </x:c>
      <x:c r="M1887" s="2" t="n">
        <x:f>'Design &amp; Insights'!Q515</x:f>
        <x:v>1</x:v>
      </x:c>
      <x:c r="N1887" s="2" t="str">
        <x:f>'Design &amp; Insights'!L515</x:f>
        <x:v>Not started</x:v>
      </x:c>
      <x:c r="O1887" s="2" t="str">
        <x:f>'Design &amp; Insights'!N515</x:f>
        <x:v>DI.FC.1.6.2026.CY4</x:v>
      </x:c>
      <x:c r="P1887" s="2" t="n">
        <x:f>'Design &amp; Insights'!O515</x:f>
        <x:v>0</x:v>
      </x:c>
      <x:c r="Q1887" s="2" t="n">
        <x:f>SUBTOTAL(103,O1887)</x:f>
        <x:v>1</x:v>
      </x:c>
      <x:c r="R1887" s="2" t="n">
        <x:f>IF(AND(M1887=1,OR(Dashboard!$B$7="All",Dashboard!$B$7='Cycles &amp; Guide'!$C$5),OR(Dashboard!$D$7="All",Dashboard!$D$7=B1887),OR(Dashboard!$F$7="All",Dashboard!$F$7=C1887),OR(Dashboard!$H$7="All",Dashboard!$H$7=D1887),OR(Dashboard!$K$7="All",Dashboard!$K$7=E1887)),1,0)</x:f>
        <x:v>1</x:v>
      </x:c>
      <x:c r="S1887" s="2" t="n">
        <x:f>IF(R1887=1,SUM($R$10:R1887),0)</x:f>
        <x:v>1514</x:v>
      </x:c>
      <x:c r="T1887" s="2" t="str">
        <x:v>Design &amp; Insights</x:v>
      </x:c>
      <x:c r="U1887" s="2" t="n">
        <x:v>515</x:v>
      </x:c>
      <x:c r="V1887" s="2" t="n">
        <x:f>IF(AND(M1887=1,P1887=0,ISNUMBER(J1887),J1887&lt;TODAY()),1,0)</x:f>
        <x:v>0</x:v>
      </x:c>
      <x:c r="W1887" s="2" t="str">
        <x:f>'Design &amp; Insights'!M515</x:f>
        <x:v>Task</x:v>
      </x:c>
    </x:row>
    <x:row r="1888" ht="40" customHeight="1">
      <x:c r="A1888" s="3" t="str">
        <x:f>HYPERLINK("#'Design &amp; Insights'!A516","Open")</x:f>
        <x:v>Open</x:v>
      </x:c>
      <x:c r="B1888" s="2" t="str">
        <x:f>'Design &amp; Insights'!B516</x:f>
        <x:v>Cycle 4</x:v>
      </x:c>
      <x:c r="C1888" s="2" t="str">
        <x:f>'Design &amp; Insights'!C516</x:f>
        <x:v>Phase 2</x:v>
      </x:c>
      <x:c r="D1888" s="2" t="str">
        <x:f>'Design &amp; Insights'!D516</x:f>
        <x:v>FCM</x:v>
      </x:c>
      <x:c r="E1888" s="2" t="str">
        <x:v>Design &amp; Insights</x:v>
      </x:c>
      <x:c r="F1888" s="56" t="str">
        <x:f>'Design &amp; Insights'!E516</x:f>
        <x:v>DI.FC.2.1</x:v>
      </x:c>
      <x:c r="G1888" s="14" t="str">
        <x:f>'Design &amp; Insights'!F516</x:f>
        <x:v>Meet regularly with Research to stay informed on progress, findings, and potential enhancement</x:v>
      </x:c>
      <x:c r="H1888" s="2" t="str">
        <x:f>IF('Design &amp; Insights'!G516="","",'Design &amp; Insights'!G516)</x:f>
      </x:c>
      <x:c r="I1888" s="12" t="str">
        <x:f>IF('Design &amp; Insights'!H516="","",'Design &amp; Insights'!H516)</x:f>
      </x:c>
      <x:c r="J1888" s="12" t="n">
        <x:f>IF('Design &amp; Insights'!I516="","",'Design &amp; Insights'!I516)</x:f>
        <x:v>46387</x:v>
      </x:c>
      <x:c r="K1888" s="12" t="str">
        <x:f>IF('Design &amp; Insights'!J516="","",'Design &amp; Insights'!J516)</x:f>
      </x:c>
      <x:c r="L1888" s="2" t="str">
        <x:f>IF('Design &amp; Insights'!K516="","",'Design &amp; Insights'!K516)</x:f>
      </x:c>
      <x:c r="M1888" s="2" t="n">
        <x:f>'Design &amp; Insights'!Q516</x:f>
        <x:v>1</x:v>
      </x:c>
      <x:c r="N1888" s="2" t="str">
        <x:f>'Design &amp; Insights'!L516</x:f>
        <x:v>Not started</x:v>
      </x:c>
      <x:c r="O1888" s="2" t="str">
        <x:f>'Design &amp; Insights'!N516</x:f>
        <x:v>DI.FC.2.1.2026.CY4</x:v>
      </x:c>
      <x:c r="P1888" s="2" t="n">
        <x:f>'Design &amp; Insights'!O516</x:f>
        <x:v>0</x:v>
      </x:c>
      <x:c r="Q1888" s="2" t="n">
        <x:f>SUBTOTAL(103,O1888)</x:f>
        <x:v>1</x:v>
      </x:c>
      <x:c r="R1888" s="2" t="n">
        <x:f>IF(AND(M1888=1,OR(Dashboard!$B$7="All",Dashboard!$B$7='Cycles &amp; Guide'!$C$5),OR(Dashboard!$D$7="All",Dashboard!$D$7=B1888),OR(Dashboard!$F$7="All",Dashboard!$F$7=C1888),OR(Dashboard!$H$7="All",Dashboard!$H$7=D1888),OR(Dashboard!$K$7="All",Dashboard!$K$7=E1888)),1,0)</x:f>
        <x:v>1</x:v>
      </x:c>
      <x:c r="S1888" s="2" t="n">
        <x:f>IF(R1888=1,SUM($R$10:R1888),0)</x:f>
        <x:v>1515</x:v>
      </x:c>
      <x:c r="T1888" s="2" t="str">
        <x:v>Design &amp; Insights</x:v>
      </x:c>
      <x:c r="U1888" s="2" t="n">
        <x:v>516</x:v>
      </x:c>
      <x:c r="V1888" s="2" t="n">
        <x:f>IF(AND(M1888=1,P1888=0,ISNUMBER(J1888),J1888&lt;TODAY()),1,0)</x:f>
        <x:v>0</x:v>
      </x:c>
      <x:c r="W1888" s="2" t="str">
        <x:f>'Design &amp; Insights'!M516</x:f>
        <x:v>Task</x:v>
      </x:c>
    </x:row>
    <x:row r="1889" ht="40" customHeight="1">
      <x:c r="A1889" s="3" t="str">
        <x:f>HYPERLINK("#'Design &amp; Insights'!A517","Open")</x:f>
        <x:v>Open</x:v>
      </x:c>
      <x:c r="B1889" s="2" t="str">
        <x:f>'Design &amp; Insights'!B517</x:f>
        <x:v>Cycle 4</x:v>
      </x:c>
      <x:c r="C1889" s="2" t="str">
        <x:f>'Design &amp; Insights'!C517</x:f>
        <x:v>Phase 2</x:v>
      </x:c>
      <x:c r="D1889" s="2" t="str">
        <x:f>'Design &amp; Insights'!D517</x:f>
        <x:v>FCM</x:v>
      </x:c>
      <x:c r="E1889" s="2" t="str">
        <x:v>Design &amp; Insights</x:v>
      </x:c>
      <x:c r="F1889" s="56" t="str">
        <x:f>'Design &amp; Insights'!E517</x:f>
        <x:v>DI.FC.2.2</x:v>
      </x:c>
      <x:c r="G1889" s="14" t="str">
        <x:f>'Design &amp; Insights'!F517</x:f>
        <x:v>Collaborate with Research on research plan specifics</x:v>
      </x:c>
      <x:c r="H1889" s="2" t="str">
        <x:f>IF('Design &amp; Insights'!G517="","",'Design &amp; Insights'!G517)</x:f>
      </x:c>
      <x:c r="I1889" s="12" t="str">
        <x:f>IF('Design &amp; Insights'!H517="","",'Design &amp; Insights'!H517)</x:f>
      </x:c>
      <x:c r="J1889" s="12" t="n">
        <x:f>IF('Design &amp; Insights'!I517="","",'Design &amp; Insights'!I517)</x:f>
        <x:v>46387</x:v>
      </x:c>
      <x:c r="K1889" s="12" t="str">
        <x:f>IF('Design &amp; Insights'!J517="","",'Design &amp; Insights'!J517)</x:f>
      </x:c>
      <x:c r="L1889" s="2" t="str">
        <x:f>IF('Design &amp; Insights'!K517="","",'Design &amp; Insights'!K517)</x:f>
      </x:c>
      <x:c r="M1889" s="2" t="n">
        <x:f>'Design &amp; Insights'!Q517</x:f>
        <x:v>1</x:v>
      </x:c>
      <x:c r="N1889" s="2" t="str">
        <x:f>'Design &amp; Insights'!L517</x:f>
        <x:v>Not started</x:v>
      </x:c>
      <x:c r="O1889" s="2" t="str">
        <x:f>'Design &amp; Insights'!N517</x:f>
        <x:v>DI.FC.2.2.2026.CY4</x:v>
      </x:c>
      <x:c r="P1889" s="2" t="n">
        <x:f>'Design &amp; Insights'!O517</x:f>
        <x:v>0</x:v>
      </x:c>
      <x:c r="Q1889" s="2" t="n">
        <x:f>SUBTOTAL(103,O1889)</x:f>
        <x:v>1</x:v>
      </x:c>
      <x:c r="R1889" s="2" t="n">
        <x:f>IF(AND(M1889=1,OR(Dashboard!$B$7="All",Dashboard!$B$7='Cycles &amp; Guide'!$C$5),OR(Dashboard!$D$7="All",Dashboard!$D$7=B1889),OR(Dashboard!$F$7="All",Dashboard!$F$7=C1889),OR(Dashboard!$H$7="All",Dashboard!$H$7=D1889),OR(Dashboard!$K$7="All",Dashboard!$K$7=E1889)),1,0)</x:f>
        <x:v>1</x:v>
      </x:c>
      <x:c r="S1889" s="2" t="n">
        <x:f>IF(R1889=1,SUM($R$10:R1889),0)</x:f>
        <x:v>1516</x:v>
      </x:c>
      <x:c r="T1889" s="2" t="str">
        <x:v>Design &amp; Insights</x:v>
      </x:c>
      <x:c r="U1889" s="2" t="n">
        <x:v>517</x:v>
      </x:c>
      <x:c r="V1889" s="2" t="n">
        <x:f>IF(AND(M1889=1,P1889=0,ISNUMBER(J1889),J1889&lt;TODAY()),1,0)</x:f>
        <x:v>0</x:v>
      </x:c>
      <x:c r="W1889" s="2" t="str">
        <x:f>'Design &amp; Insights'!M517</x:f>
        <x:v>Task</x:v>
      </x:c>
    </x:row>
    <x:row r="1890" ht="40" customHeight="1">
      <x:c r="A1890" s="3" t="str">
        <x:f>HYPERLINK("#'Design &amp; Insights'!A518","Open")</x:f>
        <x:v>Open</x:v>
      </x:c>
      <x:c r="B1890" s="2" t="str">
        <x:f>'Design &amp; Insights'!B518</x:f>
        <x:v>Cycle 4</x:v>
      </x:c>
      <x:c r="C1890" s="2" t="str">
        <x:f>'Design &amp; Insights'!C518</x:f>
        <x:v>Phase 2</x:v>
      </x:c>
      <x:c r="D1890" s="2" t="str">
        <x:f>'Design &amp; Insights'!D518</x:f>
        <x:v>FCM</x:v>
      </x:c>
      <x:c r="E1890" s="2" t="str">
        <x:v>Design &amp; Insights</x:v>
      </x:c>
      <x:c r="F1890" s="56" t="str">
        <x:f>'Design &amp; Insights'!E518</x:f>
        <x:v>DI.FC.2.3</x:v>
      </x:c>
      <x:c r="G1890" s="14" t="str">
        <x:f>'Design &amp; Insights'!F518</x:f>
        <x:v>Participate in SME insight meetings to gain perspective and appetite on potential enhancements</x:v>
      </x:c>
      <x:c r="H1890" s="2" t="str">
        <x:f>IF('Design &amp; Insights'!G518="","",'Design &amp; Insights'!G518)</x:f>
      </x:c>
      <x:c r="I1890" s="12" t="str">
        <x:f>IF('Design &amp; Insights'!H518="","",'Design &amp; Insights'!H518)</x:f>
      </x:c>
      <x:c r="J1890" s="12" t="n">
        <x:f>IF('Design &amp; Insights'!I518="","",'Design &amp; Insights'!I518)</x:f>
        <x:v>46387</x:v>
      </x:c>
      <x:c r="K1890" s="12" t="str">
        <x:f>IF('Design &amp; Insights'!J518="","",'Design &amp; Insights'!J518)</x:f>
      </x:c>
      <x:c r="L1890" s="2" t="str">
        <x:f>IF('Design &amp; Insights'!K518="","",'Design &amp; Insights'!K518)</x:f>
      </x:c>
      <x:c r="M1890" s="2" t="n">
        <x:f>'Design &amp; Insights'!Q518</x:f>
        <x:v>1</x:v>
      </x:c>
      <x:c r="N1890" s="2" t="str">
        <x:f>'Design &amp; Insights'!L518</x:f>
        <x:v>Not started</x:v>
      </x:c>
      <x:c r="O1890" s="2" t="str">
        <x:f>'Design &amp; Insights'!N518</x:f>
        <x:v>DI.FC.2.3.2026.CY4</x:v>
      </x:c>
      <x:c r="P1890" s="2" t="n">
        <x:f>'Design &amp; Insights'!O518</x:f>
        <x:v>0</x:v>
      </x:c>
      <x:c r="Q1890" s="2" t="n">
        <x:f>SUBTOTAL(103,O1890)</x:f>
        <x:v>1</x:v>
      </x:c>
      <x:c r="R1890" s="2" t="n">
        <x:f>IF(AND(M1890=1,OR(Dashboard!$B$7="All",Dashboard!$B$7='Cycles &amp; Guide'!$C$5),OR(Dashboard!$D$7="All",Dashboard!$D$7=B1890),OR(Dashboard!$F$7="All",Dashboard!$F$7=C1890),OR(Dashboard!$H$7="All",Dashboard!$H$7=D1890),OR(Dashboard!$K$7="All",Dashboard!$K$7=E1890)),1,0)</x:f>
        <x:v>1</x:v>
      </x:c>
      <x:c r="S1890" s="2" t="n">
        <x:f>IF(R1890=1,SUM($R$10:R1890),0)</x:f>
        <x:v>1517</x:v>
      </x:c>
      <x:c r="T1890" s="2" t="str">
        <x:v>Design &amp; Insights</x:v>
      </x:c>
      <x:c r="U1890" s="2" t="n">
        <x:v>518</x:v>
      </x:c>
      <x:c r="V1890" s="2" t="n">
        <x:f>IF(AND(M1890=1,P1890=0,ISNUMBER(J1890),J1890&lt;TODAY()),1,0)</x:f>
        <x:v>0</x:v>
      </x:c>
      <x:c r="W1890" s="2" t="str">
        <x:f>'Design &amp; Insights'!M518</x:f>
        <x:v>Task</x:v>
      </x:c>
    </x:row>
    <x:row r="1891" ht="40" customHeight="1">
      <x:c r="A1891" s="3" t="str">
        <x:f>HYPERLINK("#'Design &amp; Insights'!A519","Open")</x:f>
        <x:v>Open</x:v>
      </x:c>
      <x:c r="B1891" s="2" t="str">
        <x:f>'Design &amp; Insights'!B519</x:f>
        <x:v>Cycle 4</x:v>
      </x:c>
      <x:c r="C1891" s="2" t="str">
        <x:f>'Design &amp; Insights'!C519</x:f>
        <x:v>Phase 2</x:v>
      </x:c>
      <x:c r="D1891" s="2" t="str">
        <x:f>'Design &amp; Insights'!D519</x:f>
        <x:v>FCM</x:v>
      </x:c>
      <x:c r="E1891" s="2" t="str">
        <x:v>Design &amp; Insights</x:v>
      </x:c>
      <x:c r="F1891" s="56" t="str">
        <x:f>'Design &amp; Insights'!E519</x:f>
        <x:v>DI.FC.2.4</x:v>
      </x:c>
      <x:c r="G1891" s="14" t="str">
        <x:f>'Design &amp; Insights'!F519</x:f>
        <x:v>Begin development of presentation materials as Research is being completed</x:v>
      </x:c>
      <x:c r="H1891" s="2" t="str">
        <x:f>IF('Design &amp; Insights'!G519="","",'Design &amp; Insights'!G519)</x:f>
      </x:c>
      <x:c r="I1891" s="12" t="str">
        <x:f>IF('Design &amp; Insights'!H519="","",'Design &amp; Insights'!H519)</x:f>
      </x:c>
      <x:c r="J1891" s="12" t="n">
        <x:f>IF('Design &amp; Insights'!I519="","",'Design &amp; Insights'!I519)</x:f>
        <x:v>46387</x:v>
      </x:c>
      <x:c r="K1891" s="12" t="str">
        <x:f>IF('Design &amp; Insights'!J519="","",'Design &amp; Insights'!J519)</x:f>
      </x:c>
      <x:c r="L1891" s="2" t="str">
        <x:f>IF('Design &amp; Insights'!K519="","",'Design &amp; Insights'!K519)</x:f>
      </x:c>
      <x:c r="M1891" s="2" t="n">
        <x:f>'Design &amp; Insights'!Q519</x:f>
        <x:v>1</x:v>
      </x:c>
      <x:c r="N1891" s="2" t="str">
        <x:f>'Design &amp; Insights'!L519</x:f>
        <x:v>Not started</x:v>
      </x:c>
      <x:c r="O1891" s="2" t="str">
        <x:f>'Design &amp; Insights'!N519</x:f>
        <x:v>DI.FC.2.4.2026.CY4</x:v>
      </x:c>
      <x:c r="P1891" s="2" t="n">
        <x:f>'Design &amp; Insights'!O519</x:f>
        <x:v>0</x:v>
      </x:c>
      <x:c r="Q1891" s="2" t="n">
        <x:f>SUBTOTAL(103,O1891)</x:f>
        <x:v>1</x:v>
      </x:c>
      <x:c r="R1891" s="2" t="n">
        <x:f>IF(AND(M1891=1,OR(Dashboard!$B$7="All",Dashboard!$B$7='Cycles &amp; Guide'!$C$5),OR(Dashboard!$D$7="All",Dashboard!$D$7=B1891),OR(Dashboard!$F$7="All",Dashboard!$F$7=C1891),OR(Dashboard!$H$7="All",Dashboard!$H$7=D1891),OR(Dashboard!$K$7="All",Dashboard!$K$7=E1891)),1,0)</x:f>
        <x:v>1</x:v>
      </x:c>
      <x:c r="S1891" s="2" t="n">
        <x:f>IF(R1891=1,SUM($R$10:R1891),0)</x:f>
        <x:v>1518</x:v>
      </x:c>
      <x:c r="T1891" s="2" t="str">
        <x:v>Design &amp; Insights</x:v>
      </x:c>
      <x:c r="U1891" s="2" t="n">
        <x:v>519</x:v>
      </x:c>
      <x:c r="V1891" s="2" t="n">
        <x:f>IF(AND(M1891=1,P1891=0,ISNUMBER(J1891),J1891&lt;TODAY()),1,0)</x:f>
        <x:v>0</x:v>
      </x:c>
      <x:c r="W1891" s="2" t="str">
        <x:f>'Design &amp; Insights'!M519</x:f>
        <x:v>Task</x:v>
      </x:c>
    </x:row>
    <x:row r="1892" ht="40" customHeight="1">
      <x:c r="A1892" s="3" t="str">
        <x:f>HYPERLINK("#'Design &amp; Insights'!A520","Open")</x:f>
        <x:v>Open</x:v>
      </x:c>
      <x:c r="B1892" s="2" t="str">
        <x:f>'Design &amp; Insights'!B520</x:f>
        <x:v>Cycle 4</x:v>
      </x:c>
      <x:c r="C1892" s="2" t="str">
        <x:f>'Design &amp; Insights'!C520</x:f>
        <x:v>Phase 2</x:v>
      </x:c>
      <x:c r="D1892" s="2" t="str">
        <x:f>'Design &amp; Insights'!D520</x:f>
        <x:v>FCM</x:v>
      </x:c>
      <x:c r="E1892" s="2" t="str">
        <x:v>Design &amp; Insights</x:v>
      </x:c>
      <x:c r="F1892" s="56" t="str">
        <x:f>'Design &amp; Insights'!E520</x:f>
        <x:v>DI.FC.2.5</x:v>
      </x:c>
      <x:c r="G1892" s="14" t="str">
        <x:f>'Design &amp; Insights'!F520</x:f>
        <x:v>Draft initial enhancement recommendations (as applicable)</x:v>
      </x:c>
      <x:c r="H1892" s="2" t="str">
        <x:f>IF('Design &amp; Insights'!G520="","",'Design &amp; Insights'!G520)</x:f>
      </x:c>
      <x:c r="I1892" s="12" t="str">
        <x:f>IF('Design &amp; Insights'!H520="","",'Design &amp; Insights'!H520)</x:f>
      </x:c>
      <x:c r="J1892" s="12" t="n">
        <x:f>IF('Design &amp; Insights'!I520="","",'Design &amp; Insights'!I520)</x:f>
        <x:v>46387</x:v>
      </x:c>
      <x:c r="K1892" s="12" t="str">
        <x:f>IF('Design &amp; Insights'!J520="","",'Design &amp; Insights'!J520)</x:f>
      </x:c>
      <x:c r="L1892" s="2" t="str">
        <x:f>IF('Design &amp; Insights'!K520="","",'Design &amp; Insights'!K520)</x:f>
      </x:c>
      <x:c r="M1892" s="2" t="n">
        <x:f>'Design &amp; Insights'!Q520</x:f>
        <x:v>1</x:v>
      </x:c>
      <x:c r="N1892" s="2" t="str">
        <x:f>'Design &amp; Insights'!L520</x:f>
        <x:v>Not started</x:v>
      </x:c>
      <x:c r="O1892" s="2" t="str">
        <x:f>'Design &amp; Insights'!N520</x:f>
        <x:v>DI.FC.2.5.2026.CY4</x:v>
      </x:c>
      <x:c r="P1892" s="2" t="n">
        <x:f>'Design &amp; Insights'!O520</x:f>
        <x:v>0</x:v>
      </x:c>
      <x:c r="Q1892" s="2" t="n">
        <x:f>SUBTOTAL(103,O1892)</x:f>
        <x:v>1</x:v>
      </x:c>
      <x:c r="R1892" s="2" t="n">
        <x:f>IF(AND(M1892=1,OR(Dashboard!$B$7="All",Dashboard!$B$7='Cycles &amp; Guide'!$C$5),OR(Dashboard!$D$7="All",Dashboard!$D$7=B1892),OR(Dashboard!$F$7="All",Dashboard!$F$7=C1892),OR(Dashboard!$H$7="All",Dashboard!$H$7=D1892),OR(Dashboard!$K$7="All",Dashboard!$K$7=E1892)),1,0)</x:f>
        <x:v>1</x:v>
      </x:c>
      <x:c r="S1892" s="2" t="n">
        <x:f>IF(R1892=1,SUM($R$10:R1892),0)</x:f>
        <x:v>1519</x:v>
      </x:c>
      <x:c r="T1892" s="2" t="str">
        <x:v>Design &amp; Insights</x:v>
      </x:c>
      <x:c r="U1892" s="2" t="n">
        <x:v>520</x:v>
      </x:c>
      <x:c r="V1892" s="2" t="n">
        <x:f>IF(AND(M1892=1,P1892=0,ISNUMBER(J1892),J1892&lt;TODAY()),1,0)</x:f>
        <x:v>0</x:v>
      </x:c>
      <x:c r="W1892" s="2" t="str">
        <x:f>'Design &amp; Insights'!M520</x:f>
        <x:v>Task</x:v>
      </x:c>
    </x:row>
    <x:row r="1893" ht="40" customHeight="1">
      <x:c r="A1893" s="3" t="str">
        <x:f>HYPERLINK("#'Design &amp; Insights'!A521","Open")</x:f>
        <x:v>Open</x:v>
      </x:c>
      <x:c r="B1893" s="2" t="str">
        <x:f>'Design &amp; Insights'!B521</x:f>
        <x:v>Cycle 4</x:v>
      </x:c>
      <x:c r="C1893" s="2" t="str">
        <x:f>'Design &amp; Insights'!C521</x:f>
        <x:v>Phase 2</x:v>
      </x:c>
      <x:c r="D1893" s="2" t="str">
        <x:f>'Design &amp; Insights'!D521</x:f>
        <x:v>FCM</x:v>
      </x:c>
      <x:c r="E1893" s="2" t="str">
        <x:v>Design &amp; Insights</x:v>
      </x:c>
      <x:c r="F1893" s="56" t="str">
        <x:f>'Design &amp; Insights'!E521</x:f>
        <x:v>DI.FC.2.6</x:v>
      </x:c>
      <x:c r="G1893" s="14" t="str">
        <x:f>'Design &amp; Insights'!F521</x:f>
        <x:v>Finalize presentation deck draft at conclusion of Research phase</x:v>
      </x:c>
      <x:c r="H1893" s="2" t="str">
        <x:f>IF('Design &amp; Insights'!G521="","",'Design &amp; Insights'!G521)</x:f>
      </x:c>
      <x:c r="I1893" s="12" t="str">
        <x:f>IF('Design &amp; Insights'!H521="","",'Design &amp; Insights'!H521)</x:f>
      </x:c>
      <x:c r="J1893" s="12" t="n">
        <x:f>IF('Design &amp; Insights'!I521="","",'Design &amp; Insights'!I521)</x:f>
        <x:v>46387</x:v>
      </x:c>
      <x:c r="K1893" s="12" t="str">
        <x:f>IF('Design &amp; Insights'!J521="","",'Design &amp; Insights'!J521)</x:f>
      </x:c>
      <x:c r="L1893" s="2" t="str">
        <x:f>IF('Design &amp; Insights'!K521="","",'Design &amp; Insights'!K521)</x:f>
      </x:c>
      <x:c r="M1893" s="2" t="n">
        <x:f>'Design &amp; Insights'!Q521</x:f>
        <x:v>1</x:v>
      </x:c>
      <x:c r="N1893" s="2" t="str">
        <x:f>'Design &amp; Insights'!L521</x:f>
        <x:v>Not started</x:v>
      </x:c>
      <x:c r="O1893" s="2" t="str">
        <x:f>'Design &amp; Insights'!N521</x:f>
        <x:v>DI.FC.2.6.2026.CY4</x:v>
      </x:c>
      <x:c r="P1893" s="2" t="n">
        <x:f>'Design &amp; Insights'!O521</x:f>
        <x:v>0</x:v>
      </x:c>
      <x:c r="Q1893" s="2" t="n">
        <x:f>SUBTOTAL(103,O1893)</x:f>
        <x:v>1</x:v>
      </x:c>
      <x:c r="R1893" s="2" t="n">
        <x:f>IF(AND(M1893=1,OR(Dashboard!$B$7="All",Dashboard!$B$7='Cycles &amp; Guide'!$C$5),OR(Dashboard!$D$7="All",Dashboard!$D$7=B1893),OR(Dashboard!$F$7="All",Dashboard!$F$7=C1893),OR(Dashboard!$H$7="All",Dashboard!$H$7=D1893),OR(Dashboard!$K$7="All",Dashboard!$K$7=E1893)),1,0)</x:f>
        <x:v>1</x:v>
      </x:c>
      <x:c r="S1893" s="2" t="n">
        <x:f>IF(R1893=1,SUM($R$10:R1893),0)</x:f>
        <x:v>1520</x:v>
      </x:c>
      <x:c r="T1893" s="2" t="str">
        <x:v>Design &amp; Insights</x:v>
      </x:c>
      <x:c r="U1893" s="2" t="n">
        <x:v>521</x:v>
      </x:c>
      <x:c r="V1893" s="2" t="n">
        <x:f>IF(AND(M1893=1,P1893=0,ISNUMBER(J1893),J1893&lt;TODAY()),1,0)</x:f>
        <x:v>0</x:v>
      </x:c>
      <x:c r="W1893" s="2" t="str">
        <x:f>'Design &amp; Insights'!M521</x:f>
        <x:v>Task</x:v>
      </x:c>
    </x:row>
    <x:row r="1894" ht="40" customHeight="1">
      <x:c r="A1894" s="3" t="str">
        <x:f>HYPERLINK("#'Design &amp; Insights'!A522","Open")</x:f>
        <x:v>Open</x:v>
      </x:c>
      <x:c r="B1894" s="2" t="str">
        <x:f>'Design &amp; Insights'!B522</x:f>
        <x:v>Cycle 4</x:v>
      </x:c>
      <x:c r="C1894" s="2" t="str">
        <x:f>'Design &amp; Insights'!C522</x:f>
        <x:v>Phase 2</x:v>
      </x:c>
      <x:c r="D1894" s="2" t="str">
        <x:f>'Design &amp; Insights'!D522</x:f>
        <x:v>FCM</x:v>
      </x:c>
      <x:c r="E1894" s="2" t="str">
        <x:v>Design &amp; Insights</x:v>
      </x:c>
      <x:c r="F1894" s="56" t="str">
        <x:f>'Design &amp; Insights'!E522</x:f>
        <x:v>DI.FC.2.7</x:v>
      </x:c>
      <x:c r="G1894" s="14" t="str">
        <x:f>'Design &amp; Insights'!F522</x:f>
        <x:v>Update Outcome portion of research plan with current enhancement verbiage (as needed)</x:v>
      </x:c>
      <x:c r="H1894" s="2" t="str">
        <x:f>IF('Design &amp; Insights'!G522="","",'Design &amp; Insights'!G522)</x:f>
      </x:c>
      <x:c r="I1894" s="12" t="str">
        <x:f>IF('Design &amp; Insights'!H522="","",'Design &amp; Insights'!H522)</x:f>
      </x:c>
      <x:c r="J1894" s="12" t="n">
        <x:f>IF('Design &amp; Insights'!I522="","",'Design &amp; Insights'!I522)</x:f>
        <x:v>46387</x:v>
      </x:c>
      <x:c r="K1894" s="12" t="str">
        <x:f>IF('Design &amp; Insights'!J522="","",'Design &amp; Insights'!J522)</x:f>
      </x:c>
      <x:c r="L1894" s="2" t="str">
        <x:f>IF('Design &amp; Insights'!K522="","",'Design &amp; Insights'!K522)</x:f>
      </x:c>
      <x:c r="M1894" s="2" t="n">
        <x:f>'Design &amp; Insights'!Q522</x:f>
        <x:v>1</x:v>
      </x:c>
      <x:c r="N1894" s="2" t="str">
        <x:f>'Design &amp; Insights'!L522</x:f>
        <x:v>Not started</x:v>
      </x:c>
      <x:c r="O1894" s="2" t="str">
        <x:f>'Design &amp; Insights'!N522</x:f>
        <x:v>DI.FC.2.7.2026.CY4</x:v>
      </x:c>
      <x:c r="P1894" s="2" t="n">
        <x:f>'Design &amp; Insights'!O522</x:f>
        <x:v>0</x:v>
      </x:c>
      <x:c r="Q1894" s="2" t="n">
        <x:f>SUBTOTAL(103,O1894)</x:f>
        <x:v>1</x:v>
      </x:c>
      <x:c r="R1894" s="2" t="n">
        <x:f>IF(AND(M1894=1,OR(Dashboard!$B$7="All",Dashboard!$B$7='Cycles &amp; Guide'!$C$5),OR(Dashboard!$D$7="All",Dashboard!$D$7=B1894),OR(Dashboard!$F$7="All",Dashboard!$F$7=C1894),OR(Dashboard!$H$7="All",Dashboard!$H$7=D1894),OR(Dashboard!$K$7="All",Dashboard!$K$7=E1894)),1,0)</x:f>
        <x:v>1</x:v>
      </x:c>
      <x:c r="S1894" s="2" t="n">
        <x:f>IF(R1894=1,SUM($R$10:R1894),0)</x:f>
        <x:v>1521</x:v>
      </x:c>
      <x:c r="T1894" s="2" t="str">
        <x:v>Design &amp; Insights</x:v>
      </x:c>
      <x:c r="U1894" s="2" t="n">
        <x:v>522</x:v>
      </x:c>
      <x:c r="V1894" s="2" t="n">
        <x:f>IF(AND(M1894=1,P1894=0,ISNUMBER(J1894),J1894&lt;TODAY()),1,0)</x:f>
        <x:v>0</x:v>
      </x:c>
      <x:c r="W1894" s="2" t="str">
        <x:f>'Design &amp; Insights'!M522</x:f>
        <x:v>Task</x:v>
      </x:c>
    </x:row>
    <x:row r="1895" ht="40" customHeight="1">
      <x:c r="A1895" s="3" t="str">
        <x:f>HYPERLINK("#'Design &amp; Insights'!A523","Open")</x:f>
        <x:v>Open</x:v>
      </x:c>
      <x:c r="B1895" s="2" t="str">
        <x:f>'Design &amp; Insights'!B523</x:f>
        <x:v>Cycle 4</x:v>
      </x:c>
      <x:c r="C1895" s="2" t="str">
        <x:f>'Design &amp; Insights'!C523</x:f>
        <x:v>Phase 3</x:v>
      </x:c>
      <x:c r="D1895" s="2" t="str">
        <x:f>'Design &amp; Insights'!D523</x:f>
        <x:v>FCM</x:v>
      </x:c>
      <x:c r="E1895" s="2" t="str">
        <x:v>Design &amp; Insights</x:v>
      </x:c>
      <x:c r="F1895" s="56" t="str">
        <x:f>'Design &amp; Insights'!E523</x:f>
        <x:v>DI.FC.3.1</x:v>
      </x:c>
      <x:c r="G1895" s="14" t="str">
        <x:f>'Design &amp; Insights'!F523</x:f>
        <x:v>Confirm list of required &amp; optional attendees for pre-socialization meeting</x:v>
      </x:c>
      <x:c r="H1895" s="2" t="str">
        <x:f>IF('Design &amp; Insights'!G523="","",'Design &amp; Insights'!G523)</x:f>
      </x:c>
      <x:c r="I1895" s="12" t="str">
        <x:f>IF('Design &amp; Insights'!H523="","",'Design &amp; Insights'!H523)</x:f>
      </x:c>
      <x:c r="J1895" s="12" t="n">
        <x:f>IF('Design &amp; Insights'!I523="","",'Design &amp; Insights'!I523)</x:f>
        <x:v>46387</x:v>
      </x:c>
      <x:c r="K1895" s="12" t="str">
        <x:f>IF('Design &amp; Insights'!J523="","",'Design &amp; Insights'!J523)</x:f>
      </x:c>
      <x:c r="L1895" s="2" t="str">
        <x:f>IF('Design &amp; Insights'!K523="","",'Design &amp; Insights'!K523)</x:f>
      </x:c>
      <x:c r="M1895" s="2" t="n">
        <x:f>'Design &amp; Insights'!Q523</x:f>
        <x:v>1</x:v>
      </x:c>
      <x:c r="N1895" s="2" t="str">
        <x:f>'Design &amp; Insights'!L523</x:f>
        <x:v>Not started</x:v>
      </x:c>
      <x:c r="O1895" s="2" t="str">
        <x:f>'Design &amp; Insights'!N523</x:f>
        <x:v>DI.FC.3.1.2026.CY4</x:v>
      </x:c>
      <x:c r="P1895" s="2" t="n">
        <x:f>'Design &amp; Insights'!O523</x:f>
        <x:v>0</x:v>
      </x:c>
      <x:c r="Q1895" s="2" t="n">
        <x:f>SUBTOTAL(103,O1895)</x:f>
        <x:v>1</x:v>
      </x:c>
      <x:c r="R1895" s="2" t="n">
        <x:f>IF(AND(M1895=1,OR(Dashboard!$B$7="All",Dashboard!$B$7='Cycles &amp; Guide'!$C$5),OR(Dashboard!$D$7="All",Dashboard!$D$7=B1895),OR(Dashboard!$F$7="All",Dashboard!$F$7=C1895),OR(Dashboard!$H$7="All",Dashboard!$H$7=D1895),OR(Dashboard!$K$7="All",Dashboard!$K$7=E1895)),1,0)</x:f>
        <x:v>1</x:v>
      </x:c>
      <x:c r="S1895" s="2" t="n">
        <x:f>IF(R1895=1,SUM($R$10:R1895),0)</x:f>
        <x:v>1522</x:v>
      </x:c>
      <x:c r="T1895" s="2" t="str">
        <x:v>Design &amp; Insights</x:v>
      </x:c>
      <x:c r="U1895" s="2" t="n">
        <x:v>523</x:v>
      </x:c>
      <x:c r="V1895" s="2" t="n">
        <x:f>IF(AND(M1895=1,P1895=0,ISNUMBER(J1895),J1895&lt;TODAY()),1,0)</x:f>
        <x:v>0</x:v>
      </x:c>
      <x:c r="W1895" s="2" t="str">
        <x:f>'Design &amp; Insights'!M523</x:f>
        <x:v>Task</x:v>
      </x:c>
    </x:row>
    <x:row r="1896" ht="40" customHeight="1">
      <x:c r="A1896" s="3" t="str">
        <x:f>HYPERLINK("#'Design &amp; Insights'!A524","Open")</x:f>
        <x:v>Open</x:v>
      </x:c>
      <x:c r="B1896" s="2" t="str">
        <x:f>'Design &amp; Insights'!B524</x:f>
        <x:v>Cycle 4</x:v>
      </x:c>
      <x:c r="C1896" s="2" t="str">
        <x:f>'Design &amp; Insights'!C524</x:f>
        <x:v>Phase 3</x:v>
      </x:c>
      <x:c r="D1896" s="2" t="str">
        <x:f>'Design &amp; Insights'!D524</x:f>
        <x:v>FCM</x:v>
      </x:c>
      <x:c r="E1896" s="2" t="str">
        <x:v>Design &amp; Insights</x:v>
      </x:c>
      <x:c r="F1896" s="56" t="str">
        <x:f>'Design &amp; Insights'!E524</x:f>
        <x:v>DI.FC.3.2</x:v>
      </x:c>
      <x:c r="G1896" s="14" t="str">
        <x:f>'Design &amp; Insights'!F524</x:f>
        <x:v>Schedule pre-socialization meeting 1 week prior to RCA Forum</x:v>
      </x:c>
      <x:c r="H1896" s="2" t="str">
        <x:f>IF('Design &amp; Insights'!G524="","",'Design &amp; Insights'!G524)</x:f>
      </x:c>
      <x:c r="I1896" s="12" t="str">
        <x:f>IF('Design &amp; Insights'!H524="","",'Design &amp; Insights'!H524)</x:f>
      </x:c>
      <x:c r="J1896" s="12" t="str">
        <x:f>IF('Design &amp; Insights'!I524="","",'Design &amp; Insights'!I524)</x:f>
      </x:c>
      <x:c r="K1896" s="12" t="str">
        <x:f>IF('Design &amp; Insights'!J524="","",'Design &amp; Insights'!J524)</x:f>
      </x:c>
      <x:c r="L1896" s="2" t="str">
        <x:f>IF('Design &amp; Insights'!K524="","",'Design &amp; Insights'!K524)</x:f>
      </x:c>
      <x:c r="M1896" s="2" t="n">
        <x:f>'Design &amp; Insights'!Q524</x:f>
        <x:v>1</x:v>
      </x:c>
      <x:c r="N1896" s="2" t="str">
        <x:f>'Design &amp; Insights'!L524</x:f>
        <x:v>Not started</x:v>
      </x:c>
      <x:c r="O1896" s="2" t="str">
        <x:f>'Design &amp; Insights'!N524</x:f>
        <x:v>DI.FC.3.2.2026.CY4</x:v>
      </x:c>
      <x:c r="P1896" s="2" t="n">
        <x:f>'Design &amp; Insights'!O524</x:f>
        <x:v>0</x:v>
      </x:c>
      <x:c r="Q1896" s="2" t="n">
        <x:f>SUBTOTAL(103,O1896)</x:f>
        <x:v>1</x:v>
      </x:c>
      <x:c r="R1896" s="2" t="n">
        <x:f>IF(AND(M1896=1,OR(Dashboard!$B$7="All",Dashboard!$B$7='Cycles &amp; Guide'!$C$5),OR(Dashboard!$D$7="All",Dashboard!$D$7=B1896),OR(Dashboard!$F$7="All",Dashboard!$F$7=C1896),OR(Dashboard!$H$7="All",Dashboard!$H$7=D1896),OR(Dashboard!$K$7="All",Dashboard!$K$7=E1896)),1,0)</x:f>
        <x:v>1</x:v>
      </x:c>
      <x:c r="S1896" s="2" t="n">
        <x:f>IF(R1896=1,SUM($R$10:R1896),0)</x:f>
        <x:v>1523</x:v>
      </x:c>
      <x:c r="T1896" s="2" t="str">
        <x:v>Design &amp; Insights</x:v>
      </x:c>
      <x:c r="U1896" s="2" t="n">
        <x:v>524</x:v>
      </x:c>
      <x:c r="V1896" s="2" t="n">
        <x:f>IF(AND(M1896=1,P1896=0,ISNUMBER(J1896),J1896&lt;TODAY()),1,0)</x:f>
        <x:v>0</x:v>
      </x:c>
      <x:c r="W1896" s="2" t="str">
        <x:f>'Design &amp; Insights'!M524</x:f>
        <x:v>Task</x:v>
      </x:c>
    </x:row>
    <x:row r="1897" ht="40" customHeight="1">
      <x:c r="A1897" s="3" t="str">
        <x:f>HYPERLINK("#'Design &amp; Insights'!A525","Open")</x:f>
        <x:v>Open</x:v>
      </x:c>
      <x:c r="B1897" s="2" t="str">
        <x:f>'Design &amp; Insights'!B525</x:f>
        <x:v>Cycle 4</x:v>
      </x:c>
      <x:c r="C1897" s="2" t="str">
        <x:f>'Design &amp; Insights'!C525</x:f>
        <x:v>Phase 3</x:v>
      </x:c>
      <x:c r="D1897" s="2" t="str">
        <x:f>'Design &amp; Insights'!D525</x:f>
        <x:v>FCM</x:v>
      </x:c>
      <x:c r="E1897" s="2" t="str">
        <x:v>Design &amp; Insights</x:v>
      </x:c>
      <x:c r="F1897" s="56" t="str">
        <x:f>'Design &amp; Insights'!E525</x:f>
        <x:v>DI.FC.3.3</x:v>
      </x:c>
      <x:c r="G1897" s="14" t="str">
        <x:f>'Design &amp; Insights'!F525</x:f>
        <x:v>Present findings, conclusions, and recommendation to SMEs</x:v>
      </x:c>
      <x:c r="H1897" s="2" t="str">
        <x:f>IF('Design &amp; Insights'!G525="","",'Design &amp; Insights'!G525)</x:f>
      </x:c>
      <x:c r="I1897" s="12" t="str">
        <x:f>IF('Design &amp; Insights'!H525="","",'Design &amp; Insights'!H525)</x:f>
      </x:c>
      <x:c r="J1897" s="12" t="n">
        <x:f>IF('Design &amp; Insights'!I525="","",'Design &amp; Insights'!I525)</x:f>
        <x:v>46387</x:v>
      </x:c>
      <x:c r="K1897" s="12" t="str">
        <x:f>IF('Design &amp; Insights'!J525="","",'Design &amp; Insights'!J525)</x:f>
      </x:c>
      <x:c r="L1897" s="2" t="str">
        <x:f>IF('Design &amp; Insights'!K525="","",'Design &amp; Insights'!K525)</x:f>
      </x:c>
      <x:c r="M1897" s="2" t="n">
        <x:f>'Design &amp; Insights'!Q525</x:f>
        <x:v>1</x:v>
      </x:c>
      <x:c r="N1897" s="2" t="str">
        <x:f>'Design &amp; Insights'!L525</x:f>
        <x:v>Not started</x:v>
      </x:c>
      <x:c r="O1897" s="2" t="str">
        <x:f>'Design &amp; Insights'!N525</x:f>
        <x:v>DI.FC.3.3.2026.CY4</x:v>
      </x:c>
      <x:c r="P1897" s="2" t="n">
        <x:f>'Design &amp; Insights'!O525</x:f>
        <x:v>0</x:v>
      </x:c>
      <x:c r="Q1897" s="2" t="n">
        <x:f>SUBTOTAL(103,O1897)</x:f>
        <x:v>1</x:v>
      </x:c>
      <x:c r="R1897" s="2" t="n">
        <x:f>IF(AND(M1897=1,OR(Dashboard!$B$7="All",Dashboard!$B$7='Cycles &amp; Guide'!$C$5),OR(Dashboard!$D$7="All",Dashboard!$D$7=B1897),OR(Dashboard!$F$7="All",Dashboard!$F$7=C1897),OR(Dashboard!$H$7="All",Dashboard!$H$7=D1897),OR(Dashboard!$K$7="All",Dashboard!$K$7=E1897)),1,0)</x:f>
        <x:v>1</x:v>
      </x:c>
      <x:c r="S1897" s="2" t="n">
        <x:f>IF(R1897=1,SUM($R$10:R1897),0)</x:f>
        <x:v>1524</x:v>
      </x:c>
      <x:c r="T1897" s="2" t="str">
        <x:v>Design &amp; Insights</x:v>
      </x:c>
      <x:c r="U1897" s="2" t="n">
        <x:v>525</x:v>
      </x:c>
      <x:c r="V1897" s="2" t="n">
        <x:f>IF(AND(M1897=1,P1897=0,ISNUMBER(J1897),J1897&lt;TODAY()),1,0)</x:f>
        <x:v>0</x:v>
      </x:c>
      <x:c r="W1897" s="2" t="str">
        <x:f>'Design &amp; Insights'!M525</x:f>
        <x:v>Task</x:v>
      </x:c>
    </x:row>
    <x:row r="1898" ht="40" customHeight="1">
      <x:c r="A1898" s="3" t="str">
        <x:f>HYPERLINK("#'Design &amp; Insights'!A526","Open")</x:f>
        <x:v>Open</x:v>
      </x:c>
      <x:c r="B1898" s="2" t="str">
        <x:f>'Design &amp; Insights'!B526</x:f>
        <x:v>Cycle 4</x:v>
      </x:c>
      <x:c r="C1898" s="2" t="str">
        <x:f>'Design &amp; Insights'!C526</x:f>
        <x:v>Phase 3</x:v>
      </x:c>
      <x:c r="D1898" s="2" t="str">
        <x:f>'Design &amp; Insights'!D526</x:f>
        <x:v>FCM</x:v>
      </x:c>
      <x:c r="E1898" s="2" t="str">
        <x:v>Design &amp; Insights</x:v>
      </x:c>
      <x:c r="F1898" s="56" t="str">
        <x:f>'Design &amp; Insights'!E526</x:f>
        <x:v>DI.FC.3.4</x:v>
      </x:c>
      <x:c r="G1898" s="14" t="str">
        <x:f>'Design &amp; Insights'!F526</x:f>
        <x:v>Update Outcome portion of research plan (as needed)</x:v>
      </x:c>
      <x:c r="H1898" s="2" t="str">
        <x:f>IF('Design &amp; Insights'!G526="","",'Design &amp; Insights'!G526)</x:f>
      </x:c>
      <x:c r="I1898" s="12" t="str">
        <x:f>IF('Design &amp; Insights'!H526="","",'Design &amp; Insights'!H526)</x:f>
      </x:c>
      <x:c r="J1898" s="12" t="n">
        <x:f>IF('Design &amp; Insights'!I526="","",'Design &amp; Insights'!I526)</x:f>
        <x:v>46387</x:v>
      </x:c>
      <x:c r="K1898" s="12" t="str">
        <x:f>IF('Design &amp; Insights'!J526="","",'Design &amp; Insights'!J526)</x:f>
      </x:c>
      <x:c r="L1898" s="2" t="str">
        <x:f>IF('Design &amp; Insights'!K526="","",'Design &amp; Insights'!K526)</x:f>
      </x:c>
      <x:c r="M1898" s="2" t="n">
        <x:f>'Design &amp; Insights'!Q526</x:f>
        <x:v>1</x:v>
      </x:c>
      <x:c r="N1898" s="2" t="str">
        <x:f>'Design &amp; Insights'!L526</x:f>
        <x:v>Not started</x:v>
      </x:c>
      <x:c r="O1898" s="2" t="str">
        <x:f>'Design &amp; Insights'!N526</x:f>
        <x:v>DI.FC.3.4.2026.CY4</x:v>
      </x:c>
      <x:c r="P1898" s="2" t="n">
        <x:f>'Design &amp; Insights'!O526</x:f>
        <x:v>0</x:v>
      </x:c>
      <x:c r="Q1898" s="2" t="n">
        <x:f>SUBTOTAL(103,O1898)</x:f>
        <x:v>1</x:v>
      </x:c>
      <x:c r="R1898" s="2" t="n">
        <x:f>IF(AND(M1898=1,OR(Dashboard!$B$7="All",Dashboard!$B$7='Cycles &amp; Guide'!$C$5),OR(Dashboard!$D$7="All",Dashboard!$D$7=B1898),OR(Dashboard!$F$7="All",Dashboard!$F$7=C1898),OR(Dashboard!$H$7="All",Dashboard!$H$7=D1898),OR(Dashboard!$K$7="All",Dashboard!$K$7=E1898)),1,0)</x:f>
        <x:v>1</x:v>
      </x:c>
      <x:c r="S1898" s="2" t="n">
        <x:f>IF(R1898=1,SUM($R$10:R1898),0)</x:f>
        <x:v>1525</x:v>
      </x:c>
      <x:c r="T1898" s="2" t="str">
        <x:v>Design &amp; Insights</x:v>
      </x:c>
      <x:c r="U1898" s="2" t="n">
        <x:v>526</x:v>
      </x:c>
      <x:c r="V1898" s="2" t="n">
        <x:f>IF(AND(M1898=1,P1898=0,ISNUMBER(J1898),J1898&lt;TODAY()),1,0)</x:f>
        <x:v>0</x:v>
      </x:c>
      <x:c r="W1898" s="2" t="str">
        <x:f>'Design &amp; Insights'!M526</x:f>
        <x:v>Task</x:v>
      </x:c>
    </x:row>
    <x:row r="1899" ht="40" customHeight="1">
      <x:c r="A1899" s="3" t="str">
        <x:f>HYPERLINK("#'Design &amp; Insights'!A527","Open")</x:f>
        <x:v>Open</x:v>
      </x:c>
      <x:c r="B1899" s="2" t="str">
        <x:f>'Design &amp; Insights'!B527</x:f>
        <x:v>Cycle 4</x:v>
      </x:c>
      <x:c r="C1899" s="2" t="str">
        <x:f>'Design &amp; Insights'!C527</x:f>
        <x:v>Phase 3</x:v>
      </x:c>
      <x:c r="D1899" s="2" t="str">
        <x:f>'Design &amp; Insights'!D527</x:f>
        <x:v>FCM</x:v>
      </x:c>
      <x:c r="E1899" s="2" t="str">
        <x:v>Design &amp; Insights</x:v>
      </x:c>
      <x:c r="F1899" s="56" t="str">
        <x:f>'Design &amp; Insights'!E527</x:f>
        <x:v>DI.FC.3.5</x:v>
      </x:c>
      <x:c r="G1899" s="14" t="str">
        <x:f>'Design &amp; Insights'!F527</x:f>
        <x:v>Finalize presentation deck by incorporating pre-socialization feedback (as needed)</x:v>
      </x:c>
      <x:c r="H1899" s="2" t="str">
        <x:f>IF('Design &amp; Insights'!G527="","",'Design &amp; Insights'!G527)</x:f>
      </x:c>
      <x:c r="I1899" s="12" t="str">
        <x:f>IF('Design &amp; Insights'!H527="","",'Design &amp; Insights'!H527)</x:f>
      </x:c>
      <x:c r="J1899" s="12" t="n">
        <x:f>IF('Design &amp; Insights'!I527="","",'Design &amp; Insights'!I527)</x:f>
        <x:v>46387</x:v>
      </x:c>
      <x:c r="K1899" s="12" t="str">
        <x:f>IF('Design &amp; Insights'!J527="","",'Design &amp; Insights'!J527)</x:f>
      </x:c>
      <x:c r="L1899" s="2" t="str">
        <x:f>IF('Design &amp; Insights'!K527="","",'Design &amp; Insights'!K527)</x:f>
      </x:c>
      <x:c r="M1899" s="2" t="n">
        <x:f>'Design &amp; Insights'!Q527</x:f>
        <x:v>1</x:v>
      </x:c>
      <x:c r="N1899" s="2" t="str">
        <x:f>'Design &amp; Insights'!L527</x:f>
        <x:v>Not started</x:v>
      </x:c>
      <x:c r="O1899" s="2" t="str">
        <x:f>'Design &amp; Insights'!N527</x:f>
        <x:v>DI.FC.3.5.2026.CY4</x:v>
      </x:c>
      <x:c r="P1899" s="2" t="n">
        <x:f>'Design &amp; Insights'!O527</x:f>
        <x:v>0</x:v>
      </x:c>
      <x:c r="Q1899" s="2" t="n">
        <x:f>SUBTOTAL(103,O1899)</x:f>
        <x:v>1</x:v>
      </x:c>
      <x:c r="R1899" s="2" t="n">
        <x:f>IF(AND(M1899=1,OR(Dashboard!$B$7="All",Dashboard!$B$7='Cycles &amp; Guide'!$C$5),OR(Dashboard!$D$7="All",Dashboard!$D$7=B1899),OR(Dashboard!$F$7="All",Dashboard!$F$7=C1899),OR(Dashboard!$H$7="All",Dashboard!$H$7=D1899),OR(Dashboard!$K$7="All",Dashboard!$K$7=E1899)),1,0)</x:f>
        <x:v>1</x:v>
      </x:c>
      <x:c r="S1899" s="2" t="n">
        <x:f>IF(R1899=1,SUM($R$10:R1899),0)</x:f>
        <x:v>1526</x:v>
      </x:c>
      <x:c r="T1899" s="2" t="str">
        <x:v>Design &amp; Insights</x:v>
      </x:c>
      <x:c r="U1899" s="2" t="n">
        <x:v>527</x:v>
      </x:c>
      <x:c r="V1899" s="2" t="n">
        <x:f>IF(AND(M1899=1,P1899=0,ISNUMBER(J1899),J1899&lt;TODAY()),1,0)</x:f>
        <x:v>0</x:v>
      </x:c>
      <x:c r="W1899" s="2" t="str">
        <x:f>'Design &amp; Insights'!M527</x:f>
        <x:v>Task</x:v>
      </x:c>
    </x:row>
    <x:row r="1900" ht="40" customHeight="1">
      <x:c r="A1900" s="3" t="str">
        <x:f>HYPERLINK("#'Design &amp; Insights'!A528","Open")</x:f>
        <x:v>Open</x:v>
      </x:c>
      <x:c r="B1900" s="2" t="str">
        <x:f>'Design &amp; Insights'!B528</x:f>
        <x:v>Cycle 4</x:v>
      </x:c>
      <x:c r="C1900" s="2" t="str">
        <x:f>'Design &amp; Insights'!C528</x:f>
        <x:v>Phase 3</x:v>
      </x:c>
      <x:c r="D1900" s="2" t="str">
        <x:f>'Design &amp; Insights'!D528</x:f>
        <x:v>FCM</x:v>
      </x:c>
      <x:c r="E1900" s="2" t="str">
        <x:v>Design &amp; Insights</x:v>
      </x:c>
      <x:c r="F1900" s="56" t="str">
        <x:f>'Design &amp; Insights'!E528</x:f>
        <x:v>DI.FC.3.6</x:v>
      </x:c>
      <x:c r="G1900" s="14" t="str">
        <x:f>'Design &amp; Insights'!F528</x:f>
        <x:v>Ensure final deck is communicated to Forum attendees</x:v>
      </x:c>
      <x:c r="H1900" s="2" t="str">
        <x:f>IF('Design &amp; Insights'!G528="","",'Design &amp; Insights'!G528)</x:f>
      </x:c>
      <x:c r="I1900" s="12" t="str">
        <x:f>IF('Design &amp; Insights'!H528="","",'Design &amp; Insights'!H528)</x:f>
      </x:c>
      <x:c r="J1900" s="12" t="n">
        <x:f>IF('Design &amp; Insights'!I528="","",'Design &amp; Insights'!I528)</x:f>
        <x:v>46387</x:v>
      </x:c>
      <x:c r="K1900" s="12" t="str">
        <x:f>IF('Design &amp; Insights'!J528="","",'Design &amp; Insights'!J528)</x:f>
      </x:c>
      <x:c r="L1900" s="2" t="str">
        <x:f>IF('Design &amp; Insights'!K528="","",'Design &amp; Insights'!K528)</x:f>
      </x:c>
      <x:c r="M1900" s="2" t="n">
        <x:f>'Design &amp; Insights'!Q528</x:f>
        <x:v>1</x:v>
      </x:c>
      <x:c r="N1900" s="2" t="str">
        <x:f>'Design &amp; Insights'!L528</x:f>
        <x:v>Not started</x:v>
      </x:c>
      <x:c r="O1900" s="2" t="str">
        <x:f>'Design &amp; Insights'!N528</x:f>
        <x:v>DI.FC.3.6.2026.CY4</x:v>
      </x:c>
      <x:c r="P1900" s="2" t="n">
        <x:f>'Design &amp; Insights'!O528</x:f>
        <x:v>0</x:v>
      </x:c>
      <x:c r="Q1900" s="2" t="n">
        <x:f>SUBTOTAL(103,O1900)</x:f>
        <x:v>1</x:v>
      </x:c>
      <x:c r="R1900" s="2" t="n">
        <x:f>IF(AND(M1900=1,OR(Dashboard!$B$7="All",Dashboard!$B$7='Cycles &amp; Guide'!$C$5),OR(Dashboard!$D$7="All",Dashboard!$D$7=B1900),OR(Dashboard!$F$7="All",Dashboard!$F$7=C1900),OR(Dashboard!$H$7="All",Dashboard!$H$7=D1900),OR(Dashboard!$K$7="All",Dashboard!$K$7=E1900)),1,0)</x:f>
        <x:v>1</x:v>
      </x:c>
      <x:c r="S1900" s="2" t="n">
        <x:f>IF(R1900=1,SUM($R$10:R1900),0)</x:f>
        <x:v>1527</x:v>
      </x:c>
      <x:c r="T1900" s="2" t="str">
        <x:v>Design &amp; Insights</x:v>
      </x:c>
      <x:c r="U1900" s="2" t="n">
        <x:v>528</x:v>
      </x:c>
      <x:c r="V1900" s="2" t="n">
        <x:f>IF(AND(M1900=1,P1900=0,ISNUMBER(J1900),J1900&lt;TODAY()),1,0)</x:f>
        <x:v>0</x:v>
      </x:c>
      <x:c r="W1900" s="2" t="str">
        <x:f>'Design &amp; Insights'!M528</x:f>
        <x:v>Task</x:v>
      </x:c>
    </x:row>
    <x:row r="1901" ht="40" customHeight="1">
      <x:c r="A1901" s="3" t="str">
        <x:f>HYPERLINK("#'Design &amp; Insights'!A529","Open")</x:f>
        <x:v>Open</x:v>
      </x:c>
      <x:c r="B1901" s="2" t="str">
        <x:f>'Design &amp; Insights'!B529</x:f>
        <x:v>Cycle 4</x:v>
      </x:c>
      <x:c r="C1901" s="2" t="str">
        <x:f>'Design &amp; Insights'!C529</x:f>
        <x:v>Phase 3</x:v>
      </x:c>
      <x:c r="D1901" s="2" t="str">
        <x:f>'Design &amp; Insights'!D529</x:f>
        <x:v>FCM</x:v>
      </x:c>
      <x:c r="E1901" s="2" t="str">
        <x:v>Design &amp; Insights</x:v>
      </x:c>
      <x:c r="F1901" s="56" t="str">
        <x:f>'Design &amp; Insights'!E529</x:f>
        <x:v>DI.FC.3.7</x:v>
      </x:c>
      <x:c r="G1901" s="14" t="str">
        <x:f>'Design &amp; Insights'!F529</x:f>
        <x:v>Present material in RCA Cycle Forum</x:v>
      </x:c>
      <x:c r="H1901" s="2" t="str">
        <x:f>IF('Design &amp; Insights'!G529="","",'Design &amp; Insights'!G529)</x:f>
      </x:c>
      <x:c r="I1901" s="12" t="str">
        <x:f>IF('Design &amp; Insights'!H529="","",'Design &amp; Insights'!H529)</x:f>
      </x:c>
      <x:c r="J1901" s="12" t="str">
        <x:f>IF('Design &amp; Insights'!I529="","",'Design &amp; Insights'!I529)</x:f>
      </x:c>
      <x:c r="K1901" s="12" t="str">
        <x:f>IF('Design &amp; Insights'!J529="","",'Design &amp; Insights'!J529)</x:f>
      </x:c>
      <x:c r="L1901" s="2" t="str">
        <x:f>IF('Design &amp; Insights'!K529="","",'Design &amp; Insights'!K529)</x:f>
      </x:c>
      <x:c r="M1901" s="2" t="n">
        <x:f>'Design &amp; Insights'!Q529</x:f>
        <x:v>1</x:v>
      </x:c>
      <x:c r="N1901" s="2" t="str">
        <x:f>'Design &amp; Insights'!L529</x:f>
        <x:v>Not started</x:v>
      </x:c>
      <x:c r="O1901" s="2" t="str">
        <x:f>'Design &amp; Insights'!N529</x:f>
        <x:v>DI.FC.3.7.2026.CY4</x:v>
      </x:c>
      <x:c r="P1901" s="2" t="n">
        <x:f>'Design &amp; Insights'!O529</x:f>
        <x:v>0</x:v>
      </x:c>
      <x:c r="Q1901" s="2" t="n">
        <x:f>SUBTOTAL(103,O1901)</x:f>
        <x:v>1</x:v>
      </x:c>
      <x:c r="R1901" s="2" t="n">
        <x:f>IF(AND(M1901=1,OR(Dashboard!$B$7="All",Dashboard!$B$7='Cycles &amp; Guide'!$C$5),OR(Dashboard!$D$7="All",Dashboard!$D$7=B1901),OR(Dashboard!$F$7="All",Dashboard!$F$7=C1901),OR(Dashboard!$H$7="All",Dashboard!$H$7=D1901),OR(Dashboard!$K$7="All",Dashboard!$K$7=E1901)),1,0)</x:f>
        <x:v>1</x:v>
      </x:c>
      <x:c r="S1901" s="2" t="n">
        <x:f>IF(R1901=1,SUM($R$10:R1901),0)</x:f>
        <x:v>1528</x:v>
      </x:c>
      <x:c r="T1901" s="2" t="str">
        <x:v>Design &amp; Insights</x:v>
      </x:c>
      <x:c r="U1901" s="2" t="n">
        <x:v>529</x:v>
      </x:c>
      <x:c r="V1901" s="2" t="n">
        <x:f>IF(AND(M1901=1,P1901=0,ISNUMBER(J1901),J1901&lt;TODAY()),1,0)</x:f>
        <x:v>0</x:v>
      </x:c>
      <x:c r="W1901" s="2" t="str">
        <x:f>'Design &amp; Insights'!M529</x:f>
        <x:v>Task</x:v>
      </x:c>
    </x:row>
    <x:row r="1902" ht="40" customHeight="1">
      <x:c r="A1902" s="3" t="str">
        <x:f>HYPERLINK("#'Design &amp; Insights'!A530","Open")</x:f>
        <x:v>Open</x:v>
      </x:c>
      <x:c r="B1902" s="2" t="str">
        <x:f>'Design &amp; Insights'!B530</x:f>
        <x:v>Cycle 4</x:v>
      </x:c>
      <x:c r="C1902" s="2" t="str">
        <x:f>'Design &amp; Insights'!C530</x:f>
        <x:v>Phase 1</x:v>
      </x:c>
      <x:c r="D1902" s="2" t="str">
        <x:f>'Design &amp; Insights'!D530</x:f>
        <x:v>PLL</x:v>
      </x:c>
      <x:c r="E1902" s="2" t="str">
        <x:v>Design &amp; Insights</x:v>
      </x:c>
      <x:c r="F1902" s="56" t="str">
        <x:f>'Design &amp; Insights'!E530</x:f>
        <x:v>DI.PL.1.1</x:v>
      </x:c>
      <x:c r="G1902" s="14" t="str">
        <x:f>'Design &amp; Insights'!F530</x:f>
        <x:v>Receive and review potential research topics at least 2 weeks prior to Cycle start date</x:v>
      </x:c>
      <x:c r="H1902" s="2" t="str">
        <x:f>IF('Design &amp; Insights'!G530="","",'Design &amp; Insights'!G530)</x:f>
      </x:c>
      <x:c r="I1902" s="12" t="str">
        <x:f>IF('Design &amp; Insights'!H530="","",'Design &amp; Insights'!H530)</x:f>
      </x:c>
      <x:c r="J1902" s="12" t="n">
        <x:f>IF('Design &amp; Insights'!I530="","",'Design &amp; Insights'!I530)</x:f>
        <x:v>46282</x:v>
      </x:c>
      <x:c r="K1902" s="12" t="str">
        <x:f>IF('Design &amp; Insights'!J530="","",'Design &amp; Insights'!J530)</x:f>
      </x:c>
      <x:c r="L1902" s="2" t="str">
        <x:f>IF('Design &amp; Insights'!K530="","",'Design &amp; Insights'!K530)</x:f>
      </x:c>
      <x:c r="M1902" s="2" t="n">
        <x:f>'Design &amp; Insights'!Q530</x:f>
        <x:v>1</x:v>
      </x:c>
      <x:c r="N1902" s="2" t="str">
        <x:f>'Design &amp; Insights'!L530</x:f>
        <x:v>Not started</x:v>
      </x:c>
      <x:c r="O1902" s="2" t="str">
        <x:f>'Design &amp; Insights'!N530</x:f>
        <x:v>DI.PL.1.1.2026.CY4</x:v>
      </x:c>
      <x:c r="P1902" s="2" t="n">
        <x:f>'Design &amp; Insights'!O530</x:f>
        <x:v>0</x:v>
      </x:c>
      <x:c r="Q1902" s="2" t="n">
        <x:f>SUBTOTAL(103,O1902)</x:f>
        <x:v>1</x:v>
      </x:c>
      <x:c r="R1902" s="2" t="n">
        <x:f>IF(AND(M1902=1,OR(Dashboard!$B$7="All",Dashboard!$B$7='Cycles &amp; Guide'!$C$5),OR(Dashboard!$D$7="All",Dashboard!$D$7=B1902),OR(Dashboard!$F$7="All",Dashboard!$F$7=C1902),OR(Dashboard!$H$7="All",Dashboard!$H$7=D1902),OR(Dashboard!$K$7="All",Dashboard!$K$7=E1902)),1,0)</x:f>
        <x:v>1</x:v>
      </x:c>
      <x:c r="S1902" s="2" t="n">
        <x:f>IF(R1902=1,SUM($R$10:R1902),0)</x:f>
        <x:v>1529</x:v>
      </x:c>
      <x:c r="T1902" s="2" t="str">
        <x:v>Design &amp; Insights</x:v>
      </x:c>
      <x:c r="U1902" s="2" t="n">
        <x:v>530</x:v>
      </x:c>
      <x:c r="V1902" s="2" t="n">
        <x:f>IF(AND(M1902=1,P1902=0,ISNUMBER(J1902),J1902&lt;TODAY()),1,0)</x:f>
        <x:v>1</x:v>
      </x:c>
      <x:c r="W1902" s="2" t="str">
        <x:f>'Design &amp; Insights'!M530</x:f>
        <x:v>Task</x:v>
      </x:c>
    </x:row>
    <x:row r="1903" ht="40" customHeight="1">
      <x:c r="A1903" s="3" t="str">
        <x:f>HYPERLINK("#'Design &amp; Insights'!A531","Open")</x:f>
        <x:v>Open</x:v>
      </x:c>
      <x:c r="B1903" s="2" t="str">
        <x:f>'Design &amp; Insights'!B531</x:f>
        <x:v>Cycle 4</x:v>
      </x:c>
      <x:c r="C1903" s="2" t="str">
        <x:f>'Design &amp; Insights'!C531</x:f>
        <x:v>Phase 1</x:v>
      </x:c>
      <x:c r="D1903" s="2" t="str">
        <x:f>'Design &amp; Insights'!D531</x:f>
        <x:v>PLL</x:v>
      </x:c>
      <x:c r="E1903" s="2" t="str">
        <x:v>Design &amp; Insights</x:v>
      </x:c>
      <x:c r="F1903" s="56" t="str">
        <x:f>'Design &amp; Insights'!E531</x:f>
        <x:v>DI.PL.1.2</x:v>
      </x:c>
      <x:c r="G1903" s="14" t="str">
        <x:f>'Design &amp; Insights'!F531</x:f>
        <x:v>Communicate any feedback on preferences or concerns with topics identified</x:v>
      </x:c>
      <x:c r="H1903" s="2" t="str">
        <x:f>IF('Design &amp; Insights'!G531="","",'Design &amp; Insights'!G531)</x:f>
      </x:c>
      <x:c r="I1903" s="12" t="str">
        <x:f>IF('Design &amp; Insights'!H531="","",'Design &amp; Insights'!H531)</x:f>
      </x:c>
      <x:c r="J1903" s="12" t="n">
        <x:f>IF('Design &amp; Insights'!I531="","",'Design &amp; Insights'!I531)</x:f>
        <x:v>46387</x:v>
      </x:c>
      <x:c r="K1903" s="12" t="str">
        <x:f>IF('Design &amp; Insights'!J531="","",'Design &amp; Insights'!J531)</x:f>
      </x:c>
      <x:c r="L1903" s="2" t="str">
        <x:f>IF('Design &amp; Insights'!K531="","",'Design &amp; Insights'!K531)</x:f>
      </x:c>
      <x:c r="M1903" s="2" t="n">
        <x:f>'Design &amp; Insights'!Q531</x:f>
        <x:v>1</x:v>
      </x:c>
      <x:c r="N1903" s="2" t="str">
        <x:f>'Design &amp; Insights'!L531</x:f>
        <x:v>Not started</x:v>
      </x:c>
      <x:c r="O1903" s="2" t="str">
        <x:f>'Design &amp; Insights'!N531</x:f>
        <x:v>DI.PL.1.2.2026.CY4</x:v>
      </x:c>
      <x:c r="P1903" s="2" t="n">
        <x:f>'Design &amp; Insights'!O531</x:f>
        <x:v>0</x:v>
      </x:c>
      <x:c r="Q1903" s="2" t="n">
        <x:f>SUBTOTAL(103,O1903)</x:f>
        <x:v>1</x:v>
      </x:c>
      <x:c r="R1903" s="2" t="n">
        <x:f>IF(AND(M1903=1,OR(Dashboard!$B$7="All",Dashboard!$B$7='Cycles &amp; Guide'!$C$5),OR(Dashboard!$D$7="All",Dashboard!$D$7=B1903),OR(Dashboard!$F$7="All",Dashboard!$F$7=C1903),OR(Dashboard!$H$7="All",Dashboard!$H$7=D1903),OR(Dashboard!$K$7="All",Dashboard!$K$7=E1903)),1,0)</x:f>
        <x:v>1</x:v>
      </x:c>
      <x:c r="S1903" s="2" t="n">
        <x:f>IF(R1903=1,SUM($R$10:R1903),0)</x:f>
        <x:v>1530</x:v>
      </x:c>
      <x:c r="T1903" s="2" t="str">
        <x:v>Design &amp; Insights</x:v>
      </x:c>
      <x:c r="U1903" s="2" t="n">
        <x:v>531</x:v>
      </x:c>
      <x:c r="V1903" s="2" t="n">
        <x:f>IF(AND(M1903=1,P1903=0,ISNUMBER(J1903),J1903&lt;TODAY()),1,0)</x:f>
        <x:v>0</x:v>
      </x:c>
      <x:c r="W1903" s="2" t="str">
        <x:f>'Design &amp; Insights'!M531</x:f>
        <x:v>Task</x:v>
      </x:c>
    </x:row>
    <x:row r="1904" ht="40" customHeight="1">
      <x:c r="A1904" s="3" t="str">
        <x:f>HYPERLINK("#'Design &amp; Insights'!A532","Open")</x:f>
        <x:v>Open</x:v>
      </x:c>
      <x:c r="B1904" s="2" t="str">
        <x:f>'Design &amp; Insights'!B532</x:f>
        <x:v>Cycle 4</x:v>
      </x:c>
      <x:c r="C1904" s="2" t="str">
        <x:f>'Design &amp; Insights'!C532</x:f>
        <x:v>Phase 1</x:v>
      </x:c>
      <x:c r="D1904" s="2" t="str">
        <x:f>'Design &amp; Insights'!D532</x:f>
        <x:v>PLL</x:v>
      </x:c>
      <x:c r="E1904" s="2" t="str">
        <x:v>Design &amp; Insights</x:v>
      </x:c>
      <x:c r="F1904" s="56" t="str">
        <x:f>'Design &amp; Insights'!E532</x:f>
        <x:v>DI.PL.1.3</x:v>
      </x:c>
      <x:c r="G1904" s="14" t="str">
        <x:f>'Design &amp; Insights'!F532</x:f>
        <x:v>Conduct high-level preliminary review of complaints within proposed topics</x:v>
      </x:c>
      <x:c r="H1904" s="2" t="str">
        <x:f>IF('Design &amp; Insights'!G532="","",'Design &amp; Insights'!G532)</x:f>
      </x:c>
      <x:c r="I1904" s="12" t="str">
        <x:f>IF('Design &amp; Insights'!H532="","",'Design &amp; Insights'!H532)</x:f>
      </x:c>
      <x:c r="J1904" s="12" t="n">
        <x:f>IF('Design &amp; Insights'!I532="","",'Design &amp; Insights'!I532)</x:f>
        <x:v>46387</x:v>
      </x:c>
      <x:c r="K1904" s="12" t="str">
        <x:f>IF('Design &amp; Insights'!J532="","",'Design &amp; Insights'!J532)</x:f>
      </x:c>
      <x:c r="L1904" s="2" t="str">
        <x:f>IF('Design &amp; Insights'!K532="","",'Design &amp; Insights'!K532)</x:f>
      </x:c>
      <x:c r="M1904" s="2" t="n">
        <x:f>'Design &amp; Insights'!Q532</x:f>
        <x:v>1</x:v>
      </x:c>
      <x:c r="N1904" s="2" t="str">
        <x:f>'Design &amp; Insights'!L532</x:f>
        <x:v>Not started</x:v>
      </x:c>
      <x:c r="O1904" s="2" t="str">
        <x:f>'Design &amp; Insights'!N532</x:f>
        <x:v>DI.PL.1.3.2026.CY4</x:v>
      </x:c>
      <x:c r="P1904" s="2" t="n">
        <x:f>'Design &amp; Insights'!O532</x:f>
        <x:v>0</x:v>
      </x:c>
      <x:c r="Q1904" s="2" t="n">
        <x:f>SUBTOTAL(103,O1904)</x:f>
        <x:v>1</x:v>
      </x:c>
      <x:c r="R1904" s="2" t="n">
        <x:f>IF(AND(M1904=1,OR(Dashboard!$B$7="All",Dashboard!$B$7='Cycles &amp; Guide'!$C$5),OR(Dashboard!$D$7="All",Dashboard!$D$7=B1904),OR(Dashboard!$F$7="All",Dashboard!$F$7=C1904),OR(Dashboard!$H$7="All",Dashboard!$H$7=D1904),OR(Dashboard!$K$7="All",Dashboard!$K$7=E1904)),1,0)</x:f>
        <x:v>1</x:v>
      </x:c>
      <x:c r="S1904" s="2" t="n">
        <x:f>IF(R1904=1,SUM($R$10:R1904),0)</x:f>
        <x:v>1531</x:v>
      </x:c>
      <x:c r="T1904" s="2" t="str">
        <x:v>Design &amp; Insights</x:v>
      </x:c>
      <x:c r="U1904" s="2" t="n">
        <x:v>532</x:v>
      </x:c>
      <x:c r="V1904" s="2" t="n">
        <x:f>IF(AND(M1904=1,P1904=0,ISNUMBER(J1904),J1904&lt;TODAY()),1,0)</x:f>
        <x:v>0</x:v>
      </x:c>
      <x:c r="W1904" s="2" t="str">
        <x:f>'Design &amp; Insights'!M532</x:f>
        <x:v>Task</x:v>
      </x:c>
    </x:row>
    <x:row r="1905" ht="40" customHeight="1">
      <x:c r="A1905" s="3" t="str">
        <x:f>HYPERLINK("#'Design &amp; Insights'!A533","Open")</x:f>
        <x:v>Open</x:v>
      </x:c>
      <x:c r="B1905" s="2" t="str">
        <x:f>'Design &amp; Insights'!B533</x:f>
        <x:v>Cycle 4</x:v>
      </x:c>
      <x:c r="C1905" s="2" t="str">
        <x:f>'Design &amp; Insights'!C533</x:f>
        <x:v>Phase 1</x:v>
      </x:c>
      <x:c r="D1905" s="2" t="str">
        <x:f>'Design &amp; Insights'!D533</x:f>
        <x:v>PLL</x:v>
      </x:c>
      <x:c r="E1905" s="2" t="str">
        <x:v>Design &amp; Insights</x:v>
      </x:c>
      <x:c r="F1905" s="56" t="str">
        <x:f>'Design &amp; Insights'!E533</x:f>
        <x:v>DI.PL.1.4</x:v>
      </x:c>
      <x:c r="G1905" s="14" t="str">
        <x:f>'Design &amp; Insights'!F533</x:f>
        <x:v>Meet with Research to discuss which topic to select based on potential impact</x:v>
      </x:c>
      <x:c r="H1905" s="2" t="str">
        <x:f>IF('Design &amp; Insights'!G533="","",'Design &amp; Insights'!G533)</x:f>
      </x:c>
      <x:c r="I1905" s="12" t="str">
        <x:f>IF('Design &amp; Insights'!H533="","",'Design &amp; Insights'!H533)</x:f>
      </x:c>
      <x:c r="J1905" s="12" t="n">
        <x:f>IF('Design &amp; Insights'!I533="","",'Design &amp; Insights'!I533)</x:f>
        <x:v>46387</x:v>
      </x:c>
      <x:c r="K1905" s="12" t="str">
        <x:f>IF('Design &amp; Insights'!J533="","",'Design &amp; Insights'!J533)</x:f>
      </x:c>
      <x:c r="L1905" s="2" t="str">
        <x:f>IF('Design &amp; Insights'!K533="","",'Design &amp; Insights'!K533)</x:f>
      </x:c>
      <x:c r="M1905" s="2" t="n">
        <x:f>'Design &amp; Insights'!Q533</x:f>
        <x:v>1</x:v>
      </x:c>
      <x:c r="N1905" s="2" t="str">
        <x:f>'Design &amp; Insights'!L533</x:f>
        <x:v>Not started</x:v>
      </x:c>
      <x:c r="O1905" s="2" t="str">
        <x:f>'Design &amp; Insights'!N533</x:f>
        <x:v>DI.PL.1.4.2026.CY4</x:v>
      </x:c>
      <x:c r="P1905" s="2" t="n">
        <x:f>'Design &amp; Insights'!O533</x:f>
        <x:v>0</x:v>
      </x:c>
      <x:c r="Q1905" s="2" t="n">
        <x:f>SUBTOTAL(103,O1905)</x:f>
        <x:v>1</x:v>
      </x:c>
      <x:c r="R1905" s="2" t="n">
        <x:f>IF(AND(M1905=1,OR(Dashboard!$B$7="All",Dashboard!$B$7='Cycles &amp; Guide'!$C$5),OR(Dashboard!$D$7="All",Dashboard!$D$7=B1905),OR(Dashboard!$F$7="All",Dashboard!$F$7=C1905),OR(Dashboard!$H$7="All",Dashboard!$H$7=D1905),OR(Dashboard!$K$7="All",Dashboard!$K$7=E1905)),1,0)</x:f>
        <x:v>1</x:v>
      </x:c>
      <x:c r="S1905" s="2" t="n">
        <x:f>IF(R1905=1,SUM($R$10:R1905),0)</x:f>
        <x:v>1532</x:v>
      </x:c>
      <x:c r="T1905" s="2" t="str">
        <x:v>Design &amp; Insights</x:v>
      </x:c>
      <x:c r="U1905" s="2" t="n">
        <x:v>533</x:v>
      </x:c>
      <x:c r="V1905" s="2" t="n">
        <x:f>IF(AND(M1905=1,P1905=0,ISNUMBER(J1905),J1905&lt;TODAY()),1,0)</x:f>
        <x:v>0</x:v>
      </x:c>
      <x:c r="W1905" s="2" t="str">
        <x:f>'Design &amp; Insights'!M533</x:f>
        <x:v>Task</x:v>
      </x:c>
    </x:row>
    <x:row r="1906" ht="40" customHeight="1">
      <x:c r="A1906" s="3" t="str">
        <x:f>HYPERLINK("#'Design &amp; Insights'!A534","Open")</x:f>
        <x:v>Open</x:v>
      </x:c>
      <x:c r="B1906" s="2" t="str">
        <x:f>'Design &amp; Insights'!B534</x:f>
        <x:v>Cycle 4</x:v>
      </x:c>
      <x:c r="C1906" s="2" t="str">
        <x:f>'Design &amp; Insights'!C534</x:f>
        <x:v>Phase 1</x:v>
      </x:c>
      <x:c r="D1906" s="2" t="str">
        <x:f>'Design &amp; Insights'!D534</x:f>
        <x:v>PLL</x:v>
      </x:c>
      <x:c r="E1906" s="2" t="str">
        <x:v>Design &amp; Insights</x:v>
      </x:c>
      <x:c r="F1906" s="56" t="str">
        <x:f>'Design &amp; Insights'!E534</x:f>
        <x:v>DI.PL.1.5</x:v>
      </x:c>
      <x:c r="G1906" s="14" t="str">
        <x:f>'Design &amp; Insights'!F534</x:f>
        <x:v>Confirm with Research the recommended topic for approval</x:v>
      </x:c>
      <x:c r="H1906" s="2" t="str">
        <x:f>IF('Design &amp; Insights'!G534="","",'Design &amp; Insights'!G534)</x:f>
      </x:c>
      <x:c r="I1906" s="12" t="str">
        <x:f>IF('Design &amp; Insights'!H534="","",'Design &amp; Insights'!H534)</x:f>
      </x:c>
      <x:c r="J1906" s="12" t="n">
        <x:f>IF('Design &amp; Insights'!I534="","",'Design &amp; Insights'!I534)</x:f>
        <x:v>46387</x:v>
      </x:c>
      <x:c r="K1906" s="12" t="str">
        <x:f>IF('Design &amp; Insights'!J534="","",'Design &amp; Insights'!J534)</x:f>
      </x:c>
      <x:c r="L1906" s="2" t="str">
        <x:f>IF('Design &amp; Insights'!K534="","",'Design &amp; Insights'!K534)</x:f>
      </x:c>
      <x:c r="M1906" s="2" t="n">
        <x:f>'Design &amp; Insights'!Q534</x:f>
        <x:v>1</x:v>
      </x:c>
      <x:c r="N1906" s="2" t="str">
        <x:f>'Design &amp; Insights'!L534</x:f>
        <x:v>Not started</x:v>
      </x:c>
      <x:c r="O1906" s="2" t="str">
        <x:f>'Design &amp; Insights'!N534</x:f>
        <x:v>DI.PL.1.5.2026.CY4</x:v>
      </x:c>
      <x:c r="P1906" s="2" t="n">
        <x:f>'Design &amp; Insights'!O534</x:f>
        <x:v>0</x:v>
      </x:c>
      <x:c r="Q1906" s="2" t="n">
        <x:f>SUBTOTAL(103,O1906)</x:f>
        <x:v>1</x:v>
      </x:c>
      <x:c r="R1906" s="2" t="n">
        <x:f>IF(AND(M1906=1,OR(Dashboard!$B$7="All",Dashboard!$B$7='Cycles &amp; Guide'!$C$5),OR(Dashboard!$D$7="All",Dashboard!$D$7=B1906),OR(Dashboard!$F$7="All",Dashboard!$F$7=C1906),OR(Dashboard!$H$7="All",Dashboard!$H$7=D1906),OR(Dashboard!$K$7="All",Dashboard!$K$7=E1906)),1,0)</x:f>
        <x:v>1</x:v>
      </x:c>
      <x:c r="S1906" s="2" t="n">
        <x:f>IF(R1906=1,SUM($R$10:R1906),0)</x:f>
        <x:v>1533</x:v>
      </x:c>
      <x:c r="T1906" s="2" t="str">
        <x:v>Design &amp; Insights</x:v>
      </x:c>
      <x:c r="U1906" s="2" t="n">
        <x:v>534</x:v>
      </x:c>
      <x:c r="V1906" s="2" t="n">
        <x:f>IF(AND(M1906=1,P1906=0,ISNUMBER(J1906),J1906&lt;TODAY()),1,0)</x:f>
        <x:v>0</x:v>
      </x:c>
      <x:c r="W1906" s="2" t="str">
        <x:f>'Design &amp; Insights'!M534</x:f>
        <x:v>Task</x:v>
      </x:c>
    </x:row>
    <x:row r="1907" ht="40" customHeight="1">
      <x:c r="A1907" s="3" t="str">
        <x:f>HYPERLINK("#'Design &amp; Insights'!A535","Open")</x:f>
        <x:v>Open</x:v>
      </x:c>
      <x:c r="B1907" s="2" t="str">
        <x:f>'Design &amp; Insights'!B535</x:f>
        <x:v>Cycle 4</x:v>
      </x:c>
      <x:c r="C1907" s="2" t="str">
        <x:f>'Design &amp; Insights'!C535</x:f>
        <x:v>Phase 1</x:v>
      </x:c>
      <x:c r="D1907" s="2" t="str">
        <x:f>'Design &amp; Insights'!D535</x:f>
        <x:v>PLL</x:v>
      </x:c>
      <x:c r="E1907" s="2" t="str">
        <x:v>Design &amp; Insights</x:v>
      </x:c>
      <x:c r="F1907" s="56" t="str">
        <x:f>'Design &amp; Insights'!E535</x:f>
        <x:v>DI.PL.1.6</x:v>
      </x:c>
      <x:c r="G1907" s="14" t="str">
        <x:f>'Design &amp; Insights'!F535</x:f>
        <x:v>Send topic selection socialization email to all key stakeholders on the first day of the review Cycle</x:v>
      </x:c>
      <x:c r="H1907" s="2" t="str">
        <x:f>IF('Design &amp; Insights'!G535="","",'Design &amp; Insights'!G535)</x:f>
      </x:c>
      <x:c r="I1907" s="12" t="str">
        <x:f>IF('Design &amp; Insights'!H535="","",'Design &amp; Insights'!H535)</x:f>
      </x:c>
      <x:c r="J1907" s="12" t="n">
        <x:f>IF('Design &amp; Insights'!I535="","",'Design &amp; Insights'!I535)</x:f>
        <x:v>46296</x:v>
      </x:c>
      <x:c r="K1907" s="12" t="str">
        <x:f>IF('Design &amp; Insights'!J535="","",'Design &amp; Insights'!J535)</x:f>
      </x:c>
      <x:c r="L1907" s="2" t="str">
        <x:f>IF('Design &amp; Insights'!K535="","",'Design &amp; Insights'!K535)</x:f>
      </x:c>
      <x:c r="M1907" s="2" t="n">
        <x:f>'Design &amp; Insights'!Q535</x:f>
        <x:v>1</x:v>
      </x:c>
      <x:c r="N1907" s="2" t="str">
        <x:f>'Design &amp; Insights'!L535</x:f>
        <x:v>Not started</x:v>
      </x:c>
      <x:c r="O1907" s="2" t="str">
        <x:f>'Design &amp; Insights'!N535</x:f>
        <x:v>DI.PL.1.6.2026.CY4</x:v>
      </x:c>
      <x:c r="P1907" s="2" t="n">
        <x:f>'Design &amp; Insights'!O535</x:f>
        <x:v>0</x:v>
      </x:c>
      <x:c r="Q1907" s="2" t="n">
        <x:f>SUBTOTAL(103,O1907)</x:f>
        <x:v>1</x:v>
      </x:c>
      <x:c r="R1907" s="2" t="n">
        <x:f>IF(AND(M1907=1,OR(Dashboard!$B$7="All",Dashboard!$B$7='Cycles &amp; Guide'!$C$5),OR(Dashboard!$D$7="All",Dashboard!$D$7=B1907),OR(Dashboard!$F$7="All",Dashboard!$F$7=C1907),OR(Dashboard!$H$7="All",Dashboard!$H$7=D1907),OR(Dashboard!$K$7="All",Dashboard!$K$7=E1907)),1,0)</x:f>
        <x:v>1</x:v>
      </x:c>
      <x:c r="S1907" s="2" t="n">
        <x:f>IF(R1907=1,SUM($R$10:R1907),0)</x:f>
        <x:v>1534</x:v>
      </x:c>
      <x:c r="T1907" s="2" t="str">
        <x:v>Design &amp; Insights</x:v>
      </x:c>
      <x:c r="U1907" s="2" t="n">
        <x:v>535</x:v>
      </x:c>
      <x:c r="V1907" s="2" t="n">
        <x:f>IF(AND(M1907=1,P1907=0,ISNUMBER(J1907),J1907&lt;TODAY()),1,0)</x:f>
        <x:v>0</x:v>
      </x:c>
      <x:c r="W1907" s="2" t="str">
        <x:f>'Design &amp; Insights'!M535</x:f>
        <x:v>Task</x:v>
      </x:c>
    </x:row>
    <x:row r="1908" ht="40" customHeight="1">
      <x:c r="A1908" s="3" t="str">
        <x:f>HYPERLINK("#'Design &amp; Insights'!A536","Open")</x:f>
        <x:v>Open</x:v>
      </x:c>
      <x:c r="B1908" s="2" t="str">
        <x:f>'Design &amp; Insights'!B536</x:f>
        <x:v>Cycle 4</x:v>
      </x:c>
      <x:c r="C1908" s="2" t="str">
        <x:f>'Design &amp; Insights'!C536</x:f>
        <x:v>Phase 2</x:v>
      </x:c>
      <x:c r="D1908" s="2" t="str">
        <x:f>'Design &amp; Insights'!D536</x:f>
        <x:v>PLL</x:v>
      </x:c>
      <x:c r="E1908" s="2" t="str">
        <x:v>Design &amp; Insights</x:v>
      </x:c>
      <x:c r="F1908" s="56" t="str">
        <x:f>'Design &amp; Insights'!E536</x:f>
        <x:v>DI.PL.2.1</x:v>
      </x:c>
      <x:c r="G1908" s="14" t="str">
        <x:f>'Design &amp; Insights'!F536</x:f>
        <x:v>Meet regularly with Research to stay informed on progress, findings, and potential enhancement</x:v>
      </x:c>
      <x:c r="H1908" s="2" t="str">
        <x:f>IF('Design &amp; Insights'!G536="","",'Design &amp; Insights'!G536)</x:f>
      </x:c>
      <x:c r="I1908" s="12" t="str">
        <x:f>IF('Design &amp; Insights'!H536="","",'Design &amp; Insights'!H536)</x:f>
      </x:c>
      <x:c r="J1908" s="12" t="n">
        <x:f>IF('Design &amp; Insights'!I536="","",'Design &amp; Insights'!I536)</x:f>
        <x:v>46387</x:v>
      </x:c>
      <x:c r="K1908" s="12" t="str">
        <x:f>IF('Design &amp; Insights'!J536="","",'Design &amp; Insights'!J536)</x:f>
      </x:c>
      <x:c r="L1908" s="2" t="str">
        <x:f>IF('Design &amp; Insights'!K536="","",'Design &amp; Insights'!K536)</x:f>
      </x:c>
      <x:c r="M1908" s="2" t="n">
        <x:f>'Design &amp; Insights'!Q536</x:f>
        <x:v>1</x:v>
      </x:c>
      <x:c r="N1908" s="2" t="str">
        <x:f>'Design &amp; Insights'!L536</x:f>
        <x:v>Not started</x:v>
      </x:c>
      <x:c r="O1908" s="2" t="str">
        <x:f>'Design &amp; Insights'!N536</x:f>
        <x:v>DI.PL.2.1.2026.CY4</x:v>
      </x:c>
      <x:c r="P1908" s="2" t="n">
        <x:f>'Design &amp; Insights'!O536</x:f>
        <x:v>0</x:v>
      </x:c>
      <x:c r="Q1908" s="2" t="n">
        <x:f>SUBTOTAL(103,O1908)</x:f>
        <x:v>1</x:v>
      </x:c>
      <x:c r="R1908" s="2" t="n">
        <x:f>IF(AND(M1908=1,OR(Dashboard!$B$7="All",Dashboard!$B$7='Cycles &amp; Guide'!$C$5),OR(Dashboard!$D$7="All",Dashboard!$D$7=B1908),OR(Dashboard!$F$7="All",Dashboard!$F$7=C1908),OR(Dashboard!$H$7="All",Dashboard!$H$7=D1908),OR(Dashboard!$K$7="All",Dashboard!$K$7=E1908)),1,0)</x:f>
        <x:v>1</x:v>
      </x:c>
      <x:c r="S1908" s="2" t="n">
        <x:f>IF(R1908=1,SUM($R$10:R1908),0)</x:f>
        <x:v>1535</x:v>
      </x:c>
      <x:c r="T1908" s="2" t="str">
        <x:v>Design &amp; Insights</x:v>
      </x:c>
      <x:c r="U1908" s="2" t="n">
        <x:v>536</x:v>
      </x:c>
      <x:c r="V1908" s="2" t="n">
        <x:f>IF(AND(M1908=1,P1908=0,ISNUMBER(J1908),J1908&lt;TODAY()),1,0)</x:f>
        <x:v>0</x:v>
      </x:c>
      <x:c r="W1908" s="2" t="str">
        <x:f>'Design &amp; Insights'!M536</x:f>
        <x:v>Task</x:v>
      </x:c>
    </x:row>
    <x:row r="1909" ht="40" customHeight="1">
      <x:c r="A1909" s="3" t="str">
        <x:f>HYPERLINK("#'Design &amp; Insights'!A537","Open")</x:f>
        <x:v>Open</x:v>
      </x:c>
      <x:c r="B1909" s="2" t="str">
        <x:f>'Design &amp; Insights'!B537</x:f>
        <x:v>Cycle 4</x:v>
      </x:c>
      <x:c r="C1909" s="2" t="str">
        <x:f>'Design &amp; Insights'!C537</x:f>
        <x:v>Phase 2</x:v>
      </x:c>
      <x:c r="D1909" s="2" t="str">
        <x:f>'Design &amp; Insights'!D537</x:f>
        <x:v>PLL</x:v>
      </x:c>
      <x:c r="E1909" s="2" t="str">
        <x:v>Design &amp; Insights</x:v>
      </x:c>
      <x:c r="F1909" s="56" t="str">
        <x:f>'Design &amp; Insights'!E537</x:f>
        <x:v>DI.PL.2.2</x:v>
      </x:c>
      <x:c r="G1909" s="14" t="str">
        <x:f>'Design &amp; Insights'!F537</x:f>
        <x:v>Collaborate with Research on research plan specifics</x:v>
      </x:c>
      <x:c r="H1909" s="2" t="str">
        <x:f>IF('Design &amp; Insights'!G537="","",'Design &amp; Insights'!G537)</x:f>
      </x:c>
      <x:c r="I1909" s="12" t="str">
        <x:f>IF('Design &amp; Insights'!H537="","",'Design &amp; Insights'!H537)</x:f>
      </x:c>
      <x:c r="J1909" s="12" t="n">
        <x:f>IF('Design &amp; Insights'!I537="","",'Design &amp; Insights'!I537)</x:f>
        <x:v>46387</x:v>
      </x:c>
      <x:c r="K1909" s="12" t="str">
        <x:f>IF('Design &amp; Insights'!J537="","",'Design &amp; Insights'!J537)</x:f>
      </x:c>
      <x:c r="L1909" s="2" t="str">
        <x:f>IF('Design &amp; Insights'!K537="","",'Design &amp; Insights'!K537)</x:f>
      </x:c>
      <x:c r="M1909" s="2" t="n">
        <x:f>'Design &amp; Insights'!Q537</x:f>
        <x:v>1</x:v>
      </x:c>
      <x:c r="N1909" s="2" t="str">
        <x:f>'Design &amp; Insights'!L537</x:f>
        <x:v>Not started</x:v>
      </x:c>
      <x:c r="O1909" s="2" t="str">
        <x:f>'Design &amp; Insights'!N537</x:f>
        <x:v>DI.PL.2.2.2026.CY4</x:v>
      </x:c>
      <x:c r="P1909" s="2" t="n">
        <x:f>'Design &amp; Insights'!O537</x:f>
        <x:v>0</x:v>
      </x:c>
      <x:c r="Q1909" s="2" t="n">
        <x:f>SUBTOTAL(103,O1909)</x:f>
        <x:v>1</x:v>
      </x:c>
      <x:c r="R1909" s="2" t="n">
        <x:f>IF(AND(M1909=1,OR(Dashboard!$B$7="All",Dashboard!$B$7='Cycles &amp; Guide'!$C$5),OR(Dashboard!$D$7="All",Dashboard!$D$7=B1909),OR(Dashboard!$F$7="All",Dashboard!$F$7=C1909),OR(Dashboard!$H$7="All",Dashboard!$H$7=D1909),OR(Dashboard!$K$7="All",Dashboard!$K$7=E1909)),1,0)</x:f>
        <x:v>1</x:v>
      </x:c>
      <x:c r="S1909" s="2" t="n">
        <x:f>IF(R1909=1,SUM($R$10:R1909),0)</x:f>
        <x:v>1536</x:v>
      </x:c>
      <x:c r="T1909" s="2" t="str">
        <x:v>Design &amp; Insights</x:v>
      </x:c>
      <x:c r="U1909" s="2" t="n">
        <x:v>537</x:v>
      </x:c>
      <x:c r="V1909" s="2" t="n">
        <x:f>IF(AND(M1909=1,P1909=0,ISNUMBER(J1909),J1909&lt;TODAY()),1,0)</x:f>
        <x:v>0</x:v>
      </x:c>
      <x:c r="W1909" s="2" t="str">
        <x:f>'Design &amp; Insights'!M537</x:f>
        <x:v>Task</x:v>
      </x:c>
    </x:row>
    <x:row r="1910" ht="40" customHeight="1">
      <x:c r="A1910" s="3" t="str">
        <x:f>HYPERLINK("#'Design &amp; Insights'!A538","Open")</x:f>
        <x:v>Open</x:v>
      </x:c>
      <x:c r="B1910" s="2" t="str">
        <x:f>'Design &amp; Insights'!B538</x:f>
        <x:v>Cycle 4</x:v>
      </x:c>
      <x:c r="C1910" s="2" t="str">
        <x:f>'Design &amp; Insights'!C538</x:f>
        <x:v>Phase 2</x:v>
      </x:c>
      <x:c r="D1910" s="2" t="str">
        <x:f>'Design &amp; Insights'!D538</x:f>
        <x:v>PLL</x:v>
      </x:c>
      <x:c r="E1910" s="2" t="str">
        <x:v>Design &amp; Insights</x:v>
      </x:c>
      <x:c r="F1910" s="56" t="str">
        <x:f>'Design &amp; Insights'!E538</x:f>
        <x:v>DI.PL.2.3</x:v>
      </x:c>
      <x:c r="G1910" s="14" t="str">
        <x:f>'Design &amp; Insights'!F538</x:f>
        <x:v>Participate in SME insight meetings to gain perspective and appetite on potential enhancements</x:v>
      </x:c>
      <x:c r="H1910" s="2" t="str">
        <x:f>IF('Design &amp; Insights'!G538="","",'Design &amp; Insights'!G538)</x:f>
      </x:c>
      <x:c r="I1910" s="12" t="str">
        <x:f>IF('Design &amp; Insights'!H538="","",'Design &amp; Insights'!H538)</x:f>
      </x:c>
      <x:c r="J1910" s="12" t="n">
        <x:f>IF('Design &amp; Insights'!I538="","",'Design &amp; Insights'!I538)</x:f>
        <x:v>46387</x:v>
      </x:c>
      <x:c r="K1910" s="12" t="str">
        <x:f>IF('Design &amp; Insights'!J538="","",'Design &amp; Insights'!J538)</x:f>
      </x:c>
      <x:c r="L1910" s="2" t="str">
        <x:f>IF('Design &amp; Insights'!K538="","",'Design &amp; Insights'!K538)</x:f>
      </x:c>
      <x:c r="M1910" s="2" t="n">
        <x:f>'Design &amp; Insights'!Q538</x:f>
        <x:v>1</x:v>
      </x:c>
      <x:c r="N1910" s="2" t="str">
        <x:f>'Design &amp; Insights'!L538</x:f>
        <x:v>Not started</x:v>
      </x:c>
      <x:c r="O1910" s="2" t="str">
        <x:f>'Design &amp; Insights'!N538</x:f>
        <x:v>DI.PL.2.3.2026.CY4</x:v>
      </x:c>
      <x:c r="P1910" s="2" t="n">
        <x:f>'Design &amp; Insights'!O538</x:f>
        <x:v>0</x:v>
      </x:c>
      <x:c r="Q1910" s="2" t="n">
        <x:f>SUBTOTAL(103,O1910)</x:f>
        <x:v>1</x:v>
      </x:c>
      <x:c r="R1910" s="2" t="n">
        <x:f>IF(AND(M1910=1,OR(Dashboard!$B$7="All",Dashboard!$B$7='Cycles &amp; Guide'!$C$5),OR(Dashboard!$D$7="All",Dashboard!$D$7=B1910),OR(Dashboard!$F$7="All",Dashboard!$F$7=C1910),OR(Dashboard!$H$7="All",Dashboard!$H$7=D1910),OR(Dashboard!$K$7="All",Dashboard!$K$7=E1910)),1,0)</x:f>
        <x:v>1</x:v>
      </x:c>
      <x:c r="S1910" s="2" t="n">
        <x:f>IF(R1910=1,SUM($R$10:R1910),0)</x:f>
        <x:v>1537</x:v>
      </x:c>
      <x:c r="T1910" s="2" t="str">
        <x:v>Design &amp; Insights</x:v>
      </x:c>
      <x:c r="U1910" s="2" t="n">
        <x:v>538</x:v>
      </x:c>
      <x:c r="V1910" s="2" t="n">
        <x:f>IF(AND(M1910=1,P1910=0,ISNUMBER(J1910),J1910&lt;TODAY()),1,0)</x:f>
        <x:v>0</x:v>
      </x:c>
      <x:c r="W1910" s="2" t="str">
        <x:f>'Design &amp; Insights'!M538</x:f>
        <x:v>Task</x:v>
      </x:c>
    </x:row>
    <x:row r="1911" ht="40" customHeight="1">
      <x:c r="A1911" s="3" t="str">
        <x:f>HYPERLINK("#'Design &amp; Insights'!A539","Open")</x:f>
        <x:v>Open</x:v>
      </x:c>
      <x:c r="B1911" s="2" t="str">
        <x:f>'Design &amp; Insights'!B539</x:f>
        <x:v>Cycle 4</x:v>
      </x:c>
      <x:c r="C1911" s="2" t="str">
        <x:f>'Design &amp; Insights'!C539</x:f>
        <x:v>Phase 2</x:v>
      </x:c>
      <x:c r="D1911" s="2" t="str">
        <x:f>'Design &amp; Insights'!D539</x:f>
        <x:v>PLL</x:v>
      </x:c>
      <x:c r="E1911" s="2" t="str">
        <x:v>Design &amp; Insights</x:v>
      </x:c>
      <x:c r="F1911" s="56" t="str">
        <x:f>'Design &amp; Insights'!E539</x:f>
        <x:v>DI.PL.2.4</x:v>
      </x:c>
      <x:c r="G1911" s="14" t="str">
        <x:f>'Design &amp; Insights'!F539</x:f>
        <x:v>Begin development of presentation materials as Research is being completed</x:v>
      </x:c>
      <x:c r="H1911" s="2" t="str">
        <x:f>IF('Design &amp; Insights'!G539="","",'Design &amp; Insights'!G539)</x:f>
      </x:c>
      <x:c r="I1911" s="12" t="str">
        <x:f>IF('Design &amp; Insights'!H539="","",'Design &amp; Insights'!H539)</x:f>
      </x:c>
      <x:c r="J1911" s="12" t="n">
        <x:f>IF('Design &amp; Insights'!I539="","",'Design &amp; Insights'!I539)</x:f>
        <x:v>46387</x:v>
      </x:c>
      <x:c r="K1911" s="12" t="str">
        <x:f>IF('Design &amp; Insights'!J539="","",'Design &amp; Insights'!J539)</x:f>
      </x:c>
      <x:c r="L1911" s="2" t="str">
        <x:f>IF('Design &amp; Insights'!K539="","",'Design &amp; Insights'!K539)</x:f>
      </x:c>
      <x:c r="M1911" s="2" t="n">
        <x:f>'Design &amp; Insights'!Q539</x:f>
        <x:v>1</x:v>
      </x:c>
      <x:c r="N1911" s="2" t="str">
        <x:f>'Design &amp; Insights'!L539</x:f>
        <x:v>Not started</x:v>
      </x:c>
      <x:c r="O1911" s="2" t="str">
        <x:f>'Design &amp; Insights'!N539</x:f>
        <x:v>DI.PL.2.4.2026.CY4</x:v>
      </x:c>
      <x:c r="P1911" s="2" t="n">
        <x:f>'Design &amp; Insights'!O539</x:f>
        <x:v>0</x:v>
      </x:c>
      <x:c r="Q1911" s="2" t="n">
        <x:f>SUBTOTAL(103,O1911)</x:f>
        <x:v>1</x:v>
      </x:c>
      <x:c r="R1911" s="2" t="n">
        <x:f>IF(AND(M1911=1,OR(Dashboard!$B$7="All",Dashboard!$B$7='Cycles &amp; Guide'!$C$5),OR(Dashboard!$D$7="All",Dashboard!$D$7=B1911),OR(Dashboard!$F$7="All",Dashboard!$F$7=C1911),OR(Dashboard!$H$7="All",Dashboard!$H$7=D1911),OR(Dashboard!$K$7="All",Dashboard!$K$7=E1911)),1,0)</x:f>
        <x:v>1</x:v>
      </x:c>
      <x:c r="S1911" s="2" t="n">
        <x:f>IF(R1911=1,SUM($R$10:R1911),0)</x:f>
        <x:v>1538</x:v>
      </x:c>
      <x:c r="T1911" s="2" t="str">
        <x:v>Design &amp; Insights</x:v>
      </x:c>
      <x:c r="U1911" s="2" t="n">
        <x:v>539</x:v>
      </x:c>
      <x:c r="V1911" s="2" t="n">
        <x:f>IF(AND(M1911=1,P1911=0,ISNUMBER(J1911),J1911&lt;TODAY()),1,0)</x:f>
        <x:v>0</x:v>
      </x:c>
      <x:c r="W1911" s="2" t="str">
        <x:f>'Design &amp; Insights'!M539</x:f>
        <x:v>Task</x:v>
      </x:c>
    </x:row>
    <x:row r="1912" ht="40" customHeight="1">
      <x:c r="A1912" s="3" t="str">
        <x:f>HYPERLINK("#'Design &amp; Insights'!A540","Open")</x:f>
        <x:v>Open</x:v>
      </x:c>
      <x:c r="B1912" s="2" t="str">
        <x:f>'Design &amp; Insights'!B540</x:f>
        <x:v>Cycle 4</x:v>
      </x:c>
      <x:c r="C1912" s="2" t="str">
        <x:f>'Design &amp; Insights'!C540</x:f>
        <x:v>Phase 2</x:v>
      </x:c>
      <x:c r="D1912" s="2" t="str">
        <x:f>'Design &amp; Insights'!D540</x:f>
        <x:v>PLL</x:v>
      </x:c>
      <x:c r="E1912" s="2" t="str">
        <x:v>Design &amp; Insights</x:v>
      </x:c>
      <x:c r="F1912" s="56" t="str">
        <x:f>'Design &amp; Insights'!E540</x:f>
        <x:v>DI.PL.2.5</x:v>
      </x:c>
      <x:c r="G1912" s="14" t="str">
        <x:f>'Design &amp; Insights'!F540</x:f>
        <x:v>Draft initial enhancement recommendations (as applicable)</x:v>
      </x:c>
      <x:c r="H1912" s="2" t="str">
        <x:f>IF('Design &amp; Insights'!G540="","",'Design &amp; Insights'!G540)</x:f>
      </x:c>
      <x:c r="I1912" s="12" t="str">
        <x:f>IF('Design &amp; Insights'!H540="","",'Design &amp; Insights'!H540)</x:f>
      </x:c>
      <x:c r="J1912" s="12" t="n">
        <x:f>IF('Design &amp; Insights'!I540="","",'Design &amp; Insights'!I540)</x:f>
        <x:v>46387</x:v>
      </x:c>
      <x:c r="K1912" s="12" t="str">
        <x:f>IF('Design &amp; Insights'!J540="","",'Design &amp; Insights'!J540)</x:f>
      </x:c>
      <x:c r="L1912" s="2" t="str">
        <x:f>IF('Design &amp; Insights'!K540="","",'Design &amp; Insights'!K540)</x:f>
      </x:c>
      <x:c r="M1912" s="2" t="n">
        <x:f>'Design &amp; Insights'!Q540</x:f>
        <x:v>1</x:v>
      </x:c>
      <x:c r="N1912" s="2" t="str">
        <x:f>'Design &amp; Insights'!L540</x:f>
        <x:v>Not started</x:v>
      </x:c>
      <x:c r="O1912" s="2" t="str">
        <x:f>'Design &amp; Insights'!N540</x:f>
        <x:v>DI.PL.2.5.2026.CY4</x:v>
      </x:c>
      <x:c r="P1912" s="2" t="n">
        <x:f>'Design &amp; Insights'!O540</x:f>
        <x:v>0</x:v>
      </x:c>
      <x:c r="Q1912" s="2" t="n">
        <x:f>SUBTOTAL(103,O1912)</x:f>
        <x:v>1</x:v>
      </x:c>
      <x:c r="R1912" s="2" t="n">
        <x:f>IF(AND(M1912=1,OR(Dashboard!$B$7="All",Dashboard!$B$7='Cycles &amp; Guide'!$C$5),OR(Dashboard!$D$7="All",Dashboard!$D$7=B1912),OR(Dashboard!$F$7="All",Dashboard!$F$7=C1912),OR(Dashboard!$H$7="All",Dashboard!$H$7=D1912),OR(Dashboard!$K$7="All",Dashboard!$K$7=E1912)),1,0)</x:f>
        <x:v>1</x:v>
      </x:c>
      <x:c r="S1912" s="2" t="n">
        <x:f>IF(R1912=1,SUM($R$10:R1912),0)</x:f>
        <x:v>1539</x:v>
      </x:c>
      <x:c r="T1912" s="2" t="str">
        <x:v>Design &amp; Insights</x:v>
      </x:c>
      <x:c r="U1912" s="2" t="n">
        <x:v>540</x:v>
      </x:c>
      <x:c r="V1912" s="2" t="n">
        <x:f>IF(AND(M1912=1,P1912=0,ISNUMBER(J1912),J1912&lt;TODAY()),1,0)</x:f>
        <x:v>0</x:v>
      </x:c>
      <x:c r="W1912" s="2" t="str">
        <x:f>'Design &amp; Insights'!M540</x:f>
        <x:v>Task</x:v>
      </x:c>
    </x:row>
    <x:row r="1913" ht="40" customHeight="1">
      <x:c r="A1913" s="3" t="str">
        <x:f>HYPERLINK("#'Design &amp; Insights'!A541","Open")</x:f>
        <x:v>Open</x:v>
      </x:c>
      <x:c r="B1913" s="2" t="str">
        <x:f>'Design &amp; Insights'!B541</x:f>
        <x:v>Cycle 4</x:v>
      </x:c>
      <x:c r="C1913" s="2" t="str">
        <x:f>'Design &amp; Insights'!C541</x:f>
        <x:v>Phase 2</x:v>
      </x:c>
      <x:c r="D1913" s="2" t="str">
        <x:f>'Design &amp; Insights'!D541</x:f>
        <x:v>PLL</x:v>
      </x:c>
      <x:c r="E1913" s="2" t="str">
        <x:v>Design &amp; Insights</x:v>
      </x:c>
      <x:c r="F1913" s="56" t="str">
        <x:f>'Design &amp; Insights'!E541</x:f>
        <x:v>DI.PL.2.6</x:v>
      </x:c>
      <x:c r="G1913" s="14" t="str">
        <x:f>'Design &amp; Insights'!F541</x:f>
        <x:v>Finalize presentation deck draft at conclusion of Research phase</x:v>
      </x:c>
      <x:c r="H1913" s="2" t="str">
        <x:f>IF('Design &amp; Insights'!G541="","",'Design &amp; Insights'!G541)</x:f>
      </x:c>
      <x:c r="I1913" s="12" t="str">
        <x:f>IF('Design &amp; Insights'!H541="","",'Design &amp; Insights'!H541)</x:f>
      </x:c>
      <x:c r="J1913" s="12" t="n">
        <x:f>IF('Design &amp; Insights'!I541="","",'Design &amp; Insights'!I541)</x:f>
        <x:v>46387</x:v>
      </x:c>
      <x:c r="K1913" s="12" t="str">
        <x:f>IF('Design &amp; Insights'!J541="","",'Design &amp; Insights'!J541)</x:f>
      </x:c>
      <x:c r="L1913" s="2" t="str">
        <x:f>IF('Design &amp; Insights'!K541="","",'Design &amp; Insights'!K541)</x:f>
      </x:c>
      <x:c r="M1913" s="2" t="n">
        <x:f>'Design &amp; Insights'!Q541</x:f>
        <x:v>1</x:v>
      </x:c>
      <x:c r="N1913" s="2" t="str">
        <x:f>'Design &amp; Insights'!L541</x:f>
        <x:v>Not started</x:v>
      </x:c>
      <x:c r="O1913" s="2" t="str">
        <x:f>'Design &amp; Insights'!N541</x:f>
        <x:v>DI.PL.2.6.2026.CY4</x:v>
      </x:c>
      <x:c r="P1913" s="2" t="n">
        <x:f>'Design &amp; Insights'!O541</x:f>
        <x:v>0</x:v>
      </x:c>
      <x:c r="Q1913" s="2" t="n">
        <x:f>SUBTOTAL(103,O1913)</x:f>
        <x:v>1</x:v>
      </x:c>
      <x:c r="R1913" s="2" t="n">
        <x:f>IF(AND(M1913=1,OR(Dashboard!$B$7="All",Dashboard!$B$7='Cycles &amp; Guide'!$C$5),OR(Dashboard!$D$7="All",Dashboard!$D$7=B1913),OR(Dashboard!$F$7="All",Dashboard!$F$7=C1913),OR(Dashboard!$H$7="All",Dashboard!$H$7=D1913),OR(Dashboard!$K$7="All",Dashboard!$K$7=E1913)),1,0)</x:f>
        <x:v>1</x:v>
      </x:c>
      <x:c r="S1913" s="2" t="n">
        <x:f>IF(R1913=1,SUM($R$10:R1913),0)</x:f>
        <x:v>1540</x:v>
      </x:c>
      <x:c r="T1913" s="2" t="str">
        <x:v>Design &amp; Insights</x:v>
      </x:c>
      <x:c r="U1913" s="2" t="n">
        <x:v>541</x:v>
      </x:c>
      <x:c r="V1913" s="2" t="n">
        <x:f>IF(AND(M1913=1,P1913=0,ISNUMBER(J1913),J1913&lt;TODAY()),1,0)</x:f>
        <x:v>0</x:v>
      </x:c>
      <x:c r="W1913" s="2" t="str">
        <x:f>'Design &amp; Insights'!M541</x:f>
        <x:v>Task</x:v>
      </x:c>
    </x:row>
    <x:row r="1914" ht="40" customHeight="1">
      <x:c r="A1914" s="3" t="str">
        <x:f>HYPERLINK("#'Design &amp; Insights'!A542","Open")</x:f>
        <x:v>Open</x:v>
      </x:c>
      <x:c r="B1914" s="2" t="str">
        <x:f>'Design &amp; Insights'!B542</x:f>
        <x:v>Cycle 4</x:v>
      </x:c>
      <x:c r="C1914" s="2" t="str">
        <x:f>'Design &amp; Insights'!C542</x:f>
        <x:v>Phase 2</x:v>
      </x:c>
      <x:c r="D1914" s="2" t="str">
        <x:f>'Design &amp; Insights'!D542</x:f>
        <x:v>PLL</x:v>
      </x:c>
      <x:c r="E1914" s="2" t="str">
        <x:v>Design &amp; Insights</x:v>
      </x:c>
      <x:c r="F1914" s="56" t="str">
        <x:f>'Design &amp; Insights'!E542</x:f>
        <x:v>DI.PL.2.7</x:v>
      </x:c>
      <x:c r="G1914" s="14" t="str">
        <x:f>'Design &amp; Insights'!F542</x:f>
        <x:v>Update Outcome portion of research plan with current enhancement verbiage (as needed)</x:v>
      </x:c>
      <x:c r="H1914" s="2" t="str">
        <x:f>IF('Design &amp; Insights'!G542="","",'Design &amp; Insights'!G542)</x:f>
      </x:c>
      <x:c r="I1914" s="12" t="str">
        <x:f>IF('Design &amp; Insights'!H542="","",'Design &amp; Insights'!H542)</x:f>
      </x:c>
      <x:c r="J1914" s="12" t="n">
        <x:f>IF('Design &amp; Insights'!I542="","",'Design &amp; Insights'!I542)</x:f>
        <x:v>46387</x:v>
      </x:c>
      <x:c r="K1914" s="12" t="str">
        <x:f>IF('Design &amp; Insights'!J542="","",'Design &amp; Insights'!J542)</x:f>
      </x:c>
      <x:c r="L1914" s="2" t="str">
        <x:f>IF('Design &amp; Insights'!K542="","",'Design &amp; Insights'!K542)</x:f>
      </x:c>
      <x:c r="M1914" s="2" t="n">
        <x:f>'Design &amp; Insights'!Q542</x:f>
        <x:v>1</x:v>
      </x:c>
      <x:c r="N1914" s="2" t="str">
        <x:f>'Design &amp; Insights'!L542</x:f>
        <x:v>Not started</x:v>
      </x:c>
      <x:c r="O1914" s="2" t="str">
        <x:f>'Design &amp; Insights'!N542</x:f>
        <x:v>DI.PL.2.7.2026.CY4</x:v>
      </x:c>
      <x:c r="P1914" s="2" t="n">
        <x:f>'Design &amp; Insights'!O542</x:f>
        <x:v>0</x:v>
      </x:c>
      <x:c r="Q1914" s="2" t="n">
        <x:f>SUBTOTAL(103,O1914)</x:f>
        <x:v>1</x:v>
      </x:c>
      <x:c r="R1914" s="2" t="n">
        <x:f>IF(AND(M1914=1,OR(Dashboard!$B$7="All",Dashboard!$B$7='Cycles &amp; Guide'!$C$5),OR(Dashboard!$D$7="All",Dashboard!$D$7=B1914),OR(Dashboard!$F$7="All",Dashboard!$F$7=C1914),OR(Dashboard!$H$7="All",Dashboard!$H$7=D1914),OR(Dashboard!$K$7="All",Dashboard!$K$7=E1914)),1,0)</x:f>
        <x:v>1</x:v>
      </x:c>
      <x:c r="S1914" s="2" t="n">
        <x:f>IF(R1914=1,SUM($R$10:R1914),0)</x:f>
        <x:v>1541</x:v>
      </x:c>
      <x:c r="T1914" s="2" t="str">
        <x:v>Design &amp; Insights</x:v>
      </x:c>
      <x:c r="U1914" s="2" t="n">
        <x:v>542</x:v>
      </x:c>
      <x:c r="V1914" s="2" t="n">
        <x:f>IF(AND(M1914=1,P1914=0,ISNUMBER(J1914),J1914&lt;TODAY()),1,0)</x:f>
        <x:v>0</x:v>
      </x:c>
      <x:c r="W1914" s="2" t="str">
        <x:f>'Design &amp; Insights'!M542</x:f>
        <x:v>Task</x:v>
      </x:c>
    </x:row>
    <x:row r="1915" ht="40" customHeight="1">
      <x:c r="A1915" s="3" t="str">
        <x:f>HYPERLINK("#'Design &amp; Insights'!A543","Open")</x:f>
        <x:v>Open</x:v>
      </x:c>
      <x:c r="B1915" s="2" t="str">
        <x:f>'Design &amp; Insights'!B543</x:f>
        <x:v>Cycle 4</x:v>
      </x:c>
      <x:c r="C1915" s="2" t="str">
        <x:f>'Design &amp; Insights'!C543</x:f>
        <x:v>Phase 3</x:v>
      </x:c>
      <x:c r="D1915" s="2" t="str">
        <x:f>'Design &amp; Insights'!D543</x:f>
        <x:v>PLL</x:v>
      </x:c>
      <x:c r="E1915" s="2" t="str">
        <x:v>Design &amp; Insights</x:v>
      </x:c>
      <x:c r="F1915" s="56" t="str">
        <x:f>'Design &amp; Insights'!E543</x:f>
        <x:v>DI.PL.3.1</x:v>
      </x:c>
      <x:c r="G1915" s="14" t="str">
        <x:f>'Design &amp; Insights'!F543</x:f>
        <x:v>Confirm list of required &amp; optional attendees for pre-socialization meeting</x:v>
      </x:c>
      <x:c r="H1915" s="2" t="str">
        <x:f>IF('Design &amp; Insights'!G543="","",'Design &amp; Insights'!G543)</x:f>
      </x:c>
      <x:c r="I1915" s="12" t="str">
        <x:f>IF('Design &amp; Insights'!H543="","",'Design &amp; Insights'!H543)</x:f>
      </x:c>
      <x:c r="J1915" s="12" t="n">
        <x:f>IF('Design &amp; Insights'!I543="","",'Design &amp; Insights'!I543)</x:f>
        <x:v>46387</x:v>
      </x:c>
      <x:c r="K1915" s="12" t="str">
        <x:f>IF('Design &amp; Insights'!J543="","",'Design &amp; Insights'!J543)</x:f>
      </x:c>
      <x:c r="L1915" s="2" t="str">
        <x:f>IF('Design &amp; Insights'!K543="","",'Design &amp; Insights'!K543)</x:f>
      </x:c>
      <x:c r="M1915" s="2" t="n">
        <x:f>'Design &amp; Insights'!Q543</x:f>
        <x:v>1</x:v>
      </x:c>
      <x:c r="N1915" s="2" t="str">
        <x:f>'Design &amp; Insights'!L543</x:f>
        <x:v>Not started</x:v>
      </x:c>
      <x:c r="O1915" s="2" t="str">
        <x:f>'Design &amp; Insights'!N543</x:f>
        <x:v>DI.PL.3.1.2026.CY4</x:v>
      </x:c>
      <x:c r="P1915" s="2" t="n">
        <x:f>'Design &amp; Insights'!O543</x:f>
        <x:v>0</x:v>
      </x:c>
      <x:c r="Q1915" s="2" t="n">
        <x:f>SUBTOTAL(103,O1915)</x:f>
        <x:v>1</x:v>
      </x:c>
      <x:c r="R1915" s="2" t="n">
        <x:f>IF(AND(M1915=1,OR(Dashboard!$B$7="All",Dashboard!$B$7='Cycles &amp; Guide'!$C$5),OR(Dashboard!$D$7="All",Dashboard!$D$7=B1915),OR(Dashboard!$F$7="All",Dashboard!$F$7=C1915),OR(Dashboard!$H$7="All",Dashboard!$H$7=D1915),OR(Dashboard!$K$7="All",Dashboard!$K$7=E1915)),1,0)</x:f>
        <x:v>1</x:v>
      </x:c>
      <x:c r="S1915" s="2" t="n">
        <x:f>IF(R1915=1,SUM($R$10:R1915),0)</x:f>
        <x:v>1542</x:v>
      </x:c>
      <x:c r="T1915" s="2" t="str">
        <x:v>Design &amp; Insights</x:v>
      </x:c>
      <x:c r="U1915" s="2" t="n">
        <x:v>543</x:v>
      </x:c>
      <x:c r="V1915" s="2" t="n">
        <x:f>IF(AND(M1915=1,P1915=0,ISNUMBER(J1915),J1915&lt;TODAY()),1,0)</x:f>
        <x:v>0</x:v>
      </x:c>
      <x:c r="W1915" s="2" t="str">
        <x:f>'Design &amp; Insights'!M543</x:f>
        <x:v>Task</x:v>
      </x:c>
    </x:row>
    <x:row r="1916" ht="40" customHeight="1">
      <x:c r="A1916" s="3" t="str">
        <x:f>HYPERLINK("#'Design &amp; Insights'!A544","Open")</x:f>
        <x:v>Open</x:v>
      </x:c>
      <x:c r="B1916" s="2" t="str">
        <x:f>'Design &amp; Insights'!B544</x:f>
        <x:v>Cycle 4</x:v>
      </x:c>
      <x:c r="C1916" s="2" t="str">
        <x:f>'Design &amp; Insights'!C544</x:f>
        <x:v>Phase 3</x:v>
      </x:c>
      <x:c r="D1916" s="2" t="str">
        <x:f>'Design &amp; Insights'!D544</x:f>
        <x:v>PLL</x:v>
      </x:c>
      <x:c r="E1916" s="2" t="str">
        <x:v>Design &amp; Insights</x:v>
      </x:c>
      <x:c r="F1916" s="56" t="str">
        <x:f>'Design &amp; Insights'!E544</x:f>
        <x:v>DI.PL.3.2</x:v>
      </x:c>
      <x:c r="G1916" s="14" t="str">
        <x:f>'Design &amp; Insights'!F544</x:f>
        <x:v>Schedule pre-socialization meeting 1 week prior to RCA Forum</x:v>
      </x:c>
      <x:c r="H1916" s="2" t="str">
        <x:f>IF('Design &amp; Insights'!G544="","",'Design &amp; Insights'!G544)</x:f>
      </x:c>
      <x:c r="I1916" s="12" t="str">
        <x:f>IF('Design &amp; Insights'!H544="","",'Design &amp; Insights'!H544)</x:f>
      </x:c>
      <x:c r="J1916" s="12" t="str">
        <x:f>IF('Design &amp; Insights'!I544="","",'Design &amp; Insights'!I544)</x:f>
      </x:c>
      <x:c r="K1916" s="12" t="str">
        <x:f>IF('Design &amp; Insights'!J544="","",'Design &amp; Insights'!J544)</x:f>
      </x:c>
      <x:c r="L1916" s="2" t="str">
        <x:f>IF('Design &amp; Insights'!K544="","",'Design &amp; Insights'!K544)</x:f>
      </x:c>
      <x:c r="M1916" s="2" t="n">
        <x:f>'Design &amp; Insights'!Q544</x:f>
        <x:v>1</x:v>
      </x:c>
      <x:c r="N1916" s="2" t="str">
        <x:f>'Design &amp; Insights'!L544</x:f>
        <x:v>Not started</x:v>
      </x:c>
      <x:c r="O1916" s="2" t="str">
        <x:f>'Design &amp; Insights'!N544</x:f>
        <x:v>DI.PL.3.2.2026.CY4</x:v>
      </x:c>
      <x:c r="P1916" s="2" t="n">
        <x:f>'Design &amp; Insights'!O544</x:f>
        <x:v>0</x:v>
      </x:c>
      <x:c r="Q1916" s="2" t="n">
        <x:f>SUBTOTAL(103,O1916)</x:f>
        <x:v>1</x:v>
      </x:c>
      <x:c r="R1916" s="2" t="n">
        <x:f>IF(AND(M1916=1,OR(Dashboard!$B$7="All",Dashboard!$B$7='Cycles &amp; Guide'!$C$5),OR(Dashboard!$D$7="All",Dashboard!$D$7=B1916),OR(Dashboard!$F$7="All",Dashboard!$F$7=C1916),OR(Dashboard!$H$7="All",Dashboard!$H$7=D1916),OR(Dashboard!$K$7="All",Dashboard!$K$7=E1916)),1,0)</x:f>
        <x:v>1</x:v>
      </x:c>
      <x:c r="S1916" s="2" t="n">
        <x:f>IF(R1916=1,SUM($R$10:R1916),0)</x:f>
        <x:v>1543</x:v>
      </x:c>
      <x:c r="T1916" s="2" t="str">
        <x:v>Design &amp; Insights</x:v>
      </x:c>
      <x:c r="U1916" s="2" t="n">
        <x:v>544</x:v>
      </x:c>
      <x:c r="V1916" s="2" t="n">
        <x:f>IF(AND(M1916=1,P1916=0,ISNUMBER(J1916),J1916&lt;TODAY()),1,0)</x:f>
        <x:v>0</x:v>
      </x:c>
      <x:c r="W1916" s="2" t="str">
        <x:f>'Design &amp; Insights'!M544</x:f>
        <x:v>Task</x:v>
      </x:c>
    </x:row>
    <x:row r="1917" ht="40" customHeight="1">
      <x:c r="A1917" s="3" t="str">
        <x:f>HYPERLINK("#'Design &amp; Insights'!A545","Open")</x:f>
        <x:v>Open</x:v>
      </x:c>
      <x:c r="B1917" s="2" t="str">
        <x:f>'Design &amp; Insights'!B545</x:f>
        <x:v>Cycle 4</x:v>
      </x:c>
      <x:c r="C1917" s="2" t="str">
        <x:f>'Design &amp; Insights'!C545</x:f>
        <x:v>Phase 3</x:v>
      </x:c>
      <x:c r="D1917" s="2" t="str">
        <x:f>'Design &amp; Insights'!D545</x:f>
        <x:v>PLL</x:v>
      </x:c>
      <x:c r="E1917" s="2" t="str">
        <x:v>Design &amp; Insights</x:v>
      </x:c>
      <x:c r="F1917" s="56" t="str">
        <x:f>'Design &amp; Insights'!E545</x:f>
        <x:v>DI.PL.3.3</x:v>
      </x:c>
      <x:c r="G1917" s="14" t="str">
        <x:f>'Design &amp; Insights'!F545</x:f>
        <x:v>Present findings, conclusions, and recommendation to SMEs</x:v>
      </x:c>
      <x:c r="H1917" s="2" t="str">
        <x:f>IF('Design &amp; Insights'!G545="","",'Design &amp; Insights'!G545)</x:f>
      </x:c>
      <x:c r="I1917" s="12" t="str">
        <x:f>IF('Design &amp; Insights'!H545="","",'Design &amp; Insights'!H545)</x:f>
      </x:c>
      <x:c r="J1917" s="12" t="n">
        <x:f>IF('Design &amp; Insights'!I545="","",'Design &amp; Insights'!I545)</x:f>
        <x:v>46387</x:v>
      </x:c>
      <x:c r="K1917" s="12" t="str">
        <x:f>IF('Design &amp; Insights'!J545="","",'Design &amp; Insights'!J545)</x:f>
      </x:c>
      <x:c r="L1917" s="2" t="str">
        <x:f>IF('Design &amp; Insights'!K545="","",'Design &amp; Insights'!K545)</x:f>
      </x:c>
      <x:c r="M1917" s="2" t="n">
        <x:f>'Design &amp; Insights'!Q545</x:f>
        <x:v>1</x:v>
      </x:c>
      <x:c r="N1917" s="2" t="str">
        <x:f>'Design &amp; Insights'!L545</x:f>
        <x:v>Not started</x:v>
      </x:c>
      <x:c r="O1917" s="2" t="str">
        <x:f>'Design &amp; Insights'!N545</x:f>
        <x:v>DI.PL.3.3.2026.CY4</x:v>
      </x:c>
      <x:c r="P1917" s="2" t="n">
        <x:f>'Design &amp; Insights'!O545</x:f>
        <x:v>0</x:v>
      </x:c>
      <x:c r="Q1917" s="2" t="n">
        <x:f>SUBTOTAL(103,O1917)</x:f>
        <x:v>1</x:v>
      </x:c>
      <x:c r="R1917" s="2" t="n">
        <x:f>IF(AND(M1917=1,OR(Dashboard!$B$7="All",Dashboard!$B$7='Cycles &amp; Guide'!$C$5),OR(Dashboard!$D$7="All",Dashboard!$D$7=B1917),OR(Dashboard!$F$7="All",Dashboard!$F$7=C1917),OR(Dashboard!$H$7="All",Dashboard!$H$7=D1917),OR(Dashboard!$K$7="All",Dashboard!$K$7=E1917)),1,0)</x:f>
        <x:v>1</x:v>
      </x:c>
      <x:c r="S1917" s="2" t="n">
        <x:f>IF(R1917=1,SUM($R$10:R1917),0)</x:f>
        <x:v>1544</x:v>
      </x:c>
      <x:c r="T1917" s="2" t="str">
        <x:v>Design &amp; Insights</x:v>
      </x:c>
      <x:c r="U1917" s="2" t="n">
        <x:v>545</x:v>
      </x:c>
      <x:c r="V1917" s="2" t="n">
        <x:f>IF(AND(M1917=1,P1917=0,ISNUMBER(J1917),J1917&lt;TODAY()),1,0)</x:f>
        <x:v>0</x:v>
      </x:c>
      <x:c r="W1917" s="2" t="str">
        <x:f>'Design &amp; Insights'!M545</x:f>
        <x:v>Task</x:v>
      </x:c>
    </x:row>
    <x:row r="1918" ht="40" customHeight="1">
      <x:c r="A1918" s="3" t="str">
        <x:f>HYPERLINK("#'Design &amp; Insights'!A546","Open")</x:f>
        <x:v>Open</x:v>
      </x:c>
      <x:c r="B1918" s="2" t="str">
        <x:f>'Design &amp; Insights'!B546</x:f>
        <x:v>Cycle 4</x:v>
      </x:c>
      <x:c r="C1918" s="2" t="str">
        <x:f>'Design &amp; Insights'!C546</x:f>
        <x:v>Phase 3</x:v>
      </x:c>
      <x:c r="D1918" s="2" t="str">
        <x:f>'Design &amp; Insights'!D546</x:f>
        <x:v>PLL</x:v>
      </x:c>
      <x:c r="E1918" s="2" t="str">
        <x:v>Design &amp; Insights</x:v>
      </x:c>
      <x:c r="F1918" s="56" t="str">
        <x:f>'Design &amp; Insights'!E546</x:f>
        <x:v>DI.PL.3.4</x:v>
      </x:c>
      <x:c r="G1918" s="14" t="str">
        <x:f>'Design &amp; Insights'!F546</x:f>
        <x:v>Update Outcome portion of research plan (as needed)</x:v>
      </x:c>
      <x:c r="H1918" s="2" t="str">
        <x:f>IF('Design &amp; Insights'!G546="","",'Design &amp; Insights'!G546)</x:f>
      </x:c>
      <x:c r="I1918" s="12" t="str">
        <x:f>IF('Design &amp; Insights'!H546="","",'Design &amp; Insights'!H546)</x:f>
      </x:c>
      <x:c r="J1918" s="12" t="n">
        <x:f>IF('Design &amp; Insights'!I546="","",'Design &amp; Insights'!I546)</x:f>
        <x:v>46387</x:v>
      </x:c>
      <x:c r="K1918" s="12" t="str">
        <x:f>IF('Design &amp; Insights'!J546="","",'Design &amp; Insights'!J546)</x:f>
      </x:c>
      <x:c r="L1918" s="2" t="str">
        <x:f>IF('Design &amp; Insights'!K546="","",'Design &amp; Insights'!K546)</x:f>
      </x:c>
      <x:c r="M1918" s="2" t="n">
        <x:f>'Design &amp; Insights'!Q546</x:f>
        <x:v>1</x:v>
      </x:c>
      <x:c r="N1918" s="2" t="str">
        <x:f>'Design &amp; Insights'!L546</x:f>
        <x:v>Not started</x:v>
      </x:c>
      <x:c r="O1918" s="2" t="str">
        <x:f>'Design &amp; Insights'!N546</x:f>
        <x:v>DI.PL.3.4.2026.CY4</x:v>
      </x:c>
      <x:c r="P1918" s="2" t="n">
        <x:f>'Design &amp; Insights'!O546</x:f>
        <x:v>0</x:v>
      </x:c>
      <x:c r="Q1918" s="2" t="n">
        <x:f>SUBTOTAL(103,O1918)</x:f>
        <x:v>1</x:v>
      </x:c>
      <x:c r="R1918" s="2" t="n">
        <x:f>IF(AND(M1918=1,OR(Dashboard!$B$7="All",Dashboard!$B$7='Cycles &amp; Guide'!$C$5),OR(Dashboard!$D$7="All",Dashboard!$D$7=B1918),OR(Dashboard!$F$7="All",Dashboard!$F$7=C1918),OR(Dashboard!$H$7="All",Dashboard!$H$7=D1918),OR(Dashboard!$K$7="All",Dashboard!$K$7=E1918)),1,0)</x:f>
        <x:v>1</x:v>
      </x:c>
      <x:c r="S1918" s="2" t="n">
        <x:f>IF(R1918=1,SUM($R$10:R1918),0)</x:f>
        <x:v>1545</x:v>
      </x:c>
      <x:c r="T1918" s="2" t="str">
        <x:v>Design &amp; Insights</x:v>
      </x:c>
      <x:c r="U1918" s="2" t="n">
        <x:v>546</x:v>
      </x:c>
      <x:c r="V1918" s="2" t="n">
        <x:f>IF(AND(M1918=1,P1918=0,ISNUMBER(J1918),J1918&lt;TODAY()),1,0)</x:f>
        <x:v>0</x:v>
      </x:c>
      <x:c r="W1918" s="2" t="str">
        <x:f>'Design &amp; Insights'!M546</x:f>
        <x:v>Task</x:v>
      </x:c>
    </x:row>
    <x:row r="1919" ht="40" customHeight="1">
      <x:c r="A1919" s="3" t="str">
        <x:f>HYPERLINK("#'Design &amp; Insights'!A547","Open")</x:f>
        <x:v>Open</x:v>
      </x:c>
      <x:c r="B1919" s="2" t="str">
        <x:f>'Design &amp; Insights'!B547</x:f>
        <x:v>Cycle 4</x:v>
      </x:c>
      <x:c r="C1919" s="2" t="str">
        <x:f>'Design &amp; Insights'!C547</x:f>
        <x:v>Phase 3</x:v>
      </x:c>
      <x:c r="D1919" s="2" t="str">
        <x:f>'Design &amp; Insights'!D547</x:f>
        <x:v>PLL</x:v>
      </x:c>
      <x:c r="E1919" s="2" t="str">
        <x:v>Design &amp; Insights</x:v>
      </x:c>
      <x:c r="F1919" s="56" t="str">
        <x:f>'Design &amp; Insights'!E547</x:f>
        <x:v>DI.PL.3.5</x:v>
      </x:c>
      <x:c r="G1919" s="14" t="str">
        <x:f>'Design &amp; Insights'!F547</x:f>
        <x:v>Finalize presentation deck by incorporating pre-socialization feedback (as needed)</x:v>
      </x:c>
      <x:c r="H1919" s="2" t="str">
        <x:f>IF('Design &amp; Insights'!G547="","",'Design &amp; Insights'!G547)</x:f>
      </x:c>
      <x:c r="I1919" s="12" t="str">
        <x:f>IF('Design &amp; Insights'!H547="","",'Design &amp; Insights'!H547)</x:f>
      </x:c>
      <x:c r="J1919" s="12" t="n">
        <x:f>IF('Design &amp; Insights'!I547="","",'Design &amp; Insights'!I547)</x:f>
        <x:v>46387</x:v>
      </x:c>
      <x:c r="K1919" s="12" t="str">
        <x:f>IF('Design &amp; Insights'!J547="","",'Design &amp; Insights'!J547)</x:f>
      </x:c>
      <x:c r="L1919" s="2" t="str">
        <x:f>IF('Design &amp; Insights'!K547="","",'Design &amp; Insights'!K547)</x:f>
      </x:c>
      <x:c r="M1919" s="2" t="n">
        <x:f>'Design &amp; Insights'!Q547</x:f>
        <x:v>1</x:v>
      </x:c>
      <x:c r="N1919" s="2" t="str">
        <x:f>'Design &amp; Insights'!L547</x:f>
        <x:v>Not started</x:v>
      </x:c>
      <x:c r="O1919" s="2" t="str">
        <x:f>'Design &amp; Insights'!N547</x:f>
        <x:v>DI.PL.3.5.2026.CY4</x:v>
      </x:c>
      <x:c r="P1919" s="2" t="n">
        <x:f>'Design &amp; Insights'!O547</x:f>
        <x:v>0</x:v>
      </x:c>
      <x:c r="Q1919" s="2" t="n">
        <x:f>SUBTOTAL(103,O1919)</x:f>
        <x:v>1</x:v>
      </x:c>
      <x:c r="R1919" s="2" t="n">
        <x:f>IF(AND(M1919=1,OR(Dashboard!$B$7="All",Dashboard!$B$7='Cycles &amp; Guide'!$C$5),OR(Dashboard!$D$7="All",Dashboard!$D$7=B1919),OR(Dashboard!$F$7="All",Dashboard!$F$7=C1919),OR(Dashboard!$H$7="All",Dashboard!$H$7=D1919),OR(Dashboard!$K$7="All",Dashboard!$K$7=E1919)),1,0)</x:f>
        <x:v>1</x:v>
      </x:c>
      <x:c r="S1919" s="2" t="n">
        <x:f>IF(R1919=1,SUM($R$10:R1919),0)</x:f>
        <x:v>1546</x:v>
      </x:c>
      <x:c r="T1919" s="2" t="str">
        <x:v>Design &amp; Insights</x:v>
      </x:c>
      <x:c r="U1919" s="2" t="n">
        <x:v>547</x:v>
      </x:c>
      <x:c r="V1919" s="2" t="n">
        <x:f>IF(AND(M1919=1,P1919=0,ISNUMBER(J1919),J1919&lt;TODAY()),1,0)</x:f>
        <x:v>0</x:v>
      </x:c>
      <x:c r="W1919" s="2" t="str">
        <x:f>'Design &amp; Insights'!M547</x:f>
        <x:v>Task</x:v>
      </x:c>
    </x:row>
    <x:row r="1920" ht="40" customHeight="1">
      <x:c r="A1920" s="3" t="str">
        <x:f>HYPERLINK("#'Design &amp; Insights'!A548","Open")</x:f>
        <x:v>Open</x:v>
      </x:c>
      <x:c r="B1920" s="2" t="str">
        <x:f>'Design &amp; Insights'!B548</x:f>
        <x:v>Cycle 4</x:v>
      </x:c>
      <x:c r="C1920" s="2" t="str">
        <x:f>'Design &amp; Insights'!C548</x:f>
        <x:v>Phase 3</x:v>
      </x:c>
      <x:c r="D1920" s="2" t="str">
        <x:f>'Design &amp; Insights'!D548</x:f>
        <x:v>PLL</x:v>
      </x:c>
      <x:c r="E1920" s="2" t="str">
        <x:v>Design &amp; Insights</x:v>
      </x:c>
      <x:c r="F1920" s="56" t="str">
        <x:f>'Design &amp; Insights'!E548</x:f>
        <x:v>DI.PL.3.6</x:v>
      </x:c>
      <x:c r="G1920" s="14" t="str">
        <x:f>'Design &amp; Insights'!F548</x:f>
        <x:v>Ensure final deck is communicated to Forum attendees</x:v>
      </x:c>
      <x:c r="H1920" s="2" t="str">
        <x:f>IF('Design &amp; Insights'!G548="","",'Design &amp; Insights'!G548)</x:f>
      </x:c>
      <x:c r="I1920" s="12" t="str">
        <x:f>IF('Design &amp; Insights'!H548="","",'Design &amp; Insights'!H548)</x:f>
      </x:c>
      <x:c r="J1920" s="12" t="n">
        <x:f>IF('Design &amp; Insights'!I548="","",'Design &amp; Insights'!I548)</x:f>
        <x:v>46387</x:v>
      </x:c>
      <x:c r="K1920" s="12" t="str">
        <x:f>IF('Design &amp; Insights'!J548="","",'Design &amp; Insights'!J548)</x:f>
      </x:c>
      <x:c r="L1920" s="2" t="str">
        <x:f>IF('Design &amp; Insights'!K548="","",'Design &amp; Insights'!K548)</x:f>
      </x:c>
      <x:c r="M1920" s="2" t="n">
        <x:f>'Design &amp; Insights'!Q548</x:f>
        <x:v>1</x:v>
      </x:c>
      <x:c r="N1920" s="2" t="str">
        <x:f>'Design &amp; Insights'!L548</x:f>
        <x:v>Not started</x:v>
      </x:c>
      <x:c r="O1920" s="2" t="str">
        <x:f>'Design &amp; Insights'!N548</x:f>
        <x:v>DI.PL.3.6.2026.CY4</x:v>
      </x:c>
      <x:c r="P1920" s="2" t="n">
        <x:f>'Design &amp; Insights'!O548</x:f>
        <x:v>0</x:v>
      </x:c>
      <x:c r="Q1920" s="2" t="n">
        <x:f>SUBTOTAL(103,O1920)</x:f>
        <x:v>1</x:v>
      </x:c>
      <x:c r="R1920" s="2" t="n">
        <x:f>IF(AND(M1920=1,OR(Dashboard!$B$7="All",Dashboard!$B$7='Cycles &amp; Guide'!$C$5),OR(Dashboard!$D$7="All",Dashboard!$D$7=B1920),OR(Dashboard!$F$7="All",Dashboard!$F$7=C1920),OR(Dashboard!$H$7="All",Dashboard!$H$7=D1920),OR(Dashboard!$K$7="All",Dashboard!$K$7=E1920)),1,0)</x:f>
        <x:v>1</x:v>
      </x:c>
      <x:c r="S1920" s="2" t="n">
        <x:f>IF(R1920=1,SUM($R$10:R1920),0)</x:f>
        <x:v>1547</x:v>
      </x:c>
      <x:c r="T1920" s="2" t="str">
        <x:v>Design &amp; Insights</x:v>
      </x:c>
      <x:c r="U1920" s="2" t="n">
        <x:v>548</x:v>
      </x:c>
      <x:c r="V1920" s="2" t="n">
        <x:f>IF(AND(M1920=1,P1920=0,ISNUMBER(J1920),J1920&lt;TODAY()),1,0)</x:f>
        <x:v>0</x:v>
      </x:c>
      <x:c r="W1920" s="2" t="str">
        <x:f>'Design &amp; Insights'!M548</x:f>
        <x:v>Task</x:v>
      </x:c>
    </x:row>
    <x:row r="1921" ht="40" customHeight="1">
      <x:c r="A1921" s="3" t="str">
        <x:f>HYPERLINK("#'Design &amp; Insights'!A549","Open")</x:f>
        <x:v>Open</x:v>
      </x:c>
      <x:c r="B1921" s="2" t="str">
        <x:f>'Design &amp; Insights'!B549</x:f>
        <x:v>Cycle 4</x:v>
      </x:c>
      <x:c r="C1921" s="2" t="str">
        <x:f>'Design &amp; Insights'!C549</x:f>
        <x:v>Phase 3</x:v>
      </x:c>
      <x:c r="D1921" s="2" t="str">
        <x:f>'Design &amp; Insights'!D549</x:f>
        <x:v>PLL</x:v>
      </x:c>
      <x:c r="E1921" s="2" t="str">
        <x:v>Design &amp; Insights</x:v>
      </x:c>
      <x:c r="F1921" s="56" t="str">
        <x:f>'Design &amp; Insights'!E549</x:f>
        <x:v>DI.PL.3.7</x:v>
      </x:c>
      <x:c r="G1921" s="14" t="str">
        <x:f>'Design &amp; Insights'!F549</x:f>
        <x:v>Present material in RCA Cycle Forum</x:v>
      </x:c>
      <x:c r="H1921" s="2" t="str">
        <x:f>IF('Design &amp; Insights'!G549="","",'Design &amp; Insights'!G549)</x:f>
      </x:c>
      <x:c r="I1921" s="12" t="str">
        <x:f>IF('Design &amp; Insights'!H549="","",'Design &amp; Insights'!H549)</x:f>
      </x:c>
      <x:c r="J1921" s="12" t="str">
        <x:f>IF('Design &amp; Insights'!I549="","",'Design &amp; Insights'!I549)</x:f>
      </x:c>
      <x:c r="K1921" s="12" t="str">
        <x:f>IF('Design &amp; Insights'!J549="","",'Design &amp; Insights'!J549)</x:f>
      </x:c>
      <x:c r="L1921" s="2" t="str">
        <x:f>IF('Design &amp; Insights'!K549="","",'Design &amp; Insights'!K549)</x:f>
      </x:c>
      <x:c r="M1921" s="2" t="n">
        <x:f>'Design &amp; Insights'!Q549</x:f>
        <x:v>1</x:v>
      </x:c>
      <x:c r="N1921" s="2" t="str">
        <x:f>'Design &amp; Insights'!L549</x:f>
        <x:v>Not started</x:v>
      </x:c>
      <x:c r="O1921" s="2" t="str">
        <x:f>'Design &amp; Insights'!N549</x:f>
        <x:v>DI.PL.3.7.2026.CY4</x:v>
      </x:c>
      <x:c r="P1921" s="2" t="n">
        <x:f>'Design &amp; Insights'!O549</x:f>
        <x:v>0</x:v>
      </x:c>
      <x:c r="Q1921" s="2" t="n">
        <x:f>SUBTOTAL(103,O1921)</x:f>
        <x:v>1</x:v>
      </x:c>
      <x:c r="R1921" s="2" t="n">
        <x:f>IF(AND(M1921=1,OR(Dashboard!$B$7="All",Dashboard!$B$7='Cycles &amp; Guide'!$C$5),OR(Dashboard!$D$7="All",Dashboard!$D$7=B1921),OR(Dashboard!$F$7="All",Dashboard!$F$7=C1921),OR(Dashboard!$H$7="All",Dashboard!$H$7=D1921),OR(Dashboard!$K$7="All",Dashboard!$K$7=E1921)),1,0)</x:f>
        <x:v>1</x:v>
      </x:c>
      <x:c r="S1921" s="2" t="n">
        <x:f>IF(R1921=1,SUM($R$10:R1921),0)</x:f>
        <x:v>1548</x:v>
      </x:c>
      <x:c r="T1921" s="2" t="str">
        <x:v>Design &amp; Insights</x:v>
      </x:c>
      <x:c r="U1921" s="2" t="n">
        <x:v>549</x:v>
      </x:c>
      <x:c r="V1921" s="2" t="n">
        <x:f>IF(AND(M1921=1,P1921=0,ISNUMBER(J1921),J1921&lt;TODAY()),1,0)</x:f>
        <x:v>0</x:v>
      </x:c>
      <x:c r="W1921" s="2" t="str">
        <x:f>'Design &amp; Insights'!M549</x:f>
        <x:v>Task</x:v>
      </x:c>
    </x:row>
    <x:row r="1922" ht="40" customHeight="1">
      <x:c r="A1922" s="3" t="str">
        <x:f>HYPERLINK("#'Design &amp; Insights'!A550","Open")</x:f>
        <x:v>Open</x:v>
      </x:c>
      <x:c r="B1922" s="2" t="str">
        <x:f>'Design &amp; Insights'!B550</x:f>
        <x:v>Cycle 4</x:v>
      </x:c>
      <x:c r="C1922" s="2" t="str">
        <x:f>'Design &amp; Insights'!C550</x:f>
        <x:v>Phase 1</x:v>
      </x:c>
      <x:c r="D1922" s="2" t="str">
        <x:f>'Design &amp; Insights'!D550</x:f>
        <x:v>Retail Services</x:v>
      </x:c>
      <x:c r="E1922" s="2" t="str">
        <x:v>Design &amp; Insights</x:v>
      </x:c>
      <x:c r="F1922" s="56" t="str">
        <x:f>'Design &amp; Insights'!E550</x:f>
        <x:v>DI.RS.1.1</x:v>
      </x:c>
      <x:c r="G1922" s="14" t="str">
        <x:f>'Design &amp; Insights'!F550</x:f>
        <x:v>Receive and review potential research topics at least 2 weeks prior to Cycle start date</x:v>
      </x:c>
      <x:c r="H1922" s="2" t="str">
        <x:f>IF('Design &amp; Insights'!G550="","",'Design &amp; Insights'!G550)</x:f>
      </x:c>
      <x:c r="I1922" s="12" t="str">
        <x:f>IF('Design &amp; Insights'!H550="","",'Design &amp; Insights'!H550)</x:f>
      </x:c>
      <x:c r="J1922" s="12" t="n">
        <x:f>IF('Design &amp; Insights'!I550="","",'Design &amp; Insights'!I550)</x:f>
        <x:v>46282</x:v>
      </x:c>
      <x:c r="K1922" s="12" t="str">
        <x:f>IF('Design &amp; Insights'!J550="","",'Design &amp; Insights'!J550)</x:f>
      </x:c>
      <x:c r="L1922" s="2" t="str">
        <x:f>IF('Design &amp; Insights'!K550="","",'Design &amp; Insights'!K550)</x:f>
      </x:c>
      <x:c r="M1922" s="2" t="n">
        <x:f>'Design &amp; Insights'!Q550</x:f>
        <x:v>1</x:v>
      </x:c>
      <x:c r="N1922" s="2" t="str">
        <x:f>'Design &amp; Insights'!L550</x:f>
        <x:v>Not started</x:v>
      </x:c>
      <x:c r="O1922" s="2" t="str">
        <x:f>'Design &amp; Insights'!N550</x:f>
        <x:v>DI.RS.1.1.2026.CY4</x:v>
      </x:c>
      <x:c r="P1922" s="2" t="n">
        <x:f>'Design &amp; Insights'!O550</x:f>
        <x:v>0</x:v>
      </x:c>
      <x:c r="Q1922" s="2" t="n">
        <x:f>SUBTOTAL(103,O1922)</x:f>
        <x:v>1</x:v>
      </x:c>
      <x:c r="R1922" s="2" t="n">
        <x:f>IF(AND(M1922=1,OR(Dashboard!$B$7="All",Dashboard!$B$7='Cycles &amp; Guide'!$C$5),OR(Dashboard!$D$7="All",Dashboard!$D$7=B1922),OR(Dashboard!$F$7="All",Dashboard!$F$7=C1922),OR(Dashboard!$H$7="All",Dashboard!$H$7=D1922),OR(Dashboard!$K$7="All",Dashboard!$K$7=E1922)),1,0)</x:f>
        <x:v>1</x:v>
      </x:c>
      <x:c r="S1922" s="2" t="n">
        <x:f>IF(R1922=1,SUM($R$10:R1922),0)</x:f>
        <x:v>1549</x:v>
      </x:c>
      <x:c r="T1922" s="2" t="str">
        <x:v>Design &amp; Insights</x:v>
      </x:c>
      <x:c r="U1922" s="2" t="n">
        <x:v>550</x:v>
      </x:c>
      <x:c r="V1922" s="2" t="n">
        <x:f>IF(AND(M1922=1,P1922=0,ISNUMBER(J1922),J1922&lt;TODAY()),1,0)</x:f>
        <x:v>1</x:v>
      </x:c>
      <x:c r="W1922" s="2" t="str">
        <x:f>'Design &amp; Insights'!M550</x:f>
        <x:v>Task</x:v>
      </x:c>
    </x:row>
    <x:row r="1923" ht="40" customHeight="1">
      <x:c r="A1923" s="3" t="str">
        <x:f>HYPERLINK("#'Design &amp; Insights'!A551","Open")</x:f>
        <x:v>Open</x:v>
      </x:c>
      <x:c r="B1923" s="2" t="str">
        <x:f>'Design &amp; Insights'!B551</x:f>
        <x:v>Cycle 4</x:v>
      </x:c>
      <x:c r="C1923" s="2" t="str">
        <x:f>'Design &amp; Insights'!C551</x:f>
        <x:v>Phase 1</x:v>
      </x:c>
      <x:c r="D1923" s="2" t="str">
        <x:f>'Design &amp; Insights'!D551</x:f>
        <x:v>Retail Services</x:v>
      </x:c>
      <x:c r="E1923" s="2" t="str">
        <x:v>Design &amp; Insights</x:v>
      </x:c>
      <x:c r="F1923" s="56" t="str">
        <x:f>'Design &amp; Insights'!E551</x:f>
        <x:v>DI.RS.1.2</x:v>
      </x:c>
      <x:c r="G1923" s="14" t="str">
        <x:f>'Design &amp; Insights'!F551</x:f>
        <x:v>Communicate any feedback on preferences or concerns with topics identified</x:v>
      </x:c>
      <x:c r="H1923" s="2" t="str">
        <x:f>IF('Design &amp; Insights'!G551="","",'Design &amp; Insights'!G551)</x:f>
      </x:c>
      <x:c r="I1923" s="12" t="str">
        <x:f>IF('Design &amp; Insights'!H551="","",'Design &amp; Insights'!H551)</x:f>
      </x:c>
      <x:c r="J1923" s="12" t="n">
        <x:f>IF('Design &amp; Insights'!I551="","",'Design &amp; Insights'!I551)</x:f>
        <x:v>46387</x:v>
      </x:c>
      <x:c r="K1923" s="12" t="str">
        <x:f>IF('Design &amp; Insights'!J551="","",'Design &amp; Insights'!J551)</x:f>
      </x:c>
      <x:c r="L1923" s="2" t="str">
        <x:f>IF('Design &amp; Insights'!K551="","",'Design &amp; Insights'!K551)</x:f>
      </x:c>
      <x:c r="M1923" s="2" t="n">
        <x:f>'Design &amp; Insights'!Q551</x:f>
        <x:v>1</x:v>
      </x:c>
      <x:c r="N1923" s="2" t="str">
        <x:f>'Design &amp; Insights'!L551</x:f>
        <x:v>Not started</x:v>
      </x:c>
      <x:c r="O1923" s="2" t="str">
        <x:f>'Design &amp; Insights'!N551</x:f>
        <x:v>DI.RS.1.2.2026.CY4</x:v>
      </x:c>
      <x:c r="P1923" s="2" t="n">
        <x:f>'Design &amp; Insights'!O551</x:f>
        <x:v>0</x:v>
      </x:c>
      <x:c r="Q1923" s="2" t="n">
        <x:f>SUBTOTAL(103,O1923)</x:f>
        <x:v>1</x:v>
      </x:c>
      <x:c r="R1923" s="2" t="n">
        <x:f>IF(AND(M1923=1,OR(Dashboard!$B$7="All",Dashboard!$B$7='Cycles &amp; Guide'!$C$5),OR(Dashboard!$D$7="All",Dashboard!$D$7=B1923),OR(Dashboard!$F$7="All",Dashboard!$F$7=C1923),OR(Dashboard!$H$7="All",Dashboard!$H$7=D1923),OR(Dashboard!$K$7="All",Dashboard!$K$7=E1923)),1,0)</x:f>
        <x:v>1</x:v>
      </x:c>
      <x:c r="S1923" s="2" t="n">
        <x:f>IF(R1923=1,SUM($R$10:R1923),0)</x:f>
        <x:v>1550</x:v>
      </x:c>
      <x:c r="T1923" s="2" t="str">
        <x:v>Design &amp; Insights</x:v>
      </x:c>
      <x:c r="U1923" s="2" t="n">
        <x:v>551</x:v>
      </x:c>
      <x:c r="V1923" s="2" t="n">
        <x:f>IF(AND(M1923=1,P1923=0,ISNUMBER(J1923),J1923&lt;TODAY()),1,0)</x:f>
        <x:v>0</x:v>
      </x:c>
      <x:c r="W1923" s="2" t="str">
        <x:f>'Design &amp; Insights'!M551</x:f>
        <x:v>Task</x:v>
      </x:c>
    </x:row>
    <x:row r="1924" ht="40" customHeight="1">
      <x:c r="A1924" s="3" t="str">
        <x:f>HYPERLINK("#'Design &amp; Insights'!A552","Open")</x:f>
        <x:v>Open</x:v>
      </x:c>
      <x:c r="B1924" s="2" t="str">
        <x:f>'Design &amp; Insights'!B552</x:f>
        <x:v>Cycle 4</x:v>
      </x:c>
      <x:c r="C1924" s="2" t="str">
        <x:f>'Design &amp; Insights'!C552</x:f>
        <x:v>Phase 1</x:v>
      </x:c>
      <x:c r="D1924" s="2" t="str">
        <x:f>'Design &amp; Insights'!D552</x:f>
        <x:v>Retail Services</x:v>
      </x:c>
      <x:c r="E1924" s="2" t="str">
        <x:v>Design &amp; Insights</x:v>
      </x:c>
      <x:c r="F1924" s="56" t="str">
        <x:f>'Design &amp; Insights'!E552</x:f>
        <x:v>DI.RS.1.3</x:v>
      </x:c>
      <x:c r="G1924" s="14" t="str">
        <x:f>'Design &amp; Insights'!F552</x:f>
        <x:v>Conduct high-level preliminary review of complaints within proposed topics</x:v>
      </x:c>
      <x:c r="H1924" s="2" t="str">
        <x:f>IF('Design &amp; Insights'!G552="","",'Design &amp; Insights'!G552)</x:f>
      </x:c>
      <x:c r="I1924" s="12" t="str">
        <x:f>IF('Design &amp; Insights'!H552="","",'Design &amp; Insights'!H552)</x:f>
      </x:c>
      <x:c r="J1924" s="12" t="n">
        <x:f>IF('Design &amp; Insights'!I552="","",'Design &amp; Insights'!I552)</x:f>
        <x:v>46387</x:v>
      </x:c>
      <x:c r="K1924" s="12" t="str">
        <x:f>IF('Design &amp; Insights'!J552="","",'Design &amp; Insights'!J552)</x:f>
      </x:c>
      <x:c r="L1924" s="2" t="str">
        <x:f>IF('Design &amp; Insights'!K552="","",'Design &amp; Insights'!K552)</x:f>
      </x:c>
      <x:c r="M1924" s="2" t="n">
        <x:f>'Design &amp; Insights'!Q552</x:f>
        <x:v>1</x:v>
      </x:c>
      <x:c r="N1924" s="2" t="str">
        <x:f>'Design &amp; Insights'!L552</x:f>
        <x:v>Not started</x:v>
      </x:c>
      <x:c r="O1924" s="2" t="str">
        <x:f>'Design &amp; Insights'!N552</x:f>
        <x:v>DI.RS.1.3.2026.CY4</x:v>
      </x:c>
      <x:c r="P1924" s="2" t="n">
        <x:f>'Design &amp; Insights'!O552</x:f>
        <x:v>0</x:v>
      </x:c>
      <x:c r="Q1924" s="2" t="n">
        <x:f>SUBTOTAL(103,O1924)</x:f>
        <x:v>1</x:v>
      </x:c>
      <x:c r="R1924" s="2" t="n">
        <x:f>IF(AND(M1924=1,OR(Dashboard!$B$7="All",Dashboard!$B$7='Cycles &amp; Guide'!$C$5),OR(Dashboard!$D$7="All",Dashboard!$D$7=B1924),OR(Dashboard!$F$7="All",Dashboard!$F$7=C1924),OR(Dashboard!$H$7="All",Dashboard!$H$7=D1924),OR(Dashboard!$K$7="All",Dashboard!$K$7=E1924)),1,0)</x:f>
        <x:v>1</x:v>
      </x:c>
      <x:c r="S1924" s="2" t="n">
        <x:f>IF(R1924=1,SUM($R$10:R1924),0)</x:f>
        <x:v>1551</x:v>
      </x:c>
      <x:c r="T1924" s="2" t="str">
        <x:v>Design &amp; Insights</x:v>
      </x:c>
      <x:c r="U1924" s="2" t="n">
        <x:v>552</x:v>
      </x:c>
      <x:c r="V1924" s="2" t="n">
        <x:f>IF(AND(M1924=1,P1924=0,ISNUMBER(J1924),J1924&lt;TODAY()),1,0)</x:f>
        <x:v>0</x:v>
      </x:c>
      <x:c r="W1924" s="2" t="str">
        <x:f>'Design &amp; Insights'!M552</x:f>
        <x:v>Task</x:v>
      </x:c>
    </x:row>
    <x:row r="1925" ht="40" customHeight="1">
      <x:c r="A1925" s="3" t="str">
        <x:f>HYPERLINK("#'Design &amp; Insights'!A553","Open")</x:f>
        <x:v>Open</x:v>
      </x:c>
      <x:c r="B1925" s="2" t="str">
        <x:f>'Design &amp; Insights'!B553</x:f>
        <x:v>Cycle 4</x:v>
      </x:c>
      <x:c r="C1925" s="2" t="str">
        <x:f>'Design &amp; Insights'!C553</x:f>
        <x:v>Phase 1</x:v>
      </x:c>
      <x:c r="D1925" s="2" t="str">
        <x:f>'Design &amp; Insights'!D553</x:f>
        <x:v>Retail Services</x:v>
      </x:c>
      <x:c r="E1925" s="2" t="str">
        <x:v>Design &amp; Insights</x:v>
      </x:c>
      <x:c r="F1925" s="56" t="str">
        <x:f>'Design &amp; Insights'!E553</x:f>
        <x:v>DI.RS.1.4</x:v>
      </x:c>
      <x:c r="G1925" s="14" t="str">
        <x:f>'Design &amp; Insights'!F553</x:f>
        <x:v>Meet with Research to discuss which topic to select based on potential impact</x:v>
      </x:c>
      <x:c r="H1925" s="2" t="str">
        <x:f>IF('Design &amp; Insights'!G553="","",'Design &amp; Insights'!G553)</x:f>
      </x:c>
      <x:c r="I1925" s="12" t="str">
        <x:f>IF('Design &amp; Insights'!H553="","",'Design &amp; Insights'!H553)</x:f>
      </x:c>
      <x:c r="J1925" s="12" t="n">
        <x:f>IF('Design &amp; Insights'!I553="","",'Design &amp; Insights'!I553)</x:f>
        <x:v>46387</x:v>
      </x:c>
      <x:c r="K1925" s="12" t="str">
        <x:f>IF('Design &amp; Insights'!J553="","",'Design &amp; Insights'!J553)</x:f>
      </x:c>
      <x:c r="L1925" s="2" t="str">
        <x:f>IF('Design &amp; Insights'!K553="","",'Design &amp; Insights'!K553)</x:f>
      </x:c>
      <x:c r="M1925" s="2" t="n">
        <x:f>'Design &amp; Insights'!Q553</x:f>
        <x:v>1</x:v>
      </x:c>
      <x:c r="N1925" s="2" t="str">
        <x:f>'Design &amp; Insights'!L553</x:f>
        <x:v>Not started</x:v>
      </x:c>
      <x:c r="O1925" s="2" t="str">
        <x:f>'Design &amp; Insights'!N553</x:f>
        <x:v>DI.RS.1.4.2026.CY4</x:v>
      </x:c>
      <x:c r="P1925" s="2" t="n">
        <x:f>'Design &amp; Insights'!O553</x:f>
        <x:v>0</x:v>
      </x:c>
      <x:c r="Q1925" s="2" t="n">
        <x:f>SUBTOTAL(103,O1925)</x:f>
        <x:v>1</x:v>
      </x:c>
      <x:c r="R1925" s="2" t="n">
        <x:f>IF(AND(M1925=1,OR(Dashboard!$B$7="All",Dashboard!$B$7='Cycles &amp; Guide'!$C$5),OR(Dashboard!$D$7="All",Dashboard!$D$7=B1925),OR(Dashboard!$F$7="All",Dashboard!$F$7=C1925),OR(Dashboard!$H$7="All",Dashboard!$H$7=D1925),OR(Dashboard!$K$7="All",Dashboard!$K$7=E1925)),1,0)</x:f>
        <x:v>1</x:v>
      </x:c>
      <x:c r="S1925" s="2" t="n">
        <x:f>IF(R1925=1,SUM($R$10:R1925),0)</x:f>
        <x:v>1552</x:v>
      </x:c>
      <x:c r="T1925" s="2" t="str">
        <x:v>Design &amp; Insights</x:v>
      </x:c>
      <x:c r="U1925" s="2" t="n">
        <x:v>553</x:v>
      </x:c>
      <x:c r="V1925" s="2" t="n">
        <x:f>IF(AND(M1925=1,P1925=0,ISNUMBER(J1925),J1925&lt;TODAY()),1,0)</x:f>
        <x:v>0</x:v>
      </x:c>
      <x:c r="W1925" s="2" t="str">
        <x:f>'Design &amp; Insights'!M553</x:f>
        <x:v>Task</x:v>
      </x:c>
    </x:row>
    <x:row r="1926" ht="40" customHeight="1">
      <x:c r="A1926" s="3" t="str">
        <x:f>HYPERLINK("#'Design &amp; Insights'!A554","Open")</x:f>
        <x:v>Open</x:v>
      </x:c>
      <x:c r="B1926" s="2" t="str">
        <x:f>'Design &amp; Insights'!B554</x:f>
        <x:v>Cycle 4</x:v>
      </x:c>
      <x:c r="C1926" s="2" t="str">
        <x:f>'Design &amp; Insights'!C554</x:f>
        <x:v>Phase 1</x:v>
      </x:c>
      <x:c r="D1926" s="2" t="str">
        <x:f>'Design &amp; Insights'!D554</x:f>
        <x:v>Retail Services</x:v>
      </x:c>
      <x:c r="E1926" s="2" t="str">
        <x:v>Design &amp; Insights</x:v>
      </x:c>
      <x:c r="F1926" s="56" t="str">
        <x:f>'Design &amp; Insights'!E554</x:f>
        <x:v>DI.RS.1.5</x:v>
      </x:c>
      <x:c r="G1926" s="14" t="str">
        <x:f>'Design &amp; Insights'!F554</x:f>
        <x:v>Confirm with Research the recommended topic for approval</x:v>
      </x:c>
      <x:c r="H1926" s="2" t="str">
        <x:f>IF('Design &amp; Insights'!G554="","",'Design &amp; Insights'!G554)</x:f>
      </x:c>
      <x:c r="I1926" s="12" t="str">
        <x:f>IF('Design &amp; Insights'!H554="","",'Design &amp; Insights'!H554)</x:f>
      </x:c>
      <x:c r="J1926" s="12" t="n">
        <x:f>IF('Design &amp; Insights'!I554="","",'Design &amp; Insights'!I554)</x:f>
        <x:v>46387</x:v>
      </x:c>
      <x:c r="K1926" s="12" t="str">
        <x:f>IF('Design &amp; Insights'!J554="","",'Design &amp; Insights'!J554)</x:f>
      </x:c>
      <x:c r="L1926" s="2" t="str">
        <x:f>IF('Design &amp; Insights'!K554="","",'Design &amp; Insights'!K554)</x:f>
      </x:c>
      <x:c r="M1926" s="2" t="n">
        <x:f>'Design &amp; Insights'!Q554</x:f>
        <x:v>1</x:v>
      </x:c>
      <x:c r="N1926" s="2" t="str">
        <x:f>'Design &amp; Insights'!L554</x:f>
        <x:v>Not started</x:v>
      </x:c>
      <x:c r="O1926" s="2" t="str">
        <x:f>'Design &amp; Insights'!N554</x:f>
        <x:v>DI.RS.1.5.2026.CY4</x:v>
      </x:c>
      <x:c r="P1926" s="2" t="n">
        <x:f>'Design &amp; Insights'!O554</x:f>
        <x:v>0</x:v>
      </x:c>
      <x:c r="Q1926" s="2" t="n">
        <x:f>SUBTOTAL(103,O1926)</x:f>
        <x:v>1</x:v>
      </x:c>
      <x:c r="R1926" s="2" t="n">
        <x:f>IF(AND(M1926=1,OR(Dashboard!$B$7="All",Dashboard!$B$7='Cycles &amp; Guide'!$C$5),OR(Dashboard!$D$7="All",Dashboard!$D$7=B1926),OR(Dashboard!$F$7="All",Dashboard!$F$7=C1926),OR(Dashboard!$H$7="All",Dashboard!$H$7=D1926),OR(Dashboard!$K$7="All",Dashboard!$K$7=E1926)),1,0)</x:f>
        <x:v>1</x:v>
      </x:c>
      <x:c r="S1926" s="2" t="n">
        <x:f>IF(R1926=1,SUM($R$10:R1926),0)</x:f>
        <x:v>1553</x:v>
      </x:c>
      <x:c r="T1926" s="2" t="str">
        <x:v>Design &amp; Insights</x:v>
      </x:c>
      <x:c r="U1926" s="2" t="n">
        <x:v>554</x:v>
      </x:c>
      <x:c r="V1926" s="2" t="n">
        <x:f>IF(AND(M1926=1,P1926=0,ISNUMBER(J1926),J1926&lt;TODAY()),1,0)</x:f>
        <x:v>0</x:v>
      </x:c>
      <x:c r="W1926" s="2" t="str">
        <x:f>'Design &amp; Insights'!M554</x:f>
        <x:v>Task</x:v>
      </x:c>
    </x:row>
    <x:row r="1927" ht="40" customHeight="1">
      <x:c r="A1927" s="3" t="str">
        <x:f>HYPERLINK("#'Design &amp; Insights'!A555","Open")</x:f>
        <x:v>Open</x:v>
      </x:c>
      <x:c r="B1927" s="2" t="str">
        <x:f>'Design &amp; Insights'!B555</x:f>
        <x:v>Cycle 4</x:v>
      </x:c>
      <x:c r="C1927" s="2" t="str">
        <x:f>'Design &amp; Insights'!C555</x:f>
        <x:v>Phase 1</x:v>
      </x:c>
      <x:c r="D1927" s="2" t="str">
        <x:f>'Design &amp; Insights'!D555</x:f>
        <x:v>Retail Services</x:v>
      </x:c>
      <x:c r="E1927" s="2" t="str">
        <x:v>Design &amp; Insights</x:v>
      </x:c>
      <x:c r="F1927" s="56" t="str">
        <x:f>'Design &amp; Insights'!E555</x:f>
        <x:v>DI.RS.1.6</x:v>
      </x:c>
      <x:c r="G1927" s="14" t="str">
        <x:f>'Design &amp; Insights'!F555</x:f>
        <x:v>Send topic selection socialization email to all key stakeholders on the first day of the review Cycle</x:v>
      </x:c>
      <x:c r="H1927" s="2" t="str">
        <x:f>IF('Design &amp; Insights'!G555="","",'Design &amp; Insights'!G555)</x:f>
      </x:c>
      <x:c r="I1927" s="12" t="str">
        <x:f>IF('Design &amp; Insights'!H555="","",'Design &amp; Insights'!H555)</x:f>
      </x:c>
      <x:c r="J1927" s="12" t="n">
        <x:f>IF('Design &amp; Insights'!I555="","",'Design &amp; Insights'!I555)</x:f>
        <x:v>46296</x:v>
      </x:c>
      <x:c r="K1927" s="12" t="str">
        <x:f>IF('Design &amp; Insights'!J555="","",'Design &amp; Insights'!J555)</x:f>
      </x:c>
      <x:c r="L1927" s="2" t="str">
        <x:f>IF('Design &amp; Insights'!K555="","",'Design &amp; Insights'!K555)</x:f>
      </x:c>
      <x:c r="M1927" s="2" t="n">
        <x:f>'Design &amp; Insights'!Q555</x:f>
        <x:v>1</x:v>
      </x:c>
      <x:c r="N1927" s="2" t="str">
        <x:f>'Design &amp; Insights'!L555</x:f>
        <x:v>Not started</x:v>
      </x:c>
      <x:c r="O1927" s="2" t="str">
        <x:f>'Design &amp; Insights'!N555</x:f>
        <x:v>DI.RS.1.6.2026.CY4</x:v>
      </x:c>
      <x:c r="P1927" s="2" t="n">
        <x:f>'Design &amp; Insights'!O555</x:f>
        <x:v>0</x:v>
      </x:c>
      <x:c r="Q1927" s="2" t="n">
        <x:f>SUBTOTAL(103,O1927)</x:f>
        <x:v>1</x:v>
      </x:c>
      <x:c r="R1927" s="2" t="n">
        <x:f>IF(AND(M1927=1,OR(Dashboard!$B$7="All",Dashboard!$B$7='Cycles &amp; Guide'!$C$5),OR(Dashboard!$D$7="All",Dashboard!$D$7=B1927),OR(Dashboard!$F$7="All",Dashboard!$F$7=C1927),OR(Dashboard!$H$7="All",Dashboard!$H$7=D1927),OR(Dashboard!$K$7="All",Dashboard!$K$7=E1927)),1,0)</x:f>
        <x:v>1</x:v>
      </x:c>
      <x:c r="S1927" s="2" t="n">
        <x:f>IF(R1927=1,SUM($R$10:R1927),0)</x:f>
        <x:v>1554</x:v>
      </x:c>
      <x:c r="T1927" s="2" t="str">
        <x:v>Design &amp; Insights</x:v>
      </x:c>
      <x:c r="U1927" s="2" t="n">
        <x:v>555</x:v>
      </x:c>
      <x:c r="V1927" s="2" t="n">
        <x:f>IF(AND(M1927=1,P1927=0,ISNUMBER(J1927),J1927&lt;TODAY()),1,0)</x:f>
        <x:v>0</x:v>
      </x:c>
      <x:c r="W1927" s="2" t="str">
        <x:f>'Design &amp; Insights'!M555</x:f>
        <x:v>Task</x:v>
      </x:c>
    </x:row>
    <x:row r="1928" ht="40" customHeight="1">
      <x:c r="A1928" s="3" t="str">
        <x:f>HYPERLINK("#'Design &amp; Insights'!A556","Open")</x:f>
        <x:v>Open</x:v>
      </x:c>
      <x:c r="B1928" s="2" t="str">
        <x:f>'Design &amp; Insights'!B556</x:f>
        <x:v>Cycle 4</x:v>
      </x:c>
      <x:c r="C1928" s="2" t="str">
        <x:f>'Design &amp; Insights'!C556</x:f>
        <x:v>Phase 2</x:v>
      </x:c>
      <x:c r="D1928" s="2" t="str">
        <x:f>'Design &amp; Insights'!D556</x:f>
        <x:v>Retail Services</x:v>
      </x:c>
      <x:c r="E1928" s="2" t="str">
        <x:v>Design &amp; Insights</x:v>
      </x:c>
      <x:c r="F1928" s="56" t="str">
        <x:f>'Design &amp; Insights'!E556</x:f>
        <x:v>DI.RS.2.1</x:v>
      </x:c>
      <x:c r="G1928" s="14" t="str">
        <x:f>'Design &amp; Insights'!F556</x:f>
        <x:v>Meet regularly with Research to stay informed on progress, findings, and potential enhancement</x:v>
      </x:c>
      <x:c r="H1928" s="2" t="str">
        <x:f>IF('Design &amp; Insights'!G556="","",'Design &amp; Insights'!G556)</x:f>
      </x:c>
      <x:c r="I1928" s="12" t="str">
        <x:f>IF('Design &amp; Insights'!H556="","",'Design &amp; Insights'!H556)</x:f>
      </x:c>
      <x:c r="J1928" s="12" t="n">
        <x:f>IF('Design &amp; Insights'!I556="","",'Design &amp; Insights'!I556)</x:f>
        <x:v>46387</x:v>
      </x:c>
      <x:c r="K1928" s="12" t="str">
        <x:f>IF('Design &amp; Insights'!J556="","",'Design &amp; Insights'!J556)</x:f>
      </x:c>
      <x:c r="L1928" s="2" t="str">
        <x:f>IF('Design &amp; Insights'!K556="","",'Design &amp; Insights'!K556)</x:f>
      </x:c>
      <x:c r="M1928" s="2" t="n">
        <x:f>'Design &amp; Insights'!Q556</x:f>
        <x:v>1</x:v>
      </x:c>
      <x:c r="N1928" s="2" t="str">
        <x:f>'Design &amp; Insights'!L556</x:f>
        <x:v>Not started</x:v>
      </x:c>
      <x:c r="O1928" s="2" t="str">
        <x:f>'Design &amp; Insights'!N556</x:f>
        <x:v>DI.RS.2.1.2026.CY4</x:v>
      </x:c>
      <x:c r="P1928" s="2" t="n">
        <x:f>'Design &amp; Insights'!O556</x:f>
        <x:v>0</x:v>
      </x:c>
      <x:c r="Q1928" s="2" t="n">
        <x:f>SUBTOTAL(103,O1928)</x:f>
        <x:v>1</x:v>
      </x:c>
      <x:c r="R1928" s="2" t="n">
        <x:f>IF(AND(M1928=1,OR(Dashboard!$B$7="All",Dashboard!$B$7='Cycles &amp; Guide'!$C$5),OR(Dashboard!$D$7="All",Dashboard!$D$7=B1928),OR(Dashboard!$F$7="All",Dashboard!$F$7=C1928),OR(Dashboard!$H$7="All",Dashboard!$H$7=D1928),OR(Dashboard!$K$7="All",Dashboard!$K$7=E1928)),1,0)</x:f>
        <x:v>1</x:v>
      </x:c>
      <x:c r="S1928" s="2" t="n">
        <x:f>IF(R1928=1,SUM($R$10:R1928),0)</x:f>
        <x:v>1555</x:v>
      </x:c>
      <x:c r="T1928" s="2" t="str">
        <x:v>Design &amp; Insights</x:v>
      </x:c>
      <x:c r="U1928" s="2" t="n">
        <x:v>556</x:v>
      </x:c>
      <x:c r="V1928" s="2" t="n">
        <x:f>IF(AND(M1928=1,P1928=0,ISNUMBER(J1928),J1928&lt;TODAY()),1,0)</x:f>
        <x:v>0</x:v>
      </x:c>
      <x:c r="W1928" s="2" t="str">
        <x:f>'Design &amp; Insights'!M556</x:f>
        <x:v>Task</x:v>
      </x:c>
    </x:row>
    <x:row r="1929" ht="40" customHeight="1">
      <x:c r="A1929" s="3" t="str">
        <x:f>HYPERLINK("#'Design &amp; Insights'!A557","Open")</x:f>
        <x:v>Open</x:v>
      </x:c>
      <x:c r="B1929" s="2" t="str">
        <x:f>'Design &amp; Insights'!B557</x:f>
        <x:v>Cycle 4</x:v>
      </x:c>
      <x:c r="C1929" s="2" t="str">
        <x:f>'Design &amp; Insights'!C557</x:f>
        <x:v>Phase 2</x:v>
      </x:c>
      <x:c r="D1929" s="2" t="str">
        <x:f>'Design &amp; Insights'!D557</x:f>
        <x:v>Retail Services</x:v>
      </x:c>
      <x:c r="E1929" s="2" t="str">
        <x:v>Design &amp; Insights</x:v>
      </x:c>
      <x:c r="F1929" s="56" t="str">
        <x:f>'Design &amp; Insights'!E557</x:f>
        <x:v>DI.RS.2.2</x:v>
      </x:c>
      <x:c r="G1929" s="14" t="str">
        <x:f>'Design &amp; Insights'!F557</x:f>
        <x:v>Collaborate with Research on research plan specifics</x:v>
      </x:c>
      <x:c r="H1929" s="2" t="str">
        <x:f>IF('Design &amp; Insights'!G557="","",'Design &amp; Insights'!G557)</x:f>
      </x:c>
      <x:c r="I1929" s="12" t="str">
        <x:f>IF('Design &amp; Insights'!H557="","",'Design &amp; Insights'!H557)</x:f>
      </x:c>
      <x:c r="J1929" s="12" t="n">
        <x:f>IF('Design &amp; Insights'!I557="","",'Design &amp; Insights'!I557)</x:f>
        <x:v>46387</x:v>
      </x:c>
      <x:c r="K1929" s="12" t="str">
        <x:f>IF('Design &amp; Insights'!J557="","",'Design &amp; Insights'!J557)</x:f>
      </x:c>
      <x:c r="L1929" s="2" t="str">
        <x:f>IF('Design &amp; Insights'!K557="","",'Design &amp; Insights'!K557)</x:f>
      </x:c>
      <x:c r="M1929" s="2" t="n">
        <x:f>'Design &amp; Insights'!Q557</x:f>
        <x:v>1</x:v>
      </x:c>
      <x:c r="N1929" s="2" t="str">
        <x:f>'Design &amp; Insights'!L557</x:f>
        <x:v>Not started</x:v>
      </x:c>
      <x:c r="O1929" s="2" t="str">
        <x:f>'Design &amp; Insights'!N557</x:f>
        <x:v>DI.RS.2.2.2026.CY4</x:v>
      </x:c>
      <x:c r="P1929" s="2" t="n">
        <x:f>'Design &amp; Insights'!O557</x:f>
        <x:v>0</x:v>
      </x:c>
      <x:c r="Q1929" s="2" t="n">
        <x:f>SUBTOTAL(103,O1929)</x:f>
        <x:v>1</x:v>
      </x:c>
      <x:c r="R1929" s="2" t="n">
        <x:f>IF(AND(M1929=1,OR(Dashboard!$B$7="All",Dashboard!$B$7='Cycles &amp; Guide'!$C$5),OR(Dashboard!$D$7="All",Dashboard!$D$7=B1929),OR(Dashboard!$F$7="All",Dashboard!$F$7=C1929),OR(Dashboard!$H$7="All",Dashboard!$H$7=D1929),OR(Dashboard!$K$7="All",Dashboard!$K$7=E1929)),1,0)</x:f>
        <x:v>1</x:v>
      </x:c>
      <x:c r="S1929" s="2" t="n">
        <x:f>IF(R1929=1,SUM($R$10:R1929),0)</x:f>
        <x:v>1556</x:v>
      </x:c>
      <x:c r="T1929" s="2" t="str">
        <x:v>Design &amp; Insights</x:v>
      </x:c>
      <x:c r="U1929" s="2" t="n">
        <x:v>557</x:v>
      </x:c>
      <x:c r="V1929" s="2" t="n">
        <x:f>IF(AND(M1929=1,P1929=0,ISNUMBER(J1929),J1929&lt;TODAY()),1,0)</x:f>
        <x:v>0</x:v>
      </x:c>
      <x:c r="W1929" s="2" t="str">
        <x:f>'Design &amp; Insights'!M557</x:f>
        <x:v>Task</x:v>
      </x:c>
    </x:row>
    <x:row r="1930" ht="40" customHeight="1">
      <x:c r="A1930" s="3" t="str">
        <x:f>HYPERLINK("#'Design &amp; Insights'!A558","Open")</x:f>
        <x:v>Open</x:v>
      </x:c>
      <x:c r="B1930" s="2" t="str">
        <x:f>'Design &amp; Insights'!B558</x:f>
        <x:v>Cycle 4</x:v>
      </x:c>
      <x:c r="C1930" s="2" t="str">
        <x:f>'Design &amp; Insights'!C558</x:f>
        <x:v>Phase 2</x:v>
      </x:c>
      <x:c r="D1930" s="2" t="str">
        <x:f>'Design &amp; Insights'!D558</x:f>
        <x:v>Retail Services</x:v>
      </x:c>
      <x:c r="E1930" s="2" t="str">
        <x:v>Design &amp; Insights</x:v>
      </x:c>
      <x:c r="F1930" s="56" t="str">
        <x:f>'Design &amp; Insights'!E558</x:f>
        <x:v>DI.RS.2.3</x:v>
      </x:c>
      <x:c r="G1930" s="14" t="str">
        <x:f>'Design &amp; Insights'!F558</x:f>
        <x:v>Participate in SME insight meetings to gain perspective and appetite on potential enhancements</x:v>
      </x:c>
      <x:c r="H1930" s="2" t="str">
        <x:f>IF('Design &amp; Insights'!G558="","",'Design &amp; Insights'!G558)</x:f>
      </x:c>
      <x:c r="I1930" s="12" t="str">
        <x:f>IF('Design &amp; Insights'!H558="","",'Design &amp; Insights'!H558)</x:f>
      </x:c>
      <x:c r="J1930" s="12" t="n">
        <x:f>IF('Design &amp; Insights'!I558="","",'Design &amp; Insights'!I558)</x:f>
        <x:v>46387</x:v>
      </x:c>
      <x:c r="K1930" s="12" t="str">
        <x:f>IF('Design &amp; Insights'!J558="","",'Design &amp; Insights'!J558)</x:f>
      </x:c>
      <x:c r="L1930" s="2" t="str">
        <x:f>IF('Design &amp; Insights'!K558="","",'Design &amp; Insights'!K558)</x:f>
      </x:c>
      <x:c r="M1930" s="2" t="n">
        <x:f>'Design &amp; Insights'!Q558</x:f>
        <x:v>1</x:v>
      </x:c>
      <x:c r="N1930" s="2" t="str">
        <x:f>'Design &amp; Insights'!L558</x:f>
        <x:v>Not started</x:v>
      </x:c>
      <x:c r="O1930" s="2" t="str">
        <x:f>'Design &amp; Insights'!N558</x:f>
        <x:v>DI.RS.2.3.2026.CY4</x:v>
      </x:c>
      <x:c r="P1930" s="2" t="n">
        <x:f>'Design &amp; Insights'!O558</x:f>
        <x:v>0</x:v>
      </x:c>
      <x:c r="Q1930" s="2" t="n">
        <x:f>SUBTOTAL(103,O1930)</x:f>
        <x:v>1</x:v>
      </x:c>
      <x:c r="R1930" s="2" t="n">
        <x:f>IF(AND(M1930=1,OR(Dashboard!$B$7="All",Dashboard!$B$7='Cycles &amp; Guide'!$C$5),OR(Dashboard!$D$7="All",Dashboard!$D$7=B1930),OR(Dashboard!$F$7="All",Dashboard!$F$7=C1930),OR(Dashboard!$H$7="All",Dashboard!$H$7=D1930),OR(Dashboard!$K$7="All",Dashboard!$K$7=E1930)),1,0)</x:f>
        <x:v>1</x:v>
      </x:c>
      <x:c r="S1930" s="2" t="n">
        <x:f>IF(R1930=1,SUM($R$10:R1930),0)</x:f>
        <x:v>1557</x:v>
      </x:c>
      <x:c r="T1930" s="2" t="str">
        <x:v>Design &amp; Insights</x:v>
      </x:c>
      <x:c r="U1930" s="2" t="n">
        <x:v>558</x:v>
      </x:c>
      <x:c r="V1930" s="2" t="n">
        <x:f>IF(AND(M1930=1,P1930=0,ISNUMBER(J1930),J1930&lt;TODAY()),1,0)</x:f>
        <x:v>0</x:v>
      </x:c>
      <x:c r="W1930" s="2" t="str">
        <x:f>'Design &amp; Insights'!M558</x:f>
        <x:v>Task</x:v>
      </x:c>
    </x:row>
    <x:row r="1931" ht="40" customHeight="1">
      <x:c r="A1931" s="3" t="str">
        <x:f>HYPERLINK("#'Design &amp; Insights'!A559","Open")</x:f>
        <x:v>Open</x:v>
      </x:c>
      <x:c r="B1931" s="2" t="str">
        <x:f>'Design &amp; Insights'!B559</x:f>
        <x:v>Cycle 4</x:v>
      </x:c>
      <x:c r="C1931" s="2" t="str">
        <x:f>'Design &amp; Insights'!C559</x:f>
        <x:v>Phase 2</x:v>
      </x:c>
      <x:c r="D1931" s="2" t="str">
        <x:f>'Design &amp; Insights'!D559</x:f>
        <x:v>Retail Services</x:v>
      </x:c>
      <x:c r="E1931" s="2" t="str">
        <x:v>Design &amp; Insights</x:v>
      </x:c>
      <x:c r="F1931" s="56" t="str">
        <x:f>'Design &amp; Insights'!E559</x:f>
        <x:v>DI.RS.2.4</x:v>
      </x:c>
      <x:c r="G1931" s="14" t="str">
        <x:f>'Design &amp; Insights'!F559</x:f>
        <x:v>Begin development of presentation materials as Research is being completed</x:v>
      </x:c>
      <x:c r="H1931" s="2" t="str">
        <x:f>IF('Design &amp; Insights'!G559="","",'Design &amp; Insights'!G559)</x:f>
      </x:c>
      <x:c r="I1931" s="12" t="str">
        <x:f>IF('Design &amp; Insights'!H559="","",'Design &amp; Insights'!H559)</x:f>
      </x:c>
      <x:c r="J1931" s="12" t="n">
        <x:f>IF('Design &amp; Insights'!I559="","",'Design &amp; Insights'!I559)</x:f>
        <x:v>46387</x:v>
      </x:c>
      <x:c r="K1931" s="12" t="str">
        <x:f>IF('Design &amp; Insights'!J559="","",'Design &amp; Insights'!J559)</x:f>
      </x:c>
      <x:c r="L1931" s="2" t="str">
        <x:f>IF('Design &amp; Insights'!K559="","",'Design &amp; Insights'!K559)</x:f>
      </x:c>
      <x:c r="M1931" s="2" t="n">
        <x:f>'Design &amp; Insights'!Q559</x:f>
        <x:v>1</x:v>
      </x:c>
      <x:c r="N1931" s="2" t="str">
        <x:f>'Design &amp; Insights'!L559</x:f>
        <x:v>Not started</x:v>
      </x:c>
      <x:c r="O1931" s="2" t="str">
        <x:f>'Design &amp; Insights'!N559</x:f>
        <x:v>DI.RS.2.4.2026.CY4</x:v>
      </x:c>
      <x:c r="P1931" s="2" t="n">
        <x:f>'Design &amp; Insights'!O559</x:f>
        <x:v>0</x:v>
      </x:c>
      <x:c r="Q1931" s="2" t="n">
        <x:f>SUBTOTAL(103,O1931)</x:f>
        <x:v>1</x:v>
      </x:c>
      <x:c r="R1931" s="2" t="n">
        <x:f>IF(AND(M1931=1,OR(Dashboard!$B$7="All",Dashboard!$B$7='Cycles &amp; Guide'!$C$5),OR(Dashboard!$D$7="All",Dashboard!$D$7=B1931),OR(Dashboard!$F$7="All",Dashboard!$F$7=C1931),OR(Dashboard!$H$7="All",Dashboard!$H$7=D1931),OR(Dashboard!$K$7="All",Dashboard!$K$7=E1931)),1,0)</x:f>
        <x:v>1</x:v>
      </x:c>
      <x:c r="S1931" s="2" t="n">
        <x:f>IF(R1931=1,SUM($R$10:R1931),0)</x:f>
        <x:v>1558</x:v>
      </x:c>
      <x:c r="T1931" s="2" t="str">
        <x:v>Design &amp; Insights</x:v>
      </x:c>
      <x:c r="U1931" s="2" t="n">
        <x:v>559</x:v>
      </x:c>
      <x:c r="V1931" s="2" t="n">
        <x:f>IF(AND(M1931=1,P1931=0,ISNUMBER(J1931),J1931&lt;TODAY()),1,0)</x:f>
        <x:v>0</x:v>
      </x:c>
      <x:c r="W1931" s="2" t="str">
        <x:f>'Design &amp; Insights'!M559</x:f>
        <x:v>Task</x:v>
      </x:c>
    </x:row>
    <x:row r="1932" ht="40" customHeight="1">
      <x:c r="A1932" s="3" t="str">
        <x:f>HYPERLINK("#'Design &amp; Insights'!A560","Open")</x:f>
        <x:v>Open</x:v>
      </x:c>
      <x:c r="B1932" s="2" t="str">
        <x:f>'Design &amp; Insights'!B560</x:f>
        <x:v>Cycle 4</x:v>
      </x:c>
      <x:c r="C1932" s="2" t="str">
        <x:f>'Design &amp; Insights'!C560</x:f>
        <x:v>Phase 2</x:v>
      </x:c>
      <x:c r="D1932" s="2" t="str">
        <x:f>'Design &amp; Insights'!D560</x:f>
        <x:v>Retail Services</x:v>
      </x:c>
      <x:c r="E1932" s="2" t="str">
        <x:v>Design &amp; Insights</x:v>
      </x:c>
      <x:c r="F1932" s="56" t="str">
        <x:f>'Design &amp; Insights'!E560</x:f>
        <x:v>DI.RS.2.5</x:v>
      </x:c>
      <x:c r="G1932" s="14" t="str">
        <x:f>'Design &amp; Insights'!F560</x:f>
        <x:v>Draft initial enhancement recommendations (as applicable)</x:v>
      </x:c>
      <x:c r="H1932" s="2" t="str">
        <x:f>IF('Design &amp; Insights'!G560="","",'Design &amp; Insights'!G560)</x:f>
      </x:c>
      <x:c r="I1932" s="12" t="str">
        <x:f>IF('Design &amp; Insights'!H560="","",'Design &amp; Insights'!H560)</x:f>
      </x:c>
      <x:c r="J1932" s="12" t="n">
        <x:f>IF('Design &amp; Insights'!I560="","",'Design &amp; Insights'!I560)</x:f>
        <x:v>46387</x:v>
      </x:c>
      <x:c r="K1932" s="12" t="str">
        <x:f>IF('Design &amp; Insights'!J560="","",'Design &amp; Insights'!J560)</x:f>
      </x:c>
      <x:c r="L1932" s="2" t="str">
        <x:f>IF('Design &amp; Insights'!K560="","",'Design &amp; Insights'!K560)</x:f>
      </x:c>
      <x:c r="M1932" s="2" t="n">
        <x:f>'Design &amp; Insights'!Q560</x:f>
        <x:v>1</x:v>
      </x:c>
      <x:c r="N1932" s="2" t="str">
        <x:f>'Design &amp; Insights'!L560</x:f>
        <x:v>Not started</x:v>
      </x:c>
      <x:c r="O1932" s="2" t="str">
        <x:f>'Design &amp; Insights'!N560</x:f>
        <x:v>DI.RS.2.5.2026.CY4</x:v>
      </x:c>
      <x:c r="P1932" s="2" t="n">
        <x:f>'Design &amp; Insights'!O560</x:f>
        <x:v>0</x:v>
      </x:c>
      <x:c r="Q1932" s="2" t="n">
        <x:f>SUBTOTAL(103,O1932)</x:f>
        <x:v>1</x:v>
      </x:c>
      <x:c r="R1932" s="2" t="n">
        <x:f>IF(AND(M1932=1,OR(Dashboard!$B$7="All",Dashboard!$B$7='Cycles &amp; Guide'!$C$5),OR(Dashboard!$D$7="All",Dashboard!$D$7=B1932),OR(Dashboard!$F$7="All",Dashboard!$F$7=C1932),OR(Dashboard!$H$7="All",Dashboard!$H$7=D1932),OR(Dashboard!$K$7="All",Dashboard!$K$7=E1932)),1,0)</x:f>
        <x:v>1</x:v>
      </x:c>
      <x:c r="S1932" s="2" t="n">
        <x:f>IF(R1932=1,SUM($R$10:R1932),0)</x:f>
        <x:v>1559</x:v>
      </x:c>
      <x:c r="T1932" s="2" t="str">
        <x:v>Design &amp; Insights</x:v>
      </x:c>
      <x:c r="U1932" s="2" t="n">
        <x:v>560</x:v>
      </x:c>
      <x:c r="V1932" s="2" t="n">
        <x:f>IF(AND(M1932=1,P1932=0,ISNUMBER(J1932),J1932&lt;TODAY()),1,0)</x:f>
        <x:v>0</x:v>
      </x:c>
      <x:c r="W1932" s="2" t="str">
        <x:f>'Design &amp; Insights'!M560</x:f>
        <x:v>Task</x:v>
      </x:c>
    </x:row>
    <x:row r="1933" ht="40" customHeight="1">
      <x:c r="A1933" s="3" t="str">
        <x:f>HYPERLINK("#'Design &amp; Insights'!A561","Open")</x:f>
        <x:v>Open</x:v>
      </x:c>
      <x:c r="B1933" s="2" t="str">
        <x:f>'Design &amp; Insights'!B561</x:f>
        <x:v>Cycle 4</x:v>
      </x:c>
      <x:c r="C1933" s="2" t="str">
        <x:f>'Design &amp; Insights'!C561</x:f>
        <x:v>Phase 2</x:v>
      </x:c>
      <x:c r="D1933" s="2" t="str">
        <x:f>'Design &amp; Insights'!D561</x:f>
        <x:v>Retail Services</x:v>
      </x:c>
      <x:c r="E1933" s="2" t="str">
        <x:v>Design &amp; Insights</x:v>
      </x:c>
      <x:c r="F1933" s="56" t="str">
        <x:f>'Design &amp; Insights'!E561</x:f>
        <x:v>DI.RS.2.6</x:v>
      </x:c>
      <x:c r="G1933" s="14" t="str">
        <x:f>'Design &amp; Insights'!F561</x:f>
        <x:v>Finalize presentation deck draft at conclusion of Research phase</x:v>
      </x:c>
      <x:c r="H1933" s="2" t="str">
        <x:f>IF('Design &amp; Insights'!G561="","",'Design &amp; Insights'!G561)</x:f>
      </x:c>
      <x:c r="I1933" s="12" t="str">
        <x:f>IF('Design &amp; Insights'!H561="","",'Design &amp; Insights'!H561)</x:f>
      </x:c>
      <x:c r="J1933" s="12" t="n">
        <x:f>IF('Design &amp; Insights'!I561="","",'Design &amp; Insights'!I561)</x:f>
        <x:v>46387</x:v>
      </x:c>
      <x:c r="K1933" s="12" t="str">
        <x:f>IF('Design &amp; Insights'!J561="","",'Design &amp; Insights'!J561)</x:f>
      </x:c>
      <x:c r="L1933" s="2" t="str">
        <x:f>IF('Design &amp; Insights'!K561="","",'Design &amp; Insights'!K561)</x:f>
      </x:c>
      <x:c r="M1933" s="2" t="n">
        <x:f>'Design &amp; Insights'!Q561</x:f>
        <x:v>1</x:v>
      </x:c>
      <x:c r="N1933" s="2" t="str">
        <x:f>'Design &amp; Insights'!L561</x:f>
        <x:v>Not started</x:v>
      </x:c>
      <x:c r="O1933" s="2" t="str">
        <x:f>'Design &amp; Insights'!N561</x:f>
        <x:v>DI.RS.2.6.2026.CY4</x:v>
      </x:c>
      <x:c r="P1933" s="2" t="n">
        <x:f>'Design &amp; Insights'!O561</x:f>
        <x:v>0</x:v>
      </x:c>
      <x:c r="Q1933" s="2" t="n">
        <x:f>SUBTOTAL(103,O1933)</x:f>
        <x:v>1</x:v>
      </x:c>
      <x:c r="R1933" s="2" t="n">
        <x:f>IF(AND(M1933=1,OR(Dashboard!$B$7="All",Dashboard!$B$7='Cycles &amp; Guide'!$C$5),OR(Dashboard!$D$7="All",Dashboard!$D$7=B1933),OR(Dashboard!$F$7="All",Dashboard!$F$7=C1933),OR(Dashboard!$H$7="All",Dashboard!$H$7=D1933),OR(Dashboard!$K$7="All",Dashboard!$K$7=E1933)),1,0)</x:f>
        <x:v>1</x:v>
      </x:c>
      <x:c r="S1933" s="2" t="n">
        <x:f>IF(R1933=1,SUM($R$10:R1933),0)</x:f>
        <x:v>1560</x:v>
      </x:c>
      <x:c r="T1933" s="2" t="str">
        <x:v>Design &amp; Insights</x:v>
      </x:c>
      <x:c r="U1933" s="2" t="n">
        <x:v>561</x:v>
      </x:c>
      <x:c r="V1933" s="2" t="n">
        <x:f>IF(AND(M1933=1,P1933=0,ISNUMBER(J1933),J1933&lt;TODAY()),1,0)</x:f>
        <x:v>0</x:v>
      </x:c>
      <x:c r="W1933" s="2" t="str">
        <x:f>'Design &amp; Insights'!M561</x:f>
        <x:v>Task</x:v>
      </x:c>
    </x:row>
    <x:row r="1934" ht="40" customHeight="1">
      <x:c r="A1934" s="3" t="str">
        <x:f>HYPERLINK("#'Design &amp; Insights'!A562","Open")</x:f>
        <x:v>Open</x:v>
      </x:c>
      <x:c r="B1934" s="2" t="str">
        <x:f>'Design &amp; Insights'!B562</x:f>
        <x:v>Cycle 4</x:v>
      </x:c>
      <x:c r="C1934" s="2" t="str">
        <x:f>'Design &amp; Insights'!C562</x:f>
        <x:v>Phase 2</x:v>
      </x:c>
      <x:c r="D1934" s="2" t="str">
        <x:f>'Design &amp; Insights'!D562</x:f>
        <x:v>Retail Services</x:v>
      </x:c>
      <x:c r="E1934" s="2" t="str">
        <x:v>Design &amp; Insights</x:v>
      </x:c>
      <x:c r="F1934" s="56" t="str">
        <x:f>'Design &amp; Insights'!E562</x:f>
        <x:v>DI.RS.2.7</x:v>
      </x:c>
      <x:c r="G1934" s="14" t="str">
        <x:f>'Design &amp; Insights'!F562</x:f>
        <x:v>Update Outcome portion of research plan with current enhancement verbiage (as needed)</x:v>
      </x:c>
      <x:c r="H1934" s="2" t="str">
        <x:f>IF('Design &amp; Insights'!G562="","",'Design &amp; Insights'!G562)</x:f>
      </x:c>
      <x:c r="I1934" s="12" t="str">
        <x:f>IF('Design &amp; Insights'!H562="","",'Design &amp; Insights'!H562)</x:f>
      </x:c>
      <x:c r="J1934" s="12" t="n">
        <x:f>IF('Design &amp; Insights'!I562="","",'Design &amp; Insights'!I562)</x:f>
        <x:v>46387</x:v>
      </x:c>
      <x:c r="K1934" s="12" t="str">
        <x:f>IF('Design &amp; Insights'!J562="","",'Design &amp; Insights'!J562)</x:f>
      </x:c>
      <x:c r="L1934" s="2" t="str">
        <x:f>IF('Design &amp; Insights'!K562="","",'Design &amp; Insights'!K562)</x:f>
      </x:c>
      <x:c r="M1934" s="2" t="n">
        <x:f>'Design &amp; Insights'!Q562</x:f>
        <x:v>1</x:v>
      </x:c>
      <x:c r="N1934" s="2" t="str">
        <x:f>'Design &amp; Insights'!L562</x:f>
        <x:v>Not started</x:v>
      </x:c>
      <x:c r="O1934" s="2" t="str">
        <x:f>'Design &amp; Insights'!N562</x:f>
        <x:v>DI.RS.2.7.2026.CY4</x:v>
      </x:c>
      <x:c r="P1934" s="2" t="n">
        <x:f>'Design &amp; Insights'!O562</x:f>
        <x:v>0</x:v>
      </x:c>
      <x:c r="Q1934" s="2" t="n">
        <x:f>SUBTOTAL(103,O1934)</x:f>
        <x:v>1</x:v>
      </x:c>
      <x:c r="R1934" s="2" t="n">
        <x:f>IF(AND(M1934=1,OR(Dashboard!$B$7="All",Dashboard!$B$7='Cycles &amp; Guide'!$C$5),OR(Dashboard!$D$7="All",Dashboard!$D$7=B1934),OR(Dashboard!$F$7="All",Dashboard!$F$7=C1934),OR(Dashboard!$H$7="All",Dashboard!$H$7=D1934),OR(Dashboard!$K$7="All",Dashboard!$K$7=E1934)),1,0)</x:f>
        <x:v>1</x:v>
      </x:c>
      <x:c r="S1934" s="2" t="n">
        <x:f>IF(R1934=1,SUM($R$10:R1934),0)</x:f>
        <x:v>1561</x:v>
      </x:c>
      <x:c r="T1934" s="2" t="str">
        <x:v>Design &amp; Insights</x:v>
      </x:c>
      <x:c r="U1934" s="2" t="n">
        <x:v>562</x:v>
      </x:c>
      <x:c r="V1934" s="2" t="n">
        <x:f>IF(AND(M1934=1,P1934=0,ISNUMBER(J1934),J1934&lt;TODAY()),1,0)</x:f>
        <x:v>0</x:v>
      </x:c>
      <x:c r="W1934" s="2" t="str">
        <x:f>'Design &amp; Insights'!M562</x:f>
        <x:v>Task</x:v>
      </x:c>
    </x:row>
    <x:row r="1935" ht="40" customHeight="1">
      <x:c r="A1935" s="3" t="str">
        <x:f>HYPERLINK("#'Design &amp; Insights'!A563","Open")</x:f>
        <x:v>Open</x:v>
      </x:c>
      <x:c r="B1935" s="2" t="str">
        <x:f>'Design &amp; Insights'!B563</x:f>
        <x:v>Cycle 4</x:v>
      </x:c>
      <x:c r="C1935" s="2" t="str">
        <x:f>'Design &amp; Insights'!C563</x:f>
        <x:v>Phase 3</x:v>
      </x:c>
      <x:c r="D1935" s="2" t="str">
        <x:f>'Design &amp; Insights'!D563</x:f>
        <x:v>Retail Services</x:v>
      </x:c>
      <x:c r="E1935" s="2" t="str">
        <x:v>Design &amp; Insights</x:v>
      </x:c>
      <x:c r="F1935" s="56" t="str">
        <x:f>'Design &amp; Insights'!E563</x:f>
        <x:v>DI.RS.3.1</x:v>
      </x:c>
      <x:c r="G1935" s="14" t="str">
        <x:f>'Design &amp; Insights'!F563</x:f>
        <x:v>Confirm list of required &amp; optional attendees for pre-socialization meeting</x:v>
      </x:c>
      <x:c r="H1935" s="2" t="str">
        <x:f>IF('Design &amp; Insights'!G563="","",'Design &amp; Insights'!G563)</x:f>
      </x:c>
      <x:c r="I1935" s="12" t="str">
        <x:f>IF('Design &amp; Insights'!H563="","",'Design &amp; Insights'!H563)</x:f>
      </x:c>
      <x:c r="J1935" s="12" t="n">
        <x:f>IF('Design &amp; Insights'!I563="","",'Design &amp; Insights'!I563)</x:f>
        <x:v>46387</x:v>
      </x:c>
      <x:c r="K1935" s="12" t="str">
        <x:f>IF('Design &amp; Insights'!J563="","",'Design &amp; Insights'!J563)</x:f>
      </x:c>
      <x:c r="L1935" s="2" t="str">
        <x:f>IF('Design &amp; Insights'!K563="","",'Design &amp; Insights'!K563)</x:f>
      </x:c>
      <x:c r="M1935" s="2" t="n">
        <x:f>'Design &amp; Insights'!Q563</x:f>
        <x:v>1</x:v>
      </x:c>
      <x:c r="N1935" s="2" t="str">
        <x:f>'Design &amp; Insights'!L563</x:f>
        <x:v>Not started</x:v>
      </x:c>
      <x:c r="O1935" s="2" t="str">
        <x:f>'Design &amp; Insights'!N563</x:f>
        <x:v>DI.RS.3.1.2026.CY4</x:v>
      </x:c>
      <x:c r="P1935" s="2" t="n">
        <x:f>'Design &amp; Insights'!O563</x:f>
        <x:v>0</x:v>
      </x:c>
      <x:c r="Q1935" s="2" t="n">
        <x:f>SUBTOTAL(103,O1935)</x:f>
        <x:v>1</x:v>
      </x:c>
      <x:c r="R1935" s="2" t="n">
        <x:f>IF(AND(M1935=1,OR(Dashboard!$B$7="All",Dashboard!$B$7='Cycles &amp; Guide'!$C$5),OR(Dashboard!$D$7="All",Dashboard!$D$7=B1935),OR(Dashboard!$F$7="All",Dashboard!$F$7=C1935),OR(Dashboard!$H$7="All",Dashboard!$H$7=D1935),OR(Dashboard!$K$7="All",Dashboard!$K$7=E1935)),1,0)</x:f>
        <x:v>1</x:v>
      </x:c>
      <x:c r="S1935" s="2" t="n">
        <x:f>IF(R1935=1,SUM($R$10:R1935),0)</x:f>
        <x:v>1562</x:v>
      </x:c>
      <x:c r="T1935" s="2" t="str">
        <x:v>Design &amp; Insights</x:v>
      </x:c>
      <x:c r="U1935" s="2" t="n">
        <x:v>563</x:v>
      </x:c>
      <x:c r="V1935" s="2" t="n">
        <x:f>IF(AND(M1935=1,P1935=0,ISNUMBER(J1935),J1935&lt;TODAY()),1,0)</x:f>
        <x:v>0</x:v>
      </x:c>
      <x:c r="W1935" s="2" t="str">
        <x:f>'Design &amp; Insights'!M563</x:f>
        <x:v>Task</x:v>
      </x:c>
    </x:row>
    <x:row r="1936" ht="40" customHeight="1">
      <x:c r="A1936" s="3" t="str">
        <x:f>HYPERLINK("#'Design &amp; Insights'!A564","Open")</x:f>
        <x:v>Open</x:v>
      </x:c>
      <x:c r="B1936" s="2" t="str">
        <x:f>'Design &amp; Insights'!B564</x:f>
        <x:v>Cycle 4</x:v>
      </x:c>
      <x:c r="C1936" s="2" t="str">
        <x:f>'Design &amp; Insights'!C564</x:f>
        <x:v>Phase 3</x:v>
      </x:c>
      <x:c r="D1936" s="2" t="str">
        <x:f>'Design &amp; Insights'!D564</x:f>
        <x:v>Retail Services</x:v>
      </x:c>
      <x:c r="E1936" s="2" t="str">
        <x:v>Design &amp; Insights</x:v>
      </x:c>
      <x:c r="F1936" s="56" t="str">
        <x:f>'Design &amp; Insights'!E564</x:f>
        <x:v>DI.RS.3.2</x:v>
      </x:c>
      <x:c r="G1936" s="14" t="str">
        <x:f>'Design &amp; Insights'!F564</x:f>
        <x:v>Schedule pre-socialization meeting 1 week prior to RCA Forum</x:v>
      </x:c>
      <x:c r="H1936" s="2" t="str">
        <x:f>IF('Design &amp; Insights'!G564="","",'Design &amp; Insights'!G564)</x:f>
      </x:c>
      <x:c r="I1936" s="12" t="str">
        <x:f>IF('Design &amp; Insights'!H564="","",'Design &amp; Insights'!H564)</x:f>
      </x:c>
      <x:c r="J1936" s="12" t="str">
        <x:f>IF('Design &amp; Insights'!I564="","",'Design &amp; Insights'!I564)</x:f>
      </x:c>
      <x:c r="K1936" s="12" t="str">
        <x:f>IF('Design &amp; Insights'!J564="","",'Design &amp; Insights'!J564)</x:f>
      </x:c>
      <x:c r="L1936" s="2" t="str">
        <x:f>IF('Design &amp; Insights'!K564="","",'Design &amp; Insights'!K564)</x:f>
      </x:c>
      <x:c r="M1936" s="2" t="n">
        <x:f>'Design &amp; Insights'!Q564</x:f>
        <x:v>1</x:v>
      </x:c>
      <x:c r="N1936" s="2" t="str">
        <x:f>'Design &amp; Insights'!L564</x:f>
        <x:v>Not started</x:v>
      </x:c>
      <x:c r="O1936" s="2" t="str">
        <x:f>'Design &amp; Insights'!N564</x:f>
        <x:v>DI.RS.3.2.2026.CY4</x:v>
      </x:c>
      <x:c r="P1936" s="2" t="n">
        <x:f>'Design &amp; Insights'!O564</x:f>
        <x:v>0</x:v>
      </x:c>
      <x:c r="Q1936" s="2" t="n">
        <x:f>SUBTOTAL(103,O1936)</x:f>
        <x:v>1</x:v>
      </x:c>
      <x:c r="R1936" s="2" t="n">
        <x:f>IF(AND(M1936=1,OR(Dashboard!$B$7="All",Dashboard!$B$7='Cycles &amp; Guide'!$C$5),OR(Dashboard!$D$7="All",Dashboard!$D$7=B1936),OR(Dashboard!$F$7="All",Dashboard!$F$7=C1936),OR(Dashboard!$H$7="All",Dashboard!$H$7=D1936),OR(Dashboard!$K$7="All",Dashboard!$K$7=E1936)),1,0)</x:f>
        <x:v>1</x:v>
      </x:c>
      <x:c r="S1936" s="2" t="n">
        <x:f>IF(R1936=1,SUM($R$10:R1936),0)</x:f>
        <x:v>1563</x:v>
      </x:c>
      <x:c r="T1936" s="2" t="str">
        <x:v>Design &amp; Insights</x:v>
      </x:c>
      <x:c r="U1936" s="2" t="n">
        <x:v>564</x:v>
      </x:c>
      <x:c r="V1936" s="2" t="n">
        <x:f>IF(AND(M1936=1,P1936=0,ISNUMBER(J1936),J1936&lt;TODAY()),1,0)</x:f>
        <x:v>0</x:v>
      </x:c>
      <x:c r="W1936" s="2" t="str">
        <x:f>'Design &amp; Insights'!M564</x:f>
        <x:v>Task</x:v>
      </x:c>
    </x:row>
    <x:row r="1937" ht="40" customHeight="1">
      <x:c r="A1937" s="3" t="str">
        <x:f>HYPERLINK("#'Design &amp; Insights'!A565","Open")</x:f>
        <x:v>Open</x:v>
      </x:c>
      <x:c r="B1937" s="2" t="str">
        <x:f>'Design &amp; Insights'!B565</x:f>
        <x:v>Cycle 4</x:v>
      </x:c>
      <x:c r="C1937" s="2" t="str">
        <x:f>'Design &amp; Insights'!C565</x:f>
        <x:v>Phase 3</x:v>
      </x:c>
      <x:c r="D1937" s="2" t="str">
        <x:f>'Design &amp; Insights'!D565</x:f>
        <x:v>Retail Services</x:v>
      </x:c>
      <x:c r="E1937" s="2" t="str">
        <x:v>Design &amp; Insights</x:v>
      </x:c>
      <x:c r="F1937" s="56" t="str">
        <x:f>'Design &amp; Insights'!E565</x:f>
        <x:v>DI.RS.3.3</x:v>
      </x:c>
      <x:c r="G1937" s="14" t="str">
        <x:f>'Design &amp; Insights'!F565</x:f>
        <x:v>Present findings, conclusions, and recommendation to SMEs</x:v>
      </x:c>
      <x:c r="H1937" s="2" t="str">
        <x:f>IF('Design &amp; Insights'!G565="","",'Design &amp; Insights'!G565)</x:f>
      </x:c>
      <x:c r="I1937" s="12" t="str">
        <x:f>IF('Design &amp; Insights'!H565="","",'Design &amp; Insights'!H565)</x:f>
      </x:c>
      <x:c r="J1937" s="12" t="n">
        <x:f>IF('Design &amp; Insights'!I565="","",'Design &amp; Insights'!I565)</x:f>
        <x:v>46387</x:v>
      </x:c>
      <x:c r="K1937" s="12" t="str">
        <x:f>IF('Design &amp; Insights'!J565="","",'Design &amp; Insights'!J565)</x:f>
      </x:c>
      <x:c r="L1937" s="2" t="str">
        <x:f>IF('Design &amp; Insights'!K565="","",'Design &amp; Insights'!K565)</x:f>
      </x:c>
      <x:c r="M1937" s="2" t="n">
        <x:f>'Design &amp; Insights'!Q565</x:f>
        <x:v>1</x:v>
      </x:c>
      <x:c r="N1937" s="2" t="str">
        <x:f>'Design &amp; Insights'!L565</x:f>
        <x:v>Not started</x:v>
      </x:c>
      <x:c r="O1937" s="2" t="str">
        <x:f>'Design &amp; Insights'!N565</x:f>
        <x:v>DI.RS.3.3.2026.CY4</x:v>
      </x:c>
      <x:c r="P1937" s="2" t="n">
        <x:f>'Design &amp; Insights'!O565</x:f>
        <x:v>0</x:v>
      </x:c>
      <x:c r="Q1937" s="2" t="n">
        <x:f>SUBTOTAL(103,O1937)</x:f>
        <x:v>1</x:v>
      </x:c>
      <x:c r="R1937" s="2" t="n">
        <x:f>IF(AND(M1937=1,OR(Dashboard!$B$7="All",Dashboard!$B$7='Cycles &amp; Guide'!$C$5),OR(Dashboard!$D$7="All",Dashboard!$D$7=B1937),OR(Dashboard!$F$7="All",Dashboard!$F$7=C1937),OR(Dashboard!$H$7="All",Dashboard!$H$7=D1937),OR(Dashboard!$K$7="All",Dashboard!$K$7=E1937)),1,0)</x:f>
        <x:v>1</x:v>
      </x:c>
      <x:c r="S1937" s="2" t="n">
        <x:f>IF(R1937=1,SUM($R$10:R1937),0)</x:f>
        <x:v>1564</x:v>
      </x:c>
      <x:c r="T1937" s="2" t="str">
        <x:v>Design &amp; Insights</x:v>
      </x:c>
      <x:c r="U1937" s="2" t="n">
        <x:v>565</x:v>
      </x:c>
      <x:c r="V1937" s="2" t="n">
        <x:f>IF(AND(M1937=1,P1937=0,ISNUMBER(J1937),J1937&lt;TODAY()),1,0)</x:f>
        <x:v>0</x:v>
      </x:c>
      <x:c r="W1937" s="2" t="str">
        <x:f>'Design &amp; Insights'!M565</x:f>
        <x:v>Task</x:v>
      </x:c>
    </x:row>
    <x:row r="1938" ht="40" customHeight="1">
      <x:c r="A1938" s="3" t="str">
        <x:f>HYPERLINK("#'Design &amp; Insights'!A566","Open")</x:f>
        <x:v>Open</x:v>
      </x:c>
      <x:c r="B1938" s="2" t="str">
        <x:f>'Design &amp; Insights'!B566</x:f>
        <x:v>Cycle 4</x:v>
      </x:c>
      <x:c r="C1938" s="2" t="str">
        <x:f>'Design &amp; Insights'!C566</x:f>
        <x:v>Phase 3</x:v>
      </x:c>
      <x:c r="D1938" s="2" t="str">
        <x:f>'Design &amp; Insights'!D566</x:f>
        <x:v>Retail Services</x:v>
      </x:c>
      <x:c r="E1938" s="2" t="str">
        <x:v>Design &amp; Insights</x:v>
      </x:c>
      <x:c r="F1938" s="56" t="str">
        <x:f>'Design &amp; Insights'!E566</x:f>
        <x:v>DI.RS.3.4</x:v>
      </x:c>
      <x:c r="G1938" s="14" t="str">
        <x:f>'Design &amp; Insights'!F566</x:f>
        <x:v>Update Outcome portion of research plan (as needed)</x:v>
      </x:c>
      <x:c r="H1938" s="2" t="str">
        <x:f>IF('Design &amp; Insights'!G566="","",'Design &amp; Insights'!G566)</x:f>
      </x:c>
      <x:c r="I1938" s="12" t="str">
        <x:f>IF('Design &amp; Insights'!H566="","",'Design &amp; Insights'!H566)</x:f>
      </x:c>
      <x:c r="J1938" s="12" t="n">
        <x:f>IF('Design &amp; Insights'!I566="","",'Design &amp; Insights'!I566)</x:f>
        <x:v>46387</x:v>
      </x:c>
      <x:c r="K1938" s="12" t="str">
        <x:f>IF('Design &amp; Insights'!J566="","",'Design &amp; Insights'!J566)</x:f>
      </x:c>
      <x:c r="L1938" s="2" t="str">
        <x:f>IF('Design &amp; Insights'!K566="","",'Design &amp; Insights'!K566)</x:f>
      </x:c>
      <x:c r="M1938" s="2" t="n">
        <x:f>'Design &amp; Insights'!Q566</x:f>
        <x:v>1</x:v>
      </x:c>
      <x:c r="N1938" s="2" t="str">
        <x:f>'Design &amp; Insights'!L566</x:f>
        <x:v>Not started</x:v>
      </x:c>
      <x:c r="O1938" s="2" t="str">
        <x:f>'Design &amp; Insights'!N566</x:f>
        <x:v>DI.RS.3.4.2026.CY4</x:v>
      </x:c>
      <x:c r="P1938" s="2" t="n">
        <x:f>'Design &amp; Insights'!O566</x:f>
        <x:v>0</x:v>
      </x:c>
      <x:c r="Q1938" s="2" t="n">
        <x:f>SUBTOTAL(103,O1938)</x:f>
        <x:v>1</x:v>
      </x:c>
      <x:c r="R1938" s="2" t="n">
        <x:f>IF(AND(M1938=1,OR(Dashboard!$B$7="All",Dashboard!$B$7='Cycles &amp; Guide'!$C$5),OR(Dashboard!$D$7="All",Dashboard!$D$7=B1938),OR(Dashboard!$F$7="All",Dashboard!$F$7=C1938),OR(Dashboard!$H$7="All",Dashboard!$H$7=D1938),OR(Dashboard!$K$7="All",Dashboard!$K$7=E1938)),1,0)</x:f>
        <x:v>1</x:v>
      </x:c>
      <x:c r="S1938" s="2" t="n">
        <x:f>IF(R1938=1,SUM($R$10:R1938),0)</x:f>
        <x:v>1565</x:v>
      </x:c>
      <x:c r="T1938" s="2" t="str">
        <x:v>Design &amp; Insights</x:v>
      </x:c>
      <x:c r="U1938" s="2" t="n">
        <x:v>566</x:v>
      </x:c>
      <x:c r="V1938" s="2" t="n">
        <x:f>IF(AND(M1938=1,P1938=0,ISNUMBER(J1938),J1938&lt;TODAY()),1,0)</x:f>
        <x:v>0</x:v>
      </x:c>
      <x:c r="W1938" s="2" t="str">
        <x:f>'Design &amp; Insights'!M566</x:f>
        <x:v>Task</x:v>
      </x:c>
    </x:row>
    <x:row r="1939" ht="40" customHeight="1">
      <x:c r="A1939" s="3" t="str">
        <x:f>HYPERLINK("#'Design &amp; Insights'!A567","Open")</x:f>
        <x:v>Open</x:v>
      </x:c>
      <x:c r="B1939" s="2" t="str">
        <x:f>'Design &amp; Insights'!B567</x:f>
        <x:v>Cycle 4</x:v>
      </x:c>
      <x:c r="C1939" s="2" t="str">
        <x:f>'Design &amp; Insights'!C567</x:f>
        <x:v>Phase 3</x:v>
      </x:c>
      <x:c r="D1939" s="2" t="str">
        <x:f>'Design &amp; Insights'!D567</x:f>
        <x:v>Retail Services</x:v>
      </x:c>
      <x:c r="E1939" s="2" t="str">
        <x:v>Design &amp; Insights</x:v>
      </x:c>
      <x:c r="F1939" s="56" t="str">
        <x:f>'Design &amp; Insights'!E567</x:f>
        <x:v>DI.RS.3.5</x:v>
      </x:c>
      <x:c r="G1939" s="14" t="str">
        <x:f>'Design &amp; Insights'!F567</x:f>
        <x:v>Finalize presentation deck by incorporating pre-socialization feedback (as needed)</x:v>
      </x:c>
      <x:c r="H1939" s="2" t="str">
        <x:f>IF('Design &amp; Insights'!G567="","",'Design &amp; Insights'!G567)</x:f>
      </x:c>
      <x:c r="I1939" s="12" t="str">
        <x:f>IF('Design &amp; Insights'!H567="","",'Design &amp; Insights'!H567)</x:f>
      </x:c>
      <x:c r="J1939" s="12" t="n">
        <x:f>IF('Design &amp; Insights'!I567="","",'Design &amp; Insights'!I567)</x:f>
        <x:v>46387</x:v>
      </x:c>
      <x:c r="K1939" s="12" t="str">
        <x:f>IF('Design &amp; Insights'!J567="","",'Design &amp; Insights'!J567)</x:f>
      </x:c>
      <x:c r="L1939" s="2" t="str">
        <x:f>IF('Design &amp; Insights'!K567="","",'Design &amp; Insights'!K567)</x:f>
      </x:c>
      <x:c r="M1939" s="2" t="n">
        <x:f>'Design &amp; Insights'!Q567</x:f>
        <x:v>1</x:v>
      </x:c>
      <x:c r="N1939" s="2" t="str">
        <x:f>'Design &amp; Insights'!L567</x:f>
        <x:v>Not started</x:v>
      </x:c>
      <x:c r="O1939" s="2" t="str">
        <x:f>'Design &amp; Insights'!N567</x:f>
        <x:v>DI.RS.3.5.2026.CY4</x:v>
      </x:c>
      <x:c r="P1939" s="2" t="n">
        <x:f>'Design &amp; Insights'!O567</x:f>
        <x:v>0</x:v>
      </x:c>
      <x:c r="Q1939" s="2" t="n">
        <x:f>SUBTOTAL(103,O1939)</x:f>
        <x:v>1</x:v>
      </x:c>
      <x:c r="R1939" s="2" t="n">
        <x:f>IF(AND(M1939=1,OR(Dashboard!$B$7="All",Dashboard!$B$7='Cycles &amp; Guide'!$C$5),OR(Dashboard!$D$7="All",Dashboard!$D$7=B1939),OR(Dashboard!$F$7="All",Dashboard!$F$7=C1939),OR(Dashboard!$H$7="All",Dashboard!$H$7=D1939),OR(Dashboard!$K$7="All",Dashboard!$K$7=E1939)),1,0)</x:f>
        <x:v>1</x:v>
      </x:c>
      <x:c r="S1939" s="2" t="n">
        <x:f>IF(R1939=1,SUM($R$10:R1939),0)</x:f>
        <x:v>1566</x:v>
      </x:c>
      <x:c r="T1939" s="2" t="str">
        <x:v>Design &amp; Insights</x:v>
      </x:c>
      <x:c r="U1939" s="2" t="n">
        <x:v>567</x:v>
      </x:c>
      <x:c r="V1939" s="2" t="n">
        <x:f>IF(AND(M1939=1,P1939=0,ISNUMBER(J1939),J1939&lt;TODAY()),1,0)</x:f>
        <x:v>0</x:v>
      </x:c>
      <x:c r="W1939" s="2" t="str">
        <x:f>'Design &amp; Insights'!M567</x:f>
        <x:v>Task</x:v>
      </x:c>
    </x:row>
    <x:row r="1940" ht="40" customHeight="1">
      <x:c r="A1940" s="3" t="str">
        <x:f>HYPERLINK("#'Design &amp; Insights'!A568","Open")</x:f>
        <x:v>Open</x:v>
      </x:c>
      <x:c r="B1940" s="2" t="str">
        <x:f>'Design &amp; Insights'!B568</x:f>
        <x:v>Cycle 4</x:v>
      </x:c>
      <x:c r="C1940" s="2" t="str">
        <x:f>'Design &amp; Insights'!C568</x:f>
        <x:v>Phase 3</x:v>
      </x:c>
      <x:c r="D1940" s="2" t="str">
        <x:f>'Design &amp; Insights'!D568</x:f>
        <x:v>Retail Services</x:v>
      </x:c>
      <x:c r="E1940" s="2" t="str">
        <x:v>Design &amp; Insights</x:v>
      </x:c>
      <x:c r="F1940" s="56" t="str">
        <x:f>'Design &amp; Insights'!E568</x:f>
        <x:v>DI.RS.3.6</x:v>
      </x:c>
      <x:c r="G1940" s="14" t="str">
        <x:f>'Design &amp; Insights'!F568</x:f>
        <x:v>Ensure final deck is communicated to Forum attendees</x:v>
      </x:c>
      <x:c r="H1940" s="2" t="str">
        <x:f>IF('Design &amp; Insights'!G568="","",'Design &amp; Insights'!G568)</x:f>
      </x:c>
      <x:c r="I1940" s="12" t="str">
        <x:f>IF('Design &amp; Insights'!H568="","",'Design &amp; Insights'!H568)</x:f>
      </x:c>
      <x:c r="J1940" s="12" t="n">
        <x:f>IF('Design &amp; Insights'!I568="","",'Design &amp; Insights'!I568)</x:f>
        <x:v>46387</x:v>
      </x:c>
      <x:c r="K1940" s="12" t="str">
        <x:f>IF('Design &amp; Insights'!J568="","",'Design &amp; Insights'!J568)</x:f>
      </x:c>
      <x:c r="L1940" s="2" t="str">
        <x:f>IF('Design &amp; Insights'!K568="","",'Design &amp; Insights'!K568)</x:f>
      </x:c>
      <x:c r="M1940" s="2" t="n">
        <x:f>'Design &amp; Insights'!Q568</x:f>
        <x:v>1</x:v>
      </x:c>
      <x:c r="N1940" s="2" t="str">
        <x:f>'Design &amp; Insights'!L568</x:f>
        <x:v>Not started</x:v>
      </x:c>
      <x:c r="O1940" s="2" t="str">
        <x:f>'Design &amp; Insights'!N568</x:f>
        <x:v>DI.RS.3.6.2026.CY4</x:v>
      </x:c>
      <x:c r="P1940" s="2" t="n">
        <x:f>'Design &amp; Insights'!O568</x:f>
        <x:v>0</x:v>
      </x:c>
      <x:c r="Q1940" s="2" t="n">
        <x:f>SUBTOTAL(103,O1940)</x:f>
        <x:v>1</x:v>
      </x:c>
      <x:c r="R1940" s="2" t="n">
        <x:f>IF(AND(M1940=1,OR(Dashboard!$B$7="All",Dashboard!$B$7='Cycles &amp; Guide'!$C$5),OR(Dashboard!$D$7="All",Dashboard!$D$7=B1940),OR(Dashboard!$F$7="All",Dashboard!$F$7=C1940),OR(Dashboard!$H$7="All",Dashboard!$H$7=D1940),OR(Dashboard!$K$7="All",Dashboard!$K$7=E1940)),1,0)</x:f>
        <x:v>1</x:v>
      </x:c>
      <x:c r="S1940" s="2" t="n">
        <x:f>IF(R1940=1,SUM($R$10:R1940),0)</x:f>
        <x:v>1567</x:v>
      </x:c>
      <x:c r="T1940" s="2" t="str">
        <x:v>Design &amp; Insights</x:v>
      </x:c>
      <x:c r="U1940" s="2" t="n">
        <x:v>568</x:v>
      </x:c>
      <x:c r="V1940" s="2" t="n">
        <x:f>IF(AND(M1940=1,P1940=0,ISNUMBER(J1940),J1940&lt;TODAY()),1,0)</x:f>
        <x:v>0</x:v>
      </x:c>
      <x:c r="W1940" s="2" t="str">
        <x:f>'Design &amp; Insights'!M568</x:f>
        <x:v>Task</x:v>
      </x:c>
    </x:row>
    <x:row r="1941" ht="40" customHeight="1">
      <x:c r="A1941" s="3" t="str">
        <x:f>HYPERLINK("#'Design &amp; Insights'!A569","Open")</x:f>
        <x:v>Open</x:v>
      </x:c>
      <x:c r="B1941" s="2" t="str">
        <x:f>'Design &amp; Insights'!B569</x:f>
        <x:v>Cycle 4</x:v>
      </x:c>
      <x:c r="C1941" s="2" t="str">
        <x:f>'Design &amp; Insights'!C569</x:f>
        <x:v>Phase 3</x:v>
      </x:c>
      <x:c r="D1941" s="2" t="str">
        <x:f>'Design &amp; Insights'!D569</x:f>
        <x:v>Retail Services</x:v>
      </x:c>
      <x:c r="E1941" s="2" t="str">
        <x:v>Design &amp; Insights</x:v>
      </x:c>
      <x:c r="F1941" s="56" t="str">
        <x:f>'Design &amp; Insights'!E569</x:f>
        <x:v>DI.RS.3.7</x:v>
      </x:c>
      <x:c r="G1941" s="14" t="str">
        <x:f>'Design &amp; Insights'!F569</x:f>
        <x:v>Present material in RCA Cycle Forum</x:v>
      </x:c>
      <x:c r="H1941" s="2" t="str">
        <x:f>IF('Design &amp; Insights'!G569="","",'Design &amp; Insights'!G569)</x:f>
      </x:c>
      <x:c r="I1941" s="12" t="str">
        <x:f>IF('Design &amp; Insights'!H569="","",'Design &amp; Insights'!H569)</x:f>
      </x:c>
      <x:c r="J1941" s="12" t="str">
        <x:f>IF('Design &amp; Insights'!I569="","",'Design &amp; Insights'!I569)</x:f>
      </x:c>
      <x:c r="K1941" s="12" t="str">
        <x:f>IF('Design &amp; Insights'!J569="","",'Design &amp; Insights'!J569)</x:f>
      </x:c>
      <x:c r="L1941" s="2" t="str">
        <x:f>IF('Design &amp; Insights'!K569="","",'Design &amp; Insights'!K569)</x:f>
      </x:c>
      <x:c r="M1941" s="2" t="n">
        <x:f>'Design &amp; Insights'!Q569</x:f>
        <x:v>1</x:v>
      </x:c>
      <x:c r="N1941" s="2" t="str">
        <x:f>'Design &amp; Insights'!L569</x:f>
        <x:v>Not started</x:v>
      </x:c>
      <x:c r="O1941" s="2" t="str">
        <x:f>'Design &amp; Insights'!N569</x:f>
        <x:v>DI.RS.3.7.2026.CY4</x:v>
      </x:c>
      <x:c r="P1941" s="2" t="n">
        <x:f>'Design &amp; Insights'!O569</x:f>
        <x:v>0</x:v>
      </x:c>
      <x:c r="Q1941" s="2" t="n">
        <x:f>SUBTOTAL(103,O1941)</x:f>
        <x:v>1</x:v>
      </x:c>
      <x:c r="R1941" s="2" t="n">
        <x:f>IF(AND(M1941=1,OR(Dashboard!$B$7="All",Dashboard!$B$7='Cycles &amp; Guide'!$C$5),OR(Dashboard!$D$7="All",Dashboard!$D$7=B1941),OR(Dashboard!$F$7="All",Dashboard!$F$7=C1941),OR(Dashboard!$H$7="All",Dashboard!$H$7=D1941),OR(Dashboard!$K$7="All",Dashboard!$K$7=E1941)),1,0)</x:f>
        <x:v>1</x:v>
      </x:c>
      <x:c r="S1941" s="2" t="n">
        <x:f>IF(R1941=1,SUM($R$10:R1941),0)</x:f>
        <x:v>1568</x:v>
      </x:c>
      <x:c r="T1941" s="2" t="str">
        <x:v>Design &amp; Insights</x:v>
      </x:c>
      <x:c r="U1941" s="2" t="n">
        <x:v>569</x:v>
      </x:c>
      <x:c r="V1941" s="2" t="n">
        <x:f>IF(AND(M1941=1,P1941=0,ISNUMBER(J1941),J1941&lt;TODAY()),1,0)</x:f>
        <x:v>0</x:v>
      </x:c>
      <x:c r="W1941" s="2" t="str">
        <x:f>'Design &amp; Insights'!M569</x:f>
        <x:v>Task</x:v>
      </x:c>
    </x:row>
  </x:sheetData>
  <x:mergeCells>
    <x:mergeCell ref="A1:B1"/>
    <x:mergeCell ref="C1:D1"/>
    <x:mergeCell ref="E1:F1"/>
    <x:mergeCell ref="G1:J1"/>
  </x:mergeCells>
  <x:conditionalFormatting sqref="F10:G1941">
    <x:cfRule type="expression" dxfId="12" priority="1">
      <x:formula>$M10=0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19139a5abb84fa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5" hidden="0" customWidth="1"/>
    <x:col min="3" max="3" width="30" hidden="0" customWidth="1"/>
    <x:col min="4" max="4" width="16" hidden="0" customWidth="1"/>
    <x:col min="5" max="5" width="13" hidden="0" customWidth="1"/>
    <x:col min="6" max="6" width="3" hidden="0" customWidth="1"/>
    <x:col min="7" max="7" width="115" hidden="0" customWidth="1"/>
  </x:cols>
  <x:sheetData>
    <x:row r="1" ht="22" customHeight="1">
      <x:c r="A1" s="2"/>
      <x:c r="B1" s="3" t="str">
        <x:f>HYPERLINK("#'Dashboard'!A1","Back to dashboard")</x:f>
        <x:v>Back to dashboard</x:v>
      </x:c>
      <x:c r="C1" s="2"/>
      <x:c r="D1" s="2"/>
      <x:c r="E1" s="2"/>
      <x:c r="F1" s="2"/>
      <x:c r="G1" s="2"/>
    </x:row>
    <x:row r="2" ht="22" customHeight="1">
      <x:c r="A2" s="2"/>
      <x:c r="B2" s="2"/>
      <x:c r="C2" s="2"/>
      <x:c r="D2" s="2"/>
      <x:c r="E2" s="2"/>
      <x:c r="F2" s="2"/>
      <x:c r="G2" s="2"/>
    </x:row>
    <x:row r="3" ht="29" customHeight="1">
      <x:c r="A3" s="2"/>
      <x:c r="B3" s="4" t="str">
        <x:v>Cycle calendar and guide</x:v>
      </x:c>
      <x:c r="C3" s="2"/>
      <x:c r="D3" s="2"/>
      <x:c r="E3" s="2"/>
      <x:c r="F3" s="2"/>
      <x:c r="G3" s="15" t="str">
        <x:v>Using the redesigned tracker</x:v>
      </x:c>
    </x:row>
    <x:row r="4" ht="29" customHeight="1">
      <x:c r="A4" s="2"/>
      <x:c r="B4" s="2"/>
      <x:c r="C4" s="2"/>
      <x:c r="D4" s="2"/>
      <x:c r="E4" s="2"/>
      <x:c r="F4" s="2"/>
      <x:c r="G4" s="14"/>
    </x:row>
    <x:row r="5" ht="29" customHeight="1">
      <x:c r="A5" s="2"/>
      <x:c r="B5" s="2" t="str">
        <x:v>Tracking year</x:v>
      </x:c>
      <x:c r="C5" s="6" t="n">
        <x:v>2026</x:v>
      </x:c>
      <x:c r="D5" s="2"/>
      <x:c r="E5" s="2"/>
      <x:c r="F5" s="2"/>
      <x:c r="G5" s="14" t="str">
        <x:v>Dashboard: select Year, Cycle, Phase, Business Group, and Team in the amber filter cells.</x:v>
      </x:c>
    </x:row>
    <x:row r="6" ht="29" customHeight="1">
      <x:c r="A6" s="2"/>
      <x:c r="B6" s="2"/>
      <x:c r="C6" s="2"/>
      <x:c r="D6" s="2"/>
      <x:c r="E6" s="2"/>
      <x:c r="F6" s="2"/>
      <x:c r="G6" s="14" t="str">
        <x:v>Click a filter cell and use its drop-down arrow. Select All to remove that filter.</x:v>
      </x:c>
    </x:row>
    <x:row r="7" ht="29" customHeight="1">
      <x:c r="A7" s="2"/>
      <x:c r="B7" s="2" t="str">
        <x:v>Set the year before starting. Keep a separate file for each year.</x:v>
      </x:c>
      <x:c r="C7" s="2"/>
      <x:c r="D7" s="2"/>
      <x:c r="E7" s="2"/>
      <x:c r="F7" s="2"/>
      <x:c r="G7" s="14" t="str">
        <x:v>The matching task list and all dashboard totals update immediately. No refresh or macros are needed.</x:v>
      </x:c>
    </x:row>
    <x:row r="8" ht="29" customHeight="1">
      <x:c r="A8" s="2"/>
      <x:c r="B8" s="2"/>
      <x:c r="C8" s="2"/>
      <x:c r="D8" s="2"/>
      <x:c r="E8" s="2"/>
      <x:c r="F8" s="2"/>
      <x:c r="G8" s="14"/>
    </x:row>
    <x:row r="9" ht="29" customHeight="1">
      <x:c r="A9" s="2"/>
      <x:c r="B9" s="10" t="str">
        <x:v>Cycle</x:v>
      </x:c>
      <x:c r="C9" s="10" t="str">
        <x:v>Start</x:v>
      </x:c>
      <x:c r="D9" s="10" t="str">
        <x:v>End</x:v>
      </x:c>
      <x:c r="E9" s="10" t="str">
        <x:v>Days</x:v>
      </x:c>
      <x:c r="F9" s="2"/>
      <x:c r="G9" s="14" t="str">
        <x:v>The dashboard opens with All selected in every filter, including Cycle.</x:v>
      </x:c>
    </x:row>
    <x:row r="10" ht="29" customHeight="1">
      <x:c r="A10" s="2"/>
      <x:c r="B10" s="2" t="str">
        <x:v>Cycle 1</x:v>
      </x:c>
      <x:c r="C10" s="11" t="n">
        <x:f>DATE($C$5,1,1)</x:f>
        <x:v>46023</x:v>
      </x:c>
      <x:c r="D10" s="12" t="n">
        <x:f>EOMONTH(C10,2-MOD(MONTH(C10)-1,3))</x:f>
        <x:v>46112</x:v>
      </x:c>
      <x:c r="E10" s="2" t="n">
        <x:f>D10-C10+1</x:f>
        <x:v>90</x:v>
      </x:c>
      <x:c r="F10" s="2"/>
      <x:c r="G10" s="14"/>
    </x:row>
    <x:row r="11" ht="29" customHeight="1">
      <x:c r="A11" s="2"/>
      <x:c r="B11" s="2" t="str">
        <x:v>Cycle 2</x:v>
      </x:c>
      <x:c r="C11" s="11" t="n">
        <x:f>DATE($C$5,4,1)</x:f>
        <x:v>46113</x:v>
      </x:c>
      <x:c r="D11" s="12" t="n">
        <x:f>EOMONTH(C11,2-MOD(MONTH(C11)-1,3))</x:f>
        <x:v>46203</x:v>
      </x:c>
      <x:c r="E11" s="2" t="n">
        <x:f>D11-C11+1</x:f>
        <x:v>91</x:v>
      </x:c>
      <x:c r="F11" s="2"/>
      <x:c r="G11" s="14" t="str">
        <x:v>All matching tasks appear in one continuous list. Scroll down to see the remaining results.</x:v>
      </x:c>
    </x:row>
    <x:row r="12" ht="29" customHeight="1">
      <x:c r="A12" s="2"/>
      <x:c r="B12" s="2" t="str">
        <x:v>Cycle 3</x:v>
      </x:c>
      <x:c r="C12" s="11" t="n">
        <x:f>DATE($C$5,7,1)</x:f>
        <x:v>46204</x:v>
      </x:c>
      <x:c r="D12" s="12" t="n">
        <x:f>EOMONTH(C12,2-MOD(MONTH(C12)-1,3))</x:f>
        <x:v>46295</x:v>
      </x:c>
      <x:c r="E12" s="2" t="n">
        <x:f>D12-C12+1</x:f>
        <x:v>92</x:v>
      </x:c>
      <x:c r="F12" s="2"/>
      <x:c r="G12" s="14" t="str">
        <x:v>The task list and totals update when you change any filter. There are no pages.</x:v>
      </x:c>
    </x:row>
    <x:row r="13" ht="29" customHeight="1">
      <x:c r="A13" s="2"/>
      <x:c r="B13" s="2" t="str">
        <x:v>Cycle 4</x:v>
      </x:c>
      <x:c r="C13" s="11" t="n">
        <x:f>DATE($C$5,10,1)</x:f>
        <x:v>46296</x:v>
      </x:c>
      <x:c r="D13" s="12" t="n">
        <x:f>EOMONTH(C13,2-MOD(MONTH(C13)-1,3))</x:f>
        <x:v>46387</x:v>
      </x:c>
      <x:c r="E13" s="2" t="n">
        <x:f>D13-C13+1</x:f>
        <x:v>92</x:v>
      </x:c>
      <x:c r="F13" s="2"/>
      <x:c r="G13" s="14"/>
    </x:row>
    <x:row r="14" ht="29" customHeight="1">
      <x:c r="A14" s="2"/>
      <x:c r="B14" s="2"/>
      <x:c r="C14" s="2"/>
      <x:c r="D14" s="2"/>
      <x:c r="E14" s="2"/>
      <x:c r="F14" s="2"/>
      <x:c r="G14" s="14" t="str">
        <x:v>Click Open beside a dashboard task to go directly to its editable row on the team worksheet.</x:v>
      </x:c>
    </x:row>
    <x:row r="15" ht="29" customHeight="1">
      <x:c r="A15" s="2"/>
      <x:c r="B15" s="2" t="str">
        <x:v>Cycle starts default to Jan 1, Apr 1, Jul 1, and Oct 1.</x:v>
      </x:c>
      <x:c r="C15" s="2"/>
      <x:c r="D15" s="2"/>
      <x:c r="E15" s="2"/>
      <x:c r="F15" s="2"/>
      <x:c r="G15" s="14" t="str">
        <x:v>Each team worksheet has real table filters for Cycle, Phase, and Business Group.</x:v>
      </x:c>
    </x:row>
    <x:row r="16" ht="29" customHeight="1">
      <x:c r="A16" s="2"/>
      <x:c r="B16" s="2" t="str">
        <x:v>You may change a start date to the first of another month.</x:v>
      </x:c>
      <x:c r="C16" s="2"/>
      <x:c r="D16" s="2"/>
      <x:c r="E16" s="2"/>
      <x:c r="F16" s="2"/>
      <x:c r="G16" s="14" t="str">
        <x:v>Use the navigation tabs across the top or Excel’s worksheet tabs to switch teams.</x:v>
      </x:c>
    </x:row>
    <x:row r="17" ht="29" customHeight="1">
      <x:c r="A17" s="2"/>
      <x:c r="B17" s="2" t="str">
        <x:v>Cycle end is the last day of that calendar quarter.</x:v>
      </x:c>
      <x:c r="C17" s="2"/>
      <x:c r="D17" s="2"/>
      <x:c r="E17" s="2"/>
      <x:c r="F17" s="2"/>
      <x:c r="G17" s="14"/>
    </x:row>
    <x:row r="18" ht="29" customHeight="1">
      <x:c r="A18" s="2"/>
      <x:c r="B18" s="2"/>
      <x:c r="C18" s="2"/>
      <x:c r="D18" s="2"/>
      <x:c r="E18" s="2"/>
      <x:c r="F18" s="2"/>
      <x:c r="G18" s="15" t="str">
        <x:v>Checkboxes and nested checklist</x:v>
      </x:c>
    </x:row>
    <x:row r="19" ht="29" customHeight="1">
      <x:c r="A19" s="2"/>
      <x:c r="B19" s="13" t="str">
        <x:v>RCA Forum dates</x:v>
      </x:c>
      <x:c r="C19" s="2"/>
      <x:c r="D19" s="2"/>
      <x:c r="E19" s="2"/>
      <x:c r="F19" s="2"/>
      <x:c r="G19" s="14" t="str">
        <x:v>Click Done on a team worksheet. Enter Assigned To, Start Date, Completed Date, and Comments there.</x:v>
      </x:c>
    </x:row>
    <x:row r="20" ht="29" customHeight="1">
      <x:c r="A20" s="2"/>
      <x:c r="B20" s="2" t="str">
        <x:v>Enter a Forum date for each business group and Cycle.</x:v>
      </x:c>
      <x:c r="C20" s="2"/>
      <x:c r="D20" s="2"/>
      <x:c r="E20" s="2"/>
      <x:c r="F20" s="2"/>
      <x:c r="G20" s="14" t="str">
        <x:v>Completed Date is entered manually so the date remains fixed. Amber cells accept input.</x:v>
      </x:c>
    </x:row>
    <x:row r="21" ht="29" customHeight="1">
      <x:c r="A21" s="2"/>
      <x:c r="B21" s="2"/>
      <x:c r="C21" s="2"/>
      <x:c r="D21" s="2"/>
      <x:c r="E21" s="2"/>
      <x:c r="F21" s="2"/>
      <x:c r="G21" s="14" t="str">
        <x:v>Data &amp; Reporting Phase 1 Task 3 contains its 13 checklist rows directly below the parent task.</x:v>
      </x:c>
    </x:row>
    <x:row r="22" ht="29" customHeight="1">
      <x:c r="A22" s="2"/>
      <x:c r="B22" s="10" t="str">
        <x:v>Cycle</x:v>
      </x:c>
      <x:c r="C22" s="10" t="str">
        <x:v>Business Group</x:v>
      </x:c>
      <x:c r="D22" s="10" t="str">
        <x:v>Forum Date</x:v>
      </x:c>
      <x:c r="E22" s="2"/>
      <x:c r="F22" s="2"/>
      <x:c r="G22" s="14" t="str">
        <x:v>Finish all 13 checks and check the parent. Until then, the parent does not count as complete.</x:v>
      </x:c>
    </x:row>
    <x:row r="23" ht="29" customHeight="1">
      <x:c r="A23" s="2"/>
      <x:c r="B23" s="2" t="str">
        <x:v>Cycle 1</x:v>
      </x:c>
      <x:c r="C23" s="2" t="str">
        <x:v>Auto</x:v>
      </x:c>
      <x:c r="D23" s="11"/>
      <x:c r="E23" s="2"/>
      <x:c r="F23" s="2"/>
      <x:c r="G23" s="14" t="str">
        <x:v>Filter the team table by Cycle, Phase, or Business Group to keep each task and its checklist together.</x:v>
      </x:c>
    </x:row>
    <x:row r="24" ht="29" customHeight="1">
      <x:c r="A24" s="2"/>
      <x:c r="B24" s="2" t="str">
        <x:v>Cycle 1</x:v>
      </x:c>
      <x:c r="C24" s="2" t="str">
        <x:v>Cards</x:v>
      </x:c>
      <x:c r="D24" s="11"/>
      <x:c r="E24" s="2"/>
      <x:c r="F24" s="2"/>
      <x:c r="G24" s="14" t="str">
        <x:v>Avoid sorting the nested checklist. Collapse or expand its rows using the outline buttons at the left.</x:v>
      </x:c>
    </x:row>
    <x:row r="25" ht="29" customHeight="1">
      <x:c r="A25" s="2"/>
      <x:c r="B25" s="2" t="str">
        <x:v>Cycle 1</x:v>
      </x:c>
      <x:c r="C25" s="2" t="str">
        <x:v>CSBBO - Banking Ops</x:v>
      </x:c>
      <x:c r="D25" s="11"/>
      <x:c r="E25" s="2"/>
      <x:c r="F25" s="2"/>
      <x:c r="G25" s="14" t="str">
        <x:v>For an as-needed item, enter Not needed and the reason in Comments, then check Done.</x:v>
      </x:c>
    </x:row>
    <x:row r="26" ht="29" customHeight="1">
      <x:c r="A26" s="2"/>
      <x:c r="B26" s="2" t="str">
        <x:v>Cycle 1</x:v>
      </x:c>
      <x:c r="C26" s="2" t="str">
        <x:v>CSBBO - Customer Service</x:v>
      </x:c>
      <x:c r="D26" s="11"/>
      <x:c r="E26" s="2"/>
      <x:c r="F26" s="2"/>
      <x:c r="G26" s="14"/>
    </x:row>
    <x:row r="27" ht="29" customHeight="1">
      <x:c r="A27" s="2"/>
      <x:c r="B27" s="2" t="str">
        <x:v>Cycle 1</x:v>
      </x:c>
      <x:c r="C27" s="2" t="str">
        <x:v>FCM</x:v>
      </x:c>
      <x:c r="D27" s="11"/>
      <x:c r="E27" s="2"/>
      <x:c r="F27" s="2"/>
      <x:c r="G27" s="14" t="str">
        <x:v>Tasks is a consolidated view of the three team worksheets. Use its Open links to make changes.</x:v>
      </x:c>
    </x:row>
    <x:row r="28" ht="29" customHeight="1">
      <x:c r="A28" s="2"/>
      <x:c r="B28" s="2" t="str">
        <x:v>Cycle 1</x:v>
      </x:c>
      <x:c r="C28" s="2" t="str">
        <x:v>PLL</x:v>
      </x:c>
      <x:c r="D28" s="11"/>
      <x:c r="E28" s="2"/>
      <x:c r="F28" s="2"/>
      <x:c r="G28" s="14" t="str">
        <x:v>Only parent tasks count toward progress. Checklist rows never increase the task denominator.</x:v>
      </x:c>
    </x:row>
    <x:row r="29" ht="29" customHeight="1">
      <x:c r="A29" s="2"/>
      <x:c r="B29" s="2" t="str">
        <x:v>Cycle 1</x:v>
      </x:c>
      <x:c r="C29" s="2" t="str">
        <x:v>Retail Services</x:v>
      </x:c>
      <x:c r="D29" s="11"/>
      <x:c r="E29" s="2"/>
      <x:c r="F29" s="2"/>
      <x:c r="G29" s="14"/>
    </x:row>
    <x:row r="30" ht="29" customHeight="1">
      <x:c r="A30" s="2"/>
      <x:c r="B30" s="2" t="str">
        <x:v>Cycle 2</x:v>
      </x:c>
      <x:c r="C30" s="2" t="str">
        <x:v>Auto</x:v>
      </x:c>
      <x:c r="D30" s="11"/>
      <x:c r="E30" s="2"/>
      <x:c r="F30" s="2"/>
      <x:c r="G30" s="15" t="str">
        <x:v>Date rules</x:v>
      </x:c>
    </x:row>
    <x:row r="31" ht="29" customHeight="1">
      <x:c r="A31" s="2"/>
      <x:c r="B31" s="2" t="str">
        <x:v>Cycle 2</x:v>
      </x:c>
      <x:c r="C31" s="2" t="str">
        <x:v>Cards</x:v>
      </x:c>
      <x:c r="D31" s="11"/>
      <x:c r="E31" s="2"/>
      <x:c r="F31" s="2"/>
      <x:c r="G31" s="14" t="str">
        <x:v>The existing dates are preserved. Most unspecified deadlines default to Cycle end and may be edited.</x:v>
      </x:c>
    </x:row>
    <x:row r="32" ht="29" customHeight="1">
      <x:c r="A32" s="2"/>
      <x:c r="B32" s="2" t="str">
        <x:v>Cycle 2</x:v>
      </x:c>
      <x:c r="C32" s="2" t="str">
        <x:v>CSBBO - Banking Ops</x:v>
      </x:c>
      <x:c r="D32" s="11"/>
      <x:c r="E32" s="2"/>
      <x:c r="F32" s="2"/>
      <x:c r="G32" s="14" t="str">
        <x:v>Data &amp; Reporting Phase 1 Task 1: Cycle start minus 21 days.</x:v>
      </x:c>
    </x:row>
    <x:row r="33" ht="29" customHeight="1">
      <x:c r="A33" s="2"/>
      <x:c r="B33" s="2" t="str">
        <x:v>Cycle 2</x:v>
      </x:c>
      <x:c r="C33" s="2" t="str">
        <x:v>CSBBO - Customer Service</x:v>
      </x:c>
      <x:c r="D33" s="11"/>
      <x:c r="E33" s="2"/>
      <x:c r="F33" s="2"/>
      <x:c r="G33" s="14" t="str">
        <x:v>Research &amp; Analysis and Design &amp; Insights Phase 1 Task 1: Cycle start minus 14 days.</x:v>
      </x:c>
    </x:row>
    <x:row r="34" ht="29" customHeight="1">
      <x:c r="A34" s="2"/>
      <x:c r="B34" s="2" t="str">
        <x:v>Cycle 2</x:v>
      </x:c>
      <x:c r="C34" s="2" t="str">
        <x:v>FCM</x:v>
      </x:c>
      <x:c r="D34" s="11"/>
      <x:c r="E34" s="2"/>
      <x:c r="F34" s="2"/>
      <x:c r="G34" s="14" t="str">
        <x:v>Design &amp; Insights Phase 1 Task 6: Cycle start. Phase 3 Task 2: Forum date minus 7 days.</x:v>
      </x:c>
    </x:row>
    <x:row r="35" ht="29" customHeight="1">
      <x:c r="A35" s="2"/>
      <x:c r="B35" s="2" t="str">
        <x:v>Cycle 2</x:v>
      </x:c>
      <x:c r="C35" s="2" t="str">
        <x:v>PLL</x:v>
      </x:c>
      <x:c r="D35" s="11"/>
      <x:c r="E35" s="2"/>
      <x:c r="F35" s="2"/>
      <x:c r="G35" s="14" t="str">
        <x:v>Design &amp; Insights Phase 3 Task 7 and Research &amp; Analysis Phase 3 Task 4: Forum date.</x:v>
      </x:c>
    </x:row>
    <x:row r="36" ht="29" customHeight="1">
      <x:c r="A36" s="2"/>
      <x:c r="B36" s="2" t="str">
        <x:v>Cycle 2</x:v>
      </x:c>
      <x:c r="C36" s="2" t="str">
        <x:v>Retail Services</x:v>
      </x:c>
      <x:c r="D36" s="11"/>
      <x:c r="E36" s="2"/>
      <x:c r="F36" s="2"/>
      <x:c r="G36" s="14" t="str">
        <x:v>Forum-dependent deadlines remain blank until that business group’s Forum date is entered.</x:v>
      </x:c>
    </x:row>
    <x:row r="37" ht="29" customHeight="1">
      <x:c r="A37" s="2"/>
      <x:c r="B37" s="2" t="str">
        <x:v>Cycle 3</x:v>
      </x:c>
      <x:c r="C37" s="2" t="str">
        <x:v>Auto</x:v>
      </x:c>
      <x:c r="D37" s="11"/>
      <x:c r="E37" s="2"/>
      <x:c r="F37" s="2"/>
      <x:c r="G37" s="14"/>
    </x:row>
    <x:row r="38" ht="29" customHeight="1">
      <x:c r="A38" s="2"/>
      <x:c r="B38" s="2" t="str">
        <x:v>Cycle 3</x:v>
      </x:c>
      <x:c r="C38" s="2" t="str">
        <x:v>Cards</x:v>
      </x:c>
      <x:c r="D38" s="11"/>
      <x:c r="E38" s="2"/>
      <x:c r="F38" s="2"/>
      <x:c r="G38" s="15" t="str">
        <x:v>SharePoint</x:v>
      </x:c>
    </x:row>
    <x:row r="39" ht="29" customHeight="1">
      <x:c r="A39" s="2"/>
      <x:c r="B39" s="2" t="str">
        <x:v>Cycle 3</x:v>
      </x:c>
      <x:c r="C39" s="2" t="str">
        <x:v>CSBBO - Banking Ops</x:v>
      </x:c>
      <x:c r="D39" s="11"/>
      <x:c r="E39" s="2"/>
      <x:c r="F39" s="2"/>
      <x:c r="G39" s="14" t="str">
        <x:v>Upload this workbook to SharePoint Documents, grant edit access, and use one shared master file.</x:v>
      </x:c>
    </x:row>
    <x:row r="40" ht="29" customHeight="1">
      <x:c r="A40" s="2"/>
      <x:c r="B40" s="2" t="str">
        <x:v>Cycle 3</x:v>
      </x:c>
      <x:c r="C40" s="2" t="str">
        <x:v>CSBBO - Customer Service</x:v>
      </x:c>
      <x:c r="D40" s="11"/>
      <x:c r="E40" s="2"/>
      <x:c r="F40" s="2"/>
      <x:c r="G40" s="14" t="str">
        <x:v>Open in Microsoft 365 Excel. Older Excel versions may display checkbox values as TRUE or FALSE.</x:v>
      </x:c>
    </x:row>
    <x:row r="41" ht="29" customHeight="1">
      <x:c r="A41" s="2"/>
      <x:c r="B41" s="2" t="str">
        <x:v>Cycle 3</x:v>
      </x:c>
      <x:c r="C41" s="2" t="str">
        <x:v>FCM</x:v>
      </x:c>
      <x:c r="D41" s="11"/>
      <x:c r="E41" s="2"/>
      <x:c r="F41" s="2"/>
      <x:c r="G41" s="14" t="str">
        <x:v>Dashboard drop-down selections are shared workbook inputs. Coordinate selections during coauthoring.</x:v>
      </x:c>
    </x:row>
    <x:row r="42" ht="29" customHeight="1">
      <x:c r="A42" s="2"/>
      <x:c r="B42" s="2" t="str">
        <x:v>Cycle 3</x:v>
      </x:c>
      <x:c r="C42" s="2" t="str">
        <x:v>PLL</x:v>
      </x:c>
      <x:c r="D42" s="11"/>
      <x:c r="E42" s="2"/>
      <x:c r="F42" s="2"/>
      <x:c r="G42" s="14"/>
    </x:row>
    <x:row r="43" ht="29" customHeight="1">
      <x:c r="A43" s="2"/>
      <x:c r="B43" s="2" t="str">
        <x:v>Cycle 3</x:v>
      </x:c>
      <x:c r="C43" s="2" t="str">
        <x:v>Retail Services</x:v>
      </x:c>
      <x:c r="D43" s="11"/>
      <x:c r="E43" s="2"/>
      <x:c r="F43" s="2"/>
      <x:c r="G43" s="15" t="str">
        <x:v>Source and scope</x:v>
      </x:c>
    </x:row>
    <x:row r="44" ht="29" customHeight="1">
      <x:c r="A44" s="2"/>
      <x:c r="B44" s="2" t="str">
        <x:v>Cycle 4</x:v>
      </x:c>
      <x:c r="C44" s="2" t="str">
        <x:v>Auto</x:v>
      </x:c>
      <x:c r="D44" s="11"/>
      <x:c r="E44" s="2"/>
      <x:c r="F44" s="2"/>
      <x:c r="G44" s="14" t="str">
        <x:v>IMG_9583(1).jpeg, RCA Pillar Tasks Lists, September 26, 2026. Existing task data preserved.</x:v>
      </x:c>
    </x:row>
    <x:row r="45" ht="29" customHeight="1">
      <x:c r="A45" s="2"/>
      <x:c r="B45" s="2" t="str">
        <x:v>Cycle 4</x:v>
      </x:c>
      <x:c r="C45" s="2" t="str">
        <x:v>Cards</x:v>
      </x:c>
      <x:c r="D45" s="11"/>
      <x:c r="E45" s="2"/>
      <x:c r="F45" s="2"/>
      <x:c r="G45" s="14" t="str">
        <x:v>Per Cycle: Data &amp; Reporting 91; Research &amp; Analysis 161; Design &amp; Insights 140. Total 392.</x:v>
      </x:c>
    </x:row>
    <x:row r="46" ht="29" customHeight="1">
      <x:c r="A46" s="2"/>
      <x:c r="B46" s="2" t="str">
        <x:v>Cycle 4</x:v>
      </x:c>
      <x:c r="C46" s="2" t="str">
        <x:v>CSBBO - Banking Ops</x:v>
      </x:c>
      <x:c r="D46" s="11"/>
      <x:c r="E46" s="2"/>
      <x:c r="F46" s="2"/>
      <x:c r="G46" s="14" t="str">
        <x:v>Four Cycles contain 1,568 parent tasks and 364 nested checklist items.</x:v>
      </x:c>
    </x:row>
    <x:row r="47" ht="29" customHeight="1">
      <x:c r="A47" s="2"/>
      <x:c r="B47" s="2" t="str">
        <x:v>Cycle 4</x:v>
      </x:c>
      <x:c r="C47" s="2" t="str">
        <x:v>CSBBO - Customer Service</x:v>
      </x:c>
      <x:c r="D47" s="11"/>
      <x:c r="E47" s="2"/>
      <x:c r="F47" s="2"/>
      <x:c r="G47" s="14"/>
    </x:row>
    <x:row r="48" ht="29" customHeight="1">
      <x:c r="A48" s="2"/>
      <x:c r="B48" s="2" t="str">
        <x:v>Cycle 4</x:v>
      </x:c>
      <x:c r="C48" s="2" t="str">
        <x:v>FCM</x:v>
      </x:c>
      <x:c r="D48" s="11"/>
      <x:c r="E48" s="2"/>
      <x:c r="F48" s="2"/>
      <x:c r="G48" s="14" t="str">
        <x:v>Keep an untouched template. Archive a separate workbook each year rather than changing historical dates.</x:v>
      </x:c>
    </x:row>
    <x:row r="49" ht="22" customHeight="1">
      <x:c r="A49" s="2"/>
      <x:c r="B49" s="2" t="str">
        <x:v>Cycle 4</x:v>
      </x:c>
      <x:c r="C49" s="2" t="str">
        <x:v>PLL</x:v>
      </x:c>
      <x:c r="D49" s="11"/>
      <x:c r="E49" s="2"/>
      <x:c r="F49" s="2"/>
      <x:c r="G49" s="2"/>
    </x:row>
    <x:row r="50" ht="22" customHeight="1">
      <x:c r="A50" s="2"/>
      <x:c r="B50" s="2" t="str">
        <x:v>Cycle 4</x:v>
      </x:c>
      <x:c r="C50" s="2" t="str">
        <x:v>Retail Services</x:v>
      </x:c>
      <x:c r="D50" s="11"/>
      <x:c r="E50" s="2"/>
      <x:c r="F50" s="2"/>
      <x:c r="G50" s="13" t="str">
        <x:v>Task IDs</x:v>
      </x:c>
    </x:row>
    <x:row r="51" ht="32" customHeight="1">
      <x:c r="A51" s="2"/>
      <x:c r="B51" s="2"/>
      <x:c r="C51" s="2"/>
      <x:c r="D51" s="2"/>
      <x:c r="E51" s="2"/>
      <x:c r="F51" s="2"/>
      <x:c r="G51" s="14" t="inlineStr">
        <x:is>
          <x:t>Format: Team.BusinessGroup.Phase.Task. DI.FC.2.1 = Design &amp; Insights / FCM / Phase 2 / Task 1.</x:t>
        </x:is>
      </x:c>
    </x:row>
    <x:row r="52" ht="32" customHeight="1">
      <x:c r="A52" s="2"/>
      <x:c r="B52" s="2"/>
      <x:c r="C52" s="2"/>
      <x:c r="D52" s="2"/>
      <x:c r="E52" s="2"/>
      <x:c r="F52" s="2"/>
      <x:c r="G52" s="14" t="str">
        <x:v>Team codes: DR = Data &amp; Reporting; RA = Research &amp; Analysis; DI = Design &amp; Insights.</x:v>
      </x:c>
    </x:row>
    <x:row r="53" ht="32" customHeight="1">
      <x:c r="A53" s="2"/>
      <x:c r="B53" s="2" t="str">
        <x:v>Year filter values</x:v>
      </x:c>
      <x:c r="C53" s="2"/>
      <x:c r="D53" s="2"/>
      <x:c r="E53" s="2"/>
      <x:c r="F53" s="2"/>
      <x:c r="G53" s="14" t="str">
        <x:v>Business codes: AU = Auto; CA = Cards; BO = CSBBO Banking Ops; CS = CSBBO Customer Service.</x:v>
      </x:c>
    </x:row>
    <x:row r="54" ht="32" customHeight="1">
      <x:c r="A54" s="2"/>
      <x:c r="B54" s="2" t="str">
        <x:v>All</x:v>
      </x:c>
      <x:c r="C54" s="2"/>
      <x:c r="D54" s="2"/>
      <x:c r="E54" s="2"/>
      <x:c r="F54" s="2"/>
      <x:c r="G54" s="14" t="str">
        <x:v>FC = FCM; PL = PLL; RS = Retail Services.</x:v>
      </x:c>
    </x:row>
    <x:row r="55" ht="32" customHeight="1">
      <x:c r="A55" s="2"/>
      <x:c r="B55" s="2" t="n">
        <x:f>C5</x:f>
        <x:v>2026</x:v>
      </x:c>
      <x:c r="C55" s="2"/>
      <x:c r="D55" s="2"/>
      <x:c r="E55" s="2"/>
      <x:c r="F55" s="2"/>
      <x:c r="G55" s="14" t="inlineStr">
        <x:is>
          <x:t>A task keeps the same ID in each Cycle. Cycle Record ID adds year and Cycle, such as DI.FC.2.1.2026.CY2.</x:t>
        </x:is>
      </x:c>
    </x:row>
    <x:row r="56" ht="32" customHeight="1">
      <x:c r="G56" s="14" t="str">
        <x:v>Nested checklist IDs append C01–C13 to their parent task ID. These remain checklist items, not separate tasks.</x:v>
      </x:c>
    </x:row>
  </x:sheetData>
  <x:pageMargins left="0.7" right="0.7" top="0.75" bottom="0.75" header="0.3" footer="0.3"/>
  <x:tableParts count="1">
    <x:tablePart xmlns:r="http://schemas.openxmlformats.org/officeDocument/2006/relationships" r:id="R574a9cb67473451e"/>
  </x:tableParts>
</x:worksheet>
</file>